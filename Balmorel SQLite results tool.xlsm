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pivotCache/pivotCacheDefinition12.xml" ContentType="application/vnd.openxmlformats-officedocument.spreadsheetml.pivotCacheDefinition+xml"/>
  <Override PartName="/xl/pivotCache/pivotCacheRecords12.xml" ContentType="application/vnd.openxmlformats-officedocument.spreadsheetml.pivotCacheRecords+xml"/>
  <Override PartName="/xl/pivotCache/pivotCacheDefinition13.xml" ContentType="application/vnd.openxmlformats-officedocument.spreadsheetml.pivotCacheDefinition+xml"/>
  <Override PartName="/xl/pivotCache/pivotCacheRecords13.xml" ContentType="application/vnd.openxmlformats-officedocument.spreadsheetml.pivotCacheRecords+xml"/>
  <Override PartName="/xl/pivotCache/pivotCacheDefinition14.xml" ContentType="application/vnd.openxmlformats-officedocument.spreadsheetml.pivotCacheDefinition+xml"/>
  <Override PartName="/xl/pivotCache/pivotCacheRecords14.xml" ContentType="application/vnd.openxmlformats-officedocument.spreadsheetml.pivotCacheRecords+xml"/>
  <Override PartName="/xl/pivotCache/pivotCacheDefinition15.xml" ContentType="application/vnd.openxmlformats-officedocument.spreadsheetml.pivotCacheDefinition+xml"/>
  <Override PartName="/xl/pivotCache/pivotCacheRecords15.xml" ContentType="application/vnd.openxmlformats-officedocument.spreadsheetml.pivotCacheRecords+xml"/>
  <Override PartName="/xl/pivotCache/pivotCacheDefinition16.xml" ContentType="application/vnd.openxmlformats-officedocument.spreadsheetml.pivotCacheDefinition+xml"/>
  <Override PartName="/xl/pivotCache/pivotCacheRecords16.xml" ContentType="application/vnd.openxmlformats-officedocument.spreadsheetml.pivotCacheRecords+xml"/>
  <Override PartName="/xl/pivotCache/pivotCacheDefinition17.xml" ContentType="application/vnd.openxmlformats-officedocument.spreadsheetml.pivotCacheDefinition+xml"/>
  <Override PartName="/xl/pivotCache/pivotCacheRecords17.xml" ContentType="application/vnd.openxmlformats-officedocument.spreadsheetml.pivotCacheRecords+xml"/>
  <Override PartName="/xl/pivotCache/pivotCacheDefinition18.xml" ContentType="application/vnd.openxmlformats-officedocument.spreadsheetml.pivotCacheDefinition+xml"/>
  <Override PartName="/xl/pivotCache/pivotCacheRecords18.xml" ContentType="application/vnd.openxmlformats-officedocument.spreadsheetml.pivotCacheRecords+xml"/>
  <Override PartName="/xl/pivotCache/pivotCacheDefinition19.xml" ContentType="application/vnd.openxmlformats-officedocument.spreadsheetml.pivotCacheDefinition+xml"/>
  <Override PartName="/xl/pivotCache/pivotCacheRecords19.xml" ContentType="application/vnd.openxmlformats-officedocument.spreadsheetml.pivotCacheRecords+xml"/>
  <Override PartName="/xl/pivotCache/pivotCacheDefinition20.xml" ContentType="application/vnd.openxmlformats-officedocument.spreadsheetml.pivotCacheDefinition+xml"/>
  <Override PartName="/xl/pivotCache/pivotCacheRecords20.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pivotTables/pivotTable2.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9.xml" ContentType="application/vnd.openxmlformats-officedocument.spreadsheetml.pivotTable+xml"/>
  <Override PartName="/xl/drawings/drawing9.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0.xml" ContentType="application/vnd.openxmlformats-officedocument.spreadsheetml.pivotTable+xml"/>
  <Override PartName="/xl/drawings/drawing10.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1.xml" ContentType="application/vnd.openxmlformats-officedocument.spreadsheetml.pivotTable+xml"/>
  <Override PartName="/xl/drawings/drawing11.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2.xml" ContentType="application/vnd.openxmlformats-officedocument.spreadsheetml.pivotTable+xml"/>
  <Override PartName="/xl/drawings/drawing12.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13.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6.xml" ContentType="application/vnd.openxmlformats-officedocument.spreadsheetml.pivotTable+xml"/>
  <Override PartName="/xl/drawings/drawing14.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17.xml" ContentType="application/vnd.openxmlformats-officedocument.spreadsheetml.pivotTable+xml"/>
  <Override PartName="/xl/drawings/drawing15.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18.xml" ContentType="application/vnd.openxmlformats-officedocument.spreadsheetml.pivotTable+xml"/>
  <Override PartName="/xl/drawings/drawing16.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19.xml" ContentType="application/vnd.openxmlformats-officedocument.spreadsheetml.pivotTable+xml"/>
  <Override PartName="/xl/drawings/drawing1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20.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Doc\Balmorel\SQLite_database\"/>
    </mc:Choice>
  </mc:AlternateContent>
  <bookViews>
    <workbookView xWindow="0" yWindow="0" windowWidth="9600" windowHeight="2685"/>
  </bookViews>
  <sheets>
    <sheet name="Control" sheetId="2" r:id="rId1"/>
    <sheet name="Queries_BB3" sheetId="13" r:id="rId2"/>
    <sheet name="Queries_BB4" sheetId="5" r:id="rId3"/>
    <sheet name="EL Prices" sheetId="14" r:id="rId4"/>
    <sheet name="HE Prices" sheetId="24" r:id="rId5"/>
    <sheet name="EL GEN - Annual" sheetId="6" r:id="rId6"/>
    <sheet name="EL GEN - Time" sheetId="12" r:id="rId7"/>
    <sheet name="HE GEN - Annual" sheetId="9" r:id="rId8"/>
    <sheet name="HE GEN - Time" sheetId="8" r:id="rId9"/>
    <sheet name="Fuel CON - Time" sheetId="26" r:id="rId10"/>
    <sheet name="Fuel CON - Annual" sheetId="10" r:id="rId11"/>
    <sheet name="Emissions - Annual" sheetId="11" r:id="rId12"/>
    <sheet name="HE STO - Time" sheetId="16" r:id="rId13"/>
    <sheet name="HY STO - Time" sheetId="18" r:id="rId14"/>
    <sheet name="EL TRAN - Time" sheetId="19" r:id="rId15"/>
    <sheet name="EL TRAN - Annual" sheetId="20" r:id="rId16"/>
    <sheet name="EL DEM - Time" sheetId="21" r:id="rId17"/>
    <sheet name="EL DEM - Annual" sheetId="23" r:id="rId18"/>
    <sheet name="GEN INVEST" sheetId="30" r:id="rId19"/>
    <sheet name="EL GEN CAP" sheetId="28" r:id="rId20"/>
    <sheet name="HE GEN CAP" sheetId="29" r:id="rId21"/>
    <sheet name="EL TRANS CAP" sheetId="31" r:id="rId22"/>
  </sheets>
  <definedNames>
    <definedName name="C_filter">Control!$G$11</definedName>
    <definedName name="CountryCB">Control!$F$15:$F$501</definedName>
    <definedName name="DE">Control!$B$23</definedName>
    <definedName name="IGK">Control!$B$21</definedName>
    <definedName name="O_Model">Control!$B$14</definedName>
    <definedName name="QEEQ">Control!$B$19</definedName>
    <definedName name="QHEQ">Control!$B$20</definedName>
    <definedName name="STO">Control!$B$24</definedName>
    <definedName name="VGE_T">Control!$B$17</definedName>
    <definedName name="VGF_T">Control!$B$22</definedName>
    <definedName name="VGH_T">Control!$B$18</definedName>
    <definedName name="VGKN">Control!$B$26</definedName>
    <definedName name="VX_T">Control!$B$25</definedName>
  </definedNames>
  <calcPr calcId="162913"/>
  <pivotCaches>
    <pivotCache cacheId="61" r:id="rId23"/>
    <pivotCache cacheId="62" r:id="rId24"/>
    <pivotCache cacheId="63" r:id="rId25"/>
    <pivotCache cacheId="64" r:id="rId26"/>
    <pivotCache cacheId="65" r:id="rId27"/>
    <pivotCache cacheId="66" r:id="rId28"/>
    <pivotCache cacheId="67" r:id="rId29"/>
    <pivotCache cacheId="68" r:id="rId30"/>
    <pivotCache cacheId="69" r:id="rId31"/>
    <pivotCache cacheId="70" r:id="rId32"/>
    <pivotCache cacheId="71" r:id="rId33"/>
    <pivotCache cacheId="72" r:id="rId34"/>
    <pivotCache cacheId="73" r:id="rId35"/>
    <pivotCache cacheId="74" r:id="rId36"/>
    <pivotCache cacheId="75" r:id="rId37"/>
    <pivotCache cacheId="76" r:id="rId38"/>
    <pivotCache cacheId="77" r:id="rId39"/>
    <pivotCache cacheId="78" r:id="rId40"/>
    <pivotCache cacheId="79" r:id="rId41"/>
    <pivotCache cacheId="83" r:id="rId42"/>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80" i="5" l="1"/>
  <c r="C81" i="5"/>
  <c r="C82" i="5"/>
  <c r="C65" i="5" l="1"/>
  <c r="C66" i="5"/>
  <c r="C67" i="5"/>
  <c r="C64" i="5" l="1"/>
  <c r="C63" i="5"/>
  <c r="C62" i="5"/>
  <c r="C61" i="13" l="1"/>
  <c r="C62" i="13"/>
  <c r="C8" i="13"/>
  <c r="C56" i="13"/>
  <c r="C57" i="13"/>
  <c r="C61" i="5" l="1"/>
  <c r="C56" i="5"/>
  <c r="C60" i="5"/>
  <c r="C7" i="5"/>
  <c r="C55" i="5"/>
  <c r="C8" i="5"/>
  <c r="E9" i="5" l="1"/>
  <c r="E25" i="5"/>
  <c r="E35" i="5"/>
  <c r="E48" i="5"/>
  <c r="C59" i="5" l="1"/>
  <c r="C58" i="5"/>
  <c r="C57" i="5"/>
  <c r="C48" i="5" l="1"/>
  <c r="C35" i="5"/>
  <c r="C25" i="5"/>
  <c r="E49" i="13"/>
  <c r="E42" i="13"/>
  <c r="E35" i="13"/>
  <c r="E25" i="13"/>
  <c r="C49" i="13"/>
  <c r="C42" i="13"/>
  <c r="C35" i="13"/>
  <c r="C25" i="13"/>
  <c r="C9" i="5"/>
  <c r="E9" i="13"/>
  <c r="C9" i="13"/>
  <c r="C7" i="13"/>
  <c r="C60" i="13" l="1"/>
  <c r="C59" i="13"/>
  <c r="C58" i="13"/>
  <c r="C86" i="13" l="1"/>
  <c r="C84" i="13"/>
  <c r="C85" i="13"/>
  <c r="C89" i="5"/>
  <c r="C90" i="5"/>
  <c r="C91" i="5"/>
  <c r="C18" i="13" l="1"/>
  <c r="C17" i="13"/>
  <c r="C16" i="13"/>
  <c r="C17" i="5"/>
  <c r="C18" i="5"/>
  <c r="C16" i="5"/>
  <c r="C88" i="5" l="1"/>
  <c r="C87" i="5"/>
  <c r="C86" i="5"/>
  <c r="C85" i="5"/>
  <c r="C84" i="5"/>
  <c r="C83" i="5"/>
  <c r="C79" i="5"/>
  <c r="C78" i="5"/>
  <c r="C77" i="5"/>
  <c r="C76" i="5"/>
  <c r="C75" i="5"/>
  <c r="C74" i="5"/>
  <c r="C73" i="5"/>
  <c r="C72" i="5"/>
  <c r="C71" i="5"/>
  <c r="C70" i="5"/>
  <c r="C69" i="5"/>
  <c r="C68" i="5"/>
  <c r="C54" i="5"/>
  <c r="C53" i="5"/>
  <c r="C52" i="5"/>
  <c r="C51" i="5"/>
  <c r="C50" i="5"/>
  <c r="C49" i="5"/>
  <c r="C47" i="5"/>
  <c r="C46" i="5"/>
  <c r="C45" i="5"/>
  <c r="C44" i="5"/>
  <c r="C43" i="5"/>
  <c r="C42" i="5"/>
  <c r="C41" i="5"/>
  <c r="C40" i="5"/>
  <c r="C39" i="5"/>
  <c r="C38" i="5"/>
  <c r="C37" i="5"/>
  <c r="C36" i="5"/>
  <c r="C34" i="5"/>
  <c r="C33" i="5"/>
  <c r="C32" i="5"/>
  <c r="C31" i="5"/>
  <c r="C30" i="5"/>
  <c r="C29" i="5"/>
  <c r="C28" i="5"/>
  <c r="C27" i="5"/>
  <c r="C26" i="5"/>
  <c r="C24" i="5"/>
  <c r="C23" i="5"/>
  <c r="C22" i="5"/>
  <c r="C21" i="5"/>
  <c r="C20" i="5"/>
  <c r="C19" i="5"/>
  <c r="C15" i="5"/>
  <c r="C14" i="5"/>
  <c r="C13" i="5"/>
  <c r="C12" i="5"/>
  <c r="C11" i="5"/>
  <c r="C10" i="5"/>
  <c r="C6" i="5"/>
  <c r="C5" i="5"/>
  <c r="C4" i="5"/>
  <c r="C3" i="5"/>
  <c r="C2" i="5"/>
  <c r="C1" i="5"/>
  <c r="C83" i="13"/>
  <c r="C82" i="13"/>
  <c r="C81" i="13"/>
  <c r="C80" i="13"/>
  <c r="C79" i="13"/>
  <c r="C78" i="13"/>
  <c r="C77" i="13"/>
  <c r="C76" i="13"/>
  <c r="C75" i="13"/>
  <c r="C74" i="13"/>
  <c r="C73" i="13"/>
  <c r="C72" i="13"/>
  <c r="C71" i="13"/>
  <c r="C70" i="13"/>
  <c r="C69" i="13"/>
  <c r="C68" i="13"/>
  <c r="C67" i="13"/>
  <c r="C66" i="13"/>
  <c r="C65" i="13"/>
  <c r="C64" i="13"/>
  <c r="C63" i="13"/>
  <c r="C55" i="13"/>
  <c r="C54" i="13"/>
  <c r="C53" i="13"/>
  <c r="C52" i="13"/>
  <c r="C51" i="13"/>
  <c r="C50" i="13"/>
  <c r="C48" i="13"/>
  <c r="C47" i="13"/>
  <c r="C46" i="13"/>
  <c r="C45" i="13"/>
  <c r="C44" i="13"/>
  <c r="C43" i="13"/>
  <c r="C41" i="13"/>
  <c r="C40" i="13"/>
  <c r="C39" i="13"/>
  <c r="C38" i="13"/>
  <c r="C37" i="13"/>
  <c r="C36" i="13"/>
  <c r="C34" i="13"/>
  <c r="C33" i="13"/>
  <c r="C32" i="13"/>
  <c r="C31" i="13"/>
  <c r="C30" i="13"/>
  <c r="C29" i="13"/>
  <c r="C28" i="13"/>
  <c r="C27" i="13"/>
  <c r="C26" i="13"/>
  <c r="C24" i="13"/>
  <c r="C23" i="13"/>
  <c r="C22" i="13"/>
  <c r="C21" i="13"/>
  <c r="C20" i="13"/>
  <c r="C19" i="13"/>
  <c r="C15" i="13"/>
  <c r="C14" i="13"/>
  <c r="C13" i="13"/>
  <c r="C12" i="13"/>
  <c r="C11" i="13"/>
  <c r="C10" i="13"/>
  <c r="C6" i="13"/>
  <c r="C5" i="13"/>
  <c r="C4" i="13"/>
  <c r="C3" i="13"/>
  <c r="C2" i="13"/>
  <c r="C1" i="13"/>
</calcChain>
</file>

<file path=xl/connections.xml><?xml version="1.0" encoding="utf-8"?>
<connections xmlns="http://schemas.openxmlformats.org/spreadsheetml/2006/main">
  <connection id="1" odcFile="C:\Doc\Balmorel\flex4res_balmodel\Flex4Res_data\output\BASE-results.db" name="Countries"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C&quot;"/>
  </connection>
  <connection id="2" odcFile="C:\Doc\Balmorel\flex4res_balmodel\Flex4Res_data\output\BASE-results.db" name="main El Transmission between Countries"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El Transmission between Countries&quot;"/>
  </connection>
  <connection id="3" odcFile="C:\Doc\Balmorel\flex4res_balmodel\Flex4Res_data\output\BASE-results.db" name="main El Transmission between regions net - Term"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El Transmission between regions net - Term&quot;"/>
  </connection>
  <connection id="4" odcFile="C:\Doc\Balmorel\flex4res_balmodel\Flex4Res_data\output\BASE-results.db" name="main Electricity Demand - Annual"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Electricity Demand - Annual&quot;"/>
  </connection>
  <connection id="5" odcFile="C:\Doc\Balmorel\flex4res_balmodel\Flex4Res_data\output\BASE-results.db" name="main Electricity Demand - Term"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Electricity Demand - Term&quot;"/>
  </connection>
  <connection id="6" odcFile="C:\Doc\Balmorel\flex4res_balmodel\Flex4Res_data\output\BASE-results.db" name="main Electricity generation - Annual1"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Electricity generation - Annual&quot;"/>
  </connection>
  <connection id="7" odcFile="C:\Doc\Balmorel\flex4res_balmodel\Flex4Res_data\output\BASE-results.db" name="main Electricity generation - Term"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Electricity generation - Term&quot;"/>
  </connection>
  <connection id="8" odcFile="\\intra.ttu.ee\home\Hardi.Koduvere\Documents\My Data Sources\main Electricity generation capacity Total.odc" name="main Electricity generation capacity Total" type="1" refreshedVersion="6">
    <dbPr connection="DSN=SQLite3 Datasource;Database=C:\Doc\Balmorel\flex4res_balmodel\Flex4Res_data\output\BASE-results.db;StepAPI=0;SyncPragma=NORMAL;NoTXN=0;Timeout=100000;ShortNames=0;LongNames=0;NoCreat=0;NoWCHAR=0;FKSupport=0;JournalMode=;OEMCP=0;LoadExt=;BigInt=0;JDConv=0;" command="SELECT * FROM &quot;main&quot;.&quot;Electricity generation capacity Total&quot;"/>
  </connection>
  <connection id="9" odcFile="C:\Doc\Balmorel\flex4res_balmodel\Flex4Res_data\output\BASE-results.db" name="main Electricity_price"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Electricity_price&quot;"/>
  </connection>
  <connection id="10" odcFile="C:\Doc\Balmorel\flex4res_balmodel\Flex4Res_data\output\BASE-results.db" name="main Emissions - Annual"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Emissions - Annual&quot;"/>
  </connection>
  <connection id="11" odcFile="\\intra.ttu.ee\home\Hardi.Koduvere\Documents\My Data Sources\main Endo_gen_cap_MW.odc" name="main Endo_gen_cap_MW" type="1" refreshedVersion="6">
    <dbPr connection="DSN=SQLite3 Datasource;Database=C:\Doc\Balmorel\flex4res_balmodel\Flex4Res_data\output\BASE-results.db;StepAPI=0;SyncPragma=NORMAL;NoTXN=0;Timeout=100000;ShortNames=0;LongNames=0;NoCreat=0;NoWCHAR=0;FKSupport=0;JournalMode=;OEMCP=0;LoadExt=;BigInt=0;JDConv=0;" command="SELECT * FROM &quot;main&quot;.&quot;Endo_gen_cap_MW&quot;"/>
  </connection>
  <connection id="12" odcFile="C:\Doc\Balmorel\flex4res_balmodel\Flex4Res_data\output\BASE-results.db" name="main Fuel Consumption - Annual"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Fuel Consumption - Annual&quot;"/>
  </connection>
  <connection id="13" odcFile="C:\Doc\Balmorel\flex4res_balmodel\Flex4Res_data\output\BASE-results.db" name="main Fuel Consumption - Term"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Fuel Consumption - Term&quot;"/>
  </connection>
  <connection id="14" odcFile="C:\Doc\Balmorel\flex4res_balmodel\Flex4Res_data\output\BASE-results.db" name="main Heat Generation - Annual"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Heat Generation - Annual&quot;"/>
  </connection>
  <connection id="15" odcFile="C:\Doc\Balmorel\flex4res_balmodel\Flex4Res_data\output\BASE-results.db" name="main Heat Generation - Term"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Heat Generation - Term&quot;"/>
  </connection>
  <connection id="16" odcFile="\\intra.ttu.ee\home\Hardi.Koduvere\Documents\My Data Sources\main Heat generation capacity Total.odc" name="main Heat generation capacity Total" type="1" refreshedVersion="6">
    <dbPr connection="DSN=SQLite3 Datasource;Database=C:\Doc\Balmorel\flex4res_balmodel\Flex4Res_data\output\BASE-results.db;StepAPI=0;SyncPragma=NORMAL;NoTXN=0;Timeout=100000;ShortNames=0;LongNames=0;NoCreat=0;NoWCHAR=0;FKSupport=0;JournalMode=;OEMCP=0;LoadExt=;BigInt=0;JDConv=0;" command="SELECT * FROM &quot;main&quot;.&quot;Heat generation capacity Total&quot;"/>
  </connection>
  <connection id="17" odcFile="C:\Doc\Balmorel\flex4res_balmodel\Flex4Res_data\output\BASE-results.db" name="main Heat price - Marginal"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Heat price - Marginal&quot;"/>
  </connection>
  <connection id="18" odcFile="C:\Doc\Balmorel\flex4res_balmodel\Flex4Res_data\output\BASE-results.db" name="main Heat Storage volume"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Heat Storage volume&quot;"/>
  </connection>
  <connection id="19" odcFile="\\intra.ttu.ee\home\Hardi.Koduvere\Documents\My Data Sources\main Transmission capacity.odc" name="main Transmission capacity" type="1" refreshedVersion="6">
    <dbPr connection="DSN=SQLite3 Datasource;Database=C:\Doc\Balmorel\flex4res_balmodel\Flex4Res_data\output\BASE-results.db;StepAPI=0;SyncPragma=NORMAL;NoTXN=0;Timeout=100000;ShortNames=0;LongNames=0;NoCreat=0;NoWCHAR=0;FKSupport=0;JournalMode=;OEMCP=0;LoadExt=;BigInt=0;JDConv=0;" command="SELECT * FROM &quot;main&quot;.&quot;Transmission capacity&quot;"/>
  </connection>
  <connection id="20" odcFile="C:\Doc\Balmorel\flex4res_balmodel\Flex4Res_data\output\BASE-results.db" name="main Weekly Hydro Storage Volume"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Weekly Hydro Storage Volume&quot;"/>
  </connection>
</connections>
</file>

<file path=xl/sharedStrings.xml><?xml version="1.0" encoding="utf-8"?>
<sst xmlns="http://schemas.openxmlformats.org/spreadsheetml/2006/main" count="1862" uniqueCount="410">
  <si>
    <t>Grand Total</t>
  </si>
  <si>
    <t xml:space="preserve">Create </t>
  </si>
  <si>
    <t>Drop</t>
  </si>
  <si>
    <t>Populate</t>
  </si>
  <si>
    <t>El_Gen</t>
  </si>
  <si>
    <t>Electricity generation - annual</t>
  </si>
  <si>
    <t>DENMARK</t>
  </si>
  <si>
    <t>NORWAY</t>
  </si>
  <si>
    <t>SWEDEN</t>
  </si>
  <si>
    <t>SUN</t>
  </si>
  <si>
    <t>WATER</t>
  </si>
  <si>
    <t>Country</t>
  </si>
  <si>
    <t>Fuel</t>
  </si>
  <si>
    <t>Sum of TWh</t>
  </si>
  <si>
    <t>Sum of MW</t>
  </si>
  <si>
    <t>Season</t>
  </si>
  <si>
    <t>ESTONIA</t>
  </si>
  <si>
    <t>FINLAND</t>
  </si>
  <si>
    <t>GERMANY</t>
  </si>
  <si>
    <t>LATVIA</t>
  </si>
  <si>
    <t>LITHUANIA</t>
  </si>
  <si>
    <t>POLAND</t>
  </si>
  <si>
    <t>Electricity_Price</t>
  </si>
  <si>
    <t>DROP TABLE if exists `El_Gen`;</t>
  </si>
  <si>
    <t>DROP TABLE if exists `Electricity generation - Annual`;</t>
  </si>
  <si>
    <t>DROP TABLE if exists `Electricity_price`;</t>
  </si>
  <si>
    <t>CREATE TABLE `El_Gen` (`Case1` TEXT,    `Y1`    TEXT,    `Y2`    TEXT,    `Area`  TEXT,    `Technology`    TEXT, `Season` TEXT, `Term` TEXT,    `Generation_MW`    REAL);</t>
  </si>
  <si>
    <t>INSERT INTO EL_Gen(Case1, Y1, Y2, Area, Technology, Season, Term, Generation_MW) SELECT  VGE_T, VGE_T2, VGE_T3, VGE_T4, VGE_T5, VGE_T6, VGE_T7, level FROM VGE_T WHERE level &gt;0;</t>
  </si>
  <si>
    <t>DROP TABLE if exists `Electricity generation - Term`;</t>
  </si>
  <si>
    <t>Heat_Gen</t>
  </si>
  <si>
    <t>DROP TABLE if exists `Heat_Gen`;</t>
  </si>
  <si>
    <t>INSERT INTO Heat_Gen(Case1, Y1, Y2, Area, Technology, Season, Term, Generation_MW) SELECT  VGH_T, VGH_T2, VGH_T3, VGH_T4, VGH_T5, VGH_T6, VGH_T7, level FROM VGH_T WHERE level &gt;0;</t>
  </si>
  <si>
    <t>CREATE TABLE `Heat_Gen` (`Case1` TEXT,    `Y1`    TEXT,    `Y2`    TEXT,    `Area`  TEXT,    `Technology`    TEXT, `Season` TEXT, `Term` TEXT,    `Generation_MW`    REAL);</t>
  </si>
  <si>
    <t>Heat Generation - Term</t>
  </si>
  <si>
    <t>Heat Generation - Annual</t>
  </si>
  <si>
    <t>DROP TABLE if exists `Heat Generation - Term`;</t>
  </si>
  <si>
    <t>Electricity generation - Term</t>
  </si>
  <si>
    <t>DROP TABLE if exists `Heat Generation - Annual`;</t>
  </si>
  <si>
    <t>Column Labels</t>
  </si>
  <si>
    <t>Row Labels</t>
  </si>
  <si>
    <t>T001</t>
  </si>
  <si>
    <t>T002</t>
  </si>
  <si>
    <t>T003</t>
  </si>
  <si>
    <t>T004</t>
  </si>
  <si>
    <t>T005</t>
  </si>
  <si>
    <t>T006</t>
  </si>
  <si>
    <t>Fuel_Con</t>
  </si>
  <si>
    <t>DROP TABLE if exists `Fuel_Con`;</t>
  </si>
  <si>
    <t>Fuel Consumption - Term</t>
  </si>
  <si>
    <t>Fuel Consumption - Annual</t>
  </si>
  <si>
    <t>DROP TABLE if exists `Fuel Consumption - Term`;</t>
  </si>
  <si>
    <t>DROP TABLE if exists `Fuel Consumption - Annual`;</t>
  </si>
  <si>
    <t>DROP TABLE if exists `Emissions - Term`;</t>
  </si>
  <si>
    <t>Emissions - Term</t>
  </si>
  <si>
    <t>Emissions - Annual</t>
  </si>
  <si>
    <t>DROP TABLE if exists `Emissions - Annual`;</t>
  </si>
  <si>
    <t>CREATE TABLE `El_Gen` (`Case1` TEXT,    `Y1`    TEXT,     `Area`  TEXT,    `Technology`    TEXT, `Season` TEXT, `Term` TEXT,    `Generation_MW`    REAL);</t>
  </si>
  <si>
    <t>CREATE TABLE `Heat_Gen` (`Case1` TEXT,    `Y1`    TEXT,     `Area`  TEXT,    `Technology`    TEXT, `Season` TEXT, `Term` TEXT,    `Generation_MW`    REAL);</t>
  </si>
  <si>
    <t>CREATE TABLE `Heat Generation - Term` (`Case` TEXT,    `Year1`    TEXT,  `Country` TEXT, `Region` TEXT,   `Area`  TEXT, `Fuel` TEXT,   `Technology`    TEXT, `Season` TEXT, `Term` TEXT,    `MW`    REAL, `MWh`REAL, `GJ` REAL);</t>
  </si>
  <si>
    <t>INSERT INTO `Heat generation - Term`(`Case`, Year1,  Country, Region, Area, Fuel, Technology, Season, Term, MW, MWh, GJ) SELECT [Heat_Gen].Case1 AS [Case], [Heat_Gen].Y1 AS [Year1], ICA.ICA3 AS Country, RRRAAA.RRRAAA3 AS Region, [Heat_Gen].Area AS Area, IGF.IGF4 AS Fuel, [Heat_Gen].Technology AS Technology, [Heat_Gen].Season AS Season, [Heat_Gen].Term AS Term, Sum([Heat_Gen].Generation_MW) AS MW, Sum([Heat_Gen].[Generation_MW]*[IHOURSINST].[value]) AS MWh, Sum([Heat_Gen].[Generation_MW]*[IHOURSINST].[value])*3.6 AS GJ FROM IHOURSINST INNER JOIN (((RRRAAA INNER JOIN [Heat_Gen] ON (RRRAAA.RRRAAA = [Heat_Gen].Case1) AND (RRRAAA.RRRAAA4 = [Heat_Gen].Area)) INNER JOIN ICA ON (ICA.ICA4 = [Heat_Gen].AREA) AND ([Heat_Gen].Case1 = ICA.ICA)) INNER JOIN IGF ON (IGF.IGF3 = [Heat_Gen].Technology) AND ([Heat_Gen].Case1 = IGF.IGF)) ON (IHOURSINST.IHOURSINST4 = [Heat_Gen].Term) AND (IHOURSINST.IHOURSINST3 = [Heat_Gen].Season) AND (IHOURSINST.IHOURSINST = [Heat_Gen].Case1) GROUP BY [Heat_Gen].Case1, [Heat_Gen].Y1, ICA.ICA3, RRRAAA.RRRAAA3, [Heat_Gen].Area, IGF.IGF4, [Heat_Gen].Technology, [Heat_Gen].Season, [Heat_Gen].Term, [Heat_Gen].Generation_MW;</t>
  </si>
  <si>
    <t>CREATE TABLE `Heat Generation - Annual` (`Case` TEXT,    `Year1`    TEXT,   `Country` TEXT, `Region` TEXT,   `Area`  TEXT, `Fuel` TEXT,   `Technology`    TEXT,  `TWh`REAL, `PJ` REAL);</t>
  </si>
  <si>
    <t>CREATE TABLE `Fuel_Con`(`Case1` TEXT, `Year1`TEXT,  `Area` TEXT, `Technology` TEXT, `Season` TEXT, `Term` TEXT, `MW`  REAL);</t>
  </si>
  <si>
    <t>CREATE TABLE `Fuel Consumption - Term` (`Case` TEXT,    `Year1`    TEXT,  `Country` TEXT, `Region` TEXT,   `Area`  TEXT, `Fuel` TEXT,   `Technology`    TEXT, `Season` TEXT, `Term` TEXT,    `MJ/s`    REAL, `MWh`REAL, `GJ` REAL);</t>
  </si>
  <si>
    <t>INSERT INTO `Fuel Consumption - Term`(`Case`, Year1, Country, Region, Area, Fuel, Technology, Season, Term,`MJ/s`, MWh, GJ) SELECT Fuel_Con.Case1 AS `Case`, Fuel_Con.Year1 AS Year1,  ICA.ICA3 AS Country, RRRAAA.RRRAAA3 AS Region, Fuel_Con.Area AS Area, IGF.IGF4 AS `Fuel`, Fuel_Con.Technology AS Technology, Fuel_Con.Season AS Season, Fuel_Con.Term AS Term, Sum([Fuel_Con].MW) AS `MJ/s`, Sum([Fuel_Con].[MW]*[IHOURSINST].[value]) AS MWh, Sum([Fuel_Con].[MW]*[IHOURSINST].[value])*3.6 AS GJ 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[Fuel_Con].Case1)GROUP BY [Fuel_Con].Case1, [Fuel_Con].Year1, ICA.ICA3, RRRAAA.RRRAAA3, [Fuel_Con].Area, IGF.IGF4, [Fuel_Con].Technology, [Fuel_Con].Season, [Fuel_Con].Term;</t>
  </si>
  <si>
    <t>CREATE TABLE `Fuel Consumption - Annual` (`Case` TEXT,    `Year1`    TEXT,    `Country` TEXT, `Region` TEXT,   `Area`  TEXT, `Fuel` TEXT,   `Technology`    TEXT,  `TWh`REAL, `PJ` REAL);</t>
  </si>
  <si>
    <t>INSERT INTO `Fuel Consumption - Annual`(`Case`, Year1, Country, Region, Area, Fuel, Technology, TWh, PJ)  SELECT [Fuel Consumption - Term].`Case`, [Fuel Consumption - Term].Year1,[Fuel Consumption - Term].Country, [Fuel Consumption - Term].Region, [Fuel Consumption - Term].Area, [Fuel Consumption - Term].Fuel, [Fuel Consumption - Term].Technology, Sum([MWh]/1000000) AS TWh, Sum([GJ]/1000000) AS PJ FROM [Fuel Consumption - Term] GROUP BY [Fuel Consumption - Term].`Case`, [Fuel Consumption - Term].Year1, [Fuel Consumption - Term].Country, [Fuel Consumption - Term].Region, [Fuel Consumption - Term].Area, [Fuel Consumption - Term].Fuel, [Fuel Consumption - Term].Technology;</t>
  </si>
  <si>
    <t>CREATE TABLE `Emissions - Term`(`Case` TEXT, `Year1`TEXT, `Country` TEXT, `Region` TEXT, `Area` TEXT,`Fuel` TEXT, `Technology` TEXT, `Season` TEXT, `Term` TEXT, `CO2 t/h`  REAL,`CO2 tons`  REAL, `SO2 t/h`  REAL,`SO2 tons`  REAL, `N2O t/h`  REAL,`N2O tons`  REAL);</t>
  </si>
  <si>
    <t>INSERT INTO `Emissions - Term`(`Case`,Year1,Country,Region,Area,`Fuel`,Technology,Season, `Term`, `CO2 t/h`,`CO2 tons`, `SO2 t/h`,`SO2 tons`, `N2O t/h`,`N2O tons`) SELECT Fuel_con.Case1 AS `Case`, Fuel_con.Year1 AS Year1, ICA.ICA3 AS Country, RRRAAA.RRRAAA3 AS Region, Fuel_con.Area AS Area, IGF.IGF4 AS Fuel, Fuel_con.Technology AS Technology, Fuel_con.Season AS Season, Fuel_con.Term AS Term, Sum([Fuel_con].[MW]*[IM_CO2].[value])*3.6/1000 AS `CO2 t/h`, Sum([Fuel_con].[MW]*[IHOURSINST].[value]*[IM_CO2].[value])*3.6/1000 AS `CO2 tons`,Sum([Fuel_con].[MW]*[IM_SO2].[value])*3.6/1000 AS `SO2 t/h`, Sum([Fuel_con].[MW]*[IHOURSINST].[value]*[IM_SO2].[value])*3.6/1000 AS `SO2 tons`,Sum([Fuel_con].[MW]*[IM_N2O].[value])*3.6/1000 AS `N2O t/h`, Sum([Fuel_con].[MW]*[IHOURSINST].[value]*[IM_N2O].[value])*3.6/1000 AS `N2O tons`FROM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 INNER JOIN IM_SO2 ON (IM_SO2.IM_SO23 = [Fuel_con].Technology) AND ([Fuel_con].Case1 = IM_SO2.IM_SO2) INNER JOIN IM_CO2 ON (IM_CO2.IM_CO23 = [Fuel_con].Technology) AND ([Fuel_con].Case1 = IM_CO2.IM_CO2) INNER JOIN IM_N2O ON (IM_N2O.IM_N2O3 = [Fuel_con].Technology) AND ([Fuel_con].Case1 = IM_N2O.IM_N2O)GROUP BY [Fuel_con].Case1, [Fuel_con].Year1, ICA.ICA3, RRRAAA.RRRAAA3, [Fuel_con].Area, IGF.IGF4, [Fuel_con].Technology, [Fuel_con].Season, [Fuel_con].Term;</t>
  </si>
  <si>
    <t>CREATE TABLE `Emissions - Annual`(`Case` TEXT, `Year1`TEXT,`Country` TEXT, `Region` TEXT, `Area` TEXT,`Fuel` TEXT, `Technology` TEXT,`CO2 kilotons`  REAL,`CO2 megatons`  REAL, `SO2 kilotons`  REAL,`SO2 megatons`  REAL, `N2O kilotons`  REAL,`N2O megatons`  REAL);</t>
  </si>
  <si>
    <t>INSERT INTO `Emissions - Annual`(`Case`,Year1,Country,Region, Area,Fuel,Technology,`CO2 kilotons`,`CO2 megatons`, `SO2 kilotons`,`SO2 megatons`, `N2O kilotons`,`N2O megatons`) SELECT [Emissions - Term].`Case`, [Emissions - Term].Year1, [Emissions - Term].Country, [Emissions - Term].Region, [Emissions - Term].Area, [Emissions - Term].Fuel, [Emissions - Term].Technology, Sum([CO2 Tons]/1000) AS `CO2 kilotons`, Sum([CO2 Tons]/1000000) AS `CO2 megatons`, Sum([SO2 Tons]/1000) AS `SO2 kilotons`, Sum([SO2 Tons]/1000000) AS `SO2 megatons`, Sum([N2O Tons]/1000) AS `N2O kilotons`, Sum([N2O Tons]/1000000) AS `N2O megatons` FROM [Emissions - Term] GROUP BY [Emissions - Term].`Case`, [Emissions - Term].Year1,  [Emissions - Term].Country, [Emissions - Term].Region, [Emissions - Term].Area, [Emissions - Term].Fuel, [Emissions - Term].Technology;</t>
  </si>
  <si>
    <t>INSERT INTO `Heat Generation - Annual`(`Case`, Year1, Country, Region, Area, Fuel, Technology, TWh, PJ)  SELECT [Heat Generation - Term].`Case`, [Heat Generation - Term].Year1,[Heat Generation - Term].Country, [Heat Generation - Term].Region, [Heat Generation - Term].Area, [Heat Generation - Term].Fuel, [Heat Generation - Term].Technology, Sum([MWh]/1000000) AS TWh, Sum([GJ]/1000000) AS PJ FROM [Heat Generation - Term] GROUP BY [Heat Generation - Term].`Case`, [Heat Generation - Term].Year1, [Heat Generation - Term].Country, [Heat Generation - Term].Region, [Heat Generation - Term].Area, [Heat Generation - Term].Fuel, [Heat Generation - Term].Technology;</t>
  </si>
  <si>
    <t>Region</t>
  </si>
  <si>
    <t>Term</t>
  </si>
  <si>
    <t>Heat storage volume</t>
  </si>
  <si>
    <t>DROP TABLE if exists `Heat Storage volume`;</t>
  </si>
  <si>
    <t>Weekly Hydro Storage Volume</t>
  </si>
  <si>
    <t>DROP TABLE if exists `Weekly Hydro Storage Volume`;</t>
  </si>
  <si>
    <t>CREATE TABLE `Heat Storage volume`(`Case` TEXT, `Year`TEXT,`Country` TEXT, `Region` TEXT, `Area` TEXT,`Season` TEXT, `Term` TEXT, `MWh` REAL, `GJ` REAL);</t>
  </si>
  <si>
    <t>INSERT INTO `Heat Storage volume`(`Case`, Year,  Country,Region,Area,Season,Term,MWh,GJ) SELECT VHSTOVOLT.VHSTOVOLT AS `Case`, VHSTOVOLT.VHSTOVOLT2 AS Year,  ICA.ICA3 AS Country, RRRAAA.RRRAAA3 AS Region, VHSTOVOLT.VHSTOVOLT3 AS Area, VHSTOVOLT.VHSTOVOLT4 AS Season, VHSTOVOLT.VHSTOVOLT5 AS Term, Sum(VHSTOVOLT.level) AS MWh, Sum(VHSTOVOLT.level)*3.6 AS GJ FROM ICA INNER JOIN (RRRAAA INNER JOIN VHSTOVOLT ON (RRRAAA.RRRAAA4 = VHSTOVOLT.VHSTOVOLT3) AND (RRRAAA.RRRAAA = VHSTOVOLT.VHSTOVOLT)) ON (ICA.ICA4 = VHSTOVOLT.VHSTOVOLT3) AND (ICA.ICA = VHSTOVOLT.VHSTOVOLT)GROUP BY VHSTOVOLT.VHSTOVOLT, VHSTOVOLT.VHSTOVOLT2, VHSTOVOLT.VHSTOVOLT3, ICA.ICA3, RRRAAA.RRRAAA3, VHSTOVOLT.VHSTOVOLT4, VHSTOVOLT.VHSTOVOLT5;</t>
  </si>
  <si>
    <t>CREATE TABLE `Weekly Hydro Storage Volume`(`Case` TEXT, `Year`TEXT, `Country` TEXT, `Region` TEXT, `Area` TEXT,`Week` TEXT, `MWh` REAL);</t>
  </si>
  <si>
    <t>INSERT INTO `Weekly Hydro Storage Volume`(`Case`,Year,Country, Region,Area,Week,MWh) SELECT VHYRS_S.VHYRS_S AS [Case], VHYRS_S.VHYRS_S2 AS [Year], ICA.ICA3 AS Country, RRRAAA.RRRAAA3 AS Region, VHYRS_S.VHYRS_S3 AS Area, VHYRS_S.VHYRS_S4 AS Week, VHYRS_S.level AS MWh FROM (VHYRS_S INNER JOIN ICA ON VHYRS_S.VHYRS_S3 = ICA.ICA4) INNER JOIN RRRAAA ON VHYRS_S.VHYRS_S3 = RRRAAA.RRRAAA4;</t>
  </si>
  <si>
    <t>DROP TABLE if exists `Electricity Demand - Term`;</t>
  </si>
  <si>
    <t>Heat Demand - Term</t>
  </si>
  <si>
    <t>Electricity Demand - Term</t>
  </si>
  <si>
    <t>DROP TABLE if exists `Heat Demand - Term`;</t>
  </si>
  <si>
    <t>Electricity Demand - Annual</t>
  </si>
  <si>
    <t>Heat Demand - Annual</t>
  </si>
  <si>
    <t>DROP TABLE if exists `Heat Demand - Annual`;</t>
  </si>
  <si>
    <t>DROP TABLE if exists `Electricity Demand - Annual`;</t>
  </si>
  <si>
    <t>Heat Price - Marginal</t>
  </si>
  <si>
    <t>DROP TABLE if exists`Heat Price - Marginal`;</t>
  </si>
  <si>
    <t>Sum of MWh</t>
  </si>
  <si>
    <t>Sum of SO2 kilotons</t>
  </si>
  <si>
    <t>Sum of N2O kilotons</t>
  </si>
  <si>
    <t>Average of OMONEY/MWh</t>
  </si>
  <si>
    <t>CREATE TABLE `Electricity_price`(`Case`TEXT, `Year1` TEXT,  `Country` TEXT, `Region` TEXT, `Season` TEXT, `Term` TEXT, `OMONEY/MWh` REAL);</t>
  </si>
  <si>
    <t>INSERT INTO `Electricity_price`(`Case`,`Year1`,`Country`,`Region`,`Season`,`Term`,`OMONEY/MWh`) SELECT QEEQ.QEEQ AS [`Case`], QEEQ.QEEQ2 AS [Year1], CCCRRR.CCCRRR3 AS Country, QEEQ.QEEQ3 AS Region, QEEQ.QEEQ4 AS Season, QEEQ.QEEQ5 AS Term, Avg([QEEQ].[marginal]/[IHOURSINST].[value]*[OMONEY].[value]) AS [OMONEY/MWh] FROM CCCRRR INNER JOIN (OMONEY INNER JOIN (QEEQ INNER JOIN IHOURSINST ON (QEEQ.QEEQ5 = IHOURSINST.IHOURSINST4) AND (QEEQ.QEEQ = IHOURSINST.IHOURSINST) AND (QEEQ.QEEQ4 = IHOURSINST.IHOURSINST3)) ON OMONEY.OMONEY = QEEQ.QEEQ) ON (CCCRRR.CCCRRR4 = QEEQ.QEEQ3) AND (CCCRRR.CCCRRR = QEEQ.QEEQ) GROUP BY QEEQ.QEEQ, QEEQ.QEEQ2, CCCRRR.CCCRRR3, QEEQ.QEEQ3, QEEQ.QEEQ4, QEEQ.QEEQ5;</t>
  </si>
  <si>
    <t>El Transmission between regions net -Term</t>
  </si>
  <si>
    <t>El Transmission between Countries</t>
  </si>
  <si>
    <t>DROP TABLE if exists `El Transmission between Countries`;</t>
  </si>
  <si>
    <t>DROP TABLE if exists `El Transmission between regions net - Term`;</t>
  </si>
  <si>
    <t>CREATE TABLE `El Transmission between regions net - Term`(`Case` TEXT, Year TEXT, Source TEXT, Destination TEXT, Season TEXT, Term TEXT, GW REAL);</t>
  </si>
  <si>
    <t>INSERT INTO `El Transmission between regions net - Term`(`Case` , Year, Source, Destination, Season, Term, GW) SELECT VX_T.VX_T AS [Case], VX_T.VX_T2 AS [Year], VX_T.VX_T3 AS Source,  VX_T.VX_T4 AS Destination, VX_T.VX_T5 AS Season, VX_T.VX_T6 AS [Time], Sum(VX_T.level-VX_T_1.level)/1000 AS GW FROM VX_T INNER JOIN VX_T AS VX_T_1 ON (VX_T.VX_T6 = VX_T_1.VX_T6) AND (VX_T.VX_T5 = VX_T_1.VX_T5) AND (VX_T.VX_T4 = VX_T_1.VX_T3) AND (VX_T.VX_T3 = VX_T_1.VX_T4) AND (VX_T.VX_T2 = VX_T_1.VX_T2) AND (VX_T.VX_T = VX_T_1.VX_T) GROUP BY VX_T.VX_T, VX_T.VX_T2, VX_T.VX_T3,  VX_T.VX_T4, VX_T.VX_T5, VX_T.VX_T6;</t>
  </si>
  <si>
    <t>CREATE TABLE `El Transmission between Countries`(`Case` TEXT, Year TEXT,Country1 TEXT, Region1 TEXT,Country2 TEXT,Region2 TEXT,GWh REAL);</t>
  </si>
  <si>
    <t>CREATE TABLE `Electricity generation - Term` (`Case` TEXT,`Year`TEXT,  `Country` TEXT, `Region` TEXT,   `Area`  TEXT, `Fuel` TEXT,`Technology Type` TEXT,`Technology` TEXT, `Season` TEXT, `Term` TEXT,    `MW`    REAL, `MWh`REAL, `GJ` REAL);</t>
  </si>
  <si>
    <t>CREATE TABLE `Electricity generation - Annual` (`Case` TEXT,    `Year`    TEXT,   `Country` TEXT, `Region` TEXT,   `Area`  TEXT, `Fuel` TEXT,  `Technology Type` TEXT, `Technology`    TEXT,  `TWh`REAL, `PJ` REAL);</t>
  </si>
  <si>
    <t>INSERT INTO `Electricity generation - Term`(`Case`, Year,  Country, Region, Area, Fuel, `Technology Type`, Technology, Season, Term, MW, MWh, GJ)  SELECT [El_Gen].Case1 AS [Case], [El_Gen].Y1 AS [Year],  ICA.ICA3 AS Country, RRRAAA.RRRAAA3 AS Region, [El_Gen].Area AS Area, IGF.IGF4 AS Fuel, GDATA.value AS [Technology Type`], [El_Gen].Technology AS Technology, [El_Gen].Season AS Season, [El_Gen].Term AS Term, Sum([El_Gen].Generation_MW) AS MW, Sum([El_Gen].[Generation_MW]*[IHOURSINST].[value]) AS MWh, Sum([El_Gen].[Generation_MW]*[IHOURSINST].[value])*3.6 AS GJ  FROM IHOURSINST INNER JOIN (((RRRAAA INNER JOIN [El_Gen] ON (RRRAAA.RRRAAA = [El_Gen].Case1) AND (RRRAAA.RRRAAA4 = [El_Gen].Area)) INNER JOIN ICA ON (ICA.ICA4 = [El_Gen].AREA) AND ([El_Gen].Case1 = ICA.ICA)) INNER JOIN IGF ON (IGF.IGF3 = [El_Gen].Technology) AND ([El_Gen].Case1 = IGF.IGF)) ON (IHOURSINST.IHOURSINST4 = [El_Gen].Term) AND (IHOURSINST.IHOURSINST3 = [El_Gen].Season) AND (IHOURSINST.IHOURSINST = [El_Gen].Case1) INNER JOIN GDATA ON  (GDATA.GDATA = [El_Gen].Case1) AND (GDATA.GDATA3 = [El_Gen].Technology) AND (GDATA.GDATA4 = "GDTYPE")  GROUP BY [El_Gen].Case1, [El_Gen].Y1, ICA.ICA3, RRRAAA.RRRAAA3, [El_Gen].Area, IGF.IGF4, [El_Gen].Technology, [El_Gen].Season, [El_Gen].Term, [El_Gen].Generation_MW;</t>
  </si>
  <si>
    <t>INSERT INTO `Electricity generation - annual`(`Case`, Year,  Country, Region, Area, Fuel,`Technology Type`, Technology, TWh, PJ)  SELECT [Electricity generation - Term].`Case`, [Electricity generation - Term].Year,[Electricity generation - Term].Country, [Electricity generation - Term].Region, [Electricity generation - Term].Area, [Electricity generation - Term].Fuel,  [Electricity generation - Term].[Technology Type], [Electricity generation - Term].Technology, Sum([MWh]/1000000) AS TWh, Sum([GJ]/1000000) AS PJ FROM [Electricity generation - Term] GROUP BY [Electricity generation - Term].`Case`, [Electricity generation - Term].Year,[Electricity generation - Term].Country, [Electricity generation - Term].Region, [Electricity generation - Term].Area, [Electricity generation - Term].Fuel, [Electricity generation - Term].[Technology Type],[Electricity generation - Term].Technology;</t>
  </si>
  <si>
    <t>Electricity generarion</t>
  </si>
  <si>
    <t>Heat generation</t>
  </si>
  <si>
    <t>Electricity price</t>
  </si>
  <si>
    <t>Marginal heat value</t>
  </si>
  <si>
    <t>Endogenous &amp; Exogenous generation capacity</t>
  </si>
  <si>
    <t>Fuel consumption &amp; Emissons</t>
  </si>
  <si>
    <t>Electricity &amp; Heat demand</t>
  </si>
  <si>
    <t>Storages</t>
  </si>
  <si>
    <t>Transmission</t>
  </si>
  <si>
    <t>BB4 Model</t>
  </si>
  <si>
    <t>INSERT INTO `El Transmission between Countries`(`Case`,Year,Country1,Region1,Country2,Region2,GWh) SELECT VX_T.VX_T AS [`Case`], VX_T.VX_T2 AS [Year], CCCRRR.CCCRRR3 AS Country1, VX_T.VX_T3 AS Region1, CCCRRR_1.CCCRRR3 AS Country2, VX_T.VX_T4 AS Region2, Sum(VX_T.level*IHOURSINST.value)/1000 AS GWh  FROM CCCRRR INNER JOIN (CCCRRR AS CCCRRR_1  INNER JOIN (VX_T  INNER JOIN IHOURSINST ON (VX_T.VX_T6 = IHOURSINST.IHOURSINST4) AND (VX_T.VX_T5 = IHOURSINST.IHOURSINST3) AND (VX_T.VX_T = IHOURSINST.IHOURSINST)) ON (CCCRRR_1.CCCRRR4 = VX_T.VX_T4) AND (CCCRRR_1.CCCRRR = VX_T.VX_T)) ON (CCCRRR.CCCRRR4 = VX_T.VX_T3) AND (CCCRRR.CCCRRR = VX_T.VX_T)  GROUP BY VX_T.VX_T, VX_T.VX_T2, CCCRRR.CCCRRR3, VX_T.VX_T3, CCCRRR_1.CCCRRR3, VX_T.VX_T4;</t>
  </si>
  <si>
    <t>Sum of GW</t>
  </si>
  <si>
    <t>Source</t>
  </si>
  <si>
    <t>Sum of GWh</t>
  </si>
  <si>
    <t>BIOGAS</t>
  </si>
  <si>
    <t>WOOD</t>
  </si>
  <si>
    <t>Destination</t>
  </si>
  <si>
    <t>CREATE TABLE `Heat price - Marginal`(`Case` TEXT, Year TEXT,  Country TEXT,Region TEXT, Area TEXT, Season TEXT, Term TEXT, `OMONEY/GJ` REAL,`OMONEY/MWh` REAL);</t>
  </si>
  <si>
    <t>Sum of OMONEY/MWh</t>
  </si>
  <si>
    <t>Area</t>
  </si>
  <si>
    <t>INSERT INTO `Heat price - Marginal`(`Case`,Year,Country,Region,Area,Season,Term,`OMONEY/GJ`,`OMONEY/MWh`) SELECT QHEQ.QHEQ AS [`Case`], QHEQ.QHEQ2 AS [Year],ICA.ICA3 AS Country, RRRAAA.RRRAAA3 AS Region,QHEQ.QHEQ3 AS Area, QHEQ.QHEQ4 AS Season, QHEQ.QHEQ5 AS TERM,  (Avg([QHEQ].[marginal]*[OMONEY].[value]/[IHOURSINST].[value]))/3.6 AS [OMONEY/GJ], (Avg([QHEQ].[marginal]*[OMONEY].[value]/[IHOURSINST].[value])) AS [OMONEY/MWh] FROM ICA INNER JOIN (RRRAAA INNER JOIN (OMONEY INNER JOIN (QHEQ INNER JOIN IHOURSINST ON (QHEQ.QHEQ5 = IHOURSINST.IHOURSINST4) AND (QHEQ.QHEQ = IHOURSINST.IHOURSINST) AND (QHEQ.QHEQ4 = IHOURSINST.IHOURSINST3)) ON (OMONEY.OMONEY = QHEQ.QHEQ)) ON (RRRAAA.RRRAAA4 = QHEQ.QHEQ3) AND (RRRAAA.RRRAAA = QHEQ.QHEQ)) ON (QHEQ.QHEQ3=ICA.ICA4) AND (QHEQ.QHEQ=ICA.ICA) WHERE QHEQ.level &lt;&gt;0  GROUP BY QHEQ.QHEQ, QHEQ.QHEQ2,ICA.ICA3, RRRAAA.RRRAAA3, QHEQ.QHEQ3, QHEQ.QHEQ4, QHEQ.QHEQ5;</t>
  </si>
  <si>
    <t>BB1/BB2/BB3 Model</t>
  </si>
  <si>
    <t>EV</t>
  </si>
  <si>
    <t>[..] - none of add-on queries exist currently</t>
  </si>
  <si>
    <t>DROP TABLE if exists `Electricity transmission`;</t>
  </si>
  <si>
    <t>Electricity transmisson</t>
  </si>
  <si>
    <t>CREATE TABLE `Electricity transmission`(`Case` TEXT, Year TEXT,Source TEXT, Destination TEXT,Season TEXT,Term TEXT,MW REAL,MWh REAL,`Capacity (MW)` REAL, `Marginal value [€/MWh]` REAL, `Congestion rent €` REAL);</t>
  </si>
  <si>
    <t>INSERT INTO `Electricity transmission`(`Case`,Year,Source,Destination,Season,Term,MW,MWh,`Capacity (MW)`, `Marginal value [€/MWh]`, `Congestion rent €`) SELECT VX_T.VX_T AS [Case], VX_T.VX_T2 AS [Year], VX_T.VX_T3 AS Source, VX_T.VX_T4 AS Destination, VX_T.VX_T5 AS Season, VX_T.VX_T6 AS Term, VX_T.level AS MW, [VX_T].[level]*[IHOURSINST].[value] AS MWh, XKINI.value AS [Capacity (MW)],[QXK].[marginal]*[OMONEY].[value] AS [Marginal Value €/MW], [VX_T].[level]*[IHOURSINST].[value]*[QXK].[marginal]*[OMONEY].[value] AS [Congestion rent €] FROM XKINI INNER JOIN (QXK INNER JOIN (OMONEY INNER JOIN (VX_T INNER JOIN IHOURSINST ON (VX_T.VX_T6 = IHOURSINST.IHOURSINST4) AND (VX_T.VX_T5 = IHOURSINST.IHOURSINST3) AND (VX_T.VX_T = IHOURSINST.IHOURSINST)) ON OMONEY.OMONEY = VX_T.VX_T) ON (QXK.QXK5 = VX_T.VX_T5) AND (QXK.QXK4 = VX_T.VX_T4) AND (QXK.QXK2 = VX_T.VX_T2)AND (QXK.QXK3 = VX_T.VX_T3) AND (QXK.QXK6 = VX_T.VX_T6) AND (QXK.QXK = VX_T.VX_T)) ON (XKINI.XKINI5 = VX_T.VX_T4) AND (XKINI.XKINI4 = VX_T.VX_T3) AND (XKINI.XKINI3 = VX_T.VX_T2) AND (XKINI.XKINI = VX_T.VX_T) GROUP BY VX_T.VX_T, VX_T.VX_T2, VX_T.VX_T3, VX_T.VX_T4, VX_T.VX_T5, VX_T.VX_T6,XKINI.value, [QXK].[marginal]*[OMONEY].[value]/[IHOURSINST].[value], [QXK].[marginal]*[OMONEY].[value], [VX_T].[level]*[QXK].[marginal]*[OMONEY].[value]*[IHOURSINST].[value];</t>
  </si>
  <si>
    <t>Electricity transmission</t>
  </si>
  <si>
    <t>SHALE</t>
  </si>
  <si>
    <t>Year1</t>
  </si>
  <si>
    <t>Investments</t>
  </si>
  <si>
    <t>Case</t>
  </si>
  <si>
    <t>T007</t>
  </si>
  <si>
    <t>T008</t>
  </si>
  <si>
    <t>T009</t>
  </si>
  <si>
    <t>T010</t>
  </si>
  <si>
    <t>T011</t>
  </si>
  <si>
    <t>NETHERLANDS</t>
  </si>
  <si>
    <t>EL</t>
  </si>
  <si>
    <t>HE</t>
  </si>
  <si>
    <t>GEN</t>
  </si>
  <si>
    <t>CON</t>
  </si>
  <si>
    <t>STO</t>
  </si>
  <si>
    <t>TRAN</t>
  </si>
  <si>
    <t>DEM</t>
  </si>
  <si>
    <t>CAP</t>
  </si>
  <si>
    <t>Electricity</t>
  </si>
  <si>
    <t>Heat</t>
  </si>
  <si>
    <t>Generation</t>
  </si>
  <si>
    <t>Consumption</t>
  </si>
  <si>
    <t>Storage</t>
  </si>
  <si>
    <t>Demand</t>
  </si>
  <si>
    <t>Capacity</t>
  </si>
  <si>
    <t>Keywords used in this workbook</t>
  </si>
  <si>
    <t>Select countries to extract data for from the connected database</t>
  </si>
  <si>
    <t>Update</t>
  </si>
  <si>
    <t>Note: Please reserve this column for Country filter checkboxes</t>
  </si>
  <si>
    <t>(All)</t>
  </si>
  <si>
    <t>DK1</t>
  </si>
  <si>
    <t>DK2</t>
  </si>
  <si>
    <t>ELECTRIC</t>
  </si>
  <si>
    <t>NUCLEAR</t>
  </si>
  <si>
    <t>STRAW</t>
  </si>
  <si>
    <t>WIND</t>
  </si>
  <si>
    <t>NATGAS</t>
  </si>
  <si>
    <t>WOODCHIPS</t>
  </si>
  <si>
    <t>WOODWASTE</t>
  </si>
  <si>
    <t>MUNIWASTE</t>
  </si>
  <si>
    <t>RECYCLEDWOOD</t>
  </si>
  <si>
    <t>UNITED_KINGDOM</t>
  </si>
  <si>
    <t>T012</t>
  </si>
  <si>
    <t>BASE</t>
  </si>
  <si>
    <t>INSERT INTO Heat_Gen(Case1, Y1,  Area, Technology, Season, Term, Generation_MW) SELECT  VGH_T, VGH_T2, VGH_T3, VGH_T4, VGH_T5, VGH_T6, level FROM VGH_T WHERE level &gt;0 UNION SELECT  VGHN_T, VGHN_T2, VGHN_T3, VGHN_T4, VGHN_T5, VGHN_T6, level FROM VGHN_T WHERE level &gt;0;</t>
  </si>
  <si>
    <t>INSERT INTO EL_Gen(Case1, Y1, Area, Technology, Season, Term, Generation_MW) SELECT  VGE_T, VGE_T2, VGE_T3, VGE_T4, VGE_T5, VGE_T6,  level FROM VGE_T WHERE VGE_T.level &gt;0 UNION SELECT VGEN_T, VGEN_T2, VGEN_T3, VGEN_T4, VGEN_T5, VGEN_T6,  level FROM VGEN_T WHERE VGEN_T.level &gt;0;</t>
  </si>
  <si>
    <t>INSERT INTO Fuel_Con(Case1, Year1, Area, Technology, Season,Term, MW) SELECT  VGF_T, VGF_T2, VGF_T3, VGF_T4, VGF_T5, VGF_T6, level FROM VGF_T WHERE level &gt;0 UNION SELECT VGFN_T, VGFN_T2, VGFN_T3, VGFN_T4, VGFN_T5, VGFN_T6,  level FROM VGFN_T WHERE VGFN_T.level &gt;0;</t>
  </si>
  <si>
    <t>Case1</t>
  </si>
  <si>
    <t>Year2</t>
  </si>
  <si>
    <t>2016</t>
  </si>
  <si>
    <t>Technology</t>
  </si>
  <si>
    <t>CREATE TABLE `Electricity Demand - Term`(`Case` TEXT, Year TEXT, Country TEXT, Region TEXT, UserGroup TEXT, Season TEXT, Term TEXT, MW REAL, MWh REAL);</t>
  </si>
  <si>
    <t>INSERT INTO `Electricity Demand - Term`(`Case`,Year,Country,Region,UserGroup,Season,Term,MW,MWh)  SELECT DE.DE AS [Case], DE.DE3 AS [Year], CCCRRR.CCCRRR3 AS Country, DE.DE4 AS Region, DE.DE5 AS UserGroup, DE_VAR_T.DE_VAR_T5 AS Season, DE_VAR_T.DE_VAR_T6 AS Timestep, Sum([DE].[value]*[DE_VAR_T].[value]/[IDE_SUMST].[value]) AS MW, Sum([DE].[value]*[DE_VAR_T].[value]/[IDE_SUMST].[value]*[IHOURSINST].[value]) AS MWh  FROM IHOURSINST INNER JOIN (Y INNER JOIN ((DE_VAR_T INNER JOIN (DE INNER JOIN CCCRRR ON (DE.DE = CCCRRR.CCCRRR) AND (DE.DE4 = CCCRRR.CCCRRR4)) ON (DE_VAR_T.DE_VAR_T = DE.DE) AND (DE_VAR_T.DE_VAR_T3 = DE.DE4) AND (DE_VAR_T.DE_VAR_T4 = DE.DE5))  INNER JOIN IDE_SUMST ON (DE.DE = IDE_SUMST.IDE_SUMST) AND (DE.DE5 = IDE_SUMST.IDE_SUMST4) AND  (DE_VAR_T.DE_VAR_T3 = IDE_SUMST.IDE_SUMST3) AND  (DE_VAR_T.DE_VAR_T4 = IDE_SUMST.IDE_SUMST4)) ON (Y.Y = DE.DE) AND (Y.Y3 = DE.DE3)) ON (DE_VAR_T.DE_VAR_T6 = IHOURSINST.IHOURSINST4) AND (DE_VAR_T.DE_VAR_T5 = IHOURSINST.IHOURSINST3) AND (IHOURSINST.IHOURSINST = DE_VAR_T.DE_VAR_T)  GROUP BY DE.DE, DE.DE3, CCCRRR.CCCRRR3, DE.DE4, DE.DE5, DE_VAR_T.DE_VAR_T5, DE_VAR_T.DE_VAR_T6;</t>
  </si>
  <si>
    <t>CREATE TABLE `Electricity Demand - Annual`(`Case` TEXT, Year TEXT, Country TEXT, Region TEXT,UserGroup TEXT, TWh REAL, GWh REAL);</t>
  </si>
  <si>
    <t>INSERT INTO `Electricity Demand - Annual`(`Case` , Year , Country , Region, UserGroup, TWh , GWh) SELECT [Electricity demand - Term].`Case`, [Electricity demand - Term].Year, [Electricity demand - Term].Country, [Electricity demand - Term].Region, [Electricity demand - Term].UserGroup,Sum([MWH])/1000000 AS TWh, Sum([MWH])/1000 AS GWh FROM [Electricity demand - Term] GROUP BY [Electricity demand - Term].`Case`, [Electricity demand - Term].Year, [Electricity demand - Term].Country, [Electricity demand - Term].Region,[Electricity demand - Term].UserGroup;</t>
  </si>
  <si>
    <t>CREATE TABLE `Heat Demand - Term`(`Case` TEXT, Year TEXT, Country TEXT, Region TEXT, Area TEXT,UserGroup TEXT,Season TEXT, Term TEXT, MW REAL, MWh REAL, GJ REAL);</t>
  </si>
  <si>
    <t>INSERT INTO `Heat Demand - Term`(`Case`,Year,Country,Region,Area,UserGroup,Season,Term,MW,MWh,GJ)   SELECT DH.DH AS [Case], DH.DH3 AS [Year], ICA.ICA3 AS Country, RRRAAA.RRRAAA3 AS Region, DH.DH4 AS Area,DH.DH5 AS UserGroup, DH_VAR_T.DH_VAR_T5 AS Season, DH_VAR_T.DH_VAR_T6 AS Term, Sum([DH].[value]*[DH_VAR_T].[value]/[IDH_SUMST].[value]) AS MW, Sum([DH].[value]*[DH_VAR_T].[value]/[IDH_SUMST].[value]*[IHOURSINST].[value]) AS MWh, Sum([DH].[value]*[DH_VAR_T].[value]/[IDH_SUMST].[value]*[IHOURSINST].[value])*3.6 AS GJ  FROM IHOURSINST INNER JOIN ((C INNER JOIN (ICA INNER JOIN (Y INNER JOIN (DH INNER JOIN (IDH_SUMST INNER JOIN DH_VAR_T ON (IDH_SUMST.IDH_SUMST3 = DH_VAR_T.DH_VAR_T3) and (IDH_SUMST.IDH_SUMST4 = DH_VAR_T.DH_VAR_T4)) ON (DH.DH = IDH_SUMST.IDH_SUMST) AND (DH.DH = DH_VAR_T.DH_VAR_T) AND (DH.DH4 = DH_VAR_T.DH_VAR_T3) AND (DH.DH5 = DH_VAR_T.DH_VAR_T4)) ON (Y.Y = DH.DH) AND (Y.Y3 = DH.DH3)) ON (ICA.ICA = DH.DH) AND (ICA.ICA4 = DH.DH4)) ON (C.C = DH.DH) AND (C.C3 = ICA.ICA3))  INNER JOIN RRRAAA ON (DH.DH4 = RRRAAA.RRRAAA4) AND (DH.DH = RRRAAA.RRRAAA)) ON (DH_VAR_T.DH_VAR_T6 = IHOURSINST.IHOURSINST4) AND (DH_VAR_T.DH_VAR_T5 = IHOURSINST.IHOURSINST3) AND (IHOURSINST.IHOURSINST = DH_VAR_T.DH_VAR_T)  GROUP BY DH.DH, DH.DH3, ICA.ICA3, RRRAAA.RRRAAA3, DH.DH4,DH.DH5, DH_VAR_T.DH_VAR_T4, DH_VAR_T.DH_VAR_T;</t>
  </si>
  <si>
    <t>CREATE TABLE `Heat Demand - Annual`(`Case` TEXT, Year TEXT, Country TEXT, Region TEXT, UserGroup TEXT, Area TEXT, TWh REAL, PJ REAL);</t>
  </si>
  <si>
    <t>INSERT INTO `Heat Demand - Annual`(`Case`, Year, Country, Region,UserGroup,Area,TWh,PJ) SELECT [Heat demand - Term].`Case`, [Heat demand - Term].Year, [Heat demand - Term].Country, [Heat demand - Term].Region,[Heat demand - Term].UserGroup, [Heat demand - Term].Area, Sum([MWh]/1000000) AS TWh, Sum([MWh]/1000000)*3.6 AS PJ FROM [Heat demand - Term] GROUP BY [Heat demand - Term].`Case`, [Heat demand - Term].Year, [Heat demand - Term].Country, [Heat demand - Term].Region,[Heat demand - Term].UserGroup, [Heat demand - Term].Area;</t>
  </si>
  <si>
    <t>DE4-E</t>
  </si>
  <si>
    <t>DE4-N</t>
  </si>
  <si>
    <t>SE4</t>
  </si>
  <si>
    <t>T013</t>
  </si>
  <si>
    <t>T014</t>
  </si>
  <si>
    <t>T015</t>
  </si>
  <si>
    <t>T016</t>
  </si>
  <si>
    <t>T017</t>
  </si>
  <si>
    <t>T018</t>
  </si>
  <si>
    <t>T019</t>
  </si>
  <si>
    <t>T020</t>
  </si>
  <si>
    <t>T021</t>
  </si>
  <si>
    <t>T022</t>
  </si>
  <si>
    <t>T023</t>
  </si>
  <si>
    <t>T024</t>
  </si>
  <si>
    <t>WASTEHEAT</t>
  </si>
  <si>
    <t>LPG</t>
  </si>
  <si>
    <t>RETORTGAS</t>
  </si>
  <si>
    <t>HEAT</t>
  </si>
  <si>
    <t>C:\Doc\Balmorel\flex4res_balmodel\Flex4Res_data\output\BASE-results.db</t>
  </si>
  <si>
    <t>BaseYear</t>
  </si>
  <si>
    <t>ModelYear</t>
  </si>
  <si>
    <t>Country1</t>
  </si>
  <si>
    <t>Country2</t>
  </si>
  <si>
    <t>S02</t>
  </si>
  <si>
    <t>NATGAS_EXETS</t>
  </si>
  <si>
    <t>UPDATE [Electricity generation - Term] SET MW = MW *(-1), MWh = MWh *(-1), GJ = GJ *(-1) WHERE [Electricity generation - Term].[Technology Type] = 'Electricity to heat';</t>
  </si>
  <si>
    <t>UPDATE [Electricity generation - Term]  set [Technology Type] = CASE WHEN EXISTS (SELECT * FROM IGCND WHERE ([Electricity generation - Term].[Case] =  IGCND.IGCND) AND ([Electricity generation - Term].[Technology] = IGCND.IGCND3)) THEN  'Condensing'  WHEN EXISTS (SELECT * FROM IGBPR WHERE ([Electricity generation - Term].[Case] = IGBPR.IGBPR) AND ([Electricity generation - Term].[Technology] = IGBPR.IGBPR3)) THEN 'Backpressure'    WHEN  EXISTS (SELECT * FROM IGEXT WHERE ([Electricity generation - Term].[Case] = IGEXT.IGEXT) AND ([Electricity generation - Term].[Technology] = IGEXT.IGEXT3)) THEN 'Extraction' WHEN  EXISTS (SELECT * FROM IGHOB WHERE ([Electricity generation - Term].[Case] = IGHOB.IGHOB) AND ([Electricity generation - Term].[Technology] = IGHOB.IGHOB3)) THEN 'Heat-Only' WHEN  EXISTS (SELECT * FROM IGETOH WHERE ([Electricity generation - Term].[Case] = IGETOH.IGETOH) AND ([Electricity generation - Term].[Technology] = IGETOH.IGETOH3)) THEN 'Electricity to heat' WHEN  EXISTS (SELECT * FROM IGESTO WHERE ([Electricity generation - Term].[Case] = IGESTO.IGESTO) AND ([Electricity generation - Term].[Technology] = IGESTO.IGESTO3)) THEN 'EL storage' WHEN  EXISTS (SELECT * FROM IGESTOS WHERE ([Electricity generation - Term].[Case] = IGESTOS.IGESTOS) AND ([Electricity generation - Term].[Technology] = IGESTOS.IGESTOS3)) THEN 'EL storage S' WHEN  EXISTS (SELECT * FROM IGHSTO WHERE ([Electricity generation - Term].[Case] = IGHSTO.IGHSTO) AND ([Electricity generation - Term].[Technology] = IGHSTO.IGHSTO3)) THEN 'HE storage' WHEN  EXISTS (SELECT * FROM IGHSTOS WHERE ([Electricity generation - Term].[Case] = IGHSTOS.IGHSTOS) AND ([Electricity generation - Term].[Technology] = IGHSTOS.IGHSTOS3)) THEN 'HE storage S' WHEN  EXISTS (SELECT * FROM IGHYRS WHERE ([Electricity generation - Term].[Case] = IGHYRS.IGHYRS) AND ([Electricity generation - Term].[Technology] = IGHYRS.IGHYRS3)) THEN 'Hydro reservoir' WHEN  EXISTS (SELECT * FROM IGHYRR WHERE ([Electricity generation - Term].[Case] = IGHYRR.IGHYRR) AND ([Electricity generation - Term].[Technology] = IGHYRR.IGHYRR3)) THEN 'Hydro ROR' WHEN  EXISTS (SELECT * FROM IGWND WHERE ([Electricity generation - Term].[Case] = IGWND.IGWND) AND ([Electricity generation - Term].[Technology] = IGWND.IGWND3)) THEN 'Wind' WHEN  EXISTS (SELECT * FROM IGSOLE WHERE ([Electricity generation - Term].[Case] = IGSOLE.IGSOLE) AND ([Electricity generation - Term].[Technology] = IGSOLE.IGSOLE3)) THEN 'Solar PV' WHEN  EXISTS (SELECT * FROM IGSOLH WHERE ([Electricity generation - Term].[Case] = IGSOLH.IGSOLH) AND ([Electricity generation - Term].[Technology] = IGSOLH.IGSOLH3)) THEN 'Solar heat' WHEN  EXISTS (SELECT * FROM IGWAVE WHERE ([Electricity generation - Term].[Case] = IGWAVE.IGWAVE) AND ([Electricity generation - Term].[Technology] = IGWAVE.IGWAVE3)) THEN 'Wave' END;</t>
  </si>
  <si>
    <t>Technology Type</t>
  </si>
  <si>
    <t>Solar PV</t>
  </si>
  <si>
    <t>Backpressure</t>
  </si>
  <si>
    <t>Extraction</t>
  </si>
  <si>
    <t>Condensing</t>
  </si>
  <si>
    <t>Hydro ROR</t>
  </si>
  <si>
    <t>Wind</t>
  </si>
  <si>
    <t>EL storage S</t>
  </si>
  <si>
    <t>Electricity to heat</t>
  </si>
  <si>
    <t>Hydro reservoir</t>
  </si>
  <si>
    <t>'DENMARK' , 'NORWAY' , 'GERMANY' , 'SWEDEN' , 'FINLAND' , 'NETHERLANDS' , 'UNITED_KINGDOM' , 'ESTONIA' , 'LATVIA' , 'LITHUANIA' , 'POLAND'</t>
  </si>
  <si>
    <t>Exo_gen_cap_MW</t>
  </si>
  <si>
    <t>DROP TABLE if exists `Exo_gen_cap_MW`;</t>
  </si>
  <si>
    <t>CREATE TABLE `Exo_gen_cap_MW`(`Case` TEXT,`Year` TEXT,`Country` TEXT, `Region` TEXT, `Area` TEXT, `Fuel` TEXT, `Technology Type` TEXT,`Technology` TEXT, `MW` REAL);</t>
  </si>
  <si>
    <t>INSERT INTO `Exo_gen_cap_MW`(`Case` ,Year,Country,Region,Area,Fuel,Technology,MW) SELECT GKFX.GKFX AS [`Case`], GKFX.GKFX3 AS [Year], ICA.ICA3 AS Country, RRRAAA.RRRAAA3 AS Region, GKFX.GKFX4 AS Area, IGF.IGF4 AS Fuel, GKFX.GKFX5 AS Technology, Sum(GKFX.value) AS MW FROM IGF INNER JOIN (RRRAAA INNER JOIN (ICA INNER JOIN (Y INNER JOIN GKFX ON (Y.Y3 = GKFX.GKFX3) AND (Y.Y = GKFX.GKFX)) ON (ICA.ICA4 = GKFX.GKFX4) AND (ICA.ICA = GKFX.GKFX)) ON (RRRAAA.RRRAAA4 = GKFX.GKFX4) AND (RRRAAA.RRRAAA = GKFX.GKFX)) ON (IGF.IGF = GKFX.GKFX) AND (IGF.IGF3 = GKFX.GKFX5) GROUP BY GKFX.GKFX, GKFX.GKFX3, ICA.ICA3, RRRAAA.RRRAAA3, GKFX.GKFX4, IGF.IGF4, GKFX.GKFX5;</t>
  </si>
  <si>
    <t>UPDATE [Exo_gen_cap_MW]  set [Technology Type] = CASE WHEN EXISTS (SELECT * FROM IGCND WHERE ([Exo_gen_cap_MW].[Case] =  IGCND.IGCND) AND ([Exo_gen_cap_MW].[Technology] = IGCND.IGCND3)) THEN  'Condensing'  WHEN EXISTS (SELECT * FROM IGBPR WHERE ([Exo_gen_cap_MW].[Case] = IGBPR.IGBPR) AND ([Exo_gen_cap_MW].[Technology] = IGBPR.IGBPR3)) THEN 'Backpressure'    WHEN  EXISTS (SELECT * FROM IGEXT WHERE ([Exo_gen_cap_MW].[Case] = IGEXT.IGEXT) AND ([Exo_gen_cap_MW].[Technology] = IGEXT.IGEXT3)) THEN 'Extraction' WHEN  EXISTS (SELECT * FROM IGHOB WHERE ([Exo_gen_cap_MW].[Case] = IGHOB.IGHOB) AND ([Exo_gen_cap_MW].[Technology] = IGHOB.IGHOB3)) THEN 'Heat-Only' WHEN  EXISTS (SELECT * FROM IGETOH WHERE ([Exo_gen_cap_MW].[Case] = IGETOH.IGETOH) AND ([Exo_gen_cap_MW].[Technology] = IGETOH.IGETOH3)) THEN 'Electricity to heat' WHEN  EXISTS (SELECT * FROM IGESTO WHERE ([Exo_gen_cap_MW].[Case] = IGESTO.IGESTO) AND ([Exo_gen_cap_MW].[Technology] = IGESTO.IGESTO3)) THEN 'EL storage' WHEN  EXISTS (SELECT * FROM IGESTOS WHERE ([Exo_gen_cap_MW].[Case] = IGESTOS.IGESTOS) AND ([Exo_gen_cap_MW].[Technology] = IGESTOS.IGESTOS3)) THEN 'EL storage S' WHEN  EXISTS (SELECT * FROM IGHSTO WHERE ([Exo_gen_cap_MW].[Case] = IGHSTO.IGHSTO) AND ([Exo_gen_cap_MW].[Technology] = IGHSTO.IGHSTO3)) THEN 'HE storage' WHEN  EXISTS (SELECT * FROM IGHSTOS WHERE ([Exo_gen_cap_MW].[Case] = IGHSTOS.IGHSTOS) AND ([Exo_gen_cap_MW].[Technology] = IGHSTOS.IGHSTOS3)) THEN 'HE storage S' WHEN  EXISTS (SELECT * FROM IGHYRS WHERE ([Exo_gen_cap_MW].[Case] = IGHYRS.IGHYRS) AND ([Exo_gen_cap_MW].[Technology] = IGHYRS.IGHYRS3)) THEN 'Hydro reservoir' WHEN  EXISTS (SELECT * FROM IGHYRR WHERE ([Exo_gen_cap_MW].[Case] = IGHYRR.IGHYRR) AND ([Exo_gen_cap_MW].[Technology] = IGHYRR.IGHYRR3)) THEN 'Hydro ROR' WHEN  EXISTS (SELECT * FROM IGWND WHERE ([Exo_gen_cap_MW].[Case] = IGWND.IGWND) AND ([Exo_gen_cap_MW].[Technology] = IGWND.IGWND3)) THEN 'Wind' WHEN  EXISTS (SELECT * FROM IGSOLE WHERE ([Exo_gen_cap_MW].[Case] = IGSOLE.IGSOLE) AND ([Exo_gen_cap_MW].[Technology] = IGSOLE.IGSOLE3)) THEN 'Solar PV' WHEN  EXISTS (SELECT * FROM IGSOLH WHERE ([Exo_gen_cap_MW].[Case] = IGSOLH.IGSOLH) AND ([Exo_gen_cap_MW].[Technology] = IGSOLH.IGSOLH3)) THEN 'Solar heat' WHEN  EXISTS (SELECT * FROM IGWAVE WHERE ([Exo_gen_cap_MW].[Case] = IGWAVE.IGWAVE) AND ([Exo_gen_cap_MW].[Technology] = IGWAVE.IGWAVE3)) THEN 'Wave' END;</t>
  </si>
  <si>
    <t>UPDATE [Exo_gen_cap_MW] SET MW = MW/(SELECT  GDATA.value FROM GDATA WHERE [Exo_gen_cap_MW].[Case] = GDATA.GDATA AND  [Exo_gen_cap_MW].[Technology] = GDATA.GDATA3 and GDATA.GDATA4 ='GDSTOHUNLD') WHERE EXISTS ( SELECT * from GDATA where [Exo_gen_cap_MW].[Technology Type] = 'EL storage S' and [Exo_gen_cap_MW].[Case] = GDATA.GDATA AND  [Exo_gen_cap_MW].[Technology] = GDATA.GDATA3)   ;</t>
  </si>
  <si>
    <t>Endo_gen_cap_MW</t>
  </si>
  <si>
    <t>DROP TABLE if exists `Endo_gen_cap_MW`;</t>
  </si>
  <si>
    <t>CREATE TABLE `Endo_gen_cap_MW`(`Case` TEXT, Year TEXT,Country TEXT, Region TEXT,Area TEXT, Fuel TEXT,`Technology Type` TEXT, Technology TEXT,`MW` REAL);</t>
  </si>
  <si>
    <t>INSERT INTO `Endo_gen_cap_MW`(`Case`, Year,Country, Region,Area, Fuel,`Technology Type`, Technology,`MW`)  SELECT VGKN.VGKN AS [Case], VGKN.VGKN2 AS [Year], ICA.ICA3 AS Country, RRRAAA.RRRAAA3 AS Region, VGKN.VGKN3 AS Area, IGF.IGF4 AS Fuel, GDATA.value AS `Technology Type`, VGKN.VGKN4 AS Technology, VGKN.level AS MW FROM GDATA INNER JOIN (((RRRAAA INNER JOIN [VGKN] ON (RRRAAA.RRRAAA = [VGKN].VGKN) AND (RRRAAA.RRRAAA4 = [VGKN].VGKN3)) INNER JOIN ICA ON (ICA.ICA4 = [VGKN].VGKN3) AND ([VGKN].VGKN = ICA.ICA)) INNER JOIN IGF ON (IGF.IGF3 = [VGKN].VGKN4) AND ([VGKN].VGKN = IGF.IGF))   ON  (GDATA.GDATA = [VGKN].VGKN) AND (GDATA.GDATA3 = [VGKN].VGKN4) AND (GDATA.GDATA4 = "GDTYPE") WHERE VGKN.level &gt; 0 GROUP BY VGKN.VGKN, VGKN.VGKN2, ICA.ICA3, RRRAAA.RRRAAA3, VGKN.VGKN3, IGF.IGF4, GDATA.value, VGKN.VGKN4, VGKN.level ;</t>
  </si>
  <si>
    <t>UPDATE [Endo_gen_cap_MW]  set [Technology Type] = CASE WHEN EXISTS (SELECT * FROM IGCND WHERE ([Endo_gen_cap_MW].[Case] =  IGCND.IGCND) AND ([Endo_gen_cap_MW].[Technology] = IGCND.IGCND3)) THEN  'Condensing'  WHEN EXISTS (SELECT * FROM IGBPR WHERE ([Endo_gen_cap_MW].[Case] = IGBPR.IGBPR) AND ([Endo_gen_cap_MW].[Technology] = IGBPR.IGBPR3)) THEN 'Backpressure'    WHEN  EXISTS (SELECT * FROM IGEXT WHERE ([Endo_gen_cap_MW].[Case] = IGEXT.IGEXT) AND ([Endo_gen_cap_MW].[Technology] = IGEXT.IGEXT3)) THEN 'Extraction' WHEN  EXISTS (SELECT * FROM IGHOB WHERE ([Endo_gen_cap_MW].[Case] = IGHOB.IGHOB) AND ([Endo_gen_cap_MW].[Technology] = IGHOB.IGHOB3)) THEN 'Heat-Only' WHEN  EXISTS (SELECT * FROM IGETOH WHERE ([Endo_gen_cap_MW].[Case] = IGETOH.IGETOH) AND ([Endo_gen_cap_MW].[Technology] = IGETOH.IGETOH3)) THEN 'Electricity to heat' WHEN  EXISTS (SELECT * FROM IGESTO WHERE ([Endo_gen_cap_MW].[Case] = IGESTO.IGESTO) AND ([Endo_gen_cap_MW].[Technology] = IGESTO.IGESTO3)) THEN 'EL storage' WHEN  EXISTS (SELECT * FROM IGESTOS WHERE ([Endo_gen_cap_MW].[Case] = IGESTOS.IGESTOS) AND ([Endo_gen_cap_MW].[Technology] = IGESTOS.IGESTOS3)) THEN 'EL storage S' WHEN  EXISTS (SELECT * FROM IGHSTO WHERE ([Endo_gen_cap_MW].[Case] = IGHSTO.IGHSTO) AND ([Endo_gen_cap_MW].[Technology] = IGHSTO.IGHSTO3)) THEN 'HE storage' WHEN  EXISTS (SELECT * FROM IGHSTOS WHERE ([Endo_gen_cap_MW].[Case] = IGHSTOS.IGHSTOS) AND ([Endo_gen_cap_MW].[Technology] = IGHSTOS.IGHSTOS3)) THEN 'HE storage S' WHEN  EXISTS (SELECT * FROM IGHYRS WHERE ([Endo_gen_cap_MW].[Case] = IGHYRS.IGHYRS) AND ([Endo_gen_cap_MW].[Technology] = IGHYRS.IGHYRS3)) THEN 'Hydro reservoir' WHEN  EXISTS (SELECT * FROM IGHYRR WHERE ([Endo_gen_cap_MW].[Case] = IGHYRR.IGHYRR) AND ([Endo_gen_cap_MW].[Technology] = IGHYRR.IGHYRR3)) THEN 'Hydro ROR' WHEN  EXISTS (SELECT * FROM IGWND WHERE ([Endo_gen_cap_MW].[Case] = IGWND.IGWND) AND ([Endo_gen_cap_MW].[Technology] = IGWND.IGWND3)) THEN 'Wind' WHEN  EXISTS (SELECT * FROM IGSOLE WHERE ([Endo_gen_cap_MW].[Case] = IGSOLE.IGSOLE) AND ([Endo_gen_cap_MW].[Technology] = IGSOLE.IGSOLE3)) THEN 'Solar PV' WHEN  EXISTS (SELECT * FROM IGSOLH WHERE ([Endo_gen_cap_MW].[Case] = IGSOLH.IGSOLH) AND ([Endo_gen_cap_MW].[Technology] = IGSOLH.IGSOLH3)) THEN 'Solar heat' WHEN  EXISTS (SELECT * FROM IGWAVE WHERE ([Endo_gen_cap_MW].[Case] = IGWAVE.IGWAVE) AND ([Endo_gen_cap_MW].[Technology] = IGWAVE.IGWAVE3)) THEN 'Wave' END;</t>
  </si>
  <si>
    <t>UPDATE [Endo_gen_cap_MW] SET MW = MW/(SELECT  GDATA.value FROM GDATA WHERE [Endo_gen_cap_MW].[Case] = GDATA.GDATA AND  [Endo_gen_cap_MW].[Technology] = GDATA.GDATA3 and GDATA.GDATA4 ='GDSTOHUNLD')WHERE EXISTS ( SELECT * from GDATA where [Endo_gen_cap_MW].[Technology Type] = 'EL storage S' and [Endo_gen_cap_MW].[Case] = GDATA.GDATA AND  [Endo_gen_cap_MW].[Technology] = GDATA.GDATA3)   ;</t>
  </si>
  <si>
    <t>CREATE TABLE `Endo_gen_cap_MW`(`Case` TEXT, BaseYear TEXT,ModelYear TEXT,Country TEXT, Region TEXT,Area TEXT, Fuel TEXT,`Technology Type` TEXT, Technology TEXT,`MW` REAL);</t>
  </si>
  <si>
    <t xml:space="preserve">INSERT INTO `Endo_gen_cap_MW`(`Case`, BaseYear,ModelYear,Country, Region,Area, Fuel, Technology,`MW`)  SELECT VGKN.VGKN AS [Case], VGKN.VGKN2 AS [BaseYear], VGKN.VGKN3 AS [ModelYear],ICA.ICA3 AS Country, RRRAAA.RRRAAA3 AS Region, VGKN.VGKN4 AS Area, IGF.IGF4 AS Fuel, VGKN.VGKN5 AS Technology, VGKN.level AS MW FROM RRRAAA  INNER JOIN [VGKN] ON (RRRAAA.RRRAAA = [VGKN].VGKN) AND (RRRAAA.RRRAAA4 = [VGKN].VGKN4) INNER JOIN ICA ON (ICA.ICA4 = [VGKN].VGKN4) AND ([VGKN].VGKN = ICA.ICA) INNER JOIN IGF ON (IGF.IGF3 = [VGKN].VGKN5) AND ([VGKN].VGKN = IGF.IGF) WHERE VGKN.level &gt; 0 GROUP BY VGKN.VGKN, VGKN.VGKN2, ICA.ICA3, RRRAAA.RRRAAA3, VGKN.VGKN3, VGKN.VGKN4, IGF.IGF4, VGKN.VGKN4, VGKN.level ; </t>
  </si>
  <si>
    <t>Exogenous Electricity Generation Capacity</t>
  </si>
  <si>
    <t>DROP TABLE if exists `Exogenous Electricity Generation Capacity`;</t>
  </si>
  <si>
    <t>CREATE TABLE `Exogenous Electricity Generation Capacity`(`Case` TEXT,`Year` TEXT,`Country` TEXT, `Region` TEXT, `Area` TEXT, `Fuel` TEXT, `Technology` TEXT, `MW` REAL, `GW` REAL);</t>
  </si>
  <si>
    <t>INSERT INTO `Exogenous Electricity Generation Capacity`(`Case`,Year,Country,Region,Area,Fuel,Technology,MW,GW) SELECT [Exo_gen_cap_MW].`Case`, [Exo_gen_cap_MW].Year, [Exo_gen_cap_MW].Country AS Country, [Exo_gen_cap_MW].Region, [Exo_gen_cap_MW].Area, [Exo_gen_cap_MW].Fuel, [Exo_gen_cap_MW].Technology, [Exo_gen_cap_MW].MW,[Exo_gen_cap_MW].MW/1000 FROM ([Exo_gen_cap_MW] INNER JOIN IGE ON ([Exo_gen_cap_MW].`Case` = IGE.IGE) AND ([Exo_gen_cap_MW].Technology = IGE.IGE3)) INNER JOIN GDATA ON (IGE.IGE3 = GDATA.GDATA3) AND (IGE.IGE = GDATA.GDATA) WHERE (((GDATA.value)&lt;&gt;5) AND ((GDATA.GDATA4)="GDTYPE"));</t>
  </si>
  <si>
    <t>Electricity generation capacity Total</t>
  </si>
  <si>
    <t>DROP TABLE if exists `Electricity generation capacity Total`;</t>
  </si>
  <si>
    <t>CREATE TABLE `Electricity generation capacity Total`(`Case` TEXT,`BaseYear` TEXT,`ModelYear` TEXT,`Country` TEXT, `Region` TEXT, `Area` TEXT, `Fuel` TEXT,`Technology Type` TEXT,`Capacity Type` TEXT, `Technology` TEXT, `MW` REAL, `GW` REAL);</t>
  </si>
  <si>
    <t>Exogenous</t>
  </si>
  <si>
    <t>FUELOIL</t>
  </si>
  <si>
    <t>Capacity Type</t>
  </si>
  <si>
    <t>BIOOIL</t>
  </si>
  <si>
    <t>WOODPELLETS</t>
  </si>
  <si>
    <t>Sum of GJ</t>
  </si>
  <si>
    <t>GNR_ST_NGAS_BP_E-39</t>
  </si>
  <si>
    <t>GNR_ENG_NGAS_BP_E-40</t>
  </si>
  <si>
    <t>GNR_ENG_NGAS_BP_E-41</t>
  </si>
  <si>
    <t>GNR_ENG_NGAS_BP_E-42</t>
  </si>
  <si>
    <t>GNR_ENG_NGAS_BP_E-43</t>
  </si>
  <si>
    <t>GNR_ENG_NGAS_BP_E-44</t>
  </si>
  <si>
    <t>GNR_ENG_NGAS_BP_E-46</t>
  </si>
  <si>
    <t>GNR_GT_NGAS_BP_E-44</t>
  </si>
  <si>
    <t>GNR_ST_NGAS_EXT_E-47</t>
  </si>
  <si>
    <t>GNR_ENG_NGAS_BP_E-47</t>
  </si>
  <si>
    <t>GNR_GT_NGAS_BP_E-47</t>
  </si>
  <si>
    <t>GNR_GT_NGAS_BP_E-42</t>
  </si>
  <si>
    <t>Sum of CO2 kilotons</t>
  </si>
  <si>
    <t>GNR_ST_COAL_EXT_E-47</t>
  </si>
  <si>
    <t>GNR_ST_COAL_EXT_E-42</t>
  </si>
  <si>
    <t>GNR_ST_COAL_EXT_E-41</t>
  </si>
  <si>
    <t>GNR_ST_COAL_BP_E-35</t>
  </si>
  <si>
    <t>GNR_BO_MSW_E-105</t>
  </si>
  <si>
    <t>GNR_ST_MSW_BP_E-18</t>
  </si>
  <si>
    <t>GNR_ST_MSW_BP_E-19</t>
  </si>
  <si>
    <t>GNR_ST_MSW_BP_E-22</t>
  </si>
  <si>
    <t>GNR_ST_MSW_BP_E-23</t>
  </si>
  <si>
    <t>GNR_ST_MSW_BP_E-27</t>
  </si>
  <si>
    <t>GNR_ENG_NGAS_BP_E-34</t>
  </si>
  <si>
    <t>GNR_ENG_NGAS_BP_E-38</t>
  </si>
  <si>
    <t>GNR_ENG_NGAS_BP_E-39</t>
  </si>
  <si>
    <t>GNR_GT_NGAS_BP_E-27</t>
  </si>
  <si>
    <t>GNR_ST_STRW_BP_E-26</t>
  </si>
  <si>
    <t>GNR_EH_HEAT</t>
  </si>
  <si>
    <t>GNR_ST_WOODCHI_BP_E-23</t>
  </si>
  <si>
    <t>GNR_BO_MSW_E-100</t>
  </si>
  <si>
    <t>GNR_ST_MSW_BP_E-17</t>
  </si>
  <si>
    <t>GNR_ST_MSW_BP_E-20</t>
  </si>
  <si>
    <t>GNR_ST_MSW_BP_E-21</t>
  </si>
  <si>
    <t>GNR_ST_MSW_BP_E-26</t>
  </si>
  <si>
    <t>GNR_ENG_NGAS_BP_E-35</t>
  </si>
  <si>
    <t>GNR_ENG_NGAS_BP_E-37</t>
  </si>
  <si>
    <t>GNR_GT_NGAS_BP_E-31</t>
  </si>
  <si>
    <t>GNR_BO_STRW_E-102</t>
  </si>
  <si>
    <t>GNR_ST_STRW_BP_E-21</t>
  </si>
  <si>
    <t>GNR_GEO_HEAT_HO</t>
  </si>
  <si>
    <t>GNR_BO_WOODCHI_E-110</t>
  </si>
  <si>
    <t>GNR_ENG_NGAS_BP_E-36</t>
  </si>
  <si>
    <t>GNR_GT_NGAS_BP_E-43</t>
  </si>
  <si>
    <t>GNR_ST_WOODCHI_BP_E-27</t>
  </si>
  <si>
    <t>GNR_ST_WOODCHI_BP_E-30</t>
  </si>
  <si>
    <t>GNR_ENG_NGAS_BP_E-33</t>
  </si>
  <si>
    <t>GNR_ENG_NGAS_CND_E-41</t>
  </si>
  <si>
    <t>GNR_ENG_NGAS_CND_E-46</t>
  </si>
  <si>
    <t>GNR_GT_NGAS_BP_E-28</t>
  </si>
  <si>
    <t>GNR_GT_NGAS_BP_E-33</t>
  </si>
  <si>
    <t>GNR_GT_NGAS_BP_E-36</t>
  </si>
  <si>
    <t>GNR_PV_SUN</t>
  </si>
  <si>
    <t>GNR_ROR_WTR</t>
  </si>
  <si>
    <t>GNR_WT_WIND_ONS</t>
  </si>
  <si>
    <t>GNR_WT_WIND_OFF</t>
  </si>
  <si>
    <t>GNR_ENG_NGAS_BP_E-45</t>
  </si>
  <si>
    <t>GNR_GT_NGAS_BP_E-30</t>
  </si>
  <si>
    <t>GNR_GT_NGAS_BP_E-41</t>
  </si>
  <si>
    <t>GNR_ST_WOODPEL_BP_E-30</t>
  </si>
  <si>
    <t>GNR_BO_WOODWST_E-100</t>
  </si>
  <si>
    <t>GNR_BO_WOODWST_E-89</t>
  </si>
  <si>
    <t>GNR_ENG_BGAS_BP_E-42</t>
  </si>
  <si>
    <t>GNR_ST_MSW_BP_E-16</t>
  </si>
  <si>
    <t>GNR_ST_WOODCHI_BP_E-24</t>
  </si>
  <si>
    <t>GNR_ST_WOODPEL_EXT_E-50</t>
  </si>
  <si>
    <t>GNR_BO_WOODWST_E-90</t>
  </si>
  <si>
    <t>GNR_ST_MSW_BP_E-25</t>
  </si>
  <si>
    <t>GNR_ST_MSW_BP_E-28</t>
  </si>
  <si>
    <t>GNR_ENG_BGAS_BP_E-39</t>
  </si>
  <si>
    <t>GNR_ENG_BGAS_BP_E-40</t>
  </si>
  <si>
    <t>GNR_ENG_BGAS_BP_E-41</t>
  </si>
  <si>
    <t>GNR_ST_STRW_BP_E-24</t>
  </si>
  <si>
    <t>GNR_ST_STRW_BP_E-27</t>
  </si>
  <si>
    <t>GNR_ST_STRW_BP_E-28</t>
  </si>
  <si>
    <t>CREATE TABLE `Electricity generation - Term` (`Case` TEXT,    `BaseYear`    TEXT,    `ModelYear`    TEXT, `Country` TEXT, `Region` TEXT,   `Area`  TEXT, `Fuel` TEXT, `Technology Type` TEXT,  `Technology`    TEXT, `Season` TEXT, `Term` TEXT,    `MW`    REAL, `MWh`REAL, `GJ` REAL);</t>
  </si>
  <si>
    <t>INSERT INTO `Electricity generation - Term`(`Case`, BaseYear, ModelYear, Country, Region, Area, Fuel,`Technology Type`, Technology, Season, Term, MW, MWh, GJ)  SELECT [El_Gen].Case1 AS [Case], [El_Gen].Y1 AS [BaseYear], [El_Gen].Y2 AS [ModelYear], ICA.ICA3 AS Country, RRRAAA.RRRAAA3 AS Region, [El_Gen].Area AS Area, IGF.IGF4 AS Fuel, GDATA.value AS [Technology Type`],[El_Gen].Technology AS Technology, [El_Gen].Season AS Season, [El_Gen].Term AS Term, Sum([El_Gen].Generation_MW) AS MW, Sum([El_Gen].[Generation_MW]*[IHOURSINST].[value]) AS MWh, Sum([El_Gen].[Generation_MW]*[IHOURSINST].[value])*3.6 AS GJ FROM IHOURSINST INNER JOIN (((RRRAAA INNER JOIN [El_Gen] ON (RRRAAA.RRRAAA = [El_Gen].Case1) AND (RRRAAA.RRRAAA4 = [El_Gen].Area)) INNER JOIN ICA ON (ICA.ICA4 = [El_Gen].AREA) AND ([El_Gen].Case1 = ICA.ICA)) INNER JOIN IGF ON (IGF.IGF3 = [El_Gen].Technology) AND ([El_Gen].Case1 = IGF.IGF)) ON (IHOURSINST.IHOURSINST4 = [El_Gen].Term) AND (IHOURSINST.IHOURSINST3 = [El_Gen].Season) AND (IHOURSINST.IHOURSINST = [El_Gen].Case1) INNER JOIN GDATA ON  (GDATA.GDATA = [El_Gen].Case1) AND (GDATA.GDATA3 = [El_Gen].Technology) AND (GDATA.GDATA4 = "GDTYPE")  GROUP BY [El_Gen].Case1, [El_Gen].Y1,[El_Gen].Y2, ICA.ICA3, RRRAAA.RRRAAA3, [El_Gen].Area, IGF.IGF4, [El_Gen].Technology, [El_Gen].Season, [El_Gen].Term, [El_Gen].Generation_MW;</t>
  </si>
  <si>
    <t>CREATE TABLE `Electricity generation - Annual` (`Case` TEXT,    `BaseYear`    TEXT,    `ModelYear`    TEXT, `Country` TEXT, `Region` TEXT,   `Area`  TEXT, `Fuel` TEXT, `Technology Type` TEXT,   `Technology`    TEXT,  `TWh`REAL, `PJ` REAL);</t>
  </si>
  <si>
    <t>INSERT INTO `Electricity generation - annual`(`Case`, BaseYear, ModelYear, Country, Region, Area, Fuel, `Technology Type`,Technology, TWh, PJ)  SELECT [Electricity generation - Term].`Case`, [Electricity generation - Term].BaseYear, [Electricity generation - Term].ModelYear,[Electricity generation - Term].Country, [Electricity generation - Term].Region, [Electricity generation - Term].Area, [Electricity generation - Term].Fuel, [Electricity generation - Term].[Technology Type],[Electricity generation - Term].Technology, Sum([MWh]/1000000) AS TWh, Sum([GJ]/1000000) AS PJ FROM [Electricity generation - Term] GROUP BY [Electricity generation - Term].`Case`, [Electricity generation - Term].BaseYear,[Electricity generation - Term].ModelYear, [Electricity generation - Term].Country, [Electricity generation - Term].Region, [Electricity generation - Term].Area, [Electricity generation - Term].Fuel, [Electricity generation - Term].[Technology Type],[Electricity generation - Term].Technology;</t>
  </si>
  <si>
    <t>CREATE TABLE `Electricity_price`(`Case1`TEXT, `BaseYear` TEXT, `ModelYear` TEXT, `Country` TEXT, `Region` TEXT, `Season` TEXT, `Term` TEXT, `OMONEY/MWh` REAL);</t>
  </si>
  <si>
    <t>INSERT INTO `Electricity_price`(`Case1`,`BaseYear`,`ModelYear`,`Country`,`Region`,`Season`,`Term`,`OMONEY/MWh`) SELECT QEEQ.QEEQ AS [Case1], QEEQ.QEEQ2 AS [BaseYear],QEEQ.QEEQ3 AS [ModelYear], CCCRRR.CCCRRR3 AS Country, QEEQ.QEEQ4 AS Region, QEEQ.QEEQ5 AS Season, QEEQ.QEEQ6 AS Term, Avg([QEEQ].[marginal]*[OMONEY].[value]/(IDISCOUNTFACTOR.value*[IHOURSINST].[value]*IWEIGHTY.VALUE)) AS [OMONEY/MWh] FROM CCCRRR INNER JOIN (OMONEY INNER JOIN (IWEIGHTY INNER JOIN (IDISCOUNTFACTOR INNER JOIN (QEEQ INNER JOIN IHOURSINST ON (QEEQ.QEEQ6 = IHOURSINST.IHOURSINST4) AND (QEEQ.QEEQ = IHOURSINST.IHOURSINST) AND (QEEQ.QEEQ5 = IHOURSINST.IHOURSINST3)) ON (IDISCOUNTFACTOR.IDISCOUNTFACTOR = QEEQ.QEEQ AND IDISCOUNTFACTOR.IDISCOUNTFACTOR3 = QEEQ.QEEQ3)) ON (IWEIGHTY.IWEIGHTY = QEEQ.QEEQ AND IWEIGHTY.IWEIGHTY3 = QEEQ.QEEQ3)) ON OMONEY.OMONEY = QEEQ.QEEQ) ON (CCCRRR.CCCRRR4 = QEEQ.QEEQ4) AND (CCCRRR.CCCRRR = QEEQ.QEEQ) GROUP BY QEEQ.QEEQ, QEEQ.QEEQ2, CCCRRR.CCCRRR3, QEEQ.QEEQ3, QEEQ.QEEQ4, QEEQ.QEEQ5, QEEQ.QEEQ6;</t>
  </si>
  <si>
    <t>CREATE TABLE `Heat price - Marginal`(`Case` TEXT, BaseYear TEXT, ModelYear TEXT,  Country TEXT,Region TEXT, Area TEXT, Season TEXT, Term TEXT, `OMONEY/GJ` REAL,`OMONEY/MWh` REAL);</t>
  </si>
  <si>
    <t>INSERT INTO `Heat price - Marginal`(`Case`,BaseYear,ModelYear,Country,Region,Area,Season,Term,`OMONEY/GJ`,`OMONEY/MWh`) SELECT QHEQ.QHEQ AS [`Case`], QHEQ.QHEQ2 AS [BaseYear], QHEQ.QHEQ3 AS [ModelYear],ICA.ICA3 AS Country, RRRAAA.RRRAAA3 AS Region,QHEQ.QHEQ4 AS Area, QHEQ.QHEQ5 AS Season, QHEQ.QHEQ6 AS TERM,  (Avg([QHEQ].[marginal]*[OMONEY].[value]/(IWEIGHTY.VALUE*[IHOURSINST].[value]*IDISCOUNTFACTOR.VALUE)))/3.6 AS [OMONEY/GJ], (Avg([QHEQ].[marginal]*[OMONEY].[value]/(IWEIGHTY.VALUE*[IHOURSINST].[value]*IDISCOUNTFACTOR.VALUE))) AS [OMONEY/MWh] FROM ICA INNER JOIN (IDISCOUNTFACTOR INNER JOIN (IWEIGHTY INNER JOIN (RRRAAA INNER JOIN (OMONEY INNER JOIN (QHEQ INNER JOIN IHOURSINST ON (QHEQ.QHEQ6 = IHOURSINST.IHOURSINST4) AND (QHEQ.QHEQ = IHOURSINST.IHOURSINST) AND (QHEQ.QHEQ5 = IHOURSINST.IHOURSINST3)) ON (OMONEY.OMONEY = QHEQ.QHEQ)) ON (RRRAAA.RRRAAA4 = QHEQ.QHEQ4) AND (RRRAAA.RRRAAA = QHEQ.QHEQ)) ON (IWEIGHTY.IWEIGHTY = QHEQ.QHEQ AND IWEIGHTY.IWEIGHTY3 = QHEQ.QHEQ3)) ON (IDISCOUNTFACTOR.IDISCOUNTFACTOR = QHEQ.QHEQ AND IDISCOUNTFACTOR.IDISCOUNTFACTOR3 = QHEQ.QHEQ3)) ON (QHEQ.QHEQ4=ICA.ICA4) AND (QHEQ.QHEQ=ICA.ICA) WHERE QHEQ.level &lt;&gt;0 GROUP BY QHEQ.QHEQ, QHEQ.QHEQ2,ICA.ICA3, RRRAAA.RRRAAA3, QHEQ.QHEQ3, QHEQ.QHEQ4, QHEQ.QHEQ5, QHEQ.QHEQ6;</t>
  </si>
  <si>
    <t>CREATE TABLE `Heat Generation - Term` (`Case` TEXT,    `BaseYear`    TEXT,    `ModelYear`    TEXT, `Country` TEXT, `Region` TEXT,   `Area`  TEXT, `Fuel` TEXT,   `Technology`    TEXT, `Season` TEXT, `Term` TEXT,    `MW`    REAL, `MWh`REAL, `GJ` REAL);</t>
  </si>
  <si>
    <t>INSERT INTO `Heat generation - Term`(`Case`, BaseYear, ModelYear, Country, Region, Area, Fuel, Technology, Season, Term, MW, MWh, GJ) SELECT [Heat_Gen].Case1 AS [Case], [Heat_Gen].Y1 AS [BaseYear], [Heat_Gen].Y2 AS [ModelYear], ICA.ICA3 AS Country, RRRAAA.RRRAAA3 AS Region, [Heat_Gen].Area AS Area, IGF.IGF4 AS Fuel, [Heat_Gen].Technology AS Technology, [Heat_Gen].Season AS Season, [Heat_Gen].Term AS Term, Sum([Heat_Gen].Generation_MW) AS MW, Sum([Heat_Gen].[Generation_MW]*[IHOURSINST].[value]) AS MWh, Sum([Heat_Gen].[Generation_MW]*[IHOURSINST].[value])*3.6 AS GJ FROM IHOURSINST INNER JOIN (((RRRAAA INNER JOIN [Heat_Gen] ON (RRRAAA.RRRAAA = [Heat_Gen].Case1) AND (RRRAAA.RRRAAA4 = [Heat_Gen].Area)) INNER JOIN ICA ON (ICA.ICA4 = [Heat_Gen].AREA) AND ([Heat_Gen].Case1 = ICA.ICA)) INNER JOIN IGF ON (IGF.IGF3 = [Heat_Gen].Technology) AND ([Heat_Gen].Case1 = IGF.IGF)) ON (IHOURSINST.IHOURSINST4 = [Heat_Gen].Term) AND (IHOURSINST.IHOURSINST3 = [Heat_Gen].Season) AND (IHOURSINST.IHOURSINST = [Heat_Gen].Case1) GROUP BY [Heat_Gen].Case1, [Heat_Gen].Y1,[Heat_Gen].Y2, ICA.ICA3, RRRAAA.RRRAAA3, [Heat_Gen].Area, IGF.IGF4, [Heat_Gen].Technology, [Heat_Gen].Season, [Heat_Gen].Term, [Heat_Gen].Generation_MW;</t>
  </si>
  <si>
    <t>CREATE TABLE `Heat Generation - Annual` (`Case` TEXT,    `BaseYear`    TEXT,    `ModelYear`    TEXT, `Country` TEXT, `Region` TEXT,   `Area`  TEXT, `Fuel` TEXT,   `Technology`    TEXT,  `TWh`REAL, `PJ` REAL);</t>
  </si>
  <si>
    <t>INSERT INTO `Heat Generation - Annual`(`Case`, BaseYear, ModelYear, Country, Region, Area, Fuel, Technology, TWh, PJ)  SELECT [Heat Generation - Term].`Case`, [Heat Generation - Term].BaseYear, [Heat Generation - Term].ModelYear,[Heat Generation - Term].Country, [Heat Generation - Term].Region, [Heat Generation - Term].Area, [Heat Generation - Term].Fuel, [Heat Generation - Term].Technology, Sum([MWh]/1000000) AS TWh, Sum([GJ]/1000000) AS PJ FROM [Heat Generation - Term] GROUP BY [Heat Generation - Term].`Case`, [Heat Generation - Term].BaseYear,[Heat Generation - Term].ModelYear, [Heat Generation - Term].Country, [Heat Generation - Term].Region, [Heat Generation - Term].Area, [Heat Generation - Term].Fuel, [Heat Generation - Term].Technology;</t>
  </si>
  <si>
    <t>CREATE TABLE `Fuel_Con`(`Case1` TEXT, `BaseYear`TEXT, `ModelYear` TEXT, `Area` TEXT, `Technology` TEXT, `Season` TEXT, `Term` TEXT, `MW`  REAL);</t>
  </si>
  <si>
    <t>INSERT INTO Fuel_Con(Case1, BaseYear, ModelYear, Area, Technology, Season,Term, MW) SELECT  VGF_T, VGF_T2, VGF_T3, VGF_T4, VGF_T5, VGF_T6, VGF_T7, level FROM VGF_T WHERE level &gt;0;</t>
  </si>
  <si>
    <t>CREATE TABLE `Fuel Consumption - Term` (`Case` TEXT,    `BaseYear`    TEXT,    `ModelYear`    TEXT, `Country` TEXT, `Region` TEXT,   `Area`  TEXT, `Fuel` TEXT,   `Technology`    TEXT, `Season` TEXT, `Term` TEXT,    `MJ/s`    REAL, `MWh`REAL, `GJ` REAL);</t>
  </si>
  <si>
    <t>INSERT INTO `Fuel Consumption - Term`(`Case`, BaseYear, ModelYear, Country, Region, Area, Fuel, Technology, Season, Term,`MJ/s`, MWh, GJ) SELECT Fuel_Con.Case1 AS `Case`, Fuel_Con.BaseYear AS BaseYear, Fuel_Con.ModelYear AS ModelYear, ICA.ICA3 AS Country, RRRAAA.RRRAAA3 AS Region, Fuel_Con.Area AS Area, IGF.IGF4 AS `Fuel`, Fuel_Con.Technology AS Technology, Fuel_Con.Season AS Season, Fuel_Con.Term AS Term, Sum([Fuel_Con].MW) AS `MJ/s`, Sum([Fuel_Con].[MW]*[IHOURSINST].[value]) AS MWh, Sum([Fuel_Con].[MW]*[IHOURSINST].[value])*3.6 AS GJ 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[Fuel_Con].Case1)GROUP BY [Fuel_Con].Case1, [Fuel_Con].BaseYear,[Fuel_Con].ModelYear, ICA.ICA3, RRRAAA.RRRAAA3, [Fuel_Con].Area, IGF.IGF4, [Fuel_Con].Technology, [Fuel_Con].Season, [Fuel_Con].Term;</t>
  </si>
  <si>
    <t>CREATE TABLE `Fuel Consumption - Annual` (`Case` TEXT,    `BaseYear`    TEXT,    `ModelYear`    TEXT, `Country` TEXT, `Region` TEXT,   `Area`  TEXT, `Fuel` TEXT,   `Technology`    TEXT,  `TWh`REAL, `PJ` REAL);</t>
  </si>
  <si>
    <t>INSERT INTO `Fuel Consumption - Annual`(`Case`, BaseYear, ModelYear, Country, Region, Area, Fuel, Technology, TWh, PJ)  SELECT [Fuel Consumption - Term].`Case`, [Fuel Consumption - Term].BaseYear, [Fuel Consumption - Term].ModelYear,[Fuel Consumption - Term].Country, [Fuel Consumption - Term].Region, [Fuel Consumption - Term].Area, [Fuel Consumption - Term].Fuel, [Fuel Consumption - Term].Technology, Sum([MWh]/1000000) AS TWh, Sum([GJ]/1000000) AS PJ FROM [Fuel Consumption - Term] GROUP BY [Fuel Consumption - Term].`Case`, [Fuel Consumption - Term].BaseYear,[Fuel Consumption - Term].ModelYear, [Fuel Consumption - Term].Country, [Fuel Consumption - Term].Region, [Fuel Consumption - Term].Area, [Fuel Consumption - Term].Fuel, [Fuel Consumption - Term].Technology;</t>
  </si>
  <si>
    <t>CREATE TABLE `Emissions - Term`(`Case` TEXT, `BaseYear`TEXT, `ModelYear` TEXT,`Country` TEXT, `Region` TEXT, `Area` TEXT,`Fuel` TEXT, `Technology` TEXT, `Season` TEXT, `Term` TEXT, `CO2 t/h`  REAL,`CO2 tons`  REAL, `SO2 t/h`  REAL,`SO2 tons`  REAL, `N2O t/h`  REAL,`N2O tons`  REAL);</t>
  </si>
  <si>
    <t>INSERT INTO `Emissions - Term`(`Case`,BaseYear,ModelYear,Country,Region,Area,`Fuel`,Technology,Season, `Term`, `CO2 t/h`, `CO2 tons`,`SO2 t/h`,`SO2 tons`,`N2O t/h` ,`N2O tons`   ) SELECT [Fuel Consumption - Term].[Case] AS `Case`, [Fuel Consumption - Term].BaseYear AS BaseYear, [Fuel Consumption - Term].ModelYear AS ModelYear, [Fuel Consumption - Term].Country AS Country, [Fuel Consumption - Term].Region AS Region, [Fuel Consumption - Term].Area AS Area, [Fuel Consumption - Term].Fuel AS Fuel, [Fuel Consumption - Term].Technology AS Technology, [Fuel Consumption - Term].Season AS Season, [Fuel Consumption - Term].Term AS Term, [Fuel Consumption - Term].[MJ/s]*IM_CO2.value*3.6/1000 AS `CO2 t/h`,[Fuel Consumption - Term].[GJ]*IM_CO2.value/1000 AS       `CO2 tons`, [Fuel Consumption - Term].[MJ/s]*IM_SO2.value*3.6/1000 AS `SO2 t/h`,[Fuel Consumption - Term].[GJ]*IM_SO2.value/1000 AS       `SO2 tons`, [Fuel Consumption - Term].[MJ/s]*IM_N2O.value*3.6/1000000 AS `N2O t/h`,[Fuel Consumption - Term].[GJ]*IM_N2O.value/1000000 AS       `N2O tons` FROM (( [Fuel Consumption - Term] LEFT JOIN IM_CO2 ON [Fuel Consumption - Term].[Case]= IM_CO2.IM_CO2 AND [Fuel Consumption - Term].Technology=IM_CO2.IM_CO23)LEFT JOIN IM_SO2 ON [Fuel Consumption - Term].[Case]= IM_SO2.IM_SO2 AND [Fuel Consumption - Term].Technology=IM_SO2.IM_SO23 LEFT JOIN IM_N2O ON ([Fuel Consumption - Term].[Case]= IM_N2O.IM_N2O AND [Fuel Consumption - Term].Technology=IM_N2O.IM_N2O3)) GROUP BY [Fuel Consumption - Term].[Case], [Fuel Consumption - Term].BaseYear, [Fuel Consumption - Term].ModelYear, [Fuel Consumption - Term].Country, [Fuel Consumption - Term].Region, [Fuel Consumption - Term].Area, [Fuel Consumption - Term].Fuel, [Fuel Consumption - Term].Technology, [Fuel Consumption - Term].Season , [Fuel Consumption - Term].Term;</t>
  </si>
  <si>
    <t>CREATE TABLE `Emissions - Annual`(`Case` TEXT, `BaseYear`TEXT, `ModelYear` TEXT,`Country` TEXT, `Region` TEXT, `Area` TEXT,`Fuel` TEXT, `Technology` TEXT,`CO2 kilotons`  REAL,`CO2 megatons`  REAL, `SO2 tons`  REAL,`SO2 kilotons`  REAL, `N2O tons`  REAL,`N2O kilotons`  REAL);</t>
  </si>
  <si>
    <t>INSERT INTO `Emissions - Annual`(`Case`,BaseYear,ModelYear,Country,Region, Area,Fuel,Technology,`CO2 kilotons`,`CO2 megatons`, `SO2 tons`,`SO2 kilotons`, `N2O tons`,`N2O kilotons`)  SELECT [Emissions - Term].`Case`, [Emissions - Term].BaseYear, [Emissions - Term].ModelYear, [Emissions - Term].Country, [Emissions - Term].Region, [Emissions - Term].Area, [Emissions - Term].Fuel, [Emissions - Term].Technology, Sum([CO2 Tons]/1000) AS `CO2 kilotons`, Sum([CO2 Tons]/1000000) AS `CO2 megatons`, Sum([SO2 Tons]) AS `SO2 tons`, Sum([SO2 Tons]/1000) AS `SO2 kilotons`, Sum([N2O Tons]) AS `N2O tons`, Sum([N2O Tons]/1000) AS `N2O kilotons` FROM [Emissions - Term] GROUP BY [Emissions - Term].`Case`, [Emissions - Term].BaseYear, [Emissions - Term].ModelYear, [Emissions - Term].Country, [Emissions - Term].Region, [Emissions - Term].Area, [Emissions - Term].Fuel, [Emissions - Term].Technology;</t>
  </si>
  <si>
    <t>CREATE TABLE `Heat Storage volume`(`Case` TEXT, `BaseYear`TEXT, `ModelYear` TEXT,`Country` TEXT, `Region` TEXT, `Area` TEXT,`Season` TEXT, `Term` TEXT, `MWh` REAL, `GJ` REAL);</t>
  </si>
  <si>
    <t>INSERT INTO `Heat Storage volume`(`Case`, BaseYear, ModelYear, Country,Region,Area,Season,Term,MWh,GJ) SELECT VHSTOVOLT.VHSTOVOLT AS `Case`, VHSTOVOLT.VHSTOVOLT2 AS BaseYear, VHSTOVOLT.VHSTOVOLT3 AS ModelYear, ICA.ICA3 AS Country, RRRAAA.RRRAAA3 AS Region, VHSTOVOLT.VHSTOVOLT4 AS Area, VHSTOVOLT.VHSTOVOLT5 AS Season, VHSTOVOLT.VHSTOVOLT6 AS Term, Sum(VHSTOVOLT.level) AS MWh, Sum(VHSTOVOLT.level)*3.6 AS GJ FROM ICA INNER JOIN (RRRAAA INNER JOIN VHSTOVOLT ON (RRRAAA.RRRAAA4 = VHSTOVOLT.VHSTOVOLT4) AND (RRRAAA.RRRAAA = VHSTOVOLT.VHSTOVOLT)) ON (ICA.ICA4 = VHSTOVOLT.VHSTOVOLT4) AND (ICA.ICA = VHSTOVOLT.VHSTOVOLT)GROUP BY VHSTOVOLT.VHSTOVOLT, VHSTOVOLT.VHSTOVOLT2, VHSTOVOLT.VHSTOVOLT3, ICA.ICA3, RRRAAA.RRRAAA3, VHSTOVOLT.VHSTOVOLT4, VHSTOVOLT.VHSTOVOLT5, VHSTOVOLT.VHSTOVOLT6;</t>
  </si>
  <si>
    <t>CREATE TABLE `Weekly Hydro Storage Volume`(`Case` TEXT, `BaseYear`TEXT, `ModelYear` TEXT,`Country` TEXT, `Region` TEXT, `Area` TEXT,`Week` TEXT, `MWh` REAL);</t>
  </si>
  <si>
    <t>INSERT INTO `Weekly Hydro Storage Volume`(`Case`,BaseYear,ModelYear,Country, Region,Area,Week,MWh) SELECT VHYRS_S.VHYRS_S AS [Case], VHYRS_S.VHYRS_S2 AS [BaseYear],VHYRS_S.VHYRS_S3 AS [ModelYear], ICA.ICA3 AS Country, RRRAAA.RRRAAA3 AS Region, VHYRS_S.VHYRS_S4 AS Area, VHYRS_S.VHYRS_S5 AS Week, VHYRS_S.level AS MWh FROM (VHYRS_S INNER JOIN ICA ON VHYRS_S.VHYRS_S4 = ICA.ICA4) INNER JOIN RRRAAA ON VHYRS_S.VHYRS_S4 = RRRAAA.RRRAAA4;</t>
  </si>
  <si>
    <t>CREATE TABLE `El Transmission between regions net - Term`(`Case` TEXT, BaseYear TEXT,ModelYear TEXT, Source TEXT, Destination TEXT, Season TEXT, Term TEXT, GW REAL);</t>
  </si>
  <si>
    <t>INSERT INTO `El Transmission between regions net - Term`(`Case` , BaseYear, ModelYear, Source, Destination, Season, Term, GW)  SELECT VX_T.VX_T AS [Case], VX_T.VX_T2 AS [BaseYear], VX_T.VX_T3 AS [ModelYear], VX_T.VX_T4 AS Source,  VX_T.VX_T5 AS Destination, VX_T.VX_T6 AS Season, VX_T.VX_T7 AS [Time], Sum(VX_T.level-VX_T_1.level)/1000 AS GW  FROM VX_T INNER JOIN VX_T AS VX_T_1  ON (VX_T.VX_T6 = VX_T_1.VX_T6) AND (VX_T.VX_T7 = VX_T_1.VX_T7) AND (VX_T.VX_T4 = VX_T_1.VX_T5) AND (VX_T.VX_T5 = VX_T_1.VX_T4) AND (VX_T.VX_T3 = VX_T_1.VX_T3) AND (VX_T.VX_T2 = VX_T_1.VX_T2) AND (VX_T.VX_T = VX_T_1.VX_T)  GROUP BY VX_T.VX_T, VX_T.VX_T2, VX_T.VX_T3,  VX_T.VX_T4, VX_T.VX_T5, VX_T.VX_T6, VX_T.VX_T7;</t>
  </si>
  <si>
    <t>CREATE TABLE `El Transmission between Countries`(`Case` TEXT, BaseYear TEXT,ModelYear TEXT,Country1 TEXT, Region1 TEXT,Country2 TEXT,Region2 TEXT,GWh REAL);</t>
  </si>
  <si>
    <t>INSERT INTO `El Transmission between Countries`(`Case`,BaseYear,ModelYear,Country1,Region1,Country2,Region2,GWh)  SELECT VX_T.VX_T AS [`Case`], VX_T.VX_T2 AS [BaseYear], VX_T.VX_T2 AS [ModelYear],CCCRRR.CCCRRR3 AS Country1, VX_T.VX_T4 AS Region1, CCCRRR_1.CCCRRR3 AS Country2, VX_T.VX_T5 AS Region2, Sum(VX_T.level*IHOURSINST.value)/1000 AS GWh   FROM CCCRRR INNER JOIN (CCCRRR AS CCCRRR_1   INNER JOIN (VX_T  INNER JOIN IHOURSINST ON (VX_T.VX_T7 = IHOURSINST.IHOURSINST4) AND (VX_T.VX_T6 = IHOURSINST.IHOURSINST3) AND (VX_T.VX_T = IHOURSINST.IHOURSINST)) ON (CCCRRR_1.CCCRRR4 = VX_T.VX_T5) AND (CCCRRR_1.CCCRRR = VX_T.VX_T)) ON (CCCRRR.CCCRRR4 = VX_T.VX_T4) AND (CCCRRR.CCCRRR = VX_T.VX_T)   GROUP BY VX_T.VX_T, VX_T.VX_T2,  VX_T.VX_T3,CCCRRR.CCCRRR3, VX_T.VX_T4, CCCRRR_1.CCCRRR3, VX_T.VX_T5;</t>
  </si>
  <si>
    <t>CREATE TABLE `Electricity transmission`(`Case` TEXT, BaseYear TEXT,ModelYear TEXT,Source TEXT, Destination TEXT,Season TEXT,Term TEXT,MW REAL,MWh REAL,`Capacity (MW)` REAL, `Marginal value [€/MWh]` REAL, `Congestion rent €` REAL);</t>
  </si>
  <si>
    <t>INSERT INTO `Electricity transmission`(`Case`,BaseYear,ModelYear,Source,Destination,Season,Term,MW,MWh,`Capacity (MW)`, `Marginal value [€/MWh]`, `Congestion rent €`) SELECT VX_T.VX_T AS [Case], VX_T.VX_T2 AS [BaseYear],VX_T.VX_T3 AS ModelYear, VX_T.VX_T4 AS Source, VX_T.VX_T5 AS Destination, VX_T.VX_T6 AS Season, VX_T.VX_T7 AS Term, VX_T.level AS MW, [VX_T].[level]*[IHOURSINST].[value] AS MWh, XKINI.value AS [Capacity (MW)],[QXK_UP].[marginal]*[OMONEY].[value] AS [Marginal Value €/MW], [VX_T].[level]*[QXK_UP].[marginal]*[OMONEY].[value] AS [Congestion rent €] FROM XKINI INNER JOIN (QXK_UP INNER JOIN (OMONEY INNER JOIN (VX_T INNER JOIN IHOURSINST ON (VX_T.VX_T7 = IHOURSINST.IHOURSINST4) AND (VX_T.VX_T6 = IHOURSINST.IHOURSINST3) AND (VX_T.VX_T = IHOURSINST.IHOURSINST)) ON OMONEY.OMONEY = VX_T.VX_T) ON (QXK_UP.QXK_UP5 = VX_T.VX_T5) AND (QXK_UP.QXK_UP4 = VX_T.VX_T4) AND (QXK_UP.QXK_UP2 = VX_T.VX_T2)AND (QXK_UP.QXK_UP3 = VX_T.VX_T3) AND (QXK_UP.QXK_UP7 = VX_T.VX_T7) AND (QXK_UP.QXK_UP6 = VX_T.VX_T6) AND (QXK_UP.QXK_UP = VX_T.VX_T)) ON (XKINI.XKINI5 = VX_T.VX_T5) AND (XKINI.XKINI4 = VX_T.VX_T4) AND (XKINI.XKINI3 = VX_T.VX_T3) AND (XKINI.XKINI = VX_T.VX_T) GROUP BY VX_T.VX_T, VX_T.VX_T2, VX_T.VX_T3, VX_T.VX_T4, VX_T.VX_T5, VX_T.VX_T6,VX_T.VX_T7,XKINI.value, [QXK_UP].[marginal]*[OMONEY].[value]*1000000/[IHOURSINST].[value], [QXK_UP].[marginal]*[OMONEY].[value], [VX_T].[level]*[QXK_UP].[marginal]*[OMONEY].[value];</t>
  </si>
  <si>
    <t>Todo:</t>
  </si>
  <si>
    <t>get</t>
  </si>
  <si>
    <t>from Endo_gen_cap and Exo_gen_cap directly</t>
  </si>
  <si>
    <t>make heat capacity table</t>
  </si>
  <si>
    <t>*</t>
  </si>
  <si>
    <t>INSERT INTO `Electricity generation capacity Total`(`Case`,BaseYear,ModelYear,Country,Region,Area,Fuel,`Technology Type`,`Capacity Type`,Technology,MW,GW) SELECT [Exo_gen_cap_MW].[Case], [Exo_gen_cap_MW].Year,[Exo_gen_cap_MW].Year, [Exo_gen_cap_MW].Country, [Exo_gen_cap_MW].Region, [Exo_gen_cap_MW].Area, [Exo_gen_cap_MW].Fuel,[Exo_gen_cap_MW].[Technology Type],'Exogenous', [Exo_gen_cap_MW].Technology, [Exo_gen_cap_MW].MW, [Exo_gen_cap_MW].MW/1000  FROM ([Exo_gen_cap_MW] INNER JOIN IGE ON ([Exo_gen_cap_MW].`Case` = IGE.IGE) AND ([Exo_gen_cap_MW].Technology = IGE.IGE3)) INNER JOIN GDATA ON (IGE.IGE3 = GDATA.GDATA3) AND (IGE.IGE = GDATA.GDATA)  WHERE (Exo_gen_cap_MW.[Technology Type] IN ('Condensing', 'Backpressure', 'Extraction','EL storage','EL storage S','Hydro reservoir','Hydro ROR','Solar PV' ,'Wind' ,'Wave' ) AND (GDATA.GDATA4="GDTYPE")) UNION SELECT [Endo_gen_cap_MW].[Case], [Endo_gen_cap_MW].BaseYear, [Endo_gen_cap_MW].ModelYear,[Endo_gen_cap_MW].Country, [Endo_gen_cap_MW].Region, [Endo_gen_cap_MW].Area, [Endo_gen_cap_MW].Fuel,[Endo_gen_cap_MW].[Technology Type],'Endogenous', [Endo_gen_cap_MW].Technology, [Endo_gen_cap_MW].MW, [Endo_gen_cap_MW].MW/1000  FROM ([Endo_gen_cap_MW] INNER JOIN IGE ON ([Endo_gen_cap_MW].`Case` = IGE.IGE) AND ([Endo_gen_cap_MW].Technology = IGE.IGE3)) INNER JOIN GDATA ON (IGE.IGE3 = GDATA.GDATA3) AND (IGE.IGE = GDATA.GDATA) WHERE (Endo_gen_cap_MW.[Technology Type] IN ('Condensing', 'Backpressure', 'Extraction','EL storage','EL storage S','Hydro reservoir','Hydro ROR','Solar PV' ,'Wind' ,'Wave' ) AND (GDATA.GDATA4="GDTYPE"));</t>
  </si>
  <si>
    <t>Heat generation capacity Total</t>
  </si>
  <si>
    <t>DROP TABLE if exists `Heat generation capacity Total`;</t>
  </si>
  <si>
    <t>CREATE TABLE `Heat generation capacity Total`(`Case` TEXT,`BaseYear` TEXT,`ModelYear` TEXT,`Country` TEXT, `Region` TEXT, `Area` TEXT, `Fuel` TEXT,`Technology Type` TEXT,`Capacity Type` TEXT, `Technology` TEXT, `MW` REAL, `GW` REAL);</t>
  </si>
  <si>
    <t>make economic table</t>
  </si>
  <si>
    <t>INSERT INTO `Heat generation capacity Total`(`Case`,BaseYear,ModelYear,Country,Region,Area,Fuel,`Technology Type`,`Capacity Type`,Technology,MW,GW) SELECT [Exo_gen_cap_MW].[Case], [Exo_gen_cap_MW].Year,[Exo_gen_cap_MW].Year, [Exo_gen_cap_MW].Country, [Exo_gen_cap_MW].Region, [Exo_gen_cap_MW].Area, [Exo_gen_cap_MW].Fuel,[Exo_gen_cap_MW].[Technology Type],'Exogenous', [Exo_gen_cap_MW].Technology, CASE WHEN Exo_gen_cap_MW.[Technology Type]= ('Backpressure') THEN  [Exo_gen_cap_MW].MW/ (SELECT GDATA.value FROM GDATA WHERE (GDATA.GDATA4="GDCB") AND (GDATA.GDATA3=Exo_gen_cap_MW.[Technology]) AND (GDATA.GDATA=Exo_gen_cap_MW.[Case])) WHEN Exo_gen_cap_MW.[Technology Type]= ('Extraction') THEN [Exo_gen_cap_MW].MW/ ((SELECT GDATA.value FROM GDATA WHERE GDATA.GDATA4="GDCB" AND GDATA.GDATA3=Exo_gen_cap_MW.[Technology] AND GDATA.GDATA=Exo_gen_cap_MW.[Case]) +(SELECT GDATA.value FROM GDATA WHERE GDATA.GDATA4="GDCV" AND GDATA.GDATA3=Exo_gen_cap_MW.[Technology] AND GDATA.GDATA=Exo_gen_cap_MW.[Case])) ELSE [Exo_gen_cap_MW].MW END, CASE WHEN Exo_gen_cap_MW.[Technology Type]= ('Backpressure') THEN  0.001*[Exo_gen_cap_MW].MW/ (SELECT GDATA.value FROM GDATA WHERE (GDATA.GDATA4="GDCB") AND (GDATA.GDATA3=Exo_gen_cap_MW.[Technology]) AND (GDATA.GDATA=Exo_gen_cap_MW.[Case])) WHEN Exo_gen_cap_MW.[Technology Type]= ('Extraction') THEN 0.001*[Exo_gen_cap_MW].MW/ ((SELECT GDATA.value FROM GDATA WHERE GDATA.GDATA4="GDCB" AND GDATA.GDATA3=Exo_gen_cap_MW.[Technology] AND GDATA.GDATA=Exo_gen_cap_MW.[Case]) +(SELECT GDATA.value FROM GDATA WHERE GDATA.GDATA4="GDCV" AND GDATA.GDATA3=Exo_gen_cap_MW.[Technology] AND GDATA.GDATA=Exo_gen_cap_MW.[Case])) ELSE [Exo_gen_cap_MW].MW END FROM ([Exo_gen_cap_MW] INNER JOIN IGE ON ([Exo_gen_cap_MW].`Case` = IGE.IGE) AND ([Exo_gen_cap_MW].Technology = IGE.IGE3)) INNER JOIN GDATA ON (IGE.IGE3 = GDATA.GDATA3) AND (IGE.IGE = GDATA.GDATA)   WHERE (Exo_gen_cap_MW.[Technology Type] IN ('Backpressure', 'Extraction','Heat-Only','Electricity to heat','HE storage','HE storage S','Solar Heat'  ) AND (GDATA.GDATA4="GDTYPE"))   UNION SELECT [Endo_gen_cap_MW].[Case], [Endo_gen_cap_MW].BaseYear,[Endo_gen_cap_MW].ModelYear, [Endo_gen_cap_MW].Country, [Endo_gen_cap_MW].Region, [Endo_gen_cap_MW].Area, [Endo_gen_cap_MW].Fuel,[Endo_gen_cap_MW].[Technology Type],'Endogenous', [Endo_gen_cap_MW].Technology, CASE WHEN Endo_gen_cap_MW.[Technology Type]= ('Backpressure') THEN  [Endo_gen_cap_MW].MW/ (SELECT GDATA.value FROM GDATA WHERE (GDATA.GDATA4="GDCB") AND (GDATA.GDATA3=Endo_gen_cap_MW.[Technology]) AND (GDATA.GDATA=Endo_gen_cap_MW.[Case])) WHEN Endo_gen_cap_MW.[Technology Type]= ('Extraction') THEN [Endo_gen_cap_MW].MW/ ((SELECT GDATA.value FROM GDATA WHERE GDATA.GDATA4="GDCB" AND GDATA.GDATA3=Endo_gen_cap_MW.[Technology] AND GDATA.GDATA=Endo_gen_cap_MW.[Case]) +(SELECT GDATA.value FROM GDATA WHERE GDATA.GDATA4="GDCV" AND GDATA.GDATA3=Endo_gen_cap_MW.[Technology] AND GDATA.GDATA=Endo_gen_cap_MW.[Case])) ELSE [Endo_gen_cap_MW].MW END, CASE WHEN Endo_gen_cap_MW.[Technology Type]= ('Backpressure') THEN  0.001*[Endo_gen_cap_MW].MW/ (SELECT GDATA.value FROM GDATA WHERE (GDATA.GDATA4="GDCB") AND (GDATA.GDATA3=Endo_gen_cap_MW.[Technology]) AND (GDATA.GDATA=Endo_gen_cap_MW.[Case])) WHEN Endo_gen_cap_MW.[Technology Type]= ('Extraction') THEN 0.001*[Endo_gen_cap_MW].MW/ ((SELECT GDATA.value FROM GDATA WHERE GDATA.GDATA4="GDCB" AND GDATA.GDATA3=Endo_gen_cap_MW.[Technology] AND GDATA.GDATA=Endo_gen_cap_MW.[Case]) +(SELECT GDATA.value FROM GDATA WHERE GDATA.GDATA4="GDCV" AND GDATA.GDATA3=Endo_gen_cap_MW.[Technology] AND GDATA.GDATA=Endo_gen_cap_MW.[Case])) ELSE [Endo_gen_cap_MW].MW END FROM ([Endo_gen_cap_MW] INNER JOIN IGE ON ([Endo_gen_cap_MW].`Case` = IGE.IGE) AND ([Endo_gen_cap_MW].Technology = IGE.IGE3)) INNER JOIN GDATA ON (IGE.IGE3 = GDATA.GDATA3) AND (IGE.IGE = GDATA.GDATA)   WHERE (Endo_gen_cap_MW.[Technology Type] IN ('Backpressure', 'Extraction','Heat-Only','Electricity to heat','HE storage','HE storage S','Solar Heat'  ) AND (GDATA.GDATA4="GDTYPE"));</t>
  </si>
  <si>
    <t>COAL</t>
  </si>
  <si>
    <t>HEAVYFUELOIL</t>
  </si>
  <si>
    <t>LIGHTOIL</t>
  </si>
  <si>
    <t>LIGNITE</t>
  </si>
  <si>
    <t>PEAT</t>
  </si>
  <si>
    <t>GNR_ES_ELEC_BAT-LITHIO_E-95_Y-16-29</t>
  </si>
  <si>
    <t>GNR_HS_HEAT_WTR-TANK_LS_E-95_Y-2010</t>
  </si>
  <si>
    <t>EL storage</t>
  </si>
  <si>
    <t>Transmission capacity</t>
  </si>
  <si>
    <t>DROP TABLE if exists `Transmission capacity`;</t>
  </si>
  <si>
    <t>CREATE TABLE `Transmission capacity`(`Case` TEXT, BaseYear TEXT,ModelYear TEXT, `Export Region` TEXT,  `Import Region` TEXT, `Capacity Type` TEXT,MW REAL);</t>
  </si>
  <si>
    <t>INSERT INTO `Transmission capacity`(`Case`, BaseYear,ModelYear, `Export Region` , `Import Region`, `Capacity Type`,MW )  SELECT VXKN.VXKN AS [Case],VXKN.VXKN2 as BaseYear , VXKN.VXKN3 AS ModelYear, VXKN.VXKN4 AS `Export Region`, VXKN.VXKN5 as `Import Region` ,'Endogenous',VXKN.level as MW FROM VXKN UNION SELECT XKINI.XKINI AS [Case],XKINI.XKINI3 as BaseYear ,XKINI.XKINI3 as ModelYear, XKINI.XKINI4 AS `Export Region`, XKINI.XKINI5 as `Import Region` ,'Exogenous',XKINI.value as MW FROM XKINI;</t>
  </si>
  <si>
    <t>DE4-S</t>
  </si>
  <si>
    <t>DE4-W</t>
  </si>
  <si>
    <t>EE</t>
  </si>
  <si>
    <t>FIN</t>
  </si>
  <si>
    <t>LT</t>
  </si>
  <si>
    <t>LV</t>
  </si>
  <si>
    <t>NL</t>
  </si>
  <si>
    <t>NO1</t>
  </si>
  <si>
    <t>NO2</t>
  </si>
  <si>
    <t>NO3</t>
  </si>
  <si>
    <t>NO4</t>
  </si>
  <si>
    <t>NO5</t>
  </si>
  <si>
    <t>PL</t>
  </si>
  <si>
    <t>SE1</t>
  </si>
  <si>
    <t>SE2</t>
  </si>
  <si>
    <t>SE3</t>
  </si>
  <si>
    <t>UK</t>
  </si>
  <si>
    <t>Endogenous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</si>
</sst>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0"/>
    <numFmt numFmtId="165" formatCode="0.0"/>
  </numFmts>
  <fonts count="4" x14ac:knownFonts="1">
    <font>
      <sz val="11"/>
      <color theme="1"/>
      <name val="Calibri"/>
      <family val="2"/>
      <charset val="186"/>
      <scheme val="minor"/>
    </font>
    <font>
      <sz val="11"/>
      <color rgb="FF000000"/>
      <name val="Calibri"/>
      <family val="2"/>
      <charset val="186"/>
    </font>
    <font>
      <i/>
      <sz val="11"/>
      <color theme="1"/>
      <name val="Calibri"/>
      <family val="2"/>
      <charset val="186"/>
      <scheme val="minor"/>
    </font>
    <font>
      <i/>
      <sz val="11"/>
      <color theme="0" tint="-0.14999847407452621"/>
      <name val="Calibri"/>
      <family val="2"/>
      <charset val="186"/>
      <scheme val="minor"/>
    </font>
  </fonts>
  <fills count="3">
    <fill>
      <patternFill patternType="none"/>
    </fill>
    <fill>
      <patternFill patternType="gray125"/>
    </fill>
    <fill>
      <patternFill patternType="solid">
        <fgColor theme="0"/>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27">
    <xf numFmtId="0" fontId="0" fillId="0" borderId="0" xfId="0"/>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left" indent="1"/>
    </xf>
    <xf numFmtId="164" fontId="0" fillId="0" borderId="0" xfId="0" applyNumberFormat="1"/>
    <xf numFmtId="0" fontId="0" fillId="0" borderId="0" xfId="0" applyAlignment="1"/>
    <xf numFmtId="165" fontId="0" fillId="0" borderId="0" xfId="0" applyNumberFormat="1"/>
    <xf numFmtId="0" fontId="0" fillId="0" borderId="0" xfId="0" applyProtection="1">
      <protection locked="0"/>
    </xf>
    <xf numFmtId="0" fontId="0" fillId="0" borderId="1" xfId="0" applyBorder="1" applyProtection="1">
      <protection locked="0"/>
    </xf>
    <xf numFmtId="0" fontId="0" fillId="0" borderId="3" xfId="0" applyBorder="1" applyProtection="1">
      <protection locked="0"/>
    </xf>
    <xf numFmtId="0" fontId="0" fillId="0" borderId="4" xfId="0" applyBorder="1" applyProtection="1">
      <protection locked="0"/>
    </xf>
    <xf numFmtId="0" fontId="0" fillId="0" borderId="5" xfId="0" applyBorder="1" applyProtection="1">
      <protection locked="0"/>
    </xf>
    <xf numFmtId="0" fontId="0" fillId="0" borderId="6" xfId="0" applyBorder="1" applyProtection="1">
      <protection locked="0"/>
    </xf>
    <xf numFmtId="0" fontId="0" fillId="0" borderId="8" xfId="0" applyBorder="1" applyProtection="1">
      <protection locked="0"/>
    </xf>
    <xf numFmtId="0" fontId="0" fillId="0" borderId="0" xfId="0" applyFont="1" applyProtection="1">
      <protection locked="0"/>
    </xf>
    <xf numFmtId="0" fontId="2" fillId="0" borderId="0" xfId="0" applyFont="1" applyProtection="1">
      <protection locked="0"/>
    </xf>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0" fillId="0" borderId="6" xfId="0" applyBorder="1"/>
    <xf numFmtId="0" fontId="0" fillId="0" borderId="7" xfId="0" applyBorder="1"/>
    <xf numFmtId="0" fontId="0" fillId="0" borderId="8" xfId="0" applyBorder="1"/>
    <xf numFmtId="49" fontId="3" fillId="2" borderId="0" xfId="0" quotePrefix="1" applyNumberFormat="1" applyFont="1" applyFill="1" applyProtection="1">
      <protection locked="0"/>
    </xf>
  </cellXfs>
  <cellStyles count="1">
    <cellStyle name="Normal" xfId="0" builtinId="0"/>
  </cellStyles>
  <dxfs count="9">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numFmt numFmtId="164" formatCode="0.000"/>
    </dxf>
    <dxf>
      <numFmt numFmtId="164" formatCode="0.000"/>
    </dxf>
    <dxf>
      <numFmt numFmtId="164" formatCode="0.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4.xml"/><Relationship Id="rId39" Type="http://schemas.openxmlformats.org/officeDocument/2006/relationships/pivotCacheDefinition" Target="pivotCache/pivotCacheDefinition17.xml"/><Relationship Id="rId21" Type="http://schemas.openxmlformats.org/officeDocument/2006/relationships/worksheet" Target="worksheets/sheet21.xml"/><Relationship Id="rId34" Type="http://schemas.openxmlformats.org/officeDocument/2006/relationships/pivotCacheDefinition" Target="pivotCache/pivotCacheDefinition12.xml"/><Relationship Id="rId42" Type="http://schemas.openxmlformats.org/officeDocument/2006/relationships/pivotCacheDefinition" Target="pivotCache/pivotCacheDefinition20.xml"/><Relationship Id="rId47"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2.xml"/><Relationship Id="rId32" Type="http://schemas.openxmlformats.org/officeDocument/2006/relationships/pivotCacheDefinition" Target="pivotCache/pivotCacheDefinition10.xml"/><Relationship Id="rId37" Type="http://schemas.openxmlformats.org/officeDocument/2006/relationships/pivotCacheDefinition" Target="pivotCache/pivotCacheDefinition15.xml"/><Relationship Id="rId40" Type="http://schemas.openxmlformats.org/officeDocument/2006/relationships/pivotCacheDefinition" Target="pivotCache/pivotCacheDefinition18.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pivotCacheDefinition" Target="pivotCache/pivotCacheDefinition6.xml"/><Relationship Id="rId36" Type="http://schemas.openxmlformats.org/officeDocument/2006/relationships/pivotCacheDefinition" Target="pivotCache/pivotCacheDefinition1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9.xml"/><Relationship Id="rId44"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5.xml"/><Relationship Id="rId30" Type="http://schemas.openxmlformats.org/officeDocument/2006/relationships/pivotCacheDefinition" Target="pivotCache/pivotCacheDefinition8.xml"/><Relationship Id="rId35" Type="http://schemas.openxmlformats.org/officeDocument/2006/relationships/pivotCacheDefinition" Target="pivotCache/pivotCacheDefinition13.xml"/><Relationship Id="rId43" Type="http://schemas.openxmlformats.org/officeDocument/2006/relationships/theme" Target="theme/theme1.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3.xml"/><Relationship Id="rId33" Type="http://schemas.openxmlformats.org/officeDocument/2006/relationships/pivotCacheDefinition" Target="pivotCache/pivotCacheDefinition11.xml"/><Relationship Id="rId38" Type="http://schemas.openxmlformats.org/officeDocument/2006/relationships/pivotCacheDefinition" Target="pivotCache/pivotCacheDefinition16.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pivotCacheDefinition" Target="pivotCache/pivotCacheDefinition1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Prices!PivotTable4</c:name>
    <c:fmtId val="1"/>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
        <c:idx val="71"/>
        <c:spPr>
          <a:solidFill>
            <a:schemeClr val="accent1"/>
          </a:solidFill>
          <a:ln w="28575" cap="rnd">
            <a:solidFill>
              <a:schemeClr val="accent1"/>
            </a:solidFill>
            <a:round/>
          </a:ln>
          <a:effectLst/>
        </c:spPr>
        <c:marker>
          <c:symbol val="none"/>
        </c:marker>
      </c:pivotFmt>
      <c:pivotFmt>
        <c:idx val="72"/>
        <c:spPr>
          <a:solidFill>
            <a:schemeClr val="accent1"/>
          </a:solidFill>
          <a:ln w="28575" cap="rnd">
            <a:solidFill>
              <a:schemeClr val="accent1"/>
            </a:solidFill>
            <a:round/>
          </a:ln>
          <a:effectLst/>
        </c:spPr>
        <c:marker>
          <c:symbol val="none"/>
        </c:marker>
      </c:pivotFmt>
      <c:pivotFmt>
        <c:idx val="73"/>
        <c:spPr>
          <a:solidFill>
            <a:schemeClr val="accent1"/>
          </a:solidFill>
          <a:ln w="28575" cap="rnd">
            <a:solidFill>
              <a:schemeClr val="accent1"/>
            </a:solidFill>
            <a:round/>
          </a:ln>
          <a:effectLst/>
        </c:spPr>
        <c:marker>
          <c:symbol val="none"/>
        </c:marker>
      </c:pivotFmt>
      <c:pivotFmt>
        <c:idx val="74"/>
        <c:spPr>
          <a:solidFill>
            <a:schemeClr val="accent1"/>
          </a:solidFill>
          <a:ln w="28575" cap="rnd">
            <a:solidFill>
              <a:schemeClr val="accent1"/>
            </a:solidFill>
            <a:round/>
          </a:ln>
          <a:effectLst/>
        </c:spPr>
        <c:marker>
          <c:symbol val="none"/>
        </c:marker>
      </c:pivotFmt>
      <c:pivotFmt>
        <c:idx val="75"/>
        <c:spPr>
          <a:solidFill>
            <a:schemeClr val="accent1"/>
          </a:solidFill>
          <a:ln w="28575" cap="rnd">
            <a:solidFill>
              <a:schemeClr val="accent1"/>
            </a:solidFill>
            <a:round/>
          </a:ln>
          <a:effectLst/>
        </c:spPr>
        <c:marker>
          <c:symbol val="none"/>
        </c:marker>
      </c:pivotFmt>
      <c:pivotFmt>
        <c:idx val="76"/>
        <c:spPr>
          <a:solidFill>
            <a:schemeClr val="accent1"/>
          </a:solidFill>
          <a:ln w="28575" cap="rnd">
            <a:solidFill>
              <a:schemeClr val="accent1"/>
            </a:solidFill>
            <a:round/>
          </a:ln>
          <a:effectLst/>
        </c:spPr>
        <c:marker>
          <c:symbol val="none"/>
        </c:marker>
      </c:pivotFmt>
      <c:pivotFmt>
        <c:idx val="77"/>
        <c:spPr>
          <a:solidFill>
            <a:schemeClr val="accent1"/>
          </a:solidFill>
          <a:ln w="28575" cap="rnd">
            <a:solidFill>
              <a:schemeClr val="accent1"/>
            </a:solidFill>
            <a:round/>
          </a:ln>
          <a:effectLst/>
        </c:spPr>
        <c:marker>
          <c:symbol val="none"/>
        </c:marker>
      </c:pivotFmt>
      <c:pivotFmt>
        <c:idx val="78"/>
        <c:spPr>
          <a:solidFill>
            <a:schemeClr val="accent1"/>
          </a:solidFill>
          <a:ln w="28575" cap="rnd">
            <a:solidFill>
              <a:schemeClr val="accent1"/>
            </a:solidFill>
            <a:round/>
          </a:ln>
          <a:effectLst/>
        </c:spPr>
        <c:marker>
          <c:symbol val="none"/>
        </c:marker>
      </c:pivotFmt>
      <c:pivotFmt>
        <c:idx val="79"/>
        <c:spPr>
          <a:solidFill>
            <a:schemeClr val="accent1"/>
          </a:solidFill>
          <a:ln w="28575" cap="rnd">
            <a:solidFill>
              <a:schemeClr val="accent1"/>
            </a:solidFill>
            <a:round/>
          </a:ln>
          <a:effectLst/>
        </c:spPr>
        <c:marker>
          <c:symbol val="none"/>
        </c:marker>
      </c:pivotFmt>
      <c:pivotFmt>
        <c:idx val="80"/>
        <c:spPr>
          <a:solidFill>
            <a:schemeClr val="accent1"/>
          </a:solidFill>
          <a:ln w="28575" cap="rnd">
            <a:solidFill>
              <a:schemeClr val="accent1"/>
            </a:solidFill>
            <a:round/>
          </a:ln>
          <a:effectLst/>
        </c:spPr>
        <c:marker>
          <c:symbol val="none"/>
        </c:marker>
      </c:pivotFmt>
      <c:pivotFmt>
        <c:idx val="81"/>
        <c:spPr>
          <a:solidFill>
            <a:schemeClr val="accent1"/>
          </a:solidFill>
          <a:ln w="28575" cap="rnd">
            <a:solidFill>
              <a:schemeClr val="accent1"/>
            </a:solidFill>
            <a:round/>
          </a:ln>
          <a:effectLst/>
        </c:spPr>
        <c:marker>
          <c:symbol val="none"/>
        </c:marker>
      </c:pivotFmt>
      <c:pivotFmt>
        <c:idx val="82"/>
        <c:spPr>
          <a:solidFill>
            <a:schemeClr val="accent1"/>
          </a:solidFill>
          <a:ln w="28575" cap="rnd">
            <a:solidFill>
              <a:schemeClr val="accent1"/>
            </a:solidFill>
            <a:round/>
          </a:ln>
          <a:effectLst/>
        </c:spPr>
        <c:marker>
          <c:symbol val="none"/>
        </c:marker>
      </c:pivotFmt>
      <c:pivotFmt>
        <c:idx val="83"/>
        <c:spPr>
          <a:solidFill>
            <a:schemeClr val="accent1"/>
          </a:solidFill>
          <a:ln w="28575" cap="rnd">
            <a:solidFill>
              <a:schemeClr val="accent1"/>
            </a:solidFill>
            <a:round/>
          </a:ln>
          <a:effectLst/>
        </c:spPr>
        <c:marker>
          <c:symbol val="none"/>
        </c:marker>
      </c:pivotFmt>
      <c:pivotFmt>
        <c:idx val="84"/>
        <c:spPr>
          <a:solidFill>
            <a:schemeClr val="accent1"/>
          </a:solidFill>
          <a:ln w="28575" cap="rnd">
            <a:solidFill>
              <a:schemeClr val="accent1"/>
            </a:solidFill>
            <a:round/>
          </a:ln>
          <a:effectLst/>
        </c:spPr>
        <c:marker>
          <c:symbol val="none"/>
        </c:marker>
      </c:pivotFmt>
      <c:pivotFmt>
        <c:idx val="85"/>
        <c:spPr>
          <a:solidFill>
            <a:schemeClr val="accent1"/>
          </a:solidFill>
          <a:ln w="28575" cap="rnd">
            <a:solidFill>
              <a:schemeClr val="accent1"/>
            </a:solidFill>
            <a:round/>
          </a:ln>
          <a:effectLst/>
        </c:spPr>
        <c:marker>
          <c:symbol val="none"/>
        </c:marker>
      </c:pivotFmt>
      <c:pivotFmt>
        <c:idx val="86"/>
        <c:spPr>
          <a:solidFill>
            <a:schemeClr val="accent1"/>
          </a:solidFill>
          <a:ln w="28575" cap="rnd">
            <a:solidFill>
              <a:schemeClr val="accent1"/>
            </a:solidFill>
            <a:round/>
          </a:ln>
          <a:effectLst/>
        </c:spPr>
        <c:marker>
          <c:symbol val="none"/>
        </c:marker>
      </c:pivotFmt>
      <c:pivotFmt>
        <c:idx val="87"/>
        <c:spPr>
          <a:solidFill>
            <a:schemeClr val="accent1"/>
          </a:solidFill>
          <a:ln w="28575" cap="rnd">
            <a:solidFill>
              <a:schemeClr val="accent1"/>
            </a:solidFill>
            <a:round/>
          </a:ln>
          <a:effectLst/>
        </c:spPr>
        <c:marker>
          <c:symbol val="none"/>
        </c:marker>
      </c:pivotFmt>
      <c:pivotFmt>
        <c:idx val="88"/>
        <c:spPr>
          <a:solidFill>
            <a:schemeClr val="accent1"/>
          </a:solidFill>
          <a:ln w="28575" cap="rnd">
            <a:solidFill>
              <a:schemeClr val="accent1"/>
            </a:solidFill>
            <a:round/>
          </a:ln>
          <a:effectLst/>
        </c:spPr>
        <c:marker>
          <c:symbol val="none"/>
        </c:marker>
      </c:pivotFmt>
      <c:pivotFmt>
        <c:idx val="89"/>
        <c:spPr>
          <a:solidFill>
            <a:schemeClr val="accent1"/>
          </a:solidFill>
          <a:ln w="28575" cap="rnd">
            <a:solidFill>
              <a:schemeClr val="accent1"/>
            </a:solidFill>
            <a:round/>
          </a:ln>
          <a:effectLst/>
        </c:spPr>
        <c:marker>
          <c:symbol val="none"/>
        </c:marker>
      </c:pivotFmt>
      <c:pivotFmt>
        <c:idx val="90"/>
        <c:spPr>
          <a:solidFill>
            <a:schemeClr val="accent1"/>
          </a:solidFill>
          <a:ln w="28575" cap="rnd">
            <a:solidFill>
              <a:schemeClr val="accent1"/>
            </a:solidFill>
            <a:round/>
          </a:ln>
          <a:effectLst/>
        </c:spPr>
        <c:marker>
          <c:symbol val="none"/>
        </c:marker>
      </c:pivotFmt>
      <c:pivotFmt>
        <c:idx val="91"/>
        <c:spPr>
          <a:solidFill>
            <a:schemeClr val="accent1"/>
          </a:solidFill>
          <a:ln w="28575" cap="rnd">
            <a:solidFill>
              <a:schemeClr val="accent1"/>
            </a:solidFill>
            <a:round/>
          </a:ln>
          <a:effectLst/>
        </c:spPr>
        <c:marker>
          <c:symbol val="none"/>
        </c:marker>
      </c:pivotFmt>
      <c:pivotFmt>
        <c:idx val="92"/>
        <c:spPr>
          <a:solidFill>
            <a:schemeClr val="accent1"/>
          </a:solidFill>
          <a:ln w="28575" cap="rnd">
            <a:solidFill>
              <a:schemeClr val="accent1"/>
            </a:solidFill>
            <a:round/>
          </a:ln>
          <a:effectLst/>
        </c:spPr>
        <c:marker>
          <c:symbol val="none"/>
        </c:marker>
      </c:pivotFmt>
      <c:pivotFmt>
        <c:idx val="93"/>
        <c:spPr>
          <a:solidFill>
            <a:schemeClr val="accent1"/>
          </a:solidFill>
          <a:ln w="28575" cap="rnd">
            <a:solidFill>
              <a:schemeClr val="accent1"/>
            </a:solidFill>
            <a:round/>
          </a:ln>
          <a:effectLst/>
        </c:spPr>
        <c:marker>
          <c:symbol val="none"/>
        </c:marker>
      </c:pivotFmt>
      <c:pivotFmt>
        <c:idx val="94"/>
        <c:spPr>
          <a:solidFill>
            <a:schemeClr val="accent1"/>
          </a:solidFill>
          <a:ln w="28575" cap="rnd">
            <a:solidFill>
              <a:schemeClr val="accent1"/>
            </a:solidFill>
            <a:round/>
          </a:ln>
          <a:effectLst/>
        </c:spPr>
        <c:marker>
          <c:symbol val="none"/>
        </c:marker>
      </c:pivotFmt>
      <c:pivotFmt>
        <c:idx val="95"/>
        <c:spPr>
          <a:solidFill>
            <a:schemeClr val="accent1"/>
          </a:solidFill>
          <a:ln w="28575" cap="rnd">
            <a:solidFill>
              <a:schemeClr val="accent1"/>
            </a:solidFill>
            <a:round/>
          </a:ln>
          <a:effectLst/>
        </c:spPr>
        <c:marker>
          <c:symbol val="none"/>
        </c:marker>
      </c:pivotFmt>
      <c:pivotFmt>
        <c:idx val="96"/>
        <c:spPr>
          <a:solidFill>
            <a:schemeClr val="accent1"/>
          </a:solidFill>
          <a:ln w="28575" cap="rnd">
            <a:solidFill>
              <a:schemeClr val="accent1"/>
            </a:solidFill>
            <a:round/>
          </a:ln>
          <a:effectLst/>
        </c:spPr>
        <c:marker>
          <c:symbol val="none"/>
        </c:marker>
      </c:pivotFmt>
      <c:pivotFmt>
        <c:idx val="97"/>
        <c:spPr>
          <a:solidFill>
            <a:schemeClr val="accent1"/>
          </a:solidFill>
          <a:ln w="28575" cap="rnd">
            <a:solidFill>
              <a:schemeClr val="accent1"/>
            </a:solidFill>
            <a:round/>
          </a:ln>
          <a:effectLst/>
        </c:spPr>
        <c:marker>
          <c:symbol val="none"/>
        </c:marker>
      </c:pivotFmt>
      <c:pivotFmt>
        <c:idx val="98"/>
        <c:spPr>
          <a:solidFill>
            <a:schemeClr val="accent1"/>
          </a:solidFill>
          <a:ln w="28575" cap="rnd">
            <a:solidFill>
              <a:schemeClr val="accent1"/>
            </a:solidFill>
            <a:round/>
          </a:ln>
          <a:effectLst/>
        </c:spPr>
        <c:marker>
          <c:symbol val="none"/>
        </c:marker>
      </c:pivotFmt>
      <c:pivotFmt>
        <c:idx val="99"/>
        <c:spPr>
          <a:solidFill>
            <a:schemeClr val="accent1"/>
          </a:solidFill>
          <a:ln w="28575" cap="rnd">
            <a:solidFill>
              <a:schemeClr val="accent1"/>
            </a:solidFill>
            <a:round/>
          </a:ln>
          <a:effectLst/>
        </c:spPr>
        <c:marker>
          <c:symbol val="none"/>
        </c:marker>
      </c:pivotFmt>
      <c:pivotFmt>
        <c:idx val="100"/>
        <c:spPr>
          <a:solidFill>
            <a:schemeClr val="accent1"/>
          </a:solidFill>
          <a:ln w="28575" cap="rnd">
            <a:solidFill>
              <a:schemeClr val="accent1"/>
            </a:solidFill>
            <a:round/>
          </a:ln>
          <a:effectLst/>
        </c:spPr>
        <c:marker>
          <c:symbol val="none"/>
        </c:marker>
      </c:pivotFmt>
      <c:pivotFmt>
        <c:idx val="101"/>
        <c:spPr>
          <a:solidFill>
            <a:schemeClr val="accent1"/>
          </a:solidFill>
          <a:ln w="28575" cap="rnd">
            <a:solidFill>
              <a:schemeClr val="accent1"/>
            </a:solidFill>
            <a:round/>
          </a:ln>
          <a:effectLst/>
        </c:spPr>
        <c:marker>
          <c:symbol val="none"/>
        </c:marker>
      </c:pivotFmt>
      <c:pivotFmt>
        <c:idx val="102"/>
        <c:spPr>
          <a:solidFill>
            <a:schemeClr val="accent1"/>
          </a:solidFill>
          <a:ln w="28575" cap="rnd">
            <a:solidFill>
              <a:schemeClr val="accent1"/>
            </a:solidFill>
            <a:round/>
          </a:ln>
          <a:effectLst/>
        </c:spPr>
        <c:marker>
          <c:symbol val="none"/>
        </c:marker>
      </c:pivotFmt>
      <c:pivotFmt>
        <c:idx val="103"/>
        <c:spPr>
          <a:solidFill>
            <a:schemeClr val="accent1"/>
          </a:solidFill>
          <a:ln w="28575" cap="rnd">
            <a:solidFill>
              <a:schemeClr val="accent1"/>
            </a:solidFill>
            <a:round/>
          </a:ln>
          <a:effectLst/>
        </c:spPr>
        <c:marker>
          <c:symbol val="none"/>
        </c:marker>
      </c:pivotFmt>
      <c:pivotFmt>
        <c:idx val="104"/>
        <c:spPr>
          <a:solidFill>
            <a:schemeClr val="accent1"/>
          </a:solidFill>
          <a:ln w="28575" cap="rnd">
            <a:solidFill>
              <a:schemeClr val="accent1"/>
            </a:solidFill>
            <a:round/>
          </a:ln>
          <a:effectLst/>
        </c:spPr>
        <c:marker>
          <c:symbol val="none"/>
        </c:marker>
      </c:pivotFmt>
      <c:pivotFmt>
        <c:idx val="105"/>
        <c:spPr>
          <a:solidFill>
            <a:schemeClr val="accent1"/>
          </a:solidFill>
          <a:ln w="28575" cap="rnd">
            <a:solidFill>
              <a:schemeClr val="accent1"/>
            </a:solidFill>
            <a:round/>
          </a:ln>
          <a:effectLst/>
        </c:spPr>
        <c:marker>
          <c:symbol val="none"/>
        </c:marker>
      </c:pivotFmt>
      <c:pivotFmt>
        <c:idx val="106"/>
        <c:spPr>
          <a:solidFill>
            <a:schemeClr val="accent1"/>
          </a:solidFill>
          <a:ln w="28575" cap="rnd">
            <a:solidFill>
              <a:schemeClr val="accent1"/>
            </a:solidFill>
            <a:round/>
          </a:ln>
          <a:effectLst/>
        </c:spPr>
        <c:marker>
          <c:symbol val="none"/>
        </c:marker>
      </c:pivotFmt>
      <c:pivotFmt>
        <c:idx val="107"/>
        <c:spPr>
          <a:solidFill>
            <a:schemeClr val="accent1"/>
          </a:solidFill>
          <a:ln w="28575" cap="rnd">
            <a:solidFill>
              <a:schemeClr val="accent1"/>
            </a:solidFill>
            <a:round/>
          </a:ln>
          <a:effectLst/>
        </c:spPr>
        <c:marker>
          <c:symbol val="none"/>
        </c:marker>
      </c:pivotFmt>
      <c:pivotFmt>
        <c:idx val="108"/>
        <c:spPr>
          <a:solidFill>
            <a:schemeClr val="accent1"/>
          </a:solidFill>
          <a:ln w="28575" cap="rnd">
            <a:solidFill>
              <a:schemeClr val="accent1"/>
            </a:solidFill>
            <a:round/>
          </a:ln>
          <a:effectLst/>
        </c:spPr>
        <c:marker>
          <c:symbol val="none"/>
        </c:marker>
      </c:pivotFmt>
      <c:pivotFmt>
        <c:idx val="109"/>
        <c:spPr>
          <a:solidFill>
            <a:schemeClr val="accent1"/>
          </a:solidFill>
          <a:ln w="28575" cap="rnd">
            <a:solidFill>
              <a:schemeClr val="accent1"/>
            </a:solidFill>
            <a:round/>
          </a:ln>
          <a:effectLst/>
        </c:spPr>
        <c:marker>
          <c:symbol val="none"/>
        </c:marker>
      </c:pivotFmt>
      <c:pivotFmt>
        <c:idx val="110"/>
        <c:spPr>
          <a:solidFill>
            <a:schemeClr val="accent1"/>
          </a:solidFill>
          <a:ln w="28575" cap="rnd">
            <a:solidFill>
              <a:schemeClr val="accent1"/>
            </a:solidFill>
            <a:round/>
          </a:ln>
          <a:effectLst/>
        </c:spPr>
        <c:marker>
          <c:symbol val="none"/>
        </c:marker>
      </c:pivotFmt>
      <c:pivotFmt>
        <c:idx val="111"/>
        <c:spPr>
          <a:solidFill>
            <a:schemeClr val="accent1"/>
          </a:solidFill>
          <a:ln w="28575" cap="rnd">
            <a:solidFill>
              <a:schemeClr val="accent1"/>
            </a:solidFill>
            <a:round/>
          </a:ln>
          <a:effectLst/>
        </c:spPr>
        <c:marker>
          <c:symbol val="none"/>
        </c:marker>
      </c:pivotFmt>
      <c:pivotFmt>
        <c:idx val="112"/>
        <c:spPr>
          <a:solidFill>
            <a:schemeClr val="accent1"/>
          </a:solidFill>
          <a:ln w="28575" cap="rnd">
            <a:solidFill>
              <a:schemeClr val="accent1"/>
            </a:solidFill>
            <a:round/>
          </a:ln>
          <a:effectLst/>
        </c:spPr>
        <c:marker>
          <c:symbol val="none"/>
        </c:marker>
      </c:pivotFmt>
      <c:pivotFmt>
        <c:idx val="113"/>
        <c:spPr>
          <a:solidFill>
            <a:schemeClr val="accent1"/>
          </a:solidFill>
          <a:ln w="28575" cap="rnd">
            <a:solidFill>
              <a:schemeClr val="accent1"/>
            </a:solidFill>
            <a:round/>
          </a:ln>
          <a:effectLst/>
        </c:spPr>
        <c:marker>
          <c:symbol val="none"/>
        </c:marker>
      </c:pivotFmt>
      <c:pivotFmt>
        <c:idx val="114"/>
        <c:spPr>
          <a:solidFill>
            <a:schemeClr val="accent1"/>
          </a:solidFill>
          <a:ln w="28575" cap="rnd">
            <a:solidFill>
              <a:schemeClr val="accent1"/>
            </a:solidFill>
            <a:round/>
          </a:ln>
          <a:effectLst/>
        </c:spPr>
        <c:marker>
          <c:symbol val="none"/>
        </c:marker>
      </c:pivotFmt>
      <c:pivotFmt>
        <c:idx val="115"/>
        <c:spPr>
          <a:solidFill>
            <a:schemeClr val="accent1"/>
          </a:solidFill>
          <a:ln w="28575" cap="rnd">
            <a:solidFill>
              <a:schemeClr val="accent1"/>
            </a:solidFill>
            <a:round/>
          </a:ln>
          <a:effectLst/>
        </c:spPr>
        <c:marker>
          <c:symbol val="none"/>
        </c:marker>
      </c:pivotFmt>
      <c:pivotFmt>
        <c:idx val="116"/>
        <c:spPr>
          <a:solidFill>
            <a:schemeClr val="accent1"/>
          </a:solidFill>
          <a:ln w="28575" cap="rnd">
            <a:solidFill>
              <a:schemeClr val="accent1"/>
            </a:solidFill>
            <a:round/>
          </a:ln>
          <a:effectLst/>
        </c:spPr>
        <c:marker>
          <c:symbol val="none"/>
        </c:marker>
      </c:pivotFmt>
      <c:pivotFmt>
        <c:idx val="117"/>
        <c:spPr>
          <a:solidFill>
            <a:schemeClr val="accent1"/>
          </a:solidFill>
          <a:ln w="28575" cap="rnd">
            <a:solidFill>
              <a:schemeClr val="accent1"/>
            </a:solidFill>
            <a:round/>
          </a:ln>
          <a:effectLst/>
        </c:spPr>
        <c:marker>
          <c:symbol val="none"/>
        </c:marker>
      </c:pivotFmt>
      <c:pivotFmt>
        <c:idx val="118"/>
        <c:spPr>
          <a:solidFill>
            <a:schemeClr val="accent1"/>
          </a:solidFill>
          <a:ln w="28575" cap="rnd">
            <a:solidFill>
              <a:schemeClr val="accent1"/>
            </a:solidFill>
            <a:round/>
          </a:ln>
          <a:effectLst/>
        </c:spPr>
        <c:marker>
          <c:symbol val="none"/>
        </c:marker>
      </c:pivotFmt>
      <c:pivotFmt>
        <c:idx val="119"/>
        <c:spPr>
          <a:solidFill>
            <a:schemeClr val="accent1"/>
          </a:solidFill>
          <a:ln w="28575" cap="rnd">
            <a:solidFill>
              <a:schemeClr val="accent1"/>
            </a:solidFill>
            <a:round/>
          </a:ln>
          <a:effectLst/>
        </c:spPr>
        <c:marker>
          <c:symbol val="none"/>
        </c:marker>
      </c:pivotFmt>
      <c:pivotFmt>
        <c:idx val="120"/>
        <c:spPr>
          <a:solidFill>
            <a:schemeClr val="accent1"/>
          </a:solidFill>
          <a:ln w="28575" cap="rnd">
            <a:solidFill>
              <a:schemeClr val="accent1"/>
            </a:solidFill>
            <a:round/>
          </a:ln>
          <a:effectLst/>
        </c:spPr>
        <c:marker>
          <c:symbol val="none"/>
        </c:marker>
      </c:pivotFmt>
      <c:pivotFmt>
        <c:idx val="121"/>
        <c:spPr>
          <a:solidFill>
            <a:schemeClr val="accent1"/>
          </a:solidFill>
          <a:ln w="28575" cap="rnd">
            <a:solidFill>
              <a:schemeClr val="accent1"/>
            </a:solidFill>
            <a:round/>
          </a:ln>
          <a:effectLst/>
        </c:spPr>
        <c:marker>
          <c:symbol val="none"/>
        </c:marker>
      </c:pivotFmt>
      <c:pivotFmt>
        <c:idx val="122"/>
        <c:spPr>
          <a:solidFill>
            <a:schemeClr val="accent1"/>
          </a:solidFill>
          <a:ln w="28575" cap="rnd">
            <a:solidFill>
              <a:schemeClr val="accent1"/>
            </a:solidFill>
            <a:round/>
          </a:ln>
          <a:effectLst/>
        </c:spPr>
        <c:marker>
          <c:symbol val="none"/>
        </c:marker>
      </c:pivotFmt>
      <c:pivotFmt>
        <c:idx val="123"/>
        <c:spPr>
          <a:solidFill>
            <a:schemeClr val="accent1"/>
          </a:solidFill>
          <a:ln w="28575" cap="rnd">
            <a:solidFill>
              <a:schemeClr val="accent1"/>
            </a:solidFill>
            <a:round/>
          </a:ln>
          <a:effectLst/>
        </c:spPr>
        <c:marker>
          <c:symbol val="none"/>
        </c:marker>
      </c:pivotFmt>
      <c:pivotFmt>
        <c:idx val="124"/>
        <c:spPr>
          <a:solidFill>
            <a:schemeClr val="accent1"/>
          </a:solidFill>
          <a:ln w="28575" cap="rnd">
            <a:solidFill>
              <a:schemeClr val="accent1"/>
            </a:solidFill>
            <a:round/>
          </a:ln>
          <a:effectLst/>
        </c:spPr>
        <c:marker>
          <c:symbol val="none"/>
        </c:marker>
      </c:pivotFmt>
      <c:pivotFmt>
        <c:idx val="125"/>
        <c:spPr>
          <a:solidFill>
            <a:schemeClr val="accent1"/>
          </a:solidFill>
          <a:ln w="28575" cap="rnd">
            <a:solidFill>
              <a:schemeClr val="accent1"/>
            </a:solidFill>
            <a:round/>
          </a:ln>
          <a:effectLst/>
        </c:spPr>
        <c:marker>
          <c:symbol val="none"/>
        </c:marker>
      </c:pivotFmt>
      <c:pivotFmt>
        <c:idx val="126"/>
        <c:spPr>
          <a:solidFill>
            <a:schemeClr val="accent1"/>
          </a:solidFill>
          <a:ln w="28575" cap="rnd">
            <a:solidFill>
              <a:schemeClr val="accent1"/>
            </a:solidFill>
            <a:round/>
          </a:ln>
          <a:effectLst/>
        </c:spPr>
        <c:marker>
          <c:symbol val="none"/>
        </c:marker>
      </c:pivotFmt>
      <c:pivotFmt>
        <c:idx val="127"/>
        <c:spPr>
          <a:solidFill>
            <a:schemeClr val="accent1"/>
          </a:solidFill>
          <a:ln w="28575" cap="rnd">
            <a:solidFill>
              <a:schemeClr val="accent1"/>
            </a:solidFill>
            <a:round/>
          </a:ln>
          <a:effectLst/>
        </c:spPr>
        <c:marker>
          <c:symbol val="none"/>
        </c:marker>
      </c:pivotFmt>
      <c:pivotFmt>
        <c:idx val="128"/>
        <c:spPr>
          <a:solidFill>
            <a:schemeClr val="accent1"/>
          </a:solidFill>
          <a:ln w="28575" cap="rnd">
            <a:solidFill>
              <a:schemeClr val="accent1"/>
            </a:solidFill>
            <a:round/>
          </a:ln>
          <a:effectLst/>
        </c:spPr>
        <c:marker>
          <c:symbol val="none"/>
        </c:marker>
      </c:pivotFmt>
      <c:pivotFmt>
        <c:idx val="129"/>
        <c:spPr>
          <a:solidFill>
            <a:schemeClr val="accent1"/>
          </a:solidFill>
          <a:ln w="28575" cap="rnd">
            <a:solidFill>
              <a:schemeClr val="accent1"/>
            </a:solidFill>
            <a:round/>
          </a:ln>
          <a:effectLst/>
        </c:spPr>
        <c:marker>
          <c:symbol val="none"/>
        </c:marker>
      </c:pivotFmt>
      <c:pivotFmt>
        <c:idx val="130"/>
        <c:spPr>
          <a:solidFill>
            <a:schemeClr val="accent1"/>
          </a:solidFill>
          <a:ln w="28575" cap="rnd">
            <a:solidFill>
              <a:schemeClr val="accent1"/>
            </a:solidFill>
            <a:round/>
          </a:ln>
          <a:effectLst/>
        </c:spPr>
        <c:marker>
          <c:symbol val="none"/>
        </c:marker>
      </c:pivotFmt>
      <c:pivotFmt>
        <c:idx val="131"/>
        <c:spPr>
          <a:solidFill>
            <a:schemeClr val="accent1"/>
          </a:solidFill>
          <a:ln w="28575" cap="rnd">
            <a:solidFill>
              <a:schemeClr val="accent1"/>
            </a:solidFill>
            <a:round/>
          </a:ln>
          <a:effectLst/>
        </c:spPr>
        <c:marker>
          <c:symbol val="none"/>
        </c:marker>
      </c:pivotFmt>
      <c:pivotFmt>
        <c:idx val="132"/>
        <c:spPr>
          <a:solidFill>
            <a:schemeClr val="accent1"/>
          </a:solidFill>
          <a:ln w="28575" cap="rnd">
            <a:solidFill>
              <a:schemeClr val="accent1"/>
            </a:solidFill>
            <a:round/>
          </a:ln>
          <a:effectLst/>
        </c:spPr>
        <c:marker>
          <c:symbol val="none"/>
        </c:marker>
      </c:pivotFmt>
      <c:pivotFmt>
        <c:idx val="133"/>
        <c:spPr>
          <a:solidFill>
            <a:schemeClr val="accent1"/>
          </a:solidFill>
          <a:ln w="28575" cap="rnd">
            <a:solidFill>
              <a:schemeClr val="accent1"/>
            </a:solidFill>
            <a:round/>
          </a:ln>
          <a:effectLst/>
        </c:spPr>
        <c:marker>
          <c:symbol val="none"/>
        </c:marker>
      </c:pivotFmt>
      <c:pivotFmt>
        <c:idx val="134"/>
        <c:spPr>
          <a:solidFill>
            <a:schemeClr val="accent1"/>
          </a:solidFill>
          <a:ln w="28575" cap="rnd">
            <a:solidFill>
              <a:schemeClr val="accent1"/>
            </a:solidFill>
            <a:round/>
          </a:ln>
          <a:effectLst/>
        </c:spPr>
        <c:marker>
          <c:symbol val="none"/>
        </c:marker>
      </c:pivotFmt>
      <c:pivotFmt>
        <c:idx val="135"/>
        <c:spPr>
          <a:solidFill>
            <a:schemeClr val="accent1"/>
          </a:solidFill>
          <a:ln w="28575" cap="rnd">
            <a:solidFill>
              <a:schemeClr val="accent1"/>
            </a:solidFill>
            <a:round/>
          </a:ln>
          <a:effectLst/>
        </c:spPr>
        <c:marker>
          <c:symbol val="none"/>
        </c:marker>
      </c:pivotFmt>
      <c:pivotFmt>
        <c:idx val="136"/>
        <c:spPr>
          <a:solidFill>
            <a:schemeClr val="accent1"/>
          </a:solidFill>
          <a:ln w="28575" cap="rnd">
            <a:solidFill>
              <a:schemeClr val="accent1"/>
            </a:solidFill>
            <a:round/>
          </a:ln>
          <a:effectLst/>
        </c:spPr>
        <c:marker>
          <c:symbol val="none"/>
        </c:marker>
      </c:pivotFmt>
      <c:pivotFmt>
        <c:idx val="137"/>
        <c:spPr>
          <a:solidFill>
            <a:schemeClr val="accent1"/>
          </a:solidFill>
          <a:ln w="28575" cap="rnd">
            <a:solidFill>
              <a:schemeClr val="accent1"/>
            </a:solidFill>
            <a:round/>
          </a:ln>
          <a:effectLst/>
        </c:spPr>
        <c:marker>
          <c:symbol val="none"/>
        </c:marker>
      </c:pivotFmt>
      <c:pivotFmt>
        <c:idx val="138"/>
        <c:spPr>
          <a:solidFill>
            <a:schemeClr val="accent1"/>
          </a:solidFill>
          <a:ln w="28575" cap="rnd">
            <a:solidFill>
              <a:schemeClr val="accent1"/>
            </a:solidFill>
            <a:round/>
          </a:ln>
          <a:effectLst/>
        </c:spPr>
        <c:marker>
          <c:symbol val="none"/>
        </c:marker>
      </c:pivotFmt>
      <c:pivotFmt>
        <c:idx val="139"/>
        <c:spPr>
          <a:solidFill>
            <a:schemeClr val="accent1"/>
          </a:solidFill>
          <a:ln w="28575" cap="rnd">
            <a:solidFill>
              <a:schemeClr val="accent1"/>
            </a:solidFill>
            <a:round/>
          </a:ln>
          <a:effectLst/>
        </c:spPr>
        <c:marker>
          <c:symbol val="none"/>
        </c:marker>
      </c:pivotFmt>
      <c:pivotFmt>
        <c:idx val="140"/>
        <c:spPr>
          <a:solidFill>
            <a:schemeClr val="accent1"/>
          </a:solidFill>
          <a:ln w="28575" cap="rnd">
            <a:solidFill>
              <a:schemeClr val="accent1"/>
            </a:solidFill>
            <a:round/>
          </a:ln>
          <a:effectLst/>
        </c:spPr>
        <c:marker>
          <c:symbol val="none"/>
        </c:marker>
      </c:pivotFmt>
      <c:pivotFmt>
        <c:idx val="141"/>
        <c:spPr>
          <a:solidFill>
            <a:schemeClr val="accent1"/>
          </a:solidFill>
          <a:ln w="28575" cap="rnd">
            <a:solidFill>
              <a:schemeClr val="accent1"/>
            </a:solidFill>
            <a:round/>
          </a:ln>
          <a:effectLst/>
        </c:spPr>
        <c:marker>
          <c:symbol val="none"/>
        </c:marker>
      </c:pivotFmt>
      <c:pivotFmt>
        <c:idx val="142"/>
        <c:spPr>
          <a:solidFill>
            <a:schemeClr val="accent1"/>
          </a:solidFill>
          <a:ln w="28575" cap="rnd">
            <a:solidFill>
              <a:schemeClr val="accent1"/>
            </a:solidFill>
            <a:round/>
          </a:ln>
          <a:effectLst/>
        </c:spPr>
        <c:marker>
          <c:symbol val="none"/>
        </c:marker>
      </c:pivotFmt>
      <c:pivotFmt>
        <c:idx val="143"/>
        <c:spPr>
          <a:solidFill>
            <a:schemeClr val="accent1"/>
          </a:solidFill>
          <a:ln w="28575" cap="rnd">
            <a:solidFill>
              <a:schemeClr val="accent1"/>
            </a:solidFill>
            <a:round/>
          </a:ln>
          <a:effectLst/>
        </c:spPr>
        <c:marker>
          <c:symbol val="none"/>
        </c:marker>
      </c:pivotFmt>
      <c:pivotFmt>
        <c:idx val="144"/>
        <c:spPr>
          <a:solidFill>
            <a:schemeClr val="accent1"/>
          </a:solidFill>
          <a:ln w="28575" cap="rnd">
            <a:solidFill>
              <a:schemeClr val="accent1"/>
            </a:solidFill>
            <a:round/>
          </a:ln>
          <a:effectLst/>
        </c:spPr>
        <c:marker>
          <c:symbol val="none"/>
        </c:marker>
      </c:pivotFmt>
      <c:pivotFmt>
        <c:idx val="145"/>
        <c:spPr>
          <a:solidFill>
            <a:schemeClr val="accent1"/>
          </a:solidFill>
          <a:ln w="28575" cap="rnd">
            <a:solidFill>
              <a:schemeClr val="accent1"/>
            </a:solidFill>
            <a:round/>
          </a:ln>
          <a:effectLst/>
        </c:spPr>
        <c:marker>
          <c:symbol val="none"/>
        </c:marker>
      </c:pivotFmt>
      <c:pivotFmt>
        <c:idx val="146"/>
        <c:spPr>
          <a:solidFill>
            <a:schemeClr val="accent1"/>
          </a:solidFill>
          <a:ln w="28575" cap="rnd">
            <a:solidFill>
              <a:schemeClr val="accent1"/>
            </a:solidFill>
            <a:round/>
          </a:ln>
          <a:effectLst/>
        </c:spPr>
        <c:marker>
          <c:symbol val="none"/>
        </c:marker>
      </c:pivotFmt>
      <c:pivotFmt>
        <c:idx val="147"/>
        <c:spPr>
          <a:solidFill>
            <a:schemeClr val="accent1"/>
          </a:solidFill>
          <a:ln w="28575" cap="rnd">
            <a:solidFill>
              <a:schemeClr val="accent1"/>
            </a:solidFill>
            <a:round/>
          </a:ln>
          <a:effectLst/>
        </c:spPr>
        <c:marker>
          <c:symbol val="none"/>
        </c:marker>
      </c:pivotFmt>
      <c:pivotFmt>
        <c:idx val="148"/>
        <c:spPr>
          <a:solidFill>
            <a:schemeClr val="accent1"/>
          </a:solidFill>
          <a:ln w="28575" cap="rnd">
            <a:solidFill>
              <a:schemeClr val="accent1"/>
            </a:solidFill>
            <a:round/>
          </a:ln>
          <a:effectLst/>
        </c:spPr>
        <c:marker>
          <c:symbol val="none"/>
        </c:marker>
      </c:pivotFmt>
      <c:pivotFmt>
        <c:idx val="149"/>
        <c:spPr>
          <a:solidFill>
            <a:schemeClr val="accent1"/>
          </a:solidFill>
          <a:ln w="28575" cap="rnd">
            <a:solidFill>
              <a:schemeClr val="accent1"/>
            </a:solidFill>
            <a:round/>
          </a:ln>
          <a:effectLst/>
        </c:spPr>
        <c:marker>
          <c:symbol val="none"/>
        </c:marker>
      </c:pivotFmt>
      <c:pivotFmt>
        <c:idx val="150"/>
        <c:spPr>
          <a:solidFill>
            <a:schemeClr val="accent1"/>
          </a:solidFill>
          <a:ln w="28575" cap="rnd">
            <a:solidFill>
              <a:schemeClr val="accent1"/>
            </a:solidFill>
            <a:round/>
          </a:ln>
          <a:effectLst/>
        </c:spPr>
        <c:marker>
          <c:symbol val="none"/>
        </c:marker>
      </c:pivotFmt>
      <c:pivotFmt>
        <c:idx val="151"/>
        <c:spPr>
          <a:solidFill>
            <a:schemeClr val="accent1"/>
          </a:solidFill>
          <a:ln w="28575" cap="rnd">
            <a:solidFill>
              <a:schemeClr val="accent1"/>
            </a:solidFill>
            <a:round/>
          </a:ln>
          <a:effectLst/>
        </c:spPr>
        <c:marker>
          <c:symbol val="none"/>
        </c:marker>
      </c:pivotFmt>
      <c:pivotFmt>
        <c:idx val="152"/>
        <c:spPr>
          <a:solidFill>
            <a:schemeClr val="accent1"/>
          </a:solidFill>
          <a:ln w="28575" cap="rnd">
            <a:solidFill>
              <a:schemeClr val="accent1"/>
            </a:solidFill>
            <a:round/>
          </a:ln>
          <a:effectLst/>
        </c:spPr>
        <c:marker>
          <c:symbol val="none"/>
        </c:marker>
      </c:pivotFmt>
      <c:pivotFmt>
        <c:idx val="153"/>
        <c:spPr>
          <a:solidFill>
            <a:schemeClr val="accent1"/>
          </a:solidFill>
          <a:ln w="28575" cap="rnd">
            <a:solidFill>
              <a:schemeClr val="accent1"/>
            </a:solidFill>
            <a:round/>
          </a:ln>
          <a:effectLst/>
        </c:spPr>
        <c:marker>
          <c:symbol val="none"/>
        </c:marker>
      </c:pivotFmt>
      <c:pivotFmt>
        <c:idx val="154"/>
        <c:spPr>
          <a:solidFill>
            <a:schemeClr val="accent1"/>
          </a:solidFill>
          <a:ln w="28575" cap="rnd">
            <a:solidFill>
              <a:schemeClr val="accent1"/>
            </a:solidFill>
            <a:round/>
          </a:ln>
          <a:effectLst/>
        </c:spPr>
        <c:marker>
          <c:symbol val="none"/>
        </c:marker>
      </c:pivotFmt>
      <c:pivotFmt>
        <c:idx val="155"/>
        <c:spPr>
          <a:solidFill>
            <a:schemeClr val="accent1"/>
          </a:solidFill>
          <a:ln w="28575" cap="rnd">
            <a:solidFill>
              <a:schemeClr val="accent1"/>
            </a:solidFill>
            <a:round/>
          </a:ln>
          <a:effectLst/>
        </c:spPr>
        <c:marker>
          <c:symbol val="none"/>
        </c:marker>
      </c:pivotFmt>
      <c:pivotFmt>
        <c:idx val="156"/>
        <c:spPr>
          <a:solidFill>
            <a:schemeClr val="accent1"/>
          </a:solidFill>
          <a:ln w="28575" cap="rnd">
            <a:solidFill>
              <a:schemeClr val="accent1"/>
            </a:solidFill>
            <a:round/>
          </a:ln>
          <a:effectLst/>
        </c:spPr>
        <c:marker>
          <c:symbol val="none"/>
        </c:marker>
      </c:pivotFmt>
      <c:pivotFmt>
        <c:idx val="157"/>
        <c:spPr>
          <a:solidFill>
            <a:schemeClr val="accent1"/>
          </a:solidFill>
          <a:ln w="28575" cap="rnd">
            <a:solidFill>
              <a:schemeClr val="accent1"/>
            </a:solidFill>
            <a:round/>
          </a:ln>
          <a:effectLst/>
        </c:spPr>
        <c:marker>
          <c:symbol val="none"/>
        </c:marker>
      </c:pivotFmt>
      <c:pivotFmt>
        <c:idx val="158"/>
        <c:spPr>
          <a:solidFill>
            <a:schemeClr val="accent1"/>
          </a:solidFill>
          <a:ln w="28575" cap="rnd">
            <a:solidFill>
              <a:schemeClr val="accent1"/>
            </a:solidFill>
            <a:round/>
          </a:ln>
          <a:effectLst/>
        </c:spPr>
        <c:marker>
          <c:symbol val="none"/>
        </c:marker>
      </c:pivotFmt>
      <c:pivotFmt>
        <c:idx val="159"/>
        <c:spPr>
          <a:solidFill>
            <a:schemeClr val="accent1"/>
          </a:solidFill>
          <a:ln w="28575" cap="rnd">
            <a:solidFill>
              <a:schemeClr val="accent1"/>
            </a:solidFill>
            <a:round/>
          </a:ln>
          <a:effectLst/>
        </c:spPr>
        <c:marker>
          <c:symbol val="none"/>
        </c:marker>
      </c:pivotFmt>
      <c:pivotFmt>
        <c:idx val="160"/>
        <c:spPr>
          <a:solidFill>
            <a:schemeClr val="accent1"/>
          </a:solidFill>
          <a:ln w="28575" cap="rnd">
            <a:solidFill>
              <a:schemeClr val="accent1"/>
            </a:solidFill>
            <a:round/>
          </a:ln>
          <a:effectLst/>
        </c:spPr>
        <c:marker>
          <c:symbol val="none"/>
        </c:marker>
      </c:pivotFmt>
      <c:pivotFmt>
        <c:idx val="161"/>
        <c:spPr>
          <a:solidFill>
            <a:schemeClr val="accent1"/>
          </a:solidFill>
          <a:ln w="28575" cap="rnd">
            <a:solidFill>
              <a:schemeClr val="accent1"/>
            </a:solidFill>
            <a:round/>
          </a:ln>
          <a:effectLst/>
        </c:spPr>
        <c:marker>
          <c:symbol val="none"/>
        </c:marker>
      </c:pivotFmt>
      <c:pivotFmt>
        <c:idx val="162"/>
        <c:spPr>
          <a:solidFill>
            <a:schemeClr val="accent1"/>
          </a:solidFill>
          <a:ln w="28575" cap="rnd">
            <a:solidFill>
              <a:schemeClr val="accent1"/>
            </a:solidFill>
            <a:round/>
          </a:ln>
          <a:effectLst/>
        </c:spPr>
        <c:marker>
          <c:symbol val="none"/>
        </c:marker>
      </c:pivotFmt>
      <c:pivotFmt>
        <c:idx val="163"/>
        <c:spPr>
          <a:solidFill>
            <a:schemeClr val="accent1"/>
          </a:solidFill>
          <a:ln w="28575" cap="rnd">
            <a:solidFill>
              <a:schemeClr val="accent1"/>
            </a:solidFill>
            <a:round/>
          </a:ln>
          <a:effectLst/>
        </c:spPr>
        <c:marker>
          <c:symbol val="none"/>
        </c:marker>
      </c:pivotFmt>
      <c:pivotFmt>
        <c:idx val="164"/>
        <c:spPr>
          <a:solidFill>
            <a:schemeClr val="accent1"/>
          </a:solidFill>
          <a:ln w="28575" cap="rnd">
            <a:solidFill>
              <a:schemeClr val="accent1"/>
            </a:solidFill>
            <a:round/>
          </a:ln>
          <a:effectLst/>
        </c:spPr>
        <c:marker>
          <c:symbol val="none"/>
        </c:marker>
      </c:pivotFmt>
      <c:pivotFmt>
        <c:idx val="165"/>
        <c:spPr>
          <a:solidFill>
            <a:schemeClr val="accent1"/>
          </a:solidFill>
          <a:ln w="28575" cap="rnd">
            <a:solidFill>
              <a:schemeClr val="accent1"/>
            </a:solidFill>
            <a:round/>
          </a:ln>
          <a:effectLst/>
        </c:spPr>
        <c:marker>
          <c:symbol val="none"/>
        </c:marker>
      </c:pivotFmt>
      <c:pivotFmt>
        <c:idx val="166"/>
        <c:spPr>
          <a:solidFill>
            <a:schemeClr val="accent1"/>
          </a:solidFill>
          <a:ln w="28575" cap="rnd">
            <a:solidFill>
              <a:schemeClr val="accent1"/>
            </a:solidFill>
            <a:round/>
          </a:ln>
          <a:effectLst/>
        </c:spPr>
        <c:marker>
          <c:symbol val="none"/>
        </c:marker>
      </c:pivotFmt>
      <c:pivotFmt>
        <c:idx val="167"/>
        <c:spPr>
          <a:solidFill>
            <a:schemeClr val="accent1"/>
          </a:solidFill>
          <a:ln w="28575" cap="rnd">
            <a:solidFill>
              <a:schemeClr val="accent1"/>
            </a:solidFill>
            <a:round/>
          </a:ln>
          <a:effectLst/>
        </c:spPr>
        <c:marker>
          <c:symbol val="none"/>
        </c:marker>
      </c:pivotFmt>
      <c:pivotFmt>
        <c:idx val="168"/>
        <c:spPr>
          <a:solidFill>
            <a:schemeClr val="accent1"/>
          </a:solidFill>
          <a:ln w="28575" cap="rnd">
            <a:solidFill>
              <a:schemeClr val="accent1"/>
            </a:solidFill>
            <a:round/>
          </a:ln>
          <a:effectLst/>
        </c:spPr>
        <c:marker>
          <c:symbol val="none"/>
        </c:marker>
      </c:pivotFmt>
      <c:pivotFmt>
        <c:idx val="169"/>
        <c:spPr>
          <a:solidFill>
            <a:schemeClr val="accent1"/>
          </a:solidFill>
          <a:ln w="28575" cap="rnd">
            <a:solidFill>
              <a:schemeClr val="accent1"/>
            </a:solidFill>
            <a:round/>
          </a:ln>
          <a:effectLst/>
        </c:spPr>
        <c:marker>
          <c:symbol val="none"/>
        </c:marker>
      </c:pivotFmt>
      <c:pivotFmt>
        <c:idx val="170"/>
        <c:spPr>
          <a:solidFill>
            <a:schemeClr val="accent1"/>
          </a:solidFill>
          <a:ln w="28575" cap="rnd">
            <a:solidFill>
              <a:schemeClr val="accent1"/>
            </a:solidFill>
            <a:round/>
          </a:ln>
          <a:effectLst/>
        </c:spPr>
        <c:marker>
          <c:symbol val="none"/>
        </c:marker>
      </c:pivotFmt>
      <c:pivotFmt>
        <c:idx val="171"/>
        <c:spPr>
          <a:solidFill>
            <a:schemeClr val="accent1"/>
          </a:solidFill>
          <a:ln w="28575" cap="rnd">
            <a:solidFill>
              <a:schemeClr val="accent1"/>
            </a:solidFill>
            <a:round/>
          </a:ln>
          <a:effectLst/>
        </c:spPr>
        <c:marker>
          <c:symbol val="none"/>
        </c:marker>
      </c:pivotFmt>
      <c:pivotFmt>
        <c:idx val="172"/>
        <c:spPr>
          <a:solidFill>
            <a:schemeClr val="accent1"/>
          </a:solidFill>
          <a:ln w="28575" cap="rnd">
            <a:solidFill>
              <a:schemeClr val="accent1"/>
            </a:solidFill>
            <a:round/>
          </a:ln>
          <a:effectLst/>
        </c:spPr>
        <c:marker>
          <c:symbol val="none"/>
        </c:marker>
      </c:pivotFmt>
      <c:pivotFmt>
        <c:idx val="173"/>
        <c:spPr>
          <a:solidFill>
            <a:schemeClr val="accent1"/>
          </a:solidFill>
          <a:ln w="28575" cap="rnd">
            <a:solidFill>
              <a:schemeClr val="accent1"/>
            </a:solidFill>
            <a:round/>
          </a:ln>
          <a:effectLst/>
        </c:spPr>
        <c:marker>
          <c:symbol val="none"/>
        </c:marker>
      </c:pivotFmt>
      <c:pivotFmt>
        <c:idx val="174"/>
        <c:spPr>
          <a:solidFill>
            <a:schemeClr val="accent1"/>
          </a:solidFill>
          <a:ln w="28575" cap="rnd">
            <a:solidFill>
              <a:schemeClr val="accent1"/>
            </a:solidFill>
            <a:round/>
          </a:ln>
          <a:effectLst/>
        </c:spPr>
        <c:marker>
          <c:symbol val="none"/>
        </c:marker>
      </c:pivotFmt>
      <c:pivotFmt>
        <c:idx val="175"/>
        <c:spPr>
          <a:solidFill>
            <a:schemeClr val="accent1"/>
          </a:solidFill>
          <a:ln w="28575" cap="rnd">
            <a:solidFill>
              <a:schemeClr val="accent1"/>
            </a:solidFill>
            <a:round/>
          </a:ln>
          <a:effectLst/>
        </c:spPr>
        <c:marker>
          <c:symbol val="none"/>
        </c:marker>
      </c:pivotFmt>
      <c:pivotFmt>
        <c:idx val="176"/>
        <c:spPr>
          <a:solidFill>
            <a:schemeClr val="accent1"/>
          </a:solidFill>
          <a:ln w="28575" cap="rnd">
            <a:solidFill>
              <a:schemeClr val="accent1"/>
            </a:solidFill>
            <a:round/>
          </a:ln>
          <a:effectLst/>
        </c:spPr>
        <c:marker>
          <c:symbol val="none"/>
        </c:marker>
      </c:pivotFmt>
      <c:pivotFmt>
        <c:idx val="177"/>
        <c:spPr>
          <a:solidFill>
            <a:schemeClr val="accent1"/>
          </a:solidFill>
          <a:ln w="28575" cap="rnd">
            <a:solidFill>
              <a:schemeClr val="accent1"/>
            </a:solidFill>
            <a:round/>
          </a:ln>
          <a:effectLst/>
        </c:spPr>
        <c:marker>
          <c:symbol val="none"/>
        </c:marker>
      </c:pivotFmt>
      <c:pivotFmt>
        <c:idx val="178"/>
        <c:spPr>
          <a:solidFill>
            <a:schemeClr val="accent1"/>
          </a:solidFill>
          <a:ln w="28575" cap="rnd">
            <a:solidFill>
              <a:schemeClr val="accent1"/>
            </a:solidFill>
            <a:round/>
          </a:ln>
          <a:effectLst/>
        </c:spPr>
        <c:marker>
          <c:symbol val="none"/>
        </c:marker>
      </c:pivotFmt>
      <c:pivotFmt>
        <c:idx val="179"/>
        <c:spPr>
          <a:solidFill>
            <a:schemeClr val="accent1"/>
          </a:solidFill>
          <a:ln w="28575" cap="rnd">
            <a:solidFill>
              <a:schemeClr val="accent1"/>
            </a:solidFill>
            <a:round/>
          </a:ln>
          <a:effectLst/>
        </c:spPr>
        <c:marker>
          <c:symbol val="none"/>
        </c:marker>
      </c:pivotFmt>
      <c:pivotFmt>
        <c:idx val="180"/>
        <c:spPr>
          <a:solidFill>
            <a:schemeClr val="accent1"/>
          </a:solidFill>
          <a:ln w="28575" cap="rnd">
            <a:solidFill>
              <a:schemeClr val="accent1"/>
            </a:solidFill>
            <a:round/>
          </a:ln>
          <a:effectLst/>
        </c:spPr>
        <c:marker>
          <c:symbol val="none"/>
        </c:marker>
      </c:pivotFmt>
      <c:pivotFmt>
        <c:idx val="181"/>
        <c:spPr>
          <a:solidFill>
            <a:schemeClr val="accent1"/>
          </a:solidFill>
          <a:ln w="28575" cap="rnd">
            <a:solidFill>
              <a:schemeClr val="accent1"/>
            </a:solidFill>
            <a:round/>
          </a:ln>
          <a:effectLst/>
        </c:spPr>
        <c:marker>
          <c:symbol val="none"/>
        </c:marker>
      </c:pivotFmt>
      <c:pivotFmt>
        <c:idx val="182"/>
        <c:spPr>
          <a:solidFill>
            <a:schemeClr val="accent1"/>
          </a:solidFill>
          <a:ln w="28575" cap="rnd">
            <a:solidFill>
              <a:schemeClr val="accent1"/>
            </a:solidFill>
            <a:round/>
          </a:ln>
          <a:effectLst/>
        </c:spPr>
        <c:marker>
          <c:symbol val="none"/>
        </c:marker>
      </c:pivotFmt>
      <c:pivotFmt>
        <c:idx val="183"/>
        <c:spPr>
          <a:solidFill>
            <a:schemeClr val="accent1"/>
          </a:solidFill>
          <a:ln w="28575" cap="rnd">
            <a:solidFill>
              <a:schemeClr val="accent1"/>
            </a:solidFill>
            <a:round/>
          </a:ln>
          <a:effectLst/>
        </c:spPr>
        <c:marker>
          <c:symbol val="none"/>
        </c:marker>
      </c:pivotFmt>
      <c:pivotFmt>
        <c:idx val="184"/>
        <c:spPr>
          <a:solidFill>
            <a:schemeClr val="accent1"/>
          </a:solidFill>
          <a:ln w="28575" cap="rnd">
            <a:solidFill>
              <a:schemeClr val="accent1"/>
            </a:solidFill>
            <a:round/>
          </a:ln>
          <a:effectLst/>
        </c:spPr>
        <c:marker>
          <c:symbol val="none"/>
        </c:marker>
      </c:pivotFmt>
      <c:pivotFmt>
        <c:idx val="185"/>
        <c:spPr>
          <a:solidFill>
            <a:schemeClr val="accent1"/>
          </a:solidFill>
          <a:ln w="28575" cap="rnd">
            <a:solidFill>
              <a:schemeClr val="accent1"/>
            </a:solidFill>
            <a:round/>
          </a:ln>
          <a:effectLst/>
        </c:spPr>
        <c:marker>
          <c:symbol val="none"/>
        </c:marker>
      </c:pivotFmt>
      <c:pivotFmt>
        <c:idx val="186"/>
        <c:spPr>
          <a:solidFill>
            <a:schemeClr val="accent1"/>
          </a:solidFill>
          <a:ln w="28575" cap="rnd">
            <a:solidFill>
              <a:schemeClr val="accent1"/>
            </a:solidFill>
            <a:round/>
          </a:ln>
          <a:effectLst/>
        </c:spPr>
        <c:marker>
          <c:symbol val="none"/>
        </c:marker>
      </c:pivotFmt>
      <c:pivotFmt>
        <c:idx val="187"/>
        <c:spPr>
          <a:solidFill>
            <a:schemeClr val="accent1"/>
          </a:solidFill>
          <a:ln w="28575" cap="rnd">
            <a:solidFill>
              <a:schemeClr val="accent1"/>
            </a:solidFill>
            <a:round/>
          </a:ln>
          <a:effectLst/>
        </c:spPr>
        <c:marker>
          <c:symbol val="none"/>
        </c:marker>
      </c:pivotFmt>
      <c:pivotFmt>
        <c:idx val="188"/>
        <c:spPr>
          <a:solidFill>
            <a:schemeClr val="accent1"/>
          </a:solidFill>
          <a:ln w="28575" cap="rnd">
            <a:solidFill>
              <a:schemeClr val="accent1"/>
            </a:solidFill>
            <a:round/>
          </a:ln>
          <a:effectLst/>
        </c:spPr>
        <c:marker>
          <c:symbol val="none"/>
        </c:marker>
      </c:pivotFmt>
      <c:pivotFmt>
        <c:idx val="189"/>
        <c:spPr>
          <a:solidFill>
            <a:schemeClr val="accent1"/>
          </a:solidFill>
          <a:ln w="28575" cap="rnd">
            <a:solidFill>
              <a:schemeClr val="accent1"/>
            </a:solidFill>
            <a:round/>
          </a:ln>
          <a:effectLst/>
        </c:spPr>
        <c:marker>
          <c:symbol val="none"/>
        </c:marker>
      </c:pivotFmt>
      <c:pivotFmt>
        <c:idx val="190"/>
        <c:spPr>
          <a:solidFill>
            <a:schemeClr val="accent1"/>
          </a:solidFill>
          <a:ln w="28575" cap="rnd">
            <a:solidFill>
              <a:schemeClr val="accent1"/>
            </a:solidFill>
            <a:round/>
          </a:ln>
          <a:effectLst/>
        </c:spPr>
        <c:marker>
          <c:symbol val="none"/>
        </c:marker>
      </c:pivotFmt>
      <c:pivotFmt>
        <c:idx val="191"/>
        <c:spPr>
          <a:solidFill>
            <a:schemeClr val="accent1"/>
          </a:solidFill>
          <a:ln w="28575" cap="rnd">
            <a:solidFill>
              <a:schemeClr val="accent1"/>
            </a:solidFill>
            <a:round/>
          </a:ln>
          <a:effectLst/>
        </c:spPr>
        <c:marker>
          <c:symbol val="none"/>
        </c:marker>
      </c:pivotFmt>
    </c:pivotFmts>
    <c:plotArea>
      <c:layout>
        <c:manualLayout>
          <c:layoutTarget val="inner"/>
          <c:xMode val="edge"/>
          <c:yMode val="edge"/>
          <c:x val="4.8079367244556165E-2"/>
          <c:y val="8.1483767006810301E-2"/>
          <c:w val="0.89211264190121098"/>
          <c:h val="0.62978547141090202"/>
        </c:manualLayout>
      </c:layout>
      <c:lineChart>
        <c:grouping val="standard"/>
        <c:varyColors val="0"/>
        <c:dLbls>
          <c:showLegendKey val="0"/>
          <c:showVal val="0"/>
          <c:showCatName val="0"/>
          <c:showSerName val="0"/>
          <c:showPercent val="0"/>
          <c:showBubbleSize val="0"/>
        </c:dLbls>
        <c:marker val="1"/>
        <c:smooth val="0"/>
        <c:axId val="229129784"/>
        <c:axId val="229244408"/>
      </c:lineChart>
      <c:catAx>
        <c:axId val="229129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9244408"/>
        <c:crosses val="autoZero"/>
        <c:auto val="1"/>
        <c:lblAlgn val="ctr"/>
        <c:lblOffset val="100"/>
        <c:noMultiLvlLbl val="0"/>
      </c:catAx>
      <c:valAx>
        <c:axId val="229244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91297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Prices!PivotTable1</c:name>
    <c:fmtId val="1"/>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
        <c:idx val="71"/>
        <c:spPr>
          <a:solidFill>
            <a:schemeClr val="accent1"/>
          </a:solidFill>
          <a:ln w="28575" cap="rnd">
            <a:solidFill>
              <a:schemeClr val="accent1"/>
            </a:solidFill>
            <a:round/>
          </a:ln>
          <a:effectLst/>
        </c:spPr>
        <c:marker>
          <c:symbol val="none"/>
        </c:marker>
      </c:pivotFmt>
      <c:pivotFmt>
        <c:idx val="72"/>
        <c:spPr>
          <a:solidFill>
            <a:schemeClr val="accent1"/>
          </a:solidFill>
          <a:ln w="28575" cap="rnd">
            <a:solidFill>
              <a:schemeClr val="accent1"/>
            </a:solidFill>
            <a:round/>
          </a:ln>
          <a:effectLst/>
        </c:spPr>
        <c:marker>
          <c:symbol val="none"/>
        </c:marker>
      </c:pivotFmt>
      <c:pivotFmt>
        <c:idx val="73"/>
        <c:spPr>
          <a:solidFill>
            <a:schemeClr val="accent1"/>
          </a:solidFill>
          <a:ln w="28575" cap="rnd">
            <a:solidFill>
              <a:schemeClr val="accent1"/>
            </a:solidFill>
            <a:round/>
          </a:ln>
          <a:effectLst/>
        </c:spPr>
        <c:marker>
          <c:symbol val="none"/>
        </c:marker>
      </c:pivotFmt>
      <c:pivotFmt>
        <c:idx val="74"/>
        <c:spPr>
          <a:solidFill>
            <a:schemeClr val="accent1"/>
          </a:solidFill>
          <a:ln w="28575" cap="rnd">
            <a:solidFill>
              <a:schemeClr val="accent1"/>
            </a:solidFill>
            <a:round/>
          </a:ln>
          <a:effectLst/>
        </c:spPr>
        <c:marker>
          <c:symbol val="none"/>
        </c:marker>
      </c:pivotFmt>
      <c:pivotFmt>
        <c:idx val="75"/>
        <c:spPr>
          <a:solidFill>
            <a:schemeClr val="accent1"/>
          </a:solidFill>
          <a:ln w="28575" cap="rnd">
            <a:solidFill>
              <a:schemeClr val="accent1"/>
            </a:solidFill>
            <a:round/>
          </a:ln>
          <a:effectLst/>
        </c:spPr>
        <c:marker>
          <c:symbol val="none"/>
        </c:marker>
      </c:pivotFmt>
      <c:pivotFmt>
        <c:idx val="76"/>
        <c:spPr>
          <a:solidFill>
            <a:schemeClr val="accent1"/>
          </a:solidFill>
          <a:ln w="28575" cap="rnd">
            <a:solidFill>
              <a:schemeClr val="accent1"/>
            </a:solidFill>
            <a:round/>
          </a:ln>
          <a:effectLst/>
        </c:spPr>
        <c:marker>
          <c:symbol val="none"/>
        </c:marker>
      </c:pivotFmt>
      <c:pivotFmt>
        <c:idx val="77"/>
        <c:spPr>
          <a:solidFill>
            <a:schemeClr val="accent1"/>
          </a:solidFill>
          <a:ln w="28575" cap="rnd">
            <a:solidFill>
              <a:schemeClr val="accent1"/>
            </a:solidFill>
            <a:round/>
          </a:ln>
          <a:effectLst/>
        </c:spPr>
        <c:marker>
          <c:symbol val="none"/>
        </c:marker>
      </c:pivotFmt>
      <c:pivotFmt>
        <c:idx val="78"/>
        <c:spPr>
          <a:solidFill>
            <a:schemeClr val="accent1"/>
          </a:solidFill>
          <a:ln w="28575" cap="rnd">
            <a:solidFill>
              <a:schemeClr val="accent1"/>
            </a:solidFill>
            <a:round/>
          </a:ln>
          <a:effectLst/>
        </c:spPr>
        <c:marker>
          <c:symbol val="none"/>
        </c:marker>
      </c:pivotFmt>
      <c:pivotFmt>
        <c:idx val="79"/>
        <c:spPr>
          <a:solidFill>
            <a:schemeClr val="accent1"/>
          </a:solidFill>
          <a:ln w="28575" cap="rnd">
            <a:solidFill>
              <a:schemeClr val="accent1"/>
            </a:solidFill>
            <a:round/>
          </a:ln>
          <a:effectLst/>
        </c:spPr>
        <c:marker>
          <c:symbol val="none"/>
        </c:marker>
      </c:pivotFmt>
      <c:pivotFmt>
        <c:idx val="80"/>
        <c:spPr>
          <a:solidFill>
            <a:schemeClr val="accent1"/>
          </a:solidFill>
          <a:ln w="28575" cap="rnd">
            <a:solidFill>
              <a:schemeClr val="accent1"/>
            </a:solidFill>
            <a:round/>
          </a:ln>
          <a:effectLst/>
        </c:spPr>
        <c:marker>
          <c:symbol val="none"/>
        </c:marker>
      </c:pivotFmt>
      <c:pivotFmt>
        <c:idx val="81"/>
        <c:spPr>
          <a:solidFill>
            <a:schemeClr val="accent1"/>
          </a:solidFill>
          <a:ln w="28575" cap="rnd">
            <a:solidFill>
              <a:schemeClr val="accent1"/>
            </a:solidFill>
            <a:round/>
          </a:ln>
          <a:effectLst/>
        </c:spPr>
        <c:marker>
          <c:symbol val="none"/>
        </c:marker>
      </c:pivotFmt>
      <c:pivotFmt>
        <c:idx val="82"/>
        <c:spPr>
          <a:solidFill>
            <a:schemeClr val="accent1"/>
          </a:solidFill>
          <a:ln w="28575" cap="rnd">
            <a:solidFill>
              <a:schemeClr val="accent1"/>
            </a:solidFill>
            <a:round/>
          </a:ln>
          <a:effectLst/>
        </c:spPr>
        <c:marker>
          <c:symbol val="none"/>
        </c:marker>
      </c:pivotFmt>
      <c:pivotFmt>
        <c:idx val="83"/>
        <c:spPr>
          <a:solidFill>
            <a:schemeClr val="accent1"/>
          </a:solidFill>
          <a:ln w="28575" cap="rnd">
            <a:solidFill>
              <a:schemeClr val="accent1"/>
            </a:solidFill>
            <a:round/>
          </a:ln>
          <a:effectLst/>
        </c:spPr>
        <c:marker>
          <c:symbol val="none"/>
        </c:marker>
      </c:pivotFmt>
      <c:pivotFmt>
        <c:idx val="84"/>
        <c:spPr>
          <a:solidFill>
            <a:schemeClr val="accent1"/>
          </a:solidFill>
          <a:ln w="28575" cap="rnd">
            <a:solidFill>
              <a:schemeClr val="accent1"/>
            </a:solidFill>
            <a:round/>
          </a:ln>
          <a:effectLst/>
        </c:spPr>
        <c:marker>
          <c:symbol val="none"/>
        </c:marker>
      </c:pivotFmt>
      <c:pivotFmt>
        <c:idx val="85"/>
        <c:spPr>
          <a:solidFill>
            <a:schemeClr val="accent1"/>
          </a:solidFill>
          <a:ln w="28575" cap="rnd">
            <a:solidFill>
              <a:schemeClr val="accent1"/>
            </a:solidFill>
            <a:round/>
          </a:ln>
          <a:effectLst/>
        </c:spPr>
        <c:marker>
          <c:symbol val="none"/>
        </c:marker>
      </c:pivotFmt>
      <c:pivotFmt>
        <c:idx val="86"/>
        <c:spPr>
          <a:solidFill>
            <a:schemeClr val="accent1"/>
          </a:solidFill>
          <a:ln w="28575" cap="rnd">
            <a:solidFill>
              <a:schemeClr val="accent1"/>
            </a:solidFill>
            <a:round/>
          </a:ln>
          <a:effectLst/>
        </c:spPr>
        <c:marker>
          <c:symbol val="none"/>
        </c:marker>
      </c:pivotFmt>
      <c:pivotFmt>
        <c:idx val="87"/>
        <c:spPr>
          <a:solidFill>
            <a:schemeClr val="accent1"/>
          </a:solidFill>
          <a:ln w="28575" cap="rnd">
            <a:solidFill>
              <a:schemeClr val="accent1"/>
            </a:solidFill>
            <a:round/>
          </a:ln>
          <a:effectLst/>
        </c:spPr>
        <c:marker>
          <c:symbol val="none"/>
        </c:marker>
      </c:pivotFmt>
      <c:pivotFmt>
        <c:idx val="88"/>
        <c:spPr>
          <a:solidFill>
            <a:schemeClr val="accent1"/>
          </a:solidFill>
          <a:ln w="28575" cap="rnd">
            <a:solidFill>
              <a:schemeClr val="accent1"/>
            </a:solidFill>
            <a:round/>
          </a:ln>
          <a:effectLst/>
        </c:spPr>
        <c:marker>
          <c:symbol val="none"/>
        </c:marker>
      </c:pivotFmt>
      <c:pivotFmt>
        <c:idx val="89"/>
        <c:spPr>
          <a:solidFill>
            <a:schemeClr val="accent1"/>
          </a:solidFill>
          <a:ln w="28575" cap="rnd">
            <a:solidFill>
              <a:schemeClr val="accent1"/>
            </a:solidFill>
            <a:round/>
          </a:ln>
          <a:effectLst/>
        </c:spPr>
        <c:marker>
          <c:symbol val="none"/>
        </c:marker>
      </c:pivotFmt>
      <c:pivotFmt>
        <c:idx val="90"/>
        <c:spPr>
          <a:solidFill>
            <a:schemeClr val="accent1"/>
          </a:solidFill>
          <a:ln w="28575" cap="rnd">
            <a:solidFill>
              <a:schemeClr val="accent1"/>
            </a:solidFill>
            <a:round/>
          </a:ln>
          <a:effectLst/>
        </c:spPr>
        <c:marker>
          <c:symbol val="none"/>
        </c:marker>
      </c:pivotFmt>
      <c:pivotFmt>
        <c:idx val="91"/>
        <c:spPr>
          <a:solidFill>
            <a:schemeClr val="accent1"/>
          </a:solidFill>
          <a:ln w="28575" cap="rnd">
            <a:solidFill>
              <a:schemeClr val="accent1"/>
            </a:solidFill>
            <a:round/>
          </a:ln>
          <a:effectLst/>
        </c:spPr>
        <c:marker>
          <c:symbol val="none"/>
        </c:marker>
      </c:pivotFmt>
      <c:pivotFmt>
        <c:idx val="92"/>
        <c:spPr>
          <a:solidFill>
            <a:schemeClr val="accent1"/>
          </a:solidFill>
          <a:ln w="28575" cap="rnd">
            <a:solidFill>
              <a:schemeClr val="accent1"/>
            </a:solidFill>
            <a:round/>
          </a:ln>
          <a:effectLst/>
        </c:spPr>
        <c:marker>
          <c:symbol val="none"/>
        </c:marker>
      </c:pivotFmt>
      <c:pivotFmt>
        <c:idx val="93"/>
        <c:spPr>
          <a:solidFill>
            <a:schemeClr val="accent1"/>
          </a:solidFill>
          <a:ln w="28575" cap="rnd">
            <a:solidFill>
              <a:schemeClr val="accent1"/>
            </a:solidFill>
            <a:round/>
          </a:ln>
          <a:effectLst/>
        </c:spPr>
        <c:marker>
          <c:symbol val="none"/>
        </c:marker>
      </c:pivotFmt>
      <c:pivotFmt>
        <c:idx val="94"/>
        <c:spPr>
          <a:solidFill>
            <a:schemeClr val="accent1"/>
          </a:solidFill>
          <a:ln w="28575" cap="rnd">
            <a:solidFill>
              <a:schemeClr val="accent1"/>
            </a:solidFill>
            <a:round/>
          </a:ln>
          <a:effectLst/>
        </c:spPr>
        <c:marker>
          <c:symbol val="none"/>
        </c:marker>
      </c:pivotFmt>
      <c:pivotFmt>
        <c:idx val="95"/>
        <c:spPr>
          <a:solidFill>
            <a:schemeClr val="accent1"/>
          </a:solidFill>
          <a:ln w="28575" cap="rnd">
            <a:solidFill>
              <a:schemeClr val="accent1"/>
            </a:solidFill>
            <a:round/>
          </a:ln>
          <a:effectLst/>
        </c:spPr>
        <c:marker>
          <c:symbol val="none"/>
        </c:marker>
      </c:pivotFmt>
      <c:pivotFmt>
        <c:idx val="96"/>
        <c:spPr>
          <a:solidFill>
            <a:schemeClr val="accent1"/>
          </a:solidFill>
          <a:ln w="28575" cap="rnd">
            <a:solidFill>
              <a:schemeClr val="accent1"/>
            </a:solidFill>
            <a:round/>
          </a:ln>
          <a:effectLst/>
        </c:spPr>
        <c:marker>
          <c:symbol val="none"/>
        </c:marker>
      </c:pivotFmt>
      <c:pivotFmt>
        <c:idx val="97"/>
        <c:spPr>
          <a:solidFill>
            <a:schemeClr val="accent1"/>
          </a:solidFill>
          <a:ln w="28575" cap="rnd">
            <a:solidFill>
              <a:schemeClr val="accent1"/>
            </a:solidFill>
            <a:round/>
          </a:ln>
          <a:effectLst/>
        </c:spPr>
        <c:marker>
          <c:symbol val="none"/>
        </c:marker>
      </c:pivotFmt>
      <c:pivotFmt>
        <c:idx val="98"/>
        <c:spPr>
          <a:solidFill>
            <a:schemeClr val="accent1"/>
          </a:solidFill>
          <a:ln w="28575" cap="rnd">
            <a:solidFill>
              <a:schemeClr val="accent1"/>
            </a:solidFill>
            <a:round/>
          </a:ln>
          <a:effectLst/>
        </c:spPr>
        <c:marker>
          <c:symbol val="none"/>
        </c:marker>
      </c:pivotFmt>
      <c:pivotFmt>
        <c:idx val="99"/>
        <c:spPr>
          <a:solidFill>
            <a:schemeClr val="accent1"/>
          </a:solidFill>
          <a:ln w="28575" cap="rnd">
            <a:solidFill>
              <a:schemeClr val="accent1"/>
            </a:solidFill>
            <a:round/>
          </a:ln>
          <a:effectLst/>
        </c:spPr>
        <c:marker>
          <c:symbol val="none"/>
        </c:marker>
      </c:pivotFmt>
      <c:pivotFmt>
        <c:idx val="100"/>
        <c:spPr>
          <a:solidFill>
            <a:schemeClr val="accent1"/>
          </a:solidFill>
          <a:ln w="28575" cap="rnd">
            <a:solidFill>
              <a:schemeClr val="accent1"/>
            </a:solidFill>
            <a:round/>
          </a:ln>
          <a:effectLst/>
        </c:spPr>
        <c:marker>
          <c:symbol val="none"/>
        </c:marker>
      </c:pivotFmt>
      <c:pivotFmt>
        <c:idx val="101"/>
        <c:spPr>
          <a:solidFill>
            <a:schemeClr val="accent1"/>
          </a:solidFill>
          <a:ln w="28575" cap="rnd">
            <a:solidFill>
              <a:schemeClr val="accent1"/>
            </a:solidFill>
            <a:round/>
          </a:ln>
          <a:effectLst/>
        </c:spPr>
        <c:marker>
          <c:symbol val="none"/>
        </c:marker>
      </c:pivotFmt>
      <c:pivotFmt>
        <c:idx val="102"/>
        <c:spPr>
          <a:solidFill>
            <a:schemeClr val="accent1"/>
          </a:solidFill>
          <a:ln w="28575" cap="rnd">
            <a:solidFill>
              <a:schemeClr val="accent1"/>
            </a:solidFill>
            <a:round/>
          </a:ln>
          <a:effectLst/>
        </c:spPr>
        <c:marker>
          <c:symbol val="none"/>
        </c:marker>
      </c:pivotFmt>
      <c:pivotFmt>
        <c:idx val="103"/>
        <c:spPr>
          <a:solidFill>
            <a:schemeClr val="accent1"/>
          </a:solidFill>
          <a:ln w="28575" cap="rnd">
            <a:solidFill>
              <a:schemeClr val="accent1"/>
            </a:solidFill>
            <a:round/>
          </a:ln>
          <a:effectLst/>
        </c:spPr>
        <c:marker>
          <c:symbol val="none"/>
        </c:marker>
      </c:pivotFmt>
      <c:pivotFmt>
        <c:idx val="104"/>
        <c:spPr>
          <a:solidFill>
            <a:schemeClr val="accent1"/>
          </a:solidFill>
          <a:ln w="28575" cap="rnd">
            <a:solidFill>
              <a:schemeClr val="accent1"/>
            </a:solidFill>
            <a:round/>
          </a:ln>
          <a:effectLst/>
        </c:spPr>
        <c:marker>
          <c:symbol val="none"/>
        </c:marker>
      </c:pivotFmt>
      <c:pivotFmt>
        <c:idx val="105"/>
        <c:spPr>
          <a:solidFill>
            <a:schemeClr val="accent1"/>
          </a:solidFill>
          <a:ln w="28575" cap="rnd">
            <a:solidFill>
              <a:schemeClr val="accent1"/>
            </a:solidFill>
            <a:round/>
          </a:ln>
          <a:effectLst/>
        </c:spPr>
        <c:marker>
          <c:symbol val="none"/>
        </c:marker>
      </c:pivotFmt>
      <c:pivotFmt>
        <c:idx val="106"/>
        <c:spPr>
          <a:solidFill>
            <a:schemeClr val="accent1"/>
          </a:solidFill>
          <a:ln w="28575" cap="rnd">
            <a:solidFill>
              <a:schemeClr val="accent1"/>
            </a:solidFill>
            <a:round/>
          </a:ln>
          <a:effectLst/>
        </c:spPr>
        <c:marker>
          <c:symbol val="none"/>
        </c:marker>
      </c:pivotFmt>
      <c:pivotFmt>
        <c:idx val="107"/>
        <c:spPr>
          <a:solidFill>
            <a:schemeClr val="accent1"/>
          </a:solidFill>
          <a:ln w="28575" cap="rnd">
            <a:solidFill>
              <a:schemeClr val="accent1"/>
            </a:solidFill>
            <a:round/>
          </a:ln>
          <a:effectLst/>
        </c:spPr>
        <c:marker>
          <c:symbol val="none"/>
        </c:marker>
      </c:pivotFmt>
      <c:pivotFmt>
        <c:idx val="108"/>
        <c:spPr>
          <a:solidFill>
            <a:schemeClr val="accent1"/>
          </a:solidFill>
          <a:ln w="28575" cap="rnd">
            <a:solidFill>
              <a:schemeClr val="accent1"/>
            </a:solidFill>
            <a:round/>
          </a:ln>
          <a:effectLst/>
        </c:spPr>
        <c:marker>
          <c:symbol val="none"/>
        </c:marker>
      </c:pivotFmt>
      <c:pivotFmt>
        <c:idx val="109"/>
        <c:spPr>
          <a:solidFill>
            <a:schemeClr val="accent1"/>
          </a:solidFill>
          <a:ln w="28575" cap="rnd">
            <a:solidFill>
              <a:schemeClr val="accent1"/>
            </a:solidFill>
            <a:round/>
          </a:ln>
          <a:effectLst/>
        </c:spPr>
        <c:marker>
          <c:symbol val="none"/>
        </c:marker>
      </c:pivotFmt>
      <c:pivotFmt>
        <c:idx val="110"/>
        <c:spPr>
          <a:solidFill>
            <a:schemeClr val="accent1"/>
          </a:solidFill>
          <a:ln w="28575" cap="rnd">
            <a:solidFill>
              <a:schemeClr val="accent1"/>
            </a:solidFill>
            <a:round/>
          </a:ln>
          <a:effectLst/>
        </c:spPr>
        <c:marker>
          <c:symbol val="none"/>
        </c:marker>
      </c:pivotFmt>
      <c:pivotFmt>
        <c:idx val="111"/>
        <c:spPr>
          <a:solidFill>
            <a:schemeClr val="accent1"/>
          </a:solidFill>
          <a:ln w="28575" cap="rnd">
            <a:solidFill>
              <a:schemeClr val="accent1"/>
            </a:solidFill>
            <a:round/>
          </a:ln>
          <a:effectLst/>
        </c:spPr>
        <c:marker>
          <c:symbol val="none"/>
        </c:marker>
      </c:pivotFmt>
      <c:pivotFmt>
        <c:idx val="112"/>
        <c:spPr>
          <a:solidFill>
            <a:schemeClr val="accent1"/>
          </a:solidFill>
          <a:ln w="28575" cap="rnd">
            <a:solidFill>
              <a:schemeClr val="accent1"/>
            </a:solidFill>
            <a:round/>
          </a:ln>
          <a:effectLst/>
        </c:spPr>
        <c:marker>
          <c:symbol val="none"/>
        </c:marker>
      </c:pivotFmt>
      <c:pivotFmt>
        <c:idx val="113"/>
        <c:spPr>
          <a:solidFill>
            <a:schemeClr val="accent1"/>
          </a:solidFill>
          <a:ln w="28575" cap="rnd">
            <a:solidFill>
              <a:schemeClr val="accent1"/>
            </a:solidFill>
            <a:round/>
          </a:ln>
          <a:effectLst/>
        </c:spPr>
        <c:marker>
          <c:symbol val="none"/>
        </c:marker>
      </c:pivotFmt>
      <c:pivotFmt>
        <c:idx val="114"/>
        <c:spPr>
          <a:solidFill>
            <a:schemeClr val="accent1"/>
          </a:solidFill>
          <a:ln w="28575" cap="rnd">
            <a:solidFill>
              <a:schemeClr val="accent1"/>
            </a:solidFill>
            <a:round/>
          </a:ln>
          <a:effectLst/>
        </c:spPr>
        <c:marker>
          <c:symbol val="none"/>
        </c:marker>
      </c:pivotFmt>
      <c:pivotFmt>
        <c:idx val="115"/>
        <c:spPr>
          <a:solidFill>
            <a:schemeClr val="accent1"/>
          </a:solidFill>
          <a:ln w="28575" cap="rnd">
            <a:solidFill>
              <a:schemeClr val="accent1"/>
            </a:solidFill>
            <a:round/>
          </a:ln>
          <a:effectLst/>
        </c:spPr>
        <c:marker>
          <c:symbol val="none"/>
        </c:marker>
      </c:pivotFmt>
      <c:pivotFmt>
        <c:idx val="116"/>
        <c:spPr>
          <a:solidFill>
            <a:schemeClr val="accent1"/>
          </a:solidFill>
          <a:ln w="28575" cap="rnd">
            <a:solidFill>
              <a:schemeClr val="accent1"/>
            </a:solidFill>
            <a:round/>
          </a:ln>
          <a:effectLst/>
        </c:spPr>
        <c:marker>
          <c:symbol val="none"/>
        </c:marker>
      </c:pivotFmt>
      <c:pivotFmt>
        <c:idx val="117"/>
        <c:spPr>
          <a:solidFill>
            <a:schemeClr val="accent1"/>
          </a:solidFill>
          <a:ln w="28575" cap="rnd">
            <a:solidFill>
              <a:schemeClr val="accent1"/>
            </a:solidFill>
            <a:round/>
          </a:ln>
          <a:effectLst/>
        </c:spPr>
        <c:marker>
          <c:symbol val="none"/>
        </c:marker>
      </c:pivotFmt>
      <c:pivotFmt>
        <c:idx val="118"/>
        <c:spPr>
          <a:solidFill>
            <a:schemeClr val="accent1"/>
          </a:solidFill>
          <a:ln w="28575" cap="rnd">
            <a:solidFill>
              <a:schemeClr val="accent1"/>
            </a:solidFill>
            <a:round/>
          </a:ln>
          <a:effectLst/>
        </c:spPr>
        <c:marker>
          <c:symbol val="none"/>
        </c:marker>
      </c:pivotFmt>
      <c:pivotFmt>
        <c:idx val="119"/>
        <c:spPr>
          <a:solidFill>
            <a:schemeClr val="accent1"/>
          </a:solidFill>
          <a:ln w="28575" cap="rnd">
            <a:solidFill>
              <a:schemeClr val="accent1"/>
            </a:solidFill>
            <a:round/>
          </a:ln>
          <a:effectLst/>
        </c:spPr>
        <c:marker>
          <c:symbol val="none"/>
        </c:marker>
      </c:pivotFmt>
      <c:pivotFmt>
        <c:idx val="120"/>
        <c:spPr>
          <a:solidFill>
            <a:schemeClr val="accent1"/>
          </a:solidFill>
          <a:ln w="28575" cap="rnd">
            <a:solidFill>
              <a:schemeClr val="accent1"/>
            </a:solidFill>
            <a:round/>
          </a:ln>
          <a:effectLst/>
        </c:spPr>
        <c:marker>
          <c:symbol val="none"/>
        </c:marker>
      </c:pivotFmt>
      <c:pivotFmt>
        <c:idx val="121"/>
        <c:spPr>
          <a:solidFill>
            <a:schemeClr val="accent1"/>
          </a:solidFill>
          <a:ln w="28575" cap="rnd">
            <a:solidFill>
              <a:schemeClr val="accent1"/>
            </a:solidFill>
            <a:round/>
          </a:ln>
          <a:effectLst/>
        </c:spPr>
        <c:marker>
          <c:symbol val="none"/>
        </c:marker>
      </c:pivotFmt>
      <c:pivotFmt>
        <c:idx val="122"/>
        <c:spPr>
          <a:solidFill>
            <a:schemeClr val="accent1"/>
          </a:solidFill>
          <a:ln w="28575" cap="rnd">
            <a:solidFill>
              <a:schemeClr val="accent1"/>
            </a:solidFill>
            <a:round/>
          </a:ln>
          <a:effectLst/>
        </c:spPr>
        <c:marker>
          <c:symbol val="none"/>
        </c:marker>
      </c:pivotFmt>
      <c:pivotFmt>
        <c:idx val="123"/>
        <c:spPr>
          <a:solidFill>
            <a:schemeClr val="accent1"/>
          </a:solidFill>
          <a:ln w="28575" cap="rnd">
            <a:solidFill>
              <a:schemeClr val="accent1"/>
            </a:solidFill>
            <a:round/>
          </a:ln>
          <a:effectLst/>
        </c:spPr>
        <c:marker>
          <c:symbol val="none"/>
        </c:marker>
      </c:pivotFmt>
      <c:pivotFmt>
        <c:idx val="124"/>
        <c:spPr>
          <a:solidFill>
            <a:schemeClr val="accent1"/>
          </a:solidFill>
          <a:ln w="28575" cap="rnd">
            <a:solidFill>
              <a:schemeClr val="accent1"/>
            </a:solidFill>
            <a:round/>
          </a:ln>
          <a:effectLst/>
        </c:spPr>
        <c:marker>
          <c:symbol val="none"/>
        </c:marker>
      </c:pivotFmt>
      <c:pivotFmt>
        <c:idx val="125"/>
        <c:spPr>
          <a:solidFill>
            <a:schemeClr val="accent1"/>
          </a:solidFill>
          <a:ln w="28575" cap="rnd">
            <a:solidFill>
              <a:schemeClr val="accent1"/>
            </a:solidFill>
            <a:round/>
          </a:ln>
          <a:effectLst/>
        </c:spPr>
        <c:marker>
          <c:symbol val="none"/>
        </c:marker>
      </c:pivotFmt>
      <c:pivotFmt>
        <c:idx val="126"/>
        <c:spPr>
          <a:solidFill>
            <a:schemeClr val="accent1"/>
          </a:solidFill>
          <a:ln w="28575" cap="rnd">
            <a:solidFill>
              <a:schemeClr val="accent1"/>
            </a:solidFill>
            <a:round/>
          </a:ln>
          <a:effectLst/>
        </c:spPr>
        <c:marker>
          <c:symbol val="none"/>
        </c:marker>
      </c:pivotFmt>
      <c:pivotFmt>
        <c:idx val="127"/>
        <c:spPr>
          <a:solidFill>
            <a:schemeClr val="accent1"/>
          </a:solidFill>
          <a:ln w="28575" cap="rnd">
            <a:solidFill>
              <a:schemeClr val="accent1"/>
            </a:solidFill>
            <a:round/>
          </a:ln>
          <a:effectLst/>
        </c:spPr>
        <c:marker>
          <c:symbol val="none"/>
        </c:marker>
      </c:pivotFmt>
      <c:pivotFmt>
        <c:idx val="128"/>
        <c:spPr>
          <a:solidFill>
            <a:schemeClr val="accent1"/>
          </a:solidFill>
          <a:ln w="28575" cap="rnd">
            <a:solidFill>
              <a:schemeClr val="accent1"/>
            </a:solidFill>
            <a:round/>
          </a:ln>
          <a:effectLst/>
        </c:spPr>
        <c:marker>
          <c:symbol val="none"/>
        </c:marker>
      </c:pivotFmt>
      <c:pivotFmt>
        <c:idx val="129"/>
        <c:spPr>
          <a:solidFill>
            <a:schemeClr val="accent1"/>
          </a:solidFill>
          <a:ln w="28575" cap="rnd">
            <a:solidFill>
              <a:schemeClr val="accent1"/>
            </a:solidFill>
            <a:round/>
          </a:ln>
          <a:effectLst/>
        </c:spPr>
        <c:marker>
          <c:symbol val="none"/>
        </c:marker>
      </c:pivotFmt>
      <c:pivotFmt>
        <c:idx val="130"/>
        <c:spPr>
          <a:solidFill>
            <a:schemeClr val="accent1"/>
          </a:solidFill>
          <a:ln w="28575" cap="rnd">
            <a:solidFill>
              <a:schemeClr val="accent1"/>
            </a:solidFill>
            <a:round/>
          </a:ln>
          <a:effectLst/>
        </c:spPr>
        <c:marker>
          <c:symbol val="none"/>
        </c:marker>
      </c:pivotFmt>
      <c:pivotFmt>
        <c:idx val="131"/>
        <c:spPr>
          <a:solidFill>
            <a:schemeClr val="accent1"/>
          </a:solidFill>
          <a:ln w="28575" cap="rnd">
            <a:solidFill>
              <a:schemeClr val="accent1"/>
            </a:solidFill>
            <a:round/>
          </a:ln>
          <a:effectLst/>
        </c:spPr>
        <c:marker>
          <c:symbol val="none"/>
        </c:marker>
      </c:pivotFmt>
      <c:pivotFmt>
        <c:idx val="132"/>
        <c:spPr>
          <a:solidFill>
            <a:schemeClr val="accent1"/>
          </a:solidFill>
          <a:ln w="28575" cap="rnd">
            <a:solidFill>
              <a:schemeClr val="accent1"/>
            </a:solidFill>
            <a:round/>
          </a:ln>
          <a:effectLst/>
        </c:spPr>
        <c:marker>
          <c:symbol val="none"/>
        </c:marker>
      </c:pivotFmt>
      <c:pivotFmt>
        <c:idx val="133"/>
        <c:spPr>
          <a:solidFill>
            <a:schemeClr val="accent1"/>
          </a:solidFill>
          <a:ln w="28575" cap="rnd">
            <a:solidFill>
              <a:schemeClr val="accent1"/>
            </a:solidFill>
            <a:round/>
          </a:ln>
          <a:effectLst/>
        </c:spPr>
        <c:marker>
          <c:symbol val="none"/>
        </c:marker>
      </c:pivotFmt>
      <c:pivotFmt>
        <c:idx val="134"/>
        <c:spPr>
          <a:solidFill>
            <a:schemeClr val="accent1"/>
          </a:solidFill>
          <a:ln w="28575" cap="rnd">
            <a:solidFill>
              <a:schemeClr val="accent1"/>
            </a:solidFill>
            <a:round/>
          </a:ln>
          <a:effectLst/>
        </c:spPr>
        <c:marker>
          <c:symbol val="none"/>
        </c:marker>
      </c:pivotFmt>
      <c:pivotFmt>
        <c:idx val="135"/>
        <c:spPr>
          <a:solidFill>
            <a:schemeClr val="accent1"/>
          </a:solidFill>
          <a:ln w="28575" cap="rnd">
            <a:solidFill>
              <a:schemeClr val="accent1"/>
            </a:solidFill>
            <a:round/>
          </a:ln>
          <a:effectLst/>
        </c:spPr>
        <c:marker>
          <c:symbol val="none"/>
        </c:marker>
      </c:pivotFmt>
      <c:pivotFmt>
        <c:idx val="136"/>
        <c:spPr>
          <a:solidFill>
            <a:schemeClr val="accent1"/>
          </a:solidFill>
          <a:ln w="28575" cap="rnd">
            <a:solidFill>
              <a:schemeClr val="accent1"/>
            </a:solidFill>
            <a:round/>
          </a:ln>
          <a:effectLst/>
        </c:spPr>
        <c:marker>
          <c:symbol val="none"/>
        </c:marker>
      </c:pivotFmt>
      <c:pivotFmt>
        <c:idx val="137"/>
        <c:spPr>
          <a:solidFill>
            <a:schemeClr val="accent1"/>
          </a:solidFill>
          <a:ln w="28575" cap="rnd">
            <a:solidFill>
              <a:schemeClr val="accent1"/>
            </a:solidFill>
            <a:round/>
          </a:ln>
          <a:effectLst/>
        </c:spPr>
        <c:marker>
          <c:symbol val="none"/>
        </c:marker>
      </c:pivotFmt>
      <c:pivotFmt>
        <c:idx val="138"/>
        <c:spPr>
          <a:solidFill>
            <a:schemeClr val="accent1"/>
          </a:solidFill>
          <a:ln w="28575" cap="rnd">
            <a:solidFill>
              <a:schemeClr val="accent1"/>
            </a:solidFill>
            <a:round/>
          </a:ln>
          <a:effectLst/>
        </c:spPr>
        <c:marker>
          <c:symbol val="none"/>
        </c:marker>
      </c:pivotFmt>
      <c:pivotFmt>
        <c:idx val="139"/>
        <c:spPr>
          <a:solidFill>
            <a:schemeClr val="accent1"/>
          </a:solidFill>
          <a:ln w="28575" cap="rnd">
            <a:solidFill>
              <a:schemeClr val="accent1"/>
            </a:solidFill>
            <a:round/>
          </a:ln>
          <a:effectLst/>
        </c:spPr>
        <c:marker>
          <c:symbol val="none"/>
        </c:marker>
      </c:pivotFmt>
      <c:pivotFmt>
        <c:idx val="140"/>
        <c:spPr>
          <a:solidFill>
            <a:schemeClr val="accent1"/>
          </a:solidFill>
          <a:ln w="28575" cap="rnd">
            <a:solidFill>
              <a:schemeClr val="accent1"/>
            </a:solidFill>
            <a:round/>
          </a:ln>
          <a:effectLst/>
        </c:spPr>
        <c:marker>
          <c:symbol val="none"/>
        </c:marker>
      </c:pivotFmt>
      <c:pivotFmt>
        <c:idx val="141"/>
        <c:spPr>
          <a:solidFill>
            <a:schemeClr val="accent1"/>
          </a:solidFill>
          <a:ln w="28575" cap="rnd">
            <a:solidFill>
              <a:schemeClr val="accent1"/>
            </a:solidFill>
            <a:round/>
          </a:ln>
          <a:effectLst/>
        </c:spPr>
        <c:marker>
          <c:symbol val="none"/>
        </c:marker>
      </c:pivotFmt>
      <c:pivotFmt>
        <c:idx val="142"/>
        <c:spPr>
          <a:solidFill>
            <a:schemeClr val="accent1"/>
          </a:solidFill>
          <a:ln w="28575" cap="rnd">
            <a:solidFill>
              <a:schemeClr val="accent1"/>
            </a:solidFill>
            <a:round/>
          </a:ln>
          <a:effectLst/>
        </c:spPr>
        <c:marker>
          <c:symbol val="none"/>
        </c:marker>
      </c:pivotFmt>
      <c:pivotFmt>
        <c:idx val="143"/>
        <c:spPr>
          <a:solidFill>
            <a:schemeClr val="accent1"/>
          </a:solidFill>
          <a:ln w="28575" cap="rnd">
            <a:solidFill>
              <a:schemeClr val="accent1"/>
            </a:solidFill>
            <a:round/>
          </a:ln>
          <a:effectLst/>
        </c:spPr>
        <c:marker>
          <c:symbol val="none"/>
        </c:marker>
      </c:pivotFmt>
      <c:pivotFmt>
        <c:idx val="144"/>
        <c:spPr>
          <a:solidFill>
            <a:schemeClr val="accent1"/>
          </a:solidFill>
          <a:ln w="28575" cap="rnd">
            <a:solidFill>
              <a:schemeClr val="accent1"/>
            </a:solidFill>
            <a:round/>
          </a:ln>
          <a:effectLst/>
        </c:spPr>
        <c:marker>
          <c:symbol val="none"/>
        </c:marker>
      </c:pivotFmt>
      <c:pivotFmt>
        <c:idx val="145"/>
        <c:spPr>
          <a:solidFill>
            <a:schemeClr val="accent1"/>
          </a:solidFill>
          <a:ln w="28575" cap="rnd">
            <a:solidFill>
              <a:schemeClr val="accent1"/>
            </a:solidFill>
            <a:round/>
          </a:ln>
          <a:effectLst/>
        </c:spPr>
        <c:marker>
          <c:symbol val="none"/>
        </c:marker>
      </c:pivotFmt>
      <c:pivotFmt>
        <c:idx val="146"/>
        <c:spPr>
          <a:solidFill>
            <a:schemeClr val="accent1"/>
          </a:solidFill>
          <a:ln w="28575" cap="rnd">
            <a:solidFill>
              <a:schemeClr val="accent1"/>
            </a:solidFill>
            <a:round/>
          </a:ln>
          <a:effectLst/>
        </c:spPr>
        <c:marker>
          <c:symbol val="none"/>
        </c:marker>
      </c:pivotFmt>
      <c:pivotFmt>
        <c:idx val="147"/>
        <c:spPr>
          <a:solidFill>
            <a:schemeClr val="accent1"/>
          </a:solidFill>
          <a:ln w="28575" cap="rnd">
            <a:solidFill>
              <a:schemeClr val="accent1"/>
            </a:solidFill>
            <a:round/>
          </a:ln>
          <a:effectLst/>
        </c:spPr>
        <c:marker>
          <c:symbol val="none"/>
        </c:marker>
      </c:pivotFmt>
      <c:pivotFmt>
        <c:idx val="148"/>
        <c:spPr>
          <a:solidFill>
            <a:schemeClr val="accent1"/>
          </a:solidFill>
          <a:ln w="28575" cap="rnd">
            <a:solidFill>
              <a:schemeClr val="accent1"/>
            </a:solidFill>
            <a:round/>
          </a:ln>
          <a:effectLst/>
        </c:spPr>
        <c:marker>
          <c:symbol val="none"/>
        </c:marker>
      </c:pivotFmt>
      <c:pivotFmt>
        <c:idx val="149"/>
        <c:spPr>
          <a:solidFill>
            <a:schemeClr val="accent1"/>
          </a:solidFill>
          <a:ln w="28575" cap="rnd">
            <a:solidFill>
              <a:schemeClr val="accent1"/>
            </a:solidFill>
            <a:round/>
          </a:ln>
          <a:effectLst/>
        </c:spPr>
        <c:marker>
          <c:symbol val="none"/>
        </c:marker>
      </c:pivotFmt>
      <c:pivotFmt>
        <c:idx val="150"/>
        <c:spPr>
          <a:solidFill>
            <a:schemeClr val="accent1"/>
          </a:solidFill>
          <a:ln w="28575" cap="rnd">
            <a:solidFill>
              <a:schemeClr val="accent1"/>
            </a:solidFill>
            <a:round/>
          </a:ln>
          <a:effectLst/>
        </c:spPr>
        <c:marker>
          <c:symbol val="none"/>
        </c:marker>
      </c:pivotFmt>
      <c:pivotFmt>
        <c:idx val="151"/>
        <c:spPr>
          <a:solidFill>
            <a:schemeClr val="accent1"/>
          </a:solidFill>
          <a:ln w="28575" cap="rnd">
            <a:solidFill>
              <a:schemeClr val="accent1"/>
            </a:solidFill>
            <a:round/>
          </a:ln>
          <a:effectLst/>
        </c:spPr>
        <c:marker>
          <c:symbol val="none"/>
        </c:marker>
      </c:pivotFmt>
      <c:pivotFmt>
        <c:idx val="152"/>
        <c:spPr>
          <a:solidFill>
            <a:schemeClr val="accent1"/>
          </a:solidFill>
          <a:ln w="28575" cap="rnd">
            <a:solidFill>
              <a:schemeClr val="accent1"/>
            </a:solidFill>
            <a:round/>
          </a:ln>
          <a:effectLst/>
        </c:spPr>
        <c:marker>
          <c:symbol val="none"/>
        </c:marker>
      </c:pivotFmt>
      <c:pivotFmt>
        <c:idx val="153"/>
        <c:spPr>
          <a:solidFill>
            <a:schemeClr val="accent1"/>
          </a:solidFill>
          <a:ln w="28575" cap="rnd">
            <a:solidFill>
              <a:schemeClr val="accent1"/>
            </a:solidFill>
            <a:round/>
          </a:ln>
          <a:effectLst/>
        </c:spPr>
        <c:marker>
          <c:symbol val="none"/>
        </c:marker>
      </c:pivotFmt>
      <c:pivotFmt>
        <c:idx val="154"/>
        <c:spPr>
          <a:solidFill>
            <a:schemeClr val="accent1"/>
          </a:solidFill>
          <a:ln w="28575" cap="rnd">
            <a:solidFill>
              <a:schemeClr val="accent1"/>
            </a:solidFill>
            <a:round/>
          </a:ln>
          <a:effectLst/>
        </c:spPr>
        <c:marker>
          <c:symbol val="none"/>
        </c:marker>
      </c:pivotFmt>
      <c:pivotFmt>
        <c:idx val="155"/>
        <c:spPr>
          <a:solidFill>
            <a:schemeClr val="accent1"/>
          </a:solidFill>
          <a:ln w="28575" cap="rnd">
            <a:solidFill>
              <a:schemeClr val="accent1"/>
            </a:solidFill>
            <a:round/>
          </a:ln>
          <a:effectLst/>
        </c:spPr>
        <c:marker>
          <c:symbol val="none"/>
        </c:marker>
      </c:pivotFmt>
      <c:pivotFmt>
        <c:idx val="156"/>
        <c:spPr>
          <a:solidFill>
            <a:schemeClr val="accent1"/>
          </a:solidFill>
          <a:ln w="28575" cap="rnd">
            <a:solidFill>
              <a:schemeClr val="accent1"/>
            </a:solidFill>
            <a:round/>
          </a:ln>
          <a:effectLst/>
        </c:spPr>
        <c:marker>
          <c:symbol val="none"/>
        </c:marker>
      </c:pivotFmt>
      <c:pivotFmt>
        <c:idx val="157"/>
        <c:spPr>
          <a:solidFill>
            <a:schemeClr val="accent1"/>
          </a:solidFill>
          <a:ln w="28575" cap="rnd">
            <a:solidFill>
              <a:schemeClr val="accent1"/>
            </a:solidFill>
            <a:round/>
          </a:ln>
          <a:effectLst/>
        </c:spPr>
        <c:marker>
          <c:symbol val="none"/>
        </c:marker>
      </c:pivotFmt>
    </c:pivotFmts>
    <c:plotArea>
      <c:layout/>
      <c:lineChart>
        <c:grouping val="standard"/>
        <c:varyColors val="0"/>
        <c:dLbls>
          <c:showLegendKey val="0"/>
          <c:showVal val="0"/>
          <c:showCatName val="0"/>
          <c:showSerName val="0"/>
          <c:showPercent val="0"/>
          <c:showBubbleSize val="0"/>
        </c:dLbls>
        <c:marker val="1"/>
        <c:smooth val="0"/>
        <c:axId val="228367160"/>
        <c:axId val="267029456"/>
      </c:lineChart>
      <c:catAx>
        <c:axId val="228367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029456"/>
        <c:crosses val="autoZero"/>
        <c:auto val="1"/>
        <c:lblAlgn val="ctr"/>
        <c:lblOffset val="100"/>
        <c:noMultiLvlLbl val="0"/>
      </c:catAx>
      <c:valAx>
        <c:axId val="2670294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83671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 Annual!PivotTable5</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6">
              <a:lumMod val="40000"/>
              <a:lumOff val="60000"/>
            </a:schemeClr>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2">
              <a:lumMod val="75000"/>
            </a:schemeClr>
          </a:solidFill>
          <a:ln>
            <a:noFill/>
          </a:ln>
          <a:effectLst/>
        </c:spPr>
        <c:marker>
          <c:symbol val="none"/>
        </c:marker>
      </c:pivotFmt>
      <c:pivotFmt>
        <c:idx val="8"/>
        <c:spPr>
          <a:solidFill>
            <a:schemeClr val="accent5">
              <a:lumMod val="75000"/>
            </a:schemeClr>
          </a:solidFill>
          <a:ln>
            <a:noFill/>
          </a:ln>
          <a:effectLst/>
        </c:spPr>
        <c:marker>
          <c:symbol val="none"/>
        </c:marker>
      </c:pivotFmt>
      <c:pivotFmt>
        <c:idx val="9"/>
        <c:spPr>
          <a:solidFill>
            <a:schemeClr val="accent1">
              <a:lumMod val="60000"/>
              <a:lumOff val="40000"/>
            </a:schemeClr>
          </a:solidFill>
          <a:ln>
            <a:noFill/>
          </a:ln>
          <a:effectLst/>
        </c:spPr>
        <c:marker>
          <c:symbol val="none"/>
        </c:marker>
      </c:pivotFmt>
      <c:pivotFmt>
        <c:idx val="10"/>
        <c:spPr>
          <a:solidFill>
            <a:schemeClr val="accent2">
              <a:lumMod val="75000"/>
            </a:schemeClr>
          </a:solidFill>
          <a:ln>
            <a:noFill/>
          </a:ln>
          <a:effectLst/>
        </c:spPr>
        <c:marker>
          <c:symbol val="none"/>
        </c:marker>
      </c:pivotFmt>
      <c:pivotFmt>
        <c:idx val="11"/>
        <c:spPr>
          <a:solidFill>
            <a:schemeClr val="accent6">
              <a:lumMod val="40000"/>
              <a:lumOff val="60000"/>
            </a:schemeClr>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s>
    <c:plotArea>
      <c:layout/>
      <c:barChart>
        <c:barDir val="col"/>
        <c:grouping val="stacked"/>
        <c:varyColors val="0"/>
        <c:ser>
          <c:idx val="0"/>
          <c:order val="0"/>
          <c:tx>
            <c:strRef>
              <c:f>'EL GEN - Annual'!$E$3:$E$4</c:f>
              <c:strCache>
                <c:ptCount val="1"/>
                <c:pt idx="0">
                  <c:v>SUN</c:v>
                </c:pt>
              </c:strCache>
            </c:strRef>
          </c:tx>
          <c:spPr>
            <a:solidFill>
              <a:schemeClr val="accent1"/>
            </a:solidFill>
            <a:ln>
              <a:noFill/>
            </a:ln>
            <a:effectLst/>
          </c:spPr>
          <c:invertIfNegative val="0"/>
          <c:cat>
            <c:multiLvlStrRef>
              <c:f>'EL GEN - Annual'!$B$5:$D$8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 Annual'!$E$5:$E$8</c:f>
              <c:numCache>
                <c:formatCode>0.000</c:formatCode>
                <c:ptCount val="3"/>
                <c:pt idx="2">
                  <c:v>8.7830410424068805E-2</c:v>
                </c:pt>
              </c:numCache>
            </c:numRef>
          </c:val>
          <c:extLst>
            <c:ext xmlns:c16="http://schemas.microsoft.com/office/drawing/2014/chart" uri="{C3380CC4-5D6E-409C-BE32-E72D297353CC}">
              <c16:uniqueId val="{00000000-BF6E-492A-8A93-28F303A6814F}"/>
            </c:ext>
          </c:extLst>
        </c:ser>
        <c:ser>
          <c:idx val="1"/>
          <c:order val="1"/>
          <c:tx>
            <c:strRef>
              <c:f>'EL GEN - Annual'!$F$3:$F$4</c:f>
              <c:strCache>
                <c:ptCount val="1"/>
                <c:pt idx="0">
                  <c:v>WIND</c:v>
                </c:pt>
              </c:strCache>
            </c:strRef>
          </c:tx>
          <c:spPr>
            <a:solidFill>
              <a:schemeClr val="accent2"/>
            </a:solidFill>
            <a:ln>
              <a:noFill/>
            </a:ln>
            <a:effectLst/>
          </c:spPr>
          <c:invertIfNegative val="0"/>
          <c:cat>
            <c:multiLvlStrRef>
              <c:f>'EL GEN - Annual'!$B$5:$D$8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 Annual'!$F$5:$F$8</c:f>
              <c:numCache>
                <c:formatCode>0.000</c:formatCode>
                <c:ptCount val="3"/>
                <c:pt idx="0">
                  <c:v>0.78061100000000005</c:v>
                </c:pt>
                <c:pt idx="1">
                  <c:v>0.11622</c:v>
                </c:pt>
                <c:pt idx="2">
                  <c:v>0.98593299999999995</c:v>
                </c:pt>
              </c:numCache>
            </c:numRef>
          </c:val>
          <c:extLst>
            <c:ext xmlns:c16="http://schemas.microsoft.com/office/drawing/2014/chart" uri="{C3380CC4-5D6E-409C-BE32-E72D297353CC}">
              <c16:uniqueId val="{0000003A-A5BC-4316-973C-CE6888433685}"/>
            </c:ext>
          </c:extLst>
        </c:ser>
        <c:ser>
          <c:idx val="2"/>
          <c:order val="2"/>
          <c:tx>
            <c:strRef>
              <c:f>'EL GEN - Annual'!$G$3:$G$4</c:f>
              <c:strCache>
                <c:ptCount val="1"/>
                <c:pt idx="0">
                  <c:v>NATGAS</c:v>
                </c:pt>
              </c:strCache>
            </c:strRef>
          </c:tx>
          <c:spPr>
            <a:solidFill>
              <a:schemeClr val="accent3"/>
            </a:solidFill>
            <a:ln>
              <a:noFill/>
            </a:ln>
            <a:effectLst/>
          </c:spPr>
          <c:invertIfNegative val="0"/>
          <c:cat>
            <c:multiLvlStrRef>
              <c:f>'EL GEN - Annual'!$B$5:$D$8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 Annual'!$G$5:$G$8</c:f>
              <c:numCache>
                <c:formatCode>General</c:formatCode>
                <c:ptCount val="3"/>
                <c:pt idx="0">
                  <c:v>0.92639293887548102</c:v>
                </c:pt>
                <c:pt idx="1">
                  <c:v>9.9245981999999984</c:v>
                </c:pt>
                <c:pt idx="2">
                  <c:v>14.246631044929995</c:v>
                </c:pt>
              </c:numCache>
            </c:numRef>
          </c:val>
          <c:extLst>
            <c:ext xmlns:c16="http://schemas.microsoft.com/office/drawing/2014/chart" uri="{C3380CC4-5D6E-409C-BE32-E72D297353CC}">
              <c16:uniqueId val="{0000003B-A5BC-4316-973C-CE6888433685}"/>
            </c:ext>
          </c:extLst>
        </c:ser>
        <c:ser>
          <c:idx val="3"/>
          <c:order val="3"/>
          <c:tx>
            <c:strRef>
              <c:f>'EL GEN - Annual'!$H$3:$H$4</c:f>
              <c:strCache>
                <c:ptCount val="1"/>
                <c:pt idx="0">
                  <c:v>MUNIWASTE</c:v>
                </c:pt>
              </c:strCache>
            </c:strRef>
          </c:tx>
          <c:spPr>
            <a:solidFill>
              <a:schemeClr val="accent4"/>
            </a:solidFill>
            <a:ln>
              <a:noFill/>
            </a:ln>
            <a:effectLst/>
          </c:spPr>
          <c:invertIfNegative val="0"/>
          <c:cat>
            <c:multiLvlStrRef>
              <c:f>'EL GEN - Annual'!$B$5:$D$8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 Annual'!$H$5:$H$8</c:f>
              <c:numCache>
                <c:formatCode>General</c:formatCode>
                <c:ptCount val="3"/>
                <c:pt idx="0">
                  <c:v>0.14892</c:v>
                </c:pt>
                <c:pt idx="2">
                  <c:v>1.01616</c:v>
                </c:pt>
              </c:numCache>
            </c:numRef>
          </c:val>
          <c:extLst>
            <c:ext xmlns:c16="http://schemas.microsoft.com/office/drawing/2014/chart" uri="{C3380CC4-5D6E-409C-BE32-E72D297353CC}">
              <c16:uniqueId val="{0000003C-A5BC-4316-973C-CE6888433685}"/>
            </c:ext>
          </c:extLst>
        </c:ser>
        <c:ser>
          <c:idx val="4"/>
          <c:order val="4"/>
          <c:tx>
            <c:strRef>
              <c:f>'EL GEN - Annual'!$I$3:$I$4</c:f>
              <c:strCache>
                <c:ptCount val="1"/>
                <c:pt idx="0">
                  <c:v>WATER</c:v>
                </c:pt>
              </c:strCache>
            </c:strRef>
          </c:tx>
          <c:spPr>
            <a:solidFill>
              <a:schemeClr val="accent5"/>
            </a:solidFill>
            <a:ln>
              <a:noFill/>
            </a:ln>
            <a:effectLst/>
          </c:spPr>
          <c:invertIfNegative val="0"/>
          <c:cat>
            <c:multiLvlStrRef>
              <c:f>'EL GEN - Annual'!$B$5:$D$8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 Annual'!$I$5:$I$8</c:f>
              <c:numCache>
                <c:formatCode>General</c:formatCode>
                <c:ptCount val="3"/>
                <c:pt idx="0">
                  <c:v>0.03</c:v>
                </c:pt>
                <c:pt idx="1">
                  <c:v>4.0200000000000001E-4</c:v>
                </c:pt>
                <c:pt idx="2">
                  <c:v>0.64760399999999996</c:v>
                </c:pt>
              </c:numCache>
            </c:numRef>
          </c:val>
          <c:extLst>
            <c:ext xmlns:c16="http://schemas.microsoft.com/office/drawing/2014/chart" uri="{C3380CC4-5D6E-409C-BE32-E72D297353CC}">
              <c16:uniqueId val="{0000003D-A5BC-4316-973C-CE6888433685}"/>
            </c:ext>
          </c:extLst>
        </c:ser>
        <c:ser>
          <c:idx val="5"/>
          <c:order val="5"/>
          <c:tx>
            <c:strRef>
              <c:f>'EL GEN - Annual'!$J$3:$J$4</c:f>
              <c:strCache>
                <c:ptCount val="1"/>
                <c:pt idx="0">
                  <c:v>WOODWASTE</c:v>
                </c:pt>
              </c:strCache>
            </c:strRef>
          </c:tx>
          <c:spPr>
            <a:solidFill>
              <a:schemeClr val="accent6"/>
            </a:solidFill>
            <a:ln>
              <a:noFill/>
            </a:ln>
            <a:effectLst/>
          </c:spPr>
          <c:invertIfNegative val="0"/>
          <c:cat>
            <c:multiLvlStrRef>
              <c:f>'EL GEN - Annual'!$B$5:$D$8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 Annual'!$J$5:$J$8</c:f>
              <c:numCache>
                <c:formatCode>General</c:formatCode>
                <c:ptCount val="3"/>
                <c:pt idx="0">
                  <c:v>0.20147999999999999</c:v>
                </c:pt>
                <c:pt idx="2">
                  <c:v>9.1104000000000004E-2</c:v>
                </c:pt>
              </c:numCache>
            </c:numRef>
          </c:val>
          <c:extLst>
            <c:ext xmlns:c16="http://schemas.microsoft.com/office/drawing/2014/chart" uri="{C3380CC4-5D6E-409C-BE32-E72D297353CC}">
              <c16:uniqueId val="{0000003E-A5BC-4316-973C-CE6888433685}"/>
            </c:ext>
          </c:extLst>
        </c:ser>
        <c:ser>
          <c:idx val="6"/>
          <c:order val="6"/>
          <c:tx>
            <c:strRef>
              <c:f>'EL GEN - Annual'!$K$3:$K$4</c:f>
              <c:strCache>
                <c:ptCount val="1"/>
                <c:pt idx="0">
                  <c:v>WOOD</c:v>
                </c:pt>
              </c:strCache>
            </c:strRef>
          </c:tx>
          <c:spPr>
            <a:solidFill>
              <a:schemeClr val="accent1">
                <a:lumMod val="60000"/>
              </a:schemeClr>
            </a:solidFill>
            <a:ln>
              <a:noFill/>
            </a:ln>
            <a:effectLst/>
          </c:spPr>
          <c:invertIfNegative val="0"/>
          <c:cat>
            <c:multiLvlStrRef>
              <c:f>'EL GEN - Annual'!$B$5:$D$8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 Annual'!$K$5:$K$8</c:f>
              <c:numCache>
                <c:formatCode>General</c:formatCode>
                <c:ptCount val="3"/>
                <c:pt idx="0">
                  <c:v>0.92596912492851424</c:v>
                </c:pt>
                <c:pt idx="1">
                  <c:v>0.47304000000000002</c:v>
                </c:pt>
                <c:pt idx="2">
                  <c:v>4.7303999999999999E-2</c:v>
                </c:pt>
              </c:numCache>
            </c:numRef>
          </c:val>
          <c:extLst>
            <c:ext xmlns:c16="http://schemas.microsoft.com/office/drawing/2014/chart" uri="{C3380CC4-5D6E-409C-BE32-E72D297353CC}">
              <c16:uniqueId val="{0000003F-A5BC-4316-973C-CE6888433685}"/>
            </c:ext>
          </c:extLst>
        </c:ser>
        <c:ser>
          <c:idx val="7"/>
          <c:order val="7"/>
          <c:tx>
            <c:strRef>
              <c:f>'EL GEN - Annual'!$L$3:$L$4</c:f>
              <c:strCache>
                <c:ptCount val="1"/>
                <c:pt idx="0">
                  <c:v>HEAT</c:v>
                </c:pt>
              </c:strCache>
            </c:strRef>
          </c:tx>
          <c:spPr>
            <a:solidFill>
              <a:schemeClr val="accent2">
                <a:lumMod val="60000"/>
              </a:schemeClr>
            </a:solidFill>
            <a:ln>
              <a:noFill/>
            </a:ln>
            <a:effectLst/>
          </c:spPr>
          <c:invertIfNegative val="0"/>
          <c:cat>
            <c:multiLvlStrRef>
              <c:f>'EL GEN - Annual'!$B$5:$D$8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 Annual'!$L$5:$L$8</c:f>
              <c:numCache>
                <c:formatCode>General</c:formatCode>
                <c:ptCount val="3"/>
                <c:pt idx="2">
                  <c:v>0.32412000000000002</c:v>
                </c:pt>
              </c:numCache>
            </c:numRef>
          </c:val>
          <c:extLst>
            <c:ext xmlns:c16="http://schemas.microsoft.com/office/drawing/2014/chart" uri="{C3380CC4-5D6E-409C-BE32-E72D297353CC}">
              <c16:uniqueId val="{00000122-A5BC-4316-973C-CE6888433685}"/>
            </c:ext>
          </c:extLst>
        </c:ser>
        <c:dLbls>
          <c:showLegendKey val="0"/>
          <c:showVal val="0"/>
          <c:showCatName val="0"/>
          <c:showSerName val="0"/>
          <c:showPercent val="0"/>
          <c:showBubbleSize val="0"/>
        </c:dLbls>
        <c:gapWidth val="50"/>
        <c:overlap val="100"/>
        <c:axId val="266660936"/>
        <c:axId val="266925136"/>
      </c:barChart>
      <c:catAx>
        <c:axId val="266660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6925136"/>
        <c:crosses val="autoZero"/>
        <c:auto val="1"/>
        <c:lblAlgn val="ctr"/>
        <c:lblOffset val="100"/>
        <c:noMultiLvlLbl val="0"/>
      </c:catAx>
      <c:valAx>
        <c:axId val="266925136"/>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66609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 Time!PivotTable2</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w="25400">
            <a:noFill/>
          </a:ln>
          <a:effectLst/>
        </c:spPr>
        <c:marker>
          <c:symbol val="none"/>
        </c:marker>
      </c:pivotFmt>
      <c:pivotFmt>
        <c:idx val="15"/>
        <c:spPr>
          <a:solidFill>
            <a:schemeClr val="accent1"/>
          </a:solidFill>
          <a:ln w="25400">
            <a:noFill/>
          </a:ln>
          <a:effectLst/>
        </c:spPr>
        <c:marker>
          <c:symbol val="none"/>
        </c:marker>
      </c:pivotFmt>
      <c:pivotFmt>
        <c:idx val="16"/>
        <c:spPr>
          <a:solidFill>
            <a:schemeClr val="accent1"/>
          </a:solidFill>
          <a:ln w="25400">
            <a:noFill/>
          </a:ln>
          <a:effectLst/>
        </c:spPr>
        <c:marker>
          <c:symbol val="none"/>
        </c:marker>
      </c:pivotFmt>
      <c:pivotFmt>
        <c:idx val="17"/>
        <c:spPr>
          <a:solidFill>
            <a:schemeClr val="accent1"/>
          </a:solidFill>
          <a:ln w="25400">
            <a:noFill/>
          </a:ln>
          <a:effectLst/>
        </c:spPr>
        <c:marker>
          <c:symbol val="none"/>
        </c:marker>
      </c:pivotFmt>
      <c:pivotFmt>
        <c:idx val="18"/>
        <c:spPr>
          <a:solidFill>
            <a:schemeClr val="accent1"/>
          </a:solidFill>
          <a:ln w="25400">
            <a:noFill/>
          </a:ln>
          <a:effectLst/>
        </c:spPr>
        <c:marker>
          <c:symbol val="none"/>
        </c:marker>
      </c:pivotFmt>
      <c:pivotFmt>
        <c:idx val="19"/>
        <c:spPr>
          <a:solidFill>
            <a:schemeClr val="accent1"/>
          </a:solidFill>
          <a:ln w="25400">
            <a:noFill/>
          </a:ln>
          <a:effectLst/>
        </c:spPr>
        <c:marker>
          <c:symbol val="none"/>
        </c:marker>
      </c:pivotFmt>
      <c:pivotFmt>
        <c:idx val="20"/>
        <c:spPr>
          <a:solidFill>
            <a:schemeClr val="accent1"/>
          </a:solidFill>
          <a:ln w="25400">
            <a:noFill/>
          </a:ln>
          <a:effectLst/>
        </c:spPr>
        <c:marker>
          <c:symbol val="none"/>
        </c:marker>
      </c:pivotFmt>
      <c:pivotFmt>
        <c:idx val="21"/>
        <c:spPr>
          <a:solidFill>
            <a:schemeClr val="accent1"/>
          </a:solidFill>
          <a:ln w="25400">
            <a:noFill/>
          </a:ln>
          <a:effectLst/>
        </c:spPr>
        <c:marker>
          <c:symbol val="none"/>
        </c:marker>
      </c:pivotFmt>
      <c:pivotFmt>
        <c:idx val="22"/>
        <c:spPr>
          <a:solidFill>
            <a:schemeClr val="accent1"/>
          </a:solidFill>
          <a:ln w="25400">
            <a:noFill/>
          </a:ln>
          <a:effectLst/>
        </c:spPr>
        <c:marker>
          <c:symbol val="none"/>
        </c:marker>
      </c:pivotFmt>
      <c:pivotFmt>
        <c:idx val="23"/>
        <c:spPr>
          <a:solidFill>
            <a:schemeClr val="accent1"/>
          </a:solidFill>
          <a:ln w="25400">
            <a:noFill/>
          </a:ln>
          <a:effectLst/>
        </c:spPr>
        <c:marker>
          <c:symbol val="none"/>
        </c:marker>
      </c:pivotFmt>
      <c:pivotFmt>
        <c:idx val="24"/>
        <c:spPr>
          <a:solidFill>
            <a:schemeClr val="accent1"/>
          </a:solidFill>
          <a:ln w="25400">
            <a:noFill/>
          </a:ln>
          <a:effectLst/>
        </c:spPr>
        <c:marker>
          <c:symbol val="none"/>
        </c:marker>
      </c:pivotFmt>
      <c:pivotFmt>
        <c:idx val="25"/>
        <c:spPr>
          <a:solidFill>
            <a:schemeClr val="accent1"/>
          </a:solidFill>
          <a:ln w="25400">
            <a:noFill/>
          </a:ln>
          <a:effectLst/>
        </c:spPr>
        <c:marker>
          <c:symbol val="none"/>
        </c:marker>
      </c:pivotFmt>
      <c:pivotFmt>
        <c:idx val="26"/>
        <c:spPr>
          <a:solidFill>
            <a:schemeClr val="accent1"/>
          </a:solidFill>
          <a:ln w="25400">
            <a:noFill/>
          </a:ln>
          <a:effectLst/>
        </c:spPr>
        <c:marker>
          <c:symbol val="none"/>
        </c:marker>
      </c:pivotFmt>
      <c:pivotFmt>
        <c:idx val="27"/>
        <c:spPr>
          <a:solidFill>
            <a:schemeClr val="accent1"/>
          </a:solidFill>
          <a:ln w="25400">
            <a:noFill/>
          </a:ln>
          <a:effectLst/>
        </c:spPr>
        <c:marker>
          <c:symbol val="none"/>
        </c:marker>
      </c:pivotFmt>
      <c:pivotFmt>
        <c:idx val="28"/>
        <c:spPr>
          <a:solidFill>
            <a:schemeClr val="accent1"/>
          </a:solidFill>
          <a:ln w="25400">
            <a:noFill/>
          </a:ln>
          <a:effectLst/>
        </c:spPr>
        <c:marker>
          <c:symbol val="none"/>
        </c:marker>
      </c:pivotFmt>
      <c:pivotFmt>
        <c:idx val="29"/>
        <c:spPr>
          <a:solidFill>
            <a:schemeClr val="accent1"/>
          </a:solidFill>
          <a:ln w="25400">
            <a:noFill/>
          </a:ln>
          <a:effectLst/>
        </c:spPr>
        <c:marker>
          <c:symbol val="none"/>
        </c:marker>
      </c:pivotFmt>
      <c:pivotFmt>
        <c:idx val="30"/>
        <c:spPr>
          <a:solidFill>
            <a:schemeClr val="accent1"/>
          </a:solidFill>
          <a:ln w="25400">
            <a:noFill/>
          </a:ln>
          <a:effectLst/>
        </c:spPr>
        <c:marker>
          <c:symbol val="none"/>
        </c:marker>
      </c:pivotFmt>
      <c:pivotFmt>
        <c:idx val="31"/>
        <c:spPr>
          <a:solidFill>
            <a:schemeClr val="accent1"/>
          </a:solidFill>
          <a:ln w="25400">
            <a:noFill/>
          </a:ln>
          <a:effectLst/>
        </c:spPr>
        <c:marker>
          <c:symbol val="none"/>
        </c:marker>
      </c:pivotFmt>
      <c:pivotFmt>
        <c:idx val="32"/>
        <c:spPr>
          <a:solidFill>
            <a:schemeClr val="accent1"/>
          </a:solidFill>
          <a:ln w="25400">
            <a:noFill/>
          </a:ln>
          <a:effectLst/>
        </c:spPr>
        <c:marker>
          <c:symbol val="none"/>
        </c:marker>
      </c:pivotFmt>
      <c:pivotFmt>
        <c:idx val="33"/>
        <c:spPr>
          <a:solidFill>
            <a:schemeClr val="accent1"/>
          </a:solidFill>
          <a:ln w="25400">
            <a:noFill/>
          </a:ln>
          <a:effectLst/>
        </c:spPr>
        <c:marker>
          <c:symbol val="none"/>
        </c:marker>
      </c:pivotFmt>
      <c:pivotFmt>
        <c:idx val="34"/>
        <c:spPr>
          <a:solidFill>
            <a:schemeClr val="accent1"/>
          </a:solidFill>
          <a:ln w="25400">
            <a:noFill/>
          </a:ln>
          <a:effectLst/>
        </c:spPr>
        <c:marker>
          <c:symbol val="none"/>
        </c:marker>
      </c:pivotFmt>
      <c:pivotFmt>
        <c:idx val="35"/>
        <c:spPr>
          <a:solidFill>
            <a:schemeClr val="accent1"/>
          </a:solidFill>
          <a:ln w="25400">
            <a:noFill/>
          </a:ln>
          <a:effectLst/>
        </c:spPr>
        <c:marker>
          <c:symbol val="none"/>
        </c:marker>
      </c:pivotFmt>
      <c:pivotFmt>
        <c:idx val="36"/>
        <c:spPr>
          <a:solidFill>
            <a:schemeClr val="accent1"/>
          </a:solidFill>
          <a:ln w="25400">
            <a:noFill/>
          </a:ln>
          <a:effectLst/>
        </c:spPr>
        <c:marker>
          <c:symbol val="none"/>
        </c:marker>
      </c:pivotFmt>
      <c:pivotFmt>
        <c:idx val="37"/>
        <c:spPr>
          <a:solidFill>
            <a:schemeClr val="accent1"/>
          </a:solidFill>
          <a:ln w="25400">
            <a:noFill/>
          </a:ln>
          <a:effectLst/>
        </c:spPr>
        <c:marker>
          <c:symbol val="none"/>
        </c:marker>
      </c:pivotFmt>
      <c:pivotFmt>
        <c:idx val="38"/>
        <c:spPr>
          <a:solidFill>
            <a:schemeClr val="accent1"/>
          </a:solidFill>
          <a:ln w="25400">
            <a:noFill/>
          </a:ln>
          <a:effectLst/>
        </c:spPr>
        <c:marker>
          <c:symbol val="none"/>
        </c:marker>
      </c:pivotFmt>
      <c:pivotFmt>
        <c:idx val="39"/>
        <c:spPr>
          <a:solidFill>
            <a:schemeClr val="accent1"/>
          </a:solidFill>
          <a:ln w="25400">
            <a:noFill/>
          </a:ln>
          <a:effectLst/>
        </c:spPr>
        <c:marker>
          <c:symbol val="none"/>
        </c:marker>
      </c:pivotFmt>
      <c:pivotFmt>
        <c:idx val="40"/>
        <c:spPr>
          <a:solidFill>
            <a:schemeClr val="accent1"/>
          </a:solidFill>
          <a:ln w="25400">
            <a:noFill/>
          </a:ln>
          <a:effectLst/>
        </c:spPr>
        <c:marker>
          <c:symbol val="none"/>
        </c:marker>
      </c:pivotFmt>
      <c:pivotFmt>
        <c:idx val="41"/>
        <c:spPr>
          <a:solidFill>
            <a:schemeClr val="accent1"/>
          </a:solidFill>
          <a:ln w="25400">
            <a:noFill/>
          </a:ln>
          <a:effectLst/>
        </c:spPr>
        <c:marker>
          <c:symbol val="none"/>
        </c:marker>
      </c:pivotFmt>
      <c:pivotFmt>
        <c:idx val="42"/>
        <c:spPr>
          <a:solidFill>
            <a:schemeClr val="accent1"/>
          </a:solidFill>
          <a:ln w="25400">
            <a:noFill/>
          </a:ln>
          <a:effectLst/>
        </c:spPr>
        <c:marker>
          <c:symbol val="none"/>
        </c:marker>
      </c:pivotFmt>
      <c:pivotFmt>
        <c:idx val="43"/>
        <c:spPr>
          <a:solidFill>
            <a:schemeClr val="accent1"/>
          </a:solidFill>
          <a:ln w="25400">
            <a:noFill/>
          </a:ln>
          <a:effectLst/>
        </c:spPr>
        <c:marker>
          <c:symbol val="none"/>
        </c:marker>
      </c:pivotFmt>
      <c:pivotFmt>
        <c:idx val="44"/>
        <c:spPr>
          <a:solidFill>
            <a:schemeClr val="accent1"/>
          </a:solidFill>
          <a:ln w="25400">
            <a:noFill/>
          </a:ln>
          <a:effectLst/>
        </c:spPr>
        <c:marker>
          <c:symbol val="none"/>
        </c:marker>
      </c:pivotFmt>
      <c:pivotFmt>
        <c:idx val="45"/>
        <c:spPr>
          <a:solidFill>
            <a:schemeClr val="accent1"/>
          </a:solidFill>
          <a:ln w="25400">
            <a:noFill/>
          </a:ln>
          <a:effectLst/>
        </c:spPr>
        <c:marker>
          <c:symbol val="none"/>
        </c:marker>
      </c:pivotFmt>
      <c:pivotFmt>
        <c:idx val="46"/>
        <c:spPr>
          <a:solidFill>
            <a:schemeClr val="accent1"/>
          </a:solidFill>
          <a:ln w="25400">
            <a:noFill/>
          </a:ln>
          <a:effectLst/>
        </c:spPr>
        <c:marker>
          <c:symbol val="none"/>
        </c:marker>
      </c:pivotFmt>
      <c:pivotFmt>
        <c:idx val="47"/>
        <c:spPr>
          <a:solidFill>
            <a:schemeClr val="accent1"/>
          </a:solidFill>
          <a:ln w="25400">
            <a:noFill/>
          </a:ln>
          <a:effectLst/>
        </c:spPr>
        <c:marker>
          <c:symbol val="none"/>
        </c:marker>
      </c:pivotFmt>
      <c:pivotFmt>
        <c:idx val="48"/>
        <c:spPr>
          <a:solidFill>
            <a:schemeClr val="accent1"/>
          </a:solidFill>
          <a:ln w="25400">
            <a:noFill/>
          </a:ln>
          <a:effectLst/>
        </c:spPr>
        <c:marker>
          <c:symbol val="none"/>
        </c:marker>
      </c:pivotFmt>
      <c:pivotFmt>
        <c:idx val="49"/>
        <c:spPr>
          <a:solidFill>
            <a:schemeClr val="accent1"/>
          </a:solidFill>
          <a:ln w="25400">
            <a:noFill/>
          </a:ln>
          <a:effectLst/>
        </c:spPr>
        <c:marker>
          <c:symbol val="none"/>
        </c:marker>
      </c:pivotFmt>
      <c:pivotFmt>
        <c:idx val="50"/>
        <c:spPr>
          <a:solidFill>
            <a:schemeClr val="accent1"/>
          </a:solidFill>
          <a:ln w="25400">
            <a:noFill/>
          </a:ln>
          <a:effectLst/>
        </c:spPr>
        <c:marker>
          <c:symbol val="none"/>
        </c:marker>
      </c:pivotFmt>
      <c:pivotFmt>
        <c:idx val="51"/>
        <c:spPr>
          <a:solidFill>
            <a:schemeClr val="accent1"/>
          </a:solidFill>
          <a:ln w="25400">
            <a:noFill/>
          </a:ln>
          <a:effectLst/>
        </c:spPr>
        <c:marker>
          <c:symbol val="none"/>
        </c:marker>
      </c:pivotFmt>
      <c:pivotFmt>
        <c:idx val="52"/>
        <c:spPr>
          <a:solidFill>
            <a:schemeClr val="accent1"/>
          </a:solidFill>
          <a:ln w="25400">
            <a:noFill/>
          </a:ln>
          <a:effectLst/>
        </c:spPr>
        <c:marker>
          <c:symbol val="none"/>
        </c:marker>
      </c:pivotFmt>
      <c:pivotFmt>
        <c:idx val="53"/>
        <c:spPr>
          <a:solidFill>
            <a:schemeClr val="accent1"/>
          </a:solidFill>
          <a:ln w="25400">
            <a:noFill/>
          </a:ln>
          <a:effectLst/>
        </c:spPr>
        <c:marker>
          <c:symbol val="none"/>
        </c:marker>
      </c:pivotFmt>
      <c:pivotFmt>
        <c:idx val="54"/>
        <c:spPr>
          <a:solidFill>
            <a:schemeClr val="accent1"/>
          </a:solidFill>
          <a:ln w="25400">
            <a:noFill/>
          </a:ln>
          <a:effectLst/>
        </c:spPr>
        <c:marker>
          <c:symbol val="none"/>
        </c:marker>
      </c:pivotFmt>
      <c:pivotFmt>
        <c:idx val="55"/>
        <c:spPr>
          <a:solidFill>
            <a:schemeClr val="accent1"/>
          </a:solidFill>
          <a:ln w="25400">
            <a:noFill/>
          </a:ln>
          <a:effectLst/>
        </c:spPr>
        <c:marker>
          <c:symbol val="none"/>
        </c:marker>
      </c:pivotFmt>
      <c:pivotFmt>
        <c:idx val="56"/>
        <c:spPr>
          <a:solidFill>
            <a:schemeClr val="accent1"/>
          </a:solidFill>
          <a:ln w="25400">
            <a:noFill/>
          </a:ln>
          <a:effectLst/>
        </c:spPr>
        <c:marker>
          <c:symbol val="none"/>
        </c:marker>
      </c:pivotFmt>
      <c:pivotFmt>
        <c:idx val="57"/>
        <c:spPr>
          <a:solidFill>
            <a:schemeClr val="accent1"/>
          </a:solidFill>
          <a:ln w="25400">
            <a:noFill/>
          </a:ln>
          <a:effectLst/>
        </c:spPr>
        <c:marker>
          <c:symbol val="none"/>
        </c:marker>
      </c:pivotFmt>
      <c:pivotFmt>
        <c:idx val="58"/>
        <c:spPr>
          <a:solidFill>
            <a:schemeClr val="accent1"/>
          </a:solidFill>
          <a:ln w="25400">
            <a:noFill/>
          </a:ln>
          <a:effectLst/>
        </c:spPr>
        <c:marker>
          <c:symbol val="none"/>
        </c:marker>
      </c:pivotFmt>
      <c:pivotFmt>
        <c:idx val="59"/>
        <c:spPr>
          <a:solidFill>
            <a:schemeClr val="accent1"/>
          </a:solidFill>
          <a:ln w="25400">
            <a:noFill/>
          </a:ln>
          <a:effectLst/>
        </c:spPr>
        <c:marker>
          <c:symbol val="none"/>
        </c:marker>
      </c:pivotFmt>
      <c:pivotFmt>
        <c:idx val="60"/>
        <c:spPr>
          <a:solidFill>
            <a:schemeClr val="accent1"/>
          </a:solidFill>
          <a:ln w="25400">
            <a:noFill/>
          </a:ln>
          <a:effectLst/>
        </c:spPr>
        <c:marker>
          <c:symbol val="none"/>
        </c:marker>
      </c:pivotFmt>
      <c:pivotFmt>
        <c:idx val="61"/>
        <c:spPr>
          <a:solidFill>
            <a:schemeClr val="accent1"/>
          </a:solidFill>
          <a:ln w="25400">
            <a:noFill/>
          </a:ln>
          <a:effectLst/>
        </c:spPr>
        <c:marker>
          <c:symbol val="none"/>
        </c:marker>
      </c:pivotFmt>
      <c:pivotFmt>
        <c:idx val="62"/>
        <c:spPr>
          <a:solidFill>
            <a:schemeClr val="accent1"/>
          </a:solidFill>
          <a:ln w="25400">
            <a:noFill/>
          </a:ln>
          <a:effectLst/>
        </c:spPr>
        <c:marker>
          <c:symbol val="none"/>
        </c:marker>
      </c:pivotFmt>
      <c:pivotFmt>
        <c:idx val="63"/>
        <c:spPr>
          <a:solidFill>
            <a:schemeClr val="accent1"/>
          </a:solidFill>
          <a:ln w="25400">
            <a:noFill/>
          </a:ln>
          <a:effectLst/>
        </c:spPr>
        <c:marker>
          <c:symbol val="none"/>
        </c:marker>
      </c:pivotFmt>
      <c:pivotFmt>
        <c:idx val="64"/>
        <c:spPr>
          <a:solidFill>
            <a:schemeClr val="accent1"/>
          </a:solidFill>
          <a:ln w="25400">
            <a:noFill/>
          </a:ln>
          <a:effectLst/>
        </c:spPr>
        <c:marker>
          <c:symbol val="none"/>
        </c:marker>
      </c:pivotFmt>
      <c:pivotFmt>
        <c:idx val="65"/>
        <c:spPr>
          <a:solidFill>
            <a:schemeClr val="accent1"/>
          </a:solidFill>
          <a:ln w="25400">
            <a:noFill/>
          </a:ln>
          <a:effectLst/>
        </c:spPr>
        <c:marker>
          <c:symbol val="none"/>
        </c:marker>
      </c:pivotFmt>
      <c:pivotFmt>
        <c:idx val="66"/>
        <c:spPr>
          <a:solidFill>
            <a:schemeClr val="accent1"/>
          </a:solidFill>
          <a:ln w="25400">
            <a:noFill/>
          </a:ln>
          <a:effectLst/>
        </c:spPr>
        <c:marker>
          <c:symbol val="none"/>
        </c:marker>
      </c:pivotFmt>
      <c:pivotFmt>
        <c:idx val="67"/>
        <c:spPr>
          <a:solidFill>
            <a:schemeClr val="accent1"/>
          </a:solidFill>
          <a:ln w="25400">
            <a:noFill/>
          </a:ln>
          <a:effectLst/>
        </c:spPr>
        <c:marker>
          <c:symbol val="none"/>
        </c:marker>
      </c:pivotFmt>
      <c:pivotFmt>
        <c:idx val="68"/>
        <c:spPr>
          <a:solidFill>
            <a:schemeClr val="accent1"/>
          </a:solidFill>
          <a:ln w="25400">
            <a:noFill/>
          </a:ln>
          <a:effectLst/>
        </c:spPr>
        <c:marker>
          <c:symbol val="none"/>
        </c:marker>
      </c:pivotFmt>
      <c:pivotFmt>
        <c:idx val="69"/>
        <c:spPr>
          <a:solidFill>
            <a:schemeClr val="accent1"/>
          </a:solidFill>
          <a:ln w="25400">
            <a:noFill/>
          </a:ln>
          <a:effectLst/>
        </c:spPr>
        <c:marker>
          <c:symbol val="none"/>
        </c:marker>
      </c:pivotFmt>
      <c:pivotFmt>
        <c:idx val="70"/>
        <c:spPr>
          <a:solidFill>
            <a:schemeClr val="accent1"/>
          </a:solidFill>
          <a:ln w="25400">
            <a:noFill/>
          </a:ln>
          <a:effectLst/>
        </c:spPr>
        <c:marker>
          <c:symbol val="none"/>
        </c:marker>
      </c:pivotFmt>
      <c:pivotFmt>
        <c:idx val="71"/>
        <c:spPr>
          <a:solidFill>
            <a:schemeClr val="accent1"/>
          </a:solidFill>
          <a:ln w="25400">
            <a:noFill/>
          </a:ln>
          <a:effectLst/>
        </c:spPr>
        <c:marker>
          <c:symbol val="none"/>
        </c:marker>
      </c:pivotFmt>
      <c:pivotFmt>
        <c:idx val="72"/>
        <c:spPr>
          <a:solidFill>
            <a:schemeClr val="accent1"/>
          </a:solidFill>
          <a:ln w="25400">
            <a:noFill/>
          </a:ln>
          <a:effectLst/>
        </c:spPr>
        <c:marker>
          <c:symbol val="none"/>
        </c:marker>
      </c:pivotFmt>
      <c:pivotFmt>
        <c:idx val="73"/>
        <c:spPr>
          <a:solidFill>
            <a:schemeClr val="accent1"/>
          </a:solidFill>
          <a:ln w="25400">
            <a:noFill/>
          </a:ln>
          <a:effectLst/>
        </c:spPr>
        <c:marker>
          <c:symbol val="none"/>
        </c:marker>
      </c:pivotFmt>
      <c:pivotFmt>
        <c:idx val="74"/>
        <c:spPr>
          <a:solidFill>
            <a:schemeClr val="accent1"/>
          </a:solidFill>
          <a:ln w="25400">
            <a:noFill/>
          </a:ln>
          <a:effectLst/>
        </c:spPr>
        <c:marker>
          <c:symbol val="none"/>
        </c:marker>
      </c:pivotFmt>
      <c:pivotFmt>
        <c:idx val="75"/>
        <c:spPr>
          <a:solidFill>
            <a:schemeClr val="accent1"/>
          </a:solidFill>
          <a:ln w="25400">
            <a:noFill/>
          </a:ln>
          <a:effectLst/>
        </c:spPr>
        <c:marker>
          <c:symbol val="none"/>
        </c:marker>
      </c:pivotFmt>
      <c:pivotFmt>
        <c:idx val="76"/>
        <c:spPr>
          <a:solidFill>
            <a:schemeClr val="accent1"/>
          </a:solidFill>
          <a:ln w="25400">
            <a:noFill/>
          </a:ln>
          <a:effectLst/>
        </c:spPr>
        <c:marker>
          <c:symbol val="none"/>
        </c:marker>
      </c:pivotFmt>
      <c:pivotFmt>
        <c:idx val="77"/>
        <c:spPr>
          <a:solidFill>
            <a:schemeClr val="accent1"/>
          </a:solidFill>
          <a:ln w="25400">
            <a:noFill/>
          </a:ln>
          <a:effectLst/>
        </c:spPr>
        <c:marker>
          <c:symbol val="none"/>
        </c:marker>
      </c:pivotFmt>
      <c:pivotFmt>
        <c:idx val="78"/>
        <c:spPr>
          <a:solidFill>
            <a:schemeClr val="accent1"/>
          </a:solidFill>
          <a:ln w="25400">
            <a:noFill/>
          </a:ln>
          <a:effectLst/>
        </c:spPr>
        <c:marker>
          <c:symbol val="none"/>
        </c:marker>
      </c:pivotFmt>
      <c:pivotFmt>
        <c:idx val="79"/>
        <c:spPr>
          <a:solidFill>
            <a:schemeClr val="accent1"/>
          </a:solidFill>
          <a:ln w="25400">
            <a:noFill/>
          </a:ln>
          <a:effectLst/>
        </c:spPr>
        <c:marker>
          <c:symbol val="none"/>
        </c:marker>
      </c:pivotFmt>
      <c:pivotFmt>
        <c:idx val="80"/>
        <c:spPr>
          <a:solidFill>
            <a:schemeClr val="accent1"/>
          </a:solidFill>
          <a:ln w="25400">
            <a:noFill/>
          </a:ln>
          <a:effectLst/>
        </c:spPr>
        <c:marker>
          <c:symbol val="none"/>
        </c:marker>
      </c:pivotFmt>
      <c:pivotFmt>
        <c:idx val="81"/>
        <c:spPr>
          <a:solidFill>
            <a:schemeClr val="accent1"/>
          </a:solidFill>
          <a:ln w="25400">
            <a:noFill/>
          </a:ln>
          <a:effectLst/>
        </c:spPr>
        <c:marker>
          <c:symbol val="none"/>
        </c:marker>
      </c:pivotFmt>
      <c:pivotFmt>
        <c:idx val="82"/>
        <c:spPr>
          <a:solidFill>
            <a:schemeClr val="accent1"/>
          </a:solidFill>
          <a:ln w="25400">
            <a:noFill/>
          </a:ln>
          <a:effectLst/>
        </c:spPr>
        <c:marker>
          <c:symbol val="none"/>
        </c:marker>
      </c:pivotFmt>
      <c:pivotFmt>
        <c:idx val="83"/>
        <c:spPr>
          <a:solidFill>
            <a:schemeClr val="accent1"/>
          </a:solidFill>
          <a:ln w="25400">
            <a:noFill/>
          </a:ln>
          <a:effectLst/>
        </c:spPr>
        <c:marker>
          <c:symbol val="none"/>
        </c:marker>
      </c:pivotFmt>
      <c:pivotFmt>
        <c:idx val="84"/>
        <c:spPr>
          <a:solidFill>
            <a:schemeClr val="accent1"/>
          </a:solidFill>
          <a:ln w="25400">
            <a:noFill/>
          </a:ln>
          <a:effectLst/>
        </c:spPr>
        <c:marker>
          <c:symbol val="none"/>
        </c:marker>
      </c:pivotFmt>
      <c:pivotFmt>
        <c:idx val="85"/>
        <c:spPr>
          <a:solidFill>
            <a:schemeClr val="accent1"/>
          </a:solidFill>
          <a:ln w="25400">
            <a:noFill/>
          </a:ln>
          <a:effectLst/>
        </c:spPr>
        <c:marker>
          <c:symbol val="none"/>
        </c:marker>
      </c:pivotFmt>
      <c:pivotFmt>
        <c:idx val="86"/>
        <c:spPr>
          <a:solidFill>
            <a:schemeClr val="accent1"/>
          </a:solidFill>
          <a:ln w="25400">
            <a:noFill/>
          </a:ln>
          <a:effectLst/>
        </c:spPr>
        <c:marker>
          <c:symbol val="none"/>
        </c:marker>
      </c:pivotFmt>
      <c:pivotFmt>
        <c:idx val="87"/>
        <c:spPr>
          <a:solidFill>
            <a:schemeClr val="accent1"/>
          </a:solidFill>
          <a:ln w="25400">
            <a:noFill/>
          </a:ln>
          <a:effectLst/>
        </c:spPr>
        <c:marker>
          <c:symbol val="none"/>
        </c:marker>
      </c:pivotFmt>
      <c:pivotFmt>
        <c:idx val="88"/>
        <c:spPr>
          <a:solidFill>
            <a:schemeClr val="accent1"/>
          </a:solidFill>
          <a:ln w="25400">
            <a:noFill/>
          </a:ln>
          <a:effectLst/>
        </c:spPr>
        <c:marker>
          <c:symbol val="none"/>
        </c:marker>
      </c:pivotFmt>
      <c:pivotFmt>
        <c:idx val="89"/>
        <c:spPr>
          <a:solidFill>
            <a:schemeClr val="accent1"/>
          </a:solidFill>
          <a:ln w="25400">
            <a:noFill/>
          </a:ln>
          <a:effectLst/>
        </c:spPr>
        <c:marker>
          <c:symbol val="none"/>
        </c:marker>
      </c:pivotFmt>
      <c:pivotFmt>
        <c:idx val="90"/>
        <c:spPr>
          <a:solidFill>
            <a:schemeClr val="accent1"/>
          </a:solidFill>
          <a:ln w="25400">
            <a:noFill/>
          </a:ln>
          <a:effectLst/>
        </c:spPr>
        <c:marker>
          <c:symbol val="none"/>
        </c:marker>
      </c:pivotFmt>
      <c:pivotFmt>
        <c:idx val="91"/>
        <c:spPr>
          <a:solidFill>
            <a:schemeClr val="accent1"/>
          </a:solidFill>
          <a:ln w="25400">
            <a:noFill/>
          </a:ln>
          <a:effectLst/>
        </c:spPr>
        <c:marker>
          <c:symbol val="none"/>
        </c:marker>
      </c:pivotFmt>
      <c:pivotFmt>
        <c:idx val="92"/>
        <c:spPr>
          <a:solidFill>
            <a:schemeClr val="accent1"/>
          </a:solidFill>
          <a:ln w="25400">
            <a:noFill/>
          </a:ln>
          <a:effectLst/>
        </c:spPr>
        <c:marker>
          <c:symbol val="none"/>
        </c:marker>
      </c:pivotFmt>
      <c:pivotFmt>
        <c:idx val="93"/>
        <c:spPr>
          <a:solidFill>
            <a:schemeClr val="accent1"/>
          </a:solidFill>
          <a:ln w="25400">
            <a:noFill/>
          </a:ln>
          <a:effectLst/>
        </c:spPr>
        <c:marker>
          <c:symbol val="none"/>
        </c:marker>
      </c:pivotFmt>
      <c:pivotFmt>
        <c:idx val="94"/>
        <c:spPr>
          <a:solidFill>
            <a:schemeClr val="accent1"/>
          </a:solidFill>
          <a:ln w="25400">
            <a:noFill/>
          </a:ln>
          <a:effectLst/>
        </c:spPr>
        <c:marker>
          <c:symbol val="none"/>
        </c:marker>
      </c:pivotFmt>
      <c:pivotFmt>
        <c:idx val="95"/>
        <c:spPr>
          <a:solidFill>
            <a:schemeClr val="accent1"/>
          </a:solidFill>
          <a:ln w="25400">
            <a:noFill/>
          </a:ln>
          <a:effectLst/>
        </c:spPr>
        <c:marker>
          <c:symbol val="none"/>
        </c:marker>
      </c:pivotFmt>
      <c:pivotFmt>
        <c:idx val="96"/>
        <c:spPr>
          <a:solidFill>
            <a:schemeClr val="accent1"/>
          </a:solidFill>
          <a:ln w="25400">
            <a:noFill/>
          </a:ln>
          <a:effectLst/>
        </c:spPr>
        <c:marker>
          <c:symbol val="none"/>
        </c:marker>
      </c:pivotFmt>
      <c:pivotFmt>
        <c:idx val="97"/>
        <c:spPr>
          <a:solidFill>
            <a:schemeClr val="accent1"/>
          </a:solidFill>
          <a:ln w="25400">
            <a:noFill/>
          </a:ln>
          <a:effectLst/>
        </c:spPr>
        <c:marker>
          <c:symbol val="none"/>
        </c:marker>
      </c:pivotFmt>
      <c:pivotFmt>
        <c:idx val="98"/>
        <c:spPr>
          <a:solidFill>
            <a:schemeClr val="accent1"/>
          </a:solidFill>
          <a:ln w="25400">
            <a:noFill/>
          </a:ln>
          <a:effectLst/>
        </c:spPr>
        <c:marker>
          <c:symbol val="none"/>
        </c:marker>
      </c:pivotFmt>
      <c:pivotFmt>
        <c:idx val="99"/>
        <c:spPr>
          <a:solidFill>
            <a:schemeClr val="accent1"/>
          </a:solidFill>
          <a:ln w="25400">
            <a:noFill/>
          </a:ln>
          <a:effectLst/>
        </c:spPr>
        <c:marker>
          <c:symbol val="none"/>
        </c:marker>
      </c:pivotFmt>
      <c:pivotFmt>
        <c:idx val="100"/>
        <c:spPr>
          <a:solidFill>
            <a:schemeClr val="accent1"/>
          </a:solidFill>
          <a:ln w="25400">
            <a:noFill/>
          </a:ln>
          <a:effectLst/>
        </c:spPr>
        <c:marker>
          <c:symbol val="none"/>
        </c:marker>
      </c:pivotFmt>
      <c:pivotFmt>
        <c:idx val="101"/>
        <c:spPr>
          <a:solidFill>
            <a:schemeClr val="accent1"/>
          </a:solidFill>
          <a:ln w="25400">
            <a:noFill/>
          </a:ln>
          <a:effectLst/>
        </c:spPr>
        <c:marker>
          <c:symbol val="none"/>
        </c:marker>
      </c:pivotFmt>
      <c:pivotFmt>
        <c:idx val="102"/>
        <c:spPr>
          <a:solidFill>
            <a:schemeClr val="accent1"/>
          </a:solidFill>
          <a:ln w="25400">
            <a:noFill/>
          </a:ln>
          <a:effectLst/>
        </c:spPr>
        <c:marker>
          <c:symbol val="none"/>
        </c:marker>
      </c:pivotFmt>
      <c:pivotFmt>
        <c:idx val="103"/>
        <c:spPr>
          <a:solidFill>
            <a:schemeClr val="accent1"/>
          </a:solidFill>
          <a:ln w="25400">
            <a:noFill/>
          </a:ln>
          <a:effectLst/>
        </c:spPr>
        <c:marker>
          <c:symbol val="none"/>
        </c:marker>
      </c:pivotFmt>
      <c:pivotFmt>
        <c:idx val="104"/>
        <c:spPr>
          <a:solidFill>
            <a:schemeClr val="accent1"/>
          </a:solidFill>
          <a:ln w="25400">
            <a:noFill/>
          </a:ln>
          <a:effectLst/>
        </c:spPr>
        <c:marker>
          <c:symbol val="none"/>
        </c:marker>
      </c:pivotFmt>
      <c:pivotFmt>
        <c:idx val="105"/>
        <c:spPr>
          <a:solidFill>
            <a:schemeClr val="accent1"/>
          </a:solidFill>
          <a:ln w="25400">
            <a:noFill/>
          </a:ln>
          <a:effectLst/>
        </c:spPr>
        <c:marker>
          <c:symbol val="none"/>
        </c:marker>
      </c:pivotFmt>
      <c:pivotFmt>
        <c:idx val="106"/>
        <c:spPr>
          <a:solidFill>
            <a:schemeClr val="accent1"/>
          </a:solidFill>
          <a:ln w="25400">
            <a:noFill/>
          </a:ln>
          <a:effectLst/>
        </c:spPr>
        <c:marker>
          <c:symbol val="none"/>
        </c:marker>
      </c:pivotFmt>
      <c:pivotFmt>
        <c:idx val="107"/>
        <c:spPr>
          <a:solidFill>
            <a:schemeClr val="accent1"/>
          </a:solidFill>
          <a:ln w="25400">
            <a:noFill/>
          </a:ln>
          <a:effectLst/>
        </c:spPr>
        <c:marker>
          <c:symbol val="none"/>
        </c:marker>
      </c:pivotFmt>
      <c:pivotFmt>
        <c:idx val="108"/>
        <c:spPr>
          <a:solidFill>
            <a:schemeClr val="accent1"/>
          </a:solidFill>
          <a:ln w="25400">
            <a:noFill/>
          </a:ln>
          <a:effectLst/>
        </c:spPr>
        <c:marker>
          <c:symbol val="none"/>
        </c:marker>
      </c:pivotFmt>
      <c:pivotFmt>
        <c:idx val="109"/>
        <c:spPr>
          <a:solidFill>
            <a:schemeClr val="accent1"/>
          </a:solidFill>
          <a:ln w="25400">
            <a:noFill/>
          </a:ln>
          <a:effectLst/>
        </c:spPr>
        <c:marker>
          <c:symbol val="none"/>
        </c:marker>
      </c:pivotFmt>
      <c:pivotFmt>
        <c:idx val="110"/>
        <c:spPr>
          <a:solidFill>
            <a:schemeClr val="accent1"/>
          </a:solidFill>
          <a:ln w="25400">
            <a:noFill/>
          </a:ln>
          <a:effectLst/>
        </c:spPr>
        <c:marker>
          <c:symbol val="none"/>
        </c:marker>
      </c:pivotFmt>
      <c:pivotFmt>
        <c:idx val="111"/>
        <c:spPr>
          <a:solidFill>
            <a:schemeClr val="accent1"/>
          </a:solidFill>
          <a:ln w="25400">
            <a:noFill/>
          </a:ln>
          <a:effectLst/>
        </c:spPr>
        <c:marker>
          <c:symbol val="none"/>
        </c:marker>
      </c:pivotFmt>
      <c:pivotFmt>
        <c:idx val="112"/>
        <c:spPr>
          <a:solidFill>
            <a:schemeClr val="accent1"/>
          </a:solidFill>
          <a:ln w="25400">
            <a:noFill/>
          </a:ln>
          <a:effectLst/>
        </c:spPr>
        <c:marker>
          <c:symbol val="none"/>
        </c:marker>
      </c:pivotFmt>
      <c:pivotFmt>
        <c:idx val="113"/>
        <c:spPr>
          <a:solidFill>
            <a:schemeClr val="accent1"/>
          </a:solidFill>
          <a:ln w="25400">
            <a:noFill/>
          </a:ln>
          <a:effectLst/>
        </c:spPr>
        <c:marker>
          <c:symbol val="none"/>
        </c:marker>
      </c:pivotFmt>
      <c:pivotFmt>
        <c:idx val="114"/>
        <c:spPr>
          <a:solidFill>
            <a:schemeClr val="accent1"/>
          </a:solidFill>
          <a:ln w="25400">
            <a:noFill/>
          </a:ln>
          <a:effectLst/>
        </c:spPr>
        <c:marker>
          <c:symbol val="none"/>
        </c:marker>
      </c:pivotFmt>
      <c:pivotFmt>
        <c:idx val="115"/>
        <c:spPr>
          <a:solidFill>
            <a:schemeClr val="accent1"/>
          </a:solidFill>
          <a:ln w="25400">
            <a:noFill/>
          </a:ln>
          <a:effectLst/>
        </c:spPr>
        <c:marker>
          <c:symbol val="none"/>
        </c:marker>
      </c:pivotFmt>
      <c:pivotFmt>
        <c:idx val="116"/>
        <c:spPr>
          <a:solidFill>
            <a:schemeClr val="accent1"/>
          </a:solidFill>
          <a:ln w="25400">
            <a:noFill/>
          </a:ln>
          <a:effectLst/>
        </c:spPr>
        <c:marker>
          <c:symbol val="none"/>
        </c:marker>
      </c:pivotFmt>
      <c:pivotFmt>
        <c:idx val="117"/>
        <c:spPr>
          <a:solidFill>
            <a:schemeClr val="accent1"/>
          </a:solidFill>
          <a:ln w="25400">
            <a:noFill/>
          </a:ln>
          <a:effectLst/>
        </c:spPr>
        <c:marker>
          <c:symbol val="none"/>
        </c:marker>
      </c:pivotFmt>
      <c:pivotFmt>
        <c:idx val="118"/>
        <c:spPr>
          <a:solidFill>
            <a:schemeClr val="accent1"/>
          </a:solidFill>
          <a:ln w="25400">
            <a:noFill/>
          </a:ln>
          <a:effectLst/>
        </c:spPr>
        <c:marker>
          <c:symbol val="none"/>
        </c:marker>
      </c:pivotFmt>
      <c:pivotFmt>
        <c:idx val="119"/>
        <c:spPr>
          <a:solidFill>
            <a:schemeClr val="accent1"/>
          </a:solidFill>
          <a:ln w="25400">
            <a:noFill/>
          </a:ln>
          <a:effectLst/>
        </c:spPr>
        <c:marker>
          <c:symbol val="none"/>
        </c:marker>
      </c:pivotFmt>
      <c:pivotFmt>
        <c:idx val="120"/>
        <c:spPr>
          <a:solidFill>
            <a:schemeClr val="accent1"/>
          </a:solidFill>
          <a:ln w="25400">
            <a:noFill/>
          </a:ln>
          <a:effectLst/>
        </c:spPr>
        <c:marker>
          <c:symbol val="none"/>
        </c:marker>
      </c:pivotFmt>
      <c:pivotFmt>
        <c:idx val="121"/>
        <c:spPr>
          <a:solidFill>
            <a:schemeClr val="accent1"/>
          </a:solidFill>
          <a:ln w="25400">
            <a:noFill/>
          </a:ln>
          <a:effectLst/>
        </c:spPr>
        <c:marker>
          <c:symbol val="none"/>
        </c:marker>
      </c:pivotFmt>
      <c:pivotFmt>
        <c:idx val="122"/>
        <c:spPr>
          <a:solidFill>
            <a:schemeClr val="accent1"/>
          </a:solidFill>
          <a:ln w="25400">
            <a:noFill/>
          </a:ln>
          <a:effectLst/>
        </c:spPr>
        <c:marker>
          <c:symbol val="none"/>
        </c:marker>
      </c:pivotFmt>
      <c:pivotFmt>
        <c:idx val="123"/>
        <c:spPr>
          <a:solidFill>
            <a:schemeClr val="accent1"/>
          </a:solidFill>
          <a:ln w="25400">
            <a:noFill/>
          </a:ln>
          <a:effectLst/>
        </c:spPr>
        <c:marker>
          <c:symbol val="none"/>
        </c:marker>
      </c:pivotFmt>
      <c:pivotFmt>
        <c:idx val="124"/>
        <c:spPr>
          <a:solidFill>
            <a:schemeClr val="accent1"/>
          </a:solidFill>
          <a:ln w="25400">
            <a:noFill/>
          </a:ln>
          <a:effectLst/>
        </c:spPr>
        <c:marker>
          <c:symbol val="none"/>
        </c:marker>
      </c:pivotFmt>
      <c:pivotFmt>
        <c:idx val="125"/>
        <c:spPr>
          <a:solidFill>
            <a:schemeClr val="accent1"/>
          </a:solidFill>
          <a:ln w="25400">
            <a:noFill/>
          </a:ln>
          <a:effectLst/>
        </c:spPr>
        <c:marker>
          <c:symbol val="none"/>
        </c:marker>
      </c:pivotFmt>
      <c:pivotFmt>
        <c:idx val="126"/>
        <c:spPr>
          <a:solidFill>
            <a:schemeClr val="accent1"/>
          </a:solidFill>
          <a:ln w="25400">
            <a:noFill/>
          </a:ln>
          <a:effectLst/>
        </c:spPr>
        <c:marker>
          <c:symbol val="none"/>
        </c:marker>
      </c:pivotFmt>
      <c:pivotFmt>
        <c:idx val="127"/>
        <c:spPr>
          <a:solidFill>
            <a:schemeClr val="accent1"/>
          </a:solidFill>
          <a:ln w="25400">
            <a:noFill/>
          </a:ln>
          <a:effectLst/>
        </c:spPr>
        <c:marker>
          <c:symbol val="none"/>
        </c:marker>
      </c:pivotFmt>
      <c:pivotFmt>
        <c:idx val="128"/>
        <c:spPr>
          <a:solidFill>
            <a:schemeClr val="accent1"/>
          </a:solidFill>
          <a:ln w="25400">
            <a:noFill/>
          </a:ln>
          <a:effectLst/>
        </c:spPr>
        <c:marker>
          <c:symbol val="none"/>
        </c:marker>
      </c:pivotFmt>
      <c:pivotFmt>
        <c:idx val="129"/>
        <c:spPr>
          <a:solidFill>
            <a:schemeClr val="accent1"/>
          </a:solidFill>
          <a:ln w="25400">
            <a:noFill/>
          </a:ln>
          <a:effectLst/>
        </c:spPr>
        <c:marker>
          <c:symbol val="none"/>
        </c:marker>
      </c:pivotFmt>
      <c:pivotFmt>
        <c:idx val="130"/>
        <c:spPr>
          <a:solidFill>
            <a:schemeClr val="accent1"/>
          </a:solidFill>
          <a:ln w="25400">
            <a:noFill/>
          </a:ln>
          <a:effectLst/>
        </c:spPr>
        <c:marker>
          <c:symbol val="none"/>
        </c:marker>
      </c:pivotFmt>
      <c:pivotFmt>
        <c:idx val="131"/>
        <c:spPr>
          <a:solidFill>
            <a:schemeClr val="accent1"/>
          </a:solidFill>
          <a:ln w="25400">
            <a:noFill/>
          </a:ln>
          <a:effectLst/>
        </c:spPr>
        <c:marker>
          <c:symbol val="none"/>
        </c:marker>
      </c:pivotFmt>
      <c:pivotFmt>
        <c:idx val="132"/>
        <c:spPr>
          <a:solidFill>
            <a:schemeClr val="accent1"/>
          </a:solidFill>
          <a:ln w="25400">
            <a:noFill/>
          </a:ln>
          <a:effectLst/>
        </c:spPr>
        <c:marker>
          <c:symbol val="none"/>
        </c:marker>
      </c:pivotFmt>
      <c:pivotFmt>
        <c:idx val="133"/>
        <c:spPr>
          <a:solidFill>
            <a:schemeClr val="accent1"/>
          </a:solidFill>
          <a:ln w="25400">
            <a:noFill/>
          </a:ln>
          <a:effectLst/>
        </c:spPr>
        <c:marker>
          <c:symbol val="none"/>
        </c:marker>
      </c:pivotFmt>
      <c:pivotFmt>
        <c:idx val="134"/>
        <c:spPr>
          <a:solidFill>
            <a:schemeClr val="accent1"/>
          </a:solidFill>
          <a:ln w="25400">
            <a:noFill/>
          </a:ln>
          <a:effectLst/>
        </c:spPr>
        <c:marker>
          <c:symbol val="none"/>
        </c:marker>
      </c:pivotFmt>
      <c:pivotFmt>
        <c:idx val="135"/>
        <c:spPr>
          <a:solidFill>
            <a:schemeClr val="accent1"/>
          </a:solidFill>
          <a:ln w="25400">
            <a:noFill/>
          </a:ln>
          <a:effectLst/>
        </c:spPr>
        <c:marker>
          <c:symbol val="none"/>
        </c:marker>
      </c:pivotFmt>
      <c:pivotFmt>
        <c:idx val="136"/>
        <c:spPr>
          <a:solidFill>
            <a:schemeClr val="accent1"/>
          </a:solidFill>
          <a:ln w="25400">
            <a:noFill/>
          </a:ln>
          <a:effectLst/>
        </c:spPr>
        <c:marker>
          <c:symbol val="none"/>
        </c:marker>
      </c:pivotFmt>
      <c:pivotFmt>
        <c:idx val="137"/>
        <c:spPr>
          <a:solidFill>
            <a:schemeClr val="accent1"/>
          </a:solidFill>
          <a:ln w="25400">
            <a:noFill/>
          </a:ln>
          <a:effectLst/>
        </c:spPr>
        <c:marker>
          <c:symbol val="none"/>
        </c:marker>
      </c:pivotFmt>
      <c:pivotFmt>
        <c:idx val="138"/>
        <c:spPr>
          <a:solidFill>
            <a:schemeClr val="accent1"/>
          </a:solidFill>
          <a:ln w="25400">
            <a:noFill/>
          </a:ln>
          <a:effectLst/>
        </c:spPr>
        <c:marker>
          <c:symbol val="none"/>
        </c:marker>
      </c:pivotFmt>
      <c:pivotFmt>
        <c:idx val="139"/>
        <c:spPr>
          <a:solidFill>
            <a:schemeClr val="accent1"/>
          </a:solidFill>
          <a:ln w="25400">
            <a:noFill/>
          </a:ln>
          <a:effectLst/>
        </c:spPr>
        <c:marker>
          <c:symbol val="none"/>
        </c:marker>
      </c:pivotFmt>
      <c:pivotFmt>
        <c:idx val="140"/>
        <c:spPr>
          <a:solidFill>
            <a:schemeClr val="accent1"/>
          </a:solidFill>
          <a:ln w="25400">
            <a:noFill/>
          </a:ln>
          <a:effectLst/>
        </c:spPr>
        <c:marker>
          <c:symbol val="none"/>
        </c:marker>
      </c:pivotFmt>
      <c:pivotFmt>
        <c:idx val="141"/>
        <c:spPr>
          <a:solidFill>
            <a:schemeClr val="accent1"/>
          </a:solidFill>
          <a:ln w="25400">
            <a:noFill/>
          </a:ln>
          <a:effectLst/>
        </c:spPr>
        <c:marker>
          <c:symbol val="none"/>
        </c:marker>
      </c:pivotFmt>
      <c:pivotFmt>
        <c:idx val="142"/>
        <c:spPr>
          <a:solidFill>
            <a:schemeClr val="accent1"/>
          </a:solidFill>
          <a:ln w="25400">
            <a:noFill/>
          </a:ln>
          <a:effectLst/>
        </c:spPr>
        <c:marker>
          <c:symbol val="none"/>
        </c:marker>
      </c:pivotFmt>
      <c:pivotFmt>
        <c:idx val="143"/>
        <c:spPr>
          <a:solidFill>
            <a:schemeClr val="accent1"/>
          </a:solidFill>
          <a:ln w="25400">
            <a:noFill/>
          </a:ln>
          <a:effectLst/>
        </c:spPr>
        <c:marker>
          <c:symbol val="none"/>
        </c:marker>
      </c:pivotFmt>
      <c:pivotFmt>
        <c:idx val="144"/>
        <c:spPr>
          <a:solidFill>
            <a:schemeClr val="accent1"/>
          </a:solidFill>
          <a:ln w="25400">
            <a:noFill/>
          </a:ln>
          <a:effectLst/>
        </c:spPr>
        <c:marker>
          <c:symbol val="none"/>
        </c:marker>
      </c:pivotFmt>
      <c:pivotFmt>
        <c:idx val="145"/>
        <c:spPr>
          <a:solidFill>
            <a:schemeClr val="accent1"/>
          </a:solidFill>
          <a:ln w="25400">
            <a:noFill/>
          </a:ln>
          <a:effectLst/>
        </c:spPr>
        <c:marker>
          <c:symbol val="none"/>
        </c:marker>
      </c:pivotFmt>
      <c:pivotFmt>
        <c:idx val="146"/>
        <c:spPr>
          <a:solidFill>
            <a:schemeClr val="accent1"/>
          </a:solidFill>
          <a:ln w="25400">
            <a:noFill/>
          </a:ln>
          <a:effectLst/>
        </c:spPr>
        <c:marker>
          <c:symbol val="none"/>
        </c:marker>
      </c:pivotFmt>
      <c:pivotFmt>
        <c:idx val="147"/>
        <c:spPr>
          <a:solidFill>
            <a:schemeClr val="accent1"/>
          </a:solidFill>
          <a:ln w="25400">
            <a:noFill/>
          </a:ln>
          <a:effectLst/>
        </c:spPr>
        <c:marker>
          <c:symbol val="none"/>
        </c:marker>
      </c:pivotFmt>
      <c:pivotFmt>
        <c:idx val="148"/>
        <c:spPr>
          <a:solidFill>
            <a:schemeClr val="accent1"/>
          </a:solidFill>
          <a:ln w="25400">
            <a:noFill/>
          </a:ln>
          <a:effectLst/>
        </c:spPr>
        <c:marker>
          <c:symbol val="none"/>
        </c:marker>
      </c:pivotFmt>
      <c:pivotFmt>
        <c:idx val="149"/>
        <c:spPr>
          <a:solidFill>
            <a:schemeClr val="accent1"/>
          </a:solidFill>
          <a:ln w="25400">
            <a:noFill/>
          </a:ln>
          <a:effectLst/>
        </c:spPr>
        <c:marker>
          <c:symbol val="none"/>
        </c:marker>
      </c:pivotFmt>
      <c:pivotFmt>
        <c:idx val="150"/>
        <c:spPr>
          <a:solidFill>
            <a:schemeClr val="accent1"/>
          </a:solidFill>
          <a:ln w="25400">
            <a:noFill/>
          </a:ln>
          <a:effectLst/>
        </c:spPr>
        <c:marker>
          <c:symbol val="none"/>
        </c:marker>
      </c:pivotFmt>
      <c:pivotFmt>
        <c:idx val="151"/>
        <c:spPr>
          <a:solidFill>
            <a:schemeClr val="accent1"/>
          </a:solidFill>
          <a:ln w="25400">
            <a:noFill/>
          </a:ln>
          <a:effectLst/>
        </c:spPr>
        <c:marker>
          <c:symbol val="none"/>
        </c:marker>
      </c:pivotFmt>
      <c:pivotFmt>
        <c:idx val="152"/>
        <c:spPr>
          <a:solidFill>
            <a:schemeClr val="accent1"/>
          </a:solidFill>
          <a:ln w="25400">
            <a:noFill/>
          </a:ln>
          <a:effectLst/>
        </c:spPr>
        <c:marker>
          <c:symbol val="none"/>
        </c:marker>
      </c:pivotFmt>
      <c:pivotFmt>
        <c:idx val="153"/>
        <c:spPr>
          <a:solidFill>
            <a:schemeClr val="accent1"/>
          </a:solidFill>
          <a:ln w="25400">
            <a:noFill/>
          </a:ln>
          <a:effectLst/>
        </c:spPr>
        <c:marker>
          <c:symbol val="none"/>
        </c:marker>
      </c:pivotFmt>
      <c:pivotFmt>
        <c:idx val="154"/>
        <c:spPr>
          <a:solidFill>
            <a:schemeClr val="accent1"/>
          </a:solidFill>
          <a:ln w="25400">
            <a:noFill/>
          </a:ln>
          <a:effectLst/>
        </c:spPr>
        <c:marker>
          <c:symbol val="none"/>
        </c:marker>
      </c:pivotFmt>
      <c:pivotFmt>
        <c:idx val="155"/>
        <c:spPr>
          <a:solidFill>
            <a:schemeClr val="accent1"/>
          </a:solidFill>
          <a:ln w="25400">
            <a:noFill/>
          </a:ln>
          <a:effectLst/>
        </c:spPr>
        <c:marker>
          <c:symbol val="none"/>
        </c:marker>
      </c:pivotFmt>
      <c:pivotFmt>
        <c:idx val="156"/>
        <c:spPr>
          <a:solidFill>
            <a:schemeClr val="accent1"/>
          </a:solidFill>
          <a:ln w="25400">
            <a:noFill/>
          </a:ln>
          <a:effectLst/>
        </c:spPr>
        <c:marker>
          <c:symbol val="none"/>
        </c:marker>
      </c:pivotFmt>
      <c:pivotFmt>
        <c:idx val="157"/>
        <c:spPr>
          <a:solidFill>
            <a:schemeClr val="accent1"/>
          </a:solidFill>
          <a:ln w="25400">
            <a:noFill/>
          </a:ln>
          <a:effectLst/>
        </c:spPr>
        <c:marker>
          <c:symbol val="none"/>
        </c:marker>
      </c:pivotFmt>
      <c:pivotFmt>
        <c:idx val="158"/>
        <c:spPr>
          <a:solidFill>
            <a:schemeClr val="accent1"/>
          </a:solidFill>
          <a:ln w="25400">
            <a:noFill/>
          </a:ln>
          <a:effectLst/>
        </c:spPr>
        <c:marker>
          <c:symbol val="none"/>
        </c:marker>
      </c:pivotFmt>
      <c:pivotFmt>
        <c:idx val="159"/>
        <c:spPr>
          <a:solidFill>
            <a:schemeClr val="accent1"/>
          </a:solidFill>
          <a:ln w="25400">
            <a:noFill/>
          </a:ln>
          <a:effectLst/>
        </c:spPr>
        <c:marker>
          <c:symbol val="none"/>
        </c:marker>
      </c:pivotFmt>
      <c:pivotFmt>
        <c:idx val="160"/>
        <c:spPr>
          <a:solidFill>
            <a:schemeClr val="accent1"/>
          </a:solidFill>
          <a:ln w="25400">
            <a:noFill/>
          </a:ln>
          <a:effectLst/>
        </c:spPr>
        <c:marker>
          <c:symbol val="none"/>
        </c:marker>
      </c:pivotFmt>
      <c:pivotFmt>
        <c:idx val="161"/>
        <c:spPr>
          <a:solidFill>
            <a:schemeClr val="accent1"/>
          </a:solidFill>
          <a:ln w="25400">
            <a:noFill/>
          </a:ln>
          <a:effectLst/>
        </c:spPr>
        <c:marker>
          <c:symbol val="none"/>
        </c:marker>
      </c:pivotFmt>
      <c:pivotFmt>
        <c:idx val="162"/>
        <c:spPr>
          <a:solidFill>
            <a:schemeClr val="accent1"/>
          </a:solidFill>
          <a:ln w="25400">
            <a:noFill/>
          </a:ln>
          <a:effectLst/>
        </c:spPr>
        <c:marker>
          <c:symbol val="none"/>
        </c:marker>
      </c:pivotFmt>
      <c:pivotFmt>
        <c:idx val="163"/>
        <c:spPr>
          <a:solidFill>
            <a:schemeClr val="accent1"/>
          </a:solidFill>
          <a:ln w="25400">
            <a:noFill/>
          </a:ln>
          <a:effectLst/>
        </c:spPr>
        <c:marker>
          <c:symbol val="none"/>
        </c:marker>
      </c:pivotFmt>
      <c:pivotFmt>
        <c:idx val="164"/>
        <c:spPr>
          <a:solidFill>
            <a:schemeClr val="accent1"/>
          </a:solidFill>
          <a:ln w="25400">
            <a:noFill/>
          </a:ln>
          <a:effectLst/>
        </c:spPr>
        <c:marker>
          <c:symbol val="none"/>
        </c:marker>
      </c:pivotFmt>
      <c:pivotFmt>
        <c:idx val="165"/>
        <c:spPr>
          <a:solidFill>
            <a:schemeClr val="accent1"/>
          </a:solidFill>
          <a:ln w="25400">
            <a:noFill/>
          </a:ln>
          <a:effectLst/>
        </c:spPr>
        <c:marker>
          <c:symbol val="none"/>
        </c:marker>
      </c:pivotFmt>
      <c:pivotFmt>
        <c:idx val="166"/>
        <c:spPr>
          <a:solidFill>
            <a:schemeClr val="accent1"/>
          </a:solidFill>
          <a:ln w="25400">
            <a:noFill/>
          </a:ln>
          <a:effectLst/>
        </c:spPr>
        <c:marker>
          <c:symbol val="none"/>
        </c:marker>
      </c:pivotFmt>
      <c:pivotFmt>
        <c:idx val="167"/>
        <c:spPr>
          <a:solidFill>
            <a:schemeClr val="accent1"/>
          </a:solidFill>
          <a:ln w="25400">
            <a:noFill/>
          </a:ln>
          <a:effectLst/>
        </c:spPr>
        <c:marker>
          <c:symbol val="none"/>
        </c:marker>
      </c:pivotFmt>
      <c:pivotFmt>
        <c:idx val="168"/>
        <c:spPr>
          <a:solidFill>
            <a:schemeClr val="accent1"/>
          </a:solidFill>
          <a:ln>
            <a:noFill/>
          </a:ln>
          <a:effectLst/>
        </c:spPr>
        <c:marker>
          <c:symbol val="none"/>
        </c:marker>
      </c:pivotFmt>
      <c:pivotFmt>
        <c:idx val="169"/>
        <c:spPr>
          <a:solidFill>
            <a:schemeClr val="accent1"/>
          </a:solidFill>
          <a:ln>
            <a:noFill/>
          </a:ln>
          <a:effectLst/>
        </c:spPr>
        <c:marker>
          <c:symbol val="none"/>
        </c:marker>
      </c:pivotFmt>
      <c:pivotFmt>
        <c:idx val="170"/>
        <c:spPr>
          <a:solidFill>
            <a:schemeClr val="accent1"/>
          </a:solidFill>
          <a:ln w="25400">
            <a:noFill/>
          </a:ln>
          <a:effectLst/>
        </c:spPr>
        <c:marker>
          <c:symbol val="none"/>
        </c:marker>
      </c:pivotFmt>
      <c:pivotFmt>
        <c:idx val="171"/>
        <c:spPr>
          <a:solidFill>
            <a:schemeClr val="accent1"/>
          </a:solidFill>
          <a:ln w="25400">
            <a:noFill/>
          </a:ln>
          <a:effectLst/>
        </c:spPr>
        <c:marker>
          <c:symbol val="none"/>
        </c:marker>
      </c:pivotFmt>
      <c:pivotFmt>
        <c:idx val="172"/>
        <c:spPr>
          <a:solidFill>
            <a:schemeClr val="accent1"/>
          </a:solidFill>
          <a:ln w="25400">
            <a:noFill/>
          </a:ln>
          <a:effectLst/>
        </c:spPr>
        <c:marker>
          <c:symbol val="none"/>
        </c:marker>
      </c:pivotFmt>
      <c:pivotFmt>
        <c:idx val="173"/>
        <c:spPr>
          <a:solidFill>
            <a:schemeClr val="accent1"/>
          </a:solidFill>
          <a:ln w="25400">
            <a:noFill/>
          </a:ln>
          <a:effectLst/>
        </c:spPr>
        <c:marker>
          <c:symbol val="none"/>
        </c:marker>
      </c:pivotFmt>
      <c:pivotFmt>
        <c:idx val="174"/>
        <c:spPr>
          <a:solidFill>
            <a:schemeClr val="accent1"/>
          </a:solidFill>
          <a:ln w="25400">
            <a:noFill/>
          </a:ln>
          <a:effectLst/>
        </c:spPr>
        <c:marker>
          <c:symbol val="none"/>
        </c:marker>
      </c:pivotFmt>
      <c:pivotFmt>
        <c:idx val="175"/>
        <c:spPr>
          <a:solidFill>
            <a:schemeClr val="accent1"/>
          </a:solidFill>
          <a:ln w="25400">
            <a:noFill/>
          </a:ln>
          <a:effectLst/>
        </c:spPr>
        <c:marker>
          <c:symbol val="none"/>
        </c:marker>
      </c:pivotFmt>
      <c:pivotFmt>
        <c:idx val="176"/>
        <c:spPr>
          <a:solidFill>
            <a:schemeClr val="accent1"/>
          </a:solidFill>
          <a:ln w="25400">
            <a:noFill/>
          </a:ln>
          <a:effectLst/>
        </c:spPr>
        <c:marker>
          <c:symbol val="none"/>
        </c:marker>
      </c:pivotFmt>
      <c:pivotFmt>
        <c:idx val="177"/>
        <c:spPr>
          <a:solidFill>
            <a:schemeClr val="accent1"/>
          </a:solidFill>
          <a:ln w="25400">
            <a:noFill/>
          </a:ln>
          <a:effectLst/>
        </c:spPr>
        <c:marker>
          <c:symbol val="none"/>
        </c:marker>
      </c:pivotFmt>
      <c:pivotFmt>
        <c:idx val="178"/>
        <c:spPr>
          <a:solidFill>
            <a:schemeClr val="accent1"/>
          </a:solidFill>
          <a:ln w="25400">
            <a:noFill/>
          </a:ln>
          <a:effectLst/>
        </c:spPr>
        <c:marker>
          <c:symbol val="none"/>
        </c:marker>
      </c:pivotFmt>
      <c:pivotFmt>
        <c:idx val="179"/>
        <c:spPr>
          <a:solidFill>
            <a:schemeClr val="accent1"/>
          </a:solidFill>
          <a:ln w="25400">
            <a:noFill/>
          </a:ln>
          <a:effectLst/>
        </c:spPr>
        <c:marker>
          <c:symbol val="none"/>
        </c:marker>
      </c:pivotFmt>
      <c:pivotFmt>
        <c:idx val="180"/>
        <c:spPr>
          <a:solidFill>
            <a:schemeClr val="accent1"/>
          </a:solidFill>
          <a:ln w="25400">
            <a:noFill/>
          </a:ln>
          <a:effectLst/>
        </c:spPr>
        <c:marker>
          <c:symbol val="none"/>
        </c:marker>
      </c:pivotFmt>
      <c:pivotFmt>
        <c:idx val="181"/>
        <c:spPr>
          <a:solidFill>
            <a:schemeClr val="accent1"/>
          </a:solidFill>
          <a:ln w="25400">
            <a:noFill/>
          </a:ln>
          <a:effectLst/>
        </c:spPr>
        <c:marker>
          <c:symbol val="none"/>
        </c:marker>
      </c:pivotFmt>
      <c:pivotFmt>
        <c:idx val="182"/>
        <c:spPr>
          <a:solidFill>
            <a:schemeClr val="accent1"/>
          </a:solidFill>
          <a:ln w="25400">
            <a:noFill/>
          </a:ln>
          <a:effectLst/>
        </c:spPr>
        <c:marker>
          <c:symbol val="none"/>
        </c:marker>
      </c:pivotFmt>
      <c:pivotFmt>
        <c:idx val="183"/>
        <c:spPr>
          <a:solidFill>
            <a:schemeClr val="accent1"/>
          </a:solidFill>
          <a:ln w="25400">
            <a:noFill/>
          </a:ln>
          <a:effectLst/>
        </c:spPr>
        <c:marker>
          <c:symbol val="none"/>
        </c:marker>
      </c:pivotFmt>
      <c:pivotFmt>
        <c:idx val="184"/>
        <c:spPr>
          <a:solidFill>
            <a:schemeClr val="accent1"/>
          </a:solidFill>
          <a:ln w="25400">
            <a:noFill/>
          </a:ln>
          <a:effectLst/>
        </c:spPr>
        <c:marker>
          <c:symbol val="none"/>
        </c:marker>
      </c:pivotFmt>
      <c:pivotFmt>
        <c:idx val="185"/>
        <c:spPr>
          <a:solidFill>
            <a:schemeClr val="accent1"/>
          </a:solidFill>
          <a:ln w="25400">
            <a:noFill/>
          </a:ln>
          <a:effectLst/>
        </c:spPr>
        <c:marker>
          <c:symbol val="none"/>
        </c:marker>
      </c:pivotFmt>
      <c:pivotFmt>
        <c:idx val="186"/>
        <c:spPr>
          <a:solidFill>
            <a:schemeClr val="accent1"/>
          </a:solidFill>
          <a:ln w="25400">
            <a:noFill/>
          </a:ln>
          <a:effectLst/>
        </c:spPr>
        <c:marker>
          <c:symbol val="none"/>
        </c:marker>
      </c:pivotFmt>
      <c:pivotFmt>
        <c:idx val="187"/>
        <c:spPr>
          <a:solidFill>
            <a:schemeClr val="accent1"/>
          </a:solidFill>
          <a:ln w="25400">
            <a:noFill/>
          </a:ln>
          <a:effectLst/>
        </c:spPr>
        <c:marker>
          <c:symbol val="none"/>
        </c:marker>
      </c:pivotFmt>
      <c:pivotFmt>
        <c:idx val="188"/>
        <c:spPr>
          <a:solidFill>
            <a:schemeClr val="accent1"/>
          </a:solidFill>
          <a:ln w="25400">
            <a:noFill/>
          </a:ln>
          <a:effectLst/>
        </c:spPr>
        <c:marker>
          <c:symbol val="none"/>
        </c:marker>
      </c:pivotFmt>
      <c:pivotFmt>
        <c:idx val="189"/>
        <c:spPr>
          <a:solidFill>
            <a:schemeClr val="accent1"/>
          </a:solidFill>
          <a:ln w="25400">
            <a:noFill/>
          </a:ln>
          <a:effectLst/>
        </c:spPr>
        <c:marker>
          <c:symbol val="none"/>
        </c:marker>
      </c:pivotFmt>
      <c:pivotFmt>
        <c:idx val="190"/>
        <c:spPr>
          <a:solidFill>
            <a:schemeClr val="accent1"/>
          </a:solidFill>
          <a:ln w="25400">
            <a:noFill/>
          </a:ln>
          <a:effectLst/>
        </c:spPr>
        <c:marker>
          <c:symbol val="none"/>
        </c:marker>
      </c:pivotFmt>
      <c:pivotFmt>
        <c:idx val="191"/>
        <c:spPr>
          <a:solidFill>
            <a:schemeClr val="accent1"/>
          </a:solidFill>
          <a:ln>
            <a:noFill/>
          </a:ln>
          <a:effectLst/>
        </c:spPr>
        <c:marker>
          <c:symbol val="none"/>
        </c:marker>
      </c:pivotFmt>
      <c:pivotFmt>
        <c:idx val="192"/>
        <c:spPr>
          <a:solidFill>
            <a:schemeClr val="accent1"/>
          </a:solidFill>
          <a:ln>
            <a:noFill/>
          </a:ln>
          <a:effectLst/>
        </c:spPr>
        <c:marker>
          <c:symbol val="none"/>
        </c:marker>
      </c:pivotFmt>
      <c:pivotFmt>
        <c:idx val="193"/>
        <c:spPr>
          <a:solidFill>
            <a:schemeClr val="accent1"/>
          </a:solidFill>
          <a:ln>
            <a:noFill/>
          </a:ln>
          <a:effectLst/>
        </c:spPr>
        <c:marker>
          <c:symbol val="none"/>
        </c:marker>
      </c:pivotFmt>
      <c:pivotFmt>
        <c:idx val="194"/>
        <c:spPr>
          <a:solidFill>
            <a:schemeClr val="accent1"/>
          </a:solidFill>
          <a:ln>
            <a:noFill/>
          </a:ln>
          <a:effectLst/>
        </c:spPr>
        <c:marker>
          <c:symbol val="none"/>
        </c:marker>
      </c:pivotFmt>
      <c:pivotFmt>
        <c:idx val="195"/>
        <c:spPr>
          <a:solidFill>
            <a:schemeClr val="accent1"/>
          </a:solidFill>
          <a:ln w="25400">
            <a:noFill/>
          </a:ln>
          <a:effectLst/>
        </c:spPr>
        <c:marker>
          <c:symbol val="none"/>
        </c:marker>
      </c:pivotFmt>
      <c:pivotFmt>
        <c:idx val="196"/>
        <c:spPr>
          <a:solidFill>
            <a:schemeClr val="accent1"/>
          </a:solidFill>
          <a:ln w="25400">
            <a:noFill/>
          </a:ln>
          <a:effectLst/>
        </c:spPr>
        <c:marker>
          <c:symbol val="none"/>
        </c:marker>
      </c:pivotFmt>
      <c:pivotFmt>
        <c:idx val="197"/>
        <c:spPr>
          <a:solidFill>
            <a:schemeClr val="accent1"/>
          </a:solidFill>
          <a:ln w="25400">
            <a:noFill/>
          </a:ln>
          <a:effectLst/>
        </c:spPr>
        <c:marker>
          <c:symbol val="none"/>
        </c:marker>
      </c:pivotFmt>
      <c:pivotFmt>
        <c:idx val="198"/>
        <c:spPr>
          <a:solidFill>
            <a:schemeClr val="accent1"/>
          </a:solidFill>
          <a:ln w="25400">
            <a:noFill/>
          </a:ln>
          <a:effectLst/>
        </c:spPr>
        <c:marker>
          <c:symbol val="none"/>
        </c:marker>
      </c:pivotFmt>
      <c:pivotFmt>
        <c:idx val="199"/>
        <c:spPr>
          <a:solidFill>
            <a:schemeClr val="accent1"/>
          </a:solidFill>
          <a:ln w="25400">
            <a:noFill/>
          </a:ln>
          <a:effectLst/>
        </c:spPr>
        <c:marker>
          <c:symbol val="none"/>
        </c:marker>
      </c:pivotFmt>
      <c:pivotFmt>
        <c:idx val="200"/>
        <c:spPr>
          <a:solidFill>
            <a:schemeClr val="accent1"/>
          </a:solidFill>
          <a:ln w="25400">
            <a:noFill/>
          </a:ln>
          <a:effectLst/>
        </c:spPr>
        <c:marker>
          <c:symbol val="none"/>
        </c:marker>
      </c:pivotFmt>
      <c:pivotFmt>
        <c:idx val="201"/>
        <c:spPr>
          <a:solidFill>
            <a:schemeClr val="accent1"/>
          </a:solidFill>
          <a:ln w="25400">
            <a:noFill/>
          </a:ln>
          <a:effectLst/>
        </c:spPr>
        <c:marker>
          <c:symbol val="none"/>
        </c:marker>
      </c:pivotFmt>
      <c:pivotFmt>
        <c:idx val="202"/>
        <c:spPr>
          <a:solidFill>
            <a:schemeClr val="accent1"/>
          </a:solidFill>
          <a:ln w="25400">
            <a:noFill/>
          </a:ln>
          <a:effectLst/>
        </c:spPr>
        <c:marker>
          <c:symbol val="none"/>
        </c:marker>
      </c:pivotFmt>
      <c:pivotFmt>
        <c:idx val="203"/>
        <c:spPr>
          <a:solidFill>
            <a:schemeClr val="accent1"/>
          </a:solidFill>
          <a:ln w="25400">
            <a:noFill/>
          </a:ln>
          <a:effectLst/>
        </c:spPr>
        <c:marker>
          <c:symbol val="none"/>
        </c:marker>
      </c:pivotFmt>
      <c:pivotFmt>
        <c:idx val="204"/>
        <c:spPr>
          <a:solidFill>
            <a:schemeClr val="accent1"/>
          </a:solidFill>
          <a:ln w="25400">
            <a:noFill/>
          </a:ln>
          <a:effectLst/>
        </c:spPr>
        <c:marker>
          <c:symbol val="none"/>
        </c:marker>
      </c:pivotFmt>
      <c:pivotFmt>
        <c:idx val="205"/>
        <c:spPr>
          <a:solidFill>
            <a:schemeClr val="accent1"/>
          </a:solidFill>
          <a:ln w="25400">
            <a:noFill/>
          </a:ln>
          <a:effectLst/>
        </c:spPr>
        <c:marker>
          <c:symbol val="none"/>
        </c:marker>
      </c:pivotFmt>
      <c:pivotFmt>
        <c:idx val="206"/>
        <c:spPr>
          <a:solidFill>
            <a:schemeClr val="accent1"/>
          </a:solidFill>
          <a:ln w="25400">
            <a:noFill/>
          </a:ln>
          <a:effectLst/>
        </c:spPr>
        <c:marker>
          <c:symbol val="none"/>
        </c:marker>
      </c:pivotFmt>
      <c:pivotFmt>
        <c:idx val="207"/>
        <c:spPr>
          <a:solidFill>
            <a:schemeClr val="accent1"/>
          </a:solidFill>
          <a:ln w="25400">
            <a:noFill/>
          </a:ln>
          <a:effectLst/>
        </c:spPr>
        <c:marker>
          <c:symbol val="none"/>
        </c:marker>
      </c:pivotFmt>
      <c:pivotFmt>
        <c:idx val="208"/>
        <c:spPr>
          <a:solidFill>
            <a:schemeClr val="accent1"/>
          </a:solidFill>
          <a:ln w="25400">
            <a:noFill/>
          </a:ln>
          <a:effectLst/>
        </c:spPr>
        <c:marker>
          <c:symbol val="none"/>
        </c:marker>
      </c:pivotFmt>
      <c:pivotFmt>
        <c:idx val="209"/>
        <c:spPr>
          <a:solidFill>
            <a:schemeClr val="accent1"/>
          </a:solidFill>
          <a:ln w="25400">
            <a:noFill/>
          </a:ln>
          <a:effectLst/>
        </c:spPr>
        <c:marker>
          <c:symbol val="none"/>
        </c:marker>
      </c:pivotFmt>
      <c:pivotFmt>
        <c:idx val="210"/>
        <c:spPr>
          <a:solidFill>
            <a:schemeClr val="accent1"/>
          </a:solidFill>
          <a:ln w="25400">
            <a:noFill/>
          </a:ln>
          <a:effectLst/>
        </c:spPr>
        <c:marker>
          <c:symbol val="none"/>
        </c:marker>
      </c:pivotFmt>
      <c:pivotFmt>
        <c:idx val="211"/>
        <c:spPr>
          <a:solidFill>
            <a:schemeClr val="accent1"/>
          </a:solidFill>
          <a:ln w="25400">
            <a:noFill/>
          </a:ln>
          <a:effectLst/>
        </c:spPr>
        <c:marker>
          <c:symbol val="none"/>
        </c:marker>
      </c:pivotFmt>
      <c:pivotFmt>
        <c:idx val="212"/>
        <c:spPr>
          <a:solidFill>
            <a:schemeClr val="accent1"/>
          </a:solidFill>
          <a:ln w="25400">
            <a:noFill/>
          </a:ln>
          <a:effectLst/>
        </c:spPr>
        <c:marker>
          <c:symbol val="none"/>
        </c:marker>
      </c:pivotFmt>
      <c:pivotFmt>
        <c:idx val="213"/>
        <c:spPr>
          <a:solidFill>
            <a:schemeClr val="accent1"/>
          </a:solidFill>
          <a:ln w="25400">
            <a:noFill/>
          </a:ln>
          <a:effectLst/>
        </c:spPr>
        <c:marker>
          <c:symbol val="none"/>
        </c:marker>
      </c:pivotFmt>
      <c:pivotFmt>
        <c:idx val="214"/>
        <c:spPr>
          <a:solidFill>
            <a:schemeClr val="accent1"/>
          </a:solidFill>
          <a:ln w="25400">
            <a:noFill/>
          </a:ln>
          <a:effectLst/>
        </c:spPr>
        <c:marker>
          <c:symbol val="none"/>
        </c:marker>
      </c:pivotFmt>
      <c:pivotFmt>
        <c:idx val="215"/>
        <c:spPr>
          <a:solidFill>
            <a:schemeClr val="accent1"/>
          </a:solidFill>
          <a:ln w="25400">
            <a:noFill/>
          </a:ln>
          <a:effectLst/>
        </c:spPr>
        <c:marker>
          <c:symbol val="none"/>
        </c:marker>
      </c:pivotFmt>
      <c:pivotFmt>
        <c:idx val="216"/>
        <c:spPr>
          <a:solidFill>
            <a:schemeClr val="accent1"/>
          </a:solidFill>
          <a:ln w="25400">
            <a:noFill/>
          </a:ln>
          <a:effectLst/>
        </c:spPr>
        <c:marker>
          <c:symbol val="none"/>
        </c:marker>
      </c:pivotFmt>
      <c:pivotFmt>
        <c:idx val="217"/>
        <c:spPr>
          <a:solidFill>
            <a:schemeClr val="accent1"/>
          </a:solidFill>
          <a:ln w="25400">
            <a:noFill/>
          </a:ln>
          <a:effectLst/>
        </c:spPr>
        <c:marker>
          <c:symbol val="none"/>
        </c:marker>
      </c:pivotFmt>
      <c:pivotFmt>
        <c:idx val="218"/>
        <c:spPr>
          <a:solidFill>
            <a:schemeClr val="accent1"/>
          </a:solidFill>
          <a:ln w="25400">
            <a:noFill/>
          </a:ln>
          <a:effectLst/>
        </c:spPr>
        <c:marker>
          <c:symbol val="none"/>
        </c:marker>
      </c:pivotFmt>
      <c:pivotFmt>
        <c:idx val="219"/>
        <c:spPr>
          <a:solidFill>
            <a:schemeClr val="accent1"/>
          </a:solidFill>
          <a:ln w="25400">
            <a:noFill/>
          </a:ln>
          <a:effectLst/>
        </c:spPr>
        <c:marker>
          <c:symbol val="none"/>
        </c:marker>
      </c:pivotFmt>
      <c:pivotFmt>
        <c:idx val="220"/>
        <c:spPr>
          <a:solidFill>
            <a:schemeClr val="accent1"/>
          </a:solidFill>
          <a:ln w="25400">
            <a:noFill/>
          </a:ln>
          <a:effectLst/>
        </c:spPr>
        <c:marker>
          <c:symbol val="none"/>
        </c:marker>
      </c:pivotFmt>
      <c:pivotFmt>
        <c:idx val="221"/>
        <c:spPr>
          <a:solidFill>
            <a:schemeClr val="accent1"/>
          </a:solidFill>
          <a:ln w="25400">
            <a:noFill/>
          </a:ln>
          <a:effectLst/>
        </c:spPr>
        <c:marker>
          <c:symbol val="none"/>
        </c:marker>
      </c:pivotFmt>
      <c:pivotFmt>
        <c:idx val="222"/>
        <c:spPr>
          <a:solidFill>
            <a:schemeClr val="accent1"/>
          </a:solidFill>
          <a:ln w="25400">
            <a:noFill/>
          </a:ln>
          <a:effectLst/>
        </c:spPr>
        <c:marker>
          <c:symbol val="none"/>
        </c:marker>
      </c:pivotFmt>
      <c:pivotFmt>
        <c:idx val="223"/>
        <c:spPr>
          <a:solidFill>
            <a:schemeClr val="accent1"/>
          </a:solidFill>
          <a:ln w="25400">
            <a:noFill/>
          </a:ln>
          <a:effectLst/>
        </c:spPr>
        <c:marker>
          <c:symbol val="none"/>
        </c:marker>
      </c:pivotFmt>
      <c:pivotFmt>
        <c:idx val="224"/>
        <c:spPr>
          <a:solidFill>
            <a:schemeClr val="accent1"/>
          </a:solidFill>
          <a:ln w="25400">
            <a:noFill/>
          </a:ln>
          <a:effectLst/>
        </c:spPr>
        <c:marker>
          <c:symbol val="none"/>
        </c:marker>
      </c:pivotFmt>
      <c:pivotFmt>
        <c:idx val="225"/>
        <c:spPr>
          <a:solidFill>
            <a:schemeClr val="accent1"/>
          </a:solidFill>
          <a:ln w="25400">
            <a:noFill/>
          </a:ln>
          <a:effectLst/>
        </c:spPr>
        <c:marker>
          <c:symbol val="none"/>
        </c:marker>
      </c:pivotFmt>
      <c:pivotFmt>
        <c:idx val="226"/>
        <c:spPr>
          <a:solidFill>
            <a:schemeClr val="accent1"/>
          </a:solidFill>
          <a:ln w="25400">
            <a:noFill/>
          </a:ln>
          <a:effectLst/>
        </c:spPr>
        <c:marker>
          <c:symbol val="none"/>
        </c:marker>
      </c:pivotFmt>
      <c:pivotFmt>
        <c:idx val="227"/>
        <c:spPr>
          <a:solidFill>
            <a:schemeClr val="accent1"/>
          </a:solidFill>
          <a:ln w="25400">
            <a:noFill/>
          </a:ln>
          <a:effectLst/>
        </c:spPr>
        <c:marker>
          <c:symbol val="none"/>
        </c:marker>
      </c:pivotFmt>
      <c:pivotFmt>
        <c:idx val="228"/>
        <c:spPr>
          <a:solidFill>
            <a:schemeClr val="accent1"/>
          </a:solidFill>
          <a:ln w="25400">
            <a:noFill/>
          </a:ln>
          <a:effectLst/>
        </c:spPr>
        <c:marker>
          <c:symbol val="none"/>
        </c:marker>
      </c:pivotFmt>
      <c:pivotFmt>
        <c:idx val="229"/>
        <c:spPr>
          <a:solidFill>
            <a:schemeClr val="accent1"/>
          </a:solidFill>
          <a:ln w="25400">
            <a:noFill/>
          </a:ln>
          <a:effectLst/>
        </c:spPr>
        <c:marker>
          <c:symbol val="none"/>
        </c:marker>
      </c:pivotFmt>
      <c:pivotFmt>
        <c:idx val="230"/>
        <c:spPr>
          <a:solidFill>
            <a:schemeClr val="accent1"/>
          </a:solidFill>
          <a:ln w="25400">
            <a:noFill/>
          </a:ln>
          <a:effectLst/>
        </c:spPr>
        <c:marker>
          <c:symbol val="none"/>
        </c:marker>
      </c:pivotFmt>
      <c:pivotFmt>
        <c:idx val="231"/>
        <c:spPr>
          <a:solidFill>
            <a:schemeClr val="accent1"/>
          </a:solidFill>
          <a:ln w="25400">
            <a:noFill/>
          </a:ln>
          <a:effectLst/>
        </c:spPr>
        <c:marker>
          <c:symbol val="none"/>
        </c:marker>
      </c:pivotFmt>
      <c:pivotFmt>
        <c:idx val="232"/>
        <c:spPr>
          <a:solidFill>
            <a:schemeClr val="accent1"/>
          </a:solidFill>
          <a:ln w="25400">
            <a:noFill/>
          </a:ln>
          <a:effectLst/>
        </c:spPr>
        <c:marker>
          <c:symbol val="none"/>
        </c:marker>
      </c:pivotFmt>
      <c:pivotFmt>
        <c:idx val="233"/>
        <c:spPr>
          <a:solidFill>
            <a:schemeClr val="accent1"/>
          </a:solidFill>
          <a:ln w="25400">
            <a:noFill/>
          </a:ln>
          <a:effectLst/>
        </c:spPr>
        <c:marker>
          <c:symbol val="none"/>
        </c:marker>
      </c:pivotFmt>
      <c:pivotFmt>
        <c:idx val="234"/>
        <c:spPr>
          <a:solidFill>
            <a:schemeClr val="accent1"/>
          </a:solidFill>
          <a:ln w="25400">
            <a:noFill/>
          </a:ln>
          <a:effectLst/>
        </c:spPr>
        <c:marker>
          <c:symbol val="none"/>
        </c:marker>
      </c:pivotFmt>
      <c:pivotFmt>
        <c:idx val="235"/>
        <c:spPr>
          <a:solidFill>
            <a:schemeClr val="accent1"/>
          </a:solidFill>
          <a:ln w="25400">
            <a:noFill/>
          </a:ln>
          <a:effectLst/>
        </c:spPr>
        <c:marker>
          <c:symbol val="none"/>
        </c:marker>
      </c:pivotFmt>
      <c:pivotFmt>
        <c:idx val="236"/>
        <c:spPr>
          <a:solidFill>
            <a:schemeClr val="accent1"/>
          </a:solidFill>
          <a:ln w="25400">
            <a:noFill/>
          </a:ln>
          <a:effectLst/>
        </c:spPr>
        <c:marker>
          <c:symbol val="none"/>
        </c:marker>
      </c:pivotFmt>
      <c:pivotFmt>
        <c:idx val="237"/>
        <c:spPr>
          <a:solidFill>
            <a:schemeClr val="accent1"/>
          </a:solidFill>
          <a:ln w="25400">
            <a:noFill/>
          </a:ln>
          <a:effectLst/>
        </c:spPr>
        <c:marker>
          <c:symbol val="none"/>
        </c:marker>
      </c:pivotFmt>
      <c:pivotFmt>
        <c:idx val="238"/>
        <c:spPr>
          <a:solidFill>
            <a:schemeClr val="accent1"/>
          </a:solidFill>
          <a:ln w="25400">
            <a:noFill/>
          </a:ln>
          <a:effectLst/>
        </c:spPr>
        <c:marker>
          <c:symbol val="none"/>
        </c:marker>
      </c:pivotFmt>
      <c:pivotFmt>
        <c:idx val="239"/>
        <c:spPr>
          <a:solidFill>
            <a:schemeClr val="accent1"/>
          </a:solidFill>
          <a:ln w="25400">
            <a:noFill/>
          </a:ln>
          <a:effectLst/>
        </c:spPr>
        <c:marker>
          <c:symbol val="none"/>
        </c:marker>
      </c:pivotFmt>
      <c:pivotFmt>
        <c:idx val="240"/>
        <c:spPr>
          <a:solidFill>
            <a:schemeClr val="accent1"/>
          </a:solidFill>
          <a:ln w="25400">
            <a:noFill/>
          </a:ln>
          <a:effectLst/>
        </c:spPr>
        <c:marker>
          <c:symbol val="none"/>
        </c:marker>
      </c:pivotFmt>
      <c:pivotFmt>
        <c:idx val="241"/>
        <c:spPr>
          <a:solidFill>
            <a:schemeClr val="accent1"/>
          </a:solidFill>
          <a:ln w="25400">
            <a:noFill/>
          </a:ln>
          <a:effectLst/>
        </c:spPr>
        <c:marker>
          <c:symbol val="none"/>
        </c:marker>
      </c:pivotFmt>
      <c:pivotFmt>
        <c:idx val="242"/>
        <c:spPr>
          <a:solidFill>
            <a:schemeClr val="accent1"/>
          </a:solidFill>
          <a:ln w="25400">
            <a:noFill/>
          </a:ln>
          <a:effectLst/>
        </c:spPr>
        <c:marker>
          <c:symbol val="none"/>
        </c:marker>
      </c:pivotFmt>
      <c:pivotFmt>
        <c:idx val="243"/>
        <c:spPr>
          <a:solidFill>
            <a:schemeClr val="accent1"/>
          </a:solidFill>
          <a:ln w="25400">
            <a:noFill/>
          </a:ln>
          <a:effectLst/>
        </c:spPr>
        <c:marker>
          <c:symbol val="none"/>
        </c:marker>
      </c:pivotFmt>
      <c:pivotFmt>
        <c:idx val="244"/>
        <c:spPr>
          <a:solidFill>
            <a:schemeClr val="accent1"/>
          </a:solidFill>
          <a:ln w="25400">
            <a:noFill/>
          </a:ln>
          <a:effectLst/>
        </c:spPr>
        <c:marker>
          <c:symbol val="none"/>
        </c:marker>
      </c:pivotFmt>
      <c:pivotFmt>
        <c:idx val="245"/>
        <c:spPr>
          <a:solidFill>
            <a:schemeClr val="accent1"/>
          </a:solidFill>
          <a:ln w="25400">
            <a:noFill/>
          </a:ln>
          <a:effectLst/>
        </c:spPr>
        <c:marker>
          <c:symbol val="none"/>
        </c:marker>
      </c:pivotFmt>
      <c:pivotFmt>
        <c:idx val="246"/>
        <c:spPr>
          <a:solidFill>
            <a:schemeClr val="accent1"/>
          </a:solidFill>
          <a:ln w="25400">
            <a:noFill/>
          </a:ln>
          <a:effectLst/>
        </c:spPr>
        <c:marker>
          <c:symbol val="none"/>
        </c:marker>
      </c:pivotFmt>
      <c:pivotFmt>
        <c:idx val="247"/>
        <c:spPr>
          <a:solidFill>
            <a:schemeClr val="accent1"/>
          </a:solidFill>
          <a:ln w="25400">
            <a:noFill/>
          </a:ln>
          <a:effectLst/>
        </c:spPr>
        <c:marker>
          <c:symbol val="none"/>
        </c:marker>
      </c:pivotFmt>
      <c:pivotFmt>
        <c:idx val="248"/>
        <c:spPr>
          <a:solidFill>
            <a:schemeClr val="accent1"/>
          </a:solidFill>
          <a:ln w="25400">
            <a:noFill/>
          </a:ln>
          <a:effectLst/>
        </c:spPr>
        <c:marker>
          <c:symbol val="none"/>
        </c:marker>
      </c:pivotFmt>
      <c:pivotFmt>
        <c:idx val="249"/>
        <c:spPr>
          <a:solidFill>
            <a:schemeClr val="accent1"/>
          </a:solidFill>
          <a:ln w="25400">
            <a:noFill/>
          </a:ln>
          <a:effectLst/>
        </c:spPr>
        <c:marker>
          <c:symbol val="none"/>
        </c:marker>
      </c:pivotFmt>
      <c:pivotFmt>
        <c:idx val="250"/>
        <c:spPr>
          <a:solidFill>
            <a:schemeClr val="accent1"/>
          </a:solidFill>
          <a:ln w="25400">
            <a:noFill/>
          </a:ln>
          <a:effectLst/>
        </c:spPr>
        <c:marker>
          <c:symbol val="none"/>
        </c:marker>
      </c:pivotFmt>
      <c:pivotFmt>
        <c:idx val="251"/>
        <c:spPr>
          <a:solidFill>
            <a:schemeClr val="accent1"/>
          </a:solidFill>
          <a:ln w="25400">
            <a:noFill/>
          </a:ln>
          <a:effectLst/>
        </c:spPr>
        <c:marker>
          <c:symbol val="none"/>
        </c:marker>
      </c:pivotFmt>
      <c:pivotFmt>
        <c:idx val="252"/>
        <c:spPr>
          <a:solidFill>
            <a:schemeClr val="accent1"/>
          </a:solidFill>
          <a:ln w="25400">
            <a:noFill/>
          </a:ln>
          <a:effectLst/>
        </c:spPr>
        <c:marker>
          <c:symbol val="none"/>
        </c:marker>
      </c:pivotFmt>
      <c:pivotFmt>
        <c:idx val="253"/>
        <c:spPr>
          <a:solidFill>
            <a:schemeClr val="accent1"/>
          </a:solidFill>
          <a:ln w="25400">
            <a:noFill/>
          </a:ln>
          <a:effectLst/>
        </c:spPr>
        <c:marker>
          <c:symbol val="none"/>
        </c:marker>
      </c:pivotFmt>
      <c:pivotFmt>
        <c:idx val="254"/>
        <c:spPr>
          <a:solidFill>
            <a:schemeClr val="accent1"/>
          </a:solidFill>
          <a:ln w="25400">
            <a:noFill/>
          </a:ln>
          <a:effectLst/>
        </c:spPr>
        <c:marker>
          <c:symbol val="none"/>
        </c:marker>
      </c:pivotFmt>
      <c:pivotFmt>
        <c:idx val="255"/>
        <c:spPr>
          <a:solidFill>
            <a:schemeClr val="accent1"/>
          </a:solidFill>
          <a:ln w="25400">
            <a:noFill/>
          </a:ln>
          <a:effectLst/>
        </c:spPr>
        <c:marker>
          <c:symbol val="none"/>
        </c:marker>
      </c:pivotFmt>
      <c:pivotFmt>
        <c:idx val="256"/>
        <c:spPr>
          <a:solidFill>
            <a:schemeClr val="accent1"/>
          </a:solidFill>
          <a:ln w="25400">
            <a:noFill/>
          </a:ln>
          <a:effectLst/>
        </c:spPr>
        <c:marker>
          <c:symbol val="none"/>
        </c:marker>
      </c:pivotFmt>
      <c:pivotFmt>
        <c:idx val="257"/>
        <c:spPr>
          <a:solidFill>
            <a:schemeClr val="accent1"/>
          </a:solidFill>
          <a:ln w="25400">
            <a:noFill/>
          </a:ln>
          <a:effectLst/>
        </c:spPr>
        <c:marker>
          <c:symbol val="none"/>
        </c:marker>
      </c:pivotFmt>
      <c:pivotFmt>
        <c:idx val="258"/>
        <c:spPr>
          <a:solidFill>
            <a:schemeClr val="accent1"/>
          </a:solidFill>
          <a:ln w="25400">
            <a:noFill/>
          </a:ln>
          <a:effectLst/>
        </c:spPr>
        <c:marker>
          <c:symbol val="none"/>
        </c:marker>
      </c:pivotFmt>
      <c:pivotFmt>
        <c:idx val="259"/>
        <c:spPr>
          <a:solidFill>
            <a:schemeClr val="accent1"/>
          </a:solidFill>
          <a:ln w="25400">
            <a:noFill/>
          </a:ln>
          <a:effectLst/>
        </c:spPr>
        <c:marker>
          <c:symbol val="none"/>
        </c:marker>
      </c:pivotFmt>
      <c:pivotFmt>
        <c:idx val="260"/>
        <c:spPr>
          <a:solidFill>
            <a:schemeClr val="accent1"/>
          </a:solidFill>
          <a:ln w="25400">
            <a:noFill/>
          </a:ln>
          <a:effectLst/>
        </c:spPr>
        <c:marker>
          <c:symbol val="none"/>
        </c:marker>
      </c:pivotFmt>
      <c:pivotFmt>
        <c:idx val="261"/>
        <c:spPr>
          <a:solidFill>
            <a:schemeClr val="accent1"/>
          </a:solidFill>
          <a:ln w="25400">
            <a:noFill/>
          </a:ln>
          <a:effectLst/>
        </c:spPr>
        <c:marker>
          <c:symbol val="none"/>
        </c:marker>
      </c:pivotFmt>
      <c:pivotFmt>
        <c:idx val="262"/>
        <c:spPr>
          <a:solidFill>
            <a:schemeClr val="accent1"/>
          </a:solidFill>
          <a:ln w="25400">
            <a:noFill/>
          </a:ln>
          <a:effectLst/>
        </c:spPr>
        <c:marker>
          <c:symbol val="none"/>
        </c:marker>
      </c:pivotFmt>
      <c:pivotFmt>
        <c:idx val="263"/>
        <c:spPr>
          <a:solidFill>
            <a:schemeClr val="accent1"/>
          </a:solidFill>
          <a:ln w="25400">
            <a:noFill/>
          </a:ln>
          <a:effectLst/>
        </c:spPr>
        <c:marker>
          <c:symbol val="none"/>
        </c:marker>
      </c:pivotFmt>
      <c:pivotFmt>
        <c:idx val="264"/>
        <c:spPr>
          <a:solidFill>
            <a:schemeClr val="accent1"/>
          </a:solidFill>
          <a:ln w="25400">
            <a:noFill/>
          </a:ln>
          <a:effectLst/>
        </c:spPr>
        <c:marker>
          <c:symbol val="none"/>
        </c:marker>
      </c:pivotFmt>
      <c:pivotFmt>
        <c:idx val="265"/>
        <c:spPr>
          <a:solidFill>
            <a:schemeClr val="accent1"/>
          </a:solidFill>
          <a:ln w="25400">
            <a:noFill/>
          </a:ln>
          <a:effectLst/>
        </c:spPr>
        <c:marker>
          <c:symbol val="none"/>
        </c:marker>
      </c:pivotFmt>
      <c:pivotFmt>
        <c:idx val="266"/>
        <c:spPr>
          <a:solidFill>
            <a:schemeClr val="accent1"/>
          </a:solidFill>
          <a:ln w="25400">
            <a:noFill/>
          </a:ln>
          <a:effectLst/>
        </c:spPr>
        <c:marker>
          <c:symbol val="none"/>
        </c:marker>
      </c:pivotFmt>
      <c:pivotFmt>
        <c:idx val="267"/>
        <c:spPr>
          <a:solidFill>
            <a:schemeClr val="accent1"/>
          </a:solidFill>
          <a:ln w="25400">
            <a:noFill/>
          </a:ln>
          <a:effectLst/>
        </c:spPr>
        <c:marker>
          <c:symbol val="none"/>
        </c:marker>
      </c:pivotFmt>
      <c:pivotFmt>
        <c:idx val="268"/>
        <c:spPr>
          <a:solidFill>
            <a:schemeClr val="accent1"/>
          </a:solidFill>
          <a:ln w="25400">
            <a:noFill/>
          </a:ln>
          <a:effectLst/>
        </c:spPr>
        <c:marker>
          <c:symbol val="none"/>
        </c:marker>
      </c:pivotFmt>
      <c:pivotFmt>
        <c:idx val="269"/>
        <c:spPr>
          <a:solidFill>
            <a:schemeClr val="accent1"/>
          </a:solidFill>
          <a:ln w="25400">
            <a:noFill/>
          </a:ln>
          <a:effectLst/>
        </c:spPr>
        <c:marker>
          <c:symbol val="none"/>
        </c:marker>
      </c:pivotFmt>
      <c:pivotFmt>
        <c:idx val="270"/>
        <c:spPr>
          <a:solidFill>
            <a:schemeClr val="accent1"/>
          </a:solidFill>
          <a:ln w="25400">
            <a:noFill/>
          </a:ln>
          <a:effectLst/>
        </c:spPr>
        <c:marker>
          <c:symbol val="none"/>
        </c:marker>
      </c:pivotFmt>
      <c:pivotFmt>
        <c:idx val="271"/>
        <c:spPr>
          <a:solidFill>
            <a:schemeClr val="accent1"/>
          </a:solidFill>
          <a:ln w="25400">
            <a:noFill/>
          </a:ln>
          <a:effectLst/>
        </c:spPr>
        <c:marker>
          <c:symbol val="none"/>
        </c:marker>
      </c:pivotFmt>
      <c:pivotFmt>
        <c:idx val="272"/>
        <c:spPr>
          <a:solidFill>
            <a:schemeClr val="accent1"/>
          </a:solidFill>
          <a:ln w="25400">
            <a:noFill/>
          </a:ln>
          <a:effectLst/>
        </c:spPr>
        <c:marker>
          <c:symbol val="none"/>
        </c:marker>
      </c:pivotFmt>
      <c:pivotFmt>
        <c:idx val="273"/>
        <c:spPr>
          <a:solidFill>
            <a:schemeClr val="accent1"/>
          </a:solidFill>
          <a:ln w="25400">
            <a:noFill/>
          </a:ln>
          <a:effectLst/>
        </c:spPr>
        <c:marker>
          <c:symbol val="none"/>
        </c:marker>
      </c:pivotFmt>
      <c:pivotFmt>
        <c:idx val="274"/>
        <c:spPr>
          <a:solidFill>
            <a:schemeClr val="accent1"/>
          </a:solidFill>
          <a:ln w="25400">
            <a:noFill/>
          </a:ln>
          <a:effectLst/>
        </c:spPr>
        <c:marker>
          <c:symbol val="none"/>
        </c:marker>
      </c:pivotFmt>
      <c:pivotFmt>
        <c:idx val="275"/>
        <c:spPr>
          <a:solidFill>
            <a:schemeClr val="accent1"/>
          </a:solidFill>
          <a:ln w="25400">
            <a:noFill/>
          </a:ln>
          <a:effectLst/>
        </c:spPr>
        <c:marker>
          <c:symbol val="none"/>
        </c:marker>
      </c:pivotFmt>
      <c:pivotFmt>
        <c:idx val="276"/>
        <c:spPr>
          <a:solidFill>
            <a:schemeClr val="accent1"/>
          </a:solidFill>
          <a:ln w="25400">
            <a:noFill/>
          </a:ln>
          <a:effectLst/>
        </c:spPr>
        <c:marker>
          <c:symbol val="none"/>
        </c:marker>
      </c:pivotFmt>
      <c:pivotFmt>
        <c:idx val="277"/>
        <c:spPr>
          <a:solidFill>
            <a:schemeClr val="accent1"/>
          </a:solidFill>
          <a:ln w="25400">
            <a:noFill/>
          </a:ln>
          <a:effectLst/>
        </c:spPr>
        <c:marker>
          <c:symbol val="none"/>
        </c:marker>
      </c:pivotFmt>
      <c:pivotFmt>
        <c:idx val="278"/>
        <c:spPr>
          <a:solidFill>
            <a:schemeClr val="accent1"/>
          </a:solidFill>
          <a:ln w="25400">
            <a:noFill/>
          </a:ln>
          <a:effectLst/>
        </c:spPr>
        <c:marker>
          <c:symbol val="none"/>
        </c:marker>
      </c:pivotFmt>
      <c:pivotFmt>
        <c:idx val="279"/>
        <c:spPr>
          <a:solidFill>
            <a:schemeClr val="accent1"/>
          </a:solidFill>
          <a:ln w="25400">
            <a:noFill/>
          </a:ln>
          <a:effectLst/>
        </c:spPr>
        <c:marker>
          <c:symbol val="none"/>
        </c:marker>
      </c:pivotFmt>
      <c:pivotFmt>
        <c:idx val="280"/>
        <c:spPr>
          <a:solidFill>
            <a:schemeClr val="accent1"/>
          </a:solidFill>
          <a:ln w="25400">
            <a:noFill/>
          </a:ln>
          <a:effectLst/>
        </c:spPr>
        <c:marker>
          <c:symbol val="none"/>
        </c:marker>
      </c:pivotFmt>
      <c:pivotFmt>
        <c:idx val="281"/>
        <c:spPr>
          <a:solidFill>
            <a:schemeClr val="accent1"/>
          </a:solidFill>
          <a:ln w="25400">
            <a:noFill/>
          </a:ln>
          <a:effectLst/>
        </c:spPr>
        <c:marker>
          <c:symbol val="none"/>
        </c:marker>
      </c:pivotFmt>
      <c:pivotFmt>
        <c:idx val="282"/>
        <c:spPr>
          <a:solidFill>
            <a:schemeClr val="accent1"/>
          </a:solidFill>
          <a:ln w="25400">
            <a:noFill/>
          </a:ln>
          <a:effectLst/>
        </c:spPr>
        <c:marker>
          <c:symbol val="none"/>
        </c:marker>
      </c:pivotFmt>
      <c:pivotFmt>
        <c:idx val="283"/>
        <c:spPr>
          <a:solidFill>
            <a:schemeClr val="accent1"/>
          </a:solidFill>
          <a:ln w="25400">
            <a:noFill/>
          </a:ln>
          <a:effectLst/>
        </c:spPr>
        <c:marker>
          <c:symbol val="none"/>
        </c:marker>
      </c:pivotFmt>
      <c:pivotFmt>
        <c:idx val="284"/>
        <c:spPr>
          <a:solidFill>
            <a:schemeClr val="accent1"/>
          </a:solidFill>
          <a:ln w="25400">
            <a:noFill/>
          </a:ln>
          <a:effectLst/>
        </c:spPr>
        <c:marker>
          <c:symbol val="none"/>
        </c:marker>
      </c:pivotFmt>
      <c:pivotFmt>
        <c:idx val="285"/>
        <c:spPr>
          <a:solidFill>
            <a:schemeClr val="accent1"/>
          </a:solidFill>
          <a:ln w="25400">
            <a:noFill/>
          </a:ln>
          <a:effectLst/>
        </c:spPr>
        <c:marker>
          <c:symbol val="none"/>
        </c:marker>
      </c:pivotFmt>
      <c:pivotFmt>
        <c:idx val="286"/>
        <c:spPr>
          <a:solidFill>
            <a:schemeClr val="accent1"/>
          </a:solidFill>
          <a:ln w="25400">
            <a:noFill/>
          </a:ln>
          <a:effectLst/>
        </c:spPr>
        <c:marker>
          <c:symbol val="none"/>
        </c:marker>
      </c:pivotFmt>
      <c:pivotFmt>
        <c:idx val="287"/>
        <c:spPr>
          <a:solidFill>
            <a:schemeClr val="accent1"/>
          </a:solidFill>
          <a:ln w="25400">
            <a:noFill/>
          </a:ln>
          <a:effectLst/>
        </c:spPr>
        <c:marker>
          <c:symbol val="none"/>
        </c:marker>
      </c:pivotFmt>
      <c:pivotFmt>
        <c:idx val="288"/>
        <c:spPr>
          <a:solidFill>
            <a:schemeClr val="accent1"/>
          </a:solidFill>
          <a:ln w="25400">
            <a:noFill/>
          </a:ln>
          <a:effectLst/>
        </c:spPr>
        <c:marker>
          <c:symbol val="none"/>
        </c:marker>
      </c:pivotFmt>
      <c:pivotFmt>
        <c:idx val="289"/>
        <c:spPr>
          <a:solidFill>
            <a:schemeClr val="accent1"/>
          </a:solidFill>
          <a:ln w="25400">
            <a:noFill/>
          </a:ln>
          <a:effectLst/>
        </c:spPr>
        <c:marker>
          <c:symbol val="none"/>
        </c:marker>
      </c:pivotFmt>
      <c:pivotFmt>
        <c:idx val="290"/>
        <c:spPr>
          <a:solidFill>
            <a:schemeClr val="accent1"/>
          </a:solidFill>
          <a:ln w="25400">
            <a:noFill/>
          </a:ln>
          <a:effectLst/>
        </c:spPr>
        <c:marker>
          <c:symbol val="none"/>
        </c:marker>
      </c:pivotFmt>
      <c:pivotFmt>
        <c:idx val="291"/>
        <c:spPr>
          <a:solidFill>
            <a:schemeClr val="accent1"/>
          </a:solidFill>
          <a:ln w="25400">
            <a:noFill/>
          </a:ln>
          <a:effectLst/>
        </c:spPr>
        <c:marker>
          <c:symbol val="none"/>
        </c:marker>
      </c:pivotFmt>
      <c:pivotFmt>
        <c:idx val="292"/>
        <c:spPr>
          <a:solidFill>
            <a:schemeClr val="accent1"/>
          </a:solidFill>
          <a:ln w="25400">
            <a:noFill/>
          </a:ln>
          <a:effectLst/>
        </c:spPr>
        <c:marker>
          <c:symbol val="none"/>
        </c:marker>
      </c:pivotFmt>
      <c:pivotFmt>
        <c:idx val="293"/>
        <c:spPr>
          <a:solidFill>
            <a:schemeClr val="accent1"/>
          </a:solidFill>
          <a:ln w="25400">
            <a:noFill/>
          </a:ln>
          <a:effectLst/>
        </c:spPr>
        <c:marker>
          <c:symbol val="none"/>
        </c:marker>
      </c:pivotFmt>
      <c:pivotFmt>
        <c:idx val="294"/>
        <c:spPr>
          <a:solidFill>
            <a:schemeClr val="accent1"/>
          </a:solidFill>
          <a:ln w="25400">
            <a:noFill/>
          </a:ln>
          <a:effectLst/>
        </c:spPr>
        <c:marker>
          <c:symbol val="none"/>
        </c:marker>
      </c:pivotFmt>
      <c:pivotFmt>
        <c:idx val="295"/>
        <c:spPr>
          <a:solidFill>
            <a:schemeClr val="accent1"/>
          </a:solidFill>
          <a:ln w="25400">
            <a:noFill/>
          </a:ln>
          <a:effectLst/>
        </c:spPr>
        <c:marker>
          <c:symbol val="none"/>
        </c:marker>
      </c:pivotFmt>
      <c:pivotFmt>
        <c:idx val="296"/>
        <c:spPr>
          <a:solidFill>
            <a:schemeClr val="accent1"/>
          </a:solidFill>
          <a:ln w="25400">
            <a:noFill/>
          </a:ln>
          <a:effectLst/>
        </c:spPr>
        <c:marker>
          <c:symbol val="none"/>
        </c:marker>
      </c:pivotFmt>
      <c:pivotFmt>
        <c:idx val="297"/>
        <c:spPr>
          <a:solidFill>
            <a:schemeClr val="accent1"/>
          </a:solidFill>
          <a:ln w="25400">
            <a:noFill/>
          </a:ln>
          <a:effectLst/>
        </c:spPr>
        <c:marker>
          <c:symbol val="none"/>
        </c:marker>
      </c:pivotFmt>
      <c:pivotFmt>
        <c:idx val="298"/>
        <c:spPr>
          <a:solidFill>
            <a:schemeClr val="accent1"/>
          </a:solidFill>
          <a:ln w="25400">
            <a:noFill/>
          </a:ln>
          <a:effectLst/>
        </c:spPr>
        <c:marker>
          <c:symbol val="none"/>
        </c:marker>
      </c:pivotFmt>
      <c:pivotFmt>
        <c:idx val="299"/>
        <c:spPr>
          <a:solidFill>
            <a:schemeClr val="accent1"/>
          </a:solidFill>
          <a:ln w="25400">
            <a:noFill/>
          </a:ln>
          <a:effectLst/>
        </c:spPr>
        <c:marker>
          <c:symbol val="none"/>
        </c:marker>
      </c:pivotFmt>
      <c:pivotFmt>
        <c:idx val="300"/>
        <c:spPr>
          <a:solidFill>
            <a:schemeClr val="accent1"/>
          </a:solidFill>
          <a:ln w="25400">
            <a:noFill/>
          </a:ln>
          <a:effectLst/>
        </c:spPr>
        <c:marker>
          <c:symbol val="none"/>
        </c:marker>
      </c:pivotFmt>
      <c:pivotFmt>
        <c:idx val="301"/>
        <c:spPr>
          <a:solidFill>
            <a:schemeClr val="accent1"/>
          </a:solidFill>
          <a:ln w="25400">
            <a:noFill/>
          </a:ln>
          <a:effectLst/>
        </c:spPr>
        <c:marker>
          <c:symbol val="none"/>
        </c:marker>
      </c:pivotFmt>
      <c:pivotFmt>
        <c:idx val="302"/>
        <c:spPr>
          <a:solidFill>
            <a:schemeClr val="accent1"/>
          </a:solidFill>
          <a:ln w="25400">
            <a:noFill/>
          </a:ln>
          <a:effectLst/>
        </c:spPr>
        <c:marker>
          <c:symbol val="none"/>
        </c:marker>
      </c:pivotFmt>
      <c:pivotFmt>
        <c:idx val="303"/>
        <c:spPr>
          <a:solidFill>
            <a:schemeClr val="accent1"/>
          </a:solidFill>
          <a:ln w="25400">
            <a:noFill/>
          </a:ln>
          <a:effectLst/>
        </c:spPr>
        <c:marker>
          <c:symbol val="none"/>
        </c:marker>
      </c:pivotFmt>
      <c:pivotFmt>
        <c:idx val="304"/>
        <c:spPr>
          <a:solidFill>
            <a:schemeClr val="accent1"/>
          </a:solidFill>
          <a:ln w="25400">
            <a:noFill/>
          </a:ln>
          <a:effectLst/>
        </c:spPr>
        <c:marker>
          <c:symbol val="none"/>
        </c:marker>
      </c:pivotFmt>
      <c:pivotFmt>
        <c:idx val="305"/>
        <c:spPr>
          <a:solidFill>
            <a:schemeClr val="accent1"/>
          </a:solidFill>
          <a:ln w="25400">
            <a:noFill/>
          </a:ln>
          <a:effectLst/>
        </c:spPr>
        <c:marker>
          <c:symbol val="none"/>
        </c:marker>
      </c:pivotFmt>
      <c:pivotFmt>
        <c:idx val="306"/>
        <c:spPr>
          <a:solidFill>
            <a:schemeClr val="accent1"/>
          </a:solidFill>
          <a:ln w="25400">
            <a:noFill/>
          </a:ln>
          <a:effectLst/>
        </c:spPr>
        <c:marker>
          <c:symbol val="none"/>
        </c:marker>
      </c:pivotFmt>
      <c:pivotFmt>
        <c:idx val="307"/>
        <c:spPr>
          <a:solidFill>
            <a:schemeClr val="accent1"/>
          </a:solidFill>
          <a:ln w="25400">
            <a:noFill/>
          </a:ln>
          <a:effectLst/>
        </c:spPr>
        <c:marker>
          <c:symbol val="none"/>
        </c:marker>
      </c:pivotFmt>
      <c:pivotFmt>
        <c:idx val="308"/>
        <c:spPr>
          <a:solidFill>
            <a:schemeClr val="accent1"/>
          </a:solidFill>
          <a:ln w="25400">
            <a:noFill/>
          </a:ln>
          <a:effectLst/>
        </c:spPr>
        <c:marker>
          <c:symbol val="none"/>
        </c:marker>
      </c:pivotFmt>
      <c:pivotFmt>
        <c:idx val="309"/>
        <c:spPr>
          <a:solidFill>
            <a:schemeClr val="accent1"/>
          </a:solidFill>
          <a:ln w="25400">
            <a:noFill/>
          </a:ln>
          <a:effectLst/>
        </c:spPr>
        <c:marker>
          <c:symbol val="none"/>
        </c:marker>
      </c:pivotFmt>
      <c:pivotFmt>
        <c:idx val="310"/>
        <c:spPr>
          <a:solidFill>
            <a:schemeClr val="accent1"/>
          </a:solidFill>
          <a:ln w="25400">
            <a:noFill/>
          </a:ln>
          <a:effectLst/>
        </c:spPr>
        <c:marker>
          <c:symbol val="none"/>
        </c:marker>
      </c:pivotFmt>
      <c:pivotFmt>
        <c:idx val="311"/>
        <c:spPr>
          <a:solidFill>
            <a:schemeClr val="accent1"/>
          </a:solidFill>
          <a:ln w="25400">
            <a:noFill/>
          </a:ln>
          <a:effectLst/>
        </c:spPr>
        <c:marker>
          <c:symbol val="none"/>
        </c:marker>
      </c:pivotFmt>
      <c:pivotFmt>
        <c:idx val="312"/>
        <c:spPr>
          <a:solidFill>
            <a:schemeClr val="accent1"/>
          </a:solidFill>
          <a:ln w="25400">
            <a:noFill/>
          </a:ln>
          <a:effectLst/>
        </c:spPr>
        <c:marker>
          <c:symbol val="none"/>
        </c:marker>
      </c:pivotFmt>
      <c:pivotFmt>
        <c:idx val="313"/>
        <c:spPr>
          <a:solidFill>
            <a:schemeClr val="accent1"/>
          </a:solidFill>
          <a:ln w="25400">
            <a:noFill/>
          </a:ln>
          <a:effectLst/>
        </c:spPr>
        <c:marker>
          <c:symbol val="none"/>
        </c:marker>
      </c:pivotFmt>
      <c:pivotFmt>
        <c:idx val="314"/>
        <c:spPr>
          <a:solidFill>
            <a:schemeClr val="accent1"/>
          </a:solidFill>
          <a:ln w="25400">
            <a:noFill/>
          </a:ln>
          <a:effectLst/>
        </c:spPr>
        <c:marker>
          <c:symbol val="none"/>
        </c:marker>
      </c:pivotFmt>
      <c:pivotFmt>
        <c:idx val="315"/>
        <c:spPr>
          <a:solidFill>
            <a:schemeClr val="accent1"/>
          </a:solidFill>
          <a:ln w="25400">
            <a:noFill/>
          </a:ln>
          <a:effectLst/>
        </c:spPr>
        <c:marker>
          <c:symbol val="none"/>
        </c:marker>
      </c:pivotFmt>
      <c:pivotFmt>
        <c:idx val="316"/>
        <c:spPr>
          <a:solidFill>
            <a:schemeClr val="accent1"/>
          </a:solidFill>
          <a:ln w="25400">
            <a:noFill/>
          </a:ln>
          <a:effectLst/>
        </c:spPr>
        <c:marker>
          <c:symbol val="none"/>
        </c:marker>
      </c:pivotFmt>
      <c:pivotFmt>
        <c:idx val="317"/>
        <c:spPr>
          <a:solidFill>
            <a:schemeClr val="accent1"/>
          </a:solidFill>
          <a:ln w="25400">
            <a:noFill/>
          </a:ln>
          <a:effectLst/>
        </c:spPr>
        <c:marker>
          <c:symbol val="none"/>
        </c:marker>
      </c:pivotFmt>
      <c:pivotFmt>
        <c:idx val="318"/>
        <c:spPr>
          <a:solidFill>
            <a:schemeClr val="accent1"/>
          </a:solidFill>
          <a:ln w="25400">
            <a:noFill/>
          </a:ln>
          <a:effectLst/>
        </c:spPr>
        <c:marker>
          <c:symbol val="none"/>
        </c:marker>
      </c:pivotFmt>
      <c:pivotFmt>
        <c:idx val="319"/>
        <c:spPr>
          <a:solidFill>
            <a:schemeClr val="accent1"/>
          </a:solidFill>
          <a:ln w="25400">
            <a:noFill/>
          </a:ln>
          <a:effectLst/>
        </c:spPr>
        <c:marker>
          <c:symbol val="none"/>
        </c:marker>
      </c:pivotFmt>
      <c:pivotFmt>
        <c:idx val="320"/>
        <c:spPr>
          <a:solidFill>
            <a:schemeClr val="accent1"/>
          </a:solidFill>
          <a:ln w="25400">
            <a:noFill/>
          </a:ln>
          <a:effectLst/>
        </c:spPr>
        <c:marker>
          <c:symbol val="none"/>
        </c:marker>
      </c:pivotFmt>
      <c:pivotFmt>
        <c:idx val="321"/>
        <c:spPr>
          <a:solidFill>
            <a:schemeClr val="accent1"/>
          </a:solidFill>
          <a:ln w="25400">
            <a:noFill/>
          </a:ln>
          <a:effectLst/>
        </c:spPr>
        <c:marker>
          <c:symbol val="none"/>
        </c:marker>
      </c:pivotFmt>
      <c:pivotFmt>
        <c:idx val="322"/>
        <c:spPr>
          <a:solidFill>
            <a:schemeClr val="accent1"/>
          </a:solidFill>
          <a:ln w="25400">
            <a:noFill/>
          </a:ln>
          <a:effectLst/>
        </c:spPr>
        <c:marker>
          <c:symbol val="none"/>
        </c:marker>
      </c:pivotFmt>
      <c:pivotFmt>
        <c:idx val="323"/>
        <c:spPr>
          <a:solidFill>
            <a:schemeClr val="accent1"/>
          </a:solidFill>
          <a:ln w="25400">
            <a:noFill/>
          </a:ln>
          <a:effectLst/>
        </c:spPr>
        <c:marker>
          <c:symbol val="none"/>
        </c:marker>
      </c:pivotFmt>
      <c:pivotFmt>
        <c:idx val="324"/>
        <c:spPr>
          <a:solidFill>
            <a:schemeClr val="accent1"/>
          </a:solidFill>
          <a:ln w="25400">
            <a:noFill/>
          </a:ln>
          <a:effectLst/>
        </c:spPr>
        <c:marker>
          <c:symbol val="none"/>
        </c:marker>
      </c:pivotFmt>
      <c:pivotFmt>
        <c:idx val="325"/>
        <c:spPr>
          <a:solidFill>
            <a:schemeClr val="accent1"/>
          </a:solidFill>
          <a:ln w="25400">
            <a:noFill/>
          </a:ln>
          <a:effectLst/>
        </c:spPr>
        <c:marker>
          <c:symbol val="none"/>
        </c:marker>
      </c:pivotFmt>
      <c:pivotFmt>
        <c:idx val="326"/>
        <c:spPr>
          <a:solidFill>
            <a:schemeClr val="accent1"/>
          </a:solidFill>
          <a:ln w="25400">
            <a:noFill/>
          </a:ln>
          <a:effectLst/>
        </c:spPr>
        <c:marker>
          <c:symbol val="none"/>
        </c:marker>
      </c:pivotFmt>
      <c:pivotFmt>
        <c:idx val="327"/>
        <c:spPr>
          <a:solidFill>
            <a:schemeClr val="accent1"/>
          </a:solidFill>
          <a:ln w="25400">
            <a:noFill/>
          </a:ln>
          <a:effectLst/>
        </c:spPr>
        <c:marker>
          <c:symbol val="none"/>
        </c:marker>
      </c:pivotFmt>
      <c:pivotFmt>
        <c:idx val="328"/>
        <c:spPr>
          <a:solidFill>
            <a:schemeClr val="accent1"/>
          </a:solidFill>
          <a:ln w="25400">
            <a:noFill/>
          </a:ln>
          <a:effectLst/>
        </c:spPr>
        <c:marker>
          <c:symbol val="none"/>
        </c:marker>
      </c:pivotFmt>
      <c:pivotFmt>
        <c:idx val="329"/>
        <c:spPr>
          <a:solidFill>
            <a:schemeClr val="accent1"/>
          </a:solidFill>
          <a:ln w="25400">
            <a:noFill/>
          </a:ln>
          <a:effectLst/>
        </c:spPr>
        <c:marker>
          <c:symbol val="none"/>
        </c:marker>
      </c:pivotFmt>
      <c:pivotFmt>
        <c:idx val="330"/>
        <c:spPr>
          <a:solidFill>
            <a:schemeClr val="accent1"/>
          </a:solidFill>
          <a:ln w="25400">
            <a:noFill/>
          </a:ln>
          <a:effectLst/>
        </c:spPr>
        <c:marker>
          <c:symbol val="none"/>
        </c:marker>
      </c:pivotFmt>
      <c:pivotFmt>
        <c:idx val="331"/>
        <c:spPr>
          <a:solidFill>
            <a:schemeClr val="accent1"/>
          </a:solidFill>
          <a:ln w="25400">
            <a:noFill/>
          </a:ln>
          <a:effectLst/>
        </c:spPr>
        <c:marker>
          <c:symbol val="none"/>
        </c:marker>
      </c:pivotFmt>
      <c:pivotFmt>
        <c:idx val="332"/>
        <c:spPr>
          <a:solidFill>
            <a:schemeClr val="accent1"/>
          </a:solidFill>
          <a:ln w="25400">
            <a:noFill/>
          </a:ln>
          <a:effectLst/>
        </c:spPr>
        <c:marker>
          <c:symbol val="none"/>
        </c:marker>
      </c:pivotFmt>
      <c:pivotFmt>
        <c:idx val="333"/>
        <c:spPr>
          <a:solidFill>
            <a:schemeClr val="accent1"/>
          </a:solidFill>
          <a:ln w="25400">
            <a:noFill/>
          </a:ln>
          <a:effectLst/>
        </c:spPr>
        <c:marker>
          <c:symbol val="none"/>
        </c:marker>
      </c:pivotFmt>
      <c:pivotFmt>
        <c:idx val="334"/>
        <c:spPr>
          <a:solidFill>
            <a:schemeClr val="accent1"/>
          </a:solidFill>
          <a:ln w="25400">
            <a:noFill/>
          </a:ln>
          <a:effectLst/>
        </c:spPr>
        <c:marker>
          <c:symbol val="none"/>
        </c:marker>
      </c:pivotFmt>
      <c:pivotFmt>
        <c:idx val="335"/>
        <c:spPr>
          <a:solidFill>
            <a:schemeClr val="accent1"/>
          </a:solidFill>
          <a:ln w="25400">
            <a:noFill/>
          </a:ln>
          <a:effectLst/>
        </c:spPr>
        <c:marker>
          <c:symbol val="none"/>
        </c:marker>
      </c:pivotFmt>
      <c:pivotFmt>
        <c:idx val="336"/>
        <c:spPr>
          <a:solidFill>
            <a:schemeClr val="accent1"/>
          </a:solidFill>
          <a:ln w="25400">
            <a:noFill/>
          </a:ln>
          <a:effectLst/>
        </c:spPr>
        <c:marker>
          <c:symbol val="none"/>
        </c:marker>
      </c:pivotFmt>
      <c:pivotFmt>
        <c:idx val="337"/>
        <c:spPr>
          <a:solidFill>
            <a:schemeClr val="accent1"/>
          </a:solidFill>
          <a:ln w="25400">
            <a:noFill/>
          </a:ln>
          <a:effectLst/>
        </c:spPr>
        <c:marker>
          <c:symbol val="none"/>
        </c:marker>
      </c:pivotFmt>
      <c:pivotFmt>
        <c:idx val="338"/>
        <c:spPr>
          <a:solidFill>
            <a:schemeClr val="accent1"/>
          </a:solidFill>
          <a:ln w="25400">
            <a:noFill/>
          </a:ln>
          <a:effectLst/>
        </c:spPr>
        <c:marker>
          <c:symbol val="none"/>
        </c:marker>
      </c:pivotFmt>
      <c:pivotFmt>
        <c:idx val="339"/>
        <c:spPr>
          <a:solidFill>
            <a:schemeClr val="accent1"/>
          </a:solidFill>
          <a:ln w="25400">
            <a:noFill/>
          </a:ln>
          <a:effectLst/>
        </c:spPr>
        <c:marker>
          <c:symbol val="none"/>
        </c:marker>
      </c:pivotFmt>
      <c:pivotFmt>
        <c:idx val="340"/>
        <c:spPr>
          <a:solidFill>
            <a:schemeClr val="accent1"/>
          </a:solidFill>
          <a:ln w="25400">
            <a:noFill/>
          </a:ln>
          <a:effectLst/>
        </c:spPr>
        <c:marker>
          <c:symbol val="none"/>
        </c:marker>
      </c:pivotFmt>
      <c:pivotFmt>
        <c:idx val="341"/>
        <c:spPr>
          <a:solidFill>
            <a:schemeClr val="accent1"/>
          </a:solidFill>
          <a:ln w="25400">
            <a:noFill/>
          </a:ln>
          <a:effectLst/>
        </c:spPr>
        <c:marker>
          <c:symbol val="none"/>
        </c:marker>
      </c:pivotFmt>
      <c:pivotFmt>
        <c:idx val="342"/>
        <c:spPr>
          <a:solidFill>
            <a:schemeClr val="accent1"/>
          </a:solidFill>
          <a:ln w="25400">
            <a:noFill/>
          </a:ln>
          <a:effectLst/>
        </c:spPr>
        <c:marker>
          <c:symbol val="none"/>
        </c:marker>
      </c:pivotFmt>
      <c:pivotFmt>
        <c:idx val="343"/>
        <c:spPr>
          <a:solidFill>
            <a:schemeClr val="accent1"/>
          </a:solidFill>
          <a:ln w="25400">
            <a:noFill/>
          </a:ln>
          <a:effectLst/>
        </c:spPr>
        <c:marker>
          <c:symbol val="none"/>
        </c:marker>
      </c:pivotFmt>
      <c:pivotFmt>
        <c:idx val="344"/>
        <c:spPr>
          <a:solidFill>
            <a:schemeClr val="accent1"/>
          </a:solidFill>
          <a:ln w="25400">
            <a:noFill/>
          </a:ln>
          <a:effectLst/>
        </c:spPr>
        <c:marker>
          <c:symbol val="none"/>
        </c:marker>
      </c:pivotFmt>
      <c:pivotFmt>
        <c:idx val="345"/>
        <c:spPr>
          <a:solidFill>
            <a:schemeClr val="accent1"/>
          </a:solidFill>
          <a:ln w="25400">
            <a:noFill/>
          </a:ln>
          <a:effectLst/>
        </c:spPr>
        <c:marker>
          <c:symbol val="none"/>
        </c:marker>
      </c:pivotFmt>
      <c:pivotFmt>
        <c:idx val="346"/>
        <c:spPr>
          <a:solidFill>
            <a:schemeClr val="accent1"/>
          </a:solidFill>
          <a:ln w="25400">
            <a:noFill/>
          </a:ln>
          <a:effectLst/>
        </c:spPr>
        <c:marker>
          <c:symbol val="none"/>
        </c:marker>
      </c:pivotFmt>
      <c:pivotFmt>
        <c:idx val="347"/>
        <c:spPr>
          <a:solidFill>
            <a:schemeClr val="accent1"/>
          </a:solidFill>
          <a:ln w="25400">
            <a:noFill/>
          </a:ln>
          <a:effectLst/>
        </c:spPr>
        <c:marker>
          <c:symbol val="none"/>
        </c:marker>
      </c:pivotFmt>
      <c:pivotFmt>
        <c:idx val="348"/>
        <c:spPr>
          <a:solidFill>
            <a:schemeClr val="accent1"/>
          </a:solidFill>
          <a:ln w="25400">
            <a:noFill/>
          </a:ln>
          <a:effectLst/>
        </c:spPr>
        <c:marker>
          <c:symbol val="none"/>
        </c:marker>
      </c:pivotFmt>
      <c:pivotFmt>
        <c:idx val="349"/>
        <c:spPr>
          <a:solidFill>
            <a:schemeClr val="accent1"/>
          </a:solidFill>
          <a:ln w="25400">
            <a:noFill/>
          </a:ln>
          <a:effectLst/>
        </c:spPr>
        <c:marker>
          <c:symbol val="none"/>
        </c:marker>
      </c:pivotFmt>
      <c:pivotFmt>
        <c:idx val="350"/>
        <c:spPr>
          <a:solidFill>
            <a:schemeClr val="accent1"/>
          </a:solidFill>
          <a:ln w="25400">
            <a:noFill/>
          </a:ln>
          <a:effectLst/>
        </c:spPr>
        <c:marker>
          <c:symbol val="none"/>
        </c:marker>
      </c:pivotFmt>
      <c:pivotFmt>
        <c:idx val="351"/>
        <c:spPr>
          <a:solidFill>
            <a:schemeClr val="accent1"/>
          </a:solidFill>
          <a:ln w="25400">
            <a:noFill/>
          </a:ln>
          <a:effectLst/>
        </c:spPr>
        <c:marker>
          <c:symbol val="none"/>
        </c:marker>
      </c:pivotFmt>
      <c:pivotFmt>
        <c:idx val="352"/>
        <c:spPr>
          <a:solidFill>
            <a:schemeClr val="accent1"/>
          </a:solidFill>
          <a:ln w="25400">
            <a:noFill/>
          </a:ln>
          <a:effectLst/>
        </c:spPr>
        <c:marker>
          <c:symbol val="none"/>
        </c:marker>
      </c:pivotFmt>
      <c:pivotFmt>
        <c:idx val="353"/>
        <c:spPr>
          <a:solidFill>
            <a:schemeClr val="accent1"/>
          </a:solidFill>
          <a:ln w="25400">
            <a:noFill/>
          </a:ln>
          <a:effectLst/>
        </c:spPr>
        <c:marker>
          <c:symbol val="none"/>
        </c:marker>
      </c:pivotFmt>
      <c:pivotFmt>
        <c:idx val="354"/>
        <c:spPr>
          <a:solidFill>
            <a:schemeClr val="accent1"/>
          </a:solidFill>
          <a:ln w="25400">
            <a:noFill/>
          </a:ln>
          <a:effectLst/>
        </c:spPr>
        <c:marker>
          <c:symbol val="none"/>
        </c:marker>
      </c:pivotFmt>
      <c:pivotFmt>
        <c:idx val="355"/>
        <c:spPr>
          <a:solidFill>
            <a:schemeClr val="accent1"/>
          </a:solidFill>
          <a:ln w="25400">
            <a:noFill/>
          </a:ln>
          <a:effectLst/>
        </c:spPr>
        <c:marker>
          <c:symbol val="none"/>
        </c:marker>
      </c:pivotFmt>
      <c:pivotFmt>
        <c:idx val="356"/>
        <c:spPr>
          <a:solidFill>
            <a:schemeClr val="accent1"/>
          </a:solidFill>
          <a:ln w="25400">
            <a:noFill/>
          </a:ln>
          <a:effectLst/>
        </c:spPr>
        <c:marker>
          <c:symbol val="none"/>
        </c:marker>
      </c:pivotFmt>
      <c:pivotFmt>
        <c:idx val="357"/>
        <c:spPr>
          <a:solidFill>
            <a:schemeClr val="accent1"/>
          </a:solidFill>
          <a:ln w="25400">
            <a:noFill/>
          </a:ln>
          <a:effectLst/>
        </c:spPr>
        <c:marker>
          <c:symbol val="none"/>
        </c:marker>
      </c:pivotFmt>
      <c:pivotFmt>
        <c:idx val="358"/>
        <c:spPr>
          <a:solidFill>
            <a:schemeClr val="accent1"/>
          </a:solidFill>
          <a:ln w="25400">
            <a:noFill/>
          </a:ln>
          <a:effectLst/>
        </c:spPr>
        <c:marker>
          <c:symbol val="none"/>
        </c:marker>
      </c:pivotFmt>
      <c:pivotFmt>
        <c:idx val="359"/>
        <c:spPr>
          <a:solidFill>
            <a:schemeClr val="accent1"/>
          </a:solidFill>
          <a:ln w="25400">
            <a:noFill/>
          </a:ln>
          <a:effectLst/>
        </c:spPr>
        <c:marker>
          <c:symbol val="none"/>
        </c:marker>
      </c:pivotFmt>
      <c:pivotFmt>
        <c:idx val="360"/>
        <c:spPr>
          <a:solidFill>
            <a:schemeClr val="accent1"/>
          </a:solidFill>
          <a:ln w="25400">
            <a:noFill/>
          </a:ln>
          <a:effectLst/>
        </c:spPr>
        <c:marker>
          <c:symbol val="none"/>
        </c:marker>
      </c:pivotFmt>
      <c:pivotFmt>
        <c:idx val="361"/>
        <c:spPr>
          <a:solidFill>
            <a:schemeClr val="accent1"/>
          </a:solidFill>
          <a:ln w="25400">
            <a:noFill/>
          </a:ln>
          <a:effectLst/>
        </c:spPr>
        <c:marker>
          <c:symbol val="none"/>
        </c:marker>
      </c:pivotFmt>
      <c:pivotFmt>
        <c:idx val="362"/>
        <c:spPr>
          <a:solidFill>
            <a:schemeClr val="accent1"/>
          </a:solidFill>
          <a:ln w="25400">
            <a:noFill/>
          </a:ln>
          <a:effectLst/>
        </c:spPr>
        <c:marker>
          <c:symbol val="none"/>
        </c:marker>
      </c:pivotFmt>
      <c:pivotFmt>
        <c:idx val="363"/>
        <c:spPr>
          <a:solidFill>
            <a:schemeClr val="accent1"/>
          </a:solidFill>
          <a:ln w="25400">
            <a:noFill/>
          </a:ln>
          <a:effectLst/>
        </c:spPr>
        <c:marker>
          <c:symbol val="none"/>
        </c:marker>
      </c:pivotFmt>
      <c:pivotFmt>
        <c:idx val="364"/>
        <c:spPr>
          <a:solidFill>
            <a:schemeClr val="accent1"/>
          </a:solidFill>
          <a:ln w="25400">
            <a:noFill/>
          </a:ln>
          <a:effectLst/>
        </c:spPr>
        <c:marker>
          <c:symbol val="none"/>
        </c:marker>
      </c:pivotFmt>
      <c:pivotFmt>
        <c:idx val="365"/>
        <c:spPr>
          <a:solidFill>
            <a:schemeClr val="accent1"/>
          </a:solidFill>
          <a:ln w="25400">
            <a:noFill/>
          </a:ln>
          <a:effectLst/>
        </c:spPr>
        <c:marker>
          <c:symbol val="none"/>
        </c:marker>
      </c:pivotFmt>
      <c:pivotFmt>
        <c:idx val="366"/>
        <c:spPr>
          <a:solidFill>
            <a:schemeClr val="accent1"/>
          </a:solidFill>
          <a:ln w="25400">
            <a:noFill/>
          </a:ln>
          <a:effectLst/>
        </c:spPr>
        <c:marker>
          <c:symbol val="none"/>
        </c:marker>
      </c:pivotFmt>
      <c:pivotFmt>
        <c:idx val="367"/>
        <c:spPr>
          <a:solidFill>
            <a:schemeClr val="accent1"/>
          </a:solidFill>
          <a:ln w="25400">
            <a:noFill/>
          </a:ln>
          <a:effectLst/>
        </c:spPr>
        <c:marker>
          <c:symbol val="none"/>
        </c:marker>
      </c:pivotFmt>
      <c:pivotFmt>
        <c:idx val="368"/>
        <c:spPr>
          <a:solidFill>
            <a:schemeClr val="accent1"/>
          </a:solidFill>
          <a:ln w="25400">
            <a:noFill/>
          </a:ln>
          <a:effectLst/>
        </c:spPr>
        <c:marker>
          <c:symbol val="none"/>
        </c:marker>
      </c:pivotFmt>
      <c:pivotFmt>
        <c:idx val="369"/>
        <c:spPr>
          <a:solidFill>
            <a:schemeClr val="accent1"/>
          </a:solidFill>
          <a:ln w="25400">
            <a:noFill/>
          </a:ln>
          <a:effectLst/>
        </c:spPr>
        <c:marker>
          <c:symbol val="none"/>
        </c:marker>
      </c:pivotFmt>
      <c:pivotFmt>
        <c:idx val="370"/>
        <c:spPr>
          <a:solidFill>
            <a:schemeClr val="accent1"/>
          </a:solidFill>
          <a:ln w="25400">
            <a:noFill/>
          </a:ln>
          <a:effectLst/>
        </c:spPr>
        <c:marker>
          <c:symbol val="none"/>
        </c:marker>
      </c:pivotFmt>
      <c:pivotFmt>
        <c:idx val="371"/>
        <c:spPr>
          <a:solidFill>
            <a:schemeClr val="accent1"/>
          </a:solidFill>
          <a:ln w="25400">
            <a:noFill/>
          </a:ln>
          <a:effectLst/>
        </c:spPr>
        <c:marker>
          <c:symbol val="none"/>
        </c:marker>
      </c:pivotFmt>
      <c:pivotFmt>
        <c:idx val="372"/>
        <c:spPr>
          <a:solidFill>
            <a:schemeClr val="accent1"/>
          </a:solidFill>
          <a:ln w="25400">
            <a:noFill/>
          </a:ln>
          <a:effectLst/>
        </c:spPr>
        <c:marker>
          <c:symbol val="none"/>
        </c:marker>
      </c:pivotFmt>
      <c:pivotFmt>
        <c:idx val="373"/>
        <c:spPr>
          <a:solidFill>
            <a:schemeClr val="accent1"/>
          </a:solidFill>
          <a:ln w="25400">
            <a:noFill/>
          </a:ln>
          <a:effectLst/>
        </c:spPr>
        <c:marker>
          <c:symbol val="none"/>
        </c:marker>
      </c:pivotFmt>
      <c:pivotFmt>
        <c:idx val="374"/>
        <c:spPr>
          <a:solidFill>
            <a:schemeClr val="accent1"/>
          </a:solidFill>
          <a:ln w="25400">
            <a:noFill/>
          </a:ln>
          <a:effectLst/>
        </c:spPr>
        <c:marker>
          <c:symbol val="none"/>
        </c:marker>
      </c:pivotFmt>
      <c:pivotFmt>
        <c:idx val="375"/>
        <c:spPr>
          <a:solidFill>
            <a:schemeClr val="accent1"/>
          </a:solidFill>
          <a:ln w="25400">
            <a:noFill/>
          </a:ln>
          <a:effectLst/>
        </c:spPr>
        <c:marker>
          <c:symbol val="none"/>
        </c:marker>
      </c:pivotFmt>
      <c:pivotFmt>
        <c:idx val="376"/>
        <c:spPr>
          <a:solidFill>
            <a:schemeClr val="accent1"/>
          </a:solidFill>
          <a:ln w="25400">
            <a:noFill/>
          </a:ln>
          <a:effectLst/>
        </c:spPr>
        <c:marker>
          <c:symbol val="none"/>
        </c:marker>
      </c:pivotFmt>
      <c:pivotFmt>
        <c:idx val="377"/>
        <c:spPr>
          <a:solidFill>
            <a:schemeClr val="accent1"/>
          </a:solidFill>
          <a:ln w="25400">
            <a:noFill/>
          </a:ln>
          <a:effectLst/>
        </c:spPr>
        <c:marker>
          <c:symbol val="none"/>
        </c:marker>
      </c:pivotFmt>
      <c:pivotFmt>
        <c:idx val="378"/>
        <c:spPr>
          <a:solidFill>
            <a:schemeClr val="accent1"/>
          </a:solidFill>
          <a:ln w="25400">
            <a:noFill/>
          </a:ln>
          <a:effectLst/>
        </c:spPr>
        <c:marker>
          <c:symbol val="none"/>
        </c:marker>
      </c:pivotFmt>
      <c:pivotFmt>
        <c:idx val="379"/>
        <c:spPr>
          <a:solidFill>
            <a:schemeClr val="accent1"/>
          </a:solidFill>
          <a:ln w="25400">
            <a:noFill/>
          </a:ln>
          <a:effectLst/>
        </c:spPr>
        <c:marker>
          <c:symbol val="none"/>
        </c:marker>
      </c:pivotFmt>
      <c:pivotFmt>
        <c:idx val="380"/>
        <c:spPr>
          <a:solidFill>
            <a:schemeClr val="accent1"/>
          </a:solidFill>
          <a:ln w="25400">
            <a:noFill/>
          </a:ln>
          <a:effectLst/>
        </c:spPr>
        <c:marker>
          <c:symbol val="none"/>
        </c:marker>
      </c:pivotFmt>
      <c:pivotFmt>
        <c:idx val="381"/>
        <c:spPr>
          <a:solidFill>
            <a:schemeClr val="accent1"/>
          </a:solidFill>
          <a:ln w="25400">
            <a:noFill/>
          </a:ln>
          <a:effectLst/>
        </c:spPr>
        <c:marker>
          <c:symbol val="none"/>
        </c:marker>
      </c:pivotFmt>
      <c:pivotFmt>
        <c:idx val="382"/>
        <c:spPr>
          <a:solidFill>
            <a:schemeClr val="accent1"/>
          </a:solidFill>
          <a:ln w="25400">
            <a:noFill/>
          </a:ln>
          <a:effectLst/>
        </c:spPr>
        <c:marker>
          <c:symbol val="none"/>
        </c:marker>
      </c:pivotFmt>
      <c:pivotFmt>
        <c:idx val="383"/>
        <c:spPr>
          <a:solidFill>
            <a:schemeClr val="accent1"/>
          </a:solidFill>
          <a:ln w="25400">
            <a:noFill/>
          </a:ln>
          <a:effectLst/>
        </c:spPr>
        <c:marker>
          <c:symbol val="none"/>
        </c:marker>
      </c:pivotFmt>
      <c:pivotFmt>
        <c:idx val="384"/>
        <c:spPr>
          <a:solidFill>
            <a:schemeClr val="accent1"/>
          </a:solidFill>
          <a:ln w="25400">
            <a:noFill/>
          </a:ln>
          <a:effectLst/>
        </c:spPr>
        <c:marker>
          <c:symbol val="none"/>
        </c:marker>
      </c:pivotFmt>
      <c:pivotFmt>
        <c:idx val="385"/>
        <c:spPr>
          <a:solidFill>
            <a:schemeClr val="accent1"/>
          </a:solidFill>
          <a:ln w="25400">
            <a:noFill/>
          </a:ln>
          <a:effectLst/>
        </c:spPr>
        <c:marker>
          <c:symbol val="none"/>
        </c:marker>
      </c:pivotFmt>
      <c:pivotFmt>
        <c:idx val="386"/>
        <c:spPr>
          <a:solidFill>
            <a:schemeClr val="accent1"/>
          </a:solidFill>
          <a:ln w="25400">
            <a:noFill/>
          </a:ln>
          <a:effectLst/>
        </c:spPr>
        <c:marker>
          <c:symbol val="none"/>
        </c:marker>
      </c:pivotFmt>
      <c:pivotFmt>
        <c:idx val="387"/>
        <c:spPr>
          <a:solidFill>
            <a:schemeClr val="accent1"/>
          </a:solidFill>
          <a:ln w="25400">
            <a:noFill/>
          </a:ln>
          <a:effectLst/>
        </c:spPr>
        <c:marker>
          <c:symbol val="none"/>
        </c:marker>
      </c:pivotFmt>
      <c:pivotFmt>
        <c:idx val="388"/>
        <c:spPr>
          <a:solidFill>
            <a:schemeClr val="accent1"/>
          </a:solidFill>
          <a:ln w="25400">
            <a:noFill/>
          </a:ln>
          <a:effectLst/>
        </c:spPr>
        <c:marker>
          <c:symbol val="none"/>
        </c:marker>
      </c:pivotFmt>
      <c:pivotFmt>
        <c:idx val="389"/>
        <c:spPr>
          <a:solidFill>
            <a:schemeClr val="accent1"/>
          </a:solidFill>
          <a:ln w="25400">
            <a:noFill/>
          </a:ln>
          <a:effectLst/>
        </c:spPr>
        <c:marker>
          <c:symbol val="none"/>
        </c:marker>
      </c:pivotFmt>
      <c:pivotFmt>
        <c:idx val="390"/>
        <c:spPr>
          <a:solidFill>
            <a:schemeClr val="accent1"/>
          </a:solidFill>
          <a:ln w="25400">
            <a:noFill/>
          </a:ln>
          <a:effectLst/>
        </c:spPr>
        <c:marker>
          <c:symbol val="none"/>
        </c:marker>
      </c:pivotFmt>
      <c:pivotFmt>
        <c:idx val="391"/>
        <c:spPr>
          <a:solidFill>
            <a:schemeClr val="accent1"/>
          </a:solidFill>
          <a:ln w="25400">
            <a:noFill/>
          </a:ln>
          <a:effectLst/>
        </c:spPr>
        <c:marker>
          <c:symbol val="none"/>
        </c:marker>
      </c:pivotFmt>
      <c:pivotFmt>
        <c:idx val="392"/>
        <c:spPr>
          <a:solidFill>
            <a:schemeClr val="accent1"/>
          </a:solidFill>
          <a:ln w="25400">
            <a:noFill/>
          </a:ln>
          <a:effectLst/>
        </c:spPr>
        <c:marker>
          <c:symbol val="none"/>
        </c:marker>
      </c:pivotFmt>
      <c:pivotFmt>
        <c:idx val="393"/>
        <c:spPr>
          <a:solidFill>
            <a:schemeClr val="accent1"/>
          </a:solidFill>
          <a:ln w="25400">
            <a:noFill/>
          </a:ln>
          <a:effectLst/>
        </c:spPr>
        <c:marker>
          <c:symbol val="none"/>
        </c:marker>
      </c:pivotFmt>
      <c:pivotFmt>
        <c:idx val="394"/>
        <c:spPr>
          <a:solidFill>
            <a:schemeClr val="accent1"/>
          </a:solidFill>
          <a:ln w="25400">
            <a:noFill/>
          </a:ln>
          <a:effectLst/>
        </c:spPr>
        <c:marker>
          <c:symbol val="none"/>
        </c:marker>
      </c:pivotFmt>
      <c:pivotFmt>
        <c:idx val="395"/>
        <c:spPr>
          <a:solidFill>
            <a:schemeClr val="accent1"/>
          </a:solidFill>
          <a:ln w="25400">
            <a:noFill/>
          </a:ln>
          <a:effectLst/>
        </c:spPr>
        <c:marker>
          <c:symbol val="none"/>
        </c:marker>
      </c:pivotFmt>
      <c:pivotFmt>
        <c:idx val="396"/>
        <c:spPr>
          <a:solidFill>
            <a:schemeClr val="accent1"/>
          </a:solidFill>
          <a:ln w="25400">
            <a:noFill/>
          </a:ln>
          <a:effectLst/>
        </c:spPr>
        <c:marker>
          <c:symbol val="none"/>
        </c:marker>
      </c:pivotFmt>
      <c:pivotFmt>
        <c:idx val="397"/>
        <c:spPr>
          <a:solidFill>
            <a:schemeClr val="accent1"/>
          </a:solidFill>
          <a:ln w="25400">
            <a:noFill/>
          </a:ln>
          <a:effectLst/>
        </c:spPr>
        <c:marker>
          <c:symbol val="none"/>
        </c:marker>
      </c:pivotFmt>
      <c:pivotFmt>
        <c:idx val="398"/>
        <c:spPr>
          <a:solidFill>
            <a:schemeClr val="accent1"/>
          </a:solidFill>
          <a:ln w="25400">
            <a:noFill/>
          </a:ln>
          <a:effectLst/>
        </c:spPr>
        <c:marker>
          <c:symbol val="none"/>
        </c:marker>
      </c:pivotFmt>
      <c:pivotFmt>
        <c:idx val="399"/>
        <c:spPr>
          <a:solidFill>
            <a:schemeClr val="accent1"/>
          </a:solidFill>
          <a:ln w="25400">
            <a:noFill/>
          </a:ln>
          <a:effectLst/>
        </c:spPr>
        <c:marker>
          <c:symbol val="none"/>
        </c:marker>
      </c:pivotFmt>
      <c:pivotFmt>
        <c:idx val="400"/>
        <c:spPr>
          <a:solidFill>
            <a:schemeClr val="accent1"/>
          </a:solidFill>
          <a:ln w="25400">
            <a:noFill/>
          </a:ln>
          <a:effectLst/>
        </c:spPr>
        <c:marker>
          <c:symbol val="none"/>
        </c:marker>
      </c:pivotFmt>
      <c:pivotFmt>
        <c:idx val="401"/>
        <c:spPr>
          <a:solidFill>
            <a:schemeClr val="accent1"/>
          </a:solidFill>
          <a:ln w="25400">
            <a:noFill/>
          </a:ln>
          <a:effectLst/>
        </c:spPr>
        <c:marker>
          <c:symbol val="none"/>
        </c:marker>
      </c:pivotFmt>
      <c:pivotFmt>
        <c:idx val="402"/>
        <c:spPr>
          <a:solidFill>
            <a:schemeClr val="accent1"/>
          </a:solidFill>
          <a:ln w="25400">
            <a:noFill/>
          </a:ln>
          <a:effectLst/>
        </c:spPr>
        <c:marker>
          <c:symbol val="none"/>
        </c:marker>
      </c:pivotFmt>
      <c:pivotFmt>
        <c:idx val="403"/>
        <c:spPr>
          <a:solidFill>
            <a:schemeClr val="accent1"/>
          </a:solidFill>
          <a:ln w="25400">
            <a:noFill/>
          </a:ln>
          <a:effectLst/>
        </c:spPr>
        <c:marker>
          <c:symbol val="none"/>
        </c:marker>
      </c:pivotFmt>
      <c:pivotFmt>
        <c:idx val="404"/>
        <c:spPr>
          <a:solidFill>
            <a:schemeClr val="accent1"/>
          </a:solidFill>
          <a:ln w="25400">
            <a:noFill/>
          </a:ln>
          <a:effectLst/>
        </c:spPr>
        <c:marker>
          <c:symbol val="none"/>
        </c:marker>
      </c:pivotFmt>
      <c:pivotFmt>
        <c:idx val="405"/>
        <c:spPr>
          <a:solidFill>
            <a:schemeClr val="accent1"/>
          </a:solidFill>
          <a:ln w="25400">
            <a:noFill/>
          </a:ln>
          <a:effectLst/>
        </c:spPr>
        <c:marker>
          <c:symbol val="none"/>
        </c:marker>
      </c:pivotFmt>
      <c:pivotFmt>
        <c:idx val="406"/>
        <c:spPr>
          <a:solidFill>
            <a:schemeClr val="accent1"/>
          </a:solidFill>
          <a:ln w="25400">
            <a:noFill/>
          </a:ln>
          <a:effectLst/>
        </c:spPr>
        <c:marker>
          <c:symbol val="none"/>
        </c:marker>
      </c:pivotFmt>
      <c:pivotFmt>
        <c:idx val="407"/>
        <c:spPr>
          <a:solidFill>
            <a:schemeClr val="accent1"/>
          </a:solidFill>
          <a:ln w="25400">
            <a:noFill/>
          </a:ln>
          <a:effectLst/>
        </c:spPr>
        <c:marker>
          <c:symbol val="none"/>
        </c:marker>
      </c:pivotFmt>
      <c:pivotFmt>
        <c:idx val="408"/>
        <c:spPr>
          <a:solidFill>
            <a:schemeClr val="accent1"/>
          </a:solidFill>
          <a:ln w="25400">
            <a:noFill/>
          </a:ln>
          <a:effectLst/>
        </c:spPr>
        <c:marker>
          <c:symbol val="none"/>
        </c:marker>
      </c:pivotFmt>
      <c:pivotFmt>
        <c:idx val="409"/>
        <c:spPr>
          <a:solidFill>
            <a:schemeClr val="accent1"/>
          </a:solidFill>
          <a:ln w="25400">
            <a:noFill/>
          </a:ln>
          <a:effectLst/>
        </c:spPr>
        <c:marker>
          <c:symbol val="none"/>
        </c:marker>
      </c:pivotFmt>
      <c:pivotFmt>
        <c:idx val="410"/>
        <c:spPr>
          <a:solidFill>
            <a:schemeClr val="accent1"/>
          </a:solidFill>
          <a:ln w="25400">
            <a:noFill/>
          </a:ln>
          <a:effectLst/>
        </c:spPr>
        <c:marker>
          <c:symbol val="none"/>
        </c:marker>
      </c:pivotFmt>
      <c:pivotFmt>
        <c:idx val="411"/>
        <c:spPr>
          <a:solidFill>
            <a:schemeClr val="accent1"/>
          </a:solidFill>
          <a:ln w="25400">
            <a:noFill/>
          </a:ln>
          <a:effectLst/>
        </c:spPr>
        <c:marker>
          <c:symbol val="none"/>
        </c:marker>
      </c:pivotFmt>
      <c:pivotFmt>
        <c:idx val="412"/>
        <c:spPr>
          <a:solidFill>
            <a:schemeClr val="accent1"/>
          </a:solidFill>
          <a:ln w="25400">
            <a:noFill/>
          </a:ln>
          <a:effectLst/>
        </c:spPr>
        <c:marker>
          <c:symbol val="none"/>
        </c:marker>
      </c:pivotFmt>
      <c:pivotFmt>
        <c:idx val="413"/>
        <c:spPr>
          <a:solidFill>
            <a:schemeClr val="accent1"/>
          </a:solidFill>
          <a:ln w="25400">
            <a:noFill/>
          </a:ln>
          <a:effectLst/>
        </c:spPr>
        <c:marker>
          <c:symbol val="none"/>
        </c:marker>
      </c:pivotFmt>
      <c:pivotFmt>
        <c:idx val="414"/>
        <c:spPr>
          <a:solidFill>
            <a:schemeClr val="accent1"/>
          </a:solidFill>
          <a:ln w="25400">
            <a:noFill/>
          </a:ln>
          <a:effectLst/>
        </c:spPr>
        <c:marker>
          <c:symbol val="none"/>
        </c:marker>
      </c:pivotFmt>
      <c:pivotFmt>
        <c:idx val="415"/>
        <c:spPr>
          <a:solidFill>
            <a:schemeClr val="accent1"/>
          </a:solidFill>
          <a:ln w="25400">
            <a:noFill/>
          </a:ln>
          <a:effectLst/>
        </c:spPr>
        <c:marker>
          <c:symbol val="none"/>
        </c:marker>
      </c:pivotFmt>
      <c:pivotFmt>
        <c:idx val="416"/>
        <c:spPr>
          <a:solidFill>
            <a:schemeClr val="accent1"/>
          </a:solidFill>
          <a:ln w="25400">
            <a:noFill/>
          </a:ln>
          <a:effectLst/>
        </c:spPr>
        <c:marker>
          <c:symbol val="none"/>
        </c:marker>
      </c:pivotFmt>
      <c:pivotFmt>
        <c:idx val="417"/>
        <c:spPr>
          <a:solidFill>
            <a:schemeClr val="accent1"/>
          </a:solidFill>
          <a:ln w="25400">
            <a:noFill/>
          </a:ln>
          <a:effectLst/>
        </c:spPr>
        <c:marker>
          <c:symbol val="none"/>
        </c:marker>
      </c:pivotFmt>
      <c:pivotFmt>
        <c:idx val="418"/>
        <c:spPr>
          <a:solidFill>
            <a:schemeClr val="accent1"/>
          </a:solidFill>
          <a:ln w="25400">
            <a:noFill/>
          </a:ln>
          <a:effectLst/>
        </c:spPr>
        <c:marker>
          <c:symbol val="none"/>
        </c:marker>
      </c:pivotFmt>
      <c:pivotFmt>
        <c:idx val="419"/>
        <c:spPr>
          <a:solidFill>
            <a:schemeClr val="accent1"/>
          </a:solidFill>
          <a:ln w="25400">
            <a:noFill/>
          </a:ln>
          <a:effectLst/>
        </c:spPr>
        <c:marker>
          <c:symbol val="none"/>
        </c:marker>
      </c:pivotFmt>
      <c:pivotFmt>
        <c:idx val="420"/>
        <c:spPr>
          <a:solidFill>
            <a:schemeClr val="accent1"/>
          </a:solidFill>
          <a:ln w="25400">
            <a:noFill/>
          </a:ln>
          <a:effectLst/>
        </c:spPr>
        <c:marker>
          <c:symbol val="none"/>
        </c:marker>
      </c:pivotFmt>
      <c:pivotFmt>
        <c:idx val="421"/>
        <c:spPr>
          <a:solidFill>
            <a:schemeClr val="accent1"/>
          </a:solidFill>
          <a:ln w="25400">
            <a:noFill/>
          </a:ln>
          <a:effectLst/>
        </c:spPr>
        <c:marker>
          <c:symbol val="none"/>
        </c:marker>
      </c:pivotFmt>
      <c:pivotFmt>
        <c:idx val="422"/>
        <c:spPr>
          <a:solidFill>
            <a:schemeClr val="accent1"/>
          </a:solidFill>
          <a:ln w="25400">
            <a:noFill/>
          </a:ln>
          <a:effectLst/>
        </c:spPr>
        <c:marker>
          <c:symbol val="none"/>
        </c:marker>
      </c:pivotFmt>
      <c:pivotFmt>
        <c:idx val="423"/>
        <c:spPr>
          <a:solidFill>
            <a:schemeClr val="accent1"/>
          </a:solidFill>
          <a:ln w="25400">
            <a:noFill/>
          </a:ln>
          <a:effectLst/>
        </c:spPr>
        <c:marker>
          <c:symbol val="none"/>
        </c:marker>
      </c:pivotFmt>
      <c:pivotFmt>
        <c:idx val="424"/>
        <c:spPr>
          <a:solidFill>
            <a:schemeClr val="accent1"/>
          </a:solidFill>
          <a:ln w="25400">
            <a:noFill/>
          </a:ln>
          <a:effectLst/>
        </c:spPr>
        <c:marker>
          <c:symbol val="none"/>
        </c:marker>
      </c:pivotFmt>
      <c:pivotFmt>
        <c:idx val="425"/>
        <c:spPr>
          <a:solidFill>
            <a:schemeClr val="accent1"/>
          </a:solidFill>
          <a:ln w="25400">
            <a:noFill/>
          </a:ln>
          <a:effectLst/>
        </c:spPr>
        <c:marker>
          <c:symbol val="none"/>
        </c:marker>
      </c:pivotFmt>
      <c:pivotFmt>
        <c:idx val="426"/>
        <c:spPr>
          <a:solidFill>
            <a:schemeClr val="accent1"/>
          </a:solidFill>
          <a:ln w="25400">
            <a:noFill/>
          </a:ln>
          <a:effectLst/>
        </c:spPr>
        <c:marker>
          <c:symbol val="none"/>
        </c:marker>
      </c:pivotFmt>
      <c:pivotFmt>
        <c:idx val="427"/>
        <c:spPr>
          <a:solidFill>
            <a:schemeClr val="accent1"/>
          </a:solidFill>
          <a:ln w="25400">
            <a:noFill/>
          </a:ln>
          <a:effectLst/>
        </c:spPr>
        <c:marker>
          <c:symbol val="none"/>
        </c:marker>
      </c:pivotFmt>
      <c:pivotFmt>
        <c:idx val="428"/>
        <c:spPr>
          <a:solidFill>
            <a:schemeClr val="accent1"/>
          </a:solidFill>
          <a:ln w="25400">
            <a:noFill/>
          </a:ln>
          <a:effectLst/>
        </c:spPr>
        <c:marker>
          <c:symbol val="none"/>
        </c:marker>
      </c:pivotFmt>
      <c:pivotFmt>
        <c:idx val="429"/>
        <c:spPr>
          <a:solidFill>
            <a:schemeClr val="accent1"/>
          </a:solidFill>
          <a:ln w="25400">
            <a:noFill/>
          </a:ln>
          <a:effectLst/>
        </c:spPr>
        <c:marker>
          <c:symbol val="none"/>
        </c:marker>
      </c:pivotFmt>
      <c:pivotFmt>
        <c:idx val="430"/>
        <c:spPr>
          <a:solidFill>
            <a:schemeClr val="accent1"/>
          </a:solidFill>
          <a:ln w="25400">
            <a:noFill/>
          </a:ln>
          <a:effectLst/>
        </c:spPr>
        <c:marker>
          <c:symbol val="none"/>
        </c:marker>
      </c:pivotFmt>
      <c:pivotFmt>
        <c:idx val="431"/>
        <c:spPr>
          <a:solidFill>
            <a:schemeClr val="accent1"/>
          </a:solidFill>
          <a:ln w="25400">
            <a:noFill/>
          </a:ln>
          <a:effectLst/>
        </c:spPr>
        <c:marker>
          <c:symbol val="none"/>
        </c:marker>
      </c:pivotFmt>
      <c:pivotFmt>
        <c:idx val="432"/>
        <c:spPr>
          <a:solidFill>
            <a:schemeClr val="accent1"/>
          </a:solidFill>
          <a:ln w="25400">
            <a:noFill/>
          </a:ln>
          <a:effectLst/>
        </c:spPr>
        <c:marker>
          <c:symbol val="none"/>
        </c:marker>
      </c:pivotFmt>
      <c:pivotFmt>
        <c:idx val="433"/>
        <c:spPr>
          <a:solidFill>
            <a:schemeClr val="accent1"/>
          </a:solidFill>
          <a:ln w="25400">
            <a:noFill/>
          </a:ln>
          <a:effectLst/>
        </c:spPr>
        <c:marker>
          <c:symbol val="none"/>
        </c:marker>
      </c:pivotFmt>
      <c:pivotFmt>
        <c:idx val="434"/>
        <c:spPr>
          <a:solidFill>
            <a:schemeClr val="accent1"/>
          </a:solidFill>
          <a:ln w="25400">
            <a:noFill/>
          </a:ln>
          <a:effectLst/>
        </c:spPr>
        <c:marker>
          <c:symbol val="none"/>
        </c:marker>
      </c:pivotFmt>
      <c:pivotFmt>
        <c:idx val="435"/>
        <c:spPr>
          <a:solidFill>
            <a:schemeClr val="accent1"/>
          </a:solidFill>
          <a:ln w="25400">
            <a:noFill/>
          </a:ln>
          <a:effectLst/>
        </c:spPr>
        <c:marker>
          <c:symbol val="none"/>
        </c:marker>
      </c:pivotFmt>
      <c:pivotFmt>
        <c:idx val="436"/>
        <c:spPr>
          <a:solidFill>
            <a:schemeClr val="accent1"/>
          </a:solidFill>
          <a:ln w="25400">
            <a:noFill/>
          </a:ln>
          <a:effectLst/>
        </c:spPr>
        <c:marker>
          <c:symbol val="none"/>
        </c:marker>
      </c:pivotFmt>
      <c:pivotFmt>
        <c:idx val="437"/>
        <c:spPr>
          <a:solidFill>
            <a:schemeClr val="accent1"/>
          </a:solidFill>
          <a:ln w="25400">
            <a:noFill/>
          </a:ln>
          <a:effectLst/>
        </c:spPr>
        <c:marker>
          <c:symbol val="none"/>
        </c:marker>
      </c:pivotFmt>
      <c:pivotFmt>
        <c:idx val="438"/>
        <c:spPr>
          <a:solidFill>
            <a:schemeClr val="accent1"/>
          </a:solidFill>
          <a:ln w="25400">
            <a:noFill/>
          </a:ln>
          <a:effectLst/>
        </c:spPr>
        <c:marker>
          <c:symbol val="none"/>
        </c:marker>
      </c:pivotFmt>
      <c:pivotFmt>
        <c:idx val="439"/>
        <c:spPr>
          <a:solidFill>
            <a:schemeClr val="accent1"/>
          </a:solidFill>
          <a:ln w="25400">
            <a:noFill/>
          </a:ln>
          <a:effectLst/>
        </c:spPr>
        <c:marker>
          <c:symbol val="none"/>
        </c:marker>
      </c:pivotFmt>
      <c:pivotFmt>
        <c:idx val="440"/>
        <c:spPr>
          <a:solidFill>
            <a:schemeClr val="accent1"/>
          </a:solidFill>
          <a:ln w="25400">
            <a:noFill/>
          </a:ln>
          <a:effectLst/>
        </c:spPr>
        <c:marker>
          <c:symbol val="none"/>
        </c:marker>
      </c:pivotFmt>
      <c:pivotFmt>
        <c:idx val="441"/>
        <c:spPr>
          <a:solidFill>
            <a:schemeClr val="accent1"/>
          </a:solidFill>
          <a:ln w="25400">
            <a:noFill/>
          </a:ln>
          <a:effectLst/>
        </c:spPr>
        <c:marker>
          <c:symbol val="none"/>
        </c:marker>
      </c:pivotFmt>
      <c:pivotFmt>
        <c:idx val="442"/>
        <c:spPr>
          <a:solidFill>
            <a:schemeClr val="accent1"/>
          </a:solidFill>
          <a:ln w="25400">
            <a:noFill/>
          </a:ln>
          <a:effectLst/>
        </c:spPr>
        <c:marker>
          <c:symbol val="none"/>
        </c:marker>
      </c:pivotFmt>
      <c:pivotFmt>
        <c:idx val="443"/>
        <c:spPr>
          <a:solidFill>
            <a:schemeClr val="accent1"/>
          </a:solidFill>
          <a:ln w="25400">
            <a:noFill/>
          </a:ln>
          <a:effectLst/>
        </c:spPr>
        <c:marker>
          <c:symbol val="none"/>
        </c:marker>
      </c:pivotFmt>
      <c:pivotFmt>
        <c:idx val="444"/>
        <c:spPr>
          <a:solidFill>
            <a:schemeClr val="accent1"/>
          </a:solidFill>
          <a:ln w="25400">
            <a:noFill/>
          </a:ln>
          <a:effectLst/>
        </c:spPr>
        <c:marker>
          <c:symbol val="none"/>
        </c:marker>
      </c:pivotFmt>
      <c:pivotFmt>
        <c:idx val="445"/>
        <c:spPr>
          <a:solidFill>
            <a:schemeClr val="accent1"/>
          </a:solidFill>
          <a:ln w="25400">
            <a:noFill/>
          </a:ln>
          <a:effectLst/>
        </c:spPr>
        <c:marker>
          <c:symbol val="none"/>
        </c:marker>
      </c:pivotFmt>
      <c:pivotFmt>
        <c:idx val="446"/>
        <c:spPr>
          <a:solidFill>
            <a:schemeClr val="accent1"/>
          </a:solidFill>
          <a:ln w="25400">
            <a:noFill/>
          </a:ln>
          <a:effectLst/>
        </c:spPr>
        <c:marker>
          <c:symbol val="none"/>
        </c:marker>
      </c:pivotFmt>
      <c:pivotFmt>
        <c:idx val="447"/>
        <c:spPr>
          <a:solidFill>
            <a:schemeClr val="accent1"/>
          </a:solidFill>
          <a:ln w="25400">
            <a:noFill/>
          </a:ln>
          <a:effectLst/>
        </c:spPr>
        <c:marker>
          <c:symbol val="none"/>
        </c:marker>
      </c:pivotFmt>
      <c:pivotFmt>
        <c:idx val="448"/>
        <c:spPr>
          <a:solidFill>
            <a:schemeClr val="accent1"/>
          </a:solidFill>
          <a:ln w="25400">
            <a:noFill/>
          </a:ln>
          <a:effectLst/>
        </c:spPr>
        <c:marker>
          <c:symbol val="none"/>
        </c:marker>
      </c:pivotFmt>
      <c:pivotFmt>
        <c:idx val="449"/>
        <c:spPr>
          <a:solidFill>
            <a:schemeClr val="accent1"/>
          </a:solidFill>
          <a:ln w="25400">
            <a:noFill/>
          </a:ln>
          <a:effectLst/>
        </c:spPr>
        <c:marker>
          <c:symbol val="none"/>
        </c:marker>
      </c:pivotFmt>
      <c:pivotFmt>
        <c:idx val="450"/>
        <c:spPr>
          <a:solidFill>
            <a:schemeClr val="accent1"/>
          </a:solidFill>
          <a:ln w="25400">
            <a:noFill/>
          </a:ln>
          <a:effectLst/>
        </c:spPr>
        <c:marker>
          <c:symbol val="none"/>
        </c:marker>
      </c:pivotFmt>
      <c:pivotFmt>
        <c:idx val="451"/>
        <c:spPr>
          <a:solidFill>
            <a:schemeClr val="accent1"/>
          </a:solidFill>
          <a:ln w="25400">
            <a:noFill/>
          </a:ln>
          <a:effectLst/>
        </c:spPr>
        <c:marker>
          <c:symbol val="none"/>
        </c:marker>
      </c:pivotFmt>
      <c:pivotFmt>
        <c:idx val="452"/>
        <c:spPr>
          <a:solidFill>
            <a:schemeClr val="accent1"/>
          </a:solidFill>
          <a:ln w="25400">
            <a:noFill/>
          </a:ln>
          <a:effectLst/>
        </c:spPr>
        <c:marker>
          <c:symbol val="none"/>
        </c:marker>
      </c:pivotFmt>
      <c:pivotFmt>
        <c:idx val="453"/>
        <c:spPr>
          <a:solidFill>
            <a:schemeClr val="accent1"/>
          </a:solidFill>
          <a:ln w="25400">
            <a:noFill/>
          </a:ln>
          <a:effectLst/>
        </c:spPr>
        <c:marker>
          <c:symbol val="none"/>
        </c:marker>
      </c:pivotFmt>
      <c:pivotFmt>
        <c:idx val="454"/>
        <c:spPr>
          <a:solidFill>
            <a:schemeClr val="accent1"/>
          </a:solidFill>
          <a:ln w="25400">
            <a:noFill/>
          </a:ln>
          <a:effectLst/>
        </c:spPr>
        <c:marker>
          <c:symbol val="none"/>
        </c:marker>
      </c:pivotFmt>
      <c:pivotFmt>
        <c:idx val="455"/>
        <c:spPr>
          <a:solidFill>
            <a:schemeClr val="accent1"/>
          </a:solidFill>
          <a:ln w="25400">
            <a:noFill/>
          </a:ln>
          <a:effectLst/>
        </c:spPr>
        <c:marker>
          <c:symbol val="none"/>
        </c:marker>
      </c:pivotFmt>
      <c:pivotFmt>
        <c:idx val="456"/>
        <c:spPr>
          <a:solidFill>
            <a:schemeClr val="accent1"/>
          </a:solidFill>
          <a:ln w="25400">
            <a:noFill/>
          </a:ln>
          <a:effectLst/>
        </c:spPr>
        <c:marker>
          <c:symbol val="none"/>
        </c:marker>
      </c:pivotFmt>
      <c:pivotFmt>
        <c:idx val="457"/>
        <c:spPr>
          <a:solidFill>
            <a:schemeClr val="accent1"/>
          </a:solidFill>
          <a:ln w="25400">
            <a:noFill/>
          </a:ln>
          <a:effectLst/>
        </c:spPr>
        <c:marker>
          <c:symbol val="none"/>
        </c:marker>
      </c:pivotFmt>
      <c:pivotFmt>
        <c:idx val="458"/>
        <c:spPr>
          <a:solidFill>
            <a:schemeClr val="accent1"/>
          </a:solidFill>
          <a:ln w="25400">
            <a:noFill/>
          </a:ln>
          <a:effectLst/>
        </c:spPr>
        <c:marker>
          <c:symbol val="none"/>
        </c:marker>
      </c:pivotFmt>
      <c:pivotFmt>
        <c:idx val="459"/>
        <c:spPr>
          <a:solidFill>
            <a:schemeClr val="accent1"/>
          </a:solidFill>
          <a:ln w="25400">
            <a:noFill/>
          </a:ln>
          <a:effectLst/>
        </c:spPr>
        <c:marker>
          <c:symbol val="none"/>
        </c:marker>
      </c:pivotFmt>
      <c:pivotFmt>
        <c:idx val="460"/>
        <c:spPr>
          <a:solidFill>
            <a:schemeClr val="accent1"/>
          </a:solidFill>
          <a:ln w="25400">
            <a:noFill/>
          </a:ln>
          <a:effectLst/>
        </c:spPr>
        <c:marker>
          <c:symbol val="none"/>
        </c:marker>
      </c:pivotFmt>
      <c:pivotFmt>
        <c:idx val="461"/>
        <c:spPr>
          <a:solidFill>
            <a:schemeClr val="accent1"/>
          </a:solidFill>
          <a:ln w="25400">
            <a:noFill/>
          </a:ln>
          <a:effectLst/>
        </c:spPr>
        <c:marker>
          <c:symbol val="none"/>
        </c:marker>
      </c:pivotFmt>
      <c:pivotFmt>
        <c:idx val="462"/>
        <c:spPr>
          <a:solidFill>
            <a:schemeClr val="accent1"/>
          </a:solidFill>
          <a:ln w="25400">
            <a:noFill/>
          </a:ln>
          <a:effectLst/>
        </c:spPr>
        <c:marker>
          <c:symbol val="none"/>
        </c:marker>
      </c:pivotFmt>
      <c:pivotFmt>
        <c:idx val="463"/>
        <c:spPr>
          <a:solidFill>
            <a:schemeClr val="accent1"/>
          </a:solidFill>
          <a:ln w="25400">
            <a:noFill/>
          </a:ln>
          <a:effectLst/>
        </c:spPr>
        <c:marker>
          <c:symbol val="none"/>
        </c:marker>
      </c:pivotFmt>
      <c:pivotFmt>
        <c:idx val="464"/>
        <c:spPr>
          <a:solidFill>
            <a:schemeClr val="accent1"/>
          </a:solidFill>
          <a:ln w="25400">
            <a:noFill/>
          </a:ln>
          <a:effectLst/>
        </c:spPr>
        <c:marker>
          <c:symbol val="none"/>
        </c:marker>
      </c:pivotFmt>
      <c:pivotFmt>
        <c:idx val="465"/>
        <c:spPr>
          <a:solidFill>
            <a:schemeClr val="accent1"/>
          </a:solidFill>
          <a:ln w="25400">
            <a:noFill/>
          </a:ln>
          <a:effectLst/>
        </c:spPr>
        <c:marker>
          <c:symbol val="none"/>
        </c:marker>
      </c:pivotFmt>
      <c:pivotFmt>
        <c:idx val="466"/>
        <c:spPr>
          <a:solidFill>
            <a:schemeClr val="accent1"/>
          </a:solidFill>
          <a:ln w="25400">
            <a:noFill/>
          </a:ln>
          <a:effectLst/>
        </c:spPr>
        <c:marker>
          <c:symbol val="none"/>
        </c:marker>
      </c:pivotFmt>
      <c:pivotFmt>
        <c:idx val="467"/>
        <c:spPr>
          <a:solidFill>
            <a:schemeClr val="accent1"/>
          </a:solidFill>
          <a:ln w="25400">
            <a:noFill/>
          </a:ln>
          <a:effectLst/>
        </c:spPr>
        <c:marker>
          <c:symbol val="none"/>
        </c:marker>
      </c:pivotFmt>
      <c:pivotFmt>
        <c:idx val="468"/>
        <c:spPr>
          <a:solidFill>
            <a:schemeClr val="accent1"/>
          </a:solidFill>
          <a:ln w="25400">
            <a:noFill/>
          </a:ln>
          <a:effectLst/>
        </c:spPr>
        <c:marker>
          <c:symbol val="none"/>
        </c:marker>
      </c:pivotFmt>
      <c:pivotFmt>
        <c:idx val="469"/>
        <c:spPr>
          <a:solidFill>
            <a:schemeClr val="accent1"/>
          </a:solidFill>
          <a:ln w="25400">
            <a:noFill/>
          </a:ln>
          <a:effectLst/>
        </c:spPr>
        <c:marker>
          <c:symbol val="none"/>
        </c:marker>
      </c:pivotFmt>
      <c:pivotFmt>
        <c:idx val="470"/>
        <c:spPr>
          <a:solidFill>
            <a:schemeClr val="accent1"/>
          </a:solidFill>
          <a:ln w="25400">
            <a:noFill/>
          </a:ln>
          <a:effectLst/>
        </c:spPr>
        <c:marker>
          <c:symbol val="none"/>
        </c:marker>
      </c:pivotFmt>
      <c:pivotFmt>
        <c:idx val="471"/>
        <c:spPr>
          <a:solidFill>
            <a:schemeClr val="accent1"/>
          </a:solidFill>
          <a:ln w="25400">
            <a:noFill/>
          </a:ln>
          <a:effectLst/>
        </c:spPr>
        <c:marker>
          <c:symbol val="none"/>
        </c:marker>
      </c:pivotFmt>
      <c:pivotFmt>
        <c:idx val="472"/>
        <c:spPr>
          <a:solidFill>
            <a:schemeClr val="accent1"/>
          </a:solidFill>
          <a:ln w="25400">
            <a:noFill/>
          </a:ln>
          <a:effectLst/>
        </c:spPr>
        <c:marker>
          <c:symbol val="none"/>
        </c:marker>
      </c:pivotFmt>
      <c:pivotFmt>
        <c:idx val="473"/>
        <c:spPr>
          <a:solidFill>
            <a:schemeClr val="accent1"/>
          </a:solidFill>
          <a:ln w="25400">
            <a:noFill/>
          </a:ln>
          <a:effectLst/>
        </c:spPr>
        <c:marker>
          <c:symbol val="none"/>
        </c:marker>
      </c:pivotFmt>
      <c:pivotFmt>
        <c:idx val="474"/>
        <c:spPr>
          <a:solidFill>
            <a:schemeClr val="accent1"/>
          </a:solidFill>
          <a:ln w="25400">
            <a:noFill/>
          </a:ln>
          <a:effectLst/>
        </c:spPr>
        <c:marker>
          <c:symbol val="none"/>
        </c:marker>
      </c:pivotFmt>
      <c:pivotFmt>
        <c:idx val="475"/>
        <c:spPr>
          <a:solidFill>
            <a:schemeClr val="accent1"/>
          </a:solidFill>
          <a:ln w="25400">
            <a:noFill/>
          </a:ln>
          <a:effectLst/>
        </c:spPr>
        <c:marker>
          <c:symbol val="none"/>
        </c:marker>
      </c:pivotFmt>
      <c:pivotFmt>
        <c:idx val="476"/>
        <c:spPr>
          <a:solidFill>
            <a:schemeClr val="accent1"/>
          </a:solidFill>
          <a:ln w="25400">
            <a:noFill/>
          </a:ln>
          <a:effectLst/>
        </c:spPr>
        <c:marker>
          <c:symbol val="none"/>
        </c:marker>
      </c:pivotFmt>
      <c:pivotFmt>
        <c:idx val="477"/>
        <c:spPr>
          <a:solidFill>
            <a:schemeClr val="accent1"/>
          </a:solidFill>
          <a:ln w="25400">
            <a:noFill/>
          </a:ln>
          <a:effectLst/>
        </c:spPr>
        <c:marker>
          <c:symbol val="none"/>
        </c:marker>
      </c:pivotFmt>
      <c:pivotFmt>
        <c:idx val="478"/>
        <c:spPr>
          <a:solidFill>
            <a:schemeClr val="accent1"/>
          </a:solidFill>
          <a:ln w="25400">
            <a:noFill/>
          </a:ln>
          <a:effectLst/>
        </c:spPr>
        <c:marker>
          <c:symbol val="none"/>
        </c:marker>
      </c:pivotFmt>
      <c:pivotFmt>
        <c:idx val="479"/>
        <c:spPr>
          <a:solidFill>
            <a:schemeClr val="accent1"/>
          </a:solidFill>
          <a:ln w="25400">
            <a:noFill/>
          </a:ln>
          <a:effectLst/>
        </c:spPr>
        <c:marker>
          <c:symbol val="none"/>
        </c:marker>
      </c:pivotFmt>
      <c:pivotFmt>
        <c:idx val="480"/>
        <c:spPr>
          <a:solidFill>
            <a:schemeClr val="accent1"/>
          </a:solidFill>
          <a:ln w="25400">
            <a:noFill/>
          </a:ln>
          <a:effectLst/>
        </c:spPr>
        <c:marker>
          <c:symbol val="none"/>
        </c:marker>
      </c:pivotFmt>
      <c:pivotFmt>
        <c:idx val="481"/>
        <c:spPr>
          <a:solidFill>
            <a:schemeClr val="accent1"/>
          </a:solidFill>
          <a:ln w="25400">
            <a:noFill/>
          </a:ln>
          <a:effectLst/>
        </c:spPr>
        <c:marker>
          <c:symbol val="none"/>
        </c:marker>
      </c:pivotFmt>
      <c:pivotFmt>
        <c:idx val="482"/>
        <c:spPr>
          <a:solidFill>
            <a:schemeClr val="accent1"/>
          </a:solidFill>
          <a:ln w="25400">
            <a:noFill/>
          </a:ln>
          <a:effectLst/>
        </c:spPr>
        <c:marker>
          <c:symbol val="none"/>
        </c:marker>
      </c:pivotFmt>
      <c:pivotFmt>
        <c:idx val="483"/>
        <c:spPr>
          <a:solidFill>
            <a:schemeClr val="accent1"/>
          </a:solidFill>
          <a:ln w="25400">
            <a:noFill/>
          </a:ln>
          <a:effectLst/>
        </c:spPr>
        <c:marker>
          <c:symbol val="none"/>
        </c:marker>
      </c:pivotFmt>
      <c:pivotFmt>
        <c:idx val="484"/>
        <c:spPr>
          <a:solidFill>
            <a:schemeClr val="accent1"/>
          </a:solidFill>
          <a:ln w="25400">
            <a:noFill/>
          </a:ln>
          <a:effectLst/>
        </c:spPr>
        <c:marker>
          <c:symbol val="none"/>
        </c:marker>
      </c:pivotFmt>
      <c:pivotFmt>
        <c:idx val="485"/>
        <c:spPr>
          <a:solidFill>
            <a:schemeClr val="accent1"/>
          </a:solidFill>
          <a:ln w="25400">
            <a:noFill/>
          </a:ln>
          <a:effectLst/>
        </c:spPr>
        <c:marker>
          <c:symbol val="none"/>
        </c:marker>
      </c:pivotFmt>
      <c:pivotFmt>
        <c:idx val="486"/>
        <c:spPr>
          <a:solidFill>
            <a:schemeClr val="accent1"/>
          </a:solidFill>
          <a:ln w="25400">
            <a:noFill/>
          </a:ln>
          <a:effectLst/>
        </c:spPr>
        <c:marker>
          <c:symbol val="none"/>
        </c:marker>
      </c:pivotFmt>
      <c:pivotFmt>
        <c:idx val="487"/>
        <c:spPr>
          <a:solidFill>
            <a:schemeClr val="accent1"/>
          </a:solidFill>
          <a:ln w="25400">
            <a:noFill/>
          </a:ln>
          <a:effectLst/>
        </c:spPr>
        <c:marker>
          <c:symbol val="none"/>
        </c:marker>
      </c:pivotFmt>
      <c:pivotFmt>
        <c:idx val="488"/>
        <c:spPr>
          <a:solidFill>
            <a:schemeClr val="accent1"/>
          </a:solidFill>
          <a:ln w="25400">
            <a:noFill/>
          </a:ln>
          <a:effectLst/>
        </c:spPr>
        <c:marker>
          <c:symbol val="none"/>
        </c:marker>
      </c:pivotFmt>
      <c:pivotFmt>
        <c:idx val="489"/>
        <c:spPr>
          <a:solidFill>
            <a:schemeClr val="accent1"/>
          </a:solidFill>
          <a:ln w="25400">
            <a:noFill/>
          </a:ln>
          <a:effectLst/>
        </c:spPr>
        <c:marker>
          <c:symbol val="none"/>
        </c:marker>
      </c:pivotFmt>
      <c:pivotFmt>
        <c:idx val="490"/>
        <c:spPr>
          <a:solidFill>
            <a:schemeClr val="accent1"/>
          </a:solidFill>
          <a:ln w="25400">
            <a:noFill/>
          </a:ln>
          <a:effectLst/>
        </c:spPr>
        <c:marker>
          <c:symbol val="none"/>
        </c:marker>
      </c:pivotFmt>
      <c:pivotFmt>
        <c:idx val="491"/>
        <c:spPr>
          <a:solidFill>
            <a:schemeClr val="accent1"/>
          </a:solidFill>
          <a:ln w="25400">
            <a:noFill/>
          </a:ln>
          <a:effectLst/>
        </c:spPr>
        <c:marker>
          <c:symbol val="none"/>
        </c:marker>
      </c:pivotFmt>
      <c:pivotFmt>
        <c:idx val="492"/>
        <c:spPr>
          <a:solidFill>
            <a:schemeClr val="accent1"/>
          </a:solidFill>
          <a:ln w="25400">
            <a:noFill/>
          </a:ln>
          <a:effectLst/>
        </c:spPr>
        <c:marker>
          <c:symbol val="none"/>
        </c:marker>
      </c:pivotFmt>
      <c:pivotFmt>
        <c:idx val="493"/>
        <c:spPr>
          <a:solidFill>
            <a:schemeClr val="accent1"/>
          </a:solidFill>
          <a:ln w="25400">
            <a:noFill/>
          </a:ln>
          <a:effectLst/>
        </c:spPr>
        <c:marker>
          <c:symbol val="none"/>
        </c:marker>
      </c:pivotFmt>
      <c:pivotFmt>
        <c:idx val="494"/>
        <c:spPr>
          <a:solidFill>
            <a:schemeClr val="accent1"/>
          </a:solidFill>
          <a:ln w="25400">
            <a:noFill/>
          </a:ln>
          <a:effectLst/>
        </c:spPr>
        <c:marker>
          <c:symbol val="none"/>
        </c:marker>
      </c:pivotFmt>
      <c:pivotFmt>
        <c:idx val="495"/>
        <c:spPr>
          <a:solidFill>
            <a:schemeClr val="accent1"/>
          </a:solidFill>
          <a:ln w="25400">
            <a:noFill/>
          </a:ln>
          <a:effectLst/>
        </c:spPr>
        <c:marker>
          <c:symbol val="none"/>
        </c:marker>
      </c:pivotFmt>
      <c:pivotFmt>
        <c:idx val="496"/>
        <c:spPr>
          <a:solidFill>
            <a:schemeClr val="accent1"/>
          </a:solidFill>
          <a:ln w="25400">
            <a:noFill/>
          </a:ln>
          <a:effectLst/>
        </c:spPr>
        <c:marker>
          <c:symbol val="none"/>
        </c:marker>
      </c:pivotFmt>
      <c:pivotFmt>
        <c:idx val="497"/>
        <c:spPr>
          <a:solidFill>
            <a:schemeClr val="accent1"/>
          </a:solidFill>
          <a:ln w="25400">
            <a:noFill/>
          </a:ln>
          <a:effectLst/>
        </c:spPr>
        <c:marker>
          <c:symbol val="none"/>
        </c:marker>
      </c:pivotFmt>
      <c:pivotFmt>
        <c:idx val="498"/>
        <c:spPr>
          <a:solidFill>
            <a:schemeClr val="accent1"/>
          </a:solidFill>
          <a:ln w="25400">
            <a:noFill/>
          </a:ln>
          <a:effectLst/>
        </c:spPr>
        <c:marker>
          <c:symbol val="none"/>
        </c:marker>
      </c:pivotFmt>
      <c:pivotFmt>
        <c:idx val="499"/>
        <c:spPr>
          <a:solidFill>
            <a:schemeClr val="accent1"/>
          </a:solidFill>
          <a:ln w="25400">
            <a:noFill/>
          </a:ln>
          <a:effectLst/>
        </c:spPr>
        <c:marker>
          <c:symbol val="none"/>
        </c:marker>
      </c:pivotFmt>
      <c:pivotFmt>
        <c:idx val="500"/>
        <c:spPr>
          <a:solidFill>
            <a:schemeClr val="accent1"/>
          </a:solidFill>
          <a:ln w="25400">
            <a:noFill/>
          </a:ln>
          <a:effectLst/>
        </c:spPr>
        <c:marker>
          <c:symbol val="none"/>
        </c:marker>
      </c:pivotFmt>
      <c:pivotFmt>
        <c:idx val="501"/>
        <c:spPr>
          <a:solidFill>
            <a:schemeClr val="accent1"/>
          </a:solidFill>
          <a:ln w="25400">
            <a:noFill/>
          </a:ln>
          <a:effectLst/>
        </c:spPr>
        <c:marker>
          <c:symbol val="none"/>
        </c:marker>
      </c:pivotFmt>
      <c:pivotFmt>
        <c:idx val="502"/>
        <c:spPr>
          <a:solidFill>
            <a:schemeClr val="accent1"/>
          </a:solidFill>
          <a:ln w="25400">
            <a:noFill/>
          </a:ln>
          <a:effectLst/>
        </c:spPr>
        <c:marker>
          <c:symbol val="none"/>
        </c:marker>
      </c:pivotFmt>
      <c:pivotFmt>
        <c:idx val="503"/>
        <c:spPr>
          <a:solidFill>
            <a:schemeClr val="accent1"/>
          </a:solidFill>
          <a:ln w="25400">
            <a:noFill/>
          </a:ln>
          <a:effectLst/>
        </c:spPr>
        <c:marker>
          <c:symbol val="none"/>
        </c:marker>
      </c:pivotFmt>
      <c:pivotFmt>
        <c:idx val="504"/>
        <c:spPr>
          <a:solidFill>
            <a:schemeClr val="accent1"/>
          </a:solidFill>
          <a:ln w="25400">
            <a:noFill/>
          </a:ln>
          <a:effectLst/>
        </c:spPr>
        <c:marker>
          <c:symbol val="none"/>
        </c:marker>
      </c:pivotFmt>
      <c:pivotFmt>
        <c:idx val="505"/>
        <c:spPr>
          <a:solidFill>
            <a:schemeClr val="accent1"/>
          </a:solidFill>
          <a:ln w="25400">
            <a:noFill/>
          </a:ln>
          <a:effectLst/>
        </c:spPr>
        <c:marker>
          <c:symbol val="none"/>
        </c:marker>
      </c:pivotFmt>
      <c:pivotFmt>
        <c:idx val="506"/>
        <c:spPr>
          <a:solidFill>
            <a:schemeClr val="accent1"/>
          </a:solidFill>
          <a:ln w="25400">
            <a:noFill/>
          </a:ln>
          <a:effectLst/>
        </c:spPr>
        <c:marker>
          <c:symbol val="none"/>
        </c:marker>
      </c:pivotFmt>
      <c:pivotFmt>
        <c:idx val="507"/>
        <c:spPr>
          <a:solidFill>
            <a:schemeClr val="accent1"/>
          </a:solidFill>
          <a:ln w="25400">
            <a:noFill/>
          </a:ln>
          <a:effectLst/>
        </c:spPr>
        <c:marker>
          <c:symbol val="none"/>
        </c:marker>
      </c:pivotFmt>
      <c:pivotFmt>
        <c:idx val="508"/>
        <c:spPr>
          <a:solidFill>
            <a:schemeClr val="accent1"/>
          </a:solidFill>
          <a:ln w="25400">
            <a:noFill/>
          </a:ln>
          <a:effectLst/>
        </c:spPr>
        <c:marker>
          <c:symbol val="none"/>
        </c:marker>
      </c:pivotFmt>
      <c:pivotFmt>
        <c:idx val="509"/>
        <c:spPr>
          <a:solidFill>
            <a:schemeClr val="accent1"/>
          </a:solidFill>
          <a:ln w="25400">
            <a:noFill/>
          </a:ln>
          <a:effectLst/>
        </c:spPr>
        <c:marker>
          <c:symbol val="none"/>
        </c:marker>
      </c:pivotFmt>
      <c:pivotFmt>
        <c:idx val="510"/>
        <c:spPr>
          <a:solidFill>
            <a:schemeClr val="accent1"/>
          </a:solidFill>
          <a:ln w="25400">
            <a:noFill/>
          </a:ln>
          <a:effectLst/>
        </c:spPr>
        <c:marker>
          <c:symbol val="none"/>
        </c:marker>
      </c:pivotFmt>
      <c:pivotFmt>
        <c:idx val="511"/>
        <c:spPr>
          <a:solidFill>
            <a:schemeClr val="accent1"/>
          </a:solidFill>
          <a:ln w="25400">
            <a:noFill/>
          </a:ln>
          <a:effectLst/>
        </c:spPr>
        <c:marker>
          <c:symbol val="none"/>
        </c:marker>
      </c:pivotFmt>
      <c:pivotFmt>
        <c:idx val="512"/>
        <c:spPr>
          <a:solidFill>
            <a:schemeClr val="accent1"/>
          </a:solidFill>
          <a:ln w="25400">
            <a:noFill/>
          </a:ln>
          <a:effectLst/>
        </c:spPr>
        <c:marker>
          <c:symbol val="none"/>
        </c:marker>
      </c:pivotFmt>
      <c:pivotFmt>
        <c:idx val="513"/>
        <c:spPr>
          <a:solidFill>
            <a:schemeClr val="accent1"/>
          </a:solidFill>
          <a:ln w="25400">
            <a:noFill/>
          </a:ln>
          <a:effectLst/>
        </c:spPr>
        <c:marker>
          <c:symbol val="none"/>
        </c:marker>
      </c:pivotFmt>
      <c:pivotFmt>
        <c:idx val="514"/>
        <c:spPr>
          <a:solidFill>
            <a:schemeClr val="accent1"/>
          </a:solidFill>
          <a:ln w="25400">
            <a:noFill/>
          </a:ln>
          <a:effectLst/>
        </c:spPr>
        <c:marker>
          <c:symbol val="none"/>
        </c:marker>
      </c:pivotFmt>
      <c:pivotFmt>
        <c:idx val="515"/>
        <c:spPr>
          <a:solidFill>
            <a:schemeClr val="accent1"/>
          </a:solidFill>
          <a:ln w="25400">
            <a:noFill/>
          </a:ln>
          <a:effectLst/>
        </c:spPr>
        <c:marker>
          <c:symbol val="none"/>
        </c:marker>
      </c:pivotFmt>
      <c:pivotFmt>
        <c:idx val="516"/>
        <c:spPr>
          <a:solidFill>
            <a:schemeClr val="accent1"/>
          </a:solidFill>
          <a:ln w="25400">
            <a:noFill/>
          </a:ln>
          <a:effectLst/>
        </c:spPr>
        <c:marker>
          <c:symbol val="none"/>
        </c:marker>
      </c:pivotFmt>
      <c:pivotFmt>
        <c:idx val="517"/>
        <c:spPr>
          <a:solidFill>
            <a:schemeClr val="accent1"/>
          </a:solidFill>
          <a:ln w="25400">
            <a:noFill/>
          </a:ln>
          <a:effectLst/>
        </c:spPr>
        <c:marker>
          <c:symbol val="none"/>
        </c:marker>
      </c:pivotFmt>
      <c:pivotFmt>
        <c:idx val="518"/>
        <c:spPr>
          <a:solidFill>
            <a:schemeClr val="accent1"/>
          </a:solidFill>
          <a:ln w="25400">
            <a:noFill/>
          </a:ln>
          <a:effectLst/>
        </c:spPr>
        <c:marker>
          <c:symbol val="none"/>
        </c:marker>
      </c:pivotFmt>
      <c:pivotFmt>
        <c:idx val="519"/>
        <c:spPr>
          <a:solidFill>
            <a:schemeClr val="accent1"/>
          </a:solidFill>
          <a:ln w="25400">
            <a:noFill/>
          </a:ln>
          <a:effectLst/>
        </c:spPr>
        <c:marker>
          <c:symbol val="none"/>
        </c:marker>
      </c:pivotFmt>
      <c:pivotFmt>
        <c:idx val="520"/>
        <c:spPr>
          <a:solidFill>
            <a:schemeClr val="accent1"/>
          </a:solidFill>
          <a:ln w="25400">
            <a:noFill/>
          </a:ln>
          <a:effectLst/>
        </c:spPr>
        <c:marker>
          <c:symbol val="none"/>
        </c:marker>
      </c:pivotFmt>
      <c:pivotFmt>
        <c:idx val="521"/>
        <c:spPr>
          <a:solidFill>
            <a:schemeClr val="accent1"/>
          </a:solidFill>
          <a:ln w="25400">
            <a:noFill/>
          </a:ln>
          <a:effectLst/>
        </c:spPr>
        <c:marker>
          <c:symbol val="none"/>
        </c:marker>
      </c:pivotFmt>
      <c:pivotFmt>
        <c:idx val="522"/>
        <c:spPr>
          <a:solidFill>
            <a:schemeClr val="accent1"/>
          </a:solidFill>
          <a:ln w="25400">
            <a:noFill/>
          </a:ln>
          <a:effectLst/>
        </c:spPr>
        <c:marker>
          <c:symbol val="none"/>
        </c:marker>
      </c:pivotFmt>
      <c:pivotFmt>
        <c:idx val="523"/>
        <c:spPr>
          <a:solidFill>
            <a:schemeClr val="accent1"/>
          </a:solidFill>
          <a:ln w="25400">
            <a:noFill/>
          </a:ln>
          <a:effectLst/>
        </c:spPr>
        <c:marker>
          <c:symbol val="none"/>
        </c:marker>
      </c:pivotFmt>
      <c:pivotFmt>
        <c:idx val="524"/>
        <c:spPr>
          <a:solidFill>
            <a:schemeClr val="accent1"/>
          </a:solidFill>
          <a:ln w="25400">
            <a:noFill/>
          </a:ln>
          <a:effectLst/>
        </c:spPr>
        <c:marker>
          <c:symbol val="none"/>
        </c:marker>
      </c:pivotFmt>
      <c:pivotFmt>
        <c:idx val="525"/>
        <c:spPr>
          <a:solidFill>
            <a:schemeClr val="accent1"/>
          </a:solidFill>
          <a:ln w="25400">
            <a:noFill/>
          </a:ln>
          <a:effectLst/>
        </c:spPr>
        <c:marker>
          <c:symbol val="none"/>
        </c:marker>
      </c:pivotFmt>
      <c:pivotFmt>
        <c:idx val="526"/>
        <c:spPr>
          <a:solidFill>
            <a:schemeClr val="accent1"/>
          </a:solidFill>
          <a:ln w="25400">
            <a:noFill/>
          </a:ln>
          <a:effectLst/>
        </c:spPr>
        <c:marker>
          <c:symbol val="none"/>
        </c:marker>
      </c:pivotFmt>
      <c:pivotFmt>
        <c:idx val="527"/>
        <c:spPr>
          <a:solidFill>
            <a:schemeClr val="accent1"/>
          </a:solidFill>
          <a:ln w="25400">
            <a:noFill/>
          </a:ln>
          <a:effectLst/>
        </c:spPr>
        <c:marker>
          <c:symbol val="none"/>
        </c:marker>
      </c:pivotFmt>
      <c:pivotFmt>
        <c:idx val="528"/>
        <c:spPr>
          <a:solidFill>
            <a:schemeClr val="accent1"/>
          </a:solidFill>
          <a:ln w="25400">
            <a:noFill/>
          </a:ln>
          <a:effectLst/>
        </c:spPr>
        <c:marker>
          <c:symbol val="none"/>
        </c:marker>
      </c:pivotFmt>
      <c:pivotFmt>
        <c:idx val="529"/>
        <c:spPr>
          <a:solidFill>
            <a:schemeClr val="accent1"/>
          </a:solidFill>
          <a:ln w="25400">
            <a:noFill/>
          </a:ln>
          <a:effectLst/>
        </c:spPr>
        <c:marker>
          <c:symbol val="none"/>
        </c:marker>
      </c:pivotFmt>
      <c:pivotFmt>
        <c:idx val="530"/>
        <c:spPr>
          <a:solidFill>
            <a:schemeClr val="accent1"/>
          </a:solidFill>
          <a:ln w="25400">
            <a:noFill/>
          </a:ln>
          <a:effectLst/>
        </c:spPr>
        <c:marker>
          <c:symbol val="none"/>
        </c:marker>
      </c:pivotFmt>
      <c:pivotFmt>
        <c:idx val="531"/>
        <c:spPr>
          <a:solidFill>
            <a:schemeClr val="accent1"/>
          </a:solidFill>
          <a:ln w="25400">
            <a:noFill/>
          </a:ln>
          <a:effectLst/>
        </c:spPr>
        <c:marker>
          <c:symbol val="none"/>
        </c:marker>
      </c:pivotFmt>
      <c:pivotFmt>
        <c:idx val="532"/>
        <c:spPr>
          <a:solidFill>
            <a:schemeClr val="accent1"/>
          </a:solidFill>
          <a:ln w="25400">
            <a:noFill/>
          </a:ln>
          <a:effectLst/>
        </c:spPr>
        <c:marker>
          <c:symbol val="none"/>
        </c:marker>
      </c:pivotFmt>
      <c:pivotFmt>
        <c:idx val="533"/>
        <c:spPr>
          <a:solidFill>
            <a:schemeClr val="accent1"/>
          </a:solidFill>
          <a:ln w="25400">
            <a:noFill/>
          </a:ln>
          <a:effectLst/>
        </c:spPr>
        <c:marker>
          <c:symbol val="none"/>
        </c:marker>
      </c:pivotFmt>
      <c:pivotFmt>
        <c:idx val="534"/>
        <c:spPr>
          <a:solidFill>
            <a:schemeClr val="accent1"/>
          </a:solidFill>
          <a:ln w="25400">
            <a:noFill/>
          </a:ln>
          <a:effectLst/>
        </c:spPr>
        <c:marker>
          <c:symbol val="none"/>
        </c:marker>
      </c:pivotFmt>
      <c:pivotFmt>
        <c:idx val="535"/>
        <c:spPr>
          <a:solidFill>
            <a:schemeClr val="accent1"/>
          </a:solidFill>
          <a:ln w="25400">
            <a:noFill/>
          </a:ln>
          <a:effectLst/>
        </c:spPr>
        <c:marker>
          <c:symbol val="none"/>
        </c:marker>
      </c:pivotFmt>
      <c:pivotFmt>
        <c:idx val="536"/>
        <c:spPr>
          <a:solidFill>
            <a:schemeClr val="accent1"/>
          </a:solidFill>
          <a:ln w="25400">
            <a:noFill/>
          </a:ln>
          <a:effectLst/>
        </c:spPr>
        <c:marker>
          <c:symbol val="none"/>
        </c:marker>
      </c:pivotFmt>
      <c:pivotFmt>
        <c:idx val="537"/>
        <c:spPr>
          <a:solidFill>
            <a:schemeClr val="accent1"/>
          </a:solidFill>
          <a:ln w="25400">
            <a:noFill/>
          </a:ln>
          <a:effectLst/>
        </c:spPr>
        <c:marker>
          <c:symbol val="none"/>
        </c:marker>
      </c:pivotFmt>
      <c:pivotFmt>
        <c:idx val="538"/>
        <c:spPr>
          <a:solidFill>
            <a:schemeClr val="accent1"/>
          </a:solidFill>
          <a:ln w="25400">
            <a:noFill/>
          </a:ln>
          <a:effectLst/>
        </c:spPr>
        <c:marker>
          <c:symbol val="none"/>
        </c:marker>
      </c:pivotFmt>
      <c:pivotFmt>
        <c:idx val="539"/>
        <c:spPr>
          <a:solidFill>
            <a:schemeClr val="accent1"/>
          </a:solidFill>
          <a:ln w="25400">
            <a:noFill/>
          </a:ln>
          <a:effectLst/>
        </c:spPr>
        <c:marker>
          <c:symbol val="none"/>
        </c:marker>
      </c:pivotFmt>
      <c:pivotFmt>
        <c:idx val="540"/>
        <c:spPr>
          <a:solidFill>
            <a:schemeClr val="accent1"/>
          </a:solidFill>
          <a:ln w="25400">
            <a:noFill/>
          </a:ln>
          <a:effectLst/>
        </c:spPr>
        <c:marker>
          <c:symbol val="none"/>
        </c:marker>
      </c:pivotFmt>
      <c:pivotFmt>
        <c:idx val="541"/>
        <c:spPr>
          <a:solidFill>
            <a:schemeClr val="accent1"/>
          </a:solidFill>
          <a:ln w="25400">
            <a:noFill/>
          </a:ln>
          <a:effectLst/>
        </c:spPr>
        <c:marker>
          <c:symbol val="none"/>
        </c:marker>
      </c:pivotFmt>
      <c:pivotFmt>
        <c:idx val="542"/>
        <c:spPr>
          <a:solidFill>
            <a:schemeClr val="accent1"/>
          </a:solidFill>
          <a:ln w="25400">
            <a:noFill/>
          </a:ln>
          <a:effectLst/>
        </c:spPr>
        <c:marker>
          <c:symbol val="none"/>
        </c:marker>
      </c:pivotFmt>
      <c:pivotFmt>
        <c:idx val="543"/>
        <c:spPr>
          <a:solidFill>
            <a:schemeClr val="accent1"/>
          </a:solidFill>
          <a:ln w="25400">
            <a:noFill/>
          </a:ln>
          <a:effectLst/>
        </c:spPr>
        <c:marker>
          <c:symbol val="none"/>
        </c:marker>
      </c:pivotFmt>
      <c:pivotFmt>
        <c:idx val="544"/>
        <c:spPr>
          <a:solidFill>
            <a:schemeClr val="accent1"/>
          </a:solidFill>
          <a:ln w="25400">
            <a:noFill/>
          </a:ln>
          <a:effectLst/>
        </c:spPr>
        <c:marker>
          <c:symbol val="none"/>
        </c:marker>
      </c:pivotFmt>
      <c:pivotFmt>
        <c:idx val="545"/>
        <c:spPr>
          <a:solidFill>
            <a:schemeClr val="accent1"/>
          </a:solidFill>
          <a:ln w="25400">
            <a:noFill/>
          </a:ln>
          <a:effectLst/>
        </c:spPr>
        <c:marker>
          <c:symbol val="none"/>
        </c:marker>
      </c:pivotFmt>
      <c:pivotFmt>
        <c:idx val="546"/>
        <c:spPr>
          <a:solidFill>
            <a:schemeClr val="accent1"/>
          </a:solidFill>
          <a:ln w="25400">
            <a:noFill/>
          </a:ln>
          <a:effectLst/>
        </c:spPr>
        <c:marker>
          <c:symbol val="none"/>
        </c:marker>
      </c:pivotFmt>
      <c:pivotFmt>
        <c:idx val="547"/>
        <c:spPr>
          <a:solidFill>
            <a:schemeClr val="accent1"/>
          </a:solidFill>
          <a:ln w="25400">
            <a:noFill/>
          </a:ln>
          <a:effectLst/>
        </c:spPr>
        <c:marker>
          <c:symbol val="none"/>
        </c:marker>
      </c:pivotFmt>
      <c:pivotFmt>
        <c:idx val="548"/>
        <c:spPr>
          <a:solidFill>
            <a:schemeClr val="accent1"/>
          </a:solidFill>
          <a:ln w="25400">
            <a:noFill/>
          </a:ln>
          <a:effectLst/>
        </c:spPr>
        <c:marker>
          <c:symbol val="none"/>
        </c:marker>
      </c:pivotFmt>
      <c:pivotFmt>
        <c:idx val="549"/>
        <c:spPr>
          <a:solidFill>
            <a:schemeClr val="accent1"/>
          </a:solidFill>
          <a:ln w="25400">
            <a:noFill/>
          </a:ln>
          <a:effectLst/>
        </c:spPr>
        <c:marker>
          <c:symbol val="none"/>
        </c:marker>
      </c:pivotFmt>
      <c:pivotFmt>
        <c:idx val="550"/>
        <c:spPr>
          <a:solidFill>
            <a:schemeClr val="accent1"/>
          </a:solidFill>
          <a:ln w="25400">
            <a:noFill/>
          </a:ln>
          <a:effectLst/>
        </c:spPr>
        <c:marker>
          <c:symbol val="none"/>
        </c:marker>
      </c:pivotFmt>
      <c:pivotFmt>
        <c:idx val="551"/>
        <c:spPr>
          <a:solidFill>
            <a:schemeClr val="accent1"/>
          </a:solidFill>
          <a:ln w="25400">
            <a:noFill/>
          </a:ln>
          <a:effectLst/>
        </c:spPr>
        <c:marker>
          <c:symbol val="none"/>
        </c:marker>
      </c:pivotFmt>
      <c:pivotFmt>
        <c:idx val="552"/>
        <c:spPr>
          <a:solidFill>
            <a:schemeClr val="accent1"/>
          </a:solidFill>
          <a:ln w="25400">
            <a:noFill/>
          </a:ln>
          <a:effectLst/>
        </c:spPr>
        <c:marker>
          <c:symbol val="none"/>
        </c:marker>
      </c:pivotFmt>
      <c:pivotFmt>
        <c:idx val="553"/>
        <c:spPr>
          <a:solidFill>
            <a:schemeClr val="accent1"/>
          </a:solidFill>
          <a:ln w="25400">
            <a:noFill/>
          </a:ln>
          <a:effectLst/>
        </c:spPr>
        <c:marker>
          <c:symbol val="none"/>
        </c:marker>
      </c:pivotFmt>
      <c:pivotFmt>
        <c:idx val="554"/>
        <c:spPr>
          <a:solidFill>
            <a:schemeClr val="accent1"/>
          </a:solidFill>
          <a:ln w="25400">
            <a:noFill/>
          </a:ln>
          <a:effectLst/>
        </c:spPr>
        <c:marker>
          <c:symbol val="none"/>
        </c:marker>
      </c:pivotFmt>
      <c:pivotFmt>
        <c:idx val="555"/>
        <c:spPr>
          <a:solidFill>
            <a:schemeClr val="accent1"/>
          </a:solidFill>
          <a:ln w="25400">
            <a:noFill/>
          </a:ln>
          <a:effectLst/>
        </c:spPr>
        <c:marker>
          <c:symbol val="none"/>
        </c:marker>
      </c:pivotFmt>
      <c:pivotFmt>
        <c:idx val="556"/>
        <c:spPr>
          <a:solidFill>
            <a:schemeClr val="accent1"/>
          </a:solidFill>
          <a:ln w="25400">
            <a:noFill/>
          </a:ln>
          <a:effectLst/>
        </c:spPr>
        <c:marker>
          <c:symbol val="none"/>
        </c:marker>
      </c:pivotFmt>
      <c:pivotFmt>
        <c:idx val="557"/>
        <c:spPr>
          <a:solidFill>
            <a:schemeClr val="accent1"/>
          </a:solidFill>
          <a:ln w="25400">
            <a:noFill/>
          </a:ln>
          <a:effectLst/>
        </c:spPr>
        <c:marker>
          <c:symbol val="none"/>
        </c:marker>
      </c:pivotFmt>
      <c:pivotFmt>
        <c:idx val="558"/>
        <c:spPr>
          <a:solidFill>
            <a:schemeClr val="accent1"/>
          </a:solidFill>
          <a:ln w="25400">
            <a:noFill/>
          </a:ln>
          <a:effectLst/>
        </c:spPr>
        <c:marker>
          <c:symbol val="none"/>
        </c:marker>
      </c:pivotFmt>
      <c:pivotFmt>
        <c:idx val="559"/>
        <c:spPr>
          <a:solidFill>
            <a:schemeClr val="accent1"/>
          </a:solidFill>
          <a:ln w="25400">
            <a:noFill/>
          </a:ln>
          <a:effectLst/>
        </c:spPr>
        <c:marker>
          <c:symbol val="none"/>
        </c:marker>
      </c:pivotFmt>
      <c:pivotFmt>
        <c:idx val="560"/>
        <c:spPr>
          <a:solidFill>
            <a:schemeClr val="accent1"/>
          </a:solidFill>
          <a:ln w="25400">
            <a:noFill/>
          </a:ln>
          <a:effectLst/>
        </c:spPr>
        <c:marker>
          <c:symbol val="none"/>
        </c:marker>
      </c:pivotFmt>
      <c:pivotFmt>
        <c:idx val="561"/>
        <c:spPr>
          <a:solidFill>
            <a:schemeClr val="accent1"/>
          </a:solidFill>
          <a:ln w="25400">
            <a:noFill/>
          </a:ln>
          <a:effectLst/>
        </c:spPr>
        <c:marker>
          <c:symbol val="none"/>
        </c:marker>
      </c:pivotFmt>
      <c:pivotFmt>
        <c:idx val="562"/>
        <c:spPr>
          <a:solidFill>
            <a:schemeClr val="accent1"/>
          </a:solidFill>
          <a:ln w="25400">
            <a:noFill/>
          </a:ln>
          <a:effectLst/>
        </c:spPr>
        <c:marker>
          <c:symbol val="none"/>
        </c:marker>
      </c:pivotFmt>
      <c:pivotFmt>
        <c:idx val="563"/>
        <c:spPr>
          <a:solidFill>
            <a:schemeClr val="accent1"/>
          </a:solidFill>
          <a:ln w="25400">
            <a:noFill/>
          </a:ln>
          <a:effectLst/>
        </c:spPr>
        <c:marker>
          <c:symbol val="none"/>
        </c:marker>
      </c:pivotFmt>
      <c:pivotFmt>
        <c:idx val="564"/>
        <c:spPr>
          <a:solidFill>
            <a:schemeClr val="accent1"/>
          </a:solidFill>
          <a:ln w="25400">
            <a:noFill/>
          </a:ln>
          <a:effectLst/>
        </c:spPr>
        <c:marker>
          <c:symbol val="none"/>
        </c:marker>
      </c:pivotFmt>
      <c:pivotFmt>
        <c:idx val="565"/>
        <c:spPr>
          <a:solidFill>
            <a:schemeClr val="accent1"/>
          </a:solidFill>
          <a:ln w="25400">
            <a:noFill/>
          </a:ln>
          <a:effectLst/>
        </c:spPr>
        <c:marker>
          <c:symbol val="none"/>
        </c:marker>
      </c:pivotFmt>
      <c:pivotFmt>
        <c:idx val="566"/>
        <c:spPr>
          <a:solidFill>
            <a:schemeClr val="accent1"/>
          </a:solidFill>
          <a:ln w="25400">
            <a:noFill/>
          </a:ln>
          <a:effectLst/>
        </c:spPr>
        <c:marker>
          <c:symbol val="none"/>
        </c:marker>
      </c:pivotFmt>
      <c:pivotFmt>
        <c:idx val="567"/>
        <c:spPr>
          <a:solidFill>
            <a:schemeClr val="accent1"/>
          </a:solidFill>
          <a:ln w="25400">
            <a:noFill/>
          </a:ln>
          <a:effectLst/>
        </c:spPr>
        <c:marker>
          <c:symbol val="none"/>
        </c:marker>
      </c:pivotFmt>
      <c:pivotFmt>
        <c:idx val="568"/>
        <c:spPr>
          <a:solidFill>
            <a:schemeClr val="accent1"/>
          </a:solidFill>
          <a:ln w="25400">
            <a:noFill/>
          </a:ln>
          <a:effectLst/>
        </c:spPr>
        <c:marker>
          <c:symbol val="none"/>
        </c:marker>
      </c:pivotFmt>
      <c:pivotFmt>
        <c:idx val="569"/>
        <c:spPr>
          <a:solidFill>
            <a:schemeClr val="accent1"/>
          </a:solidFill>
          <a:ln w="25400">
            <a:noFill/>
          </a:ln>
          <a:effectLst/>
        </c:spPr>
        <c:marker>
          <c:symbol val="none"/>
        </c:marker>
      </c:pivotFmt>
      <c:pivotFmt>
        <c:idx val="570"/>
        <c:spPr>
          <a:solidFill>
            <a:schemeClr val="accent1"/>
          </a:solidFill>
          <a:ln w="25400">
            <a:noFill/>
          </a:ln>
          <a:effectLst/>
        </c:spPr>
        <c:marker>
          <c:symbol val="none"/>
        </c:marker>
      </c:pivotFmt>
      <c:pivotFmt>
        <c:idx val="571"/>
        <c:spPr>
          <a:solidFill>
            <a:schemeClr val="accent1"/>
          </a:solidFill>
          <a:ln w="25400">
            <a:noFill/>
          </a:ln>
          <a:effectLst/>
        </c:spPr>
        <c:marker>
          <c:symbol val="none"/>
        </c:marker>
      </c:pivotFmt>
      <c:pivotFmt>
        <c:idx val="572"/>
        <c:spPr>
          <a:solidFill>
            <a:schemeClr val="accent1"/>
          </a:solidFill>
          <a:ln w="25400">
            <a:noFill/>
          </a:ln>
          <a:effectLst/>
        </c:spPr>
        <c:marker>
          <c:symbol val="none"/>
        </c:marker>
      </c:pivotFmt>
      <c:pivotFmt>
        <c:idx val="573"/>
        <c:spPr>
          <a:solidFill>
            <a:schemeClr val="accent1"/>
          </a:solidFill>
          <a:ln w="25400">
            <a:noFill/>
          </a:ln>
          <a:effectLst/>
        </c:spPr>
        <c:marker>
          <c:symbol val="none"/>
        </c:marker>
      </c:pivotFmt>
      <c:pivotFmt>
        <c:idx val="574"/>
        <c:spPr>
          <a:solidFill>
            <a:schemeClr val="accent1"/>
          </a:solidFill>
          <a:ln w="25400">
            <a:noFill/>
          </a:ln>
          <a:effectLst/>
        </c:spPr>
        <c:marker>
          <c:symbol val="none"/>
        </c:marker>
      </c:pivotFmt>
      <c:pivotFmt>
        <c:idx val="575"/>
        <c:spPr>
          <a:solidFill>
            <a:schemeClr val="accent1"/>
          </a:solidFill>
          <a:ln w="25400">
            <a:noFill/>
          </a:ln>
          <a:effectLst/>
        </c:spPr>
        <c:marker>
          <c:symbol val="none"/>
        </c:marker>
      </c:pivotFmt>
      <c:pivotFmt>
        <c:idx val="576"/>
        <c:spPr>
          <a:solidFill>
            <a:schemeClr val="accent1"/>
          </a:solidFill>
          <a:ln w="25400">
            <a:noFill/>
          </a:ln>
          <a:effectLst/>
        </c:spPr>
        <c:marker>
          <c:symbol val="none"/>
        </c:marker>
      </c:pivotFmt>
      <c:pivotFmt>
        <c:idx val="577"/>
        <c:spPr>
          <a:solidFill>
            <a:schemeClr val="accent1"/>
          </a:solidFill>
          <a:ln w="25400">
            <a:noFill/>
          </a:ln>
          <a:effectLst/>
        </c:spPr>
        <c:marker>
          <c:symbol val="none"/>
        </c:marker>
      </c:pivotFmt>
      <c:pivotFmt>
        <c:idx val="578"/>
        <c:spPr>
          <a:solidFill>
            <a:schemeClr val="accent1"/>
          </a:solidFill>
          <a:ln w="25400">
            <a:noFill/>
          </a:ln>
          <a:effectLst/>
        </c:spPr>
        <c:marker>
          <c:symbol val="none"/>
        </c:marker>
      </c:pivotFmt>
      <c:pivotFmt>
        <c:idx val="579"/>
        <c:spPr>
          <a:solidFill>
            <a:schemeClr val="accent1"/>
          </a:solidFill>
          <a:ln w="25400">
            <a:noFill/>
          </a:ln>
          <a:effectLst/>
        </c:spPr>
        <c:marker>
          <c:symbol val="none"/>
        </c:marker>
      </c:pivotFmt>
      <c:pivotFmt>
        <c:idx val="580"/>
        <c:spPr>
          <a:solidFill>
            <a:schemeClr val="accent1"/>
          </a:solidFill>
          <a:ln w="25400">
            <a:noFill/>
          </a:ln>
          <a:effectLst/>
        </c:spPr>
        <c:marker>
          <c:symbol val="none"/>
        </c:marker>
      </c:pivotFmt>
      <c:pivotFmt>
        <c:idx val="581"/>
        <c:spPr>
          <a:solidFill>
            <a:schemeClr val="accent1"/>
          </a:solidFill>
          <a:ln w="25400">
            <a:noFill/>
          </a:ln>
          <a:effectLst/>
        </c:spPr>
        <c:marker>
          <c:symbol val="none"/>
        </c:marker>
      </c:pivotFmt>
      <c:pivotFmt>
        <c:idx val="582"/>
        <c:spPr>
          <a:solidFill>
            <a:schemeClr val="accent1"/>
          </a:solidFill>
          <a:ln w="25400">
            <a:noFill/>
          </a:ln>
          <a:effectLst/>
        </c:spPr>
        <c:marker>
          <c:symbol val="none"/>
        </c:marker>
      </c:pivotFmt>
      <c:pivotFmt>
        <c:idx val="583"/>
        <c:spPr>
          <a:solidFill>
            <a:schemeClr val="accent1"/>
          </a:solidFill>
          <a:ln w="25400">
            <a:noFill/>
          </a:ln>
          <a:effectLst/>
        </c:spPr>
        <c:marker>
          <c:symbol val="none"/>
        </c:marker>
      </c:pivotFmt>
      <c:pivotFmt>
        <c:idx val="584"/>
        <c:spPr>
          <a:solidFill>
            <a:schemeClr val="accent1"/>
          </a:solidFill>
          <a:ln w="25400">
            <a:noFill/>
          </a:ln>
          <a:effectLst/>
        </c:spPr>
        <c:marker>
          <c:symbol val="none"/>
        </c:marker>
      </c:pivotFmt>
      <c:pivotFmt>
        <c:idx val="585"/>
        <c:spPr>
          <a:solidFill>
            <a:schemeClr val="accent1"/>
          </a:solidFill>
          <a:ln w="25400">
            <a:noFill/>
          </a:ln>
          <a:effectLst/>
        </c:spPr>
        <c:marker>
          <c:symbol val="none"/>
        </c:marker>
      </c:pivotFmt>
      <c:pivotFmt>
        <c:idx val="586"/>
        <c:spPr>
          <a:solidFill>
            <a:schemeClr val="accent1"/>
          </a:solidFill>
          <a:ln w="25400">
            <a:noFill/>
          </a:ln>
          <a:effectLst/>
        </c:spPr>
        <c:marker>
          <c:symbol val="none"/>
        </c:marker>
      </c:pivotFmt>
      <c:pivotFmt>
        <c:idx val="587"/>
        <c:spPr>
          <a:solidFill>
            <a:schemeClr val="accent1"/>
          </a:solidFill>
          <a:ln w="25400">
            <a:noFill/>
          </a:ln>
          <a:effectLst/>
        </c:spPr>
        <c:marker>
          <c:symbol val="none"/>
        </c:marker>
      </c:pivotFmt>
      <c:pivotFmt>
        <c:idx val="588"/>
        <c:spPr>
          <a:solidFill>
            <a:schemeClr val="accent1"/>
          </a:solidFill>
          <a:ln w="25400">
            <a:noFill/>
          </a:ln>
          <a:effectLst/>
        </c:spPr>
        <c:marker>
          <c:symbol val="none"/>
        </c:marker>
      </c:pivotFmt>
      <c:pivotFmt>
        <c:idx val="589"/>
        <c:spPr>
          <a:solidFill>
            <a:schemeClr val="accent1"/>
          </a:solidFill>
          <a:ln w="25400">
            <a:noFill/>
          </a:ln>
          <a:effectLst/>
        </c:spPr>
        <c:marker>
          <c:symbol val="none"/>
        </c:marker>
      </c:pivotFmt>
      <c:pivotFmt>
        <c:idx val="590"/>
        <c:spPr>
          <a:solidFill>
            <a:schemeClr val="accent1"/>
          </a:solidFill>
          <a:ln w="25400">
            <a:noFill/>
          </a:ln>
          <a:effectLst/>
        </c:spPr>
        <c:marker>
          <c:symbol val="none"/>
        </c:marker>
      </c:pivotFmt>
      <c:pivotFmt>
        <c:idx val="591"/>
        <c:spPr>
          <a:solidFill>
            <a:schemeClr val="accent1"/>
          </a:solidFill>
          <a:ln>
            <a:noFill/>
          </a:ln>
          <a:effectLst/>
        </c:spPr>
        <c:marker>
          <c:symbol val="none"/>
        </c:marker>
      </c:pivotFmt>
      <c:pivotFmt>
        <c:idx val="592"/>
        <c:spPr>
          <a:solidFill>
            <a:schemeClr val="accent1"/>
          </a:solidFill>
          <a:ln>
            <a:noFill/>
          </a:ln>
          <a:effectLst/>
        </c:spPr>
        <c:marker>
          <c:symbol val="none"/>
        </c:marker>
      </c:pivotFmt>
      <c:pivotFmt>
        <c:idx val="593"/>
        <c:spPr>
          <a:solidFill>
            <a:schemeClr val="accent1"/>
          </a:solidFill>
          <a:ln>
            <a:noFill/>
          </a:ln>
          <a:effectLst/>
        </c:spPr>
        <c:marker>
          <c:symbol val="none"/>
        </c:marker>
      </c:pivotFmt>
      <c:pivotFmt>
        <c:idx val="594"/>
        <c:spPr>
          <a:solidFill>
            <a:schemeClr val="accent1"/>
          </a:solidFill>
          <a:ln>
            <a:noFill/>
          </a:ln>
          <a:effectLst/>
        </c:spPr>
        <c:marker>
          <c:symbol val="none"/>
        </c:marker>
      </c:pivotFmt>
      <c:pivotFmt>
        <c:idx val="595"/>
        <c:spPr>
          <a:solidFill>
            <a:schemeClr val="accent1"/>
          </a:solidFill>
          <a:ln>
            <a:noFill/>
          </a:ln>
          <a:effectLst/>
        </c:spPr>
        <c:marker>
          <c:symbol val="none"/>
        </c:marker>
      </c:pivotFmt>
      <c:pivotFmt>
        <c:idx val="596"/>
        <c:spPr>
          <a:solidFill>
            <a:schemeClr val="accent1"/>
          </a:solidFill>
          <a:ln>
            <a:noFill/>
          </a:ln>
          <a:effectLst/>
        </c:spPr>
        <c:marker>
          <c:symbol val="none"/>
        </c:marker>
      </c:pivotFmt>
      <c:pivotFmt>
        <c:idx val="597"/>
        <c:spPr>
          <a:solidFill>
            <a:schemeClr val="accent1"/>
          </a:solidFill>
          <a:ln>
            <a:noFill/>
          </a:ln>
          <a:effectLst/>
        </c:spPr>
        <c:marker>
          <c:symbol val="none"/>
        </c:marker>
      </c:pivotFmt>
      <c:pivotFmt>
        <c:idx val="598"/>
        <c:spPr>
          <a:solidFill>
            <a:schemeClr val="accent1"/>
          </a:solidFill>
          <a:ln>
            <a:noFill/>
          </a:ln>
          <a:effectLst/>
        </c:spPr>
        <c:marker>
          <c:symbol val="none"/>
        </c:marker>
      </c:pivotFmt>
      <c:pivotFmt>
        <c:idx val="599"/>
        <c:spPr>
          <a:solidFill>
            <a:schemeClr val="accent1"/>
          </a:solidFill>
          <a:ln>
            <a:noFill/>
          </a:ln>
          <a:effectLst/>
        </c:spPr>
        <c:marker>
          <c:symbol val="none"/>
        </c:marker>
      </c:pivotFmt>
      <c:pivotFmt>
        <c:idx val="600"/>
        <c:spPr>
          <a:solidFill>
            <a:schemeClr val="accent1"/>
          </a:solidFill>
          <a:ln>
            <a:noFill/>
          </a:ln>
          <a:effectLst/>
        </c:spPr>
        <c:marker>
          <c:symbol val="none"/>
        </c:marker>
      </c:pivotFmt>
      <c:pivotFmt>
        <c:idx val="601"/>
        <c:spPr>
          <a:solidFill>
            <a:schemeClr val="accent1"/>
          </a:solidFill>
          <a:ln>
            <a:noFill/>
          </a:ln>
          <a:effectLst/>
        </c:spPr>
        <c:marker>
          <c:symbol val="none"/>
        </c:marker>
      </c:pivotFmt>
      <c:pivotFmt>
        <c:idx val="602"/>
        <c:spPr>
          <a:solidFill>
            <a:schemeClr val="accent1"/>
          </a:solidFill>
          <a:ln>
            <a:noFill/>
          </a:ln>
          <a:effectLst/>
        </c:spPr>
        <c:marker>
          <c:symbol val="none"/>
        </c:marker>
      </c:pivotFmt>
      <c:pivotFmt>
        <c:idx val="603"/>
        <c:spPr>
          <a:solidFill>
            <a:schemeClr val="accent1"/>
          </a:solidFill>
          <a:ln>
            <a:noFill/>
          </a:ln>
          <a:effectLst/>
        </c:spPr>
        <c:marker>
          <c:symbol val="none"/>
        </c:marker>
      </c:pivotFmt>
      <c:pivotFmt>
        <c:idx val="604"/>
        <c:spPr>
          <a:solidFill>
            <a:schemeClr val="accent1"/>
          </a:solidFill>
          <a:ln>
            <a:noFill/>
          </a:ln>
          <a:effectLst/>
        </c:spPr>
        <c:marker>
          <c:symbol val="none"/>
        </c:marker>
      </c:pivotFmt>
      <c:pivotFmt>
        <c:idx val="605"/>
        <c:spPr>
          <a:solidFill>
            <a:schemeClr val="accent1"/>
          </a:solidFill>
          <a:ln>
            <a:noFill/>
          </a:ln>
          <a:effectLst/>
        </c:spPr>
        <c:marker>
          <c:symbol val="none"/>
        </c:marker>
      </c:pivotFmt>
      <c:pivotFmt>
        <c:idx val="606"/>
        <c:spPr>
          <a:solidFill>
            <a:schemeClr val="accent1"/>
          </a:solidFill>
          <a:ln>
            <a:noFill/>
          </a:ln>
          <a:effectLst/>
        </c:spPr>
        <c:marker>
          <c:symbol val="none"/>
        </c:marker>
      </c:pivotFmt>
      <c:pivotFmt>
        <c:idx val="607"/>
        <c:spPr>
          <a:solidFill>
            <a:schemeClr val="accent1"/>
          </a:solidFill>
          <a:ln>
            <a:noFill/>
          </a:ln>
          <a:effectLst/>
        </c:spPr>
        <c:marker>
          <c:symbol val="none"/>
        </c:marker>
      </c:pivotFmt>
      <c:pivotFmt>
        <c:idx val="608"/>
        <c:spPr>
          <a:solidFill>
            <a:schemeClr val="accent1"/>
          </a:solidFill>
          <a:ln>
            <a:noFill/>
          </a:ln>
          <a:effectLst/>
        </c:spPr>
        <c:marker>
          <c:symbol val="none"/>
        </c:marker>
      </c:pivotFmt>
      <c:pivotFmt>
        <c:idx val="609"/>
        <c:spPr>
          <a:solidFill>
            <a:schemeClr val="accent1"/>
          </a:solidFill>
          <a:ln>
            <a:noFill/>
          </a:ln>
          <a:effectLst/>
        </c:spPr>
        <c:marker>
          <c:symbol val="none"/>
        </c:marker>
      </c:pivotFmt>
      <c:pivotFmt>
        <c:idx val="610"/>
        <c:spPr>
          <a:solidFill>
            <a:schemeClr val="accent1"/>
          </a:solidFill>
          <a:ln>
            <a:noFill/>
          </a:ln>
          <a:effectLst/>
        </c:spPr>
        <c:marker>
          <c:symbol val="none"/>
        </c:marker>
      </c:pivotFmt>
      <c:pivotFmt>
        <c:idx val="611"/>
        <c:spPr>
          <a:solidFill>
            <a:schemeClr val="accent1"/>
          </a:solidFill>
          <a:ln>
            <a:noFill/>
          </a:ln>
          <a:effectLst/>
        </c:spPr>
        <c:marker>
          <c:symbol val="none"/>
        </c:marker>
      </c:pivotFmt>
      <c:pivotFmt>
        <c:idx val="612"/>
        <c:spPr>
          <a:solidFill>
            <a:schemeClr val="accent1"/>
          </a:solidFill>
          <a:ln>
            <a:noFill/>
          </a:ln>
          <a:effectLst/>
        </c:spPr>
        <c:marker>
          <c:symbol val="none"/>
        </c:marker>
      </c:pivotFmt>
      <c:pivotFmt>
        <c:idx val="613"/>
        <c:spPr>
          <a:solidFill>
            <a:schemeClr val="accent1"/>
          </a:solidFill>
          <a:ln>
            <a:noFill/>
          </a:ln>
          <a:effectLst/>
        </c:spPr>
        <c:marker>
          <c:symbol val="none"/>
        </c:marker>
      </c:pivotFmt>
      <c:pivotFmt>
        <c:idx val="614"/>
        <c:spPr>
          <a:solidFill>
            <a:schemeClr val="accent1"/>
          </a:solidFill>
          <a:ln>
            <a:noFill/>
          </a:ln>
          <a:effectLst/>
        </c:spPr>
        <c:marker>
          <c:symbol val="none"/>
        </c:marker>
      </c:pivotFmt>
      <c:pivotFmt>
        <c:idx val="615"/>
        <c:spPr>
          <a:solidFill>
            <a:schemeClr val="accent1"/>
          </a:solidFill>
          <a:ln>
            <a:noFill/>
          </a:ln>
          <a:effectLst/>
        </c:spPr>
        <c:marker>
          <c:symbol val="none"/>
        </c:marker>
      </c:pivotFmt>
      <c:pivotFmt>
        <c:idx val="616"/>
        <c:spPr>
          <a:solidFill>
            <a:schemeClr val="accent1"/>
          </a:solidFill>
          <a:ln>
            <a:noFill/>
          </a:ln>
          <a:effectLst/>
        </c:spPr>
        <c:marker>
          <c:symbol val="none"/>
        </c:marker>
      </c:pivotFmt>
      <c:pivotFmt>
        <c:idx val="617"/>
        <c:spPr>
          <a:solidFill>
            <a:schemeClr val="accent1"/>
          </a:solidFill>
          <a:ln>
            <a:noFill/>
          </a:ln>
          <a:effectLst/>
        </c:spPr>
        <c:marker>
          <c:symbol val="none"/>
        </c:marker>
      </c:pivotFmt>
      <c:pivotFmt>
        <c:idx val="618"/>
        <c:spPr>
          <a:solidFill>
            <a:schemeClr val="accent1"/>
          </a:solidFill>
          <a:ln>
            <a:noFill/>
          </a:ln>
          <a:effectLst/>
        </c:spPr>
        <c:marker>
          <c:symbol val="none"/>
        </c:marker>
      </c:pivotFmt>
      <c:pivotFmt>
        <c:idx val="619"/>
        <c:spPr>
          <a:solidFill>
            <a:schemeClr val="accent1"/>
          </a:solidFill>
          <a:ln>
            <a:noFill/>
          </a:ln>
          <a:effectLst/>
        </c:spPr>
        <c:marker>
          <c:symbol val="none"/>
        </c:marker>
      </c:pivotFmt>
      <c:pivotFmt>
        <c:idx val="620"/>
        <c:spPr>
          <a:solidFill>
            <a:schemeClr val="accent1"/>
          </a:solidFill>
          <a:ln>
            <a:noFill/>
          </a:ln>
          <a:effectLst/>
        </c:spPr>
        <c:marker>
          <c:symbol val="none"/>
        </c:marker>
      </c:pivotFmt>
      <c:pivotFmt>
        <c:idx val="621"/>
        <c:spPr>
          <a:solidFill>
            <a:schemeClr val="accent1"/>
          </a:solidFill>
          <a:ln>
            <a:noFill/>
          </a:ln>
          <a:effectLst/>
        </c:spPr>
        <c:marker>
          <c:symbol val="none"/>
        </c:marker>
      </c:pivotFmt>
      <c:pivotFmt>
        <c:idx val="622"/>
        <c:spPr>
          <a:solidFill>
            <a:schemeClr val="accent1"/>
          </a:solidFill>
          <a:ln>
            <a:noFill/>
          </a:ln>
          <a:effectLst/>
        </c:spPr>
        <c:marker>
          <c:symbol val="none"/>
        </c:marker>
      </c:pivotFmt>
      <c:pivotFmt>
        <c:idx val="623"/>
        <c:spPr>
          <a:solidFill>
            <a:schemeClr val="accent1"/>
          </a:solidFill>
          <a:ln>
            <a:noFill/>
          </a:ln>
          <a:effectLst/>
        </c:spPr>
        <c:marker>
          <c:symbol val="none"/>
        </c:marker>
      </c:pivotFmt>
      <c:pivotFmt>
        <c:idx val="624"/>
        <c:spPr>
          <a:solidFill>
            <a:schemeClr val="accent1"/>
          </a:solidFill>
          <a:ln>
            <a:noFill/>
          </a:ln>
          <a:effectLst/>
        </c:spPr>
        <c:marker>
          <c:symbol val="none"/>
        </c:marker>
      </c:pivotFmt>
      <c:pivotFmt>
        <c:idx val="625"/>
        <c:spPr>
          <a:solidFill>
            <a:schemeClr val="accent1"/>
          </a:solidFill>
          <a:ln>
            <a:noFill/>
          </a:ln>
          <a:effectLst/>
        </c:spPr>
        <c:marker>
          <c:symbol val="none"/>
        </c:marker>
      </c:pivotFmt>
      <c:pivotFmt>
        <c:idx val="626"/>
        <c:spPr>
          <a:solidFill>
            <a:schemeClr val="accent1"/>
          </a:solidFill>
          <a:ln>
            <a:noFill/>
          </a:ln>
          <a:effectLst/>
        </c:spPr>
        <c:marker>
          <c:symbol val="none"/>
        </c:marker>
      </c:pivotFmt>
      <c:pivotFmt>
        <c:idx val="627"/>
        <c:spPr>
          <a:solidFill>
            <a:schemeClr val="accent1"/>
          </a:solidFill>
          <a:ln>
            <a:noFill/>
          </a:ln>
          <a:effectLst/>
        </c:spPr>
        <c:marker>
          <c:symbol val="none"/>
        </c:marker>
      </c:pivotFmt>
      <c:pivotFmt>
        <c:idx val="628"/>
        <c:spPr>
          <a:solidFill>
            <a:schemeClr val="accent1"/>
          </a:solidFill>
          <a:ln>
            <a:noFill/>
          </a:ln>
          <a:effectLst/>
        </c:spPr>
        <c:marker>
          <c:symbol val="none"/>
        </c:marker>
      </c:pivotFmt>
      <c:pivotFmt>
        <c:idx val="629"/>
        <c:spPr>
          <a:solidFill>
            <a:schemeClr val="accent1"/>
          </a:solidFill>
          <a:ln>
            <a:noFill/>
          </a:ln>
          <a:effectLst/>
        </c:spPr>
        <c:marker>
          <c:symbol val="none"/>
        </c:marker>
      </c:pivotFmt>
      <c:pivotFmt>
        <c:idx val="630"/>
        <c:spPr>
          <a:solidFill>
            <a:schemeClr val="accent1"/>
          </a:solidFill>
          <a:ln>
            <a:noFill/>
          </a:ln>
          <a:effectLst/>
        </c:spPr>
        <c:marker>
          <c:symbol val="none"/>
        </c:marker>
      </c:pivotFmt>
      <c:pivotFmt>
        <c:idx val="631"/>
        <c:spPr>
          <a:solidFill>
            <a:schemeClr val="accent1"/>
          </a:solidFill>
          <a:ln>
            <a:noFill/>
          </a:ln>
          <a:effectLst/>
        </c:spPr>
        <c:marker>
          <c:symbol val="none"/>
        </c:marker>
      </c:pivotFmt>
      <c:pivotFmt>
        <c:idx val="632"/>
        <c:spPr>
          <a:solidFill>
            <a:schemeClr val="accent1"/>
          </a:solidFill>
          <a:ln>
            <a:noFill/>
          </a:ln>
          <a:effectLst/>
        </c:spPr>
        <c:marker>
          <c:symbol val="none"/>
        </c:marker>
      </c:pivotFmt>
      <c:pivotFmt>
        <c:idx val="633"/>
        <c:spPr>
          <a:solidFill>
            <a:schemeClr val="accent1"/>
          </a:solidFill>
          <a:ln>
            <a:noFill/>
          </a:ln>
          <a:effectLst/>
        </c:spPr>
        <c:marker>
          <c:symbol val="none"/>
        </c:marker>
      </c:pivotFmt>
      <c:pivotFmt>
        <c:idx val="634"/>
        <c:spPr>
          <a:solidFill>
            <a:schemeClr val="accent1"/>
          </a:solidFill>
          <a:ln>
            <a:noFill/>
          </a:ln>
          <a:effectLst/>
        </c:spPr>
        <c:marker>
          <c:symbol val="none"/>
        </c:marker>
      </c:pivotFmt>
      <c:pivotFmt>
        <c:idx val="635"/>
        <c:spPr>
          <a:solidFill>
            <a:schemeClr val="accent1"/>
          </a:solidFill>
          <a:ln>
            <a:noFill/>
          </a:ln>
          <a:effectLst/>
        </c:spPr>
        <c:marker>
          <c:symbol val="none"/>
        </c:marker>
      </c:pivotFmt>
      <c:pivotFmt>
        <c:idx val="636"/>
        <c:spPr>
          <a:solidFill>
            <a:schemeClr val="accent1"/>
          </a:solidFill>
          <a:ln>
            <a:noFill/>
          </a:ln>
          <a:effectLst/>
        </c:spPr>
        <c:marker>
          <c:symbol val="none"/>
        </c:marker>
      </c:pivotFmt>
      <c:pivotFmt>
        <c:idx val="637"/>
        <c:spPr>
          <a:solidFill>
            <a:schemeClr val="accent1"/>
          </a:solidFill>
          <a:ln>
            <a:noFill/>
          </a:ln>
          <a:effectLst/>
        </c:spPr>
        <c:marker>
          <c:symbol val="none"/>
        </c:marker>
      </c:pivotFmt>
      <c:pivotFmt>
        <c:idx val="638"/>
        <c:spPr>
          <a:solidFill>
            <a:schemeClr val="accent1"/>
          </a:solidFill>
          <a:ln>
            <a:noFill/>
          </a:ln>
          <a:effectLst/>
        </c:spPr>
        <c:marker>
          <c:symbol val="none"/>
        </c:marker>
      </c:pivotFmt>
      <c:pivotFmt>
        <c:idx val="639"/>
        <c:spPr>
          <a:solidFill>
            <a:schemeClr val="accent1"/>
          </a:solidFill>
          <a:ln>
            <a:noFill/>
          </a:ln>
          <a:effectLst/>
        </c:spPr>
        <c:marker>
          <c:symbol val="none"/>
        </c:marker>
      </c:pivotFmt>
      <c:pivotFmt>
        <c:idx val="640"/>
        <c:spPr>
          <a:solidFill>
            <a:schemeClr val="accent1"/>
          </a:solidFill>
          <a:ln>
            <a:noFill/>
          </a:ln>
          <a:effectLst/>
        </c:spPr>
        <c:marker>
          <c:symbol val="none"/>
        </c:marker>
      </c:pivotFmt>
      <c:pivotFmt>
        <c:idx val="641"/>
        <c:spPr>
          <a:solidFill>
            <a:schemeClr val="accent1"/>
          </a:solidFill>
          <a:ln>
            <a:noFill/>
          </a:ln>
          <a:effectLst/>
        </c:spPr>
        <c:marker>
          <c:symbol val="none"/>
        </c:marker>
      </c:pivotFmt>
      <c:pivotFmt>
        <c:idx val="642"/>
        <c:spPr>
          <a:solidFill>
            <a:schemeClr val="accent1"/>
          </a:solidFill>
          <a:ln>
            <a:noFill/>
          </a:ln>
          <a:effectLst/>
        </c:spPr>
        <c:marker>
          <c:symbol val="none"/>
        </c:marker>
      </c:pivotFmt>
      <c:pivotFmt>
        <c:idx val="643"/>
        <c:spPr>
          <a:solidFill>
            <a:schemeClr val="accent1"/>
          </a:solidFill>
          <a:ln>
            <a:noFill/>
          </a:ln>
          <a:effectLst/>
        </c:spPr>
        <c:marker>
          <c:symbol val="none"/>
        </c:marker>
      </c:pivotFmt>
      <c:pivotFmt>
        <c:idx val="644"/>
        <c:spPr>
          <a:solidFill>
            <a:schemeClr val="accent1"/>
          </a:solidFill>
          <a:ln>
            <a:noFill/>
          </a:ln>
          <a:effectLst/>
        </c:spPr>
        <c:marker>
          <c:symbol val="none"/>
        </c:marker>
      </c:pivotFmt>
      <c:pivotFmt>
        <c:idx val="645"/>
        <c:spPr>
          <a:solidFill>
            <a:schemeClr val="accent1"/>
          </a:solidFill>
          <a:ln>
            <a:noFill/>
          </a:ln>
          <a:effectLst/>
        </c:spPr>
        <c:marker>
          <c:symbol val="none"/>
        </c:marker>
      </c:pivotFmt>
      <c:pivotFmt>
        <c:idx val="646"/>
        <c:spPr>
          <a:solidFill>
            <a:schemeClr val="accent1"/>
          </a:solidFill>
          <a:ln>
            <a:noFill/>
          </a:ln>
          <a:effectLst/>
        </c:spPr>
        <c:marker>
          <c:symbol val="none"/>
        </c:marker>
      </c:pivotFmt>
      <c:pivotFmt>
        <c:idx val="647"/>
        <c:spPr>
          <a:solidFill>
            <a:schemeClr val="accent1"/>
          </a:solidFill>
          <a:ln>
            <a:noFill/>
          </a:ln>
          <a:effectLst/>
        </c:spPr>
        <c:marker>
          <c:symbol val="none"/>
        </c:marker>
      </c:pivotFmt>
      <c:pivotFmt>
        <c:idx val="648"/>
        <c:spPr>
          <a:solidFill>
            <a:schemeClr val="accent1"/>
          </a:solidFill>
          <a:ln>
            <a:noFill/>
          </a:ln>
          <a:effectLst/>
        </c:spPr>
        <c:marker>
          <c:symbol val="none"/>
        </c:marker>
      </c:pivotFmt>
      <c:pivotFmt>
        <c:idx val="649"/>
        <c:spPr>
          <a:solidFill>
            <a:schemeClr val="accent1"/>
          </a:solidFill>
          <a:ln>
            <a:noFill/>
          </a:ln>
          <a:effectLst/>
        </c:spPr>
        <c:marker>
          <c:symbol val="none"/>
        </c:marker>
      </c:pivotFmt>
      <c:pivotFmt>
        <c:idx val="650"/>
        <c:spPr>
          <a:solidFill>
            <a:schemeClr val="accent1"/>
          </a:solidFill>
          <a:ln>
            <a:noFill/>
          </a:ln>
          <a:effectLst/>
        </c:spPr>
        <c:marker>
          <c:symbol val="none"/>
        </c:marker>
      </c:pivotFmt>
      <c:pivotFmt>
        <c:idx val="651"/>
        <c:spPr>
          <a:solidFill>
            <a:schemeClr val="accent1"/>
          </a:solidFill>
          <a:ln>
            <a:noFill/>
          </a:ln>
          <a:effectLst/>
        </c:spPr>
        <c:marker>
          <c:symbol val="none"/>
        </c:marker>
      </c:pivotFmt>
      <c:pivotFmt>
        <c:idx val="652"/>
        <c:spPr>
          <a:solidFill>
            <a:schemeClr val="accent1"/>
          </a:solidFill>
          <a:ln>
            <a:noFill/>
          </a:ln>
          <a:effectLst/>
        </c:spPr>
        <c:marker>
          <c:symbol val="none"/>
        </c:marker>
      </c:pivotFmt>
      <c:pivotFmt>
        <c:idx val="653"/>
        <c:spPr>
          <a:solidFill>
            <a:schemeClr val="accent1"/>
          </a:solidFill>
          <a:ln>
            <a:noFill/>
          </a:ln>
          <a:effectLst/>
        </c:spPr>
        <c:marker>
          <c:symbol val="none"/>
        </c:marker>
      </c:pivotFmt>
      <c:pivotFmt>
        <c:idx val="654"/>
        <c:spPr>
          <a:solidFill>
            <a:schemeClr val="accent1"/>
          </a:solidFill>
          <a:ln>
            <a:noFill/>
          </a:ln>
          <a:effectLst/>
        </c:spPr>
        <c:marker>
          <c:symbol val="none"/>
        </c:marker>
      </c:pivotFmt>
      <c:pivotFmt>
        <c:idx val="655"/>
        <c:spPr>
          <a:solidFill>
            <a:schemeClr val="accent1"/>
          </a:solidFill>
          <a:ln>
            <a:noFill/>
          </a:ln>
          <a:effectLst/>
        </c:spPr>
        <c:marker>
          <c:symbol val="none"/>
        </c:marker>
      </c:pivotFmt>
      <c:pivotFmt>
        <c:idx val="656"/>
        <c:spPr>
          <a:solidFill>
            <a:schemeClr val="accent1"/>
          </a:solidFill>
          <a:ln>
            <a:noFill/>
          </a:ln>
          <a:effectLst/>
        </c:spPr>
        <c:marker>
          <c:symbol val="none"/>
        </c:marker>
      </c:pivotFmt>
      <c:pivotFmt>
        <c:idx val="657"/>
        <c:spPr>
          <a:solidFill>
            <a:schemeClr val="accent1"/>
          </a:solidFill>
          <a:ln>
            <a:noFill/>
          </a:ln>
          <a:effectLst/>
        </c:spPr>
        <c:marker>
          <c:symbol val="none"/>
        </c:marker>
      </c:pivotFmt>
      <c:pivotFmt>
        <c:idx val="658"/>
        <c:spPr>
          <a:solidFill>
            <a:schemeClr val="accent1"/>
          </a:solidFill>
          <a:ln>
            <a:noFill/>
          </a:ln>
          <a:effectLst/>
        </c:spPr>
        <c:marker>
          <c:symbol val="none"/>
        </c:marker>
      </c:pivotFmt>
      <c:pivotFmt>
        <c:idx val="659"/>
        <c:spPr>
          <a:solidFill>
            <a:schemeClr val="accent1"/>
          </a:solidFill>
          <a:ln>
            <a:noFill/>
          </a:ln>
          <a:effectLst/>
        </c:spPr>
        <c:marker>
          <c:symbol val="none"/>
        </c:marker>
      </c:pivotFmt>
      <c:pivotFmt>
        <c:idx val="660"/>
        <c:spPr>
          <a:solidFill>
            <a:schemeClr val="accent1"/>
          </a:solidFill>
          <a:ln>
            <a:noFill/>
          </a:ln>
          <a:effectLst/>
        </c:spPr>
        <c:marker>
          <c:symbol val="none"/>
        </c:marker>
      </c:pivotFmt>
      <c:pivotFmt>
        <c:idx val="661"/>
        <c:spPr>
          <a:solidFill>
            <a:schemeClr val="accent1"/>
          </a:solidFill>
          <a:ln>
            <a:noFill/>
          </a:ln>
          <a:effectLst/>
        </c:spPr>
        <c:marker>
          <c:symbol val="none"/>
        </c:marker>
      </c:pivotFmt>
      <c:pivotFmt>
        <c:idx val="662"/>
        <c:spPr>
          <a:solidFill>
            <a:schemeClr val="accent1"/>
          </a:solidFill>
          <a:ln>
            <a:noFill/>
          </a:ln>
          <a:effectLst/>
        </c:spPr>
        <c:marker>
          <c:symbol val="none"/>
        </c:marker>
      </c:pivotFmt>
      <c:pivotFmt>
        <c:idx val="663"/>
        <c:spPr>
          <a:solidFill>
            <a:schemeClr val="accent1"/>
          </a:solidFill>
          <a:ln>
            <a:noFill/>
          </a:ln>
          <a:effectLst/>
        </c:spPr>
        <c:marker>
          <c:symbol val="none"/>
        </c:marker>
      </c:pivotFmt>
      <c:pivotFmt>
        <c:idx val="664"/>
        <c:spPr>
          <a:solidFill>
            <a:schemeClr val="accent1"/>
          </a:solidFill>
          <a:ln>
            <a:noFill/>
          </a:ln>
          <a:effectLst/>
        </c:spPr>
        <c:marker>
          <c:symbol val="none"/>
        </c:marker>
      </c:pivotFmt>
      <c:pivotFmt>
        <c:idx val="665"/>
        <c:spPr>
          <a:solidFill>
            <a:schemeClr val="accent1"/>
          </a:solidFill>
          <a:ln>
            <a:noFill/>
          </a:ln>
          <a:effectLst/>
        </c:spPr>
        <c:marker>
          <c:symbol val="none"/>
        </c:marker>
      </c:pivotFmt>
      <c:pivotFmt>
        <c:idx val="666"/>
        <c:spPr>
          <a:solidFill>
            <a:schemeClr val="accent1"/>
          </a:solidFill>
          <a:ln>
            <a:noFill/>
          </a:ln>
          <a:effectLst/>
        </c:spPr>
        <c:marker>
          <c:symbol val="none"/>
        </c:marker>
      </c:pivotFmt>
      <c:pivotFmt>
        <c:idx val="667"/>
        <c:spPr>
          <a:solidFill>
            <a:schemeClr val="accent1"/>
          </a:solidFill>
          <a:ln>
            <a:noFill/>
          </a:ln>
          <a:effectLst/>
        </c:spPr>
        <c:marker>
          <c:symbol val="none"/>
        </c:marker>
      </c:pivotFmt>
      <c:pivotFmt>
        <c:idx val="668"/>
        <c:spPr>
          <a:solidFill>
            <a:schemeClr val="accent1"/>
          </a:solidFill>
          <a:ln>
            <a:noFill/>
          </a:ln>
          <a:effectLst/>
        </c:spPr>
        <c:marker>
          <c:symbol val="none"/>
        </c:marker>
      </c:pivotFmt>
      <c:pivotFmt>
        <c:idx val="669"/>
        <c:spPr>
          <a:solidFill>
            <a:schemeClr val="accent1"/>
          </a:solidFill>
          <a:ln>
            <a:noFill/>
          </a:ln>
          <a:effectLst/>
        </c:spPr>
        <c:marker>
          <c:symbol val="none"/>
        </c:marker>
      </c:pivotFmt>
      <c:pivotFmt>
        <c:idx val="670"/>
        <c:spPr>
          <a:solidFill>
            <a:schemeClr val="accent1"/>
          </a:solidFill>
          <a:ln>
            <a:noFill/>
          </a:ln>
          <a:effectLst/>
        </c:spPr>
        <c:marker>
          <c:symbol val="none"/>
        </c:marker>
      </c:pivotFmt>
      <c:pivotFmt>
        <c:idx val="671"/>
        <c:spPr>
          <a:solidFill>
            <a:schemeClr val="accent1"/>
          </a:solidFill>
          <a:ln>
            <a:noFill/>
          </a:ln>
          <a:effectLst/>
        </c:spPr>
        <c:marker>
          <c:symbol val="none"/>
        </c:marker>
      </c:pivotFmt>
      <c:pivotFmt>
        <c:idx val="672"/>
        <c:spPr>
          <a:solidFill>
            <a:schemeClr val="accent1"/>
          </a:solidFill>
          <a:ln>
            <a:noFill/>
          </a:ln>
          <a:effectLst/>
        </c:spPr>
        <c:marker>
          <c:symbol val="none"/>
        </c:marker>
      </c:pivotFmt>
      <c:pivotFmt>
        <c:idx val="673"/>
        <c:spPr>
          <a:solidFill>
            <a:schemeClr val="accent1"/>
          </a:solidFill>
          <a:ln>
            <a:noFill/>
          </a:ln>
          <a:effectLst/>
        </c:spPr>
        <c:marker>
          <c:symbol val="none"/>
        </c:marker>
      </c:pivotFmt>
      <c:pivotFmt>
        <c:idx val="674"/>
        <c:spPr>
          <a:solidFill>
            <a:schemeClr val="accent1"/>
          </a:solidFill>
          <a:ln>
            <a:noFill/>
          </a:ln>
          <a:effectLst/>
        </c:spPr>
        <c:marker>
          <c:symbol val="none"/>
        </c:marker>
      </c:pivotFmt>
      <c:pivotFmt>
        <c:idx val="675"/>
        <c:spPr>
          <a:solidFill>
            <a:schemeClr val="accent1"/>
          </a:solidFill>
          <a:ln>
            <a:noFill/>
          </a:ln>
          <a:effectLst/>
        </c:spPr>
        <c:marker>
          <c:symbol val="none"/>
        </c:marker>
      </c:pivotFmt>
      <c:pivotFmt>
        <c:idx val="676"/>
        <c:spPr>
          <a:solidFill>
            <a:schemeClr val="accent1"/>
          </a:solidFill>
          <a:ln>
            <a:noFill/>
          </a:ln>
          <a:effectLst/>
        </c:spPr>
        <c:marker>
          <c:symbol val="none"/>
        </c:marker>
      </c:pivotFmt>
      <c:pivotFmt>
        <c:idx val="677"/>
        <c:spPr>
          <a:solidFill>
            <a:schemeClr val="accent1"/>
          </a:solidFill>
          <a:ln>
            <a:noFill/>
          </a:ln>
          <a:effectLst/>
        </c:spPr>
        <c:marker>
          <c:symbol val="none"/>
        </c:marker>
      </c:pivotFmt>
      <c:pivotFmt>
        <c:idx val="678"/>
        <c:spPr>
          <a:solidFill>
            <a:schemeClr val="accent1"/>
          </a:solidFill>
          <a:ln>
            <a:noFill/>
          </a:ln>
          <a:effectLst/>
        </c:spPr>
        <c:marker>
          <c:symbol val="none"/>
        </c:marker>
      </c:pivotFmt>
      <c:pivotFmt>
        <c:idx val="679"/>
        <c:spPr>
          <a:solidFill>
            <a:schemeClr val="accent1"/>
          </a:solidFill>
          <a:ln>
            <a:noFill/>
          </a:ln>
          <a:effectLst/>
        </c:spPr>
        <c:marker>
          <c:symbol val="none"/>
        </c:marker>
      </c:pivotFmt>
      <c:pivotFmt>
        <c:idx val="680"/>
        <c:spPr>
          <a:solidFill>
            <a:schemeClr val="accent1"/>
          </a:solidFill>
          <a:ln>
            <a:noFill/>
          </a:ln>
          <a:effectLst/>
        </c:spPr>
        <c:marker>
          <c:symbol val="none"/>
        </c:marker>
      </c:pivotFmt>
      <c:pivotFmt>
        <c:idx val="681"/>
        <c:spPr>
          <a:solidFill>
            <a:schemeClr val="accent1"/>
          </a:solidFill>
          <a:ln>
            <a:noFill/>
          </a:ln>
          <a:effectLst/>
        </c:spPr>
        <c:marker>
          <c:symbol val="none"/>
        </c:marker>
      </c:pivotFmt>
      <c:pivotFmt>
        <c:idx val="682"/>
        <c:spPr>
          <a:solidFill>
            <a:schemeClr val="accent1"/>
          </a:solidFill>
          <a:ln>
            <a:noFill/>
          </a:ln>
          <a:effectLst/>
        </c:spPr>
        <c:marker>
          <c:symbol val="none"/>
        </c:marker>
      </c:pivotFmt>
      <c:pivotFmt>
        <c:idx val="683"/>
        <c:spPr>
          <a:solidFill>
            <a:schemeClr val="accent1"/>
          </a:solidFill>
          <a:ln>
            <a:noFill/>
          </a:ln>
          <a:effectLst/>
        </c:spPr>
        <c:marker>
          <c:symbol val="none"/>
        </c:marker>
      </c:pivotFmt>
      <c:pivotFmt>
        <c:idx val="684"/>
        <c:spPr>
          <a:solidFill>
            <a:schemeClr val="accent1"/>
          </a:solidFill>
          <a:ln>
            <a:noFill/>
          </a:ln>
          <a:effectLst/>
        </c:spPr>
        <c:marker>
          <c:symbol val="none"/>
        </c:marker>
      </c:pivotFmt>
      <c:pivotFmt>
        <c:idx val="685"/>
        <c:spPr>
          <a:solidFill>
            <a:schemeClr val="accent1"/>
          </a:solidFill>
          <a:ln>
            <a:noFill/>
          </a:ln>
          <a:effectLst/>
        </c:spPr>
        <c:marker>
          <c:symbol val="none"/>
        </c:marker>
      </c:pivotFmt>
      <c:pivotFmt>
        <c:idx val="686"/>
        <c:spPr>
          <a:solidFill>
            <a:schemeClr val="accent1"/>
          </a:solidFill>
          <a:ln>
            <a:noFill/>
          </a:ln>
          <a:effectLst/>
        </c:spPr>
        <c:marker>
          <c:symbol val="none"/>
        </c:marker>
      </c:pivotFmt>
      <c:pivotFmt>
        <c:idx val="687"/>
        <c:spPr>
          <a:solidFill>
            <a:schemeClr val="accent1"/>
          </a:solidFill>
          <a:ln>
            <a:noFill/>
          </a:ln>
          <a:effectLst/>
        </c:spPr>
        <c:marker>
          <c:symbol val="none"/>
        </c:marker>
      </c:pivotFmt>
      <c:pivotFmt>
        <c:idx val="688"/>
        <c:spPr>
          <a:solidFill>
            <a:schemeClr val="accent1"/>
          </a:solidFill>
          <a:ln>
            <a:noFill/>
          </a:ln>
          <a:effectLst/>
        </c:spPr>
        <c:marker>
          <c:symbol val="none"/>
        </c:marker>
      </c:pivotFmt>
      <c:pivotFmt>
        <c:idx val="689"/>
        <c:spPr>
          <a:solidFill>
            <a:schemeClr val="accent1"/>
          </a:solidFill>
          <a:ln>
            <a:noFill/>
          </a:ln>
          <a:effectLst/>
        </c:spPr>
        <c:marker>
          <c:symbol val="none"/>
        </c:marker>
      </c:pivotFmt>
      <c:pivotFmt>
        <c:idx val="690"/>
        <c:spPr>
          <a:solidFill>
            <a:schemeClr val="accent1"/>
          </a:solidFill>
          <a:ln>
            <a:noFill/>
          </a:ln>
          <a:effectLst/>
        </c:spPr>
        <c:marker>
          <c:symbol val="none"/>
        </c:marker>
      </c:pivotFmt>
      <c:pivotFmt>
        <c:idx val="691"/>
        <c:spPr>
          <a:solidFill>
            <a:schemeClr val="accent1"/>
          </a:solidFill>
          <a:ln>
            <a:noFill/>
          </a:ln>
          <a:effectLst/>
        </c:spPr>
        <c:marker>
          <c:symbol val="none"/>
        </c:marker>
      </c:pivotFmt>
      <c:pivotFmt>
        <c:idx val="692"/>
        <c:spPr>
          <a:solidFill>
            <a:schemeClr val="accent1"/>
          </a:solidFill>
          <a:ln>
            <a:noFill/>
          </a:ln>
          <a:effectLst/>
        </c:spPr>
        <c:marker>
          <c:symbol val="none"/>
        </c:marker>
      </c:pivotFmt>
      <c:pivotFmt>
        <c:idx val="693"/>
        <c:spPr>
          <a:solidFill>
            <a:schemeClr val="accent1"/>
          </a:solidFill>
          <a:ln>
            <a:noFill/>
          </a:ln>
          <a:effectLst/>
        </c:spPr>
        <c:marker>
          <c:symbol val="none"/>
        </c:marker>
      </c:pivotFmt>
      <c:pivotFmt>
        <c:idx val="694"/>
        <c:spPr>
          <a:solidFill>
            <a:schemeClr val="accent1"/>
          </a:solidFill>
          <a:ln>
            <a:noFill/>
          </a:ln>
          <a:effectLst/>
        </c:spPr>
        <c:marker>
          <c:symbol val="none"/>
        </c:marker>
      </c:pivotFmt>
      <c:pivotFmt>
        <c:idx val="695"/>
        <c:spPr>
          <a:solidFill>
            <a:schemeClr val="accent1"/>
          </a:solidFill>
          <a:ln>
            <a:noFill/>
          </a:ln>
          <a:effectLst/>
        </c:spPr>
        <c:marker>
          <c:symbol val="none"/>
        </c:marker>
      </c:pivotFmt>
      <c:pivotFmt>
        <c:idx val="696"/>
        <c:spPr>
          <a:solidFill>
            <a:schemeClr val="accent1"/>
          </a:solidFill>
          <a:ln>
            <a:noFill/>
          </a:ln>
          <a:effectLst/>
        </c:spPr>
        <c:marker>
          <c:symbol val="none"/>
        </c:marker>
      </c:pivotFmt>
      <c:pivotFmt>
        <c:idx val="697"/>
        <c:spPr>
          <a:solidFill>
            <a:schemeClr val="accent1"/>
          </a:solidFill>
          <a:ln>
            <a:noFill/>
          </a:ln>
          <a:effectLst/>
        </c:spPr>
        <c:marker>
          <c:symbol val="none"/>
        </c:marker>
      </c:pivotFmt>
      <c:pivotFmt>
        <c:idx val="698"/>
        <c:spPr>
          <a:solidFill>
            <a:schemeClr val="accent1"/>
          </a:solidFill>
          <a:ln>
            <a:noFill/>
          </a:ln>
          <a:effectLst/>
        </c:spPr>
        <c:marker>
          <c:symbol val="none"/>
        </c:marker>
      </c:pivotFmt>
      <c:pivotFmt>
        <c:idx val="699"/>
        <c:spPr>
          <a:solidFill>
            <a:schemeClr val="accent1"/>
          </a:solidFill>
          <a:ln>
            <a:noFill/>
          </a:ln>
          <a:effectLst/>
        </c:spPr>
        <c:marker>
          <c:symbol val="none"/>
        </c:marker>
      </c:pivotFmt>
      <c:pivotFmt>
        <c:idx val="700"/>
        <c:spPr>
          <a:solidFill>
            <a:schemeClr val="accent1"/>
          </a:solidFill>
          <a:ln>
            <a:noFill/>
          </a:ln>
          <a:effectLst/>
        </c:spPr>
        <c:marker>
          <c:symbol val="none"/>
        </c:marker>
      </c:pivotFmt>
      <c:pivotFmt>
        <c:idx val="701"/>
        <c:spPr>
          <a:solidFill>
            <a:schemeClr val="accent1"/>
          </a:solidFill>
          <a:ln>
            <a:noFill/>
          </a:ln>
          <a:effectLst/>
        </c:spPr>
        <c:marker>
          <c:symbol val="none"/>
        </c:marker>
      </c:pivotFmt>
      <c:pivotFmt>
        <c:idx val="702"/>
        <c:spPr>
          <a:solidFill>
            <a:schemeClr val="accent1"/>
          </a:solidFill>
          <a:ln>
            <a:noFill/>
          </a:ln>
          <a:effectLst/>
        </c:spPr>
        <c:marker>
          <c:symbol val="none"/>
        </c:marker>
      </c:pivotFmt>
      <c:pivotFmt>
        <c:idx val="703"/>
        <c:spPr>
          <a:solidFill>
            <a:schemeClr val="accent1"/>
          </a:solidFill>
          <a:ln>
            <a:noFill/>
          </a:ln>
          <a:effectLst/>
        </c:spPr>
        <c:marker>
          <c:symbol val="none"/>
        </c:marker>
      </c:pivotFmt>
      <c:pivotFmt>
        <c:idx val="704"/>
        <c:spPr>
          <a:solidFill>
            <a:schemeClr val="accent1"/>
          </a:solidFill>
          <a:ln>
            <a:noFill/>
          </a:ln>
          <a:effectLst/>
        </c:spPr>
        <c:marker>
          <c:symbol val="none"/>
        </c:marker>
      </c:pivotFmt>
      <c:pivotFmt>
        <c:idx val="705"/>
        <c:spPr>
          <a:solidFill>
            <a:schemeClr val="accent1"/>
          </a:solidFill>
          <a:ln>
            <a:noFill/>
          </a:ln>
          <a:effectLst/>
        </c:spPr>
        <c:marker>
          <c:symbol val="none"/>
        </c:marker>
      </c:pivotFmt>
      <c:pivotFmt>
        <c:idx val="706"/>
        <c:spPr>
          <a:solidFill>
            <a:schemeClr val="accent1"/>
          </a:solidFill>
          <a:ln>
            <a:noFill/>
          </a:ln>
          <a:effectLst/>
        </c:spPr>
        <c:marker>
          <c:symbol val="none"/>
        </c:marker>
      </c:pivotFmt>
      <c:pivotFmt>
        <c:idx val="707"/>
        <c:spPr>
          <a:solidFill>
            <a:schemeClr val="accent1"/>
          </a:solidFill>
          <a:ln>
            <a:noFill/>
          </a:ln>
          <a:effectLst/>
        </c:spPr>
        <c:marker>
          <c:symbol val="none"/>
        </c:marker>
      </c:pivotFmt>
      <c:pivotFmt>
        <c:idx val="708"/>
        <c:spPr>
          <a:solidFill>
            <a:schemeClr val="accent1"/>
          </a:solidFill>
          <a:ln>
            <a:noFill/>
          </a:ln>
          <a:effectLst/>
        </c:spPr>
        <c:marker>
          <c:symbol val="none"/>
        </c:marker>
      </c:pivotFmt>
      <c:pivotFmt>
        <c:idx val="709"/>
        <c:spPr>
          <a:solidFill>
            <a:schemeClr val="accent1"/>
          </a:solidFill>
          <a:ln>
            <a:noFill/>
          </a:ln>
          <a:effectLst/>
        </c:spPr>
        <c:marker>
          <c:symbol val="none"/>
        </c:marker>
      </c:pivotFmt>
      <c:pivotFmt>
        <c:idx val="710"/>
        <c:spPr>
          <a:solidFill>
            <a:schemeClr val="accent1"/>
          </a:solidFill>
          <a:ln>
            <a:noFill/>
          </a:ln>
          <a:effectLst/>
        </c:spPr>
        <c:marker>
          <c:symbol val="none"/>
        </c:marker>
      </c:pivotFmt>
      <c:pivotFmt>
        <c:idx val="711"/>
        <c:spPr>
          <a:solidFill>
            <a:schemeClr val="accent1"/>
          </a:solidFill>
          <a:ln w="25400">
            <a:noFill/>
          </a:ln>
          <a:effectLst/>
        </c:spPr>
        <c:marker>
          <c:symbol val="none"/>
        </c:marker>
      </c:pivotFmt>
      <c:pivotFmt>
        <c:idx val="712"/>
        <c:spPr>
          <a:solidFill>
            <a:schemeClr val="accent1"/>
          </a:solidFill>
          <a:ln w="25400">
            <a:noFill/>
          </a:ln>
          <a:effectLst/>
        </c:spPr>
        <c:marker>
          <c:symbol val="none"/>
        </c:marker>
      </c:pivotFmt>
      <c:pivotFmt>
        <c:idx val="713"/>
        <c:spPr>
          <a:solidFill>
            <a:schemeClr val="accent1"/>
          </a:solidFill>
          <a:ln w="25400">
            <a:noFill/>
          </a:ln>
          <a:effectLst/>
        </c:spPr>
        <c:marker>
          <c:symbol val="none"/>
        </c:marker>
      </c:pivotFmt>
      <c:pivotFmt>
        <c:idx val="714"/>
        <c:spPr>
          <a:solidFill>
            <a:schemeClr val="accent1"/>
          </a:solidFill>
          <a:ln w="25400">
            <a:noFill/>
          </a:ln>
          <a:effectLst/>
        </c:spPr>
        <c:marker>
          <c:symbol val="none"/>
        </c:marker>
      </c:pivotFmt>
      <c:pivotFmt>
        <c:idx val="715"/>
        <c:spPr>
          <a:solidFill>
            <a:schemeClr val="accent1"/>
          </a:solidFill>
          <a:ln w="25400">
            <a:noFill/>
          </a:ln>
          <a:effectLst/>
        </c:spPr>
        <c:marker>
          <c:symbol val="none"/>
        </c:marker>
      </c:pivotFmt>
      <c:pivotFmt>
        <c:idx val="716"/>
        <c:spPr>
          <a:solidFill>
            <a:schemeClr val="accent1"/>
          </a:solidFill>
          <a:ln w="25400">
            <a:noFill/>
          </a:ln>
          <a:effectLst/>
        </c:spPr>
        <c:marker>
          <c:symbol val="none"/>
        </c:marker>
      </c:pivotFmt>
      <c:pivotFmt>
        <c:idx val="717"/>
        <c:spPr>
          <a:solidFill>
            <a:schemeClr val="accent1"/>
          </a:solidFill>
          <a:ln>
            <a:noFill/>
          </a:ln>
          <a:effectLst/>
        </c:spPr>
        <c:marker>
          <c:symbol val="none"/>
        </c:marker>
      </c:pivotFmt>
      <c:pivotFmt>
        <c:idx val="718"/>
        <c:spPr>
          <a:solidFill>
            <a:schemeClr val="accent1"/>
          </a:solidFill>
          <a:ln>
            <a:noFill/>
          </a:ln>
          <a:effectLst/>
        </c:spPr>
        <c:marker>
          <c:symbol val="none"/>
        </c:marker>
      </c:pivotFmt>
      <c:pivotFmt>
        <c:idx val="719"/>
        <c:spPr>
          <a:solidFill>
            <a:schemeClr val="accent1"/>
          </a:solidFill>
          <a:ln w="25400">
            <a:noFill/>
          </a:ln>
          <a:effectLst/>
        </c:spPr>
        <c:marker>
          <c:symbol val="none"/>
        </c:marker>
      </c:pivotFmt>
      <c:pivotFmt>
        <c:idx val="720"/>
        <c:spPr>
          <a:solidFill>
            <a:schemeClr val="accent1"/>
          </a:solidFill>
          <a:ln w="25400">
            <a:noFill/>
          </a:ln>
          <a:effectLst/>
        </c:spPr>
        <c:marker>
          <c:symbol val="none"/>
        </c:marker>
      </c:pivotFmt>
      <c:pivotFmt>
        <c:idx val="721"/>
        <c:spPr>
          <a:solidFill>
            <a:schemeClr val="accent1"/>
          </a:solidFill>
          <a:ln w="25400">
            <a:noFill/>
          </a:ln>
          <a:effectLst/>
        </c:spPr>
        <c:marker>
          <c:symbol val="none"/>
        </c:marker>
      </c:pivotFmt>
      <c:pivotFmt>
        <c:idx val="722"/>
        <c:spPr>
          <a:solidFill>
            <a:schemeClr val="accent1"/>
          </a:solidFill>
          <a:ln w="25400">
            <a:noFill/>
          </a:ln>
          <a:effectLst/>
        </c:spPr>
        <c:marker>
          <c:symbol val="none"/>
        </c:marker>
      </c:pivotFmt>
      <c:pivotFmt>
        <c:idx val="723"/>
        <c:spPr>
          <a:solidFill>
            <a:schemeClr val="accent1"/>
          </a:solidFill>
          <a:ln w="25400">
            <a:noFill/>
          </a:ln>
          <a:effectLst/>
        </c:spPr>
        <c:marker>
          <c:symbol val="none"/>
        </c:marker>
      </c:pivotFmt>
      <c:pivotFmt>
        <c:idx val="724"/>
        <c:spPr>
          <a:solidFill>
            <a:schemeClr val="accent1"/>
          </a:solidFill>
          <a:ln w="25400">
            <a:noFill/>
          </a:ln>
          <a:effectLst/>
        </c:spPr>
        <c:marker>
          <c:symbol val="none"/>
        </c:marker>
      </c:pivotFmt>
      <c:pivotFmt>
        <c:idx val="725"/>
        <c:spPr>
          <a:solidFill>
            <a:schemeClr val="accent1"/>
          </a:solidFill>
          <a:ln w="25400">
            <a:noFill/>
          </a:ln>
          <a:effectLst/>
        </c:spPr>
        <c:marker>
          <c:symbol val="none"/>
        </c:marker>
      </c:pivotFmt>
      <c:pivotFmt>
        <c:idx val="726"/>
        <c:spPr>
          <a:solidFill>
            <a:schemeClr val="accent1"/>
          </a:solidFill>
          <a:ln w="25400">
            <a:noFill/>
          </a:ln>
          <a:effectLst/>
        </c:spPr>
        <c:marker>
          <c:symbol val="none"/>
        </c:marker>
      </c:pivotFmt>
      <c:pivotFmt>
        <c:idx val="727"/>
        <c:spPr>
          <a:solidFill>
            <a:schemeClr val="accent1"/>
          </a:solidFill>
          <a:ln w="25400">
            <a:noFill/>
          </a:ln>
          <a:effectLst/>
        </c:spPr>
        <c:marker>
          <c:symbol val="none"/>
        </c:marker>
      </c:pivotFmt>
      <c:pivotFmt>
        <c:idx val="728"/>
        <c:spPr>
          <a:solidFill>
            <a:schemeClr val="accent1"/>
          </a:solidFill>
          <a:ln w="25400">
            <a:noFill/>
          </a:ln>
          <a:effectLst/>
        </c:spPr>
        <c:marker>
          <c:symbol val="none"/>
        </c:marker>
      </c:pivotFmt>
      <c:pivotFmt>
        <c:idx val="729"/>
        <c:spPr>
          <a:solidFill>
            <a:schemeClr val="accent1"/>
          </a:solidFill>
          <a:ln w="25400">
            <a:noFill/>
          </a:ln>
          <a:effectLst/>
        </c:spPr>
        <c:marker>
          <c:symbol val="none"/>
        </c:marker>
      </c:pivotFmt>
      <c:pivotFmt>
        <c:idx val="730"/>
        <c:spPr>
          <a:solidFill>
            <a:schemeClr val="accent1"/>
          </a:solidFill>
          <a:ln w="25400">
            <a:noFill/>
          </a:ln>
          <a:effectLst/>
        </c:spPr>
        <c:marker>
          <c:symbol val="none"/>
        </c:marker>
      </c:pivotFmt>
      <c:pivotFmt>
        <c:idx val="731"/>
        <c:spPr>
          <a:solidFill>
            <a:schemeClr val="accent1"/>
          </a:solidFill>
          <a:ln w="25400">
            <a:noFill/>
          </a:ln>
          <a:effectLst/>
        </c:spPr>
        <c:marker>
          <c:symbol val="none"/>
        </c:marker>
      </c:pivotFmt>
      <c:pivotFmt>
        <c:idx val="732"/>
        <c:spPr>
          <a:solidFill>
            <a:schemeClr val="accent1"/>
          </a:solidFill>
          <a:ln w="25400">
            <a:noFill/>
          </a:ln>
          <a:effectLst/>
        </c:spPr>
        <c:marker>
          <c:symbol val="none"/>
        </c:marker>
      </c:pivotFmt>
      <c:pivotFmt>
        <c:idx val="733"/>
        <c:spPr>
          <a:solidFill>
            <a:schemeClr val="accent1"/>
          </a:solidFill>
          <a:ln w="25400">
            <a:noFill/>
          </a:ln>
          <a:effectLst/>
        </c:spPr>
        <c:marker>
          <c:symbol val="none"/>
        </c:marker>
      </c:pivotFmt>
      <c:pivotFmt>
        <c:idx val="734"/>
        <c:spPr>
          <a:solidFill>
            <a:schemeClr val="accent1"/>
          </a:solidFill>
          <a:ln w="25400">
            <a:noFill/>
          </a:ln>
          <a:effectLst/>
        </c:spPr>
        <c:marker>
          <c:symbol val="none"/>
        </c:marker>
      </c:pivotFmt>
      <c:pivotFmt>
        <c:idx val="735"/>
        <c:spPr>
          <a:solidFill>
            <a:schemeClr val="accent1"/>
          </a:solidFill>
          <a:ln w="25400">
            <a:noFill/>
          </a:ln>
          <a:effectLst/>
        </c:spPr>
        <c:marker>
          <c:symbol val="none"/>
        </c:marker>
      </c:pivotFmt>
      <c:pivotFmt>
        <c:idx val="736"/>
        <c:spPr>
          <a:solidFill>
            <a:schemeClr val="accent1"/>
          </a:solidFill>
          <a:ln w="25400">
            <a:noFill/>
          </a:ln>
          <a:effectLst/>
        </c:spPr>
        <c:marker>
          <c:symbol val="none"/>
        </c:marker>
      </c:pivotFmt>
      <c:pivotFmt>
        <c:idx val="737"/>
        <c:spPr>
          <a:solidFill>
            <a:schemeClr val="accent1"/>
          </a:solidFill>
          <a:ln w="25400">
            <a:noFill/>
          </a:ln>
          <a:effectLst/>
        </c:spPr>
        <c:marker>
          <c:symbol val="none"/>
        </c:marker>
      </c:pivotFmt>
      <c:pivotFmt>
        <c:idx val="738"/>
        <c:spPr>
          <a:solidFill>
            <a:schemeClr val="accent1"/>
          </a:solidFill>
          <a:ln w="25400">
            <a:noFill/>
          </a:ln>
          <a:effectLst/>
        </c:spPr>
        <c:marker>
          <c:symbol val="none"/>
        </c:marker>
      </c:pivotFmt>
      <c:pivotFmt>
        <c:idx val="739"/>
        <c:spPr>
          <a:solidFill>
            <a:schemeClr val="accent1"/>
          </a:solidFill>
          <a:ln w="25400">
            <a:noFill/>
          </a:ln>
          <a:effectLst/>
        </c:spPr>
        <c:marker>
          <c:symbol val="none"/>
        </c:marker>
      </c:pivotFmt>
      <c:pivotFmt>
        <c:idx val="740"/>
        <c:spPr>
          <a:solidFill>
            <a:schemeClr val="accent1"/>
          </a:solidFill>
          <a:ln w="25400">
            <a:noFill/>
          </a:ln>
          <a:effectLst/>
        </c:spPr>
        <c:marker>
          <c:symbol val="none"/>
        </c:marker>
      </c:pivotFmt>
      <c:pivotFmt>
        <c:idx val="741"/>
        <c:spPr>
          <a:solidFill>
            <a:schemeClr val="accent1"/>
          </a:solidFill>
          <a:ln w="25400">
            <a:noFill/>
          </a:ln>
          <a:effectLst/>
        </c:spPr>
        <c:marker>
          <c:symbol val="none"/>
        </c:marker>
      </c:pivotFmt>
      <c:pivotFmt>
        <c:idx val="742"/>
        <c:spPr>
          <a:solidFill>
            <a:schemeClr val="accent1"/>
          </a:solidFill>
          <a:ln w="25400">
            <a:noFill/>
          </a:ln>
          <a:effectLst/>
        </c:spPr>
        <c:marker>
          <c:symbol val="none"/>
        </c:marker>
      </c:pivotFmt>
      <c:pivotFmt>
        <c:idx val="743"/>
        <c:spPr>
          <a:solidFill>
            <a:schemeClr val="accent1"/>
          </a:solidFill>
          <a:ln w="25400">
            <a:noFill/>
          </a:ln>
          <a:effectLst/>
        </c:spPr>
        <c:marker>
          <c:symbol val="none"/>
        </c:marker>
      </c:pivotFmt>
      <c:pivotFmt>
        <c:idx val="744"/>
        <c:spPr>
          <a:solidFill>
            <a:schemeClr val="accent1"/>
          </a:solidFill>
          <a:ln w="25400">
            <a:noFill/>
          </a:ln>
          <a:effectLst/>
        </c:spPr>
        <c:marker>
          <c:symbol val="none"/>
        </c:marker>
      </c:pivotFmt>
      <c:pivotFmt>
        <c:idx val="745"/>
        <c:spPr>
          <a:solidFill>
            <a:schemeClr val="accent1"/>
          </a:solidFill>
          <a:ln w="25400">
            <a:noFill/>
          </a:ln>
          <a:effectLst/>
        </c:spPr>
        <c:marker>
          <c:symbol val="none"/>
        </c:marker>
      </c:pivotFmt>
      <c:pivotFmt>
        <c:idx val="746"/>
        <c:spPr>
          <a:solidFill>
            <a:schemeClr val="accent1"/>
          </a:solidFill>
          <a:ln w="25400">
            <a:noFill/>
          </a:ln>
          <a:effectLst/>
        </c:spPr>
        <c:marker>
          <c:symbol val="none"/>
        </c:marker>
      </c:pivotFmt>
      <c:pivotFmt>
        <c:idx val="747"/>
        <c:spPr>
          <a:solidFill>
            <a:schemeClr val="accent1"/>
          </a:solidFill>
          <a:ln w="25400">
            <a:noFill/>
          </a:ln>
          <a:effectLst/>
        </c:spPr>
        <c:marker>
          <c:symbol val="none"/>
        </c:marker>
      </c:pivotFmt>
      <c:pivotFmt>
        <c:idx val="748"/>
        <c:spPr>
          <a:solidFill>
            <a:schemeClr val="accent1"/>
          </a:solidFill>
          <a:ln w="25400">
            <a:noFill/>
          </a:ln>
          <a:effectLst/>
        </c:spPr>
        <c:marker>
          <c:symbol val="none"/>
        </c:marker>
      </c:pivotFmt>
      <c:pivotFmt>
        <c:idx val="749"/>
        <c:spPr>
          <a:solidFill>
            <a:schemeClr val="accent1"/>
          </a:solidFill>
          <a:ln w="25400">
            <a:noFill/>
          </a:ln>
          <a:effectLst/>
        </c:spPr>
        <c:marker>
          <c:symbol val="none"/>
        </c:marker>
      </c:pivotFmt>
      <c:pivotFmt>
        <c:idx val="750"/>
        <c:spPr>
          <a:solidFill>
            <a:schemeClr val="accent1"/>
          </a:solidFill>
          <a:ln w="25400">
            <a:noFill/>
          </a:ln>
          <a:effectLst/>
        </c:spPr>
        <c:marker>
          <c:symbol val="none"/>
        </c:marker>
      </c:pivotFmt>
      <c:pivotFmt>
        <c:idx val="751"/>
        <c:spPr>
          <a:solidFill>
            <a:schemeClr val="accent1"/>
          </a:solidFill>
          <a:ln w="25400">
            <a:noFill/>
          </a:ln>
          <a:effectLst/>
        </c:spPr>
        <c:marker>
          <c:symbol val="none"/>
        </c:marker>
      </c:pivotFmt>
      <c:pivotFmt>
        <c:idx val="752"/>
        <c:spPr>
          <a:solidFill>
            <a:schemeClr val="accent1"/>
          </a:solidFill>
          <a:ln w="25400">
            <a:noFill/>
          </a:ln>
          <a:effectLst/>
        </c:spPr>
        <c:marker>
          <c:symbol val="none"/>
        </c:marker>
      </c:pivotFmt>
      <c:pivotFmt>
        <c:idx val="753"/>
        <c:spPr>
          <a:solidFill>
            <a:schemeClr val="accent1"/>
          </a:solidFill>
          <a:ln w="25400">
            <a:noFill/>
          </a:ln>
          <a:effectLst/>
        </c:spPr>
        <c:marker>
          <c:symbol val="none"/>
        </c:marker>
      </c:pivotFmt>
      <c:pivotFmt>
        <c:idx val="754"/>
        <c:spPr>
          <a:solidFill>
            <a:schemeClr val="accent1"/>
          </a:solidFill>
          <a:ln w="25400">
            <a:noFill/>
          </a:ln>
          <a:effectLst/>
        </c:spPr>
        <c:marker>
          <c:symbol val="none"/>
        </c:marker>
      </c:pivotFmt>
      <c:pivotFmt>
        <c:idx val="755"/>
        <c:spPr>
          <a:solidFill>
            <a:schemeClr val="accent1"/>
          </a:solidFill>
          <a:ln w="25400">
            <a:noFill/>
          </a:ln>
          <a:effectLst/>
        </c:spPr>
        <c:marker>
          <c:symbol val="none"/>
        </c:marker>
      </c:pivotFmt>
      <c:pivotFmt>
        <c:idx val="756"/>
        <c:spPr>
          <a:solidFill>
            <a:schemeClr val="accent1"/>
          </a:solidFill>
          <a:ln w="25400">
            <a:noFill/>
          </a:ln>
          <a:effectLst/>
        </c:spPr>
        <c:marker>
          <c:symbol val="none"/>
        </c:marker>
      </c:pivotFmt>
      <c:pivotFmt>
        <c:idx val="757"/>
        <c:spPr>
          <a:solidFill>
            <a:schemeClr val="accent1"/>
          </a:solidFill>
          <a:ln w="25400">
            <a:noFill/>
          </a:ln>
          <a:effectLst/>
        </c:spPr>
        <c:marker>
          <c:symbol val="none"/>
        </c:marker>
      </c:pivotFmt>
      <c:pivotFmt>
        <c:idx val="758"/>
        <c:spPr>
          <a:solidFill>
            <a:schemeClr val="accent1"/>
          </a:solidFill>
          <a:ln w="25400">
            <a:noFill/>
          </a:ln>
          <a:effectLst/>
        </c:spPr>
        <c:marker>
          <c:symbol val="none"/>
        </c:marker>
      </c:pivotFmt>
      <c:pivotFmt>
        <c:idx val="759"/>
        <c:spPr>
          <a:solidFill>
            <a:schemeClr val="accent1"/>
          </a:solidFill>
          <a:ln w="25400">
            <a:noFill/>
          </a:ln>
          <a:effectLst/>
        </c:spPr>
        <c:marker>
          <c:symbol val="none"/>
        </c:marker>
      </c:pivotFmt>
      <c:pivotFmt>
        <c:idx val="760"/>
        <c:spPr>
          <a:solidFill>
            <a:schemeClr val="accent1"/>
          </a:solidFill>
          <a:ln w="25400">
            <a:noFill/>
          </a:ln>
          <a:effectLst/>
        </c:spPr>
        <c:marker>
          <c:symbol val="none"/>
        </c:marker>
      </c:pivotFmt>
      <c:pivotFmt>
        <c:idx val="761"/>
        <c:spPr>
          <a:solidFill>
            <a:schemeClr val="accent1"/>
          </a:solidFill>
          <a:ln w="25400">
            <a:noFill/>
          </a:ln>
          <a:effectLst/>
        </c:spPr>
        <c:marker>
          <c:symbol val="none"/>
        </c:marker>
      </c:pivotFmt>
      <c:pivotFmt>
        <c:idx val="762"/>
        <c:spPr>
          <a:solidFill>
            <a:schemeClr val="accent1"/>
          </a:solidFill>
          <a:ln w="25400">
            <a:noFill/>
          </a:ln>
          <a:effectLst/>
        </c:spPr>
        <c:marker>
          <c:symbol val="none"/>
        </c:marker>
      </c:pivotFmt>
      <c:pivotFmt>
        <c:idx val="763"/>
        <c:spPr>
          <a:solidFill>
            <a:schemeClr val="accent1"/>
          </a:solidFill>
          <a:ln w="25400">
            <a:noFill/>
          </a:ln>
          <a:effectLst/>
        </c:spPr>
        <c:marker>
          <c:symbol val="none"/>
        </c:marker>
      </c:pivotFmt>
      <c:pivotFmt>
        <c:idx val="764"/>
        <c:spPr>
          <a:solidFill>
            <a:schemeClr val="accent1"/>
          </a:solidFill>
          <a:ln w="25400">
            <a:noFill/>
          </a:ln>
          <a:effectLst/>
        </c:spPr>
        <c:marker>
          <c:symbol val="none"/>
        </c:marker>
      </c:pivotFmt>
      <c:pivotFmt>
        <c:idx val="765"/>
        <c:spPr>
          <a:solidFill>
            <a:schemeClr val="accent1"/>
          </a:solidFill>
          <a:ln w="25400">
            <a:noFill/>
          </a:ln>
          <a:effectLst/>
        </c:spPr>
        <c:marker>
          <c:symbol val="none"/>
        </c:marker>
      </c:pivotFmt>
      <c:pivotFmt>
        <c:idx val="766"/>
        <c:spPr>
          <a:solidFill>
            <a:schemeClr val="accent1"/>
          </a:solidFill>
          <a:ln w="25400">
            <a:noFill/>
          </a:ln>
          <a:effectLst/>
        </c:spPr>
        <c:marker>
          <c:symbol val="none"/>
        </c:marker>
      </c:pivotFmt>
      <c:pivotFmt>
        <c:idx val="767"/>
        <c:spPr>
          <a:solidFill>
            <a:schemeClr val="accent1"/>
          </a:solidFill>
          <a:ln w="25400">
            <a:noFill/>
          </a:ln>
          <a:effectLst/>
        </c:spPr>
        <c:marker>
          <c:symbol val="none"/>
        </c:marker>
      </c:pivotFmt>
      <c:pivotFmt>
        <c:idx val="768"/>
        <c:spPr>
          <a:solidFill>
            <a:schemeClr val="accent1"/>
          </a:solidFill>
          <a:ln w="25400">
            <a:noFill/>
          </a:ln>
          <a:effectLst/>
        </c:spPr>
        <c:marker>
          <c:symbol val="none"/>
        </c:marker>
      </c:pivotFmt>
      <c:pivotFmt>
        <c:idx val="769"/>
        <c:spPr>
          <a:solidFill>
            <a:schemeClr val="accent1"/>
          </a:solidFill>
          <a:ln w="25400">
            <a:noFill/>
          </a:ln>
          <a:effectLst/>
        </c:spPr>
        <c:marker>
          <c:symbol val="none"/>
        </c:marker>
      </c:pivotFmt>
      <c:pivotFmt>
        <c:idx val="770"/>
        <c:spPr>
          <a:solidFill>
            <a:schemeClr val="accent1"/>
          </a:solidFill>
          <a:ln w="25400">
            <a:noFill/>
          </a:ln>
          <a:effectLst/>
        </c:spPr>
        <c:marker>
          <c:symbol val="none"/>
        </c:marker>
      </c:pivotFmt>
      <c:pivotFmt>
        <c:idx val="771"/>
        <c:spPr>
          <a:solidFill>
            <a:schemeClr val="accent1"/>
          </a:solidFill>
          <a:ln w="25400">
            <a:noFill/>
          </a:ln>
          <a:effectLst/>
        </c:spPr>
        <c:marker>
          <c:symbol val="none"/>
        </c:marker>
      </c:pivotFmt>
      <c:pivotFmt>
        <c:idx val="772"/>
        <c:spPr>
          <a:solidFill>
            <a:schemeClr val="accent1"/>
          </a:solidFill>
          <a:ln w="25400">
            <a:noFill/>
          </a:ln>
          <a:effectLst/>
        </c:spPr>
        <c:marker>
          <c:symbol val="none"/>
        </c:marker>
      </c:pivotFmt>
      <c:pivotFmt>
        <c:idx val="773"/>
        <c:spPr>
          <a:solidFill>
            <a:schemeClr val="accent1"/>
          </a:solidFill>
          <a:ln w="25400">
            <a:noFill/>
          </a:ln>
          <a:effectLst/>
        </c:spPr>
        <c:marker>
          <c:symbol val="none"/>
        </c:marker>
      </c:pivotFmt>
      <c:pivotFmt>
        <c:idx val="774"/>
        <c:spPr>
          <a:solidFill>
            <a:schemeClr val="accent1"/>
          </a:solidFill>
          <a:ln w="25400">
            <a:noFill/>
          </a:ln>
          <a:effectLst/>
        </c:spPr>
        <c:marker>
          <c:symbol val="none"/>
        </c:marker>
      </c:pivotFmt>
      <c:pivotFmt>
        <c:idx val="775"/>
        <c:spPr>
          <a:solidFill>
            <a:schemeClr val="accent1"/>
          </a:solidFill>
          <a:ln w="25400">
            <a:noFill/>
          </a:ln>
          <a:effectLst/>
        </c:spPr>
        <c:marker>
          <c:symbol val="none"/>
        </c:marker>
      </c:pivotFmt>
      <c:pivotFmt>
        <c:idx val="776"/>
        <c:spPr>
          <a:solidFill>
            <a:schemeClr val="accent1"/>
          </a:solidFill>
          <a:ln w="25400">
            <a:noFill/>
          </a:ln>
          <a:effectLst/>
        </c:spPr>
        <c:marker>
          <c:symbol val="none"/>
        </c:marker>
      </c:pivotFmt>
      <c:pivotFmt>
        <c:idx val="777"/>
        <c:spPr>
          <a:solidFill>
            <a:schemeClr val="accent1"/>
          </a:solidFill>
          <a:ln w="25400">
            <a:noFill/>
          </a:ln>
          <a:effectLst/>
        </c:spPr>
        <c:marker>
          <c:symbol val="none"/>
        </c:marker>
      </c:pivotFmt>
      <c:pivotFmt>
        <c:idx val="778"/>
        <c:spPr>
          <a:solidFill>
            <a:schemeClr val="accent1"/>
          </a:solidFill>
          <a:ln w="25400">
            <a:noFill/>
          </a:ln>
          <a:effectLst/>
        </c:spPr>
        <c:marker>
          <c:symbol val="none"/>
        </c:marker>
      </c:pivotFmt>
      <c:pivotFmt>
        <c:idx val="779"/>
        <c:spPr>
          <a:solidFill>
            <a:schemeClr val="accent1"/>
          </a:solidFill>
          <a:ln w="25400">
            <a:noFill/>
          </a:ln>
          <a:effectLst/>
        </c:spPr>
        <c:marker>
          <c:symbol val="none"/>
        </c:marker>
      </c:pivotFmt>
      <c:pivotFmt>
        <c:idx val="780"/>
        <c:spPr>
          <a:solidFill>
            <a:schemeClr val="accent1"/>
          </a:solidFill>
          <a:ln w="25400">
            <a:noFill/>
          </a:ln>
          <a:effectLst/>
        </c:spPr>
        <c:marker>
          <c:symbol val="none"/>
        </c:marker>
      </c:pivotFmt>
      <c:pivotFmt>
        <c:idx val="781"/>
        <c:spPr>
          <a:solidFill>
            <a:schemeClr val="accent1"/>
          </a:solidFill>
          <a:ln w="25400">
            <a:noFill/>
          </a:ln>
          <a:effectLst/>
        </c:spPr>
        <c:marker>
          <c:symbol val="none"/>
        </c:marker>
      </c:pivotFmt>
      <c:pivotFmt>
        <c:idx val="782"/>
        <c:spPr>
          <a:solidFill>
            <a:schemeClr val="accent1"/>
          </a:solidFill>
          <a:ln w="25400">
            <a:noFill/>
          </a:ln>
          <a:effectLst/>
        </c:spPr>
        <c:marker>
          <c:symbol val="none"/>
        </c:marker>
      </c:pivotFmt>
      <c:pivotFmt>
        <c:idx val="783"/>
        <c:spPr>
          <a:solidFill>
            <a:schemeClr val="accent1"/>
          </a:solidFill>
          <a:ln w="25400">
            <a:noFill/>
          </a:ln>
          <a:effectLst/>
        </c:spPr>
        <c:marker>
          <c:symbol val="none"/>
        </c:marker>
      </c:pivotFmt>
      <c:pivotFmt>
        <c:idx val="784"/>
        <c:spPr>
          <a:solidFill>
            <a:schemeClr val="accent1"/>
          </a:solidFill>
          <a:ln w="25400">
            <a:noFill/>
          </a:ln>
          <a:effectLst/>
        </c:spPr>
        <c:marker>
          <c:symbol val="none"/>
        </c:marker>
      </c:pivotFmt>
      <c:pivotFmt>
        <c:idx val="785"/>
        <c:spPr>
          <a:solidFill>
            <a:schemeClr val="accent1"/>
          </a:solidFill>
          <a:ln w="25400">
            <a:noFill/>
          </a:ln>
          <a:effectLst/>
        </c:spPr>
        <c:marker>
          <c:symbol val="none"/>
        </c:marker>
      </c:pivotFmt>
      <c:pivotFmt>
        <c:idx val="786"/>
        <c:spPr>
          <a:solidFill>
            <a:schemeClr val="accent1"/>
          </a:solidFill>
          <a:ln w="25400">
            <a:noFill/>
          </a:ln>
          <a:effectLst/>
        </c:spPr>
        <c:marker>
          <c:symbol val="none"/>
        </c:marker>
      </c:pivotFmt>
      <c:pivotFmt>
        <c:idx val="787"/>
        <c:spPr>
          <a:solidFill>
            <a:schemeClr val="accent1"/>
          </a:solidFill>
          <a:ln w="25400">
            <a:noFill/>
          </a:ln>
          <a:effectLst/>
        </c:spPr>
        <c:marker>
          <c:symbol val="none"/>
        </c:marker>
      </c:pivotFmt>
      <c:pivotFmt>
        <c:idx val="788"/>
        <c:spPr>
          <a:solidFill>
            <a:schemeClr val="accent1"/>
          </a:solidFill>
          <a:ln w="25400">
            <a:noFill/>
          </a:ln>
          <a:effectLst/>
        </c:spPr>
        <c:marker>
          <c:symbol val="none"/>
        </c:marker>
      </c:pivotFmt>
      <c:pivotFmt>
        <c:idx val="789"/>
        <c:spPr>
          <a:solidFill>
            <a:schemeClr val="accent1"/>
          </a:solidFill>
          <a:ln w="25400">
            <a:noFill/>
          </a:ln>
          <a:effectLst/>
        </c:spPr>
        <c:marker>
          <c:symbol val="none"/>
        </c:marker>
      </c:pivotFmt>
      <c:pivotFmt>
        <c:idx val="790"/>
        <c:spPr>
          <a:solidFill>
            <a:schemeClr val="accent1"/>
          </a:solidFill>
          <a:ln w="25400">
            <a:noFill/>
          </a:ln>
          <a:effectLst/>
        </c:spPr>
        <c:marker>
          <c:symbol val="none"/>
        </c:marker>
      </c:pivotFmt>
      <c:pivotFmt>
        <c:idx val="791"/>
        <c:spPr>
          <a:solidFill>
            <a:schemeClr val="accent1"/>
          </a:solidFill>
          <a:ln w="25400">
            <a:noFill/>
          </a:ln>
          <a:effectLst/>
        </c:spPr>
        <c:marker>
          <c:symbol val="none"/>
        </c:marker>
      </c:pivotFmt>
      <c:pivotFmt>
        <c:idx val="792"/>
        <c:spPr>
          <a:solidFill>
            <a:schemeClr val="accent1"/>
          </a:solidFill>
          <a:ln w="25400">
            <a:noFill/>
          </a:ln>
          <a:effectLst/>
        </c:spPr>
        <c:marker>
          <c:symbol val="none"/>
        </c:marker>
      </c:pivotFmt>
      <c:pivotFmt>
        <c:idx val="793"/>
        <c:spPr>
          <a:solidFill>
            <a:schemeClr val="accent1"/>
          </a:solidFill>
          <a:ln w="25400">
            <a:noFill/>
          </a:ln>
          <a:effectLst/>
        </c:spPr>
        <c:marker>
          <c:symbol val="none"/>
        </c:marker>
      </c:pivotFmt>
      <c:pivotFmt>
        <c:idx val="794"/>
        <c:spPr>
          <a:solidFill>
            <a:schemeClr val="accent1"/>
          </a:solidFill>
          <a:ln w="25400">
            <a:noFill/>
          </a:ln>
          <a:effectLst/>
        </c:spPr>
        <c:marker>
          <c:symbol val="none"/>
        </c:marker>
      </c:pivotFmt>
      <c:pivotFmt>
        <c:idx val="795"/>
        <c:spPr>
          <a:solidFill>
            <a:schemeClr val="accent1"/>
          </a:solidFill>
          <a:ln w="25400">
            <a:noFill/>
          </a:ln>
          <a:effectLst/>
        </c:spPr>
        <c:marker>
          <c:symbol val="none"/>
        </c:marker>
      </c:pivotFmt>
      <c:pivotFmt>
        <c:idx val="796"/>
        <c:spPr>
          <a:solidFill>
            <a:schemeClr val="accent1"/>
          </a:solidFill>
          <a:ln w="25400">
            <a:noFill/>
          </a:ln>
          <a:effectLst/>
        </c:spPr>
        <c:marker>
          <c:symbol val="none"/>
        </c:marker>
      </c:pivotFmt>
      <c:pivotFmt>
        <c:idx val="797"/>
        <c:spPr>
          <a:solidFill>
            <a:schemeClr val="accent1"/>
          </a:solidFill>
          <a:ln w="25400">
            <a:noFill/>
          </a:ln>
          <a:effectLst/>
        </c:spPr>
        <c:marker>
          <c:symbol val="none"/>
        </c:marker>
      </c:pivotFmt>
      <c:pivotFmt>
        <c:idx val="798"/>
        <c:spPr>
          <a:solidFill>
            <a:schemeClr val="accent1"/>
          </a:solidFill>
          <a:ln w="25400">
            <a:noFill/>
          </a:ln>
          <a:effectLst/>
        </c:spPr>
        <c:marker>
          <c:symbol val="none"/>
        </c:marker>
      </c:pivotFmt>
      <c:pivotFmt>
        <c:idx val="799"/>
        <c:spPr>
          <a:solidFill>
            <a:schemeClr val="accent1"/>
          </a:solidFill>
          <a:ln w="25400">
            <a:noFill/>
          </a:ln>
          <a:effectLst/>
        </c:spPr>
        <c:marker>
          <c:symbol val="none"/>
        </c:marker>
      </c:pivotFmt>
      <c:pivotFmt>
        <c:idx val="800"/>
        <c:spPr>
          <a:solidFill>
            <a:schemeClr val="accent1"/>
          </a:solidFill>
          <a:ln w="25400">
            <a:noFill/>
          </a:ln>
          <a:effectLst/>
        </c:spPr>
        <c:marker>
          <c:symbol val="none"/>
        </c:marker>
      </c:pivotFmt>
      <c:pivotFmt>
        <c:idx val="801"/>
        <c:spPr>
          <a:solidFill>
            <a:schemeClr val="accent1"/>
          </a:solidFill>
          <a:ln w="25400">
            <a:noFill/>
          </a:ln>
          <a:effectLst/>
        </c:spPr>
        <c:marker>
          <c:symbol val="none"/>
        </c:marker>
      </c:pivotFmt>
      <c:pivotFmt>
        <c:idx val="802"/>
        <c:spPr>
          <a:solidFill>
            <a:schemeClr val="accent1"/>
          </a:solidFill>
          <a:ln w="25400">
            <a:noFill/>
          </a:ln>
          <a:effectLst/>
        </c:spPr>
        <c:marker>
          <c:symbol val="none"/>
        </c:marker>
      </c:pivotFmt>
      <c:pivotFmt>
        <c:idx val="803"/>
        <c:spPr>
          <a:solidFill>
            <a:schemeClr val="accent1"/>
          </a:solidFill>
          <a:ln w="25400">
            <a:noFill/>
          </a:ln>
          <a:effectLst/>
        </c:spPr>
        <c:marker>
          <c:symbol val="none"/>
        </c:marker>
      </c:pivotFmt>
      <c:pivotFmt>
        <c:idx val="804"/>
        <c:spPr>
          <a:solidFill>
            <a:schemeClr val="accent1"/>
          </a:solidFill>
          <a:ln w="25400">
            <a:noFill/>
          </a:ln>
          <a:effectLst/>
        </c:spPr>
        <c:marker>
          <c:symbol val="none"/>
        </c:marker>
      </c:pivotFmt>
      <c:pivotFmt>
        <c:idx val="805"/>
        <c:spPr>
          <a:solidFill>
            <a:schemeClr val="accent1"/>
          </a:solidFill>
          <a:ln w="25400">
            <a:noFill/>
          </a:ln>
          <a:effectLst/>
        </c:spPr>
        <c:marker>
          <c:symbol val="none"/>
        </c:marker>
      </c:pivotFmt>
      <c:pivotFmt>
        <c:idx val="806"/>
        <c:spPr>
          <a:solidFill>
            <a:schemeClr val="accent1"/>
          </a:solidFill>
          <a:ln w="25400">
            <a:noFill/>
          </a:ln>
          <a:effectLst/>
        </c:spPr>
        <c:marker>
          <c:symbol val="none"/>
        </c:marker>
      </c:pivotFmt>
      <c:pivotFmt>
        <c:idx val="807"/>
        <c:spPr>
          <a:solidFill>
            <a:schemeClr val="accent1"/>
          </a:solidFill>
          <a:ln w="25400">
            <a:noFill/>
          </a:ln>
          <a:effectLst/>
        </c:spPr>
        <c:marker>
          <c:symbol val="none"/>
        </c:marker>
      </c:pivotFmt>
      <c:pivotFmt>
        <c:idx val="808"/>
        <c:spPr>
          <a:solidFill>
            <a:schemeClr val="accent1"/>
          </a:solidFill>
          <a:ln w="25400">
            <a:noFill/>
          </a:ln>
          <a:effectLst/>
        </c:spPr>
        <c:marker>
          <c:symbol val="none"/>
        </c:marker>
      </c:pivotFmt>
      <c:pivotFmt>
        <c:idx val="809"/>
        <c:spPr>
          <a:solidFill>
            <a:schemeClr val="accent1"/>
          </a:solidFill>
          <a:ln w="25400">
            <a:noFill/>
          </a:ln>
          <a:effectLst/>
        </c:spPr>
        <c:marker>
          <c:symbol val="none"/>
        </c:marker>
      </c:pivotFmt>
      <c:pivotFmt>
        <c:idx val="810"/>
        <c:spPr>
          <a:solidFill>
            <a:schemeClr val="accent1"/>
          </a:solidFill>
          <a:ln w="25400">
            <a:noFill/>
          </a:ln>
          <a:effectLst/>
        </c:spPr>
        <c:marker>
          <c:symbol val="none"/>
        </c:marker>
      </c:pivotFmt>
      <c:pivotFmt>
        <c:idx val="811"/>
        <c:spPr>
          <a:solidFill>
            <a:schemeClr val="accent1"/>
          </a:solidFill>
          <a:ln w="25400">
            <a:noFill/>
          </a:ln>
          <a:effectLst/>
        </c:spPr>
        <c:marker>
          <c:symbol val="none"/>
        </c:marker>
      </c:pivotFmt>
      <c:pivotFmt>
        <c:idx val="812"/>
        <c:spPr>
          <a:solidFill>
            <a:schemeClr val="accent1"/>
          </a:solidFill>
          <a:ln w="25400">
            <a:noFill/>
          </a:ln>
          <a:effectLst/>
        </c:spPr>
        <c:marker>
          <c:symbol val="none"/>
        </c:marker>
      </c:pivotFmt>
      <c:pivotFmt>
        <c:idx val="813"/>
        <c:spPr>
          <a:solidFill>
            <a:schemeClr val="accent1"/>
          </a:solidFill>
          <a:ln w="25400">
            <a:noFill/>
          </a:ln>
          <a:effectLst/>
        </c:spPr>
        <c:marker>
          <c:symbol val="none"/>
        </c:marker>
      </c:pivotFmt>
      <c:pivotFmt>
        <c:idx val="814"/>
        <c:spPr>
          <a:solidFill>
            <a:schemeClr val="accent1"/>
          </a:solidFill>
          <a:ln w="25400">
            <a:noFill/>
          </a:ln>
          <a:effectLst/>
        </c:spPr>
        <c:marker>
          <c:symbol val="none"/>
        </c:marker>
      </c:pivotFmt>
      <c:pivotFmt>
        <c:idx val="815"/>
        <c:spPr>
          <a:solidFill>
            <a:schemeClr val="accent1"/>
          </a:solidFill>
          <a:ln w="25400">
            <a:noFill/>
          </a:ln>
          <a:effectLst/>
        </c:spPr>
        <c:marker>
          <c:symbol val="none"/>
        </c:marker>
      </c:pivotFmt>
      <c:pivotFmt>
        <c:idx val="816"/>
        <c:spPr>
          <a:solidFill>
            <a:schemeClr val="accent1"/>
          </a:solidFill>
          <a:ln w="25400">
            <a:noFill/>
          </a:ln>
          <a:effectLst/>
        </c:spPr>
        <c:marker>
          <c:symbol val="none"/>
        </c:marker>
      </c:pivotFmt>
    </c:pivotFmts>
    <c:plotArea>
      <c:layout/>
      <c:areaChart>
        <c:grouping val="stacked"/>
        <c:varyColors val="0"/>
        <c:ser>
          <c:idx val="0"/>
          <c:order val="0"/>
          <c:tx>
            <c:strRef>
              <c:f>'EL GEN - Time'!$F$5:$F$6</c:f>
              <c:strCache>
                <c:ptCount val="1"/>
                <c:pt idx="0">
                  <c:v>Backpressure</c:v>
                </c:pt>
              </c:strCache>
            </c:strRef>
          </c:tx>
          <c:spPr>
            <a:solidFill>
              <a:schemeClr val="accent1"/>
            </a:solidFill>
            <a:ln>
              <a:noFill/>
            </a:ln>
            <a:effectLst/>
          </c:spPr>
          <c:cat>
            <c:multiLvlStrRef>
              <c:f>'EL GEN - Time'!$B$7:$E$31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'EL GEN - Time'!$F$7:$F$31</c:f>
              <c:numCache>
                <c:formatCode>General</c:formatCode>
                <c:ptCount val="24"/>
                <c:pt idx="0">
                  <c:v>23153.728958626925</c:v>
                </c:pt>
                <c:pt idx="1">
                  <c:v>22691.728907738561</c:v>
                </c:pt>
                <c:pt idx="2">
                  <c:v>22574.178401149296</c:v>
                </c:pt>
                <c:pt idx="3">
                  <c:v>22736.346697856607</c:v>
                </c:pt>
                <c:pt idx="4">
                  <c:v>23765.204973943426</c:v>
                </c:pt>
                <c:pt idx="5">
                  <c:v>25363.498990778106</c:v>
                </c:pt>
                <c:pt idx="6">
                  <c:v>28322.527874448544</c:v>
                </c:pt>
                <c:pt idx="7">
                  <c:v>29416.014961109911</c:v>
                </c:pt>
                <c:pt idx="8">
                  <c:v>30713.919412511506</c:v>
                </c:pt>
                <c:pt idx="9">
                  <c:v>28942.934962469819</c:v>
                </c:pt>
                <c:pt idx="10">
                  <c:v>28361.503422279398</c:v>
                </c:pt>
                <c:pt idx="11">
                  <c:v>27054.21238789424</c:v>
                </c:pt>
                <c:pt idx="12">
                  <c:v>26837.179943805731</c:v>
                </c:pt>
                <c:pt idx="13">
                  <c:v>26658.01608637868</c:v>
                </c:pt>
                <c:pt idx="14">
                  <c:v>27638.14587846967</c:v>
                </c:pt>
                <c:pt idx="15">
                  <c:v>28329.515947775588</c:v>
                </c:pt>
                <c:pt idx="16">
                  <c:v>29427.326039031814</c:v>
                </c:pt>
                <c:pt idx="17">
                  <c:v>29224.419089960975</c:v>
                </c:pt>
                <c:pt idx="18">
                  <c:v>29052.095218182163</c:v>
                </c:pt>
                <c:pt idx="19">
                  <c:v>27870.434386368597</c:v>
                </c:pt>
                <c:pt idx="20">
                  <c:v>25683.237640708641</c:v>
                </c:pt>
                <c:pt idx="21">
                  <c:v>24368.907007836999</c:v>
                </c:pt>
                <c:pt idx="22">
                  <c:v>23739.896314932634</c:v>
                </c:pt>
                <c:pt idx="23">
                  <c:v>22741.265757027111</c:v>
                </c:pt>
              </c:numCache>
            </c:numRef>
          </c:val>
          <c:extLst>
            <c:ext xmlns:c16="http://schemas.microsoft.com/office/drawing/2014/chart" uri="{C3380CC4-5D6E-409C-BE32-E72D297353CC}">
              <c16:uniqueId val="{00000000-422C-4272-A169-BD2915ED7009}"/>
            </c:ext>
          </c:extLst>
        </c:ser>
        <c:ser>
          <c:idx val="1"/>
          <c:order val="1"/>
          <c:tx>
            <c:strRef>
              <c:f>'EL GEN - Time'!$G$5:$G$6</c:f>
              <c:strCache>
                <c:ptCount val="1"/>
                <c:pt idx="0">
                  <c:v>Condensing</c:v>
                </c:pt>
              </c:strCache>
            </c:strRef>
          </c:tx>
          <c:spPr>
            <a:solidFill>
              <a:schemeClr val="accent2"/>
            </a:solidFill>
            <a:ln>
              <a:noFill/>
            </a:ln>
            <a:effectLst/>
          </c:spPr>
          <c:cat>
            <c:multiLvlStrRef>
              <c:f>'EL GEN - Time'!$B$7:$E$31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'EL GEN - Time'!$G$7:$G$31</c:f>
              <c:numCache>
                <c:formatCode>General</c:formatCode>
                <c:ptCount val="24"/>
                <c:pt idx="0">
                  <c:v>76728.775925038033</c:v>
                </c:pt>
                <c:pt idx="1">
                  <c:v>75173.853149643473</c:v>
                </c:pt>
                <c:pt idx="2">
                  <c:v>73756.674765704112</c:v>
                </c:pt>
                <c:pt idx="3">
                  <c:v>72342.346774202917</c:v>
                </c:pt>
                <c:pt idx="4">
                  <c:v>71569.709536483744</c:v>
                </c:pt>
                <c:pt idx="5">
                  <c:v>73348.691810238088</c:v>
                </c:pt>
                <c:pt idx="6">
                  <c:v>84037.933630188796</c:v>
                </c:pt>
                <c:pt idx="7">
                  <c:v>99067.189331080634</c:v>
                </c:pt>
                <c:pt idx="8">
                  <c:v>101610.09479280293</c:v>
                </c:pt>
                <c:pt idx="9">
                  <c:v>101975.61484777606</c:v>
                </c:pt>
                <c:pt idx="10">
                  <c:v>97394.572664628475</c:v>
                </c:pt>
                <c:pt idx="11">
                  <c:v>94287.15251852831</c:v>
                </c:pt>
                <c:pt idx="12">
                  <c:v>93576.845876496547</c:v>
                </c:pt>
                <c:pt idx="13">
                  <c:v>93918.198752087046</c:v>
                </c:pt>
                <c:pt idx="14">
                  <c:v>97184.554743059081</c:v>
                </c:pt>
                <c:pt idx="15">
                  <c:v>102439.71530112858</c:v>
                </c:pt>
                <c:pt idx="16">
                  <c:v>109519.10358704836</c:v>
                </c:pt>
                <c:pt idx="17">
                  <c:v>112972.09445773093</c:v>
                </c:pt>
                <c:pt idx="18">
                  <c:v>110185.9113345207</c:v>
                </c:pt>
                <c:pt idx="19">
                  <c:v>105153.18603791957</c:v>
                </c:pt>
                <c:pt idx="20">
                  <c:v>100297.7235022098</c:v>
                </c:pt>
                <c:pt idx="21">
                  <c:v>95570.142135097733</c:v>
                </c:pt>
                <c:pt idx="22">
                  <c:v>89836.98628278356</c:v>
                </c:pt>
                <c:pt idx="23">
                  <c:v>84805.634727825702</c:v>
                </c:pt>
              </c:numCache>
            </c:numRef>
          </c:val>
          <c:extLst>
            <c:ext xmlns:c16="http://schemas.microsoft.com/office/drawing/2014/chart" uri="{C3380CC4-5D6E-409C-BE32-E72D297353CC}">
              <c16:uniqueId val="{0000003D-66F2-4940-B061-2E4F5C8174DB}"/>
            </c:ext>
          </c:extLst>
        </c:ser>
        <c:ser>
          <c:idx val="2"/>
          <c:order val="2"/>
          <c:tx>
            <c:strRef>
              <c:f>'EL GEN - Time'!$H$5:$H$6</c:f>
              <c:strCache>
                <c:ptCount val="1"/>
                <c:pt idx="0">
                  <c:v>EL storage S</c:v>
                </c:pt>
              </c:strCache>
            </c:strRef>
          </c:tx>
          <c:spPr>
            <a:solidFill>
              <a:schemeClr val="accent3"/>
            </a:solidFill>
            <a:ln>
              <a:noFill/>
            </a:ln>
            <a:effectLst/>
          </c:spPr>
          <c:cat>
            <c:multiLvlStrRef>
              <c:f>'EL GEN - Time'!$B$7:$E$31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'EL GEN - Time'!$H$7:$H$31</c:f>
              <c:numCache>
                <c:formatCode>General</c:formatCode>
                <c:ptCount val="24"/>
                <c:pt idx="0">
                  <c:v>4354.2708615370339</c:v>
                </c:pt>
                <c:pt idx="1">
                  <c:v>1001.965499384606</c:v>
                </c:pt>
                <c:pt idx="2">
                  <c:v>423.26052801265399</c:v>
                </c:pt>
                <c:pt idx="7">
                  <c:v>2562.1183732269728</c:v>
                </c:pt>
                <c:pt idx="8">
                  <c:v>4204.5847662597535</c:v>
                </c:pt>
                <c:pt idx="15">
                  <c:v>119.1</c:v>
                </c:pt>
                <c:pt idx="16">
                  <c:v>632.584723890242</c:v>
                </c:pt>
                <c:pt idx="17">
                  <c:v>4146.0152412746402</c:v>
                </c:pt>
                <c:pt idx="18">
                  <c:v>1907.8678156570279</c:v>
                </c:pt>
                <c:pt idx="22">
                  <c:v>102.458630136986</c:v>
                </c:pt>
              </c:numCache>
            </c:numRef>
          </c:val>
          <c:extLst>
            <c:ext xmlns:c16="http://schemas.microsoft.com/office/drawing/2014/chart" uri="{C3380CC4-5D6E-409C-BE32-E72D297353CC}">
              <c16:uniqueId val="{0000003E-66F2-4940-B061-2E4F5C8174DB}"/>
            </c:ext>
          </c:extLst>
        </c:ser>
        <c:ser>
          <c:idx val="3"/>
          <c:order val="3"/>
          <c:tx>
            <c:strRef>
              <c:f>'EL GEN - Time'!$I$5:$I$6</c:f>
              <c:strCache>
                <c:ptCount val="1"/>
                <c:pt idx="0">
                  <c:v>Electricity to heat</c:v>
                </c:pt>
              </c:strCache>
            </c:strRef>
          </c:tx>
          <c:spPr>
            <a:solidFill>
              <a:schemeClr val="accent4"/>
            </a:solidFill>
            <a:ln>
              <a:noFill/>
            </a:ln>
            <a:effectLst/>
          </c:spPr>
          <c:cat>
            <c:multiLvlStrRef>
              <c:f>'EL GEN - Time'!$B$7:$E$31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'EL GEN - Time'!$I$7:$I$31</c:f>
              <c:numCache>
                <c:formatCode>General</c:formatCode>
                <c:ptCount val="24"/>
                <c:pt idx="0">
                  <c:v>-112.6618197278912</c:v>
                </c:pt>
                <c:pt idx="1">
                  <c:v>-112.6618197278912</c:v>
                </c:pt>
                <c:pt idx="2">
                  <c:v>-112.6618197278912</c:v>
                </c:pt>
                <c:pt idx="3">
                  <c:v>-112.6618197278912</c:v>
                </c:pt>
                <c:pt idx="4">
                  <c:v>-112.6618197278912</c:v>
                </c:pt>
                <c:pt idx="5">
                  <c:v>-132.56860162293481</c:v>
                </c:pt>
                <c:pt idx="6">
                  <c:v>-67.066893679070816</c:v>
                </c:pt>
                <c:pt idx="7">
                  <c:v>-37.651656998398543</c:v>
                </c:pt>
                <c:pt idx="8">
                  <c:v>-35.115231939809007</c:v>
                </c:pt>
                <c:pt idx="9">
                  <c:v>-31.029166666666701</c:v>
                </c:pt>
                <c:pt idx="10">
                  <c:v>-31.029166666666701</c:v>
                </c:pt>
                <c:pt idx="11">
                  <c:v>-47.622568409323961</c:v>
                </c:pt>
                <c:pt idx="12">
                  <c:v>-127.92315111430123</c:v>
                </c:pt>
                <c:pt idx="13">
                  <c:v>-128.8724832071986</c:v>
                </c:pt>
                <c:pt idx="14">
                  <c:v>-56.078179847488038</c:v>
                </c:pt>
                <c:pt idx="15">
                  <c:v>-47.71739830344297</c:v>
                </c:pt>
                <c:pt idx="16">
                  <c:v>-40.062276424109754</c:v>
                </c:pt>
                <c:pt idx="17">
                  <c:v>-113.52302331610355</c:v>
                </c:pt>
                <c:pt idx="18">
                  <c:v>-112.6618197278912</c:v>
                </c:pt>
                <c:pt idx="19">
                  <c:v>-112.6618197278912</c:v>
                </c:pt>
                <c:pt idx="20">
                  <c:v>-151.2891602313648</c:v>
                </c:pt>
                <c:pt idx="21">
                  <c:v>-142.81343459536649</c:v>
                </c:pt>
                <c:pt idx="22">
                  <c:v>-129.1760013023974</c:v>
                </c:pt>
                <c:pt idx="23">
                  <c:v>-112.6618197278912</c:v>
                </c:pt>
              </c:numCache>
            </c:numRef>
          </c:val>
          <c:extLst>
            <c:ext xmlns:c16="http://schemas.microsoft.com/office/drawing/2014/chart" uri="{C3380CC4-5D6E-409C-BE32-E72D297353CC}">
              <c16:uniqueId val="{0000003F-66F2-4940-B061-2E4F5C8174DB}"/>
            </c:ext>
          </c:extLst>
        </c:ser>
        <c:ser>
          <c:idx val="4"/>
          <c:order val="4"/>
          <c:tx>
            <c:strRef>
              <c:f>'EL GEN - Time'!$J$5:$J$6</c:f>
              <c:strCache>
                <c:ptCount val="1"/>
                <c:pt idx="0">
                  <c:v>Extraction</c:v>
                </c:pt>
              </c:strCache>
            </c:strRef>
          </c:tx>
          <c:spPr>
            <a:solidFill>
              <a:schemeClr val="accent5"/>
            </a:solidFill>
            <a:ln>
              <a:noFill/>
            </a:ln>
            <a:effectLst/>
          </c:spPr>
          <c:cat>
            <c:multiLvlStrRef>
              <c:f>'EL GEN - Time'!$B$7:$E$31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'EL GEN - Time'!$J$7:$J$31</c:f>
              <c:numCache>
                <c:formatCode>General</c:formatCode>
                <c:ptCount val="24"/>
                <c:pt idx="0">
                  <c:v>4863.8301306176991</c:v>
                </c:pt>
                <c:pt idx="1">
                  <c:v>4838.1053530718136</c:v>
                </c:pt>
                <c:pt idx="2">
                  <c:v>4836.1088273440846</c:v>
                </c:pt>
                <c:pt idx="3">
                  <c:v>4832.0794352075727</c:v>
                </c:pt>
                <c:pt idx="4">
                  <c:v>4856.9136933260697</c:v>
                </c:pt>
                <c:pt idx="5">
                  <c:v>4985.1926852660636</c:v>
                </c:pt>
                <c:pt idx="6">
                  <c:v>5178.8237642209097</c:v>
                </c:pt>
                <c:pt idx="7">
                  <c:v>6707.0185133467112</c:v>
                </c:pt>
                <c:pt idx="8">
                  <c:v>6912.172847870389</c:v>
                </c:pt>
                <c:pt idx="9">
                  <c:v>6356.6189336183515</c:v>
                </c:pt>
                <c:pt idx="10">
                  <c:v>5496.9579958314207</c:v>
                </c:pt>
                <c:pt idx="11">
                  <c:v>5076.8120842061026</c:v>
                </c:pt>
                <c:pt idx="12">
                  <c:v>5081.9427450194444</c:v>
                </c:pt>
                <c:pt idx="13">
                  <c:v>4903.0338688061238</c:v>
                </c:pt>
                <c:pt idx="14">
                  <c:v>5179.4067996645135</c:v>
                </c:pt>
                <c:pt idx="15">
                  <c:v>5408.1581709861939</c:v>
                </c:pt>
                <c:pt idx="16">
                  <c:v>5498.003630892008</c:v>
                </c:pt>
                <c:pt idx="17">
                  <c:v>5549.1264023317335</c:v>
                </c:pt>
                <c:pt idx="18">
                  <c:v>5356.759740938227</c:v>
                </c:pt>
                <c:pt idx="19">
                  <c:v>4978.5796936925235</c:v>
                </c:pt>
                <c:pt idx="20">
                  <c:v>4922.7806543260212</c:v>
                </c:pt>
                <c:pt idx="21">
                  <c:v>4804.0345416961363</c:v>
                </c:pt>
                <c:pt idx="22">
                  <c:v>4811.5462597911092</c:v>
                </c:pt>
                <c:pt idx="23">
                  <c:v>4793.7011081943137</c:v>
                </c:pt>
              </c:numCache>
            </c:numRef>
          </c:val>
          <c:extLst>
            <c:ext xmlns:c16="http://schemas.microsoft.com/office/drawing/2014/chart" uri="{C3380CC4-5D6E-409C-BE32-E72D297353CC}">
              <c16:uniqueId val="{00000040-66F2-4940-B061-2E4F5C8174DB}"/>
            </c:ext>
          </c:extLst>
        </c:ser>
        <c:ser>
          <c:idx val="5"/>
          <c:order val="5"/>
          <c:tx>
            <c:strRef>
              <c:f>'EL GEN - Time'!$K$5:$K$6</c:f>
              <c:strCache>
                <c:ptCount val="1"/>
                <c:pt idx="0">
                  <c:v>Hydro reservoir</c:v>
                </c:pt>
              </c:strCache>
            </c:strRef>
          </c:tx>
          <c:spPr>
            <a:solidFill>
              <a:schemeClr val="accent6"/>
            </a:solidFill>
            <a:ln>
              <a:noFill/>
            </a:ln>
            <a:effectLst/>
          </c:spPr>
          <c:cat>
            <c:multiLvlStrRef>
              <c:f>'EL GEN - Time'!$B$7:$E$31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'EL GEN - Time'!$K$7:$K$31</c:f>
              <c:numCache>
                <c:formatCode>General</c:formatCode>
                <c:ptCount val="24"/>
                <c:pt idx="0">
                  <c:v>9799.3849211231591</c:v>
                </c:pt>
                <c:pt idx="1">
                  <c:v>10106.959952522964</c:v>
                </c:pt>
                <c:pt idx="2">
                  <c:v>10033.780975458763</c:v>
                </c:pt>
                <c:pt idx="3">
                  <c:v>10066.137769001827</c:v>
                </c:pt>
                <c:pt idx="4">
                  <c:v>11113.448438380381</c:v>
                </c:pt>
                <c:pt idx="5">
                  <c:v>14896.121470107846</c:v>
                </c:pt>
                <c:pt idx="6">
                  <c:v>21209.487013262562</c:v>
                </c:pt>
                <c:pt idx="7">
                  <c:v>23557.111855865522</c:v>
                </c:pt>
                <c:pt idx="8">
                  <c:v>25182.761244791818</c:v>
                </c:pt>
                <c:pt idx="9">
                  <c:v>24809.83003614163</c:v>
                </c:pt>
                <c:pt idx="10">
                  <c:v>24207.998373992348</c:v>
                </c:pt>
                <c:pt idx="11">
                  <c:v>22615.380821305971</c:v>
                </c:pt>
                <c:pt idx="12">
                  <c:v>21009.145151784694</c:v>
                </c:pt>
                <c:pt idx="13">
                  <c:v>20391.564528554485</c:v>
                </c:pt>
                <c:pt idx="14">
                  <c:v>21527.771283248137</c:v>
                </c:pt>
                <c:pt idx="15">
                  <c:v>21430.454586809527</c:v>
                </c:pt>
                <c:pt idx="16">
                  <c:v>21856.792443356371</c:v>
                </c:pt>
                <c:pt idx="17">
                  <c:v>21216.503002283072</c:v>
                </c:pt>
                <c:pt idx="18">
                  <c:v>20050.359529757287</c:v>
                </c:pt>
                <c:pt idx="19">
                  <c:v>19667.370923912033</c:v>
                </c:pt>
                <c:pt idx="20">
                  <c:v>15424.21979992512</c:v>
                </c:pt>
                <c:pt idx="21">
                  <c:v>10957.524199202559</c:v>
                </c:pt>
                <c:pt idx="22">
                  <c:v>9925.6473985330686</c:v>
                </c:pt>
                <c:pt idx="23">
                  <c:v>8858.5208268084061</c:v>
                </c:pt>
              </c:numCache>
            </c:numRef>
          </c:val>
          <c:extLst>
            <c:ext xmlns:c16="http://schemas.microsoft.com/office/drawing/2014/chart" uri="{C3380CC4-5D6E-409C-BE32-E72D297353CC}">
              <c16:uniqueId val="{00000041-66F2-4940-B061-2E4F5C8174DB}"/>
            </c:ext>
          </c:extLst>
        </c:ser>
        <c:ser>
          <c:idx val="6"/>
          <c:order val="6"/>
          <c:tx>
            <c:strRef>
              <c:f>'EL GEN - Time'!$L$5:$L$6</c:f>
              <c:strCache>
                <c:ptCount val="1"/>
                <c:pt idx="0">
                  <c:v>Hydro ROR</c:v>
                </c:pt>
              </c:strCache>
            </c:strRef>
          </c:tx>
          <c:spPr>
            <a:solidFill>
              <a:schemeClr val="accent1">
                <a:lumMod val="60000"/>
              </a:schemeClr>
            </a:solidFill>
            <a:ln>
              <a:noFill/>
            </a:ln>
            <a:effectLst/>
          </c:spPr>
          <c:cat>
            <c:multiLvlStrRef>
              <c:f>'EL GEN - Time'!$B$7:$E$31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'EL GEN - Time'!$L$7:$L$31</c:f>
              <c:numCache>
                <c:formatCode>General</c:formatCode>
                <c:ptCount val="24"/>
                <c:pt idx="0">
                  <c:v>13829.162535144897</c:v>
                </c:pt>
                <c:pt idx="1">
                  <c:v>13829.162535144897</c:v>
                </c:pt>
                <c:pt idx="2">
                  <c:v>13829.162535144897</c:v>
                </c:pt>
                <c:pt idx="3">
                  <c:v>13829.162535144897</c:v>
                </c:pt>
                <c:pt idx="4">
                  <c:v>13829.162535144897</c:v>
                </c:pt>
                <c:pt idx="5">
                  <c:v>13829.162535144897</c:v>
                </c:pt>
                <c:pt idx="6">
                  <c:v>13829.162535144897</c:v>
                </c:pt>
                <c:pt idx="7">
                  <c:v>13829.162535144897</c:v>
                </c:pt>
                <c:pt idx="8">
                  <c:v>13829.162535144897</c:v>
                </c:pt>
                <c:pt idx="9">
                  <c:v>13829.162535144897</c:v>
                </c:pt>
                <c:pt idx="10">
                  <c:v>13829.162535144897</c:v>
                </c:pt>
                <c:pt idx="11">
                  <c:v>13829.162535144897</c:v>
                </c:pt>
                <c:pt idx="12">
                  <c:v>13829.162535144897</c:v>
                </c:pt>
                <c:pt idx="13">
                  <c:v>13829.162535144897</c:v>
                </c:pt>
                <c:pt idx="14">
                  <c:v>13829.162535144897</c:v>
                </c:pt>
                <c:pt idx="15">
                  <c:v>13829.162535144897</c:v>
                </c:pt>
                <c:pt idx="16">
                  <c:v>13829.162535144897</c:v>
                </c:pt>
                <c:pt idx="17">
                  <c:v>13829.162535144897</c:v>
                </c:pt>
                <c:pt idx="18">
                  <c:v>13829.162535144897</c:v>
                </c:pt>
                <c:pt idx="19">
                  <c:v>13829.162535144897</c:v>
                </c:pt>
                <c:pt idx="20">
                  <c:v>13829.162535144897</c:v>
                </c:pt>
                <c:pt idx="21">
                  <c:v>13829.162535144897</c:v>
                </c:pt>
                <c:pt idx="22">
                  <c:v>13829.162535144897</c:v>
                </c:pt>
                <c:pt idx="23">
                  <c:v>13829.162535144897</c:v>
                </c:pt>
              </c:numCache>
            </c:numRef>
          </c:val>
          <c:extLst>
            <c:ext xmlns:c16="http://schemas.microsoft.com/office/drawing/2014/chart" uri="{C3380CC4-5D6E-409C-BE32-E72D297353CC}">
              <c16:uniqueId val="{00000042-66F2-4940-B061-2E4F5C8174DB}"/>
            </c:ext>
          </c:extLst>
        </c:ser>
        <c:ser>
          <c:idx val="7"/>
          <c:order val="7"/>
          <c:tx>
            <c:strRef>
              <c:f>'EL GEN - Time'!$M$5:$M$6</c:f>
              <c:strCache>
                <c:ptCount val="1"/>
                <c:pt idx="0">
                  <c:v>Solar PV</c:v>
                </c:pt>
              </c:strCache>
            </c:strRef>
          </c:tx>
          <c:spPr>
            <a:solidFill>
              <a:schemeClr val="accent2">
                <a:lumMod val="60000"/>
              </a:schemeClr>
            </a:solidFill>
            <a:ln>
              <a:noFill/>
            </a:ln>
            <a:effectLst/>
          </c:spPr>
          <c:cat>
            <c:multiLvlStrRef>
              <c:f>'EL GEN - Time'!$B$7:$E$31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'EL GEN - Time'!$M$7:$M$31</c:f>
              <c:numCache>
                <c:formatCode>General</c:formatCode>
                <c:ptCount val="24"/>
                <c:pt idx="5">
                  <c:v>91.934696158323504</c:v>
                </c:pt>
                <c:pt idx="6">
                  <c:v>183.86939231664701</c:v>
                </c:pt>
                <c:pt idx="7">
                  <c:v>220.643270779977</c:v>
                </c:pt>
                <c:pt idx="8">
                  <c:v>1176.0805771593928</c:v>
                </c:pt>
                <c:pt idx="9">
                  <c:v>8130.4619303789168</c:v>
                </c:pt>
                <c:pt idx="10">
                  <c:v>18563.825332569784</c:v>
                </c:pt>
                <c:pt idx="11">
                  <c:v>28115.141446769296</c:v>
                </c:pt>
                <c:pt idx="12">
                  <c:v>32167.59619761975</c:v>
                </c:pt>
                <c:pt idx="13">
                  <c:v>27881.221233303357</c:v>
                </c:pt>
                <c:pt idx="14">
                  <c:v>18207.360577234642</c:v>
                </c:pt>
                <c:pt idx="15">
                  <c:v>9142.2192496858097</c:v>
                </c:pt>
                <c:pt idx="16">
                  <c:v>1256.898982558145</c:v>
                </c:pt>
                <c:pt idx="17">
                  <c:v>36.773878463329403</c:v>
                </c:pt>
                <c:pt idx="18">
                  <c:v>36.773878463329403</c:v>
                </c:pt>
                <c:pt idx="19">
                  <c:v>18.386939231664702</c:v>
                </c:pt>
              </c:numCache>
            </c:numRef>
          </c:val>
          <c:extLst>
            <c:ext xmlns:c16="http://schemas.microsoft.com/office/drawing/2014/chart" uri="{C3380CC4-5D6E-409C-BE32-E72D297353CC}">
              <c16:uniqueId val="{00000000-AD10-4431-A271-4F6B478B3F90}"/>
            </c:ext>
          </c:extLst>
        </c:ser>
        <c:ser>
          <c:idx val="8"/>
          <c:order val="8"/>
          <c:tx>
            <c:strRef>
              <c:f>'EL GEN - Time'!$N$5:$N$6</c:f>
              <c:strCache>
                <c:ptCount val="1"/>
                <c:pt idx="0">
                  <c:v>Wind</c:v>
                </c:pt>
              </c:strCache>
            </c:strRef>
          </c:tx>
          <c:spPr>
            <a:solidFill>
              <a:schemeClr val="accent3">
                <a:lumMod val="60000"/>
              </a:schemeClr>
            </a:solidFill>
            <a:ln>
              <a:noFill/>
            </a:ln>
            <a:effectLst/>
          </c:spPr>
          <c:cat>
            <c:multiLvlStrRef>
              <c:f>'EL GEN - Time'!$B$7:$E$31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'EL GEN - Time'!$N$7:$N$31</c:f>
              <c:numCache>
                <c:formatCode>General</c:formatCode>
                <c:ptCount val="24"/>
                <c:pt idx="0">
                  <c:v>17311.331966654056</c:v>
                </c:pt>
                <c:pt idx="1">
                  <c:v>17318.522643738739</c:v>
                </c:pt>
                <c:pt idx="2">
                  <c:v>17210.80544110779</c:v>
                </c:pt>
                <c:pt idx="3">
                  <c:v>16825.233279227745</c:v>
                </c:pt>
                <c:pt idx="4">
                  <c:v>16070.588950084248</c:v>
                </c:pt>
                <c:pt idx="5">
                  <c:v>15373.778556644525</c:v>
                </c:pt>
                <c:pt idx="6">
                  <c:v>14270.277819800309</c:v>
                </c:pt>
                <c:pt idx="7">
                  <c:v>14486.213089911464</c:v>
                </c:pt>
                <c:pt idx="8">
                  <c:v>15373.130235023491</c:v>
                </c:pt>
                <c:pt idx="9">
                  <c:v>15993.88832320045</c:v>
                </c:pt>
                <c:pt idx="10">
                  <c:v>16842.929557754676</c:v>
                </c:pt>
                <c:pt idx="11">
                  <c:v>17702.689269213217</c:v>
                </c:pt>
                <c:pt idx="12">
                  <c:v>19900.164076742749</c:v>
                </c:pt>
                <c:pt idx="13">
                  <c:v>21843.206837636131</c:v>
                </c:pt>
                <c:pt idx="14">
                  <c:v>22975.854937674332</c:v>
                </c:pt>
                <c:pt idx="15">
                  <c:v>24828.31849067349</c:v>
                </c:pt>
                <c:pt idx="16">
                  <c:v>27359.207206460971</c:v>
                </c:pt>
                <c:pt idx="17">
                  <c:v>29740.490665036625</c:v>
                </c:pt>
                <c:pt idx="18">
                  <c:v>33353.71920618997</c:v>
                </c:pt>
                <c:pt idx="19">
                  <c:v>36487.941214878956</c:v>
                </c:pt>
                <c:pt idx="20">
                  <c:v>38564.951405288346</c:v>
                </c:pt>
                <c:pt idx="21">
                  <c:v>40924.497954198225</c:v>
                </c:pt>
                <c:pt idx="22">
                  <c:v>44003.310531339106</c:v>
                </c:pt>
                <c:pt idx="23">
                  <c:v>45979.24053604174</c:v>
                </c:pt>
              </c:numCache>
            </c:numRef>
          </c:val>
          <c:extLst>
            <c:ext xmlns:c16="http://schemas.microsoft.com/office/drawing/2014/chart" uri="{C3380CC4-5D6E-409C-BE32-E72D297353CC}">
              <c16:uniqueId val="{00000001-AD10-4431-A271-4F6B478B3F90}"/>
            </c:ext>
          </c:extLst>
        </c:ser>
        <c:ser>
          <c:idx val="9"/>
          <c:order val="9"/>
          <c:tx>
            <c:strRef>
              <c:f>'EL GEN - Time'!$O$5:$O$6</c:f>
              <c:strCache>
                <c:ptCount val="1"/>
                <c:pt idx="0">
                  <c:v>EL storage</c:v>
                </c:pt>
              </c:strCache>
            </c:strRef>
          </c:tx>
          <c:spPr>
            <a:solidFill>
              <a:schemeClr val="accent4">
                <a:lumMod val="60000"/>
              </a:schemeClr>
            </a:solidFill>
            <a:ln w="25400">
              <a:noFill/>
            </a:ln>
            <a:effectLst/>
          </c:spPr>
          <c:cat>
            <c:multiLvlStrRef>
              <c:f>'EL GEN - Time'!$B$7:$E$31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'EL GEN - Time'!$O$7:$O$31</c:f>
              <c:numCache>
                <c:formatCode>General</c:formatCode>
                <c:ptCount val="24"/>
                <c:pt idx="6">
                  <c:v>5295.8569190928356</c:v>
                </c:pt>
                <c:pt idx="7">
                  <c:v>5678.1905870217215</c:v>
                </c:pt>
                <c:pt idx="8">
                  <c:v>5678.1905870217215</c:v>
                </c:pt>
                <c:pt idx="9">
                  <c:v>5678.1905870217215</c:v>
                </c:pt>
                <c:pt idx="10">
                  <c:v>2922.6096391911979</c:v>
                </c:pt>
                <c:pt idx="15">
                  <c:v>2106.5460772272395</c:v>
                </c:pt>
                <c:pt idx="16">
                  <c:v>4431.3421220744531</c:v>
                </c:pt>
                <c:pt idx="17">
                  <c:v>2106.5460772272395</c:v>
                </c:pt>
                <c:pt idx="18">
                  <c:v>2106.5460772272395</c:v>
                </c:pt>
                <c:pt idx="19">
                  <c:v>1490.5058704798334</c:v>
                </c:pt>
              </c:numCache>
            </c:numRef>
          </c:val>
          <c:extLst>
            <c:ext xmlns:c16="http://schemas.microsoft.com/office/drawing/2014/chart" uri="{C3380CC4-5D6E-409C-BE32-E72D297353CC}">
              <c16:uniqueId val="{00000000-1A66-430B-B2F7-435F8759C27F}"/>
            </c:ext>
          </c:extLst>
        </c:ser>
        <c:dLbls>
          <c:showLegendKey val="0"/>
          <c:showVal val="0"/>
          <c:showCatName val="0"/>
          <c:showSerName val="0"/>
          <c:showPercent val="0"/>
          <c:showBubbleSize val="0"/>
        </c:dLbls>
        <c:axId val="267784408"/>
        <c:axId val="267754600"/>
      </c:areaChart>
      <c:catAx>
        <c:axId val="2677844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754600"/>
        <c:crosses val="autoZero"/>
        <c:auto val="1"/>
        <c:lblAlgn val="ctr"/>
        <c:lblOffset val="100"/>
        <c:noMultiLvlLbl val="0"/>
      </c:catAx>
      <c:valAx>
        <c:axId val="267754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78440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GEN - Annual!PivotTable2</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s>
    <c:plotArea>
      <c:layout/>
      <c:barChart>
        <c:barDir val="col"/>
        <c:grouping val="stacked"/>
        <c:varyColors val="0"/>
        <c:ser>
          <c:idx val="0"/>
          <c:order val="0"/>
          <c:tx>
            <c:strRef>
              <c:f>'HE GEN - Annual'!$E$2:$E$3</c:f>
              <c:strCache>
                <c:ptCount val="1"/>
                <c:pt idx="0">
                  <c:v>ELECTRIC</c:v>
                </c:pt>
              </c:strCache>
            </c:strRef>
          </c:tx>
          <c:spPr>
            <a:solidFill>
              <a:schemeClr val="accent1"/>
            </a:solidFill>
            <a:ln>
              <a:noFill/>
            </a:ln>
            <a:effectLst/>
          </c:spPr>
          <c:invertIfNegative val="0"/>
          <c:cat>
            <c:multiLvlStrRef>
              <c:f>'HE GEN - Annual'!$B$4:$D$13</c:f>
              <c:multiLvlStrCache>
                <c:ptCount val="9"/>
                <c:lvl>
                  <c:pt idx="0">
                    <c:v>2016</c:v>
                  </c:pt>
                  <c:pt idx="1">
                    <c:v>2016</c:v>
                  </c:pt>
                  <c:pt idx="2">
                    <c:v>2016</c:v>
                  </c:pt>
                  <c:pt idx="3">
                    <c:v>2016</c:v>
                  </c:pt>
                  <c:pt idx="4">
                    <c:v>2016</c:v>
                  </c:pt>
                  <c:pt idx="5">
                    <c:v>2016</c:v>
                  </c:pt>
                  <c:pt idx="6">
                    <c:v>2016</c:v>
                  </c:pt>
                  <c:pt idx="7">
                    <c:v>2016</c:v>
                  </c:pt>
                  <c:pt idx="8">
                    <c:v>2016</c:v>
                  </c:pt>
                </c:lvl>
                <c:lvl>
                  <c:pt idx="0">
                    <c:v>2016</c:v>
                  </c:pt>
                  <c:pt idx="1">
                    <c:v>2016</c:v>
                  </c:pt>
                  <c:pt idx="2">
                    <c:v>2016</c:v>
                  </c:pt>
                  <c:pt idx="3">
                    <c:v>2016</c:v>
                  </c:pt>
                  <c:pt idx="4">
                    <c:v>2016</c:v>
                  </c:pt>
                  <c:pt idx="5">
                    <c:v>2016</c:v>
                  </c:pt>
                  <c:pt idx="6">
                    <c:v>2016</c:v>
                  </c:pt>
                  <c:pt idx="7">
                    <c:v>2016</c:v>
                  </c:pt>
                  <c:pt idx="8">
                    <c:v>2016</c:v>
                  </c:pt>
                </c:lvl>
                <c:lvl>
                  <c:pt idx="0">
                    <c:v>DENMARK</c:v>
                  </c:pt>
                  <c:pt idx="1">
                    <c:v>GERMANY</c:v>
                  </c:pt>
                  <c:pt idx="2">
                    <c:v>NORWAY</c:v>
                  </c:pt>
                  <c:pt idx="3">
                    <c:v>SWEDEN</c:v>
                  </c:pt>
                  <c:pt idx="4">
                    <c:v>ESTONIA</c:v>
                  </c:pt>
                  <c:pt idx="5">
                    <c:v>LITHUANIA</c:v>
                  </c:pt>
                  <c:pt idx="6">
                    <c:v>POLAND</c:v>
                  </c:pt>
                  <c:pt idx="7">
                    <c:v>FINLAND</c:v>
                  </c:pt>
                  <c:pt idx="8">
                    <c:v>LATVIA</c:v>
                  </c:pt>
                </c:lvl>
              </c:multiLvlStrCache>
            </c:multiLvlStrRef>
          </c:cat>
          <c:val>
            <c:numRef>
              <c:f>'HE GEN - Annual'!$E$4:$E$13</c:f>
              <c:numCache>
                <c:formatCode>General</c:formatCode>
                <c:ptCount val="9"/>
                <c:pt idx="1">
                  <c:v>0.1286844</c:v>
                </c:pt>
                <c:pt idx="2">
                  <c:v>6.7557181127522001E-2</c:v>
                </c:pt>
                <c:pt idx="3">
                  <c:v>0.16948610870790992</c:v>
                </c:pt>
                <c:pt idx="7">
                  <c:v>0.75274867371893395</c:v>
                </c:pt>
              </c:numCache>
            </c:numRef>
          </c:val>
          <c:extLst>
            <c:ext xmlns:c16="http://schemas.microsoft.com/office/drawing/2014/chart" uri="{C3380CC4-5D6E-409C-BE32-E72D297353CC}">
              <c16:uniqueId val="{00000000-C23E-490F-98BC-81548CC429A8}"/>
            </c:ext>
          </c:extLst>
        </c:ser>
        <c:ser>
          <c:idx val="1"/>
          <c:order val="1"/>
          <c:tx>
            <c:strRef>
              <c:f>'HE GEN - Annual'!$F$2:$F$3</c:f>
              <c:strCache>
                <c:ptCount val="1"/>
                <c:pt idx="0">
                  <c:v>MUNIWASTE</c:v>
                </c:pt>
              </c:strCache>
            </c:strRef>
          </c:tx>
          <c:spPr>
            <a:solidFill>
              <a:schemeClr val="accent2"/>
            </a:solidFill>
            <a:ln>
              <a:noFill/>
            </a:ln>
            <a:effectLst/>
          </c:spPr>
          <c:invertIfNegative val="0"/>
          <c:cat>
            <c:multiLvlStrRef>
              <c:f>'HE GEN - Annual'!$B$4:$D$13</c:f>
              <c:multiLvlStrCache>
                <c:ptCount val="9"/>
                <c:lvl>
                  <c:pt idx="0">
                    <c:v>2016</c:v>
                  </c:pt>
                  <c:pt idx="1">
                    <c:v>2016</c:v>
                  </c:pt>
                  <c:pt idx="2">
                    <c:v>2016</c:v>
                  </c:pt>
                  <c:pt idx="3">
                    <c:v>2016</c:v>
                  </c:pt>
                  <c:pt idx="4">
                    <c:v>2016</c:v>
                  </c:pt>
                  <c:pt idx="5">
                    <c:v>2016</c:v>
                  </c:pt>
                  <c:pt idx="6">
                    <c:v>2016</c:v>
                  </c:pt>
                  <c:pt idx="7">
                    <c:v>2016</c:v>
                  </c:pt>
                  <c:pt idx="8">
                    <c:v>2016</c:v>
                  </c:pt>
                </c:lvl>
                <c:lvl>
                  <c:pt idx="0">
                    <c:v>2016</c:v>
                  </c:pt>
                  <c:pt idx="1">
                    <c:v>2016</c:v>
                  </c:pt>
                  <c:pt idx="2">
                    <c:v>2016</c:v>
                  </c:pt>
                  <c:pt idx="3">
                    <c:v>2016</c:v>
                  </c:pt>
                  <c:pt idx="4">
                    <c:v>2016</c:v>
                  </c:pt>
                  <c:pt idx="5">
                    <c:v>2016</c:v>
                  </c:pt>
                  <c:pt idx="6">
                    <c:v>2016</c:v>
                  </c:pt>
                  <c:pt idx="7">
                    <c:v>2016</c:v>
                  </c:pt>
                  <c:pt idx="8">
                    <c:v>2016</c:v>
                  </c:pt>
                </c:lvl>
                <c:lvl>
                  <c:pt idx="0">
                    <c:v>DENMARK</c:v>
                  </c:pt>
                  <c:pt idx="1">
                    <c:v>GERMANY</c:v>
                  </c:pt>
                  <c:pt idx="2">
                    <c:v>NORWAY</c:v>
                  </c:pt>
                  <c:pt idx="3">
                    <c:v>SWEDEN</c:v>
                  </c:pt>
                  <c:pt idx="4">
                    <c:v>ESTONIA</c:v>
                  </c:pt>
                  <c:pt idx="5">
                    <c:v>LITHUANIA</c:v>
                  </c:pt>
                  <c:pt idx="6">
                    <c:v>POLAND</c:v>
                  </c:pt>
                  <c:pt idx="7">
                    <c:v>FINLAND</c:v>
                  </c:pt>
                  <c:pt idx="8">
                    <c:v>LATVIA</c:v>
                  </c:pt>
                </c:lvl>
              </c:multiLvlStrCache>
            </c:multiLvlStrRef>
          </c:cat>
          <c:val>
            <c:numRef>
              <c:f>'HE GEN - Annual'!$F$4:$F$13</c:f>
              <c:numCache>
                <c:formatCode>General</c:formatCode>
                <c:ptCount val="9"/>
                <c:pt idx="0">
                  <c:v>8.0315527626601693</c:v>
                </c:pt>
                <c:pt idx="1">
                  <c:v>18.015387928286511</c:v>
                </c:pt>
                <c:pt idx="2">
                  <c:v>2.2378772137631433</c:v>
                </c:pt>
                <c:pt idx="3">
                  <c:v>15.428443406550635</c:v>
                </c:pt>
                <c:pt idx="4">
                  <c:v>0.29783999999999999</c:v>
                </c:pt>
                <c:pt idx="5">
                  <c:v>2.5841840458597689</c:v>
                </c:pt>
                <c:pt idx="6">
                  <c:v>1.4892000000000001</c:v>
                </c:pt>
              </c:numCache>
            </c:numRef>
          </c:val>
          <c:extLst>
            <c:ext xmlns:c16="http://schemas.microsoft.com/office/drawing/2014/chart" uri="{C3380CC4-5D6E-409C-BE32-E72D297353CC}">
              <c16:uniqueId val="{00000000-CC11-4F5E-BB3F-4E87481F6FEA}"/>
            </c:ext>
          </c:extLst>
        </c:ser>
        <c:ser>
          <c:idx val="2"/>
          <c:order val="2"/>
          <c:tx>
            <c:strRef>
              <c:f>'HE GEN - Annual'!$G$2:$G$3</c:f>
              <c:strCache>
                <c:ptCount val="1"/>
                <c:pt idx="0">
                  <c:v>WOODWASTE</c:v>
                </c:pt>
              </c:strCache>
            </c:strRef>
          </c:tx>
          <c:spPr>
            <a:solidFill>
              <a:schemeClr val="accent3"/>
            </a:solidFill>
            <a:ln>
              <a:noFill/>
            </a:ln>
            <a:effectLst/>
          </c:spPr>
          <c:invertIfNegative val="0"/>
          <c:cat>
            <c:multiLvlStrRef>
              <c:f>'HE GEN - Annual'!$B$4:$D$13</c:f>
              <c:multiLvlStrCache>
                <c:ptCount val="9"/>
                <c:lvl>
                  <c:pt idx="0">
                    <c:v>2016</c:v>
                  </c:pt>
                  <c:pt idx="1">
                    <c:v>2016</c:v>
                  </c:pt>
                  <c:pt idx="2">
                    <c:v>2016</c:v>
                  </c:pt>
                  <c:pt idx="3">
                    <c:v>2016</c:v>
                  </c:pt>
                  <c:pt idx="4">
                    <c:v>2016</c:v>
                  </c:pt>
                  <c:pt idx="5">
                    <c:v>2016</c:v>
                  </c:pt>
                  <c:pt idx="6">
                    <c:v>2016</c:v>
                  </c:pt>
                  <c:pt idx="7">
                    <c:v>2016</c:v>
                  </c:pt>
                  <c:pt idx="8">
                    <c:v>2016</c:v>
                  </c:pt>
                </c:lvl>
                <c:lvl>
                  <c:pt idx="0">
                    <c:v>2016</c:v>
                  </c:pt>
                  <c:pt idx="1">
                    <c:v>2016</c:v>
                  </c:pt>
                  <c:pt idx="2">
                    <c:v>2016</c:v>
                  </c:pt>
                  <c:pt idx="3">
                    <c:v>2016</c:v>
                  </c:pt>
                  <c:pt idx="4">
                    <c:v>2016</c:v>
                  </c:pt>
                  <c:pt idx="5">
                    <c:v>2016</c:v>
                  </c:pt>
                  <c:pt idx="6">
                    <c:v>2016</c:v>
                  </c:pt>
                  <c:pt idx="7">
                    <c:v>2016</c:v>
                  </c:pt>
                  <c:pt idx="8">
                    <c:v>2016</c:v>
                  </c:pt>
                </c:lvl>
                <c:lvl>
                  <c:pt idx="0">
                    <c:v>DENMARK</c:v>
                  </c:pt>
                  <c:pt idx="1">
                    <c:v>GERMANY</c:v>
                  </c:pt>
                  <c:pt idx="2">
                    <c:v>NORWAY</c:v>
                  </c:pt>
                  <c:pt idx="3">
                    <c:v>SWEDEN</c:v>
                  </c:pt>
                  <c:pt idx="4">
                    <c:v>ESTONIA</c:v>
                  </c:pt>
                  <c:pt idx="5">
                    <c:v>LITHUANIA</c:v>
                  </c:pt>
                  <c:pt idx="6">
                    <c:v>POLAND</c:v>
                  </c:pt>
                  <c:pt idx="7">
                    <c:v>FINLAND</c:v>
                  </c:pt>
                  <c:pt idx="8">
                    <c:v>LATVIA</c:v>
                  </c:pt>
                </c:lvl>
              </c:multiLvlStrCache>
            </c:multiLvlStrRef>
          </c:cat>
          <c:val>
            <c:numRef>
              <c:f>'HE GEN - Annual'!$G$4:$G$13</c:f>
              <c:numCache>
                <c:formatCode>General</c:formatCode>
                <c:ptCount val="9"/>
                <c:pt idx="0">
                  <c:v>0.14431527663556321</c:v>
                </c:pt>
                <c:pt idx="2">
                  <c:v>0.56083346287836799</c:v>
                </c:pt>
                <c:pt idx="3">
                  <c:v>23.914336592509159</c:v>
                </c:pt>
                <c:pt idx="4">
                  <c:v>1.106526315789474</c:v>
                </c:pt>
                <c:pt idx="5">
                  <c:v>0.23974736842105299</c:v>
                </c:pt>
                <c:pt idx="7">
                  <c:v>6.14284725925926</c:v>
                </c:pt>
              </c:numCache>
            </c:numRef>
          </c:val>
          <c:extLst>
            <c:ext xmlns:c16="http://schemas.microsoft.com/office/drawing/2014/chart" uri="{C3380CC4-5D6E-409C-BE32-E72D297353CC}">
              <c16:uniqueId val="{00000001-CC11-4F5E-BB3F-4E87481F6FEA}"/>
            </c:ext>
          </c:extLst>
        </c:ser>
        <c:ser>
          <c:idx val="3"/>
          <c:order val="3"/>
          <c:tx>
            <c:strRef>
              <c:f>'HE GEN - Annual'!$H$2:$H$3</c:f>
              <c:strCache>
                <c:ptCount val="1"/>
                <c:pt idx="0">
                  <c:v>WASTEHEAT</c:v>
                </c:pt>
              </c:strCache>
            </c:strRef>
          </c:tx>
          <c:spPr>
            <a:solidFill>
              <a:schemeClr val="accent4"/>
            </a:solidFill>
            <a:ln>
              <a:noFill/>
            </a:ln>
            <a:effectLst/>
          </c:spPr>
          <c:invertIfNegative val="0"/>
          <c:cat>
            <c:multiLvlStrRef>
              <c:f>'HE GEN - Annual'!$B$4:$D$13</c:f>
              <c:multiLvlStrCache>
                <c:ptCount val="9"/>
                <c:lvl>
                  <c:pt idx="0">
                    <c:v>2016</c:v>
                  </c:pt>
                  <c:pt idx="1">
                    <c:v>2016</c:v>
                  </c:pt>
                  <c:pt idx="2">
                    <c:v>2016</c:v>
                  </c:pt>
                  <c:pt idx="3">
                    <c:v>2016</c:v>
                  </c:pt>
                  <c:pt idx="4">
                    <c:v>2016</c:v>
                  </c:pt>
                  <c:pt idx="5">
                    <c:v>2016</c:v>
                  </c:pt>
                  <c:pt idx="6">
                    <c:v>2016</c:v>
                  </c:pt>
                  <c:pt idx="7">
                    <c:v>2016</c:v>
                  </c:pt>
                  <c:pt idx="8">
                    <c:v>2016</c:v>
                  </c:pt>
                </c:lvl>
                <c:lvl>
                  <c:pt idx="0">
                    <c:v>2016</c:v>
                  </c:pt>
                  <c:pt idx="1">
                    <c:v>2016</c:v>
                  </c:pt>
                  <c:pt idx="2">
                    <c:v>2016</c:v>
                  </c:pt>
                  <c:pt idx="3">
                    <c:v>2016</c:v>
                  </c:pt>
                  <c:pt idx="4">
                    <c:v>2016</c:v>
                  </c:pt>
                  <c:pt idx="5">
                    <c:v>2016</c:v>
                  </c:pt>
                  <c:pt idx="6">
                    <c:v>2016</c:v>
                  </c:pt>
                  <c:pt idx="7">
                    <c:v>2016</c:v>
                  </c:pt>
                  <c:pt idx="8">
                    <c:v>2016</c:v>
                  </c:pt>
                </c:lvl>
                <c:lvl>
                  <c:pt idx="0">
                    <c:v>DENMARK</c:v>
                  </c:pt>
                  <c:pt idx="1">
                    <c:v>GERMANY</c:v>
                  </c:pt>
                  <c:pt idx="2">
                    <c:v>NORWAY</c:v>
                  </c:pt>
                  <c:pt idx="3">
                    <c:v>SWEDEN</c:v>
                  </c:pt>
                  <c:pt idx="4">
                    <c:v>ESTONIA</c:v>
                  </c:pt>
                  <c:pt idx="5">
                    <c:v>LITHUANIA</c:v>
                  </c:pt>
                  <c:pt idx="6">
                    <c:v>POLAND</c:v>
                  </c:pt>
                  <c:pt idx="7">
                    <c:v>FINLAND</c:v>
                  </c:pt>
                  <c:pt idx="8">
                    <c:v>LATVIA</c:v>
                  </c:pt>
                </c:lvl>
              </c:multiLvlStrCache>
            </c:multiLvlStrRef>
          </c:cat>
          <c:val>
            <c:numRef>
              <c:f>'HE GEN - Annual'!$H$4:$H$13</c:f>
              <c:numCache>
                <c:formatCode>General</c:formatCode>
                <c:ptCount val="9"/>
                <c:pt idx="0">
                  <c:v>2.3880493800130265</c:v>
                </c:pt>
                <c:pt idx="2">
                  <c:v>0.18840353579019692</c:v>
                </c:pt>
                <c:pt idx="3">
                  <c:v>3.4956169897093963</c:v>
                </c:pt>
                <c:pt idx="7">
                  <c:v>1.9283832417582336</c:v>
                </c:pt>
              </c:numCache>
            </c:numRef>
          </c:val>
          <c:extLst>
            <c:ext xmlns:c16="http://schemas.microsoft.com/office/drawing/2014/chart" uri="{C3380CC4-5D6E-409C-BE32-E72D297353CC}">
              <c16:uniqueId val="{00000002-CC11-4F5E-BB3F-4E87481F6FEA}"/>
            </c:ext>
          </c:extLst>
        </c:ser>
        <c:ser>
          <c:idx val="4"/>
          <c:order val="4"/>
          <c:tx>
            <c:strRef>
              <c:f>'HE GEN - Annual'!$I$2:$I$3</c:f>
              <c:strCache>
                <c:ptCount val="1"/>
                <c:pt idx="0">
                  <c:v>NATGAS</c:v>
                </c:pt>
              </c:strCache>
            </c:strRef>
          </c:tx>
          <c:spPr>
            <a:solidFill>
              <a:schemeClr val="accent5"/>
            </a:solidFill>
            <a:ln>
              <a:noFill/>
            </a:ln>
            <a:effectLst/>
          </c:spPr>
          <c:invertIfNegative val="0"/>
          <c:cat>
            <c:multiLvlStrRef>
              <c:f>'HE GEN - Annual'!$B$4:$D$13</c:f>
              <c:multiLvlStrCache>
                <c:ptCount val="9"/>
                <c:lvl>
                  <c:pt idx="0">
                    <c:v>2016</c:v>
                  </c:pt>
                  <c:pt idx="1">
                    <c:v>2016</c:v>
                  </c:pt>
                  <c:pt idx="2">
                    <c:v>2016</c:v>
                  </c:pt>
                  <c:pt idx="3">
                    <c:v>2016</c:v>
                  </c:pt>
                  <c:pt idx="4">
                    <c:v>2016</c:v>
                  </c:pt>
                  <c:pt idx="5">
                    <c:v>2016</c:v>
                  </c:pt>
                  <c:pt idx="6">
                    <c:v>2016</c:v>
                  </c:pt>
                  <c:pt idx="7">
                    <c:v>2016</c:v>
                  </c:pt>
                  <c:pt idx="8">
                    <c:v>2016</c:v>
                  </c:pt>
                </c:lvl>
                <c:lvl>
                  <c:pt idx="0">
                    <c:v>2016</c:v>
                  </c:pt>
                  <c:pt idx="1">
                    <c:v>2016</c:v>
                  </c:pt>
                  <c:pt idx="2">
                    <c:v>2016</c:v>
                  </c:pt>
                  <c:pt idx="3">
                    <c:v>2016</c:v>
                  </c:pt>
                  <c:pt idx="4">
                    <c:v>2016</c:v>
                  </c:pt>
                  <c:pt idx="5">
                    <c:v>2016</c:v>
                  </c:pt>
                  <c:pt idx="6">
                    <c:v>2016</c:v>
                  </c:pt>
                  <c:pt idx="7">
                    <c:v>2016</c:v>
                  </c:pt>
                  <c:pt idx="8">
                    <c:v>2016</c:v>
                  </c:pt>
                </c:lvl>
                <c:lvl>
                  <c:pt idx="0">
                    <c:v>DENMARK</c:v>
                  </c:pt>
                  <c:pt idx="1">
                    <c:v>GERMANY</c:v>
                  </c:pt>
                  <c:pt idx="2">
                    <c:v>NORWAY</c:v>
                  </c:pt>
                  <c:pt idx="3">
                    <c:v>SWEDEN</c:v>
                  </c:pt>
                  <c:pt idx="4">
                    <c:v>ESTONIA</c:v>
                  </c:pt>
                  <c:pt idx="5">
                    <c:v>LITHUANIA</c:v>
                  </c:pt>
                  <c:pt idx="6">
                    <c:v>POLAND</c:v>
                  </c:pt>
                  <c:pt idx="7">
                    <c:v>FINLAND</c:v>
                  </c:pt>
                  <c:pt idx="8">
                    <c:v>LATVIA</c:v>
                  </c:pt>
                </c:lvl>
              </c:multiLvlStrCache>
            </c:multiLvlStrRef>
          </c:cat>
          <c:val>
            <c:numRef>
              <c:f>'HE GEN - Annual'!$I$4:$I$13</c:f>
              <c:numCache>
                <c:formatCode>General</c:formatCode>
                <c:ptCount val="9"/>
                <c:pt idx="0">
                  <c:v>17.085580975748137</c:v>
                </c:pt>
                <c:pt idx="1">
                  <c:v>144.19145427318298</c:v>
                </c:pt>
                <c:pt idx="3">
                  <c:v>4.2402818467531072</c:v>
                </c:pt>
                <c:pt idx="4">
                  <c:v>1.3492109556183645</c:v>
                </c:pt>
                <c:pt idx="5">
                  <c:v>0.34017999999999998</c:v>
                </c:pt>
                <c:pt idx="6">
                  <c:v>9.6622799999999991</c:v>
                </c:pt>
                <c:pt idx="7">
                  <c:v>26.508984254072018</c:v>
                </c:pt>
                <c:pt idx="8">
                  <c:v>2.7251469946524098</c:v>
                </c:pt>
              </c:numCache>
            </c:numRef>
          </c:val>
          <c:extLst>
            <c:ext xmlns:c16="http://schemas.microsoft.com/office/drawing/2014/chart" uri="{C3380CC4-5D6E-409C-BE32-E72D297353CC}">
              <c16:uniqueId val="{00000003-CC11-4F5E-BB3F-4E87481F6FEA}"/>
            </c:ext>
          </c:extLst>
        </c:ser>
        <c:ser>
          <c:idx val="5"/>
          <c:order val="5"/>
          <c:tx>
            <c:strRef>
              <c:f>'HE GEN - Annual'!$J$2:$J$3</c:f>
              <c:strCache>
                <c:ptCount val="1"/>
                <c:pt idx="0">
                  <c:v>STRAW</c:v>
                </c:pt>
              </c:strCache>
            </c:strRef>
          </c:tx>
          <c:spPr>
            <a:solidFill>
              <a:schemeClr val="accent6"/>
            </a:solidFill>
            <a:ln>
              <a:noFill/>
            </a:ln>
            <a:effectLst/>
          </c:spPr>
          <c:invertIfNegative val="0"/>
          <c:cat>
            <c:multiLvlStrRef>
              <c:f>'HE GEN - Annual'!$B$4:$D$13</c:f>
              <c:multiLvlStrCache>
                <c:ptCount val="9"/>
                <c:lvl>
                  <c:pt idx="0">
                    <c:v>2016</c:v>
                  </c:pt>
                  <c:pt idx="1">
                    <c:v>2016</c:v>
                  </c:pt>
                  <c:pt idx="2">
                    <c:v>2016</c:v>
                  </c:pt>
                  <c:pt idx="3">
                    <c:v>2016</c:v>
                  </c:pt>
                  <c:pt idx="4">
                    <c:v>2016</c:v>
                  </c:pt>
                  <c:pt idx="5">
                    <c:v>2016</c:v>
                  </c:pt>
                  <c:pt idx="6">
                    <c:v>2016</c:v>
                  </c:pt>
                  <c:pt idx="7">
                    <c:v>2016</c:v>
                  </c:pt>
                  <c:pt idx="8">
                    <c:v>2016</c:v>
                  </c:pt>
                </c:lvl>
                <c:lvl>
                  <c:pt idx="0">
                    <c:v>2016</c:v>
                  </c:pt>
                  <c:pt idx="1">
                    <c:v>2016</c:v>
                  </c:pt>
                  <c:pt idx="2">
                    <c:v>2016</c:v>
                  </c:pt>
                  <c:pt idx="3">
                    <c:v>2016</c:v>
                  </c:pt>
                  <c:pt idx="4">
                    <c:v>2016</c:v>
                  </c:pt>
                  <c:pt idx="5">
                    <c:v>2016</c:v>
                  </c:pt>
                  <c:pt idx="6">
                    <c:v>2016</c:v>
                  </c:pt>
                  <c:pt idx="7">
                    <c:v>2016</c:v>
                  </c:pt>
                  <c:pt idx="8">
                    <c:v>2016</c:v>
                  </c:pt>
                </c:lvl>
                <c:lvl>
                  <c:pt idx="0">
                    <c:v>DENMARK</c:v>
                  </c:pt>
                  <c:pt idx="1">
                    <c:v>GERMANY</c:v>
                  </c:pt>
                  <c:pt idx="2">
                    <c:v>NORWAY</c:v>
                  </c:pt>
                  <c:pt idx="3">
                    <c:v>SWEDEN</c:v>
                  </c:pt>
                  <c:pt idx="4">
                    <c:v>ESTONIA</c:v>
                  </c:pt>
                  <c:pt idx="5">
                    <c:v>LITHUANIA</c:v>
                  </c:pt>
                  <c:pt idx="6">
                    <c:v>POLAND</c:v>
                  </c:pt>
                  <c:pt idx="7">
                    <c:v>FINLAND</c:v>
                  </c:pt>
                  <c:pt idx="8">
                    <c:v>LATVIA</c:v>
                  </c:pt>
                </c:lvl>
              </c:multiLvlStrCache>
            </c:multiLvlStrRef>
          </c:cat>
          <c:val>
            <c:numRef>
              <c:f>'HE GEN - Annual'!$J$4:$J$13</c:f>
              <c:numCache>
                <c:formatCode>General</c:formatCode>
                <c:ptCount val="9"/>
                <c:pt idx="0">
                  <c:v>1.7667643764788781</c:v>
                </c:pt>
                <c:pt idx="3">
                  <c:v>2.1899999999999999E-2</c:v>
                </c:pt>
                <c:pt idx="6">
                  <c:v>38.211377954352592</c:v>
                </c:pt>
              </c:numCache>
            </c:numRef>
          </c:val>
          <c:extLst>
            <c:ext xmlns:c16="http://schemas.microsoft.com/office/drawing/2014/chart" uri="{C3380CC4-5D6E-409C-BE32-E72D297353CC}">
              <c16:uniqueId val="{00000004-CC11-4F5E-BB3F-4E87481F6FEA}"/>
            </c:ext>
          </c:extLst>
        </c:ser>
        <c:ser>
          <c:idx val="6"/>
          <c:order val="6"/>
          <c:tx>
            <c:strRef>
              <c:f>'HE GEN - Annual'!$K$2:$K$3</c:f>
              <c:strCache>
                <c:ptCount val="1"/>
                <c:pt idx="0">
                  <c:v>WOODCHIPS</c:v>
                </c:pt>
              </c:strCache>
            </c:strRef>
          </c:tx>
          <c:spPr>
            <a:solidFill>
              <a:schemeClr val="accent1">
                <a:lumMod val="60000"/>
              </a:schemeClr>
            </a:solidFill>
            <a:ln>
              <a:noFill/>
            </a:ln>
            <a:effectLst/>
          </c:spPr>
          <c:invertIfNegative val="0"/>
          <c:cat>
            <c:multiLvlStrRef>
              <c:f>'HE GEN - Annual'!$B$4:$D$13</c:f>
              <c:multiLvlStrCache>
                <c:ptCount val="9"/>
                <c:lvl>
                  <c:pt idx="0">
                    <c:v>2016</c:v>
                  </c:pt>
                  <c:pt idx="1">
                    <c:v>2016</c:v>
                  </c:pt>
                  <c:pt idx="2">
                    <c:v>2016</c:v>
                  </c:pt>
                  <c:pt idx="3">
                    <c:v>2016</c:v>
                  </c:pt>
                  <c:pt idx="4">
                    <c:v>2016</c:v>
                  </c:pt>
                  <c:pt idx="5">
                    <c:v>2016</c:v>
                  </c:pt>
                  <c:pt idx="6">
                    <c:v>2016</c:v>
                  </c:pt>
                  <c:pt idx="7">
                    <c:v>2016</c:v>
                  </c:pt>
                  <c:pt idx="8">
                    <c:v>2016</c:v>
                  </c:pt>
                </c:lvl>
                <c:lvl>
                  <c:pt idx="0">
                    <c:v>2016</c:v>
                  </c:pt>
                  <c:pt idx="1">
                    <c:v>2016</c:v>
                  </c:pt>
                  <c:pt idx="2">
                    <c:v>2016</c:v>
                  </c:pt>
                  <c:pt idx="3">
                    <c:v>2016</c:v>
                  </c:pt>
                  <c:pt idx="4">
                    <c:v>2016</c:v>
                  </c:pt>
                  <c:pt idx="5">
                    <c:v>2016</c:v>
                  </c:pt>
                  <c:pt idx="6">
                    <c:v>2016</c:v>
                  </c:pt>
                  <c:pt idx="7">
                    <c:v>2016</c:v>
                  </c:pt>
                  <c:pt idx="8">
                    <c:v>2016</c:v>
                  </c:pt>
                </c:lvl>
                <c:lvl>
                  <c:pt idx="0">
                    <c:v>DENMARK</c:v>
                  </c:pt>
                  <c:pt idx="1">
                    <c:v>GERMANY</c:v>
                  </c:pt>
                  <c:pt idx="2">
                    <c:v>NORWAY</c:v>
                  </c:pt>
                  <c:pt idx="3">
                    <c:v>SWEDEN</c:v>
                  </c:pt>
                  <c:pt idx="4">
                    <c:v>ESTONIA</c:v>
                  </c:pt>
                  <c:pt idx="5">
                    <c:v>LITHUANIA</c:v>
                  </c:pt>
                  <c:pt idx="6">
                    <c:v>POLAND</c:v>
                  </c:pt>
                  <c:pt idx="7">
                    <c:v>FINLAND</c:v>
                  </c:pt>
                  <c:pt idx="8">
                    <c:v>LATVIA</c:v>
                  </c:pt>
                </c:lvl>
              </c:multiLvlStrCache>
            </c:multiLvlStrRef>
          </c:cat>
          <c:val>
            <c:numRef>
              <c:f>'HE GEN - Annual'!$K$4:$K$13</c:f>
              <c:numCache>
                <c:formatCode>General</c:formatCode>
                <c:ptCount val="9"/>
                <c:pt idx="0">
                  <c:v>2.127507544047281</c:v>
                </c:pt>
                <c:pt idx="3">
                  <c:v>0.9063101144425314</c:v>
                </c:pt>
                <c:pt idx="7">
                  <c:v>10.485024699674375</c:v>
                </c:pt>
              </c:numCache>
            </c:numRef>
          </c:val>
          <c:extLst>
            <c:ext xmlns:c16="http://schemas.microsoft.com/office/drawing/2014/chart" uri="{C3380CC4-5D6E-409C-BE32-E72D297353CC}">
              <c16:uniqueId val="{00000005-CC11-4F5E-BB3F-4E87481F6FEA}"/>
            </c:ext>
          </c:extLst>
        </c:ser>
        <c:ser>
          <c:idx val="7"/>
          <c:order val="7"/>
          <c:tx>
            <c:strRef>
              <c:f>'HE GEN - Annual'!$L$2:$L$3</c:f>
              <c:strCache>
                <c:ptCount val="1"/>
                <c:pt idx="0">
                  <c:v>LPG</c:v>
                </c:pt>
              </c:strCache>
            </c:strRef>
          </c:tx>
          <c:spPr>
            <a:solidFill>
              <a:schemeClr val="accent2">
                <a:lumMod val="60000"/>
              </a:schemeClr>
            </a:solidFill>
            <a:ln>
              <a:noFill/>
            </a:ln>
            <a:effectLst/>
          </c:spPr>
          <c:invertIfNegative val="0"/>
          <c:cat>
            <c:multiLvlStrRef>
              <c:f>'HE GEN - Annual'!$B$4:$D$13</c:f>
              <c:multiLvlStrCache>
                <c:ptCount val="9"/>
                <c:lvl>
                  <c:pt idx="0">
                    <c:v>2016</c:v>
                  </c:pt>
                  <c:pt idx="1">
                    <c:v>2016</c:v>
                  </c:pt>
                  <c:pt idx="2">
                    <c:v>2016</c:v>
                  </c:pt>
                  <c:pt idx="3">
                    <c:v>2016</c:v>
                  </c:pt>
                  <c:pt idx="4">
                    <c:v>2016</c:v>
                  </c:pt>
                  <c:pt idx="5">
                    <c:v>2016</c:v>
                  </c:pt>
                  <c:pt idx="6">
                    <c:v>2016</c:v>
                  </c:pt>
                  <c:pt idx="7">
                    <c:v>2016</c:v>
                  </c:pt>
                  <c:pt idx="8">
                    <c:v>2016</c:v>
                  </c:pt>
                </c:lvl>
                <c:lvl>
                  <c:pt idx="0">
                    <c:v>2016</c:v>
                  </c:pt>
                  <c:pt idx="1">
                    <c:v>2016</c:v>
                  </c:pt>
                  <c:pt idx="2">
                    <c:v>2016</c:v>
                  </c:pt>
                  <c:pt idx="3">
                    <c:v>2016</c:v>
                  </c:pt>
                  <c:pt idx="4">
                    <c:v>2016</c:v>
                  </c:pt>
                  <c:pt idx="5">
                    <c:v>2016</c:v>
                  </c:pt>
                  <c:pt idx="6">
                    <c:v>2016</c:v>
                  </c:pt>
                  <c:pt idx="7">
                    <c:v>2016</c:v>
                  </c:pt>
                  <c:pt idx="8">
                    <c:v>2016</c:v>
                  </c:pt>
                </c:lvl>
                <c:lvl>
                  <c:pt idx="0">
                    <c:v>DENMARK</c:v>
                  </c:pt>
                  <c:pt idx="1">
                    <c:v>GERMANY</c:v>
                  </c:pt>
                  <c:pt idx="2">
                    <c:v>NORWAY</c:v>
                  </c:pt>
                  <c:pt idx="3">
                    <c:v>SWEDEN</c:v>
                  </c:pt>
                  <c:pt idx="4">
                    <c:v>ESTONIA</c:v>
                  </c:pt>
                  <c:pt idx="5">
                    <c:v>LITHUANIA</c:v>
                  </c:pt>
                  <c:pt idx="6">
                    <c:v>POLAND</c:v>
                  </c:pt>
                  <c:pt idx="7">
                    <c:v>FINLAND</c:v>
                  </c:pt>
                  <c:pt idx="8">
                    <c:v>LATVIA</c:v>
                  </c:pt>
                </c:lvl>
              </c:multiLvlStrCache>
            </c:multiLvlStrRef>
          </c:cat>
          <c:val>
            <c:numRef>
              <c:f>'HE GEN - Annual'!$L$4:$L$13</c:f>
              <c:numCache>
                <c:formatCode>General</c:formatCode>
                <c:ptCount val="9"/>
                <c:pt idx="2">
                  <c:v>1.708082398525393</c:v>
                </c:pt>
              </c:numCache>
            </c:numRef>
          </c:val>
          <c:extLst>
            <c:ext xmlns:c16="http://schemas.microsoft.com/office/drawing/2014/chart" uri="{C3380CC4-5D6E-409C-BE32-E72D297353CC}">
              <c16:uniqueId val="{00000006-CC11-4F5E-BB3F-4E87481F6FEA}"/>
            </c:ext>
          </c:extLst>
        </c:ser>
        <c:ser>
          <c:idx val="8"/>
          <c:order val="8"/>
          <c:tx>
            <c:strRef>
              <c:f>'HE GEN - Annual'!$M$2:$M$3</c:f>
              <c:strCache>
                <c:ptCount val="1"/>
                <c:pt idx="0">
                  <c:v>RECYCLEDWOOD</c:v>
                </c:pt>
              </c:strCache>
            </c:strRef>
          </c:tx>
          <c:spPr>
            <a:solidFill>
              <a:schemeClr val="accent3">
                <a:lumMod val="60000"/>
              </a:schemeClr>
            </a:solidFill>
            <a:ln>
              <a:noFill/>
            </a:ln>
            <a:effectLst/>
          </c:spPr>
          <c:invertIfNegative val="0"/>
          <c:cat>
            <c:multiLvlStrRef>
              <c:f>'HE GEN - Annual'!$B$4:$D$13</c:f>
              <c:multiLvlStrCache>
                <c:ptCount val="9"/>
                <c:lvl>
                  <c:pt idx="0">
                    <c:v>2016</c:v>
                  </c:pt>
                  <c:pt idx="1">
                    <c:v>2016</c:v>
                  </c:pt>
                  <c:pt idx="2">
                    <c:v>2016</c:v>
                  </c:pt>
                  <c:pt idx="3">
                    <c:v>2016</c:v>
                  </c:pt>
                  <c:pt idx="4">
                    <c:v>2016</c:v>
                  </c:pt>
                  <c:pt idx="5">
                    <c:v>2016</c:v>
                  </c:pt>
                  <c:pt idx="6">
                    <c:v>2016</c:v>
                  </c:pt>
                  <c:pt idx="7">
                    <c:v>2016</c:v>
                  </c:pt>
                  <c:pt idx="8">
                    <c:v>2016</c:v>
                  </c:pt>
                </c:lvl>
                <c:lvl>
                  <c:pt idx="0">
                    <c:v>2016</c:v>
                  </c:pt>
                  <c:pt idx="1">
                    <c:v>2016</c:v>
                  </c:pt>
                  <c:pt idx="2">
                    <c:v>2016</c:v>
                  </c:pt>
                  <c:pt idx="3">
                    <c:v>2016</c:v>
                  </c:pt>
                  <c:pt idx="4">
                    <c:v>2016</c:v>
                  </c:pt>
                  <c:pt idx="5">
                    <c:v>2016</c:v>
                  </c:pt>
                  <c:pt idx="6">
                    <c:v>2016</c:v>
                  </c:pt>
                  <c:pt idx="7">
                    <c:v>2016</c:v>
                  </c:pt>
                  <c:pt idx="8">
                    <c:v>2016</c:v>
                  </c:pt>
                </c:lvl>
                <c:lvl>
                  <c:pt idx="0">
                    <c:v>DENMARK</c:v>
                  </c:pt>
                  <c:pt idx="1">
                    <c:v>GERMANY</c:v>
                  </c:pt>
                  <c:pt idx="2">
                    <c:v>NORWAY</c:v>
                  </c:pt>
                  <c:pt idx="3">
                    <c:v>SWEDEN</c:v>
                  </c:pt>
                  <c:pt idx="4">
                    <c:v>ESTONIA</c:v>
                  </c:pt>
                  <c:pt idx="5">
                    <c:v>LITHUANIA</c:v>
                  </c:pt>
                  <c:pt idx="6">
                    <c:v>POLAND</c:v>
                  </c:pt>
                  <c:pt idx="7">
                    <c:v>FINLAND</c:v>
                  </c:pt>
                  <c:pt idx="8">
                    <c:v>LATVIA</c:v>
                  </c:pt>
                </c:lvl>
              </c:multiLvlStrCache>
            </c:multiLvlStrRef>
          </c:cat>
          <c:val>
            <c:numRef>
              <c:f>'HE GEN - Annual'!$M$4:$M$13</c:f>
              <c:numCache>
                <c:formatCode>General</c:formatCode>
                <c:ptCount val="9"/>
                <c:pt idx="3">
                  <c:v>3.2682256481716538</c:v>
                </c:pt>
              </c:numCache>
            </c:numRef>
          </c:val>
          <c:extLst>
            <c:ext xmlns:c16="http://schemas.microsoft.com/office/drawing/2014/chart" uri="{C3380CC4-5D6E-409C-BE32-E72D297353CC}">
              <c16:uniqueId val="{00000007-CC11-4F5E-BB3F-4E87481F6FEA}"/>
            </c:ext>
          </c:extLst>
        </c:ser>
        <c:ser>
          <c:idx val="9"/>
          <c:order val="9"/>
          <c:tx>
            <c:strRef>
              <c:f>'HE GEN - Annual'!$N$2:$N$3</c:f>
              <c:strCache>
                <c:ptCount val="1"/>
                <c:pt idx="0">
                  <c:v>WOOD</c:v>
                </c:pt>
              </c:strCache>
            </c:strRef>
          </c:tx>
          <c:spPr>
            <a:solidFill>
              <a:schemeClr val="accent4">
                <a:lumMod val="60000"/>
              </a:schemeClr>
            </a:solidFill>
            <a:ln>
              <a:noFill/>
            </a:ln>
            <a:effectLst/>
          </c:spPr>
          <c:invertIfNegative val="0"/>
          <c:cat>
            <c:multiLvlStrRef>
              <c:f>'HE GEN - Annual'!$B$4:$D$13</c:f>
              <c:multiLvlStrCache>
                <c:ptCount val="9"/>
                <c:lvl>
                  <c:pt idx="0">
                    <c:v>2016</c:v>
                  </c:pt>
                  <c:pt idx="1">
                    <c:v>2016</c:v>
                  </c:pt>
                  <c:pt idx="2">
                    <c:v>2016</c:v>
                  </c:pt>
                  <c:pt idx="3">
                    <c:v>2016</c:v>
                  </c:pt>
                  <c:pt idx="4">
                    <c:v>2016</c:v>
                  </c:pt>
                  <c:pt idx="5">
                    <c:v>2016</c:v>
                  </c:pt>
                  <c:pt idx="6">
                    <c:v>2016</c:v>
                  </c:pt>
                  <c:pt idx="7">
                    <c:v>2016</c:v>
                  </c:pt>
                  <c:pt idx="8">
                    <c:v>2016</c:v>
                  </c:pt>
                </c:lvl>
                <c:lvl>
                  <c:pt idx="0">
                    <c:v>2016</c:v>
                  </c:pt>
                  <c:pt idx="1">
                    <c:v>2016</c:v>
                  </c:pt>
                  <c:pt idx="2">
                    <c:v>2016</c:v>
                  </c:pt>
                  <c:pt idx="3">
                    <c:v>2016</c:v>
                  </c:pt>
                  <c:pt idx="4">
                    <c:v>2016</c:v>
                  </c:pt>
                  <c:pt idx="5">
                    <c:v>2016</c:v>
                  </c:pt>
                  <c:pt idx="6">
                    <c:v>2016</c:v>
                  </c:pt>
                  <c:pt idx="7">
                    <c:v>2016</c:v>
                  </c:pt>
                  <c:pt idx="8">
                    <c:v>2016</c:v>
                  </c:pt>
                </c:lvl>
                <c:lvl>
                  <c:pt idx="0">
                    <c:v>DENMARK</c:v>
                  </c:pt>
                  <c:pt idx="1">
                    <c:v>GERMANY</c:v>
                  </c:pt>
                  <c:pt idx="2">
                    <c:v>NORWAY</c:v>
                  </c:pt>
                  <c:pt idx="3">
                    <c:v>SWEDEN</c:v>
                  </c:pt>
                  <c:pt idx="4">
                    <c:v>ESTONIA</c:v>
                  </c:pt>
                  <c:pt idx="5">
                    <c:v>LITHUANIA</c:v>
                  </c:pt>
                  <c:pt idx="6">
                    <c:v>POLAND</c:v>
                  </c:pt>
                  <c:pt idx="7">
                    <c:v>FINLAND</c:v>
                  </c:pt>
                  <c:pt idx="8">
                    <c:v>LATVIA</c:v>
                  </c:pt>
                </c:lvl>
              </c:multiLvlStrCache>
            </c:multiLvlStrRef>
          </c:cat>
          <c:val>
            <c:numRef>
              <c:f>'HE GEN - Annual'!$N$4:$N$13</c:f>
              <c:numCache>
                <c:formatCode>General</c:formatCode>
                <c:ptCount val="9"/>
                <c:pt idx="3">
                  <c:v>16.71565428756832</c:v>
                </c:pt>
                <c:pt idx="4">
                  <c:v>1.9601057378207856</c:v>
                </c:pt>
                <c:pt idx="5">
                  <c:v>0.16311724137931</c:v>
                </c:pt>
                <c:pt idx="6">
                  <c:v>10.655304094270999</c:v>
                </c:pt>
                <c:pt idx="7">
                  <c:v>21.22108964844621</c:v>
                </c:pt>
                <c:pt idx="8">
                  <c:v>0.92752941176470505</c:v>
                </c:pt>
              </c:numCache>
            </c:numRef>
          </c:val>
          <c:extLst>
            <c:ext xmlns:c16="http://schemas.microsoft.com/office/drawing/2014/chart" uri="{C3380CC4-5D6E-409C-BE32-E72D297353CC}">
              <c16:uniqueId val="{00000008-CC11-4F5E-BB3F-4E87481F6FEA}"/>
            </c:ext>
          </c:extLst>
        </c:ser>
        <c:dLbls>
          <c:showLegendKey val="0"/>
          <c:showVal val="0"/>
          <c:showCatName val="0"/>
          <c:showSerName val="0"/>
          <c:showPercent val="0"/>
          <c:showBubbleSize val="0"/>
        </c:dLbls>
        <c:gapWidth val="150"/>
        <c:overlap val="100"/>
        <c:axId val="267947144"/>
        <c:axId val="267947536"/>
      </c:barChart>
      <c:catAx>
        <c:axId val="267947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7536"/>
        <c:crosses val="autoZero"/>
        <c:auto val="1"/>
        <c:lblAlgn val="ctr"/>
        <c:lblOffset val="100"/>
        <c:noMultiLvlLbl val="0"/>
      </c:catAx>
      <c:valAx>
        <c:axId val="2679475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71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GEN - Time!PivotTable1</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w="25400">
            <a:noFill/>
          </a:ln>
          <a:effectLst/>
        </c:spPr>
        <c:marker>
          <c:symbol val="none"/>
        </c:marker>
      </c:pivotFmt>
      <c:pivotFmt>
        <c:idx val="5"/>
        <c:spPr>
          <a:solidFill>
            <a:schemeClr val="accent1"/>
          </a:solidFill>
          <a:ln w="25400">
            <a:noFill/>
          </a:ln>
          <a:effectLst/>
        </c:spPr>
        <c:marker>
          <c:symbol val="none"/>
        </c:marker>
      </c:pivotFmt>
      <c:pivotFmt>
        <c:idx val="6"/>
        <c:spPr>
          <a:solidFill>
            <a:schemeClr val="accent1"/>
          </a:solidFill>
          <a:ln w="25400">
            <a:noFill/>
          </a:ln>
          <a:effectLst/>
        </c:spPr>
        <c:marker>
          <c:symbol val="none"/>
        </c:marker>
      </c:pivotFmt>
      <c:pivotFmt>
        <c:idx val="7"/>
        <c:spPr>
          <a:solidFill>
            <a:schemeClr val="accent1"/>
          </a:solidFill>
          <a:ln w="25400">
            <a:noFill/>
          </a:ln>
          <a:effectLst/>
        </c:spPr>
        <c:marker>
          <c:symbol val="none"/>
        </c:marker>
      </c:pivotFmt>
      <c:pivotFmt>
        <c:idx val="8"/>
        <c:spPr>
          <a:solidFill>
            <a:schemeClr val="accent1"/>
          </a:solidFill>
          <a:ln w="25400">
            <a:noFill/>
          </a:ln>
          <a:effectLst/>
        </c:spPr>
        <c:marker>
          <c:symbol val="none"/>
        </c:marker>
      </c:pivotFmt>
      <c:pivotFmt>
        <c:idx val="9"/>
        <c:spPr>
          <a:solidFill>
            <a:schemeClr val="accent1"/>
          </a:solidFill>
          <a:ln w="25400">
            <a:noFill/>
          </a:ln>
          <a:effectLst/>
        </c:spPr>
        <c:marker>
          <c:symbol val="none"/>
        </c:marker>
      </c:pivotFmt>
      <c:pivotFmt>
        <c:idx val="10"/>
        <c:spPr>
          <a:solidFill>
            <a:schemeClr val="accent1"/>
          </a:solidFill>
          <a:ln w="25400">
            <a:noFill/>
          </a:ln>
          <a:effectLst/>
        </c:spPr>
        <c:marker>
          <c:symbol val="none"/>
        </c:marker>
      </c:pivotFmt>
      <c:pivotFmt>
        <c:idx val="11"/>
        <c:spPr>
          <a:solidFill>
            <a:schemeClr val="accent1"/>
          </a:solidFill>
          <a:ln w="25400">
            <a:noFill/>
          </a:ln>
          <a:effectLst/>
        </c:spPr>
        <c:marker>
          <c:symbol val="none"/>
        </c:marker>
      </c:pivotFmt>
      <c:pivotFmt>
        <c:idx val="12"/>
        <c:spPr>
          <a:solidFill>
            <a:schemeClr val="accent1"/>
          </a:solidFill>
          <a:ln w="25400">
            <a:noFill/>
          </a:ln>
          <a:effectLst/>
        </c:spPr>
        <c:marker>
          <c:symbol val="none"/>
        </c:marker>
      </c:pivotFmt>
      <c:pivotFmt>
        <c:idx val="13"/>
        <c:spPr>
          <a:solidFill>
            <a:schemeClr val="accent1"/>
          </a:solidFill>
          <a:ln w="25400">
            <a:noFill/>
          </a:ln>
          <a:effectLst/>
        </c:spPr>
        <c:marker>
          <c:symbol val="none"/>
        </c:marker>
      </c:pivotFmt>
      <c:pivotFmt>
        <c:idx val="14"/>
        <c:spPr>
          <a:solidFill>
            <a:schemeClr val="accent1"/>
          </a:solidFill>
          <a:ln w="25400">
            <a:noFill/>
          </a:ln>
          <a:effectLst/>
        </c:spPr>
        <c:marker>
          <c:symbol val="none"/>
        </c:marker>
      </c:pivotFmt>
      <c:pivotFmt>
        <c:idx val="15"/>
        <c:spPr>
          <a:solidFill>
            <a:schemeClr val="accent1"/>
          </a:solidFill>
          <a:ln w="25400">
            <a:noFill/>
          </a:ln>
          <a:effectLst/>
        </c:spPr>
        <c:marker>
          <c:symbol val="none"/>
        </c:marker>
      </c:pivotFmt>
      <c:pivotFmt>
        <c:idx val="16"/>
        <c:spPr>
          <a:solidFill>
            <a:schemeClr val="accent1"/>
          </a:solidFill>
          <a:ln w="25400">
            <a:noFill/>
          </a:ln>
          <a:effectLst/>
        </c:spPr>
        <c:marker>
          <c:symbol val="none"/>
        </c:marker>
      </c:pivotFmt>
      <c:pivotFmt>
        <c:idx val="17"/>
        <c:spPr>
          <a:solidFill>
            <a:schemeClr val="accent1"/>
          </a:solidFill>
          <a:ln w="25400">
            <a:noFill/>
          </a:ln>
          <a:effectLst/>
        </c:spPr>
        <c:marker>
          <c:symbol val="none"/>
        </c:marker>
      </c:pivotFmt>
      <c:pivotFmt>
        <c:idx val="18"/>
        <c:spPr>
          <a:solidFill>
            <a:schemeClr val="accent1"/>
          </a:solidFill>
          <a:ln w="25400">
            <a:noFill/>
          </a:ln>
          <a:effectLst/>
        </c:spPr>
        <c:marker>
          <c:symbol val="none"/>
        </c:marker>
      </c:pivotFmt>
      <c:pivotFmt>
        <c:idx val="19"/>
        <c:spPr>
          <a:solidFill>
            <a:schemeClr val="accent1"/>
          </a:solidFill>
          <a:ln w="25400">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w="25400">
            <a:noFill/>
          </a:ln>
          <a:effectLst/>
        </c:spPr>
        <c:marker>
          <c:symbol val="none"/>
        </c:marker>
      </c:pivotFmt>
      <c:pivotFmt>
        <c:idx val="40"/>
        <c:spPr>
          <a:solidFill>
            <a:schemeClr val="accent1"/>
          </a:solidFill>
          <a:ln w="25400">
            <a:noFill/>
          </a:ln>
          <a:effectLst/>
        </c:spPr>
        <c:marker>
          <c:symbol val="none"/>
        </c:marker>
      </c:pivotFmt>
      <c:pivotFmt>
        <c:idx val="41"/>
        <c:spPr>
          <a:solidFill>
            <a:schemeClr val="accent1"/>
          </a:solidFill>
          <a:ln w="25400">
            <a:noFill/>
          </a:ln>
          <a:effectLst/>
        </c:spPr>
        <c:marker>
          <c:symbol val="none"/>
        </c:marker>
      </c:pivotFmt>
      <c:pivotFmt>
        <c:idx val="42"/>
        <c:spPr>
          <a:solidFill>
            <a:schemeClr val="accent1"/>
          </a:solidFill>
          <a:ln w="25400">
            <a:noFill/>
          </a:ln>
          <a:effectLst/>
        </c:spPr>
        <c:marker>
          <c:symbol val="none"/>
        </c:marker>
      </c:pivotFmt>
      <c:pivotFmt>
        <c:idx val="43"/>
        <c:spPr>
          <a:solidFill>
            <a:schemeClr val="accent1"/>
          </a:solidFill>
          <a:ln w="25400">
            <a:noFill/>
          </a:ln>
          <a:effectLst/>
        </c:spPr>
        <c:marker>
          <c:symbol val="none"/>
        </c:marker>
      </c:pivotFmt>
      <c:pivotFmt>
        <c:idx val="44"/>
        <c:spPr>
          <a:solidFill>
            <a:schemeClr val="accent1"/>
          </a:solidFill>
          <a:ln w="25400">
            <a:noFill/>
          </a:ln>
          <a:effectLst/>
        </c:spPr>
        <c:marker>
          <c:symbol val="none"/>
        </c:marker>
      </c:pivotFmt>
      <c:pivotFmt>
        <c:idx val="45"/>
        <c:spPr>
          <a:solidFill>
            <a:schemeClr val="accent1"/>
          </a:solidFill>
          <a:ln w="25400">
            <a:noFill/>
          </a:ln>
          <a:effectLst/>
        </c:spPr>
        <c:marker>
          <c:symbol val="none"/>
        </c:marker>
      </c:pivotFmt>
      <c:pivotFmt>
        <c:idx val="46"/>
        <c:spPr>
          <a:solidFill>
            <a:schemeClr val="accent1"/>
          </a:solidFill>
          <a:ln w="25400">
            <a:noFill/>
          </a:ln>
          <a:effectLst/>
        </c:spPr>
        <c:marker>
          <c:symbol val="none"/>
        </c:marker>
      </c:pivotFmt>
      <c:pivotFmt>
        <c:idx val="47"/>
        <c:spPr>
          <a:solidFill>
            <a:schemeClr val="accent1"/>
          </a:solidFill>
          <a:ln w="25400">
            <a:noFill/>
          </a:ln>
          <a:effectLst/>
        </c:spPr>
        <c:marker>
          <c:symbol val="none"/>
        </c:marker>
      </c:pivotFmt>
      <c:pivotFmt>
        <c:idx val="48"/>
        <c:spPr>
          <a:solidFill>
            <a:schemeClr val="accent1"/>
          </a:solidFill>
          <a:ln w="25400">
            <a:noFill/>
          </a:ln>
          <a:effectLst/>
        </c:spPr>
        <c:marker>
          <c:symbol val="none"/>
        </c:marker>
      </c:pivotFmt>
      <c:pivotFmt>
        <c:idx val="49"/>
        <c:spPr>
          <a:solidFill>
            <a:schemeClr val="accent1"/>
          </a:solidFill>
          <a:ln w="25400">
            <a:noFill/>
          </a:ln>
          <a:effectLst/>
        </c:spPr>
        <c:marker>
          <c:symbol val="none"/>
        </c:marker>
      </c:pivotFmt>
      <c:pivotFmt>
        <c:idx val="50"/>
        <c:spPr>
          <a:solidFill>
            <a:schemeClr val="accent1"/>
          </a:solidFill>
          <a:ln w="25400">
            <a:noFill/>
          </a:ln>
          <a:effectLst/>
        </c:spPr>
        <c:marker>
          <c:symbol val="none"/>
        </c:marker>
      </c:pivotFmt>
      <c:pivotFmt>
        <c:idx val="51"/>
        <c:spPr>
          <a:solidFill>
            <a:schemeClr val="accent1"/>
          </a:solidFill>
          <a:ln w="25400">
            <a:noFill/>
          </a:ln>
          <a:effectLst/>
        </c:spPr>
        <c:marker>
          <c:symbol val="none"/>
        </c:marker>
      </c:pivotFmt>
      <c:pivotFmt>
        <c:idx val="52"/>
        <c:spPr>
          <a:solidFill>
            <a:schemeClr val="accent1"/>
          </a:solidFill>
          <a:ln w="25400">
            <a:noFill/>
          </a:ln>
          <a:effectLst/>
        </c:spPr>
        <c:marker>
          <c:symbol val="none"/>
        </c:marker>
      </c:pivotFmt>
      <c:pivotFmt>
        <c:idx val="53"/>
        <c:spPr>
          <a:solidFill>
            <a:schemeClr val="accent1"/>
          </a:solidFill>
          <a:ln w="25400">
            <a:noFill/>
          </a:ln>
          <a:effectLst/>
        </c:spPr>
        <c:marker>
          <c:symbol val="none"/>
        </c:marker>
      </c:pivotFmt>
      <c:pivotFmt>
        <c:idx val="54"/>
        <c:spPr>
          <a:solidFill>
            <a:schemeClr val="accent1"/>
          </a:solidFill>
          <a:ln w="25400">
            <a:noFill/>
          </a:ln>
          <a:effectLst/>
        </c:spPr>
        <c:marker>
          <c:symbol val="none"/>
        </c:marker>
      </c:pivotFmt>
      <c:pivotFmt>
        <c:idx val="55"/>
        <c:spPr>
          <a:solidFill>
            <a:schemeClr val="accent1"/>
          </a:solidFill>
          <a:ln w="25400">
            <a:noFill/>
          </a:ln>
          <a:effectLst/>
        </c:spPr>
        <c:marker>
          <c:symbol val="none"/>
        </c:marker>
      </c:pivotFmt>
      <c:pivotFmt>
        <c:idx val="56"/>
        <c:spPr>
          <a:solidFill>
            <a:schemeClr val="accent1"/>
          </a:solidFill>
          <a:ln w="25400">
            <a:noFill/>
          </a:ln>
          <a:effectLst/>
        </c:spPr>
        <c:marker>
          <c:symbol val="none"/>
        </c:marker>
      </c:pivotFmt>
      <c:pivotFmt>
        <c:idx val="57"/>
        <c:spPr>
          <a:solidFill>
            <a:schemeClr val="accent1"/>
          </a:solidFill>
          <a:ln w="25400">
            <a:noFill/>
          </a:ln>
          <a:effectLst/>
        </c:spPr>
        <c:marker>
          <c:symbol val="none"/>
        </c:marker>
      </c:pivotFmt>
      <c:pivotFmt>
        <c:idx val="58"/>
        <c:spPr>
          <a:solidFill>
            <a:schemeClr val="accent1"/>
          </a:solidFill>
          <a:ln w="25400">
            <a:noFill/>
          </a:ln>
          <a:effectLst/>
        </c:spPr>
        <c:marker>
          <c:symbol val="none"/>
        </c:marker>
      </c:pivotFmt>
      <c:pivotFmt>
        <c:idx val="59"/>
        <c:spPr>
          <a:solidFill>
            <a:schemeClr val="accent1"/>
          </a:solidFill>
          <a:ln w="25400">
            <a:noFill/>
          </a:ln>
          <a:effectLst/>
        </c:spPr>
        <c:marker>
          <c:symbol val="none"/>
        </c:marker>
      </c:pivotFmt>
      <c:pivotFmt>
        <c:idx val="60"/>
        <c:spPr>
          <a:solidFill>
            <a:schemeClr val="accent1"/>
          </a:solidFill>
          <a:ln w="25400">
            <a:noFill/>
          </a:ln>
          <a:effectLst/>
        </c:spPr>
        <c:marker>
          <c:symbol val="none"/>
        </c:marker>
      </c:pivotFmt>
      <c:pivotFmt>
        <c:idx val="61"/>
        <c:spPr>
          <a:solidFill>
            <a:schemeClr val="accent1"/>
          </a:solidFill>
          <a:ln w="25400">
            <a:noFill/>
          </a:ln>
          <a:effectLst/>
        </c:spPr>
        <c:marker>
          <c:symbol val="none"/>
        </c:marker>
      </c:pivotFmt>
      <c:pivotFmt>
        <c:idx val="62"/>
        <c:spPr>
          <a:solidFill>
            <a:schemeClr val="accent1"/>
          </a:solidFill>
          <a:ln w="25400">
            <a:noFill/>
          </a:ln>
          <a:effectLst/>
        </c:spPr>
        <c:marker>
          <c:symbol val="none"/>
        </c:marker>
      </c:pivotFmt>
      <c:pivotFmt>
        <c:idx val="63"/>
        <c:spPr>
          <a:solidFill>
            <a:schemeClr val="accent1"/>
          </a:solidFill>
          <a:ln w="25400">
            <a:noFill/>
          </a:ln>
          <a:effectLst/>
        </c:spPr>
        <c:marker>
          <c:symbol val="none"/>
        </c:marker>
      </c:pivotFmt>
      <c:pivotFmt>
        <c:idx val="64"/>
        <c:spPr>
          <a:solidFill>
            <a:schemeClr val="accent1"/>
          </a:solidFill>
          <a:ln w="25400">
            <a:noFill/>
          </a:ln>
          <a:effectLst/>
        </c:spPr>
        <c:marker>
          <c:symbol val="none"/>
        </c:marker>
      </c:pivotFmt>
      <c:pivotFmt>
        <c:idx val="65"/>
        <c:spPr>
          <a:solidFill>
            <a:schemeClr val="accent1"/>
          </a:solidFill>
          <a:ln w="25400">
            <a:noFill/>
          </a:ln>
          <a:effectLst/>
        </c:spPr>
        <c:marker>
          <c:symbol val="none"/>
        </c:marker>
      </c:pivotFmt>
      <c:pivotFmt>
        <c:idx val="66"/>
        <c:spPr>
          <a:solidFill>
            <a:schemeClr val="accent1"/>
          </a:solidFill>
          <a:ln w="25400">
            <a:noFill/>
          </a:ln>
          <a:effectLst/>
        </c:spPr>
        <c:marker>
          <c:symbol val="none"/>
        </c:marker>
      </c:pivotFmt>
      <c:pivotFmt>
        <c:idx val="67"/>
        <c:spPr>
          <a:solidFill>
            <a:schemeClr val="accent1"/>
          </a:solidFill>
          <a:ln w="25400">
            <a:noFill/>
          </a:ln>
          <a:effectLst/>
        </c:spPr>
        <c:marker>
          <c:symbol val="none"/>
        </c:marker>
      </c:pivotFmt>
      <c:pivotFmt>
        <c:idx val="68"/>
        <c:spPr>
          <a:solidFill>
            <a:schemeClr val="accent1"/>
          </a:solidFill>
          <a:ln w="25400">
            <a:noFill/>
          </a:ln>
          <a:effectLst/>
        </c:spPr>
        <c:marker>
          <c:symbol val="none"/>
        </c:marker>
      </c:pivotFmt>
      <c:pivotFmt>
        <c:idx val="69"/>
        <c:spPr>
          <a:solidFill>
            <a:schemeClr val="accent1"/>
          </a:solidFill>
          <a:ln w="25400">
            <a:noFill/>
          </a:ln>
          <a:effectLst/>
        </c:spPr>
        <c:marker>
          <c:symbol val="none"/>
        </c:marker>
      </c:pivotFmt>
      <c:pivotFmt>
        <c:idx val="70"/>
        <c:spPr>
          <a:solidFill>
            <a:schemeClr val="accent1"/>
          </a:solidFill>
          <a:ln w="25400">
            <a:noFill/>
          </a:ln>
          <a:effectLst/>
        </c:spPr>
        <c:marker>
          <c:symbol val="none"/>
        </c:marker>
      </c:pivotFmt>
      <c:pivotFmt>
        <c:idx val="71"/>
        <c:spPr>
          <a:solidFill>
            <a:schemeClr val="accent1"/>
          </a:solidFill>
          <a:ln w="25400">
            <a:noFill/>
          </a:ln>
          <a:effectLst/>
        </c:spPr>
        <c:marker>
          <c:symbol val="none"/>
        </c:marker>
      </c:pivotFmt>
      <c:pivotFmt>
        <c:idx val="72"/>
        <c:spPr>
          <a:solidFill>
            <a:schemeClr val="accent1"/>
          </a:solidFill>
          <a:ln w="25400">
            <a:noFill/>
          </a:ln>
          <a:effectLst/>
        </c:spPr>
        <c:marker>
          <c:symbol val="none"/>
        </c:marker>
      </c:pivotFmt>
      <c:pivotFmt>
        <c:idx val="73"/>
        <c:spPr>
          <a:solidFill>
            <a:schemeClr val="accent1"/>
          </a:solidFill>
          <a:ln w="25400">
            <a:noFill/>
          </a:ln>
          <a:effectLst/>
        </c:spPr>
        <c:marker>
          <c:symbol val="none"/>
        </c:marker>
      </c:pivotFmt>
      <c:pivotFmt>
        <c:idx val="74"/>
        <c:spPr>
          <a:solidFill>
            <a:schemeClr val="accent1"/>
          </a:solidFill>
          <a:ln w="25400">
            <a:noFill/>
          </a:ln>
          <a:effectLst/>
        </c:spPr>
        <c:marker>
          <c:symbol val="none"/>
        </c:marker>
      </c:pivotFmt>
      <c:pivotFmt>
        <c:idx val="75"/>
        <c:spPr>
          <a:solidFill>
            <a:schemeClr val="accent1"/>
          </a:solidFill>
          <a:ln w="25400">
            <a:noFill/>
          </a:ln>
          <a:effectLst/>
        </c:spPr>
        <c:marker>
          <c:symbol val="none"/>
        </c:marker>
      </c:pivotFmt>
      <c:pivotFmt>
        <c:idx val="76"/>
        <c:spPr>
          <a:solidFill>
            <a:schemeClr val="accent1"/>
          </a:solidFill>
          <a:ln w="25400">
            <a:noFill/>
          </a:ln>
          <a:effectLst/>
        </c:spPr>
        <c:marker>
          <c:symbol val="none"/>
        </c:marker>
      </c:pivotFmt>
      <c:pivotFmt>
        <c:idx val="77"/>
        <c:spPr>
          <a:solidFill>
            <a:schemeClr val="accent1"/>
          </a:solidFill>
          <a:ln w="25400">
            <a:noFill/>
          </a:ln>
          <a:effectLst/>
        </c:spPr>
        <c:marker>
          <c:symbol val="none"/>
        </c:marker>
      </c:pivotFmt>
      <c:pivotFmt>
        <c:idx val="78"/>
        <c:spPr>
          <a:solidFill>
            <a:schemeClr val="accent1"/>
          </a:solidFill>
          <a:ln w="25400">
            <a:noFill/>
          </a:ln>
          <a:effectLst/>
        </c:spPr>
        <c:marker>
          <c:symbol val="none"/>
        </c:marker>
      </c:pivotFmt>
      <c:pivotFmt>
        <c:idx val="79"/>
        <c:spPr>
          <a:solidFill>
            <a:schemeClr val="accent1"/>
          </a:solidFill>
          <a:ln w="25400">
            <a:noFill/>
          </a:ln>
          <a:effectLst/>
        </c:spPr>
        <c:marker>
          <c:symbol val="none"/>
        </c:marker>
      </c:pivotFmt>
      <c:pivotFmt>
        <c:idx val="80"/>
        <c:spPr>
          <a:solidFill>
            <a:schemeClr val="accent1"/>
          </a:solidFill>
          <a:ln w="25400">
            <a:noFill/>
          </a:ln>
          <a:effectLst/>
        </c:spPr>
        <c:marker>
          <c:symbol val="none"/>
        </c:marker>
      </c:pivotFmt>
      <c:pivotFmt>
        <c:idx val="81"/>
        <c:spPr>
          <a:solidFill>
            <a:schemeClr val="accent1"/>
          </a:solidFill>
          <a:ln w="25400">
            <a:noFill/>
          </a:ln>
          <a:effectLst/>
        </c:spPr>
        <c:marker>
          <c:symbol val="none"/>
        </c:marker>
      </c:pivotFmt>
      <c:pivotFmt>
        <c:idx val="82"/>
        <c:spPr>
          <a:solidFill>
            <a:schemeClr val="accent1"/>
          </a:solidFill>
          <a:ln w="25400">
            <a:noFill/>
          </a:ln>
          <a:effectLst/>
        </c:spPr>
        <c:marker>
          <c:symbol val="none"/>
        </c:marker>
      </c:pivotFmt>
      <c:pivotFmt>
        <c:idx val="83"/>
        <c:spPr>
          <a:solidFill>
            <a:schemeClr val="accent1"/>
          </a:solidFill>
          <a:ln w="25400">
            <a:noFill/>
          </a:ln>
          <a:effectLst/>
        </c:spPr>
        <c:marker>
          <c:symbol val="none"/>
        </c:marker>
      </c:pivotFmt>
      <c:pivotFmt>
        <c:idx val="84"/>
        <c:spPr>
          <a:solidFill>
            <a:schemeClr val="accent1"/>
          </a:solidFill>
          <a:ln w="25400">
            <a:noFill/>
          </a:ln>
          <a:effectLst/>
        </c:spPr>
        <c:marker>
          <c:symbol val="none"/>
        </c:marker>
      </c:pivotFmt>
      <c:pivotFmt>
        <c:idx val="85"/>
        <c:spPr>
          <a:solidFill>
            <a:schemeClr val="accent1"/>
          </a:solidFill>
          <a:ln w="25400">
            <a:noFill/>
          </a:ln>
          <a:effectLst/>
        </c:spPr>
        <c:marker>
          <c:symbol val="none"/>
        </c:marker>
      </c:pivotFmt>
      <c:pivotFmt>
        <c:idx val="86"/>
        <c:spPr>
          <a:solidFill>
            <a:schemeClr val="accent1"/>
          </a:solidFill>
          <a:ln w="25400">
            <a:noFill/>
          </a:ln>
          <a:effectLst/>
        </c:spPr>
        <c:marker>
          <c:symbol val="none"/>
        </c:marker>
      </c:pivotFmt>
      <c:pivotFmt>
        <c:idx val="87"/>
        <c:spPr>
          <a:solidFill>
            <a:schemeClr val="accent1"/>
          </a:solidFill>
          <a:ln w="25400">
            <a:noFill/>
          </a:ln>
          <a:effectLst/>
        </c:spPr>
        <c:marker>
          <c:symbol val="none"/>
        </c:marker>
      </c:pivotFmt>
      <c:pivotFmt>
        <c:idx val="88"/>
        <c:spPr>
          <a:solidFill>
            <a:schemeClr val="accent1"/>
          </a:solidFill>
          <a:ln w="25400">
            <a:noFill/>
          </a:ln>
          <a:effectLst/>
        </c:spPr>
        <c:marker>
          <c:symbol val="none"/>
        </c:marker>
      </c:pivotFmt>
      <c:pivotFmt>
        <c:idx val="89"/>
        <c:spPr>
          <a:solidFill>
            <a:schemeClr val="accent1"/>
          </a:solidFill>
          <a:ln w="25400">
            <a:noFill/>
          </a:ln>
          <a:effectLst/>
        </c:spPr>
        <c:marker>
          <c:symbol val="none"/>
        </c:marker>
      </c:pivotFmt>
      <c:pivotFmt>
        <c:idx val="90"/>
        <c:spPr>
          <a:solidFill>
            <a:schemeClr val="accent1"/>
          </a:solidFill>
          <a:ln w="25400">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w="25400">
            <a:noFill/>
          </a:ln>
          <a:effectLst/>
        </c:spPr>
        <c:marker>
          <c:symbol val="none"/>
        </c:marker>
      </c:pivotFmt>
      <c:pivotFmt>
        <c:idx val="95"/>
        <c:spPr>
          <a:solidFill>
            <a:schemeClr val="accent1"/>
          </a:solidFill>
          <a:ln w="25400">
            <a:noFill/>
          </a:ln>
          <a:effectLst/>
        </c:spPr>
        <c:marker>
          <c:symbol val="none"/>
        </c:marker>
      </c:pivotFmt>
      <c:pivotFmt>
        <c:idx val="96"/>
        <c:spPr>
          <a:solidFill>
            <a:schemeClr val="accent1"/>
          </a:solidFill>
          <a:ln w="25400">
            <a:noFill/>
          </a:ln>
          <a:effectLst/>
        </c:spPr>
        <c:marker>
          <c:symbol val="none"/>
        </c:marker>
      </c:pivotFmt>
      <c:pivotFmt>
        <c:idx val="97"/>
        <c:spPr>
          <a:solidFill>
            <a:schemeClr val="accent1"/>
          </a:solidFill>
          <a:ln w="25400">
            <a:noFill/>
          </a:ln>
          <a:effectLst/>
        </c:spPr>
        <c:marker>
          <c:symbol val="none"/>
        </c:marker>
      </c:pivotFmt>
      <c:pivotFmt>
        <c:idx val="98"/>
        <c:spPr>
          <a:solidFill>
            <a:schemeClr val="accent1"/>
          </a:solidFill>
          <a:ln w="25400">
            <a:noFill/>
          </a:ln>
          <a:effectLst/>
        </c:spPr>
        <c:marker>
          <c:symbol val="none"/>
        </c:marker>
      </c:pivotFmt>
      <c:pivotFmt>
        <c:idx val="99"/>
        <c:spPr>
          <a:solidFill>
            <a:schemeClr val="accent1"/>
          </a:solidFill>
          <a:ln w="25400">
            <a:noFill/>
          </a:ln>
          <a:effectLst/>
        </c:spPr>
        <c:marker>
          <c:symbol val="none"/>
        </c:marker>
      </c:pivotFmt>
      <c:pivotFmt>
        <c:idx val="100"/>
        <c:spPr>
          <a:solidFill>
            <a:schemeClr val="accent1"/>
          </a:solidFill>
          <a:ln w="25400">
            <a:noFill/>
          </a:ln>
          <a:effectLst/>
        </c:spPr>
        <c:marker>
          <c:symbol val="none"/>
        </c:marker>
      </c:pivotFmt>
      <c:pivotFmt>
        <c:idx val="101"/>
        <c:spPr>
          <a:solidFill>
            <a:schemeClr val="accent1"/>
          </a:solidFill>
          <a:ln w="25400">
            <a:noFill/>
          </a:ln>
          <a:effectLst/>
        </c:spPr>
        <c:marker>
          <c:symbol val="none"/>
        </c:marker>
      </c:pivotFmt>
      <c:pivotFmt>
        <c:idx val="102"/>
        <c:spPr>
          <a:solidFill>
            <a:schemeClr val="accent1"/>
          </a:solidFill>
          <a:ln w="25400">
            <a:noFill/>
          </a:ln>
          <a:effectLst/>
        </c:spPr>
        <c:marker>
          <c:symbol val="none"/>
        </c:marker>
      </c:pivotFmt>
      <c:pivotFmt>
        <c:idx val="103"/>
        <c:spPr>
          <a:solidFill>
            <a:schemeClr val="accent1"/>
          </a:solidFill>
          <a:ln w="25400">
            <a:noFill/>
          </a:ln>
          <a:effectLst/>
        </c:spPr>
        <c:marker>
          <c:symbol val="none"/>
        </c:marker>
      </c:pivotFmt>
      <c:pivotFmt>
        <c:idx val="104"/>
        <c:spPr>
          <a:solidFill>
            <a:schemeClr val="accent1"/>
          </a:solidFill>
          <a:ln w="25400">
            <a:noFill/>
          </a:ln>
          <a:effectLst/>
        </c:spPr>
        <c:marker>
          <c:symbol val="none"/>
        </c:marker>
      </c:pivotFmt>
      <c:pivotFmt>
        <c:idx val="105"/>
        <c:spPr>
          <a:solidFill>
            <a:schemeClr val="accent1"/>
          </a:solidFill>
          <a:ln w="25400">
            <a:noFill/>
          </a:ln>
          <a:effectLst/>
        </c:spPr>
        <c:marker>
          <c:symbol val="none"/>
        </c:marker>
      </c:pivotFmt>
      <c:pivotFmt>
        <c:idx val="106"/>
        <c:spPr>
          <a:solidFill>
            <a:schemeClr val="accent1"/>
          </a:solidFill>
          <a:ln w="25400">
            <a:noFill/>
          </a:ln>
          <a:effectLst/>
        </c:spPr>
        <c:marker>
          <c:symbol val="none"/>
        </c:marker>
      </c:pivotFmt>
      <c:pivotFmt>
        <c:idx val="107"/>
        <c:spPr>
          <a:solidFill>
            <a:schemeClr val="accent1"/>
          </a:solidFill>
          <a:ln w="25400">
            <a:noFill/>
          </a:ln>
          <a:effectLst/>
        </c:spPr>
        <c:marker>
          <c:symbol val="none"/>
        </c:marker>
      </c:pivotFmt>
      <c:pivotFmt>
        <c:idx val="108"/>
        <c:spPr>
          <a:solidFill>
            <a:schemeClr val="accent1"/>
          </a:solidFill>
          <a:ln w="25400">
            <a:noFill/>
          </a:ln>
          <a:effectLst/>
        </c:spPr>
        <c:marker>
          <c:symbol val="none"/>
        </c:marker>
      </c:pivotFmt>
      <c:pivotFmt>
        <c:idx val="109"/>
        <c:spPr>
          <a:solidFill>
            <a:schemeClr val="accent1"/>
          </a:solidFill>
          <a:ln w="25400">
            <a:noFill/>
          </a:ln>
          <a:effectLst/>
        </c:spPr>
        <c:marker>
          <c:symbol val="none"/>
        </c:marker>
      </c:pivotFmt>
      <c:pivotFmt>
        <c:idx val="110"/>
        <c:spPr>
          <a:solidFill>
            <a:schemeClr val="accent1"/>
          </a:solidFill>
          <a:ln w="25400">
            <a:noFill/>
          </a:ln>
          <a:effectLst/>
        </c:spPr>
        <c:marker>
          <c:symbol val="none"/>
        </c:marker>
      </c:pivotFmt>
      <c:pivotFmt>
        <c:idx val="111"/>
        <c:spPr>
          <a:solidFill>
            <a:schemeClr val="accent1"/>
          </a:solidFill>
          <a:ln w="25400">
            <a:noFill/>
          </a:ln>
          <a:effectLst/>
        </c:spPr>
        <c:marker>
          <c:symbol val="none"/>
        </c:marker>
      </c:pivotFmt>
      <c:pivotFmt>
        <c:idx val="112"/>
        <c:spPr>
          <a:solidFill>
            <a:schemeClr val="accent1"/>
          </a:solidFill>
          <a:ln w="25400">
            <a:noFill/>
          </a:ln>
          <a:effectLst/>
        </c:spPr>
        <c:marker>
          <c:symbol val="none"/>
        </c:marker>
      </c:pivotFmt>
      <c:pivotFmt>
        <c:idx val="113"/>
        <c:spPr>
          <a:solidFill>
            <a:schemeClr val="accent1"/>
          </a:solidFill>
          <a:ln w="25400">
            <a:noFill/>
          </a:ln>
          <a:effectLst/>
        </c:spPr>
        <c:marker>
          <c:symbol val="none"/>
        </c:marker>
      </c:pivotFmt>
      <c:pivotFmt>
        <c:idx val="114"/>
        <c:spPr>
          <a:solidFill>
            <a:schemeClr val="accent1"/>
          </a:solidFill>
          <a:ln w="25400">
            <a:noFill/>
          </a:ln>
          <a:effectLst/>
        </c:spPr>
        <c:marker>
          <c:symbol val="none"/>
        </c:marker>
      </c:pivotFmt>
      <c:pivotFmt>
        <c:idx val="115"/>
        <c:spPr>
          <a:solidFill>
            <a:schemeClr val="accent1"/>
          </a:solidFill>
          <a:ln>
            <a:noFill/>
          </a:ln>
          <a:effectLst/>
        </c:spPr>
        <c:marker>
          <c:symbol val="none"/>
        </c:marker>
      </c:pivotFmt>
      <c:pivotFmt>
        <c:idx val="116"/>
        <c:spPr>
          <a:solidFill>
            <a:schemeClr val="accent1"/>
          </a:solidFill>
          <a:ln>
            <a:noFill/>
          </a:ln>
          <a:effectLst/>
        </c:spPr>
        <c:marker>
          <c:symbol val="none"/>
        </c:marker>
      </c:pivotFmt>
      <c:pivotFmt>
        <c:idx val="117"/>
        <c:spPr>
          <a:solidFill>
            <a:schemeClr val="accent1"/>
          </a:solidFill>
          <a:ln>
            <a:noFill/>
          </a:ln>
          <a:effectLst/>
        </c:spPr>
        <c:marker>
          <c:symbol val="none"/>
        </c:marker>
      </c:pivotFmt>
      <c:pivotFmt>
        <c:idx val="118"/>
        <c:spPr>
          <a:solidFill>
            <a:schemeClr val="accent1"/>
          </a:solidFill>
          <a:ln>
            <a:noFill/>
          </a:ln>
          <a:effectLst/>
        </c:spPr>
        <c:marker>
          <c:symbol val="none"/>
        </c:marker>
      </c:pivotFmt>
      <c:pivotFmt>
        <c:idx val="119"/>
        <c:spPr>
          <a:solidFill>
            <a:schemeClr val="accent1"/>
          </a:solidFill>
          <a:ln w="25400">
            <a:noFill/>
          </a:ln>
          <a:effectLst/>
        </c:spPr>
        <c:marker>
          <c:symbol val="none"/>
        </c:marker>
      </c:pivotFmt>
      <c:pivotFmt>
        <c:idx val="120"/>
        <c:spPr>
          <a:solidFill>
            <a:schemeClr val="accent1"/>
          </a:solidFill>
          <a:ln>
            <a:noFill/>
          </a:ln>
          <a:effectLst/>
        </c:spPr>
        <c:marker>
          <c:symbol val="none"/>
        </c:marker>
      </c:pivotFmt>
      <c:pivotFmt>
        <c:idx val="121"/>
        <c:spPr>
          <a:solidFill>
            <a:schemeClr val="accent1"/>
          </a:solidFill>
          <a:ln>
            <a:noFill/>
          </a:ln>
          <a:effectLst/>
        </c:spPr>
        <c:marker>
          <c:symbol val="none"/>
        </c:marker>
      </c:pivotFmt>
      <c:pivotFmt>
        <c:idx val="122"/>
        <c:spPr>
          <a:solidFill>
            <a:schemeClr val="accent1"/>
          </a:solidFill>
          <a:ln>
            <a:noFill/>
          </a:ln>
          <a:effectLst/>
        </c:spPr>
        <c:marker>
          <c:symbol val="none"/>
        </c:marker>
      </c:pivotFmt>
      <c:pivotFmt>
        <c:idx val="123"/>
        <c:spPr>
          <a:solidFill>
            <a:schemeClr val="accent1"/>
          </a:solidFill>
          <a:ln w="25400">
            <a:noFill/>
          </a:ln>
          <a:effectLst/>
        </c:spPr>
        <c:marker>
          <c:symbol val="none"/>
        </c:marker>
      </c:pivotFmt>
      <c:pivotFmt>
        <c:idx val="124"/>
        <c:spPr>
          <a:solidFill>
            <a:schemeClr val="accent1"/>
          </a:solidFill>
          <a:ln w="25400">
            <a:noFill/>
          </a:ln>
          <a:effectLst/>
        </c:spPr>
        <c:marker>
          <c:symbol val="none"/>
        </c:marker>
      </c:pivotFmt>
      <c:pivotFmt>
        <c:idx val="125"/>
        <c:spPr>
          <a:solidFill>
            <a:schemeClr val="accent1"/>
          </a:solidFill>
          <a:ln w="25400">
            <a:noFill/>
          </a:ln>
          <a:effectLst/>
        </c:spPr>
        <c:marker>
          <c:symbol val="none"/>
        </c:marker>
      </c:pivotFmt>
      <c:pivotFmt>
        <c:idx val="126"/>
        <c:spPr>
          <a:solidFill>
            <a:schemeClr val="accent1"/>
          </a:solidFill>
          <a:ln w="25400">
            <a:noFill/>
          </a:ln>
          <a:effectLst/>
        </c:spPr>
        <c:marker>
          <c:symbol val="none"/>
        </c:marker>
      </c:pivotFmt>
      <c:pivotFmt>
        <c:idx val="127"/>
        <c:spPr>
          <a:solidFill>
            <a:schemeClr val="accent1"/>
          </a:solidFill>
          <a:ln>
            <a:noFill/>
          </a:ln>
          <a:effectLst/>
        </c:spPr>
        <c:marker>
          <c:symbol val="none"/>
        </c:marker>
      </c:pivotFmt>
      <c:pivotFmt>
        <c:idx val="128"/>
        <c:spPr>
          <a:solidFill>
            <a:schemeClr val="accent1"/>
          </a:solidFill>
          <a:ln>
            <a:noFill/>
          </a:ln>
          <a:effectLst/>
        </c:spPr>
        <c:marker>
          <c:symbol val="none"/>
        </c:marker>
      </c:pivotFmt>
      <c:pivotFmt>
        <c:idx val="129"/>
        <c:spPr>
          <a:solidFill>
            <a:schemeClr val="accent1"/>
          </a:solidFill>
          <a:ln>
            <a:noFill/>
          </a:ln>
          <a:effectLst/>
        </c:spPr>
        <c:marker>
          <c:symbol val="none"/>
        </c:marker>
      </c:pivotFmt>
      <c:pivotFmt>
        <c:idx val="130"/>
        <c:spPr>
          <a:solidFill>
            <a:schemeClr val="accent1"/>
          </a:solidFill>
          <a:ln>
            <a:noFill/>
          </a:ln>
          <a:effectLst/>
        </c:spPr>
        <c:marker>
          <c:symbol val="none"/>
        </c:marker>
      </c:pivotFmt>
      <c:pivotFmt>
        <c:idx val="131"/>
        <c:spPr>
          <a:solidFill>
            <a:schemeClr val="accent1"/>
          </a:solidFill>
          <a:ln>
            <a:noFill/>
          </a:ln>
          <a:effectLst/>
        </c:spPr>
        <c:marker>
          <c:symbol val="none"/>
        </c:marker>
      </c:pivotFmt>
      <c:pivotFmt>
        <c:idx val="132"/>
        <c:spPr>
          <a:solidFill>
            <a:schemeClr val="accent1"/>
          </a:solidFill>
          <a:ln>
            <a:noFill/>
          </a:ln>
          <a:effectLst/>
        </c:spPr>
        <c:marker>
          <c:symbol val="none"/>
        </c:marker>
      </c:pivotFmt>
      <c:pivotFmt>
        <c:idx val="133"/>
        <c:spPr>
          <a:solidFill>
            <a:schemeClr val="accent1"/>
          </a:solidFill>
          <a:ln>
            <a:noFill/>
          </a:ln>
          <a:effectLst/>
        </c:spPr>
        <c:marker>
          <c:symbol val="none"/>
        </c:marker>
      </c:pivotFmt>
      <c:pivotFmt>
        <c:idx val="134"/>
        <c:spPr>
          <a:solidFill>
            <a:schemeClr val="accent1"/>
          </a:solidFill>
          <a:ln>
            <a:noFill/>
          </a:ln>
          <a:effectLst/>
        </c:spPr>
        <c:marker>
          <c:symbol val="none"/>
        </c:marker>
      </c:pivotFmt>
      <c:pivotFmt>
        <c:idx val="135"/>
        <c:spPr>
          <a:solidFill>
            <a:schemeClr val="accent1"/>
          </a:solidFill>
          <a:ln>
            <a:noFill/>
          </a:ln>
          <a:effectLst/>
        </c:spPr>
        <c:marker>
          <c:symbol val="none"/>
        </c:marker>
      </c:pivotFmt>
      <c:pivotFmt>
        <c:idx val="136"/>
        <c:spPr>
          <a:solidFill>
            <a:schemeClr val="accent1"/>
          </a:solidFill>
          <a:ln>
            <a:noFill/>
          </a:ln>
          <a:effectLst/>
        </c:spPr>
        <c:marker>
          <c:symbol val="none"/>
        </c:marker>
      </c:pivotFmt>
      <c:pivotFmt>
        <c:idx val="137"/>
        <c:spPr>
          <a:solidFill>
            <a:schemeClr val="accent1"/>
          </a:solidFill>
          <a:ln>
            <a:noFill/>
          </a:ln>
          <a:effectLst/>
        </c:spPr>
        <c:marker>
          <c:symbol val="none"/>
        </c:marker>
      </c:pivotFmt>
      <c:pivotFmt>
        <c:idx val="138"/>
        <c:spPr>
          <a:solidFill>
            <a:schemeClr val="accent1"/>
          </a:solidFill>
          <a:ln w="25400">
            <a:noFill/>
          </a:ln>
          <a:effectLst/>
        </c:spPr>
        <c:marker>
          <c:symbol val="none"/>
        </c:marker>
      </c:pivotFmt>
      <c:pivotFmt>
        <c:idx val="139"/>
        <c:spPr>
          <a:solidFill>
            <a:schemeClr val="accent1"/>
          </a:solidFill>
          <a:ln>
            <a:noFill/>
          </a:ln>
          <a:effectLst/>
        </c:spPr>
        <c:marker>
          <c:symbol val="none"/>
        </c:marker>
      </c:pivotFmt>
      <c:pivotFmt>
        <c:idx val="140"/>
        <c:spPr>
          <a:solidFill>
            <a:schemeClr val="accent1"/>
          </a:solidFill>
          <a:ln>
            <a:noFill/>
          </a:ln>
          <a:effectLst/>
        </c:spPr>
        <c:marker>
          <c:symbol val="none"/>
        </c:marker>
      </c:pivotFmt>
      <c:pivotFmt>
        <c:idx val="141"/>
        <c:spPr>
          <a:solidFill>
            <a:schemeClr val="accent1"/>
          </a:solidFill>
          <a:ln>
            <a:noFill/>
          </a:ln>
          <a:effectLst/>
        </c:spPr>
        <c:marker>
          <c:symbol val="none"/>
        </c:marker>
      </c:pivotFmt>
      <c:pivotFmt>
        <c:idx val="142"/>
        <c:spPr>
          <a:solidFill>
            <a:schemeClr val="accent1"/>
          </a:solidFill>
          <a:ln>
            <a:noFill/>
          </a:ln>
          <a:effectLst/>
        </c:spPr>
        <c:marker>
          <c:symbol val="none"/>
        </c:marker>
      </c:pivotFmt>
      <c:pivotFmt>
        <c:idx val="143"/>
        <c:spPr>
          <a:solidFill>
            <a:schemeClr val="accent1"/>
          </a:solidFill>
          <a:ln w="25400">
            <a:noFill/>
          </a:ln>
          <a:effectLst/>
        </c:spPr>
        <c:marker>
          <c:symbol val="none"/>
        </c:marker>
      </c:pivotFmt>
      <c:pivotFmt>
        <c:idx val="144"/>
        <c:spPr>
          <a:solidFill>
            <a:schemeClr val="accent1"/>
          </a:solidFill>
          <a:ln w="25400">
            <a:noFill/>
          </a:ln>
          <a:effectLst/>
        </c:spPr>
        <c:marker>
          <c:symbol val="none"/>
        </c:marker>
      </c:pivotFmt>
      <c:pivotFmt>
        <c:idx val="145"/>
        <c:spPr>
          <a:solidFill>
            <a:schemeClr val="accent1"/>
          </a:solidFill>
          <a:ln>
            <a:noFill/>
          </a:ln>
          <a:effectLst/>
        </c:spPr>
        <c:marker>
          <c:symbol val="none"/>
        </c:marker>
      </c:pivotFmt>
      <c:pivotFmt>
        <c:idx val="146"/>
        <c:spPr>
          <a:solidFill>
            <a:schemeClr val="accent1"/>
          </a:solidFill>
          <a:ln w="25400">
            <a:noFill/>
          </a:ln>
          <a:effectLst/>
        </c:spPr>
        <c:marker>
          <c:symbol val="none"/>
        </c:marker>
      </c:pivotFmt>
      <c:pivotFmt>
        <c:idx val="147"/>
        <c:spPr>
          <a:solidFill>
            <a:schemeClr val="accent1"/>
          </a:solidFill>
          <a:ln w="25400">
            <a:noFill/>
          </a:ln>
          <a:effectLst/>
        </c:spPr>
        <c:marker>
          <c:symbol val="none"/>
        </c:marker>
      </c:pivotFmt>
      <c:pivotFmt>
        <c:idx val="148"/>
        <c:spPr>
          <a:solidFill>
            <a:schemeClr val="accent1"/>
          </a:solidFill>
          <a:ln>
            <a:noFill/>
          </a:ln>
          <a:effectLst/>
        </c:spPr>
        <c:marker>
          <c:symbol val="none"/>
        </c:marker>
      </c:pivotFmt>
      <c:pivotFmt>
        <c:idx val="149"/>
        <c:spPr>
          <a:solidFill>
            <a:schemeClr val="accent1"/>
          </a:solidFill>
          <a:ln w="25400">
            <a:noFill/>
          </a:ln>
          <a:effectLst/>
        </c:spPr>
        <c:marker>
          <c:symbol val="none"/>
        </c:marker>
      </c:pivotFmt>
      <c:pivotFmt>
        <c:idx val="150"/>
        <c:spPr>
          <a:solidFill>
            <a:schemeClr val="accent1"/>
          </a:solidFill>
          <a:ln w="25400">
            <a:noFill/>
          </a:ln>
          <a:effectLst/>
        </c:spPr>
        <c:marker>
          <c:symbol val="none"/>
        </c:marker>
      </c:pivotFmt>
      <c:pivotFmt>
        <c:idx val="151"/>
        <c:spPr>
          <a:solidFill>
            <a:schemeClr val="accent1"/>
          </a:solidFill>
          <a:ln w="25400">
            <a:noFill/>
          </a:ln>
          <a:effectLst/>
        </c:spPr>
        <c:marker>
          <c:symbol val="none"/>
        </c:marker>
      </c:pivotFmt>
      <c:pivotFmt>
        <c:idx val="152"/>
        <c:spPr>
          <a:solidFill>
            <a:schemeClr val="accent1"/>
          </a:solidFill>
          <a:ln w="25400">
            <a:noFill/>
          </a:ln>
          <a:effectLst/>
        </c:spPr>
        <c:marker>
          <c:symbol val="none"/>
        </c:marker>
      </c:pivotFmt>
      <c:pivotFmt>
        <c:idx val="153"/>
        <c:spPr>
          <a:solidFill>
            <a:schemeClr val="accent1"/>
          </a:solidFill>
          <a:ln w="25400">
            <a:noFill/>
          </a:ln>
          <a:effectLst/>
        </c:spPr>
        <c:marker>
          <c:symbol val="none"/>
        </c:marker>
      </c:pivotFmt>
      <c:pivotFmt>
        <c:idx val="154"/>
        <c:spPr>
          <a:solidFill>
            <a:schemeClr val="accent1"/>
          </a:solidFill>
          <a:ln w="25400">
            <a:noFill/>
          </a:ln>
          <a:effectLst/>
        </c:spPr>
        <c:marker>
          <c:symbol val="none"/>
        </c:marker>
      </c:pivotFmt>
      <c:pivotFmt>
        <c:idx val="155"/>
        <c:spPr>
          <a:solidFill>
            <a:schemeClr val="accent1"/>
          </a:solidFill>
          <a:ln w="25400">
            <a:noFill/>
          </a:ln>
          <a:effectLst/>
        </c:spPr>
        <c:marker>
          <c:symbol val="none"/>
        </c:marker>
      </c:pivotFmt>
      <c:pivotFmt>
        <c:idx val="156"/>
        <c:spPr>
          <a:solidFill>
            <a:schemeClr val="accent1"/>
          </a:solidFill>
          <a:ln w="25400">
            <a:noFill/>
          </a:ln>
          <a:effectLst/>
        </c:spPr>
        <c:marker>
          <c:symbol val="none"/>
        </c:marker>
      </c:pivotFmt>
      <c:pivotFmt>
        <c:idx val="157"/>
        <c:spPr>
          <a:solidFill>
            <a:schemeClr val="accent1"/>
          </a:solidFill>
          <a:ln w="25400">
            <a:noFill/>
          </a:ln>
          <a:effectLst/>
        </c:spPr>
        <c:marker>
          <c:symbol val="none"/>
        </c:marker>
      </c:pivotFmt>
      <c:pivotFmt>
        <c:idx val="158"/>
        <c:spPr>
          <a:solidFill>
            <a:schemeClr val="accent1"/>
          </a:solidFill>
          <a:ln>
            <a:noFill/>
          </a:ln>
          <a:effectLst/>
        </c:spPr>
        <c:marker>
          <c:symbol val="none"/>
        </c:marker>
      </c:pivotFmt>
      <c:pivotFmt>
        <c:idx val="159"/>
        <c:spPr>
          <a:solidFill>
            <a:schemeClr val="accent1"/>
          </a:solidFill>
          <a:ln>
            <a:noFill/>
          </a:ln>
          <a:effectLst/>
        </c:spPr>
        <c:marker>
          <c:symbol val="none"/>
        </c:marker>
      </c:pivotFmt>
      <c:pivotFmt>
        <c:idx val="160"/>
        <c:spPr>
          <a:solidFill>
            <a:schemeClr val="accent1"/>
          </a:solidFill>
          <a:ln>
            <a:noFill/>
          </a:ln>
          <a:effectLst/>
        </c:spPr>
        <c:marker>
          <c:symbol val="none"/>
        </c:marker>
      </c:pivotFmt>
      <c:pivotFmt>
        <c:idx val="161"/>
        <c:spPr>
          <a:solidFill>
            <a:schemeClr val="accent1"/>
          </a:solidFill>
          <a:ln w="25400">
            <a:noFill/>
          </a:ln>
          <a:effectLst/>
        </c:spPr>
        <c:marker>
          <c:symbol val="none"/>
        </c:marker>
      </c:pivotFmt>
      <c:pivotFmt>
        <c:idx val="162"/>
        <c:spPr>
          <a:solidFill>
            <a:schemeClr val="accent1"/>
          </a:solidFill>
          <a:ln w="25400">
            <a:noFill/>
          </a:ln>
          <a:effectLst/>
        </c:spPr>
        <c:marker>
          <c:symbol val="none"/>
        </c:marker>
      </c:pivotFmt>
      <c:pivotFmt>
        <c:idx val="163"/>
        <c:spPr>
          <a:solidFill>
            <a:schemeClr val="accent1"/>
          </a:solidFill>
          <a:ln w="25400">
            <a:noFill/>
          </a:ln>
          <a:effectLst/>
        </c:spPr>
        <c:marker>
          <c:symbol val="none"/>
        </c:marker>
      </c:pivotFmt>
      <c:pivotFmt>
        <c:idx val="164"/>
        <c:spPr>
          <a:solidFill>
            <a:schemeClr val="accent1"/>
          </a:solidFill>
          <a:ln w="25400">
            <a:noFill/>
          </a:ln>
          <a:effectLst/>
        </c:spPr>
        <c:marker>
          <c:symbol val="none"/>
        </c:marker>
      </c:pivotFmt>
      <c:pivotFmt>
        <c:idx val="165"/>
        <c:spPr>
          <a:solidFill>
            <a:schemeClr val="accent1"/>
          </a:solidFill>
          <a:ln w="25400">
            <a:noFill/>
          </a:ln>
          <a:effectLst/>
        </c:spPr>
        <c:marker>
          <c:symbol val="none"/>
        </c:marker>
      </c:pivotFmt>
      <c:pivotFmt>
        <c:idx val="166"/>
        <c:spPr>
          <a:solidFill>
            <a:schemeClr val="accent1"/>
          </a:solidFill>
          <a:ln>
            <a:noFill/>
          </a:ln>
          <a:effectLst/>
        </c:spPr>
        <c:marker>
          <c:symbol val="none"/>
        </c:marker>
      </c:pivotFmt>
      <c:pivotFmt>
        <c:idx val="167"/>
        <c:spPr>
          <a:solidFill>
            <a:schemeClr val="accent1"/>
          </a:solidFill>
          <a:ln>
            <a:noFill/>
          </a:ln>
          <a:effectLst/>
        </c:spPr>
        <c:marker>
          <c:symbol val="none"/>
        </c:marker>
      </c:pivotFmt>
      <c:pivotFmt>
        <c:idx val="168"/>
        <c:spPr>
          <a:solidFill>
            <a:schemeClr val="accent1"/>
          </a:solidFill>
          <a:ln>
            <a:noFill/>
          </a:ln>
          <a:effectLst/>
        </c:spPr>
        <c:marker>
          <c:symbol val="none"/>
        </c:marker>
      </c:pivotFmt>
      <c:pivotFmt>
        <c:idx val="169"/>
        <c:spPr>
          <a:solidFill>
            <a:schemeClr val="accent1"/>
          </a:solidFill>
          <a:ln w="25400">
            <a:noFill/>
          </a:ln>
          <a:effectLst/>
        </c:spPr>
        <c:marker>
          <c:symbol val="none"/>
        </c:marker>
      </c:pivotFmt>
      <c:pivotFmt>
        <c:idx val="170"/>
        <c:spPr>
          <a:solidFill>
            <a:schemeClr val="accent1"/>
          </a:solidFill>
          <a:ln w="25400">
            <a:noFill/>
          </a:ln>
          <a:effectLst/>
        </c:spPr>
        <c:marker>
          <c:symbol val="none"/>
        </c:marker>
      </c:pivotFmt>
      <c:pivotFmt>
        <c:idx val="171"/>
        <c:spPr>
          <a:solidFill>
            <a:schemeClr val="accent1"/>
          </a:solidFill>
          <a:ln w="25400">
            <a:noFill/>
          </a:ln>
          <a:effectLst/>
        </c:spPr>
        <c:marker>
          <c:symbol val="none"/>
        </c:marker>
      </c:pivotFmt>
      <c:pivotFmt>
        <c:idx val="172"/>
        <c:spPr>
          <a:solidFill>
            <a:schemeClr val="accent1"/>
          </a:solidFill>
          <a:ln w="25400">
            <a:noFill/>
          </a:ln>
          <a:effectLst/>
        </c:spPr>
        <c:marker>
          <c:symbol val="none"/>
        </c:marker>
      </c:pivotFmt>
      <c:pivotFmt>
        <c:idx val="173"/>
        <c:spPr>
          <a:solidFill>
            <a:schemeClr val="accent1"/>
          </a:solidFill>
          <a:ln w="25400">
            <a:noFill/>
          </a:ln>
          <a:effectLst/>
        </c:spPr>
        <c:marker>
          <c:symbol val="none"/>
        </c:marker>
      </c:pivotFmt>
      <c:pivotFmt>
        <c:idx val="174"/>
        <c:spPr>
          <a:solidFill>
            <a:schemeClr val="accent1"/>
          </a:solidFill>
          <a:ln w="25400">
            <a:noFill/>
          </a:ln>
          <a:effectLst/>
        </c:spPr>
        <c:marker>
          <c:symbol val="none"/>
        </c:marker>
      </c:pivotFmt>
      <c:pivotFmt>
        <c:idx val="175"/>
        <c:spPr>
          <a:solidFill>
            <a:schemeClr val="accent1"/>
          </a:solidFill>
          <a:ln w="25400">
            <a:noFill/>
          </a:ln>
          <a:effectLst/>
        </c:spPr>
        <c:marker>
          <c:symbol val="none"/>
        </c:marker>
      </c:pivotFmt>
      <c:pivotFmt>
        <c:idx val="176"/>
        <c:spPr>
          <a:solidFill>
            <a:schemeClr val="accent1"/>
          </a:solidFill>
          <a:ln w="25400">
            <a:noFill/>
          </a:ln>
          <a:effectLst/>
        </c:spPr>
        <c:marker>
          <c:symbol val="none"/>
        </c:marker>
      </c:pivotFmt>
      <c:pivotFmt>
        <c:idx val="177"/>
        <c:spPr>
          <a:solidFill>
            <a:schemeClr val="accent1"/>
          </a:solidFill>
          <a:ln w="25400">
            <a:noFill/>
          </a:ln>
          <a:effectLst/>
        </c:spPr>
        <c:marker>
          <c:symbol val="none"/>
        </c:marker>
      </c:pivotFmt>
      <c:pivotFmt>
        <c:idx val="178"/>
        <c:spPr>
          <a:solidFill>
            <a:schemeClr val="accent1"/>
          </a:solidFill>
          <a:ln w="25400">
            <a:noFill/>
          </a:ln>
          <a:effectLst/>
        </c:spPr>
        <c:marker>
          <c:symbol val="none"/>
        </c:marker>
      </c:pivotFmt>
      <c:pivotFmt>
        <c:idx val="179"/>
        <c:spPr>
          <a:solidFill>
            <a:schemeClr val="accent1"/>
          </a:solidFill>
          <a:ln w="25400">
            <a:noFill/>
          </a:ln>
          <a:effectLst/>
        </c:spPr>
        <c:marker>
          <c:symbol val="none"/>
        </c:marker>
      </c:pivotFmt>
      <c:pivotFmt>
        <c:idx val="180"/>
        <c:spPr>
          <a:solidFill>
            <a:schemeClr val="accent1"/>
          </a:solidFill>
          <a:ln w="25400">
            <a:noFill/>
          </a:ln>
          <a:effectLst/>
        </c:spPr>
        <c:marker>
          <c:symbol val="none"/>
        </c:marker>
      </c:pivotFmt>
      <c:pivotFmt>
        <c:idx val="181"/>
        <c:spPr>
          <a:solidFill>
            <a:schemeClr val="accent1"/>
          </a:solidFill>
          <a:ln w="25400">
            <a:noFill/>
          </a:ln>
          <a:effectLst/>
        </c:spPr>
        <c:marker>
          <c:symbol val="none"/>
        </c:marker>
      </c:pivotFmt>
      <c:pivotFmt>
        <c:idx val="182"/>
        <c:spPr>
          <a:solidFill>
            <a:schemeClr val="accent1"/>
          </a:solidFill>
          <a:ln w="25400">
            <a:noFill/>
          </a:ln>
          <a:effectLst/>
        </c:spPr>
        <c:marker>
          <c:symbol val="none"/>
        </c:marker>
      </c:pivotFmt>
      <c:pivotFmt>
        <c:idx val="183"/>
        <c:spPr>
          <a:solidFill>
            <a:schemeClr val="accent1"/>
          </a:solidFill>
          <a:ln w="25400">
            <a:noFill/>
          </a:ln>
          <a:effectLst/>
        </c:spPr>
        <c:marker>
          <c:symbol val="none"/>
        </c:marker>
      </c:pivotFmt>
      <c:pivotFmt>
        <c:idx val="184"/>
        <c:spPr>
          <a:solidFill>
            <a:schemeClr val="accent1"/>
          </a:solidFill>
          <a:ln w="25400">
            <a:noFill/>
          </a:ln>
          <a:effectLst/>
        </c:spPr>
        <c:marker>
          <c:symbol val="none"/>
        </c:marker>
      </c:pivotFmt>
      <c:pivotFmt>
        <c:idx val="185"/>
        <c:spPr>
          <a:solidFill>
            <a:schemeClr val="accent1"/>
          </a:solidFill>
          <a:ln w="25400">
            <a:noFill/>
          </a:ln>
          <a:effectLst/>
        </c:spPr>
        <c:marker>
          <c:symbol val="none"/>
        </c:marker>
      </c:pivotFmt>
      <c:pivotFmt>
        <c:idx val="186"/>
        <c:spPr>
          <a:solidFill>
            <a:schemeClr val="accent1"/>
          </a:solidFill>
          <a:ln w="25400">
            <a:noFill/>
          </a:ln>
          <a:effectLst/>
        </c:spPr>
        <c:marker>
          <c:symbol val="none"/>
        </c:marker>
      </c:pivotFmt>
      <c:pivotFmt>
        <c:idx val="187"/>
        <c:spPr>
          <a:solidFill>
            <a:schemeClr val="accent1"/>
          </a:solidFill>
          <a:ln w="25400">
            <a:noFill/>
          </a:ln>
          <a:effectLst/>
        </c:spPr>
        <c:marker>
          <c:symbol val="none"/>
        </c:marker>
      </c:pivotFmt>
      <c:pivotFmt>
        <c:idx val="188"/>
        <c:spPr>
          <a:solidFill>
            <a:schemeClr val="accent1"/>
          </a:solidFill>
          <a:ln w="25400">
            <a:noFill/>
          </a:ln>
          <a:effectLst/>
        </c:spPr>
        <c:marker>
          <c:symbol val="none"/>
        </c:marker>
      </c:pivotFmt>
      <c:pivotFmt>
        <c:idx val="189"/>
        <c:spPr>
          <a:solidFill>
            <a:schemeClr val="accent1"/>
          </a:solidFill>
          <a:ln w="25400">
            <a:noFill/>
          </a:ln>
          <a:effectLst/>
        </c:spPr>
        <c:marker>
          <c:symbol val="none"/>
        </c:marker>
      </c:pivotFmt>
      <c:pivotFmt>
        <c:idx val="190"/>
        <c:spPr>
          <a:solidFill>
            <a:schemeClr val="accent1"/>
          </a:solidFill>
          <a:ln w="25400">
            <a:noFill/>
          </a:ln>
          <a:effectLst/>
        </c:spPr>
        <c:marker>
          <c:symbol val="none"/>
        </c:marker>
      </c:pivotFmt>
      <c:pivotFmt>
        <c:idx val="191"/>
        <c:spPr>
          <a:solidFill>
            <a:schemeClr val="accent1"/>
          </a:solidFill>
          <a:ln w="25400">
            <a:noFill/>
          </a:ln>
          <a:effectLst/>
        </c:spPr>
        <c:marker>
          <c:symbol val="none"/>
        </c:marker>
      </c:pivotFmt>
      <c:pivotFmt>
        <c:idx val="192"/>
        <c:spPr>
          <a:solidFill>
            <a:schemeClr val="accent1"/>
          </a:solidFill>
          <a:ln w="25400">
            <a:noFill/>
          </a:ln>
          <a:effectLst/>
        </c:spPr>
        <c:marker>
          <c:symbol val="none"/>
        </c:marker>
      </c:pivotFmt>
      <c:pivotFmt>
        <c:idx val="193"/>
        <c:spPr>
          <a:solidFill>
            <a:schemeClr val="accent1"/>
          </a:solidFill>
          <a:ln w="25400">
            <a:noFill/>
          </a:ln>
          <a:effectLst/>
        </c:spPr>
        <c:marker>
          <c:symbol val="none"/>
        </c:marker>
      </c:pivotFmt>
      <c:pivotFmt>
        <c:idx val="194"/>
        <c:spPr>
          <a:solidFill>
            <a:schemeClr val="accent1"/>
          </a:solidFill>
          <a:ln w="25400">
            <a:noFill/>
          </a:ln>
          <a:effectLst/>
        </c:spPr>
        <c:marker>
          <c:symbol val="none"/>
        </c:marker>
      </c:pivotFmt>
      <c:pivotFmt>
        <c:idx val="195"/>
        <c:spPr>
          <a:solidFill>
            <a:schemeClr val="accent1"/>
          </a:solidFill>
          <a:ln w="25400">
            <a:noFill/>
          </a:ln>
          <a:effectLst/>
        </c:spPr>
        <c:marker>
          <c:symbol val="none"/>
        </c:marker>
      </c:pivotFmt>
      <c:pivotFmt>
        <c:idx val="196"/>
        <c:spPr>
          <a:solidFill>
            <a:schemeClr val="accent1"/>
          </a:solidFill>
          <a:ln w="25400">
            <a:noFill/>
          </a:ln>
          <a:effectLst/>
        </c:spPr>
        <c:marker>
          <c:symbol val="none"/>
        </c:marker>
      </c:pivotFmt>
      <c:pivotFmt>
        <c:idx val="197"/>
        <c:spPr>
          <a:solidFill>
            <a:schemeClr val="accent1"/>
          </a:solidFill>
          <a:ln w="25400">
            <a:noFill/>
          </a:ln>
          <a:effectLst/>
        </c:spPr>
        <c:marker>
          <c:symbol val="none"/>
        </c:marker>
      </c:pivotFmt>
      <c:pivotFmt>
        <c:idx val="198"/>
        <c:spPr>
          <a:solidFill>
            <a:schemeClr val="accent1"/>
          </a:solidFill>
          <a:ln w="25400">
            <a:noFill/>
          </a:ln>
          <a:effectLst/>
        </c:spPr>
        <c:marker>
          <c:symbol val="none"/>
        </c:marker>
      </c:pivotFmt>
      <c:pivotFmt>
        <c:idx val="199"/>
        <c:spPr>
          <a:solidFill>
            <a:schemeClr val="accent1"/>
          </a:solidFill>
          <a:ln w="25400">
            <a:noFill/>
          </a:ln>
          <a:effectLst/>
        </c:spPr>
        <c:marker>
          <c:symbol val="none"/>
        </c:marker>
      </c:pivotFmt>
      <c:pivotFmt>
        <c:idx val="200"/>
        <c:spPr>
          <a:solidFill>
            <a:schemeClr val="accent1"/>
          </a:solidFill>
          <a:ln w="25400">
            <a:noFill/>
          </a:ln>
          <a:effectLst/>
        </c:spPr>
        <c:marker>
          <c:symbol val="none"/>
        </c:marker>
      </c:pivotFmt>
      <c:pivotFmt>
        <c:idx val="201"/>
        <c:spPr>
          <a:solidFill>
            <a:schemeClr val="accent1"/>
          </a:solidFill>
          <a:ln w="25400">
            <a:noFill/>
          </a:ln>
          <a:effectLst/>
        </c:spPr>
        <c:marker>
          <c:symbol val="none"/>
        </c:marker>
      </c:pivotFmt>
      <c:pivotFmt>
        <c:idx val="202"/>
        <c:spPr>
          <a:solidFill>
            <a:schemeClr val="accent1"/>
          </a:solidFill>
          <a:ln w="25400">
            <a:noFill/>
          </a:ln>
          <a:effectLst/>
        </c:spPr>
        <c:marker>
          <c:symbol val="none"/>
        </c:marker>
      </c:pivotFmt>
      <c:pivotFmt>
        <c:idx val="203"/>
        <c:spPr>
          <a:solidFill>
            <a:schemeClr val="accent1"/>
          </a:solidFill>
          <a:ln w="25400">
            <a:noFill/>
          </a:ln>
          <a:effectLst/>
        </c:spPr>
        <c:marker>
          <c:symbol val="none"/>
        </c:marker>
      </c:pivotFmt>
      <c:pivotFmt>
        <c:idx val="204"/>
        <c:spPr>
          <a:solidFill>
            <a:schemeClr val="accent1"/>
          </a:solidFill>
          <a:ln w="25400">
            <a:noFill/>
          </a:ln>
          <a:effectLst/>
        </c:spPr>
        <c:marker>
          <c:symbol val="none"/>
        </c:marker>
      </c:pivotFmt>
    </c:pivotFmts>
    <c:plotArea>
      <c:layout/>
      <c:areaChart>
        <c:grouping val="stacked"/>
        <c:varyColors val="0"/>
        <c:ser>
          <c:idx val="0"/>
          <c:order val="0"/>
          <c:tx>
            <c:strRef>
              <c:f>'HE GEN - Time'!$E$3:$E$4</c:f>
              <c:strCache>
                <c:ptCount val="1"/>
                <c:pt idx="0">
                  <c:v>ELECTRIC</c:v>
                </c:pt>
              </c:strCache>
            </c:strRef>
          </c:tx>
          <c:spPr>
            <a:solidFill>
              <a:schemeClr val="accent1"/>
            </a:solidFill>
            <a:ln>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Time'!$E$5:$E$29</c:f>
              <c:numCache>
                <c:formatCode>General</c:formatCode>
                <c:ptCount val="24"/>
                <c:pt idx="0">
                  <c:v>128.89000000000001</c:v>
                </c:pt>
                <c:pt idx="1">
                  <c:v>128.89000000000001</c:v>
                </c:pt>
                <c:pt idx="2">
                  <c:v>128.89000000000001</c:v>
                </c:pt>
                <c:pt idx="3">
                  <c:v>128.89000000000001</c:v>
                </c:pt>
                <c:pt idx="4">
                  <c:v>128.89000000000001</c:v>
                </c:pt>
                <c:pt idx="5">
                  <c:v>192.44672966950526</c:v>
                </c:pt>
                <c:pt idx="6">
                  <c:v>105.31957009984441</c:v>
                </c:pt>
                <c:pt idx="7">
                  <c:v>60.512053738097251</c:v>
                </c:pt>
                <c:pt idx="8">
                  <c:v>52.894343967679461</c:v>
                </c:pt>
                <c:pt idx="9">
                  <c:v>48.89</c:v>
                </c:pt>
                <c:pt idx="10">
                  <c:v>48.89</c:v>
                </c:pt>
                <c:pt idx="11">
                  <c:v>96.981559084102301</c:v>
                </c:pt>
                <c:pt idx="12">
                  <c:v>172.58572690848652</c:v>
                </c:pt>
                <c:pt idx="13">
                  <c:v>175.71852281504781</c:v>
                </c:pt>
                <c:pt idx="14">
                  <c:v>102.61384955324509</c:v>
                </c:pt>
                <c:pt idx="15">
                  <c:v>99.124341921897908</c:v>
                </c:pt>
                <c:pt idx="16">
                  <c:v>77.35278273952936</c:v>
                </c:pt>
                <c:pt idx="17">
                  <c:v>131.73197184110077</c:v>
                </c:pt>
                <c:pt idx="18">
                  <c:v>128.89000000000001</c:v>
                </c:pt>
                <c:pt idx="19">
                  <c:v>128.89000000000001</c:v>
                </c:pt>
                <c:pt idx="20">
                  <c:v>256.36022366146301</c:v>
                </c:pt>
                <c:pt idx="21">
                  <c:v>228.39032906266863</c:v>
                </c:pt>
                <c:pt idx="22">
                  <c:v>183.38679919587031</c:v>
                </c:pt>
                <c:pt idx="23">
                  <c:v>128.89000000000001</c:v>
                </c:pt>
              </c:numCache>
            </c:numRef>
          </c:val>
          <c:extLst>
            <c:ext xmlns:c16="http://schemas.microsoft.com/office/drawing/2014/chart" uri="{C3380CC4-5D6E-409C-BE32-E72D297353CC}">
              <c16:uniqueId val="{00000000-177D-44E0-A469-C45A999AF873}"/>
            </c:ext>
          </c:extLst>
        </c:ser>
        <c:ser>
          <c:idx val="1"/>
          <c:order val="1"/>
          <c:tx>
            <c:strRef>
              <c:f>'HE GEN - Time'!$F$3:$F$4</c:f>
              <c:strCache>
                <c:ptCount val="1"/>
                <c:pt idx="0">
                  <c:v>MUNIWASTE</c:v>
                </c:pt>
              </c:strCache>
            </c:strRef>
          </c:tx>
          <c:spPr>
            <a:solidFill>
              <a:schemeClr val="accent2"/>
            </a:solidFill>
            <a:ln>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Time'!$F$5:$F$29</c:f>
              <c:numCache>
                <c:formatCode>General</c:formatCode>
                <c:ptCount val="24"/>
                <c:pt idx="0">
                  <c:v>3515.4967473254683</c:v>
                </c:pt>
                <c:pt idx="1">
                  <c:v>3515.2020541245874</c:v>
                </c:pt>
                <c:pt idx="2">
                  <c:v>3467.3287927849947</c:v>
                </c:pt>
                <c:pt idx="3">
                  <c:v>3516.2395847320367</c:v>
                </c:pt>
                <c:pt idx="4">
                  <c:v>3544.516048202021</c:v>
                </c:pt>
                <c:pt idx="5">
                  <c:v>4295.3818689546188</c:v>
                </c:pt>
                <c:pt idx="6">
                  <c:v>6670.774050627123</c:v>
                </c:pt>
                <c:pt idx="7">
                  <c:v>8102.226667869686</c:v>
                </c:pt>
                <c:pt idx="8">
                  <c:v>8120.0812294673979</c:v>
                </c:pt>
                <c:pt idx="9">
                  <c:v>8017.9297298161564</c:v>
                </c:pt>
                <c:pt idx="10">
                  <c:v>6659.0914836155835</c:v>
                </c:pt>
                <c:pt idx="11">
                  <c:v>4655.6453814970155</c:v>
                </c:pt>
                <c:pt idx="12">
                  <c:v>4571.0610505703007</c:v>
                </c:pt>
                <c:pt idx="13">
                  <c:v>4600.3799759133472</c:v>
                </c:pt>
                <c:pt idx="14">
                  <c:v>4705.2326730903733</c:v>
                </c:pt>
                <c:pt idx="15">
                  <c:v>6663.7259951284104</c:v>
                </c:pt>
                <c:pt idx="16">
                  <c:v>8000.5513196902584</c:v>
                </c:pt>
                <c:pt idx="17">
                  <c:v>8010.8041256474626</c:v>
                </c:pt>
                <c:pt idx="18">
                  <c:v>8009.3135657262546</c:v>
                </c:pt>
                <c:pt idx="19">
                  <c:v>7640.787648948065</c:v>
                </c:pt>
                <c:pt idx="20">
                  <c:v>4641.01521794153</c:v>
                </c:pt>
                <c:pt idx="21">
                  <c:v>3868.7241473328786</c:v>
                </c:pt>
                <c:pt idx="22">
                  <c:v>3502.2010539139037</c:v>
                </c:pt>
                <c:pt idx="23">
                  <c:v>3444.6056339852898</c:v>
                </c:pt>
              </c:numCache>
            </c:numRef>
          </c:val>
          <c:extLst>
            <c:ext xmlns:c16="http://schemas.microsoft.com/office/drawing/2014/chart" uri="{C3380CC4-5D6E-409C-BE32-E72D297353CC}">
              <c16:uniqueId val="{00000001-177D-44E0-A469-C45A999AF873}"/>
            </c:ext>
          </c:extLst>
        </c:ser>
        <c:ser>
          <c:idx val="2"/>
          <c:order val="2"/>
          <c:tx>
            <c:strRef>
              <c:f>'HE GEN - Time'!$G$3:$G$4</c:f>
              <c:strCache>
                <c:ptCount val="1"/>
                <c:pt idx="0">
                  <c:v>WOODWASTE</c:v>
                </c:pt>
              </c:strCache>
            </c:strRef>
          </c:tx>
          <c:spPr>
            <a:solidFill>
              <a:schemeClr val="accent3"/>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Time'!$G$5:$G$29</c:f>
              <c:numCache>
                <c:formatCode>General</c:formatCode>
                <c:ptCount val="24"/>
                <c:pt idx="0">
                  <c:v>3173.0486383846728</c:v>
                </c:pt>
                <c:pt idx="1">
                  <c:v>3165.9363132292156</c:v>
                </c:pt>
                <c:pt idx="2">
                  <c:v>3424.9210598826862</c:v>
                </c:pt>
                <c:pt idx="3">
                  <c:v>3220.9883729103185</c:v>
                </c:pt>
                <c:pt idx="4">
                  <c:v>3440.4766741440762</c:v>
                </c:pt>
                <c:pt idx="5">
                  <c:v>3665.1388899720737</c:v>
                </c:pt>
                <c:pt idx="6">
                  <c:v>4011.9737035959533</c:v>
                </c:pt>
                <c:pt idx="7">
                  <c:v>4038.2065761013587</c:v>
                </c:pt>
                <c:pt idx="8">
                  <c:v>4043.4979965190605</c:v>
                </c:pt>
                <c:pt idx="9">
                  <c:v>4026.5341232619921</c:v>
                </c:pt>
                <c:pt idx="10">
                  <c:v>4053.0569993739</c:v>
                </c:pt>
                <c:pt idx="11">
                  <c:v>4045.2004507688216</c:v>
                </c:pt>
                <c:pt idx="12">
                  <c:v>4022.7141222676778</c:v>
                </c:pt>
                <c:pt idx="13">
                  <c:v>4021.349952190199</c:v>
                </c:pt>
                <c:pt idx="14">
                  <c:v>3974.3425675904896</c:v>
                </c:pt>
                <c:pt idx="15">
                  <c:v>3952.8071174116531</c:v>
                </c:pt>
                <c:pt idx="16">
                  <c:v>3832.6822479946309</c:v>
                </c:pt>
                <c:pt idx="17">
                  <c:v>3701.0454444661618</c:v>
                </c:pt>
                <c:pt idx="18">
                  <c:v>3609.0786111618822</c:v>
                </c:pt>
                <c:pt idx="19">
                  <c:v>3520.1472449274929</c:v>
                </c:pt>
                <c:pt idx="20">
                  <c:v>3464.1565529396789</c:v>
                </c:pt>
                <c:pt idx="21">
                  <c:v>3289.9302170957694</c:v>
                </c:pt>
                <c:pt idx="22">
                  <c:v>3158.7670969680585</c:v>
                </c:pt>
                <c:pt idx="23">
                  <c:v>3112.7833432610105</c:v>
                </c:pt>
              </c:numCache>
            </c:numRef>
          </c:val>
          <c:extLst>
            <c:ext xmlns:c16="http://schemas.microsoft.com/office/drawing/2014/chart" uri="{C3380CC4-5D6E-409C-BE32-E72D297353CC}">
              <c16:uniqueId val="{00000002-177D-44E0-A469-C45A999AF873}"/>
            </c:ext>
          </c:extLst>
        </c:ser>
        <c:ser>
          <c:idx val="3"/>
          <c:order val="3"/>
          <c:tx>
            <c:strRef>
              <c:f>'HE GEN - Time'!$H$3:$H$4</c:f>
              <c:strCache>
                <c:ptCount val="1"/>
                <c:pt idx="0">
                  <c:v>WASTEHEAT</c:v>
                </c:pt>
              </c:strCache>
            </c:strRef>
          </c:tx>
          <c:spPr>
            <a:solidFill>
              <a:schemeClr val="accent4"/>
            </a:solidFill>
            <a:ln>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Time'!$H$5:$H$29</c:f>
              <c:numCache>
                <c:formatCode>General</c:formatCode>
                <c:ptCount val="24"/>
                <c:pt idx="0">
                  <c:v>850.25871923265356</c:v>
                </c:pt>
                <c:pt idx="1">
                  <c:v>850.0159707299639</c:v>
                </c:pt>
                <c:pt idx="2">
                  <c:v>862.12020604775364</c:v>
                </c:pt>
                <c:pt idx="3">
                  <c:v>859.57179890184159</c:v>
                </c:pt>
                <c:pt idx="4">
                  <c:v>876.86258065356685</c:v>
                </c:pt>
                <c:pt idx="5">
                  <c:v>886.43176045188181</c:v>
                </c:pt>
                <c:pt idx="6">
                  <c:v>885.25403132529266</c:v>
                </c:pt>
                <c:pt idx="7">
                  <c:v>961.6465952222735</c:v>
                </c:pt>
                <c:pt idx="8">
                  <c:v>901.3906864561726</c:v>
                </c:pt>
                <c:pt idx="9">
                  <c:v>984.54242814453266</c:v>
                </c:pt>
                <c:pt idx="10">
                  <c:v>908.46326831462136</c:v>
                </c:pt>
                <c:pt idx="11">
                  <c:v>907.77986442120084</c:v>
                </c:pt>
                <c:pt idx="12">
                  <c:v>995.00382006977554</c:v>
                </c:pt>
                <c:pt idx="13">
                  <c:v>906.94389054439773</c:v>
                </c:pt>
                <c:pt idx="14">
                  <c:v>906.30139369452684</c:v>
                </c:pt>
                <c:pt idx="15">
                  <c:v>999.61804482187756</c:v>
                </c:pt>
                <c:pt idx="16">
                  <c:v>901.9457228462278</c:v>
                </c:pt>
                <c:pt idx="17">
                  <c:v>896.76599019721482</c:v>
                </c:pt>
                <c:pt idx="18">
                  <c:v>893.67208894059479</c:v>
                </c:pt>
                <c:pt idx="19">
                  <c:v>887.70945073618248</c:v>
                </c:pt>
                <c:pt idx="20">
                  <c:v>980.94826735445861</c:v>
                </c:pt>
                <c:pt idx="21">
                  <c:v>889.39012051279917</c:v>
                </c:pt>
                <c:pt idx="22">
                  <c:v>967.61802393070741</c:v>
                </c:pt>
                <c:pt idx="23">
                  <c:v>958.7949949997527</c:v>
                </c:pt>
              </c:numCache>
            </c:numRef>
          </c:val>
          <c:extLst>
            <c:ext xmlns:c16="http://schemas.microsoft.com/office/drawing/2014/chart" uri="{C3380CC4-5D6E-409C-BE32-E72D297353CC}">
              <c16:uniqueId val="{00000003-177D-44E0-A469-C45A999AF873}"/>
            </c:ext>
          </c:extLst>
        </c:ser>
        <c:ser>
          <c:idx val="4"/>
          <c:order val="4"/>
          <c:tx>
            <c:strRef>
              <c:f>'HE GEN - Time'!$I$3:$I$4</c:f>
              <c:strCache>
                <c:ptCount val="1"/>
                <c:pt idx="0">
                  <c:v>HEAT</c:v>
                </c:pt>
              </c:strCache>
            </c:strRef>
          </c:tx>
          <c:spPr>
            <a:solidFill>
              <a:schemeClr val="accent5"/>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Time'!$I$5:$I$29</c:f>
              <c:numCache>
                <c:formatCode>General</c:formatCode>
                <c:ptCount val="24"/>
                <c:pt idx="0">
                  <c:v>127716.45990944144</c:v>
                </c:pt>
                <c:pt idx="1">
                  <c:v>127554.4284836421</c:v>
                </c:pt>
                <c:pt idx="2">
                  <c:v>127554.57349627472</c:v>
                </c:pt>
                <c:pt idx="3">
                  <c:v>127960.71851727361</c:v>
                </c:pt>
                <c:pt idx="4">
                  <c:v>127629.77880837129</c:v>
                </c:pt>
                <c:pt idx="5">
                  <c:v>128381.54722417789</c:v>
                </c:pt>
                <c:pt idx="6">
                  <c:v>129307.32005947802</c:v>
                </c:pt>
                <c:pt idx="7">
                  <c:v>129899.37529050946</c:v>
                </c:pt>
                <c:pt idx="8">
                  <c:v>129959.17102533289</c:v>
                </c:pt>
                <c:pt idx="9">
                  <c:v>129984.41491370929</c:v>
                </c:pt>
                <c:pt idx="10">
                  <c:v>131480.15247563715</c:v>
                </c:pt>
                <c:pt idx="11">
                  <c:v>133308.22804795246</c:v>
                </c:pt>
                <c:pt idx="12">
                  <c:v>132865.41310542281</c:v>
                </c:pt>
                <c:pt idx="13">
                  <c:v>132542.38098270373</c:v>
                </c:pt>
                <c:pt idx="14">
                  <c:v>132165.68396570679</c:v>
                </c:pt>
                <c:pt idx="15">
                  <c:v>129917.34293195703</c:v>
                </c:pt>
                <c:pt idx="16">
                  <c:v>128846.5275460237</c:v>
                </c:pt>
                <c:pt idx="17">
                  <c:v>128864.45627071375</c:v>
                </c:pt>
                <c:pt idx="18">
                  <c:v>128274.95117447851</c:v>
                </c:pt>
                <c:pt idx="19">
                  <c:v>128520.67043672589</c:v>
                </c:pt>
                <c:pt idx="20">
                  <c:v>131112.24247255205</c:v>
                </c:pt>
                <c:pt idx="21">
                  <c:v>129504.89087961035</c:v>
                </c:pt>
                <c:pt idx="22">
                  <c:v>128994.59868417334</c:v>
                </c:pt>
                <c:pt idx="23">
                  <c:v>128702.83798962904</c:v>
                </c:pt>
              </c:numCache>
            </c:numRef>
          </c:val>
          <c:extLst>
            <c:ext xmlns:c16="http://schemas.microsoft.com/office/drawing/2014/chart" uri="{C3380CC4-5D6E-409C-BE32-E72D297353CC}">
              <c16:uniqueId val="{00000004-177D-44E0-A469-C45A999AF873}"/>
            </c:ext>
          </c:extLst>
        </c:ser>
        <c:ser>
          <c:idx val="5"/>
          <c:order val="5"/>
          <c:tx>
            <c:strRef>
              <c:f>'HE GEN - Time'!$J$3:$J$4</c:f>
              <c:strCache>
                <c:ptCount val="1"/>
                <c:pt idx="0">
                  <c:v>NATGAS</c:v>
                </c:pt>
              </c:strCache>
            </c:strRef>
          </c:tx>
          <c:spPr>
            <a:solidFill>
              <a:schemeClr val="accent1"/>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Time'!$J$5:$J$29</c:f>
              <c:numCache>
                <c:formatCode>General</c:formatCode>
                <c:ptCount val="24"/>
                <c:pt idx="0">
                  <c:v>22104.965911367937</c:v>
                </c:pt>
                <c:pt idx="1">
                  <c:v>22715.441089091142</c:v>
                </c:pt>
                <c:pt idx="2">
                  <c:v>22310.74240701455</c:v>
                </c:pt>
                <c:pt idx="3">
                  <c:v>22331.194202893977</c:v>
                </c:pt>
                <c:pt idx="4">
                  <c:v>22687.933460199296</c:v>
                </c:pt>
                <c:pt idx="5">
                  <c:v>22732.516600116647</c:v>
                </c:pt>
                <c:pt idx="6">
                  <c:v>24286.685710470934</c:v>
                </c:pt>
                <c:pt idx="7">
                  <c:v>24459.239044630238</c:v>
                </c:pt>
                <c:pt idx="8">
                  <c:v>24486.428482439649</c:v>
                </c:pt>
                <c:pt idx="9">
                  <c:v>24466.68183515975</c:v>
                </c:pt>
                <c:pt idx="10">
                  <c:v>24640.017112738373</c:v>
                </c:pt>
                <c:pt idx="11">
                  <c:v>24025.185026784318</c:v>
                </c:pt>
                <c:pt idx="12">
                  <c:v>23934.046409146631</c:v>
                </c:pt>
                <c:pt idx="13">
                  <c:v>23804.937285096046</c:v>
                </c:pt>
                <c:pt idx="14">
                  <c:v>24325.609815423206</c:v>
                </c:pt>
                <c:pt idx="15">
                  <c:v>24586.339900723826</c:v>
                </c:pt>
                <c:pt idx="16">
                  <c:v>24293.623307033093</c:v>
                </c:pt>
                <c:pt idx="17">
                  <c:v>24286.512813471221</c:v>
                </c:pt>
                <c:pt idx="18">
                  <c:v>24231.940923698618</c:v>
                </c:pt>
                <c:pt idx="19">
                  <c:v>23683.833600673992</c:v>
                </c:pt>
                <c:pt idx="20">
                  <c:v>23202.34564446329</c:v>
                </c:pt>
                <c:pt idx="21">
                  <c:v>22445.991138759484</c:v>
                </c:pt>
                <c:pt idx="22">
                  <c:v>22261.910200359183</c:v>
                </c:pt>
                <c:pt idx="23">
                  <c:v>22361.958352291007</c:v>
                </c:pt>
              </c:numCache>
            </c:numRef>
          </c:val>
          <c:extLst>
            <c:ext xmlns:c16="http://schemas.microsoft.com/office/drawing/2014/chart" uri="{C3380CC4-5D6E-409C-BE32-E72D297353CC}">
              <c16:uniqueId val="{00000005-177D-44E0-A469-C45A999AF873}"/>
            </c:ext>
          </c:extLst>
        </c:ser>
        <c:ser>
          <c:idx val="6"/>
          <c:order val="6"/>
          <c:tx>
            <c:strRef>
              <c:f>'HE GEN - Time'!$K$3:$K$4</c:f>
              <c:strCache>
                <c:ptCount val="1"/>
                <c:pt idx="0">
                  <c:v>STRAW</c:v>
                </c:pt>
              </c:strCache>
            </c:strRef>
          </c:tx>
          <c:spPr>
            <a:solidFill>
              <a:schemeClr val="accent1"/>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Time'!$K$5:$K$29</c:f>
              <c:numCache>
                <c:formatCode>General</c:formatCode>
                <c:ptCount val="24"/>
                <c:pt idx="0">
                  <c:v>5227.2333452536259</c:v>
                </c:pt>
                <c:pt idx="1">
                  <c:v>5280.2858036107918</c:v>
                </c:pt>
                <c:pt idx="2">
                  <c:v>5295.0610191999858</c:v>
                </c:pt>
                <c:pt idx="3">
                  <c:v>5248.6740265496355</c:v>
                </c:pt>
                <c:pt idx="4">
                  <c:v>5141.7455360426957</c:v>
                </c:pt>
                <c:pt idx="5">
                  <c:v>4984.9916525880362</c:v>
                </c:pt>
                <c:pt idx="6">
                  <c:v>4826.6142962786253</c:v>
                </c:pt>
                <c:pt idx="7">
                  <c:v>6117.8774288486411</c:v>
                </c:pt>
                <c:pt idx="8">
                  <c:v>5485.829954228866</c:v>
                </c:pt>
                <c:pt idx="9">
                  <c:v>5988.579374037683</c:v>
                </c:pt>
                <c:pt idx="10">
                  <c:v>5505.6794670580657</c:v>
                </c:pt>
                <c:pt idx="11">
                  <c:v>3911.5103241440261</c:v>
                </c:pt>
                <c:pt idx="12">
                  <c:v>3846.8176353425861</c:v>
                </c:pt>
                <c:pt idx="13">
                  <c:v>3667.5388382475758</c:v>
                </c:pt>
                <c:pt idx="14">
                  <c:v>3606.1709427723158</c:v>
                </c:pt>
                <c:pt idx="15">
                  <c:v>5267.2249533789563</c:v>
                </c:pt>
                <c:pt idx="16">
                  <c:v>4467.8641523185661</c:v>
                </c:pt>
                <c:pt idx="17">
                  <c:v>4608.0496564419154</c:v>
                </c:pt>
                <c:pt idx="18">
                  <c:v>4614.7454896642157</c:v>
                </c:pt>
                <c:pt idx="19">
                  <c:v>3402.687920933236</c:v>
                </c:pt>
                <c:pt idx="20">
                  <c:v>3363.9292501067262</c:v>
                </c:pt>
                <c:pt idx="21">
                  <c:v>3269.6650514637699</c:v>
                </c:pt>
                <c:pt idx="22">
                  <c:v>3237.6215761603657</c:v>
                </c:pt>
                <c:pt idx="23">
                  <c:v>3222.7593761003254</c:v>
                </c:pt>
              </c:numCache>
            </c:numRef>
          </c:val>
          <c:extLst>
            <c:ext xmlns:c16="http://schemas.microsoft.com/office/drawing/2014/chart" uri="{C3380CC4-5D6E-409C-BE32-E72D297353CC}">
              <c16:uniqueId val="{00000006-177D-44E0-A469-C45A999AF873}"/>
            </c:ext>
          </c:extLst>
        </c:ser>
        <c:ser>
          <c:idx val="7"/>
          <c:order val="7"/>
          <c:tx>
            <c:strRef>
              <c:f>'HE GEN - Time'!$L$3:$L$4</c:f>
              <c:strCache>
                <c:ptCount val="1"/>
                <c:pt idx="0">
                  <c:v>WOODCHIPS</c:v>
                </c:pt>
              </c:strCache>
            </c:strRef>
          </c:tx>
          <c:spPr>
            <a:solidFill>
              <a:schemeClr val="accent1"/>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Time'!$L$5:$L$29</c:f>
              <c:numCache>
                <c:formatCode>General</c:formatCode>
                <c:ptCount val="24"/>
                <c:pt idx="0">
                  <c:v>1307.2604288716736</c:v>
                </c:pt>
                <c:pt idx="1">
                  <c:v>1307.2604288716736</c:v>
                </c:pt>
                <c:pt idx="2">
                  <c:v>1307.2604288716736</c:v>
                </c:pt>
                <c:pt idx="3">
                  <c:v>1307.2604288716736</c:v>
                </c:pt>
                <c:pt idx="4">
                  <c:v>1307.2604288716736</c:v>
                </c:pt>
                <c:pt idx="5">
                  <c:v>1307.2604288716736</c:v>
                </c:pt>
                <c:pt idx="6">
                  <c:v>1896.2824745508885</c:v>
                </c:pt>
                <c:pt idx="7">
                  <c:v>2043.0937065919063</c:v>
                </c:pt>
                <c:pt idx="8">
                  <c:v>2043.0937065919063</c:v>
                </c:pt>
                <c:pt idx="9">
                  <c:v>2043.0937065919063</c:v>
                </c:pt>
                <c:pt idx="10">
                  <c:v>1822.3582910707844</c:v>
                </c:pt>
                <c:pt idx="11">
                  <c:v>1759.6759816972651</c:v>
                </c:pt>
                <c:pt idx="12">
                  <c:v>1429.0222609399575</c:v>
                </c:pt>
                <c:pt idx="13">
                  <c:v>1397.108453688548</c:v>
                </c:pt>
                <c:pt idx="14">
                  <c:v>1660.1405598180822</c:v>
                </c:pt>
                <c:pt idx="15">
                  <c:v>1638.4533602102622</c:v>
                </c:pt>
                <c:pt idx="16">
                  <c:v>1659.0421336885938</c:v>
                </c:pt>
                <c:pt idx="17">
                  <c:v>1612.909245748298</c:v>
                </c:pt>
                <c:pt idx="18">
                  <c:v>1613.9992419181613</c:v>
                </c:pt>
                <c:pt idx="19">
                  <c:v>1372.7601469743038</c:v>
                </c:pt>
                <c:pt idx="20">
                  <c:v>1307.2604288716736</c:v>
                </c:pt>
                <c:pt idx="21">
                  <c:v>1307.2604288716736</c:v>
                </c:pt>
                <c:pt idx="22">
                  <c:v>1307.2604288716736</c:v>
                </c:pt>
                <c:pt idx="23">
                  <c:v>1281.5471390170551</c:v>
                </c:pt>
              </c:numCache>
            </c:numRef>
          </c:val>
          <c:extLst>
            <c:ext xmlns:c16="http://schemas.microsoft.com/office/drawing/2014/chart" uri="{C3380CC4-5D6E-409C-BE32-E72D297353CC}">
              <c16:uniqueId val="{00000007-177D-44E0-A469-C45A999AF873}"/>
            </c:ext>
          </c:extLst>
        </c:ser>
        <c:ser>
          <c:idx val="8"/>
          <c:order val="8"/>
          <c:tx>
            <c:strRef>
              <c:f>'HE GEN - Time'!$M$3:$M$4</c:f>
              <c:strCache>
                <c:ptCount val="1"/>
                <c:pt idx="0">
                  <c:v>LPG</c:v>
                </c:pt>
              </c:strCache>
            </c:strRef>
          </c:tx>
          <c:spPr>
            <a:solidFill>
              <a:schemeClr val="accent1"/>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Time'!$M$5:$M$29</c:f>
              <c:numCache>
                <c:formatCode>General</c:formatCode>
                <c:ptCount val="24"/>
                <c:pt idx="0">
                  <c:v>172.67468646154848</c:v>
                </c:pt>
                <c:pt idx="1">
                  <c:v>172.50148709892053</c:v>
                </c:pt>
                <c:pt idx="2">
                  <c:v>172.8500258035607</c:v>
                </c:pt>
                <c:pt idx="3">
                  <c:v>173.64298492792562</c:v>
                </c:pt>
                <c:pt idx="4">
                  <c:v>176.40554176627509</c:v>
                </c:pt>
                <c:pt idx="5">
                  <c:v>188.989772912131</c:v>
                </c:pt>
                <c:pt idx="6">
                  <c:v>219.47914110175711</c:v>
                </c:pt>
                <c:pt idx="7">
                  <c:v>248.27835351655304</c:v>
                </c:pt>
                <c:pt idx="8">
                  <c:v>253.28089735335845</c:v>
                </c:pt>
                <c:pt idx="9">
                  <c:v>246.32083890053886</c:v>
                </c:pt>
                <c:pt idx="10">
                  <c:v>235.74289236899088</c:v>
                </c:pt>
                <c:pt idx="11">
                  <c:v>224.41748169992016</c:v>
                </c:pt>
                <c:pt idx="12">
                  <c:v>217.19770177055631</c:v>
                </c:pt>
                <c:pt idx="13">
                  <c:v>212.60350574048829</c:v>
                </c:pt>
                <c:pt idx="14">
                  <c:v>206.24943371497622</c:v>
                </c:pt>
                <c:pt idx="15">
                  <c:v>192.69570620867503</c:v>
                </c:pt>
                <c:pt idx="16">
                  <c:v>181.40931186463396</c:v>
                </c:pt>
                <c:pt idx="17">
                  <c:v>174.16449685082077</c:v>
                </c:pt>
                <c:pt idx="18">
                  <c:v>171.56706631903191</c:v>
                </c:pt>
                <c:pt idx="19">
                  <c:v>171.0143061236956</c:v>
                </c:pt>
                <c:pt idx="20">
                  <c:v>169.6362874791993</c:v>
                </c:pt>
                <c:pt idx="21">
                  <c:v>166.99108079205052</c:v>
                </c:pt>
                <c:pt idx="22">
                  <c:v>166.00239450840166</c:v>
                </c:pt>
                <c:pt idx="23">
                  <c:v>165.56240889514947</c:v>
                </c:pt>
              </c:numCache>
            </c:numRef>
          </c:val>
          <c:extLst>
            <c:ext xmlns:c16="http://schemas.microsoft.com/office/drawing/2014/chart" uri="{C3380CC4-5D6E-409C-BE32-E72D297353CC}">
              <c16:uniqueId val="{00000006-1313-4556-84DE-66D64760551D}"/>
            </c:ext>
          </c:extLst>
        </c:ser>
        <c:ser>
          <c:idx val="9"/>
          <c:order val="9"/>
          <c:tx>
            <c:strRef>
              <c:f>'HE GEN - Time'!$N$3:$N$4</c:f>
              <c:strCache>
                <c:ptCount val="1"/>
                <c:pt idx="0">
                  <c:v>RECYCLEDWOOD</c:v>
                </c:pt>
              </c:strCache>
            </c:strRef>
          </c:tx>
          <c:spPr>
            <a:solidFill>
              <a:schemeClr val="accent1"/>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Time'!$N$5:$N$29</c:f>
              <c:numCache>
                <c:formatCode>General</c:formatCode>
                <c:ptCount val="24"/>
                <c:pt idx="0">
                  <c:v>322.21911612317092</c:v>
                </c:pt>
                <c:pt idx="1">
                  <c:v>322.21911612317092</c:v>
                </c:pt>
                <c:pt idx="2">
                  <c:v>322.21911612317092</c:v>
                </c:pt>
                <c:pt idx="3">
                  <c:v>322.21911612317092</c:v>
                </c:pt>
                <c:pt idx="4">
                  <c:v>322.21911612317092</c:v>
                </c:pt>
                <c:pt idx="5">
                  <c:v>368.6848601481347</c:v>
                </c:pt>
                <c:pt idx="6">
                  <c:v>429.00179913542991</c:v>
                </c:pt>
                <c:pt idx="7">
                  <c:v>429.00179913542991</c:v>
                </c:pt>
                <c:pt idx="8">
                  <c:v>429.00179913542991</c:v>
                </c:pt>
                <c:pt idx="9">
                  <c:v>429.00179913542991</c:v>
                </c:pt>
                <c:pt idx="10">
                  <c:v>429.00179913542991</c:v>
                </c:pt>
                <c:pt idx="11">
                  <c:v>429.00179913542991</c:v>
                </c:pt>
                <c:pt idx="12">
                  <c:v>429.00179913542991</c:v>
                </c:pt>
                <c:pt idx="13">
                  <c:v>429.00179913542991</c:v>
                </c:pt>
                <c:pt idx="14">
                  <c:v>429.00179913542991</c:v>
                </c:pt>
                <c:pt idx="15">
                  <c:v>429.00179913542991</c:v>
                </c:pt>
                <c:pt idx="16">
                  <c:v>401.80521321255947</c:v>
                </c:pt>
                <c:pt idx="17">
                  <c:v>349.12452963326746</c:v>
                </c:pt>
                <c:pt idx="18">
                  <c:v>322.21911612317092</c:v>
                </c:pt>
                <c:pt idx="19">
                  <c:v>322.21911612317092</c:v>
                </c:pt>
                <c:pt idx="20">
                  <c:v>322.21911612317092</c:v>
                </c:pt>
                <c:pt idx="21">
                  <c:v>322.21911612317092</c:v>
                </c:pt>
                <c:pt idx="22">
                  <c:v>322.21911612317092</c:v>
                </c:pt>
                <c:pt idx="23">
                  <c:v>322.21911612317092</c:v>
                </c:pt>
              </c:numCache>
            </c:numRef>
          </c:val>
          <c:extLst>
            <c:ext xmlns:c16="http://schemas.microsoft.com/office/drawing/2014/chart" uri="{C3380CC4-5D6E-409C-BE32-E72D297353CC}">
              <c16:uniqueId val="{00000007-1313-4556-84DE-66D64760551D}"/>
            </c:ext>
          </c:extLst>
        </c:ser>
        <c:ser>
          <c:idx val="10"/>
          <c:order val="10"/>
          <c:tx>
            <c:strRef>
              <c:f>'HE GEN - Time'!$O$3:$O$4</c:f>
              <c:strCache>
                <c:ptCount val="1"/>
                <c:pt idx="0">
                  <c:v>WOOD</c:v>
                </c:pt>
              </c:strCache>
            </c:strRef>
          </c:tx>
          <c:spPr>
            <a:solidFill>
              <a:schemeClr val="accent1"/>
            </a:solidFill>
            <a:ln>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Time'!$O$5:$O$29</c:f>
              <c:numCache>
                <c:formatCode>General</c:formatCode>
                <c:ptCount val="24"/>
                <c:pt idx="0">
                  <c:v>3607.9643839377582</c:v>
                </c:pt>
                <c:pt idx="1">
                  <c:v>2872.0522648509823</c:v>
                </c:pt>
                <c:pt idx="2">
                  <c:v>2763.2398556976809</c:v>
                </c:pt>
                <c:pt idx="3">
                  <c:v>2986.4981957518849</c:v>
                </c:pt>
                <c:pt idx="4">
                  <c:v>4210.0784626111863</c:v>
                </c:pt>
                <c:pt idx="5">
                  <c:v>6488.8667950766312</c:v>
                </c:pt>
                <c:pt idx="6">
                  <c:v>8060.9353137006337</c:v>
                </c:pt>
                <c:pt idx="7">
                  <c:v>6326.6153284717448</c:v>
                </c:pt>
                <c:pt idx="8">
                  <c:v>6326.6153284717448</c:v>
                </c:pt>
                <c:pt idx="9">
                  <c:v>6326.6153284717448</c:v>
                </c:pt>
                <c:pt idx="10">
                  <c:v>6621.0867986620005</c:v>
                </c:pt>
                <c:pt idx="11">
                  <c:v>8073.1408152122449</c:v>
                </c:pt>
                <c:pt idx="12">
                  <c:v>8032.4406529966336</c:v>
                </c:pt>
                <c:pt idx="13">
                  <c:v>7957.6777597646769</c:v>
                </c:pt>
                <c:pt idx="14">
                  <c:v>8141.9999438563655</c:v>
                </c:pt>
                <c:pt idx="15">
                  <c:v>6326.6153284717448</c:v>
                </c:pt>
                <c:pt idx="16">
                  <c:v>6326.6153284717448</c:v>
                </c:pt>
                <c:pt idx="17">
                  <c:v>6326.6153284717448</c:v>
                </c:pt>
                <c:pt idx="18">
                  <c:v>6233.6152354716514</c:v>
                </c:pt>
                <c:pt idx="19">
                  <c:v>7975.8457348186066</c:v>
                </c:pt>
                <c:pt idx="20">
                  <c:v>6473.1421107599026</c:v>
                </c:pt>
                <c:pt idx="21">
                  <c:v>5203.1712726895821</c:v>
                </c:pt>
                <c:pt idx="22">
                  <c:v>4568.9195310024634</c:v>
                </c:pt>
                <c:pt idx="23">
                  <c:v>3256.7573440905221</c:v>
                </c:pt>
              </c:numCache>
            </c:numRef>
          </c:val>
          <c:extLst>
            <c:ext xmlns:c16="http://schemas.microsoft.com/office/drawing/2014/chart" uri="{C3380CC4-5D6E-409C-BE32-E72D297353CC}">
              <c16:uniqueId val="{00000008-1313-4556-84DE-66D64760551D}"/>
            </c:ext>
          </c:extLst>
        </c:ser>
        <c:ser>
          <c:idx val="11"/>
          <c:order val="11"/>
          <c:tx>
            <c:strRef>
              <c:f>'HE GEN - Time'!$P$3:$P$4</c:f>
              <c:strCache>
                <c:ptCount val="1"/>
                <c:pt idx="0">
                  <c:v>NATGAS_EXETS</c:v>
                </c:pt>
              </c:strCache>
            </c:strRef>
          </c:tx>
          <c:spPr>
            <a:solidFill>
              <a:schemeClr val="accent1"/>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Time'!$P$5:$P$29</c:f>
              <c:numCache>
                <c:formatCode>General</c:formatCode>
                <c:ptCount val="24"/>
                <c:pt idx="0">
                  <c:v>73.454973655735699</c:v>
                </c:pt>
                <c:pt idx="1">
                  <c:v>145</c:v>
                </c:pt>
                <c:pt idx="2">
                  <c:v>14.223450922207901</c:v>
                </c:pt>
                <c:pt idx="3">
                  <c:v>54.459078601015001</c:v>
                </c:pt>
                <c:pt idx="4">
                  <c:v>145</c:v>
                </c:pt>
                <c:pt idx="5">
                  <c:v>145</c:v>
                </c:pt>
                <c:pt idx="6">
                  <c:v>165</c:v>
                </c:pt>
                <c:pt idx="7">
                  <c:v>165</c:v>
                </c:pt>
                <c:pt idx="8">
                  <c:v>165</c:v>
                </c:pt>
                <c:pt idx="9">
                  <c:v>145</c:v>
                </c:pt>
                <c:pt idx="10">
                  <c:v>165</c:v>
                </c:pt>
                <c:pt idx="11">
                  <c:v>165</c:v>
                </c:pt>
                <c:pt idx="12">
                  <c:v>145</c:v>
                </c:pt>
                <c:pt idx="13">
                  <c:v>165</c:v>
                </c:pt>
                <c:pt idx="14">
                  <c:v>165</c:v>
                </c:pt>
                <c:pt idx="15">
                  <c:v>165</c:v>
                </c:pt>
                <c:pt idx="16">
                  <c:v>145</c:v>
                </c:pt>
                <c:pt idx="17">
                  <c:v>145</c:v>
                </c:pt>
                <c:pt idx="18">
                  <c:v>145</c:v>
                </c:pt>
                <c:pt idx="19">
                  <c:v>145</c:v>
                </c:pt>
                <c:pt idx="20">
                  <c:v>145</c:v>
                </c:pt>
                <c:pt idx="21">
                  <c:v>160.7091755370802</c:v>
                </c:pt>
                <c:pt idx="22">
                  <c:v>90.211246443728996</c:v>
                </c:pt>
                <c:pt idx="23">
                  <c:v>145</c:v>
                </c:pt>
              </c:numCache>
            </c:numRef>
          </c:val>
          <c:extLst>
            <c:ext xmlns:c16="http://schemas.microsoft.com/office/drawing/2014/chart" uri="{C3380CC4-5D6E-409C-BE32-E72D297353CC}">
              <c16:uniqueId val="{00000009-1313-4556-84DE-66D64760551D}"/>
            </c:ext>
          </c:extLst>
        </c:ser>
        <c:ser>
          <c:idx val="12"/>
          <c:order val="12"/>
          <c:tx>
            <c:strRef>
              <c:f>'HE GEN - Time'!$Q$3:$Q$4</c:f>
              <c:strCache>
                <c:ptCount val="1"/>
                <c:pt idx="0">
                  <c:v>BIOGAS</c:v>
                </c:pt>
              </c:strCache>
            </c:strRef>
          </c:tx>
          <c:spPr>
            <a:solidFill>
              <a:schemeClr val="accent1"/>
            </a:solidFill>
            <a:ln>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Time'!$Q$5:$Q$29</c:f>
              <c:numCache>
                <c:formatCode>General</c:formatCode>
                <c:ptCount val="24"/>
                <c:pt idx="0">
                  <c:v>33.356794425087138</c:v>
                </c:pt>
                <c:pt idx="1">
                  <c:v>33.356794425087138</c:v>
                </c:pt>
                <c:pt idx="2">
                  <c:v>33.356794425087138</c:v>
                </c:pt>
                <c:pt idx="3">
                  <c:v>33.356794425087138</c:v>
                </c:pt>
                <c:pt idx="4">
                  <c:v>33.356794425087138</c:v>
                </c:pt>
                <c:pt idx="5">
                  <c:v>33.356794425087138</c:v>
                </c:pt>
                <c:pt idx="6">
                  <c:v>378.78135888501726</c:v>
                </c:pt>
                <c:pt idx="7">
                  <c:v>651.72386759581877</c:v>
                </c:pt>
                <c:pt idx="8">
                  <c:v>651.72386759581877</c:v>
                </c:pt>
                <c:pt idx="9">
                  <c:v>402.11062717770022</c:v>
                </c:pt>
                <c:pt idx="10">
                  <c:v>379.42770034843193</c:v>
                </c:pt>
                <c:pt idx="11">
                  <c:v>33.356794425087138</c:v>
                </c:pt>
                <c:pt idx="12">
                  <c:v>33.356794425087138</c:v>
                </c:pt>
                <c:pt idx="13">
                  <c:v>33.356794425087138</c:v>
                </c:pt>
                <c:pt idx="14">
                  <c:v>378.78135888501726</c:v>
                </c:pt>
                <c:pt idx="15">
                  <c:v>378.78135888501726</c:v>
                </c:pt>
                <c:pt idx="16">
                  <c:v>378.78135888501726</c:v>
                </c:pt>
                <c:pt idx="17">
                  <c:v>379.42770034843193</c:v>
                </c:pt>
                <c:pt idx="18">
                  <c:v>365.63379790940752</c:v>
                </c:pt>
                <c:pt idx="19">
                  <c:v>365.63379790940752</c:v>
                </c:pt>
                <c:pt idx="20">
                  <c:v>33.356794425087138</c:v>
                </c:pt>
                <c:pt idx="21">
                  <c:v>33.356794425087138</c:v>
                </c:pt>
                <c:pt idx="22">
                  <c:v>33.356794425087138</c:v>
                </c:pt>
                <c:pt idx="23">
                  <c:v>33.356794425087138</c:v>
                </c:pt>
              </c:numCache>
            </c:numRef>
          </c:val>
          <c:extLst>
            <c:ext xmlns:c16="http://schemas.microsoft.com/office/drawing/2014/chart" uri="{C3380CC4-5D6E-409C-BE32-E72D297353CC}">
              <c16:uniqueId val="{0000000A-1313-4556-84DE-66D64760551D}"/>
            </c:ext>
          </c:extLst>
        </c:ser>
        <c:ser>
          <c:idx val="13"/>
          <c:order val="13"/>
          <c:tx>
            <c:strRef>
              <c:f>'HE GEN - Time'!$R$3:$R$4</c:f>
              <c:strCache>
                <c:ptCount val="1"/>
                <c:pt idx="0">
                  <c:v>WOODPELLETS</c:v>
                </c:pt>
              </c:strCache>
            </c:strRef>
          </c:tx>
          <c:spPr>
            <a:solidFill>
              <a:schemeClr val="accent1"/>
            </a:solidFill>
            <a:ln>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Time'!$R$5:$R$29</c:f>
              <c:numCache>
                <c:formatCode>General</c:formatCode>
                <c:ptCount val="24"/>
                <c:pt idx="0">
                  <c:v>635.06520947176671</c:v>
                </c:pt>
                <c:pt idx="1">
                  <c:v>635.06520947176671</c:v>
                </c:pt>
                <c:pt idx="2">
                  <c:v>635.06520947176671</c:v>
                </c:pt>
                <c:pt idx="3">
                  <c:v>635.06520947176671</c:v>
                </c:pt>
                <c:pt idx="4">
                  <c:v>635.06520947176671</c:v>
                </c:pt>
                <c:pt idx="5">
                  <c:v>366.02690892629073</c:v>
                </c:pt>
                <c:pt idx="6">
                  <c:v>295.84326599764285</c:v>
                </c:pt>
                <c:pt idx="7">
                  <c:v>403.93596203623872</c:v>
                </c:pt>
                <c:pt idx="8">
                  <c:v>403.93596203623872</c:v>
                </c:pt>
                <c:pt idx="9">
                  <c:v>400.11596203623873</c:v>
                </c:pt>
                <c:pt idx="10">
                  <c:v>400.11596203623873</c:v>
                </c:pt>
                <c:pt idx="11">
                  <c:v>889.8336305243987</c:v>
                </c:pt>
                <c:pt idx="12">
                  <c:v>889.8336305243987</c:v>
                </c:pt>
                <c:pt idx="13">
                  <c:v>889.8336305243987</c:v>
                </c:pt>
                <c:pt idx="14">
                  <c:v>400.11596203623873</c:v>
                </c:pt>
                <c:pt idx="15">
                  <c:v>400.11596203623873</c:v>
                </c:pt>
                <c:pt idx="16">
                  <c:v>342.71596203623869</c:v>
                </c:pt>
                <c:pt idx="17">
                  <c:v>342.71596203623869</c:v>
                </c:pt>
                <c:pt idx="18">
                  <c:v>617.84326596181074</c:v>
                </c:pt>
                <c:pt idx="19">
                  <c:v>574.97191747048078</c:v>
                </c:pt>
                <c:pt idx="20">
                  <c:v>551.16064788503479</c:v>
                </c:pt>
                <c:pt idx="21">
                  <c:v>635.06520947176671</c:v>
                </c:pt>
                <c:pt idx="22">
                  <c:v>635.06520947176671</c:v>
                </c:pt>
                <c:pt idx="23">
                  <c:v>635.06520947176671</c:v>
                </c:pt>
              </c:numCache>
            </c:numRef>
          </c:val>
          <c:extLst>
            <c:ext xmlns:c16="http://schemas.microsoft.com/office/drawing/2014/chart" uri="{C3380CC4-5D6E-409C-BE32-E72D297353CC}">
              <c16:uniqueId val="{0000000B-1313-4556-84DE-66D64760551D}"/>
            </c:ext>
          </c:extLst>
        </c:ser>
        <c:ser>
          <c:idx val="14"/>
          <c:order val="14"/>
          <c:tx>
            <c:strRef>
              <c:f>'HE GEN - Time'!$S$3:$S$4</c:f>
              <c:strCache>
                <c:ptCount val="1"/>
                <c:pt idx="0">
                  <c:v>FUELOIL</c:v>
                </c:pt>
              </c:strCache>
            </c:strRef>
          </c:tx>
          <c:spPr>
            <a:solidFill>
              <a:schemeClr val="accent1"/>
            </a:solidFill>
            <a:ln>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Time'!$S$5:$S$29</c:f>
              <c:numCache>
                <c:formatCode>General</c:formatCode>
                <c:ptCount val="24"/>
                <c:pt idx="0">
                  <c:v>160.7142857142853</c:v>
                </c:pt>
                <c:pt idx="1">
                  <c:v>160.7142857142853</c:v>
                </c:pt>
                <c:pt idx="2">
                  <c:v>212.21314786673619</c:v>
                </c:pt>
                <c:pt idx="3">
                  <c:v>217.87428571428532</c:v>
                </c:pt>
                <c:pt idx="4">
                  <c:v>160.7142857142853</c:v>
                </c:pt>
                <c:pt idx="5">
                  <c:v>217.87428571428532</c:v>
                </c:pt>
                <c:pt idx="6">
                  <c:v>217.87428571428532</c:v>
                </c:pt>
                <c:pt idx="7">
                  <c:v>160.7142857142853</c:v>
                </c:pt>
                <c:pt idx="8">
                  <c:v>160.7142857142853</c:v>
                </c:pt>
                <c:pt idx="9">
                  <c:v>160.7142857142853</c:v>
                </c:pt>
                <c:pt idx="10">
                  <c:v>160.7142857142853</c:v>
                </c:pt>
                <c:pt idx="11">
                  <c:v>160.7142857142853</c:v>
                </c:pt>
                <c:pt idx="12">
                  <c:v>160.7142857142853</c:v>
                </c:pt>
                <c:pt idx="13">
                  <c:v>160.7142857142853</c:v>
                </c:pt>
                <c:pt idx="14">
                  <c:v>160.7142857142853</c:v>
                </c:pt>
                <c:pt idx="15">
                  <c:v>160.7142857142853</c:v>
                </c:pt>
                <c:pt idx="16">
                  <c:v>160.7142857142853</c:v>
                </c:pt>
                <c:pt idx="17">
                  <c:v>160.7142857142853</c:v>
                </c:pt>
                <c:pt idx="18">
                  <c:v>160.7142857142853</c:v>
                </c:pt>
                <c:pt idx="19">
                  <c:v>160.7142857142853</c:v>
                </c:pt>
                <c:pt idx="20">
                  <c:v>160.7142857142853</c:v>
                </c:pt>
                <c:pt idx="21">
                  <c:v>160.7142857142853</c:v>
                </c:pt>
                <c:pt idx="22">
                  <c:v>160.7142857142853</c:v>
                </c:pt>
                <c:pt idx="23">
                  <c:v>160.7142857142853</c:v>
                </c:pt>
              </c:numCache>
            </c:numRef>
          </c:val>
          <c:extLst>
            <c:ext xmlns:c16="http://schemas.microsoft.com/office/drawing/2014/chart" uri="{C3380CC4-5D6E-409C-BE32-E72D297353CC}">
              <c16:uniqueId val="{0000000C-1313-4556-84DE-66D64760551D}"/>
            </c:ext>
          </c:extLst>
        </c:ser>
        <c:ser>
          <c:idx val="15"/>
          <c:order val="15"/>
          <c:tx>
            <c:strRef>
              <c:f>'HE GEN - Time'!$T$3:$T$4</c:f>
              <c:strCache>
                <c:ptCount val="1"/>
                <c:pt idx="0">
                  <c:v>COAL</c:v>
                </c:pt>
              </c:strCache>
            </c:strRef>
          </c:tx>
          <c:spPr>
            <a:solidFill>
              <a:schemeClr val="accent1"/>
            </a:solidFill>
            <a:ln>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Time'!$T$5:$T$29</c:f>
              <c:numCache>
                <c:formatCode>General</c:formatCode>
                <c:ptCount val="24"/>
                <c:pt idx="0">
                  <c:v>261.66107212672921</c:v>
                </c:pt>
                <c:pt idx="1">
                  <c:v>259.62050219073097</c:v>
                </c:pt>
                <c:pt idx="2">
                  <c:v>264.60925205068531</c:v>
                </c:pt>
                <c:pt idx="3">
                  <c:v>273.88469654153641</c:v>
                </c:pt>
                <c:pt idx="4">
                  <c:v>289.62991042389297</c:v>
                </c:pt>
                <c:pt idx="5">
                  <c:v>308.64412505444398</c:v>
                </c:pt>
                <c:pt idx="6">
                  <c:v>433.6849475582394</c:v>
                </c:pt>
                <c:pt idx="7">
                  <c:v>884.01416898679918</c:v>
                </c:pt>
                <c:pt idx="8">
                  <c:v>2366.8478044201684</c:v>
                </c:pt>
                <c:pt idx="9">
                  <c:v>544.24715717737035</c:v>
                </c:pt>
                <c:pt idx="10">
                  <c:v>493.87013474422446</c:v>
                </c:pt>
                <c:pt idx="11">
                  <c:v>482.99029641105949</c:v>
                </c:pt>
                <c:pt idx="12">
                  <c:v>391.89926425909346</c:v>
                </c:pt>
                <c:pt idx="13">
                  <c:v>386.78242445576848</c:v>
                </c:pt>
                <c:pt idx="14">
                  <c:v>452.54452860360345</c:v>
                </c:pt>
                <c:pt idx="15">
                  <c:v>565.46157266740056</c:v>
                </c:pt>
                <c:pt idx="16">
                  <c:v>1276.6650340333151</c:v>
                </c:pt>
                <c:pt idx="17">
                  <c:v>1007.3312362043109</c:v>
                </c:pt>
                <c:pt idx="18">
                  <c:v>950.95054072201742</c:v>
                </c:pt>
                <c:pt idx="19">
                  <c:v>289.06832520966975</c:v>
                </c:pt>
                <c:pt idx="20">
                  <c:v>277.4300750160549</c:v>
                </c:pt>
                <c:pt idx="21">
                  <c:v>269.3060864100953</c:v>
                </c:pt>
                <c:pt idx="22">
                  <c:v>251.16904457384058</c:v>
                </c:pt>
                <c:pt idx="23">
                  <c:v>227.19368604669808</c:v>
                </c:pt>
              </c:numCache>
            </c:numRef>
          </c:val>
          <c:extLst>
            <c:ext xmlns:c16="http://schemas.microsoft.com/office/drawing/2014/chart" uri="{C3380CC4-5D6E-409C-BE32-E72D297353CC}">
              <c16:uniqueId val="{0000000D-1313-4556-84DE-66D64760551D}"/>
            </c:ext>
          </c:extLst>
        </c:ser>
        <c:ser>
          <c:idx val="16"/>
          <c:order val="16"/>
          <c:tx>
            <c:strRef>
              <c:f>'HE GEN - Time'!$U$3:$U$4</c:f>
              <c:strCache>
                <c:ptCount val="1"/>
                <c:pt idx="0">
                  <c:v>SHALE</c:v>
                </c:pt>
              </c:strCache>
            </c:strRef>
          </c:tx>
          <c:spPr>
            <a:solidFill>
              <a:schemeClr val="accent1"/>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Time'!$U$5:$U$29</c:f>
              <c:numCache>
                <c:formatCode>General</c:formatCode>
                <c:ptCount val="24"/>
                <c:pt idx="7">
                  <c:v>179.89525975571399</c:v>
                </c:pt>
                <c:pt idx="8">
                  <c:v>182.857142857143</c:v>
                </c:pt>
                <c:pt idx="9">
                  <c:v>182.857142857143</c:v>
                </c:pt>
                <c:pt idx="10">
                  <c:v>182.857142857143</c:v>
                </c:pt>
                <c:pt idx="11">
                  <c:v>54.599141138157897</c:v>
                </c:pt>
                <c:pt idx="12">
                  <c:v>53.605478607865798</c:v>
                </c:pt>
                <c:pt idx="14">
                  <c:v>52.2980279101129</c:v>
                </c:pt>
                <c:pt idx="15">
                  <c:v>51.931941714742102</c:v>
                </c:pt>
                <c:pt idx="16">
                  <c:v>64.477228635695099</c:v>
                </c:pt>
                <c:pt idx="17">
                  <c:v>106.676082820844</c:v>
                </c:pt>
                <c:pt idx="18">
                  <c:v>51.0167262263152</c:v>
                </c:pt>
              </c:numCache>
            </c:numRef>
          </c:val>
          <c:extLst>
            <c:ext xmlns:c16="http://schemas.microsoft.com/office/drawing/2014/chart" uri="{C3380CC4-5D6E-409C-BE32-E72D297353CC}">
              <c16:uniqueId val="{00000000-9045-4D7B-9092-B3FDC14F8211}"/>
            </c:ext>
          </c:extLst>
        </c:ser>
        <c:ser>
          <c:idx val="17"/>
          <c:order val="17"/>
          <c:tx>
            <c:strRef>
              <c:f>'HE GEN - Time'!$V$3:$V$4</c:f>
              <c:strCache>
                <c:ptCount val="1"/>
                <c:pt idx="0">
                  <c:v>PEAT</c:v>
                </c:pt>
              </c:strCache>
            </c:strRef>
          </c:tx>
          <c:spPr>
            <a:solidFill>
              <a:schemeClr val="accent1"/>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Time'!$V$5:$V$29</c:f>
              <c:numCache>
                <c:formatCode>General</c:formatCode>
                <c:ptCount val="24"/>
                <c:pt idx="0">
                  <c:v>4.6654761772693396</c:v>
                </c:pt>
                <c:pt idx="1">
                  <c:v>4.6654761772693396</c:v>
                </c:pt>
                <c:pt idx="2">
                  <c:v>4.6654761772693396</c:v>
                </c:pt>
                <c:pt idx="3">
                  <c:v>4.6654761772693396</c:v>
                </c:pt>
                <c:pt idx="4">
                  <c:v>4.6654761772693396</c:v>
                </c:pt>
                <c:pt idx="5">
                  <c:v>4.6654761772693396</c:v>
                </c:pt>
                <c:pt idx="6">
                  <c:v>4.6654761772693396</c:v>
                </c:pt>
                <c:pt idx="7">
                  <c:v>4.6654761772693396</c:v>
                </c:pt>
                <c:pt idx="8">
                  <c:v>4.6654761772693396</c:v>
                </c:pt>
                <c:pt idx="9">
                  <c:v>3.5011609046893599</c:v>
                </c:pt>
                <c:pt idx="12">
                  <c:v>4.6654761772693396</c:v>
                </c:pt>
                <c:pt idx="13">
                  <c:v>4.6654761772693396</c:v>
                </c:pt>
                <c:pt idx="14">
                  <c:v>4.6654761772693396</c:v>
                </c:pt>
                <c:pt idx="15">
                  <c:v>4.6654761772693396</c:v>
                </c:pt>
                <c:pt idx="16">
                  <c:v>4.6654761772693396</c:v>
                </c:pt>
                <c:pt idx="17">
                  <c:v>4.6654761772693396</c:v>
                </c:pt>
                <c:pt idx="18">
                  <c:v>4.6654761772693396</c:v>
                </c:pt>
                <c:pt idx="19">
                  <c:v>4.6654761772693396</c:v>
                </c:pt>
                <c:pt idx="20">
                  <c:v>4.6654761772693396</c:v>
                </c:pt>
                <c:pt idx="21">
                  <c:v>4.6654761772693396</c:v>
                </c:pt>
                <c:pt idx="22">
                  <c:v>4.6654761772693396</c:v>
                </c:pt>
                <c:pt idx="23">
                  <c:v>4.6654761772693396</c:v>
                </c:pt>
              </c:numCache>
            </c:numRef>
          </c:val>
          <c:extLst>
            <c:ext xmlns:c16="http://schemas.microsoft.com/office/drawing/2014/chart" uri="{C3380CC4-5D6E-409C-BE32-E72D297353CC}">
              <c16:uniqueId val="{00000001-9045-4D7B-9092-B3FDC14F8211}"/>
            </c:ext>
          </c:extLst>
        </c:ser>
        <c:dLbls>
          <c:showLegendKey val="0"/>
          <c:showVal val="0"/>
          <c:showCatName val="0"/>
          <c:showSerName val="0"/>
          <c:showPercent val="0"/>
          <c:showBubbleSize val="0"/>
        </c:dLbls>
        <c:axId val="267948712"/>
        <c:axId val="269917504"/>
      </c:areaChart>
      <c:catAx>
        <c:axId val="2679487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7504"/>
        <c:crosses val="autoZero"/>
        <c:auto val="1"/>
        <c:lblAlgn val="ctr"/>
        <c:lblOffset val="100"/>
        <c:noMultiLvlLbl val="0"/>
      </c:catAx>
      <c:valAx>
        <c:axId val="2699175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871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tool.xlsm]Fuel CON - Time!PivotTable2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s>
    <c:plotArea>
      <c:layout/>
      <c:barChart>
        <c:barDir val="col"/>
        <c:grouping val="clustered"/>
        <c:varyColors val="0"/>
        <c:ser>
          <c:idx val="0"/>
          <c:order val="0"/>
          <c:tx>
            <c:strRef>
              <c:f>'Fuel CON - Time'!$D$4:$D$7</c:f>
              <c:strCache>
                <c:ptCount val="1"/>
                <c:pt idx="0">
                  <c:v>DENMARK - NATGAS - GNR_ENG_NGAS_BP_E-40</c:v>
                </c:pt>
              </c:strCache>
            </c:strRef>
          </c:tx>
          <c:spPr>
            <a:solidFill>
              <a:schemeClr val="accent1"/>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Time'!$D$8:$D$32</c:f>
              <c:numCache>
                <c:formatCode>General</c:formatCode>
                <c:ptCount val="24"/>
                <c:pt idx="0">
                  <c:v>439243.92</c:v>
                </c:pt>
                <c:pt idx="1">
                  <c:v>439243.92</c:v>
                </c:pt>
                <c:pt idx="2">
                  <c:v>439243.92</c:v>
                </c:pt>
                <c:pt idx="3">
                  <c:v>439243.92</c:v>
                </c:pt>
                <c:pt idx="4">
                  <c:v>439243.92</c:v>
                </c:pt>
                <c:pt idx="5">
                  <c:v>439243.92</c:v>
                </c:pt>
                <c:pt idx="6">
                  <c:v>439243.92</c:v>
                </c:pt>
                <c:pt idx="7">
                  <c:v>439243.92</c:v>
                </c:pt>
                <c:pt idx="8">
                  <c:v>439243.92</c:v>
                </c:pt>
                <c:pt idx="9">
                  <c:v>439243.92</c:v>
                </c:pt>
                <c:pt idx="10">
                  <c:v>439243.92</c:v>
                </c:pt>
                <c:pt idx="11">
                  <c:v>439243.92</c:v>
                </c:pt>
                <c:pt idx="12">
                  <c:v>439243.92</c:v>
                </c:pt>
                <c:pt idx="13">
                  <c:v>439243.92</c:v>
                </c:pt>
                <c:pt idx="14">
                  <c:v>439243.92</c:v>
                </c:pt>
                <c:pt idx="15">
                  <c:v>439243.92</c:v>
                </c:pt>
                <c:pt idx="16">
                  <c:v>439243.92</c:v>
                </c:pt>
                <c:pt idx="17">
                  <c:v>439243.92</c:v>
                </c:pt>
                <c:pt idx="18">
                  <c:v>439243.92</c:v>
                </c:pt>
                <c:pt idx="19">
                  <c:v>439243.92</c:v>
                </c:pt>
                <c:pt idx="20">
                  <c:v>439243.92</c:v>
                </c:pt>
                <c:pt idx="21">
                  <c:v>439243.92</c:v>
                </c:pt>
                <c:pt idx="22">
                  <c:v>439243.92</c:v>
                </c:pt>
                <c:pt idx="23">
                  <c:v>193788.71999999997</c:v>
                </c:pt>
              </c:numCache>
            </c:numRef>
          </c:val>
          <c:extLst>
            <c:ext xmlns:c16="http://schemas.microsoft.com/office/drawing/2014/chart" uri="{C3380CC4-5D6E-409C-BE32-E72D297353CC}">
              <c16:uniqueId val="{00000000-C276-4130-A710-9D626C89CFEA}"/>
            </c:ext>
          </c:extLst>
        </c:ser>
        <c:ser>
          <c:idx val="1"/>
          <c:order val="1"/>
          <c:tx>
            <c:strRef>
              <c:f>'Fuel CON - Time'!$E$4:$E$7</c:f>
              <c:strCache>
                <c:ptCount val="1"/>
                <c:pt idx="0">
                  <c:v>DENMARK - NATGAS - GNR_ENG_NGAS_BP_E-41</c:v>
                </c:pt>
              </c:strCache>
            </c:strRef>
          </c:tx>
          <c:spPr>
            <a:solidFill>
              <a:schemeClr val="accent2"/>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Time'!$E$8:$E$32</c:f>
              <c:numCache>
                <c:formatCode>General</c:formatCode>
                <c:ptCount val="24"/>
                <c:pt idx="0">
                  <c:v>501839.03414634179</c:v>
                </c:pt>
                <c:pt idx="1">
                  <c:v>501839.03414634179</c:v>
                </c:pt>
                <c:pt idx="2">
                  <c:v>501839.03414634179</c:v>
                </c:pt>
                <c:pt idx="3">
                  <c:v>501839.03414634179</c:v>
                </c:pt>
                <c:pt idx="4">
                  <c:v>501839.03414634179</c:v>
                </c:pt>
                <c:pt idx="5">
                  <c:v>501839.03414634179</c:v>
                </c:pt>
                <c:pt idx="6">
                  <c:v>501839.03414634179</c:v>
                </c:pt>
                <c:pt idx="7">
                  <c:v>501839.03414634179</c:v>
                </c:pt>
                <c:pt idx="8">
                  <c:v>501839.03414634179</c:v>
                </c:pt>
                <c:pt idx="9">
                  <c:v>501839.03414634179</c:v>
                </c:pt>
                <c:pt idx="10">
                  <c:v>501839.03414634179</c:v>
                </c:pt>
                <c:pt idx="11">
                  <c:v>501839.03414634179</c:v>
                </c:pt>
                <c:pt idx="12">
                  <c:v>501839.03414634179</c:v>
                </c:pt>
                <c:pt idx="13">
                  <c:v>501839.03414634179</c:v>
                </c:pt>
                <c:pt idx="14">
                  <c:v>501839.03414634179</c:v>
                </c:pt>
                <c:pt idx="15">
                  <c:v>501839.03414634179</c:v>
                </c:pt>
                <c:pt idx="16">
                  <c:v>501839.03414634179</c:v>
                </c:pt>
                <c:pt idx="17">
                  <c:v>501839.03414634179</c:v>
                </c:pt>
                <c:pt idx="18">
                  <c:v>501839.03414634179</c:v>
                </c:pt>
                <c:pt idx="19">
                  <c:v>501839.03414634179</c:v>
                </c:pt>
                <c:pt idx="20">
                  <c:v>501839.03414634179</c:v>
                </c:pt>
                <c:pt idx="21">
                  <c:v>501839.03414634179</c:v>
                </c:pt>
                <c:pt idx="22">
                  <c:v>501839.03414634179</c:v>
                </c:pt>
                <c:pt idx="23">
                  <c:v>233515.19815463465</c:v>
                </c:pt>
              </c:numCache>
            </c:numRef>
          </c:val>
          <c:extLst>
            <c:ext xmlns:c16="http://schemas.microsoft.com/office/drawing/2014/chart" uri="{C3380CC4-5D6E-409C-BE32-E72D297353CC}">
              <c16:uniqueId val="{0000008B-8F36-414A-BFDD-19B2A05302E7}"/>
            </c:ext>
          </c:extLst>
        </c:ser>
        <c:ser>
          <c:idx val="2"/>
          <c:order val="2"/>
          <c:tx>
            <c:strRef>
              <c:f>'Fuel CON - Time'!$F$4:$F$7</c:f>
              <c:strCache>
                <c:ptCount val="1"/>
                <c:pt idx="0">
                  <c:v>DENMARK - NATGAS - GNR_ENG_NGAS_BP_E-42</c:v>
                </c:pt>
              </c:strCache>
            </c:strRef>
          </c:tx>
          <c:spPr>
            <a:solidFill>
              <a:schemeClr val="accent3"/>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Time'!$F$8:$F$32</c:f>
              <c:numCache>
                <c:formatCode>General</c:formatCode>
                <c:ptCount val="24"/>
                <c:pt idx="0">
                  <c:v>378156.68571428506</c:v>
                </c:pt>
                <c:pt idx="1">
                  <c:v>378156.68571428506</c:v>
                </c:pt>
                <c:pt idx="2">
                  <c:v>378156.68571428506</c:v>
                </c:pt>
                <c:pt idx="3">
                  <c:v>378156.68571428506</c:v>
                </c:pt>
                <c:pt idx="4">
                  <c:v>378156.68571428506</c:v>
                </c:pt>
                <c:pt idx="5">
                  <c:v>378156.68571428506</c:v>
                </c:pt>
                <c:pt idx="6">
                  <c:v>378156.68571428506</c:v>
                </c:pt>
                <c:pt idx="7">
                  <c:v>378156.68571428506</c:v>
                </c:pt>
                <c:pt idx="8">
                  <c:v>378156.68571428506</c:v>
                </c:pt>
                <c:pt idx="9">
                  <c:v>378156.68571428506</c:v>
                </c:pt>
                <c:pt idx="10">
                  <c:v>378156.68571428506</c:v>
                </c:pt>
                <c:pt idx="11">
                  <c:v>378156.68571428506</c:v>
                </c:pt>
                <c:pt idx="12">
                  <c:v>378156.68571428506</c:v>
                </c:pt>
                <c:pt idx="13">
                  <c:v>378156.68571428506</c:v>
                </c:pt>
                <c:pt idx="14">
                  <c:v>378156.68571428506</c:v>
                </c:pt>
                <c:pt idx="15">
                  <c:v>378156.68571428506</c:v>
                </c:pt>
                <c:pt idx="16">
                  <c:v>378156.68571428506</c:v>
                </c:pt>
                <c:pt idx="17">
                  <c:v>378156.68571428506</c:v>
                </c:pt>
                <c:pt idx="18">
                  <c:v>378156.68571428506</c:v>
                </c:pt>
                <c:pt idx="19">
                  <c:v>378156.68571428506</c:v>
                </c:pt>
                <c:pt idx="20">
                  <c:v>378156.68571428506</c:v>
                </c:pt>
                <c:pt idx="21">
                  <c:v>378156.68571428506</c:v>
                </c:pt>
                <c:pt idx="22">
                  <c:v>378156.68571428506</c:v>
                </c:pt>
                <c:pt idx="23">
                  <c:v>378156.68571428506</c:v>
                </c:pt>
              </c:numCache>
            </c:numRef>
          </c:val>
          <c:extLst>
            <c:ext xmlns:c16="http://schemas.microsoft.com/office/drawing/2014/chart" uri="{C3380CC4-5D6E-409C-BE32-E72D297353CC}">
              <c16:uniqueId val="{0000008C-8F36-414A-BFDD-19B2A05302E7}"/>
            </c:ext>
          </c:extLst>
        </c:ser>
        <c:ser>
          <c:idx val="3"/>
          <c:order val="3"/>
          <c:tx>
            <c:strRef>
              <c:f>'Fuel CON - Time'!$G$4:$G$7</c:f>
              <c:strCache>
                <c:ptCount val="1"/>
                <c:pt idx="0">
                  <c:v>DENMARK - NATGAS - GNR_ENG_NGAS_BP_E-43</c:v>
                </c:pt>
              </c:strCache>
            </c:strRef>
          </c:tx>
          <c:spPr>
            <a:solidFill>
              <a:schemeClr val="accent4"/>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Time'!$G$8:$G$32</c:f>
              <c:numCache>
                <c:formatCode>General</c:formatCode>
                <c:ptCount val="24"/>
                <c:pt idx="0">
                  <c:v>225396.8372093027</c:v>
                </c:pt>
                <c:pt idx="1">
                  <c:v>225396.8372093027</c:v>
                </c:pt>
                <c:pt idx="2">
                  <c:v>225396.8372093027</c:v>
                </c:pt>
                <c:pt idx="3">
                  <c:v>225396.8372093027</c:v>
                </c:pt>
                <c:pt idx="4">
                  <c:v>225396.8372093027</c:v>
                </c:pt>
                <c:pt idx="5">
                  <c:v>225396.8372093027</c:v>
                </c:pt>
                <c:pt idx="6">
                  <c:v>225396.8372093027</c:v>
                </c:pt>
                <c:pt idx="7">
                  <c:v>225396.8372093027</c:v>
                </c:pt>
                <c:pt idx="8">
                  <c:v>225396.8372093027</c:v>
                </c:pt>
                <c:pt idx="9">
                  <c:v>225396.8372093027</c:v>
                </c:pt>
                <c:pt idx="10">
                  <c:v>225396.8372093027</c:v>
                </c:pt>
                <c:pt idx="11">
                  <c:v>225396.8372093027</c:v>
                </c:pt>
                <c:pt idx="12">
                  <c:v>225396.8372093027</c:v>
                </c:pt>
                <c:pt idx="13">
                  <c:v>225396.8372093027</c:v>
                </c:pt>
                <c:pt idx="14">
                  <c:v>225396.8372093027</c:v>
                </c:pt>
                <c:pt idx="15">
                  <c:v>225396.8372093027</c:v>
                </c:pt>
                <c:pt idx="16">
                  <c:v>225396.8372093027</c:v>
                </c:pt>
                <c:pt idx="17">
                  <c:v>225396.8372093027</c:v>
                </c:pt>
                <c:pt idx="18">
                  <c:v>225396.8372093027</c:v>
                </c:pt>
                <c:pt idx="19">
                  <c:v>225396.8372093027</c:v>
                </c:pt>
                <c:pt idx="20">
                  <c:v>225396.8372093027</c:v>
                </c:pt>
                <c:pt idx="21">
                  <c:v>225396.8372093027</c:v>
                </c:pt>
                <c:pt idx="22">
                  <c:v>225396.8372093027</c:v>
                </c:pt>
                <c:pt idx="23">
                  <c:v>225396.8372093027</c:v>
                </c:pt>
              </c:numCache>
            </c:numRef>
          </c:val>
          <c:extLst>
            <c:ext xmlns:c16="http://schemas.microsoft.com/office/drawing/2014/chart" uri="{C3380CC4-5D6E-409C-BE32-E72D297353CC}">
              <c16:uniqueId val="{0000008D-8F36-414A-BFDD-19B2A05302E7}"/>
            </c:ext>
          </c:extLst>
        </c:ser>
        <c:ser>
          <c:idx val="4"/>
          <c:order val="4"/>
          <c:tx>
            <c:strRef>
              <c:f>'Fuel CON - Time'!$H$4:$H$7</c:f>
              <c:strCache>
                <c:ptCount val="1"/>
                <c:pt idx="0">
                  <c:v>DENMARK - NATGAS - GNR_ENG_NGAS_BP_E-44</c:v>
                </c:pt>
              </c:strCache>
            </c:strRef>
          </c:tx>
          <c:spPr>
            <a:solidFill>
              <a:schemeClr val="accent5"/>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Time'!$H$8:$H$32</c:f>
              <c:numCache>
                <c:formatCode>General</c:formatCode>
                <c:ptCount val="24"/>
                <c:pt idx="0">
                  <c:v>184706.59090909062</c:v>
                </c:pt>
                <c:pt idx="1">
                  <c:v>184706.59090909062</c:v>
                </c:pt>
                <c:pt idx="2">
                  <c:v>184706.59090909062</c:v>
                </c:pt>
                <c:pt idx="3">
                  <c:v>184706.59090909062</c:v>
                </c:pt>
                <c:pt idx="4">
                  <c:v>184706.59090909062</c:v>
                </c:pt>
                <c:pt idx="5">
                  <c:v>184706.59090909062</c:v>
                </c:pt>
                <c:pt idx="6">
                  <c:v>184706.59090909062</c:v>
                </c:pt>
                <c:pt idx="7">
                  <c:v>184706.59090909062</c:v>
                </c:pt>
                <c:pt idx="8">
                  <c:v>184706.59090909062</c:v>
                </c:pt>
                <c:pt idx="9">
                  <c:v>184706.59090909062</c:v>
                </c:pt>
                <c:pt idx="10">
                  <c:v>184706.59090909062</c:v>
                </c:pt>
                <c:pt idx="11">
                  <c:v>184706.59090909062</c:v>
                </c:pt>
                <c:pt idx="12">
                  <c:v>184706.59090909062</c:v>
                </c:pt>
                <c:pt idx="13">
                  <c:v>184706.59090909062</c:v>
                </c:pt>
                <c:pt idx="14">
                  <c:v>184706.59090909062</c:v>
                </c:pt>
                <c:pt idx="15">
                  <c:v>184706.59090909062</c:v>
                </c:pt>
                <c:pt idx="16">
                  <c:v>184706.59090909062</c:v>
                </c:pt>
                <c:pt idx="17">
                  <c:v>184706.59090909062</c:v>
                </c:pt>
                <c:pt idx="18">
                  <c:v>184706.59090909062</c:v>
                </c:pt>
                <c:pt idx="19">
                  <c:v>184706.59090909062</c:v>
                </c:pt>
                <c:pt idx="20">
                  <c:v>184706.59090909062</c:v>
                </c:pt>
                <c:pt idx="21">
                  <c:v>184706.59090909062</c:v>
                </c:pt>
                <c:pt idx="22">
                  <c:v>184706.59090909062</c:v>
                </c:pt>
                <c:pt idx="23">
                  <c:v>184706.59090909062</c:v>
                </c:pt>
              </c:numCache>
            </c:numRef>
          </c:val>
          <c:extLst>
            <c:ext xmlns:c16="http://schemas.microsoft.com/office/drawing/2014/chart" uri="{C3380CC4-5D6E-409C-BE32-E72D297353CC}">
              <c16:uniqueId val="{0000008E-8F36-414A-BFDD-19B2A05302E7}"/>
            </c:ext>
          </c:extLst>
        </c:ser>
        <c:ser>
          <c:idx val="5"/>
          <c:order val="5"/>
          <c:tx>
            <c:strRef>
              <c:f>'Fuel CON - Time'!$I$4:$I$7</c:f>
              <c:strCache>
                <c:ptCount val="1"/>
                <c:pt idx="0">
                  <c:v>DENMARK - NATGAS - GNR_ENG_NGAS_BP_E-46</c:v>
                </c:pt>
              </c:strCache>
            </c:strRef>
          </c:tx>
          <c:spPr>
            <a:solidFill>
              <a:schemeClr val="accent6"/>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Time'!$I$8:$I$32</c:f>
              <c:numCache>
                <c:formatCode>General</c:formatCode>
                <c:ptCount val="24"/>
                <c:pt idx="0">
                  <c:v>228707.41304347847</c:v>
                </c:pt>
                <c:pt idx="1">
                  <c:v>228707.41304347847</c:v>
                </c:pt>
                <c:pt idx="2">
                  <c:v>228707.41304347847</c:v>
                </c:pt>
                <c:pt idx="3">
                  <c:v>228707.41304347847</c:v>
                </c:pt>
                <c:pt idx="4">
                  <c:v>228707.41304347847</c:v>
                </c:pt>
                <c:pt idx="5">
                  <c:v>228707.41304347847</c:v>
                </c:pt>
                <c:pt idx="6">
                  <c:v>228707.41304347847</c:v>
                </c:pt>
                <c:pt idx="7">
                  <c:v>228707.41304347847</c:v>
                </c:pt>
                <c:pt idx="8">
                  <c:v>228707.41304347847</c:v>
                </c:pt>
                <c:pt idx="9">
                  <c:v>228707.41304347847</c:v>
                </c:pt>
                <c:pt idx="10">
                  <c:v>228707.41304347847</c:v>
                </c:pt>
                <c:pt idx="11">
                  <c:v>228707.41304347847</c:v>
                </c:pt>
                <c:pt idx="12">
                  <c:v>228707.41304347847</c:v>
                </c:pt>
                <c:pt idx="13">
                  <c:v>228707.41304347847</c:v>
                </c:pt>
                <c:pt idx="14">
                  <c:v>228707.41304347847</c:v>
                </c:pt>
                <c:pt idx="15">
                  <c:v>228707.41304347847</c:v>
                </c:pt>
                <c:pt idx="16">
                  <c:v>228707.41304347847</c:v>
                </c:pt>
                <c:pt idx="17">
                  <c:v>228707.41304347847</c:v>
                </c:pt>
                <c:pt idx="18">
                  <c:v>228707.41304347847</c:v>
                </c:pt>
                <c:pt idx="19">
                  <c:v>228707.41304347847</c:v>
                </c:pt>
                <c:pt idx="20">
                  <c:v>228707.41304347847</c:v>
                </c:pt>
                <c:pt idx="21">
                  <c:v>228707.41304347847</c:v>
                </c:pt>
                <c:pt idx="22">
                  <c:v>228707.41304347847</c:v>
                </c:pt>
                <c:pt idx="23">
                  <c:v>228707.41304347847</c:v>
                </c:pt>
              </c:numCache>
            </c:numRef>
          </c:val>
          <c:extLst>
            <c:ext xmlns:c16="http://schemas.microsoft.com/office/drawing/2014/chart" uri="{C3380CC4-5D6E-409C-BE32-E72D297353CC}">
              <c16:uniqueId val="{0000008F-8F36-414A-BFDD-19B2A05302E7}"/>
            </c:ext>
          </c:extLst>
        </c:ser>
        <c:ser>
          <c:idx val="6"/>
          <c:order val="6"/>
          <c:tx>
            <c:strRef>
              <c:f>'Fuel CON - Time'!$J$4:$J$7</c:f>
              <c:strCache>
                <c:ptCount val="1"/>
                <c:pt idx="0">
                  <c:v>DENMARK - NATGAS - GNR_ST_NGAS_EXT_E-47</c:v>
                </c:pt>
              </c:strCache>
            </c:strRef>
          </c:tx>
          <c:spPr>
            <a:solidFill>
              <a:schemeClr val="accent1">
                <a:lumMod val="6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Time'!$J$8:$J$32</c:f>
              <c:numCache>
                <c:formatCode>General</c:formatCode>
                <c:ptCount val="24"/>
                <c:pt idx="0">
                  <c:v>1095931.9148936199</c:v>
                </c:pt>
                <c:pt idx="1">
                  <c:v>1095931.9148936199</c:v>
                </c:pt>
                <c:pt idx="2">
                  <c:v>1095931.9148936199</c:v>
                </c:pt>
                <c:pt idx="3">
                  <c:v>1095931.9148936199</c:v>
                </c:pt>
                <c:pt idx="4">
                  <c:v>1095931.9148936199</c:v>
                </c:pt>
                <c:pt idx="5">
                  <c:v>1095931.9148936199</c:v>
                </c:pt>
                <c:pt idx="6">
                  <c:v>1095931.9148936199</c:v>
                </c:pt>
                <c:pt idx="7">
                  <c:v>1095931.9148936199</c:v>
                </c:pt>
                <c:pt idx="8">
                  <c:v>1095931.9148936199</c:v>
                </c:pt>
                <c:pt idx="9">
                  <c:v>1095931.9148936199</c:v>
                </c:pt>
                <c:pt idx="10">
                  <c:v>1095931.9148936199</c:v>
                </c:pt>
                <c:pt idx="11">
                  <c:v>1095931.9148936199</c:v>
                </c:pt>
                <c:pt idx="12">
                  <c:v>1095931.9148936199</c:v>
                </c:pt>
                <c:pt idx="13">
                  <c:v>1095931.9148936199</c:v>
                </c:pt>
                <c:pt idx="14">
                  <c:v>1095931.9148936199</c:v>
                </c:pt>
                <c:pt idx="15">
                  <c:v>1095931.9148936199</c:v>
                </c:pt>
                <c:pt idx="16">
                  <c:v>1095931.9148936199</c:v>
                </c:pt>
                <c:pt idx="17">
                  <c:v>1095931.9148936199</c:v>
                </c:pt>
                <c:pt idx="18">
                  <c:v>1095931.9148936199</c:v>
                </c:pt>
                <c:pt idx="19">
                  <c:v>1095931.9148936199</c:v>
                </c:pt>
                <c:pt idx="20">
                  <c:v>1095931.9148936199</c:v>
                </c:pt>
                <c:pt idx="21">
                  <c:v>1095931.9148936199</c:v>
                </c:pt>
                <c:pt idx="22">
                  <c:v>1095931.9148936199</c:v>
                </c:pt>
                <c:pt idx="23">
                  <c:v>1095931.9148936199</c:v>
                </c:pt>
              </c:numCache>
            </c:numRef>
          </c:val>
          <c:extLst>
            <c:ext xmlns:c16="http://schemas.microsoft.com/office/drawing/2014/chart" uri="{C3380CC4-5D6E-409C-BE32-E72D297353CC}">
              <c16:uniqueId val="{00000090-8F36-414A-BFDD-19B2A05302E7}"/>
            </c:ext>
          </c:extLst>
        </c:ser>
        <c:ser>
          <c:idx val="7"/>
          <c:order val="7"/>
          <c:tx>
            <c:strRef>
              <c:f>'Fuel CON - Time'!$K$4:$K$7</c:f>
              <c:strCache>
                <c:ptCount val="1"/>
                <c:pt idx="0">
                  <c:v>DENMARK - NATGAS - GNR_GT_NGAS_BP_E-47</c:v>
                </c:pt>
              </c:strCache>
            </c:strRef>
          </c:tx>
          <c:spPr>
            <a:solidFill>
              <a:schemeClr val="accent2">
                <a:lumMod val="6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Time'!$K$8:$K$32</c:f>
              <c:numCache>
                <c:formatCode>General</c:formatCode>
                <c:ptCount val="24"/>
                <c:pt idx="0">
                  <c:v>303478.08510638302</c:v>
                </c:pt>
                <c:pt idx="1">
                  <c:v>303478.08510638302</c:v>
                </c:pt>
                <c:pt idx="2">
                  <c:v>303478.08510638302</c:v>
                </c:pt>
                <c:pt idx="3">
                  <c:v>303478.08510638302</c:v>
                </c:pt>
                <c:pt idx="4">
                  <c:v>303478.08510638302</c:v>
                </c:pt>
                <c:pt idx="5">
                  <c:v>303478.08510638302</c:v>
                </c:pt>
                <c:pt idx="6">
                  <c:v>303478.08510638302</c:v>
                </c:pt>
                <c:pt idx="7">
                  <c:v>303478.08510638302</c:v>
                </c:pt>
                <c:pt idx="8">
                  <c:v>303478.08510638302</c:v>
                </c:pt>
                <c:pt idx="9">
                  <c:v>303478.08510638302</c:v>
                </c:pt>
                <c:pt idx="10">
                  <c:v>303478.08510638302</c:v>
                </c:pt>
                <c:pt idx="11">
                  <c:v>303478.08510638302</c:v>
                </c:pt>
                <c:pt idx="12">
                  <c:v>303478.08510638302</c:v>
                </c:pt>
                <c:pt idx="13">
                  <c:v>303478.08510638302</c:v>
                </c:pt>
                <c:pt idx="14">
                  <c:v>303478.08510638302</c:v>
                </c:pt>
                <c:pt idx="15">
                  <c:v>303478.08510638302</c:v>
                </c:pt>
                <c:pt idx="16">
                  <c:v>303478.08510638302</c:v>
                </c:pt>
                <c:pt idx="17">
                  <c:v>303478.08510638302</c:v>
                </c:pt>
                <c:pt idx="18">
                  <c:v>303478.08510638302</c:v>
                </c:pt>
                <c:pt idx="19">
                  <c:v>303478.08510638302</c:v>
                </c:pt>
                <c:pt idx="20">
                  <c:v>303478.08510638302</c:v>
                </c:pt>
                <c:pt idx="21">
                  <c:v>303478.08510638302</c:v>
                </c:pt>
                <c:pt idx="22">
                  <c:v>303478.08510638302</c:v>
                </c:pt>
                <c:pt idx="23">
                  <c:v>303478.08510638302</c:v>
                </c:pt>
              </c:numCache>
            </c:numRef>
          </c:val>
          <c:extLst>
            <c:ext xmlns:c16="http://schemas.microsoft.com/office/drawing/2014/chart" uri="{C3380CC4-5D6E-409C-BE32-E72D297353CC}">
              <c16:uniqueId val="{00000091-8F36-414A-BFDD-19B2A05302E7}"/>
            </c:ext>
          </c:extLst>
        </c:ser>
        <c:ser>
          <c:idx val="8"/>
          <c:order val="8"/>
          <c:tx>
            <c:strRef>
              <c:f>'Fuel CON - Time'!$L$4:$L$7</c:f>
              <c:strCache>
                <c:ptCount val="1"/>
                <c:pt idx="0">
                  <c:v>DENMARK - NATGAS - GNR_ENG_NGAS_BP_E-47</c:v>
                </c:pt>
              </c:strCache>
            </c:strRef>
          </c:tx>
          <c:spPr>
            <a:solidFill>
              <a:schemeClr val="accent3">
                <a:lumMod val="6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Time'!$L$8:$L$32</c:f>
              <c:numCache>
                <c:formatCode>General</c:formatCode>
                <c:ptCount val="24"/>
                <c:pt idx="0">
                  <c:v>10344.255319148901</c:v>
                </c:pt>
                <c:pt idx="1">
                  <c:v>10344.255319148901</c:v>
                </c:pt>
                <c:pt idx="2">
                  <c:v>10344.255319148901</c:v>
                </c:pt>
                <c:pt idx="3">
                  <c:v>10344.255319148901</c:v>
                </c:pt>
                <c:pt idx="4">
                  <c:v>10344.255319148901</c:v>
                </c:pt>
                <c:pt idx="5">
                  <c:v>10344.255319148901</c:v>
                </c:pt>
                <c:pt idx="6">
                  <c:v>10344.255319148901</c:v>
                </c:pt>
                <c:pt idx="7">
                  <c:v>10344.255319148901</c:v>
                </c:pt>
                <c:pt idx="8">
                  <c:v>10344.255319148901</c:v>
                </c:pt>
                <c:pt idx="9">
                  <c:v>10344.255319148901</c:v>
                </c:pt>
                <c:pt idx="10">
                  <c:v>10344.255319148901</c:v>
                </c:pt>
                <c:pt idx="11">
                  <c:v>10344.255319148901</c:v>
                </c:pt>
                <c:pt idx="12">
                  <c:v>10344.255319148901</c:v>
                </c:pt>
                <c:pt idx="13">
                  <c:v>10344.255319148901</c:v>
                </c:pt>
                <c:pt idx="14">
                  <c:v>10344.255319148901</c:v>
                </c:pt>
                <c:pt idx="15">
                  <c:v>10344.255319148901</c:v>
                </c:pt>
                <c:pt idx="16">
                  <c:v>10344.255319148901</c:v>
                </c:pt>
                <c:pt idx="17">
                  <c:v>10344.255319148901</c:v>
                </c:pt>
                <c:pt idx="18">
                  <c:v>10344.255319148901</c:v>
                </c:pt>
                <c:pt idx="19">
                  <c:v>10344.255319148901</c:v>
                </c:pt>
                <c:pt idx="20">
                  <c:v>10344.255319148901</c:v>
                </c:pt>
                <c:pt idx="21">
                  <c:v>10344.255319148901</c:v>
                </c:pt>
                <c:pt idx="22">
                  <c:v>10344.255319148901</c:v>
                </c:pt>
                <c:pt idx="23">
                  <c:v>10344.255319148901</c:v>
                </c:pt>
              </c:numCache>
            </c:numRef>
          </c:val>
          <c:extLst>
            <c:ext xmlns:c16="http://schemas.microsoft.com/office/drawing/2014/chart" uri="{C3380CC4-5D6E-409C-BE32-E72D297353CC}">
              <c16:uniqueId val="{00000092-8F36-414A-BFDD-19B2A05302E7}"/>
            </c:ext>
          </c:extLst>
        </c:ser>
        <c:ser>
          <c:idx val="9"/>
          <c:order val="9"/>
          <c:tx>
            <c:strRef>
              <c:f>'Fuel CON - Time'!$M$4:$M$7</c:f>
              <c:strCache>
                <c:ptCount val="1"/>
                <c:pt idx="0">
                  <c:v>DENMARK - NATGAS - GNR_ST_NGAS_BP_E-39</c:v>
                </c:pt>
              </c:strCache>
            </c:strRef>
          </c:tx>
          <c:spPr>
            <a:solidFill>
              <a:schemeClr val="accent4">
                <a:lumMod val="6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Time'!$M$8:$M$32</c:f>
              <c:numCache>
                <c:formatCode>General</c:formatCode>
                <c:ptCount val="24"/>
                <c:pt idx="0">
                  <c:v>296121.6923076922</c:v>
                </c:pt>
                <c:pt idx="1">
                  <c:v>296121.6923076922</c:v>
                </c:pt>
                <c:pt idx="2">
                  <c:v>296121.6923076922</c:v>
                </c:pt>
                <c:pt idx="3">
                  <c:v>296121.6923076922</c:v>
                </c:pt>
                <c:pt idx="4">
                  <c:v>296121.6923076922</c:v>
                </c:pt>
                <c:pt idx="5">
                  <c:v>296121.6923076922</c:v>
                </c:pt>
                <c:pt idx="6">
                  <c:v>296121.6923076922</c:v>
                </c:pt>
                <c:pt idx="7">
                  <c:v>296121.6923076922</c:v>
                </c:pt>
                <c:pt idx="8">
                  <c:v>296121.6923076922</c:v>
                </c:pt>
                <c:pt idx="9">
                  <c:v>296121.6923076922</c:v>
                </c:pt>
                <c:pt idx="10">
                  <c:v>296121.6923076922</c:v>
                </c:pt>
                <c:pt idx="11">
                  <c:v>296121.6923076922</c:v>
                </c:pt>
                <c:pt idx="12">
                  <c:v>296121.6923076922</c:v>
                </c:pt>
                <c:pt idx="13">
                  <c:v>296121.6923076922</c:v>
                </c:pt>
                <c:pt idx="14">
                  <c:v>296121.6923076922</c:v>
                </c:pt>
                <c:pt idx="15">
                  <c:v>296121.6923076922</c:v>
                </c:pt>
                <c:pt idx="16">
                  <c:v>296121.6923076922</c:v>
                </c:pt>
                <c:pt idx="17">
                  <c:v>296121.6923076922</c:v>
                </c:pt>
                <c:pt idx="18">
                  <c:v>296121.6923076922</c:v>
                </c:pt>
                <c:pt idx="19">
                  <c:v>296121.6923076922</c:v>
                </c:pt>
                <c:pt idx="20">
                  <c:v>296121.6923076922</c:v>
                </c:pt>
                <c:pt idx="21">
                  <c:v>296121.6923076922</c:v>
                </c:pt>
                <c:pt idx="22">
                  <c:v>296121.6923076922</c:v>
                </c:pt>
                <c:pt idx="23">
                  <c:v>296121.6923076922</c:v>
                </c:pt>
              </c:numCache>
            </c:numRef>
          </c:val>
          <c:extLst>
            <c:ext xmlns:c16="http://schemas.microsoft.com/office/drawing/2014/chart" uri="{C3380CC4-5D6E-409C-BE32-E72D297353CC}">
              <c16:uniqueId val="{00000093-8F36-414A-BFDD-19B2A05302E7}"/>
            </c:ext>
          </c:extLst>
        </c:ser>
        <c:ser>
          <c:idx val="10"/>
          <c:order val="10"/>
          <c:tx>
            <c:strRef>
              <c:f>'Fuel CON - Time'!$N$4:$N$7</c:f>
              <c:strCache>
                <c:ptCount val="1"/>
                <c:pt idx="0">
                  <c:v>DENMARK - NATGAS - GNR_GT_NGAS_BP_E-42</c:v>
                </c:pt>
              </c:strCache>
            </c:strRef>
          </c:tx>
          <c:spPr>
            <a:solidFill>
              <a:schemeClr val="accent5">
                <a:lumMod val="6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Time'!$N$8:$N$32</c:f>
              <c:numCache>
                <c:formatCode>General</c:formatCode>
                <c:ptCount val="24"/>
                <c:pt idx="0">
                  <c:v>184585.714285714</c:v>
                </c:pt>
                <c:pt idx="1">
                  <c:v>184585.714285714</c:v>
                </c:pt>
                <c:pt idx="2">
                  <c:v>184585.714285714</c:v>
                </c:pt>
                <c:pt idx="3">
                  <c:v>184585.714285714</c:v>
                </c:pt>
                <c:pt idx="4">
                  <c:v>184585.714285714</c:v>
                </c:pt>
                <c:pt idx="5">
                  <c:v>184585.714285714</c:v>
                </c:pt>
                <c:pt idx="6">
                  <c:v>184585.714285714</c:v>
                </c:pt>
                <c:pt idx="7">
                  <c:v>184585.714285714</c:v>
                </c:pt>
                <c:pt idx="8">
                  <c:v>184585.714285714</c:v>
                </c:pt>
                <c:pt idx="9">
                  <c:v>184585.714285714</c:v>
                </c:pt>
                <c:pt idx="10">
                  <c:v>184585.714285714</c:v>
                </c:pt>
                <c:pt idx="11">
                  <c:v>184585.714285714</c:v>
                </c:pt>
                <c:pt idx="12">
                  <c:v>184585.714285714</c:v>
                </c:pt>
                <c:pt idx="13">
                  <c:v>184585.714285714</c:v>
                </c:pt>
                <c:pt idx="14">
                  <c:v>184585.714285714</c:v>
                </c:pt>
                <c:pt idx="15">
                  <c:v>184585.714285714</c:v>
                </c:pt>
                <c:pt idx="16">
                  <c:v>184585.714285714</c:v>
                </c:pt>
                <c:pt idx="17">
                  <c:v>184585.714285714</c:v>
                </c:pt>
                <c:pt idx="18">
                  <c:v>184585.714285714</c:v>
                </c:pt>
                <c:pt idx="19">
                  <c:v>184585.714285714</c:v>
                </c:pt>
                <c:pt idx="20">
                  <c:v>184585.714285714</c:v>
                </c:pt>
                <c:pt idx="21">
                  <c:v>184585.714285714</c:v>
                </c:pt>
                <c:pt idx="22">
                  <c:v>184585.714285714</c:v>
                </c:pt>
                <c:pt idx="23">
                  <c:v>184585.714285714</c:v>
                </c:pt>
              </c:numCache>
            </c:numRef>
          </c:val>
          <c:extLst>
            <c:ext xmlns:c16="http://schemas.microsoft.com/office/drawing/2014/chart" uri="{C3380CC4-5D6E-409C-BE32-E72D297353CC}">
              <c16:uniqueId val="{00000094-8F36-414A-BFDD-19B2A05302E7}"/>
            </c:ext>
          </c:extLst>
        </c:ser>
        <c:ser>
          <c:idx val="11"/>
          <c:order val="11"/>
          <c:tx>
            <c:strRef>
              <c:f>'Fuel CON - Time'!$O$4:$O$7</c:f>
              <c:strCache>
                <c:ptCount val="1"/>
                <c:pt idx="0">
                  <c:v>DENMARK - NATGAS - GNR_GT_NGAS_BP_E-44</c:v>
                </c:pt>
              </c:strCache>
            </c:strRef>
          </c:tx>
          <c:spPr>
            <a:solidFill>
              <a:schemeClr val="accent6">
                <a:lumMod val="6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Time'!$O$8:$O$32</c:f>
              <c:numCache>
                <c:formatCode>General</c:formatCode>
                <c:ptCount val="24"/>
                <c:pt idx="0">
                  <c:v>400172.727272727</c:v>
                </c:pt>
                <c:pt idx="1">
                  <c:v>400172.727272727</c:v>
                </c:pt>
                <c:pt idx="2">
                  <c:v>400172.727272727</c:v>
                </c:pt>
                <c:pt idx="3">
                  <c:v>400172.727272727</c:v>
                </c:pt>
                <c:pt idx="4">
                  <c:v>400172.727272727</c:v>
                </c:pt>
                <c:pt idx="5">
                  <c:v>400172.727272727</c:v>
                </c:pt>
                <c:pt idx="6">
                  <c:v>400172.727272727</c:v>
                </c:pt>
                <c:pt idx="7">
                  <c:v>400172.727272727</c:v>
                </c:pt>
                <c:pt idx="8">
                  <c:v>400172.727272727</c:v>
                </c:pt>
                <c:pt idx="9">
                  <c:v>400172.727272727</c:v>
                </c:pt>
                <c:pt idx="10">
                  <c:v>400172.727272727</c:v>
                </c:pt>
                <c:pt idx="11">
                  <c:v>400172.727272727</c:v>
                </c:pt>
                <c:pt idx="12">
                  <c:v>400172.727272727</c:v>
                </c:pt>
                <c:pt idx="13">
                  <c:v>400172.727272727</c:v>
                </c:pt>
                <c:pt idx="14">
                  <c:v>400172.727272727</c:v>
                </c:pt>
                <c:pt idx="15">
                  <c:v>400172.727272727</c:v>
                </c:pt>
                <c:pt idx="16">
                  <c:v>400172.727272727</c:v>
                </c:pt>
                <c:pt idx="17">
                  <c:v>400172.727272727</c:v>
                </c:pt>
                <c:pt idx="18">
                  <c:v>400172.727272727</c:v>
                </c:pt>
                <c:pt idx="19">
                  <c:v>400172.727272727</c:v>
                </c:pt>
                <c:pt idx="20">
                  <c:v>400172.727272727</c:v>
                </c:pt>
                <c:pt idx="21">
                  <c:v>400172.727272727</c:v>
                </c:pt>
                <c:pt idx="22">
                  <c:v>400172.727272727</c:v>
                </c:pt>
                <c:pt idx="23">
                  <c:v>400172.727272727</c:v>
                </c:pt>
              </c:numCache>
            </c:numRef>
          </c:val>
          <c:extLst>
            <c:ext xmlns:c16="http://schemas.microsoft.com/office/drawing/2014/chart" uri="{C3380CC4-5D6E-409C-BE32-E72D297353CC}">
              <c16:uniqueId val="{00000095-8F36-414A-BFDD-19B2A05302E7}"/>
            </c:ext>
          </c:extLst>
        </c:ser>
        <c:ser>
          <c:idx val="12"/>
          <c:order val="12"/>
          <c:tx>
            <c:strRef>
              <c:f>'Fuel CON - Time'!$P$4:$P$7</c:f>
              <c:strCache>
                <c:ptCount val="1"/>
                <c:pt idx="0">
                  <c:v>DENMARK - NATGAS - GNR_ENG_NGAS_BP_E-34</c:v>
                </c:pt>
              </c:strCache>
            </c:strRef>
          </c:tx>
          <c:spPr>
            <a:solidFill>
              <a:schemeClr val="accent1">
                <a:lumMod val="80000"/>
                <a:lumOff val="2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Time'!$P$8:$P$32</c:f>
              <c:numCache>
                <c:formatCode>General</c:formatCode>
                <c:ptCount val="24"/>
                <c:pt idx="0">
                  <c:v>23176.64117647061</c:v>
                </c:pt>
                <c:pt idx="1">
                  <c:v>23176.64117647061</c:v>
                </c:pt>
                <c:pt idx="2">
                  <c:v>23176.64117647061</c:v>
                </c:pt>
                <c:pt idx="3">
                  <c:v>23176.64117647061</c:v>
                </c:pt>
                <c:pt idx="4">
                  <c:v>23176.64117647061</c:v>
                </c:pt>
                <c:pt idx="5">
                  <c:v>47601.582352941208</c:v>
                </c:pt>
                <c:pt idx="6">
                  <c:v>68045.87647058825</c:v>
                </c:pt>
                <c:pt idx="7">
                  <c:v>68045.876470588235</c:v>
                </c:pt>
                <c:pt idx="8">
                  <c:v>68045.876470588235</c:v>
                </c:pt>
                <c:pt idx="9">
                  <c:v>68045.876470588235</c:v>
                </c:pt>
                <c:pt idx="10">
                  <c:v>68045.876470588235</c:v>
                </c:pt>
                <c:pt idx="11">
                  <c:v>68045.876470588235</c:v>
                </c:pt>
                <c:pt idx="12">
                  <c:v>68045.876470588235</c:v>
                </c:pt>
                <c:pt idx="13">
                  <c:v>68045.876470588235</c:v>
                </c:pt>
                <c:pt idx="14">
                  <c:v>68045.876470588235</c:v>
                </c:pt>
                <c:pt idx="15">
                  <c:v>68045.876470588235</c:v>
                </c:pt>
                <c:pt idx="16">
                  <c:v>68045.876470588235</c:v>
                </c:pt>
                <c:pt idx="17">
                  <c:v>68045.876470588235</c:v>
                </c:pt>
                <c:pt idx="18">
                  <c:v>68045.876470588235</c:v>
                </c:pt>
                <c:pt idx="19">
                  <c:v>47601.582352941208</c:v>
                </c:pt>
                <c:pt idx="20">
                  <c:v>47601.582352941208</c:v>
                </c:pt>
                <c:pt idx="21">
                  <c:v>23176.64117647061</c:v>
                </c:pt>
                <c:pt idx="22">
                  <c:v>23176.64117647061</c:v>
                </c:pt>
                <c:pt idx="23">
                  <c:v>23176.64117647061</c:v>
                </c:pt>
              </c:numCache>
            </c:numRef>
          </c:val>
          <c:extLst>
            <c:ext xmlns:c16="http://schemas.microsoft.com/office/drawing/2014/chart" uri="{C3380CC4-5D6E-409C-BE32-E72D297353CC}">
              <c16:uniqueId val="{00000000-99F0-4D09-BD46-9867FA12E5C4}"/>
            </c:ext>
          </c:extLst>
        </c:ser>
        <c:ser>
          <c:idx val="13"/>
          <c:order val="13"/>
          <c:tx>
            <c:strRef>
              <c:f>'Fuel CON - Time'!$Q$4:$Q$7</c:f>
              <c:strCache>
                <c:ptCount val="1"/>
                <c:pt idx="0">
                  <c:v>DENMARK - NATGAS - GNR_ENG_NGAS_BP_E-38</c:v>
                </c:pt>
              </c:strCache>
            </c:strRef>
          </c:tx>
          <c:spPr>
            <a:solidFill>
              <a:schemeClr val="accent2">
                <a:lumMod val="80000"/>
                <a:lumOff val="2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Time'!$Q$8:$Q$32</c:f>
              <c:numCache>
                <c:formatCode>General</c:formatCode>
                <c:ptCount val="24"/>
                <c:pt idx="0">
                  <c:v>257713.60230653445</c:v>
                </c:pt>
                <c:pt idx="1">
                  <c:v>244738.98666162646</c:v>
                </c:pt>
                <c:pt idx="2">
                  <c:v>232943.88152989242</c:v>
                </c:pt>
                <c:pt idx="3">
                  <c:v>250636.53922749442</c:v>
                </c:pt>
                <c:pt idx="4">
                  <c:v>269380.37368421041</c:v>
                </c:pt>
                <c:pt idx="5">
                  <c:v>269380.37368421041</c:v>
                </c:pt>
                <c:pt idx="6">
                  <c:v>269380.37368421041</c:v>
                </c:pt>
                <c:pt idx="7">
                  <c:v>269380.37368421041</c:v>
                </c:pt>
                <c:pt idx="8">
                  <c:v>269380.37368421041</c:v>
                </c:pt>
                <c:pt idx="9">
                  <c:v>269380.37368421041</c:v>
                </c:pt>
                <c:pt idx="10">
                  <c:v>269380.37368421041</c:v>
                </c:pt>
                <c:pt idx="11">
                  <c:v>269380.37368421041</c:v>
                </c:pt>
                <c:pt idx="12">
                  <c:v>269380.37368421041</c:v>
                </c:pt>
                <c:pt idx="13">
                  <c:v>269380.37368421041</c:v>
                </c:pt>
                <c:pt idx="14">
                  <c:v>269380.37368421041</c:v>
                </c:pt>
                <c:pt idx="15">
                  <c:v>269380.37368421041</c:v>
                </c:pt>
                <c:pt idx="16">
                  <c:v>269380.37368421041</c:v>
                </c:pt>
                <c:pt idx="17">
                  <c:v>269380.37368421041</c:v>
                </c:pt>
                <c:pt idx="18">
                  <c:v>269380.37368421041</c:v>
                </c:pt>
                <c:pt idx="19">
                  <c:v>269380.37368421041</c:v>
                </c:pt>
                <c:pt idx="20">
                  <c:v>226640.79473684201</c:v>
                </c:pt>
                <c:pt idx="21">
                  <c:v>64845.900000000038</c:v>
                </c:pt>
                <c:pt idx="22">
                  <c:v>64845.900000000038</c:v>
                </c:pt>
                <c:pt idx="23">
                  <c:v>64845.900000000038</c:v>
                </c:pt>
              </c:numCache>
            </c:numRef>
          </c:val>
          <c:extLst>
            <c:ext xmlns:c16="http://schemas.microsoft.com/office/drawing/2014/chart" uri="{C3380CC4-5D6E-409C-BE32-E72D297353CC}">
              <c16:uniqueId val="{00000001-99F0-4D09-BD46-9867FA12E5C4}"/>
            </c:ext>
          </c:extLst>
        </c:ser>
        <c:ser>
          <c:idx val="14"/>
          <c:order val="14"/>
          <c:tx>
            <c:strRef>
              <c:f>'Fuel CON - Time'!$R$4:$R$7</c:f>
              <c:strCache>
                <c:ptCount val="1"/>
                <c:pt idx="0">
                  <c:v>DENMARK - NATGAS - GNR_ENG_NGAS_BP_E-39</c:v>
                </c:pt>
              </c:strCache>
            </c:strRef>
          </c:tx>
          <c:spPr>
            <a:solidFill>
              <a:schemeClr val="accent3">
                <a:lumMod val="80000"/>
                <a:lumOff val="2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Time'!$R$8:$R$32</c:f>
              <c:numCache>
                <c:formatCode>General</c:formatCode>
                <c:ptCount val="24"/>
                <c:pt idx="0">
                  <c:v>428633.53846153896</c:v>
                </c:pt>
                <c:pt idx="1">
                  <c:v>428633.53846153896</c:v>
                </c:pt>
                <c:pt idx="2">
                  <c:v>428633.53846153896</c:v>
                </c:pt>
                <c:pt idx="3">
                  <c:v>428633.53846153896</c:v>
                </c:pt>
                <c:pt idx="4">
                  <c:v>428633.53846153896</c:v>
                </c:pt>
                <c:pt idx="5">
                  <c:v>428633.53846153896</c:v>
                </c:pt>
                <c:pt idx="6">
                  <c:v>428633.53846153896</c:v>
                </c:pt>
                <c:pt idx="7">
                  <c:v>428633.53846153896</c:v>
                </c:pt>
                <c:pt idx="8">
                  <c:v>428633.53846153896</c:v>
                </c:pt>
                <c:pt idx="9">
                  <c:v>428633.53846153896</c:v>
                </c:pt>
                <c:pt idx="10">
                  <c:v>428633.53846153896</c:v>
                </c:pt>
                <c:pt idx="11">
                  <c:v>428633.53846153896</c:v>
                </c:pt>
                <c:pt idx="12">
                  <c:v>428633.53846153896</c:v>
                </c:pt>
                <c:pt idx="13">
                  <c:v>428633.53846153896</c:v>
                </c:pt>
                <c:pt idx="14">
                  <c:v>428633.53846153896</c:v>
                </c:pt>
                <c:pt idx="15">
                  <c:v>428633.53846153896</c:v>
                </c:pt>
                <c:pt idx="16">
                  <c:v>428633.53846153896</c:v>
                </c:pt>
                <c:pt idx="17">
                  <c:v>428633.53846153896</c:v>
                </c:pt>
                <c:pt idx="18">
                  <c:v>428633.53846153896</c:v>
                </c:pt>
                <c:pt idx="19">
                  <c:v>428633.53846153896</c:v>
                </c:pt>
                <c:pt idx="20">
                  <c:v>428633.53846153896</c:v>
                </c:pt>
                <c:pt idx="21">
                  <c:v>201176.76923076939</c:v>
                </c:pt>
                <c:pt idx="22">
                  <c:v>201176.76923076939</c:v>
                </c:pt>
                <c:pt idx="23">
                  <c:v>201176.76923076939</c:v>
                </c:pt>
              </c:numCache>
            </c:numRef>
          </c:val>
          <c:extLst>
            <c:ext xmlns:c16="http://schemas.microsoft.com/office/drawing/2014/chart" uri="{C3380CC4-5D6E-409C-BE32-E72D297353CC}">
              <c16:uniqueId val="{00000002-99F0-4D09-BD46-9867FA12E5C4}"/>
            </c:ext>
          </c:extLst>
        </c:ser>
        <c:ser>
          <c:idx val="15"/>
          <c:order val="15"/>
          <c:tx>
            <c:strRef>
              <c:f>'Fuel CON - Time'!$S$4:$S$7</c:f>
              <c:strCache>
                <c:ptCount val="1"/>
                <c:pt idx="0">
                  <c:v>DENMARK - NATGAS - GNR_GT_NGAS_BP_E-27</c:v>
                </c:pt>
              </c:strCache>
            </c:strRef>
          </c:tx>
          <c:spPr>
            <a:solidFill>
              <a:schemeClr val="accent4">
                <a:lumMod val="80000"/>
                <a:lumOff val="2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Time'!$S$8:$S$32</c:f>
              <c:numCache>
                <c:formatCode>General</c:formatCode>
                <c:ptCount val="24"/>
                <c:pt idx="6">
                  <c:v>126533.33333333299</c:v>
                </c:pt>
                <c:pt idx="7">
                  <c:v>126533.33333333299</c:v>
                </c:pt>
                <c:pt idx="8">
                  <c:v>126533.33333333299</c:v>
                </c:pt>
                <c:pt idx="9">
                  <c:v>126533.33333333299</c:v>
                </c:pt>
                <c:pt idx="10">
                  <c:v>126533.33333333299</c:v>
                </c:pt>
              </c:numCache>
            </c:numRef>
          </c:val>
          <c:extLst>
            <c:ext xmlns:c16="http://schemas.microsoft.com/office/drawing/2014/chart" uri="{C3380CC4-5D6E-409C-BE32-E72D297353CC}">
              <c16:uniqueId val="{00000003-99F0-4D09-BD46-9867FA12E5C4}"/>
            </c:ext>
          </c:extLst>
        </c:ser>
        <c:ser>
          <c:idx val="16"/>
          <c:order val="16"/>
          <c:tx>
            <c:strRef>
              <c:f>'Fuel CON - Time'!$T$4:$T$7</c:f>
              <c:strCache>
                <c:ptCount val="1"/>
                <c:pt idx="0">
                  <c:v>DENMARK - NATGAS - GNR_ENG_NGAS_BP_E-35</c:v>
                </c:pt>
              </c:strCache>
            </c:strRef>
          </c:tx>
          <c:spPr>
            <a:solidFill>
              <a:schemeClr val="accent5">
                <a:lumMod val="80000"/>
                <a:lumOff val="2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Time'!$T$8:$T$32</c:f>
              <c:numCache>
                <c:formatCode>General</c:formatCode>
                <c:ptCount val="24"/>
                <c:pt idx="0">
                  <c:v>29733.9428571428</c:v>
                </c:pt>
                <c:pt idx="1">
                  <c:v>29733.9428571428</c:v>
                </c:pt>
                <c:pt idx="2">
                  <c:v>29733.9428571428</c:v>
                </c:pt>
                <c:pt idx="3">
                  <c:v>29733.9428571428</c:v>
                </c:pt>
                <c:pt idx="4">
                  <c:v>49331.314285714201</c:v>
                </c:pt>
                <c:pt idx="5">
                  <c:v>60594.171428571302</c:v>
                </c:pt>
                <c:pt idx="6">
                  <c:v>67502.057142857011</c:v>
                </c:pt>
                <c:pt idx="7">
                  <c:v>67502.057142857011</c:v>
                </c:pt>
                <c:pt idx="8">
                  <c:v>67502.057142857011</c:v>
                </c:pt>
                <c:pt idx="9">
                  <c:v>67502.057142857011</c:v>
                </c:pt>
                <c:pt idx="10">
                  <c:v>67502.057142857011</c:v>
                </c:pt>
                <c:pt idx="11">
                  <c:v>67502.057142857011</c:v>
                </c:pt>
                <c:pt idx="12">
                  <c:v>67502.057142857011</c:v>
                </c:pt>
                <c:pt idx="13">
                  <c:v>67502.057142857011</c:v>
                </c:pt>
                <c:pt idx="14">
                  <c:v>67502.057142857011</c:v>
                </c:pt>
                <c:pt idx="15">
                  <c:v>67502.057142857011</c:v>
                </c:pt>
                <c:pt idx="16">
                  <c:v>67502.057142857011</c:v>
                </c:pt>
                <c:pt idx="17">
                  <c:v>67502.057142857011</c:v>
                </c:pt>
                <c:pt idx="18">
                  <c:v>67502.057142857011</c:v>
                </c:pt>
                <c:pt idx="19">
                  <c:v>60594.171428571302</c:v>
                </c:pt>
                <c:pt idx="20">
                  <c:v>60594.171428571302</c:v>
                </c:pt>
                <c:pt idx="21">
                  <c:v>29733.9428571428</c:v>
                </c:pt>
                <c:pt idx="22">
                  <c:v>29733.9428571428</c:v>
                </c:pt>
                <c:pt idx="23">
                  <c:v>29733.9428571428</c:v>
                </c:pt>
              </c:numCache>
            </c:numRef>
          </c:val>
          <c:extLst>
            <c:ext xmlns:c16="http://schemas.microsoft.com/office/drawing/2014/chart" uri="{C3380CC4-5D6E-409C-BE32-E72D297353CC}">
              <c16:uniqueId val="{00000004-99F0-4D09-BD46-9867FA12E5C4}"/>
            </c:ext>
          </c:extLst>
        </c:ser>
        <c:ser>
          <c:idx val="17"/>
          <c:order val="17"/>
          <c:tx>
            <c:strRef>
              <c:f>'Fuel CON - Time'!$U$4:$U$7</c:f>
              <c:strCache>
                <c:ptCount val="1"/>
                <c:pt idx="0">
                  <c:v>DENMARK - NATGAS - GNR_ENG_NGAS_BP_E-37</c:v>
                </c:pt>
              </c:strCache>
            </c:strRef>
          </c:tx>
          <c:spPr>
            <a:solidFill>
              <a:schemeClr val="accent6">
                <a:lumMod val="80000"/>
                <a:lumOff val="2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Time'!$U$8:$U$32</c:f>
              <c:numCache>
                <c:formatCode>General</c:formatCode>
                <c:ptCount val="24"/>
                <c:pt idx="0">
                  <c:v>19994.108108108099</c:v>
                </c:pt>
                <c:pt idx="1">
                  <c:v>19994.108108108099</c:v>
                </c:pt>
                <c:pt idx="2">
                  <c:v>19994.108108108099</c:v>
                </c:pt>
                <c:pt idx="3">
                  <c:v>19994.108108108099</c:v>
                </c:pt>
                <c:pt idx="4">
                  <c:v>150896.91891891911</c:v>
                </c:pt>
                <c:pt idx="5">
                  <c:v>233323.78378378402</c:v>
                </c:pt>
                <c:pt idx="6">
                  <c:v>233323.78378378402</c:v>
                </c:pt>
                <c:pt idx="7">
                  <c:v>233323.78378378402</c:v>
                </c:pt>
                <c:pt idx="8">
                  <c:v>233323.78378378402</c:v>
                </c:pt>
                <c:pt idx="9">
                  <c:v>233323.78378378402</c:v>
                </c:pt>
                <c:pt idx="10">
                  <c:v>233323.78378378402</c:v>
                </c:pt>
                <c:pt idx="11">
                  <c:v>233323.78378378402</c:v>
                </c:pt>
                <c:pt idx="12">
                  <c:v>233323.78378378402</c:v>
                </c:pt>
                <c:pt idx="13">
                  <c:v>233323.78378378402</c:v>
                </c:pt>
                <c:pt idx="14">
                  <c:v>233323.78378378402</c:v>
                </c:pt>
                <c:pt idx="15">
                  <c:v>233323.78378378402</c:v>
                </c:pt>
                <c:pt idx="16">
                  <c:v>233323.78378378402</c:v>
                </c:pt>
                <c:pt idx="17">
                  <c:v>233323.78378378402</c:v>
                </c:pt>
                <c:pt idx="18">
                  <c:v>233323.78378378402</c:v>
                </c:pt>
                <c:pt idx="19">
                  <c:v>19994.108108108099</c:v>
                </c:pt>
                <c:pt idx="20">
                  <c:v>19994.108108108099</c:v>
                </c:pt>
                <c:pt idx="21">
                  <c:v>19994.108108108099</c:v>
                </c:pt>
                <c:pt idx="22">
                  <c:v>19994.108108108099</c:v>
                </c:pt>
                <c:pt idx="23">
                  <c:v>9979.2972972973002</c:v>
                </c:pt>
              </c:numCache>
            </c:numRef>
          </c:val>
          <c:extLst>
            <c:ext xmlns:c16="http://schemas.microsoft.com/office/drawing/2014/chart" uri="{C3380CC4-5D6E-409C-BE32-E72D297353CC}">
              <c16:uniqueId val="{00000005-99F0-4D09-BD46-9867FA12E5C4}"/>
            </c:ext>
          </c:extLst>
        </c:ser>
        <c:ser>
          <c:idx val="18"/>
          <c:order val="18"/>
          <c:tx>
            <c:strRef>
              <c:f>'Fuel CON - Time'!$V$4:$V$7</c:f>
              <c:strCache>
                <c:ptCount val="1"/>
                <c:pt idx="0">
                  <c:v>DENMARK - NATGAS - GNR_GT_NGAS_BP_E-31</c:v>
                </c:pt>
              </c:strCache>
            </c:strRef>
          </c:tx>
          <c:spPr>
            <a:solidFill>
              <a:schemeClr val="accent1">
                <a:lumMod val="8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Time'!$V$8:$V$32</c:f>
              <c:numCache>
                <c:formatCode>General</c:formatCode>
                <c:ptCount val="24"/>
                <c:pt idx="0">
                  <c:v>72058.064516129103</c:v>
                </c:pt>
                <c:pt idx="1">
                  <c:v>72058.064516129103</c:v>
                </c:pt>
                <c:pt idx="2">
                  <c:v>72058.064516129103</c:v>
                </c:pt>
                <c:pt idx="3">
                  <c:v>72058.064516129103</c:v>
                </c:pt>
                <c:pt idx="4">
                  <c:v>72058.064516129103</c:v>
                </c:pt>
                <c:pt idx="5">
                  <c:v>72058.064516129103</c:v>
                </c:pt>
                <c:pt idx="6">
                  <c:v>136486.4516129033</c:v>
                </c:pt>
                <c:pt idx="7">
                  <c:v>136486.4516129033</c:v>
                </c:pt>
                <c:pt idx="8">
                  <c:v>136486.4516129033</c:v>
                </c:pt>
                <c:pt idx="9">
                  <c:v>136486.4516129033</c:v>
                </c:pt>
                <c:pt idx="10">
                  <c:v>136486.4516129033</c:v>
                </c:pt>
                <c:pt idx="11">
                  <c:v>98338.064516129103</c:v>
                </c:pt>
                <c:pt idx="12">
                  <c:v>98338.064516129103</c:v>
                </c:pt>
                <c:pt idx="13">
                  <c:v>98338.064516129103</c:v>
                </c:pt>
                <c:pt idx="14">
                  <c:v>98338.064516129103</c:v>
                </c:pt>
                <c:pt idx="15">
                  <c:v>98338.064516129103</c:v>
                </c:pt>
                <c:pt idx="16">
                  <c:v>98338.064516129103</c:v>
                </c:pt>
                <c:pt idx="17">
                  <c:v>98338.064516129103</c:v>
                </c:pt>
                <c:pt idx="18">
                  <c:v>98338.064516129103</c:v>
                </c:pt>
                <c:pt idx="19">
                  <c:v>72058.064516129103</c:v>
                </c:pt>
                <c:pt idx="20">
                  <c:v>72058.064516129103</c:v>
                </c:pt>
                <c:pt idx="21">
                  <c:v>72058.064516129103</c:v>
                </c:pt>
                <c:pt idx="22">
                  <c:v>72058.064516129103</c:v>
                </c:pt>
                <c:pt idx="23">
                  <c:v>72058.064516129103</c:v>
                </c:pt>
              </c:numCache>
            </c:numRef>
          </c:val>
          <c:extLst>
            <c:ext xmlns:c16="http://schemas.microsoft.com/office/drawing/2014/chart" uri="{C3380CC4-5D6E-409C-BE32-E72D297353CC}">
              <c16:uniqueId val="{00000006-99F0-4D09-BD46-9867FA12E5C4}"/>
            </c:ext>
          </c:extLst>
        </c:ser>
        <c:ser>
          <c:idx val="19"/>
          <c:order val="19"/>
          <c:tx>
            <c:strRef>
              <c:f>'Fuel CON - Time'!$W$4:$W$7</c:f>
              <c:strCache>
                <c:ptCount val="1"/>
                <c:pt idx="0">
                  <c:v>DENMARK - NATGAS - GNR_ENG_NGAS_BP_E-36</c:v>
                </c:pt>
              </c:strCache>
            </c:strRef>
          </c:tx>
          <c:spPr>
            <a:solidFill>
              <a:schemeClr val="accent2">
                <a:lumMod val="8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Time'!$W$8:$W$32</c:f>
              <c:numCache>
                <c:formatCode>General</c:formatCode>
                <c:ptCount val="24"/>
                <c:pt idx="0">
                  <c:v>27904.25</c:v>
                </c:pt>
                <c:pt idx="1">
                  <c:v>27904.25</c:v>
                </c:pt>
                <c:pt idx="2">
                  <c:v>27904.25</c:v>
                </c:pt>
                <c:pt idx="3">
                  <c:v>27904.25</c:v>
                </c:pt>
                <c:pt idx="4">
                  <c:v>27904.25</c:v>
                </c:pt>
                <c:pt idx="5">
                  <c:v>128826.75</c:v>
                </c:pt>
                <c:pt idx="6">
                  <c:v>128826.75</c:v>
                </c:pt>
                <c:pt idx="7">
                  <c:v>128826.75</c:v>
                </c:pt>
                <c:pt idx="8">
                  <c:v>128826.75</c:v>
                </c:pt>
                <c:pt idx="9">
                  <c:v>128826.75</c:v>
                </c:pt>
                <c:pt idx="10">
                  <c:v>128826.75</c:v>
                </c:pt>
                <c:pt idx="11">
                  <c:v>128826.75</c:v>
                </c:pt>
                <c:pt idx="12">
                  <c:v>128826.75</c:v>
                </c:pt>
                <c:pt idx="13">
                  <c:v>128826.75</c:v>
                </c:pt>
                <c:pt idx="14">
                  <c:v>128826.75</c:v>
                </c:pt>
                <c:pt idx="15">
                  <c:v>128826.75</c:v>
                </c:pt>
                <c:pt idx="16">
                  <c:v>128826.75</c:v>
                </c:pt>
                <c:pt idx="17">
                  <c:v>128826.75</c:v>
                </c:pt>
                <c:pt idx="18">
                  <c:v>128826.75</c:v>
                </c:pt>
                <c:pt idx="19">
                  <c:v>27904.25</c:v>
                </c:pt>
                <c:pt idx="20">
                  <c:v>27904.25</c:v>
                </c:pt>
                <c:pt idx="21">
                  <c:v>27904.25</c:v>
                </c:pt>
                <c:pt idx="22">
                  <c:v>27904.25</c:v>
                </c:pt>
                <c:pt idx="23">
                  <c:v>15019.75</c:v>
                </c:pt>
              </c:numCache>
            </c:numRef>
          </c:val>
          <c:extLst>
            <c:ext xmlns:c16="http://schemas.microsoft.com/office/drawing/2014/chart" uri="{C3380CC4-5D6E-409C-BE32-E72D297353CC}">
              <c16:uniqueId val="{00000007-99F0-4D09-BD46-9867FA12E5C4}"/>
            </c:ext>
          </c:extLst>
        </c:ser>
        <c:ser>
          <c:idx val="20"/>
          <c:order val="20"/>
          <c:tx>
            <c:strRef>
              <c:f>'Fuel CON - Time'!$X$4:$X$7</c:f>
              <c:strCache>
                <c:ptCount val="1"/>
                <c:pt idx="0">
                  <c:v>DENMARK - NATGAS - GNR_GT_NGAS_BP_E-43</c:v>
                </c:pt>
              </c:strCache>
            </c:strRef>
          </c:tx>
          <c:spPr>
            <a:solidFill>
              <a:schemeClr val="accent3">
                <a:lumMod val="8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Time'!$X$8:$X$32</c:f>
              <c:numCache>
                <c:formatCode>General</c:formatCode>
                <c:ptCount val="24"/>
                <c:pt idx="0">
                  <c:v>251035.11627907</c:v>
                </c:pt>
                <c:pt idx="1">
                  <c:v>251035.11627907</c:v>
                </c:pt>
                <c:pt idx="2">
                  <c:v>251035.11627907</c:v>
                </c:pt>
                <c:pt idx="3">
                  <c:v>251035.11627907</c:v>
                </c:pt>
                <c:pt idx="4">
                  <c:v>251035.11627907</c:v>
                </c:pt>
                <c:pt idx="5">
                  <c:v>251035.11627907</c:v>
                </c:pt>
                <c:pt idx="6">
                  <c:v>251035.11627907</c:v>
                </c:pt>
                <c:pt idx="7">
                  <c:v>251035.11627907</c:v>
                </c:pt>
                <c:pt idx="8">
                  <c:v>251035.11627907</c:v>
                </c:pt>
                <c:pt idx="9">
                  <c:v>251035.11627907</c:v>
                </c:pt>
                <c:pt idx="10">
                  <c:v>251035.11627907</c:v>
                </c:pt>
                <c:pt idx="11">
                  <c:v>251035.11627907</c:v>
                </c:pt>
                <c:pt idx="12">
                  <c:v>251035.11627907</c:v>
                </c:pt>
                <c:pt idx="13">
                  <c:v>251035.11627907</c:v>
                </c:pt>
                <c:pt idx="14">
                  <c:v>251035.11627907</c:v>
                </c:pt>
                <c:pt idx="15">
                  <c:v>251035.11627907</c:v>
                </c:pt>
                <c:pt idx="16">
                  <c:v>251035.11627907</c:v>
                </c:pt>
                <c:pt idx="17">
                  <c:v>251035.11627907</c:v>
                </c:pt>
                <c:pt idx="18">
                  <c:v>251035.11627907</c:v>
                </c:pt>
                <c:pt idx="19">
                  <c:v>251035.11627907</c:v>
                </c:pt>
                <c:pt idx="20">
                  <c:v>251035.11627907</c:v>
                </c:pt>
                <c:pt idx="21">
                  <c:v>251035.11627907</c:v>
                </c:pt>
                <c:pt idx="22">
                  <c:v>251035.11627907</c:v>
                </c:pt>
                <c:pt idx="23">
                  <c:v>251035.11627907</c:v>
                </c:pt>
              </c:numCache>
            </c:numRef>
          </c:val>
          <c:extLst>
            <c:ext xmlns:c16="http://schemas.microsoft.com/office/drawing/2014/chart" uri="{C3380CC4-5D6E-409C-BE32-E72D297353CC}">
              <c16:uniqueId val="{00000008-99F0-4D09-BD46-9867FA12E5C4}"/>
            </c:ext>
          </c:extLst>
        </c:ser>
        <c:ser>
          <c:idx val="21"/>
          <c:order val="21"/>
          <c:tx>
            <c:strRef>
              <c:f>'Fuel CON - Time'!$Y$4:$Y$7</c:f>
              <c:strCache>
                <c:ptCount val="1"/>
                <c:pt idx="0">
                  <c:v>DENMARK - NATGAS - GNR_ENG_NGAS_BP_E-33</c:v>
                </c:pt>
              </c:strCache>
            </c:strRef>
          </c:tx>
          <c:spPr>
            <a:solidFill>
              <a:schemeClr val="accent4">
                <a:lumMod val="8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Time'!$Y$8:$Y$32</c:f>
              <c:numCache>
                <c:formatCode>General</c:formatCode>
                <c:ptCount val="24"/>
                <c:pt idx="0">
                  <c:v>27355.090909090901</c:v>
                </c:pt>
                <c:pt idx="1">
                  <c:v>27355.090909090901</c:v>
                </c:pt>
                <c:pt idx="2">
                  <c:v>27355.090909090901</c:v>
                </c:pt>
                <c:pt idx="3">
                  <c:v>27355.090909090901</c:v>
                </c:pt>
                <c:pt idx="4">
                  <c:v>27355.090909090901</c:v>
                </c:pt>
                <c:pt idx="5">
                  <c:v>27355.090909090901</c:v>
                </c:pt>
                <c:pt idx="6">
                  <c:v>56163.545454545427</c:v>
                </c:pt>
                <c:pt idx="7">
                  <c:v>56163.545454545427</c:v>
                </c:pt>
                <c:pt idx="8">
                  <c:v>56163.545454545427</c:v>
                </c:pt>
                <c:pt idx="9">
                  <c:v>56163.545454545427</c:v>
                </c:pt>
                <c:pt idx="10">
                  <c:v>56163.545454545427</c:v>
                </c:pt>
                <c:pt idx="11">
                  <c:v>37707.818181818177</c:v>
                </c:pt>
                <c:pt idx="12">
                  <c:v>37707.818181818177</c:v>
                </c:pt>
                <c:pt idx="13">
                  <c:v>37707.818181818177</c:v>
                </c:pt>
                <c:pt idx="14">
                  <c:v>37707.818181818177</c:v>
                </c:pt>
                <c:pt idx="15">
                  <c:v>37707.818181818177</c:v>
                </c:pt>
                <c:pt idx="16">
                  <c:v>37707.818181818177</c:v>
                </c:pt>
                <c:pt idx="17">
                  <c:v>37707.818181818177</c:v>
                </c:pt>
                <c:pt idx="18">
                  <c:v>37707.818181818177</c:v>
                </c:pt>
                <c:pt idx="19">
                  <c:v>37707.818181818177</c:v>
                </c:pt>
                <c:pt idx="20">
                  <c:v>27355.090909090901</c:v>
                </c:pt>
                <c:pt idx="21">
                  <c:v>27355.090909090901</c:v>
                </c:pt>
                <c:pt idx="22">
                  <c:v>27355.090909090901</c:v>
                </c:pt>
                <c:pt idx="23">
                  <c:v>27355.090909090901</c:v>
                </c:pt>
              </c:numCache>
            </c:numRef>
          </c:val>
          <c:extLst>
            <c:ext xmlns:c16="http://schemas.microsoft.com/office/drawing/2014/chart" uri="{C3380CC4-5D6E-409C-BE32-E72D297353CC}">
              <c16:uniqueId val="{00000009-99F0-4D09-BD46-9867FA12E5C4}"/>
            </c:ext>
          </c:extLst>
        </c:ser>
        <c:ser>
          <c:idx val="22"/>
          <c:order val="22"/>
          <c:tx>
            <c:strRef>
              <c:f>'Fuel CON - Time'!$Z$4:$Z$7</c:f>
              <c:strCache>
                <c:ptCount val="1"/>
                <c:pt idx="0">
                  <c:v>DENMARK - NATGAS - GNR_ENG_NGAS_CND_E-41</c:v>
                </c:pt>
              </c:strCache>
            </c:strRef>
          </c:tx>
          <c:spPr>
            <a:solidFill>
              <a:schemeClr val="accent5">
                <a:lumMod val="8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Time'!$Z$8:$Z$32</c:f>
              <c:numCache>
                <c:formatCode>General</c:formatCode>
                <c:ptCount val="24"/>
                <c:pt idx="0">
                  <c:v>130759.024390244</c:v>
                </c:pt>
                <c:pt idx="1">
                  <c:v>130759.024390244</c:v>
                </c:pt>
                <c:pt idx="2">
                  <c:v>130759.024390244</c:v>
                </c:pt>
                <c:pt idx="3">
                  <c:v>130759.024390244</c:v>
                </c:pt>
                <c:pt idx="4">
                  <c:v>130759.024390244</c:v>
                </c:pt>
                <c:pt idx="5">
                  <c:v>130759.024390244</c:v>
                </c:pt>
                <c:pt idx="6">
                  <c:v>130759.024390244</c:v>
                </c:pt>
                <c:pt idx="7">
                  <c:v>130759.024390244</c:v>
                </c:pt>
                <c:pt idx="8">
                  <c:v>130759.024390244</c:v>
                </c:pt>
                <c:pt idx="9">
                  <c:v>130759.024390244</c:v>
                </c:pt>
                <c:pt idx="10">
                  <c:v>130759.024390244</c:v>
                </c:pt>
                <c:pt idx="11">
                  <c:v>130759.024390244</c:v>
                </c:pt>
                <c:pt idx="12">
                  <c:v>130759.024390244</c:v>
                </c:pt>
                <c:pt idx="13">
                  <c:v>130759.024390244</c:v>
                </c:pt>
                <c:pt idx="14">
                  <c:v>130759.024390244</c:v>
                </c:pt>
                <c:pt idx="15">
                  <c:v>130759.024390244</c:v>
                </c:pt>
                <c:pt idx="16">
                  <c:v>130759.024390244</c:v>
                </c:pt>
                <c:pt idx="17">
                  <c:v>130759.024390244</c:v>
                </c:pt>
                <c:pt idx="18">
                  <c:v>130759.024390244</c:v>
                </c:pt>
                <c:pt idx="19">
                  <c:v>130759.024390244</c:v>
                </c:pt>
                <c:pt idx="20">
                  <c:v>130759.024390244</c:v>
                </c:pt>
                <c:pt idx="21">
                  <c:v>130759.024390244</c:v>
                </c:pt>
                <c:pt idx="22">
                  <c:v>130759.024390244</c:v>
                </c:pt>
                <c:pt idx="23">
                  <c:v>130759.024390244</c:v>
                </c:pt>
              </c:numCache>
            </c:numRef>
          </c:val>
          <c:extLst>
            <c:ext xmlns:c16="http://schemas.microsoft.com/office/drawing/2014/chart" uri="{C3380CC4-5D6E-409C-BE32-E72D297353CC}">
              <c16:uniqueId val="{0000000A-99F0-4D09-BD46-9867FA12E5C4}"/>
            </c:ext>
          </c:extLst>
        </c:ser>
        <c:ser>
          <c:idx val="23"/>
          <c:order val="23"/>
          <c:tx>
            <c:strRef>
              <c:f>'Fuel CON - Time'!$AA$4:$AA$7</c:f>
              <c:strCache>
                <c:ptCount val="1"/>
                <c:pt idx="0">
                  <c:v>DENMARK - NATGAS - GNR_ENG_NGAS_CND_E-46</c:v>
                </c:pt>
              </c:strCache>
            </c:strRef>
          </c:tx>
          <c:spPr>
            <a:solidFill>
              <a:schemeClr val="accent6">
                <a:lumMod val="8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Time'!$AA$8:$AA$32</c:f>
              <c:numCache>
                <c:formatCode>General</c:formatCode>
                <c:ptCount val="24"/>
                <c:pt idx="0">
                  <c:v>1828.1739130434801</c:v>
                </c:pt>
                <c:pt idx="1">
                  <c:v>1828.1739130434801</c:v>
                </c:pt>
                <c:pt idx="2">
                  <c:v>1828.1739130434801</c:v>
                </c:pt>
                <c:pt idx="3">
                  <c:v>1828.1739130434801</c:v>
                </c:pt>
                <c:pt idx="4">
                  <c:v>1828.1739130434801</c:v>
                </c:pt>
                <c:pt idx="5">
                  <c:v>1828.1739130434801</c:v>
                </c:pt>
                <c:pt idx="6">
                  <c:v>1828.1739130434801</c:v>
                </c:pt>
                <c:pt idx="7">
                  <c:v>1828.1739130434801</c:v>
                </c:pt>
                <c:pt idx="8">
                  <c:v>1828.1739130434801</c:v>
                </c:pt>
                <c:pt idx="9">
                  <c:v>1828.1739130434801</c:v>
                </c:pt>
                <c:pt idx="10">
                  <c:v>1828.1739130434801</c:v>
                </c:pt>
                <c:pt idx="11">
                  <c:v>1828.1739130434801</c:v>
                </c:pt>
                <c:pt idx="12">
                  <c:v>1828.1739130434801</c:v>
                </c:pt>
                <c:pt idx="13">
                  <c:v>1828.1739130434801</c:v>
                </c:pt>
                <c:pt idx="14">
                  <c:v>1828.1739130434801</c:v>
                </c:pt>
                <c:pt idx="15">
                  <c:v>1828.1739130434801</c:v>
                </c:pt>
                <c:pt idx="16">
                  <c:v>1828.1739130434801</c:v>
                </c:pt>
                <c:pt idx="17">
                  <c:v>1828.1739130434801</c:v>
                </c:pt>
                <c:pt idx="18">
                  <c:v>1828.1739130434801</c:v>
                </c:pt>
                <c:pt idx="19">
                  <c:v>1828.1739130434801</c:v>
                </c:pt>
                <c:pt idx="20">
                  <c:v>1828.1739130434801</c:v>
                </c:pt>
                <c:pt idx="21">
                  <c:v>1828.1739130434801</c:v>
                </c:pt>
                <c:pt idx="22">
                  <c:v>1828.1739130434801</c:v>
                </c:pt>
                <c:pt idx="23">
                  <c:v>1828.1739130434801</c:v>
                </c:pt>
              </c:numCache>
            </c:numRef>
          </c:val>
          <c:extLst>
            <c:ext xmlns:c16="http://schemas.microsoft.com/office/drawing/2014/chart" uri="{C3380CC4-5D6E-409C-BE32-E72D297353CC}">
              <c16:uniqueId val="{0000000B-99F0-4D09-BD46-9867FA12E5C4}"/>
            </c:ext>
          </c:extLst>
        </c:ser>
        <c:ser>
          <c:idx val="24"/>
          <c:order val="24"/>
          <c:tx>
            <c:strRef>
              <c:f>'Fuel CON - Time'!$AB$4:$AB$7</c:f>
              <c:strCache>
                <c:ptCount val="1"/>
                <c:pt idx="0">
                  <c:v>DENMARK - NATGAS - GNR_GT_NGAS_BP_E-28</c:v>
                </c:pt>
              </c:strCache>
            </c:strRef>
          </c:tx>
          <c:spPr>
            <a:solidFill>
              <a:schemeClr val="accent1">
                <a:lumMod val="60000"/>
                <a:lumOff val="4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Time'!$AB$8:$AB$32</c:f>
              <c:numCache>
                <c:formatCode>General</c:formatCode>
                <c:ptCount val="24"/>
                <c:pt idx="6">
                  <c:v>221502.8571428569</c:v>
                </c:pt>
                <c:pt idx="7">
                  <c:v>221502.8571428569</c:v>
                </c:pt>
                <c:pt idx="8">
                  <c:v>221502.8571428569</c:v>
                </c:pt>
                <c:pt idx="9">
                  <c:v>221502.8571428569</c:v>
                </c:pt>
                <c:pt idx="10">
                  <c:v>22995</c:v>
                </c:pt>
                <c:pt idx="14">
                  <c:v>22995</c:v>
                </c:pt>
                <c:pt idx="15">
                  <c:v>22995</c:v>
                </c:pt>
                <c:pt idx="16">
                  <c:v>22995</c:v>
                </c:pt>
                <c:pt idx="17">
                  <c:v>22995</c:v>
                </c:pt>
                <c:pt idx="18">
                  <c:v>22995</c:v>
                </c:pt>
              </c:numCache>
            </c:numRef>
          </c:val>
          <c:extLst>
            <c:ext xmlns:c16="http://schemas.microsoft.com/office/drawing/2014/chart" uri="{C3380CC4-5D6E-409C-BE32-E72D297353CC}">
              <c16:uniqueId val="{0000000C-99F0-4D09-BD46-9867FA12E5C4}"/>
            </c:ext>
          </c:extLst>
        </c:ser>
        <c:ser>
          <c:idx val="25"/>
          <c:order val="25"/>
          <c:tx>
            <c:strRef>
              <c:f>'Fuel CON - Time'!$AC$4:$AC$7</c:f>
              <c:strCache>
                <c:ptCount val="1"/>
                <c:pt idx="0">
                  <c:v>DENMARK - NATGAS - GNR_GT_NGAS_BP_E-33</c:v>
                </c:pt>
              </c:strCache>
            </c:strRef>
          </c:tx>
          <c:spPr>
            <a:solidFill>
              <a:schemeClr val="accent2">
                <a:lumMod val="60000"/>
                <a:lumOff val="4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Time'!$AC$8:$AC$32</c:f>
              <c:numCache>
                <c:formatCode>General</c:formatCode>
                <c:ptCount val="24"/>
                <c:pt idx="6">
                  <c:v>21103.6363636364</c:v>
                </c:pt>
                <c:pt idx="7">
                  <c:v>21103.6363636364</c:v>
                </c:pt>
                <c:pt idx="8">
                  <c:v>21103.6363636364</c:v>
                </c:pt>
                <c:pt idx="9">
                  <c:v>21103.6363636364</c:v>
                </c:pt>
                <c:pt idx="10">
                  <c:v>21103.6363636364</c:v>
                </c:pt>
                <c:pt idx="11">
                  <c:v>21103.6363636364</c:v>
                </c:pt>
              </c:numCache>
            </c:numRef>
          </c:val>
          <c:extLst>
            <c:ext xmlns:c16="http://schemas.microsoft.com/office/drawing/2014/chart" uri="{C3380CC4-5D6E-409C-BE32-E72D297353CC}">
              <c16:uniqueId val="{0000000D-99F0-4D09-BD46-9867FA12E5C4}"/>
            </c:ext>
          </c:extLst>
        </c:ser>
        <c:ser>
          <c:idx val="26"/>
          <c:order val="26"/>
          <c:tx>
            <c:strRef>
              <c:f>'Fuel CON - Time'!$AD$4:$AD$7</c:f>
              <c:strCache>
                <c:ptCount val="1"/>
                <c:pt idx="0">
                  <c:v>DENMARK - NATGAS - GNR_GT_NGAS_BP_E-36</c:v>
                </c:pt>
              </c:strCache>
            </c:strRef>
          </c:tx>
          <c:spPr>
            <a:solidFill>
              <a:schemeClr val="accent3">
                <a:lumMod val="60000"/>
                <a:lumOff val="4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Time'!$AD$8:$AD$32</c:f>
              <c:numCache>
                <c:formatCode>General</c:formatCode>
                <c:ptCount val="24"/>
                <c:pt idx="0">
                  <c:v>84679.999999999898</c:v>
                </c:pt>
                <c:pt idx="1">
                  <c:v>84679.999999999898</c:v>
                </c:pt>
                <c:pt idx="2">
                  <c:v>84679.999999999898</c:v>
                </c:pt>
                <c:pt idx="3">
                  <c:v>84679.999999999898</c:v>
                </c:pt>
                <c:pt idx="4">
                  <c:v>99279.999999999898</c:v>
                </c:pt>
                <c:pt idx="5">
                  <c:v>99279.999999999898</c:v>
                </c:pt>
                <c:pt idx="6">
                  <c:v>99279.999999999898</c:v>
                </c:pt>
                <c:pt idx="7">
                  <c:v>99279.999999999898</c:v>
                </c:pt>
                <c:pt idx="8">
                  <c:v>99279.999999999898</c:v>
                </c:pt>
                <c:pt idx="9">
                  <c:v>99279.999999999898</c:v>
                </c:pt>
                <c:pt idx="10">
                  <c:v>99279.999999999898</c:v>
                </c:pt>
                <c:pt idx="11">
                  <c:v>99279.999999999898</c:v>
                </c:pt>
                <c:pt idx="12">
                  <c:v>99279.999999999898</c:v>
                </c:pt>
                <c:pt idx="13">
                  <c:v>99279.999999999898</c:v>
                </c:pt>
                <c:pt idx="14">
                  <c:v>99279.999999999898</c:v>
                </c:pt>
                <c:pt idx="15">
                  <c:v>99279.999999999898</c:v>
                </c:pt>
                <c:pt idx="16">
                  <c:v>99279.999999999898</c:v>
                </c:pt>
                <c:pt idx="17">
                  <c:v>99279.999999999898</c:v>
                </c:pt>
                <c:pt idx="18">
                  <c:v>99279.999999999898</c:v>
                </c:pt>
                <c:pt idx="19">
                  <c:v>84679.999999999898</c:v>
                </c:pt>
                <c:pt idx="20">
                  <c:v>84679.999999999898</c:v>
                </c:pt>
                <c:pt idx="21">
                  <c:v>84679.999999999898</c:v>
                </c:pt>
                <c:pt idx="22">
                  <c:v>84679.999999999898</c:v>
                </c:pt>
                <c:pt idx="23">
                  <c:v>84679.999999999898</c:v>
                </c:pt>
              </c:numCache>
            </c:numRef>
          </c:val>
          <c:extLst>
            <c:ext xmlns:c16="http://schemas.microsoft.com/office/drawing/2014/chart" uri="{C3380CC4-5D6E-409C-BE32-E72D297353CC}">
              <c16:uniqueId val="{0000000E-99F0-4D09-BD46-9867FA12E5C4}"/>
            </c:ext>
          </c:extLst>
        </c:ser>
        <c:ser>
          <c:idx val="27"/>
          <c:order val="27"/>
          <c:tx>
            <c:strRef>
              <c:f>'Fuel CON - Time'!$AE$4:$AE$7</c:f>
              <c:strCache>
                <c:ptCount val="1"/>
                <c:pt idx="0">
                  <c:v>DENMARK - NATGAS - GNR_ENG_NGAS_BP_E-45</c:v>
                </c:pt>
              </c:strCache>
            </c:strRef>
          </c:tx>
          <c:spPr>
            <a:solidFill>
              <a:schemeClr val="accent4">
                <a:lumMod val="60000"/>
                <a:lumOff val="4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Time'!$AE$8:$AE$32</c:f>
              <c:numCache>
                <c:formatCode>General</c:formatCode>
                <c:ptCount val="24"/>
                <c:pt idx="0">
                  <c:v>31944.799999999999</c:v>
                </c:pt>
                <c:pt idx="1">
                  <c:v>31944.799999999999</c:v>
                </c:pt>
                <c:pt idx="2">
                  <c:v>31944.799999999999</c:v>
                </c:pt>
                <c:pt idx="3">
                  <c:v>31944.799999999999</c:v>
                </c:pt>
                <c:pt idx="4">
                  <c:v>31944.799999999999</c:v>
                </c:pt>
                <c:pt idx="5">
                  <c:v>31944.799999999999</c:v>
                </c:pt>
                <c:pt idx="6">
                  <c:v>31944.799999999999</c:v>
                </c:pt>
                <c:pt idx="7">
                  <c:v>31944.799999999999</c:v>
                </c:pt>
                <c:pt idx="8">
                  <c:v>31944.799999999999</c:v>
                </c:pt>
                <c:pt idx="9">
                  <c:v>31944.799999999999</c:v>
                </c:pt>
                <c:pt idx="10">
                  <c:v>31944.799999999999</c:v>
                </c:pt>
                <c:pt idx="11">
                  <c:v>31944.799999999999</c:v>
                </c:pt>
                <c:pt idx="12">
                  <c:v>31944.799999999999</c:v>
                </c:pt>
                <c:pt idx="13">
                  <c:v>31944.799999999999</c:v>
                </c:pt>
                <c:pt idx="14">
                  <c:v>31944.799999999999</c:v>
                </c:pt>
                <c:pt idx="15">
                  <c:v>31944.799999999999</c:v>
                </c:pt>
                <c:pt idx="16">
                  <c:v>31944.799999999999</c:v>
                </c:pt>
                <c:pt idx="17">
                  <c:v>31944.799999999999</c:v>
                </c:pt>
                <c:pt idx="18">
                  <c:v>31944.799999999999</c:v>
                </c:pt>
                <c:pt idx="19">
                  <c:v>31944.799999999999</c:v>
                </c:pt>
                <c:pt idx="20">
                  <c:v>31944.799999999999</c:v>
                </c:pt>
                <c:pt idx="21">
                  <c:v>31944.799999999999</c:v>
                </c:pt>
                <c:pt idx="22">
                  <c:v>31944.799999999999</c:v>
                </c:pt>
                <c:pt idx="23">
                  <c:v>31944.799999999999</c:v>
                </c:pt>
              </c:numCache>
            </c:numRef>
          </c:val>
          <c:extLst>
            <c:ext xmlns:c16="http://schemas.microsoft.com/office/drawing/2014/chart" uri="{C3380CC4-5D6E-409C-BE32-E72D297353CC}">
              <c16:uniqueId val="{0000000F-99F0-4D09-BD46-9867FA12E5C4}"/>
            </c:ext>
          </c:extLst>
        </c:ser>
        <c:ser>
          <c:idx val="28"/>
          <c:order val="28"/>
          <c:tx>
            <c:strRef>
              <c:f>'Fuel CON - Time'!$AF$4:$AF$7</c:f>
              <c:strCache>
                <c:ptCount val="1"/>
                <c:pt idx="0">
                  <c:v>DENMARK - NATGAS - GNR_GT_NGAS_BP_E-30</c:v>
                </c:pt>
              </c:strCache>
            </c:strRef>
          </c:tx>
          <c:spPr>
            <a:solidFill>
              <a:schemeClr val="accent5">
                <a:lumMod val="60000"/>
                <a:lumOff val="4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Time'!$AF$8:$AF$32</c:f>
              <c:numCache>
                <c:formatCode>General</c:formatCode>
                <c:ptCount val="24"/>
                <c:pt idx="6">
                  <c:v>27594</c:v>
                </c:pt>
                <c:pt idx="7">
                  <c:v>27594</c:v>
                </c:pt>
                <c:pt idx="8">
                  <c:v>27594</c:v>
                </c:pt>
                <c:pt idx="9">
                  <c:v>27594</c:v>
                </c:pt>
                <c:pt idx="10">
                  <c:v>27594</c:v>
                </c:pt>
              </c:numCache>
            </c:numRef>
          </c:val>
          <c:extLst>
            <c:ext xmlns:c16="http://schemas.microsoft.com/office/drawing/2014/chart" uri="{C3380CC4-5D6E-409C-BE32-E72D297353CC}">
              <c16:uniqueId val="{00000010-99F0-4D09-BD46-9867FA12E5C4}"/>
            </c:ext>
          </c:extLst>
        </c:ser>
        <c:ser>
          <c:idx val="29"/>
          <c:order val="29"/>
          <c:tx>
            <c:strRef>
              <c:f>'Fuel CON - Time'!$AG$4:$AG$7</c:f>
              <c:strCache>
                <c:ptCount val="1"/>
                <c:pt idx="0">
                  <c:v>DENMARK - NATGAS - GNR_GT_NGAS_BP_E-41</c:v>
                </c:pt>
              </c:strCache>
            </c:strRef>
          </c:tx>
          <c:spPr>
            <a:solidFill>
              <a:schemeClr val="accent6">
                <a:lumMod val="60000"/>
                <a:lumOff val="4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Time'!$AG$8:$AG$32</c:f>
              <c:numCache>
                <c:formatCode>General</c:formatCode>
                <c:ptCount val="24"/>
                <c:pt idx="0">
                  <c:v>19229.2682926829</c:v>
                </c:pt>
                <c:pt idx="1">
                  <c:v>19229.2682926829</c:v>
                </c:pt>
                <c:pt idx="2">
                  <c:v>19229.2682926829</c:v>
                </c:pt>
                <c:pt idx="3">
                  <c:v>19229.2682926829</c:v>
                </c:pt>
                <c:pt idx="4">
                  <c:v>19229.2682926829</c:v>
                </c:pt>
                <c:pt idx="5">
                  <c:v>19229.2682926829</c:v>
                </c:pt>
                <c:pt idx="6">
                  <c:v>19229.2682926829</c:v>
                </c:pt>
                <c:pt idx="7">
                  <c:v>19229.2682926829</c:v>
                </c:pt>
                <c:pt idx="8">
                  <c:v>19229.2682926829</c:v>
                </c:pt>
                <c:pt idx="9">
                  <c:v>19229.2682926829</c:v>
                </c:pt>
                <c:pt idx="10">
                  <c:v>19229.2682926829</c:v>
                </c:pt>
                <c:pt idx="11">
                  <c:v>19229.2682926829</c:v>
                </c:pt>
                <c:pt idx="12">
                  <c:v>19229.2682926829</c:v>
                </c:pt>
                <c:pt idx="13">
                  <c:v>19229.2682926829</c:v>
                </c:pt>
                <c:pt idx="14">
                  <c:v>19229.2682926829</c:v>
                </c:pt>
                <c:pt idx="15">
                  <c:v>19229.2682926829</c:v>
                </c:pt>
                <c:pt idx="16">
                  <c:v>19229.2682926829</c:v>
                </c:pt>
                <c:pt idx="17">
                  <c:v>19229.2682926829</c:v>
                </c:pt>
                <c:pt idx="18">
                  <c:v>19229.2682926829</c:v>
                </c:pt>
                <c:pt idx="19">
                  <c:v>19229.2682926829</c:v>
                </c:pt>
                <c:pt idx="20">
                  <c:v>19229.2682926829</c:v>
                </c:pt>
                <c:pt idx="21">
                  <c:v>19229.2682926829</c:v>
                </c:pt>
                <c:pt idx="22">
                  <c:v>19229.2682926829</c:v>
                </c:pt>
                <c:pt idx="23">
                  <c:v>19229.2682926829</c:v>
                </c:pt>
              </c:numCache>
            </c:numRef>
          </c:val>
          <c:extLst>
            <c:ext xmlns:c16="http://schemas.microsoft.com/office/drawing/2014/chart" uri="{C3380CC4-5D6E-409C-BE32-E72D297353CC}">
              <c16:uniqueId val="{00000011-99F0-4D09-BD46-9867FA12E5C4}"/>
            </c:ext>
          </c:extLst>
        </c:ser>
        <c:dLbls>
          <c:showLegendKey val="0"/>
          <c:showVal val="0"/>
          <c:showCatName val="0"/>
          <c:showSerName val="0"/>
          <c:showPercent val="0"/>
          <c:showBubbleSize val="0"/>
        </c:dLbls>
        <c:gapWidth val="219"/>
        <c:overlap val="-27"/>
        <c:axId val="269918288"/>
        <c:axId val="269918680"/>
      </c:barChart>
      <c:catAx>
        <c:axId val="269918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8680"/>
        <c:crosses val="autoZero"/>
        <c:auto val="1"/>
        <c:lblAlgn val="ctr"/>
        <c:lblOffset val="100"/>
        <c:noMultiLvlLbl val="0"/>
      </c:catAx>
      <c:valAx>
        <c:axId val="2699186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82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tool.xlsm]Fuel CON - Annual!PivotTable1</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a:noFill/>
          </a:ln>
          <a:effectLst/>
        </c:spPr>
        <c:marker>
          <c:symbol val="none"/>
        </c:marker>
      </c:pivotFmt>
      <c:pivotFmt>
        <c:idx val="95"/>
        <c:spPr>
          <a:solidFill>
            <a:schemeClr val="accent1"/>
          </a:solidFill>
          <a:ln>
            <a:noFill/>
          </a:ln>
          <a:effectLst/>
        </c:spPr>
        <c:marker>
          <c:symbol val="none"/>
        </c:marker>
      </c:pivotFmt>
      <c:pivotFmt>
        <c:idx val="96"/>
        <c:spPr>
          <a:solidFill>
            <a:schemeClr val="accent1"/>
          </a:solidFill>
          <a:ln>
            <a:noFill/>
          </a:ln>
          <a:effectLst/>
        </c:spPr>
        <c:marker>
          <c:symbol val="none"/>
        </c:marker>
      </c:pivotFmt>
      <c:pivotFmt>
        <c:idx val="97"/>
        <c:spPr>
          <a:solidFill>
            <a:schemeClr val="accent1"/>
          </a:solidFill>
          <a:ln>
            <a:noFill/>
          </a:ln>
          <a:effectLst/>
        </c:spPr>
        <c:marker>
          <c:symbol val="none"/>
        </c:marker>
      </c:pivotFmt>
      <c:pivotFmt>
        <c:idx val="98"/>
        <c:spPr>
          <a:solidFill>
            <a:schemeClr val="accent1"/>
          </a:solidFill>
          <a:ln>
            <a:noFill/>
          </a:ln>
          <a:effectLst/>
        </c:spPr>
        <c:marker>
          <c:symbol val="none"/>
        </c:marker>
      </c:pivotFmt>
      <c:pivotFmt>
        <c:idx val="99"/>
        <c:spPr>
          <a:solidFill>
            <a:schemeClr val="accent1"/>
          </a:solidFill>
          <a:ln>
            <a:noFill/>
          </a:ln>
          <a:effectLst/>
        </c:spPr>
        <c:marker>
          <c:symbol val="none"/>
        </c:marker>
      </c:pivotFmt>
      <c:pivotFmt>
        <c:idx val="100"/>
        <c:spPr>
          <a:solidFill>
            <a:schemeClr val="accent1"/>
          </a:solidFill>
          <a:ln>
            <a:noFill/>
          </a:ln>
          <a:effectLst/>
        </c:spPr>
        <c:marker>
          <c:symbol val="none"/>
        </c:marker>
      </c:pivotFmt>
      <c:pivotFmt>
        <c:idx val="101"/>
        <c:spPr>
          <a:solidFill>
            <a:schemeClr val="accent1"/>
          </a:solidFill>
          <a:ln>
            <a:noFill/>
          </a:ln>
          <a:effectLst/>
        </c:spPr>
        <c:marker>
          <c:symbol val="none"/>
        </c:marker>
      </c:pivotFmt>
      <c:pivotFmt>
        <c:idx val="102"/>
        <c:spPr>
          <a:solidFill>
            <a:schemeClr val="accent1"/>
          </a:solidFill>
          <a:ln>
            <a:noFill/>
          </a:ln>
          <a:effectLst/>
        </c:spPr>
        <c:marker>
          <c:symbol val="none"/>
        </c:marker>
      </c:pivotFmt>
      <c:pivotFmt>
        <c:idx val="103"/>
        <c:spPr>
          <a:solidFill>
            <a:schemeClr val="accent1"/>
          </a:solidFill>
          <a:ln>
            <a:noFill/>
          </a:ln>
          <a:effectLst/>
        </c:spPr>
        <c:marker>
          <c:symbol val="none"/>
        </c:marker>
      </c:pivotFmt>
      <c:pivotFmt>
        <c:idx val="104"/>
        <c:spPr>
          <a:solidFill>
            <a:schemeClr val="accent1"/>
          </a:solidFill>
          <a:ln>
            <a:noFill/>
          </a:ln>
          <a:effectLst/>
        </c:spPr>
        <c:marker>
          <c:symbol val="none"/>
        </c:marker>
      </c:pivotFmt>
      <c:pivotFmt>
        <c:idx val="105"/>
        <c:spPr>
          <a:solidFill>
            <a:schemeClr val="accent1"/>
          </a:solidFill>
          <a:ln>
            <a:noFill/>
          </a:ln>
          <a:effectLst/>
        </c:spPr>
        <c:marker>
          <c:symbol val="none"/>
        </c:marker>
      </c:pivotFmt>
      <c:pivotFmt>
        <c:idx val="106"/>
        <c:spPr>
          <a:solidFill>
            <a:schemeClr val="accent1"/>
          </a:solidFill>
          <a:ln>
            <a:noFill/>
          </a:ln>
          <a:effectLst/>
        </c:spPr>
        <c:marker>
          <c:symbol val="none"/>
        </c:marker>
      </c:pivotFmt>
      <c:pivotFmt>
        <c:idx val="107"/>
        <c:spPr>
          <a:solidFill>
            <a:schemeClr val="accent1"/>
          </a:solidFill>
          <a:ln>
            <a:noFill/>
          </a:ln>
          <a:effectLst/>
        </c:spPr>
        <c:marker>
          <c:symbol val="none"/>
        </c:marker>
      </c:pivotFmt>
      <c:pivotFmt>
        <c:idx val="108"/>
        <c:spPr>
          <a:solidFill>
            <a:schemeClr val="accent1"/>
          </a:solidFill>
          <a:ln>
            <a:noFill/>
          </a:ln>
          <a:effectLst/>
        </c:spPr>
        <c:marker>
          <c:symbol val="none"/>
        </c:marker>
      </c:pivotFmt>
      <c:pivotFmt>
        <c:idx val="109"/>
        <c:spPr>
          <a:solidFill>
            <a:schemeClr val="accent1"/>
          </a:solidFill>
          <a:ln>
            <a:noFill/>
          </a:ln>
          <a:effectLst/>
        </c:spPr>
        <c:marker>
          <c:symbol val="none"/>
        </c:marker>
      </c:pivotFmt>
      <c:pivotFmt>
        <c:idx val="110"/>
        <c:spPr>
          <a:solidFill>
            <a:schemeClr val="accent1"/>
          </a:solidFill>
          <a:ln>
            <a:noFill/>
          </a:ln>
          <a:effectLst/>
        </c:spPr>
        <c:marker>
          <c:symbol val="none"/>
        </c:marker>
      </c:pivotFmt>
      <c:pivotFmt>
        <c:idx val="111"/>
        <c:spPr>
          <a:solidFill>
            <a:schemeClr val="accent1"/>
          </a:solidFill>
          <a:ln>
            <a:noFill/>
          </a:ln>
          <a:effectLst/>
        </c:spPr>
        <c:marker>
          <c:symbol val="none"/>
        </c:marker>
      </c:pivotFmt>
      <c:pivotFmt>
        <c:idx val="112"/>
        <c:spPr>
          <a:solidFill>
            <a:schemeClr val="accent1"/>
          </a:solidFill>
          <a:ln>
            <a:noFill/>
          </a:ln>
          <a:effectLst/>
        </c:spPr>
        <c:marker>
          <c:symbol val="none"/>
        </c:marker>
      </c:pivotFmt>
      <c:pivotFmt>
        <c:idx val="113"/>
        <c:spPr>
          <a:solidFill>
            <a:schemeClr val="accent1"/>
          </a:solidFill>
          <a:ln>
            <a:noFill/>
          </a:ln>
          <a:effectLst/>
        </c:spPr>
        <c:marker>
          <c:symbol val="none"/>
        </c:marker>
      </c:pivotFmt>
      <c:pivotFmt>
        <c:idx val="114"/>
        <c:spPr>
          <a:solidFill>
            <a:schemeClr val="accent1"/>
          </a:solidFill>
          <a:ln>
            <a:noFill/>
          </a:ln>
          <a:effectLst/>
        </c:spPr>
        <c:marker>
          <c:symbol val="none"/>
        </c:marker>
      </c:pivotFmt>
      <c:pivotFmt>
        <c:idx val="115"/>
        <c:spPr>
          <a:solidFill>
            <a:schemeClr val="accent1"/>
          </a:solidFill>
          <a:ln>
            <a:noFill/>
          </a:ln>
          <a:effectLst/>
        </c:spPr>
        <c:marker>
          <c:symbol val="none"/>
        </c:marker>
      </c:pivotFmt>
      <c:pivotFmt>
        <c:idx val="116"/>
        <c:spPr>
          <a:solidFill>
            <a:schemeClr val="accent1"/>
          </a:solidFill>
          <a:ln>
            <a:noFill/>
          </a:ln>
          <a:effectLst/>
        </c:spPr>
        <c:marker>
          <c:symbol val="none"/>
        </c:marker>
      </c:pivotFmt>
      <c:pivotFmt>
        <c:idx val="117"/>
        <c:spPr>
          <a:solidFill>
            <a:schemeClr val="accent1"/>
          </a:solidFill>
          <a:ln>
            <a:noFill/>
          </a:ln>
          <a:effectLst/>
        </c:spPr>
        <c:marker>
          <c:symbol val="none"/>
        </c:marker>
      </c:pivotFmt>
      <c:pivotFmt>
        <c:idx val="118"/>
        <c:spPr>
          <a:solidFill>
            <a:schemeClr val="accent1"/>
          </a:solidFill>
          <a:ln>
            <a:noFill/>
          </a:ln>
          <a:effectLst/>
        </c:spPr>
        <c:marker>
          <c:symbol val="none"/>
        </c:marker>
      </c:pivotFmt>
      <c:pivotFmt>
        <c:idx val="119"/>
        <c:spPr>
          <a:solidFill>
            <a:schemeClr val="accent1"/>
          </a:solidFill>
          <a:ln>
            <a:noFill/>
          </a:ln>
          <a:effectLst/>
        </c:spPr>
        <c:marker>
          <c:symbol val="none"/>
        </c:marker>
      </c:pivotFmt>
      <c:pivotFmt>
        <c:idx val="120"/>
        <c:spPr>
          <a:solidFill>
            <a:schemeClr val="accent1"/>
          </a:solidFill>
          <a:ln>
            <a:noFill/>
          </a:ln>
          <a:effectLst/>
        </c:spPr>
        <c:marker>
          <c:symbol val="none"/>
        </c:marker>
      </c:pivotFmt>
      <c:pivotFmt>
        <c:idx val="121"/>
        <c:spPr>
          <a:solidFill>
            <a:schemeClr val="accent1"/>
          </a:solidFill>
          <a:ln>
            <a:noFill/>
          </a:ln>
          <a:effectLst/>
        </c:spPr>
        <c:marker>
          <c:symbol val="none"/>
        </c:marker>
      </c:pivotFmt>
      <c:pivotFmt>
        <c:idx val="122"/>
        <c:spPr>
          <a:solidFill>
            <a:schemeClr val="accent1"/>
          </a:solidFill>
          <a:ln>
            <a:noFill/>
          </a:ln>
          <a:effectLst/>
        </c:spPr>
        <c:marker>
          <c:symbol val="none"/>
        </c:marker>
      </c:pivotFmt>
      <c:pivotFmt>
        <c:idx val="123"/>
        <c:spPr>
          <a:solidFill>
            <a:schemeClr val="accent1"/>
          </a:solidFill>
          <a:ln>
            <a:noFill/>
          </a:ln>
          <a:effectLst/>
        </c:spPr>
        <c:marker>
          <c:symbol val="none"/>
        </c:marker>
      </c:pivotFmt>
      <c:pivotFmt>
        <c:idx val="124"/>
        <c:spPr>
          <a:solidFill>
            <a:schemeClr val="accent1"/>
          </a:solidFill>
          <a:ln>
            <a:noFill/>
          </a:ln>
          <a:effectLst/>
        </c:spPr>
        <c:marker>
          <c:symbol val="none"/>
        </c:marker>
      </c:pivotFmt>
      <c:pivotFmt>
        <c:idx val="125"/>
        <c:spPr>
          <a:solidFill>
            <a:schemeClr val="accent1"/>
          </a:solidFill>
          <a:ln>
            <a:noFill/>
          </a:ln>
          <a:effectLst/>
        </c:spPr>
        <c:marker>
          <c:symbol val="none"/>
        </c:marker>
      </c:pivotFmt>
      <c:pivotFmt>
        <c:idx val="126"/>
        <c:spPr>
          <a:solidFill>
            <a:schemeClr val="accent1"/>
          </a:solidFill>
          <a:ln>
            <a:noFill/>
          </a:ln>
          <a:effectLst/>
        </c:spPr>
        <c:marker>
          <c:symbol val="none"/>
        </c:marker>
      </c:pivotFmt>
      <c:pivotFmt>
        <c:idx val="127"/>
        <c:spPr>
          <a:solidFill>
            <a:schemeClr val="accent1"/>
          </a:solidFill>
          <a:ln>
            <a:noFill/>
          </a:ln>
          <a:effectLst/>
        </c:spPr>
        <c:marker>
          <c:symbol val="none"/>
        </c:marker>
      </c:pivotFmt>
      <c:pivotFmt>
        <c:idx val="128"/>
        <c:spPr>
          <a:solidFill>
            <a:schemeClr val="accent1"/>
          </a:solidFill>
          <a:ln>
            <a:noFill/>
          </a:ln>
          <a:effectLst/>
        </c:spPr>
        <c:marker>
          <c:symbol val="none"/>
        </c:marker>
      </c:pivotFmt>
      <c:pivotFmt>
        <c:idx val="129"/>
        <c:spPr>
          <a:solidFill>
            <a:schemeClr val="accent1"/>
          </a:solidFill>
          <a:ln>
            <a:noFill/>
          </a:ln>
          <a:effectLst/>
        </c:spPr>
        <c:marker>
          <c:symbol val="none"/>
        </c:marker>
      </c:pivotFmt>
      <c:pivotFmt>
        <c:idx val="130"/>
        <c:spPr>
          <a:solidFill>
            <a:schemeClr val="accent1"/>
          </a:solidFill>
          <a:ln>
            <a:noFill/>
          </a:ln>
          <a:effectLst/>
        </c:spPr>
        <c:marker>
          <c:symbol val="none"/>
        </c:marker>
      </c:pivotFmt>
      <c:pivotFmt>
        <c:idx val="131"/>
        <c:spPr>
          <a:solidFill>
            <a:schemeClr val="accent1"/>
          </a:solidFill>
          <a:ln>
            <a:noFill/>
          </a:ln>
          <a:effectLst/>
        </c:spPr>
        <c:marker>
          <c:symbol val="none"/>
        </c:marker>
      </c:pivotFmt>
      <c:pivotFmt>
        <c:idx val="132"/>
        <c:spPr>
          <a:solidFill>
            <a:schemeClr val="accent1"/>
          </a:solidFill>
          <a:ln>
            <a:noFill/>
          </a:ln>
          <a:effectLst/>
        </c:spPr>
        <c:marker>
          <c:symbol val="none"/>
        </c:marker>
      </c:pivotFmt>
      <c:pivotFmt>
        <c:idx val="133"/>
        <c:spPr>
          <a:solidFill>
            <a:schemeClr val="accent1"/>
          </a:solidFill>
          <a:ln>
            <a:noFill/>
          </a:ln>
          <a:effectLst/>
        </c:spPr>
        <c:marker>
          <c:symbol val="none"/>
        </c:marker>
      </c:pivotFmt>
      <c:pivotFmt>
        <c:idx val="134"/>
        <c:spPr>
          <a:solidFill>
            <a:schemeClr val="accent1"/>
          </a:solidFill>
          <a:ln>
            <a:noFill/>
          </a:ln>
          <a:effectLst/>
        </c:spPr>
        <c:marker>
          <c:symbol val="none"/>
        </c:marker>
      </c:pivotFmt>
      <c:pivotFmt>
        <c:idx val="135"/>
        <c:spPr>
          <a:solidFill>
            <a:schemeClr val="accent1"/>
          </a:solidFill>
          <a:ln>
            <a:noFill/>
          </a:ln>
          <a:effectLst/>
        </c:spPr>
        <c:marker>
          <c:symbol val="none"/>
        </c:marker>
      </c:pivotFmt>
      <c:pivotFmt>
        <c:idx val="136"/>
        <c:spPr>
          <a:solidFill>
            <a:schemeClr val="accent1"/>
          </a:solidFill>
          <a:ln>
            <a:noFill/>
          </a:ln>
          <a:effectLst/>
        </c:spPr>
        <c:marker>
          <c:symbol val="none"/>
        </c:marker>
      </c:pivotFmt>
      <c:pivotFmt>
        <c:idx val="137"/>
        <c:spPr>
          <a:solidFill>
            <a:schemeClr val="accent1"/>
          </a:solidFill>
          <a:ln>
            <a:noFill/>
          </a:ln>
          <a:effectLst/>
        </c:spPr>
        <c:marker>
          <c:symbol val="none"/>
        </c:marker>
      </c:pivotFmt>
      <c:pivotFmt>
        <c:idx val="138"/>
        <c:spPr>
          <a:solidFill>
            <a:schemeClr val="accent1"/>
          </a:solidFill>
          <a:ln>
            <a:noFill/>
          </a:ln>
          <a:effectLst/>
        </c:spPr>
        <c:marker>
          <c:symbol val="none"/>
        </c:marker>
      </c:pivotFmt>
      <c:pivotFmt>
        <c:idx val="139"/>
        <c:spPr>
          <a:solidFill>
            <a:schemeClr val="accent1"/>
          </a:solidFill>
          <a:ln>
            <a:noFill/>
          </a:ln>
          <a:effectLst/>
        </c:spPr>
        <c:marker>
          <c:symbol val="none"/>
        </c:marker>
      </c:pivotFmt>
      <c:pivotFmt>
        <c:idx val="140"/>
        <c:spPr>
          <a:solidFill>
            <a:schemeClr val="accent1"/>
          </a:solidFill>
          <a:ln>
            <a:noFill/>
          </a:ln>
          <a:effectLst/>
        </c:spPr>
        <c:marker>
          <c:symbol val="none"/>
        </c:marker>
      </c:pivotFmt>
      <c:pivotFmt>
        <c:idx val="141"/>
        <c:spPr>
          <a:solidFill>
            <a:schemeClr val="accent1"/>
          </a:solidFill>
          <a:ln>
            <a:noFill/>
          </a:ln>
          <a:effectLst/>
        </c:spPr>
        <c:marker>
          <c:symbol val="none"/>
        </c:marker>
      </c:pivotFmt>
      <c:pivotFmt>
        <c:idx val="142"/>
        <c:spPr>
          <a:solidFill>
            <a:schemeClr val="accent1"/>
          </a:solidFill>
          <a:ln>
            <a:noFill/>
          </a:ln>
          <a:effectLst/>
        </c:spPr>
        <c:marker>
          <c:symbol val="none"/>
        </c:marker>
      </c:pivotFmt>
      <c:pivotFmt>
        <c:idx val="143"/>
        <c:spPr>
          <a:solidFill>
            <a:schemeClr val="accent1"/>
          </a:solidFill>
          <a:ln>
            <a:noFill/>
          </a:ln>
          <a:effectLst/>
        </c:spPr>
        <c:marker>
          <c:symbol val="none"/>
        </c:marker>
      </c:pivotFmt>
      <c:pivotFmt>
        <c:idx val="144"/>
        <c:spPr>
          <a:solidFill>
            <a:schemeClr val="accent1"/>
          </a:solidFill>
          <a:ln>
            <a:noFill/>
          </a:ln>
          <a:effectLst/>
        </c:spPr>
        <c:marker>
          <c:symbol val="none"/>
        </c:marker>
      </c:pivotFmt>
      <c:pivotFmt>
        <c:idx val="145"/>
        <c:spPr>
          <a:solidFill>
            <a:schemeClr val="accent1"/>
          </a:solidFill>
          <a:ln>
            <a:noFill/>
          </a:ln>
          <a:effectLst/>
        </c:spPr>
        <c:marker>
          <c:symbol val="none"/>
        </c:marker>
      </c:pivotFmt>
      <c:pivotFmt>
        <c:idx val="146"/>
        <c:spPr>
          <a:solidFill>
            <a:schemeClr val="accent1"/>
          </a:solidFill>
          <a:ln>
            <a:noFill/>
          </a:ln>
          <a:effectLst/>
        </c:spPr>
        <c:marker>
          <c:symbol val="none"/>
        </c:marker>
      </c:pivotFmt>
      <c:pivotFmt>
        <c:idx val="147"/>
        <c:spPr>
          <a:solidFill>
            <a:schemeClr val="accent1"/>
          </a:solidFill>
          <a:ln>
            <a:noFill/>
          </a:ln>
          <a:effectLst/>
        </c:spPr>
        <c:marker>
          <c:symbol val="none"/>
        </c:marker>
      </c:pivotFmt>
      <c:pivotFmt>
        <c:idx val="148"/>
        <c:spPr>
          <a:solidFill>
            <a:schemeClr val="accent1"/>
          </a:solidFill>
          <a:ln>
            <a:noFill/>
          </a:ln>
          <a:effectLst/>
        </c:spPr>
        <c:marker>
          <c:symbol val="none"/>
        </c:marker>
      </c:pivotFmt>
      <c:pivotFmt>
        <c:idx val="149"/>
        <c:spPr>
          <a:solidFill>
            <a:schemeClr val="accent1"/>
          </a:solidFill>
          <a:ln>
            <a:noFill/>
          </a:ln>
          <a:effectLst/>
        </c:spPr>
        <c:marker>
          <c:symbol val="none"/>
        </c:marker>
      </c:pivotFmt>
      <c:pivotFmt>
        <c:idx val="150"/>
        <c:spPr>
          <a:solidFill>
            <a:schemeClr val="accent1"/>
          </a:solidFill>
          <a:ln>
            <a:noFill/>
          </a:ln>
          <a:effectLst/>
        </c:spPr>
        <c:marker>
          <c:symbol val="none"/>
        </c:marker>
      </c:pivotFmt>
      <c:pivotFmt>
        <c:idx val="151"/>
        <c:spPr>
          <a:solidFill>
            <a:schemeClr val="accent1"/>
          </a:solidFill>
          <a:ln>
            <a:noFill/>
          </a:ln>
          <a:effectLst/>
        </c:spPr>
        <c:marker>
          <c:symbol val="none"/>
        </c:marker>
      </c:pivotFmt>
      <c:pivotFmt>
        <c:idx val="152"/>
        <c:spPr>
          <a:solidFill>
            <a:schemeClr val="accent1"/>
          </a:solidFill>
          <a:ln>
            <a:noFill/>
          </a:ln>
          <a:effectLst/>
        </c:spPr>
        <c:marker>
          <c:symbol val="none"/>
        </c:marker>
      </c:pivotFmt>
      <c:pivotFmt>
        <c:idx val="153"/>
        <c:spPr>
          <a:solidFill>
            <a:schemeClr val="accent1"/>
          </a:solidFill>
          <a:ln>
            <a:noFill/>
          </a:ln>
          <a:effectLst/>
        </c:spPr>
        <c:marker>
          <c:symbol val="none"/>
        </c:marker>
      </c:pivotFmt>
      <c:pivotFmt>
        <c:idx val="154"/>
        <c:spPr>
          <a:solidFill>
            <a:schemeClr val="accent1"/>
          </a:solidFill>
          <a:ln>
            <a:noFill/>
          </a:ln>
          <a:effectLst/>
        </c:spPr>
        <c:marker>
          <c:symbol val="none"/>
        </c:marker>
      </c:pivotFmt>
      <c:pivotFmt>
        <c:idx val="155"/>
        <c:spPr>
          <a:solidFill>
            <a:schemeClr val="accent1"/>
          </a:solidFill>
          <a:ln>
            <a:noFill/>
          </a:ln>
          <a:effectLst/>
        </c:spPr>
        <c:marker>
          <c:symbol val="none"/>
        </c:marker>
      </c:pivotFmt>
      <c:pivotFmt>
        <c:idx val="156"/>
        <c:spPr>
          <a:solidFill>
            <a:schemeClr val="accent1"/>
          </a:solidFill>
          <a:ln>
            <a:noFill/>
          </a:ln>
          <a:effectLst/>
        </c:spPr>
        <c:marker>
          <c:symbol val="none"/>
        </c:marker>
      </c:pivotFmt>
      <c:pivotFmt>
        <c:idx val="157"/>
        <c:spPr>
          <a:solidFill>
            <a:schemeClr val="accent1"/>
          </a:solidFill>
          <a:ln>
            <a:noFill/>
          </a:ln>
          <a:effectLst/>
        </c:spPr>
        <c:marker>
          <c:symbol val="none"/>
        </c:marker>
      </c:pivotFmt>
    </c:pivotFmts>
    <c:plotArea>
      <c:layout/>
      <c:barChart>
        <c:barDir val="col"/>
        <c:grouping val="stacked"/>
        <c:varyColors val="0"/>
        <c:ser>
          <c:idx val="0"/>
          <c:order val="0"/>
          <c:tx>
            <c:strRef>
              <c:f>'Fuel CON - Annual'!$C$4:$C$5</c:f>
              <c:strCache>
                <c:ptCount val="1"/>
                <c:pt idx="0">
                  <c:v>SUN</c:v>
                </c:pt>
              </c:strCache>
            </c:strRef>
          </c:tx>
          <c:spPr>
            <a:solidFill>
              <a:schemeClr val="accent1"/>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Annual'!$C$6:$C$17</c:f>
              <c:numCache>
                <c:formatCode>General</c:formatCode>
                <c:ptCount val="11"/>
                <c:pt idx="0">
                  <c:v>0.86137220129927305</c:v>
                </c:pt>
                <c:pt idx="1">
                  <c:v>45.458540943829099</c:v>
                </c:pt>
                <c:pt idx="4">
                  <c:v>0.83486304</c:v>
                </c:pt>
                <c:pt idx="5">
                  <c:v>5.7649489919999999</c:v>
                </c:pt>
                <c:pt idx="8">
                  <c:v>8.7830410424068805E-2</c:v>
                </c:pt>
                <c:pt idx="9">
                  <c:v>1.09788013030086E-3</c:v>
                </c:pt>
              </c:numCache>
            </c:numRef>
          </c:val>
          <c:extLst>
            <c:ext xmlns:c16="http://schemas.microsoft.com/office/drawing/2014/chart" uri="{C3380CC4-5D6E-409C-BE32-E72D297353CC}">
              <c16:uniqueId val="{00000000-9575-4B09-8D6E-5D253FEFC951}"/>
            </c:ext>
          </c:extLst>
        </c:ser>
        <c:ser>
          <c:idx val="1"/>
          <c:order val="1"/>
          <c:tx>
            <c:strRef>
              <c:f>'Fuel CON - Annual'!$D$4:$D$5</c:f>
              <c:strCache>
                <c:ptCount val="1"/>
                <c:pt idx="0">
                  <c:v>ELECTRIC</c:v>
                </c:pt>
              </c:strCache>
            </c:strRef>
          </c:tx>
          <c:spPr>
            <a:solidFill>
              <a:schemeClr val="accent2"/>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Annual'!$D$6:$D$17</c:f>
              <c:numCache>
                <c:formatCode>General</c:formatCode>
                <c:ptCount val="11"/>
                <c:pt idx="1">
                  <c:v>21.451388862785848</c:v>
                </c:pt>
              </c:numCache>
            </c:numRef>
          </c:val>
          <c:extLst>
            <c:ext xmlns:c16="http://schemas.microsoft.com/office/drawing/2014/chart" uri="{C3380CC4-5D6E-409C-BE32-E72D297353CC}">
              <c16:uniqueId val="{00000001-9575-4B09-8D6E-5D253FEFC951}"/>
            </c:ext>
          </c:extLst>
        </c:ser>
        <c:ser>
          <c:idx val="2"/>
          <c:order val="2"/>
          <c:tx>
            <c:strRef>
              <c:f>'Fuel CON - Annual'!$E$4:$E$5</c:f>
              <c:strCache>
                <c:ptCount val="1"/>
                <c:pt idx="0">
                  <c:v>WIND</c:v>
                </c:pt>
              </c:strCache>
            </c:strRef>
          </c:tx>
          <c:spPr>
            <a:solidFill>
              <a:schemeClr val="accent3"/>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Annual'!$E$6:$E$17</c:f>
              <c:numCache>
                <c:formatCode>General</c:formatCode>
                <c:ptCount val="11"/>
                <c:pt idx="0">
                  <c:v>17.9143997560003</c:v>
                </c:pt>
                <c:pt idx="1">
                  <c:v>115.62945736</c:v>
                </c:pt>
                <c:pt idx="2">
                  <c:v>3.3228556000000005</c:v>
                </c:pt>
                <c:pt idx="3">
                  <c:v>14.657852</c:v>
                </c:pt>
                <c:pt idx="4">
                  <c:v>7.7591800000000006</c:v>
                </c:pt>
                <c:pt idx="5">
                  <c:v>40.909140000000001</c:v>
                </c:pt>
                <c:pt idx="6">
                  <c:v>0.78061100000000005</c:v>
                </c:pt>
                <c:pt idx="7">
                  <c:v>0.11622</c:v>
                </c:pt>
                <c:pt idx="8">
                  <c:v>0.98593299999999995</c:v>
                </c:pt>
                <c:pt idx="9">
                  <c:v>6.9265800000000004</c:v>
                </c:pt>
                <c:pt idx="10">
                  <c:v>2.967977935</c:v>
                </c:pt>
              </c:numCache>
            </c:numRef>
          </c:val>
          <c:extLst>
            <c:ext xmlns:c16="http://schemas.microsoft.com/office/drawing/2014/chart" uri="{C3380CC4-5D6E-409C-BE32-E72D297353CC}">
              <c16:uniqueId val="{00000002-9575-4B09-8D6E-5D253FEFC951}"/>
            </c:ext>
          </c:extLst>
        </c:ser>
        <c:ser>
          <c:idx val="3"/>
          <c:order val="3"/>
          <c:tx>
            <c:strRef>
              <c:f>'Fuel CON - Annual'!$F$4:$F$5</c:f>
              <c:strCache>
                <c:ptCount val="1"/>
                <c:pt idx="0">
                  <c:v>NATGAS</c:v>
                </c:pt>
              </c:strCache>
            </c:strRef>
          </c:tx>
          <c:spPr>
            <a:solidFill>
              <a:schemeClr val="accent4"/>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Annual'!$F$6:$F$17</c:f>
              <c:numCache>
                <c:formatCode>General</c:formatCode>
                <c:ptCount val="11"/>
                <c:pt idx="0">
                  <c:v>39.646295702820062</c:v>
                </c:pt>
                <c:pt idx="1">
                  <c:v>526.18289327037155</c:v>
                </c:pt>
                <c:pt idx="3">
                  <c:v>15.285105291727195</c:v>
                </c:pt>
                <c:pt idx="4">
                  <c:v>449.121961332973</c:v>
                </c:pt>
                <c:pt idx="5">
                  <c:v>422.69010737096914</c:v>
                </c:pt>
                <c:pt idx="6">
                  <c:v>3.2140223855403312</c:v>
                </c:pt>
                <c:pt idx="7">
                  <c:v>19.295384809569082</c:v>
                </c:pt>
                <c:pt idx="8">
                  <c:v>34.64493445567296</c:v>
                </c:pt>
                <c:pt idx="9">
                  <c:v>15.437066666666668</c:v>
                </c:pt>
                <c:pt idx="10">
                  <c:v>53.355562543548537</c:v>
                </c:pt>
              </c:numCache>
            </c:numRef>
          </c:val>
          <c:extLst>
            <c:ext xmlns:c16="http://schemas.microsoft.com/office/drawing/2014/chart" uri="{C3380CC4-5D6E-409C-BE32-E72D297353CC}">
              <c16:uniqueId val="{00000003-9575-4B09-8D6E-5D253FEFC951}"/>
            </c:ext>
          </c:extLst>
        </c:ser>
        <c:ser>
          <c:idx val="4"/>
          <c:order val="4"/>
          <c:tx>
            <c:strRef>
              <c:f>'Fuel CON - Annual'!$G$4:$G$5</c:f>
              <c:strCache>
                <c:ptCount val="1"/>
                <c:pt idx="0">
                  <c:v>MUNIWASTE</c:v>
                </c:pt>
              </c:strCache>
            </c:strRef>
          </c:tx>
          <c:spPr>
            <a:solidFill>
              <a:schemeClr val="accent5"/>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Annual'!$G$6:$G$17</c:f>
              <c:numCache>
                <c:formatCode>General</c:formatCode>
                <c:ptCount val="11"/>
                <c:pt idx="0">
                  <c:v>10.822201486823705</c:v>
                </c:pt>
                <c:pt idx="1">
                  <c:v>23.524136105008253</c:v>
                </c:pt>
                <c:pt idx="2">
                  <c:v>2.9683603511832866</c:v>
                </c:pt>
                <c:pt idx="3">
                  <c:v>20.615814421569926</c:v>
                </c:pt>
                <c:pt idx="4">
                  <c:v>14.9796</c:v>
                </c:pt>
                <c:pt idx="5">
                  <c:v>17.651399999999999</c:v>
                </c:pt>
                <c:pt idx="6">
                  <c:v>0.49640000000000001</c:v>
                </c:pt>
                <c:pt idx="8">
                  <c:v>3.5734832294230698</c:v>
                </c:pt>
                <c:pt idx="9">
                  <c:v>1.9856</c:v>
                </c:pt>
              </c:numCache>
            </c:numRef>
          </c:val>
          <c:extLst>
            <c:ext xmlns:c16="http://schemas.microsoft.com/office/drawing/2014/chart" uri="{C3380CC4-5D6E-409C-BE32-E72D297353CC}">
              <c16:uniqueId val="{00000004-9575-4B09-8D6E-5D253FEFC951}"/>
            </c:ext>
          </c:extLst>
        </c:ser>
        <c:ser>
          <c:idx val="5"/>
          <c:order val="5"/>
          <c:tx>
            <c:strRef>
              <c:f>'Fuel CON - Annual'!$H$4:$H$5</c:f>
              <c:strCache>
                <c:ptCount val="1"/>
                <c:pt idx="0">
                  <c:v>WOODWASTE</c:v>
                </c:pt>
              </c:strCache>
            </c:strRef>
          </c:tx>
          <c:spPr>
            <a:solidFill>
              <a:schemeClr val="accent6"/>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Annual'!$H$6:$H$17</c:f>
              <c:numCache>
                <c:formatCode>General</c:formatCode>
                <c:ptCount val="11"/>
                <c:pt idx="0">
                  <c:v>0.15270792880400352</c:v>
                </c:pt>
                <c:pt idx="2">
                  <c:v>0.65980407397455099</c:v>
                </c:pt>
                <c:pt idx="3">
                  <c:v>36.934132427406055</c:v>
                </c:pt>
                <c:pt idx="6">
                  <c:v>1.279638530287984</c:v>
                </c:pt>
                <c:pt idx="8">
                  <c:v>0.35962105263157901</c:v>
                </c:pt>
                <c:pt idx="10">
                  <c:v>8.8821075004951453</c:v>
                </c:pt>
              </c:numCache>
            </c:numRef>
          </c:val>
          <c:extLst>
            <c:ext xmlns:c16="http://schemas.microsoft.com/office/drawing/2014/chart" uri="{C3380CC4-5D6E-409C-BE32-E72D297353CC}">
              <c16:uniqueId val="{00000005-9575-4B09-8D6E-5D253FEFC951}"/>
            </c:ext>
          </c:extLst>
        </c:ser>
        <c:ser>
          <c:idx val="6"/>
          <c:order val="6"/>
          <c:tx>
            <c:strRef>
              <c:f>'Fuel CON - Annual'!$I$4:$I$5</c:f>
              <c:strCache>
                <c:ptCount val="1"/>
                <c:pt idx="0">
                  <c:v>WASTEHEAT</c:v>
                </c:pt>
              </c:strCache>
            </c:strRef>
          </c:tx>
          <c:spPr>
            <a:solidFill>
              <a:schemeClr val="accent1">
                <a:lumMod val="6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Annual'!$I$6:$I$17</c:f>
              <c:numCache>
                <c:formatCode>General</c:formatCode>
                <c:ptCount val="11"/>
                <c:pt idx="0">
                  <c:v>2.3880493800130265</c:v>
                </c:pt>
                <c:pt idx="1">
                  <c:v>0.39402480000000001</c:v>
                </c:pt>
                <c:pt idx="2">
                  <c:v>0.18840353579019692</c:v>
                </c:pt>
                <c:pt idx="3">
                  <c:v>3.4956169897093963</c:v>
                </c:pt>
                <c:pt idx="10">
                  <c:v>1.9283832417582336</c:v>
                </c:pt>
              </c:numCache>
            </c:numRef>
          </c:val>
          <c:extLst>
            <c:ext xmlns:c16="http://schemas.microsoft.com/office/drawing/2014/chart" uri="{C3380CC4-5D6E-409C-BE32-E72D297353CC}">
              <c16:uniqueId val="{00000006-9575-4B09-8D6E-5D253FEFC951}"/>
            </c:ext>
          </c:extLst>
        </c:ser>
        <c:ser>
          <c:idx val="7"/>
          <c:order val="7"/>
          <c:tx>
            <c:strRef>
              <c:f>'Fuel CON - Annual'!$J$4:$J$5</c:f>
              <c:strCache>
                <c:ptCount val="1"/>
                <c:pt idx="0">
                  <c:v>WATER</c:v>
                </c:pt>
              </c:strCache>
            </c:strRef>
          </c:tx>
          <c:spPr>
            <a:solidFill>
              <a:schemeClr val="accent2">
                <a:lumMod val="6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Annual'!$J$6:$J$17</c:f>
              <c:numCache>
                <c:formatCode>General</c:formatCode>
                <c:ptCount val="11"/>
                <c:pt idx="0">
                  <c:v>3.3522130756080723E-2</c:v>
                </c:pt>
                <c:pt idx="1">
                  <c:v>43.223641610514896</c:v>
                </c:pt>
                <c:pt idx="2">
                  <c:v>137.49465082913997</c:v>
                </c:pt>
                <c:pt idx="3">
                  <c:v>68.097598734566006</c:v>
                </c:pt>
                <c:pt idx="4">
                  <c:v>0.15959999999999999</c:v>
                </c:pt>
                <c:pt idx="5">
                  <c:v>5.2952295997267704</c:v>
                </c:pt>
                <c:pt idx="6">
                  <c:v>0.03</c:v>
                </c:pt>
                <c:pt idx="7">
                  <c:v>4.0200000000000001E-4</c:v>
                </c:pt>
                <c:pt idx="8">
                  <c:v>0.66023999999999994</c:v>
                </c:pt>
                <c:pt idx="9">
                  <c:v>2.3264419944008958</c:v>
                </c:pt>
                <c:pt idx="10">
                  <c:v>17.166220842502941</c:v>
                </c:pt>
              </c:numCache>
            </c:numRef>
          </c:val>
          <c:extLst>
            <c:ext xmlns:c16="http://schemas.microsoft.com/office/drawing/2014/chart" uri="{C3380CC4-5D6E-409C-BE32-E72D297353CC}">
              <c16:uniqueId val="{00000007-9575-4B09-8D6E-5D253FEFC951}"/>
            </c:ext>
          </c:extLst>
        </c:ser>
        <c:ser>
          <c:idx val="8"/>
          <c:order val="8"/>
          <c:tx>
            <c:strRef>
              <c:f>'Fuel CON - Annual'!$K$4:$K$5</c:f>
              <c:strCache>
                <c:ptCount val="1"/>
                <c:pt idx="0">
                  <c:v>NUCLEAR</c:v>
                </c:pt>
              </c:strCache>
            </c:strRef>
          </c:tx>
          <c:spPr>
            <a:solidFill>
              <a:schemeClr val="accent3">
                <a:lumMod val="6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Annual'!$K$6:$K$17</c:f>
              <c:numCache>
                <c:formatCode>General</c:formatCode>
                <c:ptCount val="11"/>
                <c:pt idx="1">
                  <c:v>286.69090909090932</c:v>
                </c:pt>
                <c:pt idx="3">
                  <c:v>182.06996649289101</c:v>
                </c:pt>
                <c:pt idx="4">
                  <c:v>13.670909090909101</c:v>
                </c:pt>
                <c:pt idx="5">
                  <c:v>249.553818181818</c:v>
                </c:pt>
                <c:pt idx="10">
                  <c:v>72.575688959999994</c:v>
                </c:pt>
              </c:numCache>
            </c:numRef>
          </c:val>
          <c:extLst>
            <c:ext xmlns:c16="http://schemas.microsoft.com/office/drawing/2014/chart" uri="{C3380CC4-5D6E-409C-BE32-E72D297353CC}">
              <c16:uniqueId val="{00000008-9575-4B09-8D6E-5D253FEFC951}"/>
            </c:ext>
          </c:extLst>
        </c:ser>
        <c:ser>
          <c:idx val="9"/>
          <c:order val="9"/>
          <c:tx>
            <c:strRef>
              <c:f>'Fuel CON - Annual'!$L$4:$L$5</c:f>
              <c:strCache>
                <c:ptCount val="1"/>
                <c:pt idx="0">
                  <c:v>WOOD</c:v>
                </c:pt>
              </c:strCache>
            </c:strRef>
          </c:tx>
          <c:spPr>
            <a:solidFill>
              <a:schemeClr val="accent4">
                <a:lumMod val="6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Annual'!$L$6:$L$17</c:f>
              <c:numCache>
                <c:formatCode>General</c:formatCode>
                <c:ptCount val="11"/>
                <c:pt idx="3">
                  <c:v>27.04555300460494</c:v>
                </c:pt>
                <c:pt idx="4">
                  <c:v>7.008</c:v>
                </c:pt>
                <c:pt idx="6">
                  <c:v>3.1068557778037915</c:v>
                </c:pt>
                <c:pt idx="7">
                  <c:v>1.5561882352941201</c:v>
                </c:pt>
                <c:pt idx="8">
                  <c:v>0.20629533468559799</c:v>
                </c:pt>
                <c:pt idx="9">
                  <c:v>22.970666666666698</c:v>
                </c:pt>
                <c:pt idx="10">
                  <c:v>58.818332037467158</c:v>
                </c:pt>
              </c:numCache>
            </c:numRef>
          </c:val>
          <c:extLst>
            <c:ext xmlns:c16="http://schemas.microsoft.com/office/drawing/2014/chart" uri="{C3380CC4-5D6E-409C-BE32-E72D297353CC}">
              <c16:uniqueId val="{00000009-9575-4B09-8D6E-5D253FEFC951}"/>
            </c:ext>
          </c:extLst>
        </c:ser>
        <c:ser>
          <c:idx val="10"/>
          <c:order val="10"/>
          <c:tx>
            <c:strRef>
              <c:f>'Fuel CON - Annual'!$M$4:$M$5</c:f>
              <c:strCache>
                <c:ptCount val="1"/>
                <c:pt idx="0">
                  <c:v>STRAW</c:v>
                </c:pt>
              </c:strCache>
            </c:strRef>
          </c:tx>
          <c:spPr>
            <a:solidFill>
              <a:schemeClr val="accent5">
                <a:lumMod val="6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Annual'!$M$6:$M$17</c:f>
              <c:numCache>
                <c:formatCode>General</c:formatCode>
                <c:ptCount val="11"/>
                <c:pt idx="0">
                  <c:v>2.9432686551286871</c:v>
                </c:pt>
                <c:pt idx="3">
                  <c:v>2.5764705882352901E-2</c:v>
                </c:pt>
                <c:pt idx="9">
                  <c:v>42.773200235519695</c:v>
                </c:pt>
              </c:numCache>
            </c:numRef>
          </c:val>
          <c:extLst>
            <c:ext xmlns:c16="http://schemas.microsoft.com/office/drawing/2014/chart" uri="{C3380CC4-5D6E-409C-BE32-E72D297353CC}">
              <c16:uniqueId val="{0000000A-9575-4B09-8D6E-5D253FEFC951}"/>
            </c:ext>
          </c:extLst>
        </c:ser>
        <c:ser>
          <c:idx val="11"/>
          <c:order val="11"/>
          <c:tx>
            <c:strRef>
              <c:f>'Fuel CON - Annual'!$N$4:$N$5</c:f>
              <c:strCache>
                <c:ptCount val="1"/>
                <c:pt idx="0">
                  <c:v>WOODCHIPS</c:v>
                </c:pt>
              </c:strCache>
            </c:strRef>
          </c:tx>
          <c:spPr>
            <a:solidFill>
              <a:schemeClr val="accent6">
                <a:lumMod val="6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Annual'!$N$6:$N$17</c:f>
              <c:numCache>
                <c:formatCode>General</c:formatCode>
                <c:ptCount val="11"/>
                <c:pt idx="0">
                  <c:v>2.6342768284892641</c:v>
                </c:pt>
                <c:pt idx="3">
                  <c:v>1.4640667383075967</c:v>
                </c:pt>
                <c:pt idx="10">
                  <c:v>14.282685500824192</c:v>
                </c:pt>
              </c:numCache>
            </c:numRef>
          </c:val>
          <c:extLst>
            <c:ext xmlns:c16="http://schemas.microsoft.com/office/drawing/2014/chart" uri="{C3380CC4-5D6E-409C-BE32-E72D297353CC}">
              <c16:uniqueId val="{00000000-81FF-4F1F-B265-5E7B5905AE22}"/>
            </c:ext>
          </c:extLst>
        </c:ser>
        <c:ser>
          <c:idx val="12"/>
          <c:order val="12"/>
          <c:tx>
            <c:strRef>
              <c:f>'Fuel CON - Annual'!$O$4:$O$5</c:f>
              <c:strCache>
                <c:ptCount val="1"/>
                <c:pt idx="0">
                  <c:v>HEAT</c:v>
                </c:pt>
              </c:strCache>
            </c:strRef>
          </c:tx>
          <c:spPr>
            <a:solidFill>
              <a:schemeClr val="accent1">
                <a:lumMod val="80000"/>
                <a:lumOff val="2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Annual'!$O$6:$O$17</c:f>
              <c:numCache>
                <c:formatCode>General</c:formatCode>
                <c:ptCount val="11"/>
                <c:pt idx="8">
                  <c:v>0.747176470588235</c:v>
                </c:pt>
              </c:numCache>
            </c:numRef>
          </c:val>
          <c:extLst>
            <c:ext xmlns:c16="http://schemas.microsoft.com/office/drawing/2014/chart" uri="{C3380CC4-5D6E-409C-BE32-E72D297353CC}">
              <c16:uniqueId val="{00000001-81FF-4F1F-B265-5E7B5905AE22}"/>
            </c:ext>
          </c:extLst>
        </c:ser>
        <c:ser>
          <c:idx val="13"/>
          <c:order val="13"/>
          <c:tx>
            <c:strRef>
              <c:f>'Fuel CON - Annual'!$P$4:$P$5</c:f>
              <c:strCache>
                <c:ptCount val="1"/>
                <c:pt idx="0">
                  <c:v>LPG</c:v>
                </c:pt>
              </c:strCache>
            </c:strRef>
          </c:tx>
          <c:spPr>
            <a:solidFill>
              <a:schemeClr val="accent2">
                <a:lumMod val="80000"/>
                <a:lumOff val="2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Annual'!$P$6:$P$17</c:f>
              <c:numCache>
                <c:formatCode>General</c:formatCode>
                <c:ptCount val="11"/>
                <c:pt idx="2">
                  <c:v>2.0095087041475241</c:v>
                </c:pt>
              </c:numCache>
            </c:numRef>
          </c:val>
          <c:extLst>
            <c:ext xmlns:c16="http://schemas.microsoft.com/office/drawing/2014/chart" uri="{C3380CC4-5D6E-409C-BE32-E72D297353CC}">
              <c16:uniqueId val="{00000006-3A7A-42A9-8EE0-2B9BE1BFD318}"/>
            </c:ext>
          </c:extLst>
        </c:ser>
        <c:ser>
          <c:idx val="14"/>
          <c:order val="14"/>
          <c:tx>
            <c:strRef>
              <c:f>'Fuel CON - Annual'!$Q$4:$Q$5</c:f>
              <c:strCache>
                <c:ptCount val="1"/>
                <c:pt idx="0">
                  <c:v>RECYCLEDWOOD</c:v>
                </c:pt>
              </c:strCache>
            </c:strRef>
          </c:tx>
          <c:spPr>
            <a:solidFill>
              <a:schemeClr val="accent3">
                <a:lumMod val="80000"/>
                <a:lumOff val="2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Annual'!$Q$6:$Q$17</c:f>
              <c:numCache>
                <c:formatCode>General</c:formatCode>
                <c:ptCount val="11"/>
                <c:pt idx="3">
                  <c:v>5.0144102898482723</c:v>
                </c:pt>
              </c:numCache>
            </c:numRef>
          </c:val>
          <c:extLst>
            <c:ext xmlns:c16="http://schemas.microsoft.com/office/drawing/2014/chart" uri="{C3380CC4-5D6E-409C-BE32-E72D297353CC}">
              <c16:uniqueId val="{00000007-3A7A-42A9-8EE0-2B9BE1BFD318}"/>
            </c:ext>
          </c:extLst>
        </c:ser>
        <c:ser>
          <c:idx val="15"/>
          <c:order val="15"/>
          <c:tx>
            <c:strRef>
              <c:f>'Fuel CON - Annual'!$R$4:$R$5</c:f>
              <c:strCache>
                <c:ptCount val="1"/>
                <c:pt idx="0">
                  <c:v>RETORTGAS</c:v>
                </c:pt>
              </c:strCache>
            </c:strRef>
          </c:tx>
          <c:spPr>
            <a:solidFill>
              <a:schemeClr val="accent4">
                <a:lumMod val="80000"/>
                <a:lumOff val="2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Annual'!$R$6:$R$17</c:f>
              <c:numCache>
                <c:formatCode>General</c:formatCode>
                <c:ptCount val="11"/>
                <c:pt idx="6">
                  <c:v>2.3400691169072818</c:v>
                </c:pt>
              </c:numCache>
            </c:numRef>
          </c:val>
          <c:extLst>
            <c:ext xmlns:c16="http://schemas.microsoft.com/office/drawing/2014/chart" uri="{C3380CC4-5D6E-409C-BE32-E72D297353CC}">
              <c16:uniqueId val="{00000008-3A7A-42A9-8EE0-2B9BE1BFD318}"/>
            </c:ext>
          </c:extLst>
        </c:ser>
        <c:ser>
          <c:idx val="16"/>
          <c:order val="16"/>
          <c:tx>
            <c:strRef>
              <c:f>'Fuel CON - Annual'!$S$4:$S$5</c:f>
              <c:strCache>
                <c:ptCount val="1"/>
                <c:pt idx="0">
                  <c:v>NATGAS_EXETS</c:v>
                </c:pt>
              </c:strCache>
            </c:strRef>
          </c:tx>
          <c:spPr>
            <a:solidFill>
              <a:schemeClr val="accent5">
                <a:lumMod val="80000"/>
                <a:lumOff val="2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Annual'!$S$6:$S$17</c:f>
              <c:numCache>
                <c:formatCode>General</c:formatCode>
                <c:ptCount val="11"/>
                <c:pt idx="10">
                  <c:v>1.4205189913921332</c:v>
                </c:pt>
              </c:numCache>
            </c:numRef>
          </c:val>
          <c:extLst>
            <c:ext xmlns:c16="http://schemas.microsoft.com/office/drawing/2014/chart" uri="{C3380CC4-5D6E-409C-BE32-E72D297353CC}">
              <c16:uniqueId val="{00000009-3A7A-42A9-8EE0-2B9BE1BFD318}"/>
            </c:ext>
          </c:extLst>
        </c:ser>
        <c:ser>
          <c:idx val="17"/>
          <c:order val="17"/>
          <c:tx>
            <c:strRef>
              <c:f>'Fuel CON - Annual'!$T$4:$T$5</c:f>
              <c:strCache>
                <c:ptCount val="1"/>
                <c:pt idx="0">
                  <c:v>BIOGAS</c:v>
                </c:pt>
              </c:strCache>
            </c:strRef>
          </c:tx>
          <c:spPr>
            <a:solidFill>
              <a:schemeClr val="accent6">
                <a:lumMod val="80000"/>
                <a:lumOff val="2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Annual'!$T$6:$T$17</c:f>
              <c:numCache>
                <c:formatCode>General</c:formatCode>
                <c:ptCount val="11"/>
                <c:pt idx="0">
                  <c:v>8.9958248760385925E-2</c:v>
                </c:pt>
                <c:pt idx="1">
                  <c:v>41.613991881338372</c:v>
                </c:pt>
                <c:pt idx="5">
                  <c:v>3.5558711105823901</c:v>
                </c:pt>
                <c:pt idx="9">
                  <c:v>3.8689346923167802</c:v>
                </c:pt>
                <c:pt idx="10">
                  <c:v>4.1223529411764701E-2</c:v>
                </c:pt>
              </c:numCache>
            </c:numRef>
          </c:val>
          <c:extLst>
            <c:ext xmlns:c16="http://schemas.microsoft.com/office/drawing/2014/chart" uri="{C3380CC4-5D6E-409C-BE32-E72D297353CC}">
              <c16:uniqueId val="{0000000A-3A7A-42A9-8EE0-2B9BE1BFD318}"/>
            </c:ext>
          </c:extLst>
        </c:ser>
        <c:ser>
          <c:idx val="18"/>
          <c:order val="18"/>
          <c:tx>
            <c:strRef>
              <c:f>'Fuel CON - Annual'!$U$4:$U$5</c:f>
              <c:strCache>
                <c:ptCount val="1"/>
                <c:pt idx="0">
                  <c:v>WOODPELLETS</c:v>
                </c:pt>
              </c:strCache>
            </c:strRef>
          </c:tx>
          <c:spPr>
            <a:solidFill>
              <a:schemeClr val="accent1">
                <a:lumMod val="8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Annual'!$U$6:$U$17</c:f>
              <c:numCache>
                <c:formatCode>General</c:formatCode>
                <c:ptCount val="11"/>
                <c:pt idx="0">
                  <c:v>9.9583314999999999</c:v>
                </c:pt>
                <c:pt idx="3">
                  <c:v>2.5182089983014979</c:v>
                </c:pt>
                <c:pt idx="10">
                  <c:v>0.282762064815333</c:v>
                </c:pt>
              </c:numCache>
            </c:numRef>
          </c:val>
          <c:extLst>
            <c:ext xmlns:c16="http://schemas.microsoft.com/office/drawing/2014/chart" uri="{C3380CC4-5D6E-409C-BE32-E72D297353CC}">
              <c16:uniqueId val="{0000000B-3A7A-42A9-8EE0-2B9BE1BFD318}"/>
            </c:ext>
          </c:extLst>
        </c:ser>
        <c:ser>
          <c:idx val="19"/>
          <c:order val="19"/>
          <c:tx>
            <c:strRef>
              <c:f>'Fuel CON - Annual'!$V$4:$V$5</c:f>
              <c:strCache>
                <c:ptCount val="1"/>
                <c:pt idx="0">
                  <c:v>FUELOIL</c:v>
                </c:pt>
              </c:strCache>
            </c:strRef>
          </c:tx>
          <c:spPr>
            <a:solidFill>
              <a:schemeClr val="accent2">
                <a:lumMod val="8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Annual'!$V$6:$V$17</c:f>
              <c:numCache>
                <c:formatCode>General</c:formatCode>
                <c:ptCount val="11"/>
                <c:pt idx="1">
                  <c:v>2.7406285714285699</c:v>
                </c:pt>
                <c:pt idx="6">
                  <c:v>9.5749746688993595E-2</c:v>
                </c:pt>
              </c:numCache>
            </c:numRef>
          </c:val>
          <c:extLst>
            <c:ext xmlns:c16="http://schemas.microsoft.com/office/drawing/2014/chart" uri="{C3380CC4-5D6E-409C-BE32-E72D297353CC}">
              <c16:uniqueId val="{0000000C-3A7A-42A9-8EE0-2B9BE1BFD318}"/>
            </c:ext>
          </c:extLst>
        </c:ser>
        <c:ser>
          <c:idx val="20"/>
          <c:order val="20"/>
          <c:tx>
            <c:strRef>
              <c:f>'Fuel CON - Annual'!$W$4:$W$5</c:f>
              <c:strCache>
                <c:ptCount val="1"/>
                <c:pt idx="0">
                  <c:v>COAL</c:v>
                </c:pt>
              </c:strCache>
            </c:strRef>
          </c:tx>
          <c:spPr>
            <a:solidFill>
              <a:schemeClr val="accent3">
                <a:lumMod val="8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Annual'!$W$6:$W$17</c:f>
              <c:numCache>
                <c:formatCode>General</c:formatCode>
                <c:ptCount val="11"/>
                <c:pt idx="0">
                  <c:v>2.9363401456424678</c:v>
                </c:pt>
                <c:pt idx="1">
                  <c:v>0.79250807074062801</c:v>
                </c:pt>
                <c:pt idx="3">
                  <c:v>2.9363401456424718</c:v>
                </c:pt>
                <c:pt idx="4">
                  <c:v>2.93634014564247</c:v>
                </c:pt>
                <c:pt idx="5">
                  <c:v>2.93634014564247</c:v>
                </c:pt>
                <c:pt idx="9">
                  <c:v>2.9363401456424705</c:v>
                </c:pt>
                <c:pt idx="10">
                  <c:v>2.8839729224223198</c:v>
                </c:pt>
              </c:numCache>
            </c:numRef>
          </c:val>
          <c:extLst>
            <c:ext xmlns:c16="http://schemas.microsoft.com/office/drawing/2014/chart" uri="{C3380CC4-5D6E-409C-BE32-E72D297353CC}">
              <c16:uniqueId val="{0000000D-3A7A-42A9-8EE0-2B9BE1BFD318}"/>
            </c:ext>
          </c:extLst>
        </c:ser>
        <c:ser>
          <c:idx val="21"/>
          <c:order val="21"/>
          <c:tx>
            <c:strRef>
              <c:f>'Fuel CON - Annual'!$X$4:$X$5</c:f>
              <c:strCache>
                <c:ptCount val="1"/>
                <c:pt idx="0">
                  <c:v>SHALE</c:v>
                </c:pt>
              </c:strCache>
            </c:strRef>
          </c:tx>
          <c:spPr>
            <a:solidFill>
              <a:schemeClr val="accent4">
                <a:lumMod val="8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Annual'!$X$6:$X$17</c:f>
              <c:numCache>
                <c:formatCode>General</c:formatCode>
                <c:ptCount val="11"/>
                <c:pt idx="6">
                  <c:v>1.3507487321809699</c:v>
                </c:pt>
              </c:numCache>
            </c:numRef>
          </c:val>
          <c:extLst>
            <c:ext xmlns:c16="http://schemas.microsoft.com/office/drawing/2014/chart" uri="{C3380CC4-5D6E-409C-BE32-E72D297353CC}">
              <c16:uniqueId val="{00000000-CEFE-4006-A47F-A751A0217272}"/>
            </c:ext>
          </c:extLst>
        </c:ser>
        <c:ser>
          <c:idx val="22"/>
          <c:order val="22"/>
          <c:tx>
            <c:strRef>
              <c:f>'Fuel CON - Annual'!$Y$4:$Y$5</c:f>
              <c:strCache>
                <c:ptCount val="1"/>
                <c:pt idx="0">
                  <c:v>PEAT</c:v>
                </c:pt>
              </c:strCache>
            </c:strRef>
          </c:tx>
          <c:spPr>
            <a:solidFill>
              <a:schemeClr val="accent5">
                <a:lumMod val="8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Annual'!$Y$6:$Y$17</c:f>
              <c:numCache>
                <c:formatCode>General</c:formatCode>
                <c:ptCount val="11"/>
                <c:pt idx="10">
                  <c:v>4.62984982862263E-2</c:v>
                </c:pt>
              </c:numCache>
            </c:numRef>
          </c:val>
          <c:extLst>
            <c:ext xmlns:c16="http://schemas.microsoft.com/office/drawing/2014/chart" uri="{C3380CC4-5D6E-409C-BE32-E72D297353CC}">
              <c16:uniqueId val="{00000001-CEFE-4006-A47F-A751A0217272}"/>
            </c:ext>
          </c:extLst>
        </c:ser>
        <c:dLbls>
          <c:showLegendKey val="0"/>
          <c:showVal val="0"/>
          <c:showCatName val="0"/>
          <c:showSerName val="0"/>
          <c:showPercent val="0"/>
          <c:showBubbleSize val="0"/>
        </c:dLbls>
        <c:gapWidth val="150"/>
        <c:overlap val="100"/>
        <c:axId val="269919464"/>
        <c:axId val="269919856"/>
      </c:barChart>
      <c:catAx>
        <c:axId val="269919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9856"/>
        <c:crosses val="autoZero"/>
        <c:auto val="1"/>
        <c:lblAlgn val="ctr"/>
        <c:lblOffset val="100"/>
        <c:noMultiLvlLbl val="0"/>
      </c:catAx>
      <c:valAx>
        <c:axId val="269919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94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tool.xlsm]Emissions - Annual!PivotTable3</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s>
    <c:plotArea>
      <c:layout/>
      <c:barChart>
        <c:barDir val="col"/>
        <c:grouping val="clustered"/>
        <c:varyColors val="0"/>
        <c:ser>
          <c:idx val="0"/>
          <c:order val="0"/>
          <c:tx>
            <c:strRef>
              <c:f>'Emissions - Annual'!$F$3</c:f>
              <c:strCache>
                <c:ptCount val="1"/>
                <c:pt idx="0">
                  <c:v>Sum of CO2 kilotons</c:v>
                </c:pt>
              </c:strCache>
            </c:strRef>
          </c:tx>
          <c:spPr>
            <a:solidFill>
              <a:schemeClr val="accent1"/>
            </a:solidFill>
            <a:ln>
              <a:noFill/>
            </a:ln>
            <a:effectLst/>
          </c:spPr>
          <c:invertIfNegative val="0"/>
          <c:cat>
            <c:multiLvlStrRef>
              <c:f>'Emissions - Annual'!$B$4:$E$78</c:f>
              <c:multiLvlStrCache>
                <c:ptCount val="74"/>
                <c:lvl>
                  <c:pt idx="0">
                    <c:v>GNR_ST_COAL_EXT_E-47</c:v>
                  </c:pt>
                  <c:pt idx="1">
                    <c:v>GNR_ST_COAL_EXT_E-42</c:v>
                  </c:pt>
                  <c:pt idx="2">
                    <c:v>GNR_ST_COAL_EXT_E-41</c:v>
                  </c:pt>
                  <c:pt idx="3">
                    <c:v>GNR_ST_COAL_BP_E-35</c:v>
                  </c:pt>
                  <c:pt idx="4">
                    <c:v>GNR_BO_MSW_E-105</c:v>
                  </c:pt>
                  <c:pt idx="5">
                    <c:v>GNR_ST_MSW_BP_E-18</c:v>
                  </c:pt>
                  <c:pt idx="6">
                    <c:v>GNR_ST_MSW_BP_E-19</c:v>
                  </c:pt>
                  <c:pt idx="7">
                    <c:v>GNR_ST_MSW_BP_E-22</c:v>
                  </c:pt>
                  <c:pt idx="8">
                    <c:v>GNR_ST_MSW_BP_E-23</c:v>
                  </c:pt>
                  <c:pt idx="9">
                    <c:v>GNR_ST_MSW_BP_E-27</c:v>
                  </c:pt>
                  <c:pt idx="10">
                    <c:v>GNR_ENG_NGAS_BP_E-34</c:v>
                  </c:pt>
                  <c:pt idx="11">
                    <c:v>GNR_ENG_NGAS_BP_E-38</c:v>
                  </c:pt>
                  <c:pt idx="12">
                    <c:v>GNR_ENG_NGAS_BP_E-39</c:v>
                  </c:pt>
                  <c:pt idx="13">
                    <c:v>GNR_ENG_NGAS_BP_E-40</c:v>
                  </c:pt>
                  <c:pt idx="14">
                    <c:v>GNR_ENG_NGAS_BP_E-41</c:v>
                  </c:pt>
                  <c:pt idx="15">
                    <c:v>GNR_ENG_NGAS_BP_E-42</c:v>
                  </c:pt>
                  <c:pt idx="16">
                    <c:v>GNR_ENG_NGAS_BP_E-43</c:v>
                  </c:pt>
                  <c:pt idx="17">
                    <c:v>GNR_ENG_NGAS_BP_E-44</c:v>
                  </c:pt>
                  <c:pt idx="18">
                    <c:v>GNR_ENG_NGAS_BP_E-46</c:v>
                  </c:pt>
                  <c:pt idx="19">
                    <c:v>GNR_GT_NGAS_BP_E-27</c:v>
                  </c:pt>
                  <c:pt idx="20">
                    <c:v>GNR_ST_NGAS_EXT_E-47</c:v>
                  </c:pt>
                  <c:pt idx="21">
                    <c:v>GNR_ST_STRW_BP_E-26</c:v>
                  </c:pt>
                  <c:pt idx="22">
                    <c:v>GNR_EH_HEAT</c:v>
                  </c:pt>
                  <c:pt idx="23">
                    <c:v>GNR_ST_WOODCHI_BP_E-23</c:v>
                  </c:pt>
                  <c:pt idx="24">
                    <c:v>GNR_BO_MSW_E-100</c:v>
                  </c:pt>
                  <c:pt idx="25">
                    <c:v>GNR_ST_MSW_BP_E-17</c:v>
                  </c:pt>
                  <c:pt idx="26">
                    <c:v>GNR_ST_MSW_BP_E-20</c:v>
                  </c:pt>
                  <c:pt idx="27">
                    <c:v>GNR_ST_MSW_BP_E-21</c:v>
                  </c:pt>
                  <c:pt idx="28">
                    <c:v>GNR_ST_MSW_BP_E-26</c:v>
                  </c:pt>
                  <c:pt idx="29">
                    <c:v>GNR_ENG_NGAS_BP_E-35</c:v>
                  </c:pt>
                  <c:pt idx="30">
                    <c:v>GNR_ENG_NGAS_BP_E-37</c:v>
                  </c:pt>
                  <c:pt idx="31">
                    <c:v>GNR_GT_NGAS_BP_E-31</c:v>
                  </c:pt>
                  <c:pt idx="32">
                    <c:v>GNR_BO_STRW_E-102</c:v>
                  </c:pt>
                  <c:pt idx="33">
                    <c:v>GNR_ST_STRW_BP_E-21</c:v>
                  </c:pt>
                  <c:pt idx="34">
                    <c:v>GNR_GEO_HEAT_HO</c:v>
                  </c:pt>
                  <c:pt idx="35">
                    <c:v>GNR_BO_WOODCHI_E-110</c:v>
                  </c:pt>
                  <c:pt idx="36">
                    <c:v>GNR_ENG_NGAS_BP_E-36</c:v>
                  </c:pt>
                  <c:pt idx="37">
                    <c:v>GNR_GT_NGAS_BP_E-43</c:v>
                  </c:pt>
                  <c:pt idx="38">
                    <c:v>GNR_GT_NGAS_BP_E-44</c:v>
                  </c:pt>
                  <c:pt idx="39">
                    <c:v>GNR_GT_NGAS_BP_E-47</c:v>
                  </c:pt>
                  <c:pt idx="40">
                    <c:v>GNR_ST_WOODCHI_BP_E-27</c:v>
                  </c:pt>
                  <c:pt idx="41">
                    <c:v>GNR_ST_WOODCHI_BP_E-30</c:v>
                  </c:pt>
                  <c:pt idx="42">
                    <c:v>GNR_ENG_NGAS_BP_E-33</c:v>
                  </c:pt>
                  <c:pt idx="43">
                    <c:v>GNR_ENG_NGAS_CND_E-41</c:v>
                  </c:pt>
                  <c:pt idx="44">
                    <c:v>GNR_ENG_NGAS_CND_E-46</c:v>
                  </c:pt>
                  <c:pt idx="45">
                    <c:v>GNR_GT_NGAS_BP_E-28</c:v>
                  </c:pt>
                  <c:pt idx="46">
                    <c:v>GNR_GT_NGAS_BP_E-33</c:v>
                  </c:pt>
                  <c:pt idx="47">
                    <c:v>GNR_GT_NGAS_BP_E-36</c:v>
                  </c:pt>
                  <c:pt idx="48">
                    <c:v>GNR_PV_SUN</c:v>
                  </c:pt>
                  <c:pt idx="49">
                    <c:v>GNR_ROR_WTR</c:v>
                  </c:pt>
                  <c:pt idx="50">
                    <c:v>GNR_WT_WIND_ONS</c:v>
                  </c:pt>
                  <c:pt idx="51">
                    <c:v>GNR_WT_WIND_OFF</c:v>
                  </c:pt>
                  <c:pt idx="52">
                    <c:v>GNR_ENG_NGAS_BP_E-45</c:v>
                  </c:pt>
                  <c:pt idx="53">
                    <c:v>GNR_ENG_NGAS_BP_E-47</c:v>
                  </c:pt>
                  <c:pt idx="54">
                    <c:v>GNR_GT_NGAS_BP_E-30</c:v>
                  </c:pt>
                  <c:pt idx="55">
                    <c:v>GNR_GT_NGAS_BP_E-41</c:v>
                  </c:pt>
                  <c:pt idx="56">
                    <c:v>GNR_ST_WOODPEL_BP_E-30</c:v>
                  </c:pt>
                  <c:pt idx="57">
                    <c:v>GNR_BO_WOODWST_E-100</c:v>
                  </c:pt>
                  <c:pt idx="58">
                    <c:v>GNR_BO_WOODWST_E-89</c:v>
                  </c:pt>
                  <c:pt idx="59">
                    <c:v>GNR_ENG_BGAS_BP_E-42</c:v>
                  </c:pt>
                  <c:pt idx="60">
                    <c:v>GNR_ST_MSW_BP_E-16</c:v>
                  </c:pt>
                  <c:pt idx="61">
                    <c:v>GNR_ST_NGAS_BP_E-39</c:v>
                  </c:pt>
                  <c:pt idx="62">
                    <c:v>GNR_ST_WOODCHI_BP_E-24</c:v>
                  </c:pt>
                  <c:pt idx="63">
                    <c:v>GNR_ST_WOODPEL_EXT_E-50</c:v>
                  </c:pt>
                  <c:pt idx="64">
                    <c:v>GNR_BO_WOODWST_E-90</c:v>
                  </c:pt>
                  <c:pt idx="65">
                    <c:v>GNR_ST_MSW_BP_E-25</c:v>
                  </c:pt>
                  <c:pt idx="66">
                    <c:v>GNR_ST_MSW_BP_E-28</c:v>
                  </c:pt>
                  <c:pt idx="67">
                    <c:v>GNR_GT_NGAS_BP_E-42</c:v>
                  </c:pt>
                  <c:pt idx="68">
                    <c:v>GNR_ENG_BGAS_BP_E-39</c:v>
                  </c:pt>
                  <c:pt idx="69">
                    <c:v>GNR_ENG_BGAS_BP_E-40</c:v>
                  </c:pt>
                  <c:pt idx="70">
                    <c:v>GNR_ENG_BGAS_BP_E-41</c:v>
                  </c:pt>
                  <c:pt idx="71">
                    <c:v>GNR_ST_STRW_BP_E-24</c:v>
                  </c:pt>
                  <c:pt idx="72">
                    <c:v>GNR_ST_STRW_BP_E-27</c:v>
                  </c:pt>
                  <c:pt idx="73">
                    <c:v>GNR_ST_STRW_BP_E-28</c:v>
                  </c:pt>
                </c:lvl>
                <c:lvl>
                  <c:pt idx="0">
                    <c:v>DENMARK</c:v>
                  </c:pt>
                </c:lvl>
                <c:lvl>
                  <c:pt idx="0">
                    <c:v>2016</c:v>
                  </c:pt>
                </c:lvl>
                <c:lvl>
                  <c:pt idx="0">
                    <c:v>2016</c:v>
                  </c:pt>
                </c:lvl>
              </c:multiLvlStrCache>
            </c:multiLvlStrRef>
          </c:cat>
          <c:val>
            <c:numRef>
              <c:f>'Emissions - Annual'!$F$4:$F$78</c:f>
              <c:numCache>
                <c:formatCode>General</c:formatCode>
                <c:ptCount val="74"/>
                <c:pt idx="0">
                  <c:v>167.790284324298</c:v>
                </c:pt>
                <c:pt idx="1">
                  <c:v>467.78152244653501</c:v>
                </c:pt>
                <c:pt idx="2">
                  <c:v>325.00594065773902</c:v>
                </c:pt>
                <c:pt idx="3">
                  <c:v>39.422252571428601</c:v>
                </c:pt>
              </c:numCache>
            </c:numRef>
          </c:val>
          <c:extLst>
            <c:ext xmlns:c16="http://schemas.microsoft.com/office/drawing/2014/chart" uri="{C3380CC4-5D6E-409C-BE32-E72D297353CC}">
              <c16:uniqueId val="{00000003-67F4-4EED-B23F-1045A65ACCF2}"/>
            </c:ext>
          </c:extLst>
        </c:ser>
        <c:ser>
          <c:idx val="1"/>
          <c:order val="1"/>
          <c:tx>
            <c:strRef>
              <c:f>'Emissions - Annual'!$G$3</c:f>
              <c:strCache>
                <c:ptCount val="1"/>
                <c:pt idx="0">
                  <c:v>Sum of N2O kilotons</c:v>
                </c:pt>
              </c:strCache>
            </c:strRef>
          </c:tx>
          <c:spPr>
            <a:solidFill>
              <a:schemeClr val="accent2"/>
            </a:solidFill>
            <a:ln>
              <a:noFill/>
            </a:ln>
            <a:effectLst/>
          </c:spPr>
          <c:invertIfNegative val="0"/>
          <c:cat>
            <c:multiLvlStrRef>
              <c:f>'Emissions - Annual'!$B$4:$E$78</c:f>
              <c:multiLvlStrCache>
                <c:ptCount val="74"/>
                <c:lvl>
                  <c:pt idx="0">
                    <c:v>GNR_ST_COAL_EXT_E-47</c:v>
                  </c:pt>
                  <c:pt idx="1">
                    <c:v>GNR_ST_COAL_EXT_E-42</c:v>
                  </c:pt>
                  <c:pt idx="2">
                    <c:v>GNR_ST_COAL_EXT_E-41</c:v>
                  </c:pt>
                  <c:pt idx="3">
                    <c:v>GNR_ST_COAL_BP_E-35</c:v>
                  </c:pt>
                  <c:pt idx="4">
                    <c:v>GNR_BO_MSW_E-105</c:v>
                  </c:pt>
                  <c:pt idx="5">
                    <c:v>GNR_ST_MSW_BP_E-18</c:v>
                  </c:pt>
                  <c:pt idx="6">
                    <c:v>GNR_ST_MSW_BP_E-19</c:v>
                  </c:pt>
                  <c:pt idx="7">
                    <c:v>GNR_ST_MSW_BP_E-22</c:v>
                  </c:pt>
                  <c:pt idx="8">
                    <c:v>GNR_ST_MSW_BP_E-23</c:v>
                  </c:pt>
                  <c:pt idx="9">
                    <c:v>GNR_ST_MSW_BP_E-27</c:v>
                  </c:pt>
                  <c:pt idx="10">
                    <c:v>GNR_ENG_NGAS_BP_E-34</c:v>
                  </c:pt>
                  <c:pt idx="11">
                    <c:v>GNR_ENG_NGAS_BP_E-38</c:v>
                  </c:pt>
                  <c:pt idx="12">
                    <c:v>GNR_ENG_NGAS_BP_E-39</c:v>
                  </c:pt>
                  <c:pt idx="13">
                    <c:v>GNR_ENG_NGAS_BP_E-40</c:v>
                  </c:pt>
                  <c:pt idx="14">
                    <c:v>GNR_ENG_NGAS_BP_E-41</c:v>
                  </c:pt>
                  <c:pt idx="15">
                    <c:v>GNR_ENG_NGAS_BP_E-42</c:v>
                  </c:pt>
                  <c:pt idx="16">
                    <c:v>GNR_ENG_NGAS_BP_E-43</c:v>
                  </c:pt>
                  <c:pt idx="17">
                    <c:v>GNR_ENG_NGAS_BP_E-44</c:v>
                  </c:pt>
                  <c:pt idx="18">
                    <c:v>GNR_ENG_NGAS_BP_E-46</c:v>
                  </c:pt>
                  <c:pt idx="19">
                    <c:v>GNR_GT_NGAS_BP_E-27</c:v>
                  </c:pt>
                  <c:pt idx="20">
                    <c:v>GNR_ST_NGAS_EXT_E-47</c:v>
                  </c:pt>
                  <c:pt idx="21">
                    <c:v>GNR_ST_STRW_BP_E-26</c:v>
                  </c:pt>
                  <c:pt idx="22">
                    <c:v>GNR_EH_HEAT</c:v>
                  </c:pt>
                  <c:pt idx="23">
                    <c:v>GNR_ST_WOODCHI_BP_E-23</c:v>
                  </c:pt>
                  <c:pt idx="24">
                    <c:v>GNR_BO_MSW_E-100</c:v>
                  </c:pt>
                  <c:pt idx="25">
                    <c:v>GNR_ST_MSW_BP_E-17</c:v>
                  </c:pt>
                  <c:pt idx="26">
                    <c:v>GNR_ST_MSW_BP_E-20</c:v>
                  </c:pt>
                  <c:pt idx="27">
                    <c:v>GNR_ST_MSW_BP_E-21</c:v>
                  </c:pt>
                  <c:pt idx="28">
                    <c:v>GNR_ST_MSW_BP_E-26</c:v>
                  </c:pt>
                  <c:pt idx="29">
                    <c:v>GNR_ENG_NGAS_BP_E-35</c:v>
                  </c:pt>
                  <c:pt idx="30">
                    <c:v>GNR_ENG_NGAS_BP_E-37</c:v>
                  </c:pt>
                  <c:pt idx="31">
                    <c:v>GNR_GT_NGAS_BP_E-31</c:v>
                  </c:pt>
                  <c:pt idx="32">
                    <c:v>GNR_BO_STRW_E-102</c:v>
                  </c:pt>
                  <c:pt idx="33">
                    <c:v>GNR_ST_STRW_BP_E-21</c:v>
                  </c:pt>
                  <c:pt idx="34">
                    <c:v>GNR_GEO_HEAT_HO</c:v>
                  </c:pt>
                  <c:pt idx="35">
                    <c:v>GNR_BO_WOODCHI_E-110</c:v>
                  </c:pt>
                  <c:pt idx="36">
                    <c:v>GNR_ENG_NGAS_BP_E-36</c:v>
                  </c:pt>
                  <c:pt idx="37">
                    <c:v>GNR_GT_NGAS_BP_E-43</c:v>
                  </c:pt>
                  <c:pt idx="38">
                    <c:v>GNR_GT_NGAS_BP_E-44</c:v>
                  </c:pt>
                  <c:pt idx="39">
                    <c:v>GNR_GT_NGAS_BP_E-47</c:v>
                  </c:pt>
                  <c:pt idx="40">
                    <c:v>GNR_ST_WOODCHI_BP_E-27</c:v>
                  </c:pt>
                  <c:pt idx="41">
                    <c:v>GNR_ST_WOODCHI_BP_E-30</c:v>
                  </c:pt>
                  <c:pt idx="42">
                    <c:v>GNR_ENG_NGAS_BP_E-33</c:v>
                  </c:pt>
                  <c:pt idx="43">
                    <c:v>GNR_ENG_NGAS_CND_E-41</c:v>
                  </c:pt>
                  <c:pt idx="44">
                    <c:v>GNR_ENG_NGAS_CND_E-46</c:v>
                  </c:pt>
                  <c:pt idx="45">
                    <c:v>GNR_GT_NGAS_BP_E-28</c:v>
                  </c:pt>
                  <c:pt idx="46">
                    <c:v>GNR_GT_NGAS_BP_E-33</c:v>
                  </c:pt>
                  <c:pt idx="47">
                    <c:v>GNR_GT_NGAS_BP_E-36</c:v>
                  </c:pt>
                  <c:pt idx="48">
                    <c:v>GNR_PV_SUN</c:v>
                  </c:pt>
                  <c:pt idx="49">
                    <c:v>GNR_ROR_WTR</c:v>
                  </c:pt>
                  <c:pt idx="50">
                    <c:v>GNR_WT_WIND_ONS</c:v>
                  </c:pt>
                  <c:pt idx="51">
                    <c:v>GNR_WT_WIND_OFF</c:v>
                  </c:pt>
                  <c:pt idx="52">
                    <c:v>GNR_ENG_NGAS_BP_E-45</c:v>
                  </c:pt>
                  <c:pt idx="53">
                    <c:v>GNR_ENG_NGAS_BP_E-47</c:v>
                  </c:pt>
                  <c:pt idx="54">
                    <c:v>GNR_GT_NGAS_BP_E-30</c:v>
                  </c:pt>
                  <c:pt idx="55">
                    <c:v>GNR_GT_NGAS_BP_E-41</c:v>
                  </c:pt>
                  <c:pt idx="56">
                    <c:v>GNR_ST_WOODPEL_BP_E-30</c:v>
                  </c:pt>
                  <c:pt idx="57">
                    <c:v>GNR_BO_WOODWST_E-100</c:v>
                  </c:pt>
                  <c:pt idx="58">
                    <c:v>GNR_BO_WOODWST_E-89</c:v>
                  </c:pt>
                  <c:pt idx="59">
                    <c:v>GNR_ENG_BGAS_BP_E-42</c:v>
                  </c:pt>
                  <c:pt idx="60">
                    <c:v>GNR_ST_MSW_BP_E-16</c:v>
                  </c:pt>
                  <c:pt idx="61">
                    <c:v>GNR_ST_NGAS_BP_E-39</c:v>
                  </c:pt>
                  <c:pt idx="62">
                    <c:v>GNR_ST_WOODCHI_BP_E-24</c:v>
                  </c:pt>
                  <c:pt idx="63">
                    <c:v>GNR_ST_WOODPEL_EXT_E-50</c:v>
                  </c:pt>
                  <c:pt idx="64">
                    <c:v>GNR_BO_WOODWST_E-90</c:v>
                  </c:pt>
                  <c:pt idx="65">
                    <c:v>GNR_ST_MSW_BP_E-25</c:v>
                  </c:pt>
                  <c:pt idx="66">
                    <c:v>GNR_ST_MSW_BP_E-28</c:v>
                  </c:pt>
                  <c:pt idx="67">
                    <c:v>GNR_GT_NGAS_BP_E-42</c:v>
                  </c:pt>
                  <c:pt idx="68">
                    <c:v>GNR_ENG_BGAS_BP_E-39</c:v>
                  </c:pt>
                  <c:pt idx="69">
                    <c:v>GNR_ENG_BGAS_BP_E-40</c:v>
                  </c:pt>
                  <c:pt idx="70">
                    <c:v>GNR_ENG_BGAS_BP_E-41</c:v>
                  </c:pt>
                  <c:pt idx="71">
                    <c:v>GNR_ST_STRW_BP_E-24</c:v>
                  </c:pt>
                  <c:pt idx="72">
                    <c:v>GNR_ST_STRW_BP_E-27</c:v>
                  </c:pt>
                  <c:pt idx="73">
                    <c:v>GNR_ST_STRW_BP_E-28</c:v>
                  </c:pt>
                </c:lvl>
                <c:lvl>
                  <c:pt idx="0">
                    <c:v>DENMARK</c:v>
                  </c:pt>
                </c:lvl>
                <c:lvl>
                  <c:pt idx="0">
                    <c:v>2016</c:v>
                  </c:pt>
                </c:lvl>
                <c:lvl>
                  <c:pt idx="0">
                    <c:v>2016</c:v>
                  </c:pt>
                </c:lvl>
              </c:multiLvlStrCache>
            </c:multiLvlStrRef>
          </c:cat>
          <c:val>
            <c:numRef>
              <c:f>'Emissions - Annual'!$G$4:$G$78</c:f>
              <c:numCache>
                <c:formatCode>General</c:formatCode>
                <c:ptCount val="74"/>
                <c:pt idx="0">
                  <c:v>5.3210449574301703E-3</c:v>
                </c:pt>
                <c:pt idx="1">
                  <c:v>1.4834509168494801E-2</c:v>
                </c:pt>
                <c:pt idx="2">
                  <c:v>1.03067423041566E-2</c:v>
                </c:pt>
                <c:pt idx="3">
                  <c:v>1.2501771428571401E-3</c:v>
                </c:pt>
                <c:pt idx="4">
                  <c:v>6.9675199942669892E-3</c:v>
                </c:pt>
                <c:pt idx="5">
                  <c:v>1.9972800000000001E-3</c:v>
                </c:pt>
                <c:pt idx="6">
                  <c:v>5.9752421052631597E-3</c:v>
                </c:pt>
                <c:pt idx="7">
                  <c:v>2.1843883835682393E-2</c:v>
                </c:pt>
                <c:pt idx="8">
                  <c:v>2.154386534820148E-2</c:v>
                </c:pt>
                <c:pt idx="9">
                  <c:v>1.7426560000000042E-2</c:v>
                </c:pt>
                <c:pt idx="10">
                  <c:v>1.2128142705882341E-3</c:v>
                </c:pt>
                <c:pt idx="11">
                  <c:v>5.7172974834097615E-3</c:v>
                </c:pt>
                <c:pt idx="12">
                  <c:v>9.6048346153846179E-3</c:v>
                </c:pt>
                <c:pt idx="13">
                  <c:v>1.0296398879999998E-2</c:v>
                </c:pt>
                <c:pt idx="14">
                  <c:v>1.1775812983520489E-2</c:v>
                </c:pt>
                <c:pt idx="15">
                  <c:v>9.0757604571428483E-3</c:v>
                </c:pt>
                <c:pt idx="16">
                  <c:v>5.4095240930232521E-3</c:v>
                </c:pt>
                <c:pt idx="17">
                  <c:v>4.432958181818188E-3</c:v>
                </c:pt>
                <c:pt idx="18">
                  <c:v>5.4889779130434732E-3</c:v>
                </c:pt>
                <c:pt idx="19">
                  <c:v>6.3266666666666701E-4</c:v>
                </c:pt>
                <c:pt idx="20">
                  <c:v>2.63023659574468E-2</c:v>
                </c:pt>
                <c:pt idx="21">
                  <c:v>1.6092976379678239E-2</c:v>
                </c:pt>
                <c:pt idx="24">
                  <c:v>8.1993599999999995E-4</c:v>
                </c:pt>
                <c:pt idx="25">
                  <c:v>1.78085647058824E-3</c:v>
                </c:pt>
                <c:pt idx="26">
                  <c:v>2.7059202000000001E-2</c:v>
                </c:pt>
                <c:pt idx="27">
                  <c:v>1.62485485714286E-2</c:v>
                </c:pt>
                <c:pt idx="28">
                  <c:v>3.39618461538462E-3</c:v>
                </c:pt>
                <c:pt idx="29">
                  <c:v>1.3167781714285703E-3</c:v>
                </c:pt>
                <c:pt idx="30">
                  <c:v>3.5873620540540544E-3</c:v>
                </c:pt>
                <c:pt idx="31">
                  <c:v>2.2617754838709708E-3</c:v>
                </c:pt>
                <c:pt idx="32">
                  <c:v>3.4851741852093511E-3</c:v>
                </c:pt>
                <c:pt idx="33">
                  <c:v>1.0512000000000001E-2</c:v>
                </c:pt>
                <c:pt idx="36">
                  <c:v>2.0697325000000001E-3</c:v>
                </c:pt>
                <c:pt idx="37">
                  <c:v>6.0248427906976799E-3</c:v>
                </c:pt>
                <c:pt idx="38">
                  <c:v>9.6041454545454496E-3</c:v>
                </c:pt>
                <c:pt idx="39">
                  <c:v>7.28347404255319E-3</c:v>
                </c:pt>
                <c:pt idx="42">
                  <c:v>8.9373899999999908E-4</c:v>
                </c:pt>
                <c:pt idx="43">
                  <c:v>3.1382165853658501E-3</c:v>
                </c:pt>
                <c:pt idx="44">
                  <c:v>4.3876173913043497E-5</c:v>
                </c:pt>
                <c:pt idx="45">
                  <c:v>1.0239814285714279E-3</c:v>
                </c:pt>
                <c:pt idx="46">
                  <c:v>1.26621818181818E-4</c:v>
                </c:pt>
                <c:pt idx="47">
                  <c:v>2.2513199999999998E-3</c:v>
                </c:pt>
                <c:pt idx="52">
                  <c:v>7.6667519999999993E-4</c:v>
                </c:pt>
                <c:pt idx="53">
                  <c:v>2.4826212765957401E-4</c:v>
                </c:pt>
                <c:pt idx="54">
                  <c:v>1.3797000000000001E-4</c:v>
                </c:pt>
                <c:pt idx="55">
                  <c:v>4.6150243902439E-4</c:v>
                </c:pt>
                <c:pt idx="57">
                  <c:v>1.0154592000000001E-3</c:v>
                </c:pt>
                <c:pt idx="58">
                  <c:v>2.5006937477765098E-4</c:v>
                </c:pt>
                <c:pt idx="59">
                  <c:v>9.8899148571428589E-4</c:v>
                </c:pt>
                <c:pt idx="60">
                  <c:v>2.24694E-2</c:v>
                </c:pt>
                <c:pt idx="61">
                  <c:v>7.1069206153846123E-3</c:v>
                </c:pt>
                <c:pt idx="64">
                  <c:v>9.3346559999999996E-4</c:v>
                </c:pt>
                <c:pt idx="65">
                  <c:v>4.4028208839267001E-3</c:v>
                </c:pt>
                <c:pt idx="66">
                  <c:v>3.9084015855191103E-3</c:v>
                </c:pt>
                <c:pt idx="67">
                  <c:v>4.4300571428571396E-3</c:v>
                </c:pt>
                <c:pt idx="68">
                  <c:v>4.0835076923076901E-5</c:v>
                </c:pt>
                <c:pt idx="69">
                  <c:v>3.4820999999999997E-5</c:v>
                </c:pt>
                <c:pt idx="70">
                  <c:v>2.30751219512195E-4</c:v>
                </c:pt>
                <c:pt idx="71">
                  <c:v>2.6280000000000001E-3</c:v>
                </c:pt>
                <c:pt idx="72">
                  <c:v>4.6626560000000003E-3</c:v>
                </c:pt>
                <c:pt idx="73">
                  <c:v>5.0022620689655203E-3</c:v>
                </c:pt>
              </c:numCache>
            </c:numRef>
          </c:val>
          <c:extLst>
            <c:ext xmlns:c16="http://schemas.microsoft.com/office/drawing/2014/chart" uri="{C3380CC4-5D6E-409C-BE32-E72D297353CC}">
              <c16:uniqueId val="{00000004-67F4-4EED-B23F-1045A65ACCF2}"/>
            </c:ext>
          </c:extLst>
        </c:ser>
        <c:ser>
          <c:idx val="2"/>
          <c:order val="2"/>
          <c:tx>
            <c:strRef>
              <c:f>'Emissions - Annual'!$H$3</c:f>
              <c:strCache>
                <c:ptCount val="1"/>
                <c:pt idx="0">
                  <c:v>Sum of SO2 kilotons</c:v>
                </c:pt>
              </c:strCache>
            </c:strRef>
          </c:tx>
          <c:spPr>
            <a:solidFill>
              <a:schemeClr val="accent3"/>
            </a:solidFill>
            <a:ln>
              <a:noFill/>
            </a:ln>
            <a:effectLst/>
          </c:spPr>
          <c:invertIfNegative val="0"/>
          <c:cat>
            <c:multiLvlStrRef>
              <c:f>'Emissions - Annual'!$B$4:$E$78</c:f>
              <c:multiLvlStrCache>
                <c:ptCount val="74"/>
                <c:lvl>
                  <c:pt idx="0">
                    <c:v>GNR_ST_COAL_EXT_E-47</c:v>
                  </c:pt>
                  <c:pt idx="1">
                    <c:v>GNR_ST_COAL_EXT_E-42</c:v>
                  </c:pt>
                  <c:pt idx="2">
                    <c:v>GNR_ST_COAL_EXT_E-41</c:v>
                  </c:pt>
                  <c:pt idx="3">
                    <c:v>GNR_ST_COAL_BP_E-35</c:v>
                  </c:pt>
                  <c:pt idx="4">
                    <c:v>GNR_BO_MSW_E-105</c:v>
                  </c:pt>
                  <c:pt idx="5">
                    <c:v>GNR_ST_MSW_BP_E-18</c:v>
                  </c:pt>
                  <c:pt idx="6">
                    <c:v>GNR_ST_MSW_BP_E-19</c:v>
                  </c:pt>
                  <c:pt idx="7">
                    <c:v>GNR_ST_MSW_BP_E-22</c:v>
                  </c:pt>
                  <c:pt idx="8">
                    <c:v>GNR_ST_MSW_BP_E-23</c:v>
                  </c:pt>
                  <c:pt idx="9">
                    <c:v>GNR_ST_MSW_BP_E-27</c:v>
                  </c:pt>
                  <c:pt idx="10">
                    <c:v>GNR_ENG_NGAS_BP_E-34</c:v>
                  </c:pt>
                  <c:pt idx="11">
                    <c:v>GNR_ENG_NGAS_BP_E-38</c:v>
                  </c:pt>
                  <c:pt idx="12">
                    <c:v>GNR_ENG_NGAS_BP_E-39</c:v>
                  </c:pt>
                  <c:pt idx="13">
                    <c:v>GNR_ENG_NGAS_BP_E-40</c:v>
                  </c:pt>
                  <c:pt idx="14">
                    <c:v>GNR_ENG_NGAS_BP_E-41</c:v>
                  </c:pt>
                  <c:pt idx="15">
                    <c:v>GNR_ENG_NGAS_BP_E-42</c:v>
                  </c:pt>
                  <c:pt idx="16">
                    <c:v>GNR_ENG_NGAS_BP_E-43</c:v>
                  </c:pt>
                  <c:pt idx="17">
                    <c:v>GNR_ENG_NGAS_BP_E-44</c:v>
                  </c:pt>
                  <c:pt idx="18">
                    <c:v>GNR_ENG_NGAS_BP_E-46</c:v>
                  </c:pt>
                  <c:pt idx="19">
                    <c:v>GNR_GT_NGAS_BP_E-27</c:v>
                  </c:pt>
                  <c:pt idx="20">
                    <c:v>GNR_ST_NGAS_EXT_E-47</c:v>
                  </c:pt>
                  <c:pt idx="21">
                    <c:v>GNR_ST_STRW_BP_E-26</c:v>
                  </c:pt>
                  <c:pt idx="22">
                    <c:v>GNR_EH_HEAT</c:v>
                  </c:pt>
                  <c:pt idx="23">
                    <c:v>GNR_ST_WOODCHI_BP_E-23</c:v>
                  </c:pt>
                  <c:pt idx="24">
                    <c:v>GNR_BO_MSW_E-100</c:v>
                  </c:pt>
                  <c:pt idx="25">
                    <c:v>GNR_ST_MSW_BP_E-17</c:v>
                  </c:pt>
                  <c:pt idx="26">
                    <c:v>GNR_ST_MSW_BP_E-20</c:v>
                  </c:pt>
                  <c:pt idx="27">
                    <c:v>GNR_ST_MSW_BP_E-21</c:v>
                  </c:pt>
                  <c:pt idx="28">
                    <c:v>GNR_ST_MSW_BP_E-26</c:v>
                  </c:pt>
                  <c:pt idx="29">
                    <c:v>GNR_ENG_NGAS_BP_E-35</c:v>
                  </c:pt>
                  <c:pt idx="30">
                    <c:v>GNR_ENG_NGAS_BP_E-37</c:v>
                  </c:pt>
                  <c:pt idx="31">
                    <c:v>GNR_GT_NGAS_BP_E-31</c:v>
                  </c:pt>
                  <c:pt idx="32">
                    <c:v>GNR_BO_STRW_E-102</c:v>
                  </c:pt>
                  <c:pt idx="33">
                    <c:v>GNR_ST_STRW_BP_E-21</c:v>
                  </c:pt>
                  <c:pt idx="34">
                    <c:v>GNR_GEO_HEAT_HO</c:v>
                  </c:pt>
                  <c:pt idx="35">
                    <c:v>GNR_BO_WOODCHI_E-110</c:v>
                  </c:pt>
                  <c:pt idx="36">
                    <c:v>GNR_ENG_NGAS_BP_E-36</c:v>
                  </c:pt>
                  <c:pt idx="37">
                    <c:v>GNR_GT_NGAS_BP_E-43</c:v>
                  </c:pt>
                  <c:pt idx="38">
                    <c:v>GNR_GT_NGAS_BP_E-44</c:v>
                  </c:pt>
                  <c:pt idx="39">
                    <c:v>GNR_GT_NGAS_BP_E-47</c:v>
                  </c:pt>
                  <c:pt idx="40">
                    <c:v>GNR_ST_WOODCHI_BP_E-27</c:v>
                  </c:pt>
                  <c:pt idx="41">
                    <c:v>GNR_ST_WOODCHI_BP_E-30</c:v>
                  </c:pt>
                  <c:pt idx="42">
                    <c:v>GNR_ENG_NGAS_BP_E-33</c:v>
                  </c:pt>
                  <c:pt idx="43">
                    <c:v>GNR_ENG_NGAS_CND_E-41</c:v>
                  </c:pt>
                  <c:pt idx="44">
                    <c:v>GNR_ENG_NGAS_CND_E-46</c:v>
                  </c:pt>
                  <c:pt idx="45">
                    <c:v>GNR_GT_NGAS_BP_E-28</c:v>
                  </c:pt>
                  <c:pt idx="46">
                    <c:v>GNR_GT_NGAS_BP_E-33</c:v>
                  </c:pt>
                  <c:pt idx="47">
                    <c:v>GNR_GT_NGAS_BP_E-36</c:v>
                  </c:pt>
                  <c:pt idx="48">
                    <c:v>GNR_PV_SUN</c:v>
                  </c:pt>
                  <c:pt idx="49">
                    <c:v>GNR_ROR_WTR</c:v>
                  </c:pt>
                  <c:pt idx="50">
                    <c:v>GNR_WT_WIND_ONS</c:v>
                  </c:pt>
                  <c:pt idx="51">
                    <c:v>GNR_WT_WIND_OFF</c:v>
                  </c:pt>
                  <c:pt idx="52">
                    <c:v>GNR_ENG_NGAS_BP_E-45</c:v>
                  </c:pt>
                  <c:pt idx="53">
                    <c:v>GNR_ENG_NGAS_BP_E-47</c:v>
                  </c:pt>
                  <c:pt idx="54">
                    <c:v>GNR_GT_NGAS_BP_E-30</c:v>
                  </c:pt>
                  <c:pt idx="55">
                    <c:v>GNR_GT_NGAS_BP_E-41</c:v>
                  </c:pt>
                  <c:pt idx="56">
                    <c:v>GNR_ST_WOODPEL_BP_E-30</c:v>
                  </c:pt>
                  <c:pt idx="57">
                    <c:v>GNR_BO_WOODWST_E-100</c:v>
                  </c:pt>
                  <c:pt idx="58">
                    <c:v>GNR_BO_WOODWST_E-89</c:v>
                  </c:pt>
                  <c:pt idx="59">
                    <c:v>GNR_ENG_BGAS_BP_E-42</c:v>
                  </c:pt>
                  <c:pt idx="60">
                    <c:v>GNR_ST_MSW_BP_E-16</c:v>
                  </c:pt>
                  <c:pt idx="61">
                    <c:v>GNR_ST_NGAS_BP_E-39</c:v>
                  </c:pt>
                  <c:pt idx="62">
                    <c:v>GNR_ST_WOODCHI_BP_E-24</c:v>
                  </c:pt>
                  <c:pt idx="63">
                    <c:v>GNR_ST_WOODPEL_EXT_E-50</c:v>
                  </c:pt>
                  <c:pt idx="64">
                    <c:v>GNR_BO_WOODWST_E-90</c:v>
                  </c:pt>
                  <c:pt idx="65">
                    <c:v>GNR_ST_MSW_BP_E-25</c:v>
                  </c:pt>
                  <c:pt idx="66">
                    <c:v>GNR_ST_MSW_BP_E-28</c:v>
                  </c:pt>
                  <c:pt idx="67">
                    <c:v>GNR_GT_NGAS_BP_E-42</c:v>
                  </c:pt>
                  <c:pt idx="68">
                    <c:v>GNR_ENG_BGAS_BP_E-39</c:v>
                  </c:pt>
                  <c:pt idx="69">
                    <c:v>GNR_ENG_BGAS_BP_E-40</c:v>
                  </c:pt>
                  <c:pt idx="70">
                    <c:v>GNR_ENG_BGAS_BP_E-41</c:v>
                  </c:pt>
                  <c:pt idx="71">
                    <c:v>GNR_ST_STRW_BP_E-24</c:v>
                  </c:pt>
                  <c:pt idx="72">
                    <c:v>GNR_ST_STRW_BP_E-27</c:v>
                  </c:pt>
                  <c:pt idx="73">
                    <c:v>GNR_ST_STRW_BP_E-28</c:v>
                  </c:pt>
                </c:lvl>
                <c:lvl>
                  <c:pt idx="0">
                    <c:v>DENMARK</c:v>
                  </c:pt>
                </c:lvl>
                <c:lvl>
                  <c:pt idx="0">
                    <c:v>2016</c:v>
                  </c:pt>
                </c:lvl>
                <c:lvl>
                  <c:pt idx="0">
                    <c:v>2016</c:v>
                  </c:pt>
                </c:lvl>
              </c:multiLvlStrCache>
            </c:multiLvlStrRef>
          </c:cat>
          <c:val>
            <c:numRef>
              <c:f>'Emissions - Annual'!$H$4:$H$78</c:f>
              <c:numCache>
                <c:formatCode>General</c:formatCode>
                <c:ptCount val="74"/>
                <c:pt idx="0">
                  <c:v>-121575.235187364</c:v>
                </c:pt>
                <c:pt idx="1">
                  <c:v>-338938.86548176798</c:v>
                </c:pt>
                <c:pt idx="2">
                  <c:v>-235488.448165371</c:v>
                </c:pt>
                <c:pt idx="3">
                  <c:v>297.54216000000002</c:v>
                </c:pt>
                <c:pt idx="4">
                  <c:v>-26851.273720128447</c:v>
                </c:pt>
                <c:pt idx="5">
                  <c:v>-7697.0732800000096</c:v>
                </c:pt>
                <c:pt idx="6">
                  <c:v>-23027.255242105301</c:v>
                </c:pt>
                <c:pt idx="7">
                  <c:v>-84181.474106311885</c:v>
                </c:pt>
                <c:pt idx="8">
                  <c:v>-83025.269526335745</c:v>
                </c:pt>
                <c:pt idx="9">
                  <c:v>-67158.0896711112</c:v>
                </c:pt>
                <c:pt idx="21">
                  <c:v>-9504.9141742474276</c:v>
                </c:pt>
                <c:pt idx="24">
                  <c:v>-3159.8511360000002</c:v>
                </c:pt>
                <c:pt idx="25">
                  <c:v>-6863.0250917647099</c:v>
                </c:pt>
                <c:pt idx="26">
                  <c:v>-104280.151352</c:v>
                </c:pt>
                <c:pt idx="27">
                  <c:v>-62618.295405714387</c:v>
                </c:pt>
                <c:pt idx="28">
                  <c:v>-13088.140799999999</c:v>
                </c:pt>
                <c:pt idx="32">
                  <c:v>-2058.4310031392761</c:v>
                </c:pt>
                <c:pt idx="33">
                  <c:v>-6208.65</c:v>
                </c:pt>
                <c:pt idx="57">
                  <c:v>-612.44883000000004</c:v>
                </c:pt>
                <c:pt idx="58">
                  <c:v>-150.82309166277099</c:v>
                </c:pt>
                <c:pt idx="59">
                  <c:v>6.18119678571429</c:v>
                </c:pt>
                <c:pt idx="60">
                  <c:v>-86592.0744000001</c:v>
                </c:pt>
                <c:pt idx="64">
                  <c:v>-562.99644000000001</c:v>
                </c:pt>
                <c:pt idx="65">
                  <c:v>-16967.493282012612</c:v>
                </c:pt>
                <c:pt idx="66">
                  <c:v>-15062.111176905</c:v>
                </c:pt>
                <c:pt idx="68">
                  <c:v>0.25521923076923098</c:v>
                </c:pt>
                <c:pt idx="69">
                  <c:v>0.21763125</c:v>
                </c:pt>
                <c:pt idx="70">
                  <c:v>1.4421951219512199</c:v>
                </c:pt>
                <c:pt idx="71">
                  <c:v>-1552.1624999999999</c:v>
                </c:pt>
                <c:pt idx="72">
                  <c:v>-2753.8811999999998</c:v>
                </c:pt>
                <c:pt idx="73">
                  <c:v>-2954.4610344827602</c:v>
                </c:pt>
              </c:numCache>
            </c:numRef>
          </c:val>
          <c:extLst>
            <c:ext xmlns:c16="http://schemas.microsoft.com/office/drawing/2014/chart" uri="{C3380CC4-5D6E-409C-BE32-E72D297353CC}">
              <c16:uniqueId val="{00000005-67F4-4EED-B23F-1045A65ACCF2}"/>
            </c:ext>
          </c:extLst>
        </c:ser>
        <c:dLbls>
          <c:showLegendKey val="0"/>
          <c:showVal val="0"/>
          <c:showCatName val="0"/>
          <c:showSerName val="0"/>
          <c:showPercent val="0"/>
          <c:showBubbleSize val="0"/>
        </c:dLbls>
        <c:gapWidth val="219"/>
        <c:overlap val="-27"/>
        <c:axId val="267946752"/>
        <c:axId val="267946360"/>
      </c:barChart>
      <c:catAx>
        <c:axId val="267946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6360"/>
        <c:crosses val="autoZero"/>
        <c:auto val="1"/>
        <c:lblAlgn val="ctr"/>
        <c:lblOffset val="100"/>
        <c:noMultiLvlLbl val="0"/>
      </c:catAx>
      <c:valAx>
        <c:axId val="267946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6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STO - Time!PivotTable1</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'HE STO - Time'!$E$5</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'HE STO - Time'!$C$6:$D$30</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STO - Time'!$E$6:$E$30</c:f>
              <c:numCache>
                <c:formatCode>General</c:formatCode>
                <c:ptCount val="24"/>
                <c:pt idx="0">
                  <c:v>52733.67110000801</c:v>
                </c:pt>
                <c:pt idx="1">
                  <c:v>72390.607591897453</c:v>
                </c:pt>
                <c:pt idx="2">
                  <c:v>97719.561936632323</c:v>
                </c:pt>
                <c:pt idx="3">
                  <c:v>121324.76106083202</c:v>
                </c:pt>
                <c:pt idx="4">
                  <c:v>141594.44197199962</c:v>
                </c:pt>
                <c:pt idx="5">
                  <c:v>161625.97135682157</c:v>
                </c:pt>
                <c:pt idx="6">
                  <c:v>170448.03582891205</c:v>
                </c:pt>
                <c:pt idx="7">
                  <c:v>174135.2414304525</c:v>
                </c:pt>
                <c:pt idx="8">
                  <c:v>172157.55121224423</c:v>
                </c:pt>
                <c:pt idx="9">
                  <c:v>166751.07124899322</c:v>
                </c:pt>
                <c:pt idx="10">
                  <c:v>161367.80839995237</c:v>
                </c:pt>
                <c:pt idx="11">
                  <c:v>148102.85048860428</c:v>
                </c:pt>
                <c:pt idx="12">
                  <c:v>119380.66821158474</c:v>
                </c:pt>
                <c:pt idx="13">
                  <c:v>93244.046006427248</c:v>
                </c:pt>
                <c:pt idx="14">
                  <c:v>69553.277874870138</c:v>
                </c:pt>
                <c:pt idx="15">
                  <c:v>50484.475170471349</c:v>
                </c:pt>
                <c:pt idx="16">
                  <c:v>46729.256591383295</c:v>
                </c:pt>
                <c:pt idx="17">
                  <c:v>50664.338951959355</c:v>
                </c:pt>
                <c:pt idx="18">
                  <c:v>54501.936167925</c:v>
                </c:pt>
                <c:pt idx="19">
                  <c:v>59886.240283099083</c:v>
                </c:pt>
                <c:pt idx="20">
                  <c:v>62571.207812049943</c:v>
                </c:pt>
                <c:pt idx="21">
                  <c:v>45264.690366756549</c:v>
                </c:pt>
                <c:pt idx="22">
                  <c:v>41432.607204711705</c:v>
                </c:pt>
                <c:pt idx="23">
                  <c:v>42757.322690404188</c:v>
                </c:pt>
              </c:numCache>
            </c:numRef>
          </c:val>
          <c:smooth val="0"/>
          <c:extLst>
            <c:ext xmlns:c16="http://schemas.microsoft.com/office/drawing/2014/chart" uri="{C3380CC4-5D6E-409C-BE32-E72D297353CC}">
              <c16:uniqueId val="{00000000-D811-4CDC-A13F-8250ED7B7CC8}"/>
            </c:ext>
          </c:extLst>
        </c:ser>
        <c:dLbls>
          <c:showLegendKey val="0"/>
          <c:showVal val="0"/>
          <c:showCatName val="0"/>
          <c:showSerName val="0"/>
          <c:showPercent val="0"/>
          <c:showBubbleSize val="0"/>
        </c:dLbls>
        <c:marker val="1"/>
        <c:smooth val="0"/>
        <c:axId val="267948320"/>
        <c:axId val="267945576"/>
      </c:lineChart>
      <c:catAx>
        <c:axId val="267948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5576"/>
        <c:crosses val="autoZero"/>
        <c:auto val="1"/>
        <c:lblAlgn val="ctr"/>
        <c:lblOffset val="100"/>
        <c:noMultiLvlLbl val="0"/>
      </c:catAx>
      <c:valAx>
        <c:axId val="267945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83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tool.xlsm]HY STO - Time!PivotTable2</c:name>
    <c:fmtId val="1"/>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6"/>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8"/>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9"/>
        <c:spPr>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'HY STO - Time'!$D$4:$D$5</c:f>
              <c:strCache>
                <c:ptCount val="1"/>
                <c:pt idx="0">
                  <c:v>GERMANY</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'HY STO - Time'!$C$6:$C$7</c:f>
              <c:strCache>
                <c:ptCount val="1"/>
                <c:pt idx="0">
                  <c:v>S02</c:v>
                </c:pt>
              </c:strCache>
            </c:strRef>
          </c:cat>
          <c:val>
            <c:numRef>
              <c:f>'HY STO - Time'!$D$6:$D$7</c:f>
              <c:numCache>
                <c:formatCode>General</c:formatCode>
                <c:ptCount val="1"/>
                <c:pt idx="0">
                  <c:v>843.17092076853601</c:v>
                </c:pt>
              </c:numCache>
            </c:numRef>
          </c:val>
          <c:smooth val="0"/>
          <c:extLst>
            <c:ext xmlns:c16="http://schemas.microsoft.com/office/drawing/2014/chart" uri="{C3380CC4-5D6E-409C-BE32-E72D297353CC}">
              <c16:uniqueId val="{00000000-791D-4904-8726-1D04F7729FE0}"/>
            </c:ext>
          </c:extLst>
        </c:ser>
        <c:ser>
          <c:idx val="1"/>
          <c:order val="1"/>
          <c:tx>
            <c:strRef>
              <c:f>'HY STO - Time'!$E$4:$E$5</c:f>
              <c:strCache>
                <c:ptCount val="1"/>
                <c:pt idx="0">
                  <c:v>SWEDEN</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'HY STO - Time'!$C$6:$C$7</c:f>
              <c:strCache>
                <c:ptCount val="1"/>
                <c:pt idx="0">
                  <c:v>S02</c:v>
                </c:pt>
              </c:strCache>
            </c:strRef>
          </c:cat>
          <c:val>
            <c:numRef>
              <c:f>'HY STO - Time'!$E$6:$E$7</c:f>
              <c:numCache>
                <c:formatCode>General</c:formatCode>
                <c:ptCount val="1"/>
                <c:pt idx="0">
                  <c:v>24887173</c:v>
                </c:pt>
              </c:numCache>
            </c:numRef>
          </c:val>
          <c:smooth val="0"/>
          <c:extLst>
            <c:ext xmlns:c16="http://schemas.microsoft.com/office/drawing/2014/chart" uri="{C3380CC4-5D6E-409C-BE32-E72D297353CC}">
              <c16:uniqueId val="{00000001-791D-4904-8726-1D04F7729FE0}"/>
            </c:ext>
          </c:extLst>
        </c:ser>
        <c:ser>
          <c:idx val="2"/>
          <c:order val="2"/>
          <c:tx>
            <c:strRef>
              <c:f>'HY STO - Time'!$F$4:$F$5</c:f>
              <c:strCache>
                <c:ptCount val="1"/>
                <c:pt idx="0">
                  <c:v>NORWAY</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'HY STO - Time'!$C$6:$C$7</c:f>
              <c:strCache>
                <c:ptCount val="1"/>
                <c:pt idx="0">
                  <c:v>S02</c:v>
                </c:pt>
              </c:strCache>
            </c:strRef>
          </c:cat>
          <c:val>
            <c:numRef>
              <c:f>'HY STO - Time'!$F$6:$F$7</c:f>
              <c:numCache>
                <c:formatCode>General</c:formatCode>
                <c:ptCount val="1"/>
                <c:pt idx="0">
                  <c:v>63815458</c:v>
                </c:pt>
              </c:numCache>
            </c:numRef>
          </c:val>
          <c:smooth val="0"/>
          <c:extLst>
            <c:ext xmlns:c16="http://schemas.microsoft.com/office/drawing/2014/chart" uri="{C3380CC4-5D6E-409C-BE32-E72D297353CC}">
              <c16:uniqueId val="{00000002-791D-4904-8726-1D04F7729FE0}"/>
            </c:ext>
          </c:extLst>
        </c:ser>
        <c:ser>
          <c:idx val="3"/>
          <c:order val="3"/>
          <c:tx>
            <c:strRef>
              <c:f>'HY STO - Time'!$G$4:$G$5</c:f>
              <c:strCache>
                <c:ptCount val="1"/>
                <c:pt idx="0">
                  <c:v>FINLAND</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'HY STO - Time'!$C$6:$C$7</c:f>
              <c:strCache>
                <c:ptCount val="1"/>
                <c:pt idx="0">
                  <c:v>S02</c:v>
                </c:pt>
              </c:strCache>
            </c:strRef>
          </c:cat>
          <c:val>
            <c:numRef>
              <c:f>'HY STO - Time'!$G$6:$G$7</c:f>
              <c:numCache>
                <c:formatCode>General</c:formatCode>
                <c:ptCount val="1"/>
                <c:pt idx="0">
                  <c:v>4278856.8726114603</c:v>
                </c:pt>
              </c:numCache>
            </c:numRef>
          </c:val>
          <c:smooth val="0"/>
          <c:extLst>
            <c:ext xmlns:c16="http://schemas.microsoft.com/office/drawing/2014/chart" uri="{C3380CC4-5D6E-409C-BE32-E72D297353CC}">
              <c16:uniqueId val="{00000000-7F01-4F1C-9663-8400EDFFD1FD}"/>
            </c:ext>
          </c:extLst>
        </c:ser>
        <c:dLbls>
          <c:showLegendKey val="0"/>
          <c:showVal val="0"/>
          <c:showCatName val="0"/>
          <c:showSerName val="0"/>
          <c:showPercent val="0"/>
          <c:showBubbleSize val="0"/>
        </c:dLbls>
        <c:marker val="1"/>
        <c:smooth val="0"/>
        <c:axId val="269702176"/>
        <c:axId val="269702568"/>
      </c:lineChart>
      <c:catAx>
        <c:axId val="26970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2568"/>
        <c:crosses val="autoZero"/>
        <c:auto val="1"/>
        <c:lblAlgn val="ctr"/>
        <c:lblOffset val="100"/>
        <c:noMultiLvlLbl val="0"/>
      </c:catAx>
      <c:valAx>
        <c:axId val="2697025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21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DEM - Time!PivotTable1</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
        <c:idx val="24"/>
        <c:spPr>
          <a:ln w="28575" cap="rnd">
            <a:solidFill>
              <a:schemeClr val="accent1"/>
            </a:solidFill>
            <a:round/>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chemeClr val="accent1"/>
            </a:solidFill>
            <a:round/>
          </a:ln>
          <a:effectLst/>
        </c:spPr>
        <c:marker>
          <c:symbol val="none"/>
        </c:marker>
      </c:pivotFmt>
      <c:pivotFmt>
        <c:idx val="28"/>
        <c:spPr>
          <a:ln w="28575" cap="rnd">
            <a:solidFill>
              <a:schemeClr val="accent1"/>
            </a:solidFill>
            <a:round/>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chemeClr val="accent1"/>
            </a:solidFill>
            <a:round/>
          </a:ln>
          <a:effectLst/>
        </c:spPr>
        <c:marker>
          <c:symbol val="none"/>
        </c:marker>
      </c:pivotFmt>
    </c:pivotFmts>
    <c:plotArea>
      <c:layout/>
      <c:lineChart>
        <c:grouping val="standard"/>
        <c:varyColors val="0"/>
        <c:ser>
          <c:idx val="0"/>
          <c:order val="0"/>
          <c:tx>
            <c:strRef>
              <c:f>'EL DEM - Time'!$E$3:$E$4</c:f>
              <c:strCache>
                <c:ptCount val="1"/>
                <c:pt idx="0">
                  <c:v>DENMARK</c:v>
                </c:pt>
              </c:strCache>
            </c:strRef>
          </c:tx>
          <c:spPr>
            <a:ln w="28575" cap="rnd">
              <a:solidFill>
                <a:schemeClr val="accent1"/>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Time'!$E$5:$E$29</c:f>
              <c:numCache>
                <c:formatCode>General</c:formatCode>
                <c:ptCount val="24"/>
                <c:pt idx="0">
                  <c:v>2496.6137064477198</c:v>
                </c:pt>
                <c:pt idx="1">
                  <c:v>2394.0987726177</c:v>
                </c:pt>
                <c:pt idx="2">
                  <c:v>2332.6352149815602</c:v>
                </c:pt>
                <c:pt idx="3">
                  <c:v>2307.63553629642</c:v>
                </c:pt>
                <c:pt idx="4">
                  <c:v>2323.7326622190803</c:v>
                </c:pt>
                <c:pt idx="5">
                  <c:v>2596.3125936565602</c:v>
                </c:pt>
                <c:pt idx="6">
                  <c:v>3239.8722198630899</c:v>
                </c:pt>
                <c:pt idx="7">
                  <c:v>3958.8214377244703</c:v>
                </c:pt>
                <c:pt idx="8">
                  <c:v>4127.0695562963101</c:v>
                </c:pt>
                <c:pt idx="9">
                  <c:v>4110.5817460141807</c:v>
                </c:pt>
                <c:pt idx="10">
                  <c:v>4145.7375441651502</c:v>
                </c:pt>
                <c:pt idx="11">
                  <c:v>4141.4317030883903</c:v>
                </c:pt>
                <c:pt idx="12">
                  <c:v>4139.7783663427899</c:v>
                </c:pt>
                <c:pt idx="13">
                  <c:v>4130.19451613195</c:v>
                </c:pt>
                <c:pt idx="14">
                  <c:v>4059.21070806444</c:v>
                </c:pt>
                <c:pt idx="15">
                  <c:v>3984.2661861057104</c:v>
                </c:pt>
                <c:pt idx="16">
                  <c:v>4170.55538043467</c:v>
                </c:pt>
                <c:pt idx="17">
                  <c:v>4477.0465002425099</c:v>
                </c:pt>
                <c:pt idx="18">
                  <c:v>4317.5101350947998</c:v>
                </c:pt>
                <c:pt idx="19">
                  <c:v>4082.55692124392</c:v>
                </c:pt>
                <c:pt idx="20">
                  <c:v>3791.74511471096</c:v>
                </c:pt>
                <c:pt idx="21">
                  <c:v>3456.9203856784397</c:v>
                </c:pt>
                <c:pt idx="22">
                  <c:v>3156.1614303835499</c:v>
                </c:pt>
                <c:pt idx="23">
                  <c:v>2913.7774156202599</c:v>
                </c:pt>
              </c:numCache>
            </c:numRef>
          </c:val>
          <c:smooth val="0"/>
          <c:extLst>
            <c:ext xmlns:c16="http://schemas.microsoft.com/office/drawing/2014/chart" uri="{C3380CC4-5D6E-409C-BE32-E72D297353CC}">
              <c16:uniqueId val="{00000000-A847-44AA-82B9-3A455AABD4F5}"/>
            </c:ext>
          </c:extLst>
        </c:ser>
        <c:ser>
          <c:idx val="1"/>
          <c:order val="1"/>
          <c:tx>
            <c:strRef>
              <c:f>'EL DEM - Time'!$F$3:$F$4</c:f>
              <c:strCache>
                <c:ptCount val="1"/>
                <c:pt idx="0">
                  <c:v>GERMANY</c:v>
                </c:pt>
              </c:strCache>
            </c:strRef>
          </c:tx>
          <c:spPr>
            <a:ln w="28575" cap="rnd">
              <a:solidFill>
                <a:schemeClr val="accent2"/>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Time'!$F$5:$F$29</c:f>
              <c:numCache>
                <c:formatCode>General</c:formatCode>
                <c:ptCount val="24"/>
                <c:pt idx="0">
                  <c:v>44279.089600767533</c:v>
                </c:pt>
                <c:pt idx="1">
                  <c:v>42208.499056215005</c:v>
                </c:pt>
                <c:pt idx="2">
                  <c:v>41440.763217854001</c:v>
                </c:pt>
                <c:pt idx="3">
                  <c:v>41942.936334493235</c:v>
                </c:pt>
                <c:pt idx="4">
                  <c:v>43653.120328137637</c:v>
                </c:pt>
                <c:pt idx="5">
                  <c:v>47515.760066263829</c:v>
                </c:pt>
                <c:pt idx="6">
                  <c:v>56469.017541454989</c:v>
                </c:pt>
                <c:pt idx="7">
                  <c:v>64337.061939535182</c:v>
                </c:pt>
                <c:pt idx="8">
                  <c:v>67605.679800125799</c:v>
                </c:pt>
                <c:pt idx="9">
                  <c:v>67795.367458498396</c:v>
                </c:pt>
                <c:pt idx="10">
                  <c:v>69028.337237920918</c:v>
                </c:pt>
                <c:pt idx="11">
                  <c:v>70028.690046812655</c:v>
                </c:pt>
                <c:pt idx="12">
                  <c:v>69797.071432378725</c:v>
                </c:pt>
                <c:pt idx="13">
                  <c:v>69307.87694499646</c:v>
                </c:pt>
                <c:pt idx="14">
                  <c:v>68696.883013817089</c:v>
                </c:pt>
                <c:pt idx="15">
                  <c:v>68300.535643427807</c:v>
                </c:pt>
                <c:pt idx="16">
                  <c:v>68168.752638663602</c:v>
                </c:pt>
                <c:pt idx="17">
                  <c:v>70163.468119867059</c:v>
                </c:pt>
                <c:pt idx="18">
                  <c:v>69627.350895939977</c:v>
                </c:pt>
                <c:pt idx="19">
                  <c:v>67802.355951175283</c:v>
                </c:pt>
                <c:pt idx="20">
                  <c:v>63599.276784075031</c:v>
                </c:pt>
                <c:pt idx="21">
                  <c:v>59545.95103147957</c:v>
                </c:pt>
                <c:pt idx="22">
                  <c:v>56283.323307469225</c:v>
                </c:pt>
                <c:pt idx="23">
                  <c:v>51032.96859493223</c:v>
                </c:pt>
              </c:numCache>
            </c:numRef>
          </c:val>
          <c:smooth val="0"/>
          <c:extLst>
            <c:ext xmlns:c16="http://schemas.microsoft.com/office/drawing/2014/chart" uri="{C3380CC4-5D6E-409C-BE32-E72D297353CC}">
              <c16:uniqueId val="{00000000-0D8E-4FA7-9030-249117F0A5D4}"/>
            </c:ext>
          </c:extLst>
        </c:ser>
        <c:ser>
          <c:idx val="2"/>
          <c:order val="2"/>
          <c:tx>
            <c:strRef>
              <c:f>'EL DEM - Time'!$G$3:$G$4</c:f>
              <c:strCache>
                <c:ptCount val="1"/>
                <c:pt idx="0">
                  <c:v>NORWAY</c:v>
                </c:pt>
              </c:strCache>
            </c:strRef>
          </c:tx>
          <c:spPr>
            <a:ln w="28575" cap="rnd">
              <a:solidFill>
                <a:schemeClr val="accent3"/>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Time'!$G$5:$G$29</c:f>
              <c:numCache>
                <c:formatCode>General</c:formatCode>
                <c:ptCount val="24"/>
                <c:pt idx="0">
                  <c:v>12512.504553141369</c:v>
                </c:pt>
                <c:pt idx="1">
                  <c:v>12254.1646773672</c:v>
                </c:pt>
                <c:pt idx="2">
                  <c:v>12170.34028243956</c:v>
                </c:pt>
                <c:pt idx="3">
                  <c:v>12217.588806807169</c:v>
                </c:pt>
                <c:pt idx="4">
                  <c:v>12399.346386043442</c:v>
                </c:pt>
                <c:pt idx="5">
                  <c:v>12916.903315270451</c:v>
                </c:pt>
                <c:pt idx="6">
                  <c:v>13965.878461134631</c:v>
                </c:pt>
                <c:pt idx="7">
                  <c:v>15303.4219231201</c:v>
                </c:pt>
                <c:pt idx="8">
                  <c:v>15820.00074069203</c:v>
                </c:pt>
                <c:pt idx="9">
                  <c:v>15660.372508152099</c:v>
                </c:pt>
                <c:pt idx="10">
                  <c:v>15484.138256944399</c:v>
                </c:pt>
                <c:pt idx="11">
                  <c:v>15379.930559107501</c:v>
                </c:pt>
                <c:pt idx="12">
                  <c:v>15217.084928152111</c:v>
                </c:pt>
                <c:pt idx="13">
                  <c:v>15226.39027032233</c:v>
                </c:pt>
                <c:pt idx="14">
                  <c:v>15181.03316594914</c:v>
                </c:pt>
                <c:pt idx="15">
                  <c:v>15227.05989442164</c:v>
                </c:pt>
                <c:pt idx="16">
                  <c:v>15324.80039406154</c:v>
                </c:pt>
                <c:pt idx="17">
                  <c:v>15055.746644875071</c:v>
                </c:pt>
                <c:pt idx="18">
                  <c:v>14889.043480138911</c:v>
                </c:pt>
                <c:pt idx="19">
                  <c:v>14704.210621670081</c:v>
                </c:pt>
                <c:pt idx="20">
                  <c:v>14526.476277199839</c:v>
                </c:pt>
                <c:pt idx="21">
                  <c:v>14128.44682869588</c:v>
                </c:pt>
                <c:pt idx="22">
                  <c:v>13584.64813359407</c:v>
                </c:pt>
                <c:pt idx="23">
                  <c:v>13008.729164672139</c:v>
                </c:pt>
              </c:numCache>
            </c:numRef>
          </c:val>
          <c:smooth val="0"/>
          <c:extLst>
            <c:ext xmlns:c16="http://schemas.microsoft.com/office/drawing/2014/chart" uri="{C3380CC4-5D6E-409C-BE32-E72D297353CC}">
              <c16:uniqueId val="{00000001-0D8E-4FA7-9030-249117F0A5D4}"/>
            </c:ext>
          </c:extLst>
        </c:ser>
        <c:ser>
          <c:idx val="3"/>
          <c:order val="3"/>
          <c:tx>
            <c:strRef>
              <c:f>'EL DEM - Time'!$H$3:$H$4</c:f>
              <c:strCache>
                <c:ptCount val="1"/>
                <c:pt idx="0">
                  <c:v>SWEDEN</c:v>
                </c:pt>
              </c:strCache>
            </c:strRef>
          </c:tx>
          <c:spPr>
            <a:ln w="28575" cap="rnd">
              <a:solidFill>
                <a:schemeClr val="accent4"/>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Time'!$H$5:$H$29</c:f>
              <c:numCache>
                <c:formatCode>General</c:formatCode>
                <c:ptCount val="24"/>
                <c:pt idx="0">
                  <c:v>12195.01045471997</c:v>
                </c:pt>
                <c:pt idx="1">
                  <c:v>12021.05278844305</c:v>
                </c:pt>
                <c:pt idx="2">
                  <c:v>12063.173123686829</c:v>
                </c:pt>
                <c:pt idx="3">
                  <c:v>12135.767579057756</c:v>
                </c:pt>
                <c:pt idx="4">
                  <c:v>12412.788763435081</c:v>
                </c:pt>
                <c:pt idx="5">
                  <c:v>13025.740019769761</c:v>
                </c:pt>
                <c:pt idx="6">
                  <c:v>14717.990301077391</c:v>
                </c:pt>
                <c:pt idx="7">
                  <c:v>15839.723250863204</c:v>
                </c:pt>
                <c:pt idx="8">
                  <c:v>16302.8513509287</c:v>
                </c:pt>
                <c:pt idx="9">
                  <c:v>16065.81090292889</c:v>
                </c:pt>
                <c:pt idx="10">
                  <c:v>16235.233134945418</c:v>
                </c:pt>
                <c:pt idx="11">
                  <c:v>16156.963436666061</c:v>
                </c:pt>
                <c:pt idx="12">
                  <c:v>16169.214974724931</c:v>
                </c:pt>
                <c:pt idx="13">
                  <c:v>16095.86294185565</c:v>
                </c:pt>
                <c:pt idx="14">
                  <c:v>16249.303954167603</c:v>
                </c:pt>
                <c:pt idx="15">
                  <c:v>16448.06330361736</c:v>
                </c:pt>
                <c:pt idx="16">
                  <c:v>16501.109471256939</c:v>
                </c:pt>
                <c:pt idx="17">
                  <c:v>16491.97108687917</c:v>
                </c:pt>
                <c:pt idx="18">
                  <c:v>16249.171062526011</c:v>
                </c:pt>
                <c:pt idx="19">
                  <c:v>15993.57301002956</c:v>
                </c:pt>
                <c:pt idx="20">
                  <c:v>15540.168096416932</c:v>
                </c:pt>
                <c:pt idx="21">
                  <c:v>14813.808216940841</c:v>
                </c:pt>
                <c:pt idx="22">
                  <c:v>13950.509971969735</c:v>
                </c:pt>
                <c:pt idx="23">
                  <c:v>13173.429214051852</c:v>
                </c:pt>
              </c:numCache>
            </c:numRef>
          </c:val>
          <c:smooth val="0"/>
          <c:extLst>
            <c:ext xmlns:c16="http://schemas.microsoft.com/office/drawing/2014/chart" uri="{C3380CC4-5D6E-409C-BE32-E72D297353CC}">
              <c16:uniqueId val="{00000002-0D8E-4FA7-9030-249117F0A5D4}"/>
            </c:ext>
          </c:extLst>
        </c:ser>
        <c:ser>
          <c:idx val="4"/>
          <c:order val="4"/>
          <c:tx>
            <c:strRef>
              <c:f>'EL DEM - Time'!$I$3:$I$4</c:f>
              <c:strCache>
                <c:ptCount val="1"/>
                <c:pt idx="0">
                  <c:v>NETHERLANDS</c:v>
                </c:pt>
              </c:strCache>
            </c:strRef>
          </c:tx>
          <c:spPr>
            <a:ln w="28575" cap="rnd">
              <a:solidFill>
                <a:schemeClr val="accent5"/>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Time'!$I$5:$I$29</c:f>
              <c:numCache>
                <c:formatCode>General</c:formatCode>
                <c:ptCount val="24"/>
                <c:pt idx="0">
                  <c:v>9244.8732449516901</c:v>
                </c:pt>
                <c:pt idx="1">
                  <c:v>8760.3195324266508</c:v>
                </c:pt>
                <c:pt idx="2">
                  <c:v>8550.7827918752791</c:v>
                </c:pt>
                <c:pt idx="3">
                  <c:v>8492.7860154726695</c:v>
                </c:pt>
                <c:pt idx="4">
                  <c:v>8585.3937713413507</c:v>
                </c:pt>
                <c:pt idx="5">
                  <c:v>9030.6593450130094</c:v>
                </c:pt>
                <c:pt idx="6">
                  <c:v>10427.259138063</c:v>
                </c:pt>
                <c:pt idx="7">
                  <c:v>12839.7379500361</c:v>
                </c:pt>
                <c:pt idx="8">
                  <c:v>14346.718704626501</c:v>
                </c:pt>
                <c:pt idx="9">
                  <c:v>14696.570226797099</c:v>
                </c:pt>
                <c:pt idx="10">
                  <c:v>14743.341820670201</c:v>
                </c:pt>
                <c:pt idx="11">
                  <c:v>14925.7510367752</c:v>
                </c:pt>
                <c:pt idx="12">
                  <c:v>14815.370075234699</c:v>
                </c:pt>
                <c:pt idx="13">
                  <c:v>14960.362016241301</c:v>
                </c:pt>
                <c:pt idx="14">
                  <c:v>14868.68969225</c:v>
                </c:pt>
                <c:pt idx="15">
                  <c:v>14776.081936381301</c:v>
                </c:pt>
                <c:pt idx="16">
                  <c:v>15061.3886590071</c:v>
                </c:pt>
                <c:pt idx="17">
                  <c:v>15754.543680205999</c:v>
                </c:pt>
                <c:pt idx="18">
                  <c:v>15045.486317090301</c:v>
                </c:pt>
                <c:pt idx="19">
                  <c:v>14629.219131619901</c:v>
                </c:pt>
                <c:pt idx="20">
                  <c:v>13893.034244057701</c:v>
                </c:pt>
                <c:pt idx="21">
                  <c:v>13011.857415488999</c:v>
                </c:pt>
                <c:pt idx="22">
                  <c:v>11966.0445764871</c:v>
                </c:pt>
                <c:pt idx="23">
                  <c:v>10942.682102544301</c:v>
                </c:pt>
              </c:numCache>
            </c:numRef>
          </c:val>
          <c:smooth val="0"/>
          <c:extLst>
            <c:ext xmlns:c16="http://schemas.microsoft.com/office/drawing/2014/chart" uri="{C3380CC4-5D6E-409C-BE32-E72D297353CC}">
              <c16:uniqueId val="{00000000-070B-4FF1-AAF1-21F55AA776DF}"/>
            </c:ext>
          </c:extLst>
        </c:ser>
        <c:ser>
          <c:idx val="5"/>
          <c:order val="5"/>
          <c:tx>
            <c:strRef>
              <c:f>'EL DEM - Time'!$J$3:$J$4</c:f>
              <c:strCache>
                <c:ptCount val="1"/>
                <c:pt idx="0">
                  <c:v>UNITED_KINGDOM</c:v>
                </c:pt>
              </c:strCache>
            </c:strRef>
          </c:tx>
          <c:spPr>
            <a:ln w="28575" cap="rnd">
              <a:solidFill>
                <a:schemeClr val="accent6"/>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Time'!$J$5:$J$29</c:f>
              <c:numCache>
                <c:formatCode>General</c:formatCode>
                <c:ptCount val="24"/>
                <c:pt idx="0">
                  <c:v>27925.2310278068</c:v>
                </c:pt>
                <c:pt idx="1">
                  <c:v>27300.056696886</c:v>
                </c:pt>
                <c:pt idx="2">
                  <c:v>26417.8144134748</c:v>
                </c:pt>
                <c:pt idx="3">
                  <c:v>25472.121600955099</c:v>
                </c:pt>
                <c:pt idx="4">
                  <c:v>24732.176460029499</c:v>
                </c:pt>
                <c:pt idx="5">
                  <c:v>25899.479576420301</c:v>
                </c:pt>
                <c:pt idx="6">
                  <c:v>31354.825435716</c:v>
                </c:pt>
                <c:pt idx="7">
                  <c:v>38240.607487999099</c:v>
                </c:pt>
                <c:pt idx="8">
                  <c:v>40250.029759100304</c:v>
                </c:pt>
                <c:pt idx="9">
                  <c:v>41010.969560392601</c:v>
                </c:pt>
                <c:pt idx="10">
                  <c:v>41177.060651293999</c:v>
                </c:pt>
                <c:pt idx="11">
                  <c:v>41395.405119108102</c:v>
                </c:pt>
                <c:pt idx="12">
                  <c:v>41529.3043974471</c:v>
                </c:pt>
                <c:pt idx="13">
                  <c:v>41299.762777437398</c:v>
                </c:pt>
                <c:pt idx="14">
                  <c:v>41339.419358130101</c:v>
                </c:pt>
                <c:pt idx="15">
                  <c:v>41645.4748514764</c:v>
                </c:pt>
                <c:pt idx="16">
                  <c:v>45465.103394198799</c:v>
                </c:pt>
                <c:pt idx="17">
                  <c:v>47904.216380806</c:v>
                </c:pt>
                <c:pt idx="18">
                  <c:v>46756.0417327494</c:v>
                </c:pt>
                <c:pt idx="19">
                  <c:v>44260.476437156001</c:v>
                </c:pt>
                <c:pt idx="20">
                  <c:v>41308.160641584102</c:v>
                </c:pt>
                <c:pt idx="21">
                  <c:v>37925.221034489798</c:v>
                </c:pt>
                <c:pt idx="22">
                  <c:v>33819.132014763301</c:v>
                </c:pt>
                <c:pt idx="23">
                  <c:v>30229.511640058699</c:v>
                </c:pt>
              </c:numCache>
            </c:numRef>
          </c:val>
          <c:smooth val="0"/>
          <c:extLst>
            <c:ext xmlns:c16="http://schemas.microsoft.com/office/drawing/2014/chart" uri="{C3380CC4-5D6E-409C-BE32-E72D297353CC}">
              <c16:uniqueId val="{00000001-070B-4FF1-AAF1-21F55AA776DF}"/>
            </c:ext>
          </c:extLst>
        </c:ser>
        <c:ser>
          <c:idx val="6"/>
          <c:order val="6"/>
          <c:tx>
            <c:strRef>
              <c:f>'EL DEM - Time'!$K$3:$K$4</c:f>
              <c:strCache>
                <c:ptCount val="1"/>
                <c:pt idx="0">
                  <c:v>ESTONIA</c:v>
                </c:pt>
              </c:strCache>
            </c:strRef>
          </c:tx>
          <c:spPr>
            <a:ln w="28575" cap="rnd">
              <a:solidFill>
                <a:schemeClr val="accent1">
                  <a:lumMod val="60000"/>
                </a:schemeClr>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Time'!$K$5:$K$29</c:f>
              <c:numCache>
                <c:formatCode>General</c:formatCode>
                <c:ptCount val="24"/>
                <c:pt idx="0">
                  <c:v>870.65846578531102</c:v>
                </c:pt>
                <c:pt idx="1">
                  <c:v>832.46310001970096</c:v>
                </c:pt>
                <c:pt idx="2">
                  <c:v>811.89636460744998</c:v>
                </c:pt>
                <c:pt idx="3">
                  <c:v>806.02015448966404</c:v>
                </c:pt>
                <c:pt idx="4">
                  <c:v>808.95825954855695</c:v>
                </c:pt>
                <c:pt idx="5">
                  <c:v>821.69004813709296</c:v>
                </c:pt>
                <c:pt idx="6">
                  <c:v>848.13299366713102</c:v>
                </c:pt>
                <c:pt idx="7">
                  <c:v>891.225201197562</c:v>
                </c:pt>
                <c:pt idx="8">
                  <c:v>942.15235555170898</c:v>
                </c:pt>
                <c:pt idx="9">
                  <c:v>983.28582637621196</c:v>
                </c:pt>
                <c:pt idx="10">
                  <c:v>1027.3574022596099</c:v>
                </c:pt>
                <c:pt idx="11">
                  <c:v>1046.9447693188899</c:v>
                </c:pt>
                <c:pt idx="12">
                  <c:v>1048.90350602482</c:v>
                </c:pt>
                <c:pt idx="13">
                  <c:v>1052.8209794366801</c:v>
                </c:pt>
                <c:pt idx="14">
                  <c:v>1051.84161108372</c:v>
                </c:pt>
                <c:pt idx="15">
                  <c:v>1067.5115047311499</c:v>
                </c:pt>
                <c:pt idx="16">
                  <c:v>1137.04665779162</c:v>
                </c:pt>
                <c:pt idx="17">
                  <c:v>1157.6133932038699</c:v>
                </c:pt>
                <c:pt idx="18">
                  <c:v>1148.79907802719</c:v>
                </c:pt>
                <c:pt idx="19">
                  <c:v>1134.10855273272</c:v>
                </c:pt>
                <c:pt idx="20">
                  <c:v>1106.68623884972</c:v>
                </c:pt>
                <c:pt idx="21">
                  <c:v>1053.80034778965</c:v>
                </c:pt>
                <c:pt idx="22">
                  <c:v>989.16203649399802</c:v>
                </c:pt>
                <c:pt idx="23">
                  <c:v>922.564988492422</c:v>
                </c:pt>
              </c:numCache>
            </c:numRef>
          </c:val>
          <c:smooth val="0"/>
          <c:extLst>
            <c:ext xmlns:c16="http://schemas.microsoft.com/office/drawing/2014/chart" uri="{C3380CC4-5D6E-409C-BE32-E72D297353CC}">
              <c16:uniqueId val="{00000002-070B-4FF1-AAF1-21F55AA776DF}"/>
            </c:ext>
          </c:extLst>
        </c:ser>
        <c:ser>
          <c:idx val="7"/>
          <c:order val="7"/>
          <c:tx>
            <c:strRef>
              <c:f>'EL DEM - Time'!$L$3:$L$4</c:f>
              <c:strCache>
                <c:ptCount val="1"/>
                <c:pt idx="0">
                  <c:v>LATVIA</c:v>
                </c:pt>
              </c:strCache>
            </c:strRef>
          </c:tx>
          <c:spPr>
            <a:ln w="28575" cap="rnd">
              <a:solidFill>
                <a:schemeClr val="accent2">
                  <a:lumMod val="60000"/>
                </a:schemeClr>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Time'!$L$5:$L$29</c:f>
              <c:numCache>
                <c:formatCode>General</c:formatCode>
                <c:ptCount val="24"/>
                <c:pt idx="0">
                  <c:v>626.37691782578304</c:v>
                </c:pt>
                <c:pt idx="1">
                  <c:v>576.15719409339499</c:v>
                </c:pt>
                <c:pt idx="2">
                  <c:v>556.98239048648304</c:v>
                </c:pt>
                <c:pt idx="3">
                  <c:v>546.93844574000605</c:v>
                </c:pt>
                <c:pt idx="4">
                  <c:v>555.15621871439703</c:v>
                </c:pt>
                <c:pt idx="5">
                  <c:v>599.89742713052397</c:v>
                </c:pt>
                <c:pt idx="6">
                  <c:v>724.99019351847198</c:v>
                </c:pt>
                <c:pt idx="7">
                  <c:v>907.60737072715494</c:v>
                </c:pt>
                <c:pt idx="8">
                  <c:v>1029.9608794569699</c:v>
                </c:pt>
                <c:pt idx="9">
                  <c:v>1064.65814312662</c:v>
                </c:pt>
                <c:pt idx="10">
                  <c:v>1077.4413455312299</c:v>
                </c:pt>
                <c:pt idx="11">
                  <c:v>1057.35345603828</c:v>
                </c:pt>
                <c:pt idx="12">
                  <c:v>1053.7011124941</c:v>
                </c:pt>
                <c:pt idx="13">
                  <c:v>1049.1356830638799</c:v>
                </c:pt>
                <c:pt idx="14">
                  <c:v>1052.7880266080599</c:v>
                </c:pt>
                <c:pt idx="15">
                  <c:v>1060.0927136964101</c:v>
                </c:pt>
                <c:pt idx="16">
                  <c:v>1103.9208362264901</c:v>
                </c:pt>
                <c:pt idx="17">
                  <c:v>1095.7030632521</c:v>
                </c:pt>
                <c:pt idx="18">
                  <c:v>1068.3104866707999</c:v>
                </c:pt>
                <c:pt idx="19">
                  <c:v>1029.9608794569699</c:v>
                </c:pt>
                <c:pt idx="20">
                  <c:v>994.35052990127997</c:v>
                </c:pt>
                <c:pt idx="21">
                  <c:v>943.21772028284795</c:v>
                </c:pt>
                <c:pt idx="22">
                  <c:v>849.16987402037603</c:v>
                </c:pt>
                <c:pt idx="23">
                  <c:v>740.51265358120997</c:v>
                </c:pt>
              </c:numCache>
            </c:numRef>
          </c:val>
          <c:smooth val="0"/>
          <c:extLst>
            <c:ext xmlns:c16="http://schemas.microsoft.com/office/drawing/2014/chart" uri="{C3380CC4-5D6E-409C-BE32-E72D297353CC}">
              <c16:uniqueId val="{00000003-070B-4FF1-AAF1-21F55AA776DF}"/>
            </c:ext>
          </c:extLst>
        </c:ser>
        <c:ser>
          <c:idx val="8"/>
          <c:order val="8"/>
          <c:tx>
            <c:strRef>
              <c:f>'EL DEM - Time'!$M$3:$M$4</c:f>
              <c:strCache>
                <c:ptCount val="1"/>
                <c:pt idx="0">
                  <c:v>LITHUANIA</c:v>
                </c:pt>
              </c:strCache>
            </c:strRef>
          </c:tx>
          <c:spPr>
            <a:ln w="28575" cap="rnd">
              <a:solidFill>
                <a:schemeClr val="accent3">
                  <a:lumMod val="60000"/>
                </a:schemeClr>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Time'!$M$5:$M$29</c:f>
              <c:numCache>
                <c:formatCode>General</c:formatCode>
                <c:ptCount val="24"/>
                <c:pt idx="0">
                  <c:v>922.09306422709301</c:v>
                </c:pt>
                <c:pt idx="1">
                  <c:v>850.190348850345</c:v>
                </c:pt>
                <c:pt idx="2">
                  <c:v>807.52280346194505</c:v>
                </c:pt>
                <c:pt idx="3">
                  <c:v>786.97917049715898</c:v>
                </c:pt>
                <c:pt idx="4">
                  <c:v>777.49749374418104</c:v>
                </c:pt>
                <c:pt idx="5">
                  <c:v>786.18903076774404</c:v>
                </c:pt>
                <c:pt idx="6">
                  <c:v>843.07909128561096</c:v>
                </c:pt>
                <c:pt idx="7">
                  <c:v>1027.1816482392601</c:v>
                </c:pt>
                <c:pt idx="8">
                  <c:v>1220.76588194589</c:v>
                </c:pt>
                <c:pt idx="9">
                  <c:v>1321.11362758158</c:v>
                </c:pt>
                <c:pt idx="10">
                  <c:v>1332.1755837933799</c:v>
                </c:pt>
                <c:pt idx="11">
                  <c:v>1332.9657235228001</c:v>
                </c:pt>
                <c:pt idx="12">
                  <c:v>1332.9657235228001</c:v>
                </c:pt>
                <c:pt idx="13">
                  <c:v>1310.05167136977</c:v>
                </c:pt>
                <c:pt idx="14">
                  <c:v>1327.4347454168999</c:v>
                </c:pt>
                <c:pt idx="15">
                  <c:v>1326.64460568748</c:v>
                </c:pt>
                <c:pt idx="16">
                  <c:v>1326.64460568748</c:v>
                </c:pt>
                <c:pt idx="17">
                  <c:v>1355.8797756758299</c:v>
                </c:pt>
                <c:pt idx="18">
                  <c:v>1379.5839675582699</c:v>
                </c:pt>
                <c:pt idx="19">
                  <c:v>1344.02767973461</c:v>
                </c:pt>
                <c:pt idx="20">
                  <c:v>1306.8911124521101</c:v>
                </c:pt>
                <c:pt idx="21">
                  <c:v>1265.80384652254</c:v>
                </c:pt>
                <c:pt idx="22">
                  <c:v>1197.06169006345</c:v>
                </c:pt>
                <c:pt idx="23">
                  <c:v>1069.84919362766</c:v>
                </c:pt>
              </c:numCache>
            </c:numRef>
          </c:val>
          <c:smooth val="0"/>
          <c:extLst>
            <c:ext xmlns:c16="http://schemas.microsoft.com/office/drawing/2014/chart" uri="{C3380CC4-5D6E-409C-BE32-E72D297353CC}">
              <c16:uniqueId val="{00000004-070B-4FF1-AAF1-21F55AA776DF}"/>
            </c:ext>
          </c:extLst>
        </c:ser>
        <c:ser>
          <c:idx val="9"/>
          <c:order val="9"/>
          <c:tx>
            <c:strRef>
              <c:f>'EL DEM - Time'!$N$3:$N$4</c:f>
              <c:strCache>
                <c:ptCount val="1"/>
                <c:pt idx="0">
                  <c:v>POLAND</c:v>
                </c:pt>
              </c:strCache>
            </c:strRef>
          </c:tx>
          <c:spPr>
            <a:ln w="28575" cap="rnd">
              <a:solidFill>
                <a:schemeClr val="accent4">
                  <a:lumMod val="60000"/>
                </a:schemeClr>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Time'!$N$5:$N$29</c:f>
              <c:numCache>
                <c:formatCode>General</c:formatCode>
                <c:ptCount val="24"/>
                <c:pt idx="0">
                  <c:v>13308.6951599888</c:v>
                </c:pt>
                <c:pt idx="1">
                  <c:v>13012.2492689766</c:v>
                </c:pt>
                <c:pt idx="2">
                  <c:v>12948.725149473999</c:v>
                </c:pt>
                <c:pt idx="3">
                  <c:v>13124.396788592299</c:v>
                </c:pt>
                <c:pt idx="4">
                  <c:v>13603.572554222999</c:v>
                </c:pt>
                <c:pt idx="5">
                  <c:v>15026.1991317257</c:v>
                </c:pt>
                <c:pt idx="6">
                  <c:v>17854.198822174701</c:v>
                </c:pt>
                <c:pt idx="7">
                  <c:v>18697.265840264699</c:v>
                </c:pt>
                <c:pt idx="8">
                  <c:v>19099.5852637811</c:v>
                </c:pt>
                <c:pt idx="9">
                  <c:v>19130.170950949101</c:v>
                </c:pt>
                <c:pt idx="10">
                  <c:v>19352.897493402601</c:v>
                </c:pt>
                <c:pt idx="11">
                  <c:v>19265.845922232402</c:v>
                </c:pt>
                <c:pt idx="12">
                  <c:v>19321.527557845799</c:v>
                </c:pt>
                <c:pt idx="13">
                  <c:v>18755.300221044799</c:v>
                </c:pt>
                <c:pt idx="14">
                  <c:v>19021.160424889102</c:v>
                </c:pt>
                <c:pt idx="15">
                  <c:v>19991.275681984302</c:v>
                </c:pt>
                <c:pt idx="16">
                  <c:v>21362.926114206999</c:v>
                </c:pt>
                <c:pt idx="17">
                  <c:v>20902.5723099104</c:v>
                </c:pt>
                <c:pt idx="18">
                  <c:v>21033.541790860199</c:v>
                </c:pt>
                <c:pt idx="19">
                  <c:v>20687.688251346099</c:v>
                </c:pt>
                <c:pt idx="20">
                  <c:v>20014.018885263002</c:v>
                </c:pt>
                <c:pt idx="21">
                  <c:v>18029.870461293001</c:v>
                </c:pt>
                <c:pt idx="22">
                  <c:v>16967.213894305001</c:v>
                </c:pt>
                <c:pt idx="23">
                  <c:v>15700.6527461977</c:v>
                </c:pt>
              </c:numCache>
            </c:numRef>
          </c:val>
          <c:smooth val="0"/>
          <c:extLst>
            <c:ext xmlns:c16="http://schemas.microsoft.com/office/drawing/2014/chart" uri="{C3380CC4-5D6E-409C-BE32-E72D297353CC}">
              <c16:uniqueId val="{00000005-070B-4FF1-AAF1-21F55AA776DF}"/>
            </c:ext>
          </c:extLst>
        </c:ser>
        <c:ser>
          <c:idx val="10"/>
          <c:order val="10"/>
          <c:tx>
            <c:strRef>
              <c:f>'EL DEM - Time'!$O$3:$O$4</c:f>
              <c:strCache>
                <c:ptCount val="1"/>
                <c:pt idx="0">
                  <c:v>FINLAND</c:v>
                </c:pt>
              </c:strCache>
            </c:strRef>
          </c:tx>
          <c:spPr>
            <a:ln w="28575" cap="rnd">
              <a:solidFill>
                <a:schemeClr val="accent5">
                  <a:lumMod val="60000"/>
                </a:schemeClr>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Time'!$O$5:$O$29</c:f>
              <c:numCache>
                <c:formatCode>General</c:formatCode>
                <c:ptCount val="24"/>
                <c:pt idx="0">
                  <c:v>8431.4422706258101</c:v>
                </c:pt>
                <c:pt idx="1">
                  <c:v>8215.9630102729298</c:v>
                </c:pt>
                <c:pt idx="2">
                  <c:v>8184.9470561312301</c:v>
                </c:pt>
                <c:pt idx="3">
                  <c:v>8260.0383135269294</c:v>
                </c:pt>
                <c:pt idx="4">
                  <c:v>8619.1704141150603</c:v>
                </c:pt>
                <c:pt idx="5">
                  <c:v>9508.0223630706696</c:v>
                </c:pt>
                <c:pt idx="6">
                  <c:v>9961.8347447229407</c:v>
                </c:pt>
                <c:pt idx="7">
                  <c:v>10232.8162388031</c:v>
                </c:pt>
                <c:pt idx="8">
                  <c:v>10107.9362129167</c:v>
                </c:pt>
                <c:pt idx="9">
                  <c:v>9990.4020709060896</c:v>
                </c:pt>
                <c:pt idx="10">
                  <c:v>9983.8723963499397</c:v>
                </c:pt>
                <c:pt idx="11">
                  <c:v>9885.9272780077208</c:v>
                </c:pt>
                <c:pt idx="12">
                  <c:v>9803.49013673636</c:v>
                </c:pt>
                <c:pt idx="13">
                  <c:v>9735.7447632163203</c:v>
                </c:pt>
                <c:pt idx="14">
                  <c:v>9851.6464865879498</c:v>
                </c:pt>
                <c:pt idx="15">
                  <c:v>9981.4237683913907</c:v>
                </c:pt>
                <c:pt idx="16">
                  <c:v>10041.8232580358</c:v>
                </c:pt>
                <c:pt idx="17">
                  <c:v>10019.785606408799</c:v>
                </c:pt>
                <c:pt idx="18">
                  <c:v>10040.190839396701</c:v>
                </c:pt>
                <c:pt idx="19">
                  <c:v>9905.5163016761708</c:v>
                </c:pt>
                <c:pt idx="20">
                  <c:v>9537.4058985733409</c:v>
                </c:pt>
                <c:pt idx="21">
                  <c:v>9676.9776922109904</c:v>
                </c:pt>
                <c:pt idx="22">
                  <c:v>9284.3810095226108</c:v>
                </c:pt>
                <c:pt idx="23">
                  <c:v>8881.9898150000008</c:v>
                </c:pt>
              </c:numCache>
            </c:numRef>
          </c:val>
          <c:smooth val="0"/>
          <c:extLst>
            <c:ext xmlns:c16="http://schemas.microsoft.com/office/drawing/2014/chart" uri="{C3380CC4-5D6E-409C-BE32-E72D297353CC}">
              <c16:uniqueId val="{00000006-070B-4FF1-AAF1-21F55AA776DF}"/>
            </c:ext>
          </c:extLst>
        </c:ser>
        <c:dLbls>
          <c:showLegendKey val="0"/>
          <c:showVal val="0"/>
          <c:showCatName val="0"/>
          <c:showSerName val="0"/>
          <c:showPercent val="0"/>
          <c:showBubbleSize val="0"/>
        </c:dLbls>
        <c:smooth val="0"/>
        <c:axId val="269703352"/>
        <c:axId val="269703744"/>
      </c:lineChart>
      <c:catAx>
        <c:axId val="269703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3744"/>
        <c:crosses val="autoZero"/>
        <c:auto val="1"/>
        <c:lblAlgn val="ctr"/>
        <c:lblOffset val="100"/>
        <c:noMultiLvlLbl val="0"/>
      </c:catAx>
      <c:valAx>
        <c:axId val="269703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33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DEM - Annual!PivotTable3</c:name>
    <c:fmtId val="1"/>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'EL DEM - Annual'!$D$4:$D$5</c:f>
              <c:strCache>
                <c:ptCount val="1"/>
                <c:pt idx="0">
                  <c:v>2016</c:v>
                </c:pt>
              </c:strCache>
            </c:strRef>
          </c:tx>
          <c:spPr>
            <a:solidFill>
              <a:schemeClr val="accent1"/>
            </a:solidFill>
            <a:ln>
              <a:noFill/>
            </a:ln>
            <a:effectLst/>
          </c:spPr>
          <c:invertIfNegative val="0"/>
          <c:cat>
            <c:strRef>
              <c:f>'EL DEM - Annual'!$C$6:$C$17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'EL DEM - Annual'!$D$6:$D$17</c:f>
              <c:numCache>
                <c:formatCode>General</c:formatCode>
                <c:ptCount val="11"/>
                <c:pt idx="0">
                  <c:v>30.971806999999998</c:v>
                </c:pt>
                <c:pt idx="1">
                  <c:v>525.1</c:v>
                </c:pt>
                <c:pt idx="2">
                  <c:v>124.887765</c:v>
                </c:pt>
                <c:pt idx="3">
                  <c:v>130.24962600000001</c:v>
                </c:pt>
                <c:pt idx="4">
                  <c:v>111.094668</c:v>
                </c:pt>
                <c:pt idx="5">
                  <c:v>322.90002489405998</c:v>
                </c:pt>
                <c:pt idx="6">
                  <c:v>8.6</c:v>
                </c:pt>
                <c:pt idx="7">
                  <c:v>7.798</c:v>
                </c:pt>
                <c:pt idx="8">
                  <c:v>10.055966111111101</c:v>
                </c:pt>
                <c:pt idx="9">
                  <c:v>155.567216</c:v>
                </c:pt>
                <c:pt idx="10">
                  <c:v>83.272103000000001</c:v>
                </c:pt>
              </c:numCache>
            </c:numRef>
          </c:val>
          <c:extLst>
            <c:ext xmlns:c16="http://schemas.microsoft.com/office/drawing/2014/chart" uri="{C3380CC4-5D6E-409C-BE32-E72D297353CC}">
              <c16:uniqueId val="{00000000-61C2-4C88-B3A0-5995242AC754}"/>
            </c:ext>
          </c:extLst>
        </c:ser>
        <c:dLbls>
          <c:showLegendKey val="0"/>
          <c:showVal val="0"/>
          <c:showCatName val="0"/>
          <c:showSerName val="0"/>
          <c:showPercent val="0"/>
          <c:showBubbleSize val="0"/>
        </c:dLbls>
        <c:gapWidth val="219"/>
        <c:overlap val="-27"/>
        <c:axId val="269704528"/>
        <c:axId val="269704920"/>
      </c:barChart>
      <c:catAx>
        <c:axId val="269704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4920"/>
        <c:crosses val="autoZero"/>
        <c:auto val="1"/>
        <c:lblAlgn val="ctr"/>
        <c:lblOffset val="100"/>
        <c:noMultiLvlLbl val="0"/>
      </c:catAx>
      <c:valAx>
        <c:axId val="269704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4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tool.xlsm]GEN INVEST!PivotTable2</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s>
    <c:plotArea>
      <c:layout/>
      <c:barChart>
        <c:barDir val="col"/>
        <c:grouping val="stacked"/>
        <c:varyColors val="0"/>
        <c:ser>
          <c:idx val="0"/>
          <c:order val="0"/>
          <c:tx>
            <c:strRef>
              <c:f>'GEN INVEST'!$F$3:$F$4</c:f>
              <c:strCache>
                <c:ptCount val="1"/>
                <c:pt idx="0">
                  <c:v>GNR_ES_ELEC_BAT-LITHIO_E-95_Y-16-29</c:v>
                </c:pt>
              </c:strCache>
            </c:strRef>
          </c:tx>
          <c:spPr>
            <a:solidFill>
              <a:schemeClr val="accent1"/>
            </a:solidFill>
            <a:ln>
              <a:noFill/>
            </a:ln>
            <a:effectLst/>
          </c:spPr>
          <c:invertIfNegative val="0"/>
          <c:cat>
            <c:multiLvlStrRef>
              <c:f>'GEN INVEST'!$B$5:$E$12</c:f>
              <c:multiLvlStrCache>
                <c:ptCount val="7"/>
                <c:lvl>
                  <c:pt idx="0">
                    <c:v>HEAT</c:v>
                  </c:pt>
                  <c:pt idx="1">
                    <c:v>HEAT</c:v>
                  </c:pt>
                  <c:pt idx="2">
                    <c:v>HEAT</c:v>
                  </c:pt>
                  <c:pt idx="3">
                    <c:v>ELECTRIC</c:v>
                  </c:pt>
                  <c:pt idx="4">
                    <c:v>HEAT</c:v>
                  </c:pt>
                  <c:pt idx="5">
                    <c:v>HEAT</c:v>
                  </c:pt>
                  <c:pt idx="6">
                    <c:v>HEAT</c:v>
                  </c:pt>
                </c:lvl>
                <c:lvl>
                  <c:pt idx="0">
                    <c:v>2016</c:v>
                  </c:pt>
                  <c:pt idx="1">
                    <c:v>2016</c:v>
                  </c:pt>
                  <c:pt idx="2">
                    <c:v>2016</c:v>
                  </c:pt>
                  <c:pt idx="3">
                    <c:v>2016</c:v>
                  </c:pt>
                  <c:pt idx="5">
                    <c:v>2016</c:v>
                  </c:pt>
                  <c:pt idx="6">
                    <c:v>2016</c:v>
                  </c:pt>
                </c:lvl>
                <c:lvl>
                  <c:pt idx="0">
                    <c:v>2016</c:v>
                  </c:pt>
                  <c:pt idx="1">
                    <c:v>2016</c:v>
                  </c:pt>
                  <c:pt idx="2">
                    <c:v>2016</c:v>
                  </c:pt>
                  <c:pt idx="3">
                    <c:v>2016</c:v>
                  </c:pt>
                  <c:pt idx="5">
                    <c:v>2016</c:v>
                  </c:pt>
                  <c:pt idx="6">
                    <c:v>2016</c:v>
                  </c:pt>
                </c:lvl>
                <c:lvl>
                  <c:pt idx="0">
                    <c:v>DENMARK</c:v>
                  </c:pt>
                  <c:pt idx="1">
                    <c:v>ESTONIA</c:v>
                  </c:pt>
                  <c:pt idx="2">
                    <c:v>FINLAND</c:v>
                  </c:pt>
                  <c:pt idx="3">
                    <c:v>GERMANY</c:v>
                  </c:pt>
                  <c:pt idx="5">
                    <c:v>NORWAY</c:v>
                  </c:pt>
                  <c:pt idx="6">
                    <c:v>SWEDEN</c:v>
                  </c:pt>
                </c:lvl>
              </c:multiLvlStrCache>
            </c:multiLvlStrRef>
          </c:cat>
          <c:val>
            <c:numRef>
              <c:f>'GEN INVEST'!$F$5:$F$12</c:f>
              <c:numCache>
                <c:formatCode>General</c:formatCode>
                <c:ptCount val="7"/>
                <c:pt idx="3">
                  <c:v>2838.5152935108549</c:v>
                </c:pt>
              </c:numCache>
            </c:numRef>
          </c:val>
          <c:extLst>
            <c:ext xmlns:c16="http://schemas.microsoft.com/office/drawing/2014/chart" uri="{C3380CC4-5D6E-409C-BE32-E72D297353CC}">
              <c16:uniqueId val="{00000000-AB16-497C-86D7-0A47737DD7AC}"/>
            </c:ext>
          </c:extLst>
        </c:ser>
        <c:ser>
          <c:idx val="1"/>
          <c:order val="1"/>
          <c:tx>
            <c:strRef>
              <c:f>'GEN INVEST'!$G$3:$G$4</c:f>
              <c:strCache>
                <c:ptCount val="1"/>
                <c:pt idx="0">
                  <c:v>GNR_HS_HEAT_WTR-TANK_LS_E-95_Y-2010</c:v>
                </c:pt>
              </c:strCache>
            </c:strRef>
          </c:tx>
          <c:spPr>
            <a:solidFill>
              <a:schemeClr val="accent2"/>
            </a:solidFill>
            <a:ln>
              <a:noFill/>
            </a:ln>
            <a:effectLst/>
          </c:spPr>
          <c:invertIfNegative val="0"/>
          <c:cat>
            <c:multiLvlStrRef>
              <c:f>'GEN INVEST'!$B$5:$E$12</c:f>
              <c:multiLvlStrCache>
                <c:ptCount val="7"/>
                <c:lvl>
                  <c:pt idx="0">
                    <c:v>HEAT</c:v>
                  </c:pt>
                  <c:pt idx="1">
                    <c:v>HEAT</c:v>
                  </c:pt>
                  <c:pt idx="2">
                    <c:v>HEAT</c:v>
                  </c:pt>
                  <c:pt idx="3">
                    <c:v>ELECTRIC</c:v>
                  </c:pt>
                  <c:pt idx="4">
                    <c:v>HEAT</c:v>
                  </c:pt>
                  <c:pt idx="5">
                    <c:v>HEAT</c:v>
                  </c:pt>
                  <c:pt idx="6">
                    <c:v>HEAT</c:v>
                  </c:pt>
                </c:lvl>
                <c:lvl>
                  <c:pt idx="0">
                    <c:v>2016</c:v>
                  </c:pt>
                  <c:pt idx="1">
                    <c:v>2016</c:v>
                  </c:pt>
                  <c:pt idx="2">
                    <c:v>2016</c:v>
                  </c:pt>
                  <c:pt idx="3">
                    <c:v>2016</c:v>
                  </c:pt>
                  <c:pt idx="5">
                    <c:v>2016</c:v>
                  </c:pt>
                  <c:pt idx="6">
                    <c:v>2016</c:v>
                  </c:pt>
                </c:lvl>
                <c:lvl>
                  <c:pt idx="0">
                    <c:v>2016</c:v>
                  </c:pt>
                  <c:pt idx="1">
                    <c:v>2016</c:v>
                  </c:pt>
                  <c:pt idx="2">
                    <c:v>2016</c:v>
                  </c:pt>
                  <c:pt idx="3">
                    <c:v>2016</c:v>
                  </c:pt>
                  <c:pt idx="5">
                    <c:v>2016</c:v>
                  </c:pt>
                  <c:pt idx="6">
                    <c:v>2016</c:v>
                  </c:pt>
                </c:lvl>
                <c:lvl>
                  <c:pt idx="0">
                    <c:v>DENMARK</c:v>
                  </c:pt>
                  <c:pt idx="1">
                    <c:v>ESTONIA</c:v>
                  </c:pt>
                  <c:pt idx="2">
                    <c:v>FINLAND</c:v>
                  </c:pt>
                  <c:pt idx="3">
                    <c:v>GERMANY</c:v>
                  </c:pt>
                  <c:pt idx="5">
                    <c:v>NORWAY</c:v>
                  </c:pt>
                  <c:pt idx="6">
                    <c:v>SWEDEN</c:v>
                  </c:pt>
                </c:lvl>
              </c:multiLvlStrCache>
            </c:multiLvlStrRef>
          </c:cat>
          <c:val>
            <c:numRef>
              <c:f>'GEN INVEST'!$G$5:$G$12</c:f>
              <c:numCache>
                <c:formatCode>General</c:formatCode>
                <c:ptCount val="7"/>
                <c:pt idx="0">
                  <c:v>29715.990860634891</c:v>
                </c:pt>
                <c:pt idx="1">
                  <c:v>21550.895460372831</c:v>
                </c:pt>
                <c:pt idx="2">
                  <c:v>12714.1165841601</c:v>
                </c:pt>
                <c:pt idx="4">
                  <c:v>1083139.9760834912</c:v>
                </c:pt>
                <c:pt idx="5">
                  <c:v>3384.0810394701089</c:v>
                </c:pt>
                <c:pt idx="6">
                  <c:v>41446.278097223949</c:v>
                </c:pt>
              </c:numCache>
            </c:numRef>
          </c:val>
          <c:extLst>
            <c:ext xmlns:c16="http://schemas.microsoft.com/office/drawing/2014/chart" uri="{C3380CC4-5D6E-409C-BE32-E72D297353CC}">
              <c16:uniqueId val="{00000001-AB16-497C-86D7-0A47737DD7AC}"/>
            </c:ext>
          </c:extLst>
        </c:ser>
        <c:dLbls>
          <c:showLegendKey val="0"/>
          <c:showVal val="0"/>
          <c:showCatName val="0"/>
          <c:showSerName val="0"/>
          <c:showPercent val="0"/>
          <c:showBubbleSize val="0"/>
        </c:dLbls>
        <c:gapWidth val="150"/>
        <c:overlap val="100"/>
        <c:axId val="2080468400"/>
        <c:axId val="2080469232"/>
      </c:barChart>
      <c:catAx>
        <c:axId val="2080468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080469232"/>
        <c:crosses val="autoZero"/>
        <c:auto val="1"/>
        <c:lblAlgn val="ctr"/>
        <c:lblOffset val="100"/>
        <c:noMultiLvlLbl val="0"/>
      </c:catAx>
      <c:valAx>
        <c:axId val="20804692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08046840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CAP!PivotTable1</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s>
    <c:plotArea>
      <c:layout/>
      <c:barChart>
        <c:barDir val="col"/>
        <c:grouping val="stacked"/>
        <c:varyColors val="0"/>
        <c:ser>
          <c:idx val="0"/>
          <c:order val="0"/>
          <c:tx>
            <c:strRef>
              <c:f>'EL GEN CAP'!$E$2:$E$4</c:f>
              <c:strCache>
                <c:ptCount val="1"/>
                <c:pt idx="0">
                  <c:v>SUN - Exogenous</c:v>
                </c:pt>
              </c:strCache>
            </c:strRef>
          </c:tx>
          <c:spPr>
            <a:solidFill>
              <a:schemeClr val="accent1"/>
            </a:solidFill>
            <a:ln>
              <a:noFill/>
            </a:ln>
            <a:effectLst/>
          </c:spPr>
          <c:invertIfNegative val="0"/>
          <c:cat>
            <c:multiLvlStrRef>
              <c:f>'EL GEN CAP'!$B$5:$D$8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CAP'!$E$5:$E$8</c:f>
              <c:numCache>
                <c:formatCode>General</c:formatCode>
                <c:ptCount val="3"/>
                <c:pt idx="2">
                  <c:v>0.08</c:v>
                </c:pt>
              </c:numCache>
            </c:numRef>
          </c:val>
          <c:extLst>
            <c:ext xmlns:c16="http://schemas.microsoft.com/office/drawing/2014/chart" uri="{C3380CC4-5D6E-409C-BE32-E72D297353CC}">
              <c16:uniqueId val="{00000000-C939-4995-8C3F-7C3B4F0807CF}"/>
            </c:ext>
          </c:extLst>
        </c:ser>
        <c:ser>
          <c:idx val="1"/>
          <c:order val="1"/>
          <c:tx>
            <c:strRef>
              <c:f>'EL GEN CAP'!$F$2:$F$4</c:f>
              <c:strCache>
                <c:ptCount val="1"/>
                <c:pt idx="0">
                  <c:v>BIOGAS - Exogenous</c:v>
                </c:pt>
              </c:strCache>
            </c:strRef>
          </c:tx>
          <c:spPr>
            <a:solidFill>
              <a:schemeClr val="accent2"/>
            </a:solidFill>
            <a:ln>
              <a:noFill/>
            </a:ln>
            <a:effectLst/>
          </c:spPr>
          <c:invertIfNegative val="0"/>
          <c:cat>
            <c:multiLvlStrRef>
              <c:f>'EL GEN CAP'!$B$5:$D$8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CAP'!$F$5:$F$8</c:f>
              <c:numCache>
                <c:formatCode>General</c:formatCode>
                <c:ptCount val="3"/>
                <c:pt idx="0">
                  <c:v>3.5999999999999995E-3</c:v>
                </c:pt>
                <c:pt idx="1">
                  <c:v>6.2E-2</c:v>
                </c:pt>
                <c:pt idx="2">
                  <c:v>3.9E-2</c:v>
                </c:pt>
              </c:numCache>
            </c:numRef>
          </c:val>
          <c:extLst>
            <c:ext xmlns:c16="http://schemas.microsoft.com/office/drawing/2014/chart" uri="{C3380CC4-5D6E-409C-BE32-E72D297353CC}">
              <c16:uniqueId val="{00000002-C939-4995-8C3F-7C3B4F0807CF}"/>
            </c:ext>
          </c:extLst>
        </c:ser>
        <c:ser>
          <c:idx val="2"/>
          <c:order val="2"/>
          <c:tx>
            <c:strRef>
              <c:f>'EL GEN CAP'!$G$2:$G$4</c:f>
              <c:strCache>
                <c:ptCount val="1"/>
                <c:pt idx="0">
                  <c:v>FUELOIL - Exogenous</c:v>
                </c:pt>
              </c:strCache>
            </c:strRef>
          </c:tx>
          <c:spPr>
            <a:solidFill>
              <a:schemeClr val="accent3"/>
            </a:solidFill>
            <a:ln>
              <a:noFill/>
            </a:ln>
            <a:effectLst/>
          </c:spPr>
          <c:invertIfNegative val="0"/>
          <c:cat>
            <c:multiLvlStrRef>
              <c:f>'EL GEN CAP'!$B$5:$D$8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CAP'!$G$5:$G$8</c:f>
              <c:numCache>
                <c:formatCode>General</c:formatCode>
                <c:ptCount val="3"/>
                <c:pt idx="2">
                  <c:v>0.16</c:v>
                </c:pt>
              </c:numCache>
            </c:numRef>
          </c:val>
          <c:extLst>
            <c:ext xmlns:c16="http://schemas.microsoft.com/office/drawing/2014/chart" uri="{C3380CC4-5D6E-409C-BE32-E72D297353CC}">
              <c16:uniqueId val="{00000003-C939-4995-8C3F-7C3B4F0807CF}"/>
            </c:ext>
          </c:extLst>
        </c:ser>
        <c:ser>
          <c:idx val="3"/>
          <c:order val="3"/>
          <c:tx>
            <c:strRef>
              <c:f>'EL GEN CAP'!$H$2:$H$4</c:f>
              <c:strCache>
                <c:ptCount val="1"/>
                <c:pt idx="0">
                  <c:v>HEAT - Exogenous</c:v>
                </c:pt>
              </c:strCache>
            </c:strRef>
          </c:tx>
          <c:spPr>
            <a:solidFill>
              <a:schemeClr val="accent4"/>
            </a:solidFill>
            <a:ln>
              <a:noFill/>
            </a:ln>
            <a:effectLst/>
          </c:spPr>
          <c:invertIfNegative val="0"/>
          <c:cat>
            <c:multiLvlStrRef>
              <c:f>'EL GEN CAP'!$B$5:$D$8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CAP'!$H$5:$H$8</c:f>
              <c:numCache>
                <c:formatCode>General</c:formatCode>
                <c:ptCount val="3"/>
                <c:pt idx="2">
                  <c:v>3.6999999999999998E-2</c:v>
                </c:pt>
              </c:numCache>
            </c:numRef>
          </c:val>
          <c:extLst>
            <c:ext xmlns:c16="http://schemas.microsoft.com/office/drawing/2014/chart" uri="{C3380CC4-5D6E-409C-BE32-E72D297353CC}">
              <c16:uniqueId val="{00000004-C939-4995-8C3F-7C3B4F0807CF}"/>
            </c:ext>
          </c:extLst>
        </c:ser>
        <c:ser>
          <c:idx val="4"/>
          <c:order val="4"/>
          <c:tx>
            <c:strRef>
              <c:f>'EL GEN CAP'!$I$2:$I$4</c:f>
              <c:strCache>
                <c:ptCount val="1"/>
                <c:pt idx="0">
                  <c:v>MUNIWASTE - Exogenous</c:v>
                </c:pt>
              </c:strCache>
            </c:strRef>
          </c:tx>
          <c:spPr>
            <a:solidFill>
              <a:schemeClr val="accent5"/>
            </a:solidFill>
            <a:ln>
              <a:noFill/>
            </a:ln>
            <a:effectLst/>
          </c:spPr>
          <c:invertIfNegative val="0"/>
          <c:cat>
            <c:multiLvlStrRef>
              <c:f>'EL GEN CAP'!$B$5:$D$8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CAP'!$I$5:$I$8</c:f>
              <c:numCache>
                <c:formatCode>General</c:formatCode>
                <c:ptCount val="3"/>
                <c:pt idx="0">
                  <c:v>1.7000000000000001E-2</c:v>
                </c:pt>
                <c:pt idx="2">
                  <c:v>0.11599999999999999</c:v>
                </c:pt>
              </c:numCache>
            </c:numRef>
          </c:val>
          <c:extLst>
            <c:ext xmlns:c16="http://schemas.microsoft.com/office/drawing/2014/chart" uri="{C3380CC4-5D6E-409C-BE32-E72D297353CC}">
              <c16:uniqueId val="{00000005-C939-4995-8C3F-7C3B4F0807CF}"/>
            </c:ext>
          </c:extLst>
        </c:ser>
        <c:ser>
          <c:idx val="5"/>
          <c:order val="5"/>
          <c:tx>
            <c:strRef>
              <c:f>'EL GEN CAP'!$J$2:$J$4</c:f>
              <c:strCache>
                <c:ptCount val="1"/>
                <c:pt idx="0">
                  <c:v>NATGAS - Exogenous</c:v>
                </c:pt>
              </c:strCache>
            </c:strRef>
          </c:tx>
          <c:spPr>
            <a:solidFill>
              <a:schemeClr val="accent6"/>
            </a:solidFill>
            <a:ln>
              <a:noFill/>
            </a:ln>
            <a:effectLst/>
          </c:spPr>
          <c:invertIfNegative val="0"/>
          <c:cat>
            <c:multiLvlStrRef>
              <c:f>'EL GEN CAP'!$B$5:$D$8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CAP'!$J$5:$J$8</c:f>
              <c:numCache>
                <c:formatCode>General</c:formatCode>
                <c:ptCount val="3"/>
                <c:pt idx="0">
                  <c:v>0.1236</c:v>
                </c:pt>
                <c:pt idx="1">
                  <c:v>1.19299</c:v>
                </c:pt>
                <c:pt idx="2">
                  <c:v>1.7222000000000002</c:v>
                </c:pt>
              </c:numCache>
            </c:numRef>
          </c:val>
          <c:extLst>
            <c:ext xmlns:c16="http://schemas.microsoft.com/office/drawing/2014/chart" uri="{C3380CC4-5D6E-409C-BE32-E72D297353CC}">
              <c16:uniqueId val="{00000006-C939-4995-8C3F-7C3B4F0807CF}"/>
            </c:ext>
          </c:extLst>
        </c:ser>
        <c:ser>
          <c:idx val="6"/>
          <c:order val="6"/>
          <c:tx>
            <c:strRef>
              <c:f>'EL GEN CAP'!$K$2:$K$4</c:f>
              <c:strCache>
                <c:ptCount val="1"/>
                <c:pt idx="0">
                  <c:v>RETORTGAS - Exogenous</c:v>
                </c:pt>
              </c:strCache>
            </c:strRef>
          </c:tx>
          <c:spPr>
            <a:solidFill>
              <a:schemeClr val="accent1">
                <a:lumMod val="60000"/>
              </a:schemeClr>
            </a:solidFill>
            <a:ln>
              <a:noFill/>
            </a:ln>
            <a:effectLst/>
          </c:spPr>
          <c:invertIfNegative val="0"/>
          <c:cat>
            <c:multiLvlStrRef>
              <c:f>'EL GEN CAP'!$B$5:$D$8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CAP'!$K$5:$K$8</c:f>
              <c:numCache>
                <c:formatCode>General</c:formatCode>
                <c:ptCount val="3"/>
                <c:pt idx="0">
                  <c:v>0.13</c:v>
                </c:pt>
              </c:numCache>
            </c:numRef>
          </c:val>
          <c:extLst>
            <c:ext xmlns:c16="http://schemas.microsoft.com/office/drawing/2014/chart" uri="{C3380CC4-5D6E-409C-BE32-E72D297353CC}">
              <c16:uniqueId val="{00000007-C939-4995-8C3F-7C3B4F0807CF}"/>
            </c:ext>
          </c:extLst>
        </c:ser>
        <c:ser>
          <c:idx val="7"/>
          <c:order val="7"/>
          <c:tx>
            <c:strRef>
              <c:f>'EL GEN CAP'!$L$2:$L$4</c:f>
              <c:strCache>
                <c:ptCount val="1"/>
                <c:pt idx="0">
                  <c:v>SHALE - Exogenous</c:v>
                </c:pt>
              </c:strCache>
            </c:strRef>
          </c:tx>
          <c:spPr>
            <a:solidFill>
              <a:schemeClr val="accent2">
                <a:lumMod val="60000"/>
              </a:schemeClr>
            </a:solidFill>
            <a:ln>
              <a:noFill/>
            </a:ln>
            <a:effectLst/>
          </c:spPr>
          <c:invertIfNegative val="0"/>
          <c:cat>
            <c:multiLvlStrRef>
              <c:f>'EL GEN CAP'!$B$5:$D$8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CAP'!$L$5:$L$8</c:f>
              <c:numCache>
                <c:formatCode>General</c:formatCode>
                <c:ptCount val="3"/>
                <c:pt idx="0">
                  <c:v>1.9949999999999999</c:v>
                </c:pt>
              </c:numCache>
            </c:numRef>
          </c:val>
          <c:extLst>
            <c:ext xmlns:c16="http://schemas.microsoft.com/office/drawing/2014/chart" uri="{C3380CC4-5D6E-409C-BE32-E72D297353CC}">
              <c16:uniqueId val="{00000008-C939-4995-8C3F-7C3B4F0807CF}"/>
            </c:ext>
          </c:extLst>
        </c:ser>
        <c:ser>
          <c:idx val="8"/>
          <c:order val="8"/>
          <c:tx>
            <c:strRef>
              <c:f>'EL GEN CAP'!$M$2:$M$4</c:f>
              <c:strCache>
                <c:ptCount val="1"/>
                <c:pt idx="0">
                  <c:v>WATER - Exogenous</c:v>
                </c:pt>
              </c:strCache>
            </c:strRef>
          </c:tx>
          <c:spPr>
            <a:solidFill>
              <a:schemeClr val="accent3">
                <a:lumMod val="60000"/>
              </a:schemeClr>
            </a:solidFill>
            <a:ln>
              <a:noFill/>
            </a:ln>
            <a:effectLst/>
          </c:spPr>
          <c:invertIfNegative val="0"/>
          <c:cat>
            <c:multiLvlStrRef>
              <c:f>'EL GEN CAP'!$B$5:$D$8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CAP'!$M$5:$M$8</c:f>
              <c:numCache>
                <c:formatCode>General</c:formatCode>
                <c:ptCount val="3"/>
                <c:pt idx="0">
                  <c:v>4.0000000000000001E-3</c:v>
                </c:pt>
                <c:pt idx="1">
                  <c:v>1.6160000000000001</c:v>
                </c:pt>
                <c:pt idx="2">
                  <c:v>0.2235446808510638</c:v>
                </c:pt>
              </c:numCache>
            </c:numRef>
          </c:val>
          <c:extLst>
            <c:ext xmlns:c16="http://schemas.microsoft.com/office/drawing/2014/chart" uri="{C3380CC4-5D6E-409C-BE32-E72D297353CC}">
              <c16:uniqueId val="{00000009-C939-4995-8C3F-7C3B4F0807CF}"/>
            </c:ext>
          </c:extLst>
        </c:ser>
        <c:ser>
          <c:idx val="9"/>
          <c:order val="9"/>
          <c:tx>
            <c:strRef>
              <c:f>'EL GEN CAP'!$N$2:$N$4</c:f>
              <c:strCache>
                <c:ptCount val="1"/>
                <c:pt idx="0">
                  <c:v>WIND - Exogenous</c:v>
                </c:pt>
              </c:strCache>
            </c:strRef>
          </c:tx>
          <c:spPr>
            <a:solidFill>
              <a:schemeClr val="accent4">
                <a:lumMod val="60000"/>
              </a:schemeClr>
            </a:solidFill>
            <a:ln>
              <a:noFill/>
            </a:ln>
            <a:effectLst/>
          </c:spPr>
          <c:invertIfNegative val="0"/>
          <c:cat>
            <c:multiLvlStrRef>
              <c:f>'EL GEN CAP'!$B$5:$D$8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CAP'!$N$5:$N$8</c:f>
              <c:numCache>
                <c:formatCode>General</c:formatCode>
                <c:ptCount val="3"/>
                <c:pt idx="0">
                  <c:v>0.40300000000000002</c:v>
                </c:pt>
                <c:pt idx="1">
                  <c:v>0.06</c:v>
                </c:pt>
                <c:pt idx="2">
                  <c:v>0.50900000000000001</c:v>
                </c:pt>
              </c:numCache>
            </c:numRef>
          </c:val>
          <c:extLst>
            <c:ext xmlns:c16="http://schemas.microsoft.com/office/drawing/2014/chart" uri="{C3380CC4-5D6E-409C-BE32-E72D297353CC}">
              <c16:uniqueId val="{0000000A-C939-4995-8C3F-7C3B4F0807CF}"/>
            </c:ext>
          </c:extLst>
        </c:ser>
        <c:ser>
          <c:idx val="10"/>
          <c:order val="10"/>
          <c:tx>
            <c:strRef>
              <c:f>'EL GEN CAP'!$O$2:$O$4</c:f>
              <c:strCache>
                <c:ptCount val="1"/>
                <c:pt idx="0">
                  <c:v>WOOD - Exogenous</c:v>
                </c:pt>
              </c:strCache>
            </c:strRef>
          </c:tx>
          <c:spPr>
            <a:solidFill>
              <a:schemeClr val="accent5">
                <a:lumMod val="60000"/>
              </a:schemeClr>
            </a:solidFill>
            <a:ln>
              <a:noFill/>
            </a:ln>
            <a:effectLst/>
          </c:spPr>
          <c:invertIfNegative val="0"/>
          <c:cat>
            <c:multiLvlStrRef>
              <c:f>'EL GEN CAP'!$B$5:$D$8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CAP'!$O$5:$O$8</c:f>
              <c:numCache>
                <c:formatCode>General</c:formatCode>
                <c:ptCount val="3"/>
                <c:pt idx="0">
                  <c:v>0.13780000000000003</c:v>
                </c:pt>
                <c:pt idx="1">
                  <c:v>5.3999999999999999E-2</c:v>
                </c:pt>
                <c:pt idx="2">
                  <c:v>4.8299999999999996E-2</c:v>
                </c:pt>
              </c:numCache>
            </c:numRef>
          </c:val>
          <c:extLst>
            <c:ext xmlns:c16="http://schemas.microsoft.com/office/drawing/2014/chart" uri="{C3380CC4-5D6E-409C-BE32-E72D297353CC}">
              <c16:uniqueId val="{0000000B-C939-4995-8C3F-7C3B4F0807CF}"/>
            </c:ext>
          </c:extLst>
        </c:ser>
        <c:ser>
          <c:idx val="11"/>
          <c:order val="11"/>
          <c:tx>
            <c:strRef>
              <c:f>'EL GEN CAP'!$P$2:$P$4</c:f>
              <c:strCache>
                <c:ptCount val="1"/>
                <c:pt idx="0">
                  <c:v>WOODWASTE - Exogenous</c:v>
                </c:pt>
              </c:strCache>
            </c:strRef>
          </c:tx>
          <c:spPr>
            <a:solidFill>
              <a:schemeClr val="accent6">
                <a:lumMod val="60000"/>
              </a:schemeClr>
            </a:solidFill>
            <a:ln>
              <a:noFill/>
            </a:ln>
            <a:effectLst/>
          </c:spPr>
          <c:invertIfNegative val="0"/>
          <c:cat>
            <c:multiLvlStrRef>
              <c:f>'EL GEN CAP'!$B$5:$D$8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CAP'!$P$5:$P$8</c:f>
              <c:numCache>
                <c:formatCode>General</c:formatCode>
                <c:ptCount val="3"/>
                <c:pt idx="0">
                  <c:v>2.3E-2</c:v>
                </c:pt>
                <c:pt idx="2">
                  <c:v>1.04E-2</c:v>
                </c:pt>
              </c:numCache>
            </c:numRef>
          </c:val>
          <c:extLst>
            <c:ext xmlns:c16="http://schemas.microsoft.com/office/drawing/2014/chart" uri="{C3380CC4-5D6E-409C-BE32-E72D297353CC}">
              <c16:uniqueId val="{00000074-C939-4995-8C3F-7C3B4F0807CF}"/>
            </c:ext>
          </c:extLst>
        </c:ser>
        <c:dLbls>
          <c:showLegendKey val="0"/>
          <c:showVal val="0"/>
          <c:showCatName val="0"/>
          <c:showSerName val="0"/>
          <c:showPercent val="0"/>
          <c:showBubbleSize val="0"/>
        </c:dLbls>
        <c:gapWidth val="150"/>
        <c:overlap val="100"/>
        <c:axId val="1815674944"/>
        <c:axId val="1815675360"/>
      </c:barChart>
      <c:catAx>
        <c:axId val="1815674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815675360"/>
        <c:crosses val="autoZero"/>
        <c:auto val="1"/>
        <c:lblAlgn val="ctr"/>
        <c:lblOffset val="100"/>
        <c:noMultiLvlLbl val="0"/>
      </c:catAx>
      <c:valAx>
        <c:axId val="181567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8156749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GEN CAP!PivotTable1</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s>
    <c:plotArea>
      <c:layout/>
      <c:barChart>
        <c:barDir val="col"/>
        <c:grouping val="stacked"/>
        <c:varyColors val="0"/>
        <c:ser>
          <c:idx val="0"/>
          <c:order val="0"/>
          <c:tx>
            <c:strRef>
              <c:f>'HE GEN CAP'!$E$2:$E$3</c:f>
              <c:strCache>
                <c:ptCount val="1"/>
                <c:pt idx="0">
                  <c:v>BIOGAS</c:v>
                </c:pt>
              </c:strCache>
            </c:strRef>
          </c:tx>
          <c:spPr>
            <a:solidFill>
              <a:schemeClr val="accent1"/>
            </a:solidFill>
            <a:ln>
              <a:noFill/>
            </a:ln>
            <a:effectLst/>
          </c:spPr>
          <c:invertIfNegative val="0"/>
          <c:cat>
            <c:multiLvlStrRef>
              <c:f>'HE GEN CAP'!$B$4:$D$13</c:f>
              <c:multiLvlStrCache>
                <c:ptCount val="9"/>
                <c:lvl>
                  <c:pt idx="0">
                    <c:v>2016</c:v>
                  </c:pt>
                  <c:pt idx="1">
                    <c:v>2016</c:v>
                  </c:pt>
                  <c:pt idx="2">
                    <c:v>2016</c:v>
                  </c:pt>
                  <c:pt idx="3">
                    <c:v>2016</c:v>
                  </c:pt>
                  <c:pt idx="4">
                    <c:v>2016</c:v>
                  </c:pt>
                  <c:pt idx="5">
                    <c:v>2016</c:v>
                  </c:pt>
                  <c:pt idx="6">
                    <c:v>2016</c:v>
                  </c:pt>
                  <c:pt idx="7">
                    <c:v>2016</c:v>
                  </c:pt>
                  <c:pt idx="8">
                    <c:v>2016</c:v>
                  </c:pt>
                </c:lvl>
                <c:lvl>
                  <c:pt idx="0">
                    <c:v>DENMARK</c:v>
                  </c:pt>
                  <c:pt idx="1">
                    <c:v>ESTONIA</c:v>
                  </c:pt>
                  <c:pt idx="2">
                    <c:v>FINLAND</c:v>
                  </c:pt>
                  <c:pt idx="3">
                    <c:v>GERMANY</c:v>
                  </c:pt>
                  <c:pt idx="4">
                    <c:v>LATVIA</c:v>
                  </c:pt>
                  <c:pt idx="5">
                    <c:v>LITHUANIA</c:v>
                  </c:pt>
                  <c:pt idx="6">
                    <c:v>NORWAY</c:v>
                  </c:pt>
                  <c:pt idx="7">
                    <c:v>POLAND</c:v>
                  </c:pt>
                  <c:pt idx="8">
                    <c:v>SWEDEN</c:v>
                  </c:pt>
                </c:lvl>
                <c:lvl>
                  <c:pt idx="0">
                    <c:v>Exogenous</c:v>
                  </c:pt>
                </c:lvl>
              </c:multiLvlStrCache>
            </c:multiLvlStrRef>
          </c:cat>
          <c:val>
            <c:numRef>
              <c:f>'HE GEN CAP'!$E$4:$E$13</c:f>
              <c:numCache>
                <c:formatCode>General</c:formatCode>
                <c:ptCount val="9"/>
                <c:pt idx="0">
                  <c:v>0.13515975609756098</c:v>
                </c:pt>
                <c:pt idx="1">
                  <c:v>4.337349397590359E-3</c:v>
                </c:pt>
                <c:pt idx="3">
                  <c:v>1.053355400696864</c:v>
                </c:pt>
                <c:pt idx="4">
                  <c:v>0.12156862745098</c:v>
                </c:pt>
                <c:pt idx="5">
                  <c:v>1.5E-3</c:v>
                </c:pt>
              </c:numCache>
            </c:numRef>
          </c:val>
          <c:extLst>
            <c:ext xmlns:c16="http://schemas.microsoft.com/office/drawing/2014/chart" uri="{C3380CC4-5D6E-409C-BE32-E72D297353CC}">
              <c16:uniqueId val="{00000000-1BFE-438E-B093-4691AD4E7729}"/>
            </c:ext>
          </c:extLst>
        </c:ser>
        <c:ser>
          <c:idx val="1"/>
          <c:order val="1"/>
          <c:tx>
            <c:strRef>
              <c:f>'HE GEN CAP'!$F$2:$F$3</c:f>
              <c:strCache>
                <c:ptCount val="1"/>
                <c:pt idx="0">
                  <c:v>BIOOIL</c:v>
                </c:pt>
              </c:strCache>
            </c:strRef>
          </c:tx>
          <c:spPr>
            <a:solidFill>
              <a:schemeClr val="accent2"/>
            </a:solidFill>
            <a:ln>
              <a:noFill/>
            </a:ln>
            <a:effectLst/>
          </c:spPr>
          <c:invertIfNegative val="0"/>
          <c:cat>
            <c:multiLvlStrRef>
              <c:f>'HE GEN CAP'!$B$4:$D$13</c:f>
              <c:multiLvlStrCache>
                <c:ptCount val="9"/>
                <c:lvl>
                  <c:pt idx="0">
                    <c:v>2016</c:v>
                  </c:pt>
                  <c:pt idx="1">
                    <c:v>2016</c:v>
                  </c:pt>
                  <c:pt idx="2">
                    <c:v>2016</c:v>
                  </c:pt>
                  <c:pt idx="3">
                    <c:v>2016</c:v>
                  </c:pt>
                  <c:pt idx="4">
                    <c:v>2016</c:v>
                  </c:pt>
                  <c:pt idx="5">
                    <c:v>2016</c:v>
                  </c:pt>
                  <c:pt idx="6">
                    <c:v>2016</c:v>
                  </c:pt>
                  <c:pt idx="7">
                    <c:v>2016</c:v>
                  </c:pt>
                  <c:pt idx="8">
                    <c:v>2016</c:v>
                  </c:pt>
                </c:lvl>
                <c:lvl>
                  <c:pt idx="0">
                    <c:v>DENMARK</c:v>
                  </c:pt>
                  <c:pt idx="1">
                    <c:v>ESTONIA</c:v>
                  </c:pt>
                  <c:pt idx="2">
                    <c:v>FINLAND</c:v>
                  </c:pt>
                  <c:pt idx="3">
                    <c:v>GERMANY</c:v>
                  </c:pt>
                  <c:pt idx="4">
                    <c:v>LATVIA</c:v>
                  </c:pt>
                  <c:pt idx="5">
                    <c:v>LITHUANIA</c:v>
                  </c:pt>
                  <c:pt idx="6">
                    <c:v>NORWAY</c:v>
                  </c:pt>
                  <c:pt idx="7">
                    <c:v>POLAND</c:v>
                  </c:pt>
                  <c:pt idx="8">
                    <c:v>SWEDEN</c:v>
                  </c:pt>
                </c:lvl>
                <c:lvl>
                  <c:pt idx="0">
                    <c:v>Exogenous</c:v>
                  </c:pt>
                </c:lvl>
              </c:multiLvlStrCache>
            </c:multiLvlStrRef>
          </c:cat>
          <c:val>
            <c:numRef>
              <c:f>'HE GEN CAP'!$F$4:$F$13</c:f>
              <c:numCache>
                <c:formatCode>General</c:formatCode>
                <c:ptCount val="9"/>
                <c:pt idx="8">
                  <c:v>0.25092445853143203</c:v>
                </c:pt>
              </c:numCache>
            </c:numRef>
          </c:val>
          <c:extLst>
            <c:ext xmlns:c16="http://schemas.microsoft.com/office/drawing/2014/chart" uri="{C3380CC4-5D6E-409C-BE32-E72D297353CC}">
              <c16:uniqueId val="{00000001-1BFE-438E-B093-4691AD4E7729}"/>
            </c:ext>
          </c:extLst>
        </c:ser>
        <c:ser>
          <c:idx val="2"/>
          <c:order val="2"/>
          <c:tx>
            <c:strRef>
              <c:f>'HE GEN CAP'!$G$2:$G$3</c:f>
              <c:strCache>
                <c:ptCount val="1"/>
                <c:pt idx="0">
                  <c:v>COAL</c:v>
                </c:pt>
              </c:strCache>
            </c:strRef>
          </c:tx>
          <c:spPr>
            <a:solidFill>
              <a:schemeClr val="accent3"/>
            </a:solidFill>
            <a:ln>
              <a:noFill/>
            </a:ln>
            <a:effectLst/>
          </c:spPr>
          <c:invertIfNegative val="0"/>
          <c:cat>
            <c:multiLvlStrRef>
              <c:f>'HE GEN CAP'!$B$4:$D$13</c:f>
              <c:multiLvlStrCache>
                <c:ptCount val="9"/>
                <c:lvl>
                  <c:pt idx="0">
                    <c:v>2016</c:v>
                  </c:pt>
                  <c:pt idx="1">
                    <c:v>2016</c:v>
                  </c:pt>
                  <c:pt idx="2">
                    <c:v>2016</c:v>
                  </c:pt>
                  <c:pt idx="3">
                    <c:v>2016</c:v>
                  </c:pt>
                  <c:pt idx="4">
                    <c:v>2016</c:v>
                  </c:pt>
                  <c:pt idx="5">
                    <c:v>2016</c:v>
                  </c:pt>
                  <c:pt idx="6">
                    <c:v>2016</c:v>
                  </c:pt>
                  <c:pt idx="7">
                    <c:v>2016</c:v>
                  </c:pt>
                  <c:pt idx="8">
                    <c:v>2016</c:v>
                  </c:pt>
                </c:lvl>
                <c:lvl>
                  <c:pt idx="0">
                    <c:v>DENMARK</c:v>
                  </c:pt>
                  <c:pt idx="1">
                    <c:v>ESTONIA</c:v>
                  </c:pt>
                  <c:pt idx="2">
                    <c:v>FINLAND</c:v>
                  </c:pt>
                  <c:pt idx="3">
                    <c:v>GERMANY</c:v>
                  </c:pt>
                  <c:pt idx="4">
                    <c:v>LATVIA</c:v>
                  </c:pt>
                  <c:pt idx="5">
                    <c:v>LITHUANIA</c:v>
                  </c:pt>
                  <c:pt idx="6">
                    <c:v>NORWAY</c:v>
                  </c:pt>
                  <c:pt idx="7">
                    <c:v>POLAND</c:v>
                  </c:pt>
                  <c:pt idx="8">
                    <c:v>SWEDEN</c:v>
                  </c:pt>
                </c:lvl>
                <c:lvl>
                  <c:pt idx="0">
                    <c:v>Exogenous</c:v>
                  </c:pt>
                </c:lvl>
              </c:multiLvlStrCache>
            </c:multiLvlStrRef>
          </c:cat>
          <c:val>
            <c:numRef>
              <c:f>'HE GEN CAP'!$G$4:$G$13</c:f>
              <c:numCache>
                <c:formatCode>General</c:formatCode>
                <c:ptCount val="9"/>
                <c:pt idx="0">
                  <c:v>3.5542222222222222</c:v>
                </c:pt>
                <c:pt idx="2">
                  <c:v>1.3243961319458082</c:v>
                </c:pt>
                <c:pt idx="3">
                  <c:v>26.164416666666604</c:v>
                </c:pt>
                <c:pt idx="7">
                  <c:v>17.676600225531445</c:v>
                </c:pt>
                <c:pt idx="8">
                  <c:v>0.38416283426900849</c:v>
                </c:pt>
              </c:numCache>
            </c:numRef>
          </c:val>
          <c:extLst>
            <c:ext xmlns:c16="http://schemas.microsoft.com/office/drawing/2014/chart" uri="{C3380CC4-5D6E-409C-BE32-E72D297353CC}">
              <c16:uniqueId val="{00000002-1BFE-438E-B093-4691AD4E7729}"/>
            </c:ext>
          </c:extLst>
        </c:ser>
        <c:ser>
          <c:idx val="3"/>
          <c:order val="3"/>
          <c:tx>
            <c:strRef>
              <c:f>'HE GEN CAP'!$H$2:$H$3</c:f>
              <c:strCache>
                <c:ptCount val="1"/>
                <c:pt idx="0">
                  <c:v>ELECTRIC</c:v>
                </c:pt>
              </c:strCache>
            </c:strRef>
          </c:tx>
          <c:spPr>
            <a:solidFill>
              <a:schemeClr val="accent4"/>
            </a:solidFill>
            <a:ln>
              <a:noFill/>
            </a:ln>
            <a:effectLst/>
          </c:spPr>
          <c:invertIfNegative val="0"/>
          <c:cat>
            <c:multiLvlStrRef>
              <c:f>'HE GEN CAP'!$B$4:$D$13</c:f>
              <c:multiLvlStrCache>
                <c:ptCount val="9"/>
                <c:lvl>
                  <c:pt idx="0">
                    <c:v>2016</c:v>
                  </c:pt>
                  <c:pt idx="1">
                    <c:v>2016</c:v>
                  </c:pt>
                  <c:pt idx="2">
                    <c:v>2016</c:v>
                  </c:pt>
                  <c:pt idx="3">
                    <c:v>2016</c:v>
                  </c:pt>
                  <c:pt idx="4">
                    <c:v>2016</c:v>
                  </c:pt>
                  <c:pt idx="5">
                    <c:v>2016</c:v>
                  </c:pt>
                  <c:pt idx="6">
                    <c:v>2016</c:v>
                  </c:pt>
                  <c:pt idx="7">
                    <c:v>2016</c:v>
                  </c:pt>
                  <c:pt idx="8">
                    <c:v>2016</c:v>
                  </c:pt>
                </c:lvl>
                <c:lvl>
                  <c:pt idx="0">
                    <c:v>DENMARK</c:v>
                  </c:pt>
                  <c:pt idx="1">
                    <c:v>ESTONIA</c:v>
                  </c:pt>
                  <c:pt idx="2">
                    <c:v>FINLAND</c:v>
                  </c:pt>
                  <c:pt idx="3">
                    <c:v>GERMANY</c:v>
                  </c:pt>
                  <c:pt idx="4">
                    <c:v>LATVIA</c:v>
                  </c:pt>
                  <c:pt idx="5">
                    <c:v>LITHUANIA</c:v>
                  </c:pt>
                  <c:pt idx="6">
                    <c:v>NORWAY</c:v>
                  </c:pt>
                  <c:pt idx="7">
                    <c:v>POLAND</c:v>
                  </c:pt>
                  <c:pt idx="8">
                    <c:v>SWEDEN</c:v>
                  </c:pt>
                </c:lvl>
                <c:lvl>
                  <c:pt idx="0">
                    <c:v>Exogenous</c:v>
                  </c:pt>
                </c:lvl>
              </c:multiLvlStrCache>
            </c:multiLvlStrRef>
          </c:cat>
          <c:val>
            <c:numRef>
              <c:f>'HE GEN CAP'!$H$4:$H$13</c:f>
              <c:numCache>
                <c:formatCode>General</c:formatCode>
                <c:ptCount val="9"/>
                <c:pt idx="0">
                  <c:v>573.22700000000009</c:v>
                </c:pt>
                <c:pt idx="2">
                  <c:v>259.8</c:v>
                </c:pt>
                <c:pt idx="3">
                  <c:v>144.44</c:v>
                </c:pt>
                <c:pt idx="6">
                  <c:v>777.45699999999999</c:v>
                </c:pt>
                <c:pt idx="8">
                  <c:v>2185.1749999999997</c:v>
                </c:pt>
              </c:numCache>
            </c:numRef>
          </c:val>
          <c:extLst>
            <c:ext xmlns:c16="http://schemas.microsoft.com/office/drawing/2014/chart" uri="{C3380CC4-5D6E-409C-BE32-E72D297353CC}">
              <c16:uniqueId val="{00000003-1BFE-438E-B093-4691AD4E7729}"/>
            </c:ext>
          </c:extLst>
        </c:ser>
        <c:ser>
          <c:idx val="4"/>
          <c:order val="4"/>
          <c:tx>
            <c:strRef>
              <c:f>'HE GEN CAP'!$I$2:$I$3</c:f>
              <c:strCache>
                <c:ptCount val="1"/>
                <c:pt idx="0">
                  <c:v>FUELOIL</c:v>
                </c:pt>
              </c:strCache>
            </c:strRef>
          </c:tx>
          <c:spPr>
            <a:solidFill>
              <a:schemeClr val="accent5"/>
            </a:solidFill>
            <a:ln>
              <a:noFill/>
            </a:ln>
            <a:effectLst/>
          </c:spPr>
          <c:invertIfNegative val="0"/>
          <c:cat>
            <c:multiLvlStrRef>
              <c:f>'HE GEN CAP'!$B$4:$D$13</c:f>
              <c:multiLvlStrCache>
                <c:ptCount val="9"/>
                <c:lvl>
                  <c:pt idx="0">
                    <c:v>2016</c:v>
                  </c:pt>
                  <c:pt idx="1">
                    <c:v>2016</c:v>
                  </c:pt>
                  <c:pt idx="2">
                    <c:v>2016</c:v>
                  </c:pt>
                  <c:pt idx="3">
                    <c:v>2016</c:v>
                  </c:pt>
                  <c:pt idx="4">
                    <c:v>2016</c:v>
                  </c:pt>
                  <c:pt idx="5">
                    <c:v>2016</c:v>
                  </c:pt>
                  <c:pt idx="6">
                    <c:v>2016</c:v>
                  </c:pt>
                  <c:pt idx="7">
                    <c:v>2016</c:v>
                  </c:pt>
                  <c:pt idx="8">
                    <c:v>2016</c:v>
                  </c:pt>
                </c:lvl>
                <c:lvl>
                  <c:pt idx="0">
                    <c:v>DENMARK</c:v>
                  </c:pt>
                  <c:pt idx="1">
                    <c:v>ESTONIA</c:v>
                  </c:pt>
                  <c:pt idx="2">
                    <c:v>FINLAND</c:v>
                  </c:pt>
                  <c:pt idx="3">
                    <c:v>GERMANY</c:v>
                  </c:pt>
                  <c:pt idx="4">
                    <c:v>LATVIA</c:v>
                  </c:pt>
                  <c:pt idx="5">
                    <c:v>LITHUANIA</c:v>
                  </c:pt>
                  <c:pt idx="6">
                    <c:v>NORWAY</c:v>
                  </c:pt>
                  <c:pt idx="7">
                    <c:v>POLAND</c:v>
                  </c:pt>
                  <c:pt idx="8">
                    <c:v>SWEDEN</c:v>
                  </c:pt>
                </c:lvl>
                <c:lvl>
                  <c:pt idx="0">
                    <c:v>Exogenous</c:v>
                  </c:pt>
                </c:lvl>
              </c:multiLvlStrCache>
            </c:multiLvlStrRef>
          </c:cat>
          <c:val>
            <c:numRef>
              <c:f>'HE GEN CAP'!$I$4:$I$13</c:f>
              <c:numCache>
                <c:formatCode>General</c:formatCode>
                <c:ptCount val="9"/>
                <c:pt idx="0">
                  <c:v>3.1828571428571512E-2</c:v>
                </c:pt>
                <c:pt idx="2">
                  <c:v>0.08</c:v>
                </c:pt>
                <c:pt idx="3">
                  <c:v>2.3532857142857138</c:v>
                </c:pt>
                <c:pt idx="5">
                  <c:v>0.43399952260052499</c:v>
                </c:pt>
                <c:pt idx="7">
                  <c:v>1.1000000000000001</c:v>
                </c:pt>
                <c:pt idx="8">
                  <c:v>0.66642493020997706</c:v>
                </c:pt>
              </c:numCache>
            </c:numRef>
          </c:val>
          <c:extLst>
            <c:ext xmlns:c16="http://schemas.microsoft.com/office/drawing/2014/chart" uri="{C3380CC4-5D6E-409C-BE32-E72D297353CC}">
              <c16:uniqueId val="{00000004-1BFE-438E-B093-4691AD4E7729}"/>
            </c:ext>
          </c:extLst>
        </c:ser>
        <c:ser>
          <c:idx val="5"/>
          <c:order val="5"/>
          <c:tx>
            <c:strRef>
              <c:f>'HE GEN CAP'!$J$2:$J$3</c:f>
              <c:strCache>
                <c:ptCount val="1"/>
                <c:pt idx="0">
                  <c:v>HEAT</c:v>
                </c:pt>
              </c:strCache>
            </c:strRef>
          </c:tx>
          <c:spPr>
            <a:solidFill>
              <a:schemeClr val="accent6"/>
            </a:solidFill>
            <a:ln>
              <a:noFill/>
            </a:ln>
            <a:effectLst/>
          </c:spPr>
          <c:invertIfNegative val="0"/>
          <c:cat>
            <c:multiLvlStrRef>
              <c:f>'HE GEN CAP'!$B$4:$D$13</c:f>
              <c:multiLvlStrCache>
                <c:ptCount val="9"/>
                <c:lvl>
                  <c:pt idx="0">
                    <c:v>2016</c:v>
                  </c:pt>
                  <c:pt idx="1">
                    <c:v>2016</c:v>
                  </c:pt>
                  <c:pt idx="2">
                    <c:v>2016</c:v>
                  </c:pt>
                  <c:pt idx="3">
                    <c:v>2016</c:v>
                  </c:pt>
                  <c:pt idx="4">
                    <c:v>2016</c:v>
                  </c:pt>
                  <c:pt idx="5">
                    <c:v>2016</c:v>
                  </c:pt>
                  <c:pt idx="6">
                    <c:v>2016</c:v>
                  </c:pt>
                  <c:pt idx="7">
                    <c:v>2016</c:v>
                  </c:pt>
                  <c:pt idx="8">
                    <c:v>2016</c:v>
                  </c:pt>
                </c:lvl>
                <c:lvl>
                  <c:pt idx="0">
                    <c:v>DENMARK</c:v>
                  </c:pt>
                  <c:pt idx="1">
                    <c:v>ESTONIA</c:v>
                  </c:pt>
                  <c:pt idx="2">
                    <c:v>FINLAND</c:v>
                  </c:pt>
                  <c:pt idx="3">
                    <c:v>GERMANY</c:v>
                  </c:pt>
                  <c:pt idx="4">
                    <c:v>LATVIA</c:v>
                  </c:pt>
                  <c:pt idx="5">
                    <c:v>LITHUANIA</c:v>
                  </c:pt>
                  <c:pt idx="6">
                    <c:v>NORWAY</c:v>
                  </c:pt>
                  <c:pt idx="7">
                    <c:v>POLAND</c:v>
                  </c:pt>
                  <c:pt idx="8">
                    <c:v>SWEDEN</c:v>
                  </c:pt>
                </c:lvl>
                <c:lvl>
                  <c:pt idx="0">
                    <c:v>Exogenous</c:v>
                  </c:pt>
                </c:lvl>
              </c:multiLvlStrCache>
            </c:multiLvlStrRef>
          </c:cat>
          <c:val>
            <c:numRef>
              <c:f>'HE GEN CAP'!$J$4:$J$13</c:f>
              <c:numCache>
                <c:formatCode>General</c:formatCode>
                <c:ptCount val="9"/>
                <c:pt idx="5">
                  <c:v>0.05</c:v>
                </c:pt>
              </c:numCache>
            </c:numRef>
          </c:val>
          <c:extLst>
            <c:ext xmlns:c16="http://schemas.microsoft.com/office/drawing/2014/chart" uri="{C3380CC4-5D6E-409C-BE32-E72D297353CC}">
              <c16:uniqueId val="{00000005-1BFE-438E-B093-4691AD4E7729}"/>
            </c:ext>
          </c:extLst>
        </c:ser>
        <c:ser>
          <c:idx val="6"/>
          <c:order val="6"/>
          <c:tx>
            <c:strRef>
              <c:f>'HE GEN CAP'!$K$2:$K$3</c:f>
              <c:strCache>
                <c:ptCount val="1"/>
                <c:pt idx="0">
                  <c:v>HEAVYFUELOIL</c:v>
                </c:pt>
              </c:strCache>
            </c:strRef>
          </c:tx>
          <c:spPr>
            <a:solidFill>
              <a:schemeClr val="accent1">
                <a:lumMod val="60000"/>
              </a:schemeClr>
            </a:solidFill>
            <a:ln>
              <a:noFill/>
            </a:ln>
            <a:effectLst/>
          </c:spPr>
          <c:invertIfNegative val="0"/>
          <c:cat>
            <c:multiLvlStrRef>
              <c:f>'HE GEN CAP'!$B$4:$D$13</c:f>
              <c:multiLvlStrCache>
                <c:ptCount val="9"/>
                <c:lvl>
                  <c:pt idx="0">
                    <c:v>2016</c:v>
                  </c:pt>
                  <c:pt idx="1">
                    <c:v>2016</c:v>
                  </c:pt>
                  <c:pt idx="2">
                    <c:v>2016</c:v>
                  </c:pt>
                  <c:pt idx="3">
                    <c:v>2016</c:v>
                  </c:pt>
                  <c:pt idx="4">
                    <c:v>2016</c:v>
                  </c:pt>
                  <c:pt idx="5">
                    <c:v>2016</c:v>
                  </c:pt>
                  <c:pt idx="6">
                    <c:v>2016</c:v>
                  </c:pt>
                  <c:pt idx="7">
                    <c:v>2016</c:v>
                  </c:pt>
                  <c:pt idx="8">
                    <c:v>2016</c:v>
                  </c:pt>
                </c:lvl>
                <c:lvl>
                  <c:pt idx="0">
                    <c:v>DENMARK</c:v>
                  </c:pt>
                  <c:pt idx="1">
                    <c:v>ESTONIA</c:v>
                  </c:pt>
                  <c:pt idx="2">
                    <c:v>FINLAND</c:v>
                  </c:pt>
                  <c:pt idx="3">
                    <c:v>GERMANY</c:v>
                  </c:pt>
                  <c:pt idx="4">
                    <c:v>LATVIA</c:v>
                  </c:pt>
                  <c:pt idx="5">
                    <c:v>LITHUANIA</c:v>
                  </c:pt>
                  <c:pt idx="6">
                    <c:v>NORWAY</c:v>
                  </c:pt>
                  <c:pt idx="7">
                    <c:v>POLAND</c:v>
                  </c:pt>
                  <c:pt idx="8">
                    <c:v>SWEDEN</c:v>
                  </c:pt>
                </c:lvl>
                <c:lvl>
                  <c:pt idx="0">
                    <c:v>Exogenous</c:v>
                  </c:pt>
                </c:lvl>
              </c:multiLvlStrCache>
            </c:multiLvlStrRef>
          </c:cat>
          <c:val>
            <c:numRef>
              <c:f>'HE GEN CAP'!$K$4:$K$13</c:f>
              <c:numCache>
                <c:formatCode>General</c:formatCode>
                <c:ptCount val="9"/>
                <c:pt idx="2">
                  <c:v>0.185</c:v>
                </c:pt>
              </c:numCache>
            </c:numRef>
          </c:val>
          <c:extLst>
            <c:ext xmlns:c16="http://schemas.microsoft.com/office/drawing/2014/chart" uri="{C3380CC4-5D6E-409C-BE32-E72D297353CC}">
              <c16:uniqueId val="{00000006-1BFE-438E-B093-4691AD4E7729}"/>
            </c:ext>
          </c:extLst>
        </c:ser>
        <c:ser>
          <c:idx val="7"/>
          <c:order val="7"/>
          <c:tx>
            <c:strRef>
              <c:f>'HE GEN CAP'!$L$2:$L$3</c:f>
              <c:strCache>
                <c:ptCount val="1"/>
                <c:pt idx="0">
                  <c:v>LIGHTOIL</c:v>
                </c:pt>
              </c:strCache>
            </c:strRef>
          </c:tx>
          <c:spPr>
            <a:solidFill>
              <a:schemeClr val="accent2">
                <a:lumMod val="60000"/>
              </a:schemeClr>
            </a:solidFill>
            <a:ln>
              <a:noFill/>
            </a:ln>
            <a:effectLst/>
          </c:spPr>
          <c:invertIfNegative val="0"/>
          <c:cat>
            <c:multiLvlStrRef>
              <c:f>'HE GEN CAP'!$B$4:$D$13</c:f>
              <c:multiLvlStrCache>
                <c:ptCount val="9"/>
                <c:lvl>
                  <c:pt idx="0">
                    <c:v>2016</c:v>
                  </c:pt>
                  <c:pt idx="1">
                    <c:v>2016</c:v>
                  </c:pt>
                  <c:pt idx="2">
                    <c:v>2016</c:v>
                  </c:pt>
                  <c:pt idx="3">
                    <c:v>2016</c:v>
                  </c:pt>
                  <c:pt idx="4">
                    <c:v>2016</c:v>
                  </c:pt>
                  <c:pt idx="5">
                    <c:v>2016</c:v>
                  </c:pt>
                  <c:pt idx="6">
                    <c:v>2016</c:v>
                  </c:pt>
                  <c:pt idx="7">
                    <c:v>2016</c:v>
                  </c:pt>
                  <c:pt idx="8">
                    <c:v>2016</c:v>
                  </c:pt>
                </c:lvl>
                <c:lvl>
                  <c:pt idx="0">
                    <c:v>DENMARK</c:v>
                  </c:pt>
                  <c:pt idx="1">
                    <c:v>ESTONIA</c:v>
                  </c:pt>
                  <c:pt idx="2">
                    <c:v>FINLAND</c:v>
                  </c:pt>
                  <c:pt idx="3">
                    <c:v>GERMANY</c:v>
                  </c:pt>
                  <c:pt idx="4">
                    <c:v>LATVIA</c:v>
                  </c:pt>
                  <c:pt idx="5">
                    <c:v>LITHUANIA</c:v>
                  </c:pt>
                  <c:pt idx="6">
                    <c:v>NORWAY</c:v>
                  </c:pt>
                  <c:pt idx="7">
                    <c:v>POLAND</c:v>
                  </c:pt>
                  <c:pt idx="8">
                    <c:v>SWEDEN</c:v>
                  </c:pt>
                </c:lvl>
                <c:lvl>
                  <c:pt idx="0">
                    <c:v>Exogenous</c:v>
                  </c:pt>
                </c:lvl>
              </c:multiLvlStrCache>
            </c:multiLvlStrRef>
          </c:cat>
          <c:val>
            <c:numRef>
              <c:f>'HE GEN CAP'!$L$4:$L$13</c:f>
              <c:numCache>
                <c:formatCode>General</c:formatCode>
                <c:ptCount val="9"/>
                <c:pt idx="0">
                  <c:v>7.4583333333333404E-2</c:v>
                </c:pt>
              </c:numCache>
            </c:numRef>
          </c:val>
          <c:extLst>
            <c:ext xmlns:c16="http://schemas.microsoft.com/office/drawing/2014/chart" uri="{C3380CC4-5D6E-409C-BE32-E72D297353CC}">
              <c16:uniqueId val="{00000007-1BFE-438E-B093-4691AD4E7729}"/>
            </c:ext>
          </c:extLst>
        </c:ser>
        <c:ser>
          <c:idx val="8"/>
          <c:order val="8"/>
          <c:tx>
            <c:strRef>
              <c:f>'HE GEN CAP'!$M$2:$M$3</c:f>
              <c:strCache>
                <c:ptCount val="1"/>
                <c:pt idx="0">
                  <c:v>LIGNITE</c:v>
                </c:pt>
              </c:strCache>
            </c:strRef>
          </c:tx>
          <c:spPr>
            <a:solidFill>
              <a:schemeClr val="accent3">
                <a:lumMod val="60000"/>
              </a:schemeClr>
            </a:solidFill>
            <a:ln>
              <a:noFill/>
            </a:ln>
            <a:effectLst/>
          </c:spPr>
          <c:invertIfNegative val="0"/>
          <c:cat>
            <c:multiLvlStrRef>
              <c:f>'HE GEN CAP'!$B$4:$D$13</c:f>
              <c:multiLvlStrCache>
                <c:ptCount val="9"/>
                <c:lvl>
                  <c:pt idx="0">
                    <c:v>2016</c:v>
                  </c:pt>
                  <c:pt idx="1">
                    <c:v>2016</c:v>
                  </c:pt>
                  <c:pt idx="2">
                    <c:v>2016</c:v>
                  </c:pt>
                  <c:pt idx="3">
                    <c:v>2016</c:v>
                  </c:pt>
                  <c:pt idx="4">
                    <c:v>2016</c:v>
                  </c:pt>
                  <c:pt idx="5">
                    <c:v>2016</c:v>
                  </c:pt>
                  <c:pt idx="6">
                    <c:v>2016</c:v>
                  </c:pt>
                  <c:pt idx="7">
                    <c:v>2016</c:v>
                  </c:pt>
                  <c:pt idx="8">
                    <c:v>2016</c:v>
                  </c:pt>
                </c:lvl>
                <c:lvl>
                  <c:pt idx="0">
                    <c:v>DENMARK</c:v>
                  </c:pt>
                  <c:pt idx="1">
                    <c:v>ESTONIA</c:v>
                  </c:pt>
                  <c:pt idx="2">
                    <c:v>FINLAND</c:v>
                  </c:pt>
                  <c:pt idx="3">
                    <c:v>GERMANY</c:v>
                  </c:pt>
                  <c:pt idx="4">
                    <c:v>LATVIA</c:v>
                  </c:pt>
                  <c:pt idx="5">
                    <c:v>LITHUANIA</c:v>
                  </c:pt>
                  <c:pt idx="6">
                    <c:v>NORWAY</c:v>
                  </c:pt>
                  <c:pt idx="7">
                    <c:v>POLAND</c:v>
                  </c:pt>
                  <c:pt idx="8">
                    <c:v>SWEDEN</c:v>
                  </c:pt>
                </c:lvl>
                <c:lvl>
                  <c:pt idx="0">
                    <c:v>Exogenous</c:v>
                  </c:pt>
                </c:lvl>
              </c:multiLvlStrCache>
            </c:multiLvlStrRef>
          </c:cat>
          <c:val>
            <c:numRef>
              <c:f>'HE GEN CAP'!$M$4:$M$13</c:f>
              <c:numCache>
                <c:formatCode>General</c:formatCode>
                <c:ptCount val="9"/>
                <c:pt idx="3">
                  <c:v>18.028799999999972</c:v>
                </c:pt>
                <c:pt idx="7">
                  <c:v>0.47491508491508511</c:v>
                </c:pt>
              </c:numCache>
            </c:numRef>
          </c:val>
          <c:extLst>
            <c:ext xmlns:c16="http://schemas.microsoft.com/office/drawing/2014/chart" uri="{C3380CC4-5D6E-409C-BE32-E72D297353CC}">
              <c16:uniqueId val="{00000008-1BFE-438E-B093-4691AD4E7729}"/>
            </c:ext>
          </c:extLst>
        </c:ser>
        <c:ser>
          <c:idx val="9"/>
          <c:order val="9"/>
          <c:tx>
            <c:strRef>
              <c:f>'HE GEN CAP'!$N$2:$N$3</c:f>
              <c:strCache>
                <c:ptCount val="1"/>
                <c:pt idx="0">
                  <c:v>MUNIWASTE</c:v>
                </c:pt>
              </c:strCache>
            </c:strRef>
          </c:tx>
          <c:spPr>
            <a:solidFill>
              <a:schemeClr val="accent4">
                <a:lumMod val="60000"/>
              </a:schemeClr>
            </a:solidFill>
            <a:ln>
              <a:noFill/>
            </a:ln>
            <a:effectLst/>
          </c:spPr>
          <c:invertIfNegative val="0"/>
          <c:cat>
            <c:multiLvlStrRef>
              <c:f>'HE GEN CAP'!$B$4:$D$13</c:f>
              <c:multiLvlStrCache>
                <c:ptCount val="9"/>
                <c:lvl>
                  <c:pt idx="0">
                    <c:v>2016</c:v>
                  </c:pt>
                  <c:pt idx="1">
                    <c:v>2016</c:v>
                  </c:pt>
                  <c:pt idx="2">
                    <c:v>2016</c:v>
                  </c:pt>
                  <c:pt idx="3">
                    <c:v>2016</c:v>
                  </c:pt>
                  <c:pt idx="4">
                    <c:v>2016</c:v>
                  </c:pt>
                  <c:pt idx="5">
                    <c:v>2016</c:v>
                  </c:pt>
                  <c:pt idx="6">
                    <c:v>2016</c:v>
                  </c:pt>
                  <c:pt idx="7">
                    <c:v>2016</c:v>
                  </c:pt>
                  <c:pt idx="8">
                    <c:v>2016</c:v>
                  </c:pt>
                </c:lvl>
                <c:lvl>
                  <c:pt idx="0">
                    <c:v>DENMARK</c:v>
                  </c:pt>
                  <c:pt idx="1">
                    <c:v>ESTONIA</c:v>
                  </c:pt>
                  <c:pt idx="2">
                    <c:v>FINLAND</c:v>
                  </c:pt>
                  <c:pt idx="3">
                    <c:v>GERMANY</c:v>
                  </c:pt>
                  <c:pt idx="4">
                    <c:v>LATVIA</c:v>
                  </c:pt>
                  <c:pt idx="5">
                    <c:v>LITHUANIA</c:v>
                  </c:pt>
                  <c:pt idx="6">
                    <c:v>NORWAY</c:v>
                  </c:pt>
                  <c:pt idx="7">
                    <c:v>POLAND</c:v>
                  </c:pt>
                  <c:pt idx="8">
                    <c:v>SWEDEN</c:v>
                  </c:pt>
                </c:lvl>
                <c:lvl>
                  <c:pt idx="0">
                    <c:v>Exogenous</c:v>
                  </c:pt>
                </c:lvl>
              </c:multiLvlStrCache>
            </c:multiLvlStrRef>
          </c:cat>
          <c:val>
            <c:numRef>
              <c:f>'HE GEN CAP'!$N$4:$N$13</c:f>
              <c:numCache>
                <c:formatCode>General</c:formatCode>
                <c:ptCount val="9"/>
                <c:pt idx="0">
                  <c:v>1.250977528036652</c:v>
                </c:pt>
                <c:pt idx="1">
                  <c:v>3.4000000000000002E-2</c:v>
                </c:pt>
                <c:pt idx="3">
                  <c:v>4.5269704918734952</c:v>
                </c:pt>
                <c:pt idx="5">
                  <c:v>0.29499817875111523</c:v>
                </c:pt>
                <c:pt idx="6">
                  <c:v>0.13726236559139748</c:v>
                </c:pt>
                <c:pt idx="8">
                  <c:v>2.0429210240503961</c:v>
                </c:pt>
              </c:numCache>
            </c:numRef>
          </c:val>
          <c:extLst>
            <c:ext xmlns:c16="http://schemas.microsoft.com/office/drawing/2014/chart" uri="{C3380CC4-5D6E-409C-BE32-E72D297353CC}">
              <c16:uniqueId val="{00000009-1BFE-438E-B093-4691AD4E7729}"/>
            </c:ext>
          </c:extLst>
        </c:ser>
        <c:ser>
          <c:idx val="10"/>
          <c:order val="10"/>
          <c:tx>
            <c:strRef>
              <c:f>'HE GEN CAP'!$O$2:$O$3</c:f>
              <c:strCache>
                <c:ptCount val="1"/>
                <c:pt idx="0">
                  <c:v>NATGAS</c:v>
                </c:pt>
              </c:strCache>
            </c:strRef>
          </c:tx>
          <c:spPr>
            <a:solidFill>
              <a:schemeClr val="accent5">
                <a:lumMod val="60000"/>
              </a:schemeClr>
            </a:solidFill>
            <a:ln>
              <a:noFill/>
            </a:ln>
            <a:effectLst/>
          </c:spPr>
          <c:invertIfNegative val="0"/>
          <c:cat>
            <c:multiLvlStrRef>
              <c:f>'HE GEN CAP'!$B$4:$D$13</c:f>
              <c:multiLvlStrCache>
                <c:ptCount val="9"/>
                <c:lvl>
                  <c:pt idx="0">
                    <c:v>2016</c:v>
                  </c:pt>
                  <c:pt idx="1">
                    <c:v>2016</c:v>
                  </c:pt>
                  <c:pt idx="2">
                    <c:v>2016</c:v>
                  </c:pt>
                  <c:pt idx="3">
                    <c:v>2016</c:v>
                  </c:pt>
                  <c:pt idx="4">
                    <c:v>2016</c:v>
                  </c:pt>
                  <c:pt idx="5">
                    <c:v>2016</c:v>
                  </c:pt>
                  <c:pt idx="6">
                    <c:v>2016</c:v>
                  </c:pt>
                  <c:pt idx="7">
                    <c:v>2016</c:v>
                  </c:pt>
                  <c:pt idx="8">
                    <c:v>2016</c:v>
                  </c:pt>
                </c:lvl>
                <c:lvl>
                  <c:pt idx="0">
                    <c:v>DENMARK</c:v>
                  </c:pt>
                  <c:pt idx="1">
                    <c:v>ESTONIA</c:v>
                  </c:pt>
                  <c:pt idx="2">
                    <c:v>FINLAND</c:v>
                  </c:pt>
                  <c:pt idx="3">
                    <c:v>GERMANY</c:v>
                  </c:pt>
                  <c:pt idx="4">
                    <c:v>LATVIA</c:v>
                  </c:pt>
                  <c:pt idx="5">
                    <c:v>LITHUANIA</c:v>
                  </c:pt>
                  <c:pt idx="6">
                    <c:v>NORWAY</c:v>
                  </c:pt>
                  <c:pt idx="7">
                    <c:v>POLAND</c:v>
                  </c:pt>
                  <c:pt idx="8">
                    <c:v>SWEDEN</c:v>
                  </c:pt>
                </c:lvl>
                <c:lvl>
                  <c:pt idx="0">
                    <c:v>Exogenous</c:v>
                  </c:pt>
                </c:lvl>
              </c:multiLvlStrCache>
            </c:multiLvlStrRef>
          </c:cat>
          <c:val>
            <c:numRef>
              <c:f>'HE GEN CAP'!$O$4:$O$13</c:f>
              <c:numCache>
                <c:formatCode>General</c:formatCode>
                <c:ptCount val="9"/>
                <c:pt idx="0">
                  <c:v>2.2462374110563741</c:v>
                </c:pt>
                <c:pt idx="1">
                  <c:v>0.14384666226041012</c:v>
                </c:pt>
                <c:pt idx="2">
                  <c:v>2.2694223346484561</c:v>
                </c:pt>
                <c:pt idx="3">
                  <c:v>16.774935045948201</c:v>
                </c:pt>
                <c:pt idx="4">
                  <c:v>0.97265229418366594</c:v>
                </c:pt>
                <c:pt idx="5">
                  <c:v>1.2695760583692342</c:v>
                </c:pt>
                <c:pt idx="7">
                  <c:v>0.39300000000000002</c:v>
                </c:pt>
                <c:pt idx="8">
                  <c:v>1.0131237033980638</c:v>
                </c:pt>
              </c:numCache>
            </c:numRef>
          </c:val>
          <c:extLst>
            <c:ext xmlns:c16="http://schemas.microsoft.com/office/drawing/2014/chart" uri="{C3380CC4-5D6E-409C-BE32-E72D297353CC}">
              <c16:uniqueId val="{0000000A-1BFE-438E-B093-4691AD4E7729}"/>
            </c:ext>
          </c:extLst>
        </c:ser>
        <c:ser>
          <c:idx val="11"/>
          <c:order val="11"/>
          <c:tx>
            <c:strRef>
              <c:f>'HE GEN CAP'!$P$2:$P$3</c:f>
              <c:strCache>
                <c:ptCount val="1"/>
                <c:pt idx="0">
                  <c:v>PEAT</c:v>
                </c:pt>
              </c:strCache>
            </c:strRef>
          </c:tx>
          <c:spPr>
            <a:solidFill>
              <a:schemeClr val="accent6">
                <a:lumMod val="60000"/>
              </a:schemeClr>
            </a:solidFill>
            <a:ln>
              <a:noFill/>
            </a:ln>
            <a:effectLst/>
          </c:spPr>
          <c:invertIfNegative val="0"/>
          <c:cat>
            <c:multiLvlStrRef>
              <c:f>'HE GEN CAP'!$B$4:$D$13</c:f>
              <c:multiLvlStrCache>
                <c:ptCount val="9"/>
                <c:lvl>
                  <c:pt idx="0">
                    <c:v>2016</c:v>
                  </c:pt>
                  <c:pt idx="1">
                    <c:v>2016</c:v>
                  </c:pt>
                  <c:pt idx="2">
                    <c:v>2016</c:v>
                  </c:pt>
                  <c:pt idx="3">
                    <c:v>2016</c:v>
                  </c:pt>
                  <c:pt idx="4">
                    <c:v>2016</c:v>
                  </c:pt>
                  <c:pt idx="5">
                    <c:v>2016</c:v>
                  </c:pt>
                  <c:pt idx="6">
                    <c:v>2016</c:v>
                  </c:pt>
                  <c:pt idx="7">
                    <c:v>2016</c:v>
                  </c:pt>
                  <c:pt idx="8">
                    <c:v>2016</c:v>
                  </c:pt>
                </c:lvl>
                <c:lvl>
                  <c:pt idx="0">
                    <c:v>DENMARK</c:v>
                  </c:pt>
                  <c:pt idx="1">
                    <c:v>ESTONIA</c:v>
                  </c:pt>
                  <c:pt idx="2">
                    <c:v>FINLAND</c:v>
                  </c:pt>
                  <c:pt idx="3">
                    <c:v>GERMANY</c:v>
                  </c:pt>
                  <c:pt idx="4">
                    <c:v>LATVIA</c:v>
                  </c:pt>
                  <c:pt idx="5">
                    <c:v>LITHUANIA</c:v>
                  </c:pt>
                  <c:pt idx="6">
                    <c:v>NORWAY</c:v>
                  </c:pt>
                  <c:pt idx="7">
                    <c:v>POLAND</c:v>
                  </c:pt>
                  <c:pt idx="8">
                    <c:v>SWEDEN</c:v>
                  </c:pt>
                </c:lvl>
                <c:lvl>
                  <c:pt idx="0">
                    <c:v>Exogenous</c:v>
                  </c:pt>
                </c:lvl>
              </c:multiLvlStrCache>
            </c:multiLvlStrRef>
          </c:cat>
          <c:val>
            <c:numRef>
              <c:f>'HE GEN CAP'!$P$4:$P$13</c:f>
              <c:numCache>
                <c:formatCode>General</c:formatCode>
                <c:ptCount val="9"/>
                <c:pt idx="2">
                  <c:v>2.371164743978952</c:v>
                </c:pt>
                <c:pt idx="8">
                  <c:v>0.30398526315789476</c:v>
                </c:pt>
              </c:numCache>
            </c:numRef>
          </c:val>
          <c:extLst>
            <c:ext xmlns:c16="http://schemas.microsoft.com/office/drawing/2014/chart" uri="{C3380CC4-5D6E-409C-BE32-E72D297353CC}">
              <c16:uniqueId val="{0000000B-1BFE-438E-B093-4691AD4E7729}"/>
            </c:ext>
          </c:extLst>
        </c:ser>
        <c:ser>
          <c:idx val="12"/>
          <c:order val="12"/>
          <c:tx>
            <c:strRef>
              <c:f>'HE GEN CAP'!$Q$2:$Q$3</c:f>
              <c:strCache>
                <c:ptCount val="1"/>
                <c:pt idx="0">
                  <c:v>RECYCLEDWOOD</c:v>
                </c:pt>
              </c:strCache>
            </c:strRef>
          </c:tx>
          <c:spPr>
            <a:solidFill>
              <a:schemeClr val="accent1">
                <a:lumMod val="80000"/>
                <a:lumOff val="20000"/>
              </a:schemeClr>
            </a:solidFill>
            <a:ln>
              <a:noFill/>
            </a:ln>
            <a:effectLst/>
          </c:spPr>
          <c:invertIfNegative val="0"/>
          <c:cat>
            <c:multiLvlStrRef>
              <c:f>'HE GEN CAP'!$B$4:$D$13</c:f>
              <c:multiLvlStrCache>
                <c:ptCount val="9"/>
                <c:lvl>
                  <c:pt idx="0">
                    <c:v>2016</c:v>
                  </c:pt>
                  <c:pt idx="1">
                    <c:v>2016</c:v>
                  </c:pt>
                  <c:pt idx="2">
                    <c:v>2016</c:v>
                  </c:pt>
                  <c:pt idx="3">
                    <c:v>2016</c:v>
                  </c:pt>
                  <c:pt idx="4">
                    <c:v>2016</c:v>
                  </c:pt>
                  <c:pt idx="5">
                    <c:v>2016</c:v>
                  </c:pt>
                  <c:pt idx="6">
                    <c:v>2016</c:v>
                  </c:pt>
                  <c:pt idx="7">
                    <c:v>2016</c:v>
                  </c:pt>
                  <c:pt idx="8">
                    <c:v>2016</c:v>
                  </c:pt>
                </c:lvl>
                <c:lvl>
                  <c:pt idx="0">
                    <c:v>DENMARK</c:v>
                  </c:pt>
                  <c:pt idx="1">
                    <c:v>ESTONIA</c:v>
                  </c:pt>
                  <c:pt idx="2">
                    <c:v>FINLAND</c:v>
                  </c:pt>
                  <c:pt idx="3">
                    <c:v>GERMANY</c:v>
                  </c:pt>
                  <c:pt idx="4">
                    <c:v>LATVIA</c:v>
                  </c:pt>
                  <c:pt idx="5">
                    <c:v>LITHUANIA</c:v>
                  </c:pt>
                  <c:pt idx="6">
                    <c:v>NORWAY</c:v>
                  </c:pt>
                  <c:pt idx="7">
                    <c:v>POLAND</c:v>
                  </c:pt>
                  <c:pt idx="8">
                    <c:v>SWEDEN</c:v>
                  </c:pt>
                </c:lvl>
                <c:lvl>
                  <c:pt idx="0">
                    <c:v>Exogenous</c:v>
                  </c:pt>
                </c:lvl>
              </c:multiLvlStrCache>
            </c:multiLvlStrRef>
          </c:cat>
          <c:val>
            <c:numRef>
              <c:f>'HE GEN CAP'!$Q$4:$Q$13</c:f>
              <c:numCache>
                <c:formatCode>General</c:formatCode>
                <c:ptCount val="9"/>
                <c:pt idx="8">
                  <c:v>0.50957841622138778</c:v>
                </c:pt>
              </c:numCache>
            </c:numRef>
          </c:val>
          <c:extLst>
            <c:ext xmlns:c16="http://schemas.microsoft.com/office/drawing/2014/chart" uri="{C3380CC4-5D6E-409C-BE32-E72D297353CC}">
              <c16:uniqueId val="{0000000C-1BFE-438E-B093-4691AD4E7729}"/>
            </c:ext>
          </c:extLst>
        </c:ser>
        <c:ser>
          <c:idx val="13"/>
          <c:order val="13"/>
          <c:tx>
            <c:strRef>
              <c:f>'HE GEN CAP'!$R$2:$R$3</c:f>
              <c:strCache>
                <c:ptCount val="1"/>
                <c:pt idx="0">
                  <c:v>RETORTGAS</c:v>
                </c:pt>
              </c:strCache>
            </c:strRef>
          </c:tx>
          <c:spPr>
            <a:solidFill>
              <a:schemeClr val="accent2">
                <a:lumMod val="80000"/>
                <a:lumOff val="20000"/>
              </a:schemeClr>
            </a:solidFill>
            <a:ln>
              <a:noFill/>
            </a:ln>
            <a:effectLst/>
          </c:spPr>
          <c:invertIfNegative val="0"/>
          <c:cat>
            <c:multiLvlStrRef>
              <c:f>'HE GEN CAP'!$B$4:$D$13</c:f>
              <c:multiLvlStrCache>
                <c:ptCount val="9"/>
                <c:lvl>
                  <c:pt idx="0">
                    <c:v>2016</c:v>
                  </c:pt>
                  <c:pt idx="1">
                    <c:v>2016</c:v>
                  </c:pt>
                  <c:pt idx="2">
                    <c:v>2016</c:v>
                  </c:pt>
                  <c:pt idx="3">
                    <c:v>2016</c:v>
                  </c:pt>
                  <c:pt idx="4">
                    <c:v>2016</c:v>
                  </c:pt>
                  <c:pt idx="5">
                    <c:v>2016</c:v>
                  </c:pt>
                  <c:pt idx="6">
                    <c:v>2016</c:v>
                  </c:pt>
                  <c:pt idx="7">
                    <c:v>2016</c:v>
                  </c:pt>
                  <c:pt idx="8">
                    <c:v>2016</c:v>
                  </c:pt>
                </c:lvl>
                <c:lvl>
                  <c:pt idx="0">
                    <c:v>DENMARK</c:v>
                  </c:pt>
                  <c:pt idx="1">
                    <c:v>ESTONIA</c:v>
                  </c:pt>
                  <c:pt idx="2">
                    <c:v>FINLAND</c:v>
                  </c:pt>
                  <c:pt idx="3">
                    <c:v>GERMANY</c:v>
                  </c:pt>
                  <c:pt idx="4">
                    <c:v>LATVIA</c:v>
                  </c:pt>
                  <c:pt idx="5">
                    <c:v>LITHUANIA</c:v>
                  </c:pt>
                  <c:pt idx="6">
                    <c:v>NORWAY</c:v>
                  </c:pt>
                  <c:pt idx="7">
                    <c:v>POLAND</c:v>
                  </c:pt>
                  <c:pt idx="8">
                    <c:v>SWEDEN</c:v>
                  </c:pt>
                </c:lvl>
                <c:lvl>
                  <c:pt idx="0">
                    <c:v>Exogenous</c:v>
                  </c:pt>
                </c:lvl>
              </c:multiLvlStrCache>
            </c:multiLvlStrRef>
          </c:cat>
          <c:val>
            <c:numRef>
              <c:f>'HE GEN CAP'!$R$4:$R$13</c:f>
              <c:numCache>
                <c:formatCode>General</c:formatCode>
                <c:ptCount val="9"/>
                <c:pt idx="1">
                  <c:v>7.6612903225806495E-2</c:v>
                </c:pt>
              </c:numCache>
            </c:numRef>
          </c:val>
          <c:extLst>
            <c:ext xmlns:c16="http://schemas.microsoft.com/office/drawing/2014/chart" uri="{C3380CC4-5D6E-409C-BE32-E72D297353CC}">
              <c16:uniqueId val="{0000000D-1BFE-438E-B093-4691AD4E7729}"/>
            </c:ext>
          </c:extLst>
        </c:ser>
        <c:ser>
          <c:idx val="14"/>
          <c:order val="14"/>
          <c:tx>
            <c:strRef>
              <c:f>'HE GEN CAP'!$S$2:$S$3</c:f>
              <c:strCache>
                <c:ptCount val="1"/>
                <c:pt idx="0">
                  <c:v>SHALE</c:v>
                </c:pt>
              </c:strCache>
            </c:strRef>
          </c:tx>
          <c:spPr>
            <a:solidFill>
              <a:schemeClr val="accent3">
                <a:lumMod val="80000"/>
                <a:lumOff val="20000"/>
              </a:schemeClr>
            </a:solidFill>
            <a:ln>
              <a:noFill/>
            </a:ln>
            <a:effectLst/>
          </c:spPr>
          <c:invertIfNegative val="0"/>
          <c:cat>
            <c:multiLvlStrRef>
              <c:f>'HE GEN CAP'!$B$4:$D$13</c:f>
              <c:multiLvlStrCache>
                <c:ptCount val="9"/>
                <c:lvl>
                  <c:pt idx="0">
                    <c:v>2016</c:v>
                  </c:pt>
                  <c:pt idx="1">
                    <c:v>2016</c:v>
                  </c:pt>
                  <c:pt idx="2">
                    <c:v>2016</c:v>
                  </c:pt>
                  <c:pt idx="3">
                    <c:v>2016</c:v>
                  </c:pt>
                  <c:pt idx="4">
                    <c:v>2016</c:v>
                  </c:pt>
                  <c:pt idx="5">
                    <c:v>2016</c:v>
                  </c:pt>
                  <c:pt idx="6">
                    <c:v>2016</c:v>
                  </c:pt>
                  <c:pt idx="7">
                    <c:v>2016</c:v>
                  </c:pt>
                  <c:pt idx="8">
                    <c:v>2016</c:v>
                  </c:pt>
                </c:lvl>
                <c:lvl>
                  <c:pt idx="0">
                    <c:v>DENMARK</c:v>
                  </c:pt>
                  <c:pt idx="1">
                    <c:v>ESTONIA</c:v>
                  </c:pt>
                  <c:pt idx="2">
                    <c:v>FINLAND</c:v>
                  </c:pt>
                  <c:pt idx="3">
                    <c:v>GERMANY</c:v>
                  </c:pt>
                  <c:pt idx="4">
                    <c:v>LATVIA</c:v>
                  </c:pt>
                  <c:pt idx="5">
                    <c:v>LITHUANIA</c:v>
                  </c:pt>
                  <c:pt idx="6">
                    <c:v>NORWAY</c:v>
                  </c:pt>
                  <c:pt idx="7">
                    <c:v>POLAND</c:v>
                  </c:pt>
                  <c:pt idx="8">
                    <c:v>SWEDEN</c:v>
                  </c:pt>
                </c:lvl>
                <c:lvl>
                  <c:pt idx="0">
                    <c:v>Exogenous</c:v>
                  </c:pt>
                </c:lvl>
              </c:multiLvlStrCache>
            </c:multiLvlStrRef>
          </c:cat>
          <c:val>
            <c:numRef>
              <c:f>'HE GEN CAP'!$S$4:$S$13</c:f>
              <c:numCache>
                <c:formatCode>General</c:formatCode>
                <c:ptCount val="9"/>
                <c:pt idx="1">
                  <c:v>0.182857142857143</c:v>
                </c:pt>
              </c:numCache>
            </c:numRef>
          </c:val>
          <c:extLst>
            <c:ext xmlns:c16="http://schemas.microsoft.com/office/drawing/2014/chart" uri="{C3380CC4-5D6E-409C-BE32-E72D297353CC}">
              <c16:uniqueId val="{0000000E-1BFE-438E-B093-4691AD4E7729}"/>
            </c:ext>
          </c:extLst>
        </c:ser>
        <c:ser>
          <c:idx val="15"/>
          <c:order val="15"/>
          <c:tx>
            <c:strRef>
              <c:f>'HE GEN CAP'!$T$2:$T$3</c:f>
              <c:strCache>
                <c:ptCount val="1"/>
                <c:pt idx="0">
                  <c:v>STRAW</c:v>
                </c:pt>
              </c:strCache>
            </c:strRef>
          </c:tx>
          <c:spPr>
            <a:solidFill>
              <a:schemeClr val="accent4">
                <a:lumMod val="80000"/>
                <a:lumOff val="20000"/>
              </a:schemeClr>
            </a:solidFill>
            <a:ln>
              <a:noFill/>
            </a:ln>
            <a:effectLst/>
          </c:spPr>
          <c:invertIfNegative val="0"/>
          <c:cat>
            <c:multiLvlStrRef>
              <c:f>'HE GEN CAP'!$B$4:$D$13</c:f>
              <c:multiLvlStrCache>
                <c:ptCount val="9"/>
                <c:lvl>
                  <c:pt idx="0">
                    <c:v>2016</c:v>
                  </c:pt>
                  <c:pt idx="1">
                    <c:v>2016</c:v>
                  </c:pt>
                  <c:pt idx="2">
                    <c:v>2016</c:v>
                  </c:pt>
                  <c:pt idx="3">
                    <c:v>2016</c:v>
                  </c:pt>
                  <c:pt idx="4">
                    <c:v>2016</c:v>
                  </c:pt>
                  <c:pt idx="5">
                    <c:v>2016</c:v>
                  </c:pt>
                  <c:pt idx="6">
                    <c:v>2016</c:v>
                  </c:pt>
                  <c:pt idx="7">
                    <c:v>2016</c:v>
                  </c:pt>
                  <c:pt idx="8">
                    <c:v>2016</c:v>
                  </c:pt>
                </c:lvl>
                <c:lvl>
                  <c:pt idx="0">
                    <c:v>DENMARK</c:v>
                  </c:pt>
                  <c:pt idx="1">
                    <c:v>ESTONIA</c:v>
                  </c:pt>
                  <c:pt idx="2">
                    <c:v>FINLAND</c:v>
                  </c:pt>
                  <c:pt idx="3">
                    <c:v>GERMANY</c:v>
                  </c:pt>
                  <c:pt idx="4">
                    <c:v>LATVIA</c:v>
                  </c:pt>
                  <c:pt idx="5">
                    <c:v>LITHUANIA</c:v>
                  </c:pt>
                  <c:pt idx="6">
                    <c:v>NORWAY</c:v>
                  </c:pt>
                  <c:pt idx="7">
                    <c:v>POLAND</c:v>
                  </c:pt>
                  <c:pt idx="8">
                    <c:v>SWEDEN</c:v>
                  </c:pt>
                </c:lvl>
                <c:lvl>
                  <c:pt idx="0">
                    <c:v>Exogenous</c:v>
                  </c:pt>
                </c:lvl>
              </c:multiLvlStrCache>
            </c:multiLvlStrRef>
          </c:cat>
          <c:val>
            <c:numRef>
              <c:f>'HE GEN CAP'!$T$4:$T$13</c:f>
              <c:numCache>
                <c:formatCode>General</c:formatCode>
                <c:ptCount val="9"/>
                <c:pt idx="0">
                  <c:v>0.1737970870749358</c:v>
                </c:pt>
                <c:pt idx="7">
                  <c:v>0.92999999999999994</c:v>
                </c:pt>
              </c:numCache>
            </c:numRef>
          </c:val>
          <c:extLst>
            <c:ext xmlns:c16="http://schemas.microsoft.com/office/drawing/2014/chart" uri="{C3380CC4-5D6E-409C-BE32-E72D297353CC}">
              <c16:uniqueId val="{0000000F-1BFE-438E-B093-4691AD4E7729}"/>
            </c:ext>
          </c:extLst>
        </c:ser>
        <c:ser>
          <c:idx val="16"/>
          <c:order val="16"/>
          <c:tx>
            <c:strRef>
              <c:f>'HE GEN CAP'!$U$2:$U$3</c:f>
              <c:strCache>
                <c:ptCount val="1"/>
                <c:pt idx="0">
                  <c:v>WOOD</c:v>
                </c:pt>
              </c:strCache>
            </c:strRef>
          </c:tx>
          <c:spPr>
            <a:solidFill>
              <a:schemeClr val="accent5">
                <a:lumMod val="80000"/>
                <a:lumOff val="20000"/>
              </a:schemeClr>
            </a:solidFill>
            <a:ln>
              <a:noFill/>
            </a:ln>
            <a:effectLst/>
          </c:spPr>
          <c:invertIfNegative val="0"/>
          <c:cat>
            <c:multiLvlStrRef>
              <c:f>'HE GEN CAP'!$B$4:$D$13</c:f>
              <c:multiLvlStrCache>
                <c:ptCount val="9"/>
                <c:lvl>
                  <c:pt idx="0">
                    <c:v>2016</c:v>
                  </c:pt>
                  <c:pt idx="1">
                    <c:v>2016</c:v>
                  </c:pt>
                  <c:pt idx="2">
                    <c:v>2016</c:v>
                  </c:pt>
                  <c:pt idx="3">
                    <c:v>2016</c:v>
                  </c:pt>
                  <c:pt idx="4">
                    <c:v>2016</c:v>
                  </c:pt>
                  <c:pt idx="5">
                    <c:v>2016</c:v>
                  </c:pt>
                  <c:pt idx="6">
                    <c:v>2016</c:v>
                  </c:pt>
                  <c:pt idx="7">
                    <c:v>2016</c:v>
                  </c:pt>
                  <c:pt idx="8">
                    <c:v>2016</c:v>
                  </c:pt>
                </c:lvl>
                <c:lvl>
                  <c:pt idx="0">
                    <c:v>DENMARK</c:v>
                  </c:pt>
                  <c:pt idx="1">
                    <c:v>ESTONIA</c:v>
                  </c:pt>
                  <c:pt idx="2">
                    <c:v>FINLAND</c:v>
                  </c:pt>
                  <c:pt idx="3">
                    <c:v>GERMANY</c:v>
                  </c:pt>
                  <c:pt idx="4">
                    <c:v>LATVIA</c:v>
                  </c:pt>
                  <c:pt idx="5">
                    <c:v>LITHUANIA</c:v>
                  </c:pt>
                  <c:pt idx="6">
                    <c:v>NORWAY</c:v>
                  </c:pt>
                  <c:pt idx="7">
                    <c:v>POLAND</c:v>
                  </c:pt>
                  <c:pt idx="8">
                    <c:v>SWEDEN</c:v>
                  </c:pt>
                </c:lvl>
                <c:lvl>
                  <c:pt idx="0">
                    <c:v>Exogenous</c:v>
                  </c:pt>
                </c:lvl>
              </c:multiLvlStrCache>
            </c:multiLvlStrRef>
          </c:cat>
          <c:val>
            <c:numRef>
              <c:f>'HE GEN CAP'!$U$4:$U$13</c:f>
              <c:numCache>
                <c:formatCode>General</c:formatCode>
                <c:ptCount val="9"/>
                <c:pt idx="1">
                  <c:v>0.34800019572881546</c:v>
                </c:pt>
                <c:pt idx="2">
                  <c:v>3.177764127764132</c:v>
                </c:pt>
                <c:pt idx="4">
                  <c:v>0.105882352941176</c:v>
                </c:pt>
                <c:pt idx="5">
                  <c:v>0.25843300620375276</c:v>
                </c:pt>
                <c:pt idx="7">
                  <c:v>1.81538461538462</c:v>
                </c:pt>
                <c:pt idx="8">
                  <c:v>3.000909090909095</c:v>
                </c:pt>
              </c:numCache>
            </c:numRef>
          </c:val>
          <c:extLst>
            <c:ext xmlns:c16="http://schemas.microsoft.com/office/drawing/2014/chart" uri="{C3380CC4-5D6E-409C-BE32-E72D297353CC}">
              <c16:uniqueId val="{00000010-1BFE-438E-B093-4691AD4E7729}"/>
            </c:ext>
          </c:extLst>
        </c:ser>
        <c:ser>
          <c:idx val="17"/>
          <c:order val="17"/>
          <c:tx>
            <c:strRef>
              <c:f>'HE GEN CAP'!$V$2:$V$3</c:f>
              <c:strCache>
                <c:ptCount val="1"/>
                <c:pt idx="0">
                  <c:v>WOODCHIPS</c:v>
                </c:pt>
              </c:strCache>
            </c:strRef>
          </c:tx>
          <c:spPr>
            <a:solidFill>
              <a:schemeClr val="accent6">
                <a:lumMod val="80000"/>
                <a:lumOff val="20000"/>
              </a:schemeClr>
            </a:solidFill>
            <a:ln>
              <a:noFill/>
            </a:ln>
            <a:effectLst/>
          </c:spPr>
          <c:invertIfNegative val="0"/>
          <c:cat>
            <c:multiLvlStrRef>
              <c:f>'HE GEN CAP'!$B$4:$D$13</c:f>
              <c:multiLvlStrCache>
                <c:ptCount val="9"/>
                <c:lvl>
                  <c:pt idx="0">
                    <c:v>2016</c:v>
                  </c:pt>
                  <c:pt idx="1">
                    <c:v>2016</c:v>
                  </c:pt>
                  <c:pt idx="2">
                    <c:v>2016</c:v>
                  </c:pt>
                  <c:pt idx="3">
                    <c:v>2016</c:v>
                  </c:pt>
                  <c:pt idx="4">
                    <c:v>2016</c:v>
                  </c:pt>
                  <c:pt idx="5">
                    <c:v>2016</c:v>
                  </c:pt>
                  <c:pt idx="6">
                    <c:v>2016</c:v>
                  </c:pt>
                  <c:pt idx="7">
                    <c:v>2016</c:v>
                  </c:pt>
                  <c:pt idx="8">
                    <c:v>2016</c:v>
                  </c:pt>
                </c:lvl>
                <c:lvl>
                  <c:pt idx="0">
                    <c:v>DENMARK</c:v>
                  </c:pt>
                  <c:pt idx="1">
                    <c:v>ESTONIA</c:v>
                  </c:pt>
                  <c:pt idx="2">
                    <c:v>FINLAND</c:v>
                  </c:pt>
                  <c:pt idx="3">
                    <c:v>GERMANY</c:v>
                  </c:pt>
                  <c:pt idx="4">
                    <c:v>LATVIA</c:v>
                  </c:pt>
                  <c:pt idx="5">
                    <c:v>LITHUANIA</c:v>
                  </c:pt>
                  <c:pt idx="6">
                    <c:v>NORWAY</c:v>
                  </c:pt>
                  <c:pt idx="7">
                    <c:v>POLAND</c:v>
                  </c:pt>
                  <c:pt idx="8">
                    <c:v>SWEDEN</c:v>
                  </c:pt>
                </c:lvl>
                <c:lvl>
                  <c:pt idx="0">
                    <c:v>Exogenous</c:v>
                  </c:pt>
                </c:lvl>
              </c:multiLvlStrCache>
            </c:multiLvlStrRef>
          </c:cat>
          <c:val>
            <c:numRef>
              <c:f>'HE GEN CAP'!$V$4:$V$13</c:f>
              <c:numCache>
                <c:formatCode>General</c:formatCode>
                <c:ptCount val="9"/>
                <c:pt idx="0">
                  <c:v>0.53611764705882292</c:v>
                </c:pt>
                <c:pt idx="2">
                  <c:v>0.63235208454689207</c:v>
                </c:pt>
                <c:pt idx="8">
                  <c:v>0.45604405033555789</c:v>
                </c:pt>
              </c:numCache>
            </c:numRef>
          </c:val>
          <c:extLst>
            <c:ext xmlns:c16="http://schemas.microsoft.com/office/drawing/2014/chart" uri="{C3380CC4-5D6E-409C-BE32-E72D297353CC}">
              <c16:uniqueId val="{00000011-1BFE-438E-B093-4691AD4E7729}"/>
            </c:ext>
          </c:extLst>
        </c:ser>
        <c:ser>
          <c:idx val="18"/>
          <c:order val="18"/>
          <c:tx>
            <c:strRef>
              <c:f>'HE GEN CAP'!$W$2:$W$3</c:f>
              <c:strCache>
                <c:ptCount val="1"/>
                <c:pt idx="0">
                  <c:v>WOODPELLETS</c:v>
                </c:pt>
              </c:strCache>
            </c:strRef>
          </c:tx>
          <c:spPr>
            <a:solidFill>
              <a:schemeClr val="accent1">
                <a:lumMod val="80000"/>
              </a:schemeClr>
            </a:solidFill>
            <a:ln>
              <a:noFill/>
            </a:ln>
            <a:effectLst/>
          </c:spPr>
          <c:invertIfNegative val="0"/>
          <c:cat>
            <c:multiLvlStrRef>
              <c:f>'HE GEN CAP'!$B$4:$D$13</c:f>
              <c:multiLvlStrCache>
                <c:ptCount val="9"/>
                <c:lvl>
                  <c:pt idx="0">
                    <c:v>2016</c:v>
                  </c:pt>
                  <c:pt idx="1">
                    <c:v>2016</c:v>
                  </c:pt>
                  <c:pt idx="2">
                    <c:v>2016</c:v>
                  </c:pt>
                  <c:pt idx="3">
                    <c:v>2016</c:v>
                  </c:pt>
                  <c:pt idx="4">
                    <c:v>2016</c:v>
                  </c:pt>
                  <c:pt idx="5">
                    <c:v>2016</c:v>
                  </c:pt>
                  <c:pt idx="6">
                    <c:v>2016</c:v>
                  </c:pt>
                  <c:pt idx="7">
                    <c:v>2016</c:v>
                  </c:pt>
                  <c:pt idx="8">
                    <c:v>2016</c:v>
                  </c:pt>
                </c:lvl>
                <c:lvl>
                  <c:pt idx="0">
                    <c:v>DENMARK</c:v>
                  </c:pt>
                  <c:pt idx="1">
                    <c:v>ESTONIA</c:v>
                  </c:pt>
                  <c:pt idx="2">
                    <c:v>FINLAND</c:v>
                  </c:pt>
                  <c:pt idx="3">
                    <c:v>GERMANY</c:v>
                  </c:pt>
                  <c:pt idx="4">
                    <c:v>LATVIA</c:v>
                  </c:pt>
                  <c:pt idx="5">
                    <c:v>LITHUANIA</c:v>
                  </c:pt>
                  <c:pt idx="6">
                    <c:v>NORWAY</c:v>
                  </c:pt>
                  <c:pt idx="7">
                    <c:v>POLAND</c:v>
                  </c:pt>
                  <c:pt idx="8">
                    <c:v>SWEDEN</c:v>
                  </c:pt>
                </c:lvl>
                <c:lvl>
                  <c:pt idx="0">
                    <c:v>Exogenous</c:v>
                  </c:pt>
                </c:lvl>
              </c:multiLvlStrCache>
            </c:multiLvlStrRef>
          </c:cat>
          <c:val>
            <c:numRef>
              <c:f>'HE GEN CAP'!$W$4:$W$13</c:f>
              <c:numCache>
                <c:formatCode>General</c:formatCode>
                <c:ptCount val="9"/>
                <c:pt idx="0">
                  <c:v>0.762931111111111</c:v>
                </c:pt>
                <c:pt idx="2">
                  <c:v>2.25409836065574E-3</c:v>
                </c:pt>
                <c:pt idx="8">
                  <c:v>0.33876186367558303</c:v>
                </c:pt>
              </c:numCache>
            </c:numRef>
          </c:val>
          <c:extLst>
            <c:ext xmlns:c16="http://schemas.microsoft.com/office/drawing/2014/chart" uri="{C3380CC4-5D6E-409C-BE32-E72D297353CC}">
              <c16:uniqueId val="{00000012-1BFE-438E-B093-4691AD4E7729}"/>
            </c:ext>
          </c:extLst>
        </c:ser>
        <c:ser>
          <c:idx val="19"/>
          <c:order val="19"/>
          <c:tx>
            <c:strRef>
              <c:f>'HE GEN CAP'!$X$2:$X$3</c:f>
              <c:strCache>
                <c:ptCount val="1"/>
                <c:pt idx="0">
                  <c:v>WOODWASTE</c:v>
                </c:pt>
              </c:strCache>
            </c:strRef>
          </c:tx>
          <c:spPr>
            <a:solidFill>
              <a:schemeClr val="accent2">
                <a:lumMod val="80000"/>
              </a:schemeClr>
            </a:solidFill>
            <a:ln>
              <a:noFill/>
            </a:ln>
            <a:effectLst/>
          </c:spPr>
          <c:invertIfNegative val="0"/>
          <c:cat>
            <c:multiLvlStrRef>
              <c:f>'HE GEN CAP'!$B$4:$D$13</c:f>
              <c:multiLvlStrCache>
                <c:ptCount val="9"/>
                <c:lvl>
                  <c:pt idx="0">
                    <c:v>2016</c:v>
                  </c:pt>
                  <c:pt idx="1">
                    <c:v>2016</c:v>
                  </c:pt>
                  <c:pt idx="2">
                    <c:v>2016</c:v>
                  </c:pt>
                  <c:pt idx="3">
                    <c:v>2016</c:v>
                  </c:pt>
                  <c:pt idx="4">
                    <c:v>2016</c:v>
                  </c:pt>
                  <c:pt idx="5">
                    <c:v>2016</c:v>
                  </c:pt>
                  <c:pt idx="6">
                    <c:v>2016</c:v>
                  </c:pt>
                  <c:pt idx="7">
                    <c:v>2016</c:v>
                  </c:pt>
                  <c:pt idx="8">
                    <c:v>2016</c:v>
                  </c:pt>
                </c:lvl>
                <c:lvl>
                  <c:pt idx="0">
                    <c:v>DENMARK</c:v>
                  </c:pt>
                  <c:pt idx="1">
                    <c:v>ESTONIA</c:v>
                  </c:pt>
                  <c:pt idx="2">
                    <c:v>FINLAND</c:v>
                  </c:pt>
                  <c:pt idx="3">
                    <c:v>GERMANY</c:v>
                  </c:pt>
                  <c:pt idx="4">
                    <c:v>LATVIA</c:v>
                  </c:pt>
                  <c:pt idx="5">
                    <c:v>LITHUANIA</c:v>
                  </c:pt>
                  <c:pt idx="6">
                    <c:v>NORWAY</c:v>
                  </c:pt>
                  <c:pt idx="7">
                    <c:v>POLAND</c:v>
                  </c:pt>
                  <c:pt idx="8">
                    <c:v>SWEDEN</c:v>
                  </c:pt>
                </c:lvl>
                <c:lvl>
                  <c:pt idx="0">
                    <c:v>Exogenous</c:v>
                  </c:pt>
                </c:lvl>
              </c:multiLvlStrCache>
            </c:multiLvlStrRef>
          </c:cat>
          <c:val>
            <c:numRef>
              <c:f>'HE GEN CAP'!$X$4:$X$13</c:f>
              <c:numCache>
                <c:formatCode>General</c:formatCode>
                <c:ptCount val="9"/>
                <c:pt idx="1">
                  <c:v>0.12631578947368421</c:v>
                </c:pt>
                <c:pt idx="2">
                  <c:v>0.50493827160493798</c:v>
                </c:pt>
                <c:pt idx="5">
                  <c:v>2.7368421052631601E-2</c:v>
                </c:pt>
                <c:pt idx="8">
                  <c:v>2.8237192647385481</c:v>
                </c:pt>
              </c:numCache>
            </c:numRef>
          </c:val>
          <c:extLst>
            <c:ext xmlns:c16="http://schemas.microsoft.com/office/drawing/2014/chart" uri="{C3380CC4-5D6E-409C-BE32-E72D297353CC}">
              <c16:uniqueId val="{00000013-1BFE-438E-B093-4691AD4E7729}"/>
            </c:ext>
          </c:extLst>
        </c:ser>
        <c:dLbls>
          <c:showLegendKey val="0"/>
          <c:showVal val="0"/>
          <c:showCatName val="0"/>
          <c:showSerName val="0"/>
          <c:showPercent val="0"/>
          <c:showBubbleSize val="0"/>
        </c:dLbls>
        <c:gapWidth val="219"/>
        <c:overlap val="100"/>
        <c:axId val="1770374464"/>
        <c:axId val="1770372800"/>
      </c:barChart>
      <c:catAx>
        <c:axId val="1770374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770372800"/>
        <c:crosses val="autoZero"/>
        <c:auto val="1"/>
        <c:lblAlgn val="ctr"/>
        <c:lblOffset val="100"/>
        <c:noMultiLvlLbl val="0"/>
      </c:catAx>
      <c:valAx>
        <c:axId val="1770372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77037446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B17" lockText="1" noThreeD="1"/>
</file>

<file path=xl/ctrlProps/ctrlProp3.xml><?xml version="1.0" encoding="utf-8"?>
<formControlPr xmlns="http://schemas.microsoft.com/office/spreadsheetml/2009/9/main" objectType="CheckBox" checked="Checked" fmlaLink="B18" lockText="1" noThreeD="1"/>
</file>

<file path=xl/ctrlProps/ctrlProp4.xml><?xml version="1.0" encoding="utf-8"?>
<formControlPr xmlns="http://schemas.microsoft.com/office/spreadsheetml/2009/9/main" objectType="CheckBox" checked="Checked" fmlaLink="B19" lockText="1" noThreeD="1"/>
</file>

<file path=xl/ctrlProps/ctrlProp5.xml><?xml version="1.0" encoding="utf-8"?>
<formControlPr xmlns="http://schemas.microsoft.com/office/spreadsheetml/2009/9/main" objectType="CheckBox" checked="Checked" fmlaLink="B20" lockText="1" noThreeD="1"/>
</file>

<file path=xl/ctrlProps/ctrlProp6.xml><?xml version="1.0" encoding="utf-8"?>
<formControlPr xmlns="http://schemas.microsoft.com/office/spreadsheetml/2009/9/main" objectType="CheckBox" checked="Checked" fmlaLink="B21" lockText="1" noThreeD="1"/>
</file>

<file path=xl/ctrlProps/ctrlProp7.xml><?xml version="1.0" encoding="utf-8"?>
<formControlPr xmlns="http://schemas.microsoft.com/office/spreadsheetml/2009/9/main" objectType="CheckBox" checked="Checked" fmlaLink="B22" lockText="1" noThreeD="1"/>
</file>

<file path=xl/ctrlProps/ctrlProp8.xml><?xml version="1.0" encoding="utf-8"?>
<formControlPr xmlns="http://schemas.microsoft.com/office/spreadsheetml/2009/9/main" objectType="CheckBox" checked="Checked" fmlaLink="B23" lockText="1" noThreeD="1"/>
</file>

<file path=xl/ctrlProps/ctrlProp9.xml><?xml version="1.0" encoding="utf-8"?>
<formControlPr xmlns="http://schemas.microsoft.com/office/spreadsheetml/2009/9/main" objectType="CheckBox" checked="Checked" fmlaLink="B24" lockText="1" noThreeD="1"/>
</file>

<file path=xl/ctrlProps/ctrlProp10.xml><?xml version="1.0" encoding="utf-8"?>
<formControlPr xmlns="http://schemas.microsoft.com/office/spreadsheetml/2009/9/main" objectType="CheckBox" checked="Checked" fmlaLink="B25"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Radio" firstButton="1" fmlaLink="B14" lockText="1" noThreeD="1"/>
</file>

<file path=xl/ctrlProps/ctrlProp14.xml><?xml version="1.0" encoding="utf-8"?>
<formControlPr xmlns="http://schemas.microsoft.com/office/spreadsheetml/2009/9/main" objectType="Radio" checked="Checked" lockText="1" noThreeD="1"/>
</file>

<file path=xl/ctrlProps/ctrlProp15.xml><?xml version="1.0" encoding="utf-8"?>
<formControlPr xmlns="http://schemas.microsoft.com/office/spreadsheetml/2009/9/main" objectType="CheckBox" fmlaLink="B31" lockText="1" noThreeD="1"/>
</file>

<file path=xl/ctrlProps/ctrlProp16.xml><?xml version="1.0" encoding="utf-8"?>
<formControlPr xmlns="http://schemas.microsoft.com/office/spreadsheetml/2009/9/main" objectType="CheckBox" checked="Checked" fmlaLink="B26"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1</xdr:row>
          <xdr:rowOff>180975</xdr:rowOff>
        </xdr:from>
        <xdr:to>
          <xdr:col>3</xdr:col>
          <xdr:colOff>0</xdr:colOff>
          <xdr:row>4</xdr:row>
          <xdr:rowOff>180975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Select database + Run Queries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15</xdr:row>
          <xdr:rowOff>171450</xdr:rowOff>
        </xdr:from>
        <xdr:to>
          <xdr:col>2</xdr:col>
          <xdr:colOff>123825</xdr:colOff>
          <xdr:row>17</xdr:row>
          <xdr:rowOff>28575</xdr:rowOff>
        </xdr:to>
        <xdr:sp macro="" textlink="">
          <xdr:nvSpPr>
            <xdr:cNvPr id="2067" name="Check Box 19" hidden="1">
              <a:extLst>
                <a:ext uri="{63B3BB69-23CF-44E3-9099-C40C66FF867C}">
                  <a14:compatExt spid="_x0000_s20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16</xdr:row>
          <xdr:rowOff>171450</xdr:rowOff>
        </xdr:from>
        <xdr:to>
          <xdr:col>2</xdr:col>
          <xdr:colOff>123825</xdr:colOff>
          <xdr:row>18</xdr:row>
          <xdr:rowOff>28575</xdr:rowOff>
        </xdr:to>
        <xdr:sp macro="" textlink="">
          <xdr:nvSpPr>
            <xdr:cNvPr id="2068" name="Check Box 20" hidden="1">
              <a:extLst>
                <a:ext uri="{63B3BB69-23CF-44E3-9099-C40C66FF867C}">
                  <a14:compatExt spid="_x0000_s20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xdr:row>
          <xdr:rowOff>171450</xdr:rowOff>
        </xdr:from>
        <xdr:to>
          <xdr:col>2</xdr:col>
          <xdr:colOff>123825</xdr:colOff>
          <xdr:row>19</xdr:row>
          <xdr:rowOff>28575</xdr:rowOff>
        </xdr:to>
        <xdr:sp macro="" textlink="">
          <xdr:nvSpPr>
            <xdr:cNvPr id="2069" name="Check Box 21" hidden="1">
              <a:extLst>
                <a:ext uri="{63B3BB69-23CF-44E3-9099-C40C66FF867C}">
                  <a14:compatExt spid="_x0000_s20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18</xdr:row>
          <xdr:rowOff>171450</xdr:rowOff>
        </xdr:from>
        <xdr:to>
          <xdr:col>2</xdr:col>
          <xdr:colOff>123825</xdr:colOff>
          <xdr:row>20</xdr:row>
          <xdr:rowOff>28575</xdr:rowOff>
        </xdr:to>
        <xdr:sp macro="" textlink="">
          <xdr:nvSpPr>
            <xdr:cNvPr id="2070" name="Check Box 22" hidden="1">
              <a:extLst>
                <a:ext uri="{63B3BB69-23CF-44E3-9099-C40C66FF867C}">
                  <a14:compatExt spid="_x0000_s20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171450</xdr:rowOff>
        </xdr:from>
        <xdr:to>
          <xdr:col>2</xdr:col>
          <xdr:colOff>123825</xdr:colOff>
          <xdr:row>21</xdr:row>
          <xdr:rowOff>28575</xdr:rowOff>
        </xdr:to>
        <xdr:sp macro="" textlink="">
          <xdr:nvSpPr>
            <xdr:cNvPr id="2071" name="Check Box 23" hidden="1">
              <a:extLst>
                <a:ext uri="{63B3BB69-23CF-44E3-9099-C40C66FF867C}">
                  <a14:compatExt spid="_x0000_s20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171450</xdr:rowOff>
        </xdr:from>
        <xdr:to>
          <xdr:col>2</xdr:col>
          <xdr:colOff>123825</xdr:colOff>
          <xdr:row>22</xdr:row>
          <xdr:rowOff>28575</xdr:rowOff>
        </xdr:to>
        <xdr:sp macro="" textlink="">
          <xdr:nvSpPr>
            <xdr:cNvPr id="2072" name="Check Box 24" hidden="1">
              <a:extLst>
                <a:ext uri="{63B3BB69-23CF-44E3-9099-C40C66FF867C}">
                  <a14:compatExt spid="_x0000_s20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171450</xdr:rowOff>
        </xdr:from>
        <xdr:to>
          <xdr:col>2</xdr:col>
          <xdr:colOff>123825</xdr:colOff>
          <xdr:row>23</xdr:row>
          <xdr:rowOff>28575</xdr:rowOff>
        </xdr:to>
        <xdr:sp macro="" textlink="">
          <xdr:nvSpPr>
            <xdr:cNvPr id="2073" name="Check Box 25" hidden="1">
              <a:extLst>
                <a:ext uri="{63B3BB69-23CF-44E3-9099-C40C66FF867C}">
                  <a14:compatExt spid="_x0000_s20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171450</xdr:rowOff>
        </xdr:from>
        <xdr:to>
          <xdr:col>2</xdr:col>
          <xdr:colOff>123825</xdr:colOff>
          <xdr:row>24</xdr:row>
          <xdr:rowOff>28575</xdr:rowOff>
        </xdr:to>
        <xdr:sp macro="" textlink="">
          <xdr:nvSpPr>
            <xdr:cNvPr id="2074" name="Check Box 26" hidden="1">
              <a:extLst>
                <a:ext uri="{63B3BB69-23CF-44E3-9099-C40C66FF867C}">
                  <a14:compatExt spid="_x0000_s20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23</xdr:row>
          <xdr:rowOff>171450</xdr:rowOff>
        </xdr:from>
        <xdr:to>
          <xdr:col>2</xdr:col>
          <xdr:colOff>123825</xdr:colOff>
          <xdr:row>25</xdr:row>
          <xdr:rowOff>28575</xdr:rowOff>
        </xdr:to>
        <xdr:sp macro="" textlink="">
          <xdr:nvSpPr>
            <xdr:cNvPr id="2075" name="Check Box 27" hidden="1">
              <a:extLst>
                <a:ext uri="{63B3BB69-23CF-44E3-9099-C40C66FF867C}">
                  <a14:compatExt spid="_x0000_s20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76200</xdr:colOff>
          <xdr:row>6</xdr:row>
          <xdr:rowOff>0</xdr:rowOff>
        </xdr:from>
        <xdr:to>
          <xdr:col>2</xdr:col>
          <xdr:colOff>504825</xdr:colOff>
          <xdr:row>8</xdr:row>
          <xdr:rowOff>190500</xdr:rowOff>
        </xdr:to>
        <xdr:sp macro="" textlink="">
          <xdr:nvSpPr>
            <xdr:cNvPr id="2082" name="Button 34" hidden="1">
              <a:extLst>
                <a:ext uri="{63B3BB69-23CF-44E3-9099-C40C66FF867C}">
                  <a14:compatExt spid="_x0000_s20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Select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6</xdr:row>
          <xdr:rowOff>0</xdr:rowOff>
        </xdr:from>
        <xdr:to>
          <xdr:col>3</xdr:col>
          <xdr:colOff>0</xdr:colOff>
          <xdr:row>8</xdr:row>
          <xdr:rowOff>180975</xdr:rowOff>
        </xdr:to>
        <xdr:sp macro="" textlink="">
          <xdr:nvSpPr>
            <xdr:cNvPr id="2083" name="Button 35" hidden="1">
              <a:extLst>
                <a:ext uri="{63B3BB69-23CF-44E3-9099-C40C66FF867C}">
                  <a14:compatExt spid="_x0000_s20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Run Queries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086" name="Option Button 38" hidden="1">
              <a:extLst>
                <a:ext uri="{63B3BB69-23CF-44E3-9099-C40C66FF867C}">
                  <a14:compatExt spid="_x0000_s20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0</xdr:rowOff>
        </xdr:from>
        <xdr:to>
          <xdr:col>2</xdr:col>
          <xdr:colOff>0</xdr:colOff>
          <xdr:row>14</xdr:row>
          <xdr:rowOff>190500</xdr:rowOff>
        </xdr:to>
        <xdr:sp macro="" textlink="">
          <xdr:nvSpPr>
            <xdr:cNvPr id="2087" name="Option Button 39" hidden="1">
              <a:extLst>
                <a:ext uri="{63B3BB69-23CF-44E3-9099-C40C66FF867C}">
                  <a14:compatExt spid="_x0000_s20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29</xdr:row>
          <xdr:rowOff>171450</xdr:rowOff>
        </xdr:from>
        <xdr:to>
          <xdr:col>2</xdr:col>
          <xdr:colOff>123825</xdr:colOff>
          <xdr:row>31</xdr:row>
          <xdr:rowOff>19050</xdr:rowOff>
        </xdr:to>
        <xdr:sp macro="" textlink="">
          <xdr:nvSpPr>
            <xdr:cNvPr id="2088" name="Check Box 40" hidden="1">
              <a:extLst>
                <a:ext uri="{63B3BB69-23CF-44E3-9099-C40C66FF867C}">
                  <a14:compatExt spid="_x0000_s20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171450</xdr:rowOff>
        </xdr:from>
        <xdr:to>
          <xdr:col>2</xdr:col>
          <xdr:colOff>123825</xdr:colOff>
          <xdr:row>26</xdr:row>
          <xdr:rowOff>28575</xdr:rowOff>
        </xdr:to>
        <xdr:sp macro="" textlink="">
          <xdr:nvSpPr>
            <xdr:cNvPr id="2089" name="Check Box 41" hidden="1">
              <a:extLst>
                <a:ext uri="{63B3BB69-23CF-44E3-9099-C40C66FF867C}">
                  <a14:compatExt spid="_x0000_s20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28575</xdr:colOff>
          <xdr:row>2</xdr:row>
          <xdr:rowOff>28575</xdr:rowOff>
        </xdr:from>
        <xdr:to>
          <xdr:col>8</xdr:col>
          <xdr:colOff>161925</xdr:colOff>
          <xdr:row>5</xdr:row>
          <xdr:rowOff>28575</xdr:rowOff>
        </xdr:to>
        <xdr:sp macro="" textlink="">
          <xdr:nvSpPr>
            <xdr:cNvPr id="2714" name="Button 666" hidden="1">
              <a:extLst>
                <a:ext uri="{63B3BB69-23CF-44E3-9099-C40C66FF867C}">
                  <a14:compatExt spid="_x0000_s27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Clean PivotTable cache and refresh all tables</a:t>
              </a:r>
            </a:p>
            <a:p>
              <a:pPr algn="ctr" rtl="0">
                <a:defRPr sz="1000"/>
              </a:pPr>
              <a:r>
                <a:rPr lang="et-EE" sz="1100" b="0" i="0" u="none" strike="noStrike" baseline="0">
                  <a:solidFill>
                    <a:srgbClr val="000000"/>
                  </a:solidFill>
                  <a:latin typeface="Calibri"/>
                  <a:cs typeface="Calibri"/>
                </a:rPr>
                <a:t>(TEST VERSION)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xdr:row>
          <xdr:rowOff>0</xdr:rowOff>
        </xdr:from>
        <xdr:to>
          <xdr:col>6</xdr:col>
          <xdr:colOff>76200</xdr:colOff>
          <xdr:row>15</xdr:row>
          <xdr:rowOff>9525</xdr:rowOff>
        </xdr:to>
        <xdr:sp macro="" textlink="">
          <xdr:nvSpPr>
            <xdr:cNvPr id="2810" name="Check Box 762" hidden="1">
              <a:extLst>
                <a:ext uri="{63B3BB69-23CF-44E3-9099-C40C66FF867C}">
                  <a14:compatExt spid="_x0000_s281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xdr:row>
          <xdr:rowOff>0</xdr:rowOff>
        </xdr:from>
        <xdr:to>
          <xdr:col>6</xdr:col>
          <xdr:colOff>76200</xdr:colOff>
          <xdr:row>16</xdr:row>
          <xdr:rowOff>19050</xdr:rowOff>
        </xdr:to>
        <xdr:sp macro="" textlink="">
          <xdr:nvSpPr>
            <xdr:cNvPr id="2811" name="Check Box 763" hidden="1">
              <a:extLst>
                <a:ext uri="{63B3BB69-23CF-44E3-9099-C40C66FF867C}">
                  <a14:compatExt spid="_x0000_s281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6</xdr:col>
          <xdr:colOff>76200</xdr:colOff>
          <xdr:row>17</xdr:row>
          <xdr:rowOff>19050</xdr:rowOff>
        </xdr:to>
        <xdr:sp macro="" textlink="">
          <xdr:nvSpPr>
            <xdr:cNvPr id="2812" name="Check Box 764" hidden="1">
              <a:extLst>
                <a:ext uri="{63B3BB69-23CF-44E3-9099-C40C66FF867C}">
                  <a14:compatExt spid="_x0000_s281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76200</xdr:colOff>
          <xdr:row>18</xdr:row>
          <xdr:rowOff>19050</xdr:rowOff>
        </xdr:to>
        <xdr:sp macro="" textlink="">
          <xdr:nvSpPr>
            <xdr:cNvPr id="2813" name="Check Box 765" hidden="1">
              <a:extLst>
                <a:ext uri="{63B3BB69-23CF-44E3-9099-C40C66FF867C}">
                  <a14:compatExt spid="_x0000_s281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6</xdr:col>
          <xdr:colOff>76200</xdr:colOff>
          <xdr:row>19</xdr:row>
          <xdr:rowOff>19050</xdr:rowOff>
        </xdr:to>
        <xdr:sp macro="" textlink="">
          <xdr:nvSpPr>
            <xdr:cNvPr id="2814" name="Check Box 766" hidden="1">
              <a:extLst>
                <a:ext uri="{63B3BB69-23CF-44E3-9099-C40C66FF867C}">
                  <a14:compatExt spid="_x0000_s281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19</xdr:row>
          <xdr:rowOff>0</xdr:rowOff>
        </xdr:from>
        <xdr:to>
          <xdr:col>6</xdr:col>
          <xdr:colOff>76200</xdr:colOff>
          <xdr:row>20</xdr:row>
          <xdr:rowOff>19050</xdr:rowOff>
        </xdr:to>
        <xdr:sp macro="" textlink="">
          <xdr:nvSpPr>
            <xdr:cNvPr id="2815" name="Check Box 767" hidden="1">
              <a:extLst>
                <a:ext uri="{63B3BB69-23CF-44E3-9099-C40C66FF867C}">
                  <a14:compatExt spid="_x0000_s281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0</xdr:rowOff>
        </xdr:from>
        <xdr:to>
          <xdr:col>6</xdr:col>
          <xdr:colOff>76200</xdr:colOff>
          <xdr:row>21</xdr:row>
          <xdr:rowOff>19050</xdr:rowOff>
        </xdr:to>
        <xdr:sp macro="" textlink="">
          <xdr:nvSpPr>
            <xdr:cNvPr id="2816" name="Check Box 768" hidden="1">
              <a:extLst>
                <a:ext uri="{63B3BB69-23CF-44E3-9099-C40C66FF867C}">
                  <a14:compatExt spid="_x0000_s281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0</xdr:rowOff>
        </xdr:from>
        <xdr:to>
          <xdr:col>6</xdr:col>
          <xdr:colOff>76200</xdr:colOff>
          <xdr:row>22</xdr:row>
          <xdr:rowOff>19050</xdr:rowOff>
        </xdr:to>
        <xdr:sp macro="" textlink="">
          <xdr:nvSpPr>
            <xdr:cNvPr id="2817" name="Check Box 769" hidden="1">
              <a:extLst>
                <a:ext uri="{63B3BB69-23CF-44E3-9099-C40C66FF867C}">
                  <a14:compatExt spid="_x0000_s281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22</xdr:row>
          <xdr:rowOff>0</xdr:rowOff>
        </xdr:from>
        <xdr:to>
          <xdr:col>6</xdr:col>
          <xdr:colOff>76200</xdr:colOff>
          <xdr:row>23</xdr:row>
          <xdr:rowOff>19050</xdr:rowOff>
        </xdr:to>
        <xdr:sp macro="" textlink="">
          <xdr:nvSpPr>
            <xdr:cNvPr id="2818" name="Check Box 770" hidden="1">
              <a:extLst>
                <a:ext uri="{63B3BB69-23CF-44E3-9099-C40C66FF867C}">
                  <a14:compatExt spid="_x0000_s281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76200</xdr:colOff>
          <xdr:row>24</xdr:row>
          <xdr:rowOff>19050</xdr:rowOff>
        </xdr:to>
        <xdr:sp macro="" textlink="">
          <xdr:nvSpPr>
            <xdr:cNvPr id="2819" name="Check Box 771" hidden="1">
              <a:extLst>
                <a:ext uri="{63B3BB69-23CF-44E3-9099-C40C66FF867C}">
                  <a14:compatExt spid="_x0000_s281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76200</xdr:colOff>
          <xdr:row>25</xdr:row>
          <xdr:rowOff>19050</xdr:rowOff>
        </xdr:to>
        <xdr:sp macro="" textlink="">
          <xdr:nvSpPr>
            <xdr:cNvPr id="2820" name="Check Box 772" hidden="1">
              <a:extLst>
                <a:ext uri="{63B3BB69-23CF-44E3-9099-C40C66FF867C}">
                  <a14:compatExt spid="_x0000_s282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480365</xdr:colOff>
      <xdr:row>9</xdr:row>
      <xdr:rowOff>94861</xdr:rowOff>
    </xdr:from>
    <xdr:to>
      <xdr:col>14</xdr:col>
      <xdr:colOff>1300201</xdr:colOff>
      <xdr:row>33</xdr:row>
      <xdr:rowOff>8417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885824</xdr:colOff>
      <xdr:row>9</xdr:row>
      <xdr:rowOff>9524</xdr:rowOff>
    </xdr:from>
    <xdr:to>
      <xdr:col>8</xdr:col>
      <xdr:colOff>1523999</xdr:colOff>
      <xdr:row>26</xdr:row>
      <xdr:rowOff>171449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177037</xdr:colOff>
      <xdr:row>11</xdr:row>
      <xdr:rowOff>134888</xdr:rowOff>
    </xdr:from>
    <xdr:to>
      <xdr:col>10</xdr:col>
      <xdr:colOff>186950</xdr:colOff>
      <xdr:row>36</xdr:row>
      <xdr:rowOff>12423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870858</xdr:colOff>
      <xdr:row>7</xdr:row>
      <xdr:rowOff>136071</xdr:rowOff>
    </xdr:from>
    <xdr:to>
      <xdr:col>13</xdr:col>
      <xdr:colOff>103987</xdr:colOff>
      <xdr:row>46</xdr:row>
      <xdr:rowOff>86405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1000125</xdr:colOff>
      <xdr:row>4</xdr:row>
      <xdr:rowOff>166686</xdr:rowOff>
    </xdr:from>
    <xdr:to>
      <xdr:col>11</xdr:col>
      <xdr:colOff>228600</xdr:colOff>
      <xdr:row>29</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268942</xdr:colOff>
      <xdr:row>10</xdr:row>
      <xdr:rowOff>145676</xdr:rowOff>
    </xdr:from>
    <xdr:to>
      <xdr:col>9</xdr:col>
      <xdr:colOff>302558</xdr:colOff>
      <xdr:row>36</xdr:row>
      <xdr:rowOff>134469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xdr:col>
      <xdr:colOff>762000</xdr:colOff>
      <xdr:row>9</xdr:row>
      <xdr:rowOff>23812</xdr:rowOff>
    </xdr:from>
    <xdr:to>
      <xdr:col>12</xdr:col>
      <xdr:colOff>638175</xdr:colOff>
      <xdr:row>23</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752474</xdr:colOff>
      <xdr:row>14</xdr:row>
      <xdr:rowOff>95250</xdr:rowOff>
    </xdr:from>
    <xdr:to>
      <xdr:col>13</xdr:col>
      <xdr:colOff>676274</xdr:colOff>
      <xdr:row>41</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xdr:col>
      <xdr:colOff>1276350</xdr:colOff>
      <xdr:row>23</xdr:row>
      <xdr:rowOff>180975</xdr:rowOff>
    </xdr:from>
    <xdr:to>
      <xdr:col>7</xdr:col>
      <xdr:colOff>9525</xdr:colOff>
      <xdr:row>44</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6</xdr:col>
      <xdr:colOff>371474</xdr:colOff>
      <xdr:row>6</xdr:row>
      <xdr:rowOff>57149</xdr:rowOff>
    </xdr:from>
    <xdr:to>
      <xdr:col>15</xdr:col>
      <xdr:colOff>419099</xdr:colOff>
      <xdr:row>25</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2</xdr:col>
      <xdr:colOff>251731</xdr:colOff>
      <xdr:row>11</xdr:row>
      <xdr:rowOff>148318</xdr:rowOff>
    </xdr:from>
    <xdr:to>
      <xdr:col>10</xdr:col>
      <xdr:colOff>522513</xdr:colOff>
      <xdr:row>31</xdr:row>
      <xdr:rowOff>167368</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4762</xdr:colOff>
      <xdr:row>1</xdr:row>
      <xdr:rowOff>95250</xdr:rowOff>
    </xdr:from>
    <xdr:to>
      <xdr:col>11</xdr:col>
      <xdr:colOff>247650</xdr:colOff>
      <xdr:row>24</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2</xdr:col>
      <xdr:colOff>461962</xdr:colOff>
      <xdr:row>17</xdr:row>
      <xdr:rowOff>57150</xdr:rowOff>
    </xdr:from>
    <xdr:to>
      <xdr:col>8</xdr:col>
      <xdr:colOff>1090612</xdr:colOff>
      <xdr:row>31</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2</xdr:col>
      <xdr:colOff>252130</xdr:colOff>
      <xdr:row>1</xdr:row>
      <xdr:rowOff>51546</xdr:rowOff>
    </xdr:from>
    <xdr:to>
      <xdr:col>5</xdr:col>
      <xdr:colOff>806822</xdr:colOff>
      <xdr:row>21</xdr:row>
      <xdr:rowOff>44823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xdr:col>
      <xdr:colOff>833435</xdr:colOff>
      <xdr:row>0</xdr:row>
      <xdr:rowOff>0</xdr:rowOff>
    </xdr:from>
    <xdr:to>
      <xdr:col>12</xdr:col>
      <xdr:colOff>133349</xdr:colOff>
      <xdr:row>33</xdr:row>
      <xdr:rowOff>85724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547687</xdr:colOff>
      <xdr:row>3</xdr:row>
      <xdr:rowOff>114300</xdr:rowOff>
    </xdr:from>
    <xdr:to>
      <xdr:col>8</xdr:col>
      <xdr:colOff>1000125</xdr:colOff>
      <xdr:row>21</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_rels/pivotCacheDefinition12.xml.rels><?xml version="1.0" encoding="UTF-8" standalone="yes"?>
<Relationships xmlns="http://schemas.openxmlformats.org/package/2006/relationships"><Relationship Id="rId1" Type="http://schemas.openxmlformats.org/officeDocument/2006/relationships/pivotCacheRecords" Target="pivotCacheRecords12.xml"/></Relationships>
</file>

<file path=xl/pivotCache/_rels/pivotCacheDefinition13.xml.rels><?xml version="1.0" encoding="UTF-8" standalone="yes"?>
<Relationships xmlns="http://schemas.openxmlformats.org/package/2006/relationships"><Relationship Id="rId1" Type="http://schemas.openxmlformats.org/officeDocument/2006/relationships/pivotCacheRecords" Target="pivotCacheRecords13.xml"/></Relationships>
</file>

<file path=xl/pivotCache/_rels/pivotCacheDefinition14.xml.rels><?xml version="1.0" encoding="UTF-8" standalone="yes"?>
<Relationships xmlns="http://schemas.openxmlformats.org/package/2006/relationships"><Relationship Id="rId1" Type="http://schemas.openxmlformats.org/officeDocument/2006/relationships/pivotCacheRecords" Target="pivotCacheRecords14.xml"/></Relationships>
</file>

<file path=xl/pivotCache/_rels/pivotCacheDefinition15.xml.rels><?xml version="1.0" encoding="UTF-8" standalone="yes"?>
<Relationships xmlns="http://schemas.openxmlformats.org/package/2006/relationships"><Relationship Id="rId1" Type="http://schemas.openxmlformats.org/officeDocument/2006/relationships/pivotCacheRecords" Target="pivotCacheRecords15.xml"/></Relationships>
</file>

<file path=xl/pivotCache/_rels/pivotCacheDefinition16.xml.rels><?xml version="1.0" encoding="UTF-8" standalone="yes"?>
<Relationships xmlns="http://schemas.openxmlformats.org/package/2006/relationships"><Relationship Id="rId1" Type="http://schemas.openxmlformats.org/officeDocument/2006/relationships/pivotCacheRecords" Target="pivotCacheRecords16.xml"/></Relationships>
</file>

<file path=xl/pivotCache/_rels/pivotCacheDefinition17.xml.rels><?xml version="1.0" encoding="UTF-8" standalone="yes"?>
<Relationships xmlns="http://schemas.openxmlformats.org/package/2006/relationships"><Relationship Id="rId1" Type="http://schemas.openxmlformats.org/officeDocument/2006/relationships/pivotCacheRecords" Target="pivotCacheRecords17.xml"/></Relationships>
</file>

<file path=xl/pivotCache/_rels/pivotCacheDefinition18.xml.rels><?xml version="1.0" encoding="UTF-8" standalone="yes"?>
<Relationships xmlns="http://schemas.openxmlformats.org/package/2006/relationships"><Relationship Id="rId1" Type="http://schemas.openxmlformats.org/officeDocument/2006/relationships/pivotCacheRecords" Target="pivotCacheRecords18.xml"/></Relationships>
</file>

<file path=xl/pivotCache/_rels/pivotCacheDefinition19.xml.rels><?xml version="1.0" encoding="UTF-8" standalone="yes"?>
<Relationships xmlns="http://schemas.openxmlformats.org/package/2006/relationships"><Relationship Id="rId1" Type="http://schemas.openxmlformats.org/officeDocument/2006/relationships/pivotCacheRecords" Target="pivotCacheRecords19.xml"/></Relationships>
</file>

<file path=xl/pivotCache/_rels/pivotCacheDefinition20.xml.rels><?xml version="1.0" encoding="UTF-8" standalone="yes"?>
<Relationships xmlns="http://schemas.openxmlformats.org/package/2006/relationships"><Relationship Id="rId1" Type="http://schemas.openxmlformats.org/officeDocument/2006/relationships/pivotCacheRecords" Target="pivotCacheRecords20.xml"/></Relationships>
</file>

<file path=xl/pivotCache/pivotCacheDefinition1.xml><?xml version="1.0" encoding="utf-8"?>
<pivotCacheDefinition xmlns="http://schemas.openxmlformats.org/spreadsheetml/2006/main" xmlns:r="http://schemas.openxmlformats.org/officeDocument/2006/relationships" r:id="rId1" refreshedBy="Hardi Koduvere" refreshedDate="43210.578606944444" createdVersion="6" refreshedVersion="6" minRefreshableVersion="3" recordCount="38">
  <cacheSource type="external" connectionId="11"/>
  <cacheFields count="10">
    <cacheField name="Case" numFmtId="0" sqlType="-10">
      <sharedItems count="1">
        <s v="BASE"/>
      </sharedItems>
    </cacheField>
    <cacheField name="BaseYear" numFmtId="0" sqlType="-10">
      <sharedItems count="1">
        <s v="2016"/>
      </sharedItems>
    </cacheField>
    <cacheField name="ModelYear" numFmtId="0" sqlType="-10">
      <sharedItems count="1">
        <s v="2016"/>
      </sharedItems>
    </cacheField>
    <cacheField name="Country" numFmtId="0" sqlType="-10">
      <sharedItems count="6">
        <s v="DENMARK"/>
        <s v="ESTONIA"/>
        <s v="FINLAND"/>
        <s v="GERMANY"/>
        <s v="NORWAY"/>
        <s v="SWEDEN"/>
      </sharedItems>
    </cacheField>
    <cacheField name="Region" numFmtId="0" sqlType="-10">
      <sharedItems count="14">
        <s v="DK1"/>
        <s v="DK2"/>
        <s v="EE"/>
        <s v="FIN"/>
        <s v="DE4-E"/>
        <s v="DE4-N"/>
        <s v="DE4-S"/>
        <s v="DE4-W"/>
        <s v="NO1"/>
        <s v="NO2"/>
        <s v="SE1"/>
        <s v="SE2"/>
        <s v="SE3"/>
        <s v="SE4"/>
      </sharedItems>
    </cacheField>
    <cacheField name="Area" numFmtId="0" sqlType="-10">
      <sharedItems/>
    </cacheField>
    <cacheField name="Fuel" numFmtId="0" sqlType="-10">
      <sharedItems count="2">
        <s v="HEAT"/>
        <s v="ELECTRIC"/>
      </sharedItems>
    </cacheField>
    <cacheField name="Technology Type" numFmtId="0" sqlType="-10">
      <sharedItems count="2">
        <s v="HE storage"/>
        <s v="EL storage"/>
      </sharedItems>
    </cacheField>
    <cacheField name="Technology" numFmtId="0" sqlType="-10">
      <sharedItems count="2">
        <s v="GNR_HS_HEAT_WTR-TANK_LS_E-95_Y-2010"/>
        <s v="GNR_ES_ELEC_BAT-LITHIO_E-95_Y-16-29"/>
      </sharedItems>
    </cacheField>
    <cacheField name="MW" numFmtId="0" sqlType="8">
      <sharedItems containsSemiMixedTypes="0" containsString="0" containsNumber="1" minValue="28.117901656798999" maxValue="765351.86967034999"/>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Hardi Koduvere" refreshedDate="43210.578608101852" createdVersion="6" refreshedVersion="6" minRefreshableVersion="3" recordCount="529">
  <cacheSource type="external" connectionId="16"/>
  <cacheFields count="12">
    <cacheField name="Case" numFmtId="0" sqlType="-10">
      <sharedItems count="1">
        <s v="BASE"/>
      </sharedItems>
    </cacheField>
    <cacheField name="BaseYear" numFmtId="0" sqlType="-10">
      <sharedItems count="1">
        <s v="2016"/>
      </sharedItems>
    </cacheField>
    <cacheField name="ModelYear" numFmtId="0" sqlType="-10">
      <sharedItems count="1">
        <s v="2016"/>
      </sharedItems>
    </cacheField>
    <cacheField name="Country" numFmtId="0" sqlType="-10">
      <sharedItems count="9">
        <s v="DENMARK"/>
        <s v="ESTONIA"/>
        <s v="FINLAND"/>
        <s v="GERMANY"/>
        <s v="LATVIA"/>
        <s v="LITHUANIA"/>
        <s v="NORWAY"/>
        <s v="POLAND"/>
        <s v="SWEDEN"/>
      </sharedItems>
    </cacheField>
    <cacheField name="Region" numFmtId="0" sqlType="-10">
      <sharedItems count="20">
        <s v="DK1"/>
        <s v="DK2"/>
        <s v="EE"/>
        <s v="FIN"/>
        <s v="DE4-E"/>
        <s v="DE4-N"/>
        <s v="DE4-S"/>
        <s v="DE4-W"/>
        <s v="LV"/>
        <s v="LT"/>
        <s v="NO1"/>
        <s v="NO2"/>
        <s v="NO3"/>
        <s v="NO4"/>
        <s v="NO5"/>
        <s v="PL"/>
        <s v="SE1"/>
        <s v="SE2"/>
        <s v="SE3"/>
        <s v="SE4"/>
      </sharedItems>
    </cacheField>
    <cacheField name="Area" numFmtId="0" sqlType="-10">
      <sharedItems/>
    </cacheField>
    <cacheField name="Fuel" numFmtId="0" sqlType="-10">
      <sharedItems count="20">
        <s v="BIOGAS"/>
        <s v="COAL"/>
        <s v="ELECTRIC"/>
        <s v="LIGHTOIL"/>
        <s v="MUNIWASTE"/>
        <s v="NATGAS"/>
        <s v="STRAW"/>
        <s v="WOODCHIPS"/>
        <s v="FUELOIL"/>
        <s v="WOODPELLETS"/>
        <s v="RETORTGAS"/>
        <s v="WOOD"/>
        <s v="WOODWASTE"/>
        <s v="SHALE"/>
        <s v="HEAVYFUELOIL"/>
        <s v="PEAT"/>
        <s v="LIGNITE"/>
        <s v="HEAT"/>
        <s v="RECYCLEDWOOD"/>
        <s v="BIOOIL"/>
      </sharedItems>
    </cacheField>
    <cacheField name="Technology Type" numFmtId="0" sqlType="-10">
      <sharedItems count="3">
        <s v="Backpressure"/>
        <s v="Extraction"/>
        <s v="Electricity to heat"/>
      </sharedItems>
    </cacheField>
    <cacheField name="Capacity Type" numFmtId="0" sqlType="-10">
      <sharedItems count="1">
        <s v="Exogenous"/>
      </sharedItems>
    </cacheField>
    <cacheField name="Technology" numFmtId="0" sqlType="-10">
      <sharedItems/>
    </cacheField>
    <cacheField name="MW" numFmtId="0" sqlType="8">
      <sharedItems containsString="0" containsBlank="1" containsNumber="1" minValue="4.8780487804878099E-2" maxValue="12428.5333333333"/>
    </cacheField>
    <cacheField name="GW" numFmtId="0" sqlType="8">
      <sharedItems containsString="0" containsBlank="1" containsNumber="1" minValue="4.8780487804878099E-5" maxValue="565"/>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Hardi Koduvere" refreshedDate="43210.578609259261" missingItemsLimit="0" createdVersion="5" refreshedVersion="6" minRefreshableVersion="3" recordCount="615">
  <cacheSource type="external" connectionId="10"/>
  <cacheFields count="14">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23">
        <s v="COAL"/>
        <s v="MUNIWASTE"/>
        <s v="NATGAS"/>
        <s v="STRAW"/>
        <s v="WASTEHEAT"/>
        <s v="WOODCHIPS"/>
        <s v="SUN"/>
        <s v="WATER"/>
        <s v="WIND"/>
        <s v="WOODPELLETS"/>
        <s v="WOODWASTE"/>
        <s v="BIOGAS"/>
        <s v="RETORTGAS"/>
        <s v="WOOD"/>
        <s v="FUELOIL"/>
        <s v="SHALE"/>
        <s v="NATGAS_EXETS"/>
        <s v="PEAT"/>
        <s v="NUCLEAR"/>
        <s v="ELECTRIC"/>
        <s v="HEAT"/>
        <s v="LPG"/>
        <s v="RECYCLEDWOOD"/>
      </sharedItems>
    </cacheField>
    <cacheField name="Technology" numFmtId="0" sqlType="-10">
      <sharedItems count="267">
        <s v="GNR_ST_COAL_EXT_E-47"/>
        <s v="GNR_BO_MSW_E-105"/>
        <s v="GNR_ST_MSW_BP_E-18"/>
        <s v="GNR_ST_MSW_BP_E-19"/>
        <s v="GNR_ST_MSW_BP_E-22"/>
        <s v="GNR_ST_MSW_BP_E-23"/>
        <s v="GNR_ST_MSW_BP_E-27"/>
        <s v="GNR_ENG_NGAS_BP_E-34"/>
        <s v="GNR_ENG_NGAS_BP_E-38"/>
        <s v="GNR_ENG_NGAS_BP_E-39"/>
        <s v="GNR_ENG_NGAS_BP_E-40"/>
        <s v="GNR_ENG_NGAS_BP_E-41"/>
        <s v="GNR_ENG_NGAS_BP_E-42"/>
        <s v="GNR_ENG_NGAS_BP_E-43"/>
        <s v="GNR_ENG_NGAS_BP_E-44"/>
        <s v="GNR_ENG_NGAS_BP_E-46"/>
        <s v="GNR_GT_NGAS_BP_E-27"/>
        <s v="GNR_ST_NGAS_EXT_E-47"/>
        <s v="GNR_ST_STRW_BP_E-26"/>
        <s v="GNR_EH_HEAT"/>
        <s v="GNR_ST_WOODCHI_BP_E-23"/>
        <s v="GNR_BO_MSW_E-100"/>
        <s v="GNR_ST_MSW_BP_E-17"/>
        <s v="GNR_ST_MSW_BP_E-20"/>
        <s v="GNR_ST_MSW_BP_E-21"/>
        <s v="GNR_ST_MSW_BP_E-26"/>
        <s v="GNR_ENG_NGAS_BP_E-35"/>
        <s v="GNR_ENG_NGAS_BP_E-37"/>
        <s v="GNR_GT_NGAS_BP_E-31"/>
        <s v="GNR_BO_STRW_E-102"/>
        <s v="GNR_ST_STRW_BP_E-21"/>
        <s v="GNR_GEO_HEAT_HO"/>
        <s v="GNR_BO_WOODCHI_E-110"/>
        <s v="GNR_ENG_NGAS_BP_E-36"/>
        <s v="GNR_GT_NGAS_BP_E-43"/>
        <s v="GNR_GT_NGAS_BP_E-44"/>
        <s v="GNR_GT_NGAS_BP_E-47"/>
        <s v="GNR_ST_WOODCHI_BP_E-27"/>
        <s v="GNR_ST_WOODCHI_BP_E-30"/>
        <s v="GNR_ENG_NGAS_BP_E-33"/>
        <s v="GNR_ENG_NGAS_CND_E-41"/>
        <s v="GNR_ENG_NGAS_CND_E-46"/>
        <s v="GNR_GT_NGAS_BP_E-28"/>
        <s v="GNR_GT_NGAS_BP_E-33"/>
        <s v="GNR_GT_NGAS_BP_E-36"/>
        <s v="GNR_PV_SUN"/>
        <s v="GNR_ROR_WTR"/>
        <s v="GNR_WT_WIND_ONS"/>
        <s v="GNR_WT_WIND_OFF"/>
        <s v="GNR_ENG_NGAS_BP_E-45"/>
        <s v="GNR_ENG_NGAS_BP_E-47"/>
        <s v="GNR_GT_NGAS_BP_E-30"/>
        <s v="GNR_GT_NGAS_BP_E-41"/>
        <s v="GNR_ST_WOODPEL_BP_E-30"/>
        <s v="GNR_BO_WOODWST_E-100"/>
        <s v="GNR_BO_WOODWST_E-89"/>
        <s v="GNR_ENG_BGAS_BP_E-42"/>
        <s v="GNR_ST_COAL_EXT_E-42"/>
        <s v="GNR_ST_MSW_BP_E-16"/>
        <s v="GNR_ST_NGAS_BP_E-39"/>
        <s v="GNR_ST_WOODCHI_BP_E-24"/>
        <s v="GNR_ST_WOODPEL_EXT_E-50"/>
        <s v="GNR_BO_WOODWST_E-90"/>
        <s v="GNR_ST_MSW_BP_E-25"/>
        <s v="GNR_ST_MSW_BP_E-28"/>
        <s v="GNR_ST_COAL_EXT_E-41"/>
        <s v="GNR_GT_NGAS_BP_E-42"/>
        <s v="GNR_ENG_BGAS_BP_E-39"/>
        <s v="GNR_ENG_BGAS_BP_E-40"/>
        <s v="GNR_ENG_BGAS_BP_E-41"/>
        <s v="GNR_ST_COAL_BP_E-35"/>
        <s v="GNR_ST_STRW_BP_E-24"/>
        <s v="GNR_ST_STRW_BP_E-27"/>
        <s v="GNR_ST_STRW_BP_E-28"/>
        <s v="ENEFIT_ST_RETORT-GAS_CND"/>
        <s v="GNR_ENG_RETORT-GAS_E-44"/>
        <s v="IMAVERE_ST_WOOD_BP"/>
        <s v="OSULA_ST_WOOD_BP"/>
        <s v="GNR_ST_WOODWST_BP_E-53"/>
        <s v="GNR_BO_NGAS_HO_E-85"/>
        <s v="GNR_ENG_NGAS_EXT_E-44"/>
        <s v="GNR_BO_FUELOIL_HO_E-85"/>
        <s v="NARVA-11_ST_SHALE_EXT"/>
        <s v="PARNU-1_ST_WOOD_BP"/>
        <s v="EBAVERE_ST_WOODWST_BP"/>
        <s v="IRU_ST_MSW_BP"/>
        <s v="IRU_ST_NGAS_BP"/>
        <s v="MUSTAMAE_ST_WOOD_BP"/>
        <s v="VAO-1_ST_WOOD_BP"/>
        <s v="VAO-2_ST_WOOD_BP"/>
        <s v="TARTU-1_ST_WOOD_BP"/>
        <s v="GNR_ST_WOOD_BP_E-53"/>
        <s v="GBPR_NATGAS_FINEL"/>
        <s v="GEXT_NATGAS_MERTANIEMI"/>
        <s v="GBPR_WOODCHIPS"/>
        <s v="GBPR_WOODWASTE_FINEL"/>
        <s v="GBPR_NATGAS_SUOMENOJA"/>
        <s v="GBPR_NATGAS_SUOMENOJA2"/>
        <s v="GHOB_NATGAS"/>
        <s v="GHOB_NATGAS_EXETS"/>
        <s v="GBPR_NATGAS_GASAREA"/>
        <s v="GEXT_NATGAS_NOKIA"/>
        <s v="GBPR_NATGAS_MARTINLAAKSOGT"/>
        <s v="GBPR_NATGAS_VOUSAARI"/>
        <s v="GEXT_NATGAS_VOUSAARI"/>
        <s v="GHOB_BIOGAS"/>
        <s v="GBPR_COAL_NAANTALI"/>
        <s v="GHOB_PEAT"/>
        <s v="GHOB_WASTEHEAT"/>
        <s v="GHOB_WOODCHIPS"/>
        <s v="GHOB_WOODPELLETS"/>
        <s v="GHOB_WOODWASTE"/>
        <s v="GBPR_NATGAS_100"/>
        <s v="GBPR_WOODCHIPS_FINOTHER"/>
        <s v="GBPR_WOODPELLETS"/>
        <s v="GBPR_WOODWASTE_FINOTHER"/>
        <s v="GEXT_NATGAS_TAMPERE"/>
        <s v="GBPR_NATGAS_IND"/>
        <s v="GCND_NATGAS1"/>
        <s v="GCND_NATGAS2"/>
        <s v="GCND_NATGAS3"/>
        <s v="GCND_NUCLEAR"/>
        <s v="GNR_RES_WTR_NOPMP_MC-01"/>
        <s v="GNR_RES_WTR_NOPMP_MC-02"/>
        <s v="GNR_RES_WTR_NOPMP_MC-03"/>
        <s v="GNR_RES_WTR_NOPMP_MC-04"/>
        <s v="GNR_RES_WTR_NOPMP_MC-05"/>
        <s v="GNR_RES_WTR_NOPMP_MC-06"/>
        <s v="GNR_RES_WTR_NOPMP_MC-07"/>
        <s v="GNR_RES_WTR_NOPMP_MC-08"/>
        <s v="GNR_RES_WTR_NOPMP_MC-09"/>
        <s v="GBPR_IND_BIO"/>
        <s v="GBPR_WOOD_IND"/>
        <s v="GCND_COFIRING"/>
        <s v="GCND_WOODCHIPS"/>
        <s v="GNR_ENG_BGAS_BP_E-45"/>
        <s v="GNR_ENG_BGAS_CND_E-44"/>
        <s v="GNR_ST_BGAS_BP_E-38"/>
        <s v="GNR_ST_BGAS_CND_E-38"/>
        <s v="AGG-DE4-E_ES_ELEC"/>
        <s v="AGG-DE4-E_RES_WTR_PMP"/>
        <s v="GNR_ES_ELEC_BAT-LITHIO_E-95_Y-16-29"/>
        <s v="GNR_ST_MSW_BP_E-33"/>
        <s v="GNR_ST_MSW_CND_E-33"/>
        <s v="GNR_CC_NGAS_BP_E-53"/>
        <s v="GNR_CC_NGAS_CND_E-51"/>
        <s v="GNR_CC_NGAS_CND_E-57"/>
        <s v="GNR_GT_NGAS_BP_E-38"/>
        <s v="GNR_GT_NGAS_CND_E-35"/>
        <s v="GNR_ST_NGAS_BP_E-31"/>
        <s v="GNR_ST_NGAS_BP_E-38"/>
        <s v="GNR_ST_NGAS_CND_E-38"/>
        <s v="GNR_GEO_HEAT_EO"/>
        <s v="GNR_BO_BGAS_E-80"/>
        <s v="GNR_ST_COAL_BP_E-40"/>
        <s v="AGG-DE4-N_ES_ELEC"/>
        <s v="AGG-DE4-N_RES_WTR_PMP"/>
        <s v="GNR_ST_FUELOIL_BP_E-35"/>
        <s v="GNR_ST_FUELOIL_BP_E-38"/>
        <s v="GNR_BO_MSW_E-80"/>
        <s v="GNR_CC_NGAS_BP_E-57"/>
        <s v="GNR_ST_NUCL_CND_E-33"/>
        <s v="AGG-DE4-S_ES_ELEC"/>
        <s v="AGG-DE4-S_RES_WTR_PMP"/>
        <s v="GNR_CC_NGAS_CND_E-43"/>
        <s v="GNR_GT_NGAS_BP_E-32"/>
        <s v="GNR_GT_NGAS_BP_E-37"/>
        <s v="GNR_GT_NGAS_CND_E-31"/>
        <s v="GNR_ST_NGAS_CND_E-36"/>
        <s v="GNR_RES_WTR_NOPMP"/>
        <s v="AGG-DE4-W_ES_ELEC"/>
        <s v="AGG-DE4-W_RES_WTR_PMP"/>
        <s v="GNR_CC_NGAS_BP_E-39"/>
        <s v="GNR_CC_NGAS_BP_E-55"/>
        <s v="GNR_CC_NGAS_CND_E-42"/>
        <s v="GNR_ENG_NGAS_CND_E-44"/>
        <s v="GNR_GT_NGAS_BP_E-39"/>
        <s v="GNR_GT_NGAS_CND_E-32"/>
        <s v="GNR_GT_NGAS_CND_E-40"/>
        <s v="GNR_ST_NGAS_BP_E-33"/>
        <s v="GNR_ST_NGAS_CND_E-39"/>
        <s v="GNR_ST_NGAS_BP_E-28"/>
        <s v="GNR_ST_WOOD_BP_E-30"/>
        <s v="GNR_ST_NGAS_BP_E-42"/>
        <s v="RIGA-TEC2_CC_NGAS_BP"/>
        <s v="RIGA-TEC2_CC_NGAS_EXT"/>
        <s v="KAUNAS_ST_MSW_BP"/>
        <s v="GNR_ST_NGAS_EXT_E-24"/>
        <s v="GNR_ST_NGAS_EXT_E-31"/>
        <s v="LIFOSA_ST_HEAT_BP"/>
        <s v="ACHEMA1_ST_NGAS_EXT"/>
        <s v="ACHEMA2_ST_NGAS_EXT"/>
        <s v="ALYTUS_ENG_NGAS_BP"/>
        <s v="GNR_ENG_NGAS_EXT_E-43"/>
        <s v="GNR_CC_NGAS_BP_E-42"/>
        <s v="SIAULIAI_ST_WOOD_BP"/>
        <s v="VILNIUS_ST_MSW_BP"/>
        <s v="GNR_CC_NGAS_CND_E-58"/>
        <s v="GNR_ST_NGAS_CON_E-38"/>
        <s v="GNR_ST_NGAS_EXT_E-39"/>
        <s v="GNR_ES_WTR_PMP"/>
        <s v="GNR_ST_COAL_CND_E-40"/>
        <s v="GNR_ST_MSW_CND_E-40"/>
        <s v="GNR_CC_NGAS_CND_E-38"/>
        <s v="GNR_ST_WOOD_CND_E-50"/>
        <s v="GHOB_LNG"/>
        <s v="GHOB_LPG"/>
        <s v="GBPR_MUNIWASTE"/>
        <s v="GHOB_MUNIWASTE"/>
        <s v="GNR_RES_WTR_PMP_MC-01"/>
        <s v="GNR_ST_BGAS_CND_E-37"/>
        <s v="BIAL-4_ST_COAL_CND"/>
        <s v="KATO_ST_COAL_BP"/>
        <s v="LAZI-1_ST_COAL_EXT"/>
        <s v="SIER-1_ST_COAL_BP"/>
        <s v="ZIEL-2_ST_COAL_BP"/>
        <s v="ZIEL-4_ST_COAL_BP"/>
        <s v="GNR_ST_MSW_BP_E-15"/>
        <s v="GNR_ST_NGAS_BP_E-15"/>
        <s v="GORZ-4_ST_NGAS_BP"/>
        <s v="NOWA-1_ST_NGAS_BP"/>
        <s v="RZES-2_ST_NGAS_BP"/>
        <s v="ZIEL-1_ST_NGAS_BP"/>
        <s v="ZIEL-3_ST_NGAS_BP"/>
        <s v="BIAL-1_ST_STRAW_BP"/>
        <s v="GNR_BO_STRAW_HO_E-100"/>
        <s v="GNR_ST_STRAW_BP_E-15"/>
        <s v="LODZ-3_ST_STRAW_EXT"/>
        <s v="GNR_ST_WOOD_EXT_E-45"/>
        <s v="LAGI-6_ST_COAL_CND"/>
        <s v="GBPR_WOODWASTE_25"/>
        <s v="GBPR_NATGAS"/>
        <s v="GBPR_WOODCHIPS_25"/>
        <s v="GBPR_WOODWASTE"/>
        <s v="GBPR_MUNIWASTE_24"/>
        <s v="GEXT_WOODWASTE_HORNEBORG"/>
        <s v="GBPR_WOODWASTE_36"/>
        <s v="GEXT_COAL_LINK"/>
        <s v="GBPR_MUNIWASTE_LINK"/>
        <s v="GBPR_RECYCLEDWOOD_SE3EL"/>
        <s v="GHOB_RECYCLEDWOOD"/>
        <s v="GBPR_WOODWASTE_ABY"/>
        <s v="GBPR_NATGAS_RYA"/>
        <s v="GBPR_WOODWASTE_GOT"/>
        <s v="GEXT_WOODWASTE"/>
        <s v="GBPR_RECYCLEDWOOD_SE3OTHER"/>
        <s v="GBPR_WOODCHIPS_37"/>
        <s v="GBPR_COAL_VARTAN"/>
        <s v="GBPR_MUNIWASTE_HOGDALEN"/>
        <s v="GBPR_WOODPELLETS_HASSELBY"/>
        <s v="GBPR_WOODWASTE_BRISTA"/>
        <s v="GNR_RES_WTR_NOPMP_MC-10"/>
        <s v="GBPR_RECYCLEDWOOD"/>
        <s v="GBPR_RECYCLEDWOOD_SE4EL"/>
        <s v="GHOB_STRAW"/>
        <s v="GBPR_MUNIWASTE_65"/>
        <s v="GBPR_NATGAS_MAL"/>
        <s v="GEXT_NATGAS_ORESUND"/>
        <s v="GBPR_MUNIWASTE_19"/>
        <s v="GNR_ST_BGAS_CND_E-45"/>
        <s v="GNR_ST_COAL_CND_E-35"/>
        <s v="GNR_CC_NGAS_CND_E-47"/>
        <s v="GNR_CC_NGAS_CND_E-52"/>
        <s v="GNR_CC_NGAS_CND_E-56"/>
        <s v="GNR_GT_NGAS_CND_E-33"/>
        <s v="GNR_GT_NGAS_CND_E-38"/>
        <s v="GNR_GT_NGAS_CND_E-41"/>
      </sharedItems>
    </cacheField>
    <cacheField name="CO2 kilotons" numFmtId="0" sqlType="8">
      <sharedItems containsString="0" containsBlank="1" containsNumber="1" minValue="0.93389117434134095" maxValue="1000"/>
    </cacheField>
    <cacheField name="CO2 megatons" numFmtId="0" sqlType="8">
      <sharedItems containsString="0" containsBlank="1" containsNumber="1" minValue="9.3389117434134101E-4" maxValue="1"/>
    </cacheField>
    <cacheField name="SO2 kilotons" numFmtId="0" sqlType="8">
      <sharedItems containsString="0" containsBlank="1" containsNumber="1" minValue="-979553.85216000001" maxValue="7547.56871035941"/>
    </cacheField>
    <cacheField name="SO2 megatons" numFmtId="0" sqlType="8">
      <sharedItems containsString="0" containsBlank="1" containsNumber="1" minValue="-979.55385216000002" maxValue="7.5475687103594096"/>
    </cacheField>
    <cacheField name="N2O kilotons" numFmtId="0" sqlType="8">
      <sharedItems containsString="0" containsBlank="1" containsNumber="1" minValue="2.6877272727272701E-6" maxValue="1.6168390607987"/>
    </cacheField>
    <cacheField name="N2O megatons" numFmtId="0" sqlType="8">
      <sharedItems containsString="0" containsBlank="1" containsNumber="1" minValue="2.6877272727272701E-9" maxValue="1.6168390607987E-3"/>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Hardi Koduvere" refreshedDate="43210.578610300923" missingItemsLimit="0" createdVersion="5" refreshedVersion="6" minRefreshableVersion="3" recordCount="615">
  <cacheSource type="external" connectionId="12"/>
  <cacheFields count="10">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23">
        <s v="COAL"/>
        <s v="MUNIWASTE"/>
        <s v="NATGAS"/>
        <s v="STRAW"/>
        <s v="WASTEHEAT"/>
        <s v="WOODCHIPS"/>
        <s v="SUN"/>
        <s v="WATER"/>
        <s v="WIND"/>
        <s v="WOODPELLETS"/>
        <s v="WOODWASTE"/>
        <s v="BIOGAS"/>
        <s v="RETORTGAS"/>
        <s v="WOOD"/>
        <s v="FUELOIL"/>
        <s v="SHALE"/>
        <s v="NATGAS_EXETS"/>
        <s v="PEAT"/>
        <s v="NUCLEAR"/>
        <s v="ELECTRIC"/>
        <s v="HEAT"/>
        <s v="LPG"/>
        <s v="RECYCLEDWOOD"/>
      </sharedItems>
    </cacheField>
    <cacheField name="Technology" numFmtId="0" sqlType="-10">
      <sharedItems/>
    </cacheField>
    <cacheField name="TWh" numFmtId="0" sqlType="8">
      <sharedItems containsSemiMixedTypes="0" containsString="0" containsNumber="1" minValue="3.0082417582417501E-5" maxValue="449.121961332973"/>
    </cacheField>
    <cacheField name="PJ" numFmtId="0" sqlType="8">
      <sharedItems containsSemiMixedTypes="0" containsString="0" containsNumber="1" minValue="1.08296703296703E-4" maxValue="1616.839060798700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Hardi Koduvere" refreshedDate="43210.578611458332" missingItemsLimit="0" createdVersion="5" refreshedVersion="6" minRefreshableVersion="3" recordCount="11">
  <cacheSource type="external" connectionId="1"/>
  <cacheFields count="3">
    <cacheField name="C" numFmtId="0" sqlType="-10">
      <sharedItems count="1">
        <s v="BASE"/>
      </sharedItems>
    </cacheField>
    <cacheField name="C2" numFmtId="0" sqlType="-10">
      <sharedItems count="1">
        <s v="1INPUT"/>
      </sharedItems>
    </cacheField>
    <cacheField name="C3" numFmtId="0" sqlType="-10">
      <sharedItems count="11">
        <s v="NORWAY"/>
        <s v="DENMARK"/>
        <s v="FINLAND"/>
        <s v="GERMANY"/>
        <s v="NETHERLANDS"/>
        <s v="SWEDEN"/>
        <s v="UNITED_KINGDOM"/>
        <s v="ESTONIA"/>
        <s v="LATVIA"/>
        <s v="LITHUANIA"/>
        <s v="POLAND"/>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Hardi Koduvere" refreshedDate="43210.578614583334" missingItemsLimit="0" createdVersion="5" refreshedVersion="6" minRefreshableVersion="3" recordCount="9951">
  <cacheSource type="external" connectionId="7"/>
  <cacheFields count="14">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20">
        <s v="COAL"/>
        <s v="MUNIWASTE"/>
        <s v="NATGAS"/>
        <s v="STRAW"/>
        <s v="WOODCHIPS"/>
        <s v="SUN"/>
        <s v="WATER"/>
        <s v="WIND"/>
        <s v="WOODPELLETS"/>
        <s v="BIOGAS"/>
        <s v="RETORTGAS"/>
        <s v="WOOD"/>
        <s v="WOODWASTE"/>
        <s v="SHALE"/>
        <s v="ELECTRIC"/>
        <s v="NUCLEAR"/>
        <s v="WASTEHEAT"/>
        <s v="FUELOIL"/>
        <s v="HEAT"/>
        <s v="RECYCLEDWOOD"/>
      </sharedItems>
    </cacheField>
    <cacheField name="Technology Type" numFmtId="0" sqlType="-10">
      <sharedItems count="10">
        <s v="Extraction"/>
        <s v="Backpressure"/>
        <s v="Condensing"/>
        <s v="Solar PV"/>
        <s v="Hydro ROR"/>
        <s v="Wind"/>
        <s v="Electricity to heat"/>
        <s v="Hydro reservoir"/>
        <s v="EL storage"/>
        <s v="EL storage S"/>
      </sharedItems>
    </cacheField>
    <cacheField name="Technology" numFmtId="0" sqlType="-10">
      <sharedItems/>
    </cacheField>
    <cacheField name="Season" numFmtId="0" sqlType="-10">
      <sharedItems count="1">
        <s v="S02"/>
      </sharedItems>
    </cacheField>
    <cacheField name="Term" numFmtId="0" sqlType="-10">
      <sharedItems count="24">
        <s v="T007"/>
        <s v="T008"/>
        <s v="T009"/>
        <s v="T001"/>
        <s v="T002"/>
        <s v="T003"/>
        <s v="T004"/>
        <s v="T005"/>
        <s v="T006"/>
        <s v="T010"/>
        <s v="T011"/>
        <s v="T012"/>
        <s v="T013"/>
        <s v="T014"/>
        <s v="T015"/>
        <s v="T016"/>
        <s v="T017"/>
        <s v="T018"/>
        <s v="T019"/>
        <s v="T020"/>
        <s v="T021"/>
        <s v="T022"/>
        <s v="T023"/>
        <s v="T024"/>
      </sharedItems>
    </cacheField>
    <cacheField name="MW" numFmtId="0" sqlType="8">
      <sharedItems containsSemiMixedTypes="0" containsString="0" containsNumber="1" minValue="-81.632653061224502" maxValue="20969"/>
    </cacheField>
    <cacheField name="MWh" numFmtId="0" sqlType="8">
      <sharedItems containsSemiMixedTypes="0" containsString="0" containsNumber="1" minValue="-29795.918367346902" maxValue="7653685"/>
    </cacheField>
    <cacheField name="GJ" numFmtId="0" sqlType="8">
      <sharedItems containsSemiMixedTypes="0" containsString="0" containsNumber="1" minValue="-107265.30612244899" maxValue="27553266"/>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Hardi Koduvere" refreshedDate="43210.578616087965" missingItemsLimit="0" createdVersion="5" refreshedVersion="6" minRefreshableVersion="3" recordCount="428">
  <cacheSource type="external" connectionId="14"/>
  <cacheFields count="10">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9">
        <s v="DENMARK"/>
        <s v="ESTONIA"/>
        <s v="FINLAND"/>
        <s v="GERMANY"/>
        <s v="LATVIA"/>
        <s v="LITHUANIA"/>
        <s v="NORWAY"/>
        <s v="POLAND"/>
        <s v="SWEDEN"/>
      </sharedItems>
    </cacheField>
    <cacheField name="Region" numFmtId="0" sqlType="-10">
      <sharedItems count="20">
        <s v="DK1"/>
        <s v="DK2"/>
        <s v="EE"/>
        <s v="FIN"/>
        <s v="DE4-E"/>
        <s v="DE4-N"/>
        <s v="DE4-S"/>
        <s v="DE4-W"/>
        <s v="LV"/>
        <s v="LT"/>
        <s v="NO1"/>
        <s v="NO2"/>
        <s v="NO3"/>
        <s v="NO4"/>
        <s v="NO5"/>
        <s v="PL"/>
        <s v="SE1"/>
        <s v="SE2"/>
        <s v="SE3"/>
        <s v="SE4"/>
      </sharedItems>
    </cacheField>
    <cacheField name="Area" numFmtId="0" sqlType="-10">
      <sharedItems/>
    </cacheField>
    <cacheField name="Fuel" numFmtId="0" sqlType="-10">
      <sharedItems count="18">
        <s v="COAL"/>
        <s v="HEAT"/>
        <s v="MUNIWASTE"/>
        <s v="NATGAS"/>
        <s v="STRAW"/>
        <s v="WASTEHEAT"/>
        <s v="WOODCHIPS"/>
        <s v="WOODPELLETS"/>
        <s v="WOODWASTE"/>
        <s v="BIOGAS"/>
        <s v="WOOD"/>
        <s v="FUELOIL"/>
        <s v="SHALE"/>
        <s v="NATGAS_EXETS"/>
        <s v="ELECTRIC"/>
        <s v="PEAT"/>
        <s v="LPG"/>
        <s v="RECYCLEDWOOD"/>
      </sharedItems>
    </cacheField>
    <cacheField name="Technology" numFmtId="0" sqlType="-10">
      <sharedItems/>
    </cacheField>
    <cacheField name="TWh" numFmtId="0" sqlType="8">
      <sharedItems containsSemiMixedTypes="0" containsString="0" containsNumber="1" minValue="3.0082417582417501E-5" maxValue="796.15728242458101"/>
    </cacheField>
    <cacheField name="PJ" numFmtId="0" sqlType="8">
      <sharedItems containsSemiMixedTypes="0" containsString="0" containsNumber="1" minValue="1.08296703296703E-4" maxValue="2866.1662167284899"/>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Hardi Koduvere" refreshedDate="43210.578617129628" missingItemsLimit="0" createdVersion="5" refreshedVersion="6" minRefreshableVersion="3" recordCount="531">
  <cacheSource type="external" connectionId="6"/>
  <cacheFields count="11">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20">
        <s v="COAL"/>
        <s v="MUNIWASTE"/>
        <s v="NATGAS"/>
        <s v="STRAW"/>
        <s v="WOODCHIPS"/>
        <s v="SUN"/>
        <s v="WATER"/>
        <s v="WIND"/>
        <s v="WOODPELLETS"/>
        <s v="BIOGAS"/>
        <s v="RETORTGAS"/>
        <s v="WOOD"/>
        <s v="WOODWASTE"/>
        <s v="SHALE"/>
        <s v="ELECTRIC"/>
        <s v="NUCLEAR"/>
        <s v="WASTEHEAT"/>
        <s v="FUELOIL"/>
        <s v="HEAT"/>
        <s v="RECYCLEDWOOD"/>
      </sharedItems>
    </cacheField>
    <cacheField name="Technology Type" numFmtId="0" sqlType="-10">
      <sharedItems count="10">
        <s v="Extraction"/>
        <s v="Backpressure"/>
        <s v="Condensing"/>
        <s v="Solar PV"/>
        <s v="Hydro ROR"/>
        <s v="Wind"/>
        <s v="Electricity to heat"/>
        <s v="Hydro reservoir"/>
        <s v="EL storage"/>
        <s v="EL storage S"/>
      </sharedItems>
    </cacheField>
    <cacheField name="Technology" numFmtId="0" sqlType="-10">
      <sharedItems/>
    </cacheField>
    <cacheField name="TWh" numFmtId="0" sqlType="8">
      <sharedItems containsSemiMixedTypes="0" containsString="0" containsNumber="1" minValue="-0.46240476910095402" maxValue="170.66634530652999"/>
    </cacheField>
    <cacheField name="PJ" numFmtId="0" sqlType="8">
      <sharedItems containsSemiMixedTypes="0" containsString="0" containsNumber="1" minValue="-1.66465716876343" maxValue="614.39884310350703"/>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r:id="rId1" refreshedBy="Hardi Koduvere" refreshedDate="43210.578619791668" missingItemsLimit="0" createdVersion="5" refreshedVersion="6" minRefreshableVersion="3" recordCount="8188">
  <cacheSource type="external" connectionId="15"/>
  <cacheFields count="13">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9">
        <s v="DENMARK"/>
        <s v="ESTONIA"/>
        <s v="FINLAND"/>
        <s v="GERMANY"/>
        <s v="LATVIA"/>
        <s v="LITHUANIA"/>
        <s v="NORWAY"/>
        <s v="POLAND"/>
        <s v="SWEDEN"/>
      </sharedItems>
    </cacheField>
    <cacheField name="Region" numFmtId="0" sqlType="-10">
      <sharedItems count="20">
        <s v="DK1"/>
        <s v="DK2"/>
        <s v="EE"/>
        <s v="FIN"/>
        <s v="DE4-E"/>
        <s v="DE4-N"/>
        <s v="DE4-S"/>
        <s v="DE4-W"/>
        <s v="LV"/>
        <s v="LT"/>
        <s v="NO1"/>
        <s v="NO2"/>
        <s v="NO3"/>
        <s v="NO4"/>
        <s v="NO5"/>
        <s v="PL"/>
        <s v="SE1"/>
        <s v="SE2"/>
        <s v="SE3"/>
        <s v="SE4"/>
      </sharedItems>
    </cacheField>
    <cacheField name="Area" numFmtId="0" sqlType="-10">
      <sharedItems/>
    </cacheField>
    <cacheField name="Fuel" numFmtId="0" sqlType="-10">
      <sharedItems count="18">
        <s v="COAL"/>
        <s v="HEAT"/>
        <s v="MUNIWASTE"/>
        <s v="NATGAS"/>
        <s v="STRAW"/>
        <s v="WASTEHEAT"/>
        <s v="WOODCHIPS"/>
        <s v="WOODPELLETS"/>
        <s v="WOODWASTE"/>
        <s v="BIOGAS"/>
        <s v="WOOD"/>
        <s v="FUELOIL"/>
        <s v="SHALE"/>
        <s v="NATGAS_EXETS"/>
        <s v="ELECTRIC"/>
        <s v="PEAT"/>
        <s v="LPG"/>
        <s v="RECYCLEDWOOD"/>
      </sharedItems>
    </cacheField>
    <cacheField name="Technology" numFmtId="0" sqlType="-10">
      <sharedItems/>
    </cacheField>
    <cacheField name="Season" numFmtId="0" sqlType="-10">
      <sharedItems count="1">
        <s v="S02"/>
      </sharedItems>
    </cacheField>
    <cacheField name="Term" numFmtId="0" sqlType="-10">
      <sharedItems count="24">
        <s v="T007"/>
        <s v="T008"/>
        <s v="T009"/>
        <s v="T010"/>
        <s v="T015"/>
        <s v="T017"/>
        <s v="T001"/>
        <s v="T002"/>
        <s v="T003"/>
        <s v="T004"/>
        <s v="T005"/>
        <s v="T006"/>
        <s v="T011"/>
        <s v="T012"/>
        <s v="T013"/>
        <s v="T014"/>
        <s v="T016"/>
        <s v="T018"/>
        <s v="T019"/>
        <s v="T020"/>
        <s v="T021"/>
        <s v="T022"/>
        <s v="T023"/>
        <s v="T024"/>
      </sharedItems>
    </cacheField>
    <cacheField name="MW" numFmtId="0" sqlType="8">
      <sharedItems containsSemiMixedTypes="0" containsString="0" containsNumber="1" minValue="3.4340659340659201E-3" maxValue="92545.276792694698"/>
    </cacheField>
    <cacheField name="MWh" numFmtId="0" sqlType="8">
      <sharedItems containsSemiMixedTypes="0" containsString="0" containsNumber="1" minValue="1.2534340659340599" maxValue="33779026.029333599"/>
    </cacheField>
    <cacheField name="GJ" numFmtId="0" sqlType="8">
      <sharedItems containsSemiMixedTypes="0" containsString="0" containsNumber="1" minValue="4.51236263736262" maxValue="121604493.70560101"/>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r:id="rId1" refreshedBy="Hardi Koduvere" refreshedDate="43210.578621064815" missingItemsLimit="0" createdVersion="5" refreshedVersion="6" minRefreshableVersion="3" recordCount="1224">
  <cacheSource type="external" connectionId="18"/>
  <cacheFields count="10">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9">
        <s v="DENMARK"/>
        <s v="ESTONIA"/>
        <s v="FINLAND"/>
        <s v="GERMANY"/>
        <s v="LATVIA"/>
        <s v="LITHUANIA"/>
        <s v="NORWAY"/>
        <s v="POLAND"/>
        <s v="SWEDEN"/>
      </sharedItems>
    </cacheField>
    <cacheField name="Region" numFmtId="0" sqlType="-10">
      <sharedItems count="20">
        <s v="DK1"/>
        <s v="DK2"/>
        <s v="EE"/>
        <s v="FIN"/>
        <s v="DE4-E"/>
        <s v="DE4-N"/>
        <s v="DE4-S"/>
        <s v="DE4-W"/>
        <s v="LV"/>
        <s v="LT"/>
        <s v="NO1"/>
        <s v="NO2"/>
        <s v="NO3"/>
        <s v="NO4"/>
        <s v="NO5"/>
        <s v="PL"/>
        <s v="SE1"/>
        <s v="SE2"/>
        <s v="SE3"/>
        <s v="SE4"/>
      </sharedItems>
    </cacheField>
    <cacheField name="Area" numFmtId="0" sqlType="-10">
      <sharedItems/>
    </cacheField>
    <cacheField name="Season" numFmtId="0" sqlType="-10">
      <sharedItems count="1">
        <s v="S02"/>
      </sharedItems>
    </cacheField>
    <cacheField name="Term" numFmtId="0" sqlType="-10">
      <sharedItems count="24">
        <s v="T001"/>
        <s v="T002"/>
        <s v="T003"/>
        <s v="T004"/>
        <s v="T005"/>
        <s v="T006"/>
        <s v="T007"/>
        <s v="T008"/>
        <s v="T009"/>
        <s v="T010"/>
        <s v="T011"/>
        <s v="T012"/>
        <s v="T013"/>
        <s v="T014"/>
        <s v="T015"/>
        <s v="T016"/>
        <s v="T017"/>
        <s v="T018"/>
        <s v="T019"/>
        <s v="T020"/>
        <s v="T021"/>
        <s v="T022"/>
        <s v="T023"/>
        <s v="T024"/>
      </sharedItems>
    </cacheField>
    <cacheField name="MWh" numFmtId="0" sqlType="8">
      <sharedItems containsSemiMixedTypes="0" containsString="0" containsNumber="1" minValue="0" maxValue="43729.7234655801"/>
    </cacheField>
    <cacheField name="GJ" numFmtId="0" sqlType="8">
      <sharedItems containsSemiMixedTypes="0" containsString="0" containsNumber="1" minValue="0" maxValue="157427.004476089"/>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r:id="rId1" refreshedBy="Hardi Koduvere" refreshedDate="43210.578621990739" missingItemsLimit="0" createdVersion="5" refreshedVersion="6" minRefreshableVersion="3" recordCount="11">
  <cacheSource type="external" connectionId="20"/>
  <cacheFields count="8">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4">
        <s v="FINLAND"/>
        <s v="GERMANY"/>
        <s v="SWEDEN"/>
        <s v="NORWAY"/>
      </sharedItems>
    </cacheField>
    <cacheField name="Region" numFmtId="0" sqlType="-10">
      <sharedItems count="11">
        <s v="FIN"/>
        <s v="DE4-S"/>
        <s v="SE1"/>
        <s v="SE2"/>
        <s v="SE3"/>
        <s v="SE4"/>
        <s v="NO1"/>
        <s v="NO2"/>
        <s v="NO3"/>
        <s v="NO4"/>
        <s v="NO5"/>
      </sharedItems>
    </cacheField>
    <cacheField name="Area" numFmtId="0" sqlType="-10">
      <sharedItems count="11">
        <s v="FinA"/>
        <s v="DE4-S_A"/>
        <s v="SE1A"/>
        <s v="SE2A"/>
        <s v="SE3A"/>
        <s v="SE4A"/>
        <s v="NO1_A1"/>
        <s v="NO2_A1"/>
        <s v="NO3_A1"/>
        <s v="NO4_A1"/>
        <s v="NO5_A1"/>
      </sharedItems>
    </cacheField>
    <cacheField name="Week" numFmtId="0" sqlType="-10">
      <sharedItems count="1">
        <s v="S02"/>
      </sharedItems>
    </cacheField>
    <cacheField name="MWh" numFmtId="0" sqlType="8">
      <sharedItems containsSemiMixedTypes="0" containsString="0" containsNumber="1" minValue="843.17092076853601" maxValue="26998125" count="11">
        <n v="4278856.8726114603"/>
        <n v="843.17092076853601"/>
        <n v="11982254"/>
        <n v="10847914"/>
        <n v="1955530"/>
        <n v="101475"/>
        <n v="3998817"/>
        <n v="26998125"/>
        <n v="5419446"/>
        <n v="15377398"/>
        <n v="12021672"/>
      </sharedItems>
    </cacheField>
  </cacheFields>
  <extLst>
    <ext xmlns:x14="http://schemas.microsoft.com/office/spreadsheetml/2009/9/main" uri="{725AE2AE-9491-48be-B2B4-4EB974FC3084}">
      <x14:pivotCacheDefinition/>
    </ext>
  </extLst>
</pivotCacheDefinition>
</file>

<file path=xl/pivotCache/pivotCacheDefinition12.xml><?xml version="1.0" encoding="utf-8"?>
<pivotCacheDefinition xmlns="http://schemas.openxmlformats.org/spreadsheetml/2006/main" xmlns:r="http://schemas.openxmlformats.org/officeDocument/2006/relationships" r:id="rId1" refreshedBy="Hardi Koduvere" refreshedDate="43210.578623148147" missingItemsLimit="0" createdVersion="5" refreshedVersion="6" minRefreshableVersion="3" recordCount="2208">
  <cacheSource type="external" connectionId="3"/>
  <cacheFields count="8">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Source" numFmtId="0" sqlType="-10">
      <sharedItems count="22">
        <s v="DE4-E"/>
        <s v="DE4-N"/>
        <s v="DE4-S"/>
        <s v="DE4-W"/>
        <s v="DK1"/>
        <s v="DK2"/>
        <s v="EE"/>
        <s v="FIN"/>
        <s v="LT"/>
        <s v="LV"/>
        <s v="NL"/>
        <s v="NO1"/>
        <s v="NO2"/>
        <s v="NO3"/>
        <s v="NO4"/>
        <s v="NO5"/>
        <s v="PL"/>
        <s v="SE1"/>
        <s v="SE2"/>
        <s v="SE3"/>
        <s v="SE4"/>
        <s v="UK"/>
      </sharedItems>
    </cacheField>
    <cacheField name="Destination" numFmtId="0" sqlType="-10">
      <sharedItems count="22">
        <s v="DE4-N"/>
        <s v="DE4-S"/>
        <s v="DE4-W"/>
        <s v="DK2"/>
        <s v="PL"/>
        <s v="DE4-E"/>
        <s v="DK1"/>
        <s v="NO2"/>
        <s v="SE4"/>
        <s v="NL"/>
        <s v="SE3"/>
        <s v="UK"/>
        <s v="FIN"/>
        <s v="LV"/>
        <s v="EE"/>
        <s v="NO4"/>
        <s v="SE1"/>
        <s v="LT"/>
        <s v="NO3"/>
        <s v="NO5"/>
        <s v="NO1"/>
        <s v="SE2"/>
      </sharedItems>
    </cacheField>
    <cacheField name="Season" numFmtId="0" sqlType="-10">
      <sharedItems count="1">
        <s v="S02"/>
      </sharedItems>
    </cacheField>
    <cacheField name="Term" numFmtId="0" sqlType="-10">
      <sharedItems count="24">
        <s v="T001"/>
        <s v="T002"/>
        <s v="T003"/>
        <s v="T004"/>
        <s v="T005"/>
        <s v="T006"/>
        <s v="T007"/>
        <s v="T008"/>
        <s v="T009"/>
        <s v="T010"/>
        <s v="T011"/>
        <s v="T012"/>
        <s v="T013"/>
        <s v="T014"/>
        <s v="T015"/>
        <s v="T016"/>
        <s v="T017"/>
        <s v="T018"/>
        <s v="T019"/>
        <s v="T020"/>
        <s v="T021"/>
        <s v="T022"/>
        <s v="T023"/>
        <s v="T024"/>
      </sharedItems>
    </cacheField>
    <cacheField name="GW" numFmtId="0" sqlType="8">
      <sharedItems containsSemiMixedTypes="0" containsString="0" containsNumber="1" minValue="-11.7844663657702" maxValue="11.7844663657702"/>
    </cacheField>
  </cacheFields>
  <extLst>
    <ext xmlns:x14="http://schemas.microsoft.com/office/spreadsheetml/2009/9/main" uri="{725AE2AE-9491-48be-B2B4-4EB974FC3084}">
      <x14:pivotCacheDefinition/>
    </ext>
  </extLst>
</pivotCacheDefinition>
</file>

<file path=xl/pivotCache/pivotCacheDefinition13.xml><?xml version="1.0" encoding="utf-8"?>
<pivotCacheDefinition xmlns="http://schemas.openxmlformats.org/spreadsheetml/2006/main" xmlns:r="http://schemas.openxmlformats.org/officeDocument/2006/relationships" r:id="rId1" refreshedBy="Hardi Koduvere" refreshedDate="43210.578624305555" missingItemsLimit="0" createdVersion="5" refreshedVersion="6" minRefreshableVersion="3" recordCount="92">
  <cacheSource type="external" connectionId="2"/>
  <cacheFields count="8">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1" numFmtId="0" sqlType="-10">
      <sharedItems count="11">
        <s v="DENMARK"/>
        <s v="ESTONIA"/>
        <s v="FINLAND"/>
        <s v="GERMANY"/>
        <s v="LATVIA"/>
        <s v="LITHUANIA"/>
        <s v="NETHERLANDS"/>
        <s v="NORWAY"/>
        <s v="POLAND"/>
        <s v="SWEDEN"/>
        <s v="UNITED_KINGDOM"/>
      </sharedItems>
    </cacheField>
    <cacheField name="Region1" numFmtId="0" sqlType="-10">
      <sharedItems count="22">
        <s v="DK1"/>
        <s v="DK2"/>
        <s v="EE"/>
        <s v="FIN"/>
        <s v="DE4-E"/>
        <s v="DE4-N"/>
        <s v="DE4-S"/>
        <s v="DE4-W"/>
        <s v="LV"/>
        <s v="LT"/>
        <s v="NL"/>
        <s v="NO1"/>
        <s v="NO2"/>
        <s v="NO3"/>
        <s v="NO4"/>
        <s v="NO5"/>
        <s v="PL"/>
        <s v="SE1"/>
        <s v="SE2"/>
        <s v="SE3"/>
        <s v="SE4"/>
        <s v="UK"/>
      </sharedItems>
    </cacheField>
    <cacheField name="Country2" numFmtId="0" sqlType="-10">
      <sharedItems count="11">
        <s v="DENMARK"/>
        <s v="GERMANY"/>
        <s v="NETHERLANDS"/>
        <s v="NORWAY"/>
        <s v="SWEDEN"/>
        <s v="UNITED_KINGDOM"/>
        <s v="FINLAND"/>
        <s v="LATVIA"/>
        <s v="ESTONIA"/>
        <s v="POLAND"/>
        <s v="LITHUANIA"/>
      </sharedItems>
    </cacheField>
    <cacheField name="Region2" numFmtId="0" sqlType="-10">
      <sharedItems count="22">
        <s v="DK2"/>
        <s v="DE4-N"/>
        <s v="NL"/>
        <s v="NO2"/>
        <s v="SE3"/>
        <s v="UK"/>
        <s v="DK1"/>
        <s v="DE4-E"/>
        <s v="SE4"/>
        <s v="FIN"/>
        <s v="LV"/>
        <s v="EE"/>
        <s v="NO4"/>
        <s v="SE1"/>
        <s v="DE4-S"/>
        <s v="DE4-W"/>
        <s v="PL"/>
        <s v="LT"/>
        <s v="NO3"/>
        <s v="NO5"/>
        <s v="NO1"/>
        <s v="SE2"/>
      </sharedItems>
    </cacheField>
    <cacheField name="GWh" numFmtId="0" sqlType="8">
      <sharedItems containsSemiMixedTypes="0" containsString="0" containsNumber="1" minValue="0" maxValue="94165.451056604303"/>
    </cacheField>
  </cacheFields>
  <extLst>
    <ext xmlns:x14="http://schemas.microsoft.com/office/spreadsheetml/2009/9/main" uri="{725AE2AE-9491-48be-B2B4-4EB974FC3084}">
      <x14:pivotCacheDefinition/>
    </ext>
  </extLst>
</pivotCacheDefinition>
</file>

<file path=xl/pivotCache/pivotCacheDefinition14.xml><?xml version="1.0" encoding="utf-8"?>
<pivotCacheDefinition xmlns="http://schemas.openxmlformats.org/spreadsheetml/2006/main" xmlns:r="http://schemas.openxmlformats.org/officeDocument/2006/relationships" r:id="rId1" refreshedBy="Hardi Koduvere" refreshedDate="43210.578625347225" missingItemsLimit="0" createdVersion="5" refreshedVersion="6" minRefreshableVersion="3" recordCount="528">
  <cacheSource type="external" connectionId="5"/>
  <cacheFields count="9">
    <cacheField name="Case" numFmtId="0" sqlType="-10">
      <sharedItems count="1">
        <s v="BASE"/>
      </sharedItems>
    </cacheField>
    <cacheField name="Year" numFmtId="0" sqlType="-10">
      <sharedItems count="1">
        <s v="2016"/>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UserGroup" numFmtId="0" sqlType="-10">
      <sharedItems count="1">
        <s v="RESE"/>
      </sharedItems>
    </cacheField>
    <cacheField name="Season" numFmtId="0" sqlType="-10">
      <sharedItems count="1">
        <s v="S02"/>
      </sharedItems>
    </cacheField>
    <cacheField name="Term" numFmtId="0" sqlType="-10">
      <sharedItems count="24">
        <s v="T001"/>
        <s v="T002"/>
        <s v="T003"/>
        <s v="T004"/>
        <s v="T005"/>
        <s v="T006"/>
        <s v="T007"/>
        <s v="T008"/>
        <s v="T009"/>
        <s v="T010"/>
        <s v="T011"/>
        <s v="T012"/>
        <s v="T013"/>
        <s v="T014"/>
        <s v="T015"/>
        <s v="T016"/>
        <s v="T017"/>
        <s v="T018"/>
        <s v="T019"/>
        <s v="T020"/>
        <s v="T021"/>
        <s v="T022"/>
        <s v="T023"/>
        <s v="T024"/>
      </sharedItems>
    </cacheField>
    <cacheField name="MW" numFmtId="0" sqlType="8">
      <sharedItems containsSemiMixedTypes="0" containsString="0" containsNumber="1" minValue="546.93844574000605" maxValue="47904.216380806"/>
    </cacheField>
    <cacheField name="MWh" numFmtId="0" sqlType="8">
      <sharedItems containsSemiMixedTypes="0" containsString="0" containsNumber="1" minValue="199632.53269510201" maxValue="17485038.978994198"/>
    </cacheField>
  </cacheFields>
  <extLst>
    <ext xmlns:x14="http://schemas.microsoft.com/office/spreadsheetml/2009/9/main" uri="{725AE2AE-9491-48be-B2B4-4EB974FC3084}">
      <x14:pivotCacheDefinition/>
    </ext>
  </extLst>
</pivotCacheDefinition>
</file>

<file path=xl/pivotCache/pivotCacheDefinition15.xml><?xml version="1.0" encoding="utf-8"?>
<pivotCacheDefinition xmlns="http://schemas.openxmlformats.org/spreadsheetml/2006/main" xmlns:r="http://schemas.openxmlformats.org/officeDocument/2006/relationships" r:id="rId1" refreshedBy="Hardi Koduvere" refreshedDate="43210.57862615741" missingItemsLimit="0" createdVersion="5" refreshedVersion="6" minRefreshableVersion="3" recordCount="22">
  <cacheSource type="external" connectionId="4"/>
  <cacheFields count="7">
    <cacheField name="Case" numFmtId="0" sqlType="-10">
      <sharedItems count="1">
        <s v="BASE"/>
      </sharedItems>
    </cacheField>
    <cacheField name="Year" numFmtId="0" sqlType="-10">
      <sharedItems count="1">
        <s v="2016"/>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UserGroup" numFmtId="0" sqlType="-10">
      <sharedItems count="1">
        <s v="RESE"/>
      </sharedItems>
    </cacheField>
    <cacheField name="TWh" numFmtId="0" sqlType="8">
      <sharedItems containsSemiMixedTypes="0" containsString="0" containsNumber="1" minValue="7.798" maxValue="322.90002489405998" count="22">
        <n v="18.366678"/>
        <n v="12.605129"/>
        <n v="8.6"/>
        <n v="83.272103000000001"/>
        <n v="75.089299999999994"/>
        <n v="23.104399999999998"/>
        <n v="203.21369999999999"/>
        <n v="223.6926"/>
        <n v="7.798"/>
        <n v="10.055966111111101"/>
        <n v="111.094668"/>
        <n v="34.480893999999999"/>
        <n v="33.131326999999999"/>
        <n v="23.994347999999999"/>
        <n v="17.984932000000001"/>
        <n v="15.296264000000001"/>
        <n v="155.567216"/>
        <n v="9.0839719999999993"/>
        <n v="15.680241000000001"/>
        <n v="82.414223000000007"/>
        <n v="23.071190000000001"/>
        <n v="322.90002489405998"/>
      </sharedItems>
    </cacheField>
    <cacheField name="GWh" numFmtId="0" sqlType="8">
      <sharedItems containsSemiMixedTypes="0" containsString="0" containsNumber="1" minValue="7798" maxValue="322900.02489405998" count="22">
        <n v="18366.678"/>
        <n v="12605.129000000001"/>
        <n v="8600"/>
        <n v="83272.103000000003"/>
        <n v="75089.3"/>
        <n v="23104.400000000001"/>
        <n v="203213.7"/>
        <n v="223692.6"/>
        <n v="7798"/>
        <n v="10055.9661111111"/>
        <n v="111094.66800000001"/>
        <n v="34480.894"/>
        <n v="33131.326999999997"/>
        <n v="23994.348000000002"/>
        <n v="17984.932000000001"/>
        <n v="15296.263999999999"/>
        <n v="155567.21599999999"/>
        <n v="9083.9719999999998"/>
        <n v="15680.241"/>
        <n v="82414.222999999998"/>
        <n v="23071.19"/>
        <n v="322900.02489405998"/>
      </sharedItems>
    </cacheField>
  </cacheFields>
  <extLst>
    <ext xmlns:x14="http://schemas.microsoft.com/office/spreadsheetml/2009/9/main" uri="{725AE2AE-9491-48be-B2B4-4EB974FC3084}">
      <x14:pivotCacheDefinition/>
    </ext>
  </extLst>
</pivotCacheDefinition>
</file>

<file path=xl/pivotCache/pivotCacheDefinition16.xml><?xml version="1.0" encoding="utf-8"?>
<pivotCacheDefinition xmlns="http://schemas.openxmlformats.org/spreadsheetml/2006/main" xmlns:r="http://schemas.openxmlformats.org/officeDocument/2006/relationships" r:id="rId1" refreshedBy="Hardi Koduvere" refreshedDate="43210.578626736111" missingItemsLimit="0" createdVersion="5" refreshedVersion="6" minRefreshableVersion="3" recordCount="0">
  <cacheSource type="external" connectionId="9"/>
  <cacheFields count="8">
    <cacheField name="Case1" numFmtId="0" sqlType="-10">
      <sharedItems containsSemiMixedTypes="0" containsString="0"/>
    </cacheField>
    <cacheField name="Year1" numFmtId="0" sqlType="-10">
      <sharedItems containsSemiMixedTypes="0" containsString="0"/>
    </cacheField>
    <cacheField name="Year2" numFmtId="0" sqlType="-10">
      <sharedItems containsSemiMixedTypes="0" containsString="0"/>
    </cacheField>
    <cacheField name="Country" numFmtId="0" sqlType="-10">
      <sharedItems containsSemiMixedTypes="0" containsString="0"/>
    </cacheField>
    <cacheField name="Region" numFmtId="0" sqlType="-10">
      <sharedItems containsSemiMixedTypes="0" containsString="0"/>
    </cacheField>
    <cacheField name="Season" numFmtId="0" sqlType="-10">
      <sharedItems containsSemiMixedTypes="0" containsString="0"/>
    </cacheField>
    <cacheField name="Term" numFmtId="0" sqlType="-10">
      <sharedItems containsSemiMixedTypes="0" containsString="0"/>
    </cacheField>
    <cacheField name="OMONEY/MWh" numFmtId="0" sqlType="8">
      <sharedItems containsSemiMixedTypes="0" containsString="0"/>
    </cacheField>
  </cacheFields>
  <extLst>
    <ext xmlns:x14="http://schemas.microsoft.com/office/spreadsheetml/2009/9/main" uri="{725AE2AE-9491-48be-B2B4-4EB974FC3084}">
      <x14:pivotCacheDefinition/>
    </ext>
  </extLst>
</pivotCacheDefinition>
</file>

<file path=xl/pivotCache/pivotCacheDefinition17.xml><?xml version="1.0" encoding="utf-8"?>
<pivotCacheDefinition xmlns="http://schemas.openxmlformats.org/spreadsheetml/2006/main" xmlns:r="http://schemas.openxmlformats.org/officeDocument/2006/relationships" r:id="rId1" refreshedBy="Hardi Koduvere" refreshedDate="43210.578627546296" missingItemsLimit="0" createdVersion="5" refreshedVersion="6" minRefreshableVersion="3" recordCount="0">
  <cacheSource type="external" connectionId="17"/>
  <cacheFields count="10">
    <cacheField name="Case" numFmtId="0" sqlType="-10">
      <sharedItems containsSemiMixedTypes="0" containsString="0"/>
    </cacheField>
    <cacheField name="Year1" numFmtId="0" sqlType="-10">
      <sharedItems containsSemiMixedTypes="0" containsString="0"/>
    </cacheField>
    <cacheField name="Year2" numFmtId="0" sqlType="-10">
      <sharedItems containsSemiMixedTypes="0" containsString="0"/>
    </cacheField>
    <cacheField name="Country" numFmtId="0" sqlType="-10">
      <sharedItems containsSemiMixedTypes="0" containsString="0"/>
    </cacheField>
    <cacheField name="Region" numFmtId="0" sqlType="-10">
      <sharedItems containsSemiMixedTypes="0" containsString="0"/>
    </cacheField>
    <cacheField name="Area" numFmtId="0" sqlType="-10">
      <sharedItems containsSemiMixedTypes="0" containsString="0"/>
    </cacheField>
    <cacheField name="Season" numFmtId="0" sqlType="-10">
      <sharedItems containsSemiMixedTypes="0" containsString="0"/>
    </cacheField>
    <cacheField name="Term" numFmtId="0" sqlType="-10">
      <sharedItems containsSemiMixedTypes="0" containsString="0"/>
    </cacheField>
    <cacheField name="OMONEY/GJ" numFmtId="0" sqlType="8">
      <sharedItems containsSemiMixedTypes="0" containsString="0"/>
    </cacheField>
    <cacheField name="OMONEY/MWh" numFmtId="0" sqlType="8">
      <sharedItems containsSemiMixedTypes="0" containsString="0"/>
    </cacheField>
  </cacheFields>
  <extLst>
    <ext xmlns:x14="http://schemas.microsoft.com/office/spreadsheetml/2009/9/main" uri="{725AE2AE-9491-48be-B2B4-4EB974FC3084}">
      <x14:pivotCacheDefinition/>
    </ext>
  </extLst>
</pivotCacheDefinition>
</file>

<file path=xl/pivotCache/pivotCacheDefinition18.xml><?xml version="1.0" encoding="utf-8"?>
<pivotCacheDefinition xmlns="http://schemas.openxmlformats.org/spreadsheetml/2006/main" xmlns:r="http://schemas.openxmlformats.org/officeDocument/2006/relationships" r:id="rId1" refreshedBy="Hardi Koduvere" refreshedDate="43210.578628356481" createdVersion="6" refreshedVersion="6" minRefreshableVersion="3" recordCount="807">
  <cacheSource type="external" connectionId="8"/>
  <cacheFields count="12">
    <cacheField name="Case" numFmtId="0" sqlType="-10">
      <sharedItems count="1">
        <s v="BASE"/>
      </sharedItems>
    </cacheField>
    <cacheField name="BaseYear" numFmtId="0" sqlType="-10">
      <sharedItems count="3">
        <s v="2016"/>
        <s v="2020" u="1"/>
        <s v="2030" u="1"/>
      </sharedItems>
    </cacheField>
    <cacheField name="ModelYear" numFmtId="0" sqlType="-10">
      <sharedItems count="4">
        <s v="2016"/>
        <s v="2020" u="1"/>
        <s v="modelyear" u="1"/>
        <s v="2030" u="1"/>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25">
        <s v="BIOGAS"/>
        <s v="COAL"/>
        <s v="LIGHTOIL"/>
        <s v="MUNIWASTE"/>
        <s v="NATGAS"/>
        <s v="STRAW"/>
        <s v="WOODCHIPS"/>
        <s v="FUELOIL"/>
        <s v="SUN"/>
        <s v="WATER"/>
        <s v="WIND"/>
        <s v="WOODPELLETS"/>
        <s v="RETORTGAS"/>
        <s v="WOOD"/>
        <s v="WOODWASTE"/>
        <s v="SHALE"/>
        <s v="HEAVYFUELOIL"/>
        <s v="PEAT"/>
        <s v="NUCLEAR"/>
        <s v="ELECTRIC"/>
        <s v="LIGNITE"/>
        <s v="WASTEHEAT"/>
        <s v="HEAT"/>
        <s v="RECYCLEDWOOD"/>
        <s v="BIOOIL"/>
      </sharedItems>
    </cacheField>
    <cacheField name="Technology Type" numFmtId="0" sqlType="-10">
      <sharedItems count="9">
        <s v="Backpressure"/>
        <s v="Extraction"/>
        <s v="Condensing"/>
        <s v="Solar PV"/>
        <s v="Hydro ROR"/>
        <s v="Wind"/>
        <s v="Hydro reservoir"/>
        <s v="EL storage"/>
        <s v="EL storage S"/>
      </sharedItems>
    </cacheField>
    <cacheField name="Capacity Type" numFmtId="0" sqlType="-10">
      <sharedItems count="2">
        <s v="Exogenous"/>
        <s v="Endogenous"/>
      </sharedItems>
    </cacheField>
    <cacheField name="Technology" numFmtId="0" sqlType="-10">
      <sharedItems/>
    </cacheField>
    <cacheField name="MW" numFmtId="0" sqlType="8">
      <sharedItems containsSemiMixedTypes="0" containsString="0" containsNumber="1" minValue="1.4999999999999999E-2" maxValue="100000"/>
    </cacheField>
    <cacheField name="GW" numFmtId="0" sqlType="8">
      <sharedItems containsSemiMixedTypes="0" containsString="0" containsNumber="1" minValue="1.5E-5" maxValue="100"/>
    </cacheField>
  </cacheFields>
  <extLst>
    <ext xmlns:x14="http://schemas.microsoft.com/office/spreadsheetml/2009/9/main" uri="{725AE2AE-9491-48be-B2B4-4EB974FC3084}">
      <x14:pivotCacheDefinition/>
    </ext>
  </extLst>
</pivotCacheDefinition>
</file>

<file path=xl/pivotCache/pivotCacheDefinition19.xml><?xml version="1.0" encoding="utf-8"?>
<pivotCacheDefinition xmlns="http://schemas.openxmlformats.org/spreadsheetml/2006/main" xmlns:r="http://schemas.openxmlformats.org/officeDocument/2006/relationships" r:id="rId1" refreshedBy="Hardi Koduvere" refreshedDate="43210.578631481483" missingItemsLimit="0" createdVersion="5" refreshedVersion="6" minRefreshableVersion="3" recordCount="11671">
  <cacheSource type="external" connectionId="13"/>
  <cacheFields count="13">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23">
        <s v="COAL"/>
        <s v="MUNIWASTE"/>
        <s v="NATGAS"/>
        <s v="STRAW"/>
        <s v="WASTEHEAT"/>
        <s v="WOODCHIPS"/>
        <s v="SUN"/>
        <s v="WATER"/>
        <s v="WIND"/>
        <s v="WOODPELLETS"/>
        <s v="WOODWASTE"/>
        <s v="BIOGAS"/>
        <s v="RETORTGAS"/>
        <s v="WOOD"/>
        <s v="FUELOIL"/>
        <s v="SHALE"/>
        <s v="NATGAS_EXETS"/>
        <s v="PEAT"/>
        <s v="NUCLEAR"/>
        <s v="ELECTRIC"/>
        <s v="HEAT"/>
        <s v="LPG"/>
        <s v="RECYCLEDWOOD"/>
      </sharedItems>
    </cacheField>
    <cacheField name="Technology" numFmtId="0" sqlType="-10">
      <sharedItems count="267">
        <s v="GNR_ST_COAL_EXT_E-47"/>
        <s v="GNR_BO_MSW_E-105"/>
        <s v="GNR_ST_MSW_BP_E-18"/>
        <s v="GNR_ST_MSW_BP_E-19"/>
        <s v="GNR_ST_MSW_BP_E-22"/>
        <s v="GNR_ST_MSW_BP_E-23"/>
        <s v="GNR_ST_MSW_BP_E-27"/>
        <s v="GNR_ENG_NGAS_BP_E-34"/>
        <s v="GNR_ENG_NGAS_BP_E-38"/>
        <s v="GNR_ENG_NGAS_BP_E-39"/>
        <s v="GNR_ENG_NGAS_BP_E-40"/>
        <s v="GNR_ENG_NGAS_BP_E-41"/>
        <s v="GNR_ENG_NGAS_BP_E-42"/>
        <s v="GNR_ENG_NGAS_BP_E-43"/>
        <s v="GNR_ENG_NGAS_BP_E-44"/>
        <s v="GNR_ENG_NGAS_BP_E-46"/>
        <s v="GNR_GT_NGAS_BP_E-27"/>
        <s v="GNR_ST_NGAS_EXT_E-47"/>
        <s v="GNR_ST_STRW_BP_E-26"/>
        <s v="GNR_EH_HEAT"/>
        <s v="GNR_ST_WOODCHI_BP_E-23"/>
        <s v="GNR_BO_MSW_E-100"/>
        <s v="GNR_ST_MSW_BP_E-17"/>
        <s v="GNR_ST_MSW_BP_E-20"/>
        <s v="GNR_ST_MSW_BP_E-21"/>
        <s v="GNR_ST_MSW_BP_E-26"/>
        <s v="GNR_ENG_NGAS_BP_E-35"/>
        <s v="GNR_ENG_NGAS_BP_E-37"/>
        <s v="GNR_GT_NGAS_BP_E-31"/>
        <s v="GNR_BO_STRW_E-102"/>
        <s v="GNR_ST_STRW_BP_E-21"/>
        <s v="GNR_GEO_HEAT_HO"/>
        <s v="GNR_BO_WOODCHI_E-110"/>
        <s v="GNR_ENG_NGAS_BP_E-36"/>
        <s v="GNR_GT_NGAS_BP_E-43"/>
        <s v="GNR_GT_NGAS_BP_E-44"/>
        <s v="GNR_GT_NGAS_BP_E-47"/>
        <s v="GNR_ST_WOODCHI_BP_E-27"/>
        <s v="GNR_ST_WOODCHI_BP_E-30"/>
        <s v="GNR_ENG_NGAS_BP_E-33"/>
        <s v="GNR_ENG_NGAS_CND_E-41"/>
        <s v="GNR_ENG_NGAS_CND_E-46"/>
        <s v="GNR_GT_NGAS_BP_E-28"/>
        <s v="GNR_GT_NGAS_BP_E-33"/>
        <s v="GNR_GT_NGAS_BP_E-36"/>
        <s v="GNR_PV_SUN"/>
        <s v="GNR_ROR_WTR"/>
        <s v="GNR_WT_WIND_ONS"/>
        <s v="GNR_WT_WIND_OFF"/>
        <s v="GNR_ENG_NGAS_BP_E-45"/>
        <s v="GNR_ENG_NGAS_BP_E-47"/>
        <s v="GNR_GT_NGAS_BP_E-30"/>
        <s v="GNR_GT_NGAS_BP_E-41"/>
        <s v="GNR_ST_WOODPEL_BP_E-30"/>
        <s v="GNR_BO_WOODWST_E-100"/>
        <s v="GNR_BO_WOODWST_E-89"/>
        <s v="GNR_ENG_BGAS_BP_E-42"/>
        <s v="GNR_ST_COAL_EXT_E-42"/>
        <s v="GNR_ST_MSW_BP_E-16"/>
        <s v="GNR_ST_NGAS_BP_E-39"/>
        <s v="GNR_ST_WOODCHI_BP_E-24"/>
        <s v="GNR_ST_WOODPEL_EXT_E-50"/>
        <s v="GNR_BO_WOODWST_E-90"/>
        <s v="GNR_ST_MSW_BP_E-25"/>
        <s v="GNR_ST_MSW_BP_E-28"/>
        <s v="GNR_ST_COAL_EXT_E-41"/>
        <s v="GNR_GT_NGAS_BP_E-42"/>
        <s v="GNR_ENG_BGAS_BP_E-39"/>
        <s v="GNR_ENG_BGAS_BP_E-40"/>
        <s v="GNR_ENG_BGAS_BP_E-41"/>
        <s v="GNR_ST_COAL_BP_E-35"/>
        <s v="GNR_ST_STRW_BP_E-24"/>
        <s v="GNR_ST_STRW_BP_E-27"/>
        <s v="GNR_ST_STRW_BP_E-28"/>
        <s v="ENEFIT_ST_RETORT-GAS_CND"/>
        <s v="GNR_ENG_RETORT-GAS_E-44"/>
        <s v="IMAVERE_ST_WOOD_BP"/>
        <s v="OSULA_ST_WOOD_BP"/>
        <s v="GNR_ST_WOODWST_BP_E-53"/>
        <s v="GNR_BO_NGAS_HO_E-85"/>
        <s v="GNR_ENG_NGAS_EXT_E-44"/>
        <s v="GNR_BO_FUELOIL_HO_E-85"/>
        <s v="NARVA-11_ST_SHALE_EXT"/>
        <s v="PARNU-1_ST_WOOD_BP"/>
        <s v="EBAVERE_ST_WOODWST_BP"/>
        <s v="IRU_ST_MSW_BP"/>
        <s v="IRU_ST_NGAS_BP"/>
        <s v="MUSTAMAE_ST_WOOD_BP"/>
        <s v="VAO-1_ST_WOOD_BP"/>
        <s v="VAO-2_ST_WOOD_BP"/>
        <s v="TARTU-1_ST_WOOD_BP"/>
        <s v="GNR_ST_WOOD_BP_E-53"/>
        <s v="GBPR_NATGAS_FINEL"/>
        <s v="GEXT_NATGAS_MERTANIEMI"/>
        <s v="GBPR_WOODCHIPS"/>
        <s v="GBPR_WOODWASTE_FINEL"/>
        <s v="GBPR_NATGAS_SUOMENOJA"/>
        <s v="GBPR_NATGAS_SUOMENOJA2"/>
        <s v="GHOB_NATGAS"/>
        <s v="GHOB_NATGAS_EXETS"/>
        <s v="GBPR_NATGAS_GASAREA"/>
        <s v="GEXT_NATGAS_NOKIA"/>
        <s v="GBPR_NATGAS_MARTINLAAKSOGT"/>
        <s v="GBPR_NATGAS_VOUSAARI"/>
        <s v="GEXT_NATGAS_VOUSAARI"/>
        <s v="GHOB_BIOGAS"/>
        <s v="GBPR_COAL_NAANTALI"/>
        <s v="GHOB_PEAT"/>
        <s v="GHOB_WASTEHEAT"/>
        <s v="GHOB_WOODCHIPS"/>
        <s v="GHOB_WOODPELLETS"/>
        <s v="GHOB_WOODWASTE"/>
        <s v="GBPR_NATGAS_100"/>
        <s v="GBPR_WOODCHIPS_FINOTHER"/>
        <s v="GBPR_WOODPELLETS"/>
        <s v="GBPR_WOODWASTE_FINOTHER"/>
        <s v="GEXT_NATGAS_TAMPERE"/>
        <s v="GBPR_NATGAS_IND"/>
        <s v="GCND_NATGAS1"/>
        <s v="GCND_NATGAS2"/>
        <s v="GCND_NATGAS3"/>
        <s v="GCND_NUCLEAR"/>
        <s v="GNR_RES_WTR_NOPMP_MC-01"/>
        <s v="GNR_RES_WTR_NOPMP_MC-02"/>
        <s v="GNR_RES_WTR_NOPMP_MC-03"/>
        <s v="GNR_RES_WTR_NOPMP_MC-04"/>
        <s v="GNR_RES_WTR_NOPMP_MC-05"/>
        <s v="GNR_RES_WTR_NOPMP_MC-06"/>
        <s v="GNR_RES_WTR_NOPMP_MC-07"/>
        <s v="GNR_RES_WTR_NOPMP_MC-08"/>
        <s v="GNR_RES_WTR_NOPMP_MC-09"/>
        <s v="GBPR_IND_BIO"/>
        <s v="GBPR_WOOD_IND"/>
        <s v="GCND_COFIRING"/>
        <s v="GCND_WOODCHIPS"/>
        <s v="GNR_ENG_BGAS_BP_E-45"/>
        <s v="GNR_ENG_BGAS_CND_E-44"/>
        <s v="GNR_ST_BGAS_BP_E-38"/>
        <s v="GNR_ST_BGAS_CND_E-38"/>
        <s v="AGG-DE4-E_ES_ELEC"/>
        <s v="AGG-DE4-E_RES_WTR_PMP"/>
        <s v="GNR_ES_ELEC_BAT-LITHIO_E-95_Y-16-29"/>
        <s v="GNR_ST_MSW_BP_E-33"/>
        <s v="GNR_ST_MSW_CND_E-33"/>
        <s v="GNR_CC_NGAS_BP_E-53"/>
        <s v="GNR_CC_NGAS_CND_E-51"/>
        <s v="GNR_CC_NGAS_CND_E-57"/>
        <s v="GNR_GT_NGAS_BP_E-38"/>
        <s v="GNR_GT_NGAS_CND_E-35"/>
        <s v="GNR_ST_NGAS_BP_E-31"/>
        <s v="GNR_ST_NGAS_BP_E-38"/>
        <s v="GNR_ST_NGAS_CND_E-38"/>
        <s v="GNR_GEO_HEAT_EO"/>
        <s v="GNR_BO_BGAS_E-80"/>
        <s v="GNR_ST_COAL_BP_E-40"/>
        <s v="AGG-DE4-N_ES_ELEC"/>
        <s v="AGG-DE4-N_RES_WTR_PMP"/>
        <s v="GNR_ST_FUELOIL_BP_E-35"/>
        <s v="GNR_ST_FUELOIL_BP_E-38"/>
        <s v="GNR_BO_MSW_E-80"/>
        <s v="GNR_CC_NGAS_BP_E-57"/>
        <s v="GNR_ST_NUCL_CND_E-33"/>
        <s v="AGG-DE4-S_ES_ELEC"/>
        <s v="AGG-DE4-S_RES_WTR_PMP"/>
        <s v="GNR_CC_NGAS_CND_E-43"/>
        <s v="GNR_GT_NGAS_BP_E-32"/>
        <s v="GNR_GT_NGAS_BP_E-37"/>
        <s v="GNR_GT_NGAS_CND_E-31"/>
        <s v="GNR_ST_NGAS_CND_E-36"/>
        <s v="GNR_RES_WTR_NOPMP"/>
        <s v="AGG-DE4-W_ES_ELEC"/>
        <s v="AGG-DE4-W_RES_WTR_PMP"/>
        <s v="GNR_CC_NGAS_BP_E-39"/>
        <s v="GNR_CC_NGAS_BP_E-55"/>
        <s v="GNR_CC_NGAS_CND_E-42"/>
        <s v="GNR_ENG_NGAS_CND_E-44"/>
        <s v="GNR_GT_NGAS_BP_E-39"/>
        <s v="GNR_GT_NGAS_CND_E-32"/>
        <s v="GNR_GT_NGAS_CND_E-40"/>
        <s v="GNR_ST_NGAS_BP_E-33"/>
        <s v="GNR_ST_NGAS_CND_E-39"/>
        <s v="GNR_ST_NGAS_BP_E-28"/>
        <s v="GNR_ST_WOOD_BP_E-30"/>
        <s v="GNR_ST_NGAS_BP_E-42"/>
        <s v="RIGA-TEC2_CC_NGAS_BP"/>
        <s v="RIGA-TEC2_CC_NGAS_EXT"/>
        <s v="KAUNAS_ST_MSW_BP"/>
        <s v="GNR_ST_NGAS_EXT_E-24"/>
        <s v="GNR_ST_NGAS_EXT_E-31"/>
        <s v="LIFOSA_ST_HEAT_BP"/>
        <s v="ACHEMA1_ST_NGAS_EXT"/>
        <s v="ACHEMA2_ST_NGAS_EXT"/>
        <s v="ALYTUS_ENG_NGAS_BP"/>
        <s v="GNR_ENG_NGAS_EXT_E-43"/>
        <s v="GNR_CC_NGAS_BP_E-42"/>
        <s v="SIAULIAI_ST_WOOD_BP"/>
        <s v="VILNIUS_ST_MSW_BP"/>
        <s v="GNR_CC_NGAS_CND_E-58"/>
        <s v="GNR_ST_NGAS_CON_E-38"/>
        <s v="GNR_ST_NGAS_EXT_E-39"/>
        <s v="GNR_ES_WTR_PMP"/>
        <s v="GNR_ST_COAL_CND_E-40"/>
        <s v="GNR_ST_MSW_CND_E-40"/>
        <s v="GNR_CC_NGAS_CND_E-38"/>
        <s v="GNR_ST_WOOD_CND_E-50"/>
        <s v="GHOB_LNG"/>
        <s v="GHOB_LPG"/>
        <s v="GBPR_MUNIWASTE"/>
        <s v="GHOB_MUNIWASTE"/>
        <s v="GNR_RES_WTR_PMP_MC-01"/>
        <s v="GNR_ST_BGAS_CND_E-37"/>
        <s v="BIAL-4_ST_COAL_CND"/>
        <s v="KATO_ST_COAL_BP"/>
        <s v="LAZI-1_ST_COAL_EXT"/>
        <s v="SIER-1_ST_COAL_BP"/>
        <s v="ZIEL-2_ST_COAL_BP"/>
        <s v="ZIEL-4_ST_COAL_BP"/>
        <s v="GNR_ST_MSW_BP_E-15"/>
        <s v="GNR_ST_NGAS_BP_E-15"/>
        <s v="GORZ-4_ST_NGAS_BP"/>
        <s v="NOWA-1_ST_NGAS_BP"/>
        <s v="RZES-2_ST_NGAS_BP"/>
        <s v="ZIEL-1_ST_NGAS_BP"/>
        <s v="ZIEL-3_ST_NGAS_BP"/>
        <s v="BIAL-1_ST_STRAW_BP"/>
        <s v="GNR_BO_STRAW_HO_E-100"/>
        <s v="GNR_ST_STRAW_BP_E-15"/>
        <s v="LODZ-3_ST_STRAW_EXT"/>
        <s v="GNR_ST_WOOD_EXT_E-45"/>
        <s v="LAGI-6_ST_COAL_CND"/>
        <s v="GBPR_WOODWASTE_25"/>
        <s v="GBPR_NATGAS"/>
        <s v="GBPR_WOODCHIPS_25"/>
        <s v="GBPR_WOODWASTE"/>
        <s v="GBPR_MUNIWASTE_24"/>
        <s v="GEXT_WOODWASTE_HORNEBORG"/>
        <s v="GBPR_WOODWASTE_36"/>
        <s v="GEXT_COAL_LINK"/>
        <s v="GBPR_MUNIWASTE_LINK"/>
        <s v="GBPR_RECYCLEDWOOD_SE3EL"/>
        <s v="GHOB_RECYCLEDWOOD"/>
        <s v="GBPR_WOODWASTE_ABY"/>
        <s v="GBPR_NATGAS_RYA"/>
        <s v="GBPR_WOODWASTE_GOT"/>
        <s v="GEXT_WOODWASTE"/>
        <s v="GBPR_RECYCLEDWOOD_SE3OTHER"/>
        <s v="GBPR_WOODCHIPS_37"/>
        <s v="GBPR_COAL_VARTAN"/>
        <s v="GBPR_MUNIWASTE_HOGDALEN"/>
        <s v="GBPR_WOODPELLETS_HASSELBY"/>
        <s v="GBPR_WOODWASTE_BRISTA"/>
        <s v="GNR_RES_WTR_NOPMP_MC-10"/>
        <s v="GBPR_RECYCLEDWOOD"/>
        <s v="GBPR_RECYCLEDWOOD_SE4EL"/>
        <s v="GHOB_STRAW"/>
        <s v="GBPR_MUNIWASTE_65"/>
        <s v="GBPR_NATGAS_MAL"/>
        <s v="GEXT_NATGAS_ORESUND"/>
        <s v="GBPR_MUNIWASTE_19"/>
        <s v="GNR_ST_BGAS_CND_E-45"/>
        <s v="GNR_ST_COAL_CND_E-35"/>
        <s v="GNR_CC_NGAS_CND_E-47"/>
        <s v="GNR_CC_NGAS_CND_E-52"/>
        <s v="GNR_CC_NGAS_CND_E-56"/>
        <s v="GNR_GT_NGAS_CND_E-33"/>
        <s v="GNR_GT_NGAS_CND_E-38"/>
        <s v="GNR_GT_NGAS_CND_E-41"/>
      </sharedItems>
    </cacheField>
    <cacheField name="Season" numFmtId="0" sqlType="-10">
      <sharedItems count="1">
        <s v="S02"/>
      </sharedItems>
    </cacheField>
    <cacheField name="Term" numFmtId="0" sqlType="-10">
      <sharedItems count="24">
        <s v="T007"/>
        <s v="T008"/>
        <s v="T009"/>
        <s v="T001"/>
        <s v="T002"/>
        <s v="T003"/>
        <s v="T004"/>
        <s v="T005"/>
        <s v="T006"/>
        <s v="T010"/>
        <s v="T011"/>
        <s v="T012"/>
        <s v="T013"/>
        <s v="T014"/>
        <s v="T015"/>
        <s v="T016"/>
        <s v="T017"/>
        <s v="T018"/>
        <s v="T019"/>
        <s v="T020"/>
        <s v="T021"/>
        <s v="T022"/>
        <s v="T023"/>
        <s v="T024"/>
      </sharedItems>
    </cacheField>
    <cacheField name="MJ/s" numFmtId="0" sqlType="8">
      <sharedItems containsSemiMixedTypes="0" containsString="0" containsNumber="1" minValue="3.4340659340659201E-3" maxValue="55181.578947368398"/>
    </cacheField>
    <cacheField name="MWh" numFmtId="0" sqlType="8">
      <sharedItems containsSemiMixedTypes="0" containsString="0" containsNumber="1" minValue="1.2534340659340599" maxValue="20141276.315789498"/>
    </cacheField>
    <cacheField name="GJ" numFmtId="0" sqlType="8">
      <sharedItems containsSemiMixedTypes="0" containsString="0" containsNumber="1" minValue="4.51236263736262" maxValue="72508594.736842096"/>
    </cacheField>
  </cacheFields>
  <extLst>
    <ext xmlns:x14="http://schemas.microsoft.com/office/spreadsheetml/2009/9/main" uri="{725AE2AE-9491-48be-B2B4-4EB974FC3084}">
      <x14:pivotCacheDefinition/>
    </ext>
  </extLst>
</pivotCacheDefinition>
</file>

<file path=xl/pivotCache/pivotCacheDefinition20.xml><?xml version="1.0" encoding="utf-8"?>
<pivotCacheDefinition xmlns="http://schemas.openxmlformats.org/spreadsheetml/2006/main" xmlns:r="http://schemas.openxmlformats.org/officeDocument/2006/relationships" r:id="rId1" refreshedBy="Hardi Koduvere" refreshedDate="43210.77947789352" createdVersion="6" refreshedVersion="6" minRefreshableVersion="3" recordCount="3143">
  <cacheSource type="external" connectionId="19"/>
  <cacheFields count="7">
    <cacheField name="Case" numFmtId="0" sqlType="-10">
      <sharedItems count="1">
        <s v="BASE"/>
      </sharedItems>
    </cacheField>
    <cacheField name="BaseYear" numFmtId="0" sqlType="-10">
      <sharedItems count="39">
        <s v="2012"/>
        <s v="2013"/>
        <s v="2014"/>
        <s v="2015"/>
        <s v="2016"/>
        <s v="2017"/>
        <s v="2018"/>
        <s v="2019"/>
        <s v="2020"/>
        <s v="2021"/>
        <s v="2022"/>
        <s v="2023"/>
        <s v="2024"/>
        <s v="2025"/>
        <s v="2026"/>
        <s v="2027"/>
        <s v="2028"/>
        <s v="2029"/>
        <s v="2030"/>
        <s v="2031"/>
        <s v="2032"/>
        <s v="2033"/>
        <s v="2034"/>
        <s v="2035"/>
        <s v="2036"/>
        <s v="2037"/>
        <s v="2038"/>
        <s v="2039"/>
        <s v="2040"/>
        <s v="2041"/>
        <s v="2042"/>
        <s v="2043"/>
        <s v="2044"/>
        <s v="2045"/>
        <s v="2046"/>
        <s v="2047"/>
        <s v="2048"/>
        <s v="2049"/>
        <s v="2050"/>
      </sharedItems>
    </cacheField>
    <cacheField name="ModelYear" numFmtId="0" sqlType="-10">
      <sharedItems count="39">
        <s v="2012"/>
        <s v="2013"/>
        <s v="2014"/>
        <s v="2015"/>
        <s v="2016"/>
        <s v="2017"/>
        <s v="2018"/>
        <s v="2019"/>
        <s v="2020"/>
        <s v="2021"/>
        <s v="2022"/>
        <s v="2023"/>
        <s v="2024"/>
        <s v="2025"/>
        <s v="2026"/>
        <s v="2027"/>
        <s v="2028"/>
        <s v="2029"/>
        <s v="2030"/>
        <s v="2031"/>
        <s v="2032"/>
        <s v="2033"/>
        <s v="2034"/>
        <s v="2035"/>
        <s v="2036"/>
        <s v="2037"/>
        <s v="2038"/>
        <s v="2039"/>
        <s v="2040"/>
        <s v="2041"/>
        <s v="2042"/>
        <s v="2043"/>
        <s v="2044"/>
        <s v="2045"/>
        <s v="2046"/>
        <s v="2047"/>
        <s v="2048"/>
        <s v="2049"/>
        <s v="2050"/>
      </sharedItems>
    </cacheField>
    <cacheField name="Export Region" numFmtId="0" sqlType="-10">
      <sharedItems count="22">
        <s v="DE4-E"/>
        <s v="DE4-N"/>
        <s v="DE4-S"/>
        <s v="DE4-W"/>
        <s v="DK1"/>
        <s v="DK2"/>
        <s v="EE"/>
        <s v="FIN"/>
        <s v="LT"/>
        <s v="LV"/>
        <s v="NL"/>
        <s v="NO1"/>
        <s v="NO2"/>
        <s v="NO3"/>
        <s v="NO4"/>
        <s v="NO5"/>
        <s v="PL"/>
        <s v="SE1"/>
        <s v="SE2"/>
        <s v="SE3"/>
        <s v="SE4"/>
        <s v="UK"/>
      </sharedItems>
    </cacheField>
    <cacheField name="Import Region" numFmtId="0" sqlType="-10">
      <sharedItems count="22">
        <s v="DE4-N"/>
        <s v="DE4-S"/>
        <s v="DE4-W"/>
        <s v="DK2"/>
        <s v="PL"/>
        <s v="DE4-E"/>
        <s v="DK1"/>
        <s v="SE4"/>
        <s v="NL"/>
        <s v="NO2"/>
        <s v="SE3"/>
        <s v="FIN"/>
        <s v="LV"/>
        <s v="EE"/>
        <s v="NO4"/>
        <s v="SE1"/>
        <s v="LT"/>
        <s v="UK"/>
        <s v="NO3"/>
        <s v="NO1"/>
        <s v="NO5"/>
        <s v="SE2"/>
      </sharedItems>
    </cacheField>
    <cacheField name="Capacity Type" numFmtId="0" sqlType="-10">
      <sharedItems count="2">
        <s v="Exogenous"/>
        <s v="Endogenous"/>
      </sharedItems>
    </cacheField>
    <cacheField name="MW" numFmtId="0" sqlType="8">
      <sharedItems containsSemiMixedTypes="0" containsString="0" containsNumber="1" minValue="0" maxValue="1441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8">
  <r>
    <x v="0"/>
    <x v="0"/>
    <x v="0"/>
    <x v="0"/>
    <x v="0"/>
    <s v="DK1_Large"/>
    <x v="0"/>
    <x v="0"/>
    <x v="0"/>
    <n v="1710.3633165410899"/>
  </r>
  <r>
    <x v="0"/>
    <x v="0"/>
    <x v="0"/>
    <x v="0"/>
    <x v="0"/>
    <s v="DK1_MedSmall"/>
    <x v="0"/>
    <x v="0"/>
    <x v="0"/>
    <n v="1348.8013365644699"/>
  </r>
  <r>
    <x v="0"/>
    <x v="0"/>
    <x v="0"/>
    <x v="0"/>
    <x v="0"/>
    <s v="DK1_Medium"/>
    <x v="0"/>
    <x v="0"/>
    <x v="0"/>
    <n v="2211.69686767449"/>
  </r>
  <r>
    <x v="0"/>
    <x v="0"/>
    <x v="0"/>
    <x v="0"/>
    <x v="0"/>
    <s v="DK1_Rural"/>
    <x v="0"/>
    <x v="0"/>
    <x v="0"/>
    <n v="1392.4616087484801"/>
  </r>
  <r>
    <x v="0"/>
    <x v="0"/>
    <x v="0"/>
    <x v="0"/>
    <x v="0"/>
    <s v="DK1_Small"/>
    <x v="0"/>
    <x v="0"/>
    <x v="0"/>
    <n v="57.986228395317298"/>
  </r>
  <r>
    <x v="0"/>
    <x v="0"/>
    <x v="0"/>
    <x v="0"/>
    <x v="1"/>
    <s v="DK2_Large"/>
    <x v="0"/>
    <x v="0"/>
    <x v="0"/>
    <n v="18102.985745788301"/>
  </r>
  <r>
    <x v="0"/>
    <x v="0"/>
    <x v="0"/>
    <x v="0"/>
    <x v="1"/>
    <s v="DK2_MedSmall"/>
    <x v="0"/>
    <x v="0"/>
    <x v="0"/>
    <n v="269.61899273416702"/>
  </r>
  <r>
    <x v="0"/>
    <x v="0"/>
    <x v="0"/>
    <x v="0"/>
    <x v="1"/>
    <s v="DK2_Medium"/>
    <x v="0"/>
    <x v="0"/>
    <x v="0"/>
    <n v="173.15753945730299"/>
  </r>
  <r>
    <x v="0"/>
    <x v="0"/>
    <x v="0"/>
    <x v="0"/>
    <x v="1"/>
    <s v="DK2_Rural"/>
    <x v="0"/>
    <x v="0"/>
    <x v="0"/>
    <n v="403.72592183932898"/>
  </r>
  <r>
    <x v="0"/>
    <x v="0"/>
    <x v="0"/>
    <x v="0"/>
    <x v="1"/>
    <s v="DK2_Small"/>
    <x v="0"/>
    <x v="0"/>
    <x v="0"/>
    <n v="4045.1933028919402"/>
  </r>
  <r>
    <x v="0"/>
    <x v="0"/>
    <x v="0"/>
    <x v="1"/>
    <x v="2"/>
    <s v="EE_Industry"/>
    <x v="0"/>
    <x v="0"/>
    <x v="0"/>
    <n v="12621.56423883"/>
  </r>
  <r>
    <x v="0"/>
    <x v="0"/>
    <x v="0"/>
    <x v="1"/>
    <x v="2"/>
    <s v="EE_Narva"/>
    <x v="0"/>
    <x v="0"/>
    <x v="0"/>
    <n v="3573.8837569590501"/>
  </r>
  <r>
    <x v="0"/>
    <x v="0"/>
    <x v="0"/>
    <x v="1"/>
    <x v="2"/>
    <s v="EE_Parnu"/>
    <x v="0"/>
    <x v="0"/>
    <x v="0"/>
    <n v="1648.7032778099101"/>
  </r>
  <r>
    <x v="0"/>
    <x v="0"/>
    <x v="0"/>
    <x v="1"/>
    <x v="2"/>
    <s v="EE_Tallinn"/>
    <x v="0"/>
    <x v="0"/>
    <x v="0"/>
    <n v="3706.7441867738698"/>
  </r>
  <r>
    <x v="0"/>
    <x v="0"/>
    <x v="0"/>
    <x v="2"/>
    <x v="3"/>
    <s v="FIN_EL"/>
    <x v="0"/>
    <x v="0"/>
    <x v="0"/>
    <n v="1276.8366487814001"/>
  </r>
  <r>
    <x v="0"/>
    <x v="0"/>
    <x v="0"/>
    <x v="2"/>
    <x v="3"/>
    <s v="FIN_ESPOO"/>
    <x v="0"/>
    <x v="0"/>
    <x v="0"/>
    <n v="521.00766991660396"/>
  </r>
  <r>
    <x v="0"/>
    <x v="0"/>
    <x v="0"/>
    <x v="2"/>
    <x v="3"/>
    <s v="FIN_GAS"/>
    <x v="0"/>
    <x v="0"/>
    <x v="0"/>
    <n v="694.986702948995"/>
  </r>
  <r>
    <x v="0"/>
    <x v="0"/>
    <x v="0"/>
    <x v="2"/>
    <x v="3"/>
    <s v="FIN_OTHER"/>
    <x v="0"/>
    <x v="0"/>
    <x v="0"/>
    <n v="10221.2855625131"/>
  </r>
  <r>
    <x v="0"/>
    <x v="0"/>
    <x v="0"/>
    <x v="3"/>
    <x v="4"/>
    <s v="DE4-E_A"/>
    <x v="1"/>
    <x v="1"/>
    <x v="1"/>
    <n v="1377.6438072485901"/>
  </r>
  <r>
    <x v="0"/>
    <x v="0"/>
    <x v="0"/>
    <x v="3"/>
    <x v="4"/>
    <s v="DE4-E_A"/>
    <x v="0"/>
    <x v="0"/>
    <x v="0"/>
    <n v="39454.1509406533"/>
  </r>
  <r>
    <x v="0"/>
    <x v="0"/>
    <x v="0"/>
    <x v="3"/>
    <x v="5"/>
    <s v="DE4-N_A"/>
    <x v="1"/>
    <x v="1"/>
    <x v="1"/>
    <n v="407.98511431531301"/>
  </r>
  <r>
    <x v="0"/>
    <x v="0"/>
    <x v="0"/>
    <x v="3"/>
    <x v="6"/>
    <s v="DE4-S_A"/>
    <x v="1"/>
    <x v="1"/>
    <x v="1"/>
    <n v="745.01626857324902"/>
  </r>
  <r>
    <x v="0"/>
    <x v="0"/>
    <x v="0"/>
    <x v="3"/>
    <x v="6"/>
    <s v="DE4-S_A"/>
    <x v="0"/>
    <x v="0"/>
    <x v="0"/>
    <n v="278333.95547248801"/>
  </r>
  <r>
    <x v="0"/>
    <x v="0"/>
    <x v="0"/>
    <x v="3"/>
    <x v="7"/>
    <s v="DE4-W_A"/>
    <x v="1"/>
    <x v="1"/>
    <x v="1"/>
    <n v="307.87010337370299"/>
  </r>
  <r>
    <x v="0"/>
    <x v="0"/>
    <x v="0"/>
    <x v="3"/>
    <x v="7"/>
    <s v="DE4-W_A"/>
    <x v="0"/>
    <x v="0"/>
    <x v="0"/>
    <n v="765351.86967034999"/>
  </r>
  <r>
    <x v="0"/>
    <x v="0"/>
    <x v="0"/>
    <x v="4"/>
    <x v="8"/>
    <s v="NO1_A1"/>
    <x v="0"/>
    <x v="0"/>
    <x v="0"/>
    <n v="1374.68999943772"/>
  </r>
  <r>
    <x v="0"/>
    <x v="0"/>
    <x v="0"/>
    <x v="4"/>
    <x v="8"/>
    <s v="NO1_A2"/>
    <x v="0"/>
    <x v="0"/>
    <x v="0"/>
    <n v="1981.27313837559"/>
  </r>
  <r>
    <x v="0"/>
    <x v="0"/>
    <x v="0"/>
    <x v="4"/>
    <x v="9"/>
    <s v="NO2_A1"/>
    <x v="0"/>
    <x v="0"/>
    <x v="0"/>
    <n v="28.117901656798999"/>
  </r>
  <r>
    <x v="0"/>
    <x v="0"/>
    <x v="0"/>
    <x v="5"/>
    <x v="10"/>
    <s v="SE1_OTHER"/>
    <x v="0"/>
    <x v="0"/>
    <x v="0"/>
    <n v="841.91722787304502"/>
  </r>
  <r>
    <x v="0"/>
    <x v="0"/>
    <x v="0"/>
    <x v="5"/>
    <x v="11"/>
    <s v="SE2_EL"/>
    <x v="0"/>
    <x v="0"/>
    <x v="0"/>
    <n v="10883.073586424"/>
  </r>
  <r>
    <x v="0"/>
    <x v="0"/>
    <x v="0"/>
    <x v="5"/>
    <x v="12"/>
    <s v="SE3_EL"/>
    <x v="0"/>
    <x v="0"/>
    <x v="0"/>
    <n v="8803.1176915470605"/>
  </r>
  <r>
    <x v="0"/>
    <x v="0"/>
    <x v="0"/>
    <x v="5"/>
    <x v="12"/>
    <s v="SE3_GOT"/>
    <x v="0"/>
    <x v="0"/>
    <x v="0"/>
    <n v="7609.4798919520299"/>
  </r>
  <r>
    <x v="0"/>
    <x v="0"/>
    <x v="0"/>
    <x v="5"/>
    <x v="12"/>
    <s v="SE3_OTHER"/>
    <x v="0"/>
    <x v="0"/>
    <x v="0"/>
    <n v="3118.0054230954202"/>
  </r>
  <r>
    <x v="0"/>
    <x v="0"/>
    <x v="0"/>
    <x v="5"/>
    <x v="12"/>
    <s v="SE3_STO"/>
    <x v="0"/>
    <x v="0"/>
    <x v="0"/>
    <n v="1752.77105373533"/>
  </r>
  <r>
    <x v="0"/>
    <x v="0"/>
    <x v="0"/>
    <x v="5"/>
    <x v="13"/>
    <s v="SE4_EL"/>
    <x v="0"/>
    <x v="0"/>
    <x v="0"/>
    <n v="1343.55137398802"/>
  </r>
  <r>
    <x v="0"/>
    <x v="0"/>
    <x v="0"/>
    <x v="5"/>
    <x v="13"/>
    <s v="SE4_HP"/>
    <x v="0"/>
    <x v="0"/>
    <x v="0"/>
    <n v="2551.043628292"/>
  </r>
  <r>
    <x v="0"/>
    <x v="0"/>
    <x v="0"/>
    <x v="5"/>
    <x v="13"/>
    <s v="SE4_MAL"/>
    <x v="0"/>
    <x v="0"/>
    <x v="0"/>
    <n v="4506.9656830031299"/>
  </r>
  <r>
    <x v="0"/>
    <x v="0"/>
    <x v="0"/>
    <x v="5"/>
    <x v="13"/>
    <s v="SE4_OTHER"/>
    <x v="0"/>
    <x v="0"/>
    <x v="0"/>
    <n v="36.352537313918702"/>
  </r>
</pivotCacheRecords>
</file>

<file path=xl/pivotCache/pivotCacheRecords2.xml><?xml version="1.0" encoding="utf-8"?>
<pivotCacheRecords xmlns="http://schemas.openxmlformats.org/spreadsheetml/2006/main" xmlns:r="http://schemas.openxmlformats.org/officeDocument/2006/relationships" count="529">
  <r>
    <x v="0"/>
    <x v="0"/>
    <x v="0"/>
    <x v="0"/>
    <x v="0"/>
    <s v="DK1_Large"/>
    <x v="0"/>
    <x v="0"/>
    <x v="0"/>
    <s v="GNR_ENG_BGAS_BP_E-31"/>
    <n v="0.30487804878048802"/>
    <n v="3.0487804878048802E-4"/>
  </r>
  <r>
    <x v="0"/>
    <x v="0"/>
    <x v="0"/>
    <x v="0"/>
    <x v="0"/>
    <s v="DK1_Large"/>
    <x v="0"/>
    <x v="0"/>
    <x v="0"/>
    <s v="GNR_ENG_BGAS_BP_E-36"/>
    <n v="0.98780487804878103"/>
    <n v="9.8780487804878093E-4"/>
  </r>
  <r>
    <x v="0"/>
    <x v="0"/>
    <x v="0"/>
    <x v="0"/>
    <x v="0"/>
    <s v="DK1_Large"/>
    <x v="0"/>
    <x v="0"/>
    <x v="0"/>
    <s v="GNR_ENG_BGAS_BP_E-37"/>
    <n v="1.41463414634146"/>
    <n v="1.4146341463414599E-3"/>
  </r>
  <r>
    <x v="0"/>
    <x v="0"/>
    <x v="0"/>
    <x v="0"/>
    <x v="0"/>
    <s v="DK1_Large"/>
    <x v="0"/>
    <x v="0"/>
    <x v="0"/>
    <s v="GNR_ENG_BGAS_BP_E-39"/>
    <n v="5.0182926829268304"/>
    <n v="5.0182926829268303E-3"/>
  </r>
  <r>
    <x v="0"/>
    <x v="0"/>
    <x v="0"/>
    <x v="0"/>
    <x v="0"/>
    <s v="DK1_Large"/>
    <x v="0"/>
    <x v="0"/>
    <x v="0"/>
    <s v="GNR_ENG_BGAS_BP_E-40"/>
    <n v="1.51585365853659"/>
    <n v="1.51585365853659E-3"/>
  </r>
  <r>
    <x v="0"/>
    <x v="0"/>
    <x v="0"/>
    <x v="0"/>
    <x v="0"/>
    <s v="DK1_Large"/>
    <x v="0"/>
    <x v="0"/>
    <x v="0"/>
    <s v="GNR_ENG_BGAS_BP_E-41"/>
    <n v="3.2646341463414599"/>
    <n v="3.26463414634146E-3"/>
  </r>
  <r>
    <x v="0"/>
    <x v="0"/>
    <x v="0"/>
    <x v="0"/>
    <x v="0"/>
    <s v="DK1_Large"/>
    <x v="0"/>
    <x v="0"/>
    <x v="0"/>
    <s v="GNR_ENG_BGAS_BP_E-42"/>
    <n v="3.6621951219512199"/>
    <n v="3.66219512195122E-3"/>
  </r>
  <r>
    <x v="0"/>
    <x v="0"/>
    <x v="0"/>
    <x v="0"/>
    <x v="0"/>
    <s v="DK1_Large"/>
    <x v="0"/>
    <x v="0"/>
    <x v="0"/>
    <s v="GNR_ENG_BGAS_BP_E-43"/>
    <n v="3.7158536585365902"/>
    <n v="3.7158536585365901E-3"/>
  </r>
  <r>
    <x v="0"/>
    <x v="0"/>
    <x v="0"/>
    <x v="0"/>
    <x v="0"/>
    <s v="DK1_Large"/>
    <x v="1"/>
    <x v="1"/>
    <x v="0"/>
    <s v="GNR_ST_COAL_EXT_E-42"/>
    <n v="793.33333333333303"/>
    <n v="0.793333333333333"/>
  </r>
  <r>
    <x v="0"/>
    <x v="0"/>
    <x v="0"/>
    <x v="0"/>
    <x v="0"/>
    <s v="DK1_Large"/>
    <x v="1"/>
    <x v="1"/>
    <x v="0"/>
    <s v="GNR_ST_COAL_EXT_E-43"/>
    <n v="827.77777777777806"/>
    <n v="0.82777777777777795"/>
  </r>
  <r>
    <x v="0"/>
    <x v="0"/>
    <x v="0"/>
    <x v="0"/>
    <x v="0"/>
    <s v="DK1_Large"/>
    <x v="1"/>
    <x v="1"/>
    <x v="0"/>
    <s v="GNR_ST_COAL_EXT_E-47"/>
    <n v="427.777777777778"/>
    <n v="0.42777777777777798"/>
  </r>
  <r>
    <x v="0"/>
    <x v="0"/>
    <x v="0"/>
    <x v="0"/>
    <x v="0"/>
    <s v="DK1_Large"/>
    <x v="2"/>
    <x v="2"/>
    <x v="0"/>
    <s v="GNR_BO_ELEC_E-100"/>
    <n v="128.94999999999999"/>
    <n v="128.94999999999999"/>
  </r>
  <r>
    <x v="0"/>
    <x v="0"/>
    <x v="0"/>
    <x v="0"/>
    <x v="0"/>
    <s v="DK1_Large"/>
    <x v="3"/>
    <x v="0"/>
    <x v="0"/>
    <s v="GNR_ENG_LIGHTOIL_BP_E-37"/>
    <n v="35.5555555555556"/>
    <n v="3.5555555555555597E-2"/>
  </r>
  <r>
    <x v="0"/>
    <x v="0"/>
    <x v="0"/>
    <x v="0"/>
    <x v="0"/>
    <s v="DK1_Large"/>
    <x v="4"/>
    <x v="0"/>
    <x v="0"/>
    <s v="GNR_ST_MSW_BP_E-18"/>
    <n v="9.6361684232126805"/>
    <n v="9.6361684232126807E-3"/>
  </r>
  <r>
    <x v="0"/>
    <x v="0"/>
    <x v="0"/>
    <x v="0"/>
    <x v="0"/>
    <s v="DK1_Large"/>
    <x v="4"/>
    <x v="0"/>
    <x v="0"/>
    <s v="GNR_ST_MSW_BP_E-19"/>
    <n v="30.430005546987399"/>
    <n v="3.0430005546987399E-2"/>
  </r>
  <r>
    <x v="0"/>
    <x v="0"/>
    <x v="0"/>
    <x v="0"/>
    <x v="0"/>
    <s v="DK1_Large"/>
    <x v="4"/>
    <x v="0"/>
    <x v="0"/>
    <s v="GNR_ST_MSW_BP_E-22"/>
    <n v="104.814463550734"/>
    <n v="0.104814463550734"/>
  </r>
  <r>
    <x v="0"/>
    <x v="0"/>
    <x v="0"/>
    <x v="0"/>
    <x v="0"/>
    <s v="DK1_Large"/>
    <x v="4"/>
    <x v="0"/>
    <x v="0"/>
    <s v="GNR_ST_MSW_BP_E-23"/>
    <n v="121.922888891596"/>
    <n v="0.121922888891596"/>
  </r>
  <r>
    <x v="0"/>
    <x v="0"/>
    <x v="0"/>
    <x v="0"/>
    <x v="0"/>
    <s v="DK1_Large"/>
    <x v="4"/>
    <x v="0"/>
    <x v="0"/>
    <s v="GNR_ST_MSW_BP_E-27"/>
    <n v="60.521899921230499"/>
    <n v="6.0521899921230499E-2"/>
  </r>
  <r>
    <x v="0"/>
    <x v="0"/>
    <x v="0"/>
    <x v="0"/>
    <x v="0"/>
    <s v="DK1_Large"/>
    <x v="5"/>
    <x v="0"/>
    <x v="0"/>
    <s v="GNR_ENG_NGAS_BP_E-34"/>
    <n v="1.16333333333333"/>
    <n v="1.16333333333333E-3"/>
  </r>
  <r>
    <x v="0"/>
    <x v="0"/>
    <x v="0"/>
    <x v="0"/>
    <x v="0"/>
    <s v="DK1_Large"/>
    <x v="5"/>
    <x v="0"/>
    <x v="0"/>
    <s v="GNR_ENG_NGAS_BP_E-38"/>
    <n v="3.2533333333333299"/>
    <n v="3.2533333333333299E-3"/>
  </r>
  <r>
    <x v="0"/>
    <x v="0"/>
    <x v="0"/>
    <x v="0"/>
    <x v="0"/>
    <s v="DK1_Large"/>
    <x v="5"/>
    <x v="0"/>
    <x v="0"/>
    <s v="GNR_ENG_NGAS_BP_E-39"/>
    <n v="14.9555555555556"/>
    <n v="1.49555555555556E-2"/>
  </r>
  <r>
    <x v="0"/>
    <x v="0"/>
    <x v="0"/>
    <x v="0"/>
    <x v="0"/>
    <s v="DK1_Large"/>
    <x v="5"/>
    <x v="0"/>
    <x v="0"/>
    <s v="GNR_ENG_NGAS_BP_E-40"/>
    <n v="5.7888888888888896"/>
    <n v="5.7888888888888903E-3"/>
  </r>
  <r>
    <x v="0"/>
    <x v="0"/>
    <x v="0"/>
    <x v="0"/>
    <x v="0"/>
    <s v="DK1_Large"/>
    <x v="5"/>
    <x v="0"/>
    <x v="0"/>
    <s v="GNR_ENG_NGAS_BP_E-41"/>
    <n v="4.2222222222222197"/>
    <n v="4.2222222222222201E-3"/>
  </r>
  <r>
    <x v="0"/>
    <x v="0"/>
    <x v="0"/>
    <x v="0"/>
    <x v="0"/>
    <s v="DK1_Large"/>
    <x v="5"/>
    <x v="0"/>
    <x v="0"/>
    <s v="GNR_ENG_NGAS_BP_E-42"/>
    <n v="2.5111111111111102"/>
    <n v="2.5111111111111098E-3"/>
  </r>
  <r>
    <x v="0"/>
    <x v="0"/>
    <x v="0"/>
    <x v="0"/>
    <x v="0"/>
    <s v="DK1_Large"/>
    <x v="5"/>
    <x v="0"/>
    <x v="0"/>
    <s v="GNR_ENG_NGAS_BP_E-43"/>
    <n v="9.9888888888888907"/>
    <n v="9.9888888888888892E-3"/>
  </r>
  <r>
    <x v="0"/>
    <x v="0"/>
    <x v="0"/>
    <x v="0"/>
    <x v="0"/>
    <s v="DK1_Large"/>
    <x v="5"/>
    <x v="0"/>
    <x v="0"/>
    <s v="GNR_ENG_NGAS_BP_E-44"/>
    <n v="3.4888888888888898"/>
    <n v="3.4888888888888899E-3"/>
  </r>
  <r>
    <x v="0"/>
    <x v="0"/>
    <x v="0"/>
    <x v="0"/>
    <x v="0"/>
    <s v="DK1_Large"/>
    <x v="5"/>
    <x v="0"/>
    <x v="0"/>
    <s v="GNR_ENG_NGAS_BP_E-46"/>
    <n v="3.24444444444444"/>
    <n v="3.24444444444444E-3"/>
  </r>
  <r>
    <x v="0"/>
    <x v="0"/>
    <x v="0"/>
    <x v="0"/>
    <x v="0"/>
    <s v="DK1_Large"/>
    <x v="5"/>
    <x v="0"/>
    <x v="0"/>
    <s v="GNR_GT_NGAS_BP_E-27"/>
    <n v="27.3684210526316"/>
    <n v="2.7368421052631601E-2"/>
  </r>
  <r>
    <x v="0"/>
    <x v="0"/>
    <x v="0"/>
    <x v="0"/>
    <x v="0"/>
    <s v="DK1_Large"/>
    <x v="5"/>
    <x v="1"/>
    <x v="0"/>
    <s v="GNR_ST_NGAS_EXT_E-47"/>
    <n v="450.57471264367803"/>
    <n v="0.45057471264367799"/>
  </r>
  <r>
    <x v="0"/>
    <x v="0"/>
    <x v="0"/>
    <x v="0"/>
    <x v="0"/>
    <s v="DK1_Large"/>
    <x v="6"/>
    <x v="0"/>
    <x v="0"/>
    <s v="GNR_ST_STRW_BP_E-26"/>
    <n v="69.716740415670401"/>
    <n v="6.97167404156704E-2"/>
  </r>
  <r>
    <x v="0"/>
    <x v="0"/>
    <x v="0"/>
    <x v="0"/>
    <x v="0"/>
    <s v="DK1_Large"/>
    <x v="7"/>
    <x v="0"/>
    <x v="0"/>
    <s v="GNR_ST_WOODCHI_BP_E-23"/>
    <n v="22.0588235294118"/>
    <n v="2.2058823529411801E-2"/>
  </r>
  <r>
    <x v="0"/>
    <x v="0"/>
    <x v="0"/>
    <x v="0"/>
    <x v="0"/>
    <s v="DK1_MedSmall"/>
    <x v="0"/>
    <x v="0"/>
    <x v="0"/>
    <s v="GNR_ENG_BGAS_BP_E-33"/>
    <n v="0.207317073170732"/>
    <n v="2.07317073170732E-4"/>
  </r>
  <r>
    <x v="0"/>
    <x v="0"/>
    <x v="0"/>
    <x v="0"/>
    <x v="0"/>
    <s v="DK1_MedSmall"/>
    <x v="0"/>
    <x v="0"/>
    <x v="0"/>
    <s v="GNR_ENG_BGAS_BP_E-38"/>
    <n v="0.207317073170732"/>
    <n v="2.07317073170732E-4"/>
  </r>
  <r>
    <x v="0"/>
    <x v="0"/>
    <x v="0"/>
    <x v="0"/>
    <x v="0"/>
    <s v="DK1_MedSmall"/>
    <x v="2"/>
    <x v="2"/>
    <x v="0"/>
    <s v="GNR_BO_ELEC_E-100"/>
    <n v="1"/>
    <n v="1"/>
  </r>
  <r>
    <x v="0"/>
    <x v="0"/>
    <x v="0"/>
    <x v="0"/>
    <x v="0"/>
    <s v="DK1_MedSmall"/>
    <x v="4"/>
    <x v="0"/>
    <x v="0"/>
    <s v="GNR_ST_MSW_BP_E-17"/>
    <n v="8.1146681458633108"/>
    <n v="8.1146681458633095E-3"/>
  </r>
  <r>
    <x v="0"/>
    <x v="0"/>
    <x v="0"/>
    <x v="0"/>
    <x v="0"/>
    <s v="DK1_MedSmall"/>
    <x v="4"/>
    <x v="0"/>
    <x v="0"/>
    <s v="GNR_ST_MSW_BP_E-20"/>
    <n v="11.157668700562001"/>
    <n v="1.1157668700562E-2"/>
  </r>
  <r>
    <x v="0"/>
    <x v="0"/>
    <x v="0"/>
    <x v="0"/>
    <x v="0"/>
    <s v="DK1_MedSmall"/>
    <x v="4"/>
    <x v="0"/>
    <x v="0"/>
    <s v="GNR_ST_MSW_BP_E-21"/>
    <n v="33.811117274430401"/>
    <n v="3.3811117274430397E-2"/>
  </r>
  <r>
    <x v="0"/>
    <x v="0"/>
    <x v="0"/>
    <x v="0"/>
    <x v="0"/>
    <s v="DK1_MedSmall"/>
    <x v="4"/>
    <x v="0"/>
    <x v="0"/>
    <s v="GNR_ST_MSW_BP_E-22"/>
    <n v="15.215002773493699"/>
    <n v="1.52150027734937E-2"/>
  </r>
  <r>
    <x v="0"/>
    <x v="0"/>
    <x v="0"/>
    <x v="0"/>
    <x v="0"/>
    <s v="DK1_MedSmall"/>
    <x v="4"/>
    <x v="0"/>
    <x v="0"/>
    <s v="GNR_ST_MSW_BP_E-26"/>
    <n v="23.667782092101302"/>
    <n v="2.3667782092101301E-2"/>
  </r>
  <r>
    <x v="0"/>
    <x v="0"/>
    <x v="0"/>
    <x v="0"/>
    <x v="0"/>
    <s v="DK1_MedSmall"/>
    <x v="5"/>
    <x v="0"/>
    <x v="0"/>
    <s v="GNR_ENG_NGAS_BP_E-35"/>
    <n v="0.7"/>
    <n v="6.9999999999999999E-4"/>
  </r>
  <r>
    <x v="0"/>
    <x v="0"/>
    <x v="0"/>
    <x v="0"/>
    <x v="0"/>
    <s v="DK1_MedSmall"/>
    <x v="5"/>
    <x v="0"/>
    <x v="0"/>
    <s v="GNR_ENG_NGAS_BP_E-37"/>
    <n v="1.1111111111111101"/>
    <n v="1.11111111111111E-3"/>
  </r>
  <r>
    <x v="0"/>
    <x v="0"/>
    <x v="0"/>
    <x v="0"/>
    <x v="0"/>
    <s v="DK1_MedSmall"/>
    <x v="5"/>
    <x v="0"/>
    <x v="0"/>
    <s v="GNR_ENG_NGAS_BP_E-40"/>
    <n v="13.8577777777778"/>
    <n v="1.38577777777778E-2"/>
  </r>
  <r>
    <x v="0"/>
    <x v="0"/>
    <x v="0"/>
    <x v="0"/>
    <x v="0"/>
    <s v="DK1_MedSmall"/>
    <x v="5"/>
    <x v="0"/>
    <x v="0"/>
    <s v="GNR_ENG_NGAS_BP_E-41"/>
    <n v="9.4666666666666703"/>
    <n v="9.4666666666666701E-3"/>
  </r>
  <r>
    <x v="0"/>
    <x v="0"/>
    <x v="0"/>
    <x v="0"/>
    <x v="0"/>
    <s v="DK1_MedSmall"/>
    <x v="5"/>
    <x v="0"/>
    <x v="0"/>
    <s v="GNR_ENG_NGAS_BP_E-46"/>
    <n v="2.4555555555555602"/>
    <n v="2.4555555555555602E-3"/>
  </r>
  <r>
    <x v="0"/>
    <x v="0"/>
    <x v="0"/>
    <x v="0"/>
    <x v="0"/>
    <s v="DK1_MedSmall"/>
    <x v="5"/>
    <x v="0"/>
    <x v="0"/>
    <s v="GNR_GT_NGAS_BP_E-31"/>
    <n v="17.894736842105299"/>
    <n v="1.78947368421053E-2"/>
  </r>
  <r>
    <x v="0"/>
    <x v="0"/>
    <x v="0"/>
    <x v="0"/>
    <x v="0"/>
    <s v="DK1_MedSmall"/>
    <x v="6"/>
    <x v="0"/>
    <x v="0"/>
    <s v="GNR_ST_STRW_BP_E-21"/>
    <n v="39.356224428201102"/>
    <n v="3.9356224428201102E-2"/>
  </r>
  <r>
    <x v="0"/>
    <x v="0"/>
    <x v="0"/>
    <x v="0"/>
    <x v="0"/>
    <s v="DK1_Medium"/>
    <x v="0"/>
    <x v="0"/>
    <x v="0"/>
    <s v="GNR_ENG_BGAS_BP_E-32"/>
    <n v="0.353658536585366"/>
    <n v="3.5365853658536601E-4"/>
  </r>
  <r>
    <x v="0"/>
    <x v="0"/>
    <x v="0"/>
    <x v="0"/>
    <x v="0"/>
    <s v="DK1_Medium"/>
    <x v="0"/>
    <x v="0"/>
    <x v="0"/>
    <s v="GNR_ENG_BGAS_BP_E-34"/>
    <n v="0.78048780487804903"/>
    <n v="7.8048780487804904E-4"/>
  </r>
  <r>
    <x v="0"/>
    <x v="0"/>
    <x v="0"/>
    <x v="0"/>
    <x v="0"/>
    <s v="DK1_Medium"/>
    <x v="0"/>
    <x v="0"/>
    <x v="0"/>
    <s v="GNR_ENG_BGAS_BP_E-35"/>
    <n v="0.46341463414634099"/>
    <n v="4.6341463414634101E-4"/>
  </r>
  <r>
    <x v="0"/>
    <x v="0"/>
    <x v="0"/>
    <x v="0"/>
    <x v="0"/>
    <s v="DK1_Medium"/>
    <x v="0"/>
    <x v="0"/>
    <x v="0"/>
    <s v="GNR_ENG_BGAS_BP_E-37"/>
    <n v="3.0487804878048799"/>
    <n v="3.0487804878048799E-3"/>
  </r>
  <r>
    <x v="0"/>
    <x v="0"/>
    <x v="0"/>
    <x v="0"/>
    <x v="0"/>
    <s v="DK1_Medium"/>
    <x v="0"/>
    <x v="0"/>
    <x v="0"/>
    <s v="GNR_ENG_BGAS_BP_E-39"/>
    <n v="0.76829268292682895"/>
    <n v="7.6829268292682897E-4"/>
  </r>
  <r>
    <x v="0"/>
    <x v="0"/>
    <x v="0"/>
    <x v="0"/>
    <x v="0"/>
    <s v="DK1_Medium"/>
    <x v="0"/>
    <x v="0"/>
    <x v="0"/>
    <s v="GNR_ENG_BGAS_BP_E-41"/>
    <n v="4.0451219512195102"/>
    <n v="4.0451219512195099E-3"/>
  </r>
  <r>
    <x v="0"/>
    <x v="0"/>
    <x v="0"/>
    <x v="0"/>
    <x v="0"/>
    <s v="DK1_Medium"/>
    <x v="0"/>
    <x v="0"/>
    <x v="0"/>
    <s v="GNR_ENG_BGAS_BP_E-42"/>
    <n v="0.74390243902439002"/>
    <n v="7.4390243902439004E-4"/>
  </r>
  <r>
    <x v="0"/>
    <x v="0"/>
    <x v="0"/>
    <x v="0"/>
    <x v="0"/>
    <s v="DK1_Medium"/>
    <x v="2"/>
    <x v="2"/>
    <x v="0"/>
    <s v="GNR_BO_ELEC_E-100"/>
    <n v="30"/>
    <n v="30"/>
  </r>
  <r>
    <x v="0"/>
    <x v="0"/>
    <x v="0"/>
    <x v="0"/>
    <x v="0"/>
    <s v="DK1_Medium"/>
    <x v="4"/>
    <x v="0"/>
    <x v="0"/>
    <s v="GNR_ST_MSW_BP_E-18"/>
    <n v="23.667782092101302"/>
    <n v="2.3667782092101301E-2"/>
  </r>
  <r>
    <x v="0"/>
    <x v="0"/>
    <x v="0"/>
    <x v="0"/>
    <x v="0"/>
    <s v="DK1_Medium"/>
    <x v="4"/>
    <x v="0"/>
    <x v="0"/>
    <s v="GNR_ST_MSW_BP_E-21"/>
    <n v="91.290016640962193"/>
    <n v="9.1290016640962202E-2"/>
  </r>
  <r>
    <x v="0"/>
    <x v="0"/>
    <x v="0"/>
    <x v="0"/>
    <x v="0"/>
    <s v="DK1_Medium"/>
    <x v="4"/>
    <x v="0"/>
    <x v="0"/>
    <s v="GNR_ST_MSW_BP_E-22"/>
    <n v="211.65759413793501"/>
    <n v="0.211657594137935"/>
  </r>
  <r>
    <x v="0"/>
    <x v="0"/>
    <x v="0"/>
    <x v="0"/>
    <x v="0"/>
    <s v="DK1_Medium"/>
    <x v="5"/>
    <x v="0"/>
    <x v="0"/>
    <s v="GNR_ENG_NGAS_BP_E-34"/>
    <n v="0.73333333333333295"/>
    <n v="7.3333333333333302E-4"/>
  </r>
  <r>
    <x v="0"/>
    <x v="0"/>
    <x v="0"/>
    <x v="0"/>
    <x v="0"/>
    <s v="DK1_Medium"/>
    <x v="5"/>
    <x v="0"/>
    <x v="0"/>
    <s v="GNR_ENG_NGAS_BP_E-36"/>
    <n v="2.2999999999999998"/>
    <n v="2.3E-3"/>
  </r>
  <r>
    <x v="0"/>
    <x v="0"/>
    <x v="0"/>
    <x v="0"/>
    <x v="0"/>
    <s v="DK1_Medium"/>
    <x v="5"/>
    <x v="0"/>
    <x v="0"/>
    <s v="GNR_ENG_NGAS_BP_E-40"/>
    <n v="1.4777777777777801"/>
    <n v="1.4777777777777799E-3"/>
  </r>
  <r>
    <x v="0"/>
    <x v="0"/>
    <x v="0"/>
    <x v="0"/>
    <x v="0"/>
    <s v="DK1_Medium"/>
    <x v="5"/>
    <x v="0"/>
    <x v="0"/>
    <s v="GNR_ENG_NGAS_BP_E-41"/>
    <n v="4.7777777777777803"/>
    <n v="4.7777777777777801E-3"/>
  </r>
  <r>
    <x v="0"/>
    <x v="0"/>
    <x v="0"/>
    <x v="0"/>
    <x v="0"/>
    <s v="DK1_Medium"/>
    <x v="5"/>
    <x v="0"/>
    <x v="0"/>
    <s v="GNR_ENG_NGAS_BP_E-42"/>
    <n v="11.1444444444444"/>
    <n v="1.11444444444444E-2"/>
  </r>
  <r>
    <x v="0"/>
    <x v="0"/>
    <x v="0"/>
    <x v="0"/>
    <x v="0"/>
    <s v="DK1_Medium"/>
    <x v="5"/>
    <x v="0"/>
    <x v="0"/>
    <s v="GNR_ENG_NGAS_BP_E-43"/>
    <n v="1.5777777777777799"/>
    <n v="1.5777777777777799E-3"/>
  </r>
  <r>
    <x v="0"/>
    <x v="0"/>
    <x v="0"/>
    <x v="0"/>
    <x v="0"/>
    <s v="DK1_Medium"/>
    <x v="5"/>
    <x v="0"/>
    <x v="0"/>
    <s v="GNR_ENG_NGAS_BP_E-44"/>
    <n v="5.2"/>
    <n v="5.1999999999999998E-3"/>
  </r>
  <r>
    <x v="0"/>
    <x v="0"/>
    <x v="0"/>
    <x v="0"/>
    <x v="0"/>
    <s v="DK1_Medium"/>
    <x v="5"/>
    <x v="0"/>
    <x v="0"/>
    <s v="GNR_GT_NGAS_BP_E-31"/>
    <n v="9.4736842105263204"/>
    <n v="9.4736842105263199E-3"/>
  </r>
  <r>
    <x v="0"/>
    <x v="0"/>
    <x v="0"/>
    <x v="0"/>
    <x v="0"/>
    <s v="DK1_Medium"/>
    <x v="5"/>
    <x v="0"/>
    <x v="0"/>
    <s v="GNR_GT_NGAS_BP_E-43"/>
    <n v="86.473684210526301"/>
    <n v="8.64736842105263E-2"/>
  </r>
  <r>
    <x v="0"/>
    <x v="0"/>
    <x v="0"/>
    <x v="0"/>
    <x v="0"/>
    <s v="DK1_Medium"/>
    <x v="5"/>
    <x v="0"/>
    <x v="0"/>
    <s v="GNR_GT_NGAS_BP_E-44"/>
    <n v="60"/>
    <n v="0.06"/>
  </r>
  <r>
    <x v="0"/>
    <x v="0"/>
    <x v="0"/>
    <x v="0"/>
    <x v="0"/>
    <s v="DK1_Medium"/>
    <x v="5"/>
    <x v="0"/>
    <x v="0"/>
    <s v="GNR_GT_NGAS_BP_E-47"/>
    <n v="114.26315789473701"/>
    <n v="0.114263157894737"/>
  </r>
  <r>
    <x v="0"/>
    <x v="0"/>
    <x v="0"/>
    <x v="0"/>
    <x v="0"/>
    <s v="DK1_Medium"/>
    <x v="7"/>
    <x v="0"/>
    <x v="0"/>
    <s v="GNR_ST_WOODCHI_BP_E-27"/>
    <n v="152.941176470588"/>
    <n v="0.152941176470588"/>
  </r>
  <r>
    <x v="0"/>
    <x v="0"/>
    <x v="0"/>
    <x v="0"/>
    <x v="0"/>
    <s v="DK1_Medium"/>
    <x v="7"/>
    <x v="0"/>
    <x v="0"/>
    <s v="GNR_ST_WOODCHI_BP_E-30"/>
    <n v="265.88235294117601"/>
    <n v="0.26588235294117601"/>
  </r>
  <r>
    <x v="0"/>
    <x v="0"/>
    <x v="0"/>
    <x v="0"/>
    <x v="0"/>
    <s v="DK1_NoDH"/>
    <x v="0"/>
    <x v="0"/>
    <x v="0"/>
    <s v="GNR_ENG_BGAS_BP_E-30"/>
    <n v="0.52439024390243905"/>
    <n v="5.2439024390243895E-4"/>
  </r>
  <r>
    <x v="0"/>
    <x v="0"/>
    <x v="0"/>
    <x v="0"/>
    <x v="0"/>
    <s v="DK1_NoDH"/>
    <x v="0"/>
    <x v="0"/>
    <x v="0"/>
    <s v="GNR_ENG_BGAS_BP_E-31"/>
    <n v="0.57317073170731703"/>
    <n v="5.7317073170731704E-4"/>
  </r>
  <r>
    <x v="0"/>
    <x v="0"/>
    <x v="0"/>
    <x v="0"/>
    <x v="0"/>
    <s v="DK1_NoDH"/>
    <x v="0"/>
    <x v="0"/>
    <x v="0"/>
    <s v="GNR_ENG_BGAS_BP_E-32"/>
    <n v="1.4512195121951199"/>
    <n v="1.45121951219512E-3"/>
  </r>
  <r>
    <x v="0"/>
    <x v="0"/>
    <x v="0"/>
    <x v="0"/>
    <x v="0"/>
    <s v="DK1_NoDH"/>
    <x v="0"/>
    <x v="0"/>
    <x v="0"/>
    <s v="GNR_ENG_BGAS_BP_E-33"/>
    <n v="1.1219512195121999"/>
    <n v="1.1219512195122E-3"/>
  </r>
  <r>
    <x v="0"/>
    <x v="0"/>
    <x v="0"/>
    <x v="0"/>
    <x v="0"/>
    <s v="DK1_NoDH"/>
    <x v="0"/>
    <x v="0"/>
    <x v="0"/>
    <s v="GNR_ENG_BGAS_BP_E-34"/>
    <n v="3.5024390243902399"/>
    <n v="3.5024390243902398E-3"/>
  </r>
  <r>
    <x v="0"/>
    <x v="0"/>
    <x v="0"/>
    <x v="0"/>
    <x v="0"/>
    <s v="DK1_NoDH"/>
    <x v="0"/>
    <x v="0"/>
    <x v="0"/>
    <s v="GNR_ENG_BGAS_BP_E-35"/>
    <n v="2.6707317073170702"/>
    <n v="2.6707317073170699E-3"/>
  </r>
  <r>
    <x v="0"/>
    <x v="0"/>
    <x v="0"/>
    <x v="0"/>
    <x v="0"/>
    <s v="DK1_NoDH"/>
    <x v="0"/>
    <x v="0"/>
    <x v="0"/>
    <s v="GNR_ENG_BGAS_BP_E-36"/>
    <n v="2.5365853658536599"/>
    <n v="2.5365853658536599E-3"/>
  </r>
  <r>
    <x v="0"/>
    <x v="0"/>
    <x v="0"/>
    <x v="0"/>
    <x v="0"/>
    <s v="DK1_NoDH"/>
    <x v="0"/>
    <x v="0"/>
    <x v="0"/>
    <s v="GNR_ENG_BGAS_BP_E-37"/>
    <n v="5.3060975609756103"/>
    <n v="5.3060975609756098E-3"/>
  </r>
  <r>
    <x v="0"/>
    <x v="0"/>
    <x v="0"/>
    <x v="0"/>
    <x v="0"/>
    <s v="DK1_NoDH"/>
    <x v="0"/>
    <x v="0"/>
    <x v="0"/>
    <s v="GNR_ENG_BGAS_BP_E-38"/>
    <n v="0.23170731707317099"/>
    <n v="2.3170731707317099E-4"/>
  </r>
  <r>
    <x v="0"/>
    <x v="0"/>
    <x v="0"/>
    <x v="0"/>
    <x v="0"/>
    <s v="DK1_NoDH"/>
    <x v="0"/>
    <x v="0"/>
    <x v="0"/>
    <s v="GNR_ENG_BGAS_BP_E-39"/>
    <n v="1.41463414634146"/>
    <n v="1.4146341463414599E-3"/>
  </r>
  <r>
    <x v="0"/>
    <x v="0"/>
    <x v="0"/>
    <x v="0"/>
    <x v="0"/>
    <s v="DK1_NoDH"/>
    <x v="0"/>
    <x v="0"/>
    <x v="0"/>
    <s v="GNR_ENG_BGAS_BP_E-40"/>
    <n v="3.1707317073170702"/>
    <n v="3.1707317073170699E-3"/>
  </r>
  <r>
    <x v="0"/>
    <x v="0"/>
    <x v="0"/>
    <x v="0"/>
    <x v="0"/>
    <s v="DK1_NoDH"/>
    <x v="0"/>
    <x v="0"/>
    <x v="0"/>
    <s v="GNR_ENG_BGAS_BP_E-42"/>
    <n v="1.7073170731707299"/>
    <n v="1.70731707317073E-3"/>
  </r>
  <r>
    <x v="0"/>
    <x v="0"/>
    <x v="0"/>
    <x v="0"/>
    <x v="0"/>
    <s v="DK1_NoDH"/>
    <x v="0"/>
    <x v="0"/>
    <x v="0"/>
    <s v="GNR_ENG_BGAS_BP_E-43"/>
    <n v="7.3170731707317103"/>
    <n v="7.3170731707317103E-3"/>
  </r>
  <r>
    <x v="0"/>
    <x v="0"/>
    <x v="0"/>
    <x v="0"/>
    <x v="0"/>
    <s v="DK1_NoDH"/>
    <x v="8"/>
    <x v="0"/>
    <x v="0"/>
    <s v="GNR_ST_FUELOIL_BP_E-34"/>
    <n v="6.1142857142857103"/>
    <n v="6.1142857142857101E-3"/>
  </r>
  <r>
    <x v="0"/>
    <x v="0"/>
    <x v="0"/>
    <x v="0"/>
    <x v="0"/>
    <s v="DK1_NoDH"/>
    <x v="5"/>
    <x v="0"/>
    <x v="0"/>
    <s v="GNR_ENG_NGAS_BP_E-33"/>
    <n v="0.15"/>
    <n v="1.4999999999999999E-4"/>
  </r>
  <r>
    <x v="0"/>
    <x v="0"/>
    <x v="0"/>
    <x v="0"/>
    <x v="0"/>
    <s v="DK1_NoDH"/>
    <x v="5"/>
    <x v="0"/>
    <x v="0"/>
    <s v="GNR_ENG_NGAS_BP_E-35"/>
    <n v="2.0444444444444398"/>
    <n v="2.0444444444444399E-3"/>
  </r>
  <r>
    <x v="0"/>
    <x v="0"/>
    <x v="0"/>
    <x v="0"/>
    <x v="0"/>
    <s v="DK1_NoDH"/>
    <x v="5"/>
    <x v="0"/>
    <x v="0"/>
    <s v="GNR_ENG_NGAS_BP_E-36"/>
    <n v="3.74444444444444"/>
    <n v="3.74444444444444E-3"/>
  </r>
  <r>
    <x v="0"/>
    <x v="0"/>
    <x v="0"/>
    <x v="0"/>
    <x v="0"/>
    <s v="DK1_NoDH"/>
    <x v="5"/>
    <x v="0"/>
    <x v="0"/>
    <s v="GNR_ENG_NGAS_BP_E-37"/>
    <n v="40.955555555555598"/>
    <n v="4.0955555555555599E-2"/>
  </r>
  <r>
    <x v="0"/>
    <x v="0"/>
    <x v="0"/>
    <x v="0"/>
    <x v="0"/>
    <s v="DK1_NoDH"/>
    <x v="5"/>
    <x v="0"/>
    <x v="0"/>
    <s v="GNR_ENG_NGAS_BP_E-38"/>
    <n v="13.733333333333301"/>
    <n v="1.3733333333333301E-2"/>
  </r>
  <r>
    <x v="0"/>
    <x v="0"/>
    <x v="0"/>
    <x v="0"/>
    <x v="0"/>
    <s v="DK1_NoDH"/>
    <x v="5"/>
    <x v="0"/>
    <x v="0"/>
    <s v="GNR_ENG_NGAS_BP_E-39"/>
    <n v="12.588888888888899"/>
    <n v="1.2588888888888899E-2"/>
  </r>
  <r>
    <x v="0"/>
    <x v="0"/>
    <x v="0"/>
    <x v="0"/>
    <x v="0"/>
    <s v="DK1_NoDH"/>
    <x v="5"/>
    <x v="0"/>
    <x v="0"/>
    <s v="GNR_ENG_NGAS_BP_E-40"/>
    <n v="3.1333333333333302"/>
    <n v="3.13333333333333E-3"/>
  </r>
  <r>
    <x v="0"/>
    <x v="0"/>
    <x v="0"/>
    <x v="0"/>
    <x v="0"/>
    <s v="DK1_NoDH"/>
    <x v="5"/>
    <x v="0"/>
    <x v="0"/>
    <s v="GNR_ENG_NGAS_BP_E-41"/>
    <n v="8.7888888888888896"/>
    <n v="8.7888888888888895E-3"/>
  </r>
  <r>
    <x v="0"/>
    <x v="0"/>
    <x v="0"/>
    <x v="0"/>
    <x v="0"/>
    <s v="DK1_NoDH"/>
    <x v="5"/>
    <x v="0"/>
    <x v="0"/>
    <s v="GNR_ENG_NGAS_BP_E-42"/>
    <n v="12.3555555555556"/>
    <n v="1.23555555555556E-2"/>
  </r>
  <r>
    <x v="0"/>
    <x v="0"/>
    <x v="0"/>
    <x v="0"/>
    <x v="0"/>
    <s v="DK1_NoDH"/>
    <x v="5"/>
    <x v="0"/>
    <x v="0"/>
    <s v="GNR_ENG_NGAS_BP_E-43"/>
    <n v="13.7122222222222"/>
    <n v="1.37122222222222E-2"/>
  </r>
  <r>
    <x v="0"/>
    <x v="0"/>
    <x v="0"/>
    <x v="0"/>
    <x v="0"/>
    <s v="DK1_NoDH"/>
    <x v="5"/>
    <x v="0"/>
    <x v="0"/>
    <s v="GNR_ENG_NGAS_BP_E-46"/>
    <n v="5.3388888888888903"/>
    <n v="5.3388888888888904E-3"/>
  </r>
  <r>
    <x v="0"/>
    <x v="0"/>
    <x v="0"/>
    <x v="0"/>
    <x v="0"/>
    <s v="DK1_NoDH"/>
    <x v="5"/>
    <x v="0"/>
    <x v="0"/>
    <s v="GNR_GT_NGAS_BP_E-28"/>
    <n v="36.7368421052632"/>
    <n v="3.67368421052632E-2"/>
  </r>
  <r>
    <x v="0"/>
    <x v="0"/>
    <x v="0"/>
    <x v="0"/>
    <x v="0"/>
    <s v="DK1_NoDH"/>
    <x v="5"/>
    <x v="0"/>
    <x v="0"/>
    <s v="GNR_GT_NGAS_BP_E-33"/>
    <n v="5.5789473684210504"/>
    <n v="5.5789473684210496E-3"/>
  </r>
  <r>
    <x v="0"/>
    <x v="0"/>
    <x v="0"/>
    <x v="0"/>
    <x v="0"/>
    <s v="DK1_NoDH"/>
    <x v="5"/>
    <x v="0"/>
    <x v="0"/>
    <s v="GNR_GT_NGAS_BP_E-36"/>
    <n v="4.2105263157894699"/>
    <n v="4.2105263157894701E-3"/>
  </r>
  <r>
    <x v="0"/>
    <x v="0"/>
    <x v="0"/>
    <x v="0"/>
    <x v="0"/>
    <s v="DK1_Rural"/>
    <x v="0"/>
    <x v="0"/>
    <x v="0"/>
    <s v="GNR_ENG_BGAS_BP_E-30"/>
    <n v="7.3170731707317103"/>
    <n v="7.3170731707317103E-3"/>
  </r>
  <r>
    <x v="0"/>
    <x v="0"/>
    <x v="0"/>
    <x v="0"/>
    <x v="0"/>
    <s v="DK1_Rural"/>
    <x v="0"/>
    <x v="0"/>
    <x v="0"/>
    <s v="GNR_ENG_BGAS_BP_E-34"/>
    <n v="1.2597560975609801"/>
    <n v="1.25975609756098E-3"/>
  </r>
  <r>
    <x v="0"/>
    <x v="0"/>
    <x v="0"/>
    <x v="0"/>
    <x v="0"/>
    <s v="DK1_Rural"/>
    <x v="0"/>
    <x v="0"/>
    <x v="0"/>
    <s v="GNR_ENG_BGAS_BP_E-35"/>
    <n v="1.2804878048780499"/>
    <n v="1.2804878048780499E-3"/>
  </r>
  <r>
    <x v="0"/>
    <x v="0"/>
    <x v="0"/>
    <x v="0"/>
    <x v="0"/>
    <s v="DK1_Rural"/>
    <x v="0"/>
    <x v="0"/>
    <x v="0"/>
    <s v="GNR_ENG_BGAS_BP_E-37"/>
    <n v="6.0914634146341502"/>
    <n v="6.09146341463415E-3"/>
  </r>
  <r>
    <x v="0"/>
    <x v="0"/>
    <x v="0"/>
    <x v="0"/>
    <x v="0"/>
    <s v="DK1_Rural"/>
    <x v="0"/>
    <x v="0"/>
    <x v="0"/>
    <s v="GNR_ENG_BGAS_BP_E-38"/>
    <n v="0.97560975609756095"/>
    <n v="9.7560975609756097E-4"/>
  </r>
  <r>
    <x v="0"/>
    <x v="0"/>
    <x v="0"/>
    <x v="0"/>
    <x v="0"/>
    <s v="DK1_Rural"/>
    <x v="0"/>
    <x v="0"/>
    <x v="0"/>
    <s v="GNR_ENG_BGAS_BP_E-39"/>
    <n v="4.4146341463414602"/>
    <n v="4.4146341463414604E-3"/>
  </r>
  <r>
    <x v="0"/>
    <x v="0"/>
    <x v="0"/>
    <x v="0"/>
    <x v="0"/>
    <s v="DK1_Rural"/>
    <x v="0"/>
    <x v="0"/>
    <x v="0"/>
    <s v="GNR_ENG_BGAS_BP_E-40"/>
    <n v="7.6097560975609797"/>
    <n v="7.6097560975609798E-3"/>
  </r>
  <r>
    <x v="0"/>
    <x v="0"/>
    <x v="0"/>
    <x v="0"/>
    <x v="0"/>
    <s v="DK1_Rural"/>
    <x v="0"/>
    <x v="0"/>
    <x v="0"/>
    <s v="GNR_ENG_BGAS_BP_E-41"/>
    <n v="2.5378048780487799"/>
    <n v="2.5378048780487798E-3"/>
  </r>
  <r>
    <x v="0"/>
    <x v="0"/>
    <x v="0"/>
    <x v="0"/>
    <x v="0"/>
    <s v="DK1_Rural"/>
    <x v="0"/>
    <x v="0"/>
    <x v="0"/>
    <s v="GNR_ENG_BGAS_BP_E-42"/>
    <n v="10.402439024390199"/>
    <n v="1.0402439024390199E-2"/>
  </r>
  <r>
    <x v="0"/>
    <x v="0"/>
    <x v="0"/>
    <x v="0"/>
    <x v="0"/>
    <s v="DK1_Rural"/>
    <x v="0"/>
    <x v="0"/>
    <x v="0"/>
    <s v="GNR_ENG_BGAS_BP_E-43"/>
    <n v="6.2682926829268304"/>
    <n v="6.2682926829268296E-3"/>
  </r>
  <r>
    <x v="0"/>
    <x v="0"/>
    <x v="0"/>
    <x v="0"/>
    <x v="0"/>
    <s v="DK1_Rural"/>
    <x v="2"/>
    <x v="2"/>
    <x v="0"/>
    <s v="GNR_BO_ELEC_E-100"/>
    <n v="231.41"/>
    <n v="231.41"/>
  </r>
  <r>
    <x v="0"/>
    <x v="0"/>
    <x v="0"/>
    <x v="0"/>
    <x v="0"/>
    <s v="DK1_Rural"/>
    <x v="2"/>
    <x v="2"/>
    <x v="0"/>
    <s v="GNR_BO_ELEC_E-99"/>
    <n v="19.850000000000001"/>
    <n v="19.850000000000001"/>
  </r>
  <r>
    <x v="0"/>
    <x v="0"/>
    <x v="0"/>
    <x v="0"/>
    <x v="0"/>
    <s v="DK1_Rural"/>
    <x v="2"/>
    <x v="2"/>
    <x v="0"/>
    <s v="GNR_HP_ELEC_COP-300"/>
    <n v="1.5"/>
    <n v="1.5"/>
  </r>
  <r>
    <x v="0"/>
    <x v="0"/>
    <x v="0"/>
    <x v="0"/>
    <x v="0"/>
    <s v="DK1_Rural"/>
    <x v="2"/>
    <x v="2"/>
    <x v="0"/>
    <s v="GNR_HP_ELEC_COP-350"/>
    <n v="2.1890000000000001"/>
    <n v="2.1890000000000001"/>
  </r>
  <r>
    <x v="0"/>
    <x v="0"/>
    <x v="0"/>
    <x v="0"/>
    <x v="0"/>
    <s v="DK1_Rural"/>
    <x v="2"/>
    <x v="2"/>
    <x v="0"/>
    <s v="GNR_HP_ELEC_COP-400"/>
    <n v="2.048"/>
    <n v="2.048"/>
  </r>
  <r>
    <x v="0"/>
    <x v="0"/>
    <x v="0"/>
    <x v="0"/>
    <x v="0"/>
    <s v="DK1_Rural"/>
    <x v="2"/>
    <x v="2"/>
    <x v="0"/>
    <s v="GNR_HP_ELEC_COP-430"/>
    <n v="1.3"/>
    <n v="1.3"/>
  </r>
  <r>
    <x v="0"/>
    <x v="0"/>
    <x v="0"/>
    <x v="0"/>
    <x v="0"/>
    <s v="DK1_Rural"/>
    <x v="2"/>
    <x v="2"/>
    <x v="0"/>
    <s v="GNR_HP_ELEC_COP-450"/>
    <n v="0.54"/>
    <n v="0.54"/>
  </r>
  <r>
    <x v="0"/>
    <x v="0"/>
    <x v="0"/>
    <x v="0"/>
    <x v="0"/>
    <s v="DK1_Rural"/>
    <x v="2"/>
    <x v="2"/>
    <x v="0"/>
    <s v="GNR_HP_ELEC_COP-460"/>
    <n v="3.6"/>
    <n v="3.6"/>
  </r>
  <r>
    <x v="0"/>
    <x v="0"/>
    <x v="0"/>
    <x v="0"/>
    <x v="0"/>
    <s v="DK1_Rural"/>
    <x v="2"/>
    <x v="2"/>
    <x v="0"/>
    <s v="GNR_HP_ELEC_COP-470"/>
    <n v="0.95"/>
    <n v="0.95"/>
  </r>
  <r>
    <x v="0"/>
    <x v="0"/>
    <x v="0"/>
    <x v="0"/>
    <x v="0"/>
    <s v="DK1_Rural"/>
    <x v="2"/>
    <x v="2"/>
    <x v="0"/>
    <s v="GNR_HP_ELEC_COP-500"/>
    <n v="0.5"/>
    <n v="0.5"/>
  </r>
  <r>
    <x v="0"/>
    <x v="0"/>
    <x v="0"/>
    <x v="0"/>
    <x v="0"/>
    <s v="DK1_Rural"/>
    <x v="2"/>
    <x v="2"/>
    <x v="0"/>
    <s v="GNR_HP_ELEC_COP-530"/>
    <n v="1.35"/>
    <n v="1.35"/>
  </r>
  <r>
    <x v="0"/>
    <x v="0"/>
    <x v="0"/>
    <x v="0"/>
    <x v="0"/>
    <s v="DK1_Rural"/>
    <x v="2"/>
    <x v="2"/>
    <x v="0"/>
    <s v="GNR_HP_ELEC_COP-600"/>
    <n v="0.3"/>
    <n v="0.3"/>
  </r>
  <r>
    <x v="0"/>
    <x v="0"/>
    <x v="0"/>
    <x v="0"/>
    <x v="0"/>
    <s v="DK1_Rural"/>
    <x v="3"/>
    <x v="0"/>
    <x v="0"/>
    <s v="GNR_ENG_LIGHTOIL_BP_E-35"/>
    <n v="2.8222222222222202"/>
    <n v="2.8222222222222199E-3"/>
  </r>
  <r>
    <x v="0"/>
    <x v="0"/>
    <x v="0"/>
    <x v="0"/>
    <x v="0"/>
    <s v="DK1_Rural"/>
    <x v="3"/>
    <x v="0"/>
    <x v="0"/>
    <s v="GNR_ENG_LIGHTOIL_BP_E-37"/>
    <n v="17.7777777777778"/>
    <n v="1.7777777777777799E-2"/>
  </r>
  <r>
    <x v="0"/>
    <x v="0"/>
    <x v="0"/>
    <x v="0"/>
    <x v="0"/>
    <s v="DK1_Rural"/>
    <x v="5"/>
    <x v="0"/>
    <x v="0"/>
    <s v="GNR_ENG_NGAS_BP_E-33"/>
    <n v="5"/>
    <n v="5.0000000000000001E-3"/>
  </r>
  <r>
    <x v="0"/>
    <x v="0"/>
    <x v="0"/>
    <x v="0"/>
    <x v="0"/>
    <s v="DK1_Rural"/>
    <x v="5"/>
    <x v="0"/>
    <x v="0"/>
    <s v="GNR_ENG_NGAS_BP_E-34"/>
    <n v="5.1444444444444404"/>
    <n v="5.1444444444444402E-3"/>
  </r>
  <r>
    <x v="0"/>
    <x v="0"/>
    <x v="0"/>
    <x v="0"/>
    <x v="0"/>
    <s v="DK1_Rural"/>
    <x v="5"/>
    <x v="0"/>
    <x v="0"/>
    <s v="GNR_ENG_NGAS_BP_E-36"/>
    <n v="24.677777777777798"/>
    <n v="2.4677777777777798E-2"/>
  </r>
  <r>
    <x v="0"/>
    <x v="0"/>
    <x v="0"/>
    <x v="0"/>
    <x v="0"/>
    <s v="DK1_Rural"/>
    <x v="5"/>
    <x v="0"/>
    <x v="0"/>
    <s v="GNR_ENG_NGAS_BP_E-37"/>
    <n v="25.788888888888899"/>
    <n v="2.5788888888888899E-2"/>
  </r>
  <r>
    <x v="0"/>
    <x v="0"/>
    <x v="0"/>
    <x v="0"/>
    <x v="0"/>
    <s v="DK1_Rural"/>
    <x v="5"/>
    <x v="0"/>
    <x v="0"/>
    <s v="GNR_ENG_NGAS_BP_E-38"/>
    <n v="51.988888888888901"/>
    <n v="5.1988888888888897E-2"/>
  </r>
  <r>
    <x v="0"/>
    <x v="0"/>
    <x v="0"/>
    <x v="0"/>
    <x v="0"/>
    <s v="DK1_Rural"/>
    <x v="5"/>
    <x v="0"/>
    <x v="0"/>
    <s v="GNR_ENG_NGAS_BP_E-39"/>
    <n v="62.422222222222203"/>
    <n v="6.2422222222222198E-2"/>
  </r>
  <r>
    <x v="0"/>
    <x v="0"/>
    <x v="0"/>
    <x v="0"/>
    <x v="0"/>
    <s v="DK1_Rural"/>
    <x v="5"/>
    <x v="0"/>
    <x v="0"/>
    <s v="GNR_ENG_NGAS_BP_E-40"/>
    <n v="78.411111111111097"/>
    <n v="7.8411111111111098E-2"/>
  </r>
  <r>
    <x v="0"/>
    <x v="0"/>
    <x v="0"/>
    <x v="0"/>
    <x v="0"/>
    <s v="DK1_Rural"/>
    <x v="5"/>
    <x v="0"/>
    <x v="0"/>
    <s v="GNR_ENG_NGAS_BP_E-41"/>
    <n v="117.311111111111"/>
    <n v="0.117311111111111"/>
  </r>
  <r>
    <x v="0"/>
    <x v="0"/>
    <x v="0"/>
    <x v="0"/>
    <x v="0"/>
    <s v="DK1_Rural"/>
    <x v="5"/>
    <x v="0"/>
    <x v="0"/>
    <s v="GNR_ENG_NGAS_BP_E-42"/>
    <n v="85.268888888888895"/>
    <n v="8.5268888888888894E-2"/>
  </r>
  <r>
    <x v="0"/>
    <x v="0"/>
    <x v="0"/>
    <x v="0"/>
    <x v="0"/>
    <s v="DK1_Rural"/>
    <x v="5"/>
    <x v="0"/>
    <x v="0"/>
    <s v="GNR_ENG_NGAS_BP_E-43"/>
    <n v="53.924444444444397"/>
    <n v="5.39244444444444E-2"/>
  </r>
  <r>
    <x v="0"/>
    <x v="0"/>
    <x v="0"/>
    <x v="0"/>
    <x v="0"/>
    <s v="DK1_Rural"/>
    <x v="5"/>
    <x v="0"/>
    <x v="0"/>
    <s v="GNR_ENG_NGAS_BP_E-44"/>
    <n v="60.033333333333303"/>
    <n v="6.00333333333333E-2"/>
  </r>
  <r>
    <x v="0"/>
    <x v="0"/>
    <x v="0"/>
    <x v="0"/>
    <x v="0"/>
    <s v="DK1_Rural"/>
    <x v="5"/>
    <x v="0"/>
    <x v="0"/>
    <s v="GNR_ENG_NGAS_BP_E-45"/>
    <n v="11.6"/>
    <n v="1.1599999999999999E-2"/>
  </r>
  <r>
    <x v="0"/>
    <x v="0"/>
    <x v="0"/>
    <x v="0"/>
    <x v="0"/>
    <s v="DK1_Rural"/>
    <x v="5"/>
    <x v="0"/>
    <x v="0"/>
    <s v="GNR_ENG_NGAS_BP_E-46"/>
    <n v="24.044444444444402"/>
    <n v="2.40444444444444E-2"/>
  </r>
  <r>
    <x v="0"/>
    <x v="0"/>
    <x v="0"/>
    <x v="0"/>
    <x v="0"/>
    <s v="DK1_Rural"/>
    <x v="5"/>
    <x v="0"/>
    <x v="0"/>
    <s v="GNR_ENG_NGAS_BP_E-47"/>
    <n v="4.1111111111111098"/>
    <n v="4.1111111111111097E-3"/>
  </r>
  <r>
    <x v="0"/>
    <x v="0"/>
    <x v="0"/>
    <x v="0"/>
    <x v="0"/>
    <s v="DK1_Rural"/>
    <x v="5"/>
    <x v="0"/>
    <x v="0"/>
    <s v="GNR_GT_NGAS_BP_E-28"/>
    <n v="7.7894736842105301"/>
    <n v="7.7894736842105301E-3"/>
  </r>
  <r>
    <x v="0"/>
    <x v="0"/>
    <x v="0"/>
    <x v="0"/>
    <x v="0"/>
    <s v="DK1_Rural"/>
    <x v="5"/>
    <x v="0"/>
    <x v="0"/>
    <s v="GNR_GT_NGAS_BP_E-30"/>
    <n v="6.6315789473684204"/>
    <n v="6.6315789473684198E-3"/>
  </r>
  <r>
    <x v="0"/>
    <x v="0"/>
    <x v="0"/>
    <x v="0"/>
    <x v="0"/>
    <s v="DK1_Rural"/>
    <x v="5"/>
    <x v="0"/>
    <x v="0"/>
    <s v="GNR_GT_NGAS_BP_E-41"/>
    <n v="6.3157894736842097"/>
    <n v="6.3157894736842104E-3"/>
  </r>
  <r>
    <x v="0"/>
    <x v="0"/>
    <x v="0"/>
    <x v="0"/>
    <x v="0"/>
    <s v="DK1_Rural"/>
    <x v="6"/>
    <x v="0"/>
    <x v="0"/>
    <s v="GNR_ST_STRW_BP_E-26"/>
    <n v="5.1725323534207099"/>
    <n v="5.1725323534207099E-3"/>
  </r>
  <r>
    <x v="0"/>
    <x v="0"/>
    <x v="0"/>
    <x v="0"/>
    <x v="0"/>
    <s v="DK1_Rural"/>
    <x v="7"/>
    <x v="0"/>
    <x v="0"/>
    <s v="GNR_ST_WOODCHI_BP_E-17"/>
    <n v="2.2058823529411802"/>
    <n v="2.2058823529411799E-3"/>
  </r>
  <r>
    <x v="0"/>
    <x v="0"/>
    <x v="0"/>
    <x v="0"/>
    <x v="0"/>
    <s v="DK1_Rural"/>
    <x v="7"/>
    <x v="0"/>
    <x v="0"/>
    <s v="GNR_ST_WOODCHI_BP_E-27"/>
    <n v="13.823529411764699"/>
    <n v="1.38235294117647E-2"/>
  </r>
  <r>
    <x v="0"/>
    <x v="0"/>
    <x v="0"/>
    <x v="0"/>
    <x v="0"/>
    <s v="DK1_Rural"/>
    <x v="9"/>
    <x v="0"/>
    <x v="0"/>
    <s v="GNR_ST_WOODPEL_BP_E-30"/>
    <n v="3.82"/>
    <n v="3.82E-3"/>
  </r>
  <r>
    <x v="0"/>
    <x v="0"/>
    <x v="0"/>
    <x v="0"/>
    <x v="0"/>
    <s v="DK1_Small"/>
    <x v="2"/>
    <x v="2"/>
    <x v="0"/>
    <s v="GNR_BO_ELEC_E-100"/>
    <n v="13"/>
    <n v="13"/>
  </r>
  <r>
    <x v="0"/>
    <x v="0"/>
    <x v="0"/>
    <x v="0"/>
    <x v="0"/>
    <s v="DK1_Small"/>
    <x v="4"/>
    <x v="0"/>
    <x v="0"/>
    <s v="GNR_ST_MSW_BP_E-20"/>
    <n v="9.7714128923103996"/>
    <n v="9.7714128923103993E-3"/>
  </r>
  <r>
    <x v="0"/>
    <x v="0"/>
    <x v="0"/>
    <x v="0"/>
    <x v="0"/>
    <s v="DK1_Small"/>
    <x v="5"/>
    <x v="0"/>
    <x v="0"/>
    <s v="GNR_ENG_NGAS_BP_E-38"/>
    <n v="4.3222222222222202"/>
    <n v="4.3222222222222204E-3"/>
  </r>
  <r>
    <x v="0"/>
    <x v="0"/>
    <x v="0"/>
    <x v="0"/>
    <x v="0"/>
    <s v="DK1_Small"/>
    <x v="5"/>
    <x v="0"/>
    <x v="0"/>
    <s v="GNR_ENG_NGAS_BP_E-39"/>
    <n v="0.82222222222222197"/>
    <n v="8.2222222222222202E-4"/>
  </r>
  <r>
    <x v="0"/>
    <x v="0"/>
    <x v="0"/>
    <x v="0"/>
    <x v="0"/>
    <s v="DK1_Small"/>
    <x v="5"/>
    <x v="0"/>
    <x v="0"/>
    <s v="GNR_ENG_NGAS_BP_E-41"/>
    <n v="1.6444444444444399"/>
    <n v="1.6444444444444399E-3"/>
  </r>
  <r>
    <x v="0"/>
    <x v="0"/>
    <x v="0"/>
    <x v="0"/>
    <x v="0"/>
    <s v="DK1_Small"/>
    <x v="5"/>
    <x v="0"/>
    <x v="0"/>
    <s v="GNR_ENG_NGAS_BP_E-42"/>
    <n v="15.6666666666667"/>
    <n v="1.56666666666667E-2"/>
  </r>
  <r>
    <x v="0"/>
    <x v="0"/>
    <x v="0"/>
    <x v="0"/>
    <x v="0"/>
    <s v="DK1_Small"/>
    <x v="5"/>
    <x v="0"/>
    <x v="0"/>
    <s v="GNR_GT_NGAS_BP_E-31"/>
    <n v="6.5263157894736796"/>
    <n v="6.52631578947369E-3"/>
  </r>
  <r>
    <x v="0"/>
    <x v="0"/>
    <x v="0"/>
    <x v="0"/>
    <x v="0"/>
    <s v="DK1_Small"/>
    <x v="7"/>
    <x v="0"/>
    <x v="0"/>
    <s v="GNR_ST_WOODCHI_BP_E-15"/>
    <n v="1.76470588235294"/>
    <n v="1.7647058823529399E-3"/>
  </r>
  <r>
    <x v="0"/>
    <x v="0"/>
    <x v="0"/>
    <x v="0"/>
    <x v="1"/>
    <s v="DK2_Large"/>
    <x v="0"/>
    <x v="0"/>
    <x v="0"/>
    <s v="GNR_ENG_BGAS_BP_E-38"/>
    <n v="0.73170731707317105"/>
    <n v="7.3170731707317095E-4"/>
  </r>
  <r>
    <x v="0"/>
    <x v="0"/>
    <x v="0"/>
    <x v="0"/>
    <x v="1"/>
    <s v="DK2_Large"/>
    <x v="0"/>
    <x v="0"/>
    <x v="0"/>
    <s v="GNR_ENG_BGAS_BP_E-42"/>
    <n v="3.7158536585365902"/>
    <n v="3.7158536585365901E-3"/>
  </r>
  <r>
    <x v="0"/>
    <x v="0"/>
    <x v="0"/>
    <x v="0"/>
    <x v="1"/>
    <s v="DK2_Large"/>
    <x v="1"/>
    <x v="1"/>
    <x v="0"/>
    <s v="GNR_ST_COAL_EXT_E-42"/>
    <n v="555.555555555556"/>
    <n v="0.55555555555555602"/>
  </r>
  <r>
    <x v="0"/>
    <x v="0"/>
    <x v="0"/>
    <x v="0"/>
    <x v="1"/>
    <s v="DK2_Large"/>
    <x v="2"/>
    <x v="2"/>
    <x v="0"/>
    <s v="GNR_BO_ELEC_E-100"/>
    <n v="10"/>
    <n v="10"/>
  </r>
  <r>
    <x v="0"/>
    <x v="0"/>
    <x v="0"/>
    <x v="0"/>
    <x v="1"/>
    <s v="DK2_Large"/>
    <x v="2"/>
    <x v="2"/>
    <x v="0"/>
    <s v="GNR_HP_ELEC_COP-300"/>
    <n v="0.34"/>
    <n v="0.34"/>
  </r>
  <r>
    <x v="0"/>
    <x v="0"/>
    <x v="0"/>
    <x v="0"/>
    <x v="1"/>
    <s v="DK2_Large"/>
    <x v="4"/>
    <x v="0"/>
    <x v="0"/>
    <s v="GNR_ST_MSW_BP_E-16"/>
    <n v="96.361684232126805"/>
    <n v="9.6361684232126807E-2"/>
  </r>
  <r>
    <x v="0"/>
    <x v="0"/>
    <x v="0"/>
    <x v="0"/>
    <x v="1"/>
    <s v="DK2_Large"/>
    <x v="4"/>
    <x v="0"/>
    <x v="0"/>
    <s v="GNR_ST_MSW_BP_E-20"/>
    <n v="131.863357370279"/>
    <n v="0.13186335737027899"/>
  </r>
  <r>
    <x v="0"/>
    <x v="0"/>
    <x v="0"/>
    <x v="0"/>
    <x v="1"/>
    <s v="DK2_Large"/>
    <x v="4"/>
    <x v="0"/>
    <x v="0"/>
    <s v="GNR_ST_MSW_BP_E-21"/>
    <n v="46.321230665969701"/>
    <n v="4.6321230665969701E-2"/>
  </r>
  <r>
    <x v="0"/>
    <x v="0"/>
    <x v="0"/>
    <x v="0"/>
    <x v="1"/>
    <s v="DK2_Large"/>
    <x v="4"/>
    <x v="0"/>
    <x v="0"/>
    <s v="GNR_ST_MSW_BP_E-27"/>
    <n v="65.593567512395097"/>
    <n v="6.5593567512395104E-2"/>
  </r>
  <r>
    <x v="0"/>
    <x v="0"/>
    <x v="0"/>
    <x v="0"/>
    <x v="1"/>
    <s v="DK2_Large"/>
    <x v="5"/>
    <x v="0"/>
    <x v="0"/>
    <s v="GNR_ENG_NGAS_BP_E-34"/>
    <n v="1.0888888888888899"/>
    <n v="1.0888888888888901E-3"/>
  </r>
  <r>
    <x v="0"/>
    <x v="0"/>
    <x v="0"/>
    <x v="0"/>
    <x v="1"/>
    <s v="DK2_Large"/>
    <x v="5"/>
    <x v="0"/>
    <x v="0"/>
    <s v="GNR_ENG_NGAS_BP_E-36"/>
    <n v="3.1111111111111098"/>
    <n v="3.1111111111111101E-3"/>
  </r>
  <r>
    <x v="0"/>
    <x v="0"/>
    <x v="0"/>
    <x v="0"/>
    <x v="1"/>
    <s v="DK2_Large"/>
    <x v="5"/>
    <x v="0"/>
    <x v="0"/>
    <s v="GNR_ENG_NGAS_BP_E-38"/>
    <n v="4.4666666666666703"/>
    <n v="4.46666666666667E-3"/>
  </r>
  <r>
    <x v="0"/>
    <x v="0"/>
    <x v="0"/>
    <x v="0"/>
    <x v="1"/>
    <s v="DK2_Large"/>
    <x v="5"/>
    <x v="0"/>
    <x v="0"/>
    <s v="GNR_ENG_NGAS_BP_E-40"/>
    <n v="6.1111111111111098"/>
    <n v="6.1111111111111097E-3"/>
  </r>
  <r>
    <x v="0"/>
    <x v="0"/>
    <x v="0"/>
    <x v="0"/>
    <x v="1"/>
    <s v="DK2_Large"/>
    <x v="5"/>
    <x v="0"/>
    <x v="0"/>
    <s v="GNR_GT_NGAS_BP_E-36"/>
    <n v="24.421052631578899"/>
    <n v="2.4421052631578899E-2"/>
  </r>
  <r>
    <x v="0"/>
    <x v="0"/>
    <x v="0"/>
    <x v="0"/>
    <x v="1"/>
    <s v="DK2_Large"/>
    <x v="5"/>
    <x v="0"/>
    <x v="0"/>
    <s v="GNR_ST_NGAS_BP_E-39"/>
    <n v="117.142857142857"/>
    <n v="0.11714285714285699"/>
  </r>
  <r>
    <x v="0"/>
    <x v="0"/>
    <x v="0"/>
    <x v="0"/>
    <x v="1"/>
    <s v="DK2_Large"/>
    <x v="7"/>
    <x v="0"/>
    <x v="0"/>
    <s v="GNR_ST_WOODCHI_BP_E-24"/>
    <n v="32.352941176470601"/>
    <n v="3.2352941176470598E-2"/>
  </r>
  <r>
    <x v="0"/>
    <x v="0"/>
    <x v="0"/>
    <x v="0"/>
    <x v="1"/>
    <s v="DK2_Large"/>
    <x v="7"/>
    <x v="0"/>
    <x v="0"/>
    <s v="GNR_ST_WOODCHI_BP_E-27"/>
    <n v="44.117647058823501"/>
    <n v="4.4117647058823498E-2"/>
  </r>
  <r>
    <x v="0"/>
    <x v="0"/>
    <x v="0"/>
    <x v="0"/>
    <x v="1"/>
    <s v="DK2_Large"/>
    <x v="9"/>
    <x v="0"/>
    <x v="0"/>
    <s v="GNR_ST_WOODPEL_BP_E-18"/>
    <n v="128"/>
    <n v="0.128"/>
  </r>
  <r>
    <x v="0"/>
    <x v="0"/>
    <x v="0"/>
    <x v="0"/>
    <x v="1"/>
    <s v="DK2_Large"/>
    <x v="9"/>
    <x v="1"/>
    <x v="0"/>
    <s v="GNR_ST_WOODPEL_EXT_E-50"/>
    <n v="631.11111111111097"/>
    <n v="0.63111111111111096"/>
  </r>
  <r>
    <x v="0"/>
    <x v="0"/>
    <x v="0"/>
    <x v="0"/>
    <x v="1"/>
    <s v="DK2_MedSmall"/>
    <x v="0"/>
    <x v="0"/>
    <x v="0"/>
    <s v="GNR_ENG_BGAS_BP_E-38"/>
    <n v="0.30487804878048802"/>
    <n v="3.0487804878048802E-4"/>
  </r>
  <r>
    <x v="0"/>
    <x v="0"/>
    <x v="0"/>
    <x v="0"/>
    <x v="1"/>
    <s v="DK2_MedSmall"/>
    <x v="8"/>
    <x v="0"/>
    <x v="0"/>
    <s v="GNR_ST_FUELOIL_BP_E-27"/>
    <n v="12.8571428571429"/>
    <n v="1.28571428571429E-2"/>
  </r>
  <r>
    <x v="0"/>
    <x v="0"/>
    <x v="0"/>
    <x v="0"/>
    <x v="1"/>
    <s v="DK2_MedSmall"/>
    <x v="8"/>
    <x v="0"/>
    <x v="0"/>
    <s v="GNR_ST_FUELOIL_BP_E-34"/>
    <n v="12.8571428571429"/>
    <n v="1.28571428571429E-2"/>
  </r>
  <r>
    <x v="0"/>
    <x v="0"/>
    <x v="0"/>
    <x v="0"/>
    <x v="1"/>
    <s v="DK2_MedSmall"/>
    <x v="4"/>
    <x v="0"/>
    <x v="0"/>
    <s v="GNR_ST_MSW_BP_E-21"/>
    <n v="22.653448573868399"/>
    <n v="2.26534485738684E-2"/>
  </r>
  <r>
    <x v="0"/>
    <x v="0"/>
    <x v="0"/>
    <x v="0"/>
    <x v="1"/>
    <s v="DK2_MedSmall"/>
    <x v="4"/>
    <x v="0"/>
    <x v="0"/>
    <s v="GNR_ST_MSW_BP_E-25"/>
    <n v="36.854117829129201"/>
    <n v="3.6854117829129202E-2"/>
  </r>
  <r>
    <x v="0"/>
    <x v="0"/>
    <x v="0"/>
    <x v="0"/>
    <x v="1"/>
    <s v="DK2_MedSmall"/>
    <x v="4"/>
    <x v="0"/>
    <x v="0"/>
    <s v="GNR_ST_MSW_BP_E-28"/>
    <n v="43.582530166740803"/>
    <n v="4.3582530166740803E-2"/>
  </r>
  <r>
    <x v="0"/>
    <x v="0"/>
    <x v="0"/>
    <x v="0"/>
    <x v="1"/>
    <s v="DK2_MedSmall"/>
    <x v="5"/>
    <x v="0"/>
    <x v="0"/>
    <s v="GNR_ENG_NGAS_BP_E-40"/>
    <n v="1.6444444444444399"/>
    <n v="1.6444444444444399E-3"/>
  </r>
  <r>
    <x v="0"/>
    <x v="0"/>
    <x v="0"/>
    <x v="0"/>
    <x v="1"/>
    <s v="DK2_MedSmall"/>
    <x v="5"/>
    <x v="0"/>
    <x v="0"/>
    <s v="GNR_ENG_NGAS_BP_E-42"/>
    <n v="3.4444444444444402"/>
    <n v="3.4444444444444401E-3"/>
  </r>
  <r>
    <x v="0"/>
    <x v="0"/>
    <x v="0"/>
    <x v="0"/>
    <x v="1"/>
    <s v="DK2_Medium"/>
    <x v="1"/>
    <x v="0"/>
    <x v="0"/>
    <s v="GNR_ST_COAL_BP_E-38"/>
    <n v="189.333333333333"/>
    <n v="0.18933333333333299"/>
  </r>
  <r>
    <x v="0"/>
    <x v="0"/>
    <x v="0"/>
    <x v="0"/>
    <x v="1"/>
    <s v="DK2_Medium"/>
    <x v="1"/>
    <x v="1"/>
    <x v="0"/>
    <s v="GNR_ST_COAL_EXT_E-41"/>
    <n v="711.11111111111097"/>
    <n v="0.71111111111111103"/>
  </r>
  <r>
    <x v="0"/>
    <x v="0"/>
    <x v="0"/>
    <x v="0"/>
    <x v="1"/>
    <s v="DK2_Medium"/>
    <x v="2"/>
    <x v="2"/>
    <x v="0"/>
    <s v="GNR_BO_ELEC_E-100"/>
    <n v="90"/>
    <n v="90"/>
  </r>
  <r>
    <x v="0"/>
    <x v="0"/>
    <x v="0"/>
    <x v="0"/>
    <x v="1"/>
    <s v="DK2_Medium"/>
    <x v="4"/>
    <x v="0"/>
    <x v="0"/>
    <s v="GNR_ST_MSW_BP_E-23"/>
    <n v="27.0488938195444"/>
    <n v="2.7048893819544399E-2"/>
  </r>
  <r>
    <x v="0"/>
    <x v="0"/>
    <x v="0"/>
    <x v="0"/>
    <x v="1"/>
    <s v="DK2_Medium"/>
    <x v="4"/>
    <x v="0"/>
    <x v="0"/>
    <s v="GNR_ST_MSW_BP_E-25"/>
    <n v="25.020226783078499"/>
    <n v="2.5020226783078501E-2"/>
  </r>
  <r>
    <x v="0"/>
    <x v="0"/>
    <x v="0"/>
    <x v="0"/>
    <x v="1"/>
    <s v="DK2_Medium"/>
    <x v="5"/>
    <x v="0"/>
    <x v="0"/>
    <s v="GNR_ENG_NGAS_BP_E-33"/>
    <n v="1.1111111111111101"/>
    <n v="1.11111111111111E-3"/>
  </r>
  <r>
    <x v="0"/>
    <x v="0"/>
    <x v="0"/>
    <x v="0"/>
    <x v="1"/>
    <s v="DK2_Medium"/>
    <x v="5"/>
    <x v="0"/>
    <x v="0"/>
    <s v="GNR_ENG_NGAS_BP_E-35"/>
    <n v="3.3333333333333299"/>
    <n v="3.3333333333333301E-3"/>
  </r>
  <r>
    <x v="0"/>
    <x v="0"/>
    <x v="0"/>
    <x v="0"/>
    <x v="1"/>
    <s v="DK2_Medium"/>
    <x v="5"/>
    <x v="0"/>
    <x v="0"/>
    <s v="GNR_ENG_NGAS_BP_E-38"/>
    <n v="1.0777777777777799"/>
    <n v="1.0777777777777799E-3"/>
  </r>
  <r>
    <x v="0"/>
    <x v="0"/>
    <x v="0"/>
    <x v="0"/>
    <x v="1"/>
    <s v="DK2_Medium"/>
    <x v="5"/>
    <x v="0"/>
    <x v="0"/>
    <s v="GNR_ENG_NGAS_BP_E-39"/>
    <n v="12.5111111111111"/>
    <n v="1.25111111111111E-2"/>
  </r>
  <r>
    <x v="0"/>
    <x v="0"/>
    <x v="0"/>
    <x v="0"/>
    <x v="1"/>
    <s v="DK2_Medium"/>
    <x v="5"/>
    <x v="0"/>
    <x v="0"/>
    <s v="GNR_ENG_NGAS_BP_E-41"/>
    <n v="3.4444444444444402"/>
    <n v="3.4444444444444401E-3"/>
  </r>
  <r>
    <x v="0"/>
    <x v="0"/>
    <x v="0"/>
    <x v="0"/>
    <x v="1"/>
    <s v="DK2_Medium"/>
    <x v="5"/>
    <x v="0"/>
    <x v="0"/>
    <s v="GNR_ENG_NGAS_BP_E-42"/>
    <n v="2.2222222222222201"/>
    <n v="2.2222222222222201E-3"/>
  </r>
  <r>
    <x v="0"/>
    <x v="0"/>
    <x v="0"/>
    <x v="0"/>
    <x v="1"/>
    <s v="DK2_Medium"/>
    <x v="5"/>
    <x v="0"/>
    <x v="0"/>
    <s v="GNR_GT_NGAS_BP_E-42"/>
    <n v="62.105263157894697"/>
    <n v="6.2105263157894698E-2"/>
  </r>
  <r>
    <x v="0"/>
    <x v="0"/>
    <x v="0"/>
    <x v="0"/>
    <x v="1"/>
    <s v="DK2_Medium"/>
    <x v="5"/>
    <x v="0"/>
    <x v="0"/>
    <s v="GNR_GT_NGAS_BP_E-44"/>
    <n v="81.052631578947398"/>
    <n v="8.1052631578947404E-2"/>
  </r>
  <r>
    <x v="0"/>
    <x v="0"/>
    <x v="0"/>
    <x v="0"/>
    <x v="1"/>
    <s v="DK2_Medium"/>
    <x v="7"/>
    <x v="0"/>
    <x v="0"/>
    <s v="GNR_ST_WOODCHI_BP_E-27"/>
    <n v="0.97058823529411797"/>
    <n v="9.7058823529411805E-4"/>
  </r>
  <r>
    <x v="0"/>
    <x v="0"/>
    <x v="0"/>
    <x v="0"/>
    <x v="1"/>
    <s v="DK2_NoDH"/>
    <x v="0"/>
    <x v="0"/>
    <x v="0"/>
    <s v="GNR_ENG_BGAS_BP_E-31"/>
    <n v="0.12195121951219499"/>
    <n v="1.21951219512195E-4"/>
  </r>
  <r>
    <x v="0"/>
    <x v="0"/>
    <x v="0"/>
    <x v="0"/>
    <x v="1"/>
    <s v="DK2_NoDH"/>
    <x v="0"/>
    <x v="0"/>
    <x v="0"/>
    <s v="GNR_ENG_BGAS_BP_E-32"/>
    <n v="0.134146341463415"/>
    <n v="1.34146341463415E-4"/>
  </r>
  <r>
    <x v="0"/>
    <x v="0"/>
    <x v="0"/>
    <x v="0"/>
    <x v="1"/>
    <s v="DK2_NoDH"/>
    <x v="0"/>
    <x v="0"/>
    <x v="0"/>
    <s v="GNR_ENG_BGAS_BP_E-33"/>
    <n v="0.28048780487804897"/>
    <n v="2.8048780487804898E-4"/>
  </r>
  <r>
    <x v="0"/>
    <x v="0"/>
    <x v="0"/>
    <x v="0"/>
    <x v="1"/>
    <s v="DK2_NoDH"/>
    <x v="0"/>
    <x v="0"/>
    <x v="0"/>
    <s v="GNR_ENG_BGAS_BP_E-34"/>
    <n v="0.12195121951219499"/>
    <n v="1.21951219512195E-4"/>
  </r>
  <r>
    <x v="0"/>
    <x v="0"/>
    <x v="0"/>
    <x v="0"/>
    <x v="1"/>
    <s v="DK2_NoDH"/>
    <x v="0"/>
    <x v="0"/>
    <x v="0"/>
    <s v="GNR_ENG_BGAS_BP_E-35"/>
    <n v="0.26829268292682901"/>
    <n v="2.6829268292682902E-4"/>
  </r>
  <r>
    <x v="0"/>
    <x v="0"/>
    <x v="0"/>
    <x v="0"/>
    <x v="1"/>
    <s v="DK2_NoDH"/>
    <x v="0"/>
    <x v="0"/>
    <x v="0"/>
    <s v="GNR_ENG_BGAS_BP_E-36"/>
    <n v="7.6829268292682898E-2"/>
    <n v="7.6829268292682903E-5"/>
  </r>
  <r>
    <x v="0"/>
    <x v="0"/>
    <x v="0"/>
    <x v="0"/>
    <x v="1"/>
    <s v="DK2_NoDH"/>
    <x v="0"/>
    <x v="0"/>
    <x v="0"/>
    <s v="GNR_ENG_BGAS_BP_E-37"/>
    <n v="0.12195121951219499"/>
    <n v="1.21951219512195E-4"/>
  </r>
  <r>
    <x v="0"/>
    <x v="0"/>
    <x v="0"/>
    <x v="0"/>
    <x v="1"/>
    <s v="DK2_NoDH"/>
    <x v="0"/>
    <x v="0"/>
    <x v="0"/>
    <s v="GNR_ENG_BGAS_BP_E-38"/>
    <n v="0.44268292682926802"/>
    <n v="4.4268292682926802E-4"/>
  </r>
  <r>
    <x v="0"/>
    <x v="0"/>
    <x v="0"/>
    <x v="0"/>
    <x v="1"/>
    <s v="DK2_NoDH"/>
    <x v="0"/>
    <x v="0"/>
    <x v="0"/>
    <s v="GNR_ENG_BGAS_BP_E-39"/>
    <n v="1"/>
    <n v="1E-3"/>
  </r>
  <r>
    <x v="0"/>
    <x v="0"/>
    <x v="0"/>
    <x v="0"/>
    <x v="1"/>
    <s v="DK2_NoDH"/>
    <x v="0"/>
    <x v="0"/>
    <x v="0"/>
    <s v="GNR_ENG_BGAS_BP_E-40"/>
    <n v="4.8780487804878099E-2"/>
    <n v="4.8780487804878099E-5"/>
  </r>
  <r>
    <x v="0"/>
    <x v="0"/>
    <x v="0"/>
    <x v="0"/>
    <x v="1"/>
    <s v="DK2_NoDH"/>
    <x v="0"/>
    <x v="0"/>
    <x v="0"/>
    <s v="GNR_ENG_BGAS_BP_E-42"/>
    <n v="5.3658536585365901"/>
    <n v="5.3658536585365901E-3"/>
  </r>
  <r>
    <x v="0"/>
    <x v="0"/>
    <x v="0"/>
    <x v="0"/>
    <x v="1"/>
    <s v="DK2_NoDH"/>
    <x v="2"/>
    <x v="2"/>
    <x v="0"/>
    <s v="GNR_BO_ELEC_E-100"/>
    <n v="10"/>
    <n v="10"/>
  </r>
  <r>
    <x v="0"/>
    <x v="0"/>
    <x v="0"/>
    <x v="0"/>
    <x v="1"/>
    <s v="DK2_NoDH"/>
    <x v="3"/>
    <x v="0"/>
    <x v="0"/>
    <s v="GNR_ENG_LIGHTOIL_BP_E-37"/>
    <n v="17.7777777777778"/>
    <n v="1.7777777777777799E-2"/>
  </r>
  <r>
    <x v="0"/>
    <x v="0"/>
    <x v="0"/>
    <x v="0"/>
    <x v="1"/>
    <s v="DK2_NoDH"/>
    <x v="3"/>
    <x v="0"/>
    <x v="0"/>
    <s v="GNR_ENG_LIGHTOIL_BP_E-39"/>
    <n v="8.6666666666666697E-2"/>
    <n v="8.6666666666666695E-5"/>
  </r>
  <r>
    <x v="0"/>
    <x v="0"/>
    <x v="0"/>
    <x v="0"/>
    <x v="1"/>
    <s v="DK2_NoDH"/>
    <x v="5"/>
    <x v="0"/>
    <x v="0"/>
    <s v="GNR_ENG_NGAS_BP_E-33"/>
    <n v="1.7777777777777799"/>
    <n v="1.77777777777778E-3"/>
  </r>
  <r>
    <x v="0"/>
    <x v="0"/>
    <x v="0"/>
    <x v="0"/>
    <x v="1"/>
    <s v="DK2_NoDH"/>
    <x v="5"/>
    <x v="0"/>
    <x v="0"/>
    <s v="GNR_ENG_NGAS_BP_E-34"/>
    <n v="7.0222222222222204"/>
    <n v="7.0222222222222196E-3"/>
  </r>
  <r>
    <x v="0"/>
    <x v="0"/>
    <x v="0"/>
    <x v="0"/>
    <x v="1"/>
    <s v="DK2_NoDH"/>
    <x v="5"/>
    <x v="0"/>
    <x v="0"/>
    <s v="GNR_ENG_NGAS_BP_E-35"/>
    <n v="5.8"/>
    <n v="5.7999999999999996E-3"/>
  </r>
  <r>
    <x v="0"/>
    <x v="0"/>
    <x v="0"/>
    <x v="0"/>
    <x v="1"/>
    <s v="DK2_NoDH"/>
    <x v="5"/>
    <x v="0"/>
    <x v="0"/>
    <s v="GNR_ENG_NGAS_BP_E-36"/>
    <n v="3.9222222222222198"/>
    <n v="3.9222222222222202E-3"/>
  </r>
  <r>
    <x v="0"/>
    <x v="0"/>
    <x v="0"/>
    <x v="0"/>
    <x v="1"/>
    <s v="DK2_NoDH"/>
    <x v="5"/>
    <x v="0"/>
    <x v="0"/>
    <s v="GNR_ENG_NGAS_BP_E-37"/>
    <n v="3.1333333333333302"/>
    <n v="3.13333333333333E-3"/>
  </r>
  <r>
    <x v="0"/>
    <x v="0"/>
    <x v="0"/>
    <x v="0"/>
    <x v="1"/>
    <s v="DK2_NoDH"/>
    <x v="5"/>
    <x v="0"/>
    <x v="0"/>
    <s v="GNR_ENG_NGAS_BP_E-38"/>
    <n v="4.1777777777777798"/>
    <n v="4.1777777777777803E-3"/>
  </r>
  <r>
    <x v="0"/>
    <x v="0"/>
    <x v="0"/>
    <x v="0"/>
    <x v="1"/>
    <s v="DK2_NoDH"/>
    <x v="5"/>
    <x v="0"/>
    <x v="0"/>
    <s v="GNR_ENG_NGAS_BP_E-39"/>
    <n v="9.0555555555555607"/>
    <n v="9.0555555555555597E-3"/>
  </r>
  <r>
    <x v="0"/>
    <x v="0"/>
    <x v="0"/>
    <x v="0"/>
    <x v="1"/>
    <s v="DK2_NoDH"/>
    <x v="5"/>
    <x v="0"/>
    <x v="0"/>
    <s v="GNR_ENG_NGAS_BP_E-40"/>
    <n v="8.9222222222222207"/>
    <n v="8.9222222222222203E-3"/>
  </r>
  <r>
    <x v="0"/>
    <x v="0"/>
    <x v="0"/>
    <x v="0"/>
    <x v="1"/>
    <s v="DK2_NoDH"/>
    <x v="5"/>
    <x v="0"/>
    <x v="0"/>
    <s v="GNR_ENG_NGAS_BP_E-41"/>
    <n v="18.288888888888899"/>
    <n v="1.82888888888889E-2"/>
  </r>
  <r>
    <x v="0"/>
    <x v="0"/>
    <x v="0"/>
    <x v="0"/>
    <x v="1"/>
    <s v="DK2_NoDH"/>
    <x v="5"/>
    <x v="0"/>
    <x v="0"/>
    <s v="GNR_ENG_NGAS_BP_E-46"/>
    <n v="10.4888888888889"/>
    <n v="1.04888888888889E-2"/>
  </r>
  <r>
    <x v="0"/>
    <x v="0"/>
    <x v="0"/>
    <x v="0"/>
    <x v="1"/>
    <s v="DK2_NoDH"/>
    <x v="5"/>
    <x v="0"/>
    <x v="0"/>
    <s v="GNR_GT_NGAS_BP_E-28"/>
    <n v="5.1578947368421098"/>
    <n v="5.1578947368421096E-3"/>
  </r>
  <r>
    <x v="0"/>
    <x v="0"/>
    <x v="0"/>
    <x v="0"/>
    <x v="1"/>
    <s v="DK2_NoDH"/>
    <x v="5"/>
    <x v="0"/>
    <x v="0"/>
    <s v="GNR_ST_NGAS_BP_E-39"/>
    <n v="8.4142857142857093"/>
    <n v="8.4142857142857092E-3"/>
  </r>
  <r>
    <x v="0"/>
    <x v="0"/>
    <x v="0"/>
    <x v="0"/>
    <x v="1"/>
    <s v="DK2_Rural"/>
    <x v="0"/>
    <x v="0"/>
    <x v="0"/>
    <s v="GNR_ENG_BGAS_BP_E-34"/>
    <n v="0.92682926829268297"/>
    <n v="9.2682926829268299E-4"/>
  </r>
  <r>
    <x v="0"/>
    <x v="0"/>
    <x v="0"/>
    <x v="0"/>
    <x v="1"/>
    <s v="DK2_Rural"/>
    <x v="0"/>
    <x v="0"/>
    <x v="0"/>
    <s v="GNR_ENG_BGAS_BP_E-39"/>
    <n v="1.23170731707317"/>
    <n v="1.2317073170731701E-3"/>
  </r>
  <r>
    <x v="0"/>
    <x v="0"/>
    <x v="0"/>
    <x v="0"/>
    <x v="1"/>
    <s v="DK2_Rural"/>
    <x v="0"/>
    <x v="0"/>
    <x v="0"/>
    <s v="GNR_ENG_BGAS_BP_E-40"/>
    <n v="0.64634146341463405"/>
    <n v="6.4634146341463396E-4"/>
  </r>
  <r>
    <x v="0"/>
    <x v="0"/>
    <x v="0"/>
    <x v="0"/>
    <x v="1"/>
    <s v="DK2_Rural"/>
    <x v="0"/>
    <x v="0"/>
    <x v="0"/>
    <s v="GNR_ENG_BGAS_BP_E-41"/>
    <n v="2.4390243902439002"/>
    <n v="2.4390243902438998E-3"/>
  </r>
  <r>
    <x v="0"/>
    <x v="0"/>
    <x v="0"/>
    <x v="0"/>
    <x v="1"/>
    <s v="DK2_Rural"/>
    <x v="0"/>
    <x v="0"/>
    <x v="0"/>
    <s v="GNR_ENG_BGAS_BP_E-42"/>
    <n v="6.9926829268292696"/>
    <n v="6.9926829268292696E-3"/>
  </r>
  <r>
    <x v="0"/>
    <x v="0"/>
    <x v="0"/>
    <x v="0"/>
    <x v="1"/>
    <s v="DK2_Rural"/>
    <x v="1"/>
    <x v="0"/>
    <x v="0"/>
    <s v="GNR_ST_COAL_BP_E-35"/>
    <n v="49.3333333333333"/>
    <n v="4.9333333333333299E-2"/>
  </r>
  <r>
    <x v="0"/>
    <x v="0"/>
    <x v="0"/>
    <x v="0"/>
    <x v="1"/>
    <s v="DK2_Rural"/>
    <x v="2"/>
    <x v="2"/>
    <x v="0"/>
    <s v="GNR_BO_ELEC_E-100"/>
    <n v="10"/>
    <n v="10"/>
  </r>
  <r>
    <x v="0"/>
    <x v="0"/>
    <x v="0"/>
    <x v="0"/>
    <x v="1"/>
    <s v="DK2_Rural"/>
    <x v="2"/>
    <x v="2"/>
    <x v="0"/>
    <s v="GNR_BO_ELEC_E-98"/>
    <n v="13.6"/>
    <n v="13.6"/>
  </r>
  <r>
    <x v="0"/>
    <x v="0"/>
    <x v="0"/>
    <x v="0"/>
    <x v="1"/>
    <s v="DK2_Rural"/>
    <x v="2"/>
    <x v="2"/>
    <x v="0"/>
    <s v="GNR_HP_ELEC_COP-400"/>
    <n v="0.8"/>
    <n v="0.8"/>
  </r>
  <r>
    <x v="0"/>
    <x v="0"/>
    <x v="0"/>
    <x v="0"/>
    <x v="1"/>
    <s v="DK2_Rural"/>
    <x v="3"/>
    <x v="0"/>
    <x v="0"/>
    <s v="GNR_ENG_LIGHTOIL_BP_E-43"/>
    <n v="0.56333333333333302"/>
    <n v="5.63333333333333E-4"/>
  </r>
  <r>
    <x v="0"/>
    <x v="0"/>
    <x v="0"/>
    <x v="0"/>
    <x v="1"/>
    <s v="DK2_Rural"/>
    <x v="5"/>
    <x v="0"/>
    <x v="0"/>
    <s v="GNR_ENG_NGAS_BP_E-33"/>
    <n v="7.6333333333333302"/>
    <n v="7.6333333333333296E-3"/>
  </r>
  <r>
    <x v="0"/>
    <x v="0"/>
    <x v="0"/>
    <x v="0"/>
    <x v="1"/>
    <s v="DK2_Rural"/>
    <x v="5"/>
    <x v="0"/>
    <x v="0"/>
    <s v="GNR_ENG_NGAS_BP_E-34"/>
    <n v="4.4111111111111097"/>
    <n v="4.4111111111111096E-3"/>
  </r>
  <r>
    <x v="0"/>
    <x v="0"/>
    <x v="0"/>
    <x v="0"/>
    <x v="1"/>
    <s v="DK2_Rural"/>
    <x v="5"/>
    <x v="0"/>
    <x v="0"/>
    <s v="GNR_ENG_NGAS_BP_E-35"/>
    <n v="8.1"/>
    <n v="8.0999999999999996E-3"/>
  </r>
  <r>
    <x v="0"/>
    <x v="0"/>
    <x v="0"/>
    <x v="0"/>
    <x v="1"/>
    <s v="DK2_Rural"/>
    <x v="5"/>
    <x v="0"/>
    <x v="0"/>
    <s v="GNR_ENG_NGAS_BP_E-36"/>
    <n v="1.4611111111111099"/>
    <n v="1.4611111111111101E-3"/>
  </r>
  <r>
    <x v="0"/>
    <x v="0"/>
    <x v="0"/>
    <x v="0"/>
    <x v="1"/>
    <s v="DK2_Rural"/>
    <x v="5"/>
    <x v="0"/>
    <x v="0"/>
    <s v="GNR_ENG_NGAS_BP_E-37"/>
    <n v="2.0111111111111102"/>
    <n v="2.0111111111111098E-3"/>
  </r>
  <r>
    <x v="0"/>
    <x v="0"/>
    <x v="0"/>
    <x v="0"/>
    <x v="1"/>
    <s v="DK2_Rural"/>
    <x v="5"/>
    <x v="0"/>
    <x v="0"/>
    <s v="GNR_ENG_NGAS_BP_E-38"/>
    <n v="3.5388888888888901"/>
    <n v="3.53888888888889E-3"/>
  </r>
  <r>
    <x v="0"/>
    <x v="0"/>
    <x v="0"/>
    <x v="0"/>
    <x v="1"/>
    <s v="DK2_Rural"/>
    <x v="5"/>
    <x v="0"/>
    <x v="0"/>
    <s v="GNR_ENG_NGAS_BP_E-39"/>
    <n v="29"/>
    <n v="2.9000000000000001E-2"/>
  </r>
  <r>
    <x v="0"/>
    <x v="0"/>
    <x v="0"/>
    <x v="0"/>
    <x v="1"/>
    <s v="DK2_Rural"/>
    <x v="5"/>
    <x v="0"/>
    <x v="0"/>
    <s v="GNR_ENG_NGAS_BP_E-40"/>
    <n v="29.2222222222222"/>
    <n v="2.9222222222222202E-2"/>
  </r>
  <r>
    <x v="0"/>
    <x v="0"/>
    <x v="0"/>
    <x v="0"/>
    <x v="1"/>
    <s v="DK2_Rural"/>
    <x v="5"/>
    <x v="0"/>
    <x v="0"/>
    <s v="GNR_ENG_NGAS_BP_E-41"/>
    <n v="6.04"/>
    <n v="6.0400000000000002E-3"/>
  </r>
  <r>
    <x v="0"/>
    <x v="0"/>
    <x v="0"/>
    <x v="0"/>
    <x v="1"/>
    <s v="DK2_Rural"/>
    <x v="5"/>
    <x v="0"/>
    <x v="0"/>
    <s v="GNR_ENG_NGAS_BP_E-42"/>
    <n v="1.68888888888889"/>
    <n v="1.6888888888888899E-3"/>
  </r>
  <r>
    <x v="0"/>
    <x v="0"/>
    <x v="0"/>
    <x v="0"/>
    <x v="1"/>
    <s v="DK2_Rural"/>
    <x v="5"/>
    <x v="0"/>
    <x v="0"/>
    <s v="GNR_ENG_NGAS_BP_E-43"/>
    <n v="2.7522222222222199"/>
    <n v="2.7522222222222201E-3"/>
  </r>
  <r>
    <x v="0"/>
    <x v="0"/>
    <x v="0"/>
    <x v="0"/>
    <x v="1"/>
    <s v="DK2_Rural"/>
    <x v="5"/>
    <x v="0"/>
    <x v="0"/>
    <s v="GNR_ENG_NGAS_BP_E-45"/>
    <n v="0.55555555555555602"/>
    <n v="5.5555555555555599E-4"/>
  </r>
  <r>
    <x v="0"/>
    <x v="0"/>
    <x v="0"/>
    <x v="0"/>
    <x v="1"/>
    <s v="DK2_Rural"/>
    <x v="5"/>
    <x v="0"/>
    <x v="0"/>
    <s v="GNR_ENG_NGAS_BP_E-46"/>
    <n v="0.61111111111111105"/>
    <n v="6.1111111111111099E-4"/>
  </r>
  <r>
    <x v="0"/>
    <x v="0"/>
    <x v="0"/>
    <x v="0"/>
    <x v="1"/>
    <s v="DK2_Rural"/>
    <x v="6"/>
    <x v="0"/>
    <x v="0"/>
    <s v="GNR_ST_STRW_BP_E-24"/>
    <n v="11.2446355509146"/>
    <n v="1.12446355509146E-2"/>
  </r>
  <r>
    <x v="0"/>
    <x v="0"/>
    <x v="0"/>
    <x v="0"/>
    <x v="1"/>
    <s v="DK2_Rural"/>
    <x v="6"/>
    <x v="0"/>
    <x v="0"/>
    <s v="GNR_ST_STRW_BP_E-27"/>
    <n v="22.444292559625499"/>
    <n v="2.24442925596255E-2"/>
  </r>
  <r>
    <x v="0"/>
    <x v="0"/>
    <x v="0"/>
    <x v="0"/>
    <x v="1"/>
    <s v="DK2_Rural"/>
    <x v="6"/>
    <x v="0"/>
    <x v="0"/>
    <s v="GNR_ST_STRW_BP_E-28"/>
    <n v="25.862661767103599"/>
    <n v="2.5862661767103501E-2"/>
  </r>
  <r>
    <x v="0"/>
    <x v="0"/>
    <x v="0"/>
    <x v="0"/>
    <x v="1"/>
    <s v="DK2_Small"/>
    <x v="5"/>
    <x v="0"/>
    <x v="0"/>
    <s v="GNR_ENG_NGAS_BP_E-46"/>
    <n v="42.7777777777778"/>
    <n v="4.2777777777777803E-2"/>
  </r>
  <r>
    <x v="0"/>
    <x v="0"/>
    <x v="0"/>
    <x v="1"/>
    <x v="2"/>
    <s v="EE_Industry"/>
    <x v="0"/>
    <x v="1"/>
    <x v="0"/>
    <s v="GNR_ST_BGAS_EXT_E-38"/>
    <n v="0.120481927710843"/>
    <n v="1.20481927710843E-4"/>
  </r>
  <r>
    <x v="0"/>
    <x v="0"/>
    <x v="0"/>
    <x v="1"/>
    <x v="2"/>
    <s v="EE_Industry"/>
    <x v="10"/>
    <x v="1"/>
    <x v="0"/>
    <s v="GNR_ENG_RETORT-GAS_E-44"/>
    <n v="76.612903225806406"/>
    <n v="7.6612903225806495E-2"/>
  </r>
  <r>
    <x v="0"/>
    <x v="0"/>
    <x v="0"/>
    <x v="1"/>
    <x v="2"/>
    <s v="EE_Industry"/>
    <x v="11"/>
    <x v="0"/>
    <x v="0"/>
    <s v="IMAVERE_ST_WOOD_BP"/>
    <n v="30.000030000030002"/>
    <n v="3.0000030000030001E-2"/>
  </r>
  <r>
    <x v="0"/>
    <x v="0"/>
    <x v="0"/>
    <x v="1"/>
    <x v="2"/>
    <s v="EE_Industry"/>
    <x v="11"/>
    <x v="0"/>
    <x v="0"/>
    <s v="OSULA_ST_WOOD_BP"/>
    <n v="30.000030000030002"/>
    <n v="3.0000030000030001E-2"/>
  </r>
  <r>
    <x v="0"/>
    <x v="0"/>
    <x v="0"/>
    <x v="1"/>
    <x v="2"/>
    <s v="EE_Industry"/>
    <x v="12"/>
    <x v="0"/>
    <x v="0"/>
    <s v="GNR_ST_WOODWST_BP_E-53"/>
    <n v="100"/>
    <n v="0.1"/>
  </r>
  <r>
    <x v="0"/>
    <x v="0"/>
    <x v="0"/>
    <x v="1"/>
    <x v="2"/>
    <s v="EE_Kohtla_Jarve"/>
    <x v="5"/>
    <x v="1"/>
    <x v="0"/>
    <s v="GNR_ENG_NGAS_EXT_E-44"/>
    <n v="17.977528089887599"/>
    <n v="1.79775280898876E-2"/>
  </r>
  <r>
    <x v="0"/>
    <x v="0"/>
    <x v="0"/>
    <x v="1"/>
    <x v="2"/>
    <s v="EE_Narva"/>
    <x v="13"/>
    <x v="1"/>
    <x v="0"/>
    <s v="NARVA-11_ST_SHALE_EXT"/>
    <n v="182.857142857143"/>
    <n v="0.182857142857143"/>
  </r>
  <r>
    <x v="0"/>
    <x v="0"/>
    <x v="0"/>
    <x v="1"/>
    <x v="2"/>
    <s v="EE_Parnu"/>
    <x v="0"/>
    <x v="1"/>
    <x v="0"/>
    <s v="GNR_ST_BGAS_EXT_E-38"/>
    <n v="0.120481927710843"/>
    <n v="1.20481927710843E-4"/>
  </r>
  <r>
    <x v="0"/>
    <x v="0"/>
    <x v="0"/>
    <x v="1"/>
    <x v="2"/>
    <s v="EE_Parnu"/>
    <x v="11"/>
    <x v="0"/>
    <x v="0"/>
    <s v="PARNU-1_ST_WOOD_BP"/>
    <n v="48.000034909116302"/>
    <n v="4.80000349091163E-2"/>
  </r>
  <r>
    <x v="0"/>
    <x v="0"/>
    <x v="0"/>
    <x v="1"/>
    <x v="2"/>
    <s v="EE_Rural"/>
    <x v="0"/>
    <x v="1"/>
    <x v="0"/>
    <s v="GNR_ST_BGAS_EXT_E-38"/>
    <n v="3.9759036144578301"/>
    <n v="3.9759036144578304E-3"/>
  </r>
  <r>
    <x v="0"/>
    <x v="0"/>
    <x v="0"/>
    <x v="1"/>
    <x v="2"/>
    <s v="EE_Rural"/>
    <x v="5"/>
    <x v="1"/>
    <x v="0"/>
    <s v="GNR_ENG_NGAS_EXT_E-44"/>
    <n v="1.3483146067415701"/>
    <n v="1.3483146067415699E-3"/>
  </r>
  <r>
    <x v="0"/>
    <x v="0"/>
    <x v="0"/>
    <x v="1"/>
    <x v="2"/>
    <s v="EE_Rural"/>
    <x v="12"/>
    <x v="0"/>
    <x v="0"/>
    <s v="EBAVERE_ST_WOODWST_BP"/>
    <n v="26.315789473684202"/>
    <n v="2.6315789473684199E-2"/>
  </r>
  <r>
    <x v="0"/>
    <x v="0"/>
    <x v="0"/>
    <x v="1"/>
    <x v="2"/>
    <s v="EE_Sillamae"/>
    <x v="5"/>
    <x v="1"/>
    <x v="0"/>
    <s v="GNR_ENG_NGAS_EXT_E-44"/>
    <n v="11.235955056179799"/>
    <n v="1.1235955056179799E-2"/>
  </r>
  <r>
    <x v="0"/>
    <x v="0"/>
    <x v="0"/>
    <x v="1"/>
    <x v="2"/>
    <s v="EE_Sillamae"/>
    <x v="11"/>
    <x v="0"/>
    <x v="0"/>
    <s v="SILLAMAE_ST_WOOD_BP"/>
    <n v="50"/>
    <n v="0.05"/>
  </r>
  <r>
    <x v="0"/>
    <x v="0"/>
    <x v="0"/>
    <x v="1"/>
    <x v="2"/>
    <s v="EE_Tallinn"/>
    <x v="4"/>
    <x v="0"/>
    <x v="0"/>
    <s v="IRU_ST_MSW_BP"/>
    <n v="34"/>
    <n v="3.4000000000000002E-2"/>
  </r>
  <r>
    <x v="0"/>
    <x v="0"/>
    <x v="0"/>
    <x v="1"/>
    <x v="2"/>
    <s v="EE_Tallinn"/>
    <x v="5"/>
    <x v="0"/>
    <x v="0"/>
    <s v="IRU_ST_NGAS_BP"/>
    <n v="110.58823529411799"/>
    <n v="0.110588235294118"/>
  </r>
  <r>
    <x v="0"/>
    <x v="0"/>
    <x v="0"/>
    <x v="1"/>
    <x v="2"/>
    <s v="EE_Tallinn"/>
    <x v="5"/>
    <x v="1"/>
    <x v="0"/>
    <s v="GNR_ENG_NGAS_EXT_E-44"/>
    <n v="1.68539325842697"/>
    <n v="1.68539325842697E-3"/>
  </r>
  <r>
    <x v="0"/>
    <x v="0"/>
    <x v="0"/>
    <x v="1"/>
    <x v="2"/>
    <s v="EE_Tallinn"/>
    <x v="11"/>
    <x v="0"/>
    <x v="0"/>
    <s v="MUSTAMAE_ST_WOOD_BP"/>
    <n v="33.000033000033"/>
    <n v="3.3000033000032999E-2"/>
  </r>
  <r>
    <x v="0"/>
    <x v="0"/>
    <x v="0"/>
    <x v="1"/>
    <x v="2"/>
    <s v="EE_Tallinn"/>
    <x v="11"/>
    <x v="0"/>
    <x v="0"/>
    <s v="VAO-1_ST_WOOD_BP"/>
    <n v="42.000006720001103"/>
    <n v="4.20000067200011E-2"/>
  </r>
  <r>
    <x v="0"/>
    <x v="0"/>
    <x v="0"/>
    <x v="1"/>
    <x v="2"/>
    <s v="EE_Tallinn"/>
    <x v="11"/>
    <x v="0"/>
    <x v="0"/>
    <s v="VAO-2_ST_WOOD_BP"/>
    <n v="55.000026190488697"/>
    <n v="5.5000026190488702E-2"/>
  </r>
  <r>
    <x v="0"/>
    <x v="0"/>
    <x v="0"/>
    <x v="1"/>
    <x v="2"/>
    <s v="EE_Tartu"/>
    <x v="11"/>
    <x v="0"/>
    <x v="0"/>
    <s v="TARTU-1_ST_WOOD_BP"/>
    <n v="48.000034909116302"/>
    <n v="4.80000349091163E-2"/>
  </r>
  <r>
    <x v="0"/>
    <x v="0"/>
    <x v="0"/>
    <x v="1"/>
    <x v="2"/>
    <s v="EE_Urban"/>
    <x v="0"/>
    <x v="1"/>
    <x v="0"/>
    <s v="GNR_ST_BGAS_EXT_E-38"/>
    <n v="0.120481927710843"/>
    <n v="1.20481927710843E-4"/>
  </r>
  <r>
    <x v="0"/>
    <x v="0"/>
    <x v="0"/>
    <x v="1"/>
    <x v="2"/>
    <s v="EE_Urban"/>
    <x v="5"/>
    <x v="1"/>
    <x v="0"/>
    <s v="GNR_ENG_NGAS_EXT_E-44"/>
    <n v="1.01123595505618"/>
    <n v="1.0112359550561801E-3"/>
  </r>
  <r>
    <x v="0"/>
    <x v="0"/>
    <x v="0"/>
    <x v="1"/>
    <x v="2"/>
    <s v="EE_Urban"/>
    <x v="11"/>
    <x v="0"/>
    <x v="0"/>
    <s v="GNR_ST_WOOD_BP_E-53"/>
    <n v="12"/>
    <n v="1.2E-2"/>
  </r>
  <r>
    <x v="0"/>
    <x v="0"/>
    <x v="0"/>
    <x v="2"/>
    <x v="3"/>
    <s v="FIN_EL"/>
    <x v="1"/>
    <x v="1"/>
    <x v="0"/>
    <s v="GEXT_COAL_KYMIJARVI"/>
    <n v="168.18181818181799"/>
    <n v="0.16818181818181799"/>
  </r>
  <r>
    <x v="0"/>
    <x v="0"/>
    <x v="0"/>
    <x v="2"/>
    <x v="3"/>
    <s v="FIN_EL"/>
    <x v="2"/>
    <x v="2"/>
    <x v="0"/>
    <s v="GETOH_ELECTRICBOILER"/>
    <n v="95.6"/>
    <n v="95.6"/>
  </r>
  <r>
    <x v="0"/>
    <x v="0"/>
    <x v="0"/>
    <x v="2"/>
    <x v="3"/>
    <s v="FIN_EL"/>
    <x v="5"/>
    <x v="0"/>
    <x v="0"/>
    <s v="GBPR_NATGAS_FINEL"/>
    <n v="118.88726207906301"/>
    <n v="0.118887262079063"/>
  </r>
  <r>
    <x v="0"/>
    <x v="0"/>
    <x v="0"/>
    <x v="2"/>
    <x v="3"/>
    <s v="FIN_EL"/>
    <x v="5"/>
    <x v="1"/>
    <x v="0"/>
    <s v="GEXT_NATGAS_MERTANIEMI"/>
    <n v="78.776290630975197"/>
    <n v="7.8776290630975201E-2"/>
  </r>
  <r>
    <x v="0"/>
    <x v="0"/>
    <x v="0"/>
    <x v="2"/>
    <x v="3"/>
    <s v="FIN_EL"/>
    <x v="7"/>
    <x v="0"/>
    <x v="0"/>
    <s v="GBPR_WOODCHIPS"/>
    <n v="96.311475409836106"/>
    <n v="9.6311475409836103E-2"/>
  </r>
  <r>
    <x v="0"/>
    <x v="0"/>
    <x v="0"/>
    <x v="2"/>
    <x v="3"/>
    <s v="FIN_EL"/>
    <x v="12"/>
    <x v="0"/>
    <x v="0"/>
    <s v="GBPR_WOODWASTE_FINEL"/>
    <n v="200"/>
    <n v="0.2"/>
  </r>
  <r>
    <x v="0"/>
    <x v="0"/>
    <x v="0"/>
    <x v="2"/>
    <x v="3"/>
    <s v="FIN_ESPOO"/>
    <x v="1"/>
    <x v="0"/>
    <x v="0"/>
    <s v="GBPR_COAL_SUOMENOJA"/>
    <n v="161.98704103671699"/>
    <n v="0.16198704103671699"/>
  </r>
  <r>
    <x v="0"/>
    <x v="0"/>
    <x v="0"/>
    <x v="2"/>
    <x v="3"/>
    <s v="FIN_ESPOO"/>
    <x v="5"/>
    <x v="0"/>
    <x v="0"/>
    <s v="GBPR_NATGAS_SUOMENOJA"/>
    <n v="80.327868852459005"/>
    <n v="8.0327868852459003E-2"/>
  </r>
  <r>
    <x v="0"/>
    <x v="0"/>
    <x v="0"/>
    <x v="2"/>
    <x v="3"/>
    <s v="FIN_ESPOO"/>
    <x v="5"/>
    <x v="0"/>
    <x v="0"/>
    <s v="GBPR_NATGAS_SUOMENOJA2"/>
    <n v="214.00000000000099"/>
    <n v="0.21400000000000099"/>
  </r>
  <r>
    <x v="0"/>
    <x v="0"/>
    <x v="0"/>
    <x v="2"/>
    <x v="3"/>
    <s v="FIN_GAS"/>
    <x v="5"/>
    <x v="0"/>
    <x v="0"/>
    <s v="GBPR_NATGAS_GASAREA"/>
    <n v="111.320754716981"/>
    <n v="0.111320754716981"/>
  </r>
  <r>
    <x v="0"/>
    <x v="0"/>
    <x v="0"/>
    <x v="2"/>
    <x v="3"/>
    <s v="FIN_GAS"/>
    <x v="5"/>
    <x v="1"/>
    <x v="0"/>
    <s v="GEXT_NATGAS_NOKIA"/>
    <n v="40"/>
    <n v="0.04"/>
  </r>
  <r>
    <x v="0"/>
    <x v="0"/>
    <x v="0"/>
    <x v="2"/>
    <x v="3"/>
    <s v="FIN_HELS"/>
    <x v="1"/>
    <x v="0"/>
    <x v="0"/>
    <s v="GBPR_COAL_MARTINLAAKSO"/>
    <n v="254.54545454545499"/>
    <n v="0.25454545454545502"/>
  </r>
  <r>
    <x v="0"/>
    <x v="0"/>
    <x v="0"/>
    <x v="2"/>
    <x v="3"/>
    <s v="FIN_HELS"/>
    <x v="1"/>
    <x v="0"/>
    <x v="0"/>
    <s v="GBPR_COAL_SALMISAARI"/>
    <n v="300"/>
    <n v="0.3"/>
  </r>
  <r>
    <x v="0"/>
    <x v="0"/>
    <x v="0"/>
    <x v="2"/>
    <x v="3"/>
    <s v="FIN_HELS"/>
    <x v="2"/>
    <x v="2"/>
    <x v="0"/>
    <s v="GETOH_HEATPUMP"/>
    <n v="30"/>
    <n v="30"/>
  </r>
  <r>
    <x v="0"/>
    <x v="0"/>
    <x v="0"/>
    <x v="2"/>
    <x v="3"/>
    <s v="FIN_HELS"/>
    <x v="5"/>
    <x v="0"/>
    <x v="0"/>
    <s v="GBPR_NATGAS_MARTINLAAKSOGT"/>
    <n v="75.032341526520099"/>
    <n v="7.5032341526520094E-2"/>
  </r>
  <r>
    <x v="0"/>
    <x v="0"/>
    <x v="0"/>
    <x v="2"/>
    <x v="3"/>
    <s v="FIN_HELS"/>
    <x v="5"/>
    <x v="0"/>
    <x v="0"/>
    <s v="GBPR_NATGAS_VOUSAARI"/>
    <n v="160"/>
    <n v="0.16"/>
  </r>
  <r>
    <x v="0"/>
    <x v="0"/>
    <x v="0"/>
    <x v="2"/>
    <x v="3"/>
    <s v="FIN_HELS"/>
    <x v="5"/>
    <x v="1"/>
    <x v="0"/>
    <s v="GEXT_NATGAS_VOUSAARI"/>
    <n v="432.780847145488"/>
    <n v="0.43278084714548798"/>
  </r>
  <r>
    <x v="0"/>
    <x v="0"/>
    <x v="0"/>
    <x v="2"/>
    <x v="3"/>
    <s v="FIN_HP"/>
    <x v="1"/>
    <x v="0"/>
    <x v="0"/>
    <s v="GBPR_COAL_NAANTALI"/>
    <n v="389"/>
    <n v="0.38900000000000001"/>
  </r>
  <r>
    <x v="0"/>
    <x v="0"/>
    <x v="0"/>
    <x v="2"/>
    <x v="3"/>
    <s v="FIN_HP"/>
    <x v="2"/>
    <x v="2"/>
    <x v="0"/>
    <s v="GETOH_ELECTRICBOILER"/>
    <n v="80"/>
    <n v="80"/>
  </r>
  <r>
    <x v="0"/>
    <x v="0"/>
    <x v="0"/>
    <x v="2"/>
    <x v="3"/>
    <s v="FIN_HP"/>
    <x v="2"/>
    <x v="2"/>
    <x v="0"/>
    <s v="GETOH_HEATPUMP"/>
    <n v="34.200000000000003"/>
    <n v="34.200000000000003"/>
  </r>
  <r>
    <x v="0"/>
    <x v="0"/>
    <x v="0"/>
    <x v="2"/>
    <x v="3"/>
    <s v="FIN_OTHER"/>
    <x v="1"/>
    <x v="0"/>
    <x v="0"/>
    <s v="GBPR_COAL"/>
    <n v="5.2272727272727302"/>
    <n v="5.2272727272727297E-3"/>
  </r>
  <r>
    <x v="0"/>
    <x v="0"/>
    <x v="0"/>
    <x v="2"/>
    <x v="3"/>
    <s v="FIN_OTHER"/>
    <x v="14"/>
    <x v="0"/>
    <x v="0"/>
    <s v="GBPR_HEAVYFUELOIL"/>
    <n v="185"/>
    <n v="0.185"/>
  </r>
  <r>
    <x v="0"/>
    <x v="0"/>
    <x v="0"/>
    <x v="2"/>
    <x v="3"/>
    <s v="FIN_OTHER"/>
    <x v="5"/>
    <x v="0"/>
    <x v="0"/>
    <s v="GBPR_NATGAS_100"/>
    <n v="198.6"/>
    <n v="0.1986"/>
  </r>
  <r>
    <x v="0"/>
    <x v="0"/>
    <x v="0"/>
    <x v="2"/>
    <x v="3"/>
    <s v="FIN_OTHER"/>
    <x v="15"/>
    <x v="0"/>
    <x v="0"/>
    <s v="GBPR_PEAT"/>
    <n v="1068.4426229508199"/>
    <n v="1.0684426229508199"/>
  </r>
  <r>
    <x v="0"/>
    <x v="0"/>
    <x v="0"/>
    <x v="2"/>
    <x v="3"/>
    <s v="FIN_OTHER"/>
    <x v="15"/>
    <x v="1"/>
    <x v="0"/>
    <s v="GEXT_PEAT_KELJONLAHTI"/>
    <n v="250"/>
    <n v="0.25"/>
  </r>
  <r>
    <x v="0"/>
    <x v="0"/>
    <x v="0"/>
    <x v="2"/>
    <x v="3"/>
    <s v="FIN_OTHER"/>
    <x v="15"/>
    <x v="1"/>
    <x v="0"/>
    <s v="GEXT_PEAT_SEVO"/>
    <n v="100"/>
    <n v="0.1"/>
  </r>
  <r>
    <x v="0"/>
    <x v="0"/>
    <x v="0"/>
    <x v="2"/>
    <x v="3"/>
    <s v="FIN_OTHER"/>
    <x v="15"/>
    <x v="1"/>
    <x v="0"/>
    <s v="GEXT_PEAT_TOPPILA"/>
    <n v="170.006071645416"/>
    <n v="0.17000607164541601"/>
  </r>
  <r>
    <x v="0"/>
    <x v="0"/>
    <x v="0"/>
    <x v="2"/>
    <x v="3"/>
    <s v="FIN_OTHER"/>
    <x v="7"/>
    <x v="0"/>
    <x v="0"/>
    <s v="GBPR_WOODCHIPS_FINOTHER"/>
    <n v="536.04060913705598"/>
    <n v="0.53604060913705598"/>
  </r>
  <r>
    <x v="0"/>
    <x v="0"/>
    <x v="0"/>
    <x v="2"/>
    <x v="3"/>
    <s v="FIN_OTHER"/>
    <x v="9"/>
    <x v="0"/>
    <x v="0"/>
    <s v="GBPR_WOODPELLETS"/>
    <n v="2.2540983606557399"/>
    <n v="2.25409836065574E-3"/>
  </r>
  <r>
    <x v="0"/>
    <x v="0"/>
    <x v="0"/>
    <x v="2"/>
    <x v="3"/>
    <s v="FIN_OTHER"/>
    <x v="12"/>
    <x v="0"/>
    <x v="0"/>
    <s v="GBPR_WOODWASTE_FINOTHER"/>
    <n v="304.938271604938"/>
    <n v="0.30493827160493803"/>
  </r>
  <r>
    <x v="0"/>
    <x v="0"/>
    <x v="0"/>
    <x v="2"/>
    <x v="3"/>
    <s v="FIN_TAMP"/>
    <x v="2"/>
    <x v="2"/>
    <x v="0"/>
    <s v="GETOH_ELECTRICBOILER"/>
    <n v="20"/>
    <n v="20"/>
  </r>
  <r>
    <x v="0"/>
    <x v="0"/>
    <x v="0"/>
    <x v="2"/>
    <x v="3"/>
    <s v="FIN_TAMP"/>
    <x v="5"/>
    <x v="1"/>
    <x v="0"/>
    <s v="GEXT_NATGAS_TAMPERE"/>
    <n v="424.24242424242402"/>
    <n v="0.42424242424242398"/>
  </r>
  <r>
    <x v="0"/>
    <x v="0"/>
    <x v="0"/>
    <x v="2"/>
    <x v="3"/>
    <s v="FinA"/>
    <x v="1"/>
    <x v="0"/>
    <x v="0"/>
    <s v="GBPR_COAL_IND"/>
    <n v="45.454545454545503"/>
    <n v="4.5454545454545497E-2"/>
  </r>
  <r>
    <x v="0"/>
    <x v="0"/>
    <x v="0"/>
    <x v="2"/>
    <x v="3"/>
    <s v="FinA"/>
    <x v="8"/>
    <x v="0"/>
    <x v="0"/>
    <s v="GBPR_FUELOIL_IND"/>
    <n v="80"/>
    <n v="0.08"/>
  </r>
  <r>
    <x v="0"/>
    <x v="0"/>
    <x v="0"/>
    <x v="2"/>
    <x v="3"/>
    <s v="FinA"/>
    <x v="5"/>
    <x v="0"/>
    <x v="0"/>
    <s v="GBPR_NATGAS_IND"/>
    <n v="335.45454545454498"/>
    <n v="0.33545454545454501"/>
  </r>
  <r>
    <x v="0"/>
    <x v="0"/>
    <x v="0"/>
    <x v="2"/>
    <x v="3"/>
    <s v="FinA"/>
    <x v="15"/>
    <x v="0"/>
    <x v="0"/>
    <s v="GBPR_PEAT_IND"/>
    <n v="782.71604938271605"/>
    <n v="0.78271604938271599"/>
  </r>
  <r>
    <x v="0"/>
    <x v="0"/>
    <x v="0"/>
    <x v="2"/>
    <x v="3"/>
    <s v="FinA"/>
    <x v="11"/>
    <x v="0"/>
    <x v="0"/>
    <s v="GBPR_IND_BIO"/>
    <n v="681.81818181818198"/>
    <n v="0.68181818181818199"/>
  </r>
  <r>
    <x v="0"/>
    <x v="0"/>
    <x v="0"/>
    <x v="2"/>
    <x v="3"/>
    <s v="FinA"/>
    <x v="11"/>
    <x v="0"/>
    <x v="0"/>
    <s v="GBPR_WOOD_IND"/>
    <n v="2495.9459459459499"/>
    <n v="2.4959459459459499"/>
  </r>
  <r>
    <x v="0"/>
    <x v="0"/>
    <x v="0"/>
    <x v="3"/>
    <x v="4"/>
    <s v="DE4-E_A"/>
    <x v="0"/>
    <x v="0"/>
    <x v="0"/>
    <s v="GNR_ENG_BGAS_BP_E-45"/>
    <n v="3.1341463414634099"/>
    <n v="3.13414634146341E-3"/>
  </r>
  <r>
    <x v="0"/>
    <x v="0"/>
    <x v="0"/>
    <x v="3"/>
    <x v="4"/>
    <s v="DE4-E_A"/>
    <x v="0"/>
    <x v="0"/>
    <x v="0"/>
    <s v="GNR_ST_BGAS_BP_E-38"/>
    <n v="329.142857142857"/>
    <n v="0.32914285714285701"/>
  </r>
  <r>
    <x v="0"/>
    <x v="0"/>
    <x v="0"/>
    <x v="3"/>
    <x v="4"/>
    <s v="DE4-E_A"/>
    <x v="1"/>
    <x v="0"/>
    <x v="0"/>
    <s v="GNR_ST_COAL_BP_E-35"/>
    <n v="165.333333333333"/>
    <n v="0.165333333333333"/>
  </r>
  <r>
    <x v="0"/>
    <x v="0"/>
    <x v="0"/>
    <x v="3"/>
    <x v="4"/>
    <s v="DE4-E_A"/>
    <x v="1"/>
    <x v="0"/>
    <x v="0"/>
    <s v="GNR_ST_COAL_BP_E-40"/>
    <n v="1556"/>
    <n v="1.556"/>
  </r>
  <r>
    <x v="0"/>
    <x v="0"/>
    <x v="0"/>
    <x v="3"/>
    <x v="4"/>
    <s v="DE4-E_A"/>
    <x v="8"/>
    <x v="0"/>
    <x v="0"/>
    <s v="GNR_CC_FUELOIL_BP_E-38"/>
    <n v="77.0833333333333"/>
    <n v="7.7083333333333295E-2"/>
  </r>
  <r>
    <x v="0"/>
    <x v="0"/>
    <x v="0"/>
    <x v="3"/>
    <x v="4"/>
    <s v="DE4-E_A"/>
    <x v="8"/>
    <x v="0"/>
    <x v="0"/>
    <s v="GNR_ST_FUELOIL_BP_E-36"/>
    <n v="434.28571428571399"/>
    <n v="0.434285714285714"/>
  </r>
  <r>
    <x v="0"/>
    <x v="0"/>
    <x v="0"/>
    <x v="3"/>
    <x v="4"/>
    <s v="DE4-E_A"/>
    <x v="8"/>
    <x v="0"/>
    <x v="0"/>
    <s v="GNR_ST_FUELOIL_BP_E-38"/>
    <n v="329.28571428571399"/>
    <n v="0.32928571428571402"/>
  </r>
  <r>
    <x v="0"/>
    <x v="0"/>
    <x v="0"/>
    <x v="3"/>
    <x v="4"/>
    <s v="DE4-E_A"/>
    <x v="16"/>
    <x v="0"/>
    <x v="0"/>
    <s v="GNR_ST_LIGN_BP_E-28"/>
    <n v="169.333333333333"/>
    <n v="0.169333333333333"/>
  </r>
  <r>
    <x v="0"/>
    <x v="0"/>
    <x v="0"/>
    <x v="3"/>
    <x v="4"/>
    <s v="DE4-E_A"/>
    <x v="16"/>
    <x v="0"/>
    <x v="0"/>
    <s v="GNR_ST_LIGN_BP_E-39"/>
    <n v="12428.5333333333"/>
    <n v="12.4285333333333"/>
  </r>
  <r>
    <x v="0"/>
    <x v="0"/>
    <x v="0"/>
    <x v="3"/>
    <x v="4"/>
    <s v="DE4-E_A"/>
    <x v="4"/>
    <x v="0"/>
    <x v="0"/>
    <s v="GNR_ST_MSW_BP_E-33"/>
    <n v="1078.2365298815901"/>
    <n v="1.0782365298815899"/>
  </r>
  <r>
    <x v="0"/>
    <x v="0"/>
    <x v="0"/>
    <x v="3"/>
    <x v="4"/>
    <s v="DE4-E_A"/>
    <x v="5"/>
    <x v="0"/>
    <x v="0"/>
    <s v="GNR_CC_NGAS_BP_E-53"/>
    <n v="1666.5833333333301"/>
    <n v="1.66658333333333"/>
  </r>
  <r>
    <x v="0"/>
    <x v="0"/>
    <x v="0"/>
    <x v="3"/>
    <x v="4"/>
    <s v="DE4-E_A"/>
    <x v="5"/>
    <x v="0"/>
    <x v="0"/>
    <s v="GNR_GT_NGAS_BP_E-38"/>
    <n v="237.57894736842101"/>
    <n v="0.237578947368421"/>
  </r>
  <r>
    <x v="0"/>
    <x v="0"/>
    <x v="0"/>
    <x v="3"/>
    <x v="4"/>
    <s v="DE4-E_A"/>
    <x v="5"/>
    <x v="0"/>
    <x v="0"/>
    <s v="GNR_ST_NGAS_BP_E-31"/>
    <n v="37.857142857142897"/>
    <n v="3.7857142857142902E-2"/>
  </r>
  <r>
    <x v="0"/>
    <x v="0"/>
    <x v="0"/>
    <x v="3"/>
    <x v="4"/>
    <s v="DE4-E_A"/>
    <x v="5"/>
    <x v="0"/>
    <x v="0"/>
    <s v="GNR_ST_NGAS_BP_E-38"/>
    <n v="1747.1428571428601"/>
    <n v="1.74714285714286"/>
  </r>
  <r>
    <x v="0"/>
    <x v="0"/>
    <x v="0"/>
    <x v="3"/>
    <x v="5"/>
    <s v="DE4-N_A"/>
    <x v="0"/>
    <x v="0"/>
    <x v="0"/>
    <s v="GNR_ENG_BGAS_BP_E-45"/>
    <n v="0.58536585365853699"/>
    <n v="5.85365853658537E-4"/>
  </r>
  <r>
    <x v="0"/>
    <x v="0"/>
    <x v="0"/>
    <x v="3"/>
    <x v="5"/>
    <s v="DE4-N_A"/>
    <x v="0"/>
    <x v="0"/>
    <x v="0"/>
    <s v="GNR_ST_BGAS_BP_E-38"/>
    <n v="28.571428571428601"/>
    <n v="2.8571428571428598E-2"/>
  </r>
  <r>
    <x v="0"/>
    <x v="0"/>
    <x v="0"/>
    <x v="3"/>
    <x v="5"/>
    <s v="DE4-N_A"/>
    <x v="1"/>
    <x v="0"/>
    <x v="0"/>
    <s v="GNR_ST_COAL_BP_E-40"/>
    <n v="1232"/>
    <n v="1.232"/>
  </r>
  <r>
    <x v="0"/>
    <x v="0"/>
    <x v="0"/>
    <x v="3"/>
    <x v="5"/>
    <s v="DE4-N_A"/>
    <x v="2"/>
    <x v="2"/>
    <x v="0"/>
    <s v="GNR_BO_ELEC_E-80"/>
    <n v="14.69"/>
    <n v="14.69"/>
  </r>
  <r>
    <x v="0"/>
    <x v="0"/>
    <x v="0"/>
    <x v="3"/>
    <x v="5"/>
    <s v="DE4-N_A"/>
    <x v="8"/>
    <x v="0"/>
    <x v="0"/>
    <s v="GNR_ST_FUELOIL_BP_E-35"/>
    <n v="106.428571428571"/>
    <n v="0.106428571428571"/>
  </r>
  <r>
    <x v="0"/>
    <x v="0"/>
    <x v="0"/>
    <x v="3"/>
    <x v="5"/>
    <s v="DE4-N_A"/>
    <x v="8"/>
    <x v="0"/>
    <x v="0"/>
    <s v="GNR_ST_FUELOIL_BP_E-38"/>
    <n v="54.285714285714299"/>
    <n v="5.4285714285714298E-2"/>
  </r>
  <r>
    <x v="0"/>
    <x v="0"/>
    <x v="0"/>
    <x v="3"/>
    <x v="5"/>
    <s v="DE4-N_A"/>
    <x v="4"/>
    <x v="0"/>
    <x v="0"/>
    <s v="GNR_ST_MSW_BP_E-33"/>
    <n v="138.625580825165"/>
    <n v="0.13862558082516499"/>
  </r>
  <r>
    <x v="0"/>
    <x v="0"/>
    <x v="0"/>
    <x v="3"/>
    <x v="5"/>
    <s v="DE4-N_A"/>
    <x v="5"/>
    <x v="0"/>
    <x v="0"/>
    <s v="GNR_CC_NGAS_BP_E-57"/>
    <n v="105.833333333333"/>
    <n v="0.105833333333333"/>
  </r>
  <r>
    <x v="0"/>
    <x v="0"/>
    <x v="0"/>
    <x v="3"/>
    <x v="5"/>
    <s v="DE4-N_A"/>
    <x v="5"/>
    <x v="0"/>
    <x v="0"/>
    <s v="GNR_ST_NGAS_BP_E-39"/>
    <n v="183.57142857142901"/>
    <n v="0.183571428571429"/>
  </r>
  <r>
    <x v="0"/>
    <x v="0"/>
    <x v="0"/>
    <x v="3"/>
    <x v="6"/>
    <s v="DE4-S_A"/>
    <x v="0"/>
    <x v="0"/>
    <x v="0"/>
    <s v="GNR_ENG_BGAS_BP_E-45"/>
    <n v="57.756097560975597"/>
    <n v="5.7756097560975599E-2"/>
  </r>
  <r>
    <x v="0"/>
    <x v="0"/>
    <x v="0"/>
    <x v="3"/>
    <x v="6"/>
    <s v="DE4-S_A"/>
    <x v="0"/>
    <x v="0"/>
    <x v="0"/>
    <s v="GNR_ST_BGAS_BP_E-38"/>
    <n v="373.142857142857"/>
    <n v="0.373142857142857"/>
  </r>
  <r>
    <x v="0"/>
    <x v="0"/>
    <x v="0"/>
    <x v="3"/>
    <x v="6"/>
    <s v="DE4-S_A"/>
    <x v="1"/>
    <x v="0"/>
    <x v="0"/>
    <s v="GNR_ST_COAL_BP_E-34"/>
    <n v="303.066666666667"/>
    <n v="0.30306666666666698"/>
  </r>
  <r>
    <x v="0"/>
    <x v="0"/>
    <x v="0"/>
    <x v="3"/>
    <x v="6"/>
    <s v="DE4-S_A"/>
    <x v="1"/>
    <x v="0"/>
    <x v="0"/>
    <s v="GNR_ST_COAL_BP_E-43"/>
    <n v="10111.733333333301"/>
    <n v="10.1117333333333"/>
  </r>
  <r>
    <x v="0"/>
    <x v="0"/>
    <x v="0"/>
    <x v="3"/>
    <x v="6"/>
    <s v="DE4-S_A"/>
    <x v="8"/>
    <x v="0"/>
    <x v="0"/>
    <s v="GNR_ST_FUELOIL_BP_E-36"/>
    <n v="1130"/>
    <n v="1.1299999999999999"/>
  </r>
  <r>
    <x v="0"/>
    <x v="0"/>
    <x v="0"/>
    <x v="3"/>
    <x v="6"/>
    <s v="DE4-S_A"/>
    <x v="8"/>
    <x v="0"/>
    <x v="0"/>
    <s v="GNR_ST_FUELOIL_BP_E-38"/>
    <n v="100"/>
    <n v="0.1"/>
  </r>
  <r>
    <x v="0"/>
    <x v="0"/>
    <x v="0"/>
    <x v="3"/>
    <x v="6"/>
    <s v="DE4-S_A"/>
    <x v="4"/>
    <x v="0"/>
    <x v="0"/>
    <s v="GNR_ST_MSW_BP_E-33"/>
    <n v="1352.1065798044699"/>
    <n v="1.35210657980447"/>
  </r>
  <r>
    <x v="0"/>
    <x v="0"/>
    <x v="0"/>
    <x v="3"/>
    <x v="6"/>
    <s v="DE4-S_A"/>
    <x v="5"/>
    <x v="0"/>
    <x v="0"/>
    <s v="GNR_CC_NGAS_BP_E-18"/>
    <n v="30"/>
    <n v="0.03"/>
  </r>
  <r>
    <x v="0"/>
    <x v="0"/>
    <x v="0"/>
    <x v="3"/>
    <x v="6"/>
    <s v="DE4-S_A"/>
    <x v="5"/>
    <x v="0"/>
    <x v="0"/>
    <s v="GNR_CC_NGAS_BP_E-53"/>
    <n v="2706.5833333333298"/>
    <n v="2.70658333333333"/>
  </r>
  <r>
    <x v="0"/>
    <x v="0"/>
    <x v="0"/>
    <x v="3"/>
    <x v="6"/>
    <s v="DE4-S_A"/>
    <x v="5"/>
    <x v="0"/>
    <x v="0"/>
    <s v="GNR_ENG_NGAS_BP_E-46"/>
    <n v="36.7777777777778"/>
    <n v="3.6777777777777798E-2"/>
  </r>
  <r>
    <x v="0"/>
    <x v="0"/>
    <x v="0"/>
    <x v="3"/>
    <x v="6"/>
    <s v="DE4-S_A"/>
    <x v="5"/>
    <x v="0"/>
    <x v="0"/>
    <s v="GNR_GT_NGAS_BP_E-32"/>
    <n v="84.210526315789494"/>
    <n v="8.42105263157895E-2"/>
  </r>
  <r>
    <x v="0"/>
    <x v="0"/>
    <x v="0"/>
    <x v="3"/>
    <x v="6"/>
    <s v="DE4-S_A"/>
    <x v="5"/>
    <x v="0"/>
    <x v="0"/>
    <s v="GNR_GT_NGAS_BP_E-37"/>
    <n v="188.21052631578999"/>
    <n v="0.188210526315789"/>
  </r>
  <r>
    <x v="0"/>
    <x v="0"/>
    <x v="0"/>
    <x v="3"/>
    <x v="6"/>
    <s v="DE4-S_A"/>
    <x v="5"/>
    <x v="0"/>
    <x v="0"/>
    <s v="GNR_ST_NGAS_BP_E-38"/>
    <n v="1408.8571428571399"/>
    <n v="1.4088571428571399"/>
  </r>
  <r>
    <x v="0"/>
    <x v="0"/>
    <x v="0"/>
    <x v="3"/>
    <x v="7"/>
    <s v="DE4-W_A"/>
    <x v="0"/>
    <x v="0"/>
    <x v="0"/>
    <s v="GNR_ENG_BGAS_BP_E-45"/>
    <n v="21.451219512195099"/>
    <n v="2.1451219512195099E-2"/>
  </r>
  <r>
    <x v="0"/>
    <x v="0"/>
    <x v="0"/>
    <x v="3"/>
    <x v="7"/>
    <s v="DE4-W_A"/>
    <x v="0"/>
    <x v="0"/>
    <x v="0"/>
    <s v="GNR_ST_BGAS_BP_E-33"/>
    <n v="47.714285714285701"/>
    <n v="4.7714285714285702E-2"/>
  </r>
  <r>
    <x v="0"/>
    <x v="0"/>
    <x v="0"/>
    <x v="3"/>
    <x v="7"/>
    <s v="DE4-W_A"/>
    <x v="0"/>
    <x v="0"/>
    <x v="0"/>
    <s v="GNR_ST_BGAS_BP_E-38"/>
    <n v="191.857142857143"/>
    <n v="0.191857142857143"/>
  </r>
  <r>
    <x v="0"/>
    <x v="0"/>
    <x v="0"/>
    <x v="3"/>
    <x v="7"/>
    <s v="DE4-W_A"/>
    <x v="1"/>
    <x v="0"/>
    <x v="0"/>
    <s v="GNR_CC_COAL_BP_E-47"/>
    <n v="36.0833333333333"/>
    <n v="3.6083333333333301E-2"/>
  </r>
  <r>
    <x v="0"/>
    <x v="0"/>
    <x v="0"/>
    <x v="3"/>
    <x v="7"/>
    <s v="DE4-W_A"/>
    <x v="1"/>
    <x v="0"/>
    <x v="0"/>
    <s v="GNR_CC_COAL_BP_E-49"/>
    <n v="55"/>
    <n v="5.5E-2"/>
  </r>
  <r>
    <x v="0"/>
    <x v="0"/>
    <x v="0"/>
    <x v="3"/>
    <x v="7"/>
    <s v="DE4-W_A"/>
    <x v="1"/>
    <x v="0"/>
    <x v="0"/>
    <s v="GNR_ST_COAL_BP_E-33"/>
    <n v="2465.86666666667"/>
    <n v="2.46586666666667"/>
  </r>
  <r>
    <x v="0"/>
    <x v="0"/>
    <x v="0"/>
    <x v="3"/>
    <x v="7"/>
    <s v="DE4-W_A"/>
    <x v="1"/>
    <x v="0"/>
    <x v="0"/>
    <s v="GNR_ST_COAL_BP_E-41"/>
    <n v="10239.333333333299"/>
    <n v="10.239333333333301"/>
  </r>
  <r>
    <x v="0"/>
    <x v="0"/>
    <x v="0"/>
    <x v="3"/>
    <x v="7"/>
    <s v="DE4-W_A"/>
    <x v="2"/>
    <x v="2"/>
    <x v="0"/>
    <s v="GNR_BO_ELEC_E-80"/>
    <n v="129.75"/>
    <n v="129.75"/>
  </r>
  <r>
    <x v="0"/>
    <x v="0"/>
    <x v="0"/>
    <x v="3"/>
    <x v="7"/>
    <s v="DE4-W_A"/>
    <x v="8"/>
    <x v="0"/>
    <x v="0"/>
    <s v="GNR_CC_FUELOIL_BP_E-38"/>
    <n v="121.916666666667"/>
    <n v="0.12191666666666701"/>
  </r>
  <r>
    <x v="0"/>
    <x v="0"/>
    <x v="0"/>
    <x v="3"/>
    <x v="7"/>
    <s v="DE4-W_A"/>
    <x v="16"/>
    <x v="0"/>
    <x v="0"/>
    <s v="GNR_ST_LIGN_BP_E-33"/>
    <n v="1048.6666666666699"/>
    <n v="1.04866666666667"/>
  </r>
  <r>
    <x v="0"/>
    <x v="0"/>
    <x v="0"/>
    <x v="3"/>
    <x v="7"/>
    <s v="DE4-W_A"/>
    <x v="16"/>
    <x v="0"/>
    <x v="0"/>
    <s v="GNR_ST_LIGN_BP_E-37"/>
    <n v="4382.2666666666701"/>
    <n v="4.3822666666666699"/>
  </r>
  <r>
    <x v="0"/>
    <x v="0"/>
    <x v="0"/>
    <x v="3"/>
    <x v="7"/>
    <s v="DE4-W_A"/>
    <x v="4"/>
    <x v="0"/>
    <x v="0"/>
    <s v="GNR_ST_MSW_BP_E-33"/>
    <n v="1958.00180136227"/>
    <n v="1.95800180136227"/>
  </r>
  <r>
    <x v="0"/>
    <x v="0"/>
    <x v="0"/>
    <x v="3"/>
    <x v="7"/>
    <s v="DE4-W_A"/>
    <x v="5"/>
    <x v="0"/>
    <x v="0"/>
    <s v="GNR_CC_NGAS_BP_E-39"/>
    <n v="91.25"/>
    <n v="9.1249999999999998E-2"/>
  </r>
  <r>
    <x v="0"/>
    <x v="0"/>
    <x v="0"/>
    <x v="3"/>
    <x v="7"/>
    <s v="DE4-W_A"/>
    <x v="5"/>
    <x v="0"/>
    <x v="0"/>
    <s v="GNR_CC_NGAS_BP_E-55"/>
    <n v="4517.6666666666697"/>
    <n v="4.5176666666666696"/>
  </r>
  <r>
    <x v="0"/>
    <x v="0"/>
    <x v="0"/>
    <x v="3"/>
    <x v="7"/>
    <s v="DE4-W_A"/>
    <x v="5"/>
    <x v="0"/>
    <x v="0"/>
    <s v="GNR_GT_NGAS_BP_E-31"/>
    <n v="109.473684210526"/>
    <n v="0.109473684210526"/>
  </r>
  <r>
    <x v="0"/>
    <x v="0"/>
    <x v="0"/>
    <x v="3"/>
    <x v="7"/>
    <s v="DE4-W_A"/>
    <x v="5"/>
    <x v="0"/>
    <x v="0"/>
    <s v="GNR_GT_NGAS_BP_E-39"/>
    <n v="263.052631578947"/>
    <n v="0.26305263157894698"/>
  </r>
  <r>
    <x v="0"/>
    <x v="0"/>
    <x v="0"/>
    <x v="3"/>
    <x v="7"/>
    <s v="DE4-W_A"/>
    <x v="5"/>
    <x v="0"/>
    <x v="0"/>
    <s v="GNR_ST_NGAS_BP_E-33"/>
    <n v="291.28571428571399"/>
    <n v="0.29128571428571398"/>
  </r>
  <r>
    <x v="0"/>
    <x v="0"/>
    <x v="0"/>
    <x v="3"/>
    <x v="7"/>
    <s v="DE4-W_A"/>
    <x v="5"/>
    <x v="0"/>
    <x v="0"/>
    <s v="GNR_ST_NGAS_BP_E-38"/>
    <n v="3069"/>
    <n v="3.069"/>
  </r>
  <r>
    <x v="0"/>
    <x v="0"/>
    <x v="0"/>
    <x v="4"/>
    <x v="8"/>
    <s v="LV_Other_DH"/>
    <x v="0"/>
    <x v="0"/>
    <x v="0"/>
    <s v="GNR_GT_BGAS_BP_E-30"/>
    <n v="121.56862745098"/>
    <n v="0.12156862745098"/>
  </r>
  <r>
    <x v="0"/>
    <x v="0"/>
    <x v="0"/>
    <x v="4"/>
    <x v="8"/>
    <s v="LV_Other_DH"/>
    <x v="5"/>
    <x v="0"/>
    <x v="0"/>
    <s v="GNR_ST_NGAS_BP_E-28"/>
    <n v="235.470588235294"/>
    <n v="0.23547058823529399"/>
  </r>
  <r>
    <x v="0"/>
    <x v="0"/>
    <x v="0"/>
    <x v="4"/>
    <x v="8"/>
    <s v="LV_Other_DH"/>
    <x v="11"/>
    <x v="0"/>
    <x v="0"/>
    <s v="GNR_ST_WOOD_BP_E-30"/>
    <n v="105.88235294117599"/>
    <n v="0.105882352941176"/>
  </r>
  <r>
    <x v="0"/>
    <x v="0"/>
    <x v="0"/>
    <x v="4"/>
    <x v="8"/>
    <s v="LV_RigaR"/>
    <x v="5"/>
    <x v="0"/>
    <x v="0"/>
    <s v="GNR_ST_NGAS_BP_E-42"/>
    <n v="47.9"/>
    <n v="4.7899999999999998E-2"/>
  </r>
  <r>
    <x v="0"/>
    <x v="0"/>
    <x v="0"/>
    <x v="4"/>
    <x v="8"/>
    <s v="LV_RigaR"/>
    <x v="5"/>
    <x v="0"/>
    <x v="0"/>
    <s v="RIGA-TEC2_CC_NGAS_BP"/>
    <n v="145.45454545454501"/>
    <n v="0.145454545454545"/>
  </r>
  <r>
    <x v="0"/>
    <x v="0"/>
    <x v="0"/>
    <x v="4"/>
    <x v="8"/>
    <s v="LV_RigaR"/>
    <x v="5"/>
    <x v="1"/>
    <x v="0"/>
    <s v="RIGA-TEC2_CC_NGAS_EXT"/>
    <n v="543.82716049382702"/>
    <n v="0.54382716049382696"/>
  </r>
  <r>
    <x v="0"/>
    <x v="0"/>
    <x v="0"/>
    <x v="5"/>
    <x v="9"/>
    <s v="LT_KauU"/>
    <x v="4"/>
    <x v="0"/>
    <x v="0"/>
    <s v="KAUNAS_ST_MSW_BP"/>
    <n v="68.000226667422197"/>
    <n v="6.8000226667422198E-2"/>
  </r>
  <r>
    <x v="0"/>
    <x v="0"/>
    <x v="0"/>
    <x v="5"/>
    <x v="9"/>
    <s v="LT_KauU"/>
    <x v="5"/>
    <x v="1"/>
    <x v="0"/>
    <s v="GNR_ST_NGAS_EXT_E-24"/>
    <n v="185.999795400225"/>
    <n v="0.18599979540022499"/>
  </r>
  <r>
    <x v="0"/>
    <x v="0"/>
    <x v="0"/>
    <x v="5"/>
    <x v="9"/>
    <s v="LT_KauU"/>
    <x v="5"/>
    <x v="1"/>
    <x v="0"/>
    <s v="GNR_ST_NGAS_EXT_E-31"/>
    <n v="202.999970472732"/>
    <n v="0.20299997047273199"/>
  </r>
  <r>
    <x v="0"/>
    <x v="0"/>
    <x v="0"/>
    <x v="5"/>
    <x v="9"/>
    <s v="LT_KlaU"/>
    <x v="11"/>
    <x v="0"/>
    <x v="0"/>
    <s v="KLAIPEDA_ST_WOOD_BP"/>
    <n v="133.691626893408"/>
    <n v="0.13369162689340799"/>
  </r>
  <r>
    <x v="0"/>
    <x v="0"/>
    <x v="0"/>
    <x v="5"/>
    <x v="9"/>
    <s v="LT_Other_DH"/>
    <x v="0"/>
    <x v="1"/>
    <x v="0"/>
    <s v="GNR_ENG_BGAS_EXT_E-33"/>
    <n v="1.5"/>
    <n v="1.5E-3"/>
  </r>
  <r>
    <x v="0"/>
    <x v="0"/>
    <x v="0"/>
    <x v="5"/>
    <x v="9"/>
    <s v="LT_Other_DH"/>
    <x v="8"/>
    <x v="1"/>
    <x v="0"/>
    <s v="GNR_ST_FUELOIL_EXT_E-22"/>
    <n v="433.99952260052498"/>
    <n v="0.43399952260052499"/>
  </r>
  <r>
    <x v="0"/>
    <x v="0"/>
    <x v="0"/>
    <x v="5"/>
    <x v="9"/>
    <s v="LT_Other_DH"/>
    <x v="17"/>
    <x v="0"/>
    <x v="0"/>
    <s v="LIFOSA_ST_HEAT_BP"/>
    <n v="50"/>
    <n v="0.05"/>
  </r>
  <r>
    <x v="0"/>
    <x v="0"/>
    <x v="0"/>
    <x v="5"/>
    <x v="9"/>
    <s v="LT_Other_DH"/>
    <x v="5"/>
    <x v="0"/>
    <x v="0"/>
    <s v="ALYTUS_ENG_NGAS_BP"/>
    <n v="30.6666666666667"/>
    <n v="3.06666666666667E-2"/>
  </r>
  <r>
    <x v="0"/>
    <x v="0"/>
    <x v="0"/>
    <x v="5"/>
    <x v="9"/>
    <s v="LT_Other_DH"/>
    <x v="5"/>
    <x v="0"/>
    <x v="0"/>
    <s v="GNR_ST_GAS_BP-E15"/>
    <n v="90.909090909090907"/>
    <n v="9.0909090909090898E-2"/>
  </r>
  <r>
    <x v="0"/>
    <x v="0"/>
    <x v="0"/>
    <x v="5"/>
    <x v="9"/>
    <s v="LT_Other_DH"/>
    <x v="5"/>
    <x v="1"/>
    <x v="0"/>
    <s v="ACHEMA1_ST_NGAS_EXT"/>
    <n v="25"/>
    <n v="2.5000000000000001E-2"/>
  </r>
  <r>
    <x v="0"/>
    <x v="0"/>
    <x v="0"/>
    <x v="5"/>
    <x v="9"/>
    <s v="LT_Other_DH"/>
    <x v="5"/>
    <x v="1"/>
    <x v="0"/>
    <s v="ACHEMA2_ST_NGAS_EXT"/>
    <n v="90.000038297888693"/>
    <n v="9.0000038297888593E-2"/>
  </r>
  <r>
    <x v="0"/>
    <x v="0"/>
    <x v="0"/>
    <x v="5"/>
    <x v="9"/>
    <s v="LT_Other_DH"/>
    <x v="5"/>
    <x v="1"/>
    <x v="0"/>
    <s v="GNR_ENG_NGAS_EXT_E-43"/>
    <n v="5"/>
    <n v="5.0000000000000001E-3"/>
  </r>
  <r>
    <x v="0"/>
    <x v="0"/>
    <x v="0"/>
    <x v="5"/>
    <x v="9"/>
    <s v="LT_Other_DH"/>
    <x v="12"/>
    <x v="0"/>
    <x v="0"/>
    <s v="EBAVERE_ST_WOODWST_BP"/>
    <n v="27.3684210526316"/>
    <n v="2.7368421052631601E-2"/>
  </r>
  <r>
    <x v="0"/>
    <x v="0"/>
    <x v="0"/>
    <x v="5"/>
    <x v="9"/>
    <s v="LT_Panevezys"/>
    <x v="5"/>
    <x v="0"/>
    <x v="0"/>
    <s v="GNR_CC_NGAS_BP_E-42"/>
    <n v="35"/>
    <n v="3.5000000000000003E-2"/>
  </r>
  <r>
    <x v="0"/>
    <x v="0"/>
    <x v="0"/>
    <x v="5"/>
    <x v="9"/>
    <s v="LT_Panevezys"/>
    <x v="11"/>
    <x v="1"/>
    <x v="0"/>
    <s v="GNR_ST_WOOD_EXT_E-14"/>
    <n v="25"/>
    <n v="2.5000000000000001E-2"/>
  </r>
  <r>
    <x v="0"/>
    <x v="0"/>
    <x v="0"/>
    <x v="5"/>
    <x v="9"/>
    <s v="LT_SiaU"/>
    <x v="11"/>
    <x v="0"/>
    <x v="0"/>
    <s v="SIAULIAI_ST_WOOD_BP"/>
    <n v="37.241379310344797"/>
    <n v="3.7241379310344797E-2"/>
  </r>
  <r>
    <x v="0"/>
    <x v="0"/>
    <x v="0"/>
    <x v="5"/>
    <x v="9"/>
    <s v="LT_VilU"/>
    <x v="4"/>
    <x v="0"/>
    <x v="0"/>
    <s v="VILNIUS_ST_MSW_BP"/>
    <n v="226.99795208369301"/>
    <n v="0.226997952083693"/>
  </r>
  <r>
    <x v="0"/>
    <x v="0"/>
    <x v="0"/>
    <x v="5"/>
    <x v="9"/>
    <s v="LT_VilU"/>
    <x v="5"/>
    <x v="1"/>
    <x v="0"/>
    <s v="GNR_ST_NGAS_EXT_E-39"/>
    <n v="604.00049662263098"/>
    <n v="0.604000496622631"/>
  </r>
  <r>
    <x v="0"/>
    <x v="0"/>
    <x v="0"/>
    <x v="5"/>
    <x v="9"/>
    <s v="LT_VilU"/>
    <x v="11"/>
    <x v="0"/>
    <x v="0"/>
    <s v="VILNIUS_ST_WOOD_BP"/>
    <n v="62.5"/>
    <n v="6.25E-2"/>
  </r>
  <r>
    <x v="0"/>
    <x v="0"/>
    <x v="0"/>
    <x v="6"/>
    <x v="10"/>
    <s v="NO1_A1"/>
    <x v="2"/>
    <x v="2"/>
    <x v="0"/>
    <s v="GETOH_ELECTRICBOILER"/>
    <n v="92.698999999999998"/>
    <n v="92.698999999999998"/>
  </r>
  <r>
    <x v="0"/>
    <x v="0"/>
    <x v="0"/>
    <x v="6"/>
    <x v="10"/>
    <s v="NO1_A1"/>
    <x v="2"/>
    <x v="2"/>
    <x v="0"/>
    <s v="GETOH_HEATPUMP"/>
    <n v="172.45599999999999"/>
    <n v="172.45599999999999"/>
  </r>
  <r>
    <x v="0"/>
    <x v="0"/>
    <x v="0"/>
    <x v="6"/>
    <x v="10"/>
    <s v="NO1_A1"/>
    <x v="4"/>
    <x v="0"/>
    <x v="0"/>
    <s v="GBPR_MUNIWASTE"/>
    <n v="26.451612903225801"/>
    <n v="2.6451612903225799E-2"/>
  </r>
  <r>
    <x v="0"/>
    <x v="0"/>
    <x v="0"/>
    <x v="6"/>
    <x v="10"/>
    <s v="NO1_A2"/>
    <x v="2"/>
    <x v="2"/>
    <x v="0"/>
    <s v="GETOH_ELECTRICBOILER"/>
    <n v="246"/>
    <n v="246"/>
  </r>
  <r>
    <x v="0"/>
    <x v="0"/>
    <x v="0"/>
    <x v="6"/>
    <x v="10"/>
    <s v="NO1_A2"/>
    <x v="2"/>
    <x v="2"/>
    <x v="0"/>
    <s v="GETOH_HEATPUMP"/>
    <n v="30"/>
    <n v="30"/>
  </r>
  <r>
    <x v="0"/>
    <x v="0"/>
    <x v="0"/>
    <x v="6"/>
    <x v="10"/>
    <s v="NO1_A2"/>
    <x v="4"/>
    <x v="0"/>
    <x v="0"/>
    <s v="GBPR_MUNIWASTE"/>
    <n v="35.784946236558703"/>
    <n v="3.5784946236558701E-2"/>
  </r>
  <r>
    <x v="0"/>
    <x v="0"/>
    <x v="0"/>
    <x v="6"/>
    <x v="11"/>
    <s v="NO2_A1"/>
    <x v="2"/>
    <x v="2"/>
    <x v="0"/>
    <s v="GETOH_ELECTRICBOILER"/>
    <n v="43.262"/>
    <n v="43.262"/>
  </r>
  <r>
    <x v="0"/>
    <x v="0"/>
    <x v="0"/>
    <x v="6"/>
    <x v="11"/>
    <s v="NO2_A1"/>
    <x v="2"/>
    <x v="2"/>
    <x v="0"/>
    <s v="GETOH_HEATPUMP"/>
    <n v="1.98"/>
    <n v="1.98"/>
  </r>
  <r>
    <x v="0"/>
    <x v="0"/>
    <x v="0"/>
    <x v="6"/>
    <x v="11"/>
    <s v="NO2_A1"/>
    <x v="4"/>
    <x v="0"/>
    <x v="0"/>
    <s v="GBPR_MUNIWASTE"/>
    <n v="34.838709677419402"/>
    <n v="3.4838709677419401E-2"/>
  </r>
  <r>
    <x v="0"/>
    <x v="0"/>
    <x v="0"/>
    <x v="6"/>
    <x v="12"/>
    <s v="NO3_A1"/>
    <x v="2"/>
    <x v="2"/>
    <x v="0"/>
    <s v="GETOH_ELECTRICBOILER"/>
    <n v="25.835000000000001"/>
    <n v="25.835000000000001"/>
  </r>
  <r>
    <x v="0"/>
    <x v="0"/>
    <x v="0"/>
    <x v="6"/>
    <x v="12"/>
    <s v="NO3_A1"/>
    <x v="2"/>
    <x v="2"/>
    <x v="0"/>
    <s v="GETOH_HEATPUMP3"/>
    <n v="11.46"/>
    <n v="11.46"/>
  </r>
  <r>
    <x v="0"/>
    <x v="0"/>
    <x v="0"/>
    <x v="6"/>
    <x v="12"/>
    <s v="NO3_A1"/>
    <x v="4"/>
    <x v="0"/>
    <x v="0"/>
    <s v="GBPR_MUNIWASTE"/>
    <n v="13.8387096774194"/>
    <n v="1.3838709677419399E-2"/>
  </r>
  <r>
    <x v="0"/>
    <x v="0"/>
    <x v="0"/>
    <x v="6"/>
    <x v="12"/>
    <s v="NO3_A2"/>
    <x v="2"/>
    <x v="2"/>
    <x v="0"/>
    <s v="GETOH_ELECTRICBOILER"/>
    <n v="88.5"/>
    <n v="88.5"/>
  </r>
  <r>
    <x v="0"/>
    <x v="0"/>
    <x v="0"/>
    <x v="6"/>
    <x v="12"/>
    <s v="NO3_A2"/>
    <x v="2"/>
    <x v="2"/>
    <x v="0"/>
    <s v="GETOH_HEATPUMP"/>
    <n v="1"/>
    <n v="1"/>
  </r>
  <r>
    <x v="0"/>
    <x v="0"/>
    <x v="0"/>
    <x v="6"/>
    <x v="13"/>
    <s v="NO4_A1"/>
    <x v="2"/>
    <x v="2"/>
    <x v="0"/>
    <s v="GETOH_ELECTRICBOILER"/>
    <n v="40.384999999999998"/>
    <n v="40.384999999999998"/>
  </r>
  <r>
    <x v="0"/>
    <x v="0"/>
    <x v="0"/>
    <x v="6"/>
    <x v="13"/>
    <s v="NO4_A1"/>
    <x v="2"/>
    <x v="2"/>
    <x v="0"/>
    <s v="GETOH_HEATPUMP"/>
    <n v="6.53"/>
    <n v="6.53"/>
  </r>
  <r>
    <x v="0"/>
    <x v="0"/>
    <x v="0"/>
    <x v="6"/>
    <x v="13"/>
    <s v="NO4_A1"/>
    <x v="4"/>
    <x v="0"/>
    <x v="0"/>
    <s v="GBPR_MUNIWASTE"/>
    <n v="0.54193548387096802"/>
    <n v="5.4193548387096804E-4"/>
  </r>
  <r>
    <x v="0"/>
    <x v="0"/>
    <x v="0"/>
    <x v="6"/>
    <x v="14"/>
    <s v="NO5_A1"/>
    <x v="2"/>
    <x v="2"/>
    <x v="0"/>
    <s v="GETOH_ELECTRICBOILER"/>
    <n v="16.600000000000001"/>
    <n v="16.600000000000001"/>
  </r>
  <r>
    <x v="0"/>
    <x v="0"/>
    <x v="0"/>
    <x v="6"/>
    <x v="14"/>
    <s v="NO5_A1"/>
    <x v="2"/>
    <x v="2"/>
    <x v="0"/>
    <s v="GETOH_HEATPUMP"/>
    <n v="0.75"/>
    <n v="0.75"/>
  </r>
  <r>
    <x v="0"/>
    <x v="0"/>
    <x v="0"/>
    <x v="6"/>
    <x v="14"/>
    <s v="NO5_A1"/>
    <x v="4"/>
    <x v="0"/>
    <x v="0"/>
    <s v="GBPR_MUNIWASTE"/>
    <n v="25.806451612903199"/>
    <n v="2.5806451612903201E-2"/>
  </r>
  <r>
    <x v="0"/>
    <x v="0"/>
    <x v="0"/>
    <x v="7"/>
    <x v="15"/>
    <s v="PL_A"/>
    <x v="1"/>
    <x v="0"/>
    <x v="0"/>
    <s v="BIEL-4_ST_COAL_BP"/>
    <n v="106.666666666667"/>
    <n v="0.10666666666666701"/>
  </r>
  <r>
    <x v="0"/>
    <x v="0"/>
    <x v="0"/>
    <x v="7"/>
    <x v="15"/>
    <s v="PL_A"/>
    <x v="1"/>
    <x v="0"/>
    <x v="0"/>
    <s v="CHOR2-1_ST_COAL_BP"/>
    <n v="453.33333333333297"/>
    <n v="0.45333333333333298"/>
  </r>
  <r>
    <x v="0"/>
    <x v="0"/>
    <x v="0"/>
    <x v="7"/>
    <x v="15"/>
    <s v="PL_A"/>
    <x v="1"/>
    <x v="0"/>
    <x v="0"/>
    <s v="GDAN2-1_ST_COAL_BP"/>
    <n v="1637.7777777777801"/>
    <n v="1.63777777777778"/>
  </r>
  <r>
    <x v="0"/>
    <x v="0"/>
    <x v="0"/>
    <x v="7"/>
    <x v="15"/>
    <s v="PL_A"/>
    <x v="1"/>
    <x v="0"/>
    <x v="0"/>
    <s v="GNR_ST_COAL_BP_E-15"/>
    <n v="3400"/>
    <n v="3.4"/>
  </r>
  <r>
    <x v="0"/>
    <x v="0"/>
    <x v="0"/>
    <x v="7"/>
    <x v="15"/>
    <s v="PL_A"/>
    <x v="1"/>
    <x v="0"/>
    <x v="0"/>
    <s v="JAWO2-1_ST_COAL_BP"/>
    <n v="4342"/>
    <n v="4.3419999999999996"/>
  </r>
  <r>
    <x v="0"/>
    <x v="0"/>
    <x v="0"/>
    <x v="7"/>
    <x v="15"/>
    <s v="PL_A"/>
    <x v="1"/>
    <x v="0"/>
    <x v="0"/>
    <s v="KARO-2_ST_COAL_BP"/>
    <n v="396"/>
    <n v="0.39600000000000002"/>
  </r>
  <r>
    <x v="0"/>
    <x v="0"/>
    <x v="0"/>
    <x v="7"/>
    <x v="15"/>
    <s v="PL_A"/>
    <x v="1"/>
    <x v="0"/>
    <x v="0"/>
    <s v="KATO_ST_COAL_BP"/>
    <n v="175.71428571428601"/>
    <n v="0.17571428571428599"/>
  </r>
  <r>
    <x v="0"/>
    <x v="0"/>
    <x v="0"/>
    <x v="7"/>
    <x v="15"/>
    <s v="PL_A"/>
    <x v="1"/>
    <x v="0"/>
    <x v="0"/>
    <s v="KRLEG-1_ST_COAL_BP"/>
    <n v="358.33333333333297"/>
    <n v="0.358333333333333"/>
  </r>
  <r>
    <x v="0"/>
    <x v="0"/>
    <x v="0"/>
    <x v="7"/>
    <x v="15"/>
    <s v="PL_A"/>
    <x v="1"/>
    <x v="0"/>
    <x v="0"/>
    <s v="SIEK-1_ST_COAL_BP"/>
    <n v="693.33333333333303"/>
    <n v="0.69333333333333302"/>
  </r>
  <r>
    <x v="0"/>
    <x v="0"/>
    <x v="0"/>
    <x v="7"/>
    <x v="15"/>
    <s v="PL_A"/>
    <x v="1"/>
    <x v="0"/>
    <x v="0"/>
    <s v="SIER-1_ST_COAL_BP"/>
    <n v="623"/>
    <n v="0.623"/>
  </r>
  <r>
    <x v="0"/>
    <x v="0"/>
    <x v="0"/>
    <x v="7"/>
    <x v="15"/>
    <s v="PL_A"/>
    <x v="1"/>
    <x v="0"/>
    <x v="0"/>
    <s v="SKAW-1_ST_COAL_BP"/>
    <n v="1110"/>
    <n v="1.1100000000000001"/>
  </r>
  <r>
    <x v="0"/>
    <x v="0"/>
    <x v="0"/>
    <x v="7"/>
    <x v="15"/>
    <s v="PL_A"/>
    <x v="1"/>
    <x v="0"/>
    <x v="0"/>
    <s v="TYCH_ST_COAL_BP"/>
    <n v="72"/>
    <n v="7.1999999999999995E-2"/>
  </r>
  <r>
    <x v="0"/>
    <x v="0"/>
    <x v="0"/>
    <x v="7"/>
    <x v="15"/>
    <s v="PL_A"/>
    <x v="1"/>
    <x v="0"/>
    <x v="0"/>
    <s v="ZABR-3_ST_COAL_BP"/>
    <n v="38.461538461538503"/>
    <n v="3.8461538461538498E-2"/>
  </r>
  <r>
    <x v="0"/>
    <x v="0"/>
    <x v="0"/>
    <x v="7"/>
    <x v="15"/>
    <s v="PL_A"/>
    <x v="1"/>
    <x v="0"/>
    <x v="0"/>
    <s v="ZIEL-2_ST_COAL_BP"/>
    <n v="11"/>
    <n v="1.0999999999999999E-2"/>
  </r>
  <r>
    <x v="0"/>
    <x v="0"/>
    <x v="0"/>
    <x v="7"/>
    <x v="15"/>
    <s v="PL_A"/>
    <x v="1"/>
    <x v="0"/>
    <x v="0"/>
    <s v="ZIEL-4_ST_COAL_BP"/>
    <n v="60"/>
    <n v="0.06"/>
  </r>
  <r>
    <x v="0"/>
    <x v="0"/>
    <x v="0"/>
    <x v="7"/>
    <x v="15"/>
    <s v="PL_A"/>
    <x v="1"/>
    <x v="1"/>
    <x v="0"/>
    <s v="CORZ-3_ST_COAL_EXT"/>
    <n v="62.5"/>
    <n v="6.25E-2"/>
  </r>
  <r>
    <x v="0"/>
    <x v="0"/>
    <x v="0"/>
    <x v="7"/>
    <x v="15"/>
    <s v="PL_A"/>
    <x v="1"/>
    <x v="1"/>
    <x v="0"/>
    <s v="CZEC-1_ST_COAL_EXT"/>
    <n v="918.53932584269705"/>
    <n v="0.91853932584269704"/>
  </r>
  <r>
    <x v="0"/>
    <x v="0"/>
    <x v="0"/>
    <x v="7"/>
    <x v="15"/>
    <s v="PL_A"/>
    <x v="1"/>
    <x v="1"/>
    <x v="0"/>
    <s v="DOLN-1_ST_COAL_EXT"/>
    <n v="63.75"/>
    <n v="6.3750000000000001E-2"/>
  </r>
  <r>
    <x v="0"/>
    <x v="0"/>
    <x v="0"/>
    <x v="7"/>
    <x v="15"/>
    <s v="PL_A"/>
    <x v="1"/>
    <x v="1"/>
    <x v="0"/>
    <s v="KARO-1_ST_COAL_EXT"/>
    <n v="102.127659574468"/>
    <n v="0.102127659574468"/>
  </r>
  <r>
    <x v="0"/>
    <x v="0"/>
    <x v="0"/>
    <x v="7"/>
    <x v="15"/>
    <s v="PL_A"/>
    <x v="1"/>
    <x v="1"/>
    <x v="0"/>
    <s v="KOZI-1_ST_COAL_EXT"/>
    <n v="266.66666666666703"/>
    <n v="0.266666666666667"/>
  </r>
  <r>
    <x v="0"/>
    <x v="0"/>
    <x v="0"/>
    <x v="7"/>
    <x v="15"/>
    <s v="PL_A"/>
    <x v="1"/>
    <x v="1"/>
    <x v="0"/>
    <s v="KRLEG-3_ST_COAL_EXT"/>
    <n v="329.31034482758599"/>
    <n v="0.32931034482758598"/>
  </r>
  <r>
    <x v="0"/>
    <x v="0"/>
    <x v="0"/>
    <x v="7"/>
    <x v="15"/>
    <s v="PL_A"/>
    <x v="1"/>
    <x v="1"/>
    <x v="0"/>
    <s v="LAZI-1_ST_COAL_EXT"/>
    <n v="196.245733788396"/>
    <n v="0.19624573378839599"/>
  </r>
  <r>
    <x v="0"/>
    <x v="0"/>
    <x v="0"/>
    <x v="7"/>
    <x v="15"/>
    <s v="PL_A"/>
    <x v="1"/>
    <x v="1"/>
    <x v="0"/>
    <s v="MIEC_ST_COAL_EXT"/>
    <n v="150"/>
    <n v="0.15"/>
  </r>
  <r>
    <x v="0"/>
    <x v="0"/>
    <x v="0"/>
    <x v="7"/>
    <x v="15"/>
    <s v="PL_A"/>
    <x v="1"/>
    <x v="1"/>
    <x v="0"/>
    <s v="RYBN-1_ST_COAL_EXT"/>
    <n v="57.2222222222222"/>
    <n v="5.7222222222222202E-2"/>
  </r>
  <r>
    <x v="0"/>
    <x v="0"/>
    <x v="0"/>
    <x v="7"/>
    <x v="15"/>
    <s v="PL_A"/>
    <x v="1"/>
    <x v="1"/>
    <x v="0"/>
    <s v="SIEK-1_ST_COAL_EXT"/>
    <n v="92.783505154639201"/>
    <n v="9.2783505154639206E-2"/>
  </r>
  <r>
    <x v="0"/>
    <x v="0"/>
    <x v="0"/>
    <x v="7"/>
    <x v="15"/>
    <s v="PL_A"/>
    <x v="1"/>
    <x v="1"/>
    <x v="0"/>
    <s v="SIEK-8_ST_COAL_EXT"/>
    <n v="424.44444444444503"/>
    <n v="0.42444444444444501"/>
  </r>
  <r>
    <x v="0"/>
    <x v="0"/>
    <x v="0"/>
    <x v="7"/>
    <x v="15"/>
    <s v="PL_A"/>
    <x v="1"/>
    <x v="1"/>
    <x v="0"/>
    <s v="ZABR-1_ST_COAL_EXT"/>
    <n v="107.69230769230801"/>
    <n v="0.107692307692308"/>
  </r>
  <r>
    <x v="0"/>
    <x v="0"/>
    <x v="0"/>
    <x v="7"/>
    <x v="15"/>
    <s v="PL_A"/>
    <x v="1"/>
    <x v="1"/>
    <x v="0"/>
    <s v="ZABR-2_ST_COAL_EXT"/>
    <n v="115.384615384615"/>
    <n v="0.115384615384615"/>
  </r>
  <r>
    <x v="0"/>
    <x v="0"/>
    <x v="0"/>
    <x v="7"/>
    <x v="15"/>
    <s v="PL_A"/>
    <x v="1"/>
    <x v="1"/>
    <x v="0"/>
    <s v="ZERA-7_ST_COAL_EXT"/>
    <n v="254.54545454545499"/>
    <n v="0.25454545454545502"/>
  </r>
  <r>
    <x v="0"/>
    <x v="0"/>
    <x v="0"/>
    <x v="7"/>
    <x v="15"/>
    <s v="PL_A"/>
    <x v="1"/>
    <x v="1"/>
    <x v="0"/>
    <s v="ZERA-8_ST_COAL_EXT"/>
    <n v="254.54545454545499"/>
    <n v="0.25454545454545502"/>
  </r>
  <r>
    <x v="0"/>
    <x v="0"/>
    <x v="0"/>
    <x v="7"/>
    <x v="15"/>
    <s v="PL_A"/>
    <x v="8"/>
    <x v="0"/>
    <x v="0"/>
    <s v="GNR_ST_FUELOIL_BP_E-15"/>
    <n v="1100"/>
    <n v="1.1000000000000001"/>
  </r>
  <r>
    <x v="0"/>
    <x v="0"/>
    <x v="0"/>
    <x v="7"/>
    <x v="15"/>
    <s v="PL_A"/>
    <x v="16"/>
    <x v="1"/>
    <x v="0"/>
    <s v="ADAM-1_ST_LIGNITE_EXT"/>
    <n v="99.090909090909093"/>
    <n v="9.9090909090909104E-2"/>
  </r>
  <r>
    <x v="0"/>
    <x v="0"/>
    <x v="0"/>
    <x v="7"/>
    <x v="15"/>
    <s v="PL_A"/>
    <x v="16"/>
    <x v="1"/>
    <x v="0"/>
    <s v="BELC-1_ST_LIGNITE_EXT"/>
    <n v="375.824175824176"/>
    <n v="0.37582417582417599"/>
  </r>
  <r>
    <x v="0"/>
    <x v="0"/>
    <x v="0"/>
    <x v="7"/>
    <x v="15"/>
    <s v="PL_A"/>
    <x v="4"/>
    <x v="1"/>
    <x v="0"/>
    <s v="GNR_ST_MSW_BP_E-15"/>
    <m/>
    <m/>
  </r>
  <r>
    <x v="0"/>
    <x v="0"/>
    <x v="0"/>
    <x v="7"/>
    <x v="15"/>
    <s v="PL_A"/>
    <x v="5"/>
    <x v="0"/>
    <x v="0"/>
    <s v="GORZ-4_ST_NGAS_BP"/>
    <n v="104"/>
    <n v="0.104"/>
  </r>
  <r>
    <x v="0"/>
    <x v="0"/>
    <x v="0"/>
    <x v="7"/>
    <x v="15"/>
    <s v="PL_A"/>
    <x v="5"/>
    <x v="0"/>
    <x v="0"/>
    <s v="NOWA-1_ST_NGAS_BP"/>
    <n v="127"/>
    <n v="0.127"/>
  </r>
  <r>
    <x v="0"/>
    <x v="0"/>
    <x v="0"/>
    <x v="7"/>
    <x v="15"/>
    <s v="PL_A"/>
    <x v="5"/>
    <x v="0"/>
    <x v="0"/>
    <s v="RZES-2_ST_NGAS_BP"/>
    <n v="32"/>
    <n v="3.2000000000000001E-2"/>
  </r>
  <r>
    <x v="0"/>
    <x v="0"/>
    <x v="0"/>
    <x v="7"/>
    <x v="15"/>
    <s v="PL_A"/>
    <x v="5"/>
    <x v="0"/>
    <x v="0"/>
    <s v="ZIEL-1_ST_NGAS_BP"/>
    <n v="10"/>
    <n v="0.01"/>
  </r>
  <r>
    <x v="0"/>
    <x v="0"/>
    <x v="0"/>
    <x v="7"/>
    <x v="15"/>
    <s v="PL_A"/>
    <x v="5"/>
    <x v="0"/>
    <x v="0"/>
    <s v="ZIEL-3_ST_NGAS_BP"/>
    <n v="120"/>
    <n v="0.12"/>
  </r>
  <r>
    <x v="0"/>
    <x v="0"/>
    <x v="0"/>
    <x v="7"/>
    <x v="15"/>
    <s v="PL_A"/>
    <x v="5"/>
    <x v="1"/>
    <x v="0"/>
    <s v="GNR_ST_NGAS_BP_E-15"/>
    <m/>
    <m/>
  </r>
  <r>
    <x v="0"/>
    <x v="0"/>
    <x v="0"/>
    <x v="7"/>
    <x v="15"/>
    <s v="PL_A"/>
    <x v="6"/>
    <x v="0"/>
    <x v="0"/>
    <s v="BIAL-1_ST_STRAW_BP"/>
    <n v="320"/>
    <n v="0.32"/>
  </r>
  <r>
    <x v="0"/>
    <x v="0"/>
    <x v="0"/>
    <x v="7"/>
    <x v="15"/>
    <s v="PL_A"/>
    <x v="6"/>
    <x v="0"/>
    <x v="0"/>
    <s v="GNR_ST_STRAW_BP_E-15"/>
    <n v="410"/>
    <n v="0.41"/>
  </r>
  <r>
    <x v="0"/>
    <x v="0"/>
    <x v="0"/>
    <x v="7"/>
    <x v="15"/>
    <s v="PL_A"/>
    <x v="6"/>
    <x v="1"/>
    <x v="0"/>
    <s v="LODZ-3_ST_STRAW_EXT"/>
    <n v="200"/>
    <n v="0.2"/>
  </r>
  <r>
    <x v="0"/>
    <x v="0"/>
    <x v="0"/>
    <x v="7"/>
    <x v="15"/>
    <s v="PL_A"/>
    <x v="11"/>
    <x v="1"/>
    <x v="0"/>
    <s v="GNR_ST_WOOD_EXT_E-45"/>
    <n v="1815.38461538462"/>
    <n v="1.81538461538462"/>
  </r>
  <r>
    <x v="0"/>
    <x v="0"/>
    <x v="0"/>
    <x v="7"/>
    <x v="15"/>
    <s v="PL_Rural"/>
    <x v="1"/>
    <x v="0"/>
    <x v="0"/>
    <s v="SZCZ-1_ST_COAL_BP"/>
    <n v="122.222222222222"/>
    <n v="0.122222222222222"/>
  </r>
  <r>
    <x v="0"/>
    <x v="0"/>
    <x v="0"/>
    <x v="7"/>
    <x v="15"/>
    <s v="PL_Rural"/>
    <x v="1"/>
    <x v="0"/>
    <x v="0"/>
    <s v="TURO-1_ST_COAL_BP"/>
    <n v="681"/>
    <n v="0.68100000000000005"/>
  </r>
  <r>
    <x v="0"/>
    <x v="0"/>
    <x v="0"/>
    <x v="8"/>
    <x v="16"/>
    <s v="SE1A"/>
    <x v="8"/>
    <x v="0"/>
    <x v="0"/>
    <s v="GBPR_IND_FOSSILE"/>
    <n v="227.272727272727"/>
    <n v="0.22727272727272699"/>
  </r>
  <r>
    <x v="0"/>
    <x v="0"/>
    <x v="0"/>
    <x v="8"/>
    <x v="16"/>
    <s v="SE1A"/>
    <x v="11"/>
    <x v="0"/>
    <x v="0"/>
    <s v="GBPR_IND_BIO"/>
    <n v="293.18181818181802"/>
    <n v="0.29318181818181799"/>
  </r>
  <r>
    <x v="0"/>
    <x v="0"/>
    <x v="0"/>
    <x v="8"/>
    <x v="16"/>
    <s v="SE1_EL"/>
    <x v="2"/>
    <x v="2"/>
    <x v="0"/>
    <s v="GETOH_ELECTRICBOILER"/>
    <n v="76.075000000000003"/>
    <n v="76.075000000000003"/>
  </r>
  <r>
    <x v="0"/>
    <x v="0"/>
    <x v="0"/>
    <x v="8"/>
    <x v="16"/>
    <s v="SE1_EL"/>
    <x v="4"/>
    <x v="0"/>
    <x v="0"/>
    <s v="GBPR_MUNIWASTE"/>
    <n v="22.580645161290299"/>
    <n v="2.25806451612903E-2"/>
  </r>
  <r>
    <x v="0"/>
    <x v="0"/>
    <x v="0"/>
    <x v="8"/>
    <x v="16"/>
    <s v="SE1_EL"/>
    <x v="12"/>
    <x v="0"/>
    <x v="0"/>
    <s v="GBPR_WOODWASTE_25"/>
    <n v="9.0092133238837597"/>
    <n v="9.0092133238837604E-3"/>
  </r>
  <r>
    <x v="0"/>
    <x v="0"/>
    <x v="0"/>
    <x v="8"/>
    <x v="16"/>
    <s v="SE1_OTHER"/>
    <x v="5"/>
    <x v="0"/>
    <x v="0"/>
    <s v="GBPR_NATGAS"/>
    <n v="3.43839541547278"/>
    <n v="3.4383954154727798E-3"/>
  </r>
  <r>
    <x v="0"/>
    <x v="0"/>
    <x v="0"/>
    <x v="8"/>
    <x v="16"/>
    <s v="SE1_OTHER"/>
    <x v="15"/>
    <x v="0"/>
    <x v="0"/>
    <s v="GBPR_PEAT_38"/>
    <n v="24.210526315789501"/>
    <n v="2.4210526315789498E-2"/>
  </r>
  <r>
    <x v="0"/>
    <x v="0"/>
    <x v="0"/>
    <x v="8"/>
    <x v="16"/>
    <s v="SE1_OTHER"/>
    <x v="7"/>
    <x v="0"/>
    <x v="0"/>
    <s v="GBPR_WOODCHIPS_25"/>
    <n v="12"/>
    <n v="1.2E-2"/>
  </r>
  <r>
    <x v="0"/>
    <x v="0"/>
    <x v="0"/>
    <x v="8"/>
    <x v="16"/>
    <s v="SE1_OTHER"/>
    <x v="12"/>
    <x v="0"/>
    <x v="0"/>
    <s v="GBPR_WOODWASTE"/>
    <n v="69.672131147540995"/>
    <n v="6.9672131147541005E-2"/>
  </r>
  <r>
    <x v="0"/>
    <x v="0"/>
    <x v="0"/>
    <x v="8"/>
    <x v="17"/>
    <s v="SE2A"/>
    <x v="11"/>
    <x v="0"/>
    <x v="0"/>
    <s v="GBPR_IND_BIO"/>
    <n v="828.86363636363603"/>
    <n v="0.82886363636363602"/>
  </r>
  <r>
    <x v="0"/>
    <x v="0"/>
    <x v="0"/>
    <x v="8"/>
    <x v="17"/>
    <s v="SE2_EL"/>
    <x v="2"/>
    <x v="2"/>
    <x v="0"/>
    <s v="GETOH_ELECTRICBOILER"/>
    <n v="176"/>
    <n v="176"/>
  </r>
  <r>
    <x v="0"/>
    <x v="0"/>
    <x v="0"/>
    <x v="8"/>
    <x v="17"/>
    <s v="SE2_EL"/>
    <x v="2"/>
    <x v="2"/>
    <x v="0"/>
    <s v="GETOH_HEATPUMP"/>
    <n v="11"/>
    <n v="11"/>
  </r>
  <r>
    <x v="0"/>
    <x v="0"/>
    <x v="0"/>
    <x v="8"/>
    <x v="17"/>
    <s v="SE2_EL"/>
    <x v="4"/>
    <x v="0"/>
    <x v="0"/>
    <s v="GBPR_MUNIWASTE_24"/>
    <n v="309.29648241206002"/>
    <n v="0.30929648241205998"/>
  </r>
  <r>
    <x v="0"/>
    <x v="0"/>
    <x v="0"/>
    <x v="8"/>
    <x v="17"/>
    <s v="SE2_EL"/>
    <x v="7"/>
    <x v="0"/>
    <x v="0"/>
    <s v="GBPR_WOODCHIPS_37"/>
    <n v="27.459075416446801"/>
    <n v="2.74590754164468E-2"/>
  </r>
  <r>
    <x v="0"/>
    <x v="0"/>
    <x v="0"/>
    <x v="8"/>
    <x v="17"/>
    <s v="SE2_EL"/>
    <x v="12"/>
    <x v="0"/>
    <x v="0"/>
    <s v="GBPR_WOODWASTE_25"/>
    <n v="223.87507229612501"/>
    <n v="0.22387507229612499"/>
  </r>
  <r>
    <x v="0"/>
    <x v="0"/>
    <x v="0"/>
    <x v="8"/>
    <x v="17"/>
    <s v="SE2_EL"/>
    <x v="12"/>
    <x v="1"/>
    <x v="0"/>
    <s v="GEXT_WOODWASTE_HORNEBORG"/>
    <n v="90.567704881820205"/>
    <n v="9.0567704881820199E-2"/>
  </r>
  <r>
    <x v="0"/>
    <x v="0"/>
    <x v="0"/>
    <x v="8"/>
    <x v="17"/>
    <s v="SE2_OTHER"/>
    <x v="4"/>
    <x v="0"/>
    <x v="0"/>
    <s v="GBPR_MUNIWASTE_24"/>
    <n v="23.444477523072301"/>
    <n v="2.3444477523072299E-2"/>
  </r>
  <r>
    <x v="0"/>
    <x v="0"/>
    <x v="0"/>
    <x v="8"/>
    <x v="17"/>
    <s v="SE2_OTHER"/>
    <x v="7"/>
    <x v="0"/>
    <x v="0"/>
    <s v="GBPR_WOODCHIPS_37"/>
    <n v="21.6216216216216"/>
    <n v="2.1621621621621599E-2"/>
  </r>
  <r>
    <x v="0"/>
    <x v="0"/>
    <x v="0"/>
    <x v="8"/>
    <x v="17"/>
    <s v="SE2_OTHER"/>
    <x v="12"/>
    <x v="0"/>
    <x v="0"/>
    <s v="GBPR_WOODWASTE_36"/>
    <n v="146.46712463199199"/>
    <n v="0.14646712463199199"/>
  </r>
  <r>
    <x v="0"/>
    <x v="0"/>
    <x v="0"/>
    <x v="8"/>
    <x v="18"/>
    <s v="SE3A"/>
    <x v="11"/>
    <x v="0"/>
    <x v="0"/>
    <s v="GBPR_IND_BIO"/>
    <n v="1290.45454545455"/>
    <n v="1.29045454545455"/>
  </r>
  <r>
    <x v="0"/>
    <x v="0"/>
    <x v="0"/>
    <x v="8"/>
    <x v="18"/>
    <s v="SE3_EL"/>
    <x v="1"/>
    <x v="1"/>
    <x v="0"/>
    <s v="GEXT_COAL_LINK"/>
    <n v="42.134688691232498"/>
    <n v="4.2134688691232498E-2"/>
  </r>
  <r>
    <x v="0"/>
    <x v="0"/>
    <x v="0"/>
    <x v="8"/>
    <x v="18"/>
    <s v="SE3_EL"/>
    <x v="2"/>
    <x v="2"/>
    <x v="0"/>
    <s v="GETOH_ELECTRICBOILER"/>
    <n v="303.62"/>
    <n v="303.62"/>
  </r>
  <r>
    <x v="0"/>
    <x v="0"/>
    <x v="0"/>
    <x v="8"/>
    <x v="18"/>
    <s v="SE3_EL"/>
    <x v="2"/>
    <x v="2"/>
    <x v="0"/>
    <s v="GETOH_HEATPUMP33"/>
    <n v="90.4"/>
    <n v="90.4"/>
  </r>
  <r>
    <x v="0"/>
    <x v="0"/>
    <x v="0"/>
    <x v="8"/>
    <x v="18"/>
    <s v="SE3_EL"/>
    <x v="8"/>
    <x v="0"/>
    <x v="0"/>
    <s v="GBPR_FUELOIL"/>
    <n v="78.571428571428598"/>
    <n v="7.8571428571428598E-2"/>
  </r>
  <r>
    <x v="0"/>
    <x v="0"/>
    <x v="0"/>
    <x v="8"/>
    <x v="18"/>
    <s v="SE3_EL"/>
    <x v="8"/>
    <x v="0"/>
    <x v="0"/>
    <s v="GBPR_FUELOIL_LINK"/>
    <n v="57.009345794392502"/>
    <n v="5.7009345794392499E-2"/>
  </r>
  <r>
    <x v="0"/>
    <x v="0"/>
    <x v="0"/>
    <x v="8"/>
    <x v="18"/>
    <s v="SE3_EL"/>
    <x v="4"/>
    <x v="0"/>
    <x v="0"/>
    <s v="GBPR_MUNIWASTE_24"/>
    <n v="342.62470350216302"/>
    <n v="0.34262470350216301"/>
  </r>
  <r>
    <x v="0"/>
    <x v="0"/>
    <x v="0"/>
    <x v="8"/>
    <x v="18"/>
    <s v="SE3_EL"/>
    <x v="4"/>
    <x v="0"/>
    <x v="0"/>
    <s v="GBPR_MUNIWASTE_LINK"/>
    <n v="301.46666666666698"/>
    <n v="0.30146666666666699"/>
  </r>
  <r>
    <x v="0"/>
    <x v="0"/>
    <x v="0"/>
    <x v="8"/>
    <x v="18"/>
    <s v="SE3_EL"/>
    <x v="5"/>
    <x v="0"/>
    <x v="0"/>
    <s v="GBPR_NATGAS"/>
    <n v="10.412358166189099"/>
    <n v="1.0412358166189101E-2"/>
  </r>
  <r>
    <x v="0"/>
    <x v="0"/>
    <x v="0"/>
    <x v="8"/>
    <x v="18"/>
    <s v="SE3_EL"/>
    <x v="15"/>
    <x v="0"/>
    <x v="0"/>
    <s v="GBPR_PEAT_38"/>
    <n v="57.894736842105303"/>
    <n v="5.7894736842105297E-2"/>
  </r>
  <r>
    <x v="0"/>
    <x v="0"/>
    <x v="0"/>
    <x v="8"/>
    <x v="18"/>
    <s v="SE3_EL"/>
    <x v="15"/>
    <x v="1"/>
    <x v="0"/>
    <s v="GEXT_PEAT"/>
    <n v="221.88"/>
    <n v="0.22187999999999999"/>
  </r>
  <r>
    <x v="0"/>
    <x v="0"/>
    <x v="0"/>
    <x v="8"/>
    <x v="18"/>
    <s v="SE3_EL"/>
    <x v="18"/>
    <x v="0"/>
    <x v="0"/>
    <s v="GBPR_RECYCLEDWOOD_SE3EL"/>
    <n v="219.116668088529"/>
    <n v="0.219116668088529"/>
  </r>
  <r>
    <x v="0"/>
    <x v="0"/>
    <x v="0"/>
    <x v="8"/>
    <x v="18"/>
    <s v="SE3_EL"/>
    <x v="7"/>
    <x v="0"/>
    <x v="0"/>
    <s v="GBPR_WOODCHIPS_25"/>
    <n v="63.566999090026002"/>
    <n v="6.3566999090026E-2"/>
  </r>
  <r>
    <x v="0"/>
    <x v="0"/>
    <x v="0"/>
    <x v="8"/>
    <x v="18"/>
    <s v="SE3_EL"/>
    <x v="12"/>
    <x v="0"/>
    <x v="0"/>
    <s v="GBPR_WOODWASTE_25"/>
    <n v="261.76"/>
    <n v="0.26175999999999999"/>
  </r>
  <r>
    <x v="0"/>
    <x v="0"/>
    <x v="0"/>
    <x v="8"/>
    <x v="18"/>
    <s v="SE3_EL"/>
    <x v="12"/>
    <x v="0"/>
    <x v="0"/>
    <s v="GBPR_WOODWASTE_ABY"/>
    <n v="93.999999999999602"/>
    <n v="9.3999999999999598E-2"/>
  </r>
  <r>
    <x v="0"/>
    <x v="0"/>
    <x v="0"/>
    <x v="8"/>
    <x v="18"/>
    <s v="SE3_GOT"/>
    <x v="2"/>
    <x v="2"/>
    <x v="0"/>
    <s v="GETOH_HEATPUMP33"/>
    <n v="160"/>
    <n v="160"/>
  </r>
  <r>
    <x v="0"/>
    <x v="0"/>
    <x v="0"/>
    <x v="8"/>
    <x v="18"/>
    <s v="SE3_GOT"/>
    <x v="4"/>
    <x v="0"/>
    <x v="0"/>
    <s v="GBPR_MUNIWASTE_24"/>
    <n v="169.166666666667"/>
    <n v="0.16916666666666699"/>
  </r>
  <r>
    <x v="0"/>
    <x v="0"/>
    <x v="0"/>
    <x v="8"/>
    <x v="18"/>
    <s v="SE3_GOT"/>
    <x v="5"/>
    <x v="0"/>
    <x v="0"/>
    <s v="GBPR_NATGAS_GOT"/>
    <n v="102.947368421053"/>
    <n v="0.102947368421053"/>
  </r>
  <r>
    <x v="0"/>
    <x v="0"/>
    <x v="0"/>
    <x v="8"/>
    <x v="18"/>
    <s v="SE3_GOT"/>
    <x v="5"/>
    <x v="0"/>
    <x v="0"/>
    <s v="GBPR_NATGAS_RYA"/>
    <n v="290"/>
    <n v="0.28999999999999998"/>
  </r>
  <r>
    <x v="0"/>
    <x v="0"/>
    <x v="0"/>
    <x v="8"/>
    <x v="18"/>
    <s v="SE3_GOT"/>
    <x v="12"/>
    <x v="0"/>
    <x v="0"/>
    <s v="GBPR_WOODWASTE_GOT"/>
    <n v="95.000073076979305"/>
    <n v="9.5000073076979302E-2"/>
  </r>
  <r>
    <x v="0"/>
    <x v="0"/>
    <x v="0"/>
    <x v="8"/>
    <x v="18"/>
    <s v="SE3_HP"/>
    <x v="2"/>
    <x v="2"/>
    <x v="0"/>
    <s v="GETOH_ELECTRICBOILER"/>
    <n v="86"/>
    <n v="86"/>
  </r>
  <r>
    <x v="0"/>
    <x v="0"/>
    <x v="0"/>
    <x v="8"/>
    <x v="18"/>
    <s v="SE3_HP"/>
    <x v="2"/>
    <x v="2"/>
    <x v="0"/>
    <s v="GETOH_HEATPUMP2"/>
    <n v="204"/>
    <n v="204"/>
  </r>
  <r>
    <x v="0"/>
    <x v="0"/>
    <x v="0"/>
    <x v="8"/>
    <x v="18"/>
    <s v="SE3_HP"/>
    <x v="8"/>
    <x v="1"/>
    <x v="0"/>
    <s v="GEXT_FUELOIL"/>
    <n v="303.57142857142901"/>
    <n v="0.30357142857142899"/>
  </r>
  <r>
    <x v="0"/>
    <x v="0"/>
    <x v="0"/>
    <x v="8"/>
    <x v="18"/>
    <s v="SE3_HP"/>
    <x v="4"/>
    <x v="0"/>
    <x v="0"/>
    <s v="GBPR_MUNIWASTE_24"/>
    <n v="245.86776859504101"/>
    <n v="0.245867768595041"/>
  </r>
  <r>
    <x v="0"/>
    <x v="0"/>
    <x v="0"/>
    <x v="8"/>
    <x v="18"/>
    <s v="SE3_HP"/>
    <x v="7"/>
    <x v="0"/>
    <x v="0"/>
    <s v="GBPR_WOODCHIPS_08"/>
    <n v="6.6952789699570898"/>
    <n v="6.6952789699570902E-3"/>
  </r>
  <r>
    <x v="0"/>
    <x v="0"/>
    <x v="0"/>
    <x v="8"/>
    <x v="18"/>
    <s v="SE3_HP"/>
    <x v="12"/>
    <x v="0"/>
    <x v="0"/>
    <s v="GBPR_WOODWASTE_36"/>
    <n v="83.3333333333333"/>
    <n v="8.3333333333333301E-2"/>
  </r>
  <r>
    <x v="0"/>
    <x v="0"/>
    <x v="0"/>
    <x v="8"/>
    <x v="18"/>
    <s v="SE3_HP"/>
    <x v="12"/>
    <x v="1"/>
    <x v="0"/>
    <s v="GEXT_WOODWASTE"/>
    <n v="425"/>
    <n v="0.42499999999999999"/>
  </r>
  <r>
    <x v="0"/>
    <x v="0"/>
    <x v="0"/>
    <x v="8"/>
    <x v="18"/>
    <s v="SE3_OTHER"/>
    <x v="1"/>
    <x v="0"/>
    <x v="0"/>
    <s v="GBPR_COAL_SE3"/>
    <n v="92.751549833094998"/>
    <n v="9.2751549833094998E-2"/>
  </r>
  <r>
    <x v="0"/>
    <x v="0"/>
    <x v="0"/>
    <x v="8"/>
    <x v="18"/>
    <s v="SE3_OTHER"/>
    <x v="4"/>
    <x v="0"/>
    <x v="0"/>
    <s v="GBPR_MUNIWASTE_24"/>
    <n v="214.353371581896"/>
    <n v="0.21435337158189599"/>
  </r>
  <r>
    <x v="0"/>
    <x v="0"/>
    <x v="0"/>
    <x v="8"/>
    <x v="18"/>
    <s v="SE3_OTHER"/>
    <x v="18"/>
    <x v="0"/>
    <x v="0"/>
    <s v="GBPR_RECYCLEDWOOD_SE3OTHER"/>
    <n v="199.567105389896"/>
    <n v="0.199567105389896"/>
  </r>
  <r>
    <x v="0"/>
    <x v="0"/>
    <x v="0"/>
    <x v="8"/>
    <x v="18"/>
    <s v="SE3_OTHER"/>
    <x v="7"/>
    <x v="0"/>
    <x v="0"/>
    <s v="GBPR_WOODCHIPS_25"/>
    <n v="59.067961165048402"/>
    <n v="5.9067961165048401E-2"/>
  </r>
  <r>
    <x v="0"/>
    <x v="0"/>
    <x v="0"/>
    <x v="8"/>
    <x v="18"/>
    <s v="SE3_OTHER"/>
    <x v="7"/>
    <x v="0"/>
    <x v="0"/>
    <s v="GBPR_WOODCHIPS_37"/>
    <n v="106.216216216216"/>
    <n v="0.10621621621621601"/>
  </r>
  <r>
    <x v="0"/>
    <x v="0"/>
    <x v="0"/>
    <x v="8"/>
    <x v="18"/>
    <s v="SE3_OTHER"/>
    <x v="12"/>
    <x v="0"/>
    <x v="0"/>
    <s v="GBPR_WOODWASTE_25"/>
    <n v="722.9076"/>
    <n v="0.72290759999999998"/>
  </r>
  <r>
    <x v="0"/>
    <x v="0"/>
    <x v="0"/>
    <x v="8"/>
    <x v="18"/>
    <s v="SE3_STO"/>
    <x v="19"/>
    <x v="1"/>
    <x v="0"/>
    <s v="GEXT_BIOOIL_VARTAN"/>
    <n v="250.92445853143201"/>
    <n v="0.25092445853143203"/>
  </r>
  <r>
    <x v="0"/>
    <x v="0"/>
    <x v="0"/>
    <x v="8"/>
    <x v="18"/>
    <s v="SE3_STO"/>
    <x v="1"/>
    <x v="0"/>
    <x v="0"/>
    <s v="GBPR_COAL_VARTAN"/>
    <n v="249.276595744681"/>
    <n v="0.249276595744681"/>
  </r>
  <r>
    <x v="0"/>
    <x v="0"/>
    <x v="0"/>
    <x v="8"/>
    <x v="18"/>
    <s v="SE3_STO"/>
    <x v="2"/>
    <x v="2"/>
    <x v="0"/>
    <s v="GETOH_ELECTRICBOILER"/>
    <n v="337"/>
    <n v="337"/>
  </r>
  <r>
    <x v="0"/>
    <x v="0"/>
    <x v="0"/>
    <x v="8"/>
    <x v="18"/>
    <s v="SE3_STO"/>
    <x v="2"/>
    <x v="2"/>
    <x v="0"/>
    <s v="GETOH_HEATPUMP33"/>
    <n v="565"/>
    <n v="565"/>
  </r>
  <r>
    <x v="0"/>
    <x v="0"/>
    <x v="0"/>
    <x v="8"/>
    <x v="18"/>
    <s v="SE3_STO"/>
    <x v="4"/>
    <x v="0"/>
    <x v="0"/>
    <s v="GBPR_MUNIWASTE_HOGDALEN"/>
    <n v="136.666666666667"/>
    <n v="0.13666666666666699"/>
  </r>
  <r>
    <x v="0"/>
    <x v="0"/>
    <x v="0"/>
    <x v="8"/>
    <x v="18"/>
    <s v="SE3_STO"/>
    <x v="9"/>
    <x v="0"/>
    <x v="0"/>
    <s v="GBPR_WOODPELLETS_HASSELBY"/>
    <n v="197.36842105263199"/>
    <n v="0.197368421052632"/>
  </r>
  <r>
    <x v="0"/>
    <x v="0"/>
    <x v="0"/>
    <x v="8"/>
    <x v="18"/>
    <s v="SE3_STO"/>
    <x v="12"/>
    <x v="0"/>
    <x v="0"/>
    <s v="GBPR_WOODWASTE"/>
    <n v="239.754098360656"/>
    <n v="0.239754098360656"/>
  </r>
  <r>
    <x v="0"/>
    <x v="0"/>
    <x v="0"/>
    <x v="8"/>
    <x v="18"/>
    <s v="SE3_STO"/>
    <x v="12"/>
    <x v="0"/>
    <x v="0"/>
    <s v="GBPR_WOODWASTE_BRISTA"/>
    <n v="127.261802575107"/>
    <n v="0.127261802575107"/>
  </r>
  <r>
    <x v="0"/>
    <x v="0"/>
    <x v="0"/>
    <x v="8"/>
    <x v="19"/>
    <s v="SE4A"/>
    <x v="11"/>
    <x v="0"/>
    <x v="0"/>
    <s v="GBPR_IND_BIO"/>
    <n v="588.40909090909099"/>
    <n v="0.58840909090909099"/>
  </r>
  <r>
    <x v="0"/>
    <x v="0"/>
    <x v="0"/>
    <x v="8"/>
    <x v="19"/>
    <s v="SE4_EL"/>
    <x v="2"/>
    <x v="2"/>
    <x v="0"/>
    <s v="GETOH_ELECTRICBOILER"/>
    <n v="88.43"/>
    <n v="88.43"/>
  </r>
  <r>
    <x v="0"/>
    <x v="0"/>
    <x v="0"/>
    <x v="8"/>
    <x v="19"/>
    <s v="SE4_EL"/>
    <x v="2"/>
    <x v="2"/>
    <x v="0"/>
    <s v="GETOH_HEATPUMP1"/>
    <n v="55"/>
    <n v="55"/>
  </r>
  <r>
    <x v="0"/>
    <x v="0"/>
    <x v="0"/>
    <x v="8"/>
    <x v="19"/>
    <s v="SE4_EL"/>
    <x v="18"/>
    <x v="0"/>
    <x v="0"/>
    <s v="GBPR_RECYCLEDWOOD"/>
    <n v="78.893442622950801"/>
    <n v="7.8893442622950796E-2"/>
  </r>
  <r>
    <x v="0"/>
    <x v="0"/>
    <x v="0"/>
    <x v="8"/>
    <x v="19"/>
    <s v="SE4_EL"/>
    <x v="18"/>
    <x v="0"/>
    <x v="0"/>
    <s v="GBPR_RECYCLEDWOOD_SE4EL"/>
    <n v="12.001200120011999"/>
    <n v="1.2001200120012E-2"/>
  </r>
  <r>
    <x v="0"/>
    <x v="0"/>
    <x v="0"/>
    <x v="8"/>
    <x v="19"/>
    <s v="SE4_HP"/>
    <x v="2"/>
    <x v="2"/>
    <x v="0"/>
    <s v="GETOH_HEATPUMP1"/>
    <n v="31.55"/>
    <n v="31.55"/>
  </r>
  <r>
    <x v="0"/>
    <x v="0"/>
    <x v="0"/>
    <x v="8"/>
    <x v="19"/>
    <s v="SE4_HP"/>
    <x v="4"/>
    <x v="0"/>
    <x v="0"/>
    <s v="GBPR_MUNIWASTE_65"/>
    <n v="28.571428571428601"/>
    <n v="2.8571428571428598E-2"/>
  </r>
  <r>
    <x v="0"/>
    <x v="0"/>
    <x v="0"/>
    <x v="8"/>
    <x v="19"/>
    <s v="SE4_HP"/>
    <x v="5"/>
    <x v="0"/>
    <x v="0"/>
    <s v="GBPR_NATGAS_100"/>
    <n v="54"/>
    <n v="5.3999999999999999E-2"/>
  </r>
  <r>
    <x v="0"/>
    <x v="0"/>
    <x v="0"/>
    <x v="8"/>
    <x v="19"/>
    <s v="SE4_HP"/>
    <x v="9"/>
    <x v="0"/>
    <x v="0"/>
    <s v="GBPR_WOODPELLETS"/>
    <n v="141.393442622951"/>
    <n v="0.141393442622951"/>
  </r>
  <r>
    <x v="0"/>
    <x v="0"/>
    <x v="0"/>
    <x v="8"/>
    <x v="19"/>
    <s v="SE4_MAL"/>
    <x v="2"/>
    <x v="2"/>
    <x v="0"/>
    <s v="GETOH_HEATPUMP33"/>
    <n v="1.1000000000000001"/>
    <n v="1.1000000000000001"/>
  </r>
  <r>
    <x v="0"/>
    <x v="0"/>
    <x v="0"/>
    <x v="8"/>
    <x v="19"/>
    <s v="SE4_MAL"/>
    <x v="4"/>
    <x v="0"/>
    <x v="0"/>
    <s v="GBPR_MUNIWASTE_24"/>
    <n v="140.82687338501299"/>
    <n v="0.14082687338501301"/>
  </r>
  <r>
    <x v="0"/>
    <x v="0"/>
    <x v="0"/>
    <x v="8"/>
    <x v="19"/>
    <s v="SE4_MAL"/>
    <x v="5"/>
    <x v="0"/>
    <x v="0"/>
    <s v="GBPR_NATGAS_MAL"/>
    <n v="302.32558139534899"/>
    <n v="0.30232558139534899"/>
  </r>
  <r>
    <x v="0"/>
    <x v="0"/>
    <x v="0"/>
    <x v="8"/>
    <x v="19"/>
    <s v="SE4_MAL"/>
    <x v="5"/>
    <x v="1"/>
    <x v="0"/>
    <s v="GEXT_NATGAS_ORESUND"/>
    <n v="250"/>
    <n v="0.25"/>
  </r>
  <r>
    <x v="0"/>
    <x v="0"/>
    <x v="0"/>
    <x v="8"/>
    <x v="19"/>
    <s v="SE4_OTHER"/>
    <x v="4"/>
    <x v="0"/>
    <x v="0"/>
    <s v="GBPR_MUNIWASTE_19"/>
    <n v="108.05527331843101"/>
    <n v="0.108055273318431"/>
  </r>
  <r>
    <x v="0"/>
    <x v="0"/>
    <x v="0"/>
    <x v="8"/>
    <x v="19"/>
    <s v="SE4_OTHER"/>
    <x v="7"/>
    <x v="0"/>
    <x v="0"/>
    <s v="GBPR_WOODCHIPS"/>
    <n v="63.524590163934398"/>
    <n v="6.35245901639344E-2"/>
  </r>
  <r>
    <x v="0"/>
    <x v="0"/>
    <x v="0"/>
    <x v="8"/>
    <x v="19"/>
    <s v="SE4_OTHER"/>
    <x v="7"/>
    <x v="0"/>
    <x v="0"/>
    <s v="GBPR_WOODCHIPS_25"/>
    <n v="95.892307692307597"/>
    <n v="9.5892307692307596E-2"/>
  </r>
  <r>
    <x v="0"/>
    <x v="0"/>
    <x v="0"/>
    <x v="8"/>
    <x v="19"/>
    <s v="SE4_OTHER"/>
    <x v="12"/>
    <x v="0"/>
    <x v="0"/>
    <s v="GBPR_WOODWASTE_36"/>
    <n v="235.111111111111"/>
    <n v="0.23511111111111099"/>
  </r>
</pivotCacheRecords>
</file>

<file path=xl/pivotCache/pivotCacheRecords3.xml><?xml version="1.0" encoding="utf-8"?>
<pivotCacheRecords xmlns="http://schemas.openxmlformats.org/spreadsheetml/2006/main" xmlns:r="http://schemas.openxmlformats.org/officeDocument/2006/relationships" count="615">
  <r>
    <x v="0"/>
    <x v="0"/>
    <x v="0"/>
    <x v="0"/>
    <x v="0"/>
    <s v="DK1_Large"/>
    <x v="0"/>
    <x v="0"/>
    <n v="167.790284324298"/>
    <n v="0.16779028432429799"/>
    <n v="-121575.235187364"/>
    <n v="-121.575235187364"/>
    <n v="5.3210449574301703E-3"/>
    <n v="5.3210449574301596E-6"/>
  </r>
  <r>
    <x v="0"/>
    <x v="0"/>
    <x v="0"/>
    <x v="0"/>
    <x v="0"/>
    <s v="DK1_Large"/>
    <x v="1"/>
    <x v="1"/>
    <m/>
    <m/>
    <n v="-17593.310354285699"/>
    <n v="-17.593310354285698"/>
    <n v="4.5652114285714297E-3"/>
    <n v="4.5652114285714299E-6"/>
  </r>
  <r>
    <x v="0"/>
    <x v="0"/>
    <x v="0"/>
    <x v="0"/>
    <x v="0"/>
    <s v="DK1_Large"/>
    <x v="1"/>
    <x v="2"/>
    <m/>
    <m/>
    <n v="-7697.0732800000096"/>
    <n v="-7.6970732800000103"/>
    <n v="1.9972800000000001E-3"/>
    <n v="1.9972799999999998E-6"/>
  </r>
  <r>
    <x v="0"/>
    <x v="0"/>
    <x v="0"/>
    <x v="0"/>
    <x v="0"/>
    <s v="DK1_Large"/>
    <x v="1"/>
    <x v="3"/>
    <m/>
    <m/>
    <n v="-23027.255242105301"/>
    <n v="-23.027255242105301"/>
    <n v="5.9752421052631597E-3"/>
    <n v="5.9752421052631602E-6"/>
  </r>
  <r>
    <x v="0"/>
    <x v="0"/>
    <x v="0"/>
    <x v="0"/>
    <x v="0"/>
    <s v="DK1_Large"/>
    <x v="1"/>
    <x v="4"/>
    <m/>
    <m/>
    <n v="-68500.269381818202"/>
    <n v="-68.5002693818182"/>
    <n v="1.7774836363636401E-2"/>
    <n v="1.7774836363636401E-5"/>
  </r>
  <r>
    <x v="0"/>
    <x v="0"/>
    <x v="0"/>
    <x v="0"/>
    <x v="0"/>
    <s v="DK1_Large"/>
    <x v="1"/>
    <x v="5"/>
    <m/>
    <m/>
    <n v="-76216.877567999996"/>
    <n v="-76.216877568000001"/>
    <n v="1.9777185391304301E-2"/>
    <n v="1.9777185391304298E-5"/>
  </r>
  <r>
    <x v="0"/>
    <x v="0"/>
    <x v="0"/>
    <x v="0"/>
    <x v="0"/>
    <s v="DK1_Large"/>
    <x v="1"/>
    <x v="6"/>
    <m/>
    <m/>
    <n v="-32228.681102222301"/>
    <n v="-32.228681102222303"/>
    <n v="8.3628800000000204E-3"/>
    <n v="8.3628800000000198E-6"/>
  </r>
  <r>
    <x v="0"/>
    <x v="0"/>
    <x v="0"/>
    <x v="0"/>
    <x v="0"/>
    <s v="DK1_Large"/>
    <x v="2"/>
    <x v="7"/>
    <m/>
    <m/>
    <m/>
    <m/>
    <n v="9.7112329411764699E-5"/>
    <n v="9.7112329411764704E-8"/>
  </r>
  <r>
    <x v="0"/>
    <x v="0"/>
    <x v="0"/>
    <x v="0"/>
    <x v="0"/>
    <s v="DK1_Large"/>
    <x v="2"/>
    <x v="8"/>
    <m/>
    <m/>
    <m/>
    <m/>
    <n v="2.4299317894736899E-4"/>
    <n v="2.42993178947369E-7"/>
  </r>
  <r>
    <x v="0"/>
    <x v="0"/>
    <x v="0"/>
    <x v="0"/>
    <x v="0"/>
    <s v="DK1_Large"/>
    <x v="2"/>
    <x v="9"/>
    <m/>
    <m/>
    <m/>
    <m/>
    <n v="1.0883963076923099E-3"/>
    <n v="1.08839630769231E-6"/>
  </r>
  <r>
    <x v="0"/>
    <x v="0"/>
    <x v="0"/>
    <x v="0"/>
    <x v="0"/>
    <s v="DK1_Large"/>
    <x v="2"/>
    <x v="10"/>
    <m/>
    <m/>
    <m/>
    <m/>
    <n v="4.107564E-4"/>
    <n v="4.1075640000000002E-7"/>
  </r>
  <r>
    <x v="0"/>
    <x v="0"/>
    <x v="0"/>
    <x v="0"/>
    <x v="0"/>
    <s v="DK1_Large"/>
    <x v="2"/>
    <x v="11"/>
    <m/>
    <m/>
    <m/>
    <m/>
    <n v="2.92284878048781E-4"/>
    <n v="2.9228487804878098E-7"/>
  </r>
  <r>
    <x v="0"/>
    <x v="0"/>
    <x v="0"/>
    <x v="0"/>
    <x v="0"/>
    <s v="DK1_Large"/>
    <x v="2"/>
    <x v="12"/>
    <m/>
    <m/>
    <m/>
    <m/>
    <n v="1.6969371428571399E-4"/>
    <n v="1.6969371428571401E-7"/>
  </r>
  <r>
    <x v="0"/>
    <x v="0"/>
    <x v="0"/>
    <x v="0"/>
    <x v="0"/>
    <s v="DK1_Large"/>
    <x v="2"/>
    <x v="13"/>
    <m/>
    <m/>
    <m/>
    <m/>
    <n v="6.59322418604651E-4"/>
    <n v="6.5932241860465096E-7"/>
  </r>
  <r>
    <x v="0"/>
    <x v="0"/>
    <x v="0"/>
    <x v="0"/>
    <x v="0"/>
    <s v="DK1_Large"/>
    <x v="2"/>
    <x v="14"/>
    <m/>
    <m/>
    <m/>
    <m/>
    <n v="2.2505236363636399E-4"/>
    <n v="2.2505236363636401E-7"/>
  </r>
  <r>
    <x v="0"/>
    <x v="0"/>
    <x v="0"/>
    <x v="0"/>
    <x v="0"/>
    <s v="DK1_Large"/>
    <x v="2"/>
    <x v="15"/>
    <m/>
    <m/>
    <m/>
    <m/>
    <n v="2.00185043478261E-4"/>
    <n v="2.0018504347826099E-7"/>
  </r>
  <r>
    <x v="0"/>
    <x v="0"/>
    <x v="0"/>
    <x v="0"/>
    <x v="0"/>
    <s v="DK1_Large"/>
    <x v="2"/>
    <x v="16"/>
    <m/>
    <m/>
    <m/>
    <m/>
    <n v="6.3266666666666701E-4"/>
    <n v="6.3266666666666701E-7"/>
  </r>
  <r>
    <x v="0"/>
    <x v="0"/>
    <x v="0"/>
    <x v="0"/>
    <x v="0"/>
    <s v="DK1_Large"/>
    <x v="2"/>
    <x v="17"/>
    <m/>
    <m/>
    <m/>
    <m/>
    <n v="2.63023659574468E-2"/>
    <n v="2.6302365957446801E-5"/>
  </r>
  <r>
    <x v="0"/>
    <x v="0"/>
    <x v="0"/>
    <x v="0"/>
    <x v="0"/>
    <s v="DK1_Large"/>
    <x v="3"/>
    <x v="18"/>
    <m/>
    <m/>
    <n v="-8883.14538461538"/>
    <n v="-8.8831453846153803"/>
    <n v="1.50402461538462E-2"/>
    <n v="1.5040246153846101E-5"/>
  </r>
  <r>
    <x v="0"/>
    <x v="0"/>
    <x v="0"/>
    <x v="0"/>
    <x v="0"/>
    <s v="DK1_Large"/>
    <x v="4"/>
    <x v="19"/>
    <m/>
    <m/>
    <m/>
    <m/>
    <m/>
    <m/>
  </r>
  <r>
    <x v="0"/>
    <x v="0"/>
    <x v="0"/>
    <x v="0"/>
    <x v="0"/>
    <s v="DK1_Large"/>
    <x v="5"/>
    <x v="20"/>
    <m/>
    <m/>
    <m/>
    <m/>
    <m/>
    <m/>
  </r>
  <r>
    <x v="0"/>
    <x v="0"/>
    <x v="0"/>
    <x v="0"/>
    <x v="0"/>
    <s v="DK1_MedSmall"/>
    <x v="1"/>
    <x v="21"/>
    <m/>
    <m/>
    <n v="-3159.8511360000002"/>
    <n v="-3.1598511359999999"/>
    <n v="8.1993599999999995E-4"/>
    <n v="8.1993600000000002E-7"/>
  </r>
  <r>
    <x v="0"/>
    <x v="0"/>
    <x v="0"/>
    <x v="0"/>
    <x v="0"/>
    <s v="DK1_MedSmall"/>
    <x v="1"/>
    <x v="22"/>
    <m/>
    <m/>
    <n v="-6863.0250917647099"/>
    <n v="-6.8630250917647002"/>
    <n v="1.78085647058824E-3"/>
    <n v="1.7808564705882401E-6"/>
  </r>
  <r>
    <x v="0"/>
    <x v="0"/>
    <x v="0"/>
    <x v="0"/>
    <x v="0"/>
    <s v="DK1_MedSmall"/>
    <x v="1"/>
    <x v="23"/>
    <m/>
    <m/>
    <n v="-8021.1605760000002"/>
    <n v="-8.0211605760000104"/>
    <n v="2.0813759999999998E-3"/>
    <n v="2.0813759999999999E-6"/>
  </r>
  <r>
    <x v="0"/>
    <x v="0"/>
    <x v="0"/>
    <x v="0"/>
    <x v="0"/>
    <s v="DK1_MedSmall"/>
    <x v="1"/>
    <x v="24"/>
    <m/>
    <m/>
    <n v="-23149.092571428599"/>
    <n v="-23.1490925714286"/>
    <n v="6.0068571428571497E-3"/>
    <n v="6.0068571428571497E-6"/>
  </r>
  <r>
    <x v="0"/>
    <x v="0"/>
    <x v="0"/>
    <x v="0"/>
    <x v="0"/>
    <s v="DK1_MedSmall"/>
    <x v="1"/>
    <x v="4"/>
    <m/>
    <m/>
    <n v="-9943.5874909090999"/>
    <n v="-9.9435874909091009"/>
    <n v="2.5802181818181799E-3"/>
    <n v="2.5802181818181899E-6"/>
  </r>
  <r>
    <x v="0"/>
    <x v="0"/>
    <x v="0"/>
    <x v="0"/>
    <x v="0"/>
    <s v="DK1_MedSmall"/>
    <x v="1"/>
    <x v="25"/>
    <m/>
    <m/>
    <n v="-13088.140799999999"/>
    <n v="-13.0881408"/>
    <n v="3.39618461538462E-3"/>
    <n v="3.3961846153846198E-6"/>
  </r>
  <r>
    <x v="0"/>
    <x v="0"/>
    <x v="0"/>
    <x v="0"/>
    <x v="0"/>
    <s v="DK1_MedSmall"/>
    <x v="2"/>
    <x v="26"/>
    <m/>
    <m/>
    <m/>
    <m/>
    <n v="5.6764800000000002E-5"/>
    <n v="5.6764800000000002E-8"/>
  </r>
  <r>
    <x v="0"/>
    <x v="0"/>
    <x v="0"/>
    <x v="0"/>
    <x v="0"/>
    <s v="DK1_MedSmall"/>
    <x v="2"/>
    <x v="27"/>
    <m/>
    <m/>
    <m/>
    <m/>
    <n v="8.52324324324325E-5"/>
    <n v="8.5232432432432406E-8"/>
  </r>
  <r>
    <x v="0"/>
    <x v="0"/>
    <x v="0"/>
    <x v="0"/>
    <x v="0"/>
    <s v="DK1_MedSmall"/>
    <x v="2"/>
    <x v="10"/>
    <m/>
    <m/>
    <m/>
    <m/>
    <n v="9.8329247999999893E-4"/>
    <n v="9.8329248000000001E-7"/>
  </r>
  <r>
    <x v="0"/>
    <x v="0"/>
    <x v="0"/>
    <x v="0"/>
    <x v="0"/>
    <s v="DK1_MedSmall"/>
    <x v="2"/>
    <x v="11"/>
    <m/>
    <m/>
    <m/>
    <m/>
    <n v="6.5533346341463395E-4"/>
    <n v="6.5533346341463496E-7"/>
  </r>
  <r>
    <x v="0"/>
    <x v="0"/>
    <x v="0"/>
    <x v="0"/>
    <x v="0"/>
    <s v="DK1_MedSmall"/>
    <x v="2"/>
    <x v="15"/>
    <m/>
    <m/>
    <m/>
    <m/>
    <n v="1.5150991304347801E-4"/>
    <n v="1.51509913043478E-7"/>
  </r>
  <r>
    <x v="0"/>
    <x v="0"/>
    <x v="0"/>
    <x v="0"/>
    <x v="0"/>
    <s v="DK1_MedSmall"/>
    <x v="2"/>
    <x v="28"/>
    <m/>
    <m/>
    <m/>
    <m/>
    <n v="1.7293935483870999E-3"/>
    <n v="1.7293935483871E-6"/>
  </r>
  <r>
    <x v="0"/>
    <x v="0"/>
    <x v="0"/>
    <x v="0"/>
    <x v="0"/>
    <s v="DK1_MedSmall"/>
    <x v="3"/>
    <x v="29"/>
    <m/>
    <m/>
    <n v="-489.84422426470599"/>
    <n v="-0.48984422426470597"/>
    <n v="8.2936588235294102E-4"/>
    <n v="8.2936588235294101E-7"/>
  </r>
  <r>
    <x v="0"/>
    <x v="0"/>
    <x v="0"/>
    <x v="0"/>
    <x v="0"/>
    <s v="DK1_MedSmall"/>
    <x v="3"/>
    <x v="30"/>
    <m/>
    <m/>
    <n v="-6208.65"/>
    <n v="-6.2086499999999996"/>
    <n v="1.0512000000000001E-2"/>
    <n v="1.0512E-5"/>
  </r>
  <r>
    <x v="0"/>
    <x v="0"/>
    <x v="0"/>
    <x v="0"/>
    <x v="0"/>
    <s v="DK1_MedSmall"/>
    <x v="4"/>
    <x v="19"/>
    <m/>
    <m/>
    <m/>
    <m/>
    <m/>
    <m/>
  </r>
  <r>
    <x v="0"/>
    <x v="0"/>
    <x v="0"/>
    <x v="0"/>
    <x v="0"/>
    <s v="DK1_MedSmall"/>
    <x v="4"/>
    <x v="31"/>
    <m/>
    <m/>
    <m/>
    <m/>
    <m/>
    <m/>
  </r>
  <r>
    <x v="0"/>
    <x v="0"/>
    <x v="0"/>
    <x v="0"/>
    <x v="0"/>
    <s v="DK1_MedSmall"/>
    <x v="5"/>
    <x v="32"/>
    <m/>
    <m/>
    <m/>
    <m/>
    <m/>
    <m/>
  </r>
  <r>
    <x v="0"/>
    <x v="0"/>
    <x v="0"/>
    <x v="0"/>
    <x v="0"/>
    <s v="DK1_Medium"/>
    <x v="1"/>
    <x v="4"/>
    <m/>
    <m/>
    <n v="-5737.6172335845704"/>
    <n v="-5.7376172335845803"/>
    <n v="1.48882929022781E-3"/>
    <n v="1.4888292902278099E-6"/>
  </r>
  <r>
    <x v="0"/>
    <x v="0"/>
    <x v="0"/>
    <x v="0"/>
    <x v="0"/>
    <s v="DK1_Medium"/>
    <x v="2"/>
    <x v="7"/>
    <m/>
    <m/>
    <m/>
    <m/>
    <n v="3.3159176470588202E-5"/>
    <n v="3.3159176470588201E-8"/>
  </r>
  <r>
    <x v="0"/>
    <x v="0"/>
    <x v="0"/>
    <x v="0"/>
    <x v="0"/>
    <s v="DK1_Medium"/>
    <x v="2"/>
    <x v="33"/>
    <m/>
    <m/>
    <m/>
    <m/>
    <n v="1.05777E-4"/>
    <n v="1.0577699999999999E-7"/>
  </r>
  <r>
    <x v="0"/>
    <x v="0"/>
    <x v="0"/>
    <x v="0"/>
    <x v="0"/>
    <s v="DK1_Medium"/>
    <x v="2"/>
    <x v="10"/>
    <m/>
    <m/>
    <m/>
    <m/>
    <n v="1.0048815E-4"/>
    <n v="1.0048814999999999E-7"/>
  </r>
  <r>
    <x v="0"/>
    <x v="0"/>
    <x v="0"/>
    <x v="0"/>
    <x v="0"/>
    <s v="DK1_Medium"/>
    <x v="2"/>
    <x v="11"/>
    <m/>
    <m/>
    <m/>
    <m/>
    <n v="3.3074341463414699E-4"/>
    <n v="3.30743414634147E-7"/>
  </r>
  <r>
    <x v="0"/>
    <x v="0"/>
    <x v="0"/>
    <x v="0"/>
    <x v="0"/>
    <s v="DK1_Medium"/>
    <x v="2"/>
    <x v="12"/>
    <m/>
    <m/>
    <m/>
    <m/>
    <n v="7.5310971428571398E-4"/>
    <n v="7.5310971428571397E-7"/>
  </r>
  <r>
    <x v="0"/>
    <x v="0"/>
    <x v="0"/>
    <x v="0"/>
    <x v="0"/>
    <s v="DK1_Medium"/>
    <x v="2"/>
    <x v="13"/>
    <m/>
    <m/>
    <m/>
    <m/>
    <n v="1.0414213953488401E-4"/>
    <n v="1.04142139534884E-7"/>
  </r>
  <r>
    <x v="0"/>
    <x v="0"/>
    <x v="0"/>
    <x v="0"/>
    <x v="0"/>
    <s v="DK1_Medium"/>
    <x v="2"/>
    <x v="14"/>
    <m/>
    <m/>
    <m/>
    <m/>
    <n v="3.35428363636364E-4"/>
    <n v="3.3542836363636402E-7"/>
  </r>
  <r>
    <x v="0"/>
    <x v="0"/>
    <x v="0"/>
    <x v="0"/>
    <x v="0"/>
    <s v="DK1_Medium"/>
    <x v="2"/>
    <x v="28"/>
    <m/>
    <m/>
    <m/>
    <m/>
    <n v="1.90741935483871E-4"/>
    <n v="1.9074193548387099E-7"/>
  </r>
  <r>
    <x v="0"/>
    <x v="0"/>
    <x v="0"/>
    <x v="0"/>
    <x v="0"/>
    <s v="DK1_Medium"/>
    <x v="2"/>
    <x v="34"/>
    <m/>
    <m/>
    <m/>
    <m/>
    <n v="6.0248427906976799E-3"/>
    <n v="6.0248427906976798E-6"/>
  </r>
  <r>
    <x v="0"/>
    <x v="0"/>
    <x v="0"/>
    <x v="0"/>
    <x v="0"/>
    <s v="DK1_Medium"/>
    <x v="2"/>
    <x v="35"/>
    <m/>
    <m/>
    <m/>
    <m/>
    <n v="4.0853454545454497E-3"/>
    <n v="4.0853454545454498E-6"/>
  </r>
  <r>
    <x v="0"/>
    <x v="0"/>
    <x v="0"/>
    <x v="0"/>
    <x v="0"/>
    <s v="DK1_Medium"/>
    <x v="2"/>
    <x v="36"/>
    <m/>
    <m/>
    <m/>
    <m/>
    <n v="7.28347404255319E-3"/>
    <n v="7.2834740425531899E-6"/>
  </r>
  <r>
    <x v="0"/>
    <x v="0"/>
    <x v="0"/>
    <x v="0"/>
    <x v="0"/>
    <s v="DK1_Medium"/>
    <x v="4"/>
    <x v="31"/>
    <m/>
    <m/>
    <m/>
    <m/>
    <m/>
    <m/>
  </r>
  <r>
    <x v="0"/>
    <x v="0"/>
    <x v="0"/>
    <x v="0"/>
    <x v="0"/>
    <s v="DK1_Medium"/>
    <x v="5"/>
    <x v="37"/>
    <m/>
    <m/>
    <m/>
    <m/>
    <m/>
    <m/>
  </r>
  <r>
    <x v="0"/>
    <x v="0"/>
    <x v="0"/>
    <x v="0"/>
    <x v="0"/>
    <s v="DK1_Medium"/>
    <x v="5"/>
    <x v="38"/>
    <m/>
    <m/>
    <m/>
    <m/>
    <m/>
    <m/>
  </r>
  <r>
    <x v="0"/>
    <x v="0"/>
    <x v="0"/>
    <x v="0"/>
    <x v="0"/>
    <s v="DK1_NoDH"/>
    <x v="2"/>
    <x v="39"/>
    <m/>
    <m/>
    <m/>
    <m/>
    <n v="2.6877272727272701E-6"/>
    <n v="2.6877272727272701E-9"/>
  </r>
  <r>
    <x v="0"/>
    <x v="0"/>
    <x v="0"/>
    <x v="0"/>
    <x v="0"/>
    <s v="DK1_NoDH"/>
    <x v="2"/>
    <x v="26"/>
    <m/>
    <m/>
    <m/>
    <m/>
    <n v="8.9802514285714294E-5"/>
    <n v="8.9802514285714203E-8"/>
  </r>
  <r>
    <x v="0"/>
    <x v="0"/>
    <x v="0"/>
    <x v="0"/>
    <x v="0"/>
    <s v="DK1_NoDH"/>
    <x v="2"/>
    <x v="33"/>
    <m/>
    <m/>
    <m/>
    <m/>
    <n v="1.7220700000000001E-4"/>
    <n v="1.72207E-7"/>
  </r>
  <r>
    <x v="0"/>
    <x v="0"/>
    <x v="0"/>
    <x v="0"/>
    <x v="0"/>
    <s v="DK1_NoDH"/>
    <x v="2"/>
    <x v="27"/>
    <m/>
    <m/>
    <m/>
    <m/>
    <n v="1.96354216216216E-3"/>
    <n v="1.96354216216216E-6"/>
  </r>
  <r>
    <x v="0"/>
    <x v="0"/>
    <x v="0"/>
    <x v="0"/>
    <x v="0"/>
    <s v="DK1_NoDH"/>
    <x v="2"/>
    <x v="8"/>
    <m/>
    <m/>
    <m/>
    <m/>
    <n v="8.5479157894736903E-4"/>
    <n v="8.5479157894736898E-7"/>
  </r>
  <r>
    <x v="0"/>
    <x v="0"/>
    <x v="0"/>
    <x v="0"/>
    <x v="0"/>
    <s v="DK1_NoDH"/>
    <x v="2"/>
    <x v="9"/>
    <m/>
    <m/>
    <m/>
    <m/>
    <n v="8.0164107692307703E-4"/>
    <n v="8.0164107692307703E-7"/>
  </r>
  <r>
    <x v="0"/>
    <x v="0"/>
    <x v="0"/>
    <x v="0"/>
    <x v="0"/>
    <s v="DK1_NoDH"/>
    <x v="2"/>
    <x v="10"/>
    <m/>
    <m/>
    <m/>
    <m/>
    <n v="2.130651E-4"/>
    <n v="2.130651E-7"/>
  </r>
  <r>
    <x v="0"/>
    <x v="0"/>
    <x v="0"/>
    <x v="0"/>
    <x v="0"/>
    <s v="DK1_NoDH"/>
    <x v="2"/>
    <x v="11"/>
    <m/>
    <m/>
    <m/>
    <m/>
    <n v="5.8306346341463402E-4"/>
    <n v="5.8306346341463501E-7"/>
  </r>
  <r>
    <x v="0"/>
    <x v="0"/>
    <x v="0"/>
    <x v="0"/>
    <x v="0"/>
    <s v="DK1_NoDH"/>
    <x v="2"/>
    <x v="12"/>
    <m/>
    <m/>
    <m/>
    <m/>
    <n v="8.3495314285714196E-4"/>
    <n v="8.3495314285714304E-7"/>
  </r>
  <r>
    <x v="0"/>
    <x v="0"/>
    <x v="0"/>
    <x v="0"/>
    <x v="0"/>
    <s v="DK1_NoDH"/>
    <x v="2"/>
    <x v="13"/>
    <m/>
    <m/>
    <m/>
    <m/>
    <n v="9.0508319999999995E-4"/>
    <n v="9.0508319999999996E-7"/>
  </r>
  <r>
    <x v="0"/>
    <x v="0"/>
    <x v="0"/>
    <x v="0"/>
    <x v="0"/>
    <s v="DK1_NoDH"/>
    <x v="2"/>
    <x v="15"/>
    <m/>
    <m/>
    <m/>
    <m/>
    <n v="3.2941408695652199E-4"/>
    <n v="3.29414086956522E-7"/>
  </r>
  <r>
    <x v="0"/>
    <x v="0"/>
    <x v="0"/>
    <x v="0"/>
    <x v="0"/>
    <s v="DK1_NoDH"/>
    <x v="2"/>
    <x v="40"/>
    <m/>
    <m/>
    <m/>
    <m/>
    <n v="3.1382165853658501E-3"/>
    <n v="3.1382165853658498E-6"/>
  </r>
  <r>
    <x v="0"/>
    <x v="0"/>
    <x v="0"/>
    <x v="0"/>
    <x v="0"/>
    <s v="DK1_NoDH"/>
    <x v="2"/>
    <x v="41"/>
    <m/>
    <m/>
    <m/>
    <m/>
    <n v="4.3876173913043497E-5"/>
    <n v="4.3876173913043503E-8"/>
  </r>
  <r>
    <x v="0"/>
    <x v="0"/>
    <x v="0"/>
    <x v="0"/>
    <x v="0"/>
    <s v="DK1_NoDH"/>
    <x v="2"/>
    <x v="42"/>
    <m/>
    <m/>
    <m/>
    <m/>
    <n v="6.5512285714285697E-4"/>
    <n v="6.5512285714285697E-7"/>
  </r>
  <r>
    <x v="0"/>
    <x v="0"/>
    <x v="0"/>
    <x v="0"/>
    <x v="0"/>
    <s v="DK1_NoDH"/>
    <x v="2"/>
    <x v="43"/>
    <m/>
    <m/>
    <m/>
    <m/>
    <n v="1.26621818181818E-4"/>
    <n v="1.2662181818181801E-7"/>
  </r>
  <r>
    <x v="0"/>
    <x v="0"/>
    <x v="0"/>
    <x v="0"/>
    <x v="0"/>
    <s v="DK1_NoDH"/>
    <x v="2"/>
    <x v="44"/>
    <m/>
    <m/>
    <m/>
    <m/>
    <n v="2.1900000000000001E-4"/>
    <n v="2.1899999999999999E-7"/>
  </r>
  <r>
    <x v="0"/>
    <x v="0"/>
    <x v="0"/>
    <x v="0"/>
    <x v="0"/>
    <s v="DK1_NoDH"/>
    <x v="6"/>
    <x v="45"/>
    <m/>
    <m/>
    <m/>
    <m/>
    <m/>
    <m/>
  </r>
  <r>
    <x v="0"/>
    <x v="0"/>
    <x v="0"/>
    <x v="0"/>
    <x v="0"/>
    <s v="DK1_NoDH"/>
    <x v="7"/>
    <x v="46"/>
    <m/>
    <m/>
    <m/>
    <m/>
    <m/>
    <m/>
  </r>
  <r>
    <x v="0"/>
    <x v="0"/>
    <x v="0"/>
    <x v="0"/>
    <x v="0"/>
    <s v="DK1_NoDH"/>
    <x v="8"/>
    <x v="47"/>
    <m/>
    <m/>
    <m/>
    <m/>
    <m/>
    <m/>
  </r>
  <r>
    <x v="0"/>
    <x v="0"/>
    <x v="0"/>
    <x v="0"/>
    <x v="0"/>
    <s v="DK1_Offshore"/>
    <x v="8"/>
    <x v="48"/>
    <m/>
    <m/>
    <m/>
    <m/>
    <m/>
    <m/>
  </r>
  <r>
    <x v="0"/>
    <x v="0"/>
    <x v="0"/>
    <x v="0"/>
    <x v="0"/>
    <s v="DK1_Rural"/>
    <x v="2"/>
    <x v="39"/>
    <m/>
    <m/>
    <m/>
    <m/>
    <n v="8.9590909090909106E-5"/>
    <n v="8.9590909090909094E-8"/>
  </r>
  <r>
    <x v="0"/>
    <x v="0"/>
    <x v="0"/>
    <x v="0"/>
    <x v="0"/>
    <s v="DK1_Rural"/>
    <x v="2"/>
    <x v="7"/>
    <m/>
    <m/>
    <m/>
    <m/>
    <n v="2.32616647058823E-4"/>
    <n v="2.3261664705882301E-7"/>
  </r>
  <r>
    <x v="0"/>
    <x v="0"/>
    <x v="0"/>
    <x v="0"/>
    <x v="0"/>
    <s v="DK1_Rural"/>
    <x v="2"/>
    <x v="33"/>
    <m/>
    <m/>
    <m/>
    <m/>
    <n v="1.134931E-3"/>
    <n v="1.1349309999999999E-6"/>
  </r>
  <r>
    <x v="0"/>
    <x v="0"/>
    <x v="0"/>
    <x v="0"/>
    <x v="0"/>
    <s v="DK1_Rural"/>
    <x v="2"/>
    <x v="27"/>
    <m/>
    <m/>
    <m/>
    <m/>
    <n v="1.1539761081081101E-3"/>
    <n v="1.15397610810811E-6"/>
  </r>
  <r>
    <x v="0"/>
    <x v="0"/>
    <x v="0"/>
    <x v="0"/>
    <x v="0"/>
    <s v="DK1_Rural"/>
    <x v="2"/>
    <x v="8"/>
    <m/>
    <m/>
    <m/>
    <m/>
    <n v="3.3062043044623898E-3"/>
    <n v="3.3062043044623899E-6"/>
  </r>
  <r>
    <x v="0"/>
    <x v="0"/>
    <x v="0"/>
    <x v="0"/>
    <x v="0"/>
    <s v="DK1_Rural"/>
    <x v="2"/>
    <x v="9"/>
    <m/>
    <m/>
    <m/>
    <m/>
    <n v="3.9749510769230799E-3"/>
    <n v="3.9749510769230796E-6"/>
  </r>
  <r>
    <x v="0"/>
    <x v="0"/>
    <x v="0"/>
    <x v="0"/>
    <x v="0"/>
    <s v="DK1_Rural"/>
    <x v="2"/>
    <x v="10"/>
    <m/>
    <m/>
    <m/>
    <m/>
    <n v="5.3319163500000002E-3"/>
    <n v="5.33191635E-6"/>
  </r>
  <r>
    <x v="0"/>
    <x v="0"/>
    <x v="0"/>
    <x v="0"/>
    <x v="0"/>
    <s v="DK1_Rural"/>
    <x v="2"/>
    <x v="11"/>
    <m/>
    <m/>
    <m/>
    <m/>
    <n v="7.8779313347400008E-3"/>
    <n v="7.8779313347400001E-6"/>
  </r>
  <r>
    <x v="0"/>
    <x v="0"/>
    <x v="0"/>
    <x v="0"/>
    <x v="0"/>
    <s v="DK1_Rural"/>
    <x v="2"/>
    <x v="12"/>
    <m/>
    <m/>
    <m/>
    <m/>
    <n v="5.7622278857142797E-3"/>
    <n v="5.7622278857142799E-6"/>
  </r>
  <r>
    <x v="0"/>
    <x v="0"/>
    <x v="0"/>
    <x v="0"/>
    <x v="0"/>
    <s v="DK1_Rural"/>
    <x v="2"/>
    <x v="13"/>
    <m/>
    <m/>
    <m/>
    <m/>
    <n v="3.5593143069767401E-3"/>
    <n v="3.5593143069767399E-6"/>
  </r>
  <r>
    <x v="0"/>
    <x v="0"/>
    <x v="0"/>
    <x v="0"/>
    <x v="0"/>
    <s v="DK1_Rural"/>
    <x v="2"/>
    <x v="14"/>
    <m/>
    <m/>
    <m/>
    <m/>
    <n v="3.8724774545454599E-3"/>
    <n v="3.8724774545454599E-6"/>
  </r>
  <r>
    <x v="0"/>
    <x v="0"/>
    <x v="0"/>
    <x v="0"/>
    <x v="0"/>
    <s v="DK1_Rural"/>
    <x v="2"/>
    <x v="49"/>
    <m/>
    <m/>
    <m/>
    <m/>
    <n v="7.3163519999999997E-4"/>
    <n v="7.3163520000000001E-7"/>
  </r>
  <r>
    <x v="0"/>
    <x v="0"/>
    <x v="0"/>
    <x v="0"/>
    <x v="0"/>
    <s v="DK1_Rural"/>
    <x v="2"/>
    <x v="15"/>
    <m/>
    <m/>
    <m/>
    <m/>
    <n v="1.48356313043478E-3"/>
    <n v="1.4835631304347801E-6"/>
  </r>
  <r>
    <x v="0"/>
    <x v="0"/>
    <x v="0"/>
    <x v="0"/>
    <x v="0"/>
    <s v="DK1_Rural"/>
    <x v="2"/>
    <x v="50"/>
    <m/>
    <m/>
    <m/>
    <m/>
    <n v="2.4826212765957401E-4"/>
    <n v="2.4826212765957499E-7"/>
  </r>
  <r>
    <x v="0"/>
    <x v="0"/>
    <x v="0"/>
    <x v="0"/>
    <x v="0"/>
    <s v="DK1_Rural"/>
    <x v="2"/>
    <x v="42"/>
    <m/>
    <m/>
    <m/>
    <m/>
    <n v="1.38908571428571E-4"/>
    <n v="1.3890857142857101E-7"/>
  </r>
  <r>
    <x v="0"/>
    <x v="0"/>
    <x v="0"/>
    <x v="0"/>
    <x v="0"/>
    <s v="DK1_Rural"/>
    <x v="2"/>
    <x v="51"/>
    <m/>
    <m/>
    <m/>
    <m/>
    <n v="1.3797000000000001E-4"/>
    <n v="1.3797000000000001E-7"/>
  </r>
  <r>
    <x v="0"/>
    <x v="0"/>
    <x v="0"/>
    <x v="0"/>
    <x v="0"/>
    <s v="DK1_Rural"/>
    <x v="2"/>
    <x v="52"/>
    <m/>
    <m/>
    <m/>
    <m/>
    <n v="4.6150243902439E-4"/>
    <n v="4.6150243902439101E-7"/>
  </r>
  <r>
    <x v="0"/>
    <x v="0"/>
    <x v="0"/>
    <x v="0"/>
    <x v="0"/>
    <s v="DK1_Rural"/>
    <x v="3"/>
    <x v="18"/>
    <m/>
    <m/>
    <n v="-621.76878963204695"/>
    <n v="-0.62176878963204696"/>
    <n v="1.0527302258320399E-3"/>
    <n v="1.05273022583204E-6"/>
  </r>
  <r>
    <x v="0"/>
    <x v="0"/>
    <x v="0"/>
    <x v="0"/>
    <x v="0"/>
    <s v="DK1_Rural"/>
    <x v="4"/>
    <x v="19"/>
    <m/>
    <m/>
    <m/>
    <m/>
    <m/>
    <m/>
  </r>
  <r>
    <x v="0"/>
    <x v="0"/>
    <x v="0"/>
    <x v="0"/>
    <x v="0"/>
    <s v="DK1_Rural"/>
    <x v="5"/>
    <x v="37"/>
    <m/>
    <m/>
    <m/>
    <m/>
    <m/>
    <m/>
  </r>
  <r>
    <x v="0"/>
    <x v="0"/>
    <x v="0"/>
    <x v="0"/>
    <x v="0"/>
    <s v="DK1_Rural"/>
    <x v="9"/>
    <x v="53"/>
    <m/>
    <m/>
    <m/>
    <m/>
    <m/>
    <m/>
  </r>
  <r>
    <x v="0"/>
    <x v="0"/>
    <x v="0"/>
    <x v="0"/>
    <x v="0"/>
    <s v="DK1_Small"/>
    <x v="1"/>
    <x v="1"/>
    <m/>
    <m/>
    <n v="-2964.6937019555598"/>
    <n v="-2.9646937019555599"/>
    <n v="7.6929544797601395E-4"/>
    <n v="7.6929544797601403E-7"/>
  </r>
  <r>
    <x v="0"/>
    <x v="0"/>
    <x v="0"/>
    <x v="0"/>
    <x v="0"/>
    <s v="DK1_Small"/>
    <x v="1"/>
    <x v="23"/>
    <m/>
    <m/>
    <n v="-1463.456696"/>
    <n v="-1.4634566959999999"/>
    <n v="3.7974599999999998E-4"/>
    <n v="3.7974599999999999E-7"/>
  </r>
  <r>
    <x v="0"/>
    <x v="0"/>
    <x v="0"/>
    <x v="0"/>
    <x v="0"/>
    <s v="DK1_Small"/>
    <x v="2"/>
    <x v="8"/>
    <m/>
    <m/>
    <m/>
    <m/>
    <n v="3.2282905263157901E-4"/>
    <n v="3.2282905263157899E-7"/>
  </r>
  <r>
    <x v="0"/>
    <x v="0"/>
    <x v="0"/>
    <x v="0"/>
    <x v="0"/>
    <s v="DK1_Small"/>
    <x v="2"/>
    <x v="9"/>
    <m/>
    <m/>
    <m/>
    <m/>
    <n v="5.9837538461538497E-5"/>
    <n v="5.98375384615385E-8"/>
  </r>
  <r>
    <x v="0"/>
    <x v="0"/>
    <x v="0"/>
    <x v="0"/>
    <x v="0"/>
    <s v="DK1_Small"/>
    <x v="2"/>
    <x v="11"/>
    <m/>
    <m/>
    <m/>
    <m/>
    <n v="1.1383726829268301E-4"/>
    <n v="1.1383726829268301E-7"/>
  </r>
  <r>
    <x v="0"/>
    <x v="0"/>
    <x v="0"/>
    <x v="0"/>
    <x v="0"/>
    <s v="DK1_Small"/>
    <x v="2"/>
    <x v="12"/>
    <m/>
    <m/>
    <m/>
    <m/>
    <n v="1.05870857142857E-3"/>
    <n v="1.0587085714285701E-6"/>
  </r>
  <r>
    <x v="0"/>
    <x v="0"/>
    <x v="0"/>
    <x v="0"/>
    <x v="0"/>
    <s v="DK1_Small"/>
    <x v="2"/>
    <x v="28"/>
    <m/>
    <m/>
    <m/>
    <m/>
    <n v="3.4163999999999999E-4"/>
    <n v="3.4163999999999998E-7"/>
  </r>
  <r>
    <x v="0"/>
    <x v="0"/>
    <x v="0"/>
    <x v="0"/>
    <x v="0"/>
    <s v="DK1_Small"/>
    <x v="4"/>
    <x v="19"/>
    <m/>
    <m/>
    <m/>
    <m/>
    <m/>
    <m/>
  </r>
  <r>
    <x v="0"/>
    <x v="0"/>
    <x v="0"/>
    <x v="0"/>
    <x v="0"/>
    <s v="DK1_Small"/>
    <x v="10"/>
    <x v="54"/>
    <m/>
    <m/>
    <n v="-133.14105000000001"/>
    <n v="-0.13314105000000001"/>
    <n v="2.20752E-4"/>
    <n v="2.2075199999999999E-7"/>
  </r>
  <r>
    <x v="0"/>
    <x v="0"/>
    <x v="0"/>
    <x v="0"/>
    <x v="0"/>
    <s v="DK1_Small"/>
    <x v="10"/>
    <x v="55"/>
    <m/>
    <m/>
    <n v="-150.82309166277099"/>
    <n v="-0.150823091662771"/>
    <n v="2.5006937477765098E-4"/>
    <n v="2.5006937477765102E-7"/>
  </r>
  <r>
    <x v="0"/>
    <x v="0"/>
    <x v="0"/>
    <x v="0"/>
    <x v="1"/>
    <s v="DK2_Large"/>
    <x v="11"/>
    <x v="56"/>
    <m/>
    <m/>
    <n v="2.1448703571428598"/>
    <n v="2.1448703571428601E-3"/>
    <n v="3.4317925714285702E-4"/>
    <n v="3.4317925714285701E-7"/>
  </r>
  <r>
    <x v="0"/>
    <x v="0"/>
    <x v="0"/>
    <x v="0"/>
    <x v="1"/>
    <s v="DK2_Large"/>
    <x v="0"/>
    <x v="57"/>
    <n v="467.78152244653501"/>
    <n v="0.46778152244653498"/>
    <n v="-338938.86548176798"/>
    <n v="-338.938865481768"/>
    <n v="1.4834509168494801E-2"/>
    <n v="1.48345091684948E-5"/>
  </r>
  <r>
    <x v="0"/>
    <x v="0"/>
    <x v="0"/>
    <x v="0"/>
    <x v="1"/>
    <s v="DK2_Large"/>
    <x v="1"/>
    <x v="58"/>
    <m/>
    <m/>
    <n v="-86592.0744000001"/>
    <n v="-86.592074400000101"/>
    <n v="2.24694E-2"/>
    <n v="2.2469399999999999E-5"/>
  </r>
  <r>
    <x v="0"/>
    <x v="0"/>
    <x v="0"/>
    <x v="0"/>
    <x v="1"/>
    <s v="DK2_Large"/>
    <x v="1"/>
    <x v="23"/>
    <m/>
    <m/>
    <n v="-94795.534079999998"/>
    <n v="-94.795534079999996"/>
    <n v="2.4598080000000001E-2"/>
    <n v="2.4598079999999999E-5"/>
  </r>
  <r>
    <x v="0"/>
    <x v="0"/>
    <x v="0"/>
    <x v="0"/>
    <x v="1"/>
    <s v="DK2_Large"/>
    <x v="1"/>
    <x v="24"/>
    <m/>
    <m/>
    <n v="-31714.256822857202"/>
    <n v="-31.714256822857202"/>
    <n v="8.2293942857143004E-3"/>
    <n v="8.2293942857142993E-6"/>
  </r>
  <r>
    <x v="0"/>
    <x v="0"/>
    <x v="0"/>
    <x v="0"/>
    <x v="1"/>
    <s v="DK2_Large"/>
    <x v="1"/>
    <x v="6"/>
    <m/>
    <m/>
    <n v="-34929.408568888903"/>
    <n v="-34.929408568888903"/>
    <n v="9.0636800000000201E-3"/>
    <n v="9.0636800000000199E-6"/>
  </r>
  <r>
    <x v="0"/>
    <x v="0"/>
    <x v="0"/>
    <x v="0"/>
    <x v="1"/>
    <s v="DK2_Large"/>
    <x v="2"/>
    <x v="7"/>
    <m/>
    <m/>
    <m/>
    <m/>
    <n v="9.0897882352941099E-5"/>
    <n v="9.0897882352941205E-8"/>
  </r>
  <r>
    <x v="0"/>
    <x v="0"/>
    <x v="0"/>
    <x v="0"/>
    <x v="1"/>
    <s v="DK2_Large"/>
    <x v="2"/>
    <x v="33"/>
    <m/>
    <m/>
    <m/>
    <m/>
    <n v="2.4528000000000001E-4"/>
    <n v="2.4527999999999998E-7"/>
  </r>
  <r>
    <x v="0"/>
    <x v="0"/>
    <x v="0"/>
    <x v="0"/>
    <x v="1"/>
    <s v="DK2_Large"/>
    <x v="2"/>
    <x v="8"/>
    <m/>
    <m/>
    <m/>
    <m/>
    <n v="3.3361768421052599E-4"/>
    <n v="3.3361768421052698E-7"/>
  </r>
  <r>
    <x v="0"/>
    <x v="0"/>
    <x v="0"/>
    <x v="0"/>
    <x v="1"/>
    <s v="DK2_Large"/>
    <x v="2"/>
    <x v="10"/>
    <m/>
    <m/>
    <m/>
    <m/>
    <n v="4.3362000000000001E-4"/>
    <n v="4.3361999999999999E-7"/>
  </r>
  <r>
    <x v="0"/>
    <x v="0"/>
    <x v="0"/>
    <x v="0"/>
    <x v="1"/>
    <s v="DK2_Large"/>
    <x v="2"/>
    <x v="44"/>
    <m/>
    <m/>
    <m/>
    <m/>
    <n v="2.0323199999999998E-3"/>
    <n v="2.0323200000000001E-6"/>
  </r>
  <r>
    <x v="0"/>
    <x v="0"/>
    <x v="0"/>
    <x v="0"/>
    <x v="1"/>
    <s v="DK2_Large"/>
    <x v="2"/>
    <x v="59"/>
    <m/>
    <m/>
    <m/>
    <m/>
    <n v="6.6306461538461498E-3"/>
    <n v="6.6306461538461602E-6"/>
  </r>
  <r>
    <x v="0"/>
    <x v="0"/>
    <x v="0"/>
    <x v="0"/>
    <x v="1"/>
    <s v="DK2_Large"/>
    <x v="4"/>
    <x v="31"/>
    <m/>
    <m/>
    <m/>
    <m/>
    <m/>
    <m/>
  </r>
  <r>
    <x v="0"/>
    <x v="0"/>
    <x v="0"/>
    <x v="0"/>
    <x v="1"/>
    <s v="DK2_Large"/>
    <x v="5"/>
    <x v="60"/>
    <m/>
    <m/>
    <m/>
    <m/>
    <m/>
    <m/>
  </r>
  <r>
    <x v="0"/>
    <x v="0"/>
    <x v="0"/>
    <x v="0"/>
    <x v="1"/>
    <s v="DK2_Large"/>
    <x v="5"/>
    <x v="37"/>
    <m/>
    <m/>
    <m/>
    <m/>
    <m/>
    <m/>
  </r>
  <r>
    <x v="0"/>
    <x v="0"/>
    <x v="0"/>
    <x v="0"/>
    <x v="1"/>
    <s v="DK2_Large"/>
    <x v="9"/>
    <x v="61"/>
    <m/>
    <m/>
    <m/>
    <m/>
    <m/>
    <m/>
  </r>
  <r>
    <x v="0"/>
    <x v="0"/>
    <x v="0"/>
    <x v="0"/>
    <x v="1"/>
    <s v="DK2_Large"/>
    <x v="10"/>
    <x v="62"/>
    <m/>
    <m/>
    <n v="-562.99644000000001"/>
    <n v="-0.56299644000000004"/>
    <n v="9.3346559999999996E-4"/>
    <n v="9.3346559999999998E-7"/>
  </r>
  <r>
    <x v="0"/>
    <x v="0"/>
    <x v="0"/>
    <x v="0"/>
    <x v="1"/>
    <s v="DK2_MedSmall"/>
    <x v="1"/>
    <x v="1"/>
    <m/>
    <m/>
    <n v="-3052.3967038871901"/>
    <n v="-3.0523967038871902"/>
    <n v="7.9205311771954605E-4"/>
    <n v="7.92053117719546E-7"/>
  </r>
  <r>
    <x v="0"/>
    <x v="0"/>
    <x v="0"/>
    <x v="0"/>
    <x v="1"/>
    <s v="DK2_MedSmall"/>
    <x v="1"/>
    <x v="24"/>
    <m/>
    <m/>
    <n v="-7754.9460114285803"/>
    <n v="-7.7549460114285802"/>
    <n v="2.0122971428571499E-3"/>
    <n v="2.0122971428571501E-6"/>
  </r>
  <r>
    <x v="0"/>
    <x v="0"/>
    <x v="0"/>
    <x v="0"/>
    <x v="1"/>
    <s v="DK2_MedSmall"/>
    <x v="1"/>
    <x v="63"/>
    <m/>
    <m/>
    <n v="-10971.878306012601"/>
    <n v="-10.9718783060126"/>
    <n v="2.8470448839267E-3"/>
    <n v="2.8470448839267001E-6"/>
  </r>
  <r>
    <x v="0"/>
    <x v="0"/>
    <x v="0"/>
    <x v="0"/>
    <x v="1"/>
    <s v="DK2_MedSmall"/>
    <x v="1"/>
    <x v="64"/>
    <m/>
    <m/>
    <n v="-15062.111176905"/>
    <n v="-15.062111176905001"/>
    <n v="3.9084015855191103E-3"/>
    <n v="3.9084015855191099E-6"/>
  </r>
  <r>
    <x v="0"/>
    <x v="0"/>
    <x v="0"/>
    <x v="0"/>
    <x v="1"/>
    <s v="DK2_MedSmall"/>
    <x v="2"/>
    <x v="10"/>
    <m/>
    <m/>
    <m/>
    <m/>
    <n v="1.1668319999999999E-4"/>
    <n v="1.166832E-7"/>
  </r>
  <r>
    <x v="0"/>
    <x v="0"/>
    <x v="0"/>
    <x v="0"/>
    <x v="1"/>
    <s v="DK2_MedSmall"/>
    <x v="2"/>
    <x v="12"/>
    <m/>
    <m/>
    <m/>
    <m/>
    <n v="2.32765714285714E-4"/>
    <n v="2.3276571428571401E-7"/>
  </r>
  <r>
    <x v="0"/>
    <x v="0"/>
    <x v="0"/>
    <x v="0"/>
    <x v="1"/>
    <s v="DK2_MedSmall"/>
    <x v="4"/>
    <x v="19"/>
    <m/>
    <m/>
    <m/>
    <m/>
    <m/>
    <m/>
  </r>
  <r>
    <x v="0"/>
    <x v="0"/>
    <x v="0"/>
    <x v="0"/>
    <x v="1"/>
    <s v="DK2_Medium"/>
    <x v="0"/>
    <x v="65"/>
    <n v="325.00594065773902"/>
    <n v="0.32500594065773902"/>
    <n v="-235488.448165371"/>
    <n v="-235.48844816537101"/>
    <n v="1.03067423041566E-2"/>
    <n v="1.03067423041566E-5"/>
  </r>
  <r>
    <x v="0"/>
    <x v="0"/>
    <x v="0"/>
    <x v="0"/>
    <x v="1"/>
    <s v="DK2_Medium"/>
    <x v="1"/>
    <x v="5"/>
    <m/>
    <m/>
    <n v="-6808.3919583357501"/>
    <n v="-6.8083919583357497"/>
    <n v="1.7666799568971799E-3"/>
    <n v="1.7666799568971799E-6"/>
  </r>
  <r>
    <x v="0"/>
    <x v="0"/>
    <x v="0"/>
    <x v="0"/>
    <x v="1"/>
    <s v="DK2_Medium"/>
    <x v="1"/>
    <x v="63"/>
    <m/>
    <m/>
    <n v="-5995.6149760000098"/>
    <n v="-5.9956149760000104"/>
    <n v="1.555776E-3"/>
    <n v="1.555776E-6"/>
  </r>
  <r>
    <x v="0"/>
    <x v="0"/>
    <x v="0"/>
    <x v="0"/>
    <x v="1"/>
    <s v="DK2_Medium"/>
    <x v="2"/>
    <x v="39"/>
    <m/>
    <m/>
    <m/>
    <m/>
    <n v="5.5745454545454501E-5"/>
    <n v="5.5745454545454503E-8"/>
  </r>
  <r>
    <x v="0"/>
    <x v="0"/>
    <x v="0"/>
    <x v="0"/>
    <x v="1"/>
    <s v="DK2_Medium"/>
    <x v="2"/>
    <x v="26"/>
    <m/>
    <m/>
    <m/>
    <m/>
    <n v="1.80205714285714E-4"/>
    <n v="1.8020571428571399E-7"/>
  </r>
  <r>
    <x v="0"/>
    <x v="0"/>
    <x v="0"/>
    <x v="0"/>
    <x v="1"/>
    <s v="DK2_Medium"/>
    <x v="2"/>
    <x v="8"/>
    <m/>
    <m/>
    <m/>
    <m/>
    <n v="8.0499789473684305E-5"/>
    <n v="8.0499789473684199E-8"/>
  </r>
  <r>
    <x v="0"/>
    <x v="0"/>
    <x v="0"/>
    <x v="0"/>
    <x v="1"/>
    <s v="DK2_Medium"/>
    <x v="2"/>
    <x v="9"/>
    <m/>
    <m/>
    <m/>
    <m/>
    <n v="9.1050092307692302E-4"/>
    <n v="9.1050092307692401E-7"/>
  </r>
  <r>
    <x v="0"/>
    <x v="0"/>
    <x v="0"/>
    <x v="0"/>
    <x v="1"/>
    <s v="DK2_Medium"/>
    <x v="2"/>
    <x v="11"/>
    <m/>
    <m/>
    <m/>
    <m/>
    <n v="2.3844292682926899E-4"/>
    <n v="2.38442926829268E-7"/>
  </r>
  <r>
    <x v="0"/>
    <x v="0"/>
    <x v="0"/>
    <x v="0"/>
    <x v="1"/>
    <s v="DK2_Medium"/>
    <x v="2"/>
    <x v="12"/>
    <m/>
    <m/>
    <m/>
    <m/>
    <n v="1.5017142857142899E-4"/>
    <n v="1.5017142857142901E-7"/>
  </r>
  <r>
    <x v="0"/>
    <x v="0"/>
    <x v="0"/>
    <x v="0"/>
    <x v="1"/>
    <s v="DK2_Medium"/>
    <x v="2"/>
    <x v="66"/>
    <m/>
    <m/>
    <m/>
    <m/>
    <n v="4.4300571428571396E-3"/>
    <n v="4.4300571428571397E-6"/>
  </r>
  <r>
    <x v="0"/>
    <x v="0"/>
    <x v="0"/>
    <x v="0"/>
    <x v="1"/>
    <s v="DK2_Medium"/>
    <x v="2"/>
    <x v="35"/>
    <m/>
    <m/>
    <m/>
    <m/>
    <n v="5.5187999999999999E-3"/>
    <n v="5.5188000000000004E-6"/>
  </r>
  <r>
    <x v="0"/>
    <x v="0"/>
    <x v="0"/>
    <x v="0"/>
    <x v="1"/>
    <s v="DK2_Medium"/>
    <x v="5"/>
    <x v="37"/>
    <m/>
    <m/>
    <m/>
    <m/>
    <m/>
    <m/>
  </r>
  <r>
    <x v="0"/>
    <x v="0"/>
    <x v="0"/>
    <x v="0"/>
    <x v="1"/>
    <s v="DK2_NoDH"/>
    <x v="2"/>
    <x v="39"/>
    <m/>
    <m/>
    <m/>
    <m/>
    <n v="8.9192727272727199E-5"/>
    <n v="8.9192727272727297E-8"/>
  </r>
  <r>
    <x v="0"/>
    <x v="0"/>
    <x v="0"/>
    <x v="0"/>
    <x v="1"/>
    <s v="DK2_NoDH"/>
    <x v="2"/>
    <x v="7"/>
    <m/>
    <m/>
    <m/>
    <m/>
    <n v="3.90799058823529E-4"/>
    <n v="3.90799058823529E-7"/>
  </r>
  <r>
    <x v="0"/>
    <x v="0"/>
    <x v="0"/>
    <x v="0"/>
    <x v="1"/>
    <s v="DK2_NoDH"/>
    <x v="2"/>
    <x v="26"/>
    <m/>
    <m/>
    <m/>
    <m/>
    <n v="3.3315531428571401E-4"/>
    <n v="3.33155314285714E-7"/>
  </r>
  <r>
    <x v="0"/>
    <x v="0"/>
    <x v="0"/>
    <x v="0"/>
    <x v="1"/>
    <s v="DK2_NoDH"/>
    <x v="2"/>
    <x v="33"/>
    <m/>
    <m/>
    <m/>
    <m/>
    <n v="2.9634350000000003E-4"/>
    <n v="2.9634350000000001E-7"/>
  </r>
  <r>
    <x v="0"/>
    <x v="0"/>
    <x v="0"/>
    <x v="0"/>
    <x v="1"/>
    <s v="DK2_NoDH"/>
    <x v="2"/>
    <x v="27"/>
    <m/>
    <m/>
    <m/>
    <m/>
    <n v="2.30340648648649E-4"/>
    <n v="2.3034064864864899E-7"/>
  </r>
  <r>
    <x v="0"/>
    <x v="0"/>
    <x v="0"/>
    <x v="0"/>
    <x v="1"/>
    <s v="DK2_NoDH"/>
    <x v="2"/>
    <x v="8"/>
    <m/>
    <m/>
    <m/>
    <m/>
    <n v="3.1204042105263202E-4"/>
    <n v="3.1204042105263201E-7"/>
  </r>
  <r>
    <x v="0"/>
    <x v="0"/>
    <x v="0"/>
    <x v="0"/>
    <x v="1"/>
    <s v="DK2_NoDH"/>
    <x v="2"/>
    <x v="9"/>
    <m/>
    <m/>
    <m/>
    <m/>
    <n v="6.5902153846153803E-4"/>
    <n v="6.5902153846153899E-7"/>
  </r>
  <r>
    <x v="0"/>
    <x v="0"/>
    <x v="0"/>
    <x v="0"/>
    <x v="1"/>
    <s v="DK2_NoDH"/>
    <x v="2"/>
    <x v="10"/>
    <m/>
    <m/>
    <m/>
    <m/>
    <n v="6.3308519999999999E-4"/>
    <n v="6.3308520000000002E-7"/>
  </r>
  <r>
    <x v="0"/>
    <x v="0"/>
    <x v="0"/>
    <x v="0"/>
    <x v="1"/>
    <s v="DK2_NoDH"/>
    <x v="2"/>
    <x v="11"/>
    <m/>
    <m/>
    <m/>
    <m/>
    <n v="1.2660550243902399E-3"/>
    <n v="1.26605502439025E-6"/>
  </r>
  <r>
    <x v="0"/>
    <x v="0"/>
    <x v="0"/>
    <x v="0"/>
    <x v="1"/>
    <s v="DK2_NoDH"/>
    <x v="2"/>
    <x v="15"/>
    <m/>
    <m/>
    <m/>
    <m/>
    <n v="6.4717356521739103E-4"/>
    <n v="6.4717356521739096E-7"/>
  </r>
  <r>
    <x v="0"/>
    <x v="0"/>
    <x v="0"/>
    <x v="0"/>
    <x v="1"/>
    <s v="DK2_NoDH"/>
    <x v="2"/>
    <x v="42"/>
    <m/>
    <m/>
    <m/>
    <m/>
    <n v="2.2995000000000001E-4"/>
    <n v="2.2994999999999999E-7"/>
  </r>
  <r>
    <x v="0"/>
    <x v="0"/>
    <x v="0"/>
    <x v="0"/>
    <x v="1"/>
    <s v="DK2_NoDH"/>
    <x v="2"/>
    <x v="59"/>
    <m/>
    <m/>
    <m/>
    <m/>
    <n v="4.7627446153846202E-4"/>
    <n v="4.7627446153846202E-7"/>
  </r>
  <r>
    <x v="0"/>
    <x v="0"/>
    <x v="0"/>
    <x v="0"/>
    <x v="1"/>
    <s v="DK2_NoDH"/>
    <x v="6"/>
    <x v="45"/>
    <m/>
    <m/>
    <m/>
    <m/>
    <m/>
    <m/>
  </r>
  <r>
    <x v="0"/>
    <x v="0"/>
    <x v="0"/>
    <x v="0"/>
    <x v="1"/>
    <s v="DK2_NoDH"/>
    <x v="7"/>
    <x v="46"/>
    <m/>
    <m/>
    <m/>
    <m/>
    <m/>
    <m/>
  </r>
  <r>
    <x v="0"/>
    <x v="0"/>
    <x v="0"/>
    <x v="0"/>
    <x v="1"/>
    <s v="DK2_NoDH"/>
    <x v="8"/>
    <x v="47"/>
    <m/>
    <m/>
    <m/>
    <m/>
    <m/>
    <m/>
  </r>
  <r>
    <x v="0"/>
    <x v="0"/>
    <x v="0"/>
    <x v="0"/>
    <x v="1"/>
    <s v="DK2_Offshore"/>
    <x v="8"/>
    <x v="48"/>
    <m/>
    <m/>
    <m/>
    <m/>
    <m/>
    <m/>
  </r>
  <r>
    <x v="0"/>
    <x v="0"/>
    <x v="0"/>
    <x v="0"/>
    <x v="1"/>
    <s v="DK2_Rural"/>
    <x v="11"/>
    <x v="67"/>
    <m/>
    <m/>
    <n v="0.25521923076923098"/>
    <n v="2.5521923076923098E-4"/>
    <n v="4.0835076923076901E-5"/>
    <n v="4.0835076923076898E-8"/>
  </r>
  <r>
    <x v="0"/>
    <x v="0"/>
    <x v="0"/>
    <x v="0"/>
    <x v="1"/>
    <s v="DK2_Rural"/>
    <x v="11"/>
    <x v="68"/>
    <m/>
    <m/>
    <n v="0.21763125"/>
    <n v="2.1763125000000001E-4"/>
    <n v="3.4820999999999997E-5"/>
    <n v="3.4820999999999998E-8"/>
  </r>
  <r>
    <x v="0"/>
    <x v="0"/>
    <x v="0"/>
    <x v="0"/>
    <x v="1"/>
    <s v="DK2_Rural"/>
    <x v="11"/>
    <x v="69"/>
    <m/>
    <m/>
    <n v="1.4421951219512199"/>
    <n v="1.44219512195122E-3"/>
    <n v="2.30751219512195E-4"/>
    <n v="2.30751219512195E-7"/>
  </r>
  <r>
    <x v="0"/>
    <x v="0"/>
    <x v="0"/>
    <x v="0"/>
    <x v="1"/>
    <s v="DK2_Rural"/>
    <x v="11"/>
    <x v="56"/>
    <m/>
    <m/>
    <n v="4.0363264285714298"/>
    <n v="4.0363264285714299E-3"/>
    <n v="6.4581222857142899E-4"/>
    <n v="6.4581222857142899E-7"/>
  </r>
  <r>
    <x v="0"/>
    <x v="0"/>
    <x v="0"/>
    <x v="0"/>
    <x v="1"/>
    <s v="DK2_Rural"/>
    <x v="0"/>
    <x v="70"/>
    <n v="39.422252571428601"/>
    <n v="3.9422252571428597E-2"/>
    <n v="297.54216000000002"/>
    <n v="0.29754216"/>
    <n v="1.2501771428571401E-3"/>
    <n v="1.25017714285714E-6"/>
  </r>
  <r>
    <x v="0"/>
    <x v="0"/>
    <x v="0"/>
    <x v="0"/>
    <x v="1"/>
    <s v="DK2_Rural"/>
    <x v="1"/>
    <x v="1"/>
    <m/>
    <m/>
    <n v="-3240.8729600000001"/>
    <n v="-3.2408729599999999"/>
    <n v="8.4095999999999997E-4"/>
    <n v="8.4096000000000003E-7"/>
  </r>
  <r>
    <x v="0"/>
    <x v="0"/>
    <x v="0"/>
    <x v="0"/>
    <x v="1"/>
    <s v="DK2_Rural"/>
    <x v="2"/>
    <x v="39"/>
    <m/>
    <m/>
    <m/>
    <m/>
    <n v="6.5652218181818105E-4"/>
    <n v="6.5652218181818097E-7"/>
  </r>
  <r>
    <x v="0"/>
    <x v="0"/>
    <x v="0"/>
    <x v="0"/>
    <x v="1"/>
    <s v="DK2_Rural"/>
    <x v="2"/>
    <x v="7"/>
    <m/>
    <m/>
    <m/>
    <m/>
    <n v="3.6822917647058801E-4"/>
    <n v="3.6822917647058798E-7"/>
  </r>
  <r>
    <x v="0"/>
    <x v="0"/>
    <x v="0"/>
    <x v="0"/>
    <x v="1"/>
    <s v="DK2_Rural"/>
    <x v="2"/>
    <x v="26"/>
    <m/>
    <m/>
    <m/>
    <m/>
    <n v="6.5684982857142798E-4"/>
    <n v="6.5684982857142899E-7"/>
  </r>
  <r>
    <x v="0"/>
    <x v="0"/>
    <x v="0"/>
    <x v="0"/>
    <x v="1"/>
    <s v="DK2_Rural"/>
    <x v="2"/>
    <x v="33"/>
    <m/>
    <m/>
    <m/>
    <m/>
    <n v="1.15194E-4"/>
    <n v="1.1519400000000001E-7"/>
  </r>
  <r>
    <x v="0"/>
    <x v="0"/>
    <x v="0"/>
    <x v="0"/>
    <x v="1"/>
    <s v="DK2_Rural"/>
    <x v="2"/>
    <x v="27"/>
    <m/>
    <m/>
    <m/>
    <m/>
    <n v="1.5427070270270299E-4"/>
    <n v="1.54270702702703E-7"/>
  </r>
  <r>
    <x v="0"/>
    <x v="0"/>
    <x v="0"/>
    <x v="0"/>
    <x v="1"/>
    <s v="DK2_Rural"/>
    <x v="2"/>
    <x v="8"/>
    <m/>
    <m/>
    <m/>
    <m/>
    <n v="2.6432147368421097E-4"/>
    <n v="2.64321473684211E-7"/>
  </r>
  <r>
    <x v="0"/>
    <x v="0"/>
    <x v="0"/>
    <x v="0"/>
    <x v="1"/>
    <s v="DK2_Rural"/>
    <x v="2"/>
    <x v="9"/>
    <m/>
    <m/>
    <m/>
    <m/>
    <n v="2.1104861538461502E-3"/>
    <n v="2.1104861538461499E-6"/>
  </r>
  <r>
    <x v="0"/>
    <x v="0"/>
    <x v="0"/>
    <x v="0"/>
    <x v="1"/>
    <s v="DK2_Rural"/>
    <x v="2"/>
    <x v="10"/>
    <m/>
    <m/>
    <m/>
    <m/>
    <n v="2.0734920000000001E-3"/>
    <n v="2.0734919999999999E-6"/>
  </r>
  <r>
    <x v="0"/>
    <x v="0"/>
    <x v="0"/>
    <x v="0"/>
    <x v="1"/>
    <s v="DK2_Rural"/>
    <x v="2"/>
    <x v="11"/>
    <m/>
    <m/>
    <m/>
    <m/>
    <n v="4.1812120975609799E-4"/>
    <n v="4.1812120975609801E-7"/>
  </r>
  <r>
    <x v="0"/>
    <x v="0"/>
    <x v="0"/>
    <x v="0"/>
    <x v="1"/>
    <s v="DK2_Rural"/>
    <x v="2"/>
    <x v="12"/>
    <m/>
    <m/>
    <m/>
    <m/>
    <n v="1.14130285714286E-4"/>
    <n v="1.14130285714286E-7"/>
  </r>
  <r>
    <x v="0"/>
    <x v="0"/>
    <x v="0"/>
    <x v="0"/>
    <x v="1"/>
    <s v="DK2_Rural"/>
    <x v="2"/>
    <x v="13"/>
    <m/>
    <m/>
    <m/>
    <m/>
    <n v="1.8166202790697699E-4"/>
    <n v="1.8166202790697699E-7"/>
  </r>
  <r>
    <x v="0"/>
    <x v="0"/>
    <x v="0"/>
    <x v="0"/>
    <x v="1"/>
    <s v="DK2_Rural"/>
    <x v="2"/>
    <x v="49"/>
    <m/>
    <m/>
    <m/>
    <m/>
    <n v="3.5040000000000003E-5"/>
    <n v="3.5040000000000001E-8"/>
  </r>
  <r>
    <x v="0"/>
    <x v="0"/>
    <x v="0"/>
    <x v="0"/>
    <x v="1"/>
    <s v="DK2_Rural"/>
    <x v="2"/>
    <x v="15"/>
    <m/>
    <m/>
    <m/>
    <m/>
    <n v="3.7706086956521703E-5"/>
    <n v="3.7706086956521698E-8"/>
  </r>
  <r>
    <x v="0"/>
    <x v="0"/>
    <x v="0"/>
    <x v="0"/>
    <x v="1"/>
    <s v="DK2_Rural"/>
    <x v="3"/>
    <x v="29"/>
    <m/>
    <m/>
    <n v="-1568.58677887457"/>
    <n v="-1.56858677887457"/>
    <n v="2.65580830285641E-3"/>
    <n v="2.6558083028564099E-6"/>
  </r>
  <r>
    <x v="0"/>
    <x v="0"/>
    <x v="0"/>
    <x v="0"/>
    <x v="1"/>
    <s v="DK2_Rural"/>
    <x v="3"/>
    <x v="71"/>
    <m/>
    <m/>
    <n v="-1552.1624999999999"/>
    <n v="-1.5521624999999999"/>
    <n v="2.6280000000000001E-3"/>
    <n v="2.6280000000000001E-6"/>
  </r>
  <r>
    <x v="0"/>
    <x v="0"/>
    <x v="0"/>
    <x v="0"/>
    <x v="1"/>
    <s v="DK2_Rural"/>
    <x v="3"/>
    <x v="72"/>
    <m/>
    <m/>
    <n v="-2753.8811999999998"/>
    <n v="-2.7538811999999999"/>
    <n v="4.6626560000000003E-3"/>
    <n v="4.6626559999999999E-6"/>
  </r>
  <r>
    <x v="0"/>
    <x v="0"/>
    <x v="0"/>
    <x v="0"/>
    <x v="1"/>
    <s v="DK2_Rural"/>
    <x v="3"/>
    <x v="73"/>
    <m/>
    <m/>
    <n v="-2954.4610344827602"/>
    <n v="-2.95446103448276"/>
    <n v="5.0022620689655203E-3"/>
    <n v="5.0022620689655197E-6"/>
  </r>
  <r>
    <x v="0"/>
    <x v="0"/>
    <x v="0"/>
    <x v="0"/>
    <x v="1"/>
    <s v="DK2_Rural"/>
    <x v="4"/>
    <x v="19"/>
    <m/>
    <m/>
    <m/>
    <m/>
    <m/>
    <m/>
  </r>
  <r>
    <x v="0"/>
    <x v="0"/>
    <x v="0"/>
    <x v="0"/>
    <x v="1"/>
    <s v="DK2_Rural"/>
    <x v="10"/>
    <x v="54"/>
    <m/>
    <m/>
    <n v="-479.30777999999998"/>
    <n v="-0.47930778000000002"/>
    <n v="7.9470720000000003E-4"/>
    <n v="7.9470719999999995E-7"/>
  </r>
  <r>
    <x v="0"/>
    <x v="0"/>
    <x v="0"/>
    <x v="0"/>
    <x v="1"/>
    <s v="DK2_Small"/>
    <x v="2"/>
    <x v="15"/>
    <m/>
    <m/>
    <m/>
    <m/>
    <n v="2.6394260869565199E-3"/>
    <n v="2.6394260869565201E-6"/>
  </r>
  <r>
    <x v="0"/>
    <x v="0"/>
    <x v="0"/>
    <x v="1"/>
    <x v="2"/>
    <s v="EE_Enefit"/>
    <x v="12"/>
    <x v="74"/>
    <n v="87.844771041729601"/>
    <n v="8.7844771041729594E-2"/>
    <m/>
    <m/>
    <n v="1.5465628704529901E-3"/>
    <n v="1.54656287045299E-6"/>
  </r>
  <r>
    <x v="0"/>
    <x v="0"/>
    <x v="0"/>
    <x v="1"/>
    <x v="2"/>
    <s v="EE_Industry"/>
    <x v="12"/>
    <x v="75"/>
    <n v="390.652561983471"/>
    <n v="0.39065256198347098"/>
    <m/>
    <m/>
    <n v="6.87768595041322E-3"/>
    <n v="6.8776859504132304E-6"/>
  </r>
  <r>
    <x v="0"/>
    <x v="0"/>
    <x v="0"/>
    <x v="1"/>
    <x v="2"/>
    <s v="EE_Industry"/>
    <x v="13"/>
    <x v="76"/>
    <m/>
    <m/>
    <n v="14.263241241907499"/>
    <n v="1.42632412419075E-2"/>
    <n v="2.2821185987052001E-3"/>
    <n v="2.2821185987051999E-6"/>
  </r>
  <r>
    <x v="0"/>
    <x v="0"/>
    <x v="0"/>
    <x v="1"/>
    <x v="2"/>
    <s v="EE_Industry"/>
    <x v="13"/>
    <x v="77"/>
    <m/>
    <m/>
    <n v="12.8543574668575"/>
    <n v="1.2854357466857501E-2"/>
    <n v="2.0566971946971899E-3"/>
    <n v="2.0566971946971902E-6"/>
  </r>
  <r>
    <x v="0"/>
    <x v="0"/>
    <x v="0"/>
    <x v="1"/>
    <x v="2"/>
    <s v="EE_Industry"/>
    <x v="10"/>
    <x v="78"/>
    <m/>
    <m/>
    <n v="84.046415094339594"/>
    <n v="8.4046415094339605E-2"/>
    <n v="1.3447426415094299E-2"/>
    <n v="1.34474264150943E-5"/>
  </r>
  <r>
    <x v="0"/>
    <x v="0"/>
    <x v="0"/>
    <x v="1"/>
    <x v="2"/>
    <s v="EE_Kohtla_Jarve"/>
    <x v="2"/>
    <x v="79"/>
    <m/>
    <m/>
    <m/>
    <m/>
    <n v="7.5705741176488803E-4"/>
    <n v="7.5705741176488802E-7"/>
  </r>
  <r>
    <x v="0"/>
    <x v="0"/>
    <x v="0"/>
    <x v="1"/>
    <x v="2"/>
    <s v="EE_Kohtla_Jarve"/>
    <x v="2"/>
    <x v="80"/>
    <m/>
    <m/>
    <m/>
    <m/>
    <n v="1.14547658402204E-3"/>
    <n v="1.1454765840220401E-6"/>
  </r>
  <r>
    <x v="0"/>
    <x v="0"/>
    <x v="0"/>
    <x v="1"/>
    <x v="2"/>
    <s v="EE_Narva"/>
    <x v="14"/>
    <x v="81"/>
    <n v="25.5077325179479"/>
    <n v="2.5507732517947902E-2"/>
    <n v="153.73579328384801"/>
    <n v="0.15373579328384801"/>
    <n v="6.8939817616075398E-4"/>
    <n v="6.8939817616075401E-7"/>
  </r>
  <r>
    <x v="0"/>
    <x v="0"/>
    <x v="0"/>
    <x v="1"/>
    <x v="2"/>
    <s v="EE_Narva"/>
    <x v="15"/>
    <x v="82"/>
    <n v="495.994934456853"/>
    <n v="0.495994934456853"/>
    <n v="173.59822705989899"/>
    <n v="0.173598227059899"/>
    <n v="1.4588086307554499E-2"/>
    <n v="1.4588086307554501E-5"/>
  </r>
  <r>
    <x v="0"/>
    <x v="0"/>
    <x v="0"/>
    <x v="1"/>
    <x v="2"/>
    <s v="EE_Parnu"/>
    <x v="13"/>
    <x v="83"/>
    <m/>
    <m/>
    <n v="40.648193597641303"/>
    <n v="4.0648193597641297E-2"/>
    <n v="6.5037109756226098E-3"/>
    <n v="6.5037109756226096E-6"/>
  </r>
  <r>
    <x v="0"/>
    <x v="0"/>
    <x v="0"/>
    <x v="1"/>
    <x v="2"/>
    <s v="EE_Rural"/>
    <x v="2"/>
    <x v="80"/>
    <m/>
    <m/>
    <m/>
    <m/>
    <n v="8.5910743801652901E-5"/>
    <n v="8.5910743801652894E-8"/>
  </r>
  <r>
    <x v="0"/>
    <x v="0"/>
    <x v="0"/>
    <x v="1"/>
    <x v="2"/>
    <s v="EE_Rural"/>
    <x v="7"/>
    <x v="46"/>
    <m/>
    <m/>
    <m/>
    <m/>
    <m/>
    <m/>
  </r>
  <r>
    <x v="0"/>
    <x v="0"/>
    <x v="0"/>
    <x v="1"/>
    <x v="2"/>
    <s v="EE_Rural"/>
    <x v="8"/>
    <x v="47"/>
    <m/>
    <m/>
    <m/>
    <m/>
    <m/>
    <m/>
  </r>
  <r>
    <x v="0"/>
    <x v="0"/>
    <x v="0"/>
    <x v="1"/>
    <x v="2"/>
    <s v="EE_Rural"/>
    <x v="10"/>
    <x v="84"/>
    <m/>
    <m/>
    <n v="31.121052631578898"/>
    <n v="3.11210526315789E-2"/>
    <n v="4.9793684210526299E-3"/>
    <n v="4.9793684210526302E-6"/>
  </r>
  <r>
    <x v="0"/>
    <x v="0"/>
    <x v="0"/>
    <x v="1"/>
    <x v="2"/>
    <s v="EE_Sillamae"/>
    <x v="2"/>
    <x v="80"/>
    <m/>
    <m/>
    <m/>
    <m/>
    <n v="7.1592286501377396E-4"/>
    <n v="7.1592286501377396E-7"/>
  </r>
  <r>
    <x v="0"/>
    <x v="0"/>
    <x v="0"/>
    <x v="1"/>
    <x v="2"/>
    <s v="EE_Tallinn"/>
    <x v="1"/>
    <x v="85"/>
    <m/>
    <m/>
    <n v="278.77823999999998"/>
    <n v="0.27877824000000001"/>
    <n v="7.1481599999999998E-3"/>
    <n v="7.1481600000000002E-6"/>
  </r>
  <r>
    <x v="0"/>
    <x v="0"/>
    <x v="0"/>
    <x v="1"/>
    <x v="2"/>
    <s v="EE_Tallinn"/>
    <x v="2"/>
    <x v="80"/>
    <m/>
    <m/>
    <m/>
    <m/>
    <n v="1.07388429752066E-4"/>
    <n v="1.07388429752066E-7"/>
  </r>
  <r>
    <x v="0"/>
    <x v="0"/>
    <x v="0"/>
    <x v="1"/>
    <x v="2"/>
    <s v="EE_Tallinn"/>
    <x v="2"/>
    <x v="86"/>
    <m/>
    <m/>
    <m/>
    <m/>
    <n v="8.2812033791438994E-3"/>
    <n v="8.2812033791439E-6"/>
  </r>
  <r>
    <x v="0"/>
    <x v="0"/>
    <x v="0"/>
    <x v="1"/>
    <x v="2"/>
    <s v="EE_Tallinn"/>
    <x v="13"/>
    <x v="87"/>
    <m/>
    <m/>
    <n v="15.909133460370899"/>
    <n v="1.59091334603709E-2"/>
    <n v="2.5454613536593398E-3"/>
    <n v="2.5454613536593401E-6"/>
  </r>
  <r>
    <x v="0"/>
    <x v="0"/>
    <x v="0"/>
    <x v="1"/>
    <x v="2"/>
    <s v="EE_Tallinn"/>
    <x v="13"/>
    <x v="88"/>
    <m/>
    <m/>
    <n v="57.416092715270501"/>
    <n v="5.7416092715270498E-2"/>
    <n v="9.1865748344432795E-3"/>
    <n v="9.1865748344432797E-6"/>
  </r>
  <r>
    <x v="0"/>
    <x v="0"/>
    <x v="0"/>
    <x v="1"/>
    <x v="2"/>
    <s v="EE_Tallinn"/>
    <x v="13"/>
    <x v="89"/>
    <m/>
    <m/>
    <n v="60.688449045223798"/>
    <n v="6.0688449045223802E-2"/>
    <n v="9.7101518472358008E-3"/>
    <n v="9.7101518472357997E-6"/>
  </r>
  <r>
    <x v="0"/>
    <x v="0"/>
    <x v="0"/>
    <x v="1"/>
    <x v="2"/>
    <s v="EE_Tartu"/>
    <x v="2"/>
    <x v="79"/>
    <m/>
    <m/>
    <m/>
    <m/>
    <n v="4.1308811659561601E-4"/>
    <n v="4.1308811659561599E-7"/>
  </r>
  <r>
    <x v="0"/>
    <x v="0"/>
    <x v="0"/>
    <x v="1"/>
    <x v="2"/>
    <s v="EE_Tartu"/>
    <x v="13"/>
    <x v="90"/>
    <m/>
    <m/>
    <n v="59.986986437333996"/>
    <n v="5.9986986437334001E-2"/>
    <n v="9.5979178299734399E-3"/>
    <n v="9.5979178299734393E-6"/>
  </r>
  <r>
    <x v="0"/>
    <x v="0"/>
    <x v="0"/>
    <x v="1"/>
    <x v="2"/>
    <s v="EE_Urban"/>
    <x v="2"/>
    <x v="80"/>
    <m/>
    <m/>
    <m/>
    <m/>
    <n v="6.4433057851239706E-5"/>
    <n v="6.4433057851239697E-8"/>
  </r>
  <r>
    <x v="0"/>
    <x v="0"/>
    <x v="0"/>
    <x v="1"/>
    <x v="2"/>
    <s v="EE_Urban"/>
    <x v="13"/>
    <x v="91"/>
    <m/>
    <m/>
    <n v="17.850566037735899"/>
    <n v="1.7850566037735799E-2"/>
    <n v="2.85609056603774E-3"/>
    <n v="2.8560905660377302E-6"/>
  </r>
  <r>
    <x v="0"/>
    <x v="0"/>
    <x v="0"/>
    <x v="2"/>
    <x v="3"/>
    <s v="FIN_EL"/>
    <x v="2"/>
    <x v="92"/>
    <m/>
    <m/>
    <m/>
    <m/>
    <n v="7.1703998828697001E-3"/>
    <n v="7.1703998828696896E-6"/>
  </r>
  <r>
    <x v="0"/>
    <x v="0"/>
    <x v="0"/>
    <x v="2"/>
    <x v="3"/>
    <s v="FIN_EL"/>
    <x v="2"/>
    <x v="93"/>
    <m/>
    <m/>
    <m/>
    <m/>
    <n v="7.3822909090909003E-3"/>
    <n v="7.3822909090909099E-6"/>
  </r>
  <r>
    <x v="0"/>
    <x v="0"/>
    <x v="0"/>
    <x v="2"/>
    <x v="3"/>
    <s v="FIN_EL"/>
    <x v="5"/>
    <x v="94"/>
    <m/>
    <m/>
    <m/>
    <m/>
    <m/>
    <m/>
  </r>
  <r>
    <x v="0"/>
    <x v="0"/>
    <x v="0"/>
    <x v="2"/>
    <x v="3"/>
    <s v="FIN_EL"/>
    <x v="10"/>
    <x v="95"/>
    <m/>
    <m/>
    <n v="277.73181818181803"/>
    <n v="0.27773181818181802"/>
    <n v="4.4437090909090898E-2"/>
    <n v="4.4437090909090899E-5"/>
  </r>
  <r>
    <x v="0"/>
    <x v="0"/>
    <x v="0"/>
    <x v="2"/>
    <x v="3"/>
    <s v="FIN_ESPOO"/>
    <x v="2"/>
    <x v="96"/>
    <m/>
    <m/>
    <m/>
    <m/>
    <n v="4.8553377049180297E-3"/>
    <n v="4.8553377049180299E-6"/>
  </r>
  <r>
    <x v="0"/>
    <x v="0"/>
    <x v="0"/>
    <x v="2"/>
    <x v="3"/>
    <s v="FIN_ESPOO"/>
    <x v="2"/>
    <x v="97"/>
    <m/>
    <m/>
    <m/>
    <m/>
    <n v="1.60546909090909E-2"/>
    <n v="1.6054690909090901E-5"/>
  </r>
  <r>
    <x v="0"/>
    <x v="0"/>
    <x v="0"/>
    <x v="2"/>
    <x v="3"/>
    <s v="FIN_ESPOO"/>
    <x v="2"/>
    <x v="98"/>
    <m/>
    <m/>
    <m/>
    <m/>
    <n v="1.0650521211806199E-3"/>
    <n v="1.0650521211806201E-6"/>
  </r>
  <r>
    <x v="0"/>
    <x v="0"/>
    <x v="0"/>
    <x v="2"/>
    <x v="3"/>
    <s v="FIN_ESPOO"/>
    <x v="16"/>
    <x v="99"/>
    <m/>
    <m/>
    <m/>
    <m/>
    <n v="2.7162571371261597E-4"/>
    <n v="2.7162571371261598E-7"/>
  </r>
  <r>
    <x v="0"/>
    <x v="0"/>
    <x v="0"/>
    <x v="2"/>
    <x v="3"/>
    <s v="FIN_GAS"/>
    <x v="2"/>
    <x v="100"/>
    <m/>
    <m/>
    <m/>
    <m/>
    <n v="6.1036765008576303E-3"/>
    <n v="6.1036765008576399E-6"/>
  </r>
  <r>
    <x v="0"/>
    <x v="0"/>
    <x v="0"/>
    <x v="2"/>
    <x v="3"/>
    <s v="FIN_GAS"/>
    <x v="2"/>
    <x v="101"/>
    <m/>
    <m/>
    <m/>
    <m/>
    <n v="4.0136727272727197E-3"/>
    <n v="4.0136727272727303E-6"/>
  </r>
  <r>
    <x v="0"/>
    <x v="0"/>
    <x v="0"/>
    <x v="2"/>
    <x v="3"/>
    <s v="FIN_GAS"/>
    <x v="2"/>
    <x v="98"/>
    <m/>
    <m/>
    <m/>
    <m/>
    <n v="8.4880441739398297E-4"/>
    <n v="8.4880441739398304E-7"/>
  </r>
  <r>
    <x v="0"/>
    <x v="0"/>
    <x v="0"/>
    <x v="2"/>
    <x v="3"/>
    <s v="FIN_HELS"/>
    <x v="2"/>
    <x v="102"/>
    <m/>
    <m/>
    <m/>
    <m/>
    <n v="4.9356563792709801E-3"/>
    <n v="4.9356563792709797E-6"/>
  </r>
  <r>
    <x v="0"/>
    <x v="0"/>
    <x v="0"/>
    <x v="2"/>
    <x v="3"/>
    <s v="FIN_HELS"/>
    <x v="2"/>
    <x v="103"/>
    <m/>
    <m/>
    <m/>
    <m/>
    <n v="1.10895824175824E-2"/>
    <n v="1.10895824175824E-5"/>
  </r>
  <r>
    <x v="0"/>
    <x v="0"/>
    <x v="0"/>
    <x v="2"/>
    <x v="3"/>
    <s v="FIN_HELS"/>
    <x v="2"/>
    <x v="104"/>
    <m/>
    <m/>
    <m/>
    <m/>
    <n v="2.8503692307692299E-2"/>
    <n v="2.8503692307692298E-5"/>
  </r>
  <r>
    <x v="0"/>
    <x v="0"/>
    <x v="0"/>
    <x v="2"/>
    <x v="3"/>
    <s v="FIN_HELS"/>
    <x v="2"/>
    <x v="98"/>
    <m/>
    <m/>
    <m/>
    <m/>
    <n v="2.3059217508281799E-2"/>
    <n v="2.3059217508281799E-5"/>
  </r>
  <r>
    <x v="0"/>
    <x v="0"/>
    <x v="0"/>
    <x v="2"/>
    <x v="3"/>
    <s v="FIN_HP"/>
    <x v="11"/>
    <x v="105"/>
    <m/>
    <m/>
    <n v="3.71011764705883"/>
    <n v="3.7101176470588299E-3"/>
    <n v="5.9361882352941195E-4"/>
    <n v="5.9361882352941201E-7"/>
  </r>
  <r>
    <x v="0"/>
    <x v="0"/>
    <x v="0"/>
    <x v="2"/>
    <x v="3"/>
    <s v="FIN_HP"/>
    <x v="0"/>
    <x v="106"/>
    <n v="982.16581846014606"/>
    <n v="0.98216581846014595"/>
    <n v="7412.9639997943304"/>
    <n v="7.4129639997943304"/>
    <n v="3.11469075621611E-2"/>
    <n v="3.1146907562161101E-5"/>
  </r>
  <r>
    <x v="0"/>
    <x v="0"/>
    <x v="0"/>
    <x v="2"/>
    <x v="3"/>
    <s v="FIN_HP"/>
    <x v="17"/>
    <x v="107"/>
    <n v="17.834181539854399"/>
    <n v="1.7834181539854398E-2"/>
    <n v="40.001902519299499"/>
    <n v="4.0001902519299498E-2"/>
    <n v="5.0002378149124405E-4"/>
    <n v="5.0002378149124401E-7"/>
  </r>
  <r>
    <x v="0"/>
    <x v="0"/>
    <x v="0"/>
    <x v="2"/>
    <x v="3"/>
    <s v="FIN_HP"/>
    <x v="4"/>
    <x v="108"/>
    <m/>
    <m/>
    <m/>
    <m/>
    <m/>
    <m/>
  </r>
  <r>
    <x v="0"/>
    <x v="0"/>
    <x v="0"/>
    <x v="2"/>
    <x v="3"/>
    <s v="FIN_HP"/>
    <x v="5"/>
    <x v="109"/>
    <m/>
    <m/>
    <m/>
    <m/>
    <m/>
    <m/>
  </r>
  <r>
    <x v="0"/>
    <x v="0"/>
    <x v="0"/>
    <x v="2"/>
    <x v="3"/>
    <s v="FIN_HP"/>
    <x v="9"/>
    <x v="110"/>
    <m/>
    <m/>
    <m/>
    <m/>
    <m/>
    <m/>
  </r>
  <r>
    <x v="0"/>
    <x v="0"/>
    <x v="0"/>
    <x v="2"/>
    <x v="3"/>
    <s v="FIN_HP"/>
    <x v="10"/>
    <x v="111"/>
    <m/>
    <m/>
    <n v="27.362117647058799"/>
    <n v="2.7362117647058801E-2"/>
    <n v="4.3779388235294101E-3"/>
    <n v="4.3779388235294099E-6"/>
  </r>
  <r>
    <x v="0"/>
    <x v="0"/>
    <x v="0"/>
    <x v="2"/>
    <x v="3"/>
    <s v="FIN_OTHER"/>
    <x v="2"/>
    <x v="112"/>
    <m/>
    <m/>
    <m/>
    <m/>
    <n v="1.42342036363636E-2"/>
    <n v="1.42342036363636E-5"/>
  </r>
  <r>
    <x v="0"/>
    <x v="0"/>
    <x v="0"/>
    <x v="2"/>
    <x v="3"/>
    <s v="FIN_OTHER"/>
    <x v="2"/>
    <x v="98"/>
    <m/>
    <m/>
    <m/>
    <m/>
    <n v="9.3226459077706807E-3"/>
    <n v="9.3226459077706806E-6"/>
  </r>
  <r>
    <x v="0"/>
    <x v="0"/>
    <x v="0"/>
    <x v="2"/>
    <x v="3"/>
    <s v="FIN_OTHER"/>
    <x v="16"/>
    <x v="99"/>
    <m/>
    <m/>
    <m/>
    <m/>
    <n v="4.8422426552990703E-3"/>
    <n v="4.8422426552990698E-6"/>
  </r>
  <r>
    <x v="0"/>
    <x v="0"/>
    <x v="0"/>
    <x v="2"/>
    <x v="3"/>
    <s v="FIN_OTHER"/>
    <x v="4"/>
    <x v="108"/>
    <m/>
    <m/>
    <m/>
    <m/>
    <m/>
    <m/>
  </r>
  <r>
    <x v="0"/>
    <x v="0"/>
    <x v="0"/>
    <x v="2"/>
    <x v="3"/>
    <s v="FIN_OTHER"/>
    <x v="5"/>
    <x v="113"/>
    <m/>
    <m/>
    <m/>
    <m/>
    <m/>
    <m/>
  </r>
  <r>
    <x v="0"/>
    <x v="0"/>
    <x v="0"/>
    <x v="2"/>
    <x v="3"/>
    <s v="FIN_OTHER"/>
    <x v="5"/>
    <x v="109"/>
    <m/>
    <m/>
    <m/>
    <m/>
    <m/>
    <m/>
  </r>
  <r>
    <x v="0"/>
    <x v="0"/>
    <x v="0"/>
    <x v="2"/>
    <x v="3"/>
    <s v="FIN_OTHER"/>
    <x v="9"/>
    <x v="114"/>
    <m/>
    <m/>
    <m/>
    <m/>
    <m/>
    <m/>
  </r>
  <r>
    <x v="0"/>
    <x v="0"/>
    <x v="0"/>
    <x v="2"/>
    <x v="3"/>
    <s v="FIN_OTHER"/>
    <x v="9"/>
    <x v="110"/>
    <m/>
    <m/>
    <m/>
    <m/>
    <m/>
    <m/>
  </r>
  <r>
    <x v="0"/>
    <x v="0"/>
    <x v="0"/>
    <x v="2"/>
    <x v="3"/>
    <s v="FIN_OTHER"/>
    <x v="10"/>
    <x v="115"/>
    <m/>
    <m/>
    <n v="339.58383333333302"/>
    <n v="0.33958383333333297"/>
    <n v="5.43334133333334E-2"/>
    <n v="5.4333413333333302E-5"/>
  </r>
  <r>
    <x v="0"/>
    <x v="0"/>
    <x v="0"/>
    <x v="2"/>
    <x v="3"/>
    <s v="FIN_OTHER"/>
    <x v="10"/>
    <x v="111"/>
    <m/>
    <m/>
    <n v="154.71190588235299"/>
    <n v="0.15471190588235301"/>
    <n v="2.4753904941176502E-2"/>
    <n v="2.47539049411765E-5"/>
  </r>
  <r>
    <x v="0"/>
    <x v="0"/>
    <x v="0"/>
    <x v="2"/>
    <x v="3"/>
    <s v="FIN_TAMP"/>
    <x v="2"/>
    <x v="116"/>
    <m/>
    <m/>
    <m/>
    <m/>
    <n v="2.3546879999999999E-2"/>
    <n v="2.3546879999999998E-5"/>
  </r>
  <r>
    <x v="0"/>
    <x v="0"/>
    <x v="0"/>
    <x v="2"/>
    <x v="3"/>
    <s v="FinA"/>
    <x v="2"/>
    <x v="117"/>
    <m/>
    <m/>
    <m/>
    <m/>
    <n v="2.7769598181818199E-2"/>
    <n v="2.7769598181818201E-5"/>
  </r>
  <r>
    <x v="0"/>
    <x v="0"/>
    <x v="0"/>
    <x v="2"/>
    <x v="3"/>
    <s v="FinA"/>
    <x v="2"/>
    <x v="118"/>
    <m/>
    <m/>
    <m/>
    <m/>
    <n v="2.1524571428571399E-4"/>
    <n v="2.15245714285714E-7"/>
  </r>
  <r>
    <x v="0"/>
    <x v="0"/>
    <x v="0"/>
    <x v="2"/>
    <x v="3"/>
    <s v="FinA"/>
    <x v="2"/>
    <x v="119"/>
    <m/>
    <m/>
    <m/>
    <m/>
    <n v="7.7933793103448102E-4"/>
    <n v="7.7933793103448097E-7"/>
  </r>
  <r>
    <x v="0"/>
    <x v="0"/>
    <x v="0"/>
    <x v="2"/>
    <x v="3"/>
    <s v="FinA"/>
    <x v="2"/>
    <x v="120"/>
    <m/>
    <m/>
    <m/>
    <m/>
    <n v="1.1300399999999999E-3"/>
    <n v="1.13004E-6"/>
  </r>
  <r>
    <x v="0"/>
    <x v="0"/>
    <x v="0"/>
    <x v="2"/>
    <x v="3"/>
    <s v="FinA"/>
    <x v="18"/>
    <x v="121"/>
    <m/>
    <m/>
    <m/>
    <m/>
    <m/>
    <m/>
  </r>
  <r>
    <x v="0"/>
    <x v="0"/>
    <x v="0"/>
    <x v="2"/>
    <x v="3"/>
    <s v="FinA"/>
    <x v="7"/>
    <x v="122"/>
    <m/>
    <m/>
    <m/>
    <m/>
    <m/>
    <m/>
  </r>
  <r>
    <x v="0"/>
    <x v="0"/>
    <x v="0"/>
    <x v="2"/>
    <x v="3"/>
    <s v="FinA"/>
    <x v="7"/>
    <x v="123"/>
    <m/>
    <m/>
    <m/>
    <m/>
    <m/>
    <m/>
  </r>
  <r>
    <x v="0"/>
    <x v="0"/>
    <x v="0"/>
    <x v="2"/>
    <x v="3"/>
    <s v="FinA"/>
    <x v="7"/>
    <x v="124"/>
    <m/>
    <m/>
    <m/>
    <m/>
    <m/>
    <m/>
  </r>
  <r>
    <x v="0"/>
    <x v="0"/>
    <x v="0"/>
    <x v="2"/>
    <x v="3"/>
    <s v="FinA"/>
    <x v="7"/>
    <x v="125"/>
    <m/>
    <m/>
    <m/>
    <m/>
    <m/>
    <m/>
  </r>
  <r>
    <x v="0"/>
    <x v="0"/>
    <x v="0"/>
    <x v="2"/>
    <x v="3"/>
    <s v="FinA"/>
    <x v="7"/>
    <x v="126"/>
    <m/>
    <m/>
    <m/>
    <m/>
    <m/>
    <m/>
  </r>
  <r>
    <x v="0"/>
    <x v="0"/>
    <x v="0"/>
    <x v="2"/>
    <x v="3"/>
    <s v="FinA"/>
    <x v="7"/>
    <x v="127"/>
    <m/>
    <m/>
    <m/>
    <m/>
    <m/>
    <m/>
  </r>
  <r>
    <x v="0"/>
    <x v="0"/>
    <x v="0"/>
    <x v="2"/>
    <x v="3"/>
    <s v="FinA"/>
    <x v="7"/>
    <x v="128"/>
    <m/>
    <m/>
    <m/>
    <m/>
    <m/>
    <m/>
  </r>
  <r>
    <x v="0"/>
    <x v="0"/>
    <x v="0"/>
    <x v="2"/>
    <x v="3"/>
    <s v="FinA"/>
    <x v="7"/>
    <x v="129"/>
    <m/>
    <m/>
    <m/>
    <m/>
    <m/>
    <m/>
  </r>
  <r>
    <x v="0"/>
    <x v="0"/>
    <x v="0"/>
    <x v="2"/>
    <x v="3"/>
    <s v="FinA"/>
    <x v="7"/>
    <x v="130"/>
    <m/>
    <m/>
    <m/>
    <m/>
    <m/>
    <m/>
  </r>
  <r>
    <x v="0"/>
    <x v="0"/>
    <x v="0"/>
    <x v="2"/>
    <x v="3"/>
    <s v="FinA"/>
    <x v="7"/>
    <x v="46"/>
    <m/>
    <m/>
    <m/>
    <m/>
    <m/>
    <m/>
  </r>
  <r>
    <x v="0"/>
    <x v="0"/>
    <x v="0"/>
    <x v="2"/>
    <x v="3"/>
    <s v="FinA"/>
    <x v="8"/>
    <x v="47"/>
    <m/>
    <m/>
    <m/>
    <m/>
    <m/>
    <m/>
  </r>
  <r>
    <x v="0"/>
    <x v="0"/>
    <x v="0"/>
    <x v="2"/>
    <x v="3"/>
    <s v="FinA"/>
    <x v="13"/>
    <x v="131"/>
    <m/>
    <m/>
    <n v="507.34627170582303"/>
    <n v="0.50734627170582203"/>
    <n v="8.1175403472931604E-2"/>
    <n v="8.11754034729316E-5"/>
  </r>
  <r>
    <x v="0"/>
    <x v="0"/>
    <x v="0"/>
    <x v="2"/>
    <x v="3"/>
    <s v="FinA"/>
    <x v="13"/>
    <x v="132"/>
    <m/>
    <m/>
    <n v="4273.2523116662196"/>
    <n v="4.2732523116662202"/>
    <n v="0.68372036986659501"/>
    <n v="6.83720369866595E-4"/>
  </r>
  <r>
    <x v="0"/>
    <x v="0"/>
    <x v="0"/>
    <x v="2"/>
    <x v="3"/>
    <s v="FinA"/>
    <x v="13"/>
    <x v="133"/>
    <m/>
    <m/>
    <n v="513.05129999999997"/>
    <n v="0.51305129999999999"/>
    <n v="8.2088207999999996E-2"/>
    <n v="8.2088208000000095E-5"/>
  </r>
  <r>
    <x v="0"/>
    <x v="0"/>
    <x v="0"/>
    <x v="2"/>
    <x v="3"/>
    <s v="FinA"/>
    <x v="5"/>
    <x v="134"/>
    <m/>
    <m/>
    <m/>
    <m/>
    <m/>
    <m/>
  </r>
  <r>
    <x v="0"/>
    <x v="0"/>
    <x v="0"/>
    <x v="3"/>
    <x v="4"/>
    <s v="DE4-E_A"/>
    <x v="11"/>
    <x v="135"/>
    <m/>
    <m/>
    <n v="2.0637099999999999"/>
    <n v="2.0637099999999999E-3"/>
    <n v="3.3019359999999999E-4"/>
    <n v="3.301936E-7"/>
  </r>
  <r>
    <x v="0"/>
    <x v="0"/>
    <x v="0"/>
    <x v="3"/>
    <x v="4"/>
    <s v="DE4-E_A"/>
    <x v="11"/>
    <x v="136"/>
    <m/>
    <m/>
    <n v="1411.4489880783799"/>
    <n v="1.41144898807838"/>
    <n v="0.22583183809254001"/>
    <n v="2.2583183809253999E-4"/>
  </r>
  <r>
    <x v="0"/>
    <x v="0"/>
    <x v="0"/>
    <x v="3"/>
    <x v="4"/>
    <s v="DE4-E_A"/>
    <x v="11"/>
    <x v="137"/>
    <m/>
    <m/>
    <n v="219.09221052631599"/>
    <n v="0.219092210526316"/>
    <n v="3.5054753684210502E-2"/>
    <n v="3.5054753684210501E-5"/>
  </r>
  <r>
    <x v="0"/>
    <x v="0"/>
    <x v="0"/>
    <x v="3"/>
    <x v="4"/>
    <s v="DE4-E_A"/>
    <x v="11"/>
    <x v="138"/>
    <m/>
    <m/>
    <n v="19.139447368421099"/>
    <n v="1.91394473684211E-2"/>
    <n v="3.0623115789473699E-3"/>
    <n v="3.0623115789473701E-6"/>
  </r>
  <r>
    <x v="0"/>
    <x v="0"/>
    <x v="0"/>
    <x v="3"/>
    <x v="4"/>
    <s v="DE4-E_A"/>
    <x v="19"/>
    <x v="139"/>
    <m/>
    <m/>
    <m/>
    <m/>
    <m/>
    <m/>
  </r>
  <r>
    <x v="0"/>
    <x v="0"/>
    <x v="0"/>
    <x v="3"/>
    <x v="4"/>
    <s v="DE4-E_A"/>
    <x v="19"/>
    <x v="140"/>
    <m/>
    <m/>
    <m/>
    <m/>
    <m/>
    <m/>
  </r>
  <r>
    <x v="0"/>
    <x v="0"/>
    <x v="0"/>
    <x v="3"/>
    <x v="4"/>
    <s v="DE4-E_A"/>
    <x v="19"/>
    <x v="141"/>
    <m/>
    <m/>
    <m/>
    <m/>
    <m/>
    <m/>
  </r>
  <r>
    <x v="0"/>
    <x v="0"/>
    <x v="0"/>
    <x v="3"/>
    <x v="4"/>
    <s v="DE4-E_A"/>
    <x v="1"/>
    <x v="142"/>
    <m/>
    <m/>
    <n v="-313908.63663226197"/>
    <n v="-313.90863663226202"/>
    <n v="8.1454784041355005E-2"/>
    <n v="8.1454784041355002E-5"/>
  </r>
  <r>
    <x v="0"/>
    <x v="0"/>
    <x v="0"/>
    <x v="3"/>
    <x v="4"/>
    <s v="DE4-E_A"/>
    <x v="1"/>
    <x v="143"/>
    <m/>
    <m/>
    <n v="970.50606545454502"/>
    <n v="0.97050606545454499"/>
    <n v="2.48847709090909E-2"/>
    <n v="2.4884770909090901E-5"/>
  </r>
  <r>
    <x v="0"/>
    <x v="0"/>
    <x v="0"/>
    <x v="3"/>
    <x v="4"/>
    <s v="DE4-E_A"/>
    <x v="2"/>
    <x v="144"/>
    <m/>
    <m/>
    <m/>
    <m/>
    <n v="0.118997823396226"/>
    <n v="1.18997823396226E-4"/>
  </r>
  <r>
    <x v="0"/>
    <x v="0"/>
    <x v="0"/>
    <x v="3"/>
    <x v="4"/>
    <s v="DE4-E_A"/>
    <x v="2"/>
    <x v="145"/>
    <m/>
    <m/>
    <m/>
    <m/>
    <n v="9.8936470588235296E-3"/>
    <n v="9.8936470588235293E-6"/>
  </r>
  <r>
    <x v="0"/>
    <x v="0"/>
    <x v="0"/>
    <x v="3"/>
    <x v="4"/>
    <s v="DE4-E_A"/>
    <x v="2"/>
    <x v="146"/>
    <m/>
    <m/>
    <m/>
    <m/>
    <n v="2.7663157894736801E-3"/>
    <n v="2.7663157894736901E-6"/>
  </r>
  <r>
    <x v="0"/>
    <x v="0"/>
    <x v="0"/>
    <x v="3"/>
    <x v="4"/>
    <s v="DE4-E_A"/>
    <x v="2"/>
    <x v="147"/>
    <m/>
    <m/>
    <m/>
    <m/>
    <n v="1.8730724210526298E-2"/>
    <n v="1.8730724210526301E-5"/>
  </r>
  <r>
    <x v="0"/>
    <x v="0"/>
    <x v="0"/>
    <x v="3"/>
    <x v="4"/>
    <s v="DE4-E_A"/>
    <x v="2"/>
    <x v="148"/>
    <m/>
    <m/>
    <m/>
    <m/>
    <n v="4.0185874285714303E-2"/>
    <n v="4.0185874285714303E-5"/>
  </r>
  <r>
    <x v="0"/>
    <x v="0"/>
    <x v="0"/>
    <x v="3"/>
    <x v="4"/>
    <s v="DE4-E_A"/>
    <x v="2"/>
    <x v="149"/>
    <m/>
    <m/>
    <m/>
    <m/>
    <n v="2.69581935483871E-3"/>
    <n v="2.6958193548387102E-6"/>
  </r>
  <r>
    <x v="0"/>
    <x v="0"/>
    <x v="0"/>
    <x v="3"/>
    <x v="4"/>
    <s v="DE4-E_A"/>
    <x v="2"/>
    <x v="150"/>
    <m/>
    <m/>
    <m/>
    <m/>
    <n v="0.101496126315789"/>
    <n v="1.0149612631579E-4"/>
  </r>
  <r>
    <x v="0"/>
    <x v="0"/>
    <x v="0"/>
    <x v="3"/>
    <x v="4"/>
    <s v="DE4-E_A"/>
    <x v="2"/>
    <x v="151"/>
    <m/>
    <m/>
    <m/>
    <m/>
    <n v="3.3195789473684199E-3"/>
    <n v="3.3195789473684199E-6"/>
  </r>
  <r>
    <x v="0"/>
    <x v="0"/>
    <x v="0"/>
    <x v="3"/>
    <x v="4"/>
    <s v="DE4-E_A"/>
    <x v="6"/>
    <x v="45"/>
    <m/>
    <m/>
    <m/>
    <m/>
    <m/>
    <m/>
  </r>
  <r>
    <x v="0"/>
    <x v="0"/>
    <x v="0"/>
    <x v="3"/>
    <x v="4"/>
    <s v="DE4-E_A"/>
    <x v="4"/>
    <x v="152"/>
    <m/>
    <m/>
    <m/>
    <m/>
    <m/>
    <m/>
  </r>
  <r>
    <x v="0"/>
    <x v="0"/>
    <x v="0"/>
    <x v="3"/>
    <x v="4"/>
    <s v="DE4-E_A"/>
    <x v="7"/>
    <x v="46"/>
    <m/>
    <m/>
    <m/>
    <m/>
    <m/>
    <m/>
  </r>
  <r>
    <x v="0"/>
    <x v="0"/>
    <x v="0"/>
    <x v="3"/>
    <x v="4"/>
    <s v="DE4-E_A"/>
    <x v="8"/>
    <x v="47"/>
    <m/>
    <m/>
    <m/>
    <m/>
    <m/>
    <m/>
  </r>
  <r>
    <x v="0"/>
    <x v="0"/>
    <x v="0"/>
    <x v="3"/>
    <x v="4"/>
    <s v="DE4-E_Offshore_A"/>
    <x v="8"/>
    <x v="48"/>
    <m/>
    <m/>
    <m/>
    <m/>
    <m/>
    <m/>
  </r>
  <r>
    <x v="0"/>
    <x v="0"/>
    <x v="0"/>
    <x v="3"/>
    <x v="5"/>
    <s v="DE4-N_A"/>
    <x v="11"/>
    <x v="153"/>
    <m/>
    <m/>
    <n v="0.1971"/>
    <n v="1.9709999999999999E-4"/>
    <n v="3.1535999999999998E-5"/>
    <n v="3.1535999999999999E-8"/>
  </r>
  <r>
    <x v="0"/>
    <x v="0"/>
    <x v="0"/>
    <x v="3"/>
    <x v="5"/>
    <s v="DE4-N_A"/>
    <x v="11"/>
    <x v="135"/>
    <m/>
    <m/>
    <n v="0.84096000000000004"/>
    <n v="8.4095999999999997E-4"/>
    <n v="1.345536E-4"/>
    <n v="1.3455360000000001E-7"/>
  </r>
  <r>
    <x v="0"/>
    <x v="0"/>
    <x v="0"/>
    <x v="3"/>
    <x v="5"/>
    <s v="DE4-N_A"/>
    <x v="11"/>
    <x v="136"/>
    <m/>
    <m/>
    <n v="108.476672727273"/>
    <n v="0.108476672727273"/>
    <n v="1.7356267636363599E-2"/>
    <n v="1.73562676363636E-5"/>
  </r>
  <r>
    <x v="0"/>
    <x v="0"/>
    <x v="0"/>
    <x v="3"/>
    <x v="5"/>
    <s v="DE4-N_A"/>
    <x v="11"/>
    <x v="137"/>
    <m/>
    <m/>
    <n v="41.494736842105297"/>
    <n v="4.14947368421053E-2"/>
    <n v="6.6391578947368503E-3"/>
    <n v="6.6391578947368397E-6"/>
  </r>
  <r>
    <x v="0"/>
    <x v="0"/>
    <x v="0"/>
    <x v="3"/>
    <x v="5"/>
    <s v="DE4-N_A"/>
    <x v="0"/>
    <x v="154"/>
    <n v="269.89654857142801"/>
    <n v="0.26989654857142797"/>
    <n v="2037.0627450317099"/>
    <n v="2.0370627450317098"/>
    <n v="8.5590871639987902E-3"/>
    <n v="8.5590871639987908E-6"/>
  </r>
  <r>
    <x v="0"/>
    <x v="0"/>
    <x v="0"/>
    <x v="3"/>
    <x v="5"/>
    <s v="DE4-N_A"/>
    <x v="19"/>
    <x v="155"/>
    <m/>
    <m/>
    <m/>
    <m/>
    <m/>
    <m/>
  </r>
  <r>
    <x v="0"/>
    <x v="0"/>
    <x v="0"/>
    <x v="3"/>
    <x v="5"/>
    <s v="DE4-N_A"/>
    <x v="19"/>
    <x v="156"/>
    <m/>
    <m/>
    <m/>
    <m/>
    <m/>
    <m/>
  </r>
  <r>
    <x v="0"/>
    <x v="0"/>
    <x v="0"/>
    <x v="3"/>
    <x v="5"/>
    <s v="DE4-N_A"/>
    <x v="19"/>
    <x v="141"/>
    <m/>
    <m/>
    <m/>
    <m/>
    <m/>
    <m/>
  </r>
  <r>
    <x v="0"/>
    <x v="0"/>
    <x v="0"/>
    <x v="3"/>
    <x v="5"/>
    <s v="DE4-N_A"/>
    <x v="14"/>
    <x v="157"/>
    <n v="496.73705142857102"/>
    <n v="0.496737051428571"/>
    <n v="2993.8476342857098"/>
    <n v="2.9938476342857201"/>
    <n v="1.34253257142857E-2"/>
    <n v="1.34253257142857E-5"/>
  </r>
  <r>
    <x v="0"/>
    <x v="0"/>
    <x v="0"/>
    <x v="3"/>
    <x v="5"/>
    <s v="DE4-N_A"/>
    <x v="14"/>
    <x v="158"/>
    <n v="233.3664"/>
    <n v="0.2333664"/>
    <n v="1406.5056"/>
    <n v="1.4065056"/>
    <n v="6.3071999999999998E-3"/>
    <n v="6.3072000000000004E-6"/>
  </r>
  <r>
    <x v="0"/>
    <x v="0"/>
    <x v="0"/>
    <x v="3"/>
    <x v="5"/>
    <s v="DE4-N_A"/>
    <x v="1"/>
    <x v="159"/>
    <m/>
    <m/>
    <n v="-188.37574079999999"/>
    <n v="-0.1883757408"/>
    <n v="4.8880800000000001E-5"/>
    <n v="4.8880800000000002E-8"/>
  </r>
  <r>
    <x v="0"/>
    <x v="0"/>
    <x v="0"/>
    <x v="3"/>
    <x v="5"/>
    <s v="DE4-N_A"/>
    <x v="1"/>
    <x v="142"/>
    <m/>
    <m/>
    <n v="-60398.0869818184"/>
    <n v="-60.398086981818402"/>
    <n v="1.56724363636364E-2"/>
    <n v="1.5672436363636399E-5"/>
  </r>
  <r>
    <x v="0"/>
    <x v="0"/>
    <x v="0"/>
    <x v="3"/>
    <x v="5"/>
    <s v="DE4-N_A"/>
    <x v="2"/>
    <x v="160"/>
    <m/>
    <m/>
    <m/>
    <m/>
    <n v="7.0264421052631601E-3"/>
    <n v="7.0264421052631604E-6"/>
  </r>
  <r>
    <x v="0"/>
    <x v="0"/>
    <x v="0"/>
    <x v="3"/>
    <x v="5"/>
    <s v="DE4-N_A"/>
    <x v="2"/>
    <x v="59"/>
    <m/>
    <m/>
    <m/>
    <m/>
    <n v="1.03907076923077E-2"/>
    <n v="1.03907076923077E-5"/>
  </r>
  <r>
    <x v="0"/>
    <x v="0"/>
    <x v="0"/>
    <x v="3"/>
    <x v="5"/>
    <s v="DE4-N_A"/>
    <x v="18"/>
    <x v="161"/>
    <m/>
    <m/>
    <m/>
    <m/>
    <m/>
    <m/>
  </r>
  <r>
    <x v="0"/>
    <x v="0"/>
    <x v="0"/>
    <x v="3"/>
    <x v="5"/>
    <s v="DE4-N_A"/>
    <x v="6"/>
    <x v="45"/>
    <m/>
    <m/>
    <m/>
    <m/>
    <m/>
    <m/>
  </r>
  <r>
    <x v="0"/>
    <x v="0"/>
    <x v="0"/>
    <x v="3"/>
    <x v="5"/>
    <s v="DE4-N_A"/>
    <x v="7"/>
    <x v="46"/>
    <m/>
    <m/>
    <m/>
    <m/>
    <m/>
    <m/>
  </r>
  <r>
    <x v="0"/>
    <x v="0"/>
    <x v="0"/>
    <x v="3"/>
    <x v="5"/>
    <s v="DE4-N_A"/>
    <x v="8"/>
    <x v="47"/>
    <m/>
    <m/>
    <m/>
    <m/>
    <m/>
    <m/>
  </r>
  <r>
    <x v="0"/>
    <x v="0"/>
    <x v="0"/>
    <x v="3"/>
    <x v="5"/>
    <s v="DE4-N_Offshore_A"/>
    <x v="8"/>
    <x v="48"/>
    <m/>
    <m/>
    <m/>
    <m/>
    <m/>
    <m/>
  </r>
  <r>
    <x v="0"/>
    <x v="0"/>
    <x v="0"/>
    <x v="3"/>
    <x v="6"/>
    <s v="DE4-S_A"/>
    <x v="11"/>
    <x v="135"/>
    <m/>
    <m/>
    <n v="6.9145599999999998"/>
    <n v="6.9145600000000002E-3"/>
    <n v="1.1063296000000001E-3"/>
    <n v="1.1063295999999999E-6"/>
  </r>
  <r>
    <x v="0"/>
    <x v="0"/>
    <x v="0"/>
    <x v="3"/>
    <x v="6"/>
    <s v="DE4-S_A"/>
    <x v="11"/>
    <x v="136"/>
    <m/>
    <m/>
    <n v="565.92561477272704"/>
    <n v="0.56592561477272696"/>
    <n v="9.0548098363636406E-2"/>
    <n v="9.0548098363636397E-5"/>
  </r>
  <r>
    <x v="0"/>
    <x v="0"/>
    <x v="0"/>
    <x v="3"/>
    <x v="6"/>
    <s v="DE4-S_A"/>
    <x v="11"/>
    <x v="138"/>
    <m/>
    <m/>
    <n v="6.9676578947368402"/>
    <n v="6.9676578947368397E-3"/>
    <n v="1.1148252631578901E-3"/>
    <n v="1.1148252631578901E-6"/>
  </r>
  <r>
    <x v="0"/>
    <x v="0"/>
    <x v="0"/>
    <x v="3"/>
    <x v="6"/>
    <s v="DE4-S_A"/>
    <x v="19"/>
    <x v="162"/>
    <m/>
    <m/>
    <m/>
    <m/>
    <m/>
    <m/>
  </r>
  <r>
    <x v="0"/>
    <x v="0"/>
    <x v="0"/>
    <x v="3"/>
    <x v="6"/>
    <s v="DE4-S_A"/>
    <x v="19"/>
    <x v="163"/>
    <m/>
    <m/>
    <m/>
    <m/>
    <m/>
    <m/>
  </r>
  <r>
    <x v="0"/>
    <x v="0"/>
    <x v="0"/>
    <x v="3"/>
    <x v="6"/>
    <s v="DE4-S_A"/>
    <x v="19"/>
    <x v="141"/>
    <m/>
    <m/>
    <m/>
    <m/>
    <m/>
    <m/>
  </r>
  <r>
    <x v="0"/>
    <x v="0"/>
    <x v="0"/>
    <x v="3"/>
    <x v="6"/>
    <s v="DE4-S_A"/>
    <x v="1"/>
    <x v="142"/>
    <m/>
    <m/>
    <n v="-171821.509032728"/>
    <n v="-171.82150903272799"/>
    <n v="4.45852145454547E-2"/>
    <n v="4.4585214545454699E-5"/>
  </r>
  <r>
    <x v="0"/>
    <x v="0"/>
    <x v="0"/>
    <x v="3"/>
    <x v="6"/>
    <s v="DE4-S_A"/>
    <x v="1"/>
    <x v="143"/>
    <m/>
    <m/>
    <n v="596.31709090909101"/>
    <n v="0.59631709090909102"/>
    <n v="1.52901818181818E-2"/>
    <n v="1.5290181818181798E-5"/>
  </r>
  <r>
    <x v="0"/>
    <x v="0"/>
    <x v="0"/>
    <x v="3"/>
    <x v="6"/>
    <s v="DE4-S_A"/>
    <x v="2"/>
    <x v="144"/>
    <m/>
    <m/>
    <m/>
    <m/>
    <n v="0.193256178113207"/>
    <n v="1.9325617811320799E-4"/>
  </r>
  <r>
    <x v="0"/>
    <x v="0"/>
    <x v="0"/>
    <x v="3"/>
    <x v="6"/>
    <s v="DE4-S_A"/>
    <x v="2"/>
    <x v="164"/>
    <m/>
    <m/>
    <m/>
    <m/>
    <n v="6.0358437209302403E-2"/>
    <n v="6.0358437209302298E-5"/>
  </r>
  <r>
    <x v="0"/>
    <x v="0"/>
    <x v="0"/>
    <x v="3"/>
    <x v="6"/>
    <s v="DE4-S_A"/>
    <x v="2"/>
    <x v="146"/>
    <m/>
    <m/>
    <m/>
    <m/>
    <n v="0.101722964210526"/>
    <n v="1.01722964210526E-4"/>
  </r>
  <r>
    <x v="0"/>
    <x v="0"/>
    <x v="0"/>
    <x v="3"/>
    <x v="6"/>
    <s v="DE4-S_A"/>
    <x v="2"/>
    <x v="15"/>
    <m/>
    <m/>
    <m/>
    <m/>
    <n v="2.2692208695652199E-3"/>
    <n v="2.26922086956522E-6"/>
  </r>
  <r>
    <x v="0"/>
    <x v="0"/>
    <x v="0"/>
    <x v="3"/>
    <x v="6"/>
    <s v="DE4-S_A"/>
    <x v="2"/>
    <x v="165"/>
    <m/>
    <m/>
    <m/>
    <m/>
    <n v="3.6135E-3"/>
    <n v="3.6134999999999998E-6"/>
  </r>
  <r>
    <x v="0"/>
    <x v="0"/>
    <x v="0"/>
    <x v="3"/>
    <x v="6"/>
    <s v="DE4-S_A"/>
    <x v="2"/>
    <x v="166"/>
    <m/>
    <m/>
    <m/>
    <m/>
    <n v="9.5247243243243296E-3"/>
    <n v="9.5247243243243308E-6"/>
  </r>
  <r>
    <x v="0"/>
    <x v="0"/>
    <x v="0"/>
    <x v="3"/>
    <x v="6"/>
    <s v="DE4-S_A"/>
    <x v="2"/>
    <x v="167"/>
    <m/>
    <m/>
    <m/>
    <m/>
    <n v="1.6429238709677399E-2"/>
    <n v="1.6429238709677399E-5"/>
  </r>
  <r>
    <x v="0"/>
    <x v="0"/>
    <x v="0"/>
    <x v="3"/>
    <x v="6"/>
    <s v="DE4-S_A"/>
    <x v="2"/>
    <x v="150"/>
    <m/>
    <m/>
    <m/>
    <m/>
    <n v="8.1844218947368402E-2"/>
    <n v="8.1844218947368398E-5"/>
  </r>
  <r>
    <x v="0"/>
    <x v="0"/>
    <x v="0"/>
    <x v="3"/>
    <x v="6"/>
    <s v="DE4-S_A"/>
    <x v="2"/>
    <x v="168"/>
    <m/>
    <m/>
    <m/>
    <m/>
    <n v="3.6353999999999997E-2"/>
    <n v="3.6353999999999998E-5"/>
  </r>
  <r>
    <x v="0"/>
    <x v="0"/>
    <x v="0"/>
    <x v="3"/>
    <x v="6"/>
    <s v="DE4-S_A"/>
    <x v="18"/>
    <x v="161"/>
    <m/>
    <m/>
    <m/>
    <m/>
    <m/>
    <m/>
  </r>
  <r>
    <x v="0"/>
    <x v="0"/>
    <x v="0"/>
    <x v="3"/>
    <x v="6"/>
    <s v="DE4-S_A"/>
    <x v="6"/>
    <x v="45"/>
    <m/>
    <m/>
    <m/>
    <m/>
    <m/>
    <m/>
  </r>
  <r>
    <x v="0"/>
    <x v="0"/>
    <x v="0"/>
    <x v="3"/>
    <x v="6"/>
    <s v="DE4-S_A"/>
    <x v="4"/>
    <x v="152"/>
    <m/>
    <m/>
    <m/>
    <m/>
    <m/>
    <m/>
  </r>
  <r>
    <x v="0"/>
    <x v="0"/>
    <x v="0"/>
    <x v="3"/>
    <x v="6"/>
    <s v="DE4-S_A"/>
    <x v="7"/>
    <x v="169"/>
    <m/>
    <m/>
    <m/>
    <m/>
    <m/>
    <m/>
  </r>
  <r>
    <x v="0"/>
    <x v="0"/>
    <x v="0"/>
    <x v="3"/>
    <x v="6"/>
    <s v="DE4-S_A"/>
    <x v="7"/>
    <x v="46"/>
    <m/>
    <m/>
    <m/>
    <m/>
    <m/>
    <m/>
  </r>
  <r>
    <x v="0"/>
    <x v="0"/>
    <x v="0"/>
    <x v="3"/>
    <x v="6"/>
    <s v="DE4-S_A"/>
    <x v="8"/>
    <x v="47"/>
    <m/>
    <m/>
    <m/>
    <m/>
    <m/>
    <m/>
  </r>
  <r>
    <x v="0"/>
    <x v="0"/>
    <x v="0"/>
    <x v="3"/>
    <x v="7"/>
    <s v="DE4-W_A"/>
    <x v="11"/>
    <x v="135"/>
    <m/>
    <m/>
    <n v="3.8522099999999999"/>
    <n v="3.85221E-3"/>
    <n v="6.1635360000000003E-4"/>
    <n v="6.1635359999999997E-7"/>
  </r>
  <r>
    <x v="0"/>
    <x v="0"/>
    <x v="0"/>
    <x v="3"/>
    <x v="7"/>
    <s v="DE4-W_A"/>
    <x v="11"/>
    <x v="136"/>
    <m/>
    <m/>
    <n v="1311.1178090052299"/>
    <n v="1.31111780900523"/>
    <n v="0.209778849440837"/>
    <n v="2.0977884944083699E-4"/>
  </r>
  <r>
    <x v="0"/>
    <x v="0"/>
    <x v="0"/>
    <x v="3"/>
    <x v="7"/>
    <s v="DE4-W_A"/>
    <x v="11"/>
    <x v="137"/>
    <m/>
    <m/>
    <n v="23.2197631578947"/>
    <n v="2.3219763157894702E-2"/>
    <n v="3.7151621052631599E-3"/>
    <n v="3.7151621052631601E-6"/>
  </r>
  <r>
    <x v="0"/>
    <x v="0"/>
    <x v="0"/>
    <x v="3"/>
    <x v="7"/>
    <s v="DE4-W_A"/>
    <x v="11"/>
    <x v="138"/>
    <m/>
    <m/>
    <n v="24.507828947368399"/>
    <n v="2.4507828947368401E-2"/>
    <n v="3.9212526315789498E-3"/>
    <n v="3.9212526315789503E-6"/>
  </r>
  <r>
    <x v="0"/>
    <x v="0"/>
    <x v="0"/>
    <x v="3"/>
    <x v="7"/>
    <s v="DE4-W_A"/>
    <x v="19"/>
    <x v="170"/>
    <m/>
    <m/>
    <m/>
    <m/>
    <m/>
    <m/>
  </r>
  <r>
    <x v="0"/>
    <x v="0"/>
    <x v="0"/>
    <x v="3"/>
    <x v="7"/>
    <s v="DE4-W_A"/>
    <x v="19"/>
    <x v="171"/>
    <m/>
    <m/>
    <m/>
    <m/>
    <m/>
    <m/>
  </r>
  <r>
    <x v="0"/>
    <x v="0"/>
    <x v="0"/>
    <x v="3"/>
    <x v="7"/>
    <s v="DE4-W_A"/>
    <x v="19"/>
    <x v="141"/>
    <m/>
    <m/>
    <m/>
    <m/>
    <m/>
    <m/>
  </r>
  <r>
    <x v="0"/>
    <x v="0"/>
    <x v="0"/>
    <x v="3"/>
    <x v="7"/>
    <s v="DE4-W_A"/>
    <x v="1"/>
    <x v="142"/>
    <m/>
    <m/>
    <n v="-349760.03046725399"/>
    <n v="-349.76003046725401"/>
    <n v="9.07577059798549E-2"/>
    <n v="9.0757705979854897E-5"/>
  </r>
  <r>
    <x v="0"/>
    <x v="0"/>
    <x v="0"/>
    <x v="3"/>
    <x v="7"/>
    <s v="DE4-W_A"/>
    <x v="1"/>
    <x v="143"/>
    <m/>
    <m/>
    <n v="2576.0898327272698"/>
    <n v="2.5760898327272699"/>
    <n v="6.6053585454545496E-2"/>
    <n v="6.6053585454545506E-5"/>
  </r>
  <r>
    <x v="0"/>
    <x v="0"/>
    <x v="0"/>
    <x v="3"/>
    <x v="7"/>
    <s v="DE4-W_A"/>
    <x v="2"/>
    <x v="172"/>
    <m/>
    <m/>
    <m/>
    <m/>
    <n v="8.85433846153846E-3"/>
    <n v="8.8543384615384594E-6"/>
  </r>
  <r>
    <x v="0"/>
    <x v="0"/>
    <x v="0"/>
    <x v="3"/>
    <x v="7"/>
    <s v="DE4-W_A"/>
    <x v="2"/>
    <x v="173"/>
    <m/>
    <m/>
    <m/>
    <m/>
    <n v="0.31084175127272801"/>
    <n v="3.1084175127272802E-4"/>
  </r>
  <r>
    <x v="0"/>
    <x v="0"/>
    <x v="0"/>
    <x v="3"/>
    <x v="7"/>
    <s v="DE4-W_A"/>
    <x v="2"/>
    <x v="174"/>
    <m/>
    <m/>
    <m/>
    <m/>
    <n v="7.6700057142857103E-2"/>
    <n v="7.6700057142857104E-5"/>
  </r>
  <r>
    <x v="0"/>
    <x v="0"/>
    <x v="0"/>
    <x v="3"/>
    <x v="7"/>
    <s v="DE4-W_A"/>
    <x v="2"/>
    <x v="146"/>
    <m/>
    <m/>
    <m/>
    <m/>
    <n v="0.16207844210526301"/>
    <n v="1.62078442105263E-4"/>
  </r>
  <r>
    <x v="0"/>
    <x v="0"/>
    <x v="0"/>
    <x v="3"/>
    <x v="7"/>
    <s v="DE4-W_A"/>
    <x v="2"/>
    <x v="175"/>
    <m/>
    <m/>
    <m/>
    <m/>
    <n v="1.0034181818181799E-3"/>
    <n v="1.00341818181818E-6"/>
  </r>
  <r>
    <x v="0"/>
    <x v="0"/>
    <x v="0"/>
    <x v="3"/>
    <x v="7"/>
    <s v="DE4-W_A"/>
    <x v="2"/>
    <x v="28"/>
    <m/>
    <m/>
    <m/>
    <m/>
    <n v="4.8490838709677403E-3"/>
    <n v="4.8490838709677504E-6"/>
  </r>
  <r>
    <x v="0"/>
    <x v="0"/>
    <x v="0"/>
    <x v="3"/>
    <x v="7"/>
    <s v="DE4-W_A"/>
    <x v="2"/>
    <x v="176"/>
    <m/>
    <m/>
    <m/>
    <m/>
    <n v="2.02072984615385E-2"/>
    <n v="2.0207298461538499E-5"/>
  </r>
  <r>
    <x v="0"/>
    <x v="0"/>
    <x v="0"/>
    <x v="3"/>
    <x v="7"/>
    <s v="DE4-W_A"/>
    <x v="2"/>
    <x v="177"/>
    <m/>
    <m/>
    <m/>
    <m/>
    <n v="3.6351318280673499E-2"/>
    <n v="3.6351318280673503E-5"/>
  </r>
  <r>
    <x v="0"/>
    <x v="0"/>
    <x v="0"/>
    <x v="3"/>
    <x v="7"/>
    <s v="DE4-W_A"/>
    <x v="2"/>
    <x v="178"/>
    <m/>
    <m/>
    <m/>
    <m/>
    <n v="6.8196599999999996E-2"/>
    <n v="6.8196599999999997E-5"/>
  </r>
  <r>
    <x v="0"/>
    <x v="0"/>
    <x v="0"/>
    <x v="3"/>
    <x v="7"/>
    <s v="DE4-W_A"/>
    <x v="2"/>
    <x v="179"/>
    <m/>
    <m/>
    <m/>
    <m/>
    <n v="1.2178390909090901E-2"/>
    <n v="1.21783909090909E-5"/>
  </r>
  <r>
    <x v="0"/>
    <x v="0"/>
    <x v="0"/>
    <x v="3"/>
    <x v="7"/>
    <s v="DE4-W_A"/>
    <x v="2"/>
    <x v="150"/>
    <m/>
    <m/>
    <m/>
    <m/>
    <n v="0.17828628631578899"/>
    <n v="1.78286286315789E-4"/>
  </r>
  <r>
    <x v="0"/>
    <x v="0"/>
    <x v="0"/>
    <x v="3"/>
    <x v="7"/>
    <s v="DE4-W_A"/>
    <x v="2"/>
    <x v="168"/>
    <m/>
    <m/>
    <m/>
    <m/>
    <n v="0.1906176"/>
    <n v="1.9061760000000001E-4"/>
  </r>
  <r>
    <x v="0"/>
    <x v="0"/>
    <x v="0"/>
    <x v="3"/>
    <x v="7"/>
    <s v="DE4-W_A"/>
    <x v="2"/>
    <x v="180"/>
    <m/>
    <m/>
    <m/>
    <m/>
    <n v="3.2182892307692302E-3"/>
    <n v="3.2182892307692299E-6"/>
  </r>
  <r>
    <x v="0"/>
    <x v="0"/>
    <x v="0"/>
    <x v="3"/>
    <x v="7"/>
    <s v="DE4-W_A"/>
    <x v="18"/>
    <x v="161"/>
    <m/>
    <m/>
    <m/>
    <m/>
    <m/>
    <m/>
  </r>
  <r>
    <x v="0"/>
    <x v="0"/>
    <x v="0"/>
    <x v="3"/>
    <x v="7"/>
    <s v="DE4-W_A"/>
    <x v="6"/>
    <x v="45"/>
    <m/>
    <m/>
    <m/>
    <m/>
    <m/>
    <m/>
  </r>
  <r>
    <x v="0"/>
    <x v="0"/>
    <x v="0"/>
    <x v="3"/>
    <x v="7"/>
    <s v="DE4-W_A"/>
    <x v="7"/>
    <x v="46"/>
    <m/>
    <m/>
    <m/>
    <m/>
    <m/>
    <m/>
  </r>
  <r>
    <x v="0"/>
    <x v="0"/>
    <x v="0"/>
    <x v="3"/>
    <x v="7"/>
    <s v="DE4-W_A"/>
    <x v="8"/>
    <x v="47"/>
    <m/>
    <m/>
    <m/>
    <m/>
    <m/>
    <m/>
  </r>
  <r>
    <x v="0"/>
    <x v="0"/>
    <x v="0"/>
    <x v="3"/>
    <x v="7"/>
    <s v="DE4-W_Offshore_A"/>
    <x v="8"/>
    <x v="48"/>
    <m/>
    <m/>
    <m/>
    <m/>
    <m/>
    <m/>
  </r>
  <r>
    <x v="0"/>
    <x v="0"/>
    <x v="0"/>
    <x v="4"/>
    <x v="8"/>
    <s v="LV_Other_DH"/>
    <x v="2"/>
    <x v="181"/>
    <m/>
    <m/>
    <m/>
    <m/>
    <n v="6.6743801848739501E-3"/>
    <n v="6.6743801848739501E-6"/>
  </r>
  <r>
    <x v="0"/>
    <x v="0"/>
    <x v="0"/>
    <x v="4"/>
    <x v="8"/>
    <s v="LV_Other_DH"/>
    <x v="13"/>
    <x v="182"/>
    <m/>
    <m/>
    <n v="140.05694117647101"/>
    <n v="0.14005694117647099"/>
    <n v="2.24091105882353E-2"/>
    <n v="2.2409110588235301E-5"/>
  </r>
  <r>
    <x v="0"/>
    <x v="0"/>
    <x v="0"/>
    <x v="4"/>
    <x v="8"/>
    <s v="LV_RigaR"/>
    <x v="2"/>
    <x v="183"/>
    <m/>
    <m/>
    <m/>
    <m/>
    <n v="3.5542927058823601E-3"/>
    <n v="3.5542927058823598E-6"/>
  </r>
  <r>
    <x v="0"/>
    <x v="0"/>
    <x v="0"/>
    <x v="4"/>
    <x v="8"/>
    <s v="LV_RigaR"/>
    <x v="2"/>
    <x v="184"/>
    <m/>
    <m/>
    <m/>
    <m/>
    <n v="1.04922282131661E-2"/>
    <n v="1.04922282131661E-5"/>
  </r>
  <r>
    <x v="0"/>
    <x v="0"/>
    <x v="0"/>
    <x v="4"/>
    <x v="8"/>
    <s v="LV_RigaR"/>
    <x v="2"/>
    <x v="185"/>
    <m/>
    <m/>
    <m/>
    <m/>
    <n v="4.87424842105263E-2"/>
    <n v="4.8742484210526298E-5"/>
  </r>
  <r>
    <x v="0"/>
    <x v="0"/>
    <x v="0"/>
    <x v="4"/>
    <x v="8"/>
    <s v="LV_RigaR"/>
    <x v="7"/>
    <x v="169"/>
    <m/>
    <m/>
    <m/>
    <m/>
    <m/>
    <m/>
  </r>
  <r>
    <x v="0"/>
    <x v="0"/>
    <x v="0"/>
    <x v="4"/>
    <x v="8"/>
    <s v="LV_Rural"/>
    <x v="8"/>
    <x v="47"/>
    <m/>
    <m/>
    <m/>
    <m/>
    <m/>
    <m/>
  </r>
  <r>
    <x v="0"/>
    <x v="0"/>
    <x v="0"/>
    <x v="5"/>
    <x v="9"/>
    <s v="LT_KauU"/>
    <x v="1"/>
    <x v="186"/>
    <m/>
    <m/>
    <n v="453.05884596264002"/>
    <n v="0.45305884596264001"/>
    <n v="1.16168934862215E-2"/>
    <n v="1.1616893486221501E-5"/>
  </r>
  <r>
    <x v="0"/>
    <x v="0"/>
    <x v="0"/>
    <x v="5"/>
    <x v="9"/>
    <s v="LT_KauU"/>
    <x v="2"/>
    <x v="187"/>
    <m/>
    <m/>
    <m/>
    <m/>
    <n v="3.8773770491803299E-3"/>
    <n v="3.8773770491803303E-6"/>
  </r>
  <r>
    <x v="0"/>
    <x v="0"/>
    <x v="0"/>
    <x v="5"/>
    <x v="9"/>
    <s v="LT_KauU"/>
    <x v="2"/>
    <x v="188"/>
    <m/>
    <m/>
    <m/>
    <m/>
    <n v="7.4601290322580697E-3"/>
    <n v="7.4601290322580598E-6"/>
  </r>
  <r>
    <x v="0"/>
    <x v="0"/>
    <x v="0"/>
    <x v="5"/>
    <x v="9"/>
    <s v="LT_KauU"/>
    <x v="7"/>
    <x v="46"/>
    <m/>
    <m/>
    <m/>
    <m/>
    <m/>
    <m/>
  </r>
  <r>
    <x v="0"/>
    <x v="0"/>
    <x v="0"/>
    <x v="5"/>
    <x v="9"/>
    <s v="LT_KlaU"/>
    <x v="6"/>
    <x v="45"/>
    <m/>
    <m/>
    <m/>
    <m/>
    <m/>
    <m/>
  </r>
  <r>
    <x v="0"/>
    <x v="0"/>
    <x v="0"/>
    <x v="5"/>
    <x v="9"/>
    <s v="LT_Other_DH"/>
    <x v="20"/>
    <x v="189"/>
    <m/>
    <m/>
    <m/>
    <m/>
    <m/>
    <m/>
  </r>
  <r>
    <x v="0"/>
    <x v="0"/>
    <x v="0"/>
    <x v="5"/>
    <x v="9"/>
    <s v="LT_Other_DH"/>
    <x v="2"/>
    <x v="190"/>
    <m/>
    <m/>
    <m/>
    <m/>
    <n v="1.82576842105263E-3"/>
    <n v="1.82576842105263E-6"/>
  </r>
  <r>
    <x v="0"/>
    <x v="0"/>
    <x v="0"/>
    <x v="5"/>
    <x v="9"/>
    <s v="LT_Other_DH"/>
    <x v="2"/>
    <x v="191"/>
    <m/>
    <m/>
    <m/>
    <m/>
    <n v="4.3810586719635796E-3"/>
    <n v="4.3810586719635804E-6"/>
  </r>
  <r>
    <x v="0"/>
    <x v="0"/>
    <x v="0"/>
    <x v="5"/>
    <x v="9"/>
    <s v="LT_Other_DH"/>
    <x v="2"/>
    <x v="192"/>
    <m/>
    <m/>
    <m/>
    <m/>
    <n v="1.84887529411765E-4"/>
    <n v="1.84887529411765E-7"/>
  </r>
  <r>
    <x v="0"/>
    <x v="0"/>
    <x v="0"/>
    <x v="5"/>
    <x v="9"/>
    <s v="LT_Other_DH"/>
    <x v="2"/>
    <x v="193"/>
    <m/>
    <m/>
    <m/>
    <m/>
    <n v="2.9335813953488399E-4"/>
    <n v="2.93358139534884E-7"/>
  </r>
  <r>
    <x v="0"/>
    <x v="0"/>
    <x v="0"/>
    <x v="5"/>
    <x v="9"/>
    <s v="LT_Other_DH"/>
    <x v="10"/>
    <x v="84"/>
    <m/>
    <m/>
    <n v="32.365894736842101"/>
    <n v="3.23658947368421E-2"/>
    <n v="5.1785431578947397E-3"/>
    <n v="5.1785431578947398E-6"/>
  </r>
  <r>
    <x v="0"/>
    <x v="0"/>
    <x v="0"/>
    <x v="5"/>
    <x v="9"/>
    <s v="LT_Panevezys"/>
    <x v="2"/>
    <x v="194"/>
    <m/>
    <m/>
    <m/>
    <m/>
    <n v="2.6596626506024102E-3"/>
    <n v="2.6596626506024098E-6"/>
  </r>
  <r>
    <x v="0"/>
    <x v="0"/>
    <x v="0"/>
    <x v="5"/>
    <x v="9"/>
    <s v="LT_Rural"/>
    <x v="8"/>
    <x v="47"/>
    <m/>
    <m/>
    <m/>
    <m/>
    <m/>
    <m/>
  </r>
  <r>
    <x v="0"/>
    <x v="0"/>
    <x v="0"/>
    <x v="5"/>
    <x v="9"/>
    <s v="LT_SiaU"/>
    <x v="13"/>
    <x v="195"/>
    <m/>
    <m/>
    <n v="18.5665801217039"/>
    <n v="1.85665801217039E-2"/>
    <n v="2.9706528194726198E-3"/>
    <n v="2.9706528194726201E-6"/>
  </r>
  <r>
    <x v="0"/>
    <x v="0"/>
    <x v="0"/>
    <x v="5"/>
    <x v="9"/>
    <s v="LT_VilU"/>
    <x v="1"/>
    <x v="196"/>
    <m/>
    <m/>
    <n v="1553.8093356813599"/>
    <n v="1.55380933568136"/>
    <n v="3.9841265017470699E-2"/>
    <n v="3.9841265017470697E-5"/>
  </r>
  <r>
    <x v="0"/>
    <x v="0"/>
    <x v="0"/>
    <x v="5"/>
    <x v="9"/>
    <s v="LT_VilU"/>
    <x v="2"/>
    <x v="197"/>
    <m/>
    <m/>
    <m/>
    <m/>
    <n v="2.4739448275862101E-2"/>
    <n v="2.4739448275862101E-5"/>
  </r>
  <r>
    <x v="0"/>
    <x v="0"/>
    <x v="0"/>
    <x v="5"/>
    <x v="9"/>
    <s v="LT_VilU"/>
    <x v="2"/>
    <x v="198"/>
    <m/>
    <m/>
    <m/>
    <m/>
    <n v="5.0189920424403199E-2"/>
    <n v="5.0189920424403202E-5"/>
  </r>
  <r>
    <x v="0"/>
    <x v="0"/>
    <x v="0"/>
    <x v="5"/>
    <x v="9"/>
    <s v="LT_VilU"/>
    <x v="2"/>
    <x v="199"/>
    <m/>
    <m/>
    <m/>
    <m/>
    <n v="2.91101538461538E-2"/>
    <n v="2.9110153846153801E-5"/>
  </r>
  <r>
    <x v="0"/>
    <x v="0"/>
    <x v="0"/>
    <x v="5"/>
    <x v="9"/>
    <s v="LT_VilU"/>
    <x v="7"/>
    <x v="200"/>
    <m/>
    <m/>
    <m/>
    <m/>
    <m/>
    <m/>
  </r>
  <r>
    <x v="0"/>
    <x v="0"/>
    <x v="0"/>
    <x v="6"/>
    <x v="10"/>
    <s v="NL_A"/>
    <x v="0"/>
    <x v="201"/>
    <n v="1000"/>
    <n v="1"/>
    <n v="7547.56871035941"/>
    <n v="7.5475687103594096"/>
    <n v="3.1712473572938701E-2"/>
    <n v="3.1712473572938701E-5"/>
  </r>
  <r>
    <x v="0"/>
    <x v="0"/>
    <x v="0"/>
    <x v="6"/>
    <x v="10"/>
    <s v="NL_A"/>
    <x v="1"/>
    <x v="202"/>
    <m/>
    <m/>
    <n v="-831283.91423999995"/>
    <n v="-831.28391423999994"/>
    <n v="0.21570623999999999"/>
    <n v="2.1570623999999999E-4"/>
  </r>
  <r>
    <x v="0"/>
    <x v="0"/>
    <x v="0"/>
    <x v="6"/>
    <x v="10"/>
    <s v="NL_A"/>
    <x v="2"/>
    <x v="203"/>
    <m/>
    <m/>
    <m/>
    <m/>
    <n v="1.6168390607987"/>
    <n v="1.6168390607987E-3"/>
  </r>
  <r>
    <x v="0"/>
    <x v="0"/>
    <x v="0"/>
    <x v="6"/>
    <x v="10"/>
    <s v="NL_A"/>
    <x v="18"/>
    <x v="161"/>
    <m/>
    <m/>
    <m/>
    <m/>
    <m/>
    <m/>
  </r>
  <r>
    <x v="0"/>
    <x v="0"/>
    <x v="0"/>
    <x v="6"/>
    <x v="10"/>
    <s v="NL_A"/>
    <x v="6"/>
    <x v="45"/>
    <m/>
    <m/>
    <m/>
    <m/>
    <m/>
    <m/>
  </r>
  <r>
    <x v="0"/>
    <x v="0"/>
    <x v="0"/>
    <x v="6"/>
    <x v="10"/>
    <s v="NL_A"/>
    <x v="7"/>
    <x v="46"/>
    <m/>
    <m/>
    <m/>
    <m/>
    <m/>
    <m/>
  </r>
  <r>
    <x v="0"/>
    <x v="0"/>
    <x v="0"/>
    <x v="6"/>
    <x v="10"/>
    <s v="NL_A"/>
    <x v="8"/>
    <x v="48"/>
    <m/>
    <m/>
    <m/>
    <m/>
    <m/>
    <m/>
  </r>
  <r>
    <x v="0"/>
    <x v="0"/>
    <x v="0"/>
    <x v="6"/>
    <x v="10"/>
    <s v="NL_A"/>
    <x v="8"/>
    <x v="47"/>
    <m/>
    <m/>
    <m/>
    <m/>
    <m/>
    <m/>
  </r>
  <r>
    <x v="0"/>
    <x v="0"/>
    <x v="0"/>
    <x v="6"/>
    <x v="10"/>
    <s v="NL_A"/>
    <x v="13"/>
    <x v="204"/>
    <m/>
    <m/>
    <n v="630.72"/>
    <n v="0.63071999999999995"/>
    <n v="0.1009152"/>
    <n v="1.0091520000000001E-4"/>
  </r>
  <r>
    <x v="0"/>
    <x v="0"/>
    <x v="0"/>
    <x v="7"/>
    <x v="11"/>
    <s v="NO1_A1"/>
    <x v="21"/>
    <x v="205"/>
    <n v="53.844937411764697"/>
    <n v="5.3844937411764701E-2"/>
    <m/>
    <m/>
    <m/>
    <m/>
  </r>
  <r>
    <x v="0"/>
    <x v="0"/>
    <x v="0"/>
    <x v="7"/>
    <x v="11"/>
    <s v="NO1_A1"/>
    <x v="21"/>
    <x v="206"/>
    <n v="97.389104188235294"/>
    <n v="9.7389104188235306E-2"/>
    <m/>
    <m/>
    <m/>
    <m/>
  </r>
  <r>
    <x v="0"/>
    <x v="0"/>
    <x v="0"/>
    <x v="7"/>
    <x v="11"/>
    <s v="NO1_A1"/>
    <x v="1"/>
    <x v="207"/>
    <m/>
    <m/>
    <n v="189.414032516129"/>
    <n v="0.18941403251612901"/>
    <n v="4.8567700645161301E-3"/>
    <n v="4.8567700645161299E-6"/>
  </r>
  <r>
    <x v="0"/>
    <x v="0"/>
    <x v="0"/>
    <x v="7"/>
    <x v="11"/>
    <s v="NO1_A1"/>
    <x v="1"/>
    <x v="208"/>
    <m/>
    <m/>
    <n v="43.084260592941199"/>
    <n v="4.3084260592941202E-2"/>
    <n v="1.1047246305882399E-3"/>
    <n v="1.10472463058824E-6"/>
  </r>
  <r>
    <x v="0"/>
    <x v="0"/>
    <x v="0"/>
    <x v="7"/>
    <x v="11"/>
    <s v="NO1_A1"/>
    <x v="4"/>
    <x v="108"/>
    <m/>
    <m/>
    <m/>
    <m/>
    <m/>
    <m/>
  </r>
  <r>
    <x v="0"/>
    <x v="0"/>
    <x v="0"/>
    <x v="7"/>
    <x v="11"/>
    <s v="NO1_A1"/>
    <x v="7"/>
    <x v="122"/>
    <m/>
    <m/>
    <m/>
    <m/>
    <m/>
    <m/>
  </r>
  <r>
    <x v="0"/>
    <x v="0"/>
    <x v="0"/>
    <x v="7"/>
    <x v="11"/>
    <s v="NO1_A1"/>
    <x v="7"/>
    <x v="123"/>
    <m/>
    <m/>
    <m/>
    <m/>
    <m/>
    <m/>
  </r>
  <r>
    <x v="0"/>
    <x v="0"/>
    <x v="0"/>
    <x v="7"/>
    <x v="11"/>
    <s v="NO1_A1"/>
    <x v="7"/>
    <x v="124"/>
    <m/>
    <m/>
    <m/>
    <m/>
    <m/>
    <m/>
  </r>
  <r>
    <x v="0"/>
    <x v="0"/>
    <x v="0"/>
    <x v="7"/>
    <x v="11"/>
    <s v="NO1_A1"/>
    <x v="7"/>
    <x v="125"/>
    <m/>
    <m/>
    <m/>
    <m/>
    <m/>
    <m/>
  </r>
  <r>
    <x v="0"/>
    <x v="0"/>
    <x v="0"/>
    <x v="7"/>
    <x v="11"/>
    <s v="NO1_A1"/>
    <x v="7"/>
    <x v="126"/>
    <m/>
    <m/>
    <m/>
    <m/>
    <m/>
    <m/>
  </r>
  <r>
    <x v="0"/>
    <x v="0"/>
    <x v="0"/>
    <x v="7"/>
    <x v="11"/>
    <s v="NO1_A1"/>
    <x v="7"/>
    <x v="127"/>
    <m/>
    <m/>
    <m/>
    <m/>
    <m/>
    <m/>
  </r>
  <r>
    <x v="0"/>
    <x v="0"/>
    <x v="0"/>
    <x v="7"/>
    <x v="11"/>
    <s v="NO1_A1"/>
    <x v="7"/>
    <x v="46"/>
    <m/>
    <m/>
    <m/>
    <m/>
    <m/>
    <m/>
  </r>
  <r>
    <x v="0"/>
    <x v="0"/>
    <x v="0"/>
    <x v="7"/>
    <x v="11"/>
    <s v="NO1_A1"/>
    <x v="10"/>
    <x v="111"/>
    <m/>
    <m/>
    <n v="44.541896069474298"/>
    <n v="4.4541896069474299E-2"/>
    <n v="7.1267033711158801E-3"/>
    <n v="7.1267033711158804E-6"/>
  </r>
  <r>
    <x v="0"/>
    <x v="0"/>
    <x v="0"/>
    <x v="7"/>
    <x v="11"/>
    <s v="NO1_A2"/>
    <x v="21"/>
    <x v="206"/>
    <n v="234.10842352941199"/>
    <n v="0.234108423529412"/>
    <m/>
    <m/>
    <m/>
    <m/>
  </r>
  <r>
    <x v="0"/>
    <x v="0"/>
    <x v="0"/>
    <x v="7"/>
    <x v="11"/>
    <s v="NO1_A2"/>
    <x v="1"/>
    <x v="207"/>
    <m/>
    <m/>
    <n v="256.247926916126"/>
    <n v="0.25624792691612602"/>
    <n v="6.5704596645160497E-3"/>
    <n v="6.57045966451605E-6"/>
  </r>
  <r>
    <x v="0"/>
    <x v="0"/>
    <x v="0"/>
    <x v="7"/>
    <x v="11"/>
    <s v="NO1_A2"/>
    <x v="1"/>
    <x v="208"/>
    <m/>
    <m/>
    <n v="185.209072941177"/>
    <n v="0.185209072941177"/>
    <n v="4.7489505882352904E-3"/>
    <n v="4.7489505882352902E-6"/>
  </r>
  <r>
    <x v="0"/>
    <x v="0"/>
    <x v="0"/>
    <x v="7"/>
    <x v="11"/>
    <s v="NO1_A2"/>
    <x v="10"/>
    <x v="111"/>
    <m/>
    <m/>
    <n v="14.8404705882353"/>
    <n v="1.48404705882353E-2"/>
    <n v="2.37447529411765E-3"/>
    <n v="2.3744752941176502E-6"/>
  </r>
  <r>
    <x v="0"/>
    <x v="0"/>
    <x v="0"/>
    <x v="7"/>
    <x v="12"/>
    <s v="NO2_A1"/>
    <x v="21"/>
    <x v="205"/>
    <n v="0.93389117434134095"/>
    <n v="9.3389117434134101E-4"/>
    <m/>
    <m/>
    <m/>
    <m/>
  </r>
  <r>
    <x v="0"/>
    <x v="0"/>
    <x v="0"/>
    <x v="7"/>
    <x v="12"/>
    <s v="NO2_A1"/>
    <x v="21"/>
    <x v="206"/>
    <n v="10.7587793731793"/>
    <n v="1.07587793731793E-2"/>
    <m/>
    <m/>
    <m/>
    <m/>
  </r>
  <r>
    <x v="0"/>
    <x v="0"/>
    <x v="0"/>
    <x v="7"/>
    <x v="12"/>
    <s v="NO2_A1"/>
    <x v="1"/>
    <x v="207"/>
    <m/>
    <m/>
    <n v="249.472140387097"/>
    <n v="0.249472140387097"/>
    <n v="6.3967215483870998E-3"/>
    <n v="6.3967215483870999E-6"/>
  </r>
  <r>
    <x v="0"/>
    <x v="0"/>
    <x v="0"/>
    <x v="7"/>
    <x v="12"/>
    <s v="NO2_A1"/>
    <x v="4"/>
    <x v="108"/>
    <m/>
    <m/>
    <m/>
    <m/>
    <m/>
    <m/>
  </r>
  <r>
    <x v="0"/>
    <x v="0"/>
    <x v="0"/>
    <x v="7"/>
    <x v="12"/>
    <s v="NO2_A1"/>
    <x v="7"/>
    <x v="122"/>
    <m/>
    <m/>
    <m/>
    <m/>
    <m/>
    <m/>
  </r>
  <r>
    <x v="0"/>
    <x v="0"/>
    <x v="0"/>
    <x v="7"/>
    <x v="12"/>
    <s v="NO2_A1"/>
    <x v="7"/>
    <x v="123"/>
    <m/>
    <m/>
    <m/>
    <m/>
    <m/>
    <m/>
  </r>
  <r>
    <x v="0"/>
    <x v="0"/>
    <x v="0"/>
    <x v="7"/>
    <x v="12"/>
    <s v="NO2_A1"/>
    <x v="7"/>
    <x v="124"/>
    <m/>
    <m/>
    <m/>
    <m/>
    <m/>
    <m/>
  </r>
  <r>
    <x v="0"/>
    <x v="0"/>
    <x v="0"/>
    <x v="7"/>
    <x v="12"/>
    <s v="NO2_A1"/>
    <x v="7"/>
    <x v="125"/>
    <m/>
    <m/>
    <m/>
    <m/>
    <m/>
    <m/>
  </r>
  <r>
    <x v="0"/>
    <x v="0"/>
    <x v="0"/>
    <x v="7"/>
    <x v="12"/>
    <s v="NO2_A1"/>
    <x v="7"/>
    <x v="126"/>
    <m/>
    <m/>
    <m/>
    <m/>
    <m/>
    <m/>
  </r>
  <r>
    <x v="0"/>
    <x v="0"/>
    <x v="0"/>
    <x v="7"/>
    <x v="12"/>
    <s v="NO2_A1"/>
    <x v="7"/>
    <x v="127"/>
    <m/>
    <m/>
    <m/>
    <m/>
    <m/>
    <m/>
  </r>
  <r>
    <x v="0"/>
    <x v="0"/>
    <x v="0"/>
    <x v="7"/>
    <x v="12"/>
    <s v="NO2_A1"/>
    <x v="7"/>
    <x v="128"/>
    <m/>
    <m/>
    <m/>
    <m/>
    <m/>
    <m/>
  </r>
  <r>
    <x v="0"/>
    <x v="0"/>
    <x v="0"/>
    <x v="7"/>
    <x v="12"/>
    <s v="NO2_A1"/>
    <x v="7"/>
    <x v="209"/>
    <m/>
    <m/>
    <m/>
    <m/>
    <m/>
    <m/>
  </r>
  <r>
    <x v="0"/>
    <x v="0"/>
    <x v="0"/>
    <x v="7"/>
    <x v="12"/>
    <s v="NO2_A1"/>
    <x v="7"/>
    <x v="46"/>
    <m/>
    <m/>
    <m/>
    <m/>
    <m/>
    <m/>
  </r>
  <r>
    <x v="0"/>
    <x v="0"/>
    <x v="0"/>
    <x v="7"/>
    <x v="12"/>
    <s v="NO2_A1"/>
    <x v="8"/>
    <x v="47"/>
    <m/>
    <m/>
    <m/>
    <m/>
    <m/>
    <m/>
  </r>
  <r>
    <x v="0"/>
    <x v="0"/>
    <x v="0"/>
    <x v="7"/>
    <x v="13"/>
    <s v="NO3_A1"/>
    <x v="21"/>
    <x v="205"/>
    <n v="7.3537726967130697"/>
    <n v="7.3537726967130802E-3"/>
    <m/>
    <m/>
    <m/>
    <m/>
  </r>
  <r>
    <x v="0"/>
    <x v="0"/>
    <x v="0"/>
    <x v="7"/>
    <x v="13"/>
    <s v="NO3_A1"/>
    <x v="21"/>
    <x v="206"/>
    <n v="9.5264848006230398"/>
    <n v="9.5264848006230401E-3"/>
    <m/>
    <m/>
    <m/>
    <m/>
  </r>
  <r>
    <x v="0"/>
    <x v="0"/>
    <x v="0"/>
    <x v="7"/>
    <x v="13"/>
    <s v="NO3_A1"/>
    <x v="1"/>
    <x v="207"/>
    <m/>
    <m/>
    <n v="99.095877987096799"/>
    <n v="9.9095877987096806E-2"/>
    <n v="2.5409199483871002E-3"/>
    <n v="2.5409199483871E-6"/>
  </r>
  <r>
    <x v="0"/>
    <x v="0"/>
    <x v="0"/>
    <x v="7"/>
    <x v="13"/>
    <s v="NO3_A1"/>
    <x v="4"/>
    <x v="108"/>
    <m/>
    <m/>
    <m/>
    <m/>
    <m/>
    <m/>
  </r>
  <r>
    <x v="0"/>
    <x v="0"/>
    <x v="0"/>
    <x v="7"/>
    <x v="13"/>
    <s v="NO3_A1"/>
    <x v="7"/>
    <x v="122"/>
    <m/>
    <m/>
    <m/>
    <m/>
    <m/>
    <m/>
  </r>
  <r>
    <x v="0"/>
    <x v="0"/>
    <x v="0"/>
    <x v="7"/>
    <x v="13"/>
    <s v="NO3_A1"/>
    <x v="7"/>
    <x v="123"/>
    <m/>
    <m/>
    <m/>
    <m/>
    <m/>
    <m/>
  </r>
  <r>
    <x v="0"/>
    <x v="0"/>
    <x v="0"/>
    <x v="7"/>
    <x v="13"/>
    <s v="NO3_A1"/>
    <x v="7"/>
    <x v="124"/>
    <m/>
    <m/>
    <m/>
    <m/>
    <m/>
    <m/>
  </r>
  <r>
    <x v="0"/>
    <x v="0"/>
    <x v="0"/>
    <x v="7"/>
    <x v="13"/>
    <s v="NO3_A1"/>
    <x v="7"/>
    <x v="125"/>
    <m/>
    <m/>
    <m/>
    <m/>
    <m/>
    <m/>
  </r>
  <r>
    <x v="0"/>
    <x v="0"/>
    <x v="0"/>
    <x v="7"/>
    <x v="13"/>
    <s v="NO3_A1"/>
    <x v="7"/>
    <x v="126"/>
    <m/>
    <m/>
    <m/>
    <m/>
    <m/>
    <m/>
  </r>
  <r>
    <x v="0"/>
    <x v="0"/>
    <x v="0"/>
    <x v="7"/>
    <x v="13"/>
    <s v="NO3_A1"/>
    <x v="7"/>
    <x v="127"/>
    <m/>
    <m/>
    <m/>
    <m/>
    <m/>
    <m/>
  </r>
  <r>
    <x v="0"/>
    <x v="0"/>
    <x v="0"/>
    <x v="7"/>
    <x v="13"/>
    <s v="NO3_A1"/>
    <x v="7"/>
    <x v="128"/>
    <m/>
    <m/>
    <m/>
    <m/>
    <m/>
    <m/>
  </r>
  <r>
    <x v="0"/>
    <x v="0"/>
    <x v="0"/>
    <x v="7"/>
    <x v="13"/>
    <s v="NO3_A1"/>
    <x v="7"/>
    <x v="209"/>
    <m/>
    <m/>
    <m/>
    <m/>
    <m/>
    <m/>
  </r>
  <r>
    <x v="0"/>
    <x v="0"/>
    <x v="0"/>
    <x v="7"/>
    <x v="13"/>
    <s v="NO3_A1"/>
    <x v="7"/>
    <x v="46"/>
    <m/>
    <m/>
    <m/>
    <m/>
    <m/>
    <m/>
  </r>
  <r>
    <x v="0"/>
    <x v="0"/>
    <x v="0"/>
    <x v="7"/>
    <x v="13"/>
    <s v="NO3_A1"/>
    <x v="8"/>
    <x v="47"/>
    <m/>
    <m/>
    <m/>
    <m/>
    <m/>
    <m/>
  </r>
  <r>
    <x v="0"/>
    <x v="0"/>
    <x v="0"/>
    <x v="7"/>
    <x v="13"/>
    <s v="NO3_A2"/>
    <x v="21"/>
    <x v="205"/>
    <n v="6.7350356385102801"/>
    <n v="6.7350356385102797E-3"/>
    <m/>
    <m/>
    <m/>
    <m/>
  </r>
  <r>
    <x v="0"/>
    <x v="0"/>
    <x v="0"/>
    <x v="7"/>
    <x v="13"/>
    <s v="NO3_A2"/>
    <x v="21"/>
    <x v="206"/>
    <n v="8.6368614126574297"/>
    <n v="8.6368614126574195E-3"/>
    <m/>
    <m/>
    <m/>
    <m/>
  </r>
  <r>
    <x v="0"/>
    <x v="0"/>
    <x v="0"/>
    <x v="7"/>
    <x v="13"/>
    <s v="NO3_A2"/>
    <x v="1"/>
    <x v="208"/>
    <m/>
    <m/>
    <n v="373.11156322504303"/>
    <n v="0.37311156322504302"/>
    <n v="9.5669631596164793E-3"/>
    <n v="9.5669631596164697E-6"/>
  </r>
  <r>
    <x v="0"/>
    <x v="0"/>
    <x v="0"/>
    <x v="7"/>
    <x v="14"/>
    <s v="NO4_A1"/>
    <x v="21"/>
    <x v="205"/>
    <n v="6.0349378647993204"/>
    <n v="6.0349378647993196E-3"/>
    <m/>
    <m/>
    <m/>
    <m/>
  </r>
  <r>
    <x v="0"/>
    <x v="0"/>
    <x v="0"/>
    <x v="7"/>
    <x v="14"/>
    <s v="NO4_A1"/>
    <x v="21"/>
    <x v="206"/>
    <n v="1.45404867788131"/>
    <n v="1.45404867788131E-3"/>
    <m/>
    <m/>
    <m/>
    <m/>
  </r>
  <r>
    <x v="0"/>
    <x v="0"/>
    <x v="0"/>
    <x v="7"/>
    <x v="14"/>
    <s v="NO4_A1"/>
    <x v="1"/>
    <x v="207"/>
    <m/>
    <m/>
    <n v="3.8418709619612899"/>
    <n v="3.84187096196129E-3"/>
    <n v="9.8509511845161295E-5"/>
    <n v="9.8509511845161295E-8"/>
  </r>
  <r>
    <x v="0"/>
    <x v="0"/>
    <x v="0"/>
    <x v="7"/>
    <x v="14"/>
    <s v="NO4_A1"/>
    <x v="1"/>
    <x v="208"/>
    <m/>
    <m/>
    <n v="82.760249632448406"/>
    <n v="8.2760249632448393E-2"/>
    <n v="2.12205768288329E-3"/>
    <n v="2.1220576828832902E-6"/>
  </r>
  <r>
    <x v="0"/>
    <x v="0"/>
    <x v="0"/>
    <x v="7"/>
    <x v="14"/>
    <s v="NO4_A1"/>
    <x v="4"/>
    <x v="108"/>
    <m/>
    <m/>
    <m/>
    <m/>
    <m/>
    <m/>
  </r>
  <r>
    <x v="0"/>
    <x v="0"/>
    <x v="0"/>
    <x v="7"/>
    <x v="14"/>
    <s v="NO4_A1"/>
    <x v="7"/>
    <x v="122"/>
    <m/>
    <m/>
    <m/>
    <m/>
    <m/>
    <m/>
  </r>
  <r>
    <x v="0"/>
    <x v="0"/>
    <x v="0"/>
    <x v="7"/>
    <x v="14"/>
    <s v="NO4_A1"/>
    <x v="7"/>
    <x v="123"/>
    <m/>
    <m/>
    <m/>
    <m/>
    <m/>
    <m/>
  </r>
  <r>
    <x v="0"/>
    <x v="0"/>
    <x v="0"/>
    <x v="7"/>
    <x v="14"/>
    <s v="NO4_A1"/>
    <x v="7"/>
    <x v="124"/>
    <m/>
    <m/>
    <m/>
    <m/>
    <m/>
    <m/>
  </r>
  <r>
    <x v="0"/>
    <x v="0"/>
    <x v="0"/>
    <x v="7"/>
    <x v="14"/>
    <s v="NO4_A1"/>
    <x v="7"/>
    <x v="125"/>
    <m/>
    <m/>
    <m/>
    <m/>
    <m/>
    <m/>
  </r>
  <r>
    <x v="0"/>
    <x v="0"/>
    <x v="0"/>
    <x v="7"/>
    <x v="14"/>
    <s v="NO4_A1"/>
    <x v="7"/>
    <x v="126"/>
    <m/>
    <m/>
    <m/>
    <m/>
    <m/>
    <m/>
  </r>
  <r>
    <x v="0"/>
    <x v="0"/>
    <x v="0"/>
    <x v="7"/>
    <x v="14"/>
    <s v="NO4_A1"/>
    <x v="7"/>
    <x v="127"/>
    <m/>
    <m/>
    <m/>
    <m/>
    <m/>
    <m/>
  </r>
  <r>
    <x v="0"/>
    <x v="0"/>
    <x v="0"/>
    <x v="7"/>
    <x v="14"/>
    <s v="NO4_A1"/>
    <x v="7"/>
    <x v="128"/>
    <m/>
    <m/>
    <m/>
    <m/>
    <m/>
    <m/>
  </r>
  <r>
    <x v="0"/>
    <x v="0"/>
    <x v="0"/>
    <x v="7"/>
    <x v="14"/>
    <s v="NO4_A1"/>
    <x v="7"/>
    <x v="129"/>
    <m/>
    <m/>
    <m/>
    <m/>
    <m/>
    <m/>
  </r>
  <r>
    <x v="0"/>
    <x v="0"/>
    <x v="0"/>
    <x v="7"/>
    <x v="14"/>
    <s v="NO4_A1"/>
    <x v="7"/>
    <x v="46"/>
    <m/>
    <m/>
    <m/>
    <m/>
    <m/>
    <m/>
  </r>
  <r>
    <x v="0"/>
    <x v="0"/>
    <x v="0"/>
    <x v="7"/>
    <x v="14"/>
    <s v="NO4_A1"/>
    <x v="8"/>
    <x v="47"/>
    <m/>
    <m/>
    <m/>
    <m/>
    <m/>
    <m/>
  </r>
  <r>
    <x v="0"/>
    <x v="0"/>
    <x v="0"/>
    <x v="7"/>
    <x v="15"/>
    <s v="NO5_A1"/>
    <x v="21"/>
    <x v="206"/>
    <n v="19.703720466034099"/>
    <n v="1.9703720466034101E-2"/>
    <m/>
    <m/>
    <m/>
    <m/>
  </r>
  <r>
    <x v="0"/>
    <x v="0"/>
    <x v="0"/>
    <x v="7"/>
    <x v="15"/>
    <s v="NO5_A1"/>
    <x v="1"/>
    <x v="207"/>
    <m/>
    <m/>
    <n v="184.79417806451599"/>
    <n v="0.18479417806451601"/>
    <n v="4.73831225806452E-3"/>
    <n v="4.7383122580645204E-6"/>
  </r>
  <r>
    <x v="0"/>
    <x v="0"/>
    <x v="0"/>
    <x v="7"/>
    <x v="15"/>
    <s v="NO5_A1"/>
    <x v="7"/>
    <x v="122"/>
    <m/>
    <m/>
    <m/>
    <m/>
    <m/>
    <m/>
  </r>
  <r>
    <x v="0"/>
    <x v="0"/>
    <x v="0"/>
    <x v="7"/>
    <x v="15"/>
    <s v="NO5_A1"/>
    <x v="7"/>
    <x v="123"/>
    <m/>
    <m/>
    <m/>
    <m/>
    <m/>
    <m/>
  </r>
  <r>
    <x v="0"/>
    <x v="0"/>
    <x v="0"/>
    <x v="7"/>
    <x v="15"/>
    <s v="NO5_A1"/>
    <x v="7"/>
    <x v="124"/>
    <m/>
    <m/>
    <m/>
    <m/>
    <m/>
    <m/>
  </r>
  <r>
    <x v="0"/>
    <x v="0"/>
    <x v="0"/>
    <x v="7"/>
    <x v="15"/>
    <s v="NO5_A1"/>
    <x v="7"/>
    <x v="125"/>
    <m/>
    <m/>
    <m/>
    <m/>
    <m/>
    <m/>
  </r>
  <r>
    <x v="0"/>
    <x v="0"/>
    <x v="0"/>
    <x v="7"/>
    <x v="15"/>
    <s v="NO5_A1"/>
    <x v="7"/>
    <x v="126"/>
    <m/>
    <m/>
    <m/>
    <m/>
    <m/>
    <m/>
  </r>
  <r>
    <x v="0"/>
    <x v="0"/>
    <x v="0"/>
    <x v="7"/>
    <x v="15"/>
    <s v="NO5_A1"/>
    <x v="7"/>
    <x v="127"/>
    <m/>
    <m/>
    <m/>
    <m/>
    <m/>
    <m/>
  </r>
  <r>
    <x v="0"/>
    <x v="0"/>
    <x v="0"/>
    <x v="7"/>
    <x v="15"/>
    <s v="NO5_A1"/>
    <x v="7"/>
    <x v="209"/>
    <m/>
    <m/>
    <m/>
    <m/>
    <m/>
    <m/>
  </r>
  <r>
    <x v="0"/>
    <x v="0"/>
    <x v="0"/>
    <x v="7"/>
    <x v="15"/>
    <s v="NO5_A1"/>
    <x v="7"/>
    <x v="46"/>
    <m/>
    <m/>
    <m/>
    <m/>
    <m/>
    <m/>
  </r>
  <r>
    <x v="0"/>
    <x v="0"/>
    <x v="0"/>
    <x v="8"/>
    <x v="16"/>
    <s v="PL_A"/>
    <x v="11"/>
    <x v="210"/>
    <m/>
    <m/>
    <n v="348.20412230851002"/>
    <n v="0.34820412230851"/>
    <n v="5.5712659569361701E-2"/>
    <n v="5.5712659569361697E-5"/>
  </r>
  <r>
    <x v="0"/>
    <x v="0"/>
    <x v="0"/>
    <x v="8"/>
    <x v="16"/>
    <s v="PL_A"/>
    <x v="0"/>
    <x v="211"/>
    <n v="6.0706800000000003"/>
    <n v="6.0706800000000002E-3"/>
    <n v="45.818874418604601"/>
    <n v="4.5818874418604598E-2"/>
    <n v="1.9251627906976699E-4"/>
    <n v="1.9251627906976699E-7"/>
  </r>
  <r>
    <x v="0"/>
    <x v="0"/>
    <x v="0"/>
    <x v="8"/>
    <x v="16"/>
    <s v="PL_A"/>
    <x v="0"/>
    <x v="212"/>
    <n v="41.322814054054"/>
    <n v="4.1322814054053997E-2"/>
    <n v="311.88677837837798"/>
    <n v="0.31188677837837803"/>
    <n v="1.3104486486486501E-3"/>
    <n v="1.3104486486486501E-6"/>
  </r>
  <r>
    <x v="0"/>
    <x v="0"/>
    <x v="0"/>
    <x v="8"/>
    <x v="16"/>
    <s v="PL_A"/>
    <x v="0"/>
    <x v="213"/>
    <n v="16.129812720535298"/>
    <n v="1.6129812720535298E-2"/>
    <n v="121.740869793469"/>
    <n v="0.121740869793469"/>
    <n v="5.1151625963642602E-4"/>
    <n v="5.1151625963642604E-7"/>
  </r>
  <r>
    <x v="0"/>
    <x v="0"/>
    <x v="0"/>
    <x v="8"/>
    <x v="16"/>
    <s v="PL_A"/>
    <x v="0"/>
    <x v="214"/>
    <n v="710.18782679651497"/>
    <n v="0.71018782679651404"/>
    <n v="5360.1914200075198"/>
    <n v="5.3601914200075198"/>
    <n v="2.2521812689107201E-2"/>
    <n v="2.2521812689107199E-5"/>
  </r>
  <r>
    <x v="0"/>
    <x v="0"/>
    <x v="0"/>
    <x v="8"/>
    <x v="16"/>
    <s v="PL_A"/>
    <x v="0"/>
    <x v="215"/>
    <n v="13.673484"/>
    <n v="1.3673484E-2"/>
    <n v="103.20156"/>
    <n v="0.10320156"/>
    <n v="4.3362000000000001E-4"/>
    <n v="4.3361999999999999E-7"/>
  </r>
  <r>
    <x v="0"/>
    <x v="0"/>
    <x v="0"/>
    <x v="8"/>
    <x v="16"/>
    <s v="PL_A"/>
    <x v="0"/>
    <x v="216"/>
    <n v="48.365722293831503"/>
    <n v="4.8365722293831501E-2"/>
    <n v="365.04361223885502"/>
    <n v="0.36504361223885501"/>
    <n v="1.5337966900792199E-3"/>
    <n v="1.5337966900792199E-6"/>
  </r>
  <r>
    <x v="0"/>
    <x v="0"/>
    <x v="0"/>
    <x v="8"/>
    <x v="16"/>
    <s v="PL_A"/>
    <x v="1"/>
    <x v="217"/>
    <m/>
    <m/>
    <n v="-110189.68064000001"/>
    <n v="-110.18968064000001"/>
    <n v="2.8592639999999999E-2"/>
    <n v="2.8592640000000001E-5"/>
  </r>
  <r>
    <x v="0"/>
    <x v="0"/>
    <x v="0"/>
    <x v="8"/>
    <x v="16"/>
    <s v="PL_A"/>
    <x v="2"/>
    <x v="218"/>
    <m/>
    <m/>
    <m/>
    <m/>
    <n v="2.9854080000000002E-2"/>
    <n v="2.9854080000000001E-5"/>
  </r>
  <r>
    <x v="0"/>
    <x v="0"/>
    <x v="0"/>
    <x v="8"/>
    <x v="16"/>
    <s v="PL_A"/>
    <x v="2"/>
    <x v="219"/>
    <m/>
    <m/>
    <m/>
    <m/>
    <n v="5.4662399999999998E-3"/>
    <n v="5.4662399999999997E-6"/>
  </r>
  <r>
    <x v="0"/>
    <x v="0"/>
    <x v="0"/>
    <x v="8"/>
    <x v="16"/>
    <s v="PL_A"/>
    <x v="2"/>
    <x v="220"/>
    <m/>
    <m/>
    <m/>
    <m/>
    <n v="8.9001600000000007E-3"/>
    <n v="8.9001600000000005E-6"/>
  </r>
  <r>
    <x v="0"/>
    <x v="0"/>
    <x v="0"/>
    <x v="8"/>
    <x v="16"/>
    <s v="PL_A"/>
    <x v="2"/>
    <x v="221"/>
    <m/>
    <m/>
    <m/>
    <m/>
    <n v="2.2425600000000002E-3"/>
    <n v="2.2425600000000001E-6"/>
  </r>
  <r>
    <x v="0"/>
    <x v="0"/>
    <x v="0"/>
    <x v="8"/>
    <x v="16"/>
    <s v="PL_A"/>
    <x v="2"/>
    <x v="222"/>
    <m/>
    <m/>
    <m/>
    <m/>
    <n v="7.0080000000000001E-4"/>
    <n v="7.0079999999999897E-7"/>
  </r>
  <r>
    <x v="0"/>
    <x v="0"/>
    <x v="0"/>
    <x v="8"/>
    <x v="16"/>
    <s v="PL_A"/>
    <x v="2"/>
    <x v="223"/>
    <m/>
    <m/>
    <m/>
    <m/>
    <n v="8.4095999999999997E-3"/>
    <n v="8.4096000000000101E-6"/>
  </r>
  <r>
    <x v="0"/>
    <x v="0"/>
    <x v="0"/>
    <x v="8"/>
    <x v="16"/>
    <s v="PL_A"/>
    <x v="3"/>
    <x v="224"/>
    <m/>
    <m/>
    <n v="388.13538461538502"/>
    <n v="0.38813538461538499"/>
    <n v="6.21016615384615E-2"/>
    <n v="6.2101661538461496E-5"/>
  </r>
  <r>
    <x v="0"/>
    <x v="0"/>
    <x v="0"/>
    <x v="8"/>
    <x v="16"/>
    <s v="PL_A"/>
    <x v="3"/>
    <x v="225"/>
    <m/>
    <m/>
    <n v="2791.2220158917398"/>
    <n v="2.7912220158917398"/>
    <n v="0.44659552254267798"/>
    <n v="4.4659552254267801E-4"/>
  </r>
  <r>
    <x v="0"/>
    <x v="0"/>
    <x v="0"/>
    <x v="8"/>
    <x v="16"/>
    <s v="PL_A"/>
    <x v="3"/>
    <x v="226"/>
    <m/>
    <m/>
    <n v="430.99200000000002"/>
    <n v="0.43099199999999999"/>
    <n v="6.8958720000000001E-2"/>
    <n v="6.8958719999999996E-5"/>
  </r>
  <r>
    <x v="0"/>
    <x v="0"/>
    <x v="0"/>
    <x v="8"/>
    <x v="16"/>
    <s v="PL_A"/>
    <x v="3"/>
    <x v="227"/>
    <m/>
    <m/>
    <n v="239.23862068965499"/>
    <n v="0.23923862068965501"/>
    <n v="3.8278179310344801E-2"/>
    <n v="3.8278179310344799E-5"/>
  </r>
  <r>
    <x v="0"/>
    <x v="0"/>
    <x v="0"/>
    <x v="8"/>
    <x v="16"/>
    <s v="PL_A"/>
    <x v="6"/>
    <x v="45"/>
    <m/>
    <m/>
    <m/>
    <m/>
    <m/>
    <m/>
  </r>
  <r>
    <x v="0"/>
    <x v="0"/>
    <x v="0"/>
    <x v="8"/>
    <x v="16"/>
    <s v="PL_A"/>
    <x v="7"/>
    <x v="200"/>
    <m/>
    <m/>
    <m/>
    <m/>
    <m/>
    <m/>
  </r>
  <r>
    <x v="0"/>
    <x v="0"/>
    <x v="0"/>
    <x v="8"/>
    <x v="16"/>
    <s v="PL_A"/>
    <x v="8"/>
    <x v="47"/>
    <m/>
    <m/>
    <m/>
    <m/>
    <m/>
    <m/>
  </r>
  <r>
    <x v="0"/>
    <x v="0"/>
    <x v="0"/>
    <x v="8"/>
    <x v="16"/>
    <s v="PL_A"/>
    <x v="13"/>
    <x v="228"/>
    <m/>
    <m/>
    <n v="2067.36"/>
    <n v="2.0673599999999999"/>
    <n v="0.3307776"/>
    <n v="3.3077760000000002E-4"/>
  </r>
  <r>
    <x v="0"/>
    <x v="0"/>
    <x v="0"/>
    <x v="8"/>
    <x v="16"/>
    <s v="PL_Rural"/>
    <x v="0"/>
    <x v="229"/>
    <n v="164.24966013506301"/>
    <n v="0.16424966013506301"/>
    <n v="1239.6855955225701"/>
    <n v="1.2396855955225701"/>
    <n v="5.20876300639736E-3"/>
    <n v="5.2087630063973599E-6"/>
  </r>
  <r>
    <x v="0"/>
    <x v="0"/>
    <x v="0"/>
    <x v="8"/>
    <x v="16"/>
    <s v="PL_Rural"/>
    <x v="7"/>
    <x v="46"/>
    <m/>
    <m/>
    <m/>
    <m/>
    <m/>
    <m/>
  </r>
  <r>
    <x v="0"/>
    <x v="0"/>
    <x v="0"/>
    <x v="9"/>
    <x v="17"/>
    <s v="SE1A"/>
    <x v="7"/>
    <x v="122"/>
    <m/>
    <m/>
    <m/>
    <m/>
    <m/>
    <m/>
  </r>
  <r>
    <x v="0"/>
    <x v="0"/>
    <x v="0"/>
    <x v="9"/>
    <x v="17"/>
    <s v="SE1A"/>
    <x v="7"/>
    <x v="123"/>
    <m/>
    <m/>
    <m/>
    <m/>
    <m/>
    <m/>
  </r>
  <r>
    <x v="0"/>
    <x v="0"/>
    <x v="0"/>
    <x v="9"/>
    <x v="17"/>
    <s v="SE1A"/>
    <x v="7"/>
    <x v="124"/>
    <m/>
    <m/>
    <m/>
    <m/>
    <m/>
    <m/>
  </r>
  <r>
    <x v="0"/>
    <x v="0"/>
    <x v="0"/>
    <x v="9"/>
    <x v="17"/>
    <s v="SE1A"/>
    <x v="7"/>
    <x v="125"/>
    <m/>
    <m/>
    <m/>
    <m/>
    <m/>
    <m/>
  </r>
  <r>
    <x v="0"/>
    <x v="0"/>
    <x v="0"/>
    <x v="9"/>
    <x v="17"/>
    <s v="SE1A"/>
    <x v="7"/>
    <x v="126"/>
    <m/>
    <m/>
    <m/>
    <m/>
    <m/>
    <m/>
  </r>
  <r>
    <x v="0"/>
    <x v="0"/>
    <x v="0"/>
    <x v="9"/>
    <x v="17"/>
    <s v="SE1A"/>
    <x v="7"/>
    <x v="127"/>
    <m/>
    <m/>
    <m/>
    <m/>
    <m/>
    <m/>
  </r>
  <r>
    <x v="0"/>
    <x v="0"/>
    <x v="0"/>
    <x v="9"/>
    <x v="17"/>
    <s v="SE1A"/>
    <x v="7"/>
    <x v="46"/>
    <m/>
    <m/>
    <m/>
    <m/>
    <m/>
    <m/>
  </r>
  <r>
    <x v="0"/>
    <x v="0"/>
    <x v="0"/>
    <x v="9"/>
    <x v="17"/>
    <s v="SE1A"/>
    <x v="8"/>
    <x v="47"/>
    <m/>
    <m/>
    <m/>
    <m/>
    <m/>
    <m/>
  </r>
  <r>
    <x v="0"/>
    <x v="0"/>
    <x v="0"/>
    <x v="9"/>
    <x v="17"/>
    <s v="SE1_EL"/>
    <x v="1"/>
    <x v="207"/>
    <m/>
    <m/>
    <n v="90.889897735282901"/>
    <n v="9.0889897735282901E-2"/>
    <n v="2.3305101983405901E-3"/>
    <n v="2.3305101983405902E-6"/>
  </r>
  <r>
    <x v="0"/>
    <x v="0"/>
    <x v="0"/>
    <x v="9"/>
    <x v="17"/>
    <s v="SE1_EL"/>
    <x v="4"/>
    <x v="108"/>
    <m/>
    <m/>
    <m/>
    <m/>
    <m/>
    <m/>
  </r>
  <r>
    <x v="0"/>
    <x v="0"/>
    <x v="0"/>
    <x v="9"/>
    <x v="17"/>
    <s v="SE1_EL"/>
    <x v="10"/>
    <x v="230"/>
    <m/>
    <m/>
    <n v="10.0892951485085"/>
    <n v="1.00892951485085E-2"/>
    <n v="1.61428722376135E-3"/>
    <n v="1.6142872237613499E-6"/>
  </r>
  <r>
    <x v="0"/>
    <x v="0"/>
    <x v="0"/>
    <x v="9"/>
    <x v="17"/>
    <s v="SE1_OTHER"/>
    <x v="2"/>
    <x v="231"/>
    <m/>
    <m/>
    <m/>
    <m/>
    <n v="7.9605232199204005E-5"/>
    <n v="7.9605232199204002E-8"/>
  </r>
  <r>
    <x v="0"/>
    <x v="0"/>
    <x v="0"/>
    <x v="9"/>
    <x v="17"/>
    <s v="SE1_OTHER"/>
    <x v="4"/>
    <x v="108"/>
    <m/>
    <m/>
    <m/>
    <m/>
    <m/>
    <m/>
  </r>
  <r>
    <x v="0"/>
    <x v="0"/>
    <x v="0"/>
    <x v="9"/>
    <x v="17"/>
    <s v="SE1_OTHER"/>
    <x v="5"/>
    <x v="232"/>
    <m/>
    <m/>
    <m/>
    <m/>
    <m/>
    <m/>
  </r>
  <r>
    <x v="0"/>
    <x v="0"/>
    <x v="0"/>
    <x v="9"/>
    <x v="17"/>
    <s v="SE1_OTHER"/>
    <x v="10"/>
    <x v="233"/>
    <m/>
    <m/>
    <n v="76.848188731488804"/>
    <n v="7.6848188731488701E-2"/>
    <n v="1.22957101970382E-2"/>
    <n v="1.2295710197038201E-5"/>
  </r>
  <r>
    <x v="0"/>
    <x v="0"/>
    <x v="0"/>
    <x v="9"/>
    <x v="17"/>
    <s v="SE1_OTHER"/>
    <x v="10"/>
    <x v="111"/>
    <m/>
    <m/>
    <n v="24.761019790254402"/>
    <n v="2.4761019790254399E-2"/>
    <n v="3.9617631664407103E-3"/>
    <n v="3.9617631664407099E-6"/>
  </r>
  <r>
    <x v="0"/>
    <x v="0"/>
    <x v="0"/>
    <x v="9"/>
    <x v="18"/>
    <s v="SE2A"/>
    <x v="7"/>
    <x v="122"/>
    <m/>
    <m/>
    <m/>
    <m/>
    <m/>
    <m/>
  </r>
  <r>
    <x v="0"/>
    <x v="0"/>
    <x v="0"/>
    <x v="9"/>
    <x v="18"/>
    <s v="SE2A"/>
    <x v="7"/>
    <x v="123"/>
    <m/>
    <m/>
    <m/>
    <m/>
    <m/>
    <m/>
  </r>
  <r>
    <x v="0"/>
    <x v="0"/>
    <x v="0"/>
    <x v="9"/>
    <x v="18"/>
    <s v="SE2A"/>
    <x v="7"/>
    <x v="124"/>
    <m/>
    <m/>
    <m/>
    <m/>
    <m/>
    <m/>
  </r>
  <r>
    <x v="0"/>
    <x v="0"/>
    <x v="0"/>
    <x v="9"/>
    <x v="18"/>
    <s v="SE2A"/>
    <x v="7"/>
    <x v="125"/>
    <m/>
    <m/>
    <m/>
    <m/>
    <m/>
    <m/>
  </r>
  <r>
    <x v="0"/>
    <x v="0"/>
    <x v="0"/>
    <x v="9"/>
    <x v="18"/>
    <s v="SE2A"/>
    <x v="7"/>
    <x v="126"/>
    <m/>
    <m/>
    <m/>
    <m/>
    <m/>
    <m/>
  </r>
  <r>
    <x v="0"/>
    <x v="0"/>
    <x v="0"/>
    <x v="9"/>
    <x v="18"/>
    <s v="SE2A"/>
    <x v="7"/>
    <x v="127"/>
    <m/>
    <m/>
    <m/>
    <m/>
    <m/>
    <m/>
  </r>
  <r>
    <x v="0"/>
    <x v="0"/>
    <x v="0"/>
    <x v="9"/>
    <x v="18"/>
    <s v="SE2A"/>
    <x v="7"/>
    <x v="128"/>
    <m/>
    <m/>
    <m/>
    <m/>
    <m/>
    <m/>
  </r>
  <r>
    <x v="0"/>
    <x v="0"/>
    <x v="0"/>
    <x v="9"/>
    <x v="18"/>
    <s v="SE2A"/>
    <x v="7"/>
    <x v="129"/>
    <m/>
    <m/>
    <m/>
    <m/>
    <m/>
    <m/>
  </r>
  <r>
    <x v="0"/>
    <x v="0"/>
    <x v="0"/>
    <x v="9"/>
    <x v="18"/>
    <s v="SE2A"/>
    <x v="7"/>
    <x v="130"/>
    <m/>
    <m/>
    <m/>
    <m/>
    <m/>
    <m/>
  </r>
  <r>
    <x v="0"/>
    <x v="0"/>
    <x v="0"/>
    <x v="9"/>
    <x v="18"/>
    <s v="SE2A"/>
    <x v="7"/>
    <x v="209"/>
    <m/>
    <m/>
    <m/>
    <m/>
    <m/>
    <m/>
  </r>
  <r>
    <x v="0"/>
    <x v="0"/>
    <x v="0"/>
    <x v="9"/>
    <x v="18"/>
    <s v="SE2A"/>
    <x v="7"/>
    <x v="46"/>
    <m/>
    <m/>
    <m/>
    <m/>
    <m/>
    <m/>
  </r>
  <r>
    <x v="0"/>
    <x v="0"/>
    <x v="0"/>
    <x v="9"/>
    <x v="18"/>
    <s v="SE2A"/>
    <x v="8"/>
    <x v="47"/>
    <m/>
    <m/>
    <m/>
    <m/>
    <m/>
    <m/>
  </r>
  <r>
    <x v="0"/>
    <x v="0"/>
    <x v="0"/>
    <x v="9"/>
    <x v="18"/>
    <s v="SE2A"/>
    <x v="13"/>
    <x v="131"/>
    <m/>
    <m/>
    <n v="616.763950970378"/>
    <n v="0.61676395097037795"/>
    <n v="9.8682232155260494E-2"/>
    <n v="9.8682232155260498E-5"/>
  </r>
  <r>
    <x v="0"/>
    <x v="0"/>
    <x v="0"/>
    <x v="9"/>
    <x v="18"/>
    <s v="SE2_EL"/>
    <x v="1"/>
    <x v="234"/>
    <m/>
    <m/>
    <n v="1178.43230341193"/>
    <n v="1.1784323034119299"/>
    <n v="3.0216212907998301E-2"/>
    <n v="3.0216212907998299E-5"/>
  </r>
  <r>
    <x v="0"/>
    <x v="0"/>
    <x v="0"/>
    <x v="9"/>
    <x v="18"/>
    <s v="SE2_EL"/>
    <x v="10"/>
    <x v="230"/>
    <m/>
    <m/>
    <n v="207.20181945669799"/>
    <n v="0.20720181945669799"/>
    <n v="3.3152291113071601E-2"/>
    <n v="3.31522911130716E-5"/>
  </r>
  <r>
    <x v="0"/>
    <x v="0"/>
    <x v="0"/>
    <x v="9"/>
    <x v="18"/>
    <s v="SE2_EL"/>
    <x v="10"/>
    <x v="235"/>
    <m/>
    <m/>
    <n v="80.952525394045495"/>
    <n v="8.0952525394045599E-2"/>
    <n v="1.2952404063047301E-2"/>
    <n v="1.2952404063047301E-5"/>
  </r>
  <r>
    <x v="0"/>
    <x v="0"/>
    <x v="0"/>
    <x v="9"/>
    <x v="18"/>
    <s v="SE2_OTHER"/>
    <x v="1"/>
    <x v="234"/>
    <m/>
    <m/>
    <n v="89.324422425847004"/>
    <n v="8.9324422425847094E-2"/>
    <n v="2.29036980579095E-3"/>
    <n v="2.2903698057909498E-6"/>
  </r>
  <r>
    <x v="0"/>
    <x v="0"/>
    <x v="0"/>
    <x v="9"/>
    <x v="18"/>
    <s v="SE2_OTHER"/>
    <x v="4"/>
    <x v="108"/>
    <m/>
    <m/>
    <m/>
    <m/>
    <m/>
    <m/>
  </r>
  <r>
    <x v="0"/>
    <x v="0"/>
    <x v="0"/>
    <x v="9"/>
    <x v="18"/>
    <s v="SE2_OTHER"/>
    <x v="10"/>
    <x v="236"/>
    <m/>
    <m/>
    <n v="147.48806461813999"/>
    <n v="0.14748806461814001"/>
    <n v="2.3598090338902401E-2"/>
    <n v="2.3598090338902402E-5"/>
  </r>
  <r>
    <x v="0"/>
    <x v="0"/>
    <x v="0"/>
    <x v="9"/>
    <x v="18"/>
    <s v="SE2_OTHER"/>
    <x v="10"/>
    <x v="111"/>
    <m/>
    <m/>
    <n v="49.588529928841297"/>
    <n v="4.9588529928841302E-2"/>
    <n v="7.9341647886146099E-3"/>
    <n v="7.9341647886146104E-6"/>
  </r>
  <r>
    <x v="0"/>
    <x v="0"/>
    <x v="0"/>
    <x v="9"/>
    <x v="19"/>
    <s v="SE3A"/>
    <x v="18"/>
    <x v="121"/>
    <m/>
    <m/>
    <m/>
    <m/>
    <m/>
    <m/>
  </r>
  <r>
    <x v="0"/>
    <x v="0"/>
    <x v="0"/>
    <x v="9"/>
    <x v="19"/>
    <s v="SE3A"/>
    <x v="7"/>
    <x v="122"/>
    <m/>
    <m/>
    <m/>
    <m/>
    <m/>
    <m/>
  </r>
  <r>
    <x v="0"/>
    <x v="0"/>
    <x v="0"/>
    <x v="9"/>
    <x v="19"/>
    <s v="SE3A"/>
    <x v="7"/>
    <x v="123"/>
    <m/>
    <m/>
    <m/>
    <m/>
    <m/>
    <m/>
  </r>
  <r>
    <x v="0"/>
    <x v="0"/>
    <x v="0"/>
    <x v="9"/>
    <x v="19"/>
    <s v="SE3A"/>
    <x v="7"/>
    <x v="124"/>
    <m/>
    <m/>
    <m/>
    <m/>
    <m/>
    <m/>
  </r>
  <r>
    <x v="0"/>
    <x v="0"/>
    <x v="0"/>
    <x v="9"/>
    <x v="19"/>
    <s v="SE3A"/>
    <x v="7"/>
    <x v="125"/>
    <m/>
    <m/>
    <m/>
    <m/>
    <m/>
    <m/>
  </r>
  <r>
    <x v="0"/>
    <x v="0"/>
    <x v="0"/>
    <x v="9"/>
    <x v="19"/>
    <s v="SE3A"/>
    <x v="7"/>
    <x v="126"/>
    <m/>
    <m/>
    <m/>
    <m/>
    <m/>
    <m/>
  </r>
  <r>
    <x v="0"/>
    <x v="0"/>
    <x v="0"/>
    <x v="9"/>
    <x v="19"/>
    <s v="SE3A"/>
    <x v="7"/>
    <x v="127"/>
    <m/>
    <m/>
    <m/>
    <m/>
    <m/>
    <m/>
  </r>
  <r>
    <x v="0"/>
    <x v="0"/>
    <x v="0"/>
    <x v="9"/>
    <x v="19"/>
    <s v="SE3A"/>
    <x v="7"/>
    <x v="128"/>
    <m/>
    <m/>
    <m/>
    <m/>
    <m/>
    <m/>
  </r>
  <r>
    <x v="0"/>
    <x v="0"/>
    <x v="0"/>
    <x v="9"/>
    <x v="19"/>
    <s v="SE3A"/>
    <x v="7"/>
    <x v="129"/>
    <m/>
    <m/>
    <m/>
    <m/>
    <m/>
    <m/>
  </r>
  <r>
    <x v="0"/>
    <x v="0"/>
    <x v="0"/>
    <x v="9"/>
    <x v="19"/>
    <s v="SE3A"/>
    <x v="7"/>
    <x v="130"/>
    <m/>
    <m/>
    <m/>
    <m/>
    <m/>
    <m/>
  </r>
  <r>
    <x v="0"/>
    <x v="0"/>
    <x v="0"/>
    <x v="9"/>
    <x v="19"/>
    <s v="SE3A"/>
    <x v="7"/>
    <x v="46"/>
    <m/>
    <m/>
    <m/>
    <m/>
    <m/>
    <m/>
  </r>
  <r>
    <x v="0"/>
    <x v="0"/>
    <x v="0"/>
    <x v="9"/>
    <x v="19"/>
    <s v="SE3A"/>
    <x v="8"/>
    <x v="47"/>
    <m/>
    <m/>
    <m/>
    <m/>
    <m/>
    <m/>
  </r>
  <r>
    <x v="0"/>
    <x v="0"/>
    <x v="0"/>
    <x v="9"/>
    <x v="19"/>
    <s v="SE3A"/>
    <x v="13"/>
    <x v="131"/>
    <m/>
    <m/>
    <n v="1098.0275232234301"/>
    <n v="1.09802752322343"/>
    <n v="0.175684403715749"/>
    <n v="1.7568440371574899E-4"/>
  </r>
  <r>
    <x v="0"/>
    <x v="0"/>
    <x v="0"/>
    <x v="9"/>
    <x v="19"/>
    <s v="SE3_EL"/>
    <x v="0"/>
    <x v="237"/>
    <n v="48.769214021810598"/>
    <n v="4.87692140218106E-2"/>
    <n v="368.08899377983897"/>
    <n v="0.368088993779839"/>
    <n v="1.5465924108396601E-3"/>
    <n v="1.5465924108396601E-6"/>
  </r>
  <r>
    <x v="0"/>
    <x v="0"/>
    <x v="0"/>
    <x v="9"/>
    <x v="19"/>
    <s v="SE3_EL"/>
    <x v="1"/>
    <x v="234"/>
    <m/>
    <m/>
    <n v="1305.41419483709"/>
    <n v="1.3054141948370901"/>
    <n v="3.3472158841976699E-2"/>
    <n v="3.3472158841976702E-5"/>
  </r>
  <r>
    <x v="0"/>
    <x v="0"/>
    <x v="0"/>
    <x v="9"/>
    <x v="19"/>
    <s v="SE3_EL"/>
    <x v="1"/>
    <x v="238"/>
    <m/>
    <m/>
    <n v="1183.5935854417801"/>
    <n v="1.1835935854417801"/>
    <n v="3.0348553472866201E-2"/>
    <n v="3.03485534728662E-5"/>
  </r>
  <r>
    <x v="0"/>
    <x v="0"/>
    <x v="0"/>
    <x v="9"/>
    <x v="19"/>
    <s v="SE3_EL"/>
    <x v="1"/>
    <x v="208"/>
    <m/>
    <m/>
    <n v="1029.09787903457"/>
    <n v="1.02909787903457"/>
    <n v="2.63871251034506E-2"/>
    <n v="2.6387125103450599E-5"/>
  </r>
  <r>
    <x v="0"/>
    <x v="0"/>
    <x v="0"/>
    <x v="9"/>
    <x v="19"/>
    <s v="SE3_EL"/>
    <x v="2"/>
    <x v="231"/>
    <m/>
    <m/>
    <m/>
    <m/>
    <n v="2.7296746764601001E-4"/>
    <n v="2.7296746764601002E-7"/>
  </r>
  <r>
    <x v="0"/>
    <x v="0"/>
    <x v="0"/>
    <x v="9"/>
    <x v="19"/>
    <s v="SE3_EL"/>
    <x v="22"/>
    <x v="239"/>
    <m/>
    <m/>
    <m/>
    <m/>
    <m/>
    <m/>
  </r>
  <r>
    <x v="0"/>
    <x v="0"/>
    <x v="0"/>
    <x v="9"/>
    <x v="19"/>
    <s v="SE3_EL"/>
    <x v="22"/>
    <x v="240"/>
    <m/>
    <m/>
    <m/>
    <m/>
    <m/>
    <m/>
  </r>
  <r>
    <x v="0"/>
    <x v="0"/>
    <x v="0"/>
    <x v="9"/>
    <x v="19"/>
    <s v="SE3_EL"/>
    <x v="4"/>
    <x v="108"/>
    <m/>
    <m/>
    <m/>
    <m/>
    <m/>
    <m/>
  </r>
  <r>
    <x v="0"/>
    <x v="0"/>
    <x v="0"/>
    <x v="9"/>
    <x v="19"/>
    <s v="SE3_EL"/>
    <x v="10"/>
    <x v="230"/>
    <m/>
    <m/>
    <n v="242.26524063047299"/>
    <n v="0.242265240630473"/>
    <n v="3.8762438500875698E-2"/>
    <n v="3.8762438500875699E-5"/>
  </r>
  <r>
    <x v="0"/>
    <x v="0"/>
    <x v="0"/>
    <x v="9"/>
    <x v="19"/>
    <s v="SE3_EL"/>
    <x v="10"/>
    <x v="241"/>
    <m/>
    <m/>
    <n v="166.63505629221899"/>
    <n v="0.166635056292219"/>
    <n v="2.6661609006754999E-2"/>
    <n v="2.6661609006755E-5"/>
  </r>
  <r>
    <x v="0"/>
    <x v="0"/>
    <x v="0"/>
    <x v="9"/>
    <x v="19"/>
    <s v="SE3_EL"/>
    <x v="10"/>
    <x v="111"/>
    <m/>
    <m/>
    <n v="52.9610701069331"/>
    <n v="5.29610701069331E-2"/>
    <n v="8.4737712171093008E-3"/>
    <n v="8.4737712171093005E-6"/>
  </r>
  <r>
    <x v="0"/>
    <x v="0"/>
    <x v="0"/>
    <x v="9"/>
    <x v="19"/>
    <s v="SE3_GOT"/>
    <x v="1"/>
    <x v="234"/>
    <m/>
    <m/>
    <n v="1146.6349439999999"/>
    <n v="1.1466349440000001"/>
    <n v="2.9400895999999999E-2"/>
    <n v="2.9400896000000001E-5"/>
  </r>
  <r>
    <x v="0"/>
    <x v="0"/>
    <x v="0"/>
    <x v="9"/>
    <x v="19"/>
    <s v="SE3_GOT"/>
    <x v="2"/>
    <x v="242"/>
    <m/>
    <m/>
    <m/>
    <m/>
    <n v="1.87852281081081E-2"/>
    <n v="1.87852281081081E-5"/>
  </r>
  <r>
    <x v="0"/>
    <x v="0"/>
    <x v="0"/>
    <x v="9"/>
    <x v="19"/>
    <s v="SE3_GOT"/>
    <x v="10"/>
    <x v="243"/>
    <m/>
    <m/>
    <n v="56.642125454073998"/>
    <n v="5.6642125454074002E-2"/>
    <n v="9.0627400726518304E-3"/>
    <n v="9.0627400726518301E-6"/>
  </r>
  <r>
    <x v="0"/>
    <x v="0"/>
    <x v="0"/>
    <x v="9"/>
    <x v="19"/>
    <s v="SE3_HP"/>
    <x v="1"/>
    <x v="234"/>
    <m/>
    <m/>
    <n v="936.76629821545305"/>
    <n v="0.93676629821545399"/>
    <n v="2.4019648672191099E-2"/>
    <n v="2.4019648672191101E-5"/>
  </r>
  <r>
    <x v="0"/>
    <x v="0"/>
    <x v="0"/>
    <x v="9"/>
    <x v="19"/>
    <s v="SE3_HP"/>
    <x v="4"/>
    <x v="108"/>
    <m/>
    <m/>
    <m/>
    <m/>
    <m/>
    <m/>
  </r>
  <r>
    <x v="0"/>
    <x v="0"/>
    <x v="0"/>
    <x v="9"/>
    <x v="19"/>
    <s v="SE3_HP"/>
    <x v="10"/>
    <x v="236"/>
    <m/>
    <m/>
    <n v="83.914203152364294"/>
    <n v="8.3914203152364295E-2"/>
    <n v="1.3426272504378301E-2"/>
    <n v="1.34262725043783E-5"/>
  </r>
  <r>
    <x v="0"/>
    <x v="0"/>
    <x v="0"/>
    <x v="9"/>
    <x v="19"/>
    <s v="SE3_HP"/>
    <x v="10"/>
    <x v="244"/>
    <m/>
    <m/>
    <n v="387.89139973636799"/>
    <n v="0.38789139973636699"/>
    <n v="6.2062623957818801E-2"/>
    <n v="6.2062623957818806E-5"/>
  </r>
  <r>
    <x v="0"/>
    <x v="0"/>
    <x v="0"/>
    <x v="9"/>
    <x v="19"/>
    <s v="SE3_HP"/>
    <x v="10"/>
    <x v="111"/>
    <m/>
    <m/>
    <n v="16.140516604017701"/>
    <n v="1.6140516604017701E-2"/>
    <n v="2.58248265664283E-3"/>
    <n v="2.5824826566428298E-6"/>
  </r>
  <r>
    <x v="0"/>
    <x v="0"/>
    <x v="0"/>
    <x v="9"/>
    <x v="19"/>
    <s v="SE3_OTHER"/>
    <x v="1"/>
    <x v="234"/>
    <m/>
    <m/>
    <n v="816.69515103259596"/>
    <n v="0.81669515103259605"/>
    <n v="2.09409013085281E-2"/>
    <n v="2.0940901308528099E-5"/>
  </r>
  <r>
    <x v="0"/>
    <x v="0"/>
    <x v="0"/>
    <x v="9"/>
    <x v="19"/>
    <s v="SE3_OTHER"/>
    <x v="1"/>
    <x v="208"/>
    <m/>
    <m/>
    <n v="688.17037409994305"/>
    <n v="0.68817037409994297"/>
    <n v="1.76453942076908E-2"/>
    <n v="1.7645394207690801E-5"/>
  </r>
  <r>
    <x v="0"/>
    <x v="0"/>
    <x v="0"/>
    <x v="9"/>
    <x v="19"/>
    <s v="SE3_OTHER"/>
    <x v="22"/>
    <x v="245"/>
    <m/>
    <m/>
    <m/>
    <m/>
    <m/>
    <m/>
  </r>
  <r>
    <x v="0"/>
    <x v="0"/>
    <x v="0"/>
    <x v="9"/>
    <x v="19"/>
    <s v="SE3_OTHER"/>
    <x v="4"/>
    <x v="108"/>
    <m/>
    <m/>
    <m/>
    <m/>
    <m/>
    <m/>
  </r>
  <r>
    <x v="0"/>
    <x v="0"/>
    <x v="0"/>
    <x v="9"/>
    <x v="19"/>
    <s v="SE3_OTHER"/>
    <x v="5"/>
    <x v="246"/>
    <m/>
    <m/>
    <m/>
    <m/>
    <m/>
    <m/>
  </r>
  <r>
    <x v="0"/>
    <x v="0"/>
    <x v="0"/>
    <x v="9"/>
    <x v="19"/>
    <s v="SE3_OTHER"/>
    <x v="10"/>
    <x v="230"/>
    <m/>
    <m/>
    <n v="669.06855007486899"/>
    <n v="0.66906855007486898"/>
    <n v="0.107050968011979"/>
    <n v="1.0705096801197901E-4"/>
  </r>
  <r>
    <x v="0"/>
    <x v="0"/>
    <x v="0"/>
    <x v="9"/>
    <x v="19"/>
    <s v="SE3_OTHER"/>
    <x v="10"/>
    <x v="111"/>
    <m/>
    <m/>
    <n v="210.779763645483"/>
    <n v="0.21077976364548301"/>
    <n v="3.3724762183277197E-2"/>
    <n v="3.3724762183277203E-5"/>
  </r>
  <r>
    <x v="0"/>
    <x v="0"/>
    <x v="0"/>
    <x v="9"/>
    <x v="19"/>
    <s v="SE3_STO"/>
    <x v="0"/>
    <x v="247"/>
    <n v="951.23078597819006"/>
    <n v="0.95123078597819"/>
    <n v="7179.4797165795799"/>
    <n v="7.1794797165795696"/>
    <n v="3.01658811620991E-2"/>
    <n v="3.0165881162099101E-5"/>
  </r>
  <r>
    <x v="0"/>
    <x v="0"/>
    <x v="0"/>
    <x v="9"/>
    <x v="19"/>
    <s v="SE3_STO"/>
    <x v="1"/>
    <x v="248"/>
    <m/>
    <m/>
    <n v="927.56519779809503"/>
    <n v="0.92756519779809499"/>
    <n v="2.3783723020464002E-2"/>
    <n v="2.3783723020464001E-5"/>
  </r>
  <r>
    <x v="0"/>
    <x v="0"/>
    <x v="0"/>
    <x v="9"/>
    <x v="19"/>
    <s v="SE3_STO"/>
    <x v="1"/>
    <x v="208"/>
    <m/>
    <m/>
    <n v="657.90083138426598"/>
    <n v="0.65790083138426503"/>
    <n v="1.6869252086776001E-2"/>
    <n v="1.6869252086776001E-5"/>
  </r>
  <r>
    <x v="0"/>
    <x v="0"/>
    <x v="0"/>
    <x v="9"/>
    <x v="19"/>
    <s v="SE3_STO"/>
    <x v="9"/>
    <x v="249"/>
    <m/>
    <m/>
    <m/>
    <m/>
    <m/>
    <m/>
  </r>
  <r>
    <x v="0"/>
    <x v="0"/>
    <x v="0"/>
    <x v="9"/>
    <x v="19"/>
    <s v="SE3_STO"/>
    <x v="10"/>
    <x v="233"/>
    <m/>
    <m/>
    <n v="264.448178870123"/>
    <n v="0.26444817887012301"/>
    <n v="4.23117086192197E-2"/>
    <n v="4.2311708619219701E-5"/>
  </r>
  <r>
    <x v="0"/>
    <x v="0"/>
    <x v="0"/>
    <x v="9"/>
    <x v="19"/>
    <s v="SE3_STO"/>
    <x v="10"/>
    <x v="250"/>
    <m/>
    <m/>
    <n v="145.832411932984"/>
    <n v="0.14583241193298399"/>
    <n v="2.3333185909277399E-2"/>
    <n v="2.33331859092775E-5"/>
  </r>
  <r>
    <x v="0"/>
    <x v="0"/>
    <x v="0"/>
    <x v="9"/>
    <x v="20"/>
    <s v="SE4A"/>
    <x v="7"/>
    <x v="122"/>
    <m/>
    <m/>
    <m/>
    <m/>
    <m/>
    <m/>
  </r>
  <r>
    <x v="0"/>
    <x v="0"/>
    <x v="0"/>
    <x v="9"/>
    <x v="20"/>
    <s v="SE4A"/>
    <x v="7"/>
    <x v="123"/>
    <m/>
    <m/>
    <m/>
    <m/>
    <m/>
    <m/>
  </r>
  <r>
    <x v="0"/>
    <x v="0"/>
    <x v="0"/>
    <x v="9"/>
    <x v="20"/>
    <s v="SE4A"/>
    <x v="7"/>
    <x v="124"/>
    <m/>
    <m/>
    <m/>
    <m/>
    <m/>
    <m/>
  </r>
  <r>
    <x v="0"/>
    <x v="0"/>
    <x v="0"/>
    <x v="9"/>
    <x v="20"/>
    <s v="SE4A"/>
    <x v="7"/>
    <x v="125"/>
    <m/>
    <m/>
    <m/>
    <m/>
    <m/>
    <m/>
  </r>
  <r>
    <x v="0"/>
    <x v="0"/>
    <x v="0"/>
    <x v="9"/>
    <x v="20"/>
    <s v="SE4A"/>
    <x v="7"/>
    <x v="126"/>
    <m/>
    <m/>
    <m/>
    <m/>
    <m/>
    <m/>
  </r>
  <r>
    <x v="0"/>
    <x v="0"/>
    <x v="0"/>
    <x v="9"/>
    <x v="20"/>
    <s v="SE4A"/>
    <x v="7"/>
    <x v="127"/>
    <m/>
    <m/>
    <m/>
    <m/>
    <m/>
    <m/>
  </r>
  <r>
    <x v="0"/>
    <x v="0"/>
    <x v="0"/>
    <x v="9"/>
    <x v="20"/>
    <s v="SE4A"/>
    <x v="7"/>
    <x v="128"/>
    <m/>
    <m/>
    <m/>
    <m/>
    <m/>
    <m/>
  </r>
  <r>
    <x v="0"/>
    <x v="0"/>
    <x v="0"/>
    <x v="9"/>
    <x v="20"/>
    <s v="SE4A"/>
    <x v="7"/>
    <x v="129"/>
    <m/>
    <m/>
    <m/>
    <m/>
    <m/>
    <m/>
  </r>
  <r>
    <x v="0"/>
    <x v="0"/>
    <x v="0"/>
    <x v="9"/>
    <x v="20"/>
    <s v="SE4A"/>
    <x v="7"/>
    <x v="130"/>
    <m/>
    <m/>
    <m/>
    <m/>
    <m/>
    <m/>
  </r>
  <r>
    <x v="0"/>
    <x v="0"/>
    <x v="0"/>
    <x v="9"/>
    <x v="20"/>
    <s v="SE4A"/>
    <x v="7"/>
    <x v="251"/>
    <m/>
    <m/>
    <m/>
    <m/>
    <m/>
    <m/>
  </r>
  <r>
    <x v="0"/>
    <x v="0"/>
    <x v="0"/>
    <x v="9"/>
    <x v="20"/>
    <s v="SE4A"/>
    <x v="7"/>
    <x v="46"/>
    <m/>
    <m/>
    <m/>
    <m/>
    <m/>
    <m/>
  </r>
  <r>
    <x v="0"/>
    <x v="0"/>
    <x v="0"/>
    <x v="9"/>
    <x v="20"/>
    <s v="SE4A"/>
    <x v="8"/>
    <x v="47"/>
    <m/>
    <m/>
    <m/>
    <m/>
    <m/>
    <m/>
  </r>
  <r>
    <x v="0"/>
    <x v="0"/>
    <x v="0"/>
    <x v="9"/>
    <x v="20"/>
    <s v="SE4A"/>
    <x v="13"/>
    <x v="131"/>
    <m/>
    <m/>
    <n v="719.308296220633"/>
    <n v="0.71930829622063297"/>
    <n v="0.11508932739530101"/>
    <n v="1.15089327395301E-4"/>
  </r>
  <r>
    <x v="0"/>
    <x v="0"/>
    <x v="0"/>
    <x v="9"/>
    <x v="20"/>
    <s v="SE4_EL"/>
    <x v="2"/>
    <x v="98"/>
    <m/>
    <m/>
    <m/>
    <m/>
    <n v="3.7392257787915401E-5"/>
    <n v="3.7392257787915402E-8"/>
  </r>
  <r>
    <x v="0"/>
    <x v="0"/>
    <x v="0"/>
    <x v="9"/>
    <x v="20"/>
    <s v="SE4_EL"/>
    <x v="22"/>
    <x v="252"/>
    <m/>
    <m/>
    <m/>
    <m/>
    <m/>
    <m/>
  </r>
  <r>
    <x v="0"/>
    <x v="0"/>
    <x v="0"/>
    <x v="9"/>
    <x v="20"/>
    <s v="SE4_EL"/>
    <x v="22"/>
    <x v="253"/>
    <m/>
    <m/>
    <m/>
    <m/>
    <m/>
    <m/>
  </r>
  <r>
    <x v="0"/>
    <x v="0"/>
    <x v="0"/>
    <x v="9"/>
    <x v="20"/>
    <s v="SE4_EL"/>
    <x v="22"/>
    <x v="240"/>
    <m/>
    <m/>
    <m/>
    <m/>
    <m/>
    <m/>
  </r>
  <r>
    <x v="0"/>
    <x v="0"/>
    <x v="0"/>
    <x v="9"/>
    <x v="20"/>
    <s v="SE4_EL"/>
    <x v="3"/>
    <x v="254"/>
    <m/>
    <m/>
    <n v="2.3188235294117701"/>
    <n v="2.3188235294117599E-3"/>
    <n v="3.7101176470588198E-4"/>
    <n v="3.7101176470588198E-7"/>
  </r>
  <r>
    <x v="0"/>
    <x v="0"/>
    <x v="0"/>
    <x v="9"/>
    <x v="20"/>
    <s v="SE4_EL"/>
    <x v="4"/>
    <x v="108"/>
    <m/>
    <m/>
    <m/>
    <m/>
    <m/>
    <m/>
  </r>
  <r>
    <x v="0"/>
    <x v="0"/>
    <x v="0"/>
    <x v="9"/>
    <x v="20"/>
    <s v="SE4_EL"/>
    <x v="10"/>
    <x v="111"/>
    <m/>
    <m/>
    <n v="51.126920492840199"/>
    <n v="5.1126920492840199E-2"/>
    <n v="8.1803072788544304E-3"/>
    <n v="8.1803072788544299E-6"/>
  </r>
  <r>
    <x v="0"/>
    <x v="0"/>
    <x v="0"/>
    <x v="9"/>
    <x v="20"/>
    <s v="SE4_HP"/>
    <x v="1"/>
    <x v="255"/>
    <m/>
    <m/>
    <n v="254.57060571428599"/>
    <n v="0.25457060571428602"/>
    <n v="6.5274514285714198E-3"/>
    <n v="6.5274514285714298E-6"/>
  </r>
  <r>
    <x v="0"/>
    <x v="0"/>
    <x v="0"/>
    <x v="9"/>
    <x v="20"/>
    <s v="SE4_HP"/>
    <x v="2"/>
    <x v="112"/>
    <m/>
    <m/>
    <m/>
    <m/>
    <n v="3.8703272727272698E-3"/>
    <n v="3.8703272727272801E-6"/>
  </r>
  <r>
    <x v="0"/>
    <x v="0"/>
    <x v="0"/>
    <x v="9"/>
    <x v="20"/>
    <s v="SE4_HP"/>
    <x v="9"/>
    <x v="114"/>
    <m/>
    <m/>
    <m/>
    <m/>
    <m/>
    <m/>
  </r>
  <r>
    <x v="0"/>
    <x v="0"/>
    <x v="0"/>
    <x v="9"/>
    <x v="20"/>
    <s v="SE4_MAL"/>
    <x v="1"/>
    <x v="234"/>
    <m/>
    <m/>
    <n v="715.40823006325297"/>
    <n v="0.71540823006325205"/>
    <n v="1.8343800770852601E-2"/>
    <n v="1.8343800770852598E-5"/>
  </r>
  <r>
    <x v="0"/>
    <x v="0"/>
    <x v="0"/>
    <x v="9"/>
    <x v="20"/>
    <s v="SE4_MAL"/>
    <x v="1"/>
    <x v="208"/>
    <m/>
    <m/>
    <n v="86.131018691416401"/>
    <n v="8.61310186914164E-2"/>
    <n v="2.2084876587542702E-3"/>
    <n v="2.2084876587542702E-6"/>
  </r>
  <r>
    <x v="0"/>
    <x v="0"/>
    <x v="0"/>
    <x v="9"/>
    <x v="20"/>
    <s v="SE4_MAL"/>
    <x v="2"/>
    <x v="256"/>
    <m/>
    <m/>
    <m/>
    <m/>
    <n v="6.7520587117493999E-3"/>
    <n v="6.7520587117493996E-6"/>
  </r>
  <r>
    <x v="0"/>
    <x v="0"/>
    <x v="0"/>
    <x v="9"/>
    <x v="20"/>
    <s v="SE4_MAL"/>
    <x v="2"/>
    <x v="257"/>
    <m/>
    <m/>
    <m/>
    <m/>
    <n v="2.5228799999999999E-2"/>
    <n v="2.5228800000000001E-5"/>
  </r>
  <r>
    <x v="0"/>
    <x v="0"/>
    <x v="0"/>
    <x v="9"/>
    <x v="20"/>
    <s v="SE4_MAL"/>
    <x v="4"/>
    <x v="108"/>
    <m/>
    <m/>
    <m/>
    <m/>
    <m/>
    <m/>
  </r>
  <r>
    <x v="0"/>
    <x v="0"/>
    <x v="0"/>
    <x v="9"/>
    <x v="20"/>
    <s v="SE4_OTHER"/>
    <x v="1"/>
    <x v="258"/>
    <m/>
    <m/>
    <n v="395.094424035131"/>
    <n v="0.39509442403513101"/>
    <n v="1.0130626257311001E-2"/>
    <n v="1.0130626257311E-5"/>
  </r>
  <r>
    <x v="0"/>
    <x v="0"/>
    <x v="0"/>
    <x v="9"/>
    <x v="20"/>
    <s v="SE4_OTHER"/>
    <x v="1"/>
    <x v="208"/>
    <m/>
    <m/>
    <n v="76.152021232728799"/>
    <n v="7.6152021232728795E-2"/>
    <n v="1.95261592904433E-3"/>
    <n v="1.9526159290443301E-6"/>
  </r>
  <r>
    <x v="0"/>
    <x v="0"/>
    <x v="0"/>
    <x v="9"/>
    <x v="20"/>
    <s v="SE4_OTHER"/>
    <x v="4"/>
    <x v="108"/>
    <m/>
    <m/>
    <m/>
    <m/>
    <m/>
    <m/>
  </r>
  <r>
    <x v="0"/>
    <x v="0"/>
    <x v="0"/>
    <x v="9"/>
    <x v="20"/>
    <s v="SE4_OTHER"/>
    <x v="5"/>
    <x v="94"/>
    <m/>
    <m/>
    <m/>
    <m/>
    <m/>
    <m/>
  </r>
  <r>
    <x v="0"/>
    <x v="0"/>
    <x v="0"/>
    <x v="9"/>
    <x v="20"/>
    <s v="SE4_OTHER"/>
    <x v="5"/>
    <x v="232"/>
    <m/>
    <m/>
    <m/>
    <m/>
    <m/>
    <m/>
  </r>
  <r>
    <x v="0"/>
    <x v="0"/>
    <x v="0"/>
    <x v="9"/>
    <x v="20"/>
    <s v="SE4_OTHER"/>
    <x v="10"/>
    <x v="236"/>
    <m/>
    <m/>
    <n v="236.74993849386999"/>
    <n v="0.23674993849387099"/>
    <n v="3.78799901590193E-2"/>
    <n v="3.7879990159019298E-5"/>
  </r>
  <r>
    <x v="0"/>
    <x v="0"/>
    <x v="0"/>
    <x v="9"/>
    <x v="20"/>
    <s v="SE4_OTHER"/>
    <x v="10"/>
    <x v="111"/>
    <m/>
    <m/>
    <n v="142.68709991195101"/>
    <n v="0.142687099911951"/>
    <n v="2.2829935985912101E-2"/>
    <n v="2.2829935985912099E-5"/>
  </r>
  <r>
    <x v="0"/>
    <x v="0"/>
    <x v="0"/>
    <x v="10"/>
    <x v="21"/>
    <s v="UK_A"/>
    <x v="11"/>
    <x v="259"/>
    <m/>
    <m/>
    <n v="320.02839995241499"/>
    <n v="0.320028399952415"/>
    <n v="5.12045439923864E-2"/>
    <n v="5.1204543992386401E-5"/>
  </r>
  <r>
    <x v="0"/>
    <x v="0"/>
    <x v="0"/>
    <x v="10"/>
    <x v="21"/>
    <s v="UK_A"/>
    <x v="0"/>
    <x v="260"/>
    <n v="1000"/>
    <n v="1"/>
    <n v="7547.56871035941"/>
    <n v="7.5475687103594096"/>
    <n v="3.1712473572938701E-2"/>
    <n v="3.1712473572938701E-5"/>
  </r>
  <r>
    <x v="0"/>
    <x v="0"/>
    <x v="0"/>
    <x v="10"/>
    <x v="21"/>
    <s v="UK_A"/>
    <x v="1"/>
    <x v="202"/>
    <m/>
    <m/>
    <n v="-979553.85216000001"/>
    <n v="-979.55385216000002"/>
    <n v="0.25418015999999999"/>
    <n v="2.5418016000000002E-4"/>
  </r>
  <r>
    <x v="0"/>
    <x v="0"/>
    <x v="0"/>
    <x v="10"/>
    <x v="21"/>
    <s v="UK_A"/>
    <x v="2"/>
    <x v="261"/>
    <m/>
    <m/>
    <m/>
    <m/>
    <n v="0.56107692981621204"/>
    <n v="5.6107692981621304E-4"/>
  </r>
  <r>
    <x v="0"/>
    <x v="0"/>
    <x v="0"/>
    <x v="10"/>
    <x v="21"/>
    <s v="UK_A"/>
    <x v="2"/>
    <x v="262"/>
    <m/>
    <m/>
    <m/>
    <m/>
    <n v="0.36265174634032499"/>
    <n v="3.6265174634032398E-4"/>
  </r>
  <r>
    <x v="0"/>
    <x v="0"/>
    <x v="0"/>
    <x v="10"/>
    <x v="21"/>
    <s v="UK_A"/>
    <x v="2"/>
    <x v="263"/>
    <m/>
    <m/>
    <m/>
    <m/>
    <n v="0.51020742857142898"/>
    <n v="5.1020742857142904E-4"/>
  </r>
  <r>
    <x v="0"/>
    <x v="0"/>
    <x v="0"/>
    <x v="10"/>
    <x v="21"/>
    <s v="UK_A"/>
    <x v="2"/>
    <x v="264"/>
    <m/>
    <m/>
    <m/>
    <m/>
    <n v="2.3795345454545501E-2"/>
    <n v="2.3795345454545502E-5"/>
  </r>
  <r>
    <x v="0"/>
    <x v="0"/>
    <x v="0"/>
    <x v="10"/>
    <x v="21"/>
    <s v="UK_A"/>
    <x v="2"/>
    <x v="148"/>
    <m/>
    <m/>
    <m/>
    <m/>
    <n v="1.7256817714823E-2"/>
    <n v="1.7256817714823E-5"/>
  </r>
  <r>
    <x v="0"/>
    <x v="0"/>
    <x v="0"/>
    <x v="10"/>
    <x v="21"/>
    <s v="UK_A"/>
    <x v="2"/>
    <x v="265"/>
    <m/>
    <m/>
    <m/>
    <m/>
    <n v="3.5239074303176299E-2"/>
    <n v="3.5239074303176302E-5"/>
  </r>
  <r>
    <x v="0"/>
    <x v="0"/>
    <x v="0"/>
    <x v="10"/>
    <x v="21"/>
    <s v="UK_A"/>
    <x v="2"/>
    <x v="266"/>
    <m/>
    <m/>
    <m/>
    <m/>
    <n v="1.1457044334975399E-2"/>
    <n v="1.1457044334975401E-5"/>
  </r>
  <r>
    <x v="0"/>
    <x v="0"/>
    <x v="0"/>
    <x v="10"/>
    <x v="21"/>
    <s v="UK_A"/>
    <x v="18"/>
    <x v="161"/>
    <m/>
    <m/>
    <m/>
    <m/>
    <m/>
    <m/>
  </r>
  <r>
    <x v="0"/>
    <x v="0"/>
    <x v="0"/>
    <x v="10"/>
    <x v="21"/>
    <s v="UK_A"/>
    <x v="6"/>
    <x v="45"/>
    <m/>
    <m/>
    <m/>
    <m/>
    <m/>
    <m/>
  </r>
  <r>
    <x v="0"/>
    <x v="0"/>
    <x v="0"/>
    <x v="10"/>
    <x v="21"/>
    <s v="UK_A"/>
    <x v="7"/>
    <x v="200"/>
    <m/>
    <m/>
    <m/>
    <m/>
    <m/>
    <m/>
  </r>
  <r>
    <x v="0"/>
    <x v="0"/>
    <x v="0"/>
    <x v="10"/>
    <x v="21"/>
    <s v="UK_A"/>
    <x v="7"/>
    <x v="46"/>
    <m/>
    <m/>
    <m/>
    <m/>
    <m/>
    <m/>
  </r>
  <r>
    <x v="0"/>
    <x v="0"/>
    <x v="0"/>
    <x v="10"/>
    <x v="21"/>
    <s v="UK_A"/>
    <x v="8"/>
    <x v="47"/>
    <m/>
    <m/>
    <m/>
    <m/>
    <m/>
    <m/>
  </r>
  <r>
    <x v="0"/>
    <x v="0"/>
    <x v="0"/>
    <x v="10"/>
    <x v="21"/>
    <s v="UK_Offshore"/>
    <x v="8"/>
    <x v="48"/>
    <m/>
    <m/>
    <m/>
    <m/>
    <m/>
    <m/>
  </r>
</pivotCacheRecords>
</file>

<file path=xl/pivotCache/pivotCacheRecords4.xml><?xml version="1.0" encoding="utf-8"?>
<pivotCacheRecords xmlns="http://schemas.openxmlformats.org/spreadsheetml/2006/main" xmlns:r="http://schemas.openxmlformats.org/officeDocument/2006/relationships" count="615">
  <r>
    <x v="0"/>
    <x v="0"/>
    <x v="0"/>
    <x v="0"/>
    <x v="0"/>
    <s v="DK1_Large"/>
    <x v="0"/>
    <s v="GNR_ST_COAL_EXT_E-47"/>
    <n v="0.49268934791020003"/>
    <n v="1.77368165247672"/>
  </r>
  <r>
    <x v="0"/>
    <x v="0"/>
    <x v="0"/>
    <x v="0"/>
    <x v="0"/>
    <s v="DK1_Large"/>
    <x v="1"/>
    <s v="GNR_BO_MSW_E-105"/>
    <n v="0.31702857142857099"/>
    <n v="1.1413028571428601"/>
  </r>
  <r>
    <x v="0"/>
    <x v="0"/>
    <x v="0"/>
    <x v="0"/>
    <x v="0"/>
    <s v="DK1_Large"/>
    <x v="1"/>
    <s v="GNR_ST_MSW_BP_E-18"/>
    <n v="0.13869999999999999"/>
    <n v="0.49932000000000099"/>
  </r>
  <r>
    <x v="0"/>
    <x v="0"/>
    <x v="0"/>
    <x v="0"/>
    <x v="0"/>
    <s v="DK1_Large"/>
    <x v="1"/>
    <s v="GNR_ST_MSW_BP_E-19"/>
    <n v="0.41494736842105301"/>
    <n v="1.4938105263157899"/>
  </r>
  <r>
    <x v="0"/>
    <x v="0"/>
    <x v="0"/>
    <x v="0"/>
    <x v="0"/>
    <s v="DK1_Large"/>
    <x v="1"/>
    <s v="GNR_ST_MSW_BP_E-22"/>
    <n v="1.2343636363636401"/>
    <n v="4.4437090909090999"/>
  </r>
  <r>
    <x v="0"/>
    <x v="0"/>
    <x v="0"/>
    <x v="0"/>
    <x v="0"/>
    <s v="DK1_Large"/>
    <x v="1"/>
    <s v="GNR_ST_MSW_BP_E-23"/>
    <n v="1.37341565217391"/>
    <n v="4.9442963478260902"/>
  </r>
  <r>
    <x v="0"/>
    <x v="0"/>
    <x v="0"/>
    <x v="0"/>
    <x v="0"/>
    <s v="DK1_Large"/>
    <x v="1"/>
    <s v="GNR_ST_MSW_BP_E-27"/>
    <n v="0.58075555555555702"/>
    <n v="2.0907200000000099"/>
  </r>
  <r>
    <x v="0"/>
    <x v="0"/>
    <x v="0"/>
    <x v="0"/>
    <x v="0"/>
    <s v="DK1_Large"/>
    <x v="2"/>
    <s v="GNR_ENG_NGAS_BP_E-34"/>
    <n v="2.69756470588235E-2"/>
    <n v="9.7112329411764703E-2"/>
  </r>
  <r>
    <x v="0"/>
    <x v="0"/>
    <x v="0"/>
    <x v="0"/>
    <x v="0"/>
    <s v="DK1_Large"/>
    <x v="2"/>
    <s v="GNR_ENG_NGAS_BP_E-38"/>
    <n v="6.7498105263157901E-2"/>
    <n v="0.24299317894736899"/>
  </r>
  <r>
    <x v="0"/>
    <x v="0"/>
    <x v="0"/>
    <x v="0"/>
    <x v="0"/>
    <s v="DK1_Large"/>
    <x v="2"/>
    <s v="GNR_ENG_NGAS_BP_E-39"/>
    <n v="0.30233230769230801"/>
    <n v="1.08839630769231"/>
  </r>
  <r>
    <x v="0"/>
    <x v="0"/>
    <x v="0"/>
    <x v="0"/>
    <x v="0"/>
    <s v="DK1_Large"/>
    <x v="2"/>
    <s v="GNR_ENG_NGAS_BP_E-40"/>
    <n v="0.11409900000000001"/>
    <n v="0.41075640000000002"/>
  </r>
  <r>
    <x v="0"/>
    <x v="0"/>
    <x v="0"/>
    <x v="0"/>
    <x v="0"/>
    <s v="DK1_Large"/>
    <x v="2"/>
    <s v="GNR_ENG_NGAS_BP_E-41"/>
    <n v="8.1190243902439105E-2"/>
    <n v="0.292284878048781"/>
  </r>
  <r>
    <x v="0"/>
    <x v="0"/>
    <x v="0"/>
    <x v="0"/>
    <x v="0"/>
    <s v="DK1_Large"/>
    <x v="2"/>
    <s v="GNR_ENG_NGAS_BP_E-42"/>
    <n v="4.7137142857142801E-2"/>
    <n v="0.169693714285714"/>
  </r>
  <r>
    <x v="0"/>
    <x v="0"/>
    <x v="0"/>
    <x v="0"/>
    <x v="0"/>
    <s v="DK1_Large"/>
    <x v="2"/>
    <s v="GNR_ENG_NGAS_BP_E-43"/>
    <n v="0.18314511627907001"/>
    <n v="0.65932241860465102"/>
  </r>
  <r>
    <x v="0"/>
    <x v="0"/>
    <x v="0"/>
    <x v="0"/>
    <x v="0"/>
    <s v="DK1_Large"/>
    <x v="2"/>
    <s v="GNR_ENG_NGAS_BP_E-44"/>
    <n v="6.2514545454545406E-2"/>
    <n v="0.22505236363636399"/>
  </r>
  <r>
    <x v="0"/>
    <x v="0"/>
    <x v="0"/>
    <x v="0"/>
    <x v="0"/>
    <s v="DK1_Large"/>
    <x v="2"/>
    <s v="GNR_ENG_NGAS_BP_E-46"/>
    <n v="5.56069565217392E-2"/>
    <n v="0.20018504347826099"/>
  </r>
  <r>
    <x v="0"/>
    <x v="0"/>
    <x v="0"/>
    <x v="0"/>
    <x v="0"/>
    <s v="DK1_Large"/>
    <x v="2"/>
    <s v="GNR_GT_NGAS_BP_E-27"/>
    <n v="0.175740740740741"/>
    <n v="0.63266666666666704"/>
  </r>
  <r>
    <x v="0"/>
    <x v="0"/>
    <x v="0"/>
    <x v="0"/>
    <x v="0"/>
    <s v="DK1_Large"/>
    <x v="2"/>
    <s v="GNR_ST_NGAS_EXT_E-47"/>
    <n v="7.3062127659574498"/>
    <n v="26.302365957446799"/>
  </r>
  <r>
    <x v="0"/>
    <x v="0"/>
    <x v="0"/>
    <x v="0"/>
    <x v="0"/>
    <s v="DK1_Large"/>
    <x v="3"/>
    <s v="GNR_ST_STRW_BP_E-26"/>
    <n v="1.0444615384615401"/>
    <n v="3.7600615384615401"/>
  </r>
  <r>
    <x v="0"/>
    <x v="0"/>
    <x v="0"/>
    <x v="0"/>
    <x v="0"/>
    <s v="DK1_Large"/>
    <x v="4"/>
    <s v="GNR_EH_HEAT"/>
    <n v="1.5254664"/>
    <n v="5.4916790400000002"/>
  </r>
  <r>
    <x v="0"/>
    <x v="0"/>
    <x v="0"/>
    <x v="0"/>
    <x v="0"/>
    <s v="DK1_Large"/>
    <x v="5"/>
    <s v="GNR_ST_WOODCHI_BP_E-23"/>
    <n v="0.27374999999999999"/>
    <n v="0.98550000000000104"/>
  </r>
  <r>
    <x v="0"/>
    <x v="0"/>
    <x v="0"/>
    <x v="0"/>
    <x v="0"/>
    <s v="DK1_MedSmall"/>
    <x v="1"/>
    <s v="GNR_BO_MSW_E-100"/>
    <n v="5.6939999999999998E-2"/>
    <n v="0.204984"/>
  </r>
  <r>
    <x v="0"/>
    <x v="0"/>
    <x v="0"/>
    <x v="0"/>
    <x v="0"/>
    <s v="DK1_MedSmall"/>
    <x v="1"/>
    <s v="GNR_ST_MSW_BP_E-17"/>
    <n v="0.123670588235294"/>
    <n v="0.44521411764705898"/>
  </r>
  <r>
    <x v="0"/>
    <x v="0"/>
    <x v="0"/>
    <x v="0"/>
    <x v="0"/>
    <s v="DK1_MedSmall"/>
    <x v="1"/>
    <s v="GNR_ST_MSW_BP_E-20"/>
    <n v="0.14454"/>
    <n v="0.52034400000000003"/>
  </r>
  <r>
    <x v="0"/>
    <x v="0"/>
    <x v="0"/>
    <x v="0"/>
    <x v="0"/>
    <s v="DK1_MedSmall"/>
    <x v="1"/>
    <s v="GNR_ST_MSW_BP_E-21"/>
    <n v="0.41714285714285798"/>
    <n v="1.50171428571429"/>
  </r>
  <r>
    <x v="0"/>
    <x v="0"/>
    <x v="0"/>
    <x v="0"/>
    <x v="0"/>
    <s v="DK1_MedSmall"/>
    <x v="1"/>
    <s v="GNR_ST_MSW_BP_E-22"/>
    <n v="0.179181818181818"/>
    <n v="0.64505454545454599"/>
  </r>
  <r>
    <x v="0"/>
    <x v="0"/>
    <x v="0"/>
    <x v="0"/>
    <x v="0"/>
    <s v="DK1_MedSmall"/>
    <x v="1"/>
    <s v="GNR_ST_MSW_BP_E-26"/>
    <n v="0.23584615384615401"/>
    <n v="0.84904615384615501"/>
  </r>
  <r>
    <x v="0"/>
    <x v="0"/>
    <x v="0"/>
    <x v="0"/>
    <x v="0"/>
    <s v="DK1_MedSmall"/>
    <x v="2"/>
    <s v="GNR_ENG_NGAS_BP_E-35"/>
    <n v="1.5768000000000001E-2"/>
    <n v="5.6764799999999997E-2"/>
  </r>
  <r>
    <x v="0"/>
    <x v="0"/>
    <x v="0"/>
    <x v="0"/>
    <x v="0"/>
    <s v="DK1_MedSmall"/>
    <x v="2"/>
    <s v="GNR_ENG_NGAS_BP_E-37"/>
    <n v="2.36756756756757E-2"/>
    <n v="8.5232432432432503E-2"/>
  </r>
  <r>
    <x v="0"/>
    <x v="0"/>
    <x v="0"/>
    <x v="0"/>
    <x v="0"/>
    <s v="DK1_MedSmall"/>
    <x v="2"/>
    <s v="GNR_ENG_NGAS_BP_E-40"/>
    <n v="0.27313680000000001"/>
    <n v="0.98329248000000002"/>
  </r>
  <r>
    <x v="0"/>
    <x v="0"/>
    <x v="0"/>
    <x v="0"/>
    <x v="0"/>
    <s v="DK1_MedSmall"/>
    <x v="2"/>
    <s v="GNR_ENG_NGAS_BP_E-41"/>
    <n v="0.18203707317073201"/>
    <n v="0.65533346341463405"/>
  </r>
  <r>
    <x v="0"/>
    <x v="0"/>
    <x v="0"/>
    <x v="0"/>
    <x v="0"/>
    <s v="DK1_MedSmall"/>
    <x v="2"/>
    <s v="GNR_ENG_NGAS_BP_E-46"/>
    <n v="4.2086086956521697E-2"/>
    <n v="0.151509913043478"/>
  </r>
  <r>
    <x v="0"/>
    <x v="0"/>
    <x v="0"/>
    <x v="0"/>
    <x v="0"/>
    <s v="DK1_MedSmall"/>
    <x v="2"/>
    <s v="GNR_GT_NGAS_BP_E-31"/>
    <n v="0.480387096774194"/>
    <n v="1.7293935483870999"/>
  </r>
  <r>
    <x v="0"/>
    <x v="0"/>
    <x v="0"/>
    <x v="0"/>
    <x v="0"/>
    <s v="DK1_MedSmall"/>
    <x v="3"/>
    <s v="GNR_BO_STRW_E-102"/>
    <n v="5.7594852941176403E-2"/>
    <n v="0.20734147058823499"/>
  </r>
  <r>
    <x v="0"/>
    <x v="0"/>
    <x v="0"/>
    <x v="0"/>
    <x v="0"/>
    <s v="DK1_MedSmall"/>
    <x v="3"/>
    <s v="GNR_ST_STRW_BP_E-21"/>
    <n v="0.73"/>
    <n v="2.6280000000000001"/>
  </r>
  <r>
    <x v="0"/>
    <x v="0"/>
    <x v="0"/>
    <x v="0"/>
    <x v="0"/>
    <s v="DK1_MedSmall"/>
    <x v="4"/>
    <s v="GNR_EH_HEAT"/>
    <n v="0.1095"/>
    <n v="0.39419999999999999"/>
  </r>
  <r>
    <x v="0"/>
    <x v="0"/>
    <x v="0"/>
    <x v="0"/>
    <x v="0"/>
    <s v="DK1_MedSmall"/>
    <x v="4"/>
    <s v="GNR_GEO_HEAT_HO"/>
    <n v="7.2707999999999995E-2"/>
    <n v="0.2617488"/>
  </r>
  <r>
    <x v="0"/>
    <x v="0"/>
    <x v="0"/>
    <x v="0"/>
    <x v="0"/>
    <s v="DK1_MedSmall"/>
    <x v="5"/>
    <s v="GNR_BO_WOODCHI_E-110"/>
    <n v="3.4304021977038198E-3"/>
    <n v="1.2349447911733801E-2"/>
  </r>
  <r>
    <x v="0"/>
    <x v="0"/>
    <x v="0"/>
    <x v="0"/>
    <x v="0"/>
    <s v="DK1_Medium"/>
    <x v="1"/>
    <s v="GNR_ST_MSW_BP_E-22"/>
    <n v="0.103390922932486"/>
    <n v="0.37220732255695099"/>
  </r>
  <r>
    <x v="0"/>
    <x v="0"/>
    <x v="0"/>
    <x v="0"/>
    <x v="0"/>
    <s v="DK1_Medium"/>
    <x v="2"/>
    <s v="GNR_ENG_NGAS_BP_E-34"/>
    <n v="9.2108823529411694E-3"/>
    <n v="3.3159176470588199E-2"/>
  </r>
  <r>
    <x v="0"/>
    <x v="0"/>
    <x v="0"/>
    <x v="0"/>
    <x v="0"/>
    <s v="DK1_Medium"/>
    <x v="2"/>
    <s v="GNR_ENG_NGAS_BP_E-36"/>
    <n v="2.9382499999999999E-2"/>
    <n v="0.105777"/>
  </r>
  <r>
    <x v="0"/>
    <x v="0"/>
    <x v="0"/>
    <x v="0"/>
    <x v="0"/>
    <s v="DK1_Medium"/>
    <x v="2"/>
    <s v="GNR_ENG_NGAS_BP_E-40"/>
    <n v="2.7913375000000001E-2"/>
    <n v="0.10048815"/>
  </r>
  <r>
    <x v="0"/>
    <x v="0"/>
    <x v="0"/>
    <x v="0"/>
    <x v="0"/>
    <s v="DK1_Medium"/>
    <x v="2"/>
    <s v="GNR_ENG_NGAS_BP_E-41"/>
    <n v="9.1873170731707393E-2"/>
    <n v="0.33074341463414703"/>
  </r>
  <r>
    <x v="0"/>
    <x v="0"/>
    <x v="0"/>
    <x v="0"/>
    <x v="0"/>
    <s v="DK1_Medium"/>
    <x v="2"/>
    <s v="GNR_ENG_NGAS_BP_E-42"/>
    <n v="0.209197142857143"/>
    <n v="0.75310971428571405"/>
  </r>
  <r>
    <x v="0"/>
    <x v="0"/>
    <x v="0"/>
    <x v="0"/>
    <x v="0"/>
    <s v="DK1_Medium"/>
    <x v="2"/>
    <s v="GNR_ENG_NGAS_BP_E-43"/>
    <n v="2.8928372093023201E-2"/>
    <n v="0.10414213953488401"/>
  </r>
  <r>
    <x v="0"/>
    <x v="0"/>
    <x v="0"/>
    <x v="0"/>
    <x v="0"/>
    <s v="DK1_Medium"/>
    <x v="2"/>
    <s v="GNR_ENG_NGAS_BP_E-44"/>
    <n v="9.3174545454545496E-2"/>
    <n v="0.33542836363636402"/>
  </r>
  <r>
    <x v="0"/>
    <x v="0"/>
    <x v="0"/>
    <x v="0"/>
    <x v="0"/>
    <s v="DK1_Medium"/>
    <x v="2"/>
    <s v="GNR_GT_NGAS_BP_E-31"/>
    <n v="5.2983870967742E-2"/>
    <n v="0.190741935483871"/>
  </r>
  <r>
    <x v="0"/>
    <x v="0"/>
    <x v="0"/>
    <x v="0"/>
    <x v="0"/>
    <s v="DK1_Medium"/>
    <x v="2"/>
    <s v="GNR_GT_NGAS_BP_E-43"/>
    <n v="1.67356744186047"/>
    <n v="6.0248427906976803"/>
  </r>
  <r>
    <x v="0"/>
    <x v="0"/>
    <x v="0"/>
    <x v="0"/>
    <x v="0"/>
    <s v="DK1_Medium"/>
    <x v="2"/>
    <s v="GNR_GT_NGAS_BP_E-44"/>
    <n v="1.1348181818181799"/>
    <n v="4.0853454545454504"/>
  </r>
  <r>
    <x v="0"/>
    <x v="0"/>
    <x v="0"/>
    <x v="0"/>
    <x v="0"/>
    <s v="DK1_Medium"/>
    <x v="2"/>
    <s v="GNR_GT_NGAS_BP_E-47"/>
    <n v="2.0231872340425499"/>
    <n v="7.2834740425532001"/>
  </r>
  <r>
    <x v="0"/>
    <x v="0"/>
    <x v="0"/>
    <x v="0"/>
    <x v="0"/>
    <s v="DK1_Medium"/>
    <x v="4"/>
    <s v="GNR_GEO_HEAT_HO"/>
    <n v="5.9271631095909098E-2"/>
    <n v="0.213377871945273"/>
  </r>
  <r>
    <x v="0"/>
    <x v="0"/>
    <x v="0"/>
    <x v="0"/>
    <x v="0"/>
    <s v="DK1_Medium"/>
    <x v="5"/>
    <s v="GNR_ST_WOODCHI_BP_E-27"/>
    <n v="0.28118518518518598"/>
    <n v="1.01226666666667"/>
  </r>
  <r>
    <x v="0"/>
    <x v="0"/>
    <x v="0"/>
    <x v="0"/>
    <x v="0"/>
    <s v="DK1_Medium"/>
    <x v="5"/>
    <s v="GNR_ST_WOODCHI_BP_E-30"/>
    <n v="1.1578686485137799"/>
    <n v="4.16832713464962"/>
  </r>
  <r>
    <x v="0"/>
    <x v="0"/>
    <x v="0"/>
    <x v="0"/>
    <x v="0"/>
    <s v="DK1_NoDH"/>
    <x v="2"/>
    <s v="GNR_ENG_NGAS_BP_E-33"/>
    <n v="7.4659090909090899E-4"/>
    <n v="2.68772727272727E-3"/>
  </r>
  <r>
    <x v="0"/>
    <x v="0"/>
    <x v="0"/>
    <x v="0"/>
    <x v="0"/>
    <s v="DK1_NoDH"/>
    <x v="2"/>
    <s v="GNR_ENG_NGAS_BP_E-35"/>
    <n v="2.4945142857142898E-2"/>
    <n v="8.9802514285714299E-2"/>
  </r>
  <r>
    <x v="0"/>
    <x v="0"/>
    <x v="0"/>
    <x v="0"/>
    <x v="0"/>
    <s v="DK1_NoDH"/>
    <x v="2"/>
    <s v="GNR_ENG_NGAS_BP_E-36"/>
    <n v="4.7835277777777803E-2"/>
    <n v="0.172207"/>
  </r>
  <r>
    <x v="0"/>
    <x v="0"/>
    <x v="0"/>
    <x v="0"/>
    <x v="0"/>
    <s v="DK1_NoDH"/>
    <x v="2"/>
    <s v="GNR_ENG_NGAS_BP_E-37"/>
    <n v="0.54542837837837799"/>
    <n v="1.96354216216216"/>
  </r>
  <r>
    <x v="0"/>
    <x v="0"/>
    <x v="0"/>
    <x v="0"/>
    <x v="0"/>
    <s v="DK1_NoDH"/>
    <x v="2"/>
    <s v="GNR_ENG_NGAS_BP_E-38"/>
    <n v="0.23744210526315801"/>
    <n v="0.85479157894736901"/>
  </r>
  <r>
    <x v="0"/>
    <x v="0"/>
    <x v="0"/>
    <x v="0"/>
    <x v="0"/>
    <s v="DK1_NoDH"/>
    <x v="2"/>
    <s v="GNR_ENG_NGAS_BP_E-39"/>
    <n v="0.22267807692307701"/>
    <n v="0.80164107692307696"/>
  </r>
  <r>
    <x v="0"/>
    <x v="0"/>
    <x v="0"/>
    <x v="0"/>
    <x v="0"/>
    <s v="DK1_NoDH"/>
    <x v="2"/>
    <s v="GNR_ENG_NGAS_BP_E-40"/>
    <n v="5.9184750000000001E-2"/>
    <n v="0.21306510000000001"/>
  </r>
  <r>
    <x v="0"/>
    <x v="0"/>
    <x v="0"/>
    <x v="0"/>
    <x v="0"/>
    <s v="DK1_NoDH"/>
    <x v="2"/>
    <s v="GNR_ENG_NGAS_BP_E-41"/>
    <n v="0.161962073170732"/>
    <n v="0.583063463414634"/>
  </r>
  <r>
    <x v="0"/>
    <x v="0"/>
    <x v="0"/>
    <x v="0"/>
    <x v="0"/>
    <s v="DK1_NoDH"/>
    <x v="2"/>
    <s v="GNR_ENG_NGAS_BP_E-42"/>
    <n v="0.23193142857142801"/>
    <n v="0.83495314285714295"/>
  </r>
  <r>
    <x v="0"/>
    <x v="0"/>
    <x v="0"/>
    <x v="0"/>
    <x v="0"/>
    <s v="DK1_NoDH"/>
    <x v="2"/>
    <s v="GNR_ENG_NGAS_BP_E-43"/>
    <n v="0.25141200000000002"/>
    <n v="0.90508319999999898"/>
  </r>
  <r>
    <x v="0"/>
    <x v="0"/>
    <x v="0"/>
    <x v="0"/>
    <x v="0"/>
    <s v="DK1_NoDH"/>
    <x v="2"/>
    <s v="GNR_ENG_NGAS_BP_E-46"/>
    <n v="9.1503913043478199E-2"/>
    <n v="0.32941408695652202"/>
  </r>
  <r>
    <x v="0"/>
    <x v="0"/>
    <x v="0"/>
    <x v="0"/>
    <x v="0"/>
    <s v="DK1_NoDH"/>
    <x v="2"/>
    <s v="GNR_ENG_NGAS_CND_E-41"/>
    <n v="0.87172682926829304"/>
    <n v="3.1382165853658499"/>
  </r>
  <r>
    <x v="0"/>
    <x v="0"/>
    <x v="0"/>
    <x v="0"/>
    <x v="0"/>
    <s v="DK1_NoDH"/>
    <x v="2"/>
    <s v="GNR_ENG_NGAS_CND_E-46"/>
    <n v="1.21878260869565E-2"/>
    <n v="4.3876173913043499E-2"/>
  </r>
  <r>
    <x v="0"/>
    <x v="0"/>
    <x v="0"/>
    <x v="0"/>
    <x v="0"/>
    <s v="DK1_NoDH"/>
    <x v="2"/>
    <s v="GNR_GT_NGAS_BP_E-28"/>
    <n v="0.18197857142857099"/>
    <n v="0.65512285714285701"/>
  </r>
  <r>
    <x v="0"/>
    <x v="0"/>
    <x v="0"/>
    <x v="0"/>
    <x v="0"/>
    <s v="DK1_NoDH"/>
    <x v="2"/>
    <s v="GNR_GT_NGAS_BP_E-33"/>
    <n v="3.51727272727273E-2"/>
    <n v="0.126621818181818"/>
  </r>
  <r>
    <x v="0"/>
    <x v="0"/>
    <x v="0"/>
    <x v="0"/>
    <x v="0"/>
    <s v="DK1_NoDH"/>
    <x v="2"/>
    <s v="GNR_GT_NGAS_BP_E-36"/>
    <n v="6.0833333333333302E-2"/>
    <n v="0.219"/>
  </r>
  <r>
    <x v="0"/>
    <x v="0"/>
    <x v="0"/>
    <x v="0"/>
    <x v="0"/>
    <s v="DK1_NoDH"/>
    <x v="6"/>
    <s v="GNR_PV_SUN"/>
    <n v="0.56990659346167905"/>
    <n v="2.05166373646205"/>
  </r>
  <r>
    <x v="0"/>
    <x v="0"/>
    <x v="0"/>
    <x v="0"/>
    <x v="0"/>
    <s v="DK1_NoDH"/>
    <x v="7"/>
    <s v="GNR_ROR_WTR"/>
    <n v="3.3449832846470198E-2"/>
    <n v="0.120419398247293"/>
  </r>
  <r>
    <x v="0"/>
    <x v="0"/>
    <x v="0"/>
    <x v="0"/>
    <x v="0"/>
    <s v="DK1_NoDH"/>
    <x v="8"/>
    <s v="GNR_WT_WIND_ONS"/>
    <n v="10.4267294285003"/>
    <n v="37.536225942601099"/>
  </r>
  <r>
    <x v="0"/>
    <x v="0"/>
    <x v="0"/>
    <x v="0"/>
    <x v="0"/>
    <s v="DK1_Offshore"/>
    <x v="8"/>
    <s v="GNR_WT_WIND_OFF"/>
    <n v="3.66971220000001"/>
    <n v="13.210963919999999"/>
  </r>
  <r>
    <x v="0"/>
    <x v="0"/>
    <x v="0"/>
    <x v="0"/>
    <x v="0"/>
    <s v="DK1_Rural"/>
    <x v="2"/>
    <s v="GNR_ENG_NGAS_BP_E-33"/>
    <n v="2.4886363636363599E-2"/>
    <n v="8.9590909090909096E-2"/>
  </r>
  <r>
    <x v="0"/>
    <x v="0"/>
    <x v="0"/>
    <x v="0"/>
    <x v="0"/>
    <s v="DK1_Rural"/>
    <x v="2"/>
    <s v="GNR_ENG_NGAS_BP_E-34"/>
    <n v="6.4615735294117599E-2"/>
    <n v="0.23261664705882301"/>
  </r>
  <r>
    <x v="0"/>
    <x v="0"/>
    <x v="0"/>
    <x v="0"/>
    <x v="0"/>
    <s v="DK1_Rural"/>
    <x v="2"/>
    <s v="GNR_ENG_NGAS_BP_E-36"/>
    <n v="0.31525861111111098"/>
    <n v="1.1349309999999999"/>
  </r>
  <r>
    <x v="0"/>
    <x v="0"/>
    <x v="0"/>
    <x v="0"/>
    <x v="0"/>
    <s v="DK1_Rural"/>
    <x v="2"/>
    <s v="GNR_ENG_NGAS_BP_E-37"/>
    <n v="0.32054891891891901"/>
    <n v="1.1539761081081099"/>
  </r>
  <r>
    <x v="0"/>
    <x v="0"/>
    <x v="0"/>
    <x v="0"/>
    <x v="0"/>
    <s v="DK1_Rural"/>
    <x v="2"/>
    <s v="GNR_ENG_NGAS_BP_E-38"/>
    <n v="0.91839008457288696"/>
    <n v="3.3062043044623901"/>
  </r>
  <r>
    <x v="0"/>
    <x v="0"/>
    <x v="0"/>
    <x v="0"/>
    <x v="0"/>
    <s v="DK1_Rural"/>
    <x v="2"/>
    <s v="GNR_ENG_NGAS_BP_E-39"/>
    <n v="1.1041530769230801"/>
    <n v="3.9749510769230798"/>
  </r>
  <r>
    <x v="0"/>
    <x v="0"/>
    <x v="0"/>
    <x v="0"/>
    <x v="0"/>
    <s v="DK1_Rural"/>
    <x v="2"/>
    <s v="GNR_ENG_NGAS_BP_E-40"/>
    <n v="1.4810878750000001"/>
    <n v="5.3319163500000002"/>
  </r>
  <r>
    <x v="0"/>
    <x v="0"/>
    <x v="0"/>
    <x v="0"/>
    <x v="0"/>
    <s v="DK1_Rural"/>
    <x v="2"/>
    <s v="GNR_ENG_NGAS_BP_E-41"/>
    <n v="2.1883142596499998"/>
    <n v="7.8779313347400004"/>
  </r>
  <r>
    <x v="0"/>
    <x v="0"/>
    <x v="0"/>
    <x v="0"/>
    <x v="0"/>
    <s v="DK1_Rural"/>
    <x v="2"/>
    <s v="GNR_ENG_NGAS_BP_E-42"/>
    <n v="1.6006188571428599"/>
    <n v="5.7622278857142799"/>
  </r>
  <r>
    <x v="0"/>
    <x v="0"/>
    <x v="0"/>
    <x v="0"/>
    <x v="0"/>
    <s v="DK1_Rural"/>
    <x v="2"/>
    <s v="GNR_ENG_NGAS_BP_E-43"/>
    <n v="0.98869841860465102"/>
    <n v="3.5593143069767401"/>
  </r>
  <r>
    <x v="0"/>
    <x v="0"/>
    <x v="0"/>
    <x v="0"/>
    <x v="0"/>
    <s v="DK1_Rural"/>
    <x v="2"/>
    <s v="GNR_ENG_NGAS_BP_E-44"/>
    <n v="1.07568818181818"/>
    <n v="3.8724774545454599"/>
  </r>
  <r>
    <x v="0"/>
    <x v="0"/>
    <x v="0"/>
    <x v="0"/>
    <x v="0"/>
    <s v="DK1_Rural"/>
    <x v="2"/>
    <s v="GNR_ENG_NGAS_BP_E-45"/>
    <n v="0.203232"/>
    <n v="0.73163520000000004"/>
  </r>
  <r>
    <x v="0"/>
    <x v="0"/>
    <x v="0"/>
    <x v="0"/>
    <x v="0"/>
    <s v="DK1_Rural"/>
    <x v="2"/>
    <s v="GNR_ENG_NGAS_BP_E-46"/>
    <n v="0.41210086956521802"/>
    <n v="1.4835631304347801"/>
  </r>
  <r>
    <x v="0"/>
    <x v="0"/>
    <x v="0"/>
    <x v="0"/>
    <x v="0"/>
    <s v="DK1_Rural"/>
    <x v="2"/>
    <s v="GNR_ENG_NGAS_BP_E-47"/>
    <n v="6.8961702127659605E-2"/>
    <n v="0.24826212765957401"/>
  </r>
  <r>
    <x v="0"/>
    <x v="0"/>
    <x v="0"/>
    <x v="0"/>
    <x v="0"/>
    <s v="DK1_Rural"/>
    <x v="2"/>
    <s v="GNR_GT_NGAS_BP_E-28"/>
    <n v="3.85857142857143E-2"/>
    <n v="0.13890857142857099"/>
  </r>
  <r>
    <x v="0"/>
    <x v="0"/>
    <x v="0"/>
    <x v="0"/>
    <x v="0"/>
    <s v="DK1_Rural"/>
    <x v="2"/>
    <s v="GNR_GT_NGAS_BP_E-30"/>
    <n v="3.8324999999999998E-2"/>
    <n v="0.13797000000000001"/>
  </r>
  <r>
    <x v="0"/>
    <x v="0"/>
    <x v="0"/>
    <x v="0"/>
    <x v="0"/>
    <s v="DK1_Rural"/>
    <x v="2"/>
    <s v="GNR_GT_NGAS_BP_E-41"/>
    <n v="0.12819512195121999"/>
    <n v="0.46150243902439098"/>
  </r>
  <r>
    <x v="0"/>
    <x v="0"/>
    <x v="0"/>
    <x v="0"/>
    <x v="0"/>
    <s v="DK1_Rural"/>
    <x v="3"/>
    <s v="GNR_ST_STRW_BP_E-26"/>
    <n v="7.3106265682780294E-2"/>
    <n v="0.26318255645800898"/>
  </r>
  <r>
    <x v="0"/>
    <x v="0"/>
    <x v="0"/>
    <x v="0"/>
    <x v="0"/>
    <s v="DK1_Rural"/>
    <x v="4"/>
    <s v="GNR_EH_HEAT"/>
    <n v="0.21376334891711701"/>
    <n v="0.76954805610162103"/>
  </r>
  <r>
    <x v="0"/>
    <x v="0"/>
    <x v="0"/>
    <x v="0"/>
    <x v="0"/>
    <s v="DK1_Rural"/>
    <x v="5"/>
    <s v="GNR_ST_WOODCHI_BP_E-27"/>
    <n v="2.54148148148149E-2"/>
    <n v="9.1493333333333607E-2"/>
  </r>
  <r>
    <x v="0"/>
    <x v="0"/>
    <x v="0"/>
    <x v="0"/>
    <x v="0"/>
    <s v="DK1_Rural"/>
    <x v="9"/>
    <s v="GNR_ST_WOODPEL_BP_E-30"/>
    <n v="6.9715000000000003E-3"/>
    <n v="2.5097399999999999E-2"/>
  </r>
  <r>
    <x v="0"/>
    <x v="0"/>
    <x v="0"/>
    <x v="0"/>
    <x v="0"/>
    <s v="DK1_Small"/>
    <x v="1"/>
    <s v="GNR_BO_MSW_E-105"/>
    <n v="5.34232949983343E-2"/>
    <n v="0.192323861994004"/>
  </r>
  <r>
    <x v="0"/>
    <x v="0"/>
    <x v="0"/>
    <x v="0"/>
    <x v="0"/>
    <s v="DK1_Small"/>
    <x v="1"/>
    <s v="GNR_ST_MSW_BP_E-20"/>
    <n v="2.6371249999999999E-2"/>
    <n v="9.4936500000000104E-2"/>
  </r>
  <r>
    <x v="0"/>
    <x v="0"/>
    <x v="0"/>
    <x v="0"/>
    <x v="0"/>
    <s v="DK1_Small"/>
    <x v="2"/>
    <s v="GNR_ENG_NGAS_BP_E-38"/>
    <n v="8.9674736842105404E-2"/>
    <n v="0.32282905263157902"/>
  </r>
  <r>
    <x v="0"/>
    <x v="0"/>
    <x v="0"/>
    <x v="0"/>
    <x v="0"/>
    <s v="DK1_Small"/>
    <x v="2"/>
    <s v="GNR_ENG_NGAS_BP_E-39"/>
    <n v="1.66215384615385E-2"/>
    <n v="5.9837538461538498E-2"/>
  </r>
  <r>
    <x v="0"/>
    <x v="0"/>
    <x v="0"/>
    <x v="0"/>
    <x v="0"/>
    <s v="DK1_Small"/>
    <x v="2"/>
    <s v="GNR_ENG_NGAS_BP_E-41"/>
    <n v="3.1621463414634197E-2"/>
    <n v="0.11383726829268299"/>
  </r>
  <r>
    <x v="0"/>
    <x v="0"/>
    <x v="0"/>
    <x v="0"/>
    <x v="0"/>
    <s v="DK1_Small"/>
    <x v="2"/>
    <s v="GNR_ENG_NGAS_BP_E-42"/>
    <n v="0.29408571428571401"/>
    <n v="1.05870857142857"/>
  </r>
  <r>
    <x v="0"/>
    <x v="0"/>
    <x v="0"/>
    <x v="0"/>
    <x v="0"/>
    <s v="DK1_Small"/>
    <x v="2"/>
    <s v="GNR_GT_NGAS_BP_E-31"/>
    <n v="9.4899999999999998E-2"/>
    <n v="0.34164"/>
  </r>
  <r>
    <x v="0"/>
    <x v="0"/>
    <x v="0"/>
    <x v="0"/>
    <x v="0"/>
    <s v="DK1_Small"/>
    <x v="4"/>
    <s v="GNR_EH_HEAT"/>
    <n v="0.12264"/>
    <n v="0.44150400000000001"/>
  </r>
  <r>
    <x v="0"/>
    <x v="0"/>
    <x v="0"/>
    <x v="0"/>
    <x v="0"/>
    <s v="DK1_Small"/>
    <x v="10"/>
    <s v="GNR_BO_WOODWST_E-100"/>
    <n v="1.533E-2"/>
    <n v="5.5188000000000001E-2"/>
  </r>
  <r>
    <x v="0"/>
    <x v="0"/>
    <x v="0"/>
    <x v="0"/>
    <x v="0"/>
    <s v="DK1_Small"/>
    <x v="10"/>
    <s v="GNR_BO_WOODWST_E-89"/>
    <n v="1.7365928804003498E-2"/>
    <n v="6.2517343694412697E-2"/>
  </r>
  <r>
    <x v="0"/>
    <x v="0"/>
    <x v="0"/>
    <x v="0"/>
    <x v="1"/>
    <s v="DK2_Large"/>
    <x v="11"/>
    <s v="GNR_ENG_BGAS_BP_E-42"/>
    <n v="2.3831892857142899E-2"/>
    <n v="8.5794814285714296E-2"/>
  </r>
  <r>
    <x v="0"/>
    <x v="0"/>
    <x v="0"/>
    <x v="0"/>
    <x v="1"/>
    <s v="DK2_Large"/>
    <x v="0"/>
    <s v="GNR_ST_COAL_EXT_E-42"/>
    <n v="1.3735656637495099"/>
    <n v="4.9448363894982501"/>
  </r>
  <r>
    <x v="0"/>
    <x v="0"/>
    <x v="0"/>
    <x v="0"/>
    <x v="1"/>
    <s v="DK2_Large"/>
    <x v="1"/>
    <s v="GNR_ST_MSW_BP_E-16"/>
    <n v="1.5603750000000001"/>
    <n v="5.6173500000000098"/>
  </r>
  <r>
    <x v="0"/>
    <x v="0"/>
    <x v="0"/>
    <x v="0"/>
    <x v="1"/>
    <s v="DK2_Large"/>
    <x v="1"/>
    <s v="GNR_ST_MSW_BP_E-20"/>
    <n v="1.7081999999999999"/>
    <n v="6.1495200000000096"/>
  </r>
  <r>
    <x v="0"/>
    <x v="0"/>
    <x v="0"/>
    <x v="0"/>
    <x v="1"/>
    <s v="DK2_Large"/>
    <x v="1"/>
    <s v="GNR_ST_MSW_BP_E-21"/>
    <n v="0.57148571428571504"/>
    <n v="2.05734857142857"/>
  </r>
  <r>
    <x v="0"/>
    <x v="0"/>
    <x v="0"/>
    <x v="0"/>
    <x v="1"/>
    <s v="DK2_Large"/>
    <x v="1"/>
    <s v="GNR_ST_MSW_BP_E-27"/>
    <n v="0.62942222222222399"/>
    <n v="2.2659199999999999"/>
  </r>
  <r>
    <x v="0"/>
    <x v="0"/>
    <x v="0"/>
    <x v="0"/>
    <x v="1"/>
    <s v="DK2_Large"/>
    <x v="2"/>
    <s v="GNR_ENG_NGAS_BP_E-34"/>
    <n v="2.5249411764705899E-2"/>
    <n v="9.0897882352941203E-2"/>
  </r>
  <r>
    <x v="0"/>
    <x v="0"/>
    <x v="0"/>
    <x v="0"/>
    <x v="1"/>
    <s v="DK2_Large"/>
    <x v="2"/>
    <s v="GNR_ENG_NGAS_BP_E-36"/>
    <n v="6.8133333333333296E-2"/>
    <n v="0.24528"/>
  </r>
  <r>
    <x v="0"/>
    <x v="0"/>
    <x v="0"/>
    <x v="0"/>
    <x v="1"/>
    <s v="DK2_Large"/>
    <x v="2"/>
    <s v="GNR_ENG_NGAS_BP_E-38"/>
    <n v="9.2671578947368494E-2"/>
    <n v="0.33361768421052601"/>
  </r>
  <r>
    <x v="0"/>
    <x v="0"/>
    <x v="0"/>
    <x v="0"/>
    <x v="1"/>
    <s v="DK2_Large"/>
    <x v="2"/>
    <s v="GNR_ENG_NGAS_BP_E-40"/>
    <n v="0.12045"/>
    <n v="0.43362000000000001"/>
  </r>
  <r>
    <x v="0"/>
    <x v="0"/>
    <x v="0"/>
    <x v="0"/>
    <x v="1"/>
    <s v="DK2_Large"/>
    <x v="2"/>
    <s v="GNR_GT_NGAS_BP_E-36"/>
    <n v="0.564533333333333"/>
    <n v="2.0323199999999999"/>
  </r>
  <r>
    <x v="0"/>
    <x v="0"/>
    <x v="0"/>
    <x v="0"/>
    <x v="1"/>
    <s v="DK2_Large"/>
    <x v="2"/>
    <s v="GNR_ST_NGAS_BP_E-39"/>
    <n v="1.8418461538461499"/>
    <n v="6.6306461538461603"/>
  </r>
  <r>
    <x v="0"/>
    <x v="0"/>
    <x v="0"/>
    <x v="0"/>
    <x v="1"/>
    <s v="DK2_Large"/>
    <x v="4"/>
    <s v="GNR_GEO_HEAT_HO"/>
    <n v="0.12264"/>
    <n v="0.44150400000000001"/>
  </r>
  <r>
    <x v="0"/>
    <x v="0"/>
    <x v="0"/>
    <x v="0"/>
    <x v="1"/>
    <s v="DK2_Large"/>
    <x v="5"/>
    <s v="GNR_ST_WOODCHI_BP_E-24"/>
    <n v="0.40150000000000002"/>
    <n v="1.4454"/>
  </r>
  <r>
    <x v="0"/>
    <x v="0"/>
    <x v="0"/>
    <x v="0"/>
    <x v="1"/>
    <s v="DK2_Large"/>
    <x v="5"/>
    <s v="GNR_ST_WOODCHI_BP_E-27"/>
    <n v="0.48666666666666802"/>
    <n v="1.75200000000001"/>
  </r>
  <r>
    <x v="0"/>
    <x v="0"/>
    <x v="0"/>
    <x v="0"/>
    <x v="1"/>
    <s v="DK2_Large"/>
    <x v="9"/>
    <s v="GNR_ST_WOODPEL_EXT_E-50"/>
    <n v="9.9513599999999993"/>
    <n v="35.824896000000003"/>
  </r>
  <r>
    <x v="0"/>
    <x v="0"/>
    <x v="0"/>
    <x v="0"/>
    <x v="1"/>
    <s v="DK2_Large"/>
    <x v="10"/>
    <s v="GNR_BO_WOODWST_E-90"/>
    <n v="6.4824000000000007E-2"/>
    <n v="0.2333664"/>
  </r>
  <r>
    <x v="0"/>
    <x v="0"/>
    <x v="0"/>
    <x v="0"/>
    <x v="1"/>
    <s v="DK2_MedSmall"/>
    <x v="1"/>
    <s v="GNR_BO_MSW_E-105"/>
    <n v="5.5003688730523997E-2"/>
    <n v="0.198013279429887"/>
  </r>
  <r>
    <x v="0"/>
    <x v="0"/>
    <x v="0"/>
    <x v="0"/>
    <x v="1"/>
    <s v="DK2_MedSmall"/>
    <x v="1"/>
    <s v="GNR_ST_MSW_BP_E-21"/>
    <n v="0.139742857142857"/>
    <n v="0.50307428571428603"/>
  </r>
  <r>
    <x v="0"/>
    <x v="0"/>
    <x v="0"/>
    <x v="0"/>
    <x v="1"/>
    <s v="DK2_MedSmall"/>
    <x v="1"/>
    <s v="GNR_ST_MSW_BP_E-25"/>
    <n v="0.19771145027268799"/>
    <n v="0.71176122098167605"/>
  </r>
  <r>
    <x v="0"/>
    <x v="0"/>
    <x v="0"/>
    <x v="0"/>
    <x v="1"/>
    <s v="DK2_MedSmall"/>
    <x v="1"/>
    <s v="GNR_ST_MSW_BP_E-28"/>
    <n v="0.27141677677215997"/>
    <n v="0.97710039637977697"/>
  </r>
  <r>
    <x v="0"/>
    <x v="0"/>
    <x v="0"/>
    <x v="0"/>
    <x v="1"/>
    <s v="DK2_MedSmall"/>
    <x v="2"/>
    <s v="GNR_ENG_NGAS_BP_E-40"/>
    <n v="3.2412000000000003E-2"/>
    <n v="0.1166832"/>
  </r>
  <r>
    <x v="0"/>
    <x v="0"/>
    <x v="0"/>
    <x v="0"/>
    <x v="1"/>
    <s v="DK2_MedSmall"/>
    <x v="2"/>
    <s v="GNR_ENG_NGAS_BP_E-42"/>
    <n v="6.4657142857142802E-2"/>
    <n v="0.23276571428571399"/>
  </r>
  <r>
    <x v="0"/>
    <x v="0"/>
    <x v="0"/>
    <x v="0"/>
    <x v="1"/>
    <s v="DK2_MedSmall"/>
    <x v="4"/>
    <s v="GNR_EH_HEAT"/>
    <n v="1.7520000000000001E-2"/>
    <n v="6.3072000000000003E-2"/>
  </r>
  <r>
    <x v="0"/>
    <x v="0"/>
    <x v="0"/>
    <x v="0"/>
    <x v="1"/>
    <s v="DK2_Medium"/>
    <x v="0"/>
    <s v="GNR_ST_COAL_EXT_E-41"/>
    <n v="0.95432799112561495"/>
    <n v="3.4355807680522101"/>
  </r>
  <r>
    <x v="0"/>
    <x v="0"/>
    <x v="0"/>
    <x v="0"/>
    <x v="1"/>
    <s v="DK2_Medium"/>
    <x v="1"/>
    <s v="GNR_ST_MSW_BP_E-23"/>
    <n v="0.12268610811786"/>
    <n v="0.44166998922429501"/>
  </r>
  <r>
    <x v="0"/>
    <x v="0"/>
    <x v="0"/>
    <x v="0"/>
    <x v="1"/>
    <s v="DK2_Medium"/>
    <x v="1"/>
    <s v="GNR_ST_MSW_BP_E-25"/>
    <n v="0.10804"/>
    <n v="0.38894400000000001"/>
  </r>
  <r>
    <x v="0"/>
    <x v="0"/>
    <x v="0"/>
    <x v="0"/>
    <x v="1"/>
    <s v="DK2_Medium"/>
    <x v="2"/>
    <s v="GNR_ENG_NGAS_BP_E-33"/>
    <n v="1.5484848484848501E-2"/>
    <n v="5.5745454545454501E-2"/>
  </r>
  <r>
    <x v="0"/>
    <x v="0"/>
    <x v="0"/>
    <x v="0"/>
    <x v="1"/>
    <s v="DK2_Medium"/>
    <x v="2"/>
    <s v="GNR_ENG_NGAS_BP_E-35"/>
    <n v="5.00571428571428E-2"/>
    <n v="0.180205714285714"/>
  </r>
  <r>
    <x v="0"/>
    <x v="0"/>
    <x v="0"/>
    <x v="0"/>
    <x v="1"/>
    <s v="DK2_Medium"/>
    <x v="2"/>
    <s v="GNR_ENG_NGAS_BP_E-38"/>
    <n v="2.23610526315789E-2"/>
    <n v="8.0499789473684205E-2"/>
  </r>
  <r>
    <x v="0"/>
    <x v="0"/>
    <x v="0"/>
    <x v="0"/>
    <x v="1"/>
    <s v="DK2_Medium"/>
    <x v="2"/>
    <s v="GNR_ENG_NGAS_BP_E-39"/>
    <n v="0.25291692307692298"/>
    <n v="0.91050092307692299"/>
  </r>
  <r>
    <x v="0"/>
    <x v="0"/>
    <x v="0"/>
    <x v="0"/>
    <x v="1"/>
    <s v="DK2_Medium"/>
    <x v="2"/>
    <s v="GNR_ENG_NGAS_BP_E-41"/>
    <n v="6.6234146341463407E-2"/>
    <n v="0.23844292682926799"/>
  </r>
  <r>
    <x v="0"/>
    <x v="0"/>
    <x v="0"/>
    <x v="0"/>
    <x v="1"/>
    <s v="DK2_Medium"/>
    <x v="2"/>
    <s v="GNR_ENG_NGAS_BP_E-42"/>
    <n v="4.1714285714285697E-2"/>
    <n v="0.15017142857142801"/>
  </r>
  <r>
    <x v="0"/>
    <x v="0"/>
    <x v="0"/>
    <x v="0"/>
    <x v="1"/>
    <s v="DK2_Medium"/>
    <x v="2"/>
    <s v="GNR_GT_NGAS_BP_E-42"/>
    <n v="1.23057142857143"/>
    <n v="4.43005714285714"/>
  </r>
  <r>
    <x v="0"/>
    <x v="0"/>
    <x v="0"/>
    <x v="0"/>
    <x v="1"/>
    <s v="DK2_Medium"/>
    <x v="2"/>
    <s v="GNR_GT_NGAS_BP_E-44"/>
    <n v="1.5329999999999999"/>
    <n v="5.5187999999999997"/>
  </r>
  <r>
    <x v="0"/>
    <x v="0"/>
    <x v="0"/>
    <x v="0"/>
    <x v="1"/>
    <s v="DK2_Medium"/>
    <x v="5"/>
    <s v="GNR_ST_WOODCHI_BP_E-27"/>
    <n v="4.4611111111111197E-3"/>
    <n v="1.6060000000000099E-2"/>
  </r>
  <r>
    <x v="0"/>
    <x v="0"/>
    <x v="0"/>
    <x v="0"/>
    <x v="1"/>
    <s v="DK2_NoDH"/>
    <x v="2"/>
    <s v="GNR_ENG_NGAS_BP_E-33"/>
    <n v="2.47757575757576E-2"/>
    <n v="8.9192727272727299E-2"/>
  </r>
  <r>
    <x v="0"/>
    <x v="0"/>
    <x v="0"/>
    <x v="0"/>
    <x v="1"/>
    <s v="DK2_NoDH"/>
    <x v="2"/>
    <s v="GNR_ENG_NGAS_BP_E-34"/>
    <n v="0.108555294117647"/>
    <n v="0.390799058823529"/>
  </r>
  <r>
    <x v="0"/>
    <x v="0"/>
    <x v="0"/>
    <x v="0"/>
    <x v="1"/>
    <s v="DK2_NoDH"/>
    <x v="2"/>
    <s v="GNR_ENG_NGAS_BP_E-35"/>
    <n v="9.2543142857142893E-2"/>
    <n v="0.33315531428571399"/>
  </r>
  <r>
    <x v="0"/>
    <x v="0"/>
    <x v="0"/>
    <x v="0"/>
    <x v="1"/>
    <s v="DK2_NoDH"/>
    <x v="2"/>
    <s v="GNR_ENG_NGAS_BP_E-36"/>
    <n v="8.2317638888888794E-2"/>
    <n v="0.29634349999999998"/>
  </r>
  <r>
    <x v="0"/>
    <x v="0"/>
    <x v="0"/>
    <x v="0"/>
    <x v="1"/>
    <s v="DK2_NoDH"/>
    <x v="2"/>
    <s v="GNR_ENG_NGAS_BP_E-37"/>
    <n v="6.3983513513513599E-2"/>
    <n v="0.230340648648649"/>
  </r>
  <r>
    <x v="0"/>
    <x v="0"/>
    <x v="0"/>
    <x v="0"/>
    <x v="1"/>
    <s v="DK2_NoDH"/>
    <x v="2"/>
    <s v="GNR_ENG_NGAS_BP_E-38"/>
    <n v="8.6677894736842204E-2"/>
    <n v="0.31204042105263202"/>
  </r>
  <r>
    <x v="0"/>
    <x v="0"/>
    <x v="0"/>
    <x v="0"/>
    <x v="1"/>
    <s v="DK2_NoDH"/>
    <x v="2"/>
    <s v="GNR_ENG_NGAS_BP_E-39"/>
    <n v="0.183061538461538"/>
    <n v="0.65902153846153899"/>
  </r>
  <r>
    <x v="0"/>
    <x v="0"/>
    <x v="0"/>
    <x v="0"/>
    <x v="1"/>
    <s v="DK2_NoDH"/>
    <x v="2"/>
    <s v="GNR_ENG_NGAS_BP_E-40"/>
    <n v="0.17585700000000001"/>
    <n v="0.63308520000000001"/>
  </r>
  <r>
    <x v="0"/>
    <x v="0"/>
    <x v="0"/>
    <x v="0"/>
    <x v="1"/>
    <s v="DK2_NoDH"/>
    <x v="2"/>
    <s v="GNR_ENG_NGAS_BP_E-41"/>
    <n v="0.35168195121951301"/>
    <n v="1.26605502439025"/>
  </r>
  <r>
    <x v="0"/>
    <x v="0"/>
    <x v="0"/>
    <x v="0"/>
    <x v="1"/>
    <s v="DK2_NoDH"/>
    <x v="2"/>
    <s v="GNR_ENG_NGAS_BP_E-46"/>
    <n v="0.17977043478260901"/>
    <n v="0.647173565217391"/>
  </r>
  <r>
    <x v="0"/>
    <x v="0"/>
    <x v="0"/>
    <x v="0"/>
    <x v="1"/>
    <s v="DK2_NoDH"/>
    <x v="2"/>
    <s v="GNR_GT_NGAS_BP_E-28"/>
    <n v="6.3875000000000001E-2"/>
    <n v="0.22994999999999999"/>
  </r>
  <r>
    <x v="0"/>
    <x v="0"/>
    <x v="0"/>
    <x v="0"/>
    <x v="1"/>
    <s v="DK2_NoDH"/>
    <x v="2"/>
    <s v="GNR_ST_NGAS_BP_E-39"/>
    <n v="0.132298461538462"/>
    <n v="0.47627446153846098"/>
  </r>
  <r>
    <x v="0"/>
    <x v="0"/>
    <x v="0"/>
    <x v="0"/>
    <x v="1"/>
    <s v="DK2_NoDH"/>
    <x v="6"/>
    <s v="GNR_PV_SUN"/>
    <n v="0.29146560783759401"/>
    <n v="1.0492761882153401"/>
  </r>
  <r>
    <x v="0"/>
    <x v="0"/>
    <x v="0"/>
    <x v="0"/>
    <x v="1"/>
    <s v="DK2_NoDH"/>
    <x v="7"/>
    <s v="GNR_ROR_WTR"/>
    <n v="7.2297909610526402E-5"/>
    <n v="2.6027247459789498E-4"/>
  </r>
  <r>
    <x v="0"/>
    <x v="0"/>
    <x v="0"/>
    <x v="0"/>
    <x v="1"/>
    <s v="DK2_NoDH"/>
    <x v="8"/>
    <s v="GNR_WT_WIND_ONS"/>
    <n v="1.8714861274999901"/>
    <n v="6.7373500589999802"/>
  </r>
  <r>
    <x v="0"/>
    <x v="0"/>
    <x v="0"/>
    <x v="0"/>
    <x v="1"/>
    <s v="DK2_Offshore"/>
    <x v="8"/>
    <s v="GNR_WT_WIND_OFF"/>
    <n v="1.946472"/>
    <n v="7.0072992000000198"/>
  </r>
  <r>
    <x v="0"/>
    <x v="0"/>
    <x v="0"/>
    <x v="0"/>
    <x v="1"/>
    <s v="DK2_Rural"/>
    <x v="11"/>
    <s v="GNR_ENG_BGAS_BP_E-39"/>
    <n v="2.8357692307692298E-3"/>
    <n v="1.02087692307692E-2"/>
  </r>
  <r>
    <x v="0"/>
    <x v="0"/>
    <x v="0"/>
    <x v="0"/>
    <x v="1"/>
    <s v="DK2_Rural"/>
    <x v="11"/>
    <s v="GNR_ENG_BGAS_BP_E-40"/>
    <n v="2.4181250000000001E-3"/>
    <n v="8.7052499999999908E-3"/>
  </r>
  <r>
    <x v="0"/>
    <x v="0"/>
    <x v="0"/>
    <x v="0"/>
    <x v="1"/>
    <s v="DK2_Rural"/>
    <x v="11"/>
    <s v="GNR_ENG_BGAS_BP_E-41"/>
    <n v="1.6024390243902401E-2"/>
    <n v="5.7687804878048803E-2"/>
  </r>
  <r>
    <x v="0"/>
    <x v="0"/>
    <x v="0"/>
    <x v="0"/>
    <x v="1"/>
    <s v="DK2_Rural"/>
    <x v="11"/>
    <s v="GNR_ENG_BGAS_BP_E-42"/>
    <n v="4.4848071428571397E-2"/>
    <n v="0.16145305714285699"/>
  </r>
  <r>
    <x v="0"/>
    <x v="0"/>
    <x v="0"/>
    <x v="0"/>
    <x v="1"/>
    <s v="DK2_Rural"/>
    <x v="0"/>
    <s v="GNR_ST_COAL_BP_E-35"/>
    <n v="0.115757142857143"/>
    <n v="0.41672571428571398"/>
  </r>
  <r>
    <x v="0"/>
    <x v="0"/>
    <x v="0"/>
    <x v="0"/>
    <x v="1"/>
    <s v="DK2_Rural"/>
    <x v="1"/>
    <s v="GNR_BO_MSW_E-105"/>
    <n v="5.8400000000000001E-2"/>
    <n v="0.21024000000000001"/>
  </r>
  <r>
    <x v="0"/>
    <x v="0"/>
    <x v="0"/>
    <x v="0"/>
    <x v="1"/>
    <s v="DK2_Rural"/>
    <x v="2"/>
    <s v="GNR_ENG_NGAS_BP_E-33"/>
    <n v="0.18236727272727299"/>
    <n v="0.656522181818182"/>
  </r>
  <r>
    <x v="0"/>
    <x v="0"/>
    <x v="0"/>
    <x v="0"/>
    <x v="1"/>
    <s v="DK2_Rural"/>
    <x v="2"/>
    <s v="GNR_ENG_NGAS_BP_E-34"/>
    <n v="0.102285882352941"/>
    <n v="0.368229176470588"/>
  </r>
  <r>
    <x v="0"/>
    <x v="0"/>
    <x v="0"/>
    <x v="0"/>
    <x v="1"/>
    <s v="DK2_Rural"/>
    <x v="2"/>
    <s v="GNR_ENG_NGAS_BP_E-35"/>
    <n v="0.18245828571428599"/>
    <n v="0.65684982857142804"/>
  </r>
  <r>
    <x v="0"/>
    <x v="0"/>
    <x v="0"/>
    <x v="0"/>
    <x v="1"/>
    <s v="DK2_Rural"/>
    <x v="2"/>
    <s v="GNR_ENG_NGAS_BP_E-36"/>
    <n v="3.1998333333333302E-2"/>
    <n v="0.115194"/>
  </r>
  <r>
    <x v="0"/>
    <x v="0"/>
    <x v="0"/>
    <x v="0"/>
    <x v="1"/>
    <s v="DK2_Rural"/>
    <x v="2"/>
    <s v="GNR_ENG_NGAS_BP_E-37"/>
    <n v="4.2852972972972997E-2"/>
    <n v="0.15427070270270299"/>
  </r>
  <r>
    <x v="0"/>
    <x v="0"/>
    <x v="0"/>
    <x v="0"/>
    <x v="1"/>
    <s v="DK2_Rural"/>
    <x v="2"/>
    <s v="GNR_ENG_NGAS_BP_E-38"/>
    <n v="7.3422631578947406E-2"/>
    <n v="0.26432147368421"/>
  </r>
  <r>
    <x v="0"/>
    <x v="0"/>
    <x v="0"/>
    <x v="0"/>
    <x v="1"/>
    <s v="DK2_Rural"/>
    <x v="2"/>
    <s v="GNR_ENG_NGAS_BP_E-39"/>
    <n v="0.58624615384615397"/>
    <n v="2.1104861538461499"/>
  </r>
  <r>
    <x v="0"/>
    <x v="0"/>
    <x v="0"/>
    <x v="0"/>
    <x v="1"/>
    <s v="DK2_Rural"/>
    <x v="2"/>
    <s v="GNR_ENG_NGAS_BP_E-40"/>
    <n v="0.57596999999999898"/>
    <n v="2.0734919999999999"/>
  </r>
  <r>
    <x v="0"/>
    <x v="0"/>
    <x v="0"/>
    <x v="0"/>
    <x v="1"/>
    <s v="DK2_Rural"/>
    <x v="2"/>
    <s v="GNR_ENG_NGAS_BP_E-41"/>
    <n v="0.11614478048780499"/>
    <n v="0.41812120975609801"/>
  </r>
  <r>
    <x v="0"/>
    <x v="0"/>
    <x v="0"/>
    <x v="0"/>
    <x v="1"/>
    <s v="DK2_Rural"/>
    <x v="2"/>
    <s v="GNR_ENG_NGAS_BP_E-42"/>
    <n v="3.1702857142857102E-2"/>
    <n v="0.114130285714286"/>
  </r>
  <r>
    <x v="0"/>
    <x v="0"/>
    <x v="0"/>
    <x v="0"/>
    <x v="1"/>
    <s v="DK2_Rural"/>
    <x v="2"/>
    <s v="GNR_ENG_NGAS_BP_E-43"/>
    <n v="5.04616744186046E-2"/>
    <n v="0.181662027906977"/>
  </r>
  <r>
    <x v="0"/>
    <x v="0"/>
    <x v="0"/>
    <x v="0"/>
    <x v="1"/>
    <s v="DK2_Rural"/>
    <x v="2"/>
    <s v="GNR_ENG_NGAS_BP_E-45"/>
    <n v="9.73333333333333E-3"/>
    <n v="3.5040000000000002E-2"/>
  </r>
  <r>
    <x v="0"/>
    <x v="0"/>
    <x v="0"/>
    <x v="0"/>
    <x v="1"/>
    <s v="DK2_Rural"/>
    <x v="2"/>
    <s v="GNR_ENG_NGAS_BP_E-46"/>
    <n v="1.04739130434783E-2"/>
    <n v="3.7706086956521702E-2"/>
  </r>
  <r>
    <x v="0"/>
    <x v="0"/>
    <x v="0"/>
    <x v="0"/>
    <x v="1"/>
    <s v="DK2_Rural"/>
    <x v="3"/>
    <s v="GNR_BO_STRW_E-102"/>
    <n v="0.18443113214280701"/>
    <n v="0.66395207571410397"/>
  </r>
  <r>
    <x v="0"/>
    <x v="0"/>
    <x v="0"/>
    <x v="0"/>
    <x v="1"/>
    <s v="DK2_Rural"/>
    <x v="3"/>
    <s v="GNR_ST_STRW_BP_E-24"/>
    <n v="0.1825"/>
    <n v="0.65700000000000003"/>
  </r>
  <r>
    <x v="0"/>
    <x v="0"/>
    <x v="0"/>
    <x v="0"/>
    <x v="1"/>
    <s v="DK2_Rural"/>
    <x v="3"/>
    <s v="GNR_ST_STRW_BP_E-27"/>
    <n v="0.323795555555555"/>
    <n v="1.165664"/>
  </r>
  <r>
    <x v="0"/>
    <x v="0"/>
    <x v="0"/>
    <x v="0"/>
    <x v="1"/>
    <s v="DK2_Rural"/>
    <x v="3"/>
    <s v="GNR_ST_STRW_BP_E-28"/>
    <n v="0.347379310344828"/>
    <n v="1.2505655172413801"/>
  </r>
  <r>
    <x v="0"/>
    <x v="0"/>
    <x v="0"/>
    <x v="0"/>
    <x v="1"/>
    <s v="DK2_Rural"/>
    <x v="4"/>
    <s v="GNR_EH_HEAT"/>
    <n v="0.14454"/>
    <n v="0.52034400000000003"/>
  </r>
  <r>
    <x v="0"/>
    <x v="0"/>
    <x v="0"/>
    <x v="0"/>
    <x v="1"/>
    <s v="DK2_Rural"/>
    <x v="10"/>
    <s v="GNR_BO_WOODWST_E-100"/>
    <n v="5.5188000000000001E-2"/>
    <n v="0.19867679999999999"/>
  </r>
  <r>
    <x v="0"/>
    <x v="0"/>
    <x v="0"/>
    <x v="0"/>
    <x v="1"/>
    <s v="DK2_Small"/>
    <x v="2"/>
    <s v="GNR_ENG_NGAS_BP_E-46"/>
    <n v="0.73317391304347901"/>
    <n v="2.63942608695652"/>
  </r>
  <r>
    <x v="0"/>
    <x v="0"/>
    <x v="0"/>
    <x v="1"/>
    <x v="2"/>
    <s v="EE_Enefit"/>
    <x v="12"/>
    <s v="ENEFIT_ST_RETORT-GAS_CND"/>
    <n v="0.42960079734805201"/>
    <n v="1.5465628704529899"/>
  </r>
  <r>
    <x v="0"/>
    <x v="0"/>
    <x v="0"/>
    <x v="1"/>
    <x v="2"/>
    <s v="EE_Industry"/>
    <x v="12"/>
    <s v="GNR_ENG_RETORT-GAS_E-44"/>
    <n v="1.91046831955923"/>
    <n v="6.8776859504132197"/>
  </r>
  <r>
    <x v="0"/>
    <x v="0"/>
    <x v="0"/>
    <x v="1"/>
    <x v="2"/>
    <s v="EE_Industry"/>
    <x v="13"/>
    <s v="IMAVERE_ST_WOOD_BP"/>
    <n v="0.158480458243417"/>
    <n v="0.57052964967630104"/>
  </r>
  <r>
    <x v="0"/>
    <x v="0"/>
    <x v="0"/>
    <x v="1"/>
    <x v="2"/>
    <s v="EE_Industry"/>
    <x v="13"/>
    <s v="OSULA_ST_WOOD_BP"/>
    <n v="0.14282619407619401"/>
    <n v="0.51417429867429898"/>
  </r>
  <r>
    <x v="0"/>
    <x v="0"/>
    <x v="0"/>
    <x v="1"/>
    <x v="2"/>
    <s v="EE_Industry"/>
    <x v="10"/>
    <s v="GNR_ST_WOODWST_BP_E-53"/>
    <n v="0.93384905660377304"/>
    <n v="3.36185660377358"/>
  </r>
  <r>
    <x v="0"/>
    <x v="0"/>
    <x v="0"/>
    <x v="1"/>
    <x v="2"/>
    <s v="EE_Kohtla_Jarve"/>
    <x v="2"/>
    <s v="GNR_BO_NGAS_HO_E-85"/>
    <n v="0.210293725490247"/>
    <n v="0.75705741176488806"/>
  </r>
  <r>
    <x v="0"/>
    <x v="0"/>
    <x v="0"/>
    <x v="1"/>
    <x v="2"/>
    <s v="EE_Kohtla_Jarve"/>
    <x v="2"/>
    <s v="GNR_ENG_NGAS_EXT_E-44"/>
    <n v="0.31818794000612199"/>
    <n v="1.14547658402204"/>
  </r>
  <r>
    <x v="0"/>
    <x v="0"/>
    <x v="0"/>
    <x v="1"/>
    <x v="2"/>
    <s v="EE_Narva"/>
    <x v="14"/>
    <s v="GNR_BO_FUELOIL_HO_E-85"/>
    <n v="9.5749746688993595E-2"/>
    <n v="0.34469908808037703"/>
  </r>
  <r>
    <x v="0"/>
    <x v="0"/>
    <x v="0"/>
    <x v="1"/>
    <x v="2"/>
    <s v="EE_Narva"/>
    <x v="15"/>
    <s v="NARVA-11_ST_SHALE_EXT"/>
    <n v="1.3507487321809699"/>
    <n v="4.8626954358515002"/>
  </r>
  <r>
    <x v="0"/>
    <x v="0"/>
    <x v="0"/>
    <x v="1"/>
    <x v="2"/>
    <s v="EE_Parnu"/>
    <x v="13"/>
    <s v="PARNU-1_ST_WOOD_BP"/>
    <n v="0.45164659552934799"/>
    <n v="1.6259277439056501"/>
  </r>
  <r>
    <x v="0"/>
    <x v="0"/>
    <x v="0"/>
    <x v="1"/>
    <x v="2"/>
    <s v="EE_Rural"/>
    <x v="2"/>
    <s v="GNR_ENG_NGAS_EXT_E-44"/>
    <n v="2.38640955004591E-2"/>
    <n v="8.5910743801652895E-2"/>
  </r>
  <r>
    <x v="0"/>
    <x v="0"/>
    <x v="0"/>
    <x v="1"/>
    <x v="2"/>
    <s v="EE_Rural"/>
    <x v="7"/>
    <s v="GNR_ROR_WTR"/>
    <n v="0.03"/>
    <n v="0.108"/>
  </r>
  <r>
    <x v="0"/>
    <x v="0"/>
    <x v="0"/>
    <x v="1"/>
    <x v="2"/>
    <s v="EE_Rural"/>
    <x v="8"/>
    <s v="GNR_WT_WIND_ONS"/>
    <n v="0.78061100000000005"/>
    <n v="2.8101995999999998"/>
  </r>
  <r>
    <x v="0"/>
    <x v="0"/>
    <x v="0"/>
    <x v="1"/>
    <x v="2"/>
    <s v="EE_Rural"/>
    <x v="10"/>
    <s v="EBAVERE_ST_WOODWST_BP"/>
    <n v="0.34578947368421098"/>
    <n v="1.24484210526316"/>
  </r>
  <r>
    <x v="0"/>
    <x v="0"/>
    <x v="0"/>
    <x v="1"/>
    <x v="2"/>
    <s v="EE_Sillamae"/>
    <x v="2"/>
    <s v="GNR_ENG_NGAS_EXT_E-44"/>
    <n v="0.198867462503826"/>
    <n v="0.715922865013774"/>
  </r>
  <r>
    <x v="0"/>
    <x v="0"/>
    <x v="0"/>
    <x v="1"/>
    <x v="2"/>
    <s v="EE_Tallinn"/>
    <x v="1"/>
    <s v="IRU_ST_MSW_BP"/>
    <n v="0.49640000000000001"/>
    <n v="1.78704"/>
  </r>
  <r>
    <x v="0"/>
    <x v="0"/>
    <x v="0"/>
    <x v="1"/>
    <x v="2"/>
    <s v="EE_Tallinn"/>
    <x v="2"/>
    <s v="GNR_ENG_NGAS_EXT_E-44"/>
    <n v="2.9830119375573901E-2"/>
    <n v="0.107388429752066"/>
  </r>
  <r>
    <x v="0"/>
    <x v="0"/>
    <x v="0"/>
    <x v="1"/>
    <x v="2"/>
    <s v="EE_Tallinn"/>
    <x v="2"/>
    <s v="IRU_ST_NGAS_BP"/>
    <n v="2.3003342719844202"/>
    <n v="8.2812033791438999"/>
  </r>
  <r>
    <x v="0"/>
    <x v="0"/>
    <x v="0"/>
    <x v="1"/>
    <x v="2"/>
    <s v="EE_Tallinn"/>
    <x v="13"/>
    <s v="MUSTAMAE_ST_WOOD_BP"/>
    <n v="0.17676814955967701"/>
    <n v="0.636365338414836"/>
  </r>
  <r>
    <x v="0"/>
    <x v="0"/>
    <x v="0"/>
    <x v="1"/>
    <x v="2"/>
    <s v="EE_Tallinn"/>
    <x v="13"/>
    <s v="VAO-1_ST_WOOD_BP"/>
    <n v="0.63795658572522795"/>
    <n v="2.2966437086108198"/>
  </r>
  <r>
    <x v="0"/>
    <x v="0"/>
    <x v="0"/>
    <x v="1"/>
    <x v="2"/>
    <s v="EE_Tallinn"/>
    <x v="13"/>
    <s v="VAO-2_ST_WOOD_BP"/>
    <n v="0.67431610050248603"/>
    <n v="2.4275379618089499"/>
  </r>
  <r>
    <x v="0"/>
    <x v="0"/>
    <x v="0"/>
    <x v="1"/>
    <x v="2"/>
    <s v="EE_Tartu"/>
    <x v="2"/>
    <s v="GNR_BO_NGAS_HO_E-85"/>
    <n v="0.114746699054338"/>
    <n v="0.41308811659561601"/>
  </r>
  <r>
    <x v="0"/>
    <x v="0"/>
    <x v="0"/>
    <x v="1"/>
    <x v="2"/>
    <s v="EE_Tartu"/>
    <x v="13"/>
    <s v="TARTU-1_ST_WOOD_BP"/>
    <n v="0.66652207152593301"/>
    <n v="2.39947945749336"/>
  </r>
  <r>
    <x v="0"/>
    <x v="0"/>
    <x v="0"/>
    <x v="1"/>
    <x v="2"/>
    <s v="EE_Urban"/>
    <x v="2"/>
    <s v="GNR_ENG_NGAS_EXT_E-44"/>
    <n v="1.7898071625344399E-2"/>
    <n v="6.4433057851239706E-2"/>
  </r>
  <r>
    <x v="0"/>
    <x v="0"/>
    <x v="0"/>
    <x v="1"/>
    <x v="2"/>
    <s v="EE_Urban"/>
    <x v="13"/>
    <s v="GNR_ST_WOOD_BP_E-53"/>
    <n v="0.19833962264150901"/>
    <n v="0.71402264150943395"/>
  </r>
  <r>
    <x v="0"/>
    <x v="0"/>
    <x v="0"/>
    <x v="2"/>
    <x v="3"/>
    <s v="FIN_EL"/>
    <x v="2"/>
    <s v="GBPR_NATGAS_FINEL"/>
    <n v="1.9917777452415799"/>
    <n v="7.17039988286969"/>
  </r>
  <r>
    <x v="0"/>
    <x v="0"/>
    <x v="0"/>
    <x v="2"/>
    <x v="3"/>
    <s v="FIN_EL"/>
    <x v="2"/>
    <s v="GEXT_NATGAS_MERTANIEMI"/>
    <n v="2.05063636363636"/>
    <n v="7.3822909090909103"/>
  </r>
  <r>
    <x v="0"/>
    <x v="0"/>
    <x v="0"/>
    <x v="2"/>
    <x v="3"/>
    <s v="FIN_EL"/>
    <x v="5"/>
    <s v="GBPR_WOODCHIPS"/>
    <n v="0.73078399304555397"/>
    <n v="2.6308223749639899"/>
  </r>
  <r>
    <x v="0"/>
    <x v="0"/>
    <x v="0"/>
    <x v="2"/>
    <x v="3"/>
    <s v="FIN_EL"/>
    <x v="10"/>
    <s v="GBPR_WOODWASTE_FINEL"/>
    <n v="3.08590909090909"/>
    <n v="11.1092727272727"/>
  </r>
  <r>
    <x v="0"/>
    <x v="0"/>
    <x v="0"/>
    <x v="2"/>
    <x v="3"/>
    <s v="FIN_ESPOO"/>
    <x v="2"/>
    <s v="GBPR_NATGAS_SUOMENOJA"/>
    <n v="1.3487049180327899"/>
    <n v="4.8553377049180302"/>
  </r>
  <r>
    <x v="0"/>
    <x v="0"/>
    <x v="0"/>
    <x v="2"/>
    <x v="3"/>
    <s v="FIN_ESPOO"/>
    <x v="2"/>
    <s v="GBPR_NATGAS_SUOMENOJA2"/>
    <n v="4.4596363636363696"/>
    <n v="16.054690909090901"/>
  </r>
  <r>
    <x v="0"/>
    <x v="0"/>
    <x v="0"/>
    <x v="2"/>
    <x v="3"/>
    <s v="FIN_ESPOO"/>
    <x v="2"/>
    <s v="GHOB_NATGAS"/>
    <n v="0.29584781143906203"/>
    <n v="1.0650521211806201"/>
  </r>
  <r>
    <x v="0"/>
    <x v="0"/>
    <x v="0"/>
    <x v="2"/>
    <x v="3"/>
    <s v="FIN_ESPOO"/>
    <x v="16"/>
    <s v="GHOB_NATGAS_EXETS"/>
    <n v="7.5451587142393306E-2"/>
    <n v="0.27162571371261601"/>
  </r>
  <r>
    <x v="0"/>
    <x v="0"/>
    <x v="0"/>
    <x v="2"/>
    <x v="3"/>
    <s v="FIN_GAS"/>
    <x v="2"/>
    <s v="GBPR_NATGAS_GASAREA"/>
    <n v="1.69546569468268"/>
    <n v="6.1036765008576301"/>
  </r>
  <r>
    <x v="0"/>
    <x v="0"/>
    <x v="0"/>
    <x v="2"/>
    <x v="3"/>
    <s v="FIN_GAS"/>
    <x v="2"/>
    <s v="GEXT_NATGAS_NOKIA"/>
    <n v="1.11490909090909"/>
    <n v="4.0136727272727297"/>
  </r>
  <r>
    <x v="0"/>
    <x v="0"/>
    <x v="0"/>
    <x v="2"/>
    <x v="3"/>
    <s v="FIN_GAS"/>
    <x v="2"/>
    <s v="GHOB_NATGAS"/>
    <n v="0.235779004831662"/>
    <n v="0.84880441739398305"/>
  </r>
  <r>
    <x v="0"/>
    <x v="0"/>
    <x v="0"/>
    <x v="2"/>
    <x v="3"/>
    <s v="FIN_HELS"/>
    <x v="2"/>
    <s v="GBPR_NATGAS_MARTINLAAKSOGT"/>
    <n v="1.3710156609086099"/>
    <n v="4.9356563792709904"/>
  </r>
  <r>
    <x v="0"/>
    <x v="0"/>
    <x v="0"/>
    <x v="2"/>
    <x v="3"/>
    <s v="FIN_HELS"/>
    <x v="2"/>
    <s v="GBPR_NATGAS_VOUSAARI"/>
    <n v="3.0804395604395598"/>
    <n v="11.089582417582401"/>
  </r>
  <r>
    <x v="0"/>
    <x v="0"/>
    <x v="0"/>
    <x v="2"/>
    <x v="3"/>
    <s v="FIN_HELS"/>
    <x v="2"/>
    <s v="GEXT_NATGAS_VOUSAARI"/>
    <n v="7.9176923076923096"/>
    <n v="28.503692307692301"/>
  </r>
  <r>
    <x v="0"/>
    <x v="0"/>
    <x v="0"/>
    <x v="2"/>
    <x v="3"/>
    <s v="FIN_HELS"/>
    <x v="2"/>
    <s v="GHOB_NATGAS"/>
    <n v="6.4053381967449603"/>
    <n v="23.059217508281801"/>
  </r>
  <r>
    <x v="0"/>
    <x v="0"/>
    <x v="0"/>
    <x v="2"/>
    <x v="3"/>
    <s v="FIN_HP"/>
    <x v="11"/>
    <s v="GHOB_BIOGAS"/>
    <n v="4.1223529411764701E-2"/>
    <n v="0.14840470588235299"/>
  </r>
  <r>
    <x v="0"/>
    <x v="0"/>
    <x v="0"/>
    <x v="2"/>
    <x v="3"/>
    <s v="FIN_HP"/>
    <x v="0"/>
    <s v="GBPR_COAL_NAANTALI"/>
    <n v="2.8839729224223198"/>
    <n v="10.382302520720399"/>
  </r>
  <r>
    <x v="0"/>
    <x v="0"/>
    <x v="0"/>
    <x v="2"/>
    <x v="3"/>
    <s v="FIN_HP"/>
    <x v="17"/>
    <s v="GHOB_PEAT"/>
    <n v="4.62984982862263E-2"/>
    <n v="0.166674593830415"/>
  </r>
  <r>
    <x v="0"/>
    <x v="0"/>
    <x v="0"/>
    <x v="2"/>
    <x v="3"/>
    <s v="FIN_HP"/>
    <x v="4"/>
    <s v="GHOB_WASTEHEAT"/>
    <n v="4.6126373626373403E-2"/>
    <n v="0.166054945054944"/>
  </r>
  <r>
    <x v="0"/>
    <x v="0"/>
    <x v="0"/>
    <x v="2"/>
    <x v="3"/>
    <s v="FIN_HP"/>
    <x v="5"/>
    <s v="GHOB_WOODCHIPS"/>
    <n v="0.84485333333333401"/>
    <n v="3.0414720000000002"/>
  </r>
  <r>
    <x v="0"/>
    <x v="0"/>
    <x v="0"/>
    <x v="2"/>
    <x v="3"/>
    <s v="FIN_HP"/>
    <x v="9"/>
    <s v="GHOB_WOODPELLETS"/>
    <n v="1.6546666666666699E-2"/>
    <n v="5.9568000000000003E-2"/>
  </r>
  <r>
    <x v="0"/>
    <x v="0"/>
    <x v="0"/>
    <x v="2"/>
    <x v="3"/>
    <s v="FIN_HP"/>
    <x v="10"/>
    <s v="GHOB_WOODWASTE"/>
    <n v="0.30402352941176503"/>
    <n v="1.0944847058823499"/>
  </r>
  <r>
    <x v="0"/>
    <x v="0"/>
    <x v="0"/>
    <x v="2"/>
    <x v="3"/>
    <s v="FIN_OTHER"/>
    <x v="2"/>
    <s v="GBPR_NATGAS_100"/>
    <n v="3.9539454545454502"/>
    <n v="14.234203636363601"/>
  </r>
  <r>
    <x v="0"/>
    <x v="0"/>
    <x v="0"/>
    <x v="2"/>
    <x v="3"/>
    <s v="FIN_OTHER"/>
    <x v="2"/>
    <s v="GHOB_NATGAS"/>
    <n v="2.58962386326963"/>
    <n v="9.3226459077706796"/>
  </r>
  <r>
    <x v="0"/>
    <x v="0"/>
    <x v="0"/>
    <x v="2"/>
    <x v="3"/>
    <s v="FIN_OTHER"/>
    <x v="16"/>
    <s v="GHOB_NATGAS_EXETS"/>
    <n v="1.3450674042497399"/>
    <n v="4.8422426552990698"/>
  </r>
  <r>
    <x v="0"/>
    <x v="0"/>
    <x v="0"/>
    <x v="2"/>
    <x v="3"/>
    <s v="FIN_OTHER"/>
    <x v="4"/>
    <s v="GHOB_WASTEHEAT"/>
    <n v="1.8822568681318601"/>
    <n v="6.7761247252747001"/>
  </r>
  <r>
    <x v="0"/>
    <x v="0"/>
    <x v="0"/>
    <x v="2"/>
    <x v="3"/>
    <s v="FIN_OTHER"/>
    <x v="5"/>
    <s v="GBPR_WOODCHIPS_FINOTHER"/>
    <n v="7.4384406091370501"/>
    <n v="26.7783861928934"/>
  </r>
  <r>
    <x v="0"/>
    <x v="0"/>
    <x v="0"/>
    <x v="2"/>
    <x v="3"/>
    <s v="FIN_OTHER"/>
    <x v="5"/>
    <s v="GHOB_WOODCHIPS"/>
    <n v="5.1080533333333298"/>
    <n v="18.388991999999998"/>
  </r>
  <r>
    <x v="0"/>
    <x v="0"/>
    <x v="0"/>
    <x v="2"/>
    <x v="3"/>
    <s v="FIN_OTHER"/>
    <x v="9"/>
    <s v="GBPR_WOODPELLETS"/>
    <n v="3.3426509259777297E-2"/>
    <n v="0.120335433335198"/>
  </r>
  <r>
    <x v="0"/>
    <x v="0"/>
    <x v="0"/>
    <x v="2"/>
    <x v="3"/>
    <s v="FIN_OTHER"/>
    <x v="9"/>
    <s v="GHOB_WOODPELLETS"/>
    <n v="0.23278888888888899"/>
    <n v="0.83804000000000001"/>
  </r>
  <r>
    <x v="0"/>
    <x v="0"/>
    <x v="0"/>
    <x v="2"/>
    <x v="3"/>
    <s v="FIN_OTHER"/>
    <x v="10"/>
    <s v="GBPR_WOODWASTE_FINOTHER"/>
    <n v="3.7731537037037"/>
    <n v="13.583353333333299"/>
  </r>
  <r>
    <x v="0"/>
    <x v="0"/>
    <x v="0"/>
    <x v="2"/>
    <x v="3"/>
    <s v="FIN_OTHER"/>
    <x v="10"/>
    <s v="GHOB_WOODWASTE"/>
    <n v="1.7190211764705901"/>
    <n v="6.1884762352941198"/>
  </r>
  <r>
    <x v="0"/>
    <x v="0"/>
    <x v="0"/>
    <x v="2"/>
    <x v="3"/>
    <s v="FIN_TAMP"/>
    <x v="2"/>
    <s v="GEXT_NATGAS_TAMPERE"/>
    <n v="6.5407999999999999"/>
    <n v="23.546880000000002"/>
  </r>
  <r>
    <x v="0"/>
    <x v="0"/>
    <x v="0"/>
    <x v="2"/>
    <x v="3"/>
    <s v="FinA"/>
    <x v="2"/>
    <s v="GBPR_NATGAS_IND"/>
    <n v="7.7137772727272704"/>
    <n v="27.7695981818182"/>
  </r>
  <r>
    <x v="0"/>
    <x v="0"/>
    <x v="0"/>
    <x v="2"/>
    <x v="3"/>
    <s v="FinA"/>
    <x v="2"/>
    <s v="GCND_NATGAS1"/>
    <n v="5.9790476190476199E-2"/>
    <n v="0.21524571428571401"/>
  </r>
  <r>
    <x v="0"/>
    <x v="0"/>
    <x v="0"/>
    <x v="2"/>
    <x v="3"/>
    <s v="FinA"/>
    <x v="2"/>
    <s v="GCND_NATGAS2"/>
    <n v="0.216482758620689"/>
    <n v="0.77933793103448101"/>
  </r>
  <r>
    <x v="0"/>
    <x v="0"/>
    <x v="0"/>
    <x v="2"/>
    <x v="3"/>
    <s v="FinA"/>
    <x v="2"/>
    <s v="GCND_NATGAS3"/>
    <n v="0.31389999999999901"/>
    <n v="1.1300399999999999"/>
  </r>
  <r>
    <x v="0"/>
    <x v="0"/>
    <x v="0"/>
    <x v="2"/>
    <x v="3"/>
    <s v="FinA"/>
    <x v="18"/>
    <s v="GCND_NUCLEAR"/>
    <n v="72.575688959999994"/>
    <n v="261.27248025599999"/>
  </r>
  <r>
    <x v="0"/>
    <x v="0"/>
    <x v="0"/>
    <x v="2"/>
    <x v="3"/>
    <s v="FinA"/>
    <x v="7"/>
    <s v="GNR_RES_WTR_NOPMP_MC-01"/>
    <n v="1.3748819999999999"/>
    <n v="4.9495752"/>
  </r>
  <r>
    <x v="0"/>
    <x v="0"/>
    <x v="0"/>
    <x v="2"/>
    <x v="3"/>
    <s v="FinA"/>
    <x v="7"/>
    <s v="GNR_RES_WTR_NOPMP_MC-02"/>
    <n v="1.3748819999999999"/>
    <n v="4.9495752"/>
  </r>
  <r>
    <x v="0"/>
    <x v="0"/>
    <x v="0"/>
    <x v="2"/>
    <x v="3"/>
    <s v="FinA"/>
    <x v="7"/>
    <s v="GNR_RES_WTR_NOPMP_MC-03"/>
    <n v="1.3748819999999999"/>
    <n v="4.9495752"/>
  </r>
  <r>
    <x v="0"/>
    <x v="0"/>
    <x v="0"/>
    <x v="2"/>
    <x v="3"/>
    <s v="FinA"/>
    <x v="7"/>
    <s v="GNR_RES_WTR_NOPMP_MC-04"/>
    <n v="1.3748819999999999"/>
    <n v="4.9495752"/>
  </r>
  <r>
    <x v="0"/>
    <x v="0"/>
    <x v="0"/>
    <x v="2"/>
    <x v="3"/>
    <s v="FinA"/>
    <x v="7"/>
    <s v="GNR_RES_WTR_NOPMP_MC-05"/>
    <n v="1.3088700701317"/>
    <n v="4.7119322524741198"/>
  </r>
  <r>
    <x v="0"/>
    <x v="0"/>
    <x v="0"/>
    <x v="2"/>
    <x v="3"/>
    <s v="FinA"/>
    <x v="7"/>
    <s v="GNR_RES_WTR_NOPMP_MC-06"/>
    <n v="0.80201449999999996"/>
    <n v="2.8872521999999998"/>
  </r>
  <r>
    <x v="0"/>
    <x v="0"/>
    <x v="0"/>
    <x v="2"/>
    <x v="3"/>
    <s v="FinA"/>
    <x v="7"/>
    <s v="GNR_RES_WTR_NOPMP_MC-07"/>
    <n v="0.80201449999999996"/>
    <n v="2.8872521999999998"/>
  </r>
  <r>
    <x v="0"/>
    <x v="0"/>
    <x v="0"/>
    <x v="2"/>
    <x v="3"/>
    <s v="FinA"/>
    <x v="7"/>
    <s v="GNR_RES_WTR_NOPMP_MC-08"/>
    <n v="0.46152592986830199"/>
    <n v="1.66149334752589"/>
  </r>
  <r>
    <x v="0"/>
    <x v="0"/>
    <x v="0"/>
    <x v="2"/>
    <x v="3"/>
    <s v="FinA"/>
    <x v="7"/>
    <s v="GNR_RES_WTR_NOPMP_MC-09"/>
    <n v="0.22914699999999999"/>
    <n v="0.82492920000000003"/>
  </r>
  <r>
    <x v="0"/>
    <x v="0"/>
    <x v="0"/>
    <x v="2"/>
    <x v="3"/>
    <s v="FinA"/>
    <x v="7"/>
    <s v="GNR_ROR_WTR"/>
    <n v="8.0631208425029399"/>
    <n v="29.027235033010601"/>
  </r>
  <r>
    <x v="0"/>
    <x v="0"/>
    <x v="0"/>
    <x v="2"/>
    <x v="3"/>
    <s v="FinA"/>
    <x v="8"/>
    <s v="GNR_WT_WIND_ONS"/>
    <n v="2.967977935"/>
    <n v="10.684720565999999"/>
  </r>
  <r>
    <x v="0"/>
    <x v="0"/>
    <x v="0"/>
    <x v="2"/>
    <x v="3"/>
    <s v="FinA"/>
    <x v="13"/>
    <s v="GBPR_IND_BIO"/>
    <n v="5.6371807967313599"/>
    <n v="20.293850868232902"/>
  </r>
  <r>
    <x v="0"/>
    <x v="0"/>
    <x v="0"/>
    <x v="2"/>
    <x v="3"/>
    <s v="FinA"/>
    <x v="13"/>
    <s v="GBPR_WOOD_IND"/>
    <n v="47.480581240735802"/>
    <n v="170.930092466649"/>
  </r>
  <r>
    <x v="0"/>
    <x v="0"/>
    <x v="0"/>
    <x v="2"/>
    <x v="3"/>
    <s v="FinA"/>
    <x v="13"/>
    <s v="GCND_COFIRING"/>
    <n v="5.7005699999999999"/>
    <n v="20.522051999999999"/>
  </r>
  <r>
    <x v="0"/>
    <x v="0"/>
    <x v="0"/>
    <x v="2"/>
    <x v="3"/>
    <s v="FinA"/>
    <x v="5"/>
    <s v="GCND_WOODCHIPS"/>
    <n v="0.160554231974922"/>
    <n v="0.57799523510971795"/>
  </r>
  <r>
    <x v="0"/>
    <x v="0"/>
    <x v="0"/>
    <x v="3"/>
    <x v="4"/>
    <s v="DE4-E_A"/>
    <x v="11"/>
    <s v="GNR_ENG_BGAS_BP_E-45"/>
    <n v="2.2930111111111099E-2"/>
    <n v="8.2548399999999994E-2"/>
  </r>
  <r>
    <x v="0"/>
    <x v="0"/>
    <x v="0"/>
    <x v="3"/>
    <x v="4"/>
    <s v="DE4-E_A"/>
    <x v="11"/>
    <s v="GNR_ENG_BGAS_CND_E-44"/>
    <n v="15.6827665342042"/>
    <n v="56.457959523135102"/>
  </r>
  <r>
    <x v="0"/>
    <x v="0"/>
    <x v="0"/>
    <x v="3"/>
    <x v="4"/>
    <s v="DE4-E_A"/>
    <x v="11"/>
    <s v="GNR_ST_BGAS_BP_E-38"/>
    <n v="2.4343578947368401"/>
    <n v="8.7636884210526294"/>
  </r>
  <r>
    <x v="0"/>
    <x v="0"/>
    <x v="0"/>
    <x v="3"/>
    <x v="4"/>
    <s v="DE4-E_A"/>
    <x v="11"/>
    <s v="GNR_ST_BGAS_CND_E-38"/>
    <n v="0.21266052631578899"/>
    <n v="0.76557789473684201"/>
  </r>
  <r>
    <x v="0"/>
    <x v="0"/>
    <x v="0"/>
    <x v="3"/>
    <x v="4"/>
    <s v="DE4-E_A"/>
    <x v="19"/>
    <s v="AGG-DE4-E_ES_ELEC"/>
    <n v="4.2826666666666698E-4"/>
    <n v="1.5417600000000001E-3"/>
  </r>
  <r>
    <x v="0"/>
    <x v="0"/>
    <x v="0"/>
    <x v="3"/>
    <x v="4"/>
    <s v="DE4-E_A"/>
    <x v="19"/>
    <s v="AGG-DE4-E_RES_WTR_PMP"/>
    <n v="2.8030197644610202"/>
    <n v="10.0908711520597"/>
  </r>
  <r>
    <x v="0"/>
    <x v="0"/>
    <x v="0"/>
    <x v="3"/>
    <x v="4"/>
    <s v="DE4-E_A"/>
    <x v="19"/>
    <s v="GNR_ES_ELEC_BAT-LITHIO_E-95_Y-16-29"/>
    <n v="5.0982631478298597"/>
    <n v="18.353747332187499"/>
  </r>
  <r>
    <x v="0"/>
    <x v="0"/>
    <x v="0"/>
    <x v="3"/>
    <x v="4"/>
    <s v="DE4-E_A"/>
    <x v="1"/>
    <s v="GNR_ST_MSW_BP_E-33"/>
    <n v="5.6565822250940903"/>
    <n v="20.3636960103387"/>
  </r>
  <r>
    <x v="0"/>
    <x v="0"/>
    <x v="0"/>
    <x v="3"/>
    <x v="4"/>
    <s v="DE4-E_A"/>
    <x v="1"/>
    <s v="GNR_ST_MSW_CND_E-33"/>
    <n v="1.7281090909090899"/>
    <n v="6.2211927272727303"/>
  </r>
  <r>
    <x v="0"/>
    <x v="0"/>
    <x v="0"/>
    <x v="3"/>
    <x v="4"/>
    <s v="DE4-E_A"/>
    <x v="2"/>
    <s v="GNR_CC_NGAS_BP_E-53"/>
    <n v="33.0549509433962"/>
    <n v="118.997823396226"/>
  </r>
  <r>
    <x v="0"/>
    <x v="0"/>
    <x v="0"/>
    <x v="3"/>
    <x v="4"/>
    <s v="DE4-E_A"/>
    <x v="2"/>
    <s v="GNR_CC_NGAS_CND_E-51"/>
    <n v="2.74823529411765"/>
    <n v="9.8936470588235199"/>
  </r>
  <r>
    <x v="0"/>
    <x v="0"/>
    <x v="0"/>
    <x v="3"/>
    <x v="4"/>
    <s v="DE4-E_A"/>
    <x v="2"/>
    <s v="GNR_CC_NGAS_CND_E-57"/>
    <n v="0.768421052631579"/>
    <n v="2.7663157894736901"/>
  </r>
  <r>
    <x v="0"/>
    <x v="0"/>
    <x v="0"/>
    <x v="3"/>
    <x v="4"/>
    <s v="DE4-E_A"/>
    <x v="2"/>
    <s v="GNR_GT_NGAS_BP_E-38"/>
    <n v="5.20297894736842"/>
    <n v="18.730724210526301"/>
  </r>
  <r>
    <x v="0"/>
    <x v="0"/>
    <x v="0"/>
    <x v="3"/>
    <x v="4"/>
    <s v="DE4-E_A"/>
    <x v="2"/>
    <s v="GNR_GT_NGAS_CND_E-35"/>
    <n v="11.1627428571429"/>
    <n v="40.185874285714299"/>
  </r>
  <r>
    <x v="0"/>
    <x v="0"/>
    <x v="0"/>
    <x v="3"/>
    <x v="4"/>
    <s v="DE4-E_A"/>
    <x v="2"/>
    <s v="GNR_ST_NGAS_BP_E-31"/>
    <n v="0.74883870967741895"/>
    <n v="2.6958193548387102"/>
  </r>
  <r>
    <x v="0"/>
    <x v="0"/>
    <x v="0"/>
    <x v="3"/>
    <x v="4"/>
    <s v="DE4-E_A"/>
    <x v="2"/>
    <s v="GNR_ST_NGAS_BP_E-38"/>
    <n v="28.1933684210526"/>
    <n v="101.496126315789"/>
  </r>
  <r>
    <x v="0"/>
    <x v="0"/>
    <x v="0"/>
    <x v="3"/>
    <x v="4"/>
    <s v="DE4-E_A"/>
    <x v="2"/>
    <s v="GNR_ST_NGAS_CND_E-38"/>
    <n v="0.92210526315789398"/>
    <n v="3.3195789473684201"/>
  </r>
  <r>
    <x v="0"/>
    <x v="0"/>
    <x v="0"/>
    <x v="3"/>
    <x v="4"/>
    <s v="DE4-E_A"/>
    <x v="6"/>
    <s v="GNR_PV_SUN"/>
    <n v="11.438265235278299"/>
    <n v="41.1777548470018"/>
  </r>
  <r>
    <x v="0"/>
    <x v="0"/>
    <x v="0"/>
    <x v="3"/>
    <x v="4"/>
    <s v="DE4-E_A"/>
    <x v="4"/>
    <s v="GNR_GEO_HEAT_EO"/>
    <n v="1.9272E-3"/>
    <n v="6.9379200000000002E-3"/>
  </r>
  <r>
    <x v="0"/>
    <x v="0"/>
    <x v="0"/>
    <x v="3"/>
    <x v="4"/>
    <s v="DE4-E_A"/>
    <x v="7"/>
    <s v="GNR_ROR_WTR"/>
    <n v="2.6530440910678799"/>
    <n v="9.5509587278443497"/>
  </r>
  <r>
    <x v="0"/>
    <x v="0"/>
    <x v="0"/>
    <x v="3"/>
    <x v="4"/>
    <s v="DE4-E_A"/>
    <x v="8"/>
    <s v="GNR_WT_WIND_ONS"/>
    <n v="40.504328129999998"/>
    <n v="145.81558126799999"/>
  </r>
  <r>
    <x v="0"/>
    <x v="0"/>
    <x v="0"/>
    <x v="3"/>
    <x v="4"/>
    <s v="DE4-E_Offshore_A"/>
    <x v="8"/>
    <s v="GNR_WT_WIND_OFF"/>
    <n v="1.4729939999999999"/>
    <n v="5.3027784000000002"/>
  </r>
  <r>
    <x v="0"/>
    <x v="0"/>
    <x v="0"/>
    <x v="3"/>
    <x v="5"/>
    <s v="DE4-N_A"/>
    <x v="11"/>
    <s v="GNR_BO_BGAS_E-80"/>
    <n v="2.1900000000000001E-3"/>
    <n v="7.8840000000000004E-3"/>
  </r>
  <r>
    <x v="0"/>
    <x v="0"/>
    <x v="0"/>
    <x v="3"/>
    <x v="5"/>
    <s v="DE4-N_A"/>
    <x v="11"/>
    <s v="GNR_ENG_BGAS_BP_E-45"/>
    <n v="9.3439999999999999E-3"/>
    <n v="3.3638399999999999E-2"/>
  </r>
  <r>
    <x v="0"/>
    <x v="0"/>
    <x v="0"/>
    <x v="3"/>
    <x v="5"/>
    <s v="DE4-N_A"/>
    <x v="11"/>
    <s v="GNR_ENG_BGAS_CND_E-44"/>
    <n v="1.2052963636363601"/>
    <n v="4.33906690909091"/>
  </r>
  <r>
    <x v="0"/>
    <x v="0"/>
    <x v="0"/>
    <x v="3"/>
    <x v="5"/>
    <s v="DE4-N_A"/>
    <x v="11"/>
    <s v="GNR_ST_BGAS_BP_E-38"/>
    <n v="0.46105263157894699"/>
    <n v="1.65978947368421"/>
  </r>
  <r>
    <x v="0"/>
    <x v="0"/>
    <x v="0"/>
    <x v="3"/>
    <x v="5"/>
    <s v="DE4-N_A"/>
    <x v="0"/>
    <s v="GNR_ST_COAL_BP_E-40"/>
    <n v="0.79250807074062801"/>
    <n v="2.8530290546662598"/>
  </r>
  <r>
    <x v="0"/>
    <x v="0"/>
    <x v="0"/>
    <x v="3"/>
    <x v="5"/>
    <s v="DE4-N_A"/>
    <x v="19"/>
    <s v="AGG-DE4-N_ES_ELEC"/>
    <n v="1.3626666666666701E-4"/>
    <n v="4.9056000000000002E-4"/>
  </r>
  <r>
    <x v="0"/>
    <x v="0"/>
    <x v="0"/>
    <x v="3"/>
    <x v="5"/>
    <s v="DE4-N_A"/>
    <x v="19"/>
    <s v="AGG-DE4-N_RES_WTR_PMP"/>
    <n v="0.22343160000000001"/>
    <n v="0.80435376000000003"/>
  </r>
  <r>
    <x v="0"/>
    <x v="0"/>
    <x v="0"/>
    <x v="3"/>
    <x v="5"/>
    <s v="DE4-N_A"/>
    <x v="19"/>
    <s v="GNR_ES_ELEC_BAT-LITHIO_E-95_Y-16-29"/>
    <n v="1.45005097707397"/>
    <n v="5.2201835174662996"/>
  </r>
  <r>
    <x v="0"/>
    <x v="0"/>
    <x v="0"/>
    <x v="3"/>
    <x v="5"/>
    <s v="DE4-N_A"/>
    <x v="14"/>
    <s v="GNR_ST_FUELOIL_BP_E-35"/>
    <n v="1.86462857142857"/>
    <n v="6.7126628571428597"/>
  </r>
  <r>
    <x v="0"/>
    <x v="0"/>
    <x v="0"/>
    <x v="3"/>
    <x v="5"/>
    <s v="DE4-N_A"/>
    <x v="14"/>
    <s v="GNR_ST_FUELOIL_BP_E-38"/>
    <n v="0.876"/>
    <n v="3.1536"/>
  </r>
  <r>
    <x v="0"/>
    <x v="0"/>
    <x v="0"/>
    <x v="3"/>
    <x v="5"/>
    <s v="DE4-N_A"/>
    <x v="1"/>
    <s v="GNR_BO_MSW_E-80"/>
    <n v="3.3944999999999999E-3"/>
    <n v="1.2220200000000001E-2"/>
  </r>
  <r>
    <x v="0"/>
    <x v="0"/>
    <x v="0"/>
    <x v="3"/>
    <x v="5"/>
    <s v="DE4-N_A"/>
    <x v="1"/>
    <s v="GNR_ST_MSW_BP_E-33"/>
    <n v="1.08836363636364"/>
    <n v="3.9181090909091001"/>
  </r>
  <r>
    <x v="0"/>
    <x v="0"/>
    <x v="0"/>
    <x v="3"/>
    <x v="5"/>
    <s v="DE4-N_A"/>
    <x v="2"/>
    <s v="GNR_CC_NGAS_BP_E-57"/>
    <n v="1.9517894736842101"/>
    <n v="7.0264421052631603"/>
  </r>
  <r>
    <x v="0"/>
    <x v="0"/>
    <x v="0"/>
    <x v="3"/>
    <x v="5"/>
    <s v="DE4-N_A"/>
    <x v="2"/>
    <s v="GNR_ST_NGAS_BP_E-39"/>
    <n v="2.8863076923076898"/>
    <n v="10.3907076923077"/>
  </r>
  <r>
    <x v="0"/>
    <x v="0"/>
    <x v="0"/>
    <x v="3"/>
    <x v="5"/>
    <s v="DE4-N_A"/>
    <x v="18"/>
    <s v="GNR_ST_NUCL_CND_E-33"/>
    <n v="37.429090909090903"/>
    <n v="134.744727272727"/>
  </r>
  <r>
    <x v="0"/>
    <x v="0"/>
    <x v="0"/>
    <x v="3"/>
    <x v="5"/>
    <s v="DE4-N_A"/>
    <x v="6"/>
    <s v="GNR_PV_SUN"/>
    <n v="1.6803275310545001"/>
    <n v="6.0491791117962102"/>
  </r>
  <r>
    <x v="0"/>
    <x v="0"/>
    <x v="0"/>
    <x v="3"/>
    <x v="5"/>
    <s v="DE4-N_A"/>
    <x v="7"/>
    <s v="GNR_ROR_WTR"/>
    <n v="2.3376999999999998E-2"/>
    <n v="8.4157200000000001E-2"/>
  </r>
  <r>
    <x v="0"/>
    <x v="0"/>
    <x v="0"/>
    <x v="3"/>
    <x v="5"/>
    <s v="DE4-N_A"/>
    <x v="8"/>
    <s v="GNR_WT_WIND_ONS"/>
    <n v="17.132994289999999"/>
    <n v="61.678779444"/>
  </r>
  <r>
    <x v="0"/>
    <x v="0"/>
    <x v="0"/>
    <x v="3"/>
    <x v="5"/>
    <s v="DE4-N_Offshore_A"/>
    <x v="8"/>
    <s v="GNR_WT_WIND_OFF"/>
    <n v="4.0293000000000001"/>
    <n v="14.50548"/>
  </r>
  <r>
    <x v="0"/>
    <x v="0"/>
    <x v="0"/>
    <x v="3"/>
    <x v="6"/>
    <s v="DE4-S_A"/>
    <x v="11"/>
    <s v="GNR_ENG_BGAS_BP_E-45"/>
    <n v="7.6828444444444394E-2"/>
    <n v="0.27658240000000001"/>
  </r>
  <r>
    <x v="0"/>
    <x v="0"/>
    <x v="0"/>
    <x v="3"/>
    <x v="6"/>
    <s v="DE4-S_A"/>
    <x v="11"/>
    <s v="GNR_ENG_BGAS_CND_E-44"/>
    <n v="6.2880623863636398"/>
    <n v="22.6370245909091"/>
  </r>
  <r>
    <x v="0"/>
    <x v="0"/>
    <x v="0"/>
    <x v="3"/>
    <x v="6"/>
    <s v="DE4-S_A"/>
    <x v="11"/>
    <s v="GNR_ST_BGAS_CND_E-38"/>
    <n v="7.7418421052631595E-2"/>
    <n v="0.27870631578947402"/>
  </r>
  <r>
    <x v="0"/>
    <x v="0"/>
    <x v="0"/>
    <x v="3"/>
    <x v="6"/>
    <s v="DE4-S_A"/>
    <x v="19"/>
    <s v="AGG-DE4-S_ES_ELEC"/>
    <n v="1.7276666666666701E-3"/>
    <n v="6.2195999999999996E-3"/>
  </r>
  <r>
    <x v="0"/>
    <x v="0"/>
    <x v="0"/>
    <x v="3"/>
    <x v="6"/>
    <s v="DE4-S_A"/>
    <x v="19"/>
    <s v="AGG-DE4-S_RES_WTR_PMP"/>
    <n v="2.5891109999999999"/>
    <n v="9.3207996000000009"/>
  </r>
  <r>
    <x v="0"/>
    <x v="0"/>
    <x v="0"/>
    <x v="3"/>
    <x v="6"/>
    <s v="DE4-S_A"/>
    <x v="19"/>
    <s v="GNR_ES_ELEC_BAT-LITHIO_E-95_Y-16-29"/>
    <n v="5.7248618532470701"/>
    <n v="20.609502671689501"/>
  </r>
  <r>
    <x v="0"/>
    <x v="0"/>
    <x v="0"/>
    <x v="3"/>
    <x v="6"/>
    <s v="DE4-S_A"/>
    <x v="1"/>
    <s v="GNR_ST_MSW_BP_E-33"/>
    <n v="3.0961954545454602"/>
    <n v="11.146303636363699"/>
  </r>
  <r>
    <x v="0"/>
    <x v="0"/>
    <x v="0"/>
    <x v="3"/>
    <x v="6"/>
    <s v="DE4-S_A"/>
    <x v="1"/>
    <s v="GNR_ST_MSW_CND_E-33"/>
    <n v="1.06181818181818"/>
    <n v="3.8225454545454598"/>
  </r>
  <r>
    <x v="0"/>
    <x v="0"/>
    <x v="0"/>
    <x v="3"/>
    <x v="6"/>
    <s v="DE4-S_A"/>
    <x v="2"/>
    <s v="GNR_CC_NGAS_BP_E-53"/>
    <n v="53.682271698113198"/>
    <n v="193.256178113207"/>
  </r>
  <r>
    <x v="0"/>
    <x v="0"/>
    <x v="0"/>
    <x v="3"/>
    <x v="6"/>
    <s v="DE4-S_A"/>
    <x v="2"/>
    <s v="GNR_CC_NGAS_CND_E-43"/>
    <n v="16.7662325581395"/>
    <n v="60.358437209302402"/>
  </r>
  <r>
    <x v="0"/>
    <x v="0"/>
    <x v="0"/>
    <x v="3"/>
    <x v="6"/>
    <s v="DE4-S_A"/>
    <x v="2"/>
    <s v="GNR_CC_NGAS_CND_E-57"/>
    <n v="28.2563789473684"/>
    <n v="101.722964210526"/>
  </r>
  <r>
    <x v="0"/>
    <x v="0"/>
    <x v="0"/>
    <x v="3"/>
    <x v="6"/>
    <s v="DE4-S_A"/>
    <x v="2"/>
    <s v="GNR_ENG_NGAS_BP_E-46"/>
    <n v="0.63033913043478196"/>
    <n v="2.2692208695652201"/>
  </r>
  <r>
    <x v="0"/>
    <x v="0"/>
    <x v="0"/>
    <x v="3"/>
    <x v="6"/>
    <s v="DE4-S_A"/>
    <x v="2"/>
    <s v="GNR_GT_NGAS_BP_E-32"/>
    <n v="1.0037499999999999"/>
    <n v="3.6135000000000002"/>
  </r>
  <r>
    <x v="0"/>
    <x v="0"/>
    <x v="0"/>
    <x v="3"/>
    <x v="6"/>
    <s v="DE4-S_A"/>
    <x v="2"/>
    <s v="GNR_GT_NGAS_BP_E-37"/>
    <n v="2.6457567567567599"/>
    <n v="9.52472432432433"/>
  </r>
  <r>
    <x v="0"/>
    <x v="0"/>
    <x v="0"/>
    <x v="3"/>
    <x v="6"/>
    <s v="DE4-S_A"/>
    <x v="2"/>
    <s v="GNR_GT_NGAS_CND_E-31"/>
    <n v="4.5636774193548399"/>
    <n v="16.429238709677399"/>
  </r>
  <r>
    <x v="0"/>
    <x v="0"/>
    <x v="0"/>
    <x v="3"/>
    <x v="6"/>
    <s v="DE4-S_A"/>
    <x v="2"/>
    <s v="GNR_ST_NGAS_BP_E-38"/>
    <n v="22.734505263157899"/>
    <n v="81.844218947368404"/>
  </r>
  <r>
    <x v="0"/>
    <x v="0"/>
    <x v="0"/>
    <x v="3"/>
    <x v="6"/>
    <s v="DE4-S_A"/>
    <x v="2"/>
    <s v="GNR_ST_NGAS_CND_E-36"/>
    <n v="10.098333333333301"/>
    <n v="36.353999999999999"/>
  </r>
  <r>
    <x v="0"/>
    <x v="0"/>
    <x v="0"/>
    <x v="3"/>
    <x v="6"/>
    <s v="DE4-S_A"/>
    <x v="18"/>
    <s v="GNR_ST_NUCL_CND_E-33"/>
    <n v="177.69527272727299"/>
    <n v="639.70298181818202"/>
  </r>
  <r>
    <x v="0"/>
    <x v="0"/>
    <x v="0"/>
    <x v="3"/>
    <x v="6"/>
    <s v="DE4-S_A"/>
    <x v="6"/>
    <s v="GNR_PV_SUN"/>
    <n v="21.7176092114785"/>
    <n v="78.183393161322698"/>
  </r>
  <r>
    <x v="0"/>
    <x v="0"/>
    <x v="0"/>
    <x v="3"/>
    <x v="6"/>
    <s v="DE4-S_A"/>
    <x v="4"/>
    <s v="GNR_GEO_HEAT_EO"/>
    <n v="0.39209759999999999"/>
    <n v="1.41155136"/>
  </r>
  <r>
    <x v="0"/>
    <x v="0"/>
    <x v="0"/>
    <x v="3"/>
    <x v="6"/>
    <s v="DE4-S_A"/>
    <x v="7"/>
    <s v="GNR_RES_WTR_NOPMP"/>
    <n v="0.59766271944701799"/>
    <n v="2.1515857900092699"/>
  </r>
  <r>
    <x v="0"/>
    <x v="0"/>
    <x v="0"/>
    <x v="3"/>
    <x v="6"/>
    <s v="DE4-S_A"/>
    <x v="7"/>
    <s v="GNR_ROR_WTR"/>
    <n v="38.207127800000002"/>
    <n v="137.54566008"/>
  </r>
  <r>
    <x v="0"/>
    <x v="0"/>
    <x v="0"/>
    <x v="3"/>
    <x v="6"/>
    <s v="DE4-S_A"/>
    <x v="8"/>
    <s v="GNR_WT_WIND_ONS"/>
    <n v="13.97148009"/>
    <n v="50.297328323999999"/>
  </r>
  <r>
    <x v="0"/>
    <x v="0"/>
    <x v="0"/>
    <x v="3"/>
    <x v="7"/>
    <s v="DE4-W_A"/>
    <x v="11"/>
    <s v="GNR_ENG_BGAS_BP_E-45"/>
    <n v="4.2802333333333303E-2"/>
    <n v="0.15408839999999999"/>
  </r>
  <r>
    <x v="0"/>
    <x v="0"/>
    <x v="0"/>
    <x v="3"/>
    <x v="7"/>
    <s v="DE4-W_A"/>
    <x v="11"/>
    <s v="GNR_ENG_BGAS_CND_E-44"/>
    <n v="14.567975655613701"/>
    <n v="52.444712360209301"/>
  </r>
  <r>
    <x v="0"/>
    <x v="0"/>
    <x v="0"/>
    <x v="3"/>
    <x v="7"/>
    <s v="DE4-W_A"/>
    <x v="11"/>
    <s v="GNR_ST_BGAS_BP_E-38"/>
    <n v="0.25799736842105297"/>
    <n v="0.92879052631578995"/>
  </r>
  <r>
    <x v="0"/>
    <x v="0"/>
    <x v="0"/>
    <x v="3"/>
    <x v="7"/>
    <s v="DE4-W_A"/>
    <x v="11"/>
    <s v="GNR_ST_BGAS_CND_E-38"/>
    <n v="0.27230921052631601"/>
    <n v="0.98031315789473705"/>
  </r>
  <r>
    <x v="0"/>
    <x v="0"/>
    <x v="0"/>
    <x v="3"/>
    <x v="7"/>
    <s v="DE4-W_A"/>
    <x v="19"/>
    <s v="AGG-DE4-W_ES_ELEC"/>
    <n v="9.8550000000000005E-4"/>
    <n v="3.5477999999999998E-3"/>
  </r>
  <r>
    <x v="0"/>
    <x v="0"/>
    <x v="0"/>
    <x v="3"/>
    <x v="7"/>
    <s v="DE4-W_A"/>
    <x v="19"/>
    <s v="AGG-DE4-W_RES_WTR_PMP"/>
    <n v="1.4302079999999999"/>
    <n v="5.1487487999999999"/>
  </r>
  <r>
    <x v="0"/>
    <x v="0"/>
    <x v="0"/>
    <x v="3"/>
    <x v="7"/>
    <s v="DE4-W_A"/>
    <x v="19"/>
    <s v="GNR_ES_ELEC_BAT-LITHIO_E-95_Y-16-29"/>
    <n v="2.1291648201739299"/>
    <n v="7.66499335262613"/>
  </r>
  <r>
    <x v="0"/>
    <x v="0"/>
    <x v="0"/>
    <x v="3"/>
    <x v="7"/>
    <s v="DE4-W_A"/>
    <x v="1"/>
    <s v="GNR_ST_MSW_BP_E-33"/>
    <n v="6.3026184708232504"/>
    <n v="22.689426494963701"/>
  </r>
  <r>
    <x v="0"/>
    <x v="0"/>
    <x v="0"/>
    <x v="3"/>
    <x v="7"/>
    <s v="DE4-W_A"/>
    <x v="1"/>
    <s v="GNR_ST_MSW_CND_E-33"/>
    <n v="4.5870545454545404"/>
    <n v="16.513396363636399"/>
  </r>
  <r>
    <x v="0"/>
    <x v="0"/>
    <x v="0"/>
    <x v="3"/>
    <x v="7"/>
    <s v="DE4-W_A"/>
    <x v="2"/>
    <s v="GNR_CC_NGAS_BP_E-39"/>
    <n v="2.4595384615384601"/>
    <n v="8.8543384615384593"/>
  </r>
  <r>
    <x v="0"/>
    <x v="0"/>
    <x v="0"/>
    <x v="3"/>
    <x v="7"/>
    <s v="DE4-W_A"/>
    <x v="2"/>
    <s v="GNR_CC_NGAS_BP_E-55"/>
    <n v="86.344930909091204"/>
    <n v="310.841751272728"/>
  </r>
  <r>
    <x v="0"/>
    <x v="0"/>
    <x v="0"/>
    <x v="3"/>
    <x v="7"/>
    <s v="DE4-W_A"/>
    <x v="2"/>
    <s v="GNR_CC_NGAS_CND_E-42"/>
    <n v="21.305571428571401"/>
    <n v="76.700057142857204"/>
  </r>
  <r>
    <x v="0"/>
    <x v="0"/>
    <x v="0"/>
    <x v="3"/>
    <x v="7"/>
    <s v="DE4-W_A"/>
    <x v="2"/>
    <s v="GNR_CC_NGAS_CND_E-57"/>
    <n v="45.021789473684201"/>
    <n v="162.07844210526301"/>
  </r>
  <r>
    <x v="0"/>
    <x v="0"/>
    <x v="0"/>
    <x v="3"/>
    <x v="7"/>
    <s v="DE4-W_A"/>
    <x v="2"/>
    <s v="GNR_ENG_NGAS_CND_E-44"/>
    <n v="0.27872727272727299"/>
    <n v="1.00341818181818"/>
  </r>
  <r>
    <x v="0"/>
    <x v="0"/>
    <x v="0"/>
    <x v="3"/>
    <x v="7"/>
    <s v="DE4-W_A"/>
    <x v="2"/>
    <s v="GNR_GT_NGAS_BP_E-31"/>
    <n v="1.34696774193548"/>
    <n v="4.8490838709677497"/>
  </r>
  <r>
    <x v="0"/>
    <x v="0"/>
    <x v="0"/>
    <x v="3"/>
    <x v="7"/>
    <s v="DE4-W_A"/>
    <x v="2"/>
    <s v="GNR_GT_NGAS_BP_E-39"/>
    <n v="5.6131384615384601"/>
    <n v="20.2072984615385"/>
  </r>
  <r>
    <x v="0"/>
    <x v="0"/>
    <x v="0"/>
    <x v="3"/>
    <x v="7"/>
    <s v="DE4-W_A"/>
    <x v="2"/>
    <s v="GNR_GT_NGAS_CND_E-32"/>
    <n v="10.097588411298201"/>
    <n v="36.351318280673503"/>
  </r>
  <r>
    <x v="0"/>
    <x v="0"/>
    <x v="0"/>
    <x v="3"/>
    <x v="7"/>
    <s v="DE4-W_A"/>
    <x v="2"/>
    <s v="GNR_GT_NGAS_CND_E-40"/>
    <n v="18.9435"/>
    <n v="68.196600000000004"/>
  </r>
  <r>
    <x v="0"/>
    <x v="0"/>
    <x v="0"/>
    <x v="3"/>
    <x v="7"/>
    <s v="DE4-W_A"/>
    <x v="2"/>
    <s v="GNR_ST_NGAS_BP_E-33"/>
    <n v="3.38288636363637"/>
    <n v="12.178390909090901"/>
  </r>
  <r>
    <x v="0"/>
    <x v="0"/>
    <x v="0"/>
    <x v="3"/>
    <x v="7"/>
    <s v="DE4-W_A"/>
    <x v="2"/>
    <s v="GNR_ST_NGAS_BP_E-38"/>
    <n v="49.5239684210527"/>
    <n v="178.286286315789"/>
  </r>
  <r>
    <x v="0"/>
    <x v="0"/>
    <x v="0"/>
    <x v="3"/>
    <x v="7"/>
    <s v="DE4-W_A"/>
    <x v="2"/>
    <s v="GNR_ST_NGAS_CND_E-36"/>
    <n v="52.9493333333333"/>
    <n v="190.61760000000001"/>
  </r>
  <r>
    <x v="0"/>
    <x v="0"/>
    <x v="0"/>
    <x v="3"/>
    <x v="7"/>
    <s v="DE4-W_A"/>
    <x v="2"/>
    <s v="GNR_ST_NGAS_CND_E-39"/>
    <n v="0.89396923076923096"/>
    <n v="3.2182892307692299"/>
  </r>
  <r>
    <x v="0"/>
    <x v="0"/>
    <x v="0"/>
    <x v="3"/>
    <x v="7"/>
    <s v="DE4-W_A"/>
    <x v="18"/>
    <s v="GNR_ST_NUCL_CND_E-33"/>
    <n v="71.566545454545405"/>
    <n v="257.63956363636402"/>
  </r>
  <r>
    <x v="0"/>
    <x v="0"/>
    <x v="0"/>
    <x v="3"/>
    <x v="7"/>
    <s v="DE4-W_A"/>
    <x v="6"/>
    <s v="GNR_PV_SUN"/>
    <n v="10.6223389660178"/>
    <n v="38.240420277664001"/>
  </r>
  <r>
    <x v="0"/>
    <x v="0"/>
    <x v="0"/>
    <x v="3"/>
    <x v="7"/>
    <s v="DE4-W_A"/>
    <x v="7"/>
    <s v="GNR_ROR_WTR"/>
    <n v="1.7424299999999999"/>
    <n v="6.272748"/>
  </r>
  <r>
    <x v="0"/>
    <x v="0"/>
    <x v="0"/>
    <x v="3"/>
    <x v="7"/>
    <s v="DE4-W_A"/>
    <x v="8"/>
    <s v="GNR_WT_WIND_ONS"/>
    <n v="38.021413850000002"/>
    <n v="136.87708986000001"/>
  </r>
  <r>
    <x v="0"/>
    <x v="0"/>
    <x v="0"/>
    <x v="3"/>
    <x v="7"/>
    <s v="DE4-W_Offshore_A"/>
    <x v="8"/>
    <s v="GNR_WT_WIND_OFF"/>
    <n v="0.49694700000000003"/>
    <n v="1.7890092"/>
  </r>
  <r>
    <x v="0"/>
    <x v="0"/>
    <x v="0"/>
    <x v="4"/>
    <x v="8"/>
    <s v="LV_Other_DH"/>
    <x v="2"/>
    <s v="GNR_ST_NGAS_BP_E-28"/>
    <n v="1.8539944957983201"/>
    <n v="6.6743801848739501"/>
  </r>
  <r>
    <x v="0"/>
    <x v="0"/>
    <x v="0"/>
    <x v="4"/>
    <x v="8"/>
    <s v="LV_Other_DH"/>
    <x v="13"/>
    <s v="GNR_ST_WOOD_BP_E-30"/>
    <n v="1.5561882352941201"/>
    <n v="5.6022776470588198"/>
  </r>
  <r>
    <x v="0"/>
    <x v="0"/>
    <x v="0"/>
    <x v="4"/>
    <x v="8"/>
    <s v="LV_RigaR"/>
    <x v="2"/>
    <s v="GNR_ST_NGAS_BP_E-42"/>
    <n v="0.98730352941176402"/>
    <n v="3.5542927058823501"/>
  </r>
  <r>
    <x v="0"/>
    <x v="0"/>
    <x v="0"/>
    <x v="4"/>
    <x v="8"/>
    <s v="LV_RigaR"/>
    <x v="2"/>
    <s v="RIGA-TEC2_CC_NGAS_BP"/>
    <n v="2.9145078369905999"/>
    <n v="10.492228213166101"/>
  </r>
  <r>
    <x v="0"/>
    <x v="0"/>
    <x v="0"/>
    <x v="4"/>
    <x v="8"/>
    <s v="LV_RigaR"/>
    <x v="2"/>
    <s v="RIGA-TEC2_CC_NGAS_EXT"/>
    <n v="13.539578947368399"/>
    <n v="48.7424842105263"/>
  </r>
  <r>
    <x v="0"/>
    <x v="0"/>
    <x v="0"/>
    <x v="4"/>
    <x v="8"/>
    <s v="LV_RigaR"/>
    <x v="7"/>
    <s v="GNR_RES_WTR_NOPMP"/>
    <n v="4.0200000000000001E-4"/>
    <n v="1.4472E-3"/>
  </r>
  <r>
    <x v="0"/>
    <x v="0"/>
    <x v="0"/>
    <x v="4"/>
    <x v="8"/>
    <s v="LV_Rural"/>
    <x v="8"/>
    <s v="GNR_WT_WIND_ONS"/>
    <n v="0.11622"/>
    <n v="0.41839199999999999"/>
  </r>
  <r>
    <x v="0"/>
    <x v="0"/>
    <x v="0"/>
    <x v="5"/>
    <x v="9"/>
    <s v="LT_KauU"/>
    <x v="1"/>
    <s v="KAUNAS_ST_MSW_BP"/>
    <n v="0.80672871432093995"/>
    <n v="2.9042233715553798"/>
  </r>
  <r>
    <x v="0"/>
    <x v="0"/>
    <x v="0"/>
    <x v="5"/>
    <x v="9"/>
    <s v="LT_KauU"/>
    <x v="2"/>
    <s v="GNR_ST_NGAS_EXT_E-24"/>
    <n v="1.0770491803278699"/>
    <n v="3.8773770491803301"/>
  </r>
  <r>
    <x v="0"/>
    <x v="0"/>
    <x v="0"/>
    <x v="5"/>
    <x v="9"/>
    <s v="LT_KauU"/>
    <x v="2"/>
    <s v="GNR_ST_NGAS_EXT_E-31"/>
    <n v="2.0722580645161299"/>
    <n v="7.4601290322580702"/>
  </r>
  <r>
    <x v="0"/>
    <x v="0"/>
    <x v="0"/>
    <x v="5"/>
    <x v="9"/>
    <s v="LT_KauU"/>
    <x v="7"/>
    <s v="GNR_ROR_WTR"/>
    <n v="0.61343999999999999"/>
    <n v="2.2083840000000001"/>
  </r>
  <r>
    <x v="0"/>
    <x v="0"/>
    <x v="0"/>
    <x v="5"/>
    <x v="9"/>
    <s v="LT_KlaU"/>
    <x v="6"/>
    <s v="GNR_PV_SUN"/>
    <n v="8.7830410424068805E-2"/>
    <n v="0.316189477526648"/>
  </r>
  <r>
    <x v="0"/>
    <x v="0"/>
    <x v="0"/>
    <x v="5"/>
    <x v="9"/>
    <s v="LT_Other_DH"/>
    <x v="20"/>
    <s v="LIFOSA_ST_HEAT_BP"/>
    <n v="0.747176470588235"/>
    <n v="2.6898352941176502"/>
  </r>
  <r>
    <x v="0"/>
    <x v="0"/>
    <x v="0"/>
    <x v="5"/>
    <x v="9"/>
    <s v="LT_Other_DH"/>
    <x v="2"/>
    <s v="ACHEMA1_ST_NGAS_EXT"/>
    <n v="0.50715789473684203"/>
    <n v="1.8257684210526299"/>
  </r>
  <r>
    <x v="0"/>
    <x v="0"/>
    <x v="0"/>
    <x v="5"/>
    <x v="9"/>
    <s v="LT_Other_DH"/>
    <x v="2"/>
    <s v="ACHEMA2_ST_NGAS_EXT"/>
    <n v="1.2169607422121"/>
    <n v="4.3810586719635802"/>
  </r>
  <r>
    <x v="0"/>
    <x v="0"/>
    <x v="0"/>
    <x v="5"/>
    <x v="9"/>
    <s v="LT_Other_DH"/>
    <x v="2"/>
    <s v="ALYTUS_ENG_NGAS_BP"/>
    <n v="5.1357647058823501E-2"/>
    <n v="0.18488752941176501"/>
  </r>
  <r>
    <x v="0"/>
    <x v="0"/>
    <x v="0"/>
    <x v="5"/>
    <x v="9"/>
    <s v="LT_Other_DH"/>
    <x v="2"/>
    <s v="GNR_ENG_NGAS_EXT_E-43"/>
    <n v="8.1488372093023301E-2"/>
    <n v="0.29335813953488399"/>
  </r>
  <r>
    <x v="0"/>
    <x v="0"/>
    <x v="0"/>
    <x v="5"/>
    <x v="9"/>
    <s v="LT_Other_DH"/>
    <x v="10"/>
    <s v="EBAVERE_ST_WOODWST_BP"/>
    <n v="0.35962105263157901"/>
    <n v="1.29463578947368"/>
  </r>
  <r>
    <x v="0"/>
    <x v="0"/>
    <x v="0"/>
    <x v="5"/>
    <x v="9"/>
    <s v="LT_Panevezys"/>
    <x v="2"/>
    <s v="GNR_CC_NGAS_BP_E-42"/>
    <n v="0.73879518072289097"/>
    <n v="2.6596626506024101"/>
  </r>
  <r>
    <x v="0"/>
    <x v="0"/>
    <x v="0"/>
    <x v="5"/>
    <x v="9"/>
    <s v="LT_Rural"/>
    <x v="8"/>
    <s v="GNR_WT_WIND_ONS"/>
    <n v="0.98593299999999995"/>
    <n v="3.5493587999999998"/>
  </r>
  <r>
    <x v="0"/>
    <x v="0"/>
    <x v="0"/>
    <x v="5"/>
    <x v="9"/>
    <s v="LT_SiaU"/>
    <x v="13"/>
    <s v="SIAULIAI_ST_WOOD_BP"/>
    <n v="0.20629533468559799"/>
    <n v="0.74266320486815396"/>
  </r>
  <r>
    <x v="0"/>
    <x v="0"/>
    <x v="0"/>
    <x v="5"/>
    <x v="9"/>
    <s v="LT_VilU"/>
    <x v="1"/>
    <s v="VILNIUS_ST_MSW_BP"/>
    <n v="2.76675451510213"/>
    <n v="9.9603162543676707"/>
  </r>
  <r>
    <x v="0"/>
    <x v="0"/>
    <x v="0"/>
    <x v="5"/>
    <x v="9"/>
    <s v="LT_VilU"/>
    <x v="2"/>
    <s v="GNR_CC_NGAS_CND_E-58"/>
    <n v="6.87206896551724"/>
    <n v="24.739448275862099"/>
  </r>
  <r>
    <x v="0"/>
    <x v="0"/>
    <x v="0"/>
    <x v="5"/>
    <x v="9"/>
    <s v="LT_VilU"/>
    <x v="2"/>
    <s v="GNR_ST_NGAS_CON_E-38"/>
    <n v="13.941644562334201"/>
    <n v="50.189920424403198"/>
  </r>
  <r>
    <x v="0"/>
    <x v="0"/>
    <x v="0"/>
    <x v="5"/>
    <x v="9"/>
    <s v="LT_VilU"/>
    <x v="2"/>
    <s v="GNR_ST_NGAS_EXT_E-39"/>
    <n v="8.0861538461538398"/>
    <n v="29.1101538461538"/>
  </r>
  <r>
    <x v="0"/>
    <x v="0"/>
    <x v="0"/>
    <x v="5"/>
    <x v="9"/>
    <s v="LT_VilU"/>
    <x v="7"/>
    <s v="GNR_ES_WTR_PMP"/>
    <n v="4.6800000000000001E-2"/>
    <n v="0.16847999999999999"/>
  </r>
  <r>
    <x v="0"/>
    <x v="0"/>
    <x v="0"/>
    <x v="6"/>
    <x v="10"/>
    <s v="NL_A"/>
    <x v="0"/>
    <s v="GNR_ST_COAL_CND_E-40"/>
    <n v="2.93634014564247"/>
    <n v="10.570824524312901"/>
  </r>
  <r>
    <x v="0"/>
    <x v="0"/>
    <x v="0"/>
    <x v="6"/>
    <x v="10"/>
    <s v="NL_A"/>
    <x v="1"/>
    <s v="GNR_ST_MSW_CND_E-40"/>
    <n v="14.9796"/>
    <n v="53.926560000000002"/>
  </r>
  <r>
    <x v="0"/>
    <x v="0"/>
    <x v="0"/>
    <x v="6"/>
    <x v="10"/>
    <s v="NL_A"/>
    <x v="2"/>
    <s v="GNR_CC_NGAS_CND_E-38"/>
    <n v="449.121961332973"/>
    <n v="1616.8390607987001"/>
  </r>
  <r>
    <x v="0"/>
    <x v="0"/>
    <x v="0"/>
    <x v="6"/>
    <x v="10"/>
    <s v="NL_A"/>
    <x v="18"/>
    <s v="GNR_ST_NUCL_CND_E-33"/>
    <n v="13.670909090909101"/>
    <n v="49.215272727272698"/>
  </r>
  <r>
    <x v="0"/>
    <x v="0"/>
    <x v="0"/>
    <x v="6"/>
    <x v="10"/>
    <s v="NL_A"/>
    <x v="6"/>
    <s v="GNR_PV_SUN"/>
    <n v="0.83486304"/>
    <n v="3.005506944"/>
  </r>
  <r>
    <x v="0"/>
    <x v="0"/>
    <x v="0"/>
    <x v="6"/>
    <x v="10"/>
    <s v="NL_A"/>
    <x v="7"/>
    <s v="GNR_ROR_WTR"/>
    <n v="0.15959999999999999"/>
    <n v="0.57455999999999996"/>
  </r>
  <r>
    <x v="0"/>
    <x v="0"/>
    <x v="0"/>
    <x v="6"/>
    <x v="10"/>
    <s v="NL_A"/>
    <x v="8"/>
    <s v="GNR_WT_WIND_OFF"/>
    <n v="0.70642000000000005"/>
    <n v="2.5431119999999998"/>
  </r>
  <r>
    <x v="0"/>
    <x v="0"/>
    <x v="0"/>
    <x v="6"/>
    <x v="10"/>
    <s v="NL_A"/>
    <x v="8"/>
    <s v="GNR_WT_WIND_ONS"/>
    <n v="7.0527600000000001"/>
    <n v="25.389935999999999"/>
  </r>
  <r>
    <x v="0"/>
    <x v="0"/>
    <x v="0"/>
    <x v="6"/>
    <x v="10"/>
    <s v="NL_A"/>
    <x v="13"/>
    <s v="GNR_ST_WOOD_CND_E-50"/>
    <n v="7.008"/>
    <n v="25.2288"/>
  </r>
  <r>
    <x v="0"/>
    <x v="0"/>
    <x v="0"/>
    <x v="7"/>
    <x v="11"/>
    <s v="NO1_A1"/>
    <x v="21"/>
    <s v="GHOB_LNG"/>
    <n v="0.23703529411764701"/>
    <n v="0.85332705882352899"/>
  </r>
  <r>
    <x v="0"/>
    <x v="0"/>
    <x v="0"/>
    <x v="7"/>
    <x v="11"/>
    <s v="NO1_A1"/>
    <x v="21"/>
    <s v="GHOB_LPG"/>
    <n v="0.42872470588235301"/>
    <n v="1.54340894117647"/>
  </r>
  <r>
    <x v="0"/>
    <x v="0"/>
    <x v="0"/>
    <x v="7"/>
    <x v="11"/>
    <s v="NO1_A1"/>
    <x v="1"/>
    <s v="GBPR_MUNIWASTE"/>
    <n v="0.33727569892473103"/>
    <n v="1.2141925161290299"/>
  </r>
  <r>
    <x v="0"/>
    <x v="0"/>
    <x v="0"/>
    <x v="7"/>
    <x v="11"/>
    <s v="NO1_A1"/>
    <x v="1"/>
    <s v="GHOB_MUNIWASTE"/>
    <n v="7.6716988235294103E-2"/>
    <n v="0.27618115764705897"/>
  </r>
  <r>
    <x v="0"/>
    <x v="0"/>
    <x v="0"/>
    <x v="7"/>
    <x v="11"/>
    <s v="NO1_A1"/>
    <x v="4"/>
    <s v="GHOB_WASTEHEAT"/>
    <n v="2.5974162087911999E-2"/>
    <n v="9.3506983516483094E-2"/>
  </r>
  <r>
    <x v="0"/>
    <x v="0"/>
    <x v="0"/>
    <x v="7"/>
    <x v="11"/>
    <s v="NO1_A1"/>
    <x v="7"/>
    <s v="GNR_RES_WTR_NOPMP_MC-01"/>
    <n v="1.4016"/>
    <n v="5.0457599999999996"/>
  </r>
  <r>
    <x v="0"/>
    <x v="0"/>
    <x v="0"/>
    <x v="7"/>
    <x v="11"/>
    <s v="NO1_A1"/>
    <x v="7"/>
    <s v="GNR_RES_WTR_NOPMP_MC-02"/>
    <n v="1.0891440848277201"/>
    <n v="3.9209187053797998"/>
  </r>
  <r>
    <x v="0"/>
    <x v="0"/>
    <x v="0"/>
    <x v="7"/>
    <x v="11"/>
    <s v="NO1_A1"/>
    <x v="7"/>
    <s v="GNR_RES_WTR_NOPMP_MC-03"/>
    <n v="0.876"/>
    <n v="3.1536"/>
  </r>
  <r>
    <x v="0"/>
    <x v="0"/>
    <x v="0"/>
    <x v="7"/>
    <x v="11"/>
    <s v="NO1_A1"/>
    <x v="7"/>
    <s v="GNR_RES_WTR_NOPMP_MC-04"/>
    <n v="0.81759999999999999"/>
    <n v="2.9433600000000002"/>
  </r>
  <r>
    <x v="0"/>
    <x v="0"/>
    <x v="0"/>
    <x v="7"/>
    <x v="11"/>
    <s v="NO1_A1"/>
    <x v="7"/>
    <s v="GNR_RES_WTR_NOPMP_MC-05"/>
    <n v="0.410513550753974"/>
    <n v="1.4778487827143101"/>
  </r>
  <r>
    <x v="0"/>
    <x v="0"/>
    <x v="0"/>
    <x v="7"/>
    <x v="11"/>
    <s v="NO1_A1"/>
    <x v="7"/>
    <s v="GNR_RES_WTR_NOPMP_MC-06"/>
    <n v="0.2336"/>
    <n v="0.84096000000000004"/>
  </r>
  <r>
    <x v="0"/>
    <x v="0"/>
    <x v="0"/>
    <x v="7"/>
    <x v="11"/>
    <s v="NO1_A1"/>
    <x v="7"/>
    <s v="GNR_ROR_WTR"/>
    <n v="8.2207838348424804"/>
    <n v="29.5948218054329"/>
  </r>
  <r>
    <x v="0"/>
    <x v="0"/>
    <x v="0"/>
    <x v="7"/>
    <x v="11"/>
    <s v="NO1_A1"/>
    <x v="10"/>
    <s v="GHOB_WOODWASTE"/>
    <n v="0.49490995632749202"/>
    <n v="1.7816758427789701"/>
  </r>
  <r>
    <x v="0"/>
    <x v="0"/>
    <x v="0"/>
    <x v="7"/>
    <x v="11"/>
    <s v="NO1_A2"/>
    <x v="21"/>
    <s v="GHOB_LPG"/>
    <n v="1.03058823529412"/>
    <n v="3.7101176470588202"/>
  </r>
  <r>
    <x v="0"/>
    <x v="0"/>
    <x v="0"/>
    <x v="7"/>
    <x v="11"/>
    <s v="NO1_A2"/>
    <x v="1"/>
    <s v="GBPR_MUNIWASTE"/>
    <n v="0.45628192114694799"/>
    <n v="1.64261491612901"/>
  </r>
  <r>
    <x v="0"/>
    <x v="0"/>
    <x v="0"/>
    <x v="7"/>
    <x v="11"/>
    <s v="NO1_A2"/>
    <x v="1"/>
    <s v="GHOB_MUNIWASTE"/>
    <n v="0.32978823529411799"/>
    <n v="1.18723764705882"/>
  </r>
  <r>
    <x v="0"/>
    <x v="0"/>
    <x v="0"/>
    <x v="7"/>
    <x v="11"/>
    <s v="NO1_A2"/>
    <x v="10"/>
    <s v="GHOB_WOODWASTE"/>
    <n v="0.164894117647059"/>
    <n v="0.59361882352941198"/>
  </r>
  <r>
    <x v="0"/>
    <x v="0"/>
    <x v="0"/>
    <x v="7"/>
    <x v="12"/>
    <s v="NO2_A1"/>
    <x v="21"/>
    <s v="GHOB_LNG"/>
    <n v="4.1111603026119997E-3"/>
    <n v="1.48001770894032E-2"/>
  </r>
  <r>
    <x v="0"/>
    <x v="0"/>
    <x v="0"/>
    <x v="7"/>
    <x v="12"/>
    <s v="NO2_A1"/>
    <x v="21"/>
    <s v="GHOB_LPG"/>
    <n v="4.73621208539323E-2"/>
    <n v="0.170503635074156"/>
  </r>
  <r>
    <x v="0"/>
    <x v="0"/>
    <x v="0"/>
    <x v="7"/>
    <x v="12"/>
    <s v="NO2_A1"/>
    <x v="1"/>
    <s v="GBPR_MUNIWASTE"/>
    <n v="0.44421677419354799"/>
    <n v="1.59918038709677"/>
  </r>
  <r>
    <x v="0"/>
    <x v="0"/>
    <x v="0"/>
    <x v="7"/>
    <x v="12"/>
    <s v="NO2_A1"/>
    <x v="4"/>
    <s v="GHOB_WASTEHEAT"/>
    <n v="3.7727902169053001E-2"/>
    <n v="0.13582044780859101"/>
  </r>
  <r>
    <x v="0"/>
    <x v="0"/>
    <x v="0"/>
    <x v="7"/>
    <x v="12"/>
    <s v="NO2_A1"/>
    <x v="7"/>
    <s v="GNR_RES_WTR_NOPMP_MC-01"/>
    <n v="3.2166024084082498"/>
    <n v="11.579768670269701"/>
  </r>
  <r>
    <x v="0"/>
    <x v="0"/>
    <x v="0"/>
    <x v="7"/>
    <x v="12"/>
    <s v="NO2_A1"/>
    <x v="7"/>
    <s v="GNR_RES_WTR_NOPMP_MC-02"/>
    <n v="7.7718024084082398"/>
    <n v="27.978488670269702"/>
  </r>
  <r>
    <x v="0"/>
    <x v="0"/>
    <x v="0"/>
    <x v="7"/>
    <x v="12"/>
    <s v="NO2_A1"/>
    <x v="7"/>
    <s v="GNR_RES_WTR_NOPMP_MC-03"/>
    <n v="7.1525306729529801"/>
    <n v="25.7491104226308"/>
  </r>
  <r>
    <x v="0"/>
    <x v="0"/>
    <x v="0"/>
    <x v="7"/>
    <x v="12"/>
    <s v="NO2_A1"/>
    <x v="7"/>
    <s v="GNR_RES_WTR_NOPMP_MC-04"/>
    <n v="5.1530963459651797"/>
    <n v="18.551146845474701"/>
  </r>
  <r>
    <x v="0"/>
    <x v="0"/>
    <x v="0"/>
    <x v="7"/>
    <x v="12"/>
    <s v="NO2_A1"/>
    <x v="7"/>
    <s v="GNR_RES_WTR_NOPMP_MC-05"/>
    <n v="4.5335514049048102"/>
    <n v="16.3207850576573"/>
  </r>
  <r>
    <x v="0"/>
    <x v="0"/>
    <x v="0"/>
    <x v="7"/>
    <x v="12"/>
    <s v="NO2_A1"/>
    <x v="7"/>
    <s v="GNR_RES_WTR_NOPMP_MC-06"/>
    <n v="3.94350721364868"/>
    <n v="14.1966259691352"/>
  </r>
  <r>
    <x v="0"/>
    <x v="0"/>
    <x v="0"/>
    <x v="7"/>
    <x v="12"/>
    <s v="NO2_A1"/>
    <x v="7"/>
    <s v="GNR_RES_WTR_NOPMP_MC-07"/>
    <n v="1.1559287511288401"/>
    <n v="4.1613435040638302"/>
  </r>
  <r>
    <x v="0"/>
    <x v="0"/>
    <x v="0"/>
    <x v="7"/>
    <x v="12"/>
    <s v="NO2_A1"/>
    <x v="7"/>
    <s v="GNR_RES_WTR_PMP_MC-01"/>
    <n v="4.5552000000000001"/>
    <n v="16.398720000000001"/>
  </r>
  <r>
    <x v="0"/>
    <x v="0"/>
    <x v="0"/>
    <x v="7"/>
    <x v="12"/>
    <s v="NO2_A1"/>
    <x v="7"/>
    <s v="GNR_ROR_WTR"/>
    <n v="9.2743043586350105"/>
    <n v="33.387495691086102"/>
  </r>
  <r>
    <x v="0"/>
    <x v="0"/>
    <x v="0"/>
    <x v="7"/>
    <x v="12"/>
    <s v="NO2_A1"/>
    <x v="8"/>
    <s v="GNR_WT_WIND_ONS"/>
    <n v="1.5001477000000001"/>
    <n v="5.40053172"/>
  </r>
  <r>
    <x v="0"/>
    <x v="0"/>
    <x v="0"/>
    <x v="7"/>
    <x v="13"/>
    <s v="NO3_A1"/>
    <x v="21"/>
    <s v="GHOB_LNG"/>
    <n v="3.2372656703262399E-2"/>
    <n v="0.116541564131744"/>
  </r>
  <r>
    <x v="0"/>
    <x v="0"/>
    <x v="0"/>
    <x v="7"/>
    <x v="13"/>
    <s v="NO3_A1"/>
    <x v="21"/>
    <s v="GHOB_LPG"/>
    <n v="4.1937334040425399E-2"/>
    <n v="0.15097440254553199"/>
  </r>
  <r>
    <x v="0"/>
    <x v="0"/>
    <x v="0"/>
    <x v="7"/>
    <x v="13"/>
    <s v="NO3_A1"/>
    <x v="1"/>
    <s v="GBPR_MUNIWASTE"/>
    <n v="0.17645277419354799"/>
    <n v="0.63522998709677403"/>
  </r>
  <r>
    <x v="0"/>
    <x v="0"/>
    <x v="0"/>
    <x v="7"/>
    <x v="13"/>
    <s v="NO3_A1"/>
    <x v="4"/>
    <s v="GHOB_WASTEHEAT"/>
    <n v="3.6714411093671802E-2"/>
    <n v="0.13217187993721899"/>
  </r>
  <r>
    <x v="0"/>
    <x v="0"/>
    <x v="0"/>
    <x v="7"/>
    <x v="13"/>
    <s v="NO3_A1"/>
    <x v="7"/>
    <s v="GNR_RES_WTR_NOPMP_MC-01"/>
    <n v="1.94337545966466"/>
    <n v="6.9961516547927696"/>
  </r>
  <r>
    <x v="0"/>
    <x v="0"/>
    <x v="0"/>
    <x v="7"/>
    <x v="13"/>
    <s v="NO3_A1"/>
    <x v="7"/>
    <s v="GNR_RES_WTR_NOPMP_MC-02"/>
    <n v="2.4716034596646601"/>
    <n v="8.8977724547927703"/>
  </r>
  <r>
    <x v="0"/>
    <x v="0"/>
    <x v="0"/>
    <x v="7"/>
    <x v="13"/>
    <s v="NO3_A1"/>
    <x v="7"/>
    <s v="GNR_RES_WTR_NOPMP_MC-03"/>
    <n v="2.4716034596646601"/>
    <n v="8.8977724547927703"/>
  </r>
  <r>
    <x v="0"/>
    <x v="0"/>
    <x v="0"/>
    <x v="7"/>
    <x v="13"/>
    <s v="NO3_A1"/>
    <x v="7"/>
    <s v="GNR_RES_WTR_NOPMP_MC-04"/>
    <n v="1.64773563977644"/>
    <n v="5.9318483031951796"/>
  </r>
  <r>
    <x v="0"/>
    <x v="0"/>
    <x v="0"/>
    <x v="7"/>
    <x v="13"/>
    <s v="NO3_A1"/>
    <x v="7"/>
    <s v="GNR_RES_WTR_NOPMP_MC-05"/>
    <n v="1.5447521622904099"/>
    <n v="5.5611077842454799"/>
  </r>
  <r>
    <x v="0"/>
    <x v="0"/>
    <x v="0"/>
    <x v="7"/>
    <x v="13"/>
    <s v="NO3_A1"/>
    <x v="7"/>
    <s v="GNR_RES_WTR_NOPMP_MC-06"/>
    <n v="1.44176868480438"/>
    <n v="5.1903672652957802"/>
  </r>
  <r>
    <x v="0"/>
    <x v="0"/>
    <x v="0"/>
    <x v="7"/>
    <x v="13"/>
    <s v="NO3_A1"/>
    <x v="7"/>
    <s v="GNR_RES_WTR_NOPMP_MC-07"/>
    <n v="0.482147033626523"/>
    <n v="1.7357293210554801"/>
  </r>
  <r>
    <x v="0"/>
    <x v="0"/>
    <x v="0"/>
    <x v="7"/>
    <x v="13"/>
    <s v="NO3_A1"/>
    <x v="7"/>
    <s v="GNR_RES_WTR_PMP_MC-01"/>
    <n v="0.52822800000000003"/>
    <n v="1.9016207999999999"/>
  </r>
  <r>
    <x v="0"/>
    <x v="0"/>
    <x v="0"/>
    <x v="7"/>
    <x v="13"/>
    <s v="NO3_A1"/>
    <x v="7"/>
    <s v="GNR_ROR_WTR"/>
    <n v="6.0353824559844602"/>
    <n v="21.727376841544"/>
  </r>
  <r>
    <x v="0"/>
    <x v="0"/>
    <x v="0"/>
    <x v="7"/>
    <x v="13"/>
    <s v="NO3_A1"/>
    <x v="8"/>
    <s v="GNR_WT_WIND_ONS"/>
    <n v="1.0027718999999999"/>
    <n v="3.6099788400000001"/>
  </r>
  <r>
    <x v="0"/>
    <x v="0"/>
    <x v="0"/>
    <x v="7"/>
    <x v="13"/>
    <s v="NO3_A2"/>
    <x v="21"/>
    <s v="GHOB_LNG"/>
    <n v="2.9648862645317301E-2"/>
    <n v="0.10673590552314199"/>
  </r>
  <r>
    <x v="0"/>
    <x v="0"/>
    <x v="0"/>
    <x v="7"/>
    <x v="13"/>
    <s v="NO3_A2"/>
    <x v="21"/>
    <s v="GHOB_LPG"/>
    <n v="3.8021048655825999E-2"/>
    <n v="0.13687577516097299"/>
  </r>
  <r>
    <x v="0"/>
    <x v="0"/>
    <x v="0"/>
    <x v="7"/>
    <x v="13"/>
    <s v="NO3_A2"/>
    <x v="1"/>
    <s v="GHOB_MUNIWASTE"/>
    <n v="0.66437244164003295"/>
    <n v="2.3917407899041199"/>
  </r>
  <r>
    <x v="0"/>
    <x v="0"/>
    <x v="0"/>
    <x v="7"/>
    <x v="14"/>
    <s v="NO4_A1"/>
    <x v="21"/>
    <s v="GHOB_LNG"/>
    <n v="2.65669037893966E-2"/>
    <n v="9.5640853641827603E-2"/>
  </r>
  <r>
    <x v="0"/>
    <x v="0"/>
    <x v="0"/>
    <x v="7"/>
    <x v="14"/>
    <s v="NO4_A1"/>
    <x v="21"/>
    <s v="GHOB_LPG"/>
    <n v="6.4009890732580803E-3"/>
    <n v="2.3043560663729101E-2"/>
  </r>
  <r>
    <x v="0"/>
    <x v="0"/>
    <x v="0"/>
    <x v="7"/>
    <x v="14"/>
    <s v="NO4_A1"/>
    <x v="1"/>
    <s v="GBPR_MUNIWASTE"/>
    <n v="6.8409383225806501E-3"/>
    <n v="2.46273779612903E-2"/>
  </r>
  <r>
    <x v="0"/>
    <x v="0"/>
    <x v="0"/>
    <x v="7"/>
    <x v="14"/>
    <s v="NO4_A1"/>
    <x v="1"/>
    <s v="GHOB_MUNIWASTE"/>
    <n v="0.14736511686689499"/>
    <n v="0.530514420720823"/>
  </r>
  <r>
    <x v="0"/>
    <x v="0"/>
    <x v="0"/>
    <x v="7"/>
    <x v="14"/>
    <s v="NO4_A1"/>
    <x v="4"/>
    <s v="GHOB_WASTEHEAT"/>
    <n v="8.7987060439560102E-2"/>
    <n v="0.31675341758241599"/>
  </r>
  <r>
    <x v="0"/>
    <x v="0"/>
    <x v="0"/>
    <x v="7"/>
    <x v="14"/>
    <s v="NO4_A1"/>
    <x v="7"/>
    <s v="GNR_RES_WTR_NOPMP_MC-01"/>
    <n v="3.67537745819287"/>
    <n v="13.231358849494301"/>
  </r>
  <r>
    <x v="0"/>
    <x v="0"/>
    <x v="0"/>
    <x v="7"/>
    <x v="14"/>
    <s v="NO4_A1"/>
    <x v="7"/>
    <s v="GNR_RES_WTR_NOPMP_MC-02"/>
    <n v="3.67537745819287"/>
    <n v="13.231358849494301"/>
  </r>
  <r>
    <x v="0"/>
    <x v="0"/>
    <x v="0"/>
    <x v="7"/>
    <x v="14"/>
    <s v="NO4_A1"/>
    <x v="7"/>
    <s v="GNR_RES_WTR_NOPMP_MC-03"/>
    <n v="3.67537745819287"/>
    <n v="13.231358849494301"/>
  </r>
  <r>
    <x v="0"/>
    <x v="0"/>
    <x v="0"/>
    <x v="7"/>
    <x v="14"/>
    <s v="NO4_A1"/>
    <x v="7"/>
    <s v="GNR_RES_WTR_NOPMP_MC-04"/>
    <n v="3.67537745819287"/>
    <n v="13.231358849494301"/>
  </r>
  <r>
    <x v="0"/>
    <x v="0"/>
    <x v="0"/>
    <x v="7"/>
    <x v="14"/>
    <s v="NO4_A1"/>
    <x v="7"/>
    <s v="GNR_RES_WTR_NOPMP_MC-05"/>
    <n v="2.7388402829057599"/>
    <n v="9.8598250184607501"/>
  </r>
  <r>
    <x v="0"/>
    <x v="0"/>
    <x v="0"/>
    <x v="7"/>
    <x v="14"/>
    <s v="NO4_A1"/>
    <x v="7"/>
    <s v="GNR_RES_WTR_NOPMP_MC-06"/>
    <n v="2.16942559650222"/>
    <n v="7.8099321474080003"/>
  </r>
  <r>
    <x v="0"/>
    <x v="0"/>
    <x v="0"/>
    <x v="7"/>
    <x v="14"/>
    <s v="NO4_A1"/>
    <x v="7"/>
    <s v="GNR_RES_WTR_NOPMP_MC-07"/>
    <n v="1.41464260754753"/>
    <n v="5.0927133871711003"/>
  </r>
  <r>
    <x v="0"/>
    <x v="0"/>
    <x v="0"/>
    <x v="7"/>
    <x v="14"/>
    <s v="NO4_A1"/>
    <x v="7"/>
    <s v="GNR_RES_WTR_NOPMP_MC-08"/>
    <n v="4.7170098890444399E-2"/>
    <n v="0.16981235600559999"/>
  </r>
  <r>
    <x v="0"/>
    <x v="0"/>
    <x v="0"/>
    <x v="7"/>
    <x v="14"/>
    <s v="NO4_A1"/>
    <x v="7"/>
    <s v="GNR_ROR_WTR"/>
    <n v="3.2123587841587899"/>
    <n v="11.5644916229716"/>
  </r>
  <r>
    <x v="0"/>
    <x v="0"/>
    <x v="0"/>
    <x v="7"/>
    <x v="14"/>
    <s v="NO4_A1"/>
    <x v="8"/>
    <s v="GNR_WT_WIND_ONS"/>
    <n v="0.819936"/>
    <n v="2.9517696"/>
  </r>
  <r>
    <x v="0"/>
    <x v="0"/>
    <x v="0"/>
    <x v="7"/>
    <x v="15"/>
    <s v="NO5_A1"/>
    <x v="21"/>
    <s v="GHOB_LPG"/>
    <n v="8.6739392789373801E-2"/>
    <n v="0.31226181404174602"/>
  </r>
  <r>
    <x v="0"/>
    <x v="0"/>
    <x v="0"/>
    <x v="7"/>
    <x v="15"/>
    <s v="NO5_A1"/>
    <x v="1"/>
    <s v="GBPR_MUNIWASTE"/>
    <n v="0.32904946236559102"/>
    <n v="1.1845780645161299"/>
  </r>
  <r>
    <x v="0"/>
    <x v="0"/>
    <x v="0"/>
    <x v="7"/>
    <x v="15"/>
    <s v="NO5_A1"/>
    <x v="7"/>
    <s v="GNR_RES_WTR_NOPMP_MC-01"/>
    <n v="1.3507327989206199"/>
    <n v="4.8626380761142496"/>
  </r>
  <r>
    <x v="0"/>
    <x v="0"/>
    <x v="0"/>
    <x v="7"/>
    <x v="15"/>
    <s v="NO5_A1"/>
    <x v="7"/>
    <s v="GNR_RES_WTR_NOPMP_MC-02"/>
    <n v="5.2401727989206197"/>
    <n v="18.864622076114198"/>
  </r>
  <r>
    <x v="0"/>
    <x v="0"/>
    <x v="0"/>
    <x v="7"/>
    <x v="15"/>
    <s v="NO5_A1"/>
    <x v="7"/>
    <s v="GNR_RES_WTR_NOPMP_MC-03"/>
    <n v="5.2401727989206197"/>
    <n v="18.864622076114198"/>
  </r>
  <r>
    <x v="0"/>
    <x v="0"/>
    <x v="0"/>
    <x v="7"/>
    <x v="15"/>
    <s v="NO5_A1"/>
    <x v="7"/>
    <s v="GNR_RES_WTR_NOPMP_MC-04"/>
    <n v="5.2401727989206197"/>
    <n v="18.864622076114198"/>
  </r>
  <r>
    <x v="0"/>
    <x v="0"/>
    <x v="0"/>
    <x v="7"/>
    <x v="15"/>
    <s v="NO5_A1"/>
    <x v="7"/>
    <s v="GNR_RES_WTR_NOPMP_MC-05"/>
    <n v="4.2982970837830798"/>
    <n v="15.473869501619101"/>
  </r>
  <r>
    <x v="0"/>
    <x v="0"/>
    <x v="0"/>
    <x v="7"/>
    <x v="15"/>
    <s v="NO5_A1"/>
    <x v="7"/>
    <s v="GNR_RES_WTR_NOPMP_MC-06"/>
    <n v="0.14343428250611201"/>
    <n v="0.51636341702200295"/>
  </r>
  <r>
    <x v="0"/>
    <x v="0"/>
    <x v="0"/>
    <x v="7"/>
    <x v="15"/>
    <s v="NO5_A1"/>
    <x v="7"/>
    <s v="GNR_RES_WTR_PMP_MC-01"/>
    <n v="3.88944"/>
    <n v="14.001984"/>
  </r>
  <r>
    <x v="0"/>
    <x v="0"/>
    <x v="0"/>
    <x v="7"/>
    <x v="15"/>
    <s v="NO5_A1"/>
    <x v="7"/>
    <s v="GNR_ROR_WTR"/>
    <n v="9.43591967443969"/>
    <n v="33.969310827982902"/>
  </r>
  <r>
    <x v="0"/>
    <x v="0"/>
    <x v="0"/>
    <x v="8"/>
    <x v="16"/>
    <s v="PL_A"/>
    <x v="11"/>
    <s v="GNR_ST_BGAS_CND_E-37"/>
    <n v="3.8689346923167802"/>
    <n v="13.9281648923404"/>
  </r>
  <r>
    <x v="0"/>
    <x v="0"/>
    <x v="0"/>
    <x v="8"/>
    <x v="16"/>
    <s v="PL_A"/>
    <x v="0"/>
    <s v="BIAL-4_ST_COAL_CND"/>
    <n v="1.7825581395348799E-2"/>
    <n v="6.41720930232558E-2"/>
  </r>
  <r>
    <x v="0"/>
    <x v="0"/>
    <x v="0"/>
    <x v="8"/>
    <x v="16"/>
    <s v="PL_A"/>
    <x v="0"/>
    <s v="KATO_ST_COAL_BP"/>
    <n v="0.121337837837838"/>
    <n v="0.43681621621621602"/>
  </r>
  <r>
    <x v="0"/>
    <x v="0"/>
    <x v="0"/>
    <x v="8"/>
    <x v="16"/>
    <s v="PL_A"/>
    <x v="0"/>
    <s v="LAZI-1_ST_COAL_EXT"/>
    <n v="4.7362616633002397E-2"/>
    <n v="0.17050541987880899"/>
  </r>
  <r>
    <x v="0"/>
    <x v="0"/>
    <x v="0"/>
    <x v="8"/>
    <x v="16"/>
    <s v="PL_A"/>
    <x v="0"/>
    <s v="SIER-1_ST_COAL_BP"/>
    <n v="2.08535302676919"/>
    <n v="7.5072708963690804"/>
  </r>
  <r>
    <x v="0"/>
    <x v="0"/>
    <x v="0"/>
    <x v="8"/>
    <x v="16"/>
    <s v="PL_A"/>
    <x v="0"/>
    <s v="ZIEL-2_ST_COAL_BP"/>
    <n v="4.0149999999999998E-2"/>
    <n v="0.14454"/>
  </r>
  <r>
    <x v="0"/>
    <x v="0"/>
    <x v="0"/>
    <x v="8"/>
    <x v="16"/>
    <s v="PL_A"/>
    <x v="0"/>
    <s v="ZIEL-4_ST_COAL_BP"/>
    <n v="0.14201821204437301"/>
    <n v="0.51126556335974105"/>
  </r>
  <r>
    <x v="0"/>
    <x v="0"/>
    <x v="0"/>
    <x v="8"/>
    <x v="16"/>
    <s v="PL_A"/>
    <x v="1"/>
    <s v="GNR_ST_MSW_BP_E-15"/>
    <n v="1.9856"/>
    <n v="7.1481599999999998"/>
  </r>
  <r>
    <x v="0"/>
    <x v="0"/>
    <x v="0"/>
    <x v="8"/>
    <x v="16"/>
    <s v="PL_A"/>
    <x v="2"/>
    <s v="GNR_ST_NGAS_BP_E-15"/>
    <n v="8.2927999999999997"/>
    <n v="29.85408"/>
  </r>
  <r>
    <x v="0"/>
    <x v="0"/>
    <x v="0"/>
    <x v="8"/>
    <x v="16"/>
    <s v="PL_A"/>
    <x v="2"/>
    <s v="GORZ-4_ST_NGAS_BP"/>
    <n v="1.5184"/>
    <n v="5.46624"/>
  </r>
  <r>
    <x v="0"/>
    <x v="0"/>
    <x v="0"/>
    <x v="8"/>
    <x v="16"/>
    <s v="PL_A"/>
    <x v="2"/>
    <s v="NOWA-1_ST_NGAS_BP"/>
    <n v="2.4722666666666702"/>
    <n v="8.9001599999999996"/>
  </r>
  <r>
    <x v="0"/>
    <x v="0"/>
    <x v="0"/>
    <x v="8"/>
    <x v="16"/>
    <s v="PL_A"/>
    <x v="2"/>
    <s v="RZES-2_ST_NGAS_BP"/>
    <n v="0.62293333333333301"/>
    <n v="2.2425600000000001"/>
  </r>
  <r>
    <x v="0"/>
    <x v="0"/>
    <x v="0"/>
    <x v="8"/>
    <x v="16"/>
    <s v="PL_A"/>
    <x v="2"/>
    <s v="ZIEL-1_ST_NGAS_BP"/>
    <n v="0.19466666666666699"/>
    <n v="0.70079999999999998"/>
  </r>
  <r>
    <x v="0"/>
    <x v="0"/>
    <x v="0"/>
    <x v="8"/>
    <x v="16"/>
    <s v="PL_A"/>
    <x v="2"/>
    <s v="ZIEL-3_ST_NGAS_BP"/>
    <n v="2.3359999999999999"/>
    <n v="8.40960000000001"/>
  </r>
  <r>
    <x v="0"/>
    <x v="0"/>
    <x v="0"/>
    <x v="8"/>
    <x v="16"/>
    <s v="PL_A"/>
    <x v="3"/>
    <s v="BIAL-1_ST_STRAW_BP"/>
    <n v="4.3126153846153796"/>
    <n v="15.5254153846154"/>
  </r>
  <r>
    <x v="0"/>
    <x v="0"/>
    <x v="0"/>
    <x v="8"/>
    <x v="16"/>
    <s v="PL_A"/>
    <x v="3"/>
    <s v="GNR_BO_STRAW_HO_E-100"/>
    <n v="31.013577954352598"/>
    <n v="111.648880635669"/>
  </r>
  <r>
    <x v="0"/>
    <x v="0"/>
    <x v="0"/>
    <x v="8"/>
    <x v="16"/>
    <s v="PL_A"/>
    <x v="3"/>
    <s v="GNR_ST_STRAW_BP_E-15"/>
    <n v="4.7888000000000002"/>
    <n v="17.23968"/>
  </r>
  <r>
    <x v="0"/>
    <x v="0"/>
    <x v="0"/>
    <x v="8"/>
    <x v="16"/>
    <s v="PL_A"/>
    <x v="3"/>
    <s v="LODZ-3_ST_STRAW_EXT"/>
    <n v="2.6582068965517198"/>
    <n v="9.5695448275861992"/>
  </r>
  <r>
    <x v="0"/>
    <x v="0"/>
    <x v="0"/>
    <x v="8"/>
    <x v="16"/>
    <s v="PL_A"/>
    <x v="6"/>
    <s v="GNR_PV_SUN"/>
    <n v="1.09788013030086E-3"/>
    <n v="3.9523684690831E-3"/>
  </r>
  <r>
    <x v="0"/>
    <x v="0"/>
    <x v="0"/>
    <x v="8"/>
    <x v="16"/>
    <s v="PL_A"/>
    <x v="7"/>
    <s v="GNR_ES_WTR_PMP"/>
    <n v="1.54169944008959E-2"/>
    <n v="5.5501179843225099E-2"/>
  </r>
  <r>
    <x v="0"/>
    <x v="0"/>
    <x v="0"/>
    <x v="8"/>
    <x v="16"/>
    <s v="PL_A"/>
    <x v="8"/>
    <s v="GNR_WT_WIND_ONS"/>
    <n v="6.9265800000000004"/>
    <n v="24.935687999999999"/>
  </r>
  <r>
    <x v="0"/>
    <x v="0"/>
    <x v="0"/>
    <x v="8"/>
    <x v="16"/>
    <s v="PL_A"/>
    <x v="13"/>
    <s v="GNR_ST_WOOD_EXT_E-45"/>
    <n v="22.970666666666698"/>
    <n v="82.694400000000002"/>
  </r>
  <r>
    <x v="0"/>
    <x v="0"/>
    <x v="0"/>
    <x v="8"/>
    <x v="16"/>
    <s v="PL_Rural"/>
    <x v="0"/>
    <s v="LAGI-6_ST_COAL_CND"/>
    <n v="0.482292870962718"/>
    <n v="1.73625433546579"/>
  </r>
  <r>
    <x v="0"/>
    <x v="0"/>
    <x v="0"/>
    <x v="8"/>
    <x v="16"/>
    <s v="PL_Rural"/>
    <x v="7"/>
    <s v="GNR_ROR_WTR"/>
    <n v="2.3110249999999999"/>
    <n v="8.3196899999999996"/>
  </r>
  <r>
    <x v="0"/>
    <x v="0"/>
    <x v="0"/>
    <x v="9"/>
    <x v="17"/>
    <s v="SE1A"/>
    <x v="7"/>
    <s v="GNR_RES_WTR_NOPMP_MC-01"/>
    <n v="3.5521799999999999"/>
    <n v="12.787848"/>
  </r>
  <r>
    <x v="0"/>
    <x v="0"/>
    <x v="0"/>
    <x v="9"/>
    <x v="17"/>
    <s v="SE1A"/>
    <x v="7"/>
    <s v="GNR_RES_WTR_NOPMP_MC-02"/>
    <n v="3.5521799999999999"/>
    <n v="12.787848"/>
  </r>
  <r>
    <x v="0"/>
    <x v="0"/>
    <x v="0"/>
    <x v="9"/>
    <x v="17"/>
    <s v="SE1A"/>
    <x v="7"/>
    <s v="GNR_RES_WTR_NOPMP_MC-03"/>
    <n v="2.3675283515822199"/>
    <n v="8.5231020656960101"/>
  </r>
  <r>
    <x v="0"/>
    <x v="0"/>
    <x v="0"/>
    <x v="9"/>
    <x v="17"/>
    <s v="SE1A"/>
    <x v="7"/>
    <s v="GNR_RES_WTR_NOPMP_MC-04"/>
    <n v="2.0721050000000001"/>
    <n v="7.4595779999999996"/>
  </r>
  <r>
    <x v="0"/>
    <x v="0"/>
    <x v="0"/>
    <x v="9"/>
    <x v="17"/>
    <s v="SE1A"/>
    <x v="7"/>
    <s v="GNR_RES_WTR_NOPMP_MC-05"/>
    <n v="1.3950930811257101"/>
    <n v="5.0223350920525602"/>
  </r>
  <r>
    <x v="0"/>
    <x v="0"/>
    <x v="0"/>
    <x v="9"/>
    <x v="17"/>
    <s v="SE1A"/>
    <x v="7"/>
    <s v="GNR_RES_WTR_NOPMP_MC-06"/>
    <n v="0.36328678087571498"/>
    <n v="1.3078324111525701"/>
  </r>
  <r>
    <x v="0"/>
    <x v="0"/>
    <x v="0"/>
    <x v="9"/>
    <x v="17"/>
    <s v="SE1A"/>
    <x v="7"/>
    <s v="GNR_ROR_WTR"/>
    <n v="4.9412659291283996"/>
    <n v="17.788557344862198"/>
  </r>
  <r>
    <x v="0"/>
    <x v="0"/>
    <x v="0"/>
    <x v="9"/>
    <x v="17"/>
    <s v="SE1A"/>
    <x v="8"/>
    <s v="GNR_WT_WIND_ONS"/>
    <n v="1.3272919999999999"/>
    <n v="4.7782511999999997"/>
  </r>
  <r>
    <x v="0"/>
    <x v="0"/>
    <x v="0"/>
    <x v="9"/>
    <x v="17"/>
    <s v="SE1_EL"/>
    <x v="1"/>
    <s v="GBPR_MUNIWASTE"/>
    <n v="0.16184098599587399"/>
    <n v="0.58262754958514695"/>
  </r>
  <r>
    <x v="0"/>
    <x v="0"/>
    <x v="0"/>
    <x v="9"/>
    <x v="17"/>
    <s v="SE1_EL"/>
    <x v="4"/>
    <s v="GHOB_WASTEHEAT"/>
    <n v="1.0020238276214899"/>
    <n v="3.6072857794373698"/>
  </r>
  <r>
    <x v="0"/>
    <x v="0"/>
    <x v="0"/>
    <x v="9"/>
    <x v="17"/>
    <s v="SE1_EL"/>
    <x v="10"/>
    <s v="GBPR_WOODWASTE_25"/>
    <n v="0.112103279427872"/>
    <n v="0.40357180594033798"/>
  </r>
  <r>
    <x v="0"/>
    <x v="0"/>
    <x v="0"/>
    <x v="9"/>
    <x v="17"/>
    <s v="SE1_OTHER"/>
    <x v="2"/>
    <s v="GBPR_NATGAS"/>
    <n v="2.21125644997789E-2"/>
    <n v="7.9605232199203999E-2"/>
  </r>
  <r>
    <x v="0"/>
    <x v="0"/>
    <x v="0"/>
    <x v="9"/>
    <x v="17"/>
    <s v="SE1_OTHER"/>
    <x v="4"/>
    <s v="GHOB_WASTEHEAT"/>
    <n v="0.31385989010988902"/>
    <n v="1.1298956043956001"/>
  </r>
  <r>
    <x v="0"/>
    <x v="0"/>
    <x v="0"/>
    <x v="9"/>
    <x v="17"/>
    <s v="SE1_OTHER"/>
    <x v="5"/>
    <s v="GBPR_WOODCHIPS_25"/>
    <n v="4.0957806134028697E-2"/>
    <n v="0.147448102082503"/>
  </r>
  <r>
    <x v="0"/>
    <x v="0"/>
    <x v="0"/>
    <x v="9"/>
    <x v="17"/>
    <s v="SE1_OTHER"/>
    <x v="10"/>
    <s v="GBPR_WOODWASTE"/>
    <n v="0.85386876368320896"/>
    <n v="3.0739275492595501"/>
  </r>
  <r>
    <x v="0"/>
    <x v="0"/>
    <x v="0"/>
    <x v="9"/>
    <x v="17"/>
    <s v="SE1_OTHER"/>
    <x v="10"/>
    <s v="GHOB_WOODWASTE"/>
    <n v="0.27512244211393799"/>
    <n v="0.99044079161017795"/>
  </r>
  <r>
    <x v="0"/>
    <x v="0"/>
    <x v="0"/>
    <x v="9"/>
    <x v="18"/>
    <s v="SE2A"/>
    <x v="7"/>
    <s v="GNR_RES_WTR_NOPMP_MC-01"/>
    <n v="3.2721063313413699"/>
    <n v="11.779582792828901"/>
  </r>
  <r>
    <x v="0"/>
    <x v="0"/>
    <x v="0"/>
    <x v="9"/>
    <x v="18"/>
    <s v="SE2A"/>
    <x v="7"/>
    <s v="GNR_RES_WTR_NOPMP_MC-02"/>
    <n v="3.24789796536666"/>
    <n v="11.692432675319999"/>
  </r>
  <r>
    <x v="0"/>
    <x v="0"/>
    <x v="0"/>
    <x v="9"/>
    <x v="18"/>
    <s v="SE2A"/>
    <x v="7"/>
    <s v="GNR_RES_WTR_NOPMP_MC-03"/>
    <n v="3.0104336955209998"/>
    <n v="10.837561303875599"/>
  </r>
  <r>
    <x v="0"/>
    <x v="0"/>
    <x v="0"/>
    <x v="9"/>
    <x v="18"/>
    <s v="SE2A"/>
    <x v="7"/>
    <s v="GNR_RES_WTR_NOPMP_MC-04"/>
    <n v="3.0104336955209998"/>
    <n v="10.837561303875599"/>
  </r>
  <r>
    <x v="0"/>
    <x v="0"/>
    <x v="0"/>
    <x v="9"/>
    <x v="18"/>
    <s v="SE2A"/>
    <x v="7"/>
    <s v="GNR_RES_WTR_NOPMP_MC-05"/>
    <n v="2.9679091260343999"/>
    <n v="10.684472853723801"/>
  </r>
  <r>
    <x v="0"/>
    <x v="0"/>
    <x v="0"/>
    <x v="9"/>
    <x v="18"/>
    <s v="SE2A"/>
    <x v="7"/>
    <s v="GNR_RES_WTR_NOPMP_MC-06"/>
    <n v="2.6341294835808702"/>
    <n v="9.4828661408911401"/>
  </r>
  <r>
    <x v="0"/>
    <x v="0"/>
    <x v="0"/>
    <x v="9"/>
    <x v="18"/>
    <s v="SE2A"/>
    <x v="7"/>
    <s v="GNR_RES_WTR_NOPMP_MC-07"/>
    <n v="2.6341294835808702"/>
    <n v="9.4828661408911401"/>
  </r>
  <r>
    <x v="0"/>
    <x v="0"/>
    <x v="0"/>
    <x v="9"/>
    <x v="18"/>
    <s v="SE2A"/>
    <x v="7"/>
    <s v="GNR_RES_WTR_NOPMP_MC-08"/>
    <n v="0.940760529850311"/>
    <n v="3.3867379074611201"/>
  </r>
  <r>
    <x v="0"/>
    <x v="0"/>
    <x v="0"/>
    <x v="9"/>
    <x v="18"/>
    <s v="SE2A"/>
    <x v="7"/>
    <s v="GNR_RES_WTR_NOPMP_MC-09"/>
    <n v="0.29605253255234398"/>
    <n v="1.0657891171884399"/>
  </r>
  <r>
    <x v="0"/>
    <x v="0"/>
    <x v="0"/>
    <x v="9"/>
    <x v="18"/>
    <s v="SE2A"/>
    <x v="7"/>
    <s v="GNR_RES_WTR_PMP_MC-01"/>
    <n v="0.88083223728057303"/>
    <n v="3.1709960542100601"/>
  </r>
  <r>
    <x v="0"/>
    <x v="0"/>
    <x v="0"/>
    <x v="9"/>
    <x v="18"/>
    <s v="SE2A"/>
    <x v="7"/>
    <s v="GNR_ROR_WTR"/>
    <n v="14.6401234618342"/>
    <n v="52.704444462603199"/>
  </r>
  <r>
    <x v="0"/>
    <x v="0"/>
    <x v="0"/>
    <x v="9"/>
    <x v="18"/>
    <s v="SE2A"/>
    <x v="8"/>
    <s v="GNR_WT_WIND_ONS"/>
    <n v="5.7980369999999999"/>
    <n v="20.872933199999999"/>
  </r>
  <r>
    <x v="0"/>
    <x v="0"/>
    <x v="0"/>
    <x v="9"/>
    <x v="18"/>
    <s v="SE2A"/>
    <x v="13"/>
    <s v="GBPR_IND_BIO"/>
    <n v="6.8529327885597597"/>
    <n v="24.670558038815098"/>
  </r>
  <r>
    <x v="0"/>
    <x v="0"/>
    <x v="0"/>
    <x v="9"/>
    <x v="18"/>
    <s v="SE2_EL"/>
    <x v="1"/>
    <s v="GBPR_MUNIWASTE_24"/>
    <n v="2.09834811861099"/>
    <n v="7.5540532269995797"/>
  </r>
  <r>
    <x v="0"/>
    <x v="0"/>
    <x v="0"/>
    <x v="9"/>
    <x v="18"/>
    <s v="SE2_EL"/>
    <x v="10"/>
    <s v="GBPR_WOODWASTE_25"/>
    <n v="2.3022424384077498"/>
    <n v="8.2880727782679102"/>
  </r>
  <r>
    <x v="0"/>
    <x v="0"/>
    <x v="0"/>
    <x v="9"/>
    <x v="18"/>
    <s v="SE2_EL"/>
    <x v="10"/>
    <s v="GEXT_WOODWASTE_HORNEBORG"/>
    <n v="0.89947250437828397"/>
    <n v="3.2381010157618202"/>
  </r>
  <r>
    <x v="0"/>
    <x v="0"/>
    <x v="0"/>
    <x v="9"/>
    <x v="18"/>
    <s v="SE2_OTHER"/>
    <x v="1"/>
    <s v="GBPR_MUNIWASTE_24"/>
    <n v="0.15905345873548299"/>
    <n v="0.57259245144773696"/>
  </r>
  <r>
    <x v="0"/>
    <x v="0"/>
    <x v="0"/>
    <x v="9"/>
    <x v="18"/>
    <s v="SE2_OTHER"/>
    <x v="4"/>
    <s v="GHOB_WASTEHEAT"/>
    <n v="0.14043415109890101"/>
    <n v="0.50556294395604195"/>
  </r>
  <r>
    <x v="0"/>
    <x v="0"/>
    <x v="0"/>
    <x v="9"/>
    <x v="18"/>
    <s v="SE2_OTHER"/>
    <x v="10"/>
    <s v="GBPR_WOODWASTE_36"/>
    <n v="1.63875627353489"/>
    <n v="5.8995225847255899"/>
  </r>
  <r>
    <x v="0"/>
    <x v="0"/>
    <x v="0"/>
    <x v="9"/>
    <x v="18"/>
    <s v="SE2_OTHER"/>
    <x v="10"/>
    <s v="GHOB_WOODWASTE"/>
    <n v="0.55098366587601499"/>
    <n v="1.9835411971536501"/>
  </r>
  <r>
    <x v="0"/>
    <x v="0"/>
    <x v="0"/>
    <x v="9"/>
    <x v="19"/>
    <s v="SE3A"/>
    <x v="18"/>
    <s v="GCND_NUCLEAR"/>
    <n v="182.06996649289101"/>
    <n v="655.45187937440699"/>
  </r>
  <r>
    <x v="0"/>
    <x v="0"/>
    <x v="0"/>
    <x v="9"/>
    <x v="19"/>
    <s v="SE3A"/>
    <x v="7"/>
    <s v="GNR_RES_WTR_NOPMP_MC-01"/>
    <n v="0.86461200000000005"/>
    <n v="3.1126032000000001"/>
  </r>
  <r>
    <x v="0"/>
    <x v="0"/>
    <x v="0"/>
    <x v="9"/>
    <x v="19"/>
    <s v="SE3A"/>
    <x v="7"/>
    <s v="GNR_RES_WTR_NOPMP_MC-02"/>
    <n v="0.768544"/>
    <n v="2.7667584000000001"/>
  </r>
  <r>
    <x v="0"/>
    <x v="0"/>
    <x v="0"/>
    <x v="9"/>
    <x v="19"/>
    <s v="SE3A"/>
    <x v="7"/>
    <s v="GNR_RES_WTR_NOPMP_MC-03"/>
    <n v="0.768544"/>
    <n v="2.7667584000000001"/>
  </r>
  <r>
    <x v="0"/>
    <x v="0"/>
    <x v="0"/>
    <x v="9"/>
    <x v="19"/>
    <s v="SE3A"/>
    <x v="7"/>
    <s v="GNR_RES_WTR_NOPMP_MC-04"/>
    <n v="0.768544"/>
    <n v="2.7667584000000001"/>
  </r>
  <r>
    <x v="0"/>
    <x v="0"/>
    <x v="0"/>
    <x v="9"/>
    <x v="19"/>
    <s v="SE3A"/>
    <x v="7"/>
    <s v="GNR_RES_WTR_NOPMP_MC-05"/>
    <n v="0.67247599999999996"/>
    <n v="2.4209136"/>
  </r>
  <r>
    <x v="0"/>
    <x v="0"/>
    <x v="0"/>
    <x v="9"/>
    <x v="19"/>
    <s v="SE3A"/>
    <x v="7"/>
    <s v="GNR_RES_WTR_NOPMP_MC-06"/>
    <n v="0.67247599999999996"/>
    <n v="2.4209136"/>
  </r>
  <r>
    <x v="0"/>
    <x v="0"/>
    <x v="0"/>
    <x v="9"/>
    <x v="19"/>
    <s v="SE3A"/>
    <x v="7"/>
    <s v="GNR_RES_WTR_NOPMP_MC-07"/>
    <n v="0.57843030851122701"/>
    <n v="2.0823491106404202"/>
  </r>
  <r>
    <x v="0"/>
    <x v="0"/>
    <x v="0"/>
    <x v="9"/>
    <x v="19"/>
    <s v="SE3A"/>
    <x v="7"/>
    <s v="GNR_RES_WTR_NOPMP_MC-08"/>
    <n v="0.224997366234471"/>
    <n v="0.80999051844409597"/>
  </r>
  <r>
    <x v="0"/>
    <x v="0"/>
    <x v="0"/>
    <x v="9"/>
    <x v="19"/>
    <s v="SE3A"/>
    <x v="7"/>
    <s v="GNR_RES_WTR_NOPMP_MC-09"/>
    <n v="4.8034E-2"/>
    <n v="0.1729224"/>
  </r>
  <r>
    <x v="0"/>
    <x v="0"/>
    <x v="0"/>
    <x v="9"/>
    <x v="19"/>
    <s v="SE3A"/>
    <x v="7"/>
    <s v="GNR_ROR_WTR"/>
    <n v="5.3666576747457002"/>
    <n v="19.319967629084498"/>
  </r>
  <r>
    <x v="0"/>
    <x v="0"/>
    <x v="0"/>
    <x v="9"/>
    <x v="19"/>
    <s v="SE3A"/>
    <x v="8"/>
    <s v="GNR_WT_WIND_ONS"/>
    <n v="4.6407759999999998"/>
    <n v="16.706793600000001"/>
  </r>
  <r>
    <x v="0"/>
    <x v="0"/>
    <x v="0"/>
    <x v="9"/>
    <x v="19"/>
    <s v="SE3A"/>
    <x v="13"/>
    <s v="GBPR_IND_BIO"/>
    <n v="12.200305813593699"/>
    <n v="43.9211009289373"/>
  </r>
  <r>
    <x v="0"/>
    <x v="0"/>
    <x v="0"/>
    <x v="9"/>
    <x v="19"/>
    <s v="SE3_EL"/>
    <x v="0"/>
    <s v="GEXT_COAL_LINK"/>
    <n v="0.143203001003672"/>
    <n v="0.51553080361321901"/>
  </r>
  <r>
    <x v="0"/>
    <x v="0"/>
    <x v="0"/>
    <x v="9"/>
    <x v="19"/>
    <s v="SE3_EL"/>
    <x v="1"/>
    <s v="GBPR_MUNIWASTE_24"/>
    <n v="2.3244554751372699"/>
    <n v="8.3680397104941804"/>
  </r>
  <r>
    <x v="0"/>
    <x v="0"/>
    <x v="0"/>
    <x v="9"/>
    <x v="19"/>
    <s v="SE3_EL"/>
    <x v="1"/>
    <s v="GBPR_MUNIWASTE_LINK"/>
    <n v="2.1075384356157101"/>
    <n v="7.5871383682165501"/>
  </r>
  <r>
    <x v="0"/>
    <x v="0"/>
    <x v="0"/>
    <x v="9"/>
    <x v="19"/>
    <s v="SE3_EL"/>
    <x v="1"/>
    <s v="GHOB_MUNIWASTE"/>
    <n v="1.8324392432951799"/>
    <n v="6.5967812758626501"/>
  </r>
  <r>
    <x v="0"/>
    <x v="0"/>
    <x v="0"/>
    <x v="9"/>
    <x v="19"/>
    <s v="SE3_EL"/>
    <x v="2"/>
    <s v="GBPR_NATGAS"/>
    <n v="7.5824296568336003E-2"/>
    <n v="0.27296746764600999"/>
  </r>
  <r>
    <x v="0"/>
    <x v="0"/>
    <x v="0"/>
    <x v="9"/>
    <x v="19"/>
    <s v="SE3_EL"/>
    <x v="22"/>
    <s v="GBPR_RECYCLEDWOOD_SE3EL"/>
    <n v="1.9965908356069699"/>
    <n v="7.1877270081850799"/>
  </r>
  <r>
    <x v="0"/>
    <x v="0"/>
    <x v="0"/>
    <x v="9"/>
    <x v="19"/>
    <s v="SE3_EL"/>
    <x v="22"/>
    <s v="GHOB_RECYCLEDWOOD"/>
    <n v="0.524219048156082"/>
    <n v="1.8871885733619"/>
  </r>
  <r>
    <x v="0"/>
    <x v="0"/>
    <x v="0"/>
    <x v="9"/>
    <x v="19"/>
    <s v="SE3_EL"/>
    <x v="4"/>
    <s v="GHOB_WASTEHEAT"/>
    <n v="0.23845329670329601"/>
    <n v="0.85843186813186501"/>
  </r>
  <r>
    <x v="0"/>
    <x v="0"/>
    <x v="0"/>
    <x v="9"/>
    <x v="19"/>
    <s v="SE3_EL"/>
    <x v="10"/>
    <s v="GBPR_WOODWASTE_25"/>
    <n v="2.6918360070052501"/>
    <n v="9.6906096252189204"/>
  </r>
  <r>
    <x v="0"/>
    <x v="0"/>
    <x v="0"/>
    <x v="9"/>
    <x v="19"/>
    <s v="SE3_EL"/>
    <x v="10"/>
    <s v="GBPR_WOODWASTE_ABY"/>
    <n v="1.8515006254691"/>
    <n v="6.6654022516887501"/>
  </r>
  <r>
    <x v="0"/>
    <x v="0"/>
    <x v="0"/>
    <x v="9"/>
    <x v="19"/>
    <s v="SE3_EL"/>
    <x v="10"/>
    <s v="GHOB_WOODWASTE"/>
    <n v="0.58845633452147905"/>
    <n v="2.1184428042773198"/>
  </r>
  <r>
    <x v="0"/>
    <x v="0"/>
    <x v="0"/>
    <x v="9"/>
    <x v="19"/>
    <s v="SE3_GOT"/>
    <x v="1"/>
    <s v="GBPR_MUNIWASTE_24"/>
    <n v="2.04172888888889"/>
    <n v="7.3502239999999999"/>
  </r>
  <r>
    <x v="0"/>
    <x v="0"/>
    <x v="0"/>
    <x v="9"/>
    <x v="19"/>
    <s v="SE3_GOT"/>
    <x v="2"/>
    <s v="GBPR_NATGAS_RYA"/>
    <n v="5.2181189189189201"/>
    <n v="18.7852281081081"/>
  </r>
  <r>
    <x v="0"/>
    <x v="0"/>
    <x v="0"/>
    <x v="9"/>
    <x v="19"/>
    <s v="SE3_GOT"/>
    <x v="10"/>
    <s v="GBPR_WOODWASTE_GOT"/>
    <n v="0.62935694948970999"/>
    <n v="2.26568501816296"/>
  </r>
  <r>
    <x v="0"/>
    <x v="0"/>
    <x v="0"/>
    <x v="9"/>
    <x v="19"/>
    <s v="SE3_HP"/>
    <x v="1"/>
    <s v="GBPR_MUNIWASTE_24"/>
    <n v="1.66803115779105"/>
    <n v="6.0049121680477802"/>
  </r>
  <r>
    <x v="0"/>
    <x v="0"/>
    <x v="0"/>
    <x v="9"/>
    <x v="19"/>
    <s v="SE3_HP"/>
    <x v="4"/>
    <s v="GHOB_WASTEHEAT"/>
    <n v="3.0082417582417501E-5"/>
    <n v="1.08296703296703E-4"/>
  </r>
  <r>
    <x v="0"/>
    <x v="0"/>
    <x v="0"/>
    <x v="9"/>
    <x v="19"/>
    <s v="SE3_HP"/>
    <x v="10"/>
    <s v="GBPR_WOODWASTE_36"/>
    <n v="0.93238003502626998"/>
    <n v="3.3565681260945701"/>
  </r>
  <r>
    <x v="0"/>
    <x v="0"/>
    <x v="0"/>
    <x v="9"/>
    <x v="19"/>
    <s v="SE3_HP"/>
    <x v="10"/>
    <s v="GEXT_WOODWASTE"/>
    <n v="4.3099044415151999"/>
    <n v="15.5156559894547"/>
  </r>
  <r>
    <x v="0"/>
    <x v="0"/>
    <x v="0"/>
    <x v="9"/>
    <x v="19"/>
    <s v="SE3_HP"/>
    <x v="10"/>
    <s v="GHOB_WOODWASTE"/>
    <n v="0.179339073377975"/>
    <n v="0.64562066416070896"/>
  </r>
  <r>
    <x v="0"/>
    <x v="0"/>
    <x v="0"/>
    <x v="9"/>
    <x v="19"/>
    <s v="SE3_OTHER"/>
    <x v="1"/>
    <s v="GBPR_MUNIWASTE_24"/>
    <n v="1.45422925753667"/>
    <n v="5.2352253271320297"/>
  </r>
  <r>
    <x v="0"/>
    <x v="0"/>
    <x v="0"/>
    <x v="9"/>
    <x v="19"/>
    <s v="SE3_OTHER"/>
    <x v="1"/>
    <s v="GHOB_MUNIWASTE"/>
    <n v="1.22537459775631"/>
    <n v="4.4113485519227096"/>
  </r>
  <r>
    <x v="0"/>
    <x v="0"/>
    <x v="0"/>
    <x v="9"/>
    <x v="19"/>
    <s v="SE3_OTHER"/>
    <x v="22"/>
    <s v="GBPR_RECYCLEDWOOD_SE3OTHER"/>
    <n v="1.6226635955080699"/>
    <n v="5.8415889438290503"/>
  </r>
  <r>
    <x v="0"/>
    <x v="0"/>
    <x v="0"/>
    <x v="9"/>
    <x v="19"/>
    <s v="SE3_OTHER"/>
    <x v="4"/>
    <s v="GHOB_WASTEHEAT"/>
    <n v="1.18305324175824"/>
    <n v="4.2589916703296504"/>
  </r>
  <r>
    <x v="0"/>
    <x v="0"/>
    <x v="0"/>
    <x v="9"/>
    <x v="19"/>
    <s v="SE3_OTHER"/>
    <x v="5"/>
    <s v="GBPR_WOODCHIPS_37"/>
    <n v="0.35727310983937699"/>
    <n v="1.28618319542176"/>
  </r>
  <r>
    <x v="0"/>
    <x v="0"/>
    <x v="0"/>
    <x v="9"/>
    <x v="19"/>
    <s v="SE3_OTHER"/>
    <x v="10"/>
    <s v="GBPR_WOODWASTE_25"/>
    <n v="7.4340950008318698"/>
    <n v="26.762742002994798"/>
  </r>
  <r>
    <x v="0"/>
    <x v="0"/>
    <x v="0"/>
    <x v="9"/>
    <x v="19"/>
    <s v="SE3_OTHER"/>
    <x v="10"/>
    <s v="GHOB_WOODWASTE"/>
    <n v="2.3419973738387001"/>
    <n v="8.4311905458193106"/>
  </r>
  <r>
    <x v="0"/>
    <x v="0"/>
    <x v="0"/>
    <x v="9"/>
    <x v="19"/>
    <s v="SE3_STO"/>
    <x v="0"/>
    <s v="GBPR_COAL_VARTAN"/>
    <n v="2.7931371446387998"/>
    <n v="10.0552937206997"/>
  </r>
  <r>
    <x v="0"/>
    <x v="0"/>
    <x v="0"/>
    <x v="9"/>
    <x v="19"/>
    <s v="SE3_STO"/>
    <x v="1"/>
    <s v="GBPR_MUNIWASTE_HOGDALEN"/>
    <n v="1.6516474319766601"/>
    <n v="5.9459307551159997"/>
  </r>
  <r>
    <x v="0"/>
    <x v="0"/>
    <x v="0"/>
    <x v="9"/>
    <x v="19"/>
    <s v="SE3_STO"/>
    <x v="1"/>
    <s v="GHOB_MUNIWASTE"/>
    <n v="1.17147583935945"/>
    <n v="4.21731302169401"/>
  </r>
  <r>
    <x v="0"/>
    <x v="0"/>
    <x v="0"/>
    <x v="9"/>
    <x v="19"/>
    <s v="SE3_STO"/>
    <x v="9"/>
    <s v="GBPR_WOODPELLETS_HASSELBY"/>
    <n v="1.7987150802765699"/>
    <n v="6.4753742889956403"/>
  </r>
  <r>
    <x v="0"/>
    <x v="0"/>
    <x v="0"/>
    <x v="9"/>
    <x v="19"/>
    <s v="SE3_STO"/>
    <x v="10"/>
    <s v="GBPR_WOODWASTE"/>
    <n v="2.9383130985569199"/>
    <n v="10.5779271548049"/>
  </r>
  <r>
    <x v="0"/>
    <x v="0"/>
    <x v="0"/>
    <x v="9"/>
    <x v="19"/>
    <s v="SE3_STO"/>
    <x v="10"/>
    <s v="GBPR_WOODWASTE_BRISTA"/>
    <n v="1.62036013258871"/>
    <n v="5.8332964773193599"/>
  </r>
  <r>
    <x v="0"/>
    <x v="0"/>
    <x v="0"/>
    <x v="9"/>
    <x v="20"/>
    <s v="SE4A"/>
    <x v="7"/>
    <s v="GNR_RES_WTR_NOPMP_MC-01"/>
    <n v="8.3697971131995105E-2"/>
    <n v="0.30131269607518202"/>
  </r>
  <r>
    <x v="0"/>
    <x v="0"/>
    <x v="0"/>
    <x v="9"/>
    <x v="20"/>
    <s v="SE4A"/>
    <x v="7"/>
    <s v="GNR_RES_WTR_NOPMP_MC-02"/>
    <n v="7.8118106389862094E-2"/>
    <n v="0.28122518300350402"/>
  </r>
  <r>
    <x v="0"/>
    <x v="0"/>
    <x v="0"/>
    <x v="9"/>
    <x v="20"/>
    <s v="SE4A"/>
    <x v="7"/>
    <s v="GNR_RES_WTR_NOPMP_MC-03"/>
    <n v="7.8118106389862094E-2"/>
    <n v="0.28122518300350402"/>
  </r>
  <r>
    <x v="0"/>
    <x v="0"/>
    <x v="0"/>
    <x v="9"/>
    <x v="20"/>
    <s v="SE4A"/>
    <x v="7"/>
    <s v="GNR_RES_WTR_NOPMP_MC-04"/>
    <n v="7.2745651972692005E-2"/>
    <n v="0.26188434710169101"/>
  </r>
  <r>
    <x v="0"/>
    <x v="0"/>
    <x v="0"/>
    <x v="9"/>
    <x v="20"/>
    <s v="SE4A"/>
    <x v="7"/>
    <s v="GNR_RES_WTR_NOPMP_MC-05"/>
    <n v="6.6958376905596098E-2"/>
    <n v="0.241050156860146"/>
  </r>
  <r>
    <x v="0"/>
    <x v="0"/>
    <x v="0"/>
    <x v="9"/>
    <x v="20"/>
    <s v="SE4A"/>
    <x v="7"/>
    <s v="GNR_RES_WTR_NOPMP_MC-06"/>
    <n v="6.6958376905596098E-2"/>
    <n v="0.241050156860146"/>
  </r>
  <r>
    <x v="0"/>
    <x v="0"/>
    <x v="0"/>
    <x v="9"/>
    <x v="20"/>
    <s v="SE4A"/>
    <x v="7"/>
    <s v="GNR_RES_WTR_NOPMP_MC-07"/>
    <n v="6.6586112812626802E-2"/>
    <n v="0.23971000612545701"/>
  </r>
  <r>
    <x v="0"/>
    <x v="0"/>
    <x v="0"/>
    <x v="9"/>
    <x v="20"/>
    <s v="SE4A"/>
    <x v="7"/>
    <s v="GNR_RES_WTR_NOPMP_MC-08"/>
    <n v="6.13785121634631E-2"/>
    <n v="0.220962643788467"/>
  </r>
  <r>
    <x v="0"/>
    <x v="0"/>
    <x v="0"/>
    <x v="9"/>
    <x v="20"/>
    <s v="SE4A"/>
    <x v="7"/>
    <s v="GNR_RES_WTR_NOPMP_MC-09"/>
    <n v="5.7568667758992401E-2"/>
    <n v="0.207247203932373"/>
  </r>
  <r>
    <x v="0"/>
    <x v="0"/>
    <x v="0"/>
    <x v="9"/>
    <x v="20"/>
    <s v="SE4A"/>
    <x v="7"/>
    <s v="GNR_RES_WTR_NOPMP_MC-10"/>
    <n v="5.5798647421330103E-2"/>
    <n v="0.200875130716788"/>
  </r>
  <r>
    <x v="0"/>
    <x v="0"/>
    <x v="0"/>
    <x v="9"/>
    <x v="20"/>
    <s v="SE4A"/>
    <x v="7"/>
    <s v="GNR_ROR_WTR"/>
    <n v="0.89790717004695797"/>
    <n v="3.2324658121690502"/>
  </r>
  <r>
    <x v="0"/>
    <x v="0"/>
    <x v="0"/>
    <x v="9"/>
    <x v="20"/>
    <s v="SE4A"/>
    <x v="8"/>
    <s v="GNR_WT_WIND_ONS"/>
    <n v="2.8917470000000001"/>
    <n v="10.410289199999999"/>
  </r>
  <r>
    <x v="0"/>
    <x v="0"/>
    <x v="0"/>
    <x v="9"/>
    <x v="20"/>
    <s v="SE4A"/>
    <x v="13"/>
    <s v="GBPR_IND_BIO"/>
    <n v="7.9923144024514796"/>
    <n v="28.772331848825299"/>
  </r>
  <r>
    <x v="0"/>
    <x v="0"/>
    <x v="0"/>
    <x v="9"/>
    <x v="20"/>
    <s v="SE4_EL"/>
    <x v="2"/>
    <s v="GHOB_NATGAS"/>
    <n v="1.0386738274420999E-2"/>
    <n v="3.7392257787915398E-2"/>
  </r>
  <r>
    <x v="0"/>
    <x v="0"/>
    <x v="0"/>
    <x v="9"/>
    <x v="20"/>
    <s v="SE4_EL"/>
    <x v="22"/>
    <s v="GBPR_RECYCLEDWOOD"/>
    <n v="0.730694498444874"/>
    <n v="2.63050019440155"/>
  </r>
  <r>
    <x v="0"/>
    <x v="0"/>
    <x v="0"/>
    <x v="9"/>
    <x v="20"/>
    <s v="SE4_EL"/>
    <x v="22"/>
    <s v="GBPR_RECYCLEDWOOD_SE4EL"/>
    <n v="9.9483431819100507E-2"/>
    <n v="0.35814035454876197"/>
  </r>
  <r>
    <x v="0"/>
    <x v="0"/>
    <x v="0"/>
    <x v="9"/>
    <x v="20"/>
    <s v="SE4_EL"/>
    <x v="22"/>
    <s v="GHOB_RECYCLEDWOOD"/>
    <n v="4.0758880313176003E-2"/>
    <n v="0.146731969127434"/>
  </r>
  <r>
    <x v="0"/>
    <x v="0"/>
    <x v="0"/>
    <x v="9"/>
    <x v="20"/>
    <s v="SE4_EL"/>
    <x v="3"/>
    <s v="GHOB_STRAW"/>
    <n v="2.5764705882352901E-2"/>
    <n v="9.2752941176470594E-2"/>
  </r>
  <r>
    <x v="0"/>
    <x v="0"/>
    <x v="0"/>
    <x v="9"/>
    <x v="20"/>
    <s v="SE4_EL"/>
    <x v="4"/>
    <s v="GHOB_WASTEHEAT"/>
    <n v="9.1249999999999595E-2"/>
    <n v="0.32849999999999902"/>
  </r>
  <r>
    <x v="0"/>
    <x v="0"/>
    <x v="0"/>
    <x v="9"/>
    <x v="20"/>
    <s v="SE4_EL"/>
    <x v="10"/>
    <s v="GHOB_WOODWASTE"/>
    <n v="0.56807689436489095"/>
    <n v="2.0450768197136102"/>
  </r>
  <r>
    <x v="0"/>
    <x v="0"/>
    <x v="0"/>
    <x v="9"/>
    <x v="20"/>
    <s v="SE4_HP"/>
    <x v="1"/>
    <s v="GBPR_MUNIWASTE_65"/>
    <n v="0.45329523809523797"/>
    <n v="1.6318628571428599"/>
  </r>
  <r>
    <x v="0"/>
    <x v="0"/>
    <x v="0"/>
    <x v="9"/>
    <x v="20"/>
    <s v="SE4_HP"/>
    <x v="2"/>
    <s v="GBPR_NATGAS_100"/>
    <n v="1.07509090909091"/>
    <n v="3.8703272727272702"/>
  </r>
  <r>
    <x v="0"/>
    <x v="0"/>
    <x v="0"/>
    <x v="9"/>
    <x v="20"/>
    <s v="SE4_HP"/>
    <x v="9"/>
    <s v="GBPR_WOODPELLETS"/>
    <n v="0.71949391802492801"/>
    <n v="2.5901781048897399"/>
  </r>
  <r>
    <x v="0"/>
    <x v="0"/>
    <x v="0"/>
    <x v="9"/>
    <x v="20"/>
    <s v="SE4_MAL"/>
    <x v="1"/>
    <s v="GBPR_MUNIWASTE_24"/>
    <n v="1.27387505353143"/>
    <n v="4.5859501927131596"/>
  </r>
  <r>
    <x v="0"/>
    <x v="0"/>
    <x v="0"/>
    <x v="9"/>
    <x v="20"/>
    <s v="SE4_MAL"/>
    <x v="1"/>
    <s v="GHOB_MUNIWASTE"/>
    <n v="0.15336719852460201"/>
    <n v="0.55212191468856597"/>
  </r>
  <r>
    <x v="0"/>
    <x v="0"/>
    <x v="0"/>
    <x v="9"/>
    <x v="20"/>
    <s v="SE4_MAL"/>
    <x v="2"/>
    <s v="GBPR_NATGAS_MAL"/>
    <n v="1.87557186437483"/>
    <n v="6.7520587117493998"/>
  </r>
  <r>
    <x v="0"/>
    <x v="0"/>
    <x v="0"/>
    <x v="9"/>
    <x v="20"/>
    <s v="SE4_MAL"/>
    <x v="2"/>
    <s v="GEXT_NATGAS_ORESUND"/>
    <n v="7.008"/>
    <n v="25.2288"/>
  </r>
  <r>
    <x v="0"/>
    <x v="0"/>
    <x v="0"/>
    <x v="9"/>
    <x v="20"/>
    <s v="SE4_MAL"/>
    <x v="4"/>
    <s v="GHOB_WASTEHEAT"/>
    <n v="4.5123626373626199E-2"/>
    <n v="0.16244505494505401"/>
  </r>
  <r>
    <x v="0"/>
    <x v="0"/>
    <x v="0"/>
    <x v="9"/>
    <x v="20"/>
    <s v="SE4_OTHER"/>
    <x v="1"/>
    <s v="GBPR_MUNIWASTE_19"/>
    <n v="0.70351571231326704"/>
    <n v="2.5326565643277599"/>
  </r>
  <r>
    <x v="0"/>
    <x v="0"/>
    <x v="0"/>
    <x v="9"/>
    <x v="20"/>
    <s v="SE4_OTHER"/>
    <x v="1"/>
    <s v="GHOB_MUNIWASTE"/>
    <n v="0.13559832840585601"/>
    <n v="0.48815398226108198"/>
  </r>
  <r>
    <x v="0"/>
    <x v="0"/>
    <x v="0"/>
    <x v="9"/>
    <x v="20"/>
    <s v="SE4_OTHER"/>
    <x v="4"/>
    <s v="GHOB_WASTEHEAT"/>
    <n v="0.481388873626372"/>
    <n v="1.73299994505494"/>
  </r>
  <r>
    <x v="0"/>
    <x v="0"/>
    <x v="0"/>
    <x v="9"/>
    <x v="20"/>
    <s v="SE4_OTHER"/>
    <x v="5"/>
    <s v="GBPR_WOODCHIPS"/>
    <n v="0.90366475914482203"/>
    <n v="3.2531931329213601"/>
  </r>
  <r>
    <x v="0"/>
    <x v="0"/>
    <x v="0"/>
    <x v="9"/>
    <x v="20"/>
    <s v="SE4_OTHER"/>
    <x v="5"/>
    <s v="GBPR_WOODCHIPS_25"/>
    <n v="0.162171063189369"/>
    <n v="0.583815827481727"/>
  </r>
  <r>
    <x v="0"/>
    <x v="0"/>
    <x v="0"/>
    <x v="9"/>
    <x v="20"/>
    <s v="SE4_OTHER"/>
    <x v="10"/>
    <s v="GBPR_WOODWASTE_36"/>
    <n v="2.6305548721541201"/>
    <n v="9.4699975397548197"/>
  </r>
  <r>
    <x v="0"/>
    <x v="0"/>
    <x v="0"/>
    <x v="9"/>
    <x v="20"/>
    <s v="SE4_OTHER"/>
    <x v="10"/>
    <s v="GHOB_WOODWASTE"/>
    <n v="1.5854122212438999"/>
    <n v="5.7074839964780297"/>
  </r>
  <r>
    <x v="0"/>
    <x v="0"/>
    <x v="0"/>
    <x v="10"/>
    <x v="21"/>
    <s v="UK_A"/>
    <x v="11"/>
    <s v="GNR_ST_BGAS_CND_E-45"/>
    <n v="3.5558711105823901"/>
    <n v="12.8011359980966"/>
  </r>
  <r>
    <x v="0"/>
    <x v="0"/>
    <x v="0"/>
    <x v="10"/>
    <x v="21"/>
    <s v="UK_A"/>
    <x v="0"/>
    <s v="GNR_ST_COAL_CND_E-35"/>
    <n v="2.93634014564247"/>
    <n v="10.570824524312901"/>
  </r>
  <r>
    <x v="0"/>
    <x v="0"/>
    <x v="0"/>
    <x v="10"/>
    <x v="21"/>
    <s v="UK_A"/>
    <x v="1"/>
    <s v="GNR_ST_MSW_CND_E-40"/>
    <n v="17.651399999999999"/>
    <n v="63.54504"/>
  </r>
  <r>
    <x v="0"/>
    <x v="0"/>
    <x v="0"/>
    <x v="10"/>
    <x v="21"/>
    <s v="UK_A"/>
    <x v="2"/>
    <s v="GNR_CC_NGAS_CND_E-47"/>
    <n v="155.854702726726"/>
    <n v="561.07692981621199"/>
  </r>
  <r>
    <x v="0"/>
    <x v="0"/>
    <x v="0"/>
    <x v="10"/>
    <x v="21"/>
    <s v="UK_A"/>
    <x v="2"/>
    <s v="GNR_CC_NGAS_CND_E-52"/>
    <n v="100.73659620564599"/>
    <n v="362.65174634032502"/>
  </r>
  <r>
    <x v="0"/>
    <x v="0"/>
    <x v="0"/>
    <x v="10"/>
    <x v="21"/>
    <s v="UK_A"/>
    <x v="2"/>
    <s v="GNR_CC_NGAS_CND_E-56"/>
    <n v="141.724285714286"/>
    <n v="510.20742857142801"/>
  </r>
  <r>
    <x v="0"/>
    <x v="0"/>
    <x v="0"/>
    <x v="10"/>
    <x v="21"/>
    <s v="UK_A"/>
    <x v="2"/>
    <s v="GNR_GT_NGAS_CND_E-33"/>
    <n v="6.6098181818181798"/>
    <n v="23.795345454545501"/>
  </r>
  <r>
    <x v="0"/>
    <x v="0"/>
    <x v="0"/>
    <x v="10"/>
    <x v="21"/>
    <s v="UK_A"/>
    <x v="2"/>
    <s v="GNR_GT_NGAS_CND_E-35"/>
    <n v="4.7935604763397102"/>
    <n v="17.256817714823001"/>
  </r>
  <r>
    <x v="0"/>
    <x v="0"/>
    <x v="0"/>
    <x v="10"/>
    <x v="21"/>
    <s v="UK_A"/>
    <x v="2"/>
    <s v="GNR_GT_NGAS_CND_E-38"/>
    <n v="9.7886317508823097"/>
    <n v="35.239074303176302"/>
  </r>
  <r>
    <x v="0"/>
    <x v="0"/>
    <x v="0"/>
    <x v="10"/>
    <x v="21"/>
    <s v="UK_A"/>
    <x v="2"/>
    <s v="GNR_GT_NGAS_CND_E-41"/>
    <n v="3.18251231527094"/>
    <n v="11.4570443349754"/>
  </r>
  <r>
    <x v="0"/>
    <x v="0"/>
    <x v="0"/>
    <x v="10"/>
    <x v="21"/>
    <s v="UK_A"/>
    <x v="18"/>
    <s v="GNR_ST_NUCL_CND_E-33"/>
    <n v="249.553818181818"/>
    <n v="898.39374545454496"/>
  </r>
  <r>
    <x v="0"/>
    <x v="0"/>
    <x v="0"/>
    <x v="10"/>
    <x v="21"/>
    <s v="UK_A"/>
    <x v="6"/>
    <s v="GNR_PV_SUN"/>
    <n v="5.7649489919999999"/>
    <n v="20.753816371199999"/>
  </r>
  <r>
    <x v="0"/>
    <x v="0"/>
    <x v="0"/>
    <x v="10"/>
    <x v="21"/>
    <s v="UK_A"/>
    <x v="7"/>
    <s v="GNR_ES_WTR_PMP"/>
    <n v="1.3155999999999999E-2"/>
    <n v="4.7361599999999997E-2"/>
  </r>
  <r>
    <x v="0"/>
    <x v="0"/>
    <x v="0"/>
    <x v="10"/>
    <x v="21"/>
    <s v="UK_A"/>
    <x v="7"/>
    <s v="GNR_ROR_WTR"/>
    <n v="5.28207359972677"/>
    <n v="19.015464959016398"/>
  </r>
  <r>
    <x v="0"/>
    <x v="0"/>
    <x v="0"/>
    <x v="10"/>
    <x v="21"/>
    <s v="UK_A"/>
    <x v="8"/>
    <s v="GNR_WT_WIND_ONS"/>
    <n v="26.306808"/>
    <n v="94.704508799999999"/>
  </r>
  <r>
    <x v="0"/>
    <x v="0"/>
    <x v="0"/>
    <x v="10"/>
    <x v="21"/>
    <s v="UK_Offshore"/>
    <x v="8"/>
    <s v="GNR_WT_WIND_OFF"/>
    <n v="14.602332000000001"/>
    <n v="52.568395199999998"/>
  </r>
</pivotCacheRecords>
</file>

<file path=xl/pivotCache/pivotCacheRecords5.xml><?xml version="1.0" encoding="utf-8"?>
<pivotCacheRecords xmlns="http://schemas.openxmlformats.org/spreadsheetml/2006/main" xmlns:r="http://schemas.openxmlformats.org/officeDocument/2006/relationships" count="11">
  <r>
    <x v="0"/>
    <x v="0"/>
    <x v="0"/>
  </r>
  <r>
    <x v="0"/>
    <x v="0"/>
    <x v="1"/>
  </r>
  <r>
    <x v="0"/>
    <x v="0"/>
    <x v="2"/>
  </r>
  <r>
    <x v="0"/>
    <x v="0"/>
    <x v="3"/>
  </r>
  <r>
    <x v="0"/>
    <x v="0"/>
    <x v="4"/>
  </r>
  <r>
    <x v="0"/>
    <x v="0"/>
    <x v="5"/>
  </r>
  <r>
    <x v="0"/>
    <x v="0"/>
    <x v="6"/>
  </r>
  <r>
    <x v="0"/>
    <x v="0"/>
    <x v="7"/>
  </r>
  <r>
    <x v="0"/>
    <x v="0"/>
    <x v="8"/>
  </r>
  <r>
    <x v="0"/>
    <x v="0"/>
    <x v="9"/>
  </r>
  <r>
    <x v="0"/>
    <x v="0"/>
    <x v="10"/>
  </r>
</pivotCacheRecords>
</file>

<file path=xl/pivotCache/pivotCacheRecords6.xml><?xml version="1.0" encoding="utf-8"?>
<pivotCacheRecords xmlns="http://schemas.openxmlformats.org/spreadsheetml/2006/main" xmlns:r="http://schemas.openxmlformats.org/officeDocument/2006/relationships" count="9951">
  <r>
    <x v="0"/>
    <x v="0"/>
    <x v="0"/>
    <x v="0"/>
    <x v="0"/>
    <s v="DK1_Large"/>
    <x v="0"/>
    <x v="0"/>
    <s v="GNR_ST_COAL_EXT_E-47"/>
    <x v="0"/>
    <x v="0"/>
    <n v="7.8434867940729802"/>
    <n v="2862.8726798366401"/>
    <n v="10306.3416474119"/>
  </r>
  <r>
    <x v="0"/>
    <x v="0"/>
    <x v="0"/>
    <x v="0"/>
    <x v="0"/>
    <s v="DK1_Large"/>
    <x v="0"/>
    <x v="0"/>
    <s v="GNR_ST_COAL_EXT_E-47"/>
    <x v="0"/>
    <x v="1"/>
    <n v="338.17348307133301"/>
    <n v="123433.321321036"/>
    <n v="444359.95675573102"/>
  </r>
  <r>
    <x v="0"/>
    <x v="0"/>
    <x v="0"/>
    <x v="0"/>
    <x v="0"/>
    <s v="DK1_Large"/>
    <x v="0"/>
    <x v="0"/>
    <s v="GNR_ST_COAL_EXT_E-47"/>
    <x v="0"/>
    <x v="2"/>
    <n v="279.17192437526597"/>
    <n v="101897.75239697201"/>
    <n v="366831.90862910001"/>
  </r>
  <r>
    <x v="0"/>
    <x v="0"/>
    <x v="0"/>
    <x v="0"/>
    <x v="0"/>
    <s v="DK1_Large"/>
    <x v="1"/>
    <x v="1"/>
    <s v="GNR_ST_MSW_BP_E-18"/>
    <x v="0"/>
    <x v="3"/>
    <n v="2.85"/>
    <n v="1040.25"/>
    <n v="3744.9"/>
  </r>
  <r>
    <x v="0"/>
    <x v="0"/>
    <x v="0"/>
    <x v="0"/>
    <x v="0"/>
    <s v="DK1_Large"/>
    <x v="1"/>
    <x v="1"/>
    <s v="GNR_ST_MSW_BP_E-18"/>
    <x v="0"/>
    <x v="4"/>
    <n v="2.85"/>
    <n v="1040.25"/>
    <n v="3744.9"/>
  </r>
  <r>
    <x v="0"/>
    <x v="0"/>
    <x v="0"/>
    <x v="0"/>
    <x v="0"/>
    <s v="DK1_Large"/>
    <x v="1"/>
    <x v="1"/>
    <s v="GNR_ST_MSW_BP_E-18"/>
    <x v="0"/>
    <x v="5"/>
    <n v="2.85"/>
    <n v="1040.25"/>
    <n v="3744.9"/>
  </r>
  <r>
    <x v="0"/>
    <x v="0"/>
    <x v="0"/>
    <x v="0"/>
    <x v="0"/>
    <s v="DK1_Large"/>
    <x v="1"/>
    <x v="1"/>
    <s v="GNR_ST_MSW_BP_E-18"/>
    <x v="0"/>
    <x v="6"/>
    <n v="2.85"/>
    <n v="1040.25"/>
    <n v="3744.9"/>
  </r>
  <r>
    <x v="0"/>
    <x v="0"/>
    <x v="0"/>
    <x v="0"/>
    <x v="0"/>
    <s v="DK1_Large"/>
    <x v="1"/>
    <x v="1"/>
    <s v="GNR_ST_MSW_BP_E-18"/>
    <x v="0"/>
    <x v="7"/>
    <n v="2.85"/>
    <n v="1040.25"/>
    <n v="3744.9"/>
  </r>
  <r>
    <x v="0"/>
    <x v="0"/>
    <x v="0"/>
    <x v="0"/>
    <x v="0"/>
    <s v="DK1_Large"/>
    <x v="1"/>
    <x v="1"/>
    <s v="GNR_ST_MSW_BP_E-18"/>
    <x v="0"/>
    <x v="8"/>
    <n v="2.85"/>
    <n v="1040.25"/>
    <n v="3744.9"/>
  </r>
  <r>
    <x v="0"/>
    <x v="0"/>
    <x v="0"/>
    <x v="0"/>
    <x v="0"/>
    <s v="DK1_Large"/>
    <x v="1"/>
    <x v="1"/>
    <s v="GNR_ST_MSW_BP_E-18"/>
    <x v="0"/>
    <x v="0"/>
    <n v="2.85"/>
    <n v="1040.25"/>
    <n v="3744.9"/>
  </r>
  <r>
    <x v="0"/>
    <x v="0"/>
    <x v="0"/>
    <x v="0"/>
    <x v="0"/>
    <s v="DK1_Large"/>
    <x v="1"/>
    <x v="1"/>
    <s v="GNR_ST_MSW_BP_E-18"/>
    <x v="0"/>
    <x v="1"/>
    <n v="2.85"/>
    <n v="1040.25"/>
    <n v="3744.9"/>
  </r>
  <r>
    <x v="0"/>
    <x v="0"/>
    <x v="0"/>
    <x v="0"/>
    <x v="0"/>
    <s v="DK1_Large"/>
    <x v="1"/>
    <x v="1"/>
    <s v="GNR_ST_MSW_BP_E-18"/>
    <x v="0"/>
    <x v="2"/>
    <n v="2.85"/>
    <n v="1040.25"/>
    <n v="3744.9"/>
  </r>
  <r>
    <x v="0"/>
    <x v="0"/>
    <x v="0"/>
    <x v="0"/>
    <x v="0"/>
    <s v="DK1_Large"/>
    <x v="1"/>
    <x v="1"/>
    <s v="GNR_ST_MSW_BP_E-18"/>
    <x v="0"/>
    <x v="9"/>
    <n v="2.85"/>
    <n v="1040.25"/>
    <n v="3744.9"/>
  </r>
  <r>
    <x v="0"/>
    <x v="0"/>
    <x v="0"/>
    <x v="0"/>
    <x v="0"/>
    <s v="DK1_Large"/>
    <x v="1"/>
    <x v="1"/>
    <s v="GNR_ST_MSW_BP_E-18"/>
    <x v="0"/>
    <x v="10"/>
    <n v="2.85"/>
    <n v="1040.25"/>
    <n v="3744.9"/>
  </r>
  <r>
    <x v="0"/>
    <x v="0"/>
    <x v="0"/>
    <x v="0"/>
    <x v="0"/>
    <s v="DK1_Large"/>
    <x v="1"/>
    <x v="1"/>
    <s v="GNR_ST_MSW_BP_E-18"/>
    <x v="0"/>
    <x v="11"/>
    <n v="2.85"/>
    <n v="1040.25"/>
    <n v="3744.9"/>
  </r>
  <r>
    <x v="0"/>
    <x v="0"/>
    <x v="0"/>
    <x v="0"/>
    <x v="0"/>
    <s v="DK1_Large"/>
    <x v="1"/>
    <x v="1"/>
    <s v="GNR_ST_MSW_BP_E-18"/>
    <x v="0"/>
    <x v="12"/>
    <n v="2.85"/>
    <n v="1040.25"/>
    <n v="3744.9"/>
  </r>
  <r>
    <x v="0"/>
    <x v="0"/>
    <x v="0"/>
    <x v="0"/>
    <x v="0"/>
    <s v="DK1_Large"/>
    <x v="1"/>
    <x v="1"/>
    <s v="GNR_ST_MSW_BP_E-18"/>
    <x v="0"/>
    <x v="13"/>
    <n v="2.85"/>
    <n v="1040.25"/>
    <n v="3744.9"/>
  </r>
  <r>
    <x v="0"/>
    <x v="0"/>
    <x v="0"/>
    <x v="0"/>
    <x v="0"/>
    <s v="DK1_Large"/>
    <x v="1"/>
    <x v="1"/>
    <s v="GNR_ST_MSW_BP_E-18"/>
    <x v="0"/>
    <x v="14"/>
    <n v="2.85"/>
    <n v="1040.25"/>
    <n v="3744.9"/>
  </r>
  <r>
    <x v="0"/>
    <x v="0"/>
    <x v="0"/>
    <x v="0"/>
    <x v="0"/>
    <s v="DK1_Large"/>
    <x v="1"/>
    <x v="1"/>
    <s v="GNR_ST_MSW_BP_E-18"/>
    <x v="0"/>
    <x v="15"/>
    <n v="2.85"/>
    <n v="1040.25"/>
    <n v="3744.9"/>
  </r>
  <r>
    <x v="0"/>
    <x v="0"/>
    <x v="0"/>
    <x v="0"/>
    <x v="0"/>
    <s v="DK1_Large"/>
    <x v="1"/>
    <x v="1"/>
    <s v="GNR_ST_MSW_BP_E-18"/>
    <x v="0"/>
    <x v="16"/>
    <n v="2.85"/>
    <n v="1040.25"/>
    <n v="3744.9"/>
  </r>
  <r>
    <x v="0"/>
    <x v="0"/>
    <x v="0"/>
    <x v="0"/>
    <x v="0"/>
    <s v="DK1_Large"/>
    <x v="1"/>
    <x v="1"/>
    <s v="GNR_ST_MSW_BP_E-18"/>
    <x v="0"/>
    <x v="17"/>
    <n v="2.85"/>
    <n v="1040.25"/>
    <n v="3744.9"/>
  </r>
  <r>
    <x v="0"/>
    <x v="0"/>
    <x v="0"/>
    <x v="0"/>
    <x v="0"/>
    <s v="DK1_Large"/>
    <x v="1"/>
    <x v="1"/>
    <s v="GNR_ST_MSW_BP_E-18"/>
    <x v="0"/>
    <x v="18"/>
    <n v="2.85"/>
    <n v="1040.25"/>
    <n v="3744.9"/>
  </r>
  <r>
    <x v="0"/>
    <x v="0"/>
    <x v="0"/>
    <x v="0"/>
    <x v="0"/>
    <s v="DK1_Large"/>
    <x v="1"/>
    <x v="1"/>
    <s v="GNR_ST_MSW_BP_E-18"/>
    <x v="0"/>
    <x v="19"/>
    <n v="2.85"/>
    <n v="1040.25"/>
    <n v="3744.9"/>
  </r>
  <r>
    <x v="0"/>
    <x v="0"/>
    <x v="0"/>
    <x v="0"/>
    <x v="0"/>
    <s v="DK1_Large"/>
    <x v="1"/>
    <x v="1"/>
    <s v="GNR_ST_MSW_BP_E-18"/>
    <x v="0"/>
    <x v="20"/>
    <n v="2.85"/>
    <n v="1040.25"/>
    <n v="3744.9"/>
  </r>
  <r>
    <x v="0"/>
    <x v="0"/>
    <x v="0"/>
    <x v="0"/>
    <x v="0"/>
    <s v="DK1_Large"/>
    <x v="1"/>
    <x v="1"/>
    <s v="GNR_ST_MSW_BP_E-18"/>
    <x v="0"/>
    <x v="21"/>
    <n v="2.85"/>
    <n v="1040.25"/>
    <n v="3744.9"/>
  </r>
  <r>
    <x v="0"/>
    <x v="0"/>
    <x v="0"/>
    <x v="0"/>
    <x v="0"/>
    <s v="DK1_Large"/>
    <x v="1"/>
    <x v="1"/>
    <s v="GNR_ST_MSW_BP_E-18"/>
    <x v="0"/>
    <x v="22"/>
    <n v="2.85"/>
    <n v="1040.25"/>
    <n v="3744.9"/>
  </r>
  <r>
    <x v="0"/>
    <x v="0"/>
    <x v="0"/>
    <x v="0"/>
    <x v="0"/>
    <s v="DK1_Large"/>
    <x v="1"/>
    <x v="1"/>
    <s v="GNR_ST_MSW_BP_E-18"/>
    <x v="0"/>
    <x v="23"/>
    <n v="2.85"/>
    <n v="1040.25"/>
    <n v="3744.9"/>
  </r>
  <r>
    <x v="0"/>
    <x v="0"/>
    <x v="0"/>
    <x v="0"/>
    <x v="0"/>
    <s v="DK1_Large"/>
    <x v="1"/>
    <x v="1"/>
    <s v="GNR_ST_MSW_BP_E-19"/>
    <x v="0"/>
    <x v="3"/>
    <n v="9"/>
    <n v="3285"/>
    <n v="11826"/>
  </r>
  <r>
    <x v="0"/>
    <x v="0"/>
    <x v="0"/>
    <x v="0"/>
    <x v="0"/>
    <s v="DK1_Large"/>
    <x v="1"/>
    <x v="1"/>
    <s v="GNR_ST_MSW_BP_E-19"/>
    <x v="0"/>
    <x v="4"/>
    <n v="9"/>
    <n v="3285"/>
    <n v="11826"/>
  </r>
  <r>
    <x v="0"/>
    <x v="0"/>
    <x v="0"/>
    <x v="0"/>
    <x v="0"/>
    <s v="DK1_Large"/>
    <x v="1"/>
    <x v="1"/>
    <s v="GNR_ST_MSW_BP_E-19"/>
    <x v="0"/>
    <x v="5"/>
    <n v="9"/>
    <n v="3285"/>
    <n v="11826"/>
  </r>
  <r>
    <x v="0"/>
    <x v="0"/>
    <x v="0"/>
    <x v="0"/>
    <x v="0"/>
    <s v="DK1_Large"/>
    <x v="1"/>
    <x v="1"/>
    <s v="GNR_ST_MSW_BP_E-19"/>
    <x v="0"/>
    <x v="6"/>
    <n v="9"/>
    <n v="3285"/>
    <n v="11826"/>
  </r>
  <r>
    <x v="0"/>
    <x v="0"/>
    <x v="0"/>
    <x v="0"/>
    <x v="0"/>
    <s v="DK1_Large"/>
    <x v="1"/>
    <x v="1"/>
    <s v="GNR_ST_MSW_BP_E-19"/>
    <x v="0"/>
    <x v="7"/>
    <n v="9"/>
    <n v="3285"/>
    <n v="11826"/>
  </r>
  <r>
    <x v="0"/>
    <x v="0"/>
    <x v="0"/>
    <x v="0"/>
    <x v="0"/>
    <s v="DK1_Large"/>
    <x v="1"/>
    <x v="1"/>
    <s v="GNR_ST_MSW_BP_E-19"/>
    <x v="0"/>
    <x v="8"/>
    <n v="9"/>
    <n v="3285"/>
    <n v="11826"/>
  </r>
  <r>
    <x v="0"/>
    <x v="0"/>
    <x v="0"/>
    <x v="0"/>
    <x v="0"/>
    <s v="DK1_Large"/>
    <x v="1"/>
    <x v="1"/>
    <s v="GNR_ST_MSW_BP_E-19"/>
    <x v="0"/>
    <x v="0"/>
    <n v="9"/>
    <n v="3285"/>
    <n v="11826"/>
  </r>
  <r>
    <x v="0"/>
    <x v="0"/>
    <x v="0"/>
    <x v="0"/>
    <x v="0"/>
    <s v="DK1_Large"/>
    <x v="1"/>
    <x v="1"/>
    <s v="GNR_ST_MSW_BP_E-19"/>
    <x v="0"/>
    <x v="1"/>
    <n v="9"/>
    <n v="3285"/>
    <n v="11826"/>
  </r>
  <r>
    <x v="0"/>
    <x v="0"/>
    <x v="0"/>
    <x v="0"/>
    <x v="0"/>
    <s v="DK1_Large"/>
    <x v="1"/>
    <x v="1"/>
    <s v="GNR_ST_MSW_BP_E-19"/>
    <x v="0"/>
    <x v="2"/>
    <n v="9"/>
    <n v="3285"/>
    <n v="11826"/>
  </r>
  <r>
    <x v="0"/>
    <x v="0"/>
    <x v="0"/>
    <x v="0"/>
    <x v="0"/>
    <s v="DK1_Large"/>
    <x v="1"/>
    <x v="1"/>
    <s v="GNR_ST_MSW_BP_E-19"/>
    <x v="0"/>
    <x v="9"/>
    <n v="9"/>
    <n v="3285"/>
    <n v="11826"/>
  </r>
  <r>
    <x v="0"/>
    <x v="0"/>
    <x v="0"/>
    <x v="0"/>
    <x v="0"/>
    <s v="DK1_Large"/>
    <x v="1"/>
    <x v="1"/>
    <s v="GNR_ST_MSW_BP_E-19"/>
    <x v="0"/>
    <x v="10"/>
    <n v="9"/>
    <n v="3285"/>
    <n v="11826"/>
  </r>
  <r>
    <x v="0"/>
    <x v="0"/>
    <x v="0"/>
    <x v="0"/>
    <x v="0"/>
    <s v="DK1_Large"/>
    <x v="1"/>
    <x v="1"/>
    <s v="GNR_ST_MSW_BP_E-19"/>
    <x v="0"/>
    <x v="11"/>
    <n v="9"/>
    <n v="3285"/>
    <n v="11826"/>
  </r>
  <r>
    <x v="0"/>
    <x v="0"/>
    <x v="0"/>
    <x v="0"/>
    <x v="0"/>
    <s v="DK1_Large"/>
    <x v="1"/>
    <x v="1"/>
    <s v="GNR_ST_MSW_BP_E-19"/>
    <x v="0"/>
    <x v="12"/>
    <n v="9"/>
    <n v="3285"/>
    <n v="11826"/>
  </r>
  <r>
    <x v="0"/>
    <x v="0"/>
    <x v="0"/>
    <x v="0"/>
    <x v="0"/>
    <s v="DK1_Large"/>
    <x v="1"/>
    <x v="1"/>
    <s v="GNR_ST_MSW_BP_E-19"/>
    <x v="0"/>
    <x v="13"/>
    <n v="9"/>
    <n v="3285"/>
    <n v="11826"/>
  </r>
  <r>
    <x v="0"/>
    <x v="0"/>
    <x v="0"/>
    <x v="0"/>
    <x v="0"/>
    <s v="DK1_Large"/>
    <x v="1"/>
    <x v="1"/>
    <s v="GNR_ST_MSW_BP_E-19"/>
    <x v="0"/>
    <x v="14"/>
    <n v="9"/>
    <n v="3285"/>
    <n v="11826"/>
  </r>
  <r>
    <x v="0"/>
    <x v="0"/>
    <x v="0"/>
    <x v="0"/>
    <x v="0"/>
    <s v="DK1_Large"/>
    <x v="1"/>
    <x v="1"/>
    <s v="GNR_ST_MSW_BP_E-19"/>
    <x v="0"/>
    <x v="15"/>
    <n v="9"/>
    <n v="3285"/>
    <n v="11826"/>
  </r>
  <r>
    <x v="0"/>
    <x v="0"/>
    <x v="0"/>
    <x v="0"/>
    <x v="0"/>
    <s v="DK1_Large"/>
    <x v="1"/>
    <x v="1"/>
    <s v="GNR_ST_MSW_BP_E-19"/>
    <x v="0"/>
    <x v="16"/>
    <n v="9"/>
    <n v="3285"/>
    <n v="11826"/>
  </r>
  <r>
    <x v="0"/>
    <x v="0"/>
    <x v="0"/>
    <x v="0"/>
    <x v="0"/>
    <s v="DK1_Large"/>
    <x v="1"/>
    <x v="1"/>
    <s v="GNR_ST_MSW_BP_E-19"/>
    <x v="0"/>
    <x v="17"/>
    <n v="9"/>
    <n v="3285"/>
    <n v="11826"/>
  </r>
  <r>
    <x v="0"/>
    <x v="0"/>
    <x v="0"/>
    <x v="0"/>
    <x v="0"/>
    <s v="DK1_Large"/>
    <x v="1"/>
    <x v="1"/>
    <s v="GNR_ST_MSW_BP_E-19"/>
    <x v="0"/>
    <x v="18"/>
    <n v="9"/>
    <n v="3285"/>
    <n v="11826"/>
  </r>
  <r>
    <x v="0"/>
    <x v="0"/>
    <x v="0"/>
    <x v="0"/>
    <x v="0"/>
    <s v="DK1_Large"/>
    <x v="1"/>
    <x v="1"/>
    <s v="GNR_ST_MSW_BP_E-19"/>
    <x v="0"/>
    <x v="19"/>
    <n v="9"/>
    <n v="3285"/>
    <n v="11826"/>
  </r>
  <r>
    <x v="0"/>
    <x v="0"/>
    <x v="0"/>
    <x v="0"/>
    <x v="0"/>
    <s v="DK1_Large"/>
    <x v="1"/>
    <x v="1"/>
    <s v="GNR_ST_MSW_BP_E-19"/>
    <x v="0"/>
    <x v="20"/>
    <n v="9"/>
    <n v="3285"/>
    <n v="11826"/>
  </r>
  <r>
    <x v="0"/>
    <x v="0"/>
    <x v="0"/>
    <x v="0"/>
    <x v="0"/>
    <s v="DK1_Large"/>
    <x v="1"/>
    <x v="1"/>
    <s v="GNR_ST_MSW_BP_E-19"/>
    <x v="0"/>
    <x v="21"/>
    <n v="9"/>
    <n v="3285"/>
    <n v="11826"/>
  </r>
  <r>
    <x v="0"/>
    <x v="0"/>
    <x v="0"/>
    <x v="0"/>
    <x v="0"/>
    <s v="DK1_Large"/>
    <x v="1"/>
    <x v="1"/>
    <s v="GNR_ST_MSW_BP_E-19"/>
    <x v="0"/>
    <x v="22"/>
    <n v="9"/>
    <n v="3285"/>
    <n v="11826"/>
  </r>
  <r>
    <x v="0"/>
    <x v="0"/>
    <x v="0"/>
    <x v="0"/>
    <x v="0"/>
    <s v="DK1_Large"/>
    <x v="1"/>
    <x v="1"/>
    <s v="GNR_ST_MSW_BP_E-19"/>
    <x v="0"/>
    <x v="23"/>
    <n v="9"/>
    <n v="3285"/>
    <n v="11826"/>
  </r>
  <r>
    <x v="0"/>
    <x v="0"/>
    <x v="0"/>
    <x v="0"/>
    <x v="0"/>
    <s v="DK1_Large"/>
    <x v="1"/>
    <x v="1"/>
    <s v="GNR_ST_MSW_BP_E-22"/>
    <x v="0"/>
    <x v="3"/>
    <n v="31"/>
    <n v="11315"/>
    <n v="40734"/>
  </r>
  <r>
    <x v="0"/>
    <x v="0"/>
    <x v="0"/>
    <x v="0"/>
    <x v="0"/>
    <s v="DK1_Large"/>
    <x v="1"/>
    <x v="1"/>
    <s v="GNR_ST_MSW_BP_E-22"/>
    <x v="0"/>
    <x v="4"/>
    <n v="31"/>
    <n v="11315"/>
    <n v="40734"/>
  </r>
  <r>
    <x v="0"/>
    <x v="0"/>
    <x v="0"/>
    <x v="0"/>
    <x v="0"/>
    <s v="DK1_Large"/>
    <x v="1"/>
    <x v="1"/>
    <s v="GNR_ST_MSW_BP_E-22"/>
    <x v="0"/>
    <x v="5"/>
    <n v="31"/>
    <n v="11315"/>
    <n v="40734"/>
  </r>
  <r>
    <x v="0"/>
    <x v="0"/>
    <x v="0"/>
    <x v="0"/>
    <x v="0"/>
    <s v="DK1_Large"/>
    <x v="1"/>
    <x v="1"/>
    <s v="GNR_ST_MSW_BP_E-22"/>
    <x v="0"/>
    <x v="6"/>
    <n v="31"/>
    <n v="11315"/>
    <n v="40734"/>
  </r>
  <r>
    <x v="0"/>
    <x v="0"/>
    <x v="0"/>
    <x v="0"/>
    <x v="0"/>
    <s v="DK1_Large"/>
    <x v="1"/>
    <x v="1"/>
    <s v="GNR_ST_MSW_BP_E-22"/>
    <x v="0"/>
    <x v="7"/>
    <n v="31"/>
    <n v="11315"/>
    <n v="40734"/>
  </r>
  <r>
    <x v="0"/>
    <x v="0"/>
    <x v="0"/>
    <x v="0"/>
    <x v="0"/>
    <s v="DK1_Large"/>
    <x v="1"/>
    <x v="1"/>
    <s v="GNR_ST_MSW_BP_E-22"/>
    <x v="0"/>
    <x v="8"/>
    <n v="31"/>
    <n v="11315"/>
    <n v="40734"/>
  </r>
  <r>
    <x v="0"/>
    <x v="0"/>
    <x v="0"/>
    <x v="0"/>
    <x v="0"/>
    <s v="DK1_Large"/>
    <x v="1"/>
    <x v="1"/>
    <s v="GNR_ST_MSW_BP_E-22"/>
    <x v="0"/>
    <x v="0"/>
    <n v="31"/>
    <n v="11315"/>
    <n v="40734"/>
  </r>
  <r>
    <x v="0"/>
    <x v="0"/>
    <x v="0"/>
    <x v="0"/>
    <x v="0"/>
    <s v="DK1_Large"/>
    <x v="1"/>
    <x v="1"/>
    <s v="GNR_ST_MSW_BP_E-22"/>
    <x v="0"/>
    <x v="1"/>
    <n v="31"/>
    <n v="11315"/>
    <n v="40734"/>
  </r>
  <r>
    <x v="0"/>
    <x v="0"/>
    <x v="0"/>
    <x v="0"/>
    <x v="0"/>
    <s v="DK1_Large"/>
    <x v="1"/>
    <x v="1"/>
    <s v="GNR_ST_MSW_BP_E-22"/>
    <x v="0"/>
    <x v="2"/>
    <n v="31"/>
    <n v="11315"/>
    <n v="40734"/>
  </r>
  <r>
    <x v="0"/>
    <x v="0"/>
    <x v="0"/>
    <x v="0"/>
    <x v="0"/>
    <s v="DK1_Large"/>
    <x v="1"/>
    <x v="1"/>
    <s v="GNR_ST_MSW_BP_E-22"/>
    <x v="0"/>
    <x v="9"/>
    <n v="31"/>
    <n v="11315"/>
    <n v="40734"/>
  </r>
  <r>
    <x v="0"/>
    <x v="0"/>
    <x v="0"/>
    <x v="0"/>
    <x v="0"/>
    <s v="DK1_Large"/>
    <x v="1"/>
    <x v="1"/>
    <s v="GNR_ST_MSW_BP_E-22"/>
    <x v="0"/>
    <x v="10"/>
    <n v="31"/>
    <n v="11315"/>
    <n v="40734"/>
  </r>
  <r>
    <x v="0"/>
    <x v="0"/>
    <x v="0"/>
    <x v="0"/>
    <x v="0"/>
    <s v="DK1_Large"/>
    <x v="1"/>
    <x v="1"/>
    <s v="GNR_ST_MSW_BP_E-22"/>
    <x v="0"/>
    <x v="11"/>
    <n v="31"/>
    <n v="11315"/>
    <n v="40734"/>
  </r>
  <r>
    <x v="0"/>
    <x v="0"/>
    <x v="0"/>
    <x v="0"/>
    <x v="0"/>
    <s v="DK1_Large"/>
    <x v="1"/>
    <x v="1"/>
    <s v="GNR_ST_MSW_BP_E-22"/>
    <x v="0"/>
    <x v="12"/>
    <n v="31"/>
    <n v="11315"/>
    <n v="40734"/>
  </r>
  <r>
    <x v="0"/>
    <x v="0"/>
    <x v="0"/>
    <x v="0"/>
    <x v="0"/>
    <s v="DK1_Large"/>
    <x v="1"/>
    <x v="1"/>
    <s v="GNR_ST_MSW_BP_E-22"/>
    <x v="0"/>
    <x v="13"/>
    <n v="31"/>
    <n v="11315"/>
    <n v="40734"/>
  </r>
  <r>
    <x v="0"/>
    <x v="0"/>
    <x v="0"/>
    <x v="0"/>
    <x v="0"/>
    <s v="DK1_Large"/>
    <x v="1"/>
    <x v="1"/>
    <s v="GNR_ST_MSW_BP_E-22"/>
    <x v="0"/>
    <x v="14"/>
    <n v="31"/>
    <n v="11315"/>
    <n v="40734"/>
  </r>
  <r>
    <x v="0"/>
    <x v="0"/>
    <x v="0"/>
    <x v="0"/>
    <x v="0"/>
    <s v="DK1_Large"/>
    <x v="1"/>
    <x v="1"/>
    <s v="GNR_ST_MSW_BP_E-22"/>
    <x v="0"/>
    <x v="15"/>
    <n v="31"/>
    <n v="11315"/>
    <n v="40734"/>
  </r>
  <r>
    <x v="0"/>
    <x v="0"/>
    <x v="0"/>
    <x v="0"/>
    <x v="0"/>
    <s v="DK1_Large"/>
    <x v="1"/>
    <x v="1"/>
    <s v="GNR_ST_MSW_BP_E-22"/>
    <x v="0"/>
    <x v="16"/>
    <n v="31"/>
    <n v="11315"/>
    <n v="40734"/>
  </r>
  <r>
    <x v="0"/>
    <x v="0"/>
    <x v="0"/>
    <x v="0"/>
    <x v="0"/>
    <s v="DK1_Large"/>
    <x v="1"/>
    <x v="1"/>
    <s v="GNR_ST_MSW_BP_E-22"/>
    <x v="0"/>
    <x v="17"/>
    <n v="31"/>
    <n v="11315"/>
    <n v="40734"/>
  </r>
  <r>
    <x v="0"/>
    <x v="0"/>
    <x v="0"/>
    <x v="0"/>
    <x v="0"/>
    <s v="DK1_Large"/>
    <x v="1"/>
    <x v="1"/>
    <s v="GNR_ST_MSW_BP_E-22"/>
    <x v="0"/>
    <x v="18"/>
    <n v="31"/>
    <n v="11315"/>
    <n v="40734"/>
  </r>
  <r>
    <x v="0"/>
    <x v="0"/>
    <x v="0"/>
    <x v="0"/>
    <x v="0"/>
    <s v="DK1_Large"/>
    <x v="1"/>
    <x v="1"/>
    <s v="GNR_ST_MSW_BP_E-22"/>
    <x v="0"/>
    <x v="19"/>
    <n v="31"/>
    <n v="11315"/>
    <n v="40734"/>
  </r>
  <r>
    <x v="0"/>
    <x v="0"/>
    <x v="0"/>
    <x v="0"/>
    <x v="0"/>
    <s v="DK1_Large"/>
    <x v="1"/>
    <x v="1"/>
    <s v="GNR_ST_MSW_BP_E-22"/>
    <x v="0"/>
    <x v="20"/>
    <n v="31"/>
    <n v="11315"/>
    <n v="40734"/>
  </r>
  <r>
    <x v="0"/>
    <x v="0"/>
    <x v="0"/>
    <x v="0"/>
    <x v="0"/>
    <s v="DK1_Large"/>
    <x v="1"/>
    <x v="1"/>
    <s v="GNR_ST_MSW_BP_E-22"/>
    <x v="0"/>
    <x v="21"/>
    <n v="31"/>
    <n v="11315"/>
    <n v="40734"/>
  </r>
  <r>
    <x v="0"/>
    <x v="0"/>
    <x v="0"/>
    <x v="0"/>
    <x v="0"/>
    <s v="DK1_Large"/>
    <x v="1"/>
    <x v="1"/>
    <s v="GNR_ST_MSW_BP_E-22"/>
    <x v="0"/>
    <x v="22"/>
    <n v="31"/>
    <n v="11315"/>
    <n v="40734"/>
  </r>
  <r>
    <x v="0"/>
    <x v="0"/>
    <x v="0"/>
    <x v="0"/>
    <x v="0"/>
    <s v="DK1_Large"/>
    <x v="1"/>
    <x v="1"/>
    <s v="GNR_ST_MSW_BP_E-22"/>
    <x v="0"/>
    <x v="23"/>
    <n v="31"/>
    <n v="11315"/>
    <n v="40734"/>
  </r>
  <r>
    <x v="0"/>
    <x v="0"/>
    <x v="0"/>
    <x v="0"/>
    <x v="0"/>
    <s v="DK1_Large"/>
    <x v="1"/>
    <x v="1"/>
    <s v="GNR_ST_MSW_BP_E-23"/>
    <x v="0"/>
    <x v="3"/>
    <n v="36.06"/>
    <n v="13161.9"/>
    <n v="47382.84"/>
  </r>
  <r>
    <x v="0"/>
    <x v="0"/>
    <x v="0"/>
    <x v="0"/>
    <x v="0"/>
    <s v="DK1_Large"/>
    <x v="1"/>
    <x v="1"/>
    <s v="GNR_ST_MSW_BP_E-23"/>
    <x v="0"/>
    <x v="4"/>
    <n v="36.06"/>
    <n v="13161.9"/>
    <n v="47382.84"/>
  </r>
  <r>
    <x v="0"/>
    <x v="0"/>
    <x v="0"/>
    <x v="0"/>
    <x v="0"/>
    <s v="DK1_Large"/>
    <x v="1"/>
    <x v="1"/>
    <s v="GNR_ST_MSW_BP_E-23"/>
    <x v="0"/>
    <x v="5"/>
    <n v="36.06"/>
    <n v="13161.9"/>
    <n v="47382.84"/>
  </r>
  <r>
    <x v="0"/>
    <x v="0"/>
    <x v="0"/>
    <x v="0"/>
    <x v="0"/>
    <s v="DK1_Large"/>
    <x v="1"/>
    <x v="1"/>
    <s v="GNR_ST_MSW_BP_E-23"/>
    <x v="0"/>
    <x v="6"/>
    <n v="36.06"/>
    <n v="13161.9"/>
    <n v="47382.84"/>
  </r>
  <r>
    <x v="0"/>
    <x v="0"/>
    <x v="0"/>
    <x v="0"/>
    <x v="0"/>
    <s v="DK1_Large"/>
    <x v="1"/>
    <x v="1"/>
    <s v="GNR_ST_MSW_BP_E-23"/>
    <x v="0"/>
    <x v="7"/>
    <n v="36.06"/>
    <n v="13161.9"/>
    <n v="47382.84"/>
  </r>
  <r>
    <x v="0"/>
    <x v="0"/>
    <x v="0"/>
    <x v="0"/>
    <x v="0"/>
    <s v="DK1_Large"/>
    <x v="1"/>
    <x v="1"/>
    <s v="GNR_ST_MSW_BP_E-23"/>
    <x v="0"/>
    <x v="8"/>
    <n v="36.06"/>
    <n v="13161.9"/>
    <n v="47382.84"/>
  </r>
  <r>
    <x v="0"/>
    <x v="0"/>
    <x v="0"/>
    <x v="0"/>
    <x v="0"/>
    <s v="DK1_Large"/>
    <x v="1"/>
    <x v="1"/>
    <s v="GNR_ST_MSW_BP_E-23"/>
    <x v="0"/>
    <x v="0"/>
    <n v="36.06"/>
    <n v="13161.9"/>
    <n v="47382.84"/>
  </r>
  <r>
    <x v="0"/>
    <x v="0"/>
    <x v="0"/>
    <x v="0"/>
    <x v="0"/>
    <s v="DK1_Large"/>
    <x v="1"/>
    <x v="1"/>
    <s v="GNR_ST_MSW_BP_E-23"/>
    <x v="0"/>
    <x v="1"/>
    <n v="36.06"/>
    <n v="13161.9"/>
    <n v="47382.84"/>
  </r>
  <r>
    <x v="0"/>
    <x v="0"/>
    <x v="0"/>
    <x v="0"/>
    <x v="0"/>
    <s v="DK1_Large"/>
    <x v="1"/>
    <x v="1"/>
    <s v="GNR_ST_MSW_BP_E-23"/>
    <x v="0"/>
    <x v="2"/>
    <n v="36.06"/>
    <n v="13161.9"/>
    <n v="47382.84"/>
  </r>
  <r>
    <x v="0"/>
    <x v="0"/>
    <x v="0"/>
    <x v="0"/>
    <x v="0"/>
    <s v="DK1_Large"/>
    <x v="1"/>
    <x v="1"/>
    <s v="GNR_ST_MSW_BP_E-23"/>
    <x v="0"/>
    <x v="9"/>
    <n v="36.06"/>
    <n v="13161.9"/>
    <n v="47382.84"/>
  </r>
  <r>
    <x v="0"/>
    <x v="0"/>
    <x v="0"/>
    <x v="0"/>
    <x v="0"/>
    <s v="DK1_Large"/>
    <x v="1"/>
    <x v="1"/>
    <s v="GNR_ST_MSW_BP_E-23"/>
    <x v="0"/>
    <x v="10"/>
    <n v="36.06"/>
    <n v="13161.9"/>
    <n v="47382.84"/>
  </r>
  <r>
    <x v="0"/>
    <x v="0"/>
    <x v="0"/>
    <x v="0"/>
    <x v="0"/>
    <s v="DK1_Large"/>
    <x v="1"/>
    <x v="1"/>
    <s v="GNR_ST_MSW_BP_E-23"/>
    <x v="0"/>
    <x v="11"/>
    <n v="36.06"/>
    <n v="13161.9"/>
    <n v="47382.84"/>
  </r>
  <r>
    <x v="0"/>
    <x v="0"/>
    <x v="0"/>
    <x v="0"/>
    <x v="0"/>
    <s v="DK1_Large"/>
    <x v="1"/>
    <x v="1"/>
    <s v="GNR_ST_MSW_BP_E-23"/>
    <x v="0"/>
    <x v="12"/>
    <n v="36.06"/>
    <n v="13161.9"/>
    <n v="47382.84"/>
  </r>
  <r>
    <x v="0"/>
    <x v="0"/>
    <x v="0"/>
    <x v="0"/>
    <x v="0"/>
    <s v="DK1_Large"/>
    <x v="1"/>
    <x v="1"/>
    <s v="GNR_ST_MSW_BP_E-23"/>
    <x v="0"/>
    <x v="13"/>
    <n v="36.06"/>
    <n v="13161.9"/>
    <n v="47382.84"/>
  </r>
  <r>
    <x v="0"/>
    <x v="0"/>
    <x v="0"/>
    <x v="0"/>
    <x v="0"/>
    <s v="DK1_Large"/>
    <x v="1"/>
    <x v="1"/>
    <s v="GNR_ST_MSW_BP_E-23"/>
    <x v="0"/>
    <x v="14"/>
    <n v="36.06"/>
    <n v="13161.9"/>
    <n v="47382.84"/>
  </r>
  <r>
    <x v="0"/>
    <x v="0"/>
    <x v="0"/>
    <x v="0"/>
    <x v="0"/>
    <s v="DK1_Large"/>
    <x v="1"/>
    <x v="1"/>
    <s v="GNR_ST_MSW_BP_E-23"/>
    <x v="0"/>
    <x v="15"/>
    <n v="36.06"/>
    <n v="13161.9"/>
    <n v="47382.84"/>
  </r>
  <r>
    <x v="0"/>
    <x v="0"/>
    <x v="0"/>
    <x v="0"/>
    <x v="0"/>
    <s v="DK1_Large"/>
    <x v="1"/>
    <x v="1"/>
    <s v="GNR_ST_MSW_BP_E-23"/>
    <x v="0"/>
    <x v="16"/>
    <n v="36.06"/>
    <n v="13161.9"/>
    <n v="47382.84"/>
  </r>
  <r>
    <x v="0"/>
    <x v="0"/>
    <x v="0"/>
    <x v="0"/>
    <x v="0"/>
    <s v="DK1_Large"/>
    <x v="1"/>
    <x v="1"/>
    <s v="GNR_ST_MSW_BP_E-23"/>
    <x v="0"/>
    <x v="17"/>
    <n v="36.06"/>
    <n v="13161.9"/>
    <n v="47382.84"/>
  </r>
  <r>
    <x v="0"/>
    <x v="0"/>
    <x v="0"/>
    <x v="0"/>
    <x v="0"/>
    <s v="DK1_Large"/>
    <x v="1"/>
    <x v="1"/>
    <s v="GNR_ST_MSW_BP_E-23"/>
    <x v="0"/>
    <x v="18"/>
    <n v="36.06"/>
    <n v="13161.9"/>
    <n v="47382.84"/>
  </r>
  <r>
    <x v="0"/>
    <x v="0"/>
    <x v="0"/>
    <x v="0"/>
    <x v="0"/>
    <s v="DK1_Large"/>
    <x v="1"/>
    <x v="1"/>
    <s v="GNR_ST_MSW_BP_E-23"/>
    <x v="0"/>
    <x v="19"/>
    <n v="36.06"/>
    <n v="13161.9"/>
    <n v="47382.84"/>
  </r>
  <r>
    <x v="0"/>
    <x v="0"/>
    <x v="0"/>
    <x v="0"/>
    <x v="0"/>
    <s v="DK1_Large"/>
    <x v="1"/>
    <x v="1"/>
    <s v="GNR_ST_MSW_BP_E-23"/>
    <x v="0"/>
    <x v="20"/>
    <n v="36.06"/>
    <n v="13161.9"/>
    <n v="47382.84"/>
  </r>
  <r>
    <x v="0"/>
    <x v="0"/>
    <x v="0"/>
    <x v="0"/>
    <x v="0"/>
    <s v="DK1_Large"/>
    <x v="1"/>
    <x v="1"/>
    <s v="GNR_ST_MSW_BP_E-23"/>
    <x v="0"/>
    <x v="21"/>
    <n v="36.06"/>
    <n v="13161.9"/>
    <n v="47382.84"/>
  </r>
  <r>
    <x v="0"/>
    <x v="0"/>
    <x v="0"/>
    <x v="0"/>
    <x v="0"/>
    <s v="DK1_Large"/>
    <x v="1"/>
    <x v="1"/>
    <s v="GNR_ST_MSW_BP_E-23"/>
    <x v="0"/>
    <x v="22"/>
    <n v="36.06"/>
    <n v="13161.9"/>
    <n v="47382.84"/>
  </r>
  <r>
    <x v="0"/>
    <x v="0"/>
    <x v="0"/>
    <x v="0"/>
    <x v="0"/>
    <s v="DK1_Large"/>
    <x v="1"/>
    <x v="1"/>
    <s v="GNR_ST_MSW_BP_E-23"/>
    <x v="0"/>
    <x v="23"/>
    <n v="36.06"/>
    <n v="13161.9"/>
    <n v="47382.84"/>
  </r>
  <r>
    <x v="0"/>
    <x v="0"/>
    <x v="0"/>
    <x v="0"/>
    <x v="0"/>
    <s v="DK1_Large"/>
    <x v="1"/>
    <x v="1"/>
    <s v="GNR_ST_MSW_BP_E-27"/>
    <x v="0"/>
    <x v="3"/>
    <n v="17.899999999999999"/>
    <n v="6533.5"/>
    <n v="23520.6"/>
  </r>
  <r>
    <x v="0"/>
    <x v="0"/>
    <x v="0"/>
    <x v="0"/>
    <x v="0"/>
    <s v="DK1_Large"/>
    <x v="1"/>
    <x v="1"/>
    <s v="GNR_ST_MSW_BP_E-27"/>
    <x v="0"/>
    <x v="4"/>
    <n v="17.899999999999999"/>
    <n v="6533.5"/>
    <n v="23520.6"/>
  </r>
  <r>
    <x v="0"/>
    <x v="0"/>
    <x v="0"/>
    <x v="0"/>
    <x v="0"/>
    <s v="DK1_Large"/>
    <x v="1"/>
    <x v="1"/>
    <s v="GNR_ST_MSW_BP_E-27"/>
    <x v="0"/>
    <x v="5"/>
    <n v="17.899999999999999"/>
    <n v="6533.5"/>
    <n v="23520.6"/>
  </r>
  <r>
    <x v="0"/>
    <x v="0"/>
    <x v="0"/>
    <x v="0"/>
    <x v="0"/>
    <s v="DK1_Large"/>
    <x v="1"/>
    <x v="1"/>
    <s v="GNR_ST_MSW_BP_E-27"/>
    <x v="0"/>
    <x v="6"/>
    <n v="17.899999999999999"/>
    <n v="6533.5"/>
    <n v="23520.6"/>
  </r>
  <r>
    <x v="0"/>
    <x v="0"/>
    <x v="0"/>
    <x v="0"/>
    <x v="0"/>
    <s v="DK1_Large"/>
    <x v="1"/>
    <x v="1"/>
    <s v="GNR_ST_MSW_BP_E-27"/>
    <x v="0"/>
    <x v="7"/>
    <n v="17.899999999999999"/>
    <n v="6533.5"/>
    <n v="23520.6"/>
  </r>
  <r>
    <x v="0"/>
    <x v="0"/>
    <x v="0"/>
    <x v="0"/>
    <x v="0"/>
    <s v="DK1_Large"/>
    <x v="1"/>
    <x v="1"/>
    <s v="GNR_ST_MSW_BP_E-27"/>
    <x v="0"/>
    <x v="8"/>
    <n v="17.899999999999999"/>
    <n v="6533.5"/>
    <n v="23520.6"/>
  </r>
  <r>
    <x v="0"/>
    <x v="0"/>
    <x v="0"/>
    <x v="0"/>
    <x v="0"/>
    <s v="DK1_Large"/>
    <x v="1"/>
    <x v="1"/>
    <s v="GNR_ST_MSW_BP_E-27"/>
    <x v="0"/>
    <x v="0"/>
    <n v="17.899999999999999"/>
    <n v="6533.5"/>
    <n v="23520.6"/>
  </r>
  <r>
    <x v="0"/>
    <x v="0"/>
    <x v="0"/>
    <x v="0"/>
    <x v="0"/>
    <s v="DK1_Large"/>
    <x v="1"/>
    <x v="1"/>
    <s v="GNR_ST_MSW_BP_E-27"/>
    <x v="0"/>
    <x v="1"/>
    <n v="17.899999999999999"/>
    <n v="6533.5"/>
    <n v="23520.6"/>
  </r>
  <r>
    <x v="0"/>
    <x v="0"/>
    <x v="0"/>
    <x v="0"/>
    <x v="0"/>
    <s v="DK1_Large"/>
    <x v="1"/>
    <x v="1"/>
    <s v="GNR_ST_MSW_BP_E-27"/>
    <x v="0"/>
    <x v="2"/>
    <n v="17.899999999999999"/>
    <n v="6533.5"/>
    <n v="23520.6"/>
  </r>
  <r>
    <x v="0"/>
    <x v="0"/>
    <x v="0"/>
    <x v="0"/>
    <x v="0"/>
    <s v="DK1_Large"/>
    <x v="1"/>
    <x v="1"/>
    <s v="GNR_ST_MSW_BP_E-27"/>
    <x v="0"/>
    <x v="9"/>
    <n v="17.899999999999999"/>
    <n v="6533.5"/>
    <n v="23520.6"/>
  </r>
  <r>
    <x v="0"/>
    <x v="0"/>
    <x v="0"/>
    <x v="0"/>
    <x v="0"/>
    <s v="DK1_Large"/>
    <x v="1"/>
    <x v="1"/>
    <s v="GNR_ST_MSW_BP_E-27"/>
    <x v="0"/>
    <x v="10"/>
    <n v="17.899999999999999"/>
    <n v="6533.5"/>
    <n v="23520.6"/>
  </r>
  <r>
    <x v="0"/>
    <x v="0"/>
    <x v="0"/>
    <x v="0"/>
    <x v="0"/>
    <s v="DK1_Large"/>
    <x v="1"/>
    <x v="1"/>
    <s v="GNR_ST_MSW_BP_E-27"/>
    <x v="0"/>
    <x v="11"/>
    <n v="17.899999999999999"/>
    <n v="6533.5"/>
    <n v="23520.6"/>
  </r>
  <r>
    <x v="0"/>
    <x v="0"/>
    <x v="0"/>
    <x v="0"/>
    <x v="0"/>
    <s v="DK1_Large"/>
    <x v="1"/>
    <x v="1"/>
    <s v="GNR_ST_MSW_BP_E-27"/>
    <x v="0"/>
    <x v="12"/>
    <n v="17.899999999999999"/>
    <n v="6533.5"/>
    <n v="23520.6"/>
  </r>
  <r>
    <x v="0"/>
    <x v="0"/>
    <x v="0"/>
    <x v="0"/>
    <x v="0"/>
    <s v="DK1_Large"/>
    <x v="1"/>
    <x v="1"/>
    <s v="GNR_ST_MSW_BP_E-27"/>
    <x v="0"/>
    <x v="13"/>
    <n v="17.899999999999999"/>
    <n v="6533.5"/>
    <n v="23520.6"/>
  </r>
  <r>
    <x v="0"/>
    <x v="0"/>
    <x v="0"/>
    <x v="0"/>
    <x v="0"/>
    <s v="DK1_Large"/>
    <x v="1"/>
    <x v="1"/>
    <s v="GNR_ST_MSW_BP_E-27"/>
    <x v="0"/>
    <x v="14"/>
    <n v="17.899999999999999"/>
    <n v="6533.5"/>
    <n v="23520.6"/>
  </r>
  <r>
    <x v="0"/>
    <x v="0"/>
    <x v="0"/>
    <x v="0"/>
    <x v="0"/>
    <s v="DK1_Large"/>
    <x v="1"/>
    <x v="1"/>
    <s v="GNR_ST_MSW_BP_E-27"/>
    <x v="0"/>
    <x v="15"/>
    <n v="17.899999999999999"/>
    <n v="6533.5"/>
    <n v="23520.6"/>
  </r>
  <r>
    <x v="0"/>
    <x v="0"/>
    <x v="0"/>
    <x v="0"/>
    <x v="0"/>
    <s v="DK1_Large"/>
    <x v="1"/>
    <x v="1"/>
    <s v="GNR_ST_MSW_BP_E-27"/>
    <x v="0"/>
    <x v="16"/>
    <n v="17.899999999999999"/>
    <n v="6533.5"/>
    <n v="23520.6"/>
  </r>
  <r>
    <x v="0"/>
    <x v="0"/>
    <x v="0"/>
    <x v="0"/>
    <x v="0"/>
    <s v="DK1_Large"/>
    <x v="1"/>
    <x v="1"/>
    <s v="GNR_ST_MSW_BP_E-27"/>
    <x v="0"/>
    <x v="17"/>
    <n v="17.899999999999999"/>
    <n v="6533.5"/>
    <n v="23520.6"/>
  </r>
  <r>
    <x v="0"/>
    <x v="0"/>
    <x v="0"/>
    <x v="0"/>
    <x v="0"/>
    <s v="DK1_Large"/>
    <x v="1"/>
    <x v="1"/>
    <s v="GNR_ST_MSW_BP_E-27"/>
    <x v="0"/>
    <x v="18"/>
    <n v="17.899999999999999"/>
    <n v="6533.5"/>
    <n v="23520.6"/>
  </r>
  <r>
    <x v="0"/>
    <x v="0"/>
    <x v="0"/>
    <x v="0"/>
    <x v="0"/>
    <s v="DK1_Large"/>
    <x v="1"/>
    <x v="1"/>
    <s v="GNR_ST_MSW_BP_E-27"/>
    <x v="0"/>
    <x v="19"/>
    <n v="17.899999999999999"/>
    <n v="6533.5"/>
    <n v="23520.6"/>
  </r>
  <r>
    <x v="0"/>
    <x v="0"/>
    <x v="0"/>
    <x v="0"/>
    <x v="0"/>
    <s v="DK1_Large"/>
    <x v="1"/>
    <x v="1"/>
    <s v="GNR_ST_MSW_BP_E-27"/>
    <x v="0"/>
    <x v="20"/>
    <n v="17.899999999999999"/>
    <n v="6533.5"/>
    <n v="23520.6"/>
  </r>
  <r>
    <x v="0"/>
    <x v="0"/>
    <x v="0"/>
    <x v="0"/>
    <x v="0"/>
    <s v="DK1_Large"/>
    <x v="1"/>
    <x v="1"/>
    <s v="GNR_ST_MSW_BP_E-27"/>
    <x v="0"/>
    <x v="21"/>
    <n v="17.899999999999999"/>
    <n v="6533.5"/>
    <n v="23520.6"/>
  </r>
  <r>
    <x v="0"/>
    <x v="0"/>
    <x v="0"/>
    <x v="0"/>
    <x v="0"/>
    <s v="DK1_Large"/>
    <x v="1"/>
    <x v="1"/>
    <s v="GNR_ST_MSW_BP_E-27"/>
    <x v="0"/>
    <x v="22"/>
    <n v="17.899999999999999"/>
    <n v="6533.5"/>
    <n v="23520.6"/>
  </r>
  <r>
    <x v="0"/>
    <x v="0"/>
    <x v="0"/>
    <x v="0"/>
    <x v="0"/>
    <s v="DK1_Large"/>
    <x v="1"/>
    <x v="1"/>
    <s v="GNR_ST_MSW_BP_E-27"/>
    <x v="0"/>
    <x v="23"/>
    <n v="17.899999999999999"/>
    <n v="6533.5"/>
    <n v="23520.6"/>
  </r>
  <r>
    <x v="0"/>
    <x v="0"/>
    <x v="0"/>
    <x v="0"/>
    <x v="0"/>
    <s v="DK1_Large"/>
    <x v="2"/>
    <x v="1"/>
    <s v="GNR_ENG_NGAS_BP_E-34"/>
    <x v="0"/>
    <x v="3"/>
    <n v="1.0469999999999999"/>
    <n v="382.15499999999997"/>
    <n v="1375.758"/>
  </r>
  <r>
    <x v="0"/>
    <x v="0"/>
    <x v="0"/>
    <x v="0"/>
    <x v="0"/>
    <s v="DK1_Large"/>
    <x v="2"/>
    <x v="1"/>
    <s v="GNR_ENG_NGAS_BP_E-34"/>
    <x v="0"/>
    <x v="4"/>
    <n v="1.0469999999999999"/>
    <n v="382.15499999999997"/>
    <n v="1375.758"/>
  </r>
  <r>
    <x v="0"/>
    <x v="0"/>
    <x v="0"/>
    <x v="0"/>
    <x v="0"/>
    <s v="DK1_Large"/>
    <x v="2"/>
    <x v="1"/>
    <s v="GNR_ENG_NGAS_BP_E-34"/>
    <x v="0"/>
    <x v="5"/>
    <n v="1.0469999999999999"/>
    <n v="382.15499999999997"/>
    <n v="1375.758"/>
  </r>
  <r>
    <x v="0"/>
    <x v="0"/>
    <x v="0"/>
    <x v="0"/>
    <x v="0"/>
    <s v="DK1_Large"/>
    <x v="2"/>
    <x v="1"/>
    <s v="GNR_ENG_NGAS_BP_E-34"/>
    <x v="0"/>
    <x v="6"/>
    <n v="1.0469999999999999"/>
    <n v="382.15499999999997"/>
    <n v="1375.758"/>
  </r>
  <r>
    <x v="0"/>
    <x v="0"/>
    <x v="0"/>
    <x v="0"/>
    <x v="0"/>
    <s v="DK1_Large"/>
    <x v="2"/>
    <x v="1"/>
    <s v="GNR_ENG_NGAS_BP_E-34"/>
    <x v="0"/>
    <x v="7"/>
    <n v="1.0469999999999999"/>
    <n v="382.15499999999997"/>
    <n v="1375.758"/>
  </r>
  <r>
    <x v="0"/>
    <x v="0"/>
    <x v="0"/>
    <x v="0"/>
    <x v="0"/>
    <s v="DK1_Large"/>
    <x v="2"/>
    <x v="1"/>
    <s v="GNR_ENG_NGAS_BP_E-34"/>
    <x v="0"/>
    <x v="8"/>
    <n v="1.0469999999999999"/>
    <n v="382.15499999999997"/>
    <n v="1375.758"/>
  </r>
  <r>
    <x v="0"/>
    <x v="0"/>
    <x v="0"/>
    <x v="0"/>
    <x v="0"/>
    <s v="DK1_Large"/>
    <x v="2"/>
    <x v="1"/>
    <s v="GNR_ENG_NGAS_BP_E-34"/>
    <x v="0"/>
    <x v="0"/>
    <n v="1.0469999999999999"/>
    <n v="382.15499999999997"/>
    <n v="1375.758"/>
  </r>
  <r>
    <x v="0"/>
    <x v="0"/>
    <x v="0"/>
    <x v="0"/>
    <x v="0"/>
    <s v="DK1_Large"/>
    <x v="2"/>
    <x v="1"/>
    <s v="GNR_ENG_NGAS_BP_E-34"/>
    <x v="0"/>
    <x v="1"/>
    <n v="1.0469999999999999"/>
    <n v="382.15499999999997"/>
    <n v="1375.758"/>
  </r>
  <r>
    <x v="0"/>
    <x v="0"/>
    <x v="0"/>
    <x v="0"/>
    <x v="0"/>
    <s v="DK1_Large"/>
    <x v="2"/>
    <x v="1"/>
    <s v="GNR_ENG_NGAS_BP_E-34"/>
    <x v="0"/>
    <x v="2"/>
    <n v="1.0469999999999999"/>
    <n v="382.15499999999997"/>
    <n v="1375.758"/>
  </r>
  <r>
    <x v="0"/>
    <x v="0"/>
    <x v="0"/>
    <x v="0"/>
    <x v="0"/>
    <s v="DK1_Large"/>
    <x v="2"/>
    <x v="1"/>
    <s v="GNR_ENG_NGAS_BP_E-34"/>
    <x v="0"/>
    <x v="9"/>
    <n v="1.0469999999999999"/>
    <n v="382.15499999999997"/>
    <n v="1375.758"/>
  </r>
  <r>
    <x v="0"/>
    <x v="0"/>
    <x v="0"/>
    <x v="0"/>
    <x v="0"/>
    <s v="DK1_Large"/>
    <x v="2"/>
    <x v="1"/>
    <s v="GNR_ENG_NGAS_BP_E-34"/>
    <x v="0"/>
    <x v="10"/>
    <n v="1.0469999999999999"/>
    <n v="382.15499999999997"/>
    <n v="1375.758"/>
  </r>
  <r>
    <x v="0"/>
    <x v="0"/>
    <x v="0"/>
    <x v="0"/>
    <x v="0"/>
    <s v="DK1_Large"/>
    <x v="2"/>
    <x v="1"/>
    <s v="GNR_ENG_NGAS_BP_E-34"/>
    <x v="0"/>
    <x v="11"/>
    <n v="1.0469999999999999"/>
    <n v="382.15499999999997"/>
    <n v="1375.758"/>
  </r>
  <r>
    <x v="0"/>
    <x v="0"/>
    <x v="0"/>
    <x v="0"/>
    <x v="0"/>
    <s v="DK1_Large"/>
    <x v="2"/>
    <x v="1"/>
    <s v="GNR_ENG_NGAS_BP_E-34"/>
    <x v="0"/>
    <x v="12"/>
    <n v="1.0469999999999999"/>
    <n v="382.15499999999997"/>
    <n v="1375.758"/>
  </r>
  <r>
    <x v="0"/>
    <x v="0"/>
    <x v="0"/>
    <x v="0"/>
    <x v="0"/>
    <s v="DK1_Large"/>
    <x v="2"/>
    <x v="1"/>
    <s v="GNR_ENG_NGAS_BP_E-34"/>
    <x v="0"/>
    <x v="13"/>
    <n v="1.0469999999999999"/>
    <n v="382.15499999999997"/>
    <n v="1375.758"/>
  </r>
  <r>
    <x v="0"/>
    <x v="0"/>
    <x v="0"/>
    <x v="0"/>
    <x v="0"/>
    <s v="DK1_Large"/>
    <x v="2"/>
    <x v="1"/>
    <s v="GNR_ENG_NGAS_BP_E-34"/>
    <x v="0"/>
    <x v="14"/>
    <n v="1.0469999999999999"/>
    <n v="382.15499999999997"/>
    <n v="1375.758"/>
  </r>
  <r>
    <x v="0"/>
    <x v="0"/>
    <x v="0"/>
    <x v="0"/>
    <x v="0"/>
    <s v="DK1_Large"/>
    <x v="2"/>
    <x v="1"/>
    <s v="GNR_ENG_NGAS_BP_E-34"/>
    <x v="0"/>
    <x v="15"/>
    <n v="1.0469999999999999"/>
    <n v="382.15499999999997"/>
    <n v="1375.758"/>
  </r>
  <r>
    <x v="0"/>
    <x v="0"/>
    <x v="0"/>
    <x v="0"/>
    <x v="0"/>
    <s v="DK1_Large"/>
    <x v="2"/>
    <x v="1"/>
    <s v="GNR_ENG_NGAS_BP_E-34"/>
    <x v="0"/>
    <x v="16"/>
    <n v="1.0469999999999999"/>
    <n v="382.15499999999997"/>
    <n v="1375.758"/>
  </r>
  <r>
    <x v="0"/>
    <x v="0"/>
    <x v="0"/>
    <x v="0"/>
    <x v="0"/>
    <s v="DK1_Large"/>
    <x v="2"/>
    <x v="1"/>
    <s v="GNR_ENG_NGAS_BP_E-34"/>
    <x v="0"/>
    <x v="17"/>
    <n v="1.0469999999999999"/>
    <n v="382.15499999999997"/>
    <n v="1375.758"/>
  </r>
  <r>
    <x v="0"/>
    <x v="0"/>
    <x v="0"/>
    <x v="0"/>
    <x v="0"/>
    <s v="DK1_Large"/>
    <x v="2"/>
    <x v="1"/>
    <s v="GNR_ENG_NGAS_BP_E-34"/>
    <x v="0"/>
    <x v="18"/>
    <n v="1.0469999999999999"/>
    <n v="382.15499999999997"/>
    <n v="1375.758"/>
  </r>
  <r>
    <x v="0"/>
    <x v="0"/>
    <x v="0"/>
    <x v="0"/>
    <x v="0"/>
    <s v="DK1_Large"/>
    <x v="2"/>
    <x v="1"/>
    <s v="GNR_ENG_NGAS_BP_E-34"/>
    <x v="0"/>
    <x v="19"/>
    <n v="1.0469999999999999"/>
    <n v="382.15499999999997"/>
    <n v="1375.758"/>
  </r>
  <r>
    <x v="0"/>
    <x v="0"/>
    <x v="0"/>
    <x v="0"/>
    <x v="0"/>
    <s v="DK1_Large"/>
    <x v="2"/>
    <x v="1"/>
    <s v="GNR_ENG_NGAS_BP_E-34"/>
    <x v="0"/>
    <x v="20"/>
    <n v="1.0469999999999999"/>
    <n v="382.15499999999997"/>
    <n v="1375.758"/>
  </r>
  <r>
    <x v="0"/>
    <x v="0"/>
    <x v="0"/>
    <x v="0"/>
    <x v="0"/>
    <s v="DK1_Large"/>
    <x v="2"/>
    <x v="1"/>
    <s v="GNR_ENG_NGAS_BP_E-34"/>
    <x v="0"/>
    <x v="21"/>
    <n v="1.0469999999999999"/>
    <n v="382.15499999999997"/>
    <n v="1375.758"/>
  </r>
  <r>
    <x v="0"/>
    <x v="0"/>
    <x v="0"/>
    <x v="0"/>
    <x v="0"/>
    <s v="DK1_Large"/>
    <x v="2"/>
    <x v="1"/>
    <s v="GNR_ENG_NGAS_BP_E-34"/>
    <x v="0"/>
    <x v="22"/>
    <n v="1.0469999999999999"/>
    <n v="382.15499999999997"/>
    <n v="1375.758"/>
  </r>
  <r>
    <x v="0"/>
    <x v="0"/>
    <x v="0"/>
    <x v="0"/>
    <x v="0"/>
    <s v="DK1_Large"/>
    <x v="2"/>
    <x v="1"/>
    <s v="GNR_ENG_NGAS_BP_E-34"/>
    <x v="0"/>
    <x v="23"/>
    <n v="1.0469999999999999"/>
    <n v="382.15499999999997"/>
    <n v="1375.758"/>
  </r>
  <r>
    <x v="0"/>
    <x v="0"/>
    <x v="0"/>
    <x v="0"/>
    <x v="0"/>
    <s v="DK1_Large"/>
    <x v="2"/>
    <x v="1"/>
    <s v="GNR_ENG_NGAS_BP_E-38"/>
    <x v="0"/>
    <x v="3"/>
    <n v="2.9279999999999999"/>
    <n v="1068.72"/>
    <n v="3847.3919999999998"/>
  </r>
  <r>
    <x v="0"/>
    <x v="0"/>
    <x v="0"/>
    <x v="0"/>
    <x v="0"/>
    <s v="DK1_Large"/>
    <x v="2"/>
    <x v="1"/>
    <s v="GNR_ENG_NGAS_BP_E-38"/>
    <x v="0"/>
    <x v="4"/>
    <n v="2.9279999999999999"/>
    <n v="1068.72"/>
    <n v="3847.3919999999998"/>
  </r>
  <r>
    <x v="0"/>
    <x v="0"/>
    <x v="0"/>
    <x v="0"/>
    <x v="0"/>
    <s v="DK1_Large"/>
    <x v="2"/>
    <x v="1"/>
    <s v="GNR_ENG_NGAS_BP_E-38"/>
    <x v="0"/>
    <x v="5"/>
    <n v="2.9279999999999999"/>
    <n v="1068.72"/>
    <n v="3847.3919999999998"/>
  </r>
  <r>
    <x v="0"/>
    <x v="0"/>
    <x v="0"/>
    <x v="0"/>
    <x v="0"/>
    <s v="DK1_Large"/>
    <x v="2"/>
    <x v="1"/>
    <s v="GNR_ENG_NGAS_BP_E-38"/>
    <x v="0"/>
    <x v="6"/>
    <n v="2.9279999999999999"/>
    <n v="1068.72"/>
    <n v="3847.3919999999998"/>
  </r>
  <r>
    <x v="0"/>
    <x v="0"/>
    <x v="0"/>
    <x v="0"/>
    <x v="0"/>
    <s v="DK1_Large"/>
    <x v="2"/>
    <x v="1"/>
    <s v="GNR_ENG_NGAS_BP_E-38"/>
    <x v="0"/>
    <x v="7"/>
    <n v="2.9279999999999999"/>
    <n v="1068.72"/>
    <n v="3847.3919999999998"/>
  </r>
  <r>
    <x v="0"/>
    <x v="0"/>
    <x v="0"/>
    <x v="0"/>
    <x v="0"/>
    <s v="DK1_Large"/>
    <x v="2"/>
    <x v="1"/>
    <s v="GNR_ENG_NGAS_BP_E-38"/>
    <x v="0"/>
    <x v="8"/>
    <n v="2.9279999999999999"/>
    <n v="1068.72"/>
    <n v="3847.3919999999998"/>
  </r>
  <r>
    <x v="0"/>
    <x v="0"/>
    <x v="0"/>
    <x v="0"/>
    <x v="0"/>
    <s v="DK1_Large"/>
    <x v="2"/>
    <x v="1"/>
    <s v="GNR_ENG_NGAS_BP_E-38"/>
    <x v="0"/>
    <x v="0"/>
    <n v="2.9279999999999999"/>
    <n v="1068.72"/>
    <n v="3847.3919999999998"/>
  </r>
  <r>
    <x v="0"/>
    <x v="0"/>
    <x v="0"/>
    <x v="0"/>
    <x v="0"/>
    <s v="DK1_Large"/>
    <x v="2"/>
    <x v="1"/>
    <s v="GNR_ENG_NGAS_BP_E-38"/>
    <x v="0"/>
    <x v="1"/>
    <n v="2.9279999999999999"/>
    <n v="1068.72"/>
    <n v="3847.3919999999998"/>
  </r>
  <r>
    <x v="0"/>
    <x v="0"/>
    <x v="0"/>
    <x v="0"/>
    <x v="0"/>
    <s v="DK1_Large"/>
    <x v="2"/>
    <x v="1"/>
    <s v="GNR_ENG_NGAS_BP_E-38"/>
    <x v="0"/>
    <x v="2"/>
    <n v="2.9279999999999999"/>
    <n v="1068.72"/>
    <n v="3847.3919999999998"/>
  </r>
  <r>
    <x v="0"/>
    <x v="0"/>
    <x v="0"/>
    <x v="0"/>
    <x v="0"/>
    <s v="DK1_Large"/>
    <x v="2"/>
    <x v="1"/>
    <s v="GNR_ENG_NGAS_BP_E-38"/>
    <x v="0"/>
    <x v="9"/>
    <n v="2.9279999999999999"/>
    <n v="1068.72"/>
    <n v="3847.3919999999998"/>
  </r>
  <r>
    <x v="0"/>
    <x v="0"/>
    <x v="0"/>
    <x v="0"/>
    <x v="0"/>
    <s v="DK1_Large"/>
    <x v="2"/>
    <x v="1"/>
    <s v="GNR_ENG_NGAS_BP_E-38"/>
    <x v="0"/>
    <x v="10"/>
    <n v="2.9279999999999999"/>
    <n v="1068.72"/>
    <n v="3847.3919999999998"/>
  </r>
  <r>
    <x v="0"/>
    <x v="0"/>
    <x v="0"/>
    <x v="0"/>
    <x v="0"/>
    <s v="DK1_Large"/>
    <x v="2"/>
    <x v="1"/>
    <s v="GNR_ENG_NGAS_BP_E-38"/>
    <x v="0"/>
    <x v="11"/>
    <n v="2.9279999999999999"/>
    <n v="1068.72"/>
    <n v="3847.3919999999998"/>
  </r>
  <r>
    <x v="0"/>
    <x v="0"/>
    <x v="0"/>
    <x v="0"/>
    <x v="0"/>
    <s v="DK1_Large"/>
    <x v="2"/>
    <x v="1"/>
    <s v="GNR_ENG_NGAS_BP_E-38"/>
    <x v="0"/>
    <x v="12"/>
    <n v="2.9279999999999999"/>
    <n v="1068.72"/>
    <n v="3847.3919999999998"/>
  </r>
  <r>
    <x v="0"/>
    <x v="0"/>
    <x v="0"/>
    <x v="0"/>
    <x v="0"/>
    <s v="DK1_Large"/>
    <x v="2"/>
    <x v="1"/>
    <s v="GNR_ENG_NGAS_BP_E-38"/>
    <x v="0"/>
    <x v="13"/>
    <n v="2.9279999999999999"/>
    <n v="1068.72"/>
    <n v="3847.3919999999998"/>
  </r>
  <r>
    <x v="0"/>
    <x v="0"/>
    <x v="0"/>
    <x v="0"/>
    <x v="0"/>
    <s v="DK1_Large"/>
    <x v="2"/>
    <x v="1"/>
    <s v="GNR_ENG_NGAS_BP_E-38"/>
    <x v="0"/>
    <x v="14"/>
    <n v="2.9279999999999999"/>
    <n v="1068.72"/>
    <n v="3847.3919999999998"/>
  </r>
  <r>
    <x v="0"/>
    <x v="0"/>
    <x v="0"/>
    <x v="0"/>
    <x v="0"/>
    <s v="DK1_Large"/>
    <x v="2"/>
    <x v="1"/>
    <s v="GNR_ENG_NGAS_BP_E-38"/>
    <x v="0"/>
    <x v="15"/>
    <n v="2.9279999999999999"/>
    <n v="1068.72"/>
    <n v="3847.3919999999998"/>
  </r>
  <r>
    <x v="0"/>
    <x v="0"/>
    <x v="0"/>
    <x v="0"/>
    <x v="0"/>
    <s v="DK1_Large"/>
    <x v="2"/>
    <x v="1"/>
    <s v="GNR_ENG_NGAS_BP_E-38"/>
    <x v="0"/>
    <x v="16"/>
    <n v="2.9279999999999999"/>
    <n v="1068.72"/>
    <n v="3847.3919999999998"/>
  </r>
  <r>
    <x v="0"/>
    <x v="0"/>
    <x v="0"/>
    <x v="0"/>
    <x v="0"/>
    <s v="DK1_Large"/>
    <x v="2"/>
    <x v="1"/>
    <s v="GNR_ENG_NGAS_BP_E-38"/>
    <x v="0"/>
    <x v="17"/>
    <n v="2.9279999999999999"/>
    <n v="1068.72"/>
    <n v="3847.3919999999998"/>
  </r>
  <r>
    <x v="0"/>
    <x v="0"/>
    <x v="0"/>
    <x v="0"/>
    <x v="0"/>
    <s v="DK1_Large"/>
    <x v="2"/>
    <x v="1"/>
    <s v="GNR_ENG_NGAS_BP_E-38"/>
    <x v="0"/>
    <x v="18"/>
    <n v="2.9279999999999999"/>
    <n v="1068.72"/>
    <n v="3847.3919999999998"/>
  </r>
  <r>
    <x v="0"/>
    <x v="0"/>
    <x v="0"/>
    <x v="0"/>
    <x v="0"/>
    <s v="DK1_Large"/>
    <x v="2"/>
    <x v="1"/>
    <s v="GNR_ENG_NGAS_BP_E-38"/>
    <x v="0"/>
    <x v="19"/>
    <n v="2.9279999999999999"/>
    <n v="1068.72"/>
    <n v="3847.3919999999998"/>
  </r>
  <r>
    <x v="0"/>
    <x v="0"/>
    <x v="0"/>
    <x v="0"/>
    <x v="0"/>
    <s v="DK1_Large"/>
    <x v="2"/>
    <x v="1"/>
    <s v="GNR_ENG_NGAS_BP_E-38"/>
    <x v="0"/>
    <x v="20"/>
    <n v="2.9279999999999999"/>
    <n v="1068.72"/>
    <n v="3847.3919999999998"/>
  </r>
  <r>
    <x v="0"/>
    <x v="0"/>
    <x v="0"/>
    <x v="0"/>
    <x v="0"/>
    <s v="DK1_Large"/>
    <x v="2"/>
    <x v="1"/>
    <s v="GNR_ENG_NGAS_BP_E-38"/>
    <x v="0"/>
    <x v="21"/>
    <n v="2.9279999999999999"/>
    <n v="1068.72"/>
    <n v="3847.3919999999998"/>
  </r>
  <r>
    <x v="0"/>
    <x v="0"/>
    <x v="0"/>
    <x v="0"/>
    <x v="0"/>
    <s v="DK1_Large"/>
    <x v="2"/>
    <x v="1"/>
    <s v="GNR_ENG_NGAS_BP_E-38"/>
    <x v="0"/>
    <x v="22"/>
    <n v="2.9279999999999999"/>
    <n v="1068.72"/>
    <n v="3847.3919999999998"/>
  </r>
  <r>
    <x v="0"/>
    <x v="0"/>
    <x v="0"/>
    <x v="0"/>
    <x v="0"/>
    <s v="DK1_Large"/>
    <x v="2"/>
    <x v="1"/>
    <s v="GNR_ENG_NGAS_BP_E-38"/>
    <x v="0"/>
    <x v="23"/>
    <n v="2.9279999999999999"/>
    <n v="1068.72"/>
    <n v="3847.3919999999998"/>
  </r>
  <r>
    <x v="0"/>
    <x v="0"/>
    <x v="0"/>
    <x v="0"/>
    <x v="0"/>
    <s v="DK1_Large"/>
    <x v="2"/>
    <x v="1"/>
    <s v="GNR_ENG_NGAS_BP_E-39"/>
    <x v="0"/>
    <x v="3"/>
    <n v="13.46"/>
    <n v="4912.8999999999996"/>
    <n v="17686.439999999999"/>
  </r>
  <r>
    <x v="0"/>
    <x v="0"/>
    <x v="0"/>
    <x v="0"/>
    <x v="0"/>
    <s v="DK1_Large"/>
    <x v="2"/>
    <x v="1"/>
    <s v="GNR_ENG_NGAS_BP_E-39"/>
    <x v="0"/>
    <x v="4"/>
    <n v="13.46"/>
    <n v="4912.8999999999996"/>
    <n v="17686.439999999999"/>
  </r>
  <r>
    <x v="0"/>
    <x v="0"/>
    <x v="0"/>
    <x v="0"/>
    <x v="0"/>
    <s v="DK1_Large"/>
    <x v="2"/>
    <x v="1"/>
    <s v="GNR_ENG_NGAS_BP_E-39"/>
    <x v="0"/>
    <x v="5"/>
    <n v="13.46"/>
    <n v="4912.8999999999996"/>
    <n v="17686.439999999999"/>
  </r>
  <r>
    <x v="0"/>
    <x v="0"/>
    <x v="0"/>
    <x v="0"/>
    <x v="0"/>
    <s v="DK1_Large"/>
    <x v="2"/>
    <x v="1"/>
    <s v="GNR_ENG_NGAS_BP_E-39"/>
    <x v="0"/>
    <x v="6"/>
    <n v="13.46"/>
    <n v="4912.8999999999996"/>
    <n v="17686.439999999999"/>
  </r>
  <r>
    <x v="0"/>
    <x v="0"/>
    <x v="0"/>
    <x v="0"/>
    <x v="0"/>
    <s v="DK1_Large"/>
    <x v="2"/>
    <x v="1"/>
    <s v="GNR_ENG_NGAS_BP_E-39"/>
    <x v="0"/>
    <x v="7"/>
    <n v="13.46"/>
    <n v="4912.8999999999996"/>
    <n v="17686.439999999999"/>
  </r>
  <r>
    <x v="0"/>
    <x v="0"/>
    <x v="0"/>
    <x v="0"/>
    <x v="0"/>
    <s v="DK1_Large"/>
    <x v="2"/>
    <x v="1"/>
    <s v="GNR_ENG_NGAS_BP_E-39"/>
    <x v="0"/>
    <x v="8"/>
    <n v="13.46"/>
    <n v="4912.8999999999996"/>
    <n v="17686.439999999999"/>
  </r>
  <r>
    <x v="0"/>
    <x v="0"/>
    <x v="0"/>
    <x v="0"/>
    <x v="0"/>
    <s v="DK1_Large"/>
    <x v="2"/>
    <x v="1"/>
    <s v="GNR_ENG_NGAS_BP_E-39"/>
    <x v="0"/>
    <x v="0"/>
    <n v="13.46"/>
    <n v="4912.8999999999996"/>
    <n v="17686.439999999999"/>
  </r>
  <r>
    <x v="0"/>
    <x v="0"/>
    <x v="0"/>
    <x v="0"/>
    <x v="0"/>
    <s v="DK1_Large"/>
    <x v="2"/>
    <x v="1"/>
    <s v="GNR_ENG_NGAS_BP_E-39"/>
    <x v="0"/>
    <x v="1"/>
    <n v="13.46"/>
    <n v="4912.8999999999996"/>
    <n v="17686.439999999999"/>
  </r>
  <r>
    <x v="0"/>
    <x v="0"/>
    <x v="0"/>
    <x v="0"/>
    <x v="0"/>
    <s v="DK1_Large"/>
    <x v="2"/>
    <x v="1"/>
    <s v="GNR_ENG_NGAS_BP_E-39"/>
    <x v="0"/>
    <x v="2"/>
    <n v="13.46"/>
    <n v="4912.8999999999996"/>
    <n v="17686.439999999999"/>
  </r>
  <r>
    <x v="0"/>
    <x v="0"/>
    <x v="0"/>
    <x v="0"/>
    <x v="0"/>
    <s v="DK1_Large"/>
    <x v="2"/>
    <x v="1"/>
    <s v="GNR_ENG_NGAS_BP_E-39"/>
    <x v="0"/>
    <x v="9"/>
    <n v="13.46"/>
    <n v="4912.8999999999996"/>
    <n v="17686.439999999999"/>
  </r>
  <r>
    <x v="0"/>
    <x v="0"/>
    <x v="0"/>
    <x v="0"/>
    <x v="0"/>
    <s v="DK1_Large"/>
    <x v="2"/>
    <x v="1"/>
    <s v="GNR_ENG_NGAS_BP_E-39"/>
    <x v="0"/>
    <x v="10"/>
    <n v="13.46"/>
    <n v="4912.8999999999996"/>
    <n v="17686.439999999999"/>
  </r>
  <r>
    <x v="0"/>
    <x v="0"/>
    <x v="0"/>
    <x v="0"/>
    <x v="0"/>
    <s v="DK1_Large"/>
    <x v="2"/>
    <x v="1"/>
    <s v="GNR_ENG_NGAS_BP_E-39"/>
    <x v="0"/>
    <x v="11"/>
    <n v="13.46"/>
    <n v="4912.8999999999996"/>
    <n v="17686.439999999999"/>
  </r>
  <r>
    <x v="0"/>
    <x v="0"/>
    <x v="0"/>
    <x v="0"/>
    <x v="0"/>
    <s v="DK1_Large"/>
    <x v="2"/>
    <x v="1"/>
    <s v="GNR_ENG_NGAS_BP_E-39"/>
    <x v="0"/>
    <x v="12"/>
    <n v="13.46"/>
    <n v="4912.8999999999996"/>
    <n v="17686.439999999999"/>
  </r>
  <r>
    <x v="0"/>
    <x v="0"/>
    <x v="0"/>
    <x v="0"/>
    <x v="0"/>
    <s v="DK1_Large"/>
    <x v="2"/>
    <x v="1"/>
    <s v="GNR_ENG_NGAS_BP_E-39"/>
    <x v="0"/>
    <x v="13"/>
    <n v="13.46"/>
    <n v="4912.8999999999996"/>
    <n v="17686.439999999999"/>
  </r>
  <r>
    <x v="0"/>
    <x v="0"/>
    <x v="0"/>
    <x v="0"/>
    <x v="0"/>
    <s v="DK1_Large"/>
    <x v="2"/>
    <x v="1"/>
    <s v="GNR_ENG_NGAS_BP_E-39"/>
    <x v="0"/>
    <x v="14"/>
    <n v="13.46"/>
    <n v="4912.8999999999996"/>
    <n v="17686.439999999999"/>
  </r>
  <r>
    <x v="0"/>
    <x v="0"/>
    <x v="0"/>
    <x v="0"/>
    <x v="0"/>
    <s v="DK1_Large"/>
    <x v="2"/>
    <x v="1"/>
    <s v="GNR_ENG_NGAS_BP_E-39"/>
    <x v="0"/>
    <x v="15"/>
    <n v="13.46"/>
    <n v="4912.8999999999996"/>
    <n v="17686.439999999999"/>
  </r>
  <r>
    <x v="0"/>
    <x v="0"/>
    <x v="0"/>
    <x v="0"/>
    <x v="0"/>
    <s v="DK1_Large"/>
    <x v="2"/>
    <x v="1"/>
    <s v="GNR_ENG_NGAS_BP_E-39"/>
    <x v="0"/>
    <x v="16"/>
    <n v="13.46"/>
    <n v="4912.8999999999996"/>
    <n v="17686.439999999999"/>
  </r>
  <r>
    <x v="0"/>
    <x v="0"/>
    <x v="0"/>
    <x v="0"/>
    <x v="0"/>
    <s v="DK1_Large"/>
    <x v="2"/>
    <x v="1"/>
    <s v="GNR_ENG_NGAS_BP_E-39"/>
    <x v="0"/>
    <x v="17"/>
    <n v="13.46"/>
    <n v="4912.8999999999996"/>
    <n v="17686.439999999999"/>
  </r>
  <r>
    <x v="0"/>
    <x v="0"/>
    <x v="0"/>
    <x v="0"/>
    <x v="0"/>
    <s v="DK1_Large"/>
    <x v="2"/>
    <x v="1"/>
    <s v="GNR_ENG_NGAS_BP_E-39"/>
    <x v="0"/>
    <x v="18"/>
    <n v="13.46"/>
    <n v="4912.8999999999996"/>
    <n v="17686.439999999999"/>
  </r>
  <r>
    <x v="0"/>
    <x v="0"/>
    <x v="0"/>
    <x v="0"/>
    <x v="0"/>
    <s v="DK1_Large"/>
    <x v="2"/>
    <x v="1"/>
    <s v="GNR_ENG_NGAS_BP_E-39"/>
    <x v="0"/>
    <x v="19"/>
    <n v="13.46"/>
    <n v="4912.8999999999996"/>
    <n v="17686.439999999999"/>
  </r>
  <r>
    <x v="0"/>
    <x v="0"/>
    <x v="0"/>
    <x v="0"/>
    <x v="0"/>
    <s v="DK1_Large"/>
    <x v="2"/>
    <x v="1"/>
    <s v="GNR_ENG_NGAS_BP_E-39"/>
    <x v="0"/>
    <x v="20"/>
    <n v="13.46"/>
    <n v="4912.8999999999996"/>
    <n v="17686.439999999999"/>
  </r>
  <r>
    <x v="0"/>
    <x v="0"/>
    <x v="0"/>
    <x v="0"/>
    <x v="0"/>
    <s v="DK1_Large"/>
    <x v="2"/>
    <x v="1"/>
    <s v="GNR_ENG_NGAS_BP_E-39"/>
    <x v="0"/>
    <x v="21"/>
    <n v="13.46"/>
    <n v="4912.8999999999996"/>
    <n v="17686.439999999999"/>
  </r>
  <r>
    <x v="0"/>
    <x v="0"/>
    <x v="0"/>
    <x v="0"/>
    <x v="0"/>
    <s v="DK1_Large"/>
    <x v="2"/>
    <x v="1"/>
    <s v="GNR_ENG_NGAS_BP_E-39"/>
    <x v="0"/>
    <x v="22"/>
    <n v="13.46"/>
    <n v="4912.8999999999996"/>
    <n v="17686.439999999999"/>
  </r>
  <r>
    <x v="0"/>
    <x v="0"/>
    <x v="0"/>
    <x v="0"/>
    <x v="0"/>
    <s v="DK1_Large"/>
    <x v="2"/>
    <x v="1"/>
    <s v="GNR_ENG_NGAS_BP_E-39"/>
    <x v="0"/>
    <x v="23"/>
    <n v="13.46"/>
    <n v="4912.8999999999996"/>
    <n v="17686.439999999999"/>
  </r>
  <r>
    <x v="0"/>
    <x v="0"/>
    <x v="0"/>
    <x v="0"/>
    <x v="0"/>
    <s v="DK1_Large"/>
    <x v="2"/>
    <x v="1"/>
    <s v="GNR_ENG_NGAS_BP_E-40"/>
    <x v="0"/>
    <x v="3"/>
    <n v="5.21"/>
    <n v="1901.65"/>
    <n v="6845.94"/>
  </r>
  <r>
    <x v="0"/>
    <x v="0"/>
    <x v="0"/>
    <x v="0"/>
    <x v="0"/>
    <s v="DK1_Large"/>
    <x v="2"/>
    <x v="1"/>
    <s v="GNR_ENG_NGAS_BP_E-40"/>
    <x v="0"/>
    <x v="4"/>
    <n v="5.21"/>
    <n v="1901.65"/>
    <n v="6845.94"/>
  </r>
  <r>
    <x v="0"/>
    <x v="0"/>
    <x v="0"/>
    <x v="0"/>
    <x v="0"/>
    <s v="DK1_Large"/>
    <x v="2"/>
    <x v="1"/>
    <s v="GNR_ENG_NGAS_BP_E-40"/>
    <x v="0"/>
    <x v="5"/>
    <n v="5.21"/>
    <n v="1901.65"/>
    <n v="6845.94"/>
  </r>
  <r>
    <x v="0"/>
    <x v="0"/>
    <x v="0"/>
    <x v="0"/>
    <x v="0"/>
    <s v="DK1_Large"/>
    <x v="2"/>
    <x v="1"/>
    <s v="GNR_ENG_NGAS_BP_E-40"/>
    <x v="0"/>
    <x v="6"/>
    <n v="5.21"/>
    <n v="1901.65"/>
    <n v="6845.94"/>
  </r>
  <r>
    <x v="0"/>
    <x v="0"/>
    <x v="0"/>
    <x v="0"/>
    <x v="0"/>
    <s v="DK1_Large"/>
    <x v="2"/>
    <x v="1"/>
    <s v="GNR_ENG_NGAS_BP_E-40"/>
    <x v="0"/>
    <x v="7"/>
    <n v="5.21"/>
    <n v="1901.65"/>
    <n v="6845.94"/>
  </r>
  <r>
    <x v="0"/>
    <x v="0"/>
    <x v="0"/>
    <x v="0"/>
    <x v="0"/>
    <s v="DK1_Large"/>
    <x v="2"/>
    <x v="1"/>
    <s v="GNR_ENG_NGAS_BP_E-40"/>
    <x v="0"/>
    <x v="8"/>
    <n v="5.21"/>
    <n v="1901.65"/>
    <n v="6845.94"/>
  </r>
  <r>
    <x v="0"/>
    <x v="0"/>
    <x v="0"/>
    <x v="0"/>
    <x v="0"/>
    <s v="DK1_Large"/>
    <x v="2"/>
    <x v="1"/>
    <s v="GNR_ENG_NGAS_BP_E-40"/>
    <x v="0"/>
    <x v="0"/>
    <n v="5.21"/>
    <n v="1901.65"/>
    <n v="6845.94"/>
  </r>
  <r>
    <x v="0"/>
    <x v="0"/>
    <x v="0"/>
    <x v="0"/>
    <x v="0"/>
    <s v="DK1_Large"/>
    <x v="2"/>
    <x v="1"/>
    <s v="GNR_ENG_NGAS_BP_E-40"/>
    <x v="0"/>
    <x v="1"/>
    <n v="5.21"/>
    <n v="1901.65"/>
    <n v="6845.94"/>
  </r>
  <r>
    <x v="0"/>
    <x v="0"/>
    <x v="0"/>
    <x v="0"/>
    <x v="0"/>
    <s v="DK1_Large"/>
    <x v="2"/>
    <x v="1"/>
    <s v="GNR_ENG_NGAS_BP_E-40"/>
    <x v="0"/>
    <x v="2"/>
    <n v="5.21"/>
    <n v="1901.65"/>
    <n v="6845.94"/>
  </r>
  <r>
    <x v="0"/>
    <x v="0"/>
    <x v="0"/>
    <x v="0"/>
    <x v="0"/>
    <s v="DK1_Large"/>
    <x v="2"/>
    <x v="1"/>
    <s v="GNR_ENG_NGAS_BP_E-40"/>
    <x v="0"/>
    <x v="9"/>
    <n v="5.21"/>
    <n v="1901.65"/>
    <n v="6845.94"/>
  </r>
  <r>
    <x v="0"/>
    <x v="0"/>
    <x v="0"/>
    <x v="0"/>
    <x v="0"/>
    <s v="DK1_Large"/>
    <x v="2"/>
    <x v="1"/>
    <s v="GNR_ENG_NGAS_BP_E-40"/>
    <x v="0"/>
    <x v="10"/>
    <n v="5.21"/>
    <n v="1901.65"/>
    <n v="6845.94"/>
  </r>
  <r>
    <x v="0"/>
    <x v="0"/>
    <x v="0"/>
    <x v="0"/>
    <x v="0"/>
    <s v="DK1_Large"/>
    <x v="2"/>
    <x v="1"/>
    <s v="GNR_ENG_NGAS_BP_E-40"/>
    <x v="0"/>
    <x v="11"/>
    <n v="5.21"/>
    <n v="1901.65"/>
    <n v="6845.94"/>
  </r>
  <r>
    <x v="0"/>
    <x v="0"/>
    <x v="0"/>
    <x v="0"/>
    <x v="0"/>
    <s v="DK1_Large"/>
    <x v="2"/>
    <x v="1"/>
    <s v="GNR_ENG_NGAS_BP_E-40"/>
    <x v="0"/>
    <x v="12"/>
    <n v="5.21"/>
    <n v="1901.65"/>
    <n v="6845.94"/>
  </r>
  <r>
    <x v="0"/>
    <x v="0"/>
    <x v="0"/>
    <x v="0"/>
    <x v="0"/>
    <s v="DK1_Large"/>
    <x v="2"/>
    <x v="1"/>
    <s v="GNR_ENG_NGAS_BP_E-40"/>
    <x v="0"/>
    <x v="13"/>
    <n v="5.21"/>
    <n v="1901.65"/>
    <n v="6845.94"/>
  </r>
  <r>
    <x v="0"/>
    <x v="0"/>
    <x v="0"/>
    <x v="0"/>
    <x v="0"/>
    <s v="DK1_Large"/>
    <x v="2"/>
    <x v="1"/>
    <s v="GNR_ENG_NGAS_BP_E-40"/>
    <x v="0"/>
    <x v="14"/>
    <n v="5.21"/>
    <n v="1901.65"/>
    <n v="6845.94"/>
  </r>
  <r>
    <x v="0"/>
    <x v="0"/>
    <x v="0"/>
    <x v="0"/>
    <x v="0"/>
    <s v="DK1_Large"/>
    <x v="2"/>
    <x v="1"/>
    <s v="GNR_ENG_NGAS_BP_E-40"/>
    <x v="0"/>
    <x v="15"/>
    <n v="5.21"/>
    <n v="1901.65"/>
    <n v="6845.94"/>
  </r>
  <r>
    <x v="0"/>
    <x v="0"/>
    <x v="0"/>
    <x v="0"/>
    <x v="0"/>
    <s v="DK1_Large"/>
    <x v="2"/>
    <x v="1"/>
    <s v="GNR_ENG_NGAS_BP_E-40"/>
    <x v="0"/>
    <x v="16"/>
    <n v="5.21"/>
    <n v="1901.65"/>
    <n v="6845.94"/>
  </r>
  <r>
    <x v="0"/>
    <x v="0"/>
    <x v="0"/>
    <x v="0"/>
    <x v="0"/>
    <s v="DK1_Large"/>
    <x v="2"/>
    <x v="1"/>
    <s v="GNR_ENG_NGAS_BP_E-40"/>
    <x v="0"/>
    <x v="17"/>
    <n v="5.21"/>
    <n v="1901.65"/>
    <n v="6845.94"/>
  </r>
  <r>
    <x v="0"/>
    <x v="0"/>
    <x v="0"/>
    <x v="0"/>
    <x v="0"/>
    <s v="DK1_Large"/>
    <x v="2"/>
    <x v="1"/>
    <s v="GNR_ENG_NGAS_BP_E-40"/>
    <x v="0"/>
    <x v="18"/>
    <n v="5.21"/>
    <n v="1901.65"/>
    <n v="6845.94"/>
  </r>
  <r>
    <x v="0"/>
    <x v="0"/>
    <x v="0"/>
    <x v="0"/>
    <x v="0"/>
    <s v="DK1_Large"/>
    <x v="2"/>
    <x v="1"/>
    <s v="GNR_ENG_NGAS_BP_E-40"/>
    <x v="0"/>
    <x v="19"/>
    <n v="5.21"/>
    <n v="1901.65"/>
    <n v="6845.94"/>
  </r>
  <r>
    <x v="0"/>
    <x v="0"/>
    <x v="0"/>
    <x v="0"/>
    <x v="0"/>
    <s v="DK1_Large"/>
    <x v="2"/>
    <x v="1"/>
    <s v="GNR_ENG_NGAS_BP_E-40"/>
    <x v="0"/>
    <x v="20"/>
    <n v="5.21"/>
    <n v="1901.65"/>
    <n v="6845.94"/>
  </r>
  <r>
    <x v="0"/>
    <x v="0"/>
    <x v="0"/>
    <x v="0"/>
    <x v="0"/>
    <s v="DK1_Large"/>
    <x v="2"/>
    <x v="1"/>
    <s v="GNR_ENG_NGAS_BP_E-40"/>
    <x v="0"/>
    <x v="21"/>
    <n v="5.21"/>
    <n v="1901.65"/>
    <n v="6845.94"/>
  </r>
  <r>
    <x v="0"/>
    <x v="0"/>
    <x v="0"/>
    <x v="0"/>
    <x v="0"/>
    <s v="DK1_Large"/>
    <x v="2"/>
    <x v="1"/>
    <s v="GNR_ENG_NGAS_BP_E-40"/>
    <x v="0"/>
    <x v="22"/>
    <n v="5.21"/>
    <n v="1901.65"/>
    <n v="6845.94"/>
  </r>
  <r>
    <x v="0"/>
    <x v="0"/>
    <x v="0"/>
    <x v="0"/>
    <x v="0"/>
    <s v="DK1_Large"/>
    <x v="2"/>
    <x v="1"/>
    <s v="GNR_ENG_NGAS_BP_E-40"/>
    <x v="0"/>
    <x v="23"/>
    <n v="5.21"/>
    <n v="1901.65"/>
    <n v="6845.94"/>
  </r>
  <r>
    <x v="0"/>
    <x v="0"/>
    <x v="0"/>
    <x v="0"/>
    <x v="0"/>
    <s v="DK1_Large"/>
    <x v="2"/>
    <x v="1"/>
    <s v="GNR_ENG_NGAS_BP_E-41"/>
    <x v="0"/>
    <x v="3"/>
    <n v="3.8"/>
    <n v="1387"/>
    <n v="4993.2"/>
  </r>
  <r>
    <x v="0"/>
    <x v="0"/>
    <x v="0"/>
    <x v="0"/>
    <x v="0"/>
    <s v="DK1_Large"/>
    <x v="2"/>
    <x v="1"/>
    <s v="GNR_ENG_NGAS_BP_E-41"/>
    <x v="0"/>
    <x v="4"/>
    <n v="3.8"/>
    <n v="1387"/>
    <n v="4993.2"/>
  </r>
  <r>
    <x v="0"/>
    <x v="0"/>
    <x v="0"/>
    <x v="0"/>
    <x v="0"/>
    <s v="DK1_Large"/>
    <x v="2"/>
    <x v="1"/>
    <s v="GNR_ENG_NGAS_BP_E-41"/>
    <x v="0"/>
    <x v="5"/>
    <n v="3.8"/>
    <n v="1387"/>
    <n v="4993.2"/>
  </r>
  <r>
    <x v="0"/>
    <x v="0"/>
    <x v="0"/>
    <x v="0"/>
    <x v="0"/>
    <s v="DK1_Large"/>
    <x v="2"/>
    <x v="1"/>
    <s v="GNR_ENG_NGAS_BP_E-41"/>
    <x v="0"/>
    <x v="6"/>
    <n v="3.8"/>
    <n v="1387"/>
    <n v="4993.2"/>
  </r>
  <r>
    <x v="0"/>
    <x v="0"/>
    <x v="0"/>
    <x v="0"/>
    <x v="0"/>
    <s v="DK1_Large"/>
    <x v="2"/>
    <x v="1"/>
    <s v="GNR_ENG_NGAS_BP_E-41"/>
    <x v="0"/>
    <x v="7"/>
    <n v="3.8"/>
    <n v="1387"/>
    <n v="4993.2"/>
  </r>
  <r>
    <x v="0"/>
    <x v="0"/>
    <x v="0"/>
    <x v="0"/>
    <x v="0"/>
    <s v="DK1_Large"/>
    <x v="2"/>
    <x v="1"/>
    <s v="GNR_ENG_NGAS_BP_E-41"/>
    <x v="0"/>
    <x v="8"/>
    <n v="3.8"/>
    <n v="1387"/>
    <n v="4993.2"/>
  </r>
  <r>
    <x v="0"/>
    <x v="0"/>
    <x v="0"/>
    <x v="0"/>
    <x v="0"/>
    <s v="DK1_Large"/>
    <x v="2"/>
    <x v="1"/>
    <s v="GNR_ENG_NGAS_BP_E-41"/>
    <x v="0"/>
    <x v="0"/>
    <n v="3.8"/>
    <n v="1387"/>
    <n v="4993.2"/>
  </r>
  <r>
    <x v="0"/>
    <x v="0"/>
    <x v="0"/>
    <x v="0"/>
    <x v="0"/>
    <s v="DK1_Large"/>
    <x v="2"/>
    <x v="1"/>
    <s v="GNR_ENG_NGAS_BP_E-41"/>
    <x v="0"/>
    <x v="1"/>
    <n v="3.8"/>
    <n v="1387"/>
    <n v="4993.2"/>
  </r>
  <r>
    <x v="0"/>
    <x v="0"/>
    <x v="0"/>
    <x v="0"/>
    <x v="0"/>
    <s v="DK1_Large"/>
    <x v="2"/>
    <x v="1"/>
    <s v="GNR_ENG_NGAS_BP_E-41"/>
    <x v="0"/>
    <x v="2"/>
    <n v="3.8"/>
    <n v="1387"/>
    <n v="4993.2"/>
  </r>
  <r>
    <x v="0"/>
    <x v="0"/>
    <x v="0"/>
    <x v="0"/>
    <x v="0"/>
    <s v="DK1_Large"/>
    <x v="2"/>
    <x v="1"/>
    <s v="GNR_ENG_NGAS_BP_E-41"/>
    <x v="0"/>
    <x v="9"/>
    <n v="3.8"/>
    <n v="1387"/>
    <n v="4993.2"/>
  </r>
  <r>
    <x v="0"/>
    <x v="0"/>
    <x v="0"/>
    <x v="0"/>
    <x v="0"/>
    <s v="DK1_Large"/>
    <x v="2"/>
    <x v="1"/>
    <s v="GNR_ENG_NGAS_BP_E-41"/>
    <x v="0"/>
    <x v="10"/>
    <n v="3.8"/>
    <n v="1387"/>
    <n v="4993.2"/>
  </r>
  <r>
    <x v="0"/>
    <x v="0"/>
    <x v="0"/>
    <x v="0"/>
    <x v="0"/>
    <s v="DK1_Large"/>
    <x v="2"/>
    <x v="1"/>
    <s v="GNR_ENG_NGAS_BP_E-41"/>
    <x v="0"/>
    <x v="11"/>
    <n v="3.8"/>
    <n v="1387"/>
    <n v="4993.2"/>
  </r>
  <r>
    <x v="0"/>
    <x v="0"/>
    <x v="0"/>
    <x v="0"/>
    <x v="0"/>
    <s v="DK1_Large"/>
    <x v="2"/>
    <x v="1"/>
    <s v="GNR_ENG_NGAS_BP_E-41"/>
    <x v="0"/>
    <x v="12"/>
    <n v="3.8"/>
    <n v="1387"/>
    <n v="4993.2"/>
  </r>
  <r>
    <x v="0"/>
    <x v="0"/>
    <x v="0"/>
    <x v="0"/>
    <x v="0"/>
    <s v="DK1_Large"/>
    <x v="2"/>
    <x v="1"/>
    <s v="GNR_ENG_NGAS_BP_E-41"/>
    <x v="0"/>
    <x v="13"/>
    <n v="3.8"/>
    <n v="1387"/>
    <n v="4993.2"/>
  </r>
  <r>
    <x v="0"/>
    <x v="0"/>
    <x v="0"/>
    <x v="0"/>
    <x v="0"/>
    <s v="DK1_Large"/>
    <x v="2"/>
    <x v="1"/>
    <s v="GNR_ENG_NGAS_BP_E-41"/>
    <x v="0"/>
    <x v="14"/>
    <n v="3.8"/>
    <n v="1387"/>
    <n v="4993.2"/>
  </r>
  <r>
    <x v="0"/>
    <x v="0"/>
    <x v="0"/>
    <x v="0"/>
    <x v="0"/>
    <s v="DK1_Large"/>
    <x v="2"/>
    <x v="1"/>
    <s v="GNR_ENG_NGAS_BP_E-41"/>
    <x v="0"/>
    <x v="15"/>
    <n v="3.8"/>
    <n v="1387"/>
    <n v="4993.2"/>
  </r>
  <r>
    <x v="0"/>
    <x v="0"/>
    <x v="0"/>
    <x v="0"/>
    <x v="0"/>
    <s v="DK1_Large"/>
    <x v="2"/>
    <x v="1"/>
    <s v="GNR_ENG_NGAS_BP_E-41"/>
    <x v="0"/>
    <x v="16"/>
    <n v="3.8"/>
    <n v="1387"/>
    <n v="4993.2"/>
  </r>
  <r>
    <x v="0"/>
    <x v="0"/>
    <x v="0"/>
    <x v="0"/>
    <x v="0"/>
    <s v="DK1_Large"/>
    <x v="2"/>
    <x v="1"/>
    <s v="GNR_ENG_NGAS_BP_E-41"/>
    <x v="0"/>
    <x v="17"/>
    <n v="3.8"/>
    <n v="1387"/>
    <n v="4993.2"/>
  </r>
  <r>
    <x v="0"/>
    <x v="0"/>
    <x v="0"/>
    <x v="0"/>
    <x v="0"/>
    <s v="DK1_Large"/>
    <x v="2"/>
    <x v="1"/>
    <s v="GNR_ENG_NGAS_BP_E-41"/>
    <x v="0"/>
    <x v="18"/>
    <n v="3.8"/>
    <n v="1387"/>
    <n v="4993.2"/>
  </r>
  <r>
    <x v="0"/>
    <x v="0"/>
    <x v="0"/>
    <x v="0"/>
    <x v="0"/>
    <s v="DK1_Large"/>
    <x v="2"/>
    <x v="1"/>
    <s v="GNR_ENG_NGAS_BP_E-41"/>
    <x v="0"/>
    <x v="19"/>
    <n v="3.8"/>
    <n v="1387"/>
    <n v="4993.2"/>
  </r>
  <r>
    <x v="0"/>
    <x v="0"/>
    <x v="0"/>
    <x v="0"/>
    <x v="0"/>
    <s v="DK1_Large"/>
    <x v="2"/>
    <x v="1"/>
    <s v="GNR_ENG_NGAS_BP_E-41"/>
    <x v="0"/>
    <x v="20"/>
    <n v="3.8"/>
    <n v="1387"/>
    <n v="4993.2"/>
  </r>
  <r>
    <x v="0"/>
    <x v="0"/>
    <x v="0"/>
    <x v="0"/>
    <x v="0"/>
    <s v="DK1_Large"/>
    <x v="2"/>
    <x v="1"/>
    <s v="GNR_ENG_NGAS_BP_E-41"/>
    <x v="0"/>
    <x v="21"/>
    <n v="3.8"/>
    <n v="1387"/>
    <n v="4993.2"/>
  </r>
  <r>
    <x v="0"/>
    <x v="0"/>
    <x v="0"/>
    <x v="0"/>
    <x v="0"/>
    <s v="DK1_Large"/>
    <x v="2"/>
    <x v="1"/>
    <s v="GNR_ENG_NGAS_BP_E-41"/>
    <x v="0"/>
    <x v="22"/>
    <n v="3.8"/>
    <n v="1387"/>
    <n v="4993.2"/>
  </r>
  <r>
    <x v="0"/>
    <x v="0"/>
    <x v="0"/>
    <x v="0"/>
    <x v="0"/>
    <s v="DK1_Large"/>
    <x v="2"/>
    <x v="1"/>
    <s v="GNR_ENG_NGAS_BP_E-41"/>
    <x v="0"/>
    <x v="23"/>
    <n v="3.8"/>
    <n v="1387"/>
    <n v="4993.2"/>
  </r>
  <r>
    <x v="0"/>
    <x v="0"/>
    <x v="0"/>
    <x v="0"/>
    <x v="0"/>
    <s v="DK1_Large"/>
    <x v="2"/>
    <x v="1"/>
    <s v="GNR_ENG_NGAS_BP_E-42"/>
    <x v="0"/>
    <x v="3"/>
    <n v="2.2599999999999998"/>
    <n v="824.9"/>
    <n v="2969.64"/>
  </r>
  <r>
    <x v="0"/>
    <x v="0"/>
    <x v="0"/>
    <x v="0"/>
    <x v="0"/>
    <s v="DK1_Large"/>
    <x v="2"/>
    <x v="1"/>
    <s v="GNR_ENG_NGAS_BP_E-42"/>
    <x v="0"/>
    <x v="4"/>
    <n v="2.2599999999999998"/>
    <n v="824.9"/>
    <n v="2969.64"/>
  </r>
  <r>
    <x v="0"/>
    <x v="0"/>
    <x v="0"/>
    <x v="0"/>
    <x v="0"/>
    <s v="DK1_Large"/>
    <x v="2"/>
    <x v="1"/>
    <s v="GNR_ENG_NGAS_BP_E-42"/>
    <x v="0"/>
    <x v="5"/>
    <n v="2.2599999999999998"/>
    <n v="824.9"/>
    <n v="2969.64"/>
  </r>
  <r>
    <x v="0"/>
    <x v="0"/>
    <x v="0"/>
    <x v="0"/>
    <x v="0"/>
    <s v="DK1_Large"/>
    <x v="2"/>
    <x v="1"/>
    <s v="GNR_ENG_NGAS_BP_E-42"/>
    <x v="0"/>
    <x v="6"/>
    <n v="2.2599999999999998"/>
    <n v="824.9"/>
    <n v="2969.64"/>
  </r>
  <r>
    <x v="0"/>
    <x v="0"/>
    <x v="0"/>
    <x v="0"/>
    <x v="0"/>
    <s v="DK1_Large"/>
    <x v="2"/>
    <x v="1"/>
    <s v="GNR_ENG_NGAS_BP_E-42"/>
    <x v="0"/>
    <x v="7"/>
    <n v="2.2599999999999998"/>
    <n v="824.9"/>
    <n v="2969.64"/>
  </r>
  <r>
    <x v="0"/>
    <x v="0"/>
    <x v="0"/>
    <x v="0"/>
    <x v="0"/>
    <s v="DK1_Large"/>
    <x v="2"/>
    <x v="1"/>
    <s v="GNR_ENG_NGAS_BP_E-42"/>
    <x v="0"/>
    <x v="8"/>
    <n v="2.2599999999999998"/>
    <n v="824.9"/>
    <n v="2969.64"/>
  </r>
  <r>
    <x v="0"/>
    <x v="0"/>
    <x v="0"/>
    <x v="0"/>
    <x v="0"/>
    <s v="DK1_Large"/>
    <x v="2"/>
    <x v="1"/>
    <s v="GNR_ENG_NGAS_BP_E-42"/>
    <x v="0"/>
    <x v="0"/>
    <n v="2.2599999999999998"/>
    <n v="824.9"/>
    <n v="2969.64"/>
  </r>
  <r>
    <x v="0"/>
    <x v="0"/>
    <x v="0"/>
    <x v="0"/>
    <x v="0"/>
    <s v="DK1_Large"/>
    <x v="2"/>
    <x v="1"/>
    <s v="GNR_ENG_NGAS_BP_E-42"/>
    <x v="0"/>
    <x v="1"/>
    <n v="2.2599999999999998"/>
    <n v="824.9"/>
    <n v="2969.64"/>
  </r>
  <r>
    <x v="0"/>
    <x v="0"/>
    <x v="0"/>
    <x v="0"/>
    <x v="0"/>
    <s v="DK1_Large"/>
    <x v="2"/>
    <x v="1"/>
    <s v="GNR_ENG_NGAS_BP_E-42"/>
    <x v="0"/>
    <x v="2"/>
    <n v="2.2599999999999998"/>
    <n v="824.9"/>
    <n v="2969.64"/>
  </r>
  <r>
    <x v="0"/>
    <x v="0"/>
    <x v="0"/>
    <x v="0"/>
    <x v="0"/>
    <s v="DK1_Large"/>
    <x v="2"/>
    <x v="1"/>
    <s v="GNR_ENG_NGAS_BP_E-42"/>
    <x v="0"/>
    <x v="9"/>
    <n v="2.2599999999999998"/>
    <n v="824.9"/>
    <n v="2969.64"/>
  </r>
  <r>
    <x v="0"/>
    <x v="0"/>
    <x v="0"/>
    <x v="0"/>
    <x v="0"/>
    <s v="DK1_Large"/>
    <x v="2"/>
    <x v="1"/>
    <s v="GNR_ENG_NGAS_BP_E-42"/>
    <x v="0"/>
    <x v="10"/>
    <n v="2.2599999999999998"/>
    <n v="824.9"/>
    <n v="2969.64"/>
  </r>
  <r>
    <x v="0"/>
    <x v="0"/>
    <x v="0"/>
    <x v="0"/>
    <x v="0"/>
    <s v="DK1_Large"/>
    <x v="2"/>
    <x v="1"/>
    <s v="GNR_ENG_NGAS_BP_E-42"/>
    <x v="0"/>
    <x v="11"/>
    <n v="2.2599999999999998"/>
    <n v="824.9"/>
    <n v="2969.64"/>
  </r>
  <r>
    <x v="0"/>
    <x v="0"/>
    <x v="0"/>
    <x v="0"/>
    <x v="0"/>
    <s v="DK1_Large"/>
    <x v="2"/>
    <x v="1"/>
    <s v="GNR_ENG_NGAS_BP_E-42"/>
    <x v="0"/>
    <x v="12"/>
    <n v="2.2599999999999998"/>
    <n v="824.9"/>
    <n v="2969.64"/>
  </r>
  <r>
    <x v="0"/>
    <x v="0"/>
    <x v="0"/>
    <x v="0"/>
    <x v="0"/>
    <s v="DK1_Large"/>
    <x v="2"/>
    <x v="1"/>
    <s v="GNR_ENG_NGAS_BP_E-42"/>
    <x v="0"/>
    <x v="13"/>
    <n v="2.2599999999999998"/>
    <n v="824.9"/>
    <n v="2969.64"/>
  </r>
  <r>
    <x v="0"/>
    <x v="0"/>
    <x v="0"/>
    <x v="0"/>
    <x v="0"/>
    <s v="DK1_Large"/>
    <x v="2"/>
    <x v="1"/>
    <s v="GNR_ENG_NGAS_BP_E-42"/>
    <x v="0"/>
    <x v="14"/>
    <n v="2.2599999999999998"/>
    <n v="824.9"/>
    <n v="2969.64"/>
  </r>
  <r>
    <x v="0"/>
    <x v="0"/>
    <x v="0"/>
    <x v="0"/>
    <x v="0"/>
    <s v="DK1_Large"/>
    <x v="2"/>
    <x v="1"/>
    <s v="GNR_ENG_NGAS_BP_E-42"/>
    <x v="0"/>
    <x v="15"/>
    <n v="2.2599999999999998"/>
    <n v="824.9"/>
    <n v="2969.64"/>
  </r>
  <r>
    <x v="0"/>
    <x v="0"/>
    <x v="0"/>
    <x v="0"/>
    <x v="0"/>
    <s v="DK1_Large"/>
    <x v="2"/>
    <x v="1"/>
    <s v="GNR_ENG_NGAS_BP_E-42"/>
    <x v="0"/>
    <x v="16"/>
    <n v="2.2599999999999998"/>
    <n v="824.9"/>
    <n v="2969.64"/>
  </r>
  <r>
    <x v="0"/>
    <x v="0"/>
    <x v="0"/>
    <x v="0"/>
    <x v="0"/>
    <s v="DK1_Large"/>
    <x v="2"/>
    <x v="1"/>
    <s v="GNR_ENG_NGAS_BP_E-42"/>
    <x v="0"/>
    <x v="17"/>
    <n v="2.2599999999999998"/>
    <n v="824.9"/>
    <n v="2969.64"/>
  </r>
  <r>
    <x v="0"/>
    <x v="0"/>
    <x v="0"/>
    <x v="0"/>
    <x v="0"/>
    <s v="DK1_Large"/>
    <x v="2"/>
    <x v="1"/>
    <s v="GNR_ENG_NGAS_BP_E-42"/>
    <x v="0"/>
    <x v="18"/>
    <n v="2.2599999999999998"/>
    <n v="824.9"/>
    <n v="2969.64"/>
  </r>
  <r>
    <x v="0"/>
    <x v="0"/>
    <x v="0"/>
    <x v="0"/>
    <x v="0"/>
    <s v="DK1_Large"/>
    <x v="2"/>
    <x v="1"/>
    <s v="GNR_ENG_NGAS_BP_E-42"/>
    <x v="0"/>
    <x v="19"/>
    <n v="2.2599999999999998"/>
    <n v="824.9"/>
    <n v="2969.64"/>
  </r>
  <r>
    <x v="0"/>
    <x v="0"/>
    <x v="0"/>
    <x v="0"/>
    <x v="0"/>
    <s v="DK1_Large"/>
    <x v="2"/>
    <x v="1"/>
    <s v="GNR_ENG_NGAS_BP_E-42"/>
    <x v="0"/>
    <x v="20"/>
    <n v="2.2599999999999998"/>
    <n v="824.9"/>
    <n v="2969.64"/>
  </r>
  <r>
    <x v="0"/>
    <x v="0"/>
    <x v="0"/>
    <x v="0"/>
    <x v="0"/>
    <s v="DK1_Large"/>
    <x v="2"/>
    <x v="1"/>
    <s v="GNR_ENG_NGAS_BP_E-42"/>
    <x v="0"/>
    <x v="21"/>
    <n v="2.2599999999999998"/>
    <n v="824.9"/>
    <n v="2969.64"/>
  </r>
  <r>
    <x v="0"/>
    <x v="0"/>
    <x v="0"/>
    <x v="0"/>
    <x v="0"/>
    <s v="DK1_Large"/>
    <x v="2"/>
    <x v="1"/>
    <s v="GNR_ENG_NGAS_BP_E-42"/>
    <x v="0"/>
    <x v="22"/>
    <n v="2.2599999999999998"/>
    <n v="824.9"/>
    <n v="2969.64"/>
  </r>
  <r>
    <x v="0"/>
    <x v="0"/>
    <x v="0"/>
    <x v="0"/>
    <x v="0"/>
    <s v="DK1_Large"/>
    <x v="2"/>
    <x v="1"/>
    <s v="GNR_ENG_NGAS_BP_E-42"/>
    <x v="0"/>
    <x v="23"/>
    <n v="2.2599999999999998"/>
    <n v="824.9"/>
    <n v="2969.64"/>
  </r>
  <r>
    <x v="0"/>
    <x v="0"/>
    <x v="0"/>
    <x v="0"/>
    <x v="0"/>
    <s v="DK1_Large"/>
    <x v="2"/>
    <x v="1"/>
    <s v="GNR_ENG_NGAS_BP_E-43"/>
    <x v="0"/>
    <x v="3"/>
    <n v="8.99"/>
    <n v="3281.35"/>
    <n v="11812.86"/>
  </r>
  <r>
    <x v="0"/>
    <x v="0"/>
    <x v="0"/>
    <x v="0"/>
    <x v="0"/>
    <s v="DK1_Large"/>
    <x v="2"/>
    <x v="1"/>
    <s v="GNR_ENG_NGAS_BP_E-43"/>
    <x v="0"/>
    <x v="4"/>
    <n v="8.99"/>
    <n v="3281.35"/>
    <n v="11812.86"/>
  </r>
  <r>
    <x v="0"/>
    <x v="0"/>
    <x v="0"/>
    <x v="0"/>
    <x v="0"/>
    <s v="DK1_Large"/>
    <x v="2"/>
    <x v="1"/>
    <s v="GNR_ENG_NGAS_BP_E-43"/>
    <x v="0"/>
    <x v="5"/>
    <n v="8.99"/>
    <n v="3281.35"/>
    <n v="11812.86"/>
  </r>
  <r>
    <x v="0"/>
    <x v="0"/>
    <x v="0"/>
    <x v="0"/>
    <x v="0"/>
    <s v="DK1_Large"/>
    <x v="2"/>
    <x v="1"/>
    <s v="GNR_ENG_NGAS_BP_E-43"/>
    <x v="0"/>
    <x v="6"/>
    <n v="8.99"/>
    <n v="3281.35"/>
    <n v="11812.86"/>
  </r>
  <r>
    <x v="0"/>
    <x v="0"/>
    <x v="0"/>
    <x v="0"/>
    <x v="0"/>
    <s v="DK1_Large"/>
    <x v="2"/>
    <x v="1"/>
    <s v="GNR_ENG_NGAS_BP_E-43"/>
    <x v="0"/>
    <x v="7"/>
    <n v="8.99"/>
    <n v="3281.35"/>
    <n v="11812.86"/>
  </r>
  <r>
    <x v="0"/>
    <x v="0"/>
    <x v="0"/>
    <x v="0"/>
    <x v="0"/>
    <s v="DK1_Large"/>
    <x v="2"/>
    <x v="1"/>
    <s v="GNR_ENG_NGAS_BP_E-43"/>
    <x v="0"/>
    <x v="8"/>
    <n v="8.99"/>
    <n v="3281.35"/>
    <n v="11812.86"/>
  </r>
  <r>
    <x v="0"/>
    <x v="0"/>
    <x v="0"/>
    <x v="0"/>
    <x v="0"/>
    <s v="DK1_Large"/>
    <x v="2"/>
    <x v="1"/>
    <s v="GNR_ENG_NGAS_BP_E-43"/>
    <x v="0"/>
    <x v="0"/>
    <n v="8.99"/>
    <n v="3281.35"/>
    <n v="11812.86"/>
  </r>
  <r>
    <x v="0"/>
    <x v="0"/>
    <x v="0"/>
    <x v="0"/>
    <x v="0"/>
    <s v="DK1_Large"/>
    <x v="2"/>
    <x v="1"/>
    <s v="GNR_ENG_NGAS_BP_E-43"/>
    <x v="0"/>
    <x v="1"/>
    <n v="8.99"/>
    <n v="3281.35"/>
    <n v="11812.86"/>
  </r>
  <r>
    <x v="0"/>
    <x v="0"/>
    <x v="0"/>
    <x v="0"/>
    <x v="0"/>
    <s v="DK1_Large"/>
    <x v="2"/>
    <x v="1"/>
    <s v="GNR_ENG_NGAS_BP_E-43"/>
    <x v="0"/>
    <x v="2"/>
    <n v="8.99"/>
    <n v="3281.35"/>
    <n v="11812.86"/>
  </r>
  <r>
    <x v="0"/>
    <x v="0"/>
    <x v="0"/>
    <x v="0"/>
    <x v="0"/>
    <s v="DK1_Large"/>
    <x v="2"/>
    <x v="1"/>
    <s v="GNR_ENG_NGAS_BP_E-43"/>
    <x v="0"/>
    <x v="9"/>
    <n v="8.99"/>
    <n v="3281.35"/>
    <n v="11812.86"/>
  </r>
  <r>
    <x v="0"/>
    <x v="0"/>
    <x v="0"/>
    <x v="0"/>
    <x v="0"/>
    <s v="DK1_Large"/>
    <x v="2"/>
    <x v="1"/>
    <s v="GNR_ENG_NGAS_BP_E-43"/>
    <x v="0"/>
    <x v="10"/>
    <n v="8.99"/>
    <n v="3281.35"/>
    <n v="11812.86"/>
  </r>
  <r>
    <x v="0"/>
    <x v="0"/>
    <x v="0"/>
    <x v="0"/>
    <x v="0"/>
    <s v="DK1_Large"/>
    <x v="2"/>
    <x v="1"/>
    <s v="GNR_ENG_NGAS_BP_E-43"/>
    <x v="0"/>
    <x v="11"/>
    <n v="8.99"/>
    <n v="3281.35"/>
    <n v="11812.86"/>
  </r>
  <r>
    <x v="0"/>
    <x v="0"/>
    <x v="0"/>
    <x v="0"/>
    <x v="0"/>
    <s v="DK1_Large"/>
    <x v="2"/>
    <x v="1"/>
    <s v="GNR_ENG_NGAS_BP_E-43"/>
    <x v="0"/>
    <x v="12"/>
    <n v="8.99"/>
    <n v="3281.35"/>
    <n v="11812.86"/>
  </r>
  <r>
    <x v="0"/>
    <x v="0"/>
    <x v="0"/>
    <x v="0"/>
    <x v="0"/>
    <s v="DK1_Large"/>
    <x v="2"/>
    <x v="1"/>
    <s v="GNR_ENG_NGAS_BP_E-43"/>
    <x v="0"/>
    <x v="13"/>
    <n v="8.99"/>
    <n v="3281.35"/>
    <n v="11812.86"/>
  </r>
  <r>
    <x v="0"/>
    <x v="0"/>
    <x v="0"/>
    <x v="0"/>
    <x v="0"/>
    <s v="DK1_Large"/>
    <x v="2"/>
    <x v="1"/>
    <s v="GNR_ENG_NGAS_BP_E-43"/>
    <x v="0"/>
    <x v="14"/>
    <n v="8.99"/>
    <n v="3281.35"/>
    <n v="11812.86"/>
  </r>
  <r>
    <x v="0"/>
    <x v="0"/>
    <x v="0"/>
    <x v="0"/>
    <x v="0"/>
    <s v="DK1_Large"/>
    <x v="2"/>
    <x v="1"/>
    <s v="GNR_ENG_NGAS_BP_E-43"/>
    <x v="0"/>
    <x v="15"/>
    <n v="8.99"/>
    <n v="3281.35"/>
    <n v="11812.86"/>
  </r>
  <r>
    <x v="0"/>
    <x v="0"/>
    <x v="0"/>
    <x v="0"/>
    <x v="0"/>
    <s v="DK1_Large"/>
    <x v="2"/>
    <x v="1"/>
    <s v="GNR_ENG_NGAS_BP_E-43"/>
    <x v="0"/>
    <x v="16"/>
    <n v="8.99"/>
    <n v="3281.35"/>
    <n v="11812.86"/>
  </r>
  <r>
    <x v="0"/>
    <x v="0"/>
    <x v="0"/>
    <x v="0"/>
    <x v="0"/>
    <s v="DK1_Large"/>
    <x v="2"/>
    <x v="1"/>
    <s v="GNR_ENG_NGAS_BP_E-43"/>
    <x v="0"/>
    <x v="17"/>
    <n v="8.99"/>
    <n v="3281.35"/>
    <n v="11812.86"/>
  </r>
  <r>
    <x v="0"/>
    <x v="0"/>
    <x v="0"/>
    <x v="0"/>
    <x v="0"/>
    <s v="DK1_Large"/>
    <x v="2"/>
    <x v="1"/>
    <s v="GNR_ENG_NGAS_BP_E-43"/>
    <x v="0"/>
    <x v="18"/>
    <n v="8.99"/>
    <n v="3281.35"/>
    <n v="11812.86"/>
  </r>
  <r>
    <x v="0"/>
    <x v="0"/>
    <x v="0"/>
    <x v="0"/>
    <x v="0"/>
    <s v="DK1_Large"/>
    <x v="2"/>
    <x v="1"/>
    <s v="GNR_ENG_NGAS_BP_E-43"/>
    <x v="0"/>
    <x v="19"/>
    <n v="8.99"/>
    <n v="3281.35"/>
    <n v="11812.86"/>
  </r>
  <r>
    <x v="0"/>
    <x v="0"/>
    <x v="0"/>
    <x v="0"/>
    <x v="0"/>
    <s v="DK1_Large"/>
    <x v="2"/>
    <x v="1"/>
    <s v="GNR_ENG_NGAS_BP_E-43"/>
    <x v="0"/>
    <x v="20"/>
    <n v="8.99"/>
    <n v="3281.35"/>
    <n v="11812.86"/>
  </r>
  <r>
    <x v="0"/>
    <x v="0"/>
    <x v="0"/>
    <x v="0"/>
    <x v="0"/>
    <s v="DK1_Large"/>
    <x v="2"/>
    <x v="1"/>
    <s v="GNR_ENG_NGAS_BP_E-43"/>
    <x v="0"/>
    <x v="21"/>
    <n v="8.99"/>
    <n v="3281.35"/>
    <n v="11812.86"/>
  </r>
  <r>
    <x v="0"/>
    <x v="0"/>
    <x v="0"/>
    <x v="0"/>
    <x v="0"/>
    <s v="DK1_Large"/>
    <x v="2"/>
    <x v="1"/>
    <s v="GNR_ENG_NGAS_BP_E-43"/>
    <x v="0"/>
    <x v="22"/>
    <n v="8.99"/>
    <n v="3281.35"/>
    <n v="11812.86"/>
  </r>
  <r>
    <x v="0"/>
    <x v="0"/>
    <x v="0"/>
    <x v="0"/>
    <x v="0"/>
    <s v="DK1_Large"/>
    <x v="2"/>
    <x v="1"/>
    <s v="GNR_ENG_NGAS_BP_E-43"/>
    <x v="0"/>
    <x v="23"/>
    <n v="8.99"/>
    <n v="3281.35"/>
    <n v="11812.86"/>
  </r>
  <r>
    <x v="0"/>
    <x v="0"/>
    <x v="0"/>
    <x v="0"/>
    <x v="0"/>
    <s v="DK1_Large"/>
    <x v="2"/>
    <x v="1"/>
    <s v="GNR_ENG_NGAS_BP_E-44"/>
    <x v="0"/>
    <x v="3"/>
    <n v="3.14"/>
    <n v="1146.0999999999999"/>
    <n v="4125.96"/>
  </r>
  <r>
    <x v="0"/>
    <x v="0"/>
    <x v="0"/>
    <x v="0"/>
    <x v="0"/>
    <s v="DK1_Large"/>
    <x v="2"/>
    <x v="1"/>
    <s v="GNR_ENG_NGAS_BP_E-44"/>
    <x v="0"/>
    <x v="4"/>
    <n v="3.14"/>
    <n v="1146.0999999999999"/>
    <n v="4125.96"/>
  </r>
  <r>
    <x v="0"/>
    <x v="0"/>
    <x v="0"/>
    <x v="0"/>
    <x v="0"/>
    <s v="DK1_Large"/>
    <x v="2"/>
    <x v="1"/>
    <s v="GNR_ENG_NGAS_BP_E-44"/>
    <x v="0"/>
    <x v="5"/>
    <n v="3.14"/>
    <n v="1146.0999999999999"/>
    <n v="4125.96"/>
  </r>
  <r>
    <x v="0"/>
    <x v="0"/>
    <x v="0"/>
    <x v="0"/>
    <x v="0"/>
    <s v="DK1_Large"/>
    <x v="2"/>
    <x v="1"/>
    <s v="GNR_ENG_NGAS_BP_E-44"/>
    <x v="0"/>
    <x v="6"/>
    <n v="3.14"/>
    <n v="1146.0999999999999"/>
    <n v="4125.96"/>
  </r>
  <r>
    <x v="0"/>
    <x v="0"/>
    <x v="0"/>
    <x v="0"/>
    <x v="0"/>
    <s v="DK1_Large"/>
    <x v="2"/>
    <x v="1"/>
    <s v="GNR_ENG_NGAS_BP_E-44"/>
    <x v="0"/>
    <x v="7"/>
    <n v="3.14"/>
    <n v="1146.0999999999999"/>
    <n v="4125.96"/>
  </r>
  <r>
    <x v="0"/>
    <x v="0"/>
    <x v="0"/>
    <x v="0"/>
    <x v="0"/>
    <s v="DK1_Large"/>
    <x v="2"/>
    <x v="1"/>
    <s v="GNR_ENG_NGAS_BP_E-44"/>
    <x v="0"/>
    <x v="8"/>
    <n v="3.14"/>
    <n v="1146.0999999999999"/>
    <n v="4125.96"/>
  </r>
  <r>
    <x v="0"/>
    <x v="0"/>
    <x v="0"/>
    <x v="0"/>
    <x v="0"/>
    <s v="DK1_Large"/>
    <x v="2"/>
    <x v="1"/>
    <s v="GNR_ENG_NGAS_BP_E-44"/>
    <x v="0"/>
    <x v="0"/>
    <n v="3.14"/>
    <n v="1146.0999999999999"/>
    <n v="4125.96"/>
  </r>
  <r>
    <x v="0"/>
    <x v="0"/>
    <x v="0"/>
    <x v="0"/>
    <x v="0"/>
    <s v="DK1_Large"/>
    <x v="2"/>
    <x v="1"/>
    <s v="GNR_ENG_NGAS_BP_E-44"/>
    <x v="0"/>
    <x v="1"/>
    <n v="3.14"/>
    <n v="1146.0999999999999"/>
    <n v="4125.96"/>
  </r>
  <r>
    <x v="0"/>
    <x v="0"/>
    <x v="0"/>
    <x v="0"/>
    <x v="0"/>
    <s v="DK1_Large"/>
    <x v="2"/>
    <x v="1"/>
    <s v="GNR_ENG_NGAS_BP_E-44"/>
    <x v="0"/>
    <x v="2"/>
    <n v="3.14"/>
    <n v="1146.0999999999999"/>
    <n v="4125.96"/>
  </r>
  <r>
    <x v="0"/>
    <x v="0"/>
    <x v="0"/>
    <x v="0"/>
    <x v="0"/>
    <s v="DK1_Large"/>
    <x v="2"/>
    <x v="1"/>
    <s v="GNR_ENG_NGAS_BP_E-44"/>
    <x v="0"/>
    <x v="9"/>
    <n v="3.14"/>
    <n v="1146.0999999999999"/>
    <n v="4125.96"/>
  </r>
  <r>
    <x v="0"/>
    <x v="0"/>
    <x v="0"/>
    <x v="0"/>
    <x v="0"/>
    <s v="DK1_Large"/>
    <x v="2"/>
    <x v="1"/>
    <s v="GNR_ENG_NGAS_BP_E-44"/>
    <x v="0"/>
    <x v="10"/>
    <n v="3.14"/>
    <n v="1146.0999999999999"/>
    <n v="4125.96"/>
  </r>
  <r>
    <x v="0"/>
    <x v="0"/>
    <x v="0"/>
    <x v="0"/>
    <x v="0"/>
    <s v="DK1_Large"/>
    <x v="2"/>
    <x v="1"/>
    <s v="GNR_ENG_NGAS_BP_E-44"/>
    <x v="0"/>
    <x v="11"/>
    <n v="3.14"/>
    <n v="1146.0999999999999"/>
    <n v="4125.96"/>
  </r>
  <r>
    <x v="0"/>
    <x v="0"/>
    <x v="0"/>
    <x v="0"/>
    <x v="0"/>
    <s v="DK1_Large"/>
    <x v="2"/>
    <x v="1"/>
    <s v="GNR_ENG_NGAS_BP_E-44"/>
    <x v="0"/>
    <x v="12"/>
    <n v="3.14"/>
    <n v="1146.0999999999999"/>
    <n v="4125.96"/>
  </r>
  <r>
    <x v="0"/>
    <x v="0"/>
    <x v="0"/>
    <x v="0"/>
    <x v="0"/>
    <s v="DK1_Large"/>
    <x v="2"/>
    <x v="1"/>
    <s v="GNR_ENG_NGAS_BP_E-44"/>
    <x v="0"/>
    <x v="13"/>
    <n v="3.14"/>
    <n v="1146.0999999999999"/>
    <n v="4125.96"/>
  </r>
  <r>
    <x v="0"/>
    <x v="0"/>
    <x v="0"/>
    <x v="0"/>
    <x v="0"/>
    <s v="DK1_Large"/>
    <x v="2"/>
    <x v="1"/>
    <s v="GNR_ENG_NGAS_BP_E-44"/>
    <x v="0"/>
    <x v="14"/>
    <n v="3.14"/>
    <n v="1146.0999999999999"/>
    <n v="4125.96"/>
  </r>
  <r>
    <x v="0"/>
    <x v="0"/>
    <x v="0"/>
    <x v="0"/>
    <x v="0"/>
    <s v="DK1_Large"/>
    <x v="2"/>
    <x v="1"/>
    <s v="GNR_ENG_NGAS_BP_E-44"/>
    <x v="0"/>
    <x v="15"/>
    <n v="3.14"/>
    <n v="1146.0999999999999"/>
    <n v="4125.96"/>
  </r>
  <r>
    <x v="0"/>
    <x v="0"/>
    <x v="0"/>
    <x v="0"/>
    <x v="0"/>
    <s v="DK1_Large"/>
    <x v="2"/>
    <x v="1"/>
    <s v="GNR_ENG_NGAS_BP_E-44"/>
    <x v="0"/>
    <x v="16"/>
    <n v="3.14"/>
    <n v="1146.0999999999999"/>
    <n v="4125.96"/>
  </r>
  <r>
    <x v="0"/>
    <x v="0"/>
    <x v="0"/>
    <x v="0"/>
    <x v="0"/>
    <s v="DK1_Large"/>
    <x v="2"/>
    <x v="1"/>
    <s v="GNR_ENG_NGAS_BP_E-44"/>
    <x v="0"/>
    <x v="17"/>
    <n v="3.14"/>
    <n v="1146.0999999999999"/>
    <n v="4125.96"/>
  </r>
  <r>
    <x v="0"/>
    <x v="0"/>
    <x v="0"/>
    <x v="0"/>
    <x v="0"/>
    <s v="DK1_Large"/>
    <x v="2"/>
    <x v="1"/>
    <s v="GNR_ENG_NGAS_BP_E-44"/>
    <x v="0"/>
    <x v="18"/>
    <n v="3.14"/>
    <n v="1146.0999999999999"/>
    <n v="4125.96"/>
  </r>
  <r>
    <x v="0"/>
    <x v="0"/>
    <x v="0"/>
    <x v="0"/>
    <x v="0"/>
    <s v="DK1_Large"/>
    <x v="2"/>
    <x v="1"/>
    <s v="GNR_ENG_NGAS_BP_E-44"/>
    <x v="0"/>
    <x v="19"/>
    <n v="3.14"/>
    <n v="1146.0999999999999"/>
    <n v="4125.96"/>
  </r>
  <r>
    <x v="0"/>
    <x v="0"/>
    <x v="0"/>
    <x v="0"/>
    <x v="0"/>
    <s v="DK1_Large"/>
    <x v="2"/>
    <x v="1"/>
    <s v="GNR_ENG_NGAS_BP_E-44"/>
    <x v="0"/>
    <x v="20"/>
    <n v="3.14"/>
    <n v="1146.0999999999999"/>
    <n v="4125.96"/>
  </r>
  <r>
    <x v="0"/>
    <x v="0"/>
    <x v="0"/>
    <x v="0"/>
    <x v="0"/>
    <s v="DK1_Large"/>
    <x v="2"/>
    <x v="1"/>
    <s v="GNR_ENG_NGAS_BP_E-44"/>
    <x v="0"/>
    <x v="21"/>
    <n v="3.14"/>
    <n v="1146.0999999999999"/>
    <n v="4125.96"/>
  </r>
  <r>
    <x v="0"/>
    <x v="0"/>
    <x v="0"/>
    <x v="0"/>
    <x v="0"/>
    <s v="DK1_Large"/>
    <x v="2"/>
    <x v="1"/>
    <s v="GNR_ENG_NGAS_BP_E-44"/>
    <x v="0"/>
    <x v="22"/>
    <n v="3.14"/>
    <n v="1146.0999999999999"/>
    <n v="4125.96"/>
  </r>
  <r>
    <x v="0"/>
    <x v="0"/>
    <x v="0"/>
    <x v="0"/>
    <x v="0"/>
    <s v="DK1_Large"/>
    <x v="2"/>
    <x v="1"/>
    <s v="GNR_ENG_NGAS_BP_E-44"/>
    <x v="0"/>
    <x v="23"/>
    <n v="3.14"/>
    <n v="1146.0999999999999"/>
    <n v="4125.96"/>
  </r>
  <r>
    <x v="0"/>
    <x v="0"/>
    <x v="0"/>
    <x v="0"/>
    <x v="0"/>
    <s v="DK1_Large"/>
    <x v="2"/>
    <x v="1"/>
    <s v="GNR_ENG_NGAS_BP_E-46"/>
    <x v="0"/>
    <x v="3"/>
    <n v="2.92"/>
    <n v="1065.8"/>
    <n v="3836.88"/>
  </r>
  <r>
    <x v="0"/>
    <x v="0"/>
    <x v="0"/>
    <x v="0"/>
    <x v="0"/>
    <s v="DK1_Large"/>
    <x v="2"/>
    <x v="1"/>
    <s v="GNR_ENG_NGAS_BP_E-46"/>
    <x v="0"/>
    <x v="4"/>
    <n v="2.92"/>
    <n v="1065.8"/>
    <n v="3836.88"/>
  </r>
  <r>
    <x v="0"/>
    <x v="0"/>
    <x v="0"/>
    <x v="0"/>
    <x v="0"/>
    <s v="DK1_Large"/>
    <x v="2"/>
    <x v="1"/>
    <s v="GNR_ENG_NGAS_BP_E-46"/>
    <x v="0"/>
    <x v="5"/>
    <n v="2.92"/>
    <n v="1065.8"/>
    <n v="3836.88"/>
  </r>
  <r>
    <x v="0"/>
    <x v="0"/>
    <x v="0"/>
    <x v="0"/>
    <x v="0"/>
    <s v="DK1_Large"/>
    <x v="2"/>
    <x v="1"/>
    <s v="GNR_ENG_NGAS_BP_E-46"/>
    <x v="0"/>
    <x v="6"/>
    <n v="2.92"/>
    <n v="1065.8"/>
    <n v="3836.88"/>
  </r>
  <r>
    <x v="0"/>
    <x v="0"/>
    <x v="0"/>
    <x v="0"/>
    <x v="0"/>
    <s v="DK1_Large"/>
    <x v="2"/>
    <x v="1"/>
    <s v="GNR_ENG_NGAS_BP_E-46"/>
    <x v="0"/>
    <x v="7"/>
    <n v="2.92"/>
    <n v="1065.8"/>
    <n v="3836.88"/>
  </r>
  <r>
    <x v="0"/>
    <x v="0"/>
    <x v="0"/>
    <x v="0"/>
    <x v="0"/>
    <s v="DK1_Large"/>
    <x v="2"/>
    <x v="1"/>
    <s v="GNR_ENG_NGAS_BP_E-46"/>
    <x v="0"/>
    <x v="8"/>
    <n v="2.92"/>
    <n v="1065.8"/>
    <n v="3836.88"/>
  </r>
  <r>
    <x v="0"/>
    <x v="0"/>
    <x v="0"/>
    <x v="0"/>
    <x v="0"/>
    <s v="DK1_Large"/>
    <x v="2"/>
    <x v="1"/>
    <s v="GNR_ENG_NGAS_BP_E-46"/>
    <x v="0"/>
    <x v="0"/>
    <n v="2.92"/>
    <n v="1065.8"/>
    <n v="3836.88"/>
  </r>
  <r>
    <x v="0"/>
    <x v="0"/>
    <x v="0"/>
    <x v="0"/>
    <x v="0"/>
    <s v="DK1_Large"/>
    <x v="2"/>
    <x v="1"/>
    <s v="GNR_ENG_NGAS_BP_E-46"/>
    <x v="0"/>
    <x v="1"/>
    <n v="2.92"/>
    <n v="1065.8"/>
    <n v="3836.88"/>
  </r>
  <r>
    <x v="0"/>
    <x v="0"/>
    <x v="0"/>
    <x v="0"/>
    <x v="0"/>
    <s v="DK1_Large"/>
    <x v="2"/>
    <x v="1"/>
    <s v="GNR_ENG_NGAS_BP_E-46"/>
    <x v="0"/>
    <x v="2"/>
    <n v="2.92"/>
    <n v="1065.8"/>
    <n v="3836.88"/>
  </r>
  <r>
    <x v="0"/>
    <x v="0"/>
    <x v="0"/>
    <x v="0"/>
    <x v="0"/>
    <s v="DK1_Large"/>
    <x v="2"/>
    <x v="1"/>
    <s v="GNR_ENG_NGAS_BP_E-46"/>
    <x v="0"/>
    <x v="9"/>
    <n v="2.92"/>
    <n v="1065.8"/>
    <n v="3836.88"/>
  </r>
  <r>
    <x v="0"/>
    <x v="0"/>
    <x v="0"/>
    <x v="0"/>
    <x v="0"/>
    <s v="DK1_Large"/>
    <x v="2"/>
    <x v="1"/>
    <s v="GNR_ENG_NGAS_BP_E-46"/>
    <x v="0"/>
    <x v="10"/>
    <n v="2.92"/>
    <n v="1065.8"/>
    <n v="3836.88"/>
  </r>
  <r>
    <x v="0"/>
    <x v="0"/>
    <x v="0"/>
    <x v="0"/>
    <x v="0"/>
    <s v="DK1_Large"/>
    <x v="2"/>
    <x v="1"/>
    <s v="GNR_ENG_NGAS_BP_E-46"/>
    <x v="0"/>
    <x v="11"/>
    <n v="2.92"/>
    <n v="1065.8"/>
    <n v="3836.88"/>
  </r>
  <r>
    <x v="0"/>
    <x v="0"/>
    <x v="0"/>
    <x v="0"/>
    <x v="0"/>
    <s v="DK1_Large"/>
    <x v="2"/>
    <x v="1"/>
    <s v="GNR_ENG_NGAS_BP_E-46"/>
    <x v="0"/>
    <x v="12"/>
    <n v="2.92"/>
    <n v="1065.8"/>
    <n v="3836.88"/>
  </r>
  <r>
    <x v="0"/>
    <x v="0"/>
    <x v="0"/>
    <x v="0"/>
    <x v="0"/>
    <s v="DK1_Large"/>
    <x v="2"/>
    <x v="1"/>
    <s v="GNR_ENG_NGAS_BP_E-46"/>
    <x v="0"/>
    <x v="13"/>
    <n v="2.92"/>
    <n v="1065.8"/>
    <n v="3836.88"/>
  </r>
  <r>
    <x v="0"/>
    <x v="0"/>
    <x v="0"/>
    <x v="0"/>
    <x v="0"/>
    <s v="DK1_Large"/>
    <x v="2"/>
    <x v="1"/>
    <s v="GNR_ENG_NGAS_BP_E-46"/>
    <x v="0"/>
    <x v="14"/>
    <n v="2.92"/>
    <n v="1065.8"/>
    <n v="3836.88"/>
  </r>
  <r>
    <x v="0"/>
    <x v="0"/>
    <x v="0"/>
    <x v="0"/>
    <x v="0"/>
    <s v="DK1_Large"/>
    <x v="2"/>
    <x v="1"/>
    <s v="GNR_ENG_NGAS_BP_E-46"/>
    <x v="0"/>
    <x v="15"/>
    <n v="2.92"/>
    <n v="1065.8"/>
    <n v="3836.88"/>
  </r>
  <r>
    <x v="0"/>
    <x v="0"/>
    <x v="0"/>
    <x v="0"/>
    <x v="0"/>
    <s v="DK1_Large"/>
    <x v="2"/>
    <x v="1"/>
    <s v="GNR_ENG_NGAS_BP_E-46"/>
    <x v="0"/>
    <x v="16"/>
    <n v="2.92"/>
    <n v="1065.8"/>
    <n v="3836.88"/>
  </r>
  <r>
    <x v="0"/>
    <x v="0"/>
    <x v="0"/>
    <x v="0"/>
    <x v="0"/>
    <s v="DK1_Large"/>
    <x v="2"/>
    <x v="1"/>
    <s v="GNR_ENG_NGAS_BP_E-46"/>
    <x v="0"/>
    <x v="17"/>
    <n v="2.92"/>
    <n v="1065.8"/>
    <n v="3836.88"/>
  </r>
  <r>
    <x v="0"/>
    <x v="0"/>
    <x v="0"/>
    <x v="0"/>
    <x v="0"/>
    <s v="DK1_Large"/>
    <x v="2"/>
    <x v="1"/>
    <s v="GNR_ENG_NGAS_BP_E-46"/>
    <x v="0"/>
    <x v="18"/>
    <n v="2.92"/>
    <n v="1065.8"/>
    <n v="3836.88"/>
  </r>
  <r>
    <x v="0"/>
    <x v="0"/>
    <x v="0"/>
    <x v="0"/>
    <x v="0"/>
    <s v="DK1_Large"/>
    <x v="2"/>
    <x v="1"/>
    <s v="GNR_ENG_NGAS_BP_E-46"/>
    <x v="0"/>
    <x v="19"/>
    <n v="2.92"/>
    <n v="1065.8"/>
    <n v="3836.88"/>
  </r>
  <r>
    <x v="0"/>
    <x v="0"/>
    <x v="0"/>
    <x v="0"/>
    <x v="0"/>
    <s v="DK1_Large"/>
    <x v="2"/>
    <x v="1"/>
    <s v="GNR_ENG_NGAS_BP_E-46"/>
    <x v="0"/>
    <x v="20"/>
    <n v="2.92"/>
    <n v="1065.8"/>
    <n v="3836.88"/>
  </r>
  <r>
    <x v="0"/>
    <x v="0"/>
    <x v="0"/>
    <x v="0"/>
    <x v="0"/>
    <s v="DK1_Large"/>
    <x v="2"/>
    <x v="1"/>
    <s v="GNR_ENG_NGAS_BP_E-46"/>
    <x v="0"/>
    <x v="21"/>
    <n v="2.92"/>
    <n v="1065.8"/>
    <n v="3836.88"/>
  </r>
  <r>
    <x v="0"/>
    <x v="0"/>
    <x v="0"/>
    <x v="0"/>
    <x v="0"/>
    <s v="DK1_Large"/>
    <x v="2"/>
    <x v="1"/>
    <s v="GNR_ENG_NGAS_BP_E-46"/>
    <x v="0"/>
    <x v="22"/>
    <n v="2.92"/>
    <n v="1065.8"/>
    <n v="3836.88"/>
  </r>
  <r>
    <x v="0"/>
    <x v="0"/>
    <x v="0"/>
    <x v="0"/>
    <x v="0"/>
    <s v="DK1_Large"/>
    <x v="2"/>
    <x v="1"/>
    <s v="GNR_ENG_NGAS_BP_E-46"/>
    <x v="0"/>
    <x v="23"/>
    <n v="2.92"/>
    <n v="1065.8"/>
    <n v="3836.88"/>
  </r>
  <r>
    <x v="0"/>
    <x v="0"/>
    <x v="0"/>
    <x v="0"/>
    <x v="0"/>
    <s v="DK1_Large"/>
    <x v="2"/>
    <x v="1"/>
    <s v="GNR_GT_NGAS_BP_E-27"/>
    <x v="0"/>
    <x v="0"/>
    <n v="26"/>
    <n v="9490"/>
    <n v="34164"/>
  </r>
  <r>
    <x v="0"/>
    <x v="0"/>
    <x v="0"/>
    <x v="0"/>
    <x v="0"/>
    <s v="DK1_Large"/>
    <x v="2"/>
    <x v="1"/>
    <s v="GNR_GT_NGAS_BP_E-27"/>
    <x v="0"/>
    <x v="1"/>
    <n v="26"/>
    <n v="9490"/>
    <n v="34164"/>
  </r>
  <r>
    <x v="0"/>
    <x v="0"/>
    <x v="0"/>
    <x v="0"/>
    <x v="0"/>
    <s v="DK1_Large"/>
    <x v="2"/>
    <x v="1"/>
    <s v="GNR_GT_NGAS_BP_E-27"/>
    <x v="0"/>
    <x v="2"/>
    <n v="26"/>
    <n v="9490"/>
    <n v="34164"/>
  </r>
  <r>
    <x v="0"/>
    <x v="0"/>
    <x v="0"/>
    <x v="0"/>
    <x v="0"/>
    <s v="DK1_Large"/>
    <x v="2"/>
    <x v="1"/>
    <s v="GNR_GT_NGAS_BP_E-27"/>
    <x v="0"/>
    <x v="9"/>
    <n v="26"/>
    <n v="9490"/>
    <n v="34164"/>
  </r>
  <r>
    <x v="0"/>
    <x v="0"/>
    <x v="0"/>
    <x v="0"/>
    <x v="0"/>
    <s v="DK1_Large"/>
    <x v="2"/>
    <x v="1"/>
    <s v="GNR_GT_NGAS_BP_E-27"/>
    <x v="0"/>
    <x v="10"/>
    <n v="26"/>
    <n v="9490"/>
    <n v="34164"/>
  </r>
  <r>
    <x v="0"/>
    <x v="0"/>
    <x v="0"/>
    <x v="0"/>
    <x v="0"/>
    <s v="DK1_Large"/>
    <x v="2"/>
    <x v="0"/>
    <s v="GNR_ST_NGAS_EXT_E-47"/>
    <x v="0"/>
    <x v="3"/>
    <n v="345.90838080783402"/>
    <n v="126256.55899486"/>
    <n v="454523.61238149402"/>
  </r>
  <r>
    <x v="0"/>
    <x v="0"/>
    <x v="0"/>
    <x v="0"/>
    <x v="0"/>
    <s v="DK1_Large"/>
    <x v="2"/>
    <x v="0"/>
    <s v="GNR_ST_NGAS_EXT_E-47"/>
    <x v="0"/>
    <x v="4"/>
    <n v="319.15229885057499"/>
    <n v="116490.58908046001"/>
    <n v="419366.12068965501"/>
  </r>
  <r>
    <x v="0"/>
    <x v="0"/>
    <x v="0"/>
    <x v="0"/>
    <x v="0"/>
    <s v="DK1_Large"/>
    <x v="2"/>
    <x v="0"/>
    <s v="GNR_ST_NGAS_EXT_E-47"/>
    <x v="0"/>
    <x v="5"/>
    <n v="317.458507320781"/>
    <n v="115872.35517208499"/>
    <n v="417140.478619506"/>
  </r>
  <r>
    <x v="0"/>
    <x v="0"/>
    <x v="0"/>
    <x v="0"/>
    <x v="0"/>
    <s v="DK1_Large"/>
    <x v="2"/>
    <x v="0"/>
    <s v="GNR_ST_NGAS_EXT_E-47"/>
    <x v="0"/>
    <x v="6"/>
    <n v="315.76471579098597"/>
    <n v="115254.12126371"/>
    <n v="414914.836549356"/>
  </r>
  <r>
    <x v="0"/>
    <x v="0"/>
    <x v="0"/>
    <x v="0"/>
    <x v="0"/>
    <s v="DK1_Large"/>
    <x v="2"/>
    <x v="0"/>
    <s v="GNR_ST_NGAS_EXT_E-47"/>
    <x v="0"/>
    <x v="7"/>
    <n v="346.90757656883102"/>
    <n v="126621.26544762299"/>
    <n v="455836.555611444"/>
  </r>
  <r>
    <x v="0"/>
    <x v="0"/>
    <x v="0"/>
    <x v="0"/>
    <x v="0"/>
    <s v="DK1_Large"/>
    <x v="2"/>
    <x v="0"/>
    <s v="GNR_ST_NGAS_EXT_E-47"/>
    <x v="0"/>
    <x v="8"/>
    <n v="336.74482739006601"/>
    <n v="122911.861997374"/>
    <n v="442482.70319054602"/>
  </r>
  <r>
    <x v="0"/>
    <x v="0"/>
    <x v="0"/>
    <x v="0"/>
    <x v="0"/>
    <s v="DK1_Large"/>
    <x v="2"/>
    <x v="0"/>
    <s v="GNR_ST_NGAS_EXT_E-47"/>
    <x v="0"/>
    <x v="0"/>
    <n v="392"/>
    <n v="143080"/>
    <n v="515088"/>
  </r>
  <r>
    <x v="0"/>
    <x v="0"/>
    <x v="0"/>
    <x v="0"/>
    <x v="0"/>
    <s v="DK1_Large"/>
    <x v="2"/>
    <x v="0"/>
    <s v="GNR_ST_NGAS_EXT_E-47"/>
    <x v="0"/>
    <x v="1"/>
    <n v="392"/>
    <n v="143080"/>
    <n v="515088"/>
  </r>
  <r>
    <x v="0"/>
    <x v="0"/>
    <x v="0"/>
    <x v="0"/>
    <x v="0"/>
    <s v="DK1_Large"/>
    <x v="2"/>
    <x v="0"/>
    <s v="GNR_ST_NGAS_EXT_E-47"/>
    <x v="0"/>
    <x v="2"/>
    <n v="392"/>
    <n v="143080"/>
    <n v="515088"/>
  </r>
  <r>
    <x v="0"/>
    <x v="0"/>
    <x v="0"/>
    <x v="0"/>
    <x v="0"/>
    <s v="DK1_Large"/>
    <x v="2"/>
    <x v="0"/>
    <s v="GNR_ST_NGAS_EXT_E-47"/>
    <x v="0"/>
    <x v="9"/>
    <n v="392"/>
    <n v="143080"/>
    <n v="515088"/>
  </r>
  <r>
    <x v="0"/>
    <x v="0"/>
    <x v="0"/>
    <x v="0"/>
    <x v="0"/>
    <s v="DK1_Large"/>
    <x v="2"/>
    <x v="0"/>
    <s v="GNR_ST_NGAS_EXT_E-47"/>
    <x v="0"/>
    <x v="10"/>
    <n v="334.50130774056498"/>
    <n v="122092.977325306"/>
    <n v="439534.71837110299"/>
  </r>
  <r>
    <x v="0"/>
    <x v="0"/>
    <x v="0"/>
    <x v="0"/>
    <x v="0"/>
    <s v="DK1_Large"/>
    <x v="2"/>
    <x v="0"/>
    <s v="GNR_ST_NGAS_EXT_E-47"/>
    <x v="0"/>
    <x v="11"/>
    <n v="333.23625922120601"/>
    <n v="121631.23461574"/>
    <n v="437872.44461666502"/>
  </r>
  <r>
    <x v="0"/>
    <x v="0"/>
    <x v="0"/>
    <x v="0"/>
    <x v="0"/>
    <s v="DK1_Large"/>
    <x v="2"/>
    <x v="0"/>
    <s v="GNR_ST_NGAS_EXT_E-47"/>
    <x v="0"/>
    <x v="12"/>
    <n v="336.74482739006601"/>
    <n v="122911.861997374"/>
    <n v="442482.70319054602"/>
  </r>
  <r>
    <x v="0"/>
    <x v="0"/>
    <x v="0"/>
    <x v="0"/>
    <x v="0"/>
    <s v="DK1_Large"/>
    <x v="2"/>
    <x v="0"/>
    <s v="GNR_ST_NGAS_EXT_E-47"/>
    <x v="0"/>
    <x v="13"/>
    <n v="315.40229885057499"/>
    <n v="115121.83908046001"/>
    <n v="414438.62068965501"/>
  </r>
  <r>
    <x v="0"/>
    <x v="0"/>
    <x v="0"/>
    <x v="0"/>
    <x v="0"/>
    <s v="DK1_Large"/>
    <x v="2"/>
    <x v="0"/>
    <s v="GNR_ST_NGAS_EXT_E-47"/>
    <x v="0"/>
    <x v="14"/>
    <n v="352.52431601367601"/>
    <n v="128671.375344992"/>
    <n v="463216.95124197"/>
  </r>
  <r>
    <x v="0"/>
    <x v="0"/>
    <x v="0"/>
    <x v="0"/>
    <x v="0"/>
    <s v="DK1_Large"/>
    <x v="2"/>
    <x v="0"/>
    <s v="GNR_ST_NGAS_EXT_E-47"/>
    <x v="0"/>
    <x v="15"/>
    <n v="315.40229885057499"/>
    <n v="115121.83908046001"/>
    <n v="414438.62068965501"/>
  </r>
  <r>
    <x v="0"/>
    <x v="0"/>
    <x v="0"/>
    <x v="0"/>
    <x v="0"/>
    <s v="DK1_Large"/>
    <x v="2"/>
    <x v="0"/>
    <s v="GNR_ST_NGAS_EXT_E-47"/>
    <x v="0"/>
    <x v="16"/>
    <n v="344.53474858061799"/>
    <n v="125755.183231926"/>
    <n v="452718.659634932"/>
  </r>
  <r>
    <x v="0"/>
    <x v="0"/>
    <x v="0"/>
    <x v="0"/>
    <x v="0"/>
    <s v="DK1_Large"/>
    <x v="2"/>
    <x v="0"/>
    <s v="GNR_ST_NGAS_EXT_E-47"/>
    <x v="0"/>
    <x v="17"/>
    <n v="326.46109310203002"/>
    <n v="119158.298982241"/>
    <n v="428969.87633606698"/>
  </r>
  <r>
    <x v="0"/>
    <x v="0"/>
    <x v="0"/>
    <x v="0"/>
    <x v="0"/>
    <s v="DK1_Large"/>
    <x v="2"/>
    <x v="0"/>
    <s v="GNR_ST_NGAS_EXT_E-47"/>
    <x v="0"/>
    <x v="18"/>
    <n v="324.76730157223602"/>
    <n v="118540.065073866"/>
    <n v="426744.23426591698"/>
  </r>
  <r>
    <x v="0"/>
    <x v="0"/>
    <x v="0"/>
    <x v="0"/>
    <x v="0"/>
    <s v="DK1_Large"/>
    <x v="2"/>
    <x v="0"/>
    <s v="GNR_ST_NGAS_EXT_E-47"/>
    <x v="0"/>
    <x v="19"/>
    <n v="315.40229885057499"/>
    <n v="115121.83908046001"/>
    <n v="414438.62068965501"/>
  </r>
  <r>
    <x v="0"/>
    <x v="0"/>
    <x v="0"/>
    <x v="0"/>
    <x v="0"/>
    <s v="DK1_Large"/>
    <x v="2"/>
    <x v="0"/>
    <s v="GNR_ST_NGAS_EXT_E-47"/>
    <x v="0"/>
    <x v="20"/>
    <n v="315.40229885057499"/>
    <n v="115121.83908046001"/>
    <n v="414438.62068965501"/>
  </r>
  <r>
    <x v="0"/>
    <x v="0"/>
    <x v="0"/>
    <x v="0"/>
    <x v="0"/>
    <s v="DK1_Large"/>
    <x v="2"/>
    <x v="0"/>
    <s v="GNR_ST_NGAS_EXT_E-47"/>
    <x v="0"/>
    <x v="21"/>
    <n v="315.40229885057499"/>
    <n v="115121.83908046001"/>
    <n v="414438.62068965501"/>
  </r>
  <r>
    <x v="0"/>
    <x v="0"/>
    <x v="0"/>
    <x v="0"/>
    <x v="0"/>
    <s v="DK1_Large"/>
    <x v="2"/>
    <x v="0"/>
    <s v="GNR_ST_NGAS_EXT_E-47"/>
    <x v="0"/>
    <x v="22"/>
    <n v="315.40229885057499"/>
    <n v="115121.83908046001"/>
    <n v="414438.62068965501"/>
  </r>
  <r>
    <x v="0"/>
    <x v="0"/>
    <x v="0"/>
    <x v="0"/>
    <x v="0"/>
    <s v="DK1_Large"/>
    <x v="2"/>
    <x v="0"/>
    <s v="GNR_ST_NGAS_EXT_E-47"/>
    <x v="0"/>
    <x v="23"/>
    <n v="315.40229885057499"/>
    <n v="115121.83908046001"/>
    <n v="414438.62068965501"/>
  </r>
  <r>
    <x v="0"/>
    <x v="0"/>
    <x v="0"/>
    <x v="0"/>
    <x v="0"/>
    <s v="DK1_Large"/>
    <x v="3"/>
    <x v="1"/>
    <s v="GNR_ST_STRW_BP_E-26"/>
    <x v="0"/>
    <x v="3"/>
    <n v="31"/>
    <n v="11315"/>
    <n v="40734"/>
  </r>
  <r>
    <x v="0"/>
    <x v="0"/>
    <x v="0"/>
    <x v="0"/>
    <x v="0"/>
    <s v="DK1_Large"/>
    <x v="3"/>
    <x v="1"/>
    <s v="GNR_ST_STRW_BP_E-26"/>
    <x v="0"/>
    <x v="4"/>
    <n v="31"/>
    <n v="11315"/>
    <n v="40734"/>
  </r>
  <r>
    <x v="0"/>
    <x v="0"/>
    <x v="0"/>
    <x v="0"/>
    <x v="0"/>
    <s v="DK1_Large"/>
    <x v="3"/>
    <x v="1"/>
    <s v="GNR_ST_STRW_BP_E-26"/>
    <x v="0"/>
    <x v="5"/>
    <n v="31"/>
    <n v="11315"/>
    <n v="40734"/>
  </r>
  <r>
    <x v="0"/>
    <x v="0"/>
    <x v="0"/>
    <x v="0"/>
    <x v="0"/>
    <s v="DK1_Large"/>
    <x v="3"/>
    <x v="1"/>
    <s v="GNR_ST_STRW_BP_E-26"/>
    <x v="0"/>
    <x v="6"/>
    <n v="31"/>
    <n v="11315"/>
    <n v="40734"/>
  </r>
  <r>
    <x v="0"/>
    <x v="0"/>
    <x v="0"/>
    <x v="0"/>
    <x v="0"/>
    <s v="DK1_Large"/>
    <x v="3"/>
    <x v="1"/>
    <s v="GNR_ST_STRW_BP_E-26"/>
    <x v="0"/>
    <x v="7"/>
    <n v="31"/>
    <n v="11315"/>
    <n v="40734"/>
  </r>
  <r>
    <x v="0"/>
    <x v="0"/>
    <x v="0"/>
    <x v="0"/>
    <x v="0"/>
    <s v="DK1_Large"/>
    <x v="3"/>
    <x v="1"/>
    <s v="GNR_ST_STRW_BP_E-26"/>
    <x v="0"/>
    <x v="8"/>
    <n v="31"/>
    <n v="11315"/>
    <n v="40734"/>
  </r>
  <r>
    <x v="0"/>
    <x v="0"/>
    <x v="0"/>
    <x v="0"/>
    <x v="0"/>
    <s v="DK1_Large"/>
    <x v="3"/>
    <x v="1"/>
    <s v="GNR_ST_STRW_BP_E-26"/>
    <x v="0"/>
    <x v="0"/>
    <n v="31"/>
    <n v="11315"/>
    <n v="40734"/>
  </r>
  <r>
    <x v="0"/>
    <x v="0"/>
    <x v="0"/>
    <x v="0"/>
    <x v="0"/>
    <s v="DK1_Large"/>
    <x v="3"/>
    <x v="1"/>
    <s v="GNR_ST_STRW_BP_E-26"/>
    <x v="0"/>
    <x v="1"/>
    <n v="31"/>
    <n v="11315"/>
    <n v="40734"/>
  </r>
  <r>
    <x v="0"/>
    <x v="0"/>
    <x v="0"/>
    <x v="0"/>
    <x v="0"/>
    <s v="DK1_Large"/>
    <x v="3"/>
    <x v="1"/>
    <s v="GNR_ST_STRW_BP_E-26"/>
    <x v="0"/>
    <x v="2"/>
    <n v="31"/>
    <n v="11315"/>
    <n v="40734"/>
  </r>
  <r>
    <x v="0"/>
    <x v="0"/>
    <x v="0"/>
    <x v="0"/>
    <x v="0"/>
    <s v="DK1_Large"/>
    <x v="3"/>
    <x v="1"/>
    <s v="GNR_ST_STRW_BP_E-26"/>
    <x v="0"/>
    <x v="9"/>
    <n v="31"/>
    <n v="11315"/>
    <n v="40734"/>
  </r>
  <r>
    <x v="0"/>
    <x v="0"/>
    <x v="0"/>
    <x v="0"/>
    <x v="0"/>
    <s v="DK1_Large"/>
    <x v="3"/>
    <x v="1"/>
    <s v="GNR_ST_STRW_BP_E-26"/>
    <x v="0"/>
    <x v="10"/>
    <n v="31"/>
    <n v="11315"/>
    <n v="40734"/>
  </r>
  <r>
    <x v="0"/>
    <x v="0"/>
    <x v="0"/>
    <x v="0"/>
    <x v="0"/>
    <s v="DK1_Large"/>
    <x v="3"/>
    <x v="1"/>
    <s v="GNR_ST_STRW_BP_E-26"/>
    <x v="0"/>
    <x v="11"/>
    <n v="31"/>
    <n v="11315"/>
    <n v="40734"/>
  </r>
  <r>
    <x v="0"/>
    <x v="0"/>
    <x v="0"/>
    <x v="0"/>
    <x v="0"/>
    <s v="DK1_Large"/>
    <x v="3"/>
    <x v="1"/>
    <s v="GNR_ST_STRW_BP_E-26"/>
    <x v="0"/>
    <x v="12"/>
    <n v="31"/>
    <n v="11315"/>
    <n v="40734"/>
  </r>
  <r>
    <x v="0"/>
    <x v="0"/>
    <x v="0"/>
    <x v="0"/>
    <x v="0"/>
    <s v="DK1_Large"/>
    <x v="3"/>
    <x v="1"/>
    <s v="GNR_ST_STRW_BP_E-26"/>
    <x v="0"/>
    <x v="13"/>
    <n v="31"/>
    <n v="11315"/>
    <n v="40734"/>
  </r>
  <r>
    <x v="0"/>
    <x v="0"/>
    <x v="0"/>
    <x v="0"/>
    <x v="0"/>
    <s v="DK1_Large"/>
    <x v="3"/>
    <x v="1"/>
    <s v="GNR_ST_STRW_BP_E-26"/>
    <x v="0"/>
    <x v="14"/>
    <n v="31"/>
    <n v="11315"/>
    <n v="40734"/>
  </r>
  <r>
    <x v="0"/>
    <x v="0"/>
    <x v="0"/>
    <x v="0"/>
    <x v="0"/>
    <s v="DK1_Large"/>
    <x v="3"/>
    <x v="1"/>
    <s v="GNR_ST_STRW_BP_E-26"/>
    <x v="0"/>
    <x v="15"/>
    <n v="31"/>
    <n v="11315"/>
    <n v="40734"/>
  </r>
  <r>
    <x v="0"/>
    <x v="0"/>
    <x v="0"/>
    <x v="0"/>
    <x v="0"/>
    <s v="DK1_Large"/>
    <x v="3"/>
    <x v="1"/>
    <s v="GNR_ST_STRW_BP_E-26"/>
    <x v="0"/>
    <x v="16"/>
    <n v="31"/>
    <n v="11315"/>
    <n v="40734"/>
  </r>
  <r>
    <x v="0"/>
    <x v="0"/>
    <x v="0"/>
    <x v="0"/>
    <x v="0"/>
    <s v="DK1_Large"/>
    <x v="3"/>
    <x v="1"/>
    <s v="GNR_ST_STRW_BP_E-26"/>
    <x v="0"/>
    <x v="17"/>
    <n v="31"/>
    <n v="11315"/>
    <n v="40734"/>
  </r>
  <r>
    <x v="0"/>
    <x v="0"/>
    <x v="0"/>
    <x v="0"/>
    <x v="0"/>
    <s v="DK1_Large"/>
    <x v="3"/>
    <x v="1"/>
    <s v="GNR_ST_STRW_BP_E-26"/>
    <x v="0"/>
    <x v="18"/>
    <n v="31"/>
    <n v="11315"/>
    <n v="40734"/>
  </r>
  <r>
    <x v="0"/>
    <x v="0"/>
    <x v="0"/>
    <x v="0"/>
    <x v="0"/>
    <s v="DK1_Large"/>
    <x v="3"/>
    <x v="1"/>
    <s v="GNR_ST_STRW_BP_E-26"/>
    <x v="0"/>
    <x v="19"/>
    <n v="31"/>
    <n v="11315"/>
    <n v="40734"/>
  </r>
  <r>
    <x v="0"/>
    <x v="0"/>
    <x v="0"/>
    <x v="0"/>
    <x v="0"/>
    <s v="DK1_Large"/>
    <x v="3"/>
    <x v="1"/>
    <s v="GNR_ST_STRW_BP_E-26"/>
    <x v="0"/>
    <x v="20"/>
    <n v="31"/>
    <n v="11315"/>
    <n v="40734"/>
  </r>
  <r>
    <x v="0"/>
    <x v="0"/>
    <x v="0"/>
    <x v="0"/>
    <x v="0"/>
    <s v="DK1_Large"/>
    <x v="3"/>
    <x v="1"/>
    <s v="GNR_ST_STRW_BP_E-26"/>
    <x v="0"/>
    <x v="21"/>
    <n v="31"/>
    <n v="11315"/>
    <n v="40734"/>
  </r>
  <r>
    <x v="0"/>
    <x v="0"/>
    <x v="0"/>
    <x v="0"/>
    <x v="0"/>
    <s v="DK1_Large"/>
    <x v="3"/>
    <x v="1"/>
    <s v="GNR_ST_STRW_BP_E-26"/>
    <x v="0"/>
    <x v="22"/>
    <n v="31"/>
    <n v="11315"/>
    <n v="40734"/>
  </r>
  <r>
    <x v="0"/>
    <x v="0"/>
    <x v="0"/>
    <x v="0"/>
    <x v="0"/>
    <s v="DK1_Large"/>
    <x v="3"/>
    <x v="1"/>
    <s v="GNR_ST_STRW_BP_E-26"/>
    <x v="0"/>
    <x v="23"/>
    <n v="31"/>
    <n v="11315"/>
    <n v="40734"/>
  </r>
  <r>
    <x v="0"/>
    <x v="0"/>
    <x v="0"/>
    <x v="0"/>
    <x v="0"/>
    <s v="DK1_Large"/>
    <x v="4"/>
    <x v="1"/>
    <s v="GNR_ST_WOODCHI_BP_E-23"/>
    <x v="0"/>
    <x v="3"/>
    <n v="7.5"/>
    <n v="2737.5"/>
    <n v="9855"/>
  </r>
  <r>
    <x v="0"/>
    <x v="0"/>
    <x v="0"/>
    <x v="0"/>
    <x v="0"/>
    <s v="DK1_Large"/>
    <x v="4"/>
    <x v="1"/>
    <s v="GNR_ST_WOODCHI_BP_E-23"/>
    <x v="0"/>
    <x v="4"/>
    <n v="7.5"/>
    <n v="2737.5"/>
    <n v="9855"/>
  </r>
  <r>
    <x v="0"/>
    <x v="0"/>
    <x v="0"/>
    <x v="0"/>
    <x v="0"/>
    <s v="DK1_Large"/>
    <x v="4"/>
    <x v="1"/>
    <s v="GNR_ST_WOODCHI_BP_E-23"/>
    <x v="0"/>
    <x v="5"/>
    <n v="7.5"/>
    <n v="2737.5"/>
    <n v="9855"/>
  </r>
  <r>
    <x v="0"/>
    <x v="0"/>
    <x v="0"/>
    <x v="0"/>
    <x v="0"/>
    <s v="DK1_Large"/>
    <x v="4"/>
    <x v="1"/>
    <s v="GNR_ST_WOODCHI_BP_E-23"/>
    <x v="0"/>
    <x v="6"/>
    <n v="7.5"/>
    <n v="2737.5"/>
    <n v="9855"/>
  </r>
  <r>
    <x v="0"/>
    <x v="0"/>
    <x v="0"/>
    <x v="0"/>
    <x v="0"/>
    <s v="DK1_Large"/>
    <x v="4"/>
    <x v="1"/>
    <s v="GNR_ST_WOODCHI_BP_E-23"/>
    <x v="0"/>
    <x v="7"/>
    <n v="7.5"/>
    <n v="2737.5"/>
    <n v="9855"/>
  </r>
  <r>
    <x v="0"/>
    <x v="0"/>
    <x v="0"/>
    <x v="0"/>
    <x v="0"/>
    <s v="DK1_Large"/>
    <x v="4"/>
    <x v="1"/>
    <s v="GNR_ST_WOODCHI_BP_E-23"/>
    <x v="0"/>
    <x v="8"/>
    <n v="7.5"/>
    <n v="2737.5"/>
    <n v="9855"/>
  </r>
  <r>
    <x v="0"/>
    <x v="0"/>
    <x v="0"/>
    <x v="0"/>
    <x v="0"/>
    <s v="DK1_Large"/>
    <x v="4"/>
    <x v="1"/>
    <s v="GNR_ST_WOODCHI_BP_E-23"/>
    <x v="0"/>
    <x v="0"/>
    <n v="7.5"/>
    <n v="2737.5"/>
    <n v="9855"/>
  </r>
  <r>
    <x v="0"/>
    <x v="0"/>
    <x v="0"/>
    <x v="0"/>
    <x v="0"/>
    <s v="DK1_Large"/>
    <x v="4"/>
    <x v="1"/>
    <s v="GNR_ST_WOODCHI_BP_E-23"/>
    <x v="0"/>
    <x v="1"/>
    <n v="7.5"/>
    <n v="2737.5"/>
    <n v="9855"/>
  </r>
  <r>
    <x v="0"/>
    <x v="0"/>
    <x v="0"/>
    <x v="0"/>
    <x v="0"/>
    <s v="DK1_Large"/>
    <x v="4"/>
    <x v="1"/>
    <s v="GNR_ST_WOODCHI_BP_E-23"/>
    <x v="0"/>
    <x v="2"/>
    <n v="7.5"/>
    <n v="2737.5"/>
    <n v="9855"/>
  </r>
  <r>
    <x v="0"/>
    <x v="0"/>
    <x v="0"/>
    <x v="0"/>
    <x v="0"/>
    <s v="DK1_Large"/>
    <x v="4"/>
    <x v="1"/>
    <s v="GNR_ST_WOODCHI_BP_E-23"/>
    <x v="0"/>
    <x v="9"/>
    <n v="7.5"/>
    <n v="2737.5"/>
    <n v="9855"/>
  </r>
  <r>
    <x v="0"/>
    <x v="0"/>
    <x v="0"/>
    <x v="0"/>
    <x v="0"/>
    <s v="DK1_Large"/>
    <x v="4"/>
    <x v="1"/>
    <s v="GNR_ST_WOODCHI_BP_E-23"/>
    <x v="0"/>
    <x v="10"/>
    <n v="7.5"/>
    <n v="2737.5"/>
    <n v="9855"/>
  </r>
  <r>
    <x v="0"/>
    <x v="0"/>
    <x v="0"/>
    <x v="0"/>
    <x v="0"/>
    <s v="DK1_Large"/>
    <x v="4"/>
    <x v="1"/>
    <s v="GNR_ST_WOODCHI_BP_E-23"/>
    <x v="0"/>
    <x v="11"/>
    <n v="7.5"/>
    <n v="2737.5"/>
    <n v="9855"/>
  </r>
  <r>
    <x v="0"/>
    <x v="0"/>
    <x v="0"/>
    <x v="0"/>
    <x v="0"/>
    <s v="DK1_Large"/>
    <x v="4"/>
    <x v="1"/>
    <s v="GNR_ST_WOODCHI_BP_E-23"/>
    <x v="0"/>
    <x v="12"/>
    <n v="7.5"/>
    <n v="2737.5"/>
    <n v="9855"/>
  </r>
  <r>
    <x v="0"/>
    <x v="0"/>
    <x v="0"/>
    <x v="0"/>
    <x v="0"/>
    <s v="DK1_Large"/>
    <x v="4"/>
    <x v="1"/>
    <s v="GNR_ST_WOODCHI_BP_E-23"/>
    <x v="0"/>
    <x v="13"/>
    <n v="7.5"/>
    <n v="2737.5"/>
    <n v="9855"/>
  </r>
  <r>
    <x v="0"/>
    <x v="0"/>
    <x v="0"/>
    <x v="0"/>
    <x v="0"/>
    <s v="DK1_Large"/>
    <x v="4"/>
    <x v="1"/>
    <s v="GNR_ST_WOODCHI_BP_E-23"/>
    <x v="0"/>
    <x v="14"/>
    <n v="7.5"/>
    <n v="2737.5"/>
    <n v="9855"/>
  </r>
  <r>
    <x v="0"/>
    <x v="0"/>
    <x v="0"/>
    <x v="0"/>
    <x v="0"/>
    <s v="DK1_Large"/>
    <x v="4"/>
    <x v="1"/>
    <s v="GNR_ST_WOODCHI_BP_E-23"/>
    <x v="0"/>
    <x v="15"/>
    <n v="7.5"/>
    <n v="2737.5"/>
    <n v="9855"/>
  </r>
  <r>
    <x v="0"/>
    <x v="0"/>
    <x v="0"/>
    <x v="0"/>
    <x v="0"/>
    <s v="DK1_Large"/>
    <x v="4"/>
    <x v="1"/>
    <s v="GNR_ST_WOODCHI_BP_E-23"/>
    <x v="0"/>
    <x v="16"/>
    <n v="7.5"/>
    <n v="2737.5"/>
    <n v="9855"/>
  </r>
  <r>
    <x v="0"/>
    <x v="0"/>
    <x v="0"/>
    <x v="0"/>
    <x v="0"/>
    <s v="DK1_Large"/>
    <x v="4"/>
    <x v="1"/>
    <s v="GNR_ST_WOODCHI_BP_E-23"/>
    <x v="0"/>
    <x v="17"/>
    <n v="7.5"/>
    <n v="2737.5"/>
    <n v="9855"/>
  </r>
  <r>
    <x v="0"/>
    <x v="0"/>
    <x v="0"/>
    <x v="0"/>
    <x v="0"/>
    <s v="DK1_Large"/>
    <x v="4"/>
    <x v="1"/>
    <s v="GNR_ST_WOODCHI_BP_E-23"/>
    <x v="0"/>
    <x v="18"/>
    <n v="7.5"/>
    <n v="2737.5"/>
    <n v="9855"/>
  </r>
  <r>
    <x v="0"/>
    <x v="0"/>
    <x v="0"/>
    <x v="0"/>
    <x v="0"/>
    <s v="DK1_Large"/>
    <x v="4"/>
    <x v="1"/>
    <s v="GNR_ST_WOODCHI_BP_E-23"/>
    <x v="0"/>
    <x v="19"/>
    <n v="7.5"/>
    <n v="2737.5"/>
    <n v="9855"/>
  </r>
  <r>
    <x v="0"/>
    <x v="0"/>
    <x v="0"/>
    <x v="0"/>
    <x v="0"/>
    <s v="DK1_Large"/>
    <x v="4"/>
    <x v="1"/>
    <s v="GNR_ST_WOODCHI_BP_E-23"/>
    <x v="0"/>
    <x v="20"/>
    <n v="7.5"/>
    <n v="2737.5"/>
    <n v="9855"/>
  </r>
  <r>
    <x v="0"/>
    <x v="0"/>
    <x v="0"/>
    <x v="0"/>
    <x v="0"/>
    <s v="DK1_Large"/>
    <x v="4"/>
    <x v="1"/>
    <s v="GNR_ST_WOODCHI_BP_E-23"/>
    <x v="0"/>
    <x v="21"/>
    <n v="7.5"/>
    <n v="2737.5"/>
    <n v="9855"/>
  </r>
  <r>
    <x v="0"/>
    <x v="0"/>
    <x v="0"/>
    <x v="0"/>
    <x v="0"/>
    <s v="DK1_Large"/>
    <x v="4"/>
    <x v="1"/>
    <s v="GNR_ST_WOODCHI_BP_E-23"/>
    <x v="0"/>
    <x v="22"/>
    <n v="7.5"/>
    <n v="2737.5"/>
    <n v="9855"/>
  </r>
  <r>
    <x v="0"/>
    <x v="0"/>
    <x v="0"/>
    <x v="0"/>
    <x v="0"/>
    <s v="DK1_MedSmall"/>
    <x v="1"/>
    <x v="1"/>
    <s v="GNR_ST_MSW_BP_E-17"/>
    <x v="0"/>
    <x v="3"/>
    <n v="2.4"/>
    <n v="876"/>
    <n v="3153.6"/>
  </r>
  <r>
    <x v="0"/>
    <x v="0"/>
    <x v="0"/>
    <x v="0"/>
    <x v="0"/>
    <s v="DK1_MedSmall"/>
    <x v="1"/>
    <x v="1"/>
    <s v="GNR_ST_MSW_BP_E-17"/>
    <x v="0"/>
    <x v="4"/>
    <n v="2.4"/>
    <n v="876"/>
    <n v="3153.6"/>
  </r>
  <r>
    <x v="0"/>
    <x v="0"/>
    <x v="0"/>
    <x v="0"/>
    <x v="0"/>
    <s v="DK1_MedSmall"/>
    <x v="1"/>
    <x v="1"/>
    <s v="GNR_ST_MSW_BP_E-17"/>
    <x v="0"/>
    <x v="5"/>
    <n v="2.4"/>
    <n v="876"/>
    <n v="3153.6"/>
  </r>
  <r>
    <x v="0"/>
    <x v="0"/>
    <x v="0"/>
    <x v="0"/>
    <x v="0"/>
    <s v="DK1_MedSmall"/>
    <x v="1"/>
    <x v="1"/>
    <s v="GNR_ST_MSW_BP_E-17"/>
    <x v="0"/>
    <x v="6"/>
    <n v="2.4"/>
    <n v="876"/>
    <n v="3153.6"/>
  </r>
  <r>
    <x v="0"/>
    <x v="0"/>
    <x v="0"/>
    <x v="0"/>
    <x v="0"/>
    <s v="DK1_MedSmall"/>
    <x v="1"/>
    <x v="1"/>
    <s v="GNR_ST_MSW_BP_E-17"/>
    <x v="0"/>
    <x v="7"/>
    <n v="2.4"/>
    <n v="876"/>
    <n v="3153.6"/>
  </r>
  <r>
    <x v="0"/>
    <x v="0"/>
    <x v="0"/>
    <x v="0"/>
    <x v="0"/>
    <s v="DK1_MedSmall"/>
    <x v="1"/>
    <x v="1"/>
    <s v="GNR_ST_MSW_BP_E-17"/>
    <x v="0"/>
    <x v="8"/>
    <n v="2.4"/>
    <n v="876"/>
    <n v="3153.6"/>
  </r>
  <r>
    <x v="0"/>
    <x v="0"/>
    <x v="0"/>
    <x v="0"/>
    <x v="0"/>
    <s v="DK1_MedSmall"/>
    <x v="1"/>
    <x v="1"/>
    <s v="GNR_ST_MSW_BP_E-17"/>
    <x v="0"/>
    <x v="0"/>
    <n v="2.4"/>
    <n v="876"/>
    <n v="3153.6"/>
  </r>
  <r>
    <x v="0"/>
    <x v="0"/>
    <x v="0"/>
    <x v="0"/>
    <x v="0"/>
    <s v="DK1_MedSmall"/>
    <x v="1"/>
    <x v="1"/>
    <s v="GNR_ST_MSW_BP_E-17"/>
    <x v="0"/>
    <x v="1"/>
    <n v="2.4"/>
    <n v="876"/>
    <n v="3153.6"/>
  </r>
  <r>
    <x v="0"/>
    <x v="0"/>
    <x v="0"/>
    <x v="0"/>
    <x v="0"/>
    <s v="DK1_MedSmall"/>
    <x v="1"/>
    <x v="1"/>
    <s v="GNR_ST_MSW_BP_E-17"/>
    <x v="0"/>
    <x v="2"/>
    <n v="2.4"/>
    <n v="876"/>
    <n v="3153.6"/>
  </r>
  <r>
    <x v="0"/>
    <x v="0"/>
    <x v="0"/>
    <x v="0"/>
    <x v="0"/>
    <s v="DK1_MedSmall"/>
    <x v="1"/>
    <x v="1"/>
    <s v="GNR_ST_MSW_BP_E-17"/>
    <x v="0"/>
    <x v="9"/>
    <n v="2.4"/>
    <n v="876"/>
    <n v="3153.6"/>
  </r>
  <r>
    <x v="0"/>
    <x v="0"/>
    <x v="0"/>
    <x v="0"/>
    <x v="0"/>
    <s v="DK1_MedSmall"/>
    <x v="1"/>
    <x v="1"/>
    <s v="GNR_ST_MSW_BP_E-17"/>
    <x v="0"/>
    <x v="10"/>
    <n v="2.4"/>
    <n v="876"/>
    <n v="3153.6"/>
  </r>
  <r>
    <x v="0"/>
    <x v="0"/>
    <x v="0"/>
    <x v="0"/>
    <x v="0"/>
    <s v="DK1_MedSmall"/>
    <x v="1"/>
    <x v="1"/>
    <s v="GNR_ST_MSW_BP_E-17"/>
    <x v="0"/>
    <x v="11"/>
    <n v="2.4"/>
    <n v="876"/>
    <n v="3153.6"/>
  </r>
  <r>
    <x v="0"/>
    <x v="0"/>
    <x v="0"/>
    <x v="0"/>
    <x v="0"/>
    <s v="DK1_MedSmall"/>
    <x v="1"/>
    <x v="1"/>
    <s v="GNR_ST_MSW_BP_E-17"/>
    <x v="0"/>
    <x v="12"/>
    <n v="2.4"/>
    <n v="876"/>
    <n v="3153.6"/>
  </r>
  <r>
    <x v="0"/>
    <x v="0"/>
    <x v="0"/>
    <x v="0"/>
    <x v="0"/>
    <s v="DK1_MedSmall"/>
    <x v="1"/>
    <x v="1"/>
    <s v="GNR_ST_MSW_BP_E-17"/>
    <x v="0"/>
    <x v="13"/>
    <n v="2.4"/>
    <n v="876"/>
    <n v="3153.6"/>
  </r>
  <r>
    <x v="0"/>
    <x v="0"/>
    <x v="0"/>
    <x v="0"/>
    <x v="0"/>
    <s v="DK1_MedSmall"/>
    <x v="1"/>
    <x v="1"/>
    <s v="GNR_ST_MSW_BP_E-17"/>
    <x v="0"/>
    <x v="14"/>
    <n v="2.4"/>
    <n v="876"/>
    <n v="3153.6"/>
  </r>
  <r>
    <x v="0"/>
    <x v="0"/>
    <x v="0"/>
    <x v="0"/>
    <x v="0"/>
    <s v="DK1_MedSmall"/>
    <x v="1"/>
    <x v="1"/>
    <s v="GNR_ST_MSW_BP_E-17"/>
    <x v="0"/>
    <x v="15"/>
    <n v="2.4"/>
    <n v="876"/>
    <n v="3153.6"/>
  </r>
  <r>
    <x v="0"/>
    <x v="0"/>
    <x v="0"/>
    <x v="0"/>
    <x v="0"/>
    <s v="DK1_MedSmall"/>
    <x v="1"/>
    <x v="1"/>
    <s v="GNR_ST_MSW_BP_E-17"/>
    <x v="0"/>
    <x v="16"/>
    <n v="2.4"/>
    <n v="876"/>
    <n v="3153.6"/>
  </r>
  <r>
    <x v="0"/>
    <x v="0"/>
    <x v="0"/>
    <x v="0"/>
    <x v="0"/>
    <s v="DK1_MedSmall"/>
    <x v="1"/>
    <x v="1"/>
    <s v="GNR_ST_MSW_BP_E-17"/>
    <x v="0"/>
    <x v="17"/>
    <n v="2.4"/>
    <n v="876"/>
    <n v="3153.6"/>
  </r>
  <r>
    <x v="0"/>
    <x v="0"/>
    <x v="0"/>
    <x v="0"/>
    <x v="0"/>
    <s v="DK1_MedSmall"/>
    <x v="1"/>
    <x v="1"/>
    <s v="GNR_ST_MSW_BP_E-17"/>
    <x v="0"/>
    <x v="18"/>
    <n v="2.4"/>
    <n v="876"/>
    <n v="3153.6"/>
  </r>
  <r>
    <x v="0"/>
    <x v="0"/>
    <x v="0"/>
    <x v="0"/>
    <x v="0"/>
    <s v="DK1_MedSmall"/>
    <x v="1"/>
    <x v="1"/>
    <s v="GNR_ST_MSW_BP_E-17"/>
    <x v="0"/>
    <x v="19"/>
    <n v="2.4"/>
    <n v="876"/>
    <n v="3153.6"/>
  </r>
  <r>
    <x v="0"/>
    <x v="0"/>
    <x v="0"/>
    <x v="0"/>
    <x v="0"/>
    <s v="DK1_MedSmall"/>
    <x v="1"/>
    <x v="1"/>
    <s v="GNR_ST_MSW_BP_E-17"/>
    <x v="0"/>
    <x v="20"/>
    <n v="2.4"/>
    <n v="876"/>
    <n v="3153.6"/>
  </r>
  <r>
    <x v="0"/>
    <x v="0"/>
    <x v="0"/>
    <x v="0"/>
    <x v="0"/>
    <s v="DK1_MedSmall"/>
    <x v="1"/>
    <x v="1"/>
    <s v="GNR_ST_MSW_BP_E-17"/>
    <x v="0"/>
    <x v="21"/>
    <n v="2.4"/>
    <n v="876"/>
    <n v="3153.6"/>
  </r>
  <r>
    <x v="0"/>
    <x v="0"/>
    <x v="0"/>
    <x v="0"/>
    <x v="0"/>
    <s v="DK1_MedSmall"/>
    <x v="1"/>
    <x v="1"/>
    <s v="GNR_ST_MSW_BP_E-17"/>
    <x v="0"/>
    <x v="22"/>
    <n v="2.4"/>
    <n v="876"/>
    <n v="3153.6"/>
  </r>
  <r>
    <x v="0"/>
    <x v="0"/>
    <x v="0"/>
    <x v="0"/>
    <x v="0"/>
    <s v="DK1_MedSmall"/>
    <x v="1"/>
    <x v="1"/>
    <s v="GNR_ST_MSW_BP_E-17"/>
    <x v="0"/>
    <x v="23"/>
    <n v="2.4"/>
    <n v="876"/>
    <n v="3153.6"/>
  </r>
  <r>
    <x v="0"/>
    <x v="0"/>
    <x v="0"/>
    <x v="0"/>
    <x v="0"/>
    <s v="DK1_MedSmall"/>
    <x v="1"/>
    <x v="1"/>
    <s v="GNR_ST_MSW_BP_E-20"/>
    <x v="0"/>
    <x v="3"/>
    <n v="3.3"/>
    <n v="1204.5"/>
    <n v="4336.2"/>
  </r>
  <r>
    <x v="0"/>
    <x v="0"/>
    <x v="0"/>
    <x v="0"/>
    <x v="0"/>
    <s v="DK1_MedSmall"/>
    <x v="1"/>
    <x v="1"/>
    <s v="GNR_ST_MSW_BP_E-20"/>
    <x v="0"/>
    <x v="4"/>
    <n v="3.3"/>
    <n v="1204.5"/>
    <n v="4336.2"/>
  </r>
  <r>
    <x v="0"/>
    <x v="0"/>
    <x v="0"/>
    <x v="0"/>
    <x v="0"/>
    <s v="DK1_MedSmall"/>
    <x v="1"/>
    <x v="1"/>
    <s v="GNR_ST_MSW_BP_E-20"/>
    <x v="0"/>
    <x v="5"/>
    <n v="3.3"/>
    <n v="1204.5"/>
    <n v="4336.2"/>
  </r>
  <r>
    <x v="0"/>
    <x v="0"/>
    <x v="0"/>
    <x v="0"/>
    <x v="0"/>
    <s v="DK1_MedSmall"/>
    <x v="1"/>
    <x v="1"/>
    <s v="GNR_ST_MSW_BP_E-20"/>
    <x v="0"/>
    <x v="6"/>
    <n v="3.3"/>
    <n v="1204.5"/>
    <n v="4336.2"/>
  </r>
  <r>
    <x v="0"/>
    <x v="0"/>
    <x v="0"/>
    <x v="0"/>
    <x v="0"/>
    <s v="DK1_MedSmall"/>
    <x v="1"/>
    <x v="1"/>
    <s v="GNR_ST_MSW_BP_E-20"/>
    <x v="0"/>
    <x v="7"/>
    <n v="3.3"/>
    <n v="1204.5"/>
    <n v="4336.2"/>
  </r>
  <r>
    <x v="0"/>
    <x v="0"/>
    <x v="0"/>
    <x v="0"/>
    <x v="0"/>
    <s v="DK1_MedSmall"/>
    <x v="1"/>
    <x v="1"/>
    <s v="GNR_ST_MSW_BP_E-20"/>
    <x v="0"/>
    <x v="8"/>
    <n v="3.3"/>
    <n v="1204.5"/>
    <n v="4336.2"/>
  </r>
  <r>
    <x v="0"/>
    <x v="0"/>
    <x v="0"/>
    <x v="0"/>
    <x v="0"/>
    <s v="DK1_MedSmall"/>
    <x v="1"/>
    <x v="1"/>
    <s v="GNR_ST_MSW_BP_E-20"/>
    <x v="0"/>
    <x v="0"/>
    <n v="3.3"/>
    <n v="1204.5"/>
    <n v="4336.2"/>
  </r>
  <r>
    <x v="0"/>
    <x v="0"/>
    <x v="0"/>
    <x v="0"/>
    <x v="0"/>
    <s v="DK1_MedSmall"/>
    <x v="1"/>
    <x v="1"/>
    <s v="GNR_ST_MSW_BP_E-20"/>
    <x v="0"/>
    <x v="1"/>
    <n v="3.3"/>
    <n v="1204.5"/>
    <n v="4336.2"/>
  </r>
  <r>
    <x v="0"/>
    <x v="0"/>
    <x v="0"/>
    <x v="0"/>
    <x v="0"/>
    <s v="DK1_MedSmall"/>
    <x v="1"/>
    <x v="1"/>
    <s v="GNR_ST_MSW_BP_E-20"/>
    <x v="0"/>
    <x v="2"/>
    <n v="3.3"/>
    <n v="1204.5"/>
    <n v="4336.2"/>
  </r>
  <r>
    <x v="0"/>
    <x v="0"/>
    <x v="0"/>
    <x v="0"/>
    <x v="0"/>
    <s v="DK1_MedSmall"/>
    <x v="1"/>
    <x v="1"/>
    <s v="GNR_ST_MSW_BP_E-20"/>
    <x v="0"/>
    <x v="9"/>
    <n v="3.3"/>
    <n v="1204.5"/>
    <n v="4336.2"/>
  </r>
  <r>
    <x v="0"/>
    <x v="0"/>
    <x v="0"/>
    <x v="0"/>
    <x v="0"/>
    <s v="DK1_MedSmall"/>
    <x v="1"/>
    <x v="1"/>
    <s v="GNR_ST_MSW_BP_E-20"/>
    <x v="0"/>
    <x v="10"/>
    <n v="3.3"/>
    <n v="1204.5"/>
    <n v="4336.2"/>
  </r>
  <r>
    <x v="0"/>
    <x v="0"/>
    <x v="0"/>
    <x v="0"/>
    <x v="0"/>
    <s v="DK1_MedSmall"/>
    <x v="1"/>
    <x v="1"/>
    <s v="GNR_ST_MSW_BP_E-20"/>
    <x v="0"/>
    <x v="11"/>
    <n v="3.3"/>
    <n v="1204.5"/>
    <n v="4336.2"/>
  </r>
  <r>
    <x v="0"/>
    <x v="0"/>
    <x v="0"/>
    <x v="0"/>
    <x v="0"/>
    <s v="DK1_MedSmall"/>
    <x v="1"/>
    <x v="1"/>
    <s v="GNR_ST_MSW_BP_E-20"/>
    <x v="0"/>
    <x v="12"/>
    <n v="3.3"/>
    <n v="1204.5"/>
    <n v="4336.2"/>
  </r>
  <r>
    <x v="0"/>
    <x v="0"/>
    <x v="0"/>
    <x v="0"/>
    <x v="0"/>
    <s v="DK1_MedSmall"/>
    <x v="1"/>
    <x v="1"/>
    <s v="GNR_ST_MSW_BP_E-20"/>
    <x v="0"/>
    <x v="13"/>
    <n v="3.3"/>
    <n v="1204.5"/>
    <n v="4336.2"/>
  </r>
  <r>
    <x v="0"/>
    <x v="0"/>
    <x v="0"/>
    <x v="0"/>
    <x v="0"/>
    <s v="DK1_MedSmall"/>
    <x v="1"/>
    <x v="1"/>
    <s v="GNR_ST_MSW_BP_E-20"/>
    <x v="0"/>
    <x v="14"/>
    <n v="3.3"/>
    <n v="1204.5"/>
    <n v="4336.2"/>
  </r>
  <r>
    <x v="0"/>
    <x v="0"/>
    <x v="0"/>
    <x v="0"/>
    <x v="0"/>
    <s v="DK1_MedSmall"/>
    <x v="1"/>
    <x v="1"/>
    <s v="GNR_ST_MSW_BP_E-20"/>
    <x v="0"/>
    <x v="15"/>
    <n v="3.3"/>
    <n v="1204.5"/>
    <n v="4336.2"/>
  </r>
  <r>
    <x v="0"/>
    <x v="0"/>
    <x v="0"/>
    <x v="0"/>
    <x v="0"/>
    <s v="DK1_MedSmall"/>
    <x v="1"/>
    <x v="1"/>
    <s v="GNR_ST_MSW_BP_E-20"/>
    <x v="0"/>
    <x v="16"/>
    <n v="3.3"/>
    <n v="1204.5"/>
    <n v="4336.2"/>
  </r>
  <r>
    <x v="0"/>
    <x v="0"/>
    <x v="0"/>
    <x v="0"/>
    <x v="0"/>
    <s v="DK1_MedSmall"/>
    <x v="1"/>
    <x v="1"/>
    <s v="GNR_ST_MSW_BP_E-20"/>
    <x v="0"/>
    <x v="17"/>
    <n v="3.3"/>
    <n v="1204.5"/>
    <n v="4336.2"/>
  </r>
  <r>
    <x v="0"/>
    <x v="0"/>
    <x v="0"/>
    <x v="0"/>
    <x v="0"/>
    <s v="DK1_MedSmall"/>
    <x v="1"/>
    <x v="1"/>
    <s v="GNR_ST_MSW_BP_E-20"/>
    <x v="0"/>
    <x v="18"/>
    <n v="3.3"/>
    <n v="1204.5"/>
    <n v="4336.2"/>
  </r>
  <r>
    <x v="0"/>
    <x v="0"/>
    <x v="0"/>
    <x v="0"/>
    <x v="0"/>
    <s v="DK1_MedSmall"/>
    <x v="1"/>
    <x v="1"/>
    <s v="GNR_ST_MSW_BP_E-20"/>
    <x v="0"/>
    <x v="19"/>
    <n v="3.3"/>
    <n v="1204.5"/>
    <n v="4336.2"/>
  </r>
  <r>
    <x v="0"/>
    <x v="0"/>
    <x v="0"/>
    <x v="0"/>
    <x v="0"/>
    <s v="DK1_MedSmall"/>
    <x v="1"/>
    <x v="1"/>
    <s v="GNR_ST_MSW_BP_E-20"/>
    <x v="0"/>
    <x v="20"/>
    <n v="3.3"/>
    <n v="1204.5"/>
    <n v="4336.2"/>
  </r>
  <r>
    <x v="0"/>
    <x v="0"/>
    <x v="0"/>
    <x v="0"/>
    <x v="0"/>
    <s v="DK1_MedSmall"/>
    <x v="1"/>
    <x v="1"/>
    <s v="GNR_ST_MSW_BP_E-20"/>
    <x v="0"/>
    <x v="21"/>
    <n v="3.3"/>
    <n v="1204.5"/>
    <n v="4336.2"/>
  </r>
  <r>
    <x v="0"/>
    <x v="0"/>
    <x v="0"/>
    <x v="0"/>
    <x v="0"/>
    <s v="DK1_MedSmall"/>
    <x v="1"/>
    <x v="1"/>
    <s v="GNR_ST_MSW_BP_E-20"/>
    <x v="0"/>
    <x v="22"/>
    <n v="3.3"/>
    <n v="1204.5"/>
    <n v="4336.2"/>
  </r>
  <r>
    <x v="0"/>
    <x v="0"/>
    <x v="0"/>
    <x v="0"/>
    <x v="0"/>
    <s v="DK1_MedSmall"/>
    <x v="1"/>
    <x v="1"/>
    <s v="GNR_ST_MSW_BP_E-20"/>
    <x v="0"/>
    <x v="23"/>
    <n v="3.3"/>
    <n v="1204.5"/>
    <n v="4336.2"/>
  </r>
  <r>
    <x v="0"/>
    <x v="0"/>
    <x v="0"/>
    <x v="0"/>
    <x v="0"/>
    <s v="DK1_MedSmall"/>
    <x v="1"/>
    <x v="1"/>
    <s v="GNR_ST_MSW_BP_E-21"/>
    <x v="0"/>
    <x v="3"/>
    <n v="10"/>
    <n v="3650"/>
    <n v="13140"/>
  </r>
  <r>
    <x v="0"/>
    <x v="0"/>
    <x v="0"/>
    <x v="0"/>
    <x v="0"/>
    <s v="DK1_MedSmall"/>
    <x v="1"/>
    <x v="1"/>
    <s v="GNR_ST_MSW_BP_E-21"/>
    <x v="0"/>
    <x v="4"/>
    <n v="10"/>
    <n v="3650"/>
    <n v="13140"/>
  </r>
  <r>
    <x v="0"/>
    <x v="0"/>
    <x v="0"/>
    <x v="0"/>
    <x v="0"/>
    <s v="DK1_MedSmall"/>
    <x v="1"/>
    <x v="1"/>
    <s v="GNR_ST_MSW_BP_E-21"/>
    <x v="0"/>
    <x v="5"/>
    <n v="10"/>
    <n v="3650"/>
    <n v="13140"/>
  </r>
  <r>
    <x v="0"/>
    <x v="0"/>
    <x v="0"/>
    <x v="0"/>
    <x v="0"/>
    <s v="DK1_MedSmall"/>
    <x v="1"/>
    <x v="1"/>
    <s v="GNR_ST_MSW_BP_E-21"/>
    <x v="0"/>
    <x v="6"/>
    <n v="10"/>
    <n v="3650"/>
    <n v="13140"/>
  </r>
  <r>
    <x v="0"/>
    <x v="0"/>
    <x v="0"/>
    <x v="0"/>
    <x v="0"/>
    <s v="DK1_MedSmall"/>
    <x v="1"/>
    <x v="1"/>
    <s v="GNR_ST_MSW_BP_E-21"/>
    <x v="0"/>
    <x v="7"/>
    <n v="10"/>
    <n v="3650"/>
    <n v="13140"/>
  </r>
  <r>
    <x v="0"/>
    <x v="0"/>
    <x v="0"/>
    <x v="0"/>
    <x v="0"/>
    <s v="DK1_MedSmall"/>
    <x v="1"/>
    <x v="1"/>
    <s v="GNR_ST_MSW_BP_E-21"/>
    <x v="0"/>
    <x v="8"/>
    <n v="10"/>
    <n v="3650"/>
    <n v="13140"/>
  </r>
  <r>
    <x v="0"/>
    <x v="0"/>
    <x v="0"/>
    <x v="0"/>
    <x v="0"/>
    <s v="DK1_MedSmall"/>
    <x v="1"/>
    <x v="1"/>
    <s v="GNR_ST_MSW_BP_E-21"/>
    <x v="0"/>
    <x v="0"/>
    <n v="10"/>
    <n v="3650"/>
    <n v="13140"/>
  </r>
  <r>
    <x v="0"/>
    <x v="0"/>
    <x v="0"/>
    <x v="0"/>
    <x v="0"/>
    <s v="DK1_MedSmall"/>
    <x v="1"/>
    <x v="1"/>
    <s v="GNR_ST_MSW_BP_E-21"/>
    <x v="0"/>
    <x v="1"/>
    <n v="10"/>
    <n v="3650"/>
    <n v="13140"/>
  </r>
  <r>
    <x v="0"/>
    <x v="0"/>
    <x v="0"/>
    <x v="0"/>
    <x v="0"/>
    <s v="DK1_MedSmall"/>
    <x v="1"/>
    <x v="1"/>
    <s v="GNR_ST_MSW_BP_E-21"/>
    <x v="0"/>
    <x v="2"/>
    <n v="10"/>
    <n v="3650"/>
    <n v="13140"/>
  </r>
  <r>
    <x v="0"/>
    <x v="0"/>
    <x v="0"/>
    <x v="0"/>
    <x v="0"/>
    <s v="DK1_MedSmall"/>
    <x v="1"/>
    <x v="1"/>
    <s v="GNR_ST_MSW_BP_E-21"/>
    <x v="0"/>
    <x v="9"/>
    <n v="10"/>
    <n v="3650"/>
    <n v="13140"/>
  </r>
  <r>
    <x v="0"/>
    <x v="0"/>
    <x v="0"/>
    <x v="0"/>
    <x v="0"/>
    <s v="DK1_MedSmall"/>
    <x v="1"/>
    <x v="1"/>
    <s v="GNR_ST_MSW_BP_E-21"/>
    <x v="0"/>
    <x v="10"/>
    <n v="10"/>
    <n v="3650"/>
    <n v="13140"/>
  </r>
  <r>
    <x v="0"/>
    <x v="0"/>
    <x v="0"/>
    <x v="0"/>
    <x v="0"/>
    <s v="DK1_MedSmall"/>
    <x v="1"/>
    <x v="1"/>
    <s v="GNR_ST_MSW_BP_E-21"/>
    <x v="0"/>
    <x v="11"/>
    <n v="10"/>
    <n v="3650"/>
    <n v="13140"/>
  </r>
  <r>
    <x v="0"/>
    <x v="0"/>
    <x v="0"/>
    <x v="0"/>
    <x v="0"/>
    <s v="DK1_MedSmall"/>
    <x v="1"/>
    <x v="1"/>
    <s v="GNR_ST_MSW_BP_E-21"/>
    <x v="0"/>
    <x v="12"/>
    <n v="10"/>
    <n v="3650"/>
    <n v="13140"/>
  </r>
  <r>
    <x v="0"/>
    <x v="0"/>
    <x v="0"/>
    <x v="0"/>
    <x v="0"/>
    <s v="DK1_MedSmall"/>
    <x v="1"/>
    <x v="1"/>
    <s v="GNR_ST_MSW_BP_E-21"/>
    <x v="0"/>
    <x v="13"/>
    <n v="10"/>
    <n v="3650"/>
    <n v="13140"/>
  </r>
  <r>
    <x v="0"/>
    <x v="0"/>
    <x v="0"/>
    <x v="0"/>
    <x v="0"/>
    <s v="DK1_MedSmall"/>
    <x v="1"/>
    <x v="1"/>
    <s v="GNR_ST_MSW_BP_E-21"/>
    <x v="0"/>
    <x v="14"/>
    <n v="10"/>
    <n v="3650"/>
    <n v="13140"/>
  </r>
  <r>
    <x v="0"/>
    <x v="0"/>
    <x v="0"/>
    <x v="0"/>
    <x v="0"/>
    <s v="DK1_MedSmall"/>
    <x v="1"/>
    <x v="1"/>
    <s v="GNR_ST_MSW_BP_E-21"/>
    <x v="0"/>
    <x v="15"/>
    <n v="10"/>
    <n v="3650"/>
    <n v="13140"/>
  </r>
  <r>
    <x v="0"/>
    <x v="0"/>
    <x v="0"/>
    <x v="0"/>
    <x v="0"/>
    <s v="DK1_MedSmall"/>
    <x v="1"/>
    <x v="1"/>
    <s v="GNR_ST_MSW_BP_E-21"/>
    <x v="0"/>
    <x v="16"/>
    <n v="10"/>
    <n v="3650"/>
    <n v="13140"/>
  </r>
  <r>
    <x v="0"/>
    <x v="0"/>
    <x v="0"/>
    <x v="0"/>
    <x v="0"/>
    <s v="DK1_MedSmall"/>
    <x v="1"/>
    <x v="1"/>
    <s v="GNR_ST_MSW_BP_E-21"/>
    <x v="0"/>
    <x v="17"/>
    <n v="10"/>
    <n v="3650"/>
    <n v="13140"/>
  </r>
  <r>
    <x v="0"/>
    <x v="0"/>
    <x v="0"/>
    <x v="0"/>
    <x v="0"/>
    <s v="DK1_MedSmall"/>
    <x v="1"/>
    <x v="1"/>
    <s v="GNR_ST_MSW_BP_E-21"/>
    <x v="0"/>
    <x v="18"/>
    <n v="10"/>
    <n v="3650"/>
    <n v="13140"/>
  </r>
  <r>
    <x v="0"/>
    <x v="0"/>
    <x v="0"/>
    <x v="0"/>
    <x v="0"/>
    <s v="DK1_MedSmall"/>
    <x v="1"/>
    <x v="1"/>
    <s v="GNR_ST_MSW_BP_E-21"/>
    <x v="0"/>
    <x v="19"/>
    <n v="10"/>
    <n v="3650"/>
    <n v="13140"/>
  </r>
  <r>
    <x v="0"/>
    <x v="0"/>
    <x v="0"/>
    <x v="0"/>
    <x v="0"/>
    <s v="DK1_MedSmall"/>
    <x v="1"/>
    <x v="1"/>
    <s v="GNR_ST_MSW_BP_E-21"/>
    <x v="0"/>
    <x v="20"/>
    <n v="10"/>
    <n v="3650"/>
    <n v="13140"/>
  </r>
  <r>
    <x v="0"/>
    <x v="0"/>
    <x v="0"/>
    <x v="0"/>
    <x v="0"/>
    <s v="DK1_MedSmall"/>
    <x v="1"/>
    <x v="1"/>
    <s v="GNR_ST_MSW_BP_E-21"/>
    <x v="0"/>
    <x v="21"/>
    <n v="10"/>
    <n v="3650"/>
    <n v="13140"/>
  </r>
  <r>
    <x v="0"/>
    <x v="0"/>
    <x v="0"/>
    <x v="0"/>
    <x v="0"/>
    <s v="DK1_MedSmall"/>
    <x v="1"/>
    <x v="1"/>
    <s v="GNR_ST_MSW_BP_E-21"/>
    <x v="0"/>
    <x v="22"/>
    <n v="10"/>
    <n v="3650"/>
    <n v="13140"/>
  </r>
  <r>
    <x v="0"/>
    <x v="0"/>
    <x v="0"/>
    <x v="0"/>
    <x v="0"/>
    <s v="DK1_MedSmall"/>
    <x v="1"/>
    <x v="1"/>
    <s v="GNR_ST_MSW_BP_E-21"/>
    <x v="0"/>
    <x v="23"/>
    <n v="10"/>
    <n v="3650"/>
    <n v="13140"/>
  </r>
  <r>
    <x v="0"/>
    <x v="0"/>
    <x v="0"/>
    <x v="0"/>
    <x v="0"/>
    <s v="DK1_MedSmall"/>
    <x v="1"/>
    <x v="1"/>
    <s v="GNR_ST_MSW_BP_E-22"/>
    <x v="0"/>
    <x v="3"/>
    <n v="4.5"/>
    <n v="1642.5"/>
    <n v="5913"/>
  </r>
  <r>
    <x v="0"/>
    <x v="0"/>
    <x v="0"/>
    <x v="0"/>
    <x v="0"/>
    <s v="DK1_MedSmall"/>
    <x v="1"/>
    <x v="1"/>
    <s v="GNR_ST_MSW_BP_E-22"/>
    <x v="0"/>
    <x v="4"/>
    <n v="4.5"/>
    <n v="1642.5"/>
    <n v="5913"/>
  </r>
  <r>
    <x v="0"/>
    <x v="0"/>
    <x v="0"/>
    <x v="0"/>
    <x v="0"/>
    <s v="DK1_MedSmall"/>
    <x v="1"/>
    <x v="1"/>
    <s v="GNR_ST_MSW_BP_E-22"/>
    <x v="0"/>
    <x v="5"/>
    <n v="4.5"/>
    <n v="1642.5"/>
    <n v="5913"/>
  </r>
  <r>
    <x v="0"/>
    <x v="0"/>
    <x v="0"/>
    <x v="0"/>
    <x v="0"/>
    <s v="DK1_MedSmall"/>
    <x v="1"/>
    <x v="1"/>
    <s v="GNR_ST_MSW_BP_E-22"/>
    <x v="0"/>
    <x v="6"/>
    <n v="4.5"/>
    <n v="1642.5"/>
    <n v="5913"/>
  </r>
  <r>
    <x v="0"/>
    <x v="0"/>
    <x v="0"/>
    <x v="0"/>
    <x v="0"/>
    <s v="DK1_MedSmall"/>
    <x v="1"/>
    <x v="1"/>
    <s v="GNR_ST_MSW_BP_E-22"/>
    <x v="0"/>
    <x v="7"/>
    <n v="4.5"/>
    <n v="1642.5"/>
    <n v="5913"/>
  </r>
  <r>
    <x v="0"/>
    <x v="0"/>
    <x v="0"/>
    <x v="0"/>
    <x v="0"/>
    <s v="DK1_MedSmall"/>
    <x v="1"/>
    <x v="1"/>
    <s v="GNR_ST_MSW_BP_E-22"/>
    <x v="0"/>
    <x v="8"/>
    <n v="4.5"/>
    <n v="1642.5"/>
    <n v="5913"/>
  </r>
  <r>
    <x v="0"/>
    <x v="0"/>
    <x v="0"/>
    <x v="0"/>
    <x v="0"/>
    <s v="DK1_MedSmall"/>
    <x v="1"/>
    <x v="1"/>
    <s v="GNR_ST_MSW_BP_E-22"/>
    <x v="0"/>
    <x v="0"/>
    <n v="4.5"/>
    <n v="1642.5"/>
    <n v="5913"/>
  </r>
  <r>
    <x v="0"/>
    <x v="0"/>
    <x v="0"/>
    <x v="0"/>
    <x v="0"/>
    <s v="DK1_MedSmall"/>
    <x v="1"/>
    <x v="1"/>
    <s v="GNR_ST_MSW_BP_E-22"/>
    <x v="0"/>
    <x v="1"/>
    <n v="4.5"/>
    <n v="1642.5"/>
    <n v="5913"/>
  </r>
  <r>
    <x v="0"/>
    <x v="0"/>
    <x v="0"/>
    <x v="0"/>
    <x v="0"/>
    <s v="DK1_MedSmall"/>
    <x v="1"/>
    <x v="1"/>
    <s v="GNR_ST_MSW_BP_E-22"/>
    <x v="0"/>
    <x v="2"/>
    <n v="4.5"/>
    <n v="1642.5"/>
    <n v="5913"/>
  </r>
  <r>
    <x v="0"/>
    <x v="0"/>
    <x v="0"/>
    <x v="0"/>
    <x v="0"/>
    <s v="DK1_MedSmall"/>
    <x v="1"/>
    <x v="1"/>
    <s v="GNR_ST_MSW_BP_E-22"/>
    <x v="0"/>
    <x v="9"/>
    <n v="4.5"/>
    <n v="1642.5"/>
    <n v="5913"/>
  </r>
  <r>
    <x v="0"/>
    <x v="0"/>
    <x v="0"/>
    <x v="0"/>
    <x v="0"/>
    <s v="DK1_MedSmall"/>
    <x v="1"/>
    <x v="1"/>
    <s v="GNR_ST_MSW_BP_E-22"/>
    <x v="0"/>
    <x v="10"/>
    <n v="4.5"/>
    <n v="1642.5"/>
    <n v="5913"/>
  </r>
  <r>
    <x v="0"/>
    <x v="0"/>
    <x v="0"/>
    <x v="0"/>
    <x v="0"/>
    <s v="DK1_MedSmall"/>
    <x v="1"/>
    <x v="1"/>
    <s v="GNR_ST_MSW_BP_E-22"/>
    <x v="0"/>
    <x v="11"/>
    <n v="4.5"/>
    <n v="1642.5"/>
    <n v="5913"/>
  </r>
  <r>
    <x v="0"/>
    <x v="0"/>
    <x v="0"/>
    <x v="0"/>
    <x v="0"/>
    <s v="DK1_MedSmall"/>
    <x v="1"/>
    <x v="1"/>
    <s v="GNR_ST_MSW_BP_E-22"/>
    <x v="0"/>
    <x v="12"/>
    <n v="4.5"/>
    <n v="1642.5"/>
    <n v="5913"/>
  </r>
  <r>
    <x v="0"/>
    <x v="0"/>
    <x v="0"/>
    <x v="0"/>
    <x v="0"/>
    <s v="DK1_MedSmall"/>
    <x v="1"/>
    <x v="1"/>
    <s v="GNR_ST_MSW_BP_E-22"/>
    <x v="0"/>
    <x v="13"/>
    <n v="4.5"/>
    <n v="1642.5"/>
    <n v="5913"/>
  </r>
  <r>
    <x v="0"/>
    <x v="0"/>
    <x v="0"/>
    <x v="0"/>
    <x v="0"/>
    <s v="DK1_MedSmall"/>
    <x v="1"/>
    <x v="1"/>
    <s v="GNR_ST_MSW_BP_E-22"/>
    <x v="0"/>
    <x v="14"/>
    <n v="4.5"/>
    <n v="1642.5"/>
    <n v="5913"/>
  </r>
  <r>
    <x v="0"/>
    <x v="0"/>
    <x v="0"/>
    <x v="0"/>
    <x v="0"/>
    <s v="DK1_MedSmall"/>
    <x v="1"/>
    <x v="1"/>
    <s v="GNR_ST_MSW_BP_E-22"/>
    <x v="0"/>
    <x v="15"/>
    <n v="4.5"/>
    <n v="1642.5"/>
    <n v="5913"/>
  </r>
  <r>
    <x v="0"/>
    <x v="0"/>
    <x v="0"/>
    <x v="0"/>
    <x v="0"/>
    <s v="DK1_MedSmall"/>
    <x v="1"/>
    <x v="1"/>
    <s v="GNR_ST_MSW_BP_E-22"/>
    <x v="0"/>
    <x v="16"/>
    <n v="4.5"/>
    <n v="1642.5"/>
    <n v="5913"/>
  </r>
  <r>
    <x v="0"/>
    <x v="0"/>
    <x v="0"/>
    <x v="0"/>
    <x v="0"/>
    <s v="DK1_MedSmall"/>
    <x v="1"/>
    <x v="1"/>
    <s v="GNR_ST_MSW_BP_E-22"/>
    <x v="0"/>
    <x v="17"/>
    <n v="4.5"/>
    <n v="1642.5"/>
    <n v="5913"/>
  </r>
  <r>
    <x v="0"/>
    <x v="0"/>
    <x v="0"/>
    <x v="0"/>
    <x v="0"/>
    <s v="DK1_MedSmall"/>
    <x v="1"/>
    <x v="1"/>
    <s v="GNR_ST_MSW_BP_E-22"/>
    <x v="0"/>
    <x v="18"/>
    <n v="4.5"/>
    <n v="1642.5"/>
    <n v="5913"/>
  </r>
  <r>
    <x v="0"/>
    <x v="0"/>
    <x v="0"/>
    <x v="0"/>
    <x v="0"/>
    <s v="DK1_MedSmall"/>
    <x v="1"/>
    <x v="1"/>
    <s v="GNR_ST_MSW_BP_E-22"/>
    <x v="0"/>
    <x v="19"/>
    <n v="4.5"/>
    <n v="1642.5"/>
    <n v="5913"/>
  </r>
  <r>
    <x v="0"/>
    <x v="0"/>
    <x v="0"/>
    <x v="0"/>
    <x v="0"/>
    <s v="DK1_MedSmall"/>
    <x v="1"/>
    <x v="1"/>
    <s v="GNR_ST_MSW_BP_E-22"/>
    <x v="0"/>
    <x v="20"/>
    <n v="4.5"/>
    <n v="1642.5"/>
    <n v="5913"/>
  </r>
  <r>
    <x v="0"/>
    <x v="0"/>
    <x v="0"/>
    <x v="0"/>
    <x v="0"/>
    <s v="DK1_MedSmall"/>
    <x v="1"/>
    <x v="1"/>
    <s v="GNR_ST_MSW_BP_E-22"/>
    <x v="0"/>
    <x v="21"/>
    <n v="4.5"/>
    <n v="1642.5"/>
    <n v="5913"/>
  </r>
  <r>
    <x v="0"/>
    <x v="0"/>
    <x v="0"/>
    <x v="0"/>
    <x v="0"/>
    <s v="DK1_MedSmall"/>
    <x v="1"/>
    <x v="1"/>
    <s v="GNR_ST_MSW_BP_E-22"/>
    <x v="0"/>
    <x v="22"/>
    <n v="4.5"/>
    <n v="1642.5"/>
    <n v="5913"/>
  </r>
  <r>
    <x v="0"/>
    <x v="0"/>
    <x v="0"/>
    <x v="0"/>
    <x v="0"/>
    <s v="DK1_MedSmall"/>
    <x v="1"/>
    <x v="1"/>
    <s v="GNR_ST_MSW_BP_E-22"/>
    <x v="0"/>
    <x v="23"/>
    <n v="4.5"/>
    <n v="1642.5"/>
    <n v="5913"/>
  </r>
  <r>
    <x v="0"/>
    <x v="0"/>
    <x v="0"/>
    <x v="0"/>
    <x v="0"/>
    <s v="DK1_MedSmall"/>
    <x v="1"/>
    <x v="1"/>
    <s v="GNR_ST_MSW_BP_E-26"/>
    <x v="0"/>
    <x v="3"/>
    <n v="7"/>
    <n v="2555"/>
    <n v="9198"/>
  </r>
  <r>
    <x v="0"/>
    <x v="0"/>
    <x v="0"/>
    <x v="0"/>
    <x v="0"/>
    <s v="DK1_MedSmall"/>
    <x v="1"/>
    <x v="1"/>
    <s v="GNR_ST_MSW_BP_E-26"/>
    <x v="0"/>
    <x v="4"/>
    <n v="7"/>
    <n v="2555"/>
    <n v="9198"/>
  </r>
  <r>
    <x v="0"/>
    <x v="0"/>
    <x v="0"/>
    <x v="0"/>
    <x v="0"/>
    <s v="DK1_MedSmall"/>
    <x v="1"/>
    <x v="1"/>
    <s v="GNR_ST_MSW_BP_E-26"/>
    <x v="0"/>
    <x v="5"/>
    <n v="7"/>
    <n v="2555"/>
    <n v="9198"/>
  </r>
  <r>
    <x v="0"/>
    <x v="0"/>
    <x v="0"/>
    <x v="0"/>
    <x v="0"/>
    <s v="DK1_MedSmall"/>
    <x v="1"/>
    <x v="1"/>
    <s v="GNR_ST_MSW_BP_E-26"/>
    <x v="0"/>
    <x v="6"/>
    <n v="7"/>
    <n v="2555"/>
    <n v="9198"/>
  </r>
  <r>
    <x v="0"/>
    <x v="0"/>
    <x v="0"/>
    <x v="0"/>
    <x v="0"/>
    <s v="DK1_MedSmall"/>
    <x v="1"/>
    <x v="1"/>
    <s v="GNR_ST_MSW_BP_E-26"/>
    <x v="0"/>
    <x v="7"/>
    <n v="7"/>
    <n v="2555"/>
    <n v="9198"/>
  </r>
  <r>
    <x v="0"/>
    <x v="0"/>
    <x v="0"/>
    <x v="0"/>
    <x v="0"/>
    <s v="DK1_MedSmall"/>
    <x v="1"/>
    <x v="1"/>
    <s v="GNR_ST_MSW_BP_E-26"/>
    <x v="0"/>
    <x v="8"/>
    <n v="7"/>
    <n v="2555"/>
    <n v="9198"/>
  </r>
  <r>
    <x v="0"/>
    <x v="0"/>
    <x v="0"/>
    <x v="0"/>
    <x v="0"/>
    <s v="DK1_MedSmall"/>
    <x v="1"/>
    <x v="1"/>
    <s v="GNR_ST_MSW_BP_E-26"/>
    <x v="0"/>
    <x v="0"/>
    <n v="7"/>
    <n v="2555"/>
    <n v="9198"/>
  </r>
  <r>
    <x v="0"/>
    <x v="0"/>
    <x v="0"/>
    <x v="0"/>
    <x v="0"/>
    <s v="DK1_MedSmall"/>
    <x v="1"/>
    <x v="1"/>
    <s v="GNR_ST_MSW_BP_E-26"/>
    <x v="0"/>
    <x v="1"/>
    <n v="7"/>
    <n v="2555"/>
    <n v="9198"/>
  </r>
  <r>
    <x v="0"/>
    <x v="0"/>
    <x v="0"/>
    <x v="0"/>
    <x v="0"/>
    <s v="DK1_MedSmall"/>
    <x v="1"/>
    <x v="1"/>
    <s v="GNR_ST_MSW_BP_E-26"/>
    <x v="0"/>
    <x v="2"/>
    <n v="7"/>
    <n v="2555"/>
    <n v="9198"/>
  </r>
  <r>
    <x v="0"/>
    <x v="0"/>
    <x v="0"/>
    <x v="0"/>
    <x v="0"/>
    <s v="DK1_MedSmall"/>
    <x v="1"/>
    <x v="1"/>
    <s v="GNR_ST_MSW_BP_E-26"/>
    <x v="0"/>
    <x v="9"/>
    <n v="7"/>
    <n v="2555"/>
    <n v="9198"/>
  </r>
  <r>
    <x v="0"/>
    <x v="0"/>
    <x v="0"/>
    <x v="0"/>
    <x v="0"/>
    <s v="DK1_MedSmall"/>
    <x v="1"/>
    <x v="1"/>
    <s v="GNR_ST_MSW_BP_E-26"/>
    <x v="0"/>
    <x v="10"/>
    <n v="7"/>
    <n v="2555"/>
    <n v="9198"/>
  </r>
  <r>
    <x v="0"/>
    <x v="0"/>
    <x v="0"/>
    <x v="0"/>
    <x v="0"/>
    <s v="DK1_MedSmall"/>
    <x v="1"/>
    <x v="1"/>
    <s v="GNR_ST_MSW_BP_E-26"/>
    <x v="0"/>
    <x v="11"/>
    <n v="7"/>
    <n v="2555"/>
    <n v="9198"/>
  </r>
  <r>
    <x v="0"/>
    <x v="0"/>
    <x v="0"/>
    <x v="0"/>
    <x v="0"/>
    <s v="DK1_MedSmall"/>
    <x v="1"/>
    <x v="1"/>
    <s v="GNR_ST_MSW_BP_E-26"/>
    <x v="0"/>
    <x v="12"/>
    <n v="7"/>
    <n v="2555"/>
    <n v="9198"/>
  </r>
  <r>
    <x v="0"/>
    <x v="0"/>
    <x v="0"/>
    <x v="0"/>
    <x v="0"/>
    <s v="DK1_MedSmall"/>
    <x v="1"/>
    <x v="1"/>
    <s v="GNR_ST_MSW_BP_E-26"/>
    <x v="0"/>
    <x v="13"/>
    <n v="7"/>
    <n v="2555"/>
    <n v="9198"/>
  </r>
  <r>
    <x v="0"/>
    <x v="0"/>
    <x v="0"/>
    <x v="0"/>
    <x v="0"/>
    <s v="DK1_MedSmall"/>
    <x v="1"/>
    <x v="1"/>
    <s v="GNR_ST_MSW_BP_E-26"/>
    <x v="0"/>
    <x v="14"/>
    <n v="7"/>
    <n v="2555"/>
    <n v="9198"/>
  </r>
  <r>
    <x v="0"/>
    <x v="0"/>
    <x v="0"/>
    <x v="0"/>
    <x v="0"/>
    <s v="DK1_MedSmall"/>
    <x v="1"/>
    <x v="1"/>
    <s v="GNR_ST_MSW_BP_E-26"/>
    <x v="0"/>
    <x v="15"/>
    <n v="7"/>
    <n v="2555"/>
    <n v="9198"/>
  </r>
  <r>
    <x v="0"/>
    <x v="0"/>
    <x v="0"/>
    <x v="0"/>
    <x v="0"/>
    <s v="DK1_MedSmall"/>
    <x v="1"/>
    <x v="1"/>
    <s v="GNR_ST_MSW_BP_E-26"/>
    <x v="0"/>
    <x v="16"/>
    <n v="7"/>
    <n v="2555"/>
    <n v="9198"/>
  </r>
  <r>
    <x v="0"/>
    <x v="0"/>
    <x v="0"/>
    <x v="0"/>
    <x v="0"/>
    <s v="DK1_MedSmall"/>
    <x v="1"/>
    <x v="1"/>
    <s v="GNR_ST_MSW_BP_E-26"/>
    <x v="0"/>
    <x v="17"/>
    <n v="7"/>
    <n v="2555"/>
    <n v="9198"/>
  </r>
  <r>
    <x v="0"/>
    <x v="0"/>
    <x v="0"/>
    <x v="0"/>
    <x v="0"/>
    <s v="DK1_MedSmall"/>
    <x v="1"/>
    <x v="1"/>
    <s v="GNR_ST_MSW_BP_E-26"/>
    <x v="0"/>
    <x v="18"/>
    <n v="7"/>
    <n v="2555"/>
    <n v="9198"/>
  </r>
  <r>
    <x v="0"/>
    <x v="0"/>
    <x v="0"/>
    <x v="0"/>
    <x v="0"/>
    <s v="DK1_MedSmall"/>
    <x v="1"/>
    <x v="1"/>
    <s v="GNR_ST_MSW_BP_E-26"/>
    <x v="0"/>
    <x v="19"/>
    <n v="7"/>
    <n v="2555"/>
    <n v="9198"/>
  </r>
  <r>
    <x v="0"/>
    <x v="0"/>
    <x v="0"/>
    <x v="0"/>
    <x v="0"/>
    <s v="DK1_MedSmall"/>
    <x v="1"/>
    <x v="1"/>
    <s v="GNR_ST_MSW_BP_E-26"/>
    <x v="0"/>
    <x v="20"/>
    <n v="7"/>
    <n v="2555"/>
    <n v="9198"/>
  </r>
  <r>
    <x v="0"/>
    <x v="0"/>
    <x v="0"/>
    <x v="0"/>
    <x v="0"/>
    <s v="DK1_MedSmall"/>
    <x v="1"/>
    <x v="1"/>
    <s v="GNR_ST_MSW_BP_E-26"/>
    <x v="0"/>
    <x v="21"/>
    <n v="7"/>
    <n v="2555"/>
    <n v="9198"/>
  </r>
  <r>
    <x v="0"/>
    <x v="0"/>
    <x v="0"/>
    <x v="0"/>
    <x v="0"/>
    <s v="DK1_MedSmall"/>
    <x v="1"/>
    <x v="1"/>
    <s v="GNR_ST_MSW_BP_E-26"/>
    <x v="0"/>
    <x v="22"/>
    <n v="7"/>
    <n v="2555"/>
    <n v="9198"/>
  </r>
  <r>
    <x v="0"/>
    <x v="0"/>
    <x v="0"/>
    <x v="0"/>
    <x v="0"/>
    <s v="DK1_MedSmall"/>
    <x v="1"/>
    <x v="1"/>
    <s v="GNR_ST_MSW_BP_E-26"/>
    <x v="0"/>
    <x v="23"/>
    <n v="7"/>
    <n v="2555"/>
    <n v="9198"/>
  </r>
  <r>
    <x v="0"/>
    <x v="0"/>
    <x v="0"/>
    <x v="0"/>
    <x v="0"/>
    <s v="DK1_MedSmall"/>
    <x v="2"/>
    <x v="1"/>
    <s v="GNR_ENG_NGAS_BP_E-35"/>
    <x v="0"/>
    <x v="3"/>
    <n v="0.63"/>
    <n v="229.95"/>
    <n v="827.82"/>
  </r>
  <r>
    <x v="0"/>
    <x v="0"/>
    <x v="0"/>
    <x v="0"/>
    <x v="0"/>
    <s v="DK1_MedSmall"/>
    <x v="2"/>
    <x v="1"/>
    <s v="GNR_ENG_NGAS_BP_E-35"/>
    <x v="0"/>
    <x v="4"/>
    <n v="0.63"/>
    <n v="229.95"/>
    <n v="827.82"/>
  </r>
  <r>
    <x v="0"/>
    <x v="0"/>
    <x v="0"/>
    <x v="0"/>
    <x v="0"/>
    <s v="DK1_MedSmall"/>
    <x v="2"/>
    <x v="1"/>
    <s v="GNR_ENG_NGAS_BP_E-35"/>
    <x v="0"/>
    <x v="5"/>
    <n v="0.63"/>
    <n v="229.95"/>
    <n v="827.82"/>
  </r>
  <r>
    <x v="0"/>
    <x v="0"/>
    <x v="0"/>
    <x v="0"/>
    <x v="0"/>
    <s v="DK1_MedSmall"/>
    <x v="2"/>
    <x v="1"/>
    <s v="GNR_ENG_NGAS_BP_E-35"/>
    <x v="0"/>
    <x v="6"/>
    <n v="0.63"/>
    <n v="229.95"/>
    <n v="827.82"/>
  </r>
  <r>
    <x v="0"/>
    <x v="0"/>
    <x v="0"/>
    <x v="0"/>
    <x v="0"/>
    <s v="DK1_MedSmall"/>
    <x v="2"/>
    <x v="1"/>
    <s v="GNR_ENG_NGAS_BP_E-35"/>
    <x v="0"/>
    <x v="7"/>
    <n v="0.63"/>
    <n v="229.95"/>
    <n v="827.82"/>
  </r>
  <r>
    <x v="0"/>
    <x v="0"/>
    <x v="0"/>
    <x v="0"/>
    <x v="0"/>
    <s v="DK1_MedSmall"/>
    <x v="2"/>
    <x v="1"/>
    <s v="GNR_ENG_NGAS_BP_E-35"/>
    <x v="0"/>
    <x v="8"/>
    <n v="0.63"/>
    <n v="229.95"/>
    <n v="827.82"/>
  </r>
  <r>
    <x v="0"/>
    <x v="0"/>
    <x v="0"/>
    <x v="0"/>
    <x v="0"/>
    <s v="DK1_MedSmall"/>
    <x v="2"/>
    <x v="1"/>
    <s v="GNR_ENG_NGAS_BP_E-35"/>
    <x v="0"/>
    <x v="0"/>
    <n v="0.63"/>
    <n v="229.95"/>
    <n v="827.82"/>
  </r>
  <r>
    <x v="0"/>
    <x v="0"/>
    <x v="0"/>
    <x v="0"/>
    <x v="0"/>
    <s v="DK1_MedSmall"/>
    <x v="2"/>
    <x v="1"/>
    <s v="GNR_ENG_NGAS_BP_E-35"/>
    <x v="0"/>
    <x v="1"/>
    <n v="0.63"/>
    <n v="229.95"/>
    <n v="827.82"/>
  </r>
  <r>
    <x v="0"/>
    <x v="0"/>
    <x v="0"/>
    <x v="0"/>
    <x v="0"/>
    <s v="DK1_MedSmall"/>
    <x v="2"/>
    <x v="1"/>
    <s v="GNR_ENG_NGAS_BP_E-35"/>
    <x v="0"/>
    <x v="2"/>
    <n v="0.63"/>
    <n v="229.95"/>
    <n v="827.82"/>
  </r>
  <r>
    <x v="0"/>
    <x v="0"/>
    <x v="0"/>
    <x v="0"/>
    <x v="0"/>
    <s v="DK1_MedSmall"/>
    <x v="2"/>
    <x v="1"/>
    <s v="GNR_ENG_NGAS_BP_E-35"/>
    <x v="0"/>
    <x v="9"/>
    <n v="0.63"/>
    <n v="229.95"/>
    <n v="827.82"/>
  </r>
  <r>
    <x v="0"/>
    <x v="0"/>
    <x v="0"/>
    <x v="0"/>
    <x v="0"/>
    <s v="DK1_MedSmall"/>
    <x v="2"/>
    <x v="1"/>
    <s v="GNR_ENG_NGAS_BP_E-35"/>
    <x v="0"/>
    <x v="10"/>
    <n v="0.63"/>
    <n v="229.95"/>
    <n v="827.82"/>
  </r>
  <r>
    <x v="0"/>
    <x v="0"/>
    <x v="0"/>
    <x v="0"/>
    <x v="0"/>
    <s v="DK1_MedSmall"/>
    <x v="2"/>
    <x v="1"/>
    <s v="GNR_ENG_NGAS_BP_E-35"/>
    <x v="0"/>
    <x v="11"/>
    <n v="0.63"/>
    <n v="229.95"/>
    <n v="827.82"/>
  </r>
  <r>
    <x v="0"/>
    <x v="0"/>
    <x v="0"/>
    <x v="0"/>
    <x v="0"/>
    <s v="DK1_MedSmall"/>
    <x v="2"/>
    <x v="1"/>
    <s v="GNR_ENG_NGAS_BP_E-35"/>
    <x v="0"/>
    <x v="12"/>
    <n v="0.63"/>
    <n v="229.95"/>
    <n v="827.82"/>
  </r>
  <r>
    <x v="0"/>
    <x v="0"/>
    <x v="0"/>
    <x v="0"/>
    <x v="0"/>
    <s v="DK1_MedSmall"/>
    <x v="2"/>
    <x v="1"/>
    <s v="GNR_ENG_NGAS_BP_E-35"/>
    <x v="0"/>
    <x v="13"/>
    <n v="0.63"/>
    <n v="229.95"/>
    <n v="827.82"/>
  </r>
  <r>
    <x v="0"/>
    <x v="0"/>
    <x v="0"/>
    <x v="0"/>
    <x v="0"/>
    <s v="DK1_MedSmall"/>
    <x v="2"/>
    <x v="1"/>
    <s v="GNR_ENG_NGAS_BP_E-35"/>
    <x v="0"/>
    <x v="14"/>
    <n v="0.63"/>
    <n v="229.95"/>
    <n v="827.82"/>
  </r>
  <r>
    <x v="0"/>
    <x v="0"/>
    <x v="0"/>
    <x v="0"/>
    <x v="0"/>
    <s v="DK1_MedSmall"/>
    <x v="2"/>
    <x v="1"/>
    <s v="GNR_ENG_NGAS_BP_E-35"/>
    <x v="0"/>
    <x v="15"/>
    <n v="0.63"/>
    <n v="229.95"/>
    <n v="827.82"/>
  </r>
  <r>
    <x v="0"/>
    <x v="0"/>
    <x v="0"/>
    <x v="0"/>
    <x v="0"/>
    <s v="DK1_MedSmall"/>
    <x v="2"/>
    <x v="1"/>
    <s v="GNR_ENG_NGAS_BP_E-35"/>
    <x v="0"/>
    <x v="16"/>
    <n v="0.63"/>
    <n v="229.95"/>
    <n v="827.82"/>
  </r>
  <r>
    <x v="0"/>
    <x v="0"/>
    <x v="0"/>
    <x v="0"/>
    <x v="0"/>
    <s v="DK1_MedSmall"/>
    <x v="2"/>
    <x v="1"/>
    <s v="GNR_ENG_NGAS_BP_E-35"/>
    <x v="0"/>
    <x v="17"/>
    <n v="0.63"/>
    <n v="229.95"/>
    <n v="827.82"/>
  </r>
  <r>
    <x v="0"/>
    <x v="0"/>
    <x v="0"/>
    <x v="0"/>
    <x v="0"/>
    <s v="DK1_MedSmall"/>
    <x v="2"/>
    <x v="1"/>
    <s v="GNR_ENG_NGAS_BP_E-35"/>
    <x v="0"/>
    <x v="18"/>
    <n v="0.63"/>
    <n v="229.95"/>
    <n v="827.82"/>
  </r>
  <r>
    <x v="0"/>
    <x v="0"/>
    <x v="0"/>
    <x v="0"/>
    <x v="0"/>
    <s v="DK1_MedSmall"/>
    <x v="2"/>
    <x v="1"/>
    <s v="GNR_ENG_NGAS_BP_E-35"/>
    <x v="0"/>
    <x v="19"/>
    <n v="0.63"/>
    <n v="229.95"/>
    <n v="827.82"/>
  </r>
  <r>
    <x v="0"/>
    <x v="0"/>
    <x v="0"/>
    <x v="0"/>
    <x v="0"/>
    <s v="DK1_MedSmall"/>
    <x v="2"/>
    <x v="1"/>
    <s v="GNR_ENG_NGAS_BP_E-35"/>
    <x v="0"/>
    <x v="20"/>
    <n v="0.63"/>
    <n v="229.95"/>
    <n v="827.82"/>
  </r>
  <r>
    <x v="0"/>
    <x v="0"/>
    <x v="0"/>
    <x v="0"/>
    <x v="0"/>
    <s v="DK1_MedSmall"/>
    <x v="2"/>
    <x v="1"/>
    <s v="GNR_ENG_NGAS_BP_E-35"/>
    <x v="0"/>
    <x v="21"/>
    <n v="0.63"/>
    <n v="229.95"/>
    <n v="827.82"/>
  </r>
  <r>
    <x v="0"/>
    <x v="0"/>
    <x v="0"/>
    <x v="0"/>
    <x v="0"/>
    <s v="DK1_MedSmall"/>
    <x v="2"/>
    <x v="1"/>
    <s v="GNR_ENG_NGAS_BP_E-35"/>
    <x v="0"/>
    <x v="22"/>
    <n v="0.63"/>
    <n v="229.95"/>
    <n v="827.82"/>
  </r>
  <r>
    <x v="0"/>
    <x v="0"/>
    <x v="0"/>
    <x v="0"/>
    <x v="0"/>
    <s v="DK1_MedSmall"/>
    <x v="2"/>
    <x v="1"/>
    <s v="GNR_ENG_NGAS_BP_E-35"/>
    <x v="0"/>
    <x v="23"/>
    <n v="0.63"/>
    <n v="229.95"/>
    <n v="827.82"/>
  </r>
  <r>
    <x v="0"/>
    <x v="0"/>
    <x v="0"/>
    <x v="0"/>
    <x v="0"/>
    <s v="DK1_MedSmall"/>
    <x v="2"/>
    <x v="1"/>
    <s v="GNR_ENG_NGAS_BP_E-37"/>
    <x v="0"/>
    <x v="3"/>
    <n v="1"/>
    <n v="365"/>
    <n v="1314"/>
  </r>
  <r>
    <x v="0"/>
    <x v="0"/>
    <x v="0"/>
    <x v="0"/>
    <x v="0"/>
    <s v="DK1_MedSmall"/>
    <x v="2"/>
    <x v="1"/>
    <s v="GNR_ENG_NGAS_BP_E-37"/>
    <x v="0"/>
    <x v="4"/>
    <n v="1"/>
    <n v="365"/>
    <n v="1314"/>
  </r>
  <r>
    <x v="0"/>
    <x v="0"/>
    <x v="0"/>
    <x v="0"/>
    <x v="0"/>
    <s v="DK1_MedSmall"/>
    <x v="2"/>
    <x v="1"/>
    <s v="GNR_ENG_NGAS_BP_E-37"/>
    <x v="0"/>
    <x v="5"/>
    <n v="1"/>
    <n v="365"/>
    <n v="1314"/>
  </r>
  <r>
    <x v="0"/>
    <x v="0"/>
    <x v="0"/>
    <x v="0"/>
    <x v="0"/>
    <s v="DK1_MedSmall"/>
    <x v="2"/>
    <x v="1"/>
    <s v="GNR_ENG_NGAS_BP_E-37"/>
    <x v="0"/>
    <x v="6"/>
    <n v="1"/>
    <n v="365"/>
    <n v="1314"/>
  </r>
  <r>
    <x v="0"/>
    <x v="0"/>
    <x v="0"/>
    <x v="0"/>
    <x v="0"/>
    <s v="DK1_MedSmall"/>
    <x v="2"/>
    <x v="1"/>
    <s v="GNR_ENG_NGAS_BP_E-37"/>
    <x v="0"/>
    <x v="7"/>
    <n v="1"/>
    <n v="365"/>
    <n v="1314"/>
  </r>
  <r>
    <x v="0"/>
    <x v="0"/>
    <x v="0"/>
    <x v="0"/>
    <x v="0"/>
    <s v="DK1_MedSmall"/>
    <x v="2"/>
    <x v="1"/>
    <s v="GNR_ENG_NGAS_BP_E-37"/>
    <x v="0"/>
    <x v="8"/>
    <n v="1"/>
    <n v="365"/>
    <n v="1314"/>
  </r>
  <r>
    <x v="0"/>
    <x v="0"/>
    <x v="0"/>
    <x v="0"/>
    <x v="0"/>
    <s v="DK1_MedSmall"/>
    <x v="2"/>
    <x v="1"/>
    <s v="GNR_ENG_NGAS_BP_E-37"/>
    <x v="0"/>
    <x v="0"/>
    <n v="1"/>
    <n v="365"/>
    <n v="1314"/>
  </r>
  <r>
    <x v="0"/>
    <x v="0"/>
    <x v="0"/>
    <x v="0"/>
    <x v="0"/>
    <s v="DK1_MedSmall"/>
    <x v="2"/>
    <x v="1"/>
    <s v="GNR_ENG_NGAS_BP_E-37"/>
    <x v="0"/>
    <x v="1"/>
    <n v="1"/>
    <n v="365"/>
    <n v="1314"/>
  </r>
  <r>
    <x v="0"/>
    <x v="0"/>
    <x v="0"/>
    <x v="0"/>
    <x v="0"/>
    <s v="DK1_MedSmall"/>
    <x v="2"/>
    <x v="1"/>
    <s v="GNR_ENG_NGAS_BP_E-37"/>
    <x v="0"/>
    <x v="2"/>
    <n v="1"/>
    <n v="365"/>
    <n v="1314"/>
  </r>
  <r>
    <x v="0"/>
    <x v="0"/>
    <x v="0"/>
    <x v="0"/>
    <x v="0"/>
    <s v="DK1_MedSmall"/>
    <x v="2"/>
    <x v="1"/>
    <s v="GNR_ENG_NGAS_BP_E-37"/>
    <x v="0"/>
    <x v="9"/>
    <n v="1"/>
    <n v="365"/>
    <n v="1314"/>
  </r>
  <r>
    <x v="0"/>
    <x v="0"/>
    <x v="0"/>
    <x v="0"/>
    <x v="0"/>
    <s v="DK1_MedSmall"/>
    <x v="2"/>
    <x v="1"/>
    <s v="GNR_ENG_NGAS_BP_E-37"/>
    <x v="0"/>
    <x v="10"/>
    <n v="1"/>
    <n v="365"/>
    <n v="1314"/>
  </r>
  <r>
    <x v="0"/>
    <x v="0"/>
    <x v="0"/>
    <x v="0"/>
    <x v="0"/>
    <s v="DK1_MedSmall"/>
    <x v="2"/>
    <x v="1"/>
    <s v="GNR_ENG_NGAS_BP_E-37"/>
    <x v="0"/>
    <x v="11"/>
    <n v="1"/>
    <n v="365"/>
    <n v="1314"/>
  </r>
  <r>
    <x v="0"/>
    <x v="0"/>
    <x v="0"/>
    <x v="0"/>
    <x v="0"/>
    <s v="DK1_MedSmall"/>
    <x v="2"/>
    <x v="1"/>
    <s v="GNR_ENG_NGAS_BP_E-37"/>
    <x v="0"/>
    <x v="12"/>
    <n v="1"/>
    <n v="365"/>
    <n v="1314"/>
  </r>
  <r>
    <x v="0"/>
    <x v="0"/>
    <x v="0"/>
    <x v="0"/>
    <x v="0"/>
    <s v="DK1_MedSmall"/>
    <x v="2"/>
    <x v="1"/>
    <s v="GNR_ENG_NGAS_BP_E-37"/>
    <x v="0"/>
    <x v="13"/>
    <n v="1"/>
    <n v="365"/>
    <n v="1314"/>
  </r>
  <r>
    <x v="0"/>
    <x v="0"/>
    <x v="0"/>
    <x v="0"/>
    <x v="0"/>
    <s v="DK1_MedSmall"/>
    <x v="2"/>
    <x v="1"/>
    <s v="GNR_ENG_NGAS_BP_E-37"/>
    <x v="0"/>
    <x v="14"/>
    <n v="1"/>
    <n v="365"/>
    <n v="1314"/>
  </r>
  <r>
    <x v="0"/>
    <x v="0"/>
    <x v="0"/>
    <x v="0"/>
    <x v="0"/>
    <s v="DK1_MedSmall"/>
    <x v="2"/>
    <x v="1"/>
    <s v="GNR_ENG_NGAS_BP_E-37"/>
    <x v="0"/>
    <x v="15"/>
    <n v="1"/>
    <n v="365"/>
    <n v="1314"/>
  </r>
  <r>
    <x v="0"/>
    <x v="0"/>
    <x v="0"/>
    <x v="0"/>
    <x v="0"/>
    <s v="DK1_MedSmall"/>
    <x v="2"/>
    <x v="1"/>
    <s v="GNR_ENG_NGAS_BP_E-37"/>
    <x v="0"/>
    <x v="16"/>
    <n v="1"/>
    <n v="365"/>
    <n v="1314"/>
  </r>
  <r>
    <x v="0"/>
    <x v="0"/>
    <x v="0"/>
    <x v="0"/>
    <x v="0"/>
    <s v="DK1_MedSmall"/>
    <x v="2"/>
    <x v="1"/>
    <s v="GNR_ENG_NGAS_BP_E-37"/>
    <x v="0"/>
    <x v="17"/>
    <n v="1"/>
    <n v="365"/>
    <n v="1314"/>
  </r>
  <r>
    <x v="0"/>
    <x v="0"/>
    <x v="0"/>
    <x v="0"/>
    <x v="0"/>
    <s v="DK1_MedSmall"/>
    <x v="2"/>
    <x v="1"/>
    <s v="GNR_ENG_NGAS_BP_E-37"/>
    <x v="0"/>
    <x v="18"/>
    <n v="1"/>
    <n v="365"/>
    <n v="1314"/>
  </r>
  <r>
    <x v="0"/>
    <x v="0"/>
    <x v="0"/>
    <x v="0"/>
    <x v="0"/>
    <s v="DK1_MedSmall"/>
    <x v="2"/>
    <x v="1"/>
    <s v="GNR_ENG_NGAS_BP_E-37"/>
    <x v="0"/>
    <x v="19"/>
    <n v="1"/>
    <n v="365"/>
    <n v="1314"/>
  </r>
  <r>
    <x v="0"/>
    <x v="0"/>
    <x v="0"/>
    <x v="0"/>
    <x v="0"/>
    <s v="DK1_MedSmall"/>
    <x v="2"/>
    <x v="1"/>
    <s v="GNR_ENG_NGAS_BP_E-37"/>
    <x v="0"/>
    <x v="20"/>
    <n v="1"/>
    <n v="365"/>
    <n v="1314"/>
  </r>
  <r>
    <x v="0"/>
    <x v="0"/>
    <x v="0"/>
    <x v="0"/>
    <x v="0"/>
    <s v="DK1_MedSmall"/>
    <x v="2"/>
    <x v="1"/>
    <s v="GNR_ENG_NGAS_BP_E-37"/>
    <x v="0"/>
    <x v="21"/>
    <n v="1"/>
    <n v="365"/>
    <n v="1314"/>
  </r>
  <r>
    <x v="0"/>
    <x v="0"/>
    <x v="0"/>
    <x v="0"/>
    <x v="0"/>
    <s v="DK1_MedSmall"/>
    <x v="2"/>
    <x v="1"/>
    <s v="GNR_ENG_NGAS_BP_E-37"/>
    <x v="0"/>
    <x v="22"/>
    <n v="1"/>
    <n v="365"/>
    <n v="1314"/>
  </r>
  <r>
    <x v="0"/>
    <x v="0"/>
    <x v="0"/>
    <x v="0"/>
    <x v="0"/>
    <s v="DK1_MedSmall"/>
    <x v="2"/>
    <x v="1"/>
    <s v="GNR_ENG_NGAS_BP_E-37"/>
    <x v="0"/>
    <x v="23"/>
    <n v="1"/>
    <n v="365"/>
    <n v="1314"/>
  </r>
  <r>
    <x v="0"/>
    <x v="0"/>
    <x v="0"/>
    <x v="0"/>
    <x v="0"/>
    <s v="DK1_MedSmall"/>
    <x v="2"/>
    <x v="1"/>
    <s v="GNR_ENG_NGAS_BP_E-40"/>
    <x v="0"/>
    <x v="3"/>
    <n v="12.472"/>
    <n v="4552.28"/>
    <n v="16388.207999999999"/>
  </r>
  <r>
    <x v="0"/>
    <x v="0"/>
    <x v="0"/>
    <x v="0"/>
    <x v="0"/>
    <s v="DK1_MedSmall"/>
    <x v="2"/>
    <x v="1"/>
    <s v="GNR_ENG_NGAS_BP_E-40"/>
    <x v="0"/>
    <x v="4"/>
    <n v="12.472"/>
    <n v="4552.28"/>
    <n v="16388.207999999999"/>
  </r>
  <r>
    <x v="0"/>
    <x v="0"/>
    <x v="0"/>
    <x v="0"/>
    <x v="0"/>
    <s v="DK1_MedSmall"/>
    <x v="2"/>
    <x v="1"/>
    <s v="GNR_ENG_NGAS_BP_E-40"/>
    <x v="0"/>
    <x v="5"/>
    <n v="12.472"/>
    <n v="4552.28"/>
    <n v="16388.207999999999"/>
  </r>
  <r>
    <x v="0"/>
    <x v="0"/>
    <x v="0"/>
    <x v="0"/>
    <x v="0"/>
    <s v="DK1_MedSmall"/>
    <x v="2"/>
    <x v="1"/>
    <s v="GNR_ENG_NGAS_BP_E-40"/>
    <x v="0"/>
    <x v="6"/>
    <n v="12.472"/>
    <n v="4552.28"/>
    <n v="16388.207999999999"/>
  </r>
  <r>
    <x v="0"/>
    <x v="0"/>
    <x v="0"/>
    <x v="0"/>
    <x v="0"/>
    <s v="DK1_MedSmall"/>
    <x v="2"/>
    <x v="1"/>
    <s v="GNR_ENG_NGAS_BP_E-40"/>
    <x v="0"/>
    <x v="7"/>
    <n v="12.472"/>
    <n v="4552.28"/>
    <n v="16388.207999999999"/>
  </r>
  <r>
    <x v="0"/>
    <x v="0"/>
    <x v="0"/>
    <x v="0"/>
    <x v="0"/>
    <s v="DK1_MedSmall"/>
    <x v="2"/>
    <x v="1"/>
    <s v="GNR_ENG_NGAS_BP_E-40"/>
    <x v="0"/>
    <x v="8"/>
    <n v="12.472"/>
    <n v="4552.28"/>
    <n v="16388.207999999999"/>
  </r>
  <r>
    <x v="0"/>
    <x v="0"/>
    <x v="0"/>
    <x v="0"/>
    <x v="0"/>
    <s v="DK1_MedSmall"/>
    <x v="2"/>
    <x v="1"/>
    <s v="GNR_ENG_NGAS_BP_E-40"/>
    <x v="0"/>
    <x v="0"/>
    <n v="12.472"/>
    <n v="4552.28"/>
    <n v="16388.207999999999"/>
  </r>
  <r>
    <x v="0"/>
    <x v="0"/>
    <x v="0"/>
    <x v="0"/>
    <x v="0"/>
    <s v="DK1_MedSmall"/>
    <x v="2"/>
    <x v="1"/>
    <s v="GNR_ENG_NGAS_BP_E-40"/>
    <x v="0"/>
    <x v="1"/>
    <n v="12.472"/>
    <n v="4552.28"/>
    <n v="16388.207999999999"/>
  </r>
  <r>
    <x v="0"/>
    <x v="0"/>
    <x v="0"/>
    <x v="0"/>
    <x v="0"/>
    <s v="DK1_MedSmall"/>
    <x v="2"/>
    <x v="1"/>
    <s v="GNR_ENG_NGAS_BP_E-40"/>
    <x v="0"/>
    <x v="2"/>
    <n v="12.472"/>
    <n v="4552.28"/>
    <n v="16388.207999999999"/>
  </r>
  <r>
    <x v="0"/>
    <x v="0"/>
    <x v="0"/>
    <x v="0"/>
    <x v="0"/>
    <s v="DK1_MedSmall"/>
    <x v="2"/>
    <x v="1"/>
    <s v="GNR_ENG_NGAS_BP_E-40"/>
    <x v="0"/>
    <x v="9"/>
    <n v="12.472"/>
    <n v="4552.28"/>
    <n v="16388.207999999999"/>
  </r>
  <r>
    <x v="0"/>
    <x v="0"/>
    <x v="0"/>
    <x v="0"/>
    <x v="0"/>
    <s v="DK1_MedSmall"/>
    <x v="2"/>
    <x v="1"/>
    <s v="GNR_ENG_NGAS_BP_E-40"/>
    <x v="0"/>
    <x v="10"/>
    <n v="12.472"/>
    <n v="4552.28"/>
    <n v="16388.207999999999"/>
  </r>
  <r>
    <x v="0"/>
    <x v="0"/>
    <x v="0"/>
    <x v="0"/>
    <x v="0"/>
    <s v="DK1_MedSmall"/>
    <x v="2"/>
    <x v="1"/>
    <s v="GNR_ENG_NGAS_BP_E-40"/>
    <x v="0"/>
    <x v="11"/>
    <n v="12.472"/>
    <n v="4552.28"/>
    <n v="16388.207999999999"/>
  </r>
  <r>
    <x v="0"/>
    <x v="0"/>
    <x v="0"/>
    <x v="0"/>
    <x v="0"/>
    <s v="DK1_MedSmall"/>
    <x v="2"/>
    <x v="1"/>
    <s v="GNR_ENG_NGAS_BP_E-40"/>
    <x v="0"/>
    <x v="12"/>
    <n v="12.472"/>
    <n v="4552.28"/>
    <n v="16388.207999999999"/>
  </r>
  <r>
    <x v="0"/>
    <x v="0"/>
    <x v="0"/>
    <x v="0"/>
    <x v="0"/>
    <s v="DK1_MedSmall"/>
    <x v="2"/>
    <x v="1"/>
    <s v="GNR_ENG_NGAS_BP_E-40"/>
    <x v="0"/>
    <x v="13"/>
    <n v="12.472"/>
    <n v="4552.28"/>
    <n v="16388.207999999999"/>
  </r>
  <r>
    <x v="0"/>
    <x v="0"/>
    <x v="0"/>
    <x v="0"/>
    <x v="0"/>
    <s v="DK1_MedSmall"/>
    <x v="2"/>
    <x v="1"/>
    <s v="GNR_ENG_NGAS_BP_E-40"/>
    <x v="0"/>
    <x v="14"/>
    <n v="12.472"/>
    <n v="4552.28"/>
    <n v="16388.207999999999"/>
  </r>
  <r>
    <x v="0"/>
    <x v="0"/>
    <x v="0"/>
    <x v="0"/>
    <x v="0"/>
    <s v="DK1_MedSmall"/>
    <x v="2"/>
    <x v="1"/>
    <s v="GNR_ENG_NGAS_BP_E-40"/>
    <x v="0"/>
    <x v="15"/>
    <n v="12.472"/>
    <n v="4552.28"/>
    <n v="16388.207999999999"/>
  </r>
  <r>
    <x v="0"/>
    <x v="0"/>
    <x v="0"/>
    <x v="0"/>
    <x v="0"/>
    <s v="DK1_MedSmall"/>
    <x v="2"/>
    <x v="1"/>
    <s v="GNR_ENG_NGAS_BP_E-40"/>
    <x v="0"/>
    <x v="16"/>
    <n v="12.472"/>
    <n v="4552.28"/>
    <n v="16388.207999999999"/>
  </r>
  <r>
    <x v="0"/>
    <x v="0"/>
    <x v="0"/>
    <x v="0"/>
    <x v="0"/>
    <s v="DK1_MedSmall"/>
    <x v="2"/>
    <x v="1"/>
    <s v="GNR_ENG_NGAS_BP_E-40"/>
    <x v="0"/>
    <x v="17"/>
    <n v="12.472"/>
    <n v="4552.28"/>
    <n v="16388.207999999999"/>
  </r>
  <r>
    <x v="0"/>
    <x v="0"/>
    <x v="0"/>
    <x v="0"/>
    <x v="0"/>
    <s v="DK1_MedSmall"/>
    <x v="2"/>
    <x v="1"/>
    <s v="GNR_ENG_NGAS_BP_E-40"/>
    <x v="0"/>
    <x v="18"/>
    <n v="12.472"/>
    <n v="4552.28"/>
    <n v="16388.207999999999"/>
  </r>
  <r>
    <x v="0"/>
    <x v="0"/>
    <x v="0"/>
    <x v="0"/>
    <x v="0"/>
    <s v="DK1_MedSmall"/>
    <x v="2"/>
    <x v="1"/>
    <s v="GNR_ENG_NGAS_BP_E-40"/>
    <x v="0"/>
    <x v="19"/>
    <n v="12.472"/>
    <n v="4552.28"/>
    <n v="16388.207999999999"/>
  </r>
  <r>
    <x v="0"/>
    <x v="0"/>
    <x v="0"/>
    <x v="0"/>
    <x v="0"/>
    <s v="DK1_MedSmall"/>
    <x v="2"/>
    <x v="1"/>
    <s v="GNR_ENG_NGAS_BP_E-40"/>
    <x v="0"/>
    <x v="20"/>
    <n v="12.472"/>
    <n v="4552.28"/>
    <n v="16388.207999999999"/>
  </r>
  <r>
    <x v="0"/>
    <x v="0"/>
    <x v="0"/>
    <x v="0"/>
    <x v="0"/>
    <s v="DK1_MedSmall"/>
    <x v="2"/>
    <x v="1"/>
    <s v="GNR_ENG_NGAS_BP_E-40"/>
    <x v="0"/>
    <x v="21"/>
    <n v="12.472"/>
    <n v="4552.28"/>
    <n v="16388.207999999999"/>
  </r>
  <r>
    <x v="0"/>
    <x v="0"/>
    <x v="0"/>
    <x v="0"/>
    <x v="0"/>
    <s v="DK1_MedSmall"/>
    <x v="2"/>
    <x v="1"/>
    <s v="GNR_ENG_NGAS_BP_E-40"/>
    <x v="0"/>
    <x v="22"/>
    <n v="12.472"/>
    <n v="4552.28"/>
    <n v="16388.207999999999"/>
  </r>
  <r>
    <x v="0"/>
    <x v="0"/>
    <x v="0"/>
    <x v="0"/>
    <x v="0"/>
    <s v="DK1_MedSmall"/>
    <x v="2"/>
    <x v="1"/>
    <s v="GNR_ENG_NGAS_BP_E-40"/>
    <x v="0"/>
    <x v="23"/>
    <n v="12.472"/>
    <n v="4552.28"/>
    <n v="16388.207999999999"/>
  </r>
  <r>
    <x v="0"/>
    <x v="0"/>
    <x v="0"/>
    <x v="0"/>
    <x v="0"/>
    <s v="DK1_MedSmall"/>
    <x v="2"/>
    <x v="1"/>
    <s v="GNR_ENG_NGAS_BP_E-41"/>
    <x v="0"/>
    <x v="3"/>
    <n v="8.52"/>
    <n v="3109.8"/>
    <n v="11195.28"/>
  </r>
  <r>
    <x v="0"/>
    <x v="0"/>
    <x v="0"/>
    <x v="0"/>
    <x v="0"/>
    <s v="DK1_MedSmall"/>
    <x v="2"/>
    <x v="1"/>
    <s v="GNR_ENG_NGAS_BP_E-41"/>
    <x v="0"/>
    <x v="4"/>
    <n v="8.52"/>
    <n v="3109.8"/>
    <n v="11195.28"/>
  </r>
  <r>
    <x v="0"/>
    <x v="0"/>
    <x v="0"/>
    <x v="0"/>
    <x v="0"/>
    <s v="DK1_MedSmall"/>
    <x v="2"/>
    <x v="1"/>
    <s v="GNR_ENG_NGAS_BP_E-41"/>
    <x v="0"/>
    <x v="5"/>
    <n v="8.52"/>
    <n v="3109.8"/>
    <n v="11195.28"/>
  </r>
  <r>
    <x v="0"/>
    <x v="0"/>
    <x v="0"/>
    <x v="0"/>
    <x v="0"/>
    <s v="DK1_MedSmall"/>
    <x v="2"/>
    <x v="1"/>
    <s v="GNR_ENG_NGAS_BP_E-41"/>
    <x v="0"/>
    <x v="6"/>
    <n v="8.52"/>
    <n v="3109.8"/>
    <n v="11195.28"/>
  </r>
  <r>
    <x v="0"/>
    <x v="0"/>
    <x v="0"/>
    <x v="0"/>
    <x v="0"/>
    <s v="DK1_MedSmall"/>
    <x v="2"/>
    <x v="1"/>
    <s v="GNR_ENG_NGAS_BP_E-41"/>
    <x v="0"/>
    <x v="7"/>
    <n v="8.52"/>
    <n v="3109.8"/>
    <n v="11195.28"/>
  </r>
  <r>
    <x v="0"/>
    <x v="0"/>
    <x v="0"/>
    <x v="0"/>
    <x v="0"/>
    <s v="DK1_MedSmall"/>
    <x v="2"/>
    <x v="1"/>
    <s v="GNR_ENG_NGAS_BP_E-41"/>
    <x v="0"/>
    <x v="8"/>
    <n v="8.52"/>
    <n v="3109.8"/>
    <n v="11195.28"/>
  </r>
  <r>
    <x v="0"/>
    <x v="0"/>
    <x v="0"/>
    <x v="0"/>
    <x v="0"/>
    <s v="DK1_MedSmall"/>
    <x v="2"/>
    <x v="1"/>
    <s v="GNR_ENG_NGAS_BP_E-41"/>
    <x v="0"/>
    <x v="0"/>
    <n v="8.52"/>
    <n v="3109.8"/>
    <n v="11195.28"/>
  </r>
  <r>
    <x v="0"/>
    <x v="0"/>
    <x v="0"/>
    <x v="0"/>
    <x v="0"/>
    <s v="DK1_MedSmall"/>
    <x v="2"/>
    <x v="1"/>
    <s v="GNR_ENG_NGAS_BP_E-41"/>
    <x v="0"/>
    <x v="1"/>
    <n v="8.52"/>
    <n v="3109.8"/>
    <n v="11195.28"/>
  </r>
  <r>
    <x v="0"/>
    <x v="0"/>
    <x v="0"/>
    <x v="0"/>
    <x v="0"/>
    <s v="DK1_MedSmall"/>
    <x v="2"/>
    <x v="1"/>
    <s v="GNR_ENG_NGAS_BP_E-41"/>
    <x v="0"/>
    <x v="2"/>
    <n v="8.52"/>
    <n v="3109.8"/>
    <n v="11195.28"/>
  </r>
  <r>
    <x v="0"/>
    <x v="0"/>
    <x v="0"/>
    <x v="0"/>
    <x v="0"/>
    <s v="DK1_MedSmall"/>
    <x v="2"/>
    <x v="1"/>
    <s v="GNR_ENG_NGAS_BP_E-41"/>
    <x v="0"/>
    <x v="9"/>
    <n v="8.52"/>
    <n v="3109.8"/>
    <n v="11195.28"/>
  </r>
  <r>
    <x v="0"/>
    <x v="0"/>
    <x v="0"/>
    <x v="0"/>
    <x v="0"/>
    <s v="DK1_MedSmall"/>
    <x v="2"/>
    <x v="1"/>
    <s v="GNR_ENG_NGAS_BP_E-41"/>
    <x v="0"/>
    <x v="10"/>
    <n v="8.52"/>
    <n v="3109.8"/>
    <n v="11195.28"/>
  </r>
  <r>
    <x v="0"/>
    <x v="0"/>
    <x v="0"/>
    <x v="0"/>
    <x v="0"/>
    <s v="DK1_MedSmall"/>
    <x v="2"/>
    <x v="1"/>
    <s v="GNR_ENG_NGAS_BP_E-41"/>
    <x v="0"/>
    <x v="11"/>
    <n v="8.52"/>
    <n v="3109.8"/>
    <n v="11195.28"/>
  </r>
  <r>
    <x v="0"/>
    <x v="0"/>
    <x v="0"/>
    <x v="0"/>
    <x v="0"/>
    <s v="DK1_MedSmall"/>
    <x v="2"/>
    <x v="1"/>
    <s v="GNR_ENG_NGAS_BP_E-41"/>
    <x v="0"/>
    <x v="12"/>
    <n v="8.52"/>
    <n v="3109.8"/>
    <n v="11195.28"/>
  </r>
  <r>
    <x v="0"/>
    <x v="0"/>
    <x v="0"/>
    <x v="0"/>
    <x v="0"/>
    <s v="DK1_MedSmall"/>
    <x v="2"/>
    <x v="1"/>
    <s v="GNR_ENG_NGAS_BP_E-41"/>
    <x v="0"/>
    <x v="13"/>
    <n v="8.52"/>
    <n v="3109.8"/>
    <n v="11195.28"/>
  </r>
  <r>
    <x v="0"/>
    <x v="0"/>
    <x v="0"/>
    <x v="0"/>
    <x v="0"/>
    <s v="DK1_MedSmall"/>
    <x v="2"/>
    <x v="1"/>
    <s v="GNR_ENG_NGAS_BP_E-41"/>
    <x v="0"/>
    <x v="14"/>
    <n v="8.52"/>
    <n v="3109.8"/>
    <n v="11195.28"/>
  </r>
  <r>
    <x v="0"/>
    <x v="0"/>
    <x v="0"/>
    <x v="0"/>
    <x v="0"/>
    <s v="DK1_MedSmall"/>
    <x v="2"/>
    <x v="1"/>
    <s v="GNR_ENG_NGAS_BP_E-41"/>
    <x v="0"/>
    <x v="15"/>
    <n v="8.52"/>
    <n v="3109.8"/>
    <n v="11195.28"/>
  </r>
  <r>
    <x v="0"/>
    <x v="0"/>
    <x v="0"/>
    <x v="0"/>
    <x v="0"/>
    <s v="DK1_MedSmall"/>
    <x v="2"/>
    <x v="1"/>
    <s v="GNR_ENG_NGAS_BP_E-41"/>
    <x v="0"/>
    <x v="16"/>
    <n v="8.52"/>
    <n v="3109.8"/>
    <n v="11195.28"/>
  </r>
  <r>
    <x v="0"/>
    <x v="0"/>
    <x v="0"/>
    <x v="0"/>
    <x v="0"/>
    <s v="DK1_MedSmall"/>
    <x v="2"/>
    <x v="1"/>
    <s v="GNR_ENG_NGAS_BP_E-41"/>
    <x v="0"/>
    <x v="17"/>
    <n v="8.52"/>
    <n v="3109.8"/>
    <n v="11195.28"/>
  </r>
  <r>
    <x v="0"/>
    <x v="0"/>
    <x v="0"/>
    <x v="0"/>
    <x v="0"/>
    <s v="DK1_MedSmall"/>
    <x v="2"/>
    <x v="1"/>
    <s v="GNR_ENG_NGAS_BP_E-41"/>
    <x v="0"/>
    <x v="18"/>
    <n v="8.52"/>
    <n v="3109.8"/>
    <n v="11195.28"/>
  </r>
  <r>
    <x v="0"/>
    <x v="0"/>
    <x v="0"/>
    <x v="0"/>
    <x v="0"/>
    <s v="DK1_MedSmall"/>
    <x v="2"/>
    <x v="1"/>
    <s v="GNR_ENG_NGAS_BP_E-41"/>
    <x v="0"/>
    <x v="19"/>
    <n v="8.52"/>
    <n v="3109.8"/>
    <n v="11195.28"/>
  </r>
  <r>
    <x v="0"/>
    <x v="0"/>
    <x v="0"/>
    <x v="0"/>
    <x v="0"/>
    <s v="DK1_MedSmall"/>
    <x v="2"/>
    <x v="1"/>
    <s v="GNR_ENG_NGAS_BP_E-41"/>
    <x v="0"/>
    <x v="20"/>
    <n v="8.52"/>
    <n v="3109.8"/>
    <n v="11195.28"/>
  </r>
  <r>
    <x v="0"/>
    <x v="0"/>
    <x v="0"/>
    <x v="0"/>
    <x v="0"/>
    <s v="DK1_MedSmall"/>
    <x v="2"/>
    <x v="1"/>
    <s v="GNR_ENG_NGAS_BP_E-41"/>
    <x v="0"/>
    <x v="21"/>
    <n v="8.52"/>
    <n v="3109.8"/>
    <n v="11195.28"/>
  </r>
  <r>
    <x v="0"/>
    <x v="0"/>
    <x v="0"/>
    <x v="0"/>
    <x v="0"/>
    <s v="DK1_MedSmall"/>
    <x v="2"/>
    <x v="1"/>
    <s v="GNR_ENG_NGAS_BP_E-41"/>
    <x v="0"/>
    <x v="22"/>
    <n v="8.52"/>
    <n v="3109.8"/>
    <n v="11195.28"/>
  </r>
  <r>
    <x v="0"/>
    <x v="0"/>
    <x v="0"/>
    <x v="0"/>
    <x v="0"/>
    <s v="DK1_MedSmall"/>
    <x v="2"/>
    <x v="1"/>
    <s v="GNR_ENG_NGAS_BP_E-41"/>
    <x v="0"/>
    <x v="23"/>
    <n v="8.52"/>
    <n v="3109.8"/>
    <n v="11195.28"/>
  </r>
  <r>
    <x v="0"/>
    <x v="0"/>
    <x v="0"/>
    <x v="0"/>
    <x v="0"/>
    <s v="DK1_MedSmall"/>
    <x v="2"/>
    <x v="1"/>
    <s v="GNR_ENG_NGAS_BP_E-46"/>
    <x v="0"/>
    <x v="3"/>
    <n v="2.21"/>
    <n v="806.65"/>
    <n v="2903.94"/>
  </r>
  <r>
    <x v="0"/>
    <x v="0"/>
    <x v="0"/>
    <x v="0"/>
    <x v="0"/>
    <s v="DK1_MedSmall"/>
    <x v="2"/>
    <x v="1"/>
    <s v="GNR_ENG_NGAS_BP_E-46"/>
    <x v="0"/>
    <x v="4"/>
    <n v="2.21"/>
    <n v="806.65"/>
    <n v="2903.94"/>
  </r>
  <r>
    <x v="0"/>
    <x v="0"/>
    <x v="0"/>
    <x v="0"/>
    <x v="0"/>
    <s v="DK1_MedSmall"/>
    <x v="2"/>
    <x v="1"/>
    <s v="GNR_ENG_NGAS_BP_E-46"/>
    <x v="0"/>
    <x v="5"/>
    <n v="2.21"/>
    <n v="806.65"/>
    <n v="2903.94"/>
  </r>
  <r>
    <x v="0"/>
    <x v="0"/>
    <x v="0"/>
    <x v="0"/>
    <x v="0"/>
    <s v="DK1_MedSmall"/>
    <x v="2"/>
    <x v="1"/>
    <s v="GNR_ENG_NGAS_BP_E-46"/>
    <x v="0"/>
    <x v="6"/>
    <n v="2.21"/>
    <n v="806.65"/>
    <n v="2903.94"/>
  </r>
  <r>
    <x v="0"/>
    <x v="0"/>
    <x v="0"/>
    <x v="0"/>
    <x v="0"/>
    <s v="DK1_MedSmall"/>
    <x v="2"/>
    <x v="1"/>
    <s v="GNR_ENG_NGAS_BP_E-46"/>
    <x v="0"/>
    <x v="7"/>
    <n v="2.21"/>
    <n v="806.65"/>
    <n v="2903.94"/>
  </r>
  <r>
    <x v="0"/>
    <x v="0"/>
    <x v="0"/>
    <x v="0"/>
    <x v="0"/>
    <s v="DK1_MedSmall"/>
    <x v="2"/>
    <x v="1"/>
    <s v="GNR_ENG_NGAS_BP_E-46"/>
    <x v="0"/>
    <x v="8"/>
    <n v="2.21"/>
    <n v="806.65"/>
    <n v="2903.94"/>
  </r>
  <r>
    <x v="0"/>
    <x v="0"/>
    <x v="0"/>
    <x v="0"/>
    <x v="0"/>
    <s v="DK1_MedSmall"/>
    <x v="2"/>
    <x v="1"/>
    <s v="GNR_ENG_NGAS_BP_E-46"/>
    <x v="0"/>
    <x v="0"/>
    <n v="2.21"/>
    <n v="806.65"/>
    <n v="2903.94"/>
  </r>
  <r>
    <x v="0"/>
    <x v="0"/>
    <x v="0"/>
    <x v="0"/>
    <x v="0"/>
    <s v="DK1_MedSmall"/>
    <x v="2"/>
    <x v="1"/>
    <s v="GNR_ENG_NGAS_BP_E-46"/>
    <x v="0"/>
    <x v="1"/>
    <n v="2.21"/>
    <n v="806.65"/>
    <n v="2903.94"/>
  </r>
  <r>
    <x v="0"/>
    <x v="0"/>
    <x v="0"/>
    <x v="0"/>
    <x v="0"/>
    <s v="DK1_MedSmall"/>
    <x v="2"/>
    <x v="1"/>
    <s v="GNR_ENG_NGAS_BP_E-46"/>
    <x v="0"/>
    <x v="2"/>
    <n v="2.21"/>
    <n v="806.65"/>
    <n v="2903.94"/>
  </r>
  <r>
    <x v="0"/>
    <x v="0"/>
    <x v="0"/>
    <x v="0"/>
    <x v="0"/>
    <s v="DK1_MedSmall"/>
    <x v="2"/>
    <x v="1"/>
    <s v="GNR_ENG_NGAS_BP_E-46"/>
    <x v="0"/>
    <x v="9"/>
    <n v="2.21"/>
    <n v="806.65"/>
    <n v="2903.94"/>
  </r>
  <r>
    <x v="0"/>
    <x v="0"/>
    <x v="0"/>
    <x v="0"/>
    <x v="0"/>
    <s v="DK1_MedSmall"/>
    <x v="2"/>
    <x v="1"/>
    <s v="GNR_ENG_NGAS_BP_E-46"/>
    <x v="0"/>
    <x v="10"/>
    <n v="2.21"/>
    <n v="806.65"/>
    <n v="2903.94"/>
  </r>
  <r>
    <x v="0"/>
    <x v="0"/>
    <x v="0"/>
    <x v="0"/>
    <x v="0"/>
    <s v="DK1_MedSmall"/>
    <x v="2"/>
    <x v="1"/>
    <s v="GNR_ENG_NGAS_BP_E-46"/>
    <x v="0"/>
    <x v="11"/>
    <n v="2.21"/>
    <n v="806.65"/>
    <n v="2903.94"/>
  </r>
  <r>
    <x v="0"/>
    <x v="0"/>
    <x v="0"/>
    <x v="0"/>
    <x v="0"/>
    <s v="DK1_MedSmall"/>
    <x v="2"/>
    <x v="1"/>
    <s v="GNR_ENG_NGAS_BP_E-46"/>
    <x v="0"/>
    <x v="12"/>
    <n v="2.21"/>
    <n v="806.65"/>
    <n v="2903.94"/>
  </r>
  <r>
    <x v="0"/>
    <x v="0"/>
    <x v="0"/>
    <x v="0"/>
    <x v="0"/>
    <s v="DK1_MedSmall"/>
    <x v="2"/>
    <x v="1"/>
    <s v="GNR_ENG_NGAS_BP_E-46"/>
    <x v="0"/>
    <x v="13"/>
    <n v="2.21"/>
    <n v="806.65"/>
    <n v="2903.94"/>
  </r>
  <r>
    <x v="0"/>
    <x v="0"/>
    <x v="0"/>
    <x v="0"/>
    <x v="0"/>
    <s v="DK1_MedSmall"/>
    <x v="2"/>
    <x v="1"/>
    <s v="GNR_ENG_NGAS_BP_E-46"/>
    <x v="0"/>
    <x v="14"/>
    <n v="2.21"/>
    <n v="806.65"/>
    <n v="2903.94"/>
  </r>
  <r>
    <x v="0"/>
    <x v="0"/>
    <x v="0"/>
    <x v="0"/>
    <x v="0"/>
    <s v="DK1_MedSmall"/>
    <x v="2"/>
    <x v="1"/>
    <s v="GNR_ENG_NGAS_BP_E-46"/>
    <x v="0"/>
    <x v="15"/>
    <n v="2.21"/>
    <n v="806.65"/>
    <n v="2903.94"/>
  </r>
  <r>
    <x v="0"/>
    <x v="0"/>
    <x v="0"/>
    <x v="0"/>
    <x v="0"/>
    <s v="DK1_MedSmall"/>
    <x v="2"/>
    <x v="1"/>
    <s v="GNR_ENG_NGAS_BP_E-46"/>
    <x v="0"/>
    <x v="16"/>
    <n v="2.21"/>
    <n v="806.65"/>
    <n v="2903.94"/>
  </r>
  <r>
    <x v="0"/>
    <x v="0"/>
    <x v="0"/>
    <x v="0"/>
    <x v="0"/>
    <s v="DK1_MedSmall"/>
    <x v="2"/>
    <x v="1"/>
    <s v="GNR_ENG_NGAS_BP_E-46"/>
    <x v="0"/>
    <x v="17"/>
    <n v="2.21"/>
    <n v="806.65"/>
    <n v="2903.94"/>
  </r>
  <r>
    <x v="0"/>
    <x v="0"/>
    <x v="0"/>
    <x v="0"/>
    <x v="0"/>
    <s v="DK1_MedSmall"/>
    <x v="2"/>
    <x v="1"/>
    <s v="GNR_ENG_NGAS_BP_E-46"/>
    <x v="0"/>
    <x v="18"/>
    <n v="2.21"/>
    <n v="806.65"/>
    <n v="2903.94"/>
  </r>
  <r>
    <x v="0"/>
    <x v="0"/>
    <x v="0"/>
    <x v="0"/>
    <x v="0"/>
    <s v="DK1_MedSmall"/>
    <x v="2"/>
    <x v="1"/>
    <s v="GNR_ENG_NGAS_BP_E-46"/>
    <x v="0"/>
    <x v="19"/>
    <n v="2.21"/>
    <n v="806.65"/>
    <n v="2903.94"/>
  </r>
  <r>
    <x v="0"/>
    <x v="0"/>
    <x v="0"/>
    <x v="0"/>
    <x v="0"/>
    <s v="DK1_MedSmall"/>
    <x v="2"/>
    <x v="1"/>
    <s v="GNR_ENG_NGAS_BP_E-46"/>
    <x v="0"/>
    <x v="20"/>
    <n v="2.21"/>
    <n v="806.65"/>
    <n v="2903.94"/>
  </r>
  <r>
    <x v="0"/>
    <x v="0"/>
    <x v="0"/>
    <x v="0"/>
    <x v="0"/>
    <s v="DK1_MedSmall"/>
    <x v="2"/>
    <x v="1"/>
    <s v="GNR_ENG_NGAS_BP_E-46"/>
    <x v="0"/>
    <x v="21"/>
    <n v="2.21"/>
    <n v="806.65"/>
    <n v="2903.94"/>
  </r>
  <r>
    <x v="0"/>
    <x v="0"/>
    <x v="0"/>
    <x v="0"/>
    <x v="0"/>
    <s v="DK1_MedSmall"/>
    <x v="2"/>
    <x v="1"/>
    <s v="GNR_ENG_NGAS_BP_E-46"/>
    <x v="0"/>
    <x v="22"/>
    <n v="2.21"/>
    <n v="806.65"/>
    <n v="2903.94"/>
  </r>
  <r>
    <x v="0"/>
    <x v="0"/>
    <x v="0"/>
    <x v="0"/>
    <x v="0"/>
    <s v="DK1_MedSmall"/>
    <x v="2"/>
    <x v="1"/>
    <s v="GNR_ENG_NGAS_BP_E-46"/>
    <x v="0"/>
    <x v="23"/>
    <n v="2.21"/>
    <n v="806.65"/>
    <n v="2903.94"/>
  </r>
  <r>
    <x v="0"/>
    <x v="0"/>
    <x v="0"/>
    <x v="0"/>
    <x v="0"/>
    <s v="DK1_MedSmall"/>
    <x v="2"/>
    <x v="1"/>
    <s v="GNR_GT_NGAS_BP_E-31"/>
    <x v="0"/>
    <x v="3"/>
    <n v="17"/>
    <n v="6205"/>
    <n v="22338"/>
  </r>
  <r>
    <x v="0"/>
    <x v="0"/>
    <x v="0"/>
    <x v="0"/>
    <x v="0"/>
    <s v="DK1_MedSmall"/>
    <x v="2"/>
    <x v="1"/>
    <s v="GNR_GT_NGAS_BP_E-31"/>
    <x v="0"/>
    <x v="4"/>
    <n v="17"/>
    <n v="6205"/>
    <n v="22338"/>
  </r>
  <r>
    <x v="0"/>
    <x v="0"/>
    <x v="0"/>
    <x v="0"/>
    <x v="0"/>
    <s v="DK1_MedSmall"/>
    <x v="2"/>
    <x v="1"/>
    <s v="GNR_GT_NGAS_BP_E-31"/>
    <x v="0"/>
    <x v="5"/>
    <n v="17"/>
    <n v="6205"/>
    <n v="22338"/>
  </r>
  <r>
    <x v="0"/>
    <x v="0"/>
    <x v="0"/>
    <x v="0"/>
    <x v="0"/>
    <s v="DK1_MedSmall"/>
    <x v="2"/>
    <x v="1"/>
    <s v="GNR_GT_NGAS_BP_E-31"/>
    <x v="0"/>
    <x v="6"/>
    <n v="17"/>
    <n v="6205"/>
    <n v="22338"/>
  </r>
  <r>
    <x v="0"/>
    <x v="0"/>
    <x v="0"/>
    <x v="0"/>
    <x v="0"/>
    <s v="DK1_MedSmall"/>
    <x v="2"/>
    <x v="1"/>
    <s v="GNR_GT_NGAS_BP_E-31"/>
    <x v="0"/>
    <x v="7"/>
    <n v="17"/>
    <n v="6205"/>
    <n v="22338"/>
  </r>
  <r>
    <x v="0"/>
    <x v="0"/>
    <x v="0"/>
    <x v="0"/>
    <x v="0"/>
    <s v="DK1_MedSmall"/>
    <x v="2"/>
    <x v="1"/>
    <s v="GNR_GT_NGAS_BP_E-31"/>
    <x v="0"/>
    <x v="8"/>
    <n v="17"/>
    <n v="6205"/>
    <n v="22338"/>
  </r>
  <r>
    <x v="0"/>
    <x v="0"/>
    <x v="0"/>
    <x v="0"/>
    <x v="0"/>
    <s v="DK1_MedSmall"/>
    <x v="2"/>
    <x v="1"/>
    <s v="GNR_GT_NGAS_BP_E-31"/>
    <x v="0"/>
    <x v="0"/>
    <n v="17"/>
    <n v="6205"/>
    <n v="22338"/>
  </r>
  <r>
    <x v="0"/>
    <x v="0"/>
    <x v="0"/>
    <x v="0"/>
    <x v="0"/>
    <s v="DK1_MedSmall"/>
    <x v="2"/>
    <x v="1"/>
    <s v="GNR_GT_NGAS_BP_E-31"/>
    <x v="0"/>
    <x v="1"/>
    <n v="17"/>
    <n v="6205"/>
    <n v="22338"/>
  </r>
  <r>
    <x v="0"/>
    <x v="0"/>
    <x v="0"/>
    <x v="0"/>
    <x v="0"/>
    <s v="DK1_MedSmall"/>
    <x v="2"/>
    <x v="1"/>
    <s v="GNR_GT_NGAS_BP_E-31"/>
    <x v="0"/>
    <x v="2"/>
    <n v="17"/>
    <n v="6205"/>
    <n v="22338"/>
  </r>
  <r>
    <x v="0"/>
    <x v="0"/>
    <x v="0"/>
    <x v="0"/>
    <x v="0"/>
    <s v="DK1_MedSmall"/>
    <x v="2"/>
    <x v="1"/>
    <s v="GNR_GT_NGAS_BP_E-31"/>
    <x v="0"/>
    <x v="9"/>
    <n v="17"/>
    <n v="6205"/>
    <n v="22338"/>
  </r>
  <r>
    <x v="0"/>
    <x v="0"/>
    <x v="0"/>
    <x v="0"/>
    <x v="0"/>
    <s v="DK1_MedSmall"/>
    <x v="2"/>
    <x v="1"/>
    <s v="GNR_GT_NGAS_BP_E-31"/>
    <x v="0"/>
    <x v="10"/>
    <n v="17"/>
    <n v="6205"/>
    <n v="22338"/>
  </r>
  <r>
    <x v="0"/>
    <x v="0"/>
    <x v="0"/>
    <x v="0"/>
    <x v="0"/>
    <s v="DK1_MedSmall"/>
    <x v="2"/>
    <x v="1"/>
    <s v="GNR_GT_NGAS_BP_E-31"/>
    <x v="0"/>
    <x v="11"/>
    <n v="17"/>
    <n v="6205"/>
    <n v="22338"/>
  </r>
  <r>
    <x v="0"/>
    <x v="0"/>
    <x v="0"/>
    <x v="0"/>
    <x v="0"/>
    <s v="DK1_MedSmall"/>
    <x v="2"/>
    <x v="1"/>
    <s v="GNR_GT_NGAS_BP_E-31"/>
    <x v="0"/>
    <x v="12"/>
    <n v="17"/>
    <n v="6205"/>
    <n v="22338"/>
  </r>
  <r>
    <x v="0"/>
    <x v="0"/>
    <x v="0"/>
    <x v="0"/>
    <x v="0"/>
    <s v="DK1_MedSmall"/>
    <x v="2"/>
    <x v="1"/>
    <s v="GNR_GT_NGAS_BP_E-31"/>
    <x v="0"/>
    <x v="13"/>
    <n v="17"/>
    <n v="6205"/>
    <n v="22338"/>
  </r>
  <r>
    <x v="0"/>
    <x v="0"/>
    <x v="0"/>
    <x v="0"/>
    <x v="0"/>
    <s v="DK1_MedSmall"/>
    <x v="2"/>
    <x v="1"/>
    <s v="GNR_GT_NGAS_BP_E-31"/>
    <x v="0"/>
    <x v="14"/>
    <n v="17"/>
    <n v="6205"/>
    <n v="22338"/>
  </r>
  <r>
    <x v="0"/>
    <x v="0"/>
    <x v="0"/>
    <x v="0"/>
    <x v="0"/>
    <s v="DK1_MedSmall"/>
    <x v="2"/>
    <x v="1"/>
    <s v="GNR_GT_NGAS_BP_E-31"/>
    <x v="0"/>
    <x v="15"/>
    <n v="17"/>
    <n v="6205"/>
    <n v="22338"/>
  </r>
  <r>
    <x v="0"/>
    <x v="0"/>
    <x v="0"/>
    <x v="0"/>
    <x v="0"/>
    <s v="DK1_MedSmall"/>
    <x v="2"/>
    <x v="1"/>
    <s v="GNR_GT_NGAS_BP_E-31"/>
    <x v="0"/>
    <x v="16"/>
    <n v="17"/>
    <n v="6205"/>
    <n v="22338"/>
  </r>
  <r>
    <x v="0"/>
    <x v="0"/>
    <x v="0"/>
    <x v="0"/>
    <x v="0"/>
    <s v="DK1_MedSmall"/>
    <x v="2"/>
    <x v="1"/>
    <s v="GNR_GT_NGAS_BP_E-31"/>
    <x v="0"/>
    <x v="17"/>
    <n v="17"/>
    <n v="6205"/>
    <n v="22338"/>
  </r>
  <r>
    <x v="0"/>
    <x v="0"/>
    <x v="0"/>
    <x v="0"/>
    <x v="0"/>
    <s v="DK1_MedSmall"/>
    <x v="2"/>
    <x v="1"/>
    <s v="GNR_GT_NGAS_BP_E-31"/>
    <x v="0"/>
    <x v="18"/>
    <n v="17"/>
    <n v="6205"/>
    <n v="22338"/>
  </r>
  <r>
    <x v="0"/>
    <x v="0"/>
    <x v="0"/>
    <x v="0"/>
    <x v="0"/>
    <s v="DK1_MedSmall"/>
    <x v="2"/>
    <x v="1"/>
    <s v="GNR_GT_NGAS_BP_E-31"/>
    <x v="0"/>
    <x v="19"/>
    <n v="17"/>
    <n v="6205"/>
    <n v="22338"/>
  </r>
  <r>
    <x v="0"/>
    <x v="0"/>
    <x v="0"/>
    <x v="0"/>
    <x v="0"/>
    <s v="DK1_MedSmall"/>
    <x v="2"/>
    <x v="1"/>
    <s v="GNR_GT_NGAS_BP_E-31"/>
    <x v="0"/>
    <x v="20"/>
    <n v="17"/>
    <n v="6205"/>
    <n v="22338"/>
  </r>
  <r>
    <x v="0"/>
    <x v="0"/>
    <x v="0"/>
    <x v="0"/>
    <x v="0"/>
    <s v="DK1_MedSmall"/>
    <x v="2"/>
    <x v="1"/>
    <s v="GNR_GT_NGAS_BP_E-31"/>
    <x v="0"/>
    <x v="21"/>
    <n v="17"/>
    <n v="6205"/>
    <n v="22338"/>
  </r>
  <r>
    <x v="0"/>
    <x v="0"/>
    <x v="0"/>
    <x v="0"/>
    <x v="0"/>
    <s v="DK1_MedSmall"/>
    <x v="2"/>
    <x v="1"/>
    <s v="GNR_GT_NGAS_BP_E-31"/>
    <x v="0"/>
    <x v="22"/>
    <n v="17"/>
    <n v="6205"/>
    <n v="22338"/>
  </r>
  <r>
    <x v="0"/>
    <x v="0"/>
    <x v="0"/>
    <x v="0"/>
    <x v="0"/>
    <s v="DK1_MedSmall"/>
    <x v="2"/>
    <x v="1"/>
    <s v="GNR_GT_NGAS_BP_E-31"/>
    <x v="0"/>
    <x v="23"/>
    <n v="17"/>
    <n v="6205"/>
    <n v="22338"/>
  </r>
  <r>
    <x v="0"/>
    <x v="0"/>
    <x v="0"/>
    <x v="0"/>
    <x v="0"/>
    <s v="DK1_MedSmall"/>
    <x v="3"/>
    <x v="1"/>
    <s v="GNR_ST_STRW_BP_E-21"/>
    <x v="0"/>
    <x v="3"/>
    <n v="17.5"/>
    <n v="6387.5"/>
    <n v="22995"/>
  </r>
  <r>
    <x v="0"/>
    <x v="0"/>
    <x v="0"/>
    <x v="0"/>
    <x v="0"/>
    <s v="DK1_MedSmall"/>
    <x v="3"/>
    <x v="1"/>
    <s v="GNR_ST_STRW_BP_E-21"/>
    <x v="0"/>
    <x v="4"/>
    <n v="17.5"/>
    <n v="6387.5"/>
    <n v="22995"/>
  </r>
  <r>
    <x v="0"/>
    <x v="0"/>
    <x v="0"/>
    <x v="0"/>
    <x v="0"/>
    <s v="DK1_MedSmall"/>
    <x v="3"/>
    <x v="1"/>
    <s v="GNR_ST_STRW_BP_E-21"/>
    <x v="0"/>
    <x v="5"/>
    <n v="17.5"/>
    <n v="6387.5"/>
    <n v="22995"/>
  </r>
  <r>
    <x v="0"/>
    <x v="0"/>
    <x v="0"/>
    <x v="0"/>
    <x v="0"/>
    <s v="DK1_MedSmall"/>
    <x v="3"/>
    <x v="1"/>
    <s v="GNR_ST_STRW_BP_E-21"/>
    <x v="0"/>
    <x v="6"/>
    <n v="17.5"/>
    <n v="6387.5"/>
    <n v="22995"/>
  </r>
  <r>
    <x v="0"/>
    <x v="0"/>
    <x v="0"/>
    <x v="0"/>
    <x v="0"/>
    <s v="DK1_MedSmall"/>
    <x v="3"/>
    <x v="1"/>
    <s v="GNR_ST_STRW_BP_E-21"/>
    <x v="0"/>
    <x v="7"/>
    <n v="17.5"/>
    <n v="6387.5"/>
    <n v="22995"/>
  </r>
  <r>
    <x v="0"/>
    <x v="0"/>
    <x v="0"/>
    <x v="0"/>
    <x v="0"/>
    <s v="DK1_MedSmall"/>
    <x v="3"/>
    <x v="1"/>
    <s v="GNR_ST_STRW_BP_E-21"/>
    <x v="0"/>
    <x v="8"/>
    <n v="17.5"/>
    <n v="6387.5"/>
    <n v="22995"/>
  </r>
  <r>
    <x v="0"/>
    <x v="0"/>
    <x v="0"/>
    <x v="0"/>
    <x v="0"/>
    <s v="DK1_MedSmall"/>
    <x v="3"/>
    <x v="1"/>
    <s v="GNR_ST_STRW_BP_E-21"/>
    <x v="0"/>
    <x v="0"/>
    <n v="17.5"/>
    <n v="6387.5"/>
    <n v="22995"/>
  </r>
  <r>
    <x v="0"/>
    <x v="0"/>
    <x v="0"/>
    <x v="0"/>
    <x v="0"/>
    <s v="DK1_MedSmall"/>
    <x v="3"/>
    <x v="1"/>
    <s v="GNR_ST_STRW_BP_E-21"/>
    <x v="0"/>
    <x v="1"/>
    <n v="17.5"/>
    <n v="6387.5"/>
    <n v="22995"/>
  </r>
  <r>
    <x v="0"/>
    <x v="0"/>
    <x v="0"/>
    <x v="0"/>
    <x v="0"/>
    <s v="DK1_MedSmall"/>
    <x v="3"/>
    <x v="1"/>
    <s v="GNR_ST_STRW_BP_E-21"/>
    <x v="0"/>
    <x v="2"/>
    <n v="17.5"/>
    <n v="6387.5"/>
    <n v="22995"/>
  </r>
  <r>
    <x v="0"/>
    <x v="0"/>
    <x v="0"/>
    <x v="0"/>
    <x v="0"/>
    <s v="DK1_MedSmall"/>
    <x v="3"/>
    <x v="1"/>
    <s v="GNR_ST_STRW_BP_E-21"/>
    <x v="0"/>
    <x v="9"/>
    <n v="17.5"/>
    <n v="6387.5"/>
    <n v="22995"/>
  </r>
  <r>
    <x v="0"/>
    <x v="0"/>
    <x v="0"/>
    <x v="0"/>
    <x v="0"/>
    <s v="DK1_MedSmall"/>
    <x v="3"/>
    <x v="1"/>
    <s v="GNR_ST_STRW_BP_E-21"/>
    <x v="0"/>
    <x v="10"/>
    <n v="17.5"/>
    <n v="6387.5"/>
    <n v="22995"/>
  </r>
  <r>
    <x v="0"/>
    <x v="0"/>
    <x v="0"/>
    <x v="0"/>
    <x v="0"/>
    <s v="DK1_MedSmall"/>
    <x v="3"/>
    <x v="1"/>
    <s v="GNR_ST_STRW_BP_E-21"/>
    <x v="0"/>
    <x v="11"/>
    <n v="17.5"/>
    <n v="6387.5"/>
    <n v="22995"/>
  </r>
  <r>
    <x v="0"/>
    <x v="0"/>
    <x v="0"/>
    <x v="0"/>
    <x v="0"/>
    <s v="DK1_MedSmall"/>
    <x v="3"/>
    <x v="1"/>
    <s v="GNR_ST_STRW_BP_E-21"/>
    <x v="0"/>
    <x v="12"/>
    <n v="17.5"/>
    <n v="6387.5"/>
    <n v="22995"/>
  </r>
  <r>
    <x v="0"/>
    <x v="0"/>
    <x v="0"/>
    <x v="0"/>
    <x v="0"/>
    <s v="DK1_MedSmall"/>
    <x v="3"/>
    <x v="1"/>
    <s v="GNR_ST_STRW_BP_E-21"/>
    <x v="0"/>
    <x v="13"/>
    <n v="17.5"/>
    <n v="6387.5"/>
    <n v="22995"/>
  </r>
  <r>
    <x v="0"/>
    <x v="0"/>
    <x v="0"/>
    <x v="0"/>
    <x v="0"/>
    <s v="DK1_MedSmall"/>
    <x v="3"/>
    <x v="1"/>
    <s v="GNR_ST_STRW_BP_E-21"/>
    <x v="0"/>
    <x v="14"/>
    <n v="17.5"/>
    <n v="6387.5"/>
    <n v="22995"/>
  </r>
  <r>
    <x v="0"/>
    <x v="0"/>
    <x v="0"/>
    <x v="0"/>
    <x v="0"/>
    <s v="DK1_MedSmall"/>
    <x v="3"/>
    <x v="1"/>
    <s v="GNR_ST_STRW_BP_E-21"/>
    <x v="0"/>
    <x v="15"/>
    <n v="17.5"/>
    <n v="6387.5"/>
    <n v="22995"/>
  </r>
  <r>
    <x v="0"/>
    <x v="0"/>
    <x v="0"/>
    <x v="0"/>
    <x v="0"/>
    <s v="DK1_MedSmall"/>
    <x v="3"/>
    <x v="1"/>
    <s v="GNR_ST_STRW_BP_E-21"/>
    <x v="0"/>
    <x v="16"/>
    <n v="17.5"/>
    <n v="6387.5"/>
    <n v="22995"/>
  </r>
  <r>
    <x v="0"/>
    <x v="0"/>
    <x v="0"/>
    <x v="0"/>
    <x v="0"/>
    <s v="DK1_MedSmall"/>
    <x v="3"/>
    <x v="1"/>
    <s v="GNR_ST_STRW_BP_E-21"/>
    <x v="0"/>
    <x v="17"/>
    <n v="17.5"/>
    <n v="6387.5"/>
    <n v="22995"/>
  </r>
  <r>
    <x v="0"/>
    <x v="0"/>
    <x v="0"/>
    <x v="0"/>
    <x v="0"/>
    <s v="DK1_MedSmall"/>
    <x v="3"/>
    <x v="1"/>
    <s v="GNR_ST_STRW_BP_E-21"/>
    <x v="0"/>
    <x v="18"/>
    <n v="17.5"/>
    <n v="6387.5"/>
    <n v="22995"/>
  </r>
  <r>
    <x v="0"/>
    <x v="0"/>
    <x v="0"/>
    <x v="0"/>
    <x v="0"/>
    <s v="DK1_MedSmall"/>
    <x v="3"/>
    <x v="1"/>
    <s v="GNR_ST_STRW_BP_E-21"/>
    <x v="0"/>
    <x v="19"/>
    <n v="17.5"/>
    <n v="6387.5"/>
    <n v="22995"/>
  </r>
  <r>
    <x v="0"/>
    <x v="0"/>
    <x v="0"/>
    <x v="0"/>
    <x v="0"/>
    <s v="DK1_MedSmall"/>
    <x v="3"/>
    <x v="1"/>
    <s v="GNR_ST_STRW_BP_E-21"/>
    <x v="0"/>
    <x v="20"/>
    <n v="17.5"/>
    <n v="6387.5"/>
    <n v="22995"/>
  </r>
  <r>
    <x v="0"/>
    <x v="0"/>
    <x v="0"/>
    <x v="0"/>
    <x v="0"/>
    <s v="DK1_MedSmall"/>
    <x v="3"/>
    <x v="1"/>
    <s v="GNR_ST_STRW_BP_E-21"/>
    <x v="0"/>
    <x v="21"/>
    <n v="17.5"/>
    <n v="6387.5"/>
    <n v="22995"/>
  </r>
  <r>
    <x v="0"/>
    <x v="0"/>
    <x v="0"/>
    <x v="0"/>
    <x v="0"/>
    <s v="DK1_MedSmall"/>
    <x v="3"/>
    <x v="1"/>
    <s v="GNR_ST_STRW_BP_E-21"/>
    <x v="0"/>
    <x v="22"/>
    <n v="17.5"/>
    <n v="6387.5"/>
    <n v="22995"/>
  </r>
  <r>
    <x v="0"/>
    <x v="0"/>
    <x v="0"/>
    <x v="0"/>
    <x v="0"/>
    <s v="DK1_MedSmall"/>
    <x v="3"/>
    <x v="1"/>
    <s v="GNR_ST_STRW_BP_E-21"/>
    <x v="0"/>
    <x v="23"/>
    <n v="17.5"/>
    <n v="6387.5"/>
    <n v="22995"/>
  </r>
  <r>
    <x v="0"/>
    <x v="0"/>
    <x v="0"/>
    <x v="0"/>
    <x v="0"/>
    <s v="DK1_Medium"/>
    <x v="1"/>
    <x v="1"/>
    <s v="GNR_ST_MSW_BP_E-22"/>
    <x v="0"/>
    <x v="0"/>
    <n v="5.2311896076676199"/>
    <n v="1909.38420679868"/>
    <n v="6873.7831444752601"/>
  </r>
  <r>
    <x v="0"/>
    <x v="0"/>
    <x v="0"/>
    <x v="0"/>
    <x v="0"/>
    <s v="DK1_Medium"/>
    <x v="1"/>
    <x v="1"/>
    <s v="GNR_ST_MSW_BP_E-22"/>
    <x v="0"/>
    <x v="1"/>
    <n v="26.922684545083701"/>
    <n v="9826.7798589555296"/>
    <n v="35376.407492239901"/>
  </r>
  <r>
    <x v="0"/>
    <x v="0"/>
    <x v="0"/>
    <x v="0"/>
    <x v="0"/>
    <s v="DK1_Medium"/>
    <x v="1"/>
    <x v="1"/>
    <s v="GNR_ST_MSW_BP_E-22"/>
    <x v="0"/>
    <x v="2"/>
    <n v="30.163942409295299"/>
    <n v="11009.8389793928"/>
    <n v="39635.420325813997"/>
  </r>
  <r>
    <x v="0"/>
    <x v="0"/>
    <x v="0"/>
    <x v="0"/>
    <x v="0"/>
    <s v="DK1_Medium"/>
    <x v="2"/>
    <x v="1"/>
    <s v="GNR_ENG_NGAS_BP_E-34"/>
    <x v="0"/>
    <x v="0"/>
    <n v="0.66"/>
    <n v="240.9"/>
    <n v="867.24"/>
  </r>
  <r>
    <x v="0"/>
    <x v="0"/>
    <x v="0"/>
    <x v="0"/>
    <x v="0"/>
    <s v="DK1_Medium"/>
    <x v="2"/>
    <x v="1"/>
    <s v="GNR_ENG_NGAS_BP_E-34"/>
    <x v="0"/>
    <x v="1"/>
    <n v="0.66"/>
    <n v="240.9"/>
    <n v="867.24"/>
  </r>
  <r>
    <x v="0"/>
    <x v="0"/>
    <x v="0"/>
    <x v="0"/>
    <x v="0"/>
    <s v="DK1_Medium"/>
    <x v="2"/>
    <x v="1"/>
    <s v="GNR_ENG_NGAS_BP_E-34"/>
    <x v="0"/>
    <x v="2"/>
    <n v="0.66"/>
    <n v="240.9"/>
    <n v="867.24"/>
  </r>
  <r>
    <x v="0"/>
    <x v="0"/>
    <x v="0"/>
    <x v="0"/>
    <x v="0"/>
    <s v="DK1_Medium"/>
    <x v="2"/>
    <x v="1"/>
    <s v="GNR_ENG_NGAS_BP_E-34"/>
    <x v="0"/>
    <x v="9"/>
    <n v="0.66"/>
    <n v="240.9"/>
    <n v="867.24"/>
  </r>
  <r>
    <x v="0"/>
    <x v="0"/>
    <x v="0"/>
    <x v="0"/>
    <x v="0"/>
    <s v="DK1_Medium"/>
    <x v="2"/>
    <x v="1"/>
    <s v="GNR_ENG_NGAS_BP_E-34"/>
    <x v="0"/>
    <x v="10"/>
    <n v="0.66"/>
    <n v="240.9"/>
    <n v="867.24"/>
  </r>
  <r>
    <x v="0"/>
    <x v="0"/>
    <x v="0"/>
    <x v="0"/>
    <x v="0"/>
    <s v="DK1_Medium"/>
    <x v="2"/>
    <x v="1"/>
    <s v="GNR_ENG_NGAS_BP_E-34"/>
    <x v="0"/>
    <x v="11"/>
    <n v="0.66"/>
    <n v="240.9"/>
    <n v="867.24"/>
  </r>
  <r>
    <x v="0"/>
    <x v="0"/>
    <x v="0"/>
    <x v="0"/>
    <x v="0"/>
    <s v="DK1_Medium"/>
    <x v="2"/>
    <x v="1"/>
    <s v="GNR_ENG_NGAS_BP_E-34"/>
    <x v="0"/>
    <x v="12"/>
    <n v="0.66"/>
    <n v="240.9"/>
    <n v="867.24"/>
  </r>
  <r>
    <x v="0"/>
    <x v="0"/>
    <x v="0"/>
    <x v="0"/>
    <x v="0"/>
    <s v="DK1_Medium"/>
    <x v="2"/>
    <x v="1"/>
    <s v="GNR_ENG_NGAS_BP_E-34"/>
    <x v="0"/>
    <x v="13"/>
    <n v="0.66"/>
    <n v="240.9"/>
    <n v="867.24"/>
  </r>
  <r>
    <x v="0"/>
    <x v="0"/>
    <x v="0"/>
    <x v="0"/>
    <x v="0"/>
    <s v="DK1_Medium"/>
    <x v="2"/>
    <x v="1"/>
    <s v="GNR_ENG_NGAS_BP_E-34"/>
    <x v="0"/>
    <x v="14"/>
    <n v="0.66"/>
    <n v="240.9"/>
    <n v="867.24"/>
  </r>
  <r>
    <x v="0"/>
    <x v="0"/>
    <x v="0"/>
    <x v="0"/>
    <x v="0"/>
    <s v="DK1_Medium"/>
    <x v="2"/>
    <x v="1"/>
    <s v="GNR_ENG_NGAS_BP_E-34"/>
    <x v="0"/>
    <x v="15"/>
    <n v="0.66"/>
    <n v="240.9"/>
    <n v="867.24"/>
  </r>
  <r>
    <x v="0"/>
    <x v="0"/>
    <x v="0"/>
    <x v="0"/>
    <x v="0"/>
    <s v="DK1_Medium"/>
    <x v="2"/>
    <x v="1"/>
    <s v="GNR_ENG_NGAS_BP_E-34"/>
    <x v="0"/>
    <x v="16"/>
    <n v="0.66"/>
    <n v="240.9"/>
    <n v="867.24"/>
  </r>
  <r>
    <x v="0"/>
    <x v="0"/>
    <x v="0"/>
    <x v="0"/>
    <x v="0"/>
    <s v="DK1_Medium"/>
    <x v="2"/>
    <x v="1"/>
    <s v="GNR_ENG_NGAS_BP_E-34"/>
    <x v="0"/>
    <x v="17"/>
    <n v="0.66"/>
    <n v="240.9"/>
    <n v="867.24"/>
  </r>
  <r>
    <x v="0"/>
    <x v="0"/>
    <x v="0"/>
    <x v="0"/>
    <x v="0"/>
    <s v="DK1_Medium"/>
    <x v="2"/>
    <x v="1"/>
    <s v="GNR_ENG_NGAS_BP_E-34"/>
    <x v="0"/>
    <x v="18"/>
    <n v="0.66"/>
    <n v="240.9"/>
    <n v="867.24"/>
  </r>
  <r>
    <x v="0"/>
    <x v="0"/>
    <x v="0"/>
    <x v="0"/>
    <x v="0"/>
    <s v="DK1_Medium"/>
    <x v="2"/>
    <x v="1"/>
    <s v="GNR_ENG_NGAS_BP_E-36"/>
    <x v="0"/>
    <x v="8"/>
    <n v="2.0699999999999998"/>
    <n v="755.55"/>
    <n v="2719.98"/>
  </r>
  <r>
    <x v="0"/>
    <x v="0"/>
    <x v="0"/>
    <x v="0"/>
    <x v="0"/>
    <s v="DK1_Medium"/>
    <x v="2"/>
    <x v="1"/>
    <s v="GNR_ENG_NGAS_BP_E-36"/>
    <x v="0"/>
    <x v="0"/>
    <n v="2.0699999999999998"/>
    <n v="755.55"/>
    <n v="2719.98"/>
  </r>
  <r>
    <x v="0"/>
    <x v="0"/>
    <x v="0"/>
    <x v="0"/>
    <x v="0"/>
    <s v="DK1_Medium"/>
    <x v="2"/>
    <x v="1"/>
    <s v="GNR_ENG_NGAS_BP_E-36"/>
    <x v="0"/>
    <x v="1"/>
    <n v="2.0699999999999998"/>
    <n v="755.55"/>
    <n v="2719.98"/>
  </r>
  <r>
    <x v="0"/>
    <x v="0"/>
    <x v="0"/>
    <x v="0"/>
    <x v="0"/>
    <s v="DK1_Medium"/>
    <x v="2"/>
    <x v="1"/>
    <s v="GNR_ENG_NGAS_BP_E-36"/>
    <x v="0"/>
    <x v="2"/>
    <n v="2.0699999999999998"/>
    <n v="755.55"/>
    <n v="2719.98"/>
  </r>
  <r>
    <x v="0"/>
    <x v="0"/>
    <x v="0"/>
    <x v="0"/>
    <x v="0"/>
    <s v="DK1_Medium"/>
    <x v="2"/>
    <x v="1"/>
    <s v="GNR_ENG_NGAS_BP_E-36"/>
    <x v="0"/>
    <x v="9"/>
    <n v="2.0699999999999998"/>
    <n v="755.55"/>
    <n v="2719.98"/>
  </r>
  <r>
    <x v="0"/>
    <x v="0"/>
    <x v="0"/>
    <x v="0"/>
    <x v="0"/>
    <s v="DK1_Medium"/>
    <x v="2"/>
    <x v="1"/>
    <s v="GNR_ENG_NGAS_BP_E-36"/>
    <x v="0"/>
    <x v="10"/>
    <n v="2.0699999999999998"/>
    <n v="755.55"/>
    <n v="2719.98"/>
  </r>
  <r>
    <x v="0"/>
    <x v="0"/>
    <x v="0"/>
    <x v="0"/>
    <x v="0"/>
    <s v="DK1_Medium"/>
    <x v="2"/>
    <x v="1"/>
    <s v="GNR_ENG_NGAS_BP_E-36"/>
    <x v="0"/>
    <x v="11"/>
    <n v="2.0699999999999998"/>
    <n v="755.55"/>
    <n v="2719.98"/>
  </r>
  <r>
    <x v="0"/>
    <x v="0"/>
    <x v="0"/>
    <x v="0"/>
    <x v="0"/>
    <s v="DK1_Medium"/>
    <x v="2"/>
    <x v="1"/>
    <s v="GNR_ENG_NGAS_BP_E-36"/>
    <x v="0"/>
    <x v="12"/>
    <n v="2.0699999999999998"/>
    <n v="755.55"/>
    <n v="2719.98"/>
  </r>
  <r>
    <x v="0"/>
    <x v="0"/>
    <x v="0"/>
    <x v="0"/>
    <x v="0"/>
    <s v="DK1_Medium"/>
    <x v="2"/>
    <x v="1"/>
    <s v="GNR_ENG_NGAS_BP_E-36"/>
    <x v="0"/>
    <x v="13"/>
    <n v="2.0699999999999998"/>
    <n v="755.55"/>
    <n v="2719.98"/>
  </r>
  <r>
    <x v="0"/>
    <x v="0"/>
    <x v="0"/>
    <x v="0"/>
    <x v="0"/>
    <s v="DK1_Medium"/>
    <x v="2"/>
    <x v="1"/>
    <s v="GNR_ENG_NGAS_BP_E-36"/>
    <x v="0"/>
    <x v="14"/>
    <n v="2.0699999999999998"/>
    <n v="755.55"/>
    <n v="2719.98"/>
  </r>
  <r>
    <x v="0"/>
    <x v="0"/>
    <x v="0"/>
    <x v="0"/>
    <x v="0"/>
    <s v="DK1_Medium"/>
    <x v="2"/>
    <x v="1"/>
    <s v="GNR_ENG_NGAS_BP_E-36"/>
    <x v="0"/>
    <x v="15"/>
    <n v="2.0699999999999998"/>
    <n v="755.55"/>
    <n v="2719.98"/>
  </r>
  <r>
    <x v="0"/>
    <x v="0"/>
    <x v="0"/>
    <x v="0"/>
    <x v="0"/>
    <s v="DK1_Medium"/>
    <x v="2"/>
    <x v="1"/>
    <s v="GNR_ENG_NGAS_BP_E-36"/>
    <x v="0"/>
    <x v="16"/>
    <n v="2.0699999999999998"/>
    <n v="755.55"/>
    <n v="2719.98"/>
  </r>
  <r>
    <x v="0"/>
    <x v="0"/>
    <x v="0"/>
    <x v="0"/>
    <x v="0"/>
    <s v="DK1_Medium"/>
    <x v="2"/>
    <x v="1"/>
    <s v="GNR_ENG_NGAS_BP_E-36"/>
    <x v="0"/>
    <x v="17"/>
    <n v="2.0699999999999998"/>
    <n v="755.55"/>
    <n v="2719.98"/>
  </r>
  <r>
    <x v="0"/>
    <x v="0"/>
    <x v="0"/>
    <x v="0"/>
    <x v="0"/>
    <s v="DK1_Medium"/>
    <x v="2"/>
    <x v="1"/>
    <s v="GNR_ENG_NGAS_BP_E-36"/>
    <x v="0"/>
    <x v="18"/>
    <n v="2.0699999999999998"/>
    <n v="755.55"/>
    <n v="2719.98"/>
  </r>
  <r>
    <x v="0"/>
    <x v="0"/>
    <x v="0"/>
    <x v="0"/>
    <x v="0"/>
    <s v="DK1_Medium"/>
    <x v="2"/>
    <x v="1"/>
    <s v="GNR_ENG_NGAS_BP_E-40"/>
    <x v="0"/>
    <x v="3"/>
    <n v="1.33"/>
    <n v="485.45"/>
    <n v="1747.62"/>
  </r>
  <r>
    <x v="0"/>
    <x v="0"/>
    <x v="0"/>
    <x v="0"/>
    <x v="0"/>
    <s v="DK1_Medium"/>
    <x v="2"/>
    <x v="1"/>
    <s v="GNR_ENG_NGAS_BP_E-40"/>
    <x v="0"/>
    <x v="4"/>
    <n v="1.33"/>
    <n v="485.45"/>
    <n v="1747.62"/>
  </r>
  <r>
    <x v="0"/>
    <x v="0"/>
    <x v="0"/>
    <x v="0"/>
    <x v="0"/>
    <s v="DK1_Medium"/>
    <x v="2"/>
    <x v="1"/>
    <s v="GNR_ENG_NGAS_BP_E-40"/>
    <x v="0"/>
    <x v="5"/>
    <n v="1.33"/>
    <n v="485.45"/>
    <n v="1747.62"/>
  </r>
  <r>
    <x v="0"/>
    <x v="0"/>
    <x v="0"/>
    <x v="0"/>
    <x v="0"/>
    <s v="DK1_Medium"/>
    <x v="2"/>
    <x v="1"/>
    <s v="GNR_ENG_NGAS_BP_E-40"/>
    <x v="0"/>
    <x v="6"/>
    <n v="1.33"/>
    <n v="485.45"/>
    <n v="1747.62"/>
  </r>
  <r>
    <x v="0"/>
    <x v="0"/>
    <x v="0"/>
    <x v="0"/>
    <x v="0"/>
    <s v="DK1_Medium"/>
    <x v="2"/>
    <x v="1"/>
    <s v="GNR_ENG_NGAS_BP_E-40"/>
    <x v="0"/>
    <x v="7"/>
    <n v="1.33"/>
    <n v="485.45"/>
    <n v="1747.62"/>
  </r>
  <r>
    <x v="0"/>
    <x v="0"/>
    <x v="0"/>
    <x v="0"/>
    <x v="0"/>
    <s v="DK1_Medium"/>
    <x v="2"/>
    <x v="1"/>
    <s v="GNR_ENG_NGAS_BP_E-40"/>
    <x v="0"/>
    <x v="8"/>
    <n v="1.33"/>
    <n v="485.45"/>
    <n v="1747.62"/>
  </r>
  <r>
    <x v="0"/>
    <x v="0"/>
    <x v="0"/>
    <x v="0"/>
    <x v="0"/>
    <s v="DK1_Medium"/>
    <x v="2"/>
    <x v="1"/>
    <s v="GNR_ENG_NGAS_BP_E-40"/>
    <x v="0"/>
    <x v="0"/>
    <n v="1.33"/>
    <n v="485.45"/>
    <n v="1747.62"/>
  </r>
  <r>
    <x v="0"/>
    <x v="0"/>
    <x v="0"/>
    <x v="0"/>
    <x v="0"/>
    <s v="DK1_Medium"/>
    <x v="2"/>
    <x v="1"/>
    <s v="GNR_ENG_NGAS_BP_E-40"/>
    <x v="0"/>
    <x v="1"/>
    <n v="1.33"/>
    <n v="485.45"/>
    <n v="1747.62"/>
  </r>
  <r>
    <x v="0"/>
    <x v="0"/>
    <x v="0"/>
    <x v="0"/>
    <x v="0"/>
    <s v="DK1_Medium"/>
    <x v="2"/>
    <x v="1"/>
    <s v="GNR_ENG_NGAS_BP_E-40"/>
    <x v="0"/>
    <x v="2"/>
    <n v="1.33"/>
    <n v="485.45"/>
    <n v="1747.62"/>
  </r>
  <r>
    <x v="0"/>
    <x v="0"/>
    <x v="0"/>
    <x v="0"/>
    <x v="0"/>
    <s v="DK1_Medium"/>
    <x v="2"/>
    <x v="1"/>
    <s v="GNR_ENG_NGAS_BP_E-40"/>
    <x v="0"/>
    <x v="9"/>
    <n v="1.33"/>
    <n v="485.45"/>
    <n v="1747.62"/>
  </r>
  <r>
    <x v="0"/>
    <x v="0"/>
    <x v="0"/>
    <x v="0"/>
    <x v="0"/>
    <s v="DK1_Medium"/>
    <x v="2"/>
    <x v="1"/>
    <s v="GNR_ENG_NGAS_BP_E-40"/>
    <x v="0"/>
    <x v="10"/>
    <n v="1.33"/>
    <n v="485.45"/>
    <n v="1747.62"/>
  </r>
  <r>
    <x v="0"/>
    <x v="0"/>
    <x v="0"/>
    <x v="0"/>
    <x v="0"/>
    <s v="DK1_Medium"/>
    <x v="2"/>
    <x v="1"/>
    <s v="GNR_ENG_NGAS_BP_E-40"/>
    <x v="0"/>
    <x v="11"/>
    <n v="1.33"/>
    <n v="485.45"/>
    <n v="1747.62"/>
  </r>
  <r>
    <x v="0"/>
    <x v="0"/>
    <x v="0"/>
    <x v="0"/>
    <x v="0"/>
    <s v="DK1_Medium"/>
    <x v="2"/>
    <x v="1"/>
    <s v="GNR_ENG_NGAS_BP_E-40"/>
    <x v="0"/>
    <x v="12"/>
    <n v="1.33"/>
    <n v="485.45"/>
    <n v="1747.62"/>
  </r>
  <r>
    <x v="0"/>
    <x v="0"/>
    <x v="0"/>
    <x v="0"/>
    <x v="0"/>
    <s v="DK1_Medium"/>
    <x v="2"/>
    <x v="1"/>
    <s v="GNR_ENG_NGAS_BP_E-40"/>
    <x v="0"/>
    <x v="13"/>
    <n v="1.33"/>
    <n v="485.45"/>
    <n v="1747.62"/>
  </r>
  <r>
    <x v="0"/>
    <x v="0"/>
    <x v="0"/>
    <x v="0"/>
    <x v="0"/>
    <s v="DK1_Medium"/>
    <x v="2"/>
    <x v="1"/>
    <s v="GNR_ENG_NGAS_BP_E-40"/>
    <x v="0"/>
    <x v="14"/>
    <n v="1.33"/>
    <n v="485.45"/>
    <n v="1747.62"/>
  </r>
  <r>
    <x v="0"/>
    <x v="0"/>
    <x v="0"/>
    <x v="0"/>
    <x v="0"/>
    <s v="DK1_Medium"/>
    <x v="2"/>
    <x v="1"/>
    <s v="GNR_ENG_NGAS_BP_E-40"/>
    <x v="0"/>
    <x v="15"/>
    <n v="1.33"/>
    <n v="485.45"/>
    <n v="1747.62"/>
  </r>
  <r>
    <x v="0"/>
    <x v="0"/>
    <x v="0"/>
    <x v="0"/>
    <x v="0"/>
    <s v="DK1_Medium"/>
    <x v="2"/>
    <x v="1"/>
    <s v="GNR_ENG_NGAS_BP_E-40"/>
    <x v="0"/>
    <x v="16"/>
    <n v="1.33"/>
    <n v="485.45"/>
    <n v="1747.62"/>
  </r>
  <r>
    <x v="0"/>
    <x v="0"/>
    <x v="0"/>
    <x v="0"/>
    <x v="0"/>
    <s v="DK1_Medium"/>
    <x v="2"/>
    <x v="1"/>
    <s v="GNR_ENG_NGAS_BP_E-40"/>
    <x v="0"/>
    <x v="17"/>
    <n v="1.33"/>
    <n v="485.45"/>
    <n v="1747.62"/>
  </r>
  <r>
    <x v="0"/>
    <x v="0"/>
    <x v="0"/>
    <x v="0"/>
    <x v="0"/>
    <s v="DK1_Medium"/>
    <x v="2"/>
    <x v="1"/>
    <s v="GNR_ENG_NGAS_BP_E-40"/>
    <x v="0"/>
    <x v="18"/>
    <n v="1.33"/>
    <n v="485.45"/>
    <n v="1747.62"/>
  </r>
  <r>
    <x v="0"/>
    <x v="0"/>
    <x v="0"/>
    <x v="0"/>
    <x v="0"/>
    <s v="DK1_Medium"/>
    <x v="2"/>
    <x v="1"/>
    <s v="GNR_ENG_NGAS_BP_E-40"/>
    <x v="0"/>
    <x v="19"/>
    <n v="1.33"/>
    <n v="485.45"/>
    <n v="1747.62"/>
  </r>
  <r>
    <x v="0"/>
    <x v="0"/>
    <x v="0"/>
    <x v="0"/>
    <x v="0"/>
    <s v="DK1_Medium"/>
    <x v="2"/>
    <x v="1"/>
    <s v="GNR_ENG_NGAS_BP_E-40"/>
    <x v="0"/>
    <x v="20"/>
    <n v="1.33"/>
    <n v="485.45"/>
    <n v="1747.62"/>
  </r>
  <r>
    <x v="0"/>
    <x v="0"/>
    <x v="0"/>
    <x v="0"/>
    <x v="0"/>
    <s v="DK1_Medium"/>
    <x v="2"/>
    <x v="1"/>
    <s v="GNR_ENG_NGAS_BP_E-40"/>
    <x v="0"/>
    <x v="21"/>
    <n v="1.33"/>
    <n v="485.45"/>
    <n v="1747.62"/>
  </r>
  <r>
    <x v="0"/>
    <x v="0"/>
    <x v="0"/>
    <x v="0"/>
    <x v="0"/>
    <s v="DK1_Medium"/>
    <x v="2"/>
    <x v="1"/>
    <s v="GNR_ENG_NGAS_BP_E-40"/>
    <x v="0"/>
    <x v="22"/>
    <n v="1.33"/>
    <n v="485.45"/>
    <n v="1747.62"/>
  </r>
  <r>
    <x v="0"/>
    <x v="0"/>
    <x v="0"/>
    <x v="0"/>
    <x v="0"/>
    <s v="DK1_Medium"/>
    <x v="2"/>
    <x v="1"/>
    <s v="GNR_ENG_NGAS_BP_E-41"/>
    <x v="0"/>
    <x v="3"/>
    <n v="4.3"/>
    <n v="1569.5"/>
    <n v="5650.2"/>
  </r>
  <r>
    <x v="0"/>
    <x v="0"/>
    <x v="0"/>
    <x v="0"/>
    <x v="0"/>
    <s v="DK1_Medium"/>
    <x v="2"/>
    <x v="1"/>
    <s v="GNR_ENG_NGAS_BP_E-41"/>
    <x v="0"/>
    <x v="4"/>
    <n v="4.3"/>
    <n v="1569.5"/>
    <n v="5650.2"/>
  </r>
  <r>
    <x v="0"/>
    <x v="0"/>
    <x v="0"/>
    <x v="0"/>
    <x v="0"/>
    <s v="DK1_Medium"/>
    <x v="2"/>
    <x v="1"/>
    <s v="GNR_ENG_NGAS_BP_E-41"/>
    <x v="0"/>
    <x v="5"/>
    <n v="4.3"/>
    <n v="1569.5"/>
    <n v="5650.2"/>
  </r>
  <r>
    <x v="0"/>
    <x v="0"/>
    <x v="0"/>
    <x v="0"/>
    <x v="0"/>
    <s v="DK1_Medium"/>
    <x v="2"/>
    <x v="1"/>
    <s v="GNR_ENG_NGAS_BP_E-41"/>
    <x v="0"/>
    <x v="6"/>
    <n v="4.3"/>
    <n v="1569.5"/>
    <n v="5650.2"/>
  </r>
  <r>
    <x v="0"/>
    <x v="0"/>
    <x v="0"/>
    <x v="0"/>
    <x v="0"/>
    <s v="DK1_Medium"/>
    <x v="2"/>
    <x v="1"/>
    <s v="GNR_ENG_NGAS_BP_E-41"/>
    <x v="0"/>
    <x v="7"/>
    <n v="4.3"/>
    <n v="1569.5"/>
    <n v="5650.2"/>
  </r>
  <r>
    <x v="0"/>
    <x v="0"/>
    <x v="0"/>
    <x v="0"/>
    <x v="0"/>
    <s v="DK1_Medium"/>
    <x v="2"/>
    <x v="1"/>
    <s v="GNR_ENG_NGAS_BP_E-41"/>
    <x v="0"/>
    <x v="8"/>
    <n v="4.3"/>
    <n v="1569.5"/>
    <n v="5650.2"/>
  </r>
  <r>
    <x v="0"/>
    <x v="0"/>
    <x v="0"/>
    <x v="0"/>
    <x v="0"/>
    <s v="DK1_Medium"/>
    <x v="2"/>
    <x v="1"/>
    <s v="GNR_ENG_NGAS_BP_E-41"/>
    <x v="0"/>
    <x v="0"/>
    <n v="4.3"/>
    <n v="1569.5"/>
    <n v="5650.2"/>
  </r>
  <r>
    <x v="0"/>
    <x v="0"/>
    <x v="0"/>
    <x v="0"/>
    <x v="0"/>
    <s v="DK1_Medium"/>
    <x v="2"/>
    <x v="1"/>
    <s v="GNR_ENG_NGAS_BP_E-41"/>
    <x v="0"/>
    <x v="1"/>
    <n v="4.3"/>
    <n v="1569.5"/>
    <n v="5650.2"/>
  </r>
  <r>
    <x v="0"/>
    <x v="0"/>
    <x v="0"/>
    <x v="0"/>
    <x v="0"/>
    <s v="DK1_Medium"/>
    <x v="2"/>
    <x v="1"/>
    <s v="GNR_ENG_NGAS_BP_E-41"/>
    <x v="0"/>
    <x v="2"/>
    <n v="4.3"/>
    <n v="1569.5"/>
    <n v="5650.2"/>
  </r>
  <r>
    <x v="0"/>
    <x v="0"/>
    <x v="0"/>
    <x v="0"/>
    <x v="0"/>
    <s v="DK1_Medium"/>
    <x v="2"/>
    <x v="1"/>
    <s v="GNR_ENG_NGAS_BP_E-41"/>
    <x v="0"/>
    <x v="9"/>
    <n v="4.3"/>
    <n v="1569.5"/>
    <n v="5650.2"/>
  </r>
  <r>
    <x v="0"/>
    <x v="0"/>
    <x v="0"/>
    <x v="0"/>
    <x v="0"/>
    <s v="DK1_Medium"/>
    <x v="2"/>
    <x v="1"/>
    <s v="GNR_ENG_NGAS_BP_E-41"/>
    <x v="0"/>
    <x v="10"/>
    <n v="4.3"/>
    <n v="1569.5"/>
    <n v="5650.2"/>
  </r>
  <r>
    <x v="0"/>
    <x v="0"/>
    <x v="0"/>
    <x v="0"/>
    <x v="0"/>
    <s v="DK1_Medium"/>
    <x v="2"/>
    <x v="1"/>
    <s v="GNR_ENG_NGAS_BP_E-41"/>
    <x v="0"/>
    <x v="11"/>
    <n v="4.3"/>
    <n v="1569.5"/>
    <n v="5650.2"/>
  </r>
  <r>
    <x v="0"/>
    <x v="0"/>
    <x v="0"/>
    <x v="0"/>
    <x v="0"/>
    <s v="DK1_Medium"/>
    <x v="2"/>
    <x v="1"/>
    <s v="GNR_ENG_NGAS_BP_E-41"/>
    <x v="0"/>
    <x v="12"/>
    <n v="4.3"/>
    <n v="1569.5"/>
    <n v="5650.2"/>
  </r>
  <r>
    <x v="0"/>
    <x v="0"/>
    <x v="0"/>
    <x v="0"/>
    <x v="0"/>
    <s v="DK1_Medium"/>
    <x v="2"/>
    <x v="1"/>
    <s v="GNR_ENG_NGAS_BP_E-41"/>
    <x v="0"/>
    <x v="13"/>
    <n v="4.3"/>
    <n v="1569.5"/>
    <n v="5650.2"/>
  </r>
  <r>
    <x v="0"/>
    <x v="0"/>
    <x v="0"/>
    <x v="0"/>
    <x v="0"/>
    <s v="DK1_Medium"/>
    <x v="2"/>
    <x v="1"/>
    <s v="GNR_ENG_NGAS_BP_E-41"/>
    <x v="0"/>
    <x v="14"/>
    <n v="4.3"/>
    <n v="1569.5"/>
    <n v="5650.2"/>
  </r>
  <r>
    <x v="0"/>
    <x v="0"/>
    <x v="0"/>
    <x v="0"/>
    <x v="0"/>
    <s v="DK1_Medium"/>
    <x v="2"/>
    <x v="1"/>
    <s v="GNR_ENG_NGAS_BP_E-41"/>
    <x v="0"/>
    <x v="15"/>
    <n v="4.3"/>
    <n v="1569.5"/>
    <n v="5650.2"/>
  </r>
  <r>
    <x v="0"/>
    <x v="0"/>
    <x v="0"/>
    <x v="0"/>
    <x v="0"/>
    <s v="DK1_Medium"/>
    <x v="2"/>
    <x v="1"/>
    <s v="GNR_ENG_NGAS_BP_E-41"/>
    <x v="0"/>
    <x v="16"/>
    <n v="4.3"/>
    <n v="1569.5"/>
    <n v="5650.2"/>
  </r>
  <r>
    <x v="0"/>
    <x v="0"/>
    <x v="0"/>
    <x v="0"/>
    <x v="0"/>
    <s v="DK1_Medium"/>
    <x v="2"/>
    <x v="1"/>
    <s v="GNR_ENG_NGAS_BP_E-41"/>
    <x v="0"/>
    <x v="17"/>
    <n v="4.3"/>
    <n v="1569.5"/>
    <n v="5650.2"/>
  </r>
  <r>
    <x v="0"/>
    <x v="0"/>
    <x v="0"/>
    <x v="0"/>
    <x v="0"/>
    <s v="DK1_Medium"/>
    <x v="2"/>
    <x v="1"/>
    <s v="GNR_ENG_NGAS_BP_E-41"/>
    <x v="0"/>
    <x v="18"/>
    <n v="4.3"/>
    <n v="1569.5"/>
    <n v="5650.2"/>
  </r>
  <r>
    <x v="0"/>
    <x v="0"/>
    <x v="0"/>
    <x v="0"/>
    <x v="0"/>
    <s v="DK1_Medium"/>
    <x v="2"/>
    <x v="1"/>
    <s v="GNR_ENG_NGAS_BP_E-41"/>
    <x v="0"/>
    <x v="19"/>
    <n v="4.3"/>
    <n v="1569.5"/>
    <n v="5650.2"/>
  </r>
  <r>
    <x v="0"/>
    <x v="0"/>
    <x v="0"/>
    <x v="0"/>
    <x v="0"/>
    <s v="DK1_Medium"/>
    <x v="2"/>
    <x v="1"/>
    <s v="GNR_ENG_NGAS_BP_E-41"/>
    <x v="0"/>
    <x v="20"/>
    <n v="4.3"/>
    <n v="1569.5"/>
    <n v="5650.2"/>
  </r>
  <r>
    <x v="0"/>
    <x v="0"/>
    <x v="0"/>
    <x v="0"/>
    <x v="0"/>
    <s v="DK1_Medium"/>
    <x v="2"/>
    <x v="1"/>
    <s v="GNR_ENG_NGAS_BP_E-41"/>
    <x v="0"/>
    <x v="21"/>
    <n v="4.3"/>
    <n v="1569.5"/>
    <n v="5650.2"/>
  </r>
  <r>
    <x v="0"/>
    <x v="0"/>
    <x v="0"/>
    <x v="0"/>
    <x v="0"/>
    <s v="DK1_Medium"/>
    <x v="2"/>
    <x v="1"/>
    <s v="GNR_ENG_NGAS_BP_E-41"/>
    <x v="0"/>
    <x v="22"/>
    <n v="4.3"/>
    <n v="1569.5"/>
    <n v="5650.2"/>
  </r>
  <r>
    <x v="0"/>
    <x v="0"/>
    <x v="0"/>
    <x v="0"/>
    <x v="0"/>
    <s v="DK1_Medium"/>
    <x v="2"/>
    <x v="1"/>
    <s v="GNR_ENG_NGAS_BP_E-41"/>
    <x v="0"/>
    <x v="23"/>
    <n v="4.3"/>
    <n v="1569.5"/>
    <n v="5650.2"/>
  </r>
  <r>
    <x v="0"/>
    <x v="0"/>
    <x v="0"/>
    <x v="0"/>
    <x v="0"/>
    <s v="DK1_Medium"/>
    <x v="2"/>
    <x v="1"/>
    <s v="GNR_ENG_NGAS_BP_E-42"/>
    <x v="0"/>
    <x v="3"/>
    <n v="10.029999999999999"/>
    <n v="3660.95"/>
    <n v="13179.42"/>
  </r>
  <r>
    <x v="0"/>
    <x v="0"/>
    <x v="0"/>
    <x v="0"/>
    <x v="0"/>
    <s v="DK1_Medium"/>
    <x v="2"/>
    <x v="1"/>
    <s v="GNR_ENG_NGAS_BP_E-42"/>
    <x v="0"/>
    <x v="4"/>
    <n v="10.029999999999999"/>
    <n v="3660.95"/>
    <n v="13179.42"/>
  </r>
  <r>
    <x v="0"/>
    <x v="0"/>
    <x v="0"/>
    <x v="0"/>
    <x v="0"/>
    <s v="DK1_Medium"/>
    <x v="2"/>
    <x v="1"/>
    <s v="GNR_ENG_NGAS_BP_E-42"/>
    <x v="0"/>
    <x v="5"/>
    <n v="10.029999999999999"/>
    <n v="3660.95"/>
    <n v="13179.42"/>
  </r>
  <r>
    <x v="0"/>
    <x v="0"/>
    <x v="0"/>
    <x v="0"/>
    <x v="0"/>
    <s v="DK1_Medium"/>
    <x v="2"/>
    <x v="1"/>
    <s v="GNR_ENG_NGAS_BP_E-42"/>
    <x v="0"/>
    <x v="6"/>
    <n v="10.029999999999999"/>
    <n v="3660.95"/>
    <n v="13179.42"/>
  </r>
  <r>
    <x v="0"/>
    <x v="0"/>
    <x v="0"/>
    <x v="0"/>
    <x v="0"/>
    <s v="DK1_Medium"/>
    <x v="2"/>
    <x v="1"/>
    <s v="GNR_ENG_NGAS_BP_E-42"/>
    <x v="0"/>
    <x v="7"/>
    <n v="10.029999999999999"/>
    <n v="3660.95"/>
    <n v="13179.42"/>
  </r>
  <r>
    <x v="0"/>
    <x v="0"/>
    <x v="0"/>
    <x v="0"/>
    <x v="0"/>
    <s v="DK1_Medium"/>
    <x v="2"/>
    <x v="1"/>
    <s v="GNR_ENG_NGAS_BP_E-42"/>
    <x v="0"/>
    <x v="8"/>
    <n v="10.029999999999999"/>
    <n v="3660.95"/>
    <n v="13179.42"/>
  </r>
  <r>
    <x v="0"/>
    <x v="0"/>
    <x v="0"/>
    <x v="0"/>
    <x v="0"/>
    <s v="DK1_Medium"/>
    <x v="2"/>
    <x v="1"/>
    <s v="GNR_ENG_NGAS_BP_E-42"/>
    <x v="0"/>
    <x v="0"/>
    <n v="10.029999999999999"/>
    <n v="3660.95"/>
    <n v="13179.42"/>
  </r>
  <r>
    <x v="0"/>
    <x v="0"/>
    <x v="0"/>
    <x v="0"/>
    <x v="0"/>
    <s v="DK1_Medium"/>
    <x v="2"/>
    <x v="1"/>
    <s v="GNR_ENG_NGAS_BP_E-42"/>
    <x v="0"/>
    <x v="1"/>
    <n v="10.029999999999999"/>
    <n v="3660.95"/>
    <n v="13179.42"/>
  </r>
  <r>
    <x v="0"/>
    <x v="0"/>
    <x v="0"/>
    <x v="0"/>
    <x v="0"/>
    <s v="DK1_Medium"/>
    <x v="2"/>
    <x v="1"/>
    <s v="GNR_ENG_NGAS_BP_E-42"/>
    <x v="0"/>
    <x v="2"/>
    <n v="10.029999999999999"/>
    <n v="3660.95"/>
    <n v="13179.42"/>
  </r>
  <r>
    <x v="0"/>
    <x v="0"/>
    <x v="0"/>
    <x v="0"/>
    <x v="0"/>
    <s v="DK1_Medium"/>
    <x v="2"/>
    <x v="1"/>
    <s v="GNR_ENG_NGAS_BP_E-42"/>
    <x v="0"/>
    <x v="9"/>
    <n v="10.029999999999999"/>
    <n v="3660.95"/>
    <n v="13179.42"/>
  </r>
  <r>
    <x v="0"/>
    <x v="0"/>
    <x v="0"/>
    <x v="0"/>
    <x v="0"/>
    <s v="DK1_Medium"/>
    <x v="2"/>
    <x v="1"/>
    <s v="GNR_ENG_NGAS_BP_E-42"/>
    <x v="0"/>
    <x v="10"/>
    <n v="10.029999999999999"/>
    <n v="3660.95"/>
    <n v="13179.42"/>
  </r>
  <r>
    <x v="0"/>
    <x v="0"/>
    <x v="0"/>
    <x v="0"/>
    <x v="0"/>
    <s v="DK1_Medium"/>
    <x v="2"/>
    <x v="1"/>
    <s v="GNR_ENG_NGAS_BP_E-42"/>
    <x v="0"/>
    <x v="11"/>
    <n v="10.029999999999999"/>
    <n v="3660.95"/>
    <n v="13179.42"/>
  </r>
  <r>
    <x v="0"/>
    <x v="0"/>
    <x v="0"/>
    <x v="0"/>
    <x v="0"/>
    <s v="DK1_Medium"/>
    <x v="2"/>
    <x v="1"/>
    <s v="GNR_ENG_NGAS_BP_E-42"/>
    <x v="0"/>
    <x v="12"/>
    <n v="10.029999999999999"/>
    <n v="3660.95"/>
    <n v="13179.42"/>
  </r>
  <r>
    <x v="0"/>
    <x v="0"/>
    <x v="0"/>
    <x v="0"/>
    <x v="0"/>
    <s v="DK1_Medium"/>
    <x v="2"/>
    <x v="1"/>
    <s v="GNR_ENG_NGAS_BP_E-42"/>
    <x v="0"/>
    <x v="13"/>
    <n v="10.029999999999999"/>
    <n v="3660.95"/>
    <n v="13179.42"/>
  </r>
  <r>
    <x v="0"/>
    <x v="0"/>
    <x v="0"/>
    <x v="0"/>
    <x v="0"/>
    <s v="DK1_Medium"/>
    <x v="2"/>
    <x v="1"/>
    <s v="GNR_ENG_NGAS_BP_E-42"/>
    <x v="0"/>
    <x v="14"/>
    <n v="10.029999999999999"/>
    <n v="3660.95"/>
    <n v="13179.42"/>
  </r>
  <r>
    <x v="0"/>
    <x v="0"/>
    <x v="0"/>
    <x v="0"/>
    <x v="0"/>
    <s v="DK1_Medium"/>
    <x v="2"/>
    <x v="1"/>
    <s v="GNR_ENG_NGAS_BP_E-42"/>
    <x v="0"/>
    <x v="15"/>
    <n v="10.029999999999999"/>
    <n v="3660.95"/>
    <n v="13179.42"/>
  </r>
  <r>
    <x v="0"/>
    <x v="0"/>
    <x v="0"/>
    <x v="0"/>
    <x v="0"/>
    <s v="DK1_Medium"/>
    <x v="2"/>
    <x v="1"/>
    <s v="GNR_ENG_NGAS_BP_E-42"/>
    <x v="0"/>
    <x v="16"/>
    <n v="10.029999999999999"/>
    <n v="3660.95"/>
    <n v="13179.42"/>
  </r>
  <r>
    <x v="0"/>
    <x v="0"/>
    <x v="0"/>
    <x v="0"/>
    <x v="0"/>
    <s v="DK1_Medium"/>
    <x v="2"/>
    <x v="1"/>
    <s v="GNR_ENG_NGAS_BP_E-42"/>
    <x v="0"/>
    <x v="17"/>
    <n v="10.029999999999999"/>
    <n v="3660.95"/>
    <n v="13179.42"/>
  </r>
  <r>
    <x v="0"/>
    <x v="0"/>
    <x v="0"/>
    <x v="0"/>
    <x v="0"/>
    <s v="DK1_Medium"/>
    <x v="2"/>
    <x v="1"/>
    <s v="GNR_ENG_NGAS_BP_E-42"/>
    <x v="0"/>
    <x v="18"/>
    <n v="10.029999999999999"/>
    <n v="3660.95"/>
    <n v="13179.42"/>
  </r>
  <r>
    <x v="0"/>
    <x v="0"/>
    <x v="0"/>
    <x v="0"/>
    <x v="0"/>
    <s v="DK1_Medium"/>
    <x v="2"/>
    <x v="1"/>
    <s v="GNR_ENG_NGAS_BP_E-42"/>
    <x v="0"/>
    <x v="19"/>
    <n v="10.029999999999999"/>
    <n v="3660.95"/>
    <n v="13179.42"/>
  </r>
  <r>
    <x v="0"/>
    <x v="0"/>
    <x v="0"/>
    <x v="0"/>
    <x v="0"/>
    <s v="DK1_Medium"/>
    <x v="2"/>
    <x v="1"/>
    <s v="GNR_ENG_NGAS_BP_E-42"/>
    <x v="0"/>
    <x v="20"/>
    <n v="10.029999999999999"/>
    <n v="3660.95"/>
    <n v="13179.42"/>
  </r>
  <r>
    <x v="0"/>
    <x v="0"/>
    <x v="0"/>
    <x v="0"/>
    <x v="0"/>
    <s v="DK1_Medium"/>
    <x v="2"/>
    <x v="1"/>
    <s v="GNR_ENG_NGAS_BP_E-42"/>
    <x v="0"/>
    <x v="21"/>
    <n v="10.029999999999999"/>
    <n v="3660.95"/>
    <n v="13179.42"/>
  </r>
  <r>
    <x v="0"/>
    <x v="0"/>
    <x v="0"/>
    <x v="0"/>
    <x v="0"/>
    <s v="DK1_Medium"/>
    <x v="2"/>
    <x v="1"/>
    <s v="GNR_ENG_NGAS_BP_E-42"/>
    <x v="0"/>
    <x v="22"/>
    <n v="10.029999999999999"/>
    <n v="3660.95"/>
    <n v="13179.42"/>
  </r>
  <r>
    <x v="0"/>
    <x v="0"/>
    <x v="0"/>
    <x v="0"/>
    <x v="0"/>
    <s v="DK1_Medium"/>
    <x v="2"/>
    <x v="1"/>
    <s v="GNR_ENG_NGAS_BP_E-42"/>
    <x v="0"/>
    <x v="23"/>
    <n v="10.029999999999999"/>
    <n v="3660.95"/>
    <n v="13179.42"/>
  </r>
  <r>
    <x v="0"/>
    <x v="0"/>
    <x v="0"/>
    <x v="0"/>
    <x v="0"/>
    <s v="DK1_Medium"/>
    <x v="2"/>
    <x v="1"/>
    <s v="GNR_ENG_NGAS_BP_E-43"/>
    <x v="0"/>
    <x v="3"/>
    <n v="1.42"/>
    <n v="518.29999999999995"/>
    <n v="1865.88"/>
  </r>
  <r>
    <x v="0"/>
    <x v="0"/>
    <x v="0"/>
    <x v="0"/>
    <x v="0"/>
    <s v="DK1_Medium"/>
    <x v="2"/>
    <x v="1"/>
    <s v="GNR_ENG_NGAS_BP_E-43"/>
    <x v="0"/>
    <x v="4"/>
    <n v="1.42"/>
    <n v="518.29999999999995"/>
    <n v="1865.88"/>
  </r>
  <r>
    <x v="0"/>
    <x v="0"/>
    <x v="0"/>
    <x v="0"/>
    <x v="0"/>
    <s v="DK1_Medium"/>
    <x v="2"/>
    <x v="1"/>
    <s v="GNR_ENG_NGAS_BP_E-43"/>
    <x v="0"/>
    <x v="5"/>
    <n v="1.42"/>
    <n v="518.29999999999995"/>
    <n v="1865.88"/>
  </r>
  <r>
    <x v="0"/>
    <x v="0"/>
    <x v="0"/>
    <x v="0"/>
    <x v="0"/>
    <s v="DK1_Medium"/>
    <x v="2"/>
    <x v="1"/>
    <s v="GNR_ENG_NGAS_BP_E-43"/>
    <x v="0"/>
    <x v="6"/>
    <n v="1.42"/>
    <n v="518.29999999999995"/>
    <n v="1865.88"/>
  </r>
  <r>
    <x v="0"/>
    <x v="0"/>
    <x v="0"/>
    <x v="0"/>
    <x v="0"/>
    <s v="DK1_Medium"/>
    <x v="2"/>
    <x v="1"/>
    <s v="GNR_ENG_NGAS_BP_E-43"/>
    <x v="0"/>
    <x v="7"/>
    <n v="1.42"/>
    <n v="518.29999999999995"/>
    <n v="1865.88"/>
  </r>
  <r>
    <x v="0"/>
    <x v="0"/>
    <x v="0"/>
    <x v="0"/>
    <x v="0"/>
    <s v="DK1_Medium"/>
    <x v="2"/>
    <x v="1"/>
    <s v="GNR_ENG_NGAS_BP_E-43"/>
    <x v="0"/>
    <x v="8"/>
    <n v="1.42"/>
    <n v="518.29999999999995"/>
    <n v="1865.88"/>
  </r>
  <r>
    <x v="0"/>
    <x v="0"/>
    <x v="0"/>
    <x v="0"/>
    <x v="0"/>
    <s v="DK1_Medium"/>
    <x v="2"/>
    <x v="1"/>
    <s v="GNR_ENG_NGAS_BP_E-43"/>
    <x v="0"/>
    <x v="0"/>
    <n v="1.42"/>
    <n v="518.29999999999995"/>
    <n v="1865.88"/>
  </r>
  <r>
    <x v="0"/>
    <x v="0"/>
    <x v="0"/>
    <x v="0"/>
    <x v="0"/>
    <s v="DK1_Medium"/>
    <x v="2"/>
    <x v="1"/>
    <s v="GNR_ENG_NGAS_BP_E-43"/>
    <x v="0"/>
    <x v="1"/>
    <n v="1.42"/>
    <n v="518.29999999999995"/>
    <n v="1865.88"/>
  </r>
  <r>
    <x v="0"/>
    <x v="0"/>
    <x v="0"/>
    <x v="0"/>
    <x v="0"/>
    <s v="DK1_Medium"/>
    <x v="2"/>
    <x v="1"/>
    <s v="GNR_ENG_NGAS_BP_E-43"/>
    <x v="0"/>
    <x v="2"/>
    <n v="1.42"/>
    <n v="518.29999999999995"/>
    <n v="1865.88"/>
  </r>
  <r>
    <x v="0"/>
    <x v="0"/>
    <x v="0"/>
    <x v="0"/>
    <x v="0"/>
    <s v="DK1_Medium"/>
    <x v="2"/>
    <x v="1"/>
    <s v="GNR_ENG_NGAS_BP_E-43"/>
    <x v="0"/>
    <x v="9"/>
    <n v="1.42"/>
    <n v="518.29999999999995"/>
    <n v="1865.88"/>
  </r>
  <r>
    <x v="0"/>
    <x v="0"/>
    <x v="0"/>
    <x v="0"/>
    <x v="0"/>
    <s v="DK1_Medium"/>
    <x v="2"/>
    <x v="1"/>
    <s v="GNR_ENG_NGAS_BP_E-43"/>
    <x v="0"/>
    <x v="10"/>
    <n v="1.42"/>
    <n v="518.29999999999995"/>
    <n v="1865.88"/>
  </r>
  <r>
    <x v="0"/>
    <x v="0"/>
    <x v="0"/>
    <x v="0"/>
    <x v="0"/>
    <s v="DK1_Medium"/>
    <x v="2"/>
    <x v="1"/>
    <s v="GNR_ENG_NGAS_BP_E-43"/>
    <x v="0"/>
    <x v="11"/>
    <n v="1.42"/>
    <n v="518.29999999999995"/>
    <n v="1865.88"/>
  </r>
  <r>
    <x v="0"/>
    <x v="0"/>
    <x v="0"/>
    <x v="0"/>
    <x v="0"/>
    <s v="DK1_Medium"/>
    <x v="2"/>
    <x v="1"/>
    <s v="GNR_ENG_NGAS_BP_E-43"/>
    <x v="0"/>
    <x v="12"/>
    <n v="1.42"/>
    <n v="518.29999999999995"/>
    <n v="1865.88"/>
  </r>
  <r>
    <x v="0"/>
    <x v="0"/>
    <x v="0"/>
    <x v="0"/>
    <x v="0"/>
    <s v="DK1_Medium"/>
    <x v="2"/>
    <x v="1"/>
    <s v="GNR_ENG_NGAS_BP_E-43"/>
    <x v="0"/>
    <x v="13"/>
    <n v="1.42"/>
    <n v="518.29999999999995"/>
    <n v="1865.88"/>
  </r>
  <r>
    <x v="0"/>
    <x v="0"/>
    <x v="0"/>
    <x v="0"/>
    <x v="0"/>
    <s v="DK1_Medium"/>
    <x v="2"/>
    <x v="1"/>
    <s v="GNR_ENG_NGAS_BP_E-43"/>
    <x v="0"/>
    <x v="14"/>
    <n v="1.42"/>
    <n v="518.29999999999995"/>
    <n v="1865.88"/>
  </r>
  <r>
    <x v="0"/>
    <x v="0"/>
    <x v="0"/>
    <x v="0"/>
    <x v="0"/>
    <s v="DK1_Medium"/>
    <x v="2"/>
    <x v="1"/>
    <s v="GNR_ENG_NGAS_BP_E-43"/>
    <x v="0"/>
    <x v="15"/>
    <n v="1.42"/>
    <n v="518.29999999999995"/>
    <n v="1865.88"/>
  </r>
  <r>
    <x v="0"/>
    <x v="0"/>
    <x v="0"/>
    <x v="0"/>
    <x v="0"/>
    <s v="DK1_Medium"/>
    <x v="2"/>
    <x v="1"/>
    <s v="GNR_ENG_NGAS_BP_E-43"/>
    <x v="0"/>
    <x v="16"/>
    <n v="1.42"/>
    <n v="518.29999999999995"/>
    <n v="1865.88"/>
  </r>
  <r>
    <x v="0"/>
    <x v="0"/>
    <x v="0"/>
    <x v="0"/>
    <x v="0"/>
    <s v="DK1_Medium"/>
    <x v="2"/>
    <x v="1"/>
    <s v="GNR_ENG_NGAS_BP_E-43"/>
    <x v="0"/>
    <x v="17"/>
    <n v="1.42"/>
    <n v="518.29999999999995"/>
    <n v="1865.88"/>
  </r>
  <r>
    <x v="0"/>
    <x v="0"/>
    <x v="0"/>
    <x v="0"/>
    <x v="0"/>
    <s v="DK1_Medium"/>
    <x v="2"/>
    <x v="1"/>
    <s v="GNR_ENG_NGAS_BP_E-43"/>
    <x v="0"/>
    <x v="18"/>
    <n v="1.42"/>
    <n v="518.29999999999995"/>
    <n v="1865.88"/>
  </r>
  <r>
    <x v="0"/>
    <x v="0"/>
    <x v="0"/>
    <x v="0"/>
    <x v="0"/>
    <s v="DK1_Medium"/>
    <x v="2"/>
    <x v="1"/>
    <s v="GNR_ENG_NGAS_BP_E-43"/>
    <x v="0"/>
    <x v="19"/>
    <n v="1.42"/>
    <n v="518.29999999999995"/>
    <n v="1865.88"/>
  </r>
  <r>
    <x v="0"/>
    <x v="0"/>
    <x v="0"/>
    <x v="0"/>
    <x v="0"/>
    <s v="DK1_Medium"/>
    <x v="2"/>
    <x v="1"/>
    <s v="GNR_ENG_NGAS_BP_E-43"/>
    <x v="0"/>
    <x v="20"/>
    <n v="1.42"/>
    <n v="518.29999999999995"/>
    <n v="1865.88"/>
  </r>
  <r>
    <x v="0"/>
    <x v="0"/>
    <x v="0"/>
    <x v="0"/>
    <x v="0"/>
    <s v="DK1_Medium"/>
    <x v="2"/>
    <x v="1"/>
    <s v="GNR_ENG_NGAS_BP_E-43"/>
    <x v="0"/>
    <x v="21"/>
    <n v="1.42"/>
    <n v="518.29999999999995"/>
    <n v="1865.88"/>
  </r>
  <r>
    <x v="0"/>
    <x v="0"/>
    <x v="0"/>
    <x v="0"/>
    <x v="0"/>
    <s v="DK1_Medium"/>
    <x v="2"/>
    <x v="1"/>
    <s v="GNR_ENG_NGAS_BP_E-43"/>
    <x v="0"/>
    <x v="22"/>
    <n v="1.42"/>
    <n v="518.29999999999995"/>
    <n v="1865.88"/>
  </r>
  <r>
    <x v="0"/>
    <x v="0"/>
    <x v="0"/>
    <x v="0"/>
    <x v="0"/>
    <s v="DK1_Medium"/>
    <x v="2"/>
    <x v="1"/>
    <s v="GNR_ENG_NGAS_BP_E-43"/>
    <x v="0"/>
    <x v="23"/>
    <n v="1.42"/>
    <n v="518.29999999999995"/>
    <n v="1865.88"/>
  </r>
  <r>
    <x v="0"/>
    <x v="0"/>
    <x v="0"/>
    <x v="0"/>
    <x v="0"/>
    <s v="DK1_Medium"/>
    <x v="2"/>
    <x v="1"/>
    <s v="GNR_ENG_NGAS_BP_E-44"/>
    <x v="0"/>
    <x v="3"/>
    <n v="4.68"/>
    <n v="1708.2"/>
    <n v="6149.52"/>
  </r>
  <r>
    <x v="0"/>
    <x v="0"/>
    <x v="0"/>
    <x v="0"/>
    <x v="0"/>
    <s v="DK1_Medium"/>
    <x v="2"/>
    <x v="1"/>
    <s v="GNR_ENG_NGAS_BP_E-44"/>
    <x v="0"/>
    <x v="4"/>
    <n v="4.68"/>
    <n v="1708.2"/>
    <n v="6149.52"/>
  </r>
  <r>
    <x v="0"/>
    <x v="0"/>
    <x v="0"/>
    <x v="0"/>
    <x v="0"/>
    <s v="DK1_Medium"/>
    <x v="2"/>
    <x v="1"/>
    <s v="GNR_ENG_NGAS_BP_E-44"/>
    <x v="0"/>
    <x v="5"/>
    <n v="4.68"/>
    <n v="1708.2"/>
    <n v="6149.52"/>
  </r>
  <r>
    <x v="0"/>
    <x v="0"/>
    <x v="0"/>
    <x v="0"/>
    <x v="0"/>
    <s v="DK1_Medium"/>
    <x v="2"/>
    <x v="1"/>
    <s v="GNR_ENG_NGAS_BP_E-44"/>
    <x v="0"/>
    <x v="6"/>
    <n v="4.68"/>
    <n v="1708.2"/>
    <n v="6149.52"/>
  </r>
  <r>
    <x v="0"/>
    <x v="0"/>
    <x v="0"/>
    <x v="0"/>
    <x v="0"/>
    <s v="DK1_Medium"/>
    <x v="2"/>
    <x v="1"/>
    <s v="GNR_ENG_NGAS_BP_E-44"/>
    <x v="0"/>
    <x v="7"/>
    <n v="4.68"/>
    <n v="1708.2"/>
    <n v="6149.52"/>
  </r>
  <r>
    <x v="0"/>
    <x v="0"/>
    <x v="0"/>
    <x v="0"/>
    <x v="0"/>
    <s v="DK1_Medium"/>
    <x v="2"/>
    <x v="1"/>
    <s v="GNR_ENG_NGAS_BP_E-44"/>
    <x v="0"/>
    <x v="8"/>
    <n v="4.68"/>
    <n v="1708.2"/>
    <n v="6149.52"/>
  </r>
  <r>
    <x v="0"/>
    <x v="0"/>
    <x v="0"/>
    <x v="0"/>
    <x v="0"/>
    <s v="DK1_Medium"/>
    <x v="2"/>
    <x v="1"/>
    <s v="GNR_ENG_NGAS_BP_E-44"/>
    <x v="0"/>
    <x v="0"/>
    <n v="4.68"/>
    <n v="1708.2"/>
    <n v="6149.52"/>
  </r>
  <r>
    <x v="0"/>
    <x v="0"/>
    <x v="0"/>
    <x v="0"/>
    <x v="0"/>
    <s v="DK1_Medium"/>
    <x v="2"/>
    <x v="1"/>
    <s v="GNR_ENG_NGAS_BP_E-44"/>
    <x v="0"/>
    <x v="1"/>
    <n v="4.68"/>
    <n v="1708.2"/>
    <n v="6149.52"/>
  </r>
  <r>
    <x v="0"/>
    <x v="0"/>
    <x v="0"/>
    <x v="0"/>
    <x v="0"/>
    <s v="DK1_Medium"/>
    <x v="2"/>
    <x v="1"/>
    <s v="GNR_ENG_NGAS_BP_E-44"/>
    <x v="0"/>
    <x v="2"/>
    <n v="4.68"/>
    <n v="1708.2"/>
    <n v="6149.52"/>
  </r>
  <r>
    <x v="0"/>
    <x v="0"/>
    <x v="0"/>
    <x v="0"/>
    <x v="0"/>
    <s v="DK1_Medium"/>
    <x v="2"/>
    <x v="1"/>
    <s v="GNR_ENG_NGAS_BP_E-44"/>
    <x v="0"/>
    <x v="9"/>
    <n v="4.68"/>
    <n v="1708.2"/>
    <n v="6149.52"/>
  </r>
  <r>
    <x v="0"/>
    <x v="0"/>
    <x v="0"/>
    <x v="0"/>
    <x v="0"/>
    <s v="DK1_Medium"/>
    <x v="2"/>
    <x v="1"/>
    <s v="GNR_ENG_NGAS_BP_E-44"/>
    <x v="0"/>
    <x v="10"/>
    <n v="4.68"/>
    <n v="1708.2"/>
    <n v="6149.52"/>
  </r>
  <r>
    <x v="0"/>
    <x v="0"/>
    <x v="0"/>
    <x v="0"/>
    <x v="0"/>
    <s v="DK1_Medium"/>
    <x v="2"/>
    <x v="1"/>
    <s v="GNR_ENG_NGAS_BP_E-44"/>
    <x v="0"/>
    <x v="11"/>
    <n v="4.68"/>
    <n v="1708.2"/>
    <n v="6149.52"/>
  </r>
  <r>
    <x v="0"/>
    <x v="0"/>
    <x v="0"/>
    <x v="0"/>
    <x v="0"/>
    <s v="DK1_Medium"/>
    <x v="2"/>
    <x v="1"/>
    <s v="GNR_ENG_NGAS_BP_E-44"/>
    <x v="0"/>
    <x v="12"/>
    <n v="4.68"/>
    <n v="1708.2"/>
    <n v="6149.52"/>
  </r>
  <r>
    <x v="0"/>
    <x v="0"/>
    <x v="0"/>
    <x v="0"/>
    <x v="0"/>
    <s v="DK1_Medium"/>
    <x v="2"/>
    <x v="1"/>
    <s v="GNR_ENG_NGAS_BP_E-44"/>
    <x v="0"/>
    <x v="13"/>
    <n v="4.68"/>
    <n v="1708.2"/>
    <n v="6149.52"/>
  </r>
  <r>
    <x v="0"/>
    <x v="0"/>
    <x v="0"/>
    <x v="0"/>
    <x v="0"/>
    <s v="DK1_Medium"/>
    <x v="2"/>
    <x v="1"/>
    <s v="GNR_ENG_NGAS_BP_E-44"/>
    <x v="0"/>
    <x v="14"/>
    <n v="4.68"/>
    <n v="1708.2"/>
    <n v="6149.52"/>
  </r>
  <r>
    <x v="0"/>
    <x v="0"/>
    <x v="0"/>
    <x v="0"/>
    <x v="0"/>
    <s v="DK1_Medium"/>
    <x v="2"/>
    <x v="1"/>
    <s v="GNR_ENG_NGAS_BP_E-44"/>
    <x v="0"/>
    <x v="15"/>
    <n v="4.68"/>
    <n v="1708.2"/>
    <n v="6149.52"/>
  </r>
  <r>
    <x v="0"/>
    <x v="0"/>
    <x v="0"/>
    <x v="0"/>
    <x v="0"/>
    <s v="DK1_Medium"/>
    <x v="2"/>
    <x v="1"/>
    <s v="GNR_ENG_NGAS_BP_E-44"/>
    <x v="0"/>
    <x v="16"/>
    <n v="4.68"/>
    <n v="1708.2"/>
    <n v="6149.52"/>
  </r>
  <r>
    <x v="0"/>
    <x v="0"/>
    <x v="0"/>
    <x v="0"/>
    <x v="0"/>
    <s v="DK1_Medium"/>
    <x v="2"/>
    <x v="1"/>
    <s v="GNR_ENG_NGAS_BP_E-44"/>
    <x v="0"/>
    <x v="17"/>
    <n v="4.68"/>
    <n v="1708.2"/>
    <n v="6149.52"/>
  </r>
  <r>
    <x v="0"/>
    <x v="0"/>
    <x v="0"/>
    <x v="0"/>
    <x v="0"/>
    <s v="DK1_Medium"/>
    <x v="2"/>
    <x v="1"/>
    <s v="GNR_ENG_NGAS_BP_E-44"/>
    <x v="0"/>
    <x v="18"/>
    <n v="4.68"/>
    <n v="1708.2"/>
    <n v="6149.52"/>
  </r>
  <r>
    <x v="0"/>
    <x v="0"/>
    <x v="0"/>
    <x v="0"/>
    <x v="0"/>
    <s v="DK1_Medium"/>
    <x v="2"/>
    <x v="1"/>
    <s v="GNR_ENG_NGAS_BP_E-44"/>
    <x v="0"/>
    <x v="19"/>
    <n v="4.68"/>
    <n v="1708.2"/>
    <n v="6149.52"/>
  </r>
  <r>
    <x v="0"/>
    <x v="0"/>
    <x v="0"/>
    <x v="0"/>
    <x v="0"/>
    <s v="DK1_Medium"/>
    <x v="2"/>
    <x v="1"/>
    <s v="GNR_ENG_NGAS_BP_E-44"/>
    <x v="0"/>
    <x v="20"/>
    <n v="4.68"/>
    <n v="1708.2"/>
    <n v="6149.52"/>
  </r>
  <r>
    <x v="0"/>
    <x v="0"/>
    <x v="0"/>
    <x v="0"/>
    <x v="0"/>
    <s v="DK1_Medium"/>
    <x v="2"/>
    <x v="1"/>
    <s v="GNR_ENG_NGAS_BP_E-44"/>
    <x v="0"/>
    <x v="21"/>
    <n v="4.68"/>
    <n v="1708.2"/>
    <n v="6149.52"/>
  </r>
  <r>
    <x v="0"/>
    <x v="0"/>
    <x v="0"/>
    <x v="0"/>
    <x v="0"/>
    <s v="DK1_Medium"/>
    <x v="2"/>
    <x v="1"/>
    <s v="GNR_ENG_NGAS_BP_E-44"/>
    <x v="0"/>
    <x v="22"/>
    <n v="4.68"/>
    <n v="1708.2"/>
    <n v="6149.52"/>
  </r>
  <r>
    <x v="0"/>
    <x v="0"/>
    <x v="0"/>
    <x v="0"/>
    <x v="0"/>
    <s v="DK1_Medium"/>
    <x v="2"/>
    <x v="1"/>
    <s v="GNR_ENG_NGAS_BP_E-44"/>
    <x v="0"/>
    <x v="23"/>
    <n v="4.68"/>
    <n v="1708.2"/>
    <n v="6149.52"/>
  </r>
  <r>
    <x v="0"/>
    <x v="0"/>
    <x v="0"/>
    <x v="0"/>
    <x v="0"/>
    <s v="DK1_Medium"/>
    <x v="2"/>
    <x v="1"/>
    <s v="GNR_GT_NGAS_BP_E-31"/>
    <x v="0"/>
    <x v="0"/>
    <n v="9"/>
    <n v="3285"/>
    <n v="11826"/>
  </r>
  <r>
    <x v="0"/>
    <x v="0"/>
    <x v="0"/>
    <x v="0"/>
    <x v="0"/>
    <s v="DK1_Medium"/>
    <x v="2"/>
    <x v="1"/>
    <s v="GNR_GT_NGAS_BP_E-31"/>
    <x v="0"/>
    <x v="1"/>
    <n v="9"/>
    <n v="3285"/>
    <n v="11826"/>
  </r>
  <r>
    <x v="0"/>
    <x v="0"/>
    <x v="0"/>
    <x v="0"/>
    <x v="0"/>
    <s v="DK1_Medium"/>
    <x v="2"/>
    <x v="1"/>
    <s v="GNR_GT_NGAS_BP_E-31"/>
    <x v="0"/>
    <x v="2"/>
    <n v="9"/>
    <n v="3285"/>
    <n v="11826"/>
  </r>
  <r>
    <x v="0"/>
    <x v="0"/>
    <x v="0"/>
    <x v="0"/>
    <x v="0"/>
    <s v="DK1_Medium"/>
    <x v="2"/>
    <x v="1"/>
    <s v="GNR_GT_NGAS_BP_E-31"/>
    <x v="0"/>
    <x v="9"/>
    <n v="9"/>
    <n v="3285"/>
    <n v="11826"/>
  </r>
  <r>
    <x v="0"/>
    <x v="0"/>
    <x v="0"/>
    <x v="0"/>
    <x v="0"/>
    <s v="DK1_Medium"/>
    <x v="2"/>
    <x v="1"/>
    <s v="GNR_GT_NGAS_BP_E-31"/>
    <x v="0"/>
    <x v="10"/>
    <n v="9"/>
    <n v="3285"/>
    <n v="11826"/>
  </r>
  <r>
    <x v="0"/>
    <x v="0"/>
    <x v="0"/>
    <x v="0"/>
    <x v="0"/>
    <s v="DK1_Medium"/>
    <x v="2"/>
    <x v="1"/>
    <s v="GNR_GT_NGAS_BP_E-43"/>
    <x v="0"/>
    <x v="3"/>
    <n v="82.15"/>
    <n v="29984.75"/>
    <n v="107945.1"/>
  </r>
  <r>
    <x v="0"/>
    <x v="0"/>
    <x v="0"/>
    <x v="0"/>
    <x v="0"/>
    <s v="DK1_Medium"/>
    <x v="2"/>
    <x v="1"/>
    <s v="GNR_GT_NGAS_BP_E-43"/>
    <x v="0"/>
    <x v="4"/>
    <n v="82.15"/>
    <n v="29984.75"/>
    <n v="107945.1"/>
  </r>
  <r>
    <x v="0"/>
    <x v="0"/>
    <x v="0"/>
    <x v="0"/>
    <x v="0"/>
    <s v="DK1_Medium"/>
    <x v="2"/>
    <x v="1"/>
    <s v="GNR_GT_NGAS_BP_E-43"/>
    <x v="0"/>
    <x v="5"/>
    <n v="82.15"/>
    <n v="29984.75"/>
    <n v="107945.1"/>
  </r>
  <r>
    <x v="0"/>
    <x v="0"/>
    <x v="0"/>
    <x v="0"/>
    <x v="0"/>
    <s v="DK1_Medium"/>
    <x v="2"/>
    <x v="1"/>
    <s v="GNR_GT_NGAS_BP_E-43"/>
    <x v="0"/>
    <x v="6"/>
    <n v="82.15"/>
    <n v="29984.75"/>
    <n v="107945.1"/>
  </r>
  <r>
    <x v="0"/>
    <x v="0"/>
    <x v="0"/>
    <x v="0"/>
    <x v="0"/>
    <s v="DK1_Medium"/>
    <x v="2"/>
    <x v="1"/>
    <s v="GNR_GT_NGAS_BP_E-43"/>
    <x v="0"/>
    <x v="7"/>
    <n v="82.15"/>
    <n v="29984.75"/>
    <n v="107945.1"/>
  </r>
  <r>
    <x v="0"/>
    <x v="0"/>
    <x v="0"/>
    <x v="0"/>
    <x v="0"/>
    <s v="DK1_Medium"/>
    <x v="2"/>
    <x v="1"/>
    <s v="GNR_GT_NGAS_BP_E-43"/>
    <x v="0"/>
    <x v="8"/>
    <n v="82.15"/>
    <n v="29984.75"/>
    <n v="107945.1"/>
  </r>
  <r>
    <x v="0"/>
    <x v="0"/>
    <x v="0"/>
    <x v="0"/>
    <x v="0"/>
    <s v="DK1_Medium"/>
    <x v="2"/>
    <x v="1"/>
    <s v="GNR_GT_NGAS_BP_E-43"/>
    <x v="0"/>
    <x v="0"/>
    <n v="82.15"/>
    <n v="29984.75"/>
    <n v="107945.1"/>
  </r>
  <r>
    <x v="0"/>
    <x v="0"/>
    <x v="0"/>
    <x v="0"/>
    <x v="0"/>
    <s v="DK1_Medium"/>
    <x v="2"/>
    <x v="1"/>
    <s v="GNR_GT_NGAS_BP_E-43"/>
    <x v="0"/>
    <x v="1"/>
    <n v="82.15"/>
    <n v="29984.75"/>
    <n v="107945.1"/>
  </r>
  <r>
    <x v="0"/>
    <x v="0"/>
    <x v="0"/>
    <x v="0"/>
    <x v="0"/>
    <s v="DK1_Medium"/>
    <x v="2"/>
    <x v="1"/>
    <s v="GNR_GT_NGAS_BP_E-43"/>
    <x v="0"/>
    <x v="2"/>
    <n v="82.15"/>
    <n v="29984.75"/>
    <n v="107945.1"/>
  </r>
  <r>
    <x v="0"/>
    <x v="0"/>
    <x v="0"/>
    <x v="0"/>
    <x v="0"/>
    <s v="DK1_Medium"/>
    <x v="2"/>
    <x v="1"/>
    <s v="GNR_GT_NGAS_BP_E-43"/>
    <x v="0"/>
    <x v="9"/>
    <n v="82.15"/>
    <n v="29984.75"/>
    <n v="107945.1"/>
  </r>
  <r>
    <x v="0"/>
    <x v="0"/>
    <x v="0"/>
    <x v="0"/>
    <x v="0"/>
    <s v="DK1_Medium"/>
    <x v="2"/>
    <x v="1"/>
    <s v="GNR_GT_NGAS_BP_E-43"/>
    <x v="0"/>
    <x v="10"/>
    <n v="82.15"/>
    <n v="29984.75"/>
    <n v="107945.1"/>
  </r>
  <r>
    <x v="0"/>
    <x v="0"/>
    <x v="0"/>
    <x v="0"/>
    <x v="0"/>
    <s v="DK1_Medium"/>
    <x v="2"/>
    <x v="1"/>
    <s v="GNR_GT_NGAS_BP_E-43"/>
    <x v="0"/>
    <x v="11"/>
    <n v="82.15"/>
    <n v="29984.75"/>
    <n v="107945.1"/>
  </r>
  <r>
    <x v="0"/>
    <x v="0"/>
    <x v="0"/>
    <x v="0"/>
    <x v="0"/>
    <s v="DK1_Medium"/>
    <x v="2"/>
    <x v="1"/>
    <s v="GNR_GT_NGAS_BP_E-43"/>
    <x v="0"/>
    <x v="12"/>
    <n v="82.15"/>
    <n v="29984.75"/>
    <n v="107945.1"/>
  </r>
  <r>
    <x v="0"/>
    <x v="0"/>
    <x v="0"/>
    <x v="0"/>
    <x v="0"/>
    <s v="DK1_Medium"/>
    <x v="2"/>
    <x v="1"/>
    <s v="GNR_GT_NGAS_BP_E-43"/>
    <x v="0"/>
    <x v="13"/>
    <n v="82.15"/>
    <n v="29984.75"/>
    <n v="107945.1"/>
  </r>
  <r>
    <x v="0"/>
    <x v="0"/>
    <x v="0"/>
    <x v="0"/>
    <x v="0"/>
    <s v="DK1_Medium"/>
    <x v="2"/>
    <x v="1"/>
    <s v="GNR_GT_NGAS_BP_E-43"/>
    <x v="0"/>
    <x v="14"/>
    <n v="82.15"/>
    <n v="29984.75"/>
    <n v="107945.1"/>
  </r>
  <r>
    <x v="0"/>
    <x v="0"/>
    <x v="0"/>
    <x v="0"/>
    <x v="0"/>
    <s v="DK1_Medium"/>
    <x v="2"/>
    <x v="1"/>
    <s v="GNR_GT_NGAS_BP_E-43"/>
    <x v="0"/>
    <x v="15"/>
    <n v="82.15"/>
    <n v="29984.75"/>
    <n v="107945.1"/>
  </r>
  <r>
    <x v="0"/>
    <x v="0"/>
    <x v="0"/>
    <x v="0"/>
    <x v="0"/>
    <s v="DK1_Medium"/>
    <x v="2"/>
    <x v="1"/>
    <s v="GNR_GT_NGAS_BP_E-43"/>
    <x v="0"/>
    <x v="16"/>
    <n v="82.15"/>
    <n v="29984.75"/>
    <n v="107945.1"/>
  </r>
  <r>
    <x v="0"/>
    <x v="0"/>
    <x v="0"/>
    <x v="0"/>
    <x v="0"/>
    <s v="DK1_Medium"/>
    <x v="2"/>
    <x v="1"/>
    <s v="GNR_GT_NGAS_BP_E-43"/>
    <x v="0"/>
    <x v="17"/>
    <n v="82.15"/>
    <n v="29984.75"/>
    <n v="107945.1"/>
  </r>
  <r>
    <x v="0"/>
    <x v="0"/>
    <x v="0"/>
    <x v="0"/>
    <x v="0"/>
    <s v="DK1_Medium"/>
    <x v="2"/>
    <x v="1"/>
    <s v="GNR_GT_NGAS_BP_E-43"/>
    <x v="0"/>
    <x v="18"/>
    <n v="82.15"/>
    <n v="29984.75"/>
    <n v="107945.1"/>
  </r>
  <r>
    <x v="0"/>
    <x v="0"/>
    <x v="0"/>
    <x v="0"/>
    <x v="0"/>
    <s v="DK1_Medium"/>
    <x v="2"/>
    <x v="1"/>
    <s v="GNR_GT_NGAS_BP_E-43"/>
    <x v="0"/>
    <x v="19"/>
    <n v="82.15"/>
    <n v="29984.75"/>
    <n v="107945.1"/>
  </r>
  <r>
    <x v="0"/>
    <x v="0"/>
    <x v="0"/>
    <x v="0"/>
    <x v="0"/>
    <s v="DK1_Medium"/>
    <x v="2"/>
    <x v="1"/>
    <s v="GNR_GT_NGAS_BP_E-43"/>
    <x v="0"/>
    <x v="20"/>
    <n v="82.15"/>
    <n v="29984.75"/>
    <n v="107945.1"/>
  </r>
  <r>
    <x v="0"/>
    <x v="0"/>
    <x v="0"/>
    <x v="0"/>
    <x v="0"/>
    <s v="DK1_Medium"/>
    <x v="2"/>
    <x v="1"/>
    <s v="GNR_GT_NGAS_BP_E-43"/>
    <x v="0"/>
    <x v="21"/>
    <n v="82.15"/>
    <n v="29984.75"/>
    <n v="107945.1"/>
  </r>
  <r>
    <x v="0"/>
    <x v="0"/>
    <x v="0"/>
    <x v="0"/>
    <x v="0"/>
    <s v="DK1_Medium"/>
    <x v="2"/>
    <x v="1"/>
    <s v="GNR_GT_NGAS_BP_E-43"/>
    <x v="0"/>
    <x v="22"/>
    <n v="82.15"/>
    <n v="29984.75"/>
    <n v="107945.1"/>
  </r>
  <r>
    <x v="0"/>
    <x v="0"/>
    <x v="0"/>
    <x v="0"/>
    <x v="0"/>
    <s v="DK1_Medium"/>
    <x v="2"/>
    <x v="1"/>
    <s v="GNR_GT_NGAS_BP_E-43"/>
    <x v="0"/>
    <x v="23"/>
    <n v="82.15"/>
    <n v="29984.75"/>
    <n v="107945.1"/>
  </r>
  <r>
    <x v="0"/>
    <x v="0"/>
    <x v="0"/>
    <x v="0"/>
    <x v="0"/>
    <s v="DK1_Medium"/>
    <x v="2"/>
    <x v="1"/>
    <s v="GNR_GT_NGAS_BP_E-44"/>
    <x v="0"/>
    <x v="3"/>
    <n v="57"/>
    <n v="20805"/>
    <n v="74898"/>
  </r>
  <r>
    <x v="0"/>
    <x v="0"/>
    <x v="0"/>
    <x v="0"/>
    <x v="0"/>
    <s v="DK1_Medium"/>
    <x v="2"/>
    <x v="1"/>
    <s v="GNR_GT_NGAS_BP_E-44"/>
    <x v="0"/>
    <x v="4"/>
    <n v="57"/>
    <n v="20805"/>
    <n v="74898"/>
  </r>
  <r>
    <x v="0"/>
    <x v="0"/>
    <x v="0"/>
    <x v="0"/>
    <x v="0"/>
    <s v="DK1_Medium"/>
    <x v="2"/>
    <x v="1"/>
    <s v="GNR_GT_NGAS_BP_E-44"/>
    <x v="0"/>
    <x v="5"/>
    <n v="57"/>
    <n v="20805"/>
    <n v="74898"/>
  </r>
  <r>
    <x v="0"/>
    <x v="0"/>
    <x v="0"/>
    <x v="0"/>
    <x v="0"/>
    <s v="DK1_Medium"/>
    <x v="2"/>
    <x v="1"/>
    <s v="GNR_GT_NGAS_BP_E-44"/>
    <x v="0"/>
    <x v="6"/>
    <n v="57"/>
    <n v="20805"/>
    <n v="74898"/>
  </r>
  <r>
    <x v="0"/>
    <x v="0"/>
    <x v="0"/>
    <x v="0"/>
    <x v="0"/>
    <s v="DK1_Medium"/>
    <x v="2"/>
    <x v="1"/>
    <s v="GNR_GT_NGAS_BP_E-44"/>
    <x v="0"/>
    <x v="7"/>
    <n v="57"/>
    <n v="20805"/>
    <n v="74898"/>
  </r>
  <r>
    <x v="0"/>
    <x v="0"/>
    <x v="0"/>
    <x v="0"/>
    <x v="0"/>
    <s v="DK1_Medium"/>
    <x v="2"/>
    <x v="1"/>
    <s v="GNR_GT_NGAS_BP_E-44"/>
    <x v="0"/>
    <x v="8"/>
    <n v="57"/>
    <n v="20805"/>
    <n v="74898"/>
  </r>
  <r>
    <x v="0"/>
    <x v="0"/>
    <x v="0"/>
    <x v="0"/>
    <x v="0"/>
    <s v="DK1_Medium"/>
    <x v="2"/>
    <x v="1"/>
    <s v="GNR_GT_NGAS_BP_E-44"/>
    <x v="0"/>
    <x v="0"/>
    <n v="57"/>
    <n v="20805"/>
    <n v="74898"/>
  </r>
  <r>
    <x v="0"/>
    <x v="0"/>
    <x v="0"/>
    <x v="0"/>
    <x v="0"/>
    <s v="DK1_Medium"/>
    <x v="2"/>
    <x v="1"/>
    <s v="GNR_GT_NGAS_BP_E-44"/>
    <x v="0"/>
    <x v="1"/>
    <n v="57"/>
    <n v="20805"/>
    <n v="74898"/>
  </r>
  <r>
    <x v="0"/>
    <x v="0"/>
    <x v="0"/>
    <x v="0"/>
    <x v="0"/>
    <s v="DK1_Medium"/>
    <x v="2"/>
    <x v="1"/>
    <s v="GNR_GT_NGAS_BP_E-44"/>
    <x v="0"/>
    <x v="2"/>
    <n v="57"/>
    <n v="20805"/>
    <n v="74898"/>
  </r>
  <r>
    <x v="0"/>
    <x v="0"/>
    <x v="0"/>
    <x v="0"/>
    <x v="0"/>
    <s v="DK1_Medium"/>
    <x v="2"/>
    <x v="1"/>
    <s v="GNR_GT_NGAS_BP_E-44"/>
    <x v="0"/>
    <x v="9"/>
    <n v="57"/>
    <n v="20805"/>
    <n v="74898"/>
  </r>
  <r>
    <x v="0"/>
    <x v="0"/>
    <x v="0"/>
    <x v="0"/>
    <x v="0"/>
    <s v="DK1_Medium"/>
    <x v="2"/>
    <x v="1"/>
    <s v="GNR_GT_NGAS_BP_E-44"/>
    <x v="0"/>
    <x v="10"/>
    <n v="57"/>
    <n v="20805"/>
    <n v="74898"/>
  </r>
  <r>
    <x v="0"/>
    <x v="0"/>
    <x v="0"/>
    <x v="0"/>
    <x v="0"/>
    <s v="DK1_Medium"/>
    <x v="2"/>
    <x v="1"/>
    <s v="GNR_GT_NGAS_BP_E-44"/>
    <x v="0"/>
    <x v="11"/>
    <n v="57"/>
    <n v="20805"/>
    <n v="74898"/>
  </r>
  <r>
    <x v="0"/>
    <x v="0"/>
    <x v="0"/>
    <x v="0"/>
    <x v="0"/>
    <s v="DK1_Medium"/>
    <x v="2"/>
    <x v="1"/>
    <s v="GNR_GT_NGAS_BP_E-44"/>
    <x v="0"/>
    <x v="12"/>
    <n v="57"/>
    <n v="20805"/>
    <n v="74898"/>
  </r>
  <r>
    <x v="0"/>
    <x v="0"/>
    <x v="0"/>
    <x v="0"/>
    <x v="0"/>
    <s v="DK1_Medium"/>
    <x v="2"/>
    <x v="1"/>
    <s v="GNR_GT_NGAS_BP_E-44"/>
    <x v="0"/>
    <x v="13"/>
    <n v="57"/>
    <n v="20805"/>
    <n v="74898"/>
  </r>
  <r>
    <x v="0"/>
    <x v="0"/>
    <x v="0"/>
    <x v="0"/>
    <x v="0"/>
    <s v="DK1_Medium"/>
    <x v="2"/>
    <x v="1"/>
    <s v="GNR_GT_NGAS_BP_E-44"/>
    <x v="0"/>
    <x v="14"/>
    <n v="57"/>
    <n v="20805"/>
    <n v="74898"/>
  </r>
  <r>
    <x v="0"/>
    <x v="0"/>
    <x v="0"/>
    <x v="0"/>
    <x v="0"/>
    <s v="DK1_Medium"/>
    <x v="2"/>
    <x v="1"/>
    <s v="GNR_GT_NGAS_BP_E-44"/>
    <x v="0"/>
    <x v="15"/>
    <n v="57"/>
    <n v="20805"/>
    <n v="74898"/>
  </r>
  <r>
    <x v="0"/>
    <x v="0"/>
    <x v="0"/>
    <x v="0"/>
    <x v="0"/>
    <s v="DK1_Medium"/>
    <x v="2"/>
    <x v="1"/>
    <s v="GNR_GT_NGAS_BP_E-44"/>
    <x v="0"/>
    <x v="16"/>
    <n v="57"/>
    <n v="20805"/>
    <n v="74898"/>
  </r>
  <r>
    <x v="0"/>
    <x v="0"/>
    <x v="0"/>
    <x v="0"/>
    <x v="0"/>
    <s v="DK1_Medium"/>
    <x v="2"/>
    <x v="1"/>
    <s v="GNR_GT_NGAS_BP_E-44"/>
    <x v="0"/>
    <x v="17"/>
    <n v="57"/>
    <n v="20805"/>
    <n v="74898"/>
  </r>
  <r>
    <x v="0"/>
    <x v="0"/>
    <x v="0"/>
    <x v="0"/>
    <x v="0"/>
    <s v="DK1_Medium"/>
    <x v="2"/>
    <x v="1"/>
    <s v="GNR_GT_NGAS_BP_E-44"/>
    <x v="0"/>
    <x v="18"/>
    <n v="57"/>
    <n v="20805"/>
    <n v="74898"/>
  </r>
  <r>
    <x v="0"/>
    <x v="0"/>
    <x v="0"/>
    <x v="0"/>
    <x v="0"/>
    <s v="DK1_Medium"/>
    <x v="2"/>
    <x v="1"/>
    <s v="GNR_GT_NGAS_BP_E-44"/>
    <x v="0"/>
    <x v="19"/>
    <n v="57"/>
    <n v="20805"/>
    <n v="74898"/>
  </r>
  <r>
    <x v="0"/>
    <x v="0"/>
    <x v="0"/>
    <x v="0"/>
    <x v="0"/>
    <s v="DK1_Medium"/>
    <x v="2"/>
    <x v="1"/>
    <s v="GNR_GT_NGAS_BP_E-44"/>
    <x v="0"/>
    <x v="20"/>
    <n v="57"/>
    <n v="20805"/>
    <n v="74898"/>
  </r>
  <r>
    <x v="0"/>
    <x v="0"/>
    <x v="0"/>
    <x v="0"/>
    <x v="0"/>
    <s v="DK1_Medium"/>
    <x v="2"/>
    <x v="1"/>
    <s v="GNR_GT_NGAS_BP_E-44"/>
    <x v="0"/>
    <x v="21"/>
    <n v="57"/>
    <n v="20805"/>
    <n v="74898"/>
  </r>
  <r>
    <x v="0"/>
    <x v="0"/>
    <x v="0"/>
    <x v="0"/>
    <x v="0"/>
    <s v="DK1_Medium"/>
    <x v="2"/>
    <x v="1"/>
    <s v="GNR_GT_NGAS_BP_E-44"/>
    <x v="0"/>
    <x v="22"/>
    <n v="57"/>
    <n v="20805"/>
    <n v="74898"/>
  </r>
  <r>
    <x v="0"/>
    <x v="0"/>
    <x v="0"/>
    <x v="0"/>
    <x v="0"/>
    <s v="DK1_Medium"/>
    <x v="2"/>
    <x v="1"/>
    <s v="GNR_GT_NGAS_BP_E-44"/>
    <x v="0"/>
    <x v="23"/>
    <n v="57"/>
    <n v="20805"/>
    <n v="74898"/>
  </r>
  <r>
    <x v="0"/>
    <x v="0"/>
    <x v="0"/>
    <x v="0"/>
    <x v="0"/>
    <s v="DK1_Medium"/>
    <x v="2"/>
    <x v="1"/>
    <s v="GNR_GT_NGAS_BP_E-47"/>
    <x v="0"/>
    <x v="3"/>
    <n v="108.55"/>
    <n v="39620.75"/>
    <n v="142634.70000000001"/>
  </r>
  <r>
    <x v="0"/>
    <x v="0"/>
    <x v="0"/>
    <x v="0"/>
    <x v="0"/>
    <s v="DK1_Medium"/>
    <x v="2"/>
    <x v="1"/>
    <s v="GNR_GT_NGAS_BP_E-47"/>
    <x v="0"/>
    <x v="4"/>
    <n v="108.55"/>
    <n v="39620.75"/>
    <n v="142634.70000000001"/>
  </r>
  <r>
    <x v="0"/>
    <x v="0"/>
    <x v="0"/>
    <x v="0"/>
    <x v="0"/>
    <s v="DK1_Medium"/>
    <x v="2"/>
    <x v="1"/>
    <s v="GNR_GT_NGAS_BP_E-47"/>
    <x v="0"/>
    <x v="5"/>
    <n v="108.55"/>
    <n v="39620.75"/>
    <n v="142634.70000000001"/>
  </r>
  <r>
    <x v="0"/>
    <x v="0"/>
    <x v="0"/>
    <x v="0"/>
    <x v="0"/>
    <s v="DK1_Medium"/>
    <x v="2"/>
    <x v="1"/>
    <s v="GNR_GT_NGAS_BP_E-47"/>
    <x v="0"/>
    <x v="6"/>
    <n v="108.55"/>
    <n v="39620.75"/>
    <n v="142634.70000000001"/>
  </r>
  <r>
    <x v="0"/>
    <x v="0"/>
    <x v="0"/>
    <x v="0"/>
    <x v="0"/>
    <s v="DK1_Medium"/>
    <x v="2"/>
    <x v="1"/>
    <s v="GNR_GT_NGAS_BP_E-47"/>
    <x v="0"/>
    <x v="7"/>
    <n v="108.55"/>
    <n v="39620.75"/>
    <n v="142634.70000000001"/>
  </r>
  <r>
    <x v="0"/>
    <x v="0"/>
    <x v="0"/>
    <x v="0"/>
    <x v="0"/>
    <s v="DK1_Medium"/>
    <x v="2"/>
    <x v="1"/>
    <s v="GNR_GT_NGAS_BP_E-47"/>
    <x v="0"/>
    <x v="8"/>
    <n v="108.55"/>
    <n v="39620.75"/>
    <n v="142634.70000000001"/>
  </r>
  <r>
    <x v="0"/>
    <x v="0"/>
    <x v="0"/>
    <x v="0"/>
    <x v="0"/>
    <s v="DK1_Medium"/>
    <x v="2"/>
    <x v="1"/>
    <s v="GNR_GT_NGAS_BP_E-47"/>
    <x v="0"/>
    <x v="0"/>
    <n v="108.55"/>
    <n v="39620.75"/>
    <n v="142634.70000000001"/>
  </r>
  <r>
    <x v="0"/>
    <x v="0"/>
    <x v="0"/>
    <x v="0"/>
    <x v="0"/>
    <s v="DK1_Medium"/>
    <x v="2"/>
    <x v="1"/>
    <s v="GNR_GT_NGAS_BP_E-47"/>
    <x v="0"/>
    <x v="1"/>
    <n v="108.55"/>
    <n v="39620.75"/>
    <n v="142634.70000000001"/>
  </r>
  <r>
    <x v="0"/>
    <x v="0"/>
    <x v="0"/>
    <x v="0"/>
    <x v="0"/>
    <s v="DK1_Medium"/>
    <x v="2"/>
    <x v="1"/>
    <s v="GNR_GT_NGAS_BP_E-47"/>
    <x v="0"/>
    <x v="2"/>
    <n v="108.55"/>
    <n v="39620.75"/>
    <n v="142634.70000000001"/>
  </r>
  <r>
    <x v="0"/>
    <x v="0"/>
    <x v="0"/>
    <x v="0"/>
    <x v="0"/>
    <s v="DK1_Medium"/>
    <x v="2"/>
    <x v="1"/>
    <s v="GNR_GT_NGAS_BP_E-47"/>
    <x v="0"/>
    <x v="9"/>
    <n v="108.55"/>
    <n v="39620.75"/>
    <n v="142634.70000000001"/>
  </r>
  <r>
    <x v="0"/>
    <x v="0"/>
    <x v="0"/>
    <x v="0"/>
    <x v="0"/>
    <s v="DK1_Medium"/>
    <x v="2"/>
    <x v="1"/>
    <s v="GNR_GT_NGAS_BP_E-47"/>
    <x v="0"/>
    <x v="10"/>
    <n v="108.55"/>
    <n v="39620.75"/>
    <n v="142634.70000000001"/>
  </r>
  <r>
    <x v="0"/>
    <x v="0"/>
    <x v="0"/>
    <x v="0"/>
    <x v="0"/>
    <s v="DK1_Medium"/>
    <x v="2"/>
    <x v="1"/>
    <s v="GNR_GT_NGAS_BP_E-47"/>
    <x v="0"/>
    <x v="11"/>
    <n v="108.55"/>
    <n v="39620.75"/>
    <n v="142634.70000000001"/>
  </r>
  <r>
    <x v="0"/>
    <x v="0"/>
    <x v="0"/>
    <x v="0"/>
    <x v="0"/>
    <s v="DK1_Medium"/>
    <x v="2"/>
    <x v="1"/>
    <s v="GNR_GT_NGAS_BP_E-47"/>
    <x v="0"/>
    <x v="12"/>
    <n v="108.55"/>
    <n v="39620.75"/>
    <n v="142634.70000000001"/>
  </r>
  <r>
    <x v="0"/>
    <x v="0"/>
    <x v="0"/>
    <x v="0"/>
    <x v="0"/>
    <s v="DK1_Medium"/>
    <x v="2"/>
    <x v="1"/>
    <s v="GNR_GT_NGAS_BP_E-47"/>
    <x v="0"/>
    <x v="13"/>
    <n v="108.55"/>
    <n v="39620.75"/>
    <n v="142634.70000000001"/>
  </r>
  <r>
    <x v="0"/>
    <x v="0"/>
    <x v="0"/>
    <x v="0"/>
    <x v="0"/>
    <s v="DK1_Medium"/>
    <x v="2"/>
    <x v="1"/>
    <s v="GNR_GT_NGAS_BP_E-47"/>
    <x v="0"/>
    <x v="14"/>
    <n v="108.55"/>
    <n v="39620.75"/>
    <n v="142634.70000000001"/>
  </r>
  <r>
    <x v="0"/>
    <x v="0"/>
    <x v="0"/>
    <x v="0"/>
    <x v="0"/>
    <s v="DK1_Medium"/>
    <x v="2"/>
    <x v="1"/>
    <s v="GNR_GT_NGAS_BP_E-47"/>
    <x v="0"/>
    <x v="15"/>
    <n v="108.55"/>
    <n v="39620.75"/>
    <n v="142634.70000000001"/>
  </r>
  <r>
    <x v="0"/>
    <x v="0"/>
    <x v="0"/>
    <x v="0"/>
    <x v="0"/>
    <s v="DK1_Medium"/>
    <x v="2"/>
    <x v="1"/>
    <s v="GNR_GT_NGAS_BP_E-47"/>
    <x v="0"/>
    <x v="16"/>
    <n v="108.55"/>
    <n v="39620.75"/>
    <n v="142634.70000000001"/>
  </r>
  <r>
    <x v="0"/>
    <x v="0"/>
    <x v="0"/>
    <x v="0"/>
    <x v="0"/>
    <s v="DK1_Medium"/>
    <x v="2"/>
    <x v="1"/>
    <s v="GNR_GT_NGAS_BP_E-47"/>
    <x v="0"/>
    <x v="17"/>
    <n v="108.55"/>
    <n v="39620.75"/>
    <n v="142634.70000000001"/>
  </r>
  <r>
    <x v="0"/>
    <x v="0"/>
    <x v="0"/>
    <x v="0"/>
    <x v="0"/>
    <s v="DK1_Medium"/>
    <x v="2"/>
    <x v="1"/>
    <s v="GNR_GT_NGAS_BP_E-47"/>
    <x v="0"/>
    <x v="18"/>
    <n v="108.55"/>
    <n v="39620.75"/>
    <n v="142634.70000000001"/>
  </r>
  <r>
    <x v="0"/>
    <x v="0"/>
    <x v="0"/>
    <x v="0"/>
    <x v="0"/>
    <s v="DK1_Medium"/>
    <x v="2"/>
    <x v="1"/>
    <s v="GNR_GT_NGAS_BP_E-47"/>
    <x v="0"/>
    <x v="19"/>
    <n v="108.55"/>
    <n v="39620.75"/>
    <n v="142634.70000000001"/>
  </r>
  <r>
    <x v="0"/>
    <x v="0"/>
    <x v="0"/>
    <x v="0"/>
    <x v="0"/>
    <s v="DK1_Medium"/>
    <x v="2"/>
    <x v="1"/>
    <s v="GNR_GT_NGAS_BP_E-47"/>
    <x v="0"/>
    <x v="20"/>
    <n v="108.55"/>
    <n v="39620.75"/>
    <n v="142634.70000000001"/>
  </r>
  <r>
    <x v="0"/>
    <x v="0"/>
    <x v="0"/>
    <x v="0"/>
    <x v="0"/>
    <s v="DK1_Medium"/>
    <x v="2"/>
    <x v="1"/>
    <s v="GNR_GT_NGAS_BP_E-47"/>
    <x v="0"/>
    <x v="21"/>
    <n v="108.55"/>
    <n v="39620.75"/>
    <n v="142634.70000000001"/>
  </r>
  <r>
    <x v="0"/>
    <x v="0"/>
    <x v="0"/>
    <x v="0"/>
    <x v="0"/>
    <s v="DK1_Medium"/>
    <x v="2"/>
    <x v="1"/>
    <s v="GNR_GT_NGAS_BP_E-47"/>
    <x v="0"/>
    <x v="22"/>
    <n v="108.55"/>
    <n v="39620.75"/>
    <n v="142634.70000000001"/>
  </r>
  <r>
    <x v="0"/>
    <x v="0"/>
    <x v="0"/>
    <x v="0"/>
    <x v="0"/>
    <s v="DK1_Medium"/>
    <x v="2"/>
    <x v="1"/>
    <s v="GNR_GT_NGAS_BP_E-47"/>
    <x v="0"/>
    <x v="23"/>
    <n v="108.55"/>
    <n v="39620.75"/>
    <n v="142634.70000000001"/>
  </r>
  <r>
    <x v="0"/>
    <x v="0"/>
    <x v="0"/>
    <x v="0"/>
    <x v="0"/>
    <s v="DK1_Medium"/>
    <x v="4"/>
    <x v="1"/>
    <s v="GNR_ST_WOODCHI_BP_E-27"/>
    <x v="0"/>
    <x v="0"/>
    <n v="52"/>
    <n v="18980"/>
    <n v="68328"/>
  </r>
  <r>
    <x v="0"/>
    <x v="0"/>
    <x v="0"/>
    <x v="0"/>
    <x v="0"/>
    <s v="DK1_Medium"/>
    <x v="4"/>
    <x v="1"/>
    <s v="GNR_ST_WOODCHI_BP_E-27"/>
    <x v="0"/>
    <x v="1"/>
    <n v="52"/>
    <n v="18980"/>
    <n v="68328"/>
  </r>
  <r>
    <x v="0"/>
    <x v="0"/>
    <x v="0"/>
    <x v="0"/>
    <x v="0"/>
    <s v="DK1_Medium"/>
    <x v="4"/>
    <x v="1"/>
    <s v="GNR_ST_WOODCHI_BP_E-27"/>
    <x v="0"/>
    <x v="2"/>
    <n v="52"/>
    <n v="18980"/>
    <n v="68328"/>
  </r>
  <r>
    <x v="0"/>
    <x v="0"/>
    <x v="0"/>
    <x v="0"/>
    <x v="0"/>
    <s v="DK1_Medium"/>
    <x v="4"/>
    <x v="1"/>
    <s v="GNR_ST_WOODCHI_BP_E-27"/>
    <x v="0"/>
    <x v="9"/>
    <n v="52"/>
    <n v="18980"/>
    <n v="68328"/>
  </r>
  <r>
    <x v="0"/>
    <x v="0"/>
    <x v="0"/>
    <x v="0"/>
    <x v="0"/>
    <s v="DK1_Medium"/>
    <x v="4"/>
    <x v="1"/>
    <s v="GNR_ST_WOODCHI_BP_E-30"/>
    <x v="0"/>
    <x v="0"/>
    <n v="90.4"/>
    <n v="32996"/>
    <n v="118785.60000000001"/>
  </r>
  <r>
    <x v="0"/>
    <x v="0"/>
    <x v="0"/>
    <x v="0"/>
    <x v="0"/>
    <s v="DK1_Medium"/>
    <x v="4"/>
    <x v="1"/>
    <s v="GNR_ST_WOODCHI_BP_E-30"/>
    <x v="0"/>
    <x v="1"/>
    <n v="90.4"/>
    <n v="32996"/>
    <n v="118785.60000000001"/>
  </r>
  <r>
    <x v="0"/>
    <x v="0"/>
    <x v="0"/>
    <x v="0"/>
    <x v="0"/>
    <s v="DK1_Medium"/>
    <x v="4"/>
    <x v="1"/>
    <s v="GNR_ST_WOODCHI_BP_E-30"/>
    <x v="0"/>
    <x v="2"/>
    <n v="90.4"/>
    <n v="32996"/>
    <n v="118785.60000000001"/>
  </r>
  <r>
    <x v="0"/>
    <x v="0"/>
    <x v="0"/>
    <x v="0"/>
    <x v="0"/>
    <s v="DK1_Medium"/>
    <x v="4"/>
    <x v="1"/>
    <s v="GNR_ST_WOODCHI_BP_E-30"/>
    <x v="0"/>
    <x v="9"/>
    <n v="90.4"/>
    <n v="32996"/>
    <n v="118785.60000000001"/>
  </r>
  <r>
    <x v="0"/>
    <x v="0"/>
    <x v="0"/>
    <x v="0"/>
    <x v="0"/>
    <s v="DK1_Medium"/>
    <x v="4"/>
    <x v="1"/>
    <s v="GNR_ST_WOODCHI_BP_E-30"/>
    <x v="0"/>
    <x v="10"/>
    <n v="90.4"/>
    <n v="32996"/>
    <n v="118785.60000000001"/>
  </r>
  <r>
    <x v="0"/>
    <x v="0"/>
    <x v="0"/>
    <x v="0"/>
    <x v="0"/>
    <s v="DK1_Medium"/>
    <x v="4"/>
    <x v="1"/>
    <s v="GNR_ST_WOODCHI_BP_E-30"/>
    <x v="0"/>
    <x v="11"/>
    <n v="82.422037563842807"/>
    <n v="30084.043710802602"/>
    <n v="108302.557358889"/>
  </r>
  <r>
    <x v="0"/>
    <x v="0"/>
    <x v="0"/>
    <x v="0"/>
    <x v="0"/>
    <s v="DK1_Medium"/>
    <x v="4"/>
    <x v="1"/>
    <s v="GNR_ST_WOODCHI_BP_E-30"/>
    <x v="0"/>
    <x v="13"/>
    <n v="1.03173096762693"/>
    <n v="376.58180318383"/>
    <n v="1355.69449146179"/>
  </r>
  <r>
    <x v="0"/>
    <x v="0"/>
    <x v="0"/>
    <x v="0"/>
    <x v="0"/>
    <s v="DK1_Medium"/>
    <x v="4"/>
    <x v="1"/>
    <s v="GNR_ST_WOODCHI_BP_E-30"/>
    <x v="0"/>
    <x v="14"/>
    <n v="90.4"/>
    <n v="32996"/>
    <n v="118785.60000000001"/>
  </r>
  <r>
    <x v="0"/>
    <x v="0"/>
    <x v="0"/>
    <x v="0"/>
    <x v="0"/>
    <s v="DK1_Medium"/>
    <x v="4"/>
    <x v="1"/>
    <s v="GNR_ST_WOODCHI_BP_E-30"/>
    <x v="0"/>
    <x v="15"/>
    <n v="76.307446889857204"/>
    <n v="27852.218114797899"/>
    <n v="100267.985213272"/>
  </r>
  <r>
    <x v="0"/>
    <x v="0"/>
    <x v="0"/>
    <x v="0"/>
    <x v="0"/>
    <s v="DK1_Medium"/>
    <x v="4"/>
    <x v="1"/>
    <s v="GNR_ST_WOODCHI_BP_E-30"/>
    <x v="0"/>
    <x v="16"/>
    <n v="90.4"/>
    <n v="32996"/>
    <n v="118785.60000000001"/>
  </r>
  <r>
    <x v="0"/>
    <x v="0"/>
    <x v="0"/>
    <x v="0"/>
    <x v="0"/>
    <s v="DK1_Medium"/>
    <x v="4"/>
    <x v="1"/>
    <s v="GNR_ST_WOODCHI_BP_E-30"/>
    <x v="0"/>
    <x v="17"/>
    <n v="79.746904143974106"/>
    <n v="29107.6200125506"/>
    <n v="104787.43204518199"/>
  </r>
  <r>
    <x v="0"/>
    <x v="0"/>
    <x v="0"/>
    <x v="0"/>
    <x v="0"/>
    <s v="DK1_Medium"/>
    <x v="4"/>
    <x v="1"/>
    <s v="GNR_ST_WOODCHI_BP_E-30"/>
    <x v="0"/>
    <x v="18"/>
    <n v="79.364742226849998"/>
    <n v="28968.130912800301"/>
    <n v="104285.271286081"/>
  </r>
  <r>
    <x v="0"/>
    <x v="0"/>
    <x v="0"/>
    <x v="0"/>
    <x v="0"/>
    <s v="DK1_NoDH"/>
    <x v="2"/>
    <x v="1"/>
    <s v="GNR_ENG_NGAS_BP_E-33"/>
    <x v="0"/>
    <x v="0"/>
    <n v="0.13500000000000001"/>
    <n v="49.274999999999999"/>
    <n v="177.39"/>
  </r>
  <r>
    <x v="0"/>
    <x v="0"/>
    <x v="0"/>
    <x v="0"/>
    <x v="0"/>
    <s v="DK1_NoDH"/>
    <x v="2"/>
    <x v="1"/>
    <s v="GNR_ENG_NGAS_BP_E-33"/>
    <x v="0"/>
    <x v="1"/>
    <n v="0.13500000000000001"/>
    <n v="49.274999999999999"/>
    <n v="177.39"/>
  </r>
  <r>
    <x v="0"/>
    <x v="0"/>
    <x v="0"/>
    <x v="0"/>
    <x v="0"/>
    <s v="DK1_NoDH"/>
    <x v="2"/>
    <x v="1"/>
    <s v="GNR_ENG_NGAS_BP_E-33"/>
    <x v="0"/>
    <x v="2"/>
    <n v="0.13500000000000001"/>
    <n v="49.274999999999999"/>
    <n v="177.39"/>
  </r>
  <r>
    <x v="0"/>
    <x v="0"/>
    <x v="0"/>
    <x v="0"/>
    <x v="0"/>
    <s v="DK1_NoDH"/>
    <x v="2"/>
    <x v="1"/>
    <s v="GNR_ENG_NGAS_BP_E-33"/>
    <x v="0"/>
    <x v="9"/>
    <n v="0.13500000000000001"/>
    <n v="49.274999999999999"/>
    <n v="177.39"/>
  </r>
  <r>
    <x v="0"/>
    <x v="0"/>
    <x v="0"/>
    <x v="0"/>
    <x v="0"/>
    <s v="DK1_NoDH"/>
    <x v="2"/>
    <x v="1"/>
    <s v="GNR_ENG_NGAS_BP_E-33"/>
    <x v="0"/>
    <x v="10"/>
    <n v="0.13500000000000001"/>
    <n v="49.274999999999999"/>
    <n v="177.39"/>
  </r>
  <r>
    <x v="0"/>
    <x v="0"/>
    <x v="0"/>
    <x v="0"/>
    <x v="0"/>
    <s v="DK1_NoDH"/>
    <x v="2"/>
    <x v="1"/>
    <s v="GNR_ENG_NGAS_BP_E-35"/>
    <x v="0"/>
    <x v="0"/>
    <n v="1.84"/>
    <n v="671.6"/>
    <n v="2417.7600000000002"/>
  </r>
  <r>
    <x v="0"/>
    <x v="0"/>
    <x v="0"/>
    <x v="0"/>
    <x v="0"/>
    <s v="DK1_NoDH"/>
    <x v="2"/>
    <x v="1"/>
    <s v="GNR_ENG_NGAS_BP_E-35"/>
    <x v="0"/>
    <x v="1"/>
    <n v="1.84"/>
    <n v="671.6"/>
    <n v="2417.7600000000002"/>
  </r>
  <r>
    <x v="0"/>
    <x v="0"/>
    <x v="0"/>
    <x v="0"/>
    <x v="0"/>
    <s v="DK1_NoDH"/>
    <x v="2"/>
    <x v="1"/>
    <s v="GNR_ENG_NGAS_BP_E-35"/>
    <x v="0"/>
    <x v="2"/>
    <n v="1.84"/>
    <n v="671.6"/>
    <n v="2417.7600000000002"/>
  </r>
  <r>
    <x v="0"/>
    <x v="0"/>
    <x v="0"/>
    <x v="0"/>
    <x v="0"/>
    <s v="DK1_NoDH"/>
    <x v="2"/>
    <x v="1"/>
    <s v="GNR_ENG_NGAS_BP_E-35"/>
    <x v="0"/>
    <x v="9"/>
    <n v="1.84"/>
    <n v="671.6"/>
    <n v="2417.7600000000002"/>
  </r>
  <r>
    <x v="0"/>
    <x v="0"/>
    <x v="0"/>
    <x v="0"/>
    <x v="0"/>
    <s v="DK1_NoDH"/>
    <x v="2"/>
    <x v="1"/>
    <s v="GNR_ENG_NGAS_BP_E-35"/>
    <x v="0"/>
    <x v="10"/>
    <n v="1.84"/>
    <n v="671.6"/>
    <n v="2417.7600000000002"/>
  </r>
  <r>
    <x v="0"/>
    <x v="0"/>
    <x v="0"/>
    <x v="0"/>
    <x v="0"/>
    <s v="DK1_NoDH"/>
    <x v="2"/>
    <x v="1"/>
    <s v="GNR_ENG_NGAS_BP_E-35"/>
    <x v="0"/>
    <x v="11"/>
    <n v="1.84"/>
    <n v="671.6"/>
    <n v="2417.7600000000002"/>
  </r>
  <r>
    <x v="0"/>
    <x v="0"/>
    <x v="0"/>
    <x v="0"/>
    <x v="0"/>
    <s v="DK1_NoDH"/>
    <x v="2"/>
    <x v="1"/>
    <s v="GNR_ENG_NGAS_BP_E-35"/>
    <x v="0"/>
    <x v="12"/>
    <n v="1.84"/>
    <n v="671.6"/>
    <n v="2417.7600000000002"/>
  </r>
  <r>
    <x v="0"/>
    <x v="0"/>
    <x v="0"/>
    <x v="0"/>
    <x v="0"/>
    <s v="DK1_NoDH"/>
    <x v="2"/>
    <x v="1"/>
    <s v="GNR_ENG_NGAS_BP_E-35"/>
    <x v="0"/>
    <x v="13"/>
    <n v="1.84"/>
    <n v="671.6"/>
    <n v="2417.7600000000002"/>
  </r>
  <r>
    <x v="0"/>
    <x v="0"/>
    <x v="0"/>
    <x v="0"/>
    <x v="0"/>
    <s v="DK1_NoDH"/>
    <x v="2"/>
    <x v="1"/>
    <s v="GNR_ENG_NGAS_BP_E-35"/>
    <x v="0"/>
    <x v="14"/>
    <n v="1.84"/>
    <n v="671.6"/>
    <n v="2417.7600000000002"/>
  </r>
  <r>
    <x v="0"/>
    <x v="0"/>
    <x v="0"/>
    <x v="0"/>
    <x v="0"/>
    <s v="DK1_NoDH"/>
    <x v="2"/>
    <x v="1"/>
    <s v="GNR_ENG_NGAS_BP_E-35"/>
    <x v="0"/>
    <x v="15"/>
    <n v="1.84"/>
    <n v="671.6"/>
    <n v="2417.7600000000002"/>
  </r>
  <r>
    <x v="0"/>
    <x v="0"/>
    <x v="0"/>
    <x v="0"/>
    <x v="0"/>
    <s v="DK1_NoDH"/>
    <x v="2"/>
    <x v="1"/>
    <s v="GNR_ENG_NGAS_BP_E-35"/>
    <x v="0"/>
    <x v="16"/>
    <n v="1.84"/>
    <n v="671.6"/>
    <n v="2417.7600000000002"/>
  </r>
  <r>
    <x v="0"/>
    <x v="0"/>
    <x v="0"/>
    <x v="0"/>
    <x v="0"/>
    <s v="DK1_NoDH"/>
    <x v="2"/>
    <x v="1"/>
    <s v="GNR_ENG_NGAS_BP_E-35"/>
    <x v="0"/>
    <x v="17"/>
    <n v="1.84"/>
    <n v="671.6"/>
    <n v="2417.7600000000002"/>
  </r>
  <r>
    <x v="0"/>
    <x v="0"/>
    <x v="0"/>
    <x v="0"/>
    <x v="0"/>
    <s v="DK1_NoDH"/>
    <x v="2"/>
    <x v="1"/>
    <s v="GNR_ENG_NGAS_BP_E-35"/>
    <x v="0"/>
    <x v="18"/>
    <n v="1.84"/>
    <n v="671.6"/>
    <n v="2417.7600000000002"/>
  </r>
  <r>
    <x v="0"/>
    <x v="0"/>
    <x v="0"/>
    <x v="0"/>
    <x v="0"/>
    <s v="DK1_NoDH"/>
    <x v="2"/>
    <x v="1"/>
    <s v="GNR_ENG_NGAS_BP_E-36"/>
    <x v="0"/>
    <x v="8"/>
    <n v="3.37"/>
    <n v="1230.05"/>
    <n v="4428.18"/>
  </r>
  <r>
    <x v="0"/>
    <x v="0"/>
    <x v="0"/>
    <x v="0"/>
    <x v="0"/>
    <s v="DK1_NoDH"/>
    <x v="2"/>
    <x v="1"/>
    <s v="GNR_ENG_NGAS_BP_E-36"/>
    <x v="0"/>
    <x v="0"/>
    <n v="3.37"/>
    <n v="1230.05"/>
    <n v="4428.18"/>
  </r>
  <r>
    <x v="0"/>
    <x v="0"/>
    <x v="0"/>
    <x v="0"/>
    <x v="0"/>
    <s v="DK1_NoDH"/>
    <x v="2"/>
    <x v="1"/>
    <s v="GNR_ENG_NGAS_BP_E-36"/>
    <x v="0"/>
    <x v="1"/>
    <n v="3.37"/>
    <n v="1230.05"/>
    <n v="4428.18"/>
  </r>
  <r>
    <x v="0"/>
    <x v="0"/>
    <x v="0"/>
    <x v="0"/>
    <x v="0"/>
    <s v="DK1_NoDH"/>
    <x v="2"/>
    <x v="1"/>
    <s v="GNR_ENG_NGAS_BP_E-36"/>
    <x v="0"/>
    <x v="2"/>
    <n v="3.37"/>
    <n v="1230.05"/>
    <n v="4428.18"/>
  </r>
  <r>
    <x v="0"/>
    <x v="0"/>
    <x v="0"/>
    <x v="0"/>
    <x v="0"/>
    <s v="DK1_NoDH"/>
    <x v="2"/>
    <x v="1"/>
    <s v="GNR_ENG_NGAS_BP_E-36"/>
    <x v="0"/>
    <x v="9"/>
    <n v="3.37"/>
    <n v="1230.05"/>
    <n v="4428.18"/>
  </r>
  <r>
    <x v="0"/>
    <x v="0"/>
    <x v="0"/>
    <x v="0"/>
    <x v="0"/>
    <s v="DK1_NoDH"/>
    <x v="2"/>
    <x v="1"/>
    <s v="GNR_ENG_NGAS_BP_E-36"/>
    <x v="0"/>
    <x v="10"/>
    <n v="3.37"/>
    <n v="1230.05"/>
    <n v="4428.18"/>
  </r>
  <r>
    <x v="0"/>
    <x v="0"/>
    <x v="0"/>
    <x v="0"/>
    <x v="0"/>
    <s v="DK1_NoDH"/>
    <x v="2"/>
    <x v="1"/>
    <s v="GNR_ENG_NGAS_BP_E-36"/>
    <x v="0"/>
    <x v="11"/>
    <n v="3.37"/>
    <n v="1230.05"/>
    <n v="4428.18"/>
  </r>
  <r>
    <x v="0"/>
    <x v="0"/>
    <x v="0"/>
    <x v="0"/>
    <x v="0"/>
    <s v="DK1_NoDH"/>
    <x v="2"/>
    <x v="1"/>
    <s v="GNR_ENG_NGAS_BP_E-36"/>
    <x v="0"/>
    <x v="12"/>
    <n v="3.37"/>
    <n v="1230.05"/>
    <n v="4428.18"/>
  </r>
  <r>
    <x v="0"/>
    <x v="0"/>
    <x v="0"/>
    <x v="0"/>
    <x v="0"/>
    <s v="DK1_NoDH"/>
    <x v="2"/>
    <x v="1"/>
    <s v="GNR_ENG_NGAS_BP_E-36"/>
    <x v="0"/>
    <x v="13"/>
    <n v="3.37"/>
    <n v="1230.05"/>
    <n v="4428.18"/>
  </r>
  <r>
    <x v="0"/>
    <x v="0"/>
    <x v="0"/>
    <x v="0"/>
    <x v="0"/>
    <s v="DK1_NoDH"/>
    <x v="2"/>
    <x v="1"/>
    <s v="GNR_ENG_NGAS_BP_E-36"/>
    <x v="0"/>
    <x v="14"/>
    <n v="3.37"/>
    <n v="1230.05"/>
    <n v="4428.18"/>
  </r>
  <r>
    <x v="0"/>
    <x v="0"/>
    <x v="0"/>
    <x v="0"/>
    <x v="0"/>
    <s v="DK1_NoDH"/>
    <x v="2"/>
    <x v="1"/>
    <s v="GNR_ENG_NGAS_BP_E-36"/>
    <x v="0"/>
    <x v="15"/>
    <n v="3.37"/>
    <n v="1230.05"/>
    <n v="4428.18"/>
  </r>
  <r>
    <x v="0"/>
    <x v="0"/>
    <x v="0"/>
    <x v="0"/>
    <x v="0"/>
    <s v="DK1_NoDH"/>
    <x v="2"/>
    <x v="1"/>
    <s v="GNR_ENG_NGAS_BP_E-36"/>
    <x v="0"/>
    <x v="16"/>
    <n v="3.37"/>
    <n v="1230.05"/>
    <n v="4428.18"/>
  </r>
  <r>
    <x v="0"/>
    <x v="0"/>
    <x v="0"/>
    <x v="0"/>
    <x v="0"/>
    <s v="DK1_NoDH"/>
    <x v="2"/>
    <x v="1"/>
    <s v="GNR_ENG_NGAS_BP_E-36"/>
    <x v="0"/>
    <x v="17"/>
    <n v="3.37"/>
    <n v="1230.05"/>
    <n v="4428.18"/>
  </r>
  <r>
    <x v="0"/>
    <x v="0"/>
    <x v="0"/>
    <x v="0"/>
    <x v="0"/>
    <s v="DK1_NoDH"/>
    <x v="2"/>
    <x v="1"/>
    <s v="GNR_ENG_NGAS_BP_E-36"/>
    <x v="0"/>
    <x v="18"/>
    <n v="3.37"/>
    <n v="1230.05"/>
    <n v="4428.18"/>
  </r>
  <r>
    <x v="0"/>
    <x v="0"/>
    <x v="0"/>
    <x v="0"/>
    <x v="0"/>
    <s v="DK1_NoDH"/>
    <x v="2"/>
    <x v="1"/>
    <s v="GNR_ENG_NGAS_BP_E-37"/>
    <x v="0"/>
    <x v="7"/>
    <n v="36.86"/>
    <n v="13453.9"/>
    <n v="48434.04"/>
  </r>
  <r>
    <x v="0"/>
    <x v="0"/>
    <x v="0"/>
    <x v="0"/>
    <x v="0"/>
    <s v="DK1_NoDH"/>
    <x v="2"/>
    <x v="1"/>
    <s v="GNR_ENG_NGAS_BP_E-37"/>
    <x v="0"/>
    <x v="8"/>
    <n v="36.86"/>
    <n v="13453.9"/>
    <n v="48434.04"/>
  </r>
  <r>
    <x v="0"/>
    <x v="0"/>
    <x v="0"/>
    <x v="0"/>
    <x v="0"/>
    <s v="DK1_NoDH"/>
    <x v="2"/>
    <x v="1"/>
    <s v="GNR_ENG_NGAS_BP_E-37"/>
    <x v="0"/>
    <x v="0"/>
    <n v="36.86"/>
    <n v="13453.9"/>
    <n v="48434.04"/>
  </r>
  <r>
    <x v="0"/>
    <x v="0"/>
    <x v="0"/>
    <x v="0"/>
    <x v="0"/>
    <s v="DK1_NoDH"/>
    <x v="2"/>
    <x v="1"/>
    <s v="GNR_ENG_NGAS_BP_E-37"/>
    <x v="0"/>
    <x v="1"/>
    <n v="36.86"/>
    <n v="13453.9"/>
    <n v="48434.04"/>
  </r>
  <r>
    <x v="0"/>
    <x v="0"/>
    <x v="0"/>
    <x v="0"/>
    <x v="0"/>
    <s v="DK1_NoDH"/>
    <x v="2"/>
    <x v="1"/>
    <s v="GNR_ENG_NGAS_BP_E-37"/>
    <x v="0"/>
    <x v="2"/>
    <n v="36.86"/>
    <n v="13453.9"/>
    <n v="48434.04"/>
  </r>
  <r>
    <x v="0"/>
    <x v="0"/>
    <x v="0"/>
    <x v="0"/>
    <x v="0"/>
    <s v="DK1_NoDH"/>
    <x v="2"/>
    <x v="1"/>
    <s v="GNR_ENG_NGAS_BP_E-37"/>
    <x v="0"/>
    <x v="9"/>
    <n v="36.86"/>
    <n v="13453.9"/>
    <n v="48434.04"/>
  </r>
  <r>
    <x v="0"/>
    <x v="0"/>
    <x v="0"/>
    <x v="0"/>
    <x v="0"/>
    <s v="DK1_NoDH"/>
    <x v="2"/>
    <x v="1"/>
    <s v="GNR_ENG_NGAS_BP_E-37"/>
    <x v="0"/>
    <x v="10"/>
    <n v="36.86"/>
    <n v="13453.9"/>
    <n v="48434.04"/>
  </r>
  <r>
    <x v="0"/>
    <x v="0"/>
    <x v="0"/>
    <x v="0"/>
    <x v="0"/>
    <s v="DK1_NoDH"/>
    <x v="2"/>
    <x v="1"/>
    <s v="GNR_ENG_NGAS_BP_E-37"/>
    <x v="0"/>
    <x v="11"/>
    <n v="36.86"/>
    <n v="13453.9"/>
    <n v="48434.04"/>
  </r>
  <r>
    <x v="0"/>
    <x v="0"/>
    <x v="0"/>
    <x v="0"/>
    <x v="0"/>
    <s v="DK1_NoDH"/>
    <x v="2"/>
    <x v="1"/>
    <s v="GNR_ENG_NGAS_BP_E-37"/>
    <x v="0"/>
    <x v="12"/>
    <n v="36.86"/>
    <n v="13453.9"/>
    <n v="48434.04"/>
  </r>
  <r>
    <x v="0"/>
    <x v="0"/>
    <x v="0"/>
    <x v="0"/>
    <x v="0"/>
    <s v="DK1_NoDH"/>
    <x v="2"/>
    <x v="1"/>
    <s v="GNR_ENG_NGAS_BP_E-37"/>
    <x v="0"/>
    <x v="13"/>
    <n v="36.86"/>
    <n v="13453.9"/>
    <n v="48434.04"/>
  </r>
  <r>
    <x v="0"/>
    <x v="0"/>
    <x v="0"/>
    <x v="0"/>
    <x v="0"/>
    <s v="DK1_NoDH"/>
    <x v="2"/>
    <x v="1"/>
    <s v="GNR_ENG_NGAS_BP_E-37"/>
    <x v="0"/>
    <x v="14"/>
    <n v="36.86"/>
    <n v="13453.9"/>
    <n v="48434.04"/>
  </r>
  <r>
    <x v="0"/>
    <x v="0"/>
    <x v="0"/>
    <x v="0"/>
    <x v="0"/>
    <s v="DK1_NoDH"/>
    <x v="2"/>
    <x v="1"/>
    <s v="GNR_ENG_NGAS_BP_E-37"/>
    <x v="0"/>
    <x v="15"/>
    <n v="36.86"/>
    <n v="13453.9"/>
    <n v="48434.04"/>
  </r>
  <r>
    <x v="0"/>
    <x v="0"/>
    <x v="0"/>
    <x v="0"/>
    <x v="0"/>
    <s v="DK1_NoDH"/>
    <x v="2"/>
    <x v="1"/>
    <s v="GNR_ENG_NGAS_BP_E-37"/>
    <x v="0"/>
    <x v="16"/>
    <n v="36.86"/>
    <n v="13453.9"/>
    <n v="48434.04"/>
  </r>
  <r>
    <x v="0"/>
    <x v="0"/>
    <x v="0"/>
    <x v="0"/>
    <x v="0"/>
    <s v="DK1_NoDH"/>
    <x v="2"/>
    <x v="1"/>
    <s v="GNR_ENG_NGAS_BP_E-37"/>
    <x v="0"/>
    <x v="17"/>
    <n v="36.86"/>
    <n v="13453.9"/>
    <n v="48434.04"/>
  </r>
  <r>
    <x v="0"/>
    <x v="0"/>
    <x v="0"/>
    <x v="0"/>
    <x v="0"/>
    <s v="DK1_NoDH"/>
    <x v="2"/>
    <x v="1"/>
    <s v="GNR_ENG_NGAS_BP_E-37"/>
    <x v="0"/>
    <x v="18"/>
    <n v="36.86"/>
    <n v="13453.9"/>
    <n v="48434.04"/>
  </r>
  <r>
    <x v="0"/>
    <x v="0"/>
    <x v="0"/>
    <x v="0"/>
    <x v="0"/>
    <s v="DK1_NoDH"/>
    <x v="2"/>
    <x v="1"/>
    <s v="GNR_ENG_NGAS_BP_E-38"/>
    <x v="0"/>
    <x v="3"/>
    <n v="12.36"/>
    <n v="4511.3999999999996"/>
    <n v="16241.04"/>
  </r>
  <r>
    <x v="0"/>
    <x v="0"/>
    <x v="0"/>
    <x v="0"/>
    <x v="0"/>
    <s v="DK1_NoDH"/>
    <x v="2"/>
    <x v="1"/>
    <s v="GNR_ENG_NGAS_BP_E-38"/>
    <x v="0"/>
    <x v="4"/>
    <n v="12.36"/>
    <n v="4511.3999999999996"/>
    <n v="16241.04"/>
  </r>
  <r>
    <x v="0"/>
    <x v="0"/>
    <x v="0"/>
    <x v="0"/>
    <x v="0"/>
    <s v="DK1_NoDH"/>
    <x v="2"/>
    <x v="1"/>
    <s v="GNR_ENG_NGAS_BP_E-38"/>
    <x v="0"/>
    <x v="5"/>
    <n v="12.36"/>
    <n v="4511.3999999999996"/>
    <n v="16241.04"/>
  </r>
  <r>
    <x v="0"/>
    <x v="0"/>
    <x v="0"/>
    <x v="0"/>
    <x v="0"/>
    <s v="DK1_NoDH"/>
    <x v="2"/>
    <x v="1"/>
    <s v="GNR_ENG_NGAS_BP_E-38"/>
    <x v="0"/>
    <x v="6"/>
    <n v="12.36"/>
    <n v="4511.3999999999996"/>
    <n v="16241.04"/>
  </r>
  <r>
    <x v="0"/>
    <x v="0"/>
    <x v="0"/>
    <x v="0"/>
    <x v="0"/>
    <s v="DK1_NoDH"/>
    <x v="2"/>
    <x v="1"/>
    <s v="GNR_ENG_NGAS_BP_E-38"/>
    <x v="0"/>
    <x v="7"/>
    <n v="12.36"/>
    <n v="4511.3999999999996"/>
    <n v="16241.04"/>
  </r>
  <r>
    <x v="0"/>
    <x v="0"/>
    <x v="0"/>
    <x v="0"/>
    <x v="0"/>
    <s v="DK1_NoDH"/>
    <x v="2"/>
    <x v="1"/>
    <s v="GNR_ENG_NGAS_BP_E-38"/>
    <x v="0"/>
    <x v="8"/>
    <n v="12.36"/>
    <n v="4511.3999999999996"/>
    <n v="16241.04"/>
  </r>
  <r>
    <x v="0"/>
    <x v="0"/>
    <x v="0"/>
    <x v="0"/>
    <x v="0"/>
    <s v="DK1_NoDH"/>
    <x v="2"/>
    <x v="1"/>
    <s v="GNR_ENG_NGAS_BP_E-38"/>
    <x v="0"/>
    <x v="0"/>
    <n v="12.36"/>
    <n v="4511.3999999999996"/>
    <n v="16241.04"/>
  </r>
  <r>
    <x v="0"/>
    <x v="0"/>
    <x v="0"/>
    <x v="0"/>
    <x v="0"/>
    <s v="DK1_NoDH"/>
    <x v="2"/>
    <x v="1"/>
    <s v="GNR_ENG_NGAS_BP_E-38"/>
    <x v="0"/>
    <x v="1"/>
    <n v="12.36"/>
    <n v="4511.3999999999996"/>
    <n v="16241.04"/>
  </r>
  <r>
    <x v="0"/>
    <x v="0"/>
    <x v="0"/>
    <x v="0"/>
    <x v="0"/>
    <s v="DK1_NoDH"/>
    <x v="2"/>
    <x v="1"/>
    <s v="GNR_ENG_NGAS_BP_E-38"/>
    <x v="0"/>
    <x v="2"/>
    <n v="12.36"/>
    <n v="4511.3999999999996"/>
    <n v="16241.04"/>
  </r>
  <r>
    <x v="0"/>
    <x v="0"/>
    <x v="0"/>
    <x v="0"/>
    <x v="0"/>
    <s v="DK1_NoDH"/>
    <x v="2"/>
    <x v="1"/>
    <s v="GNR_ENG_NGAS_BP_E-38"/>
    <x v="0"/>
    <x v="9"/>
    <n v="12.36"/>
    <n v="4511.3999999999996"/>
    <n v="16241.04"/>
  </r>
  <r>
    <x v="0"/>
    <x v="0"/>
    <x v="0"/>
    <x v="0"/>
    <x v="0"/>
    <s v="DK1_NoDH"/>
    <x v="2"/>
    <x v="1"/>
    <s v="GNR_ENG_NGAS_BP_E-38"/>
    <x v="0"/>
    <x v="10"/>
    <n v="12.36"/>
    <n v="4511.3999999999996"/>
    <n v="16241.04"/>
  </r>
  <r>
    <x v="0"/>
    <x v="0"/>
    <x v="0"/>
    <x v="0"/>
    <x v="0"/>
    <s v="DK1_NoDH"/>
    <x v="2"/>
    <x v="1"/>
    <s v="GNR_ENG_NGAS_BP_E-38"/>
    <x v="0"/>
    <x v="11"/>
    <n v="12.36"/>
    <n v="4511.3999999999996"/>
    <n v="16241.04"/>
  </r>
  <r>
    <x v="0"/>
    <x v="0"/>
    <x v="0"/>
    <x v="0"/>
    <x v="0"/>
    <s v="DK1_NoDH"/>
    <x v="2"/>
    <x v="1"/>
    <s v="GNR_ENG_NGAS_BP_E-38"/>
    <x v="0"/>
    <x v="12"/>
    <n v="12.36"/>
    <n v="4511.3999999999996"/>
    <n v="16241.04"/>
  </r>
  <r>
    <x v="0"/>
    <x v="0"/>
    <x v="0"/>
    <x v="0"/>
    <x v="0"/>
    <s v="DK1_NoDH"/>
    <x v="2"/>
    <x v="1"/>
    <s v="GNR_ENG_NGAS_BP_E-38"/>
    <x v="0"/>
    <x v="13"/>
    <n v="12.36"/>
    <n v="4511.3999999999996"/>
    <n v="16241.04"/>
  </r>
  <r>
    <x v="0"/>
    <x v="0"/>
    <x v="0"/>
    <x v="0"/>
    <x v="0"/>
    <s v="DK1_NoDH"/>
    <x v="2"/>
    <x v="1"/>
    <s v="GNR_ENG_NGAS_BP_E-38"/>
    <x v="0"/>
    <x v="14"/>
    <n v="12.36"/>
    <n v="4511.3999999999996"/>
    <n v="16241.04"/>
  </r>
  <r>
    <x v="0"/>
    <x v="0"/>
    <x v="0"/>
    <x v="0"/>
    <x v="0"/>
    <s v="DK1_NoDH"/>
    <x v="2"/>
    <x v="1"/>
    <s v="GNR_ENG_NGAS_BP_E-38"/>
    <x v="0"/>
    <x v="15"/>
    <n v="12.36"/>
    <n v="4511.3999999999996"/>
    <n v="16241.04"/>
  </r>
  <r>
    <x v="0"/>
    <x v="0"/>
    <x v="0"/>
    <x v="0"/>
    <x v="0"/>
    <s v="DK1_NoDH"/>
    <x v="2"/>
    <x v="1"/>
    <s v="GNR_ENG_NGAS_BP_E-38"/>
    <x v="0"/>
    <x v="16"/>
    <n v="12.36"/>
    <n v="4511.3999999999996"/>
    <n v="16241.04"/>
  </r>
  <r>
    <x v="0"/>
    <x v="0"/>
    <x v="0"/>
    <x v="0"/>
    <x v="0"/>
    <s v="DK1_NoDH"/>
    <x v="2"/>
    <x v="1"/>
    <s v="GNR_ENG_NGAS_BP_E-38"/>
    <x v="0"/>
    <x v="17"/>
    <n v="12.36"/>
    <n v="4511.3999999999996"/>
    <n v="16241.04"/>
  </r>
  <r>
    <x v="0"/>
    <x v="0"/>
    <x v="0"/>
    <x v="0"/>
    <x v="0"/>
    <s v="DK1_NoDH"/>
    <x v="2"/>
    <x v="1"/>
    <s v="GNR_ENG_NGAS_BP_E-38"/>
    <x v="0"/>
    <x v="18"/>
    <n v="12.36"/>
    <n v="4511.3999999999996"/>
    <n v="16241.04"/>
  </r>
  <r>
    <x v="0"/>
    <x v="0"/>
    <x v="0"/>
    <x v="0"/>
    <x v="0"/>
    <s v="DK1_NoDH"/>
    <x v="2"/>
    <x v="1"/>
    <s v="GNR_ENG_NGAS_BP_E-38"/>
    <x v="0"/>
    <x v="19"/>
    <n v="12.36"/>
    <n v="4511.3999999999996"/>
    <n v="16241.04"/>
  </r>
  <r>
    <x v="0"/>
    <x v="0"/>
    <x v="0"/>
    <x v="0"/>
    <x v="0"/>
    <s v="DK1_NoDH"/>
    <x v="2"/>
    <x v="1"/>
    <s v="GNR_ENG_NGAS_BP_E-39"/>
    <x v="0"/>
    <x v="3"/>
    <n v="11.33"/>
    <n v="4135.45"/>
    <n v="14887.62"/>
  </r>
  <r>
    <x v="0"/>
    <x v="0"/>
    <x v="0"/>
    <x v="0"/>
    <x v="0"/>
    <s v="DK1_NoDH"/>
    <x v="2"/>
    <x v="1"/>
    <s v="GNR_ENG_NGAS_BP_E-39"/>
    <x v="0"/>
    <x v="4"/>
    <n v="11.33"/>
    <n v="4135.45"/>
    <n v="14887.62"/>
  </r>
  <r>
    <x v="0"/>
    <x v="0"/>
    <x v="0"/>
    <x v="0"/>
    <x v="0"/>
    <s v="DK1_NoDH"/>
    <x v="2"/>
    <x v="1"/>
    <s v="GNR_ENG_NGAS_BP_E-39"/>
    <x v="0"/>
    <x v="5"/>
    <n v="11.33"/>
    <n v="4135.45"/>
    <n v="14887.62"/>
  </r>
  <r>
    <x v="0"/>
    <x v="0"/>
    <x v="0"/>
    <x v="0"/>
    <x v="0"/>
    <s v="DK1_NoDH"/>
    <x v="2"/>
    <x v="1"/>
    <s v="GNR_ENG_NGAS_BP_E-39"/>
    <x v="0"/>
    <x v="6"/>
    <n v="11.33"/>
    <n v="4135.45"/>
    <n v="14887.62"/>
  </r>
  <r>
    <x v="0"/>
    <x v="0"/>
    <x v="0"/>
    <x v="0"/>
    <x v="0"/>
    <s v="DK1_NoDH"/>
    <x v="2"/>
    <x v="1"/>
    <s v="GNR_ENG_NGAS_BP_E-39"/>
    <x v="0"/>
    <x v="7"/>
    <n v="11.33"/>
    <n v="4135.45"/>
    <n v="14887.62"/>
  </r>
  <r>
    <x v="0"/>
    <x v="0"/>
    <x v="0"/>
    <x v="0"/>
    <x v="0"/>
    <s v="DK1_NoDH"/>
    <x v="2"/>
    <x v="1"/>
    <s v="GNR_ENG_NGAS_BP_E-39"/>
    <x v="0"/>
    <x v="8"/>
    <n v="11.33"/>
    <n v="4135.45"/>
    <n v="14887.62"/>
  </r>
  <r>
    <x v="0"/>
    <x v="0"/>
    <x v="0"/>
    <x v="0"/>
    <x v="0"/>
    <s v="DK1_NoDH"/>
    <x v="2"/>
    <x v="1"/>
    <s v="GNR_ENG_NGAS_BP_E-39"/>
    <x v="0"/>
    <x v="0"/>
    <n v="11.33"/>
    <n v="4135.45"/>
    <n v="14887.62"/>
  </r>
  <r>
    <x v="0"/>
    <x v="0"/>
    <x v="0"/>
    <x v="0"/>
    <x v="0"/>
    <s v="DK1_NoDH"/>
    <x v="2"/>
    <x v="1"/>
    <s v="GNR_ENG_NGAS_BP_E-39"/>
    <x v="0"/>
    <x v="1"/>
    <n v="11.33"/>
    <n v="4135.45"/>
    <n v="14887.62"/>
  </r>
  <r>
    <x v="0"/>
    <x v="0"/>
    <x v="0"/>
    <x v="0"/>
    <x v="0"/>
    <s v="DK1_NoDH"/>
    <x v="2"/>
    <x v="1"/>
    <s v="GNR_ENG_NGAS_BP_E-39"/>
    <x v="0"/>
    <x v="2"/>
    <n v="11.33"/>
    <n v="4135.45"/>
    <n v="14887.62"/>
  </r>
  <r>
    <x v="0"/>
    <x v="0"/>
    <x v="0"/>
    <x v="0"/>
    <x v="0"/>
    <s v="DK1_NoDH"/>
    <x v="2"/>
    <x v="1"/>
    <s v="GNR_ENG_NGAS_BP_E-39"/>
    <x v="0"/>
    <x v="9"/>
    <n v="11.33"/>
    <n v="4135.45"/>
    <n v="14887.62"/>
  </r>
  <r>
    <x v="0"/>
    <x v="0"/>
    <x v="0"/>
    <x v="0"/>
    <x v="0"/>
    <s v="DK1_NoDH"/>
    <x v="2"/>
    <x v="1"/>
    <s v="GNR_ENG_NGAS_BP_E-39"/>
    <x v="0"/>
    <x v="10"/>
    <n v="11.33"/>
    <n v="4135.45"/>
    <n v="14887.62"/>
  </r>
  <r>
    <x v="0"/>
    <x v="0"/>
    <x v="0"/>
    <x v="0"/>
    <x v="0"/>
    <s v="DK1_NoDH"/>
    <x v="2"/>
    <x v="1"/>
    <s v="GNR_ENG_NGAS_BP_E-39"/>
    <x v="0"/>
    <x v="11"/>
    <n v="11.33"/>
    <n v="4135.45"/>
    <n v="14887.62"/>
  </r>
  <r>
    <x v="0"/>
    <x v="0"/>
    <x v="0"/>
    <x v="0"/>
    <x v="0"/>
    <s v="DK1_NoDH"/>
    <x v="2"/>
    <x v="1"/>
    <s v="GNR_ENG_NGAS_BP_E-39"/>
    <x v="0"/>
    <x v="12"/>
    <n v="11.33"/>
    <n v="4135.45"/>
    <n v="14887.62"/>
  </r>
  <r>
    <x v="0"/>
    <x v="0"/>
    <x v="0"/>
    <x v="0"/>
    <x v="0"/>
    <s v="DK1_NoDH"/>
    <x v="2"/>
    <x v="1"/>
    <s v="GNR_ENG_NGAS_BP_E-39"/>
    <x v="0"/>
    <x v="13"/>
    <n v="11.33"/>
    <n v="4135.45"/>
    <n v="14887.62"/>
  </r>
  <r>
    <x v="0"/>
    <x v="0"/>
    <x v="0"/>
    <x v="0"/>
    <x v="0"/>
    <s v="DK1_NoDH"/>
    <x v="2"/>
    <x v="1"/>
    <s v="GNR_ENG_NGAS_BP_E-39"/>
    <x v="0"/>
    <x v="14"/>
    <n v="11.33"/>
    <n v="4135.45"/>
    <n v="14887.62"/>
  </r>
  <r>
    <x v="0"/>
    <x v="0"/>
    <x v="0"/>
    <x v="0"/>
    <x v="0"/>
    <s v="DK1_NoDH"/>
    <x v="2"/>
    <x v="1"/>
    <s v="GNR_ENG_NGAS_BP_E-39"/>
    <x v="0"/>
    <x v="15"/>
    <n v="11.33"/>
    <n v="4135.45"/>
    <n v="14887.62"/>
  </r>
  <r>
    <x v="0"/>
    <x v="0"/>
    <x v="0"/>
    <x v="0"/>
    <x v="0"/>
    <s v="DK1_NoDH"/>
    <x v="2"/>
    <x v="1"/>
    <s v="GNR_ENG_NGAS_BP_E-39"/>
    <x v="0"/>
    <x v="16"/>
    <n v="11.33"/>
    <n v="4135.45"/>
    <n v="14887.62"/>
  </r>
  <r>
    <x v="0"/>
    <x v="0"/>
    <x v="0"/>
    <x v="0"/>
    <x v="0"/>
    <s v="DK1_NoDH"/>
    <x v="2"/>
    <x v="1"/>
    <s v="GNR_ENG_NGAS_BP_E-39"/>
    <x v="0"/>
    <x v="17"/>
    <n v="11.33"/>
    <n v="4135.45"/>
    <n v="14887.62"/>
  </r>
  <r>
    <x v="0"/>
    <x v="0"/>
    <x v="0"/>
    <x v="0"/>
    <x v="0"/>
    <s v="DK1_NoDH"/>
    <x v="2"/>
    <x v="1"/>
    <s v="GNR_ENG_NGAS_BP_E-39"/>
    <x v="0"/>
    <x v="18"/>
    <n v="11.33"/>
    <n v="4135.45"/>
    <n v="14887.62"/>
  </r>
  <r>
    <x v="0"/>
    <x v="0"/>
    <x v="0"/>
    <x v="0"/>
    <x v="0"/>
    <s v="DK1_NoDH"/>
    <x v="2"/>
    <x v="1"/>
    <s v="GNR_ENG_NGAS_BP_E-39"/>
    <x v="0"/>
    <x v="19"/>
    <n v="11.33"/>
    <n v="4135.45"/>
    <n v="14887.62"/>
  </r>
  <r>
    <x v="0"/>
    <x v="0"/>
    <x v="0"/>
    <x v="0"/>
    <x v="0"/>
    <s v="DK1_NoDH"/>
    <x v="2"/>
    <x v="1"/>
    <s v="GNR_ENG_NGAS_BP_E-39"/>
    <x v="0"/>
    <x v="20"/>
    <n v="11.33"/>
    <n v="4135.45"/>
    <n v="14887.62"/>
  </r>
  <r>
    <x v="0"/>
    <x v="0"/>
    <x v="0"/>
    <x v="0"/>
    <x v="0"/>
    <s v="DK1_NoDH"/>
    <x v="2"/>
    <x v="1"/>
    <s v="GNR_ENG_NGAS_BP_E-40"/>
    <x v="0"/>
    <x v="3"/>
    <n v="2.82"/>
    <n v="1029.3"/>
    <n v="3705.48"/>
  </r>
  <r>
    <x v="0"/>
    <x v="0"/>
    <x v="0"/>
    <x v="0"/>
    <x v="0"/>
    <s v="DK1_NoDH"/>
    <x v="2"/>
    <x v="1"/>
    <s v="GNR_ENG_NGAS_BP_E-40"/>
    <x v="0"/>
    <x v="4"/>
    <n v="2.82"/>
    <n v="1029.3"/>
    <n v="3705.48"/>
  </r>
  <r>
    <x v="0"/>
    <x v="0"/>
    <x v="0"/>
    <x v="0"/>
    <x v="0"/>
    <s v="DK1_NoDH"/>
    <x v="2"/>
    <x v="1"/>
    <s v="GNR_ENG_NGAS_BP_E-40"/>
    <x v="0"/>
    <x v="5"/>
    <n v="2.82"/>
    <n v="1029.3"/>
    <n v="3705.48"/>
  </r>
  <r>
    <x v="0"/>
    <x v="0"/>
    <x v="0"/>
    <x v="0"/>
    <x v="0"/>
    <s v="DK1_NoDH"/>
    <x v="2"/>
    <x v="1"/>
    <s v="GNR_ENG_NGAS_BP_E-40"/>
    <x v="0"/>
    <x v="6"/>
    <n v="2.82"/>
    <n v="1029.3"/>
    <n v="3705.48"/>
  </r>
  <r>
    <x v="0"/>
    <x v="0"/>
    <x v="0"/>
    <x v="0"/>
    <x v="0"/>
    <s v="DK1_NoDH"/>
    <x v="2"/>
    <x v="1"/>
    <s v="GNR_ENG_NGAS_BP_E-40"/>
    <x v="0"/>
    <x v="7"/>
    <n v="2.82"/>
    <n v="1029.3"/>
    <n v="3705.48"/>
  </r>
  <r>
    <x v="0"/>
    <x v="0"/>
    <x v="0"/>
    <x v="0"/>
    <x v="0"/>
    <s v="DK1_NoDH"/>
    <x v="2"/>
    <x v="1"/>
    <s v="GNR_ENG_NGAS_BP_E-40"/>
    <x v="0"/>
    <x v="8"/>
    <n v="2.82"/>
    <n v="1029.3"/>
    <n v="3705.48"/>
  </r>
  <r>
    <x v="0"/>
    <x v="0"/>
    <x v="0"/>
    <x v="0"/>
    <x v="0"/>
    <s v="DK1_NoDH"/>
    <x v="2"/>
    <x v="1"/>
    <s v="GNR_ENG_NGAS_BP_E-40"/>
    <x v="0"/>
    <x v="0"/>
    <n v="2.82"/>
    <n v="1029.3"/>
    <n v="3705.48"/>
  </r>
  <r>
    <x v="0"/>
    <x v="0"/>
    <x v="0"/>
    <x v="0"/>
    <x v="0"/>
    <s v="DK1_NoDH"/>
    <x v="2"/>
    <x v="1"/>
    <s v="GNR_ENG_NGAS_BP_E-40"/>
    <x v="0"/>
    <x v="1"/>
    <n v="2.82"/>
    <n v="1029.3"/>
    <n v="3705.48"/>
  </r>
  <r>
    <x v="0"/>
    <x v="0"/>
    <x v="0"/>
    <x v="0"/>
    <x v="0"/>
    <s v="DK1_NoDH"/>
    <x v="2"/>
    <x v="1"/>
    <s v="GNR_ENG_NGAS_BP_E-40"/>
    <x v="0"/>
    <x v="2"/>
    <n v="2.82"/>
    <n v="1029.3"/>
    <n v="3705.48"/>
  </r>
  <r>
    <x v="0"/>
    <x v="0"/>
    <x v="0"/>
    <x v="0"/>
    <x v="0"/>
    <s v="DK1_NoDH"/>
    <x v="2"/>
    <x v="1"/>
    <s v="GNR_ENG_NGAS_BP_E-40"/>
    <x v="0"/>
    <x v="9"/>
    <n v="2.82"/>
    <n v="1029.3"/>
    <n v="3705.48"/>
  </r>
  <r>
    <x v="0"/>
    <x v="0"/>
    <x v="0"/>
    <x v="0"/>
    <x v="0"/>
    <s v="DK1_NoDH"/>
    <x v="2"/>
    <x v="1"/>
    <s v="GNR_ENG_NGAS_BP_E-40"/>
    <x v="0"/>
    <x v="10"/>
    <n v="2.82"/>
    <n v="1029.3"/>
    <n v="3705.48"/>
  </r>
  <r>
    <x v="0"/>
    <x v="0"/>
    <x v="0"/>
    <x v="0"/>
    <x v="0"/>
    <s v="DK1_NoDH"/>
    <x v="2"/>
    <x v="1"/>
    <s v="GNR_ENG_NGAS_BP_E-40"/>
    <x v="0"/>
    <x v="11"/>
    <n v="2.82"/>
    <n v="1029.3"/>
    <n v="3705.48"/>
  </r>
  <r>
    <x v="0"/>
    <x v="0"/>
    <x v="0"/>
    <x v="0"/>
    <x v="0"/>
    <s v="DK1_NoDH"/>
    <x v="2"/>
    <x v="1"/>
    <s v="GNR_ENG_NGAS_BP_E-40"/>
    <x v="0"/>
    <x v="12"/>
    <n v="2.82"/>
    <n v="1029.3"/>
    <n v="3705.48"/>
  </r>
  <r>
    <x v="0"/>
    <x v="0"/>
    <x v="0"/>
    <x v="0"/>
    <x v="0"/>
    <s v="DK1_NoDH"/>
    <x v="2"/>
    <x v="1"/>
    <s v="GNR_ENG_NGAS_BP_E-40"/>
    <x v="0"/>
    <x v="13"/>
    <n v="2.82"/>
    <n v="1029.3"/>
    <n v="3705.48"/>
  </r>
  <r>
    <x v="0"/>
    <x v="0"/>
    <x v="0"/>
    <x v="0"/>
    <x v="0"/>
    <s v="DK1_NoDH"/>
    <x v="2"/>
    <x v="1"/>
    <s v="GNR_ENG_NGAS_BP_E-40"/>
    <x v="0"/>
    <x v="14"/>
    <n v="2.82"/>
    <n v="1029.3"/>
    <n v="3705.48"/>
  </r>
  <r>
    <x v="0"/>
    <x v="0"/>
    <x v="0"/>
    <x v="0"/>
    <x v="0"/>
    <s v="DK1_NoDH"/>
    <x v="2"/>
    <x v="1"/>
    <s v="GNR_ENG_NGAS_BP_E-40"/>
    <x v="0"/>
    <x v="15"/>
    <n v="2.82"/>
    <n v="1029.3"/>
    <n v="3705.48"/>
  </r>
  <r>
    <x v="0"/>
    <x v="0"/>
    <x v="0"/>
    <x v="0"/>
    <x v="0"/>
    <s v="DK1_NoDH"/>
    <x v="2"/>
    <x v="1"/>
    <s v="GNR_ENG_NGAS_BP_E-40"/>
    <x v="0"/>
    <x v="16"/>
    <n v="2.82"/>
    <n v="1029.3"/>
    <n v="3705.48"/>
  </r>
  <r>
    <x v="0"/>
    <x v="0"/>
    <x v="0"/>
    <x v="0"/>
    <x v="0"/>
    <s v="DK1_NoDH"/>
    <x v="2"/>
    <x v="1"/>
    <s v="GNR_ENG_NGAS_BP_E-40"/>
    <x v="0"/>
    <x v="17"/>
    <n v="2.82"/>
    <n v="1029.3"/>
    <n v="3705.48"/>
  </r>
  <r>
    <x v="0"/>
    <x v="0"/>
    <x v="0"/>
    <x v="0"/>
    <x v="0"/>
    <s v="DK1_NoDH"/>
    <x v="2"/>
    <x v="1"/>
    <s v="GNR_ENG_NGAS_BP_E-40"/>
    <x v="0"/>
    <x v="18"/>
    <n v="2.82"/>
    <n v="1029.3"/>
    <n v="3705.48"/>
  </r>
  <r>
    <x v="0"/>
    <x v="0"/>
    <x v="0"/>
    <x v="0"/>
    <x v="0"/>
    <s v="DK1_NoDH"/>
    <x v="2"/>
    <x v="1"/>
    <s v="GNR_ENG_NGAS_BP_E-40"/>
    <x v="0"/>
    <x v="19"/>
    <n v="2.82"/>
    <n v="1029.3"/>
    <n v="3705.48"/>
  </r>
  <r>
    <x v="0"/>
    <x v="0"/>
    <x v="0"/>
    <x v="0"/>
    <x v="0"/>
    <s v="DK1_NoDH"/>
    <x v="2"/>
    <x v="1"/>
    <s v="GNR_ENG_NGAS_BP_E-40"/>
    <x v="0"/>
    <x v="20"/>
    <n v="2.82"/>
    <n v="1029.3"/>
    <n v="3705.48"/>
  </r>
  <r>
    <x v="0"/>
    <x v="0"/>
    <x v="0"/>
    <x v="0"/>
    <x v="0"/>
    <s v="DK1_NoDH"/>
    <x v="2"/>
    <x v="1"/>
    <s v="GNR_ENG_NGAS_BP_E-40"/>
    <x v="0"/>
    <x v="21"/>
    <n v="2.82"/>
    <n v="1029.3"/>
    <n v="3705.48"/>
  </r>
  <r>
    <x v="0"/>
    <x v="0"/>
    <x v="0"/>
    <x v="0"/>
    <x v="0"/>
    <s v="DK1_NoDH"/>
    <x v="2"/>
    <x v="1"/>
    <s v="GNR_ENG_NGAS_BP_E-40"/>
    <x v="0"/>
    <x v="22"/>
    <n v="2.82"/>
    <n v="1029.3"/>
    <n v="3705.48"/>
  </r>
  <r>
    <x v="0"/>
    <x v="0"/>
    <x v="0"/>
    <x v="0"/>
    <x v="0"/>
    <s v="DK1_NoDH"/>
    <x v="2"/>
    <x v="1"/>
    <s v="GNR_ENG_NGAS_BP_E-41"/>
    <x v="0"/>
    <x v="3"/>
    <n v="7.91"/>
    <n v="2887.15"/>
    <n v="10393.74"/>
  </r>
  <r>
    <x v="0"/>
    <x v="0"/>
    <x v="0"/>
    <x v="0"/>
    <x v="0"/>
    <s v="DK1_NoDH"/>
    <x v="2"/>
    <x v="1"/>
    <s v="GNR_ENG_NGAS_BP_E-41"/>
    <x v="0"/>
    <x v="4"/>
    <n v="7.91"/>
    <n v="2887.15"/>
    <n v="10393.74"/>
  </r>
  <r>
    <x v="0"/>
    <x v="0"/>
    <x v="0"/>
    <x v="0"/>
    <x v="0"/>
    <s v="DK1_NoDH"/>
    <x v="2"/>
    <x v="1"/>
    <s v="GNR_ENG_NGAS_BP_E-41"/>
    <x v="0"/>
    <x v="5"/>
    <n v="7.91"/>
    <n v="2887.15"/>
    <n v="10393.74"/>
  </r>
  <r>
    <x v="0"/>
    <x v="0"/>
    <x v="0"/>
    <x v="0"/>
    <x v="0"/>
    <s v="DK1_NoDH"/>
    <x v="2"/>
    <x v="1"/>
    <s v="GNR_ENG_NGAS_BP_E-41"/>
    <x v="0"/>
    <x v="6"/>
    <n v="7.91"/>
    <n v="2887.15"/>
    <n v="10393.74"/>
  </r>
  <r>
    <x v="0"/>
    <x v="0"/>
    <x v="0"/>
    <x v="0"/>
    <x v="0"/>
    <s v="DK1_NoDH"/>
    <x v="2"/>
    <x v="1"/>
    <s v="GNR_ENG_NGAS_BP_E-41"/>
    <x v="0"/>
    <x v="7"/>
    <n v="7.91"/>
    <n v="2887.15"/>
    <n v="10393.74"/>
  </r>
  <r>
    <x v="0"/>
    <x v="0"/>
    <x v="0"/>
    <x v="0"/>
    <x v="0"/>
    <s v="DK1_NoDH"/>
    <x v="2"/>
    <x v="1"/>
    <s v="GNR_ENG_NGAS_BP_E-41"/>
    <x v="0"/>
    <x v="8"/>
    <n v="7.91"/>
    <n v="2887.15"/>
    <n v="10393.74"/>
  </r>
  <r>
    <x v="0"/>
    <x v="0"/>
    <x v="0"/>
    <x v="0"/>
    <x v="0"/>
    <s v="DK1_NoDH"/>
    <x v="2"/>
    <x v="1"/>
    <s v="GNR_ENG_NGAS_BP_E-41"/>
    <x v="0"/>
    <x v="0"/>
    <n v="7.91"/>
    <n v="2887.15"/>
    <n v="10393.74"/>
  </r>
  <r>
    <x v="0"/>
    <x v="0"/>
    <x v="0"/>
    <x v="0"/>
    <x v="0"/>
    <s v="DK1_NoDH"/>
    <x v="2"/>
    <x v="1"/>
    <s v="GNR_ENG_NGAS_BP_E-41"/>
    <x v="0"/>
    <x v="1"/>
    <n v="7.91"/>
    <n v="2887.15"/>
    <n v="10393.74"/>
  </r>
  <r>
    <x v="0"/>
    <x v="0"/>
    <x v="0"/>
    <x v="0"/>
    <x v="0"/>
    <s v="DK1_NoDH"/>
    <x v="2"/>
    <x v="1"/>
    <s v="GNR_ENG_NGAS_BP_E-41"/>
    <x v="0"/>
    <x v="2"/>
    <n v="7.91"/>
    <n v="2887.15"/>
    <n v="10393.74"/>
  </r>
  <r>
    <x v="0"/>
    <x v="0"/>
    <x v="0"/>
    <x v="0"/>
    <x v="0"/>
    <s v="DK1_NoDH"/>
    <x v="2"/>
    <x v="1"/>
    <s v="GNR_ENG_NGAS_BP_E-41"/>
    <x v="0"/>
    <x v="9"/>
    <n v="7.91"/>
    <n v="2887.15"/>
    <n v="10393.74"/>
  </r>
  <r>
    <x v="0"/>
    <x v="0"/>
    <x v="0"/>
    <x v="0"/>
    <x v="0"/>
    <s v="DK1_NoDH"/>
    <x v="2"/>
    <x v="1"/>
    <s v="GNR_ENG_NGAS_BP_E-41"/>
    <x v="0"/>
    <x v="10"/>
    <n v="7.91"/>
    <n v="2887.15"/>
    <n v="10393.74"/>
  </r>
  <r>
    <x v="0"/>
    <x v="0"/>
    <x v="0"/>
    <x v="0"/>
    <x v="0"/>
    <s v="DK1_NoDH"/>
    <x v="2"/>
    <x v="1"/>
    <s v="GNR_ENG_NGAS_BP_E-41"/>
    <x v="0"/>
    <x v="11"/>
    <n v="7.91"/>
    <n v="2887.15"/>
    <n v="10393.74"/>
  </r>
  <r>
    <x v="0"/>
    <x v="0"/>
    <x v="0"/>
    <x v="0"/>
    <x v="0"/>
    <s v="DK1_NoDH"/>
    <x v="2"/>
    <x v="1"/>
    <s v="GNR_ENG_NGAS_BP_E-41"/>
    <x v="0"/>
    <x v="12"/>
    <n v="7.91"/>
    <n v="2887.15"/>
    <n v="10393.74"/>
  </r>
  <r>
    <x v="0"/>
    <x v="0"/>
    <x v="0"/>
    <x v="0"/>
    <x v="0"/>
    <s v="DK1_NoDH"/>
    <x v="2"/>
    <x v="1"/>
    <s v="GNR_ENG_NGAS_BP_E-41"/>
    <x v="0"/>
    <x v="13"/>
    <n v="7.91"/>
    <n v="2887.15"/>
    <n v="10393.74"/>
  </r>
  <r>
    <x v="0"/>
    <x v="0"/>
    <x v="0"/>
    <x v="0"/>
    <x v="0"/>
    <s v="DK1_NoDH"/>
    <x v="2"/>
    <x v="1"/>
    <s v="GNR_ENG_NGAS_BP_E-41"/>
    <x v="0"/>
    <x v="14"/>
    <n v="7.91"/>
    <n v="2887.15"/>
    <n v="10393.74"/>
  </r>
  <r>
    <x v="0"/>
    <x v="0"/>
    <x v="0"/>
    <x v="0"/>
    <x v="0"/>
    <s v="DK1_NoDH"/>
    <x v="2"/>
    <x v="1"/>
    <s v="GNR_ENG_NGAS_BP_E-41"/>
    <x v="0"/>
    <x v="15"/>
    <n v="7.91"/>
    <n v="2887.15"/>
    <n v="10393.74"/>
  </r>
  <r>
    <x v="0"/>
    <x v="0"/>
    <x v="0"/>
    <x v="0"/>
    <x v="0"/>
    <s v="DK1_NoDH"/>
    <x v="2"/>
    <x v="1"/>
    <s v="GNR_ENG_NGAS_BP_E-41"/>
    <x v="0"/>
    <x v="16"/>
    <n v="7.91"/>
    <n v="2887.15"/>
    <n v="10393.74"/>
  </r>
  <r>
    <x v="0"/>
    <x v="0"/>
    <x v="0"/>
    <x v="0"/>
    <x v="0"/>
    <s v="DK1_NoDH"/>
    <x v="2"/>
    <x v="1"/>
    <s v="GNR_ENG_NGAS_BP_E-41"/>
    <x v="0"/>
    <x v="17"/>
    <n v="7.91"/>
    <n v="2887.15"/>
    <n v="10393.74"/>
  </r>
  <r>
    <x v="0"/>
    <x v="0"/>
    <x v="0"/>
    <x v="0"/>
    <x v="0"/>
    <s v="DK1_NoDH"/>
    <x v="2"/>
    <x v="1"/>
    <s v="GNR_ENG_NGAS_BP_E-41"/>
    <x v="0"/>
    <x v="18"/>
    <n v="7.91"/>
    <n v="2887.15"/>
    <n v="10393.74"/>
  </r>
  <r>
    <x v="0"/>
    <x v="0"/>
    <x v="0"/>
    <x v="0"/>
    <x v="0"/>
    <s v="DK1_NoDH"/>
    <x v="2"/>
    <x v="1"/>
    <s v="GNR_ENG_NGAS_BP_E-41"/>
    <x v="0"/>
    <x v="19"/>
    <n v="7.91"/>
    <n v="2887.15"/>
    <n v="10393.74"/>
  </r>
  <r>
    <x v="0"/>
    <x v="0"/>
    <x v="0"/>
    <x v="0"/>
    <x v="0"/>
    <s v="DK1_NoDH"/>
    <x v="2"/>
    <x v="1"/>
    <s v="GNR_ENG_NGAS_BP_E-41"/>
    <x v="0"/>
    <x v="20"/>
    <n v="7.91"/>
    <n v="2887.15"/>
    <n v="10393.74"/>
  </r>
  <r>
    <x v="0"/>
    <x v="0"/>
    <x v="0"/>
    <x v="0"/>
    <x v="0"/>
    <s v="DK1_NoDH"/>
    <x v="2"/>
    <x v="1"/>
    <s v="GNR_ENG_NGAS_BP_E-41"/>
    <x v="0"/>
    <x v="21"/>
    <n v="7.91"/>
    <n v="2887.15"/>
    <n v="10393.74"/>
  </r>
  <r>
    <x v="0"/>
    <x v="0"/>
    <x v="0"/>
    <x v="0"/>
    <x v="0"/>
    <s v="DK1_NoDH"/>
    <x v="2"/>
    <x v="1"/>
    <s v="GNR_ENG_NGAS_BP_E-41"/>
    <x v="0"/>
    <x v="22"/>
    <n v="7.91"/>
    <n v="2887.15"/>
    <n v="10393.74"/>
  </r>
  <r>
    <x v="0"/>
    <x v="0"/>
    <x v="0"/>
    <x v="0"/>
    <x v="0"/>
    <s v="DK1_NoDH"/>
    <x v="2"/>
    <x v="1"/>
    <s v="GNR_ENG_NGAS_BP_E-42"/>
    <x v="0"/>
    <x v="3"/>
    <n v="11.12"/>
    <n v="4058.8"/>
    <n v="14611.68"/>
  </r>
  <r>
    <x v="0"/>
    <x v="0"/>
    <x v="0"/>
    <x v="0"/>
    <x v="0"/>
    <s v="DK1_NoDH"/>
    <x v="2"/>
    <x v="1"/>
    <s v="GNR_ENG_NGAS_BP_E-42"/>
    <x v="0"/>
    <x v="4"/>
    <n v="11.12"/>
    <n v="4058.8"/>
    <n v="14611.68"/>
  </r>
  <r>
    <x v="0"/>
    <x v="0"/>
    <x v="0"/>
    <x v="0"/>
    <x v="0"/>
    <s v="DK1_NoDH"/>
    <x v="2"/>
    <x v="1"/>
    <s v="GNR_ENG_NGAS_BP_E-42"/>
    <x v="0"/>
    <x v="5"/>
    <n v="11.12"/>
    <n v="4058.8"/>
    <n v="14611.68"/>
  </r>
  <r>
    <x v="0"/>
    <x v="0"/>
    <x v="0"/>
    <x v="0"/>
    <x v="0"/>
    <s v="DK1_NoDH"/>
    <x v="2"/>
    <x v="1"/>
    <s v="GNR_ENG_NGAS_BP_E-42"/>
    <x v="0"/>
    <x v="6"/>
    <n v="11.12"/>
    <n v="4058.8"/>
    <n v="14611.68"/>
  </r>
  <r>
    <x v="0"/>
    <x v="0"/>
    <x v="0"/>
    <x v="0"/>
    <x v="0"/>
    <s v="DK1_NoDH"/>
    <x v="2"/>
    <x v="1"/>
    <s v="GNR_ENG_NGAS_BP_E-42"/>
    <x v="0"/>
    <x v="7"/>
    <n v="11.12"/>
    <n v="4058.8"/>
    <n v="14611.68"/>
  </r>
  <r>
    <x v="0"/>
    <x v="0"/>
    <x v="0"/>
    <x v="0"/>
    <x v="0"/>
    <s v="DK1_NoDH"/>
    <x v="2"/>
    <x v="1"/>
    <s v="GNR_ENG_NGAS_BP_E-42"/>
    <x v="0"/>
    <x v="8"/>
    <n v="11.12"/>
    <n v="4058.8"/>
    <n v="14611.68"/>
  </r>
  <r>
    <x v="0"/>
    <x v="0"/>
    <x v="0"/>
    <x v="0"/>
    <x v="0"/>
    <s v="DK1_NoDH"/>
    <x v="2"/>
    <x v="1"/>
    <s v="GNR_ENG_NGAS_BP_E-42"/>
    <x v="0"/>
    <x v="0"/>
    <n v="11.12"/>
    <n v="4058.8"/>
    <n v="14611.68"/>
  </r>
  <r>
    <x v="0"/>
    <x v="0"/>
    <x v="0"/>
    <x v="0"/>
    <x v="0"/>
    <s v="DK1_NoDH"/>
    <x v="2"/>
    <x v="1"/>
    <s v="GNR_ENG_NGAS_BP_E-42"/>
    <x v="0"/>
    <x v="1"/>
    <n v="11.12"/>
    <n v="4058.8"/>
    <n v="14611.68"/>
  </r>
  <r>
    <x v="0"/>
    <x v="0"/>
    <x v="0"/>
    <x v="0"/>
    <x v="0"/>
    <s v="DK1_NoDH"/>
    <x v="2"/>
    <x v="1"/>
    <s v="GNR_ENG_NGAS_BP_E-42"/>
    <x v="0"/>
    <x v="2"/>
    <n v="11.12"/>
    <n v="4058.8"/>
    <n v="14611.68"/>
  </r>
  <r>
    <x v="0"/>
    <x v="0"/>
    <x v="0"/>
    <x v="0"/>
    <x v="0"/>
    <s v="DK1_NoDH"/>
    <x v="2"/>
    <x v="1"/>
    <s v="GNR_ENG_NGAS_BP_E-42"/>
    <x v="0"/>
    <x v="9"/>
    <n v="11.12"/>
    <n v="4058.8"/>
    <n v="14611.68"/>
  </r>
  <r>
    <x v="0"/>
    <x v="0"/>
    <x v="0"/>
    <x v="0"/>
    <x v="0"/>
    <s v="DK1_NoDH"/>
    <x v="2"/>
    <x v="1"/>
    <s v="GNR_ENG_NGAS_BP_E-42"/>
    <x v="0"/>
    <x v="10"/>
    <n v="11.12"/>
    <n v="4058.8"/>
    <n v="14611.68"/>
  </r>
  <r>
    <x v="0"/>
    <x v="0"/>
    <x v="0"/>
    <x v="0"/>
    <x v="0"/>
    <s v="DK1_NoDH"/>
    <x v="2"/>
    <x v="1"/>
    <s v="GNR_ENG_NGAS_BP_E-42"/>
    <x v="0"/>
    <x v="11"/>
    <n v="11.12"/>
    <n v="4058.8"/>
    <n v="14611.68"/>
  </r>
  <r>
    <x v="0"/>
    <x v="0"/>
    <x v="0"/>
    <x v="0"/>
    <x v="0"/>
    <s v="DK1_NoDH"/>
    <x v="2"/>
    <x v="1"/>
    <s v="GNR_ENG_NGAS_BP_E-42"/>
    <x v="0"/>
    <x v="12"/>
    <n v="11.12"/>
    <n v="4058.8"/>
    <n v="14611.68"/>
  </r>
  <r>
    <x v="0"/>
    <x v="0"/>
    <x v="0"/>
    <x v="0"/>
    <x v="0"/>
    <s v="DK1_NoDH"/>
    <x v="2"/>
    <x v="1"/>
    <s v="GNR_ENG_NGAS_BP_E-42"/>
    <x v="0"/>
    <x v="13"/>
    <n v="11.12"/>
    <n v="4058.8"/>
    <n v="14611.68"/>
  </r>
  <r>
    <x v="0"/>
    <x v="0"/>
    <x v="0"/>
    <x v="0"/>
    <x v="0"/>
    <s v="DK1_NoDH"/>
    <x v="2"/>
    <x v="1"/>
    <s v="GNR_ENG_NGAS_BP_E-42"/>
    <x v="0"/>
    <x v="14"/>
    <n v="11.12"/>
    <n v="4058.8"/>
    <n v="14611.68"/>
  </r>
  <r>
    <x v="0"/>
    <x v="0"/>
    <x v="0"/>
    <x v="0"/>
    <x v="0"/>
    <s v="DK1_NoDH"/>
    <x v="2"/>
    <x v="1"/>
    <s v="GNR_ENG_NGAS_BP_E-42"/>
    <x v="0"/>
    <x v="15"/>
    <n v="11.12"/>
    <n v="4058.8"/>
    <n v="14611.68"/>
  </r>
  <r>
    <x v="0"/>
    <x v="0"/>
    <x v="0"/>
    <x v="0"/>
    <x v="0"/>
    <s v="DK1_NoDH"/>
    <x v="2"/>
    <x v="1"/>
    <s v="GNR_ENG_NGAS_BP_E-42"/>
    <x v="0"/>
    <x v="16"/>
    <n v="11.12"/>
    <n v="4058.8"/>
    <n v="14611.68"/>
  </r>
  <r>
    <x v="0"/>
    <x v="0"/>
    <x v="0"/>
    <x v="0"/>
    <x v="0"/>
    <s v="DK1_NoDH"/>
    <x v="2"/>
    <x v="1"/>
    <s v="GNR_ENG_NGAS_BP_E-42"/>
    <x v="0"/>
    <x v="17"/>
    <n v="11.12"/>
    <n v="4058.8"/>
    <n v="14611.68"/>
  </r>
  <r>
    <x v="0"/>
    <x v="0"/>
    <x v="0"/>
    <x v="0"/>
    <x v="0"/>
    <s v="DK1_NoDH"/>
    <x v="2"/>
    <x v="1"/>
    <s v="GNR_ENG_NGAS_BP_E-42"/>
    <x v="0"/>
    <x v="18"/>
    <n v="11.12"/>
    <n v="4058.8"/>
    <n v="14611.68"/>
  </r>
  <r>
    <x v="0"/>
    <x v="0"/>
    <x v="0"/>
    <x v="0"/>
    <x v="0"/>
    <s v="DK1_NoDH"/>
    <x v="2"/>
    <x v="1"/>
    <s v="GNR_ENG_NGAS_BP_E-42"/>
    <x v="0"/>
    <x v="19"/>
    <n v="11.12"/>
    <n v="4058.8"/>
    <n v="14611.68"/>
  </r>
  <r>
    <x v="0"/>
    <x v="0"/>
    <x v="0"/>
    <x v="0"/>
    <x v="0"/>
    <s v="DK1_NoDH"/>
    <x v="2"/>
    <x v="1"/>
    <s v="GNR_ENG_NGAS_BP_E-42"/>
    <x v="0"/>
    <x v="20"/>
    <n v="11.12"/>
    <n v="4058.8"/>
    <n v="14611.68"/>
  </r>
  <r>
    <x v="0"/>
    <x v="0"/>
    <x v="0"/>
    <x v="0"/>
    <x v="0"/>
    <s v="DK1_NoDH"/>
    <x v="2"/>
    <x v="1"/>
    <s v="GNR_ENG_NGAS_BP_E-42"/>
    <x v="0"/>
    <x v="21"/>
    <n v="11.12"/>
    <n v="4058.8"/>
    <n v="14611.68"/>
  </r>
  <r>
    <x v="0"/>
    <x v="0"/>
    <x v="0"/>
    <x v="0"/>
    <x v="0"/>
    <s v="DK1_NoDH"/>
    <x v="2"/>
    <x v="1"/>
    <s v="GNR_ENG_NGAS_BP_E-42"/>
    <x v="0"/>
    <x v="22"/>
    <n v="11.12"/>
    <n v="4058.8"/>
    <n v="14611.68"/>
  </r>
  <r>
    <x v="0"/>
    <x v="0"/>
    <x v="0"/>
    <x v="0"/>
    <x v="0"/>
    <s v="DK1_NoDH"/>
    <x v="2"/>
    <x v="1"/>
    <s v="GNR_ENG_NGAS_BP_E-42"/>
    <x v="0"/>
    <x v="23"/>
    <n v="11.12"/>
    <n v="4058.8"/>
    <n v="14611.68"/>
  </r>
  <r>
    <x v="0"/>
    <x v="0"/>
    <x v="0"/>
    <x v="0"/>
    <x v="0"/>
    <s v="DK1_NoDH"/>
    <x v="2"/>
    <x v="1"/>
    <s v="GNR_ENG_NGAS_BP_E-43"/>
    <x v="0"/>
    <x v="3"/>
    <n v="12.340999999999999"/>
    <n v="4504.4650000000001"/>
    <n v="16216.074000000001"/>
  </r>
  <r>
    <x v="0"/>
    <x v="0"/>
    <x v="0"/>
    <x v="0"/>
    <x v="0"/>
    <s v="DK1_NoDH"/>
    <x v="2"/>
    <x v="1"/>
    <s v="GNR_ENG_NGAS_BP_E-43"/>
    <x v="0"/>
    <x v="4"/>
    <n v="12.340999999999999"/>
    <n v="4504.4650000000001"/>
    <n v="16216.074000000001"/>
  </r>
  <r>
    <x v="0"/>
    <x v="0"/>
    <x v="0"/>
    <x v="0"/>
    <x v="0"/>
    <s v="DK1_NoDH"/>
    <x v="2"/>
    <x v="1"/>
    <s v="GNR_ENG_NGAS_BP_E-43"/>
    <x v="0"/>
    <x v="5"/>
    <n v="12.340999999999999"/>
    <n v="4504.4650000000001"/>
    <n v="16216.074000000001"/>
  </r>
  <r>
    <x v="0"/>
    <x v="0"/>
    <x v="0"/>
    <x v="0"/>
    <x v="0"/>
    <s v="DK1_NoDH"/>
    <x v="2"/>
    <x v="1"/>
    <s v="GNR_ENG_NGAS_BP_E-43"/>
    <x v="0"/>
    <x v="6"/>
    <n v="12.340999999999999"/>
    <n v="4504.4650000000001"/>
    <n v="16216.074000000001"/>
  </r>
  <r>
    <x v="0"/>
    <x v="0"/>
    <x v="0"/>
    <x v="0"/>
    <x v="0"/>
    <s v="DK1_NoDH"/>
    <x v="2"/>
    <x v="1"/>
    <s v="GNR_ENG_NGAS_BP_E-43"/>
    <x v="0"/>
    <x v="7"/>
    <n v="12.340999999999999"/>
    <n v="4504.4650000000001"/>
    <n v="16216.074000000001"/>
  </r>
  <r>
    <x v="0"/>
    <x v="0"/>
    <x v="0"/>
    <x v="0"/>
    <x v="0"/>
    <s v="DK1_NoDH"/>
    <x v="2"/>
    <x v="1"/>
    <s v="GNR_ENG_NGAS_BP_E-43"/>
    <x v="0"/>
    <x v="8"/>
    <n v="12.340999999999999"/>
    <n v="4504.4650000000001"/>
    <n v="16216.074000000001"/>
  </r>
  <r>
    <x v="0"/>
    <x v="0"/>
    <x v="0"/>
    <x v="0"/>
    <x v="0"/>
    <s v="DK1_NoDH"/>
    <x v="2"/>
    <x v="1"/>
    <s v="GNR_ENG_NGAS_BP_E-43"/>
    <x v="0"/>
    <x v="0"/>
    <n v="12.340999999999999"/>
    <n v="4504.4650000000001"/>
    <n v="16216.074000000001"/>
  </r>
  <r>
    <x v="0"/>
    <x v="0"/>
    <x v="0"/>
    <x v="0"/>
    <x v="0"/>
    <s v="DK1_NoDH"/>
    <x v="2"/>
    <x v="1"/>
    <s v="GNR_ENG_NGAS_BP_E-43"/>
    <x v="0"/>
    <x v="1"/>
    <n v="12.340999999999999"/>
    <n v="4504.4650000000001"/>
    <n v="16216.074000000001"/>
  </r>
  <r>
    <x v="0"/>
    <x v="0"/>
    <x v="0"/>
    <x v="0"/>
    <x v="0"/>
    <s v="DK1_NoDH"/>
    <x v="2"/>
    <x v="1"/>
    <s v="GNR_ENG_NGAS_BP_E-43"/>
    <x v="0"/>
    <x v="2"/>
    <n v="12.340999999999999"/>
    <n v="4504.4650000000001"/>
    <n v="16216.074000000001"/>
  </r>
  <r>
    <x v="0"/>
    <x v="0"/>
    <x v="0"/>
    <x v="0"/>
    <x v="0"/>
    <s v="DK1_NoDH"/>
    <x v="2"/>
    <x v="1"/>
    <s v="GNR_ENG_NGAS_BP_E-43"/>
    <x v="0"/>
    <x v="9"/>
    <n v="12.340999999999999"/>
    <n v="4504.4650000000001"/>
    <n v="16216.074000000001"/>
  </r>
  <r>
    <x v="0"/>
    <x v="0"/>
    <x v="0"/>
    <x v="0"/>
    <x v="0"/>
    <s v="DK1_NoDH"/>
    <x v="2"/>
    <x v="1"/>
    <s v="GNR_ENG_NGAS_BP_E-43"/>
    <x v="0"/>
    <x v="10"/>
    <n v="12.340999999999999"/>
    <n v="4504.4650000000001"/>
    <n v="16216.074000000001"/>
  </r>
  <r>
    <x v="0"/>
    <x v="0"/>
    <x v="0"/>
    <x v="0"/>
    <x v="0"/>
    <s v="DK1_NoDH"/>
    <x v="2"/>
    <x v="1"/>
    <s v="GNR_ENG_NGAS_BP_E-43"/>
    <x v="0"/>
    <x v="11"/>
    <n v="12.340999999999999"/>
    <n v="4504.4650000000001"/>
    <n v="16216.074000000001"/>
  </r>
  <r>
    <x v="0"/>
    <x v="0"/>
    <x v="0"/>
    <x v="0"/>
    <x v="0"/>
    <s v="DK1_NoDH"/>
    <x v="2"/>
    <x v="1"/>
    <s v="GNR_ENG_NGAS_BP_E-43"/>
    <x v="0"/>
    <x v="12"/>
    <n v="12.340999999999999"/>
    <n v="4504.4650000000001"/>
    <n v="16216.074000000001"/>
  </r>
  <r>
    <x v="0"/>
    <x v="0"/>
    <x v="0"/>
    <x v="0"/>
    <x v="0"/>
    <s v="DK1_NoDH"/>
    <x v="2"/>
    <x v="1"/>
    <s v="GNR_ENG_NGAS_BP_E-43"/>
    <x v="0"/>
    <x v="13"/>
    <n v="12.340999999999999"/>
    <n v="4504.4650000000001"/>
    <n v="16216.074000000001"/>
  </r>
  <r>
    <x v="0"/>
    <x v="0"/>
    <x v="0"/>
    <x v="0"/>
    <x v="0"/>
    <s v="DK1_NoDH"/>
    <x v="2"/>
    <x v="1"/>
    <s v="GNR_ENG_NGAS_BP_E-43"/>
    <x v="0"/>
    <x v="14"/>
    <n v="12.340999999999999"/>
    <n v="4504.4650000000001"/>
    <n v="16216.074000000001"/>
  </r>
  <r>
    <x v="0"/>
    <x v="0"/>
    <x v="0"/>
    <x v="0"/>
    <x v="0"/>
    <s v="DK1_NoDH"/>
    <x v="2"/>
    <x v="1"/>
    <s v="GNR_ENG_NGAS_BP_E-43"/>
    <x v="0"/>
    <x v="15"/>
    <n v="12.340999999999999"/>
    <n v="4504.4650000000001"/>
    <n v="16216.074000000001"/>
  </r>
  <r>
    <x v="0"/>
    <x v="0"/>
    <x v="0"/>
    <x v="0"/>
    <x v="0"/>
    <s v="DK1_NoDH"/>
    <x v="2"/>
    <x v="1"/>
    <s v="GNR_ENG_NGAS_BP_E-43"/>
    <x v="0"/>
    <x v="16"/>
    <n v="12.340999999999999"/>
    <n v="4504.4650000000001"/>
    <n v="16216.074000000001"/>
  </r>
  <r>
    <x v="0"/>
    <x v="0"/>
    <x v="0"/>
    <x v="0"/>
    <x v="0"/>
    <s v="DK1_NoDH"/>
    <x v="2"/>
    <x v="1"/>
    <s v="GNR_ENG_NGAS_BP_E-43"/>
    <x v="0"/>
    <x v="17"/>
    <n v="12.340999999999999"/>
    <n v="4504.4650000000001"/>
    <n v="16216.074000000001"/>
  </r>
  <r>
    <x v="0"/>
    <x v="0"/>
    <x v="0"/>
    <x v="0"/>
    <x v="0"/>
    <s v="DK1_NoDH"/>
    <x v="2"/>
    <x v="1"/>
    <s v="GNR_ENG_NGAS_BP_E-43"/>
    <x v="0"/>
    <x v="18"/>
    <n v="12.340999999999999"/>
    <n v="4504.4650000000001"/>
    <n v="16216.074000000001"/>
  </r>
  <r>
    <x v="0"/>
    <x v="0"/>
    <x v="0"/>
    <x v="0"/>
    <x v="0"/>
    <s v="DK1_NoDH"/>
    <x v="2"/>
    <x v="1"/>
    <s v="GNR_ENG_NGAS_BP_E-43"/>
    <x v="0"/>
    <x v="19"/>
    <n v="12.340999999999999"/>
    <n v="4504.4650000000001"/>
    <n v="16216.074000000001"/>
  </r>
  <r>
    <x v="0"/>
    <x v="0"/>
    <x v="0"/>
    <x v="0"/>
    <x v="0"/>
    <s v="DK1_NoDH"/>
    <x v="2"/>
    <x v="1"/>
    <s v="GNR_ENG_NGAS_BP_E-43"/>
    <x v="0"/>
    <x v="20"/>
    <n v="12.340999999999999"/>
    <n v="4504.4650000000001"/>
    <n v="16216.074000000001"/>
  </r>
  <r>
    <x v="0"/>
    <x v="0"/>
    <x v="0"/>
    <x v="0"/>
    <x v="0"/>
    <s v="DK1_NoDH"/>
    <x v="2"/>
    <x v="1"/>
    <s v="GNR_ENG_NGAS_BP_E-43"/>
    <x v="0"/>
    <x v="21"/>
    <n v="12.340999999999999"/>
    <n v="4504.4650000000001"/>
    <n v="16216.074000000001"/>
  </r>
  <r>
    <x v="0"/>
    <x v="0"/>
    <x v="0"/>
    <x v="0"/>
    <x v="0"/>
    <s v="DK1_NoDH"/>
    <x v="2"/>
    <x v="1"/>
    <s v="GNR_ENG_NGAS_BP_E-43"/>
    <x v="0"/>
    <x v="22"/>
    <n v="12.340999999999999"/>
    <n v="4504.4650000000001"/>
    <n v="16216.074000000001"/>
  </r>
  <r>
    <x v="0"/>
    <x v="0"/>
    <x v="0"/>
    <x v="0"/>
    <x v="0"/>
    <s v="DK1_NoDH"/>
    <x v="2"/>
    <x v="1"/>
    <s v="GNR_ENG_NGAS_BP_E-43"/>
    <x v="0"/>
    <x v="23"/>
    <n v="12.340999999999999"/>
    <n v="4504.4650000000001"/>
    <n v="16216.074000000001"/>
  </r>
  <r>
    <x v="0"/>
    <x v="0"/>
    <x v="0"/>
    <x v="0"/>
    <x v="0"/>
    <s v="DK1_NoDH"/>
    <x v="2"/>
    <x v="1"/>
    <s v="GNR_ENG_NGAS_BP_E-46"/>
    <x v="0"/>
    <x v="3"/>
    <n v="4.8049999999999997"/>
    <n v="1753.825"/>
    <n v="6313.77"/>
  </r>
  <r>
    <x v="0"/>
    <x v="0"/>
    <x v="0"/>
    <x v="0"/>
    <x v="0"/>
    <s v="DK1_NoDH"/>
    <x v="2"/>
    <x v="1"/>
    <s v="GNR_ENG_NGAS_BP_E-46"/>
    <x v="0"/>
    <x v="4"/>
    <n v="4.8049999999999997"/>
    <n v="1753.825"/>
    <n v="6313.77"/>
  </r>
  <r>
    <x v="0"/>
    <x v="0"/>
    <x v="0"/>
    <x v="0"/>
    <x v="0"/>
    <s v="DK1_NoDH"/>
    <x v="2"/>
    <x v="1"/>
    <s v="GNR_ENG_NGAS_BP_E-46"/>
    <x v="0"/>
    <x v="5"/>
    <n v="4.8049999999999997"/>
    <n v="1753.825"/>
    <n v="6313.77"/>
  </r>
  <r>
    <x v="0"/>
    <x v="0"/>
    <x v="0"/>
    <x v="0"/>
    <x v="0"/>
    <s v="DK1_NoDH"/>
    <x v="2"/>
    <x v="1"/>
    <s v="GNR_ENG_NGAS_BP_E-46"/>
    <x v="0"/>
    <x v="6"/>
    <n v="4.8049999999999997"/>
    <n v="1753.825"/>
    <n v="6313.77"/>
  </r>
  <r>
    <x v="0"/>
    <x v="0"/>
    <x v="0"/>
    <x v="0"/>
    <x v="0"/>
    <s v="DK1_NoDH"/>
    <x v="2"/>
    <x v="1"/>
    <s v="GNR_ENG_NGAS_BP_E-46"/>
    <x v="0"/>
    <x v="7"/>
    <n v="4.8049999999999997"/>
    <n v="1753.825"/>
    <n v="6313.77"/>
  </r>
  <r>
    <x v="0"/>
    <x v="0"/>
    <x v="0"/>
    <x v="0"/>
    <x v="0"/>
    <s v="DK1_NoDH"/>
    <x v="2"/>
    <x v="1"/>
    <s v="GNR_ENG_NGAS_BP_E-46"/>
    <x v="0"/>
    <x v="8"/>
    <n v="4.8049999999999997"/>
    <n v="1753.825"/>
    <n v="6313.77"/>
  </r>
  <r>
    <x v="0"/>
    <x v="0"/>
    <x v="0"/>
    <x v="0"/>
    <x v="0"/>
    <s v="DK1_NoDH"/>
    <x v="2"/>
    <x v="1"/>
    <s v="GNR_ENG_NGAS_BP_E-46"/>
    <x v="0"/>
    <x v="0"/>
    <n v="4.8049999999999997"/>
    <n v="1753.825"/>
    <n v="6313.77"/>
  </r>
  <r>
    <x v="0"/>
    <x v="0"/>
    <x v="0"/>
    <x v="0"/>
    <x v="0"/>
    <s v="DK1_NoDH"/>
    <x v="2"/>
    <x v="1"/>
    <s v="GNR_ENG_NGAS_BP_E-46"/>
    <x v="0"/>
    <x v="1"/>
    <n v="4.8049999999999997"/>
    <n v="1753.825"/>
    <n v="6313.77"/>
  </r>
  <r>
    <x v="0"/>
    <x v="0"/>
    <x v="0"/>
    <x v="0"/>
    <x v="0"/>
    <s v="DK1_NoDH"/>
    <x v="2"/>
    <x v="1"/>
    <s v="GNR_ENG_NGAS_BP_E-46"/>
    <x v="0"/>
    <x v="2"/>
    <n v="4.8049999999999997"/>
    <n v="1753.825"/>
    <n v="6313.77"/>
  </r>
  <r>
    <x v="0"/>
    <x v="0"/>
    <x v="0"/>
    <x v="0"/>
    <x v="0"/>
    <s v="DK1_NoDH"/>
    <x v="2"/>
    <x v="1"/>
    <s v="GNR_ENG_NGAS_BP_E-46"/>
    <x v="0"/>
    <x v="9"/>
    <n v="4.8049999999999997"/>
    <n v="1753.825"/>
    <n v="6313.77"/>
  </r>
  <r>
    <x v="0"/>
    <x v="0"/>
    <x v="0"/>
    <x v="0"/>
    <x v="0"/>
    <s v="DK1_NoDH"/>
    <x v="2"/>
    <x v="1"/>
    <s v="GNR_ENG_NGAS_BP_E-46"/>
    <x v="0"/>
    <x v="10"/>
    <n v="4.8049999999999997"/>
    <n v="1753.825"/>
    <n v="6313.77"/>
  </r>
  <r>
    <x v="0"/>
    <x v="0"/>
    <x v="0"/>
    <x v="0"/>
    <x v="0"/>
    <s v="DK1_NoDH"/>
    <x v="2"/>
    <x v="1"/>
    <s v="GNR_ENG_NGAS_BP_E-46"/>
    <x v="0"/>
    <x v="11"/>
    <n v="4.8049999999999997"/>
    <n v="1753.825"/>
    <n v="6313.77"/>
  </r>
  <r>
    <x v="0"/>
    <x v="0"/>
    <x v="0"/>
    <x v="0"/>
    <x v="0"/>
    <s v="DK1_NoDH"/>
    <x v="2"/>
    <x v="1"/>
    <s v="GNR_ENG_NGAS_BP_E-46"/>
    <x v="0"/>
    <x v="12"/>
    <n v="4.8049999999999997"/>
    <n v="1753.825"/>
    <n v="6313.77"/>
  </r>
  <r>
    <x v="0"/>
    <x v="0"/>
    <x v="0"/>
    <x v="0"/>
    <x v="0"/>
    <s v="DK1_NoDH"/>
    <x v="2"/>
    <x v="1"/>
    <s v="GNR_ENG_NGAS_BP_E-46"/>
    <x v="0"/>
    <x v="13"/>
    <n v="4.8049999999999997"/>
    <n v="1753.825"/>
    <n v="6313.77"/>
  </r>
  <r>
    <x v="0"/>
    <x v="0"/>
    <x v="0"/>
    <x v="0"/>
    <x v="0"/>
    <s v="DK1_NoDH"/>
    <x v="2"/>
    <x v="1"/>
    <s v="GNR_ENG_NGAS_BP_E-46"/>
    <x v="0"/>
    <x v="14"/>
    <n v="4.8049999999999997"/>
    <n v="1753.825"/>
    <n v="6313.77"/>
  </r>
  <r>
    <x v="0"/>
    <x v="0"/>
    <x v="0"/>
    <x v="0"/>
    <x v="0"/>
    <s v="DK1_NoDH"/>
    <x v="2"/>
    <x v="1"/>
    <s v="GNR_ENG_NGAS_BP_E-46"/>
    <x v="0"/>
    <x v="15"/>
    <n v="4.8049999999999997"/>
    <n v="1753.825"/>
    <n v="6313.77"/>
  </r>
  <r>
    <x v="0"/>
    <x v="0"/>
    <x v="0"/>
    <x v="0"/>
    <x v="0"/>
    <s v="DK1_NoDH"/>
    <x v="2"/>
    <x v="1"/>
    <s v="GNR_ENG_NGAS_BP_E-46"/>
    <x v="0"/>
    <x v="16"/>
    <n v="4.8049999999999997"/>
    <n v="1753.825"/>
    <n v="6313.77"/>
  </r>
  <r>
    <x v="0"/>
    <x v="0"/>
    <x v="0"/>
    <x v="0"/>
    <x v="0"/>
    <s v="DK1_NoDH"/>
    <x v="2"/>
    <x v="1"/>
    <s v="GNR_ENG_NGAS_BP_E-46"/>
    <x v="0"/>
    <x v="17"/>
    <n v="4.8049999999999997"/>
    <n v="1753.825"/>
    <n v="6313.77"/>
  </r>
  <r>
    <x v="0"/>
    <x v="0"/>
    <x v="0"/>
    <x v="0"/>
    <x v="0"/>
    <s v="DK1_NoDH"/>
    <x v="2"/>
    <x v="1"/>
    <s v="GNR_ENG_NGAS_BP_E-46"/>
    <x v="0"/>
    <x v="18"/>
    <n v="4.8049999999999997"/>
    <n v="1753.825"/>
    <n v="6313.77"/>
  </r>
  <r>
    <x v="0"/>
    <x v="0"/>
    <x v="0"/>
    <x v="0"/>
    <x v="0"/>
    <s v="DK1_NoDH"/>
    <x v="2"/>
    <x v="1"/>
    <s v="GNR_ENG_NGAS_BP_E-46"/>
    <x v="0"/>
    <x v="19"/>
    <n v="4.8049999999999997"/>
    <n v="1753.825"/>
    <n v="6313.77"/>
  </r>
  <r>
    <x v="0"/>
    <x v="0"/>
    <x v="0"/>
    <x v="0"/>
    <x v="0"/>
    <s v="DK1_NoDH"/>
    <x v="2"/>
    <x v="1"/>
    <s v="GNR_ENG_NGAS_BP_E-46"/>
    <x v="0"/>
    <x v="20"/>
    <n v="4.8049999999999997"/>
    <n v="1753.825"/>
    <n v="6313.77"/>
  </r>
  <r>
    <x v="0"/>
    <x v="0"/>
    <x v="0"/>
    <x v="0"/>
    <x v="0"/>
    <s v="DK1_NoDH"/>
    <x v="2"/>
    <x v="1"/>
    <s v="GNR_ENG_NGAS_BP_E-46"/>
    <x v="0"/>
    <x v="21"/>
    <n v="4.8049999999999997"/>
    <n v="1753.825"/>
    <n v="6313.77"/>
  </r>
  <r>
    <x v="0"/>
    <x v="0"/>
    <x v="0"/>
    <x v="0"/>
    <x v="0"/>
    <s v="DK1_NoDH"/>
    <x v="2"/>
    <x v="1"/>
    <s v="GNR_ENG_NGAS_BP_E-46"/>
    <x v="0"/>
    <x v="22"/>
    <n v="4.8049999999999997"/>
    <n v="1753.825"/>
    <n v="6313.77"/>
  </r>
  <r>
    <x v="0"/>
    <x v="0"/>
    <x v="0"/>
    <x v="0"/>
    <x v="0"/>
    <s v="DK1_NoDH"/>
    <x v="2"/>
    <x v="1"/>
    <s v="GNR_ENG_NGAS_BP_E-46"/>
    <x v="0"/>
    <x v="23"/>
    <n v="4.8049999999999997"/>
    <n v="1753.825"/>
    <n v="6313.77"/>
  </r>
  <r>
    <x v="0"/>
    <x v="0"/>
    <x v="0"/>
    <x v="0"/>
    <x v="0"/>
    <s v="DK1_NoDH"/>
    <x v="2"/>
    <x v="2"/>
    <s v="GNR_ENG_NGAS_CND_E-41"/>
    <x v="0"/>
    <x v="3"/>
    <n v="40.799999999999997"/>
    <n v="14892"/>
    <n v="53611.199999999997"/>
  </r>
  <r>
    <x v="0"/>
    <x v="0"/>
    <x v="0"/>
    <x v="0"/>
    <x v="0"/>
    <s v="DK1_NoDH"/>
    <x v="2"/>
    <x v="2"/>
    <s v="GNR_ENG_NGAS_CND_E-41"/>
    <x v="0"/>
    <x v="4"/>
    <n v="40.799999999999997"/>
    <n v="14892"/>
    <n v="53611.199999999997"/>
  </r>
  <r>
    <x v="0"/>
    <x v="0"/>
    <x v="0"/>
    <x v="0"/>
    <x v="0"/>
    <s v="DK1_NoDH"/>
    <x v="2"/>
    <x v="2"/>
    <s v="GNR_ENG_NGAS_CND_E-41"/>
    <x v="0"/>
    <x v="5"/>
    <n v="40.799999999999997"/>
    <n v="14892"/>
    <n v="53611.199999999997"/>
  </r>
  <r>
    <x v="0"/>
    <x v="0"/>
    <x v="0"/>
    <x v="0"/>
    <x v="0"/>
    <s v="DK1_NoDH"/>
    <x v="2"/>
    <x v="2"/>
    <s v="GNR_ENG_NGAS_CND_E-41"/>
    <x v="0"/>
    <x v="6"/>
    <n v="40.799999999999997"/>
    <n v="14892"/>
    <n v="53611.199999999997"/>
  </r>
  <r>
    <x v="0"/>
    <x v="0"/>
    <x v="0"/>
    <x v="0"/>
    <x v="0"/>
    <s v="DK1_NoDH"/>
    <x v="2"/>
    <x v="2"/>
    <s v="GNR_ENG_NGAS_CND_E-41"/>
    <x v="0"/>
    <x v="7"/>
    <n v="40.799999999999997"/>
    <n v="14892"/>
    <n v="53611.199999999997"/>
  </r>
  <r>
    <x v="0"/>
    <x v="0"/>
    <x v="0"/>
    <x v="0"/>
    <x v="0"/>
    <s v="DK1_NoDH"/>
    <x v="2"/>
    <x v="2"/>
    <s v="GNR_ENG_NGAS_CND_E-41"/>
    <x v="0"/>
    <x v="8"/>
    <n v="40.799999999999997"/>
    <n v="14892"/>
    <n v="53611.199999999997"/>
  </r>
  <r>
    <x v="0"/>
    <x v="0"/>
    <x v="0"/>
    <x v="0"/>
    <x v="0"/>
    <s v="DK1_NoDH"/>
    <x v="2"/>
    <x v="2"/>
    <s v="GNR_ENG_NGAS_CND_E-41"/>
    <x v="0"/>
    <x v="0"/>
    <n v="40.799999999999997"/>
    <n v="14892"/>
    <n v="53611.199999999997"/>
  </r>
  <r>
    <x v="0"/>
    <x v="0"/>
    <x v="0"/>
    <x v="0"/>
    <x v="0"/>
    <s v="DK1_NoDH"/>
    <x v="2"/>
    <x v="2"/>
    <s v="GNR_ENG_NGAS_CND_E-41"/>
    <x v="0"/>
    <x v="1"/>
    <n v="40.799999999999997"/>
    <n v="14892"/>
    <n v="53611.199999999997"/>
  </r>
  <r>
    <x v="0"/>
    <x v="0"/>
    <x v="0"/>
    <x v="0"/>
    <x v="0"/>
    <s v="DK1_NoDH"/>
    <x v="2"/>
    <x v="2"/>
    <s v="GNR_ENG_NGAS_CND_E-41"/>
    <x v="0"/>
    <x v="2"/>
    <n v="40.799999999999997"/>
    <n v="14892"/>
    <n v="53611.199999999997"/>
  </r>
  <r>
    <x v="0"/>
    <x v="0"/>
    <x v="0"/>
    <x v="0"/>
    <x v="0"/>
    <s v="DK1_NoDH"/>
    <x v="2"/>
    <x v="2"/>
    <s v="GNR_ENG_NGAS_CND_E-41"/>
    <x v="0"/>
    <x v="9"/>
    <n v="40.799999999999997"/>
    <n v="14892"/>
    <n v="53611.199999999997"/>
  </r>
  <r>
    <x v="0"/>
    <x v="0"/>
    <x v="0"/>
    <x v="0"/>
    <x v="0"/>
    <s v="DK1_NoDH"/>
    <x v="2"/>
    <x v="2"/>
    <s v="GNR_ENG_NGAS_CND_E-41"/>
    <x v="0"/>
    <x v="10"/>
    <n v="40.799999999999997"/>
    <n v="14892"/>
    <n v="53611.199999999997"/>
  </r>
  <r>
    <x v="0"/>
    <x v="0"/>
    <x v="0"/>
    <x v="0"/>
    <x v="0"/>
    <s v="DK1_NoDH"/>
    <x v="2"/>
    <x v="2"/>
    <s v="GNR_ENG_NGAS_CND_E-41"/>
    <x v="0"/>
    <x v="11"/>
    <n v="40.799999999999997"/>
    <n v="14892"/>
    <n v="53611.199999999997"/>
  </r>
  <r>
    <x v="0"/>
    <x v="0"/>
    <x v="0"/>
    <x v="0"/>
    <x v="0"/>
    <s v="DK1_NoDH"/>
    <x v="2"/>
    <x v="2"/>
    <s v="GNR_ENG_NGAS_CND_E-41"/>
    <x v="0"/>
    <x v="12"/>
    <n v="40.799999999999997"/>
    <n v="14892"/>
    <n v="53611.199999999997"/>
  </r>
  <r>
    <x v="0"/>
    <x v="0"/>
    <x v="0"/>
    <x v="0"/>
    <x v="0"/>
    <s v="DK1_NoDH"/>
    <x v="2"/>
    <x v="2"/>
    <s v="GNR_ENG_NGAS_CND_E-41"/>
    <x v="0"/>
    <x v="13"/>
    <n v="40.799999999999997"/>
    <n v="14892"/>
    <n v="53611.199999999997"/>
  </r>
  <r>
    <x v="0"/>
    <x v="0"/>
    <x v="0"/>
    <x v="0"/>
    <x v="0"/>
    <s v="DK1_NoDH"/>
    <x v="2"/>
    <x v="2"/>
    <s v="GNR_ENG_NGAS_CND_E-41"/>
    <x v="0"/>
    <x v="14"/>
    <n v="40.799999999999997"/>
    <n v="14892"/>
    <n v="53611.199999999997"/>
  </r>
  <r>
    <x v="0"/>
    <x v="0"/>
    <x v="0"/>
    <x v="0"/>
    <x v="0"/>
    <s v="DK1_NoDH"/>
    <x v="2"/>
    <x v="2"/>
    <s v="GNR_ENG_NGAS_CND_E-41"/>
    <x v="0"/>
    <x v="15"/>
    <n v="40.799999999999997"/>
    <n v="14892"/>
    <n v="53611.199999999997"/>
  </r>
  <r>
    <x v="0"/>
    <x v="0"/>
    <x v="0"/>
    <x v="0"/>
    <x v="0"/>
    <s v="DK1_NoDH"/>
    <x v="2"/>
    <x v="2"/>
    <s v="GNR_ENG_NGAS_CND_E-41"/>
    <x v="0"/>
    <x v="16"/>
    <n v="40.799999999999997"/>
    <n v="14892"/>
    <n v="53611.199999999997"/>
  </r>
  <r>
    <x v="0"/>
    <x v="0"/>
    <x v="0"/>
    <x v="0"/>
    <x v="0"/>
    <s v="DK1_NoDH"/>
    <x v="2"/>
    <x v="2"/>
    <s v="GNR_ENG_NGAS_CND_E-41"/>
    <x v="0"/>
    <x v="17"/>
    <n v="40.799999999999997"/>
    <n v="14892"/>
    <n v="53611.199999999997"/>
  </r>
  <r>
    <x v="0"/>
    <x v="0"/>
    <x v="0"/>
    <x v="0"/>
    <x v="0"/>
    <s v="DK1_NoDH"/>
    <x v="2"/>
    <x v="2"/>
    <s v="GNR_ENG_NGAS_CND_E-41"/>
    <x v="0"/>
    <x v="18"/>
    <n v="40.799999999999997"/>
    <n v="14892"/>
    <n v="53611.199999999997"/>
  </r>
  <r>
    <x v="0"/>
    <x v="0"/>
    <x v="0"/>
    <x v="0"/>
    <x v="0"/>
    <s v="DK1_NoDH"/>
    <x v="2"/>
    <x v="2"/>
    <s v="GNR_ENG_NGAS_CND_E-41"/>
    <x v="0"/>
    <x v="19"/>
    <n v="40.799999999999997"/>
    <n v="14892"/>
    <n v="53611.199999999997"/>
  </r>
  <r>
    <x v="0"/>
    <x v="0"/>
    <x v="0"/>
    <x v="0"/>
    <x v="0"/>
    <s v="DK1_NoDH"/>
    <x v="2"/>
    <x v="2"/>
    <s v="GNR_ENG_NGAS_CND_E-41"/>
    <x v="0"/>
    <x v="20"/>
    <n v="40.799999999999997"/>
    <n v="14892"/>
    <n v="53611.199999999997"/>
  </r>
  <r>
    <x v="0"/>
    <x v="0"/>
    <x v="0"/>
    <x v="0"/>
    <x v="0"/>
    <s v="DK1_NoDH"/>
    <x v="2"/>
    <x v="2"/>
    <s v="GNR_ENG_NGAS_CND_E-41"/>
    <x v="0"/>
    <x v="21"/>
    <n v="40.799999999999997"/>
    <n v="14892"/>
    <n v="53611.199999999997"/>
  </r>
  <r>
    <x v="0"/>
    <x v="0"/>
    <x v="0"/>
    <x v="0"/>
    <x v="0"/>
    <s v="DK1_NoDH"/>
    <x v="2"/>
    <x v="2"/>
    <s v="GNR_ENG_NGAS_CND_E-41"/>
    <x v="0"/>
    <x v="22"/>
    <n v="40.799999999999997"/>
    <n v="14892"/>
    <n v="53611.199999999997"/>
  </r>
  <r>
    <x v="0"/>
    <x v="0"/>
    <x v="0"/>
    <x v="0"/>
    <x v="0"/>
    <s v="DK1_NoDH"/>
    <x v="2"/>
    <x v="2"/>
    <s v="GNR_ENG_NGAS_CND_E-41"/>
    <x v="0"/>
    <x v="23"/>
    <n v="40.799999999999997"/>
    <n v="14892"/>
    <n v="53611.199999999997"/>
  </r>
  <r>
    <x v="0"/>
    <x v="0"/>
    <x v="0"/>
    <x v="0"/>
    <x v="0"/>
    <s v="DK1_NoDH"/>
    <x v="2"/>
    <x v="2"/>
    <s v="GNR_ENG_NGAS_CND_E-46"/>
    <x v="0"/>
    <x v="3"/>
    <n v="0.64"/>
    <n v="233.6"/>
    <n v="840.96"/>
  </r>
  <r>
    <x v="0"/>
    <x v="0"/>
    <x v="0"/>
    <x v="0"/>
    <x v="0"/>
    <s v="DK1_NoDH"/>
    <x v="2"/>
    <x v="2"/>
    <s v="GNR_ENG_NGAS_CND_E-46"/>
    <x v="0"/>
    <x v="4"/>
    <n v="0.64"/>
    <n v="233.6"/>
    <n v="840.96"/>
  </r>
  <r>
    <x v="0"/>
    <x v="0"/>
    <x v="0"/>
    <x v="0"/>
    <x v="0"/>
    <s v="DK1_NoDH"/>
    <x v="2"/>
    <x v="2"/>
    <s v="GNR_ENG_NGAS_CND_E-46"/>
    <x v="0"/>
    <x v="5"/>
    <n v="0.64"/>
    <n v="233.6"/>
    <n v="840.96"/>
  </r>
  <r>
    <x v="0"/>
    <x v="0"/>
    <x v="0"/>
    <x v="0"/>
    <x v="0"/>
    <s v="DK1_NoDH"/>
    <x v="2"/>
    <x v="2"/>
    <s v="GNR_ENG_NGAS_CND_E-46"/>
    <x v="0"/>
    <x v="6"/>
    <n v="0.64"/>
    <n v="233.6"/>
    <n v="840.96"/>
  </r>
  <r>
    <x v="0"/>
    <x v="0"/>
    <x v="0"/>
    <x v="0"/>
    <x v="0"/>
    <s v="DK1_NoDH"/>
    <x v="2"/>
    <x v="2"/>
    <s v="GNR_ENG_NGAS_CND_E-46"/>
    <x v="0"/>
    <x v="7"/>
    <n v="0.64"/>
    <n v="233.6"/>
    <n v="840.96"/>
  </r>
  <r>
    <x v="0"/>
    <x v="0"/>
    <x v="0"/>
    <x v="0"/>
    <x v="0"/>
    <s v="DK1_NoDH"/>
    <x v="2"/>
    <x v="2"/>
    <s v="GNR_ENG_NGAS_CND_E-46"/>
    <x v="0"/>
    <x v="8"/>
    <n v="0.64"/>
    <n v="233.6"/>
    <n v="840.96"/>
  </r>
  <r>
    <x v="0"/>
    <x v="0"/>
    <x v="0"/>
    <x v="0"/>
    <x v="0"/>
    <s v="DK1_NoDH"/>
    <x v="2"/>
    <x v="2"/>
    <s v="GNR_ENG_NGAS_CND_E-46"/>
    <x v="0"/>
    <x v="0"/>
    <n v="0.64"/>
    <n v="233.6"/>
    <n v="840.96"/>
  </r>
  <r>
    <x v="0"/>
    <x v="0"/>
    <x v="0"/>
    <x v="0"/>
    <x v="0"/>
    <s v="DK1_NoDH"/>
    <x v="2"/>
    <x v="2"/>
    <s v="GNR_ENG_NGAS_CND_E-46"/>
    <x v="0"/>
    <x v="1"/>
    <n v="0.64"/>
    <n v="233.6"/>
    <n v="840.96"/>
  </r>
  <r>
    <x v="0"/>
    <x v="0"/>
    <x v="0"/>
    <x v="0"/>
    <x v="0"/>
    <s v="DK1_NoDH"/>
    <x v="2"/>
    <x v="2"/>
    <s v="GNR_ENG_NGAS_CND_E-46"/>
    <x v="0"/>
    <x v="2"/>
    <n v="0.64"/>
    <n v="233.6"/>
    <n v="840.96"/>
  </r>
  <r>
    <x v="0"/>
    <x v="0"/>
    <x v="0"/>
    <x v="0"/>
    <x v="0"/>
    <s v="DK1_NoDH"/>
    <x v="2"/>
    <x v="2"/>
    <s v="GNR_ENG_NGAS_CND_E-46"/>
    <x v="0"/>
    <x v="9"/>
    <n v="0.64"/>
    <n v="233.6"/>
    <n v="840.96"/>
  </r>
  <r>
    <x v="0"/>
    <x v="0"/>
    <x v="0"/>
    <x v="0"/>
    <x v="0"/>
    <s v="DK1_NoDH"/>
    <x v="2"/>
    <x v="2"/>
    <s v="GNR_ENG_NGAS_CND_E-46"/>
    <x v="0"/>
    <x v="10"/>
    <n v="0.64"/>
    <n v="233.6"/>
    <n v="840.96"/>
  </r>
  <r>
    <x v="0"/>
    <x v="0"/>
    <x v="0"/>
    <x v="0"/>
    <x v="0"/>
    <s v="DK1_NoDH"/>
    <x v="2"/>
    <x v="2"/>
    <s v="GNR_ENG_NGAS_CND_E-46"/>
    <x v="0"/>
    <x v="11"/>
    <n v="0.64"/>
    <n v="233.6"/>
    <n v="840.96"/>
  </r>
  <r>
    <x v="0"/>
    <x v="0"/>
    <x v="0"/>
    <x v="0"/>
    <x v="0"/>
    <s v="DK1_NoDH"/>
    <x v="2"/>
    <x v="2"/>
    <s v="GNR_ENG_NGAS_CND_E-46"/>
    <x v="0"/>
    <x v="12"/>
    <n v="0.64"/>
    <n v="233.6"/>
    <n v="840.96"/>
  </r>
  <r>
    <x v="0"/>
    <x v="0"/>
    <x v="0"/>
    <x v="0"/>
    <x v="0"/>
    <s v="DK1_NoDH"/>
    <x v="2"/>
    <x v="2"/>
    <s v="GNR_ENG_NGAS_CND_E-46"/>
    <x v="0"/>
    <x v="13"/>
    <n v="0.64"/>
    <n v="233.6"/>
    <n v="840.96"/>
  </r>
  <r>
    <x v="0"/>
    <x v="0"/>
    <x v="0"/>
    <x v="0"/>
    <x v="0"/>
    <s v="DK1_NoDH"/>
    <x v="2"/>
    <x v="2"/>
    <s v="GNR_ENG_NGAS_CND_E-46"/>
    <x v="0"/>
    <x v="14"/>
    <n v="0.64"/>
    <n v="233.6"/>
    <n v="840.96"/>
  </r>
  <r>
    <x v="0"/>
    <x v="0"/>
    <x v="0"/>
    <x v="0"/>
    <x v="0"/>
    <s v="DK1_NoDH"/>
    <x v="2"/>
    <x v="2"/>
    <s v="GNR_ENG_NGAS_CND_E-46"/>
    <x v="0"/>
    <x v="15"/>
    <n v="0.64"/>
    <n v="233.6"/>
    <n v="840.96"/>
  </r>
  <r>
    <x v="0"/>
    <x v="0"/>
    <x v="0"/>
    <x v="0"/>
    <x v="0"/>
    <s v="DK1_NoDH"/>
    <x v="2"/>
    <x v="2"/>
    <s v="GNR_ENG_NGAS_CND_E-46"/>
    <x v="0"/>
    <x v="16"/>
    <n v="0.64"/>
    <n v="233.6"/>
    <n v="840.96"/>
  </r>
  <r>
    <x v="0"/>
    <x v="0"/>
    <x v="0"/>
    <x v="0"/>
    <x v="0"/>
    <s v="DK1_NoDH"/>
    <x v="2"/>
    <x v="2"/>
    <s v="GNR_ENG_NGAS_CND_E-46"/>
    <x v="0"/>
    <x v="17"/>
    <n v="0.64"/>
    <n v="233.6"/>
    <n v="840.96"/>
  </r>
  <r>
    <x v="0"/>
    <x v="0"/>
    <x v="0"/>
    <x v="0"/>
    <x v="0"/>
    <s v="DK1_NoDH"/>
    <x v="2"/>
    <x v="2"/>
    <s v="GNR_ENG_NGAS_CND_E-46"/>
    <x v="0"/>
    <x v="18"/>
    <n v="0.64"/>
    <n v="233.6"/>
    <n v="840.96"/>
  </r>
  <r>
    <x v="0"/>
    <x v="0"/>
    <x v="0"/>
    <x v="0"/>
    <x v="0"/>
    <s v="DK1_NoDH"/>
    <x v="2"/>
    <x v="2"/>
    <s v="GNR_ENG_NGAS_CND_E-46"/>
    <x v="0"/>
    <x v="19"/>
    <n v="0.64"/>
    <n v="233.6"/>
    <n v="840.96"/>
  </r>
  <r>
    <x v="0"/>
    <x v="0"/>
    <x v="0"/>
    <x v="0"/>
    <x v="0"/>
    <s v="DK1_NoDH"/>
    <x v="2"/>
    <x v="2"/>
    <s v="GNR_ENG_NGAS_CND_E-46"/>
    <x v="0"/>
    <x v="20"/>
    <n v="0.64"/>
    <n v="233.6"/>
    <n v="840.96"/>
  </r>
  <r>
    <x v="0"/>
    <x v="0"/>
    <x v="0"/>
    <x v="0"/>
    <x v="0"/>
    <s v="DK1_NoDH"/>
    <x v="2"/>
    <x v="2"/>
    <s v="GNR_ENG_NGAS_CND_E-46"/>
    <x v="0"/>
    <x v="21"/>
    <n v="0.64"/>
    <n v="233.6"/>
    <n v="840.96"/>
  </r>
  <r>
    <x v="0"/>
    <x v="0"/>
    <x v="0"/>
    <x v="0"/>
    <x v="0"/>
    <s v="DK1_NoDH"/>
    <x v="2"/>
    <x v="2"/>
    <s v="GNR_ENG_NGAS_CND_E-46"/>
    <x v="0"/>
    <x v="22"/>
    <n v="0.64"/>
    <n v="233.6"/>
    <n v="840.96"/>
  </r>
  <r>
    <x v="0"/>
    <x v="0"/>
    <x v="0"/>
    <x v="0"/>
    <x v="0"/>
    <s v="DK1_NoDH"/>
    <x v="2"/>
    <x v="2"/>
    <s v="GNR_ENG_NGAS_CND_E-46"/>
    <x v="0"/>
    <x v="23"/>
    <n v="0.64"/>
    <n v="233.6"/>
    <n v="840.96"/>
  </r>
  <r>
    <x v="0"/>
    <x v="0"/>
    <x v="0"/>
    <x v="0"/>
    <x v="0"/>
    <s v="DK1_NoDH"/>
    <x v="2"/>
    <x v="1"/>
    <s v="GNR_GT_NGAS_BP_E-28"/>
    <x v="0"/>
    <x v="0"/>
    <n v="34.9"/>
    <n v="12738.5"/>
    <n v="45858.6"/>
  </r>
  <r>
    <x v="0"/>
    <x v="0"/>
    <x v="0"/>
    <x v="0"/>
    <x v="0"/>
    <s v="DK1_NoDH"/>
    <x v="2"/>
    <x v="1"/>
    <s v="GNR_GT_NGAS_BP_E-28"/>
    <x v="0"/>
    <x v="1"/>
    <n v="34.9"/>
    <n v="12738.5"/>
    <n v="45858.6"/>
  </r>
  <r>
    <x v="0"/>
    <x v="0"/>
    <x v="0"/>
    <x v="0"/>
    <x v="0"/>
    <s v="DK1_NoDH"/>
    <x v="2"/>
    <x v="1"/>
    <s v="GNR_GT_NGAS_BP_E-28"/>
    <x v="0"/>
    <x v="2"/>
    <n v="34.9"/>
    <n v="12738.5"/>
    <n v="45858.6"/>
  </r>
  <r>
    <x v="0"/>
    <x v="0"/>
    <x v="0"/>
    <x v="0"/>
    <x v="0"/>
    <s v="DK1_NoDH"/>
    <x v="2"/>
    <x v="1"/>
    <s v="GNR_GT_NGAS_BP_E-28"/>
    <x v="0"/>
    <x v="9"/>
    <n v="34.9"/>
    <n v="12738.5"/>
    <n v="45858.6"/>
  </r>
  <r>
    <x v="0"/>
    <x v="0"/>
    <x v="0"/>
    <x v="0"/>
    <x v="0"/>
    <s v="DK1_NoDH"/>
    <x v="2"/>
    <x v="1"/>
    <s v="GNR_GT_NGAS_BP_E-33"/>
    <x v="0"/>
    <x v="0"/>
    <n v="5.3"/>
    <n v="1934.5"/>
    <n v="6964.2"/>
  </r>
  <r>
    <x v="0"/>
    <x v="0"/>
    <x v="0"/>
    <x v="0"/>
    <x v="0"/>
    <s v="DK1_NoDH"/>
    <x v="2"/>
    <x v="1"/>
    <s v="GNR_GT_NGAS_BP_E-33"/>
    <x v="0"/>
    <x v="1"/>
    <n v="5.3"/>
    <n v="1934.5"/>
    <n v="6964.2"/>
  </r>
  <r>
    <x v="0"/>
    <x v="0"/>
    <x v="0"/>
    <x v="0"/>
    <x v="0"/>
    <s v="DK1_NoDH"/>
    <x v="2"/>
    <x v="1"/>
    <s v="GNR_GT_NGAS_BP_E-33"/>
    <x v="0"/>
    <x v="2"/>
    <n v="5.3"/>
    <n v="1934.5"/>
    <n v="6964.2"/>
  </r>
  <r>
    <x v="0"/>
    <x v="0"/>
    <x v="0"/>
    <x v="0"/>
    <x v="0"/>
    <s v="DK1_NoDH"/>
    <x v="2"/>
    <x v="1"/>
    <s v="GNR_GT_NGAS_BP_E-33"/>
    <x v="0"/>
    <x v="9"/>
    <n v="5.3"/>
    <n v="1934.5"/>
    <n v="6964.2"/>
  </r>
  <r>
    <x v="0"/>
    <x v="0"/>
    <x v="0"/>
    <x v="0"/>
    <x v="0"/>
    <s v="DK1_NoDH"/>
    <x v="2"/>
    <x v="1"/>
    <s v="GNR_GT_NGAS_BP_E-33"/>
    <x v="0"/>
    <x v="10"/>
    <n v="5.3"/>
    <n v="1934.5"/>
    <n v="6964.2"/>
  </r>
  <r>
    <x v="0"/>
    <x v="0"/>
    <x v="0"/>
    <x v="0"/>
    <x v="0"/>
    <s v="DK1_NoDH"/>
    <x v="2"/>
    <x v="1"/>
    <s v="GNR_GT_NGAS_BP_E-33"/>
    <x v="0"/>
    <x v="11"/>
    <n v="5.3"/>
    <n v="1934.5"/>
    <n v="6964.2"/>
  </r>
  <r>
    <x v="0"/>
    <x v="0"/>
    <x v="0"/>
    <x v="0"/>
    <x v="0"/>
    <s v="DK1_NoDH"/>
    <x v="2"/>
    <x v="1"/>
    <s v="GNR_GT_NGAS_BP_E-36"/>
    <x v="0"/>
    <x v="7"/>
    <n v="4"/>
    <n v="1460"/>
    <n v="5256"/>
  </r>
  <r>
    <x v="0"/>
    <x v="0"/>
    <x v="0"/>
    <x v="0"/>
    <x v="0"/>
    <s v="DK1_NoDH"/>
    <x v="2"/>
    <x v="1"/>
    <s v="GNR_GT_NGAS_BP_E-36"/>
    <x v="0"/>
    <x v="8"/>
    <n v="4"/>
    <n v="1460"/>
    <n v="5256"/>
  </r>
  <r>
    <x v="0"/>
    <x v="0"/>
    <x v="0"/>
    <x v="0"/>
    <x v="0"/>
    <s v="DK1_NoDH"/>
    <x v="2"/>
    <x v="1"/>
    <s v="GNR_GT_NGAS_BP_E-36"/>
    <x v="0"/>
    <x v="0"/>
    <n v="4"/>
    <n v="1460"/>
    <n v="5256"/>
  </r>
  <r>
    <x v="0"/>
    <x v="0"/>
    <x v="0"/>
    <x v="0"/>
    <x v="0"/>
    <s v="DK1_NoDH"/>
    <x v="2"/>
    <x v="1"/>
    <s v="GNR_GT_NGAS_BP_E-36"/>
    <x v="0"/>
    <x v="1"/>
    <n v="4"/>
    <n v="1460"/>
    <n v="5256"/>
  </r>
  <r>
    <x v="0"/>
    <x v="0"/>
    <x v="0"/>
    <x v="0"/>
    <x v="0"/>
    <s v="DK1_NoDH"/>
    <x v="2"/>
    <x v="1"/>
    <s v="GNR_GT_NGAS_BP_E-36"/>
    <x v="0"/>
    <x v="2"/>
    <n v="4"/>
    <n v="1460"/>
    <n v="5256"/>
  </r>
  <r>
    <x v="0"/>
    <x v="0"/>
    <x v="0"/>
    <x v="0"/>
    <x v="0"/>
    <s v="DK1_NoDH"/>
    <x v="2"/>
    <x v="1"/>
    <s v="GNR_GT_NGAS_BP_E-36"/>
    <x v="0"/>
    <x v="9"/>
    <n v="4"/>
    <n v="1460"/>
    <n v="5256"/>
  </r>
  <r>
    <x v="0"/>
    <x v="0"/>
    <x v="0"/>
    <x v="0"/>
    <x v="0"/>
    <s v="DK1_NoDH"/>
    <x v="2"/>
    <x v="1"/>
    <s v="GNR_GT_NGAS_BP_E-36"/>
    <x v="0"/>
    <x v="10"/>
    <n v="4"/>
    <n v="1460"/>
    <n v="5256"/>
  </r>
  <r>
    <x v="0"/>
    <x v="0"/>
    <x v="0"/>
    <x v="0"/>
    <x v="0"/>
    <s v="DK1_NoDH"/>
    <x v="2"/>
    <x v="1"/>
    <s v="GNR_GT_NGAS_BP_E-36"/>
    <x v="0"/>
    <x v="11"/>
    <n v="4"/>
    <n v="1460"/>
    <n v="5256"/>
  </r>
  <r>
    <x v="0"/>
    <x v="0"/>
    <x v="0"/>
    <x v="0"/>
    <x v="0"/>
    <s v="DK1_NoDH"/>
    <x v="2"/>
    <x v="1"/>
    <s v="GNR_GT_NGAS_BP_E-36"/>
    <x v="0"/>
    <x v="12"/>
    <n v="4"/>
    <n v="1460"/>
    <n v="5256"/>
  </r>
  <r>
    <x v="0"/>
    <x v="0"/>
    <x v="0"/>
    <x v="0"/>
    <x v="0"/>
    <s v="DK1_NoDH"/>
    <x v="2"/>
    <x v="1"/>
    <s v="GNR_GT_NGAS_BP_E-36"/>
    <x v="0"/>
    <x v="13"/>
    <n v="4"/>
    <n v="1460"/>
    <n v="5256"/>
  </r>
  <r>
    <x v="0"/>
    <x v="0"/>
    <x v="0"/>
    <x v="0"/>
    <x v="0"/>
    <s v="DK1_NoDH"/>
    <x v="2"/>
    <x v="1"/>
    <s v="GNR_GT_NGAS_BP_E-36"/>
    <x v="0"/>
    <x v="14"/>
    <n v="4"/>
    <n v="1460"/>
    <n v="5256"/>
  </r>
  <r>
    <x v="0"/>
    <x v="0"/>
    <x v="0"/>
    <x v="0"/>
    <x v="0"/>
    <s v="DK1_NoDH"/>
    <x v="2"/>
    <x v="1"/>
    <s v="GNR_GT_NGAS_BP_E-36"/>
    <x v="0"/>
    <x v="15"/>
    <n v="4"/>
    <n v="1460"/>
    <n v="5256"/>
  </r>
  <r>
    <x v="0"/>
    <x v="0"/>
    <x v="0"/>
    <x v="0"/>
    <x v="0"/>
    <s v="DK1_NoDH"/>
    <x v="2"/>
    <x v="1"/>
    <s v="GNR_GT_NGAS_BP_E-36"/>
    <x v="0"/>
    <x v="16"/>
    <n v="4"/>
    <n v="1460"/>
    <n v="5256"/>
  </r>
  <r>
    <x v="0"/>
    <x v="0"/>
    <x v="0"/>
    <x v="0"/>
    <x v="0"/>
    <s v="DK1_NoDH"/>
    <x v="2"/>
    <x v="1"/>
    <s v="GNR_GT_NGAS_BP_E-36"/>
    <x v="0"/>
    <x v="17"/>
    <n v="4"/>
    <n v="1460"/>
    <n v="5256"/>
  </r>
  <r>
    <x v="0"/>
    <x v="0"/>
    <x v="0"/>
    <x v="0"/>
    <x v="0"/>
    <s v="DK1_NoDH"/>
    <x v="2"/>
    <x v="1"/>
    <s v="GNR_GT_NGAS_BP_E-36"/>
    <x v="0"/>
    <x v="18"/>
    <n v="4"/>
    <n v="1460"/>
    <n v="5256"/>
  </r>
  <r>
    <x v="0"/>
    <x v="0"/>
    <x v="0"/>
    <x v="0"/>
    <x v="0"/>
    <s v="DK1_NoDH"/>
    <x v="5"/>
    <x v="3"/>
    <s v="GNR_PV_SUN"/>
    <x v="0"/>
    <x v="2"/>
    <n v="11.5255572480597"/>
    <n v="4206.8283955417901"/>
    <n v="15144.5822239504"/>
  </r>
  <r>
    <x v="0"/>
    <x v="0"/>
    <x v="0"/>
    <x v="0"/>
    <x v="0"/>
    <s v="DK1_NoDH"/>
    <x v="5"/>
    <x v="3"/>
    <s v="GNR_PV_SUN"/>
    <x v="0"/>
    <x v="9"/>
    <n v="86.766759180264799"/>
    <n v="31669.867100796699"/>
    <n v="114011.521562868"/>
  </r>
  <r>
    <x v="0"/>
    <x v="0"/>
    <x v="0"/>
    <x v="0"/>
    <x v="0"/>
    <s v="DK1_NoDH"/>
    <x v="5"/>
    <x v="3"/>
    <s v="GNR_PV_SUN"/>
    <x v="0"/>
    <x v="10"/>
    <n v="200.426485272669"/>
    <n v="73155.667124524203"/>
    <n v="263360.40164828702"/>
  </r>
  <r>
    <x v="0"/>
    <x v="0"/>
    <x v="0"/>
    <x v="0"/>
    <x v="0"/>
    <s v="DK1_NoDH"/>
    <x v="5"/>
    <x v="3"/>
    <s v="GNR_PV_SUN"/>
    <x v="0"/>
    <x v="11"/>
    <n v="305.22039809733502"/>
    <n v="111405.445305527"/>
    <n v="401059.60309989803"/>
  </r>
  <r>
    <x v="0"/>
    <x v="0"/>
    <x v="0"/>
    <x v="0"/>
    <x v="0"/>
    <s v="DK1_NoDH"/>
    <x v="5"/>
    <x v="3"/>
    <s v="GNR_PV_SUN"/>
    <x v="0"/>
    <x v="12"/>
    <n v="347.00793129927399"/>
    <n v="126657.89492423501"/>
    <n v="455968.42172724602"/>
  </r>
  <r>
    <x v="0"/>
    <x v="0"/>
    <x v="0"/>
    <x v="0"/>
    <x v="0"/>
    <s v="DK1_NoDH"/>
    <x v="5"/>
    <x v="3"/>
    <s v="GNR_PV_SUN"/>
    <x v="0"/>
    <x v="13"/>
    <n v="301.73317821202397"/>
    <n v="110132.610047389"/>
    <n v="396477.39617060003"/>
  </r>
  <r>
    <x v="0"/>
    <x v="0"/>
    <x v="0"/>
    <x v="0"/>
    <x v="0"/>
    <s v="DK1_NoDH"/>
    <x v="5"/>
    <x v="3"/>
    <s v="GNR_PV_SUN"/>
    <x v="0"/>
    <x v="14"/>
    <n v="196.348211169509"/>
    <n v="71667.097076870894"/>
    <n v="258001.549476735"/>
  </r>
  <r>
    <x v="0"/>
    <x v="0"/>
    <x v="0"/>
    <x v="0"/>
    <x v="0"/>
    <s v="DK1_NoDH"/>
    <x v="5"/>
    <x v="3"/>
    <s v="GNR_PV_SUN"/>
    <x v="0"/>
    <x v="15"/>
    <n v="99.415319442238001"/>
    <n v="36286.591596416903"/>
    <n v="130631.729747101"/>
  </r>
  <r>
    <x v="0"/>
    <x v="0"/>
    <x v="0"/>
    <x v="0"/>
    <x v="0"/>
    <s v="DK1_NoDH"/>
    <x v="5"/>
    <x v="3"/>
    <s v="GNR_PV_SUN"/>
    <x v="0"/>
    <x v="16"/>
    <n v="12.944087370897799"/>
    <n v="4724.5918903777001"/>
    <n v="17008.5308053597"/>
  </r>
  <r>
    <x v="0"/>
    <x v="0"/>
    <x v="0"/>
    <x v="0"/>
    <x v="0"/>
    <s v="DK1_NoDH"/>
    <x v="6"/>
    <x v="4"/>
    <s v="GNR_ROR_WTR"/>
    <x v="0"/>
    <x v="3"/>
    <n v="3.81847406923176"/>
    <n v="1393.7430352695901"/>
    <n v="5017.4749269705299"/>
  </r>
  <r>
    <x v="0"/>
    <x v="0"/>
    <x v="0"/>
    <x v="0"/>
    <x v="0"/>
    <s v="DK1_NoDH"/>
    <x v="6"/>
    <x v="4"/>
    <s v="GNR_ROR_WTR"/>
    <x v="0"/>
    <x v="4"/>
    <n v="3.81847406923176"/>
    <n v="1393.7430352695901"/>
    <n v="5017.4749269705299"/>
  </r>
  <r>
    <x v="0"/>
    <x v="0"/>
    <x v="0"/>
    <x v="0"/>
    <x v="0"/>
    <s v="DK1_NoDH"/>
    <x v="6"/>
    <x v="4"/>
    <s v="GNR_ROR_WTR"/>
    <x v="0"/>
    <x v="5"/>
    <n v="3.81847406923176"/>
    <n v="1393.7430352695901"/>
    <n v="5017.4749269705299"/>
  </r>
  <r>
    <x v="0"/>
    <x v="0"/>
    <x v="0"/>
    <x v="0"/>
    <x v="0"/>
    <s v="DK1_NoDH"/>
    <x v="6"/>
    <x v="4"/>
    <s v="GNR_ROR_WTR"/>
    <x v="0"/>
    <x v="6"/>
    <n v="3.81847406923176"/>
    <n v="1393.7430352695901"/>
    <n v="5017.4749269705299"/>
  </r>
  <r>
    <x v="0"/>
    <x v="0"/>
    <x v="0"/>
    <x v="0"/>
    <x v="0"/>
    <s v="DK1_NoDH"/>
    <x v="6"/>
    <x v="4"/>
    <s v="GNR_ROR_WTR"/>
    <x v="0"/>
    <x v="7"/>
    <n v="3.81847406923176"/>
    <n v="1393.7430352695901"/>
    <n v="5017.4749269705299"/>
  </r>
  <r>
    <x v="0"/>
    <x v="0"/>
    <x v="0"/>
    <x v="0"/>
    <x v="0"/>
    <s v="DK1_NoDH"/>
    <x v="6"/>
    <x v="4"/>
    <s v="GNR_ROR_WTR"/>
    <x v="0"/>
    <x v="8"/>
    <n v="3.81847406923176"/>
    <n v="1393.7430352695901"/>
    <n v="5017.4749269705299"/>
  </r>
  <r>
    <x v="0"/>
    <x v="0"/>
    <x v="0"/>
    <x v="0"/>
    <x v="0"/>
    <s v="DK1_NoDH"/>
    <x v="6"/>
    <x v="4"/>
    <s v="GNR_ROR_WTR"/>
    <x v="0"/>
    <x v="0"/>
    <n v="3.81847406923176"/>
    <n v="1393.7430352695901"/>
    <n v="5017.4749269705299"/>
  </r>
  <r>
    <x v="0"/>
    <x v="0"/>
    <x v="0"/>
    <x v="0"/>
    <x v="0"/>
    <s v="DK1_NoDH"/>
    <x v="6"/>
    <x v="4"/>
    <s v="GNR_ROR_WTR"/>
    <x v="0"/>
    <x v="1"/>
    <n v="3.81847406923176"/>
    <n v="1393.7430352695901"/>
    <n v="5017.4749269705299"/>
  </r>
  <r>
    <x v="0"/>
    <x v="0"/>
    <x v="0"/>
    <x v="0"/>
    <x v="0"/>
    <s v="DK1_NoDH"/>
    <x v="6"/>
    <x v="4"/>
    <s v="GNR_ROR_WTR"/>
    <x v="0"/>
    <x v="2"/>
    <n v="3.81847406923176"/>
    <n v="1393.7430352695901"/>
    <n v="5017.4749269705299"/>
  </r>
  <r>
    <x v="0"/>
    <x v="0"/>
    <x v="0"/>
    <x v="0"/>
    <x v="0"/>
    <s v="DK1_NoDH"/>
    <x v="6"/>
    <x v="4"/>
    <s v="GNR_ROR_WTR"/>
    <x v="0"/>
    <x v="9"/>
    <n v="3.81847406923176"/>
    <n v="1393.7430352695901"/>
    <n v="5017.4749269705299"/>
  </r>
  <r>
    <x v="0"/>
    <x v="0"/>
    <x v="0"/>
    <x v="0"/>
    <x v="0"/>
    <s v="DK1_NoDH"/>
    <x v="6"/>
    <x v="4"/>
    <s v="GNR_ROR_WTR"/>
    <x v="0"/>
    <x v="10"/>
    <n v="3.81847406923176"/>
    <n v="1393.7430352695901"/>
    <n v="5017.4749269705299"/>
  </r>
  <r>
    <x v="0"/>
    <x v="0"/>
    <x v="0"/>
    <x v="0"/>
    <x v="0"/>
    <s v="DK1_NoDH"/>
    <x v="6"/>
    <x v="4"/>
    <s v="GNR_ROR_WTR"/>
    <x v="0"/>
    <x v="11"/>
    <n v="3.81847406923176"/>
    <n v="1393.7430352695901"/>
    <n v="5017.4749269705299"/>
  </r>
  <r>
    <x v="0"/>
    <x v="0"/>
    <x v="0"/>
    <x v="0"/>
    <x v="0"/>
    <s v="DK1_NoDH"/>
    <x v="6"/>
    <x v="4"/>
    <s v="GNR_ROR_WTR"/>
    <x v="0"/>
    <x v="12"/>
    <n v="3.81847406923176"/>
    <n v="1393.7430352695901"/>
    <n v="5017.4749269705299"/>
  </r>
  <r>
    <x v="0"/>
    <x v="0"/>
    <x v="0"/>
    <x v="0"/>
    <x v="0"/>
    <s v="DK1_NoDH"/>
    <x v="6"/>
    <x v="4"/>
    <s v="GNR_ROR_WTR"/>
    <x v="0"/>
    <x v="13"/>
    <n v="3.81847406923176"/>
    <n v="1393.7430352695901"/>
    <n v="5017.4749269705299"/>
  </r>
  <r>
    <x v="0"/>
    <x v="0"/>
    <x v="0"/>
    <x v="0"/>
    <x v="0"/>
    <s v="DK1_NoDH"/>
    <x v="6"/>
    <x v="4"/>
    <s v="GNR_ROR_WTR"/>
    <x v="0"/>
    <x v="14"/>
    <n v="3.81847406923176"/>
    <n v="1393.7430352695901"/>
    <n v="5017.4749269705299"/>
  </r>
  <r>
    <x v="0"/>
    <x v="0"/>
    <x v="0"/>
    <x v="0"/>
    <x v="0"/>
    <s v="DK1_NoDH"/>
    <x v="6"/>
    <x v="4"/>
    <s v="GNR_ROR_WTR"/>
    <x v="0"/>
    <x v="15"/>
    <n v="3.81847406923176"/>
    <n v="1393.7430352695901"/>
    <n v="5017.4749269705299"/>
  </r>
  <r>
    <x v="0"/>
    <x v="0"/>
    <x v="0"/>
    <x v="0"/>
    <x v="0"/>
    <s v="DK1_NoDH"/>
    <x v="6"/>
    <x v="4"/>
    <s v="GNR_ROR_WTR"/>
    <x v="0"/>
    <x v="16"/>
    <n v="3.81847406923176"/>
    <n v="1393.7430352695901"/>
    <n v="5017.4749269705299"/>
  </r>
  <r>
    <x v="0"/>
    <x v="0"/>
    <x v="0"/>
    <x v="0"/>
    <x v="0"/>
    <s v="DK1_NoDH"/>
    <x v="6"/>
    <x v="4"/>
    <s v="GNR_ROR_WTR"/>
    <x v="0"/>
    <x v="17"/>
    <n v="3.81847406923176"/>
    <n v="1393.7430352695901"/>
    <n v="5017.4749269705299"/>
  </r>
  <r>
    <x v="0"/>
    <x v="0"/>
    <x v="0"/>
    <x v="0"/>
    <x v="0"/>
    <s v="DK1_NoDH"/>
    <x v="6"/>
    <x v="4"/>
    <s v="GNR_ROR_WTR"/>
    <x v="0"/>
    <x v="18"/>
    <n v="3.81847406923176"/>
    <n v="1393.7430352695901"/>
    <n v="5017.4749269705299"/>
  </r>
  <r>
    <x v="0"/>
    <x v="0"/>
    <x v="0"/>
    <x v="0"/>
    <x v="0"/>
    <s v="DK1_NoDH"/>
    <x v="6"/>
    <x v="4"/>
    <s v="GNR_ROR_WTR"/>
    <x v="0"/>
    <x v="19"/>
    <n v="3.81847406923176"/>
    <n v="1393.7430352695901"/>
    <n v="5017.4749269705299"/>
  </r>
  <r>
    <x v="0"/>
    <x v="0"/>
    <x v="0"/>
    <x v="0"/>
    <x v="0"/>
    <s v="DK1_NoDH"/>
    <x v="6"/>
    <x v="4"/>
    <s v="GNR_ROR_WTR"/>
    <x v="0"/>
    <x v="20"/>
    <n v="3.81847406923176"/>
    <n v="1393.7430352695901"/>
    <n v="5017.4749269705299"/>
  </r>
  <r>
    <x v="0"/>
    <x v="0"/>
    <x v="0"/>
    <x v="0"/>
    <x v="0"/>
    <s v="DK1_NoDH"/>
    <x v="6"/>
    <x v="4"/>
    <s v="GNR_ROR_WTR"/>
    <x v="0"/>
    <x v="21"/>
    <n v="3.81847406923176"/>
    <n v="1393.7430352695901"/>
    <n v="5017.4749269705299"/>
  </r>
  <r>
    <x v="0"/>
    <x v="0"/>
    <x v="0"/>
    <x v="0"/>
    <x v="0"/>
    <s v="DK1_NoDH"/>
    <x v="6"/>
    <x v="4"/>
    <s v="GNR_ROR_WTR"/>
    <x v="0"/>
    <x v="22"/>
    <n v="3.81847406923176"/>
    <n v="1393.7430352695901"/>
    <n v="5017.4749269705299"/>
  </r>
  <r>
    <x v="0"/>
    <x v="0"/>
    <x v="0"/>
    <x v="0"/>
    <x v="0"/>
    <s v="DK1_NoDH"/>
    <x v="6"/>
    <x v="4"/>
    <s v="GNR_ROR_WTR"/>
    <x v="0"/>
    <x v="23"/>
    <n v="3.81847406923176"/>
    <n v="1393.7430352695901"/>
    <n v="5017.4749269705299"/>
  </r>
  <r>
    <x v="0"/>
    <x v="0"/>
    <x v="0"/>
    <x v="0"/>
    <x v="0"/>
    <s v="DK1_NoDH"/>
    <x v="7"/>
    <x v="5"/>
    <s v="GNR_WT_WIND_ONS"/>
    <x v="0"/>
    <x v="3"/>
    <n v="30.762561377727302"/>
    <n v="11228.3349028705"/>
    <n v="40422.005650333696"/>
  </r>
  <r>
    <x v="0"/>
    <x v="0"/>
    <x v="0"/>
    <x v="0"/>
    <x v="0"/>
    <s v="DK1_NoDH"/>
    <x v="7"/>
    <x v="5"/>
    <s v="GNR_WT_WIND_ONS"/>
    <x v="0"/>
    <x v="4"/>
    <n v="28.087556040533599"/>
    <n v="10251.9579547948"/>
    <n v="36907.048637261199"/>
  </r>
  <r>
    <x v="0"/>
    <x v="0"/>
    <x v="0"/>
    <x v="0"/>
    <x v="0"/>
    <s v="DK1_NoDH"/>
    <x v="7"/>
    <x v="5"/>
    <s v="GNR_WT_WIND_ONS"/>
    <x v="0"/>
    <x v="5"/>
    <n v="13.3750266859684"/>
    <n v="4881.8847403784603"/>
    <n v="17574.785065362499"/>
  </r>
  <r>
    <x v="0"/>
    <x v="0"/>
    <x v="0"/>
    <x v="0"/>
    <x v="0"/>
    <s v="DK1_NoDH"/>
    <x v="7"/>
    <x v="5"/>
    <s v="GNR_WT_WIND_ONS"/>
    <x v="0"/>
    <x v="6"/>
    <n v="14.7125293545652"/>
    <n v="5370.0732144163103"/>
    <n v="19332.2635718987"/>
  </r>
  <r>
    <x v="0"/>
    <x v="0"/>
    <x v="0"/>
    <x v="0"/>
    <x v="0"/>
    <s v="DK1_NoDH"/>
    <x v="7"/>
    <x v="5"/>
    <s v="GNR_WT_WIND_ONS"/>
    <x v="0"/>
    <x v="7"/>
    <n v="26.750053371936801"/>
    <n v="9763.7694807569205"/>
    <n v="35149.570130724896"/>
  </r>
  <r>
    <x v="0"/>
    <x v="0"/>
    <x v="0"/>
    <x v="0"/>
    <x v="0"/>
    <s v="DK1_NoDH"/>
    <x v="7"/>
    <x v="5"/>
    <s v="GNR_WT_WIND_ONS"/>
    <x v="0"/>
    <x v="8"/>
    <n v="46.812593400889398"/>
    <n v="17086.5965913246"/>
    <n v="61511.747728768598"/>
  </r>
  <r>
    <x v="0"/>
    <x v="0"/>
    <x v="0"/>
    <x v="0"/>
    <x v="0"/>
    <s v="DK1_NoDH"/>
    <x v="7"/>
    <x v="5"/>
    <s v="GNR_WT_WIND_ONS"/>
    <x v="0"/>
    <x v="0"/>
    <n v="94.962689470375594"/>
    <n v="34661.381656687103"/>
    <n v="124780.973964073"/>
  </r>
  <r>
    <x v="0"/>
    <x v="0"/>
    <x v="0"/>
    <x v="0"/>
    <x v="0"/>
    <s v="DK1_NoDH"/>
    <x v="7"/>
    <x v="5"/>
    <s v="GNR_WT_WIND_ONS"/>
    <x v="0"/>
    <x v="1"/>
    <n v="197.950394952332"/>
    <n v="72251.8941576012"/>
    <n v="260106.818967364"/>
  </r>
  <r>
    <x v="0"/>
    <x v="0"/>
    <x v="0"/>
    <x v="0"/>
    <x v="0"/>
    <s v="DK1_NoDH"/>
    <x v="7"/>
    <x v="5"/>
    <s v="GNR_WT_WIND_ONS"/>
    <x v="0"/>
    <x v="2"/>
    <n v="327.68815380622601"/>
    <n v="119606.17613927199"/>
    <n v="430582.23410137999"/>
  </r>
  <r>
    <x v="0"/>
    <x v="0"/>
    <x v="0"/>
    <x v="0"/>
    <x v="0"/>
    <s v="DK1_NoDH"/>
    <x v="7"/>
    <x v="5"/>
    <s v="GNR_WT_WIND_ONS"/>
    <x v="0"/>
    <x v="9"/>
    <n v="484.17596603205601"/>
    <n v="176724.2276017"/>
    <n v="636207.21936612099"/>
  </r>
  <r>
    <x v="0"/>
    <x v="0"/>
    <x v="0"/>
    <x v="0"/>
    <x v="0"/>
    <s v="DK1_NoDH"/>
    <x v="7"/>
    <x v="5"/>
    <s v="GNR_WT_WIND_ONS"/>
    <x v="0"/>
    <x v="10"/>
    <n v="643.33878359507901"/>
    <n v="234818.65601220401"/>
    <n v="845347.16164393397"/>
  </r>
  <r>
    <x v="0"/>
    <x v="0"/>
    <x v="0"/>
    <x v="0"/>
    <x v="0"/>
    <s v="DK1_NoDH"/>
    <x v="7"/>
    <x v="5"/>
    <s v="GNR_WT_WIND_ONS"/>
    <x v="0"/>
    <x v="11"/>
    <n v="787.78907180353804"/>
    <n v="287543.01120829099"/>
    <n v="1035154.84034985"/>
  </r>
  <r>
    <x v="0"/>
    <x v="0"/>
    <x v="0"/>
    <x v="0"/>
    <x v="0"/>
    <s v="DK1_NoDH"/>
    <x v="7"/>
    <x v="5"/>
    <s v="GNR_WT_WIND_ONS"/>
    <x v="0"/>
    <x v="12"/>
    <n v="872.05173992513903"/>
    <n v="318298.885072676"/>
    <n v="1145875.98626163"/>
  </r>
  <r>
    <x v="0"/>
    <x v="0"/>
    <x v="0"/>
    <x v="0"/>
    <x v="0"/>
    <s v="DK1_NoDH"/>
    <x v="7"/>
    <x v="5"/>
    <s v="GNR_WT_WIND_ONS"/>
    <x v="0"/>
    <x v="13"/>
    <n v="1031.2145574881599"/>
    <n v="376393.31348317902"/>
    <n v="1355015.92853945"/>
  </r>
  <r>
    <x v="0"/>
    <x v="0"/>
    <x v="0"/>
    <x v="0"/>
    <x v="0"/>
    <s v="DK1_NoDH"/>
    <x v="7"/>
    <x v="5"/>
    <s v="GNR_WT_WIND_ONS"/>
    <x v="0"/>
    <x v="14"/>
    <n v="1172.98984035943"/>
    <n v="428141.29173119098"/>
    <n v="1541308.6502322899"/>
  </r>
  <r>
    <x v="0"/>
    <x v="0"/>
    <x v="0"/>
    <x v="0"/>
    <x v="0"/>
    <s v="DK1_NoDH"/>
    <x v="7"/>
    <x v="5"/>
    <s v="GNR_WT_WIND_ONS"/>
    <x v="0"/>
    <x v="15"/>
    <n v="1404.37780202668"/>
    <n v="512597.89773973898"/>
    <n v="1845352.43186306"/>
  </r>
  <r>
    <x v="0"/>
    <x v="0"/>
    <x v="0"/>
    <x v="0"/>
    <x v="0"/>
    <s v="DK1_NoDH"/>
    <x v="7"/>
    <x v="5"/>
    <s v="GNR_WT_WIND_ONS"/>
    <x v="0"/>
    <x v="16"/>
    <n v="1746.7784851874701"/>
    <n v="637574.14709342702"/>
    <n v="2295266.9295363398"/>
  </r>
  <r>
    <x v="0"/>
    <x v="0"/>
    <x v="0"/>
    <x v="0"/>
    <x v="0"/>
    <s v="DK1_NoDH"/>
    <x v="7"/>
    <x v="5"/>
    <s v="GNR_WT_WIND_ONS"/>
    <x v="0"/>
    <x v="17"/>
    <n v="2201.5293925104002"/>
    <n v="803558.22826629505"/>
    <n v="2892809.6217586598"/>
  </r>
  <r>
    <x v="0"/>
    <x v="0"/>
    <x v="0"/>
    <x v="0"/>
    <x v="0"/>
    <s v="DK1_NoDH"/>
    <x v="7"/>
    <x v="5"/>
    <s v="GNR_WT_WIND_ONS"/>
    <x v="0"/>
    <x v="18"/>
    <n v="2720.4804279259702"/>
    <n v="992975.35619297903"/>
    <n v="3574711.2822947302"/>
  </r>
  <r>
    <x v="0"/>
    <x v="0"/>
    <x v="0"/>
    <x v="0"/>
    <x v="0"/>
    <s v="DK1_NoDH"/>
    <x v="7"/>
    <x v="5"/>
    <s v="GNR_WT_WIND_ONS"/>
    <x v="0"/>
    <x v="19"/>
    <n v="2931.8058495642699"/>
    <n v="1070109.13509096"/>
    <n v="3852392.8863274502"/>
  </r>
  <r>
    <x v="0"/>
    <x v="0"/>
    <x v="0"/>
    <x v="0"/>
    <x v="0"/>
    <s v="DK1_NoDH"/>
    <x v="7"/>
    <x v="5"/>
    <s v="GNR_WT_WIND_ONS"/>
    <x v="0"/>
    <x v="20"/>
    <n v="2894.3557748435601"/>
    <n v="1056439.8578178999"/>
    <n v="3803183.4881444401"/>
  </r>
  <r>
    <x v="0"/>
    <x v="0"/>
    <x v="0"/>
    <x v="0"/>
    <x v="0"/>
    <s v="DK1_NoDH"/>
    <x v="7"/>
    <x v="5"/>
    <s v="GNR_WT_WIND_ONS"/>
    <x v="0"/>
    <x v="21"/>
    <n v="2910.40580686672"/>
    <n v="1062298.11950635"/>
    <n v="3824273.2302228701"/>
  </r>
  <r>
    <x v="0"/>
    <x v="0"/>
    <x v="0"/>
    <x v="0"/>
    <x v="0"/>
    <s v="DK1_NoDH"/>
    <x v="7"/>
    <x v="5"/>
    <s v="GNR_WT_WIND_ONS"/>
    <x v="0"/>
    <x v="22"/>
    <n v="2982.6309509709499"/>
    <n v="1088660.2971043999"/>
    <n v="3919177.0695758299"/>
  </r>
  <r>
    <x v="0"/>
    <x v="0"/>
    <x v="0"/>
    <x v="0"/>
    <x v="0"/>
    <s v="DK1_NoDH"/>
    <x v="7"/>
    <x v="5"/>
    <s v="GNR_WT_WIND_ONS"/>
    <x v="0"/>
    <x v="23"/>
    <n v="3001.3559883313101"/>
    <n v="1095494.93574093"/>
    <n v="3943781.7686673398"/>
  </r>
  <r>
    <x v="0"/>
    <x v="0"/>
    <x v="0"/>
    <x v="0"/>
    <x v="0"/>
    <s v="DK1_Offshore"/>
    <x v="7"/>
    <x v="5"/>
    <s v="GNR_WT_WIND_OFF"/>
    <x v="0"/>
    <x v="3"/>
    <n v="10.826956579742401"/>
    <n v="3951.8391516059701"/>
    <n v="14226.6209457815"/>
  </r>
  <r>
    <x v="0"/>
    <x v="0"/>
    <x v="0"/>
    <x v="0"/>
    <x v="0"/>
    <s v="DK1_Offshore"/>
    <x v="7"/>
    <x v="5"/>
    <s v="GNR_WT_WIND_OFF"/>
    <x v="0"/>
    <x v="4"/>
    <n v="9.88548209454739"/>
    <n v="3608.2009645098001"/>
    <n v="12989.5234722353"/>
  </r>
  <r>
    <x v="0"/>
    <x v="0"/>
    <x v="0"/>
    <x v="0"/>
    <x v="0"/>
    <s v="DK1_Offshore"/>
    <x v="7"/>
    <x v="5"/>
    <s v="GNR_WT_WIND_OFF"/>
    <x v="0"/>
    <x v="5"/>
    <n v="4.7073724259749499"/>
    <n v="1718.1909354808599"/>
    <n v="6185.4873677310798"/>
  </r>
  <r>
    <x v="0"/>
    <x v="0"/>
    <x v="0"/>
    <x v="0"/>
    <x v="0"/>
    <s v="DK1_Offshore"/>
    <x v="7"/>
    <x v="5"/>
    <s v="GNR_WT_WIND_OFF"/>
    <x v="0"/>
    <x v="6"/>
    <n v="5.1781096685724401"/>
    <n v="1890.0100290289399"/>
    <n v="6804.03610450419"/>
  </r>
  <r>
    <x v="0"/>
    <x v="0"/>
    <x v="0"/>
    <x v="0"/>
    <x v="0"/>
    <s v="DK1_Offshore"/>
    <x v="7"/>
    <x v="5"/>
    <s v="GNR_WT_WIND_OFF"/>
    <x v="0"/>
    <x v="7"/>
    <n v="9.4147448519498997"/>
    <n v="3436.3818709617099"/>
    <n v="12370.9747354622"/>
  </r>
  <r>
    <x v="0"/>
    <x v="0"/>
    <x v="0"/>
    <x v="0"/>
    <x v="0"/>
    <s v="DK1_Offshore"/>
    <x v="7"/>
    <x v="5"/>
    <s v="GNR_WT_WIND_OFF"/>
    <x v="0"/>
    <x v="8"/>
    <n v="16.475803490912298"/>
    <n v="6013.668274183"/>
    <n v="21649.2057870588"/>
  </r>
  <r>
    <x v="0"/>
    <x v="0"/>
    <x v="0"/>
    <x v="0"/>
    <x v="0"/>
    <s v="DK1_Offshore"/>
    <x v="7"/>
    <x v="5"/>
    <s v="GNR_WT_WIND_OFF"/>
    <x v="0"/>
    <x v="0"/>
    <n v="33.422344224422098"/>
    <n v="12199.1556419141"/>
    <n v="43916.960310890703"/>
  </r>
  <r>
    <x v="0"/>
    <x v="0"/>
    <x v="0"/>
    <x v="0"/>
    <x v="0"/>
    <s v="DK1_Offshore"/>
    <x v="7"/>
    <x v="5"/>
    <s v="GNR_WT_WIND_OFF"/>
    <x v="0"/>
    <x v="1"/>
    <n v="69.669111904429201"/>
    <n v="25429.2258451167"/>
    <n v="91545.21304242"/>
  </r>
  <r>
    <x v="0"/>
    <x v="0"/>
    <x v="0"/>
    <x v="0"/>
    <x v="0"/>
    <s v="DK1_Offshore"/>
    <x v="7"/>
    <x v="5"/>
    <s v="GNR_WT_WIND_OFF"/>
    <x v="0"/>
    <x v="2"/>
    <n v="115.330624436386"/>
    <n v="42095.677919280999"/>
    <n v="151544.440509412"/>
  </r>
  <r>
    <x v="0"/>
    <x v="0"/>
    <x v="0"/>
    <x v="0"/>
    <x v="0"/>
    <s v="DK1_Offshore"/>
    <x v="7"/>
    <x v="5"/>
    <s v="GNR_WT_WIND_OFF"/>
    <x v="0"/>
    <x v="9"/>
    <n v="170.40688182029299"/>
    <n v="62198.511864407003"/>
    <n v="223914.64271186499"/>
  </r>
  <r>
    <x v="0"/>
    <x v="0"/>
    <x v="0"/>
    <x v="0"/>
    <x v="0"/>
    <s v="DK1_Offshore"/>
    <x v="7"/>
    <x v="5"/>
    <s v="GNR_WT_WIND_OFF"/>
    <x v="0"/>
    <x v="10"/>
    <n v="226.42461368939499"/>
    <n v="82644.983996629206"/>
    <n v="297521.94238786498"/>
  </r>
  <r>
    <x v="0"/>
    <x v="0"/>
    <x v="0"/>
    <x v="0"/>
    <x v="0"/>
    <s v="DK1_Offshore"/>
    <x v="7"/>
    <x v="5"/>
    <s v="GNR_WT_WIND_OFF"/>
    <x v="0"/>
    <x v="11"/>
    <n v="277.26423588992498"/>
    <n v="101201.446099822"/>
    <n v="364325.20595936099"/>
  </r>
  <r>
    <x v="0"/>
    <x v="0"/>
    <x v="0"/>
    <x v="0"/>
    <x v="0"/>
    <s v="DK1_Offshore"/>
    <x v="7"/>
    <x v="5"/>
    <s v="GNR_WT_WIND_OFF"/>
    <x v="0"/>
    <x v="12"/>
    <n v="306.920682173567"/>
    <n v="112026.048993352"/>
    <n v="403293.77637606702"/>
  </r>
  <r>
    <x v="0"/>
    <x v="0"/>
    <x v="0"/>
    <x v="0"/>
    <x v="0"/>
    <s v="DK1_Offshore"/>
    <x v="7"/>
    <x v="5"/>
    <s v="GNR_WT_WIND_OFF"/>
    <x v="0"/>
    <x v="13"/>
    <n v="362.93841404266902"/>
    <n v="132472.52112557401"/>
    <n v="476901.076052066"/>
  </r>
  <r>
    <x v="0"/>
    <x v="0"/>
    <x v="0"/>
    <x v="0"/>
    <x v="0"/>
    <s v="DK1_Offshore"/>
    <x v="7"/>
    <x v="5"/>
    <s v="GNR_WT_WIND_OFF"/>
    <x v="0"/>
    <x v="14"/>
    <n v="412.83656175800297"/>
    <n v="150685.34504167101"/>
    <n v="542467.24215001601"/>
  </r>
  <r>
    <x v="0"/>
    <x v="0"/>
    <x v="0"/>
    <x v="0"/>
    <x v="0"/>
    <s v="DK1_Offshore"/>
    <x v="7"/>
    <x v="5"/>
    <s v="GNR_WT_WIND_OFF"/>
    <x v="0"/>
    <x v="15"/>
    <n v="494.27410472737"/>
    <n v="180410.04822549"/>
    <n v="649476.17361176398"/>
  </r>
  <r>
    <x v="0"/>
    <x v="0"/>
    <x v="0"/>
    <x v="0"/>
    <x v="0"/>
    <s v="DK1_Offshore"/>
    <x v="7"/>
    <x v="5"/>
    <s v="GNR_WT_WIND_OFF"/>
    <x v="0"/>
    <x v="16"/>
    <n v="614.78283883232803"/>
    <n v="224395.73617379999"/>
    <n v="807824.65022567997"/>
  </r>
  <r>
    <x v="0"/>
    <x v="0"/>
    <x v="0"/>
    <x v="0"/>
    <x v="0"/>
    <s v="DK1_Offshore"/>
    <x v="7"/>
    <x v="5"/>
    <s v="GNR_WT_WIND_OFF"/>
    <x v="0"/>
    <x v="17"/>
    <n v="774.83350131547695"/>
    <n v="282814.22798014898"/>
    <n v="1018131.22072854"/>
  </r>
  <r>
    <x v="0"/>
    <x v="0"/>
    <x v="0"/>
    <x v="0"/>
    <x v="0"/>
    <s v="DK1_Offshore"/>
    <x v="7"/>
    <x v="5"/>
    <s v="GNR_WT_WIND_OFF"/>
    <x v="0"/>
    <x v="18"/>
    <n v="957.47955144330501"/>
    <n v="349480.03627680597"/>
    <n v="1258128.1305964999"/>
  </r>
  <r>
    <x v="0"/>
    <x v="0"/>
    <x v="0"/>
    <x v="0"/>
    <x v="0"/>
    <s v="DK1_Offshore"/>
    <x v="7"/>
    <x v="5"/>
    <s v="GNR_WT_WIND_OFF"/>
    <x v="0"/>
    <x v="19"/>
    <n v="1031.8560357737099"/>
    <n v="376627.45305740403"/>
    <n v="1355858.8310066501"/>
  </r>
  <r>
    <x v="0"/>
    <x v="0"/>
    <x v="0"/>
    <x v="0"/>
    <x v="0"/>
    <s v="DK1_Offshore"/>
    <x v="7"/>
    <x v="5"/>
    <s v="GNR_WT_WIND_OFF"/>
    <x v="0"/>
    <x v="20"/>
    <n v="1018.67539298098"/>
    <n v="371816.51843805698"/>
    <n v="1338539.4663770101"/>
  </r>
  <r>
    <x v="0"/>
    <x v="0"/>
    <x v="0"/>
    <x v="0"/>
    <x v="0"/>
    <s v="DK1_Offshore"/>
    <x v="7"/>
    <x v="5"/>
    <s v="GNR_WT_WIND_OFF"/>
    <x v="0"/>
    <x v="21"/>
    <n v="1024.32423989215"/>
    <n v="373878.34756063402"/>
    <n v="1345962.0512182801"/>
  </r>
  <r>
    <x v="0"/>
    <x v="0"/>
    <x v="0"/>
    <x v="0"/>
    <x v="0"/>
    <s v="DK1_Offshore"/>
    <x v="7"/>
    <x v="5"/>
    <s v="GNR_WT_WIND_OFF"/>
    <x v="0"/>
    <x v="22"/>
    <n v="1049.7440509924099"/>
    <n v="383156.57861223101"/>
    <n v="1379363.68300403"/>
  </r>
  <r>
    <x v="0"/>
    <x v="0"/>
    <x v="0"/>
    <x v="0"/>
    <x v="0"/>
    <s v="DK1_Offshore"/>
    <x v="7"/>
    <x v="5"/>
    <s v="GNR_WT_WIND_OFF"/>
    <x v="0"/>
    <x v="23"/>
    <n v="1056.3343723887799"/>
    <n v="385562.04592190398"/>
    <n v="1388023.3653188599"/>
  </r>
  <r>
    <x v="0"/>
    <x v="0"/>
    <x v="0"/>
    <x v="0"/>
    <x v="0"/>
    <s v="DK1_Rural"/>
    <x v="2"/>
    <x v="1"/>
    <s v="GNR_ENG_NGAS_BP_E-33"/>
    <x v="0"/>
    <x v="0"/>
    <n v="4.5"/>
    <n v="1642.5"/>
    <n v="5913"/>
  </r>
  <r>
    <x v="0"/>
    <x v="0"/>
    <x v="0"/>
    <x v="0"/>
    <x v="0"/>
    <s v="DK1_Rural"/>
    <x v="2"/>
    <x v="1"/>
    <s v="GNR_ENG_NGAS_BP_E-33"/>
    <x v="0"/>
    <x v="1"/>
    <n v="4.5"/>
    <n v="1642.5"/>
    <n v="5913"/>
  </r>
  <r>
    <x v="0"/>
    <x v="0"/>
    <x v="0"/>
    <x v="0"/>
    <x v="0"/>
    <s v="DK1_Rural"/>
    <x v="2"/>
    <x v="1"/>
    <s v="GNR_ENG_NGAS_BP_E-33"/>
    <x v="0"/>
    <x v="2"/>
    <n v="4.5"/>
    <n v="1642.5"/>
    <n v="5913"/>
  </r>
  <r>
    <x v="0"/>
    <x v="0"/>
    <x v="0"/>
    <x v="0"/>
    <x v="0"/>
    <s v="DK1_Rural"/>
    <x v="2"/>
    <x v="1"/>
    <s v="GNR_ENG_NGAS_BP_E-33"/>
    <x v="0"/>
    <x v="9"/>
    <n v="4.5"/>
    <n v="1642.5"/>
    <n v="5913"/>
  </r>
  <r>
    <x v="0"/>
    <x v="0"/>
    <x v="0"/>
    <x v="0"/>
    <x v="0"/>
    <s v="DK1_Rural"/>
    <x v="2"/>
    <x v="1"/>
    <s v="GNR_ENG_NGAS_BP_E-33"/>
    <x v="0"/>
    <x v="10"/>
    <n v="4.5"/>
    <n v="1642.5"/>
    <n v="5913"/>
  </r>
  <r>
    <x v="0"/>
    <x v="0"/>
    <x v="0"/>
    <x v="0"/>
    <x v="0"/>
    <s v="DK1_Rural"/>
    <x v="2"/>
    <x v="1"/>
    <s v="GNR_ENG_NGAS_BP_E-34"/>
    <x v="0"/>
    <x v="0"/>
    <n v="4.63"/>
    <n v="1689.95"/>
    <n v="6083.82"/>
  </r>
  <r>
    <x v="0"/>
    <x v="0"/>
    <x v="0"/>
    <x v="0"/>
    <x v="0"/>
    <s v="DK1_Rural"/>
    <x v="2"/>
    <x v="1"/>
    <s v="GNR_ENG_NGAS_BP_E-34"/>
    <x v="0"/>
    <x v="1"/>
    <n v="4.63"/>
    <n v="1689.95"/>
    <n v="6083.82"/>
  </r>
  <r>
    <x v="0"/>
    <x v="0"/>
    <x v="0"/>
    <x v="0"/>
    <x v="0"/>
    <s v="DK1_Rural"/>
    <x v="2"/>
    <x v="1"/>
    <s v="GNR_ENG_NGAS_BP_E-34"/>
    <x v="0"/>
    <x v="2"/>
    <n v="4.63"/>
    <n v="1689.95"/>
    <n v="6083.82"/>
  </r>
  <r>
    <x v="0"/>
    <x v="0"/>
    <x v="0"/>
    <x v="0"/>
    <x v="0"/>
    <s v="DK1_Rural"/>
    <x v="2"/>
    <x v="1"/>
    <s v="GNR_ENG_NGAS_BP_E-34"/>
    <x v="0"/>
    <x v="9"/>
    <n v="4.63"/>
    <n v="1689.95"/>
    <n v="6083.82"/>
  </r>
  <r>
    <x v="0"/>
    <x v="0"/>
    <x v="0"/>
    <x v="0"/>
    <x v="0"/>
    <s v="DK1_Rural"/>
    <x v="2"/>
    <x v="1"/>
    <s v="GNR_ENG_NGAS_BP_E-34"/>
    <x v="0"/>
    <x v="10"/>
    <n v="4.63"/>
    <n v="1689.95"/>
    <n v="6083.82"/>
  </r>
  <r>
    <x v="0"/>
    <x v="0"/>
    <x v="0"/>
    <x v="0"/>
    <x v="0"/>
    <s v="DK1_Rural"/>
    <x v="2"/>
    <x v="1"/>
    <s v="GNR_ENG_NGAS_BP_E-34"/>
    <x v="0"/>
    <x v="11"/>
    <n v="4.63"/>
    <n v="1689.95"/>
    <n v="6083.82"/>
  </r>
  <r>
    <x v="0"/>
    <x v="0"/>
    <x v="0"/>
    <x v="0"/>
    <x v="0"/>
    <s v="DK1_Rural"/>
    <x v="2"/>
    <x v="1"/>
    <s v="GNR_ENG_NGAS_BP_E-34"/>
    <x v="0"/>
    <x v="12"/>
    <n v="4.63"/>
    <n v="1689.95"/>
    <n v="6083.82"/>
  </r>
  <r>
    <x v="0"/>
    <x v="0"/>
    <x v="0"/>
    <x v="0"/>
    <x v="0"/>
    <s v="DK1_Rural"/>
    <x v="2"/>
    <x v="1"/>
    <s v="GNR_ENG_NGAS_BP_E-34"/>
    <x v="0"/>
    <x v="13"/>
    <n v="4.63"/>
    <n v="1689.95"/>
    <n v="6083.82"/>
  </r>
  <r>
    <x v="0"/>
    <x v="0"/>
    <x v="0"/>
    <x v="0"/>
    <x v="0"/>
    <s v="DK1_Rural"/>
    <x v="2"/>
    <x v="1"/>
    <s v="GNR_ENG_NGAS_BP_E-34"/>
    <x v="0"/>
    <x v="14"/>
    <n v="4.63"/>
    <n v="1689.95"/>
    <n v="6083.82"/>
  </r>
  <r>
    <x v="0"/>
    <x v="0"/>
    <x v="0"/>
    <x v="0"/>
    <x v="0"/>
    <s v="DK1_Rural"/>
    <x v="2"/>
    <x v="1"/>
    <s v="GNR_ENG_NGAS_BP_E-34"/>
    <x v="0"/>
    <x v="15"/>
    <n v="4.63"/>
    <n v="1689.95"/>
    <n v="6083.82"/>
  </r>
  <r>
    <x v="0"/>
    <x v="0"/>
    <x v="0"/>
    <x v="0"/>
    <x v="0"/>
    <s v="DK1_Rural"/>
    <x v="2"/>
    <x v="1"/>
    <s v="GNR_ENG_NGAS_BP_E-34"/>
    <x v="0"/>
    <x v="16"/>
    <n v="4.63"/>
    <n v="1689.95"/>
    <n v="6083.82"/>
  </r>
  <r>
    <x v="0"/>
    <x v="0"/>
    <x v="0"/>
    <x v="0"/>
    <x v="0"/>
    <s v="DK1_Rural"/>
    <x v="2"/>
    <x v="1"/>
    <s v="GNR_ENG_NGAS_BP_E-34"/>
    <x v="0"/>
    <x v="17"/>
    <n v="4.63"/>
    <n v="1689.95"/>
    <n v="6083.82"/>
  </r>
  <r>
    <x v="0"/>
    <x v="0"/>
    <x v="0"/>
    <x v="0"/>
    <x v="0"/>
    <s v="DK1_Rural"/>
    <x v="2"/>
    <x v="1"/>
    <s v="GNR_ENG_NGAS_BP_E-34"/>
    <x v="0"/>
    <x v="18"/>
    <n v="4.63"/>
    <n v="1689.95"/>
    <n v="6083.82"/>
  </r>
  <r>
    <x v="0"/>
    <x v="0"/>
    <x v="0"/>
    <x v="0"/>
    <x v="0"/>
    <s v="DK1_Rural"/>
    <x v="2"/>
    <x v="1"/>
    <s v="GNR_ENG_NGAS_BP_E-36"/>
    <x v="0"/>
    <x v="8"/>
    <n v="22.21"/>
    <n v="8106.65"/>
    <n v="29183.94"/>
  </r>
  <r>
    <x v="0"/>
    <x v="0"/>
    <x v="0"/>
    <x v="0"/>
    <x v="0"/>
    <s v="DK1_Rural"/>
    <x v="2"/>
    <x v="1"/>
    <s v="GNR_ENG_NGAS_BP_E-36"/>
    <x v="0"/>
    <x v="0"/>
    <n v="22.21"/>
    <n v="8106.65"/>
    <n v="29183.94"/>
  </r>
  <r>
    <x v="0"/>
    <x v="0"/>
    <x v="0"/>
    <x v="0"/>
    <x v="0"/>
    <s v="DK1_Rural"/>
    <x v="2"/>
    <x v="1"/>
    <s v="GNR_ENG_NGAS_BP_E-36"/>
    <x v="0"/>
    <x v="1"/>
    <n v="22.21"/>
    <n v="8106.65"/>
    <n v="29183.94"/>
  </r>
  <r>
    <x v="0"/>
    <x v="0"/>
    <x v="0"/>
    <x v="0"/>
    <x v="0"/>
    <s v="DK1_Rural"/>
    <x v="2"/>
    <x v="1"/>
    <s v="GNR_ENG_NGAS_BP_E-36"/>
    <x v="0"/>
    <x v="2"/>
    <n v="22.21"/>
    <n v="8106.65"/>
    <n v="29183.94"/>
  </r>
  <r>
    <x v="0"/>
    <x v="0"/>
    <x v="0"/>
    <x v="0"/>
    <x v="0"/>
    <s v="DK1_Rural"/>
    <x v="2"/>
    <x v="1"/>
    <s v="GNR_ENG_NGAS_BP_E-36"/>
    <x v="0"/>
    <x v="9"/>
    <n v="22.21"/>
    <n v="8106.65"/>
    <n v="29183.94"/>
  </r>
  <r>
    <x v="0"/>
    <x v="0"/>
    <x v="0"/>
    <x v="0"/>
    <x v="0"/>
    <s v="DK1_Rural"/>
    <x v="2"/>
    <x v="1"/>
    <s v="GNR_ENG_NGAS_BP_E-36"/>
    <x v="0"/>
    <x v="10"/>
    <n v="22.21"/>
    <n v="8106.65"/>
    <n v="29183.94"/>
  </r>
  <r>
    <x v="0"/>
    <x v="0"/>
    <x v="0"/>
    <x v="0"/>
    <x v="0"/>
    <s v="DK1_Rural"/>
    <x v="2"/>
    <x v="1"/>
    <s v="GNR_ENG_NGAS_BP_E-36"/>
    <x v="0"/>
    <x v="11"/>
    <n v="22.21"/>
    <n v="8106.65"/>
    <n v="29183.94"/>
  </r>
  <r>
    <x v="0"/>
    <x v="0"/>
    <x v="0"/>
    <x v="0"/>
    <x v="0"/>
    <s v="DK1_Rural"/>
    <x v="2"/>
    <x v="1"/>
    <s v="GNR_ENG_NGAS_BP_E-36"/>
    <x v="0"/>
    <x v="12"/>
    <n v="22.21"/>
    <n v="8106.65"/>
    <n v="29183.94"/>
  </r>
  <r>
    <x v="0"/>
    <x v="0"/>
    <x v="0"/>
    <x v="0"/>
    <x v="0"/>
    <s v="DK1_Rural"/>
    <x v="2"/>
    <x v="1"/>
    <s v="GNR_ENG_NGAS_BP_E-36"/>
    <x v="0"/>
    <x v="13"/>
    <n v="22.21"/>
    <n v="8106.65"/>
    <n v="29183.94"/>
  </r>
  <r>
    <x v="0"/>
    <x v="0"/>
    <x v="0"/>
    <x v="0"/>
    <x v="0"/>
    <s v="DK1_Rural"/>
    <x v="2"/>
    <x v="1"/>
    <s v="GNR_ENG_NGAS_BP_E-36"/>
    <x v="0"/>
    <x v="14"/>
    <n v="22.21"/>
    <n v="8106.65"/>
    <n v="29183.94"/>
  </r>
  <r>
    <x v="0"/>
    <x v="0"/>
    <x v="0"/>
    <x v="0"/>
    <x v="0"/>
    <s v="DK1_Rural"/>
    <x v="2"/>
    <x v="1"/>
    <s v="GNR_ENG_NGAS_BP_E-36"/>
    <x v="0"/>
    <x v="15"/>
    <n v="22.21"/>
    <n v="8106.65"/>
    <n v="29183.94"/>
  </r>
  <r>
    <x v="0"/>
    <x v="0"/>
    <x v="0"/>
    <x v="0"/>
    <x v="0"/>
    <s v="DK1_Rural"/>
    <x v="2"/>
    <x v="1"/>
    <s v="GNR_ENG_NGAS_BP_E-36"/>
    <x v="0"/>
    <x v="16"/>
    <n v="22.21"/>
    <n v="8106.65"/>
    <n v="29183.94"/>
  </r>
  <r>
    <x v="0"/>
    <x v="0"/>
    <x v="0"/>
    <x v="0"/>
    <x v="0"/>
    <s v="DK1_Rural"/>
    <x v="2"/>
    <x v="1"/>
    <s v="GNR_ENG_NGAS_BP_E-36"/>
    <x v="0"/>
    <x v="17"/>
    <n v="22.21"/>
    <n v="8106.65"/>
    <n v="29183.94"/>
  </r>
  <r>
    <x v="0"/>
    <x v="0"/>
    <x v="0"/>
    <x v="0"/>
    <x v="0"/>
    <s v="DK1_Rural"/>
    <x v="2"/>
    <x v="1"/>
    <s v="GNR_ENG_NGAS_BP_E-36"/>
    <x v="0"/>
    <x v="18"/>
    <n v="22.21"/>
    <n v="8106.65"/>
    <n v="29183.94"/>
  </r>
  <r>
    <x v="0"/>
    <x v="0"/>
    <x v="0"/>
    <x v="0"/>
    <x v="0"/>
    <s v="DK1_Rural"/>
    <x v="2"/>
    <x v="1"/>
    <s v="GNR_ENG_NGAS_BP_E-37"/>
    <x v="0"/>
    <x v="8"/>
    <n v="23.21"/>
    <n v="8471.65"/>
    <n v="30497.94"/>
  </r>
  <r>
    <x v="0"/>
    <x v="0"/>
    <x v="0"/>
    <x v="0"/>
    <x v="0"/>
    <s v="DK1_Rural"/>
    <x v="2"/>
    <x v="1"/>
    <s v="GNR_ENG_NGAS_BP_E-37"/>
    <x v="0"/>
    <x v="0"/>
    <n v="23.21"/>
    <n v="8471.65"/>
    <n v="30497.94"/>
  </r>
  <r>
    <x v="0"/>
    <x v="0"/>
    <x v="0"/>
    <x v="0"/>
    <x v="0"/>
    <s v="DK1_Rural"/>
    <x v="2"/>
    <x v="1"/>
    <s v="GNR_ENG_NGAS_BP_E-37"/>
    <x v="0"/>
    <x v="1"/>
    <n v="23.21"/>
    <n v="8471.65"/>
    <n v="30497.94"/>
  </r>
  <r>
    <x v="0"/>
    <x v="0"/>
    <x v="0"/>
    <x v="0"/>
    <x v="0"/>
    <s v="DK1_Rural"/>
    <x v="2"/>
    <x v="1"/>
    <s v="GNR_ENG_NGAS_BP_E-37"/>
    <x v="0"/>
    <x v="2"/>
    <n v="23.21"/>
    <n v="8471.65"/>
    <n v="30497.94"/>
  </r>
  <r>
    <x v="0"/>
    <x v="0"/>
    <x v="0"/>
    <x v="0"/>
    <x v="0"/>
    <s v="DK1_Rural"/>
    <x v="2"/>
    <x v="1"/>
    <s v="GNR_ENG_NGAS_BP_E-37"/>
    <x v="0"/>
    <x v="9"/>
    <n v="23.21"/>
    <n v="8471.65"/>
    <n v="30497.94"/>
  </r>
  <r>
    <x v="0"/>
    <x v="0"/>
    <x v="0"/>
    <x v="0"/>
    <x v="0"/>
    <s v="DK1_Rural"/>
    <x v="2"/>
    <x v="1"/>
    <s v="GNR_ENG_NGAS_BP_E-37"/>
    <x v="0"/>
    <x v="10"/>
    <n v="23.21"/>
    <n v="8471.65"/>
    <n v="30497.94"/>
  </r>
  <r>
    <x v="0"/>
    <x v="0"/>
    <x v="0"/>
    <x v="0"/>
    <x v="0"/>
    <s v="DK1_Rural"/>
    <x v="2"/>
    <x v="1"/>
    <s v="GNR_ENG_NGAS_BP_E-37"/>
    <x v="0"/>
    <x v="11"/>
    <n v="23.21"/>
    <n v="8471.65"/>
    <n v="30497.94"/>
  </r>
  <r>
    <x v="0"/>
    <x v="0"/>
    <x v="0"/>
    <x v="0"/>
    <x v="0"/>
    <s v="DK1_Rural"/>
    <x v="2"/>
    <x v="1"/>
    <s v="GNR_ENG_NGAS_BP_E-37"/>
    <x v="0"/>
    <x v="12"/>
    <n v="23.21"/>
    <n v="8471.65"/>
    <n v="30497.94"/>
  </r>
  <r>
    <x v="0"/>
    <x v="0"/>
    <x v="0"/>
    <x v="0"/>
    <x v="0"/>
    <s v="DK1_Rural"/>
    <x v="2"/>
    <x v="1"/>
    <s v="GNR_ENG_NGAS_BP_E-37"/>
    <x v="0"/>
    <x v="13"/>
    <n v="23.21"/>
    <n v="8471.65"/>
    <n v="30497.94"/>
  </r>
  <r>
    <x v="0"/>
    <x v="0"/>
    <x v="0"/>
    <x v="0"/>
    <x v="0"/>
    <s v="DK1_Rural"/>
    <x v="2"/>
    <x v="1"/>
    <s v="GNR_ENG_NGAS_BP_E-37"/>
    <x v="0"/>
    <x v="14"/>
    <n v="23.21"/>
    <n v="8471.65"/>
    <n v="30497.94"/>
  </r>
  <r>
    <x v="0"/>
    <x v="0"/>
    <x v="0"/>
    <x v="0"/>
    <x v="0"/>
    <s v="DK1_Rural"/>
    <x v="2"/>
    <x v="1"/>
    <s v="GNR_ENG_NGAS_BP_E-37"/>
    <x v="0"/>
    <x v="15"/>
    <n v="23.21"/>
    <n v="8471.65"/>
    <n v="30497.94"/>
  </r>
  <r>
    <x v="0"/>
    <x v="0"/>
    <x v="0"/>
    <x v="0"/>
    <x v="0"/>
    <s v="DK1_Rural"/>
    <x v="2"/>
    <x v="1"/>
    <s v="GNR_ENG_NGAS_BP_E-37"/>
    <x v="0"/>
    <x v="16"/>
    <n v="23.21"/>
    <n v="8471.65"/>
    <n v="30497.94"/>
  </r>
  <r>
    <x v="0"/>
    <x v="0"/>
    <x v="0"/>
    <x v="0"/>
    <x v="0"/>
    <s v="DK1_Rural"/>
    <x v="2"/>
    <x v="1"/>
    <s v="GNR_ENG_NGAS_BP_E-37"/>
    <x v="0"/>
    <x v="17"/>
    <n v="23.21"/>
    <n v="8471.65"/>
    <n v="30497.94"/>
  </r>
  <r>
    <x v="0"/>
    <x v="0"/>
    <x v="0"/>
    <x v="0"/>
    <x v="0"/>
    <s v="DK1_Rural"/>
    <x v="2"/>
    <x v="1"/>
    <s v="GNR_ENG_NGAS_BP_E-37"/>
    <x v="0"/>
    <x v="18"/>
    <n v="23.21"/>
    <n v="8471.65"/>
    <n v="30497.94"/>
  </r>
  <r>
    <x v="0"/>
    <x v="0"/>
    <x v="0"/>
    <x v="0"/>
    <x v="0"/>
    <s v="DK1_Rural"/>
    <x v="2"/>
    <x v="1"/>
    <s v="GNR_ENG_NGAS_BP_E-38"/>
    <x v="0"/>
    <x v="3"/>
    <n v="43.416047851204901"/>
    <n v="15846.8574656898"/>
    <n v="57048.686876483203"/>
  </r>
  <r>
    <x v="0"/>
    <x v="0"/>
    <x v="0"/>
    <x v="0"/>
    <x v="0"/>
    <s v="DK1_Rural"/>
    <x v="2"/>
    <x v="1"/>
    <s v="GNR_ENG_NGAS_BP_E-38"/>
    <x v="0"/>
    <x v="4"/>
    <n v="39.663875899100503"/>
    <n v="14477.3147031717"/>
    <n v="52118.332931418103"/>
  </r>
  <r>
    <x v="0"/>
    <x v="0"/>
    <x v="0"/>
    <x v="0"/>
    <x v="0"/>
    <s v="DK1_Rural"/>
    <x v="2"/>
    <x v="1"/>
    <s v="GNR_ENG_NGAS_BP_E-38"/>
    <x v="0"/>
    <x v="5"/>
    <n v="36.2528104880966"/>
    <n v="13232.2758281553"/>
    <n v="47636.192981359003"/>
  </r>
  <r>
    <x v="0"/>
    <x v="0"/>
    <x v="0"/>
    <x v="0"/>
    <x v="0"/>
    <s v="DK1_Rural"/>
    <x v="2"/>
    <x v="1"/>
    <s v="GNR_ENG_NGAS_BP_E-38"/>
    <x v="0"/>
    <x v="6"/>
    <n v="41.369408604602597"/>
    <n v="15099.834140679901"/>
    <n v="54359.402906447802"/>
  </r>
  <r>
    <x v="0"/>
    <x v="0"/>
    <x v="0"/>
    <x v="0"/>
    <x v="0"/>
    <s v="DK1_Rural"/>
    <x v="2"/>
    <x v="1"/>
    <s v="GNR_ENG_NGAS_BP_E-38"/>
    <x v="0"/>
    <x v="7"/>
    <n v="46.79"/>
    <n v="17078.349999999999"/>
    <n v="61482.06"/>
  </r>
  <r>
    <x v="0"/>
    <x v="0"/>
    <x v="0"/>
    <x v="0"/>
    <x v="0"/>
    <s v="DK1_Rural"/>
    <x v="2"/>
    <x v="1"/>
    <s v="GNR_ENG_NGAS_BP_E-38"/>
    <x v="0"/>
    <x v="8"/>
    <n v="46.79"/>
    <n v="17078.349999999999"/>
    <n v="61482.06"/>
  </r>
  <r>
    <x v="0"/>
    <x v="0"/>
    <x v="0"/>
    <x v="0"/>
    <x v="0"/>
    <s v="DK1_Rural"/>
    <x v="2"/>
    <x v="1"/>
    <s v="GNR_ENG_NGAS_BP_E-38"/>
    <x v="0"/>
    <x v="0"/>
    <n v="46.79"/>
    <n v="17078.349999999999"/>
    <n v="61482.06"/>
  </r>
  <r>
    <x v="0"/>
    <x v="0"/>
    <x v="0"/>
    <x v="0"/>
    <x v="0"/>
    <s v="DK1_Rural"/>
    <x v="2"/>
    <x v="1"/>
    <s v="GNR_ENG_NGAS_BP_E-38"/>
    <x v="0"/>
    <x v="1"/>
    <n v="46.79"/>
    <n v="17078.349999999999"/>
    <n v="61482.06"/>
  </r>
  <r>
    <x v="0"/>
    <x v="0"/>
    <x v="0"/>
    <x v="0"/>
    <x v="0"/>
    <s v="DK1_Rural"/>
    <x v="2"/>
    <x v="1"/>
    <s v="GNR_ENG_NGAS_BP_E-38"/>
    <x v="0"/>
    <x v="2"/>
    <n v="46.79"/>
    <n v="17078.349999999999"/>
    <n v="61482.06"/>
  </r>
  <r>
    <x v="0"/>
    <x v="0"/>
    <x v="0"/>
    <x v="0"/>
    <x v="0"/>
    <s v="DK1_Rural"/>
    <x v="2"/>
    <x v="1"/>
    <s v="GNR_ENG_NGAS_BP_E-38"/>
    <x v="0"/>
    <x v="9"/>
    <n v="46.79"/>
    <n v="17078.349999999999"/>
    <n v="61482.06"/>
  </r>
  <r>
    <x v="0"/>
    <x v="0"/>
    <x v="0"/>
    <x v="0"/>
    <x v="0"/>
    <s v="DK1_Rural"/>
    <x v="2"/>
    <x v="1"/>
    <s v="GNR_ENG_NGAS_BP_E-38"/>
    <x v="0"/>
    <x v="10"/>
    <n v="46.79"/>
    <n v="17078.349999999999"/>
    <n v="61482.06"/>
  </r>
  <r>
    <x v="0"/>
    <x v="0"/>
    <x v="0"/>
    <x v="0"/>
    <x v="0"/>
    <s v="DK1_Rural"/>
    <x v="2"/>
    <x v="1"/>
    <s v="GNR_ENG_NGAS_BP_E-38"/>
    <x v="0"/>
    <x v="11"/>
    <n v="46.79"/>
    <n v="17078.349999999999"/>
    <n v="61482.06"/>
  </r>
  <r>
    <x v="0"/>
    <x v="0"/>
    <x v="0"/>
    <x v="0"/>
    <x v="0"/>
    <s v="DK1_Rural"/>
    <x v="2"/>
    <x v="1"/>
    <s v="GNR_ENG_NGAS_BP_E-38"/>
    <x v="0"/>
    <x v="12"/>
    <n v="46.79"/>
    <n v="17078.349999999999"/>
    <n v="61482.06"/>
  </r>
  <r>
    <x v="0"/>
    <x v="0"/>
    <x v="0"/>
    <x v="0"/>
    <x v="0"/>
    <s v="DK1_Rural"/>
    <x v="2"/>
    <x v="1"/>
    <s v="GNR_ENG_NGAS_BP_E-38"/>
    <x v="0"/>
    <x v="13"/>
    <n v="46.79"/>
    <n v="17078.349999999999"/>
    <n v="61482.06"/>
  </r>
  <r>
    <x v="0"/>
    <x v="0"/>
    <x v="0"/>
    <x v="0"/>
    <x v="0"/>
    <s v="DK1_Rural"/>
    <x v="2"/>
    <x v="1"/>
    <s v="GNR_ENG_NGAS_BP_E-38"/>
    <x v="0"/>
    <x v="14"/>
    <n v="46.79"/>
    <n v="17078.349999999999"/>
    <n v="61482.06"/>
  </r>
  <r>
    <x v="0"/>
    <x v="0"/>
    <x v="0"/>
    <x v="0"/>
    <x v="0"/>
    <s v="DK1_Rural"/>
    <x v="2"/>
    <x v="1"/>
    <s v="GNR_ENG_NGAS_BP_E-38"/>
    <x v="0"/>
    <x v="15"/>
    <n v="46.79"/>
    <n v="17078.349999999999"/>
    <n v="61482.06"/>
  </r>
  <r>
    <x v="0"/>
    <x v="0"/>
    <x v="0"/>
    <x v="0"/>
    <x v="0"/>
    <s v="DK1_Rural"/>
    <x v="2"/>
    <x v="1"/>
    <s v="GNR_ENG_NGAS_BP_E-38"/>
    <x v="0"/>
    <x v="16"/>
    <n v="46.79"/>
    <n v="17078.349999999999"/>
    <n v="61482.06"/>
  </r>
  <r>
    <x v="0"/>
    <x v="0"/>
    <x v="0"/>
    <x v="0"/>
    <x v="0"/>
    <s v="DK1_Rural"/>
    <x v="2"/>
    <x v="1"/>
    <s v="GNR_ENG_NGAS_BP_E-38"/>
    <x v="0"/>
    <x v="17"/>
    <n v="46.79"/>
    <n v="17078.349999999999"/>
    <n v="61482.06"/>
  </r>
  <r>
    <x v="0"/>
    <x v="0"/>
    <x v="0"/>
    <x v="0"/>
    <x v="0"/>
    <s v="DK1_Rural"/>
    <x v="2"/>
    <x v="1"/>
    <s v="GNR_ENG_NGAS_BP_E-38"/>
    <x v="0"/>
    <x v="18"/>
    <n v="46.79"/>
    <n v="17078.349999999999"/>
    <n v="61482.06"/>
  </r>
  <r>
    <x v="0"/>
    <x v="0"/>
    <x v="0"/>
    <x v="0"/>
    <x v="0"/>
    <s v="DK1_Rural"/>
    <x v="2"/>
    <x v="1"/>
    <s v="GNR_ENG_NGAS_BP_E-38"/>
    <x v="0"/>
    <x v="19"/>
    <n v="46.79"/>
    <n v="17078.349999999999"/>
    <n v="61482.06"/>
  </r>
  <r>
    <x v="0"/>
    <x v="0"/>
    <x v="0"/>
    <x v="0"/>
    <x v="0"/>
    <s v="DK1_Rural"/>
    <x v="2"/>
    <x v="1"/>
    <s v="GNR_ENG_NGAS_BP_E-38"/>
    <x v="0"/>
    <x v="20"/>
    <n v="46.79"/>
    <n v="17078.349999999999"/>
    <n v="61482.06"/>
  </r>
  <r>
    <x v="0"/>
    <x v="0"/>
    <x v="0"/>
    <x v="0"/>
    <x v="0"/>
    <s v="DK1_Rural"/>
    <x v="2"/>
    <x v="1"/>
    <s v="GNR_ENG_NGAS_BP_E-39"/>
    <x v="0"/>
    <x v="3"/>
    <n v="56.18"/>
    <n v="20505.7"/>
    <n v="73820.52"/>
  </r>
  <r>
    <x v="0"/>
    <x v="0"/>
    <x v="0"/>
    <x v="0"/>
    <x v="0"/>
    <s v="DK1_Rural"/>
    <x v="2"/>
    <x v="1"/>
    <s v="GNR_ENG_NGAS_BP_E-39"/>
    <x v="0"/>
    <x v="4"/>
    <n v="56.18"/>
    <n v="20505.7"/>
    <n v="73820.52"/>
  </r>
  <r>
    <x v="0"/>
    <x v="0"/>
    <x v="0"/>
    <x v="0"/>
    <x v="0"/>
    <s v="DK1_Rural"/>
    <x v="2"/>
    <x v="1"/>
    <s v="GNR_ENG_NGAS_BP_E-39"/>
    <x v="0"/>
    <x v="5"/>
    <n v="56.18"/>
    <n v="20505.7"/>
    <n v="73820.52"/>
  </r>
  <r>
    <x v="0"/>
    <x v="0"/>
    <x v="0"/>
    <x v="0"/>
    <x v="0"/>
    <s v="DK1_Rural"/>
    <x v="2"/>
    <x v="1"/>
    <s v="GNR_ENG_NGAS_BP_E-39"/>
    <x v="0"/>
    <x v="6"/>
    <n v="56.18"/>
    <n v="20505.7"/>
    <n v="73820.52"/>
  </r>
  <r>
    <x v="0"/>
    <x v="0"/>
    <x v="0"/>
    <x v="0"/>
    <x v="0"/>
    <s v="DK1_Rural"/>
    <x v="2"/>
    <x v="1"/>
    <s v="GNR_ENG_NGAS_BP_E-39"/>
    <x v="0"/>
    <x v="7"/>
    <n v="56.18"/>
    <n v="20505.7"/>
    <n v="73820.52"/>
  </r>
  <r>
    <x v="0"/>
    <x v="0"/>
    <x v="0"/>
    <x v="0"/>
    <x v="0"/>
    <s v="DK1_Rural"/>
    <x v="2"/>
    <x v="1"/>
    <s v="GNR_ENG_NGAS_BP_E-39"/>
    <x v="0"/>
    <x v="8"/>
    <n v="56.18"/>
    <n v="20505.7"/>
    <n v="73820.52"/>
  </r>
  <r>
    <x v="0"/>
    <x v="0"/>
    <x v="0"/>
    <x v="0"/>
    <x v="0"/>
    <s v="DK1_Rural"/>
    <x v="2"/>
    <x v="1"/>
    <s v="GNR_ENG_NGAS_BP_E-39"/>
    <x v="0"/>
    <x v="0"/>
    <n v="56.18"/>
    <n v="20505.7"/>
    <n v="73820.52"/>
  </r>
  <r>
    <x v="0"/>
    <x v="0"/>
    <x v="0"/>
    <x v="0"/>
    <x v="0"/>
    <s v="DK1_Rural"/>
    <x v="2"/>
    <x v="1"/>
    <s v="GNR_ENG_NGAS_BP_E-39"/>
    <x v="0"/>
    <x v="1"/>
    <n v="56.18"/>
    <n v="20505.7"/>
    <n v="73820.52"/>
  </r>
  <r>
    <x v="0"/>
    <x v="0"/>
    <x v="0"/>
    <x v="0"/>
    <x v="0"/>
    <s v="DK1_Rural"/>
    <x v="2"/>
    <x v="1"/>
    <s v="GNR_ENG_NGAS_BP_E-39"/>
    <x v="0"/>
    <x v="2"/>
    <n v="56.18"/>
    <n v="20505.7"/>
    <n v="73820.52"/>
  </r>
  <r>
    <x v="0"/>
    <x v="0"/>
    <x v="0"/>
    <x v="0"/>
    <x v="0"/>
    <s v="DK1_Rural"/>
    <x v="2"/>
    <x v="1"/>
    <s v="GNR_ENG_NGAS_BP_E-39"/>
    <x v="0"/>
    <x v="9"/>
    <n v="56.18"/>
    <n v="20505.7"/>
    <n v="73820.52"/>
  </r>
  <r>
    <x v="0"/>
    <x v="0"/>
    <x v="0"/>
    <x v="0"/>
    <x v="0"/>
    <s v="DK1_Rural"/>
    <x v="2"/>
    <x v="1"/>
    <s v="GNR_ENG_NGAS_BP_E-39"/>
    <x v="0"/>
    <x v="10"/>
    <n v="56.18"/>
    <n v="20505.7"/>
    <n v="73820.52"/>
  </r>
  <r>
    <x v="0"/>
    <x v="0"/>
    <x v="0"/>
    <x v="0"/>
    <x v="0"/>
    <s v="DK1_Rural"/>
    <x v="2"/>
    <x v="1"/>
    <s v="GNR_ENG_NGAS_BP_E-39"/>
    <x v="0"/>
    <x v="11"/>
    <n v="56.18"/>
    <n v="20505.7"/>
    <n v="73820.52"/>
  </r>
  <r>
    <x v="0"/>
    <x v="0"/>
    <x v="0"/>
    <x v="0"/>
    <x v="0"/>
    <s v="DK1_Rural"/>
    <x v="2"/>
    <x v="1"/>
    <s v="GNR_ENG_NGAS_BP_E-39"/>
    <x v="0"/>
    <x v="12"/>
    <n v="56.18"/>
    <n v="20505.7"/>
    <n v="73820.52"/>
  </r>
  <r>
    <x v="0"/>
    <x v="0"/>
    <x v="0"/>
    <x v="0"/>
    <x v="0"/>
    <s v="DK1_Rural"/>
    <x v="2"/>
    <x v="1"/>
    <s v="GNR_ENG_NGAS_BP_E-39"/>
    <x v="0"/>
    <x v="13"/>
    <n v="56.18"/>
    <n v="20505.7"/>
    <n v="73820.52"/>
  </r>
  <r>
    <x v="0"/>
    <x v="0"/>
    <x v="0"/>
    <x v="0"/>
    <x v="0"/>
    <s v="DK1_Rural"/>
    <x v="2"/>
    <x v="1"/>
    <s v="GNR_ENG_NGAS_BP_E-39"/>
    <x v="0"/>
    <x v="14"/>
    <n v="56.18"/>
    <n v="20505.7"/>
    <n v="73820.52"/>
  </r>
  <r>
    <x v="0"/>
    <x v="0"/>
    <x v="0"/>
    <x v="0"/>
    <x v="0"/>
    <s v="DK1_Rural"/>
    <x v="2"/>
    <x v="1"/>
    <s v="GNR_ENG_NGAS_BP_E-39"/>
    <x v="0"/>
    <x v="15"/>
    <n v="56.18"/>
    <n v="20505.7"/>
    <n v="73820.52"/>
  </r>
  <r>
    <x v="0"/>
    <x v="0"/>
    <x v="0"/>
    <x v="0"/>
    <x v="0"/>
    <s v="DK1_Rural"/>
    <x v="2"/>
    <x v="1"/>
    <s v="GNR_ENG_NGAS_BP_E-39"/>
    <x v="0"/>
    <x v="16"/>
    <n v="56.18"/>
    <n v="20505.7"/>
    <n v="73820.52"/>
  </r>
  <r>
    <x v="0"/>
    <x v="0"/>
    <x v="0"/>
    <x v="0"/>
    <x v="0"/>
    <s v="DK1_Rural"/>
    <x v="2"/>
    <x v="1"/>
    <s v="GNR_ENG_NGAS_BP_E-39"/>
    <x v="0"/>
    <x v="17"/>
    <n v="56.18"/>
    <n v="20505.7"/>
    <n v="73820.52"/>
  </r>
  <r>
    <x v="0"/>
    <x v="0"/>
    <x v="0"/>
    <x v="0"/>
    <x v="0"/>
    <s v="DK1_Rural"/>
    <x v="2"/>
    <x v="1"/>
    <s v="GNR_ENG_NGAS_BP_E-39"/>
    <x v="0"/>
    <x v="18"/>
    <n v="56.18"/>
    <n v="20505.7"/>
    <n v="73820.52"/>
  </r>
  <r>
    <x v="0"/>
    <x v="0"/>
    <x v="0"/>
    <x v="0"/>
    <x v="0"/>
    <s v="DK1_Rural"/>
    <x v="2"/>
    <x v="1"/>
    <s v="GNR_ENG_NGAS_BP_E-39"/>
    <x v="0"/>
    <x v="19"/>
    <n v="56.18"/>
    <n v="20505.7"/>
    <n v="73820.52"/>
  </r>
  <r>
    <x v="0"/>
    <x v="0"/>
    <x v="0"/>
    <x v="0"/>
    <x v="0"/>
    <s v="DK1_Rural"/>
    <x v="2"/>
    <x v="1"/>
    <s v="GNR_ENG_NGAS_BP_E-39"/>
    <x v="0"/>
    <x v="20"/>
    <n v="56.18"/>
    <n v="20505.7"/>
    <n v="73820.52"/>
  </r>
  <r>
    <x v="0"/>
    <x v="0"/>
    <x v="0"/>
    <x v="0"/>
    <x v="0"/>
    <s v="DK1_Rural"/>
    <x v="2"/>
    <x v="1"/>
    <s v="GNR_ENG_NGAS_BP_E-40"/>
    <x v="0"/>
    <x v="3"/>
    <n v="70.569999999999993"/>
    <n v="25758.05"/>
    <n v="92728.98"/>
  </r>
  <r>
    <x v="0"/>
    <x v="0"/>
    <x v="0"/>
    <x v="0"/>
    <x v="0"/>
    <s v="DK1_Rural"/>
    <x v="2"/>
    <x v="1"/>
    <s v="GNR_ENG_NGAS_BP_E-40"/>
    <x v="0"/>
    <x v="4"/>
    <n v="70.569999999999993"/>
    <n v="25758.05"/>
    <n v="92728.98"/>
  </r>
  <r>
    <x v="0"/>
    <x v="0"/>
    <x v="0"/>
    <x v="0"/>
    <x v="0"/>
    <s v="DK1_Rural"/>
    <x v="2"/>
    <x v="1"/>
    <s v="GNR_ENG_NGAS_BP_E-40"/>
    <x v="0"/>
    <x v="5"/>
    <n v="70.569999999999993"/>
    <n v="25758.05"/>
    <n v="92728.98"/>
  </r>
  <r>
    <x v="0"/>
    <x v="0"/>
    <x v="0"/>
    <x v="0"/>
    <x v="0"/>
    <s v="DK1_Rural"/>
    <x v="2"/>
    <x v="1"/>
    <s v="GNR_ENG_NGAS_BP_E-40"/>
    <x v="0"/>
    <x v="6"/>
    <n v="70.569999999999993"/>
    <n v="25758.05"/>
    <n v="92728.98"/>
  </r>
  <r>
    <x v="0"/>
    <x v="0"/>
    <x v="0"/>
    <x v="0"/>
    <x v="0"/>
    <s v="DK1_Rural"/>
    <x v="2"/>
    <x v="1"/>
    <s v="GNR_ENG_NGAS_BP_E-40"/>
    <x v="0"/>
    <x v="7"/>
    <n v="70.569999999999993"/>
    <n v="25758.05"/>
    <n v="92728.98"/>
  </r>
  <r>
    <x v="0"/>
    <x v="0"/>
    <x v="0"/>
    <x v="0"/>
    <x v="0"/>
    <s v="DK1_Rural"/>
    <x v="2"/>
    <x v="1"/>
    <s v="GNR_ENG_NGAS_BP_E-40"/>
    <x v="0"/>
    <x v="8"/>
    <n v="70.569999999999993"/>
    <n v="25758.05"/>
    <n v="92728.98"/>
  </r>
  <r>
    <x v="0"/>
    <x v="0"/>
    <x v="0"/>
    <x v="0"/>
    <x v="0"/>
    <s v="DK1_Rural"/>
    <x v="2"/>
    <x v="1"/>
    <s v="GNR_ENG_NGAS_BP_E-40"/>
    <x v="0"/>
    <x v="0"/>
    <n v="70.569999999999993"/>
    <n v="25758.05"/>
    <n v="92728.98"/>
  </r>
  <r>
    <x v="0"/>
    <x v="0"/>
    <x v="0"/>
    <x v="0"/>
    <x v="0"/>
    <s v="DK1_Rural"/>
    <x v="2"/>
    <x v="1"/>
    <s v="GNR_ENG_NGAS_BP_E-40"/>
    <x v="0"/>
    <x v="1"/>
    <n v="70.569999999999993"/>
    <n v="25758.05"/>
    <n v="92728.98"/>
  </r>
  <r>
    <x v="0"/>
    <x v="0"/>
    <x v="0"/>
    <x v="0"/>
    <x v="0"/>
    <s v="DK1_Rural"/>
    <x v="2"/>
    <x v="1"/>
    <s v="GNR_ENG_NGAS_BP_E-40"/>
    <x v="0"/>
    <x v="2"/>
    <n v="70.569999999999993"/>
    <n v="25758.05"/>
    <n v="92728.98"/>
  </r>
  <r>
    <x v="0"/>
    <x v="0"/>
    <x v="0"/>
    <x v="0"/>
    <x v="0"/>
    <s v="DK1_Rural"/>
    <x v="2"/>
    <x v="1"/>
    <s v="GNR_ENG_NGAS_BP_E-40"/>
    <x v="0"/>
    <x v="9"/>
    <n v="70.569999999999993"/>
    <n v="25758.05"/>
    <n v="92728.98"/>
  </r>
  <r>
    <x v="0"/>
    <x v="0"/>
    <x v="0"/>
    <x v="0"/>
    <x v="0"/>
    <s v="DK1_Rural"/>
    <x v="2"/>
    <x v="1"/>
    <s v="GNR_ENG_NGAS_BP_E-40"/>
    <x v="0"/>
    <x v="10"/>
    <n v="70.569999999999993"/>
    <n v="25758.05"/>
    <n v="92728.98"/>
  </r>
  <r>
    <x v="0"/>
    <x v="0"/>
    <x v="0"/>
    <x v="0"/>
    <x v="0"/>
    <s v="DK1_Rural"/>
    <x v="2"/>
    <x v="1"/>
    <s v="GNR_ENG_NGAS_BP_E-40"/>
    <x v="0"/>
    <x v="11"/>
    <n v="70.569999999999993"/>
    <n v="25758.05"/>
    <n v="92728.98"/>
  </r>
  <r>
    <x v="0"/>
    <x v="0"/>
    <x v="0"/>
    <x v="0"/>
    <x v="0"/>
    <s v="DK1_Rural"/>
    <x v="2"/>
    <x v="1"/>
    <s v="GNR_ENG_NGAS_BP_E-40"/>
    <x v="0"/>
    <x v="12"/>
    <n v="70.569999999999993"/>
    <n v="25758.05"/>
    <n v="92728.98"/>
  </r>
  <r>
    <x v="0"/>
    <x v="0"/>
    <x v="0"/>
    <x v="0"/>
    <x v="0"/>
    <s v="DK1_Rural"/>
    <x v="2"/>
    <x v="1"/>
    <s v="GNR_ENG_NGAS_BP_E-40"/>
    <x v="0"/>
    <x v="13"/>
    <n v="70.569999999999993"/>
    <n v="25758.05"/>
    <n v="92728.98"/>
  </r>
  <r>
    <x v="0"/>
    <x v="0"/>
    <x v="0"/>
    <x v="0"/>
    <x v="0"/>
    <s v="DK1_Rural"/>
    <x v="2"/>
    <x v="1"/>
    <s v="GNR_ENG_NGAS_BP_E-40"/>
    <x v="0"/>
    <x v="14"/>
    <n v="70.569999999999993"/>
    <n v="25758.05"/>
    <n v="92728.98"/>
  </r>
  <r>
    <x v="0"/>
    <x v="0"/>
    <x v="0"/>
    <x v="0"/>
    <x v="0"/>
    <s v="DK1_Rural"/>
    <x v="2"/>
    <x v="1"/>
    <s v="GNR_ENG_NGAS_BP_E-40"/>
    <x v="0"/>
    <x v="15"/>
    <n v="70.569999999999993"/>
    <n v="25758.05"/>
    <n v="92728.98"/>
  </r>
  <r>
    <x v="0"/>
    <x v="0"/>
    <x v="0"/>
    <x v="0"/>
    <x v="0"/>
    <s v="DK1_Rural"/>
    <x v="2"/>
    <x v="1"/>
    <s v="GNR_ENG_NGAS_BP_E-40"/>
    <x v="0"/>
    <x v="16"/>
    <n v="70.569999999999993"/>
    <n v="25758.05"/>
    <n v="92728.98"/>
  </r>
  <r>
    <x v="0"/>
    <x v="0"/>
    <x v="0"/>
    <x v="0"/>
    <x v="0"/>
    <s v="DK1_Rural"/>
    <x v="2"/>
    <x v="1"/>
    <s v="GNR_ENG_NGAS_BP_E-40"/>
    <x v="0"/>
    <x v="17"/>
    <n v="70.569999999999993"/>
    <n v="25758.05"/>
    <n v="92728.98"/>
  </r>
  <r>
    <x v="0"/>
    <x v="0"/>
    <x v="0"/>
    <x v="0"/>
    <x v="0"/>
    <s v="DK1_Rural"/>
    <x v="2"/>
    <x v="1"/>
    <s v="GNR_ENG_NGAS_BP_E-40"/>
    <x v="0"/>
    <x v="18"/>
    <n v="70.569999999999993"/>
    <n v="25758.05"/>
    <n v="92728.98"/>
  </r>
  <r>
    <x v="0"/>
    <x v="0"/>
    <x v="0"/>
    <x v="0"/>
    <x v="0"/>
    <s v="DK1_Rural"/>
    <x v="2"/>
    <x v="1"/>
    <s v="GNR_ENG_NGAS_BP_E-40"/>
    <x v="0"/>
    <x v="19"/>
    <n v="70.569999999999993"/>
    <n v="25758.05"/>
    <n v="92728.98"/>
  </r>
  <r>
    <x v="0"/>
    <x v="0"/>
    <x v="0"/>
    <x v="0"/>
    <x v="0"/>
    <s v="DK1_Rural"/>
    <x v="2"/>
    <x v="1"/>
    <s v="GNR_ENG_NGAS_BP_E-40"/>
    <x v="0"/>
    <x v="20"/>
    <n v="70.569999999999993"/>
    <n v="25758.05"/>
    <n v="92728.98"/>
  </r>
  <r>
    <x v="0"/>
    <x v="0"/>
    <x v="0"/>
    <x v="0"/>
    <x v="0"/>
    <s v="DK1_Rural"/>
    <x v="2"/>
    <x v="1"/>
    <s v="GNR_ENG_NGAS_BP_E-40"/>
    <x v="0"/>
    <x v="21"/>
    <n v="70.569999999999993"/>
    <n v="25758.05"/>
    <n v="92728.98"/>
  </r>
  <r>
    <x v="0"/>
    <x v="0"/>
    <x v="0"/>
    <x v="0"/>
    <x v="0"/>
    <s v="DK1_Rural"/>
    <x v="2"/>
    <x v="1"/>
    <s v="GNR_ENG_NGAS_BP_E-40"/>
    <x v="0"/>
    <x v="22"/>
    <n v="70.569999999999993"/>
    <n v="25758.05"/>
    <n v="92728.98"/>
  </r>
  <r>
    <x v="0"/>
    <x v="0"/>
    <x v="0"/>
    <x v="0"/>
    <x v="0"/>
    <s v="DK1_Rural"/>
    <x v="2"/>
    <x v="1"/>
    <s v="GNR_ENG_NGAS_BP_E-41"/>
    <x v="0"/>
    <x v="3"/>
    <n v="105.58"/>
    <n v="38536.699999999997"/>
    <n v="138732.12"/>
  </r>
  <r>
    <x v="0"/>
    <x v="0"/>
    <x v="0"/>
    <x v="0"/>
    <x v="0"/>
    <s v="DK1_Rural"/>
    <x v="2"/>
    <x v="1"/>
    <s v="GNR_ENG_NGAS_BP_E-41"/>
    <x v="0"/>
    <x v="4"/>
    <n v="105.58"/>
    <n v="38536.699999999997"/>
    <n v="138732.12"/>
  </r>
  <r>
    <x v="0"/>
    <x v="0"/>
    <x v="0"/>
    <x v="0"/>
    <x v="0"/>
    <s v="DK1_Rural"/>
    <x v="2"/>
    <x v="1"/>
    <s v="GNR_ENG_NGAS_BP_E-41"/>
    <x v="0"/>
    <x v="5"/>
    <n v="105.58"/>
    <n v="38536.699999999997"/>
    <n v="138732.12"/>
  </r>
  <r>
    <x v="0"/>
    <x v="0"/>
    <x v="0"/>
    <x v="0"/>
    <x v="0"/>
    <s v="DK1_Rural"/>
    <x v="2"/>
    <x v="1"/>
    <s v="GNR_ENG_NGAS_BP_E-41"/>
    <x v="0"/>
    <x v="6"/>
    <n v="105.58"/>
    <n v="38536.699999999997"/>
    <n v="138732.12"/>
  </r>
  <r>
    <x v="0"/>
    <x v="0"/>
    <x v="0"/>
    <x v="0"/>
    <x v="0"/>
    <s v="DK1_Rural"/>
    <x v="2"/>
    <x v="1"/>
    <s v="GNR_ENG_NGAS_BP_E-41"/>
    <x v="0"/>
    <x v="7"/>
    <n v="105.58"/>
    <n v="38536.699999999997"/>
    <n v="138732.12"/>
  </r>
  <r>
    <x v="0"/>
    <x v="0"/>
    <x v="0"/>
    <x v="0"/>
    <x v="0"/>
    <s v="DK1_Rural"/>
    <x v="2"/>
    <x v="1"/>
    <s v="GNR_ENG_NGAS_BP_E-41"/>
    <x v="0"/>
    <x v="8"/>
    <n v="105.58"/>
    <n v="38536.699999999997"/>
    <n v="138732.12"/>
  </r>
  <r>
    <x v="0"/>
    <x v="0"/>
    <x v="0"/>
    <x v="0"/>
    <x v="0"/>
    <s v="DK1_Rural"/>
    <x v="2"/>
    <x v="1"/>
    <s v="GNR_ENG_NGAS_BP_E-41"/>
    <x v="0"/>
    <x v="0"/>
    <n v="105.58"/>
    <n v="38536.699999999997"/>
    <n v="138732.12"/>
  </r>
  <r>
    <x v="0"/>
    <x v="0"/>
    <x v="0"/>
    <x v="0"/>
    <x v="0"/>
    <s v="DK1_Rural"/>
    <x v="2"/>
    <x v="1"/>
    <s v="GNR_ENG_NGAS_BP_E-41"/>
    <x v="0"/>
    <x v="1"/>
    <n v="105.58"/>
    <n v="38536.699999999997"/>
    <n v="138732.12"/>
  </r>
  <r>
    <x v="0"/>
    <x v="0"/>
    <x v="0"/>
    <x v="0"/>
    <x v="0"/>
    <s v="DK1_Rural"/>
    <x v="2"/>
    <x v="1"/>
    <s v="GNR_ENG_NGAS_BP_E-41"/>
    <x v="0"/>
    <x v="2"/>
    <n v="105.58"/>
    <n v="38536.699999999997"/>
    <n v="138732.12"/>
  </r>
  <r>
    <x v="0"/>
    <x v="0"/>
    <x v="0"/>
    <x v="0"/>
    <x v="0"/>
    <s v="DK1_Rural"/>
    <x v="2"/>
    <x v="1"/>
    <s v="GNR_ENG_NGAS_BP_E-41"/>
    <x v="0"/>
    <x v="9"/>
    <n v="105.58"/>
    <n v="38536.699999999997"/>
    <n v="138732.12"/>
  </r>
  <r>
    <x v="0"/>
    <x v="0"/>
    <x v="0"/>
    <x v="0"/>
    <x v="0"/>
    <s v="DK1_Rural"/>
    <x v="2"/>
    <x v="1"/>
    <s v="GNR_ENG_NGAS_BP_E-41"/>
    <x v="0"/>
    <x v="10"/>
    <n v="105.58"/>
    <n v="38536.699999999997"/>
    <n v="138732.12"/>
  </r>
  <r>
    <x v="0"/>
    <x v="0"/>
    <x v="0"/>
    <x v="0"/>
    <x v="0"/>
    <s v="DK1_Rural"/>
    <x v="2"/>
    <x v="1"/>
    <s v="GNR_ENG_NGAS_BP_E-41"/>
    <x v="0"/>
    <x v="11"/>
    <n v="105.58"/>
    <n v="38536.699999999997"/>
    <n v="138732.12"/>
  </r>
  <r>
    <x v="0"/>
    <x v="0"/>
    <x v="0"/>
    <x v="0"/>
    <x v="0"/>
    <s v="DK1_Rural"/>
    <x v="2"/>
    <x v="1"/>
    <s v="GNR_ENG_NGAS_BP_E-41"/>
    <x v="0"/>
    <x v="12"/>
    <n v="105.58"/>
    <n v="38536.699999999997"/>
    <n v="138732.12"/>
  </r>
  <r>
    <x v="0"/>
    <x v="0"/>
    <x v="0"/>
    <x v="0"/>
    <x v="0"/>
    <s v="DK1_Rural"/>
    <x v="2"/>
    <x v="1"/>
    <s v="GNR_ENG_NGAS_BP_E-41"/>
    <x v="0"/>
    <x v="13"/>
    <n v="105.58"/>
    <n v="38536.699999999997"/>
    <n v="138732.12"/>
  </r>
  <r>
    <x v="0"/>
    <x v="0"/>
    <x v="0"/>
    <x v="0"/>
    <x v="0"/>
    <s v="DK1_Rural"/>
    <x v="2"/>
    <x v="1"/>
    <s v="GNR_ENG_NGAS_BP_E-41"/>
    <x v="0"/>
    <x v="14"/>
    <n v="105.58"/>
    <n v="38536.699999999997"/>
    <n v="138732.12"/>
  </r>
  <r>
    <x v="0"/>
    <x v="0"/>
    <x v="0"/>
    <x v="0"/>
    <x v="0"/>
    <s v="DK1_Rural"/>
    <x v="2"/>
    <x v="1"/>
    <s v="GNR_ENG_NGAS_BP_E-41"/>
    <x v="0"/>
    <x v="15"/>
    <n v="105.58"/>
    <n v="38536.699999999997"/>
    <n v="138732.12"/>
  </r>
  <r>
    <x v="0"/>
    <x v="0"/>
    <x v="0"/>
    <x v="0"/>
    <x v="0"/>
    <s v="DK1_Rural"/>
    <x v="2"/>
    <x v="1"/>
    <s v="GNR_ENG_NGAS_BP_E-41"/>
    <x v="0"/>
    <x v="16"/>
    <n v="105.58"/>
    <n v="38536.699999999997"/>
    <n v="138732.12"/>
  </r>
  <r>
    <x v="0"/>
    <x v="0"/>
    <x v="0"/>
    <x v="0"/>
    <x v="0"/>
    <s v="DK1_Rural"/>
    <x v="2"/>
    <x v="1"/>
    <s v="GNR_ENG_NGAS_BP_E-41"/>
    <x v="0"/>
    <x v="17"/>
    <n v="105.58"/>
    <n v="38536.699999999997"/>
    <n v="138732.12"/>
  </r>
  <r>
    <x v="0"/>
    <x v="0"/>
    <x v="0"/>
    <x v="0"/>
    <x v="0"/>
    <s v="DK1_Rural"/>
    <x v="2"/>
    <x v="1"/>
    <s v="GNR_ENG_NGAS_BP_E-41"/>
    <x v="0"/>
    <x v="18"/>
    <n v="105.58"/>
    <n v="38536.699999999997"/>
    <n v="138732.12"/>
  </r>
  <r>
    <x v="0"/>
    <x v="0"/>
    <x v="0"/>
    <x v="0"/>
    <x v="0"/>
    <s v="DK1_Rural"/>
    <x v="2"/>
    <x v="1"/>
    <s v="GNR_ENG_NGAS_BP_E-41"/>
    <x v="0"/>
    <x v="19"/>
    <n v="105.58"/>
    <n v="38536.699999999997"/>
    <n v="138732.12"/>
  </r>
  <r>
    <x v="0"/>
    <x v="0"/>
    <x v="0"/>
    <x v="0"/>
    <x v="0"/>
    <s v="DK1_Rural"/>
    <x v="2"/>
    <x v="1"/>
    <s v="GNR_ENG_NGAS_BP_E-41"/>
    <x v="0"/>
    <x v="20"/>
    <n v="105.58"/>
    <n v="38536.699999999997"/>
    <n v="138732.12"/>
  </r>
  <r>
    <x v="0"/>
    <x v="0"/>
    <x v="0"/>
    <x v="0"/>
    <x v="0"/>
    <s v="DK1_Rural"/>
    <x v="2"/>
    <x v="1"/>
    <s v="GNR_ENG_NGAS_BP_E-41"/>
    <x v="0"/>
    <x v="21"/>
    <n v="105.58"/>
    <n v="38536.699999999997"/>
    <n v="138732.12"/>
  </r>
  <r>
    <x v="0"/>
    <x v="0"/>
    <x v="0"/>
    <x v="0"/>
    <x v="0"/>
    <s v="DK1_Rural"/>
    <x v="2"/>
    <x v="1"/>
    <s v="GNR_ENG_NGAS_BP_E-41"/>
    <x v="0"/>
    <x v="22"/>
    <n v="105.58"/>
    <n v="38536.699999999997"/>
    <n v="138732.12"/>
  </r>
  <r>
    <x v="0"/>
    <x v="0"/>
    <x v="0"/>
    <x v="0"/>
    <x v="0"/>
    <s v="DK1_Rural"/>
    <x v="2"/>
    <x v="1"/>
    <s v="GNR_ENG_NGAS_BP_E-41"/>
    <x v="0"/>
    <x v="23"/>
    <n v="29.7664286479453"/>
    <n v="10864.746456499999"/>
    <n v="39113.087243400099"/>
  </r>
  <r>
    <x v="0"/>
    <x v="0"/>
    <x v="0"/>
    <x v="0"/>
    <x v="0"/>
    <s v="DK1_Rural"/>
    <x v="2"/>
    <x v="1"/>
    <s v="GNR_ENG_NGAS_BP_E-42"/>
    <x v="0"/>
    <x v="3"/>
    <n v="76.742000000000004"/>
    <n v="28010.83"/>
    <n v="100838.988"/>
  </r>
  <r>
    <x v="0"/>
    <x v="0"/>
    <x v="0"/>
    <x v="0"/>
    <x v="0"/>
    <s v="DK1_Rural"/>
    <x v="2"/>
    <x v="1"/>
    <s v="GNR_ENG_NGAS_BP_E-42"/>
    <x v="0"/>
    <x v="4"/>
    <n v="76.742000000000004"/>
    <n v="28010.83"/>
    <n v="100838.988"/>
  </r>
  <r>
    <x v="0"/>
    <x v="0"/>
    <x v="0"/>
    <x v="0"/>
    <x v="0"/>
    <s v="DK1_Rural"/>
    <x v="2"/>
    <x v="1"/>
    <s v="GNR_ENG_NGAS_BP_E-42"/>
    <x v="0"/>
    <x v="5"/>
    <n v="76.742000000000004"/>
    <n v="28010.83"/>
    <n v="100838.988"/>
  </r>
  <r>
    <x v="0"/>
    <x v="0"/>
    <x v="0"/>
    <x v="0"/>
    <x v="0"/>
    <s v="DK1_Rural"/>
    <x v="2"/>
    <x v="1"/>
    <s v="GNR_ENG_NGAS_BP_E-42"/>
    <x v="0"/>
    <x v="6"/>
    <n v="76.742000000000004"/>
    <n v="28010.83"/>
    <n v="100838.988"/>
  </r>
  <r>
    <x v="0"/>
    <x v="0"/>
    <x v="0"/>
    <x v="0"/>
    <x v="0"/>
    <s v="DK1_Rural"/>
    <x v="2"/>
    <x v="1"/>
    <s v="GNR_ENG_NGAS_BP_E-42"/>
    <x v="0"/>
    <x v="7"/>
    <n v="76.742000000000004"/>
    <n v="28010.83"/>
    <n v="100838.988"/>
  </r>
  <r>
    <x v="0"/>
    <x v="0"/>
    <x v="0"/>
    <x v="0"/>
    <x v="0"/>
    <s v="DK1_Rural"/>
    <x v="2"/>
    <x v="1"/>
    <s v="GNR_ENG_NGAS_BP_E-42"/>
    <x v="0"/>
    <x v="8"/>
    <n v="76.742000000000004"/>
    <n v="28010.83"/>
    <n v="100838.988"/>
  </r>
  <r>
    <x v="0"/>
    <x v="0"/>
    <x v="0"/>
    <x v="0"/>
    <x v="0"/>
    <s v="DK1_Rural"/>
    <x v="2"/>
    <x v="1"/>
    <s v="GNR_ENG_NGAS_BP_E-42"/>
    <x v="0"/>
    <x v="0"/>
    <n v="76.742000000000004"/>
    <n v="28010.83"/>
    <n v="100838.988"/>
  </r>
  <r>
    <x v="0"/>
    <x v="0"/>
    <x v="0"/>
    <x v="0"/>
    <x v="0"/>
    <s v="DK1_Rural"/>
    <x v="2"/>
    <x v="1"/>
    <s v="GNR_ENG_NGAS_BP_E-42"/>
    <x v="0"/>
    <x v="1"/>
    <n v="76.742000000000004"/>
    <n v="28010.83"/>
    <n v="100838.988"/>
  </r>
  <r>
    <x v="0"/>
    <x v="0"/>
    <x v="0"/>
    <x v="0"/>
    <x v="0"/>
    <s v="DK1_Rural"/>
    <x v="2"/>
    <x v="1"/>
    <s v="GNR_ENG_NGAS_BP_E-42"/>
    <x v="0"/>
    <x v="2"/>
    <n v="76.742000000000004"/>
    <n v="28010.83"/>
    <n v="100838.988"/>
  </r>
  <r>
    <x v="0"/>
    <x v="0"/>
    <x v="0"/>
    <x v="0"/>
    <x v="0"/>
    <s v="DK1_Rural"/>
    <x v="2"/>
    <x v="1"/>
    <s v="GNR_ENG_NGAS_BP_E-42"/>
    <x v="0"/>
    <x v="9"/>
    <n v="76.742000000000004"/>
    <n v="28010.83"/>
    <n v="100838.988"/>
  </r>
  <r>
    <x v="0"/>
    <x v="0"/>
    <x v="0"/>
    <x v="0"/>
    <x v="0"/>
    <s v="DK1_Rural"/>
    <x v="2"/>
    <x v="1"/>
    <s v="GNR_ENG_NGAS_BP_E-42"/>
    <x v="0"/>
    <x v="10"/>
    <n v="76.742000000000004"/>
    <n v="28010.83"/>
    <n v="100838.988"/>
  </r>
  <r>
    <x v="0"/>
    <x v="0"/>
    <x v="0"/>
    <x v="0"/>
    <x v="0"/>
    <s v="DK1_Rural"/>
    <x v="2"/>
    <x v="1"/>
    <s v="GNR_ENG_NGAS_BP_E-42"/>
    <x v="0"/>
    <x v="11"/>
    <n v="76.742000000000004"/>
    <n v="28010.83"/>
    <n v="100838.988"/>
  </r>
  <r>
    <x v="0"/>
    <x v="0"/>
    <x v="0"/>
    <x v="0"/>
    <x v="0"/>
    <s v="DK1_Rural"/>
    <x v="2"/>
    <x v="1"/>
    <s v="GNR_ENG_NGAS_BP_E-42"/>
    <x v="0"/>
    <x v="12"/>
    <n v="76.742000000000004"/>
    <n v="28010.83"/>
    <n v="100838.988"/>
  </r>
  <r>
    <x v="0"/>
    <x v="0"/>
    <x v="0"/>
    <x v="0"/>
    <x v="0"/>
    <s v="DK1_Rural"/>
    <x v="2"/>
    <x v="1"/>
    <s v="GNR_ENG_NGAS_BP_E-42"/>
    <x v="0"/>
    <x v="13"/>
    <n v="76.742000000000004"/>
    <n v="28010.83"/>
    <n v="100838.988"/>
  </r>
  <r>
    <x v="0"/>
    <x v="0"/>
    <x v="0"/>
    <x v="0"/>
    <x v="0"/>
    <s v="DK1_Rural"/>
    <x v="2"/>
    <x v="1"/>
    <s v="GNR_ENG_NGAS_BP_E-42"/>
    <x v="0"/>
    <x v="14"/>
    <n v="76.742000000000004"/>
    <n v="28010.83"/>
    <n v="100838.988"/>
  </r>
  <r>
    <x v="0"/>
    <x v="0"/>
    <x v="0"/>
    <x v="0"/>
    <x v="0"/>
    <s v="DK1_Rural"/>
    <x v="2"/>
    <x v="1"/>
    <s v="GNR_ENG_NGAS_BP_E-42"/>
    <x v="0"/>
    <x v="15"/>
    <n v="76.742000000000004"/>
    <n v="28010.83"/>
    <n v="100838.988"/>
  </r>
  <r>
    <x v="0"/>
    <x v="0"/>
    <x v="0"/>
    <x v="0"/>
    <x v="0"/>
    <s v="DK1_Rural"/>
    <x v="2"/>
    <x v="1"/>
    <s v="GNR_ENG_NGAS_BP_E-42"/>
    <x v="0"/>
    <x v="16"/>
    <n v="76.742000000000004"/>
    <n v="28010.83"/>
    <n v="100838.988"/>
  </r>
  <r>
    <x v="0"/>
    <x v="0"/>
    <x v="0"/>
    <x v="0"/>
    <x v="0"/>
    <s v="DK1_Rural"/>
    <x v="2"/>
    <x v="1"/>
    <s v="GNR_ENG_NGAS_BP_E-42"/>
    <x v="0"/>
    <x v="17"/>
    <n v="76.742000000000004"/>
    <n v="28010.83"/>
    <n v="100838.988"/>
  </r>
  <r>
    <x v="0"/>
    <x v="0"/>
    <x v="0"/>
    <x v="0"/>
    <x v="0"/>
    <s v="DK1_Rural"/>
    <x v="2"/>
    <x v="1"/>
    <s v="GNR_ENG_NGAS_BP_E-42"/>
    <x v="0"/>
    <x v="18"/>
    <n v="76.742000000000004"/>
    <n v="28010.83"/>
    <n v="100838.988"/>
  </r>
  <r>
    <x v="0"/>
    <x v="0"/>
    <x v="0"/>
    <x v="0"/>
    <x v="0"/>
    <s v="DK1_Rural"/>
    <x v="2"/>
    <x v="1"/>
    <s v="GNR_ENG_NGAS_BP_E-42"/>
    <x v="0"/>
    <x v="19"/>
    <n v="76.742000000000004"/>
    <n v="28010.83"/>
    <n v="100838.988"/>
  </r>
  <r>
    <x v="0"/>
    <x v="0"/>
    <x v="0"/>
    <x v="0"/>
    <x v="0"/>
    <s v="DK1_Rural"/>
    <x v="2"/>
    <x v="1"/>
    <s v="GNR_ENG_NGAS_BP_E-42"/>
    <x v="0"/>
    <x v="20"/>
    <n v="76.742000000000004"/>
    <n v="28010.83"/>
    <n v="100838.988"/>
  </r>
  <r>
    <x v="0"/>
    <x v="0"/>
    <x v="0"/>
    <x v="0"/>
    <x v="0"/>
    <s v="DK1_Rural"/>
    <x v="2"/>
    <x v="1"/>
    <s v="GNR_ENG_NGAS_BP_E-42"/>
    <x v="0"/>
    <x v="21"/>
    <n v="76.742000000000004"/>
    <n v="28010.83"/>
    <n v="100838.988"/>
  </r>
  <r>
    <x v="0"/>
    <x v="0"/>
    <x v="0"/>
    <x v="0"/>
    <x v="0"/>
    <s v="DK1_Rural"/>
    <x v="2"/>
    <x v="1"/>
    <s v="GNR_ENG_NGAS_BP_E-42"/>
    <x v="0"/>
    <x v="22"/>
    <n v="76.742000000000004"/>
    <n v="28010.83"/>
    <n v="100838.988"/>
  </r>
  <r>
    <x v="0"/>
    <x v="0"/>
    <x v="0"/>
    <x v="0"/>
    <x v="0"/>
    <s v="DK1_Rural"/>
    <x v="2"/>
    <x v="1"/>
    <s v="GNR_ENG_NGAS_BP_E-42"/>
    <x v="0"/>
    <x v="23"/>
    <n v="76.742000000000004"/>
    <n v="28010.83"/>
    <n v="100838.988"/>
  </r>
  <r>
    <x v="0"/>
    <x v="0"/>
    <x v="0"/>
    <x v="0"/>
    <x v="0"/>
    <s v="DK1_Rural"/>
    <x v="2"/>
    <x v="1"/>
    <s v="GNR_ENG_NGAS_BP_E-43"/>
    <x v="0"/>
    <x v="3"/>
    <n v="48.531999999999996"/>
    <n v="17714.18"/>
    <n v="63771.048000000003"/>
  </r>
  <r>
    <x v="0"/>
    <x v="0"/>
    <x v="0"/>
    <x v="0"/>
    <x v="0"/>
    <s v="DK1_Rural"/>
    <x v="2"/>
    <x v="1"/>
    <s v="GNR_ENG_NGAS_BP_E-43"/>
    <x v="0"/>
    <x v="4"/>
    <n v="48.531999999999996"/>
    <n v="17714.18"/>
    <n v="63771.048000000003"/>
  </r>
  <r>
    <x v="0"/>
    <x v="0"/>
    <x v="0"/>
    <x v="0"/>
    <x v="0"/>
    <s v="DK1_Rural"/>
    <x v="2"/>
    <x v="1"/>
    <s v="GNR_ENG_NGAS_BP_E-43"/>
    <x v="0"/>
    <x v="5"/>
    <n v="48.531999999999996"/>
    <n v="17714.18"/>
    <n v="63771.048000000003"/>
  </r>
  <r>
    <x v="0"/>
    <x v="0"/>
    <x v="0"/>
    <x v="0"/>
    <x v="0"/>
    <s v="DK1_Rural"/>
    <x v="2"/>
    <x v="1"/>
    <s v="GNR_ENG_NGAS_BP_E-43"/>
    <x v="0"/>
    <x v="6"/>
    <n v="48.531999999999996"/>
    <n v="17714.18"/>
    <n v="63771.048000000003"/>
  </r>
  <r>
    <x v="0"/>
    <x v="0"/>
    <x v="0"/>
    <x v="0"/>
    <x v="0"/>
    <s v="DK1_Rural"/>
    <x v="2"/>
    <x v="1"/>
    <s v="GNR_ENG_NGAS_BP_E-43"/>
    <x v="0"/>
    <x v="7"/>
    <n v="48.531999999999996"/>
    <n v="17714.18"/>
    <n v="63771.048000000003"/>
  </r>
  <r>
    <x v="0"/>
    <x v="0"/>
    <x v="0"/>
    <x v="0"/>
    <x v="0"/>
    <s v="DK1_Rural"/>
    <x v="2"/>
    <x v="1"/>
    <s v="GNR_ENG_NGAS_BP_E-43"/>
    <x v="0"/>
    <x v="8"/>
    <n v="48.531999999999996"/>
    <n v="17714.18"/>
    <n v="63771.048000000003"/>
  </r>
  <r>
    <x v="0"/>
    <x v="0"/>
    <x v="0"/>
    <x v="0"/>
    <x v="0"/>
    <s v="DK1_Rural"/>
    <x v="2"/>
    <x v="1"/>
    <s v="GNR_ENG_NGAS_BP_E-43"/>
    <x v="0"/>
    <x v="0"/>
    <n v="48.531999999999996"/>
    <n v="17714.18"/>
    <n v="63771.048000000003"/>
  </r>
  <r>
    <x v="0"/>
    <x v="0"/>
    <x v="0"/>
    <x v="0"/>
    <x v="0"/>
    <s v="DK1_Rural"/>
    <x v="2"/>
    <x v="1"/>
    <s v="GNR_ENG_NGAS_BP_E-43"/>
    <x v="0"/>
    <x v="1"/>
    <n v="48.531999999999996"/>
    <n v="17714.18"/>
    <n v="63771.048000000003"/>
  </r>
  <r>
    <x v="0"/>
    <x v="0"/>
    <x v="0"/>
    <x v="0"/>
    <x v="0"/>
    <s v="DK1_Rural"/>
    <x v="2"/>
    <x v="1"/>
    <s v="GNR_ENG_NGAS_BP_E-43"/>
    <x v="0"/>
    <x v="2"/>
    <n v="48.531999999999996"/>
    <n v="17714.18"/>
    <n v="63771.048000000003"/>
  </r>
  <r>
    <x v="0"/>
    <x v="0"/>
    <x v="0"/>
    <x v="0"/>
    <x v="0"/>
    <s v="DK1_Rural"/>
    <x v="2"/>
    <x v="1"/>
    <s v="GNR_ENG_NGAS_BP_E-43"/>
    <x v="0"/>
    <x v="9"/>
    <n v="48.531999999999996"/>
    <n v="17714.18"/>
    <n v="63771.048000000003"/>
  </r>
  <r>
    <x v="0"/>
    <x v="0"/>
    <x v="0"/>
    <x v="0"/>
    <x v="0"/>
    <s v="DK1_Rural"/>
    <x v="2"/>
    <x v="1"/>
    <s v="GNR_ENG_NGAS_BP_E-43"/>
    <x v="0"/>
    <x v="10"/>
    <n v="48.531999999999996"/>
    <n v="17714.18"/>
    <n v="63771.048000000003"/>
  </r>
  <r>
    <x v="0"/>
    <x v="0"/>
    <x v="0"/>
    <x v="0"/>
    <x v="0"/>
    <s v="DK1_Rural"/>
    <x v="2"/>
    <x v="1"/>
    <s v="GNR_ENG_NGAS_BP_E-43"/>
    <x v="0"/>
    <x v="11"/>
    <n v="48.531999999999996"/>
    <n v="17714.18"/>
    <n v="63771.048000000003"/>
  </r>
  <r>
    <x v="0"/>
    <x v="0"/>
    <x v="0"/>
    <x v="0"/>
    <x v="0"/>
    <s v="DK1_Rural"/>
    <x v="2"/>
    <x v="1"/>
    <s v="GNR_ENG_NGAS_BP_E-43"/>
    <x v="0"/>
    <x v="12"/>
    <n v="48.531999999999996"/>
    <n v="17714.18"/>
    <n v="63771.048000000003"/>
  </r>
  <r>
    <x v="0"/>
    <x v="0"/>
    <x v="0"/>
    <x v="0"/>
    <x v="0"/>
    <s v="DK1_Rural"/>
    <x v="2"/>
    <x v="1"/>
    <s v="GNR_ENG_NGAS_BP_E-43"/>
    <x v="0"/>
    <x v="13"/>
    <n v="48.531999999999996"/>
    <n v="17714.18"/>
    <n v="63771.048000000003"/>
  </r>
  <r>
    <x v="0"/>
    <x v="0"/>
    <x v="0"/>
    <x v="0"/>
    <x v="0"/>
    <s v="DK1_Rural"/>
    <x v="2"/>
    <x v="1"/>
    <s v="GNR_ENG_NGAS_BP_E-43"/>
    <x v="0"/>
    <x v="14"/>
    <n v="48.531999999999996"/>
    <n v="17714.18"/>
    <n v="63771.048000000003"/>
  </r>
  <r>
    <x v="0"/>
    <x v="0"/>
    <x v="0"/>
    <x v="0"/>
    <x v="0"/>
    <s v="DK1_Rural"/>
    <x v="2"/>
    <x v="1"/>
    <s v="GNR_ENG_NGAS_BP_E-43"/>
    <x v="0"/>
    <x v="15"/>
    <n v="48.531999999999996"/>
    <n v="17714.18"/>
    <n v="63771.048000000003"/>
  </r>
  <r>
    <x v="0"/>
    <x v="0"/>
    <x v="0"/>
    <x v="0"/>
    <x v="0"/>
    <s v="DK1_Rural"/>
    <x v="2"/>
    <x v="1"/>
    <s v="GNR_ENG_NGAS_BP_E-43"/>
    <x v="0"/>
    <x v="16"/>
    <n v="48.531999999999996"/>
    <n v="17714.18"/>
    <n v="63771.048000000003"/>
  </r>
  <r>
    <x v="0"/>
    <x v="0"/>
    <x v="0"/>
    <x v="0"/>
    <x v="0"/>
    <s v="DK1_Rural"/>
    <x v="2"/>
    <x v="1"/>
    <s v="GNR_ENG_NGAS_BP_E-43"/>
    <x v="0"/>
    <x v="17"/>
    <n v="48.531999999999996"/>
    <n v="17714.18"/>
    <n v="63771.048000000003"/>
  </r>
  <r>
    <x v="0"/>
    <x v="0"/>
    <x v="0"/>
    <x v="0"/>
    <x v="0"/>
    <s v="DK1_Rural"/>
    <x v="2"/>
    <x v="1"/>
    <s v="GNR_ENG_NGAS_BP_E-43"/>
    <x v="0"/>
    <x v="18"/>
    <n v="48.531999999999996"/>
    <n v="17714.18"/>
    <n v="63771.048000000003"/>
  </r>
  <r>
    <x v="0"/>
    <x v="0"/>
    <x v="0"/>
    <x v="0"/>
    <x v="0"/>
    <s v="DK1_Rural"/>
    <x v="2"/>
    <x v="1"/>
    <s v="GNR_ENG_NGAS_BP_E-43"/>
    <x v="0"/>
    <x v="19"/>
    <n v="48.531999999999996"/>
    <n v="17714.18"/>
    <n v="63771.048000000003"/>
  </r>
  <r>
    <x v="0"/>
    <x v="0"/>
    <x v="0"/>
    <x v="0"/>
    <x v="0"/>
    <s v="DK1_Rural"/>
    <x v="2"/>
    <x v="1"/>
    <s v="GNR_ENG_NGAS_BP_E-43"/>
    <x v="0"/>
    <x v="20"/>
    <n v="48.531999999999996"/>
    <n v="17714.18"/>
    <n v="63771.048000000003"/>
  </r>
  <r>
    <x v="0"/>
    <x v="0"/>
    <x v="0"/>
    <x v="0"/>
    <x v="0"/>
    <s v="DK1_Rural"/>
    <x v="2"/>
    <x v="1"/>
    <s v="GNR_ENG_NGAS_BP_E-43"/>
    <x v="0"/>
    <x v="21"/>
    <n v="48.531999999999996"/>
    <n v="17714.18"/>
    <n v="63771.048000000003"/>
  </r>
  <r>
    <x v="0"/>
    <x v="0"/>
    <x v="0"/>
    <x v="0"/>
    <x v="0"/>
    <s v="DK1_Rural"/>
    <x v="2"/>
    <x v="1"/>
    <s v="GNR_ENG_NGAS_BP_E-43"/>
    <x v="0"/>
    <x v="22"/>
    <n v="48.531999999999996"/>
    <n v="17714.18"/>
    <n v="63771.048000000003"/>
  </r>
  <r>
    <x v="0"/>
    <x v="0"/>
    <x v="0"/>
    <x v="0"/>
    <x v="0"/>
    <s v="DK1_Rural"/>
    <x v="2"/>
    <x v="1"/>
    <s v="GNR_ENG_NGAS_BP_E-43"/>
    <x v="0"/>
    <x v="23"/>
    <n v="48.531999999999996"/>
    <n v="17714.18"/>
    <n v="63771.048000000003"/>
  </r>
  <r>
    <x v="0"/>
    <x v="0"/>
    <x v="0"/>
    <x v="0"/>
    <x v="0"/>
    <s v="DK1_Rural"/>
    <x v="2"/>
    <x v="1"/>
    <s v="GNR_ENG_NGAS_BP_E-44"/>
    <x v="0"/>
    <x v="3"/>
    <n v="54.03"/>
    <n v="19720.95"/>
    <n v="70995.42"/>
  </r>
  <r>
    <x v="0"/>
    <x v="0"/>
    <x v="0"/>
    <x v="0"/>
    <x v="0"/>
    <s v="DK1_Rural"/>
    <x v="2"/>
    <x v="1"/>
    <s v="GNR_ENG_NGAS_BP_E-44"/>
    <x v="0"/>
    <x v="4"/>
    <n v="54.03"/>
    <n v="19720.95"/>
    <n v="70995.42"/>
  </r>
  <r>
    <x v="0"/>
    <x v="0"/>
    <x v="0"/>
    <x v="0"/>
    <x v="0"/>
    <s v="DK1_Rural"/>
    <x v="2"/>
    <x v="1"/>
    <s v="GNR_ENG_NGAS_BP_E-44"/>
    <x v="0"/>
    <x v="5"/>
    <n v="54.03"/>
    <n v="19720.95"/>
    <n v="70995.42"/>
  </r>
  <r>
    <x v="0"/>
    <x v="0"/>
    <x v="0"/>
    <x v="0"/>
    <x v="0"/>
    <s v="DK1_Rural"/>
    <x v="2"/>
    <x v="1"/>
    <s v="GNR_ENG_NGAS_BP_E-44"/>
    <x v="0"/>
    <x v="6"/>
    <n v="54.03"/>
    <n v="19720.95"/>
    <n v="70995.42"/>
  </r>
  <r>
    <x v="0"/>
    <x v="0"/>
    <x v="0"/>
    <x v="0"/>
    <x v="0"/>
    <s v="DK1_Rural"/>
    <x v="2"/>
    <x v="1"/>
    <s v="GNR_ENG_NGAS_BP_E-44"/>
    <x v="0"/>
    <x v="7"/>
    <n v="54.03"/>
    <n v="19720.95"/>
    <n v="70995.42"/>
  </r>
  <r>
    <x v="0"/>
    <x v="0"/>
    <x v="0"/>
    <x v="0"/>
    <x v="0"/>
    <s v="DK1_Rural"/>
    <x v="2"/>
    <x v="1"/>
    <s v="GNR_ENG_NGAS_BP_E-44"/>
    <x v="0"/>
    <x v="8"/>
    <n v="54.03"/>
    <n v="19720.95"/>
    <n v="70995.42"/>
  </r>
  <r>
    <x v="0"/>
    <x v="0"/>
    <x v="0"/>
    <x v="0"/>
    <x v="0"/>
    <s v="DK1_Rural"/>
    <x v="2"/>
    <x v="1"/>
    <s v="GNR_ENG_NGAS_BP_E-44"/>
    <x v="0"/>
    <x v="0"/>
    <n v="54.03"/>
    <n v="19720.95"/>
    <n v="70995.42"/>
  </r>
  <r>
    <x v="0"/>
    <x v="0"/>
    <x v="0"/>
    <x v="0"/>
    <x v="0"/>
    <s v="DK1_Rural"/>
    <x v="2"/>
    <x v="1"/>
    <s v="GNR_ENG_NGAS_BP_E-44"/>
    <x v="0"/>
    <x v="1"/>
    <n v="54.03"/>
    <n v="19720.95"/>
    <n v="70995.42"/>
  </r>
  <r>
    <x v="0"/>
    <x v="0"/>
    <x v="0"/>
    <x v="0"/>
    <x v="0"/>
    <s v="DK1_Rural"/>
    <x v="2"/>
    <x v="1"/>
    <s v="GNR_ENG_NGAS_BP_E-44"/>
    <x v="0"/>
    <x v="2"/>
    <n v="54.03"/>
    <n v="19720.95"/>
    <n v="70995.42"/>
  </r>
  <r>
    <x v="0"/>
    <x v="0"/>
    <x v="0"/>
    <x v="0"/>
    <x v="0"/>
    <s v="DK1_Rural"/>
    <x v="2"/>
    <x v="1"/>
    <s v="GNR_ENG_NGAS_BP_E-44"/>
    <x v="0"/>
    <x v="9"/>
    <n v="54.03"/>
    <n v="19720.95"/>
    <n v="70995.42"/>
  </r>
  <r>
    <x v="0"/>
    <x v="0"/>
    <x v="0"/>
    <x v="0"/>
    <x v="0"/>
    <s v="DK1_Rural"/>
    <x v="2"/>
    <x v="1"/>
    <s v="GNR_ENG_NGAS_BP_E-44"/>
    <x v="0"/>
    <x v="10"/>
    <n v="54.03"/>
    <n v="19720.95"/>
    <n v="70995.42"/>
  </r>
  <r>
    <x v="0"/>
    <x v="0"/>
    <x v="0"/>
    <x v="0"/>
    <x v="0"/>
    <s v="DK1_Rural"/>
    <x v="2"/>
    <x v="1"/>
    <s v="GNR_ENG_NGAS_BP_E-44"/>
    <x v="0"/>
    <x v="11"/>
    <n v="54.03"/>
    <n v="19720.95"/>
    <n v="70995.42"/>
  </r>
  <r>
    <x v="0"/>
    <x v="0"/>
    <x v="0"/>
    <x v="0"/>
    <x v="0"/>
    <s v="DK1_Rural"/>
    <x v="2"/>
    <x v="1"/>
    <s v="GNR_ENG_NGAS_BP_E-44"/>
    <x v="0"/>
    <x v="12"/>
    <n v="54.03"/>
    <n v="19720.95"/>
    <n v="70995.42"/>
  </r>
  <r>
    <x v="0"/>
    <x v="0"/>
    <x v="0"/>
    <x v="0"/>
    <x v="0"/>
    <s v="DK1_Rural"/>
    <x v="2"/>
    <x v="1"/>
    <s v="GNR_ENG_NGAS_BP_E-44"/>
    <x v="0"/>
    <x v="13"/>
    <n v="54.03"/>
    <n v="19720.95"/>
    <n v="70995.42"/>
  </r>
  <r>
    <x v="0"/>
    <x v="0"/>
    <x v="0"/>
    <x v="0"/>
    <x v="0"/>
    <s v="DK1_Rural"/>
    <x v="2"/>
    <x v="1"/>
    <s v="GNR_ENG_NGAS_BP_E-44"/>
    <x v="0"/>
    <x v="14"/>
    <n v="54.03"/>
    <n v="19720.95"/>
    <n v="70995.42"/>
  </r>
  <r>
    <x v="0"/>
    <x v="0"/>
    <x v="0"/>
    <x v="0"/>
    <x v="0"/>
    <s v="DK1_Rural"/>
    <x v="2"/>
    <x v="1"/>
    <s v="GNR_ENG_NGAS_BP_E-44"/>
    <x v="0"/>
    <x v="15"/>
    <n v="54.03"/>
    <n v="19720.95"/>
    <n v="70995.42"/>
  </r>
  <r>
    <x v="0"/>
    <x v="0"/>
    <x v="0"/>
    <x v="0"/>
    <x v="0"/>
    <s v="DK1_Rural"/>
    <x v="2"/>
    <x v="1"/>
    <s v="GNR_ENG_NGAS_BP_E-44"/>
    <x v="0"/>
    <x v="16"/>
    <n v="54.03"/>
    <n v="19720.95"/>
    <n v="70995.42"/>
  </r>
  <r>
    <x v="0"/>
    <x v="0"/>
    <x v="0"/>
    <x v="0"/>
    <x v="0"/>
    <s v="DK1_Rural"/>
    <x v="2"/>
    <x v="1"/>
    <s v="GNR_ENG_NGAS_BP_E-44"/>
    <x v="0"/>
    <x v="17"/>
    <n v="54.03"/>
    <n v="19720.95"/>
    <n v="70995.42"/>
  </r>
  <r>
    <x v="0"/>
    <x v="0"/>
    <x v="0"/>
    <x v="0"/>
    <x v="0"/>
    <s v="DK1_Rural"/>
    <x v="2"/>
    <x v="1"/>
    <s v="GNR_ENG_NGAS_BP_E-44"/>
    <x v="0"/>
    <x v="18"/>
    <n v="54.03"/>
    <n v="19720.95"/>
    <n v="70995.42"/>
  </r>
  <r>
    <x v="0"/>
    <x v="0"/>
    <x v="0"/>
    <x v="0"/>
    <x v="0"/>
    <s v="DK1_Rural"/>
    <x v="2"/>
    <x v="1"/>
    <s v="GNR_ENG_NGAS_BP_E-44"/>
    <x v="0"/>
    <x v="19"/>
    <n v="54.03"/>
    <n v="19720.95"/>
    <n v="70995.42"/>
  </r>
  <r>
    <x v="0"/>
    <x v="0"/>
    <x v="0"/>
    <x v="0"/>
    <x v="0"/>
    <s v="DK1_Rural"/>
    <x v="2"/>
    <x v="1"/>
    <s v="GNR_ENG_NGAS_BP_E-44"/>
    <x v="0"/>
    <x v="20"/>
    <n v="54.03"/>
    <n v="19720.95"/>
    <n v="70995.42"/>
  </r>
  <r>
    <x v="0"/>
    <x v="0"/>
    <x v="0"/>
    <x v="0"/>
    <x v="0"/>
    <s v="DK1_Rural"/>
    <x v="2"/>
    <x v="1"/>
    <s v="GNR_ENG_NGAS_BP_E-44"/>
    <x v="0"/>
    <x v="21"/>
    <n v="54.03"/>
    <n v="19720.95"/>
    <n v="70995.42"/>
  </r>
  <r>
    <x v="0"/>
    <x v="0"/>
    <x v="0"/>
    <x v="0"/>
    <x v="0"/>
    <s v="DK1_Rural"/>
    <x v="2"/>
    <x v="1"/>
    <s v="GNR_ENG_NGAS_BP_E-44"/>
    <x v="0"/>
    <x v="22"/>
    <n v="54.03"/>
    <n v="19720.95"/>
    <n v="70995.42"/>
  </r>
  <r>
    <x v="0"/>
    <x v="0"/>
    <x v="0"/>
    <x v="0"/>
    <x v="0"/>
    <s v="DK1_Rural"/>
    <x v="2"/>
    <x v="1"/>
    <s v="GNR_ENG_NGAS_BP_E-44"/>
    <x v="0"/>
    <x v="23"/>
    <n v="54.03"/>
    <n v="19720.95"/>
    <n v="70995.42"/>
  </r>
  <r>
    <x v="0"/>
    <x v="0"/>
    <x v="0"/>
    <x v="0"/>
    <x v="0"/>
    <s v="DK1_Rural"/>
    <x v="2"/>
    <x v="1"/>
    <s v="GNR_ENG_NGAS_BP_E-45"/>
    <x v="0"/>
    <x v="3"/>
    <n v="10.44"/>
    <n v="3810.6"/>
    <n v="13718.16"/>
  </r>
  <r>
    <x v="0"/>
    <x v="0"/>
    <x v="0"/>
    <x v="0"/>
    <x v="0"/>
    <s v="DK1_Rural"/>
    <x v="2"/>
    <x v="1"/>
    <s v="GNR_ENG_NGAS_BP_E-45"/>
    <x v="0"/>
    <x v="4"/>
    <n v="10.44"/>
    <n v="3810.6"/>
    <n v="13718.16"/>
  </r>
  <r>
    <x v="0"/>
    <x v="0"/>
    <x v="0"/>
    <x v="0"/>
    <x v="0"/>
    <s v="DK1_Rural"/>
    <x v="2"/>
    <x v="1"/>
    <s v="GNR_ENG_NGAS_BP_E-45"/>
    <x v="0"/>
    <x v="5"/>
    <n v="10.44"/>
    <n v="3810.6"/>
    <n v="13718.16"/>
  </r>
  <r>
    <x v="0"/>
    <x v="0"/>
    <x v="0"/>
    <x v="0"/>
    <x v="0"/>
    <s v="DK1_Rural"/>
    <x v="2"/>
    <x v="1"/>
    <s v="GNR_ENG_NGAS_BP_E-45"/>
    <x v="0"/>
    <x v="6"/>
    <n v="10.44"/>
    <n v="3810.6"/>
    <n v="13718.16"/>
  </r>
  <r>
    <x v="0"/>
    <x v="0"/>
    <x v="0"/>
    <x v="0"/>
    <x v="0"/>
    <s v="DK1_Rural"/>
    <x v="2"/>
    <x v="1"/>
    <s v="GNR_ENG_NGAS_BP_E-45"/>
    <x v="0"/>
    <x v="7"/>
    <n v="10.44"/>
    <n v="3810.6"/>
    <n v="13718.16"/>
  </r>
  <r>
    <x v="0"/>
    <x v="0"/>
    <x v="0"/>
    <x v="0"/>
    <x v="0"/>
    <s v="DK1_Rural"/>
    <x v="2"/>
    <x v="1"/>
    <s v="GNR_ENG_NGAS_BP_E-45"/>
    <x v="0"/>
    <x v="8"/>
    <n v="10.44"/>
    <n v="3810.6"/>
    <n v="13718.16"/>
  </r>
  <r>
    <x v="0"/>
    <x v="0"/>
    <x v="0"/>
    <x v="0"/>
    <x v="0"/>
    <s v="DK1_Rural"/>
    <x v="2"/>
    <x v="1"/>
    <s v="GNR_ENG_NGAS_BP_E-45"/>
    <x v="0"/>
    <x v="0"/>
    <n v="10.44"/>
    <n v="3810.6"/>
    <n v="13718.16"/>
  </r>
  <r>
    <x v="0"/>
    <x v="0"/>
    <x v="0"/>
    <x v="0"/>
    <x v="0"/>
    <s v="DK1_Rural"/>
    <x v="2"/>
    <x v="1"/>
    <s v="GNR_ENG_NGAS_BP_E-45"/>
    <x v="0"/>
    <x v="1"/>
    <n v="10.44"/>
    <n v="3810.6"/>
    <n v="13718.16"/>
  </r>
  <r>
    <x v="0"/>
    <x v="0"/>
    <x v="0"/>
    <x v="0"/>
    <x v="0"/>
    <s v="DK1_Rural"/>
    <x v="2"/>
    <x v="1"/>
    <s v="GNR_ENG_NGAS_BP_E-45"/>
    <x v="0"/>
    <x v="2"/>
    <n v="10.44"/>
    <n v="3810.6"/>
    <n v="13718.16"/>
  </r>
  <r>
    <x v="0"/>
    <x v="0"/>
    <x v="0"/>
    <x v="0"/>
    <x v="0"/>
    <s v="DK1_Rural"/>
    <x v="2"/>
    <x v="1"/>
    <s v="GNR_ENG_NGAS_BP_E-45"/>
    <x v="0"/>
    <x v="9"/>
    <n v="10.44"/>
    <n v="3810.6"/>
    <n v="13718.16"/>
  </r>
  <r>
    <x v="0"/>
    <x v="0"/>
    <x v="0"/>
    <x v="0"/>
    <x v="0"/>
    <s v="DK1_Rural"/>
    <x v="2"/>
    <x v="1"/>
    <s v="GNR_ENG_NGAS_BP_E-45"/>
    <x v="0"/>
    <x v="10"/>
    <n v="10.44"/>
    <n v="3810.6"/>
    <n v="13718.16"/>
  </r>
  <r>
    <x v="0"/>
    <x v="0"/>
    <x v="0"/>
    <x v="0"/>
    <x v="0"/>
    <s v="DK1_Rural"/>
    <x v="2"/>
    <x v="1"/>
    <s v="GNR_ENG_NGAS_BP_E-45"/>
    <x v="0"/>
    <x v="11"/>
    <n v="10.44"/>
    <n v="3810.6"/>
    <n v="13718.16"/>
  </r>
  <r>
    <x v="0"/>
    <x v="0"/>
    <x v="0"/>
    <x v="0"/>
    <x v="0"/>
    <s v="DK1_Rural"/>
    <x v="2"/>
    <x v="1"/>
    <s v="GNR_ENG_NGAS_BP_E-45"/>
    <x v="0"/>
    <x v="12"/>
    <n v="10.44"/>
    <n v="3810.6"/>
    <n v="13718.16"/>
  </r>
  <r>
    <x v="0"/>
    <x v="0"/>
    <x v="0"/>
    <x v="0"/>
    <x v="0"/>
    <s v="DK1_Rural"/>
    <x v="2"/>
    <x v="1"/>
    <s v="GNR_ENG_NGAS_BP_E-45"/>
    <x v="0"/>
    <x v="13"/>
    <n v="10.44"/>
    <n v="3810.6"/>
    <n v="13718.16"/>
  </r>
  <r>
    <x v="0"/>
    <x v="0"/>
    <x v="0"/>
    <x v="0"/>
    <x v="0"/>
    <s v="DK1_Rural"/>
    <x v="2"/>
    <x v="1"/>
    <s v="GNR_ENG_NGAS_BP_E-45"/>
    <x v="0"/>
    <x v="14"/>
    <n v="10.44"/>
    <n v="3810.6"/>
    <n v="13718.16"/>
  </r>
  <r>
    <x v="0"/>
    <x v="0"/>
    <x v="0"/>
    <x v="0"/>
    <x v="0"/>
    <s v="DK1_Rural"/>
    <x v="2"/>
    <x v="1"/>
    <s v="GNR_ENG_NGAS_BP_E-45"/>
    <x v="0"/>
    <x v="15"/>
    <n v="10.44"/>
    <n v="3810.6"/>
    <n v="13718.16"/>
  </r>
  <r>
    <x v="0"/>
    <x v="0"/>
    <x v="0"/>
    <x v="0"/>
    <x v="0"/>
    <s v="DK1_Rural"/>
    <x v="2"/>
    <x v="1"/>
    <s v="GNR_ENG_NGAS_BP_E-45"/>
    <x v="0"/>
    <x v="16"/>
    <n v="10.44"/>
    <n v="3810.6"/>
    <n v="13718.16"/>
  </r>
  <r>
    <x v="0"/>
    <x v="0"/>
    <x v="0"/>
    <x v="0"/>
    <x v="0"/>
    <s v="DK1_Rural"/>
    <x v="2"/>
    <x v="1"/>
    <s v="GNR_ENG_NGAS_BP_E-45"/>
    <x v="0"/>
    <x v="17"/>
    <n v="10.44"/>
    <n v="3810.6"/>
    <n v="13718.16"/>
  </r>
  <r>
    <x v="0"/>
    <x v="0"/>
    <x v="0"/>
    <x v="0"/>
    <x v="0"/>
    <s v="DK1_Rural"/>
    <x v="2"/>
    <x v="1"/>
    <s v="GNR_ENG_NGAS_BP_E-45"/>
    <x v="0"/>
    <x v="18"/>
    <n v="10.44"/>
    <n v="3810.6"/>
    <n v="13718.16"/>
  </r>
  <r>
    <x v="0"/>
    <x v="0"/>
    <x v="0"/>
    <x v="0"/>
    <x v="0"/>
    <s v="DK1_Rural"/>
    <x v="2"/>
    <x v="1"/>
    <s v="GNR_ENG_NGAS_BP_E-45"/>
    <x v="0"/>
    <x v="19"/>
    <n v="10.44"/>
    <n v="3810.6"/>
    <n v="13718.16"/>
  </r>
  <r>
    <x v="0"/>
    <x v="0"/>
    <x v="0"/>
    <x v="0"/>
    <x v="0"/>
    <s v="DK1_Rural"/>
    <x v="2"/>
    <x v="1"/>
    <s v="GNR_ENG_NGAS_BP_E-45"/>
    <x v="0"/>
    <x v="20"/>
    <n v="10.44"/>
    <n v="3810.6"/>
    <n v="13718.16"/>
  </r>
  <r>
    <x v="0"/>
    <x v="0"/>
    <x v="0"/>
    <x v="0"/>
    <x v="0"/>
    <s v="DK1_Rural"/>
    <x v="2"/>
    <x v="1"/>
    <s v="GNR_ENG_NGAS_BP_E-45"/>
    <x v="0"/>
    <x v="21"/>
    <n v="10.44"/>
    <n v="3810.6"/>
    <n v="13718.16"/>
  </r>
  <r>
    <x v="0"/>
    <x v="0"/>
    <x v="0"/>
    <x v="0"/>
    <x v="0"/>
    <s v="DK1_Rural"/>
    <x v="2"/>
    <x v="1"/>
    <s v="GNR_ENG_NGAS_BP_E-45"/>
    <x v="0"/>
    <x v="22"/>
    <n v="10.44"/>
    <n v="3810.6"/>
    <n v="13718.16"/>
  </r>
  <r>
    <x v="0"/>
    <x v="0"/>
    <x v="0"/>
    <x v="0"/>
    <x v="0"/>
    <s v="DK1_Rural"/>
    <x v="2"/>
    <x v="1"/>
    <s v="GNR_ENG_NGAS_BP_E-45"/>
    <x v="0"/>
    <x v="23"/>
    <n v="10.44"/>
    <n v="3810.6"/>
    <n v="13718.16"/>
  </r>
  <r>
    <x v="0"/>
    <x v="0"/>
    <x v="0"/>
    <x v="0"/>
    <x v="0"/>
    <s v="DK1_Rural"/>
    <x v="2"/>
    <x v="1"/>
    <s v="GNR_ENG_NGAS_BP_E-46"/>
    <x v="0"/>
    <x v="3"/>
    <n v="21.64"/>
    <n v="7898.6"/>
    <n v="28434.959999999999"/>
  </r>
  <r>
    <x v="0"/>
    <x v="0"/>
    <x v="0"/>
    <x v="0"/>
    <x v="0"/>
    <s v="DK1_Rural"/>
    <x v="2"/>
    <x v="1"/>
    <s v="GNR_ENG_NGAS_BP_E-46"/>
    <x v="0"/>
    <x v="4"/>
    <n v="21.64"/>
    <n v="7898.6"/>
    <n v="28434.959999999999"/>
  </r>
  <r>
    <x v="0"/>
    <x v="0"/>
    <x v="0"/>
    <x v="0"/>
    <x v="0"/>
    <s v="DK1_Rural"/>
    <x v="2"/>
    <x v="1"/>
    <s v="GNR_ENG_NGAS_BP_E-46"/>
    <x v="0"/>
    <x v="5"/>
    <n v="21.64"/>
    <n v="7898.6"/>
    <n v="28434.959999999999"/>
  </r>
  <r>
    <x v="0"/>
    <x v="0"/>
    <x v="0"/>
    <x v="0"/>
    <x v="0"/>
    <s v="DK1_Rural"/>
    <x v="2"/>
    <x v="1"/>
    <s v="GNR_ENG_NGAS_BP_E-46"/>
    <x v="0"/>
    <x v="6"/>
    <n v="21.64"/>
    <n v="7898.6"/>
    <n v="28434.959999999999"/>
  </r>
  <r>
    <x v="0"/>
    <x v="0"/>
    <x v="0"/>
    <x v="0"/>
    <x v="0"/>
    <s v="DK1_Rural"/>
    <x v="2"/>
    <x v="1"/>
    <s v="GNR_ENG_NGAS_BP_E-46"/>
    <x v="0"/>
    <x v="7"/>
    <n v="21.64"/>
    <n v="7898.6"/>
    <n v="28434.959999999999"/>
  </r>
  <r>
    <x v="0"/>
    <x v="0"/>
    <x v="0"/>
    <x v="0"/>
    <x v="0"/>
    <s v="DK1_Rural"/>
    <x v="2"/>
    <x v="1"/>
    <s v="GNR_ENG_NGAS_BP_E-46"/>
    <x v="0"/>
    <x v="8"/>
    <n v="21.64"/>
    <n v="7898.6"/>
    <n v="28434.959999999999"/>
  </r>
  <r>
    <x v="0"/>
    <x v="0"/>
    <x v="0"/>
    <x v="0"/>
    <x v="0"/>
    <s v="DK1_Rural"/>
    <x v="2"/>
    <x v="1"/>
    <s v="GNR_ENG_NGAS_BP_E-46"/>
    <x v="0"/>
    <x v="0"/>
    <n v="21.64"/>
    <n v="7898.6"/>
    <n v="28434.959999999999"/>
  </r>
  <r>
    <x v="0"/>
    <x v="0"/>
    <x v="0"/>
    <x v="0"/>
    <x v="0"/>
    <s v="DK1_Rural"/>
    <x v="2"/>
    <x v="1"/>
    <s v="GNR_ENG_NGAS_BP_E-46"/>
    <x v="0"/>
    <x v="1"/>
    <n v="21.64"/>
    <n v="7898.6"/>
    <n v="28434.959999999999"/>
  </r>
  <r>
    <x v="0"/>
    <x v="0"/>
    <x v="0"/>
    <x v="0"/>
    <x v="0"/>
    <s v="DK1_Rural"/>
    <x v="2"/>
    <x v="1"/>
    <s v="GNR_ENG_NGAS_BP_E-46"/>
    <x v="0"/>
    <x v="2"/>
    <n v="21.64"/>
    <n v="7898.6"/>
    <n v="28434.959999999999"/>
  </r>
  <r>
    <x v="0"/>
    <x v="0"/>
    <x v="0"/>
    <x v="0"/>
    <x v="0"/>
    <s v="DK1_Rural"/>
    <x v="2"/>
    <x v="1"/>
    <s v="GNR_ENG_NGAS_BP_E-46"/>
    <x v="0"/>
    <x v="9"/>
    <n v="21.64"/>
    <n v="7898.6"/>
    <n v="28434.959999999999"/>
  </r>
  <r>
    <x v="0"/>
    <x v="0"/>
    <x v="0"/>
    <x v="0"/>
    <x v="0"/>
    <s v="DK1_Rural"/>
    <x v="2"/>
    <x v="1"/>
    <s v="GNR_ENG_NGAS_BP_E-46"/>
    <x v="0"/>
    <x v="10"/>
    <n v="21.64"/>
    <n v="7898.6"/>
    <n v="28434.959999999999"/>
  </r>
  <r>
    <x v="0"/>
    <x v="0"/>
    <x v="0"/>
    <x v="0"/>
    <x v="0"/>
    <s v="DK1_Rural"/>
    <x v="2"/>
    <x v="1"/>
    <s v="GNR_ENG_NGAS_BP_E-46"/>
    <x v="0"/>
    <x v="11"/>
    <n v="21.64"/>
    <n v="7898.6"/>
    <n v="28434.959999999999"/>
  </r>
  <r>
    <x v="0"/>
    <x v="0"/>
    <x v="0"/>
    <x v="0"/>
    <x v="0"/>
    <s v="DK1_Rural"/>
    <x v="2"/>
    <x v="1"/>
    <s v="GNR_ENG_NGAS_BP_E-46"/>
    <x v="0"/>
    <x v="12"/>
    <n v="21.64"/>
    <n v="7898.6"/>
    <n v="28434.959999999999"/>
  </r>
  <r>
    <x v="0"/>
    <x v="0"/>
    <x v="0"/>
    <x v="0"/>
    <x v="0"/>
    <s v="DK1_Rural"/>
    <x v="2"/>
    <x v="1"/>
    <s v="GNR_ENG_NGAS_BP_E-46"/>
    <x v="0"/>
    <x v="13"/>
    <n v="21.64"/>
    <n v="7898.6"/>
    <n v="28434.959999999999"/>
  </r>
  <r>
    <x v="0"/>
    <x v="0"/>
    <x v="0"/>
    <x v="0"/>
    <x v="0"/>
    <s v="DK1_Rural"/>
    <x v="2"/>
    <x v="1"/>
    <s v="GNR_ENG_NGAS_BP_E-46"/>
    <x v="0"/>
    <x v="14"/>
    <n v="21.64"/>
    <n v="7898.6"/>
    <n v="28434.959999999999"/>
  </r>
  <r>
    <x v="0"/>
    <x v="0"/>
    <x v="0"/>
    <x v="0"/>
    <x v="0"/>
    <s v="DK1_Rural"/>
    <x v="2"/>
    <x v="1"/>
    <s v="GNR_ENG_NGAS_BP_E-46"/>
    <x v="0"/>
    <x v="15"/>
    <n v="21.64"/>
    <n v="7898.6"/>
    <n v="28434.959999999999"/>
  </r>
  <r>
    <x v="0"/>
    <x v="0"/>
    <x v="0"/>
    <x v="0"/>
    <x v="0"/>
    <s v="DK1_Rural"/>
    <x v="2"/>
    <x v="1"/>
    <s v="GNR_ENG_NGAS_BP_E-46"/>
    <x v="0"/>
    <x v="16"/>
    <n v="21.64"/>
    <n v="7898.6"/>
    <n v="28434.959999999999"/>
  </r>
  <r>
    <x v="0"/>
    <x v="0"/>
    <x v="0"/>
    <x v="0"/>
    <x v="0"/>
    <s v="DK1_Rural"/>
    <x v="2"/>
    <x v="1"/>
    <s v="GNR_ENG_NGAS_BP_E-46"/>
    <x v="0"/>
    <x v="17"/>
    <n v="21.64"/>
    <n v="7898.6"/>
    <n v="28434.959999999999"/>
  </r>
  <r>
    <x v="0"/>
    <x v="0"/>
    <x v="0"/>
    <x v="0"/>
    <x v="0"/>
    <s v="DK1_Rural"/>
    <x v="2"/>
    <x v="1"/>
    <s v="GNR_ENG_NGAS_BP_E-46"/>
    <x v="0"/>
    <x v="18"/>
    <n v="21.64"/>
    <n v="7898.6"/>
    <n v="28434.959999999999"/>
  </r>
  <r>
    <x v="0"/>
    <x v="0"/>
    <x v="0"/>
    <x v="0"/>
    <x v="0"/>
    <s v="DK1_Rural"/>
    <x v="2"/>
    <x v="1"/>
    <s v="GNR_ENG_NGAS_BP_E-46"/>
    <x v="0"/>
    <x v="19"/>
    <n v="21.64"/>
    <n v="7898.6"/>
    <n v="28434.959999999999"/>
  </r>
  <r>
    <x v="0"/>
    <x v="0"/>
    <x v="0"/>
    <x v="0"/>
    <x v="0"/>
    <s v="DK1_Rural"/>
    <x v="2"/>
    <x v="1"/>
    <s v="GNR_ENG_NGAS_BP_E-46"/>
    <x v="0"/>
    <x v="20"/>
    <n v="21.64"/>
    <n v="7898.6"/>
    <n v="28434.959999999999"/>
  </r>
  <r>
    <x v="0"/>
    <x v="0"/>
    <x v="0"/>
    <x v="0"/>
    <x v="0"/>
    <s v="DK1_Rural"/>
    <x v="2"/>
    <x v="1"/>
    <s v="GNR_ENG_NGAS_BP_E-46"/>
    <x v="0"/>
    <x v="21"/>
    <n v="21.64"/>
    <n v="7898.6"/>
    <n v="28434.959999999999"/>
  </r>
  <r>
    <x v="0"/>
    <x v="0"/>
    <x v="0"/>
    <x v="0"/>
    <x v="0"/>
    <s v="DK1_Rural"/>
    <x v="2"/>
    <x v="1"/>
    <s v="GNR_ENG_NGAS_BP_E-46"/>
    <x v="0"/>
    <x v="22"/>
    <n v="21.64"/>
    <n v="7898.6"/>
    <n v="28434.959999999999"/>
  </r>
  <r>
    <x v="0"/>
    <x v="0"/>
    <x v="0"/>
    <x v="0"/>
    <x v="0"/>
    <s v="DK1_Rural"/>
    <x v="2"/>
    <x v="1"/>
    <s v="GNR_ENG_NGAS_BP_E-46"/>
    <x v="0"/>
    <x v="23"/>
    <n v="21.64"/>
    <n v="7898.6"/>
    <n v="28434.959999999999"/>
  </r>
  <r>
    <x v="0"/>
    <x v="0"/>
    <x v="0"/>
    <x v="0"/>
    <x v="0"/>
    <s v="DK1_Rural"/>
    <x v="2"/>
    <x v="1"/>
    <s v="GNR_ENG_NGAS_BP_E-47"/>
    <x v="0"/>
    <x v="3"/>
    <n v="3.7"/>
    <n v="1350.5"/>
    <n v="4861.8"/>
  </r>
  <r>
    <x v="0"/>
    <x v="0"/>
    <x v="0"/>
    <x v="0"/>
    <x v="0"/>
    <s v="DK1_Rural"/>
    <x v="2"/>
    <x v="1"/>
    <s v="GNR_ENG_NGAS_BP_E-47"/>
    <x v="0"/>
    <x v="4"/>
    <n v="3.7"/>
    <n v="1350.5"/>
    <n v="4861.8"/>
  </r>
  <r>
    <x v="0"/>
    <x v="0"/>
    <x v="0"/>
    <x v="0"/>
    <x v="0"/>
    <s v="DK1_Rural"/>
    <x v="2"/>
    <x v="1"/>
    <s v="GNR_ENG_NGAS_BP_E-47"/>
    <x v="0"/>
    <x v="5"/>
    <n v="3.7"/>
    <n v="1350.5"/>
    <n v="4861.8"/>
  </r>
  <r>
    <x v="0"/>
    <x v="0"/>
    <x v="0"/>
    <x v="0"/>
    <x v="0"/>
    <s v="DK1_Rural"/>
    <x v="2"/>
    <x v="1"/>
    <s v="GNR_ENG_NGAS_BP_E-47"/>
    <x v="0"/>
    <x v="6"/>
    <n v="3.7"/>
    <n v="1350.5"/>
    <n v="4861.8"/>
  </r>
  <r>
    <x v="0"/>
    <x v="0"/>
    <x v="0"/>
    <x v="0"/>
    <x v="0"/>
    <s v="DK1_Rural"/>
    <x v="2"/>
    <x v="1"/>
    <s v="GNR_ENG_NGAS_BP_E-47"/>
    <x v="0"/>
    <x v="7"/>
    <n v="3.7"/>
    <n v="1350.5"/>
    <n v="4861.8"/>
  </r>
  <r>
    <x v="0"/>
    <x v="0"/>
    <x v="0"/>
    <x v="0"/>
    <x v="0"/>
    <s v="DK1_Rural"/>
    <x v="2"/>
    <x v="1"/>
    <s v="GNR_ENG_NGAS_BP_E-47"/>
    <x v="0"/>
    <x v="8"/>
    <n v="3.7"/>
    <n v="1350.5"/>
    <n v="4861.8"/>
  </r>
  <r>
    <x v="0"/>
    <x v="0"/>
    <x v="0"/>
    <x v="0"/>
    <x v="0"/>
    <s v="DK1_Rural"/>
    <x v="2"/>
    <x v="1"/>
    <s v="GNR_ENG_NGAS_BP_E-47"/>
    <x v="0"/>
    <x v="0"/>
    <n v="3.7"/>
    <n v="1350.5"/>
    <n v="4861.8"/>
  </r>
  <r>
    <x v="0"/>
    <x v="0"/>
    <x v="0"/>
    <x v="0"/>
    <x v="0"/>
    <s v="DK1_Rural"/>
    <x v="2"/>
    <x v="1"/>
    <s v="GNR_ENG_NGAS_BP_E-47"/>
    <x v="0"/>
    <x v="1"/>
    <n v="3.7"/>
    <n v="1350.5"/>
    <n v="4861.8"/>
  </r>
  <r>
    <x v="0"/>
    <x v="0"/>
    <x v="0"/>
    <x v="0"/>
    <x v="0"/>
    <s v="DK1_Rural"/>
    <x v="2"/>
    <x v="1"/>
    <s v="GNR_ENG_NGAS_BP_E-47"/>
    <x v="0"/>
    <x v="2"/>
    <n v="3.7"/>
    <n v="1350.5"/>
    <n v="4861.8"/>
  </r>
  <r>
    <x v="0"/>
    <x v="0"/>
    <x v="0"/>
    <x v="0"/>
    <x v="0"/>
    <s v="DK1_Rural"/>
    <x v="2"/>
    <x v="1"/>
    <s v="GNR_ENG_NGAS_BP_E-47"/>
    <x v="0"/>
    <x v="9"/>
    <n v="3.7"/>
    <n v="1350.5"/>
    <n v="4861.8"/>
  </r>
  <r>
    <x v="0"/>
    <x v="0"/>
    <x v="0"/>
    <x v="0"/>
    <x v="0"/>
    <s v="DK1_Rural"/>
    <x v="2"/>
    <x v="1"/>
    <s v="GNR_ENG_NGAS_BP_E-47"/>
    <x v="0"/>
    <x v="10"/>
    <n v="3.7"/>
    <n v="1350.5"/>
    <n v="4861.8"/>
  </r>
  <r>
    <x v="0"/>
    <x v="0"/>
    <x v="0"/>
    <x v="0"/>
    <x v="0"/>
    <s v="DK1_Rural"/>
    <x v="2"/>
    <x v="1"/>
    <s v="GNR_ENG_NGAS_BP_E-47"/>
    <x v="0"/>
    <x v="11"/>
    <n v="3.7"/>
    <n v="1350.5"/>
    <n v="4861.8"/>
  </r>
  <r>
    <x v="0"/>
    <x v="0"/>
    <x v="0"/>
    <x v="0"/>
    <x v="0"/>
    <s v="DK1_Rural"/>
    <x v="2"/>
    <x v="1"/>
    <s v="GNR_ENG_NGAS_BP_E-47"/>
    <x v="0"/>
    <x v="12"/>
    <n v="3.7"/>
    <n v="1350.5"/>
    <n v="4861.8"/>
  </r>
  <r>
    <x v="0"/>
    <x v="0"/>
    <x v="0"/>
    <x v="0"/>
    <x v="0"/>
    <s v="DK1_Rural"/>
    <x v="2"/>
    <x v="1"/>
    <s v="GNR_ENG_NGAS_BP_E-47"/>
    <x v="0"/>
    <x v="13"/>
    <n v="3.7"/>
    <n v="1350.5"/>
    <n v="4861.8"/>
  </r>
  <r>
    <x v="0"/>
    <x v="0"/>
    <x v="0"/>
    <x v="0"/>
    <x v="0"/>
    <s v="DK1_Rural"/>
    <x v="2"/>
    <x v="1"/>
    <s v="GNR_ENG_NGAS_BP_E-47"/>
    <x v="0"/>
    <x v="14"/>
    <n v="3.7"/>
    <n v="1350.5"/>
    <n v="4861.8"/>
  </r>
  <r>
    <x v="0"/>
    <x v="0"/>
    <x v="0"/>
    <x v="0"/>
    <x v="0"/>
    <s v="DK1_Rural"/>
    <x v="2"/>
    <x v="1"/>
    <s v="GNR_ENG_NGAS_BP_E-47"/>
    <x v="0"/>
    <x v="15"/>
    <n v="3.7"/>
    <n v="1350.5"/>
    <n v="4861.8"/>
  </r>
  <r>
    <x v="0"/>
    <x v="0"/>
    <x v="0"/>
    <x v="0"/>
    <x v="0"/>
    <s v="DK1_Rural"/>
    <x v="2"/>
    <x v="1"/>
    <s v="GNR_ENG_NGAS_BP_E-47"/>
    <x v="0"/>
    <x v="16"/>
    <n v="3.7"/>
    <n v="1350.5"/>
    <n v="4861.8"/>
  </r>
  <r>
    <x v="0"/>
    <x v="0"/>
    <x v="0"/>
    <x v="0"/>
    <x v="0"/>
    <s v="DK1_Rural"/>
    <x v="2"/>
    <x v="1"/>
    <s v="GNR_ENG_NGAS_BP_E-47"/>
    <x v="0"/>
    <x v="17"/>
    <n v="3.7"/>
    <n v="1350.5"/>
    <n v="4861.8"/>
  </r>
  <r>
    <x v="0"/>
    <x v="0"/>
    <x v="0"/>
    <x v="0"/>
    <x v="0"/>
    <s v="DK1_Rural"/>
    <x v="2"/>
    <x v="1"/>
    <s v="GNR_ENG_NGAS_BP_E-47"/>
    <x v="0"/>
    <x v="18"/>
    <n v="3.7"/>
    <n v="1350.5"/>
    <n v="4861.8"/>
  </r>
  <r>
    <x v="0"/>
    <x v="0"/>
    <x v="0"/>
    <x v="0"/>
    <x v="0"/>
    <s v="DK1_Rural"/>
    <x v="2"/>
    <x v="1"/>
    <s v="GNR_ENG_NGAS_BP_E-47"/>
    <x v="0"/>
    <x v="19"/>
    <n v="3.7"/>
    <n v="1350.5"/>
    <n v="4861.8"/>
  </r>
  <r>
    <x v="0"/>
    <x v="0"/>
    <x v="0"/>
    <x v="0"/>
    <x v="0"/>
    <s v="DK1_Rural"/>
    <x v="2"/>
    <x v="1"/>
    <s v="GNR_ENG_NGAS_BP_E-47"/>
    <x v="0"/>
    <x v="20"/>
    <n v="3.7"/>
    <n v="1350.5"/>
    <n v="4861.8"/>
  </r>
  <r>
    <x v="0"/>
    <x v="0"/>
    <x v="0"/>
    <x v="0"/>
    <x v="0"/>
    <s v="DK1_Rural"/>
    <x v="2"/>
    <x v="1"/>
    <s v="GNR_ENG_NGAS_BP_E-47"/>
    <x v="0"/>
    <x v="21"/>
    <n v="3.7"/>
    <n v="1350.5"/>
    <n v="4861.8"/>
  </r>
  <r>
    <x v="0"/>
    <x v="0"/>
    <x v="0"/>
    <x v="0"/>
    <x v="0"/>
    <s v="DK1_Rural"/>
    <x v="2"/>
    <x v="1"/>
    <s v="GNR_ENG_NGAS_BP_E-47"/>
    <x v="0"/>
    <x v="22"/>
    <n v="3.7"/>
    <n v="1350.5"/>
    <n v="4861.8"/>
  </r>
  <r>
    <x v="0"/>
    <x v="0"/>
    <x v="0"/>
    <x v="0"/>
    <x v="0"/>
    <s v="DK1_Rural"/>
    <x v="2"/>
    <x v="1"/>
    <s v="GNR_ENG_NGAS_BP_E-47"/>
    <x v="0"/>
    <x v="23"/>
    <n v="3.7"/>
    <n v="1350.5"/>
    <n v="4861.8"/>
  </r>
  <r>
    <x v="0"/>
    <x v="0"/>
    <x v="0"/>
    <x v="0"/>
    <x v="0"/>
    <s v="DK1_Rural"/>
    <x v="2"/>
    <x v="1"/>
    <s v="GNR_GT_NGAS_BP_E-28"/>
    <x v="0"/>
    <x v="0"/>
    <n v="7.4"/>
    <n v="2701"/>
    <n v="9723.6"/>
  </r>
  <r>
    <x v="0"/>
    <x v="0"/>
    <x v="0"/>
    <x v="0"/>
    <x v="0"/>
    <s v="DK1_Rural"/>
    <x v="2"/>
    <x v="1"/>
    <s v="GNR_GT_NGAS_BP_E-28"/>
    <x v="0"/>
    <x v="1"/>
    <n v="7.4"/>
    <n v="2701"/>
    <n v="9723.6"/>
  </r>
  <r>
    <x v="0"/>
    <x v="0"/>
    <x v="0"/>
    <x v="0"/>
    <x v="0"/>
    <s v="DK1_Rural"/>
    <x v="2"/>
    <x v="1"/>
    <s v="GNR_GT_NGAS_BP_E-28"/>
    <x v="0"/>
    <x v="2"/>
    <n v="7.4"/>
    <n v="2701"/>
    <n v="9723.6"/>
  </r>
  <r>
    <x v="0"/>
    <x v="0"/>
    <x v="0"/>
    <x v="0"/>
    <x v="0"/>
    <s v="DK1_Rural"/>
    <x v="2"/>
    <x v="1"/>
    <s v="GNR_GT_NGAS_BP_E-28"/>
    <x v="0"/>
    <x v="9"/>
    <n v="7.4"/>
    <n v="2701"/>
    <n v="9723.6"/>
  </r>
  <r>
    <x v="0"/>
    <x v="0"/>
    <x v="0"/>
    <x v="0"/>
    <x v="0"/>
    <s v="DK1_Rural"/>
    <x v="2"/>
    <x v="1"/>
    <s v="GNR_GT_NGAS_BP_E-30"/>
    <x v="0"/>
    <x v="0"/>
    <n v="6.3"/>
    <n v="2299.5"/>
    <n v="8278.2000000000007"/>
  </r>
  <r>
    <x v="0"/>
    <x v="0"/>
    <x v="0"/>
    <x v="0"/>
    <x v="0"/>
    <s v="DK1_Rural"/>
    <x v="2"/>
    <x v="1"/>
    <s v="GNR_GT_NGAS_BP_E-30"/>
    <x v="0"/>
    <x v="1"/>
    <n v="6.3"/>
    <n v="2299.5"/>
    <n v="8278.2000000000007"/>
  </r>
  <r>
    <x v="0"/>
    <x v="0"/>
    <x v="0"/>
    <x v="0"/>
    <x v="0"/>
    <s v="DK1_Rural"/>
    <x v="2"/>
    <x v="1"/>
    <s v="GNR_GT_NGAS_BP_E-30"/>
    <x v="0"/>
    <x v="2"/>
    <n v="6.3"/>
    <n v="2299.5"/>
    <n v="8278.2000000000007"/>
  </r>
  <r>
    <x v="0"/>
    <x v="0"/>
    <x v="0"/>
    <x v="0"/>
    <x v="0"/>
    <s v="DK1_Rural"/>
    <x v="2"/>
    <x v="1"/>
    <s v="GNR_GT_NGAS_BP_E-30"/>
    <x v="0"/>
    <x v="9"/>
    <n v="6.3"/>
    <n v="2299.5"/>
    <n v="8278.2000000000007"/>
  </r>
  <r>
    <x v="0"/>
    <x v="0"/>
    <x v="0"/>
    <x v="0"/>
    <x v="0"/>
    <s v="DK1_Rural"/>
    <x v="2"/>
    <x v="1"/>
    <s v="GNR_GT_NGAS_BP_E-30"/>
    <x v="0"/>
    <x v="10"/>
    <n v="6.3"/>
    <n v="2299.5"/>
    <n v="8278.2000000000007"/>
  </r>
  <r>
    <x v="0"/>
    <x v="0"/>
    <x v="0"/>
    <x v="0"/>
    <x v="0"/>
    <s v="DK1_Rural"/>
    <x v="2"/>
    <x v="1"/>
    <s v="GNR_GT_NGAS_BP_E-41"/>
    <x v="0"/>
    <x v="3"/>
    <n v="6"/>
    <n v="2190"/>
    <n v="7884"/>
  </r>
  <r>
    <x v="0"/>
    <x v="0"/>
    <x v="0"/>
    <x v="0"/>
    <x v="0"/>
    <s v="DK1_Rural"/>
    <x v="2"/>
    <x v="1"/>
    <s v="GNR_GT_NGAS_BP_E-41"/>
    <x v="0"/>
    <x v="4"/>
    <n v="6"/>
    <n v="2190"/>
    <n v="7884"/>
  </r>
  <r>
    <x v="0"/>
    <x v="0"/>
    <x v="0"/>
    <x v="0"/>
    <x v="0"/>
    <s v="DK1_Rural"/>
    <x v="2"/>
    <x v="1"/>
    <s v="GNR_GT_NGAS_BP_E-41"/>
    <x v="0"/>
    <x v="5"/>
    <n v="6"/>
    <n v="2190"/>
    <n v="7884"/>
  </r>
  <r>
    <x v="0"/>
    <x v="0"/>
    <x v="0"/>
    <x v="0"/>
    <x v="0"/>
    <s v="DK1_Rural"/>
    <x v="2"/>
    <x v="1"/>
    <s v="GNR_GT_NGAS_BP_E-41"/>
    <x v="0"/>
    <x v="6"/>
    <n v="6"/>
    <n v="2190"/>
    <n v="7884"/>
  </r>
  <r>
    <x v="0"/>
    <x v="0"/>
    <x v="0"/>
    <x v="0"/>
    <x v="0"/>
    <s v="DK1_Rural"/>
    <x v="2"/>
    <x v="1"/>
    <s v="GNR_GT_NGAS_BP_E-41"/>
    <x v="0"/>
    <x v="7"/>
    <n v="6"/>
    <n v="2190"/>
    <n v="7884"/>
  </r>
  <r>
    <x v="0"/>
    <x v="0"/>
    <x v="0"/>
    <x v="0"/>
    <x v="0"/>
    <s v="DK1_Rural"/>
    <x v="2"/>
    <x v="1"/>
    <s v="GNR_GT_NGAS_BP_E-41"/>
    <x v="0"/>
    <x v="8"/>
    <n v="6"/>
    <n v="2190"/>
    <n v="7884"/>
  </r>
  <r>
    <x v="0"/>
    <x v="0"/>
    <x v="0"/>
    <x v="0"/>
    <x v="0"/>
    <s v="DK1_Rural"/>
    <x v="2"/>
    <x v="1"/>
    <s v="GNR_GT_NGAS_BP_E-41"/>
    <x v="0"/>
    <x v="0"/>
    <n v="6"/>
    <n v="2190"/>
    <n v="7884"/>
  </r>
  <r>
    <x v="0"/>
    <x v="0"/>
    <x v="0"/>
    <x v="0"/>
    <x v="0"/>
    <s v="DK1_Rural"/>
    <x v="2"/>
    <x v="1"/>
    <s v="GNR_GT_NGAS_BP_E-41"/>
    <x v="0"/>
    <x v="1"/>
    <n v="6"/>
    <n v="2190"/>
    <n v="7884"/>
  </r>
  <r>
    <x v="0"/>
    <x v="0"/>
    <x v="0"/>
    <x v="0"/>
    <x v="0"/>
    <s v="DK1_Rural"/>
    <x v="2"/>
    <x v="1"/>
    <s v="GNR_GT_NGAS_BP_E-41"/>
    <x v="0"/>
    <x v="2"/>
    <n v="6"/>
    <n v="2190"/>
    <n v="7884"/>
  </r>
  <r>
    <x v="0"/>
    <x v="0"/>
    <x v="0"/>
    <x v="0"/>
    <x v="0"/>
    <s v="DK1_Rural"/>
    <x v="2"/>
    <x v="1"/>
    <s v="GNR_GT_NGAS_BP_E-41"/>
    <x v="0"/>
    <x v="9"/>
    <n v="6"/>
    <n v="2190"/>
    <n v="7884"/>
  </r>
  <r>
    <x v="0"/>
    <x v="0"/>
    <x v="0"/>
    <x v="0"/>
    <x v="0"/>
    <s v="DK1_Rural"/>
    <x v="2"/>
    <x v="1"/>
    <s v="GNR_GT_NGAS_BP_E-41"/>
    <x v="0"/>
    <x v="10"/>
    <n v="6"/>
    <n v="2190"/>
    <n v="7884"/>
  </r>
  <r>
    <x v="0"/>
    <x v="0"/>
    <x v="0"/>
    <x v="0"/>
    <x v="0"/>
    <s v="DK1_Rural"/>
    <x v="2"/>
    <x v="1"/>
    <s v="GNR_GT_NGAS_BP_E-41"/>
    <x v="0"/>
    <x v="11"/>
    <n v="6"/>
    <n v="2190"/>
    <n v="7884"/>
  </r>
  <r>
    <x v="0"/>
    <x v="0"/>
    <x v="0"/>
    <x v="0"/>
    <x v="0"/>
    <s v="DK1_Rural"/>
    <x v="2"/>
    <x v="1"/>
    <s v="GNR_GT_NGAS_BP_E-41"/>
    <x v="0"/>
    <x v="12"/>
    <n v="6"/>
    <n v="2190"/>
    <n v="7884"/>
  </r>
  <r>
    <x v="0"/>
    <x v="0"/>
    <x v="0"/>
    <x v="0"/>
    <x v="0"/>
    <s v="DK1_Rural"/>
    <x v="2"/>
    <x v="1"/>
    <s v="GNR_GT_NGAS_BP_E-41"/>
    <x v="0"/>
    <x v="13"/>
    <n v="6"/>
    <n v="2190"/>
    <n v="7884"/>
  </r>
  <r>
    <x v="0"/>
    <x v="0"/>
    <x v="0"/>
    <x v="0"/>
    <x v="0"/>
    <s v="DK1_Rural"/>
    <x v="2"/>
    <x v="1"/>
    <s v="GNR_GT_NGAS_BP_E-41"/>
    <x v="0"/>
    <x v="14"/>
    <n v="6"/>
    <n v="2190"/>
    <n v="7884"/>
  </r>
  <r>
    <x v="0"/>
    <x v="0"/>
    <x v="0"/>
    <x v="0"/>
    <x v="0"/>
    <s v="DK1_Rural"/>
    <x v="2"/>
    <x v="1"/>
    <s v="GNR_GT_NGAS_BP_E-41"/>
    <x v="0"/>
    <x v="15"/>
    <n v="6"/>
    <n v="2190"/>
    <n v="7884"/>
  </r>
  <r>
    <x v="0"/>
    <x v="0"/>
    <x v="0"/>
    <x v="0"/>
    <x v="0"/>
    <s v="DK1_Rural"/>
    <x v="2"/>
    <x v="1"/>
    <s v="GNR_GT_NGAS_BP_E-41"/>
    <x v="0"/>
    <x v="16"/>
    <n v="6"/>
    <n v="2190"/>
    <n v="7884"/>
  </r>
  <r>
    <x v="0"/>
    <x v="0"/>
    <x v="0"/>
    <x v="0"/>
    <x v="0"/>
    <s v="DK1_Rural"/>
    <x v="2"/>
    <x v="1"/>
    <s v="GNR_GT_NGAS_BP_E-41"/>
    <x v="0"/>
    <x v="17"/>
    <n v="6"/>
    <n v="2190"/>
    <n v="7884"/>
  </r>
  <r>
    <x v="0"/>
    <x v="0"/>
    <x v="0"/>
    <x v="0"/>
    <x v="0"/>
    <s v="DK1_Rural"/>
    <x v="2"/>
    <x v="1"/>
    <s v="GNR_GT_NGAS_BP_E-41"/>
    <x v="0"/>
    <x v="18"/>
    <n v="6"/>
    <n v="2190"/>
    <n v="7884"/>
  </r>
  <r>
    <x v="0"/>
    <x v="0"/>
    <x v="0"/>
    <x v="0"/>
    <x v="0"/>
    <s v="DK1_Rural"/>
    <x v="2"/>
    <x v="1"/>
    <s v="GNR_GT_NGAS_BP_E-41"/>
    <x v="0"/>
    <x v="19"/>
    <n v="6"/>
    <n v="2190"/>
    <n v="7884"/>
  </r>
  <r>
    <x v="0"/>
    <x v="0"/>
    <x v="0"/>
    <x v="0"/>
    <x v="0"/>
    <s v="DK1_Rural"/>
    <x v="2"/>
    <x v="1"/>
    <s v="GNR_GT_NGAS_BP_E-41"/>
    <x v="0"/>
    <x v="20"/>
    <n v="6"/>
    <n v="2190"/>
    <n v="7884"/>
  </r>
  <r>
    <x v="0"/>
    <x v="0"/>
    <x v="0"/>
    <x v="0"/>
    <x v="0"/>
    <s v="DK1_Rural"/>
    <x v="2"/>
    <x v="1"/>
    <s v="GNR_GT_NGAS_BP_E-41"/>
    <x v="0"/>
    <x v="21"/>
    <n v="6"/>
    <n v="2190"/>
    <n v="7884"/>
  </r>
  <r>
    <x v="0"/>
    <x v="0"/>
    <x v="0"/>
    <x v="0"/>
    <x v="0"/>
    <s v="DK1_Rural"/>
    <x v="2"/>
    <x v="1"/>
    <s v="GNR_GT_NGAS_BP_E-41"/>
    <x v="0"/>
    <x v="22"/>
    <n v="6"/>
    <n v="2190"/>
    <n v="7884"/>
  </r>
  <r>
    <x v="0"/>
    <x v="0"/>
    <x v="0"/>
    <x v="0"/>
    <x v="0"/>
    <s v="DK1_Rural"/>
    <x v="2"/>
    <x v="1"/>
    <s v="GNR_GT_NGAS_BP_E-41"/>
    <x v="0"/>
    <x v="23"/>
    <n v="6"/>
    <n v="2190"/>
    <n v="7884"/>
  </r>
  <r>
    <x v="0"/>
    <x v="0"/>
    <x v="0"/>
    <x v="0"/>
    <x v="0"/>
    <s v="DK1_Rural"/>
    <x v="3"/>
    <x v="1"/>
    <s v="GNR_ST_STRW_BP_E-26"/>
    <x v="0"/>
    <x v="3"/>
    <n v="2.2999999999999998"/>
    <n v="839.5"/>
    <n v="3022.2"/>
  </r>
  <r>
    <x v="0"/>
    <x v="0"/>
    <x v="0"/>
    <x v="0"/>
    <x v="0"/>
    <s v="DK1_Rural"/>
    <x v="3"/>
    <x v="1"/>
    <s v="GNR_ST_STRW_BP_E-26"/>
    <x v="0"/>
    <x v="4"/>
    <n v="2.2999999999999998"/>
    <n v="839.5"/>
    <n v="3022.2"/>
  </r>
  <r>
    <x v="0"/>
    <x v="0"/>
    <x v="0"/>
    <x v="0"/>
    <x v="0"/>
    <s v="DK1_Rural"/>
    <x v="3"/>
    <x v="1"/>
    <s v="GNR_ST_STRW_BP_E-26"/>
    <x v="0"/>
    <x v="5"/>
    <n v="2.2999999999999998"/>
    <n v="839.5"/>
    <n v="3022.2"/>
  </r>
  <r>
    <x v="0"/>
    <x v="0"/>
    <x v="0"/>
    <x v="0"/>
    <x v="0"/>
    <s v="DK1_Rural"/>
    <x v="3"/>
    <x v="1"/>
    <s v="GNR_ST_STRW_BP_E-26"/>
    <x v="0"/>
    <x v="6"/>
    <n v="2.2999999999999998"/>
    <n v="839.5"/>
    <n v="3022.2"/>
  </r>
  <r>
    <x v="0"/>
    <x v="0"/>
    <x v="0"/>
    <x v="0"/>
    <x v="0"/>
    <s v="DK1_Rural"/>
    <x v="3"/>
    <x v="1"/>
    <s v="GNR_ST_STRW_BP_E-26"/>
    <x v="0"/>
    <x v="7"/>
    <n v="1.47569610280246"/>
    <n v="538.62907752289902"/>
    <n v="1939.0646790824401"/>
  </r>
  <r>
    <x v="0"/>
    <x v="0"/>
    <x v="0"/>
    <x v="0"/>
    <x v="0"/>
    <s v="DK1_Rural"/>
    <x v="3"/>
    <x v="1"/>
    <s v="GNR_ST_STRW_BP_E-26"/>
    <x v="0"/>
    <x v="8"/>
    <n v="2.2999999999999998"/>
    <n v="839.5"/>
    <n v="3022.2"/>
  </r>
  <r>
    <x v="0"/>
    <x v="0"/>
    <x v="0"/>
    <x v="0"/>
    <x v="0"/>
    <s v="DK1_Rural"/>
    <x v="3"/>
    <x v="1"/>
    <s v="GNR_ST_STRW_BP_E-26"/>
    <x v="0"/>
    <x v="0"/>
    <n v="2.2999999999999998"/>
    <n v="839.5"/>
    <n v="3022.2"/>
  </r>
  <r>
    <x v="0"/>
    <x v="0"/>
    <x v="0"/>
    <x v="0"/>
    <x v="0"/>
    <s v="DK1_Rural"/>
    <x v="3"/>
    <x v="1"/>
    <s v="GNR_ST_STRW_BP_E-26"/>
    <x v="0"/>
    <x v="1"/>
    <n v="2.2999999999999998"/>
    <n v="839.5"/>
    <n v="3022.2"/>
  </r>
  <r>
    <x v="0"/>
    <x v="0"/>
    <x v="0"/>
    <x v="0"/>
    <x v="0"/>
    <s v="DK1_Rural"/>
    <x v="3"/>
    <x v="1"/>
    <s v="GNR_ST_STRW_BP_E-26"/>
    <x v="0"/>
    <x v="2"/>
    <n v="2.2999999999999998"/>
    <n v="839.5"/>
    <n v="3022.2"/>
  </r>
  <r>
    <x v="0"/>
    <x v="0"/>
    <x v="0"/>
    <x v="0"/>
    <x v="0"/>
    <s v="DK1_Rural"/>
    <x v="3"/>
    <x v="1"/>
    <s v="GNR_ST_STRW_BP_E-26"/>
    <x v="0"/>
    <x v="9"/>
    <n v="2.2999999999999998"/>
    <n v="839.5"/>
    <n v="3022.2"/>
  </r>
  <r>
    <x v="0"/>
    <x v="0"/>
    <x v="0"/>
    <x v="0"/>
    <x v="0"/>
    <s v="DK1_Rural"/>
    <x v="3"/>
    <x v="1"/>
    <s v="GNR_ST_STRW_BP_E-26"/>
    <x v="0"/>
    <x v="10"/>
    <n v="2.2999999999999998"/>
    <n v="839.5"/>
    <n v="3022.2"/>
  </r>
  <r>
    <x v="0"/>
    <x v="0"/>
    <x v="0"/>
    <x v="0"/>
    <x v="0"/>
    <s v="DK1_Rural"/>
    <x v="3"/>
    <x v="1"/>
    <s v="GNR_ST_STRW_BP_E-26"/>
    <x v="0"/>
    <x v="11"/>
    <n v="2.2999999999999998"/>
    <n v="839.5"/>
    <n v="3022.2"/>
  </r>
  <r>
    <x v="0"/>
    <x v="0"/>
    <x v="0"/>
    <x v="0"/>
    <x v="0"/>
    <s v="DK1_Rural"/>
    <x v="3"/>
    <x v="1"/>
    <s v="GNR_ST_STRW_BP_E-26"/>
    <x v="0"/>
    <x v="12"/>
    <n v="2.2999999999999998"/>
    <n v="839.5"/>
    <n v="3022.2"/>
  </r>
  <r>
    <x v="0"/>
    <x v="0"/>
    <x v="0"/>
    <x v="0"/>
    <x v="0"/>
    <s v="DK1_Rural"/>
    <x v="3"/>
    <x v="1"/>
    <s v="GNR_ST_STRW_BP_E-26"/>
    <x v="0"/>
    <x v="13"/>
    <n v="2.2999999999999998"/>
    <n v="839.5"/>
    <n v="3022.2"/>
  </r>
  <r>
    <x v="0"/>
    <x v="0"/>
    <x v="0"/>
    <x v="0"/>
    <x v="0"/>
    <s v="DK1_Rural"/>
    <x v="3"/>
    <x v="1"/>
    <s v="GNR_ST_STRW_BP_E-26"/>
    <x v="0"/>
    <x v="14"/>
    <n v="2.2999999999999998"/>
    <n v="839.5"/>
    <n v="3022.2"/>
  </r>
  <r>
    <x v="0"/>
    <x v="0"/>
    <x v="0"/>
    <x v="0"/>
    <x v="0"/>
    <s v="DK1_Rural"/>
    <x v="3"/>
    <x v="1"/>
    <s v="GNR_ST_STRW_BP_E-26"/>
    <x v="0"/>
    <x v="15"/>
    <n v="2.2999999999999998"/>
    <n v="839.5"/>
    <n v="3022.2"/>
  </r>
  <r>
    <x v="0"/>
    <x v="0"/>
    <x v="0"/>
    <x v="0"/>
    <x v="0"/>
    <s v="DK1_Rural"/>
    <x v="3"/>
    <x v="1"/>
    <s v="GNR_ST_STRW_BP_E-26"/>
    <x v="0"/>
    <x v="16"/>
    <n v="2.2999999999999998"/>
    <n v="839.5"/>
    <n v="3022.2"/>
  </r>
  <r>
    <x v="0"/>
    <x v="0"/>
    <x v="0"/>
    <x v="0"/>
    <x v="0"/>
    <s v="DK1_Rural"/>
    <x v="3"/>
    <x v="1"/>
    <s v="GNR_ST_STRW_BP_E-26"/>
    <x v="0"/>
    <x v="17"/>
    <n v="2.2999999999999998"/>
    <n v="839.5"/>
    <n v="3022.2"/>
  </r>
  <r>
    <x v="0"/>
    <x v="0"/>
    <x v="0"/>
    <x v="0"/>
    <x v="0"/>
    <s v="DK1_Rural"/>
    <x v="3"/>
    <x v="1"/>
    <s v="GNR_ST_STRW_BP_E-26"/>
    <x v="0"/>
    <x v="18"/>
    <n v="2.2999999999999998"/>
    <n v="839.5"/>
    <n v="3022.2"/>
  </r>
  <r>
    <x v="0"/>
    <x v="0"/>
    <x v="0"/>
    <x v="0"/>
    <x v="0"/>
    <s v="DK1_Rural"/>
    <x v="3"/>
    <x v="1"/>
    <s v="GNR_ST_STRW_BP_E-26"/>
    <x v="0"/>
    <x v="19"/>
    <n v="2.2999999999999998"/>
    <n v="839.5"/>
    <n v="3022.2"/>
  </r>
  <r>
    <x v="0"/>
    <x v="0"/>
    <x v="0"/>
    <x v="0"/>
    <x v="0"/>
    <s v="DK1_Rural"/>
    <x v="3"/>
    <x v="1"/>
    <s v="GNR_ST_STRW_BP_E-26"/>
    <x v="0"/>
    <x v="20"/>
    <n v="2.2999999999999998"/>
    <n v="839.5"/>
    <n v="3022.2"/>
  </r>
  <r>
    <x v="0"/>
    <x v="0"/>
    <x v="0"/>
    <x v="0"/>
    <x v="0"/>
    <s v="DK1_Rural"/>
    <x v="3"/>
    <x v="1"/>
    <s v="GNR_ST_STRW_BP_E-26"/>
    <x v="0"/>
    <x v="21"/>
    <n v="2.2999999999999998"/>
    <n v="839.5"/>
    <n v="3022.2"/>
  </r>
  <r>
    <x v="0"/>
    <x v="0"/>
    <x v="0"/>
    <x v="0"/>
    <x v="0"/>
    <s v="DK1_Rural"/>
    <x v="3"/>
    <x v="1"/>
    <s v="GNR_ST_STRW_BP_E-26"/>
    <x v="0"/>
    <x v="22"/>
    <n v="2.2999999999999998"/>
    <n v="839.5"/>
    <n v="3022.2"/>
  </r>
  <r>
    <x v="0"/>
    <x v="0"/>
    <x v="0"/>
    <x v="0"/>
    <x v="0"/>
    <s v="DK1_Rural"/>
    <x v="4"/>
    <x v="1"/>
    <s v="GNR_ST_WOODCHI_BP_E-27"/>
    <x v="0"/>
    <x v="0"/>
    <n v="4.7"/>
    <n v="1715.5"/>
    <n v="6175.8"/>
  </r>
  <r>
    <x v="0"/>
    <x v="0"/>
    <x v="0"/>
    <x v="0"/>
    <x v="0"/>
    <s v="DK1_Rural"/>
    <x v="4"/>
    <x v="1"/>
    <s v="GNR_ST_WOODCHI_BP_E-27"/>
    <x v="0"/>
    <x v="1"/>
    <n v="4.7"/>
    <n v="1715.5"/>
    <n v="6175.8"/>
  </r>
  <r>
    <x v="0"/>
    <x v="0"/>
    <x v="0"/>
    <x v="0"/>
    <x v="0"/>
    <s v="DK1_Rural"/>
    <x v="4"/>
    <x v="1"/>
    <s v="GNR_ST_WOODCHI_BP_E-27"/>
    <x v="0"/>
    <x v="2"/>
    <n v="4.7"/>
    <n v="1715.5"/>
    <n v="6175.8"/>
  </r>
  <r>
    <x v="0"/>
    <x v="0"/>
    <x v="0"/>
    <x v="0"/>
    <x v="0"/>
    <s v="DK1_Rural"/>
    <x v="4"/>
    <x v="1"/>
    <s v="GNR_ST_WOODCHI_BP_E-27"/>
    <x v="0"/>
    <x v="9"/>
    <n v="4.7"/>
    <n v="1715.5"/>
    <n v="6175.8"/>
  </r>
  <r>
    <x v="0"/>
    <x v="0"/>
    <x v="0"/>
    <x v="0"/>
    <x v="0"/>
    <s v="DK1_Rural"/>
    <x v="8"/>
    <x v="1"/>
    <s v="GNR_ST_WOODPEL_BP_E-30"/>
    <x v="0"/>
    <x v="0"/>
    <n v="1.91"/>
    <n v="697.15"/>
    <n v="2509.7399999999998"/>
  </r>
  <r>
    <x v="0"/>
    <x v="0"/>
    <x v="0"/>
    <x v="0"/>
    <x v="0"/>
    <s v="DK1_Rural"/>
    <x v="8"/>
    <x v="1"/>
    <s v="GNR_ST_WOODPEL_BP_E-30"/>
    <x v="0"/>
    <x v="1"/>
    <n v="1.91"/>
    <n v="697.15"/>
    <n v="2509.7399999999998"/>
  </r>
  <r>
    <x v="0"/>
    <x v="0"/>
    <x v="0"/>
    <x v="0"/>
    <x v="0"/>
    <s v="DK1_Rural"/>
    <x v="8"/>
    <x v="1"/>
    <s v="GNR_ST_WOODPEL_BP_E-30"/>
    <x v="0"/>
    <x v="2"/>
    <n v="1.91"/>
    <n v="697.15"/>
    <n v="2509.7399999999998"/>
  </r>
  <r>
    <x v="0"/>
    <x v="0"/>
    <x v="0"/>
    <x v="0"/>
    <x v="0"/>
    <s v="DK1_Small"/>
    <x v="1"/>
    <x v="1"/>
    <s v="GNR_ST_MSW_BP_E-20"/>
    <x v="0"/>
    <x v="0"/>
    <n v="2.89"/>
    <n v="1054.8499999999999"/>
    <n v="3797.46"/>
  </r>
  <r>
    <x v="0"/>
    <x v="0"/>
    <x v="0"/>
    <x v="0"/>
    <x v="0"/>
    <s v="DK1_Small"/>
    <x v="1"/>
    <x v="1"/>
    <s v="GNR_ST_MSW_BP_E-20"/>
    <x v="0"/>
    <x v="1"/>
    <n v="2.89"/>
    <n v="1054.8499999999999"/>
    <n v="3797.46"/>
  </r>
  <r>
    <x v="0"/>
    <x v="0"/>
    <x v="0"/>
    <x v="0"/>
    <x v="0"/>
    <s v="DK1_Small"/>
    <x v="1"/>
    <x v="1"/>
    <s v="GNR_ST_MSW_BP_E-20"/>
    <x v="0"/>
    <x v="2"/>
    <n v="2.89"/>
    <n v="1054.8499999999999"/>
    <n v="3797.46"/>
  </r>
  <r>
    <x v="0"/>
    <x v="0"/>
    <x v="0"/>
    <x v="0"/>
    <x v="0"/>
    <s v="DK1_Small"/>
    <x v="1"/>
    <x v="1"/>
    <s v="GNR_ST_MSW_BP_E-20"/>
    <x v="0"/>
    <x v="9"/>
    <n v="2.89"/>
    <n v="1054.8499999999999"/>
    <n v="3797.46"/>
  </r>
  <r>
    <x v="0"/>
    <x v="0"/>
    <x v="0"/>
    <x v="0"/>
    <x v="0"/>
    <s v="DK1_Small"/>
    <x v="1"/>
    <x v="1"/>
    <s v="GNR_ST_MSW_BP_E-20"/>
    <x v="0"/>
    <x v="10"/>
    <n v="2.89"/>
    <n v="1054.8499999999999"/>
    <n v="3797.46"/>
  </r>
  <r>
    <x v="0"/>
    <x v="0"/>
    <x v="0"/>
    <x v="0"/>
    <x v="0"/>
    <s v="DK1_Small"/>
    <x v="2"/>
    <x v="1"/>
    <s v="GNR_ENG_NGAS_BP_E-38"/>
    <x v="0"/>
    <x v="3"/>
    <n v="3.89"/>
    <n v="1419.85"/>
    <n v="5111.46"/>
  </r>
  <r>
    <x v="0"/>
    <x v="0"/>
    <x v="0"/>
    <x v="0"/>
    <x v="0"/>
    <s v="DK1_Small"/>
    <x v="2"/>
    <x v="1"/>
    <s v="GNR_ENG_NGAS_BP_E-38"/>
    <x v="0"/>
    <x v="4"/>
    <n v="3.89"/>
    <n v="1419.85"/>
    <n v="5111.46"/>
  </r>
  <r>
    <x v="0"/>
    <x v="0"/>
    <x v="0"/>
    <x v="0"/>
    <x v="0"/>
    <s v="DK1_Small"/>
    <x v="2"/>
    <x v="1"/>
    <s v="GNR_ENG_NGAS_BP_E-38"/>
    <x v="0"/>
    <x v="5"/>
    <n v="3.89"/>
    <n v="1419.85"/>
    <n v="5111.46"/>
  </r>
  <r>
    <x v="0"/>
    <x v="0"/>
    <x v="0"/>
    <x v="0"/>
    <x v="0"/>
    <s v="DK1_Small"/>
    <x v="2"/>
    <x v="1"/>
    <s v="GNR_ENG_NGAS_BP_E-38"/>
    <x v="0"/>
    <x v="6"/>
    <n v="3.89"/>
    <n v="1419.85"/>
    <n v="5111.46"/>
  </r>
  <r>
    <x v="0"/>
    <x v="0"/>
    <x v="0"/>
    <x v="0"/>
    <x v="0"/>
    <s v="DK1_Small"/>
    <x v="2"/>
    <x v="1"/>
    <s v="GNR_ENG_NGAS_BP_E-38"/>
    <x v="0"/>
    <x v="7"/>
    <n v="3.89"/>
    <n v="1419.85"/>
    <n v="5111.46"/>
  </r>
  <r>
    <x v="0"/>
    <x v="0"/>
    <x v="0"/>
    <x v="0"/>
    <x v="0"/>
    <s v="DK1_Small"/>
    <x v="2"/>
    <x v="1"/>
    <s v="GNR_ENG_NGAS_BP_E-38"/>
    <x v="0"/>
    <x v="8"/>
    <n v="3.89"/>
    <n v="1419.85"/>
    <n v="5111.46"/>
  </r>
  <r>
    <x v="0"/>
    <x v="0"/>
    <x v="0"/>
    <x v="0"/>
    <x v="0"/>
    <s v="DK1_Small"/>
    <x v="2"/>
    <x v="1"/>
    <s v="GNR_ENG_NGAS_BP_E-38"/>
    <x v="0"/>
    <x v="0"/>
    <n v="3.89"/>
    <n v="1419.85"/>
    <n v="5111.46"/>
  </r>
  <r>
    <x v="0"/>
    <x v="0"/>
    <x v="0"/>
    <x v="0"/>
    <x v="0"/>
    <s v="DK1_Small"/>
    <x v="2"/>
    <x v="1"/>
    <s v="GNR_ENG_NGAS_BP_E-38"/>
    <x v="0"/>
    <x v="1"/>
    <n v="3.89"/>
    <n v="1419.85"/>
    <n v="5111.46"/>
  </r>
  <r>
    <x v="0"/>
    <x v="0"/>
    <x v="0"/>
    <x v="0"/>
    <x v="0"/>
    <s v="DK1_Small"/>
    <x v="2"/>
    <x v="1"/>
    <s v="GNR_ENG_NGAS_BP_E-38"/>
    <x v="0"/>
    <x v="2"/>
    <n v="3.89"/>
    <n v="1419.85"/>
    <n v="5111.46"/>
  </r>
  <r>
    <x v="0"/>
    <x v="0"/>
    <x v="0"/>
    <x v="0"/>
    <x v="0"/>
    <s v="DK1_Small"/>
    <x v="2"/>
    <x v="1"/>
    <s v="GNR_ENG_NGAS_BP_E-38"/>
    <x v="0"/>
    <x v="9"/>
    <n v="3.89"/>
    <n v="1419.85"/>
    <n v="5111.46"/>
  </r>
  <r>
    <x v="0"/>
    <x v="0"/>
    <x v="0"/>
    <x v="0"/>
    <x v="0"/>
    <s v="DK1_Small"/>
    <x v="2"/>
    <x v="1"/>
    <s v="GNR_ENG_NGAS_BP_E-38"/>
    <x v="0"/>
    <x v="10"/>
    <n v="3.89"/>
    <n v="1419.85"/>
    <n v="5111.46"/>
  </r>
  <r>
    <x v="0"/>
    <x v="0"/>
    <x v="0"/>
    <x v="0"/>
    <x v="0"/>
    <s v="DK1_Small"/>
    <x v="2"/>
    <x v="1"/>
    <s v="GNR_ENG_NGAS_BP_E-38"/>
    <x v="0"/>
    <x v="11"/>
    <n v="3.89"/>
    <n v="1419.85"/>
    <n v="5111.46"/>
  </r>
  <r>
    <x v="0"/>
    <x v="0"/>
    <x v="0"/>
    <x v="0"/>
    <x v="0"/>
    <s v="DK1_Small"/>
    <x v="2"/>
    <x v="1"/>
    <s v="GNR_ENG_NGAS_BP_E-38"/>
    <x v="0"/>
    <x v="12"/>
    <n v="3.89"/>
    <n v="1419.85"/>
    <n v="5111.46"/>
  </r>
  <r>
    <x v="0"/>
    <x v="0"/>
    <x v="0"/>
    <x v="0"/>
    <x v="0"/>
    <s v="DK1_Small"/>
    <x v="2"/>
    <x v="1"/>
    <s v="GNR_ENG_NGAS_BP_E-38"/>
    <x v="0"/>
    <x v="13"/>
    <n v="3.89"/>
    <n v="1419.85"/>
    <n v="5111.46"/>
  </r>
  <r>
    <x v="0"/>
    <x v="0"/>
    <x v="0"/>
    <x v="0"/>
    <x v="0"/>
    <s v="DK1_Small"/>
    <x v="2"/>
    <x v="1"/>
    <s v="GNR_ENG_NGAS_BP_E-38"/>
    <x v="0"/>
    <x v="14"/>
    <n v="3.89"/>
    <n v="1419.85"/>
    <n v="5111.46"/>
  </r>
  <r>
    <x v="0"/>
    <x v="0"/>
    <x v="0"/>
    <x v="0"/>
    <x v="0"/>
    <s v="DK1_Small"/>
    <x v="2"/>
    <x v="1"/>
    <s v="GNR_ENG_NGAS_BP_E-38"/>
    <x v="0"/>
    <x v="15"/>
    <n v="3.89"/>
    <n v="1419.85"/>
    <n v="5111.46"/>
  </r>
  <r>
    <x v="0"/>
    <x v="0"/>
    <x v="0"/>
    <x v="0"/>
    <x v="0"/>
    <s v="DK1_Small"/>
    <x v="2"/>
    <x v="1"/>
    <s v="GNR_ENG_NGAS_BP_E-38"/>
    <x v="0"/>
    <x v="16"/>
    <n v="3.89"/>
    <n v="1419.85"/>
    <n v="5111.46"/>
  </r>
  <r>
    <x v="0"/>
    <x v="0"/>
    <x v="0"/>
    <x v="0"/>
    <x v="0"/>
    <s v="DK1_Small"/>
    <x v="2"/>
    <x v="1"/>
    <s v="GNR_ENG_NGAS_BP_E-38"/>
    <x v="0"/>
    <x v="17"/>
    <n v="3.89"/>
    <n v="1419.85"/>
    <n v="5111.46"/>
  </r>
  <r>
    <x v="0"/>
    <x v="0"/>
    <x v="0"/>
    <x v="0"/>
    <x v="0"/>
    <s v="DK1_Small"/>
    <x v="2"/>
    <x v="1"/>
    <s v="GNR_ENG_NGAS_BP_E-38"/>
    <x v="0"/>
    <x v="18"/>
    <n v="3.89"/>
    <n v="1419.85"/>
    <n v="5111.46"/>
  </r>
  <r>
    <x v="0"/>
    <x v="0"/>
    <x v="0"/>
    <x v="0"/>
    <x v="0"/>
    <s v="DK1_Small"/>
    <x v="2"/>
    <x v="1"/>
    <s v="GNR_ENG_NGAS_BP_E-38"/>
    <x v="0"/>
    <x v="19"/>
    <n v="3.89"/>
    <n v="1419.85"/>
    <n v="5111.46"/>
  </r>
  <r>
    <x v="0"/>
    <x v="0"/>
    <x v="0"/>
    <x v="0"/>
    <x v="0"/>
    <s v="DK1_Small"/>
    <x v="2"/>
    <x v="1"/>
    <s v="GNR_ENG_NGAS_BP_E-38"/>
    <x v="0"/>
    <x v="20"/>
    <n v="3.89"/>
    <n v="1419.85"/>
    <n v="5111.46"/>
  </r>
  <r>
    <x v="0"/>
    <x v="0"/>
    <x v="0"/>
    <x v="0"/>
    <x v="0"/>
    <s v="DK1_Small"/>
    <x v="2"/>
    <x v="1"/>
    <s v="GNR_ENG_NGAS_BP_E-38"/>
    <x v="0"/>
    <x v="21"/>
    <n v="3.89"/>
    <n v="1419.85"/>
    <n v="5111.46"/>
  </r>
  <r>
    <x v="0"/>
    <x v="0"/>
    <x v="0"/>
    <x v="0"/>
    <x v="0"/>
    <s v="DK1_Small"/>
    <x v="2"/>
    <x v="1"/>
    <s v="GNR_ENG_NGAS_BP_E-38"/>
    <x v="0"/>
    <x v="22"/>
    <n v="3.89"/>
    <n v="1419.85"/>
    <n v="5111.46"/>
  </r>
  <r>
    <x v="0"/>
    <x v="0"/>
    <x v="0"/>
    <x v="0"/>
    <x v="0"/>
    <s v="DK1_Small"/>
    <x v="2"/>
    <x v="1"/>
    <s v="GNR_ENG_NGAS_BP_E-38"/>
    <x v="0"/>
    <x v="23"/>
    <n v="3.89"/>
    <n v="1419.85"/>
    <n v="5111.46"/>
  </r>
  <r>
    <x v="0"/>
    <x v="0"/>
    <x v="0"/>
    <x v="0"/>
    <x v="0"/>
    <s v="DK1_Small"/>
    <x v="2"/>
    <x v="1"/>
    <s v="GNR_ENG_NGAS_BP_E-39"/>
    <x v="0"/>
    <x v="3"/>
    <n v="0.74"/>
    <n v="270.10000000000002"/>
    <n v="972.36"/>
  </r>
  <r>
    <x v="0"/>
    <x v="0"/>
    <x v="0"/>
    <x v="0"/>
    <x v="0"/>
    <s v="DK1_Small"/>
    <x v="2"/>
    <x v="1"/>
    <s v="GNR_ENG_NGAS_BP_E-39"/>
    <x v="0"/>
    <x v="4"/>
    <n v="0.74"/>
    <n v="270.10000000000002"/>
    <n v="972.36"/>
  </r>
  <r>
    <x v="0"/>
    <x v="0"/>
    <x v="0"/>
    <x v="0"/>
    <x v="0"/>
    <s v="DK1_Small"/>
    <x v="2"/>
    <x v="1"/>
    <s v="GNR_ENG_NGAS_BP_E-39"/>
    <x v="0"/>
    <x v="5"/>
    <n v="0.74"/>
    <n v="270.10000000000002"/>
    <n v="972.36"/>
  </r>
  <r>
    <x v="0"/>
    <x v="0"/>
    <x v="0"/>
    <x v="0"/>
    <x v="0"/>
    <s v="DK1_Small"/>
    <x v="2"/>
    <x v="1"/>
    <s v="GNR_ENG_NGAS_BP_E-39"/>
    <x v="0"/>
    <x v="6"/>
    <n v="0.74"/>
    <n v="270.10000000000002"/>
    <n v="972.36"/>
  </r>
  <r>
    <x v="0"/>
    <x v="0"/>
    <x v="0"/>
    <x v="0"/>
    <x v="0"/>
    <s v="DK1_Small"/>
    <x v="2"/>
    <x v="1"/>
    <s v="GNR_ENG_NGAS_BP_E-39"/>
    <x v="0"/>
    <x v="7"/>
    <n v="0.74"/>
    <n v="270.10000000000002"/>
    <n v="972.36"/>
  </r>
  <r>
    <x v="0"/>
    <x v="0"/>
    <x v="0"/>
    <x v="0"/>
    <x v="0"/>
    <s v="DK1_Small"/>
    <x v="2"/>
    <x v="1"/>
    <s v="GNR_ENG_NGAS_BP_E-39"/>
    <x v="0"/>
    <x v="8"/>
    <n v="0.74"/>
    <n v="270.10000000000002"/>
    <n v="972.36"/>
  </r>
  <r>
    <x v="0"/>
    <x v="0"/>
    <x v="0"/>
    <x v="0"/>
    <x v="0"/>
    <s v="DK1_Small"/>
    <x v="2"/>
    <x v="1"/>
    <s v="GNR_ENG_NGAS_BP_E-39"/>
    <x v="0"/>
    <x v="0"/>
    <n v="0.74"/>
    <n v="270.10000000000002"/>
    <n v="972.36"/>
  </r>
  <r>
    <x v="0"/>
    <x v="0"/>
    <x v="0"/>
    <x v="0"/>
    <x v="0"/>
    <s v="DK1_Small"/>
    <x v="2"/>
    <x v="1"/>
    <s v="GNR_ENG_NGAS_BP_E-39"/>
    <x v="0"/>
    <x v="1"/>
    <n v="0.74"/>
    <n v="270.10000000000002"/>
    <n v="972.36"/>
  </r>
  <r>
    <x v="0"/>
    <x v="0"/>
    <x v="0"/>
    <x v="0"/>
    <x v="0"/>
    <s v="DK1_Small"/>
    <x v="2"/>
    <x v="1"/>
    <s v="GNR_ENG_NGAS_BP_E-39"/>
    <x v="0"/>
    <x v="2"/>
    <n v="0.74"/>
    <n v="270.10000000000002"/>
    <n v="972.36"/>
  </r>
  <r>
    <x v="0"/>
    <x v="0"/>
    <x v="0"/>
    <x v="0"/>
    <x v="0"/>
    <s v="DK1_Small"/>
    <x v="2"/>
    <x v="1"/>
    <s v="GNR_ENG_NGAS_BP_E-39"/>
    <x v="0"/>
    <x v="9"/>
    <n v="0.74"/>
    <n v="270.10000000000002"/>
    <n v="972.36"/>
  </r>
  <r>
    <x v="0"/>
    <x v="0"/>
    <x v="0"/>
    <x v="0"/>
    <x v="0"/>
    <s v="DK1_Small"/>
    <x v="2"/>
    <x v="1"/>
    <s v="GNR_ENG_NGAS_BP_E-39"/>
    <x v="0"/>
    <x v="10"/>
    <n v="0.74"/>
    <n v="270.10000000000002"/>
    <n v="972.36"/>
  </r>
  <r>
    <x v="0"/>
    <x v="0"/>
    <x v="0"/>
    <x v="0"/>
    <x v="0"/>
    <s v="DK1_Small"/>
    <x v="2"/>
    <x v="1"/>
    <s v="GNR_ENG_NGAS_BP_E-39"/>
    <x v="0"/>
    <x v="11"/>
    <n v="0.74"/>
    <n v="270.10000000000002"/>
    <n v="972.36"/>
  </r>
  <r>
    <x v="0"/>
    <x v="0"/>
    <x v="0"/>
    <x v="0"/>
    <x v="0"/>
    <s v="DK1_Small"/>
    <x v="2"/>
    <x v="1"/>
    <s v="GNR_ENG_NGAS_BP_E-39"/>
    <x v="0"/>
    <x v="12"/>
    <n v="0.74"/>
    <n v="270.10000000000002"/>
    <n v="972.36"/>
  </r>
  <r>
    <x v="0"/>
    <x v="0"/>
    <x v="0"/>
    <x v="0"/>
    <x v="0"/>
    <s v="DK1_Small"/>
    <x v="2"/>
    <x v="1"/>
    <s v="GNR_ENG_NGAS_BP_E-39"/>
    <x v="0"/>
    <x v="13"/>
    <n v="0.74"/>
    <n v="270.10000000000002"/>
    <n v="972.36"/>
  </r>
  <r>
    <x v="0"/>
    <x v="0"/>
    <x v="0"/>
    <x v="0"/>
    <x v="0"/>
    <s v="DK1_Small"/>
    <x v="2"/>
    <x v="1"/>
    <s v="GNR_ENG_NGAS_BP_E-39"/>
    <x v="0"/>
    <x v="14"/>
    <n v="0.74"/>
    <n v="270.10000000000002"/>
    <n v="972.36"/>
  </r>
  <r>
    <x v="0"/>
    <x v="0"/>
    <x v="0"/>
    <x v="0"/>
    <x v="0"/>
    <s v="DK1_Small"/>
    <x v="2"/>
    <x v="1"/>
    <s v="GNR_ENG_NGAS_BP_E-39"/>
    <x v="0"/>
    <x v="15"/>
    <n v="0.74"/>
    <n v="270.10000000000002"/>
    <n v="972.36"/>
  </r>
  <r>
    <x v="0"/>
    <x v="0"/>
    <x v="0"/>
    <x v="0"/>
    <x v="0"/>
    <s v="DK1_Small"/>
    <x v="2"/>
    <x v="1"/>
    <s v="GNR_ENG_NGAS_BP_E-39"/>
    <x v="0"/>
    <x v="16"/>
    <n v="0.74"/>
    <n v="270.10000000000002"/>
    <n v="972.36"/>
  </r>
  <r>
    <x v="0"/>
    <x v="0"/>
    <x v="0"/>
    <x v="0"/>
    <x v="0"/>
    <s v="DK1_Small"/>
    <x v="2"/>
    <x v="1"/>
    <s v="GNR_ENG_NGAS_BP_E-39"/>
    <x v="0"/>
    <x v="17"/>
    <n v="0.74"/>
    <n v="270.10000000000002"/>
    <n v="972.36"/>
  </r>
  <r>
    <x v="0"/>
    <x v="0"/>
    <x v="0"/>
    <x v="0"/>
    <x v="0"/>
    <s v="DK1_Small"/>
    <x v="2"/>
    <x v="1"/>
    <s v="GNR_ENG_NGAS_BP_E-39"/>
    <x v="0"/>
    <x v="18"/>
    <n v="0.74"/>
    <n v="270.10000000000002"/>
    <n v="972.36"/>
  </r>
  <r>
    <x v="0"/>
    <x v="0"/>
    <x v="0"/>
    <x v="0"/>
    <x v="0"/>
    <s v="DK1_Small"/>
    <x v="2"/>
    <x v="1"/>
    <s v="GNR_ENG_NGAS_BP_E-39"/>
    <x v="0"/>
    <x v="19"/>
    <n v="0.74"/>
    <n v="270.10000000000002"/>
    <n v="972.36"/>
  </r>
  <r>
    <x v="0"/>
    <x v="0"/>
    <x v="0"/>
    <x v="0"/>
    <x v="0"/>
    <s v="DK1_Small"/>
    <x v="2"/>
    <x v="1"/>
    <s v="GNR_ENG_NGAS_BP_E-39"/>
    <x v="0"/>
    <x v="20"/>
    <n v="0.74"/>
    <n v="270.10000000000002"/>
    <n v="972.36"/>
  </r>
  <r>
    <x v="0"/>
    <x v="0"/>
    <x v="0"/>
    <x v="0"/>
    <x v="0"/>
    <s v="DK1_Small"/>
    <x v="2"/>
    <x v="1"/>
    <s v="GNR_ENG_NGAS_BP_E-39"/>
    <x v="0"/>
    <x v="21"/>
    <n v="0.74"/>
    <n v="270.10000000000002"/>
    <n v="972.36"/>
  </r>
  <r>
    <x v="0"/>
    <x v="0"/>
    <x v="0"/>
    <x v="0"/>
    <x v="0"/>
    <s v="DK1_Small"/>
    <x v="2"/>
    <x v="1"/>
    <s v="GNR_ENG_NGAS_BP_E-39"/>
    <x v="0"/>
    <x v="22"/>
    <n v="0.74"/>
    <n v="270.10000000000002"/>
    <n v="972.36"/>
  </r>
  <r>
    <x v="0"/>
    <x v="0"/>
    <x v="0"/>
    <x v="0"/>
    <x v="0"/>
    <s v="DK1_Small"/>
    <x v="2"/>
    <x v="1"/>
    <s v="GNR_ENG_NGAS_BP_E-39"/>
    <x v="0"/>
    <x v="23"/>
    <n v="0.74"/>
    <n v="270.10000000000002"/>
    <n v="972.36"/>
  </r>
  <r>
    <x v="0"/>
    <x v="0"/>
    <x v="0"/>
    <x v="0"/>
    <x v="0"/>
    <s v="DK1_Small"/>
    <x v="2"/>
    <x v="1"/>
    <s v="GNR_ENG_NGAS_BP_E-41"/>
    <x v="0"/>
    <x v="3"/>
    <n v="1.48"/>
    <n v="540.20000000000005"/>
    <n v="1944.72"/>
  </r>
  <r>
    <x v="0"/>
    <x v="0"/>
    <x v="0"/>
    <x v="0"/>
    <x v="0"/>
    <s v="DK1_Small"/>
    <x v="2"/>
    <x v="1"/>
    <s v="GNR_ENG_NGAS_BP_E-41"/>
    <x v="0"/>
    <x v="4"/>
    <n v="1.48"/>
    <n v="540.20000000000005"/>
    <n v="1944.72"/>
  </r>
  <r>
    <x v="0"/>
    <x v="0"/>
    <x v="0"/>
    <x v="0"/>
    <x v="0"/>
    <s v="DK1_Small"/>
    <x v="2"/>
    <x v="1"/>
    <s v="GNR_ENG_NGAS_BP_E-41"/>
    <x v="0"/>
    <x v="5"/>
    <n v="1.48"/>
    <n v="540.20000000000005"/>
    <n v="1944.72"/>
  </r>
  <r>
    <x v="0"/>
    <x v="0"/>
    <x v="0"/>
    <x v="0"/>
    <x v="0"/>
    <s v="DK1_Small"/>
    <x v="2"/>
    <x v="1"/>
    <s v="GNR_ENG_NGAS_BP_E-41"/>
    <x v="0"/>
    <x v="6"/>
    <n v="1.48"/>
    <n v="540.20000000000005"/>
    <n v="1944.72"/>
  </r>
  <r>
    <x v="0"/>
    <x v="0"/>
    <x v="0"/>
    <x v="0"/>
    <x v="0"/>
    <s v="DK1_Small"/>
    <x v="2"/>
    <x v="1"/>
    <s v="GNR_ENG_NGAS_BP_E-41"/>
    <x v="0"/>
    <x v="7"/>
    <n v="1.48"/>
    <n v="540.20000000000005"/>
    <n v="1944.72"/>
  </r>
  <r>
    <x v="0"/>
    <x v="0"/>
    <x v="0"/>
    <x v="0"/>
    <x v="0"/>
    <s v="DK1_Small"/>
    <x v="2"/>
    <x v="1"/>
    <s v="GNR_ENG_NGAS_BP_E-41"/>
    <x v="0"/>
    <x v="8"/>
    <n v="1.48"/>
    <n v="540.20000000000005"/>
    <n v="1944.72"/>
  </r>
  <r>
    <x v="0"/>
    <x v="0"/>
    <x v="0"/>
    <x v="0"/>
    <x v="0"/>
    <s v="DK1_Small"/>
    <x v="2"/>
    <x v="1"/>
    <s v="GNR_ENG_NGAS_BP_E-41"/>
    <x v="0"/>
    <x v="0"/>
    <n v="1.48"/>
    <n v="540.20000000000005"/>
    <n v="1944.72"/>
  </r>
  <r>
    <x v="0"/>
    <x v="0"/>
    <x v="0"/>
    <x v="0"/>
    <x v="0"/>
    <s v="DK1_Small"/>
    <x v="2"/>
    <x v="1"/>
    <s v="GNR_ENG_NGAS_BP_E-41"/>
    <x v="0"/>
    <x v="1"/>
    <n v="1.48"/>
    <n v="540.20000000000005"/>
    <n v="1944.72"/>
  </r>
  <r>
    <x v="0"/>
    <x v="0"/>
    <x v="0"/>
    <x v="0"/>
    <x v="0"/>
    <s v="DK1_Small"/>
    <x v="2"/>
    <x v="1"/>
    <s v="GNR_ENG_NGAS_BP_E-41"/>
    <x v="0"/>
    <x v="2"/>
    <n v="1.48"/>
    <n v="540.20000000000005"/>
    <n v="1944.72"/>
  </r>
  <r>
    <x v="0"/>
    <x v="0"/>
    <x v="0"/>
    <x v="0"/>
    <x v="0"/>
    <s v="DK1_Small"/>
    <x v="2"/>
    <x v="1"/>
    <s v="GNR_ENG_NGAS_BP_E-41"/>
    <x v="0"/>
    <x v="9"/>
    <n v="1.48"/>
    <n v="540.20000000000005"/>
    <n v="1944.72"/>
  </r>
  <r>
    <x v="0"/>
    <x v="0"/>
    <x v="0"/>
    <x v="0"/>
    <x v="0"/>
    <s v="DK1_Small"/>
    <x v="2"/>
    <x v="1"/>
    <s v="GNR_ENG_NGAS_BP_E-41"/>
    <x v="0"/>
    <x v="10"/>
    <n v="1.48"/>
    <n v="540.20000000000005"/>
    <n v="1944.72"/>
  </r>
  <r>
    <x v="0"/>
    <x v="0"/>
    <x v="0"/>
    <x v="0"/>
    <x v="0"/>
    <s v="DK1_Small"/>
    <x v="2"/>
    <x v="1"/>
    <s v="GNR_ENG_NGAS_BP_E-41"/>
    <x v="0"/>
    <x v="11"/>
    <n v="1.48"/>
    <n v="540.20000000000005"/>
    <n v="1944.72"/>
  </r>
  <r>
    <x v="0"/>
    <x v="0"/>
    <x v="0"/>
    <x v="0"/>
    <x v="0"/>
    <s v="DK1_Small"/>
    <x v="2"/>
    <x v="1"/>
    <s v="GNR_ENG_NGAS_BP_E-41"/>
    <x v="0"/>
    <x v="12"/>
    <n v="1.48"/>
    <n v="540.20000000000005"/>
    <n v="1944.72"/>
  </r>
  <r>
    <x v="0"/>
    <x v="0"/>
    <x v="0"/>
    <x v="0"/>
    <x v="0"/>
    <s v="DK1_Small"/>
    <x v="2"/>
    <x v="1"/>
    <s v="GNR_ENG_NGAS_BP_E-41"/>
    <x v="0"/>
    <x v="13"/>
    <n v="1.48"/>
    <n v="540.20000000000005"/>
    <n v="1944.72"/>
  </r>
  <r>
    <x v="0"/>
    <x v="0"/>
    <x v="0"/>
    <x v="0"/>
    <x v="0"/>
    <s v="DK1_Small"/>
    <x v="2"/>
    <x v="1"/>
    <s v="GNR_ENG_NGAS_BP_E-41"/>
    <x v="0"/>
    <x v="14"/>
    <n v="1.48"/>
    <n v="540.20000000000005"/>
    <n v="1944.72"/>
  </r>
  <r>
    <x v="0"/>
    <x v="0"/>
    <x v="0"/>
    <x v="0"/>
    <x v="0"/>
    <s v="DK1_Small"/>
    <x v="2"/>
    <x v="1"/>
    <s v="GNR_ENG_NGAS_BP_E-41"/>
    <x v="0"/>
    <x v="15"/>
    <n v="1.48"/>
    <n v="540.20000000000005"/>
    <n v="1944.72"/>
  </r>
  <r>
    <x v="0"/>
    <x v="0"/>
    <x v="0"/>
    <x v="0"/>
    <x v="0"/>
    <s v="DK1_Small"/>
    <x v="2"/>
    <x v="1"/>
    <s v="GNR_ENG_NGAS_BP_E-41"/>
    <x v="0"/>
    <x v="16"/>
    <n v="1.48"/>
    <n v="540.20000000000005"/>
    <n v="1944.72"/>
  </r>
  <r>
    <x v="0"/>
    <x v="0"/>
    <x v="0"/>
    <x v="0"/>
    <x v="0"/>
    <s v="DK1_Small"/>
    <x v="2"/>
    <x v="1"/>
    <s v="GNR_ENG_NGAS_BP_E-41"/>
    <x v="0"/>
    <x v="17"/>
    <n v="1.48"/>
    <n v="540.20000000000005"/>
    <n v="1944.72"/>
  </r>
  <r>
    <x v="0"/>
    <x v="0"/>
    <x v="0"/>
    <x v="0"/>
    <x v="0"/>
    <s v="DK1_Small"/>
    <x v="2"/>
    <x v="1"/>
    <s v="GNR_ENG_NGAS_BP_E-41"/>
    <x v="0"/>
    <x v="18"/>
    <n v="1.48"/>
    <n v="540.20000000000005"/>
    <n v="1944.72"/>
  </r>
  <r>
    <x v="0"/>
    <x v="0"/>
    <x v="0"/>
    <x v="0"/>
    <x v="0"/>
    <s v="DK1_Small"/>
    <x v="2"/>
    <x v="1"/>
    <s v="GNR_ENG_NGAS_BP_E-41"/>
    <x v="0"/>
    <x v="19"/>
    <n v="1.48"/>
    <n v="540.20000000000005"/>
    <n v="1944.72"/>
  </r>
  <r>
    <x v="0"/>
    <x v="0"/>
    <x v="0"/>
    <x v="0"/>
    <x v="0"/>
    <s v="DK1_Small"/>
    <x v="2"/>
    <x v="1"/>
    <s v="GNR_ENG_NGAS_BP_E-41"/>
    <x v="0"/>
    <x v="20"/>
    <n v="1.48"/>
    <n v="540.20000000000005"/>
    <n v="1944.72"/>
  </r>
  <r>
    <x v="0"/>
    <x v="0"/>
    <x v="0"/>
    <x v="0"/>
    <x v="0"/>
    <s v="DK1_Small"/>
    <x v="2"/>
    <x v="1"/>
    <s v="GNR_ENG_NGAS_BP_E-41"/>
    <x v="0"/>
    <x v="21"/>
    <n v="1.48"/>
    <n v="540.20000000000005"/>
    <n v="1944.72"/>
  </r>
  <r>
    <x v="0"/>
    <x v="0"/>
    <x v="0"/>
    <x v="0"/>
    <x v="0"/>
    <s v="DK1_Small"/>
    <x v="2"/>
    <x v="1"/>
    <s v="GNR_ENG_NGAS_BP_E-41"/>
    <x v="0"/>
    <x v="22"/>
    <n v="1.48"/>
    <n v="540.20000000000005"/>
    <n v="1944.72"/>
  </r>
  <r>
    <x v="0"/>
    <x v="0"/>
    <x v="0"/>
    <x v="0"/>
    <x v="0"/>
    <s v="DK1_Small"/>
    <x v="2"/>
    <x v="1"/>
    <s v="GNR_ENG_NGAS_BP_E-41"/>
    <x v="0"/>
    <x v="23"/>
    <n v="1.48"/>
    <n v="540.20000000000005"/>
    <n v="1944.72"/>
  </r>
  <r>
    <x v="0"/>
    <x v="0"/>
    <x v="0"/>
    <x v="0"/>
    <x v="0"/>
    <s v="DK1_Small"/>
    <x v="2"/>
    <x v="1"/>
    <s v="GNR_ENG_NGAS_BP_E-42"/>
    <x v="0"/>
    <x v="3"/>
    <n v="14.1"/>
    <n v="5146.5"/>
    <n v="18527.400000000001"/>
  </r>
  <r>
    <x v="0"/>
    <x v="0"/>
    <x v="0"/>
    <x v="0"/>
    <x v="0"/>
    <s v="DK1_Small"/>
    <x v="2"/>
    <x v="1"/>
    <s v="GNR_ENG_NGAS_BP_E-42"/>
    <x v="0"/>
    <x v="4"/>
    <n v="14.1"/>
    <n v="5146.5"/>
    <n v="18527.400000000001"/>
  </r>
  <r>
    <x v="0"/>
    <x v="0"/>
    <x v="0"/>
    <x v="0"/>
    <x v="0"/>
    <s v="DK1_Small"/>
    <x v="2"/>
    <x v="1"/>
    <s v="GNR_ENG_NGAS_BP_E-42"/>
    <x v="0"/>
    <x v="5"/>
    <n v="14.1"/>
    <n v="5146.5"/>
    <n v="18527.400000000001"/>
  </r>
  <r>
    <x v="0"/>
    <x v="0"/>
    <x v="0"/>
    <x v="0"/>
    <x v="0"/>
    <s v="DK1_Small"/>
    <x v="2"/>
    <x v="1"/>
    <s v="GNR_ENG_NGAS_BP_E-42"/>
    <x v="0"/>
    <x v="6"/>
    <n v="14.1"/>
    <n v="5146.5"/>
    <n v="18527.400000000001"/>
  </r>
  <r>
    <x v="0"/>
    <x v="0"/>
    <x v="0"/>
    <x v="0"/>
    <x v="0"/>
    <s v="DK1_Small"/>
    <x v="2"/>
    <x v="1"/>
    <s v="GNR_ENG_NGAS_BP_E-42"/>
    <x v="0"/>
    <x v="7"/>
    <n v="14.1"/>
    <n v="5146.5"/>
    <n v="18527.400000000001"/>
  </r>
  <r>
    <x v="0"/>
    <x v="0"/>
    <x v="0"/>
    <x v="0"/>
    <x v="0"/>
    <s v="DK1_Small"/>
    <x v="2"/>
    <x v="1"/>
    <s v="GNR_ENG_NGAS_BP_E-42"/>
    <x v="0"/>
    <x v="8"/>
    <n v="14.1"/>
    <n v="5146.5"/>
    <n v="18527.400000000001"/>
  </r>
  <r>
    <x v="0"/>
    <x v="0"/>
    <x v="0"/>
    <x v="0"/>
    <x v="0"/>
    <s v="DK1_Small"/>
    <x v="2"/>
    <x v="1"/>
    <s v="GNR_ENG_NGAS_BP_E-42"/>
    <x v="0"/>
    <x v="0"/>
    <n v="14.1"/>
    <n v="5146.5"/>
    <n v="18527.400000000001"/>
  </r>
  <r>
    <x v="0"/>
    <x v="0"/>
    <x v="0"/>
    <x v="0"/>
    <x v="0"/>
    <s v="DK1_Small"/>
    <x v="2"/>
    <x v="1"/>
    <s v="GNR_ENG_NGAS_BP_E-42"/>
    <x v="0"/>
    <x v="1"/>
    <n v="14.1"/>
    <n v="5146.5"/>
    <n v="18527.400000000001"/>
  </r>
  <r>
    <x v="0"/>
    <x v="0"/>
    <x v="0"/>
    <x v="0"/>
    <x v="0"/>
    <s v="DK1_Small"/>
    <x v="2"/>
    <x v="1"/>
    <s v="GNR_ENG_NGAS_BP_E-42"/>
    <x v="0"/>
    <x v="2"/>
    <n v="14.1"/>
    <n v="5146.5"/>
    <n v="18527.400000000001"/>
  </r>
  <r>
    <x v="0"/>
    <x v="0"/>
    <x v="0"/>
    <x v="0"/>
    <x v="0"/>
    <s v="DK1_Small"/>
    <x v="2"/>
    <x v="1"/>
    <s v="GNR_ENG_NGAS_BP_E-42"/>
    <x v="0"/>
    <x v="9"/>
    <n v="14.1"/>
    <n v="5146.5"/>
    <n v="18527.400000000001"/>
  </r>
  <r>
    <x v="0"/>
    <x v="0"/>
    <x v="0"/>
    <x v="0"/>
    <x v="0"/>
    <s v="DK1_Small"/>
    <x v="2"/>
    <x v="1"/>
    <s v="GNR_ENG_NGAS_BP_E-42"/>
    <x v="0"/>
    <x v="10"/>
    <n v="14.1"/>
    <n v="5146.5"/>
    <n v="18527.400000000001"/>
  </r>
  <r>
    <x v="0"/>
    <x v="0"/>
    <x v="0"/>
    <x v="0"/>
    <x v="0"/>
    <s v="DK1_Small"/>
    <x v="2"/>
    <x v="1"/>
    <s v="GNR_ENG_NGAS_BP_E-42"/>
    <x v="0"/>
    <x v="11"/>
    <n v="14.1"/>
    <n v="5146.5"/>
    <n v="18527.400000000001"/>
  </r>
  <r>
    <x v="0"/>
    <x v="0"/>
    <x v="0"/>
    <x v="0"/>
    <x v="0"/>
    <s v="DK1_Small"/>
    <x v="2"/>
    <x v="1"/>
    <s v="GNR_ENG_NGAS_BP_E-42"/>
    <x v="0"/>
    <x v="12"/>
    <n v="14.1"/>
    <n v="5146.5"/>
    <n v="18527.400000000001"/>
  </r>
  <r>
    <x v="0"/>
    <x v="0"/>
    <x v="0"/>
    <x v="0"/>
    <x v="0"/>
    <s v="DK1_Small"/>
    <x v="2"/>
    <x v="1"/>
    <s v="GNR_ENG_NGAS_BP_E-42"/>
    <x v="0"/>
    <x v="13"/>
    <n v="14.1"/>
    <n v="5146.5"/>
    <n v="18527.400000000001"/>
  </r>
  <r>
    <x v="0"/>
    <x v="0"/>
    <x v="0"/>
    <x v="0"/>
    <x v="0"/>
    <s v="DK1_Small"/>
    <x v="2"/>
    <x v="1"/>
    <s v="GNR_ENG_NGAS_BP_E-42"/>
    <x v="0"/>
    <x v="14"/>
    <n v="14.1"/>
    <n v="5146.5"/>
    <n v="18527.400000000001"/>
  </r>
  <r>
    <x v="0"/>
    <x v="0"/>
    <x v="0"/>
    <x v="0"/>
    <x v="0"/>
    <s v="DK1_Small"/>
    <x v="2"/>
    <x v="1"/>
    <s v="GNR_ENG_NGAS_BP_E-42"/>
    <x v="0"/>
    <x v="15"/>
    <n v="14.1"/>
    <n v="5146.5"/>
    <n v="18527.400000000001"/>
  </r>
  <r>
    <x v="0"/>
    <x v="0"/>
    <x v="0"/>
    <x v="0"/>
    <x v="0"/>
    <s v="DK1_Small"/>
    <x v="2"/>
    <x v="1"/>
    <s v="GNR_ENG_NGAS_BP_E-42"/>
    <x v="0"/>
    <x v="16"/>
    <n v="14.1"/>
    <n v="5146.5"/>
    <n v="18527.400000000001"/>
  </r>
  <r>
    <x v="0"/>
    <x v="0"/>
    <x v="0"/>
    <x v="0"/>
    <x v="0"/>
    <s v="DK1_Small"/>
    <x v="2"/>
    <x v="1"/>
    <s v="GNR_ENG_NGAS_BP_E-42"/>
    <x v="0"/>
    <x v="17"/>
    <n v="14.1"/>
    <n v="5146.5"/>
    <n v="18527.400000000001"/>
  </r>
  <r>
    <x v="0"/>
    <x v="0"/>
    <x v="0"/>
    <x v="0"/>
    <x v="0"/>
    <s v="DK1_Small"/>
    <x v="2"/>
    <x v="1"/>
    <s v="GNR_ENG_NGAS_BP_E-42"/>
    <x v="0"/>
    <x v="18"/>
    <n v="14.1"/>
    <n v="5146.5"/>
    <n v="18527.400000000001"/>
  </r>
  <r>
    <x v="0"/>
    <x v="0"/>
    <x v="0"/>
    <x v="0"/>
    <x v="0"/>
    <s v="DK1_Small"/>
    <x v="2"/>
    <x v="1"/>
    <s v="GNR_ENG_NGAS_BP_E-42"/>
    <x v="0"/>
    <x v="19"/>
    <n v="14.1"/>
    <n v="5146.5"/>
    <n v="18527.400000000001"/>
  </r>
  <r>
    <x v="0"/>
    <x v="0"/>
    <x v="0"/>
    <x v="0"/>
    <x v="0"/>
    <s v="DK1_Small"/>
    <x v="2"/>
    <x v="1"/>
    <s v="GNR_ENG_NGAS_BP_E-42"/>
    <x v="0"/>
    <x v="20"/>
    <n v="14.1"/>
    <n v="5146.5"/>
    <n v="18527.400000000001"/>
  </r>
  <r>
    <x v="0"/>
    <x v="0"/>
    <x v="0"/>
    <x v="0"/>
    <x v="0"/>
    <s v="DK1_Small"/>
    <x v="2"/>
    <x v="1"/>
    <s v="GNR_ENG_NGAS_BP_E-42"/>
    <x v="0"/>
    <x v="21"/>
    <n v="14.1"/>
    <n v="5146.5"/>
    <n v="18527.400000000001"/>
  </r>
  <r>
    <x v="0"/>
    <x v="0"/>
    <x v="0"/>
    <x v="0"/>
    <x v="0"/>
    <s v="DK1_Small"/>
    <x v="2"/>
    <x v="1"/>
    <s v="GNR_ENG_NGAS_BP_E-42"/>
    <x v="0"/>
    <x v="22"/>
    <n v="14.1"/>
    <n v="5146.5"/>
    <n v="18527.400000000001"/>
  </r>
  <r>
    <x v="0"/>
    <x v="0"/>
    <x v="0"/>
    <x v="0"/>
    <x v="0"/>
    <s v="DK1_Small"/>
    <x v="2"/>
    <x v="1"/>
    <s v="GNR_ENG_NGAS_BP_E-42"/>
    <x v="0"/>
    <x v="23"/>
    <n v="14.1"/>
    <n v="5146.5"/>
    <n v="18527.400000000001"/>
  </r>
  <r>
    <x v="0"/>
    <x v="0"/>
    <x v="0"/>
    <x v="0"/>
    <x v="0"/>
    <s v="DK1_Small"/>
    <x v="2"/>
    <x v="1"/>
    <s v="GNR_GT_NGAS_BP_E-31"/>
    <x v="0"/>
    <x v="0"/>
    <n v="6.2"/>
    <n v="2263"/>
    <n v="8146.8"/>
  </r>
  <r>
    <x v="0"/>
    <x v="0"/>
    <x v="0"/>
    <x v="0"/>
    <x v="0"/>
    <s v="DK1_Small"/>
    <x v="2"/>
    <x v="1"/>
    <s v="GNR_GT_NGAS_BP_E-31"/>
    <x v="0"/>
    <x v="1"/>
    <n v="6.2"/>
    <n v="2263"/>
    <n v="8146.8"/>
  </r>
  <r>
    <x v="0"/>
    <x v="0"/>
    <x v="0"/>
    <x v="0"/>
    <x v="0"/>
    <s v="DK1_Small"/>
    <x v="2"/>
    <x v="1"/>
    <s v="GNR_GT_NGAS_BP_E-31"/>
    <x v="0"/>
    <x v="2"/>
    <n v="6.2"/>
    <n v="2263"/>
    <n v="8146.8"/>
  </r>
  <r>
    <x v="0"/>
    <x v="0"/>
    <x v="0"/>
    <x v="0"/>
    <x v="0"/>
    <s v="DK1_Small"/>
    <x v="2"/>
    <x v="1"/>
    <s v="GNR_GT_NGAS_BP_E-31"/>
    <x v="0"/>
    <x v="9"/>
    <n v="6.2"/>
    <n v="2263"/>
    <n v="8146.8"/>
  </r>
  <r>
    <x v="0"/>
    <x v="0"/>
    <x v="0"/>
    <x v="0"/>
    <x v="0"/>
    <s v="DK1_Small"/>
    <x v="2"/>
    <x v="1"/>
    <s v="GNR_GT_NGAS_BP_E-31"/>
    <x v="0"/>
    <x v="10"/>
    <n v="6.2"/>
    <n v="2263"/>
    <n v="8146.8"/>
  </r>
  <r>
    <x v="0"/>
    <x v="0"/>
    <x v="0"/>
    <x v="0"/>
    <x v="0"/>
    <s v="DK1_Small"/>
    <x v="2"/>
    <x v="1"/>
    <s v="GNR_GT_NGAS_BP_E-31"/>
    <x v="0"/>
    <x v="11"/>
    <n v="6.2"/>
    <n v="2263"/>
    <n v="8146.8"/>
  </r>
  <r>
    <x v="0"/>
    <x v="0"/>
    <x v="0"/>
    <x v="0"/>
    <x v="0"/>
    <s v="DK1_Small"/>
    <x v="2"/>
    <x v="1"/>
    <s v="GNR_GT_NGAS_BP_E-31"/>
    <x v="0"/>
    <x v="12"/>
    <n v="6.2"/>
    <n v="2263"/>
    <n v="8146.8"/>
  </r>
  <r>
    <x v="0"/>
    <x v="0"/>
    <x v="0"/>
    <x v="0"/>
    <x v="0"/>
    <s v="DK1_Small"/>
    <x v="2"/>
    <x v="1"/>
    <s v="GNR_GT_NGAS_BP_E-31"/>
    <x v="0"/>
    <x v="13"/>
    <n v="6.2"/>
    <n v="2263"/>
    <n v="8146.8"/>
  </r>
  <r>
    <x v="0"/>
    <x v="0"/>
    <x v="0"/>
    <x v="0"/>
    <x v="0"/>
    <s v="DK1_Small"/>
    <x v="2"/>
    <x v="1"/>
    <s v="GNR_GT_NGAS_BP_E-31"/>
    <x v="0"/>
    <x v="14"/>
    <n v="6.2"/>
    <n v="2263"/>
    <n v="8146.8"/>
  </r>
  <r>
    <x v="0"/>
    <x v="0"/>
    <x v="0"/>
    <x v="0"/>
    <x v="0"/>
    <s v="DK1_Small"/>
    <x v="2"/>
    <x v="1"/>
    <s v="GNR_GT_NGAS_BP_E-31"/>
    <x v="0"/>
    <x v="15"/>
    <n v="6.2"/>
    <n v="2263"/>
    <n v="8146.8"/>
  </r>
  <r>
    <x v="0"/>
    <x v="0"/>
    <x v="0"/>
    <x v="0"/>
    <x v="0"/>
    <s v="DK1_Small"/>
    <x v="2"/>
    <x v="1"/>
    <s v="GNR_GT_NGAS_BP_E-31"/>
    <x v="0"/>
    <x v="16"/>
    <n v="6.2"/>
    <n v="2263"/>
    <n v="8146.8"/>
  </r>
  <r>
    <x v="0"/>
    <x v="0"/>
    <x v="0"/>
    <x v="0"/>
    <x v="0"/>
    <s v="DK1_Small"/>
    <x v="2"/>
    <x v="1"/>
    <s v="GNR_GT_NGAS_BP_E-31"/>
    <x v="0"/>
    <x v="17"/>
    <n v="6.2"/>
    <n v="2263"/>
    <n v="8146.8"/>
  </r>
  <r>
    <x v="0"/>
    <x v="0"/>
    <x v="0"/>
    <x v="0"/>
    <x v="0"/>
    <s v="DK1_Small"/>
    <x v="2"/>
    <x v="1"/>
    <s v="GNR_GT_NGAS_BP_E-31"/>
    <x v="0"/>
    <x v="18"/>
    <n v="6.2"/>
    <n v="2263"/>
    <n v="8146.8"/>
  </r>
  <r>
    <x v="0"/>
    <x v="0"/>
    <x v="0"/>
    <x v="0"/>
    <x v="1"/>
    <s v="DK2_Large"/>
    <x v="9"/>
    <x v="1"/>
    <s v="GNR_ENG_BGAS_BP_E-42"/>
    <x v="0"/>
    <x v="0"/>
    <n v="3.0470000000000002"/>
    <n v="1112.155"/>
    <n v="4003.7579999999998"/>
  </r>
  <r>
    <x v="0"/>
    <x v="0"/>
    <x v="0"/>
    <x v="0"/>
    <x v="1"/>
    <s v="DK2_Large"/>
    <x v="9"/>
    <x v="1"/>
    <s v="GNR_ENG_BGAS_BP_E-42"/>
    <x v="0"/>
    <x v="1"/>
    <n v="3.0470000000000002"/>
    <n v="1112.155"/>
    <n v="4003.7579999999998"/>
  </r>
  <r>
    <x v="0"/>
    <x v="0"/>
    <x v="0"/>
    <x v="0"/>
    <x v="1"/>
    <s v="DK2_Large"/>
    <x v="9"/>
    <x v="1"/>
    <s v="GNR_ENG_BGAS_BP_E-42"/>
    <x v="0"/>
    <x v="2"/>
    <n v="3.0470000000000002"/>
    <n v="1112.155"/>
    <n v="4003.7579999999998"/>
  </r>
  <r>
    <x v="0"/>
    <x v="0"/>
    <x v="0"/>
    <x v="0"/>
    <x v="1"/>
    <s v="DK2_Large"/>
    <x v="9"/>
    <x v="1"/>
    <s v="GNR_ENG_BGAS_BP_E-42"/>
    <x v="0"/>
    <x v="9"/>
    <n v="3.0470000000000002"/>
    <n v="1112.155"/>
    <n v="4003.7579999999998"/>
  </r>
  <r>
    <x v="0"/>
    <x v="0"/>
    <x v="0"/>
    <x v="0"/>
    <x v="1"/>
    <s v="DK2_Large"/>
    <x v="9"/>
    <x v="1"/>
    <s v="GNR_ENG_BGAS_BP_E-42"/>
    <x v="0"/>
    <x v="10"/>
    <n v="3.0470000000000002"/>
    <n v="1112.155"/>
    <n v="4003.7579999999998"/>
  </r>
  <r>
    <x v="0"/>
    <x v="0"/>
    <x v="0"/>
    <x v="0"/>
    <x v="1"/>
    <s v="DK2_Large"/>
    <x v="9"/>
    <x v="1"/>
    <s v="GNR_ENG_BGAS_BP_E-42"/>
    <x v="0"/>
    <x v="14"/>
    <n v="3.0470000000000002"/>
    <n v="1112.155"/>
    <n v="4003.7579999999998"/>
  </r>
  <r>
    <x v="0"/>
    <x v="0"/>
    <x v="0"/>
    <x v="0"/>
    <x v="1"/>
    <s v="DK2_Large"/>
    <x v="9"/>
    <x v="1"/>
    <s v="GNR_ENG_BGAS_BP_E-42"/>
    <x v="0"/>
    <x v="15"/>
    <n v="3.0470000000000002"/>
    <n v="1112.155"/>
    <n v="4003.7579999999998"/>
  </r>
  <r>
    <x v="0"/>
    <x v="0"/>
    <x v="0"/>
    <x v="0"/>
    <x v="1"/>
    <s v="DK2_Large"/>
    <x v="9"/>
    <x v="1"/>
    <s v="GNR_ENG_BGAS_BP_E-42"/>
    <x v="0"/>
    <x v="16"/>
    <n v="3.0470000000000002"/>
    <n v="1112.155"/>
    <n v="4003.7579999999998"/>
  </r>
  <r>
    <x v="0"/>
    <x v="0"/>
    <x v="0"/>
    <x v="0"/>
    <x v="1"/>
    <s v="DK2_Large"/>
    <x v="9"/>
    <x v="1"/>
    <s v="GNR_ENG_BGAS_BP_E-42"/>
    <x v="0"/>
    <x v="17"/>
    <n v="3.0470000000000002"/>
    <n v="1112.155"/>
    <n v="4003.7579999999998"/>
  </r>
  <r>
    <x v="0"/>
    <x v="0"/>
    <x v="0"/>
    <x v="0"/>
    <x v="1"/>
    <s v="DK2_Large"/>
    <x v="0"/>
    <x v="0"/>
    <s v="GNR_ST_COAL_EXT_E-42"/>
    <x v="0"/>
    <x v="1"/>
    <n v="500"/>
    <n v="182500"/>
    <n v="657000"/>
  </r>
  <r>
    <x v="0"/>
    <x v="0"/>
    <x v="0"/>
    <x v="0"/>
    <x v="1"/>
    <s v="DK2_Large"/>
    <x v="0"/>
    <x v="0"/>
    <s v="GNR_ST_COAL_EXT_E-42"/>
    <x v="0"/>
    <x v="2"/>
    <n v="500"/>
    <n v="182500"/>
    <n v="657000"/>
  </r>
  <r>
    <x v="0"/>
    <x v="0"/>
    <x v="0"/>
    <x v="0"/>
    <x v="1"/>
    <s v="DK2_Large"/>
    <x v="0"/>
    <x v="0"/>
    <s v="GNR_ST_COAL_EXT_E-42"/>
    <x v="0"/>
    <x v="9"/>
    <n v="500"/>
    <n v="182500"/>
    <n v="657000"/>
  </r>
  <r>
    <x v="0"/>
    <x v="0"/>
    <x v="0"/>
    <x v="0"/>
    <x v="1"/>
    <s v="DK2_Large"/>
    <x v="0"/>
    <x v="0"/>
    <s v="GNR_ST_COAL_EXT_E-42"/>
    <x v="0"/>
    <x v="17"/>
    <n v="80.541311711770106"/>
    <n v="29397.5787747961"/>
    <n v="105831.28358926599"/>
  </r>
  <r>
    <x v="0"/>
    <x v="0"/>
    <x v="0"/>
    <x v="0"/>
    <x v="1"/>
    <s v="DK2_Large"/>
    <x v="1"/>
    <x v="1"/>
    <s v="GNR_ST_MSW_BP_E-16"/>
    <x v="0"/>
    <x v="3"/>
    <n v="28.5"/>
    <n v="10402.5"/>
    <n v="37449"/>
  </r>
  <r>
    <x v="0"/>
    <x v="0"/>
    <x v="0"/>
    <x v="0"/>
    <x v="1"/>
    <s v="DK2_Large"/>
    <x v="1"/>
    <x v="1"/>
    <s v="GNR_ST_MSW_BP_E-16"/>
    <x v="0"/>
    <x v="4"/>
    <n v="28.5"/>
    <n v="10402.5"/>
    <n v="37449"/>
  </r>
  <r>
    <x v="0"/>
    <x v="0"/>
    <x v="0"/>
    <x v="0"/>
    <x v="1"/>
    <s v="DK2_Large"/>
    <x v="1"/>
    <x v="1"/>
    <s v="GNR_ST_MSW_BP_E-16"/>
    <x v="0"/>
    <x v="5"/>
    <n v="28.5"/>
    <n v="10402.5"/>
    <n v="37449"/>
  </r>
  <r>
    <x v="0"/>
    <x v="0"/>
    <x v="0"/>
    <x v="0"/>
    <x v="1"/>
    <s v="DK2_Large"/>
    <x v="1"/>
    <x v="1"/>
    <s v="GNR_ST_MSW_BP_E-16"/>
    <x v="0"/>
    <x v="6"/>
    <n v="28.5"/>
    <n v="10402.5"/>
    <n v="37449"/>
  </r>
  <r>
    <x v="0"/>
    <x v="0"/>
    <x v="0"/>
    <x v="0"/>
    <x v="1"/>
    <s v="DK2_Large"/>
    <x v="1"/>
    <x v="1"/>
    <s v="GNR_ST_MSW_BP_E-16"/>
    <x v="0"/>
    <x v="7"/>
    <n v="28.5"/>
    <n v="10402.5"/>
    <n v="37449"/>
  </r>
  <r>
    <x v="0"/>
    <x v="0"/>
    <x v="0"/>
    <x v="0"/>
    <x v="1"/>
    <s v="DK2_Large"/>
    <x v="1"/>
    <x v="1"/>
    <s v="GNR_ST_MSW_BP_E-16"/>
    <x v="0"/>
    <x v="8"/>
    <n v="28.5"/>
    <n v="10402.5"/>
    <n v="37449"/>
  </r>
  <r>
    <x v="0"/>
    <x v="0"/>
    <x v="0"/>
    <x v="0"/>
    <x v="1"/>
    <s v="DK2_Large"/>
    <x v="1"/>
    <x v="1"/>
    <s v="GNR_ST_MSW_BP_E-16"/>
    <x v="0"/>
    <x v="0"/>
    <n v="28.5"/>
    <n v="10402.5"/>
    <n v="37449"/>
  </r>
  <r>
    <x v="0"/>
    <x v="0"/>
    <x v="0"/>
    <x v="0"/>
    <x v="1"/>
    <s v="DK2_Large"/>
    <x v="1"/>
    <x v="1"/>
    <s v="GNR_ST_MSW_BP_E-16"/>
    <x v="0"/>
    <x v="1"/>
    <n v="28.5"/>
    <n v="10402.5"/>
    <n v="37449"/>
  </r>
  <r>
    <x v="0"/>
    <x v="0"/>
    <x v="0"/>
    <x v="0"/>
    <x v="1"/>
    <s v="DK2_Large"/>
    <x v="1"/>
    <x v="1"/>
    <s v="GNR_ST_MSW_BP_E-16"/>
    <x v="0"/>
    <x v="2"/>
    <n v="28.5"/>
    <n v="10402.5"/>
    <n v="37449"/>
  </r>
  <r>
    <x v="0"/>
    <x v="0"/>
    <x v="0"/>
    <x v="0"/>
    <x v="1"/>
    <s v="DK2_Large"/>
    <x v="1"/>
    <x v="1"/>
    <s v="GNR_ST_MSW_BP_E-16"/>
    <x v="0"/>
    <x v="9"/>
    <n v="28.5"/>
    <n v="10402.5"/>
    <n v="37449"/>
  </r>
  <r>
    <x v="0"/>
    <x v="0"/>
    <x v="0"/>
    <x v="0"/>
    <x v="1"/>
    <s v="DK2_Large"/>
    <x v="1"/>
    <x v="1"/>
    <s v="GNR_ST_MSW_BP_E-16"/>
    <x v="0"/>
    <x v="10"/>
    <n v="28.5"/>
    <n v="10402.5"/>
    <n v="37449"/>
  </r>
  <r>
    <x v="0"/>
    <x v="0"/>
    <x v="0"/>
    <x v="0"/>
    <x v="1"/>
    <s v="DK2_Large"/>
    <x v="1"/>
    <x v="1"/>
    <s v="GNR_ST_MSW_BP_E-16"/>
    <x v="0"/>
    <x v="11"/>
    <n v="28.5"/>
    <n v="10402.5"/>
    <n v="37449"/>
  </r>
  <r>
    <x v="0"/>
    <x v="0"/>
    <x v="0"/>
    <x v="0"/>
    <x v="1"/>
    <s v="DK2_Large"/>
    <x v="1"/>
    <x v="1"/>
    <s v="GNR_ST_MSW_BP_E-16"/>
    <x v="0"/>
    <x v="12"/>
    <n v="28.5"/>
    <n v="10402.5"/>
    <n v="37449"/>
  </r>
  <r>
    <x v="0"/>
    <x v="0"/>
    <x v="0"/>
    <x v="0"/>
    <x v="1"/>
    <s v="DK2_Large"/>
    <x v="1"/>
    <x v="1"/>
    <s v="GNR_ST_MSW_BP_E-16"/>
    <x v="0"/>
    <x v="13"/>
    <n v="28.5"/>
    <n v="10402.5"/>
    <n v="37449"/>
  </r>
  <r>
    <x v="0"/>
    <x v="0"/>
    <x v="0"/>
    <x v="0"/>
    <x v="1"/>
    <s v="DK2_Large"/>
    <x v="1"/>
    <x v="1"/>
    <s v="GNR_ST_MSW_BP_E-16"/>
    <x v="0"/>
    <x v="14"/>
    <n v="28.5"/>
    <n v="10402.5"/>
    <n v="37449"/>
  </r>
  <r>
    <x v="0"/>
    <x v="0"/>
    <x v="0"/>
    <x v="0"/>
    <x v="1"/>
    <s v="DK2_Large"/>
    <x v="1"/>
    <x v="1"/>
    <s v="GNR_ST_MSW_BP_E-16"/>
    <x v="0"/>
    <x v="15"/>
    <n v="28.5"/>
    <n v="10402.5"/>
    <n v="37449"/>
  </r>
  <r>
    <x v="0"/>
    <x v="0"/>
    <x v="0"/>
    <x v="0"/>
    <x v="1"/>
    <s v="DK2_Large"/>
    <x v="1"/>
    <x v="1"/>
    <s v="GNR_ST_MSW_BP_E-16"/>
    <x v="0"/>
    <x v="16"/>
    <n v="28.5"/>
    <n v="10402.5"/>
    <n v="37449"/>
  </r>
  <r>
    <x v="0"/>
    <x v="0"/>
    <x v="0"/>
    <x v="0"/>
    <x v="1"/>
    <s v="DK2_Large"/>
    <x v="1"/>
    <x v="1"/>
    <s v="GNR_ST_MSW_BP_E-16"/>
    <x v="0"/>
    <x v="17"/>
    <n v="28.5"/>
    <n v="10402.5"/>
    <n v="37449"/>
  </r>
  <r>
    <x v="0"/>
    <x v="0"/>
    <x v="0"/>
    <x v="0"/>
    <x v="1"/>
    <s v="DK2_Large"/>
    <x v="1"/>
    <x v="1"/>
    <s v="GNR_ST_MSW_BP_E-16"/>
    <x v="0"/>
    <x v="18"/>
    <n v="28.5"/>
    <n v="10402.5"/>
    <n v="37449"/>
  </r>
  <r>
    <x v="0"/>
    <x v="0"/>
    <x v="0"/>
    <x v="0"/>
    <x v="1"/>
    <s v="DK2_Large"/>
    <x v="1"/>
    <x v="1"/>
    <s v="GNR_ST_MSW_BP_E-16"/>
    <x v="0"/>
    <x v="19"/>
    <n v="28.5"/>
    <n v="10402.5"/>
    <n v="37449"/>
  </r>
  <r>
    <x v="0"/>
    <x v="0"/>
    <x v="0"/>
    <x v="0"/>
    <x v="1"/>
    <s v="DK2_Large"/>
    <x v="1"/>
    <x v="1"/>
    <s v="GNR_ST_MSW_BP_E-16"/>
    <x v="0"/>
    <x v="20"/>
    <n v="28.5"/>
    <n v="10402.5"/>
    <n v="37449"/>
  </r>
  <r>
    <x v="0"/>
    <x v="0"/>
    <x v="0"/>
    <x v="0"/>
    <x v="1"/>
    <s v="DK2_Large"/>
    <x v="1"/>
    <x v="1"/>
    <s v="GNR_ST_MSW_BP_E-16"/>
    <x v="0"/>
    <x v="21"/>
    <n v="28.5"/>
    <n v="10402.5"/>
    <n v="37449"/>
  </r>
  <r>
    <x v="0"/>
    <x v="0"/>
    <x v="0"/>
    <x v="0"/>
    <x v="1"/>
    <s v="DK2_Large"/>
    <x v="1"/>
    <x v="1"/>
    <s v="GNR_ST_MSW_BP_E-16"/>
    <x v="0"/>
    <x v="22"/>
    <n v="28.5"/>
    <n v="10402.5"/>
    <n v="37449"/>
  </r>
  <r>
    <x v="0"/>
    <x v="0"/>
    <x v="0"/>
    <x v="0"/>
    <x v="1"/>
    <s v="DK2_Large"/>
    <x v="1"/>
    <x v="1"/>
    <s v="GNR_ST_MSW_BP_E-16"/>
    <x v="0"/>
    <x v="23"/>
    <n v="28.5"/>
    <n v="10402.5"/>
    <n v="37449"/>
  </r>
  <r>
    <x v="0"/>
    <x v="0"/>
    <x v="0"/>
    <x v="0"/>
    <x v="1"/>
    <s v="DK2_Large"/>
    <x v="1"/>
    <x v="1"/>
    <s v="GNR_ST_MSW_BP_E-20"/>
    <x v="0"/>
    <x v="3"/>
    <n v="39"/>
    <n v="14235"/>
    <n v="51246"/>
  </r>
  <r>
    <x v="0"/>
    <x v="0"/>
    <x v="0"/>
    <x v="0"/>
    <x v="1"/>
    <s v="DK2_Large"/>
    <x v="1"/>
    <x v="1"/>
    <s v="GNR_ST_MSW_BP_E-20"/>
    <x v="0"/>
    <x v="4"/>
    <n v="39"/>
    <n v="14235"/>
    <n v="51246"/>
  </r>
  <r>
    <x v="0"/>
    <x v="0"/>
    <x v="0"/>
    <x v="0"/>
    <x v="1"/>
    <s v="DK2_Large"/>
    <x v="1"/>
    <x v="1"/>
    <s v="GNR_ST_MSW_BP_E-20"/>
    <x v="0"/>
    <x v="5"/>
    <n v="39"/>
    <n v="14235"/>
    <n v="51246"/>
  </r>
  <r>
    <x v="0"/>
    <x v="0"/>
    <x v="0"/>
    <x v="0"/>
    <x v="1"/>
    <s v="DK2_Large"/>
    <x v="1"/>
    <x v="1"/>
    <s v="GNR_ST_MSW_BP_E-20"/>
    <x v="0"/>
    <x v="6"/>
    <n v="39"/>
    <n v="14235"/>
    <n v="51246"/>
  </r>
  <r>
    <x v="0"/>
    <x v="0"/>
    <x v="0"/>
    <x v="0"/>
    <x v="1"/>
    <s v="DK2_Large"/>
    <x v="1"/>
    <x v="1"/>
    <s v="GNR_ST_MSW_BP_E-20"/>
    <x v="0"/>
    <x v="7"/>
    <n v="39"/>
    <n v="14235"/>
    <n v="51246"/>
  </r>
  <r>
    <x v="0"/>
    <x v="0"/>
    <x v="0"/>
    <x v="0"/>
    <x v="1"/>
    <s v="DK2_Large"/>
    <x v="1"/>
    <x v="1"/>
    <s v="GNR_ST_MSW_BP_E-20"/>
    <x v="0"/>
    <x v="8"/>
    <n v="39"/>
    <n v="14235"/>
    <n v="51246"/>
  </r>
  <r>
    <x v="0"/>
    <x v="0"/>
    <x v="0"/>
    <x v="0"/>
    <x v="1"/>
    <s v="DK2_Large"/>
    <x v="1"/>
    <x v="1"/>
    <s v="GNR_ST_MSW_BP_E-20"/>
    <x v="0"/>
    <x v="0"/>
    <n v="39"/>
    <n v="14235"/>
    <n v="51246"/>
  </r>
  <r>
    <x v="0"/>
    <x v="0"/>
    <x v="0"/>
    <x v="0"/>
    <x v="1"/>
    <s v="DK2_Large"/>
    <x v="1"/>
    <x v="1"/>
    <s v="GNR_ST_MSW_BP_E-20"/>
    <x v="0"/>
    <x v="1"/>
    <n v="39"/>
    <n v="14235"/>
    <n v="51246"/>
  </r>
  <r>
    <x v="0"/>
    <x v="0"/>
    <x v="0"/>
    <x v="0"/>
    <x v="1"/>
    <s v="DK2_Large"/>
    <x v="1"/>
    <x v="1"/>
    <s v="GNR_ST_MSW_BP_E-20"/>
    <x v="0"/>
    <x v="2"/>
    <n v="39"/>
    <n v="14235"/>
    <n v="51246"/>
  </r>
  <r>
    <x v="0"/>
    <x v="0"/>
    <x v="0"/>
    <x v="0"/>
    <x v="1"/>
    <s v="DK2_Large"/>
    <x v="1"/>
    <x v="1"/>
    <s v="GNR_ST_MSW_BP_E-20"/>
    <x v="0"/>
    <x v="9"/>
    <n v="39"/>
    <n v="14235"/>
    <n v="51246"/>
  </r>
  <r>
    <x v="0"/>
    <x v="0"/>
    <x v="0"/>
    <x v="0"/>
    <x v="1"/>
    <s v="DK2_Large"/>
    <x v="1"/>
    <x v="1"/>
    <s v="GNR_ST_MSW_BP_E-20"/>
    <x v="0"/>
    <x v="10"/>
    <n v="39"/>
    <n v="14235"/>
    <n v="51246"/>
  </r>
  <r>
    <x v="0"/>
    <x v="0"/>
    <x v="0"/>
    <x v="0"/>
    <x v="1"/>
    <s v="DK2_Large"/>
    <x v="1"/>
    <x v="1"/>
    <s v="GNR_ST_MSW_BP_E-20"/>
    <x v="0"/>
    <x v="11"/>
    <n v="39"/>
    <n v="14235"/>
    <n v="51246"/>
  </r>
  <r>
    <x v="0"/>
    <x v="0"/>
    <x v="0"/>
    <x v="0"/>
    <x v="1"/>
    <s v="DK2_Large"/>
    <x v="1"/>
    <x v="1"/>
    <s v="GNR_ST_MSW_BP_E-20"/>
    <x v="0"/>
    <x v="12"/>
    <n v="39"/>
    <n v="14235"/>
    <n v="51246"/>
  </r>
  <r>
    <x v="0"/>
    <x v="0"/>
    <x v="0"/>
    <x v="0"/>
    <x v="1"/>
    <s v="DK2_Large"/>
    <x v="1"/>
    <x v="1"/>
    <s v="GNR_ST_MSW_BP_E-20"/>
    <x v="0"/>
    <x v="13"/>
    <n v="39"/>
    <n v="14235"/>
    <n v="51246"/>
  </r>
  <r>
    <x v="0"/>
    <x v="0"/>
    <x v="0"/>
    <x v="0"/>
    <x v="1"/>
    <s v="DK2_Large"/>
    <x v="1"/>
    <x v="1"/>
    <s v="GNR_ST_MSW_BP_E-20"/>
    <x v="0"/>
    <x v="14"/>
    <n v="39"/>
    <n v="14235"/>
    <n v="51246"/>
  </r>
  <r>
    <x v="0"/>
    <x v="0"/>
    <x v="0"/>
    <x v="0"/>
    <x v="1"/>
    <s v="DK2_Large"/>
    <x v="1"/>
    <x v="1"/>
    <s v="GNR_ST_MSW_BP_E-20"/>
    <x v="0"/>
    <x v="15"/>
    <n v="39"/>
    <n v="14235"/>
    <n v="51246"/>
  </r>
  <r>
    <x v="0"/>
    <x v="0"/>
    <x v="0"/>
    <x v="0"/>
    <x v="1"/>
    <s v="DK2_Large"/>
    <x v="1"/>
    <x v="1"/>
    <s v="GNR_ST_MSW_BP_E-20"/>
    <x v="0"/>
    <x v="16"/>
    <n v="39"/>
    <n v="14235"/>
    <n v="51246"/>
  </r>
  <r>
    <x v="0"/>
    <x v="0"/>
    <x v="0"/>
    <x v="0"/>
    <x v="1"/>
    <s v="DK2_Large"/>
    <x v="1"/>
    <x v="1"/>
    <s v="GNR_ST_MSW_BP_E-20"/>
    <x v="0"/>
    <x v="17"/>
    <n v="39"/>
    <n v="14235"/>
    <n v="51246"/>
  </r>
  <r>
    <x v="0"/>
    <x v="0"/>
    <x v="0"/>
    <x v="0"/>
    <x v="1"/>
    <s v="DK2_Large"/>
    <x v="1"/>
    <x v="1"/>
    <s v="GNR_ST_MSW_BP_E-20"/>
    <x v="0"/>
    <x v="18"/>
    <n v="39"/>
    <n v="14235"/>
    <n v="51246"/>
  </r>
  <r>
    <x v="0"/>
    <x v="0"/>
    <x v="0"/>
    <x v="0"/>
    <x v="1"/>
    <s v="DK2_Large"/>
    <x v="1"/>
    <x v="1"/>
    <s v="GNR_ST_MSW_BP_E-20"/>
    <x v="0"/>
    <x v="19"/>
    <n v="39"/>
    <n v="14235"/>
    <n v="51246"/>
  </r>
  <r>
    <x v="0"/>
    <x v="0"/>
    <x v="0"/>
    <x v="0"/>
    <x v="1"/>
    <s v="DK2_Large"/>
    <x v="1"/>
    <x v="1"/>
    <s v="GNR_ST_MSW_BP_E-20"/>
    <x v="0"/>
    <x v="20"/>
    <n v="39"/>
    <n v="14235"/>
    <n v="51246"/>
  </r>
  <r>
    <x v="0"/>
    <x v="0"/>
    <x v="0"/>
    <x v="0"/>
    <x v="1"/>
    <s v="DK2_Large"/>
    <x v="1"/>
    <x v="1"/>
    <s v="GNR_ST_MSW_BP_E-20"/>
    <x v="0"/>
    <x v="21"/>
    <n v="39"/>
    <n v="14235"/>
    <n v="51246"/>
  </r>
  <r>
    <x v="0"/>
    <x v="0"/>
    <x v="0"/>
    <x v="0"/>
    <x v="1"/>
    <s v="DK2_Large"/>
    <x v="1"/>
    <x v="1"/>
    <s v="GNR_ST_MSW_BP_E-20"/>
    <x v="0"/>
    <x v="22"/>
    <n v="39"/>
    <n v="14235"/>
    <n v="51246"/>
  </r>
  <r>
    <x v="0"/>
    <x v="0"/>
    <x v="0"/>
    <x v="0"/>
    <x v="1"/>
    <s v="DK2_Large"/>
    <x v="1"/>
    <x v="1"/>
    <s v="GNR_ST_MSW_BP_E-20"/>
    <x v="0"/>
    <x v="23"/>
    <n v="39"/>
    <n v="14235"/>
    <n v="51246"/>
  </r>
  <r>
    <x v="0"/>
    <x v="0"/>
    <x v="0"/>
    <x v="0"/>
    <x v="1"/>
    <s v="DK2_Large"/>
    <x v="1"/>
    <x v="1"/>
    <s v="GNR_ST_MSW_BP_E-21"/>
    <x v="0"/>
    <x v="3"/>
    <n v="13.7"/>
    <n v="5000.5"/>
    <n v="18001.8"/>
  </r>
  <r>
    <x v="0"/>
    <x v="0"/>
    <x v="0"/>
    <x v="0"/>
    <x v="1"/>
    <s v="DK2_Large"/>
    <x v="1"/>
    <x v="1"/>
    <s v="GNR_ST_MSW_BP_E-21"/>
    <x v="0"/>
    <x v="4"/>
    <n v="13.7"/>
    <n v="5000.5"/>
    <n v="18001.8"/>
  </r>
  <r>
    <x v="0"/>
    <x v="0"/>
    <x v="0"/>
    <x v="0"/>
    <x v="1"/>
    <s v="DK2_Large"/>
    <x v="1"/>
    <x v="1"/>
    <s v="GNR_ST_MSW_BP_E-21"/>
    <x v="0"/>
    <x v="5"/>
    <n v="13.7"/>
    <n v="5000.5"/>
    <n v="18001.8"/>
  </r>
  <r>
    <x v="0"/>
    <x v="0"/>
    <x v="0"/>
    <x v="0"/>
    <x v="1"/>
    <s v="DK2_Large"/>
    <x v="1"/>
    <x v="1"/>
    <s v="GNR_ST_MSW_BP_E-21"/>
    <x v="0"/>
    <x v="6"/>
    <n v="13.7"/>
    <n v="5000.5"/>
    <n v="18001.8"/>
  </r>
  <r>
    <x v="0"/>
    <x v="0"/>
    <x v="0"/>
    <x v="0"/>
    <x v="1"/>
    <s v="DK2_Large"/>
    <x v="1"/>
    <x v="1"/>
    <s v="GNR_ST_MSW_BP_E-21"/>
    <x v="0"/>
    <x v="7"/>
    <n v="13.7"/>
    <n v="5000.5"/>
    <n v="18001.8"/>
  </r>
  <r>
    <x v="0"/>
    <x v="0"/>
    <x v="0"/>
    <x v="0"/>
    <x v="1"/>
    <s v="DK2_Large"/>
    <x v="1"/>
    <x v="1"/>
    <s v="GNR_ST_MSW_BP_E-21"/>
    <x v="0"/>
    <x v="8"/>
    <n v="13.7"/>
    <n v="5000.5"/>
    <n v="18001.8"/>
  </r>
  <r>
    <x v="0"/>
    <x v="0"/>
    <x v="0"/>
    <x v="0"/>
    <x v="1"/>
    <s v="DK2_Large"/>
    <x v="1"/>
    <x v="1"/>
    <s v="GNR_ST_MSW_BP_E-21"/>
    <x v="0"/>
    <x v="0"/>
    <n v="13.7"/>
    <n v="5000.5"/>
    <n v="18001.8"/>
  </r>
  <r>
    <x v="0"/>
    <x v="0"/>
    <x v="0"/>
    <x v="0"/>
    <x v="1"/>
    <s v="DK2_Large"/>
    <x v="1"/>
    <x v="1"/>
    <s v="GNR_ST_MSW_BP_E-21"/>
    <x v="0"/>
    <x v="1"/>
    <n v="13.7"/>
    <n v="5000.5"/>
    <n v="18001.8"/>
  </r>
  <r>
    <x v="0"/>
    <x v="0"/>
    <x v="0"/>
    <x v="0"/>
    <x v="1"/>
    <s v="DK2_Large"/>
    <x v="1"/>
    <x v="1"/>
    <s v="GNR_ST_MSW_BP_E-21"/>
    <x v="0"/>
    <x v="2"/>
    <n v="13.7"/>
    <n v="5000.5"/>
    <n v="18001.8"/>
  </r>
  <r>
    <x v="0"/>
    <x v="0"/>
    <x v="0"/>
    <x v="0"/>
    <x v="1"/>
    <s v="DK2_Large"/>
    <x v="1"/>
    <x v="1"/>
    <s v="GNR_ST_MSW_BP_E-21"/>
    <x v="0"/>
    <x v="9"/>
    <n v="13.7"/>
    <n v="5000.5"/>
    <n v="18001.8"/>
  </r>
  <r>
    <x v="0"/>
    <x v="0"/>
    <x v="0"/>
    <x v="0"/>
    <x v="1"/>
    <s v="DK2_Large"/>
    <x v="1"/>
    <x v="1"/>
    <s v="GNR_ST_MSW_BP_E-21"/>
    <x v="0"/>
    <x v="10"/>
    <n v="13.7"/>
    <n v="5000.5"/>
    <n v="18001.8"/>
  </r>
  <r>
    <x v="0"/>
    <x v="0"/>
    <x v="0"/>
    <x v="0"/>
    <x v="1"/>
    <s v="DK2_Large"/>
    <x v="1"/>
    <x v="1"/>
    <s v="GNR_ST_MSW_BP_E-21"/>
    <x v="0"/>
    <x v="11"/>
    <n v="13.7"/>
    <n v="5000.5"/>
    <n v="18001.8"/>
  </r>
  <r>
    <x v="0"/>
    <x v="0"/>
    <x v="0"/>
    <x v="0"/>
    <x v="1"/>
    <s v="DK2_Large"/>
    <x v="1"/>
    <x v="1"/>
    <s v="GNR_ST_MSW_BP_E-21"/>
    <x v="0"/>
    <x v="12"/>
    <n v="13.7"/>
    <n v="5000.5"/>
    <n v="18001.8"/>
  </r>
  <r>
    <x v="0"/>
    <x v="0"/>
    <x v="0"/>
    <x v="0"/>
    <x v="1"/>
    <s v="DK2_Large"/>
    <x v="1"/>
    <x v="1"/>
    <s v="GNR_ST_MSW_BP_E-21"/>
    <x v="0"/>
    <x v="13"/>
    <n v="13.7"/>
    <n v="5000.5"/>
    <n v="18001.8"/>
  </r>
  <r>
    <x v="0"/>
    <x v="0"/>
    <x v="0"/>
    <x v="0"/>
    <x v="1"/>
    <s v="DK2_Large"/>
    <x v="1"/>
    <x v="1"/>
    <s v="GNR_ST_MSW_BP_E-21"/>
    <x v="0"/>
    <x v="14"/>
    <n v="13.7"/>
    <n v="5000.5"/>
    <n v="18001.8"/>
  </r>
  <r>
    <x v="0"/>
    <x v="0"/>
    <x v="0"/>
    <x v="0"/>
    <x v="1"/>
    <s v="DK2_Large"/>
    <x v="1"/>
    <x v="1"/>
    <s v="GNR_ST_MSW_BP_E-21"/>
    <x v="0"/>
    <x v="15"/>
    <n v="13.7"/>
    <n v="5000.5"/>
    <n v="18001.8"/>
  </r>
  <r>
    <x v="0"/>
    <x v="0"/>
    <x v="0"/>
    <x v="0"/>
    <x v="1"/>
    <s v="DK2_Large"/>
    <x v="1"/>
    <x v="1"/>
    <s v="GNR_ST_MSW_BP_E-21"/>
    <x v="0"/>
    <x v="16"/>
    <n v="13.7"/>
    <n v="5000.5"/>
    <n v="18001.8"/>
  </r>
  <r>
    <x v="0"/>
    <x v="0"/>
    <x v="0"/>
    <x v="0"/>
    <x v="1"/>
    <s v="DK2_Large"/>
    <x v="1"/>
    <x v="1"/>
    <s v="GNR_ST_MSW_BP_E-21"/>
    <x v="0"/>
    <x v="17"/>
    <n v="13.7"/>
    <n v="5000.5"/>
    <n v="18001.8"/>
  </r>
  <r>
    <x v="0"/>
    <x v="0"/>
    <x v="0"/>
    <x v="0"/>
    <x v="1"/>
    <s v="DK2_Large"/>
    <x v="1"/>
    <x v="1"/>
    <s v="GNR_ST_MSW_BP_E-21"/>
    <x v="0"/>
    <x v="18"/>
    <n v="13.7"/>
    <n v="5000.5"/>
    <n v="18001.8"/>
  </r>
  <r>
    <x v="0"/>
    <x v="0"/>
    <x v="0"/>
    <x v="0"/>
    <x v="1"/>
    <s v="DK2_Large"/>
    <x v="1"/>
    <x v="1"/>
    <s v="GNR_ST_MSW_BP_E-21"/>
    <x v="0"/>
    <x v="19"/>
    <n v="13.7"/>
    <n v="5000.5"/>
    <n v="18001.8"/>
  </r>
  <r>
    <x v="0"/>
    <x v="0"/>
    <x v="0"/>
    <x v="0"/>
    <x v="1"/>
    <s v="DK2_Large"/>
    <x v="1"/>
    <x v="1"/>
    <s v="GNR_ST_MSW_BP_E-21"/>
    <x v="0"/>
    <x v="20"/>
    <n v="13.7"/>
    <n v="5000.5"/>
    <n v="18001.8"/>
  </r>
  <r>
    <x v="0"/>
    <x v="0"/>
    <x v="0"/>
    <x v="0"/>
    <x v="1"/>
    <s v="DK2_Large"/>
    <x v="1"/>
    <x v="1"/>
    <s v="GNR_ST_MSW_BP_E-21"/>
    <x v="0"/>
    <x v="21"/>
    <n v="13.7"/>
    <n v="5000.5"/>
    <n v="18001.8"/>
  </r>
  <r>
    <x v="0"/>
    <x v="0"/>
    <x v="0"/>
    <x v="0"/>
    <x v="1"/>
    <s v="DK2_Large"/>
    <x v="1"/>
    <x v="1"/>
    <s v="GNR_ST_MSW_BP_E-21"/>
    <x v="0"/>
    <x v="22"/>
    <n v="13.7"/>
    <n v="5000.5"/>
    <n v="18001.8"/>
  </r>
  <r>
    <x v="0"/>
    <x v="0"/>
    <x v="0"/>
    <x v="0"/>
    <x v="1"/>
    <s v="DK2_Large"/>
    <x v="1"/>
    <x v="1"/>
    <s v="GNR_ST_MSW_BP_E-21"/>
    <x v="0"/>
    <x v="23"/>
    <n v="13.7"/>
    <n v="5000.5"/>
    <n v="18001.8"/>
  </r>
  <r>
    <x v="0"/>
    <x v="0"/>
    <x v="0"/>
    <x v="0"/>
    <x v="1"/>
    <s v="DK2_Large"/>
    <x v="1"/>
    <x v="1"/>
    <s v="GNR_ST_MSW_BP_E-27"/>
    <x v="0"/>
    <x v="3"/>
    <n v="19.399999999999999"/>
    <n v="7081"/>
    <n v="25491.599999999999"/>
  </r>
  <r>
    <x v="0"/>
    <x v="0"/>
    <x v="0"/>
    <x v="0"/>
    <x v="1"/>
    <s v="DK2_Large"/>
    <x v="1"/>
    <x v="1"/>
    <s v="GNR_ST_MSW_BP_E-27"/>
    <x v="0"/>
    <x v="4"/>
    <n v="19.399999999999999"/>
    <n v="7081"/>
    <n v="25491.599999999999"/>
  </r>
  <r>
    <x v="0"/>
    <x v="0"/>
    <x v="0"/>
    <x v="0"/>
    <x v="1"/>
    <s v="DK2_Large"/>
    <x v="1"/>
    <x v="1"/>
    <s v="GNR_ST_MSW_BP_E-27"/>
    <x v="0"/>
    <x v="5"/>
    <n v="19.399999999999999"/>
    <n v="7081"/>
    <n v="25491.599999999999"/>
  </r>
  <r>
    <x v="0"/>
    <x v="0"/>
    <x v="0"/>
    <x v="0"/>
    <x v="1"/>
    <s v="DK2_Large"/>
    <x v="1"/>
    <x v="1"/>
    <s v="GNR_ST_MSW_BP_E-27"/>
    <x v="0"/>
    <x v="6"/>
    <n v="19.399999999999999"/>
    <n v="7081"/>
    <n v="25491.599999999999"/>
  </r>
  <r>
    <x v="0"/>
    <x v="0"/>
    <x v="0"/>
    <x v="0"/>
    <x v="1"/>
    <s v="DK2_Large"/>
    <x v="1"/>
    <x v="1"/>
    <s v="GNR_ST_MSW_BP_E-27"/>
    <x v="0"/>
    <x v="7"/>
    <n v="19.399999999999999"/>
    <n v="7081"/>
    <n v="25491.599999999999"/>
  </r>
  <r>
    <x v="0"/>
    <x v="0"/>
    <x v="0"/>
    <x v="0"/>
    <x v="1"/>
    <s v="DK2_Large"/>
    <x v="1"/>
    <x v="1"/>
    <s v="GNR_ST_MSW_BP_E-27"/>
    <x v="0"/>
    <x v="8"/>
    <n v="19.399999999999999"/>
    <n v="7081"/>
    <n v="25491.599999999999"/>
  </r>
  <r>
    <x v="0"/>
    <x v="0"/>
    <x v="0"/>
    <x v="0"/>
    <x v="1"/>
    <s v="DK2_Large"/>
    <x v="1"/>
    <x v="1"/>
    <s v="GNR_ST_MSW_BP_E-27"/>
    <x v="0"/>
    <x v="0"/>
    <n v="19.399999999999999"/>
    <n v="7081"/>
    <n v="25491.599999999999"/>
  </r>
  <r>
    <x v="0"/>
    <x v="0"/>
    <x v="0"/>
    <x v="0"/>
    <x v="1"/>
    <s v="DK2_Large"/>
    <x v="1"/>
    <x v="1"/>
    <s v="GNR_ST_MSW_BP_E-27"/>
    <x v="0"/>
    <x v="1"/>
    <n v="19.399999999999999"/>
    <n v="7081"/>
    <n v="25491.599999999999"/>
  </r>
  <r>
    <x v="0"/>
    <x v="0"/>
    <x v="0"/>
    <x v="0"/>
    <x v="1"/>
    <s v="DK2_Large"/>
    <x v="1"/>
    <x v="1"/>
    <s v="GNR_ST_MSW_BP_E-27"/>
    <x v="0"/>
    <x v="2"/>
    <n v="19.399999999999999"/>
    <n v="7081"/>
    <n v="25491.599999999999"/>
  </r>
  <r>
    <x v="0"/>
    <x v="0"/>
    <x v="0"/>
    <x v="0"/>
    <x v="1"/>
    <s v="DK2_Large"/>
    <x v="1"/>
    <x v="1"/>
    <s v="GNR_ST_MSW_BP_E-27"/>
    <x v="0"/>
    <x v="9"/>
    <n v="19.399999999999999"/>
    <n v="7081"/>
    <n v="25491.599999999999"/>
  </r>
  <r>
    <x v="0"/>
    <x v="0"/>
    <x v="0"/>
    <x v="0"/>
    <x v="1"/>
    <s v="DK2_Large"/>
    <x v="1"/>
    <x v="1"/>
    <s v="GNR_ST_MSW_BP_E-27"/>
    <x v="0"/>
    <x v="10"/>
    <n v="19.399999999999999"/>
    <n v="7081"/>
    <n v="25491.599999999999"/>
  </r>
  <r>
    <x v="0"/>
    <x v="0"/>
    <x v="0"/>
    <x v="0"/>
    <x v="1"/>
    <s v="DK2_Large"/>
    <x v="1"/>
    <x v="1"/>
    <s v="GNR_ST_MSW_BP_E-27"/>
    <x v="0"/>
    <x v="11"/>
    <n v="19.399999999999999"/>
    <n v="7081"/>
    <n v="25491.599999999999"/>
  </r>
  <r>
    <x v="0"/>
    <x v="0"/>
    <x v="0"/>
    <x v="0"/>
    <x v="1"/>
    <s v="DK2_Large"/>
    <x v="1"/>
    <x v="1"/>
    <s v="GNR_ST_MSW_BP_E-27"/>
    <x v="0"/>
    <x v="12"/>
    <n v="19.399999999999999"/>
    <n v="7081"/>
    <n v="25491.599999999999"/>
  </r>
  <r>
    <x v="0"/>
    <x v="0"/>
    <x v="0"/>
    <x v="0"/>
    <x v="1"/>
    <s v="DK2_Large"/>
    <x v="1"/>
    <x v="1"/>
    <s v="GNR_ST_MSW_BP_E-27"/>
    <x v="0"/>
    <x v="13"/>
    <n v="19.399999999999999"/>
    <n v="7081"/>
    <n v="25491.599999999999"/>
  </r>
  <r>
    <x v="0"/>
    <x v="0"/>
    <x v="0"/>
    <x v="0"/>
    <x v="1"/>
    <s v="DK2_Large"/>
    <x v="1"/>
    <x v="1"/>
    <s v="GNR_ST_MSW_BP_E-27"/>
    <x v="0"/>
    <x v="14"/>
    <n v="19.399999999999999"/>
    <n v="7081"/>
    <n v="25491.599999999999"/>
  </r>
  <r>
    <x v="0"/>
    <x v="0"/>
    <x v="0"/>
    <x v="0"/>
    <x v="1"/>
    <s v="DK2_Large"/>
    <x v="1"/>
    <x v="1"/>
    <s v="GNR_ST_MSW_BP_E-27"/>
    <x v="0"/>
    <x v="15"/>
    <n v="19.399999999999999"/>
    <n v="7081"/>
    <n v="25491.599999999999"/>
  </r>
  <r>
    <x v="0"/>
    <x v="0"/>
    <x v="0"/>
    <x v="0"/>
    <x v="1"/>
    <s v="DK2_Large"/>
    <x v="1"/>
    <x v="1"/>
    <s v="GNR_ST_MSW_BP_E-27"/>
    <x v="0"/>
    <x v="16"/>
    <n v="19.399999999999999"/>
    <n v="7081"/>
    <n v="25491.599999999999"/>
  </r>
  <r>
    <x v="0"/>
    <x v="0"/>
    <x v="0"/>
    <x v="0"/>
    <x v="1"/>
    <s v="DK2_Large"/>
    <x v="1"/>
    <x v="1"/>
    <s v="GNR_ST_MSW_BP_E-27"/>
    <x v="0"/>
    <x v="17"/>
    <n v="19.399999999999999"/>
    <n v="7081"/>
    <n v="25491.599999999999"/>
  </r>
  <r>
    <x v="0"/>
    <x v="0"/>
    <x v="0"/>
    <x v="0"/>
    <x v="1"/>
    <s v="DK2_Large"/>
    <x v="1"/>
    <x v="1"/>
    <s v="GNR_ST_MSW_BP_E-27"/>
    <x v="0"/>
    <x v="18"/>
    <n v="19.399999999999999"/>
    <n v="7081"/>
    <n v="25491.599999999999"/>
  </r>
  <r>
    <x v="0"/>
    <x v="0"/>
    <x v="0"/>
    <x v="0"/>
    <x v="1"/>
    <s v="DK2_Large"/>
    <x v="1"/>
    <x v="1"/>
    <s v="GNR_ST_MSW_BP_E-27"/>
    <x v="0"/>
    <x v="19"/>
    <n v="19.399999999999999"/>
    <n v="7081"/>
    <n v="25491.599999999999"/>
  </r>
  <r>
    <x v="0"/>
    <x v="0"/>
    <x v="0"/>
    <x v="0"/>
    <x v="1"/>
    <s v="DK2_Large"/>
    <x v="1"/>
    <x v="1"/>
    <s v="GNR_ST_MSW_BP_E-27"/>
    <x v="0"/>
    <x v="20"/>
    <n v="19.399999999999999"/>
    <n v="7081"/>
    <n v="25491.599999999999"/>
  </r>
  <r>
    <x v="0"/>
    <x v="0"/>
    <x v="0"/>
    <x v="0"/>
    <x v="1"/>
    <s v="DK2_Large"/>
    <x v="1"/>
    <x v="1"/>
    <s v="GNR_ST_MSW_BP_E-27"/>
    <x v="0"/>
    <x v="21"/>
    <n v="19.399999999999999"/>
    <n v="7081"/>
    <n v="25491.599999999999"/>
  </r>
  <r>
    <x v="0"/>
    <x v="0"/>
    <x v="0"/>
    <x v="0"/>
    <x v="1"/>
    <s v="DK2_Large"/>
    <x v="1"/>
    <x v="1"/>
    <s v="GNR_ST_MSW_BP_E-27"/>
    <x v="0"/>
    <x v="22"/>
    <n v="19.399999999999999"/>
    <n v="7081"/>
    <n v="25491.599999999999"/>
  </r>
  <r>
    <x v="0"/>
    <x v="0"/>
    <x v="0"/>
    <x v="0"/>
    <x v="1"/>
    <s v="DK2_Large"/>
    <x v="1"/>
    <x v="1"/>
    <s v="GNR_ST_MSW_BP_E-27"/>
    <x v="0"/>
    <x v="23"/>
    <n v="19.399999999999999"/>
    <n v="7081"/>
    <n v="25491.599999999999"/>
  </r>
  <r>
    <x v="0"/>
    <x v="0"/>
    <x v="0"/>
    <x v="0"/>
    <x v="1"/>
    <s v="DK2_Large"/>
    <x v="2"/>
    <x v="1"/>
    <s v="GNR_ENG_NGAS_BP_E-34"/>
    <x v="0"/>
    <x v="3"/>
    <n v="0.98"/>
    <n v="357.7"/>
    <n v="1287.72"/>
  </r>
  <r>
    <x v="0"/>
    <x v="0"/>
    <x v="0"/>
    <x v="0"/>
    <x v="1"/>
    <s v="DK2_Large"/>
    <x v="2"/>
    <x v="1"/>
    <s v="GNR_ENG_NGAS_BP_E-34"/>
    <x v="0"/>
    <x v="4"/>
    <n v="0.98"/>
    <n v="357.7"/>
    <n v="1287.72"/>
  </r>
  <r>
    <x v="0"/>
    <x v="0"/>
    <x v="0"/>
    <x v="0"/>
    <x v="1"/>
    <s v="DK2_Large"/>
    <x v="2"/>
    <x v="1"/>
    <s v="GNR_ENG_NGAS_BP_E-34"/>
    <x v="0"/>
    <x v="5"/>
    <n v="0.98"/>
    <n v="357.7"/>
    <n v="1287.72"/>
  </r>
  <r>
    <x v="0"/>
    <x v="0"/>
    <x v="0"/>
    <x v="0"/>
    <x v="1"/>
    <s v="DK2_Large"/>
    <x v="2"/>
    <x v="1"/>
    <s v="GNR_ENG_NGAS_BP_E-34"/>
    <x v="0"/>
    <x v="6"/>
    <n v="0.98"/>
    <n v="357.7"/>
    <n v="1287.72"/>
  </r>
  <r>
    <x v="0"/>
    <x v="0"/>
    <x v="0"/>
    <x v="0"/>
    <x v="1"/>
    <s v="DK2_Large"/>
    <x v="2"/>
    <x v="1"/>
    <s v="GNR_ENG_NGAS_BP_E-34"/>
    <x v="0"/>
    <x v="7"/>
    <n v="0.98"/>
    <n v="357.7"/>
    <n v="1287.72"/>
  </r>
  <r>
    <x v="0"/>
    <x v="0"/>
    <x v="0"/>
    <x v="0"/>
    <x v="1"/>
    <s v="DK2_Large"/>
    <x v="2"/>
    <x v="1"/>
    <s v="GNR_ENG_NGAS_BP_E-34"/>
    <x v="0"/>
    <x v="8"/>
    <n v="0.98"/>
    <n v="357.7"/>
    <n v="1287.72"/>
  </r>
  <r>
    <x v="0"/>
    <x v="0"/>
    <x v="0"/>
    <x v="0"/>
    <x v="1"/>
    <s v="DK2_Large"/>
    <x v="2"/>
    <x v="1"/>
    <s v="GNR_ENG_NGAS_BP_E-34"/>
    <x v="0"/>
    <x v="0"/>
    <n v="0.98"/>
    <n v="357.7"/>
    <n v="1287.72"/>
  </r>
  <r>
    <x v="0"/>
    <x v="0"/>
    <x v="0"/>
    <x v="0"/>
    <x v="1"/>
    <s v="DK2_Large"/>
    <x v="2"/>
    <x v="1"/>
    <s v="GNR_ENG_NGAS_BP_E-34"/>
    <x v="0"/>
    <x v="1"/>
    <n v="0.98"/>
    <n v="357.7"/>
    <n v="1287.72"/>
  </r>
  <r>
    <x v="0"/>
    <x v="0"/>
    <x v="0"/>
    <x v="0"/>
    <x v="1"/>
    <s v="DK2_Large"/>
    <x v="2"/>
    <x v="1"/>
    <s v="GNR_ENG_NGAS_BP_E-34"/>
    <x v="0"/>
    <x v="2"/>
    <n v="0.98"/>
    <n v="357.7"/>
    <n v="1287.72"/>
  </r>
  <r>
    <x v="0"/>
    <x v="0"/>
    <x v="0"/>
    <x v="0"/>
    <x v="1"/>
    <s v="DK2_Large"/>
    <x v="2"/>
    <x v="1"/>
    <s v="GNR_ENG_NGAS_BP_E-34"/>
    <x v="0"/>
    <x v="9"/>
    <n v="0.98"/>
    <n v="357.7"/>
    <n v="1287.72"/>
  </r>
  <r>
    <x v="0"/>
    <x v="0"/>
    <x v="0"/>
    <x v="0"/>
    <x v="1"/>
    <s v="DK2_Large"/>
    <x v="2"/>
    <x v="1"/>
    <s v="GNR_ENG_NGAS_BP_E-34"/>
    <x v="0"/>
    <x v="10"/>
    <n v="0.98"/>
    <n v="357.7"/>
    <n v="1287.72"/>
  </r>
  <r>
    <x v="0"/>
    <x v="0"/>
    <x v="0"/>
    <x v="0"/>
    <x v="1"/>
    <s v="DK2_Large"/>
    <x v="2"/>
    <x v="1"/>
    <s v="GNR_ENG_NGAS_BP_E-34"/>
    <x v="0"/>
    <x v="11"/>
    <n v="0.98"/>
    <n v="357.7"/>
    <n v="1287.72"/>
  </r>
  <r>
    <x v="0"/>
    <x v="0"/>
    <x v="0"/>
    <x v="0"/>
    <x v="1"/>
    <s v="DK2_Large"/>
    <x v="2"/>
    <x v="1"/>
    <s v="GNR_ENG_NGAS_BP_E-34"/>
    <x v="0"/>
    <x v="12"/>
    <n v="0.98"/>
    <n v="357.7"/>
    <n v="1287.72"/>
  </r>
  <r>
    <x v="0"/>
    <x v="0"/>
    <x v="0"/>
    <x v="0"/>
    <x v="1"/>
    <s v="DK2_Large"/>
    <x v="2"/>
    <x v="1"/>
    <s v="GNR_ENG_NGAS_BP_E-34"/>
    <x v="0"/>
    <x v="13"/>
    <n v="0.98"/>
    <n v="357.7"/>
    <n v="1287.72"/>
  </r>
  <r>
    <x v="0"/>
    <x v="0"/>
    <x v="0"/>
    <x v="0"/>
    <x v="1"/>
    <s v="DK2_Large"/>
    <x v="2"/>
    <x v="1"/>
    <s v="GNR_ENG_NGAS_BP_E-34"/>
    <x v="0"/>
    <x v="14"/>
    <n v="0.98"/>
    <n v="357.7"/>
    <n v="1287.72"/>
  </r>
  <r>
    <x v="0"/>
    <x v="0"/>
    <x v="0"/>
    <x v="0"/>
    <x v="1"/>
    <s v="DK2_Large"/>
    <x v="2"/>
    <x v="1"/>
    <s v="GNR_ENG_NGAS_BP_E-34"/>
    <x v="0"/>
    <x v="15"/>
    <n v="0.98"/>
    <n v="357.7"/>
    <n v="1287.72"/>
  </r>
  <r>
    <x v="0"/>
    <x v="0"/>
    <x v="0"/>
    <x v="0"/>
    <x v="1"/>
    <s v="DK2_Large"/>
    <x v="2"/>
    <x v="1"/>
    <s v="GNR_ENG_NGAS_BP_E-34"/>
    <x v="0"/>
    <x v="16"/>
    <n v="0.98"/>
    <n v="357.7"/>
    <n v="1287.72"/>
  </r>
  <r>
    <x v="0"/>
    <x v="0"/>
    <x v="0"/>
    <x v="0"/>
    <x v="1"/>
    <s v="DK2_Large"/>
    <x v="2"/>
    <x v="1"/>
    <s v="GNR_ENG_NGAS_BP_E-34"/>
    <x v="0"/>
    <x v="17"/>
    <n v="0.98"/>
    <n v="357.7"/>
    <n v="1287.72"/>
  </r>
  <r>
    <x v="0"/>
    <x v="0"/>
    <x v="0"/>
    <x v="0"/>
    <x v="1"/>
    <s v="DK2_Large"/>
    <x v="2"/>
    <x v="1"/>
    <s v="GNR_ENG_NGAS_BP_E-34"/>
    <x v="0"/>
    <x v="18"/>
    <n v="0.98"/>
    <n v="357.7"/>
    <n v="1287.72"/>
  </r>
  <r>
    <x v="0"/>
    <x v="0"/>
    <x v="0"/>
    <x v="0"/>
    <x v="1"/>
    <s v="DK2_Large"/>
    <x v="2"/>
    <x v="1"/>
    <s v="GNR_ENG_NGAS_BP_E-34"/>
    <x v="0"/>
    <x v="19"/>
    <n v="0.98"/>
    <n v="357.7"/>
    <n v="1287.72"/>
  </r>
  <r>
    <x v="0"/>
    <x v="0"/>
    <x v="0"/>
    <x v="0"/>
    <x v="1"/>
    <s v="DK2_Large"/>
    <x v="2"/>
    <x v="1"/>
    <s v="GNR_ENG_NGAS_BP_E-34"/>
    <x v="0"/>
    <x v="20"/>
    <n v="0.98"/>
    <n v="357.7"/>
    <n v="1287.72"/>
  </r>
  <r>
    <x v="0"/>
    <x v="0"/>
    <x v="0"/>
    <x v="0"/>
    <x v="1"/>
    <s v="DK2_Large"/>
    <x v="2"/>
    <x v="1"/>
    <s v="GNR_ENG_NGAS_BP_E-34"/>
    <x v="0"/>
    <x v="21"/>
    <n v="0.98"/>
    <n v="357.7"/>
    <n v="1287.72"/>
  </r>
  <r>
    <x v="0"/>
    <x v="0"/>
    <x v="0"/>
    <x v="0"/>
    <x v="1"/>
    <s v="DK2_Large"/>
    <x v="2"/>
    <x v="1"/>
    <s v="GNR_ENG_NGAS_BP_E-34"/>
    <x v="0"/>
    <x v="22"/>
    <n v="0.98"/>
    <n v="357.7"/>
    <n v="1287.72"/>
  </r>
  <r>
    <x v="0"/>
    <x v="0"/>
    <x v="0"/>
    <x v="0"/>
    <x v="1"/>
    <s v="DK2_Large"/>
    <x v="2"/>
    <x v="1"/>
    <s v="GNR_ENG_NGAS_BP_E-34"/>
    <x v="0"/>
    <x v="23"/>
    <n v="0.98"/>
    <n v="357.7"/>
    <n v="1287.72"/>
  </r>
  <r>
    <x v="0"/>
    <x v="0"/>
    <x v="0"/>
    <x v="0"/>
    <x v="1"/>
    <s v="DK2_Large"/>
    <x v="2"/>
    <x v="1"/>
    <s v="GNR_ENG_NGAS_BP_E-36"/>
    <x v="0"/>
    <x v="3"/>
    <n v="2.8"/>
    <n v="1022"/>
    <n v="3679.2"/>
  </r>
  <r>
    <x v="0"/>
    <x v="0"/>
    <x v="0"/>
    <x v="0"/>
    <x v="1"/>
    <s v="DK2_Large"/>
    <x v="2"/>
    <x v="1"/>
    <s v="GNR_ENG_NGAS_BP_E-36"/>
    <x v="0"/>
    <x v="4"/>
    <n v="2.8"/>
    <n v="1022"/>
    <n v="3679.2"/>
  </r>
  <r>
    <x v="0"/>
    <x v="0"/>
    <x v="0"/>
    <x v="0"/>
    <x v="1"/>
    <s v="DK2_Large"/>
    <x v="2"/>
    <x v="1"/>
    <s v="GNR_ENG_NGAS_BP_E-36"/>
    <x v="0"/>
    <x v="5"/>
    <n v="2.8"/>
    <n v="1022"/>
    <n v="3679.2"/>
  </r>
  <r>
    <x v="0"/>
    <x v="0"/>
    <x v="0"/>
    <x v="0"/>
    <x v="1"/>
    <s v="DK2_Large"/>
    <x v="2"/>
    <x v="1"/>
    <s v="GNR_ENG_NGAS_BP_E-36"/>
    <x v="0"/>
    <x v="6"/>
    <n v="2.8"/>
    <n v="1022"/>
    <n v="3679.2"/>
  </r>
  <r>
    <x v="0"/>
    <x v="0"/>
    <x v="0"/>
    <x v="0"/>
    <x v="1"/>
    <s v="DK2_Large"/>
    <x v="2"/>
    <x v="1"/>
    <s v="GNR_ENG_NGAS_BP_E-36"/>
    <x v="0"/>
    <x v="7"/>
    <n v="2.8"/>
    <n v="1022"/>
    <n v="3679.2"/>
  </r>
  <r>
    <x v="0"/>
    <x v="0"/>
    <x v="0"/>
    <x v="0"/>
    <x v="1"/>
    <s v="DK2_Large"/>
    <x v="2"/>
    <x v="1"/>
    <s v="GNR_ENG_NGAS_BP_E-36"/>
    <x v="0"/>
    <x v="8"/>
    <n v="2.8"/>
    <n v="1022"/>
    <n v="3679.2"/>
  </r>
  <r>
    <x v="0"/>
    <x v="0"/>
    <x v="0"/>
    <x v="0"/>
    <x v="1"/>
    <s v="DK2_Large"/>
    <x v="2"/>
    <x v="1"/>
    <s v="GNR_ENG_NGAS_BP_E-36"/>
    <x v="0"/>
    <x v="0"/>
    <n v="2.8"/>
    <n v="1022"/>
    <n v="3679.2"/>
  </r>
  <r>
    <x v="0"/>
    <x v="0"/>
    <x v="0"/>
    <x v="0"/>
    <x v="1"/>
    <s v="DK2_Large"/>
    <x v="2"/>
    <x v="1"/>
    <s v="GNR_ENG_NGAS_BP_E-36"/>
    <x v="0"/>
    <x v="1"/>
    <n v="2.8"/>
    <n v="1022"/>
    <n v="3679.2"/>
  </r>
  <r>
    <x v="0"/>
    <x v="0"/>
    <x v="0"/>
    <x v="0"/>
    <x v="1"/>
    <s v="DK2_Large"/>
    <x v="2"/>
    <x v="1"/>
    <s v="GNR_ENG_NGAS_BP_E-36"/>
    <x v="0"/>
    <x v="2"/>
    <n v="2.8"/>
    <n v="1022"/>
    <n v="3679.2"/>
  </r>
  <r>
    <x v="0"/>
    <x v="0"/>
    <x v="0"/>
    <x v="0"/>
    <x v="1"/>
    <s v="DK2_Large"/>
    <x v="2"/>
    <x v="1"/>
    <s v="GNR_ENG_NGAS_BP_E-36"/>
    <x v="0"/>
    <x v="9"/>
    <n v="2.8"/>
    <n v="1022"/>
    <n v="3679.2"/>
  </r>
  <r>
    <x v="0"/>
    <x v="0"/>
    <x v="0"/>
    <x v="0"/>
    <x v="1"/>
    <s v="DK2_Large"/>
    <x v="2"/>
    <x v="1"/>
    <s v="GNR_ENG_NGAS_BP_E-36"/>
    <x v="0"/>
    <x v="10"/>
    <n v="2.8"/>
    <n v="1022"/>
    <n v="3679.2"/>
  </r>
  <r>
    <x v="0"/>
    <x v="0"/>
    <x v="0"/>
    <x v="0"/>
    <x v="1"/>
    <s v="DK2_Large"/>
    <x v="2"/>
    <x v="1"/>
    <s v="GNR_ENG_NGAS_BP_E-36"/>
    <x v="0"/>
    <x v="11"/>
    <n v="2.8"/>
    <n v="1022"/>
    <n v="3679.2"/>
  </r>
  <r>
    <x v="0"/>
    <x v="0"/>
    <x v="0"/>
    <x v="0"/>
    <x v="1"/>
    <s v="DK2_Large"/>
    <x v="2"/>
    <x v="1"/>
    <s v="GNR_ENG_NGAS_BP_E-36"/>
    <x v="0"/>
    <x v="12"/>
    <n v="2.8"/>
    <n v="1022"/>
    <n v="3679.2"/>
  </r>
  <r>
    <x v="0"/>
    <x v="0"/>
    <x v="0"/>
    <x v="0"/>
    <x v="1"/>
    <s v="DK2_Large"/>
    <x v="2"/>
    <x v="1"/>
    <s v="GNR_ENG_NGAS_BP_E-36"/>
    <x v="0"/>
    <x v="13"/>
    <n v="2.8"/>
    <n v="1022"/>
    <n v="3679.2"/>
  </r>
  <r>
    <x v="0"/>
    <x v="0"/>
    <x v="0"/>
    <x v="0"/>
    <x v="1"/>
    <s v="DK2_Large"/>
    <x v="2"/>
    <x v="1"/>
    <s v="GNR_ENG_NGAS_BP_E-36"/>
    <x v="0"/>
    <x v="14"/>
    <n v="2.8"/>
    <n v="1022"/>
    <n v="3679.2"/>
  </r>
  <r>
    <x v="0"/>
    <x v="0"/>
    <x v="0"/>
    <x v="0"/>
    <x v="1"/>
    <s v="DK2_Large"/>
    <x v="2"/>
    <x v="1"/>
    <s v="GNR_ENG_NGAS_BP_E-36"/>
    <x v="0"/>
    <x v="15"/>
    <n v="2.8"/>
    <n v="1022"/>
    <n v="3679.2"/>
  </r>
  <r>
    <x v="0"/>
    <x v="0"/>
    <x v="0"/>
    <x v="0"/>
    <x v="1"/>
    <s v="DK2_Large"/>
    <x v="2"/>
    <x v="1"/>
    <s v="GNR_ENG_NGAS_BP_E-36"/>
    <x v="0"/>
    <x v="16"/>
    <n v="2.8"/>
    <n v="1022"/>
    <n v="3679.2"/>
  </r>
  <r>
    <x v="0"/>
    <x v="0"/>
    <x v="0"/>
    <x v="0"/>
    <x v="1"/>
    <s v="DK2_Large"/>
    <x v="2"/>
    <x v="1"/>
    <s v="GNR_ENG_NGAS_BP_E-36"/>
    <x v="0"/>
    <x v="17"/>
    <n v="2.8"/>
    <n v="1022"/>
    <n v="3679.2"/>
  </r>
  <r>
    <x v="0"/>
    <x v="0"/>
    <x v="0"/>
    <x v="0"/>
    <x v="1"/>
    <s v="DK2_Large"/>
    <x v="2"/>
    <x v="1"/>
    <s v="GNR_ENG_NGAS_BP_E-36"/>
    <x v="0"/>
    <x v="18"/>
    <n v="2.8"/>
    <n v="1022"/>
    <n v="3679.2"/>
  </r>
  <r>
    <x v="0"/>
    <x v="0"/>
    <x v="0"/>
    <x v="0"/>
    <x v="1"/>
    <s v="DK2_Large"/>
    <x v="2"/>
    <x v="1"/>
    <s v="GNR_ENG_NGAS_BP_E-36"/>
    <x v="0"/>
    <x v="19"/>
    <n v="2.8"/>
    <n v="1022"/>
    <n v="3679.2"/>
  </r>
  <r>
    <x v="0"/>
    <x v="0"/>
    <x v="0"/>
    <x v="0"/>
    <x v="1"/>
    <s v="DK2_Large"/>
    <x v="2"/>
    <x v="1"/>
    <s v="GNR_ENG_NGAS_BP_E-36"/>
    <x v="0"/>
    <x v="20"/>
    <n v="2.8"/>
    <n v="1022"/>
    <n v="3679.2"/>
  </r>
  <r>
    <x v="0"/>
    <x v="0"/>
    <x v="0"/>
    <x v="0"/>
    <x v="1"/>
    <s v="DK2_Large"/>
    <x v="2"/>
    <x v="1"/>
    <s v="GNR_ENG_NGAS_BP_E-36"/>
    <x v="0"/>
    <x v="21"/>
    <n v="2.8"/>
    <n v="1022"/>
    <n v="3679.2"/>
  </r>
  <r>
    <x v="0"/>
    <x v="0"/>
    <x v="0"/>
    <x v="0"/>
    <x v="1"/>
    <s v="DK2_Large"/>
    <x v="2"/>
    <x v="1"/>
    <s v="GNR_ENG_NGAS_BP_E-36"/>
    <x v="0"/>
    <x v="22"/>
    <n v="2.8"/>
    <n v="1022"/>
    <n v="3679.2"/>
  </r>
  <r>
    <x v="0"/>
    <x v="0"/>
    <x v="0"/>
    <x v="0"/>
    <x v="1"/>
    <s v="DK2_Large"/>
    <x v="2"/>
    <x v="1"/>
    <s v="GNR_ENG_NGAS_BP_E-36"/>
    <x v="0"/>
    <x v="23"/>
    <n v="2.8"/>
    <n v="1022"/>
    <n v="3679.2"/>
  </r>
  <r>
    <x v="0"/>
    <x v="0"/>
    <x v="0"/>
    <x v="0"/>
    <x v="1"/>
    <s v="DK2_Large"/>
    <x v="2"/>
    <x v="1"/>
    <s v="GNR_ENG_NGAS_BP_E-38"/>
    <x v="0"/>
    <x v="3"/>
    <n v="4.0199999999999996"/>
    <n v="1467.3"/>
    <n v="5282.28"/>
  </r>
  <r>
    <x v="0"/>
    <x v="0"/>
    <x v="0"/>
    <x v="0"/>
    <x v="1"/>
    <s v="DK2_Large"/>
    <x v="2"/>
    <x v="1"/>
    <s v="GNR_ENG_NGAS_BP_E-38"/>
    <x v="0"/>
    <x v="4"/>
    <n v="4.0199999999999996"/>
    <n v="1467.3"/>
    <n v="5282.28"/>
  </r>
  <r>
    <x v="0"/>
    <x v="0"/>
    <x v="0"/>
    <x v="0"/>
    <x v="1"/>
    <s v="DK2_Large"/>
    <x v="2"/>
    <x v="1"/>
    <s v="GNR_ENG_NGAS_BP_E-38"/>
    <x v="0"/>
    <x v="5"/>
    <n v="4.0199999999999996"/>
    <n v="1467.3"/>
    <n v="5282.28"/>
  </r>
  <r>
    <x v="0"/>
    <x v="0"/>
    <x v="0"/>
    <x v="0"/>
    <x v="1"/>
    <s v="DK2_Large"/>
    <x v="2"/>
    <x v="1"/>
    <s v="GNR_ENG_NGAS_BP_E-38"/>
    <x v="0"/>
    <x v="6"/>
    <n v="4.0199999999999996"/>
    <n v="1467.3"/>
    <n v="5282.28"/>
  </r>
  <r>
    <x v="0"/>
    <x v="0"/>
    <x v="0"/>
    <x v="0"/>
    <x v="1"/>
    <s v="DK2_Large"/>
    <x v="2"/>
    <x v="1"/>
    <s v="GNR_ENG_NGAS_BP_E-38"/>
    <x v="0"/>
    <x v="7"/>
    <n v="4.0199999999999996"/>
    <n v="1467.3"/>
    <n v="5282.28"/>
  </r>
  <r>
    <x v="0"/>
    <x v="0"/>
    <x v="0"/>
    <x v="0"/>
    <x v="1"/>
    <s v="DK2_Large"/>
    <x v="2"/>
    <x v="1"/>
    <s v="GNR_ENG_NGAS_BP_E-38"/>
    <x v="0"/>
    <x v="8"/>
    <n v="4.0199999999999996"/>
    <n v="1467.3"/>
    <n v="5282.28"/>
  </r>
  <r>
    <x v="0"/>
    <x v="0"/>
    <x v="0"/>
    <x v="0"/>
    <x v="1"/>
    <s v="DK2_Large"/>
    <x v="2"/>
    <x v="1"/>
    <s v="GNR_ENG_NGAS_BP_E-38"/>
    <x v="0"/>
    <x v="0"/>
    <n v="4.0199999999999996"/>
    <n v="1467.3"/>
    <n v="5282.28"/>
  </r>
  <r>
    <x v="0"/>
    <x v="0"/>
    <x v="0"/>
    <x v="0"/>
    <x v="1"/>
    <s v="DK2_Large"/>
    <x v="2"/>
    <x v="1"/>
    <s v="GNR_ENG_NGAS_BP_E-38"/>
    <x v="0"/>
    <x v="1"/>
    <n v="4.0199999999999996"/>
    <n v="1467.3"/>
    <n v="5282.28"/>
  </r>
  <r>
    <x v="0"/>
    <x v="0"/>
    <x v="0"/>
    <x v="0"/>
    <x v="1"/>
    <s v="DK2_Large"/>
    <x v="2"/>
    <x v="1"/>
    <s v="GNR_ENG_NGAS_BP_E-38"/>
    <x v="0"/>
    <x v="2"/>
    <n v="4.0199999999999996"/>
    <n v="1467.3"/>
    <n v="5282.28"/>
  </r>
  <r>
    <x v="0"/>
    <x v="0"/>
    <x v="0"/>
    <x v="0"/>
    <x v="1"/>
    <s v="DK2_Large"/>
    <x v="2"/>
    <x v="1"/>
    <s v="GNR_ENG_NGAS_BP_E-38"/>
    <x v="0"/>
    <x v="9"/>
    <n v="4.0199999999999996"/>
    <n v="1467.3"/>
    <n v="5282.28"/>
  </r>
  <r>
    <x v="0"/>
    <x v="0"/>
    <x v="0"/>
    <x v="0"/>
    <x v="1"/>
    <s v="DK2_Large"/>
    <x v="2"/>
    <x v="1"/>
    <s v="GNR_ENG_NGAS_BP_E-38"/>
    <x v="0"/>
    <x v="10"/>
    <n v="4.0199999999999996"/>
    <n v="1467.3"/>
    <n v="5282.28"/>
  </r>
  <r>
    <x v="0"/>
    <x v="0"/>
    <x v="0"/>
    <x v="0"/>
    <x v="1"/>
    <s v="DK2_Large"/>
    <x v="2"/>
    <x v="1"/>
    <s v="GNR_ENG_NGAS_BP_E-38"/>
    <x v="0"/>
    <x v="11"/>
    <n v="4.0199999999999996"/>
    <n v="1467.3"/>
    <n v="5282.28"/>
  </r>
  <r>
    <x v="0"/>
    <x v="0"/>
    <x v="0"/>
    <x v="0"/>
    <x v="1"/>
    <s v="DK2_Large"/>
    <x v="2"/>
    <x v="1"/>
    <s v="GNR_ENG_NGAS_BP_E-38"/>
    <x v="0"/>
    <x v="12"/>
    <n v="4.0199999999999996"/>
    <n v="1467.3"/>
    <n v="5282.28"/>
  </r>
  <r>
    <x v="0"/>
    <x v="0"/>
    <x v="0"/>
    <x v="0"/>
    <x v="1"/>
    <s v="DK2_Large"/>
    <x v="2"/>
    <x v="1"/>
    <s v="GNR_ENG_NGAS_BP_E-38"/>
    <x v="0"/>
    <x v="13"/>
    <n v="4.0199999999999996"/>
    <n v="1467.3"/>
    <n v="5282.28"/>
  </r>
  <r>
    <x v="0"/>
    <x v="0"/>
    <x v="0"/>
    <x v="0"/>
    <x v="1"/>
    <s v="DK2_Large"/>
    <x v="2"/>
    <x v="1"/>
    <s v="GNR_ENG_NGAS_BP_E-38"/>
    <x v="0"/>
    <x v="14"/>
    <n v="4.0199999999999996"/>
    <n v="1467.3"/>
    <n v="5282.28"/>
  </r>
  <r>
    <x v="0"/>
    <x v="0"/>
    <x v="0"/>
    <x v="0"/>
    <x v="1"/>
    <s v="DK2_Large"/>
    <x v="2"/>
    <x v="1"/>
    <s v="GNR_ENG_NGAS_BP_E-38"/>
    <x v="0"/>
    <x v="15"/>
    <n v="4.0199999999999996"/>
    <n v="1467.3"/>
    <n v="5282.28"/>
  </r>
  <r>
    <x v="0"/>
    <x v="0"/>
    <x v="0"/>
    <x v="0"/>
    <x v="1"/>
    <s v="DK2_Large"/>
    <x v="2"/>
    <x v="1"/>
    <s v="GNR_ENG_NGAS_BP_E-38"/>
    <x v="0"/>
    <x v="16"/>
    <n v="4.0199999999999996"/>
    <n v="1467.3"/>
    <n v="5282.28"/>
  </r>
  <r>
    <x v="0"/>
    <x v="0"/>
    <x v="0"/>
    <x v="0"/>
    <x v="1"/>
    <s v="DK2_Large"/>
    <x v="2"/>
    <x v="1"/>
    <s v="GNR_ENG_NGAS_BP_E-38"/>
    <x v="0"/>
    <x v="17"/>
    <n v="4.0199999999999996"/>
    <n v="1467.3"/>
    <n v="5282.28"/>
  </r>
  <r>
    <x v="0"/>
    <x v="0"/>
    <x v="0"/>
    <x v="0"/>
    <x v="1"/>
    <s v="DK2_Large"/>
    <x v="2"/>
    <x v="1"/>
    <s v="GNR_ENG_NGAS_BP_E-38"/>
    <x v="0"/>
    <x v="18"/>
    <n v="4.0199999999999996"/>
    <n v="1467.3"/>
    <n v="5282.28"/>
  </r>
  <r>
    <x v="0"/>
    <x v="0"/>
    <x v="0"/>
    <x v="0"/>
    <x v="1"/>
    <s v="DK2_Large"/>
    <x v="2"/>
    <x v="1"/>
    <s v="GNR_ENG_NGAS_BP_E-38"/>
    <x v="0"/>
    <x v="19"/>
    <n v="4.0199999999999996"/>
    <n v="1467.3"/>
    <n v="5282.28"/>
  </r>
  <r>
    <x v="0"/>
    <x v="0"/>
    <x v="0"/>
    <x v="0"/>
    <x v="1"/>
    <s v="DK2_Large"/>
    <x v="2"/>
    <x v="1"/>
    <s v="GNR_ENG_NGAS_BP_E-38"/>
    <x v="0"/>
    <x v="20"/>
    <n v="4.0199999999999996"/>
    <n v="1467.3"/>
    <n v="5282.28"/>
  </r>
  <r>
    <x v="0"/>
    <x v="0"/>
    <x v="0"/>
    <x v="0"/>
    <x v="1"/>
    <s v="DK2_Large"/>
    <x v="2"/>
    <x v="1"/>
    <s v="GNR_ENG_NGAS_BP_E-38"/>
    <x v="0"/>
    <x v="21"/>
    <n v="4.0199999999999996"/>
    <n v="1467.3"/>
    <n v="5282.28"/>
  </r>
  <r>
    <x v="0"/>
    <x v="0"/>
    <x v="0"/>
    <x v="0"/>
    <x v="1"/>
    <s v="DK2_Large"/>
    <x v="2"/>
    <x v="1"/>
    <s v="GNR_ENG_NGAS_BP_E-38"/>
    <x v="0"/>
    <x v="22"/>
    <n v="4.0199999999999996"/>
    <n v="1467.3"/>
    <n v="5282.28"/>
  </r>
  <r>
    <x v="0"/>
    <x v="0"/>
    <x v="0"/>
    <x v="0"/>
    <x v="1"/>
    <s v="DK2_Large"/>
    <x v="2"/>
    <x v="1"/>
    <s v="GNR_ENG_NGAS_BP_E-38"/>
    <x v="0"/>
    <x v="23"/>
    <n v="4.0199999999999996"/>
    <n v="1467.3"/>
    <n v="5282.28"/>
  </r>
  <r>
    <x v="0"/>
    <x v="0"/>
    <x v="0"/>
    <x v="0"/>
    <x v="1"/>
    <s v="DK2_Large"/>
    <x v="2"/>
    <x v="1"/>
    <s v="GNR_ENG_NGAS_BP_E-40"/>
    <x v="0"/>
    <x v="3"/>
    <n v="5.5"/>
    <n v="2007.5"/>
    <n v="7227"/>
  </r>
  <r>
    <x v="0"/>
    <x v="0"/>
    <x v="0"/>
    <x v="0"/>
    <x v="1"/>
    <s v="DK2_Large"/>
    <x v="2"/>
    <x v="1"/>
    <s v="GNR_ENG_NGAS_BP_E-40"/>
    <x v="0"/>
    <x v="4"/>
    <n v="5.5"/>
    <n v="2007.5"/>
    <n v="7227"/>
  </r>
  <r>
    <x v="0"/>
    <x v="0"/>
    <x v="0"/>
    <x v="0"/>
    <x v="1"/>
    <s v="DK2_Large"/>
    <x v="2"/>
    <x v="1"/>
    <s v="GNR_ENG_NGAS_BP_E-40"/>
    <x v="0"/>
    <x v="5"/>
    <n v="5.5"/>
    <n v="2007.5"/>
    <n v="7227"/>
  </r>
  <r>
    <x v="0"/>
    <x v="0"/>
    <x v="0"/>
    <x v="0"/>
    <x v="1"/>
    <s v="DK2_Large"/>
    <x v="2"/>
    <x v="1"/>
    <s v="GNR_ENG_NGAS_BP_E-40"/>
    <x v="0"/>
    <x v="6"/>
    <n v="5.5"/>
    <n v="2007.5"/>
    <n v="7227"/>
  </r>
  <r>
    <x v="0"/>
    <x v="0"/>
    <x v="0"/>
    <x v="0"/>
    <x v="1"/>
    <s v="DK2_Large"/>
    <x v="2"/>
    <x v="1"/>
    <s v="GNR_ENG_NGAS_BP_E-40"/>
    <x v="0"/>
    <x v="7"/>
    <n v="5.5"/>
    <n v="2007.5"/>
    <n v="7227"/>
  </r>
  <r>
    <x v="0"/>
    <x v="0"/>
    <x v="0"/>
    <x v="0"/>
    <x v="1"/>
    <s v="DK2_Large"/>
    <x v="2"/>
    <x v="1"/>
    <s v="GNR_ENG_NGAS_BP_E-40"/>
    <x v="0"/>
    <x v="8"/>
    <n v="5.5"/>
    <n v="2007.5"/>
    <n v="7227"/>
  </r>
  <r>
    <x v="0"/>
    <x v="0"/>
    <x v="0"/>
    <x v="0"/>
    <x v="1"/>
    <s v="DK2_Large"/>
    <x v="2"/>
    <x v="1"/>
    <s v="GNR_ENG_NGAS_BP_E-40"/>
    <x v="0"/>
    <x v="0"/>
    <n v="5.5"/>
    <n v="2007.5"/>
    <n v="7227"/>
  </r>
  <r>
    <x v="0"/>
    <x v="0"/>
    <x v="0"/>
    <x v="0"/>
    <x v="1"/>
    <s v="DK2_Large"/>
    <x v="2"/>
    <x v="1"/>
    <s v="GNR_ENG_NGAS_BP_E-40"/>
    <x v="0"/>
    <x v="1"/>
    <n v="5.5"/>
    <n v="2007.5"/>
    <n v="7227"/>
  </r>
  <r>
    <x v="0"/>
    <x v="0"/>
    <x v="0"/>
    <x v="0"/>
    <x v="1"/>
    <s v="DK2_Large"/>
    <x v="2"/>
    <x v="1"/>
    <s v="GNR_ENG_NGAS_BP_E-40"/>
    <x v="0"/>
    <x v="2"/>
    <n v="5.5"/>
    <n v="2007.5"/>
    <n v="7227"/>
  </r>
  <r>
    <x v="0"/>
    <x v="0"/>
    <x v="0"/>
    <x v="0"/>
    <x v="1"/>
    <s v="DK2_Large"/>
    <x v="2"/>
    <x v="1"/>
    <s v="GNR_ENG_NGAS_BP_E-40"/>
    <x v="0"/>
    <x v="9"/>
    <n v="5.5"/>
    <n v="2007.5"/>
    <n v="7227"/>
  </r>
  <r>
    <x v="0"/>
    <x v="0"/>
    <x v="0"/>
    <x v="0"/>
    <x v="1"/>
    <s v="DK2_Large"/>
    <x v="2"/>
    <x v="1"/>
    <s v="GNR_ENG_NGAS_BP_E-40"/>
    <x v="0"/>
    <x v="10"/>
    <n v="5.5"/>
    <n v="2007.5"/>
    <n v="7227"/>
  </r>
  <r>
    <x v="0"/>
    <x v="0"/>
    <x v="0"/>
    <x v="0"/>
    <x v="1"/>
    <s v="DK2_Large"/>
    <x v="2"/>
    <x v="1"/>
    <s v="GNR_ENG_NGAS_BP_E-40"/>
    <x v="0"/>
    <x v="11"/>
    <n v="5.5"/>
    <n v="2007.5"/>
    <n v="7227"/>
  </r>
  <r>
    <x v="0"/>
    <x v="0"/>
    <x v="0"/>
    <x v="0"/>
    <x v="1"/>
    <s v="DK2_Large"/>
    <x v="2"/>
    <x v="1"/>
    <s v="GNR_ENG_NGAS_BP_E-40"/>
    <x v="0"/>
    <x v="12"/>
    <n v="5.5"/>
    <n v="2007.5"/>
    <n v="7227"/>
  </r>
  <r>
    <x v="0"/>
    <x v="0"/>
    <x v="0"/>
    <x v="0"/>
    <x v="1"/>
    <s v="DK2_Large"/>
    <x v="2"/>
    <x v="1"/>
    <s v="GNR_ENG_NGAS_BP_E-40"/>
    <x v="0"/>
    <x v="13"/>
    <n v="5.5"/>
    <n v="2007.5"/>
    <n v="7227"/>
  </r>
  <r>
    <x v="0"/>
    <x v="0"/>
    <x v="0"/>
    <x v="0"/>
    <x v="1"/>
    <s v="DK2_Large"/>
    <x v="2"/>
    <x v="1"/>
    <s v="GNR_ENG_NGAS_BP_E-40"/>
    <x v="0"/>
    <x v="14"/>
    <n v="5.5"/>
    <n v="2007.5"/>
    <n v="7227"/>
  </r>
  <r>
    <x v="0"/>
    <x v="0"/>
    <x v="0"/>
    <x v="0"/>
    <x v="1"/>
    <s v="DK2_Large"/>
    <x v="2"/>
    <x v="1"/>
    <s v="GNR_ENG_NGAS_BP_E-40"/>
    <x v="0"/>
    <x v="15"/>
    <n v="5.5"/>
    <n v="2007.5"/>
    <n v="7227"/>
  </r>
  <r>
    <x v="0"/>
    <x v="0"/>
    <x v="0"/>
    <x v="0"/>
    <x v="1"/>
    <s v="DK2_Large"/>
    <x v="2"/>
    <x v="1"/>
    <s v="GNR_ENG_NGAS_BP_E-40"/>
    <x v="0"/>
    <x v="16"/>
    <n v="5.5"/>
    <n v="2007.5"/>
    <n v="7227"/>
  </r>
  <r>
    <x v="0"/>
    <x v="0"/>
    <x v="0"/>
    <x v="0"/>
    <x v="1"/>
    <s v="DK2_Large"/>
    <x v="2"/>
    <x v="1"/>
    <s v="GNR_ENG_NGAS_BP_E-40"/>
    <x v="0"/>
    <x v="17"/>
    <n v="5.5"/>
    <n v="2007.5"/>
    <n v="7227"/>
  </r>
  <r>
    <x v="0"/>
    <x v="0"/>
    <x v="0"/>
    <x v="0"/>
    <x v="1"/>
    <s v="DK2_Large"/>
    <x v="2"/>
    <x v="1"/>
    <s v="GNR_ENG_NGAS_BP_E-40"/>
    <x v="0"/>
    <x v="18"/>
    <n v="5.5"/>
    <n v="2007.5"/>
    <n v="7227"/>
  </r>
  <r>
    <x v="0"/>
    <x v="0"/>
    <x v="0"/>
    <x v="0"/>
    <x v="1"/>
    <s v="DK2_Large"/>
    <x v="2"/>
    <x v="1"/>
    <s v="GNR_ENG_NGAS_BP_E-40"/>
    <x v="0"/>
    <x v="19"/>
    <n v="5.5"/>
    <n v="2007.5"/>
    <n v="7227"/>
  </r>
  <r>
    <x v="0"/>
    <x v="0"/>
    <x v="0"/>
    <x v="0"/>
    <x v="1"/>
    <s v="DK2_Large"/>
    <x v="2"/>
    <x v="1"/>
    <s v="GNR_ENG_NGAS_BP_E-40"/>
    <x v="0"/>
    <x v="20"/>
    <n v="5.5"/>
    <n v="2007.5"/>
    <n v="7227"/>
  </r>
  <r>
    <x v="0"/>
    <x v="0"/>
    <x v="0"/>
    <x v="0"/>
    <x v="1"/>
    <s v="DK2_Large"/>
    <x v="2"/>
    <x v="1"/>
    <s v="GNR_ENG_NGAS_BP_E-40"/>
    <x v="0"/>
    <x v="21"/>
    <n v="5.5"/>
    <n v="2007.5"/>
    <n v="7227"/>
  </r>
  <r>
    <x v="0"/>
    <x v="0"/>
    <x v="0"/>
    <x v="0"/>
    <x v="1"/>
    <s v="DK2_Large"/>
    <x v="2"/>
    <x v="1"/>
    <s v="GNR_ENG_NGAS_BP_E-40"/>
    <x v="0"/>
    <x v="22"/>
    <n v="5.5"/>
    <n v="2007.5"/>
    <n v="7227"/>
  </r>
  <r>
    <x v="0"/>
    <x v="0"/>
    <x v="0"/>
    <x v="0"/>
    <x v="1"/>
    <s v="DK2_Large"/>
    <x v="2"/>
    <x v="1"/>
    <s v="GNR_ENG_NGAS_BP_E-40"/>
    <x v="0"/>
    <x v="23"/>
    <n v="5.5"/>
    <n v="2007.5"/>
    <n v="7227"/>
  </r>
  <r>
    <x v="0"/>
    <x v="0"/>
    <x v="0"/>
    <x v="0"/>
    <x v="1"/>
    <s v="DK2_Large"/>
    <x v="2"/>
    <x v="1"/>
    <s v="GNR_GT_NGAS_BP_E-36"/>
    <x v="0"/>
    <x v="3"/>
    <n v="23.2"/>
    <n v="8468"/>
    <n v="30484.799999999999"/>
  </r>
  <r>
    <x v="0"/>
    <x v="0"/>
    <x v="0"/>
    <x v="0"/>
    <x v="1"/>
    <s v="DK2_Large"/>
    <x v="2"/>
    <x v="1"/>
    <s v="GNR_GT_NGAS_BP_E-36"/>
    <x v="0"/>
    <x v="4"/>
    <n v="23.2"/>
    <n v="8468"/>
    <n v="30484.799999999999"/>
  </r>
  <r>
    <x v="0"/>
    <x v="0"/>
    <x v="0"/>
    <x v="0"/>
    <x v="1"/>
    <s v="DK2_Large"/>
    <x v="2"/>
    <x v="1"/>
    <s v="GNR_GT_NGAS_BP_E-36"/>
    <x v="0"/>
    <x v="5"/>
    <n v="23.2"/>
    <n v="8468"/>
    <n v="30484.799999999999"/>
  </r>
  <r>
    <x v="0"/>
    <x v="0"/>
    <x v="0"/>
    <x v="0"/>
    <x v="1"/>
    <s v="DK2_Large"/>
    <x v="2"/>
    <x v="1"/>
    <s v="GNR_GT_NGAS_BP_E-36"/>
    <x v="0"/>
    <x v="6"/>
    <n v="23.2"/>
    <n v="8468"/>
    <n v="30484.799999999999"/>
  </r>
  <r>
    <x v="0"/>
    <x v="0"/>
    <x v="0"/>
    <x v="0"/>
    <x v="1"/>
    <s v="DK2_Large"/>
    <x v="2"/>
    <x v="1"/>
    <s v="GNR_GT_NGAS_BP_E-36"/>
    <x v="0"/>
    <x v="7"/>
    <n v="23.2"/>
    <n v="8468"/>
    <n v="30484.799999999999"/>
  </r>
  <r>
    <x v="0"/>
    <x v="0"/>
    <x v="0"/>
    <x v="0"/>
    <x v="1"/>
    <s v="DK2_Large"/>
    <x v="2"/>
    <x v="1"/>
    <s v="GNR_GT_NGAS_BP_E-36"/>
    <x v="0"/>
    <x v="8"/>
    <n v="23.2"/>
    <n v="8468"/>
    <n v="30484.799999999999"/>
  </r>
  <r>
    <x v="0"/>
    <x v="0"/>
    <x v="0"/>
    <x v="0"/>
    <x v="1"/>
    <s v="DK2_Large"/>
    <x v="2"/>
    <x v="1"/>
    <s v="GNR_GT_NGAS_BP_E-36"/>
    <x v="0"/>
    <x v="0"/>
    <n v="23.2"/>
    <n v="8468"/>
    <n v="30484.799999999999"/>
  </r>
  <r>
    <x v="0"/>
    <x v="0"/>
    <x v="0"/>
    <x v="0"/>
    <x v="1"/>
    <s v="DK2_Large"/>
    <x v="2"/>
    <x v="1"/>
    <s v="GNR_GT_NGAS_BP_E-36"/>
    <x v="0"/>
    <x v="1"/>
    <n v="23.2"/>
    <n v="8468"/>
    <n v="30484.799999999999"/>
  </r>
  <r>
    <x v="0"/>
    <x v="0"/>
    <x v="0"/>
    <x v="0"/>
    <x v="1"/>
    <s v="DK2_Large"/>
    <x v="2"/>
    <x v="1"/>
    <s v="GNR_GT_NGAS_BP_E-36"/>
    <x v="0"/>
    <x v="2"/>
    <n v="23.2"/>
    <n v="8468"/>
    <n v="30484.799999999999"/>
  </r>
  <r>
    <x v="0"/>
    <x v="0"/>
    <x v="0"/>
    <x v="0"/>
    <x v="1"/>
    <s v="DK2_Large"/>
    <x v="2"/>
    <x v="1"/>
    <s v="GNR_GT_NGAS_BP_E-36"/>
    <x v="0"/>
    <x v="9"/>
    <n v="23.2"/>
    <n v="8468"/>
    <n v="30484.799999999999"/>
  </r>
  <r>
    <x v="0"/>
    <x v="0"/>
    <x v="0"/>
    <x v="0"/>
    <x v="1"/>
    <s v="DK2_Large"/>
    <x v="2"/>
    <x v="1"/>
    <s v="GNR_GT_NGAS_BP_E-36"/>
    <x v="0"/>
    <x v="10"/>
    <n v="23.2"/>
    <n v="8468"/>
    <n v="30484.799999999999"/>
  </r>
  <r>
    <x v="0"/>
    <x v="0"/>
    <x v="0"/>
    <x v="0"/>
    <x v="1"/>
    <s v="DK2_Large"/>
    <x v="2"/>
    <x v="1"/>
    <s v="GNR_GT_NGAS_BP_E-36"/>
    <x v="0"/>
    <x v="11"/>
    <n v="23.2"/>
    <n v="8468"/>
    <n v="30484.799999999999"/>
  </r>
  <r>
    <x v="0"/>
    <x v="0"/>
    <x v="0"/>
    <x v="0"/>
    <x v="1"/>
    <s v="DK2_Large"/>
    <x v="2"/>
    <x v="1"/>
    <s v="GNR_GT_NGAS_BP_E-36"/>
    <x v="0"/>
    <x v="12"/>
    <n v="23.2"/>
    <n v="8468"/>
    <n v="30484.799999999999"/>
  </r>
  <r>
    <x v="0"/>
    <x v="0"/>
    <x v="0"/>
    <x v="0"/>
    <x v="1"/>
    <s v="DK2_Large"/>
    <x v="2"/>
    <x v="1"/>
    <s v="GNR_GT_NGAS_BP_E-36"/>
    <x v="0"/>
    <x v="13"/>
    <n v="23.2"/>
    <n v="8468"/>
    <n v="30484.799999999999"/>
  </r>
  <r>
    <x v="0"/>
    <x v="0"/>
    <x v="0"/>
    <x v="0"/>
    <x v="1"/>
    <s v="DK2_Large"/>
    <x v="2"/>
    <x v="1"/>
    <s v="GNR_GT_NGAS_BP_E-36"/>
    <x v="0"/>
    <x v="14"/>
    <n v="23.2"/>
    <n v="8468"/>
    <n v="30484.799999999999"/>
  </r>
  <r>
    <x v="0"/>
    <x v="0"/>
    <x v="0"/>
    <x v="0"/>
    <x v="1"/>
    <s v="DK2_Large"/>
    <x v="2"/>
    <x v="1"/>
    <s v="GNR_GT_NGAS_BP_E-36"/>
    <x v="0"/>
    <x v="15"/>
    <n v="23.2"/>
    <n v="8468"/>
    <n v="30484.799999999999"/>
  </r>
  <r>
    <x v="0"/>
    <x v="0"/>
    <x v="0"/>
    <x v="0"/>
    <x v="1"/>
    <s v="DK2_Large"/>
    <x v="2"/>
    <x v="1"/>
    <s v="GNR_GT_NGAS_BP_E-36"/>
    <x v="0"/>
    <x v="16"/>
    <n v="23.2"/>
    <n v="8468"/>
    <n v="30484.799999999999"/>
  </r>
  <r>
    <x v="0"/>
    <x v="0"/>
    <x v="0"/>
    <x v="0"/>
    <x v="1"/>
    <s v="DK2_Large"/>
    <x v="2"/>
    <x v="1"/>
    <s v="GNR_GT_NGAS_BP_E-36"/>
    <x v="0"/>
    <x v="17"/>
    <n v="23.2"/>
    <n v="8468"/>
    <n v="30484.799999999999"/>
  </r>
  <r>
    <x v="0"/>
    <x v="0"/>
    <x v="0"/>
    <x v="0"/>
    <x v="1"/>
    <s v="DK2_Large"/>
    <x v="2"/>
    <x v="1"/>
    <s v="GNR_GT_NGAS_BP_E-36"/>
    <x v="0"/>
    <x v="18"/>
    <n v="23.2"/>
    <n v="8468"/>
    <n v="30484.799999999999"/>
  </r>
  <r>
    <x v="0"/>
    <x v="0"/>
    <x v="0"/>
    <x v="0"/>
    <x v="1"/>
    <s v="DK2_Large"/>
    <x v="2"/>
    <x v="1"/>
    <s v="GNR_GT_NGAS_BP_E-36"/>
    <x v="0"/>
    <x v="19"/>
    <n v="23.2"/>
    <n v="8468"/>
    <n v="30484.799999999999"/>
  </r>
  <r>
    <x v="0"/>
    <x v="0"/>
    <x v="0"/>
    <x v="0"/>
    <x v="1"/>
    <s v="DK2_Large"/>
    <x v="2"/>
    <x v="1"/>
    <s v="GNR_GT_NGAS_BP_E-36"/>
    <x v="0"/>
    <x v="20"/>
    <n v="23.2"/>
    <n v="8468"/>
    <n v="30484.799999999999"/>
  </r>
  <r>
    <x v="0"/>
    <x v="0"/>
    <x v="0"/>
    <x v="0"/>
    <x v="1"/>
    <s v="DK2_Large"/>
    <x v="2"/>
    <x v="1"/>
    <s v="GNR_GT_NGAS_BP_E-36"/>
    <x v="0"/>
    <x v="21"/>
    <n v="23.2"/>
    <n v="8468"/>
    <n v="30484.799999999999"/>
  </r>
  <r>
    <x v="0"/>
    <x v="0"/>
    <x v="0"/>
    <x v="0"/>
    <x v="1"/>
    <s v="DK2_Large"/>
    <x v="2"/>
    <x v="1"/>
    <s v="GNR_GT_NGAS_BP_E-36"/>
    <x v="0"/>
    <x v="22"/>
    <n v="23.2"/>
    <n v="8468"/>
    <n v="30484.799999999999"/>
  </r>
  <r>
    <x v="0"/>
    <x v="0"/>
    <x v="0"/>
    <x v="0"/>
    <x v="1"/>
    <s v="DK2_Large"/>
    <x v="2"/>
    <x v="1"/>
    <s v="GNR_GT_NGAS_BP_E-36"/>
    <x v="0"/>
    <x v="23"/>
    <n v="23.2"/>
    <n v="8468"/>
    <n v="30484.799999999999"/>
  </r>
  <r>
    <x v="0"/>
    <x v="0"/>
    <x v="0"/>
    <x v="0"/>
    <x v="1"/>
    <s v="DK2_Large"/>
    <x v="2"/>
    <x v="1"/>
    <s v="GNR_ST_NGAS_BP_E-39"/>
    <x v="0"/>
    <x v="3"/>
    <n v="82"/>
    <n v="29930"/>
    <n v="107748"/>
  </r>
  <r>
    <x v="0"/>
    <x v="0"/>
    <x v="0"/>
    <x v="0"/>
    <x v="1"/>
    <s v="DK2_Large"/>
    <x v="2"/>
    <x v="1"/>
    <s v="GNR_ST_NGAS_BP_E-39"/>
    <x v="0"/>
    <x v="4"/>
    <n v="82"/>
    <n v="29930"/>
    <n v="107748"/>
  </r>
  <r>
    <x v="0"/>
    <x v="0"/>
    <x v="0"/>
    <x v="0"/>
    <x v="1"/>
    <s v="DK2_Large"/>
    <x v="2"/>
    <x v="1"/>
    <s v="GNR_ST_NGAS_BP_E-39"/>
    <x v="0"/>
    <x v="5"/>
    <n v="82"/>
    <n v="29930"/>
    <n v="107748"/>
  </r>
  <r>
    <x v="0"/>
    <x v="0"/>
    <x v="0"/>
    <x v="0"/>
    <x v="1"/>
    <s v="DK2_Large"/>
    <x v="2"/>
    <x v="1"/>
    <s v="GNR_ST_NGAS_BP_E-39"/>
    <x v="0"/>
    <x v="6"/>
    <n v="82"/>
    <n v="29930"/>
    <n v="107748"/>
  </r>
  <r>
    <x v="0"/>
    <x v="0"/>
    <x v="0"/>
    <x v="0"/>
    <x v="1"/>
    <s v="DK2_Large"/>
    <x v="2"/>
    <x v="1"/>
    <s v="GNR_ST_NGAS_BP_E-39"/>
    <x v="0"/>
    <x v="7"/>
    <n v="82"/>
    <n v="29930"/>
    <n v="107748"/>
  </r>
  <r>
    <x v="0"/>
    <x v="0"/>
    <x v="0"/>
    <x v="0"/>
    <x v="1"/>
    <s v="DK2_Large"/>
    <x v="2"/>
    <x v="1"/>
    <s v="GNR_ST_NGAS_BP_E-39"/>
    <x v="0"/>
    <x v="8"/>
    <n v="82"/>
    <n v="29930"/>
    <n v="107748"/>
  </r>
  <r>
    <x v="0"/>
    <x v="0"/>
    <x v="0"/>
    <x v="0"/>
    <x v="1"/>
    <s v="DK2_Large"/>
    <x v="2"/>
    <x v="1"/>
    <s v="GNR_ST_NGAS_BP_E-39"/>
    <x v="0"/>
    <x v="0"/>
    <n v="82"/>
    <n v="29930"/>
    <n v="107748"/>
  </r>
  <r>
    <x v="0"/>
    <x v="0"/>
    <x v="0"/>
    <x v="0"/>
    <x v="1"/>
    <s v="DK2_Large"/>
    <x v="2"/>
    <x v="1"/>
    <s v="GNR_ST_NGAS_BP_E-39"/>
    <x v="0"/>
    <x v="1"/>
    <n v="82"/>
    <n v="29930"/>
    <n v="107748"/>
  </r>
  <r>
    <x v="0"/>
    <x v="0"/>
    <x v="0"/>
    <x v="0"/>
    <x v="1"/>
    <s v="DK2_Large"/>
    <x v="2"/>
    <x v="1"/>
    <s v="GNR_ST_NGAS_BP_E-39"/>
    <x v="0"/>
    <x v="2"/>
    <n v="82"/>
    <n v="29930"/>
    <n v="107748"/>
  </r>
  <r>
    <x v="0"/>
    <x v="0"/>
    <x v="0"/>
    <x v="0"/>
    <x v="1"/>
    <s v="DK2_Large"/>
    <x v="2"/>
    <x v="1"/>
    <s v="GNR_ST_NGAS_BP_E-39"/>
    <x v="0"/>
    <x v="9"/>
    <n v="82"/>
    <n v="29930"/>
    <n v="107748"/>
  </r>
  <r>
    <x v="0"/>
    <x v="0"/>
    <x v="0"/>
    <x v="0"/>
    <x v="1"/>
    <s v="DK2_Large"/>
    <x v="2"/>
    <x v="1"/>
    <s v="GNR_ST_NGAS_BP_E-39"/>
    <x v="0"/>
    <x v="10"/>
    <n v="82"/>
    <n v="29930"/>
    <n v="107748"/>
  </r>
  <r>
    <x v="0"/>
    <x v="0"/>
    <x v="0"/>
    <x v="0"/>
    <x v="1"/>
    <s v="DK2_Large"/>
    <x v="2"/>
    <x v="1"/>
    <s v="GNR_ST_NGAS_BP_E-39"/>
    <x v="0"/>
    <x v="11"/>
    <n v="82"/>
    <n v="29930"/>
    <n v="107748"/>
  </r>
  <r>
    <x v="0"/>
    <x v="0"/>
    <x v="0"/>
    <x v="0"/>
    <x v="1"/>
    <s v="DK2_Large"/>
    <x v="2"/>
    <x v="1"/>
    <s v="GNR_ST_NGAS_BP_E-39"/>
    <x v="0"/>
    <x v="12"/>
    <n v="82"/>
    <n v="29930"/>
    <n v="107748"/>
  </r>
  <r>
    <x v="0"/>
    <x v="0"/>
    <x v="0"/>
    <x v="0"/>
    <x v="1"/>
    <s v="DK2_Large"/>
    <x v="2"/>
    <x v="1"/>
    <s v="GNR_ST_NGAS_BP_E-39"/>
    <x v="0"/>
    <x v="13"/>
    <n v="82"/>
    <n v="29930"/>
    <n v="107748"/>
  </r>
  <r>
    <x v="0"/>
    <x v="0"/>
    <x v="0"/>
    <x v="0"/>
    <x v="1"/>
    <s v="DK2_Large"/>
    <x v="2"/>
    <x v="1"/>
    <s v="GNR_ST_NGAS_BP_E-39"/>
    <x v="0"/>
    <x v="14"/>
    <n v="82"/>
    <n v="29930"/>
    <n v="107748"/>
  </r>
  <r>
    <x v="0"/>
    <x v="0"/>
    <x v="0"/>
    <x v="0"/>
    <x v="1"/>
    <s v="DK2_Large"/>
    <x v="2"/>
    <x v="1"/>
    <s v="GNR_ST_NGAS_BP_E-39"/>
    <x v="0"/>
    <x v="15"/>
    <n v="82"/>
    <n v="29930"/>
    <n v="107748"/>
  </r>
  <r>
    <x v="0"/>
    <x v="0"/>
    <x v="0"/>
    <x v="0"/>
    <x v="1"/>
    <s v="DK2_Large"/>
    <x v="2"/>
    <x v="1"/>
    <s v="GNR_ST_NGAS_BP_E-39"/>
    <x v="0"/>
    <x v="16"/>
    <n v="82"/>
    <n v="29930"/>
    <n v="107748"/>
  </r>
  <r>
    <x v="0"/>
    <x v="0"/>
    <x v="0"/>
    <x v="0"/>
    <x v="1"/>
    <s v="DK2_Large"/>
    <x v="2"/>
    <x v="1"/>
    <s v="GNR_ST_NGAS_BP_E-39"/>
    <x v="0"/>
    <x v="17"/>
    <n v="82"/>
    <n v="29930"/>
    <n v="107748"/>
  </r>
  <r>
    <x v="0"/>
    <x v="0"/>
    <x v="0"/>
    <x v="0"/>
    <x v="1"/>
    <s v="DK2_Large"/>
    <x v="2"/>
    <x v="1"/>
    <s v="GNR_ST_NGAS_BP_E-39"/>
    <x v="0"/>
    <x v="18"/>
    <n v="82"/>
    <n v="29930"/>
    <n v="107748"/>
  </r>
  <r>
    <x v="0"/>
    <x v="0"/>
    <x v="0"/>
    <x v="0"/>
    <x v="1"/>
    <s v="DK2_Large"/>
    <x v="2"/>
    <x v="1"/>
    <s v="GNR_ST_NGAS_BP_E-39"/>
    <x v="0"/>
    <x v="19"/>
    <n v="82"/>
    <n v="29930"/>
    <n v="107748"/>
  </r>
  <r>
    <x v="0"/>
    <x v="0"/>
    <x v="0"/>
    <x v="0"/>
    <x v="1"/>
    <s v="DK2_Large"/>
    <x v="2"/>
    <x v="1"/>
    <s v="GNR_ST_NGAS_BP_E-39"/>
    <x v="0"/>
    <x v="20"/>
    <n v="82"/>
    <n v="29930"/>
    <n v="107748"/>
  </r>
  <r>
    <x v="0"/>
    <x v="0"/>
    <x v="0"/>
    <x v="0"/>
    <x v="1"/>
    <s v="DK2_Large"/>
    <x v="2"/>
    <x v="1"/>
    <s v="GNR_ST_NGAS_BP_E-39"/>
    <x v="0"/>
    <x v="21"/>
    <n v="82"/>
    <n v="29930"/>
    <n v="107748"/>
  </r>
  <r>
    <x v="0"/>
    <x v="0"/>
    <x v="0"/>
    <x v="0"/>
    <x v="1"/>
    <s v="DK2_Large"/>
    <x v="2"/>
    <x v="1"/>
    <s v="GNR_ST_NGAS_BP_E-39"/>
    <x v="0"/>
    <x v="22"/>
    <n v="82"/>
    <n v="29930"/>
    <n v="107748"/>
  </r>
  <r>
    <x v="0"/>
    <x v="0"/>
    <x v="0"/>
    <x v="0"/>
    <x v="1"/>
    <s v="DK2_Large"/>
    <x v="2"/>
    <x v="1"/>
    <s v="GNR_ST_NGAS_BP_E-39"/>
    <x v="0"/>
    <x v="23"/>
    <n v="82"/>
    <n v="29930"/>
    <n v="107748"/>
  </r>
  <r>
    <x v="0"/>
    <x v="0"/>
    <x v="0"/>
    <x v="0"/>
    <x v="1"/>
    <s v="DK2_Large"/>
    <x v="4"/>
    <x v="1"/>
    <s v="GNR_ST_WOODCHI_BP_E-24"/>
    <x v="0"/>
    <x v="3"/>
    <n v="11"/>
    <n v="4015"/>
    <n v="14454"/>
  </r>
  <r>
    <x v="0"/>
    <x v="0"/>
    <x v="0"/>
    <x v="0"/>
    <x v="1"/>
    <s v="DK2_Large"/>
    <x v="4"/>
    <x v="1"/>
    <s v="GNR_ST_WOODCHI_BP_E-24"/>
    <x v="0"/>
    <x v="4"/>
    <n v="11"/>
    <n v="4015"/>
    <n v="14454"/>
  </r>
  <r>
    <x v="0"/>
    <x v="0"/>
    <x v="0"/>
    <x v="0"/>
    <x v="1"/>
    <s v="DK2_Large"/>
    <x v="4"/>
    <x v="1"/>
    <s v="GNR_ST_WOODCHI_BP_E-24"/>
    <x v="0"/>
    <x v="5"/>
    <n v="11"/>
    <n v="4015"/>
    <n v="14454"/>
  </r>
  <r>
    <x v="0"/>
    <x v="0"/>
    <x v="0"/>
    <x v="0"/>
    <x v="1"/>
    <s v="DK2_Large"/>
    <x v="4"/>
    <x v="1"/>
    <s v="GNR_ST_WOODCHI_BP_E-24"/>
    <x v="0"/>
    <x v="6"/>
    <n v="11"/>
    <n v="4015"/>
    <n v="14454"/>
  </r>
  <r>
    <x v="0"/>
    <x v="0"/>
    <x v="0"/>
    <x v="0"/>
    <x v="1"/>
    <s v="DK2_Large"/>
    <x v="4"/>
    <x v="1"/>
    <s v="GNR_ST_WOODCHI_BP_E-24"/>
    <x v="0"/>
    <x v="7"/>
    <n v="11"/>
    <n v="4015"/>
    <n v="14454"/>
  </r>
  <r>
    <x v="0"/>
    <x v="0"/>
    <x v="0"/>
    <x v="0"/>
    <x v="1"/>
    <s v="DK2_Large"/>
    <x v="4"/>
    <x v="1"/>
    <s v="GNR_ST_WOODCHI_BP_E-24"/>
    <x v="0"/>
    <x v="8"/>
    <n v="11"/>
    <n v="4015"/>
    <n v="14454"/>
  </r>
  <r>
    <x v="0"/>
    <x v="0"/>
    <x v="0"/>
    <x v="0"/>
    <x v="1"/>
    <s v="DK2_Large"/>
    <x v="4"/>
    <x v="1"/>
    <s v="GNR_ST_WOODCHI_BP_E-24"/>
    <x v="0"/>
    <x v="0"/>
    <n v="11"/>
    <n v="4015"/>
    <n v="14454"/>
  </r>
  <r>
    <x v="0"/>
    <x v="0"/>
    <x v="0"/>
    <x v="0"/>
    <x v="1"/>
    <s v="DK2_Large"/>
    <x v="4"/>
    <x v="1"/>
    <s v="GNR_ST_WOODCHI_BP_E-24"/>
    <x v="0"/>
    <x v="1"/>
    <n v="11"/>
    <n v="4015"/>
    <n v="14454"/>
  </r>
  <r>
    <x v="0"/>
    <x v="0"/>
    <x v="0"/>
    <x v="0"/>
    <x v="1"/>
    <s v="DK2_Large"/>
    <x v="4"/>
    <x v="1"/>
    <s v="GNR_ST_WOODCHI_BP_E-24"/>
    <x v="0"/>
    <x v="2"/>
    <n v="11"/>
    <n v="4015"/>
    <n v="14454"/>
  </r>
  <r>
    <x v="0"/>
    <x v="0"/>
    <x v="0"/>
    <x v="0"/>
    <x v="1"/>
    <s v="DK2_Large"/>
    <x v="4"/>
    <x v="1"/>
    <s v="GNR_ST_WOODCHI_BP_E-24"/>
    <x v="0"/>
    <x v="9"/>
    <n v="11"/>
    <n v="4015"/>
    <n v="14454"/>
  </r>
  <r>
    <x v="0"/>
    <x v="0"/>
    <x v="0"/>
    <x v="0"/>
    <x v="1"/>
    <s v="DK2_Large"/>
    <x v="4"/>
    <x v="1"/>
    <s v="GNR_ST_WOODCHI_BP_E-24"/>
    <x v="0"/>
    <x v="10"/>
    <n v="11"/>
    <n v="4015"/>
    <n v="14454"/>
  </r>
  <r>
    <x v="0"/>
    <x v="0"/>
    <x v="0"/>
    <x v="0"/>
    <x v="1"/>
    <s v="DK2_Large"/>
    <x v="4"/>
    <x v="1"/>
    <s v="GNR_ST_WOODCHI_BP_E-24"/>
    <x v="0"/>
    <x v="11"/>
    <n v="11"/>
    <n v="4015"/>
    <n v="14454"/>
  </r>
  <r>
    <x v="0"/>
    <x v="0"/>
    <x v="0"/>
    <x v="0"/>
    <x v="1"/>
    <s v="DK2_Large"/>
    <x v="4"/>
    <x v="1"/>
    <s v="GNR_ST_WOODCHI_BP_E-24"/>
    <x v="0"/>
    <x v="12"/>
    <n v="11"/>
    <n v="4015"/>
    <n v="14454"/>
  </r>
  <r>
    <x v="0"/>
    <x v="0"/>
    <x v="0"/>
    <x v="0"/>
    <x v="1"/>
    <s v="DK2_Large"/>
    <x v="4"/>
    <x v="1"/>
    <s v="GNR_ST_WOODCHI_BP_E-24"/>
    <x v="0"/>
    <x v="13"/>
    <n v="11"/>
    <n v="4015"/>
    <n v="14454"/>
  </r>
  <r>
    <x v="0"/>
    <x v="0"/>
    <x v="0"/>
    <x v="0"/>
    <x v="1"/>
    <s v="DK2_Large"/>
    <x v="4"/>
    <x v="1"/>
    <s v="GNR_ST_WOODCHI_BP_E-24"/>
    <x v="0"/>
    <x v="14"/>
    <n v="11"/>
    <n v="4015"/>
    <n v="14454"/>
  </r>
  <r>
    <x v="0"/>
    <x v="0"/>
    <x v="0"/>
    <x v="0"/>
    <x v="1"/>
    <s v="DK2_Large"/>
    <x v="4"/>
    <x v="1"/>
    <s v="GNR_ST_WOODCHI_BP_E-24"/>
    <x v="0"/>
    <x v="15"/>
    <n v="11"/>
    <n v="4015"/>
    <n v="14454"/>
  </r>
  <r>
    <x v="0"/>
    <x v="0"/>
    <x v="0"/>
    <x v="0"/>
    <x v="1"/>
    <s v="DK2_Large"/>
    <x v="4"/>
    <x v="1"/>
    <s v="GNR_ST_WOODCHI_BP_E-24"/>
    <x v="0"/>
    <x v="16"/>
    <n v="11"/>
    <n v="4015"/>
    <n v="14454"/>
  </r>
  <r>
    <x v="0"/>
    <x v="0"/>
    <x v="0"/>
    <x v="0"/>
    <x v="1"/>
    <s v="DK2_Large"/>
    <x v="4"/>
    <x v="1"/>
    <s v="GNR_ST_WOODCHI_BP_E-24"/>
    <x v="0"/>
    <x v="17"/>
    <n v="11"/>
    <n v="4015"/>
    <n v="14454"/>
  </r>
  <r>
    <x v="0"/>
    <x v="0"/>
    <x v="0"/>
    <x v="0"/>
    <x v="1"/>
    <s v="DK2_Large"/>
    <x v="4"/>
    <x v="1"/>
    <s v="GNR_ST_WOODCHI_BP_E-24"/>
    <x v="0"/>
    <x v="18"/>
    <n v="11"/>
    <n v="4015"/>
    <n v="14454"/>
  </r>
  <r>
    <x v="0"/>
    <x v="0"/>
    <x v="0"/>
    <x v="0"/>
    <x v="1"/>
    <s v="DK2_Large"/>
    <x v="4"/>
    <x v="1"/>
    <s v="GNR_ST_WOODCHI_BP_E-24"/>
    <x v="0"/>
    <x v="19"/>
    <n v="11"/>
    <n v="4015"/>
    <n v="14454"/>
  </r>
  <r>
    <x v="0"/>
    <x v="0"/>
    <x v="0"/>
    <x v="0"/>
    <x v="1"/>
    <s v="DK2_Large"/>
    <x v="4"/>
    <x v="1"/>
    <s v="GNR_ST_WOODCHI_BP_E-24"/>
    <x v="0"/>
    <x v="20"/>
    <n v="11"/>
    <n v="4015"/>
    <n v="14454"/>
  </r>
  <r>
    <x v="0"/>
    <x v="0"/>
    <x v="0"/>
    <x v="0"/>
    <x v="1"/>
    <s v="DK2_Large"/>
    <x v="4"/>
    <x v="1"/>
    <s v="GNR_ST_WOODCHI_BP_E-24"/>
    <x v="0"/>
    <x v="21"/>
    <n v="11"/>
    <n v="4015"/>
    <n v="14454"/>
  </r>
  <r>
    <x v="0"/>
    <x v="0"/>
    <x v="0"/>
    <x v="0"/>
    <x v="1"/>
    <s v="DK2_Large"/>
    <x v="4"/>
    <x v="1"/>
    <s v="GNR_ST_WOODCHI_BP_E-24"/>
    <x v="0"/>
    <x v="22"/>
    <n v="11"/>
    <n v="4015"/>
    <n v="14454"/>
  </r>
  <r>
    <x v="0"/>
    <x v="0"/>
    <x v="0"/>
    <x v="0"/>
    <x v="1"/>
    <s v="DK2_Large"/>
    <x v="4"/>
    <x v="1"/>
    <s v="GNR_ST_WOODCHI_BP_E-24"/>
    <x v="0"/>
    <x v="23"/>
    <n v="11"/>
    <n v="4015"/>
    <n v="14454"/>
  </r>
  <r>
    <x v="0"/>
    <x v="0"/>
    <x v="0"/>
    <x v="0"/>
    <x v="1"/>
    <s v="DK2_Large"/>
    <x v="4"/>
    <x v="1"/>
    <s v="GNR_ST_WOODCHI_BP_E-27"/>
    <x v="0"/>
    <x v="3"/>
    <n v="15"/>
    <n v="5475"/>
    <n v="19710"/>
  </r>
  <r>
    <x v="0"/>
    <x v="0"/>
    <x v="0"/>
    <x v="0"/>
    <x v="1"/>
    <s v="DK2_Large"/>
    <x v="4"/>
    <x v="1"/>
    <s v="GNR_ST_WOODCHI_BP_E-27"/>
    <x v="0"/>
    <x v="4"/>
    <n v="15"/>
    <n v="5475"/>
    <n v="19710"/>
  </r>
  <r>
    <x v="0"/>
    <x v="0"/>
    <x v="0"/>
    <x v="0"/>
    <x v="1"/>
    <s v="DK2_Large"/>
    <x v="4"/>
    <x v="1"/>
    <s v="GNR_ST_WOODCHI_BP_E-27"/>
    <x v="0"/>
    <x v="5"/>
    <n v="15"/>
    <n v="5475"/>
    <n v="19710"/>
  </r>
  <r>
    <x v="0"/>
    <x v="0"/>
    <x v="0"/>
    <x v="0"/>
    <x v="1"/>
    <s v="DK2_Large"/>
    <x v="4"/>
    <x v="1"/>
    <s v="GNR_ST_WOODCHI_BP_E-27"/>
    <x v="0"/>
    <x v="6"/>
    <n v="15"/>
    <n v="5475"/>
    <n v="19710"/>
  </r>
  <r>
    <x v="0"/>
    <x v="0"/>
    <x v="0"/>
    <x v="0"/>
    <x v="1"/>
    <s v="DK2_Large"/>
    <x v="4"/>
    <x v="1"/>
    <s v="GNR_ST_WOODCHI_BP_E-27"/>
    <x v="0"/>
    <x v="7"/>
    <n v="15"/>
    <n v="5475"/>
    <n v="19710"/>
  </r>
  <r>
    <x v="0"/>
    <x v="0"/>
    <x v="0"/>
    <x v="0"/>
    <x v="1"/>
    <s v="DK2_Large"/>
    <x v="4"/>
    <x v="1"/>
    <s v="GNR_ST_WOODCHI_BP_E-27"/>
    <x v="0"/>
    <x v="8"/>
    <n v="15"/>
    <n v="5475"/>
    <n v="19710"/>
  </r>
  <r>
    <x v="0"/>
    <x v="0"/>
    <x v="0"/>
    <x v="0"/>
    <x v="1"/>
    <s v="DK2_Large"/>
    <x v="4"/>
    <x v="1"/>
    <s v="GNR_ST_WOODCHI_BP_E-27"/>
    <x v="0"/>
    <x v="0"/>
    <n v="15"/>
    <n v="5475"/>
    <n v="19710"/>
  </r>
  <r>
    <x v="0"/>
    <x v="0"/>
    <x v="0"/>
    <x v="0"/>
    <x v="1"/>
    <s v="DK2_Large"/>
    <x v="4"/>
    <x v="1"/>
    <s v="GNR_ST_WOODCHI_BP_E-27"/>
    <x v="0"/>
    <x v="1"/>
    <n v="15"/>
    <n v="5475"/>
    <n v="19710"/>
  </r>
  <r>
    <x v="0"/>
    <x v="0"/>
    <x v="0"/>
    <x v="0"/>
    <x v="1"/>
    <s v="DK2_Large"/>
    <x v="4"/>
    <x v="1"/>
    <s v="GNR_ST_WOODCHI_BP_E-27"/>
    <x v="0"/>
    <x v="2"/>
    <n v="15"/>
    <n v="5475"/>
    <n v="19710"/>
  </r>
  <r>
    <x v="0"/>
    <x v="0"/>
    <x v="0"/>
    <x v="0"/>
    <x v="1"/>
    <s v="DK2_Large"/>
    <x v="4"/>
    <x v="1"/>
    <s v="GNR_ST_WOODCHI_BP_E-27"/>
    <x v="0"/>
    <x v="9"/>
    <n v="15"/>
    <n v="5475"/>
    <n v="19710"/>
  </r>
  <r>
    <x v="0"/>
    <x v="0"/>
    <x v="0"/>
    <x v="0"/>
    <x v="1"/>
    <s v="DK2_Large"/>
    <x v="4"/>
    <x v="1"/>
    <s v="GNR_ST_WOODCHI_BP_E-27"/>
    <x v="0"/>
    <x v="10"/>
    <n v="15"/>
    <n v="5475"/>
    <n v="19710"/>
  </r>
  <r>
    <x v="0"/>
    <x v="0"/>
    <x v="0"/>
    <x v="0"/>
    <x v="1"/>
    <s v="DK2_Large"/>
    <x v="4"/>
    <x v="1"/>
    <s v="GNR_ST_WOODCHI_BP_E-27"/>
    <x v="0"/>
    <x v="11"/>
    <n v="15"/>
    <n v="5475"/>
    <n v="19710"/>
  </r>
  <r>
    <x v="0"/>
    <x v="0"/>
    <x v="0"/>
    <x v="0"/>
    <x v="1"/>
    <s v="DK2_Large"/>
    <x v="4"/>
    <x v="1"/>
    <s v="GNR_ST_WOODCHI_BP_E-27"/>
    <x v="0"/>
    <x v="12"/>
    <n v="15"/>
    <n v="5475"/>
    <n v="19710"/>
  </r>
  <r>
    <x v="0"/>
    <x v="0"/>
    <x v="0"/>
    <x v="0"/>
    <x v="1"/>
    <s v="DK2_Large"/>
    <x v="4"/>
    <x v="1"/>
    <s v="GNR_ST_WOODCHI_BP_E-27"/>
    <x v="0"/>
    <x v="13"/>
    <n v="15"/>
    <n v="5475"/>
    <n v="19710"/>
  </r>
  <r>
    <x v="0"/>
    <x v="0"/>
    <x v="0"/>
    <x v="0"/>
    <x v="1"/>
    <s v="DK2_Large"/>
    <x v="4"/>
    <x v="1"/>
    <s v="GNR_ST_WOODCHI_BP_E-27"/>
    <x v="0"/>
    <x v="14"/>
    <n v="15"/>
    <n v="5475"/>
    <n v="19710"/>
  </r>
  <r>
    <x v="0"/>
    <x v="0"/>
    <x v="0"/>
    <x v="0"/>
    <x v="1"/>
    <s v="DK2_Large"/>
    <x v="4"/>
    <x v="1"/>
    <s v="GNR_ST_WOODCHI_BP_E-27"/>
    <x v="0"/>
    <x v="15"/>
    <n v="15"/>
    <n v="5475"/>
    <n v="19710"/>
  </r>
  <r>
    <x v="0"/>
    <x v="0"/>
    <x v="0"/>
    <x v="0"/>
    <x v="1"/>
    <s v="DK2_Large"/>
    <x v="4"/>
    <x v="1"/>
    <s v="GNR_ST_WOODCHI_BP_E-27"/>
    <x v="0"/>
    <x v="16"/>
    <n v="15"/>
    <n v="5475"/>
    <n v="19710"/>
  </r>
  <r>
    <x v="0"/>
    <x v="0"/>
    <x v="0"/>
    <x v="0"/>
    <x v="1"/>
    <s v="DK2_Large"/>
    <x v="4"/>
    <x v="1"/>
    <s v="GNR_ST_WOODCHI_BP_E-27"/>
    <x v="0"/>
    <x v="17"/>
    <n v="15"/>
    <n v="5475"/>
    <n v="19710"/>
  </r>
  <r>
    <x v="0"/>
    <x v="0"/>
    <x v="0"/>
    <x v="0"/>
    <x v="1"/>
    <s v="DK2_Large"/>
    <x v="4"/>
    <x v="1"/>
    <s v="GNR_ST_WOODCHI_BP_E-27"/>
    <x v="0"/>
    <x v="18"/>
    <n v="15"/>
    <n v="5475"/>
    <n v="19710"/>
  </r>
  <r>
    <x v="0"/>
    <x v="0"/>
    <x v="0"/>
    <x v="0"/>
    <x v="1"/>
    <s v="DK2_Large"/>
    <x v="4"/>
    <x v="1"/>
    <s v="GNR_ST_WOODCHI_BP_E-27"/>
    <x v="0"/>
    <x v="19"/>
    <n v="15"/>
    <n v="5475"/>
    <n v="19710"/>
  </r>
  <r>
    <x v="0"/>
    <x v="0"/>
    <x v="0"/>
    <x v="0"/>
    <x v="1"/>
    <s v="DK2_Large"/>
    <x v="4"/>
    <x v="1"/>
    <s v="GNR_ST_WOODCHI_BP_E-27"/>
    <x v="0"/>
    <x v="20"/>
    <n v="15"/>
    <n v="5475"/>
    <n v="19710"/>
  </r>
  <r>
    <x v="0"/>
    <x v="0"/>
    <x v="0"/>
    <x v="0"/>
    <x v="1"/>
    <s v="DK2_Large"/>
    <x v="4"/>
    <x v="1"/>
    <s v="GNR_ST_WOODCHI_BP_E-27"/>
    <x v="0"/>
    <x v="21"/>
    <n v="15"/>
    <n v="5475"/>
    <n v="19710"/>
  </r>
  <r>
    <x v="0"/>
    <x v="0"/>
    <x v="0"/>
    <x v="0"/>
    <x v="1"/>
    <s v="DK2_Large"/>
    <x v="4"/>
    <x v="1"/>
    <s v="GNR_ST_WOODCHI_BP_E-27"/>
    <x v="0"/>
    <x v="22"/>
    <n v="15"/>
    <n v="5475"/>
    <n v="19710"/>
  </r>
  <r>
    <x v="0"/>
    <x v="0"/>
    <x v="0"/>
    <x v="0"/>
    <x v="1"/>
    <s v="DK2_Large"/>
    <x v="4"/>
    <x v="1"/>
    <s v="GNR_ST_WOODCHI_BP_E-27"/>
    <x v="0"/>
    <x v="23"/>
    <n v="15"/>
    <n v="5475"/>
    <n v="19710"/>
  </r>
  <r>
    <x v="0"/>
    <x v="0"/>
    <x v="0"/>
    <x v="0"/>
    <x v="1"/>
    <s v="DK2_Large"/>
    <x v="8"/>
    <x v="0"/>
    <s v="GNR_ST_WOODPEL_EXT_E-50"/>
    <x v="0"/>
    <x v="3"/>
    <n v="473.33333333333297"/>
    <n v="172766.66666666701"/>
    <n v="621960"/>
  </r>
  <r>
    <x v="0"/>
    <x v="0"/>
    <x v="0"/>
    <x v="0"/>
    <x v="1"/>
    <s v="DK2_Large"/>
    <x v="8"/>
    <x v="0"/>
    <s v="GNR_ST_WOODPEL_EXT_E-50"/>
    <x v="0"/>
    <x v="4"/>
    <n v="473.33333333333297"/>
    <n v="172766.66666666701"/>
    <n v="621960"/>
  </r>
  <r>
    <x v="0"/>
    <x v="0"/>
    <x v="0"/>
    <x v="0"/>
    <x v="1"/>
    <s v="DK2_Large"/>
    <x v="8"/>
    <x v="0"/>
    <s v="GNR_ST_WOODPEL_EXT_E-50"/>
    <x v="0"/>
    <x v="5"/>
    <n v="473.33333333333297"/>
    <n v="172766.66666666701"/>
    <n v="621960"/>
  </r>
  <r>
    <x v="0"/>
    <x v="0"/>
    <x v="0"/>
    <x v="0"/>
    <x v="1"/>
    <s v="DK2_Large"/>
    <x v="8"/>
    <x v="0"/>
    <s v="GNR_ST_WOODPEL_EXT_E-50"/>
    <x v="0"/>
    <x v="6"/>
    <n v="473.33333333333297"/>
    <n v="172766.66666666701"/>
    <n v="621960"/>
  </r>
  <r>
    <x v="0"/>
    <x v="0"/>
    <x v="0"/>
    <x v="0"/>
    <x v="1"/>
    <s v="DK2_Large"/>
    <x v="8"/>
    <x v="0"/>
    <s v="GNR_ST_WOODPEL_EXT_E-50"/>
    <x v="0"/>
    <x v="7"/>
    <n v="473.33333333333297"/>
    <n v="172766.66666666701"/>
    <n v="621960"/>
  </r>
  <r>
    <x v="0"/>
    <x v="0"/>
    <x v="0"/>
    <x v="0"/>
    <x v="1"/>
    <s v="DK2_Large"/>
    <x v="8"/>
    <x v="0"/>
    <s v="GNR_ST_WOODPEL_EXT_E-50"/>
    <x v="0"/>
    <x v="8"/>
    <n v="513.689078415155"/>
    <n v="187496.51362153099"/>
    <n v="674987.449037513"/>
  </r>
  <r>
    <x v="0"/>
    <x v="0"/>
    <x v="0"/>
    <x v="0"/>
    <x v="1"/>
    <s v="DK2_Large"/>
    <x v="8"/>
    <x v="0"/>
    <s v="GNR_ST_WOODPEL_EXT_E-50"/>
    <x v="0"/>
    <x v="0"/>
    <n v="568"/>
    <n v="207320"/>
    <n v="746352"/>
  </r>
  <r>
    <x v="0"/>
    <x v="0"/>
    <x v="0"/>
    <x v="0"/>
    <x v="1"/>
    <s v="DK2_Large"/>
    <x v="8"/>
    <x v="0"/>
    <s v="GNR_ST_WOODPEL_EXT_E-50"/>
    <x v="0"/>
    <x v="1"/>
    <n v="568"/>
    <n v="207320"/>
    <n v="746352"/>
  </r>
  <r>
    <x v="0"/>
    <x v="0"/>
    <x v="0"/>
    <x v="0"/>
    <x v="1"/>
    <s v="DK2_Large"/>
    <x v="8"/>
    <x v="0"/>
    <s v="GNR_ST_WOODPEL_EXT_E-50"/>
    <x v="0"/>
    <x v="2"/>
    <n v="568"/>
    <n v="207320"/>
    <n v="746352"/>
  </r>
  <r>
    <x v="0"/>
    <x v="0"/>
    <x v="0"/>
    <x v="0"/>
    <x v="1"/>
    <s v="DK2_Large"/>
    <x v="8"/>
    <x v="0"/>
    <s v="GNR_ST_WOODPEL_EXT_E-50"/>
    <x v="0"/>
    <x v="9"/>
    <n v="568"/>
    <n v="207320"/>
    <n v="746352"/>
  </r>
  <r>
    <x v="0"/>
    <x v="0"/>
    <x v="0"/>
    <x v="0"/>
    <x v="1"/>
    <s v="DK2_Large"/>
    <x v="8"/>
    <x v="0"/>
    <s v="GNR_ST_WOODPEL_EXT_E-50"/>
    <x v="0"/>
    <x v="10"/>
    <n v="568"/>
    <n v="207320"/>
    <n v="746352"/>
  </r>
  <r>
    <x v="0"/>
    <x v="0"/>
    <x v="0"/>
    <x v="0"/>
    <x v="1"/>
    <s v="DK2_Large"/>
    <x v="8"/>
    <x v="0"/>
    <s v="GNR_ST_WOODPEL_EXT_E-50"/>
    <x v="0"/>
    <x v="11"/>
    <n v="473.33333333333297"/>
    <n v="172766.66666666701"/>
    <n v="621960"/>
  </r>
  <r>
    <x v="0"/>
    <x v="0"/>
    <x v="0"/>
    <x v="0"/>
    <x v="1"/>
    <s v="DK2_Large"/>
    <x v="8"/>
    <x v="0"/>
    <s v="GNR_ST_WOODPEL_EXT_E-50"/>
    <x v="0"/>
    <x v="12"/>
    <n v="473.33333333333297"/>
    <n v="172766.66666666701"/>
    <n v="621960"/>
  </r>
  <r>
    <x v="0"/>
    <x v="0"/>
    <x v="0"/>
    <x v="0"/>
    <x v="1"/>
    <s v="DK2_Large"/>
    <x v="8"/>
    <x v="0"/>
    <s v="GNR_ST_WOODPEL_EXT_E-50"/>
    <x v="0"/>
    <x v="13"/>
    <n v="473.33333333333297"/>
    <n v="172766.66666666701"/>
    <n v="621960"/>
  </r>
  <r>
    <x v="0"/>
    <x v="0"/>
    <x v="0"/>
    <x v="0"/>
    <x v="1"/>
    <s v="DK2_Large"/>
    <x v="8"/>
    <x v="0"/>
    <s v="GNR_ST_WOODPEL_EXT_E-50"/>
    <x v="0"/>
    <x v="14"/>
    <n v="568"/>
    <n v="207320"/>
    <n v="746352"/>
  </r>
  <r>
    <x v="0"/>
    <x v="0"/>
    <x v="0"/>
    <x v="0"/>
    <x v="1"/>
    <s v="DK2_Large"/>
    <x v="8"/>
    <x v="0"/>
    <s v="GNR_ST_WOODPEL_EXT_E-50"/>
    <x v="0"/>
    <x v="15"/>
    <n v="568"/>
    <n v="207320"/>
    <n v="746352"/>
  </r>
  <r>
    <x v="0"/>
    <x v="0"/>
    <x v="0"/>
    <x v="0"/>
    <x v="1"/>
    <s v="DK2_Large"/>
    <x v="8"/>
    <x v="0"/>
    <s v="GNR_ST_WOODPEL_EXT_E-50"/>
    <x v="0"/>
    <x v="16"/>
    <n v="568"/>
    <n v="207320"/>
    <n v="746352"/>
  </r>
  <r>
    <x v="0"/>
    <x v="0"/>
    <x v="0"/>
    <x v="0"/>
    <x v="1"/>
    <s v="DK2_Large"/>
    <x v="8"/>
    <x v="0"/>
    <s v="GNR_ST_WOODPEL_EXT_E-50"/>
    <x v="0"/>
    <x v="17"/>
    <n v="568"/>
    <n v="207320"/>
    <n v="746352"/>
  </r>
  <r>
    <x v="0"/>
    <x v="0"/>
    <x v="0"/>
    <x v="0"/>
    <x v="1"/>
    <s v="DK2_Large"/>
    <x v="8"/>
    <x v="0"/>
    <s v="GNR_ST_WOODPEL_EXT_E-50"/>
    <x v="0"/>
    <x v="18"/>
    <n v="503.62716032414897"/>
    <n v="183823.91351831501"/>
    <n v="661766.08866593195"/>
  </r>
  <r>
    <x v="0"/>
    <x v="0"/>
    <x v="0"/>
    <x v="0"/>
    <x v="1"/>
    <s v="DK2_Large"/>
    <x v="8"/>
    <x v="0"/>
    <s v="GNR_ST_WOODPEL_EXT_E-50"/>
    <x v="0"/>
    <x v="19"/>
    <n v="506.46817249102202"/>
    <n v="184860.882959223"/>
    <n v="665499.17865320202"/>
  </r>
  <r>
    <x v="0"/>
    <x v="0"/>
    <x v="0"/>
    <x v="0"/>
    <x v="1"/>
    <s v="DK2_Large"/>
    <x v="8"/>
    <x v="0"/>
    <s v="GNR_ST_WOODPEL_EXT_E-50"/>
    <x v="0"/>
    <x v="20"/>
    <n v="485.91901757134298"/>
    <n v="177360.44141353999"/>
    <n v="638497.58908874495"/>
  </r>
  <r>
    <x v="0"/>
    <x v="0"/>
    <x v="0"/>
    <x v="0"/>
    <x v="1"/>
    <s v="DK2_Large"/>
    <x v="8"/>
    <x v="0"/>
    <s v="GNR_ST_WOODPEL_EXT_E-50"/>
    <x v="0"/>
    <x v="21"/>
    <n v="473.33333333333297"/>
    <n v="172766.66666666701"/>
    <n v="621960"/>
  </r>
  <r>
    <x v="0"/>
    <x v="0"/>
    <x v="0"/>
    <x v="0"/>
    <x v="1"/>
    <s v="DK2_Large"/>
    <x v="8"/>
    <x v="0"/>
    <s v="GNR_ST_WOODPEL_EXT_E-50"/>
    <x v="0"/>
    <x v="22"/>
    <n v="473.33333333333297"/>
    <n v="172766.66666666701"/>
    <n v="621960"/>
  </r>
  <r>
    <x v="0"/>
    <x v="0"/>
    <x v="0"/>
    <x v="0"/>
    <x v="1"/>
    <s v="DK2_Large"/>
    <x v="8"/>
    <x v="0"/>
    <s v="GNR_ST_WOODPEL_EXT_E-50"/>
    <x v="0"/>
    <x v="23"/>
    <n v="473.33333333333297"/>
    <n v="172766.66666666701"/>
    <n v="621960"/>
  </r>
  <r>
    <x v="0"/>
    <x v="0"/>
    <x v="0"/>
    <x v="0"/>
    <x v="1"/>
    <s v="DK2_MedSmall"/>
    <x v="1"/>
    <x v="1"/>
    <s v="GNR_ST_MSW_BP_E-21"/>
    <x v="0"/>
    <x v="0"/>
    <n v="6.7"/>
    <n v="2445.5"/>
    <n v="8803.7999999999993"/>
  </r>
  <r>
    <x v="0"/>
    <x v="0"/>
    <x v="0"/>
    <x v="0"/>
    <x v="1"/>
    <s v="DK2_MedSmall"/>
    <x v="1"/>
    <x v="1"/>
    <s v="GNR_ST_MSW_BP_E-21"/>
    <x v="0"/>
    <x v="1"/>
    <n v="6.7"/>
    <n v="2445.5"/>
    <n v="8803.7999999999993"/>
  </r>
  <r>
    <x v="0"/>
    <x v="0"/>
    <x v="0"/>
    <x v="0"/>
    <x v="1"/>
    <s v="DK2_MedSmall"/>
    <x v="1"/>
    <x v="1"/>
    <s v="GNR_ST_MSW_BP_E-21"/>
    <x v="0"/>
    <x v="2"/>
    <n v="6.7"/>
    <n v="2445.5"/>
    <n v="8803.7999999999993"/>
  </r>
  <r>
    <x v="0"/>
    <x v="0"/>
    <x v="0"/>
    <x v="0"/>
    <x v="1"/>
    <s v="DK2_MedSmall"/>
    <x v="1"/>
    <x v="1"/>
    <s v="GNR_ST_MSW_BP_E-21"/>
    <x v="0"/>
    <x v="9"/>
    <n v="6.7"/>
    <n v="2445.5"/>
    <n v="8803.7999999999993"/>
  </r>
  <r>
    <x v="0"/>
    <x v="0"/>
    <x v="0"/>
    <x v="0"/>
    <x v="1"/>
    <s v="DK2_MedSmall"/>
    <x v="1"/>
    <x v="1"/>
    <s v="GNR_ST_MSW_BP_E-21"/>
    <x v="0"/>
    <x v="10"/>
    <n v="6.7"/>
    <n v="2445.5"/>
    <n v="8803.7999999999993"/>
  </r>
  <r>
    <x v="0"/>
    <x v="0"/>
    <x v="0"/>
    <x v="0"/>
    <x v="1"/>
    <s v="DK2_MedSmall"/>
    <x v="1"/>
    <x v="1"/>
    <s v="GNR_ST_MSW_BP_E-21"/>
    <x v="0"/>
    <x v="11"/>
    <n v="6.7"/>
    <n v="2445.5"/>
    <n v="8803.7999999999993"/>
  </r>
  <r>
    <x v="0"/>
    <x v="0"/>
    <x v="0"/>
    <x v="0"/>
    <x v="1"/>
    <s v="DK2_MedSmall"/>
    <x v="1"/>
    <x v="1"/>
    <s v="GNR_ST_MSW_BP_E-21"/>
    <x v="0"/>
    <x v="14"/>
    <n v="6.7"/>
    <n v="2445.5"/>
    <n v="8803.7999999999993"/>
  </r>
  <r>
    <x v="0"/>
    <x v="0"/>
    <x v="0"/>
    <x v="0"/>
    <x v="1"/>
    <s v="DK2_MedSmall"/>
    <x v="1"/>
    <x v="1"/>
    <s v="GNR_ST_MSW_BP_E-21"/>
    <x v="0"/>
    <x v="15"/>
    <n v="6.7"/>
    <n v="2445.5"/>
    <n v="8803.7999999999993"/>
  </r>
  <r>
    <x v="0"/>
    <x v="0"/>
    <x v="0"/>
    <x v="0"/>
    <x v="1"/>
    <s v="DK2_MedSmall"/>
    <x v="1"/>
    <x v="1"/>
    <s v="GNR_ST_MSW_BP_E-21"/>
    <x v="0"/>
    <x v="16"/>
    <n v="6.7"/>
    <n v="2445.5"/>
    <n v="8803.7999999999993"/>
  </r>
  <r>
    <x v="0"/>
    <x v="0"/>
    <x v="0"/>
    <x v="0"/>
    <x v="1"/>
    <s v="DK2_MedSmall"/>
    <x v="1"/>
    <x v="1"/>
    <s v="GNR_ST_MSW_BP_E-21"/>
    <x v="0"/>
    <x v="17"/>
    <n v="6.7"/>
    <n v="2445.5"/>
    <n v="8803.7999999999993"/>
  </r>
  <r>
    <x v="0"/>
    <x v="0"/>
    <x v="0"/>
    <x v="0"/>
    <x v="1"/>
    <s v="DK2_MedSmall"/>
    <x v="1"/>
    <x v="1"/>
    <s v="GNR_ST_MSW_BP_E-21"/>
    <x v="0"/>
    <x v="18"/>
    <n v="6.7"/>
    <n v="2445.5"/>
    <n v="8803.7999999999993"/>
  </r>
  <r>
    <x v="0"/>
    <x v="0"/>
    <x v="0"/>
    <x v="0"/>
    <x v="1"/>
    <s v="DK2_MedSmall"/>
    <x v="1"/>
    <x v="1"/>
    <s v="GNR_ST_MSW_BP_E-21"/>
    <x v="0"/>
    <x v="19"/>
    <n v="6.7"/>
    <n v="2445.5"/>
    <n v="8803.7999999999993"/>
  </r>
  <r>
    <x v="0"/>
    <x v="0"/>
    <x v="0"/>
    <x v="0"/>
    <x v="1"/>
    <s v="DK2_MedSmall"/>
    <x v="1"/>
    <x v="1"/>
    <s v="GNR_ST_MSW_BP_E-25"/>
    <x v="0"/>
    <x v="0"/>
    <n v="10.9"/>
    <n v="3978.5"/>
    <n v="14322.6"/>
  </r>
  <r>
    <x v="0"/>
    <x v="0"/>
    <x v="0"/>
    <x v="0"/>
    <x v="1"/>
    <s v="DK2_MedSmall"/>
    <x v="1"/>
    <x v="1"/>
    <s v="GNR_ST_MSW_BP_E-25"/>
    <x v="0"/>
    <x v="1"/>
    <n v="10.9"/>
    <n v="3978.5"/>
    <n v="14322.6"/>
  </r>
  <r>
    <x v="0"/>
    <x v="0"/>
    <x v="0"/>
    <x v="0"/>
    <x v="1"/>
    <s v="DK2_MedSmall"/>
    <x v="1"/>
    <x v="1"/>
    <s v="GNR_ST_MSW_BP_E-25"/>
    <x v="0"/>
    <x v="2"/>
    <n v="10.9"/>
    <n v="3978.5"/>
    <n v="14322.6"/>
  </r>
  <r>
    <x v="0"/>
    <x v="0"/>
    <x v="0"/>
    <x v="0"/>
    <x v="1"/>
    <s v="DK2_MedSmall"/>
    <x v="1"/>
    <x v="1"/>
    <s v="GNR_ST_MSW_BP_E-25"/>
    <x v="0"/>
    <x v="9"/>
    <n v="10.9"/>
    <n v="3978.5"/>
    <n v="14322.6"/>
  </r>
  <r>
    <x v="0"/>
    <x v="0"/>
    <x v="0"/>
    <x v="0"/>
    <x v="1"/>
    <s v="DK2_MedSmall"/>
    <x v="1"/>
    <x v="1"/>
    <s v="GNR_ST_MSW_BP_E-25"/>
    <x v="0"/>
    <x v="10"/>
    <n v="10.9"/>
    <n v="3978.5"/>
    <n v="14322.6"/>
  </r>
  <r>
    <x v="0"/>
    <x v="0"/>
    <x v="0"/>
    <x v="0"/>
    <x v="1"/>
    <s v="DK2_MedSmall"/>
    <x v="1"/>
    <x v="1"/>
    <s v="GNR_ST_MSW_BP_E-25"/>
    <x v="0"/>
    <x v="11"/>
    <n v="10.9"/>
    <n v="3978.5"/>
    <n v="14322.6"/>
  </r>
  <r>
    <x v="0"/>
    <x v="0"/>
    <x v="0"/>
    <x v="0"/>
    <x v="1"/>
    <s v="DK2_MedSmall"/>
    <x v="1"/>
    <x v="1"/>
    <s v="GNR_ST_MSW_BP_E-25"/>
    <x v="0"/>
    <x v="14"/>
    <n v="10.9"/>
    <n v="3978.5"/>
    <n v="14322.6"/>
  </r>
  <r>
    <x v="0"/>
    <x v="0"/>
    <x v="0"/>
    <x v="0"/>
    <x v="1"/>
    <s v="DK2_MedSmall"/>
    <x v="1"/>
    <x v="1"/>
    <s v="GNR_ST_MSW_BP_E-25"/>
    <x v="0"/>
    <x v="15"/>
    <n v="10.9"/>
    <n v="3978.5"/>
    <n v="14322.6"/>
  </r>
  <r>
    <x v="0"/>
    <x v="0"/>
    <x v="0"/>
    <x v="0"/>
    <x v="1"/>
    <s v="DK2_MedSmall"/>
    <x v="1"/>
    <x v="1"/>
    <s v="GNR_ST_MSW_BP_E-25"/>
    <x v="0"/>
    <x v="16"/>
    <n v="10.9"/>
    <n v="3978.5"/>
    <n v="14322.6"/>
  </r>
  <r>
    <x v="0"/>
    <x v="0"/>
    <x v="0"/>
    <x v="0"/>
    <x v="1"/>
    <s v="DK2_MedSmall"/>
    <x v="1"/>
    <x v="1"/>
    <s v="GNR_ST_MSW_BP_E-25"/>
    <x v="0"/>
    <x v="17"/>
    <n v="10.9"/>
    <n v="3978.5"/>
    <n v="14322.6"/>
  </r>
  <r>
    <x v="0"/>
    <x v="0"/>
    <x v="0"/>
    <x v="0"/>
    <x v="1"/>
    <s v="DK2_MedSmall"/>
    <x v="1"/>
    <x v="1"/>
    <s v="GNR_ST_MSW_BP_E-25"/>
    <x v="0"/>
    <x v="18"/>
    <n v="10.9"/>
    <n v="3978.5"/>
    <n v="14322.6"/>
  </r>
  <r>
    <x v="0"/>
    <x v="0"/>
    <x v="0"/>
    <x v="0"/>
    <x v="1"/>
    <s v="DK2_MedSmall"/>
    <x v="1"/>
    <x v="1"/>
    <s v="GNR_ST_MSW_BP_E-25"/>
    <x v="0"/>
    <x v="19"/>
    <n v="10.9"/>
    <n v="3978.5"/>
    <n v="14322.6"/>
  </r>
  <r>
    <x v="0"/>
    <x v="0"/>
    <x v="0"/>
    <x v="0"/>
    <x v="1"/>
    <s v="DK2_MedSmall"/>
    <x v="1"/>
    <x v="1"/>
    <s v="GNR_ST_MSW_BP_E-25"/>
    <x v="0"/>
    <x v="20"/>
    <n v="4.6188015566353098"/>
    <n v="1685.86256817189"/>
    <n v="6069.1052454187902"/>
  </r>
  <r>
    <x v="0"/>
    <x v="0"/>
    <x v="0"/>
    <x v="0"/>
    <x v="1"/>
    <s v="DK2_MedSmall"/>
    <x v="1"/>
    <x v="1"/>
    <s v="GNR_ST_MSW_BP_E-28"/>
    <x v="0"/>
    <x v="7"/>
    <n v="6.9774546372259998"/>
    <n v="2546.77094258749"/>
    <n v="9168.3753933149601"/>
  </r>
  <r>
    <x v="0"/>
    <x v="0"/>
    <x v="0"/>
    <x v="0"/>
    <x v="1"/>
    <s v="DK2_MedSmall"/>
    <x v="1"/>
    <x v="1"/>
    <s v="GNR_ST_MSW_BP_E-28"/>
    <x v="0"/>
    <x v="8"/>
    <n v="12.89"/>
    <n v="4704.8500000000004"/>
    <n v="16937.46"/>
  </r>
  <r>
    <x v="0"/>
    <x v="0"/>
    <x v="0"/>
    <x v="0"/>
    <x v="1"/>
    <s v="DK2_MedSmall"/>
    <x v="1"/>
    <x v="1"/>
    <s v="GNR_ST_MSW_BP_E-28"/>
    <x v="0"/>
    <x v="0"/>
    <n v="12.89"/>
    <n v="4704.8500000000004"/>
    <n v="16937.46"/>
  </r>
  <r>
    <x v="0"/>
    <x v="0"/>
    <x v="0"/>
    <x v="0"/>
    <x v="1"/>
    <s v="DK2_MedSmall"/>
    <x v="1"/>
    <x v="1"/>
    <s v="GNR_ST_MSW_BP_E-28"/>
    <x v="0"/>
    <x v="1"/>
    <n v="12.89"/>
    <n v="4704.8500000000004"/>
    <n v="16937.46"/>
  </r>
  <r>
    <x v="0"/>
    <x v="0"/>
    <x v="0"/>
    <x v="0"/>
    <x v="1"/>
    <s v="DK2_MedSmall"/>
    <x v="1"/>
    <x v="1"/>
    <s v="GNR_ST_MSW_BP_E-28"/>
    <x v="0"/>
    <x v="2"/>
    <n v="12.89"/>
    <n v="4704.8500000000004"/>
    <n v="16937.46"/>
  </r>
  <r>
    <x v="0"/>
    <x v="0"/>
    <x v="0"/>
    <x v="0"/>
    <x v="1"/>
    <s v="DK2_MedSmall"/>
    <x v="1"/>
    <x v="1"/>
    <s v="GNR_ST_MSW_BP_E-28"/>
    <x v="0"/>
    <x v="9"/>
    <n v="12.89"/>
    <n v="4704.8500000000004"/>
    <n v="16937.46"/>
  </r>
  <r>
    <x v="0"/>
    <x v="0"/>
    <x v="0"/>
    <x v="0"/>
    <x v="1"/>
    <s v="DK2_MedSmall"/>
    <x v="1"/>
    <x v="1"/>
    <s v="GNR_ST_MSW_BP_E-28"/>
    <x v="0"/>
    <x v="10"/>
    <n v="12.89"/>
    <n v="4704.8500000000004"/>
    <n v="16937.46"/>
  </r>
  <r>
    <x v="0"/>
    <x v="0"/>
    <x v="0"/>
    <x v="0"/>
    <x v="1"/>
    <s v="DK2_MedSmall"/>
    <x v="1"/>
    <x v="1"/>
    <s v="GNR_ST_MSW_BP_E-28"/>
    <x v="0"/>
    <x v="11"/>
    <n v="12.89"/>
    <n v="4704.8500000000004"/>
    <n v="16937.46"/>
  </r>
  <r>
    <x v="0"/>
    <x v="0"/>
    <x v="0"/>
    <x v="0"/>
    <x v="1"/>
    <s v="DK2_MedSmall"/>
    <x v="1"/>
    <x v="1"/>
    <s v="GNR_ST_MSW_BP_E-28"/>
    <x v="0"/>
    <x v="12"/>
    <n v="5.9844013588436296"/>
    <n v="2184.3064959779299"/>
    <n v="7863.5033855205302"/>
  </r>
  <r>
    <x v="0"/>
    <x v="0"/>
    <x v="0"/>
    <x v="0"/>
    <x v="1"/>
    <s v="DK2_MedSmall"/>
    <x v="1"/>
    <x v="1"/>
    <s v="GNR_ST_MSW_BP_E-28"/>
    <x v="0"/>
    <x v="13"/>
    <n v="12.89"/>
    <n v="4704.8500000000004"/>
    <n v="16937.46"/>
  </r>
  <r>
    <x v="0"/>
    <x v="0"/>
    <x v="0"/>
    <x v="0"/>
    <x v="1"/>
    <s v="DK2_MedSmall"/>
    <x v="1"/>
    <x v="1"/>
    <s v="GNR_ST_MSW_BP_E-28"/>
    <x v="0"/>
    <x v="14"/>
    <n v="12.89"/>
    <n v="4704.8500000000004"/>
    <n v="16937.46"/>
  </r>
  <r>
    <x v="0"/>
    <x v="0"/>
    <x v="0"/>
    <x v="0"/>
    <x v="1"/>
    <s v="DK2_MedSmall"/>
    <x v="1"/>
    <x v="1"/>
    <s v="GNR_ST_MSW_BP_E-28"/>
    <x v="0"/>
    <x v="15"/>
    <n v="12.89"/>
    <n v="4704.8500000000004"/>
    <n v="16937.46"/>
  </r>
  <r>
    <x v="0"/>
    <x v="0"/>
    <x v="0"/>
    <x v="0"/>
    <x v="1"/>
    <s v="DK2_MedSmall"/>
    <x v="1"/>
    <x v="1"/>
    <s v="GNR_ST_MSW_BP_E-28"/>
    <x v="0"/>
    <x v="16"/>
    <n v="12.89"/>
    <n v="4704.8500000000004"/>
    <n v="16937.46"/>
  </r>
  <r>
    <x v="0"/>
    <x v="0"/>
    <x v="0"/>
    <x v="0"/>
    <x v="1"/>
    <s v="DK2_MedSmall"/>
    <x v="1"/>
    <x v="1"/>
    <s v="GNR_ST_MSW_BP_E-28"/>
    <x v="0"/>
    <x v="17"/>
    <n v="12.89"/>
    <n v="4704.8500000000004"/>
    <n v="16937.46"/>
  </r>
  <r>
    <x v="0"/>
    <x v="0"/>
    <x v="0"/>
    <x v="0"/>
    <x v="1"/>
    <s v="DK2_MedSmall"/>
    <x v="1"/>
    <x v="1"/>
    <s v="GNR_ST_MSW_BP_E-28"/>
    <x v="0"/>
    <x v="18"/>
    <n v="12.89"/>
    <n v="4704.8500000000004"/>
    <n v="16937.46"/>
  </r>
  <r>
    <x v="0"/>
    <x v="0"/>
    <x v="0"/>
    <x v="0"/>
    <x v="1"/>
    <s v="DK2_MedSmall"/>
    <x v="1"/>
    <x v="1"/>
    <s v="GNR_ST_MSW_BP_E-28"/>
    <x v="0"/>
    <x v="19"/>
    <n v="12.89"/>
    <n v="4704.8500000000004"/>
    <n v="16937.46"/>
  </r>
  <r>
    <x v="0"/>
    <x v="0"/>
    <x v="0"/>
    <x v="0"/>
    <x v="1"/>
    <s v="DK2_MedSmall"/>
    <x v="1"/>
    <x v="1"/>
    <s v="GNR_ST_MSW_BP_E-28"/>
    <x v="0"/>
    <x v="20"/>
    <n v="12.89"/>
    <n v="4704.8500000000004"/>
    <n v="16937.46"/>
  </r>
  <r>
    <x v="0"/>
    <x v="0"/>
    <x v="0"/>
    <x v="0"/>
    <x v="1"/>
    <s v="DK2_MedSmall"/>
    <x v="1"/>
    <x v="1"/>
    <s v="GNR_ST_MSW_BP_E-28"/>
    <x v="0"/>
    <x v="21"/>
    <n v="9.3343502064680504"/>
    <n v="3407.0378253608401"/>
    <n v="12265.336171299001"/>
  </r>
  <r>
    <x v="0"/>
    <x v="0"/>
    <x v="0"/>
    <x v="0"/>
    <x v="1"/>
    <s v="DK2_MedSmall"/>
    <x v="2"/>
    <x v="1"/>
    <s v="GNR_ENG_NGAS_BP_E-40"/>
    <x v="0"/>
    <x v="3"/>
    <n v="1.48"/>
    <n v="540.20000000000005"/>
    <n v="1944.72"/>
  </r>
  <r>
    <x v="0"/>
    <x v="0"/>
    <x v="0"/>
    <x v="0"/>
    <x v="1"/>
    <s v="DK2_MedSmall"/>
    <x v="2"/>
    <x v="1"/>
    <s v="GNR_ENG_NGAS_BP_E-40"/>
    <x v="0"/>
    <x v="4"/>
    <n v="1.48"/>
    <n v="540.20000000000005"/>
    <n v="1944.72"/>
  </r>
  <r>
    <x v="0"/>
    <x v="0"/>
    <x v="0"/>
    <x v="0"/>
    <x v="1"/>
    <s v="DK2_MedSmall"/>
    <x v="2"/>
    <x v="1"/>
    <s v="GNR_ENG_NGAS_BP_E-40"/>
    <x v="0"/>
    <x v="5"/>
    <n v="1.48"/>
    <n v="540.20000000000005"/>
    <n v="1944.72"/>
  </r>
  <r>
    <x v="0"/>
    <x v="0"/>
    <x v="0"/>
    <x v="0"/>
    <x v="1"/>
    <s v="DK2_MedSmall"/>
    <x v="2"/>
    <x v="1"/>
    <s v="GNR_ENG_NGAS_BP_E-40"/>
    <x v="0"/>
    <x v="6"/>
    <n v="1.48"/>
    <n v="540.20000000000005"/>
    <n v="1944.72"/>
  </r>
  <r>
    <x v="0"/>
    <x v="0"/>
    <x v="0"/>
    <x v="0"/>
    <x v="1"/>
    <s v="DK2_MedSmall"/>
    <x v="2"/>
    <x v="1"/>
    <s v="GNR_ENG_NGAS_BP_E-40"/>
    <x v="0"/>
    <x v="7"/>
    <n v="1.48"/>
    <n v="540.20000000000005"/>
    <n v="1944.72"/>
  </r>
  <r>
    <x v="0"/>
    <x v="0"/>
    <x v="0"/>
    <x v="0"/>
    <x v="1"/>
    <s v="DK2_MedSmall"/>
    <x v="2"/>
    <x v="1"/>
    <s v="GNR_ENG_NGAS_BP_E-40"/>
    <x v="0"/>
    <x v="8"/>
    <n v="1.48"/>
    <n v="540.20000000000005"/>
    <n v="1944.72"/>
  </r>
  <r>
    <x v="0"/>
    <x v="0"/>
    <x v="0"/>
    <x v="0"/>
    <x v="1"/>
    <s v="DK2_MedSmall"/>
    <x v="2"/>
    <x v="1"/>
    <s v="GNR_ENG_NGAS_BP_E-40"/>
    <x v="0"/>
    <x v="0"/>
    <n v="1.48"/>
    <n v="540.20000000000005"/>
    <n v="1944.72"/>
  </r>
  <r>
    <x v="0"/>
    <x v="0"/>
    <x v="0"/>
    <x v="0"/>
    <x v="1"/>
    <s v="DK2_MedSmall"/>
    <x v="2"/>
    <x v="1"/>
    <s v="GNR_ENG_NGAS_BP_E-40"/>
    <x v="0"/>
    <x v="1"/>
    <n v="1.48"/>
    <n v="540.20000000000005"/>
    <n v="1944.72"/>
  </r>
  <r>
    <x v="0"/>
    <x v="0"/>
    <x v="0"/>
    <x v="0"/>
    <x v="1"/>
    <s v="DK2_MedSmall"/>
    <x v="2"/>
    <x v="1"/>
    <s v="GNR_ENG_NGAS_BP_E-40"/>
    <x v="0"/>
    <x v="2"/>
    <n v="1.48"/>
    <n v="540.20000000000005"/>
    <n v="1944.72"/>
  </r>
  <r>
    <x v="0"/>
    <x v="0"/>
    <x v="0"/>
    <x v="0"/>
    <x v="1"/>
    <s v="DK2_MedSmall"/>
    <x v="2"/>
    <x v="1"/>
    <s v="GNR_ENG_NGAS_BP_E-40"/>
    <x v="0"/>
    <x v="9"/>
    <n v="1.48"/>
    <n v="540.20000000000005"/>
    <n v="1944.72"/>
  </r>
  <r>
    <x v="0"/>
    <x v="0"/>
    <x v="0"/>
    <x v="0"/>
    <x v="1"/>
    <s v="DK2_MedSmall"/>
    <x v="2"/>
    <x v="1"/>
    <s v="GNR_ENG_NGAS_BP_E-40"/>
    <x v="0"/>
    <x v="10"/>
    <n v="1.48"/>
    <n v="540.20000000000005"/>
    <n v="1944.72"/>
  </r>
  <r>
    <x v="0"/>
    <x v="0"/>
    <x v="0"/>
    <x v="0"/>
    <x v="1"/>
    <s v="DK2_MedSmall"/>
    <x v="2"/>
    <x v="1"/>
    <s v="GNR_ENG_NGAS_BP_E-40"/>
    <x v="0"/>
    <x v="11"/>
    <n v="1.48"/>
    <n v="540.20000000000005"/>
    <n v="1944.72"/>
  </r>
  <r>
    <x v="0"/>
    <x v="0"/>
    <x v="0"/>
    <x v="0"/>
    <x v="1"/>
    <s v="DK2_MedSmall"/>
    <x v="2"/>
    <x v="1"/>
    <s v="GNR_ENG_NGAS_BP_E-40"/>
    <x v="0"/>
    <x v="12"/>
    <n v="1.48"/>
    <n v="540.20000000000005"/>
    <n v="1944.72"/>
  </r>
  <r>
    <x v="0"/>
    <x v="0"/>
    <x v="0"/>
    <x v="0"/>
    <x v="1"/>
    <s v="DK2_MedSmall"/>
    <x v="2"/>
    <x v="1"/>
    <s v="GNR_ENG_NGAS_BP_E-40"/>
    <x v="0"/>
    <x v="13"/>
    <n v="1.48"/>
    <n v="540.20000000000005"/>
    <n v="1944.72"/>
  </r>
  <r>
    <x v="0"/>
    <x v="0"/>
    <x v="0"/>
    <x v="0"/>
    <x v="1"/>
    <s v="DK2_MedSmall"/>
    <x v="2"/>
    <x v="1"/>
    <s v="GNR_ENG_NGAS_BP_E-40"/>
    <x v="0"/>
    <x v="14"/>
    <n v="1.48"/>
    <n v="540.20000000000005"/>
    <n v="1944.72"/>
  </r>
  <r>
    <x v="0"/>
    <x v="0"/>
    <x v="0"/>
    <x v="0"/>
    <x v="1"/>
    <s v="DK2_MedSmall"/>
    <x v="2"/>
    <x v="1"/>
    <s v="GNR_ENG_NGAS_BP_E-40"/>
    <x v="0"/>
    <x v="15"/>
    <n v="1.48"/>
    <n v="540.20000000000005"/>
    <n v="1944.72"/>
  </r>
  <r>
    <x v="0"/>
    <x v="0"/>
    <x v="0"/>
    <x v="0"/>
    <x v="1"/>
    <s v="DK2_MedSmall"/>
    <x v="2"/>
    <x v="1"/>
    <s v="GNR_ENG_NGAS_BP_E-40"/>
    <x v="0"/>
    <x v="16"/>
    <n v="1.48"/>
    <n v="540.20000000000005"/>
    <n v="1944.72"/>
  </r>
  <r>
    <x v="0"/>
    <x v="0"/>
    <x v="0"/>
    <x v="0"/>
    <x v="1"/>
    <s v="DK2_MedSmall"/>
    <x v="2"/>
    <x v="1"/>
    <s v="GNR_ENG_NGAS_BP_E-40"/>
    <x v="0"/>
    <x v="17"/>
    <n v="1.48"/>
    <n v="540.20000000000005"/>
    <n v="1944.72"/>
  </r>
  <r>
    <x v="0"/>
    <x v="0"/>
    <x v="0"/>
    <x v="0"/>
    <x v="1"/>
    <s v="DK2_MedSmall"/>
    <x v="2"/>
    <x v="1"/>
    <s v="GNR_ENG_NGAS_BP_E-40"/>
    <x v="0"/>
    <x v="18"/>
    <n v="1.48"/>
    <n v="540.20000000000005"/>
    <n v="1944.72"/>
  </r>
  <r>
    <x v="0"/>
    <x v="0"/>
    <x v="0"/>
    <x v="0"/>
    <x v="1"/>
    <s v="DK2_MedSmall"/>
    <x v="2"/>
    <x v="1"/>
    <s v="GNR_ENG_NGAS_BP_E-40"/>
    <x v="0"/>
    <x v="19"/>
    <n v="1.48"/>
    <n v="540.20000000000005"/>
    <n v="1944.72"/>
  </r>
  <r>
    <x v="0"/>
    <x v="0"/>
    <x v="0"/>
    <x v="0"/>
    <x v="1"/>
    <s v="DK2_MedSmall"/>
    <x v="2"/>
    <x v="1"/>
    <s v="GNR_ENG_NGAS_BP_E-40"/>
    <x v="0"/>
    <x v="20"/>
    <n v="1.48"/>
    <n v="540.20000000000005"/>
    <n v="1944.72"/>
  </r>
  <r>
    <x v="0"/>
    <x v="0"/>
    <x v="0"/>
    <x v="0"/>
    <x v="1"/>
    <s v="DK2_MedSmall"/>
    <x v="2"/>
    <x v="1"/>
    <s v="GNR_ENG_NGAS_BP_E-40"/>
    <x v="0"/>
    <x v="21"/>
    <n v="1.48"/>
    <n v="540.20000000000005"/>
    <n v="1944.72"/>
  </r>
  <r>
    <x v="0"/>
    <x v="0"/>
    <x v="0"/>
    <x v="0"/>
    <x v="1"/>
    <s v="DK2_MedSmall"/>
    <x v="2"/>
    <x v="1"/>
    <s v="GNR_ENG_NGAS_BP_E-40"/>
    <x v="0"/>
    <x v="22"/>
    <n v="1.48"/>
    <n v="540.20000000000005"/>
    <n v="1944.72"/>
  </r>
  <r>
    <x v="0"/>
    <x v="0"/>
    <x v="0"/>
    <x v="0"/>
    <x v="1"/>
    <s v="DK2_MedSmall"/>
    <x v="2"/>
    <x v="1"/>
    <s v="GNR_ENG_NGAS_BP_E-40"/>
    <x v="0"/>
    <x v="23"/>
    <n v="1.48"/>
    <n v="540.20000000000005"/>
    <n v="1944.72"/>
  </r>
  <r>
    <x v="0"/>
    <x v="0"/>
    <x v="0"/>
    <x v="0"/>
    <x v="1"/>
    <s v="DK2_MedSmall"/>
    <x v="2"/>
    <x v="1"/>
    <s v="GNR_ENG_NGAS_BP_E-42"/>
    <x v="0"/>
    <x v="3"/>
    <n v="3.1"/>
    <n v="1131.5"/>
    <n v="4073.4"/>
  </r>
  <r>
    <x v="0"/>
    <x v="0"/>
    <x v="0"/>
    <x v="0"/>
    <x v="1"/>
    <s v="DK2_MedSmall"/>
    <x v="2"/>
    <x v="1"/>
    <s v="GNR_ENG_NGAS_BP_E-42"/>
    <x v="0"/>
    <x v="4"/>
    <n v="3.1"/>
    <n v="1131.5"/>
    <n v="4073.4"/>
  </r>
  <r>
    <x v="0"/>
    <x v="0"/>
    <x v="0"/>
    <x v="0"/>
    <x v="1"/>
    <s v="DK2_MedSmall"/>
    <x v="2"/>
    <x v="1"/>
    <s v="GNR_ENG_NGAS_BP_E-42"/>
    <x v="0"/>
    <x v="5"/>
    <n v="3.1"/>
    <n v="1131.5"/>
    <n v="4073.4"/>
  </r>
  <r>
    <x v="0"/>
    <x v="0"/>
    <x v="0"/>
    <x v="0"/>
    <x v="1"/>
    <s v="DK2_MedSmall"/>
    <x v="2"/>
    <x v="1"/>
    <s v="GNR_ENG_NGAS_BP_E-42"/>
    <x v="0"/>
    <x v="6"/>
    <n v="3.1"/>
    <n v="1131.5"/>
    <n v="4073.4"/>
  </r>
  <r>
    <x v="0"/>
    <x v="0"/>
    <x v="0"/>
    <x v="0"/>
    <x v="1"/>
    <s v="DK2_MedSmall"/>
    <x v="2"/>
    <x v="1"/>
    <s v="GNR_ENG_NGAS_BP_E-42"/>
    <x v="0"/>
    <x v="7"/>
    <n v="3.1"/>
    <n v="1131.5"/>
    <n v="4073.4"/>
  </r>
  <r>
    <x v="0"/>
    <x v="0"/>
    <x v="0"/>
    <x v="0"/>
    <x v="1"/>
    <s v="DK2_MedSmall"/>
    <x v="2"/>
    <x v="1"/>
    <s v="GNR_ENG_NGAS_BP_E-42"/>
    <x v="0"/>
    <x v="8"/>
    <n v="3.1"/>
    <n v="1131.5"/>
    <n v="4073.4"/>
  </r>
  <r>
    <x v="0"/>
    <x v="0"/>
    <x v="0"/>
    <x v="0"/>
    <x v="1"/>
    <s v="DK2_MedSmall"/>
    <x v="2"/>
    <x v="1"/>
    <s v="GNR_ENG_NGAS_BP_E-42"/>
    <x v="0"/>
    <x v="0"/>
    <n v="3.1"/>
    <n v="1131.5"/>
    <n v="4073.4"/>
  </r>
  <r>
    <x v="0"/>
    <x v="0"/>
    <x v="0"/>
    <x v="0"/>
    <x v="1"/>
    <s v="DK2_MedSmall"/>
    <x v="2"/>
    <x v="1"/>
    <s v="GNR_ENG_NGAS_BP_E-42"/>
    <x v="0"/>
    <x v="1"/>
    <n v="3.1"/>
    <n v="1131.5"/>
    <n v="4073.4"/>
  </r>
  <r>
    <x v="0"/>
    <x v="0"/>
    <x v="0"/>
    <x v="0"/>
    <x v="1"/>
    <s v="DK2_MedSmall"/>
    <x v="2"/>
    <x v="1"/>
    <s v="GNR_ENG_NGAS_BP_E-42"/>
    <x v="0"/>
    <x v="2"/>
    <n v="3.1"/>
    <n v="1131.5"/>
    <n v="4073.4"/>
  </r>
  <r>
    <x v="0"/>
    <x v="0"/>
    <x v="0"/>
    <x v="0"/>
    <x v="1"/>
    <s v="DK2_MedSmall"/>
    <x v="2"/>
    <x v="1"/>
    <s v="GNR_ENG_NGAS_BP_E-42"/>
    <x v="0"/>
    <x v="9"/>
    <n v="3.1"/>
    <n v="1131.5"/>
    <n v="4073.4"/>
  </r>
  <r>
    <x v="0"/>
    <x v="0"/>
    <x v="0"/>
    <x v="0"/>
    <x v="1"/>
    <s v="DK2_MedSmall"/>
    <x v="2"/>
    <x v="1"/>
    <s v="GNR_ENG_NGAS_BP_E-42"/>
    <x v="0"/>
    <x v="10"/>
    <n v="3.1"/>
    <n v="1131.5"/>
    <n v="4073.4"/>
  </r>
  <r>
    <x v="0"/>
    <x v="0"/>
    <x v="0"/>
    <x v="0"/>
    <x v="1"/>
    <s v="DK2_MedSmall"/>
    <x v="2"/>
    <x v="1"/>
    <s v="GNR_ENG_NGAS_BP_E-42"/>
    <x v="0"/>
    <x v="11"/>
    <n v="3.1"/>
    <n v="1131.5"/>
    <n v="4073.4"/>
  </r>
  <r>
    <x v="0"/>
    <x v="0"/>
    <x v="0"/>
    <x v="0"/>
    <x v="1"/>
    <s v="DK2_MedSmall"/>
    <x v="2"/>
    <x v="1"/>
    <s v="GNR_ENG_NGAS_BP_E-42"/>
    <x v="0"/>
    <x v="12"/>
    <n v="3.1"/>
    <n v="1131.5"/>
    <n v="4073.4"/>
  </r>
  <r>
    <x v="0"/>
    <x v="0"/>
    <x v="0"/>
    <x v="0"/>
    <x v="1"/>
    <s v="DK2_MedSmall"/>
    <x v="2"/>
    <x v="1"/>
    <s v="GNR_ENG_NGAS_BP_E-42"/>
    <x v="0"/>
    <x v="13"/>
    <n v="3.1"/>
    <n v="1131.5"/>
    <n v="4073.4"/>
  </r>
  <r>
    <x v="0"/>
    <x v="0"/>
    <x v="0"/>
    <x v="0"/>
    <x v="1"/>
    <s v="DK2_MedSmall"/>
    <x v="2"/>
    <x v="1"/>
    <s v="GNR_ENG_NGAS_BP_E-42"/>
    <x v="0"/>
    <x v="14"/>
    <n v="3.1"/>
    <n v="1131.5"/>
    <n v="4073.4"/>
  </r>
  <r>
    <x v="0"/>
    <x v="0"/>
    <x v="0"/>
    <x v="0"/>
    <x v="1"/>
    <s v="DK2_MedSmall"/>
    <x v="2"/>
    <x v="1"/>
    <s v="GNR_ENG_NGAS_BP_E-42"/>
    <x v="0"/>
    <x v="15"/>
    <n v="3.1"/>
    <n v="1131.5"/>
    <n v="4073.4"/>
  </r>
  <r>
    <x v="0"/>
    <x v="0"/>
    <x v="0"/>
    <x v="0"/>
    <x v="1"/>
    <s v="DK2_MedSmall"/>
    <x v="2"/>
    <x v="1"/>
    <s v="GNR_ENG_NGAS_BP_E-42"/>
    <x v="0"/>
    <x v="16"/>
    <n v="3.1"/>
    <n v="1131.5"/>
    <n v="4073.4"/>
  </r>
  <r>
    <x v="0"/>
    <x v="0"/>
    <x v="0"/>
    <x v="0"/>
    <x v="1"/>
    <s v="DK2_MedSmall"/>
    <x v="2"/>
    <x v="1"/>
    <s v="GNR_ENG_NGAS_BP_E-42"/>
    <x v="0"/>
    <x v="17"/>
    <n v="3.1"/>
    <n v="1131.5"/>
    <n v="4073.4"/>
  </r>
  <r>
    <x v="0"/>
    <x v="0"/>
    <x v="0"/>
    <x v="0"/>
    <x v="1"/>
    <s v="DK2_MedSmall"/>
    <x v="2"/>
    <x v="1"/>
    <s v="GNR_ENG_NGAS_BP_E-42"/>
    <x v="0"/>
    <x v="18"/>
    <n v="3.1"/>
    <n v="1131.5"/>
    <n v="4073.4"/>
  </r>
  <r>
    <x v="0"/>
    <x v="0"/>
    <x v="0"/>
    <x v="0"/>
    <x v="1"/>
    <s v="DK2_MedSmall"/>
    <x v="2"/>
    <x v="1"/>
    <s v="GNR_ENG_NGAS_BP_E-42"/>
    <x v="0"/>
    <x v="19"/>
    <n v="3.1"/>
    <n v="1131.5"/>
    <n v="4073.4"/>
  </r>
  <r>
    <x v="0"/>
    <x v="0"/>
    <x v="0"/>
    <x v="0"/>
    <x v="1"/>
    <s v="DK2_MedSmall"/>
    <x v="2"/>
    <x v="1"/>
    <s v="GNR_ENG_NGAS_BP_E-42"/>
    <x v="0"/>
    <x v="20"/>
    <n v="3.1"/>
    <n v="1131.5"/>
    <n v="4073.4"/>
  </r>
  <r>
    <x v="0"/>
    <x v="0"/>
    <x v="0"/>
    <x v="0"/>
    <x v="1"/>
    <s v="DK2_MedSmall"/>
    <x v="2"/>
    <x v="1"/>
    <s v="GNR_ENG_NGAS_BP_E-42"/>
    <x v="0"/>
    <x v="21"/>
    <n v="3.1"/>
    <n v="1131.5"/>
    <n v="4073.4"/>
  </r>
  <r>
    <x v="0"/>
    <x v="0"/>
    <x v="0"/>
    <x v="0"/>
    <x v="1"/>
    <s v="DK2_MedSmall"/>
    <x v="2"/>
    <x v="1"/>
    <s v="GNR_ENG_NGAS_BP_E-42"/>
    <x v="0"/>
    <x v="22"/>
    <n v="3.1"/>
    <n v="1131.5"/>
    <n v="4073.4"/>
  </r>
  <r>
    <x v="0"/>
    <x v="0"/>
    <x v="0"/>
    <x v="0"/>
    <x v="1"/>
    <s v="DK2_MedSmall"/>
    <x v="2"/>
    <x v="1"/>
    <s v="GNR_ENG_NGAS_BP_E-42"/>
    <x v="0"/>
    <x v="23"/>
    <n v="3.1"/>
    <n v="1131.5"/>
    <n v="4073.4"/>
  </r>
  <r>
    <x v="0"/>
    <x v="0"/>
    <x v="0"/>
    <x v="0"/>
    <x v="1"/>
    <s v="DK2_Medium"/>
    <x v="0"/>
    <x v="0"/>
    <s v="GNR_ST_COAL_EXT_E-41"/>
    <x v="0"/>
    <x v="1"/>
    <n v="276.43280583831501"/>
    <n v="100897.97413098501"/>
    <n v="363232.70687154599"/>
  </r>
  <r>
    <x v="0"/>
    <x v="0"/>
    <x v="0"/>
    <x v="0"/>
    <x v="1"/>
    <s v="DK2_Medium"/>
    <x v="0"/>
    <x v="0"/>
    <s v="GNR_ST_COAL_EXT_E-41"/>
    <x v="0"/>
    <x v="2"/>
    <n v="534.94437681617705"/>
    <n v="195254.69753790501"/>
    <n v="702916.91113645595"/>
  </r>
  <r>
    <x v="0"/>
    <x v="0"/>
    <x v="0"/>
    <x v="0"/>
    <x v="1"/>
    <s v="DK2_Medium"/>
    <x v="0"/>
    <x v="0"/>
    <s v="GNR_ST_COAL_EXT_E-41"/>
    <x v="0"/>
    <x v="9"/>
    <n v="260.60768408934899"/>
    <n v="95121.804692612393"/>
    <n v="342438.49689340498"/>
  </r>
  <r>
    <x v="0"/>
    <x v="0"/>
    <x v="0"/>
    <x v="0"/>
    <x v="1"/>
    <s v="DK2_Medium"/>
    <x v="1"/>
    <x v="1"/>
    <s v="GNR_ST_MSW_BP_E-23"/>
    <x v="0"/>
    <x v="0"/>
    <n v="6.22405468867324"/>
    <n v="2271.7799613657298"/>
    <n v="8178.4078609166399"/>
  </r>
  <r>
    <x v="0"/>
    <x v="0"/>
    <x v="0"/>
    <x v="0"/>
    <x v="1"/>
    <s v="DK2_Medium"/>
    <x v="1"/>
    <x v="1"/>
    <s v="GNR_ST_MSW_BP_E-23"/>
    <x v="0"/>
    <x v="1"/>
    <n v="8"/>
    <n v="2920"/>
    <n v="10512"/>
  </r>
  <r>
    <x v="0"/>
    <x v="0"/>
    <x v="0"/>
    <x v="0"/>
    <x v="1"/>
    <s v="DK2_Medium"/>
    <x v="1"/>
    <x v="1"/>
    <s v="GNR_ST_MSW_BP_E-23"/>
    <x v="0"/>
    <x v="2"/>
    <n v="8"/>
    <n v="2920"/>
    <n v="10512"/>
  </r>
  <r>
    <x v="0"/>
    <x v="0"/>
    <x v="0"/>
    <x v="0"/>
    <x v="1"/>
    <s v="DK2_Medium"/>
    <x v="1"/>
    <x v="1"/>
    <s v="GNR_ST_MSW_BP_E-23"/>
    <x v="0"/>
    <x v="9"/>
    <n v="8"/>
    <n v="2920"/>
    <n v="10512"/>
  </r>
  <r>
    <x v="0"/>
    <x v="0"/>
    <x v="0"/>
    <x v="0"/>
    <x v="1"/>
    <s v="DK2_Medium"/>
    <x v="1"/>
    <x v="1"/>
    <s v="GNR_ST_MSW_BP_E-23"/>
    <x v="0"/>
    <x v="10"/>
    <n v="8"/>
    <n v="2920"/>
    <n v="10512"/>
  </r>
  <r>
    <x v="0"/>
    <x v="0"/>
    <x v="0"/>
    <x v="0"/>
    <x v="1"/>
    <s v="DK2_Medium"/>
    <x v="1"/>
    <x v="1"/>
    <s v="GNR_ST_MSW_BP_E-23"/>
    <x v="0"/>
    <x v="14"/>
    <n v="8"/>
    <n v="2920"/>
    <n v="10512"/>
  </r>
  <r>
    <x v="0"/>
    <x v="0"/>
    <x v="0"/>
    <x v="0"/>
    <x v="1"/>
    <s v="DK2_Medium"/>
    <x v="1"/>
    <x v="1"/>
    <s v="GNR_ST_MSW_BP_E-23"/>
    <x v="0"/>
    <x v="15"/>
    <n v="8"/>
    <n v="2920"/>
    <n v="10512"/>
  </r>
  <r>
    <x v="0"/>
    <x v="0"/>
    <x v="0"/>
    <x v="0"/>
    <x v="1"/>
    <s v="DK2_Medium"/>
    <x v="1"/>
    <x v="1"/>
    <s v="GNR_ST_MSW_BP_E-23"/>
    <x v="0"/>
    <x v="16"/>
    <n v="8"/>
    <n v="2920"/>
    <n v="10512"/>
  </r>
  <r>
    <x v="0"/>
    <x v="0"/>
    <x v="0"/>
    <x v="0"/>
    <x v="1"/>
    <s v="DK2_Medium"/>
    <x v="1"/>
    <x v="1"/>
    <s v="GNR_ST_MSW_BP_E-23"/>
    <x v="0"/>
    <x v="17"/>
    <n v="8"/>
    <n v="2920"/>
    <n v="10512"/>
  </r>
  <r>
    <x v="0"/>
    <x v="0"/>
    <x v="0"/>
    <x v="0"/>
    <x v="1"/>
    <s v="DK2_Medium"/>
    <x v="1"/>
    <x v="1"/>
    <s v="GNR_ST_MSW_BP_E-23"/>
    <x v="0"/>
    <x v="18"/>
    <n v="7.0849997417588497"/>
    <n v="2586.0249057419801"/>
    <n v="9309.6896606711307"/>
  </r>
  <r>
    <x v="0"/>
    <x v="0"/>
    <x v="0"/>
    <x v="0"/>
    <x v="1"/>
    <s v="DK2_Medium"/>
    <x v="1"/>
    <x v="1"/>
    <s v="GNR_ST_MSW_BP_E-25"/>
    <x v="0"/>
    <x v="0"/>
    <n v="7.4"/>
    <n v="2701"/>
    <n v="9723.6"/>
  </r>
  <r>
    <x v="0"/>
    <x v="0"/>
    <x v="0"/>
    <x v="0"/>
    <x v="1"/>
    <s v="DK2_Medium"/>
    <x v="1"/>
    <x v="1"/>
    <s v="GNR_ST_MSW_BP_E-25"/>
    <x v="0"/>
    <x v="1"/>
    <n v="7.4"/>
    <n v="2701"/>
    <n v="9723.6"/>
  </r>
  <r>
    <x v="0"/>
    <x v="0"/>
    <x v="0"/>
    <x v="0"/>
    <x v="1"/>
    <s v="DK2_Medium"/>
    <x v="1"/>
    <x v="1"/>
    <s v="GNR_ST_MSW_BP_E-25"/>
    <x v="0"/>
    <x v="2"/>
    <n v="7.4"/>
    <n v="2701"/>
    <n v="9723.6"/>
  </r>
  <r>
    <x v="0"/>
    <x v="0"/>
    <x v="0"/>
    <x v="0"/>
    <x v="1"/>
    <s v="DK2_Medium"/>
    <x v="1"/>
    <x v="1"/>
    <s v="GNR_ST_MSW_BP_E-25"/>
    <x v="0"/>
    <x v="9"/>
    <n v="7.4"/>
    <n v="2701"/>
    <n v="9723.6"/>
  </r>
  <r>
    <x v="0"/>
    <x v="0"/>
    <x v="0"/>
    <x v="0"/>
    <x v="1"/>
    <s v="DK2_Medium"/>
    <x v="1"/>
    <x v="1"/>
    <s v="GNR_ST_MSW_BP_E-25"/>
    <x v="0"/>
    <x v="10"/>
    <n v="7.4"/>
    <n v="2701"/>
    <n v="9723.6"/>
  </r>
  <r>
    <x v="0"/>
    <x v="0"/>
    <x v="0"/>
    <x v="0"/>
    <x v="1"/>
    <s v="DK2_Medium"/>
    <x v="1"/>
    <x v="1"/>
    <s v="GNR_ST_MSW_BP_E-25"/>
    <x v="0"/>
    <x v="14"/>
    <n v="7.4"/>
    <n v="2701"/>
    <n v="9723.6"/>
  </r>
  <r>
    <x v="0"/>
    <x v="0"/>
    <x v="0"/>
    <x v="0"/>
    <x v="1"/>
    <s v="DK2_Medium"/>
    <x v="1"/>
    <x v="1"/>
    <s v="GNR_ST_MSW_BP_E-25"/>
    <x v="0"/>
    <x v="15"/>
    <n v="7.4"/>
    <n v="2701"/>
    <n v="9723.6"/>
  </r>
  <r>
    <x v="0"/>
    <x v="0"/>
    <x v="0"/>
    <x v="0"/>
    <x v="1"/>
    <s v="DK2_Medium"/>
    <x v="1"/>
    <x v="1"/>
    <s v="GNR_ST_MSW_BP_E-25"/>
    <x v="0"/>
    <x v="16"/>
    <n v="7.4"/>
    <n v="2701"/>
    <n v="9723.6"/>
  </r>
  <r>
    <x v="0"/>
    <x v="0"/>
    <x v="0"/>
    <x v="0"/>
    <x v="1"/>
    <s v="DK2_Medium"/>
    <x v="1"/>
    <x v="1"/>
    <s v="GNR_ST_MSW_BP_E-25"/>
    <x v="0"/>
    <x v="17"/>
    <n v="7.4"/>
    <n v="2701"/>
    <n v="9723.6"/>
  </r>
  <r>
    <x v="0"/>
    <x v="0"/>
    <x v="0"/>
    <x v="0"/>
    <x v="1"/>
    <s v="DK2_Medium"/>
    <x v="1"/>
    <x v="1"/>
    <s v="GNR_ST_MSW_BP_E-25"/>
    <x v="0"/>
    <x v="18"/>
    <n v="7.4"/>
    <n v="2701"/>
    <n v="9723.6"/>
  </r>
  <r>
    <x v="0"/>
    <x v="0"/>
    <x v="0"/>
    <x v="0"/>
    <x v="1"/>
    <s v="DK2_Medium"/>
    <x v="2"/>
    <x v="1"/>
    <s v="GNR_ENG_NGAS_BP_E-33"/>
    <x v="0"/>
    <x v="0"/>
    <n v="1"/>
    <n v="365"/>
    <n v="1314"/>
  </r>
  <r>
    <x v="0"/>
    <x v="0"/>
    <x v="0"/>
    <x v="0"/>
    <x v="1"/>
    <s v="DK2_Medium"/>
    <x v="2"/>
    <x v="1"/>
    <s v="GNR_ENG_NGAS_BP_E-33"/>
    <x v="0"/>
    <x v="1"/>
    <n v="1"/>
    <n v="365"/>
    <n v="1314"/>
  </r>
  <r>
    <x v="0"/>
    <x v="0"/>
    <x v="0"/>
    <x v="0"/>
    <x v="1"/>
    <s v="DK2_Medium"/>
    <x v="2"/>
    <x v="1"/>
    <s v="GNR_ENG_NGAS_BP_E-33"/>
    <x v="0"/>
    <x v="2"/>
    <n v="1"/>
    <n v="365"/>
    <n v="1314"/>
  </r>
  <r>
    <x v="0"/>
    <x v="0"/>
    <x v="0"/>
    <x v="0"/>
    <x v="1"/>
    <s v="DK2_Medium"/>
    <x v="2"/>
    <x v="1"/>
    <s v="GNR_ENG_NGAS_BP_E-33"/>
    <x v="0"/>
    <x v="9"/>
    <n v="1"/>
    <n v="365"/>
    <n v="1314"/>
  </r>
  <r>
    <x v="0"/>
    <x v="0"/>
    <x v="0"/>
    <x v="0"/>
    <x v="1"/>
    <s v="DK2_Medium"/>
    <x v="2"/>
    <x v="1"/>
    <s v="GNR_ENG_NGAS_BP_E-33"/>
    <x v="0"/>
    <x v="10"/>
    <n v="1"/>
    <n v="365"/>
    <n v="1314"/>
  </r>
  <r>
    <x v="0"/>
    <x v="0"/>
    <x v="0"/>
    <x v="0"/>
    <x v="1"/>
    <s v="DK2_Medium"/>
    <x v="2"/>
    <x v="1"/>
    <s v="GNR_ENG_NGAS_BP_E-33"/>
    <x v="0"/>
    <x v="11"/>
    <n v="1"/>
    <n v="365"/>
    <n v="1314"/>
  </r>
  <r>
    <x v="0"/>
    <x v="0"/>
    <x v="0"/>
    <x v="0"/>
    <x v="1"/>
    <s v="DK2_Medium"/>
    <x v="2"/>
    <x v="1"/>
    <s v="GNR_ENG_NGAS_BP_E-33"/>
    <x v="0"/>
    <x v="12"/>
    <n v="1"/>
    <n v="365"/>
    <n v="1314"/>
  </r>
  <r>
    <x v="0"/>
    <x v="0"/>
    <x v="0"/>
    <x v="0"/>
    <x v="1"/>
    <s v="DK2_Medium"/>
    <x v="2"/>
    <x v="1"/>
    <s v="GNR_ENG_NGAS_BP_E-33"/>
    <x v="0"/>
    <x v="13"/>
    <n v="1"/>
    <n v="365"/>
    <n v="1314"/>
  </r>
  <r>
    <x v="0"/>
    <x v="0"/>
    <x v="0"/>
    <x v="0"/>
    <x v="1"/>
    <s v="DK2_Medium"/>
    <x v="2"/>
    <x v="1"/>
    <s v="GNR_ENG_NGAS_BP_E-33"/>
    <x v="0"/>
    <x v="14"/>
    <n v="1"/>
    <n v="365"/>
    <n v="1314"/>
  </r>
  <r>
    <x v="0"/>
    <x v="0"/>
    <x v="0"/>
    <x v="0"/>
    <x v="1"/>
    <s v="DK2_Medium"/>
    <x v="2"/>
    <x v="1"/>
    <s v="GNR_ENG_NGAS_BP_E-33"/>
    <x v="0"/>
    <x v="15"/>
    <n v="1"/>
    <n v="365"/>
    <n v="1314"/>
  </r>
  <r>
    <x v="0"/>
    <x v="0"/>
    <x v="0"/>
    <x v="0"/>
    <x v="1"/>
    <s v="DK2_Medium"/>
    <x v="2"/>
    <x v="1"/>
    <s v="GNR_ENG_NGAS_BP_E-33"/>
    <x v="0"/>
    <x v="16"/>
    <n v="1"/>
    <n v="365"/>
    <n v="1314"/>
  </r>
  <r>
    <x v="0"/>
    <x v="0"/>
    <x v="0"/>
    <x v="0"/>
    <x v="1"/>
    <s v="DK2_Medium"/>
    <x v="2"/>
    <x v="1"/>
    <s v="GNR_ENG_NGAS_BP_E-33"/>
    <x v="0"/>
    <x v="17"/>
    <n v="1"/>
    <n v="365"/>
    <n v="1314"/>
  </r>
  <r>
    <x v="0"/>
    <x v="0"/>
    <x v="0"/>
    <x v="0"/>
    <x v="1"/>
    <s v="DK2_Medium"/>
    <x v="2"/>
    <x v="1"/>
    <s v="GNR_ENG_NGAS_BP_E-33"/>
    <x v="0"/>
    <x v="18"/>
    <n v="1"/>
    <n v="365"/>
    <n v="1314"/>
  </r>
  <r>
    <x v="0"/>
    <x v="0"/>
    <x v="0"/>
    <x v="0"/>
    <x v="1"/>
    <s v="DK2_Medium"/>
    <x v="2"/>
    <x v="1"/>
    <s v="GNR_ENG_NGAS_BP_E-33"/>
    <x v="0"/>
    <x v="19"/>
    <n v="1"/>
    <n v="365"/>
    <n v="1314"/>
  </r>
  <r>
    <x v="0"/>
    <x v="0"/>
    <x v="0"/>
    <x v="0"/>
    <x v="1"/>
    <s v="DK2_Medium"/>
    <x v="2"/>
    <x v="1"/>
    <s v="GNR_ENG_NGAS_BP_E-35"/>
    <x v="0"/>
    <x v="8"/>
    <n v="3"/>
    <n v="1095"/>
    <n v="3942"/>
  </r>
  <r>
    <x v="0"/>
    <x v="0"/>
    <x v="0"/>
    <x v="0"/>
    <x v="1"/>
    <s v="DK2_Medium"/>
    <x v="2"/>
    <x v="1"/>
    <s v="GNR_ENG_NGAS_BP_E-35"/>
    <x v="0"/>
    <x v="0"/>
    <n v="3"/>
    <n v="1095"/>
    <n v="3942"/>
  </r>
  <r>
    <x v="0"/>
    <x v="0"/>
    <x v="0"/>
    <x v="0"/>
    <x v="1"/>
    <s v="DK2_Medium"/>
    <x v="2"/>
    <x v="1"/>
    <s v="GNR_ENG_NGAS_BP_E-35"/>
    <x v="0"/>
    <x v="1"/>
    <n v="3"/>
    <n v="1095"/>
    <n v="3942"/>
  </r>
  <r>
    <x v="0"/>
    <x v="0"/>
    <x v="0"/>
    <x v="0"/>
    <x v="1"/>
    <s v="DK2_Medium"/>
    <x v="2"/>
    <x v="1"/>
    <s v="GNR_ENG_NGAS_BP_E-35"/>
    <x v="0"/>
    <x v="2"/>
    <n v="3"/>
    <n v="1095"/>
    <n v="3942"/>
  </r>
  <r>
    <x v="0"/>
    <x v="0"/>
    <x v="0"/>
    <x v="0"/>
    <x v="1"/>
    <s v="DK2_Medium"/>
    <x v="2"/>
    <x v="1"/>
    <s v="GNR_ENG_NGAS_BP_E-35"/>
    <x v="0"/>
    <x v="9"/>
    <n v="3"/>
    <n v="1095"/>
    <n v="3942"/>
  </r>
  <r>
    <x v="0"/>
    <x v="0"/>
    <x v="0"/>
    <x v="0"/>
    <x v="1"/>
    <s v="DK2_Medium"/>
    <x v="2"/>
    <x v="1"/>
    <s v="GNR_ENG_NGAS_BP_E-35"/>
    <x v="0"/>
    <x v="10"/>
    <n v="3"/>
    <n v="1095"/>
    <n v="3942"/>
  </r>
  <r>
    <x v="0"/>
    <x v="0"/>
    <x v="0"/>
    <x v="0"/>
    <x v="1"/>
    <s v="DK2_Medium"/>
    <x v="2"/>
    <x v="1"/>
    <s v="GNR_ENG_NGAS_BP_E-35"/>
    <x v="0"/>
    <x v="11"/>
    <n v="3"/>
    <n v="1095"/>
    <n v="3942"/>
  </r>
  <r>
    <x v="0"/>
    <x v="0"/>
    <x v="0"/>
    <x v="0"/>
    <x v="1"/>
    <s v="DK2_Medium"/>
    <x v="2"/>
    <x v="1"/>
    <s v="GNR_ENG_NGAS_BP_E-35"/>
    <x v="0"/>
    <x v="12"/>
    <n v="3"/>
    <n v="1095"/>
    <n v="3942"/>
  </r>
  <r>
    <x v="0"/>
    <x v="0"/>
    <x v="0"/>
    <x v="0"/>
    <x v="1"/>
    <s v="DK2_Medium"/>
    <x v="2"/>
    <x v="1"/>
    <s v="GNR_ENG_NGAS_BP_E-35"/>
    <x v="0"/>
    <x v="13"/>
    <n v="3"/>
    <n v="1095"/>
    <n v="3942"/>
  </r>
  <r>
    <x v="0"/>
    <x v="0"/>
    <x v="0"/>
    <x v="0"/>
    <x v="1"/>
    <s v="DK2_Medium"/>
    <x v="2"/>
    <x v="1"/>
    <s v="GNR_ENG_NGAS_BP_E-35"/>
    <x v="0"/>
    <x v="14"/>
    <n v="3"/>
    <n v="1095"/>
    <n v="3942"/>
  </r>
  <r>
    <x v="0"/>
    <x v="0"/>
    <x v="0"/>
    <x v="0"/>
    <x v="1"/>
    <s v="DK2_Medium"/>
    <x v="2"/>
    <x v="1"/>
    <s v="GNR_ENG_NGAS_BP_E-35"/>
    <x v="0"/>
    <x v="15"/>
    <n v="3"/>
    <n v="1095"/>
    <n v="3942"/>
  </r>
  <r>
    <x v="0"/>
    <x v="0"/>
    <x v="0"/>
    <x v="0"/>
    <x v="1"/>
    <s v="DK2_Medium"/>
    <x v="2"/>
    <x v="1"/>
    <s v="GNR_ENG_NGAS_BP_E-35"/>
    <x v="0"/>
    <x v="16"/>
    <n v="3"/>
    <n v="1095"/>
    <n v="3942"/>
  </r>
  <r>
    <x v="0"/>
    <x v="0"/>
    <x v="0"/>
    <x v="0"/>
    <x v="1"/>
    <s v="DK2_Medium"/>
    <x v="2"/>
    <x v="1"/>
    <s v="GNR_ENG_NGAS_BP_E-35"/>
    <x v="0"/>
    <x v="17"/>
    <n v="3"/>
    <n v="1095"/>
    <n v="3942"/>
  </r>
  <r>
    <x v="0"/>
    <x v="0"/>
    <x v="0"/>
    <x v="0"/>
    <x v="1"/>
    <s v="DK2_Medium"/>
    <x v="2"/>
    <x v="1"/>
    <s v="GNR_ENG_NGAS_BP_E-35"/>
    <x v="0"/>
    <x v="18"/>
    <n v="3"/>
    <n v="1095"/>
    <n v="3942"/>
  </r>
  <r>
    <x v="0"/>
    <x v="0"/>
    <x v="0"/>
    <x v="0"/>
    <x v="1"/>
    <s v="DK2_Medium"/>
    <x v="2"/>
    <x v="1"/>
    <s v="GNR_ENG_NGAS_BP_E-35"/>
    <x v="0"/>
    <x v="19"/>
    <n v="3"/>
    <n v="1095"/>
    <n v="3942"/>
  </r>
  <r>
    <x v="0"/>
    <x v="0"/>
    <x v="0"/>
    <x v="0"/>
    <x v="1"/>
    <s v="DK2_Medium"/>
    <x v="2"/>
    <x v="1"/>
    <s v="GNR_ENG_NGAS_BP_E-35"/>
    <x v="0"/>
    <x v="20"/>
    <n v="3"/>
    <n v="1095"/>
    <n v="3942"/>
  </r>
  <r>
    <x v="0"/>
    <x v="0"/>
    <x v="0"/>
    <x v="0"/>
    <x v="1"/>
    <s v="DK2_Medium"/>
    <x v="2"/>
    <x v="1"/>
    <s v="GNR_ENG_NGAS_BP_E-38"/>
    <x v="0"/>
    <x v="3"/>
    <n v="0.97"/>
    <n v="354.05"/>
    <n v="1274.58"/>
  </r>
  <r>
    <x v="0"/>
    <x v="0"/>
    <x v="0"/>
    <x v="0"/>
    <x v="1"/>
    <s v="DK2_Medium"/>
    <x v="2"/>
    <x v="1"/>
    <s v="GNR_ENG_NGAS_BP_E-38"/>
    <x v="0"/>
    <x v="4"/>
    <n v="0.97"/>
    <n v="354.05"/>
    <n v="1274.58"/>
  </r>
  <r>
    <x v="0"/>
    <x v="0"/>
    <x v="0"/>
    <x v="0"/>
    <x v="1"/>
    <s v="DK2_Medium"/>
    <x v="2"/>
    <x v="1"/>
    <s v="GNR_ENG_NGAS_BP_E-38"/>
    <x v="0"/>
    <x v="5"/>
    <n v="0.97"/>
    <n v="354.05"/>
    <n v="1274.58"/>
  </r>
  <r>
    <x v="0"/>
    <x v="0"/>
    <x v="0"/>
    <x v="0"/>
    <x v="1"/>
    <s v="DK2_Medium"/>
    <x v="2"/>
    <x v="1"/>
    <s v="GNR_ENG_NGAS_BP_E-38"/>
    <x v="0"/>
    <x v="6"/>
    <n v="0.97"/>
    <n v="354.05"/>
    <n v="1274.58"/>
  </r>
  <r>
    <x v="0"/>
    <x v="0"/>
    <x v="0"/>
    <x v="0"/>
    <x v="1"/>
    <s v="DK2_Medium"/>
    <x v="2"/>
    <x v="1"/>
    <s v="GNR_ENG_NGAS_BP_E-38"/>
    <x v="0"/>
    <x v="7"/>
    <n v="0.97"/>
    <n v="354.05"/>
    <n v="1274.58"/>
  </r>
  <r>
    <x v="0"/>
    <x v="0"/>
    <x v="0"/>
    <x v="0"/>
    <x v="1"/>
    <s v="DK2_Medium"/>
    <x v="2"/>
    <x v="1"/>
    <s v="GNR_ENG_NGAS_BP_E-38"/>
    <x v="0"/>
    <x v="8"/>
    <n v="0.97"/>
    <n v="354.05"/>
    <n v="1274.58"/>
  </r>
  <r>
    <x v="0"/>
    <x v="0"/>
    <x v="0"/>
    <x v="0"/>
    <x v="1"/>
    <s v="DK2_Medium"/>
    <x v="2"/>
    <x v="1"/>
    <s v="GNR_ENG_NGAS_BP_E-38"/>
    <x v="0"/>
    <x v="0"/>
    <n v="0.97"/>
    <n v="354.05"/>
    <n v="1274.58"/>
  </r>
  <r>
    <x v="0"/>
    <x v="0"/>
    <x v="0"/>
    <x v="0"/>
    <x v="1"/>
    <s v="DK2_Medium"/>
    <x v="2"/>
    <x v="1"/>
    <s v="GNR_ENG_NGAS_BP_E-38"/>
    <x v="0"/>
    <x v="1"/>
    <n v="0.97"/>
    <n v="354.05"/>
    <n v="1274.58"/>
  </r>
  <r>
    <x v="0"/>
    <x v="0"/>
    <x v="0"/>
    <x v="0"/>
    <x v="1"/>
    <s v="DK2_Medium"/>
    <x v="2"/>
    <x v="1"/>
    <s v="GNR_ENG_NGAS_BP_E-38"/>
    <x v="0"/>
    <x v="2"/>
    <n v="0.97"/>
    <n v="354.05"/>
    <n v="1274.58"/>
  </r>
  <r>
    <x v="0"/>
    <x v="0"/>
    <x v="0"/>
    <x v="0"/>
    <x v="1"/>
    <s v="DK2_Medium"/>
    <x v="2"/>
    <x v="1"/>
    <s v="GNR_ENG_NGAS_BP_E-38"/>
    <x v="0"/>
    <x v="9"/>
    <n v="0.97"/>
    <n v="354.05"/>
    <n v="1274.58"/>
  </r>
  <r>
    <x v="0"/>
    <x v="0"/>
    <x v="0"/>
    <x v="0"/>
    <x v="1"/>
    <s v="DK2_Medium"/>
    <x v="2"/>
    <x v="1"/>
    <s v="GNR_ENG_NGAS_BP_E-38"/>
    <x v="0"/>
    <x v="10"/>
    <n v="0.97"/>
    <n v="354.05"/>
    <n v="1274.58"/>
  </r>
  <r>
    <x v="0"/>
    <x v="0"/>
    <x v="0"/>
    <x v="0"/>
    <x v="1"/>
    <s v="DK2_Medium"/>
    <x v="2"/>
    <x v="1"/>
    <s v="GNR_ENG_NGAS_BP_E-38"/>
    <x v="0"/>
    <x v="11"/>
    <n v="0.97"/>
    <n v="354.05"/>
    <n v="1274.58"/>
  </r>
  <r>
    <x v="0"/>
    <x v="0"/>
    <x v="0"/>
    <x v="0"/>
    <x v="1"/>
    <s v="DK2_Medium"/>
    <x v="2"/>
    <x v="1"/>
    <s v="GNR_ENG_NGAS_BP_E-38"/>
    <x v="0"/>
    <x v="12"/>
    <n v="0.97"/>
    <n v="354.05"/>
    <n v="1274.58"/>
  </r>
  <r>
    <x v="0"/>
    <x v="0"/>
    <x v="0"/>
    <x v="0"/>
    <x v="1"/>
    <s v="DK2_Medium"/>
    <x v="2"/>
    <x v="1"/>
    <s v="GNR_ENG_NGAS_BP_E-38"/>
    <x v="0"/>
    <x v="13"/>
    <n v="0.97"/>
    <n v="354.05"/>
    <n v="1274.58"/>
  </r>
  <r>
    <x v="0"/>
    <x v="0"/>
    <x v="0"/>
    <x v="0"/>
    <x v="1"/>
    <s v="DK2_Medium"/>
    <x v="2"/>
    <x v="1"/>
    <s v="GNR_ENG_NGAS_BP_E-38"/>
    <x v="0"/>
    <x v="14"/>
    <n v="0.97"/>
    <n v="354.05"/>
    <n v="1274.58"/>
  </r>
  <r>
    <x v="0"/>
    <x v="0"/>
    <x v="0"/>
    <x v="0"/>
    <x v="1"/>
    <s v="DK2_Medium"/>
    <x v="2"/>
    <x v="1"/>
    <s v="GNR_ENG_NGAS_BP_E-38"/>
    <x v="0"/>
    <x v="15"/>
    <n v="0.97"/>
    <n v="354.05"/>
    <n v="1274.58"/>
  </r>
  <r>
    <x v="0"/>
    <x v="0"/>
    <x v="0"/>
    <x v="0"/>
    <x v="1"/>
    <s v="DK2_Medium"/>
    <x v="2"/>
    <x v="1"/>
    <s v="GNR_ENG_NGAS_BP_E-38"/>
    <x v="0"/>
    <x v="16"/>
    <n v="0.97"/>
    <n v="354.05"/>
    <n v="1274.58"/>
  </r>
  <r>
    <x v="0"/>
    <x v="0"/>
    <x v="0"/>
    <x v="0"/>
    <x v="1"/>
    <s v="DK2_Medium"/>
    <x v="2"/>
    <x v="1"/>
    <s v="GNR_ENG_NGAS_BP_E-38"/>
    <x v="0"/>
    <x v="17"/>
    <n v="0.97"/>
    <n v="354.05"/>
    <n v="1274.58"/>
  </r>
  <r>
    <x v="0"/>
    <x v="0"/>
    <x v="0"/>
    <x v="0"/>
    <x v="1"/>
    <s v="DK2_Medium"/>
    <x v="2"/>
    <x v="1"/>
    <s v="GNR_ENG_NGAS_BP_E-38"/>
    <x v="0"/>
    <x v="18"/>
    <n v="0.97"/>
    <n v="354.05"/>
    <n v="1274.58"/>
  </r>
  <r>
    <x v="0"/>
    <x v="0"/>
    <x v="0"/>
    <x v="0"/>
    <x v="1"/>
    <s v="DK2_Medium"/>
    <x v="2"/>
    <x v="1"/>
    <s v="GNR_ENG_NGAS_BP_E-38"/>
    <x v="0"/>
    <x v="19"/>
    <n v="0.97"/>
    <n v="354.05"/>
    <n v="1274.58"/>
  </r>
  <r>
    <x v="0"/>
    <x v="0"/>
    <x v="0"/>
    <x v="0"/>
    <x v="1"/>
    <s v="DK2_Medium"/>
    <x v="2"/>
    <x v="1"/>
    <s v="GNR_ENG_NGAS_BP_E-38"/>
    <x v="0"/>
    <x v="20"/>
    <n v="0.97"/>
    <n v="354.05"/>
    <n v="1274.58"/>
  </r>
  <r>
    <x v="0"/>
    <x v="0"/>
    <x v="0"/>
    <x v="0"/>
    <x v="1"/>
    <s v="DK2_Medium"/>
    <x v="2"/>
    <x v="1"/>
    <s v="GNR_ENG_NGAS_BP_E-38"/>
    <x v="0"/>
    <x v="21"/>
    <n v="0.97"/>
    <n v="354.05"/>
    <n v="1274.58"/>
  </r>
  <r>
    <x v="0"/>
    <x v="0"/>
    <x v="0"/>
    <x v="0"/>
    <x v="1"/>
    <s v="DK2_Medium"/>
    <x v="2"/>
    <x v="1"/>
    <s v="GNR_ENG_NGAS_BP_E-38"/>
    <x v="0"/>
    <x v="22"/>
    <n v="0.97"/>
    <n v="354.05"/>
    <n v="1274.58"/>
  </r>
  <r>
    <x v="0"/>
    <x v="0"/>
    <x v="0"/>
    <x v="0"/>
    <x v="1"/>
    <s v="DK2_Medium"/>
    <x v="2"/>
    <x v="1"/>
    <s v="GNR_ENG_NGAS_BP_E-38"/>
    <x v="0"/>
    <x v="23"/>
    <n v="0.97"/>
    <n v="354.05"/>
    <n v="1274.58"/>
  </r>
  <r>
    <x v="0"/>
    <x v="0"/>
    <x v="0"/>
    <x v="0"/>
    <x v="1"/>
    <s v="DK2_Medium"/>
    <x v="2"/>
    <x v="1"/>
    <s v="GNR_ENG_NGAS_BP_E-39"/>
    <x v="0"/>
    <x v="3"/>
    <n v="11.26"/>
    <n v="4109.8999999999996"/>
    <n v="14795.64"/>
  </r>
  <r>
    <x v="0"/>
    <x v="0"/>
    <x v="0"/>
    <x v="0"/>
    <x v="1"/>
    <s v="DK2_Medium"/>
    <x v="2"/>
    <x v="1"/>
    <s v="GNR_ENG_NGAS_BP_E-39"/>
    <x v="0"/>
    <x v="4"/>
    <n v="11.26"/>
    <n v="4109.8999999999996"/>
    <n v="14795.64"/>
  </r>
  <r>
    <x v="0"/>
    <x v="0"/>
    <x v="0"/>
    <x v="0"/>
    <x v="1"/>
    <s v="DK2_Medium"/>
    <x v="2"/>
    <x v="1"/>
    <s v="GNR_ENG_NGAS_BP_E-39"/>
    <x v="0"/>
    <x v="5"/>
    <n v="11.26"/>
    <n v="4109.8999999999996"/>
    <n v="14795.64"/>
  </r>
  <r>
    <x v="0"/>
    <x v="0"/>
    <x v="0"/>
    <x v="0"/>
    <x v="1"/>
    <s v="DK2_Medium"/>
    <x v="2"/>
    <x v="1"/>
    <s v="GNR_ENG_NGAS_BP_E-39"/>
    <x v="0"/>
    <x v="6"/>
    <n v="11.26"/>
    <n v="4109.8999999999996"/>
    <n v="14795.64"/>
  </r>
  <r>
    <x v="0"/>
    <x v="0"/>
    <x v="0"/>
    <x v="0"/>
    <x v="1"/>
    <s v="DK2_Medium"/>
    <x v="2"/>
    <x v="1"/>
    <s v="GNR_ENG_NGAS_BP_E-39"/>
    <x v="0"/>
    <x v="7"/>
    <n v="11.26"/>
    <n v="4109.8999999999996"/>
    <n v="14795.64"/>
  </r>
  <r>
    <x v="0"/>
    <x v="0"/>
    <x v="0"/>
    <x v="0"/>
    <x v="1"/>
    <s v="DK2_Medium"/>
    <x v="2"/>
    <x v="1"/>
    <s v="GNR_ENG_NGAS_BP_E-39"/>
    <x v="0"/>
    <x v="8"/>
    <n v="11.26"/>
    <n v="4109.8999999999996"/>
    <n v="14795.64"/>
  </r>
  <r>
    <x v="0"/>
    <x v="0"/>
    <x v="0"/>
    <x v="0"/>
    <x v="1"/>
    <s v="DK2_Medium"/>
    <x v="2"/>
    <x v="1"/>
    <s v="GNR_ENG_NGAS_BP_E-39"/>
    <x v="0"/>
    <x v="0"/>
    <n v="11.26"/>
    <n v="4109.8999999999996"/>
    <n v="14795.64"/>
  </r>
  <r>
    <x v="0"/>
    <x v="0"/>
    <x v="0"/>
    <x v="0"/>
    <x v="1"/>
    <s v="DK2_Medium"/>
    <x v="2"/>
    <x v="1"/>
    <s v="GNR_ENG_NGAS_BP_E-39"/>
    <x v="0"/>
    <x v="1"/>
    <n v="11.26"/>
    <n v="4109.8999999999996"/>
    <n v="14795.64"/>
  </r>
  <r>
    <x v="0"/>
    <x v="0"/>
    <x v="0"/>
    <x v="0"/>
    <x v="1"/>
    <s v="DK2_Medium"/>
    <x v="2"/>
    <x v="1"/>
    <s v="GNR_ENG_NGAS_BP_E-39"/>
    <x v="0"/>
    <x v="2"/>
    <n v="11.26"/>
    <n v="4109.8999999999996"/>
    <n v="14795.64"/>
  </r>
  <r>
    <x v="0"/>
    <x v="0"/>
    <x v="0"/>
    <x v="0"/>
    <x v="1"/>
    <s v="DK2_Medium"/>
    <x v="2"/>
    <x v="1"/>
    <s v="GNR_ENG_NGAS_BP_E-39"/>
    <x v="0"/>
    <x v="9"/>
    <n v="11.26"/>
    <n v="4109.8999999999996"/>
    <n v="14795.64"/>
  </r>
  <r>
    <x v="0"/>
    <x v="0"/>
    <x v="0"/>
    <x v="0"/>
    <x v="1"/>
    <s v="DK2_Medium"/>
    <x v="2"/>
    <x v="1"/>
    <s v="GNR_ENG_NGAS_BP_E-39"/>
    <x v="0"/>
    <x v="10"/>
    <n v="11.26"/>
    <n v="4109.8999999999996"/>
    <n v="14795.64"/>
  </r>
  <r>
    <x v="0"/>
    <x v="0"/>
    <x v="0"/>
    <x v="0"/>
    <x v="1"/>
    <s v="DK2_Medium"/>
    <x v="2"/>
    <x v="1"/>
    <s v="GNR_ENG_NGAS_BP_E-39"/>
    <x v="0"/>
    <x v="11"/>
    <n v="11.26"/>
    <n v="4109.8999999999996"/>
    <n v="14795.64"/>
  </r>
  <r>
    <x v="0"/>
    <x v="0"/>
    <x v="0"/>
    <x v="0"/>
    <x v="1"/>
    <s v="DK2_Medium"/>
    <x v="2"/>
    <x v="1"/>
    <s v="GNR_ENG_NGAS_BP_E-39"/>
    <x v="0"/>
    <x v="12"/>
    <n v="11.26"/>
    <n v="4109.8999999999996"/>
    <n v="14795.64"/>
  </r>
  <r>
    <x v="0"/>
    <x v="0"/>
    <x v="0"/>
    <x v="0"/>
    <x v="1"/>
    <s v="DK2_Medium"/>
    <x v="2"/>
    <x v="1"/>
    <s v="GNR_ENG_NGAS_BP_E-39"/>
    <x v="0"/>
    <x v="13"/>
    <n v="11.26"/>
    <n v="4109.8999999999996"/>
    <n v="14795.64"/>
  </r>
  <r>
    <x v="0"/>
    <x v="0"/>
    <x v="0"/>
    <x v="0"/>
    <x v="1"/>
    <s v="DK2_Medium"/>
    <x v="2"/>
    <x v="1"/>
    <s v="GNR_ENG_NGAS_BP_E-39"/>
    <x v="0"/>
    <x v="14"/>
    <n v="11.26"/>
    <n v="4109.8999999999996"/>
    <n v="14795.64"/>
  </r>
  <r>
    <x v="0"/>
    <x v="0"/>
    <x v="0"/>
    <x v="0"/>
    <x v="1"/>
    <s v="DK2_Medium"/>
    <x v="2"/>
    <x v="1"/>
    <s v="GNR_ENG_NGAS_BP_E-39"/>
    <x v="0"/>
    <x v="15"/>
    <n v="11.26"/>
    <n v="4109.8999999999996"/>
    <n v="14795.64"/>
  </r>
  <r>
    <x v="0"/>
    <x v="0"/>
    <x v="0"/>
    <x v="0"/>
    <x v="1"/>
    <s v="DK2_Medium"/>
    <x v="2"/>
    <x v="1"/>
    <s v="GNR_ENG_NGAS_BP_E-39"/>
    <x v="0"/>
    <x v="16"/>
    <n v="11.26"/>
    <n v="4109.8999999999996"/>
    <n v="14795.64"/>
  </r>
  <r>
    <x v="0"/>
    <x v="0"/>
    <x v="0"/>
    <x v="0"/>
    <x v="1"/>
    <s v="DK2_Medium"/>
    <x v="2"/>
    <x v="1"/>
    <s v="GNR_ENG_NGAS_BP_E-39"/>
    <x v="0"/>
    <x v="17"/>
    <n v="11.26"/>
    <n v="4109.8999999999996"/>
    <n v="14795.64"/>
  </r>
  <r>
    <x v="0"/>
    <x v="0"/>
    <x v="0"/>
    <x v="0"/>
    <x v="1"/>
    <s v="DK2_Medium"/>
    <x v="2"/>
    <x v="1"/>
    <s v="GNR_ENG_NGAS_BP_E-39"/>
    <x v="0"/>
    <x v="18"/>
    <n v="11.26"/>
    <n v="4109.8999999999996"/>
    <n v="14795.64"/>
  </r>
  <r>
    <x v="0"/>
    <x v="0"/>
    <x v="0"/>
    <x v="0"/>
    <x v="1"/>
    <s v="DK2_Medium"/>
    <x v="2"/>
    <x v="1"/>
    <s v="GNR_ENG_NGAS_BP_E-39"/>
    <x v="0"/>
    <x v="19"/>
    <n v="11.26"/>
    <n v="4109.8999999999996"/>
    <n v="14795.64"/>
  </r>
  <r>
    <x v="0"/>
    <x v="0"/>
    <x v="0"/>
    <x v="0"/>
    <x v="1"/>
    <s v="DK2_Medium"/>
    <x v="2"/>
    <x v="1"/>
    <s v="GNR_ENG_NGAS_BP_E-39"/>
    <x v="0"/>
    <x v="20"/>
    <n v="11.26"/>
    <n v="4109.8999999999996"/>
    <n v="14795.64"/>
  </r>
  <r>
    <x v="0"/>
    <x v="0"/>
    <x v="0"/>
    <x v="0"/>
    <x v="1"/>
    <s v="DK2_Medium"/>
    <x v="2"/>
    <x v="1"/>
    <s v="GNR_ENG_NGAS_BP_E-39"/>
    <x v="0"/>
    <x v="21"/>
    <n v="11.26"/>
    <n v="4109.8999999999996"/>
    <n v="14795.64"/>
  </r>
  <r>
    <x v="0"/>
    <x v="0"/>
    <x v="0"/>
    <x v="0"/>
    <x v="1"/>
    <s v="DK2_Medium"/>
    <x v="2"/>
    <x v="1"/>
    <s v="GNR_ENG_NGAS_BP_E-39"/>
    <x v="0"/>
    <x v="22"/>
    <n v="11.26"/>
    <n v="4109.8999999999996"/>
    <n v="14795.64"/>
  </r>
  <r>
    <x v="0"/>
    <x v="0"/>
    <x v="0"/>
    <x v="0"/>
    <x v="1"/>
    <s v="DK2_Medium"/>
    <x v="2"/>
    <x v="1"/>
    <s v="GNR_ENG_NGAS_BP_E-39"/>
    <x v="0"/>
    <x v="23"/>
    <n v="11.26"/>
    <n v="4109.8999999999996"/>
    <n v="14795.64"/>
  </r>
  <r>
    <x v="0"/>
    <x v="0"/>
    <x v="0"/>
    <x v="0"/>
    <x v="1"/>
    <s v="DK2_Medium"/>
    <x v="2"/>
    <x v="1"/>
    <s v="GNR_ENG_NGAS_BP_E-41"/>
    <x v="0"/>
    <x v="3"/>
    <n v="3.1"/>
    <n v="1131.5"/>
    <n v="4073.4"/>
  </r>
  <r>
    <x v="0"/>
    <x v="0"/>
    <x v="0"/>
    <x v="0"/>
    <x v="1"/>
    <s v="DK2_Medium"/>
    <x v="2"/>
    <x v="1"/>
    <s v="GNR_ENG_NGAS_BP_E-41"/>
    <x v="0"/>
    <x v="4"/>
    <n v="3.1"/>
    <n v="1131.5"/>
    <n v="4073.4"/>
  </r>
  <r>
    <x v="0"/>
    <x v="0"/>
    <x v="0"/>
    <x v="0"/>
    <x v="1"/>
    <s v="DK2_Medium"/>
    <x v="2"/>
    <x v="1"/>
    <s v="GNR_ENG_NGAS_BP_E-41"/>
    <x v="0"/>
    <x v="5"/>
    <n v="3.1"/>
    <n v="1131.5"/>
    <n v="4073.4"/>
  </r>
  <r>
    <x v="0"/>
    <x v="0"/>
    <x v="0"/>
    <x v="0"/>
    <x v="1"/>
    <s v="DK2_Medium"/>
    <x v="2"/>
    <x v="1"/>
    <s v="GNR_ENG_NGAS_BP_E-41"/>
    <x v="0"/>
    <x v="6"/>
    <n v="3.1"/>
    <n v="1131.5"/>
    <n v="4073.4"/>
  </r>
  <r>
    <x v="0"/>
    <x v="0"/>
    <x v="0"/>
    <x v="0"/>
    <x v="1"/>
    <s v="DK2_Medium"/>
    <x v="2"/>
    <x v="1"/>
    <s v="GNR_ENG_NGAS_BP_E-41"/>
    <x v="0"/>
    <x v="7"/>
    <n v="3.1"/>
    <n v="1131.5"/>
    <n v="4073.4"/>
  </r>
  <r>
    <x v="0"/>
    <x v="0"/>
    <x v="0"/>
    <x v="0"/>
    <x v="1"/>
    <s v="DK2_Medium"/>
    <x v="2"/>
    <x v="1"/>
    <s v="GNR_ENG_NGAS_BP_E-41"/>
    <x v="0"/>
    <x v="8"/>
    <n v="3.1"/>
    <n v="1131.5"/>
    <n v="4073.4"/>
  </r>
  <r>
    <x v="0"/>
    <x v="0"/>
    <x v="0"/>
    <x v="0"/>
    <x v="1"/>
    <s v="DK2_Medium"/>
    <x v="2"/>
    <x v="1"/>
    <s v="GNR_ENG_NGAS_BP_E-41"/>
    <x v="0"/>
    <x v="0"/>
    <n v="3.1"/>
    <n v="1131.5"/>
    <n v="4073.4"/>
  </r>
  <r>
    <x v="0"/>
    <x v="0"/>
    <x v="0"/>
    <x v="0"/>
    <x v="1"/>
    <s v="DK2_Medium"/>
    <x v="2"/>
    <x v="1"/>
    <s v="GNR_ENG_NGAS_BP_E-41"/>
    <x v="0"/>
    <x v="1"/>
    <n v="3.1"/>
    <n v="1131.5"/>
    <n v="4073.4"/>
  </r>
  <r>
    <x v="0"/>
    <x v="0"/>
    <x v="0"/>
    <x v="0"/>
    <x v="1"/>
    <s v="DK2_Medium"/>
    <x v="2"/>
    <x v="1"/>
    <s v="GNR_ENG_NGAS_BP_E-41"/>
    <x v="0"/>
    <x v="2"/>
    <n v="3.1"/>
    <n v="1131.5"/>
    <n v="4073.4"/>
  </r>
  <r>
    <x v="0"/>
    <x v="0"/>
    <x v="0"/>
    <x v="0"/>
    <x v="1"/>
    <s v="DK2_Medium"/>
    <x v="2"/>
    <x v="1"/>
    <s v="GNR_ENG_NGAS_BP_E-41"/>
    <x v="0"/>
    <x v="9"/>
    <n v="3.1"/>
    <n v="1131.5"/>
    <n v="4073.4"/>
  </r>
  <r>
    <x v="0"/>
    <x v="0"/>
    <x v="0"/>
    <x v="0"/>
    <x v="1"/>
    <s v="DK2_Medium"/>
    <x v="2"/>
    <x v="1"/>
    <s v="GNR_ENG_NGAS_BP_E-41"/>
    <x v="0"/>
    <x v="10"/>
    <n v="3.1"/>
    <n v="1131.5"/>
    <n v="4073.4"/>
  </r>
  <r>
    <x v="0"/>
    <x v="0"/>
    <x v="0"/>
    <x v="0"/>
    <x v="1"/>
    <s v="DK2_Medium"/>
    <x v="2"/>
    <x v="1"/>
    <s v="GNR_ENG_NGAS_BP_E-41"/>
    <x v="0"/>
    <x v="11"/>
    <n v="3.1"/>
    <n v="1131.5"/>
    <n v="4073.4"/>
  </r>
  <r>
    <x v="0"/>
    <x v="0"/>
    <x v="0"/>
    <x v="0"/>
    <x v="1"/>
    <s v="DK2_Medium"/>
    <x v="2"/>
    <x v="1"/>
    <s v="GNR_ENG_NGAS_BP_E-41"/>
    <x v="0"/>
    <x v="12"/>
    <n v="3.1"/>
    <n v="1131.5"/>
    <n v="4073.4"/>
  </r>
  <r>
    <x v="0"/>
    <x v="0"/>
    <x v="0"/>
    <x v="0"/>
    <x v="1"/>
    <s v="DK2_Medium"/>
    <x v="2"/>
    <x v="1"/>
    <s v="GNR_ENG_NGAS_BP_E-41"/>
    <x v="0"/>
    <x v="13"/>
    <n v="3.1"/>
    <n v="1131.5"/>
    <n v="4073.4"/>
  </r>
  <r>
    <x v="0"/>
    <x v="0"/>
    <x v="0"/>
    <x v="0"/>
    <x v="1"/>
    <s v="DK2_Medium"/>
    <x v="2"/>
    <x v="1"/>
    <s v="GNR_ENG_NGAS_BP_E-41"/>
    <x v="0"/>
    <x v="14"/>
    <n v="3.1"/>
    <n v="1131.5"/>
    <n v="4073.4"/>
  </r>
  <r>
    <x v="0"/>
    <x v="0"/>
    <x v="0"/>
    <x v="0"/>
    <x v="1"/>
    <s v="DK2_Medium"/>
    <x v="2"/>
    <x v="1"/>
    <s v="GNR_ENG_NGAS_BP_E-41"/>
    <x v="0"/>
    <x v="15"/>
    <n v="3.1"/>
    <n v="1131.5"/>
    <n v="4073.4"/>
  </r>
  <r>
    <x v="0"/>
    <x v="0"/>
    <x v="0"/>
    <x v="0"/>
    <x v="1"/>
    <s v="DK2_Medium"/>
    <x v="2"/>
    <x v="1"/>
    <s v="GNR_ENG_NGAS_BP_E-41"/>
    <x v="0"/>
    <x v="16"/>
    <n v="3.1"/>
    <n v="1131.5"/>
    <n v="4073.4"/>
  </r>
  <r>
    <x v="0"/>
    <x v="0"/>
    <x v="0"/>
    <x v="0"/>
    <x v="1"/>
    <s v="DK2_Medium"/>
    <x v="2"/>
    <x v="1"/>
    <s v="GNR_ENG_NGAS_BP_E-41"/>
    <x v="0"/>
    <x v="17"/>
    <n v="3.1"/>
    <n v="1131.5"/>
    <n v="4073.4"/>
  </r>
  <r>
    <x v="0"/>
    <x v="0"/>
    <x v="0"/>
    <x v="0"/>
    <x v="1"/>
    <s v="DK2_Medium"/>
    <x v="2"/>
    <x v="1"/>
    <s v="GNR_ENG_NGAS_BP_E-41"/>
    <x v="0"/>
    <x v="18"/>
    <n v="3.1"/>
    <n v="1131.5"/>
    <n v="4073.4"/>
  </r>
  <r>
    <x v="0"/>
    <x v="0"/>
    <x v="0"/>
    <x v="0"/>
    <x v="1"/>
    <s v="DK2_Medium"/>
    <x v="2"/>
    <x v="1"/>
    <s v="GNR_ENG_NGAS_BP_E-41"/>
    <x v="0"/>
    <x v="19"/>
    <n v="3.1"/>
    <n v="1131.5"/>
    <n v="4073.4"/>
  </r>
  <r>
    <x v="0"/>
    <x v="0"/>
    <x v="0"/>
    <x v="0"/>
    <x v="1"/>
    <s v="DK2_Medium"/>
    <x v="2"/>
    <x v="1"/>
    <s v="GNR_ENG_NGAS_BP_E-41"/>
    <x v="0"/>
    <x v="20"/>
    <n v="3.1"/>
    <n v="1131.5"/>
    <n v="4073.4"/>
  </r>
  <r>
    <x v="0"/>
    <x v="0"/>
    <x v="0"/>
    <x v="0"/>
    <x v="1"/>
    <s v="DK2_Medium"/>
    <x v="2"/>
    <x v="1"/>
    <s v="GNR_ENG_NGAS_BP_E-41"/>
    <x v="0"/>
    <x v="21"/>
    <n v="3.1"/>
    <n v="1131.5"/>
    <n v="4073.4"/>
  </r>
  <r>
    <x v="0"/>
    <x v="0"/>
    <x v="0"/>
    <x v="0"/>
    <x v="1"/>
    <s v="DK2_Medium"/>
    <x v="2"/>
    <x v="1"/>
    <s v="GNR_ENG_NGAS_BP_E-41"/>
    <x v="0"/>
    <x v="22"/>
    <n v="3.1"/>
    <n v="1131.5"/>
    <n v="4073.4"/>
  </r>
  <r>
    <x v="0"/>
    <x v="0"/>
    <x v="0"/>
    <x v="0"/>
    <x v="1"/>
    <s v="DK2_Medium"/>
    <x v="2"/>
    <x v="1"/>
    <s v="GNR_ENG_NGAS_BP_E-41"/>
    <x v="0"/>
    <x v="23"/>
    <n v="3.1"/>
    <n v="1131.5"/>
    <n v="4073.4"/>
  </r>
  <r>
    <x v="0"/>
    <x v="0"/>
    <x v="0"/>
    <x v="0"/>
    <x v="1"/>
    <s v="DK2_Medium"/>
    <x v="2"/>
    <x v="1"/>
    <s v="GNR_ENG_NGAS_BP_E-42"/>
    <x v="0"/>
    <x v="3"/>
    <n v="2"/>
    <n v="730"/>
    <n v="2628"/>
  </r>
  <r>
    <x v="0"/>
    <x v="0"/>
    <x v="0"/>
    <x v="0"/>
    <x v="1"/>
    <s v="DK2_Medium"/>
    <x v="2"/>
    <x v="1"/>
    <s v="GNR_ENG_NGAS_BP_E-42"/>
    <x v="0"/>
    <x v="4"/>
    <n v="2"/>
    <n v="730"/>
    <n v="2628"/>
  </r>
  <r>
    <x v="0"/>
    <x v="0"/>
    <x v="0"/>
    <x v="0"/>
    <x v="1"/>
    <s v="DK2_Medium"/>
    <x v="2"/>
    <x v="1"/>
    <s v="GNR_ENG_NGAS_BP_E-42"/>
    <x v="0"/>
    <x v="5"/>
    <n v="2"/>
    <n v="730"/>
    <n v="2628"/>
  </r>
  <r>
    <x v="0"/>
    <x v="0"/>
    <x v="0"/>
    <x v="0"/>
    <x v="1"/>
    <s v="DK2_Medium"/>
    <x v="2"/>
    <x v="1"/>
    <s v="GNR_ENG_NGAS_BP_E-42"/>
    <x v="0"/>
    <x v="6"/>
    <n v="2"/>
    <n v="730"/>
    <n v="2628"/>
  </r>
  <r>
    <x v="0"/>
    <x v="0"/>
    <x v="0"/>
    <x v="0"/>
    <x v="1"/>
    <s v="DK2_Medium"/>
    <x v="2"/>
    <x v="1"/>
    <s v="GNR_ENG_NGAS_BP_E-42"/>
    <x v="0"/>
    <x v="7"/>
    <n v="2"/>
    <n v="730"/>
    <n v="2628"/>
  </r>
  <r>
    <x v="0"/>
    <x v="0"/>
    <x v="0"/>
    <x v="0"/>
    <x v="1"/>
    <s v="DK2_Medium"/>
    <x v="2"/>
    <x v="1"/>
    <s v="GNR_ENG_NGAS_BP_E-42"/>
    <x v="0"/>
    <x v="8"/>
    <n v="2"/>
    <n v="730"/>
    <n v="2628"/>
  </r>
  <r>
    <x v="0"/>
    <x v="0"/>
    <x v="0"/>
    <x v="0"/>
    <x v="1"/>
    <s v="DK2_Medium"/>
    <x v="2"/>
    <x v="1"/>
    <s v="GNR_ENG_NGAS_BP_E-42"/>
    <x v="0"/>
    <x v="0"/>
    <n v="2"/>
    <n v="730"/>
    <n v="2628"/>
  </r>
  <r>
    <x v="0"/>
    <x v="0"/>
    <x v="0"/>
    <x v="0"/>
    <x v="1"/>
    <s v="DK2_Medium"/>
    <x v="2"/>
    <x v="1"/>
    <s v="GNR_ENG_NGAS_BP_E-42"/>
    <x v="0"/>
    <x v="1"/>
    <n v="2"/>
    <n v="730"/>
    <n v="2628"/>
  </r>
  <r>
    <x v="0"/>
    <x v="0"/>
    <x v="0"/>
    <x v="0"/>
    <x v="1"/>
    <s v="DK2_Medium"/>
    <x v="2"/>
    <x v="1"/>
    <s v="GNR_ENG_NGAS_BP_E-42"/>
    <x v="0"/>
    <x v="2"/>
    <n v="2"/>
    <n v="730"/>
    <n v="2628"/>
  </r>
  <r>
    <x v="0"/>
    <x v="0"/>
    <x v="0"/>
    <x v="0"/>
    <x v="1"/>
    <s v="DK2_Medium"/>
    <x v="2"/>
    <x v="1"/>
    <s v="GNR_ENG_NGAS_BP_E-42"/>
    <x v="0"/>
    <x v="9"/>
    <n v="2"/>
    <n v="730"/>
    <n v="2628"/>
  </r>
  <r>
    <x v="0"/>
    <x v="0"/>
    <x v="0"/>
    <x v="0"/>
    <x v="1"/>
    <s v="DK2_Medium"/>
    <x v="2"/>
    <x v="1"/>
    <s v="GNR_ENG_NGAS_BP_E-42"/>
    <x v="0"/>
    <x v="10"/>
    <n v="2"/>
    <n v="730"/>
    <n v="2628"/>
  </r>
  <r>
    <x v="0"/>
    <x v="0"/>
    <x v="0"/>
    <x v="0"/>
    <x v="1"/>
    <s v="DK2_Medium"/>
    <x v="2"/>
    <x v="1"/>
    <s v="GNR_ENG_NGAS_BP_E-42"/>
    <x v="0"/>
    <x v="11"/>
    <n v="2"/>
    <n v="730"/>
    <n v="2628"/>
  </r>
  <r>
    <x v="0"/>
    <x v="0"/>
    <x v="0"/>
    <x v="0"/>
    <x v="1"/>
    <s v="DK2_Medium"/>
    <x v="2"/>
    <x v="1"/>
    <s v="GNR_ENG_NGAS_BP_E-42"/>
    <x v="0"/>
    <x v="12"/>
    <n v="2"/>
    <n v="730"/>
    <n v="2628"/>
  </r>
  <r>
    <x v="0"/>
    <x v="0"/>
    <x v="0"/>
    <x v="0"/>
    <x v="1"/>
    <s v="DK2_Medium"/>
    <x v="2"/>
    <x v="1"/>
    <s v="GNR_ENG_NGAS_BP_E-42"/>
    <x v="0"/>
    <x v="13"/>
    <n v="2"/>
    <n v="730"/>
    <n v="2628"/>
  </r>
  <r>
    <x v="0"/>
    <x v="0"/>
    <x v="0"/>
    <x v="0"/>
    <x v="1"/>
    <s v="DK2_Medium"/>
    <x v="2"/>
    <x v="1"/>
    <s v="GNR_ENG_NGAS_BP_E-42"/>
    <x v="0"/>
    <x v="14"/>
    <n v="2"/>
    <n v="730"/>
    <n v="2628"/>
  </r>
  <r>
    <x v="0"/>
    <x v="0"/>
    <x v="0"/>
    <x v="0"/>
    <x v="1"/>
    <s v="DK2_Medium"/>
    <x v="2"/>
    <x v="1"/>
    <s v="GNR_ENG_NGAS_BP_E-42"/>
    <x v="0"/>
    <x v="15"/>
    <n v="2"/>
    <n v="730"/>
    <n v="2628"/>
  </r>
  <r>
    <x v="0"/>
    <x v="0"/>
    <x v="0"/>
    <x v="0"/>
    <x v="1"/>
    <s v="DK2_Medium"/>
    <x v="2"/>
    <x v="1"/>
    <s v="GNR_ENG_NGAS_BP_E-42"/>
    <x v="0"/>
    <x v="16"/>
    <n v="2"/>
    <n v="730"/>
    <n v="2628"/>
  </r>
  <r>
    <x v="0"/>
    <x v="0"/>
    <x v="0"/>
    <x v="0"/>
    <x v="1"/>
    <s v="DK2_Medium"/>
    <x v="2"/>
    <x v="1"/>
    <s v="GNR_ENG_NGAS_BP_E-42"/>
    <x v="0"/>
    <x v="17"/>
    <n v="2"/>
    <n v="730"/>
    <n v="2628"/>
  </r>
  <r>
    <x v="0"/>
    <x v="0"/>
    <x v="0"/>
    <x v="0"/>
    <x v="1"/>
    <s v="DK2_Medium"/>
    <x v="2"/>
    <x v="1"/>
    <s v="GNR_ENG_NGAS_BP_E-42"/>
    <x v="0"/>
    <x v="18"/>
    <n v="2"/>
    <n v="730"/>
    <n v="2628"/>
  </r>
  <r>
    <x v="0"/>
    <x v="0"/>
    <x v="0"/>
    <x v="0"/>
    <x v="1"/>
    <s v="DK2_Medium"/>
    <x v="2"/>
    <x v="1"/>
    <s v="GNR_ENG_NGAS_BP_E-42"/>
    <x v="0"/>
    <x v="19"/>
    <n v="2"/>
    <n v="730"/>
    <n v="2628"/>
  </r>
  <r>
    <x v="0"/>
    <x v="0"/>
    <x v="0"/>
    <x v="0"/>
    <x v="1"/>
    <s v="DK2_Medium"/>
    <x v="2"/>
    <x v="1"/>
    <s v="GNR_ENG_NGAS_BP_E-42"/>
    <x v="0"/>
    <x v="20"/>
    <n v="2"/>
    <n v="730"/>
    <n v="2628"/>
  </r>
  <r>
    <x v="0"/>
    <x v="0"/>
    <x v="0"/>
    <x v="0"/>
    <x v="1"/>
    <s v="DK2_Medium"/>
    <x v="2"/>
    <x v="1"/>
    <s v="GNR_ENG_NGAS_BP_E-42"/>
    <x v="0"/>
    <x v="21"/>
    <n v="2"/>
    <n v="730"/>
    <n v="2628"/>
  </r>
  <r>
    <x v="0"/>
    <x v="0"/>
    <x v="0"/>
    <x v="0"/>
    <x v="1"/>
    <s v="DK2_Medium"/>
    <x v="2"/>
    <x v="1"/>
    <s v="GNR_ENG_NGAS_BP_E-42"/>
    <x v="0"/>
    <x v="22"/>
    <n v="2"/>
    <n v="730"/>
    <n v="2628"/>
  </r>
  <r>
    <x v="0"/>
    <x v="0"/>
    <x v="0"/>
    <x v="0"/>
    <x v="1"/>
    <s v="DK2_Medium"/>
    <x v="2"/>
    <x v="1"/>
    <s v="GNR_ENG_NGAS_BP_E-42"/>
    <x v="0"/>
    <x v="23"/>
    <n v="2"/>
    <n v="730"/>
    <n v="2628"/>
  </r>
  <r>
    <x v="0"/>
    <x v="0"/>
    <x v="0"/>
    <x v="0"/>
    <x v="1"/>
    <s v="DK2_Medium"/>
    <x v="2"/>
    <x v="1"/>
    <s v="GNR_GT_NGAS_BP_E-42"/>
    <x v="0"/>
    <x v="3"/>
    <n v="59"/>
    <n v="21535"/>
    <n v="77526"/>
  </r>
  <r>
    <x v="0"/>
    <x v="0"/>
    <x v="0"/>
    <x v="0"/>
    <x v="1"/>
    <s v="DK2_Medium"/>
    <x v="2"/>
    <x v="1"/>
    <s v="GNR_GT_NGAS_BP_E-42"/>
    <x v="0"/>
    <x v="4"/>
    <n v="59"/>
    <n v="21535"/>
    <n v="77526"/>
  </r>
  <r>
    <x v="0"/>
    <x v="0"/>
    <x v="0"/>
    <x v="0"/>
    <x v="1"/>
    <s v="DK2_Medium"/>
    <x v="2"/>
    <x v="1"/>
    <s v="GNR_GT_NGAS_BP_E-42"/>
    <x v="0"/>
    <x v="5"/>
    <n v="59"/>
    <n v="21535"/>
    <n v="77526"/>
  </r>
  <r>
    <x v="0"/>
    <x v="0"/>
    <x v="0"/>
    <x v="0"/>
    <x v="1"/>
    <s v="DK2_Medium"/>
    <x v="2"/>
    <x v="1"/>
    <s v="GNR_GT_NGAS_BP_E-42"/>
    <x v="0"/>
    <x v="6"/>
    <n v="59"/>
    <n v="21535"/>
    <n v="77526"/>
  </r>
  <r>
    <x v="0"/>
    <x v="0"/>
    <x v="0"/>
    <x v="0"/>
    <x v="1"/>
    <s v="DK2_Medium"/>
    <x v="2"/>
    <x v="1"/>
    <s v="GNR_GT_NGAS_BP_E-42"/>
    <x v="0"/>
    <x v="7"/>
    <n v="59"/>
    <n v="21535"/>
    <n v="77526"/>
  </r>
  <r>
    <x v="0"/>
    <x v="0"/>
    <x v="0"/>
    <x v="0"/>
    <x v="1"/>
    <s v="DK2_Medium"/>
    <x v="2"/>
    <x v="1"/>
    <s v="GNR_GT_NGAS_BP_E-42"/>
    <x v="0"/>
    <x v="8"/>
    <n v="59"/>
    <n v="21535"/>
    <n v="77526"/>
  </r>
  <r>
    <x v="0"/>
    <x v="0"/>
    <x v="0"/>
    <x v="0"/>
    <x v="1"/>
    <s v="DK2_Medium"/>
    <x v="2"/>
    <x v="1"/>
    <s v="GNR_GT_NGAS_BP_E-42"/>
    <x v="0"/>
    <x v="0"/>
    <n v="59"/>
    <n v="21535"/>
    <n v="77526"/>
  </r>
  <r>
    <x v="0"/>
    <x v="0"/>
    <x v="0"/>
    <x v="0"/>
    <x v="1"/>
    <s v="DK2_Medium"/>
    <x v="2"/>
    <x v="1"/>
    <s v="GNR_GT_NGAS_BP_E-42"/>
    <x v="0"/>
    <x v="1"/>
    <n v="59"/>
    <n v="21535"/>
    <n v="77526"/>
  </r>
  <r>
    <x v="0"/>
    <x v="0"/>
    <x v="0"/>
    <x v="0"/>
    <x v="1"/>
    <s v="DK2_Medium"/>
    <x v="2"/>
    <x v="1"/>
    <s v="GNR_GT_NGAS_BP_E-42"/>
    <x v="0"/>
    <x v="2"/>
    <n v="59"/>
    <n v="21535"/>
    <n v="77526"/>
  </r>
  <r>
    <x v="0"/>
    <x v="0"/>
    <x v="0"/>
    <x v="0"/>
    <x v="1"/>
    <s v="DK2_Medium"/>
    <x v="2"/>
    <x v="1"/>
    <s v="GNR_GT_NGAS_BP_E-42"/>
    <x v="0"/>
    <x v="9"/>
    <n v="59"/>
    <n v="21535"/>
    <n v="77526"/>
  </r>
  <r>
    <x v="0"/>
    <x v="0"/>
    <x v="0"/>
    <x v="0"/>
    <x v="1"/>
    <s v="DK2_Medium"/>
    <x v="2"/>
    <x v="1"/>
    <s v="GNR_GT_NGAS_BP_E-42"/>
    <x v="0"/>
    <x v="10"/>
    <n v="59"/>
    <n v="21535"/>
    <n v="77526"/>
  </r>
  <r>
    <x v="0"/>
    <x v="0"/>
    <x v="0"/>
    <x v="0"/>
    <x v="1"/>
    <s v="DK2_Medium"/>
    <x v="2"/>
    <x v="1"/>
    <s v="GNR_GT_NGAS_BP_E-42"/>
    <x v="0"/>
    <x v="11"/>
    <n v="59"/>
    <n v="21535"/>
    <n v="77526"/>
  </r>
  <r>
    <x v="0"/>
    <x v="0"/>
    <x v="0"/>
    <x v="0"/>
    <x v="1"/>
    <s v="DK2_Medium"/>
    <x v="2"/>
    <x v="1"/>
    <s v="GNR_GT_NGAS_BP_E-42"/>
    <x v="0"/>
    <x v="12"/>
    <n v="59"/>
    <n v="21535"/>
    <n v="77526"/>
  </r>
  <r>
    <x v="0"/>
    <x v="0"/>
    <x v="0"/>
    <x v="0"/>
    <x v="1"/>
    <s v="DK2_Medium"/>
    <x v="2"/>
    <x v="1"/>
    <s v="GNR_GT_NGAS_BP_E-42"/>
    <x v="0"/>
    <x v="13"/>
    <n v="59"/>
    <n v="21535"/>
    <n v="77526"/>
  </r>
  <r>
    <x v="0"/>
    <x v="0"/>
    <x v="0"/>
    <x v="0"/>
    <x v="1"/>
    <s v="DK2_Medium"/>
    <x v="2"/>
    <x v="1"/>
    <s v="GNR_GT_NGAS_BP_E-42"/>
    <x v="0"/>
    <x v="14"/>
    <n v="59"/>
    <n v="21535"/>
    <n v="77526"/>
  </r>
  <r>
    <x v="0"/>
    <x v="0"/>
    <x v="0"/>
    <x v="0"/>
    <x v="1"/>
    <s v="DK2_Medium"/>
    <x v="2"/>
    <x v="1"/>
    <s v="GNR_GT_NGAS_BP_E-42"/>
    <x v="0"/>
    <x v="15"/>
    <n v="59"/>
    <n v="21535"/>
    <n v="77526"/>
  </r>
  <r>
    <x v="0"/>
    <x v="0"/>
    <x v="0"/>
    <x v="0"/>
    <x v="1"/>
    <s v="DK2_Medium"/>
    <x v="2"/>
    <x v="1"/>
    <s v="GNR_GT_NGAS_BP_E-42"/>
    <x v="0"/>
    <x v="16"/>
    <n v="59"/>
    <n v="21535"/>
    <n v="77526"/>
  </r>
  <r>
    <x v="0"/>
    <x v="0"/>
    <x v="0"/>
    <x v="0"/>
    <x v="1"/>
    <s v="DK2_Medium"/>
    <x v="2"/>
    <x v="1"/>
    <s v="GNR_GT_NGAS_BP_E-42"/>
    <x v="0"/>
    <x v="17"/>
    <n v="59"/>
    <n v="21535"/>
    <n v="77526"/>
  </r>
  <r>
    <x v="0"/>
    <x v="0"/>
    <x v="0"/>
    <x v="0"/>
    <x v="1"/>
    <s v="DK2_Medium"/>
    <x v="2"/>
    <x v="1"/>
    <s v="GNR_GT_NGAS_BP_E-42"/>
    <x v="0"/>
    <x v="18"/>
    <n v="59"/>
    <n v="21535"/>
    <n v="77526"/>
  </r>
  <r>
    <x v="0"/>
    <x v="0"/>
    <x v="0"/>
    <x v="0"/>
    <x v="1"/>
    <s v="DK2_Medium"/>
    <x v="2"/>
    <x v="1"/>
    <s v="GNR_GT_NGAS_BP_E-42"/>
    <x v="0"/>
    <x v="19"/>
    <n v="59"/>
    <n v="21535"/>
    <n v="77526"/>
  </r>
  <r>
    <x v="0"/>
    <x v="0"/>
    <x v="0"/>
    <x v="0"/>
    <x v="1"/>
    <s v="DK2_Medium"/>
    <x v="2"/>
    <x v="1"/>
    <s v="GNR_GT_NGAS_BP_E-42"/>
    <x v="0"/>
    <x v="20"/>
    <n v="59"/>
    <n v="21535"/>
    <n v="77526"/>
  </r>
  <r>
    <x v="0"/>
    <x v="0"/>
    <x v="0"/>
    <x v="0"/>
    <x v="1"/>
    <s v="DK2_Medium"/>
    <x v="2"/>
    <x v="1"/>
    <s v="GNR_GT_NGAS_BP_E-42"/>
    <x v="0"/>
    <x v="21"/>
    <n v="59"/>
    <n v="21535"/>
    <n v="77526"/>
  </r>
  <r>
    <x v="0"/>
    <x v="0"/>
    <x v="0"/>
    <x v="0"/>
    <x v="1"/>
    <s v="DK2_Medium"/>
    <x v="2"/>
    <x v="1"/>
    <s v="GNR_GT_NGAS_BP_E-42"/>
    <x v="0"/>
    <x v="22"/>
    <n v="59"/>
    <n v="21535"/>
    <n v="77526"/>
  </r>
  <r>
    <x v="0"/>
    <x v="0"/>
    <x v="0"/>
    <x v="0"/>
    <x v="1"/>
    <s v="DK2_Medium"/>
    <x v="2"/>
    <x v="1"/>
    <s v="GNR_GT_NGAS_BP_E-42"/>
    <x v="0"/>
    <x v="23"/>
    <n v="59"/>
    <n v="21535"/>
    <n v="77526"/>
  </r>
  <r>
    <x v="0"/>
    <x v="0"/>
    <x v="0"/>
    <x v="0"/>
    <x v="1"/>
    <s v="DK2_Medium"/>
    <x v="2"/>
    <x v="1"/>
    <s v="GNR_GT_NGAS_BP_E-44"/>
    <x v="0"/>
    <x v="3"/>
    <n v="77"/>
    <n v="28105"/>
    <n v="101178"/>
  </r>
  <r>
    <x v="0"/>
    <x v="0"/>
    <x v="0"/>
    <x v="0"/>
    <x v="1"/>
    <s v="DK2_Medium"/>
    <x v="2"/>
    <x v="1"/>
    <s v="GNR_GT_NGAS_BP_E-44"/>
    <x v="0"/>
    <x v="4"/>
    <n v="77"/>
    <n v="28105"/>
    <n v="101178"/>
  </r>
  <r>
    <x v="0"/>
    <x v="0"/>
    <x v="0"/>
    <x v="0"/>
    <x v="1"/>
    <s v="DK2_Medium"/>
    <x v="2"/>
    <x v="1"/>
    <s v="GNR_GT_NGAS_BP_E-44"/>
    <x v="0"/>
    <x v="5"/>
    <n v="77"/>
    <n v="28105"/>
    <n v="101178"/>
  </r>
  <r>
    <x v="0"/>
    <x v="0"/>
    <x v="0"/>
    <x v="0"/>
    <x v="1"/>
    <s v="DK2_Medium"/>
    <x v="2"/>
    <x v="1"/>
    <s v="GNR_GT_NGAS_BP_E-44"/>
    <x v="0"/>
    <x v="6"/>
    <n v="77"/>
    <n v="28105"/>
    <n v="101178"/>
  </r>
  <r>
    <x v="0"/>
    <x v="0"/>
    <x v="0"/>
    <x v="0"/>
    <x v="1"/>
    <s v="DK2_Medium"/>
    <x v="2"/>
    <x v="1"/>
    <s v="GNR_GT_NGAS_BP_E-44"/>
    <x v="0"/>
    <x v="7"/>
    <n v="77"/>
    <n v="28105"/>
    <n v="101178"/>
  </r>
  <r>
    <x v="0"/>
    <x v="0"/>
    <x v="0"/>
    <x v="0"/>
    <x v="1"/>
    <s v="DK2_Medium"/>
    <x v="2"/>
    <x v="1"/>
    <s v="GNR_GT_NGAS_BP_E-44"/>
    <x v="0"/>
    <x v="8"/>
    <n v="77"/>
    <n v="28105"/>
    <n v="101178"/>
  </r>
  <r>
    <x v="0"/>
    <x v="0"/>
    <x v="0"/>
    <x v="0"/>
    <x v="1"/>
    <s v="DK2_Medium"/>
    <x v="2"/>
    <x v="1"/>
    <s v="GNR_GT_NGAS_BP_E-44"/>
    <x v="0"/>
    <x v="0"/>
    <n v="77"/>
    <n v="28105"/>
    <n v="101178"/>
  </r>
  <r>
    <x v="0"/>
    <x v="0"/>
    <x v="0"/>
    <x v="0"/>
    <x v="1"/>
    <s v="DK2_Medium"/>
    <x v="2"/>
    <x v="1"/>
    <s v="GNR_GT_NGAS_BP_E-44"/>
    <x v="0"/>
    <x v="1"/>
    <n v="77"/>
    <n v="28105"/>
    <n v="101178"/>
  </r>
  <r>
    <x v="0"/>
    <x v="0"/>
    <x v="0"/>
    <x v="0"/>
    <x v="1"/>
    <s v="DK2_Medium"/>
    <x v="2"/>
    <x v="1"/>
    <s v="GNR_GT_NGAS_BP_E-44"/>
    <x v="0"/>
    <x v="2"/>
    <n v="77"/>
    <n v="28105"/>
    <n v="101178"/>
  </r>
  <r>
    <x v="0"/>
    <x v="0"/>
    <x v="0"/>
    <x v="0"/>
    <x v="1"/>
    <s v="DK2_Medium"/>
    <x v="2"/>
    <x v="1"/>
    <s v="GNR_GT_NGAS_BP_E-44"/>
    <x v="0"/>
    <x v="9"/>
    <n v="77"/>
    <n v="28105"/>
    <n v="101178"/>
  </r>
  <r>
    <x v="0"/>
    <x v="0"/>
    <x v="0"/>
    <x v="0"/>
    <x v="1"/>
    <s v="DK2_Medium"/>
    <x v="2"/>
    <x v="1"/>
    <s v="GNR_GT_NGAS_BP_E-44"/>
    <x v="0"/>
    <x v="10"/>
    <n v="77"/>
    <n v="28105"/>
    <n v="101178"/>
  </r>
  <r>
    <x v="0"/>
    <x v="0"/>
    <x v="0"/>
    <x v="0"/>
    <x v="1"/>
    <s v="DK2_Medium"/>
    <x v="2"/>
    <x v="1"/>
    <s v="GNR_GT_NGAS_BP_E-44"/>
    <x v="0"/>
    <x v="11"/>
    <n v="77"/>
    <n v="28105"/>
    <n v="101178"/>
  </r>
  <r>
    <x v="0"/>
    <x v="0"/>
    <x v="0"/>
    <x v="0"/>
    <x v="1"/>
    <s v="DK2_Medium"/>
    <x v="2"/>
    <x v="1"/>
    <s v="GNR_GT_NGAS_BP_E-44"/>
    <x v="0"/>
    <x v="12"/>
    <n v="77"/>
    <n v="28105"/>
    <n v="101178"/>
  </r>
  <r>
    <x v="0"/>
    <x v="0"/>
    <x v="0"/>
    <x v="0"/>
    <x v="1"/>
    <s v="DK2_Medium"/>
    <x v="2"/>
    <x v="1"/>
    <s v="GNR_GT_NGAS_BP_E-44"/>
    <x v="0"/>
    <x v="13"/>
    <n v="77"/>
    <n v="28105"/>
    <n v="101178"/>
  </r>
  <r>
    <x v="0"/>
    <x v="0"/>
    <x v="0"/>
    <x v="0"/>
    <x v="1"/>
    <s v="DK2_Medium"/>
    <x v="2"/>
    <x v="1"/>
    <s v="GNR_GT_NGAS_BP_E-44"/>
    <x v="0"/>
    <x v="14"/>
    <n v="77"/>
    <n v="28105"/>
    <n v="101178"/>
  </r>
  <r>
    <x v="0"/>
    <x v="0"/>
    <x v="0"/>
    <x v="0"/>
    <x v="1"/>
    <s v="DK2_Medium"/>
    <x v="2"/>
    <x v="1"/>
    <s v="GNR_GT_NGAS_BP_E-44"/>
    <x v="0"/>
    <x v="15"/>
    <n v="77"/>
    <n v="28105"/>
    <n v="101178"/>
  </r>
  <r>
    <x v="0"/>
    <x v="0"/>
    <x v="0"/>
    <x v="0"/>
    <x v="1"/>
    <s v="DK2_Medium"/>
    <x v="2"/>
    <x v="1"/>
    <s v="GNR_GT_NGAS_BP_E-44"/>
    <x v="0"/>
    <x v="16"/>
    <n v="77"/>
    <n v="28105"/>
    <n v="101178"/>
  </r>
  <r>
    <x v="0"/>
    <x v="0"/>
    <x v="0"/>
    <x v="0"/>
    <x v="1"/>
    <s v="DK2_Medium"/>
    <x v="2"/>
    <x v="1"/>
    <s v="GNR_GT_NGAS_BP_E-44"/>
    <x v="0"/>
    <x v="17"/>
    <n v="77"/>
    <n v="28105"/>
    <n v="101178"/>
  </r>
  <r>
    <x v="0"/>
    <x v="0"/>
    <x v="0"/>
    <x v="0"/>
    <x v="1"/>
    <s v="DK2_Medium"/>
    <x v="2"/>
    <x v="1"/>
    <s v="GNR_GT_NGAS_BP_E-44"/>
    <x v="0"/>
    <x v="18"/>
    <n v="77"/>
    <n v="28105"/>
    <n v="101178"/>
  </r>
  <r>
    <x v="0"/>
    <x v="0"/>
    <x v="0"/>
    <x v="0"/>
    <x v="1"/>
    <s v="DK2_Medium"/>
    <x v="2"/>
    <x v="1"/>
    <s v="GNR_GT_NGAS_BP_E-44"/>
    <x v="0"/>
    <x v="19"/>
    <n v="77"/>
    <n v="28105"/>
    <n v="101178"/>
  </r>
  <r>
    <x v="0"/>
    <x v="0"/>
    <x v="0"/>
    <x v="0"/>
    <x v="1"/>
    <s v="DK2_Medium"/>
    <x v="2"/>
    <x v="1"/>
    <s v="GNR_GT_NGAS_BP_E-44"/>
    <x v="0"/>
    <x v="20"/>
    <n v="77"/>
    <n v="28105"/>
    <n v="101178"/>
  </r>
  <r>
    <x v="0"/>
    <x v="0"/>
    <x v="0"/>
    <x v="0"/>
    <x v="1"/>
    <s v="DK2_Medium"/>
    <x v="2"/>
    <x v="1"/>
    <s v="GNR_GT_NGAS_BP_E-44"/>
    <x v="0"/>
    <x v="21"/>
    <n v="77"/>
    <n v="28105"/>
    <n v="101178"/>
  </r>
  <r>
    <x v="0"/>
    <x v="0"/>
    <x v="0"/>
    <x v="0"/>
    <x v="1"/>
    <s v="DK2_Medium"/>
    <x v="2"/>
    <x v="1"/>
    <s v="GNR_GT_NGAS_BP_E-44"/>
    <x v="0"/>
    <x v="22"/>
    <n v="77"/>
    <n v="28105"/>
    <n v="101178"/>
  </r>
  <r>
    <x v="0"/>
    <x v="0"/>
    <x v="0"/>
    <x v="0"/>
    <x v="1"/>
    <s v="DK2_Medium"/>
    <x v="2"/>
    <x v="1"/>
    <s v="GNR_GT_NGAS_BP_E-44"/>
    <x v="0"/>
    <x v="23"/>
    <n v="77"/>
    <n v="28105"/>
    <n v="101178"/>
  </r>
  <r>
    <x v="0"/>
    <x v="0"/>
    <x v="0"/>
    <x v="0"/>
    <x v="1"/>
    <s v="DK2_Medium"/>
    <x v="4"/>
    <x v="1"/>
    <s v="GNR_ST_WOODCHI_BP_E-27"/>
    <x v="0"/>
    <x v="0"/>
    <n v="0.33"/>
    <n v="120.45"/>
    <n v="433.62"/>
  </r>
  <r>
    <x v="0"/>
    <x v="0"/>
    <x v="0"/>
    <x v="0"/>
    <x v="1"/>
    <s v="DK2_Medium"/>
    <x v="4"/>
    <x v="1"/>
    <s v="GNR_ST_WOODCHI_BP_E-27"/>
    <x v="0"/>
    <x v="1"/>
    <n v="0.33"/>
    <n v="120.45"/>
    <n v="433.62"/>
  </r>
  <r>
    <x v="0"/>
    <x v="0"/>
    <x v="0"/>
    <x v="0"/>
    <x v="1"/>
    <s v="DK2_Medium"/>
    <x v="4"/>
    <x v="1"/>
    <s v="GNR_ST_WOODCHI_BP_E-27"/>
    <x v="0"/>
    <x v="2"/>
    <n v="0.33"/>
    <n v="120.45"/>
    <n v="433.62"/>
  </r>
  <r>
    <x v="0"/>
    <x v="0"/>
    <x v="0"/>
    <x v="0"/>
    <x v="1"/>
    <s v="DK2_Medium"/>
    <x v="4"/>
    <x v="1"/>
    <s v="GNR_ST_WOODCHI_BP_E-27"/>
    <x v="0"/>
    <x v="9"/>
    <n v="0.33"/>
    <n v="120.45"/>
    <n v="433.62"/>
  </r>
  <r>
    <x v="0"/>
    <x v="0"/>
    <x v="0"/>
    <x v="0"/>
    <x v="1"/>
    <s v="DK2_Medium"/>
    <x v="4"/>
    <x v="1"/>
    <s v="GNR_ST_WOODCHI_BP_E-27"/>
    <x v="0"/>
    <x v="10"/>
    <n v="0.33"/>
    <n v="120.45"/>
    <n v="433.62"/>
  </r>
  <r>
    <x v="0"/>
    <x v="0"/>
    <x v="0"/>
    <x v="0"/>
    <x v="1"/>
    <s v="DK2_Medium"/>
    <x v="4"/>
    <x v="1"/>
    <s v="GNR_ST_WOODCHI_BP_E-27"/>
    <x v="0"/>
    <x v="14"/>
    <n v="0.33"/>
    <n v="120.45"/>
    <n v="433.62"/>
  </r>
  <r>
    <x v="0"/>
    <x v="0"/>
    <x v="0"/>
    <x v="0"/>
    <x v="1"/>
    <s v="DK2_Medium"/>
    <x v="4"/>
    <x v="1"/>
    <s v="GNR_ST_WOODCHI_BP_E-27"/>
    <x v="0"/>
    <x v="15"/>
    <n v="0.33"/>
    <n v="120.45"/>
    <n v="433.62"/>
  </r>
  <r>
    <x v="0"/>
    <x v="0"/>
    <x v="0"/>
    <x v="0"/>
    <x v="1"/>
    <s v="DK2_Medium"/>
    <x v="4"/>
    <x v="1"/>
    <s v="GNR_ST_WOODCHI_BP_E-27"/>
    <x v="0"/>
    <x v="16"/>
    <n v="0.33"/>
    <n v="120.45"/>
    <n v="433.62"/>
  </r>
  <r>
    <x v="0"/>
    <x v="0"/>
    <x v="0"/>
    <x v="0"/>
    <x v="1"/>
    <s v="DK2_Medium"/>
    <x v="4"/>
    <x v="1"/>
    <s v="GNR_ST_WOODCHI_BP_E-27"/>
    <x v="0"/>
    <x v="17"/>
    <n v="0.33"/>
    <n v="120.45"/>
    <n v="433.62"/>
  </r>
  <r>
    <x v="0"/>
    <x v="0"/>
    <x v="0"/>
    <x v="0"/>
    <x v="1"/>
    <s v="DK2_Medium"/>
    <x v="4"/>
    <x v="1"/>
    <s v="GNR_ST_WOODCHI_BP_E-27"/>
    <x v="0"/>
    <x v="18"/>
    <n v="0.33"/>
    <n v="120.45"/>
    <n v="433.62"/>
  </r>
  <r>
    <x v="0"/>
    <x v="0"/>
    <x v="0"/>
    <x v="0"/>
    <x v="1"/>
    <s v="DK2_NoDH"/>
    <x v="2"/>
    <x v="1"/>
    <s v="GNR_ENG_NGAS_BP_E-33"/>
    <x v="0"/>
    <x v="0"/>
    <n v="1.6"/>
    <n v="584"/>
    <n v="2102.4"/>
  </r>
  <r>
    <x v="0"/>
    <x v="0"/>
    <x v="0"/>
    <x v="0"/>
    <x v="1"/>
    <s v="DK2_NoDH"/>
    <x v="2"/>
    <x v="1"/>
    <s v="GNR_ENG_NGAS_BP_E-33"/>
    <x v="0"/>
    <x v="1"/>
    <n v="1.6"/>
    <n v="584"/>
    <n v="2102.4"/>
  </r>
  <r>
    <x v="0"/>
    <x v="0"/>
    <x v="0"/>
    <x v="0"/>
    <x v="1"/>
    <s v="DK2_NoDH"/>
    <x v="2"/>
    <x v="1"/>
    <s v="GNR_ENG_NGAS_BP_E-33"/>
    <x v="0"/>
    <x v="2"/>
    <n v="1.6"/>
    <n v="584"/>
    <n v="2102.4"/>
  </r>
  <r>
    <x v="0"/>
    <x v="0"/>
    <x v="0"/>
    <x v="0"/>
    <x v="1"/>
    <s v="DK2_NoDH"/>
    <x v="2"/>
    <x v="1"/>
    <s v="GNR_ENG_NGAS_BP_E-33"/>
    <x v="0"/>
    <x v="9"/>
    <n v="1.6"/>
    <n v="584"/>
    <n v="2102.4"/>
  </r>
  <r>
    <x v="0"/>
    <x v="0"/>
    <x v="0"/>
    <x v="0"/>
    <x v="1"/>
    <s v="DK2_NoDH"/>
    <x v="2"/>
    <x v="1"/>
    <s v="GNR_ENG_NGAS_BP_E-33"/>
    <x v="0"/>
    <x v="10"/>
    <n v="1.6"/>
    <n v="584"/>
    <n v="2102.4"/>
  </r>
  <r>
    <x v="0"/>
    <x v="0"/>
    <x v="0"/>
    <x v="0"/>
    <x v="1"/>
    <s v="DK2_NoDH"/>
    <x v="2"/>
    <x v="1"/>
    <s v="GNR_ENG_NGAS_BP_E-33"/>
    <x v="0"/>
    <x v="11"/>
    <n v="1.6"/>
    <n v="584"/>
    <n v="2102.4"/>
  </r>
  <r>
    <x v="0"/>
    <x v="0"/>
    <x v="0"/>
    <x v="0"/>
    <x v="1"/>
    <s v="DK2_NoDH"/>
    <x v="2"/>
    <x v="1"/>
    <s v="GNR_ENG_NGAS_BP_E-33"/>
    <x v="0"/>
    <x v="12"/>
    <n v="1.6"/>
    <n v="584"/>
    <n v="2102.4"/>
  </r>
  <r>
    <x v="0"/>
    <x v="0"/>
    <x v="0"/>
    <x v="0"/>
    <x v="1"/>
    <s v="DK2_NoDH"/>
    <x v="2"/>
    <x v="1"/>
    <s v="GNR_ENG_NGAS_BP_E-33"/>
    <x v="0"/>
    <x v="13"/>
    <n v="1.6"/>
    <n v="584"/>
    <n v="2102.4"/>
  </r>
  <r>
    <x v="0"/>
    <x v="0"/>
    <x v="0"/>
    <x v="0"/>
    <x v="1"/>
    <s v="DK2_NoDH"/>
    <x v="2"/>
    <x v="1"/>
    <s v="GNR_ENG_NGAS_BP_E-33"/>
    <x v="0"/>
    <x v="14"/>
    <n v="1.6"/>
    <n v="584"/>
    <n v="2102.4"/>
  </r>
  <r>
    <x v="0"/>
    <x v="0"/>
    <x v="0"/>
    <x v="0"/>
    <x v="1"/>
    <s v="DK2_NoDH"/>
    <x v="2"/>
    <x v="1"/>
    <s v="GNR_ENG_NGAS_BP_E-33"/>
    <x v="0"/>
    <x v="15"/>
    <n v="1.6"/>
    <n v="584"/>
    <n v="2102.4"/>
  </r>
  <r>
    <x v="0"/>
    <x v="0"/>
    <x v="0"/>
    <x v="0"/>
    <x v="1"/>
    <s v="DK2_NoDH"/>
    <x v="2"/>
    <x v="1"/>
    <s v="GNR_ENG_NGAS_BP_E-33"/>
    <x v="0"/>
    <x v="16"/>
    <n v="1.6"/>
    <n v="584"/>
    <n v="2102.4"/>
  </r>
  <r>
    <x v="0"/>
    <x v="0"/>
    <x v="0"/>
    <x v="0"/>
    <x v="1"/>
    <s v="DK2_NoDH"/>
    <x v="2"/>
    <x v="1"/>
    <s v="GNR_ENG_NGAS_BP_E-33"/>
    <x v="0"/>
    <x v="17"/>
    <n v="1.6"/>
    <n v="584"/>
    <n v="2102.4"/>
  </r>
  <r>
    <x v="0"/>
    <x v="0"/>
    <x v="0"/>
    <x v="0"/>
    <x v="1"/>
    <s v="DK2_NoDH"/>
    <x v="2"/>
    <x v="1"/>
    <s v="GNR_ENG_NGAS_BP_E-33"/>
    <x v="0"/>
    <x v="18"/>
    <n v="1.6"/>
    <n v="584"/>
    <n v="2102.4"/>
  </r>
  <r>
    <x v="0"/>
    <x v="0"/>
    <x v="0"/>
    <x v="0"/>
    <x v="1"/>
    <s v="DK2_NoDH"/>
    <x v="2"/>
    <x v="1"/>
    <s v="GNR_ENG_NGAS_BP_E-33"/>
    <x v="0"/>
    <x v="19"/>
    <n v="1.6"/>
    <n v="584"/>
    <n v="2102.4"/>
  </r>
  <r>
    <x v="0"/>
    <x v="0"/>
    <x v="0"/>
    <x v="0"/>
    <x v="1"/>
    <s v="DK2_NoDH"/>
    <x v="2"/>
    <x v="1"/>
    <s v="GNR_ENG_NGAS_BP_E-34"/>
    <x v="0"/>
    <x v="8"/>
    <n v="6.32"/>
    <n v="2306.8000000000002"/>
    <n v="8304.48"/>
  </r>
  <r>
    <x v="0"/>
    <x v="0"/>
    <x v="0"/>
    <x v="0"/>
    <x v="1"/>
    <s v="DK2_NoDH"/>
    <x v="2"/>
    <x v="1"/>
    <s v="GNR_ENG_NGAS_BP_E-34"/>
    <x v="0"/>
    <x v="0"/>
    <n v="6.32"/>
    <n v="2306.8000000000002"/>
    <n v="8304.48"/>
  </r>
  <r>
    <x v="0"/>
    <x v="0"/>
    <x v="0"/>
    <x v="0"/>
    <x v="1"/>
    <s v="DK2_NoDH"/>
    <x v="2"/>
    <x v="1"/>
    <s v="GNR_ENG_NGAS_BP_E-34"/>
    <x v="0"/>
    <x v="1"/>
    <n v="6.32"/>
    <n v="2306.8000000000002"/>
    <n v="8304.48"/>
  </r>
  <r>
    <x v="0"/>
    <x v="0"/>
    <x v="0"/>
    <x v="0"/>
    <x v="1"/>
    <s v="DK2_NoDH"/>
    <x v="2"/>
    <x v="1"/>
    <s v="GNR_ENG_NGAS_BP_E-34"/>
    <x v="0"/>
    <x v="2"/>
    <n v="6.32"/>
    <n v="2306.8000000000002"/>
    <n v="8304.48"/>
  </r>
  <r>
    <x v="0"/>
    <x v="0"/>
    <x v="0"/>
    <x v="0"/>
    <x v="1"/>
    <s v="DK2_NoDH"/>
    <x v="2"/>
    <x v="1"/>
    <s v="GNR_ENG_NGAS_BP_E-34"/>
    <x v="0"/>
    <x v="9"/>
    <n v="6.32"/>
    <n v="2306.8000000000002"/>
    <n v="8304.48"/>
  </r>
  <r>
    <x v="0"/>
    <x v="0"/>
    <x v="0"/>
    <x v="0"/>
    <x v="1"/>
    <s v="DK2_NoDH"/>
    <x v="2"/>
    <x v="1"/>
    <s v="GNR_ENG_NGAS_BP_E-34"/>
    <x v="0"/>
    <x v="10"/>
    <n v="6.32"/>
    <n v="2306.8000000000002"/>
    <n v="8304.48"/>
  </r>
  <r>
    <x v="0"/>
    <x v="0"/>
    <x v="0"/>
    <x v="0"/>
    <x v="1"/>
    <s v="DK2_NoDH"/>
    <x v="2"/>
    <x v="1"/>
    <s v="GNR_ENG_NGAS_BP_E-34"/>
    <x v="0"/>
    <x v="11"/>
    <n v="6.32"/>
    <n v="2306.8000000000002"/>
    <n v="8304.48"/>
  </r>
  <r>
    <x v="0"/>
    <x v="0"/>
    <x v="0"/>
    <x v="0"/>
    <x v="1"/>
    <s v="DK2_NoDH"/>
    <x v="2"/>
    <x v="1"/>
    <s v="GNR_ENG_NGAS_BP_E-34"/>
    <x v="0"/>
    <x v="12"/>
    <n v="6.32"/>
    <n v="2306.8000000000002"/>
    <n v="8304.48"/>
  </r>
  <r>
    <x v="0"/>
    <x v="0"/>
    <x v="0"/>
    <x v="0"/>
    <x v="1"/>
    <s v="DK2_NoDH"/>
    <x v="2"/>
    <x v="1"/>
    <s v="GNR_ENG_NGAS_BP_E-34"/>
    <x v="0"/>
    <x v="13"/>
    <n v="6.32"/>
    <n v="2306.8000000000002"/>
    <n v="8304.48"/>
  </r>
  <r>
    <x v="0"/>
    <x v="0"/>
    <x v="0"/>
    <x v="0"/>
    <x v="1"/>
    <s v="DK2_NoDH"/>
    <x v="2"/>
    <x v="1"/>
    <s v="GNR_ENG_NGAS_BP_E-34"/>
    <x v="0"/>
    <x v="14"/>
    <n v="6.32"/>
    <n v="2306.8000000000002"/>
    <n v="8304.48"/>
  </r>
  <r>
    <x v="0"/>
    <x v="0"/>
    <x v="0"/>
    <x v="0"/>
    <x v="1"/>
    <s v="DK2_NoDH"/>
    <x v="2"/>
    <x v="1"/>
    <s v="GNR_ENG_NGAS_BP_E-34"/>
    <x v="0"/>
    <x v="15"/>
    <n v="6.32"/>
    <n v="2306.8000000000002"/>
    <n v="8304.48"/>
  </r>
  <r>
    <x v="0"/>
    <x v="0"/>
    <x v="0"/>
    <x v="0"/>
    <x v="1"/>
    <s v="DK2_NoDH"/>
    <x v="2"/>
    <x v="1"/>
    <s v="GNR_ENG_NGAS_BP_E-34"/>
    <x v="0"/>
    <x v="16"/>
    <n v="6.32"/>
    <n v="2306.8000000000002"/>
    <n v="8304.48"/>
  </r>
  <r>
    <x v="0"/>
    <x v="0"/>
    <x v="0"/>
    <x v="0"/>
    <x v="1"/>
    <s v="DK2_NoDH"/>
    <x v="2"/>
    <x v="1"/>
    <s v="GNR_ENG_NGAS_BP_E-34"/>
    <x v="0"/>
    <x v="17"/>
    <n v="6.32"/>
    <n v="2306.8000000000002"/>
    <n v="8304.48"/>
  </r>
  <r>
    <x v="0"/>
    <x v="0"/>
    <x v="0"/>
    <x v="0"/>
    <x v="1"/>
    <s v="DK2_NoDH"/>
    <x v="2"/>
    <x v="1"/>
    <s v="GNR_ENG_NGAS_BP_E-34"/>
    <x v="0"/>
    <x v="18"/>
    <n v="6.32"/>
    <n v="2306.8000000000002"/>
    <n v="8304.48"/>
  </r>
  <r>
    <x v="0"/>
    <x v="0"/>
    <x v="0"/>
    <x v="0"/>
    <x v="1"/>
    <s v="DK2_NoDH"/>
    <x v="2"/>
    <x v="1"/>
    <s v="GNR_ENG_NGAS_BP_E-34"/>
    <x v="0"/>
    <x v="19"/>
    <n v="6.32"/>
    <n v="2306.8000000000002"/>
    <n v="8304.48"/>
  </r>
  <r>
    <x v="0"/>
    <x v="0"/>
    <x v="0"/>
    <x v="0"/>
    <x v="1"/>
    <s v="DK2_NoDH"/>
    <x v="2"/>
    <x v="1"/>
    <s v="GNR_ENG_NGAS_BP_E-34"/>
    <x v="0"/>
    <x v="20"/>
    <n v="6.32"/>
    <n v="2306.8000000000002"/>
    <n v="8304.48"/>
  </r>
  <r>
    <x v="0"/>
    <x v="0"/>
    <x v="0"/>
    <x v="0"/>
    <x v="1"/>
    <s v="DK2_NoDH"/>
    <x v="2"/>
    <x v="1"/>
    <s v="GNR_ENG_NGAS_BP_E-35"/>
    <x v="0"/>
    <x v="7"/>
    <n v="5.22"/>
    <n v="1905.3"/>
    <n v="6859.08"/>
  </r>
  <r>
    <x v="0"/>
    <x v="0"/>
    <x v="0"/>
    <x v="0"/>
    <x v="1"/>
    <s v="DK2_NoDH"/>
    <x v="2"/>
    <x v="1"/>
    <s v="GNR_ENG_NGAS_BP_E-35"/>
    <x v="0"/>
    <x v="8"/>
    <n v="5.22"/>
    <n v="1905.3"/>
    <n v="6859.08"/>
  </r>
  <r>
    <x v="0"/>
    <x v="0"/>
    <x v="0"/>
    <x v="0"/>
    <x v="1"/>
    <s v="DK2_NoDH"/>
    <x v="2"/>
    <x v="1"/>
    <s v="GNR_ENG_NGAS_BP_E-35"/>
    <x v="0"/>
    <x v="0"/>
    <n v="5.22"/>
    <n v="1905.3"/>
    <n v="6859.08"/>
  </r>
  <r>
    <x v="0"/>
    <x v="0"/>
    <x v="0"/>
    <x v="0"/>
    <x v="1"/>
    <s v="DK2_NoDH"/>
    <x v="2"/>
    <x v="1"/>
    <s v="GNR_ENG_NGAS_BP_E-35"/>
    <x v="0"/>
    <x v="1"/>
    <n v="5.22"/>
    <n v="1905.3"/>
    <n v="6859.08"/>
  </r>
  <r>
    <x v="0"/>
    <x v="0"/>
    <x v="0"/>
    <x v="0"/>
    <x v="1"/>
    <s v="DK2_NoDH"/>
    <x v="2"/>
    <x v="1"/>
    <s v="GNR_ENG_NGAS_BP_E-35"/>
    <x v="0"/>
    <x v="2"/>
    <n v="5.22"/>
    <n v="1905.3"/>
    <n v="6859.08"/>
  </r>
  <r>
    <x v="0"/>
    <x v="0"/>
    <x v="0"/>
    <x v="0"/>
    <x v="1"/>
    <s v="DK2_NoDH"/>
    <x v="2"/>
    <x v="1"/>
    <s v="GNR_ENG_NGAS_BP_E-35"/>
    <x v="0"/>
    <x v="9"/>
    <n v="5.22"/>
    <n v="1905.3"/>
    <n v="6859.08"/>
  </r>
  <r>
    <x v="0"/>
    <x v="0"/>
    <x v="0"/>
    <x v="0"/>
    <x v="1"/>
    <s v="DK2_NoDH"/>
    <x v="2"/>
    <x v="1"/>
    <s v="GNR_ENG_NGAS_BP_E-35"/>
    <x v="0"/>
    <x v="10"/>
    <n v="5.22"/>
    <n v="1905.3"/>
    <n v="6859.08"/>
  </r>
  <r>
    <x v="0"/>
    <x v="0"/>
    <x v="0"/>
    <x v="0"/>
    <x v="1"/>
    <s v="DK2_NoDH"/>
    <x v="2"/>
    <x v="1"/>
    <s v="GNR_ENG_NGAS_BP_E-35"/>
    <x v="0"/>
    <x v="11"/>
    <n v="5.22"/>
    <n v="1905.3"/>
    <n v="6859.08"/>
  </r>
  <r>
    <x v="0"/>
    <x v="0"/>
    <x v="0"/>
    <x v="0"/>
    <x v="1"/>
    <s v="DK2_NoDH"/>
    <x v="2"/>
    <x v="1"/>
    <s v="GNR_ENG_NGAS_BP_E-35"/>
    <x v="0"/>
    <x v="12"/>
    <n v="5.22"/>
    <n v="1905.3"/>
    <n v="6859.08"/>
  </r>
  <r>
    <x v="0"/>
    <x v="0"/>
    <x v="0"/>
    <x v="0"/>
    <x v="1"/>
    <s v="DK2_NoDH"/>
    <x v="2"/>
    <x v="1"/>
    <s v="GNR_ENG_NGAS_BP_E-35"/>
    <x v="0"/>
    <x v="13"/>
    <n v="5.22"/>
    <n v="1905.3"/>
    <n v="6859.08"/>
  </r>
  <r>
    <x v="0"/>
    <x v="0"/>
    <x v="0"/>
    <x v="0"/>
    <x v="1"/>
    <s v="DK2_NoDH"/>
    <x v="2"/>
    <x v="1"/>
    <s v="GNR_ENG_NGAS_BP_E-35"/>
    <x v="0"/>
    <x v="14"/>
    <n v="5.22"/>
    <n v="1905.3"/>
    <n v="6859.08"/>
  </r>
  <r>
    <x v="0"/>
    <x v="0"/>
    <x v="0"/>
    <x v="0"/>
    <x v="1"/>
    <s v="DK2_NoDH"/>
    <x v="2"/>
    <x v="1"/>
    <s v="GNR_ENG_NGAS_BP_E-35"/>
    <x v="0"/>
    <x v="15"/>
    <n v="5.22"/>
    <n v="1905.3"/>
    <n v="6859.08"/>
  </r>
  <r>
    <x v="0"/>
    <x v="0"/>
    <x v="0"/>
    <x v="0"/>
    <x v="1"/>
    <s v="DK2_NoDH"/>
    <x v="2"/>
    <x v="1"/>
    <s v="GNR_ENG_NGAS_BP_E-35"/>
    <x v="0"/>
    <x v="16"/>
    <n v="5.22"/>
    <n v="1905.3"/>
    <n v="6859.08"/>
  </r>
  <r>
    <x v="0"/>
    <x v="0"/>
    <x v="0"/>
    <x v="0"/>
    <x v="1"/>
    <s v="DK2_NoDH"/>
    <x v="2"/>
    <x v="1"/>
    <s v="GNR_ENG_NGAS_BP_E-35"/>
    <x v="0"/>
    <x v="17"/>
    <n v="5.22"/>
    <n v="1905.3"/>
    <n v="6859.08"/>
  </r>
  <r>
    <x v="0"/>
    <x v="0"/>
    <x v="0"/>
    <x v="0"/>
    <x v="1"/>
    <s v="DK2_NoDH"/>
    <x v="2"/>
    <x v="1"/>
    <s v="GNR_ENG_NGAS_BP_E-35"/>
    <x v="0"/>
    <x v="18"/>
    <n v="5.22"/>
    <n v="1905.3"/>
    <n v="6859.08"/>
  </r>
  <r>
    <x v="0"/>
    <x v="0"/>
    <x v="0"/>
    <x v="0"/>
    <x v="1"/>
    <s v="DK2_NoDH"/>
    <x v="2"/>
    <x v="1"/>
    <s v="GNR_ENG_NGAS_BP_E-35"/>
    <x v="0"/>
    <x v="19"/>
    <n v="5.22"/>
    <n v="1905.3"/>
    <n v="6859.08"/>
  </r>
  <r>
    <x v="0"/>
    <x v="0"/>
    <x v="0"/>
    <x v="0"/>
    <x v="1"/>
    <s v="DK2_NoDH"/>
    <x v="2"/>
    <x v="1"/>
    <s v="GNR_ENG_NGAS_BP_E-35"/>
    <x v="0"/>
    <x v="20"/>
    <n v="5.22"/>
    <n v="1905.3"/>
    <n v="6859.08"/>
  </r>
  <r>
    <x v="0"/>
    <x v="0"/>
    <x v="0"/>
    <x v="0"/>
    <x v="1"/>
    <s v="DK2_NoDH"/>
    <x v="2"/>
    <x v="1"/>
    <s v="GNR_ENG_NGAS_BP_E-36"/>
    <x v="0"/>
    <x v="3"/>
    <n v="3.53"/>
    <n v="1288.45"/>
    <n v="4638.42"/>
  </r>
  <r>
    <x v="0"/>
    <x v="0"/>
    <x v="0"/>
    <x v="0"/>
    <x v="1"/>
    <s v="DK2_NoDH"/>
    <x v="2"/>
    <x v="1"/>
    <s v="GNR_ENG_NGAS_BP_E-36"/>
    <x v="0"/>
    <x v="4"/>
    <n v="3.53"/>
    <n v="1288.45"/>
    <n v="4638.42"/>
  </r>
  <r>
    <x v="0"/>
    <x v="0"/>
    <x v="0"/>
    <x v="0"/>
    <x v="1"/>
    <s v="DK2_NoDH"/>
    <x v="2"/>
    <x v="1"/>
    <s v="GNR_ENG_NGAS_BP_E-36"/>
    <x v="0"/>
    <x v="5"/>
    <n v="3.53"/>
    <n v="1288.45"/>
    <n v="4638.42"/>
  </r>
  <r>
    <x v="0"/>
    <x v="0"/>
    <x v="0"/>
    <x v="0"/>
    <x v="1"/>
    <s v="DK2_NoDH"/>
    <x v="2"/>
    <x v="1"/>
    <s v="GNR_ENG_NGAS_BP_E-36"/>
    <x v="0"/>
    <x v="6"/>
    <n v="3.53"/>
    <n v="1288.45"/>
    <n v="4638.42"/>
  </r>
  <r>
    <x v="0"/>
    <x v="0"/>
    <x v="0"/>
    <x v="0"/>
    <x v="1"/>
    <s v="DK2_NoDH"/>
    <x v="2"/>
    <x v="1"/>
    <s v="GNR_ENG_NGAS_BP_E-36"/>
    <x v="0"/>
    <x v="7"/>
    <n v="3.53"/>
    <n v="1288.45"/>
    <n v="4638.42"/>
  </r>
  <r>
    <x v="0"/>
    <x v="0"/>
    <x v="0"/>
    <x v="0"/>
    <x v="1"/>
    <s v="DK2_NoDH"/>
    <x v="2"/>
    <x v="1"/>
    <s v="GNR_ENG_NGAS_BP_E-36"/>
    <x v="0"/>
    <x v="8"/>
    <n v="3.53"/>
    <n v="1288.45"/>
    <n v="4638.42"/>
  </r>
  <r>
    <x v="0"/>
    <x v="0"/>
    <x v="0"/>
    <x v="0"/>
    <x v="1"/>
    <s v="DK2_NoDH"/>
    <x v="2"/>
    <x v="1"/>
    <s v="GNR_ENG_NGAS_BP_E-36"/>
    <x v="0"/>
    <x v="0"/>
    <n v="3.53"/>
    <n v="1288.45"/>
    <n v="4638.42"/>
  </r>
  <r>
    <x v="0"/>
    <x v="0"/>
    <x v="0"/>
    <x v="0"/>
    <x v="1"/>
    <s v="DK2_NoDH"/>
    <x v="2"/>
    <x v="1"/>
    <s v="GNR_ENG_NGAS_BP_E-36"/>
    <x v="0"/>
    <x v="1"/>
    <n v="3.53"/>
    <n v="1288.45"/>
    <n v="4638.42"/>
  </r>
  <r>
    <x v="0"/>
    <x v="0"/>
    <x v="0"/>
    <x v="0"/>
    <x v="1"/>
    <s v="DK2_NoDH"/>
    <x v="2"/>
    <x v="1"/>
    <s v="GNR_ENG_NGAS_BP_E-36"/>
    <x v="0"/>
    <x v="2"/>
    <n v="3.53"/>
    <n v="1288.45"/>
    <n v="4638.42"/>
  </r>
  <r>
    <x v="0"/>
    <x v="0"/>
    <x v="0"/>
    <x v="0"/>
    <x v="1"/>
    <s v="DK2_NoDH"/>
    <x v="2"/>
    <x v="1"/>
    <s v="GNR_ENG_NGAS_BP_E-36"/>
    <x v="0"/>
    <x v="9"/>
    <n v="3.53"/>
    <n v="1288.45"/>
    <n v="4638.42"/>
  </r>
  <r>
    <x v="0"/>
    <x v="0"/>
    <x v="0"/>
    <x v="0"/>
    <x v="1"/>
    <s v="DK2_NoDH"/>
    <x v="2"/>
    <x v="1"/>
    <s v="GNR_ENG_NGAS_BP_E-36"/>
    <x v="0"/>
    <x v="10"/>
    <n v="3.53"/>
    <n v="1288.45"/>
    <n v="4638.42"/>
  </r>
  <r>
    <x v="0"/>
    <x v="0"/>
    <x v="0"/>
    <x v="0"/>
    <x v="1"/>
    <s v="DK2_NoDH"/>
    <x v="2"/>
    <x v="1"/>
    <s v="GNR_ENG_NGAS_BP_E-36"/>
    <x v="0"/>
    <x v="11"/>
    <n v="3.53"/>
    <n v="1288.45"/>
    <n v="4638.42"/>
  </r>
  <r>
    <x v="0"/>
    <x v="0"/>
    <x v="0"/>
    <x v="0"/>
    <x v="1"/>
    <s v="DK2_NoDH"/>
    <x v="2"/>
    <x v="1"/>
    <s v="GNR_ENG_NGAS_BP_E-36"/>
    <x v="0"/>
    <x v="12"/>
    <n v="3.53"/>
    <n v="1288.45"/>
    <n v="4638.42"/>
  </r>
  <r>
    <x v="0"/>
    <x v="0"/>
    <x v="0"/>
    <x v="0"/>
    <x v="1"/>
    <s v="DK2_NoDH"/>
    <x v="2"/>
    <x v="1"/>
    <s v="GNR_ENG_NGAS_BP_E-36"/>
    <x v="0"/>
    <x v="13"/>
    <n v="3.53"/>
    <n v="1288.45"/>
    <n v="4638.42"/>
  </r>
  <r>
    <x v="0"/>
    <x v="0"/>
    <x v="0"/>
    <x v="0"/>
    <x v="1"/>
    <s v="DK2_NoDH"/>
    <x v="2"/>
    <x v="1"/>
    <s v="GNR_ENG_NGAS_BP_E-36"/>
    <x v="0"/>
    <x v="14"/>
    <n v="3.53"/>
    <n v="1288.45"/>
    <n v="4638.42"/>
  </r>
  <r>
    <x v="0"/>
    <x v="0"/>
    <x v="0"/>
    <x v="0"/>
    <x v="1"/>
    <s v="DK2_NoDH"/>
    <x v="2"/>
    <x v="1"/>
    <s v="GNR_ENG_NGAS_BP_E-36"/>
    <x v="0"/>
    <x v="15"/>
    <n v="3.53"/>
    <n v="1288.45"/>
    <n v="4638.42"/>
  </r>
  <r>
    <x v="0"/>
    <x v="0"/>
    <x v="0"/>
    <x v="0"/>
    <x v="1"/>
    <s v="DK2_NoDH"/>
    <x v="2"/>
    <x v="1"/>
    <s v="GNR_ENG_NGAS_BP_E-36"/>
    <x v="0"/>
    <x v="16"/>
    <n v="3.53"/>
    <n v="1288.45"/>
    <n v="4638.42"/>
  </r>
  <r>
    <x v="0"/>
    <x v="0"/>
    <x v="0"/>
    <x v="0"/>
    <x v="1"/>
    <s v="DK2_NoDH"/>
    <x v="2"/>
    <x v="1"/>
    <s v="GNR_ENG_NGAS_BP_E-36"/>
    <x v="0"/>
    <x v="17"/>
    <n v="3.53"/>
    <n v="1288.45"/>
    <n v="4638.42"/>
  </r>
  <r>
    <x v="0"/>
    <x v="0"/>
    <x v="0"/>
    <x v="0"/>
    <x v="1"/>
    <s v="DK2_NoDH"/>
    <x v="2"/>
    <x v="1"/>
    <s v="GNR_ENG_NGAS_BP_E-36"/>
    <x v="0"/>
    <x v="18"/>
    <n v="3.53"/>
    <n v="1288.45"/>
    <n v="4638.42"/>
  </r>
  <r>
    <x v="0"/>
    <x v="0"/>
    <x v="0"/>
    <x v="0"/>
    <x v="1"/>
    <s v="DK2_NoDH"/>
    <x v="2"/>
    <x v="1"/>
    <s v="GNR_ENG_NGAS_BP_E-36"/>
    <x v="0"/>
    <x v="19"/>
    <n v="3.53"/>
    <n v="1288.45"/>
    <n v="4638.42"/>
  </r>
  <r>
    <x v="0"/>
    <x v="0"/>
    <x v="0"/>
    <x v="0"/>
    <x v="1"/>
    <s v="DK2_NoDH"/>
    <x v="2"/>
    <x v="1"/>
    <s v="GNR_ENG_NGAS_BP_E-36"/>
    <x v="0"/>
    <x v="20"/>
    <n v="3.53"/>
    <n v="1288.45"/>
    <n v="4638.42"/>
  </r>
  <r>
    <x v="0"/>
    <x v="0"/>
    <x v="0"/>
    <x v="0"/>
    <x v="1"/>
    <s v="DK2_NoDH"/>
    <x v="2"/>
    <x v="1"/>
    <s v="GNR_ENG_NGAS_BP_E-36"/>
    <x v="0"/>
    <x v="21"/>
    <n v="3.53"/>
    <n v="1288.45"/>
    <n v="4638.42"/>
  </r>
  <r>
    <x v="0"/>
    <x v="0"/>
    <x v="0"/>
    <x v="0"/>
    <x v="1"/>
    <s v="DK2_NoDH"/>
    <x v="2"/>
    <x v="1"/>
    <s v="GNR_ENG_NGAS_BP_E-36"/>
    <x v="0"/>
    <x v="22"/>
    <n v="3.53"/>
    <n v="1288.45"/>
    <n v="4638.42"/>
  </r>
  <r>
    <x v="0"/>
    <x v="0"/>
    <x v="0"/>
    <x v="0"/>
    <x v="1"/>
    <s v="DK2_NoDH"/>
    <x v="2"/>
    <x v="1"/>
    <s v="GNR_ENG_NGAS_BP_E-37"/>
    <x v="0"/>
    <x v="3"/>
    <n v="2.82"/>
    <n v="1029.3"/>
    <n v="3705.48"/>
  </r>
  <r>
    <x v="0"/>
    <x v="0"/>
    <x v="0"/>
    <x v="0"/>
    <x v="1"/>
    <s v="DK2_NoDH"/>
    <x v="2"/>
    <x v="1"/>
    <s v="GNR_ENG_NGAS_BP_E-37"/>
    <x v="0"/>
    <x v="4"/>
    <n v="2.82"/>
    <n v="1029.3"/>
    <n v="3705.48"/>
  </r>
  <r>
    <x v="0"/>
    <x v="0"/>
    <x v="0"/>
    <x v="0"/>
    <x v="1"/>
    <s v="DK2_NoDH"/>
    <x v="2"/>
    <x v="1"/>
    <s v="GNR_ENG_NGAS_BP_E-37"/>
    <x v="0"/>
    <x v="5"/>
    <n v="2.82"/>
    <n v="1029.3"/>
    <n v="3705.48"/>
  </r>
  <r>
    <x v="0"/>
    <x v="0"/>
    <x v="0"/>
    <x v="0"/>
    <x v="1"/>
    <s v="DK2_NoDH"/>
    <x v="2"/>
    <x v="1"/>
    <s v="GNR_ENG_NGAS_BP_E-37"/>
    <x v="0"/>
    <x v="6"/>
    <n v="2.82"/>
    <n v="1029.3"/>
    <n v="3705.48"/>
  </r>
  <r>
    <x v="0"/>
    <x v="0"/>
    <x v="0"/>
    <x v="0"/>
    <x v="1"/>
    <s v="DK2_NoDH"/>
    <x v="2"/>
    <x v="1"/>
    <s v="GNR_ENG_NGAS_BP_E-37"/>
    <x v="0"/>
    <x v="7"/>
    <n v="2.82"/>
    <n v="1029.3"/>
    <n v="3705.48"/>
  </r>
  <r>
    <x v="0"/>
    <x v="0"/>
    <x v="0"/>
    <x v="0"/>
    <x v="1"/>
    <s v="DK2_NoDH"/>
    <x v="2"/>
    <x v="1"/>
    <s v="GNR_ENG_NGAS_BP_E-37"/>
    <x v="0"/>
    <x v="8"/>
    <n v="2.82"/>
    <n v="1029.3"/>
    <n v="3705.48"/>
  </r>
  <r>
    <x v="0"/>
    <x v="0"/>
    <x v="0"/>
    <x v="0"/>
    <x v="1"/>
    <s v="DK2_NoDH"/>
    <x v="2"/>
    <x v="1"/>
    <s v="GNR_ENG_NGAS_BP_E-37"/>
    <x v="0"/>
    <x v="0"/>
    <n v="2.82"/>
    <n v="1029.3"/>
    <n v="3705.48"/>
  </r>
  <r>
    <x v="0"/>
    <x v="0"/>
    <x v="0"/>
    <x v="0"/>
    <x v="1"/>
    <s v="DK2_NoDH"/>
    <x v="2"/>
    <x v="1"/>
    <s v="GNR_ENG_NGAS_BP_E-37"/>
    <x v="0"/>
    <x v="1"/>
    <n v="2.82"/>
    <n v="1029.3"/>
    <n v="3705.48"/>
  </r>
  <r>
    <x v="0"/>
    <x v="0"/>
    <x v="0"/>
    <x v="0"/>
    <x v="1"/>
    <s v="DK2_NoDH"/>
    <x v="2"/>
    <x v="1"/>
    <s v="GNR_ENG_NGAS_BP_E-37"/>
    <x v="0"/>
    <x v="2"/>
    <n v="2.82"/>
    <n v="1029.3"/>
    <n v="3705.48"/>
  </r>
  <r>
    <x v="0"/>
    <x v="0"/>
    <x v="0"/>
    <x v="0"/>
    <x v="1"/>
    <s v="DK2_NoDH"/>
    <x v="2"/>
    <x v="1"/>
    <s v="GNR_ENG_NGAS_BP_E-37"/>
    <x v="0"/>
    <x v="9"/>
    <n v="2.82"/>
    <n v="1029.3"/>
    <n v="3705.48"/>
  </r>
  <r>
    <x v="0"/>
    <x v="0"/>
    <x v="0"/>
    <x v="0"/>
    <x v="1"/>
    <s v="DK2_NoDH"/>
    <x v="2"/>
    <x v="1"/>
    <s v="GNR_ENG_NGAS_BP_E-37"/>
    <x v="0"/>
    <x v="10"/>
    <n v="2.82"/>
    <n v="1029.3"/>
    <n v="3705.48"/>
  </r>
  <r>
    <x v="0"/>
    <x v="0"/>
    <x v="0"/>
    <x v="0"/>
    <x v="1"/>
    <s v="DK2_NoDH"/>
    <x v="2"/>
    <x v="1"/>
    <s v="GNR_ENG_NGAS_BP_E-37"/>
    <x v="0"/>
    <x v="11"/>
    <n v="2.82"/>
    <n v="1029.3"/>
    <n v="3705.48"/>
  </r>
  <r>
    <x v="0"/>
    <x v="0"/>
    <x v="0"/>
    <x v="0"/>
    <x v="1"/>
    <s v="DK2_NoDH"/>
    <x v="2"/>
    <x v="1"/>
    <s v="GNR_ENG_NGAS_BP_E-37"/>
    <x v="0"/>
    <x v="12"/>
    <n v="2.82"/>
    <n v="1029.3"/>
    <n v="3705.48"/>
  </r>
  <r>
    <x v="0"/>
    <x v="0"/>
    <x v="0"/>
    <x v="0"/>
    <x v="1"/>
    <s v="DK2_NoDH"/>
    <x v="2"/>
    <x v="1"/>
    <s v="GNR_ENG_NGAS_BP_E-37"/>
    <x v="0"/>
    <x v="13"/>
    <n v="2.82"/>
    <n v="1029.3"/>
    <n v="3705.48"/>
  </r>
  <r>
    <x v="0"/>
    <x v="0"/>
    <x v="0"/>
    <x v="0"/>
    <x v="1"/>
    <s v="DK2_NoDH"/>
    <x v="2"/>
    <x v="1"/>
    <s v="GNR_ENG_NGAS_BP_E-37"/>
    <x v="0"/>
    <x v="14"/>
    <n v="2.82"/>
    <n v="1029.3"/>
    <n v="3705.48"/>
  </r>
  <r>
    <x v="0"/>
    <x v="0"/>
    <x v="0"/>
    <x v="0"/>
    <x v="1"/>
    <s v="DK2_NoDH"/>
    <x v="2"/>
    <x v="1"/>
    <s v="GNR_ENG_NGAS_BP_E-37"/>
    <x v="0"/>
    <x v="15"/>
    <n v="2.82"/>
    <n v="1029.3"/>
    <n v="3705.48"/>
  </r>
  <r>
    <x v="0"/>
    <x v="0"/>
    <x v="0"/>
    <x v="0"/>
    <x v="1"/>
    <s v="DK2_NoDH"/>
    <x v="2"/>
    <x v="1"/>
    <s v="GNR_ENG_NGAS_BP_E-37"/>
    <x v="0"/>
    <x v="16"/>
    <n v="2.82"/>
    <n v="1029.3"/>
    <n v="3705.48"/>
  </r>
  <r>
    <x v="0"/>
    <x v="0"/>
    <x v="0"/>
    <x v="0"/>
    <x v="1"/>
    <s v="DK2_NoDH"/>
    <x v="2"/>
    <x v="1"/>
    <s v="GNR_ENG_NGAS_BP_E-37"/>
    <x v="0"/>
    <x v="17"/>
    <n v="2.82"/>
    <n v="1029.3"/>
    <n v="3705.48"/>
  </r>
  <r>
    <x v="0"/>
    <x v="0"/>
    <x v="0"/>
    <x v="0"/>
    <x v="1"/>
    <s v="DK2_NoDH"/>
    <x v="2"/>
    <x v="1"/>
    <s v="GNR_ENG_NGAS_BP_E-37"/>
    <x v="0"/>
    <x v="18"/>
    <n v="2.82"/>
    <n v="1029.3"/>
    <n v="3705.48"/>
  </r>
  <r>
    <x v="0"/>
    <x v="0"/>
    <x v="0"/>
    <x v="0"/>
    <x v="1"/>
    <s v="DK2_NoDH"/>
    <x v="2"/>
    <x v="1"/>
    <s v="GNR_ENG_NGAS_BP_E-37"/>
    <x v="0"/>
    <x v="19"/>
    <n v="2.82"/>
    <n v="1029.3"/>
    <n v="3705.48"/>
  </r>
  <r>
    <x v="0"/>
    <x v="0"/>
    <x v="0"/>
    <x v="0"/>
    <x v="1"/>
    <s v="DK2_NoDH"/>
    <x v="2"/>
    <x v="1"/>
    <s v="GNR_ENG_NGAS_BP_E-37"/>
    <x v="0"/>
    <x v="20"/>
    <n v="2.82"/>
    <n v="1029.3"/>
    <n v="3705.48"/>
  </r>
  <r>
    <x v="0"/>
    <x v="0"/>
    <x v="0"/>
    <x v="0"/>
    <x v="1"/>
    <s v="DK2_NoDH"/>
    <x v="2"/>
    <x v="1"/>
    <s v="GNR_ENG_NGAS_BP_E-37"/>
    <x v="0"/>
    <x v="21"/>
    <n v="2.82"/>
    <n v="1029.3"/>
    <n v="3705.48"/>
  </r>
  <r>
    <x v="0"/>
    <x v="0"/>
    <x v="0"/>
    <x v="0"/>
    <x v="1"/>
    <s v="DK2_NoDH"/>
    <x v="2"/>
    <x v="1"/>
    <s v="GNR_ENG_NGAS_BP_E-37"/>
    <x v="0"/>
    <x v="22"/>
    <n v="2.82"/>
    <n v="1029.3"/>
    <n v="3705.48"/>
  </r>
  <r>
    <x v="0"/>
    <x v="0"/>
    <x v="0"/>
    <x v="0"/>
    <x v="1"/>
    <s v="DK2_NoDH"/>
    <x v="2"/>
    <x v="1"/>
    <s v="GNR_ENG_NGAS_BP_E-38"/>
    <x v="0"/>
    <x v="3"/>
    <n v="3.76"/>
    <n v="1372.4"/>
    <n v="4940.6400000000003"/>
  </r>
  <r>
    <x v="0"/>
    <x v="0"/>
    <x v="0"/>
    <x v="0"/>
    <x v="1"/>
    <s v="DK2_NoDH"/>
    <x v="2"/>
    <x v="1"/>
    <s v="GNR_ENG_NGAS_BP_E-38"/>
    <x v="0"/>
    <x v="4"/>
    <n v="3.76"/>
    <n v="1372.4"/>
    <n v="4940.6400000000003"/>
  </r>
  <r>
    <x v="0"/>
    <x v="0"/>
    <x v="0"/>
    <x v="0"/>
    <x v="1"/>
    <s v="DK2_NoDH"/>
    <x v="2"/>
    <x v="1"/>
    <s v="GNR_ENG_NGAS_BP_E-38"/>
    <x v="0"/>
    <x v="5"/>
    <n v="3.76"/>
    <n v="1372.4"/>
    <n v="4940.6400000000003"/>
  </r>
  <r>
    <x v="0"/>
    <x v="0"/>
    <x v="0"/>
    <x v="0"/>
    <x v="1"/>
    <s v="DK2_NoDH"/>
    <x v="2"/>
    <x v="1"/>
    <s v="GNR_ENG_NGAS_BP_E-38"/>
    <x v="0"/>
    <x v="6"/>
    <n v="3.76"/>
    <n v="1372.4"/>
    <n v="4940.6400000000003"/>
  </r>
  <r>
    <x v="0"/>
    <x v="0"/>
    <x v="0"/>
    <x v="0"/>
    <x v="1"/>
    <s v="DK2_NoDH"/>
    <x v="2"/>
    <x v="1"/>
    <s v="GNR_ENG_NGAS_BP_E-38"/>
    <x v="0"/>
    <x v="7"/>
    <n v="3.76"/>
    <n v="1372.4"/>
    <n v="4940.6400000000003"/>
  </r>
  <r>
    <x v="0"/>
    <x v="0"/>
    <x v="0"/>
    <x v="0"/>
    <x v="1"/>
    <s v="DK2_NoDH"/>
    <x v="2"/>
    <x v="1"/>
    <s v="GNR_ENG_NGAS_BP_E-38"/>
    <x v="0"/>
    <x v="8"/>
    <n v="3.76"/>
    <n v="1372.4"/>
    <n v="4940.6400000000003"/>
  </r>
  <r>
    <x v="0"/>
    <x v="0"/>
    <x v="0"/>
    <x v="0"/>
    <x v="1"/>
    <s v="DK2_NoDH"/>
    <x v="2"/>
    <x v="1"/>
    <s v="GNR_ENG_NGAS_BP_E-38"/>
    <x v="0"/>
    <x v="0"/>
    <n v="3.76"/>
    <n v="1372.4"/>
    <n v="4940.6400000000003"/>
  </r>
  <r>
    <x v="0"/>
    <x v="0"/>
    <x v="0"/>
    <x v="0"/>
    <x v="1"/>
    <s v="DK2_NoDH"/>
    <x v="2"/>
    <x v="1"/>
    <s v="GNR_ENG_NGAS_BP_E-38"/>
    <x v="0"/>
    <x v="1"/>
    <n v="3.76"/>
    <n v="1372.4"/>
    <n v="4940.6400000000003"/>
  </r>
  <r>
    <x v="0"/>
    <x v="0"/>
    <x v="0"/>
    <x v="0"/>
    <x v="1"/>
    <s v="DK2_NoDH"/>
    <x v="2"/>
    <x v="1"/>
    <s v="GNR_ENG_NGAS_BP_E-38"/>
    <x v="0"/>
    <x v="2"/>
    <n v="3.76"/>
    <n v="1372.4"/>
    <n v="4940.6400000000003"/>
  </r>
  <r>
    <x v="0"/>
    <x v="0"/>
    <x v="0"/>
    <x v="0"/>
    <x v="1"/>
    <s v="DK2_NoDH"/>
    <x v="2"/>
    <x v="1"/>
    <s v="GNR_ENG_NGAS_BP_E-38"/>
    <x v="0"/>
    <x v="9"/>
    <n v="3.76"/>
    <n v="1372.4"/>
    <n v="4940.6400000000003"/>
  </r>
  <r>
    <x v="0"/>
    <x v="0"/>
    <x v="0"/>
    <x v="0"/>
    <x v="1"/>
    <s v="DK2_NoDH"/>
    <x v="2"/>
    <x v="1"/>
    <s v="GNR_ENG_NGAS_BP_E-38"/>
    <x v="0"/>
    <x v="10"/>
    <n v="3.76"/>
    <n v="1372.4"/>
    <n v="4940.6400000000003"/>
  </r>
  <r>
    <x v="0"/>
    <x v="0"/>
    <x v="0"/>
    <x v="0"/>
    <x v="1"/>
    <s v="DK2_NoDH"/>
    <x v="2"/>
    <x v="1"/>
    <s v="GNR_ENG_NGAS_BP_E-38"/>
    <x v="0"/>
    <x v="11"/>
    <n v="3.76"/>
    <n v="1372.4"/>
    <n v="4940.6400000000003"/>
  </r>
  <r>
    <x v="0"/>
    <x v="0"/>
    <x v="0"/>
    <x v="0"/>
    <x v="1"/>
    <s v="DK2_NoDH"/>
    <x v="2"/>
    <x v="1"/>
    <s v="GNR_ENG_NGAS_BP_E-38"/>
    <x v="0"/>
    <x v="12"/>
    <n v="3.76"/>
    <n v="1372.4"/>
    <n v="4940.6400000000003"/>
  </r>
  <r>
    <x v="0"/>
    <x v="0"/>
    <x v="0"/>
    <x v="0"/>
    <x v="1"/>
    <s v="DK2_NoDH"/>
    <x v="2"/>
    <x v="1"/>
    <s v="GNR_ENG_NGAS_BP_E-38"/>
    <x v="0"/>
    <x v="13"/>
    <n v="3.76"/>
    <n v="1372.4"/>
    <n v="4940.6400000000003"/>
  </r>
  <r>
    <x v="0"/>
    <x v="0"/>
    <x v="0"/>
    <x v="0"/>
    <x v="1"/>
    <s v="DK2_NoDH"/>
    <x v="2"/>
    <x v="1"/>
    <s v="GNR_ENG_NGAS_BP_E-38"/>
    <x v="0"/>
    <x v="14"/>
    <n v="3.76"/>
    <n v="1372.4"/>
    <n v="4940.6400000000003"/>
  </r>
  <r>
    <x v="0"/>
    <x v="0"/>
    <x v="0"/>
    <x v="0"/>
    <x v="1"/>
    <s v="DK2_NoDH"/>
    <x v="2"/>
    <x v="1"/>
    <s v="GNR_ENG_NGAS_BP_E-38"/>
    <x v="0"/>
    <x v="15"/>
    <n v="3.76"/>
    <n v="1372.4"/>
    <n v="4940.6400000000003"/>
  </r>
  <r>
    <x v="0"/>
    <x v="0"/>
    <x v="0"/>
    <x v="0"/>
    <x v="1"/>
    <s v="DK2_NoDH"/>
    <x v="2"/>
    <x v="1"/>
    <s v="GNR_ENG_NGAS_BP_E-38"/>
    <x v="0"/>
    <x v="16"/>
    <n v="3.76"/>
    <n v="1372.4"/>
    <n v="4940.6400000000003"/>
  </r>
  <r>
    <x v="0"/>
    <x v="0"/>
    <x v="0"/>
    <x v="0"/>
    <x v="1"/>
    <s v="DK2_NoDH"/>
    <x v="2"/>
    <x v="1"/>
    <s v="GNR_ENG_NGAS_BP_E-38"/>
    <x v="0"/>
    <x v="17"/>
    <n v="3.76"/>
    <n v="1372.4"/>
    <n v="4940.6400000000003"/>
  </r>
  <r>
    <x v="0"/>
    <x v="0"/>
    <x v="0"/>
    <x v="0"/>
    <x v="1"/>
    <s v="DK2_NoDH"/>
    <x v="2"/>
    <x v="1"/>
    <s v="GNR_ENG_NGAS_BP_E-38"/>
    <x v="0"/>
    <x v="18"/>
    <n v="3.76"/>
    <n v="1372.4"/>
    <n v="4940.6400000000003"/>
  </r>
  <r>
    <x v="0"/>
    <x v="0"/>
    <x v="0"/>
    <x v="0"/>
    <x v="1"/>
    <s v="DK2_NoDH"/>
    <x v="2"/>
    <x v="1"/>
    <s v="GNR_ENG_NGAS_BP_E-38"/>
    <x v="0"/>
    <x v="19"/>
    <n v="3.76"/>
    <n v="1372.4"/>
    <n v="4940.6400000000003"/>
  </r>
  <r>
    <x v="0"/>
    <x v="0"/>
    <x v="0"/>
    <x v="0"/>
    <x v="1"/>
    <s v="DK2_NoDH"/>
    <x v="2"/>
    <x v="1"/>
    <s v="GNR_ENG_NGAS_BP_E-38"/>
    <x v="0"/>
    <x v="20"/>
    <n v="3.76"/>
    <n v="1372.4"/>
    <n v="4940.6400000000003"/>
  </r>
  <r>
    <x v="0"/>
    <x v="0"/>
    <x v="0"/>
    <x v="0"/>
    <x v="1"/>
    <s v="DK2_NoDH"/>
    <x v="2"/>
    <x v="1"/>
    <s v="GNR_ENG_NGAS_BP_E-38"/>
    <x v="0"/>
    <x v="21"/>
    <n v="3.76"/>
    <n v="1372.4"/>
    <n v="4940.6400000000003"/>
  </r>
  <r>
    <x v="0"/>
    <x v="0"/>
    <x v="0"/>
    <x v="0"/>
    <x v="1"/>
    <s v="DK2_NoDH"/>
    <x v="2"/>
    <x v="1"/>
    <s v="GNR_ENG_NGAS_BP_E-38"/>
    <x v="0"/>
    <x v="22"/>
    <n v="3.76"/>
    <n v="1372.4"/>
    <n v="4940.6400000000003"/>
  </r>
  <r>
    <x v="0"/>
    <x v="0"/>
    <x v="0"/>
    <x v="0"/>
    <x v="1"/>
    <s v="DK2_NoDH"/>
    <x v="2"/>
    <x v="1"/>
    <s v="GNR_ENG_NGAS_BP_E-38"/>
    <x v="0"/>
    <x v="23"/>
    <n v="3.76"/>
    <n v="1372.4"/>
    <n v="4940.6400000000003"/>
  </r>
  <r>
    <x v="0"/>
    <x v="0"/>
    <x v="0"/>
    <x v="0"/>
    <x v="1"/>
    <s v="DK2_NoDH"/>
    <x v="2"/>
    <x v="1"/>
    <s v="GNR_ENG_NGAS_BP_E-39"/>
    <x v="0"/>
    <x v="3"/>
    <n v="8.15"/>
    <n v="2974.75"/>
    <n v="10709.1"/>
  </r>
  <r>
    <x v="0"/>
    <x v="0"/>
    <x v="0"/>
    <x v="0"/>
    <x v="1"/>
    <s v="DK2_NoDH"/>
    <x v="2"/>
    <x v="1"/>
    <s v="GNR_ENG_NGAS_BP_E-39"/>
    <x v="0"/>
    <x v="4"/>
    <n v="8.15"/>
    <n v="2974.75"/>
    <n v="10709.1"/>
  </r>
  <r>
    <x v="0"/>
    <x v="0"/>
    <x v="0"/>
    <x v="0"/>
    <x v="1"/>
    <s v="DK2_NoDH"/>
    <x v="2"/>
    <x v="1"/>
    <s v="GNR_ENG_NGAS_BP_E-39"/>
    <x v="0"/>
    <x v="5"/>
    <n v="8.15"/>
    <n v="2974.75"/>
    <n v="10709.1"/>
  </r>
  <r>
    <x v="0"/>
    <x v="0"/>
    <x v="0"/>
    <x v="0"/>
    <x v="1"/>
    <s v="DK2_NoDH"/>
    <x v="2"/>
    <x v="1"/>
    <s v="GNR_ENG_NGAS_BP_E-39"/>
    <x v="0"/>
    <x v="6"/>
    <n v="8.15"/>
    <n v="2974.75"/>
    <n v="10709.1"/>
  </r>
  <r>
    <x v="0"/>
    <x v="0"/>
    <x v="0"/>
    <x v="0"/>
    <x v="1"/>
    <s v="DK2_NoDH"/>
    <x v="2"/>
    <x v="1"/>
    <s v="GNR_ENG_NGAS_BP_E-39"/>
    <x v="0"/>
    <x v="7"/>
    <n v="8.15"/>
    <n v="2974.75"/>
    <n v="10709.1"/>
  </r>
  <r>
    <x v="0"/>
    <x v="0"/>
    <x v="0"/>
    <x v="0"/>
    <x v="1"/>
    <s v="DK2_NoDH"/>
    <x v="2"/>
    <x v="1"/>
    <s v="GNR_ENG_NGAS_BP_E-39"/>
    <x v="0"/>
    <x v="8"/>
    <n v="8.15"/>
    <n v="2974.75"/>
    <n v="10709.1"/>
  </r>
  <r>
    <x v="0"/>
    <x v="0"/>
    <x v="0"/>
    <x v="0"/>
    <x v="1"/>
    <s v="DK2_NoDH"/>
    <x v="2"/>
    <x v="1"/>
    <s v="GNR_ENG_NGAS_BP_E-39"/>
    <x v="0"/>
    <x v="0"/>
    <n v="8.15"/>
    <n v="2974.75"/>
    <n v="10709.1"/>
  </r>
  <r>
    <x v="0"/>
    <x v="0"/>
    <x v="0"/>
    <x v="0"/>
    <x v="1"/>
    <s v="DK2_NoDH"/>
    <x v="2"/>
    <x v="1"/>
    <s v="GNR_ENG_NGAS_BP_E-39"/>
    <x v="0"/>
    <x v="1"/>
    <n v="8.15"/>
    <n v="2974.75"/>
    <n v="10709.1"/>
  </r>
  <r>
    <x v="0"/>
    <x v="0"/>
    <x v="0"/>
    <x v="0"/>
    <x v="1"/>
    <s v="DK2_NoDH"/>
    <x v="2"/>
    <x v="1"/>
    <s v="GNR_ENG_NGAS_BP_E-39"/>
    <x v="0"/>
    <x v="2"/>
    <n v="8.15"/>
    <n v="2974.75"/>
    <n v="10709.1"/>
  </r>
  <r>
    <x v="0"/>
    <x v="0"/>
    <x v="0"/>
    <x v="0"/>
    <x v="1"/>
    <s v="DK2_NoDH"/>
    <x v="2"/>
    <x v="1"/>
    <s v="GNR_ENG_NGAS_BP_E-39"/>
    <x v="0"/>
    <x v="9"/>
    <n v="8.15"/>
    <n v="2974.75"/>
    <n v="10709.1"/>
  </r>
  <r>
    <x v="0"/>
    <x v="0"/>
    <x v="0"/>
    <x v="0"/>
    <x v="1"/>
    <s v="DK2_NoDH"/>
    <x v="2"/>
    <x v="1"/>
    <s v="GNR_ENG_NGAS_BP_E-39"/>
    <x v="0"/>
    <x v="10"/>
    <n v="8.15"/>
    <n v="2974.75"/>
    <n v="10709.1"/>
  </r>
  <r>
    <x v="0"/>
    <x v="0"/>
    <x v="0"/>
    <x v="0"/>
    <x v="1"/>
    <s v="DK2_NoDH"/>
    <x v="2"/>
    <x v="1"/>
    <s v="GNR_ENG_NGAS_BP_E-39"/>
    <x v="0"/>
    <x v="11"/>
    <n v="8.15"/>
    <n v="2974.75"/>
    <n v="10709.1"/>
  </r>
  <r>
    <x v="0"/>
    <x v="0"/>
    <x v="0"/>
    <x v="0"/>
    <x v="1"/>
    <s v="DK2_NoDH"/>
    <x v="2"/>
    <x v="1"/>
    <s v="GNR_ENG_NGAS_BP_E-39"/>
    <x v="0"/>
    <x v="12"/>
    <n v="8.15"/>
    <n v="2974.75"/>
    <n v="10709.1"/>
  </r>
  <r>
    <x v="0"/>
    <x v="0"/>
    <x v="0"/>
    <x v="0"/>
    <x v="1"/>
    <s v="DK2_NoDH"/>
    <x v="2"/>
    <x v="1"/>
    <s v="GNR_ENG_NGAS_BP_E-39"/>
    <x v="0"/>
    <x v="13"/>
    <n v="8.15"/>
    <n v="2974.75"/>
    <n v="10709.1"/>
  </r>
  <r>
    <x v="0"/>
    <x v="0"/>
    <x v="0"/>
    <x v="0"/>
    <x v="1"/>
    <s v="DK2_NoDH"/>
    <x v="2"/>
    <x v="1"/>
    <s v="GNR_ENG_NGAS_BP_E-39"/>
    <x v="0"/>
    <x v="14"/>
    <n v="8.15"/>
    <n v="2974.75"/>
    <n v="10709.1"/>
  </r>
  <r>
    <x v="0"/>
    <x v="0"/>
    <x v="0"/>
    <x v="0"/>
    <x v="1"/>
    <s v="DK2_NoDH"/>
    <x v="2"/>
    <x v="1"/>
    <s v="GNR_ENG_NGAS_BP_E-39"/>
    <x v="0"/>
    <x v="15"/>
    <n v="8.15"/>
    <n v="2974.75"/>
    <n v="10709.1"/>
  </r>
  <r>
    <x v="0"/>
    <x v="0"/>
    <x v="0"/>
    <x v="0"/>
    <x v="1"/>
    <s v="DK2_NoDH"/>
    <x v="2"/>
    <x v="1"/>
    <s v="GNR_ENG_NGAS_BP_E-39"/>
    <x v="0"/>
    <x v="16"/>
    <n v="8.15"/>
    <n v="2974.75"/>
    <n v="10709.1"/>
  </r>
  <r>
    <x v="0"/>
    <x v="0"/>
    <x v="0"/>
    <x v="0"/>
    <x v="1"/>
    <s v="DK2_NoDH"/>
    <x v="2"/>
    <x v="1"/>
    <s v="GNR_ENG_NGAS_BP_E-39"/>
    <x v="0"/>
    <x v="17"/>
    <n v="8.15"/>
    <n v="2974.75"/>
    <n v="10709.1"/>
  </r>
  <r>
    <x v="0"/>
    <x v="0"/>
    <x v="0"/>
    <x v="0"/>
    <x v="1"/>
    <s v="DK2_NoDH"/>
    <x v="2"/>
    <x v="1"/>
    <s v="GNR_ENG_NGAS_BP_E-39"/>
    <x v="0"/>
    <x v="18"/>
    <n v="8.15"/>
    <n v="2974.75"/>
    <n v="10709.1"/>
  </r>
  <r>
    <x v="0"/>
    <x v="0"/>
    <x v="0"/>
    <x v="0"/>
    <x v="1"/>
    <s v="DK2_NoDH"/>
    <x v="2"/>
    <x v="1"/>
    <s v="GNR_ENG_NGAS_BP_E-39"/>
    <x v="0"/>
    <x v="19"/>
    <n v="8.15"/>
    <n v="2974.75"/>
    <n v="10709.1"/>
  </r>
  <r>
    <x v="0"/>
    <x v="0"/>
    <x v="0"/>
    <x v="0"/>
    <x v="1"/>
    <s v="DK2_NoDH"/>
    <x v="2"/>
    <x v="1"/>
    <s v="GNR_ENG_NGAS_BP_E-39"/>
    <x v="0"/>
    <x v="20"/>
    <n v="8.15"/>
    <n v="2974.75"/>
    <n v="10709.1"/>
  </r>
  <r>
    <x v="0"/>
    <x v="0"/>
    <x v="0"/>
    <x v="0"/>
    <x v="1"/>
    <s v="DK2_NoDH"/>
    <x v="2"/>
    <x v="1"/>
    <s v="GNR_ENG_NGAS_BP_E-39"/>
    <x v="0"/>
    <x v="21"/>
    <n v="8.15"/>
    <n v="2974.75"/>
    <n v="10709.1"/>
  </r>
  <r>
    <x v="0"/>
    <x v="0"/>
    <x v="0"/>
    <x v="0"/>
    <x v="1"/>
    <s v="DK2_NoDH"/>
    <x v="2"/>
    <x v="1"/>
    <s v="GNR_ENG_NGAS_BP_E-39"/>
    <x v="0"/>
    <x v="22"/>
    <n v="8.15"/>
    <n v="2974.75"/>
    <n v="10709.1"/>
  </r>
  <r>
    <x v="0"/>
    <x v="0"/>
    <x v="0"/>
    <x v="0"/>
    <x v="1"/>
    <s v="DK2_NoDH"/>
    <x v="2"/>
    <x v="1"/>
    <s v="GNR_ENG_NGAS_BP_E-39"/>
    <x v="0"/>
    <x v="23"/>
    <n v="8.15"/>
    <n v="2974.75"/>
    <n v="10709.1"/>
  </r>
  <r>
    <x v="0"/>
    <x v="0"/>
    <x v="0"/>
    <x v="0"/>
    <x v="1"/>
    <s v="DK2_NoDH"/>
    <x v="2"/>
    <x v="1"/>
    <s v="GNR_ENG_NGAS_BP_E-40"/>
    <x v="0"/>
    <x v="3"/>
    <n v="8.0299999999999994"/>
    <n v="2930.95"/>
    <n v="10551.42"/>
  </r>
  <r>
    <x v="0"/>
    <x v="0"/>
    <x v="0"/>
    <x v="0"/>
    <x v="1"/>
    <s v="DK2_NoDH"/>
    <x v="2"/>
    <x v="1"/>
    <s v="GNR_ENG_NGAS_BP_E-40"/>
    <x v="0"/>
    <x v="4"/>
    <n v="8.0299999999999994"/>
    <n v="2930.95"/>
    <n v="10551.42"/>
  </r>
  <r>
    <x v="0"/>
    <x v="0"/>
    <x v="0"/>
    <x v="0"/>
    <x v="1"/>
    <s v="DK2_NoDH"/>
    <x v="2"/>
    <x v="1"/>
    <s v="GNR_ENG_NGAS_BP_E-40"/>
    <x v="0"/>
    <x v="5"/>
    <n v="8.0299999999999994"/>
    <n v="2930.95"/>
    <n v="10551.42"/>
  </r>
  <r>
    <x v="0"/>
    <x v="0"/>
    <x v="0"/>
    <x v="0"/>
    <x v="1"/>
    <s v="DK2_NoDH"/>
    <x v="2"/>
    <x v="1"/>
    <s v="GNR_ENG_NGAS_BP_E-40"/>
    <x v="0"/>
    <x v="6"/>
    <n v="8.0299999999999994"/>
    <n v="2930.95"/>
    <n v="10551.42"/>
  </r>
  <r>
    <x v="0"/>
    <x v="0"/>
    <x v="0"/>
    <x v="0"/>
    <x v="1"/>
    <s v="DK2_NoDH"/>
    <x v="2"/>
    <x v="1"/>
    <s v="GNR_ENG_NGAS_BP_E-40"/>
    <x v="0"/>
    <x v="7"/>
    <n v="8.0299999999999994"/>
    <n v="2930.95"/>
    <n v="10551.42"/>
  </r>
  <r>
    <x v="0"/>
    <x v="0"/>
    <x v="0"/>
    <x v="0"/>
    <x v="1"/>
    <s v="DK2_NoDH"/>
    <x v="2"/>
    <x v="1"/>
    <s v="GNR_ENG_NGAS_BP_E-40"/>
    <x v="0"/>
    <x v="8"/>
    <n v="8.0299999999999994"/>
    <n v="2930.95"/>
    <n v="10551.42"/>
  </r>
  <r>
    <x v="0"/>
    <x v="0"/>
    <x v="0"/>
    <x v="0"/>
    <x v="1"/>
    <s v="DK2_NoDH"/>
    <x v="2"/>
    <x v="1"/>
    <s v="GNR_ENG_NGAS_BP_E-40"/>
    <x v="0"/>
    <x v="0"/>
    <n v="8.0299999999999994"/>
    <n v="2930.95"/>
    <n v="10551.42"/>
  </r>
  <r>
    <x v="0"/>
    <x v="0"/>
    <x v="0"/>
    <x v="0"/>
    <x v="1"/>
    <s v="DK2_NoDH"/>
    <x v="2"/>
    <x v="1"/>
    <s v="GNR_ENG_NGAS_BP_E-40"/>
    <x v="0"/>
    <x v="1"/>
    <n v="8.0299999999999994"/>
    <n v="2930.95"/>
    <n v="10551.42"/>
  </r>
  <r>
    <x v="0"/>
    <x v="0"/>
    <x v="0"/>
    <x v="0"/>
    <x v="1"/>
    <s v="DK2_NoDH"/>
    <x v="2"/>
    <x v="1"/>
    <s v="GNR_ENG_NGAS_BP_E-40"/>
    <x v="0"/>
    <x v="2"/>
    <n v="8.0299999999999994"/>
    <n v="2930.95"/>
    <n v="10551.42"/>
  </r>
  <r>
    <x v="0"/>
    <x v="0"/>
    <x v="0"/>
    <x v="0"/>
    <x v="1"/>
    <s v="DK2_NoDH"/>
    <x v="2"/>
    <x v="1"/>
    <s v="GNR_ENG_NGAS_BP_E-40"/>
    <x v="0"/>
    <x v="9"/>
    <n v="8.0299999999999994"/>
    <n v="2930.95"/>
    <n v="10551.42"/>
  </r>
  <r>
    <x v="0"/>
    <x v="0"/>
    <x v="0"/>
    <x v="0"/>
    <x v="1"/>
    <s v="DK2_NoDH"/>
    <x v="2"/>
    <x v="1"/>
    <s v="GNR_ENG_NGAS_BP_E-40"/>
    <x v="0"/>
    <x v="10"/>
    <n v="8.0299999999999994"/>
    <n v="2930.95"/>
    <n v="10551.42"/>
  </r>
  <r>
    <x v="0"/>
    <x v="0"/>
    <x v="0"/>
    <x v="0"/>
    <x v="1"/>
    <s v="DK2_NoDH"/>
    <x v="2"/>
    <x v="1"/>
    <s v="GNR_ENG_NGAS_BP_E-40"/>
    <x v="0"/>
    <x v="11"/>
    <n v="8.0299999999999994"/>
    <n v="2930.95"/>
    <n v="10551.42"/>
  </r>
  <r>
    <x v="0"/>
    <x v="0"/>
    <x v="0"/>
    <x v="0"/>
    <x v="1"/>
    <s v="DK2_NoDH"/>
    <x v="2"/>
    <x v="1"/>
    <s v="GNR_ENG_NGAS_BP_E-40"/>
    <x v="0"/>
    <x v="12"/>
    <n v="8.0299999999999994"/>
    <n v="2930.95"/>
    <n v="10551.42"/>
  </r>
  <r>
    <x v="0"/>
    <x v="0"/>
    <x v="0"/>
    <x v="0"/>
    <x v="1"/>
    <s v="DK2_NoDH"/>
    <x v="2"/>
    <x v="1"/>
    <s v="GNR_ENG_NGAS_BP_E-40"/>
    <x v="0"/>
    <x v="13"/>
    <n v="8.0299999999999994"/>
    <n v="2930.95"/>
    <n v="10551.42"/>
  </r>
  <r>
    <x v="0"/>
    <x v="0"/>
    <x v="0"/>
    <x v="0"/>
    <x v="1"/>
    <s v="DK2_NoDH"/>
    <x v="2"/>
    <x v="1"/>
    <s v="GNR_ENG_NGAS_BP_E-40"/>
    <x v="0"/>
    <x v="14"/>
    <n v="8.0299999999999994"/>
    <n v="2930.95"/>
    <n v="10551.42"/>
  </r>
  <r>
    <x v="0"/>
    <x v="0"/>
    <x v="0"/>
    <x v="0"/>
    <x v="1"/>
    <s v="DK2_NoDH"/>
    <x v="2"/>
    <x v="1"/>
    <s v="GNR_ENG_NGAS_BP_E-40"/>
    <x v="0"/>
    <x v="15"/>
    <n v="8.0299999999999994"/>
    <n v="2930.95"/>
    <n v="10551.42"/>
  </r>
  <r>
    <x v="0"/>
    <x v="0"/>
    <x v="0"/>
    <x v="0"/>
    <x v="1"/>
    <s v="DK2_NoDH"/>
    <x v="2"/>
    <x v="1"/>
    <s v="GNR_ENG_NGAS_BP_E-40"/>
    <x v="0"/>
    <x v="16"/>
    <n v="8.0299999999999994"/>
    <n v="2930.95"/>
    <n v="10551.42"/>
  </r>
  <r>
    <x v="0"/>
    <x v="0"/>
    <x v="0"/>
    <x v="0"/>
    <x v="1"/>
    <s v="DK2_NoDH"/>
    <x v="2"/>
    <x v="1"/>
    <s v="GNR_ENG_NGAS_BP_E-40"/>
    <x v="0"/>
    <x v="17"/>
    <n v="8.0299999999999994"/>
    <n v="2930.95"/>
    <n v="10551.42"/>
  </r>
  <r>
    <x v="0"/>
    <x v="0"/>
    <x v="0"/>
    <x v="0"/>
    <x v="1"/>
    <s v="DK2_NoDH"/>
    <x v="2"/>
    <x v="1"/>
    <s v="GNR_ENG_NGAS_BP_E-40"/>
    <x v="0"/>
    <x v="18"/>
    <n v="8.0299999999999994"/>
    <n v="2930.95"/>
    <n v="10551.42"/>
  </r>
  <r>
    <x v="0"/>
    <x v="0"/>
    <x v="0"/>
    <x v="0"/>
    <x v="1"/>
    <s v="DK2_NoDH"/>
    <x v="2"/>
    <x v="1"/>
    <s v="GNR_ENG_NGAS_BP_E-40"/>
    <x v="0"/>
    <x v="19"/>
    <n v="8.0299999999999994"/>
    <n v="2930.95"/>
    <n v="10551.42"/>
  </r>
  <r>
    <x v="0"/>
    <x v="0"/>
    <x v="0"/>
    <x v="0"/>
    <x v="1"/>
    <s v="DK2_NoDH"/>
    <x v="2"/>
    <x v="1"/>
    <s v="GNR_ENG_NGAS_BP_E-40"/>
    <x v="0"/>
    <x v="20"/>
    <n v="8.0299999999999994"/>
    <n v="2930.95"/>
    <n v="10551.42"/>
  </r>
  <r>
    <x v="0"/>
    <x v="0"/>
    <x v="0"/>
    <x v="0"/>
    <x v="1"/>
    <s v="DK2_NoDH"/>
    <x v="2"/>
    <x v="1"/>
    <s v="GNR_ENG_NGAS_BP_E-40"/>
    <x v="0"/>
    <x v="21"/>
    <n v="8.0299999999999994"/>
    <n v="2930.95"/>
    <n v="10551.42"/>
  </r>
  <r>
    <x v="0"/>
    <x v="0"/>
    <x v="0"/>
    <x v="0"/>
    <x v="1"/>
    <s v="DK2_NoDH"/>
    <x v="2"/>
    <x v="1"/>
    <s v="GNR_ENG_NGAS_BP_E-40"/>
    <x v="0"/>
    <x v="22"/>
    <n v="8.0299999999999994"/>
    <n v="2930.95"/>
    <n v="10551.42"/>
  </r>
  <r>
    <x v="0"/>
    <x v="0"/>
    <x v="0"/>
    <x v="0"/>
    <x v="1"/>
    <s v="DK2_NoDH"/>
    <x v="2"/>
    <x v="1"/>
    <s v="GNR_ENG_NGAS_BP_E-40"/>
    <x v="0"/>
    <x v="23"/>
    <n v="8.0299999999999994"/>
    <n v="2930.95"/>
    <n v="10551.42"/>
  </r>
  <r>
    <x v="0"/>
    <x v="0"/>
    <x v="0"/>
    <x v="0"/>
    <x v="1"/>
    <s v="DK2_NoDH"/>
    <x v="2"/>
    <x v="1"/>
    <s v="GNR_ENG_NGAS_BP_E-41"/>
    <x v="0"/>
    <x v="3"/>
    <n v="16.46"/>
    <n v="6007.9"/>
    <n v="21628.44"/>
  </r>
  <r>
    <x v="0"/>
    <x v="0"/>
    <x v="0"/>
    <x v="0"/>
    <x v="1"/>
    <s v="DK2_NoDH"/>
    <x v="2"/>
    <x v="1"/>
    <s v="GNR_ENG_NGAS_BP_E-41"/>
    <x v="0"/>
    <x v="4"/>
    <n v="16.46"/>
    <n v="6007.9"/>
    <n v="21628.44"/>
  </r>
  <r>
    <x v="0"/>
    <x v="0"/>
    <x v="0"/>
    <x v="0"/>
    <x v="1"/>
    <s v="DK2_NoDH"/>
    <x v="2"/>
    <x v="1"/>
    <s v="GNR_ENG_NGAS_BP_E-41"/>
    <x v="0"/>
    <x v="5"/>
    <n v="16.46"/>
    <n v="6007.9"/>
    <n v="21628.44"/>
  </r>
  <r>
    <x v="0"/>
    <x v="0"/>
    <x v="0"/>
    <x v="0"/>
    <x v="1"/>
    <s v="DK2_NoDH"/>
    <x v="2"/>
    <x v="1"/>
    <s v="GNR_ENG_NGAS_BP_E-41"/>
    <x v="0"/>
    <x v="6"/>
    <n v="16.46"/>
    <n v="6007.9"/>
    <n v="21628.44"/>
  </r>
  <r>
    <x v="0"/>
    <x v="0"/>
    <x v="0"/>
    <x v="0"/>
    <x v="1"/>
    <s v="DK2_NoDH"/>
    <x v="2"/>
    <x v="1"/>
    <s v="GNR_ENG_NGAS_BP_E-41"/>
    <x v="0"/>
    <x v="7"/>
    <n v="16.46"/>
    <n v="6007.9"/>
    <n v="21628.44"/>
  </r>
  <r>
    <x v="0"/>
    <x v="0"/>
    <x v="0"/>
    <x v="0"/>
    <x v="1"/>
    <s v="DK2_NoDH"/>
    <x v="2"/>
    <x v="1"/>
    <s v="GNR_ENG_NGAS_BP_E-41"/>
    <x v="0"/>
    <x v="8"/>
    <n v="16.46"/>
    <n v="6007.9"/>
    <n v="21628.44"/>
  </r>
  <r>
    <x v="0"/>
    <x v="0"/>
    <x v="0"/>
    <x v="0"/>
    <x v="1"/>
    <s v="DK2_NoDH"/>
    <x v="2"/>
    <x v="1"/>
    <s v="GNR_ENG_NGAS_BP_E-41"/>
    <x v="0"/>
    <x v="0"/>
    <n v="16.46"/>
    <n v="6007.9"/>
    <n v="21628.44"/>
  </r>
  <r>
    <x v="0"/>
    <x v="0"/>
    <x v="0"/>
    <x v="0"/>
    <x v="1"/>
    <s v="DK2_NoDH"/>
    <x v="2"/>
    <x v="1"/>
    <s v="GNR_ENG_NGAS_BP_E-41"/>
    <x v="0"/>
    <x v="1"/>
    <n v="16.46"/>
    <n v="6007.9"/>
    <n v="21628.44"/>
  </r>
  <r>
    <x v="0"/>
    <x v="0"/>
    <x v="0"/>
    <x v="0"/>
    <x v="1"/>
    <s v="DK2_NoDH"/>
    <x v="2"/>
    <x v="1"/>
    <s v="GNR_ENG_NGAS_BP_E-41"/>
    <x v="0"/>
    <x v="2"/>
    <n v="16.46"/>
    <n v="6007.9"/>
    <n v="21628.44"/>
  </r>
  <r>
    <x v="0"/>
    <x v="0"/>
    <x v="0"/>
    <x v="0"/>
    <x v="1"/>
    <s v="DK2_NoDH"/>
    <x v="2"/>
    <x v="1"/>
    <s v="GNR_ENG_NGAS_BP_E-41"/>
    <x v="0"/>
    <x v="9"/>
    <n v="16.46"/>
    <n v="6007.9"/>
    <n v="21628.44"/>
  </r>
  <r>
    <x v="0"/>
    <x v="0"/>
    <x v="0"/>
    <x v="0"/>
    <x v="1"/>
    <s v="DK2_NoDH"/>
    <x v="2"/>
    <x v="1"/>
    <s v="GNR_ENG_NGAS_BP_E-41"/>
    <x v="0"/>
    <x v="10"/>
    <n v="16.46"/>
    <n v="6007.9"/>
    <n v="21628.44"/>
  </r>
  <r>
    <x v="0"/>
    <x v="0"/>
    <x v="0"/>
    <x v="0"/>
    <x v="1"/>
    <s v="DK2_NoDH"/>
    <x v="2"/>
    <x v="1"/>
    <s v="GNR_ENG_NGAS_BP_E-41"/>
    <x v="0"/>
    <x v="11"/>
    <n v="16.46"/>
    <n v="6007.9"/>
    <n v="21628.44"/>
  </r>
  <r>
    <x v="0"/>
    <x v="0"/>
    <x v="0"/>
    <x v="0"/>
    <x v="1"/>
    <s v="DK2_NoDH"/>
    <x v="2"/>
    <x v="1"/>
    <s v="GNR_ENG_NGAS_BP_E-41"/>
    <x v="0"/>
    <x v="12"/>
    <n v="16.46"/>
    <n v="6007.9"/>
    <n v="21628.44"/>
  </r>
  <r>
    <x v="0"/>
    <x v="0"/>
    <x v="0"/>
    <x v="0"/>
    <x v="1"/>
    <s v="DK2_NoDH"/>
    <x v="2"/>
    <x v="1"/>
    <s v="GNR_ENG_NGAS_BP_E-41"/>
    <x v="0"/>
    <x v="13"/>
    <n v="16.46"/>
    <n v="6007.9"/>
    <n v="21628.44"/>
  </r>
  <r>
    <x v="0"/>
    <x v="0"/>
    <x v="0"/>
    <x v="0"/>
    <x v="1"/>
    <s v="DK2_NoDH"/>
    <x v="2"/>
    <x v="1"/>
    <s v="GNR_ENG_NGAS_BP_E-41"/>
    <x v="0"/>
    <x v="14"/>
    <n v="16.46"/>
    <n v="6007.9"/>
    <n v="21628.44"/>
  </r>
  <r>
    <x v="0"/>
    <x v="0"/>
    <x v="0"/>
    <x v="0"/>
    <x v="1"/>
    <s v="DK2_NoDH"/>
    <x v="2"/>
    <x v="1"/>
    <s v="GNR_ENG_NGAS_BP_E-41"/>
    <x v="0"/>
    <x v="15"/>
    <n v="16.46"/>
    <n v="6007.9"/>
    <n v="21628.44"/>
  </r>
  <r>
    <x v="0"/>
    <x v="0"/>
    <x v="0"/>
    <x v="0"/>
    <x v="1"/>
    <s v="DK2_NoDH"/>
    <x v="2"/>
    <x v="1"/>
    <s v="GNR_ENG_NGAS_BP_E-41"/>
    <x v="0"/>
    <x v="16"/>
    <n v="16.46"/>
    <n v="6007.9"/>
    <n v="21628.44"/>
  </r>
  <r>
    <x v="0"/>
    <x v="0"/>
    <x v="0"/>
    <x v="0"/>
    <x v="1"/>
    <s v="DK2_NoDH"/>
    <x v="2"/>
    <x v="1"/>
    <s v="GNR_ENG_NGAS_BP_E-41"/>
    <x v="0"/>
    <x v="17"/>
    <n v="16.46"/>
    <n v="6007.9"/>
    <n v="21628.44"/>
  </r>
  <r>
    <x v="0"/>
    <x v="0"/>
    <x v="0"/>
    <x v="0"/>
    <x v="1"/>
    <s v="DK2_NoDH"/>
    <x v="2"/>
    <x v="1"/>
    <s v="GNR_ENG_NGAS_BP_E-41"/>
    <x v="0"/>
    <x v="18"/>
    <n v="16.46"/>
    <n v="6007.9"/>
    <n v="21628.44"/>
  </r>
  <r>
    <x v="0"/>
    <x v="0"/>
    <x v="0"/>
    <x v="0"/>
    <x v="1"/>
    <s v="DK2_NoDH"/>
    <x v="2"/>
    <x v="1"/>
    <s v="GNR_ENG_NGAS_BP_E-41"/>
    <x v="0"/>
    <x v="19"/>
    <n v="16.46"/>
    <n v="6007.9"/>
    <n v="21628.44"/>
  </r>
  <r>
    <x v="0"/>
    <x v="0"/>
    <x v="0"/>
    <x v="0"/>
    <x v="1"/>
    <s v="DK2_NoDH"/>
    <x v="2"/>
    <x v="1"/>
    <s v="GNR_ENG_NGAS_BP_E-41"/>
    <x v="0"/>
    <x v="20"/>
    <n v="16.46"/>
    <n v="6007.9"/>
    <n v="21628.44"/>
  </r>
  <r>
    <x v="0"/>
    <x v="0"/>
    <x v="0"/>
    <x v="0"/>
    <x v="1"/>
    <s v="DK2_NoDH"/>
    <x v="2"/>
    <x v="1"/>
    <s v="GNR_ENG_NGAS_BP_E-41"/>
    <x v="0"/>
    <x v="21"/>
    <n v="16.46"/>
    <n v="6007.9"/>
    <n v="21628.44"/>
  </r>
  <r>
    <x v="0"/>
    <x v="0"/>
    <x v="0"/>
    <x v="0"/>
    <x v="1"/>
    <s v="DK2_NoDH"/>
    <x v="2"/>
    <x v="1"/>
    <s v="GNR_ENG_NGAS_BP_E-41"/>
    <x v="0"/>
    <x v="22"/>
    <n v="16.46"/>
    <n v="6007.9"/>
    <n v="21628.44"/>
  </r>
  <r>
    <x v="0"/>
    <x v="0"/>
    <x v="0"/>
    <x v="0"/>
    <x v="1"/>
    <s v="DK2_NoDH"/>
    <x v="2"/>
    <x v="1"/>
    <s v="GNR_ENG_NGAS_BP_E-41"/>
    <x v="0"/>
    <x v="23"/>
    <n v="16.46"/>
    <n v="6007.9"/>
    <n v="21628.44"/>
  </r>
  <r>
    <x v="0"/>
    <x v="0"/>
    <x v="0"/>
    <x v="0"/>
    <x v="1"/>
    <s v="DK2_NoDH"/>
    <x v="2"/>
    <x v="1"/>
    <s v="GNR_ENG_NGAS_BP_E-46"/>
    <x v="0"/>
    <x v="3"/>
    <n v="9.44"/>
    <n v="3445.6"/>
    <n v="12404.16"/>
  </r>
  <r>
    <x v="0"/>
    <x v="0"/>
    <x v="0"/>
    <x v="0"/>
    <x v="1"/>
    <s v="DK2_NoDH"/>
    <x v="2"/>
    <x v="1"/>
    <s v="GNR_ENG_NGAS_BP_E-46"/>
    <x v="0"/>
    <x v="4"/>
    <n v="9.44"/>
    <n v="3445.6"/>
    <n v="12404.16"/>
  </r>
  <r>
    <x v="0"/>
    <x v="0"/>
    <x v="0"/>
    <x v="0"/>
    <x v="1"/>
    <s v="DK2_NoDH"/>
    <x v="2"/>
    <x v="1"/>
    <s v="GNR_ENG_NGAS_BP_E-46"/>
    <x v="0"/>
    <x v="5"/>
    <n v="9.44"/>
    <n v="3445.6"/>
    <n v="12404.16"/>
  </r>
  <r>
    <x v="0"/>
    <x v="0"/>
    <x v="0"/>
    <x v="0"/>
    <x v="1"/>
    <s v="DK2_NoDH"/>
    <x v="2"/>
    <x v="1"/>
    <s v="GNR_ENG_NGAS_BP_E-46"/>
    <x v="0"/>
    <x v="6"/>
    <n v="9.44"/>
    <n v="3445.6"/>
    <n v="12404.16"/>
  </r>
  <r>
    <x v="0"/>
    <x v="0"/>
    <x v="0"/>
    <x v="0"/>
    <x v="1"/>
    <s v="DK2_NoDH"/>
    <x v="2"/>
    <x v="1"/>
    <s v="GNR_ENG_NGAS_BP_E-46"/>
    <x v="0"/>
    <x v="7"/>
    <n v="9.44"/>
    <n v="3445.6"/>
    <n v="12404.16"/>
  </r>
  <r>
    <x v="0"/>
    <x v="0"/>
    <x v="0"/>
    <x v="0"/>
    <x v="1"/>
    <s v="DK2_NoDH"/>
    <x v="2"/>
    <x v="1"/>
    <s v="GNR_ENG_NGAS_BP_E-46"/>
    <x v="0"/>
    <x v="8"/>
    <n v="9.44"/>
    <n v="3445.6"/>
    <n v="12404.16"/>
  </r>
  <r>
    <x v="0"/>
    <x v="0"/>
    <x v="0"/>
    <x v="0"/>
    <x v="1"/>
    <s v="DK2_NoDH"/>
    <x v="2"/>
    <x v="1"/>
    <s v="GNR_ENG_NGAS_BP_E-46"/>
    <x v="0"/>
    <x v="0"/>
    <n v="9.44"/>
    <n v="3445.6"/>
    <n v="12404.16"/>
  </r>
  <r>
    <x v="0"/>
    <x v="0"/>
    <x v="0"/>
    <x v="0"/>
    <x v="1"/>
    <s v="DK2_NoDH"/>
    <x v="2"/>
    <x v="1"/>
    <s v="GNR_ENG_NGAS_BP_E-46"/>
    <x v="0"/>
    <x v="1"/>
    <n v="9.44"/>
    <n v="3445.6"/>
    <n v="12404.16"/>
  </r>
  <r>
    <x v="0"/>
    <x v="0"/>
    <x v="0"/>
    <x v="0"/>
    <x v="1"/>
    <s v="DK2_NoDH"/>
    <x v="2"/>
    <x v="1"/>
    <s v="GNR_ENG_NGAS_BP_E-46"/>
    <x v="0"/>
    <x v="2"/>
    <n v="9.44"/>
    <n v="3445.6"/>
    <n v="12404.16"/>
  </r>
  <r>
    <x v="0"/>
    <x v="0"/>
    <x v="0"/>
    <x v="0"/>
    <x v="1"/>
    <s v="DK2_NoDH"/>
    <x v="2"/>
    <x v="1"/>
    <s v="GNR_ENG_NGAS_BP_E-46"/>
    <x v="0"/>
    <x v="9"/>
    <n v="9.44"/>
    <n v="3445.6"/>
    <n v="12404.16"/>
  </r>
  <r>
    <x v="0"/>
    <x v="0"/>
    <x v="0"/>
    <x v="0"/>
    <x v="1"/>
    <s v="DK2_NoDH"/>
    <x v="2"/>
    <x v="1"/>
    <s v="GNR_ENG_NGAS_BP_E-46"/>
    <x v="0"/>
    <x v="10"/>
    <n v="9.44"/>
    <n v="3445.6"/>
    <n v="12404.16"/>
  </r>
  <r>
    <x v="0"/>
    <x v="0"/>
    <x v="0"/>
    <x v="0"/>
    <x v="1"/>
    <s v="DK2_NoDH"/>
    <x v="2"/>
    <x v="1"/>
    <s v="GNR_ENG_NGAS_BP_E-46"/>
    <x v="0"/>
    <x v="11"/>
    <n v="9.44"/>
    <n v="3445.6"/>
    <n v="12404.16"/>
  </r>
  <r>
    <x v="0"/>
    <x v="0"/>
    <x v="0"/>
    <x v="0"/>
    <x v="1"/>
    <s v="DK2_NoDH"/>
    <x v="2"/>
    <x v="1"/>
    <s v="GNR_ENG_NGAS_BP_E-46"/>
    <x v="0"/>
    <x v="12"/>
    <n v="9.44"/>
    <n v="3445.6"/>
    <n v="12404.16"/>
  </r>
  <r>
    <x v="0"/>
    <x v="0"/>
    <x v="0"/>
    <x v="0"/>
    <x v="1"/>
    <s v="DK2_NoDH"/>
    <x v="2"/>
    <x v="1"/>
    <s v="GNR_ENG_NGAS_BP_E-46"/>
    <x v="0"/>
    <x v="13"/>
    <n v="9.44"/>
    <n v="3445.6"/>
    <n v="12404.16"/>
  </r>
  <r>
    <x v="0"/>
    <x v="0"/>
    <x v="0"/>
    <x v="0"/>
    <x v="1"/>
    <s v="DK2_NoDH"/>
    <x v="2"/>
    <x v="1"/>
    <s v="GNR_ENG_NGAS_BP_E-46"/>
    <x v="0"/>
    <x v="14"/>
    <n v="9.44"/>
    <n v="3445.6"/>
    <n v="12404.16"/>
  </r>
  <r>
    <x v="0"/>
    <x v="0"/>
    <x v="0"/>
    <x v="0"/>
    <x v="1"/>
    <s v="DK2_NoDH"/>
    <x v="2"/>
    <x v="1"/>
    <s v="GNR_ENG_NGAS_BP_E-46"/>
    <x v="0"/>
    <x v="15"/>
    <n v="9.44"/>
    <n v="3445.6"/>
    <n v="12404.16"/>
  </r>
  <r>
    <x v="0"/>
    <x v="0"/>
    <x v="0"/>
    <x v="0"/>
    <x v="1"/>
    <s v="DK2_NoDH"/>
    <x v="2"/>
    <x v="1"/>
    <s v="GNR_ENG_NGAS_BP_E-46"/>
    <x v="0"/>
    <x v="16"/>
    <n v="9.44"/>
    <n v="3445.6"/>
    <n v="12404.16"/>
  </r>
  <r>
    <x v="0"/>
    <x v="0"/>
    <x v="0"/>
    <x v="0"/>
    <x v="1"/>
    <s v="DK2_NoDH"/>
    <x v="2"/>
    <x v="1"/>
    <s v="GNR_ENG_NGAS_BP_E-46"/>
    <x v="0"/>
    <x v="17"/>
    <n v="9.44"/>
    <n v="3445.6"/>
    <n v="12404.16"/>
  </r>
  <r>
    <x v="0"/>
    <x v="0"/>
    <x v="0"/>
    <x v="0"/>
    <x v="1"/>
    <s v="DK2_NoDH"/>
    <x v="2"/>
    <x v="1"/>
    <s v="GNR_ENG_NGAS_BP_E-46"/>
    <x v="0"/>
    <x v="18"/>
    <n v="9.44"/>
    <n v="3445.6"/>
    <n v="12404.16"/>
  </r>
  <r>
    <x v="0"/>
    <x v="0"/>
    <x v="0"/>
    <x v="0"/>
    <x v="1"/>
    <s v="DK2_NoDH"/>
    <x v="2"/>
    <x v="1"/>
    <s v="GNR_ENG_NGAS_BP_E-46"/>
    <x v="0"/>
    <x v="19"/>
    <n v="9.44"/>
    <n v="3445.6"/>
    <n v="12404.16"/>
  </r>
  <r>
    <x v="0"/>
    <x v="0"/>
    <x v="0"/>
    <x v="0"/>
    <x v="1"/>
    <s v="DK2_NoDH"/>
    <x v="2"/>
    <x v="1"/>
    <s v="GNR_ENG_NGAS_BP_E-46"/>
    <x v="0"/>
    <x v="20"/>
    <n v="9.44"/>
    <n v="3445.6"/>
    <n v="12404.16"/>
  </r>
  <r>
    <x v="0"/>
    <x v="0"/>
    <x v="0"/>
    <x v="0"/>
    <x v="1"/>
    <s v="DK2_NoDH"/>
    <x v="2"/>
    <x v="1"/>
    <s v="GNR_ENG_NGAS_BP_E-46"/>
    <x v="0"/>
    <x v="21"/>
    <n v="9.44"/>
    <n v="3445.6"/>
    <n v="12404.16"/>
  </r>
  <r>
    <x v="0"/>
    <x v="0"/>
    <x v="0"/>
    <x v="0"/>
    <x v="1"/>
    <s v="DK2_NoDH"/>
    <x v="2"/>
    <x v="1"/>
    <s v="GNR_ENG_NGAS_BP_E-46"/>
    <x v="0"/>
    <x v="22"/>
    <n v="9.44"/>
    <n v="3445.6"/>
    <n v="12404.16"/>
  </r>
  <r>
    <x v="0"/>
    <x v="0"/>
    <x v="0"/>
    <x v="0"/>
    <x v="1"/>
    <s v="DK2_NoDH"/>
    <x v="2"/>
    <x v="1"/>
    <s v="GNR_ENG_NGAS_BP_E-46"/>
    <x v="0"/>
    <x v="23"/>
    <n v="9.44"/>
    <n v="3445.6"/>
    <n v="12404.16"/>
  </r>
  <r>
    <x v="0"/>
    <x v="0"/>
    <x v="0"/>
    <x v="0"/>
    <x v="1"/>
    <s v="DK2_NoDH"/>
    <x v="2"/>
    <x v="1"/>
    <s v="GNR_GT_NGAS_BP_E-28"/>
    <x v="0"/>
    <x v="0"/>
    <n v="4.9000000000000004"/>
    <n v="1788.5"/>
    <n v="6438.6"/>
  </r>
  <r>
    <x v="0"/>
    <x v="0"/>
    <x v="0"/>
    <x v="0"/>
    <x v="1"/>
    <s v="DK2_NoDH"/>
    <x v="2"/>
    <x v="1"/>
    <s v="GNR_GT_NGAS_BP_E-28"/>
    <x v="0"/>
    <x v="1"/>
    <n v="4.9000000000000004"/>
    <n v="1788.5"/>
    <n v="6438.6"/>
  </r>
  <r>
    <x v="0"/>
    <x v="0"/>
    <x v="0"/>
    <x v="0"/>
    <x v="1"/>
    <s v="DK2_NoDH"/>
    <x v="2"/>
    <x v="1"/>
    <s v="GNR_GT_NGAS_BP_E-28"/>
    <x v="0"/>
    <x v="2"/>
    <n v="4.9000000000000004"/>
    <n v="1788.5"/>
    <n v="6438.6"/>
  </r>
  <r>
    <x v="0"/>
    <x v="0"/>
    <x v="0"/>
    <x v="0"/>
    <x v="1"/>
    <s v="DK2_NoDH"/>
    <x v="2"/>
    <x v="1"/>
    <s v="GNR_GT_NGAS_BP_E-28"/>
    <x v="0"/>
    <x v="9"/>
    <n v="4.9000000000000004"/>
    <n v="1788.5"/>
    <n v="6438.6"/>
  </r>
  <r>
    <x v="0"/>
    <x v="0"/>
    <x v="0"/>
    <x v="0"/>
    <x v="1"/>
    <s v="DK2_NoDH"/>
    <x v="2"/>
    <x v="1"/>
    <s v="GNR_GT_NGAS_BP_E-28"/>
    <x v="0"/>
    <x v="10"/>
    <n v="4.9000000000000004"/>
    <n v="1788.5"/>
    <n v="6438.6"/>
  </r>
  <r>
    <x v="0"/>
    <x v="0"/>
    <x v="0"/>
    <x v="0"/>
    <x v="1"/>
    <s v="DK2_NoDH"/>
    <x v="2"/>
    <x v="1"/>
    <s v="GNR_GT_NGAS_BP_E-28"/>
    <x v="0"/>
    <x v="14"/>
    <n v="4.9000000000000004"/>
    <n v="1788.5"/>
    <n v="6438.6"/>
  </r>
  <r>
    <x v="0"/>
    <x v="0"/>
    <x v="0"/>
    <x v="0"/>
    <x v="1"/>
    <s v="DK2_NoDH"/>
    <x v="2"/>
    <x v="1"/>
    <s v="GNR_GT_NGAS_BP_E-28"/>
    <x v="0"/>
    <x v="15"/>
    <n v="4.9000000000000004"/>
    <n v="1788.5"/>
    <n v="6438.6"/>
  </r>
  <r>
    <x v="0"/>
    <x v="0"/>
    <x v="0"/>
    <x v="0"/>
    <x v="1"/>
    <s v="DK2_NoDH"/>
    <x v="2"/>
    <x v="1"/>
    <s v="GNR_GT_NGAS_BP_E-28"/>
    <x v="0"/>
    <x v="16"/>
    <n v="4.9000000000000004"/>
    <n v="1788.5"/>
    <n v="6438.6"/>
  </r>
  <r>
    <x v="0"/>
    <x v="0"/>
    <x v="0"/>
    <x v="0"/>
    <x v="1"/>
    <s v="DK2_NoDH"/>
    <x v="2"/>
    <x v="1"/>
    <s v="GNR_GT_NGAS_BP_E-28"/>
    <x v="0"/>
    <x v="17"/>
    <n v="4.9000000000000004"/>
    <n v="1788.5"/>
    <n v="6438.6"/>
  </r>
  <r>
    <x v="0"/>
    <x v="0"/>
    <x v="0"/>
    <x v="0"/>
    <x v="1"/>
    <s v="DK2_NoDH"/>
    <x v="2"/>
    <x v="1"/>
    <s v="GNR_GT_NGAS_BP_E-28"/>
    <x v="0"/>
    <x v="18"/>
    <n v="4.9000000000000004"/>
    <n v="1788.5"/>
    <n v="6438.6"/>
  </r>
  <r>
    <x v="0"/>
    <x v="0"/>
    <x v="0"/>
    <x v="0"/>
    <x v="1"/>
    <s v="DK2_NoDH"/>
    <x v="2"/>
    <x v="1"/>
    <s v="GNR_ST_NGAS_BP_E-39"/>
    <x v="0"/>
    <x v="3"/>
    <n v="5.89"/>
    <n v="2149.85"/>
    <n v="7739.46"/>
  </r>
  <r>
    <x v="0"/>
    <x v="0"/>
    <x v="0"/>
    <x v="0"/>
    <x v="1"/>
    <s v="DK2_NoDH"/>
    <x v="2"/>
    <x v="1"/>
    <s v="GNR_ST_NGAS_BP_E-39"/>
    <x v="0"/>
    <x v="4"/>
    <n v="5.89"/>
    <n v="2149.85"/>
    <n v="7739.46"/>
  </r>
  <r>
    <x v="0"/>
    <x v="0"/>
    <x v="0"/>
    <x v="0"/>
    <x v="1"/>
    <s v="DK2_NoDH"/>
    <x v="2"/>
    <x v="1"/>
    <s v="GNR_ST_NGAS_BP_E-39"/>
    <x v="0"/>
    <x v="5"/>
    <n v="5.89"/>
    <n v="2149.85"/>
    <n v="7739.46"/>
  </r>
  <r>
    <x v="0"/>
    <x v="0"/>
    <x v="0"/>
    <x v="0"/>
    <x v="1"/>
    <s v="DK2_NoDH"/>
    <x v="2"/>
    <x v="1"/>
    <s v="GNR_ST_NGAS_BP_E-39"/>
    <x v="0"/>
    <x v="6"/>
    <n v="5.89"/>
    <n v="2149.85"/>
    <n v="7739.46"/>
  </r>
  <r>
    <x v="0"/>
    <x v="0"/>
    <x v="0"/>
    <x v="0"/>
    <x v="1"/>
    <s v="DK2_NoDH"/>
    <x v="2"/>
    <x v="1"/>
    <s v="GNR_ST_NGAS_BP_E-39"/>
    <x v="0"/>
    <x v="7"/>
    <n v="5.89"/>
    <n v="2149.85"/>
    <n v="7739.46"/>
  </r>
  <r>
    <x v="0"/>
    <x v="0"/>
    <x v="0"/>
    <x v="0"/>
    <x v="1"/>
    <s v="DK2_NoDH"/>
    <x v="2"/>
    <x v="1"/>
    <s v="GNR_ST_NGAS_BP_E-39"/>
    <x v="0"/>
    <x v="8"/>
    <n v="5.89"/>
    <n v="2149.85"/>
    <n v="7739.46"/>
  </r>
  <r>
    <x v="0"/>
    <x v="0"/>
    <x v="0"/>
    <x v="0"/>
    <x v="1"/>
    <s v="DK2_NoDH"/>
    <x v="2"/>
    <x v="1"/>
    <s v="GNR_ST_NGAS_BP_E-39"/>
    <x v="0"/>
    <x v="0"/>
    <n v="5.89"/>
    <n v="2149.85"/>
    <n v="7739.46"/>
  </r>
  <r>
    <x v="0"/>
    <x v="0"/>
    <x v="0"/>
    <x v="0"/>
    <x v="1"/>
    <s v="DK2_NoDH"/>
    <x v="2"/>
    <x v="1"/>
    <s v="GNR_ST_NGAS_BP_E-39"/>
    <x v="0"/>
    <x v="1"/>
    <n v="5.89"/>
    <n v="2149.85"/>
    <n v="7739.46"/>
  </r>
  <r>
    <x v="0"/>
    <x v="0"/>
    <x v="0"/>
    <x v="0"/>
    <x v="1"/>
    <s v="DK2_NoDH"/>
    <x v="2"/>
    <x v="1"/>
    <s v="GNR_ST_NGAS_BP_E-39"/>
    <x v="0"/>
    <x v="2"/>
    <n v="5.89"/>
    <n v="2149.85"/>
    <n v="7739.46"/>
  </r>
  <r>
    <x v="0"/>
    <x v="0"/>
    <x v="0"/>
    <x v="0"/>
    <x v="1"/>
    <s v="DK2_NoDH"/>
    <x v="2"/>
    <x v="1"/>
    <s v="GNR_ST_NGAS_BP_E-39"/>
    <x v="0"/>
    <x v="9"/>
    <n v="5.89"/>
    <n v="2149.85"/>
    <n v="7739.46"/>
  </r>
  <r>
    <x v="0"/>
    <x v="0"/>
    <x v="0"/>
    <x v="0"/>
    <x v="1"/>
    <s v="DK2_NoDH"/>
    <x v="2"/>
    <x v="1"/>
    <s v="GNR_ST_NGAS_BP_E-39"/>
    <x v="0"/>
    <x v="10"/>
    <n v="5.89"/>
    <n v="2149.85"/>
    <n v="7739.46"/>
  </r>
  <r>
    <x v="0"/>
    <x v="0"/>
    <x v="0"/>
    <x v="0"/>
    <x v="1"/>
    <s v="DK2_NoDH"/>
    <x v="2"/>
    <x v="1"/>
    <s v="GNR_ST_NGAS_BP_E-39"/>
    <x v="0"/>
    <x v="11"/>
    <n v="5.89"/>
    <n v="2149.85"/>
    <n v="7739.46"/>
  </r>
  <r>
    <x v="0"/>
    <x v="0"/>
    <x v="0"/>
    <x v="0"/>
    <x v="1"/>
    <s v="DK2_NoDH"/>
    <x v="2"/>
    <x v="1"/>
    <s v="GNR_ST_NGAS_BP_E-39"/>
    <x v="0"/>
    <x v="12"/>
    <n v="5.89"/>
    <n v="2149.85"/>
    <n v="7739.46"/>
  </r>
  <r>
    <x v="0"/>
    <x v="0"/>
    <x v="0"/>
    <x v="0"/>
    <x v="1"/>
    <s v="DK2_NoDH"/>
    <x v="2"/>
    <x v="1"/>
    <s v="GNR_ST_NGAS_BP_E-39"/>
    <x v="0"/>
    <x v="13"/>
    <n v="5.89"/>
    <n v="2149.85"/>
    <n v="7739.46"/>
  </r>
  <r>
    <x v="0"/>
    <x v="0"/>
    <x v="0"/>
    <x v="0"/>
    <x v="1"/>
    <s v="DK2_NoDH"/>
    <x v="2"/>
    <x v="1"/>
    <s v="GNR_ST_NGAS_BP_E-39"/>
    <x v="0"/>
    <x v="14"/>
    <n v="5.89"/>
    <n v="2149.85"/>
    <n v="7739.46"/>
  </r>
  <r>
    <x v="0"/>
    <x v="0"/>
    <x v="0"/>
    <x v="0"/>
    <x v="1"/>
    <s v="DK2_NoDH"/>
    <x v="2"/>
    <x v="1"/>
    <s v="GNR_ST_NGAS_BP_E-39"/>
    <x v="0"/>
    <x v="15"/>
    <n v="5.89"/>
    <n v="2149.85"/>
    <n v="7739.46"/>
  </r>
  <r>
    <x v="0"/>
    <x v="0"/>
    <x v="0"/>
    <x v="0"/>
    <x v="1"/>
    <s v="DK2_NoDH"/>
    <x v="2"/>
    <x v="1"/>
    <s v="GNR_ST_NGAS_BP_E-39"/>
    <x v="0"/>
    <x v="16"/>
    <n v="5.89"/>
    <n v="2149.85"/>
    <n v="7739.46"/>
  </r>
  <r>
    <x v="0"/>
    <x v="0"/>
    <x v="0"/>
    <x v="0"/>
    <x v="1"/>
    <s v="DK2_NoDH"/>
    <x v="2"/>
    <x v="1"/>
    <s v="GNR_ST_NGAS_BP_E-39"/>
    <x v="0"/>
    <x v="17"/>
    <n v="5.89"/>
    <n v="2149.85"/>
    <n v="7739.46"/>
  </r>
  <r>
    <x v="0"/>
    <x v="0"/>
    <x v="0"/>
    <x v="0"/>
    <x v="1"/>
    <s v="DK2_NoDH"/>
    <x v="2"/>
    <x v="1"/>
    <s v="GNR_ST_NGAS_BP_E-39"/>
    <x v="0"/>
    <x v="18"/>
    <n v="5.89"/>
    <n v="2149.85"/>
    <n v="7739.46"/>
  </r>
  <r>
    <x v="0"/>
    <x v="0"/>
    <x v="0"/>
    <x v="0"/>
    <x v="1"/>
    <s v="DK2_NoDH"/>
    <x v="2"/>
    <x v="1"/>
    <s v="GNR_ST_NGAS_BP_E-39"/>
    <x v="0"/>
    <x v="19"/>
    <n v="5.89"/>
    <n v="2149.85"/>
    <n v="7739.46"/>
  </r>
  <r>
    <x v="0"/>
    <x v="0"/>
    <x v="0"/>
    <x v="0"/>
    <x v="1"/>
    <s v="DK2_NoDH"/>
    <x v="2"/>
    <x v="1"/>
    <s v="GNR_ST_NGAS_BP_E-39"/>
    <x v="0"/>
    <x v="20"/>
    <n v="5.89"/>
    <n v="2149.85"/>
    <n v="7739.46"/>
  </r>
  <r>
    <x v="0"/>
    <x v="0"/>
    <x v="0"/>
    <x v="0"/>
    <x v="1"/>
    <s v="DK2_NoDH"/>
    <x v="2"/>
    <x v="1"/>
    <s v="GNR_ST_NGAS_BP_E-39"/>
    <x v="0"/>
    <x v="21"/>
    <n v="5.89"/>
    <n v="2149.85"/>
    <n v="7739.46"/>
  </r>
  <r>
    <x v="0"/>
    <x v="0"/>
    <x v="0"/>
    <x v="0"/>
    <x v="1"/>
    <s v="DK2_NoDH"/>
    <x v="2"/>
    <x v="1"/>
    <s v="GNR_ST_NGAS_BP_E-39"/>
    <x v="0"/>
    <x v="22"/>
    <n v="5.89"/>
    <n v="2149.85"/>
    <n v="7739.46"/>
  </r>
  <r>
    <x v="0"/>
    <x v="0"/>
    <x v="0"/>
    <x v="0"/>
    <x v="1"/>
    <s v="DK2_NoDH"/>
    <x v="2"/>
    <x v="1"/>
    <s v="GNR_ST_NGAS_BP_E-39"/>
    <x v="0"/>
    <x v="23"/>
    <n v="5.89"/>
    <n v="2149.85"/>
    <n v="7739.46"/>
  </r>
  <r>
    <x v="0"/>
    <x v="0"/>
    <x v="0"/>
    <x v="0"/>
    <x v="1"/>
    <s v="DK2_NoDH"/>
    <x v="5"/>
    <x v="3"/>
    <s v="GNR_PV_SUN"/>
    <x v="0"/>
    <x v="2"/>
    <n v="5.89448093338929"/>
    <n v="2151.4855406870902"/>
    <n v="7745.3479464735301"/>
  </r>
  <r>
    <x v="0"/>
    <x v="0"/>
    <x v="0"/>
    <x v="0"/>
    <x v="1"/>
    <s v="DK2_NoDH"/>
    <x v="5"/>
    <x v="3"/>
    <s v="GNR_PV_SUN"/>
    <x v="0"/>
    <x v="9"/>
    <n v="44.374861590848603"/>
    <n v="16196.824480659699"/>
    <n v="58308.568130375097"/>
  </r>
  <r>
    <x v="0"/>
    <x v="0"/>
    <x v="0"/>
    <x v="0"/>
    <x v="1"/>
    <s v="DK2_NoDH"/>
    <x v="5"/>
    <x v="3"/>
    <s v="GNR_PV_SUN"/>
    <x v="0"/>
    <x v="10"/>
    <n v="102.50351202627201"/>
    <n v="37413.781889589402"/>
    <n v="134689.614802522"/>
  </r>
  <r>
    <x v="0"/>
    <x v="0"/>
    <x v="0"/>
    <x v="0"/>
    <x v="1"/>
    <s v="DK2_NoDH"/>
    <x v="5"/>
    <x v="3"/>
    <s v="GNR_PV_SUN"/>
    <x v="0"/>
    <x v="11"/>
    <n v="156.09794635908901"/>
    <n v="56975.750421067401"/>
    <n v="205112.70151584299"/>
  </r>
  <r>
    <x v="0"/>
    <x v="0"/>
    <x v="0"/>
    <x v="0"/>
    <x v="1"/>
    <s v="DK2_NoDH"/>
    <x v="5"/>
    <x v="3"/>
    <s v="GNR_PV_SUN"/>
    <x v="0"/>
    <x v="12"/>
    <n v="177.469218256044"/>
    <n v="64776.264663456001"/>
    <n v="233194.55278844101"/>
  </r>
  <r>
    <x v="0"/>
    <x v="0"/>
    <x v="0"/>
    <x v="0"/>
    <x v="1"/>
    <s v="DK2_NoDH"/>
    <x v="5"/>
    <x v="3"/>
    <s v="GNR_PV_SUN"/>
    <x v="0"/>
    <x v="13"/>
    <n v="154.314488025397"/>
    <n v="56324.788129269698"/>
    <n v="202769.23726537099"/>
  </r>
  <r>
    <x v="0"/>
    <x v="0"/>
    <x v="0"/>
    <x v="0"/>
    <x v="1"/>
    <s v="DK2_NoDH"/>
    <x v="5"/>
    <x v="3"/>
    <s v="GNR_PV_SUN"/>
    <x v="0"/>
    <x v="14"/>
    <n v="100.41777261907301"/>
    <n v="36652.487005961601"/>
    <n v="131948.953221462"/>
  </r>
  <r>
    <x v="0"/>
    <x v="0"/>
    <x v="0"/>
    <x v="0"/>
    <x v="1"/>
    <s v="DK2_NoDH"/>
    <x v="5"/>
    <x v="3"/>
    <s v="GNR_PV_SUN"/>
    <x v="0"/>
    <x v="15"/>
    <n v="50.843676563901496"/>
    <n v="18557.941945824001"/>
    <n v="66808.591004966496"/>
  </r>
  <r>
    <x v="0"/>
    <x v="0"/>
    <x v="0"/>
    <x v="0"/>
    <x v="1"/>
    <s v="DK2_NoDH"/>
    <x v="5"/>
    <x v="3"/>
    <s v="GNR_PV_SUN"/>
    <x v="0"/>
    <x v="16"/>
    <n v="6.61995550980643"/>
    <n v="2416.2837610793499"/>
    <n v="8698.6215398856493"/>
  </r>
  <r>
    <x v="0"/>
    <x v="0"/>
    <x v="0"/>
    <x v="0"/>
    <x v="1"/>
    <s v="DK2_NoDH"/>
    <x v="6"/>
    <x v="4"/>
    <s v="GNR_ROR_WTR"/>
    <x v="0"/>
    <x v="3"/>
    <n v="8.2531860285989002E-3"/>
    <n v="3.0124129004386"/>
    <n v="10.844686441579"/>
  </r>
  <r>
    <x v="0"/>
    <x v="0"/>
    <x v="0"/>
    <x v="0"/>
    <x v="1"/>
    <s v="DK2_NoDH"/>
    <x v="6"/>
    <x v="4"/>
    <s v="GNR_ROR_WTR"/>
    <x v="0"/>
    <x v="4"/>
    <n v="8.2531860285989002E-3"/>
    <n v="3.0124129004386"/>
    <n v="10.844686441579"/>
  </r>
  <r>
    <x v="0"/>
    <x v="0"/>
    <x v="0"/>
    <x v="0"/>
    <x v="1"/>
    <s v="DK2_NoDH"/>
    <x v="6"/>
    <x v="4"/>
    <s v="GNR_ROR_WTR"/>
    <x v="0"/>
    <x v="5"/>
    <n v="8.2531860285989002E-3"/>
    <n v="3.0124129004386"/>
    <n v="10.844686441579"/>
  </r>
  <r>
    <x v="0"/>
    <x v="0"/>
    <x v="0"/>
    <x v="0"/>
    <x v="1"/>
    <s v="DK2_NoDH"/>
    <x v="6"/>
    <x v="4"/>
    <s v="GNR_ROR_WTR"/>
    <x v="0"/>
    <x v="6"/>
    <n v="8.2531860285989002E-3"/>
    <n v="3.0124129004386"/>
    <n v="10.844686441579"/>
  </r>
  <r>
    <x v="0"/>
    <x v="0"/>
    <x v="0"/>
    <x v="0"/>
    <x v="1"/>
    <s v="DK2_NoDH"/>
    <x v="6"/>
    <x v="4"/>
    <s v="GNR_ROR_WTR"/>
    <x v="0"/>
    <x v="7"/>
    <n v="8.2531860285989002E-3"/>
    <n v="3.0124129004386"/>
    <n v="10.844686441579"/>
  </r>
  <r>
    <x v="0"/>
    <x v="0"/>
    <x v="0"/>
    <x v="0"/>
    <x v="1"/>
    <s v="DK2_NoDH"/>
    <x v="6"/>
    <x v="4"/>
    <s v="GNR_ROR_WTR"/>
    <x v="0"/>
    <x v="8"/>
    <n v="8.2531860285989002E-3"/>
    <n v="3.0124129004386"/>
    <n v="10.844686441579"/>
  </r>
  <r>
    <x v="0"/>
    <x v="0"/>
    <x v="0"/>
    <x v="0"/>
    <x v="1"/>
    <s v="DK2_NoDH"/>
    <x v="6"/>
    <x v="4"/>
    <s v="GNR_ROR_WTR"/>
    <x v="0"/>
    <x v="0"/>
    <n v="8.2531860285989002E-3"/>
    <n v="3.0124129004386"/>
    <n v="10.844686441579"/>
  </r>
  <r>
    <x v="0"/>
    <x v="0"/>
    <x v="0"/>
    <x v="0"/>
    <x v="1"/>
    <s v="DK2_NoDH"/>
    <x v="6"/>
    <x v="4"/>
    <s v="GNR_ROR_WTR"/>
    <x v="0"/>
    <x v="1"/>
    <n v="8.2531860285989002E-3"/>
    <n v="3.0124129004386"/>
    <n v="10.844686441579"/>
  </r>
  <r>
    <x v="0"/>
    <x v="0"/>
    <x v="0"/>
    <x v="0"/>
    <x v="1"/>
    <s v="DK2_NoDH"/>
    <x v="6"/>
    <x v="4"/>
    <s v="GNR_ROR_WTR"/>
    <x v="0"/>
    <x v="2"/>
    <n v="8.2531860285989002E-3"/>
    <n v="3.0124129004386"/>
    <n v="10.844686441579"/>
  </r>
  <r>
    <x v="0"/>
    <x v="0"/>
    <x v="0"/>
    <x v="0"/>
    <x v="1"/>
    <s v="DK2_NoDH"/>
    <x v="6"/>
    <x v="4"/>
    <s v="GNR_ROR_WTR"/>
    <x v="0"/>
    <x v="9"/>
    <n v="8.2531860285989002E-3"/>
    <n v="3.0124129004386"/>
    <n v="10.844686441579"/>
  </r>
  <r>
    <x v="0"/>
    <x v="0"/>
    <x v="0"/>
    <x v="0"/>
    <x v="1"/>
    <s v="DK2_NoDH"/>
    <x v="6"/>
    <x v="4"/>
    <s v="GNR_ROR_WTR"/>
    <x v="0"/>
    <x v="10"/>
    <n v="8.2531860285989002E-3"/>
    <n v="3.0124129004386"/>
    <n v="10.844686441579"/>
  </r>
  <r>
    <x v="0"/>
    <x v="0"/>
    <x v="0"/>
    <x v="0"/>
    <x v="1"/>
    <s v="DK2_NoDH"/>
    <x v="6"/>
    <x v="4"/>
    <s v="GNR_ROR_WTR"/>
    <x v="0"/>
    <x v="11"/>
    <n v="8.2531860285989002E-3"/>
    <n v="3.0124129004386"/>
    <n v="10.844686441579"/>
  </r>
  <r>
    <x v="0"/>
    <x v="0"/>
    <x v="0"/>
    <x v="0"/>
    <x v="1"/>
    <s v="DK2_NoDH"/>
    <x v="6"/>
    <x v="4"/>
    <s v="GNR_ROR_WTR"/>
    <x v="0"/>
    <x v="12"/>
    <n v="8.2531860285989002E-3"/>
    <n v="3.0124129004386"/>
    <n v="10.844686441579"/>
  </r>
  <r>
    <x v="0"/>
    <x v="0"/>
    <x v="0"/>
    <x v="0"/>
    <x v="1"/>
    <s v="DK2_NoDH"/>
    <x v="6"/>
    <x v="4"/>
    <s v="GNR_ROR_WTR"/>
    <x v="0"/>
    <x v="13"/>
    <n v="8.2531860285989002E-3"/>
    <n v="3.0124129004386"/>
    <n v="10.844686441579"/>
  </r>
  <r>
    <x v="0"/>
    <x v="0"/>
    <x v="0"/>
    <x v="0"/>
    <x v="1"/>
    <s v="DK2_NoDH"/>
    <x v="6"/>
    <x v="4"/>
    <s v="GNR_ROR_WTR"/>
    <x v="0"/>
    <x v="14"/>
    <n v="8.2531860285989002E-3"/>
    <n v="3.0124129004386"/>
    <n v="10.844686441579"/>
  </r>
  <r>
    <x v="0"/>
    <x v="0"/>
    <x v="0"/>
    <x v="0"/>
    <x v="1"/>
    <s v="DK2_NoDH"/>
    <x v="6"/>
    <x v="4"/>
    <s v="GNR_ROR_WTR"/>
    <x v="0"/>
    <x v="15"/>
    <n v="8.2531860285989002E-3"/>
    <n v="3.0124129004386"/>
    <n v="10.844686441579"/>
  </r>
  <r>
    <x v="0"/>
    <x v="0"/>
    <x v="0"/>
    <x v="0"/>
    <x v="1"/>
    <s v="DK2_NoDH"/>
    <x v="6"/>
    <x v="4"/>
    <s v="GNR_ROR_WTR"/>
    <x v="0"/>
    <x v="16"/>
    <n v="8.2531860285989002E-3"/>
    <n v="3.0124129004386"/>
    <n v="10.844686441579"/>
  </r>
  <r>
    <x v="0"/>
    <x v="0"/>
    <x v="0"/>
    <x v="0"/>
    <x v="1"/>
    <s v="DK2_NoDH"/>
    <x v="6"/>
    <x v="4"/>
    <s v="GNR_ROR_WTR"/>
    <x v="0"/>
    <x v="17"/>
    <n v="8.2531860285989002E-3"/>
    <n v="3.0124129004386"/>
    <n v="10.844686441579"/>
  </r>
  <r>
    <x v="0"/>
    <x v="0"/>
    <x v="0"/>
    <x v="0"/>
    <x v="1"/>
    <s v="DK2_NoDH"/>
    <x v="6"/>
    <x v="4"/>
    <s v="GNR_ROR_WTR"/>
    <x v="0"/>
    <x v="18"/>
    <n v="8.2531860285989002E-3"/>
    <n v="3.0124129004386"/>
    <n v="10.844686441579"/>
  </r>
  <r>
    <x v="0"/>
    <x v="0"/>
    <x v="0"/>
    <x v="0"/>
    <x v="1"/>
    <s v="DK2_NoDH"/>
    <x v="6"/>
    <x v="4"/>
    <s v="GNR_ROR_WTR"/>
    <x v="0"/>
    <x v="19"/>
    <n v="8.2531860285989002E-3"/>
    <n v="3.0124129004386"/>
    <n v="10.844686441579"/>
  </r>
  <r>
    <x v="0"/>
    <x v="0"/>
    <x v="0"/>
    <x v="0"/>
    <x v="1"/>
    <s v="DK2_NoDH"/>
    <x v="6"/>
    <x v="4"/>
    <s v="GNR_ROR_WTR"/>
    <x v="0"/>
    <x v="20"/>
    <n v="8.2531860285989002E-3"/>
    <n v="3.0124129004386"/>
    <n v="10.844686441579"/>
  </r>
  <r>
    <x v="0"/>
    <x v="0"/>
    <x v="0"/>
    <x v="0"/>
    <x v="1"/>
    <s v="DK2_NoDH"/>
    <x v="6"/>
    <x v="4"/>
    <s v="GNR_ROR_WTR"/>
    <x v="0"/>
    <x v="21"/>
    <n v="8.2531860285989002E-3"/>
    <n v="3.0124129004386"/>
    <n v="10.844686441579"/>
  </r>
  <r>
    <x v="0"/>
    <x v="0"/>
    <x v="0"/>
    <x v="0"/>
    <x v="1"/>
    <s v="DK2_NoDH"/>
    <x v="6"/>
    <x v="4"/>
    <s v="GNR_ROR_WTR"/>
    <x v="0"/>
    <x v="22"/>
    <n v="8.2531860285989002E-3"/>
    <n v="3.0124129004386"/>
    <n v="10.844686441579"/>
  </r>
  <r>
    <x v="0"/>
    <x v="0"/>
    <x v="0"/>
    <x v="0"/>
    <x v="1"/>
    <s v="DK2_NoDH"/>
    <x v="6"/>
    <x v="4"/>
    <s v="GNR_ROR_WTR"/>
    <x v="0"/>
    <x v="23"/>
    <n v="8.2531860285989002E-3"/>
    <n v="3.0124129004386"/>
    <n v="10.844686441579"/>
  </r>
  <r>
    <x v="0"/>
    <x v="0"/>
    <x v="0"/>
    <x v="0"/>
    <x v="1"/>
    <s v="DK2_NoDH"/>
    <x v="7"/>
    <x v="5"/>
    <s v="GNR_WT_WIND_ONS"/>
    <x v="0"/>
    <x v="3"/>
    <n v="56.727540341350497"/>
    <n v="20705.552224592899"/>
    <n v="74539.988008534594"/>
  </r>
  <r>
    <x v="0"/>
    <x v="0"/>
    <x v="0"/>
    <x v="0"/>
    <x v="1"/>
    <s v="DK2_NoDH"/>
    <x v="7"/>
    <x v="5"/>
    <s v="GNR_WT_WIND_ONS"/>
    <x v="0"/>
    <x v="4"/>
    <n v="68.073048409620696"/>
    <n v="24846.662669511501"/>
    <n v="89447.985610241507"/>
  </r>
  <r>
    <x v="0"/>
    <x v="0"/>
    <x v="0"/>
    <x v="0"/>
    <x v="1"/>
    <s v="DK2_NoDH"/>
    <x v="7"/>
    <x v="5"/>
    <s v="GNR_WT_WIND_ONS"/>
    <x v="0"/>
    <x v="5"/>
    <n v="66.452261542724898"/>
    <n v="24255.075463094599"/>
    <n v="87318.271667140594"/>
  </r>
  <r>
    <x v="0"/>
    <x v="0"/>
    <x v="0"/>
    <x v="0"/>
    <x v="1"/>
    <s v="DK2_NoDH"/>
    <x v="7"/>
    <x v="5"/>
    <s v="GNR_WT_WIND_ONS"/>
    <x v="0"/>
    <x v="6"/>
    <n v="62.400294375485601"/>
    <n v="22776.1074470522"/>
    <n v="81993.986809388094"/>
  </r>
  <r>
    <x v="0"/>
    <x v="0"/>
    <x v="0"/>
    <x v="0"/>
    <x v="1"/>
    <s v="DK2_NoDH"/>
    <x v="7"/>
    <x v="5"/>
    <s v="GNR_WT_WIND_ONS"/>
    <x v="0"/>
    <x v="7"/>
    <n v="46.192425706528297"/>
    <n v="16860.235382882802"/>
    <n v="60696.847378378203"/>
  </r>
  <r>
    <x v="0"/>
    <x v="0"/>
    <x v="0"/>
    <x v="0"/>
    <x v="1"/>
    <s v="DK2_NoDH"/>
    <x v="7"/>
    <x v="5"/>
    <s v="GNR_WT_WIND_ONS"/>
    <x v="0"/>
    <x v="8"/>
    <n v="26.7429833037795"/>
    <n v="9761.1889058795296"/>
    <n v="35140.280061166297"/>
  </r>
  <r>
    <x v="0"/>
    <x v="0"/>
    <x v="0"/>
    <x v="0"/>
    <x v="1"/>
    <s v="DK2_NoDH"/>
    <x v="7"/>
    <x v="5"/>
    <s v="GNR_WT_WIND_ONS"/>
    <x v="0"/>
    <x v="0"/>
    <n v="5.6727540341350497"/>
    <n v="2070.5552224592898"/>
    <n v="7453.9988008534601"/>
  </r>
  <r>
    <x v="0"/>
    <x v="0"/>
    <x v="0"/>
    <x v="0"/>
    <x v="1"/>
    <s v="DK2_NoDH"/>
    <x v="7"/>
    <x v="5"/>
    <s v="GNR_WT_WIND_ONS"/>
    <x v="0"/>
    <x v="1"/>
    <n v="4.0519671672393196"/>
    <n v="1478.96801604235"/>
    <n v="5324.2848577524701"/>
  </r>
  <r>
    <x v="0"/>
    <x v="0"/>
    <x v="0"/>
    <x v="0"/>
    <x v="1"/>
    <s v="DK2_NoDH"/>
    <x v="7"/>
    <x v="5"/>
    <s v="GNR_WT_WIND_ONS"/>
    <x v="0"/>
    <x v="2"/>
    <n v="5.6727540341350497"/>
    <n v="2070.5552224592898"/>
    <n v="7453.9988008534601"/>
  </r>
  <r>
    <x v="0"/>
    <x v="0"/>
    <x v="0"/>
    <x v="0"/>
    <x v="1"/>
    <s v="DK2_NoDH"/>
    <x v="7"/>
    <x v="5"/>
    <s v="GNR_WT_WIND_ONS"/>
    <x v="0"/>
    <x v="9"/>
    <n v="26.7429833037795"/>
    <n v="9761.1889058795296"/>
    <n v="35140.280061166297"/>
  </r>
  <r>
    <x v="0"/>
    <x v="0"/>
    <x v="0"/>
    <x v="0"/>
    <x v="1"/>
    <s v="DK2_NoDH"/>
    <x v="7"/>
    <x v="5"/>
    <s v="GNR_WT_WIND_ONS"/>
    <x v="0"/>
    <x v="10"/>
    <n v="62.400294375485601"/>
    <n v="22776.1074470522"/>
    <n v="81993.986809388094"/>
  </r>
  <r>
    <x v="0"/>
    <x v="0"/>
    <x v="0"/>
    <x v="0"/>
    <x v="1"/>
    <s v="DK2_NoDH"/>
    <x v="7"/>
    <x v="5"/>
    <s v="GNR_WT_WIND_ONS"/>
    <x v="0"/>
    <x v="11"/>
    <n v="96.436818580295906"/>
    <n v="35199.438781807999"/>
    <n v="126717.97961450899"/>
  </r>
  <r>
    <x v="0"/>
    <x v="0"/>
    <x v="0"/>
    <x v="0"/>
    <x v="1"/>
    <s v="DK2_NoDH"/>
    <x v="7"/>
    <x v="5"/>
    <s v="GNR_WT_WIND_ONS"/>
    <x v="0"/>
    <x v="12"/>
    <n v="111.834293815805"/>
    <n v="40819.517242768998"/>
    <n v="146950.26207396801"/>
  </r>
  <r>
    <x v="0"/>
    <x v="0"/>
    <x v="0"/>
    <x v="0"/>
    <x v="1"/>
    <s v="DK2_NoDH"/>
    <x v="7"/>
    <x v="5"/>
    <s v="GNR_WT_WIND_ONS"/>
    <x v="0"/>
    <x v="13"/>
    <n v="128.042162484763"/>
    <n v="46735.389306938399"/>
    <n v="168247.40150497801"/>
  </r>
  <r>
    <x v="0"/>
    <x v="0"/>
    <x v="0"/>
    <x v="0"/>
    <x v="1"/>
    <s v="DK2_NoDH"/>
    <x v="7"/>
    <x v="5"/>
    <s v="GNR_WT_WIND_ONS"/>
    <x v="0"/>
    <x v="14"/>
    <n v="128.042162484763"/>
    <n v="46735.389306938399"/>
    <n v="168247.40150497801"/>
  </r>
  <r>
    <x v="0"/>
    <x v="0"/>
    <x v="0"/>
    <x v="0"/>
    <x v="1"/>
    <s v="DK2_NoDH"/>
    <x v="7"/>
    <x v="5"/>
    <s v="GNR_WT_WIND_ONS"/>
    <x v="0"/>
    <x v="15"/>
    <n v="202.59835836196601"/>
    <n v="73948.4008021177"/>
    <n v="266214.24288762402"/>
  </r>
  <r>
    <x v="0"/>
    <x v="0"/>
    <x v="0"/>
    <x v="0"/>
    <x v="1"/>
    <s v="DK2_NoDH"/>
    <x v="7"/>
    <x v="5"/>
    <s v="GNR_WT_WIND_ONS"/>
    <x v="0"/>
    <x v="16"/>
    <n v="261.75707900366001"/>
    <n v="95541.333836335994"/>
    <n v="343948.80181080999"/>
  </r>
  <r>
    <x v="0"/>
    <x v="0"/>
    <x v="0"/>
    <x v="0"/>
    <x v="1"/>
    <s v="DK2_NoDH"/>
    <x v="7"/>
    <x v="5"/>
    <s v="GNR_WT_WIND_ONS"/>
    <x v="0"/>
    <x v="17"/>
    <n v="258.51550526986898"/>
    <n v="94358.159423502206"/>
    <n v="339689.37392460799"/>
  </r>
  <r>
    <x v="0"/>
    <x v="0"/>
    <x v="0"/>
    <x v="0"/>
    <x v="1"/>
    <s v="DK2_NoDH"/>
    <x v="7"/>
    <x v="5"/>
    <s v="GNR_WT_WIND_ONS"/>
    <x v="0"/>
    <x v="18"/>
    <n v="353.33153698326902"/>
    <n v="128966.01099889301"/>
    <n v="464277.63959601597"/>
  </r>
  <r>
    <x v="0"/>
    <x v="0"/>
    <x v="0"/>
    <x v="0"/>
    <x v="1"/>
    <s v="DK2_NoDH"/>
    <x v="7"/>
    <x v="5"/>
    <s v="GNR_WT_WIND_ONS"/>
    <x v="0"/>
    <x v="19"/>
    <n v="525.94533830766397"/>
    <n v="191970.04848229699"/>
    <n v="691092.17453627102"/>
  </r>
  <r>
    <x v="0"/>
    <x v="0"/>
    <x v="0"/>
    <x v="0"/>
    <x v="1"/>
    <s v="DK2_NoDH"/>
    <x v="7"/>
    <x v="5"/>
    <s v="GNR_WT_WIND_ONS"/>
    <x v="0"/>
    <x v="20"/>
    <n v="609.41586195279399"/>
    <n v="222436.78961276999"/>
    <n v="800772.44260597206"/>
  </r>
  <r>
    <x v="0"/>
    <x v="0"/>
    <x v="0"/>
    <x v="0"/>
    <x v="1"/>
    <s v="DK2_NoDH"/>
    <x v="7"/>
    <x v="5"/>
    <s v="GNR_WT_WIND_ONS"/>
    <x v="0"/>
    <x v="21"/>
    <n v="657.22907452621803"/>
    <n v="239888.61220207001"/>
    <n v="863599.00392745098"/>
  </r>
  <r>
    <x v="0"/>
    <x v="0"/>
    <x v="0"/>
    <x v="0"/>
    <x v="1"/>
    <s v="DK2_NoDH"/>
    <x v="7"/>
    <x v="5"/>
    <s v="GNR_WT_WIND_ONS"/>
    <x v="0"/>
    <x v="22"/>
    <n v="667.76418916104103"/>
    <n v="243733.92904377999"/>
    <n v="877442.14455760701"/>
  </r>
  <r>
    <x v="0"/>
    <x v="0"/>
    <x v="0"/>
    <x v="0"/>
    <x v="1"/>
    <s v="DK2_NoDH"/>
    <x v="7"/>
    <x v="5"/>
    <s v="GNR_WT_WIND_ONS"/>
    <x v="0"/>
    <x v="23"/>
    <n v="695.31756589826796"/>
    <n v="253790.911552868"/>
    <n v="913647.28159032401"/>
  </r>
  <r>
    <x v="0"/>
    <x v="0"/>
    <x v="0"/>
    <x v="0"/>
    <x v="1"/>
    <s v="DK2_Offshore"/>
    <x v="7"/>
    <x v="5"/>
    <s v="GNR_WT_WIND_OFF"/>
    <x v="0"/>
    <x v="3"/>
    <n v="59.000474158369002"/>
    <n v="21535.173067804699"/>
    <n v="77526.623044096894"/>
  </r>
  <r>
    <x v="0"/>
    <x v="0"/>
    <x v="0"/>
    <x v="0"/>
    <x v="1"/>
    <s v="DK2_Offshore"/>
    <x v="7"/>
    <x v="5"/>
    <s v="GNR_WT_WIND_OFF"/>
    <x v="0"/>
    <x v="4"/>
    <n v="70.800568990042805"/>
    <n v="25842.207681365599"/>
    <n v="93031.947652916293"/>
  </r>
  <r>
    <x v="0"/>
    <x v="0"/>
    <x v="0"/>
    <x v="0"/>
    <x v="1"/>
    <s v="DK2_Offshore"/>
    <x v="7"/>
    <x v="5"/>
    <s v="GNR_WT_WIND_OFF"/>
    <x v="0"/>
    <x v="5"/>
    <n v="69.114841156946596"/>
    <n v="25226.917022285499"/>
    <n v="90816.901280227801"/>
  </r>
  <r>
    <x v="0"/>
    <x v="0"/>
    <x v="0"/>
    <x v="0"/>
    <x v="1"/>
    <s v="DK2_Offshore"/>
    <x v="7"/>
    <x v="5"/>
    <s v="GNR_WT_WIND_OFF"/>
    <x v="0"/>
    <x v="6"/>
    <n v="64.900521574205897"/>
    <n v="23688.6903745852"/>
    <n v="85279.285348506601"/>
  </r>
  <r>
    <x v="0"/>
    <x v="0"/>
    <x v="0"/>
    <x v="0"/>
    <x v="1"/>
    <s v="DK2_Offshore"/>
    <x v="7"/>
    <x v="5"/>
    <s v="GNR_WT_WIND_OFF"/>
    <x v="0"/>
    <x v="7"/>
    <n v="48.043243243243403"/>
    <n v="17535.783783783801"/>
    <n v="63128.821621621799"/>
  </r>
  <r>
    <x v="0"/>
    <x v="0"/>
    <x v="0"/>
    <x v="0"/>
    <x v="1"/>
    <s v="DK2_Offshore"/>
    <x v="7"/>
    <x v="5"/>
    <s v="GNR_WT_WIND_OFF"/>
    <x v="0"/>
    <x v="8"/>
    <n v="27.814509246088299"/>
    <n v="10152.295874822201"/>
    <n v="36548.265149359999"/>
  </r>
  <r>
    <x v="0"/>
    <x v="0"/>
    <x v="0"/>
    <x v="0"/>
    <x v="1"/>
    <s v="DK2_Offshore"/>
    <x v="7"/>
    <x v="5"/>
    <s v="GNR_WT_WIND_OFF"/>
    <x v="0"/>
    <x v="0"/>
    <n v="5.9000474158368998"/>
    <n v="2153.5173067804699"/>
    <n v="7752.6623044096896"/>
  </r>
  <r>
    <x v="0"/>
    <x v="0"/>
    <x v="0"/>
    <x v="0"/>
    <x v="1"/>
    <s v="DK2_Offshore"/>
    <x v="7"/>
    <x v="5"/>
    <s v="GNR_WT_WIND_OFF"/>
    <x v="0"/>
    <x v="1"/>
    <n v="4.2143195827406403"/>
    <n v="1538.22664770034"/>
    <n v="5537.6159317212096"/>
  </r>
  <r>
    <x v="0"/>
    <x v="0"/>
    <x v="0"/>
    <x v="0"/>
    <x v="1"/>
    <s v="DK2_Offshore"/>
    <x v="7"/>
    <x v="5"/>
    <s v="GNR_WT_WIND_OFF"/>
    <x v="0"/>
    <x v="2"/>
    <n v="5.9000474158368998"/>
    <n v="2153.5173067804699"/>
    <n v="7752.6623044096896"/>
  </r>
  <r>
    <x v="0"/>
    <x v="0"/>
    <x v="0"/>
    <x v="0"/>
    <x v="1"/>
    <s v="DK2_Offshore"/>
    <x v="7"/>
    <x v="5"/>
    <s v="GNR_WT_WIND_OFF"/>
    <x v="0"/>
    <x v="9"/>
    <n v="27.814509246088299"/>
    <n v="10152.295874822201"/>
    <n v="36548.265149359999"/>
  </r>
  <r>
    <x v="0"/>
    <x v="0"/>
    <x v="0"/>
    <x v="0"/>
    <x v="1"/>
    <s v="DK2_Offshore"/>
    <x v="7"/>
    <x v="5"/>
    <s v="GNR_WT_WIND_OFF"/>
    <x v="0"/>
    <x v="10"/>
    <n v="64.900521574205897"/>
    <n v="23688.6903745852"/>
    <n v="85279.285348506601"/>
  </r>
  <r>
    <x v="0"/>
    <x v="0"/>
    <x v="0"/>
    <x v="0"/>
    <x v="1"/>
    <s v="DK2_Offshore"/>
    <x v="7"/>
    <x v="5"/>
    <s v="GNR_WT_WIND_OFF"/>
    <x v="0"/>
    <x v="11"/>
    <n v="100.30080606922699"/>
    <n v="36609.794215267997"/>
    <n v="131795.259174965"/>
  </r>
  <r>
    <x v="0"/>
    <x v="0"/>
    <x v="0"/>
    <x v="0"/>
    <x v="1"/>
    <s v="DK2_Offshore"/>
    <x v="7"/>
    <x v="5"/>
    <s v="GNR_WT_WIND_OFF"/>
    <x v="0"/>
    <x v="12"/>
    <n v="116.31522048364199"/>
    <n v="42455.055476529298"/>
    <n v="152838.199715505"/>
  </r>
  <r>
    <x v="0"/>
    <x v="0"/>
    <x v="0"/>
    <x v="0"/>
    <x v="1"/>
    <s v="DK2_Offshore"/>
    <x v="7"/>
    <x v="5"/>
    <s v="GNR_WT_WIND_OFF"/>
    <x v="0"/>
    <x v="13"/>
    <n v="133.17249881460401"/>
    <n v="48607.962067330598"/>
    <n v="174988.66344239001"/>
  </r>
  <r>
    <x v="0"/>
    <x v="0"/>
    <x v="0"/>
    <x v="0"/>
    <x v="1"/>
    <s v="DK2_Offshore"/>
    <x v="7"/>
    <x v="5"/>
    <s v="GNR_WT_WIND_OFF"/>
    <x v="0"/>
    <x v="14"/>
    <n v="133.17249881460401"/>
    <n v="48607.962067330598"/>
    <n v="174988.66344239001"/>
  </r>
  <r>
    <x v="0"/>
    <x v="0"/>
    <x v="0"/>
    <x v="0"/>
    <x v="1"/>
    <s v="DK2_Offshore"/>
    <x v="7"/>
    <x v="5"/>
    <s v="GNR_WT_WIND_OFF"/>
    <x v="0"/>
    <x v="15"/>
    <n v="210.71597913703201"/>
    <n v="76911.332385016794"/>
    <n v="276880.79658606002"/>
  </r>
  <r>
    <x v="0"/>
    <x v="0"/>
    <x v="0"/>
    <x v="0"/>
    <x v="1"/>
    <s v="DK2_Offshore"/>
    <x v="7"/>
    <x v="5"/>
    <s v="GNR_WT_WIND_OFF"/>
    <x v="0"/>
    <x v="16"/>
    <n v="272.24504504504603"/>
    <n v="99369.441441441697"/>
    <n v="357729.98918918998"/>
  </r>
  <r>
    <x v="0"/>
    <x v="0"/>
    <x v="0"/>
    <x v="0"/>
    <x v="1"/>
    <s v="DK2_Offshore"/>
    <x v="7"/>
    <x v="5"/>
    <s v="GNR_WT_WIND_OFF"/>
    <x v="0"/>
    <x v="17"/>
    <n v="268.87358937885301"/>
    <n v="98138.860123281396"/>
    <n v="353299.89644381299"/>
  </r>
  <r>
    <x v="0"/>
    <x v="0"/>
    <x v="0"/>
    <x v="0"/>
    <x v="1"/>
    <s v="DK2_Offshore"/>
    <x v="7"/>
    <x v="5"/>
    <s v="GNR_WT_WIND_OFF"/>
    <x v="0"/>
    <x v="18"/>
    <n v="367.48866761498402"/>
    <n v="134133.36367946901"/>
    <n v="482880.10924608901"/>
  </r>
  <r>
    <x v="0"/>
    <x v="0"/>
    <x v="0"/>
    <x v="0"/>
    <x v="1"/>
    <s v="DK2_Offshore"/>
    <x v="7"/>
    <x v="5"/>
    <s v="GNR_WT_WIND_OFF"/>
    <x v="0"/>
    <x v="19"/>
    <n v="547.01868183973602"/>
    <n v="199661.81887150399"/>
    <n v="718782.54793741298"/>
  </r>
  <r>
    <x v="0"/>
    <x v="0"/>
    <x v="0"/>
    <x v="0"/>
    <x v="1"/>
    <s v="DK2_Offshore"/>
    <x v="7"/>
    <x v="5"/>
    <s v="GNR_WT_WIND_OFF"/>
    <x v="0"/>
    <x v="20"/>
    <n v="633.83366524419296"/>
    <n v="231349.28781412999"/>
    <n v="832857.43613087002"/>
  </r>
  <r>
    <x v="0"/>
    <x v="0"/>
    <x v="0"/>
    <x v="0"/>
    <x v="1"/>
    <s v="DK2_Offshore"/>
    <x v="7"/>
    <x v="5"/>
    <s v="GNR_WT_WIND_OFF"/>
    <x v="0"/>
    <x v="21"/>
    <n v="683.56263632053299"/>
    <n v="249500.36225699401"/>
    <n v="898201.30412518"/>
  </r>
  <r>
    <x v="0"/>
    <x v="0"/>
    <x v="0"/>
    <x v="0"/>
    <x v="1"/>
    <s v="DK2_Offshore"/>
    <x v="7"/>
    <x v="5"/>
    <s v="GNR_WT_WIND_OFF"/>
    <x v="0"/>
    <x v="22"/>
    <n v="694.51986723565801"/>
    <n v="253499.75154101499"/>
    <n v="912599.10554765502"/>
  </r>
  <r>
    <x v="0"/>
    <x v="0"/>
    <x v="0"/>
    <x v="0"/>
    <x v="1"/>
    <s v="DK2_Offshore"/>
    <x v="7"/>
    <x v="5"/>
    <s v="GNR_WT_WIND_OFF"/>
    <x v="0"/>
    <x v="23"/>
    <n v="723.177240398295"/>
    <n v="263959.69274537801"/>
    <n v="950254.89388335904"/>
  </r>
  <r>
    <x v="0"/>
    <x v="0"/>
    <x v="0"/>
    <x v="0"/>
    <x v="1"/>
    <s v="DK2_Rural"/>
    <x v="9"/>
    <x v="1"/>
    <s v="GNR_ENG_BGAS_BP_E-39"/>
    <x v="0"/>
    <x v="1"/>
    <n v="1.01"/>
    <n v="368.65"/>
    <n v="1327.14"/>
  </r>
  <r>
    <x v="0"/>
    <x v="0"/>
    <x v="0"/>
    <x v="0"/>
    <x v="1"/>
    <s v="DK2_Rural"/>
    <x v="9"/>
    <x v="1"/>
    <s v="GNR_ENG_BGAS_BP_E-39"/>
    <x v="0"/>
    <x v="2"/>
    <n v="1.01"/>
    <n v="368.65"/>
    <n v="1327.14"/>
  </r>
  <r>
    <x v="0"/>
    <x v="0"/>
    <x v="0"/>
    <x v="0"/>
    <x v="1"/>
    <s v="DK2_Rural"/>
    <x v="9"/>
    <x v="1"/>
    <s v="GNR_ENG_BGAS_BP_E-39"/>
    <x v="0"/>
    <x v="9"/>
    <n v="1.01"/>
    <n v="368.65"/>
    <n v="1327.14"/>
  </r>
  <r>
    <x v="0"/>
    <x v="0"/>
    <x v="0"/>
    <x v="0"/>
    <x v="1"/>
    <s v="DK2_Rural"/>
    <x v="9"/>
    <x v="1"/>
    <s v="GNR_ENG_BGAS_BP_E-40"/>
    <x v="0"/>
    <x v="1"/>
    <n v="0.53"/>
    <n v="193.45"/>
    <n v="696.42"/>
  </r>
  <r>
    <x v="0"/>
    <x v="0"/>
    <x v="0"/>
    <x v="0"/>
    <x v="1"/>
    <s v="DK2_Rural"/>
    <x v="9"/>
    <x v="1"/>
    <s v="GNR_ENG_BGAS_BP_E-40"/>
    <x v="0"/>
    <x v="2"/>
    <n v="0.53"/>
    <n v="193.45"/>
    <n v="696.42"/>
  </r>
  <r>
    <x v="0"/>
    <x v="0"/>
    <x v="0"/>
    <x v="0"/>
    <x v="1"/>
    <s v="DK2_Rural"/>
    <x v="9"/>
    <x v="1"/>
    <s v="GNR_ENG_BGAS_BP_E-40"/>
    <x v="0"/>
    <x v="9"/>
    <n v="0.53"/>
    <n v="193.45"/>
    <n v="696.42"/>
  </r>
  <r>
    <x v="0"/>
    <x v="0"/>
    <x v="0"/>
    <x v="0"/>
    <x v="1"/>
    <s v="DK2_Rural"/>
    <x v="9"/>
    <x v="1"/>
    <s v="GNR_ENG_BGAS_BP_E-40"/>
    <x v="0"/>
    <x v="10"/>
    <n v="0.53"/>
    <n v="193.45"/>
    <n v="696.42"/>
  </r>
  <r>
    <x v="0"/>
    <x v="0"/>
    <x v="0"/>
    <x v="0"/>
    <x v="1"/>
    <s v="DK2_Rural"/>
    <x v="9"/>
    <x v="1"/>
    <s v="GNR_ENG_BGAS_BP_E-40"/>
    <x v="0"/>
    <x v="17"/>
    <n v="0.53"/>
    <n v="193.45"/>
    <n v="696.42"/>
  </r>
  <r>
    <x v="0"/>
    <x v="0"/>
    <x v="0"/>
    <x v="0"/>
    <x v="1"/>
    <s v="DK2_Rural"/>
    <x v="9"/>
    <x v="1"/>
    <s v="GNR_ENG_BGAS_BP_E-41"/>
    <x v="0"/>
    <x v="0"/>
    <n v="2"/>
    <n v="730"/>
    <n v="2628"/>
  </r>
  <r>
    <x v="0"/>
    <x v="0"/>
    <x v="0"/>
    <x v="0"/>
    <x v="1"/>
    <s v="DK2_Rural"/>
    <x v="9"/>
    <x v="1"/>
    <s v="GNR_ENG_BGAS_BP_E-41"/>
    <x v="0"/>
    <x v="1"/>
    <n v="2"/>
    <n v="730"/>
    <n v="2628"/>
  </r>
  <r>
    <x v="0"/>
    <x v="0"/>
    <x v="0"/>
    <x v="0"/>
    <x v="1"/>
    <s v="DK2_Rural"/>
    <x v="9"/>
    <x v="1"/>
    <s v="GNR_ENG_BGAS_BP_E-41"/>
    <x v="0"/>
    <x v="2"/>
    <n v="2"/>
    <n v="730"/>
    <n v="2628"/>
  </r>
  <r>
    <x v="0"/>
    <x v="0"/>
    <x v="0"/>
    <x v="0"/>
    <x v="1"/>
    <s v="DK2_Rural"/>
    <x v="9"/>
    <x v="1"/>
    <s v="GNR_ENG_BGAS_BP_E-41"/>
    <x v="0"/>
    <x v="9"/>
    <n v="2"/>
    <n v="730"/>
    <n v="2628"/>
  </r>
  <r>
    <x v="0"/>
    <x v="0"/>
    <x v="0"/>
    <x v="0"/>
    <x v="1"/>
    <s v="DK2_Rural"/>
    <x v="9"/>
    <x v="1"/>
    <s v="GNR_ENG_BGAS_BP_E-41"/>
    <x v="0"/>
    <x v="10"/>
    <n v="2"/>
    <n v="730"/>
    <n v="2628"/>
  </r>
  <r>
    <x v="0"/>
    <x v="0"/>
    <x v="0"/>
    <x v="0"/>
    <x v="1"/>
    <s v="DK2_Rural"/>
    <x v="9"/>
    <x v="1"/>
    <s v="GNR_ENG_BGAS_BP_E-41"/>
    <x v="0"/>
    <x v="14"/>
    <n v="2"/>
    <n v="730"/>
    <n v="2628"/>
  </r>
  <r>
    <x v="0"/>
    <x v="0"/>
    <x v="0"/>
    <x v="0"/>
    <x v="1"/>
    <s v="DK2_Rural"/>
    <x v="9"/>
    <x v="1"/>
    <s v="GNR_ENG_BGAS_BP_E-41"/>
    <x v="0"/>
    <x v="15"/>
    <n v="2"/>
    <n v="730"/>
    <n v="2628"/>
  </r>
  <r>
    <x v="0"/>
    <x v="0"/>
    <x v="0"/>
    <x v="0"/>
    <x v="1"/>
    <s v="DK2_Rural"/>
    <x v="9"/>
    <x v="1"/>
    <s v="GNR_ENG_BGAS_BP_E-41"/>
    <x v="0"/>
    <x v="16"/>
    <n v="2"/>
    <n v="730"/>
    <n v="2628"/>
  </r>
  <r>
    <x v="0"/>
    <x v="0"/>
    <x v="0"/>
    <x v="0"/>
    <x v="1"/>
    <s v="DK2_Rural"/>
    <x v="9"/>
    <x v="1"/>
    <s v="GNR_ENG_BGAS_BP_E-41"/>
    <x v="0"/>
    <x v="17"/>
    <n v="2"/>
    <n v="730"/>
    <n v="2628"/>
  </r>
  <r>
    <x v="0"/>
    <x v="0"/>
    <x v="0"/>
    <x v="0"/>
    <x v="1"/>
    <s v="DK2_Rural"/>
    <x v="9"/>
    <x v="1"/>
    <s v="GNR_ENG_BGAS_BP_E-42"/>
    <x v="0"/>
    <x v="0"/>
    <n v="5.734"/>
    <n v="2092.91"/>
    <n v="7534.4759999999997"/>
  </r>
  <r>
    <x v="0"/>
    <x v="0"/>
    <x v="0"/>
    <x v="0"/>
    <x v="1"/>
    <s v="DK2_Rural"/>
    <x v="9"/>
    <x v="1"/>
    <s v="GNR_ENG_BGAS_BP_E-42"/>
    <x v="0"/>
    <x v="1"/>
    <n v="5.734"/>
    <n v="2092.91"/>
    <n v="7534.4759999999997"/>
  </r>
  <r>
    <x v="0"/>
    <x v="0"/>
    <x v="0"/>
    <x v="0"/>
    <x v="1"/>
    <s v="DK2_Rural"/>
    <x v="9"/>
    <x v="1"/>
    <s v="GNR_ENG_BGAS_BP_E-42"/>
    <x v="0"/>
    <x v="2"/>
    <n v="5.734"/>
    <n v="2092.91"/>
    <n v="7534.4759999999997"/>
  </r>
  <r>
    <x v="0"/>
    <x v="0"/>
    <x v="0"/>
    <x v="0"/>
    <x v="1"/>
    <s v="DK2_Rural"/>
    <x v="9"/>
    <x v="1"/>
    <s v="GNR_ENG_BGAS_BP_E-42"/>
    <x v="0"/>
    <x v="9"/>
    <n v="5.734"/>
    <n v="2092.91"/>
    <n v="7534.4759999999997"/>
  </r>
  <r>
    <x v="0"/>
    <x v="0"/>
    <x v="0"/>
    <x v="0"/>
    <x v="1"/>
    <s v="DK2_Rural"/>
    <x v="9"/>
    <x v="1"/>
    <s v="GNR_ENG_BGAS_BP_E-42"/>
    <x v="0"/>
    <x v="10"/>
    <n v="5.734"/>
    <n v="2092.91"/>
    <n v="7534.4759999999997"/>
  </r>
  <r>
    <x v="0"/>
    <x v="0"/>
    <x v="0"/>
    <x v="0"/>
    <x v="1"/>
    <s v="DK2_Rural"/>
    <x v="9"/>
    <x v="1"/>
    <s v="GNR_ENG_BGAS_BP_E-42"/>
    <x v="0"/>
    <x v="14"/>
    <n v="5.734"/>
    <n v="2092.91"/>
    <n v="7534.4759999999997"/>
  </r>
  <r>
    <x v="0"/>
    <x v="0"/>
    <x v="0"/>
    <x v="0"/>
    <x v="1"/>
    <s v="DK2_Rural"/>
    <x v="9"/>
    <x v="1"/>
    <s v="GNR_ENG_BGAS_BP_E-42"/>
    <x v="0"/>
    <x v="15"/>
    <n v="5.734"/>
    <n v="2092.91"/>
    <n v="7534.4759999999997"/>
  </r>
  <r>
    <x v="0"/>
    <x v="0"/>
    <x v="0"/>
    <x v="0"/>
    <x v="1"/>
    <s v="DK2_Rural"/>
    <x v="9"/>
    <x v="1"/>
    <s v="GNR_ENG_BGAS_BP_E-42"/>
    <x v="0"/>
    <x v="16"/>
    <n v="5.734"/>
    <n v="2092.91"/>
    <n v="7534.4759999999997"/>
  </r>
  <r>
    <x v="0"/>
    <x v="0"/>
    <x v="0"/>
    <x v="0"/>
    <x v="1"/>
    <s v="DK2_Rural"/>
    <x v="9"/>
    <x v="1"/>
    <s v="GNR_ENG_BGAS_BP_E-42"/>
    <x v="0"/>
    <x v="17"/>
    <n v="5.734"/>
    <n v="2092.91"/>
    <n v="7534.4759999999997"/>
  </r>
  <r>
    <x v="0"/>
    <x v="0"/>
    <x v="0"/>
    <x v="0"/>
    <x v="1"/>
    <s v="DK2_Rural"/>
    <x v="0"/>
    <x v="1"/>
    <s v="GNR_ST_COAL_BP_E-35"/>
    <x v="0"/>
    <x v="1"/>
    <n v="37"/>
    <n v="13505"/>
    <n v="48618"/>
  </r>
  <r>
    <x v="0"/>
    <x v="0"/>
    <x v="0"/>
    <x v="0"/>
    <x v="1"/>
    <s v="DK2_Rural"/>
    <x v="0"/>
    <x v="1"/>
    <s v="GNR_ST_COAL_BP_E-35"/>
    <x v="0"/>
    <x v="2"/>
    <n v="37"/>
    <n v="13505"/>
    <n v="48618"/>
  </r>
  <r>
    <x v="0"/>
    <x v="0"/>
    <x v="0"/>
    <x v="0"/>
    <x v="1"/>
    <s v="DK2_Rural"/>
    <x v="0"/>
    <x v="1"/>
    <s v="GNR_ST_COAL_BP_E-35"/>
    <x v="0"/>
    <x v="9"/>
    <n v="37"/>
    <n v="13505"/>
    <n v="48618"/>
  </r>
  <r>
    <x v="0"/>
    <x v="0"/>
    <x v="0"/>
    <x v="0"/>
    <x v="1"/>
    <s v="DK2_Rural"/>
    <x v="2"/>
    <x v="1"/>
    <s v="GNR_ENG_NGAS_BP_E-33"/>
    <x v="0"/>
    <x v="3"/>
    <n v="6.87"/>
    <n v="2507.5500000000002"/>
    <n v="9027.18"/>
  </r>
  <r>
    <x v="0"/>
    <x v="0"/>
    <x v="0"/>
    <x v="0"/>
    <x v="1"/>
    <s v="DK2_Rural"/>
    <x v="2"/>
    <x v="1"/>
    <s v="GNR_ENG_NGAS_BP_E-33"/>
    <x v="0"/>
    <x v="4"/>
    <n v="6.87"/>
    <n v="2507.5500000000002"/>
    <n v="9027.18"/>
  </r>
  <r>
    <x v="0"/>
    <x v="0"/>
    <x v="0"/>
    <x v="0"/>
    <x v="1"/>
    <s v="DK2_Rural"/>
    <x v="2"/>
    <x v="1"/>
    <s v="GNR_ENG_NGAS_BP_E-33"/>
    <x v="0"/>
    <x v="5"/>
    <n v="6.87"/>
    <n v="2507.5500000000002"/>
    <n v="9027.18"/>
  </r>
  <r>
    <x v="0"/>
    <x v="0"/>
    <x v="0"/>
    <x v="0"/>
    <x v="1"/>
    <s v="DK2_Rural"/>
    <x v="2"/>
    <x v="1"/>
    <s v="GNR_ENG_NGAS_BP_E-33"/>
    <x v="0"/>
    <x v="6"/>
    <n v="6.87"/>
    <n v="2507.5500000000002"/>
    <n v="9027.18"/>
  </r>
  <r>
    <x v="0"/>
    <x v="0"/>
    <x v="0"/>
    <x v="0"/>
    <x v="1"/>
    <s v="DK2_Rural"/>
    <x v="2"/>
    <x v="1"/>
    <s v="GNR_ENG_NGAS_BP_E-33"/>
    <x v="0"/>
    <x v="7"/>
    <n v="6.87"/>
    <n v="2507.5500000000002"/>
    <n v="9027.18"/>
  </r>
  <r>
    <x v="0"/>
    <x v="0"/>
    <x v="0"/>
    <x v="0"/>
    <x v="1"/>
    <s v="DK2_Rural"/>
    <x v="2"/>
    <x v="1"/>
    <s v="GNR_ENG_NGAS_BP_E-33"/>
    <x v="0"/>
    <x v="8"/>
    <n v="6.87"/>
    <n v="2507.5500000000002"/>
    <n v="9027.18"/>
  </r>
  <r>
    <x v="0"/>
    <x v="0"/>
    <x v="0"/>
    <x v="0"/>
    <x v="1"/>
    <s v="DK2_Rural"/>
    <x v="2"/>
    <x v="1"/>
    <s v="GNR_ENG_NGAS_BP_E-33"/>
    <x v="0"/>
    <x v="0"/>
    <n v="6.87"/>
    <n v="2507.5500000000002"/>
    <n v="9027.18"/>
  </r>
  <r>
    <x v="0"/>
    <x v="0"/>
    <x v="0"/>
    <x v="0"/>
    <x v="1"/>
    <s v="DK2_Rural"/>
    <x v="2"/>
    <x v="1"/>
    <s v="GNR_ENG_NGAS_BP_E-33"/>
    <x v="0"/>
    <x v="1"/>
    <n v="6.87"/>
    <n v="2507.5500000000002"/>
    <n v="9027.18"/>
  </r>
  <r>
    <x v="0"/>
    <x v="0"/>
    <x v="0"/>
    <x v="0"/>
    <x v="1"/>
    <s v="DK2_Rural"/>
    <x v="2"/>
    <x v="1"/>
    <s v="GNR_ENG_NGAS_BP_E-33"/>
    <x v="0"/>
    <x v="2"/>
    <n v="6.87"/>
    <n v="2507.5500000000002"/>
    <n v="9027.18"/>
  </r>
  <r>
    <x v="0"/>
    <x v="0"/>
    <x v="0"/>
    <x v="0"/>
    <x v="1"/>
    <s v="DK2_Rural"/>
    <x v="2"/>
    <x v="1"/>
    <s v="GNR_ENG_NGAS_BP_E-33"/>
    <x v="0"/>
    <x v="9"/>
    <n v="6.87"/>
    <n v="2507.5500000000002"/>
    <n v="9027.18"/>
  </r>
  <r>
    <x v="0"/>
    <x v="0"/>
    <x v="0"/>
    <x v="0"/>
    <x v="1"/>
    <s v="DK2_Rural"/>
    <x v="2"/>
    <x v="1"/>
    <s v="GNR_ENG_NGAS_BP_E-33"/>
    <x v="0"/>
    <x v="10"/>
    <n v="6.87"/>
    <n v="2507.5500000000002"/>
    <n v="9027.18"/>
  </r>
  <r>
    <x v="0"/>
    <x v="0"/>
    <x v="0"/>
    <x v="0"/>
    <x v="1"/>
    <s v="DK2_Rural"/>
    <x v="2"/>
    <x v="1"/>
    <s v="GNR_ENG_NGAS_BP_E-33"/>
    <x v="0"/>
    <x v="11"/>
    <n v="6.87"/>
    <n v="2507.5500000000002"/>
    <n v="9027.18"/>
  </r>
  <r>
    <x v="0"/>
    <x v="0"/>
    <x v="0"/>
    <x v="0"/>
    <x v="1"/>
    <s v="DK2_Rural"/>
    <x v="2"/>
    <x v="1"/>
    <s v="GNR_ENG_NGAS_BP_E-33"/>
    <x v="0"/>
    <x v="12"/>
    <n v="6.87"/>
    <n v="2507.5500000000002"/>
    <n v="9027.18"/>
  </r>
  <r>
    <x v="0"/>
    <x v="0"/>
    <x v="0"/>
    <x v="0"/>
    <x v="1"/>
    <s v="DK2_Rural"/>
    <x v="2"/>
    <x v="1"/>
    <s v="GNR_ENG_NGAS_BP_E-33"/>
    <x v="0"/>
    <x v="13"/>
    <n v="6.87"/>
    <n v="2507.5500000000002"/>
    <n v="9027.18"/>
  </r>
  <r>
    <x v="0"/>
    <x v="0"/>
    <x v="0"/>
    <x v="0"/>
    <x v="1"/>
    <s v="DK2_Rural"/>
    <x v="2"/>
    <x v="1"/>
    <s v="GNR_ENG_NGAS_BP_E-33"/>
    <x v="0"/>
    <x v="14"/>
    <n v="6.87"/>
    <n v="2507.5500000000002"/>
    <n v="9027.18"/>
  </r>
  <r>
    <x v="0"/>
    <x v="0"/>
    <x v="0"/>
    <x v="0"/>
    <x v="1"/>
    <s v="DK2_Rural"/>
    <x v="2"/>
    <x v="1"/>
    <s v="GNR_ENG_NGAS_BP_E-33"/>
    <x v="0"/>
    <x v="15"/>
    <n v="6.87"/>
    <n v="2507.5500000000002"/>
    <n v="9027.18"/>
  </r>
  <r>
    <x v="0"/>
    <x v="0"/>
    <x v="0"/>
    <x v="0"/>
    <x v="1"/>
    <s v="DK2_Rural"/>
    <x v="2"/>
    <x v="1"/>
    <s v="GNR_ENG_NGAS_BP_E-33"/>
    <x v="0"/>
    <x v="16"/>
    <n v="6.87"/>
    <n v="2507.5500000000002"/>
    <n v="9027.18"/>
  </r>
  <r>
    <x v="0"/>
    <x v="0"/>
    <x v="0"/>
    <x v="0"/>
    <x v="1"/>
    <s v="DK2_Rural"/>
    <x v="2"/>
    <x v="1"/>
    <s v="GNR_ENG_NGAS_BP_E-33"/>
    <x v="0"/>
    <x v="17"/>
    <n v="6.87"/>
    <n v="2507.5500000000002"/>
    <n v="9027.18"/>
  </r>
  <r>
    <x v="0"/>
    <x v="0"/>
    <x v="0"/>
    <x v="0"/>
    <x v="1"/>
    <s v="DK2_Rural"/>
    <x v="2"/>
    <x v="1"/>
    <s v="GNR_ENG_NGAS_BP_E-33"/>
    <x v="0"/>
    <x v="18"/>
    <n v="6.87"/>
    <n v="2507.5500000000002"/>
    <n v="9027.18"/>
  </r>
  <r>
    <x v="0"/>
    <x v="0"/>
    <x v="0"/>
    <x v="0"/>
    <x v="1"/>
    <s v="DK2_Rural"/>
    <x v="2"/>
    <x v="1"/>
    <s v="GNR_ENG_NGAS_BP_E-33"/>
    <x v="0"/>
    <x v="19"/>
    <n v="6.87"/>
    <n v="2507.5500000000002"/>
    <n v="9027.18"/>
  </r>
  <r>
    <x v="0"/>
    <x v="0"/>
    <x v="0"/>
    <x v="0"/>
    <x v="1"/>
    <s v="DK2_Rural"/>
    <x v="2"/>
    <x v="1"/>
    <s v="GNR_ENG_NGAS_BP_E-33"/>
    <x v="0"/>
    <x v="20"/>
    <n v="6.87"/>
    <n v="2507.5500000000002"/>
    <n v="9027.18"/>
  </r>
  <r>
    <x v="0"/>
    <x v="0"/>
    <x v="0"/>
    <x v="0"/>
    <x v="1"/>
    <s v="DK2_Rural"/>
    <x v="2"/>
    <x v="1"/>
    <s v="GNR_ENG_NGAS_BP_E-33"/>
    <x v="0"/>
    <x v="21"/>
    <n v="6.87"/>
    <n v="2507.5500000000002"/>
    <n v="9027.18"/>
  </r>
  <r>
    <x v="0"/>
    <x v="0"/>
    <x v="0"/>
    <x v="0"/>
    <x v="1"/>
    <s v="DK2_Rural"/>
    <x v="2"/>
    <x v="1"/>
    <s v="GNR_ENG_NGAS_BP_E-33"/>
    <x v="0"/>
    <x v="22"/>
    <n v="6.87"/>
    <n v="2507.5500000000002"/>
    <n v="9027.18"/>
  </r>
  <r>
    <x v="0"/>
    <x v="0"/>
    <x v="0"/>
    <x v="0"/>
    <x v="1"/>
    <s v="DK2_Rural"/>
    <x v="2"/>
    <x v="1"/>
    <s v="GNR_ENG_NGAS_BP_E-33"/>
    <x v="0"/>
    <x v="23"/>
    <n v="6.87"/>
    <n v="2507.5500000000002"/>
    <n v="9027.18"/>
  </r>
  <r>
    <x v="0"/>
    <x v="0"/>
    <x v="0"/>
    <x v="0"/>
    <x v="1"/>
    <s v="DK2_Rural"/>
    <x v="2"/>
    <x v="1"/>
    <s v="GNR_ENG_NGAS_BP_E-34"/>
    <x v="0"/>
    <x v="3"/>
    <n v="3.97"/>
    <n v="1449.05"/>
    <n v="5216.58"/>
  </r>
  <r>
    <x v="0"/>
    <x v="0"/>
    <x v="0"/>
    <x v="0"/>
    <x v="1"/>
    <s v="DK2_Rural"/>
    <x v="2"/>
    <x v="1"/>
    <s v="GNR_ENG_NGAS_BP_E-34"/>
    <x v="0"/>
    <x v="4"/>
    <n v="3.97"/>
    <n v="1449.05"/>
    <n v="5216.58"/>
  </r>
  <r>
    <x v="0"/>
    <x v="0"/>
    <x v="0"/>
    <x v="0"/>
    <x v="1"/>
    <s v="DK2_Rural"/>
    <x v="2"/>
    <x v="1"/>
    <s v="GNR_ENG_NGAS_BP_E-34"/>
    <x v="0"/>
    <x v="5"/>
    <n v="3.97"/>
    <n v="1449.05"/>
    <n v="5216.58"/>
  </r>
  <r>
    <x v="0"/>
    <x v="0"/>
    <x v="0"/>
    <x v="0"/>
    <x v="1"/>
    <s v="DK2_Rural"/>
    <x v="2"/>
    <x v="1"/>
    <s v="GNR_ENG_NGAS_BP_E-34"/>
    <x v="0"/>
    <x v="6"/>
    <n v="3.97"/>
    <n v="1449.05"/>
    <n v="5216.58"/>
  </r>
  <r>
    <x v="0"/>
    <x v="0"/>
    <x v="0"/>
    <x v="0"/>
    <x v="1"/>
    <s v="DK2_Rural"/>
    <x v="2"/>
    <x v="1"/>
    <s v="GNR_ENG_NGAS_BP_E-34"/>
    <x v="0"/>
    <x v="7"/>
    <n v="3.97"/>
    <n v="1449.05"/>
    <n v="5216.58"/>
  </r>
  <r>
    <x v="0"/>
    <x v="0"/>
    <x v="0"/>
    <x v="0"/>
    <x v="1"/>
    <s v="DK2_Rural"/>
    <x v="2"/>
    <x v="1"/>
    <s v="GNR_ENG_NGAS_BP_E-34"/>
    <x v="0"/>
    <x v="8"/>
    <n v="3.97"/>
    <n v="1449.05"/>
    <n v="5216.58"/>
  </r>
  <r>
    <x v="0"/>
    <x v="0"/>
    <x v="0"/>
    <x v="0"/>
    <x v="1"/>
    <s v="DK2_Rural"/>
    <x v="2"/>
    <x v="1"/>
    <s v="GNR_ENG_NGAS_BP_E-34"/>
    <x v="0"/>
    <x v="0"/>
    <n v="3.97"/>
    <n v="1449.05"/>
    <n v="5216.58"/>
  </r>
  <r>
    <x v="0"/>
    <x v="0"/>
    <x v="0"/>
    <x v="0"/>
    <x v="1"/>
    <s v="DK2_Rural"/>
    <x v="2"/>
    <x v="1"/>
    <s v="GNR_ENG_NGAS_BP_E-34"/>
    <x v="0"/>
    <x v="1"/>
    <n v="3.97"/>
    <n v="1449.05"/>
    <n v="5216.58"/>
  </r>
  <r>
    <x v="0"/>
    <x v="0"/>
    <x v="0"/>
    <x v="0"/>
    <x v="1"/>
    <s v="DK2_Rural"/>
    <x v="2"/>
    <x v="1"/>
    <s v="GNR_ENG_NGAS_BP_E-34"/>
    <x v="0"/>
    <x v="2"/>
    <n v="3.97"/>
    <n v="1449.05"/>
    <n v="5216.58"/>
  </r>
  <r>
    <x v="0"/>
    <x v="0"/>
    <x v="0"/>
    <x v="0"/>
    <x v="1"/>
    <s v="DK2_Rural"/>
    <x v="2"/>
    <x v="1"/>
    <s v="GNR_ENG_NGAS_BP_E-34"/>
    <x v="0"/>
    <x v="9"/>
    <n v="3.97"/>
    <n v="1449.05"/>
    <n v="5216.58"/>
  </r>
  <r>
    <x v="0"/>
    <x v="0"/>
    <x v="0"/>
    <x v="0"/>
    <x v="1"/>
    <s v="DK2_Rural"/>
    <x v="2"/>
    <x v="1"/>
    <s v="GNR_ENG_NGAS_BP_E-34"/>
    <x v="0"/>
    <x v="10"/>
    <n v="3.97"/>
    <n v="1449.05"/>
    <n v="5216.58"/>
  </r>
  <r>
    <x v="0"/>
    <x v="0"/>
    <x v="0"/>
    <x v="0"/>
    <x v="1"/>
    <s v="DK2_Rural"/>
    <x v="2"/>
    <x v="1"/>
    <s v="GNR_ENG_NGAS_BP_E-34"/>
    <x v="0"/>
    <x v="11"/>
    <n v="3.97"/>
    <n v="1449.05"/>
    <n v="5216.58"/>
  </r>
  <r>
    <x v="0"/>
    <x v="0"/>
    <x v="0"/>
    <x v="0"/>
    <x v="1"/>
    <s v="DK2_Rural"/>
    <x v="2"/>
    <x v="1"/>
    <s v="GNR_ENG_NGAS_BP_E-34"/>
    <x v="0"/>
    <x v="12"/>
    <n v="3.97"/>
    <n v="1449.05"/>
    <n v="5216.58"/>
  </r>
  <r>
    <x v="0"/>
    <x v="0"/>
    <x v="0"/>
    <x v="0"/>
    <x v="1"/>
    <s v="DK2_Rural"/>
    <x v="2"/>
    <x v="1"/>
    <s v="GNR_ENG_NGAS_BP_E-34"/>
    <x v="0"/>
    <x v="13"/>
    <n v="3.97"/>
    <n v="1449.05"/>
    <n v="5216.58"/>
  </r>
  <r>
    <x v="0"/>
    <x v="0"/>
    <x v="0"/>
    <x v="0"/>
    <x v="1"/>
    <s v="DK2_Rural"/>
    <x v="2"/>
    <x v="1"/>
    <s v="GNR_ENG_NGAS_BP_E-34"/>
    <x v="0"/>
    <x v="14"/>
    <n v="3.97"/>
    <n v="1449.05"/>
    <n v="5216.58"/>
  </r>
  <r>
    <x v="0"/>
    <x v="0"/>
    <x v="0"/>
    <x v="0"/>
    <x v="1"/>
    <s v="DK2_Rural"/>
    <x v="2"/>
    <x v="1"/>
    <s v="GNR_ENG_NGAS_BP_E-34"/>
    <x v="0"/>
    <x v="15"/>
    <n v="3.97"/>
    <n v="1449.05"/>
    <n v="5216.58"/>
  </r>
  <r>
    <x v="0"/>
    <x v="0"/>
    <x v="0"/>
    <x v="0"/>
    <x v="1"/>
    <s v="DK2_Rural"/>
    <x v="2"/>
    <x v="1"/>
    <s v="GNR_ENG_NGAS_BP_E-34"/>
    <x v="0"/>
    <x v="16"/>
    <n v="3.97"/>
    <n v="1449.05"/>
    <n v="5216.58"/>
  </r>
  <r>
    <x v="0"/>
    <x v="0"/>
    <x v="0"/>
    <x v="0"/>
    <x v="1"/>
    <s v="DK2_Rural"/>
    <x v="2"/>
    <x v="1"/>
    <s v="GNR_ENG_NGAS_BP_E-34"/>
    <x v="0"/>
    <x v="17"/>
    <n v="3.97"/>
    <n v="1449.05"/>
    <n v="5216.58"/>
  </r>
  <r>
    <x v="0"/>
    <x v="0"/>
    <x v="0"/>
    <x v="0"/>
    <x v="1"/>
    <s v="DK2_Rural"/>
    <x v="2"/>
    <x v="1"/>
    <s v="GNR_ENG_NGAS_BP_E-34"/>
    <x v="0"/>
    <x v="18"/>
    <n v="3.97"/>
    <n v="1449.05"/>
    <n v="5216.58"/>
  </r>
  <r>
    <x v="0"/>
    <x v="0"/>
    <x v="0"/>
    <x v="0"/>
    <x v="1"/>
    <s v="DK2_Rural"/>
    <x v="2"/>
    <x v="1"/>
    <s v="GNR_ENG_NGAS_BP_E-34"/>
    <x v="0"/>
    <x v="19"/>
    <n v="3.97"/>
    <n v="1449.05"/>
    <n v="5216.58"/>
  </r>
  <r>
    <x v="0"/>
    <x v="0"/>
    <x v="0"/>
    <x v="0"/>
    <x v="1"/>
    <s v="DK2_Rural"/>
    <x v="2"/>
    <x v="1"/>
    <s v="GNR_ENG_NGAS_BP_E-34"/>
    <x v="0"/>
    <x v="20"/>
    <n v="3.97"/>
    <n v="1449.05"/>
    <n v="5216.58"/>
  </r>
  <r>
    <x v="0"/>
    <x v="0"/>
    <x v="0"/>
    <x v="0"/>
    <x v="1"/>
    <s v="DK2_Rural"/>
    <x v="2"/>
    <x v="1"/>
    <s v="GNR_ENG_NGAS_BP_E-34"/>
    <x v="0"/>
    <x v="21"/>
    <n v="3.97"/>
    <n v="1449.05"/>
    <n v="5216.58"/>
  </r>
  <r>
    <x v="0"/>
    <x v="0"/>
    <x v="0"/>
    <x v="0"/>
    <x v="1"/>
    <s v="DK2_Rural"/>
    <x v="2"/>
    <x v="1"/>
    <s v="GNR_ENG_NGAS_BP_E-34"/>
    <x v="0"/>
    <x v="22"/>
    <n v="3.97"/>
    <n v="1449.05"/>
    <n v="5216.58"/>
  </r>
  <r>
    <x v="0"/>
    <x v="0"/>
    <x v="0"/>
    <x v="0"/>
    <x v="1"/>
    <s v="DK2_Rural"/>
    <x v="2"/>
    <x v="1"/>
    <s v="GNR_ENG_NGAS_BP_E-34"/>
    <x v="0"/>
    <x v="23"/>
    <n v="3.97"/>
    <n v="1449.05"/>
    <n v="5216.58"/>
  </r>
  <r>
    <x v="0"/>
    <x v="0"/>
    <x v="0"/>
    <x v="0"/>
    <x v="1"/>
    <s v="DK2_Rural"/>
    <x v="2"/>
    <x v="1"/>
    <s v="GNR_ENG_NGAS_BP_E-35"/>
    <x v="0"/>
    <x v="3"/>
    <n v="7.29"/>
    <n v="2660.85"/>
    <n v="9579.06"/>
  </r>
  <r>
    <x v="0"/>
    <x v="0"/>
    <x v="0"/>
    <x v="0"/>
    <x v="1"/>
    <s v="DK2_Rural"/>
    <x v="2"/>
    <x v="1"/>
    <s v="GNR_ENG_NGAS_BP_E-35"/>
    <x v="0"/>
    <x v="4"/>
    <n v="7.29"/>
    <n v="2660.85"/>
    <n v="9579.06"/>
  </r>
  <r>
    <x v="0"/>
    <x v="0"/>
    <x v="0"/>
    <x v="0"/>
    <x v="1"/>
    <s v="DK2_Rural"/>
    <x v="2"/>
    <x v="1"/>
    <s v="GNR_ENG_NGAS_BP_E-35"/>
    <x v="0"/>
    <x v="5"/>
    <n v="7.29"/>
    <n v="2660.85"/>
    <n v="9579.06"/>
  </r>
  <r>
    <x v="0"/>
    <x v="0"/>
    <x v="0"/>
    <x v="0"/>
    <x v="1"/>
    <s v="DK2_Rural"/>
    <x v="2"/>
    <x v="1"/>
    <s v="GNR_ENG_NGAS_BP_E-35"/>
    <x v="0"/>
    <x v="6"/>
    <n v="7.29"/>
    <n v="2660.85"/>
    <n v="9579.06"/>
  </r>
  <r>
    <x v="0"/>
    <x v="0"/>
    <x v="0"/>
    <x v="0"/>
    <x v="1"/>
    <s v="DK2_Rural"/>
    <x v="2"/>
    <x v="1"/>
    <s v="GNR_ENG_NGAS_BP_E-35"/>
    <x v="0"/>
    <x v="7"/>
    <n v="7.29"/>
    <n v="2660.85"/>
    <n v="9579.06"/>
  </r>
  <r>
    <x v="0"/>
    <x v="0"/>
    <x v="0"/>
    <x v="0"/>
    <x v="1"/>
    <s v="DK2_Rural"/>
    <x v="2"/>
    <x v="1"/>
    <s v="GNR_ENG_NGAS_BP_E-35"/>
    <x v="0"/>
    <x v="8"/>
    <n v="7.29"/>
    <n v="2660.85"/>
    <n v="9579.06"/>
  </r>
  <r>
    <x v="0"/>
    <x v="0"/>
    <x v="0"/>
    <x v="0"/>
    <x v="1"/>
    <s v="DK2_Rural"/>
    <x v="2"/>
    <x v="1"/>
    <s v="GNR_ENG_NGAS_BP_E-35"/>
    <x v="0"/>
    <x v="0"/>
    <n v="7.29"/>
    <n v="2660.85"/>
    <n v="9579.06"/>
  </r>
  <r>
    <x v="0"/>
    <x v="0"/>
    <x v="0"/>
    <x v="0"/>
    <x v="1"/>
    <s v="DK2_Rural"/>
    <x v="2"/>
    <x v="1"/>
    <s v="GNR_ENG_NGAS_BP_E-35"/>
    <x v="0"/>
    <x v="1"/>
    <n v="7.29"/>
    <n v="2660.85"/>
    <n v="9579.06"/>
  </r>
  <r>
    <x v="0"/>
    <x v="0"/>
    <x v="0"/>
    <x v="0"/>
    <x v="1"/>
    <s v="DK2_Rural"/>
    <x v="2"/>
    <x v="1"/>
    <s v="GNR_ENG_NGAS_BP_E-35"/>
    <x v="0"/>
    <x v="2"/>
    <n v="7.29"/>
    <n v="2660.85"/>
    <n v="9579.06"/>
  </r>
  <r>
    <x v="0"/>
    <x v="0"/>
    <x v="0"/>
    <x v="0"/>
    <x v="1"/>
    <s v="DK2_Rural"/>
    <x v="2"/>
    <x v="1"/>
    <s v="GNR_ENG_NGAS_BP_E-35"/>
    <x v="0"/>
    <x v="9"/>
    <n v="7.29"/>
    <n v="2660.85"/>
    <n v="9579.06"/>
  </r>
  <r>
    <x v="0"/>
    <x v="0"/>
    <x v="0"/>
    <x v="0"/>
    <x v="1"/>
    <s v="DK2_Rural"/>
    <x v="2"/>
    <x v="1"/>
    <s v="GNR_ENG_NGAS_BP_E-35"/>
    <x v="0"/>
    <x v="10"/>
    <n v="7.29"/>
    <n v="2660.85"/>
    <n v="9579.06"/>
  </r>
  <r>
    <x v="0"/>
    <x v="0"/>
    <x v="0"/>
    <x v="0"/>
    <x v="1"/>
    <s v="DK2_Rural"/>
    <x v="2"/>
    <x v="1"/>
    <s v="GNR_ENG_NGAS_BP_E-35"/>
    <x v="0"/>
    <x v="11"/>
    <n v="7.29"/>
    <n v="2660.85"/>
    <n v="9579.06"/>
  </r>
  <r>
    <x v="0"/>
    <x v="0"/>
    <x v="0"/>
    <x v="0"/>
    <x v="1"/>
    <s v="DK2_Rural"/>
    <x v="2"/>
    <x v="1"/>
    <s v="GNR_ENG_NGAS_BP_E-35"/>
    <x v="0"/>
    <x v="12"/>
    <n v="7.29"/>
    <n v="2660.85"/>
    <n v="9579.06"/>
  </r>
  <r>
    <x v="0"/>
    <x v="0"/>
    <x v="0"/>
    <x v="0"/>
    <x v="1"/>
    <s v="DK2_Rural"/>
    <x v="2"/>
    <x v="1"/>
    <s v="GNR_ENG_NGAS_BP_E-35"/>
    <x v="0"/>
    <x v="13"/>
    <n v="7.29"/>
    <n v="2660.85"/>
    <n v="9579.06"/>
  </r>
  <r>
    <x v="0"/>
    <x v="0"/>
    <x v="0"/>
    <x v="0"/>
    <x v="1"/>
    <s v="DK2_Rural"/>
    <x v="2"/>
    <x v="1"/>
    <s v="GNR_ENG_NGAS_BP_E-35"/>
    <x v="0"/>
    <x v="14"/>
    <n v="7.29"/>
    <n v="2660.85"/>
    <n v="9579.06"/>
  </r>
  <r>
    <x v="0"/>
    <x v="0"/>
    <x v="0"/>
    <x v="0"/>
    <x v="1"/>
    <s v="DK2_Rural"/>
    <x v="2"/>
    <x v="1"/>
    <s v="GNR_ENG_NGAS_BP_E-35"/>
    <x v="0"/>
    <x v="15"/>
    <n v="7.29"/>
    <n v="2660.85"/>
    <n v="9579.06"/>
  </r>
  <r>
    <x v="0"/>
    <x v="0"/>
    <x v="0"/>
    <x v="0"/>
    <x v="1"/>
    <s v="DK2_Rural"/>
    <x v="2"/>
    <x v="1"/>
    <s v="GNR_ENG_NGAS_BP_E-35"/>
    <x v="0"/>
    <x v="16"/>
    <n v="7.29"/>
    <n v="2660.85"/>
    <n v="9579.06"/>
  </r>
  <r>
    <x v="0"/>
    <x v="0"/>
    <x v="0"/>
    <x v="0"/>
    <x v="1"/>
    <s v="DK2_Rural"/>
    <x v="2"/>
    <x v="1"/>
    <s v="GNR_ENG_NGAS_BP_E-35"/>
    <x v="0"/>
    <x v="17"/>
    <n v="7.29"/>
    <n v="2660.85"/>
    <n v="9579.06"/>
  </r>
  <r>
    <x v="0"/>
    <x v="0"/>
    <x v="0"/>
    <x v="0"/>
    <x v="1"/>
    <s v="DK2_Rural"/>
    <x v="2"/>
    <x v="1"/>
    <s v="GNR_ENG_NGAS_BP_E-35"/>
    <x v="0"/>
    <x v="18"/>
    <n v="7.29"/>
    <n v="2660.85"/>
    <n v="9579.06"/>
  </r>
  <r>
    <x v="0"/>
    <x v="0"/>
    <x v="0"/>
    <x v="0"/>
    <x v="1"/>
    <s v="DK2_Rural"/>
    <x v="2"/>
    <x v="1"/>
    <s v="GNR_ENG_NGAS_BP_E-35"/>
    <x v="0"/>
    <x v="19"/>
    <n v="7.29"/>
    <n v="2660.85"/>
    <n v="9579.06"/>
  </r>
  <r>
    <x v="0"/>
    <x v="0"/>
    <x v="0"/>
    <x v="0"/>
    <x v="1"/>
    <s v="DK2_Rural"/>
    <x v="2"/>
    <x v="1"/>
    <s v="GNR_ENG_NGAS_BP_E-35"/>
    <x v="0"/>
    <x v="20"/>
    <n v="7.29"/>
    <n v="2660.85"/>
    <n v="9579.06"/>
  </r>
  <r>
    <x v="0"/>
    <x v="0"/>
    <x v="0"/>
    <x v="0"/>
    <x v="1"/>
    <s v="DK2_Rural"/>
    <x v="2"/>
    <x v="1"/>
    <s v="GNR_ENG_NGAS_BP_E-35"/>
    <x v="0"/>
    <x v="21"/>
    <n v="7.29"/>
    <n v="2660.85"/>
    <n v="9579.06"/>
  </r>
  <r>
    <x v="0"/>
    <x v="0"/>
    <x v="0"/>
    <x v="0"/>
    <x v="1"/>
    <s v="DK2_Rural"/>
    <x v="2"/>
    <x v="1"/>
    <s v="GNR_ENG_NGAS_BP_E-35"/>
    <x v="0"/>
    <x v="22"/>
    <n v="7.29"/>
    <n v="2660.85"/>
    <n v="9579.06"/>
  </r>
  <r>
    <x v="0"/>
    <x v="0"/>
    <x v="0"/>
    <x v="0"/>
    <x v="1"/>
    <s v="DK2_Rural"/>
    <x v="2"/>
    <x v="1"/>
    <s v="GNR_ENG_NGAS_BP_E-35"/>
    <x v="0"/>
    <x v="23"/>
    <n v="7.29"/>
    <n v="2660.85"/>
    <n v="9579.06"/>
  </r>
  <r>
    <x v="0"/>
    <x v="0"/>
    <x v="0"/>
    <x v="0"/>
    <x v="1"/>
    <s v="DK2_Rural"/>
    <x v="2"/>
    <x v="1"/>
    <s v="GNR_ENG_NGAS_BP_E-36"/>
    <x v="0"/>
    <x v="3"/>
    <n v="1.3149999999999999"/>
    <n v="479.97500000000002"/>
    <n v="1727.91"/>
  </r>
  <r>
    <x v="0"/>
    <x v="0"/>
    <x v="0"/>
    <x v="0"/>
    <x v="1"/>
    <s v="DK2_Rural"/>
    <x v="2"/>
    <x v="1"/>
    <s v="GNR_ENG_NGAS_BP_E-36"/>
    <x v="0"/>
    <x v="4"/>
    <n v="1.3149999999999999"/>
    <n v="479.97500000000002"/>
    <n v="1727.91"/>
  </r>
  <r>
    <x v="0"/>
    <x v="0"/>
    <x v="0"/>
    <x v="0"/>
    <x v="1"/>
    <s v="DK2_Rural"/>
    <x v="2"/>
    <x v="1"/>
    <s v="GNR_ENG_NGAS_BP_E-36"/>
    <x v="0"/>
    <x v="5"/>
    <n v="1.3149999999999999"/>
    <n v="479.97500000000002"/>
    <n v="1727.91"/>
  </r>
  <r>
    <x v="0"/>
    <x v="0"/>
    <x v="0"/>
    <x v="0"/>
    <x v="1"/>
    <s v="DK2_Rural"/>
    <x v="2"/>
    <x v="1"/>
    <s v="GNR_ENG_NGAS_BP_E-36"/>
    <x v="0"/>
    <x v="6"/>
    <n v="1.3149999999999999"/>
    <n v="479.97500000000002"/>
    <n v="1727.91"/>
  </r>
  <r>
    <x v="0"/>
    <x v="0"/>
    <x v="0"/>
    <x v="0"/>
    <x v="1"/>
    <s v="DK2_Rural"/>
    <x v="2"/>
    <x v="1"/>
    <s v="GNR_ENG_NGAS_BP_E-36"/>
    <x v="0"/>
    <x v="7"/>
    <n v="1.3149999999999999"/>
    <n v="479.97500000000002"/>
    <n v="1727.91"/>
  </r>
  <r>
    <x v="0"/>
    <x v="0"/>
    <x v="0"/>
    <x v="0"/>
    <x v="1"/>
    <s v="DK2_Rural"/>
    <x v="2"/>
    <x v="1"/>
    <s v="GNR_ENG_NGAS_BP_E-36"/>
    <x v="0"/>
    <x v="8"/>
    <n v="1.3149999999999999"/>
    <n v="479.97500000000002"/>
    <n v="1727.91"/>
  </r>
  <r>
    <x v="0"/>
    <x v="0"/>
    <x v="0"/>
    <x v="0"/>
    <x v="1"/>
    <s v="DK2_Rural"/>
    <x v="2"/>
    <x v="1"/>
    <s v="GNR_ENG_NGAS_BP_E-36"/>
    <x v="0"/>
    <x v="0"/>
    <n v="1.3149999999999999"/>
    <n v="479.97500000000002"/>
    <n v="1727.91"/>
  </r>
  <r>
    <x v="0"/>
    <x v="0"/>
    <x v="0"/>
    <x v="0"/>
    <x v="1"/>
    <s v="DK2_Rural"/>
    <x v="2"/>
    <x v="1"/>
    <s v="GNR_ENG_NGAS_BP_E-36"/>
    <x v="0"/>
    <x v="1"/>
    <n v="1.3149999999999999"/>
    <n v="479.97500000000002"/>
    <n v="1727.91"/>
  </r>
  <r>
    <x v="0"/>
    <x v="0"/>
    <x v="0"/>
    <x v="0"/>
    <x v="1"/>
    <s v="DK2_Rural"/>
    <x v="2"/>
    <x v="1"/>
    <s v="GNR_ENG_NGAS_BP_E-36"/>
    <x v="0"/>
    <x v="2"/>
    <n v="1.3149999999999999"/>
    <n v="479.97500000000002"/>
    <n v="1727.91"/>
  </r>
  <r>
    <x v="0"/>
    <x v="0"/>
    <x v="0"/>
    <x v="0"/>
    <x v="1"/>
    <s v="DK2_Rural"/>
    <x v="2"/>
    <x v="1"/>
    <s v="GNR_ENG_NGAS_BP_E-36"/>
    <x v="0"/>
    <x v="9"/>
    <n v="1.3149999999999999"/>
    <n v="479.97500000000002"/>
    <n v="1727.91"/>
  </r>
  <r>
    <x v="0"/>
    <x v="0"/>
    <x v="0"/>
    <x v="0"/>
    <x v="1"/>
    <s v="DK2_Rural"/>
    <x v="2"/>
    <x v="1"/>
    <s v="GNR_ENG_NGAS_BP_E-36"/>
    <x v="0"/>
    <x v="10"/>
    <n v="1.3149999999999999"/>
    <n v="479.97500000000002"/>
    <n v="1727.91"/>
  </r>
  <r>
    <x v="0"/>
    <x v="0"/>
    <x v="0"/>
    <x v="0"/>
    <x v="1"/>
    <s v="DK2_Rural"/>
    <x v="2"/>
    <x v="1"/>
    <s v="GNR_ENG_NGAS_BP_E-36"/>
    <x v="0"/>
    <x v="11"/>
    <n v="1.3149999999999999"/>
    <n v="479.97500000000002"/>
    <n v="1727.91"/>
  </r>
  <r>
    <x v="0"/>
    <x v="0"/>
    <x v="0"/>
    <x v="0"/>
    <x v="1"/>
    <s v="DK2_Rural"/>
    <x v="2"/>
    <x v="1"/>
    <s v="GNR_ENG_NGAS_BP_E-36"/>
    <x v="0"/>
    <x v="12"/>
    <n v="1.3149999999999999"/>
    <n v="479.97500000000002"/>
    <n v="1727.91"/>
  </r>
  <r>
    <x v="0"/>
    <x v="0"/>
    <x v="0"/>
    <x v="0"/>
    <x v="1"/>
    <s v="DK2_Rural"/>
    <x v="2"/>
    <x v="1"/>
    <s v="GNR_ENG_NGAS_BP_E-36"/>
    <x v="0"/>
    <x v="13"/>
    <n v="1.3149999999999999"/>
    <n v="479.97500000000002"/>
    <n v="1727.91"/>
  </r>
  <r>
    <x v="0"/>
    <x v="0"/>
    <x v="0"/>
    <x v="0"/>
    <x v="1"/>
    <s v="DK2_Rural"/>
    <x v="2"/>
    <x v="1"/>
    <s v="GNR_ENG_NGAS_BP_E-36"/>
    <x v="0"/>
    <x v="14"/>
    <n v="1.3149999999999999"/>
    <n v="479.97500000000002"/>
    <n v="1727.91"/>
  </r>
  <r>
    <x v="0"/>
    <x v="0"/>
    <x v="0"/>
    <x v="0"/>
    <x v="1"/>
    <s v="DK2_Rural"/>
    <x v="2"/>
    <x v="1"/>
    <s v="GNR_ENG_NGAS_BP_E-36"/>
    <x v="0"/>
    <x v="15"/>
    <n v="1.3149999999999999"/>
    <n v="479.97500000000002"/>
    <n v="1727.91"/>
  </r>
  <r>
    <x v="0"/>
    <x v="0"/>
    <x v="0"/>
    <x v="0"/>
    <x v="1"/>
    <s v="DK2_Rural"/>
    <x v="2"/>
    <x v="1"/>
    <s v="GNR_ENG_NGAS_BP_E-36"/>
    <x v="0"/>
    <x v="16"/>
    <n v="1.3149999999999999"/>
    <n v="479.97500000000002"/>
    <n v="1727.91"/>
  </r>
  <r>
    <x v="0"/>
    <x v="0"/>
    <x v="0"/>
    <x v="0"/>
    <x v="1"/>
    <s v="DK2_Rural"/>
    <x v="2"/>
    <x v="1"/>
    <s v="GNR_ENG_NGAS_BP_E-36"/>
    <x v="0"/>
    <x v="17"/>
    <n v="1.3149999999999999"/>
    <n v="479.97500000000002"/>
    <n v="1727.91"/>
  </r>
  <r>
    <x v="0"/>
    <x v="0"/>
    <x v="0"/>
    <x v="0"/>
    <x v="1"/>
    <s v="DK2_Rural"/>
    <x v="2"/>
    <x v="1"/>
    <s v="GNR_ENG_NGAS_BP_E-36"/>
    <x v="0"/>
    <x v="18"/>
    <n v="1.3149999999999999"/>
    <n v="479.97500000000002"/>
    <n v="1727.91"/>
  </r>
  <r>
    <x v="0"/>
    <x v="0"/>
    <x v="0"/>
    <x v="0"/>
    <x v="1"/>
    <s v="DK2_Rural"/>
    <x v="2"/>
    <x v="1"/>
    <s v="GNR_ENG_NGAS_BP_E-36"/>
    <x v="0"/>
    <x v="19"/>
    <n v="1.3149999999999999"/>
    <n v="479.97500000000002"/>
    <n v="1727.91"/>
  </r>
  <r>
    <x v="0"/>
    <x v="0"/>
    <x v="0"/>
    <x v="0"/>
    <x v="1"/>
    <s v="DK2_Rural"/>
    <x v="2"/>
    <x v="1"/>
    <s v="GNR_ENG_NGAS_BP_E-36"/>
    <x v="0"/>
    <x v="20"/>
    <n v="1.3149999999999999"/>
    <n v="479.97500000000002"/>
    <n v="1727.91"/>
  </r>
  <r>
    <x v="0"/>
    <x v="0"/>
    <x v="0"/>
    <x v="0"/>
    <x v="1"/>
    <s v="DK2_Rural"/>
    <x v="2"/>
    <x v="1"/>
    <s v="GNR_ENG_NGAS_BP_E-36"/>
    <x v="0"/>
    <x v="21"/>
    <n v="1.3149999999999999"/>
    <n v="479.97500000000002"/>
    <n v="1727.91"/>
  </r>
  <r>
    <x v="0"/>
    <x v="0"/>
    <x v="0"/>
    <x v="0"/>
    <x v="1"/>
    <s v="DK2_Rural"/>
    <x v="2"/>
    <x v="1"/>
    <s v="GNR_ENG_NGAS_BP_E-36"/>
    <x v="0"/>
    <x v="22"/>
    <n v="1.3149999999999999"/>
    <n v="479.97500000000002"/>
    <n v="1727.91"/>
  </r>
  <r>
    <x v="0"/>
    <x v="0"/>
    <x v="0"/>
    <x v="0"/>
    <x v="1"/>
    <s v="DK2_Rural"/>
    <x v="2"/>
    <x v="1"/>
    <s v="GNR_ENG_NGAS_BP_E-36"/>
    <x v="0"/>
    <x v="23"/>
    <n v="1.3149999999999999"/>
    <n v="479.97500000000002"/>
    <n v="1727.91"/>
  </r>
  <r>
    <x v="0"/>
    <x v="0"/>
    <x v="0"/>
    <x v="0"/>
    <x v="1"/>
    <s v="DK2_Rural"/>
    <x v="2"/>
    <x v="1"/>
    <s v="GNR_ENG_NGAS_BP_E-37"/>
    <x v="0"/>
    <x v="3"/>
    <n v="1.81"/>
    <n v="660.65"/>
    <n v="2378.34"/>
  </r>
  <r>
    <x v="0"/>
    <x v="0"/>
    <x v="0"/>
    <x v="0"/>
    <x v="1"/>
    <s v="DK2_Rural"/>
    <x v="2"/>
    <x v="1"/>
    <s v="GNR_ENG_NGAS_BP_E-37"/>
    <x v="0"/>
    <x v="4"/>
    <n v="1.81"/>
    <n v="660.65"/>
    <n v="2378.34"/>
  </r>
  <r>
    <x v="0"/>
    <x v="0"/>
    <x v="0"/>
    <x v="0"/>
    <x v="1"/>
    <s v="DK2_Rural"/>
    <x v="2"/>
    <x v="1"/>
    <s v="GNR_ENG_NGAS_BP_E-37"/>
    <x v="0"/>
    <x v="5"/>
    <n v="1.81"/>
    <n v="660.65"/>
    <n v="2378.34"/>
  </r>
  <r>
    <x v="0"/>
    <x v="0"/>
    <x v="0"/>
    <x v="0"/>
    <x v="1"/>
    <s v="DK2_Rural"/>
    <x v="2"/>
    <x v="1"/>
    <s v="GNR_ENG_NGAS_BP_E-37"/>
    <x v="0"/>
    <x v="6"/>
    <n v="1.81"/>
    <n v="660.65"/>
    <n v="2378.34"/>
  </r>
  <r>
    <x v="0"/>
    <x v="0"/>
    <x v="0"/>
    <x v="0"/>
    <x v="1"/>
    <s v="DK2_Rural"/>
    <x v="2"/>
    <x v="1"/>
    <s v="GNR_ENG_NGAS_BP_E-37"/>
    <x v="0"/>
    <x v="7"/>
    <n v="1.81"/>
    <n v="660.65"/>
    <n v="2378.34"/>
  </r>
  <r>
    <x v="0"/>
    <x v="0"/>
    <x v="0"/>
    <x v="0"/>
    <x v="1"/>
    <s v="DK2_Rural"/>
    <x v="2"/>
    <x v="1"/>
    <s v="GNR_ENG_NGAS_BP_E-37"/>
    <x v="0"/>
    <x v="8"/>
    <n v="1.81"/>
    <n v="660.65"/>
    <n v="2378.34"/>
  </r>
  <r>
    <x v="0"/>
    <x v="0"/>
    <x v="0"/>
    <x v="0"/>
    <x v="1"/>
    <s v="DK2_Rural"/>
    <x v="2"/>
    <x v="1"/>
    <s v="GNR_ENG_NGAS_BP_E-37"/>
    <x v="0"/>
    <x v="0"/>
    <n v="1.81"/>
    <n v="660.65"/>
    <n v="2378.34"/>
  </r>
  <r>
    <x v="0"/>
    <x v="0"/>
    <x v="0"/>
    <x v="0"/>
    <x v="1"/>
    <s v="DK2_Rural"/>
    <x v="2"/>
    <x v="1"/>
    <s v="GNR_ENG_NGAS_BP_E-37"/>
    <x v="0"/>
    <x v="1"/>
    <n v="1.81"/>
    <n v="660.65"/>
    <n v="2378.34"/>
  </r>
  <r>
    <x v="0"/>
    <x v="0"/>
    <x v="0"/>
    <x v="0"/>
    <x v="1"/>
    <s v="DK2_Rural"/>
    <x v="2"/>
    <x v="1"/>
    <s v="GNR_ENG_NGAS_BP_E-37"/>
    <x v="0"/>
    <x v="2"/>
    <n v="1.81"/>
    <n v="660.65"/>
    <n v="2378.34"/>
  </r>
  <r>
    <x v="0"/>
    <x v="0"/>
    <x v="0"/>
    <x v="0"/>
    <x v="1"/>
    <s v="DK2_Rural"/>
    <x v="2"/>
    <x v="1"/>
    <s v="GNR_ENG_NGAS_BP_E-37"/>
    <x v="0"/>
    <x v="9"/>
    <n v="1.81"/>
    <n v="660.65"/>
    <n v="2378.34"/>
  </r>
  <r>
    <x v="0"/>
    <x v="0"/>
    <x v="0"/>
    <x v="0"/>
    <x v="1"/>
    <s v="DK2_Rural"/>
    <x v="2"/>
    <x v="1"/>
    <s v="GNR_ENG_NGAS_BP_E-37"/>
    <x v="0"/>
    <x v="10"/>
    <n v="1.81"/>
    <n v="660.65"/>
    <n v="2378.34"/>
  </r>
  <r>
    <x v="0"/>
    <x v="0"/>
    <x v="0"/>
    <x v="0"/>
    <x v="1"/>
    <s v="DK2_Rural"/>
    <x v="2"/>
    <x v="1"/>
    <s v="GNR_ENG_NGAS_BP_E-37"/>
    <x v="0"/>
    <x v="11"/>
    <n v="1.81"/>
    <n v="660.65"/>
    <n v="2378.34"/>
  </r>
  <r>
    <x v="0"/>
    <x v="0"/>
    <x v="0"/>
    <x v="0"/>
    <x v="1"/>
    <s v="DK2_Rural"/>
    <x v="2"/>
    <x v="1"/>
    <s v="GNR_ENG_NGAS_BP_E-37"/>
    <x v="0"/>
    <x v="12"/>
    <n v="1.81"/>
    <n v="660.65"/>
    <n v="2378.34"/>
  </r>
  <r>
    <x v="0"/>
    <x v="0"/>
    <x v="0"/>
    <x v="0"/>
    <x v="1"/>
    <s v="DK2_Rural"/>
    <x v="2"/>
    <x v="1"/>
    <s v="GNR_ENG_NGAS_BP_E-37"/>
    <x v="0"/>
    <x v="13"/>
    <n v="1.81"/>
    <n v="660.65"/>
    <n v="2378.34"/>
  </r>
  <r>
    <x v="0"/>
    <x v="0"/>
    <x v="0"/>
    <x v="0"/>
    <x v="1"/>
    <s v="DK2_Rural"/>
    <x v="2"/>
    <x v="1"/>
    <s v="GNR_ENG_NGAS_BP_E-37"/>
    <x v="0"/>
    <x v="14"/>
    <n v="1.81"/>
    <n v="660.65"/>
    <n v="2378.34"/>
  </r>
  <r>
    <x v="0"/>
    <x v="0"/>
    <x v="0"/>
    <x v="0"/>
    <x v="1"/>
    <s v="DK2_Rural"/>
    <x v="2"/>
    <x v="1"/>
    <s v="GNR_ENG_NGAS_BP_E-37"/>
    <x v="0"/>
    <x v="15"/>
    <n v="1.81"/>
    <n v="660.65"/>
    <n v="2378.34"/>
  </r>
  <r>
    <x v="0"/>
    <x v="0"/>
    <x v="0"/>
    <x v="0"/>
    <x v="1"/>
    <s v="DK2_Rural"/>
    <x v="2"/>
    <x v="1"/>
    <s v="GNR_ENG_NGAS_BP_E-37"/>
    <x v="0"/>
    <x v="16"/>
    <n v="1.81"/>
    <n v="660.65"/>
    <n v="2378.34"/>
  </r>
  <r>
    <x v="0"/>
    <x v="0"/>
    <x v="0"/>
    <x v="0"/>
    <x v="1"/>
    <s v="DK2_Rural"/>
    <x v="2"/>
    <x v="1"/>
    <s v="GNR_ENG_NGAS_BP_E-37"/>
    <x v="0"/>
    <x v="17"/>
    <n v="1.81"/>
    <n v="660.65"/>
    <n v="2378.34"/>
  </r>
  <r>
    <x v="0"/>
    <x v="0"/>
    <x v="0"/>
    <x v="0"/>
    <x v="1"/>
    <s v="DK2_Rural"/>
    <x v="2"/>
    <x v="1"/>
    <s v="GNR_ENG_NGAS_BP_E-37"/>
    <x v="0"/>
    <x v="18"/>
    <n v="1.81"/>
    <n v="660.65"/>
    <n v="2378.34"/>
  </r>
  <r>
    <x v="0"/>
    <x v="0"/>
    <x v="0"/>
    <x v="0"/>
    <x v="1"/>
    <s v="DK2_Rural"/>
    <x v="2"/>
    <x v="1"/>
    <s v="GNR_ENG_NGAS_BP_E-37"/>
    <x v="0"/>
    <x v="19"/>
    <n v="1.81"/>
    <n v="660.65"/>
    <n v="2378.34"/>
  </r>
  <r>
    <x v="0"/>
    <x v="0"/>
    <x v="0"/>
    <x v="0"/>
    <x v="1"/>
    <s v="DK2_Rural"/>
    <x v="2"/>
    <x v="1"/>
    <s v="GNR_ENG_NGAS_BP_E-37"/>
    <x v="0"/>
    <x v="20"/>
    <n v="1.81"/>
    <n v="660.65"/>
    <n v="2378.34"/>
  </r>
  <r>
    <x v="0"/>
    <x v="0"/>
    <x v="0"/>
    <x v="0"/>
    <x v="1"/>
    <s v="DK2_Rural"/>
    <x v="2"/>
    <x v="1"/>
    <s v="GNR_ENG_NGAS_BP_E-37"/>
    <x v="0"/>
    <x v="21"/>
    <n v="1.81"/>
    <n v="660.65"/>
    <n v="2378.34"/>
  </r>
  <r>
    <x v="0"/>
    <x v="0"/>
    <x v="0"/>
    <x v="0"/>
    <x v="1"/>
    <s v="DK2_Rural"/>
    <x v="2"/>
    <x v="1"/>
    <s v="GNR_ENG_NGAS_BP_E-37"/>
    <x v="0"/>
    <x v="22"/>
    <n v="1.81"/>
    <n v="660.65"/>
    <n v="2378.34"/>
  </r>
  <r>
    <x v="0"/>
    <x v="0"/>
    <x v="0"/>
    <x v="0"/>
    <x v="1"/>
    <s v="DK2_Rural"/>
    <x v="2"/>
    <x v="1"/>
    <s v="GNR_ENG_NGAS_BP_E-37"/>
    <x v="0"/>
    <x v="23"/>
    <n v="1.81"/>
    <n v="660.65"/>
    <n v="2378.34"/>
  </r>
  <r>
    <x v="0"/>
    <x v="0"/>
    <x v="0"/>
    <x v="0"/>
    <x v="1"/>
    <s v="DK2_Rural"/>
    <x v="2"/>
    <x v="1"/>
    <s v="GNR_ENG_NGAS_BP_E-38"/>
    <x v="0"/>
    <x v="3"/>
    <n v="3.1850000000000001"/>
    <n v="1162.5250000000001"/>
    <n v="4185.09"/>
  </r>
  <r>
    <x v="0"/>
    <x v="0"/>
    <x v="0"/>
    <x v="0"/>
    <x v="1"/>
    <s v="DK2_Rural"/>
    <x v="2"/>
    <x v="1"/>
    <s v="GNR_ENG_NGAS_BP_E-38"/>
    <x v="0"/>
    <x v="4"/>
    <n v="3.1850000000000001"/>
    <n v="1162.5250000000001"/>
    <n v="4185.09"/>
  </r>
  <r>
    <x v="0"/>
    <x v="0"/>
    <x v="0"/>
    <x v="0"/>
    <x v="1"/>
    <s v="DK2_Rural"/>
    <x v="2"/>
    <x v="1"/>
    <s v="GNR_ENG_NGAS_BP_E-38"/>
    <x v="0"/>
    <x v="5"/>
    <n v="3.1850000000000001"/>
    <n v="1162.5250000000001"/>
    <n v="4185.09"/>
  </r>
  <r>
    <x v="0"/>
    <x v="0"/>
    <x v="0"/>
    <x v="0"/>
    <x v="1"/>
    <s v="DK2_Rural"/>
    <x v="2"/>
    <x v="1"/>
    <s v="GNR_ENG_NGAS_BP_E-38"/>
    <x v="0"/>
    <x v="6"/>
    <n v="3.1850000000000001"/>
    <n v="1162.5250000000001"/>
    <n v="4185.09"/>
  </r>
  <r>
    <x v="0"/>
    <x v="0"/>
    <x v="0"/>
    <x v="0"/>
    <x v="1"/>
    <s v="DK2_Rural"/>
    <x v="2"/>
    <x v="1"/>
    <s v="GNR_ENG_NGAS_BP_E-38"/>
    <x v="0"/>
    <x v="7"/>
    <n v="3.1850000000000001"/>
    <n v="1162.5250000000001"/>
    <n v="4185.09"/>
  </r>
  <r>
    <x v="0"/>
    <x v="0"/>
    <x v="0"/>
    <x v="0"/>
    <x v="1"/>
    <s v="DK2_Rural"/>
    <x v="2"/>
    <x v="1"/>
    <s v="GNR_ENG_NGAS_BP_E-38"/>
    <x v="0"/>
    <x v="8"/>
    <n v="3.1850000000000001"/>
    <n v="1162.5250000000001"/>
    <n v="4185.09"/>
  </r>
  <r>
    <x v="0"/>
    <x v="0"/>
    <x v="0"/>
    <x v="0"/>
    <x v="1"/>
    <s v="DK2_Rural"/>
    <x v="2"/>
    <x v="1"/>
    <s v="GNR_ENG_NGAS_BP_E-38"/>
    <x v="0"/>
    <x v="0"/>
    <n v="3.1850000000000001"/>
    <n v="1162.5250000000001"/>
    <n v="4185.09"/>
  </r>
  <r>
    <x v="0"/>
    <x v="0"/>
    <x v="0"/>
    <x v="0"/>
    <x v="1"/>
    <s v="DK2_Rural"/>
    <x v="2"/>
    <x v="1"/>
    <s v="GNR_ENG_NGAS_BP_E-38"/>
    <x v="0"/>
    <x v="1"/>
    <n v="3.1850000000000001"/>
    <n v="1162.5250000000001"/>
    <n v="4185.09"/>
  </r>
  <r>
    <x v="0"/>
    <x v="0"/>
    <x v="0"/>
    <x v="0"/>
    <x v="1"/>
    <s v="DK2_Rural"/>
    <x v="2"/>
    <x v="1"/>
    <s v="GNR_ENG_NGAS_BP_E-38"/>
    <x v="0"/>
    <x v="2"/>
    <n v="3.1850000000000001"/>
    <n v="1162.5250000000001"/>
    <n v="4185.09"/>
  </r>
  <r>
    <x v="0"/>
    <x v="0"/>
    <x v="0"/>
    <x v="0"/>
    <x v="1"/>
    <s v="DK2_Rural"/>
    <x v="2"/>
    <x v="1"/>
    <s v="GNR_ENG_NGAS_BP_E-38"/>
    <x v="0"/>
    <x v="9"/>
    <n v="3.1850000000000001"/>
    <n v="1162.5250000000001"/>
    <n v="4185.09"/>
  </r>
  <r>
    <x v="0"/>
    <x v="0"/>
    <x v="0"/>
    <x v="0"/>
    <x v="1"/>
    <s v="DK2_Rural"/>
    <x v="2"/>
    <x v="1"/>
    <s v="GNR_ENG_NGAS_BP_E-38"/>
    <x v="0"/>
    <x v="10"/>
    <n v="3.1850000000000001"/>
    <n v="1162.5250000000001"/>
    <n v="4185.09"/>
  </r>
  <r>
    <x v="0"/>
    <x v="0"/>
    <x v="0"/>
    <x v="0"/>
    <x v="1"/>
    <s v="DK2_Rural"/>
    <x v="2"/>
    <x v="1"/>
    <s v="GNR_ENG_NGAS_BP_E-38"/>
    <x v="0"/>
    <x v="11"/>
    <n v="3.1850000000000001"/>
    <n v="1162.5250000000001"/>
    <n v="4185.09"/>
  </r>
  <r>
    <x v="0"/>
    <x v="0"/>
    <x v="0"/>
    <x v="0"/>
    <x v="1"/>
    <s v="DK2_Rural"/>
    <x v="2"/>
    <x v="1"/>
    <s v="GNR_ENG_NGAS_BP_E-38"/>
    <x v="0"/>
    <x v="12"/>
    <n v="3.1850000000000001"/>
    <n v="1162.5250000000001"/>
    <n v="4185.09"/>
  </r>
  <r>
    <x v="0"/>
    <x v="0"/>
    <x v="0"/>
    <x v="0"/>
    <x v="1"/>
    <s v="DK2_Rural"/>
    <x v="2"/>
    <x v="1"/>
    <s v="GNR_ENG_NGAS_BP_E-38"/>
    <x v="0"/>
    <x v="13"/>
    <n v="3.1850000000000001"/>
    <n v="1162.5250000000001"/>
    <n v="4185.09"/>
  </r>
  <r>
    <x v="0"/>
    <x v="0"/>
    <x v="0"/>
    <x v="0"/>
    <x v="1"/>
    <s v="DK2_Rural"/>
    <x v="2"/>
    <x v="1"/>
    <s v="GNR_ENG_NGAS_BP_E-38"/>
    <x v="0"/>
    <x v="14"/>
    <n v="3.1850000000000001"/>
    <n v="1162.5250000000001"/>
    <n v="4185.09"/>
  </r>
  <r>
    <x v="0"/>
    <x v="0"/>
    <x v="0"/>
    <x v="0"/>
    <x v="1"/>
    <s v="DK2_Rural"/>
    <x v="2"/>
    <x v="1"/>
    <s v="GNR_ENG_NGAS_BP_E-38"/>
    <x v="0"/>
    <x v="15"/>
    <n v="3.1850000000000001"/>
    <n v="1162.5250000000001"/>
    <n v="4185.09"/>
  </r>
  <r>
    <x v="0"/>
    <x v="0"/>
    <x v="0"/>
    <x v="0"/>
    <x v="1"/>
    <s v="DK2_Rural"/>
    <x v="2"/>
    <x v="1"/>
    <s v="GNR_ENG_NGAS_BP_E-38"/>
    <x v="0"/>
    <x v="16"/>
    <n v="3.1850000000000001"/>
    <n v="1162.5250000000001"/>
    <n v="4185.09"/>
  </r>
  <r>
    <x v="0"/>
    <x v="0"/>
    <x v="0"/>
    <x v="0"/>
    <x v="1"/>
    <s v="DK2_Rural"/>
    <x v="2"/>
    <x v="1"/>
    <s v="GNR_ENG_NGAS_BP_E-38"/>
    <x v="0"/>
    <x v="17"/>
    <n v="3.1850000000000001"/>
    <n v="1162.5250000000001"/>
    <n v="4185.09"/>
  </r>
  <r>
    <x v="0"/>
    <x v="0"/>
    <x v="0"/>
    <x v="0"/>
    <x v="1"/>
    <s v="DK2_Rural"/>
    <x v="2"/>
    <x v="1"/>
    <s v="GNR_ENG_NGAS_BP_E-38"/>
    <x v="0"/>
    <x v="18"/>
    <n v="3.1850000000000001"/>
    <n v="1162.5250000000001"/>
    <n v="4185.09"/>
  </r>
  <r>
    <x v="0"/>
    <x v="0"/>
    <x v="0"/>
    <x v="0"/>
    <x v="1"/>
    <s v="DK2_Rural"/>
    <x v="2"/>
    <x v="1"/>
    <s v="GNR_ENG_NGAS_BP_E-38"/>
    <x v="0"/>
    <x v="19"/>
    <n v="3.1850000000000001"/>
    <n v="1162.5250000000001"/>
    <n v="4185.09"/>
  </r>
  <r>
    <x v="0"/>
    <x v="0"/>
    <x v="0"/>
    <x v="0"/>
    <x v="1"/>
    <s v="DK2_Rural"/>
    <x v="2"/>
    <x v="1"/>
    <s v="GNR_ENG_NGAS_BP_E-38"/>
    <x v="0"/>
    <x v="20"/>
    <n v="3.1850000000000001"/>
    <n v="1162.5250000000001"/>
    <n v="4185.09"/>
  </r>
  <r>
    <x v="0"/>
    <x v="0"/>
    <x v="0"/>
    <x v="0"/>
    <x v="1"/>
    <s v="DK2_Rural"/>
    <x v="2"/>
    <x v="1"/>
    <s v="GNR_ENG_NGAS_BP_E-38"/>
    <x v="0"/>
    <x v="21"/>
    <n v="3.1850000000000001"/>
    <n v="1162.5250000000001"/>
    <n v="4185.09"/>
  </r>
  <r>
    <x v="0"/>
    <x v="0"/>
    <x v="0"/>
    <x v="0"/>
    <x v="1"/>
    <s v="DK2_Rural"/>
    <x v="2"/>
    <x v="1"/>
    <s v="GNR_ENG_NGAS_BP_E-38"/>
    <x v="0"/>
    <x v="22"/>
    <n v="3.1850000000000001"/>
    <n v="1162.5250000000001"/>
    <n v="4185.09"/>
  </r>
  <r>
    <x v="0"/>
    <x v="0"/>
    <x v="0"/>
    <x v="0"/>
    <x v="1"/>
    <s v="DK2_Rural"/>
    <x v="2"/>
    <x v="1"/>
    <s v="GNR_ENG_NGAS_BP_E-38"/>
    <x v="0"/>
    <x v="23"/>
    <n v="3.1850000000000001"/>
    <n v="1162.5250000000001"/>
    <n v="4185.09"/>
  </r>
  <r>
    <x v="0"/>
    <x v="0"/>
    <x v="0"/>
    <x v="0"/>
    <x v="1"/>
    <s v="DK2_Rural"/>
    <x v="2"/>
    <x v="1"/>
    <s v="GNR_ENG_NGAS_BP_E-39"/>
    <x v="0"/>
    <x v="3"/>
    <n v="26.1"/>
    <n v="9526.5"/>
    <n v="34295.4"/>
  </r>
  <r>
    <x v="0"/>
    <x v="0"/>
    <x v="0"/>
    <x v="0"/>
    <x v="1"/>
    <s v="DK2_Rural"/>
    <x v="2"/>
    <x v="1"/>
    <s v="GNR_ENG_NGAS_BP_E-39"/>
    <x v="0"/>
    <x v="4"/>
    <n v="26.1"/>
    <n v="9526.5"/>
    <n v="34295.4"/>
  </r>
  <r>
    <x v="0"/>
    <x v="0"/>
    <x v="0"/>
    <x v="0"/>
    <x v="1"/>
    <s v="DK2_Rural"/>
    <x v="2"/>
    <x v="1"/>
    <s v="GNR_ENG_NGAS_BP_E-39"/>
    <x v="0"/>
    <x v="5"/>
    <n v="26.1"/>
    <n v="9526.5"/>
    <n v="34295.4"/>
  </r>
  <r>
    <x v="0"/>
    <x v="0"/>
    <x v="0"/>
    <x v="0"/>
    <x v="1"/>
    <s v="DK2_Rural"/>
    <x v="2"/>
    <x v="1"/>
    <s v="GNR_ENG_NGAS_BP_E-39"/>
    <x v="0"/>
    <x v="6"/>
    <n v="26.1"/>
    <n v="9526.5"/>
    <n v="34295.4"/>
  </r>
  <r>
    <x v="0"/>
    <x v="0"/>
    <x v="0"/>
    <x v="0"/>
    <x v="1"/>
    <s v="DK2_Rural"/>
    <x v="2"/>
    <x v="1"/>
    <s v="GNR_ENG_NGAS_BP_E-39"/>
    <x v="0"/>
    <x v="7"/>
    <n v="26.1"/>
    <n v="9526.5"/>
    <n v="34295.4"/>
  </r>
  <r>
    <x v="0"/>
    <x v="0"/>
    <x v="0"/>
    <x v="0"/>
    <x v="1"/>
    <s v="DK2_Rural"/>
    <x v="2"/>
    <x v="1"/>
    <s v="GNR_ENG_NGAS_BP_E-39"/>
    <x v="0"/>
    <x v="8"/>
    <n v="26.1"/>
    <n v="9526.5"/>
    <n v="34295.4"/>
  </r>
  <r>
    <x v="0"/>
    <x v="0"/>
    <x v="0"/>
    <x v="0"/>
    <x v="1"/>
    <s v="DK2_Rural"/>
    <x v="2"/>
    <x v="1"/>
    <s v="GNR_ENG_NGAS_BP_E-39"/>
    <x v="0"/>
    <x v="0"/>
    <n v="26.1"/>
    <n v="9526.5"/>
    <n v="34295.4"/>
  </r>
  <r>
    <x v="0"/>
    <x v="0"/>
    <x v="0"/>
    <x v="0"/>
    <x v="1"/>
    <s v="DK2_Rural"/>
    <x v="2"/>
    <x v="1"/>
    <s v="GNR_ENG_NGAS_BP_E-39"/>
    <x v="0"/>
    <x v="1"/>
    <n v="26.1"/>
    <n v="9526.5"/>
    <n v="34295.4"/>
  </r>
  <r>
    <x v="0"/>
    <x v="0"/>
    <x v="0"/>
    <x v="0"/>
    <x v="1"/>
    <s v="DK2_Rural"/>
    <x v="2"/>
    <x v="1"/>
    <s v="GNR_ENG_NGAS_BP_E-39"/>
    <x v="0"/>
    <x v="2"/>
    <n v="26.1"/>
    <n v="9526.5"/>
    <n v="34295.4"/>
  </r>
  <r>
    <x v="0"/>
    <x v="0"/>
    <x v="0"/>
    <x v="0"/>
    <x v="1"/>
    <s v="DK2_Rural"/>
    <x v="2"/>
    <x v="1"/>
    <s v="GNR_ENG_NGAS_BP_E-39"/>
    <x v="0"/>
    <x v="9"/>
    <n v="26.1"/>
    <n v="9526.5"/>
    <n v="34295.4"/>
  </r>
  <r>
    <x v="0"/>
    <x v="0"/>
    <x v="0"/>
    <x v="0"/>
    <x v="1"/>
    <s v="DK2_Rural"/>
    <x v="2"/>
    <x v="1"/>
    <s v="GNR_ENG_NGAS_BP_E-39"/>
    <x v="0"/>
    <x v="10"/>
    <n v="26.1"/>
    <n v="9526.5"/>
    <n v="34295.4"/>
  </r>
  <r>
    <x v="0"/>
    <x v="0"/>
    <x v="0"/>
    <x v="0"/>
    <x v="1"/>
    <s v="DK2_Rural"/>
    <x v="2"/>
    <x v="1"/>
    <s v="GNR_ENG_NGAS_BP_E-39"/>
    <x v="0"/>
    <x v="11"/>
    <n v="26.1"/>
    <n v="9526.5"/>
    <n v="34295.4"/>
  </r>
  <r>
    <x v="0"/>
    <x v="0"/>
    <x v="0"/>
    <x v="0"/>
    <x v="1"/>
    <s v="DK2_Rural"/>
    <x v="2"/>
    <x v="1"/>
    <s v="GNR_ENG_NGAS_BP_E-39"/>
    <x v="0"/>
    <x v="12"/>
    <n v="26.1"/>
    <n v="9526.5"/>
    <n v="34295.4"/>
  </r>
  <r>
    <x v="0"/>
    <x v="0"/>
    <x v="0"/>
    <x v="0"/>
    <x v="1"/>
    <s v="DK2_Rural"/>
    <x v="2"/>
    <x v="1"/>
    <s v="GNR_ENG_NGAS_BP_E-39"/>
    <x v="0"/>
    <x v="13"/>
    <n v="26.1"/>
    <n v="9526.5"/>
    <n v="34295.4"/>
  </r>
  <r>
    <x v="0"/>
    <x v="0"/>
    <x v="0"/>
    <x v="0"/>
    <x v="1"/>
    <s v="DK2_Rural"/>
    <x v="2"/>
    <x v="1"/>
    <s v="GNR_ENG_NGAS_BP_E-39"/>
    <x v="0"/>
    <x v="14"/>
    <n v="26.1"/>
    <n v="9526.5"/>
    <n v="34295.4"/>
  </r>
  <r>
    <x v="0"/>
    <x v="0"/>
    <x v="0"/>
    <x v="0"/>
    <x v="1"/>
    <s v="DK2_Rural"/>
    <x v="2"/>
    <x v="1"/>
    <s v="GNR_ENG_NGAS_BP_E-39"/>
    <x v="0"/>
    <x v="15"/>
    <n v="26.1"/>
    <n v="9526.5"/>
    <n v="34295.4"/>
  </r>
  <r>
    <x v="0"/>
    <x v="0"/>
    <x v="0"/>
    <x v="0"/>
    <x v="1"/>
    <s v="DK2_Rural"/>
    <x v="2"/>
    <x v="1"/>
    <s v="GNR_ENG_NGAS_BP_E-39"/>
    <x v="0"/>
    <x v="16"/>
    <n v="26.1"/>
    <n v="9526.5"/>
    <n v="34295.4"/>
  </r>
  <r>
    <x v="0"/>
    <x v="0"/>
    <x v="0"/>
    <x v="0"/>
    <x v="1"/>
    <s v="DK2_Rural"/>
    <x v="2"/>
    <x v="1"/>
    <s v="GNR_ENG_NGAS_BP_E-39"/>
    <x v="0"/>
    <x v="17"/>
    <n v="26.1"/>
    <n v="9526.5"/>
    <n v="34295.4"/>
  </r>
  <r>
    <x v="0"/>
    <x v="0"/>
    <x v="0"/>
    <x v="0"/>
    <x v="1"/>
    <s v="DK2_Rural"/>
    <x v="2"/>
    <x v="1"/>
    <s v="GNR_ENG_NGAS_BP_E-39"/>
    <x v="0"/>
    <x v="18"/>
    <n v="26.1"/>
    <n v="9526.5"/>
    <n v="34295.4"/>
  </r>
  <r>
    <x v="0"/>
    <x v="0"/>
    <x v="0"/>
    <x v="0"/>
    <x v="1"/>
    <s v="DK2_Rural"/>
    <x v="2"/>
    <x v="1"/>
    <s v="GNR_ENG_NGAS_BP_E-39"/>
    <x v="0"/>
    <x v="19"/>
    <n v="26.1"/>
    <n v="9526.5"/>
    <n v="34295.4"/>
  </r>
  <r>
    <x v="0"/>
    <x v="0"/>
    <x v="0"/>
    <x v="0"/>
    <x v="1"/>
    <s v="DK2_Rural"/>
    <x v="2"/>
    <x v="1"/>
    <s v="GNR_ENG_NGAS_BP_E-39"/>
    <x v="0"/>
    <x v="20"/>
    <n v="26.1"/>
    <n v="9526.5"/>
    <n v="34295.4"/>
  </r>
  <r>
    <x v="0"/>
    <x v="0"/>
    <x v="0"/>
    <x v="0"/>
    <x v="1"/>
    <s v="DK2_Rural"/>
    <x v="2"/>
    <x v="1"/>
    <s v="GNR_ENG_NGAS_BP_E-39"/>
    <x v="0"/>
    <x v="21"/>
    <n v="26.1"/>
    <n v="9526.5"/>
    <n v="34295.4"/>
  </r>
  <r>
    <x v="0"/>
    <x v="0"/>
    <x v="0"/>
    <x v="0"/>
    <x v="1"/>
    <s v="DK2_Rural"/>
    <x v="2"/>
    <x v="1"/>
    <s v="GNR_ENG_NGAS_BP_E-39"/>
    <x v="0"/>
    <x v="22"/>
    <n v="26.1"/>
    <n v="9526.5"/>
    <n v="34295.4"/>
  </r>
  <r>
    <x v="0"/>
    <x v="0"/>
    <x v="0"/>
    <x v="0"/>
    <x v="1"/>
    <s v="DK2_Rural"/>
    <x v="2"/>
    <x v="1"/>
    <s v="GNR_ENG_NGAS_BP_E-39"/>
    <x v="0"/>
    <x v="23"/>
    <n v="26.1"/>
    <n v="9526.5"/>
    <n v="34295.4"/>
  </r>
  <r>
    <x v="0"/>
    <x v="0"/>
    <x v="0"/>
    <x v="0"/>
    <x v="1"/>
    <s v="DK2_Rural"/>
    <x v="2"/>
    <x v="1"/>
    <s v="GNR_ENG_NGAS_BP_E-40"/>
    <x v="0"/>
    <x v="3"/>
    <n v="26.3"/>
    <n v="9599.5"/>
    <n v="34558.199999999997"/>
  </r>
  <r>
    <x v="0"/>
    <x v="0"/>
    <x v="0"/>
    <x v="0"/>
    <x v="1"/>
    <s v="DK2_Rural"/>
    <x v="2"/>
    <x v="1"/>
    <s v="GNR_ENG_NGAS_BP_E-40"/>
    <x v="0"/>
    <x v="4"/>
    <n v="26.3"/>
    <n v="9599.5"/>
    <n v="34558.199999999997"/>
  </r>
  <r>
    <x v="0"/>
    <x v="0"/>
    <x v="0"/>
    <x v="0"/>
    <x v="1"/>
    <s v="DK2_Rural"/>
    <x v="2"/>
    <x v="1"/>
    <s v="GNR_ENG_NGAS_BP_E-40"/>
    <x v="0"/>
    <x v="5"/>
    <n v="26.3"/>
    <n v="9599.5"/>
    <n v="34558.199999999997"/>
  </r>
  <r>
    <x v="0"/>
    <x v="0"/>
    <x v="0"/>
    <x v="0"/>
    <x v="1"/>
    <s v="DK2_Rural"/>
    <x v="2"/>
    <x v="1"/>
    <s v="GNR_ENG_NGAS_BP_E-40"/>
    <x v="0"/>
    <x v="6"/>
    <n v="26.3"/>
    <n v="9599.5"/>
    <n v="34558.199999999997"/>
  </r>
  <r>
    <x v="0"/>
    <x v="0"/>
    <x v="0"/>
    <x v="0"/>
    <x v="1"/>
    <s v="DK2_Rural"/>
    <x v="2"/>
    <x v="1"/>
    <s v="GNR_ENG_NGAS_BP_E-40"/>
    <x v="0"/>
    <x v="7"/>
    <n v="26.3"/>
    <n v="9599.5"/>
    <n v="34558.199999999997"/>
  </r>
  <r>
    <x v="0"/>
    <x v="0"/>
    <x v="0"/>
    <x v="0"/>
    <x v="1"/>
    <s v="DK2_Rural"/>
    <x v="2"/>
    <x v="1"/>
    <s v="GNR_ENG_NGAS_BP_E-40"/>
    <x v="0"/>
    <x v="8"/>
    <n v="26.3"/>
    <n v="9599.5"/>
    <n v="34558.199999999997"/>
  </r>
  <r>
    <x v="0"/>
    <x v="0"/>
    <x v="0"/>
    <x v="0"/>
    <x v="1"/>
    <s v="DK2_Rural"/>
    <x v="2"/>
    <x v="1"/>
    <s v="GNR_ENG_NGAS_BP_E-40"/>
    <x v="0"/>
    <x v="0"/>
    <n v="26.3"/>
    <n v="9599.5"/>
    <n v="34558.199999999997"/>
  </r>
  <r>
    <x v="0"/>
    <x v="0"/>
    <x v="0"/>
    <x v="0"/>
    <x v="1"/>
    <s v="DK2_Rural"/>
    <x v="2"/>
    <x v="1"/>
    <s v="GNR_ENG_NGAS_BP_E-40"/>
    <x v="0"/>
    <x v="1"/>
    <n v="26.3"/>
    <n v="9599.5"/>
    <n v="34558.199999999997"/>
  </r>
  <r>
    <x v="0"/>
    <x v="0"/>
    <x v="0"/>
    <x v="0"/>
    <x v="1"/>
    <s v="DK2_Rural"/>
    <x v="2"/>
    <x v="1"/>
    <s v="GNR_ENG_NGAS_BP_E-40"/>
    <x v="0"/>
    <x v="2"/>
    <n v="26.3"/>
    <n v="9599.5"/>
    <n v="34558.199999999997"/>
  </r>
  <r>
    <x v="0"/>
    <x v="0"/>
    <x v="0"/>
    <x v="0"/>
    <x v="1"/>
    <s v="DK2_Rural"/>
    <x v="2"/>
    <x v="1"/>
    <s v="GNR_ENG_NGAS_BP_E-40"/>
    <x v="0"/>
    <x v="9"/>
    <n v="26.3"/>
    <n v="9599.5"/>
    <n v="34558.199999999997"/>
  </r>
  <r>
    <x v="0"/>
    <x v="0"/>
    <x v="0"/>
    <x v="0"/>
    <x v="1"/>
    <s v="DK2_Rural"/>
    <x v="2"/>
    <x v="1"/>
    <s v="GNR_ENG_NGAS_BP_E-40"/>
    <x v="0"/>
    <x v="10"/>
    <n v="26.3"/>
    <n v="9599.5"/>
    <n v="34558.199999999997"/>
  </r>
  <r>
    <x v="0"/>
    <x v="0"/>
    <x v="0"/>
    <x v="0"/>
    <x v="1"/>
    <s v="DK2_Rural"/>
    <x v="2"/>
    <x v="1"/>
    <s v="GNR_ENG_NGAS_BP_E-40"/>
    <x v="0"/>
    <x v="11"/>
    <n v="26.3"/>
    <n v="9599.5"/>
    <n v="34558.199999999997"/>
  </r>
  <r>
    <x v="0"/>
    <x v="0"/>
    <x v="0"/>
    <x v="0"/>
    <x v="1"/>
    <s v="DK2_Rural"/>
    <x v="2"/>
    <x v="1"/>
    <s v="GNR_ENG_NGAS_BP_E-40"/>
    <x v="0"/>
    <x v="12"/>
    <n v="26.3"/>
    <n v="9599.5"/>
    <n v="34558.199999999997"/>
  </r>
  <r>
    <x v="0"/>
    <x v="0"/>
    <x v="0"/>
    <x v="0"/>
    <x v="1"/>
    <s v="DK2_Rural"/>
    <x v="2"/>
    <x v="1"/>
    <s v="GNR_ENG_NGAS_BP_E-40"/>
    <x v="0"/>
    <x v="13"/>
    <n v="26.3"/>
    <n v="9599.5"/>
    <n v="34558.199999999997"/>
  </r>
  <r>
    <x v="0"/>
    <x v="0"/>
    <x v="0"/>
    <x v="0"/>
    <x v="1"/>
    <s v="DK2_Rural"/>
    <x v="2"/>
    <x v="1"/>
    <s v="GNR_ENG_NGAS_BP_E-40"/>
    <x v="0"/>
    <x v="14"/>
    <n v="26.3"/>
    <n v="9599.5"/>
    <n v="34558.199999999997"/>
  </r>
  <r>
    <x v="0"/>
    <x v="0"/>
    <x v="0"/>
    <x v="0"/>
    <x v="1"/>
    <s v="DK2_Rural"/>
    <x v="2"/>
    <x v="1"/>
    <s v="GNR_ENG_NGAS_BP_E-40"/>
    <x v="0"/>
    <x v="15"/>
    <n v="26.3"/>
    <n v="9599.5"/>
    <n v="34558.199999999997"/>
  </r>
  <r>
    <x v="0"/>
    <x v="0"/>
    <x v="0"/>
    <x v="0"/>
    <x v="1"/>
    <s v="DK2_Rural"/>
    <x v="2"/>
    <x v="1"/>
    <s v="GNR_ENG_NGAS_BP_E-40"/>
    <x v="0"/>
    <x v="16"/>
    <n v="26.3"/>
    <n v="9599.5"/>
    <n v="34558.199999999997"/>
  </r>
  <r>
    <x v="0"/>
    <x v="0"/>
    <x v="0"/>
    <x v="0"/>
    <x v="1"/>
    <s v="DK2_Rural"/>
    <x v="2"/>
    <x v="1"/>
    <s v="GNR_ENG_NGAS_BP_E-40"/>
    <x v="0"/>
    <x v="17"/>
    <n v="26.3"/>
    <n v="9599.5"/>
    <n v="34558.199999999997"/>
  </r>
  <r>
    <x v="0"/>
    <x v="0"/>
    <x v="0"/>
    <x v="0"/>
    <x v="1"/>
    <s v="DK2_Rural"/>
    <x v="2"/>
    <x v="1"/>
    <s v="GNR_ENG_NGAS_BP_E-40"/>
    <x v="0"/>
    <x v="18"/>
    <n v="26.3"/>
    <n v="9599.5"/>
    <n v="34558.199999999997"/>
  </r>
  <r>
    <x v="0"/>
    <x v="0"/>
    <x v="0"/>
    <x v="0"/>
    <x v="1"/>
    <s v="DK2_Rural"/>
    <x v="2"/>
    <x v="1"/>
    <s v="GNR_ENG_NGAS_BP_E-40"/>
    <x v="0"/>
    <x v="19"/>
    <n v="26.3"/>
    <n v="9599.5"/>
    <n v="34558.199999999997"/>
  </r>
  <r>
    <x v="0"/>
    <x v="0"/>
    <x v="0"/>
    <x v="0"/>
    <x v="1"/>
    <s v="DK2_Rural"/>
    <x v="2"/>
    <x v="1"/>
    <s v="GNR_ENG_NGAS_BP_E-40"/>
    <x v="0"/>
    <x v="20"/>
    <n v="26.3"/>
    <n v="9599.5"/>
    <n v="34558.199999999997"/>
  </r>
  <r>
    <x v="0"/>
    <x v="0"/>
    <x v="0"/>
    <x v="0"/>
    <x v="1"/>
    <s v="DK2_Rural"/>
    <x v="2"/>
    <x v="1"/>
    <s v="GNR_ENG_NGAS_BP_E-40"/>
    <x v="0"/>
    <x v="21"/>
    <n v="26.3"/>
    <n v="9599.5"/>
    <n v="34558.199999999997"/>
  </r>
  <r>
    <x v="0"/>
    <x v="0"/>
    <x v="0"/>
    <x v="0"/>
    <x v="1"/>
    <s v="DK2_Rural"/>
    <x v="2"/>
    <x v="1"/>
    <s v="GNR_ENG_NGAS_BP_E-40"/>
    <x v="0"/>
    <x v="22"/>
    <n v="26.3"/>
    <n v="9599.5"/>
    <n v="34558.199999999997"/>
  </r>
  <r>
    <x v="0"/>
    <x v="0"/>
    <x v="0"/>
    <x v="0"/>
    <x v="1"/>
    <s v="DK2_Rural"/>
    <x v="2"/>
    <x v="1"/>
    <s v="GNR_ENG_NGAS_BP_E-40"/>
    <x v="0"/>
    <x v="23"/>
    <n v="26.3"/>
    <n v="9599.5"/>
    <n v="34558.199999999997"/>
  </r>
  <r>
    <x v="0"/>
    <x v="0"/>
    <x v="0"/>
    <x v="0"/>
    <x v="1"/>
    <s v="DK2_Rural"/>
    <x v="2"/>
    <x v="1"/>
    <s v="GNR_ENG_NGAS_BP_E-41"/>
    <x v="0"/>
    <x v="3"/>
    <n v="5.4359999999999999"/>
    <n v="1984.14"/>
    <n v="7142.9040000000005"/>
  </r>
  <r>
    <x v="0"/>
    <x v="0"/>
    <x v="0"/>
    <x v="0"/>
    <x v="1"/>
    <s v="DK2_Rural"/>
    <x v="2"/>
    <x v="1"/>
    <s v="GNR_ENG_NGAS_BP_E-41"/>
    <x v="0"/>
    <x v="4"/>
    <n v="5.4359999999999999"/>
    <n v="1984.14"/>
    <n v="7142.9040000000005"/>
  </r>
  <r>
    <x v="0"/>
    <x v="0"/>
    <x v="0"/>
    <x v="0"/>
    <x v="1"/>
    <s v="DK2_Rural"/>
    <x v="2"/>
    <x v="1"/>
    <s v="GNR_ENG_NGAS_BP_E-41"/>
    <x v="0"/>
    <x v="5"/>
    <n v="5.4359999999999999"/>
    <n v="1984.14"/>
    <n v="7142.9040000000005"/>
  </r>
  <r>
    <x v="0"/>
    <x v="0"/>
    <x v="0"/>
    <x v="0"/>
    <x v="1"/>
    <s v="DK2_Rural"/>
    <x v="2"/>
    <x v="1"/>
    <s v="GNR_ENG_NGAS_BP_E-41"/>
    <x v="0"/>
    <x v="6"/>
    <n v="5.4359999999999999"/>
    <n v="1984.14"/>
    <n v="7142.9040000000005"/>
  </r>
  <r>
    <x v="0"/>
    <x v="0"/>
    <x v="0"/>
    <x v="0"/>
    <x v="1"/>
    <s v="DK2_Rural"/>
    <x v="2"/>
    <x v="1"/>
    <s v="GNR_ENG_NGAS_BP_E-41"/>
    <x v="0"/>
    <x v="7"/>
    <n v="5.4359999999999999"/>
    <n v="1984.14"/>
    <n v="7142.9040000000005"/>
  </r>
  <r>
    <x v="0"/>
    <x v="0"/>
    <x v="0"/>
    <x v="0"/>
    <x v="1"/>
    <s v="DK2_Rural"/>
    <x v="2"/>
    <x v="1"/>
    <s v="GNR_ENG_NGAS_BP_E-41"/>
    <x v="0"/>
    <x v="8"/>
    <n v="5.4359999999999999"/>
    <n v="1984.14"/>
    <n v="7142.9040000000005"/>
  </r>
  <r>
    <x v="0"/>
    <x v="0"/>
    <x v="0"/>
    <x v="0"/>
    <x v="1"/>
    <s v="DK2_Rural"/>
    <x v="2"/>
    <x v="1"/>
    <s v="GNR_ENG_NGAS_BP_E-41"/>
    <x v="0"/>
    <x v="0"/>
    <n v="5.4359999999999999"/>
    <n v="1984.14"/>
    <n v="7142.9040000000005"/>
  </r>
  <r>
    <x v="0"/>
    <x v="0"/>
    <x v="0"/>
    <x v="0"/>
    <x v="1"/>
    <s v="DK2_Rural"/>
    <x v="2"/>
    <x v="1"/>
    <s v="GNR_ENG_NGAS_BP_E-41"/>
    <x v="0"/>
    <x v="1"/>
    <n v="5.4359999999999999"/>
    <n v="1984.14"/>
    <n v="7142.9040000000005"/>
  </r>
  <r>
    <x v="0"/>
    <x v="0"/>
    <x v="0"/>
    <x v="0"/>
    <x v="1"/>
    <s v="DK2_Rural"/>
    <x v="2"/>
    <x v="1"/>
    <s v="GNR_ENG_NGAS_BP_E-41"/>
    <x v="0"/>
    <x v="2"/>
    <n v="5.4359999999999999"/>
    <n v="1984.14"/>
    <n v="7142.9040000000005"/>
  </r>
  <r>
    <x v="0"/>
    <x v="0"/>
    <x v="0"/>
    <x v="0"/>
    <x v="1"/>
    <s v="DK2_Rural"/>
    <x v="2"/>
    <x v="1"/>
    <s v="GNR_ENG_NGAS_BP_E-41"/>
    <x v="0"/>
    <x v="9"/>
    <n v="5.4359999999999999"/>
    <n v="1984.14"/>
    <n v="7142.9040000000005"/>
  </r>
  <r>
    <x v="0"/>
    <x v="0"/>
    <x v="0"/>
    <x v="0"/>
    <x v="1"/>
    <s v="DK2_Rural"/>
    <x v="2"/>
    <x v="1"/>
    <s v="GNR_ENG_NGAS_BP_E-41"/>
    <x v="0"/>
    <x v="10"/>
    <n v="5.4359999999999999"/>
    <n v="1984.14"/>
    <n v="7142.9040000000005"/>
  </r>
  <r>
    <x v="0"/>
    <x v="0"/>
    <x v="0"/>
    <x v="0"/>
    <x v="1"/>
    <s v="DK2_Rural"/>
    <x v="2"/>
    <x v="1"/>
    <s v="GNR_ENG_NGAS_BP_E-41"/>
    <x v="0"/>
    <x v="11"/>
    <n v="5.4359999999999999"/>
    <n v="1984.14"/>
    <n v="7142.9040000000005"/>
  </r>
  <r>
    <x v="0"/>
    <x v="0"/>
    <x v="0"/>
    <x v="0"/>
    <x v="1"/>
    <s v="DK2_Rural"/>
    <x v="2"/>
    <x v="1"/>
    <s v="GNR_ENG_NGAS_BP_E-41"/>
    <x v="0"/>
    <x v="12"/>
    <n v="5.4359999999999999"/>
    <n v="1984.14"/>
    <n v="7142.9040000000005"/>
  </r>
  <r>
    <x v="0"/>
    <x v="0"/>
    <x v="0"/>
    <x v="0"/>
    <x v="1"/>
    <s v="DK2_Rural"/>
    <x v="2"/>
    <x v="1"/>
    <s v="GNR_ENG_NGAS_BP_E-41"/>
    <x v="0"/>
    <x v="13"/>
    <n v="5.4359999999999999"/>
    <n v="1984.14"/>
    <n v="7142.9040000000005"/>
  </r>
  <r>
    <x v="0"/>
    <x v="0"/>
    <x v="0"/>
    <x v="0"/>
    <x v="1"/>
    <s v="DK2_Rural"/>
    <x v="2"/>
    <x v="1"/>
    <s v="GNR_ENG_NGAS_BP_E-41"/>
    <x v="0"/>
    <x v="14"/>
    <n v="5.4359999999999999"/>
    <n v="1984.14"/>
    <n v="7142.9040000000005"/>
  </r>
  <r>
    <x v="0"/>
    <x v="0"/>
    <x v="0"/>
    <x v="0"/>
    <x v="1"/>
    <s v="DK2_Rural"/>
    <x v="2"/>
    <x v="1"/>
    <s v="GNR_ENG_NGAS_BP_E-41"/>
    <x v="0"/>
    <x v="15"/>
    <n v="5.4359999999999999"/>
    <n v="1984.14"/>
    <n v="7142.9040000000005"/>
  </r>
  <r>
    <x v="0"/>
    <x v="0"/>
    <x v="0"/>
    <x v="0"/>
    <x v="1"/>
    <s v="DK2_Rural"/>
    <x v="2"/>
    <x v="1"/>
    <s v="GNR_ENG_NGAS_BP_E-41"/>
    <x v="0"/>
    <x v="16"/>
    <n v="5.4359999999999999"/>
    <n v="1984.14"/>
    <n v="7142.9040000000005"/>
  </r>
  <r>
    <x v="0"/>
    <x v="0"/>
    <x v="0"/>
    <x v="0"/>
    <x v="1"/>
    <s v="DK2_Rural"/>
    <x v="2"/>
    <x v="1"/>
    <s v="GNR_ENG_NGAS_BP_E-41"/>
    <x v="0"/>
    <x v="17"/>
    <n v="5.4359999999999999"/>
    <n v="1984.14"/>
    <n v="7142.9040000000005"/>
  </r>
  <r>
    <x v="0"/>
    <x v="0"/>
    <x v="0"/>
    <x v="0"/>
    <x v="1"/>
    <s v="DK2_Rural"/>
    <x v="2"/>
    <x v="1"/>
    <s v="GNR_ENG_NGAS_BP_E-41"/>
    <x v="0"/>
    <x v="18"/>
    <n v="5.4359999999999999"/>
    <n v="1984.14"/>
    <n v="7142.9040000000005"/>
  </r>
  <r>
    <x v="0"/>
    <x v="0"/>
    <x v="0"/>
    <x v="0"/>
    <x v="1"/>
    <s v="DK2_Rural"/>
    <x v="2"/>
    <x v="1"/>
    <s v="GNR_ENG_NGAS_BP_E-41"/>
    <x v="0"/>
    <x v="19"/>
    <n v="5.4359999999999999"/>
    <n v="1984.14"/>
    <n v="7142.9040000000005"/>
  </r>
  <r>
    <x v="0"/>
    <x v="0"/>
    <x v="0"/>
    <x v="0"/>
    <x v="1"/>
    <s v="DK2_Rural"/>
    <x v="2"/>
    <x v="1"/>
    <s v="GNR_ENG_NGAS_BP_E-41"/>
    <x v="0"/>
    <x v="20"/>
    <n v="5.4359999999999999"/>
    <n v="1984.14"/>
    <n v="7142.9040000000005"/>
  </r>
  <r>
    <x v="0"/>
    <x v="0"/>
    <x v="0"/>
    <x v="0"/>
    <x v="1"/>
    <s v="DK2_Rural"/>
    <x v="2"/>
    <x v="1"/>
    <s v="GNR_ENG_NGAS_BP_E-41"/>
    <x v="0"/>
    <x v="21"/>
    <n v="5.4359999999999999"/>
    <n v="1984.14"/>
    <n v="7142.9040000000005"/>
  </r>
  <r>
    <x v="0"/>
    <x v="0"/>
    <x v="0"/>
    <x v="0"/>
    <x v="1"/>
    <s v="DK2_Rural"/>
    <x v="2"/>
    <x v="1"/>
    <s v="GNR_ENG_NGAS_BP_E-41"/>
    <x v="0"/>
    <x v="22"/>
    <n v="5.4359999999999999"/>
    <n v="1984.14"/>
    <n v="7142.9040000000005"/>
  </r>
  <r>
    <x v="0"/>
    <x v="0"/>
    <x v="0"/>
    <x v="0"/>
    <x v="1"/>
    <s v="DK2_Rural"/>
    <x v="2"/>
    <x v="1"/>
    <s v="GNR_ENG_NGAS_BP_E-41"/>
    <x v="0"/>
    <x v="23"/>
    <n v="5.4359999999999999"/>
    <n v="1984.14"/>
    <n v="7142.9040000000005"/>
  </r>
  <r>
    <x v="0"/>
    <x v="0"/>
    <x v="0"/>
    <x v="0"/>
    <x v="1"/>
    <s v="DK2_Rural"/>
    <x v="2"/>
    <x v="1"/>
    <s v="GNR_ENG_NGAS_BP_E-42"/>
    <x v="0"/>
    <x v="3"/>
    <n v="1.52"/>
    <n v="554.79999999999995"/>
    <n v="1997.28"/>
  </r>
  <r>
    <x v="0"/>
    <x v="0"/>
    <x v="0"/>
    <x v="0"/>
    <x v="1"/>
    <s v="DK2_Rural"/>
    <x v="2"/>
    <x v="1"/>
    <s v="GNR_ENG_NGAS_BP_E-42"/>
    <x v="0"/>
    <x v="4"/>
    <n v="1.52"/>
    <n v="554.79999999999995"/>
    <n v="1997.28"/>
  </r>
  <r>
    <x v="0"/>
    <x v="0"/>
    <x v="0"/>
    <x v="0"/>
    <x v="1"/>
    <s v="DK2_Rural"/>
    <x v="2"/>
    <x v="1"/>
    <s v="GNR_ENG_NGAS_BP_E-42"/>
    <x v="0"/>
    <x v="5"/>
    <n v="1.52"/>
    <n v="554.79999999999995"/>
    <n v="1997.28"/>
  </r>
  <r>
    <x v="0"/>
    <x v="0"/>
    <x v="0"/>
    <x v="0"/>
    <x v="1"/>
    <s v="DK2_Rural"/>
    <x v="2"/>
    <x v="1"/>
    <s v="GNR_ENG_NGAS_BP_E-42"/>
    <x v="0"/>
    <x v="6"/>
    <n v="1.52"/>
    <n v="554.79999999999995"/>
    <n v="1997.28"/>
  </r>
  <r>
    <x v="0"/>
    <x v="0"/>
    <x v="0"/>
    <x v="0"/>
    <x v="1"/>
    <s v="DK2_Rural"/>
    <x v="2"/>
    <x v="1"/>
    <s v="GNR_ENG_NGAS_BP_E-42"/>
    <x v="0"/>
    <x v="7"/>
    <n v="1.52"/>
    <n v="554.79999999999995"/>
    <n v="1997.28"/>
  </r>
  <r>
    <x v="0"/>
    <x v="0"/>
    <x v="0"/>
    <x v="0"/>
    <x v="1"/>
    <s v="DK2_Rural"/>
    <x v="2"/>
    <x v="1"/>
    <s v="GNR_ENG_NGAS_BP_E-42"/>
    <x v="0"/>
    <x v="8"/>
    <n v="1.52"/>
    <n v="554.79999999999995"/>
    <n v="1997.28"/>
  </r>
  <r>
    <x v="0"/>
    <x v="0"/>
    <x v="0"/>
    <x v="0"/>
    <x v="1"/>
    <s v="DK2_Rural"/>
    <x v="2"/>
    <x v="1"/>
    <s v="GNR_ENG_NGAS_BP_E-42"/>
    <x v="0"/>
    <x v="0"/>
    <n v="1.52"/>
    <n v="554.79999999999995"/>
    <n v="1997.28"/>
  </r>
  <r>
    <x v="0"/>
    <x v="0"/>
    <x v="0"/>
    <x v="0"/>
    <x v="1"/>
    <s v="DK2_Rural"/>
    <x v="2"/>
    <x v="1"/>
    <s v="GNR_ENG_NGAS_BP_E-42"/>
    <x v="0"/>
    <x v="1"/>
    <n v="1.52"/>
    <n v="554.79999999999995"/>
    <n v="1997.28"/>
  </r>
  <r>
    <x v="0"/>
    <x v="0"/>
    <x v="0"/>
    <x v="0"/>
    <x v="1"/>
    <s v="DK2_Rural"/>
    <x v="2"/>
    <x v="1"/>
    <s v="GNR_ENG_NGAS_BP_E-42"/>
    <x v="0"/>
    <x v="2"/>
    <n v="1.52"/>
    <n v="554.79999999999995"/>
    <n v="1997.28"/>
  </r>
  <r>
    <x v="0"/>
    <x v="0"/>
    <x v="0"/>
    <x v="0"/>
    <x v="1"/>
    <s v="DK2_Rural"/>
    <x v="2"/>
    <x v="1"/>
    <s v="GNR_ENG_NGAS_BP_E-42"/>
    <x v="0"/>
    <x v="9"/>
    <n v="1.52"/>
    <n v="554.79999999999995"/>
    <n v="1997.28"/>
  </r>
  <r>
    <x v="0"/>
    <x v="0"/>
    <x v="0"/>
    <x v="0"/>
    <x v="1"/>
    <s v="DK2_Rural"/>
    <x v="2"/>
    <x v="1"/>
    <s v="GNR_ENG_NGAS_BP_E-42"/>
    <x v="0"/>
    <x v="10"/>
    <n v="1.52"/>
    <n v="554.79999999999995"/>
    <n v="1997.28"/>
  </r>
  <r>
    <x v="0"/>
    <x v="0"/>
    <x v="0"/>
    <x v="0"/>
    <x v="1"/>
    <s v="DK2_Rural"/>
    <x v="2"/>
    <x v="1"/>
    <s v="GNR_ENG_NGAS_BP_E-42"/>
    <x v="0"/>
    <x v="11"/>
    <n v="1.52"/>
    <n v="554.79999999999995"/>
    <n v="1997.28"/>
  </r>
  <r>
    <x v="0"/>
    <x v="0"/>
    <x v="0"/>
    <x v="0"/>
    <x v="1"/>
    <s v="DK2_Rural"/>
    <x v="2"/>
    <x v="1"/>
    <s v="GNR_ENG_NGAS_BP_E-42"/>
    <x v="0"/>
    <x v="12"/>
    <n v="1.52"/>
    <n v="554.79999999999995"/>
    <n v="1997.28"/>
  </r>
  <r>
    <x v="0"/>
    <x v="0"/>
    <x v="0"/>
    <x v="0"/>
    <x v="1"/>
    <s v="DK2_Rural"/>
    <x v="2"/>
    <x v="1"/>
    <s v="GNR_ENG_NGAS_BP_E-42"/>
    <x v="0"/>
    <x v="13"/>
    <n v="1.52"/>
    <n v="554.79999999999995"/>
    <n v="1997.28"/>
  </r>
  <r>
    <x v="0"/>
    <x v="0"/>
    <x v="0"/>
    <x v="0"/>
    <x v="1"/>
    <s v="DK2_Rural"/>
    <x v="2"/>
    <x v="1"/>
    <s v="GNR_ENG_NGAS_BP_E-42"/>
    <x v="0"/>
    <x v="14"/>
    <n v="1.52"/>
    <n v="554.79999999999995"/>
    <n v="1997.28"/>
  </r>
  <r>
    <x v="0"/>
    <x v="0"/>
    <x v="0"/>
    <x v="0"/>
    <x v="1"/>
    <s v="DK2_Rural"/>
    <x v="2"/>
    <x v="1"/>
    <s v="GNR_ENG_NGAS_BP_E-42"/>
    <x v="0"/>
    <x v="15"/>
    <n v="1.52"/>
    <n v="554.79999999999995"/>
    <n v="1997.28"/>
  </r>
  <r>
    <x v="0"/>
    <x v="0"/>
    <x v="0"/>
    <x v="0"/>
    <x v="1"/>
    <s v="DK2_Rural"/>
    <x v="2"/>
    <x v="1"/>
    <s v="GNR_ENG_NGAS_BP_E-42"/>
    <x v="0"/>
    <x v="16"/>
    <n v="1.52"/>
    <n v="554.79999999999995"/>
    <n v="1997.28"/>
  </r>
  <r>
    <x v="0"/>
    <x v="0"/>
    <x v="0"/>
    <x v="0"/>
    <x v="1"/>
    <s v="DK2_Rural"/>
    <x v="2"/>
    <x v="1"/>
    <s v="GNR_ENG_NGAS_BP_E-42"/>
    <x v="0"/>
    <x v="17"/>
    <n v="1.52"/>
    <n v="554.79999999999995"/>
    <n v="1997.28"/>
  </r>
  <r>
    <x v="0"/>
    <x v="0"/>
    <x v="0"/>
    <x v="0"/>
    <x v="1"/>
    <s v="DK2_Rural"/>
    <x v="2"/>
    <x v="1"/>
    <s v="GNR_ENG_NGAS_BP_E-42"/>
    <x v="0"/>
    <x v="18"/>
    <n v="1.52"/>
    <n v="554.79999999999995"/>
    <n v="1997.28"/>
  </r>
  <r>
    <x v="0"/>
    <x v="0"/>
    <x v="0"/>
    <x v="0"/>
    <x v="1"/>
    <s v="DK2_Rural"/>
    <x v="2"/>
    <x v="1"/>
    <s v="GNR_ENG_NGAS_BP_E-42"/>
    <x v="0"/>
    <x v="19"/>
    <n v="1.52"/>
    <n v="554.79999999999995"/>
    <n v="1997.28"/>
  </r>
  <r>
    <x v="0"/>
    <x v="0"/>
    <x v="0"/>
    <x v="0"/>
    <x v="1"/>
    <s v="DK2_Rural"/>
    <x v="2"/>
    <x v="1"/>
    <s v="GNR_ENG_NGAS_BP_E-42"/>
    <x v="0"/>
    <x v="20"/>
    <n v="1.52"/>
    <n v="554.79999999999995"/>
    <n v="1997.28"/>
  </r>
  <r>
    <x v="0"/>
    <x v="0"/>
    <x v="0"/>
    <x v="0"/>
    <x v="1"/>
    <s v="DK2_Rural"/>
    <x v="2"/>
    <x v="1"/>
    <s v="GNR_ENG_NGAS_BP_E-42"/>
    <x v="0"/>
    <x v="21"/>
    <n v="1.52"/>
    <n v="554.79999999999995"/>
    <n v="1997.28"/>
  </r>
  <r>
    <x v="0"/>
    <x v="0"/>
    <x v="0"/>
    <x v="0"/>
    <x v="1"/>
    <s v="DK2_Rural"/>
    <x v="2"/>
    <x v="1"/>
    <s v="GNR_ENG_NGAS_BP_E-42"/>
    <x v="0"/>
    <x v="22"/>
    <n v="1.52"/>
    <n v="554.79999999999995"/>
    <n v="1997.28"/>
  </r>
  <r>
    <x v="0"/>
    <x v="0"/>
    <x v="0"/>
    <x v="0"/>
    <x v="1"/>
    <s v="DK2_Rural"/>
    <x v="2"/>
    <x v="1"/>
    <s v="GNR_ENG_NGAS_BP_E-42"/>
    <x v="0"/>
    <x v="23"/>
    <n v="1.52"/>
    <n v="554.79999999999995"/>
    <n v="1997.28"/>
  </r>
  <r>
    <x v="0"/>
    <x v="0"/>
    <x v="0"/>
    <x v="0"/>
    <x v="1"/>
    <s v="DK2_Rural"/>
    <x v="2"/>
    <x v="1"/>
    <s v="GNR_ENG_NGAS_BP_E-43"/>
    <x v="0"/>
    <x v="3"/>
    <n v="2.4769999999999999"/>
    <n v="904.10500000000002"/>
    <n v="3254.7779999999998"/>
  </r>
  <r>
    <x v="0"/>
    <x v="0"/>
    <x v="0"/>
    <x v="0"/>
    <x v="1"/>
    <s v="DK2_Rural"/>
    <x v="2"/>
    <x v="1"/>
    <s v="GNR_ENG_NGAS_BP_E-43"/>
    <x v="0"/>
    <x v="4"/>
    <n v="2.4769999999999999"/>
    <n v="904.10500000000002"/>
    <n v="3254.7779999999998"/>
  </r>
  <r>
    <x v="0"/>
    <x v="0"/>
    <x v="0"/>
    <x v="0"/>
    <x v="1"/>
    <s v="DK2_Rural"/>
    <x v="2"/>
    <x v="1"/>
    <s v="GNR_ENG_NGAS_BP_E-43"/>
    <x v="0"/>
    <x v="5"/>
    <n v="2.4769999999999999"/>
    <n v="904.10500000000002"/>
    <n v="3254.7779999999998"/>
  </r>
  <r>
    <x v="0"/>
    <x v="0"/>
    <x v="0"/>
    <x v="0"/>
    <x v="1"/>
    <s v="DK2_Rural"/>
    <x v="2"/>
    <x v="1"/>
    <s v="GNR_ENG_NGAS_BP_E-43"/>
    <x v="0"/>
    <x v="6"/>
    <n v="2.4769999999999999"/>
    <n v="904.10500000000002"/>
    <n v="3254.7779999999998"/>
  </r>
  <r>
    <x v="0"/>
    <x v="0"/>
    <x v="0"/>
    <x v="0"/>
    <x v="1"/>
    <s v="DK2_Rural"/>
    <x v="2"/>
    <x v="1"/>
    <s v="GNR_ENG_NGAS_BP_E-43"/>
    <x v="0"/>
    <x v="7"/>
    <n v="2.4769999999999999"/>
    <n v="904.10500000000002"/>
    <n v="3254.7779999999998"/>
  </r>
  <r>
    <x v="0"/>
    <x v="0"/>
    <x v="0"/>
    <x v="0"/>
    <x v="1"/>
    <s v="DK2_Rural"/>
    <x v="2"/>
    <x v="1"/>
    <s v="GNR_ENG_NGAS_BP_E-43"/>
    <x v="0"/>
    <x v="8"/>
    <n v="2.4769999999999999"/>
    <n v="904.10500000000002"/>
    <n v="3254.7779999999998"/>
  </r>
  <r>
    <x v="0"/>
    <x v="0"/>
    <x v="0"/>
    <x v="0"/>
    <x v="1"/>
    <s v="DK2_Rural"/>
    <x v="2"/>
    <x v="1"/>
    <s v="GNR_ENG_NGAS_BP_E-43"/>
    <x v="0"/>
    <x v="0"/>
    <n v="2.4769999999999999"/>
    <n v="904.10500000000002"/>
    <n v="3254.7779999999998"/>
  </r>
  <r>
    <x v="0"/>
    <x v="0"/>
    <x v="0"/>
    <x v="0"/>
    <x v="1"/>
    <s v="DK2_Rural"/>
    <x v="2"/>
    <x v="1"/>
    <s v="GNR_ENG_NGAS_BP_E-43"/>
    <x v="0"/>
    <x v="1"/>
    <n v="2.4769999999999999"/>
    <n v="904.10500000000002"/>
    <n v="3254.7779999999998"/>
  </r>
  <r>
    <x v="0"/>
    <x v="0"/>
    <x v="0"/>
    <x v="0"/>
    <x v="1"/>
    <s v="DK2_Rural"/>
    <x v="2"/>
    <x v="1"/>
    <s v="GNR_ENG_NGAS_BP_E-43"/>
    <x v="0"/>
    <x v="2"/>
    <n v="2.4769999999999999"/>
    <n v="904.10500000000002"/>
    <n v="3254.7779999999998"/>
  </r>
  <r>
    <x v="0"/>
    <x v="0"/>
    <x v="0"/>
    <x v="0"/>
    <x v="1"/>
    <s v="DK2_Rural"/>
    <x v="2"/>
    <x v="1"/>
    <s v="GNR_ENG_NGAS_BP_E-43"/>
    <x v="0"/>
    <x v="9"/>
    <n v="2.4769999999999999"/>
    <n v="904.10500000000002"/>
    <n v="3254.7779999999998"/>
  </r>
  <r>
    <x v="0"/>
    <x v="0"/>
    <x v="0"/>
    <x v="0"/>
    <x v="1"/>
    <s v="DK2_Rural"/>
    <x v="2"/>
    <x v="1"/>
    <s v="GNR_ENG_NGAS_BP_E-43"/>
    <x v="0"/>
    <x v="10"/>
    <n v="2.4769999999999999"/>
    <n v="904.10500000000002"/>
    <n v="3254.7779999999998"/>
  </r>
  <r>
    <x v="0"/>
    <x v="0"/>
    <x v="0"/>
    <x v="0"/>
    <x v="1"/>
    <s v="DK2_Rural"/>
    <x v="2"/>
    <x v="1"/>
    <s v="GNR_ENG_NGAS_BP_E-43"/>
    <x v="0"/>
    <x v="11"/>
    <n v="2.4769999999999999"/>
    <n v="904.10500000000002"/>
    <n v="3254.7779999999998"/>
  </r>
  <r>
    <x v="0"/>
    <x v="0"/>
    <x v="0"/>
    <x v="0"/>
    <x v="1"/>
    <s v="DK2_Rural"/>
    <x v="2"/>
    <x v="1"/>
    <s v="GNR_ENG_NGAS_BP_E-43"/>
    <x v="0"/>
    <x v="12"/>
    <n v="2.4769999999999999"/>
    <n v="904.10500000000002"/>
    <n v="3254.7779999999998"/>
  </r>
  <r>
    <x v="0"/>
    <x v="0"/>
    <x v="0"/>
    <x v="0"/>
    <x v="1"/>
    <s v="DK2_Rural"/>
    <x v="2"/>
    <x v="1"/>
    <s v="GNR_ENG_NGAS_BP_E-43"/>
    <x v="0"/>
    <x v="13"/>
    <n v="2.4769999999999999"/>
    <n v="904.10500000000002"/>
    <n v="3254.7779999999998"/>
  </r>
  <r>
    <x v="0"/>
    <x v="0"/>
    <x v="0"/>
    <x v="0"/>
    <x v="1"/>
    <s v="DK2_Rural"/>
    <x v="2"/>
    <x v="1"/>
    <s v="GNR_ENG_NGAS_BP_E-43"/>
    <x v="0"/>
    <x v="14"/>
    <n v="2.4769999999999999"/>
    <n v="904.10500000000002"/>
    <n v="3254.7779999999998"/>
  </r>
  <r>
    <x v="0"/>
    <x v="0"/>
    <x v="0"/>
    <x v="0"/>
    <x v="1"/>
    <s v="DK2_Rural"/>
    <x v="2"/>
    <x v="1"/>
    <s v="GNR_ENG_NGAS_BP_E-43"/>
    <x v="0"/>
    <x v="15"/>
    <n v="2.4769999999999999"/>
    <n v="904.10500000000002"/>
    <n v="3254.7779999999998"/>
  </r>
  <r>
    <x v="0"/>
    <x v="0"/>
    <x v="0"/>
    <x v="0"/>
    <x v="1"/>
    <s v="DK2_Rural"/>
    <x v="2"/>
    <x v="1"/>
    <s v="GNR_ENG_NGAS_BP_E-43"/>
    <x v="0"/>
    <x v="16"/>
    <n v="2.4769999999999999"/>
    <n v="904.10500000000002"/>
    <n v="3254.7779999999998"/>
  </r>
  <r>
    <x v="0"/>
    <x v="0"/>
    <x v="0"/>
    <x v="0"/>
    <x v="1"/>
    <s v="DK2_Rural"/>
    <x v="2"/>
    <x v="1"/>
    <s v="GNR_ENG_NGAS_BP_E-43"/>
    <x v="0"/>
    <x v="17"/>
    <n v="2.4769999999999999"/>
    <n v="904.10500000000002"/>
    <n v="3254.7779999999998"/>
  </r>
  <r>
    <x v="0"/>
    <x v="0"/>
    <x v="0"/>
    <x v="0"/>
    <x v="1"/>
    <s v="DK2_Rural"/>
    <x v="2"/>
    <x v="1"/>
    <s v="GNR_ENG_NGAS_BP_E-43"/>
    <x v="0"/>
    <x v="18"/>
    <n v="2.4769999999999999"/>
    <n v="904.10500000000002"/>
    <n v="3254.7779999999998"/>
  </r>
  <r>
    <x v="0"/>
    <x v="0"/>
    <x v="0"/>
    <x v="0"/>
    <x v="1"/>
    <s v="DK2_Rural"/>
    <x v="2"/>
    <x v="1"/>
    <s v="GNR_ENG_NGAS_BP_E-43"/>
    <x v="0"/>
    <x v="19"/>
    <n v="2.4769999999999999"/>
    <n v="904.10500000000002"/>
    <n v="3254.7779999999998"/>
  </r>
  <r>
    <x v="0"/>
    <x v="0"/>
    <x v="0"/>
    <x v="0"/>
    <x v="1"/>
    <s v="DK2_Rural"/>
    <x v="2"/>
    <x v="1"/>
    <s v="GNR_ENG_NGAS_BP_E-43"/>
    <x v="0"/>
    <x v="20"/>
    <n v="2.4769999999999999"/>
    <n v="904.10500000000002"/>
    <n v="3254.7779999999998"/>
  </r>
  <r>
    <x v="0"/>
    <x v="0"/>
    <x v="0"/>
    <x v="0"/>
    <x v="1"/>
    <s v="DK2_Rural"/>
    <x v="2"/>
    <x v="1"/>
    <s v="GNR_ENG_NGAS_BP_E-43"/>
    <x v="0"/>
    <x v="21"/>
    <n v="2.4769999999999999"/>
    <n v="904.10500000000002"/>
    <n v="3254.7779999999998"/>
  </r>
  <r>
    <x v="0"/>
    <x v="0"/>
    <x v="0"/>
    <x v="0"/>
    <x v="1"/>
    <s v="DK2_Rural"/>
    <x v="2"/>
    <x v="1"/>
    <s v="GNR_ENG_NGAS_BP_E-43"/>
    <x v="0"/>
    <x v="22"/>
    <n v="2.4769999999999999"/>
    <n v="904.10500000000002"/>
    <n v="3254.7779999999998"/>
  </r>
  <r>
    <x v="0"/>
    <x v="0"/>
    <x v="0"/>
    <x v="0"/>
    <x v="1"/>
    <s v="DK2_Rural"/>
    <x v="2"/>
    <x v="1"/>
    <s v="GNR_ENG_NGAS_BP_E-43"/>
    <x v="0"/>
    <x v="23"/>
    <n v="2.4769999999999999"/>
    <n v="904.10500000000002"/>
    <n v="3254.7779999999998"/>
  </r>
  <r>
    <x v="0"/>
    <x v="0"/>
    <x v="0"/>
    <x v="0"/>
    <x v="1"/>
    <s v="DK2_Rural"/>
    <x v="2"/>
    <x v="1"/>
    <s v="GNR_ENG_NGAS_BP_E-45"/>
    <x v="0"/>
    <x v="3"/>
    <n v="0.5"/>
    <n v="182.5"/>
    <n v="657"/>
  </r>
  <r>
    <x v="0"/>
    <x v="0"/>
    <x v="0"/>
    <x v="0"/>
    <x v="1"/>
    <s v="DK2_Rural"/>
    <x v="2"/>
    <x v="1"/>
    <s v="GNR_ENG_NGAS_BP_E-45"/>
    <x v="0"/>
    <x v="4"/>
    <n v="0.5"/>
    <n v="182.5"/>
    <n v="657"/>
  </r>
  <r>
    <x v="0"/>
    <x v="0"/>
    <x v="0"/>
    <x v="0"/>
    <x v="1"/>
    <s v="DK2_Rural"/>
    <x v="2"/>
    <x v="1"/>
    <s v="GNR_ENG_NGAS_BP_E-45"/>
    <x v="0"/>
    <x v="5"/>
    <n v="0.5"/>
    <n v="182.5"/>
    <n v="657"/>
  </r>
  <r>
    <x v="0"/>
    <x v="0"/>
    <x v="0"/>
    <x v="0"/>
    <x v="1"/>
    <s v="DK2_Rural"/>
    <x v="2"/>
    <x v="1"/>
    <s v="GNR_ENG_NGAS_BP_E-45"/>
    <x v="0"/>
    <x v="6"/>
    <n v="0.5"/>
    <n v="182.5"/>
    <n v="657"/>
  </r>
  <r>
    <x v="0"/>
    <x v="0"/>
    <x v="0"/>
    <x v="0"/>
    <x v="1"/>
    <s v="DK2_Rural"/>
    <x v="2"/>
    <x v="1"/>
    <s v="GNR_ENG_NGAS_BP_E-45"/>
    <x v="0"/>
    <x v="7"/>
    <n v="0.5"/>
    <n v="182.5"/>
    <n v="657"/>
  </r>
  <r>
    <x v="0"/>
    <x v="0"/>
    <x v="0"/>
    <x v="0"/>
    <x v="1"/>
    <s v="DK2_Rural"/>
    <x v="2"/>
    <x v="1"/>
    <s v="GNR_ENG_NGAS_BP_E-45"/>
    <x v="0"/>
    <x v="8"/>
    <n v="0.5"/>
    <n v="182.5"/>
    <n v="657"/>
  </r>
  <r>
    <x v="0"/>
    <x v="0"/>
    <x v="0"/>
    <x v="0"/>
    <x v="1"/>
    <s v="DK2_Rural"/>
    <x v="2"/>
    <x v="1"/>
    <s v="GNR_ENG_NGAS_BP_E-45"/>
    <x v="0"/>
    <x v="0"/>
    <n v="0.5"/>
    <n v="182.5"/>
    <n v="657"/>
  </r>
  <r>
    <x v="0"/>
    <x v="0"/>
    <x v="0"/>
    <x v="0"/>
    <x v="1"/>
    <s v="DK2_Rural"/>
    <x v="2"/>
    <x v="1"/>
    <s v="GNR_ENG_NGAS_BP_E-45"/>
    <x v="0"/>
    <x v="1"/>
    <n v="0.5"/>
    <n v="182.5"/>
    <n v="657"/>
  </r>
  <r>
    <x v="0"/>
    <x v="0"/>
    <x v="0"/>
    <x v="0"/>
    <x v="1"/>
    <s v="DK2_Rural"/>
    <x v="2"/>
    <x v="1"/>
    <s v="GNR_ENG_NGAS_BP_E-45"/>
    <x v="0"/>
    <x v="2"/>
    <n v="0.5"/>
    <n v="182.5"/>
    <n v="657"/>
  </r>
  <r>
    <x v="0"/>
    <x v="0"/>
    <x v="0"/>
    <x v="0"/>
    <x v="1"/>
    <s v="DK2_Rural"/>
    <x v="2"/>
    <x v="1"/>
    <s v="GNR_ENG_NGAS_BP_E-45"/>
    <x v="0"/>
    <x v="9"/>
    <n v="0.5"/>
    <n v="182.5"/>
    <n v="657"/>
  </r>
  <r>
    <x v="0"/>
    <x v="0"/>
    <x v="0"/>
    <x v="0"/>
    <x v="1"/>
    <s v="DK2_Rural"/>
    <x v="2"/>
    <x v="1"/>
    <s v="GNR_ENG_NGAS_BP_E-45"/>
    <x v="0"/>
    <x v="10"/>
    <n v="0.5"/>
    <n v="182.5"/>
    <n v="657"/>
  </r>
  <r>
    <x v="0"/>
    <x v="0"/>
    <x v="0"/>
    <x v="0"/>
    <x v="1"/>
    <s v="DK2_Rural"/>
    <x v="2"/>
    <x v="1"/>
    <s v="GNR_ENG_NGAS_BP_E-45"/>
    <x v="0"/>
    <x v="11"/>
    <n v="0.5"/>
    <n v="182.5"/>
    <n v="657"/>
  </r>
  <r>
    <x v="0"/>
    <x v="0"/>
    <x v="0"/>
    <x v="0"/>
    <x v="1"/>
    <s v="DK2_Rural"/>
    <x v="2"/>
    <x v="1"/>
    <s v="GNR_ENG_NGAS_BP_E-45"/>
    <x v="0"/>
    <x v="12"/>
    <n v="0.5"/>
    <n v="182.5"/>
    <n v="657"/>
  </r>
  <r>
    <x v="0"/>
    <x v="0"/>
    <x v="0"/>
    <x v="0"/>
    <x v="1"/>
    <s v="DK2_Rural"/>
    <x v="2"/>
    <x v="1"/>
    <s v="GNR_ENG_NGAS_BP_E-45"/>
    <x v="0"/>
    <x v="13"/>
    <n v="0.5"/>
    <n v="182.5"/>
    <n v="657"/>
  </r>
  <r>
    <x v="0"/>
    <x v="0"/>
    <x v="0"/>
    <x v="0"/>
    <x v="1"/>
    <s v="DK2_Rural"/>
    <x v="2"/>
    <x v="1"/>
    <s v="GNR_ENG_NGAS_BP_E-45"/>
    <x v="0"/>
    <x v="14"/>
    <n v="0.5"/>
    <n v="182.5"/>
    <n v="657"/>
  </r>
  <r>
    <x v="0"/>
    <x v="0"/>
    <x v="0"/>
    <x v="0"/>
    <x v="1"/>
    <s v="DK2_Rural"/>
    <x v="2"/>
    <x v="1"/>
    <s v="GNR_ENG_NGAS_BP_E-45"/>
    <x v="0"/>
    <x v="15"/>
    <n v="0.5"/>
    <n v="182.5"/>
    <n v="657"/>
  </r>
  <r>
    <x v="0"/>
    <x v="0"/>
    <x v="0"/>
    <x v="0"/>
    <x v="1"/>
    <s v="DK2_Rural"/>
    <x v="2"/>
    <x v="1"/>
    <s v="GNR_ENG_NGAS_BP_E-45"/>
    <x v="0"/>
    <x v="16"/>
    <n v="0.5"/>
    <n v="182.5"/>
    <n v="657"/>
  </r>
  <r>
    <x v="0"/>
    <x v="0"/>
    <x v="0"/>
    <x v="0"/>
    <x v="1"/>
    <s v="DK2_Rural"/>
    <x v="2"/>
    <x v="1"/>
    <s v="GNR_ENG_NGAS_BP_E-45"/>
    <x v="0"/>
    <x v="17"/>
    <n v="0.5"/>
    <n v="182.5"/>
    <n v="657"/>
  </r>
  <r>
    <x v="0"/>
    <x v="0"/>
    <x v="0"/>
    <x v="0"/>
    <x v="1"/>
    <s v="DK2_Rural"/>
    <x v="2"/>
    <x v="1"/>
    <s v="GNR_ENG_NGAS_BP_E-45"/>
    <x v="0"/>
    <x v="18"/>
    <n v="0.5"/>
    <n v="182.5"/>
    <n v="657"/>
  </r>
  <r>
    <x v="0"/>
    <x v="0"/>
    <x v="0"/>
    <x v="0"/>
    <x v="1"/>
    <s v="DK2_Rural"/>
    <x v="2"/>
    <x v="1"/>
    <s v="GNR_ENG_NGAS_BP_E-45"/>
    <x v="0"/>
    <x v="19"/>
    <n v="0.5"/>
    <n v="182.5"/>
    <n v="657"/>
  </r>
  <r>
    <x v="0"/>
    <x v="0"/>
    <x v="0"/>
    <x v="0"/>
    <x v="1"/>
    <s v="DK2_Rural"/>
    <x v="2"/>
    <x v="1"/>
    <s v="GNR_ENG_NGAS_BP_E-45"/>
    <x v="0"/>
    <x v="20"/>
    <n v="0.5"/>
    <n v="182.5"/>
    <n v="657"/>
  </r>
  <r>
    <x v="0"/>
    <x v="0"/>
    <x v="0"/>
    <x v="0"/>
    <x v="1"/>
    <s v="DK2_Rural"/>
    <x v="2"/>
    <x v="1"/>
    <s v="GNR_ENG_NGAS_BP_E-45"/>
    <x v="0"/>
    <x v="21"/>
    <n v="0.5"/>
    <n v="182.5"/>
    <n v="657"/>
  </r>
  <r>
    <x v="0"/>
    <x v="0"/>
    <x v="0"/>
    <x v="0"/>
    <x v="1"/>
    <s v="DK2_Rural"/>
    <x v="2"/>
    <x v="1"/>
    <s v="GNR_ENG_NGAS_BP_E-45"/>
    <x v="0"/>
    <x v="22"/>
    <n v="0.5"/>
    <n v="182.5"/>
    <n v="657"/>
  </r>
  <r>
    <x v="0"/>
    <x v="0"/>
    <x v="0"/>
    <x v="0"/>
    <x v="1"/>
    <s v="DK2_Rural"/>
    <x v="2"/>
    <x v="1"/>
    <s v="GNR_ENG_NGAS_BP_E-45"/>
    <x v="0"/>
    <x v="23"/>
    <n v="0.5"/>
    <n v="182.5"/>
    <n v="657"/>
  </r>
  <r>
    <x v="0"/>
    <x v="0"/>
    <x v="0"/>
    <x v="0"/>
    <x v="1"/>
    <s v="DK2_Rural"/>
    <x v="2"/>
    <x v="1"/>
    <s v="GNR_ENG_NGAS_BP_E-46"/>
    <x v="0"/>
    <x v="3"/>
    <n v="0.55000000000000004"/>
    <n v="200.75"/>
    <n v="722.7"/>
  </r>
  <r>
    <x v="0"/>
    <x v="0"/>
    <x v="0"/>
    <x v="0"/>
    <x v="1"/>
    <s v="DK2_Rural"/>
    <x v="2"/>
    <x v="1"/>
    <s v="GNR_ENG_NGAS_BP_E-46"/>
    <x v="0"/>
    <x v="4"/>
    <n v="0.55000000000000004"/>
    <n v="200.75"/>
    <n v="722.7"/>
  </r>
  <r>
    <x v="0"/>
    <x v="0"/>
    <x v="0"/>
    <x v="0"/>
    <x v="1"/>
    <s v="DK2_Rural"/>
    <x v="2"/>
    <x v="1"/>
    <s v="GNR_ENG_NGAS_BP_E-46"/>
    <x v="0"/>
    <x v="5"/>
    <n v="0.55000000000000004"/>
    <n v="200.75"/>
    <n v="722.7"/>
  </r>
  <r>
    <x v="0"/>
    <x v="0"/>
    <x v="0"/>
    <x v="0"/>
    <x v="1"/>
    <s v="DK2_Rural"/>
    <x v="2"/>
    <x v="1"/>
    <s v="GNR_ENG_NGAS_BP_E-46"/>
    <x v="0"/>
    <x v="6"/>
    <n v="0.55000000000000004"/>
    <n v="200.75"/>
    <n v="722.7"/>
  </r>
  <r>
    <x v="0"/>
    <x v="0"/>
    <x v="0"/>
    <x v="0"/>
    <x v="1"/>
    <s v="DK2_Rural"/>
    <x v="2"/>
    <x v="1"/>
    <s v="GNR_ENG_NGAS_BP_E-46"/>
    <x v="0"/>
    <x v="7"/>
    <n v="0.55000000000000004"/>
    <n v="200.75"/>
    <n v="722.7"/>
  </r>
  <r>
    <x v="0"/>
    <x v="0"/>
    <x v="0"/>
    <x v="0"/>
    <x v="1"/>
    <s v="DK2_Rural"/>
    <x v="2"/>
    <x v="1"/>
    <s v="GNR_ENG_NGAS_BP_E-46"/>
    <x v="0"/>
    <x v="8"/>
    <n v="0.55000000000000004"/>
    <n v="200.75"/>
    <n v="722.7"/>
  </r>
  <r>
    <x v="0"/>
    <x v="0"/>
    <x v="0"/>
    <x v="0"/>
    <x v="1"/>
    <s v="DK2_Rural"/>
    <x v="2"/>
    <x v="1"/>
    <s v="GNR_ENG_NGAS_BP_E-46"/>
    <x v="0"/>
    <x v="0"/>
    <n v="0.55000000000000004"/>
    <n v="200.75"/>
    <n v="722.7"/>
  </r>
  <r>
    <x v="0"/>
    <x v="0"/>
    <x v="0"/>
    <x v="0"/>
    <x v="1"/>
    <s v="DK2_Rural"/>
    <x v="2"/>
    <x v="1"/>
    <s v="GNR_ENG_NGAS_BP_E-46"/>
    <x v="0"/>
    <x v="1"/>
    <n v="0.55000000000000004"/>
    <n v="200.75"/>
    <n v="722.7"/>
  </r>
  <r>
    <x v="0"/>
    <x v="0"/>
    <x v="0"/>
    <x v="0"/>
    <x v="1"/>
    <s v="DK2_Rural"/>
    <x v="2"/>
    <x v="1"/>
    <s v="GNR_ENG_NGAS_BP_E-46"/>
    <x v="0"/>
    <x v="2"/>
    <n v="0.55000000000000004"/>
    <n v="200.75"/>
    <n v="722.7"/>
  </r>
  <r>
    <x v="0"/>
    <x v="0"/>
    <x v="0"/>
    <x v="0"/>
    <x v="1"/>
    <s v="DK2_Rural"/>
    <x v="2"/>
    <x v="1"/>
    <s v="GNR_ENG_NGAS_BP_E-46"/>
    <x v="0"/>
    <x v="9"/>
    <n v="0.55000000000000004"/>
    <n v="200.75"/>
    <n v="722.7"/>
  </r>
  <r>
    <x v="0"/>
    <x v="0"/>
    <x v="0"/>
    <x v="0"/>
    <x v="1"/>
    <s v="DK2_Rural"/>
    <x v="2"/>
    <x v="1"/>
    <s v="GNR_ENG_NGAS_BP_E-46"/>
    <x v="0"/>
    <x v="10"/>
    <n v="0.55000000000000004"/>
    <n v="200.75"/>
    <n v="722.7"/>
  </r>
  <r>
    <x v="0"/>
    <x v="0"/>
    <x v="0"/>
    <x v="0"/>
    <x v="1"/>
    <s v="DK2_Rural"/>
    <x v="2"/>
    <x v="1"/>
    <s v="GNR_ENG_NGAS_BP_E-46"/>
    <x v="0"/>
    <x v="11"/>
    <n v="0.55000000000000004"/>
    <n v="200.75"/>
    <n v="722.7"/>
  </r>
  <r>
    <x v="0"/>
    <x v="0"/>
    <x v="0"/>
    <x v="0"/>
    <x v="1"/>
    <s v="DK2_Rural"/>
    <x v="2"/>
    <x v="1"/>
    <s v="GNR_ENG_NGAS_BP_E-46"/>
    <x v="0"/>
    <x v="12"/>
    <n v="0.55000000000000004"/>
    <n v="200.75"/>
    <n v="722.7"/>
  </r>
  <r>
    <x v="0"/>
    <x v="0"/>
    <x v="0"/>
    <x v="0"/>
    <x v="1"/>
    <s v="DK2_Rural"/>
    <x v="2"/>
    <x v="1"/>
    <s v="GNR_ENG_NGAS_BP_E-46"/>
    <x v="0"/>
    <x v="13"/>
    <n v="0.55000000000000004"/>
    <n v="200.75"/>
    <n v="722.7"/>
  </r>
  <r>
    <x v="0"/>
    <x v="0"/>
    <x v="0"/>
    <x v="0"/>
    <x v="1"/>
    <s v="DK2_Rural"/>
    <x v="2"/>
    <x v="1"/>
    <s v="GNR_ENG_NGAS_BP_E-46"/>
    <x v="0"/>
    <x v="14"/>
    <n v="0.55000000000000004"/>
    <n v="200.75"/>
    <n v="722.7"/>
  </r>
  <r>
    <x v="0"/>
    <x v="0"/>
    <x v="0"/>
    <x v="0"/>
    <x v="1"/>
    <s v="DK2_Rural"/>
    <x v="2"/>
    <x v="1"/>
    <s v="GNR_ENG_NGAS_BP_E-46"/>
    <x v="0"/>
    <x v="15"/>
    <n v="0.55000000000000004"/>
    <n v="200.75"/>
    <n v="722.7"/>
  </r>
  <r>
    <x v="0"/>
    <x v="0"/>
    <x v="0"/>
    <x v="0"/>
    <x v="1"/>
    <s v="DK2_Rural"/>
    <x v="2"/>
    <x v="1"/>
    <s v="GNR_ENG_NGAS_BP_E-46"/>
    <x v="0"/>
    <x v="16"/>
    <n v="0.55000000000000004"/>
    <n v="200.75"/>
    <n v="722.7"/>
  </r>
  <r>
    <x v="0"/>
    <x v="0"/>
    <x v="0"/>
    <x v="0"/>
    <x v="1"/>
    <s v="DK2_Rural"/>
    <x v="2"/>
    <x v="1"/>
    <s v="GNR_ENG_NGAS_BP_E-46"/>
    <x v="0"/>
    <x v="17"/>
    <n v="0.55000000000000004"/>
    <n v="200.75"/>
    <n v="722.7"/>
  </r>
  <r>
    <x v="0"/>
    <x v="0"/>
    <x v="0"/>
    <x v="0"/>
    <x v="1"/>
    <s v="DK2_Rural"/>
    <x v="2"/>
    <x v="1"/>
    <s v="GNR_ENG_NGAS_BP_E-46"/>
    <x v="0"/>
    <x v="18"/>
    <n v="0.55000000000000004"/>
    <n v="200.75"/>
    <n v="722.7"/>
  </r>
  <r>
    <x v="0"/>
    <x v="0"/>
    <x v="0"/>
    <x v="0"/>
    <x v="1"/>
    <s v="DK2_Rural"/>
    <x v="2"/>
    <x v="1"/>
    <s v="GNR_ENG_NGAS_BP_E-46"/>
    <x v="0"/>
    <x v="19"/>
    <n v="0.55000000000000004"/>
    <n v="200.75"/>
    <n v="722.7"/>
  </r>
  <r>
    <x v="0"/>
    <x v="0"/>
    <x v="0"/>
    <x v="0"/>
    <x v="1"/>
    <s v="DK2_Rural"/>
    <x v="2"/>
    <x v="1"/>
    <s v="GNR_ENG_NGAS_BP_E-46"/>
    <x v="0"/>
    <x v="20"/>
    <n v="0.55000000000000004"/>
    <n v="200.75"/>
    <n v="722.7"/>
  </r>
  <r>
    <x v="0"/>
    <x v="0"/>
    <x v="0"/>
    <x v="0"/>
    <x v="1"/>
    <s v="DK2_Rural"/>
    <x v="2"/>
    <x v="1"/>
    <s v="GNR_ENG_NGAS_BP_E-46"/>
    <x v="0"/>
    <x v="21"/>
    <n v="0.55000000000000004"/>
    <n v="200.75"/>
    <n v="722.7"/>
  </r>
  <r>
    <x v="0"/>
    <x v="0"/>
    <x v="0"/>
    <x v="0"/>
    <x v="1"/>
    <s v="DK2_Rural"/>
    <x v="2"/>
    <x v="1"/>
    <s v="GNR_ENG_NGAS_BP_E-46"/>
    <x v="0"/>
    <x v="22"/>
    <n v="0.55000000000000004"/>
    <n v="200.75"/>
    <n v="722.7"/>
  </r>
  <r>
    <x v="0"/>
    <x v="0"/>
    <x v="0"/>
    <x v="0"/>
    <x v="1"/>
    <s v="DK2_Rural"/>
    <x v="2"/>
    <x v="1"/>
    <s v="GNR_ENG_NGAS_BP_E-46"/>
    <x v="0"/>
    <x v="23"/>
    <n v="0.55000000000000004"/>
    <n v="200.75"/>
    <n v="722.7"/>
  </r>
  <r>
    <x v="0"/>
    <x v="0"/>
    <x v="0"/>
    <x v="0"/>
    <x v="1"/>
    <s v="DK2_Rural"/>
    <x v="3"/>
    <x v="1"/>
    <s v="GNR_ST_STRW_BP_E-24"/>
    <x v="0"/>
    <x v="3"/>
    <n v="5"/>
    <n v="1825"/>
    <n v="6570"/>
  </r>
  <r>
    <x v="0"/>
    <x v="0"/>
    <x v="0"/>
    <x v="0"/>
    <x v="1"/>
    <s v="DK2_Rural"/>
    <x v="3"/>
    <x v="1"/>
    <s v="GNR_ST_STRW_BP_E-24"/>
    <x v="0"/>
    <x v="4"/>
    <n v="5"/>
    <n v="1825"/>
    <n v="6570"/>
  </r>
  <r>
    <x v="0"/>
    <x v="0"/>
    <x v="0"/>
    <x v="0"/>
    <x v="1"/>
    <s v="DK2_Rural"/>
    <x v="3"/>
    <x v="1"/>
    <s v="GNR_ST_STRW_BP_E-24"/>
    <x v="0"/>
    <x v="5"/>
    <n v="5"/>
    <n v="1825"/>
    <n v="6570"/>
  </r>
  <r>
    <x v="0"/>
    <x v="0"/>
    <x v="0"/>
    <x v="0"/>
    <x v="1"/>
    <s v="DK2_Rural"/>
    <x v="3"/>
    <x v="1"/>
    <s v="GNR_ST_STRW_BP_E-24"/>
    <x v="0"/>
    <x v="6"/>
    <n v="5"/>
    <n v="1825"/>
    <n v="6570"/>
  </r>
  <r>
    <x v="0"/>
    <x v="0"/>
    <x v="0"/>
    <x v="0"/>
    <x v="1"/>
    <s v="DK2_Rural"/>
    <x v="3"/>
    <x v="1"/>
    <s v="GNR_ST_STRW_BP_E-24"/>
    <x v="0"/>
    <x v="7"/>
    <n v="5"/>
    <n v="1825"/>
    <n v="6570"/>
  </r>
  <r>
    <x v="0"/>
    <x v="0"/>
    <x v="0"/>
    <x v="0"/>
    <x v="1"/>
    <s v="DK2_Rural"/>
    <x v="3"/>
    <x v="1"/>
    <s v="GNR_ST_STRW_BP_E-24"/>
    <x v="0"/>
    <x v="8"/>
    <n v="5"/>
    <n v="1825"/>
    <n v="6570"/>
  </r>
  <r>
    <x v="0"/>
    <x v="0"/>
    <x v="0"/>
    <x v="0"/>
    <x v="1"/>
    <s v="DK2_Rural"/>
    <x v="3"/>
    <x v="1"/>
    <s v="GNR_ST_STRW_BP_E-24"/>
    <x v="0"/>
    <x v="0"/>
    <n v="5"/>
    <n v="1825"/>
    <n v="6570"/>
  </r>
  <r>
    <x v="0"/>
    <x v="0"/>
    <x v="0"/>
    <x v="0"/>
    <x v="1"/>
    <s v="DK2_Rural"/>
    <x v="3"/>
    <x v="1"/>
    <s v="GNR_ST_STRW_BP_E-24"/>
    <x v="0"/>
    <x v="1"/>
    <n v="5"/>
    <n v="1825"/>
    <n v="6570"/>
  </r>
  <r>
    <x v="0"/>
    <x v="0"/>
    <x v="0"/>
    <x v="0"/>
    <x v="1"/>
    <s v="DK2_Rural"/>
    <x v="3"/>
    <x v="1"/>
    <s v="GNR_ST_STRW_BP_E-24"/>
    <x v="0"/>
    <x v="2"/>
    <n v="5"/>
    <n v="1825"/>
    <n v="6570"/>
  </r>
  <r>
    <x v="0"/>
    <x v="0"/>
    <x v="0"/>
    <x v="0"/>
    <x v="1"/>
    <s v="DK2_Rural"/>
    <x v="3"/>
    <x v="1"/>
    <s v="GNR_ST_STRW_BP_E-24"/>
    <x v="0"/>
    <x v="9"/>
    <n v="5"/>
    <n v="1825"/>
    <n v="6570"/>
  </r>
  <r>
    <x v="0"/>
    <x v="0"/>
    <x v="0"/>
    <x v="0"/>
    <x v="1"/>
    <s v="DK2_Rural"/>
    <x v="3"/>
    <x v="1"/>
    <s v="GNR_ST_STRW_BP_E-24"/>
    <x v="0"/>
    <x v="10"/>
    <n v="5"/>
    <n v="1825"/>
    <n v="6570"/>
  </r>
  <r>
    <x v="0"/>
    <x v="0"/>
    <x v="0"/>
    <x v="0"/>
    <x v="1"/>
    <s v="DK2_Rural"/>
    <x v="3"/>
    <x v="1"/>
    <s v="GNR_ST_STRW_BP_E-24"/>
    <x v="0"/>
    <x v="11"/>
    <n v="5"/>
    <n v="1825"/>
    <n v="6570"/>
  </r>
  <r>
    <x v="0"/>
    <x v="0"/>
    <x v="0"/>
    <x v="0"/>
    <x v="1"/>
    <s v="DK2_Rural"/>
    <x v="3"/>
    <x v="1"/>
    <s v="GNR_ST_STRW_BP_E-24"/>
    <x v="0"/>
    <x v="12"/>
    <n v="5"/>
    <n v="1825"/>
    <n v="6570"/>
  </r>
  <r>
    <x v="0"/>
    <x v="0"/>
    <x v="0"/>
    <x v="0"/>
    <x v="1"/>
    <s v="DK2_Rural"/>
    <x v="3"/>
    <x v="1"/>
    <s v="GNR_ST_STRW_BP_E-24"/>
    <x v="0"/>
    <x v="13"/>
    <n v="5"/>
    <n v="1825"/>
    <n v="6570"/>
  </r>
  <r>
    <x v="0"/>
    <x v="0"/>
    <x v="0"/>
    <x v="0"/>
    <x v="1"/>
    <s v="DK2_Rural"/>
    <x v="3"/>
    <x v="1"/>
    <s v="GNR_ST_STRW_BP_E-24"/>
    <x v="0"/>
    <x v="14"/>
    <n v="5"/>
    <n v="1825"/>
    <n v="6570"/>
  </r>
  <r>
    <x v="0"/>
    <x v="0"/>
    <x v="0"/>
    <x v="0"/>
    <x v="1"/>
    <s v="DK2_Rural"/>
    <x v="3"/>
    <x v="1"/>
    <s v="GNR_ST_STRW_BP_E-24"/>
    <x v="0"/>
    <x v="15"/>
    <n v="5"/>
    <n v="1825"/>
    <n v="6570"/>
  </r>
  <r>
    <x v="0"/>
    <x v="0"/>
    <x v="0"/>
    <x v="0"/>
    <x v="1"/>
    <s v="DK2_Rural"/>
    <x v="3"/>
    <x v="1"/>
    <s v="GNR_ST_STRW_BP_E-24"/>
    <x v="0"/>
    <x v="16"/>
    <n v="5"/>
    <n v="1825"/>
    <n v="6570"/>
  </r>
  <r>
    <x v="0"/>
    <x v="0"/>
    <x v="0"/>
    <x v="0"/>
    <x v="1"/>
    <s v="DK2_Rural"/>
    <x v="3"/>
    <x v="1"/>
    <s v="GNR_ST_STRW_BP_E-24"/>
    <x v="0"/>
    <x v="17"/>
    <n v="5"/>
    <n v="1825"/>
    <n v="6570"/>
  </r>
  <r>
    <x v="0"/>
    <x v="0"/>
    <x v="0"/>
    <x v="0"/>
    <x v="1"/>
    <s v="DK2_Rural"/>
    <x v="3"/>
    <x v="1"/>
    <s v="GNR_ST_STRW_BP_E-24"/>
    <x v="0"/>
    <x v="18"/>
    <n v="5"/>
    <n v="1825"/>
    <n v="6570"/>
  </r>
  <r>
    <x v="0"/>
    <x v="0"/>
    <x v="0"/>
    <x v="0"/>
    <x v="1"/>
    <s v="DK2_Rural"/>
    <x v="3"/>
    <x v="1"/>
    <s v="GNR_ST_STRW_BP_E-24"/>
    <x v="0"/>
    <x v="19"/>
    <n v="5"/>
    <n v="1825"/>
    <n v="6570"/>
  </r>
  <r>
    <x v="0"/>
    <x v="0"/>
    <x v="0"/>
    <x v="0"/>
    <x v="1"/>
    <s v="DK2_Rural"/>
    <x v="3"/>
    <x v="1"/>
    <s v="GNR_ST_STRW_BP_E-24"/>
    <x v="0"/>
    <x v="20"/>
    <n v="5"/>
    <n v="1825"/>
    <n v="6570"/>
  </r>
  <r>
    <x v="0"/>
    <x v="0"/>
    <x v="0"/>
    <x v="0"/>
    <x v="1"/>
    <s v="DK2_Rural"/>
    <x v="3"/>
    <x v="1"/>
    <s v="GNR_ST_STRW_BP_E-24"/>
    <x v="0"/>
    <x v="21"/>
    <n v="5"/>
    <n v="1825"/>
    <n v="6570"/>
  </r>
  <r>
    <x v="0"/>
    <x v="0"/>
    <x v="0"/>
    <x v="0"/>
    <x v="1"/>
    <s v="DK2_Rural"/>
    <x v="3"/>
    <x v="1"/>
    <s v="GNR_ST_STRW_BP_E-24"/>
    <x v="0"/>
    <x v="22"/>
    <n v="5"/>
    <n v="1825"/>
    <n v="6570"/>
  </r>
  <r>
    <x v="0"/>
    <x v="0"/>
    <x v="0"/>
    <x v="0"/>
    <x v="1"/>
    <s v="DK2_Rural"/>
    <x v="3"/>
    <x v="1"/>
    <s v="GNR_ST_STRW_BP_E-24"/>
    <x v="0"/>
    <x v="23"/>
    <n v="5"/>
    <n v="1825"/>
    <n v="6570"/>
  </r>
  <r>
    <x v="0"/>
    <x v="0"/>
    <x v="0"/>
    <x v="0"/>
    <x v="1"/>
    <s v="DK2_Rural"/>
    <x v="3"/>
    <x v="1"/>
    <s v="GNR_ST_STRW_BP_E-27"/>
    <x v="0"/>
    <x v="3"/>
    <n v="9.98"/>
    <n v="3642.7"/>
    <n v="13113.72"/>
  </r>
  <r>
    <x v="0"/>
    <x v="0"/>
    <x v="0"/>
    <x v="0"/>
    <x v="1"/>
    <s v="DK2_Rural"/>
    <x v="3"/>
    <x v="1"/>
    <s v="GNR_ST_STRW_BP_E-27"/>
    <x v="0"/>
    <x v="4"/>
    <n v="9.98"/>
    <n v="3642.7"/>
    <n v="13113.72"/>
  </r>
  <r>
    <x v="0"/>
    <x v="0"/>
    <x v="0"/>
    <x v="0"/>
    <x v="1"/>
    <s v="DK2_Rural"/>
    <x v="3"/>
    <x v="1"/>
    <s v="GNR_ST_STRW_BP_E-27"/>
    <x v="0"/>
    <x v="5"/>
    <n v="9.98"/>
    <n v="3642.7"/>
    <n v="13113.72"/>
  </r>
  <r>
    <x v="0"/>
    <x v="0"/>
    <x v="0"/>
    <x v="0"/>
    <x v="1"/>
    <s v="DK2_Rural"/>
    <x v="3"/>
    <x v="1"/>
    <s v="GNR_ST_STRW_BP_E-27"/>
    <x v="0"/>
    <x v="6"/>
    <n v="9.98"/>
    <n v="3642.7"/>
    <n v="13113.72"/>
  </r>
  <r>
    <x v="0"/>
    <x v="0"/>
    <x v="0"/>
    <x v="0"/>
    <x v="1"/>
    <s v="DK2_Rural"/>
    <x v="3"/>
    <x v="1"/>
    <s v="GNR_ST_STRW_BP_E-27"/>
    <x v="0"/>
    <x v="7"/>
    <n v="9.98"/>
    <n v="3642.7"/>
    <n v="13113.72"/>
  </r>
  <r>
    <x v="0"/>
    <x v="0"/>
    <x v="0"/>
    <x v="0"/>
    <x v="1"/>
    <s v="DK2_Rural"/>
    <x v="3"/>
    <x v="1"/>
    <s v="GNR_ST_STRW_BP_E-27"/>
    <x v="0"/>
    <x v="8"/>
    <n v="9.98"/>
    <n v="3642.7"/>
    <n v="13113.72"/>
  </r>
  <r>
    <x v="0"/>
    <x v="0"/>
    <x v="0"/>
    <x v="0"/>
    <x v="1"/>
    <s v="DK2_Rural"/>
    <x v="3"/>
    <x v="1"/>
    <s v="GNR_ST_STRW_BP_E-27"/>
    <x v="0"/>
    <x v="0"/>
    <n v="9.98"/>
    <n v="3642.7"/>
    <n v="13113.72"/>
  </r>
  <r>
    <x v="0"/>
    <x v="0"/>
    <x v="0"/>
    <x v="0"/>
    <x v="1"/>
    <s v="DK2_Rural"/>
    <x v="3"/>
    <x v="1"/>
    <s v="GNR_ST_STRW_BP_E-27"/>
    <x v="0"/>
    <x v="1"/>
    <n v="9.98"/>
    <n v="3642.7"/>
    <n v="13113.72"/>
  </r>
  <r>
    <x v="0"/>
    <x v="0"/>
    <x v="0"/>
    <x v="0"/>
    <x v="1"/>
    <s v="DK2_Rural"/>
    <x v="3"/>
    <x v="1"/>
    <s v="GNR_ST_STRW_BP_E-27"/>
    <x v="0"/>
    <x v="2"/>
    <n v="9.98"/>
    <n v="3642.7"/>
    <n v="13113.72"/>
  </r>
  <r>
    <x v="0"/>
    <x v="0"/>
    <x v="0"/>
    <x v="0"/>
    <x v="1"/>
    <s v="DK2_Rural"/>
    <x v="3"/>
    <x v="1"/>
    <s v="GNR_ST_STRW_BP_E-27"/>
    <x v="0"/>
    <x v="9"/>
    <n v="9.98"/>
    <n v="3642.7"/>
    <n v="13113.72"/>
  </r>
  <r>
    <x v="0"/>
    <x v="0"/>
    <x v="0"/>
    <x v="0"/>
    <x v="1"/>
    <s v="DK2_Rural"/>
    <x v="3"/>
    <x v="1"/>
    <s v="GNR_ST_STRW_BP_E-27"/>
    <x v="0"/>
    <x v="10"/>
    <n v="9.98"/>
    <n v="3642.7"/>
    <n v="13113.72"/>
  </r>
  <r>
    <x v="0"/>
    <x v="0"/>
    <x v="0"/>
    <x v="0"/>
    <x v="1"/>
    <s v="DK2_Rural"/>
    <x v="3"/>
    <x v="1"/>
    <s v="GNR_ST_STRW_BP_E-27"/>
    <x v="0"/>
    <x v="11"/>
    <n v="9.98"/>
    <n v="3642.7"/>
    <n v="13113.72"/>
  </r>
  <r>
    <x v="0"/>
    <x v="0"/>
    <x v="0"/>
    <x v="0"/>
    <x v="1"/>
    <s v="DK2_Rural"/>
    <x v="3"/>
    <x v="1"/>
    <s v="GNR_ST_STRW_BP_E-27"/>
    <x v="0"/>
    <x v="12"/>
    <n v="9.98"/>
    <n v="3642.7"/>
    <n v="13113.72"/>
  </r>
  <r>
    <x v="0"/>
    <x v="0"/>
    <x v="0"/>
    <x v="0"/>
    <x v="1"/>
    <s v="DK2_Rural"/>
    <x v="3"/>
    <x v="1"/>
    <s v="GNR_ST_STRW_BP_E-27"/>
    <x v="0"/>
    <x v="13"/>
    <n v="9.98"/>
    <n v="3642.7"/>
    <n v="13113.72"/>
  </r>
  <r>
    <x v="0"/>
    <x v="0"/>
    <x v="0"/>
    <x v="0"/>
    <x v="1"/>
    <s v="DK2_Rural"/>
    <x v="3"/>
    <x v="1"/>
    <s v="GNR_ST_STRW_BP_E-27"/>
    <x v="0"/>
    <x v="14"/>
    <n v="9.98"/>
    <n v="3642.7"/>
    <n v="13113.72"/>
  </r>
  <r>
    <x v="0"/>
    <x v="0"/>
    <x v="0"/>
    <x v="0"/>
    <x v="1"/>
    <s v="DK2_Rural"/>
    <x v="3"/>
    <x v="1"/>
    <s v="GNR_ST_STRW_BP_E-27"/>
    <x v="0"/>
    <x v="15"/>
    <n v="9.98"/>
    <n v="3642.7"/>
    <n v="13113.72"/>
  </r>
  <r>
    <x v="0"/>
    <x v="0"/>
    <x v="0"/>
    <x v="0"/>
    <x v="1"/>
    <s v="DK2_Rural"/>
    <x v="3"/>
    <x v="1"/>
    <s v="GNR_ST_STRW_BP_E-27"/>
    <x v="0"/>
    <x v="16"/>
    <n v="9.98"/>
    <n v="3642.7"/>
    <n v="13113.72"/>
  </r>
  <r>
    <x v="0"/>
    <x v="0"/>
    <x v="0"/>
    <x v="0"/>
    <x v="1"/>
    <s v="DK2_Rural"/>
    <x v="3"/>
    <x v="1"/>
    <s v="GNR_ST_STRW_BP_E-27"/>
    <x v="0"/>
    <x v="17"/>
    <n v="9.98"/>
    <n v="3642.7"/>
    <n v="13113.72"/>
  </r>
  <r>
    <x v="0"/>
    <x v="0"/>
    <x v="0"/>
    <x v="0"/>
    <x v="1"/>
    <s v="DK2_Rural"/>
    <x v="3"/>
    <x v="1"/>
    <s v="GNR_ST_STRW_BP_E-27"/>
    <x v="0"/>
    <x v="18"/>
    <n v="9.98"/>
    <n v="3642.7"/>
    <n v="13113.72"/>
  </r>
  <r>
    <x v="0"/>
    <x v="0"/>
    <x v="0"/>
    <x v="0"/>
    <x v="1"/>
    <s v="DK2_Rural"/>
    <x v="3"/>
    <x v="1"/>
    <s v="GNR_ST_STRW_BP_E-27"/>
    <x v="0"/>
    <x v="19"/>
    <n v="9.98"/>
    <n v="3642.7"/>
    <n v="13113.72"/>
  </r>
  <r>
    <x v="0"/>
    <x v="0"/>
    <x v="0"/>
    <x v="0"/>
    <x v="1"/>
    <s v="DK2_Rural"/>
    <x v="3"/>
    <x v="1"/>
    <s v="GNR_ST_STRW_BP_E-27"/>
    <x v="0"/>
    <x v="20"/>
    <n v="9.98"/>
    <n v="3642.7"/>
    <n v="13113.72"/>
  </r>
  <r>
    <x v="0"/>
    <x v="0"/>
    <x v="0"/>
    <x v="0"/>
    <x v="1"/>
    <s v="DK2_Rural"/>
    <x v="3"/>
    <x v="1"/>
    <s v="GNR_ST_STRW_BP_E-27"/>
    <x v="0"/>
    <x v="21"/>
    <n v="9.98"/>
    <n v="3642.7"/>
    <n v="13113.72"/>
  </r>
  <r>
    <x v="0"/>
    <x v="0"/>
    <x v="0"/>
    <x v="0"/>
    <x v="1"/>
    <s v="DK2_Rural"/>
    <x v="3"/>
    <x v="1"/>
    <s v="GNR_ST_STRW_BP_E-27"/>
    <x v="0"/>
    <x v="22"/>
    <n v="9.98"/>
    <n v="3642.7"/>
    <n v="13113.72"/>
  </r>
  <r>
    <x v="0"/>
    <x v="0"/>
    <x v="0"/>
    <x v="0"/>
    <x v="1"/>
    <s v="DK2_Rural"/>
    <x v="3"/>
    <x v="1"/>
    <s v="GNR_ST_STRW_BP_E-27"/>
    <x v="0"/>
    <x v="23"/>
    <n v="9.98"/>
    <n v="3642.7"/>
    <n v="13113.72"/>
  </r>
  <r>
    <x v="0"/>
    <x v="0"/>
    <x v="0"/>
    <x v="0"/>
    <x v="1"/>
    <s v="DK2_Rural"/>
    <x v="3"/>
    <x v="1"/>
    <s v="GNR_ST_STRW_BP_E-28"/>
    <x v="0"/>
    <x v="3"/>
    <n v="11.5"/>
    <n v="4197.5"/>
    <n v="15111"/>
  </r>
  <r>
    <x v="0"/>
    <x v="0"/>
    <x v="0"/>
    <x v="0"/>
    <x v="1"/>
    <s v="DK2_Rural"/>
    <x v="3"/>
    <x v="1"/>
    <s v="GNR_ST_STRW_BP_E-28"/>
    <x v="0"/>
    <x v="4"/>
    <n v="11.5"/>
    <n v="4197.5"/>
    <n v="15111"/>
  </r>
  <r>
    <x v="0"/>
    <x v="0"/>
    <x v="0"/>
    <x v="0"/>
    <x v="1"/>
    <s v="DK2_Rural"/>
    <x v="3"/>
    <x v="1"/>
    <s v="GNR_ST_STRW_BP_E-28"/>
    <x v="0"/>
    <x v="5"/>
    <n v="11.5"/>
    <n v="4197.5"/>
    <n v="15111"/>
  </r>
  <r>
    <x v="0"/>
    <x v="0"/>
    <x v="0"/>
    <x v="0"/>
    <x v="1"/>
    <s v="DK2_Rural"/>
    <x v="3"/>
    <x v="1"/>
    <s v="GNR_ST_STRW_BP_E-28"/>
    <x v="0"/>
    <x v="6"/>
    <n v="11.5"/>
    <n v="4197.5"/>
    <n v="15111"/>
  </r>
  <r>
    <x v="0"/>
    <x v="0"/>
    <x v="0"/>
    <x v="0"/>
    <x v="1"/>
    <s v="DK2_Rural"/>
    <x v="3"/>
    <x v="1"/>
    <s v="GNR_ST_STRW_BP_E-28"/>
    <x v="0"/>
    <x v="7"/>
    <n v="11.5"/>
    <n v="4197.5"/>
    <n v="15111"/>
  </r>
  <r>
    <x v="0"/>
    <x v="0"/>
    <x v="0"/>
    <x v="0"/>
    <x v="1"/>
    <s v="DK2_Rural"/>
    <x v="3"/>
    <x v="1"/>
    <s v="GNR_ST_STRW_BP_E-28"/>
    <x v="0"/>
    <x v="8"/>
    <n v="11.5"/>
    <n v="4197.5"/>
    <n v="15111"/>
  </r>
  <r>
    <x v="0"/>
    <x v="0"/>
    <x v="0"/>
    <x v="0"/>
    <x v="1"/>
    <s v="DK2_Rural"/>
    <x v="3"/>
    <x v="1"/>
    <s v="GNR_ST_STRW_BP_E-28"/>
    <x v="0"/>
    <x v="0"/>
    <n v="11.5"/>
    <n v="4197.5"/>
    <n v="15111"/>
  </r>
  <r>
    <x v="0"/>
    <x v="0"/>
    <x v="0"/>
    <x v="0"/>
    <x v="1"/>
    <s v="DK2_Rural"/>
    <x v="3"/>
    <x v="1"/>
    <s v="GNR_ST_STRW_BP_E-28"/>
    <x v="0"/>
    <x v="1"/>
    <n v="11.5"/>
    <n v="4197.5"/>
    <n v="15111"/>
  </r>
  <r>
    <x v="0"/>
    <x v="0"/>
    <x v="0"/>
    <x v="0"/>
    <x v="1"/>
    <s v="DK2_Rural"/>
    <x v="3"/>
    <x v="1"/>
    <s v="GNR_ST_STRW_BP_E-28"/>
    <x v="0"/>
    <x v="2"/>
    <n v="11.5"/>
    <n v="4197.5"/>
    <n v="15111"/>
  </r>
  <r>
    <x v="0"/>
    <x v="0"/>
    <x v="0"/>
    <x v="0"/>
    <x v="1"/>
    <s v="DK2_Rural"/>
    <x v="3"/>
    <x v="1"/>
    <s v="GNR_ST_STRW_BP_E-28"/>
    <x v="0"/>
    <x v="9"/>
    <n v="11.5"/>
    <n v="4197.5"/>
    <n v="15111"/>
  </r>
  <r>
    <x v="0"/>
    <x v="0"/>
    <x v="0"/>
    <x v="0"/>
    <x v="1"/>
    <s v="DK2_Rural"/>
    <x v="3"/>
    <x v="1"/>
    <s v="GNR_ST_STRW_BP_E-28"/>
    <x v="0"/>
    <x v="10"/>
    <n v="11.5"/>
    <n v="4197.5"/>
    <n v="15111"/>
  </r>
  <r>
    <x v="0"/>
    <x v="0"/>
    <x v="0"/>
    <x v="0"/>
    <x v="1"/>
    <s v="DK2_Rural"/>
    <x v="3"/>
    <x v="1"/>
    <s v="GNR_ST_STRW_BP_E-28"/>
    <x v="0"/>
    <x v="11"/>
    <n v="11.5"/>
    <n v="4197.5"/>
    <n v="15111"/>
  </r>
  <r>
    <x v="0"/>
    <x v="0"/>
    <x v="0"/>
    <x v="0"/>
    <x v="1"/>
    <s v="DK2_Rural"/>
    <x v="3"/>
    <x v="1"/>
    <s v="GNR_ST_STRW_BP_E-28"/>
    <x v="0"/>
    <x v="12"/>
    <n v="11.5"/>
    <n v="4197.5"/>
    <n v="15111"/>
  </r>
  <r>
    <x v="0"/>
    <x v="0"/>
    <x v="0"/>
    <x v="0"/>
    <x v="1"/>
    <s v="DK2_Rural"/>
    <x v="3"/>
    <x v="1"/>
    <s v="GNR_ST_STRW_BP_E-28"/>
    <x v="0"/>
    <x v="13"/>
    <n v="11.5"/>
    <n v="4197.5"/>
    <n v="15111"/>
  </r>
  <r>
    <x v="0"/>
    <x v="0"/>
    <x v="0"/>
    <x v="0"/>
    <x v="1"/>
    <s v="DK2_Rural"/>
    <x v="3"/>
    <x v="1"/>
    <s v="GNR_ST_STRW_BP_E-28"/>
    <x v="0"/>
    <x v="14"/>
    <n v="11.5"/>
    <n v="4197.5"/>
    <n v="15111"/>
  </r>
  <r>
    <x v="0"/>
    <x v="0"/>
    <x v="0"/>
    <x v="0"/>
    <x v="1"/>
    <s v="DK2_Rural"/>
    <x v="3"/>
    <x v="1"/>
    <s v="GNR_ST_STRW_BP_E-28"/>
    <x v="0"/>
    <x v="15"/>
    <n v="11.5"/>
    <n v="4197.5"/>
    <n v="15111"/>
  </r>
  <r>
    <x v="0"/>
    <x v="0"/>
    <x v="0"/>
    <x v="0"/>
    <x v="1"/>
    <s v="DK2_Rural"/>
    <x v="3"/>
    <x v="1"/>
    <s v="GNR_ST_STRW_BP_E-28"/>
    <x v="0"/>
    <x v="16"/>
    <n v="11.5"/>
    <n v="4197.5"/>
    <n v="15111"/>
  </r>
  <r>
    <x v="0"/>
    <x v="0"/>
    <x v="0"/>
    <x v="0"/>
    <x v="1"/>
    <s v="DK2_Rural"/>
    <x v="3"/>
    <x v="1"/>
    <s v="GNR_ST_STRW_BP_E-28"/>
    <x v="0"/>
    <x v="17"/>
    <n v="11.5"/>
    <n v="4197.5"/>
    <n v="15111"/>
  </r>
  <r>
    <x v="0"/>
    <x v="0"/>
    <x v="0"/>
    <x v="0"/>
    <x v="1"/>
    <s v="DK2_Rural"/>
    <x v="3"/>
    <x v="1"/>
    <s v="GNR_ST_STRW_BP_E-28"/>
    <x v="0"/>
    <x v="18"/>
    <n v="11.5"/>
    <n v="4197.5"/>
    <n v="15111"/>
  </r>
  <r>
    <x v="0"/>
    <x v="0"/>
    <x v="0"/>
    <x v="0"/>
    <x v="1"/>
    <s v="DK2_Rural"/>
    <x v="3"/>
    <x v="1"/>
    <s v="GNR_ST_STRW_BP_E-28"/>
    <x v="0"/>
    <x v="19"/>
    <n v="11.5"/>
    <n v="4197.5"/>
    <n v="15111"/>
  </r>
  <r>
    <x v="0"/>
    <x v="0"/>
    <x v="0"/>
    <x v="0"/>
    <x v="1"/>
    <s v="DK2_Rural"/>
    <x v="3"/>
    <x v="1"/>
    <s v="GNR_ST_STRW_BP_E-28"/>
    <x v="0"/>
    <x v="20"/>
    <n v="11.5"/>
    <n v="4197.5"/>
    <n v="15111"/>
  </r>
  <r>
    <x v="0"/>
    <x v="0"/>
    <x v="0"/>
    <x v="0"/>
    <x v="1"/>
    <s v="DK2_Rural"/>
    <x v="3"/>
    <x v="1"/>
    <s v="GNR_ST_STRW_BP_E-28"/>
    <x v="0"/>
    <x v="21"/>
    <n v="11.5"/>
    <n v="4197.5"/>
    <n v="15111"/>
  </r>
  <r>
    <x v="0"/>
    <x v="0"/>
    <x v="0"/>
    <x v="0"/>
    <x v="1"/>
    <s v="DK2_Rural"/>
    <x v="3"/>
    <x v="1"/>
    <s v="GNR_ST_STRW_BP_E-28"/>
    <x v="0"/>
    <x v="22"/>
    <n v="11.5"/>
    <n v="4197.5"/>
    <n v="15111"/>
  </r>
  <r>
    <x v="0"/>
    <x v="0"/>
    <x v="0"/>
    <x v="0"/>
    <x v="1"/>
    <s v="DK2_Rural"/>
    <x v="3"/>
    <x v="1"/>
    <s v="GNR_ST_STRW_BP_E-28"/>
    <x v="0"/>
    <x v="23"/>
    <n v="11.5"/>
    <n v="4197.5"/>
    <n v="15111"/>
  </r>
  <r>
    <x v="0"/>
    <x v="0"/>
    <x v="0"/>
    <x v="0"/>
    <x v="1"/>
    <s v="DK2_Small"/>
    <x v="2"/>
    <x v="1"/>
    <s v="GNR_ENG_NGAS_BP_E-46"/>
    <x v="0"/>
    <x v="3"/>
    <n v="38.5"/>
    <n v="14052.5"/>
    <n v="50589"/>
  </r>
  <r>
    <x v="0"/>
    <x v="0"/>
    <x v="0"/>
    <x v="0"/>
    <x v="1"/>
    <s v="DK2_Small"/>
    <x v="2"/>
    <x v="1"/>
    <s v="GNR_ENG_NGAS_BP_E-46"/>
    <x v="0"/>
    <x v="4"/>
    <n v="38.5"/>
    <n v="14052.5"/>
    <n v="50589"/>
  </r>
  <r>
    <x v="0"/>
    <x v="0"/>
    <x v="0"/>
    <x v="0"/>
    <x v="1"/>
    <s v="DK2_Small"/>
    <x v="2"/>
    <x v="1"/>
    <s v="GNR_ENG_NGAS_BP_E-46"/>
    <x v="0"/>
    <x v="5"/>
    <n v="38.5"/>
    <n v="14052.5"/>
    <n v="50589"/>
  </r>
  <r>
    <x v="0"/>
    <x v="0"/>
    <x v="0"/>
    <x v="0"/>
    <x v="1"/>
    <s v="DK2_Small"/>
    <x v="2"/>
    <x v="1"/>
    <s v="GNR_ENG_NGAS_BP_E-46"/>
    <x v="0"/>
    <x v="6"/>
    <n v="38.5"/>
    <n v="14052.5"/>
    <n v="50589"/>
  </r>
  <r>
    <x v="0"/>
    <x v="0"/>
    <x v="0"/>
    <x v="0"/>
    <x v="1"/>
    <s v="DK2_Small"/>
    <x v="2"/>
    <x v="1"/>
    <s v="GNR_ENG_NGAS_BP_E-46"/>
    <x v="0"/>
    <x v="7"/>
    <n v="38.5"/>
    <n v="14052.5"/>
    <n v="50589"/>
  </r>
  <r>
    <x v="0"/>
    <x v="0"/>
    <x v="0"/>
    <x v="0"/>
    <x v="1"/>
    <s v="DK2_Small"/>
    <x v="2"/>
    <x v="1"/>
    <s v="GNR_ENG_NGAS_BP_E-46"/>
    <x v="0"/>
    <x v="8"/>
    <n v="38.5"/>
    <n v="14052.5"/>
    <n v="50589"/>
  </r>
  <r>
    <x v="0"/>
    <x v="0"/>
    <x v="0"/>
    <x v="0"/>
    <x v="1"/>
    <s v="DK2_Small"/>
    <x v="2"/>
    <x v="1"/>
    <s v="GNR_ENG_NGAS_BP_E-46"/>
    <x v="0"/>
    <x v="0"/>
    <n v="38.5"/>
    <n v="14052.5"/>
    <n v="50589"/>
  </r>
  <r>
    <x v="0"/>
    <x v="0"/>
    <x v="0"/>
    <x v="0"/>
    <x v="1"/>
    <s v="DK2_Small"/>
    <x v="2"/>
    <x v="1"/>
    <s v="GNR_ENG_NGAS_BP_E-46"/>
    <x v="0"/>
    <x v="1"/>
    <n v="38.5"/>
    <n v="14052.5"/>
    <n v="50589"/>
  </r>
  <r>
    <x v="0"/>
    <x v="0"/>
    <x v="0"/>
    <x v="0"/>
    <x v="1"/>
    <s v="DK2_Small"/>
    <x v="2"/>
    <x v="1"/>
    <s v="GNR_ENG_NGAS_BP_E-46"/>
    <x v="0"/>
    <x v="2"/>
    <n v="38.5"/>
    <n v="14052.5"/>
    <n v="50589"/>
  </r>
  <r>
    <x v="0"/>
    <x v="0"/>
    <x v="0"/>
    <x v="0"/>
    <x v="1"/>
    <s v="DK2_Small"/>
    <x v="2"/>
    <x v="1"/>
    <s v="GNR_ENG_NGAS_BP_E-46"/>
    <x v="0"/>
    <x v="9"/>
    <n v="38.5"/>
    <n v="14052.5"/>
    <n v="50589"/>
  </r>
  <r>
    <x v="0"/>
    <x v="0"/>
    <x v="0"/>
    <x v="0"/>
    <x v="1"/>
    <s v="DK2_Small"/>
    <x v="2"/>
    <x v="1"/>
    <s v="GNR_ENG_NGAS_BP_E-46"/>
    <x v="0"/>
    <x v="10"/>
    <n v="38.5"/>
    <n v="14052.5"/>
    <n v="50589"/>
  </r>
  <r>
    <x v="0"/>
    <x v="0"/>
    <x v="0"/>
    <x v="0"/>
    <x v="1"/>
    <s v="DK2_Small"/>
    <x v="2"/>
    <x v="1"/>
    <s v="GNR_ENG_NGAS_BP_E-46"/>
    <x v="0"/>
    <x v="11"/>
    <n v="38.5"/>
    <n v="14052.5"/>
    <n v="50589"/>
  </r>
  <r>
    <x v="0"/>
    <x v="0"/>
    <x v="0"/>
    <x v="0"/>
    <x v="1"/>
    <s v="DK2_Small"/>
    <x v="2"/>
    <x v="1"/>
    <s v="GNR_ENG_NGAS_BP_E-46"/>
    <x v="0"/>
    <x v="12"/>
    <n v="38.5"/>
    <n v="14052.5"/>
    <n v="50589"/>
  </r>
  <r>
    <x v="0"/>
    <x v="0"/>
    <x v="0"/>
    <x v="0"/>
    <x v="1"/>
    <s v="DK2_Small"/>
    <x v="2"/>
    <x v="1"/>
    <s v="GNR_ENG_NGAS_BP_E-46"/>
    <x v="0"/>
    <x v="13"/>
    <n v="38.5"/>
    <n v="14052.5"/>
    <n v="50589"/>
  </r>
  <r>
    <x v="0"/>
    <x v="0"/>
    <x v="0"/>
    <x v="0"/>
    <x v="1"/>
    <s v="DK2_Small"/>
    <x v="2"/>
    <x v="1"/>
    <s v="GNR_ENG_NGAS_BP_E-46"/>
    <x v="0"/>
    <x v="14"/>
    <n v="38.5"/>
    <n v="14052.5"/>
    <n v="50589"/>
  </r>
  <r>
    <x v="0"/>
    <x v="0"/>
    <x v="0"/>
    <x v="0"/>
    <x v="1"/>
    <s v="DK2_Small"/>
    <x v="2"/>
    <x v="1"/>
    <s v="GNR_ENG_NGAS_BP_E-46"/>
    <x v="0"/>
    <x v="15"/>
    <n v="38.5"/>
    <n v="14052.5"/>
    <n v="50589"/>
  </r>
  <r>
    <x v="0"/>
    <x v="0"/>
    <x v="0"/>
    <x v="0"/>
    <x v="1"/>
    <s v="DK2_Small"/>
    <x v="2"/>
    <x v="1"/>
    <s v="GNR_ENG_NGAS_BP_E-46"/>
    <x v="0"/>
    <x v="16"/>
    <n v="38.5"/>
    <n v="14052.5"/>
    <n v="50589"/>
  </r>
  <r>
    <x v="0"/>
    <x v="0"/>
    <x v="0"/>
    <x v="0"/>
    <x v="1"/>
    <s v="DK2_Small"/>
    <x v="2"/>
    <x v="1"/>
    <s v="GNR_ENG_NGAS_BP_E-46"/>
    <x v="0"/>
    <x v="17"/>
    <n v="38.5"/>
    <n v="14052.5"/>
    <n v="50589"/>
  </r>
  <r>
    <x v="0"/>
    <x v="0"/>
    <x v="0"/>
    <x v="0"/>
    <x v="1"/>
    <s v="DK2_Small"/>
    <x v="2"/>
    <x v="1"/>
    <s v="GNR_ENG_NGAS_BP_E-46"/>
    <x v="0"/>
    <x v="18"/>
    <n v="38.5"/>
    <n v="14052.5"/>
    <n v="50589"/>
  </r>
  <r>
    <x v="0"/>
    <x v="0"/>
    <x v="0"/>
    <x v="0"/>
    <x v="1"/>
    <s v="DK2_Small"/>
    <x v="2"/>
    <x v="1"/>
    <s v="GNR_ENG_NGAS_BP_E-46"/>
    <x v="0"/>
    <x v="19"/>
    <n v="38.5"/>
    <n v="14052.5"/>
    <n v="50589"/>
  </r>
  <r>
    <x v="0"/>
    <x v="0"/>
    <x v="0"/>
    <x v="0"/>
    <x v="1"/>
    <s v="DK2_Small"/>
    <x v="2"/>
    <x v="1"/>
    <s v="GNR_ENG_NGAS_BP_E-46"/>
    <x v="0"/>
    <x v="20"/>
    <n v="38.5"/>
    <n v="14052.5"/>
    <n v="50589"/>
  </r>
  <r>
    <x v="0"/>
    <x v="0"/>
    <x v="0"/>
    <x v="0"/>
    <x v="1"/>
    <s v="DK2_Small"/>
    <x v="2"/>
    <x v="1"/>
    <s v="GNR_ENG_NGAS_BP_E-46"/>
    <x v="0"/>
    <x v="21"/>
    <n v="38.5"/>
    <n v="14052.5"/>
    <n v="50589"/>
  </r>
  <r>
    <x v="0"/>
    <x v="0"/>
    <x v="0"/>
    <x v="0"/>
    <x v="1"/>
    <s v="DK2_Small"/>
    <x v="2"/>
    <x v="1"/>
    <s v="GNR_ENG_NGAS_BP_E-46"/>
    <x v="0"/>
    <x v="22"/>
    <n v="38.5"/>
    <n v="14052.5"/>
    <n v="50589"/>
  </r>
  <r>
    <x v="0"/>
    <x v="0"/>
    <x v="0"/>
    <x v="0"/>
    <x v="1"/>
    <s v="DK2_Small"/>
    <x v="2"/>
    <x v="1"/>
    <s v="GNR_ENG_NGAS_BP_E-46"/>
    <x v="0"/>
    <x v="23"/>
    <n v="38.5"/>
    <n v="14052.5"/>
    <n v="50589"/>
  </r>
  <r>
    <x v="0"/>
    <x v="0"/>
    <x v="0"/>
    <x v="1"/>
    <x v="2"/>
    <s v="EE_Enefit"/>
    <x v="10"/>
    <x v="2"/>
    <s v="ENEFIT_ST_RETORT-GAS_CND"/>
    <x v="0"/>
    <x v="1"/>
    <n v="35"/>
    <n v="12775"/>
    <n v="45990"/>
  </r>
  <r>
    <x v="0"/>
    <x v="0"/>
    <x v="0"/>
    <x v="1"/>
    <x v="2"/>
    <s v="EE_Enefit"/>
    <x v="10"/>
    <x v="2"/>
    <s v="ENEFIT_ST_RETORT-GAS_CND"/>
    <x v="0"/>
    <x v="2"/>
    <n v="35"/>
    <n v="12775"/>
    <n v="45990"/>
  </r>
  <r>
    <x v="0"/>
    <x v="0"/>
    <x v="0"/>
    <x v="1"/>
    <x v="2"/>
    <s v="EE_Enefit"/>
    <x v="10"/>
    <x v="2"/>
    <s v="ENEFIT_ST_RETORT-GAS_CND"/>
    <x v="0"/>
    <x v="9"/>
    <n v="35"/>
    <n v="12775"/>
    <n v="45990"/>
  </r>
  <r>
    <x v="0"/>
    <x v="0"/>
    <x v="0"/>
    <x v="1"/>
    <x v="2"/>
    <s v="EE_Enefit"/>
    <x v="10"/>
    <x v="2"/>
    <s v="ENEFIT_ST_RETORT-GAS_CND"/>
    <x v="0"/>
    <x v="10"/>
    <n v="35"/>
    <n v="12775"/>
    <n v="45990"/>
  </r>
  <r>
    <x v="0"/>
    <x v="0"/>
    <x v="0"/>
    <x v="1"/>
    <x v="2"/>
    <s v="EE_Enefit"/>
    <x v="10"/>
    <x v="2"/>
    <s v="ENEFIT_ST_RETORT-GAS_CND"/>
    <x v="0"/>
    <x v="11"/>
    <n v="14.2471214712684"/>
    <n v="5200.1993370129803"/>
    <n v="18720.717613246699"/>
  </r>
  <r>
    <x v="0"/>
    <x v="0"/>
    <x v="0"/>
    <x v="1"/>
    <x v="2"/>
    <s v="EE_Enefit"/>
    <x v="10"/>
    <x v="2"/>
    <s v="ENEFIT_ST_RETORT-GAS_CND"/>
    <x v="0"/>
    <x v="14"/>
    <n v="35"/>
    <n v="12775"/>
    <n v="45990"/>
  </r>
  <r>
    <x v="0"/>
    <x v="0"/>
    <x v="0"/>
    <x v="1"/>
    <x v="2"/>
    <s v="EE_Enefit"/>
    <x v="10"/>
    <x v="2"/>
    <s v="ENEFIT_ST_RETORT-GAS_CND"/>
    <x v="0"/>
    <x v="15"/>
    <n v="35"/>
    <n v="12775"/>
    <n v="45990"/>
  </r>
  <r>
    <x v="0"/>
    <x v="0"/>
    <x v="0"/>
    <x v="1"/>
    <x v="2"/>
    <s v="EE_Enefit"/>
    <x v="10"/>
    <x v="2"/>
    <s v="ENEFIT_ST_RETORT-GAS_CND"/>
    <x v="0"/>
    <x v="16"/>
    <n v="35"/>
    <n v="12775"/>
    <n v="45990"/>
  </r>
  <r>
    <x v="0"/>
    <x v="0"/>
    <x v="0"/>
    <x v="1"/>
    <x v="2"/>
    <s v="EE_Enefit"/>
    <x v="10"/>
    <x v="2"/>
    <s v="ENEFIT_ST_RETORT-GAS_CND"/>
    <x v="0"/>
    <x v="17"/>
    <n v="35"/>
    <n v="12775"/>
    <n v="45990"/>
  </r>
  <r>
    <x v="0"/>
    <x v="0"/>
    <x v="0"/>
    <x v="1"/>
    <x v="2"/>
    <s v="EE_Industry"/>
    <x v="10"/>
    <x v="0"/>
    <s v="GNR_ENG_RETORT-GAS_E-44"/>
    <x v="0"/>
    <x v="3"/>
    <n v="95"/>
    <n v="34675"/>
    <n v="124830"/>
  </r>
  <r>
    <x v="0"/>
    <x v="0"/>
    <x v="0"/>
    <x v="1"/>
    <x v="2"/>
    <s v="EE_Industry"/>
    <x v="10"/>
    <x v="0"/>
    <s v="GNR_ENG_RETORT-GAS_E-44"/>
    <x v="0"/>
    <x v="4"/>
    <n v="95"/>
    <n v="34675"/>
    <n v="124830"/>
  </r>
  <r>
    <x v="0"/>
    <x v="0"/>
    <x v="0"/>
    <x v="1"/>
    <x v="2"/>
    <s v="EE_Industry"/>
    <x v="10"/>
    <x v="0"/>
    <s v="GNR_ENG_RETORT-GAS_E-44"/>
    <x v="0"/>
    <x v="5"/>
    <n v="95"/>
    <n v="34675"/>
    <n v="124830"/>
  </r>
  <r>
    <x v="0"/>
    <x v="0"/>
    <x v="0"/>
    <x v="1"/>
    <x v="2"/>
    <s v="EE_Industry"/>
    <x v="10"/>
    <x v="0"/>
    <s v="GNR_ENG_RETORT-GAS_E-44"/>
    <x v="0"/>
    <x v="6"/>
    <n v="95"/>
    <n v="34675"/>
    <n v="124830"/>
  </r>
  <r>
    <x v="0"/>
    <x v="0"/>
    <x v="0"/>
    <x v="1"/>
    <x v="2"/>
    <s v="EE_Industry"/>
    <x v="10"/>
    <x v="0"/>
    <s v="GNR_ENG_RETORT-GAS_E-44"/>
    <x v="0"/>
    <x v="7"/>
    <n v="95"/>
    <n v="34675"/>
    <n v="124830"/>
  </r>
  <r>
    <x v="0"/>
    <x v="0"/>
    <x v="0"/>
    <x v="1"/>
    <x v="2"/>
    <s v="EE_Industry"/>
    <x v="10"/>
    <x v="0"/>
    <s v="GNR_ENG_RETORT-GAS_E-44"/>
    <x v="0"/>
    <x v="8"/>
    <n v="95"/>
    <n v="34675"/>
    <n v="124830"/>
  </r>
  <r>
    <x v="0"/>
    <x v="0"/>
    <x v="0"/>
    <x v="1"/>
    <x v="2"/>
    <s v="EE_Industry"/>
    <x v="10"/>
    <x v="0"/>
    <s v="GNR_ENG_RETORT-GAS_E-44"/>
    <x v="0"/>
    <x v="0"/>
    <n v="95"/>
    <n v="34675"/>
    <n v="124830"/>
  </r>
  <r>
    <x v="0"/>
    <x v="0"/>
    <x v="0"/>
    <x v="1"/>
    <x v="2"/>
    <s v="EE_Industry"/>
    <x v="10"/>
    <x v="0"/>
    <s v="GNR_ENG_RETORT-GAS_E-44"/>
    <x v="0"/>
    <x v="1"/>
    <n v="95"/>
    <n v="34675"/>
    <n v="124830"/>
  </r>
  <r>
    <x v="0"/>
    <x v="0"/>
    <x v="0"/>
    <x v="1"/>
    <x v="2"/>
    <s v="EE_Industry"/>
    <x v="10"/>
    <x v="0"/>
    <s v="GNR_ENG_RETORT-GAS_E-44"/>
    <x v="0"/>
    <x v="2"/>
    <n v="95"/>
    <n v="34675"/>
    <n v="124830"/>
  </r>
  <r>
    <x v="0"/>
    <x v="0"/>
    <x v="0"/>
    <x v="1"/>
    <x v="2"/>
    <s v="EE_Industry"/>
    <x v="10"/>
    <x v="0"/>
    <s v="GNR_ENG_RETORT-GAS_E-44"/>
    <x v="0"/>
    <x v="9"/>
    <n v="95"/>
    <n v="34675"/>
    <n v="124830"/>
  </r>
  <r>
    <x v="0"/>
    <x v="0"/>
    <x v="0"/>
    <x v="1"/>
    <x v="2"/>
    <s v="EE_Industry"/>
    <x v="10"/>
    <x v="0"/>
    <s v="GNR_ENG_RETORT-GAS_E-44"/>
    <x v="0"/>
    <x v="10"/>
    <n v="95"/>
    <n v="34675"/>
    <n v="124830"/>
  </r>
  <r>
    <x v="0"/>
    <x v="0"/>
    <x v="0"/>
    <x v="1"/>
    <x v="2"/>
    <s v="EE_Industry"/>
    <x v="10"/>
    <x v="0"/>
    <s v="GNR_ENG_RETORT-GAS_E-44"/>
    <x v="0"/>
    <x v="11"/>
    <n v="95"/>
    <n v="34675"/>
    <n v="124830"/>
  </r>
  <r>
    <x v="0"/>
    <x v="0"/>
    <x v="0"/>
    <x v="1"/>
    <x v="2"/>
    <s v="EE_Industry"/>
    <x v="10"/>
    <x v="0"/>
    <s v="GNR_ENG_RETORT-GAS_E-44"/>
    <x v="0"/>
    <x v="12"/>
    <n v="95"/>
    <n v="34675"/>
    <n v="124830"/>
  </r>
  <r>
    <x v="0"/>
    <x v="0"/>
    <x v="0"/>
    <x v="1"/>
    <x v="2"/>
    <s v="EE_Industry"/>
    <x v="10"/>
    <x v="0"/>
    <s v="GNR_ENG_RETORT-GAS_E-44"/>
    <x v="0"/>
    <x v="13"/>
    <n v="95"/>
    <n v="34675"/>
    <n v="124830"/>
  </r>
  <r>
    <x v="0"/>
    <x v="0"/>
    <x v="0"/>
    <x v="1"/>
    <x v="2"/>
    <s v="EE_Industry"/>
    <x v="10"/>
    <x v="0"/>
    <s v="GNR_ENG_RETORT-GAS_E-44"/>
    <x v="0"/>
    <x v="14"/>
    <n v="95"/>
    <n v="34675"/>
    <n v="124830"/>
  </r>
  <r>
    <x v="0"/>
    <x v="0"/>
    <x v="0"/>
    <x v="1"/>
    <x v="2"/>
    <s v="EE_Industry"/>
    <x v="10"/>
    <x v="0"/>
    <s v="GNR_ENG_RETORT-GAS_E-44"/>
    <x v="0"/>
    <x v="15"/>
    <n v="95"/>
    <n v="34675"/>
    <n v="124830"/>
  </r>
  <r>
    <x v="0"/>
    <x v="0"/>
    <x v="0"/>
    <x v="1"/>
    <x v="2"/>
    <s v="EE_Industry"/>
    <x v="10"/>
    <x v="0"/>
    <s v="GNR_ENG_RETORT-GAS_E-44"/>
    <x v="0"/>
    <x v="16"/>
    <n v="95"/>
    <n v="34675"/>
    <n v="124830"/>
  </r>
  <r>
    <x v="0"/>
    <x v="0"/>
    <x v="0"/>
    <x v="1"/>
    <x v="2"/>
    <s v="EE_Industry"/>
    <x v="10"/>
    <x v="0"/>
    <s v="GNR_ENG_RETORT-GAS_E-44"/>
    <x v="0"/>
    <x v="17"/>
    <n v="95"/>
    <n v="34675"/>
    <n v="124830"/>
  </r>
  <r>
    <x v="0"/>
    <x v="0"/>
    <x v="0"/>
    <x v="1"/>
    <x v="2"/>
    <s v="EE_Industry"/>
    <x v="10"/>
    <x v="0"/>
    <s v="GNR_ENG_RETORT-GAS_E-44"/>
    <x v="0"/>
    <x v="18"/>
    <n v="95"/>
    <n v="34675"/>
    <n v="124830"/>
  </r>
  <r>
    <x v="0"/>
    <x v="0"/>
    <x v="0"/>
    <x v="1"/>
    <x v="2"/>
    <s v="EE_Industry"/>
    <x v="10"/>
    <x v="0"/>
    <s v="GNR_ENG_RETORT-GAS_E-44"/>
    <x v="0"/>
    <x v="19"/>
    <n v="95"/>
    <n v="34675"/>
    <n v="124830"/>
  </r>
  <r>
    <x v="0"/>
    <x v="0"/>
    <x v="0"/>
    <x v="1"/>
    <x v="2"/>
    <s v="EE_Industry"/>
    <x v="10"/>
    <x v="0"/>
    <s v="GNR_ENG_RETORT-GAS_E-44"/>
    <x v="0"/>
    <x v="20"/>
    <n v="95"/>
    <n v="34675"/>
    <n v="124830"/>
  </r>
  <r>
    <x v="0"/>
    <x v="0"/>
    <x v="0"/>
    <x v="1"/>
    <x v="2"/>
    <s v="EE_Industry"/>
    <x v="10"/>
    <x v="0"/>
    <s v="GNR_ENG_RETORT-GAS_E-44"/>
    <x v="0"/>
    <x v="21"/>
    <n v="95"/>
    <n v="34675"/>
    <n v="124830"/>
  </r>
  <r>
    <x v="0"/>
    <x v="0"/>
    <x v="0"/>
    <x v="1"/>
    <x v="2"/>
    <s v="EE_Industry"/>
    <x v="10"/>
    <x v="0"/>
    <s v="GNR_ENG_RETORT-GAS_E-44"/>
    <x v="0"/>
    <x v="22"/>
    <n v="95"/>
    <n v="34675"/>
    <n v="124830"/>
  </r>
  <r>
    <x v="0"/>
    <x v="0"/>
    <x v="0"/>
    <x v="1"/>
    <x v="2"/>
    <s v="EE_Industry"/>
    <x v="10"/>
    <x v="0"/>
    <s v="GNR_ENG_RETORT-GAS_E-44"/>
    <x v="0"/>
    <x v="23"/>
    <n v="95"/>
    <n v="34675"/>
    <n v="124830"/>
  </r>
  <r>
    <x v="0"/>
    <x v="0"/>
    <x v="0"/>
    <x v="1"/>
    <x v="2"/>
    <s v="EE_Industry"/>
    <x v="11"/>
    <x v="1"/>
    <s v="IMAVERE_ST_WOOD_BP"/>
    <x v="0"/>
    <x v="1"/>
    <n v="10"/>
    <n v="3650"/>
    <n v="13140"/>
  </r>
  <r>
    <x v="0"/>
    <x v="0"/>
    <x v="0"/>
    <x v="1"/>
    <x v="2"/>
    <s v="EE_Industry"/>
    <x v="11"/>
    <x v="1"/>
    <s v="IMAVERE_ST_WOOD_BP"/>
    <x v="0"/>
    <x v="2"/>
    <n v="10"/>
    <n v="3650"/>
    <n v="13140"/>
  </r>
  <r>
    <x v="0"/>
    <x v="0"/>
    <x v="0"/>
    <x v="1"/>
    <x v="2"/>
    <s v="EE_Industry"/>
    <x v="11"/>
    <x v="1"/>
    <s v="IMAVERE_ST_WOOD_BP"/>
    <x v="0"/>
    <x v="9"/>
    <n v="10"/>
    <n v="3650"/>
    <n v="13140"/>
  </r>
  <r>
    <x v="0"/>
    <x v="0"/>
    <x v="0"/>
    <x v="1"/>
    <x v="2"/>
    <s v="EE_Industry"/>
    <x v="11"/>
    <x v="1"/>
    <s v="IMAVERE_ST_WOOD_BP"/>
    <x v="0"/>
    <x v="10"/>
    <n v="10"/>
    <n v="3650"/>
    <n v="13140"/>
  </r>
  <r>
    <x v="0"/>
    <x v="0"/>
    <x v="0"/>
    <x v="1"/>
    <x v="2"/>
    <s v="EE_Industry"/>
    <x v="11"/>
    <x v="1"/>
    <s v="IMAVERE_ST_WOOD_BP"/>
    <x v="0"/>
    <x v="11"/>
    <n v="10"/>
    <n v="3650"/>
    <n v="13140"/>
  </r>
  <r>
    <x v="0"/>
    <x v="0"/>
    <x v="0"/>
    <x v="1"/>
    <x v="2"/>
    <s v="EE_Industry"/>
    <x v="11"/>
    <x v="1"/>
    <s v="IMAVERE_ST_WOOD_BP"/>
    <x v="0"/>
    <x v="12"/>
    <n v="9.8643234468493102"/>
    <n v="3600.4780581"/>
    <n v="12961.721009160001"/>
  </r>
  <r>
    <x v="0"/>
    <x v="0"/>
    <x v="0"/>
    <x v="1"/>
    <x v="2"/>
    <s v="EE_Industry"/>
    <x v="11"/>
    <x v="1"/>
    <s v="IMAVERE_ST_WOOD_BP"/>
    <x v="0"/>
    <x v="14"/>
    <n v="10"/>
    <n v="3650"/>
    <n v="13140"/>
  </r>
  <r>
    <x v="0"/>
    <x v="0"/>
    <x v="0"/>
    <x v="1"/>
    <x v="2"/>
    <s v="EE_Industry"/>
    <x v="11"/>
    <x v="1"/>
    <s v="IMAVERE_ST_WOOD_BP"/>
    <x v="0"/>
    <x v="15"/>
    <n v="10"/>
    <n v="3650"/>
    <n v="13140"/>
  </r>
  <r>
    <x v="0"/>
    <x v="0"/>
    <x v="0"/>
    <x v="1"/>
    <x v="2"/>
    <s v="EE_Industry"/>
    <x v="11"/>
    <x v="1"/>
    <s v="IMAVERE_ST_WOOD_BP"/>
    <x v="0"/>
    <x v="16"/>
    <n v="10"/>
    <n v="3650"/>
    <n v="13140"/>
  </r>
  <r>
    <x v="0"/>
    <x v="0"/>
    <x v="0"/>
    <x v="1"/>
    <x v="2"/>
    <s v="EE_Industry"/>
    <x v="11"/>
    <x v="1"/>
    <s v="IMAVERE_ST_WOOD_BP"/>
    <x v="0"/>
    <x v="17"/>
    <n v="10"/>
    <n v="3650"/>
    <n v="13140"/>
  </r>
  <r>
    <x v="0"/>
    <x v="0"/>
    <x v="0"/>
    <x v="1"/>
    <x v="2"/>
    <s v="EE_Industry"/>
    <x v="11"/>
    <x v="1"/>
    <s v="OSULA_ST_WOOD_BP"/>
    <x v="0"/>
    <x v="1"/>
    <n v="10"/>
    <n v="3650"/>
    <n v="13140"/>
  </r>
  <r>
    <x v="0"/>
    <x v="0"/>
    <x v="0"/>
    <x v="1"/>
    <x v="2"/>
    <s v="EE_Industry"/>
    <x v="11"/>
    <x v="1"/>
    <s v="OSULA_ST_WOOD_BP"/>
    <x v="0"/>
    <x v="2"/>
    <n v="10"/>
    <n v="3650"/>
    <n v="13140"/>
  </r>
  <r>
    <x v="0"/>
    <x v="0"/>
    <x v="0"/>
    <x v="1"/>
    <x v="2"/>
    <s v="EE_Industry"/>
    <x v="11"/>
    <x v="1"/>
    <s v="OSULA_ST_WOOD_BP"/>
    <x v="0"/>
    <x v="9"/>
    <n v="10"/>
    <n v="3650"/>
    <n v="13140"/>
  </r>
  <r>
    <x v="0"/>
    <x v="0"/>
    <x v="0"/>
    <x v="1"/>
    <x v="2"/>
    <s v="EE_Industry"/>
    <x v="11"/>
    <x v="1"/>
    <s v="OSULA_ST_WOOD_BP"/>
    <x v="0"/>
    <x v="10"/>
    <n v="10"/>
    <n v="3650"/>
    <n v="13140"/>
  </r>
  <r>
    <x v="0"/>
    <x v="0"/>
    <x v="0"/>
    <x v="1"/>
    <x v="2"/>
    <s v="EE_Industry"/>
    <x v="11"/>
    <x v="1"/>
    <s v="OSULA_ST_WOOD_BP"/>
    <x v="0"/>
    <x v="11"/>
    <n v="10"/>
    <n v="3650"/>
    <n v="13140"/>
  </r>
  <r>
    <x v="0"/>
    <x v="0"/>
    <x v="0"/>
    <x v="1"/>
    <x v="2"/>
    <s v="EE_Industry"/>
    <x v="11"/>
    <x v="1"/>
    <s v="OSULA_ST_WOOD_BP"/>
    <x v="0"/>
    <x v="14"/>
    <n v="10"/>
    <n v="3650"/>
    <n v="13140"/>
  </r>
  <r>
    <x v="0"/>
    <x v="0"/>
    <x v="0"/>
    <x v="1"/>
    <x v="2"/>
    <s v="EE_Industry"/>
    <x v="11"/>
    <x v="1"/>
    <s v="OSULA_ST_WOOD_BP"/>
    <x v="0"/>
    <x v="15"/>
    <n v="10"/>
    <n v="3650"/>
    <n v="13140"/>
  </r>
  <r>
    <x v="0"/>
    <x v="0"/>
    <x v="0"/>
    <x v="1"/>
    <x v="2"/>
    <s v="EE_Industry"/>
    <x v="11"/>
    <x v="1"/>
    <s v="OSULA_ST_WOOD_BP"/>
    <x v="0"/>
    <x v="16"/>
    <n v="10"/>
    <n v="3650"/>
    <n v="13140"/>
  </r>
  <r>
    <x v="0"/>
    <x v="0"/>
    <x v="0"/>
    <x v="1"/>
    <x v="2"/>
    <s v="EE_Industry"/>
    <x v="11"/>
    <x v="1"/>
    <s v="OSULA_ST_WOOD_BP"/>
    <x v="0"/>
    <x v="17"/>
    <n v="10"/>
    <n v="3650"/>
    <n v="13140"/>
  </r>
  <r>
    <x v="0"/>
    <x v="0"/>
    <x v="0"/>
    <x v="1"/>
    <x v="2"/>
    <s v="EE_Industry"/>
    <x v="12"/>
    <x v="1"/>
    <s v="GNR_ST_WOODWST_BP_E-53"/>
    <x v="0"/>
    <x v="3"/>
    <n v="13"/>
    <n v="4745"/>
    <n v="17082"/>
  </r>
  <r>
    <x v="0"/>
    <x v="0"/>
    <x v="0"/>
    <x v="1"/>
    <x v="2"/>
    <s v="EE_Industry"/>
    <x v="12"/>
    <x v="1"/>
    <s v="GNR_ST_WOODWST_BP_E-53"/>
    <x v="0"/>
    <x v="4"/>
    <n v="13"/>
    <n v="4745"/>
    <n v="17082"/>
  </r>
  <r>
    <x v="0"/>
    <x v="0"/>
    <x v="0"/>
    <x v="1"/>
    <x v="2"/>
    <s v="EE_Industry"/>
    <x v="12"/>
    <x v="1"/>
    <s v="GNR_ST_WOODWST_BP_E-53"/>
    <x v="0"/>
    <x v="5"/>
    <n v="13"/>
    <n v="4745"/>
    <n v="17082"/>
  </r>
  <r>
    <x v="0"/>
    <x v="0"/>
    <x v="0"/>
    <x v="1"/>
    <x v="2"/>
    <s v="EE_Industry"/>
    <x v="12"/>
    <x v="1"/>
    <s v="GNR_ST_WOODWST_BP_E-53"/>
    <x v="0"/>
    <x v="6"/>
    <n v="13"/>
    <n v="4745"/>
    <n v="17082"/>
  </r>
  <r>
    <x v="0"/>
    <x v="0"/>
    <x v="0"/>
    <x v="1"/>
    <x v="2"/>
    <s v="EE_Industry"/>
    <x v="12"/>
    <x v="1"/>
    <s v="GNR_ST_WOODWST_BP_E-53"/>
    <x v="0"/>
    <x v="7"/>
    <n v="13"/>
    <n v="4745"/>
    <n v="17082"/>
  </r>
  <r>
    <x v="0"/>
    <x v="0"/>
    <x v="0"/>
    <x v="1"/>
    <x v="2"/>
    <s v="EE_Industry"/>
    <x v="12"/>
    <x v="1"/>
    <s v="GNR_ST_WOODWST_BP_E-53"/>
    <x v="0"/>
    <x v="8"/>
    <n v="13"/>
    <n v="4745"/>
    <n v="17082"/>
  </r>
  <r>
    <x v="0"/>
    <x v="0"/>
    <x v="0"/>
    <x v="1"/>
    <x v="2"/>
    <s v="EE_Industry"/>
    <x v="12"/>
    <x v="1"/>
    <s v="GNR_ST_WOODWST_BP_E-53"/>
    <x v="0"/>
    <x v="0"/>
    <n v="13"/>
    <n v="4745"/>
    <n v="17082"/>
  </r>
  <r>
    <x v="0"/>
    <x v="0"/>
    <x v="0"/>
    <x v="1"/>
    <x v="2"/>
    <s v="EE_Industry"/>
    <x v="12"/>
    <x v="1"/>
    <s v="GNR_ST_WOODWST_BP_E-53"/>
    <x v="0"/>
    <x v="1"/>
    <n v="13"/>
    <n v="4745"/>
    <n v="17082"/>
  </r>
  <r>
    <x v="0"/>
    <x v="0"/>
    <x v="0"/>
    <x v="1"/>
    <x v="2"/>
    <s v="EE_Industry"/>
    <x v="12"/>
    <x v="1"/>
    <s v="GNR_ST_WOODWST_BP_E-53"/>
    <x v="0"/>
    <x v="2"/>
    <n v="13"/>
    <n v="4745"/>
    <n v="17082"/>
  </r>
  <r>
    <x v="0"/>
    <x v="0"/>
    <x v="0"/>
    <x v="1"/>
    <x v="2"/>
    <s v="EE_Industry"/>
    <x v="12"/>
    <x v="1"/>
    <s v="GNR_ST_WOODWST_BP_E-53"/>
    <x v="0"/>
    <x v="9"/>
    <n v="13"/>
    <n v="4745"/>
    <n v="17082"/>
  </r>
  <r>
    <x v="0"/>
    <x v="0"/>
    <x v="0"/>
    <x v="1"/>
    <x v="2"/>
    <s v="EE_Industry"/>
    <x v="12"/>
    <x v="1"/>
    <s v="GNR_ST_WOODWST_BP_E-53"/>
    <x v="0"/>
    <x v="10"/>
    <n v="13"/>
    <n v="4745"/>
    <n v="17082"/>
  </r>
  <r>
    <x v="0"/>
    <x v="0"/>
    <x v="0"/>
    <x v="1"/>
    <x v="2"/>
    <s v="EE_Industry"/>
    <x v="12"/>
    <x v="1"/>
    <s v="GNR_ST_WOODWST_BP_E-53"/>
    <x v="0"/>
    <x v="11"/>
    <n v="13"/>
    <n v="4745"/>
    <n v="17082"/>
  </r>
  <r>
    <x v="0"/>
    <x v="0"/>
    <x v="0"/>
    <x v="1"/>
    <x v="2"/>
    <s v="EE_Industry"/>
    <x v="12"/>
    <x v="1"/>
    <s v="GNR_ST_WOODWST_BP_E-53"/>
    <x v="0"/>
    <x v="12"/>
    <n v="13"/>
    <n v="4745"/>
    <n v="17082"/>
  </r>
  <r>
    <x v="0"/>
    <x v="0"/>
    <x v="0"/>
    <x v="1"/>
    <x v="2"/>
    <s v="EE_Industry"/>
    <x v="12"/>
    <x v="1"/>
    <s v="GNR_ST_WOODWST_BP_E-53"/>
    <x v="0"/>
    <x v="13"/>
    <n v="13"/>
    <n v="4745"/>
    <n v="17082"/>
  </r>
  <r>
    <x v="0"/>
    <x v="0"/>
    <x v="0"/>
    <x v="1"/>
    <x v="2"/>
    <s v="EE_Industry"/>
    <x v="12"/>
    <x v="1"/>
    <s v="GNR_ST_WOODWST_BP_E-53"/>
    <x v="0"/>
    <x v="14"/>
    <n v="13"/>
    <n v="4745"/>
    <n v="17082"/>
  </r>
  <r>
    <x v="0"/>
    <x v="0"/>
    <x v="0"/>
    <x v="1"/>
    <x v="2"/>
    <s v="EE_Industry"/>
    <x v="12"/>
    <x v="1"/>
    <s v="GNR_ST_WOODWST_BP_E-53"/>
    <x v="0"/>
    <x v="15"/>
    <n v="13"/>
    <n v="4745"/>
    <n v="17082"/>
  </r>
  <r>
    <x v="0"/>
    <x v="0"/>
    <x v="0"/>
    <x v="1"/>
    <x v="2"/>
    <s v="EE_Industry"/>
    <x v="12"/>
    <x v="1"/>
    <s v="GNR_ST_WOODWST_BP_E-53"/>
    <x v="0"/>
    <x v="16"/>
    <n v="13"/>
    <n v="4745"/>
    <n v="17082"/>
  </r>
  <r>
    <x v="0"/>
    <x v="0"/>
    <x v="0"/>
    <x v="1"/>
    <x v="2"/>
    <s v="EE_Industry"/>
    <x v="12"/>
    <x v="1"/>
    <s v="GNR_ST_WOODWST_BP_E-53"/>
    <x v="0"/>
    <x v="17"/>
    <n v="13"/>
    <n v="4745"/>
    <n v="17082"/>
  </r>
  <r>
    <x v="0"/>
    <x v="0"/>
    <x v="0"/>
    <x v="1"/>
    <x v="2"/>
    <s v="EE_Industry"/>
    <x v="12"/>
    <x v="1"/>
    <s v="GNR_ST_WOODWST_BP_E-53"/>
    <x v="0"/>
    <x v="18"/>
    <n v="13"/>
    <n v="4745"/>
    <n v="17082"/>
  </r>
  <r>
    <x v="0"/>
    <x v="0"/>
    <x v="0"/>
    <x v="1"/>
    <x v="2"/>
    <s v="EE_Industry"/>
    <x v="12"/>
    <x v="1"/>
    <s v="GNR_ST_WOODWST_BP_E-53"/>
    <x v="0"/>
    <x v="19"/>
    <n v="13"/>
    <n v="4745"/>
    <n v="17082"/>
  </r>
  <r>
    <x v="0"/>
    <x v="0"/>
    <x v="0"/>
    <x v="1"/>
    <x v="2"/>
    <s v="EE_Industry"/>
    <x v="12"/>
    <x v="1"/>
    <s v="GNR_ST_WOODWST_BP_E-53"/>
    <x v="0"/>
    <x v="20"/>
    <n v="13"/>
    <n v="4745"/>
    <n v="17082"/>
  </r>
  <r>
    <x v="0"/>
    <x v="0"/>
    <x v="0"/>
    <x v="1"/>
    <x v="2"/>
    <s v="EE_Industry"/>
    <x v="12"/>
    <x v="1"/>
    <s v="GNR_ST_WOODWST_BP_E-53"/>
    <x v="0"/>
    <x v="21"/>
    <n v="13"/>
    <n v="4745"/>
    <n v="17082"/>
  </r>
  <r>
    <x v="0"/>
    <x v="0"/>
    <x v="0"/>
    <x v="1"/>
    <x v="2"/>
    <s v="EE_Industry"/>
    <x v="12"/>
    <x v="1"/>
    <s v="GNR_ST_WOODWST_BP_E-53"/>
    <x v="0"/>
    <x v="22"/>
    <n v="13"/>
    <n v="4745"/>
    <n v="17082"/>
  </r>
  <r>
    <x v="0"/>
    <x v="0"/>
    <x v="0"/>
    <x v="1"/>
    <x v="2"/>
    <s v="EE_Industry"/>
    <x v="12"/>
    <x v="1"/>
    <s v="GNR_ST_WOODWST_BP_E-53"/>
    <x v="0"/>
    <x v="23"/>
    <n v="13"/>
    <n v="4745"/>
    <n v="17082"/>
  </r>
  <r>
    <x v="0"/>
    <x v="0"/>
    <x v="0"/>
    <x v="1"/>
    <x v="2"/>
    <s v="EE_Kohtla_Jarve"/>
    <x v="2"/>
    <x v="0"/>
    <s v="GNR_ENG_NGAS_EXT_E-44"/>
    <x v="0"/>
    <x v="3"/>
    <n v="16"/>
    <n v="5840"/>
    <n v="21024"/>
  </r>
  <r>
    <x v="0"/>
    <x v="0"/>
    <x v="0"/>
    <x v="1"/>
    <x v="2"/>
    <s v="EE_Kohtla_Jarve"/>
    <x v="2"/>
    <x v="0"/>
    <s v="GNR_ENG_NGAS_EXT_E-44"/>
    <x v="0"/>
    <x v="4"/>
    <n v="16"/>
    <n v="5840"/>
    <n v="21024"/>
  </r>
  <r>
    <x v="0"/>
    <x v="0"/>
    <x v="0"/>
    <x v="1"/>
    <x v="2"/>
    <s v="EE_Kohtla_Jarve"/>
    <x v="2"/>
    <x v="0"/>
    <s v="GNR_ENG_NGAS_EXT_E-44"/>
    <x v="0"/>
    <x v="5"/>
    <n v="16"/>
    <n v="5840"/>
    <n v="21024"/>
  </r>
  <r>
    <x v="0"/>
    <x v="0"/>
    <x v="0"/>
    <x v="1"/>
    <x v="2"/>
    <s v="EE_Kohtla_Jarve"/>
    <x v="2"/>
    <x v="0"/>
    <s v="GNR_ENG_NGAS_EXT_E-44"/>
    <x v="0"/>
    <x v="6"/>
    <n v="16"/>
    <n v="5840"/>
    <n v="21024"/>
  </r>
  <r>
    <x v="0"/>
    <x v="0"/>
    <x v="0"/>
    <x v="1"/>
    <x v="2"/>
    <s v="EE_Kohtla_Jarve"/>
    <x v="2"/>
    <x v="0"/>
    <s v="GNR_ENG_NGAS_EXT_E-44"/>
    <x v="0"/>
    <x v="7"/>
    <n v="16"/>
    <n v="5840"/>
    <n v="21024"/>
  </r>
  <r>
    <x v="0"/>
    <x v="0"/>
    <x v="0"/>
    <x v="1"/>
    <x v="2"/>
    <s v="EE_Kohtla_Jarve"/>
    <x v="2"/>
    <x v="0"/>
    <s v="GNR_ENG_NGAS_EXT_E-44"/>
    <x v="0"/>
    <x v="8"/>
    <n v="16"/>
    <n v="5840"/>
    <n v="21024"/>
  </r>
  <r>
    <x v="0"/>
    <x v="0"/>
    <x v="0"/>
    <x v="1"/>
    <x v="2"/>
    <s v="EE_Kohtla_Jarve"/>
    <x v="2"/>
    <x v="0"/>
    <s v="GNR_ENG_NGAS_EXT_E-44"/>
    <x v="0"/>
    <x v="0"/>
    <n v="16"/>
    <n v="5840"/>
    <n v="21024"/>
  </r>
  <r>
    <x v="0"/>
    <x v="0"/>
    <x v="0"/>
    <x v="1"/>
    <x v="2"/>
    <s v="EE_Kohtla_Jarve"/>
    <x v="2"/>
    <x v="0"/>
    <s v="GNR_ENG_NGAS_EXT_E-44"/>
    <x v="0"/>
    <x v="1"/>
    <n v="16"/>
    <n v="5840"/>
    <n v="21024"/>
  </r>
  <r>
    <x v="0"/>
    <x v="0"/>
    <x v="0"/>
    <x v="1"/>
    <x v="2"/>
    <s v="EE_Kohtla_Jarve"/>
    <x v="2"/>
    <x v="0"/>
    <s v="GNR_ENG_NGAS_EXT_E-44"/>
    <x v="0"/>
    <x v="2"/>
    <n v="16"/>
    <n v="5840"/>
    <n v="21024"/>
  </r>
  <r>
    <x v="0"/>
    <x v="0"/>
    <x v="0"/>
    <x v="1"/>
    <x v="2"/>
    <s v="EE_Kohtla_Jarve"/>
    <x v="2"/>
    <x v="0"/>
    <s v="GNR_ENG_NGAS_EXT_E-44"/>
    <x v="0"/>
    <x v="9"/>
    <n v="16"/>
    <n v="5840"/>
    <n v="21024"/>
  </r>
  <r>
    <x v="0"/>
    <x v="0"/>
    <x v="0"/>
    <x v="1"/>
    <x v="2"/>
    <s v="EE_Kohtla_Jarve"/>
    <x v="2"/>
    <x v="0"/>
    <s v="GNR_ENG_NGAS_EXT_E-44"/>
    <x v="0"/>
    <x v="10"/>
    <n v="16"/>
    <n v="5840"/>
    <n v="21024"/>
  </r>
  <r>
    <x v="0"/>
    <x v="0"/>
    <x v="0"/>
    <x v="1"/>
    <x v="2"/>
    <s v="EE_Kohtla_Jarve"/>
    <x v="2"/>
    <x v="0"/>
    <s v="GNR_ENG_NGAS_EXT_E-44"/>
    <x v="0"/>
    <x v="11"/>
    <n v="16"/>
    <n v="5840"/>
    <n v="21024"/>
  </r>
  <r>
    <x v="0"/>
    <x v="0"/>
    <x v="0"/>
    <x v="1"/>
    <x v="2"/>
    <s v="EE_Kohtla_Jarve"/>
    <x v="2"/>
    <x v="0"/>
    <s v="GNR_ENG_NGAS_EXT_E-44"/>
    <x v="0"/>
    <x v="12"/>
    <n v="16"/>
    <n v="5840"/>
    <n v="21024"/>
  </r>
  <r>
    <x v="0"/>
    <x v="0"/>
    <x v="0"/>
    <x v="1"/>
    <x v="2"/>
    <s v="EE_Kohtla_Jarve"/>
    <x v="2"/>
    <x v="0"/>
    <s v="GNR_ENG_NGAS_EXT_E-44"/>
    <x v="0"/>
    <x v="13"/>
    <n v="16"/>
    <n v="5840"/>
    <n v="21024"/>
  </r>
  <r>
    <x v="0"/>
    <x v="0"/>
    <x v="0"/>
    <x v="1"/>
    <x v="2"/>
    <s v="EE_Kohtla_Jarve"/>
    <x v="2"/>
    <x v="0"/>
    <s v="GNR_ENG_NGAS_EXT_E-44"/>
    <x v="0"/>
    <x v="14"/>
    <n v="16"/>
    <n v="5840"/>
    <n v="21024"/>
  </r>
  <r>
    <x v="0"/>
    <x v="0"/>
    <x v="0"/>
    <x v="1"/>
    <x v="2"/>
    <s v="EE_Kohtla_Jarve"/>
    <x v="2"/>
    <x v="0"/>
    <s v="GNR_ENG_NGAS_EXT_E-44"/>
    <x v="0"/>
    <x v="15"/>
    <n v="16"/>
    <n v="5840"/>
    <n v="21024"/>
  </r>
  <r>
    <x v="0"/>
    <x v="0"/>
    <x v="0"/>
    <x v="1"/>
    <x v="2"/>
    <s v="EE_Kohtla_Jarve"/>
    <x v="2"/>
    <x v="0"/>
    <s v="GNR_ENG_NGAS_EXT_E-44"/>
    <x v="0"/>
    <x v="16"/>
    <n v="16"/>
    <n v="5840"/>
    <n v="21024"/>
  </r>
  <r>
    <x v="0"/>
    <x v="0"/>
    <x v="0"/>
    <x v="1"/>
    <x v="2"/>
    <s v="EE_Kohtla_Jarve"/>
    <x v="2"/>
    <x v="0"/>
    <s v="GNR_ENG_NGAS_EXT_E-44"/>
    <x v="0"/>
    <x v="17"/>
    <n v="16"/>
    <n v="5840"/>
    <n v="21024"/>
  </r>
  <r>
    <x v="0"/>
    <x v="0"/>
    <x v="0"/>
    <x v="1"/>
    <x v="2"/>
    <s v="EE_Kohtla_Jarve"/>
    <x v="2"/>
    <x v="0"/>
    <s v="GNR_ENG_NGAS_EXT_E-44"/>
    <x v="0"/>
    <x v="18"/>
    <n v="16"/>
    <n v="5840"/>
    <n v="21024"/>
  </r>
  <r>
    <x v="0"/>
    <x v="0"/>
    <x v="0"/>
    <x v="1"/>
    <x v="2"/>
    <s v="EE_Kohtla_Jarve"/>
    <x v="2"/>
    <x v="0"/>
    <s v="GNR_ENG_NGAS_EXT_E-44"/>
    <x v="0"/>
    <x v="19"/>
    <n v="16"/>
    <n v="5840"/>
    <n v="21024"/>
  </r>
  <r>
    <x v="0"/>
    <x v="0"/>
    <x v="0"/>
    <x v="1"/>
    <x v="2"/>
    <s v="EE_Kohtla_Jarve"/>
    <x v="2"/>
    <x v="0"/>
    <s v="GNR_ENG_NGAS_EXT_E-44"/>
    <x v="0"/>
    <x v="20"/>
    <n v="16"/>
    <n v="5840"/>
    <n v="21024"/>
  </r>
  <r>
    <x v="0"/>
    <x v="0"/>
    <x v="0"/>
    <x v="1"/>
    <x v="2"/>
    <s v="EE_Kohtla_Jarve"/>
    <x v="2"/>
    <x v="0"/>
    <s v="GNR_ENG_NGAS_EXT_E-44"/>
    <x v="0"/>
    <x v="21"/>
    <n v="16"/>
    <n v="5840"/>
    <n v="21024"/>
  </r>
  <r>
    <x v="0"/>
    <x v="0"/>
    <x v="0"/>
    <x v="1"/>
    <x v="2"/>
    <s v="EE_Kohtla_Jarve"/>
    <x v="2"/>
    <x v="0"/>
    <s v="GNR_ENG_NGAS_EXT_E-44"/>
    <x v="0"/>
    <x v="22"/>
    <n v="16"/>
    <n v="5840"/>
    <n v="21024"/>
  </r>
  <r>
    <x v="0"/>
    <x v="0"/>
    <x v="0"/>
    <x v="1"/>
    <x v="2"/>
    <s v="EE_Kohtla_Jarve"/>
    <x v="2"/>
    <x v="0"/>
    <s v="GNR_ENG_NGAS_EXT_E-44"/>
    <x v="0"/>
    <x v="23"/>
    <n v="16"/>
    <n v="5840"/>
    <n v="21024"/>
  </r>
  <r>
    <x v="0"/>
    <x v="0"/>
    <x v="0"/>
    <x v="1"/>
    <x v="2"/>
    <s v="EE_Narva"/>
    <x v="13"/>
    <x v="0"/>
    <s v="NARVA-11_ST_SHALE_EXT"/>
    <x v="0"/>
    <x v="1"/>
    <n v="152.91097079235701"/>
    <n v="55812.504339210202"/>
    <n v="200925.01562115701"/>
  </r>
  <r>
    <x v="0"/>
    <x v="0"/>
    <x v="0"/>
    <x v="1"/>
    <x v="2"/>
    <s v="EE_Narva"/>
    <x v="13"/>
    <x v="0"/>
    <s v="NARVA-11_ST_SHALE_EXT"/>
    <x v="0"/>
    <x v="2"/>
    <n v="155.42857142857099"/>
    <n v="56731.428571428602"/>
    <n v="204233.14285714299"/>
  </r>
  <r>
    <x v="0"/>
    <x v="0"/>
    <x v="0"/>
    <x v="1"/>
    <x v="2"/>
    <s v="EE_Narva"/>
    <x v="13"/>
    <x v="0"/>
    <s v="NARVA-11_ST_SHALE_EXT"/>
    <x v="0"/>
    <x v="9"/>
    <n v="155.42857142857099"/>
    <n v="56731.428571428602"/>
    <n v="204233.14285714299"/>
  </r>
  <r>
    <x v="0"/>
    <x v="0"/>
    <x v="0"/>
    <x v="1"/>
    <x v="2"/>
    <s v="EE_Narva"/>
    <x v="13"/>
    <x v="0"/>
    <s v="NARVA-11_ST_SHALE_EXT"/>
    <x v="0"/>
    <x v="10"/>
    <n v="155.42857142857099"/>
    <n v="56731.428571428602"/>
    <n v="204233.14285714299"/>
  </r>
  <r>
    <x v="0"/>
    <x v="0"/>
    <x v="0"/>
    <x v="1"/>
    <x v="2"/>
    <s v="EE_Narva"/>
    <x v="13"/>
    <x v="0"/>
    <s v="NARVA-11_ST_SHALE_EXT"/>
    <x v="0"/>
    <x v="11"/>
    <n v="46.409269967434298"/>
    <n v="16939.3835381135"/>
    <n v="60981.780737208603"/>
  </r>
  <r>
    <x v="0"/>
    <x v="0"/>
    <x v="0"/>
    <x v="1"/>
    <x v="2"/>
    <s v="EE_Narva"/>
    <x v="13"/>
    <x v="0"/>
    <s v="NARVA-11_ST_SHALE_EXT"/>
    <x v="0"/>
    <x v="12"/>
    <n v="45.564656816685897"/>
    <n v="16631.099738090401"/>
    <n v="59871.959057125299"/>
  </r>
  <r>
    <x v="0"/>
    <x v="0"/>
    <x v="0"/>
    <x v="1"/>
    <x v="2"/>
    <s v="EE_Narva"/>
    <x v="13"/>
    <x v="0"/>
    <s v="NARVA-11_ST_SHALE_EXT"/>
    <x v="0"/>
    <x v="14"/>
    <n v="44.453323723596"/>
    <n v="16225.4631591125"/>
    <n v="58411.667372805103"/>
  </r>
  <r>
    <x v="0"/>
    <x v="0"/>
    <x v="0"/>
    <x v="1"/>
    <x v="2"/>
    <s v="EE_Narva"/>
    <x v="13"/>
    <x v="0"/>
    <s v="NARVA-11_ST_SHALE_EXT"/>
    <x v="0"/>
    <x v="15"/>
    <n v="44.142150457530803"/>
    <n v="16111.884916998801"/>
    <n v="58002.785701195498"/>
  </r>
  <r>
    <x v="0"/>
    <x v="0"/>
    <x v="0"/>
    <x v="1"/>
    <x v="2"/>
    <s v="EE_Narva"/>
    <x v="13"/>
    <x v="0"/>
    <s v="NARVA-11_ST_SHALE_EXT"/>
    <x v="0"/>
    <x v="16"/>
    <n v="54.805644340340798"/>
    <n v="20004.0601842244"/>
    <n v="72014.616663207795"/>
  </r>
  <r>
    <x v="0"/>
    <x v="0"/>
    <x v="0"/>
    <x v="1"/>
    <x v="2"/>
    <s v="EE_Narva"/>
    <x v="13"/>
    <x v="0"/>
    <s v="NARVA-11_ST_SHALE_EXT"/>
    <x v="0"/>
    <x v="17"/>
    <n v="90.674670397717605"/>
    <n v="33096.254695166899"/>
    <n v="119146.516902601"/>
  </r>
  <r>
    <x v="0"/>
    <x v="0"/>
    <x v="0"/>
    <x v="1"/>
    <x v="2"/>
    <s v="EE_Narva"/>
    <x v="13"/>
    <x v="0"/>
    <s v="NARVA-11_ST_SHALE_EXT"/>
    <x v="0"/>
    <x v="18"/>
    <n v="43.364217292367897"/>
    <n v="15827.939311714301"/>
    <n v="56980.5815221714"/>
  </r>
  <r>
    <x v="0"/>
    <x v="0"/>
    <x v="0"/>
    <x v="1"/>
    <x v="2"/>
    <s v="EE_Parnu"/>
    <x v="11"/>
    <x v="1"/>
    <s v="PARNU-1_ST_WOOD_BP"/>
    <x v="0"/>
    <x v="7"/>
    <n v="5.59617125575065"/>
    <n v="2042.6025083489901"/>
    <n v="7353.3690300563603"/>
  </r>
  <r>
    <x v="0"/>
    <x v="0"/>
    <x v="0"/>
    <x v="1"/>
    <x v="2"/>
    <s v="EE_Parnu"/>
    <x v="11"/>
    <x v="1"/>
    <s v="PARNU-1_ST_WOOD_BP"/>
    <x v="0"/>
    <x v="8"/>
    <n v="16.403819021525599"/>
    <n v="5987.3939428568601"/>
    <n v="21554.6181942847"/>
  </r>
  <r>
    <x v="0"/>
    <x v="0"/>
    <x v="0"/>
    <x v="1"/>
    <x v="2"/>
    <s v="EE_Parnu"/>
    <x v="11"/>
    <x v="1"/>
    <s v="PARNU-1_ST_WOOD_BP"/>
    <x v="0"/>
    <x v="0"/>
    <n v="22"/>
    <n v="8030"/>
    <n v="28908"/>
  </r>
  <r>
    <x v="0"/>
    <x v="0"/>
    <x v="0"/>
    <x v="1"/>
    <x v="2"/>
    <s v="EE_Parnu"/>
    <x v="11"/>
    <x v="1"/>
    <s v="PARNU-1_ST_WOOD_BP"/>
    <x v="0"/>
    <x v="1"/>
    <n v="22"/>
    <n v="8030"/>
    <n v="28908"/>
  </r>
  <r>
    <x v="0"/>
    <x v="0"/>
    <x v="0"/>
    <x v="1"/>
    <x v="2"/>
    <s v="EE_Parnu"/>
    <x v="11"/>
    <x v="1"/>
    <s v="PARNU-1_ST_WOOD_BP"/>
    <x v="0"/>
    <x v="2"/>
    <n v="22"/>
    <n v="8030"/>
    <n v="28908"/>
  </r>
  <r>
    <x v="0"/>
    <x v="0"/>
    <x v="0"/>
    <x v="1"/>
    <x v="2"/>
    <s v="EE_Parnu"/>
    <x v="11"/>
    <x v="1"/>
    <s v="PARNU-1_ST_WOOD_BP"/>
    <x v="0"/>
    <x v="9"/>
    <n v="22"/>
    <n v="8030"/>
    <n v="28908"/>
  </r>
  <r>
    <x v="0"/>
    <x v="0"/>
    <x v="0"/>
    <x v="1"/>
    <x v="2"/>
    <s v="EE_Parnu"/>
    <x v="11"/>
    <x v="1"/>
    <s v="PARNU-1_ST_WOOD_BP"/>
    <x v="0"/>
    <x v="10"/>
    <n v="22"/>
    <n v="8030"/>
    <n v="28908"/>
  </r>
  <r>
    <x v="0"/>
    <x v="0"/>
    <x v="0"/>
    <x v="1"/>
    <x v="2"/>
    <s v="EE_Parnu"/>
    <x v="11"/>
    <x v="1"/>
    <s v="PARNU-1_ST_WOOD_BP"/>
    <x v="0"/>
    <x v="11"/>
    <n v="22"/>
    <n v="8030"/>
    <n v="28908"/>
  </r>
  <r>
    <x v="0"/>
    <x v="0"/>
    <x v="0"/>
    <x v="1"/>
    <x v="2"/>
    <s v="EE_Parnu"/>
    <x v="11"/>
    <x v="1"/>
    <s v="PARNU-1_ST_WOOD_BP"/>
    <x v="0"/>
    <x v="12"/>
    <n v="22"/>
    <n v="8030"/>
    <n v="28908"/>
  </r>
  <r>
    <x v="0"/>
    <x v="0"/>
    <x v="0"/>
    <x v="1"/>
    <x v="2"/>
    <s v="EE_Parnu"/>
    <x v="11"/>
    <x v="1"/>
    <s v="PARNU-1_ST_WOOD_BP"/>
    <x v="0"/>
    <x v="13"/>
    <n v="22"/>
    <n v="8030"/>
    <n v="28908"/>
  </r>
  <r>
    <x v="0"/>
    <x v="0"/>
    <x v="0"/>
    <x v="1"/>
    <x v="2"/>
    <s v="EE_Parnu"/>
    <x v="11"/>
    <x v="1"/>
    <s v="PARNU-1_ST_WOOD_BP"/>
    <x v="0"/>
    <x v="14"/>
    <n v="22"/>
    <n v="8030"/>
    <n v="28908"/>
  </r>
  <r>
    <x v="0"/>
    <x v="0"/>
    <x v="0"/>
    <x v="1"/>
    <x v="2"/>
    <s v="EE_Parnu"/>
    <x v="11"/>
    <x v="1"/>
    <s v="PARNU-1_ST_WOOD_BP"/>
    <x v="0"/>
    <x v="15"/>
    <n v="22"/>
    <n v="8030"/>
    <n v="28908"/>
  </r>
  <r>
    <x v="0"/>
    <x v="0"/>
    <x v="0"/>
    <x v="1"/>
    <x v="2"/>
    <s v="EE_Parnu"/>
    <x v="11"/>
    <x v="1"/>
    <s v="PARNU-1_ST_WOOD_BP"/>
    <x v="0"/>
    <x v="16"/>
    <n v="22"/>
    <n v="8030"/>
    <n v="28908"/>
  </r>
  <r>
    <x v="0"/>
    <x v="0"/>
    <x v="0"/>
    <x v="1"/>
    <x v="2"/>
    <s v="EE_Parnu"/>
    <x v="11"/>
    <x v="1"/>
    <s v="PARNU-1_ST_WOOD_BP"/>
    <x v="0"/>
    <x v="17"/>
    <n v="22"/>
    <n v="8030"/>
    <n v="28908"/>
  </r>
  <r>
    <x v="0"/>
    <x v="0"/>
    <x v="0"/>
    <x v="1"/>
    <x v="2"/>
    <s v="EE_Parnu"/>
    <x v="11"/>
    <x v="1"/>
    <s v="PARNU-1_ST_WOOD_BP"/>
    <x v="0"/>
    <x v="18"/>
    <n v="22"/>
    <n v="8030"/>
    <n v="28908"/>
  </r>
  <r>
    <x v="0"/>
    <x v="0"/>
    <x v="0"/>
    <x v="1"/>
    <x v="2"/>
    <s v="EE_Parnu"/>
    <x v="11"/>
    <x v="1"/>
    <s v="PARNU-1_ST_WOOD_BP"/>
    <x v="0"/>
    <x v="19"/>
    <n v="22"/>
    <n v="8030"/>
    <n v="28908"/>
  </r>
  <r>
    <x v="0"/>
    <x v="0"/>
    <x v="0"/>
    <x v="1"/>
    <x v="2"/>
    <s v="EE_Parnu"/>
    <x v="11"/>
    <x v="1"/>
    <s v="PARNU-1_ST_WOOD_BP"/>
    <x v="0"/>
    <x v="20"/>
    <n v="9.1966772845862401"/>
    <n v="3356.78720887398"/>
    <n v="12084.433951946299"/>
  </r>
  <r>
    <x v="0"/>
    <x v="0"/>
    <x v="0"/>
    <x v="1"/>
    <x v="2"/>
    <s v="EE_Parnu"/>
    <x v="11"/>
    <x v="1"/>
    <s v="PARNU-1_ST_WOOD_BP"/>
    <x v="0"/>
    <x v="21"/>
    <n v="18.585036341122301"/>
    <n v="6783.5382645096497"/>
    <n v="24420.737752234701"/>
  </r>
  <r>
    <x v="0"/>
    <x v="0"/>
    <x v="0"/>
    <x v="1"/>
    <x v="2"/>
    <s v="EE_Rural"/>
    <x v="2"/>
    <x v="0"/>
    <s v="GNR_ENG_NGAS_EXT_E-44"/>
    <x v="0"/>
    <x v="3"/>
    <n v="1.2"/>
    <n v="438"/>
    <n v="1576.8"/>
  </r>
  <r>
    <x v="0"/>
    <x v="0"/>
    <x v="0"/>
    <x v="1"/>
    <x v="2"/>
    <s v="EE_Rural"/>
    <x v="2"/>
    <x v="0"/>
    <s v="GNR_ENG_NGAS_EXT_E-44"/>
    <x v="0"/>
    <x v="4"/>
    <n v="1.2"/>
    <n v="438"/>
    <n v="1576.8"/>
  </r>
  <r>
    <x v="0"/>
    <x v="0"/>
    <x v="0"/>
    <x v="1"/>
    <x v="2"/>
    <s v="EE_Rural"/>
    <x v="2"/>
    <x v="0"/>
    <s v="GNR_ENG_NGAS_EXT_E-44"/>
    <x v="0"/>
    <x v="5"/>
    <n v="1.2"/>
    <n v="438"/>
    <n v="1576.8"/>
  </r>
  <r>
    <x v="0"/>
    <x v="0"/>
    <x v="0"/>
    <x v="1"/>
    <x v="2"/>
    <s v="EE_Rural"/>
    <x v="2"/>
    <x v="0"/>
    <s v="GNR_ENG_NGAS_EXT_E-44"/>
    <x v="0"/>
    <x v="6"/>
    <n v="1.2"/>
    <n v="438"/>
    <n v="1576.8"/>
  </r>
  <r>
    <x v="0"/>
    <x v="0"/>
    <x v="0"/>
    <x v="1"/>
    <x v="2"/>
    <s v="EE_Rural"/>
    <x v="2"/>
    <x v="0"/>
    <s v="GNR_ENG_NGAS_EXT_E-44"/>
    <x v="0"/>
    <x v="7"/>
    <n v="1.2"/>
    <n v="438"/>
    <n v="1576.8"/>
  </r>
  <r>
    <x v="0"/>
    <x v="0"/>
    <x v="0"/>
    <x v="1"/>
    <x v="2"/>
    <s v="EE_Rural"/>
    <x v="2"/>
    <x v="0"/>
    <s v="GNR_ENG_NGAS_EXT_E-44"/>
    <x v="0"/>
    <x v="8"/>
    <n v="1.2"/>
    <n v="438"/>
    <n v="1576.8"/>
  </r>
  <r>
    <x v="0"/>
    <x v="0"/>
    <x v="0"/>
    <x v="1"/>
    <x v="2"/>
    <s v="EE_Rural"/>
    <x v="2"/>
    <x v="0"/>
    <s v="GNR_ENG_NGAS_EXT_E-44"/>
    <x v="0"/>
    <x v="0"/>
    <n v="1.2"/>
    <n v="438"/>
    <n v="1576.8"/>
  </r>
  <r>
    <x v="0"/>
    <x v="0"/>
    <x v="0"/>
    <x v="1"/>
    <x v="2"/>
    <s v="EE_Rural"/>
    <x v="2"/>
    <x v="0"/>
    <s v="GNR_ENG_NGAS_EXT_E-44"/>
    <x v="0"/>
    <x v="1"/>
    <n v="1.2"/>
    <n v="438"/>
    <n v="1576.8"/>
  </r>
  <r>
    <x v="0"/>
    <x v="0"/>
    <x v="0"/>
    <x v="1"/>
    <x v="2"/>
    <s v="EE_Rural"/>
    <x v="2"/>
    <x v="0"/>
    <s v="GNR_ENG_NGAS_EXT_E-44"/>
    <x v="0"/>
    <x v="2"/>
    <n v="1.2"/>
    <n v="438"/>
    <n v="1576.8"/>
  </r>
  <r>
    <x v="0"/>
    <x v="0"/>
    <x v="0"/>
    <x v="1"/>
    <x v="2"/>
    <s v="EE_Rural"/>
    <x v="2"/>
    <x v="0"/>
    <s v="GNR_ENG_NGAS_EXT_E-44"/>
    <x v="0"/>
    <x v="9"/>
    <n v="1.2"/>
    <n v="438"/>
    <n v="1576.8"/>
  </r>
  <r>
    <x v="0"/>
    <x v="0"/>
    <x v="0"/>
    <x v="1"/>
    <x v="2"/>
    <s v="EE_Rural"/>
    <x v="2"/>
    <x v="0"/>
    <s v="GNR_ENG_NGAS_EXT_E-44"/>
    <x v="0"/>
    <x v="10"/>
    <n v="1.2"/>
    <n v="438"/>
    <n v="1576.8"/>
  </r>
  <r>
    <x v="0"/>
    <x v="0"/>
    <x v="0"/>
    <x v="1"/>
    <x v="2"/>
    <s v="EE_Rural"/>
    <x v="2"/>
    <x v="0"/>
    <s v="GNR_ENG_NGAS_EXT_E-44"/>
    <x v="0"/>
    <x v="11"/>
    <n v="1.2"/>
    <n v="438"/>
    <n v="1576.8"/>
  </r>
  <r>
    <x v="0"/>
    <x v="0"/>
    <x v="0"/>
    <x v="1"/>
    <x v="2"/>
    <s v="EE_Rural"/>
    <x v="2"/>
    <x v="0"/>
    <s v="GNR_ENG_NGAS_EXT_E-44"/>
    <x v="0"/>
    <x v="12"/>
    <n v="1.2"/>
    <n v="438"/>
    <n v="1576.8"/>
  </r>
  <r>
    <x v="0"/>
    <x v="0"/>
    <x v="0"/>
    <x v="1"/>
    <x v="2"/>
    <s v="EE_Rural"/>
    <x v="2"/>
    <x v="0"/>
    <s v="GNR_ENG_NGAS_EXT_E-44"/>
    <x v="0"/>
    <x v="13"/>
    <n v="1.2"/>
    <n v="438"/>
    <n v="1576.8"/>
  </r>
  <r>
    <x v="0"/>
    <x v="0"/>
    <x v="0"/>
    <x v="1"/>
    <x v="2"/>
    <s v="EE_Rural"/>
    <x v="2"/>
    <x v="0"/>
    <s v="GNR_ENG_NGAS_EXT_E-44"/>
    <x v="0"/>
    <x v="14"/>
    <n v="1.2"/>
    <n v="438"/>
    <n v="1576.8"/>
  </r>
  <r>
    <x v="0"/>
    <x v="0"/>
    <x v="0"/>
    <x v="1"/>
    <x v="2"/>
    <s v="EE_Rural"/>
    <x v="2"/>
    <x v="0"/>
    <s v="GNR_ENG_NGAS_EXT_E-44"/>
    <x v="0"/>
    <x v="15"/>
    <n v="1.2"/>
    <n v="438"/>
    <n v="1576.8"/>
  </r>
  <r>
    <x v="0"/>
    <x v="0"/>
    <x v="0"/>
    <x v="1"/>
    <x v="2"/>
    <s v="EE_Rural"/>
    <x v="2"/>
    <x v="0"/>
    <s v="GNR_ENG_NGAS_EXT_E-44"/>
    <x v="0"/>
    <x v="16"/>
    <n v="1.2"/>
    <n v="438"/>
    <n v="1576.8"/>
  </r>
  <r>
    <x v="0"/>
    <x v="0"/>
    <x v="0"/>
    <x v="1"/>
    <x v="2"/>
    <s v="EE_Rural"/>
    <x v="2"/>
    <x v="0"/>
    <s v="GNR_ENG_NGAS_EXT_E-44"/>
    <x v="0"/>
    <x v="17"/>
    <n v="1.2"/>
    <n v="438"/>
    <n v="1576.8"/>
  </r>
  <r>
    <x v="0"/>
    <x v="0"/>
    <x v="0"/>
    <x v="1"/>
    <x v="2"/>
    <s v="EE_Rural"/>
    <x v="2"/>
    <x v="0"/>
    <s v="GNR_ENG_NGAS_EXT_E-44"/>
    <x v="0"/>
    <x v="18"/>
    <n v="1.2"/>
    <n v="438"/>
    <n v="1576.8"/>
  </r>
  <r>
    <x v="0"/>
    <x v="0"/>
    <x v="0"/>
    <x v="1"/>
    <x v="2"/>
    <s v="EE_Rural"/>
    <x v="2"/>
    <x v="0"/>
    <s v="GNR_ENG_NGAS_EXT_E-44"/>
    <x v="0"/>
    <x v="19"/>
    <n v="1.2"/>
    <n v="438"/>
    <n v="1576.8"/>
  </r>
  <r>
    <x v="0"/>
    <x v="0"/>
    <x v="0"/>
    <x v="1"/>
    <x v="2"/>
    <s v="EE_Rural"/>
    <x v="2"/>
    <x v="0"/>
    <s v="GNR_ENG_NGAS_EXT_E-44"/>
    <x v="0"/>
    <x v="20"/>
    <n v="1.2"/>
    <n v="438"/>
    <n v="1576.8"/>
  </r>
  <r>
    <x v="0"/>
    <x v="0"/>
    <x v="0"/>
    <x v="1"/>
    <x v="2"/>
    <s v="EE_Rural"/>
    <x v="2"/>
    <x v="0"/>
    <s v="GNR_ENG_NGAS_EXT_E-44"/>
    <x v="0"/>
    <x v="21"/>
    <n v="1.2"/>
    <n v="438"/>
    <n v="1576.8"/>
  </r>
  <r>
    <x v="0"/>
    <x v="0"/>
    <x v="0"/>
    <x v="1"/>
    <x v="2"/>
    <s v="EE_Rural"/>
    <x v="2"/>
    <x v="0"/>
    <s v="GNR_ENG_NGAS_EXT_E-44"/>
    <x v="0"/>
    <x v="22"/>
    <n v="1.2"/>
    <n v="438"/>
    <n v="1576.8"/>
  </r>
  <r>
    <x v="0"/>
    <x v="0"/>
    <x v="0"/>
    <x v="1"/>
    <x v="2"/>
    <s v="EE_Rural"/>
    <x v="2"/>
    <x v="0"/>
    <s v="GNR_ENG_NGAS_EXT_E-44"/>
    <x v="0"/>
    <x v="23"/>
    <n v="1.2"/>
    <n v="438"/>
    <n v="1576.8"/>
  </r>
  <r>
    <x v="0"/>
    <x v="0"/>
    <x v="0"/>
    <x v="1"/>
    <x v="2"/>
    <s v="EE_Rural"/>
    <x v="6"/>
    <x v="4"/>
    <s v="GNR_ROR_WTR"/>
    <x v="0"/>
    <x v="3"/>
    <n v="3.4246575342465699"/>
    <n v="1250"/>
    <n v="4500"/>
  </r>
  <r>
    <x v="0"/>
    <x v="0"/>
    <x v="0"/>
    <x v="1"/>
    <x v="2"/>
    <s v="EE_Rural"/>
    <x v="6"/>
    <x v="4"/>
    <s v="GNR_ROR_WTR"/>
    <x v="0"/>
    <x v="4"/>
    <n v="3.4246575342465699"/>
    <n v="1250"/>
    <n v="4500"/>
  </r>
  <r>
    <x v="0"/>
    <x v="0"/>
    <x v="0"/>
    <x v="1"/>
    <x v="2"/>
    <s v="EE_Rural"/>
    <x v="6"/>
    <x v="4"/>
    <s v="GNR_ROR_WTR"/>
    <x v="0"/>
    <x v="5"/>
    <n v="3.4246575342465699"/>
    <n v="1250"/>
    <n v="4500"/>
  </r>
  <r>
    <x v="0"/>
    <x v="0"/>
    <x v="0"/>
    <x v="1"/>
    <x v="2"/>
    <s v="EE_Rural"/>
    <x v="6"/>
    <x v="4"/>
    <s v="GNR_ROR_WTR"/>
    <x v="0"/>
    <x v="6"/>
    <n v="3.4246575342465699"/>
    <n v="1250"/>
    <n v="4500"/>
  </r>
  <r>
    <x v="0"/>
    <x v="0"/>
    <x v="0"/>
    <x v="1"/>
    <x v="2"/>
    <s v="EE_Rural"/>
    <x v="6"/>
    <x v="4"/>
    <s v="GNR_ROR_WTR"/>
    <x v="0"/>
    <x v="7"/>
    <n v="3.4246575342465699"/>
    <n v="1250"/>
    <n v="4500"/>
  </r>
  <r>
    <x v="0"/>
    <x v="0"/>
    <x v="0"/>
    <x v="1"/>
    <x v="2"/>
    <s v="EE_Rural"/>
    <x v="6"/>
    <x v="4"/>
    <s v="GNR_ROR_WTR"/>
    <x v="0"/>
    <x v="8"/>
    <n v="3.4246575342465699"/>
    <n v="1250"/>
    <n v="4500"/>
  </r>
  <r>
    <x v="0"/>
    <x v="0"/>
    <x v="0"/>
    <x v="1"/>
    <x v="2"/>
    <s v="EE_Rural"/>
    <x v="6"/>
    <x v="4"/>
    <s v="GNR_ROR_WTR"/>
    <x v="0"/>
    <x v="0"/>
    <n v="3.4246575342465699"/>
    <n v="1250"/>
    <n v="4500"/>
  </r>
  <r>
    <x v="0"/>
    <x v="0"/>
    <x v="0"/>
    <x v="1"/>
    <x v="2"/>
    <s v="EE_Rural"/>
    <x v="6"/>
    <x v="4"/>
    <s v="GNR_ROR_WTR"/>
    <x v="0"/>
    <x v="1"/>
    <n v="3.4246575342465699"/>
    <n v="1250"/>
    <n v="4500"/>
  </r>
  <r>
    <x v="0"/>
    <x v="0"/>
    <x v="0"/>
    <x v="1"/>
    <x v="2"/>
    <s v="EE_Rural"/>
    <x v="6"/>
    <x v="4"/>
    <s v="GNR_ROR_WTR"/>
    <x v="0"/>
    <x v="2"/>
    <n v="3.4246575342465699"/>
    <n v="1250"/>
    <n v="4500"/>
  </r>
  <r>
    <x v="0"/>
    <x v="0"/>
    <x v="0"/>
    <x v="1"/>
    <x v="2"/>
    <s v="EE_Rural"/>
    <x v="6"/>
    <x v="4"/>
    <s v="GNR_ROR_WTR"/>
    <x v="0"/>
    <x v="9"/>
    <n v="3.4246575342465699"/>
    <n v="1250"/>
    <n v="4500"/>
  </r>
  <r>
    <x v="0"/>
    <x v="0"/>
    <x v="0"/>
    <x v="1"/>
    <x v="2"/>
    <s v="EE_Rural"/>
    <x v="6"/>
    <x v="4"/>
    <s v="GNR_ROR_WTR"/>
    <x v="0"/>
    <x v="10"/>
    <n v="3.4246575342465699"/>
    <n v="1250"/>
    <n v="4500"/>
  </r>
  <r>
    <x v="0"/>
    <x v="0"/>
    <x v="0"/>
    <x v="1"/>
    <x v="2"/>
    <s v="EE_Rural"/>
    <x v="6"/>
    <x v="4"/>
    <s v="GNR_ROR_WTR"/>
    <x v="0"/>
    <x v="11"/>
    <n v="3.4246575342465699"/>
    <n v="1250"/>
    <n v="4500"/>
  </r>
  <r>
    <x v="0"/>
    <x v="0"/>
    <x v="0"/>
    <x v="1"/>
    <x v="2"/>
    <s v="EE_Rural"/>
    <x v="6"/>
    <x v="4"/>
    <s v="GNR_ROR_WTR"/>
    <x v="0"/>
    <x v="12"/>
    <n v="3.4246575342465699"/>
    <n v="1250"/>
    <n v="4500"/>
  </r>
  <r>
    <x v="0"/>
    <x v="0"/>
    <x v="0"/>
    <x v="1"/>
    <x v="2"/>
    <s v="EE_Rural"/>
    <x v="6"/>
    <x v="4"/>
    <s v="GNR_ROR_WTR"/>
    <x v="0"/>
    <x v="13"/>
    <n v="3.4246575342465699"/>
    <n v="1250"/>
    <n v="4500"/>
  </r>
  <r>
    <x v="0"/>
    <x v="0"/>
    <x v="0"/>
    <x v="1"/>
    <x v="2"/>
    <s v="EE_Rural"/>
    <x v="6"/>
    <x v="4"/>
    <s v="GNR_ROR_WTR"/>
    <x v="0"/>
    <x v="14"/>
    <n v="3.4246575342465699"/>
    <n v="1250"/>
    <n v="4500"/>
  </r>
  <r>
    <x v="0"/>
    <x v="0"/>
    <x v="0"/>
    <x v="1"/>
    <x v="2"/>
    <s v="EE_Rural"/>
    <x v="6"/>
    <x v="4"/>
    <s v="GNR_ROR_WTR"/>
    <x v="0"/>
    <x v="15"/>
    <n v="3.4246575342465699"/>
    <n v="1250"/>
    <n v="4500"/>
  </r>
  <r>
    <x v="0"/>
    <x v="0"/>
    <x v="0"/>
    <x v="1"/>
    <x v="2"/>
    <s v="EE_Rural"/>
    <x v="6"/>
    <x v="4"/>
    <s v="GNR_ROR_WTR"/>
    <x v="0"/>
    <x v="16"/>
    <n v="3.4246575342465699"/>
    <n v="1250"/>
    <n v="4500"/>
  </r>
  <r>
    <x v="0"/>
    <x v="0"/>
    <x v="0"/>
    <x v="1"/>
    <x v="2"/>
    <s v="EE_Rural"/>
    <x v="6"/>
    <x v="4"/>
    <s v="GNR_ROR_WTR"/>
    <x v="0"/>
    <x v="17"/>
    <n v="3.4246575342465699"/>
    <n v="1250"/>
    <n v="4500"/>
  </r>
  <r>
    <x v="0"/>
    <x v="0"/>
    <x v="0"/>
    <x v="1"/>
    <x v="2"/>
    <s v="EE_Rural"/>
    <x v="6"/>
    <x v="4"/>
    <s v="GNR_ROR_WTR"/>
    <x v="0"/>
    <x v="18"/>
    <n v="3.4246575342465699"/>
    <n v="1250"/>
    <n v="4500"/>
  </r>
  <r>
    <x v="0"/>
    <x v="0"/>
    <x v="0"/>
    <x v="1"/>
    <x v="2"/>
    <s v="EE_Rural"/>
    <x v="6"/>
    <x v="4"/>
    <s v="GNR_ROR_WTR"/>
    <x v="0"/>
    <x v="19"/>
    <n v="3.4246575342465699"/>
    <n v="1250"/>
    <n v="4500"/>
  </r>
  <r>
    <x v="0"/>
    <x v="0"/>
    <x v="0"/>
    <x v="1"/>
    <x v="2"/>
    <s v="EE_Rural"/>
    <x v="6"/>
    <x v="4"/>
    <s v="GNR_ROR_WTR"/>
    <x v="0"/>
    <x v="20"/>
    <n v="3.4246575342465699"/>
    <n v="1250"/>
    <n v="4500"/>
  </r>
  <r>
    <x v="0"/>
    <x v="0"/>
    <x v="0"/>
    <x v="1"/>
    <x v="2"/>
    <s v="EE_Rural"/>
    <x v="6"/>
    <x v="4"/>
    <s v="GNR_ROR_WTR"/>
    <x v="0"/>
    <x v="21"/>
    <n v="3.4246575342465699"/>
    <n v="1250"/>
    <n v="4500"/>
  </r>
  <r>
    <x v="0"/>
    <x v="0"/>
    <x v="0"/>
    <x v="1"/>
    <x v="2"/>
    <s v="EE_Rural"/>
    <x v="6"/>
    <x v="4"/>
    <s v="GNR_ROR_WTR"/>
    <x v="0"/>
    <x v="22"/>
    <n v="3.4246575342465699"/>
    <n v="1250"/>
    <n v="4500"/>
  </r>
  <r>
    <x v="0"/>
    <x v="0"/>
    <x v="0"/>
    <x v="1"/>
    <x v="2"/>
    <s v="EE_Rural"/>
    <x v="6"/>
    <x v="4"/>
    <s v="GNR_ROR_WTR"/>
    <x v="0"/>
    <x v="23"/>
    <n v="3.4246575342465699"/>
    <n v="1250"/>
    <n v="4500"/>
  </r>
  <r>
    <x v="0"/>
    <x v="0"/>
    <x v="0"/>
    <x v="1"/>
    <x v="2"/>
    <s v="EE_Rural"/>
    <x v="7"/>
    <x v="5"/>
    <s v="GNR_WT_WIND_ONS"/>
    <x v="0"/>
    <x v="3"/>
    <n v="23.661485566316099"/>
    <n v="8636.4422317053904"/>
    <n v="31091.1920341394"/>
  </r>
  <r>
    <x v="0"/>
    <x v="0"/>
    <x v="0"/>
    <x v="1"/>
    <x v="2"/>
    <s v="EE_Rural"/>
    <x v="7"/>
    <x v="5"/>
    <s v="GNR_WT_WIND_ONS"/>
    <x v="0"/>
    <x v="4"/>
    <n v="28.393782679579399"/>
    <n v="10363.730678046501"/>
    <n v="37309.430440967299"/>
  </r>
  <r>
    <x v="0"/>
    <x v="0"/>
    <x v="0"/>
    <x v="1"/>
    <x v="2"/>
    <s v="EE_Rural"/>
    <x v="7"/>
    <x v="5"/>
    <s v="GNR_WT_WIND_ONS"/>
    <x v="0"/>
    <x v="5"/>
    <n v="27.717740234827499"/>
    <n v="10116.975185712001"/>
    <n v="36421.110668563299"/>
  </r>
  <r>
    <x v="0"/>
    <x v="0"/>
    <x v="0"/>
    <x v="1"/>
    <x v="2"/>
    <s v="EE_Rural"/>
    <x v="7"/>
    <x v="5"/>
    <s v="GNR_WT_WIND_ONS"/>
    <x v="0"/>
    <x v="6"/>
    <n v="26.027634122947699"/>
    <n v="9500.0864548759291"/>
    <n v="34200.311237553302"/>
  </r>
  <r>
    <x v="0"/>
    <x v="0"/>
    <x v="0"/>
    <x v="1"/>
    <x v="2"/>
    <s v="EE_Rural"/>
    <x v="7"/>
    <x v="5"/>
    <s v="GNR_WT_WIND_ONS"/>
    <x v="0"/>
    <x v="7"/>
    <n v="19.267209675428902"/>
    <n v="7032.5315315315302"/>
    <n v="25317.113513513501"/>
  </r>
  <r>
    <x v="0"/>
    <x v="0"/>
    <x v="0"/>
    <x v="1"/>
    <x v="2"/>
    <s v="EE_Rural"/>
    <x v="7"/>
    <x v="5"/>
    <s v="GNR_WT_WIND_ONS"/>
    <x v="0"/>
    <x v="8"/>
    <n v="11.154700338406199"/>
    <n v="4071.4656235182501"/>
    <n v="14657.2762446657"/>
  </r>
  <r>
    <x v="0"/>
    <x v="0"/>
    <x v="0"/>
    <x v="1"/>
    <x v="2"/>
    <s v="EE_Rural"/>
    <x v="7"/>
    <x v="5"/>
    <s v="GNR_WT_WIND_ONS"/>
    <x v="0"/>
    <x v="0"/>
    <n v="2.3661485566316101"/>
    <n v="863.64422317053902"/>
    <n v="3109.1192034139399"/>
  </r>
  <r>
    <x v="0"/>
    <x v="0"/>
    <x v="0"/>
    <x v="1"/>
    <x v="2"/>
    <s v="EE_Rural"/>
    <x v="7"/>
    <x v="5"/>
    <s v="GNR_WT_WIND_ONS"/>
    <x v="0"/>
    <x v="1"/>
    <n v="1.69010611187972"/>
    <n v="616.88873083609894"/>
    <n v="2220.7994310099598"/>
  </r>
  <r>
    <x v="0"/>
    <x v="0"/>
    <x v="0"/>
    <x v="1"/>
    <x v="2"/>
    <s v="EE_Rural"/>
    <x v="7"/>
    <x v="5"/>
    <s v="GNR_WT_WIND_ONS"/>
    <x v="0"/>
    <x v="2"/>
    <n v="2.3661485566316101"/>
    <n v="863.64422317053902"/>
    <n v="3109.1192034139399"/>
  </r>
  <r>
    <x v="0"/>
    <x v="0"/>
    <x v="0"/>
    <x v="1"/>
    <x v="2"/>
    <s v="EE_Rural"/>
    <x v="7"/>
    <x v="5"/>
    <s v="GNR_WT_WIND_ONS"/>
    <x v="0"/>
    <x v="9"/>
    <n v="11.154700338406199"/>
    <n v="4071.4656235182501"/>
    <n v="14657.2762446657"/>
  </r>
  <r>
    <x v="0"/>
    <x v="0"/>
    <x v="0"/>
    <x v="1"/>
    <x v="2"/>
    <s v="EE_Rural"/>
    <x v="7"/>
    <x v="5"/>
    <s v="GNR_WT_WIND_ONS"/>
    <x v="0"/>
    <x v="10"/>
    <n v="26.027634122947699"/>
    <n v="9500.0864548759291"/>
    <n v="34200.311237553302"/>
  </r>
  <r>
    <x v="0"/>
    <x v="0"/>
    <x v="0"/>
    <x v="1"/>
    <x v="2"/>
    <s v="EE_Rural"/>
    <x v="7"/>
    <x v="5"/>
    <s v="GNR_WT_WIND_ONS"/>
    <x v="0"/>
    <x v="11"/>
    <n v="40.224525462737397"/>
    <n v="14681.951793899199"/>
    <n v="52855.026458036999"/>
  </r>
  <r>
    <x v="0"/>
    <x v="0"/>
    <x v="0"/>
    <x v="1"/>
    <x v="2"/>
    <s v="EE_Rural"/>
    <x v="7"/>
    <x v="5"/>
    <s v="GNR_WT_WIND_ONS"/>
    <x v="0"/>
    <x v="12"/>
    <n v="46.646928687880397"/>
    <n v="17026.128971076301"/>
    <n v="61294.064295874799"/>
  </r>
  <r>
    <x v="0"/>
    <x v="0"/>
    <x v="0"/>
    <x v="1"/>
    <x v="2"/>
    <s v="EE_Rural"/>
    <x v="7"/>
    <x v="5"/>
    <s v="GNR_WT_WIND_ONS"/>
    <x v="0"/>
    <x v="13"/>
    <n v="53.407353135399298"/>
    <n v="19493.683894420701"/>
    <n v="70177.262019914706"/>
  </r>
  <r>
    <x v="0"/>
    <x v="0"/>
    <x v="0"/>
    <x v="1"/>
    <x v="2"/>
    <s v="EE_Rural"/>
    <x v="7"/>
    <x v="5"/>
    <s v="GNR_WT_WIND_ONS"/>
    <x v="0"/>
    <x v="14"/>
    <n v="53.407353135399298"/>
    <n v="19493.683894420701"/>
    <n v="70177.262019914706"/>
  </r>
  <r>
    <x v="0"/>
    <x v="0"/>
    <x v="0"/>
    <x v="1"/>
    <x v="2"/>
    <s v="EE_Rural"/>
    <x v="7"/>
    <x v="5"/>
    <s v="GNR_WT_WIND_ONS"/>
    <x v="0"/>
    <x v="15"/>
    <n v="84.505305593986193"/>
    <n v="30844.436541805"/>
    <n v="111039.971550498"/>
  </r>
  <r>
    <x v="0"/>
    <x v="0"/>
    <x v="0"/>
    <x v="1"/>
    <x v="2"/>
    <s v="EE_Rural"/>
    <x v="7"/>
    <x v="5"/>
    <s v="GNR_WT_WIND_ONS"/>
    <x v="0"/>
    <x v="16"/>
    <n v="109.18085482743"/>
    <n v="39851.012012011997"/>
    <n v="143463.64324324299"/>
  </r>
  <r>
    <x v="0"/>
    <x v="0"/>
    <x v="0"/>
    <x v="1"/>
    <x v="2"/>
    <s v="EE_Rural"/>
    <x v="7"/>
    <x v="5"/>
    <s v="GNR_WT_WIND_ONS"/>
    <x v="0"/>
    <x v="17"/>
    <n v="107.828769937926"/>
    <n v="39357.501027343103"/>
    <n v="141687.003698435"/>
  </r>
  <r>
    <x v="0"/>
    <x v="0"/>
    <x v="0"/>
    <x v="1"/>
    <x v="2"/>
    <s v="EE_Rural"/>
    <x v="7"/>
    <x v="5"/>
    <s v="GNR_WT_WIND_ONS"/>
    <x v="0"/>
    <x v="18"/>
    <n v="147.37725295591201"/>
    <n v="53792.697328907903"/>
    <n v="193653.71038406799"/>
  </r>
  <r>
    <x v="0"/>
    <x v="0"/>
    <x v="0"/>
    <x v="1"/>
    <x v="2"/>
    <s v="EE_Rural"/>
    <x v="7"/>
    <x v="5"/>
    <s v="GNR_WT_WIND_ONS"/>
    <x v="0"/>
    <x v="19"/>
    <n v="219.37577332198799"/>
    <n v="80072.157262525696"/>
    <n v="288259.76614509203"/>
  </r>
  <r>
    <x v="0"/>
    <x v="0"/>
    <x v="0"/>
    <x v="1"/>
    <x v="2"/>
    <s v="EE_Rural"/>
    <x v="7"/>
    <x v="5"/>
    <s v="GNR_WT_WIND_ONS"/>
    <x v="0"/>
    <x v="20"/>
    <n v="254.19195922671"/>
    <n v="92780.065117749298"/>
    <n v="334008.23442389799"/>
  </r>
  <r>
    <x v="0"/>
    <x v="0"/>
    <x v="0"/>
    <x v="1"/>
    <x v="2"/>
    <s v="EE_Rural"/>
    <x v="7"/>
    <x v="5"/>
    <s v="GNR_WT_WIND_ONS"/>
    <x v="0"/>
    <x v="21"/>
    <n v="274.13521134689103"/>
    <n v="100059.352141615"/>
    <n v="360213.66770981502"/>
  </r>
  <r>
    <x v="0"/>
    <x v="0"/>
    <x v="0"/>
    <x v="1"/>
    <x v="2"/>
    <s v="EE_Rural"/>
    <x v="7"/>
    <x v="5"/>
    <s v="GNR_WT_WIND_ONS"/>
    <x v="0"/>
    <x v="22"/>
    <n v="278.52948723777899"/>
    <n v="101663.26284178899"/>
    <n v="365987.74623044097"/>
  </r>
  <r>
    <x v="0"/>
    <x v="0"/>
    <x v="0"/>
    <x v="1"/>
    <x v="2"/>
    <s v="EE_Rural"/>
    <x v="7"/>
    <x v="5"/>
    <s v="GNR_WT_WIND_ONS"/>
    <x v="0"/>
    <x v="23"/>
    <n v="290.022208798561"/>
    <n v="105858.10621147499"/>
    <n v="381089.18236130901"/>
  </r>
  <r>
    <x v="0"/>
    <x v="0"/>
    <x v="0"/>
    <x v="1"/>
    <x v="2"/>
    <s v="EE_Rural"/>
    <x v="12"/>
    <x v="1"/>
    <s v="EBAVERE_ST_WOODWST_BP"/>
    <x v="0"/>
    <x v="3"/>
    <n v="10"/>
    <n v="3650"/>
    <n v="13140"/>
  </r>
  <r>
    <x v="0"/>
    <x v="0"/>
    <x v="0"/>
    <x v="1"/>
    <x v="2"/>
    <s v="EE_Rural"/>
    <x v="12"/>
    <x v="1"/>
    <s v="EBAVERE_ST_WOODWST_BP"/>
    <x v="0"/>
    <x v="4"/>
    <n v="10"/>
    <n v="3650"/>
    <n v="13140"/>
  </r>
  <r>
    <x v="0"/>
    <x v="0"/>
    <x v="0"/>
    <x v="1"/>
    <x v="2"/>
    <s v="EE_Rural"/>
    <x v="12"/>
    <x v="1"/>
    <s v="EBAVERE_ST_WOODWST_BP"/>
    <x v="0"/>
    <x v="5"/>
    <n v="10"/>
    <n v="3650"/>
    <n v="13140"/>
  </r>
  <r>
    <x v="0"/>
    <x v="0"/>
    <x v="0"/>
    <x v="1"/>
    <x v="2"/>
    <s v="EE_Rural"/>
    <x v="12"/>
    <x v="1"/>
    <s v="EBAVERE_ST_WOODWST_BP"/>
    <x v="0"/>
    <x v="6"/>
    <n v="10"/>
    <n v="3650"/>
    <n v="13140"/>
  </r>
  <r>
    <x v="0"/>
    <x v="0"/>
    <x v="0"/>
    <x v="1"/>
    <x v="2"/>
    <s v="EE_Rural"/>
    <x v="12"/>
    <x v="1"/>
    <s v="EBAVERE_ST_WOODWST_BP"/>
    <x v="0"/>
    <x v="7"/>
    <n v="10"/>
    <n v="3650"/>
    <n v="13140"/>
  </r>
  <r>
    <x v="0"/>
    <x v="0"/>
    <x v="0"/>
    <x v="1"/>
    <x v="2"/>
    <s v="EE_Rural"/>
    <x v="12"/>
    <x v="1"/>
    <s v="EBAVERE_ST_WOODWST_BP"/>
    <x v="0"/>
    <x v="8"/>
    <n v="10"/>
    <n v="3650"/>
    <n v="13140"/>
  </r>
  <r>
    <x v="0"/>
    <x v="0"/>
    <x v="0"/>
    <x v="1"/>
    <x v="2"/>
    <s v="EE_Rural"/>
    <x v="12"/>
    <x v="1"/>
    <s v="EBAVERE_ST_WOODWST_BP"/>
    <x v="0"/>
    <x v="0"/>
    <n v="10"/>
    <n v="3650"/>
    <n v="13140"/>
  </r>
  <r>
    <x v="0"/>
    <x v="0"/>
    <x v="0"/>
    <x v="1"/>
    <x v="2"/>
    <s v="EE_Rural"/>
    <x v="12"/>
    <x v="1"/>
    <s v="EBAVERE_ST_WOODWST_BP"/>
    <x v="0"/>
    <x v="1"/>
    <n v="10"/>
    <n v="3650"/>
    <n v="13140"/>
  </r>
  <r>
    <x v="0"/>
    <x v="0"/>
    <x v="0"/>
    <x v="1"/>
    <x v="2"/>
    <s v="EE_Rural"/>
    <x v="12"/>
    <x v="1"/>
    <s v="EBAVERE_ST_WOODWST_BP"/>
    <x v="0"/>
    <x v="2"/>
    <n v="10"/>
    <n v="3650"/>
    <n v="13140"/>
  </r>
  <r>
    <x v="0"/>
    <x v="0"/>
    <x v="0"/>
    <x v="1"/>
    <x v="2"/>
    <s v="EE_Rural"/>
    <x v="12"/>
    <x v="1"/>
    <s v="EBAVERE_ST_WOODWST_BP"/>
    <x v="0"/>
    <x v="9"/>
    <n v="10"/>
    <n v="3650"/>
    <n v="13140"/>
  </r>
  <r>
    <x v="0"/>
    <x v="0"/>
    <x v="0"/>
    <x v="1"/>
    <x v="2"/>
    <s v="EE_Rural"/>
    <x v="12"/>
    <x v="1"/>
    <s v="EBAVERE_ST_WOODWST_BP"/>
    <x v="0"/>
    <x v="10"/>
    <n v="10"/>
    <n v="3650"/>
    <n v="13140"/>
  </r>
  <r>
    <x v="0"/>
    <x v="0"/>
    <x v="0"/>
    <x v="1"/>
    <x v="2"/>
    <s v="EE_Rural"/>
    <x v="12"/>
    <x v="1"/>
    <s v="EBAVERE_ST_WOODWST_BP"/>
    <x v="0"/>
    <x v="11"/>
    <n v="10"/>
    <n v="3650"/>
    <n v="13140"/>
  </r>
  <r>
    <x v="0"/>
    <x v="0"/>
    <x v="0"/>
    <x v="1"/>
    <x v="2"/>
    <s v="EE_Rural"/>
    <x v="12"/>
    <x v="1"/>
    <s v="EBAVERE_ST_WOODWST_BP"/>
    <x v="0"/>
    <x v="12"/>
    <n v="10"/>
    <n v="3650"/>
    <n v="13140"/>
  </r>
  <r>
    <x v="0"/>
    <x v="0"/>
    <x v="0"/>
    <x v="1"/>
    <x v="2"/>
    <s v="EE_Rural"/>
    <x v="12"/>
    <x v="1"/>
    <s v="EBAVERE_ST_WOODWST_BP"/>
    <x v="0"/>
    <x v="13"/>
    <n v="10"/>
    <n v="3650"/>
    <n v="13140"/>
  </r>
  <r>
    <x v="0"/>
    <x v="0"/>
    <x v="0"/>
    <x v="1"/>
    <x v="2"/>
    <s v="EE_Rural"/>
    <x v="12"/>
    <x v="1"/>
    <s v="EBAVERE_ST_WOODWST_BP"/>
    <x v="0"/>
    <x v="14"/>
    <n v="10"/>
    <n v="3650"/>
    <n v="13140"/>
  </r>
  <r>
    <x v="0"/>
    <x v="0"/>
    <x v="0"/>
    <x v="1"/>
    <x v="2"/>
    <s v="EE_Rural"/>
    <x v="12"/>
    <x v="1"/>
    <s v="EBAVERE_ST_WOODWST_BP"/>
    <x v="0"/>
    <x v="15"/>
    <n v="10"/>
    <n v="3650"/>
    <n v="13140"/>
  </r>
  <r>
    <x v="0"/>
    <x v="0"/>
    <x v="0"/>
    <x v="1"/>
    <x v="2"/>
    <s v="EE_Rural"/>
    <x v="12"/>
    <x v="1"/>
    <s v="EBAVERE_ST_WOODWST_BP"/>
    <x v="0"/>
    <x v="16"/>
    <n v="10"/>
    <n v="3650"/>
    <n v="13140"/>
  </r>
  <r>
    <x v="0"/>
    <x v="0"/>
    <x v="0"/>
    <x v="1"/>
    <x v="2"/>
    <s v="EE_Rural"/>
    <x v="12"/>
    <x v="1"/>
    <s v="EBAVERE_ST_WOODWST_BP"/>
    <x v="0"/>
    <x v="17"/>
    <n v="10"/>
    <n v="3650"/>
    <n v="13140"/>
  </r>
  <r>
    <x v="0"/>
    <x v="0"/>
    <x v="0"/>
    <x v="1"/>
    <x v="2"/>
    <s v="EE_Rural"/>
    <x v="12"/>
    <x v="1"/>
    <s v="EBAVERE_ST_WOODWST_BP"/>
    <x v="0"/>
    <x v="18"/>
    <n v="10"/>
    <n v="3650"/>
    <n v="13140"/>
  </r>
  <r>
    <x v="0"/>
    <x v="0"/>
    <x v="0"/>
    <x v="1"/>
    <x v="2"/>
    <s v="EE_Rural"/>
    <x v="12"/>
    <x v="1"/>
    <s v="EBAVERE_ST_WOODWST_BP"/>
    <x v="0"/>
    <x v="19"/>
    <n v="10"/>
    <n v="3650"/>
    <n v="13140"/>
  </r>
  <r>
    <x v="0"/>
    <x v="0"/>
    <x v="0"/>
    <x v="1"/>
    <x v="2"/>
    <s v="EE_Rural"/>
    <x v="12"/>
    <x v="1"/>
    <s v="EBAVERE_ST_WOODWST_BP"/>
    <x v="0"/>
    <x v="20"/>
    <n v="10"/>
    <n v="3650"/>
    <n v="13140"/>
  </r>
  <r>
    <x v="0"/>
    <x v="0"/>
    <x v="0"/>
    <x v="1"/>
    <x v="2"/>
    <s v="EE_Rural"/>
    <x v="12"/>
    <x v="1"/>
    <s v="EBAVERE_ST_WOODWST_BP"/>
    <x v="0"/>
    <x v="21"/>
    <n v="10"/>
    <n v="3650"/>
    <n v="13140"/>
  </r>
  <r>
    <x v="0"/>
    <x v="0"/>
    <x v="0"/>
    <x v="1"/>
    <x v="2"/>
    <s v="EE_Rural"/>
    <x v="12"/>
    <x v="1"/>
    <s v="EBAVERE_ST_WOODWST_BP"/>
    <x v="0"/>
    <x v="22"/>
    <n v="10"/>
    <n v="3650"/>
    <n v="13140"/>
  </r>
  <r>
    <x v="0"/>
    <x v="0"/>
    <x v="0"/>
    <x v="1"/>
    <x v="2"/>
    <s v="EE_Rural"/>
    <x v="12"/>
    <x v="1"/>
    <s v="EBAVERE_ST_WOODWST_BP"/>
    <x v="0"/>
    <x v="23"/>
    <n v="10"/>
    <n v="3650"/>
    <n v="13140"/>
  </r>
  <r>
    <x v="0"/>
    <x v="0"/>
    <x v="0"/>
    <x v="1"/>
    <x v="2"/>
    <s v="EE_Sillamae"/>
    <x v="2"/>
    <x v="0"/>
    <s v="GNR_ENG_NGAS_EXT_E-44"/>
    <x v="0"/>
    <x v="3"/>
    <n v="10"/>
    <n v="3650"/>
    <n v="13140"/>
  </r>
  <r>
    <x v="0"/>
    <x v="0"/>
    <x v="0"/>
    <x v="1"/>
    <x v="2"/>
    <s v="EE_Sillamae"/>
    <x v="2"/>
    <x v="0"/>
    <s v="GNR_ENG_NGAS_EXT_E-44"/>
    <x v="0"/>
    <x v="4"/>
    <n v="10"/>
    <n v="3650"/>
    <n v="13140"/>
  </r>
  <r>
    <x v="0"/>
    <x v="0"/>
    <x v="0"/>
    <x v="1"/>
    <x v="2"/>
    <s v="EE_Sillamae"/>
    <x v="2"/>
    <x v="0"/>
    <s v="GNR_ENG_NGAS_EXT_E-44"/>
    <x v="0"/>
    <x v="5"/>
    <n v="10"/>
    <n v="3650"/>
    <n v="13140"/>
  </r>
  <r>
    <x v="0"/>
    <x v="0"/>
    <x v="0"/>
    <x v="1"/>
    <x v="2"/>
    <s v="EE_Sillamae"/>
    <x v="2"/>
    <x v="0"/>
    <s v="GNR_ENG_NGAS_EXT_E-44"/>
    <x v="0"/>
    <x v="6"/>
    <n v="10"/>
    <n v="3650"/>
    <n v="13140"/>
  </r>
  <r>
    <x v="0"/>
    <x v="0"/>
    <x v="0"/>
    <x v="1"/>
    <x v="2"/>
    <s v="EE_Sillamae"/>
    <x v="2"/>
    <x v="0"/>
    <s v="GNR_ENG_NGAS_EXT_E-44"/>
    <x v="0"/>
    <x v="7"/>
    <n v="10"/>
    <n v="3650"/>
    <n v="13140"/>
  </r>
  <r>
    <x v="0"/>
    <x v="0"/>
    <x v="0"/>
    <x v="1"/>
    <x v="2"/>
    <s v="EE_Sillamae"/>
    <x v="2"/>
    <x v="0"/>
    <s v="GNR_ENG_NGAS_EXT_E-44"/>
    <x v="0"/>
    <x v="8"/>
    <n v="10"/>
    <n v="3650"/>
    <n v="13140"/>
  </r>
  <r>
    <x v="0"/>
    <x v="0"/>
    <x v="0"/>
    <x v="1"/>
    <x v="2"/>
    <s v="EE_Sillamae"/>
    <x v="2"/>
    <x v="0"/>
    <s v="GNR_ENG_NGAS_EXT_E-44"/>
    <x v="0"/>
    <x v="0"/>
    <n v="10"/>
    <n v="3650"/>
    <n v="13140"/>
  </r>
  <r>
    <x v="0"/>
    <x v="0"/>
    <x v="0"/>
    <x v="1"/>
    <x v="2"/>
    <s v="EE_Sillamae"/>
    <x v="2"/>
    <x v="0"/>
    <s v="GNR_ENG_NGAS_EXT_E-44"/>
    <x v="0"/>
    <x v="1"/>
    <n v="10"/>
    <n v="3650"/>
    <n v="13140"/>
  </r>
  <r>
    <x v="0"/>
    <x v="0"/>
    <x v="0"/>
    <x v="1"/>
    <x v="2"/>
    <s v="EE_Sillamae"/>
    <x v="2"/>
    <x v="0"/>
    <s v="GNR_ENG_NGAS_EXT_E-44"/>
    <x v="0"/>
    <x v="2"/>
    <n v="10"/>
    <n v="3650"/>
    <n v="13140"/>
  </r>
  <r>
    <x v="0"/>
    <x v="0"/>
    <x v="0"/>
    <x v="1"/>
    <x v="2"/>
    <s v="EE_Sillamae"/>
    <x v="2"/>
    <x v="0"/>
    <s v="GNR_ENG_NGAS_EXT_E-44"/>
    <x v="0"/>
    <x v="9"/>
    <n v="10"/>
    <n v="3650"/>
    <n v="13140"/>
  </r>
  <r>
    <x v="0"/>
    <x v="0"/>
    <x v="0"/>
    <x v="1"/>
    <x v="2"/>
    <s v="EE_Sillamae"/>
    <x v="2"/>
    <x v="0"/>
    <s v="GNR_ENG_NGAS_EXT_E-44"/>
    <x v="0"/>
    <x v="10"/>
    <n v="10"/>
    <n v="3650"/>
    <n v="13140"/>
  </r>
  <r>
    <x v="0"/>
    <x v="0"/>
    <x v="0"/>
    <x v="1"/>
    <x v="2"/>
    <s v="EE_Sillamae"/>
    <x v="2"/>
    <x v="0"/>
    <s v="GNR_ENG_NGAS_EXT_E-44"/>
    <x v="0"/>
    <x v="11"/>
    <n v="10"/>
    <n v="3650"/>
    <n v="13140"/>
  </r>
  <r>
    <x v="0"/>
    <x v="0"/>
    <x v="0"/>
    <x v="1"/>
    <x v="2"/>
    <s v="EE_Sillamae"/>
    <x v="2"/>
    <x v="0"/>
    <s v="GNR_ENG_NGAS_EXT_E-44"/>
    <x v="0"/>
    <x v="12"/>
    <n v="10"/>
    <n v="3650"/>
    <n v="13140"/>
  </r>
  <r>
    <x v="0"/>
    <x v="0"/>
    <x v="0"/>
    <x v="1"/>
    <x v="2"/>
    <s v="EE_Sillamae"/>
    <x v="2"/>
    <x v="0"/>
    <s v="GNR_ENG_NGAS_EXT_E-44"/>
    <x v="0"/>
    <x v="13"/>
    <n v="10"/>
    <n v="3650"/>
    <n v="13140"/>
  </r>
  <r>
    <x v="0"/>
    <x v="0"/>
    <x v="0"/>
    <x v="1"/>
    <x v="2"/>
    <s v="EE_Sillamae"/>
    <x v="2"/>
    <x v="0"/>
    <s v="GNR_ENG_NGAS_EXT_E-44"/>
    <x v="0"/>
    <x v="14"/>
    <n v="10"/>
    <n v="3650"/>
    <n v="13140"/>
  </r>
  <r>
    <x v="0"/>
    <x v="0"/>
    <x v="0"/>
    <x v="1"/>
    <x v="2"/>
    <s v="EE_Sillamae"/>
    <x v="2"/>
    <x v="0"/>
    <s v="GNR_ENG_NGAS_EXT_E-44"/>
    <x v="0"/>
    <x v="15"/>
    <n v="10"/>
    <n v="3650"/>
    <n v="13140"/>
  </r>
  <r>
    <x v="0"/>
    <x v="0"/>
    <x v="0"/>
    <x v="1"/>
    <x v="2"/>
    <s v="EE_Sillamae"/>
    <x v="2"/>
    <x v="0"/>
    <s v="GNR_ENG_NGAS_EXT_E-44"/>
    <x v="0"/>
    <x v="16"/>
    <n v="10"/>
    <n v="3650"/>
    <n v="13140"/>
  </r>
  <r>
    <x v="0"/>
    <x v="0"/>
    <x v="0"/>
    <x v="1"/>
    <x v="2"/>
    <s v="EE_Sillamae"/>
    <x v="2"/>
    <x v="0"/>
    <s v="GNR_ENG_NGAS_EXT_E-44"/>
    <x v="0"/>
    <x v="17"/>
    <n v="10"/>
    <n v="3650"/>
    <n v="13140"/>
  </r>
  <r>
    <x v="0"/>
    <x v="0"/>
    <x v="0"/>
    <x v="1"/>
    <x v="2"/>
    <s v="EE_Sillamae"/>
    <x v="2"/>
    <x v="0"/>
    <s v="GNR_ENG_NGAS_EXT_E-44"/>
    <x v="0"/>
    <x v="18"/>
    <n v="10"/>
    <n v="3650"/>
    <n v="13140"/>
  </r>
  <r>
    <x v="0"/>
    <x v="0"/>
    <x v="0"/>
    <x v="1"/>
    <x v="2"/>
    <s v="EE_Sillamae"/>
    <x v="2"/>
    <x v="0"/>
    <s v="GNR_ENG_NGAS_EXT_E-44"/>
    <x v="0"/>
    <x v="19"/>
    <n v="10"/>
    <n v="3650"/>
    <n v="13140"/>
  </r>
  <r>
    <x v="0"/>
    <x v="0"/>
    <x v="0"/>
    <x v="1"/>
    <x v="2"/>
    <s v="EE_Sillamae"/>
    <x v="2"/>
    <x v="0"/>
    <s v="GNR_ENG_NGAS_EXT_E-44"/>
    <x v="0"/>
    <x v="20"/>
    <n v="10"/>
    <n v="3650"/>
    <n v="13140"/>
  </r>
  <r>
    <x v="0"/>
    <x v="0"/>
    <x v="0"/>
    <x v="1"/>
    <x v="2"/>
    <s v="EE_Sillamae"/>
    <x v="2"/>
    <x v="0"/>
    <s v="GNR_ENG_NGAS_EXT_E-44"/>
    <x v="0"/>
    <x v="21"/>
    <n v="10"/>
    <n v="3650"/>
    <n v="13140"/>
  </r>
  <r>
    <x v="0"/>
    <x v="0"/>
    <x v="0"/>
    <x v="1"/>
    <x v="2"/>
    <s v="EE_Sillamae"/>
    <x v="2"/>
    <x v="0"/>
    <s v="GNR_ENG_NGAS_EXT_E-44"/>
    <x v="0"/>
    <x v="22"/>
    <n v="10"/>
    <n v="3650"/>
    <n v="13140"/>
  </r>
  <r>
    <x v="0"/>
    <x v="0"/>
    <x v="0"/>
    <x v="1"/>
    <x v="2"/>
    <s v="EE_Sillamae"/>
    <x v="2"/>
    <x v="0"/>
    <s v="GNR_ENG_NGAS_EXT_E-44"/>
    <x v="0"/>
    <x v="23"/>
    <n v="10"/>
    <n v="3650"/>
    <n v="13140"/>
  </r>
  <r>
    <x v="0"/>
    <x v="0"/>
    <x v="0"/>
    <x v="1"/>
    <x v="2"/>
    <s v="EE_Tallinn"/>
    <x v="1"/>
    <x v="1"/>
    <s v="IRU_ST_MSW_BP"/>
    <x v="0"/>
    <x v="3"/>
    <n v="17"/>
    <n v="6205"/>
    <n v="22338"/>
  </r>
  <r>
    <x v="0"/>
    <x v="0"/>
    <x v="0"/>
    <x v="1"/>
    <x v="2"/>
    <s v="EE_Tallinn"/>
    <x v="1"/>
    <x v="1"/>
    <s v="IRU_ST_MSW_BP"/>
    <x v="0"/>
    <x v="4"/>
    <n v="17"/>
    <n v="6205"/>
    <n v="22338"/>
  </r>
  <r>
    <x v="0"/>
    <x v="0"/>
    <x v="0"/>
    <x v="1"/>
    <x v="2"/>
    <s v="EE_Tallinn"/>
    <x v="1"/>
    <x v="1"/>
    <s v="IRU_ST_MSW_BP"/>
    <x v="0"/>
    <x v="5"/>
    <n v="17"/>
    <n v="6205"/>
    <n v="22338"/>
  </r>
  <r>
    <x v="0"/>
    <x v="0"/>
    <x v="0"/>
    <x v="1"/>
    <x v="2"/>
    <s v="EE_Tallinn"/>
    <x v="1"/>
    <x v="1"/>
    <s v="IRU_ST_MSW_BP"/>
    <x v="0"/>
    <x v="6"/>
    <n v="17"/>
    <n v="6205"/>
    <n v="22338"/>
  </r>
  <r>
    <x v="0"/>
    <x v="0"/>
    <x v="0"/>
    <x v="1"/>
    <x v="2"/>
    <s v="EE_Tallinn"/>
    <x v="1"/>
    <x v="1"/>
    <s v="IRU_ST_MSW_BP"/>
    <x v="0"/>
    <x v="7"/>
    <n v="17"/>
    <n v="6205"/>
    <n v="22338"/>
  </r>
  <r>
    <x v="0"/>
    <x v="0"/>
    <x v="0"/>
    <x v="1"/>
    <x v="2"/>
    <s v="EE_Tallinn"/>
    <x v="1"/>
    <x v="1"/>
    <s v="IRU_ST_MSW_BP"/>
    <x v="0"/>
    <x v="8"/>
    <n v="17"/>
    <n v="6205"/>
    <n v="22338"/>
  </r>
  <r>
    <x v="0"/>
    <x v="0"/>
    <x v="0"/>
    <x v="1"/>
    <x v="2"/>
    <s v="EE_Tallinn"/>
    <x v="1"/>
    <x v="1"/>
    <s v="IRU_ST_MSW_BP"/>
    <x v="0"/>
    <x v="0"/>
    <n v="17"/>
    <n v="6205"/>
    <n v="22338"/>
  </r>
  <r>
    <x v="0"/>
    <x v="0"/>
    <x v="0"/>
    <x v="1"/>
    <x v="2"/>
    <s v="EE_Tallinn"/>
    <x v="1"/>
    <x v="1"/>
    <s v="IRU_ST_MSW_BP"/>
    <x v="0"/>
    <x v="1"/>
    <n v="17"/>
    <n v="6205"/>
    <n v="22338"/>
  </r>
  <r>
    <x v="0"/>
    <x v="0"/>
    <x v="0"/>
    <x v="1"/>
    <x v="2"/>
    <s v="EE_Tallinn"/>
    <x v="1"/>
    <x v="1"/>
    <s v="IRU_ST_MSW_BP"/>
    <x v="0"/>
    <x v="2"/>
    <n v="17"/>
    <n v="6205"/>
    <n v="22338"/>
  </r>
  <r>
    <x v="0"/>
    <x v="0"/>
    <x v="0"/>
    <x v="1"/>
    <x v="2"/>
    <s v="EE_Tallinn"/>
    <x v="1"/>
    <x v="1"/>
    <s v="IRU_ST_MSW_BP"/>
    <x v="0"/>
    <x v="9"/>
    <n v="17"/>
    <n v="6205"/>
    <n v="22338"/>
  </r>
  <r>
    <x v="0"/>
    <x v="0"/>
    <x v="0"/>
    <x v="1"/>
    <x v="2"/>
    <s v="EE_Tallinn"/>
    <x v="1"/>
    <x v="1"/>
    <s v="IRU_ST_MSW_BP"/>
    <x v="0"/>
    <x v="10"/>
    <n v="17"/>
    <n v="6205"/>
    <n v="22338"/>
  </r>
  <r>
    <x v="0"/>
    <x v="0"/>
    <x v="0"/>
    <x v="1"/>
    <x v="2"/>
    <s v="EE_Tallinn"/>
    <x v="1"/>
    <x v="1"/>
    <s v="IRU_ST_MSW_BP"/>
    <x v="0"/>
    <x v="11"/>
    <n v="17"/>
    <n v="6205"/>
    <n v="22338"/>
  </r>
  <r>
    <x v="0"/>
    <x v="0"/>
    <x v="0"/>
    <x v="1"/>
    <x v="2"/>
    <s v="EE_Tallinn"/>
    <x v="1"/>
    <x v="1"/>
    <s v="IRU_ST_MSW_BP"/>
    <x v="0"/>
    <x v="12"/>
    <n v="17"/>
    <n v="6205"/>
    <n v="22338"/>
  </r>
  <r>
    <x v="0"/>
    <x v="0"/>
    <x v="0"/>
    <x v="1"/>
    <x v="2"/>
    <s v="EE_Tallinn"/>
    <x v="1"/>
    <x v="1"/>
    <s v="IRU_ST_MSW_BP"/>
    <x v="0"/>
    <x v="13"/>
    <n v="17"/>
    <n v="6205"/>
    <n v="22338"/>
  </r>
  <r>
    <x v="0"/>
    <x v="0"/>
    <x v="0"/>
    <x v="1"/>
    <x v="2"/>
    <s v="EE_Tallinn"/>
    <x v="1"/>
    <x v="1"/>
    <s v="IRU_ST_MSW_BP"/>
    <x v="0"/>
    <x v="14"/>
    <n v="17"/>
    <n v="6205"/>
    <n v="22338"/>
  </r>
  <r>
    <x v="0"/>
    <x v="0"/>
    <x v="0"/>
    <x v="1"/>
    <x v="2"/>
    <s v="EE_Tallinn"/>
    <x v="1"/>
    <x v="1"/>
    <s v="IRU_ST_MSW_BP"/>
    <x v="0"/>
    <x v="15"/>
    <n v="17"/>
    <n v="6205"/>
    <n v="22338"/>
  </r>
  <r>
    <x v="0"/>
    <x v="0"/>
    <x v="0"/>
    <x v="1"/>
    <x v="2"/>
    <s v="EE_Tallinn"/>
    <x v="1"/>
    <x v="1"/>
    <s v="IRU_ST_MSW_BP"/>
    <x v="0"/>
    <x v="16"/>
    <n v="17"/>
    <n v="6205"/>
    <n v="22338"/>
  </r>
  <r>
    <x v="0"/>
    <x v="0"/>
    <x v="0"/>
    <x v="1"/>
    <x v="2"/>
    <s v="EE_Tallinn"/>
    <x v="1"/>
    <x v="1"/>
    <s v="IRU_ST_MSW_BP"/>
    <x v="0"/>
    <x v="17"/>
    <n v="17"/>
    <n v="6205"/>
    <n v="22338"/>
  </r>
  <r>
    <x v="0"/>
    <x v="0"/>
    <x v="0"/>
    <x v="1"/>
    <x v="2"/>
    <s v="EE_Tallinn"/>
    <x v="1"/>
    <x v="1"/>
    <s v="IRU_ST_MSW_BP"/>
    <x v="0"/>
    <x v="18"/>
    <n v="17"/>
    <n v="6205"/>
    <n v="22338"/>
  </r>
  <r>
    <x v="0"/>
    <x v="0"/>
    <x v="0"/>
    <x v="1"/>
    <x v="2"/>
    <s v="EE_Tallinn"/>
    <x v="1"/>
    <x v="1"/>
    <s v="IRU_ST_MSW_BP"/>
    <x v="0"/>
    <x v="19"/>
    <n v="17"/>
    <n v="6205"/>
    <n v="22338"/>
  </r>
  <r>
    <x v="0"/>
    <x v="0"/>
    <x v="0"/>
    <x v="1"/>
    <x v="2"/>
    <s v="EE_Tallinn"/>
    <x v="1"/>
    <x v="1"/>
    <s v="IRU_ST_MSW_BP"/>
    <x v="0"/>
    <x v="20"/>
    <n v="17"/>
    <n v="6205"/>
    <n v="22338"/>
  </r>
  <r>
    <x v="0"/>
    <x v="0"/>
    <x v="0"/>
    <x v="1"/>
    <x v="2"/>
    <s v="EE_Tallinn"/>
    <x v="1"/>
    <x v="1"/>
    <s v="IRU_ST_MSW_BP"/>
    <x v="0"/>
    <x v="21"/>
    <n v="17"/>
    <n v="6205"/>
    <n v="22338"/>
  </r>
  <r>
    <x v="0"/>
    <x v="0"/>
    <x v="0"/>
    <x v="1"/>
    <x v="2"/>
    <s v="EE_Tallinn"/>
    <x v="1"/>
    <x v="1"/>
    <s v="IRU_ST_MSW_BP"/>
    <x v="0"/>
    <x v="22"/>
    <n v="17"/>
    <n v="6205"/>
    <n v="22338"/>
  </r>
  <r>
    <x v="0"/>
    <x v="0"/>
    <x v="0"/>
    <x v="1"/>
    <x v="2"/>
    <s v="EE_Tallinn"/>
    <x v="1"/>
    <x v="1"/>
    <s v="IRU_ST_MSW_BP"/>
    <x v="0"/>
    <x v="23"/>
    <n v="17"/>
    <n v="6205"/>
    <n v="22338"/>
  </r>
  <r>
    <x v="0"/>
    <x v="0"/>
    <x v="0"/>
    <x v="1"/>
    <x v="2"/>
    <s v="EE_Tallinn"/>
    <x v="2"/>
    <x v="0"/>
    <s v="GNR_ENG_NGAS_EXT_E-44"/>
    <x v="0"/>
    <x v="3"/>
    <n v="1.5"/>
    <n v="547.5"/>
    <n v="1971"/>
  </r>
  <r>
    <x v="0"/>
    <x v="0"/>
    <x v="0"/>
    <x v="1"/>
    <x v="2"/>
    <s v="EE_Tallinn"/>
    <x v="2"/>
    <x v="0"/>
    <s v="GNR_ENG_NGAS_EXT_E-44"/>
    <x v="0"/>
    <x v="4"/>
    <n v="1.5"/>
    <n v="547.5"/>
    <n v="1971"/>
  </r>
  <r>
    <x v="0"/>
    <x v="0"/>
    <x v="0"/>
    <x v="1"/>
    <x v="2"/>
    <s v="EE_Tallinn"/>
    <x v="2"/>
    <x v="0"/>
    <s v="GNR_ENG_NGAS_EXT_E-44"/>
    <x v="0"/>
    <x v="5"/>
    <n v="1.5"/>
    <n v="547.5"/>
    <n v="1971"/>
  </r>
  <r>
    <x v="0"/>
    <x v="0"/>
    <x v="0"/>
    <x v="1"/>
    <x v="2"/>
    <s v="EE_Tallinn"/>
    <x v="2"/>
    <x v="0"/>
    <s v="GNR_ENG_NGAS_EXT_E-44"/>
    <x v="0"/>
    <x v="6"/>
    <n v="1.5"/>
    <n v="547.5"/>
    <n v="1971"/>
  </r>
  <r>
    <x v="0"/>
    <x v="0"/>
    <x v="0"/>
    <x v="1"/>
    <x v="2"/>
    <s v="EE_Tallinn"/>
    <x v="2"/>
    <x v="0"/>
    <s v="GNR_ENG_NGAS_EXT_E-44"/>
    <x v="0"/>
    <x v="7"/>
    <n v="1.5"/>
    <n v="547.5"/>
    <n v="1971"/>
  </r>
  <r>
    <x v="0"/>
    <x v="0"/>
    <x v="0"/>
    <x v="1"/>
    <x v="2"/>
    <s v="EE_Tallinn"/>
    <x v="2"/>
    <x v="0"/>
    <s v="GNR_ENG_NGAS_EXT_E-44"/>
    <x v="0"/>
    <x v="8"/>
    <n v="1.5"/>
    <n v="547.5"/>
    <n v="1971"/>
  </r>
  <r>
    <x v="0"/>
    <x v="0"/>
    <x v="0"/>
    <x v="1"/>
    <x v="2"/>
    <s v="EE_Tallinn"/>
    <x v="2"/>
    <x v="0"/>
    <s v="GNR_ENG_NGAS_EXT_E-44"/>
    <x v="0"/>
    <x v="0"/>
    <n v="1.5"/>
    <n v="547.5"/>
    <n v="1971"/>
  </r>
  <r>
    <x v="0"/>
    <x v="0"/>
    <x v="0"/>
    <x v="1"/>
    <x v="2"/>
    <s v="EE_Tallinn"/>
    <x v="2"/>
    <x v="0"/>
    <s v="GNR_ENG_NGAS_EXT_E-44"/>
    <x v="0"/>
    <x v="1"/>
    <n v="1.5"/>
    <n v="547.5"/>
    <n v="1971"/>
  </r>
  <r>
    <x v="0"/>
    <x v="0"/>
    <x v="0"/>
    <x v="1"/>
    <x v="2"/>
    <s v="EE_Tallinn"/>
    <x v="2"/>
    <x v="0"/>
    <s v="GNR_ENG_NGAS_EXT_E-44"/>
    <x v="0"/>
    <x v="2"/>
    <n v="1.5"/>
    <n v="547.5"/>
    <n v="1971"/>
  </r>
  <r>
    <x v="0"/>
    <x v="0"/>
    <x v="0"/>
    <x v="1"/>
    <x v="2"/>
    <s v="EE_Tallinn"/>
    <x v="2"/>
    <x v="0"/>
    <s v="GNR_ENG_NGAS_EXT_E-44"/>
    <x v="0"/>
    <x v="9"/>
    <n v="1.5"/>
    <n v="547.5"/>
    <n v="1971"/>
  </r>
  <r>
    <x v="0"/>
    <x v="0"/>
    <x v="0"/>
    <x v="1"/>
    <x v="2"/>
    <s v="EE_Tallinn"/>
    <x v="2"/>
    <x v="0"/>
    <s v="GNR_ENG_NGAS_EXT_E-44"/>
    <x v="0"/>
    <x v="10"/>
    <n v="1.5"/>
    <n v="547.5"/>
    <n v="1971"/>
  </r>
  <r>
    <x v="0"/>
    <x v="0"/>
    <x v="0"/>
    <x v="1"/>
    <x v="2"/>
    <s v="EE_Tallinn"/>
    <x v="2"/>
    <x v="0"/>
    <s v="GNR_ENG_NGAS_EXT_E-44"/>
    <x v="0"/>
    <x v="11"/>
    <n v="1.5"/>
    <n v="547.5"/>
    <n v="1971"/>
  </r>
  <r>
    <x v="0"/>
    <x v="0"/>
    <x v="0"/>
    <x v="1"/>
    <x v="2"/>
    <s v="EE_Tallinn"/>
    <x v="2"/>
    <x v="0"/>
    <s v="GNR_ENG_NGAS_EXT_E-44"/>
    <x v="0"/>
    <x v="12"/>
    <n v="1.5"/>
    <n v="547.5"/>
    <n v="1971"/>
  </r>
  <r>
    <x v="0"/>
    <x v="0"/>
    <x v="0"/>
    <x v="1"/>
    <x v="2"/>
    <s v="EE_Tallinn"/>
    <x v="2"/>
    <x v="0"/>
    <s v="GNR_ENG_NGAS_EXT_E-44"/>
    <x v="0"/>
    <x v="13"/>
    <n v="1.5"/>
    <n v="547.5"/>
    <n v="1971"/>
  </r>
  <r>
    <x v="0"/>
    <x v="0"/>
    <x v="0"/>
    <x v="1"/>
    <x v="2"/>
    <s v="EE_Tallinn"/>
    <x v="2"/>
    <x v="0"/>
    <s v="GNR_ENG_NGAS_EXT_E-44"/>
    <x v="0"/>
    <x v="14"/>
    <n v="1.5"/>
    <n v="547.5"/>
    <n v="1971"/>
  </r>
  <r>
    <x v="0"/>
    <x v="0"/>
    <x v="0"/>
    <x v="1"/>
    <x v="2"/>
    <s v="EE_Tallinn"/>
    <x v="2"/>
    <x v="0"/>
    <s v="GNR_ENG_NGAS_EXT_E-44"/>
    <x v="0"/>
    <x v="15"/>
    <n v="1.5"/>
    <n v="547.5"/>
    <n v="1971"/>
  </r>
  <r>
    <x v="0"/>
    <x v="0"/>
    <x v="0"/>
    <x v="1"/>
    <x v="2"/>
    <s v="EE_Tallinn"/>
    <x v="2"/>
    <x v="0"/>
    <s v="GNR_ENG_NGAS_EXT_E-44"/>
    <x v="0"/>
    <x v="16"/>
    <n v="1.5"/>
    <n v="547.5"/>
    <n v="1971"/>
  </r>
  <r>
    <x v="0"/>
    <x v="0"/>
    <x v="0"/>
    <x v="1"/>
    <x v="2"/>
    <s v="EE_Tallinn"/>
    <x v="2"/>
    <x v="0"/>
    <s v="GNR_ENG_NGAS_EXT_E-44"/>
    <x v="0"/>
    <x v="17"/>
    <n v="1.5"/>
    <n v="547.5"/>
    <n v="1971"/>
  </r>
  <r>
    <x v="0"/>
    <x v="0"/>
    <x v="0"/>
    <x v="1"/>
    <x v="2"/>
    <s v="EE_Tallinn"/>
    <x v="2"/>
    <x v="0"/>
    <s v="GNR_ENG_NGAS_EXT_E-44"/>
    <x v="0"/>
    <x v="18"/>
    <n v="1.5"/>
    <n v="547.5"/>
    <n v="1971"/>
  </r>
  <r>
    <x v="0"/>
    <x v="0"/>
    <x v="0"/>
    <x v="1"/>
    <x v="2"/>
    <s v="EE_Tallinn"/>
    <x v="2"/>
    <x v="0"/>
    <s v="GNR_ENG_NGAS_EXT_E-44"/>
    <x v="0"/>
    <x v="19"/>
    <n v="1.5"/>
    <n v="547.5"/>
    <n v="1971"/>
  </r>
  <r>
    <x v="0"/>
    <x v="0"/>
    <x v="0"/>
    <x v="1"/>
    <x v="2"/>
    <s v="EE_Tallinn"/>
    <x v="2"/>
    <x v="0"/>
    <s v="GNR_ENG_NGAS_EXT_E-44"/>
    <x v="0"/>
    <x v="20"/>
    <n v="1.5"/>
    <n v="547.5"/>
    <n v="1971"/>
  </r>
  <r>
    <x v="0"/>
    <x v="0"/>
    <x v="0"/>
    <x v="1"/>
    <x v="2"/>
    <s v="EE_Tallinn"/>
    <x v="2"/>
    <x v="0"/>
    <s v="GNR_ENG_NGAS_EXT_E-44"/>
    <x v="0"/>
    <x v="21"/>
    <n v="1.5"/>
    <n v="547.5"/>
    <n v="1971"/>
  </r>
  <r>
    <x v="0"/>
    <x v="0"/>
    <x v="0"/>
    <x v="1"/>
    <x v="2"/>
    <s v="EE_Tallinn"/>
    <x v="2"/>
    <x v="0"/>
    <s v="GNR_ENG_NGAS_EXT_E-44"/>
    <x v="0"/>
    <x v="22"/>
    <n v="1.5"/>
    <n v="547.5"/>
    <n v="1971"/>
  </r>
  <r>
    <x v="0"/>
    <x v="0"/>
    <x v="0"/>
    <x v="1"/>
    <x v="2"/>
    <s v="EE_Tallinn"/>
    <x v="2"/>
    <x v="0"/>
    <s v="GNR_ENG_NGAS_EXT_E-44"/>
    <x v="0"/>
    <x v="23"/>
    <n v="1.5"/>
    <n v="547.5"/>
    <n v="1971"/>
  </r>
  <r>
    <x v="0"/>
    <x v="0"/>
    <x v="0"/>
    <x v="1"/>
    <x v="2"/>
    <s v="EE_Tallinn"/>
    <x v="2"/>
    <x v="1"/>
    <s v="IRU_ST_NGAS_BP"/>
    <x v="0"/>
    <x v="3"/>
    <n v="6.3037880529310302"/>
    <n v="2300.8826393198301"/>
    <n v="8283.1775015513704"/>
  </r>
  <r>
    <x v="0"/>
    <x v="0"/>
    <x v="0"/>
    <x v="1"/>
    <x v="2"/>
    <s v="EE_Tallinn"/>
    <x v="2"/>
    <x v="1"/>
    <s v="IRU_ST_NGAS_BP"/>
    <x v="0"/>
    <x v="4"/>
    <n v="94"/>
    <n v="34310"/>
    <n v="123516"/>
  </r>
  <r>
    <x v="0"/>
    <x v="0"/>
    <x v="0"/>
    <x v="1"/>
    <x v="2"/>
    <s v="EE_Tallinn"/>
    <x v="2"/>
    <x v="1"/>
    <s v="IRU_ST_NGAS_BP"/>
    <x v="0"/>
    <x v="5"/>
    <n v="57.034534105597302"/>
    <n v="20817.604948543001"/>
    <n v="74943.377814754902"/>
  </r>
  <r>
    <x v="0"/>
    <x v="0"/>
    <x v="0"/>
    <x v="1"/>
    <x v="2"/>
    <s v="EE_Tallinn"/>
    <x v="2"/>
    <x v="1"/>
    <s v="IRU_ST_NGAS_BP"/>
    <x v="0"/>
    <x v="6"/>
    <n v="42.6516908452057"/>
    <n v="15567.867158500099"/>
    <n v="56044.321770600298"/>
  </r>
  <r>
    <x v="0"/>
    <x v="0"/>
    <x v="0"/>
    <x v="1"/>
    <x v="2"/>
    <s v="EE_Tallinn"/>
    <x v="2"/>
    <x v="1"/>
    <s v="IRU_ST_NGAS_BP"/>
    <x v="0"/>
    <x v="7"/>
    <n v="94"/>
    <n v="34310"/>
    <n v="123516"/>
  </r>
  <r>
    <x v="0"/>
    <x v="0"/>
    <x v="0"/>
    <x v="1"/>
    <x v="2"/>
    <s v="EE_Tallinn"/>
    <x v="2"/>
    <x v="1"/>
    <s v="IRU_ST_NGAS_BP"/>
    <x v="0"/>
    <x v="8"/>
    <n v="94"/>
    <n v="34310"/>
    <n v="123516"/>
  </r>
  <r>
    <x v="0"/>
    <x v="0"/>
    <x v="0"/>
    <x v="1"/>
    <x v="2"/>
    <s v="EE_Tallinn"/>
    <x v="2"/>
    <x v="1"/>
    <s v="IRU_ST_NGAS_BP"/>
    <x v="0"/>
    <x v="0"/>
    <n v="94"/>
    <n v="34310"/>
    <n v="123516"/>
  </r>
  <r>
    <x v="0"/>
    <x v="0"/>
    <x v="0"/>
    <x v="1"/>
    <x v="2"/>
    <s v="EE_Tallinn"/>
    <x v="2"/>
    <x v="1"/>
    <s v="IRU_ST_NGAS_BP"/>
    <x v="0"/>
    <x v="1"/>
    <n v="94"/>
    <n v="34310"/>
    <n v="123516"/>
  </r>
  <r>
    <x v="0"/>
    <x v="0"/>
    <x v="0"/>
    <x v="1"/>
    <x v="2"/>
    <s v="EE_Tallinn"/>
    <x v="2"/>
    <x v="1"/>
    <s v="IRU_ST_NGAS_BP"/>
    <x v="0"/>
    <x v="2"/>
    <n v="94"/>
    <n v="34310"/>
    <n v="123516"/>
  </r>
  <r>
    <x v="0"/>
    <x v="0"/>
    <x v="0"/>
    <x v="1"/>
    <x v="2"/>
    <s v="EE_Tallinn"/>
    <x v="2"/>
    <x v="1"/>
    <s v="IRU_ST_NGAS_BP"/>
    <x v="0"/>
    <x v="9"/>
    <n v="94"/>
    <n v="34310"/>
    <n v="123516"/>
  </r>
  <r>
    <x v="0"/>
    <x v="0"/>
    <x v="0"/>
    <x v="1"/>
    <x v="2"/>
    <s v="EE_Tallinn"/>
    <x v="2"/>
    <x v="1"/>
    <s v="IRU_ST_NGAS_BP"/>
    <x v="0"/>
    <x v="10"/>
    <n v="94"/>
    <n v="34310"/>
    <n v="123516"/>
  </r>
  <r>
    <x v="0"/>
    <x v="0"/>
    <x v="0"/>
    <x v="1"/>
    <x v="2"/>
    <s v="EE_Tallinn"/>
    <x v="2"/>
    <x v="1"/>
    <s v="IRU_ST_NGAS_BP"/>
    <x v="0"/>
    <x v="11"/>
    <n v="94"/>
    <n v="34310"/>
    <n v="123516"/>
  </r>
  <r>
    <x v="0"/>
    <x v="0"/>
    <x v="0"/>
    <x v="1"/>
    <x v="2"/>
    <s v="EE_Tallinn"/>
    <x v="2"/>
    <x v="1"/>
    <s v="IRU_ST_NGAS_BP"/>
    <x v="0"/>
    <x v="12"/>
    <n v="94"/>
    <n v="34310"/>
    <n v="123516"/>
  </r>
  <r>
    <x v="0"/>
    <x v="0"/>
    <x v="0"/>
    <x v="1"/>
    <x v="2"/>
    <s v="EE_Tallinn"/>
    <x v="2"/>
    <x v="1"/>
    <s v="IRU_ST_NGAS_BP"/>
    <x v="0"/>
    <x v="13"/>
    <n v="94"/>
    <n v="34310"/>
    <n v="123516"/>
  </r>
  <r>
    <x v="0"/>
    <x v="0"/>
    <x v="0"/>
    <x v="1"/>
    <x v="2"/>
    <s v="EE_Tallinn"/>
    <x v="2"/>
    <x v="1"/>
    <s v="IRU_ST_NGAS_BP"/>
    <x v="0"/>
    <x v="14"/>
    <n v="94"/>
    <n v="34310"/>
    <n v="123516"/>
  </r>
  <r>
    <x v="0"/>
    <x v="0"/>
    <x v="0"/>
    <x v="1"/>
    <x v="2"/>
    <s v="EE_Tallinn"/>
    <x v="2"/>
    <x v="1"/>
    <s v="IRU_ST_NGAS_BP"/>
    <x v="0"/>
    <x v="15"/>
    <n v="94"/>
    <n v="34310"/>
    <n v="123516"/>
  </r>
  <r>
    <x v="0"/>
    <x v="0"/>
    <x v="0"/>
    <x v="1"/>
    <x v="2"/>
    <s v="EE_Tallinn"/>
    <x v="2"/>
    <x v="1"/>
    <s v="IRU_ST_NGAS_BP"/>
    <x v="0"/>
    <x v="16"/>
    <n v="94"/>
    <n v="34310"/>
    <n v="123516"/>
  </r>
  <r>
    <x v="0"/>
    <x v="0"/>
    <x v="0"/>
    <x v="1"/>
    <x v="2"/>
    <s v="EE_Tallinn"/>
    <x v="2"/>
    <x v="1"/>
    <s v="IRU_ST_NGAS_BP"/>
    <x v="0"/>
    <x v="17"/>
    <n v="94"/>
    <n v="34310"/>
    <n v="123516"/>
  </r>
  <r>
    <x v="0"/>
    <x v="0"/>
    <x v="0"/>
    <x v="1"/>
    <x v="2"/>
    <s v="EE_Tallinn"/>
    <x v="2"/>
    <x v="1"/>
    <s v="IRU_ST_NGAS_BP"/>
    <x v="0"/>
    <x v="18"/>
    <n v="94"/>
    <n v="34310"/>
    <n v="123516"/>
  </r>
  <r>
    <x v="0"/>
    <x v="0"/>
    <x v="0"/>
    <x v="1"/>
    <x v="2"/>
    <s v="EE_Tallinn"/>
    <x v="2"/>
    <x v="1"/>
    <s v="IRU_ST_NGAS_BP"/>
    <x v="0"/>
    <x v="19"/>
    <n v="94"/>
    <n v="34310"/>
    <n v="123516"/>
  </r>
  <r>
    <x v="0"/>
    <x v="0"/>
    <x v="0"/>
    <x v="1"/>
    <x v="2"/>
    <s v="EE_Tallinn"/>
    <x v="2"/>
    <x v="1"/>
    <s v="IRU_ST_NGAS_BP"/>
    <x v="0"/>
    <x v="20"/>
    <n v="62.382335670745697"/>
    <n v="22769.552519822199"/>
    <n v="81970.389071359896"/>
  </r>
  <r>
    <x v="0"/>
    <x v="0"/>
    <x v="0"/>
    <x v="1"/>
    <x v="2"/>
    <s v="EE_Tallinn"/>
    <x v="2"/>
    <x v="1"/>
    <s v="IRU_ST_NGAS_BP"/>
    <x v="0"/>
    <x v="21"/>
    <n v="61.290497559714296"/>
    <n v="22371.0316092957"/>
    <n v="80535.713793464602"/>
  </r>
  <r>
    <x v="0"/>
    <x v="0"/>
    <x v="0"/>
    <x v="1"/>
    <x v="2"/>
    <s v="EE_Tallinn"/>
    <x v="11"/>
    <x v="1"/>
    <s v="MUSTAMAE_ST_WOOD_BP"/>
    <x v="0"/>
    <x v="0"/>
    <n v="3.6168033057267599"/>
    <n v="1320.13320659027"/>
    <n v="4752.4795437249604"/>
  </r>
  <r>
    <x v="0"/>
    <x v="0"/>
    <x v="0"/>
    <x v="1"/>
    <x v="2"/>
    <s v="EE_Tallinn"/>
    <x v="11"/>
    <x v="1"/>
    <s v="MUSTAMAE_ST_WOOD_BP"/>
    <x v="0"/>
    <x v="1"/>
    <n v="10"/>
    <n v="3650"/>
    <n v="13140"/>
  </r>
  <r>
    <x v="0"/>
    <x v="0"/>
    <x v="0"/>
    <x v="1"/>
    <x v="2"/>
    <s v="EE_Tallinn"/>
    <x v="11"/>
    <x v="1"/>
    <s v="MUSTAMAE_ST_WOOD_BP"/>
    <x v="0"/>
    <x v="2"/>
    <n v="10"/>
    <n v="3650"/>
    <n v="13140"/>
  </r>
  <r>
    <x v="0"/>
    <x v="0"/>
    <x v="0"/>
    <x v="1"/>
    <x v="2"/>
    <s v="EE_Tallinn"/>
    <x v="11"/>
    <x v="1"/>
    <s v="MUSTAMAE_ST_WOOD_BP"/>
    <x v="0"/>
    <x v="9"/>
    <n v="10"/>
    <n v="3650"/>
    <n v="13140"/>
  </r>
  <r>
    <x v="0"/>
    <x v="0"/>
    <x v="0"/>
    <x v="1"/>
    <x v="2"/>
    <s v="EE_Tallinn"/>
    <x v="11"/>
    <x v="1"/>
    <s v="MUSTAMAE_ST_WOOD_BP"/>
    <x v="0"/>
    <x v="10"/>
    <n v="10"/>
    <n v="3650"/>
    <n v="13140"/>
  </r>
  <r>
    <x v="0"/>
    <x v="0"/>
    <x v="0"/>
    <x v="1"/>
    <x v="2"/>
    <s v="EE_Tallinn"/>
    <x v="11"/>
    <x v="1"/>
    <s v="MUSTAMAE_ST_WOOD_BP"/>
    <x v="0"/>
    <x v="11"/>
    <n v="10"/>
    <n v="3650"/>
    <n v="13140"/>
  </r>
  <r>
    <x v="0"/>
    <x v="0"/>
    <x v="0"/>
    <x v="1"/>
    <x v="2"/>
    <s v="EE_Tallinn"/>
    <x v="11"/>
    <x v="1"/>
    <s v="MUSTAMAE_ST_WOOD_BP"/>
    <x v="0"/>
    <x v="12"/>
    <n v="10"/>
    <n v="3650"/>
    <n v="13140"/>
  </r>
  <r>
    <x v="0"/>
    <x v="0"/>
    <x v="0"/>
    <x v="1"/>
    <x v="2"/>
    <s v="EE_Tallinn"/>
    <x v="11"/>
    <x v="1"/>
    <s v="MUSTAMAE_ST_WOOD_BP"/>
    <x v="0"/>
    <x v="14"/>
    <n v="10"/>
    <n v="3650"/>
    <n v="13140"/>
  </r>
  <r>
    <x v="0"/>
    <x v="0"/>
    <x v="0"/>
    <x v="1"/>
    <x v="2"/>
    <s v="EE_Tallinn"/>
    <x v="11"/>
    <x v="1"/>
    <s v="MUSTAMAE_ST_WOOD_BP"/>
    <x v="0"/>
    <x v="15"/>
    <n v="10"/>
    <n v="3650"/>
    <n v="13140"/>
  </r>
  <r>
    <x v="0"/>
    <x v="0"/>
    <x v="0"/>
    <x v="1"/>
    <x v="2"/>
    <s v="EE_Tallinn"/>
    <x v="11"/>
    <x v="1"/>
    <s v="MUSTAMAE_ST_WOOD_BP"/>
    <x v="0"/>
    <x v="16"/>
    <n v="10"/>
    <n v="3650"/>
    <n v="13140"/>
  </r>
  <r>
    <x v="0"/>
    <x v="0"/>
    <x v="0"/>
    <x v="1"/>
    <x v="2"/>
    <s v="EE_Tallinn"/>
    <x v="11"/>
    <x v="1"/>
    <s v="MUSTAMAE_ST_WOOD_BP"/>
    <x v="0"/>
    <x v="17"/>
    <n v="10"/>
    <n v="3650"/>
    <n v="13140"/>
  </r>
  <r>
    <x v="0"/>
    <x v="0"/>
    <x v="0"/>
    <x v="1"/>
    <x v="2"/>
    <s v="EE_Tallinn"/>
    <x v="11"/>
    <x v="1"/>
    <s v="VAO-1_ST_WOOD_BP"/>
    <x v="0"/>
    <x v="3"/>
    <n v="25"/>
    <n v="9125"/>
    <n v="32850"/>
  </r>
  <r>
    <x v="0"/>
    <x v="0"/>
    <x v="0"/>
    <x v="1"/>
    <x v="2"/>
    <s v="EE_Tallinn"/>
    <x v="11"/>
    <x v="1"/>
    <s v="VAO-1_ST_WOOD_BP"/>
    <x v="0"/>
    <x v="4"/>
    <n v="25"/>
    <n v="9125"/>
    <n v="32850"/>
  </r>
  <r>
    <x v="0"/>
    <x v="0"/>
    <x v="0"/>
    <x v="1"/>
    <x v="2"/>
    <s v="EE_Tallinn"/>
    <x v="11"/>
    <x v="1"/>
    <s v="VAO-1_ST_WOOD_BP"/>
    <x v="0"/>
    <x v="5"/>
    <n v="25"/>
    <n v="9125"/>
    <n v="32850"/>
  </r>
  <r>
    <x v="0"/>
    <x v="0"/>
    <x v="0"/>
    <x v="1"/>
    <x v="2"/>
    <s v="EE_Tallinn"/>
    <x v="11"/>
    <x v="1"/>
    <s v="VAO-1_ST_WOOD_BP"/>
    <x v="0"/>
    <x v="6"/>
    <n v="25"/>
    <n v="9125"/>
    <n v="32850"/>
  </r>
  <r>
    <x v="0"/>
    <x v="0"/>
    <x v="0"/>
    <x v="1"/>
    <x v="2"/>
    <s v="EE_Tallinn"/>
    <x v="11"/>
    <x v="1"/>
    <s v="VAO-1_ST_WOOD_BP"/>
    <x v="0"/>
    <x v="7"/>
    <n v="25"/>
    <n v="9125"/>
    <n v="32850"/>
  </r>
  <r>
    <x v="0"/>
    <x v="0"/>
    <x v="0"/>
    <x v="1"/>
    <x v="2"/>
    <s v="EE_Tallinn"/>
    <x v="11"/>
    <x v="1"/>
    <s v="VAO-1_ST_WOOD_BP"/>
    <x v="0"/>
    <x v="8"/>
    <n v="25"/>
    <n v="9125"/>
    <n v="32850"/>
  </r>
  <r>
    <x v="0"/>
    <x v="0"/>
    <x v="0"/>
    <x v="1"/>
    <x v="2"/>
    <s v="EE_Tallinn"/>
    <x v="11"/>
    <x v="1"/>
    <s v="VAO-1_ST_WOOD_BP"/>
    <x v="0"/>
    <x v="0"/>
    <n v="25"/>
    <n v="9125"/>
    <n v="32850"/>
  </r>
  <r>
    <x v="0"/>
    <x v="0"/>
    <x v="0"/>
    <x v="1"/>
    <x v="2"/>
    <s v="EE_Tallinn"/>
    <x v="11"/>
    <x v="1"/>
    <s v="VAO-1_ST_WOOD_BP"/>
    <x v="0"/>
    <x v="1"/>
    <n v="25"/>
    <n v="9125"/>
    <n v="32850"/>
  </r>
  <r>
    <x v="0"/>
    <x v="0"/>
    <x v="0"/>
    <x v="1"/>
    <x v="2"/>
    <s v="EE_Tallinn"/>
    <x v="11"/>
    <x v="1"/>
    <s v="VAO-1_ST_WOOD_BP"/>
    <x v="0"/>
    <x v="2"/>
    <n v="25"/>
    <n v="9125"/>
    <n v="32850"/>
  </r>
  <r>
    <x v="0"/>
    <x v="0"/>
    <x v="0"/>
    <x v="1"/>
    <x v="2"/>
    <s v="EE_Tallinn"/>
    <x v="11"/>
    <x v="1"/>
    <s v="VAO-1_ST_WOOD_BP"/>
    <x v="0"/>
    <x v="9"/>
    <n v="25"/>
    <n v="9125"/>
    <n v="32850"/>
  </r>
  <r>
    <x v="0"/>
    <x v="0"/>
    <x v="0"/>
    <x v="1"/>
    <x v="2"/>
    <s v="EE_Tallinn"/>
    <x v="11"/>
    <x v="1"/>
    <s v="VAO-1_ST_WOOD_BP"/>
    <x v="0"/>
    <x v="10"/>
    <n v="25"/>
    <n v="9125"/>
    <n v="32850"/>
  </r>
  <r>
    <x v="0"/>
    <x v="0"/>
    <x v="0"/>
    <x v="1"/>
    <x v="2"/>
    <s v="EE_Tallinn"/>
    <x v="11"/>
    <x v="1"/>
    <s v="VAO-1_ST_WOOD_BP"/>
    <x v="0"/>
    <x v="11"/>
    <n v="25"/>
    <n v="9125"/>
    <n v="32850"/>
  </r>
  <r>
    <x v="0"/>
    <x v="0"/>
    <x v="0"/>
    <x v="1"/>
    <x v="2"/>
    <s v="EE_Tallinn"/>
    <x v="11"/>
    <x v="1"/>
    <s v="VAO-1_ST_WOOD_BP"/>
    <x v="0"/>
    <x v="12"/>
    <n v="25"/>
    <n v="9125"/>
    <n v="32850"/>
  </r>
  <r>
    <x v="0"/>
    <x v="0"/>
    <x v="0"/>
    <x v="1"/>
    <x v="2"/>
    <s v="EE_Tallinn"/>
    <x v="11"/>
    <x v="1"/>
    <s v="VAO-1_ST_WOOD_BP"/>
    <x v="0"/>
    <x v="13"/>
    <n v="25"/>
    <n v="9125"/>
    <n v="32850"/>
  </r>
  <r>
    <x v="0"/>
    <x v="0"/>
    <x v="0"/>
    <x v="1"/>
    <x v="2"/>
    <s v="EE_Tallinn"/>
    <x v="11"/>
    <x v="1"/>
    <s v="VAO-1_ST_WOOD_BP"/>
    <x v="0"/>
    <x v="14"/>
    <n v="25"/>
    <n v="9125"/>
    <n v="32850"/>
  </r>
  <r>
    <x v="0"/>
    <x v="0"/>
    <x v="0"/>
    <x v="1"/>
    <x v="2"/>
    <s v="EE_Tallinn"/>
    <x v="11"/>
    <x v="1"/>
    <s v="VAO-1_ST_WOOD_BP"/>
    <x v="0"/>
    <x v="15"/>
    <n v="25"/>
    <n v="9125"/>
    <n v="32850"/>
  </r>
  <r>
    <x v="0"/>
    <x v="0"/>
    <x v="0"/>
    <x v="1"/>
    <x v="2"/>
    <s v="EE_Tallinn"/>
    <x v="11"/>
    <x v="1"/>
    <s v="VAO-1_ST_WOOD_BP"/>
    <x v="0"/>
    <x v="16"/>
    <n v="25"/>
    <n v="9125"/>
    <n v="32850"/>
  </r>
  <r>
    <x v="0"/>
    <x v="0"/>
    <x v="0"/>
    <x v="1"/>
    <x v="2"/>
    <s v="EE_Tallinn"/>
    <x v="11"/>
    <x v="1"/>
    <s v="VAO-1_ST_WOOD_BP"/>
    <x v="0"/>
    <x v="17"/>
    <n v="25"/>
    <n v="9125"/>
    <n v="32850"/>
  </r>
  <r>
    <x v="0"/>
    <x v="0"/>
    <x v="0"/>
    <x v="1"/>
    <x v="2"/>
    <s v="EE_Tallinn"/>
    <x v="11"/>
    <x v="1"/>
    <s v="VAO-1_ST_WOOD_BP"/>
    <x v="0"/>
    <x v="18"/>
    <n v="25"/>
    <n v="9125"/>
    <n v="32850"/>
  </r>
  <r>
    <x v="0"/>
    <x v="0"/>
    <x v="0"/>
    <x v="1"/>
    <x v="2"/>
    <s v="EE_Tallinn"/>
    <x v="11"/>
    <x v="1"/>
    <s v="VAO-1_ST_WOOD_BP"/>
    <x v="0"/>
    <x v="19"/>
    <n v="25"/>
    <n v="9125"/>
    <n v="32850"/>
  </r>
  <r>
    <x v="0"/>
    <x v="0"/>
    <x v="0"/>
    <x v="1"/>
    <x v="2"/>
    <s v="EE_Tallinn"/>
    <x v="11"/>
    <x v="1"/>
    <s v="VAO-1_ST_WOOD_BP"/>
    <x v="0"/>
    <x v="20"/>
    <n v="25"/>
    <n v="9125"/>
    <n v="32850"/>
  </r>
  <r>
    <x v="0"/>
    <x v="0"/>
    <x v="0"/>
    <x v="1"/>
    <x v="2"/>
    <s v="EE_Tallinn"/>
    <x v="11"/>
    <x v="1"/>
    <s v="VAO-1_ST_WOOD_BP"/>
    <x v="0"/>
    <x v="21"/>
    <n v="25"/>
    <n v="9125"/>
    <n v="32850"/>
  </r>
  <r>
    <x v="0"/>
    <x v="0"/>
    <x v="0"/>
    <x v="1"/>
    <x v="2"/>
    <s v="EE_Tallinn"/>
    <x v="11"/>
    <x v="1"/>
    <s v="VAO-1_ST_WOOD_BP"/>
    <x v="0"/>
    <x v="22"/>
    <n v="25"/>
    <n v="9125"/>
    <n v="32850"/>
  </r>
  <r>
    <x v="0"/>
    <x v="0"/>
    <x v="0"/>
    <x v="1"/>
    <x v="2"/>
    <s v="EE_Tallinn"/>
    <x v="11"/>
    <x v="1"/>
    <s v="VAO-1_ST_WOOD_BP"/>
    <x v="0"/>
    <x v="23"/>
    <n v="25"/>
    <n v="9125"/>
    <n v="32850"/>
  </r>
  <r>
    <x v="0"/>
    <x v="0"/>
    <x v="0"/>
    <x v="1"/>
    <x v="2"/>
    <s v="EE_Tallinn"/>
    <x v="11"/>
    <x v="1"/>
    <s v="VAO-2_ST_WOOD_BP"/>
    <x v="0"/>
    <x v="3"/>
    <n v="21"/>
    <n v="7665"/>
    <n v="27594"/>
  </r>
  <r>
    <x v="0"/>
    <x v="0"/>
    <x v="0"/>
    <x v="1"/>
    <x v="2"/>
    <s v="EE_Tallinn"/>
    <x v="11"/>
    <x v="1"/>
    <s v="VAO-2_ST_WOOD_BP"/>
    <x v="0"/>
    <x v="4"/>
    <n v="21"/>
    <n v="7665"/>
    <n v="27594"/>
  </r>
  <r>
    <x v="0"/>
    <x v="0"/>
    <x v="0"/>
    <x v="1"/>
    <x v="2"/>
    <s v="EE_Tallinn"/>
    <x v="11"/>
    <x v="1"/>
    <s v="VAO-2_ST_WOOD_BP"/>
    <x v="0"/>
    <x v="5"/>
    <n v="21"/>
    <n v="7665"/>
    <n v="27594"/>
  </r>
  <r>
    <x v="0"/>
    <x v="0"/>
    <x v="0"/>
    <x v="1"/>
    <x v="2"/>
    <s v="EE_Tallinn"/>
    <x v="11"/>
    <x v="1"/>
    <s v="VAO-2_ST_WOOD_BP"/>
    <x v="0"/>
    <x v="6"/>
    <n v="21"/>
    <n v="7665"/>
    <n v="27594"/>
  </r>
  <r>
    <x v="0"/>
    <x v="0"/>
    <x v="0"/>
    <x v="1"/>
    <x v="2"/>
    <s v="EE_Tallinn"/>
    <x v="11"/>
    <x v="1"/>
    <s v="VAO-2_ST_WOOD_BP"/>
    <x v="0"/>
    <x v="7"/>
    <n v="21"/>
    <n v="7665"/>
    <n v="27594"/>
  </r>
  <r>
    <x v="0"/>
    <x v="0"/>
    <x v="0"/>
    <x v="1"/>
    <x v="2"/>
    <s v="EE_Tallinn"/>
    <x v="11"/>
    <x v="1"/>
    <s v="VAO-2_ST_WOOD_BP"/>
    <x v="0"/>
    <x v="8"/>
    <n v="21"/>
    <n v="7665"/>
    <n v="27594"/>
  </r>
  <r>
    <x v="0"/>
    <x v="0"/>
    <x v="0"/>
    <x v="1"/>
    <x v="2"/>
    <s v="EE_Tallinn"/>
    <x v="11"/>
    <x v="1"/>
    <s v="VAO-2_ST_WOOD_BP"/>
    <x v="0"/>
    <x v="0"/>
    <n v="21"/>
    <n v="7665"/>
    <n v="27594"/>
  </r>
  <r>
    <x v="0"/>
    <x v="0"/>
    <x v="0"/>
    <x v="1"/>
    <x v="2"/>
    <s v="EE_Tallinn"/>
    <x v="11"/>
    <x v="1"/>
    <s v="VAO-2_ST_WOOD_BP"/>
    <x v="0"/>
    <x v="1"/>
    <n v="21"/>
    <n v="7665"/>
    <n v="27594"/>
  </r>
  <r>
    <x v="0"/>
    <x v="0"/>
    <x v="0"/>
    <x v="1"/>
    <x v="2"/>
    <s v="EE_Tallinn"/>
    <x v="11"/>
    <x v="1"/>
    <s v="VAO-2_ST_WOOD_BP"/>
    <x v="0"/>
    <x v="2"/>
    <n v="21"/>
    <n v="7665"/>
    <n v="27594"/>
  </r>
  <r>
    <x v="0"/>
    <x v="0"/>
    <x v="0"/>
    <x v="1"/>
    <x v="2"/>
    <s v="EE_Tallinn"/>
    <x v="11"/>
    <x v="1"/>
    <s v="VAO-2_ST_WOOD_BP"/>
    <x v="0"/>
    <x v="9"/>
    <n v="21"/>
    <n v="7665"/>
    <n v="27594"/>
  </r>
  <r>
    <x v="0"/>
    <x v="0"/>
    <x v="0"/>
    <x v="1"/>
    <x v="2"/>
    <s v="EE_Tallinn"/>
    <x v="11"/>
    <x v="1"/>
    <s v="VAO-2_ST_WOOD_BP"/>
    <x v="0"/>
    <x v="10"/>
    <n v="21"/>
    <n v="7665"/>
    <n v="27594"/>
  </r>
  <r>
    <x v="0"/>
    <x v="0"/>
    <x v="0"/>
    <x v="1"/>
    <x v="2"/>
    <s v="EE_Tallinn"/>
    <x v="11"/>
    <x v="1"/>
    <s v="VAO-2_ST_WOOD_BP"/>
    <x v="0"/>
    <x v="11"/>
    <n v="21"/>
    <n v="7665"/>
    <n v="27594"/>
  </r>
  <r>
    <x v="0"/>
    <x v="0"/>
    <x v="0"/>
    <x v="1"/>
    <x v="2"/>
    <s v="EE_Tallinn"/>
    <x v="11"/>
    <x v="1"/>
    <s v="VAO-2_ST_WOOD_BP"/>
    <x v="0"/>
    <x v="12"/>
    <n v="21"/>
    <n v="7665"/>
    <n v="27594"/>
  </r>
  <r>
    <x v="0"/>
    <x v="0"/>
    <x v="0"/>
    <x v="1"/>
    <x v="2"/>
    <s v="EE_Tallinn"/>
    <x v="11"/>
    <x v="1"/>
    <s v="VAO-2_ST_WOOD_BP"/>
    <x v="0"/>
    <x v="13"/>
    <n v="0.35101078910679501"/>
    <n v="128.11893802398001"/>
    <n v="461.22817688632801"/>
  </r>
  <r>
    <x v="0"/>
    <x v="0"/>
    <x v="0"/>
    <x v="1"/>
    <x v="2"/>
    <s v="EE_Tallinn"/>
    <x v="11"/>
    <x v="1"/>
    <s v="VAO-2_ST_WOOD_BP"/>
    <x v="0"/>
    <x v="14"/>
    <n v="21"/>
    <n v="7665"/>
    <n v="27594"/>
  </r>
  <r>
    <x v="0"/>
    <x v="0"/>
    <x v="0"/>
    <x v="1"/>
    <x v="2"/>
    <s v="EE_Tallinn"/>
    <x v="11"/>
    <x v="1"/>
    <s v="VAO-2_ST_WOOD_BP"/>
    <x v="0"/>
    <x v="15"/>
    <n v="21"/>
    <n v="7665"/>
    <n v="27594"/>
  </r>
  <r>
    <x v="0"/>
    <x v="0"/>
    <x v="0"/>
    <x v="1"/>
    <x v="2"/>
    <s v="EE_Tallinn"/>
    <x v="11"/>
    <x v="1"/>
    <s v="VAO-2_ST_WOOD_BP"/>
    <x v="0"/>
    <x v="16"/>
    <n v="21"/>
    <n v="7665"/>
    <n v="27594"/>
  </r>
  <r>
    <x v="0"/>
    <x v="0"/>
    <x v="0"/>
    <x v="1"/>
    <x v="2"/>
    <s v="EE_Tallinn"/>
    <x v="11"/>
    <x v="1"/>
    <s v="VAO-2_ST_WOOD_BP"/>
    <x v="0"/>
    <x v="17"/>
    <n v="21"/>
    <n v="7665"/>
    <n v="27594"/>
  </r>
  <r>
    <x v="0"/>
    <x v="0"/>
    <x v="0"/>
    <x v="1"/>
    <x v="2"/>
    <s v="EE_Tallinn"/>
    <x v="11"/>
    <x v="1"/>
    <s v="VAO-2_ST_WOOD_BP"/>
    <x v="0"/>
    <x v="18"/>
    <n v="21"/>
    <n v="7665"/>
    <n v="27594"/>
  </r>
  <r>
    <x v="0"/>
    <x v="0"/>
    <x v="0"/>
    <x v="1"/>
    <x v="2"/>
    <s v="EE_Tallinn"/>
    <x v="11"/>
    <x v="1"/>
    <s v="VAO-2_ST_WOOD_BP"/>
    <x v="0"/>
    <x v="19"/>
    <n v="7.28787068824799"/>
    <n v="2660.0728012105201"/>
    <n v="9576.2620843578607"/>
  </r>
  <r>
    <x v="0"/>
    <x v="0"/>
    <x v="0"/>
    <x v="1"/>
    <x v="2"/>
    <s v="EE_Tallinn"/>
    <x v="11"/>
    <x v="1"/>
    <s v="VAO-2_ST_WOOD_BP"/>
    <x v="0"/>
    <x v="20"/>
    <n v="21"/>
    <n v="7665"/>
    <n v="27594"/>
  </r>
  <r>
    <x v="0"/>
    <x v="0"/>
    <x v="0"/>
    <x v="1"/>
    <x v="2"/>
    <s v="EE_Tallinn"/>
    <x v="11"/>
    <x v="1"/>
    <s v="VAO-2_ST_WOOD_BP"/>
    <x v="0"/>
    <x v="21"/>
    <n v="21"/>
    <n v="7665"/>
    <n v="27594"/>
  </r>
  <r>
    <x v="0"/>
    <x v="0"/>
    <x v="0"/>
    <x v="1"/>
    <x v="2"/>
    <s v="EE_Tallinn"/>
    <x v="11"/>
    <x v="1"/>
    <s v="VAO-2_ST_WOOD_BP"/>
    <x v="0"/>
    <x v="22"/>
    <n v="21"/>
    <n v="7665"/>
    <n v="27594"/>
  </r>
  <r>
    <x v="0"/>
    <x v="0"/>
    <x v="0"/>
    <x v="1"/>
    <x v="2"/>
    <s v="EE_Tallinn"/>
    <x v="11"/>
    <x v="1"/>
    <s v="VAO-2_ST_WOOD_BP"/>
    <x v="0"/>
    <x v="23"/>
    <n v="21"/>
    <n v="7665"/>
    <n v="27594"/>
  </r>
  <r>
    <x v="0"/>
    <x v="0"/>
    <x v="0"/>
    <x v="1"/>
    <x v="2"/>
    <s v="EE_Tartu"/>
    <x v="11"/>
    <x v="1"/>
    <s v="TARTU-1_ST_WOOD_BP"/>
    <x v="0"/>
    <x v="3"/>
    <n v="22"/>
    <n v="8030"/>
    <n v="28908"/>
  </r>
  <r>
    <x v="0"/>
    <x v="0"/>
    <x v="0"/>
    <x v="1"/>
    <x v="2"/>
    <s v="EE_Tartu"/>
    <x v="11"/>
    <x v="1"/>
    <s v="TARTU-1_ST_WOOD_BP"/>
    <x v="0"/>
    <x v="4"/>
    <n v="22"/>
    <n v="8030"/>
    <n v="28908"/>
  </r>
  <r>
    <x v="0"/>
    <x v="0"/>
    <x v="0"/>
    <x v="1"/>
    <x v="2"/>
    <s v="EE_Tartu"/>
    <x v="11"/>
    <x v="1"/>
    <s v="TARTU-1_ST_WOOD_BP"/>
    <x v="0"/>
    <x v="5"/>
    <n v="22"/>
    <n v="8030"/>
    <n v="28908"/>
  </r>
  <r>
    <x v="0"/>
    <x v="0"/>
    <x v="0"/>
    <x v="1"/>
    <x v="2"/>
    <s v="EE_Tartu"/>
    <x v="11"/>
    <x v="1"/>
    <s v="TARTU-1_ST_WOOD_BP"/>
    <x v="0"/>
    <x v="6"/>
    <n v="22"/>
    <n v="8030"/>
    <n v="28908"/>
  </r>
  <r>
    <x v="0"/>
    <x v="0"/>
    <x v="0"/>
    <x v="1"/>
    <x v="2"/>
    <s v="EE_Tartu"/>
    <x v="11"/>
    <x v="1"/>
    <s v="TARTU-1_ST_WOOD_BP"/>
    <x v="0"/>
    <x v="7"/>
    <n v="22"/>
    <n v="8030"/>
    <n v="28908"/>
  </r>
  <r>
    <x v="0"/>
    <x v="0"/>
    <x v="0"/>
    <x v="1"/>
    <x v="2"/>
    <s v="EE_Tartu"/>
    <x v="11"/>
    <x v="1"/>
    <s v="TARTU-1_ST_WOOD_BP"/>
    <x v="0"/>
    <x v="8"/>
    <n v="22"/>
    <n v="8030"/>
    <n v="28908"/>
  </r>
  <r>
    <x v="0"/>
    <x v="0"/>
    <x v="0"/>
    <x v="1"/>
    <x v="2"/>
    <s v="EE_Tartu"/>
    <x v="11"/>
    <x v="1"/>
    <s v="TARTU-1_ST_WOOD_BP"/>
    <x v="0"/>
    <x v="0"/>
    <n v="22"/>
    <n v="8030"/>
    <n v="28908"/>
  </r>
  <r>
    <x v="0"/>
    <x v="0"/>
    <x v="0"/>
    <x v="1"/>
    <x v="2"/>
    <s v="EE_Tartu"/>
    <x v="11"/>
    <x v="1"/>
    <s v="TARTU-1_ST_WOOD_BP"/>
    <x v="0"/>
    <x v="1"/>
    <n v="22"/>
    <n v="8030"/>
    <n v="28908"/>
  </r>
  <r>
    <x v="0"/>
    <x v="0"/>
    <x v="0"/>
    <x v="1"/>
    <x v="2"/>
    <s v="EE_Tartu"/>
    <x v="11"/>
    <x v="1"/>
    <s v="TARTU-1_ST_WOOD_BP"/>
    <x v="0"/>
    <x v="2"/>
    <n v="22"/>
    <n v="8030"/>
    <n v="28908"/>
  </r>
  <r>
    <x v="0"/>
    <x v="0"/>
    <x v="0"/>
    <x v="1"/>
    <x v="2"/>
    <s v="EE_Tartu"/>
    <x v="11"/>
    <x v="1"/>
    <s v="TARTU-1_ST_WOOD_BP"/>
    <x v="0"/>
    <x v="9"/>
    <n v="22"/>
    <n v="8030"/>
    <n v="28908"/>
  </r>
  <r>
    <x v="0"/>
    <x v="0"/>
    <x v="0"/>
    <x v="1"/>
    <x v="2"/>
    <s v="EE_Tartu"/>
    <x v="11"/>
    <x v="1"/>
    <s v="TARTU-1_ST_WOOD_BP"/>
    <x v="0"/>
    <x v="10"/>
    <n v="22"/>
    <n v="8030"/>
    <n v="28908"/>
  </r>
  <r>
    <x v="0"/>
    <x v="0"/>
    <x v="0"/>
    <x v="1"/>
    <x v="2"/>
    <s v="EE_Tartu"/>
    <x v="11"/>
    <x v="1"/>
    <s v="TARTU-1_ST_WOOD_BP"/>
    <x v="0"/>
    <x v="11"/>
    <n v="22"/>
    <n v="8030"/>
    <n v="28908"/>
  </r>
  <r>
    <x v="0"/>
    <x v="0"/>
    <x v="0"/>
    <x v="1"/>
    <x v="2"/>
    <s v="EE_Tartu"/>
    <x v="11"/>
    <x v="1"/>
    <s v="TARTU-1_ST_WOOD_BP"/>
    <x v="0"/>
    <x v="12"/>
    <n v="22"/>
    <n v="8030"/>
    <n v="28908"/>
  </r>
  <r>
    <x v="0"/>
    <x v="0"/>
    <x v="0"/>
    <x v="1"/>
    <x v="2"/>
    <s v="EE_Tartu"/>
    <x v="11"/>
    <x v="1"/>
    <s v="TARTU-1_ST_WOOD_BP"/>
    <x v="0"/>
    <x v="13"/>
    <n v="22"/>
    <n v="8030"/>
    <n v="28908"/>
  </r>
  <r>
    <x v="0"/>
    <x v="0"/>
    <x v="0"/>
    <x v="1"/>
    <x v="2"/>
    <s v="EE_Tartu"/>
    <x v="11"/>
    <x v="1"/>
    <s v="TARTU-1_ST_WOOD_BP"/>
    <x v="0"/>
    <x v="14"/>
    <n v="22"/>
    <n v="8030"/>
    <n v="28908"/>
  </r>
  <r>
    <x v="0"/>
    <x v="0"/>
    <x v="0"/>
    <x v="1"/>
    <x v="2"/>
    <s v="EE_Tartu"/>
    <x v="11"/>
    <x v="1"/>
    <s v="TARTU-1_ST_WOOD_BP"/>
    <x v="0"/>
    <x v="15"/>
    <n v="22"/>
    <n v="8030"/>
    <n v="28908"/>
  </r>
  <r>
    <x v="0"/>
    <x v="0"/>
    <x v="0"/>
    <x v="1"/>
    <x v="2"/>
    <s v="EE_Tartu"/>
    <x v="11"/>
    <x v="1"/>
    <s v="TARTU-1_ST_WOOD_BP"/>
    <x v="0"/>
    <x v="16"/>
    <n v="22"/>
    <n v="8030"/>
    <n v="28908"/>
  </r>
  <r>
    <x v="0"/>
    <x v="0"/>
    <x v="0"/>
    <x v="1"/>
    <x v="2"/>
    <s v="EE_Tartu"/>
    <x v="11"/>
    <x v="1"/>
    <s v="TARTU-1_ST_WOOD_BP"/>
    <x v="0"/>
    <x v="17"/>
    <n v="22"/>
    <n v="8030"/>
    <n v="28908"/>
  </r>
  <r>
    <x v="0"/>
    <x v="0"/>
    <x v="0"/>
    <x v="1"/>
    <x v="2"/>
    <s v="EE_Tartu"/>
    <x v="11"/>
    <x v="1"/>
    <s v="TARTU-1_ST_WOOD_BP"/>
    <x v="0"/>
    <x v="18"/>
    <n v="22"/>
    <n v="8030"/>
    <n v="28908"/>
  </r>
  <r>
    <x v="0"/>
    <x v="0"/>
    <x v="0"/>
    <x v="1"/>
    <x v="2"/>
    <s v="EE_Tartu"/>
    <x v="11"/>
    <x v="1"/>
    <s v="TARTU-1_ST_WOOD_BP"/>
    <x v="0"/>
    <x v="19"/>
    <n v="22"/>
    <n v="8030"/>
    <n v="28908"/>
  </r>
  <r>
    <x v="0"/>
    <x v="0"/>
    <x v="0"/>
    <x v="1"/>
    <x v="2"/>
    <s v="EE_Tartu"/>
    <x v="11"/>
    <x v="1"/>
    <s v="TARTU-1_ST_WOOD_BP"/>
    <x v="0"/>
    <x v="20"/>
    <n v="22"/>
    <n v="8030"/>
    <n v="28908"/>
  </r>
  <r>
    <x v="0"/>
    <x v="0"/>
    <x v="0"/>
    <x v="1"/>
    <x v="2"/>
    <s v="EE_Tartu"/>
    <x v="11"/>
    <x v="1"/>
    <s v="TARTU-1_ST_WOOD_BP"/>
    <x v="0"/>
    <x v="21"/>
    <n v="22"/>
    <n v="8030"/>
    <n v="28908"/>
  </r>
  <r>
    <x v="0"/>
    <x v="0"/>
    <x v="0"/>
    <x v="1"/>
    <x v="2"/>
    <s v="EE_Tartu"/>
    <x v="11"/>
    <x v="1"/>
    <s v="TARTU-1_ST_WOOD_BP"/>
    <x v="0"/>
    <x v="22"/>
    <n v="22"/>
    <n v="8030"/>
    <n v="28908"/>
  </r>
  <r>
    <x v="0"/>
    <x v="0"/>
    <x v="0"/>
    <x v="1"/>
    <x v="2"/>
    <s v="EE_Tartu"/>
    <x v="11"/>
    <x v="1"/>
    <s v="TARTU-1_ST_WOOD_BP"/>
    <x v="0"/>
    <x v="23"/>
    <n v="22"/>
    <n v="8030"/>
    <n v="28908"/>
  </r>
  <r>
    <x v="0"/>
    <x v="0"/>
    <x v="0"/>
    <x v="1"/>
    <x v="2"/>
    <s v="EE_Urban"/>
    <x v="2"/>
    <x v="0"/>
    <s v="GNR_ENG_NGAS_EXT_E-44"/>
    <x v="0"/>
    <x v="3"/>
    <n v="0.9"/>
    <n v="328.5"/>
    <n v="1182.5999999999999"/>
  </r>
  <r>
    <x v="0"/>
    <x v="0"/>
    <x v="0"/>
    <x v="1"/>
    <x v="2"/>
    <s v="EE_Urban"/>
    <x v="2"/>
    <x v="0"/>
    <s v="GNR_ENG_NGAS_EXT_E-44"/>
    <x v="0"/>
    <x v="4"/>
    <n v="0.9"/>
    <n v="328.5"/>
    <n v="1182.5999999999999"/>
  </r>
  <r>
    <x v="0"/>
    <x v="0"/>
    <x v="0"/>
    <x v="1"/>
    <x v="2"/>
    <s v="EE_Urban"/>
    <x v="2"/>
    <x v="0"/>
    <s v="GNR_ENG_NGAS_EXT_E-44"/>
    <x v="0"/>
    <x v="5"/>
    <n v="0.9"/>
    <n v="328.5"/>
    <n v="1182.5999999999999"/>
  </r>
  <r>
    <x v="0"/>
    <x v="0"/>
    <x v="0"/>
    <x v="1"/>
    <x v="2"/>
    <s v="EE_Urban"/>
    <x v="2"/>
    <x v="0"/>
    <s v="GNR_ENG_NGAS_EXT_E-44"/>
    <x v="0"/>
    <x v="6"/>
    <n v="0.9"/>
    <n v="328.5"/>
    <n v="1182.5999999999999"/>
  </r>
  <r>
    <x v="0"/>
    <x v="0"/>
    <x v="0"/>
    <x v="1"/>
    <x v="2"/>
    <s v="EE_Urban"/>
    <x v="2"/>
    <x v="0"/>
    <s v="GNR_ENG_NGAS_EXT_E-44"/>
    <x v="0"/>
    <x v="7"/>
    <n v="0.9"/>
    <n v="328.5"/>
    <n v="1182.5999999999999"/>
  </r>
  <r>
    <x v="0"/>
    <x v="0"/>
    <x v="0"/>
    <x v="1"/>
    <x v="2"/>
    <s v="EE_Urban"/>
    <x v="2"/>
    <x v="0"/>
    <s v="GNR_ENG_NGAS_EXT_E-44"/>
    <x v="0"/>
    <x v="8"/>
    <n v="0.9"/>
    <n v="328.5"/>
    <n v="1182.5999999999999"/>
  </r>
  <r>
    <x v="0"/>
    <x v="0"/>
    <x v="0"/>
    <x v="1"/>
    <x v="2"/>
    <s v="EE_Urban"/>
    <x v="2"/>
    <x v="0"/>
    <s v="GNR_ENG_NGAS_EXT_E-44"/>
    <x v="0"/>
    <x v="0"/>
    <n v="0.9"/>
    <n v="328.5"/>
    <n v="1182.5999999999999"/>
  </r>
  <r>
    <x v="0"/>
    <x v="0"/>
    <x v="0"/>
    <x v="1"/>
    <x v="2"/>
    <s v="EE_Urban"/>
    <x v="2"/>
    <x v="0"/>
    <s v="GNR_ENG_NGAS_EXT_E-44"/>
    <x v="0"/>
    <x v="1"/>
    <n v="0.9"/>
    <n v="328.5"/>
    <n v="1182.5999999999999"/>
  </r>
  <r>
    <x v="0"/>
    <x v="0"/>
    <x v="0"/>
    <x v="1"/>
    <x v="2"/>
    <s v="EE_Urban"/>
    <x v="2"/>
    <x v="0"/>
    <s v="GNR_ENG_NGAS_EXT_E-44"/>
    <x v="0"/>
    <x v="2"/>
    <n v="0.9"/>
    <n v="328.5"/>
    <n v="1182.5999999999999"/>
  </r>
  <r>
    <x v="0"/>
    <x v="0"/>
    <x v="0"/>
    <x v="1"/>
    <x v="2"/>
    <s v="EE_Urban"/>
    <x v="2"/>
    <x v="0"/>
    <s v="GNR_ENG_NGAS_EXT_E-44"/>
    <x v="0"/>
    <x v="9"/>
    <n v="0.9"/>
    <n v="328.5"/>
    <n v="1182.5999999999999"/>
  </r>
  <r>
    <x v="0"/>
    <x v="0"/>
    <x v="0"/>
    <x v="1"/>
    <x v="2"/>
    <s v="EE_Urban"/>
    <x v="2"/>
    <x v="0"/>
    <s v="GNR_ENG_NGAS_EXT_E-44"/>
    <x v="0"/>
    <x v="10"/>
    <n v="0.9"/>
    <n v="328.5"/>
    <n v="1182.5999999999999"/>
  </r>
  <r>
    <x v="0"/>
    <x v="0"/>
    <x v="0"/>
    <x v="1"/>
    <x v="2"/>
    <s v="EE_Urban"/>
    <x v="2"/>
    <x v="0"/>
    <s v="GNR_ENG_NGAS_EXT_E-44"/>
    <x v="0"/>
    <x v="11"/>
    <n v="0.9"/>
    <n v="328.5"/>
    <n v="1182.5999999999999"/>
  </r>
  <r>
    <x v="0"/>
    <x v="0"/>
    <x v="0"/>
    <x v="1"/>
    <x v="2"/>
    <s v="EE_Urban"/>
    <x v="2"/>
    <x v="0"/>
    <s v="GNR_ENG_NGAS_EXT_E-44"/>
    <x v="0"/>
    <x v="12"/>
    <n v="0.9"/>
    <n v="328.5"/>
    <n v="1182.5999999999999"/>
  </r>
  <r>
    <x v="0"/>
    <x v="0"/>
    <x v="0"/>
    <x v="1"/>
    <x v="2"/>
    <s v="EE_Urban"/>
    <x v="2"/>
    <x v="0"/>
    <s v="GNR_ENG_NGAS_EXT_E-44"/>
    <x v="0"/>
    <x v="13"/>
    <n v="0.9"/>
    <n v="328.5"/>
    <n v="1182.5999999999999"/>
  </r>
  <r>
    <x v="0"/>
    <x v="0"/>
    <x v="0"/>
    <x v="1"/>
    <x v="2"/>
    <s v="EE_Urban"/>
    <x v="2"/>
    <x v="0"/>
    <s v="GNR_ENG_NGAS_EXT_E-44"/>
    <x v="0"/>
    <x v="14"/>
    <n v="0.9"/>
    <n v="328.5"/>
    <n v="1182.5999999999999"/>
  </r>
  <r>
    <x v="0"/>
    <x v="0"/>
    <x v="0"/>
    <x v="1"/>
    <x v="2"/>
    <s v="EE_Urban"/>
    <x v="2"/>
    <x v="0"/>
    <s v="GNR_ENG_NGAS_EXT_E-44"/>
    <x v="0"/>
    <x v="15"/>
    <n v="0.9"/>
    <n v="328.5"/>
    <n v="1182.5999999999999"/>
  </r>
  <r>
    <x v="0"/>
    <x v="0"/>
    <x v="0"/>
    <x v="1"/>
    <x v="2"/>
    <s v="EE_Urban"/>
    <x v="2"/>
    <x v="0"/>
    <s v="GNR_ENG_NGAS_EXT_E-44"/>
    <x v="0"/>
    <x v="16"/>
    <n v="0.9"/>
    <n v="328.5"/>
    <n v="1182.5999999999999"/>
  </r>
  <r>
    <x v="0"/>
    <x v="0"/>
    <x v="0"/>
    <x v="1"/>
    <x v="2"/>
    <s v="EE_Urban"/>
    <x v="2"/>
    <x v="0"/>
    <s v="GNR_ENG_NGAS_EXT_E-44"/>
    <x v="0"/>
    <x v="17"/>
    <n v="0.9"/>
    <n v="328.5"/>
    <n v="1182.5999999999999"/>
  </r>
  <r>
    <x v="0"/>
    <x v="0"/>
    <x v="0"/>
    <x v="1"/>
    <x v="2"/>
    <s v="EE_Urban"/>
    <x v="2"/>
    <x v="0"/>
    <s v="GNR_ENG_NGAS_EXT_E-44"/>
    <x v="0"/>
    <x v="18"/>
    <n v="0.9"/>
    <n v="328.5"/>
    <n v="1182.5999999999999"/>
  </r>
  <r>
    <x v="0"/>
    <x v="0"/>
    <x v="0"/>
    <x v="1"/>
    <x v="2"/>
    <s v="EE_Urban"/>
    <x v="2"/>
    <x v="0"/>
    <s v="GNR_ENG_NGAS_EXT_E-44"/>
    <x v="0"/>
    <x v="19"/>
    <n v="0.9"/>
    <n v="328.5"/>
    <n v="1182.5999999999999"/>
  </r>
  <r>
    <x v="0"/>
    <x v="0"/>
    <x v="0"/>
    <x v="1"/>
    <x v="2"/>
    <s v="EE_Urban"/>
    <x v="2"/>
    <x v="0"/>
    <s v="GNR_ENG_NGAS_EXT_E-44"/>
    <x v="0"/>
    <x v="20"/>
    <n v="0.9"/>
    <n v="328.5"/>
    <n v="1182.5999999999999"/>
  </r>
  <r>
    <x v="0"/>
    <x v="0"/>
    <x v="0"/>
    <x v="1"/>
    <x v="2"/>
    <s v="EE_Urban"/>
    <x v="2"/>
    <x v="0"/>
    <s v="GNR_ENG_NGAS_EXT_E-44"/>
    <x v="0"/>
    <x v="21"/>
    <n v="0.9"/>
    <n v="328.5"/>
    <n v="1182.5999999999999"/>
  </r>
  <r>
    <x v="0"/>
    <x v="0"/>
    <x v="0"/>
    <x v="1"/>
    <x v="2"/>
    <s v="EE_Urban"/>
    <x v="2"/>
    <x v="0"/>
    <s v="GNR_ENG_NGAS_EXT_E-44"/>
    <x v="0"/>
    <x v="22"/>
    <n v="0.9"/>
    <n v="328.5"/>
    <n v="1182.5999999999999"/>
  </r>
  <r>
    <x v="0"/>
    <x v="0"/>
    <x v="0"/>
    <x v="1"/>
    <x v="2"/>
    <s v="EE_Urban"/>
    <x v="2"/>
    <x v="0"/>
    <s v="GNR_ENG_NGAS_EXT_E-44"/>
    <x v="0"/>
    <x v="23"/>
    <n v="0.9"/>
    <n v="328.5"/>
    <n v="1182.5999999999999"/>
  </r>
  <r>
    <x v="0"/>
    <x v="0"/>
    <x v="0"/>
    <x v="1"/>
    <x v="2"/>
    <s v="EE_Urban"/>
    <x v="11"/>
    <x v="1"/>
    <s v="GNR_ST_WOOD_BP_E-53"/>
    <x v="0"/>
    <x v="3"/>
    <n v="12"/>
    <n v="4380"/>
    <n v="15768"/>
  </r>
  <r>
    <x v="0"/>
    <x v="0"/>
    <x v="0"/>
    <x v="1"/>
    <x v="2"/>
    <s v="EE_Urban"/>
    <x v="11"/>
    <x v="1"/>
    <s v="GNR_ST_WOOD_BP_E-53"/>
    <x v="0"/>
    <x v="4"/>
    <n v="12"/>
    <n v="4380"/>
    <n v="15768"/>
  </r>
  <r>
    <x v="0"/>
    <x v="0"/>
    <x v="0"/>
    <x v="1"/>
    <x v="2"/>
    <s v="EE_Urban"/>
    <x v="11"/>
    <x v="1"/>
    <s v="GNR_ST_WOOD_BP_E-53"/>
    <x v="0"/>
    <x v="5"/>
    <n v="12"/>
    <n v="4380"/>
    <n v="15768"/>
  </r>
  <r>
    <x v="0"/>
    <x v="0"/>
    <x v="0"/>
    <x v="1"/>
    <x v="2"/>
    <s v="EE_Urban"/>
    <x v="11"/>
    <x v="1"/>
    <s v="GNR_ST_WOOD_BP_E-53"/>
    <x v="0"/>
    <x v="6"/>
    <n v="12"/>
    <n v="4380"/>
    <n v="15768"/>
  </r>
  <r>
    <x v="0"/>
    <x v="0"/>
    <x v="0"/>
    <x v="1"/>
    <x v="2"/>
    <s v="EE_Urban"/>
    <x v="11"/>
    <x v="1"/>
    <s v="GNR_ST_WOOD_BP_E-53"/>
    <x v="0"/>
    <x v="7"/>
    <n v="12"/>
    <n v="4380"/>
    <n v="15768"/>
  </r>
  <r>
    <x v="0"/>
    <x v="0"/>
    <x v="0"/>
    <x v="1"/>
    <x v="2"/>
    <s v="EE_Urban"/>
    <x v="11"/>
    <x v="1"/>
    <s v="GNR_ST_WOOD_BP_E-53"/>
    <x v="0"/>
    <x v="8"/>
    <n v="12"/>
    <n v="4380"/>
    <n v="15768"/>
  </r>
  <r>
    <x v="0"/>
    <x v="0"/>
    <x v="0"/>
    <x v="1"/>
    <x v="2"/>
    <s v="EE_Urban"/>
    <x v="11"/>
    <x v="1"/>
    <s v="GNR_ST_WOOD_BP_E-53"/>
    <x v="0"/>
    <x v="0"/>
    <n v="12"/>
    <n v="4380"/>
    <n v="15768"/>
  </r>
  <r>
    <x v="0"/>
    <x v="0"/>
    <x v="0"/>
    <x v="1"/>
    <x v="2"/>
    <s v="EE_Urban"/>
    <x v="11"/>
    <x v="1"/>
    <s v="GNR_ST_WOOD_BP_E-53"/>
    <x v="0"/>
    <x v="1"/>
    <n v="12"/>
    <n v="4380"/>
    <n v="15768"/>
  </r>
  <r>
    <x v="0"/>
    <x v="0"/>
    <x v="0"/>
    <x v="1"/>
    <x v="2"/>
    <s v="EE_Urban"/>
    <x v="11"/>
    <x v="1"/>
    <s v="GNR_ST_WOOD_BP_E-53"/>
    <x v="0"/>
    <x v="2"/>
    <n v="12"/>
    <n v="4380"/>
    <n v="15768"/>
  </r>
  <r>
    <x v="0"/>
    <x v="0"/>
    <x v="0"/>
    <x v="1"/>
    <x v="2"/>
    <s v="EE_Urban"/>
    <x v="11"/>
    <x v="1"/>
    <s v="GNR_ST_WOOD_BP_E-53"/>
    <x v="0"/>
    <x v="9"/>
    <n v="12"/>
    <n v="4380"/>
    <n v="15768"/>
  </r>
  <r>
    <x v="0"/>
    <x v="0"/>
    <x v="0"/>
    <x v="1"/>
    <x v="2"/>
    <s v="EE_Urban"/>
    <x v="11"/>
    <x v="1"/>
    <s v="GNR_ST_WOOD_BP_E-53"/>
    <x v="0"/>
    <x v="10"/>
    <n v="12"/>
    <n v="4380"/>
    <n v="15768"/>
  </r>
  <r>
    <x v="0"/>
    <x v="0"/>
    <x v="0"/>
    <x v="1"/>
    <x v="2"/>
    <s v="EE_Urban"/>
    <x v="11"/>
    <x v="1"/>
    <s v="GNR_ST_WOOD_BP_E-53"/>
    <x v="0"/>
    <x v="11"/>
    <n v="12"/>
    <n v="4380"/>
    <n v="15768"/>
  </r>
  <r>
    <x v="0"/>
    <x v="0"/>
    <x v="0"/>
    <x v="1"/>
    <x v="2"/>
    <s v="EE_Urban"/>
    <x v="11"/>
    <x v="1"/>
    <s v="GNR_ST_WOOD_BP_E-53"/>
    <x v="0"/>
    <x v="12"/>
    <n v="12"/>
    <n v="4380"/>
    <n v="15768"/>
  </r>
  <r>
    <x v="0"/>
    <x v="0"/>
    <x v="0"/>
    <x v="1"/>
    <x v="2"/>
    <s v="EE_Urban"/>
    <x v="11"/>
    <x v="1"/>
    <s v="GNR_ST_WOOD_BP_E-53"/>
    <x v="0"/>
    <x v="13"/>
    <n v="12"/>
    <n v="4380"/>
    <n v="15768"/>
  </r>
  <r>
    <x v="0"/>
    <x v="0"/>
    <x v="0"/>
    <x v="1"/>
    <x v="2"/>
    <s v="EE_Urban"/>
    <x v="11"/>
    <x v="1"/>
    <s v="GNR_ST_WOOD_BP_E-53"/>
    <x v="0"/>
    <x v="14"/>
    <n v="12"/>
    <n v="4380"/>
    <n v="15768"/>
  </r>
  <r>
    <x v="0"/>
    <x v="0"/>
    <x v="0"/>
    <x v="1"/>
    <x v="2"/>
    <s v="EE_Urban"/>
    <x v="11"/>
    <x v="1"/>
    <s v="GNR_ST_WOOD_BP_E-53"/>
    <x v="0"/>
    <x v="15"/>
    <n v="12"/>
    <n v="4380"/>
    <n v="15768"/>
  </r>
  <r>
    <x v="0"/>
    <x v="0"/>
    <x v="0"/>
    <x v="1"/>
    <x v="2"/>
    <s v="EE_Urban"/>
    <x v="11"/>
    <x v="1"/>
    <s v="GNR_ST_WOOD_BP_E-53"/>
    <x v="0"/>
    <x v="16"/>
    <n v="12"/>
    <n v="4380"/>
    <n v="15768"/>
  </r>
  <r>
    <x v="0"/>
    <x v="0"/>
    <x v="0"/>
    <x v="1"/>
    <x v="2"/>
    <s v="EE_Urban"/>
    <x v="11"/>
    <x v="1"/>
    <s v="GNR_ST_WOOD_BP_E-53"/>
    <x v="0"/>
    <x v="17"/>
    <n v="12"/>
    <n v="4380"/>
    <n v="15768"/>
  </r>
  <r>
    <x v="0"/>
    <x v="0"/>
    <x v="0"/>
    <x v="1"/>
    <x v="2"/>
    <s v="EE_Urban"/>
    <x v="11"/>
    <x v="1"/>
    <s v="GNR_ST_WOOD_BP_E-53"/>
    <x v="0"/>
    <x v="18"/>
    <n v="12"/>
    <n v="4380"/>
    <n v="15768"/>
  </r>
  <r>
    <x v="0"/>
    <x v="0"/>
    <x v="0"/>
    <x v="1"/>
    <x v="2"/>
    <s v="EE_Urban"/>
    <x v="11"/>
    <x v="1"/>
    <s v="GNR_ST_WOOD_BP_E-53"/>
    <x v="0"/>
    <x v="19"/>
    <n v="12"/>
    <n v="4380"/>
    <n v="15768"/>
  </r>
  <r>
    <x v="0"/>
    <x v="0"/>
    <x v="0"/>
    <x v="1"/>
    <x v="2"/>
    <s v="EE_Urban"/>
    <x v="11"/>
    <x v="1"/>
    <s v="GNR_ST_WOOD_BP_E-53"/>
    <x v="0"/>
    <x v="20"/>
    <n v="12"/>
    <n v="4380"/>
    <n v="15768"/>
  </r>
  <r>
    <x v="0"/>
    <x v="0"/>
    <x v="0"/>
    <x v="1"/>
    <x v="2"/>
    <s v="EE_Urban"/>
    <x v="11"/>
    <x v="1"/>
    <s v="GNR_ST_WOOD_BP_E-53"/>
    <x v="0"/>
    <x v="21"/>
    <n v="12"/>
    <n v="4380"/>
    <n v="15768"/>
  </r>
  <r>
    <x v="0"/>
    <x v="0"/>
    <x v="0"/>
    <x v="1"/>
    <x v="2"/>
    <s v="EE_Urban"/>
    <x v="11"/>
    <x v="1"/>
    <s v="GNR_ST_WOOD_BP_E-53"/>
    <x v="0"/>
    <x v="22"/>
    <n v="12"/>
    <n v="4380"/>
    <n v="15768"/>
  </r>
  <r>
    <x v="0"/>
    <x v="0"/>
    <x v="0"/>
    <x v="1"/>
    <x v="2"/>
    <s v="EE_Urban"/>
    <x v="11"/>
    <x v="1"/>
    <s v="GNR_ST_WOOD_BP_E-53"/>
    <x v="0"/>
    <x v="23"/>
    <n v="12"/>
    <n v="4380"/>
    <n v="15768"/>
  </r>
  <r>
    <x v="0"/>
    <x v="0"/>
    <x v="0"/>
    <x v="2"/>
    <x v="3"/>
    <s v="FIN_EL"/>
    <x v="2"/>
    <x v="1"/>
    <s v="GBPR_NATGAS_FINEL"/>
    <x v="0"/>
    <x v="3"/>
    <n v="81.2"/>
    <n v="29638"/>
    <n v="106696.8"/>
  </r>
  <r>
    <x v="0"/>
    <x v="0"/>
    <x v="0"/>
    <x v="2"/>
    <x v="3"/>
    <s v="FIN_EL"/>
    <x v="2"/>
    <x v="1"/>
    <s v="GBPR_NATGAS_FINEL"/>
    <x v="0"/>
    <x v="4"/>
    <n v="81.2"/>
    <n v="29638"/>
    <n v="106696.8"/>
  </r>
  <r>
    <x v="0"/>
    <x v="0"/>
    <x v="0"/>
    <x v="2"/>
    <x v="3"/>
    <s v="FIN_EL"/>
    <x v="2"/>
    <x v="1"/>
    <s v="GBPR_NATGAS_FINEL"/>
    <x v="0"/>
    <x v="5"/>
    <n v="81.2"/>
    <n v="29638"/>
    <n v="106696.8"/>
  </r>
  <r>
    <x v="0"/>
    <x v="0"/>
    <x v="0"/>
    <x v="2"/>
    <x v="3"/>
    <s v="FIN_EL"/>
    <x v="2"/>
    <x v="1"/>
    <s v="GBPR_NATGAS_FINEL"/>
    <x v="0"/>
    <x v="6"/>
    <n v="81.2"/>
    <n v="29638"/>
    <n v="106696.8"/>
  </r>
  <r>
    <x v="0"/>
    <x v="0"/>
    <x v="0"/>
    <x v="2"/>
    <x v="3"/>
    <s v="FIN_EL"/>
    <x v="2"/>
    <x v="1"/>
    <s v="GBPR_NATGAS_FINEL"/>
    <x v="0"/>
    <x v="7"/>
    <n v="81.2"/>
    <n v="29638"/>
    <n v="106696.8"/>
  </r>
  <r>
    <x v="0"/>
    <x v="0"/>
    <x v="0"/>
    <x v="2"/>
    <x v="3"/>
    <s v="FIN_EL"/>
    <x v="2"/>
    <x v="1"/>
    <s v="GBPR_NATGAS_FINEL"/>
    <x v="0"/>
    <x v="8"/>
    <n v="81.2"/>
    <n v="29638"/>
    <n v="106696.8"/>
  </r>
  <r>
    <x v="0"/>
    <x v="0"/>
    <x v="0"/>
    <x v="2"/>
    <x v="3"/>
    <s v="FIN_EL"/>
    <x v="2"/>
    <x v="1"/>
    <s v="GBPR_NATGAS_FINEL"/>
    <x v="0"/>
    <x v="0"/>
    <n v="81.2"/>
    <n v="29638"/>
    <n v="106696.8"/>
  </r>
  <r>
    <x v="0"/>
    <x v="0"/>
    <x v="0"/>
    <x v="2"/>
    <x v="3"/>
    <s v="FIN_EL"/>
    <x v="2"/>
    <x v="1"/>
    <s v="GBPR_NATGAS_FINEL"/>
    <x v="0"/>
    <x v="1"/>
    <n v="81.2"/>
    <n v="29638"/>
    <n v="106696.8"/>
  </r>
  <r>
    <x v="0"/>
    <x v="0"/>
    <x v="0"/>
    <x v="2"/>
    <x v="3"/>
    <s v="FIN_EL"/>
    <x v="2"/>
    <x v="1"/>
    <s v="GBPR_NATGAS_FINEL"/>
    <x v="0"/>
    <x v="2"/>
    <n v="81.2"/>
    <n v="29638"/>
    <n v="106696.8"/>
  </r>
  <r>
    <x v="0"/>
    <x v="0"/>
    <x v="0"/>
    <x v="2"/>
    <x v="3"/>
    <s v="FIN_EL"/>
    <x v="2"/>
    <x v="1"/>
    <s v="GBPR_NATGAS_FINEL"/>
    <x v="0"/>
    <x v="9"/>
    <n v="81.2"/>
    <n v="29638"/>
    <n v="106696.8"/>
  </r>
  <r>
    <x v="0"/>
    <x v="0"/>
    <x v="0"/>
    <x v="2"/>
    <x v="3"/>
    <s v="FIN_EL"/>
    <x v="2"/>
    <x v="1"/>
    <s v="GBPR_NATGAS_FINEL"/>
    <x v="0"/>
    <x v="10"/>
    <n v="81.2"/>
    <n v="29638"/>
    <n v="106696.8"/>
  </r>
  <r>
    <x v="0"/>
    <x v="0"/>
    <x v="0"/>
    <x v="2"/>
    <x v="3"/>
    <s v="FIN_EL"/>
    <x v="2"/>
    <x v="1"/>
    <s v="GBPR_NATGAS_FINEL"/>
    <x v="0"/>
    <x v="11"/>
    <n v="81.2"/>
    <n v="29638"/>
    <n v="106696.8"/>
  </r>
  <r>
    <x v="0"/>
    <x v="0"/>
    <x v="0"/>
    <x v="2"/>
    <x v="3"/>
    <s v="FIN_EL"/>
    <x v="2"/>
    <x v="1"/>
    <s v="GBPR_NATGAS_FINEL"/>
    <x v="0"/>
    <x v="12"/>
    <n v="81.2"/>
    <n v="29638"/>
    <n v="106696.8"/>
  </r>
  <r>
    <x v="0"/>
    <x v="0"/>
    <x v="0"/>
    <x v="2"/>
    <x v="3"/>
    <s v="FIN_EL"/>
    <x v="2"/>
    <x v="1"/>
    <s v="GBPR_NATGAS_FINEL"/>
    <x v="0"/>
    <x v="13"/>
    <n v="81.2"/>
    <n v="29638"/>
    <n v="106696.8"/>
  </r>
  <r>
    <x v="0"/>
    <x v="0"/>
    <x v="0"/>
    <x v="2"/>
    <x v="3"/>
    <s v="FIN_EL"/>
    <x v="2"/>
    <x v="1"/>
    <s v="GBPR_NATGAS_FINEL"/>
    <x v="0"/>
    <x v="14"/>
    <n v="81.2"/>
    <n v="29638"/>
    <n v="106696.8"/>
  </r>
  <r>
    <x v="0"/>
    <x v="0"/>
    <x v="0"/>
    <x v="2"/>
    <x v="3"/>
    <s v="FIN_EL"/>
    <x v="2"/>
    <x v="1"/>
    <s v="GBPR_NATGAS_FINEL"/>
    <x v="0"/>
    <x v="15"/>
    <n v="81.2"/>
    <n v="29638"/>
    <n v="106696.8"/>
  </r>
  <r>
    <x v="0"/>
    <x v="0"/>
    <x v="0"/>
    <x v="2"/>
    <x v="3"/>
    <s v="FIN_EL"/>
    <x v="2"/>
    <x v="1"/>
    <s v="GBPR_NATGAS_FINEL"/>
    <x v="0"/>
    <x v="16"/>
    <n v="81.2"/>
    <n v="29638"/>
    <n v="106696.8"/>
  </r>
  <r>
    <x v="0"/>
    <x v="0"/>
    <x v="0"/>
    <x v="2"/>
    <x v="3"/>
    <s v="FIN_EL"/>
    <x v="2"/>
    <x v="1"/>
    <s v="GBPR_NATGAS_FINEL"/>
    <x v="0"/>
    <x v="17"/>
    <n v="81.2"/>
    <n v="29638"/>
    <n v="106696.8"/>
  </r>
  <r>
    <x v="0"/>
    <x v="0"/>
    <x v="0"/>
    <x v="2"/>
    <x v="3"/>
    <s v="FIN_EL"/>
    <x v="2"/>
    <x v="1"/>
    <s v="GBPR_NATGAS_FINEL"/>
    <x v="0"/>
    <x v="18"/>
    <n v="81.2"/>
    <n v="29638"/>
    <n v="106696.8"/>
  </r>
  <r>
    <x v="0"/>
    <x v="0"/>
    <x v="0"/>
    <x v="2"/>
    <x v="3"/>
    <s v="FIN_EL"/>
    <x v="2"/>
    <x v="1"/>
    <s v="GBPR_NATGAS_FINEL"/>
    <x v="0"/>
    <x v="19"/>
    <n v="81.2"/>
    <n v="29638"/>
    <n v="106696.8"/>
  </r>
  <r>
    <x v="0"/>
    <x v="0"/>
    <x v="0"/>
    <x v="2"/>
    <x v="3"/>
    <s v="FIN_EL"/>
    <x v="2"/>
    <x v="1"/>
    <s v="GBPR_NATGAS_FINEL"/>
    <x v="0"/>
    <x v="20"/>
    <n v="81.2"/>
    <n v="29638"/>
    <n v="106696.8"/>
  </r>
  <r>
    <x v="0"/>
    <x v="0"/>
    <x v="0"/>
    <x v="2"/>
    <x v="3"/>
    <s v="FIN_EL"/>
    <x v="2"/>
    <x v="1"/>
    <s v="GBPR_NATGAS_FINEL"/>
    <x v="0"/>
    <x v="21"/>
    <n v="81.2"/>
    <n v="29638"/>
    <n v="106696.8"/>
  </r>
  <r>
    <x v="0"/>
    <x v="0"/>
    <x v="0"/>
    <x v="2"/>
    <x v="3"/>
    <s v="FIN_EL"/>
    <x v="2"/>
    <x v="1"/>
    <s v="GBPR_NATGAS_FINEL"/>
    <x v="0"/>
    <x v="22"/>
    <n v="81.2"/>
    <n v="29638"/>
    <n v="106696.8"/>
  </r>
  <r>
    <x v="0"/>
    <x v="0"/>
    <x v="0"/>
    <x v="2"/>
    <x v="3"/>
    <s v="FIN_EL"/>
    <x v="2"/>
    <x v="1"/>
    <s v="GBPR_NATGAS_FINEL"/>
    <x v="0"/>
    <x v="23"/>
    <n v="81.2"/>
    <n v="29638"/>
    <n v="106696.8"/>
  </r>
  <r>
    <x v="0"/>
    <x v="0"/>
    <x v="0"/>
    <x v="2"/>
    <x v="3"/>
    <s v="FIN_EL"/>
    <x v="2"/>
    <x v="0"/>
    <s v="GEXT_NATGAS_MERTANIEMI"/>
    <x v="0"/>
    <x v="3"/>
    <n v="103"/>
    <n v="37595"/>
    <n v="135342"/>
  </r>
  <r>
    <x v="0"/>
    <x v="0"/>
    <x v="0"/>
    <x v="2"/>
    <x v="3"/>
    <s v="FIN_EL"/>
    <x v="2"/>
    <x v="0"/>
    <s v="GEXT_NATGAS_MERTANIEMI"/>
    <x v="0"/>
    <x v="4"/>
    <n v="103"/>
    <n v="37595"/>
    <n v="135342"/>
  </r>
  <r>
    <x v="0"/>
    <x v="0"/>
    <x v="0"/>
    <x v="2"/>
    <x v="3"/>
    <s v="FIN_EL"/>
    <x v="2"/>
    <x v="0"/>
    <s v="GEXT_NATGAS_MERTANIEMI"/>
    <x v="0"/>
    <x v="5"/>
    <n v="103"/>
    <n v="37595"/>
    <n v="135342"/>
  </r>
  <r>
    <x v="0"/>
    <x v="0"/>
    <x v="0"/>
    <x v="2"/>
    <x v="3"/>
    <s v="FIN_EL"/>
    <x v="2"/>
    <x v="0"/>
    <s v="GEXT_NATGAS_MERTANIEMI"/>
    <x v="0"/>
    <x v="6"/>
    <n v="103"/>
    <n v="37595"/>
    <n v="135342"/>
  </r>
  <r>
    <x v="0"/>
    <x v="0"/>
    <x v="0"/>
    <x v="2"/>
    <x v="3"/>
    <s v="FIN_EL"/>
    <x v="2"/>
    <x v="0"/>
    <s v="GEXT_NATGAS_MERTANIEMI"/>
    <x v="0"/>
    <x v="7"/>
    <n v="103"/>
    <n v="37595"/>
    <n v="135342"/>
  </r>
  <r>
    <x v="0"/>
    <x v="0"/>
    <x v="0"/>
    <x v="2"/>
    <x v="3"/>
    <s v="FIN_EL"/>
    <x v="2"/>
    <x v="0"/>
    <s v="GEXT_NATGAS_MERTANIEMI"/>
    <x v="0"/>
    <x v="8"/>
    <n v="103"/>
    <n v="37595"/>
    <n v="135342"/>
  </r>
  <r>
    <x v="0"/>
    <x v="0"/>
    <x v="0"/>
    <x v="2"/>
    <x v="3"/>
    <s v="FIN_EL"/>
    <x v="2"/>
    <x v="0"/>
    <s v="GEXT_NATGAS_MERTANIEMI"/>
    <x v="0"/>
    <x v="0"/>
    <n v="103"/>
    <n v="37595"/>
    <n v="135342"/>
  </r>
  <r>
    <x v="0"/>
    <x v="0"/>
    <x v="0"/>
    <x v="2"/>
    <x v="3"/>
    <s v="FIN_EL"/>
    <x v="2"/>
    <x v="0"/>
    <s v="GEXT_NATGAS_MERTANIEMI"/>
    <x v="0"/>
    <x v="1"/>
    <n v="103"/>
    <n v="37595"/>
    <n v="135342"/>
  </r>
  <r>
    <x v="0"/>
    <x v="0"/>
    <x v="0"/>
    <x v="2"/>
    <x v="3"/>
    <s v="FIN_EL"/>
    <x v="2"/>
    <x v="0"/>
    <s v="GEXT_NATGAS_MERTANIEMI"/>
    <x v="0"/>
    <x v="2"/>
    <n v="103"/>
    <n v="37595"/>
    <n v="135342"/>
  </r>
  <r>
    <x v="0"/>
    <x v="0"/>
    <x v="0"/>
    <x v="2"/>
    <x v="3"/>
    <s v="FIN_EL"/>
    <x v="2"/>
    <x v="0"/>
    <s v="GEXT_NATGAS_MERTANIEMI"/>
    <x v="0"/>
    <x v="9"/>
    <n v="103"/>
    <n v="37595"/>
    <n v="135342"/>
  </r>
  <r>
    <x v="0"/>
    <x v="0"/>
    <x v="0"/>
    <x v="2"/>
    <x v="3"/>
    <s v="FIN_EL"/>
    <x v="2"/>
    <x v="0"/>
    <s v="GEXT_NATGAS_MERTANIEMI"/>
    <x v="0"/>
    <x v="10"/>
    <n v="103"/>
    <n v="37595"/>
    <n v="135342"/>
  </r>
  <r>
    <x v="0"/>
    <x v="0"/>
    <x v="0"/>
    <x v="2"/>
    <x v="3"/>
    <s v="FIN_EL"/>
    <x v="2"/>
    <x v="0"/>
    <s v="GEXT_NATGAS_MERTANIEMI"/>
    <x v="0"/>
    <x v="11"/>
    <n v="103"/>
    <n v="37595"/>
    <n v="135342"/>
  </r>
  <r>
    <x v="0"/>
    <x v="0"/>
    <x v="0"/>
    <x v="2"/>
    <x v="3"/>
    <s v="FIN_EL"/>
    <x v="2"/>
    <x v="0"/>
    <s v="GEXT_NATGAS_MERTANIEMI"/>
    <x v="0"/>
    <x v="12"/>
    <n v="103"/>
    <n v="37595"/>
    <n v="135342"/>
  </r>
  <r>
    <x v="0"/>
    <x v="0"/>
    <x v="0"/>
    <x v="2"/>
    <x v="3"/>
    <s v="FIN_EL"/>
    <x v="2"/>
    <x v="0"/>
    <s v="GEXT_NATGAS_MERTANIEMI"/>
    <x v="0"/>
    <x v="13"/>
    <n v="103"/>
    <n v="37595"/>
    <n v="135342"/>
  </r>
  <r>
    <x v="0"/>
    <x v="0"/>
    <x v="0"/>
    <x v="2"/>
    <x v="3"/>
    <s v="FIN_EL"/>
    <x v="2"/>
    <x v="0"/>
    <s v="GEXT_NATGAS_MERTANIEMI"/>
    <x v="0"/>
    <x v="14"/>
    <n v="103"/>
    <n v="37595"/>
    <n v="135342"/>
  </r>
  <r>
    <x v="0"/>
    <x v="0"/>
    <x v="0"/>
    <x v="2"/>
    <x v="3"/>
    <s v="FIN_EL"/>
    <x v="2"/>
    <x v="0"/>
    <s v="GEXT_NATGAS_MERTANIEMI"/>
    <x v="0"/>
    <x v="15"/>
    <n v="103"/>
    <n v="37595"/>
    <n v="135342"/>
  </r>
  <r>
    <x v="0"/>
    <x v="0"/>
    <x v="0"/>
    <x v="2"/>
    <x v="3"/>
    <s v="FIN_EL"/>
    <x v="2"/>
    <x v="0"/>
    <s v="GEXT_NATGAS_MERTANIEMI"/>
    <x v="0"/>
    <x v="16"/>
    <n v="103"/>
    <n v="37595"/>
    <n v="135342"/>
  </r>
  <r>
    <x v="0"/>
    <x v="0"/>
    <x v="0"/>
    <x v="2"/>
    <x v="3"/>
    <s v="FIN_EL"/>
    <x v="2"/>
    <x v="0"/>
    <s v="GEXT_NATGAS_MERTANIEMI"/>
    <x v="0"/>
    <x v="17"/>
    <n v="103"/>
    <n v="37595"/>
    <n v="135342"/>
  </r>
  <r>
    <x v="0"/>
    <x v="0"/>
    <x v="0"/>
    <x v="2"/>
    <x v="3"/>
    <s v="FIN_EL"/>
    <x v="2"/>
    <x v="0"/>
    <s v="GEXT_NATGAS_MERTANIEMI"/>
    <x v="0"/>
    <x v="18"/>
    <n v="103"/>
    <n v="37595"/>
    <n v="135342"/>
  </r>
  <r>
    <x v="0"/>
    <x v="0"/>
    <x v="0"/>
    <x v="2"/>
    <x v="3"/>
    <s v="FIN_EL"/>
    <x v="2"/>
    <x v="0"/>
    <s v="GEXT_NATGAS_MERTANIEMI"/>
    <x v="0"/>
    <x v="19"/>
    <n v="103"/>
    <n v="37595"/>
    <n v="135342"/>
  </r>
  <r>
    <x v="0"/>
    <x v="0"/>
    <x v="0"/>
    <x v="2"/>
    <x v="3"/>
    <s v="FIN_EL"/>
    <x v="2"/>
    <x v="0"/>
    <s v="GEXT_NATGAS_MERTANIEMI"/>
    <x v="0"/>
    <x v="20"/>
    <n v="103"/>
    <n v="37595"/>
    <n v="135342"/>
  </r>
  <r>
    <x v="0"/>
    <x v="0"/>
    <x v="0"/>
    <x v="2"/>
    <x v="3"/>
    <s v="FIN_EL"/>
    <x v="2"/>
    <x v="0"/>
    <s v="GEXT_NATGAS_MERTANIEMI"/>
    <x v="0"/>
    <x v="21"/>
    <n v="103"/>
    <n v="37595"/>
    <n v="135342"/>
  </r>
  <r>
    <x v="0"/>
    <x v="0"/>
    <x v="0"/>
    <x v="2"/>
    <x v="3"/>
    <s v="FIN_EL"/>
    <x v="2"/>
    <x v="0"/>
    <s v="GEXT_NATGAS_MERTANIEMI"/>
    <x v="0"/>
    <x v="22"/>
    <n v="103"/>
    <n v="37595"/>
    <n v="135342"/>
  </r>
  <r>
    <x v="0"/>
    <x v="0"/>
    <x v="0"/>
    <x v="2"/>
    <x v="3"/>
    <s v="FIN_EL"/>
    <x v="2"/>
    <x v="0"/>
    <s v="GEXT_NATGAS_MERTANIEMI"/>
    <x v="0"/>
    <x v="23"/>
    <n v="103"/>
    <n v="37595"/>
    <n v="135342"/>
  </r>
  <r>
    <x v="0"/>
    <x v="0"/>
    <x v="0"/>
    <x v="2"/>
    <x v="3"/>
    <s v="FIN_EL"/>
    <x v="4"/>
    <x v="1"/>
    <s v="GBPR_WOODCHIPS"/>
    <x v="0"/>
    <x v="0"/>
    <n v="30.1860608309924"/>
    <n v="11017.9122033122"/>
    <n v="39664.4839319241"/>
  </r>
  <r>
    <x v="0"/>
    <x v="0"/>
    <x v="0"/>
    <x v="2"/>
    <x v="3"/>
    <s v="FIN_EL"/>
    <x v="4"/>
    <x v="1"/>
    <s v="GBPR_WOODCHIPS"/>
    <x v="0"/>
    <x v="1"/>
    <n v="47"/>
    <n v="17155"/>
    <n v="61758"/>
  </r>
  <r>
    <x v="0"/>
    <x v="0"/>
    <x v="0"/>
    <x v="2"/>
    <x v="3"/>
    <s v="FIN_EL"/>
    <x v="4"/>
    <x v="1"/>
    <s v="GBPR_WOODCHIPS"/>
    <x v="0"/>
    <x v="2"/>
    <n v="47"/>
    <n v="17155"/>
    <n v="61758"/>
  </r>
  <r>
    <x v="0"/>
    <x v="0"/>
    <x v="0"/>
    <x v="2"/>
    <x v="3"/>
    <s v="FIN_EL"/>
    <x v="4"/>
    <x v="1"/>
    <s v="GBPR_WOODCHIPS"/>
    <x v="0"/>
    <x v="9"/>
    <n v="47"/>
    <n v="17155"/>
    <n v="61758"/>
  </r>
  <r>
    <x v="0"/>
    <x v="0"/>
    <x v="0"/>
    <x v="2"/>
    <x v="3"/>
    <s v="FIN_EL"/>
    <x v="4"/>
    <x v="1"/>
    <s v="GBPR_WOODCHIPS"/>
    <x v="0"/>
    <x v="10"/>
    <n v="47"/>
    <n v="17155"/>
    <n v="61758"/>
  </r>
  <r>
    <x v="0"/>
    <x v="0"/>
    <x v="0"/>
    <x v="2"/>
    <x v="3"/>
    <s v="FIN_EL"/>
    <x v="4"/>
    <x v="1"/>
    <s v="GBPR_WOODCHIPS"/>
    <x v="0"/>
    <x v="11"/>
    <n v="47"/>
    <n v="17155"/>
    <n v="61758"/>
  </r>
  <r>
    <x v="0"/>
    <x v="0"/>
    <x v="0"/>
    <x v="2"/>
    <x v="3"/>
    <s v="FIN_EL"/>
    <x v="4"/>
    <x v="1"/>
    <s v="GBPR_WOODCHIPS"/>
    <x v="0"/>
    <x v="12"/>
    <n v="41.572922666414698"/>
    <n v="15174.1167732414"/>
    <n v="54626.820383669001"/>
  </r>
  <r>
    <x v="0"/>
    <x v="0"/>
    <x v="0"/>
    <x v="2"/>
    <x v="3"/>
    <s v="FIN_EL"/>
    <x v="4"/>
    <x v="1"/>
    <s v="GBPR_WOODCHIPS"/>
    <x v="0"/>
    <x v="13"/>
    <n v="40.288500371073198"/>
    <n v="14705.3026354417"/>
    <n v="52939.089487590201"/>
  </r>
  <r>
    <x v="0"/>
    <x v="0"/>
    <x v="0"/>
    <x v="2"/>
    <x v="3"/>
    <s v="FIN_EL"/>
    <x v="4"/>
    <x v="1"/>
    <s v="GBPR_WOODCHIPS"/>
    <x v="0"/>
    <x v="14"/>
    <n v="41.981268607729902"/>
    <n v="15323.163041821401"/>
    <n v="55163.386950557098"/>
  </r>
  <r>
    <x v="0"/>
    <x v="0"/>
    <x v="0"/>
    <x v="2"/>
    <x v="3"/>
    <s v="FIN_EL"/>
    <x v="4"/>
    <x v="1"/>
    <s v="GBPR_WOODCHIPS"/>
    <x v="0"/>
    <x v="15"/>
    <n v="47"/>
    <n v="17155"/>
    <n v="61758"/>
  </r>
  <r>
    <x v="0"/>
    <x v="0"/>
    <x v="0"/>
    <x v="2"/>
    <x v="3"/>
    <s v="FIN_EL"/>
    <x v="4"/>
    <x v="1"/>
    <s v="GBPR_WOODCHIPS"/>
    <x v="0"/>
    <x v="16"/>
    <n v="39.649104666159602"/>
    <n v="14471.923203148301"/>
    <n v="52098.923531333698"/>
  </r>
  <r>
    <x v="0"/>
    <x v="0"/>
    <x v="0"/>
    <x v="2"/>
    <x v="3"/>
    <s v="FIN_EL"/>
    <x v="4"/>
    <x v="1"/>
    <s v="GBPR_WOODCHIPS"/>
    <x v="0"/>
    <x v="17"/>
    <n v="34.222713158559301"/>
    <n v="12491.2903028741"/>
    <n v="44968.645090346901"/>
  </r>
  <r>
    <x v="0"/>
    <x v="0"/>
    <x v="0"/>
    <x v="2"/>
    <x v="3"/>
    <s v="FIN_EL"/>
    <x v="4"/>
    <x v="1"/>
    <s v="GBPR_WOODCHIPS"/>
    <x v="0"/>
    <x v="18"/>
    <n v="35.303146041089299"/>
    <n v="12885.6483049976"/>
    <n v="46388.333897991397"/>
  </r>
  <r>
    <x v="0"/>
    <x v="0"/>
    <x v="0"/>
    <x v="2"/>
    <x v="3"/>
    <s v="FIN_EL"/>
    <x v="4"/>
    <x v="1"/>
    <s v="GBPR_WOODCHIPS"/>
    <x v="0"/>
    <x v="19"/>
    <n v="31.963862434083499"/>
    <n v="11666.8097884405"/>
    <n v="42000.515238385698"/>
  </r>
  <r>
    <x v="0"/>
    <x v="0"/>
    <x v="0"/>
    <x v="2"/>
    <x v="3"/>
    <s v="FIN_EL"/>
    <x v="12"/>
    <x v="1"/>
    <s v="GBPR_WOODWASTE_FINEL"/>
    <x v="0"/>
    <x v="3"/>
    <n v="110"/>
    <n v="40150"/>
    <n v="144540"/>
  </r>
  <r>
    <x v="0"/>
    <x v="0"/>
    <x v="0"/>
    <x v="2"/>
    <x v="3"/>
    <s v="FIN_EL"/>
    <x v="12"/>
    <x v="1"/>
    <s v="GBPR_WOODWASTE_FINEL"/>
    <x v="0"/>
    <x v="4"/>
    <n v="110"/>
    <n v="40150"/>
    <n v="144540"/>
  </r>
  <r>
    <x v="0"/>
    <x v="0"/>
    <x v="0"/>
    <x v="2"/>
    <x v="3"/>
    <s v="FIN_EL"/>
    <x v="12"/>
    <x v="1"/>
    <s v="GBPR_WOODWASTE_FINEL"/>
    <x v="0"/>
    <x v="5"/>
    <n v="110"/>
    <n v="40150"/>
    <n v="144540"/>
  </r>
  <r>
    <x v="0"/>
    <x v="0"/>
    <x v="0"/>
    <x v="2"/>
    <x v="3"/>
    <s v="FIN_EL"/>
    <x v="12"/>
    <x v="1"/>
    <s v="GBPR_WOODWASTE_FINEL"/>
    <x v="0"/>
    <x v="6"/>
    <n v="110"/>
    <n v="40150"/>
    <n v="144540"/>
  </r>
  <r>
    <x v="0"/>
    <x v="0"/>
    <x v="0"/>
    <x v="2"/>
    <x v="3"/>
    <s v="FIN_EL"/>
    <x v="12"/>
    <x v="1"/>
    <s v="GBPR_WOODWASTE_FINEL"/>
    <x v="0"/>
    <x v="7"/>
    <n v="110"/>
    <n v="40150"/>
    <n v="144540"/>
  </r>
  <r>
    <x v="0"/>
    <x v="0"/>
    <x v="0"/>
    <x v="2"/>
    <x v="3"/>
    <s v="FIN_EL"/>
    <x v="12"/>
    <x v="1"/>
    <s v="GBPR_WOODWASTE_FINEL"/>
    <x v="0"/>
    <x v="8"/>
    <n v="110"/>
    <n v="40150"/>
    <n v="144540"/>
  </r>
  <r>
    <x v="0"/>
    <x v="0"/>
    <x v="0"/>
    <x v="2"/>
    <x v="3"/>
    <s v="FIN_EL"/>
    <x v="12"/>
    <x v="1"/>
    <s v="GBPR_WOODWASTE_FINEL"/>
    <x v="0"/>
    <x v="0"/>
    <n v="110"/>
    <n v="40150"/>
    <n v="144540"/>
  </r>
  <r>
    <x v="0"/>
    <x v="0"/>
    <x v="0"/>
    <x v="2"/>
    <x v="3"/>
    <s v="FIN_EL"/>
    <x v="12"/>
    <x v="1"/>
    <s v="GBPR_WOODWASTE_FINEL"/>
    <x v="0"/>
    <x v="1"/>
    <n v="110"/>
    <n v="40150"/>
    <n v="144540"/>
  </r>
  <r>
    <x v="0"/>
    <x v="0"/>
    <x v="0"/>
    <x v="2"/>
    <x v="3"/>
    <s v="FIN_EL"/>
    <x v="12"/>
    <x v="1"/>
    <s v="GBPR_WOODWASTE_FINEL"/>
    <x v="0"/>
    <x v="2"/>
    <n v="110"/>
    <n v="40150"/>
    <n v="144540"/>
  </r>
  <r>
    <x v="0"/>
    <x v="0"/>
    <x v="0"/>
    <x v="2"/>
    <x v="3"/>
    <s v="FIN_EL"/>
    <x v="12"/>
    <x v="1"/>
    <s v="GBPR_WOODWASTE_FINEL"/>
    <x v="0"/>
    <x v="9"/>
    <n v="110"/>
    <n v="40150"/>
    <n v="144540"/>
  </r>
  <r>
    <x v="0"/>
    <x v="0"/>
    <x v="0"/>
    <x v="2"/>
    <x v="3"/>
    <s v="FIN_EL"/>
    <x v="12"/>
    <x v="1"/>
    <s v="GBPR_WOODWASTE_FINEL"/>
    <x v="0"/>
    <x v="10"/>
    <n v="110"/>
    <n v="40150"/>
    <n v="144540"/>
  </r>
  <r>
    <x v="0"/>
    <x v="0"/>
    <x v="0"/>
    <x v="2"/>
    <x v="3"/>
    <s v="FIN_EL"/>
    <x v="12"/>
    <x v="1"/>
    <s v="GBPR_WOODWASTE_FINEL"/>
    <x v="0"/>
    <x v="11"/>
    <n v="110"/>
    <n v="40150"/>
    <n v="144540"/>
  </r>
  <r>
    <x v="0"/>
    <x v="0"/>
    <x v="0"/>
    <x v="2"/>
    <x v="3"/>
    <s v="FIN_EL"/>
    <x v="12"/>
    <x v="1"/>
    <s v="GBPR_WOODWASTE_FINEL"/>
    <x v="0"/>
    <x v="12"/>
    <n v="110"/>
    <n v="40150"/>
    <n v="144540"/>
  </r>
  <r>
    <x v="0"/>
    <x v="0"/>
    <x v="0"/>
    <x v="2"/>
    <x v="3"/>
    <s v="FIN_EL"/>
    <x v="12"/>
    <x v="1"/>
    <s v="GBPR_WOODWASTE_FINEL"/>
    <x v="0"/>
    <x v="13"/>
    <n v="110"/>
    <n v="40150"/>
    <n v="144540"/>
  </r>
  <r>
    <x v="0"/>
    <x v="0"/>
    <x v="0"/>
    <x v="2"/>
    <x v="3"/>
    <s v="FIN_EL"/>
    <x v="12"/>
    <x v="1"/>
    <s v="GBPR_WOODWASTE_FINEL"/>
    <x v="0"/>
    <x v="14"/>
    <n v="110"/>
    <n v="40150"/>
    <n v="144540"/>
  </r>
  <r>
    <x v="0"/>
    <x v="0"/>
    <x v="0"/>
    <x v="2"/>
    <x v="3"/>
    <s v="FIN_EL"/>
    <x v="12"/>
    <x v="1"/>
    <s v="GBPR_WOODWASTE_FINEL"/>
    <x v="0"/>
    <x v="15"/>
    <n v="110"/>
    <n v="40150"/>
    <n v="144540"/>
  </r>
  <r>
    <x v="0"/>
    <x v="0"/>
    <x v="0"/>
    <x v="2"/>
    <x v="3"/>
    <s v="FIN_EL"/>
    <x v="12"/>
    <x v="1"/>
    <s v="GBPR_WOODWASTE_FINEL"/>
    <x v="0"/>
    <x v="16"/>
    <n v="110"/>
    <n v="40150"/>
    <n v="144540"/>
  </r>
  <r>
    <x v="0"/>
    <x v="0"/>
    <x v="0"/>
    <x v="2"/>
    <x v="3"/>
    <s v="FIN_EL"/>
    <x v="12"/>
    <x v="1"/>
    <s v="GBPR_WOODWASTE_FINEL"/>
    <x v="0"/>
    <x v="17"/>
    <n v="110"/>
    <n v="40150"/>
    <n v="144540"/>
  </r>
  <r>
    <x v="0"/>
    <x v="0"/>
    <x v="0"/>
    <x v="2"/>
    <x v="3"/>
    <s v="FIN_EL"/>
    <x v="12"/>
    <x v="1"/>
    <s v="GBPR_WOODWASTE_FINEL"/>
    <x v="0"/>
    <x v="18"/>
    <n v="110"/>
    <n v="40150"/>
    <n v="144540"/>
  </r>
  <r>
    <x v="0"/>
    <x v="0"/>
    <x v="0"/>
    <x v="2"/>
    <x v="3"/>
    <s v="FIN_EL"/>
    <x v="12"/>
    <x v="1"/>
    <s v="GBPR_WOODWASTE_FINEL"/>
    <x v="0"/>
    <x v="19"/>
    <n v="110"/>
    <n v="40150"/>
    <n v="144540"/>
  </r>
  <r>
    <x v="0"/>
    <x v="0"/>
    <x v="0"/>
    <x v="2"/>
    <x v="3"/>
    <s v="FIN_EL"/>
    <x v="12"/>
    <x v="1"/>
    <s v="GBPR_WOODWASTE_FINEL"/>
    <x v="0"/>
    <x v="20"/>
    <n v="110"/>
    <n v="40150"/>
    <n v="144540"/>
  </r>
  <r>
    <x v="0"/>
    <x v="0"/>
    <x v="0"/>
    <x v="2"/>
    <x v="3"/>
    <s v="FIN_EL"/>
    <x v="12"/>
    <x v="1"/>
    <s v="GBPR_WOODWASTE_FINEL"/>
    <x v="0"/>
    <x v="21"/>
    <n v="110"/>
    <n v="40150"/>
    <n v="144540"/>
  </r>
  <r>
    <x v="0"/>
    <x v="0"/>
    <x v="0"/>
    <x v="2"/>
    <x v="3"/>
    <s v="FIN_EL"/>
    <x v="12"/>
    <x v="1"/>
    <s v="GBPR_WOODWASTE_FINEL"/>
    <x v="0"/>
    <x v="22"/>
    <n v="110"/>
    <n v="40150"/>
    <n v="144540"/>
  </r>
  <r>
    <x v="0"/>
    <x v="0"/>
    <x v="0"/>
    <x v="2"/>
    <x v="3"/>
    <s v="FIN_EL"/>
    <x v="12"/>
    <x v="1"/>
    <s v="GBPR_WOODWASTE_FINEL"/>
    <x v="0"/>
    <x v="23"/>
    <n v="110"/>
    <n v="40150"/>
    <n v="144540"/>
  </r>
  <r>
    <x v="0"/>
    <x v="0"/>
    <x v="0"/>
    <x v="2"/>
    <x v="3"/>
    <s v="FIN_ESPOO"/>
    <x v="2"/>
    <x v="1"/>
    <s v="GBPR_NATGAS_SUOMENOJA"/>
    <x v="0"/>
    <x v="3"/>
    <n v="49"/>
    <n v="17885"/>
    <n v="64386"/>
  </r>
  <r>
    <x v="0"/>
    <x v="0"/>
    <x v="0"/>
    <x v="2"/>
    <x v="3"/>
    <s v="FIN_ESPOO"/>
    <x v="2"/>
    <x v="1"/>
    <s v="GBPR_NATGAS_SUOMENOJA"/>
    <x v="0"/>
    <x v="4"/>
    <n v="49"/>
    <n v="17885"/>
    <n v="64386"/>
  </r>
  <r>
    <x v="0"/>
    <x v="0"/>
    <x v="0"/>
    <x v="2"/>
    <x v="3"/>
    <s v="FIN_ESPOO"/>
    <x v="2"/>
    <x v="1"/>
    <s v="GBPR_NATGAS_SUOMENOJA"/>
    <x v="0"/>
    <x v="5"/>
    <n v="49"/>
    <n v="17885"/>
    <n v="64386"/>
  </r>
  <r>
    <x v="0"/>
    <x v="0"/>
    <x v="0"/>
    <x v="2"/>
    <x v="3"/>
    <s v="FIN_ESPOO"/>
    <x v="2"/>
    <x v="1"/>
    <s v="GBPR_NATGAS_SUOMENOJA"/>
    <x v="0"/>
    <x v="6"/>
    <n v="49"/>
    <n v="17885"/>
    <n v="64386"/>
  </r>
  <r>
    <x v="0"/>
    <x v="0"/>
    <x v="0"/>
    <x v="2"/>
    <x v="3"/>
    <s v="FIN_ESPOO"/>
    <x v="2"/>
    <x v="1"/>
    <s v="GBPR_NATGAS_SUOMENOJA"/>
    <x v="0"/>
    <x v="7"/>
    <n v="49"/>
    <n v="17885"/>
    <n v="64386"/>
  </r>
  <r>
    <x v="0"/>
    <x v="0"/>
    <x v="0"/>
    <x v="2"/>
    <x v="3"/>
    <s v="FIN_ESPOO"/>
    <x v="2"/>
    <x v="1"/>
    <s v="GBPR_NATGAS_SUOMENOJA"/>
    <x v="0"/>
    <x v="8"/>
    <n v="49"/>
    <n v="17885"/>
    <n v="64386"/>
  </r>
  <r>
    <x v="0"/>
    <x v="0"/>
    <x v="0"/>
    <x v="2"/>
    <x v="3"/>
    <s v="FIN_ESPOO"/>
    <x v="2"/>
    <x v="1"/>
    <s v="GBPR_NATGAS_SUOMENOJA"/>
    <x v="0"/>
    <x v="0"/>
    <n v="49"/>
    <n v="17885"/>
    <n v="64386"/>
  </r>
  <r>
    <x v="0"/>
    <x v="0"/>
    <x v="0"/>
    <x v="2"/>
    <x v="3"/>
    <s v="FIN_ESPOO"/>
    <x v="2"/>
    <x v="1"/>
    <s v="GBPR_NATGAS_SUOMENOJA"/>
    <x v="0"/>
    <x v="1"/>
    <n v="49"/>
    <n v="17885"/>
    <n v="64386"/>
  </r>
  <r>
    <x v="0"/>
    <x v="0"/>
    <x v="0"/>
    <x v="2"/>
    <x v="3"/>
    <s v="FIN_ESPOO"/>
    <x v="2"/>
    <x v="1"/>
    <s v="GBPR_NATGAS_SUOMENOJA"/>
    <x v="0"/>
    <x v="2"/>
    <n v="49"/>
    <n v="17885"/>
    <n v="64386"/>
  </r>
  <r>
    <x v="0"/>
    <x v="0"/>
    <x v="0"/>
    <x v="2"/>
    <x v="3"/>
    <s v="FIN_ESPOO"/>
    <x v="2"/>
    <x v="1"/>
    <s v="GBPR_NATGAS_SUOMENOJA"/>
    <x v="0"/>
    <x v="9"/>
    <n v="49"/>
    <n v="17885"/>
    <n v="64386"/>
  </r>
  <r>
    <x v="0"/>
    <x v="0"/>
    <x v="0"/>
    <x v="2"/>
    <x v="3"/>
    <s v="FIN_ESPOO"/>
    <x v="2"/>
    <x v="1"/>
    <s v="GBPR_NATGAS_SUOMENOJA"/>
    <x v="0"/>
    <x v="10"/>
    <n v="49"/>
    <n v="17885"/>
    <n v="64386"/>
  </r>
  <r>
    <x v="0"/>
    <x v="0"/>
    <x v="0"/>
    <x v="2"/>
    <x v="3"/>
    <s v="FIN_ESPOO"/>
    <x v="2"/>
    <x v="1"/>
    <s v="GBPR_NATGAS_SUOMENOJA"/>
    <x v="0"/>
    <x v="11"/>
    <n v="49"/>
    <n v="17885"/>
    <n v="64386"/>
  </r>
  <r>
    <x v="0"/>
    <x v="0"/>
    <x v="0"/>
    <x v="2"/>
    <x v="3"/>
    <s v="FIN_ESPOO"/>
    <x v="2"/>
    <x v="1"/>
    <s v="GBPR_NATGAS_SUOMENOJA"/>
    <x v="0"/>
    <x v="12"/>
    <n v="49"/>
    <n v="17885"/>
    <n v="64386"/>
  </r>
  <r>
    <x v="0"/>
    <x v="0"/>
    <x v="0"/>
    <x v="2"/>
    <x v="3"/>
    <s v="FIN_ESPOO"/>
    <x v="2"/>
    <x v="1"/>
    <s v="GBPR_NATGAS_SUOMENOJA"/>
    <x v="0"/>
    <x v="13"/>
    <n v="49"/>
    <n v="17885"/>
    <n v="64386"/>
  </r>
  <r>
    <x v="0"/>
    <x v="0"/>
    <x v="0"/>
    <x v="2"/>
    <x v="3"/>
    <s v="FIN_ESPOO"/>
    <x v="2"/>
    <x v="1"/>
    <s v="GBPR_NATGAS_SUOMENOJA"/>
    <x v="0"/>
    <x v="14"/>
    <n v="49"/>
    <n v="17885"/>
    <n v="64386"/>
  </r>
  <r>
    <x v="0"/>
    <x v="0"/>
    <x v="0"/>
    <x v="2"/>
    <x v="3"/>
    <s v="FIN_ESPOO"/>
    <x v="2"/>
    <x v="1"/>
    <s v="GBPR_NATGAS_SUOMENOJA"/>
    <x v="0"/>
    <x v="15"/>
    <n v="49"/>
    <n v="17885"/>
    <n v="64386"/>
  </r>
  <r>
    <x v="0"/>
    <x v="0"/>
    <x v="0"/>
    <x v="2"/>
    <x v="3"/>
    <s v="FIN_ESPOO"/>
    <x v="2"/>
    <x v="1"/>
    <s v="GBPR_NATGAS_SUOMENOJA"/>
    <x v="0"/>
    <x v="16"/>
    <n v="49"/>
    <n v="17885"/>
    <n v="64386"/>
  </r>
  <r>
    <x v="0"/>
    <x v="0"/>
    <x v="0"/>
    <x v="2"/>
    <x v="3"/>
    <s v="FIN_ESPOO"/>
    <x v="2"/>
    <x v="1"/>
    <s v="GBPR_NATGAS_SUOMENOJA"/>
    <x v="0"/>
    <x v="17"/>
    <n v="49"/>
    <n v="17885"/>
    <n v="64386"/>
  </r>
  <r>
    <x v="0"/>
    <x v="0"/>
    <x v="0"/>
    <x v="2"/>
    <x v="3"/>
    <s v="FIN_ESPOO"/>
    <x v="2"/>
    <x v="1"/>
    <s v="GBPR_NATGAS_SUOMENOJA"/>
    <x v="0"/>
    <x v="18"/>
    <n v="49"/>
    <n v="17885"/>
    <n v="64386"/>
  </r>
  <r>
    <x v="0"/>
    <x v="0"/>
    <x v="0"/>
    <x v="2"/>
    <x v="3"/>
    <s v="FIN_ESPOO"/>
    <x v="2"/>
    <x v="1"/>
    <s v="GBPR_NATGAS_SUOMENOJA"/>
    <x v="0"/>
    <x v="19"/>
    <n v="49"/>
    <n v="17885"/>
    <n v="64386"/>
  </r>
  <r>
    <x v="0"/>
    <x v="0"/>
    <x v="0"/>
    <x v="2"/>
    <x v="3"/>
    <s v="FIN_ESPOO"/>
    <x v="2"/>
    <x v="1"/>
    <s v="GBPR_NATGAS_SUOMENOJA"/>
    <x v="0"/>
    <x v="20"/>
    <n v="49"/>
    <n v="17885"/>
    <n v="64386"/>
  </r>
  <r>
    <x v="0"/>
    <x v="0"/>
    <x v="0"/>
    <x v="2"/>
    <x v="3"/>
    <s v="FIN_ESPOO"/>
    <x v="2"/>
    <x v="1"/>
    <s v="GBPR_NATGAS_SUOMENOJA"/>
    <x v="0"/>
    <x v="21"/>
    <n v="49"/>
    <n v="17885"/>
    <n v="64386"/>
  </r>
  <r>
    <x v="0"/>
    <x v="0"/>
    <x v="0"/>
    <x v="2"/>
    <x v="3"/>
    <s v="FIN_ESPOO"/>
    <x v="2"/>
    <x v="1"/>
    <s v="GBPR_NATGAS_SUOMENOJA"/>
    <x v="0"/>
    <x v="22"/>
    <n v="49"/>
    <n v="17885"/>
    <n v="64386"/>
  </r>
  <r>
    <x v="0"/>
    <x v="0"/>
    <x v="0"/>
    <x v="2"/>
    <x v="3"/>
    <s v="FIN_ESPOO"/>
    <x v="2"/>
    <x v="1"/>
    <s v="GBPR_NATGAS_SUOMENOJA"/>
    <x v="0"/>
    <x v="23"/>
    <n v="49"/>
    <n v="17885"/>
    <n v="64386"/>
  </r>
  <r>
    <x v="0"/>
    <x v="0"/>
    <x v="0"/>
    <x v="2"/>
    <x v="3"/>
    <s v="FIN_ESPOO"/>
    <x v="2"/>
    <x v="1"/>
    <s v="GBPR_NATGAS_SUOMENOJA2"/>
    <x v="0"/>
    <x v="3"/>
    <n v="234"/>
    <n v="85410"/>
    <n v="307476"/>
  </r>
  <r>
    <x v="0"/>
    <x v="0"/>
    <x v="0"/>
    <x v="2"/>
    <x v="3"/>
    <s v="FIN_ESPOO"/>
    <x v="2"/>
    <x v="1"/>
    <s v="GBPR_NATGAS_SUOMENOJA2"/>
    <x v="0"/>
    <x v="4"/>
    <n v="234"/>
    <n v="85410"/>
    <n v="307476"/>
  </r>
  <r>
    <x v="0"/>
    <x v="0"/>
    <x v="0"/>
    <x v="2"/>
    <x v="3"/>
    <s v="FIN_ESPOO"/>
    <x v="2"/>
    <x v="1"/>
    <s v="GBPR_NATGAS_SUOMENOJA2"/>
    <x v="0"/>
    <x v="5"/>
    <n v="234"/>
    <n v="85410"/>
    <n v="307476"/>
  </r>
  <r>
    <x v="0"/>
    <x v="0"/>
    <x v="0"/>
    <x v="2"/>
    <x v="3"/>
    <s v="FIN_ESPOO"/>
    <x v="2"/>
    <x v="1"/>
    <s v="GBPR_NATGAS_SUOMENOJA2"/>
    <x v="0"/>
    <x v="6"/>
    <n v="234"/>
    <n v="85410"/>
    <n v="307476"/>
  </r>
  <r>
    <x v="0"/>
    <x v="0"/>
    <x v="0"/>
    <x v="2"/>
    <x v="3"/>
    <s v="FIN_ESPOO"/>
    <x v="2"/>
    <x v="1"/>
    <s v="GBPR_NATGAS_SUOMENOJA2"/>
    <x v="0"/>
    <x v="7"/>
    <n v="234"/>
    <n v="85410"/>
    <n v="307476"/>
  </r>
  <r>
    <x v="0"/>
    <x v="0"/>
    <x v="0"/>
    <x v="2"/>
    <x v="3"/>
    <s v="FIN_ESPOO"/>
    <x v="2"/>
    <x v="1"/>
    <s v="GBPR_NATGAS_SUOMENOJA2"/>
    <x v="0"/>
    <x v="8"/>
    <n v="234"/>
    <n v="85410"/>
    <n v="307476"/>
  </r>
  <r>
    <x v="0"/>
    <x v="0"/>
    <x v="0"/>
    <x v="2"/>
    <x v="3"/>
    <s v="FIN_ESPOO"/>
    <x v="2"/>
    <x v="1"/>
    <s v="GBPR_NATGAS_SUOMENOJA2"/>
    <x v="0"/>
    <x v="0"/>
    <n v="234"/>
    <n v="85410"/>
    <n v="307476"/>
  </r>
  <r>
    <x v="0"/>
    <x v="0"/>
    <x v="0"/>
    <x v="2"/>
    <x v="3"/>
    <s v="FIN_ESPOO"/>
    <x v="2"/>
    <x v="1"/>
    <s v="GBPR_NATGAS_SUOMENOJA2"/>
    <x v="0"/>
    <x v="1"/>
    <n v="234"/>
    <n v="85410"/>
    <n v="307476"/>
  </r>
  <r>
    <x v="0"/>
    <x v="0"/>
    <x v="0"/>
    <x v="2"/>
    <x v="3"/>
    <s v="FIN_ESPOO"/>
    <x v="2"/>
    <x v="1"/>
    <s v="GBPR_NATGAS_SUOMENOJA2"/>
    <x v="0"/>
    <x v="2"/>
    <n v="234"/>
    <n v="85410"/>
    <n v="307476"/>
  </r>
  <r>
    <x v="0"/>
    <x v="0"/>
    <x v="0"/>
    <x v="2"/>
    <x v="3"/>
    <s v="FIN_ESPOO"/>
    <x v="2"/>
    <x v="1"/>
    <s v="GBPR_NATGAS_SUOMENOJA2"/>
    <x v="0"/>
    <x v="9"/>
    <n v="234"/>
    <n v="85410"/>
    <n v="307476"/>
  </r>
  <r>
    <x v="0"/>
    <x v="0"/>
    <x v="0"/>
    <x v="2"/>
    <x v="3"/>
    <s v="FIN_ESPOO"/>
    <x v="2"/>
    <x v="1"/>
    <s v="GBPR_NATGAS_SUOMENOJA2"/>
    <x v="0"/>
    <x v="10"/>
    <n v="234"/>
    <n v="85410"/>
    <n v="307476"/>
  </r>
  <r>
    <x v="0"/>
    <x v="0"/>
    <x v="0"/>
    <x v="2"/>
    <x v="3"/>
    <s v="FIN_ESPOO"/>
    <x v="2"/>
    <x v="1"/>
    <s v="GBPR_NATGAS_SUOMENOJA2"/>
    <x v="0"/>
    <x v="11"/>
    <n v="234"/>
    <n v="85410"/>
    <n v="307476"/>
  </r>
  <r>
    <x v="0"/>
    <x v="0"/>
    <x v="0"/>
    <x v="2"/>
    <x v="3"/>
    <s v="FIN_ESPOO"/>
    <x v="2"/>
    <x v="1"/>
    <s v="GBPR_NATGAS_SUOMENOJA2"/>
    <x v="0"/>
    <x v="12"/>
    <n v="234"/>
    <n v="85410"/>
    <n v="307476"/>
  </r>
  <r>
    <x v="0"/>
    <x v="0"/>
    <x v="0"/>
    <x v="2"/>
    <x v="3"/>
    <s v="FIN_ESPOO"/>
    <x v="2"/>
    <x v="1"/>
    <s v="GBPR_NATGAS_SUOMENOJA2"/>
    <x v="0"/>
    <x v="13"/>
    <n v="234"/>
    <n v="85410"/>
    <n v="307476"/>
  </r>
  <r>
    <x v="0"/>
    <x v="0"/>
    <x v="0"/>
    <x v="2"/>
    <x v="3"/>
    <s v="FIN_ESPOO"/>
    <x v="2"/>
    <x v="1"/>
    <s v="GBPR_NATGAS_SUOMENOJA2"/>
    <x v="0"/>
    <x v="14"/>
    <n v="234"/>
    <n v="85410"/>
    <n v="307476"/>
  </r>
  <r>
    <x v="0"/>
    <x v="0"/>
    <x v="0"/>
    <x v="2"/>
    <x v="3"/>
    <s v="FIN_ESPOO"/>
    <x v="2"/>
    <x v="1"/>
    <s v="GBPR_NATGAS_SUOMENOJA2"/>
    <x v="0"/>
    <x v="15"/>
    <n v="234"/>
    <n v="85410"/>
    <n v="307476"/>
  </r>
  <r>
    <x v="0"/>
    <x v="0"/>
    <x v="0"/>
    <x v="2"/>
    <x v="3"/>
    <s v="FIN_ESPOO"/>
    <x v="2"/>
    <x v="1"/>
    <s v="GBPR_NATGAS_SUOMENOJA2"/>
    <x v="0"/>
    <x v="16"/>
    <n v="234"/>
    <n v="85410"/>
    <n v="307476"/>
  </r>
  <r>
    <x v="0"/>
    <x v="0"/>
    <x v="0"/>
    <x v="2"/>
    <x v="3"/>
    <s v="FIN_ESPOO"/>
    <x v="2"/>
    <x v="1"/>
    <s v="GBPR_NATGAS_SUOMENOJA2"/>
    <x v="0"/>
    <x v="17"/>
    <n v="234"/>
    <n v="85410"/>
    <n v="307476"/>
  </r>
  <r>
    <x v="0"/>
    <x v="0"/>
    <x v="0"/>
    <x v="2"/>
    <x v="3"/>
    <s v="FIN_ESPOO"/>
    <x v="2"/>
    <x v="1"/>
    <s v="GBPR_NATGAS_SUOMENOJA2"/>
    <x v="0"/>
    <x v="18"/>
    <n v="234"/>
    <n v="85410"/>
    <n v="307476"/>
  </r>
  <r>
    <x v="0"/>
    <x v="0"/>
    <x v="0"/>
    <x v="2"/>
    <x v="3"/>
    <s v="FIN_ESPOO"/>
    <x v="2"/>
    <x v="1"/>
    <s v="GBPR_NATGAS_SUOMENOJA2"/>
    <x v="0"/>
    <x v="19"/>
    <n v="234"/>
    <n v="85410"/>
    <n v="307476"/>
  </r>
  <r>
    <x v="0"/>
    <x v="0"/>
    <x v="0"/>
    <x v="2"/>
    <x v="3"/>
    <s v="FIN_ESPOO"/>
    <x v="2"/>
    <x v="1"/>
    <s v="GBPR_NATGAS_SUOMENOJA2"/>
    <x v="0"/>
    <x v="20"/>
    <n v="234"/>
    <n v="85410"/>
    <n v="307476"/>
  </r>
  <r>
    <x v="0"/>
    <x v="0"/>
    <x v="0"/>
    <x v="2"/>
    <x v="3"/>
    <s v="FIN_ESPOO"/>
    <x v="2"/>
    <x v="1"/>
    <s v="GBPR_NATGAS_SUOMENOJA2"/>
    <x v="0"/>
    <x v="21"/>
    <n v="234"/>
    <n v="85410"/>
    <n v="307476"/>
  </r>
  <r>
    <x v="0"/>
    <x v="0"/>
    <x v="0"/>
    <x v="2"/>
    <x v="3"/>
    <s v="FIN_ESPOO"/>
    <x v="2"/>
    <x v="1"/>
    <s v="GBPR_NATGAS_SUOMENOJA2"/>
    <x v="0"/>
    <x v="22"/>
    <n v="234"/>
    <n v="85410"/>
    <n v="307476"/>
  </r>
  <r>
    <x v="0"/>
    <x v="0"/>
    <x v="0"/>
    <x v="2"/>
    <x v="3"/>
    <s v="FIN_ESPOO"/>
    <x v="2"/>
    <x v="1"/>
    <s v="GBPR_NATGAS_SUOMENOJA2"/>
    <x v="0"/>
    <x v="23"/>
    <n v="234"/>
    <n v="85410"/>
    <n v="307476"/>
  </r>
  <r>
    <x v="0"/>
    <x v="0"/>
    <x v="0"/>
    <x v="2"/>
    <x v="3"/>
    <s v="FIN_GAS"/>
    <x v="2"/>
    <x v="1"/>
    <s v="GBPR_NATGAS_GASAREA"/>
    <x v="0"/>
    <x v="3"/>
    <n v="59"/>
    <n v="21535"/>
    <n v="77526"/>
  </r>
  <r>
    <x v="0"/>
    <x v="0"/>
    <x v="0"/>
    <x v="2"/>
    <x v="3"/>
    <s v="FIN_GAS"/>
    <x v="2"/>
    <x v="1"/>
    <s v="GBPR_NATGAS_GASAREA"/>
    <x v="0"/>
    <x v="4"/>
    <n v="59"/>
    <n v="21535"/>
    <n v="77526"/>
  </r>
  <r>
    <x v="0"/>
    <x v="0"/>
    <x v="0"/>
    <x v="2"/>
    <x v="3"/>
    <s v="FIN_GAS"/>
    <x v="2"/>
    <x v="1"/>
    <s v="GBPR_NATGAS_GASAREA"/>
    <x v="0"/>
    <x v="5"/>
    <n v="59"/>
    <n v="21535"/>
    <n v="77526"/>
  </r>
  <r>
    <x v="0"/>
    <x v="0"/>
    <x v="0"/>
    <x v="2"/>
    <x v="3"/>
    <s v="FIN_GAS"/>
    <x v="2"/>
    <x v="1"/>
    <s v="GBPR_NATGAS_GASAREA"/>
    <x v="0"/>
    <x v="6"/>
    <n v="59"/>
    <n v="21535"/>
    <n v="77526"/>
  </r>
  <r>
    <x v="0"/>
    <x v="0"/>
    <x v="0"/>
    <x v="2"/>
    <x v="3"/>
    <s v="FIN_GAS"/>
    <x v="2"/>
    <x v="1"/>
    <s v="GBPR_NATGAS_GASAREA"/>
    <x v="0"/>
    <x v="7"/>
    <n v="59"/>
    <n v="21535"/>
    <n v="77526"/>
  </r>
  <r>
    <x v="0"/>
    <x v="0"/>
    <x v="0"/>
    <x v="2"/>
    <x v="3"/>
    <s v="FIN_GAS"/>
    <x v="2"/>
    <x v="1"/>
    <s v="GBPR_NATGAS_GASAREA"/>
    <x v="0"/>
    <x v="8"/>
    <n v="59"/>
    <n v="21535"/>
    <n v="77526"/>
  </r>
  <r>
    <x v="0"/>
    <x v="0"/>
    <x v="0"/>
    <x v="2"/>
    <x v="3"/>
    <s v="FIN_GAS"/>
    <x v="2"/>
    <x v="1"/>
    <s v="GBPR_NATGAS_GASAREA"/>
    <x v="0"/>
    <x v="0"/>
    <n v="59"/>
    <n v="21535"/>
    <n v="77526"/>
  </r>
  <r>
    <x v="0"/>
    <x v="0"/>
    <x v="0"/>
    <x v="2"/>
    <x v="3"/>
    <s v="FIN_GAS"/>
    <x v="2"/>
    <x v="1"/>
    <s v="GBPR_NATGAS_GASAREA"/>
    <x v="0"/>
    <x v="1"/>
    <n v="59"/>
    <n v="21535"/>
    <n v="77526"/>
  </r>
  <r>
    <x v="0"/>
    <x v="0"/>
    <x v="0"/>
    <x v="2"/>
    <x v="3"/>
    <s v="FIN_GAS"/>
    <x v="2"/>
    <x v="1"/>
    <s v="GBPR_NATGAS_GASAREA"/>
    <x v="0"/>
    <x v="2"/>
    <n v="59"/>
    <n v="21535"/>
    <n v="77526"/>
  </r>
  <r>
    <x v="0"/>
    <x v="0"/>
    <x v="0"/>
    <x v="2"/>
    <x v="3"/>
    <s v="FIN_GAS"/>
    <x v="2"/>
    <x v="1"/>
    <s v="GBPR_NATGAS_GASAREA"/>
    <x v="0"/>
    <x v="9"/>
    <n v="59"/>
    <n v="21535"/>
    <n v="77526"/>
  </r>
  <r>
    <x v="0"/>
    <x v="0"/>
    <x v="0"/>
    <x v="2"/>
    <x v="3"/>
    <s v="FIN_GAS"/>
    <x v="2"/>
    <x v="1"/>
    <s v="GBPR_NATGAS_GASAREA"/>
    <x v="0"/>
    <x v="10"/>
    <n v="59"/>
    <n v="21535"/>
    <n v="77526"/>
  </r>
  <r>
    <x v="0"/>
    <x v="0"/>
    <x v="0"/>
    <x v="2"/>
    <x v="3"/>
    <s v="FIN_GAS"/>
    <x v="2"/>
    <x v="1"/>
    <s v="GBPR_NATGAS_GASAREA"/>
    <x v="0"/>
    <x v="11"/>
    <n v="59"/>
    <n v="21535"/>
    <n v="77526"/>
  </r>
  <r>
    <x v="0"/>
    <x v="0"/>
    <x v="0"/>
    <x v="2"/>
    <x v="3"/>
    <s v="FIN_GAS"/>
    <x v="2"/>
    <x v="1"/>
    <s v="GBPR_NATGAS_GASAREA"/>
    <x v="0"/>
    <x v="12"/>
    <n v="59"/>
    <n v="21535"/>
    <n v="77526"/>
  </r>
  <r>
    <x v="0"/>
    <x v="0"/>
    <x v="0"/>
    <x v="2"/>
    <x v="3"/>
    <s v="FIN_GAS"/>
    <x v="2"/>
    <x v="1"/>
    <s v="GBPR_NATGAS_GASAREA"/>
    <x v="0"/>
    <x v="13"/>
    <n v="59"/>
    <n v="21535"/>
    <n v="77526"/>
  </r>
  <r>
    <x v="0"/>
    <x v="0"/>
    <x v="0"/>
    <x v="2"/>
    <x v="3"/>
    <s v="FIN_GAS"/>
    <x v="2"/>
    <x v="1"/>
    <s v="GBPR_NATGAS_GASAREA"/>
    <x v="0"/>
    <x v="14"/>
    <n v="59"/>
    <n v="21535"/>
    <n v="77526"/>
  </r>
  <r>
    <x v="0"/>
    <x v="0"/>
    <x v="0"/>
    <x v="2"/>
    <x v="3"/>
    <s v="FIN_GAS"/>
    <x v="2"/>
    <x v="1"/>
    <s v="GBPR_NATGAS_GASAREA"/>
    <x v="0"/>
    <x v="15"/>
    <n v="59"/>
    <n v="21535"/>
    <n v="77526"/>
  </r>
  <r>
    <x v="0"/>
    <x v="0"/>
    <x v="0"/>
    <x v="2"/>
    <x v="3"/>
    <s v="FIN_GAS"/>
    <x v="2"/>
    <x v="1"/>
    <s v="GBPR_NATGAS_GASAREA"/>
    <x v="0"/>
    <x v="16"/>
    <n v="59"/>
    <n v="21535"/>
    <n v="77526"/>
  </r>
  <r>
    <x v="0"/>
    <x v="0"/>
    <x v="0"/>
    <x v="2"/>
    <x v="3"/>
    <s v="FIN_GAS"/>
    <x v="2"/>
    <x v="1"/>
    <s v="GBPR_NATGAS_GASAREA"/>
    <x v="0"/>
    <x v="17"/>
    <n v="59"/>
    <n v="21535"/>
    <n v="77526"/>
  </r>
  <r>
    <x v="0"/>
    <x v="0"/>
    <x v="0"/>
    <x v="2"/>
    <x v="3"/>
    <s v="FIN_GAS"/>
    <x v="2"/>
    <x v="1"/>
    <s v="GBPR_NATGAS_GASAREA"/>
    <x v="0"/>
    <x v="18"/>
    <n v="59"/>
    <n v="21535"/>
    <n v="77526"/>
  </r>
  <r>
    <x v="0"/>
    <x v="0"/>
    <x v="0"/>
    <x v="2"/>
    <x v="3"/>
    <s v="FIN_GAS"/>
    <x v="2"/>
    <x v="1"/>
    <s v="GBPR_NATGAS_GASAREA"/>
    <x v="0"/>
    <x v="19"/>
    <n v="59"/>
    <n v="21535"/>
    <n v="77526"/>
  </r>
  <r>
    <x v="0"/>
    <x v="0"/>
    <x v="0"/>
    <x v="2"/>
    <x v="3"/>
    <s v="FIN_GAS"/>
    <x v="2"/>
    <x v="1"/>
    <s v="GBPR_NATGAS_GASAREA"/>
    <x v="0"/>
    <x v="20"/>
    <n v="59"/>
    <n v="21535"/>
    <n v="77526"/>
  </r>
  <r>
    <x v="0"/>
    <x v="0"/>
    <x v="0"/>
    <x v="2"/>
    <x v="3"/>
    <s v="FIN_GAS"/>
    <x v="2"/>
    <x v="1"/>
    <s v="GBPR_NATGAS_GASAREA"/>
    <x v="0"/>
    <x v="21"/>
    <n v="59"/>
    <n v="21535"/>
    <n v="77526"/>
  </r>
  <r>
    <x v="0"/>
    <x v="0"/>
    <x v="0"/>
    <x v="2"/>
    <x v="3"/>
    <s v="FIN_GAS"/>
    <x v="2"/>
    <x v="1"/>
    <s v="GBPR_NATGAS_GASAREA"/>
    <x v="0"/>
    <x v="22"/>
    <n v="59"/>
    <n v="21535"/>
    <n v="77526"/>
  </r>
  <r>
    <x v="0"/>
    <x v="0"/>
    <x v="0"/>
    <x v="2"/>
    <x v="3"/>
    <s v="FIN_GAS"/>
    <x v="2"/>
    <x v="1"/>
    <s v="GBPR_NATGAS_GASAREA"/>
    <x v="0"/>
    <x v="23"/>
    <n v="59"/>
    <n v="21535"/>
    <n v="77526"/>
  </r>
  <r>
    <x v="0"/>
    <x v="0"/>
    <x v="0"/>
    <x v="2"/>
    <x v="3"/>
    <s v="FIN_GAS"/>
    <x v="2"/>
    <x v="0"/>
    <s v="GEXT_NATGAS_NOKIA"/>
    <x v="0"/>
    <x v="3"/>
    <n v="64"/>
    <n v="23360"/>
    <n v="84096"/>
  </r>
  <r>
    <x v="0"/>
    <x v="0"/>
    <x v="0"/>
    <x v="2"/>
    <x v="3"/>
    <s v="FIN_GAS"/>
    <x v="2"/>
    <x v="0"/>
    <s v="GEXT_NATGAS_NOKIA"/>
    <x v="0"/>
    <x v="4"/>
    <n v="64"/>
    <n v="23360"/>
    <n v="84096"/>
  </r>
  <r>
    <x v="0"/>
    <x v="0"/>
    <x v="0"/>
    <x v="2"/>
    <x v="3"/>
    <s v="FIN_GAS"/>
    <x v="2"/>
    <x v="0"/>
    <s v="GEXT_NATGAS_NOKIA"/>
    <x v="0"/>
    <x v="5"/>
    <n v="64"/>
    <n v="23360"/>
    <n v="84096"/>
  </r>
  <r>
    <x v="0"/>
    <x v="0"/>
    <x v="0"/>
    <x v="2"/>
    <x v="3"/>
    <s v="FIN_GAS"/>
    <x v="2"/>
    <x v="0"/>
    <s v="GEXT_NATGAS_NOKIA"/>
    <x v="0"/>
    <x v="6"/>
    <n v="64"/>
    <n v="23360"/>
    <n v="84096"/>
  </r>
  <r>
    <x v="0"/>
    <x v="0"/>
    <x v="0"/>
    <x v="2"/>
    <x v="3"/>
    <s v="FIN_GAS"/>
    <x v="2"/>
    <x v="0"/>
    <s v="GEXT_NATGAS_NOKIA"/>
    <x v="0"/>
    <x v="7"/>
    <n v="64"/>
    <n v="23360"/>
    <n v="84096"/>
  </r>
  <r>
    <x v="0"/>
    <x v="0"/>
    <x v="0"/>
    <x v="2"/>
    <x v="3"/>
    <s v="FIN_GAS"/>
    <x v="2"/>
    <x v="0"/>
    <s v="GEXT_NATGAS_NOKIA"/>
    <x v="0"/>
    <x v="8"/>
    <n v="64"/>
    <n v="23360"/>
    <n v="84096"/>
  </r>
  <r>
    <x v="0"/>
    <x v="0"/>
    <x v="0"/>
    <x v="2"/>
    <x v="3"/>
    <s v="FIN_GAS"/>
    <x v="2"/>
    <x v="0"/>
    <s v="GEXT_NATGAS_NOKIA"/>
    <x v="0"/>
    <x v="0"/>
    <n v="64"/>
    <n v="23360"/>
    <n v="84096"/>
  </r>
  <r>
    <x v="0"/>
    <x v="0"/>
    <x v="0"/>
    <x v="2"/>
    <x v="3"/>
    <s v="FIN_GAS"/>
    <x v="2"/>
    <x v="0"/>
    <s v="GEXT_NATGAS_NOKIA"/>
    <x v="0"/>
    <x v="1"/>
    <n v="64"/>
    <n v="23360"/>
    <n v="84096"/>
  </r>
  <r>
    <x v="0"/>
    <x v="0"/>
    <x v="0"/>
    <x v="2"/>
    <x v="3"/>
    <s v="FIN_GAS"/>
    <x v="2"/>
    <x v="0"/>
    <s v="GEXT_NATGAS_NOKIA"/>
    <x v="0"/>
    <x v="2"/>
    <n v="64"/>
    <n v="23360"/>
    <n v="84096"/>
  </r>
  <r>
    <x v="0"/>
    <x v="0"/>
    <x v="0"/>
    <x v="2"/>
    <x v="3"/>
    <s v="FIN_GAS"/>
    <x v="2"/>
    <x v="0"/>
    <s v="GEXT_NATGAS_NOKIA"/>
    <x v="0"/>
    <x v="9"/>
    <n v="64"/>
    <n v="23360"/>
    <n v="84096"/>
  </r>
  <r>
    <x v="0"/>
    <x v="0"/>
    <x v="0"/>
    <x v="2"/>
    <x v="3"/>
    <s v="FIN_GAS"/>
    <x v="2"/>
    <x v="0"/>
    <s v="GEXT_NATGAS_NOKIA"/>
    <x v="0"/>
    <x v="10"/>
    <n v="64"/>
    <n v="23360"/>
    <n v="84096"/>
  </r>
  <r>
    <x v="0"/>
    <x v="0"/>
    <x v="0"/>
    <x v="2"/>
    <x v="3"/>
    <s v="FIN_GAS"/>
    <x v="2"/>
    <x v="0"/>
    <s v="GEXT_NATGAS_NOKIA"/>
    <x v="0"/>
    <x v="11"/>
    <n v="64"/>
    <n v="23360"/>
    <n v="84096"/>
  </r>
  <r>
    <x v="0"/>
    <x v="0"/>
    <x v="0"/>
    <x v="2"/>
    <x v="3"/>
    <s v="FIN_GAS"/>
    <x v="2"/>
    <x v="0"/>
    <s v="GEXT_NATGAS_NOKIA"/>
    <x v="0"/>
    <x v="12"/>
    <n v="64"/>
    <n v="23360"/>
    <n v="84096"/>
  </r>
  <r>
    <x v="0"/>
    <x v="0"/>
    <x v="0"/>
    <x v="2"/>
    <x v="3"/>
    <s v="FIN_GAS"/>
    <x v="2"/>
    <x v="0"/>
    <s v="GEXT_NATGAS_NOKIA"/>
    <x v="0"/>
    <x v="13"/>
    <n v="64"/>
    <n v="23360"/>
    <n v="84096"/>
  </r>
  <r>
    <x v="0"/>
    <x v="0"/>
    <x v="0"/>
    <x v="2"/>
    <x v="3"/>
    <s v="FIN_GAS"/>
    <x v="2"/>
    <x v="0"/>
    <s v="GEXT_NATGAS_NOKIA"/>
    <x v="0"/>
    <x v="14"/>
    <n v="64"/>
    <n v="23360"/>
    <n v="84096"/>
  </r>
  <r>
    <x v="0"/>
    <x v="0"/>
    <x v="0"/>
    <x v="2"/>
    <x v="3"/>
    <s v="FIN_GAS"/>
    <x v="2"/>
    <x v="0"/>
    <s v="GEXT_NATGAS_NOKIA"/>
    <x v="0"/>
    <x v="15"/>
    <n v="64"/>
    <n v="23360"/>
    <n v="84096"/>
  </r>
  <r>
    <x v="0"/>
    <x v="0"/>
    <x v="0"/>
    <x v="2"/>
    <x v="3"/>
    <s v="FIN_GAS"/>
    <x v="2"/>
    <x v="0"/>
    <s v="GEXT_NATGAS_NOKIA"/>
    <x v="0"/>
    <x v="16"/>
    <n v="64"/>
    <n v="23360"/>
    <n v="84096"/>
  </r>
  <r>
    <x v="0"/>
    <x v="0"/>
    <x v="0"/>
    <x v="2"/>
    <x v="3"/>
    <s v="FIN_GAS"/>
    <x v="2"/>
    <x v="0"/>
    <s v="GEXT_NATGAS_NOKIA"/>
    <x v="0"/>
    <x v="17"/>
    <n v="64"/>
    <n v="23360"/>
    <n v="84096"/>
  </r>
  <r>
    <x v="0"/>
    <x v="0"/>
    <x v="0"/>
    <x v="2"/>
    <x v="3"/>
    <s v="FIN_GAS"/>
    <x v="2"/>
    <x v="0"/>
    <s v="GEXT_NATGAS_NOKIA"/>
    <x v="0"/>
    <x v="18"/>
    <n v="64"/>
    <n v="23360"/>
    <n v="84096"/>
  </r>
  <r>
    <x v="0"/>
    <x v="0"/>
    <x v="0"/>
    <x v="2"/>
    <x v="3"/>
    <s v="FIN_GAS"/>
    <x v="2"/>
    <x v="0"/>
    <s v="GEXT_NATGAS_NOKIA"/>
    <x v="0"/>
    <x v="19"/>
    <n v="64"/>
    <n v="23360"/>
    <n v="84096"/>
  </r>
  <r>
    <x v="0"/>
    <x v="0"/>
    <x v="0"/>
    <x v="2"/>
    <x v="3"/>
    <s v="FIN_GAS"/>
    <x v="2"/>
    <x v="0"/>
    <s v="GEXT_NATGAS_NOKIA"/>
    <x v="0"/>
    <x v="20"/>
    <n v="64"/>
    <n v="23360"/>
    <n v="84096"/>
  </r>
  <r>
    <x v="0"/>
    <x v="0"/>
    <x v="0"/>
    <x v="2"/>
    <x v="3"/>
    <s v="FIN_GAS"/>
    <x v="2"/>
    <x v="0"/>
    <s v="GEXT_NATGAS_NOKIA"/>
    <x v="0"/>
    <x v="21"/>
    <n v="64"/>
    <n v="23360"/>
    <n v="84096"/>
  </r>
  <r>
    <x v="0"/>
    <x v="0"/>
    <x v="0"/>
    <x v="2"/>
    <x v="3"/>
    <s v="FIN_GAS"/>
    <x v="2"/>
    <x v="0"/>
    <s v="GEXT_NATGAS_NOKIA"/>
    <x v="0"/>
    <x v="22"/>
    <n v="64"/>
    <n v="23360"/>
    <n v="84096"/>
  </r>
  <r>
    <x v="0"/>
    <x v="0"/>
    <x v="0"/>
    <x v="2"/>
    <x v="3"/>
    <s v="FIN_GAS"/>
    <x v="2"/>
    <x v="0"/>
    <s v="GEXT_NATGAS_NOKIA"/>
    <x v="0"/>
    <x v="23"/>
    <n v="64"/>
    <n v="23360"/>
    <n v="84096"/>
  </r>
  <r>
    <x v="0"/>
    <x v="0"/>
    <x v="0"/>
    <x v="2"/>
    <x v="3"/>
    <s v="FIN_HELS"/>
    <x v="2"/>
    <x v="1"/>
    <s v="GBPR_NATGAS_MARTINLAAKSOGT"/>
    <x v="0"/>
    <x v="3"/>
    <n v="58"/>
    <n v="21170"/>
    <n v="76212"/>
  </r>
  <r>
    <x v="0"/>
    <x v="0"/>
    <x v="0"/>
    <x v="2"/>
    <x v="3"/>
    <s v="FIN_HELS"/>
    <x v="2"/>
    <x v="1"/>
    <s v="GBPR_NATGAS_MARTINLAAKSOGT"/>
    <x v="0"/>
    <x v="4"/>
    <n v="58"/>
    <n v="21170"/>
    <n v="76212"/>
  </r>
  <r>
    <x v="0"/>
    <x v="0"/>
    <x v="0"/>
    <x v="2"/>
    <x v="3"/>
    <s v="FIN_HELS"/>
    <x v="2"/>
    <x v="1"/>
    <s v="GBPR_NATGAS_MARTINLAAKSOGT"/>
    <x v="0"/>
    <x v="5"/>
    <n v="58"/>
    <n v="21170"/>
    <n v="76212"/>
  </r>
  <r>
    <x v="0"/>
    <x v="0"/>
    <x v="0"/>
    <x v="2"/>
    <x v="3"/>
    <s v="FIN_HELS"/>
    <x v="2"/>
    <x v="1"/>
    <s v="GBPR_NATGAS_MARTINLAAKSOGT"/>
    <x v="0"/>
    <x v="6"/>
    <n v="58"/>
    <n v="21170"/>
    <n v="76212"/>
  </r>
  <r>
    <x v="0"/>
    <x v="0"/>
    <x v="0"/>
    <x v="2"/>
    <x v="3"/>
    <s v="FIN_HELS"/>
    <x v="2"/>
    <x v="1"/>
    <s v="GBPR_NATGAS_MARTINLAAKSOGT"/>
    <x v="0"/>
    <x v="7"/>
    <n v="58"/>
    <n v="21170"/>
    <n v="76212"/>
  </r>
  <r>
    <x v="0"/>
    <x v="0"/>
    <x v="0"/>
    <x v="2"/>
    <x v="3"/>
    <s v="FIN_HELS"/>
    <x v="2"/>
    <x v="1"/>
    <s v="GBPR_NATGAS_MARTINLAAKSOGT"/>
    <x v="0"/>
    <x v="8"/>
    <n v="58"/>
    <n v="21170"/>
    <n v="76212"/>
  </r>
  <r>
    <x v="0"/>
    <x v="0"/>
    <x v="0"/>
    <x v="2"/>
    <x v="3"/>
    <s v="FIN_HELS"/>
    <x v="2"/>
    <x v="1"/>
    <s v="GBPR_NATGAS_MARTINLAAKSOGT"/>
    <x v="0"/>
    <x v="0"/>
    <n v="58"/>
    <n v="21170"/>
    <n v="76212"/>
  </r>
  <r>
    <x v="0"/>
    <x v="0"/>
    <x v="0"/>
    <x v="2"/>
    <x v="3"/>
    <s v="FIN_HELS"/>
    <x v="2"/>
    <x v="1"/>
    <s v="GBPR_NATGAS_MARTINLAAKSOGT"/>
    <x v="0"/>
    <x v="1"/>
    <n v="58"/>
    <n v="21170"/>
    <n v="76212"/>
  </r>
  <r>
    <x v="0"/>
    <x v="0"/>
    <x v="0"/>
    <x v="2"/>
    <x v="3"/>
    <s v="FIN_HELS"/>
    <x v="2"/>
    <x v="1"/>
    <s v="GBPR_NATGAS_MARTINLAAKSOGT"/>
    <x v="0"/>
    <x v="2"/>
    <n v="58"/>
    <n v="21170"/>
    <n v="76212"/>
  </r>
  <r>
    <x v="0"/>
    <x v="0"/>
    <x v="0"/>
    <x v="2"/>
    <x v="3"/>
    <s v="FIN_HELS"/>
    <x v="2"/>
    <x v="1"/>
    <s v="GBPR_NATGAS_MARTINLAAKSOGT"/>
    <x v="0"/>
    <x v="9"/>
    <n v="58"/>
    <n v="21170"/>
    <n v="76212"/>
  </r>
  <r>
    <x v="0"/>
    <x v="0"/>
    <x v="0"/>
    <x v="2"/>
    <x v="3"/>
    <s v="FIN_HELS"/>
    <x v="2"/>
    <x v="1"/>
    <s v="GBPR_NATGAS_MARTINLAAKSOGT"/>
    <x v="0"/>
    <x v="10"/>
    <n v="58"/>
    <n v="21170"/>
    <n v="76212"/>
  </r>
  <r>
    <x v="0"/>
    <x v="0"/>
    <x v="0"/>
    <x v="2"/>
    <x v="3"/>
    <s v="FIN_HELS"/>
    <x v="2"/>
    <x v="1"/>
    <s v="GBPR_NATGAS_MARTINLAAKSOGT"/>
    <x v="0"/>
    <x v="11"/>
    <n v="58"/>
    <n v="21170"/>
    <n v="76212"/>
  </r>
  <r>
    <x v="0"/>
    <x v="0"/>
    <x v="0"/>
    <x v="2"/>
    <x v="3"/>
    <s v="FIN_HELS"/>
    <x v="2"/>
    <x v="1"/>
    <s v="GBPR_NATGAS_MARTINLAAKSOGT"/>
    <x v="0"/>
    <x v="12"/>
    <n v="58"/>
    <n v="21170"/>
    <n v="76212"/>
  </r>
  <r>
    <x v="0"/>
    <x v="0"/>
    <x v="0"/>
    <x v="2"/>
    <x v="3"/>
    <s v="FIN_HELS"/>
    <x v="2"/>
    <x v="1"/>
    <s v="GBPR_NATGAS_MARTINLAAKSOGT"/>
    <x v="0"/>
    <x v="13"/>
    <n v="58"/>
    <n v="21170"/>
    <n v="76212"/>
  </r>
  <r>
    <x v="0"/>
    <x v="0"/>
    <x v="0"/>
    <x v="2"/>
    <x v="3"/>
    <s v="FIN_HELS"/>
    <x v="2"/>
    <x v="1"/>
    <s v="GBPR_NATGAS_MARTINLAAKSOGT"/>
    <x v="0"/>
    <x v="14"/>
    <n v="58"/>
    <n v="21170"/>
    <n v="76212"/>
  </r>
  <r>
    <x v="0"/>
    <x v="0"/>
    <x v="0"/>
    <x v="2"/>
    <x v="3"/>
    <s v="FIN_HELS"/>
    <x v="2"/>
    <x v="1"/>
    <s v="GBPR_NATGAS_MARTINLAAKSOGT"/>
    <x v="0"/>
    <x v="15"/>
    <n v="58"/>
    <n v="21170"/>
    <n v="76212"/>
  </r>
  <r>
    <x v="0"/>
    <x v="0"/>
    <x v="0"/>
    <x v="2"/>
    <x v="3"/>
    <s v="FIN_HELS"/>
    <x v="2"/>
    <x v="1"/>
    <s v="GBPR_NATGAS_MARTINLAAKSOGT"/>
    <x v="0"/>
    <x v="16"/>
    <n v="58"/>
    <n v="21170"/>
    <n v="76212"/>
  </r>
  <r>
    <x v="0"/>
    <x v="0"/>
    <x v="0"/>
    <x v="2"/>
    <x v="3"/>
    <s v="FIN_HELS"/>
    <x v="2"/>
    <x v="1"/>
    <s v="GBPR_NATGAS_MARTINLAAKSOGT"/>
    <x v="0"/>
    <x v="17"/>
    <n v="58"/>
    <n v="21170"/>
    <n v="76212"/>
  </r>
  <r>
    <x v="0"/>
    <x v="0"/>
    <x v="0"/>
    <x v="2"/>
    <x v="3"/>
    <s v="FIN_HELS"/>
    <x v="2"/>
    <x v="1"/>
    <s v="GBPR_NATGAS_MARTINLAAKSOGT"/>
    <x v="0"/>
    <x v="18"/>
    <n v="58"/>
    <n v="21170"/>
    <n v="76212"/>
  </r>
  <r>
    <x v="0"/>
    <x v="0"/>
    <x v="0"/>
    <x v="2"/>
    <x v="3"/>
    <s v="FIN_HELS"/>
    <x v="2"/>
    <x v="1"/>
    <s v="GBPR_NATGAS_MARTINLAAKSOGT"/>
    <x v="0"/>
    <x v="19"/>
    <n v="58"/>
    <n v="21170"/>
    <n v="76212"/>
  </r>
  <r>
    <x v="0"/>
    <x v="0"/>
    <x v="0"/>
    <x v="2"/>
    <x v="3"/>
    <s v="FIN_HELS"/>
    <x v="2"/>
    <x v="1"/>
    <s v="GBPR_NATGAS_MARTINLAAKSOGT"/>
    <x v="0"/>
    <x v="20"/>
    <n v="58"/>
    <n v="21170"/>
    <n v="76212"/>
  </r>
  <r>
    <x v="0"/>
    <x v="0"/>
    <x v="0"/>
    <x v="2"/>
    <x v="3"/>
    <s v="FIN_HELS"/>
    <x v="2"/>
    <x v="1"/>
    <s v="GBPR_NATGAS_MARTINLAAKSOGT"/>
    <x v="0"/>
    <x v="21"/>
    <n v="58"/>
    <n v="21170"/>
    <n v="76212"/>
  </r>
  <r>
    <x v="0"/>
    <x v="0"/>
    <x v="0"/>
    <x v="2"/>
    <x v="3"/>
    <s v="FIN_HELS"/>
    <x v="2"/>
    <x v="1"/>
    <s v="GBPR_NATGAS_MARTINLAAKSOGT"/>
    <x v="0"/>
    <x v="22"/>
    <n v="58"/>
    <n v="21170"/>
    <n v="76212"/>
  </r>
  <r>
    <x v="0"/>
    <x v="0"/>
    <x v="0"/>
    <x v="2"/>
    <x v="3"/>
    <s v="FIN_HELS"/>
    <x v="2"/>
    <x v="1"/>
    <s v="GBPR_NATGAS_MARTINLAAKSOGT"/>
    <x v="0"/>
    <x v="23"/>
    <n v="58"/>
    <n v="21170"/>
    <n v="76212"/>
  </r>
  <r>
    <x v="0"/>
    <x v="0"/>
    <x v="0"/>
    <x v="2"/>
    <x v="3"/>
    <s v="FIN_HELS"/>
    <x v="2"/>
    <x v="1"/>
    <s v="GBPR_NATGAS_VOUSAARI"/>
    <x v="0"/>
    <x v="3"/>
    <n v="160"/>
    <n v="58400"/>
    <n v="210240"/>
  </r>
  <r>
    <x v="0"/>
    <x v="0"/>
    <x v="0"/>
    <x v="2"/>
    <x v="3"/>
    <s v="FIN_HELS"/>
    <x v="2"/>
    <x v="1"/>
    <s v="GBPR_NATGAS_VOUSAARI"/>
    <x v="0"/>
    <x v="4"/>
    <n v="160"/>
    <n v="58400"/>
    <n v="210240"/>
  </r>
  <r>
    <x v="0"/>
    <x v="0"/>
    <x v="0"/>
    <x v="2"/>
    <x v="3"/>
    <s v="FIN_HELS"/>
    <x v="2"/>
    <x v="1"/>
    <s v="GBPR_NATGAS_VOUSAARI"/>
    <x v="0"/>
    <x v="5"/>
    <n v="160"/>
    <n v="58400"/>
    <n v="210240"/>
  </r>
  <r>
    <x v="0"/>
    <x v="0"/>
    <x v="0"/>
    <x v="2"/>
    <x v="3"/>
    <s v="FIN_HELS"/>
    <x v="2"/>
    <x v="1"/>
    <s v="GBPR_NATGAS_VOUSAARI"/>
    <x v="0"/>
    <x v="6"/>
    <n v="160"/>
    <n v="58400"/>
    <n v="210240"/>
  </r>
  <r>
    <x v="0"/>
    <x v="0"/>
    <x v="0"/>
    <x v="2"/>
    <x v="3"/>
    <s v="FIN_HELS"/>
    <x v="2"/>
    <x v="1"/>
    <s v="GBPR_NATGAS_VOUSAARI"/>
    <x v="0"/>
    <x v="7"/>
    <n v="160"/>
    <n v="58400"/>
    <n v="210240"/>
  </r>
  <r>
    <x v="0"/>
    <x v="0"/>
    <x v="0"/>
    <x v="2"/>
    <x v="3"/>
    <s v="FIN_HELS"/>
    <x v="2"/>
    <x v="1"/>
    <s v="GBPR_NATGAS_VOUSAARI"/>
    <x v="0"/>
    <x v="8"/>
    <n v="160"/>
    <n v="58400"/>
    <n v="210240"/>
  </r>
  <r>
    <x v="0"/>
    <x v="0"/>
    <x v="0"/>
    <x v="2"/>
    <x v="3"/>
    <s v="FIN_HELS"/>
    <x v="2"/>
    <x v="1"/>
    <s v="GBPR_NATGAS_VOUSAARI"/>
    <x v="0"/>
    <x v="0"/>
    <n v="160"/>
    <n v="58400"/>
    <n v="210240"/>
  </r>
  <r>
    <x v="0"/>
    <x v="0"/>
    <x v="0"/>
    <x v="2"/>
    <x v="3"/>
    <s v="FIN_HELS"/>
    <x v="2"/>
    <x v="1"/>
    <s v="GBPR_NATGAS_VOUSAARI"/>
    <x v="0"/>
    <x v="1"/>
    <n v="160"/>
    <n v="58400"/>
    <n v="210240"/>
  </r>
  <r>
    <x v="0"/>
    <x v="0"/>
    <x v="0"/>
    <x v="2"/>
    <x v="3"/>
    <s v="FIN_HELS"/>
    <x v="2"/>
    <x v="1"/>
    <s v="GBPR_NATGAS_VOUSAARI"/>
    <x v="0"/>
    <x v="2"/>
    <n v="160"/>
    <n v="58400"/>
    <n v="210240"/>
  </r>
  <r>
    <x v="0"/>
    <x v="0"/>
    <x v="0"/>
    <x v="2"/>
    <x v="3"/>
    <s v="FIN_HELS"/>
    <x v="2"/>
    <x v="1"/>
    <s v="GBPR_NATGAS_VOUSAARI"/>
    <x v="0"/>
    <x v="9"/>
    <n v="160"/>
    <n v="58400"/>
    <n v="210240"/>
  </r>
  <r>
    <x v="0"/>
    <x v="0"/>
    <x v="0"/>
    <x v="2"/>
    <x v="3"/>
    <s v="FIN_HELS"/>
    <x v="2"/>
    <x v="1"/>
    <s v="GBPR_NATGAS_VOUSAARI"/>
    <x v="0"/>
    <x v="10"/>
    <n v="160"/>
    <n v="58400"/>
    <n v="210240"/>
  </r>
  <r>
    <x v="0"/>
    <x v="0"/>
    <x v="0"/>
    <x v="2"/>
    <x v="3"/>
    <s v="FIN_HELS"/>
    <x v="2"/>
    <x v="1"/>
    <s v="GBPR_NATGAS_VOUSAARI"/>
    <x v="0"/>
    <x v="11"/>
    <n v="160"/>
    <n v="58400"/>
    <n v="210240"/>
  </r>
  <r>
    <x v="0"/>
    <x v="0"/>
    <x v="0"/>
    <x v="2"/>
    <x v="3"/>
    <s v="FIN_HELS"/>
    <x v="2"/>
    <x v="1"/>
    <s v="GBPR_NATGAS_VOUSAARI"/>
    <x v="0"/>
    <x v="12"/>
    <n v="160"/>
    <n v="58400"/>
    <n v="210240"/>
  </r>
  <r>
    <x v="0"/>
    <x v="0"/>
    <x v="0"/>
    <x v="2"/>
    <x v="3"/>
    <s v="FIN_HELS"/>
    <x v="2"/>
    <x v="1"/>
    <s v="GBPR_NATGAS_VOUSAARI"/>
    <x v="0"/>
    <x v="13"/>
    <n v="160"/>
    <n v="58400"/>
    <n v="210240"/>
  </r>
  <r>
    <x v="0"/>
    <x v="0"/>
    <x v="0"/>
    <x v="2"/>
    <x v="3"/>
    <s v="FIN_HELS"/>
    <x v="2"/>
    <x v="1"/>
    <s v="GBPR_NATGAS_VOUSAARI"/>
    <x v="0"/>
    <x v="14"/>
    <n v="160"/>
    <n v="58400"/>
    <n v="210240"/>
  </r>
  <r>
    <x v="0"/>
    <x v="0"/>
    <x v="0"/>
    <x v="2"/>
    <x v="3"/>
    <s v="FIN_HELS"/>
    <x v="2"/>
    <x v="1"/>
    <s v="GBPR_NATGAS_VOUSAARI"/>
    <x v="0"/>
    <x v="15"/>
    <n v="160"/>
    <n v="58400"/>
    <n v="210240"/>
  </r>
  <r>
    <x v="0"/>
    <x v="0"/>
    <x v="0"/>
    <x v="2"/>
    <x v="3"/>
    <s v="FIN_HELS"/>
    <x v="2"/>
    <x v="1"/>
    <s v="GBPR_NATGAS_VOUSAARI"/>
    <x v="0"/>
    <x v="16"/>
    <n v="160"/>
    <n v="58400"/>
    <n v="210240"/>
  </r>
  <r>
    <x v="0"/>
    <x v="0"/>
    <x v="0"/>
    <x v="2"/>
    <x v="3"/>
    <s v="FIN_HELS"/>
    <x v="2"/>
    <x v="1"/>
    <s v="GBPR_NATGAS_VOUSAARI"/>
    <x v="0"/>
    <x v="17"/>
    <n v="160"/>
    <n v="58400"/>
    <n v="210240"/>
  </r>
  <r>
    <x v="0"/>
    <x v="0"/>
    <x v="0"/>
    <x v="2"/>
    <x v="3"/>
    <s v="FIN_HELS"/>
    <x v="2"/>
    <x v="1"/>
    <s v="GBPR_NATGAS_VOUSAARI"/>
    <x v="0"/>
    <x v="18"/>
    <n v="160"/>
    <n v="58400"/>
    <n v="210240"/>
  </r>
  <r>
    <x v="0"/>
    <x v="0"/>
    <x v="0"/>
    <x v="2"/>
    <x v="3"/>
    <s v="FIN_HELS"/>
    <x v="2"/>
    <x v="1"/>
    <s v="GBPR_NATGAS_VOUSAARI"/>
    <x v="0"/>
    <x v="19"/>
    <n v="160"/>
    <n v="58400"/>
    <n v="210240"/>
  </r>
  <r>
    <x v="0"/>
    <x v="0"/>
    <x v="0"/>
    <x v="2"/>
    <x v="3"/>
    <s v="FIN_HELS"/>
    <x v="2"/>
    <x v="1"/>
    <s v="GBPR_NATGAS_VOUSAARI"/>
    <x v="0"/>
    <x v="20"/>
    <n v="160"/>
    <n v="58400"/>
    <n v="210240"/>
  </r>
  <r>
    <x v="0"/>
    <x v="0"/>
    <x v="0"/>
    <x v="2"/>
    <x v="3"/>
    <s v="FIN_HELS"/>
    <x v="2"/>
    <x v="1"/>
    <s v="GBPR_NATGAS_VOUSAARI"/>
    <x v="0"/>
    <x v="21"/>
    <n v="160"/>
    <n v="58400"/>
    <n v="210240"/>
  </r>
  <r>
    <x v="0"/>
    <x v="0"/>
    <x v="0"/>
    <x v="2"/>
    <x v="3"/>
    <s v="FIN_HELS"/>
    <x v="2"/>
    <x v="1"/>
    <s v="GBPR_NATGAS_VOUSAARI"/>
    <x v="0"/>
    <x v="22"/>
    <n v="160"/>
    <n v="58400"/>
    <n v="210240"/>
  </r>
  <r>
    <x v="0"/>
    <x v="0"/>
    <x v="0"/>
    <x v="2"/>
    <x v="3"/>
    <s v="FIN_HELS"/>
    <x v="2"/>
    <x v="1"/>
    <s v="GBPR_NATGAS_VOUSAARI"/>
    <x v="0"/>
    <x v="23"/>
    <n v="160"/>
    <n v="58400"/>
    <n v="210240"/>
  </r>
  <r>
    <x v="0"/>
    <x v="0"/>
    <x v="0"/>
    <x v="2"/>
    <x v="3"/>
    <s v="FIN_HELS"/>
    <x v="2"/>
    <x v="0"/>
    <s v="GEXT_NATGAS_VOUSAARI"/>
    <x v="0"/>
    <x v="3"/>
    <n v="396.42725598526698"/>
    <n v="144695.948434622"/>
    <n v="520905.41436464101"/>
  </r>
  <r>
    <x v="0"/>
    <x v="0"/>
    <x v="0"/>
    <x v="2"/>
    <x v="3"/>
    <s v="FIN_HELS"/>
    <x v="2"/>
    <x v="0"/>
    <s v="GEXT_NATGAS_VOUSAARI"/>
    <x v="0"/>
    <x v="4"/>
    <n v="396.42725598526698"/>
    <n v="144695.948434622"/>
    <n v="520905.41436464101"/>
  </r>
  <r>
    <x v="0"/>
    <x v="0"/>
    <x v="0"/>
    <x v="2"/>
    <x v="3"/>
    <s v="FIN_HELS"/>
    <x v="2"/>
    <x v="0"/>
    <s v="GEXT_NATGAS_VOUSAARI"/>
    <x v="0"/>
    <x v="5"/>
    <n v="396.42725598526698"/>
    <n v="144695.948434622"/>
    <n v="520905.41436464101"/>
  </r>
  <r>
    <x v="0"/>
    <x v="0"/>
    <x v="0"/>
    <x v="2"/>
    <x v="3"/>
    <s v="FIN_HELS"/>
    <x v="2"/>
    <x v="0"/>
    <s v="GEXT_NATGAS_VOUSAARI"/>
    <x v="0"/>
    <x v="6"/>
    <n v="396.42725598526698"/>
    <n v="144695.948434622"/>
    <n v="520905.41436464101"/>
  </r>
  <r>
    <x v="0"/>
    <x v="0"/>
    <x v="0"/>
    <x v="2"/>
    <x v="3"/>
    <s v="FIN_HELS"/>
    <x v="2"/>
    <x v="0"/>
    <s v="GEXT_NATGAS_VOUSAARI"/>
    <x v="0"/>
    <x v="7"/>
    <n v="396.42725598526698"/>
    <n v="144695.948434622"/>
    <n v="520905.41436464101"/>
  </r>
  <r>
    <x v="0"/>
    <x v="0"/>
    <x v="0"/>
    <x v="2"/>
    <x v="3"/>
    <s v="FIN_HELS"/>
    <x v="2"/>
    <x v="0"/>
    <s v="GEXT_NATGAS_VOUSAARI"/>
    <x v="0"/>
    <x v="8"/>
    <n v="396.42725598526698"/>
    <n v="144695.948434622"/>
    <n v="520905.41436464101"/>
  </r>
  <r>
    <x v="0"/>
    <x v="0"/>
    <x v="0"/>
    <x v="2"/>
    <x v="3"/>
    <s v="FIN_HELS"/>
    <x v="2"/>
    <x v="0"/>
    <s v="GEXT_NATGAS_VOUSAARI"/>
    <x v="0"/>
    <x v="0"/>
    <n v="396.42725598526698"/>
    <n v="144695.948434622"/>
    <n v="520905.41436464101"/>
  </r>
  <r>
    <x v="0"/>
    <x v="0"/>
    <x v="0"/>
    <x v="2"/>
    <x v="3"/>
    <s v="FIN_HELS"/>
    <x v="2"/>
    <x v="0"/>
    <s v="GEXT_NATGAS_VOUSAARI"/>
    <x v="0"/>
    <x v="1"/>
    <n v="396.42725598526698"/>
    <n v="144695.948434622"/>
    <n v="520905.41436464101"/>
  </r>
  <r>
    <x v="0"/>
    <x v="0"/>
    <x v="0"/>
    <x v="2"/>
    <x v="3"/>
    <s v="FIN_HELS"/>
    <x v="2"/>
    <x v="0"/>
    <s v="GEXT_NATGAS_VOUSAARI"/>
    <x v="0"/>
    <x v="2"/>
    <n v="396.42725598526698"/>
    <n v="144695.948434622"/>
    <n v="520905.41436464101"/>
  </r>
  <r>
    <x v="0"/>
    <x v="0"/>
    <x v="0"/>
    <x v="2"/>
    <x v="3"/>
    <s v="FIN_HELS"/>
    <x v="2"/>
    <x v="0"/>
    <s v="GEXT_NATGAS_VOUSAARI"/>
    <x v="0"/>
    <x v="9"/>
    <n v="396.42725598526698"/>
    <n v="144695.948434622"/>
    <n v="520905.41436464101"/>
  </r>
  <r>
    <x v="0"/>
    <x v="0"/>
    <x v="0"/>
    <x v="2"/>
    <x v="3"/>
    <s v="FIN_HELS"/>
    <x v="2"/>
    <x v="0"/>
    <s v="GEXT_NATGAS_VOUSAARI"/>
    <x v="0"/>
    <x v="10"/>
    <n v="396.42725598526698"/>
    <n v="144695.948434622"/>
    <n v="520905.41436464101"/>
  </r>
  <r>
    <x v="0"/>
    <x v="0"/>
    <x v="0"/>
    <x v="2"/>
    <x v="3"/>
    <s v="FIN_HELS"/>
    <x v="2"/>
    <x v="0"/>
    <s v="GEXT_NATGAS_VOUSAARI"/>
    <x v="0"/>
    <x v="11"/>
    <n v="396.42725598526698"/>
    <n v="144695.948434622"/>
    <n v="520905.41436464101"/>
  </r>
  <r>
    <x v="0"/>
    <x v="0"/>
    <x v="0"/>
    <x v="2"/>
    <x v="3"/>
    <s v="FIN_HELS"/>
    <x v="2"/>
    <x v="0"/>
    <s v="GEXT_NATGAS_VOUSAARI"/>
    <x v="0"/>
    <x v="12"/>
    <n v="396.42725598526698"/>
    <n v="144695.948434622"/>
    <n v="520905.41436464101"/>
  </r>
  <r>
    <x v="0"/>
    <x v="0"/>
    <x v="0"/>
    <x v="2"/>
    <x v="3"/>
    <s v="FIN_HELS"/>
    <x v="2"/>
    <x v="0"/>
    <s v="GEXT_NATGAS_VOUSAARI"/>
    <x v="0"/>
    <x v="13"/>
    <n v="396.42725598526698"/>
    <n v="144695.948434622"/>
    <n v="520905.41436464101"/>
  </r>
  <r>
    <x v="0"/>
    <x v="0"/>
    <x v="0"/>
    <x v="2"/>
    <x v="3"/>
    <s v="FIN_HELS"/>
    <x v="2"/>
    <x v="0"/>
    <s v="GEXT_NATGAS_VOUSAARI"/>
    <x v="0"/>
    <x v="14"/>
    <n v="396.42725598526698"/>
    <n v="144695.948434622"/>
    <n v="520905.41436464101"/>
  </r>
  <r>
    <x v="0"/>
    <x v="0"/>
    <x v="0"/>
    <x v="2"/>
    <x v="3"/>
    <s v="FIN_HELS"/>
    <x v="2"/>
    <x v="0"/>
    <s v="GEXT_NATGAS_VOUSAARI"/>
    <x v="0"/>
    <x v="15"/>
    <n v="396.42725598526698"/>
    <n v="144695.948434622"/>
    <n v="520905.41436464101"/>
  </r>
  <r>
    <x v="0"/>
    <x v="0"/>
    <x v="0"/>
    <x v="2"/>
    <x v="3"/>
    <s v="FIN_HELS"/>
    <x v="2"/>
    <x v="0"/>
    <s v="GEXT_NATGAS_VOUSAARI"/>
    <x v="0"/>
    <x v="16"/>
    <n v="396.42725598526698"/>
    <n v="144695.948434622"/>
    <n v="520905.41436464101"/>
  </r>
  <r>
    <x v="0"/>
    <x v="0"/>
    <x v="0"/>
    <x v="2"/>
    <x v="3"/>
    <s v="FIN_HELS"/>
    <x v="2"/>
    <x v="0"/>
    <s v="GEXT_NATGAS_VOUSAARI"/>
    <x v="0"/>
    <x v="17"/>
    <n v="396.42725598526698"/>
    <n v="144695.948434622"/>
    <n v="520905.41436464101"/>
  </r>
  <r>
    <x v="0"/>
    <x v="0"/>
    <x v="0"/>
    <x v="2"/>
    <x v="3"/>
    <s v="FIN_HELS"/>
    <x v="2"/>
    <x v="0"/>
    <s v="GEXT_NATGAS_VOUSAARI"/>
    <x v="0"/>
    <x v="18"/>
    <n v="396.42725598526698"/>
    <n v="144695.948434622"/>
    <n v="520905.41436464101"/>
  </r>
  <r>
    <x v="0"/>
    <x v="0"/>
    <x v="0"/>
    <x v="2"/>
    <x v="3"/>
    <s v="FIN_HELS"/>
    <x v="2"/>
    <x v="0"/>
    <s v="GEXT_NATGAS_VOUSAARI"/>
    <x v="0"/>
    <x v="19"/>
    <n v="396.42725598526698"/>
    <n v="144695.948434622"/>
    <n v="520905.41436464101"/>
  </r>
  <r>
    <x v="0"/>
    <x v="0"/>
    <x v="0"/>
    <x v="2"/>
    <x v="3"/>
    <s v="FIN_HELS"/>
    <x v="2"/>
    <x v="0"/>
    <s v="GEXT_NATGAS_VOUSAARI"/>
    <x v="0"/>
    <x v="20"/>
    <n v="396.42725598526698"/>
    <n v="144695.948434622"/>
    <n v="520905.41436464101"/>
  </r>
  <r>
    <x v="0"/>
    <x v="0"/>
    <x v="0"/>
    <x v="2"/>
    <x v="3"/>
    <s v="FIN_HELS"/>
    <x v="2"/>
    <x v="0"/>
    <s v="GEXT_NATGAS_VOUSAARI"/>
    <x v="0"/>
    <x v="21"/>
    <n v="396.42725598526698"/>
    <n v="144695.948434622"/>
    <n v="520905.41436464101"/>
  </r>
  <r>
    <x v="0"/>
    <x v="0"/>
    <x v="0"/>
    <x v="2"/>
    <x v="3"/>
    <s v="FIN_HELS"/>
    <x v="2"/>
    <x v="0"/>
    <s v="GEXT_NATGAS_VOUSAARI"/>
    <x v="0"/>
    <x v="22"/>
    <n v="396.42725598526698"/>
    <n v="144695.948434622"/>
    <n v="520905.41436464101"/>
  </r>
  <r>
    <x v="0"/>
    <x v="0"/>
    <x v="0"/>
    <x v="2"/>
    <x v="3"/>
    <s v="FIN_HELS"/>
    <x v="2"/>
    <x v="0"/>
    <s v="GEXT_NATGAS_VOUSAARI"/>
    <x v="0"/>
    <x v="23"/>
    <n v="396.42725598526698"/>
    <n v="144695.948434622"/>
    <n v="520905.41436464101"/>
  </r>
  <r>
    <x v="0"/>
    <x v="0"/>
    <x v="0"/>
    <x v="2"/>
    <x v="3"/>
    <s v="FIN_HP"/>
    <x v="0"/>
    <x v="1"/>
    <s v="GBPR_COAL_NAANTALI"/>
    <x v="0"/>
    <x v="3"/>
    <n v="43.126694783620302"/>
    <n v="15741.243596021401"/>
    <n v="56668.476945677001"/>
  </r>
  <r>
    <x v="0"/>
    <x v="0"/>
    <x v="0"/>
    <x v="2"/>
    <x v="3"/>
    <s v="FIN_HP"/>
    <x v="0"/>
    <x v="1"/>
    <s v="GBPR_COAL_NAANTALI"/>
    <x v="0"/>
    <x v="4"/>
    <n v="41.757572024505798"/>
    <n v="15241.5137889446"/>
    <n v="54869.449640200699"/>
  </r>
  <r>
    <x v="0"/>
    <x v="0"/>
    <x v="0"/>
    <x v="2"/>
    <x v="3"/>
    <s v="FIN_HP"/>
    <x v="0"/>
    <x v="1"/>
    <s v="GBPR_COAL_NAANTALI"/>
    <x v="0"/>
    <x v="5"/>
    <n v="45.1047795140895"/>
    <n v="16463.244522642701"/>
    <n v="59267.680281513603"/>
  </r>
  <r>
    <x v="0"/>
    <x v="0"/>
    <x v="0"/>
    <x v="2"/>
    <x v="3"/>
    <s v="FIN_HP"/>
    <x v="0"/>
    <x v="1"/>
    <s v="GBPR_COAL_NAANTALI"/>
    <x v="0"/>
    <x v="6"/>
    <n v="51.328149725174697"/>
    <n v="18734.774649688799"/>
    <n v="67445.188738879602"/>
  </r>
  <r>
    <x v="0"/>
    <x v="0"/>
    <x v="0"/>
    <x v="2"/>
    <x v="3"/>
    <s v="FIN_HP"/>
    <x v="0"/>
    <x v="1"/>
    <s v="GBPR_COAL_NAANTALI"/>
    <x v="0"/>
    <x v="7"/>
    <n v="61.892419193799597"/>
    <n v="22590.733005736802"/>
    <n v="81326.638820652603"/>
  </r>
  <r>
    <x v="0"/>
    <x v="0"/>
    <x v="0"/>
    <x v="2"/>
    <x v="3"/>
    <s v="FIN_HP"/>
    <x v="0"/>
    <x v="1"/>
    <s v="GBPR_COAL_NAANTALI"/>
    <x v="0"/>
    <x v="8"/>
    <n v="74.650028496045906"/>
    <n v="27247.260401056701"/>
    <n v="98090.137443804299"/>
  </r>
  <r>
    <x v="0"/>
    <x v="0"/>
    <x v="0"/>
    <x v="2"/>
    <x v="3"/>
    <s v="FIN_HP"/>
    <x v="0"/>
    <x v="1"/>
    <s v="GBPR_COAL_NAANTALI"/>
    <x v="0"/>
    <x v="0"/>
    <n v="150.110866649249"/>
    <n v="54790.466326975999"/>
    <n v="197245.678777113"/>
  </r>
  <r>
    <x v="0"/>
    <x v="0"/>
    <x v="0"/>
    <x v="2"/>
    <x v="3"/>
    <s v="FIN_HP"/>
    <x v="0"/>
    <x v="1"/>
    <s v="GBPR_COAL_NAANTALI"/>
    <x v="0"/>
    <x v="1"/>
    <n v="184.59857260499601"/>
    <n v="67378.4790008235"/>
    <n v="242562.52440296501"/>
  </r>
  <r>
    <x v="0"/>
    <x v="0"/>
    <x v="0"/>
    <x v="2"/>
    <x v="3"/>
    <s v="FIN_HP"/>
    <x v="0"/>
    <x v="1"/>
    <s v="GBPR_COAL_NAANTALI"/>
    <x v="0"/>
    <x v="2"/>
    <n v="184.59857260499601"/>
    <n v="67378.4790008235"/>
    <n v="242562.52440296501"/>
  </r>
  <r>
    <x v="0"/>
    <x v="0"/>
    <x v="0"/>
    <x v="2"/>
    <x v="3"/>
    <s v="FIN_HP"/>
    <x v="0"/>
    <x v="1"/>
    <s v="GBPR_COAL_NAANTALI"/>
    <x v="0"/>
    <x v="9"/>
    <n v="184.59857260499601"/>
    <n v="67378.4790008235"/>
    <n v="242562.52440296501"/>
  </r>
  <r>
    <x v="0"/>
    <x v="0"/>
    <x v="0"/>
    <x v="2"/>
    <x v="3"/>
    <s v="FIN_HP"/>
    <x v="0"/>
    <x v="1"/>
    <s v="GBPR_COAL_NAANTALI"/>
    <x v="0"/>
    <x v="10"/>
    <n v="173.74425942527699"/>
    <n v="63416.654690226103"/>
    <n v="228299.95688481399"/>
  </r>
  <r>
    <x v="0"/>
    <x v="0"/>
    <x v="0"/>
    <x v="2"/>
    <x v="3"/>
    <s v="FIN_HP"/>
    <x v="0"/>
    <x v="1"/>
    <s v="GBPR_COAL_NAANTALI"/>
    <x v="0"/>
    <x v="11"/>
    <n v="166.44441930970899"/>
    <n v="60752.213048043697"/>
    <n v="218707.96697295699"/>
  </r>
  <r>
    <x v="0"/>
    <x v="0"/>
    <x v="0"/>
    <x v="2"/>
    <x v="3"/>
    <s v="FIN_HP"/>
    <x v="0"/>
    <x v="1"/>
    <s v="GBPR_COAL_NAANTALI"/>
    <x v="0"/>
    <x v="12"/>
    <n v="105.326785912117"/>
    <n v="38444.2768579228"/>
    <n v="138399.39668852201"/>
  </r>
  <r>
    <x v="0"/>
    <x v="0"/>
    <x v="0"/>
    <x v="2"/>
    <x v="3"/>
    <s v="FIN_HP"/>
    <x v="0"/>
    <x v="1"/>
    <s v="GBPR_COAL_NAANTALI"/>
    <x v="0"/>
    <x v="13"/>
    <n v="101.893636326853"/>
    <n v="37191.177259301199"/>
    <n v="133888.238133484"/>
  </r>
  <r>
    <x v="0"/>
    <x v="0"/>
    <x v="0"/>
    <x v="2"/>
    <x v="3"/>
    <s v="FIN_HP"/>
    <x v="0"/>
    <x v="1"/>
    <s v="GBPR_COAL_NAANTALI"/>
    <x v="0"/>
    <x v="14"/>
    <n v="146.016796179256"/>
    <n v="53296.1306054284"/>
    <n v="191866.070179542"/>
  </r>
  <r>
    <x v="0"/>
    <x v="0"/>
    <x v="0"/>
    <x v="2"/>
    <x v="3"/>
    <s v="FIN_HP"/>
    <x v="0"/>
    <x v="1"/>
    <s v="GBPR_COAL_NAANTALI"/>
    <x v="0"/>
    <x v="15"/>
    <n v="155.879231630064"/>
    <n v="56895.919544973403"/>
    <n v="204825.310361904"/>
  </r>
  <r>
    <x v="0"/>
    <x v="0"/>
    <x v="0"/>
    <x v="2"/>
    <x v="3"/>
    <s v="FIN_HP"/>
    <x v="0"/>
    <x v="1"/>
    <s v="GBPR_COAL_NAANTALI"/>
    <x v="0"/>
    <x v="16"/>
    <n v="140.60897109773401"/>
    <n v="51322.2744506729"/>
    <n v="184760.18802242199"/>
  </r>
  <r>
    <x v="0"/>
    <x v="0"/>
    <x v="0"/>
    <x v="2"/>
    <x v="3"/>
    <s v="FIN_HP"/>
    <x v="0"/>
    <x v="1"/>
    <s v="GBPR_COAL_NAANTALI"/>
    <x v="0"/>
    <x v="17"/>
    <n v="77.794851144157306"/>
    <n v="28395.120667617401"/>
    <n v="102222.434403423"/>
  </r>
  <r>
    <x v="0"/>
    <x v="0"/>
    <x v="0"/>
    <x v="2"/>
    <x v="3"/>
    <s v="FIN_HP"/>
    <x v="0"/>
    <x v="1"/>
    <s v="GBPR_COAL_NAANTALI"/>
    <x v="0"/>
    <x v="18"/>
    <n v="70.463910362304304"/>
    <n v="25719.327282241102"/>
    <n v="92589.578216067894"/>
  </r>
  <r>
    <x v="0"/>
    <x v="0"/>
    <x v="0"/>
    <x v="2"/>
    <x v="3"/>
    <s v="FIN_HP"/>
    <x v="0"/>
    <x v="1"/>
    <s v="GBPR_COAL_NAANTALI"/>
    <x v="0"/>
    <x v="19"/>
    <n v="61.515622944667797"/>
    <n v="22453.202374803699"/>
    <n v="80831.528549293507"/>
  </r>
  <r>
    <x v="0"/>
    <x v="0"/>
    <x v="0"/>
    <x v="2"/>
    <x v="3"/>
    <s v="FIN_HP"/>
    <x v="0"/>
    <x v="1"/>
    <s v="GBPR_COAL_NAANTALI"/>
    <x v="0"/>
    <x v="20"/>
    <n v="53.706925513990498"/>
    <n v="19603.027812606499"/>
    <n v="70570.900125383501"/>
  </r>
  <r>
    <x v="0"/>
    <x v="0"/>
    <x v="0"/>
    <x v="2"/>
    <x v="3"/>
    <s v="FIN_HP"/>
    <x v="0"/>
    <x v="1"/>
    <s v="GBPR_COAL_NAANTALI"/>
    <x v="0"/>
    <x v="21"/>
    <n v="48.256125960891602"/>
    <n v="17613.485975725402"/>
    <n v="63408.5495126116"/>
  </r>
  <r>
    <x v="0"/>
    <x v="0"/>
    <x v="0"/>
    <x v="2"/>
    <x v="3"/>
    <s v="FIN_HP"/>
    <x v="0"/>
    <x v="1"/>
    <s v="GBPR_COAL_NAANTALI"/>
    <x v="0"/>
    <x v="22"/>
    <n v="36.087056759702698"/>
    <n v="13171.775717291501"/>
    <n v="47418.392582249398"/>
  </r>
  <r>
    <x v="0"/>
    <x v="0"/>
    <x v="0"/>
    <x v="2"/>
    <x v="3"/>
    <s v="FIN_HP"/>
    <x v="0"/>
    <x v="1"/>
    <s v="GBPR_COAL_NAANTALI"/>
    <x v="0"/>
    <x v="23"/>
    <n v="20.0007622209259"/>
    <n v="7300.27821063796"/>
    <n v="26281.001558296601"/>
  </r>
  <r>
    <x v="0"/>
    <x v="0"/>
    <x v="0"/>
    <x v="2"/>
    <x v="3"/>
    <s v="FIN_HP"/>
    <x v="14"/>
    <x v="6"/>
    <s v="GETOH_ELECTRICBOILER"/>
    <x v="0"/>
    <x v="3"/>
    <n v="-81.632653061224502"/>
    <n v="-29795.918367346902"/>
    <n v="-107265.30612244899"/>
  </r>
  <r>
    <x v="0"/>
    <x v="0"/>
    <x v="0"/>
    <x v="2"/>
    <x v="3"/>
    <s v="FIN_HP"/>
    <x v="14"/>
    <x v="6"/>
    <s v="GETOH_ELECTRICBOILER"/>
    <x v="0"/>
    <x v="4"/>
    <n v="-81.632653061224502"/>
    <n v="-29795.918367346902"/>
    <n v="-107265.30612244899"/>
  </r>
  <r>
    <x v="0"/>
    <x v="0"/>
    <x v="0"/>
    <x v="2"/>
    <x v="3"/>
    <s v="FIN_HP"/>
    <x v="14"/>
    <x v="6"/>
    <s v="GETOH_ELECTRICBOILER"/>
    <x v="0"/>
    <x v="5"/>
    <n v="-81.632653061224502"/>
    <n v="-29795.918367346902"/>
    <n v="-107265.30612244899"/>
  </r>
  <r>
    <x v="0"/>
    <x v="0"/>
    <x v="0"/>
    <x v="2"/>
    <x v="3"/>
    <s v="FIN_HP"/>
    <x v="14"/>
    <x v="6"/>
    <s v="GETOH_ELECTRICBOILER"/>
    <x v="0"/>
    <x v="6"/>
    <n v="-81.632653061224502"/>
    <n v="-29795.918367346902"/>
    <n v="-107265.30612244899"/>
  </r>
  <r>
    <x v="0"/>
    <x v="0"/>
    <x v="0"/>
    <x v="2"/>
    <x v="3"/>
    <s v="FIN_HP"/>
    <x v="14"/>
    <x v="6"/>
    <s v="GETOH_ELECTRICBOILER"/>
    <x v="0"/>
    <x v="7"/>
    <n v="-81.632653061224502"/>
    <n v="-29795.918367346902"/>
    <n v="-107265.30612244899"/>
  </r>
  <r>
    <x v="0"/>
    <x v="0"/>
    <x v="0"/>
    <x v="2"/>
    <x v="3"/>
    <s v="FIN_HP"/>
    <x v="14"/>
    <x v="6"/>
    <s v="GETOH_ELECTRICBOILER"/>
    <x v="0"/>
    <x v="8"/>
    <n v="-81.632653061224502"/>
    <n v="-29795.918367346902"/>
    <n v="-107265.30612244899"/>
  </r>
  <r>
    <x v="0"/>
    <x v="0"/>
    <x v="0"/>
    <x v="2"/>
    <x v="3"/>
    <s v="FIN_HP"/>
    <x v="14"/>
    <x v="6"/>
    <s v="GETOH_ELECTRICBOILER"/>
    <x v="0"/>
    <x v="0"/>
    <n v="-24.063906195871802"/>
    <n v="-8783.3257614932099"/>
    <n v="-31619.972741375499"/>
  </r>
  <r>
    <x v="0"/>
    <x v="0"/>
    <x v="0"/>
    <x v="2"/>
    <x v="3"/>
    <s v="FIN_HP"/>
    <x v="14"/>
    <x v="6"/>
    <s v="GETOH_ELECTRICBOILER"/>
    <x v="0"/>
    <x v="1"/>
    <n v="-4.31506697797911"/>
    <n v="-1574.99944696238"/>
    <n v="-5669.9980090645504"/>
  </r>
  <r>
    <x v="0"/>
    <x v="0"/>
    <x v="0"/>
    <x v="2"/>
    <x v="3"/>
    <s v="FIN_HP"/>
    <x v="14"/>
    <x v="6"/>
    <s v="GETOH_ELECTRICBOILER"/>
    <x v="0"/>
    <x v="2"/>
    <n v="-4.0860652731423102"/>
    <n v="-1491.4138246969401"/>
    <n v="-5369.0897689089898"/>
  </r>
  <r>
    <x v="0"/>
    <x v="0"/>
    <x v="0"/>
    <x v="2"/>
    <x v="3"/>
    <s v="FIN_HP"/>
    <x v="14"/>
    <x v="6"/>
    <s v="GETOH_ELECTRICBOILER"/>
    <x v="0"/>
    <x v="12"/>
    <n v="-81.632653061224502"/>
    <n v="-29795.918367346902"/>
    <n v="-107265.30612244899"/>
  </r>
  <r>
    <x v="0"/>
    <x v="0"/>
    <x v="0"/>
    <x v="2"/>
    <x v="3"/>
    <s v="FIN_HP"/>
    <x v="14"/>
    <x v="6"/>
    <s v="GETOH_ELECTRICBOILER"/>
    <x v="0"/>
    <x v="13"/>
    <n v="-81.632653061224502"/>
    <n v="-29795.918367346902"/>
    <n v="-107265.30612244899"/>
  </r>
  <r>
    <x v="0"/>
    <x v="0"/>
    <x v="0"/>
    <x v="2"/>
    <x v="3"/>
    <s v="FIN_HP"/>
    <x v="14"/>
    <x v="6"/>
    <s v="GETOH_ELECTRICBOILER"/>
    <x v="0"/>
    <x v="14"/>
    <n v="-9.9075467331422402"/>
    <n v="-3616.2545575969202"/>
    <n v="-13018.5164073489"/>
  </r>
  <r>
    <x v="0"/>
    <x v="0"/>
    <x v="0"/>
    <x v="2"/>
    <x v="3"/>
    <s v="FIN_HP"/>
    <x v="14"/>
    <x v="6"/>
    <s v="GETOH_ELECTRICBOILER"/>
    <x v="0"/>
    <x v="17"/>
    <n v="-81.632653061224502"/>
    <n v="-29795.918367346902"/>
    <n v="-107265.30612244899"/>
  </r>
  <r>
    <x v="0"/>
    <x v="0"/>
    <x v="0"/>
    <x v="2"/>
    <x v="3"/>
    <s v="FIN_HP"/>
    <x v="14"/>
    <x v="6"/>
    <s v="GETOH_ELECTRICBOILER"/>
    <x v="0"/>
    <x v="18"/>
    <n v="-81.632653061224502"/>
    <n v="-29795.918367346902"/>
    <n v="-107265.30612244899"/>
  </r>
  <r>
    <x v="0"/>
    <x v="0"/>
    <x v="0"/>
    <x v="2"/>
    <x v="3"/>
    <s v="FIN_HP"/>
    <x v="14"/>
    <x v="6"/>
    <s v="GETOH_ELECTRICBOILER"/>
    <x v="0"/>
    <x v="19"/>
    <n v="-81.632653061224502"/>
    <n v="-29795.918367346902"/>
    <n v="-107265.30612244899"/>
  </r>
  <r>
    <x v="0"/>
    <x v="0"/>
    <x v="0"/>
    <x v="2"/>
    <x v="3"/>
    <s v="FIN_HP"/>
    <x v="14"/>
    <x v="6"/>
    <s v="GETOH_ELECTRICBOILER"/>
    <x v="0"/>
    <x v="20"/>
    <n v="-81.632653061224502"/>
    <n v="-29795.918367346902"/>
    <n v="-107265.30612244899"/>
  </r>
  <r>
    <x v="0"/>
    <x v="0"/>
    <x v="0"/>
    <x v="2"/>
    <x v="3"/>
    <s v="FIN_HP"/>
    <x v="14"/>
    <x v="6"/>
    <s v="GETOH_ELECTRICBOILER"/>
    <x v="0"/>
    <x v="21"/>
    <n v="-81.632653061224502"/>
    <n v="-29795.918367346902"/>
    <n v="-107265.30612244899"/>
  </r>
  <r>
    <x v="0"/>
    <x v="0"/>
    <x v="0"/>
    <x v="2"/>
    <x v="3"/>
    <s v="FIN_HP"/>
    <x v="14"/>
    <x v="6"/>
    <s v="GETOH_ELECTRICBOILER"/>
    <x v="0"/>
    <x v="22"/>
    <n v="-81.632653061224502"/>
    <n v="-29795.918367346902"/>
    <n v="-107265.30612244899"/>
  </r>
  <r>
    <x v="0"/>
    <x v="0"/>
    <x v="0"/>
    <x v="2"/>
    <x v="3"/>
    <s v="FIN_HP"/>
    <x v="14"/>
    <x v="6"/>
    <s v="GETOH_ELECTRICBOILER"/>
    <x v="0"/>
    <x v="23"/>
    <n v="-81.632653061224502"/>
    <n v="-29795.918367346902"/>
    <n v="-107265.30612244899"/>
  </r>
  <r>
    <x v="0"/>
    <x v="0"/>
    <x v="0"/>
    <x v="2"/>
    <x v="3"/>
    <s v="FIN_HP"/>
    <x v="14"/>
    <x v="6"/>
    <s v="GETOH_HEATPUMP"/>
    <x v="0"/>
    <x v="3"/>
    <n v="-12.6666666666667"/>
    <n v="-4623.3333333333303"/>
    <n v="-16644"/>
  </r>
  <r>
    <x v="0"/>
    <x v="0"/>
    <x v="0"/>
    <x v="2"/>
    <x v="3"/>
    <s v="FIN_HP"/>
    <x v="14"/>
    <x v="6"/>
    <s v="GETOH_HEATPUMP"/>
    <x v="0"/>
    <x v="4"/>
    <n v="-12.6666666666667"/>
    <n v="-4623.3333333333303"/>
    <n v="-16644"/>
  </r>
  <r>
    <x v="0"/>
    <x v="0"/>
    <x v="0"/>
    <x v="2"/>
    <x v="3"/>
    <s v="FIN_HP"/>
    <x v="14"/>
    <x v="6"/>
    <s v="GETOH_HEATPUMP"/>
    <x v="0"/>
    <x v="5"/>
    <n v="-12.6666666666667"/>
    <n v="-4623.3333333333303"/>
    <n v="-16644"/>
  </r>
  <r>
    <x v="0"/>
    <x v="0"/>
    <x v="0"/>
    <x v="2"/>
    <x v="3"/>
    <s v="FIN_HP"/>
    <x v="14"/>
    <x v="6"/>
    <s v="GETOH_HEATPUMP"/>
    <x v="0"/>
    <x v="6"/>
    <n v="-12.6666666666667"/>
    <n v="-4623.3333333333303"/>
    <n v="-16644"/>
  </r>
  <r>
    <x v="0"/>
    <x v="0"/>
    <x v="0"/>
    <x v="2"/>
    <x v="3"/>
    <s v="FIN_HP"/>
    <x v="14"/>
    <x v="6"/>
    <s v="GETOH_HEATPUMP"/>
    <x v="0"/>
    <x v="7"/>
    <n v="-12.6666666666667"/>
    <n v="-4623.3333333333303"/>
    <n v="-16644"/>
  </r>
  <r>
    <x v="0"/>
    <x v="0"/>
    <x v="0"/>
    <x v="2"/>
    <x v="3"/>
    <s v="FIN_HP"/>
    <x v="14"/>
    <x v="6"/>
    <s v="GETOH_HEATPUMP"/>
    <x v="0"/>
    <x v="8"/>
    <n v="-12.6666666666667"/>
    <n v="-4623.3333333333303"/>
    <n v="-16644"/>
  </r>
  <r>
    <x v="0"/>
    <x v="0"/>
    <x v="0"/>
    <x v="2"/>
    <x v="3"/>
    <s v="FIN_HP"/>
    <x v="14"/>
    <x v="6"/>
    <s v="GETOH_HEATPUMP"/>
    <x v="0"/>
    <x v="0"/>
    <n v="-12.6666666666667"/>
    <n v="-4623.3333333333303"/>
    <n v="-16644"/>
  </r>
  <r>
    <x v="0"/>
    <x v="0"/>
    <x v="0"/>
    <x v="2"/>
    <x v="3"/>
    <s v="FIN_HP"/>
    <x v="14"/>
    <x v="6"/>
    <s v="GETOH_HEATPUMP"/>
    <x v="0"/>
    <x v="1"/>
    <n v="-12.6666666666667"/>
    <n v="-4623.3333333333303"/>
    <n v="-16644"/>
  </r>
  <r>
    <x v="0"/>
    <x v="0"/>
    <x v="0"/>
    <x v="2"/>
    <x v="3"/>
    <s v="FIN_HP"/>
    <x v="14"/>
    <x v="6"/>
    <s v="GETOH_HEATPUMP"/>
    <x v="0"/>
    <x v="2"/>
    <n v="-12.6666666666667"/>
    <n v="-4623.3333333333303"/>
    <n v="-16644"/>
  </r>
  <r>
    <x v="0"/>
    <x v="0"/>
    <x v="0"/>
    <x v="2"/>
    <x v="3"/>
    <s v="FIN_HP"/>
    <x v="14"/>
    <x v="6"/>
    <s v="GETOH_HEATPUMP"/>
    <x v="0"/>
    <x v="9"/>
    <n v="-12.6666666666667"/>
    <n v="-4623.3333333333303"/>
    <n v="-16644"/>
  </r>
  <r>
    <x v="0"/>
    <x v="0"/>
    <x v="0"/>
    <x v="2"/>
    <x v="3"/>
    <s v="FIN_HP"/>
    <x v="14"/>
    <x v="6"/>
    <s v="GETOH_HEATPUMP"/>
    <x v="0"/>
    <x v="10"/>
    <n v="-12.6666666666667"/>
    <n v="-4623.3333333333303"/>
    <n v="-16644"/>
  </r>
  <r>
    <x v="0"/>
    <x v="0"/>
    <x v="0"/>
    <x v="2"/>
    <x v="3"/>
    <s v="FIN_HP"/>
    <x v="14"/>
    <x v="6"/>
    <s v="GETOH_HEATPUMP"/>
    <x v="0"/>
    <x v="11"/>
    <n v="-12.6666666666667"/>
    <n v="-4623.3333333333303"/>
    <n v="-16644"/>
  </r>
  <r>
    <x v="0"/>
    <x v="0"/>
    <x v="0"/>
    <x v="2"/>
    <x v="3"/>
    <s v="FIN_HP"/>
    <x v="14"/>
    <x v="6"/>
    <s v="GETOH_HEATPUMP"/>
    <x v="0"/>
    <x v="12"/>
    <n v="-12.6666666666667"/>
    <n v="-4623.3333333333303"/>
    <n v="-16644"/>
  </r>
  <r>
    <x v="0"/>
    <x v="0"/>
    <x v="0"/>
    <x v="2"/>
    <x v="3"/>
    <s v="FIN_HP"/>
    <x v="14"/>
    <x v="6"/>
    <s v="GETOH_HEATPUMP"/>
    <x v="0"/>
    <x v="13"/>
    <n v="-12.6666666666667"/>
    <n v="-4623.3333333333303"/>
    <n v="-16644"/>
  </r>
  <r>
    <x v="0"/>
    <x v="0"/>
    <x v="0"/>
    <x v="2"/>
    <x v="3"/>
    <s v="FIN_HP"/>
    <x v="14"/>
    <x v="6"/>
    <s v="GETOH_HEATPUMP"/>
    <x v="0"/>
    <x v="14"/>
    <n v="-12.6666666666667"/>
    <n v="-4623.3333333333303"/>
    <n v="-16644"/>
  </r>
  <r>
    <x v="0"/>
    <x v="0"/>
    <x v="0"/>
    <x v="2"/>
    <x v="3"/>
    <s v="FIN_HP"/>
    <x v="14"/>
    <x v="6"/>
    <s v="GETOH_HEATPUMP"/>
    <x v="0"/>
    <x v="15"/>
    <n v="-12.6666666666667"/>
    <n v="-4623.3333333333303"/>
    <n v="-16644"/>
  </r>
  <r>
    <x v="0"/>
    <x v="0"/>
    <x v="0"/>
    <x v="2"/>
    <x v="3"/>
    <s v="FIN_HP"/>
    <x v="14"/>
    <x v="6"/>
    <s v="GETOH_HEATPUMP"/>
    <x v="0"/>
    <x v="16"/>
    <n v="-12.6666666666667"/>
    <n v="-4623.3333333333303"/>
    <n v="-16644"/>
  </r>
  <r>
    <x v="0"/>
    <x v="0"/>
    <x v="0"/>
    <x v="2"/>
    <x v="3"/>
    <s v="FIN_HP"/>
    <x v="14"/>
    <x v="6"/>
    <s v="GETOH_HEATPUMP"/>
    <x v="0"/>
    <x v="17"/>
    <n v="-12.6666666666667"/>
    <n v="-4623.3333333333303"/>
    <n v="-16644"/>
  </r>
  <r>
    <x v="0"/>
    <x v="0"/>
    <x v="0"/>
    <x v="2"/>
    <x v="3"/>
    <s v="FIN_HP"/>
    <x v="14"/>
    <x v="6"/>
    <s v="GETOH_HEATPUMP"/>
    <x v="0"/>
    <x v="18"/>
    <n v="-12.6666666666667"/>
    <n v="-4623.3333333333303"/>
    <n v="-16644"/>
  </r>
  <r>
    <x v="0"/>
    <x v="0"/>
    <x v="0"/>
    <x v="2"/>
    <x v="3"/>
    <s v="FIN_HP"/>
    <x v="14"/>
    <x v="6"/>
    <s v="GETOH_HEATPUMP"/>
    <x v="0"/>
    <x v="19"/>
    <n v="-12.6666666666667"/>
    <n v="-4623.3333333333303"/>
    <n v="-16644"/>
  </r>
  <r>
    <x v="0"/>
    <x v="0"/>
    <x v="0"/>
    <x v="2"/>
    <x v="3"/>
    <s v="FIN_HP"/>
    <x v="14"/>
    <x v="6"/>
    <s v="GETOH_HEATPUMP"/>
    <x v="0"/>
    <x v="20"/>
    <n v="-12.6666666666667"/>
    <n v="-4623.3333333333303"/>
    <n v="-16644"/>
  </r>
  <r>
    <x v="0"/>
    <x v="0"/>
    <x v="0"/>
    <x v="2"/>
    <x v="3"/>
    <s v="FIN_HP"/>
    <x v="14"/>
    <x v="6"/>
    <s v="GETOH_HEATPUMP"/>
    <x v="0"/>
    <x v="21"/>
    <n v="-12.6666666666667"/>
    <n v="-4623.3333333333303"/>
    <n v="-16644"/>
  </r>
  <r>
    <x v="0"/>
    <x v="0"/>
    <x v="0"/>
    <x v="2"/>
    <x v="3"/>
    <s v="FIN_HP"/>
    <x v="14"/>
    <x v="6"/>
    <s v="GETOH_HEATPUMP"/>
    <x v="0"/>
    <x v="22"/>
    <n v="-12.6666666666667"/>
    <n v="-4623.3333333333303"/>
    <n v="-16644"/>
  </r>
  <r>
    <x v="0"/>
    <x v="0"/>
    <x v="0"/>
    <x v="2"/>
    <x v="3"/>
    <s v="FIN_HP"/>
    <x v="14"/>
    <x v="6"/>
    <s v="GETOH_HEATPUMP"/>
    <x v="0"/>
    <x v="23"/>
    <n v="-12.6666666666667"/>
    <n v="-4623.3333333333303"/>
    <n v="-16644"/>
  </r>
  <r>
    <x v="0"/>
    <x v="0"/>
    <x v="0"/>
    <x v="2"/>
    <x v="3"/>
    <s v="FIN_OTHER"/>
    <x v="2"/>
    <x v="1"/>
    <s v="GBPR_NATGAS_100"/>
    <x v="0"/>
    <x v="3"/>
    <n v="198.6"/>
    <n v="72489"/>
    <n v="260960.4"/>
  </r>
  <r>
    <x v="0"/>
    <x v="0"/>
    <x v="0"/>
    <x v="2"/>
    <x v="3"/>
    <s v="FIN_OTHER"/>
    <x v="2"/>
    <x v="1"/>
    <s v="GBPR_NATGAS_100"/>
    <x v="0"/>
    <x v="4"/>
    <n v="198.6"/>
    <n v="72489"/>
    <n v="260960.4"/>
  </r>
  <r>
    <x v="0"/>
    <x v="0"/>
    <x v="0"/>
    <x v="2"/>
    <x v="3"/>
    <s v="FIN_OTHER"/>
    <x v="2"/>
    <x v="1"/>
    <s v="GBPR_NATGAS_100"/>
    <x v="0"/>
    <x v="5"/>
    <n v="198.6"/>
    <n v="72489"/>
    <n v="260960.4"/>
  </r>
  <r>
    <x v="0"/>
    <x v="0"/>
    <x v="0"/>
    <x v="2"/>
    <x v="3"/>
    <s v="FIN_OTHER"/>
    <x v="2"/>
    <x v="1"/>
    <s v="GBPR_NATGAS_100"/>
    <x v="0"/>
    <x v="6"/>
    <n v="198.6"/>
    <n v="72489"/>
    <n v="260960.4"/>
  </r>
  <r>
    <x v="0"/>
    <x v="0"/>
    <x v="0"/>
    <x v="2"/>
    <x v="3"/>
    <s v="FIN_OTHER"/>
    <x v="2"/>
    <x v="1"/>
    <s v="GBPR_NATGAS_100"/>
    <x v="0"/>
    <x v="7"/>
    <n v="198.6"/>
    <n v="72489"/>
    <n v="260960.4"/>
  </r>
  <r>
    <x v="0"/>
    <x v="0"/>
    <x v="0"/>
    <x v="2"/>
    <x v="3"/>
    <s v="FIN_OTHER"/>
    <x v="2"/>
    <x v="1"/>
    <s v="GBPR_NATGAS_100"/>
    <x v="0"/>
    <x v="8"/>
    <n v="198.6"/>
    <n v="72489"/>
    <n v="260960.4"/>
  </r>
  <r>
    <x v="0"/>
    <x v="0"/>
    <x v="0"/>
    <x v="2"/>
    <x v="3"/>
    <s v="FIN_OTHER"/>
    <x v="2"/>
    <x v="1"/>
    <s v="GBPR_NATGAS_100"/>
    <x v="0"/>
    <x v="0"/>
    <n v="198.6"/>
    <n v="72489"/>
    <n v="260960.4"/>
  </r>
  <r>
    <x v="0"/>
    <x v="0"/>
    <x v="0"/>
    <x v="2"/>
    <x v="3"/>
    <s v="FIN_OTHER"/>
    <x v="2"/>
    <x v="1"/>
    <s v="GBPR_NATGAS_100"/>
    <x v="0"/>
    <x v="1"/>
    <n v="198.6"/>
    <n v="72489"/>
    <n v="260960.4"/>
  </r>
  <r>
    <x v="0"/>
    <x v="0"/>
    <x v="0"/>
    <x v="2"/>
    <x v="3"/>
    <s v="FIN_OTHER"/>
    <x v="2"/>
    <x v="1"/>
    <s v="GBPR_NATGAS_100"/>
    <x v="0"/>
    <x v="2"/>
    <n v="198.6"/>
    <n v="72489"/>
    <n v="260960.4"/>
  </r>
  <r>
    <x v="0"/>
    <x v="0"/>
    <x v="0"/>
    <x v="2"/>
    <x v="3"/>
    <s v="FIN_OTHER"/>
    <x v="2"/>
    <x v="1"/>
    <s v="GBPR_NATGAS_100"/>
    <x v="0"/>
    <x v="9"/>
    <n v="198.6"/>
    <n v="72489"/>
    <n v="260960.4"/>
  </r>
  <r>
    <x v="0"/>
    <x v="0"/>
    <x v="0"/>
    <x v="2"/>
    <x v="3"/>
    <s v="FIN_OTHER"/>
    <x v="2"/>
    <x v="1"/>
    <s v="GBPR_NATGAS_100"/>
    <x v="0"/>
    <x v="10"/>
    <n v="198.6"/>
    <n v="72489"/>
    <n v="260960.4"/>
  </r>
  <r>
    <x v="0"/>
    <x v="0"/>
    <x v="0"/>
    <x v="2"/>
    <x v="3"/>
    <s v="FIN_OTHER"/>
    <x v="2"/>
    <x v="1"/>
    <s v="GBPR_NATGAS_100"/>
    <x v="0"/>
    <x v="11"/>
    <n v="198.6"/>
    <n v="72489"/>
    <n v="260960.4"/>
  </r>
  <r>
    <x v="0"/>
    <x v="0"/>
    <x v="0"/>
    <x v="2"/>
    <x v="3"/>
    <s v="FIN_OTHER"/>
    <x v="2"/>
    <x v="1"/>
    <s v="GBPR_NATGAS_100"/>
    <x v="0"/>
    <x v="12"/>
    <n v="198.6"/>
    <n v="72489"/>
    <n v="260960.4"/>
  </r>
  <r>
    <x v="0"/>
    <x v="0"/>
    <x v="0"/>
    <x v="2"/>
    <x v="3"/>
    <s v="FIN_OTHER"/>
    <x v="2"/>
    <x v="1"/>
    <s v="GBPR_NATGAS_100"/>
    <x v="0"/>
    <x v="13"/>
    <n v="198.6"/>
    <n v="72489"/>
    <n v="260960.4"/>
  </r>
  <r>
    <x v="0"/>
    <x v="0"/>
    <x v="0"/>
    <x v="2"/>
    <x v="3"/>
    <s v="FIN_OTHER"/>
    <x v="2"/>
    <x v="1"/>
    <s v="GBPR_NATGAS_100"/>
    <x v="0"/>
    <x v="14"/>
    <n v="198.6"/>
    <n v="72489"/>
    <n v="260960.4"/>
  </r>
  <r>
    <x v="0"/>
    <x v="0"/>
    <x v="0"/>
    <x v="2"/>
    <x v="3"/>
    <s v="FIN_OTHER"/>
    <x v="2"/>
    <x v="1"/>
    <s v="GBPR_NATGAS_100"/>
    <x v="0"/>
    <x v="15"/>
    <n v="198.6"/>
    <n v="72489"/>
    <n v="260960.4"/>
  </r>
  <r>
    <x v="0"/>
    <x v="0"/>
    <x v="0"/>
    <x v="2"/>
    <x v="3"/>
    <s v="FIN_OTHER"/>
    <x v="2"/>
    <x v="1"/>
    <s v="GBPR_NATGAS_100"/>
    <x v="0"/>
    <x v="16"/>
    <n v="198.6"/>
    <n v="72489"/>
    <n v="260960.4"/>
  </r>
  <r>
    <x v="0"/>
    <x v="0"/>
    <x v="0"/>
    <x v="2"/>
    <x v="3"/>
    <s v="FIN_OTHER"/>
    <x v="2"/>
    <x v="1"/>
    <s v="GBPR_NATGAS_100"/>
    <x v="0"/>
    <x v="17"/>
    <n v="198.6"/>
    <n v="72489"/>
    <n v="260960.4"/>
  </r>
  <r>
    <x v="0"/>
    <x v="0"/>
    <x v="0"/>
    <x v="2"/>
    <x v="3"/>
    <s v="FIN_OTHER"/>
    <x v="2"/>
    <x v="1"/>
    <s v="GBPR_NATGAS_100"/>
    <x v="0"/>
    <x v="18"/>
    <n v="198.6"/>
    <n v="72489"/>
    <n v="260960.4"/>
  </r>
  <r>
    <x v="0"/>
    <x v="0"/>
    <x v="0"/>
    <x v="2"/>
    <x v="3"/>
    <s v="FIN_OTHER"/>
    <x v="2"/>
    <x v="1"/>
    <s v="GBPR_NATGAS_100"/>
    <x v="0"/>
    <x v="19"/>
    <n v="198.6"/>
    <n v="72489"/>
    <n v="260960.4"/>
  </r>
  <r>
    <x v="0"/>
    <x v="0"/>
    <x v="0"/>
    <x v="2"/>
    <x v="3"/>
    <s v="FIN_OTHER"/>
    <x v="2"/>
    <x v="1"/>
    <s v="GBPR_NATGAS_100"/>
    <x v="0"/>
    <x v="20"/>
    <n v="198.6"/>
    <n v="72489"/>
    <n v="260960.4"/>
  </r>
  <r>
    <x v="0"/>
    <x v="0"/>
    <x v="0"/>
    <x v="2"/>
    <x v="3"/>
    <s v="FIN_OTHER"/>
    <x v="2"/>
    <x v="1"/>
    <s v="GBPR_NATGAS_100"/>
    <x v="0"/>
    <x v="21"/>
    <n v="198.6"/>
    <n v="72489"/>
    <n v="260960.4"/>
  </r>
  <r>
    <x v="0"/>
    <x v="0"/>
    <x v="0"/>
    <x v="2"/>
    <x v="3"/>
    <s v="FIN_OTHER"/>
    <x v="2"/>
    <x v="1"/>
    <s v="GBPR_NATGAS_100"/>
    <x v="0"/>
    <x v="22"/>
    <n v="198.6"/>
    <n v="72489"/>
    <n v="260960.4"/>
  </r>
  <r>
    <x v="0"/>
    <x v="0"/>
    <x v="0"/>
    <x v="2"/>
    <x v="3"/>
    <s v="FIN_OTHER"/>
    <x v="2"/>
    <x v="1"/>
    <s v="GBPR_NATGAS_100"/>
    <x v="0"/>
    <x v="23"/>
    <n v="198.6"/>
    <n v="72489"/>
    <n v="260960.4"/>
  </r>
  <r>
    <x v="0"/>
    <x v="0"/>
    <x v="0"/>
    <x v="2"/>
    <x v="3"/>
    <s v="FIN_OTHER"/>
    <x v="4"/>
    <x v="1"/>
    <s v="GBPR_WOODCHIPS_FINOTHER"/>
    <x v="0"/>
    <x v="3"/>
    <n v="211.2"/>
    <n v="77088"/>
    <n v="277516.79999999999"/>
  </r>
  <r>
    <x v="0"/>
    <x v="0"/>
    <x v="0"/>
    <x v="2"/>
    <x v="3"/>
    <s v="FIN_OTHER"/>
    <x v="4"/>
    <x v="1"/>
    <s v="GBPR_WOODCHIPS_FINOTHER"/>
    <x v="0"/>
    <x v="4"/>
    <n v="211.2"/>
    <n v="77088"/>
    <n v="277516.79999999999"/>
  </r>
  <r>
    <x v="0"/>
    <x v="0"/>
    <x v="0"/>
    <x v="2"/>
    <x v="3"/>
    <s v="FIN_OTHER"/>
    <x v="4"/>
    <x v="1"/>
    <s v="GBPR_WOODCHIPS_FINOTHER"/>
    <x v="0"/>
    <x v="5"/>
    <n v="211.2"/>
    <n v="77088"/>
    <n v="277516.79999999999"/>
  </r>
  <r>
    <x v="0"/>
    <x v="0"/>
    <x v="0"/>
    <x v="2"/>
    <x v="3"/>
    <s v="FIN_OTHER"/>
    <x v="4"/>
    <x v="1"/>
    <s v="GBPR_WOODCHIPS_FINOTHER"/>
    <x v="0"/>
    <x v="6"/>
    <n v="211.2"/>
    <n v="77088"/>
    <n v="277516.79999999999"/>
  </r>
  <r>
    <x v="0"/>
    <x v="0"/>
    <x v="0"/>
    <x v="2"/>
    <x v="3"/>
    <s v="FIN_OTHER"/>
    <x v="4"/>
    <x v="1"/>
    <s v="GBPR_WOODCHIPS_FINOTHER"/>
    <x v="0"/>
    <x v="7"/>
    <n v="211.2"/>
    <n v="77088"/>
    <n v="277516.79999999999"/>
  </r>
  <r>
    <x v="0"/>
    <x v="0"/>
    <x v="0"/>
    <x v="2"/>
    <x v="3"/>
    <s v="FIN_OTHER"/>
    <x v="4"/>
    <x v="1"/>
    <s v="GBPR_WOODCHIPS_FINOTHER"/>
    <x v="0"/>
    <x v="8"/>
    <n v="211.2"/>
    <n v="77088"/>
    <n v="277516.79999999999"/>
  </r>
  <r>
    <x v="0"/>
    <x v="0"/>
    <x v="0"/>
    <x v="2"/>
    <x v="3"/>
    <s v="FIN_OTHER"/>
    <x v="4"/>
    <x v="1"/>
    <s v="GBPR_WOODCHIPS_FINOTHER"/>
    <x v="0"/>
    <x v="0"/>
    <n v="211.2"/>
    <n v="77088"/>
    <n v="277516.79999999999"/>
  </r>
  <r>
    <x v="0"/>
    <x v="0"/>
    <x v="0"/>
    <x v="2"/>
    <x v="3"/>
    <s v="FIN_OTHER"/>
    <x v="4"/>
    <x v="1"/>
    <s v="GBPR_WOODCHIPS_FINOTHER"/>
    <x v="0"/>
    <x v="1"/>
    <n v="211.2"/>
    <n v="77088"/>
    <n v="277516.79999999999"/>
  </r>
  <r>
    <x v="0"/>
    <x v="0"/>
    <x v="0"/>
    <x v="2"/>
    <x v="3"/>
    <s v="FIN_OTHER"/>
    <x v="4"/>
    <x v="1"/>
    <s v="GBPR_WOODCHIPS_FINOTHER"/>
    <x v="0"/>
    <x v="2"/>
    <n v="211.2"/>
    <n v="77088"/>
    <n v="277516.79999999999"/>
  </r>
  <r>
    <x v="0"/>
    <x v="0"/>
    <x v="0"/>
    <x v="2"/>
    <x v="3"/>
    <s v="FIN_OTHER"/>
    <x v="4"/>
    <x v="1"/>
    <s v="GBPR_WOODCHIPS_FINOTHER"/>
    <x v="0"/>
    <x v="9"/>
    <n v="211.2"/>
    <n v="77088"/>
    <n v="277516.79999999999"/>
  </r>
  <r>
    <x v="0"/>
    <x v="0"/>
    <x v="0"/>
    <x v="2"/>
    <x v="3"/>
    <s v="FIN_OTHER"/>
    <x v="4"/>
    <x v="1"/>
    <s v="GBPR_WOODCHIPS_FINOTHER"/>
    <x v="0"/>
    <x v="10"/>
    <n v="211.2"/>
    <n v="77088"/>
    <n v="277516.79999999999"/>
  </r>
  <r>
    <x v="0"/>
    <x v="0"/>
    <x v="0"/>
    <x v="2"/>
    <x v="3"/>
    <s v="FIN_OTHER"/>
    <x v="4"/>
    <x v="1"/>
    <s v="GBPR_WOODCHIPS_FINOTHER"/>
    <x v="0"/>
    <x v="11"/>
    <n v="211.2"/>
    <n v="77088"/>
    <n v="277516.79999999999"/>
  </r>
  <r>
    <x v="0"/>
    <x v="0"/>
    <x v="0"/>
    <x v="2"/>
    <x v="3"/>
    <s v="FIN_OTHER"/>
    <x v="4"/>
    <x v="1"/>
    <s v="GBPR_WOODCHIPS_FINOTHER"/>
    <x v="0"/>
    <x v="12"/>
    <n v="211.2"/>
    <n v="77088"/>
    <n v="277516.79999999999"/>
  </r>
  <r>
    <x v="0"/>
    <x v="0"/>
    <x v="0"/>
    <x v="2"/>
    <x v="3"/>
    <s v="FIN_OTHER"/>
    <x v="4"/>
    <x v="1"/>
    <s v="GBPR_WOODCHIPS_FINOTHER"/>
    <x v="0"/>
    <x v="13"/>
    <n v="211.2"/>
    <n v="77088"/>
    <n v="277516.79999999999"/>
  </r>
  <r>
    <x v="0"/>
    <x v="0"/>
    <x v="0"/>
    <x v="2"/>
    <x v="3"/>
    <s v="FIN_OTHER"/>
    <x v="4"/>
    <x v="1"/>
    <s v="GBPR_WOODCHIPS_FINOTHER"/>
    <x v="0"/>
    <x v="14"/>
    <n v="211.2"/>
    <n v="77088"/>
    <n v="277516.79999999999"/>
  </r>
  <r>
    <x v="0"/>
    <x v="0"/>
    <x v="0"/>
    <x v="2"/>
    <x v="3"/>
    <s v="FIN_OTHER"/>
    <x v="4"/>
    <x v="1"/>
    <s v="GBPR_WOODCHIPS_FINOTHER"/>
    <x v="0"/>
    <x v="15"/>
    <n v="211.2"/>
    <n v="77088"/>
    <n v="277516.79999999999"/>
  </r>
  <r>
    <x v="0"/>
    <x v="0"/>
    <x v="0"/>
    <x v="2"/>
    <x v="3"/>
    <s v="FIN_OTHER"/>
    <x v="4"/>
    <x v="1"/>
    <s v="GBPR_WOODCHIPS_FINOTHER"/>
    <x v="0"/>
    <x v="16"/>
    <n v="211.2"/>
    <n v="77088"/>
    <n v="277516.79999999999"/>
  </r>
  <r>
    <x v="0"/>
    <x v="0"/>
    <x v="0"/>
    <x v="2"/>
    <x v="3"/>
    <s v="FIN_OTHER"/>
    <x v="4"/>
    <x v="1"/>
    <s v="GBPR_WOODCHIPS_FINOTHER"/>
    <x v="0"/>
    <x v="17"/>
    <n v="211.2"/>
    <n v="77088"/>
    <n v="277516.79999999999"/>
  </r>
  <r>
    <x v="0"/>
    <x v="0"/>
    <x v="0"/>
    <x v="2"/>
    <x v="3"/>
    <s v="FIN_OTHER"/>
    <x v="4"/>
    <x v="1"/>
    <s v="GBPR_WOODCHIPS_FINOTHER"/>
    <x v="0"/>
    <x v="18"/>
    <n v="211.2"/>
    <n v="77088"/>
    <n v="277516.79999999999"/>
  </r>
  <r>
    <x v="0"/>
    <x v="0"/>
    <x v="0"/>
    <x v="2"/>
    <x v="3"/>
    <s v="FIN_OTHER"/>
    <x v="4"/>
    <x v="1"/>
    <s v="GBPR_WOODCHIPS_FINOTHER"/>
    <x v="0"/>
    <x v="19"/>
    <n v="211.2"/>
    <n v="77088"/>
    <n v="277516.79999999999"/>
  </r>
  <r>
    <x v="0"/>
    <x v="0"/>
    <x v="0"/>
    <x v="2"/>
    <x v="3"/>
    <s v="FIN_OTHER"/>
    <x v="4"/>
    <x v="1"/>
    <s v="GBPR_WOODCHIPS_FINOTHER"/>
    <x v="0"/>
    <x v="20"/>
    <n v="211.2"/>
    <n v="77088"/>
    <n v="277516.79999999999"/>
  </r>
  <r>
    <x v="0"/>
    <x v="0"/>
    <x v="0"/>
    <x v="2"/>
    <x v="3"/>
    <s v="FIN_OTHER"/>
    <x v="4"/>
    <x v="1"/>
    <s v="GBPR_WOODCHIPS_FINOTHER"/>
    <x v="0"/>
    <x v="21"/>
    <n v="211.2"/>
    <n v="77088"/>
    <n v="277516.79999999999"/>
  </r>
  <r>
    <x v="0"/>
    <x v="0"/>
    <x v="0"/>
    <x v="2"/>
    <x v="3"/>
    <s v="FIN_OTHER"/>
    <x v="4"/>
    <x v="1"/>
    <s v="GBPR_WOODCHIPS_FINOTHER"/>
    <x v="0"/>
    <x v="22"/>
    <n v="211.2"/>
    <n v="77088"/>
    <n v="277516.79999999999"/>
  </r>
  <r>
    <x v="0"/>
    <x v="0"/>
    <x v="0"/>
    <x v="2"/>
    <x v="3"/>
    <s v="FIN_OTHER"/>
    <x v="4"/>
    <x v="1"/>
    <s v="GBPR_WOODCHIPS_FINOTHER"/>
    <x v="0"/>
    <x v="23"/>
    <n v="211.2"/>
    <n v="77088"/>
    <n v="277516.79999999999"/>
  </r>
  <r>
    <x v="0"/>
    <x v="0"/>
    <x v="0"/>
    <x v="2"/>
    <x v="3"/>
    <s v="FIN_OTHER"/>
    <x v="8"/>
    <x v="1"/>
    <s v="GBPR_WOODPELLETS"/>
    <x v="0"/>
    <x v="3"/>
    <n v="1.1000000000000001"/>
    <n v="401.5"/>
    <n v="1445.4"/>
  </r>
  <r>
    <x v="0"/>
    <x v="0"/>
    <x v="0"/>
    <x v="2"/>
    <x v="3"/>
    <s v="FIN_OTHER"/>
    <x v="8"/>
    <x v="1"/>
    <s v="GBPR_WOODPELLETS"/>
    <x v="0"/>
    <x v="4"/>
    <n v="1.1000000000000001"/>
    <n v="401.5"/>
    <n v="1445.4"/>
  </r>
  <r>
    <x v="0"/>
    <x v="0"/>
    <x v="0"/>
    <x v="2"/>
    <x v="3"/>
    <s v="FIN_OTHER"/>
    <x v="8"/>
    <x v="1"/>
    <s v="GBPR_WOODPELLETS"/>
    <x v="0"/>
    <x v="5"/>
    <n v="1.1000000000000001"/>
    <n v="401.5"/>
    <n v="1445.4"/>
  </r>
  <r>
    <x v="0"/>
    <x v="0"/>
    <x v="0"/>
    <x v="2"/>
    <x v="3"/>
    <s v="FIN_OTHER"/>
    <x v="8"/>
    <x v="1"/>
    <s v="GBPR_WOODPELLETS"/>
    <x v="0"/>
    <x v="6"/>
    <n v="1.1000000000000001"/>
    <n v="401.5"/>
    <n v="1445.4"/>
  </r>
  <r>
    <x v="0"/>
    <x v="0"/>
    <x v="0"/>
    <x v="2"/>
    <x v="3"/>
    <s v="FIN_OTHER"/>
    <x v="8"/>
    <x v="1"/>
    <s v="GBPR_WOODPELLETS"/>
    <x v="0"/>
    <x v="7"/>
    <n v="1.1000000000000001"/>
    <n v="401.5"/>
    <n v="1445.4"/>
  </r>
  <r>
    <x v="0"/>
    <x v="0"/>
    <x v="0"/>
    <x v="2"/>
    <x v="3"/>
    <s v="FIN_OTHER"/>
    <x v="8"/>
    <x v="1"/>
    <s v="GBPR_WOODPELLETS"/>
    <x v="0"/>
    <x v="8"/>
    <n v="1.1000000000000001"/>
    <n v="401.5"/>
    <n v="1445.4"/>
  </r>
  <r>
    <x v="0"/>
    <x v="0"/>
    <x v="0"/>
    <x v="2"/>
    <x v="3"/>
    <s v="FIN_OTHER"/>
    <x v="8"/>
    <x v="1"/>
    <s v="GBPR_WOODPELLETS"/>
    <x v="0"/>
    <x v="0"/>
    <n v="1.1000000000000001"/>
    <n v="401.5"/>
    <n v="1445.4"/>
  </r>
  <r>
    <x v="0"/>
    <x v="0"/>
    <x v="0"/>
    <x v="2"/>
    <x v="3"/>
    <s v="FIN_OTHER"/>
    <x v="8"/>
    <x v="1"/>
    <s v="GBPR_WOODPELLETS"/>
    <x v="0"/>
    <x v="1"/>
    <n v="1.1000000000000001"/>
    <n v="401.5"/>
    <n v="1445.4"/>
  </r>
  <r>
    <x v="0"/>
    <x v="0"/>
    <x v="0"/>
    <x v="2"/>
    <x v="3"/>
    <s v="FIN_OTHER"/>
    <x v="8"/>
    <x v="1"/>
    <s v="GBPR_WOODPELLETS"/>
    <x v="0"/>
    <x v="2"/>
    <n v="1.1000000000000001"/>
    <n v="401.5"/>
    <n v="1445.4"/>
  </r>
  <r>
    <x v="0"/>
    <x v="0"/>
    <x v="0"/>
    <x v="2"/>
    <x v="3"/>
    <s v="FIN_OTHER"/>
    <x v="8"/>
    <x v="1"/>
    <s v="GBPR_WOODPELLETS"/>
    <x v="0"/>
    <x v="9"/>
    <n v="1.1000000000000001"/>
    <n v="401.5"/>
    <n v="1445.4"/>
  </r>
  <r>
    <x v="0"/>
    <x v="0"/>
    <x v="0"/>
    <x v="2"/>
    <x v="3"/>
    <s v="FIN_OTHER"/>
    <x v="8"/>
    <x v="1"/>
    <s v="GBPR_WOODPELLETS"/>
    <x v="0"/>
    <x v="10"/>
    <n v="1.1000000000000001"/>
    <n v="401.5"/>
    <n v="1445.4"/>
  </r>
  <r>
    <x v="0"/>
    <x v="0"/>
    <x v="0"/>
    <x v="2"/>
    <x v="3"/>
    <s v="FIN_OTHER"/>
    <x v="8"/>
    <x v="1"/>
    <s v="GBPR_WOODPELLETS"/>
    <x v="0"/>
    <x v="11"/>
    <n v="1.1000000000000001"/>
    <n v="401.5"/>
    <n v="1445.4"/>
  </r>
  <r>
    <x v="0"/>
    <x v="0"/>
    <x v="0"/>
    <x v="2"/>
    <x v="3"/>
    <s v="FIN_OTHER"/>
    <x v="8"/>
    <x v="1"/>
    <s v="GBPR_WOODPELLETS"/>
    <x v="0"/>
    <x v="12"/>
    <n v="1.1000000000000001"/>
    <n v="401.5"/>
    <n v="1445.4"/>
  </r>
  <r>
    <x v="0"/>
    <x v="0"/>
    <x v="0"/>
    <x v="2"/>
    <x v="3"/>
    <s v="FIN_OTHER"/>
    <x v="8"/>
    <x v="1"/>
    <s v="GBPR_WOODPELLETS"/>
    <x v="0"/>
    <x v="13"/>
    <n v="1.1000000000000001"/>
    <n v="401.5"/>
    <n v="1445.4"/>
  </r>
  <r>
    <x v="0"/>
    <x v="0"/>
    <x v="0"/>
    <x v="2"/>
    <x v="3"/>
    <s v="FIN_OTHER"/>
    <x v="8"/>
    <x v="1"/>
    <s v="GBPR_WOODPELLETS"/>
    <x v="0"/>
    <x v="14"/>
    <n v="1.1000000000000001"/>
    <n v="401.5"/>
    <n v="1445.4"/>
  </r>
  <r>
    <x v="0"/>
    <x v="0"/>
    <x v="0"/>
    <x v="2"/>
    <x v="3"/>
    <s v="FIN_OTHER"/>
    <x v="8"/>
    <x v="1"/>
    <s v="GBPR_WOODPELLETS"/>
    <x v="0"/>
    <x v="15"/>
    <n v="1.1000000000000001"/>
    <n v="401.5"/>
    <n v="1445.4"/>
  </r>
  <r>
    <x v="0"/>
    <x v="0"/>
    <x v="0"/>
    <x v="2"/>
    <x v="3"/>
    <s v="FIN_OTHER"/>
    <x v="8"/>
    <x v="1"/>
    <s v="GBPR_WOODPELLETS"/>
    <x v="0"/>
    <x v="16"/>
    <n v="1.1000000000000001"/>
    <n v="401.5"/>
    <n v="1445.4"/>
  </r>
  <r>
    <x v="0"/>
    <x v="0"/>
    <x v="0"/>
    <x v="2"/>
    <x v="3"/>
    <s v="FIN_OTHER"/>
    <x v="8"/>
    <x v="1"/>
    <s v="GBPR_WOODPELLETS"/>
    <x v="0"/>
    <x v="17"/>
    <n v="1.1000000000000001"/>
    <n v="401.5"/>
    <n v="1445.4"/>
  </r>
  <r>
    <x v="0"/>
    <x v="0"/>
    <x v="0"/>
    <x v="2"/>
    <x v="3"/>
    <s v="FIN_OTHER"/>
    <x v="8"/>
    <x v="1"/>
    <s v="GBPR_WOODPELLETS"/>
    <x v="0"/>
    <x v="18"/>
    <n v="1.1000000000000001"/>
    <n v="401.5"/>
    <n v="1445.4"/>
  </r>
  <r>
    <x v="0"/>
    <x v="0"/>
    <x v="0"/>
    <x v="2"/>
    <x v="3"/>
    <s v="FIN_OTHER"/>
    <x v="8"/>
    <x v="1"/>
    <s v="GBPR_WOODPELLETS"/>
    <x v="0"/>
    <x v="19"/>
    <n v="1.1000000000000001"/>
    <n v="401.5"/>
    <n v="1445.4"/>
  </r>
  <r>
    <x v="0"/>
    <x v="0"/>
    <x v="0"/>
    <x v="2"/>
    <x v="3"/>
    <s v="FIN_OTHER"/>
    <x v="8"/>
    <x v="1"/>
    <s v="GBPR_WOODPELLETS"/>
    <x v="0"/>
    <x v="20"/>
    <n v="1.1000000000000001"/>
    <n v="401.5"/>
    <n v="1445.4"/>
  </r>
  <r>
    <x v="0"/>
    <x v="0"/>
    <x v="0"/>
    <x v="2"/>
    <x v="3"/>
    <s v="FIN_OTHER"/>
    <x v="8"/>
    <x v="1"/>
    <s v="GBPR_WOODPELLETS"/>
    <x v="0"/>
    <x v="21"/>
    <n v="1.1000000000000001"/>
    <n v="401.5"/>
    <n v="1445.4"/>
  </r>
  <r>
    <x v="0"/>
    <x v="0"/>
    <x v="0"/>
    <x v="2"/>
    <x v="3"/>
    <s v="FIN_OTHER"/>
    <x v="8"/>
    <x v="1"/>
    <s v="GBPR_WOODPELLETS"/>
    <x v="0"/>
    <x v="22"/>
    <n v="1.1000000000000001"/>
    <n v="401.5"/>
    <n v="1445.4"/>
  </r>
  <r>
    <x v="0"/>
    <x v="0"/>
    <x v="0"/>
    <x v="2"/>
    <x v="3"/>
    <s v="FIN_OTHER"/>
    <x v="8"/>
    <x v="1"/>
    <s v="GBPR_WOODPELLETS"/>
    <x v="0"/>
    <x v="23"/>
    <n v="1.1000000000000001"/>
    <n v="401.5"/>
    <n v="1445.4"/>
  </r>
  <r>
    <x v="0"/>
    <x v="0"/>
    <x v="0"/>
    <x v="2"/>
    <x v="3"/>
    <s v="FIN_OTHER"/>
    <x v="12"/>
    <x v="1"/>
    <s v="GBPR_WOODWASTE_FINOTHER"/>
    <x v="0"/>
    <x v="3"/>
    <n v="74.099999999999994"/>
    <n v="27046.5"/>
    <n v="97367.4"/>
  </r>
  <r>
    <x v="0"/>
    <x v="0"/>
    <x v="0"/>
    <x v="2"/>
    <x v="3"/>
    <s v="FIN_OTHER"/>
    <x v="12"/>
    <x v="1"/>
    <s v="GBPR_WOODWASTE_FINOTHER"/>
    <x v="0"/>
    <x v="4"/>
    <n v="74.099999999999994"/>
    <n v="27046.5"/>
    <n v="97367.4"/>
  </r>
  <r>
    <x v="0"/>
    <x v="0"/>
    <x v="0"/>
    <x v="2"/>
    <x v="3"/>
    <s v="FIN_OTHER"/>
    <x v="12"/>
    <x v="1"/>
    <s v="GBPR_WOODWASTE_FINOTHER"/>
    <x v="0"/>
    <x v="5"/>
    <n v="74.099999999999994"/>
    <n v="27046.5"/>
    <n v="97367.4"/>
  </r>
  <r>
    <x v="0"/>
    <x v="0"/>
    <x v="0"/>
    <x v="2"/>
    <x v="3"/>
    <s v="FIN_OTHER"/>
    <x v="12"/>
    <x v="1"/>
    <s v="GBPR_WOODWASTE_FINOTHER"/>
    <x v="0"/>
    <x v="6"/>
    <n v="74.099999999999994"/>
    <n v="27046.5"/>
    <n v="97367.4"/>
  </r>
  <r>
    <x v="0"/>
    <x v="0"/>
    <x v="0"/>
    <x v="2"/>
    <x v="3"/>
    <s v="FIN_OTHER"/>
    <x v="12"/>
    <x v="1"/>
    <s v="GBPR_WOODWASTE_FINOTHER"/>
    <x v="0"/>
    <x v="7"/>
    <n v="74.099999999999994"/>
    <n v="27046.5"/>
    <n v="97367.4"/>
  </r>
  <r>
    <x v="0"/>
    <x v="0"/>
    <x v="0"/>
    <x v="2"/>
    <x v="3"/>
    <s v="FIN_OTHER"/>
    <x v="12"/>
    <x v="1"/>
    <s v="GBPR_WOODWASTE_FINOTHER"/>
    <x v="0"/>
    <x v="8"/>
    <n v="74.099999999999994"/>
    <n v="27046.5"/>
    <n v="97367.4"/>
  </r>
  <r>
    <x v="0"/>
    <x v="0"/>
    <x v="0"/>
    <x v="2"/>
    <x v="3"/>
    <s v="FIN_OTHER"/>
    <x v="12"/>
    <x v="1"/>
    <s v="GBPR_WOODWASTE_FINOTHER"/>
    <x v="0"/>
    <x v="0"/>
    <n v="74.099999999999994"/>
    <n v="27046.5"/>
    <n v="97367.4"/>
  </r>
  <r>
    <x v="0"/>
    <x v="0"/>
    <x v="0"/>
    <x v="2"/>
    <x v="3"/>
    <s v="FIN_OTHER"/>
    <x v="12"/>
    <x v="1"/>
    <s v="GBPR_WOODWASTE_FINOTHER"/>
    <x v="0"/>
    <x v="1"/>
    <n v="74.099999999999994"/>
    <n v="27046.5"/>
    <n v="97367.4"/>
  </r>
  <r>
    <x v="0"/>
    <x v="0"/>
    <x v="0"/>
    <x v="2"/>
    <x v="3"/>
    <s v="FIN_OTHER"/>
    <x v="12"/>
    <x v="1"/>
    <s v="GBPR_WOODWASTE_FINOTHER"/>
    <x v="0"/>
    <x v="2"/>
    <n v="74.099999999999994"/>
    <n v="27046.5"/>
    <n v="97367.4"/>
  </r>
  <r>
    <x v="0"/>
    <x v="0"/>
    <x v="0"/>
    <x v="2"/>
    <x v="3"/>
    <s v="FIN_OTHER"/>
    <x v="12"/>
    <x v="1"/>
    <s v="GBPR_WOODWASTE_FINOTHER"/>
    <x v="0"/>
    <x v="9"/>
    <n v="74.099999999999994"/>
    <n v="27046.5"/>
    <n v="97367.4"/>
  </r>
  <r>
    <x v="0"/>
    <x v="0"/>
    <x v="0"/>
    <x v="2"/>
    <x v="3"/>
    <s v="FIN_OTHER"/>
    <x v="12"/>
    <x v="1"/>
    <s v="GBPR_WOODWASTE_FINOTHER"/>
    <x v="0"/>
    <x v="10"/>
    <n v="74.099999999999994"/>
    <n v="27046.5"/>
    <n v="97367.4"/>
  </r>
  <r>
    <x v="0"/>
    <x v="0"/>
    <x v="0"/>
    <x v="2"/>
    <x v="3"/>
    <s v="FIN_OTHER"/>
    <x v="12"/>
    <x v="1"/>
    <s v="GBPR_WOODWASTE_FINOTHER"/>
    <x v="0"/>
    <x v="11"/>
    <n v="74.099999999999994"/>
    <n v="27046.5"/>
    <n v="97367.4"/>
  </r>
  <r>
    <x v="0"/>
    <x v="0"/>
    <x v="0"/>
    <x v="2"/>
    <x v="3"/>
    <s v="FIN_OTHER"/>
    <x v="12"/>
    <x v="1"/>
    <s v="GBPR_WOODWASTE_FINOTHER"/>
    <x v="0"/>
    <x v="12"/>
    <n v="74.099999999999994"/>
    <n v="27046.5"/>
    <n v="97367.4"/>
  </r>
  <r>
    <x v="0"/>
    <x v="0"/>
    <x v="0"/>
    <x v="2"/>
    <x v="3"/>
    <s v="FIN_OTHER"/>
    <x v="12"/>
    <x v="1"/>
    <s v="GBPR_WOODWASTE_FINOTHER"/>
    <x v="0"/>
    <x v="13"/>
    <n v="74.099999999999994"/>
    <n v="27046.5"/>
    <n v="97367.4"/>
  </r>
  <r>
    <x v="0"/>
    <x v="0"/>
    <x v="0"/>
    <x v="2"/>
    <x v="3"/>
    <s v="FIN_OTHER"/>
    <x v="12"/>
    <x v="1"/>
    <s v="GBPR_WOODWASTE_FINOTHER"/>
    <x v="0"/>
    <x v="14"/>
    <n v="74.099999999999994"/>
    <n v="27046.5"/>
    <n v="97367.4"/>
  </r>
  <r>
    <x v="0"/>
    <x v="0"/>
    <x v="0"/>
    <x v="2"/>
    <x v="3"/>
    <s v="FIN_OTHER"/>
    <x v="12"/>
    <x v="1"/>
    <s v="GBPR_WOODWASTE_FINOTHER"/>
    <x v="0"/>
    <x v="15"/>
    <n v="74.099999999999994"/>
    <n v="27046.5"/>
    <n v="97367.4"/>
  </r>
  <r>
    <x v="0"/>
    <x v="0"/>
    <x v="0"/>
    <x v="2"/>
    <x v="3"/>
    <s v="FIN_OTHER"/>
    <x v="12"/>
    <x v="1"/>
    <s v="GBPR_WOODWASTE_FINOTHER"/>
    <x v="0"/>
    <x v="16"/>
    <n v="74.099999999999994"/>
    <n v="27046.5"/>
    <n v="97367.4"/>
  </r>
  <r>
    <x v="0"/>
    <x v="0"/>
    <x v="0"/>
    <x v="2"/>
    <x v="3"/>
    <s v="FIN_OTHER"/>
    <x v="12"/>
    <x v="1"/>
    <s v="GBPR_WOODWASTE_FINOTHER"/>
    <x v="0"/>
    <x v="17"/>
    <n v="74.099999999999994"/>
    <n v="27046.5"/>
    <n v="97367.4"/>
  </r>
  <r>
    <x v="0"/>
    <x v="0"/>
    <x v="0"/>
    <x v="2"/>
    <x v="3"/>
    <s v="FIN_OTHER"/>
    <x v="12"/>
    <x v="1"/>
    <s v="GBPR_WOODWASTE_FINOTHER"/>
    <x v="0"/>
    <x v="18"/>
    <n v="74.099999999999994"/>
    <n v="27046.5"/>
    <n v="97367.4"/>
  </r>
  <r>
    <x v="0"/>
    <x v="0"/>
    <x v="0"/>
    <x v="2"/>
    <x v="3"/>
    <s v="FIN_OTHER"/>
    <x v="12"/>
    <x v="1"/>
    <s v="GBPR_WOODWASTE_FINOTHER"/>
    <x v="0"/>
    <x v="19"/>
    <n v="74.099999999999994"/>
    <n v="27046.5"/>
    <n v="97367.4"/>
  </r>
  <r>
    <x v="0"/>
    <x v="0"/>
    <x v="0"/>
    <x v="2"/>
    <x v="3"/>
    <s v="FIN_OTHER"/>
    <x v="12"/>
    <x v="1"/>
    <s v="GBPR_WOODWASTE_FINOTHER"/>
    <x v="0"/>
    <x v="20"/>
    <n v="74.099999999999994"/>
    <n v="27046.5"/>
    <n v="97367.4"/>
  </r>
  <r>
    <x v="0"/>
    <x v="0"/>
    <x v="0"/>
    <x v="2"/>
    <x v="3"/>
    <s v="FIN_OTHER"/>
    <x v="12"/>
    <x v="1"/>
    <s v="GBPR_WOODWASTE_FINOTHER"/>
    <x v="0"/>
    <x v="21"/>
    <n v="74.099999999999994"/>
    <n v="27046.5"/>
    <n v="97367.4"/>
  </r>
  <r>
    <x v="0"/>
    <x v="0"/>
    <x v="0"/>
    <x v="2"/>
    <x v="3"/>
    <s v="FIN_OTHER"/>
    <x v="12"/>
    <x v="1"/>
    <s v="GBPR_WOODWASTE_FINOTHER"/>
    <x v="0"/>
    <x v="22"/>
    <n v="74.099999999999994"/>
    <n v="27046.5"/>
    <n v="97367.4"/>
  </r>
  <r>
    <x v="0"/>
    <x v="0"/>
    <x v="0"/>
    <x v="2"/>
    <x v="3"/>
    <s v="FIN_OTHER"/>
    <x v="12"/>
    <x v="1"/>
    <s v="GBPR_WOODWASTE_FINOTHER"/>
    <x v="0"/>
    <x v="23"/>
    <n v="74.099999999999994"/>
    <n v="27046.5"/>
    <n v="97367.4"/>
  </r>
  <r>
    <x v="0"/>
    <x v="0"/>
    <x v="0"/>
    <x v="2"/>
    <x v="3"/>
    <s v="FIN_TAMP"/>
    <x v="2"/>
    <x v="0"/>
    <s v="GEXT_NATGAS_TAMPERE"/>
    <x v="0"/>
    <x v="3"/>
    <n v="293.59335337282403"/>
    <n v="107161.573981081"/>
    <n v="385781.66633189103"/>
  </r>
  <r>
    <x v="0"/>
    <x v="0"/>
    <x v="0"/>
    <x v="2"/>
    <x v="3"/>
    <s v="FIN_TAMP"/>
    <x v="2"/>
    <x v="0"/>
    <s v="GEXT_NATGAS_TAMPERE"/>
    <x v="0"/>
    <x v="4"/>
    <n v="294.05444096565799"/>
    <n v="107329.870952465"/>
    <n v="386387.53542887501"/>
  </r>
  <r>
    <x v="0"/>
    <x v="0"/>
    <x v="0"/>
    <x v="2"/>
    <x v="3"/>
    <s v="FIN_TAMP"/>
    <x v="2"/>
    <x v="0"/>
    <s v="GEXT_NATGAS_TAMPERE"/>
    <x v="0"/>
    <x v="5"/>
    <n v="293.77145593021902"/>
    <n v="107226.58141453"/>
    <n v="386015.69309230801"/>
  </r>
  <r>
    <x v="0"/>
    <x v="0"/>
    <x v="0"/>
    <x v="2"/>
    <x v="3"/>
    <s v="FIN_TAMP"/>
    <x v="2"/>
    <x v="0"/>
    <s v="GEXT_NATGAS_TAMPERE"/>
    <x v="0"/>
    <x v="6"/>
    <n v="292.67026483906602"/>
    <n v="106824.646666259"/>
    <n v="384568.727998533"/>
  </r>
  <r>
    <x v="0"/>
    <x v="0"/>
    <x v="0"/>
    <x v="2"/>
    <x v="3"/>
    <s v="FIN_TAMP"/>
    <x v="2"/>
    <x v="0"/>
    <s v="GEXT_NATGAS_TAMPERE"/>
    <x v="0"/>
    <x v="7"/>
    <n v="290.10125945175099"/>
    <n v="105886.959699889"/>
    <n v="381193.05491960101"/>
  </r>
  <r>
    <x v="0"/>
    <x v="0"/>
    <x v="0"/>
    <x v="2"/>
    <x v="3"/>
    <s v="FIN_TAMP"/>
    <x v="2"/>
    <x v="0"/>
    <s v="GEXT_NATGAS_TAMPERE"/>
    <x v="0"/>
    <x v="8"/>
    <n v="285.84483180885599"/>
    <n v="104333.363610232"/>
    <n v="375600.108996836"/>
  </r>
  <r>
    <x v="0"/>
    <x v="0"/>
    <x v="0"/>
    <x v="2"/>
    <x v="3"/>
    <s v="FIN_TAMP"/>
    <x v="2"/>
    <x v="0"/>
    <s v="GEXT_NATGAS_TAMPERE"/>
    <x v="0"/>
    <x v="0"/>
    <n v="276.878810001543"/>
    <n v="101060.765650563"/>
    <n v="363818.75634202699"/>
  </r>
  <r>
    <x v="0"/>
    <x v="0"/>
    <x v="0"/>
    <x v="2"/>
    <x v="3"/>
    <s v="FIN_TAMP"/>
    <x v="2"/>
    <x v="0"/>
    <s v="GEXT_NATGAS_TAMPERE"/>
    <x v="0"/>
    <x v="1"/>
    <n v="271.63058523291301"/>
    <n v="99145.163610013202"/>
    <n v="356922.58899604803"/>
  </r>
  <r>
    <x v="0"/>
    <x v="0"/>
    <x v="0"/>
    <x v="2"/>
    <x v="3"/>
    <s v="FIN_TAMP"/>
    <x v="2"/>
    <x v="0"/>
    <s v="GEXT_NATGAS_TAMPERE"/>
    <x v="0"/>
    <x v="2"/>
    <n v="270.58663889320297"/>
    <n v="98764.123196019296"/>
    <n v="355550.84350566898"/>
  </r>
  <r>
    <x v="0"/>
    <x v="0"/>
    <x v="0"/>
    <x v="2"/>
    <x v="3"/>
    <s v="FIN_TAMP"/>
    <x v="2"/>
    <x v="0"/>
    <s v="GEXT_NATGAS_TAMPERE"/>
    <x v="0"/>
    <x v="9"/>
    <n v="270.20679294874998"/>
    <n v="98625.479426293605"/>
    <n v="355051.72593465698"/>
  </r>
  <r>
    <x v="0"/>
    <x v="0"/>
    <x v="0"/>
    <x v="2"/>
    <x v="3"/>
    <s v="FIN_TAMP"/>
    <x v="2"/>
    <x v="0"/>
    <s v="GEXT_NATGAS_TAMPERE"/>
    <x v="0"/>
    <x v="10"/>
    <n v="272.13071492455902"/>
    <n v="99327.710947464206"/>
    <n v="357579.75941087102"/>
  </r>
  <r>
    <x v="0"/>
    <x v="0"/>
    <x v="0"/>
    <x v="2"/>
    <x v="3"/>
    <s v="FIN_TAMP"/>
    <x v="2"/>
    <x v="0"/>
    <s v="GEXT_NATGAS_TAMPERE"/>
    <x v="0"/>
    <x v="11"/>
    <n v="273.26941134277598"/>
    <n v="99743.335140113195"/>
    <n v="359076.00650440698"/>
  </r>
  <r>
    <x v="0"/>
    <x v="0"/>
    <x v="0"/>
    <x v="2"/>
    <x v="3"/>
    <s v="FIN_TAMP"/>
    <x v="2"/>
    <x v="0"/>
    <s v="GEXT_NATGAS_TAMPERE"/>
    <x v="0"/>
    <x v="12"/>
    <n v="273.72371458543"/>
    <n v="99909.155823681998"/>
    <n v="359672.96096525498"/>
  </r>
  <r>
    <x v="0"/>
    <x v="0"/>
    <x v="0"/>
    <x v="2"/>
    <x v="3"/>
    <s v="FIN_TAMP"/>
    <x v="2"/>
    <x v="0"/>
    <s v="GEXT_NATGAS_TAMPERE"/>
    <x v="0"/>
    <x v="13"/>
    <n v="273.83396098570802"/>
    <n v="99949.395759783598"/>
    <n v="359817.82473522099"/>
  </r>
  <r>
    <x v="0"/>
    <x v="0"/>
    <x v="0"/>
    <x v="2"/>
    <x v="3"/>
    <s v="FIN_TAMP"/>
    <x v="2"/>
    <x v="0"/>
    <s v="GEXT_NATGAS_TAMPERE"/>
    <x v="0"/>
    <x v="14"/>
    <n v="273.501988736199"/>
    <n v="99828.225888712797"/>
    <n v="359381.61319936602"/>
  </r>
  <r>
    <x v="0"/>
    <x v="0"/>
    <x v="0"/>
    <x v="2"/>
    <x v="3"/>
    <s v="FIN_TAMP"/>
    <x v="2"/>
    <x v="0"/>
    <s v="GEXT_NATGAS_TAMPERE"/>
    <x v="0"/>
    <x v="15"/>
    <n v="271.36367389974203"/>
    <n v="99047.740973405904"/>
    <n v="356571.86750426103"/>
  </r>
  <r>
    <x v="0"/>
    <x v="0"/>
    <x v="0"/>
    <x v="2"/>
    <x v="3"/>
    <s v="FIN_TAMP"/>
    <x v="2"/>
    <x v="0"/>
    <s v="GEXT_NATGAS_TAMPERE"/>
    <x v="0"/>
    <x v="16"/>
    <n v="273.54714806243101"/>
    <n v="99844.709042787304"/>
    <n v="359440.95255403401"/>
  </r>
  <r>
    <x v="0"/>
    <x v="0"/>
    <x v="0"/>
    <x v="2"/>
    <x v="3"/>
    <s v="FIN_TAMP"/>
    <x v="2"/>
    <x v="0"/>
    <s v="GEXT_NATGAS_TAMPERE"/>
    <x v="0"/>
    <x v="17"/>
    <n v="275.02211618372502"/>
    <n v="100383.07240706"/>
    <n v="361379.06066541502"/>
  </r>
  <r>
    <x v="0"/>
    <x v="0"/>
    <x v="0"/>
    <x v="2"/>
    <x v="3"/>
    <s v="FIN_TAMP"/>
    <x v="2"/>
    <x v="0"/>
    <s v="GEXT_NATGAS_TAMPERE"/>
    <x v="0"/>
    <x v="18"/>
    <n v="274.69499006578002"/>
    <n v="100263.67137400999"/>
    <n v="360949.21694643499"/>
  </r>
  <r>
    <x v="0"/>
    <x v="0"/>
    <x v="0"/>
    <x v="2"/>
    <x v="3"/>
    <s v="FIN_TAMP"/>
    <x v="2"/>
    <x v="0"/>
    <s v="GEXT_NATGAS_TAMPERE"/>
    <x v="0"/>
    <x v="19"/>
    <n v="275.67027045865302"/>
    <n v="100619.648717408"/>
    <n v="362230.73538267001"/>
  </r>
  <r>
    <x v="0"/>
    <x v="0"/>
    <x v="0"/>
    <x v="2"/>
    <x v="3"/>
    <s v="FIN_TAMP"/>
    <x v="2"/>
    <x v="0"/>
    <s v="GEXT_NATGAS_TAMPERE"/>
    <x v="0"/>
    <x v="20"/>
    <n v="277.01495945773701"/>
    <n v="101110.460202074"/>
    <n v="363997.65672746598"/>
  </r>
  <r>
    <x v="0"/>
    <x v="0"/>
    <x v="0"/>
    <x v="2"/>
    <x v="3"/>
    <s v="FIN_TAMP"/>
    <x v="2"/>
    <x v="0"/>
    <s v="GEXT_NATGAS_TAMPERE"/>
    <x v="0"/>
    <x v="21"/>
    <n v="277.94425796777199"/>
    <n v="101449.654158237"/>
    <n v="365218.75496965297"/>
  </r>
  <r>
    <x v="0"/>
    <x v="0"/>
    <x v="0"/>
    <x v="2"/>
    <x v="3"/>
    <s v="FIN_TAMP"/>
    <x v="2"/>
    <x v="0"/>
    <s v="GEXT_NATGAS_TAMPERE"/>
    <x v="0"/>
    <x v="22"/>
    <n v="280.94812013377498"/>
    <n v="102546.06384882799"/>
    <n v="369165.82985578"/>
  </r>
  <r>
    <x v="0"/>
    <x v="0"/>
    <x v="0"/>
    <x v="2"/>
    <x v="3"/>
    <s v="FIN_TAMP"/>
    <x v="2"/>
    <x v="0"/>
    <s v="GEXT_NATGAS_TAMPERE"/>
    <x v="0"/>
    <x v="23"/>
    <n v="283.75799317558602"/>
    <n v="103571.66750908901"/>
    <n v="372858.00303272001"/>
  </r>
  <r>
    <x v="0"/>
    <x v="0"/>
    <x v="0"/>
    <x v="2"/>
    <x v="3"/>
    <s v="FinA"/>
    <x v="2"/>
    <x v="1"/>
    <s v="GBPR_NATGAS_IND"/>
    <x v="0"/>
    <x v="3"/>
    <n v="369"/>
    <n v="134685"/>
    <n v="484866"/>
  </r>
  <r>
    <x v="0"/>
    <x v="0"/>
    <x v="0"/>
    <x v="2"/>
    <x v="3"/>
    <s v="FinA"/>
    <x v="2"/>
    <x v="1"/>
    <s v="GBPR_NATGAS_IND"/>
    <x v="0"/>
    <x v="4"/>
    <n v="369"/>
    <n v="134685"/>
    <n v="484866"/>
  </r>
  <r>
    <x v="0"/>
    <x v="0"/>
    <x v="0"/>
    <x v="2"/>
    <x v="3"/>
    <s v="FinA"/>
    <x v="2"/>
    <x v="1"/>
    <s v="GBPR_NATGAS_IND"/>
    <x v="0"/>
    <x v="5"/>
    <n v="369"/>
    <n v="134685"/>
    <n v="484866"/>
  </r>
  <r>
    <x v="0"/>
    <x v="0"/>
    <x v="0"/>
    <x v="2"/>
    <x v="3"/>
    <s v="FinA"/>
    <x v="2"/>
    <x v="1"/>
    <s v="GBPR_NATGAS_IND"/>
    <x v="0"/>
    <x v="6"/>
    <n v="369"/>
    <n v="134685"/>
    <n v="484866"/>
  </r>
  <r>
    <x v="0"/>
    <x v="0"/>
    <x v="0"/>
    <x v="2"/>
    <x v="3"/>
    <s v="FinA"/>
    <x v="2"/>
    <x v="1"/>
    <s v="GBPR_NATGAS_IND"/>
    <x v="0"/>
    <x v="7"/>
    <n v="369"/>
    <n v="134685"/>
    <n v="484866"/>
  </r>
  <r>
    <x v="0"/>
    <x v="0"/>
    <x v="0"/>
    <x v="2"/>
    <x v="3"/>
    <s v="FinA"/>
    <x v="2"/>
    <x v="1"/>
    <s v="GBPR_NATGAS_IND"/>
    <x v="0"/>
    <x v="8"/>
    <n v="369"/>
    <n v="134685"/>
    <n v="484866"/>
  </r>
  <r>
    <x v="0"/>
    <x v="0"/>
    <x v="0"/>
    <x v="2"/>
    <x v="3"/>
    <s v="FinA"/>
    <x v="2"/>
    <x v="1"/>
    <s v="GBPR_NATGAS_IND"/>
    <x v="0"/>
    <x v="0"/>
    <n v="369"/>
    <n v="134685"/>
    <n v="484866"/>
  </r>
  <r>
    <x v="0"/>
    <x v="0"/>
    <x v="0"/>
    <x v="2"/>
    <x v="3"/>
    <s v="FinA"/>
    <x v="2"/>
    <x v="1"/>
    <s v="GBPR_NATGAS_IND"/>
    <x v="0"/>
    <x v="1"/>
    <n v="369"/>
    <n v="134685"/>
    <n v="484866"/>
  </r>
  <r>
    <x v="0"/>
    <x v="0"/>
    <x v="0"/>
    <x v="2"/>
    <x v="3"/>
    <s v="FinA"/>
    <x v="2"/>
    <x v="1"/>
    <s v="GBPR_NATGAS_IND"/>
    <x v="0"/>
    <x v="2"/>
    <n v="369"/>
    <n v="134685"/>
    <n v="484866"/>
  </r>
  <r>
    <x v="0"/>
    <x v="0"/>
    <x v="0"/>
    <x v="2"/>
    <x v="3"/>
    <s v="FinA"/>
    <x v="2"/>
    <x v="1"/>
    <s v="GBPR_NATGAS_IND"/>
    <x v="0"/>
    <x v="9"/>
    <n v="369"/>
    <n v="134685"/>
    <n v="484866"/>
  </r>
  <r>
    <x v="0"/>
    <x v="0"/>
    <x v="0"/>
    <x v="2"/>
    <x v="3"/>
    <s v="FinA"/>
    <x v="2"/>
    <x v="1"/>
    <s v="GBPR_NATGAS_IND"/>
    <x v="0"/>
    <x v="10"/>
    <n v="369"/>
    <n v="134685"/>
    <n v="484866"/>
  </r>
  <r>
    <x v="0"/>
    <x v="0"/>
    <x v="0"/>
    <x v="2"/>
    <x v="3"/>
    <s v="FinA"/>
    <x v="2"/>
    <x v="1"/>
    <s v="GBPR_NATGAS_IND"/>
    <x v="0"/>
    <x v="11"/>
    <n v="369"/>
    <n v="134685"/>
    <n v="484866"/>
  </r>
  <r>
    <x v="0"/>
    <x v="0"/>
    <x v="0"/>
    <x v="2"/>
    <x v="3"/>
    <s v="FinA"/>
    <x v="2"/>
    <x v="1"/>
    <s v="GBPR_NATGAS_IND"/>
    <x v="0"/>
    <x v="12"/>
    <n v="369"/>
    <n v="134685"/>
    <n v="484866"/>
  </r>
  <r>
    <x v="0"/>
    <x v="0"/>
    <x v="0"/>
    <x v="2"/>
    <x v="3"/>
    <s v="FinA"/>
    <x v="2"/>
    <x v="1"/>
    <s v="GBPR_NATGAS_IND"/>
    <x v="0"/>
    <x v="13"/>
    <n v="369"/>
    <n v="134685"/>
    <n v="484866"/>
  </r>
  <r>
    <x v="0"/>
    <x v="0"/>
    <x v="0"/>
    <x v="2"/>
    <x v="3"/>
    <s v="FinA"/>
    <x v="2"/>
    <x v="1"/>
    <s v="GBPR_NATGAS_IND"/>
    <x v="0"/>
    <x v="14"/>
    <n v="369"/>
    <n v="134685"/>
    <n v="484866"/>
  </r>
  <r>
    <x v="0"/>
    <x v="0"/>
    <x v="0"/>
    <x v="2"/>
    <x v="3"/>
    <s v="FinA"/>
    <x v="2"/>
    <x v="1"/>
    <s v="GBPR_NATGAS_IND"/>
    <x v="0"/>
    <x v="15"/>
    <n v="369"/>
    <n v="134685"/>
    <n v="484866"/>
  </r>
  <r>
    <x v="0"/>
    <x v="0"/>
    <x v="0"/>
    <x v="2"/>
    <x v="3"/>
    <s v="FinA"/>
    <x v="2"/>
    <x v="1"/>
    <s v="GBPR_NATGAS_IND"/>
    <x v="0"/>
    <x v="16"/>
    <n v="369"/>
    <n v="134685"/>
    <n v="484866"/>
  </r>
  <r>
    <x v="0"/>
    <x v="0"/>
    <x v="0"/>
    <x v="2"/>
    <x v="3"/>
    <s v="FinA"/>
    <x v="2"/>
    <x v="1"/>
    <s v="GBPR_NATGAS_IND"/>
    <x v="0"/>
    <x v="17"/>
    <n v="369"/>
    <n v="134685"/>
    <n v="484866"/>
  </r>
  <r>
    <x v="0"/>
    <x v="0"/>
    <x v="0"/>
    <x v="2"/>
    <x v="3"/>
    <s v="FinA"/>
    <x v="2"/>
    <x v="1"/>
    <s v="GBPR_NATGAS_IND"/>
    <x v="0"/>
    <x v="18"/>
    <n v="369"/>
    <n v="134685"/>
    <n v="484866"/>
  </r>
  <r>
    <x v="0"/>
    <x v="0"/>
    <x v="0"/>
    <x v="2"/>
    <x v="3"/>
    <s v="FinA"/>
    <x v="2"/>
    <x v="1"/>
    <s v="GBPR_NATGAS_IND"/>
    <x v="0"/>
    <x v="19"/>
    <n v="369"/>
    <n v="134685"/>
    <n v="484866"/>
  </r>
  <r>
    <x v="0"/>
    <x v="0"/>
    <x v="0"/>
    <x v="2"/>
    <x v="3"/>
    <s v="FinA"/>
    <x v="2"/>
    <x v="1"/>
    <s v="GBPR_NATGAS_IND"/>
    <x v="0"/>
    <x v="20"/>
    <n v="369"/>
    <n v="134685"/>
    <n v="484866"/>
  </r>
  <r>
    <x v="0"/>
    <x v="0"/>
    <x v="0"/>
    <x v="2"/>
    <x v="3"/>
    <s v="FinA"/>
    <x v="2"/>
    <x v="1"/>
    <s v="GBPR_NATGAS_IND"/>
    <x v="0"/>
    <x v="21"/>
    <n v="369"/>
    <n v="134685"/>
    <n v="484866"/>
  </r>
  <r>
    <x v="0"/>
    <x v="0"/>
    <x v="0"/>
    <x v="2"/>
    <x v="3"/>
    <s v="FinA"/>
    <x v="2"/>
    <x v="1"/>
    <s v="GBPR_NATGAS_IND"/>
    <x v="0"/>
    <x v="22"/>
    <n v="369"/>
    <n v="134685"/>
    <n v="484866"/>
  </r>
  <r>
    <x v="0"/>
    <x v="0"/>
    <x v="0"/>
    <x v="2"/>
    <x v="3"/>
    <s v="FinA"/>
    <x v="2"/>
    <x v="1"/>
    <s v="GBPR_NATGAS_IND"/>
    <x v="0"/>
    <x v="23"/>
    <n v="369"/>
    <n v="134685"/>
    <n v="484866"/>
  </r>
  <r>
    <x v="0"/>
    <x v="0"/>
    <x v="0"/>
    <x v="2"/>
    <x v="3"/>
    <s v="FinA"/>
    <x v="2"/>
    <x v="2"/>
    <s v="GCND_NATGAS1"/>
    <x v="0"/>
    <x v="3"/>
    <n v="4.3"/>
    <n v="1569.5"/>
    <n v="5650.2"/>
  </r>
  <r>
    <x v="0"/>
    <x v="0"/>
    <x v="0"/>
    <x v="2"/>
    <x v="3"/>
    <s v="FinA"/>
    <x v="2"/>
    <x v="2"/>
    <s v="GCND_NATGAS1"/>
    <x v="0"/>
    <x v="4"/>
    <n v="4.3"/>
    <n v="1569.5"/>
    <n v="5650.2"/>
  </r>
  <r>
    <x v="0"/>
    <x v="0"/>
    <x v="0"/>
    <x v="2"/>
    <x v="3"/>
    <s v="FinA"/>
    <x v="2"/>
    <x v="2"/>
    <s v="GCND_NATGAS1"/>
    <x v="0"/>
    <x v="5"/>
    <n v="4.3"/>
    <n v="1569.5"/>
    <n v="5650.2"/>
  </r>
  <r>
    <x v="0"/>
    <x v="0"/>
    <x v="0"/>
    <x v="2"/>
    <x v="3"/>
    <s v="FinA"/>
    <x v="2"/>
    <x v="2"/>
    <s v="GCND_NATGAS1"/>
    <x v="0"/>
    <x v="6"/>
    <n v="4.3"/>
    <n v="1569.5"/>
    <n v="5650.2"/>
  </r>
  <r>
    <x v="0"/>
    <x v="0"/>
    <x v="0"/>
    <x v="2"/>
    <x v="3"/>
    <s v="FinA"/>
    <x v="2"/>
    <x v="2"/>
    <s v="GCND_NATGAS1"/>
    <x v="0"/>
    <x v="7"/>
    <n v="4.3"/>
    <n v="1569.5"/>
    <n v="5650.2"/>
  </r>
  <r>
    <x v="0"/>
    <x v="0"/>
    <x v="0"/>
    <x v="2"/>
    <x v="3"/>
    <s v="FinA"/>
    <x v="2"/>
    <x v="2"/>
    <s v="GCND_NATGAS1"/>
    <x v="0"/>
    <x v="8"/>
    <n v="4.3"/>
    <n v="1569.5"/>
    <n v="5650.2"/>
  </r>
  <r>
    <x v="0"/>
    <x v="0"/>
    <x v="0"/>
    <x v="2"/>
    <x v="3"/>
    <s v="FinA"/>
    <x v="2"/>
    <x v="2"/>
    <s v="GCND_NATGAS1"/>
    <x v="0"/>
    <x v="0"/>
    <n v="4.3"/>
    <n v="1569.5"/>
    <n v="5650.2"/>
  </r>
  <r>
    <x v="0"/>
    <x v="0"/>
    <x v="0"/>
    <x v="2"/>
    <x v="3"/>
    <s v="FinA"/>
    <x v="2"/>
    <x v="2"/>
    <s v="GCND_NATGAS1"/>
    <x v="0"/>
    <x v="1"/>
    <n v="4.3"/>
    <n v="1569.5"/>
    <n v="5650.2"/>
  </r>
  <r>
    <x v="0"/>
    <x v="0"/>
    <x v="0"/>
    <x v="2"/>
    <x v="3"/>
    <s v="FinA"/>
    <x v="2"/>
    <x v="2"/>
    <s v="GCND_NATGAS1"/>
    <x v="0"/>
    <x v="2"/>
    <n v="4.3"/>
    <n v="1569.5"/>
    <n v="5650.2"/>
  </r>
  <r>
    <x v="0"/>
    <x v="0"/>
    <x v="0"/>
    <x v="2"/>
    <x v="3"/>
    <s v="FinA"/>
    <x v="2"/>
    <x v="2"/>
    <s v="GCND_NATGAS1"/>
    <x v="0"/>
    <x v="9"/>
    <n v="4.3"/>
    <n v="1569.5"/>
    <n v="5650.2"/>
  </r>
  <r>
    <x v="0"/>
    <x v="0"/>
    <x v="0"/>
    <x v="2"/>
    <x v="3"/>
    <s v="FinA"/>
    <x v="2"/>
    <x v="2"/>
    <s v="GCND_NATGAS1"/>
    <x v="0"/>
    <x v="10"/>
    <n v="4.3"/>
    <n v="1569.5"/>
    <n v="5650.2"/>
  </r>
  <r>
    <x v="0"/>
    <x v="0"/>
    <x v="0"/>
    <x v="2"/>
    <x v="3"/>
    <s v="FinA"/>
    <x v="2"/>
    <x v="2"/>
    <s v="GCND_NATGAS1"/>
    <x v="0"/>
    <x v="11"/>
    <n v="4.3"/>
    <n v="1569.5"/>
    <n v="5650.2"/>
  </r>
  <r>
    <x v="0"/>
    <x v="0"/>
    <x v="0"/>
    <x v="2"/>
    <x v="3"/>
    <s v="FinA"/>
    <x v="2"/>
    <x v="2"/>
    <s v="GCND_NATGAS1"/>
    <x v="0"/>
    <x v="12"/>
    <n v="4.3"/>
    <n v="1569.5"/>
    <n v="5650.2"/>
  </r>
  <r>
    <x v="0"/>
    <x v="0"/>
    <x v="0"/>
    <x v="2"/>
    <x v="3"/>
    <s v="FinA"/>
    <x v="2"/>
    <x v="2"/>
    <s v="GCND_NATGAS1"/>
    <x v="0"/>
    <x v="13"/>
    <n v="4.3"/>
    <n v="1569.5"/>
    <n v="5650.2"/>
  </r>
  <r>
    <x v="0"/>
    <x v="0"/>
    <x v="0"/>
    <x v="2"/>
    <x v="3"/>
    <s v="FinA"/>
    <x v="2"/>
    <x v="2"/>
    <s v="GCND_NATGAS1"/>
    <x v="0"/>
    <x v="14"/>
    <n v="4.3"/>
    <n v="1569.5"/>
    <n v="5650.2"/>
  </r>
  <r>
    <x v="0"/>
    <x v="0"/>
    <x v="0"/>
    <x v="2"/>
    <x v="3"/>
    <s v="FinA"/>
    <x v="2"/>
    <x v="2"/>
    <s v="GCND_NATGAS1"/>
    <x v="0"/>
    <x v="15"/>
    <n v="4.3"/>
    <n v="1569.5"/>
    <n v="5650.2"/>
  </r>
  <r>
    <x v="0"/>
    <x v="0"/>
    <x v="0"/>
    <x v="2"/>
    <x v="3"/>
    <s v="FinA"/>
    <x v="2"/>
    <x v="2"/>
    <s v="GCND_NATGAS1"/>
    <x v="0"/>
    <x v="16"/>
    <n v="4.3"/>
    <n v="1569.5"/>
    <n v="5650.2"/>
  </r>
  <r>
    <x v="0"/>
    <x v="0"/>
    <x v="0"/>
    <x v="2"/>
    <x v="3"/>
    <s v="FinA"/>
    <x v="2"/>
    <x v="2"/>
    <s v="GCND_NATGAS1"/>
    <x v="0"/>
    <x v="17"/>
    <n v="4.3"/>
    <n v="1569.5"/>
    <n v="5650.2"/>
  </r>
  <r>
    <x v="0"/>
    <x v="0"/>
    <x v="0"/>
    <x v="2"/>
    <x v="3"/>
    <s v="FinA"/>
    <x v="2"/>
    <x v="2"/>
    <s v="GCND_NATGAS1"/>
    <x v="0"/>
    <x v="18"/>
    <n v="4.3"/>
    <n v="1569.5"/>
    <n v="5650.2"/>
  </r>
  <r>
    <x v="0"/>
    <x v="0"/>
    <x v="0"/>
    <x v="2"/>
    <x v="3"/>
    <s v="FinA"/>
    <x v="2"/>
    <x v="2"/>
    <s v="GCND_NATGAS1"/>
    <x v="0"/>
    <x v="19"/>
    <n v="4.3"/>
    <n v="1569.5"/>
    <n v="5650.2"/>
  </r>
  <r>
    <x v="0"/>
    <x v="0"/>
    <x v="0"/>
    <x v="2"/>
    <x v="3"/>
    <s v="FinA"/>
    <x v="2"/>
    <x v="2"/>
    <s v="GCND_NATGAS1"/>
    <x v="0"/>
    <x v="20"/>
    <n v="4.3"/>
    <n v="1569.5"/>
    <n v="5650.2"/>
  </r>
  <r>
    <x v="0"/>
    <x v="0"/>
    <x v="0"/>
    <x v="2"/>
    <x v="3"/>
    <s v="FinA"/>
    <x v="2"/>
    <x v="2"/>
    <s v="GCND_NATGAS1"/>
    <x v="0"/>
    <x v="21"/>
    <n v="4.3"/>
    <n v="1569.5"/>
    <n v="5650.2"/>
  </r>
  <r>
    <x v="0"/>
    <x v="0"/>
    <x v="0"/>
    <x v="2"/>
    <x v="3"/>
    <s v="FinA"/>
    <x v="2"/>
    <x v="2"/>
    <s v="GCND_NATGAS1"/>
    <x v="0"/>
    <x v="22"/>
    <n v="4.3"/>
    <n v="1569.5"/>
    <n v="5650.2"/>
  </r>
  <r>
    <x v="0"/>
    <x v="0"/>
    <x v="0"/>
    <x v="2"/>
    <x v="3"/>
    <s v="FinA"/>
    <x v="2"/>
    <x v="2"/>
    <s v="GCND_NATGAS1"/>
    <x v="0"/>
    <x v="23"/>
    <n v="4.3"/>
    <n v="1569.5"/>
    <n v="5650.2"/>
  </r>
  <r>
    <x v="0"/>
    <x v="0"/>
    <x v="0"/>
    <x v="2"/>
    <x v="3"/>
    <s v="FinA"/>
    <x v="2"/>
    <x v="2"/>
    <s v="GCND_NATGAS2"/>
    <x v="0"/>
    <x v="3"/>
    <n v="14.3333333333333"/>
    <n v="5231.6666666666497"/>
    <n v="18834"/>
  </r>
  <r>
    <x v="0"/>
    <x v="0"/>
    <x v="0"/>
    <x v="2"/>
    <x v="3"/>
    <s v="FinA"/>
    <x v="2"/>
    <x v="2"/>
    <s v="GCND_NATGAS2"/>
    <x v="0"/>
    <x v="4"/>
    <n v="14.3333333333333"/>
    <n v="5231.6666666666497"/>
    <n v="18834"/>
  </r>
  <r>
    <x v="0"/>
    <x v="0"/>
    <x v="0"/>
    <x v="2"/>
    <x v="3"/>
    <s v="FinA"/>
    <x v="2"/>
    <x v="2"/>
    <s v="GCND_NATGAS2"/>
    <x v="0"/>
    <x v="5"/>
    <n v="14.3333333333333"/>
    <n v="5231.6666666666497"/>
    <n v="18834"/>
  </r>
  <r>
    <x v="0"/>
    <x v="0"/>
    <x v="0"/>
    <x v="2"/>
    <x v="3"/>
    <s v="FinA"/>
    <x v="2"/>
    <x v="2"/>
    <s v="GCND_NATGAS2"/>
    <x v="0"/>
    <x v="6"/>
    <n v="14.3333333333333"/>
    <n v="5231.6666666666497"/>
    <n v="18834"/>
  </r>
  <r>
    <x v="0"/>
    <x v="0"/>
    <x v="0"/>
    <x v="2"/>
    <x v="3"/>
    <s v="FinA"/>
    <x v="2"/>
    <x v="2"/>
    <s v="GCND_NATGAS2"/>
    <x v="0"/>
    <x v="7"/>
    <n v="14.3333333333333"/>
    <n v="5231.6666666666497"/>
    <n v="18834"/>
  </r>
  <r>
    <x v="0"/>
    <x v="0"/>
    <x v="0"/>
    <x v="2"/>
    <x v="3"/>
    <s v="FinA"/>
    <x v="2"/>
    <x v="2"/>
    <s v="GCND_NATGAS2"/>
    <x v="0"/>
    <x v="8"/>
    <n v="14.3333333333333"/>
    <n v="5231.6666666666497"/>
    <n v="18834"/>
  </r>
  <r>
    <x v="0"/>
    <x v="0"/>
    <x v="0"/>
    <x v="2"/>
    <x v="3"/>
    <s v="FinA"/>
    <x v="2"/>
    <x v="2"/>
    <s v="GCND_NATGAS2"/>
    <x v="0"/>
    <x v="0"/>
    <n v="14.3333333333333"/>
    <n v="5231.6666666666497"/>
    <n v="18834"/>
  </r>
  <r>
    <x v="0"/>
    <x v="0"/>
    <x v="0"/>
    <x v="2"/>
    <x v="3"/>
    <s v="FinA"/>
    <x v="2"/>
    <x v="2"/>
    <s v="GCND_NATGAS2"/>
    <x v="0"/>
    <x v="1"/>
    <n v="14.3333333333333"/>
    <n v="5231.6666666666497"/>
    <n v="18834"/>
  </r>
  <r>
    <x v="0"/>
    <x v="0"/>
    <x v="0"/>
    <x v="2"/>
    <x v="3"/>
    <s v="FinA"/>
    <x v="2"/>
    <x v="2"/>
    <s v="GCND_NATGAS2"/>
    <x v="0"/>
    <x v="2"/>
    <n v="14.3333333333333"/>
    <n v="5231.6666666666497"/>
    <n v="18834"/>
  </r>
  <r>
    <x v="0"/>
    <x v="0"/>
    <x v="0"/>
    <x v="2"/>
    <x v="3"/>
    <s v="FinA"/>
    <x v="2"/>
    <x v="2"/>
    <s v="GCND_NATGAS2"/>
    <x v="0"/>
    <x v="9"/>
    <n v="14.3333333333333"/>
    <n v="5231.6666666666497"/>
    <n v="18834"/>
  </r>
  <r>
    <x v="0"/>
    <x v="0"/>
    <x v="0"/>
    <x v="2"/>
    <x v="3"/>
    <s v="FinA"/>
    <x v="2"/>
    <x v="2"/>
    <s v="GCND_NATGAS2"/>
    <x v="0"/>
    <x v="10"/>
    <n v="14.3333333333333"/>
    <n v="5231.6666666666497"/>
    <n v="18834"/>
  </r>
  <r>
    <x v="0"/>
    <x v="0"/>
    <x v="0"/>
    <x v="2"/>
    <x v="3"/>
    <s v="FinA"/>
    <x v="2"/>
    <x v="2"/>
    <s v="GCND_NATGAS2"/>
    <x v="0"/>
    <x v="11"/>
    <n v="14.3333333333333"/>
    <n v="5231.6666666666497"/>
    <n v="18834"/>
  </r>
  <r>
    <x v="0"/>
    <x v="0"/>
    <x v="0"/>
    <x v="2"/>
    <x v="3"/>
    <s v="FinA"/>
    <x v="2"/>
    <x v="2"/>
    <s v="GCND_NATGAS2"/>
    <x v="0"/>
    <x v="12"/>
    <n v="14.3333333333333"/>
    <n v="5231.6666666666497"/>
    <n v="18834"/>
  </r>
  <r>
    <x v="0"/>
    <x v="0"/>
    <x v="0"/>
    <x v="2"/>
    <x v="3"/>
    <s v="FinA"/>
    <x v="2"/>
    <x v="2"/>
    <s v="GCND_NATGAS2"/>
    <x v="0"/>
    <x v="13"/>
    <n v="14.3333333333333"/>
    <n v="5231.6666666666497"/>
    <n v="18834"/>
  </r>
  <r>
    <x v="0"/>
    <x v="0"/>
    <x v="0"/>
    <x v="2"/>
    <x v="3"/>
    <s v="FinA"/>
    <x v="2"/>
    <x v="2"/>
    <s v="GCND_NATGAS2"/>
    <x v="0"/>
    <x v="14"/>
    <n v="14.3333333333333"/>
    <n v="5231.6666666666497"/>
    <n v="18834"/>
  </r>
  <r>
    <x v="0"/>
    <x v="0"/>
    <x v="0"/>
    <x v="2"/>
    <x v="3"/>
    <s v="FinA"/>
    <x v="2"/>
    <x v="2"/>
    <s v="GCND_NATGAS2"/>
    <x v="0"/>
    <x v="15"/>
    <n v="14.3333333333333"/>
    <n v="5231.6666666666497"/>
    <n v="18834"/>
  </r>
  <r>
    <x v="0"/>
    <x v="0"/>
    <x v="0"/>
    <x v="2"/>
    <x v="3"/>
    <s v="FinA"/>
    <x v="2"/>
    <x v="2"/>
    <s v="GCND_NATGAS2"/>
    <x v="0"/>
    <x v="16"/>
    <n v="14.3333333333333"/>
    <n v="5231.6666666666497"/>
    <n v="18834"/>
  </r>
  <r>
    <x v="0"/>
    <x v="0"/>
    <x v="0"/>
    <x v="2"/>
    <x v="3"/>
    <s v="FinA"/>
    <x v="2"/>
    <x v="2"/>
    <s v="GCND_NATGAS2"/>
    <x v="0"/>
    <x v="17"/>
    <n v="14.3333333333333"/>
    <n v="5231.6666666666497"/>
    <n v="18834"/>
  </r>
  <r>
    <x v="0"/>
    <x v="0"/>
    <x v="0"/>
    <x v="2"/>
    <x v="3"/>
    <s v="FinA"/>
    <x v="2"/>
    <x v="2"/>
    <s v="GCND_NATGAS2"/>
    <x v="0"/>
    <x v="18"/>
    <n v="14.3333333333333"/>
    <n v="5231.6666666666497"/>
    <n v="18834"/>
  </r>
  <r>
    <x v="0"/>
    <x v="0"/>
    <x v="0"/>
    <x v="2"/>
    <x v="3"/>
    <s v="FinA"/>
    <x v="2"/>
    <x v="2"/>
    <s v="GCND_NATGAS2"/>
    <x v="0"/>
    <x v="19"/>
    <n v="14.3333333333333"/>
    <n v="5231.6666666666497"/>
    <n v="18834"/>
  </r>
  <r>
    <x v="0"/>
    <x v="0"/>
    <x v="0"/>
    <x v="2"/>
    <x v="3"/>
    <s v="FinA"/>
    <x v="2"/>
    <x v="2"/>
    <s v="GCND_NATGAS2"/>
    <x v="0"/>
    <x v="20"/>
    <n v="14.3333333333333"/>
    <n v="5231.6666666666497"/>
    <n v="18834"/>
  </r>
  <r>
    <x v="0"/>
    <x v="0"/>
    <x v="0"/>
    <x v="2"/>
    <x v="3"/>
    <s v="FinA"/>
    <x v="2"/>
    <x v="2"/>
    <s v="GCND_NATGAS2"/>
    <x v="0"/>
    <x v="21"/>
    <n v="14.3333333333333"/>
    <n v="5231.6666666666497"/>
    <n v="18834"/>
  </r>
  <r>
    <x v="0"/>
    <x v="0"/>
    <x v="0"/>
    <x v="2"/>
    <x v="3"/>
    <s v="FinA"/>
    <x v="2"/>
    <x v="2"/>
    <s v="GCND_NATGAS2"/>
    <x v="0"/>
    <x v="22"/>
    <n v="14.3333333333333"/>
    <n v="5231.6666666666497"/>
    <n v="18834"/>
  </r>
  <r>
    <x v="0"/>
    <x v="0"/>
    <x v="0"/>
    <x v="2"/>
    <x v="3"/>
    <s v="FinA"/>
    <x v="2"/>
    <x v="2"/>
    <s v="GCND_NATGAS2"/>
    <x v="0"/>
    <x v="23"/>
    <n v="14.3333333333333"/>
    <n v="5231.6666666666497"/>
    <n v="18834"/>
  </r>
  <r>
    <x v="0"/>
    <x v="0"/>
    <x v="0"/>
    <x v="2"/>
    <x v="3"/>
    <s v="FinA"/>
    <x v="2"/>
    <x v="2"/>
    <s v="GCND_NATGAS3"/>
    <x v="0"/>
    <x v="3"/>
    <n v="14.3333333333333"/>
    <n v="5231.6666666666497"/>
    <n v="18834"/>
  </r>
  <r>
    <x v="0"/>
    <x v="0"/>
    <x v="0"/>
    <x v="2"/>
    <x v="3"/>
    <s v="FinA"/>
    <x v="2"/>
    <x v="2"/>
    <s v="GCND_NATGAS3"/>
    <x v="0"/>
    <x v="4"/>
    <n v="14.3333333333333"/>
    <n v="5231.6666666666497"/>
    <n v="18834"/>
  </r>
  <r>
    <x v="0"/>
    <x v="0"/>
    <x v="0"/>
    <x v="2"/>
    <x v="3"/>
    <s v="FinA"/>
    <x v="2"/>
    <x v="2"/>
    <s v="GCND_NATGAS3"/>
    <x v="0"/>
    <x v="5"/>
    <n v="14.3333333333333"/>
    <n v="5231.6666666666497"/>
    <n v="18834"/>
  </r>
  <r>
    <x v="0"/>
    <x v="0"/>
    <x v="0"/>
    <x v="2"/>
    <x v="3"/>
    <s v="FinA"/>
    <x v="2"/>
    <x v="2"/>
    <s v="GCND_NATGAS3"/>
    <x v="0"/>
    <x v="6"/>
    <n v="14.3333333333333"/>
    <n v="5231.6666666666497"/>
    <n v="18834"/>
  </r>
  <r>
    <x v="0"/>
    <x v="0"/>
    <x v="0"/>
    <x v="2"/>
    <x v="3"/>
    <s v="FinA"/>
    <x v="2"/>
    <x v="2"/>
    <s v="GCND_NATGAS3"/>
    <x v="0"/>
    <x v="7"/>
    <n v="14.3333333333333"/>
    <n v="5231.6666666666497"/>
    <n v="18834"/>
  </r>
  <r>
    <x v="0"/>
    <x v="0"/>
    <x v="0"/>
    <x v="2"/>
    <x v="3"/>
    <s v="FinA"/>
    <x v="2"/>
    <x v="2"/>
    <s v="GCND_NATGAS3"/>
    <x v="0"/>
    <x v="8"/>
    <n v="14.3333333333333"/>
    <n v="5231.6666666666497"/>
    <n v="18834"/>
  </r>
  <r>
    <x v="0"/>
    <x v="0"/>
    <x v="0"/>
    <x v="2"/>
    <x v="3"/>
    <s v="FinA"/>
    <x v="2"/>
    <x v="2"/>
    <s v="GCND_NATGAS3"/>
    <x v="0"/>
    <x v="0"/>
    <n v="14.3333333333333"/>
    <n v="5231.6666666666497"/>
    <n v="18834"/>
  </r>
  <r>
    <x v="0"/>
    <x v="0"/>
    <x v="0"/>
    <x v="2"/>
    <x v="3"/>
    <s v="FinA"/>
    <x v="2"/>
    <x v="2"/>
    <s v="GCND_NATGAS3"/>
    <x v="0"/>
    <x v="1"/>
    <n v="14.3333333333333"/>
    <n v="5231.6666666666497"/>
    <n v="18834"/>
  </r>
  <r>
    <x v="0"/>
    <x v="0"/>
    <x v="0"/>
    <x v="2"/>
    <x v="3"/>
    <s v="FinA"/>
    <x v="2"/>
    <x v="2"/>
    <s v="GCND_NATGAS3"/>
    <x v="0"/>
    <x v="2"/>
    <n v="14.3333333333333"/>
    <n v="5231.6666666666497"/>
    <n v="18834"/>
  </r>
  <r>
    <x v="0"/>
    <x v="0"/>
    <x v="0"/>
    <x v="2"/>
    <x v="3"/>
    <s v="FinA"/>
    <x v="2"/>
    <x v="2"/>
    <s v="GCND_NATGAS3"/>
    <x v="0"/>
    <x v="9"/>
    <n v="14.3333333333333"/>
    <n v="5231.6666666666497"/>
    <n v="18834"/>
  </r>
  <r>
    <x v="0"/>
    <x v="0"/>
    <x v="0"/>
    <x v="2"/>
    <x v="3"/>
    <s v="FinA"/>
    <x v="2"/>
    <x v="2"/>
    <s v="GCND_NATGAS3"/>
    <x v="0"/>
    <x v="10"/>
    <n v="14.3333333333333"/>
    <n v="5231.6666666666497"/>
    <n v="18834"/>
  </r>
  <r>
    <x v="0"/>
    <x v="0"/>
    <x v="0"/>
    <x v="2"/>
    <x v="3"/>
    <s v="FinA"/>
    <x v="2"/>
    <x v="2"/>
    <s v="GCND_NATGAS3"/>
    <x v="0"/>
    <x v="11"/>
    <n v="14.3333333333333"/>
    <n v="5231.6666666666497"/>
    <n v="18834"/>
  </r>
  <r>
    <x v="0"/>
    <x v="0"/>
    <x v="0"/>
    <x v="2"/>
    <x v="3"/>
    <s v="FinA"/>
    <x v="2"/>
    <x v="2"/>
    <s v="GCND_NATGAS3"/>
    <x v="0"/>
    <x v="12"/>
    <n v="14.3333333333333"/>
    <n v="5231.6666666666497"/>
    <n v="18834"/>
  </r>
  <r>
    <x v="0"/>
    <x v="0"/>
    <x v="0"/>
    <x v="2"/>
    <x v="3"/>
    <s v="FinA"/>
    <x v="2"/>
    <x v="2"/>
    <s v="GCND_NATGAS3"/>
    <x v="0"/>
    <x v="13"/>
    <n v="14.3333333333333"/>
    <n v="5231.6666666666497"/>
    <n v="18834"/>
  </r>
  <r>
    <x v="0"/>
    <x v="0"/>
    <x v="0"/>
    <x v="2"/>
    <x v="3"/>
    <s v="FinA"/>
    <x v="2"/>
    <x v="2"/>
    <s v="GCND_NATGAS3"/>
    <x v="0"/>
    <x v="14"/>
    <n v="14.3333333333333"/>
    <n v="5231.6666666666497"/>
    <n v="18834"/>
  </r>
  <r>
    <x v="0"/>
    <x v="0"/>
    <x v="0"/>
    <x v="2"/>
    <x v="3"/>
    <s v="FinA"/>
    <x v="2"/>
    <x v="2"/>
    <s v="GCND_NATGAS3"/>
    <x v="0"/>
    <x v="15"/>
    <n v="14.3333333333333"/>
    <n v="5231.6666666666497"/>
    <n v="18834"/>
  </r>
  <r>
    <x v="0"/>
    <x v="0"/>
    <x v="0"/>
    <x v="2"/>
    <x v="3"/>
    <s v="FinA"/>
    <x v="2"/>
    <x v="2"/>
    <s v="GCND_NATGAS3"/>
    <x v="0"/>
    <x v="16"/>
    <n v="14.3333333333333"/>
    <n v="5231.6666666666497"/>
    <n v="18834"/>
  </r>
  <r>
    <x v="0"/>
    <x v="0"/>
    <x v="0"/>
    <x v="2"/>
    <x v="3"/>
    <s v="FinA"/>
    <x v="2"/>
    <x v="2"/>
    <s v="GCND_NATGAS3"/>
    <x v="0"/>
    <x v="17"/>
    <n v="14.3333333333333"/>
    <n v="5231.6666666666497"/>
    <n v="18834"/>
  </r>
  <r>
    <x v="0"/>
    <x v="0"/>
    <x v="0"/>
    <x v="2"/>
    <x v="3"/>
    <s v="FinA"/>
    <x v="2"/>
    <x v="2"/>
    <s v="GCND_NATGAS3"/>
    <x v="0"/>
    <x v="18"/>
    <n v="14.3333333333333"/>
    <n v="5231.6666666666497"/>
    <n v="18834"/>
  </r>
  <r>
    <x v="0"/>
    <x v="0"/>
    <x v="0"/>
    <x v="2"/>
    <x v="3"/>
    <s v="FinA"/>
    <x v="2"/>
    <x v="2"/>
    <s v="GCND_NATGAS3"/>
    <x v="0"/>
    <x v="19"/>
    <n v="14.3333333333333"/>
    <n v="5231.6666666666497"/>
    <n v="18834"/>
  </r>
  <r>
    <x v="0"/>
    <x v="0"/>
    <x v="0"/>
    <x v="2"/>
    <x v="3"/>
    <s v="FinA"/>
    <x v="2"/>
    <x v="2"/>
    <s v="GCND_NATGAS3"/>
    <x v="0"/>
    <x v="20"/>
    <n v="14.3333333333333"/>
    <n v="5231.6666666666497"/>
    <n v="18834"/>
  </r>
  <r>
    <x v="0"/>
    <x v="0"/>
    <x v="0"/>
    <x v="2"/>
    <x v="3"/>
    <s v="FinA"/>
    <x v="2"/>
    <x v="2"/>
    <s v="GCND_NATGAS3"/>
    <x v="0"/>
    <x v="21"/>
    <n v="14.3333333333333"/>
    <n v="5231.6666666666497"/>
    <n v="18834"/>
  </r>
  <r>
    <x v="0"/>
    <x v="0"/>
    <x v="0"/>
    <x v="2"/>
    <x v="3"/>
    <s v="FinA"/>
    <x v="2"/>
    <x v="2"/>
    <s v="GCND_NATGAS3"/>
    <x v="0"/>
    <x v="22"/>
    <n v="14.3333333333333"/>
    <n v="5231.6666666666497"/>
    <n v="18834"/>
  </r>
  <r>
    <x v="0"/>
    <x v="0"/>
    <x v="0"/>
    <x v="2"/>
    <x v="3"/>
    <s v="FinA"/>
    <x v="2"/>
    <x v="2"/>
    <s v="GCND_NATGAS3"/>
    <x v="0"/>
    <x v="23"/>
    <n v="14.3333333333333"/>
    <n v="5231.6666666666497"/>
    <n v="18834"/>
  </r>
  <r>
    <x v="0"/>
    <x v="0"/>
    <x v="0"/>
    <x v="2"/>
    <x v="3"/>
    <s v="FinA"/>
    <x v="15"/>
    <x v="2"/>
    <s v="GCND_NUCLEAR"/>
    <x v="0"/>
    <x v="3"/>
    <n v="2899.7136"/>
    <n v="1058395.4639999999"/>
    <n v="3810223.6704000002"/>
  </r>
  <r>
    <x v="0"/>
    <x v="0"/>
    <x v="0"/>
    <x v="2"/>
    <x v="3"/>
    <s v="FinA"/>
    <x v="15"/>
    <x v="2"/>
    <s v="GCND_NUCLEAR"/>
    <x v="0"/>
    <x v="4"/>
    <n v="2899.7136"/>
    <n v="1058395.4639999999"/>
    <n v="3810223.6704000002"/>
  </r>
  <r>
    <x v="0"/>
    <x v="0"/>
    <x v="0"/>
    <x v="2"/>
    <x v="3"/>
    <s v="FinA"/>
    <x v="15"/>
    <x v="2"/>
    <s v="GCND_NUCLEAR"/>
    <x v="0"/>
    <x v="5"/>
    <n v="2899.7136"/>
    <n v="1058395.4639999999"/>
    <n v="3810223.6704000002"/>
  </r>
  <r>
    <x v="0"/>
    <x v="0"/>
    <x v="0"/>
    <x v="2"/>
    <x v="3"/>
    <s v="FinA"/>
    <x v="15"/>
    <x v="2"/>
    <s v="GCND_NUCLEAR"/>
    <x v="0"/>
    <x v="6"/>
    <n v="2899.7136"/>
    <n v="1058395.4639999999"/>
    <n v="3810223.6704000002"/>
  </r>
  <r>
    <x v="0"/>
    <x v="0"/>
    <x v="0"/>
    <x v="2"/>
    <x v="3"/>
    <s v="FinA"/>
    <x v="15"/>
    <x v="2"/>
    <s v="GCND_NUCLEAR"/>
    <x v="0"/>
    <x v="7"/>
    <n v="2899.7136"/>
    <n v="1058395.4639999999"/>
    <n v="3810223.6704000002"/>
  </r>
  <r>
    <x v="0"/>
    <x v="0"/>
    <x v="0"/>
    <x v="2"/>
    <x v="3"/>
    <s v="FinA"/>
    <x v="15"/>
    <x v="2"/>
    <s v="GCND_NUCLEAR"/>
    <x v="0"/>
    <x v="8"/>
    <n v="2899.7136"/>
    <n v="1058395.4639999999"/>
    <n v="3810223.6704000002"/>
  </r>
  <r>
    <x v="0"/>
    <x v="0"/>
    <x v="0"/>
    <x v="2"/>
    <x v="3"/>
    <s v="FinA"/>
    <x v="15"/>
    <x v="2"/>
    <s v="GCND_NUCLEAR"/>
    <x v="0"/>
    <x v="0"/>
    <n v="2899.7136"/>
    <n v="1058395.4639999999"/>
    <n v="3810223.6704000002"/>
  </r>
  <r>
    <x v="0"/>
    <x v="0"/>
    <x v="0"/>
    <x v="2"/>
    <x v="3"/>
    <s v="FinA"/>
    <x v="15"/>
    <x v="2"/>
    <s v="GCND_NUCLEAR"/>
    <x v="0"/>
    <x v="1"/>
    <n v="2899.7136"/>
    <n v="1058395.4639999999"/>
    <n v="3810223.6704000002"/>
  </r>
  <r>
    <x v="0"/>
    <x v="0"/>
    <x v="0"/>
    <x v="2"/>
    <x v="3"/>
    <s v="FinA"/>
    <x v="15"/>
    <x v="2"/>
    <s v="GCND_NUCLEAR"/>
    <x v="0"/>
    <x v="2"/>
    <n v="2899.7136"/>
    <n v="1058395.4639999999"/>
    <n v="3810223.6704000002"/>
  </r>
  <r>
    <x v="0"/>
    <x v="0"/>
    <x v="0"/>
    <x v="2"/>
    <x v="3"/>
    <s v="FinA"/>
    <x v="15"/>
    <x v="2"/>
    <s v="GCND_NUCLEAR"/>
    <x v="0"/>
    <x v="9"/>
    <n v="2899.7136"/>
    <n v="1058395.4639999999"/>
    <n v="3810223.6704000002"/>
  </r>
  <r>
    <x v="0"/>
    <x v="0"/>
    <x v="0"/>
    <x v="2"/>
    <x v="3"/>
    <s v="FinA"/>
    <x v="15"/>
    <x v="2"/>
    <s v="GCND_NUCLEAR"/>
    <x v="0"/>
    <x v="10"/>
    <n v="2899.7136"/>
    <n v="1058395.4639999999"/>
    <n v="3810223.6704000002"/>
  </r>
  <r>
    <x v="0"/>
    <x v="0"/>
    <x v="0"/>
    <x v="2"/>
    <x v="3"/>
    <s v="FinA"/>
    <x v="15"/>
    <x v="2"/>
    <s v="GCND_NUCLEAR"/>
    <x v="0"/>
    <x v="11"/>
    <n v="2899.7136"/>
    <n v="1058395.4639999999"/>
    <n v="3810223.6704000002"/>
  </r>
  <r>
    <x v="0"/>
    <x v="0"/>
    <x v="0"/>
    <x v="2"/>
    <x v="3"/>
    <s v="FinA"/>
    <x v="15"/>
    <x v="2"/>
    <s v="GCND_NUCLEAR"/>
    <x v="0"/>
    <x v="12"/>
    <n v="2899.7136"/>
    <n v="1058395.4639999999"/>
    <n v="3810223.6704000002"/>
  </r>
  <r>
    <x v="0"/>
    <x v="0"/>
    <x v="0"/>
    <x v="2"/>
    <x v="3"/>
    <s v="FinA"/>
    <x v="15"/>
    <x v="2"/>
    <s v="GCND_NUCLEAR"/>
    <x v="0"/>
    <x v="13"/>
    <n v="2899.7136"/>
    <n v="1058395.4639999999"/>
    <n v="3810223.6704000002"/>
  </r>
  <r>
    <x v="0"/>
    <x v="0"/>
    <x v="0"/>
    <x v="2"/>
    <x v="3"/>
    <s v="FinA"/>
    <x v="15"/>
    <x v="2"/>
    <s v="GCND_NUCLEAR"/>
    <x v="0"/>
    <x v="14"/>
    <n v="2899.7136"/>
    <n v="1058395.4639999999"/>
    <n v="3810223.6704000002"/>
  </r>
  <r>
    <x v="0"/>
    <x v="0"/>
    <x v="0"/>
    <x v="2"/>
    <x v="3"/>
    <s v="FinA"/>
    <x v="15"/>
    <x v="2"/>
    <s v="GCND_NUCLEAR"/>
    <x v="0"/>
    <x v="15"/>
    <n v="2899.7136"/>
    <n v="1058395.4639999999"/>
    <n v="3810223.6704000002"/>
  </r>
  <r>
    <x v="0"/>
    <x v="0"/>
    <x v="0"/>
    <x v="2"/>
    <x v="3"/>
    <s v="FinA"/>
    <x v="15"/>
    <x v="2"/>
    <s v="GCND_NUCLEAR"/>
    <x v="0"/>
    <x v="16"/>
    <n v="2899.7136"/>
    <n v="1058395.4639999999"/>
    <n v="3810223.6704000002"/>
  </r>
  <r>
    <x v="0"/>
    <x v="0"/>
    <x v="0"/>
    <x v="2"/>
    <x v="3"/>
    <s v="FinA"/>
    <x v="15"/>
    <x v="2"/>
    <s v="GCND_NUCLEAR"/>
    <x v="0"/>
    <x v="17"/>
    <n v="2899.7136"/>
    <n v="1058395.4639999999"/>
    <n v="3810223.6704000002"/>
  </r>
  <r>
    <x v="0"/>
    <x v="0"/>
    <x v="0"/>
    <x v="2"/>
    <x v="3"/>
    <s v="FinA"/>
    <x v="15"/>
    <x v="2"/>
    <s v="GCND_NUCLEAR"/>
    <x v="0"/>
    <x v="18"/>
    <n v="2899.7136"/>
    <n v="1058395.4639999999"/>
    <n v="3810223.6704000002"/>
  </r>
  <r>
    <x v="0"/>
    <x v="0"/>
    <x v="0"/>
    <x v="2"/>
    <x v="3"/>
    <s v="FinA"/>
    <x v="15"/>
    <x v="2"/>
    <s v="GCND_NUCLEAR"/>
    <x v="0"/>
    <x v="19"/>
    <n v="2899.7136"/>
    <n v="1058395.4639999999"/>
    <n v="3810223.6704000002"/>
  </r>
  <r>
    <x v="0"/>
    <x v="0"/>
    <x v="0"/>
    <x v="2"/>
    <x v="3"/>
    <s v="FinA"/>
    <x v="15"/>
    <x v="2"/>
    <s v="GCND_NUCLEAR"/>
    <x v="0"/>
    <x v="20"/>
    <n v="2899.7136"/>
    <n v="1058395.4639999999"/>
    <n v="3810223.6704000002"/>
  </r>
  <r>
    <x v="0"/>
    <x v="0"/>
    <x v="0"/>
    <x v="2"/>
    <x v="3"/>
    <s v="FinA"/>
    <x v="15"/>
    <x v="2"/>
    <s v="GCND_NUCLEAR"/>
    <x v="0"/>
    <x v="21"/>
    <n v="2899.7136"/>
    <n v="1058395.4639999999"/>
    <n v="3810223.6704000002"/>
  </r>
  <r>
    <x v="0"/>
    <x v="0"/>
    <x v="0"/>
    <x v="2"/>
    <x v="3"/>
    <s v="FinA"/>
    <x v="15"/>
    <x v="2"/>
    <s v="GCND_NUCLEAR"/>
    <x v="0"/>
    <x v="22"/>
    <n v="2899.7136"/>
    <n v="1058395.4639999999"/>
    <n v="3810223.6704000002"/>
  </r>
  <r>
    <x v="0"/>
    <x v="0"/>
    <x v="0"/>
    <x v="2"/>
    <x v="3"/>
    <s v="FinA"/>
    <x v="15"/>
    <x v="2"/>
    <s v="GCND_NUCLEAR"/>
    <x v="0"/>
    <x v="23"/>
    <n v="2899.7136"/>
    <n v="1058395.4639999999"/>
    <n v="3810223.6704000002"/>
  </r>
  <r>
    <x v="0"/>
    <x v="0"/>
    <x v="0"/>
    <x v="2"/>
    <x v="3"/>
    <s v="FinA"/>
    <x v="6"/>
    <x v="7"/>
    <s v="GNR_RES_WTR_NOPMP_MC-01"/>
    <x v="0"/>
    <x v="3"/>
    <n v="156.94999999999999"/>
    <n v="57286.75"/>
    <n v="206232.3"/>
  </r>
  <r>
    <x v="0"/>
    <x v="0"/>
    <x v="0"/>
    <x v="2"/>
    <x v="3"/>
    <s v="FinA"/>
    <x v="6"/>
    <x v="7"/>
    <s v="GNR_RES_WTR_NOPMP_MC-01"/>
    <x v="0"/>
    <x v="4"/>
    <n v="156.94999999999999"/>
    <n v="57286.75"/>
    <n v="206232.3"/>
  </r>
  <r>
    <x v="0"/>
    <x v="0"/>
    <x v="0"/>
    <x v="2"/>
    <x v="3"/>
    <s v="FinA"/>
    <x v="6"/>
    <x v="7"/>
    <s v="GNR_RES_WTR_NOPMP_MC-01"/>
    <x v="0"/>
    <x v="5"/>
    <n v="156.94999999999999"/>
    <n v="57286.75"/>
    <n v="206232.3"/>
  </r>
  <r>
    <x v="0"/>
    <x v="0"/>
    <x v="0"/>
    <x v="2"/>
    <x v="3"/>
    <s v="FinA"/>
    <x v="6"/>
    <x v="7"/>
    <s v="GNR_RES_WTR_NOPMP_MC-01"/>
    <x v="0"/>
    <x v="6"/>
    <n v="156.94999999999999"/>
    <n v="57286.75"/>
    <n v="206232.3"/>
  </r>
  <r>
    <x v="0"/>
    <x v="0"/>
    <x v="0"/>
    <x v="2"/>
    <x v="3"/>
    <s v="FinA"/>
    <x v="6"/>
    <x v="7"/>
    <s v="GNR_RES_WTR_NOPMP_MC-01"/>
    <x v="0"/>
    <x v="7"/>
    <n v="156.94999999999999"/>
    <n v="57286.75"/>
    <n v="206232.3"/>
  </r>
  <r>
    <x v="0"/>
    <x v="0"/>
    <x v="0"/>
    <x v="2"/>
    <x v="3"/>
    <s v="FinA"/>
    <x v="6"/>
    <x v="7"/>
    <s v="GNR_RES_WTR_NOPMP_MC-01"/>
    <x v="0"/>
    <x v="8"/>
    <n v="156.94999999999999"/>
    <n v="57286.75"/>
    <n v="206232.3"/>
  </r>
  <r>
    <x v="0"/>
    <x v="0"/>
    <x v="0"/>
    <x v="2"/>
    <x v="3"/>
    <s v="FinA"/>
    <x v="6"/>
    <x v="7"/>
    <s v="GNR_RES_WTR_NOPMP_MC-01"/>
    <x v="0"/>
    <x v="0"/>
    <n v="156.94999999999999"/>
    <n v="57286.75"/>
    <n v="206232.3"/>
  </r>
  <r>
    <x v="0"/>
    <x v="0"/>
    <x v="0"/>
    <x v="2"/>
    <x v="3"/>
    <s v="FinA"/>
    <x v="6"/>
    <x v="7"/>
    <s v="GNR_RES_WTR_NOPMP_MC-01"/>
    <x v="0"/>
    <x v="1"/>
    <n v="156.94999999999999"/>
    <n v="57286.75"/>
    <n v="206232.3"/>
  </r>
  <r>
    <x v="0"/>
    <x v="0"/>
    <x v="0"/>
    <x v="2"/>
    <x v="3"/>
    <s v="FinA"/>
    <x v="6"/>
    <x v="7"/>
    <s v="GNR_RES_WTR_NOPMP_MC-01"/>
    <x v="0"/>
    <x v="2"/>
    <n v="156.94999999999999"/>
    <n v="57286.75"/>
    <n v="206232.3"/>
  </r>
  <r>
    <x v="0"/>
    <x v="0"/>
    <x v="0"/>
    <x v="2"/>
    <x v="3"/>
    <s v="FinA"/>
    <x v="6"/>
    <x v="7"/>
    <s v="GNR_RES_WTR_NOPMP_MC-01"/>
    <x v="0"/>
    <x v="9"/>
    <n v="156.94999999999999"/>
    <n v="57286.75"/>
    <n v="206232.3"/>
  </r>
  <r>
    <x v="0"/>
    <x v="0"/>
    <x v="0"/>
    <x v="2"/>
    <x v="3"/>
    <s v="FinA"/>
    <x v="6"/>
    <x v="7"/>
    <s v="GNR_RES_WTR_NOPMP_MC-01"/>
    <x v="0"/>
    <x v="10"/>
    <n v="156.94999999999999"/>
    <n v="57286.75"/>
    <n v="206232.3"/>
  </r>
  <r>
    <x v="0"/>
    <x v="0"/>
    <x v="0"/>
    <x v="2"/>
    <x v="3"/>
    <s v="FinA"/>
    <x v="6"/>
    <x v="7"/>
    <s v="GNR_RES_WTR_NOPMP_MC-01"/>
    <x v="0"/>
    <x v="11"/>
    <n v="156.94999999999999"/>
    <n v="57286.75"/>
    <n v="206232.3"/>
  </r>
  <r>
    <x v="0"/>
    <x v="0"/>
    <x v="0"/>
    <x v="2"/>
    <x v="3"/>
    <s v="FinA"/>
    <x v="6"/>
    <x v="7"/>
    <s v="GNR_RES_WTR_NOPMP_MC-01"/>
    <x v="0"/>
    <x v="12"/>
    <n v="156.94999999999999"/>
    <n v="57286.75"/>
    <n v="206232.3"/>
  </r>
  <r>
    <x v="0"/>
    <x v="0"/>
    <x v="0"/>
    <x v="2"/>
    <x v="3"/>
    <s v="FinA"/>
    <x v="6"/>
    <x v="7"/>
    <s v="GNR_RES_WTR_NOPMP_MC-01"/>
    <x v="0"/>
    <x v="13"/>
    <n v="156.94999999999999"/>
    <n v="57286.75"/>
    <n v="206232.3"/>
  </r>
  <r>
    <x v="0"/>
    <x v="0"/>
    <x v="0"/>
    <x v="2"/>
    <x v="3"/>
    <s v="FinA"/>
    <x v="6"/>
    <x v="7"/>
    <s v="GNR_RES_WTR_NOPMP_MC-01"/>
    <x v="0"/>
    <x v="14"/>
    <n v="156.94999999999999"/>
    <n v="57286.75"/>
    <n v="206232.3"/>
  </r>
  <r>
    <x v="0"/>
    <x v="0"/>
    <x v="0"/>
    <x v="2"/>
    <x v="3"/>
    <s v="FinA"/>
    <x v="6"/>
    <x v="7"/>
    <s v="GNR_RES_WTR_NOPMP_MC-01"/>
    <x v="0"/>
    <x v="15"/>
    <n v="156.94999999999999"/>
    <n v="57286.75"/>
    <n v="206232.3"/>
  </r>
  <r>
    <x v="0"/>
    <x v="0"/>
    <x v="0"/>
    <x v="2"/>
    <x v="3"/>
    <s v="FinA"/>
    <x v="6"/>
    <x v="7"/>
    <s v="GNR_RES_WTR_NOPMP_MC-01"/>
    <x v="0"/>
    <x v="16"/>
    <n v="156.94999999999999"/>
    <n v="57286.75"/>
    <n v="206232.3"/>
  </r>
  <r>
    <x v="0"/>
    <x v="0"/>
    <x v="0"/>
    <x v="2"/>
    <x v="3"/>
    <s v="FinA"/>
    <x v="6"/>
    <x v="7"/>
    <s v="GNR_RES_WTR_NOPMP_MC-01"/>
    <x v="0"/>
    <x v="17"/>
    <n v="156.94999999999999"/>
    <n v="57286.75"/>
    <n v="206232.3"/>
  </r>
  <r>
    <x v="0"/>
    <x v="0"/>
    <x v="0"/>
    <x v="2"/>
    <x v="3"/>
    <s v="FinA"/>
    <x v="6"/>
    <x v="7"/>
    <s v="GNR_RES_WTR_NOPMP_MC-01"/>
    <x v="0"/>
    <x v="18"/>
    <n v="156.94999999999999"/>
    <n v="57286.75"/>
    <n v="206232.3"/>
  </r>
  <r>
    <x v="0"/>
    <x v="0"/>
    <x v="0"/>
    <x v="2"/>
    <x v="3"/>
    <s v="FinA"/>
    <x v="6"/>
    <x v="7"/>
    <s v="GNR_RES_WTR_NOPMP_MC-01"/>
    <x v="0"/>
    <x v="19"/>
    <n v="156.94999999999999"/>
    <n v="57286.75"/>
    <n v="206232.3"/>
  </r>
  <r>
    <x v="0"/>
    <x v="0"/>
    <x v="0"/>
    <x v="2"/>
    <x v="3"/>
    <s v="FinA"/>
    <x v="6"/>
    <x v="7"/>
    <s v="GNR_RES_WTR_NOPMP_MC-01"/>
    <x v="0"/>
    <x v="20"/>
    <n v="156.94999999999999"/>
    <n v="57286.75"/>
    <n v="206232.3"/>
  </r>
  <r>
    <x v="0"/>
    <x v="0"/>
    <x v="0"/>
    <x v="2"/>
    <x v="3"/>
    <s v="FinA"/>
    <x v="6"/>
    <x v="7"/>
    <s v="GNR_RES_WTR_NOPMP_MC-01"/>
    <x v="0"/>
    <x v="21"/>
    <n v="156.94999999999999"/>
    <n v="57286.75"/>
    <n v="206232.3"/>
  </r>
  <r>
    <x v="0"/>
    <x v="0"/>
    <x v="0"/>
    <x v="2"/>
    <x v="3"/>
    <s v="FinA"/>
    <x v="6"/>
    <x v="7"/>
    <s v="GNR_RES_WTR_NOPMP_MC-01"/>
    <x v="0"/>
    <x v="22"/>
    <n v="156.94999999999999"/>
    <n v="57286.75"/>
    <n v="206232.3"/>
  </r>
  <r>
    <x v="0"/>
    <x v="0"/>
    <x v="0"/>
    <x v="2"/>
    <x v="3"/>
    <s v="FinA"/>
    <x v="6"/>
    <x v="7"/>
    <s v="GNR_RES_WTR_NOPMP_MC-01"/>
    <x v="0"/>
    <x v="23"/>
    <n v="156.94999999999999"/>
    <n v="57286.75"/>
    <n v="206232.3"/>
  </r>
  <r>
    <x v="0"/>
    <x v="0"/>
    <x v="0"/>
    <x v="2"/>
    <x v="3"/>
    <s v="FinA"/>
    <x v="6"/>
    <x v="7"/>
    <s v="GNR_RES_WTR_NOPMP_MC-02"/>
    <x v="0"/>
    <x v="3"/>
    <n v="156.94999999999999"/>
    <n v="57286.75"/>
    <n v="206232.3"/>
  </r>
  <r>
    <x v="0"/>
    <x v="0"/>
    <x v="0"/>
    <x v="2"/>
    <x v="3"/>
    <s v="FinA"/>
    <x v="6"/>
    <x v="7"/>
    <s v="GNR_RES_WTR_NOPMP_MC-02"/>
    <x v="0"/>
    <x v="4"/>
    <n v="156.94999999999999"/>
    <n v="57286.75"/>
    <n v="206232.3"/>
  </r>
  <r>
    <x v="0"/>
    <x v="0"/>
    <x v="0"/>
    <x v="2"/>
    <x v="3"/>
    <s v="FinA"/>
    <x v="6"/>
    <x v="7"/>
    <s v="GNR_RES_WTR_NOPMP_MC-02"/>
    <x v="0"/>
    <x v="5"/>
    <n v="156.94999999999999"/>
    <n v="57286.75"/>
    <n v="206232.3"/>
  </r>
  <r>
    <x v="0"/>
    <x v="0"/>
    <x v="0"/>
    <x v="2"/>
    <x v="3"/>
    <s v="FinA"/>
    <x v="6"/>
    <x v="7"/>
    <s v="GNR_RES_WTR_NOPMP_MC-02"/>
    <x v="0"/>
    <x v="6"/>
    <n v="156.94999999999999"/>
    <n v="57286.75"/>
    <n v="206232.3"/>
  </r>
  <r>
    <x v="0"/>
    <x v="0"/>
    <x v="0"/>
    <x v="2"/>
    <x v="3"/>
    <s v="FinA"/>
    <x v="6"/>
    <x v="7"/>
    <s v="GNR_RES_WTR_NOPMP_MC-02"/>
    <x v="0"/>
    <x v="7"/>
    <n v="156.94999999999999"/>
    <n v="57286.75"/>
    <n v="206232.3"/>
  </r>
  <r>
    <x v="0"/>
    <x v="0"/>
    <x v="0"/>
    <x v="2"/>
    <x v="3"/>
    <s v="FinA"/>
    <x v="6"/>
    <x v="7"/>
    <s v="GNR_RES_WTR_NOPMP_MC-02"/>
    <x v="0"/>
    <x v="8"/>
    <n v="156.94999999999999"/>
    <n v="57286.75"/>
    <n v="206232.3"/>
  </r>
  <r>
    <x v="0"/>
    <x v="0"/>
    <x v="0"/>
    <x v="2"/>
    <x v="3"/>
    <s v="FinA"/>
    <x v="6"/>
    <x v="7"/>
    <s v="GNR_RES_WTR_NOPMP_MC-02"/>
    <x v="0"/>
    <x v="0"/>
    <n v="156.94999999999999"/>
    <n v="57286.75"/>
    <n v="206232.3"/>
  </r>
  <r>
    <x v="0"/>
    <x v="0"/>
    <x v="0"/>
    <x v="2"/>
    <x v="3"/>
    <s v="FinA"/>
    <x v="6"/>
    <x v="7"/>
    <s v="GNR_RES_WTR_NOPMP_MC-02"/>
    <x v="0"/>
    <x v="1"/>
    <n v="156.94999999999999"/>
    <n v="57286.75"/>
    <n v="206232.3"/>
  </r>
  <r>
    <x v="0"/>
    <x v="0"/>
    <x v="0"/>
    <x v="2"/>
    <x v="3"/>
    <s v="FinA"/>
    <x v="6"/>
    <x v="7"/>
    <s v="GNR_RES_WTR_NOPMP_MC-02"/>
    <x v="0"/>
    <x v="2"/>
    <n v="156.94999999999999"/>
    <n v="57286.75"/>
    <n v="206232.3"/>
  </r>
  <r>
    <x v="0"/>
    <x v="0"/>
    <x v="0"/>
    <x v="2"/>
    <x v="3"/>
    <s v="FinA"/>
    <x v="6"/>
    <x v="7"/>
    <s v="GNR_RES_WTR_NOPMP_MC-02"/>
    <x v="0"/>
    <x v="9"/>
    <n v="156.94999999999999"/>
    <n v="57286.75"/>
    <n v="206232.3"/>
  </r>
  <r>
    <x v="0"/>
    <x v="0"/>
    <x v="0"/>
    <x v="2"/>
    <x v="3"/>
    <s v="FinA"/>
    <x v="6"/>
    <x v="7"/>
    <s v="GNR_RES_WTR_NOPMP_MC-02"/>
    <x v="0"/>
    <x v="10"/>
    <n v="156.94999999999999"/>
    <n v="57286.75"/>
    <n v="206232.3"/>
  </r>
  <r>
    <x v="0"/>
    <x v="0"/>
    <x v="0"/>
    <x v="2"/>
    <x v="3"/>
    <s v="FinA"/>
    <x v="6"/>
    <x v="7"/>
    <s v="GNR_RES_WTR_NOPMP_MC-02"/>
    <x v="0"/>
    <x v="11"/>
    <n v="156.94999999999999"/>
    <n v="57286.75"/>
    <n v="206232.3"/>
  </r>
  <r>
    <x v="0"/>
    <x v="0"/>
    <x v="0"/>
    <x v="2"/>
    <x v="3"/>
    <s v="FinA"/>
    <x v="6"/>
    <x v="7"/>
    <s v="GNR_RES_WTR_NOPMP_MC-02"/>
    <x v="0"/>
    <x v="12"/>
    <n v="156.94999999999999"/>
    <n v="57286.75"/>
    <n v="206232.3"/>
  </r>
  <r>
    <x v="0"/>
    <x v="0"/>
    <x v="0"/>
    <x v="2"/>
    <x v="3"/>
    <s v="FinA"/>
    <x v="6"/>
    <x v="7"/>
    <s v="GNR_RES_WTR_NOPMP_MC-02"/>
    <x v="0"/>
    <x v="13"/>
    <n v="156.94999999999999"/>
    <n v="57286.75"/>
    <n v="206232.3"/>
  </r>
  <r>
    <x v="0"/>
    <x v="0"/>
    <x v="0"/>
    <x v="2"/>
    <x v="3"/>
    <s v="FinA"/>
    <x v="6"/>
    <x v="7"/>
    <s v="GNR_RES_WTR_NOPMP_MC-02"/>
    <x v="0"/>
    <x v="14"/>
    <n v="156.94999999999999"/>
    <n v="57286.75"/>
    <n v="206232.3"/>
  </r>
  <r>
    <x v="0"/>
    <x v="0"/>
    <x v="0"/>
    <x v="2"/>
    <x v="3"/>
    <s v="FinA"/>
    <x v="6"/>
    <x v="7"/>
    <s v="GNR_RES_WTR_NOPMP_MC-02"/>
    <x v="0"/>
    <x v="15"/>
    <n v="156.94999999999999"/>
    <n v="57286.75"/>
    <n v="206232.3"/>
  </r>
  <r>
    <x v="0"/>
    <x v="0"/>
    <x v="0"/>
    <x v="2"/>
    <x v="3"/>
    <s v="FinA"/>
    <x v="6"/>
    <x v="7"/>
    <s v="GNR_RES_WTR_NOPMP_MC-02"/>
    <x v="0"/>
    <x v="16"/>
    <n v="156.94999999999999"/>
    <n v="57286.75"/>
    <n v="206232.3"/>
  </r>
  <r>
    <x v="0"/>
    <x v="0"/>
    <x v="0"/>
    <x v="2"/>
    <x v="3"/>
    <s v="FinA"/>
    <x v="6"/>
    <x v="7"/>
    <s v="GNR_RES_WTR_NOPMP_MC-02"/>
    <x v="0"/>
    <x v="17"/>
    <n v="156.94999999999999"/>
    <n v="57286.75"/>
    <n v="206232.3"/>
  </r>
  <r>
    <x v="0"/>
    <x v="0"/>
    <x v="0"/>
    <x v="2"/>
    <x v="3"/>
    <s v="FinA"/>
    <x v="6"/>
    <x v="7"/>
    <s v="GNR_RES_WTR_NOPMP_MC-02"/>
    <x v="0"/>
    <x v="18"/>
    <n v="156.94999999999999"/>
    <n v="57286.75"/>
    <n v="206232.3"/>
  </r>
  <r>
    <x v="0"/>
    <x v="0"/>
    <x v="0"/>
    <x v="2"/>
    <x v="3"/>
    <s v="FinA"/>
    <x v="6"/>
    <x v="7"/>
    <s v="GNR_RES_WTR_NOPMP_MC-02"/>
    <x v="0"/>
    <x v="19"/>
    <n v="156.94999999999999"/>
    <n v="57286.75"/>
    <n v="206232.3"/>
  </r>
  <r>
    <x v="0"/>
    <x v="0"/>
    <x v="0"/>
    <x v="2"/>
    <x v="3"/>
    <s v="FinA"/>
    <x v="6"/>
    <x v="7"/>
    <s v="GNR_RES_WTR_NOPMP_MC-02"/>
    <x v="0"/>
    <x v="20"/>
    <n v="156.94999999999999"/>
    <n v="57286.75"/>
    <n v="206232.3"/>
  </r>
  <r>
    <x v="0"/>
    <x v="0"/>
    <x v="0"/>
    <x v="2"/>
    <x v="3"/>
    <s v="FinA"/>
    <x v="6"/>
    <x v="7"/>
    <s v="GNR_RES_WTR_NOPMP_MC-02"/>
    <x v="0"/>
    <x v="21"/>
    <n v="156.94999999999999"/>
    <n v="57286.75"/>
    <n v="206232.3"/>
  </r>
  <r>
    <x v="0"/>
    <x v="0"/>
    <x v="0"/>
    <x v="2"/>
    <x v="3"/>
    <s v="FinA"/>
    <x v="6"/>
    <x v="7"/>
    <s v="GNR_RES_WTR_NOPMP_MC-02"/>
    <x v="0"/>
    <x v="22"/>
    <n v="156.94999999999999"/>
    <n v="57286.75"/>
    <n v="206232.3"/>
  </r>
  <r>
    <x v="0"/>
    <x v="0"/>
    <x v="0"/>
    <x v="2"/>
    <x v="3"/>
    <s v="FinA"/>
    <x v="6"/>
    <x v="7"/>
    <s v="GNR_RES_WTR_NOPMP_MC-02"/>
    <x v="0"/>
    <x v="23"/>
    <n v="156.94999999999999"/>
    <n v="57286.75"/>
    <n v="206232.3"/>
  </r>
  <r>
    <x v="0"/>
    <x v="0"/>
    <x v="0"/>
    <x v="2"/>
    <x v="3"/>
    <s v="FinA"/>
    <x v="6"/>
    <x v="7"/>
    <s v="GNR_RES_WTR_NOPMP_MC-03"/>
    <x v="0"/>
    <x v="3"/>
    <n v="156.94999999999999"/>
    <n v="57286.75"/>
    <n v="206232.3"/>
  </r>
  <r>
    <x v="0"/>
    <x v="0"/>
    <x v="0"/>
    <x v="2"/>
    <x v="3"/>
    <s v="FinA"/>
    <x v="6"/>
    <x v="7"/>
    <s v="GNR_RES_WTR_NOPMP_MC-03"/>
    <x v="0"/>
    <x v="4"/>
    <n v="156.94999999999999"/>
    <n v="57286.75"/>
    <n v="206232.3"/>
  </r>
  <r>
    <x v="0"/>
    <x v="0"/>
    <x v="0"/>
    <x v="2"/>
    <x v="3"/>
    <s v="FinA"/>
    <x v="6"/>
    <x v="7"/>
    <s v="GNR_RES_WTR_NOPMP_MC-03"/>
    <x v="0"/>
    <x v="5"/>
    <n v="156.94999999999999"/>
    <n v="57286.75"/>
    <n v="206232.3"/>
  </r>
  <r>
    <x v="0"/>
    <x v="0"/>
    <x v="0"/>
    <x v="2"/>
    <x v="3"/>
    <s v="FinA"/>
    <x v="6"/>
    <x v="7"/>
    <s v="GNR_RES_WTR_NOPMP_MC-03"/>
    <x v="0"/>
    <x v="6"/>
    <n v="156.94999999999999"/>
    <n v="57286.75"/>
    <n v="206232.3"/>
  </r>
  <r>
    <x v="0"/>
    <x v="0"/>
    <x v="0"/>
    <x v="2"/>
    <x v="3"/>
    <s v="FinA"/>
    <x v="6"/>
    <x v="7"/>
    <s v="GNR_RES_WTR_NOPMP_MC-03"/>
    <x v="0"/>
    <x v="7"/>
    <n v="156.94999999999999"/>
    <n v="57286.75"/>
    <n v="206232.3"/>
  </r>
  <r>
    <x v="0"/>
    <x v="0"/>
    <x v="0"/>
    <x v="2"/>
    <x v="3"/>
    <s v="FinA"/>
    <x v="6"/>
    <x v="7"/>
    <s v="GNR_RES_WTR_NOPMP_MC-03"/>
    <x v="0"/>
    <x v="8"/>
    <n v="156.94999999999999"/>
    <n v="57286.75"/>
    <n v="206232.3"/>
  </r>
  <r>
    <x v="0"/>
    <x v="0"/>
    <x v="0"/>
    <x v="2"/>
    <x v="3"/>
    <s v="FinA"/>
    <x v="6"/>
    <x v="7"/>
    <s v="GNR_RES_WTR_NOPMP_MC-03"/>
    <x v="0"/>
    <x v="0"/>
    <n v="156.94999999999999"/>
    <n v="57286.75"/>
    <n v="206232.3"/>
  </r>
  <r>
    <x v="0"/>
    <x v="0"/>
    <x v="0"/>
    <x v="2"/>
    <x v="3"/>
    <s v="FinA"/>
    <x v="6"/>
    <x v="7"/>
    <s v="GNR_RES_WTR_NOPMP_MC-03"/>
    <x v="0"/>
    <x v="1"/>
    <n v="156.94999999999999"/>
    <n v="57286.75"/>
    <n v="206232.3"/>
  </r>
  <r>
    <x v="0"/>
    <x v="0"/>
    <x v="0"/>
    <x v="2"/>
    <x v="3"/>
    <s v="FinA"/>
    <x v="6"/>
    <x v="7"/>
    <s v="GNR_RES_WTR_NOPMP_MC-03"/>
    <x v="0"/>
    <x v="2"/>
    <n v="156.94999999999999"/>
    <n v="57286.75"/>
    <n v="206232.3"/>
  </r>
  <r>
    <x v="0"/>
    <x v="0"/>
    <x v="0"/>
    <x v="2"/>
    <x v="3"/>
    <s v="FinA"/>
    <x v="6"/>
    <x v="7"/>
    <s v="GNR_RES_WTR_NOPMP_MC-03"/>
    <x v="0"/>
    <x v="9"/>
    <n v="156.94999999999999"/>
    <n v="57286.75"/>
    <n v="206232.3"/>
  </r>
  <r>
    <x v="0"/>
    <x v="0"/>
    <x v="0"/>
    <x v="2"/>
    <x v="3"/>
    <s v="FinA"/>
    <x v="6"/>
    <x v="7"/>
    <s v="GNR_RES_WTR_NOPMP_MC-03"/>
    <x v="0"/>
    <x v="10"/>
    <n v="156.94999999999999"/>
    <n v="57286.75"/>
    <n v="206232.3"/>
  </r>
  <r>
    <x v="0"/>
    <x v="0"/>
    <x v="0"/>
    <x v="2"/>
    <x v="3"/>
    <s v="FinA"/>
    <x v="6"/>
    <x v="7"/>
    <s v="GNR_RES_WTR_NOPMP_MC-03"/>
    <x v="0"/>
    <x v="11"/>
    <n v="156.94999999999999"/>
    <n v="57286.75"/>
    <n v="206232.3"/>
  </r>
  <r>
    <x v="0"/>
    <x v="0"/>
    <x v="0"/>
    <x v="2"/>
    <x v="3"/>
    <s v="FinA"/>
    <x v="6"/>
    <x v="7"/>
    <s v="GNR_RES_WTR_NOPMP_MC-03"/>
    <x v="0"/>
    <x v="12"/>
    <n v="156.94999999999999"/>
    <n v="57286.75"/>
    <n v="206232.3"/>
  </r>
  <r>
    <x v="0"/>
    <x v="0"/>
    <x v="0"/>
    <x v="2"/>
    <x v="3"/>
    <s v="FinA"/>
    <x v="6"/>
    <x v="7"/>
    <s v="GNR_RES_WTR_NOPMP_MC-03"/>
    <x v="0"/>
    <x v="13"/>
    <n v="156.94999999999999"/>
    <n v="57286.75"/>
    <n v="206232.3"/>
  </r>
  <r>
    <x v="0"/>
    <x v="0"/>
    <x v="0"/>
    <x v="2"/>
    <x v="3"/>
    <s v="FinA"/>
    <x v="6"/>
    <x v="7"/>
    <s v="GNR_RES_WTR_NOPMP_MC-03"/>
    <x v="0"/>
    <x v="14"/>
    <n v="156.94999999999999"/>
    <n v="57286.75"/>
    <n v="206232.3"/>
  </r>
  <r>
    <x v="0"/>
    <x v="0"/>
    <x v="0"/>
    <x v="2"/>
    <x v="3"/>
    <s v="FinA"/>
    <x v="6"/>
    <x v="7"/>
    <s v="GNR_RES_WTR_NOPMP_MC-03"/>
    <x v="0"/>
    <x v="15"/>
    <n v="156.94999999999999"/>
    <n v="57286.75"/>
    <n v="206232.3"/>
  </r>
  <r>
    <x v="0"/>
    <x v="0"/>
    <x v="0"/>
    <x v="2"/>
    <x v="3"/>
    <s v="FinA"/>
    <x v="6"/>
    <x v="7"/>
    <s v="GNR_RES_WTR_NOPMP_MC-03"/>
    <x v="0"/>
    <x v="16"/>
    <n v="156.94999999999999"/>
    <n v="57286.75"/>
    <n v="206232.3"/>
  </r>
  <r>
    <x v="0"/>
    <x v="0"/>
    <x v="0"/>
    <x v="2"/>
    <x v="3"/>
    <s v="FinA"/>
    <x v="6"/>
    <x v="7"/>
    <s v="GNR_RES_WTR_NOPMP_MC-03"/>
    <x v="0"/>
    <x v="17"/>
    <n v="156.94999999999999"/>
    <n v="57286.75"/>
    <n v="206232.3"/>
  </r>
  <r>
    <x v="0"/>
    <x v="0"/>
    <x v="0"/>
    <x v="2"/>
    <x v="3"/>
    <s v="FinA"/>
    <x v="6"/>
    <x v="7"/>
    <s v="GNR_RES_WTR_NOPMP_MC-03"/>
    <x v="0"/>
    <x v="18"/>
    <n v="156.94999999999999"/>
    <n v="57286.75"/>
    <n v="206232.3"/>
  </r>
  <r>
    <x v="0"/>
    <x v="0"/>
    <x v="0"/>
    <x v="2"/>
    <x v="3"/>
    <s v="FinA"/>
    <x v="6"/>
    <x v="7"/>
    <s v="GNR_RES_WTR_NOPMP_MC-03"/>
    <x v="0"/>
    <x v="19"/>
    <n v="156.94999999999999"/>
    <n v="57286.75"/>
    <n v="206232.3"/>
  </r>
  <r>
    <x v="0"/>
    <x v="0"/>
    <x v="0"/>
    <x v="2"/>
    <x v="3"/>
    <s v="FinA"/>
    <x v="6"/>
    <x v="7"/>
    <s v="GNR_RES_WTR_NOPMP_MC-03"/>
    <x v="0"/>
    <x v="20"/>
    <n v="156.94999999999999"/>
    <n v="57286.75"/>
    <n v="206232.3"/>
  </r>
  <r>
    <x v="0"/>
    <x v="0"/>
    <x v="0"/>
    <x v="2"/>
    <x v="3"/>
    <s v="FinA"/>
    <x v="6"/>
    <x v="7"/>
    <s v="GNR_RES_WTR_NOPMP_MC-03"/>
    <x v="0"/>
    <x v="21"/>
    <n v="156.94999999999999"/>
    <n v="57286.75"/>
    <n v="206232.3"/>
  </r>
  <r>
    <x v="0"/>
    <x v="0"/>
    <x v="0"/>
    <x v="2"/>
    <x v="3"/>
    <s v="FinA"/>
    <x v="6"/>
    <x v="7"/>
    <s v="GNR_RES_WTR_NOPMP_MC-03"/>
    <x v="0"/>
    <x v="22"/>
    <n v="156.94999999999999"/>
    <n v="57286.75"/>
    <n v="206232.3"/>
  </r>
  <r>
    <x v="0"/>
    <x v="0"/>
    <x v="0"/>
    <x v="2"/>
    <x v="3"/>
    <s v="FinA"/>
    <x v="6"/>
    <x v="7"/>
    <s v="GNR_RES_WTR_NOPMP_MC-03"/>
    <x v="0"/>
    <x v="23"/>
    <n v="156.94999999999999"/>
    <n v="57286.75"/>
    <n v="206232.3"/>
  </r>
  <r>
    <x v="0"/>
    <x v="0"/>
    <x v="0"/>
    <x v="2"/>
    <x v="3"/>
    <s v="FinA"/>
    <x v="6"/>
    <x v="7"/>
    <s v="GNR_RES_WTR_NOPMP_MC-04"/>
    <x v="0"/>
    <x v="3"/>
    <n v="156.94999999999999"/>
    <n v="57286.75"/>
    <n v="206232.3"/>
  </r>
  <r>
    <x v="0"/>
    <x v="0"/>
    <x v="0"/>
    <x v="2"/>
    <x v="3"/>
    <s v="FinA"/>
    <x v="6"/>
    <x v="7"/>
    <s v="GNR_RES_WTR_NOPMP_MC-04"/>
    <x v="0"/>
    <x v="4"/>
    <n v="156.94999999999999"/>
    <n v="57286.75"/>
    <n v="206232.3"/>
  </r>
  <r>
    <x v="0"/>
    <x v="0"/>
    <x v="0"/>
    <x v="2"/>
    <x v="3"/>
    <s v="FinA"/>
    <x v="6"/>
    <x v="7"/>
    <s v="GNR_RES_WTR_NOPMP_MC-04"/>
    <x v="0"/>
    <x v="5"/>
    <n v="156.94999999999999"/>
    <n v="57286.75"/>
    <n v="206232.3"/>
  </r>
  <r>
    <x v="0"/>
    <x v="0"/>
    <x v="0"/>
    <x v="2"/>
    <x v="3"/>
    <s v="FinA"/>
    <x v="6"/>
    <x v="7"/>
    <s v="GNR_RES_WTR_NOPMP_MC-04"/>
    <x v="0"/>
    <x v="6"/>
    <n v="156.94999999999999"/>
    <n v="57286.75"/>
    <n v="206232.3"/>
  </r>
  <r>
    <x v="0"/>
    <x v="0"/>
    <x v="0"/>
    <x v="2"/>
    <x v="3"/>
    <s v="FinA"/>
    <x v="6"/>
    <x v="7"/>
    <s v="GNR_RES_WTR_NOPMP_MC-04"/>
    <x v="0"/>
    <x v="7"/>
    <n v="156.94999999999999"/>
    <n v="57286.75"/>
    <n v="206232.3"/>
  </r>
  <r>
    <x v="0"/>
    <x v="0"/>
    <x v="0"/>
    <x v="2"/>
    <x v="3"/>
    <s v="FinA"/>
    <x v="6"/>
    <x v="7"/>
    <s v="GNR_RES_WTR_NOPMP_MC-04"/>
    <x v="0"/>
    <x v="8"/>
    <n v="156.94999999999999"/>
    <n v="57286.75"/>
    <n v="206232.3"/>
  </r>
  <r>
    <x v="0"/>
    <x v="0"/>
    <x v="0"/>
    <x v="2"/>
    <x v="3"/>
    <s v="FinA"/>
    <x v="6"/>
    <x v="7"/>
    <s v="GNR_RES_WTR_NOPMP_MC-04"/>
    <x v="0"/>
    <x v="0"/>
    <n v="156.94999999999999"/>
    <n v="57286.75"/>
    <n v="206232.3"/>
  </r>
  <r>
    <x v="0"/>
    <x v="0"/>
    <x v="0"/>
    <x v="2"/>
    <x v="3"/>
    <s v="FinA"/>
    <x v="6"/>
    <x v="7"/>
    <s v="GNR_RES_WTR_NOPMP_MC-04"/>
    <x v="0"/>
    <x v="1"/>
    <n v="156.94999999999999"/>
    <n v="57286.75"/>
    <n v="206232.3"/>
  </r>
  <r>
    <x v="0"/>
    <x v="0"/>
    <x v="0"/>
    <x v="2"/>
    <x v="3"/>
    <s v="FinA"/>
    <x v="6"/>
    <x v="7"/>
    <s v="GNR_RES_WTR_NOPMP_MC-04"/>
    <x v="0"/>
    <x v="2"/>
    <n v="156.94999999999999"/>
    <n v="57286.75"/>
    <n v="206232.3"/>
  </r>
  <r>
    <x v="0"/>
    <x v="0"/>
    <x v="0"/>
    <x v="2"/>
    <x v="3"/>
    <s v="FinA"/>
    <x v="6"/>
    <x v="7"/>
    <s v="GNR_RES_WTR_NOPMP_MC-04"/>
    <x v="0"/>
    <x v="9"/>
    <n v="156.94999999999999"/>
    <n v="57286.75"/>
    <n v="206232.3"/>
  </r>
  <r>
    <x v="0"/>
    <x v="0"/>
    <x v="0"/>
    <x v="2"/>
    <x v="3"/>
    <s v="FinA"/>
    <x v="6"/>
    <x v="7"/>
    <s v="GNR_RES_WTR_NOPMP_MC-04"/>
    <x v="0"/>
    <x v="10"/>
    <n v="156.94999999999999"/>
    <n v="57286.75"/>
    <n v="206232.3"/>
  </r>
  <r>
    <x v="0"/>
    <x v="0"/>
    <x v="0"/>
    <x v="2"/>
    <x v="3"/>
    <s v="FinA"/>
    <x v="6"/>
    <x v="7"/>
    <s v="GNR_RES_WTR_NOPMP_MC-04"/>
    <x v="0"/>
    <x v="11"/>
    <n v="156.94999999999999"/>
    <n v="57286.75"/>
    <n v="206232.3"/>
  </r>
  <r>
    <x v="0"/>
    <x v="0"/>
    <x v="0"/>
    <x v="2"/>
    <x v="3"/>
    <s v="FinA"/>
    <x v="6"/>
    <x v="7"/>
    <s v="GNR_RES_WTR_NOPMP_MC-04"/>
    <x v="0"/>
    <x v="12"/>
    <n v="156.94999999999999"/>
    <n v="57286.75"/>
    <n v="206232.3"/>
  </r>
  <r>
    <x v="0"/>
    <x v="0"/>
    <x v="0"/>
    <x v="2"/>
    <x v="3"/>
    <s v="FinA"/>
    <x v="6"/>
    <x v="7"/>
    <s v="GNR_RES_WTR_NOPMP_MC-04"/>
    <x v="0"/>
    <x v="13"/>
    <n v="156.94999999999999"/>
    <n v="57286.75"/>
    <n v="206232.3"/>
  </r>
  <r>
    <x v="0"/>
    <x v="0"/>
    <x v="0"/>
    <x v="2"/>
    <x v="3"/>
    <s v="FinA"/>
    <x v="6"/>
    <x v="7"/>
    <s v="GNR_RES_WTR_NOPMP_MC-04"/>
    <x v="0"/>
    <x v="14"/>
    <n v="156.94999999999999"/>
    <n v="57286.75"/>
    <n v="206232.3"/>
  </r>
  <r>
    <x v="0"/>
    <x v="0"/>
    <x v="0"/>
    <x v="2"/>
    <x v="3"/>
    <s v="FinA"/>
    <x v="6"/>
    <x v="7"/>
    <s v="GNR_RES_WTR_NOPMP_MC-04"/>
    <x v="0"/>
    <x v="15"/>
    <n v="156.94999999999999"/>
    <n v="57286.75"/>
    <n v="206232.3"/>
  </r>
  <r>
    <x v="0"/>
    <x v="0"/>
    <x v="0"/>
    <x v="2"/>
    <x v="3"/>
    <s v="FinA"/>
    <x v="6"/>
    <x v="7"/>
    <s v="GNR_RES_WTR_NOPMP_MC-04"/>
    <x v="0"/>
    <x v="16"/>
    <n v="156.94999999999999"/>
    <n v="57286.75"/>
    <n v="206232.3"/>
  </r>
  <r>
    <x v="0"/>
    <x v="0"/>
    <x v="0"/>
    <x v="2"/>
    <x v="3"/>
    <s v="FinA"/>
    <x v="6"/>
    <x v="7"/>
    <s v="GNR_RES_WTR_NOPMP_MC-04"/>
    <x v="0"/>
    <x v="17"/>
    <n v="156.94999999999999"/>
    <n v="57286.75"/>
    <n v="206232.3"/>
  </r>
  <r>
    <x v="0"/>
    <x v="0"/>
    <x v="0"/>
    <x v="2"/>
    <x v="3"/>
    <s v="FinA"/>
    <x v="6"/>
    <x v="7"/>
    <s v="GNR_RES_WTR_NOPMP_MC-04"/>
    <x v="0"/>
    <x v="18"/>
    <n v="156.94999999999999"/>
    <n v="57286.75"/>
    <n v="206232.3"/>
  </r>
  <r>
    <x v="0"/>
    <x v="0"/>
    <x v="0"/>
    <x v="2"/>
    <x v="3"/>
    <s v="FinA"/>
    <x v="6"/>
    <x v="7"/>
    <s v="GNR_RES_WTR_NOPMP_MC-04"/>
    <x v="0"/>
    <x v="19"/>
    <n v="156.94999999999999"/>
    <n v="57286.75"/>
    <n v="206232.3"/>
  </r>
  <r>
    <x v="0"/>
    <x v="0"/>
    <x v="0"/>
    <x v="2"/>
    <x v="3"/>
    <s v="FinA"/>
    <x v="6"/>
    <x v="7"/>
    <s v="GNR_RES_WTR_NOPMP_MC-04"/>
    <x v="0"/>
    <x v="20"/>
    <n v="156.94999999999999"/>
    <n v="57286.75"/>
    <n v="206232.3"/>
  </r>
  <r>
    <x v="0"/>
    <x v="0"/>
    <x v="0"/>
    <x v="2"/>
    <x v="3"/>
    <s v="FinA"/>
    <x v="6"/>
    <x v="7"/>
    <s v="GNR_RES_WTR_NOPMP_MC-04"/>
    <x v="0"/>
    <x v="21"/>
    <n v="156.94999999999999"/>
    <n v="57286.75"/>
    <n v="206232.3"/>
  </r>
  <r>
    <x v="0"/>
    <x v="0"/>
    <x v="0"/>
    <x v="2"/>
    <x v="3"/>
    <s v="FinA"/>
    <x v="6"/>
    <x v="7"/>
    <s v="GNR_RES_WTR_NOPMP_MC-04"/>
    <x v="0"/>
    <x v="22"/>
    <n v="156.94999999999999"/>
    <n v="57286.75"/>
    <n v="206232.3"/>
  </r>
  <r>
    <x v="0"/>
    <x v="0"/>
    <x v="0"/>
    <x v="2"/>
    <x v="3"/>
    <s v="FinA"/>
    <x v="6"/>
    <x v="7"/>
    <s v="GNR_RES_WTR_NOPMP_MC-04"/>
    <x v="0"/>
    <x v="23"/>
    <n v="156.94999999999999"/>
    <n v="57286.75"/>
    <n v="206232.3"/>
  </r>
  <r>
    <x v="0"/>
    <x v="0"/>
    <x v="0"/>
    <x v="2"/>
    <x v="3"/>
    <s v="FinA"/>
    <x v="6"/>
    <x v="7"/>
    <s v="GNR_RES_WTR_NOPMP_MC-05"/>
    <x v="0"/>
    <x v="4"/>
    <n v="133.04539762109499"/>
    <n v="48561.5701316997"/>
    <n v="174821.65247411901"/>
  </r>
  <r>
    <x v="0"/>
    <x v="0"/>
    <x v="0"/>
    <x v="2"/>
    <x v="3"/>
    <s v="FinA"/>
    <x v="6"/>
    <x v="7"/>
    <s v="GNR_RES_WTR_NOPMP_MC-05"/>
    <x v="0"/>
    <x v="5"/>
    <n v="156.94999999999999"/>
    <n v="57286.75"/>
    <n v="206232.3"/>
  </r>
  <r>
    <x v="0"/>
    <x v="0"/>
    <x v="0"/>
    <x v="2"/>
    <x v="3"/>
    <s v="FinA"/>
    <x v="6"/>
    <x v="7"/>
    <s v="GNR_RES_WTR_NOPMP_MC-05"/>
    <x v="0"/>
    <x v="6"/>
    <n v="156.94999999999999"/>
    <n v="57286.75"/>
    <n v="206232.3"/>
  </r>
  <r>
    <x v="0"/>
    <x v="0"/>
    <x v="0"/>
    <x v="2"/>
    <x v="3"/>
    <s v="FinA"/>
    <x v="6"/>
    <x v="7"/>
    <s v="GNR_RES_WTR_NOPMP_MC-05"/>
    <x v="0"/>
    <x v="7"/>
    <n v="156.94999999999999"/>
    <n v="57286.75"/>
    <n v="206232.3"/>
  </r>
  <r>
    <x v="0"/>
    <x v="0"/>
    <x v="0"/>
    <x v="2"/>
    <x v="3"/>
    <s v="FinA"/>
    <x v="6"/>
    <x v="7"/>
    <s v="GNR_RES_WTR_NOPMP_MC-05"/>
    <x v="0"/>
    <x v="8"/>
    <n v="156.94999999999999"/>
    <n v="57286.75"/>
    <n v="206232.3"/>
  </r>
  <r>
    <x v="0"/>
    <x v="0"/>
    <x v="0"/>
    <x v="2"/>
    <x v="3"/>
    <s v="FinA"/>
    <x v="6"/>
    <x v="7"/>
    <s v="GNR_RES_WTR_NOPMP_MC-05"/>
    <x v="0"/>
    <x v="0"/>
    <n v="156.94999999999999"/>
    <n v="57286.75"/>
    <n v="206232.3"/>
  </r>
  <r>
    <x v="0"/>
    <x v="0"/>
    <x v="0"/>
    <x v="2"/>
    <x v="3"/>
    <s v="FinA"/>
    <x v="6"/>
    <x v="7"/>
    <s v="GNR_RES_WTR_NOPMP_MC-05"/>
    <x v="0"/>
    <x v="1"/>
    <n v="156.94999999999999"/>
    <n v="57286.75"/>
    <n v="206232.3"/>
  </r>
  <r>
    <x v="0"/>
    <x v="0"/>
    <x v="0"/>
    <x v="2"/>
    <x v="3"/>
    <s v="FinA"/>
    <x v="6"/>
    <x v="7"/>
    <s v="GNR_RES_WTR_NOPMP_MC-05"/>
    <x v="0"/>
    <x v="2"/>
    <n v="156.94999999999999"/>
    <n v="57286.75"/>
    <n v="206232.3"/>
  </r>
  <r>
    <x v="0"/>
    <x v="0"/>
    <x v="0"/>
    <x v="2"/>
    <x v="3"/>
    <s v="FinA"/>
    <x v="6"/>
    <x v="7"/>
    <s v="GNR_RES_WTR_NOPMP_MC-05"/>
    <x v="0"/>
    <x v="9"/>
    <n v="156.94999999999999"/>
    <n v="57286.75"/>
    <n v="206232.3"/>
  </r>
  <r>
    <x v="0"/>
    <x v="0"/>
    <x v="0"/>
    <x v="2"/>
    <x v="3"/>
    <s v="FinA"/>
    <x v="6"/>
    <x v="7"/>
    <s v="GNR_RES_WTR_NOPMP_MC-05"/>
    <x v="0"/>
    <x v="10"/>
    <n v="156.94999999999999"/>
    <n v="57286.75"/>
    <n v="206232.3"/>
  </r>
  <r>
    <x v="0"/>
    <x v="0"/>
    <x v="0"/>
    <x v="2"/>
    <x v="3"/>
    <s v="FinA"/>
    <x v="6"/>
    <x v="7"/>
    <s v="GNR_RES_WTR_NOPMP_MC-05"/>
    <x v="0"/>
    <x v="11"/>
    <n v="156.94999999999999"/>
    <n v="57286.75"/>
    <n v="206232.3"/>
  </r>
  <r>
    <x v="0"/>
    <x v="0"/>
    <x v="0"/>
    <x v="2"/>
    <x v="3"/>
    <s v="FinA"/>
    <x v="6"/>
    <x v="7"/>
    <s v="GNR_RES_WTR_NOPMP_MC-05"/>
    <x v="0"/>
    <x v="12"/>
    <n v="156.94999999999999"/>
    <n v="57286.75"/>
    <n v="206232.3"/>
  </r>
  <r>
    <x v="0"/>
    <x v="0"/>
    <x v="0"/>
    <x v="2"/>
    <x v="3"/>
    <s v="FinA"/>
    <x v="6"/>
    <x v="7"/>
    <s v="GNR_RES_WTR_NOPMP_MC-05"/>
    <x v="0"/>
    <x v="13"/>
    <n v="156.94999999999999"/>
    <n v="57286.75"/>
    <n v="206232.3"/>
  </r>
  <r>
    <x v="0"/>
    <x v="0"/>
    <x v="0"/>
    <x v="2"/>
    <x v="3"/>
    <s v="FinA"/>
    <x v="6"/>
    <x v="7"/>
    <s v="GNR_RES_WTR_NOPMP_MC-05"/>
    <x v="0"/>
    <x v="14"/>
    <n v="156.94999999999999"/>
    <n v="57286.75"/>
    <n v="206232.3"/>
  </r>
  <r>
    <x v="0"/>
    <x v="0"/>
    <x v="0"/>
    <x v="2"/>
    <x v="3"/>
    <s v="FinA"/>
    <x v="6"/>
    <x v="7"/>
    <s v="GNR_RES_WTR_NOPMP_MC-05"/>
    <x v="0"/>
    <x v="15"/>
    <n v="156.94999999999999"/>
    <n v="57286.75"/>
    <n v="206232.3"/>
  </r>
  <r>
    <x v="0"/>
    <x v="0"/>
    <x v="0"/>
    <x v="2"/>
    <x v="3"/>
    <s v="FinA"/>
    <x v="6"/>
    <x v="7"/>
    <s v="GNR_RES_WTR_NOPMP_MC-05"/>
    <x v="0"/>
    <x v="16"/>
    <n v="156.94999999999999"/>
    <n v="57286.75"/>
    <n v="206232.3"/>
  </r>
  <r>
    <x v="0"/>
    <x v="0"/>
    <x v="0"/>
    <x v="2"/>
    <x v="3"/>
    <s v="FinA"/>
    <x v="6"/>
    <x v="7"/>
    <s v="GNR_RES_WTR_NOPMP_MC-05"/>
    <x v="0"/>
    <x v="17"/>
    <n v="156.94999999999999"/>
    <n v="57286.75"/>
    <n v="206232.3"/>
  </r>
  <r>
    <x v="0"/>
    <x v="0"/>
    <x v="0"/>
    <x v="2"/>
    <x v="3"/>
    <s v="FinA"/>
    <x v="6"/>
    <x v="7"/>
    <s v="GNR_RES_WTR_NOPMP_MC-05"/>
    <x v="0"/>
    <x v="18"/>
    <n v="156.94999999999999"/>
    <n v="57286.75"/>
    <n v="206232.3"/>
  </r>
  <r>
    <x v="0"/>
    <x v="0"/>
    <x v="0"/>
    <x v="2"/>
    <x v="3"/>
    <s v="FinA"/>
    <x v="6"/>
    <x v="7"/>
    <s v="GNR_RES_WTR_NOPMP_MC-05"/>
    <x v="0"/>
    <x v="19"/>
    <n v="156.94999999999999"/>
    <n v="57286.75"/>
    <n v="206232.3"/>
  </r>
  <r>
    <x v="0"/>
    <x v="0"/>
    <x v="0"/>
    <x v="2"/>
    <x v="3"/>
    <s v="FinA"/>
    <x v="6"/>
    <x v="7"/>
    <s v="GNR_RES_WTR_NOPMP_MC-05"/>
    <x v="0"/>
    <x v="20"/>
    <n v="156.94999999999999"/>
    <n v="57286.75"/>
    <n v="206232.3"/>
  </r>
  <r>
    <x v="0"/>
    <x v="0"/>
    <x v="0"/>
    <x v="2"/>
    <x v="3"/>
    <s v="FinA"/>
    <x v="6"/>
    <x v="7"/>
    <s v="GNR_RES_WTR_NOPMP_MC-05"/>
    <x v="0"/>
    <x v="21"/>
    <n v="156.94999999999999"/>
    <n v="57286.75"/>
    <n v="206232.3"/>
  </r>
  <r>
    <x v="0"/>
    <x v="0"/>
    <x v="0"/>
    <x v="2"/>
    <x v="3"/>
    <s v="FinA"/>
    <x v="6"/>
    <x v="7"/>
    <s v="GNR_RES_WTR_NOPMP_MC-05"/>
    <x v="0"/>
    <x v="22"/>
    <n v="156.94999999999999"/>
    <n v="57286.75"/>
    <n v="206232.3"/>
  </r>
  <r>
    <x v="0"/>
    <x v="0"/>
    <x v="0"/>
    <x v="2"/>
    <x v="3"/>
    <s v="FinA"/>
    <x v="6"/>
    <x v="7"/>
    <s v="GNR_RES_WTR_NOPMP_MC-05"/>
    <x v="0"/>
    <x v="23"/>
    <n v="156.94999999999999"/>
    <n v="57286.75"/>
    <n v="206232.3"/>
  </r>
  <r>
    <x v="0"/>
    <x v="0"/>
    <x v="0"/>
    <x v="2"/>
    <x v="3"/>
    <s v="FinA"/>
    <x v="6"/>
    <x v="7"/>
    <s v="GNR_RES_WTR_NOPMP_MC-06"/>
    <x v="0"/>
    <x v="0"/>
    <n v="156.94999999999999"/>
    <n v="57286.75"/>
    <n v="206232.3"/>
  </r>
  <r>
    <x v="0"/>
    <x v="0"/>
    <x v="0"/>
    <x v="2"/>
    <x v="3"/>
    <s v="FinA"/>
    <x v="6"/>
    <x v="7"/>
    <s v="GNR_RES_WTR_NOPMP_MC-06"/>
    <x v="0"/>
    <x v="1"/>
    <n v="156.94999999999999"/>
    <n v="57286.75"/>
    <n v="206232.3"/>
  </r>
  <r>
    <x v="0"/>
    <x v="0"/>
    <x v="0"/>
    <x v="2"/>
    <x v="3"/>
    <s v="FinA"/>
    <x v="6"/>
    <x v="7"/>
    <s v="GNR_RES_WTR_NOPMP_MC-06"/>
    <x v="0"/>
    <x v="2"/>
    <n v="156.94999999999999"/>
    <n v="57286.75"/>
    <n v="206232.3"/>
  </r>
  <r>
    <x v="0"/>
    <x v="0"/>
    <x v="0"/>
    <x v="2"/>
    <x v="3"/>
    <s v="FinA"/>
    <x v="6"/>
    <x v="7"/>
    <s v="GNR_RES_WTR_NOPMP_MC-06"/>
    <x v="0"/>
    <x v="9"/>
    <n v="156.94999999999999"/>
    <n v="57286.75"/>
    <n v="206232.3"/>
  </r>
  <r>
    <x v="0"/>
    <x v="0"/>
    <x v="0"/>
    <x v="2"/>
    <x v="3"/>
    <s v="FinA"/>
    <x v="6"/>
    <x v="7"/>
    <s v="GNR_RES_WTR_NOPMP_MC-06"/>
    <x v="0"/>
    <x v="10"/>
    <n v="156.94999999999999"/>
    <n v="57286.75"/>
    <n v="206232.3"/>
  </r>
  <r>
    <x v="0"/>
    <x v="0"/>
    <x v="0"/>
    <x v="2"/>
    <x v="3"/>
    <s v="FinA"/>
    <x v="6"/>
    <x v="7"/>
    <s v="GNR_RES_WTR_NOPMP_MC-06"/>
    <x v="0"/>
    <x v="11"/>
    <n v="156.94999999999999"/>
    <n v="57286.75"/>
    <n v="206232.3"/>
  </r>
  <r>
    <x v="0"/>
    <x v="0"/>
    <x v="0"/>
    <x v="2"/>
    <x v="3"/>
    <s v="FinA"/>
    <x v="6"/>
    <x v="7"/>
    <s v="GNR_RES_WTR_NOPMP_MC-06"/>
    <x v="0"/>
    <x v="12"/>
    <n v="156.94999999999999"/>
    <n v="57286.75"/>
    <n v="206232.3"/>
  </r>
  <r>
    <x v="0"/>
    <x v="0"/>
    <x v="0"/>
    <x v="2"/>
    <x v="3"/>
    <s v="FinA"/>
    <x v="6"/>
    <x v="7"/>
    <s v="GNR_RES_WTR_NOPMP_MC-06"/>
    <x v="0"/>
    <x v="13"/>
    <n v="156.94999999999999"/>
    <n v="57286.75"/>
    <n v="206232.3"/>
  </r>
  <r>
    <x v="0"/>
    <x v="0"/>
    <x v="0"/>
    <x v="2"/>
    <x v="3"/>
    <s v="FinA"/>
    <x v="6"/>
    <x v="7"/>
    <s v="GNR_RES_WTR_NOPMP_MC-06"/>
    <x v="0"/>
    <x v="14"/>
    <n v="156.94999999999999"/>
    <n v="57286.75"/>
    <n v="206232.3"/>
  </r>
  <r>
    <x v="0"/>
    <x v="0"/>
    <x v="0"/>
    <x v="2"/>
    <x v="3"/>
    <s v="FinA"/>
    <x v="6"/>
    <x v="7"/>
    <s v="GNR_RES_WTR_NOPMP_MC-06"/>
    <x v="0"/>
    <x v="15"/>
    <n v="156.94999999999999"/>
    <n v="57286.75"/>
    <n v="206232.3"/>
  </r>
  <r>
    <x v="0"/>
    <x v="0"/>
    <x v="0"/>
    <x v="2"/>
    <x v="3"/>
    <s v="FinA"/>
    <x v="6"/>
    <x v="7"/>
    <s v="GNR_RES_WTR_NOPMP_MC-06"/>
    <x v="0"/>
    <x v="16"/>
    <n v="156.94999999999999"/>
    <n v="57286.75"/>
    <n v="206232.3"/>
  </r>
  <r>
    <x v="0"/>
    <x v="0"/>
    <x v="0"/>
    <x v="2"/>
    <x v="3"/>
    <s v="FinA"/>
    <x v="6"/>
    <x v="7"/>
    <s v="GNR_RES_WTR_NOPMP_MC-06"/>
    <x v="0"/>
    <x v="17"/>
    <n v="156.94999999999999"/>
    <n v="57286.75"/>
    <n v="206232.3"/>
  </r>
  <r>
    <x v="0"/>
    <x v="0"/>
    <x v="0"/>
    <x v="2"/>
    <x v="3"/>
    <s v="FinA"/>
    <x v="6"/>
    <x v="7"/>
    <s v="GNR_RES_WTR_NOPMP_MC-06"/>
    <x v="0"/>
    <x v="18"/>
    <n v="156.94999999999999"/>
    <n v="57286.75"/>
    <n v="206232.3"/>
  </r>
  <r>
    <x v="0"/>
    <x v="0"/>
    <x v="0"/>
    <x v="2"/>
    <x v="3"/>
    <s v="FinA"/>
    <x v="6"/>
    <x v="7"/>
    <s v="GNR_RES_WTR_NOPMP_MC-06"/>
    <x v="0"/>
    <x v="19"/>
    <n v="156.94999999999999"/>
    <n v="57286.75"/>
    <n v="206232.3"/>
  </r>
  <r>
    <x v="0"/>
    <x v="0"/>
    <x v="0"/>
    <x v="2"/>
    <x v="3"/>
    <s v="FinA"/>
    <x v="6"/>
    <x v="7"/>
    <s v="GNR_RES_WTR_NOPMP_MC-07"/>
    <x v="0"/>
    <x v="0"/>
    <n v="156.94999999999999"/>
    <n v="57286.75"/>
    <n v="206232.3"/>
  </r>
  <r>
    <x v="0"/>
    <x v="0"/>
    <x v="0"/>
    <x v="2"/>
    <x v="3"/>
    <s v="FinA"/>
    <x v="6"/>
    <x v="7"/>
    <s v="GNR_RES_WTR_NOPMP_MC-07"/>
    <x v="0"/>
    <x v="1"/>
    <n v="156.94999999999999"/>
    <n v="57286.75"/>
    <n v="206232.3"/>
  </r>
  <r>
    <x v="0"/>
    <x v="0"/>
    <x v="0"/>
    <x v="2"/>
    <x v="3"/>
    <s v="FinA"/>
    <x v="6"/>
    <x v="7"/>
    <s v="GNR_RES_WTR_NOPMP_MC-07"/>
    <x v="0"/>
    <x v="2"/>
    <n v="156.94999999999999"/>
    <n v="57286.75"/>
    <n v="206232.3"/>
  </r>
  <r>
    <x v="0"/>
    <x v="0"/>
    <x v="0"/>
    <x v="2"/>
    <x v="3"/>
    <s v="FinA"/>
    <x v="6"/>
    <x v="7"/>
    <s v="GNR_RES_WTR_NOPMP_MC-07"/>
    <x v="0"/>
    <x v="9"/>
    <n v="156.94999999999999"/>
    <n v="57286.75"/>
    <n v="206232.3"/>
  </r>
  <r>
    <x v="0"/>
    <x v="0"/>
    <x v="0"/>
    <x v="2"/>
    <x v="3"/>
    <s v="FinA"/>
    <x v="6"/>
    <x v="7"/>
    <s v="GNR_RES_WTR_NOPMP_MC-07"/>
    <x v="0"/>
    <x v="10"/>
    <n v="156.94999999999999"/>
    <n v="57286.75"/>
    <n v="206232.3"/>
  </r>
  <r>
    <x v="0"/>
    <x v="0"/>
    <x v="0"/>
    <x v="2"/>
    <x v="3"/>
    <s v="FinA"/>
    <x v="6"/>
    <x v="7"/>
    <s v="GNR_RES_WTR_NOPMP_MC-07"/>
    <x v="0"/>
    <x v="11"/>
    <n v="156.94999999999999"/>
    <n v="57286.75"/>
    <n v="206232.3"/>
  </r>
  <r>
    <x v="0"/>
    <x v="0"/>
    <x v="0"/>
    <x v="2"/>
    <x v="3"/>
    <s v="FinA"/>
    <x v="6"/>
    <x v="7"/>
    <s v="GNR_RES_WTR_NOPMP_MC-07"/>
    <x v="0"/>
    <x v="12"/>
    <n v="156.94999999999999"/>
    <n v="57286.75"/>
    <n v="206232.3"/>
  </r>
  <r>
    <x v="0"/>
    <x v="0"/>
    <x v="0"/>
    <x v="2"/>
    <x v="3"/>
    <s v="FinA"/>
    <x v="6"/>
    <x v="7"/>
    <s v="GNR_RES_WTR_NOPMP_MC-07"/>
    <x v="0"/>
    <x v="13"/>
    <n v="156.94999999999999"/>
    <n v="57286.75"/>
    <n v="206232.3"/>
  </r>
  <r>
    <x v="0"/>
    <x v="0"/>
    <x v="0"/>
    <x v="2"/>
    <x v="3"/>
    <s v="FinA"/>
    <x v="6"/>
    <x v="7"/>
    <s v="GNR_RES_WTR_NOPMP_MC-07"/>
    <x v="0"/>
    <x v="14"/>
    <n v="156.94999999999999"/>
    <n v="57286.75"/>
    <n v="206232.3"/>
  </r>
  <r>
    <x v="0"/>
    <x v="0"/>
    <x v="0"/>
    <x v="2"/>
    <x v="3"/>
    <s v="FinA"/>
    <x v="6"/>
    <x v="7"/>
    <s v="GNR_RES_WTR_NOPMP_MC-07"/>
    <x v="0"/>
    <x v="15"/>
    <n v="156.94999999999999"/>
    <n v="57286.75"/>
    <n v="206232.3"/>
  </r>
  <r>
    <x v="0"/>
    <x v="0"/>
    <x v="0"/>
    <x v="2"/>
    <x v="3"/>
    <s v="FinA"/>
    <x v="6"/>
    <x v="7"/>
    <s v="GNR_RES_WTR_NOPMP_MC-07"/>
    <x v="0"/>
    <x v="16"/>
    <n v="156.94999999999999"/>
    <n v="57286.75"/>
    <n v="206232.3"/>
  </r>
  <r>
    <x v="0"/>
    <x v="0"/>
    <x v="0"/>
    <x v="2"/>
    <x v="3"/>
    <s v="FinA"/>
    <x v="6"/>
    <x v="7"/>
    <s v="GNR_RES_WTR_NOPMP_MC-07"/>
    <x v="0"/>
    <x v="17"/>
    <n v="156.94999999999999"/>
    <n v="57286.75"/>
    <n v="206232.3"/>
  </r>
  <r>
    <x v="0"/>
    <x v="0"/>
    <x v="0"/>
    <x v="2"/>
    <x v="3"/>
    <s v="FinA"/>
    <x v="6"/>
    <x v="7"/>
    <s v="GNR_RES_WTR_NOPMP_MC-07"/>
    <x v="0"/>
    <x v="18"/>
    <n v="156.94999999999999"/>
    <n v="57286.75"/>
    <n v="206232.3"/>
  </r>
  <r>
    <x v="0"/>
    <x v="0"/>
    <x v="0"/>
    <x v="2"/>
    <x v="3"/>
    <s v="FinA"/>
    <x v="6"/>
    <x v="7"/>
    <s v="GNR_RES_WTR_NOPMP_MC-07"/>
    <x v="0"/>
    <x v="19"/>
    <n v="156.94999999999999"/>
    <n v="57286.75"/>
    <n v="206232.3"/>
  </r>
  <r>
    <x v="0"/>
    <x v="0"/>
    <x v="0"/>
    <x v="2"/>
    <x v="3"/>
    <s v="FinA"/>
    <x v="6"/>
    <x v="7"/>
    <s v="GNR_RES_WTR_NOPMP_MC-08"/>
    <x v="0"/>
    <x v="0"/>
    <n v="156.94999999999999"/>
    <n v="57286.75"/>
    <n v="206232.3"/>
  </r>
  <r>
    <x v="0"/>
    <x v="0"/>
    <x v="0"/>
    <x v="2"/>
    <x v="3"/>
    <s v="FinA"/>
    <x v="6"/>
    <x v="7"/>
    <s v="GNR_RES_WTR_NOPMP_MC-08"/>
    <x v="0"/>
    <x v="1"/>
    <n v="156.94999999999999"/>
    <n v="57286.75"/>
    <n v="206232.3"/>
  </r>
  <r>
    <x v="0"/>
    <x v="0"/>
    <x v="0"/>
    <x v="2"/>
    <x v="3"/>
    <s v="FinA"/>
    <x v="6"/>
    <x v="7"/>
    <s v="GNR_RES_WTR_NOPMP_MC-08"/>
    <x v="0"/>
    <x v="2"/>
    <n v="156.94999999999999"/>
    <n v="57286.75"/>
    <n v="206232.3"/>
  </r>
  <r>
    <x v="0"/>
    <x v="0"/>
    <x v="0"/>
    <x v="2"/>
    <x v="3"/>
    <s v="FinA"/>
    <x v="6"/>
    <x v="7"/>
    <s v="GNR_RES_WTR_NOPMP_MC-08"/>
    <x v="0"/>
    <x v="9"/>
    <n v="156.94999999999999"/>
    <n v="57286.75"/>
    <n v="206232.3"/>
  </r>
  <r>
    <x v="0"/>
    <x v="0"/>
    <x v="0"/>
    <x v="2"/>
    <x v="3"/>
    <s v="FinA"/>
    <x v="6"/>
    <x v="7"/>
    <s v="GNR_RES_WTR_NOPMP_MC-08"/>
    <x v="0"/>
    <x v="10"/>
    <n v="156.94999999999999"/>
    <n v="57286.75"/>
    <n v="206232.3"/>
  </r>
  <r>
    <x v="0"/>
    <x v="0"/>
    <x v="0"/>
    <x v="2"/>
    <x v="3"/>
    <s v="FinA"/>
    <x v="6"/>
    <x v="7"/>
    <s v="GNR_RES_WTR_NOPMP_MC-08"/>
    <x v="0"/>
    <x v="11"/>
    <n v="156.94999999999999"/>
    <n v="57286.75"/>
    <n v="206232.3"/>
  </r>
  <r>
    <x v="0"/>
    <x v="0"/>
    <x v="0"/>
    <x v="2"/>
    <x v="3"/>
    <s v="FinA"/>
    <x v="6"/>
    <x v="7"/>
    <s v="GNR_RES_WTR_NOPMP_MC-08"/>
    <x v="0"/>
    <x v="12"/>
    <n v="87.466282960586895"/>
    <n v="31925.193280614199"/>
    <n v="114930.69581021099"/>
  </r>
  <r>
    <x v="0"/>
    <x v="0"/>
    <x v="0"/>
    <x v="2"/>
    <x v="3"/>
    <s v="FinA"/>
    <x v="6"/>
    <x v="7"/>
    <s v="GNR_RES_WTR_NOPMP_MC-08"/>
    <x v="0"/>
    <x v="15"/>
    <n v="78.338319418323096"/>
    <n v="28593.486587687901"/>
    <n v="102936.55171567699"/>
  </r>
  <r>
    <x v="0"/>
    <x v="0"/>
    <x v="0"/>
    <x v="2"/>
    <x v="3"/>
    <s v="FinA"/>
    <x v="6"/>
    <x v="7"/>
    <s v="GNR_RES_WTR_NOPMP_MC-08"/>
    <x v="0"/>
    <x v="16"/>
    <n v="156.94999999999999"/>
    <n v="57286.75"/>
    <n v="206232.3"/>
  </r>
  <r>
    <x v="0"/>
    <x v="0"/>
    <x v="0"/>
    <x v="2"/>
    <x v="3"/>
    <s v="FinA"/>
    <x v="6"/>
    <x v="7"/>
    <s v="GNR_RES_WTR_NOPMP_MC-09"/>
    <x v="0"/>
    <x v="1"/>
    <n v="156.94999999999999"/>
    <n v="57286.75"/>
    <n v="206232.3"/>
  </r>
  <r>
    <x v="0"/>
    <x v="0"/>
    <x v="0"/>
    <x v="2"/>
    <x v="3"/>
    <s v="FinA"/>
    <x v="6"/>
    <x v="7"/>
    <s v="GNR_RES_WTR_NOPMP_MC-09"/>
    <x v="0"/>
    <x v="2"/>
    <n v="156.94999999999999"/>
    <n v="57286.75"/>
    <n v="206232.3"/>
  </r>
  <r>
    <x v="0"/>
    <x v="0"/>
    <x v="0"/>
    <x v="2"/>
    <x v="3"/>
    <s v="FinA"/>
    <x v="6"/>
    <x v="7"/>
    <s v="GNR_RES_WTR_NOPMP_MC-09"/>
    <x v="0"/>
    <x v="9"/>
    <n v="156.94999999999999"/>
    <n v="57286.75"/>
    <n v="206232.3"/>
  </r>
  <r>
    <x v="0"/>
    <x v="0"/>
    <x v="0"/>
    <x v="2"/>
    <x v="3"/>
    <s v="FinA"/>
    <x v="6"/>
    <x v="7"/>
    <s v="GNR_RES_WTR_NOPMP_MC-09"/>
    <x v="0"/>
    <x v="10"/>
    <n v="156.94999999999999"/>
    <n v="57286.75"/>
    <n v="206232.3"/>
  </r>
  <r>
    <x v="0"/>
    <x v="0"/>
    <x v="0"/>
    <x v="2"/>
    <x v="3"/>
    <s v="FinA"/>
    <x v="6"/>
    <x v="4"/>
    <s v="GNR_ROR_WTR"/>
    <x v="0"/>
    <x v="3"/>
    <n v="920.44758476060997"/>
    <n v="335963.36843762302"/>
    <n v="1209468.12637544"/>
  </r>
  <r>
    <x v="0"/>
    <x v="0"/>
    <x v="0"/>
    <x v="2"/>
    <x v="3"/>
    <s v="FinA"/>
    <x v="6"/>
    <x v="4"/>
    <s v="GNR_ROR_WTR"/>
    <x v="0"/>
    <x v="4"/>
    <n v="920.44758476060997"/>
    <n v="335963.36843762302"/>
    <n v="1209468.12637544"/>
  </r>
  <r>
    <x v="0"/>
    <x v="0"/>
    <x v="0"/>
    <x v="2"/>
    <x v="3"/>
    <s v="FinA"/>
    <x v="6"/>
    <x v="4"/>
    <s v="GNR_ROR_WTR"/>
    <x v="0"/>
    <x v="5"/>
    <n v="920.44758476060997"/>
    <n v="335963.36843762302"/>
    <n v="1209468.12637544"/>
  </r>
  <r>
    <x v="0"/>
    <x v="0"/>
    <x v="0"/>
    <x v="2"/>
    <x v="3"/>
    <s v="FinA"/>
    <x v="6"/>
    <x v="4"/>
    <s v="GNR_ROR_WTR"/>
    <x v="0"/>
    <x v="6"/>
    <n v="920.44758476060997"/>
    <n v="335963.36843762302"/>
    <n v="1209468.12637544"/>
  </r>
  <r>
    <x v="0"/>
    <x v="0"/>
    <x v="0"/>
    <x v="2"/>
    <x v="3"/>
    <s v="FinA"/>
    <x v="6"/>
    <x v="4"/>
    <s v="GNR_ROR_WTR"/>
    <x v="0"/>
    <x v="7"/>
    <n v="920.44758476060997"/>
    <n v="335963.36843762302"/>
    <n v="1209468.12637544"/>
  </r>
  <r>
    <x v="0"/>
    <x v="0"/>
    <x v="0"/>
    <x v="2"/>
    <x v="3"/>
    <s v="FinA"/>
    <x v="6"/>
    <x v="4"/>
    <s v="GNR_ROR_WTR"/>
    <x v="0"/>
    <x v="8"/>
    <n v="920.44758476060997"/>
    <n v="335963.36843762302"/>
    <n v="1209468.12637544"/>
  </r>
  <r>
    <x v="0"/>
    <x v="0"/>
    <x v="0"/>
    <x v="2"/>
    <x v="3"/>
    <s v="FinA"/>
    <x v="6"/>
    <x v="4"/>
    <s v="GNR_ROR_WTR"/>
    <x v="0"/>
    <x v="0"/>
    <n v="920.44758476060997"/>
    <n v="335963.36843762302"/>
    <n v="1209468.12637544"/>
  </r>
  <r>
    <x v="0"/>
    <x v="0"/>
    <x v="0"/>
    <x v="2"/>
    <x v="3"/>
    <s v="FinA"/>
    <x v="6"/>
    <x v="4"/>
    <s v="GNR_ROR_WTR"/>
    <x v="0"/>
    <x v="1"/>
    <n v="920.44758476060997"/>
    <n v="335963.36843762302"/>
    <n v="1209468.12637544"/>
  </r>
  <r>
    <x v="0"/>
    <x v="0"/>
    <x v="0"/>
    <x v="2"/>
    <x v="3"/>
    <s v="FinA"/>
    <x v="6"/>
    <x v="4"/>
    <s v="GNR_ROR_WTR"/>
    <x v="0"/>
    <x v="2"/>
    <n v="920.44758476060997"/>
    <n v="335963.36843762302"/>
    <n v="1209468.12637544"/>
  </r>
  <r>
    <x v="0"/>
    <x v="0"/>
    <x v="0"/>
    <x v="2"/>
    <x v="3"/>
    <s v="FinA"/>
    <x v="6"/>
    <x v="4"/>
    <s v="GNR_ROR_WTR"/>
    <x v="0"/>
    <x v="9"/>
    <n v="920.44758476060997"/>
    <n v="335963.36843762302"/>
    <n v="1209468.12637544"/>
  </r>
  <r>
    <x v="0"/>
    <x v="0"/>
    <x v="0"/>
    <x v="2"/>
    <x v="3"/>
    <s v="FinA"/>
    <x v="6"/>
    <x v="4"/>
    <s v="GNR_ROR_WTR"/>
    <x v="0"/>
    <x v="10"/>
    <n v="920.44758476060997"/>
    <n v="335963.36843762302"/>
    <n v="1209468.12637544"/>
  </r>
  <r>
    <x v="0"/>
    <x v="0"/>
    <x v="0"/>
    <x v="2"/>
    <x v="3"/>
    <s v="FinA"/>
    <x v="6"/>
    <x v="4"/>
    <s v="GNR_ROR_WTR"/>
    <x v="0"/>
    <x v="11"/>
    <n v="920.44758476060997"/>
    <n v="335963.36843762302"/>
    <n v="1209468.12637544"/>
  </r>
  <r>
    <x v="0"/>
    <x v="0"/>
    <x v="0"/>
    <x v="2"/>
    <x v="3"/>
    <s v="FinA"/>
    <x v="6"/>
    <x v="4"/>
    <s v="GNR_ROR_WTR"/>
    <x v="0"/>
    <x v="12"/>
    <n v="920.44758476060997"/>
    <n v="335963.36843762302"/>
    <n v="1209468.12637544"/>
  </r>
  <r>
    <x v="0"/>
    <x v="0"/>
    <x v="0"/>
    <x v="2"/>
    <x v="3"/>
    <s v="FinA"/>
    <x v="6"/>
    <x v="4"/>
    <s v="GNR_ROR_WTR"/>
    <x v="0"/>
    <x v="13"/>
    <n v="920.44758476060997"/>
    <n v="335963.36843762302"/>
    <n v="1209468.12637544"/>
  </r>
  <r>
    <x v="0"/>
    <x v="0"/>
    <x v="0"/>
    <x v="2"/>
    <x v="3"/>
    <s v="FinA"/>
    <x v="6"/>
    <x v="4"/>
    <s v="GNR_ROR_WTR"/>
    <x v="0"/>
    <x v="14"/>
    <n v="920.44758476060997"/>
    <n v="335963.36843762302"/>
    <n v="1209468.12637544"/>
  </r>
  <r>
    <x v="0"/>
    <x v="0"/>
    <x v="0"/>
    <x v="2"/>
    <x v="3"/>
    <s v="FinA"/>
    <x v="6"/>
    <x v="4"/>
    <s v="GNR_ROR_WTR"/>
    <x v="0"/>
    <x v="15"/>
    <n v="920.44758476060997"/>
    <n v="335963.36843762302"/>
    <n v="1209468.12637544"/>
  </r>
  <r>
    <x v="0"/>
    <x v="0"/>
    <x v="0"/>
    <x v="2"/>
    <x v="3"/>
    <s v="FinA"/>
    <x v="6"/>
    <x v="4"/>
    <s v="GNR_ROR_WTR"/>
    <x v="0"/>
    <x v="16"/>
    <n v="920.44758476060997"/>
    <n v="335963.36843762302"/>
    <n v="1209468.12637544"/>
  </r>
  <r>
    <x v="0"/>
    <x v="0"/>
    <x v="0"/>
    <x v="2"/>
    <x v="3"/>
    <s v="FinA"/>
    <x v="6"/>
    <x v="4"/>
    <s v="GNR_ROR_WTR"/>
    <x v="0"/>
    <x v="17"/>
    <n v="920.44758476060997"/>
    <n v="335963.36843762302"/>
    <n v="1209468.12637544"/>
  </r>
  <r>
    <x v="0"/>
    <x v="0"/>
    <x v="0"/>
    <x v="2"/>
    <x v="3"/>
    <s v="FinA"/>
    <x v="6"/>
    <x v="4"/>
    <s v="GNR_ROR_WTR"/>
    <x v="0"/>
    <x v="18"/>
    <n v="920.44758476060997"/>
    <n v="335963.36843762302"/>
    <n v="1209468.12637544"/>
  </r>
  <r>
    <x v="0"/>
    <x v="0"/>
    <x v="0"/>
    <x v="2"/>
    <x v="3"/>
    <s v="FinA"/>
    <x v="6"/>
    <x v="4"/>
    <s v="GNR_ROR_WTR"/>
    <x v="0"/>
    <x v="19"/>
    <n v="920.44758476060997"/>
    <n v="335963.36843762302"/>
    <n v="1209468.12637544"/>
  </r>
  <r>
    <x v="0"/>
    <x v="0"/>
    <x v="0"/>
    <x v="2"/>
    <x v="3"/>
    <s v="FinA"/>
    <x v="6"/>
    <x v="4"/>
    <s v="GNR_ROR_WTR"/>
    <x v="0"/>
    <x v="20"/>
    <n v="920.44758476060997"/>
    <n v="335963.36843762302"/>
    <n v="1209468.12637544"/>
  </r>
  <r>
    <x v="0"/>
    <x v="0"/>
    <x v="0"/>
    <x v="2"/>
    <x v="3"/>
    <s v="FinA"/>
    <x v="6"/>
    <x v="4"/>
    <s v="GNR_ROR_WTR"/>
    <x v="0"/>
    <x v="21"/>
    <n v="920.44758476060997"/>
    <n v="335963.36843762302"/>
    <n v="1209468.12637544"/>
  </r>
  <r>
    <x v="0"/>
    <x v="0"/>
    <x v="0"/>
    <x v="2"/>
    <x v="3"/>
    <s v="FinA"/>
    <x v="6"/>
    <x v="4"/>
    <s v="GNR_ROR_WTR"/>
    <x v="0"/>
    <x v="22"/>
    <n v="920.44758476060997"/>
    <n v="335963.36843762302"/>
    <n v="1209468.12637544"/>
  </r>
  <r>
    <x v="0"/>
    <x v="0"/>
    <x v="0"/>
    <x v="2"/>
    <x v="3"/>
    <s v="FinA"/>
    <x v="6"/>
    <x v="4"/>
    <s v="GNR_ROR_WTR"/>
    <x v="0"/>
    <x v="23"/>
    <n v="920.44758476060997"/>
    <n v="335963.36843762302"/>
    <n v="1209468.12637544"/>
  </r>
  <r>
    <x v="0"/>
    <x v="0"/>
    <x v="0"/>
    <x v="2"/>
    <x v="3"/>
    <s v="FinA"/>
    <x v="7"/>
    <x v="5"/>
    <s v="GNR_WT_WIND_ONS"/>
    <x v="0"/>
    <x v="3"/>
    <n v="411.74149233805298"/>
    <n v="150285.644703389"/>
    <n v="541028.32093220204"/>
  </r>
  <r>
    <x v="0"/>
    <x v="0"/>
    <x v="0"/>
    <x v="2"/>
    <x v="3"/>
    <s v="FinA"/>
    <x v="7"/>
    <x v="5"/>
    <s v="GNR_WT_WIND_ONS"/>
    <x v="0"/>
    <x v="4"/>
    <n v="380.51871296754302"/>
    <n v="138889.33023315301"/>
    <n v="500001.58883935102"/>
  </r>
  <r>
    <x v="0"/>
    <x v="0"/>
    <x v="0"/>
    <x v="2"/>
    <x v="3"/>
    <s v="FinA"/>
    <x v="7"/>
    <x v="5"/>
    <s v="GNR_WT_WIND_ONS"/>
    <x v="0"/>
    <x v="5"/>
    <n v="389.78574794052503"/>
    <n v="142271.79799829199"/>
    <n v="512178.47279385"/>
  </r>
  <r>
    <x v="0"/>
    <x v="0"/>
    <x v="0"/>
    <x v="2"/>
    <x v="3"/>
    <s v="FinA"/>
    <x v="7"/>
    <x v="5"/>
    <s v="GNR_WT_WIND_ONS"/>
    <x v="0"/>
    <x v="6"/>
    <n v="289.82397289129898"/>
    <n v="105785.750105324"/>
    <n v="380828.70037916698"/>
  </r>
  <r>
    <x v="0"/>
    <x v="0"/>
    <x v="0"/>
    <x v="2"/>
    <x v="3"/>
    <s v="FinA"/>
    <x v="7"/>
    <x v="5"/>
    <s v="GNR_WT_WIND_ONS"/>
    <x v="0"/>
    <x v="7"/>
    <n v="286.89110907567402"/>
    <n v="104715.254812621"/>
    <n v="376974.91732543497"/>
  </r>
  <r>
    <x v="0"/>
    <x v="0"/>
    <x v="0"/>
    <x v="2"/>
    <x v="3"/>
    <s v="FinA"/>
    <x v="7"/>
    <x v="5"/>
    <s v="GNR_WT_WIND_ONS"/>
    <x v="0"/>
    <x v="8"/>
    <n v="334.46867764026098"/>
    <n v="122081.06733869499"/>
    <n v="439491.84241930197"/>
  </r>
  <r>
    <x v="0"/>
    <x v="0"/>
    <x v="0"/>
    <x v="2"/>
    <x v="3"/>
    <s v="FinA"/>
    <x v="7"/>
    <x v="5"/>
    <s v="GNR_WT_WIND_ONS"/>
    <x v="0"/>
    <x v="0"/>
    <n v="380.84458672483402"/>
    <n v="139008.27415456501"/>
    <n v="500429.78695643198"/>
  </r>
  <r>
    <x v="0"/>
    <x v="0"/>
    <x v="0"/>
    <x v="2"/>
    <x v="3"/>
    <s v="FinA"/>
    <x v="7"/>
    <x v="5"/>
    <s v="GNR_WT_WIND_ONS"/>
    <x v="0"/>
    <x v="1"/>
    <n v="371.74048863049802"/>
    <n v="135685.27835013199"/>
    <n v="488467.00206047401"/>
  </r>
  <r>
    <x v="0"/>
    <x v="0"/>
    <x v="0"/>
    <x v="2"/>
    <x v="3"/>
    <s v="FinA"/>
    <x v="7"/>
    <x v="5"/>
    <s v="GNR_WT_WIND_ONS"/>
    <x v="0"/>
    <x v="2"/>
    <n v="366.03769787789298"/>
    <n v="133603.75972543101"/>
    <n v="480973.53501155198"/>
  </r>
  <r>
    <x v="0"/>
    <x v="0"/>
    <x v="0"/>
    <x v="2"/>
    <x v="3"/>
    <s v="FinA"/>
    <x v="7"/>
    <x v="5"/>
    <s v="GNR_WT_WIND_ONS"/>
    <x v="0"/>
    <x v="9"/>
    <n v="345.263245850548"/>
    <n v="126021.08473545"/>
    <n v="453675.90504762001"/>
  </r>
  <r>
    <x v="0"/>
    <x v="0"/>
    <x v="0"/>
    <x v="2"/>
    <x v="3"/>
    <s v="FinA"/>
    <x v="7"/>
    <x v="5"/>
    <s v="GNR_WT_WIND_ONS"/>
    <x v="0"/>
    <x v="10"/>
    <n v="291.43297456792601"/>
    <n v="106373.03571729299"/>
    <n v="382942.92858225497"/>
  </r>
  <r>
    <x v="0"/>
    <x v="0"/>
    <x v="0"/>
    <x v="2"/>
    <x v="3"/>
    <s v="FinA"/>
    <x v="7"/>
    <x v="5"/>
    <s v="GNR_WT_WIND_ONS"/>
    <x v="0"/>
    <x v="11"/>
    <n v="377.97282423870098"/>
    <n v="137960.080847126"/>
    <n v="496656.29104965401"/>
  </r>
  <r>
    <x v="0"/>
    <x v="0"/>
    <x v="0"/>
    <x v="2"/>
    <x v="3"/>
    <s v="FinA"/>
    <x v="7"/>
    <x v="5"/>
    <s v="GNR_WT_WIND_ONS"/>
    <x v="0"/>
    <x v="12"/>
    <n v="353.02311469605598"/>
    <n v="128853.436864061"/>
    <n v="463872.37271061802"/>
  </r>
  <r>
    <x v="0"/>
    <x v="0"/>
    <x v="0"/>
    <x v="2"/>
    <x v="3"/>
    <s v="FinA"/>
    <x v="7"/>
    <x v="5"/>
    <s v="GNR_WT_WIND_ONS"/>
    <x v="0"/>
    <x v="13"/>
    <n v="344.08195348036497"/>
    <n v="125589.913020333"/>
    <n v="452123.6868732"/>
  </r>
  <r>
    <x v="0"/>
    <x v="0"/>
    <x v="0"/>
    <x v="2"/>
    <x v="3"/>
    <s v="FinA"/>
    <x v="7"/>
    <x v="5"/>
    <s v="GNR_WT_WIND_ONS"/>
    <x v="0"/>
    <x v="14"/>
    <n v="335.71107133993502"/>
    <n v="122534.54103907599"/>
    <n v="441124.34774067497"/>
  </r>
  <r>
    <x v="0"/>
    <x v="0"/>
    <x v="0"/>
    <x v="2"/>
    <x v="3"/>
    <s v="FinA"/>
    <x v="7"/>
    <x v="5"/>
    <s v="GNR_WT_WIND_ONS"/>
    <x v="0"/>
    <x v="15"/>
    <n v="351.49558145875102"/>
    <n v="128295.887232444"/>
    <n v="461865.19403679902"/>
  </r>
  <r>
    <x v="0"/>
    <x v="0"/>
    <x v="0"/>
    <x v="2"/>
    <x v="3"/>
    <s v="FinA"/>
    <x v="7"/>
    <x v="5"/>
    <s v="GNR_WT_WIND_ONS"/>
    <x v="0"/>
    <x v="16"/>
    <n v="393.73696724768701"/>
    <n v="143713.99304540601"/>
    <n v="517370.37496346101"/>
  </r>
  <r>
    <x v="0"/>
    <x v="0"/>
    <x v="0"/>
    <x v="2"/>
    <x v="3"/>
    <s v="FinA"/>
    <x v="7"/>
    <x v="5"/>
    <s v="GNR_WT_WIND_ONS"/>
    <x v="0"/>
    <x v="17"/>
    <n v="421.25293262900402"/>
    <n v="153757.320409587"/>
    <n v="553526.353474512"/>
  </r>
  <r>
    <x v="0"/>
    <x v="0"/>
    <x v="0"/>
    <x v="2"/>
    <x v="3"/>
    <s v="FinA"/>
    <x v="7"/>
    <x v="5"/>
    <s v="GNR_WT_WIND_ONS"/>
    <x v="0"/>
    <x v="18"/>
    <n v="373.06435076949498"/>
    <n v="136168.48803086599"/>
    <n v="490206.55691111699"/>
  </r>
  <r>
    <x v="0"/>
    <x v="0"/>
    <x v="0"/>
    <x v="2"/>
    <x v="3"/>
    <s v="FinA"/>
    <x v="7"/>
    <x v="5"/>
    <s v="GNR_WT_WIND_ONS"/>
    <x v="0"/>
    <x v="19"/>
    <n v="267.236848089018"/>
    <n v="97541.4495524917"/>
    <n v="351149.21838897001"/>
  </r>
  <r>
    <x v="0"/>
    <x v="0"/>
    <x v="0"/>
    <x v="2"/>
    <x v="3"/>
    <s v="FinA"/>
    <x v="7"/>
    <x v="5"/>
    <s v="GNR_WT_WIND_ONS"/>
    <x v="0"/>
    <x v="20"/>
    <n v="294.91575034898102"/>
    <n v="107644.24887737801"/>
    <n v="387519.295958562"/>
  </r>
  <r>
    <x v="0"/>
    <x v="0"/>
    <x v="0"/>
    <x v="2"/>
    <x v="3"/>
    <s v="FinA"/>
    <x v="7"/>
    <x v="5"/>
    <s v="GNR_WT_WIND_ONS"/>
    <x v="0"/>
    <x v="21"/>
    <n v="285.38394294819898"/>
    <n v="104165.139176093"/>
    <n v="374994.50103393401"/>
  </r>
  <r>
    <x v="0"/>
    <x v="0"/>
    <x v="0"/>
    <x v="2"/>
    <x v="3"/>
    <s v="FinA"/>
    <x v="7"/>
    <x v="5"/>
    <s v="GNR_WT_WIND_ONS"/>
    <x v="0"/>
    <x v="22"/>
    <n v="257.92907889637399"/>
    <n v="94144.1137971766"/>
    <n v="338918.80966983602"/>
  </r>
  <r>
    <x v="0"/>
    <x v="0"/>
    <x v="0"/>
    <x v="2"/>
    <x v="3"/>
    <s v="FinA"/>
    <x v="7"/>
    <x v="5"/>
    <s v="GNR_WT_WIND_ONS"/>
    <x v="0"/>
    <x v="23"/>
    <n v="227.093274612648"/>
    <n v="82889.045233616504"/>
    <n v="298400.56284101901"/>
  </r>
  <r>
    <x v="0"/>
    <x v="0"/>
    <x v="0"/>
    <x v="2"/>
    <x v="3"/>
    <s v="FinA"/>
    <x v="11"/>
    <x v="1"/>
    <s v="GBPR_IND_BIO"/>
    <x v="0"/>
    <x v="0"/>
    <n v="300"/>
    <n v="109500"/>
    <n v="394200"/>
  </r>
  <r>
    <x v="0"/>
    <x v="0"/>
    <x v="0"/>
    <x v="2"/>
    <x v="3"/>
    <s v="FinA"/>
    <x v="11"/>
    <x v="1"/>
    <s v="GBPR_IND_BIO"/>
    <x v="0"/>
    <x v="1"/>
    <n v="300"/>
    <n v="109500"/>
    <n v="394200"/>
  </r>
  <r>
    <x v="0"/>
    <x v="0"/>
    <x v="0"/>
    <x v="2"/>
    <x v="3"/>
    <s v="FinA"/>
    <x v="11"/>
    <x v="1"/>
    <s v="GBPR_IND_BIO"/>
    <x v="0"/>
    <x v="2"/>
    <n v="300"/>
    <n v="109500"/>
    <n v="394200"/>
  </r>
  <r>
    <x v="0"/>
    <x v="0"/>
    <x v="0"/>
    <x v="2"/>
    <x v="3"/>
    <s v="FinA"/>
    <x v="11"/>
    <x v="1"/>
    <s v="GBPR_IND_BIO"/>
    <x v="0"/>
    <x v="9"/>
    <n v="300"/>
    <n v="109500"/>
    <n v="394200"/>
  </r>
  <r>
    <x v="0"/>
    <x v="0"/>
    <x v="0"/>
    <x v="2"/>
    <x v="3"/>
    <s v="FinA"/>
    <x v="11"/>
    <x v="1"/>
    <s v="GBPR_IND_BIO"/>
    <x v="0"/>
    <x v="10"/>
    <n v="300"/>
    <n v="109500"/>
    <n v="394200"/>
  </r>
  <r>
    <x v="0"/>
    <x v="0"/>
    <x v="0"/>
    <x v="2"/>
    <x v="3"/>
    <s v="FinA"/>
    <x v="11"/>
    <x v="1"/>
    <s v="GBPR_IND_BIO"/>
    <x v="0"/>
    <x v="11"/>
    <n v="300"/>
    <n v="109500"/>
    <n v="394200"/>
  </r>
  <r>
    <x v="0"/>
    <x v="0"/>
    <x v="0"/>
    <x v="2"/>
    <x v="3"/>
    <s v="FinA"/>
    <x v="11"/>
    <x v="1"/>
    <s v="GBPR_IND_BIO"/>
    <x v="0"/>
    <x v="12"/>
    <n v="300"/>
    <n v="109500"/>
    <n v="394200"/>
  </r>
  <r>
    <x v="0"/>
    <x v="0"/>
    <x v="0"/>
    <x v="2"/>
    <x v="3"/>
    <s v="FinA"/>
    <x v="11"/>
    <x v="1"/>
    <s v="GBPR_IND_BIO"/>
    <x v="0"/>
    <x v="13"/>
    <n v="300"/>
    <n v="109500"/>
    <n v="394200"/>
  </r>
  <r>
    <x v="0"/>
    <x v="0"/>
    <x v="0"/>
    <x v="2"/>
    <x v="3"/>
    <s v="FinA"/>
    <x v="11"/>
    <x v="1"/>
    <s v="GBPR_IND_BIO"/>
    <x v="0"/>
    <x v="14"/>
    <n v="300"/>
    <n v="109500"/>
    <n v="394200"/>
  </r>
  <r>
    <x v="0"/>
    <x v="0"/>
    <x v="0"/>
    <x v="2"/>
    <x v="3"/>
    <s v="FinA"/>
    <x v="11"/>
    <x v="1"/>
    <s v="GBPR_IND_BIO"/>
    <x v="0"/>
    <x v="15"/>
    <n v="300"/>
    <n v="109500"/>
    <n v="394200"/>
  </r>
  <r>
    <x v="0"/>
    <x v="0"/>
    <x v="0"/>
    <x v="2"/>
    <x v="3"/>
    <s v="FinA"/>
    <x v="11"/>
    <x v="1"/>
    <s v="GBPR_IND_BIO"/>
    <x v="0"/>
    <x v="16"/>
    <n v="300"/>
    <n v="109500"/>
    <n v="394200"/>
  </r>
  <r>
    <x v="0"/>
    <x v="0"/>
    <x v="0"/>
    <x v="2"/>
    <x v="3"/>
    <s v="FinA"/>
    <x v="11"/>
    <x v="1"/>
    <s v="GBPR_IND_BIO"/>
    <x v="0"/>
    <x v="17"/>
    <n v="300"/>
    <n v="109500"/>
    <n v="394200"/>
  </r>
  <r>
    <x v="0"/>
    <x v="0"/>
    <x v="0"/>
    <x v="2"/>
    <x v="3"/>
    <s v="FinA"/>
    <x v="11"/>
    <x v="1"/>
    <s v="GBPR_IND_BIO"/>
    <x v="0"/>
    <x v="18"/>
    <n v="300"/>
    <n v="109500"/>
    <n v="394200"/>
  </r>
  <r>
    <x v="0"/>
    <x v="0"/>
    <x v="0"/>
    <x v="2"/>
    <x v="3"/>
    <s v="FinA"/>
    <x v="11"/>
    <x v="1"/>
    <s v="GBPR_IND_BIO"/>
    <x v="0"/>
    <x v="19"/>
    <n v="300"/>
    <n v="109500"/>
    <n v="394200"/>
  </r>
  <r>
    <x v="0"/>
    <x v="0"/>
    <x v="0"/>
    <x v="2"/>
    <x v="3"/>
    <s v="FinA"/>
    <x v="11"/>
    <x v="1"/>
    <s v="GBPR_WOOD_IND"/>
    <x v="0"/>
    <x v="3"/>
    <n v="696.55331009361601"/>
    <n v="254241.95818417001"/>
    <n v="915271.04946301098"/>
  </r>
  <r>
    <x v="0"/>
    <x v="0"/>
    <x v="0"/>
    <x v="2"/>
    <x v="3"/>
    <s v="FinA"/>
    <x v="11"/>
    <x v="1"/>
    <s v="GBPR_WOOD_IND"/>
    <x v="0"/>
    <x v="4"/>
    <n v="151.97834196940201"/>
    <n v="55472.0948188318"/>
    <n v="199699.541347794"/>
  </r>
  <r>
    <x v="0"/>
    <x v="0"/>
    <x v="0"/>
    <x v="2"/>
    <x v="3"/>
    <s v="FinA"/>
    <x v="11"/>
    <x v="1"/>
    <s v="GBPR_WOOD_IND"/>
    <x v="0"/>
    <x v="5"/>
    <n v="71.457159195959093"/>
    <n v="26081.863106525099"/>
    <n v="93894.707183490304"/>
  </r>
  <r>
    <x v="0"/>
    <x v="0"/>
    <x v="0"/>
    <x v="2"/>
    <x v="3"/>
    <s v="FinA"/>
    <x v="11"/>
    <x v="1"/>
    <s v="GBPR_WOOD_IND"/>
    <x v="0"/>
    <x v="6"/>
    <n v="236.66833083607"/>
    <n v="86383.940755165706"/>
    <n v="310982.18671859603"/>
  </r>
  <r>
    <x v="0"/>
    <x v="0"/>
    <x v="0"/>
    <x v="2"/>
    <x v="3"/>
    <s v="FinA"/>
    <x v="11"/>
    <x v="1"/>
    <s v="GBPR_WOOD_IND"/>
    <x v="0"/>
    <x v="7"/>
    <n v="1124.54256075592"/>
    <n v="410458.03467591002"/>
    <n v="1477648.92483328"/>
  </r>
  <r>
    <x v="0"/>
    <x v="0"/>
    <x v="0"/>
    <x v="2"/>
    <x v="3"/>
    <s v="FinA"/>
    <x v="11"/>
    <x v="1"/>
    <s v="GBPR_WOOD_IND"/>
    <x v="0"/>
    <x v="8"/>
    <n v="1847"/>
    <n v="674155"/>
    <n v="2426958"/>
  </r>
  <r>
    <x v="0"/>
    <x v="0"/>
    <x v="0"/>
    <x v="2"/>
    <x v="3"/>
    <s v="FinA"/>
    <x v="11"/>
    <x v="1"/>
    <s v="GBPR_WOOD_IND"/>
    <x v="0"/>
    <x v="0"/>
    <n v="1847"/>
    <n v="674155"/>
    <n v="2426958"/>
  </r>
  <r>
    <x v="0"/>
    <x v="0"/>
    <x v="0"/>
    <x v="2"/>
    <x v="3"/>
    <s v="FinA"/>
    <x v="11"/>
    <x v="1"/>
    <s v="GBPR_WOOD_IND"/>
    <x v="0"/>
    <x v="1"/>
    <n v="1847"/>
    <n v="674155"/>
    <n v="2426958"/>
  </r>
  <r>
    <x v="0"/>
    <x v="0"/>
    <x v="0"/>
    <x v="2"/>
    <x v="3"/>
    <s v="FinA"/>
    <x v="11"/>
    <x v="1"/>
    <s v="GBPR_WOOD_IND"/>
    <x v="0"/>
    <x v="2"/>
    <n v="1847"/>
    <n v="674155"/>
    <n v="2426958"/>
  </r>
  <r>
    <x v="0"/>
    <x v="0"/>
    <x v="0"/>
    <x v="2"/>
    <x v="3"/>
    <s v="FinA"/>
    <x v="11"/>
    <x v="1"/>
    <s v="GBPR_WOOD_IND"/>
    <x v="0"/>
    <x v="9"/>
    <n v="1847"/>
    <n v="674155"/>
    <n v="2426958"/>
  </r>
  <r>
    <x v="0"/>
    <x v="0"/>
    <x v="0"/>
    <x v="2"/>
    <x v="3"/>
    <s v="FinA"/>
    <x v="11"/>
    <x v="1"/>
    <s v="GBPR_WOOD_IND"/>
    <x v="0"/>
    <x v="10"/>
    <n v="1847"/>
    <n v="674155"/>
    <n v="2426958"/>
  </r>
  <r>
    <x v="0"/>
    <x v="0"/>
    <x v="0"/>
    <x v="2"/>
    <x v="3"/>
    <s v="FinA"/>
    <x v="11"/>
    <x v="1"/>
    <s v="GBPR_WOOD_IND"/>
    <x v="0"/>
    <x v="11"/>
    <n v="1847"/>
    <n v="674155"/>
    <n v="2426958"/>
  </r>
  <r>
    <x v="0"/>
    <x v="0"/>
    <x v="0"/>
    <x v="2"/>
    <x v="3"/>
    <s v="FinA"/>
    <x v="11"/>
    <x v="1"/>
    <s v="GBPR_WOOD_IND"/>
    <x v="0"/>
    <x v="12"/>
    <n v="1847"/>
    <n v="674155"/>
    <n v="2426958"/>
  </r>
  <r>
    <x v="0"/>
    <x v="0"/>
    <x v="0"/>
    <x v="2"/>
    <x v="3"/>
    <s v="FinA"/>
    <x v="11"/>
    <x v="1"/>
    <s v="GBPR_WOOD_IND"/>
    <x v="0"/>
    <x v="13"/>
    <n v="1847"/>
    <n v="674155"/>
    <n v="2426958"/>
  </r>
  <r>
    <x v="0"/>
    <x v="0"/>
    <x v="0"/>
    <x v="2"/>
    <x v="3"/>
    <s v="FinA"/>
    <x v="11"/>
    <x v="1"/>
    <s v="GBPR_WOOD_IND"/>
    <x v="0"/>
    <x v="14"/>
    <n v="1847"/>
    <n v="674155"/>
    <n v="2426958"/>
  </r>
  <r>
    <x v="0"/>
    <x v="0"/>
    <x v="0"/>
    <x v="2"/>
    <x v="3"/>
    <s v="FinA"/>
    <x v="11"/>
    <x v="1"/>
    <s v="GBPR_WOOD_IND"/>
    <x v="0"/>
    <x v="15"/>
    <n v="1847"/>
    <n v="674155"/>
    <n v="2426958"/>
  </r>
  <r>
    <x v="0"/>
    <x v="0"/>
    <x v="0"/>
    <x v="2"/>
    <x v="3"/>
    <s v="FinA"/>
    <x v="11"/>
    <x v="1"/>
    <s v="GBPR_WOOD_IND"/>
    <x v="0"/>
    <x v="16"/>
    <n v="1847"/>
    <n v="674155"/>
    <n v="2426958"/>
  </r>
  <r>
    <x v="0"/>
    <x v="0"/>
    <x v="0"/>
    <x v="2"/>
    <x v="3"/>
    <s v="FinA"/>
    <x v="11"/>
    <x v="1"/>
    <s v="GBPR_WOOD_IND"/>
    <x v="0"/>
    <x v="17"/>
    <n v="1847"/>
    <n v="674155"/>
    <n v="2426958"/>
  </r>
  <r>
    <x v="0"/>
    <x v="0"/>
    <x v="0"/>
    <x v="2"/>
    <x v="3"/>
    <s v="FinA"/>
    <x v="11"/>
    <x v="1"/>
    <s v="GBPR_WOOD_IND"/>
    <x v="0"/>
    <x v="18"/>
    <n v="1847"/>
    <n v="674155"/>
    <n v="2426958"/>
  </r>
  <r>
    <x v="0"/>
    <x v="0"/>
    <x v="0"/>
    <x v="2"/>
    <x v="3"/>
    <s v="FinA"/>
    <x v="11"/>
    <x v="1"/>
    <s v="GBPR_WOOD_IND"/>
    <x v="0"/>
    <x v="19"/>
    <n v="1847"/>
    <n v="674155"/>
    <n v="2426958"/>
  </r>
  <r>
    <x v="0"/>
    <x v="0"/>
    <x v="0"/>
    <x v="2"/>
    <x v="3"/>
    <s v="FinA"/>
    <x v="11"/>
    <x v="1"/>
    <s v="GBPR_WOOD_IND"/>
    <x v="0"/>
    <x v="20"/>
    <n v="1847"/>
    <n v="674155"/>
    <n v="2426958"/>
  </r>
  <r>
    <x v="0"/>
    <x v="0"/>
    <x v="0"/>
    <x v="2"/>
    <x v="3"/>
    <s v="FinA"/>
    <x v="11"/>
    <x v="1"/>
    <s v="GBPR_WOOD_IND"/>
    <x v="0"/>
    <x v="21"/>
    <n v="1847"/>
    <n v="674155"/>
    <n v="2426958"/>
  </r>
  <r>
    <x v="0"/>
    <x v="0"/>
    <x v="0"/>
    <x v="2"/>
    <x v="3"/>
    <s v="FinA"/>
    <x v="11"/>
    <x v="1"/>
    <s v="GBPR_WOOD_IND"/>
    <x v="0"/>
    <x v="22"/>
    <n v="1407.6601189215"/>
    <n v="513795.943406348"/>
    <n v="1849665.3962628499"/>
  </r>
  <r>
    <x v="0"/>
    <x v="0"/>
    <x v="0"/>
    <x v="2"/>
    <x v="3"/>
    <s v="FinA"/>
    <x v="11"/>
    <x v="1"/>
    <s v="GBPR_WOOD_IND"/>
    <x v="0"/>
    <x v="23"/>
    <n v="872.08282787939197"/>
    <n v="318310.23217597802"/>
    <n v="1145916.8358335199"/>
  </r>
  <r>
    <x v="0"/>
    <x v="0"/>
    <x v="0"/>
    <x v="2"/>
    <x v="3"/>
    <s v="FinA"/>
    <x v="11"/>
    <x v="2"/>
    <s v="GCND_COFIRING"/>
    <x v="0"/>
    <x v="3"/>
    <n v="325.375"/>
    <n v="118761.875"/>
    <n v="427542.75"/>
  </r>
  <r>
    <x v="0"/>
    <x v="0"/>
    <x v="0"/>
    <x v="2"/>
    <x v="3"/>
    <s v="FinA"/>
    <x v="11"/>
    <x v="2"/>
    <s v="GCND_COFIRING"/>
    <x v="0"/>
    <x v="4"/>
    <n v="325.375"/>
    <n v="118761.875"/>
    <n v="427542.75"/>
  </r>
  <r>
    <x v="0"/>
    <x v="0"/>
    <x v="0"/>
    <x v="2"/>
    <x v="3"/>
    <s v="FinA"/>
    <x v="11"/>
    <x v="2"/>
    <s v="GCND_COFIRING"/>
    <x v="0"/>
    <x v="5"/>
    <n v="325.375"/>
    <n v="118761.875"/>
    <n v="427542.75"/>
  </r>
  <r>
    <x v="0"/>
    <x v="0"/>
    <x v="0"/>
    <x v="2"/>
    <x v="3"/>
    <s v="FinA"/>
    <x v="11"/>
    <x v="2"/>
    <s v="GCND_COFIRING"/>
    <x v="0"/>
    <x v="6"/>
    <n v="325.375"/>
    <n v="118761.875"/>
    <n v="427542.75"/>
  </r>
  <r>
    <x v="0"/>
    <x v="0"/>
    <x v="0"/>
    <x v="2"/>
    <x v="3"/>
    <s v="FinA"/>
    <x v="11"/>
    <x v="2"/>
    <s v="GCND_COFIRING"/>
    <x v="0"/>
    <x v="7"/>
    <n v="325.375"/>
    <n v="118761.875"/>
    <n v="427542.75"/>
  </r>
  <r>
    <x v="0"/>
    <x v="0"/>
    <x v="0"/>
    <x v="2"/>
    <x v="3"/>
    <s v="FinA"/>
    <x v="11"/>
    <x v="2"/>
    <s v="GCND_COFIRING"/>
    <x v="0"/>
    <x v="8"/>
    <n v="325.375"/>
    <n v="118761.875"/>
    <n v="427542.75"/>
  </r>
  <r>
    <x v="0"/>
    <x v="0"/>
    <x v="0"/>
    <x v="2"/>
    <x v="3"/>
    <s v="FinA"/>
    <x v="11"/>
    <x v="2"/>
    <s v="GCND_COFIRING"/>
    <x v="0"/>
    <x v="0"/>
    <n v="325.375"/>
    <n v="118761.875"/>
    <n v="427542.75"/>
  </r>
  <r>
    <x v="0"/>
    <x v="0"/>
    <x v="0"/>
    <x v="2"/>
    <x v="3"/>
    <s v="FinA"/>
    <x v="11"/>
    <x v="2"/>
    <s v="GCND_COFIRING"/>
    <x v="0"/>
    <x v="1"/>
    <n v="325.375"/>
    <n v="118761.875"/>
    <n v="427542.75"/>
  </r>
  <r>
    <x v="0"/>
    <x v="0"/>
    <x v="0"/>
    <x v="2"/>
    <x v="3"/>
    <s v="FinA"/>
    <x v="11"/>
    <x v="2"/>
    <s v="GCND_COFIRING"/>
    <x v="0"/>
    <x v="2"/>
    <n v="325.375"/>
    <n v="118761.875"/>
    <n v="427542.75"/>
  </r>
  <r>
    <x v="0"/>
    <x v="0"/>
    <x v="0"/>
    <x v="2"/>
    <x v="3"/>
    <s v="FinA"/>
    <x v="11"/>
    <x v="2"/>
    <s v="GCND_COFIRING"/>
    <x v="0"/>
    <x v="9"/>
    <n v="325.375"/>
    <n v="118761.875"/>
    <n v="427542.75"/>
  </r>
  <r>
    <x v="0"/>
    <x v="0"/>
    <x v="0"/>
    <x v="2"/>
    <x v="3"/>
    <s v="FinA"/>
    <x v="11"/>
    <x v="2"/>
    <s v="GCND_COFIRING"/>
    <x v="0"/>
    <x v="10"/>
    <n v="325.375"/>
    <n v="118761.875"/>
    <n v="427542.75"/>
  </r>
  <r>
    <x v="0"/>
    <x v="0"/>
    <x v="0"/>
    <x v="2"/>
    <x v="3"/>
    <s v="FinA"/>
    <x v="11"/>
    <x v="2"/>
    <s v="GCND_COFIRING"/>
    <x v="0"/>
    <x v="11"/>
    <n v="325.375"/>
    <n v="118761.875"/>
    <n v="427542.75"/>
  </r>
  <r>
    <x v="0"/>
    <x v="0"/>
    <x v="0"/>
    <x v="2"/>
    <x v="3"/>
    <s v="FinA"/>
    <x v="11"/>
    <x v="2"/>
    <s v="GCND_COFIRING"/>
    <x v="0"/>
    <x v="12"/>
    <n v="325.375"/>
    <n v="118761.875"/>
    <n v="427542.75"/>
  </r>
  <r>
    <x v="0"/>
    <x v="0"/>
    <x v="0"/>
    <x v="2"/>
    <x v="3"/>
    <s v="FinA"/>
    <x v="11"/>
    <x v="2"/>
    <s v="GCND_COFIRING"/>
    <x v="0"/>
    <x v="13"/>
    <n v="325.375"/>
    <n v="118761.875"/>
    <n v="427542.75"/>
  </r>
  <r>
    <x v="0"/>
    <x v="0"/>
    <x v="0"/>
    <x v="2"/>
    <x v="3"/>
    <s v="FinA"/>
    <x v="11"/>
    <x v="2"/>
    <s v="GCND_COFIRING"/>
    <x v="0"/>
    <x v="14"/>
    <n v="325.375"/>
    <n v="118761.875"/>
    <n v="427542.75"/>
  </r>
  <r>
    <x v="0"/>
    <x v="0"/>
    <x v="0"/>
    <x v="2"/>
    <x v="3"/>
    <s v="FinA"/>
    <x v="11"/>
    <x v="2"/>
    <s v="GCND_COFIRING"/>
    <x v="0"/>
    <x v="15"/>
    <n v="325.375"/>
    <n v="118761.875"/>
    <n v="427542.75"/>
  </r>
  <r>
    <x v="0"/>
    <x v="0"/>
    <x v="0"/>
    <x v="2"/>
    <x v="3"/>
    <s v="FinA"/>
    <x v="11"/>
    <x v="2"/>
    <s v="GCND_COFIRING"/>
    <x v="0"/>
    <x v="16"/>
    <n v="325.375"/>
    <n v="118761.875"/>
    <n v="427542.75"/>
  </r>
  <r>
    <x v="0"/>
    <x v="0"/>
    <x v="0"/>
    <x v="2"/>
    <x v="3"/>
    <s v="FinA"/>
    <x v="11"/>
    <x v="2"/>
    <s v="GCND_COFIRING"/>
    <x v="0"/>
    <x v="17"/>
    <n v="325.375"/>
    <n v="118761.875"/>
    <n v="427542.75"/>
  </r>
  <r>
    <x v="0"/>
    <x v="0"/>
    <x v="0"/>
    <x v="2"/>
    <x v="3"/>
    <s v="FinA"/>
    <x v="11"/>
    <x v="2"/>
    <s v="GCND_COFIRING"/>
    <x v="0"/>
    <x v="18"/>
    <n v="325.375"/>
    <n v="118761.875"/>
    <n v="427542.75"/>
  </r>
  <r>
    <x v="0"/>
    <x v="0"/>
    <x v="0"/>
    <x v="2"/>
    <x v="3"/>
    <s v="FinA"/>
    <x v="11"/>
    <x v="2"/>
    <s v="GCND_COFIRING"/>
    <x v="0"/>
    <x v="19"/>
    <n v="325.375"/>
    <n v="118761.875"/>
    <n v="427542.75"/>
  </r>
  <r>
    <x v="0"/>
    <x v="0"/>
    <x v="0"/>
    <x v="2"/>
    <x v="3"/>
    <s v="FinA"/>
    <x v="11"/>
    <x v="2"/>
    <s v="GCND_COFIRING"/>
    <x v="0"/>
    <x v="20"/>
    <n v="325.375"/>
    <n v="118761.875"/>
    <n v="427542.75"/>
  </r>
  <r>
    <x v="0"/>
    <x v="0"/>
    <x v="0"/>
    <x v="2"/>
    <x v="3"/>
    <s v="FinA"/>
    <x v="11"/>
    <x v="2"/>
    <s v="GCND_COFIRING"/>
    <x v="0"/>
    <x v="21"/>
    <n v="325.375"/>
    <n v="118761.875"/>
    <n v="427542.75"/>
  </r>
  <r>
    <x v="0"/>
    <x v="0"/>
    <x v="0"/>
    <x v="2"/>
    <x v="3"/>
    <s v="FinA"/>
    <x v="11"/>
    <x v="2"/>
    <s v="GCND_COFIRING"/>
    <x v="0"/>
    <x v="22"/>
    <n v="325.375"/>
    <n v="118761.875"/>
    <n v="427542.75"/>
  </r>
  <r>
    <x v="0"/>
    <x v="0"/>
    <x v="0"/>
    <x v="2"/>
    <x v="3"/>
    <s v="FinA"/>
    <x v="11"/>
    <x v="2"/>
    <s v="GCND_COFIRING"/>
    <x v="0"/>
    <x v="23"/>
    <n v="325.375"/>
    <n v="118761.875"/>
    <n v="427542.75"/>
  </r>
  <r>
    <x v="0"/>
    <x v="0"/>
    <x v="0"/>
    <x v="2"/>
    <x v="3"/>
    <s v="FinA"/>
    <x v="4"/>
    <x v="2"/>
    <s v="GCND_WOODCHIPS"/>
    <x v="0"/>
    <x v="3"/>
    <n v="5.4984326018808796"/>
    <n v="2006.92789968652"/>
    <n v="7224.9404388714802"/>
  </r>
  <r>
    <x v="0"/>
    <x v="0"/>
    <x v="0"/>
    <x v="2"/>
    <x v="3"/>
    <s v="FinA"/>
    <x v="4"/>
    <x v="2"/>
    <s v="GCND_WOODCHIPS"/>
    <x v="0"/>
    <x v="4"/>
    <n v="5.4984326018808796"/>
    <n v="2006.92789968652"/>
    <n v="7224.9404388714802"/>
  </r>
  <r>
    <x v="0"/>
    <x v="0"/>
    <x v="0"/>
    <x v="2"/>
    <x v="3"/>
    <s v="FinA"/>
    <x v="4"/>
    <x v="2"/>
    <s v="GCND_WOODCHIPS"/>
    <x v="0"/>
    <x v="5"/>
    <n v="5.4984326018808796"/>
    <n v="2006.92789968652"/>
    <n v="7224.9404388714802"/>
  </r>
  <r>
    <x v="0"/>
    <x v="0"/>
    <x v="0"/>
    <x v="2"/>
    <x v="3"/>
    <s v="FinA"/>
    <x v="4"/>
    <x v="2"/>
    <s v="GCND_WOODCHIPS"/>
    <x v="0"/>
    <x v="6"/>
    <n v="5.4984326018808796"/>
    <n v="2006.92789968652"/>
    <n v="7224.9404388714802"/>
  </r>
  <r>
    <x v="0"/>
    <x v="0"/>
    <x v="0"/>
    <x v="2"/>
    <x v="3"/>
    <s v="FinA"/>
    <x v="4"/>
    <x v="2"/>
    <s v="GCND_WOODCHIPS"/>
    <x v="0"/>
    <x v="7"/>
    <n v="5.4984326018808796"/>
    <n v="2006.92789968652"/>
    <n v="7224.9404388714802"/>
  </r>
  <r>
    <x v="0"/>
    <x v="0"/>
    <x v="0"/>
    <x v="2"/>
    <x v="3"/>
    <s v="FinA"/>
    <x v="4"/>
    <x v="2"/>
    <s v="GCND_WOODCHIPS"/>
    <x v="0"/>
    <x v="8"/>
    <n v="5.4984326018808796"/>
    <n v="2006.92789968652"/>
    <n v="7224.9404388714802"/>
  </r>
  <r>
    <x v="0"/>
    <x v="0"/>
    <x v="0"/>
    <x v="2"/>
    <x v="3"/>
    <s v="FinA"/>
    <x v="4"/>
    <x v="2"/>
    <s v="GCND_WOODCHIPS"/>
    <x v="0"/>
    <x v="0"/>
    <n v="5.4984326018808796"/>
    <n v="2006.92789968652"/>
    <n v="7224.9404388714802"/>
  </r>
  <r>
    <x v="0"/>
    <x v="0"/>
    <x v="0"/>
    <x v="2"/>
    <x v="3"/>
    <s v="FinA"/>
    <x v="4"/>
    <x v="2"/>
    <s v="GCND_WOODCHIPS"/>
    <x v="0"/>
    <x v="1"/>
    <n v="5.4984326018808796"/>
    <n v="2006.92789968652"/>
    <n v="7224.9404388714802"/>
  </r>
  <r>
    <x v="0"/>
    <x v="0"/>
    <x v="0"/>
    <x v="2"/>
    <x v="3"/>
    <s v="FinA"/>
    <x v="4"/>
    <x v="2"/>
    <s v="GCND_WOODCHIPS"/>
    <x v="0"/>
    <x v="2"/>
    <n v="5.4984326018808796"/>
    <n v="2006.92789968652"/>
    <n v="7224.9404388714802"/>
  </r>
  <r>
    <x v="0"/>
    <x v="0"/>
    <x v="0"/>
    <x v="2"/>
    <x v="3"/>
    <s v="FinA"/>
    <x v="4"/>
    <x v="2"/>
    <s v="GCND_WOODCHIPS"/>
    <x v="0"/>
    <x v="9"/>
    <n v="5.4984326018808796"/>
    <n v="2006.92789968652"/>
    <n v="7224.9404388714802"/>
  </r>
  <r>
    <x v="0"/>
    <x v="0"/>
    <x v="0"/>
    <x v="2"/>
    <x v="3"/>
    <s v="FinA"/>
    <x v="4"/>
    <x v="2"/>
    <s v="GCND_WOODCHIPS"/>
    <x v="0"/>
    <x v="10"/>
    <n v="5.4984326018808796"/>
    <n v="2006.92789968652"/>
    <n v="7224.9404388714802"/>
  </r>
  <r>
    <x v="0"/>
    <x v="0"/>
    <x v="0"/>
    <x v="2"/>
    <x v="3"/>
    <s v="FinA"/>
    <x v="4"/>
    <x v="2"/>
    <s v="GCND_WOODCHIPS"/>
    <x v="0"/>
    <x v="11"/>
    <n v="5.4984326018808796"/>
    <n v="2006.92789968652"/>
    <n v="7224.9404388714802"/>
  </r>
  <r>
    <x v="0"/>
    <x v="0"/>
    <x v="0"/>
    <x v="2"/>
    <x v="3"/>
    <s v="FinA"/>
    <x v="4"/>
    <x v="2"/>
    <s v="GCND_WOODCHIPS"/>
    <x v="0"/>
    <x v="12"/>
    <n v="5.4984326018808796"/>
    <n v="2006.92789968652"/>
    <n v="7224.9404388714802"/>
  </r>
  <r>
    <x v="0"/>
    <x v="0"/>
    <x v="0"/>
    <x v="2"/>
    <x v="3"/>
    <s v="FinA"/>
    <x v="4"/>
    <x v="2"/>
    <s v="GCND_WOODCHIPS"/>
    <x v="0"/>
    <x v="13"/>
    <n v="5.4984326018808796"/>
    <n v="2006.92789968652"/>
    <n v="7224.9404388714802"/>
  </r>
  <r>
    <x v="0"/>
    <x v="0"/>
    <x v="0"/>
    <x v="2"/>
    <x v="3"/>
    <s v="FinA"/>
    <x v="4"/>
    <x v="2"/>
    <s v="GCND_WOODCHIPS"/>
    <x v="0"/>
    <x v="14"/>
    <n v="5.4984326018808796"/>
    <n v="2006.92789968652"/>
    <n v="7224.9404388714802"/>
  </r>
  <r>
    <x v="0"/>
    <x v="0"/>
    <x v="0"/>
    <x v="2"/>
    <x v="3"/>
    <s v="FinA"/>
    <x v="4"/>
    <x v="2"/>
    <s v="GCND_WOODCHIPS"/>
    <x v="0"/>
    <x v="15"/>
    <n v="5.4984326018808796"/>
    <n v="2006.92789968652"/>
    <n v="7224.9404388714802"/>
  </r>
  <r>
    <x v="0"/>
    <x v="0"/>
    <x v="0"/>
    <x v="2"/>
    <x v="3"/>
    <s v="FinA"/>
    <x v="4"/>
    <x v="2"/>
    <s v="GCND_WOODCHIPS"/>
    <x v="0"/>
    <x v="16"/>
    <n v="5.4984326018808796"/>
    <n v="2006.92789968652"/>
    <n v="7224.9404388714802"/>
  </r>
  <r>
    <x v="0"/>
    <x v="0"/>
    <x v="0"/>
    <x v="2"/>
    <x v="3"/>
    <s v="FinA"/>
    <x v="4"/>
    <x v="2"/>
    <s v="GCND_WOODCHIPS"/>
    <x v="0"/>
    <x v="17"/>
    <n v="5.4984326018808796"/>
    <n v="2006.92789968652"/>
    <n v="7224.9404388714802"/>
  </r>
  <r>
    <x v="0"/>
    <x v="0"/>
    <x v="0"/>
    <x v="2"/>
    <x v="3"/>
    <s v="FinA"/>
    <x v="4"/>
    <x v="2"/>
    <s v="GCND_WOODCHIPS"/>
    <x v="0"/>
    <x v="18"/>
    <n v="5.4984326018808796"/>
    <n v="2006.92789968652"/>
    <n v="7224.9404388714802"/>
  </r>
  <r>
    <x v="0"/>
    <x v="0"/>
    <x v="0"/>
    <x v="2"/>
    <x v="3"/>
    <s v="FinA"/>
    <x v="4"/>
    <x v="2"/>
    <s v="GCND_WOODCHIPS"/>
    <x v="0"/>
    <x v="19"/>
    <n v="5.4984326018808796"/>
    <n v="2006.92789968652"/>
    <n v="7224.9404388714802"/>
  </r>
  <r>
    <x v="0"/>
    <x v="0"/>
    <x v="0"/>
    <x v="2"/>
    <x v="3"/>
    <s v="FinA"/>
    <x v="4"/>
    <x v="2"/>
    <s v="GCND_WOODCHIPS"/>
    <x v="0"/>
    <x v="20"/>
    <n v="5.4984326018808796"/>
    <n v="2006.92789968652"/>
    <n v="7224.9404388714802"/>
  </r>
  <r>
    <x v="0"/>
    <x v="0"/>
    <x v="0"/>
    <x v="2"/>
    <x v="3"/>
    <s v="FinA"/>
    <x v="4"/>
    <x v="2"/>
    <s v="GCND_WOODCHIPS"/>
    <x v="0"/>
    <x v="21"/>
    <n v="5.4984326018808796"/>
    <n v="2006.92789968652"/>
    <n v="7224.9404388714802"/>
  </r>
  <r>
    <x v="0"/>
    <x v="0"/>
    <x v="0"/>
    <x v="2"/>
    <x v="3"/>
    <s v="FinA"/>
    <x v="4"/>
    <x v="2"/>
    <s v="GCND_WOODCHIPS"/>
    <x v="0"/>
    <x v="22"/>
    <n v="5.4984326018808796"/>
    <n v="2006.92789968652"/>
    <n v="7224.9404388714802"/>
  </r>
  <r>
    <x v="0"/>
    <x v="0"/>
    <x v="0"/>
    <x v="2"/>
    <x v="3"/>
    <s v="FinA"/>
    <x v="4"/>
    <x v="2"/>
    <s v="GCND_WOODCHIPS"/>
    <x v="0"/>
    <x v="23"/>
    <n v="5.4984326018808796"/>
    <n v="2006.92789968652"/>
    <n v="7224.9404388714802"/>
  </r>
  <r>
    <x v="0"/>
    <x v="0"/>
    <x v="0"/>
    <x v="3"/>
    <x v="4"/>
    <s v="DE4-E_A"/>
    <x v="9"/>
    <x v="1"/>
    <s v="GNR_ENG_BGAS_BP_E-45"/>
    <x v="0"/>
    <x v="0"/>
    <n v="2.57"/>
    <n v="938.05"/>
    <n v="3376.98"/>
  </r>
  <r>
    <x v="0"/>
    <x v="0"/>
    <x v="0"/>
    <x v="3"/>
    <x v="4"/>
    <s v="DE4-E_A"/>
    <x v="9"/>
    <x v="1"/>
    <s v="GNR_ENG_BGAS_BP_E-45"/>
    <x v="0"/>
    <x v="1"/>
    <n v="2.57"/>
    <n v="938.05"/>
    <n v="3376.98"/>
  </r>
  <r>
    <x v="0"/>
    <x v="0"/>
    <x v="0"/>
    <x v="3"/>
    <x v="4"/>
    <s v="DE4-E_A"/>
    <x v="9"/>
    <x v="1"/>
    <s v="GNR_ENG_BGAS_BP_E-45"/>
    <x v="0"/>
    <x v="2"/>
    <n v="2.57"/>
    <n v="938.05"/>
    <n v="3376.98"/>
  </r>
  <r>
    <x v="0"/>
    <x v="0"/>
    <x v="0"/>
    <x v="3"/>
    <x v="4"/>
    <s v="DE4-E_A"/>
    <x v="9"/>
    <x v="1"/>
    <s v="GNR_ENG_BGAS_BP_E-45"/>
    <x v="0"/>
    <x v="9"/>
    <n v="2.57"/>
    <n v="938.05"/>
    <n v="3376.98"/>
  </r>
  <r>
    <x v="0"/>
    <x v="0"/>
    <x v="0"/>
    <x v="3"/>
    <x v="4"/>
    <s v="DE4-E_A"/>
    <x v="9"/>
    <x v="1"/>
    <s v="GNR_ENG_BGAS_BP_E-45"/>
    <x v="0"/>
    <x v="10"/>
    <n v="2.57"/>
    <n v="938.05"/>
    <n v="3376.98"/>
  </r>
  <r>
    <x v="0"/>
    <x v="0"/>
    <x v="0"/>
    <x v="3"/>
    <x v="4"/>
    <s v="DE4-E_A"/>
    <x v="9"/>
    <x v="1"/>
    <s v="GNR_ENG_BGAS_BP_E-45"/>
    <x v="0"/>
    <x v="14"/>
    <n v="2.57"/>
    <n v="938.05"/>
    <n v="3376.98"/>
  </r>
  <r>
    <x v="0"/>
    <x v="0"/>
    <x v="0"/>
    <x v="3"/>
    <x v="4"/>
    <s v="DE4-E_A"/>
    <x v="9"/>
    <x v="1"/>
    <s v="GNR_ENG_BGAS_BP_E-45"/>
    <x v="0"/>
    <x v="15"/>
    <n v="2.57"/>
    <n v="938.05"/>
    <n v="3376.98"/>
  </r>
  <r>
    <x v="0"/>
    <x v="0"/>
    <x v="0"/>
    <x v="3"/>
    <x v="4"/>
    <s v="DE4-E_A"/>
    <x v="9"/>
    <x v="1"/>
    <s v="GNR_ENG_BGAS_BP_E-45"/>
    <x v="0"/>
    <x v="16"/>
    <n v="2.57"/>
    <n v="938.05"/>
    <n v="3376.98"/>
  </r>
  <r>
    <x v="0"/>
    <x v="0"/>
    <x v="0"/>
    <x v="3"/>
    <x v="4"/>
    <s v="DE4-E_A"/>
    <x v="9"/>
    <x v="1"/>
    <s v="GNR_ENG_BGAS_BP_E-45"/>
    <x v="0"/>
    <x v="17"/>
    <n v="2.57"/>
    <n v="938.05"/>
    <n v="3376.98"/>
  </r>
  <r>
    <x v="0"/>
    <x v="0"/>
    <x v="0"/>
    <x v="3"/>
    <x v="4"/>
    <s v="DE4-E_A"/>
    <x v="9"/>
    <x v="1"/>
    <s v="GNR_ENG_BGAS_BP_E-45"/>
    <x v="0"/>
    <x v="18"/>
    <n v="2.57"/>
    <n v="938.05"/>
    <n v="3376.98"/>
  </r>
  <r>
    <x v="0"/>
    <x v="0"/>
    <x v="0"/>
    <x v="3"/>
    <x v="4"/>
    <s v="DE4-E_A"/>
    <x v="9"/>
    <x v="1"/>
    <s v="GNR_ENG_BGAS_BP_E-45"/>
    <x v="0"/>
    <x v="19"/>
    <n v="2.57"/>
    <n v="938.05"/>
    <n v="3376.98"/>
  </r>
  <r>
    <x v="0"/>
    <x v="0"/>
    <x v="0"/>
    <x v="3"/>
    <x v="4"/>
    <s v="DE4-E_A"/>
    <x v="9"/>
    <x v="2"/>
    <s v="GNR_ENG_BGAS_CND_E-44"/>
    <x v="0"/>
    <x v="0"/>
    <n v="1827.61"/>
    <n v="667077.65"/>
    <n v="2401479.54"/>
  </r>
  <r>
    <x v="0"/>
    <x v="0"/>
    <x v="0"/>
    <x v="3"/>
    <x v="4"/>
    <s v="DE4-E_A"/>
    <x v="9"/>
    <x v="2"/>
    <s v="GNR_ENG_BGAS_CND_E-44"/>
    <x v="0"/>
    <x v="1"/>
    <n v="1827.61"/>
    <n v="667077.65"/>
    <n v="2401479.54"/>
  </r>
  <r>
    <x v="0"/>
    <x v="0"/>
    <x v="0"/>
    <x v="3"/>
    <x v="4"/>
    <s v="DE4-E_A"/>
    <x v="9"/>
    <x v="2"/>
    <s v="GNR_ENG_BGAS_CND_E-44"/>
    <x v="0"/>
    <x v="2"/>
    <n v="1827.61"/>
    <n v="667077.65"/>
    <n v="2401479.54"/>
  </r>
  <r>
    <x v="0"/>
    <x v="0"/>
    <x v="0"/>
    <x v="3"/>
    <x v="4"/>
    <s v="DE4-E_A"/>
    <x v="9"/>
    <x v="2"/>
    <s v="GNR_ENG_BGAS_CND_E-44"/>
    <x v="0"/>
    <x v="9"/>
    <n v="1827.61"/>
    <n v="667077.65"/>
    <n v="2401479.54"/>
  </r>
  <r>
    <x v="0"/>
    <x v="0"/>
    <x v="0"/>
    <x v="3"/>
    <x v="4"/>
    <s v="DE4-E_A"/>
    <x v="9"/>
    <x v="2"/>
    <s v="GNR_ENG_BGAS_CND_E-44"/>
    <x v="0"/>
    <x v="10"/>
    <n v="1827.61"/>
    <n v="667077.65"/>
    <n v="2401479.54"/>
  </r>
  <r>
    <x v="0"/>
    <x v="0"/>
    <x v="0"/>
    <x v="3"/>
    <x v="4"/>
    <s v="DE4-E_A"/>
    <x v="9"/>
    <x v="2"/>
    <s v="GNR_ENG_BGAS_CND_E-44"/>
    <x v="0"/>
    <x v="14"/>
    <n v="629.15280835573799"/>
    <n v="229640.775049844"/>
    <n v="826706.79017944005"/>
  </r>
  <r>
    <x v="0"/>
    <x v="0"/>
    <x v="0"/>
    <x v="3"/>
    <x v="4"/>
    <s v="DE4-E_A"/>
    <x v="9"/>
    <x v="2"/>
    <s v="GNR_ENG_BGAS_CND_E-44"/>
    <x v="0"/>
    <x v="15"/>
    <n v="1827.61"/>
    <n v="667077.65"/>
    <n v="2401479.54"/>
  </r>
  <r>
    <x v="0"/>
    <x v="0"/>
    <x v="0"/>
    <x v="3"/>
    <x v="4"/>
    <s v="DE4-E_A"/>
    <x v="9"/>
    <x v="2"/>
    <s v="GNR_ENG_BGAS_CND_E-44"/>
    <x v="0"/>
    <x v="16"/>
    <n v="1827.61"/>
    <n v="667077.65"/>
    <n v="2401479.54"/>
  </r>
  <r>
    <x v="0"/>
    <x v="0"/>
    <x v="0"/>
    <x v="3"/>
    <x v="4"/>
    <s v="DE4-E_A"/>
    <x v="9"/>
    <x v="2"/>
    <s v="GNR_ENG_BGAS_CND_E-44"/>
    <x v="0"/>
    <x v="17"/>
    <n v="1827.61"/>
    <n v="667077.65"/>
    <n v="2401479.54"/>
  </r>
  <r>
    <x v="0"/>
    <x v="0"/>
    <x v="0"/>
    <x v="3"/>
    <x v="4"/>
    <s v="DE4-E_A"/>
    <x v="9"/>
    <x v="2"/>
    <s v="GNR_ENG_BGAS_CND_E-44"/>
    <x v="0"/>
    <x v="18"/>
    <n v="1827.61"/>
    <n v="667077.65"/>
    <n v="2401479.54"/>
  </r>
  <r>
    <x v="0"/>
    <x v="0"/>
    <x v="0"/>
    <x v="3"/>
    <x v="4"/>
    <s v="DE4-E_A"/>
    <x v="9"/>
    <x v="2"/>
    <s v="GNR_ENG_BGAS_CND_E-44"/>
    <x v="0"/>
    <x v="19"/>
    <n v="1827.61"/>
    <n v="667077.65"/>
    <n v="2401479.54"/>
  </r>
  <r>
    <x v="0"/>
    <x v="0"/>
    <x v="0"/>
    <x v="3"/>
    <x v="4"/>
    <s v="DE4-E_A"/>
    <x v="9"/>
    <x v="1"/>
    <s v="GNR_ST_BGAS_BP_E-38"/>
    <x v="0"/>
    <x v="0"/>
    <n v="230.4"/>
    <n v="84096"/>
    <n v="302745.59999999998"/>
  </r>
  <r>
    <x v="0"/>
    <x v="0"/>
    <x v="0"/>
    <x v="3"/>
    <x v="4"/>
    <s v="DE4-E_A"/>
    <x v="9"/>
    <x v="1"/>
    <s v="GNR_ST_BGAS_BP_E-38"/>
    <x v="0"/>
    <x v="1"/>
    <n v="230.4"/>
    <n v="84096"/>
    <n v="302745.59999999998"/>
  </r>
  <r>
    <x v="0"/>
    <x v="0"/>
    <x v="0"/>
    <x v="3"/>
    <x v="4"/>
    <s v="DE4-E_A"/>
    <x v="9"/>
    <x v="1"/>
    <s v="GNR_ST_BGAS_BP_E-38"/>
    <x v="0"/>
    <x v="2"/>
    <n v="230.4"/>
    <n v="84096"/>
    <n v="302745.59999999998"/>
  </r>
  <r>
    <x v="0"/>
    <x v="0"/>
    <x v="0"/>
    <x v="3"/>
    <x v="4"/>
    <s v="DE4-E_A"/>
    <x v="9"/>
    <x v="1"/>
    <s v="GNR_ST_BGAS_BP_E-38"/>
    <x v="0"/>
    <x v="9"/>
    <n v="230.4"/>
    <n v="84096"/>
    <n v="302745.59999999998"/>
  </r>
  <r>
    <x v="0"/>
    <x v="0"/>
    <x v="0"/>
    <x v="3"/>
    <x v="4"/>
    <s v="DE4-E_A"/>
    <x v="9"/>
    <x v="1"/>
    <s v="GNR_ST_BGAS_BP_E-38"/>
    <x v="0"/>
    <x v="10"/>
    <n v="230.4"/>
    <n v="84096"/>
    <n v="302745.59999999998"/>
  </r>
  <r>
    <x v="0"/>
    <x v="0"/>
    <x v="0"/>
    <x v="3"/>
    <x v="4"/>
    <s v="DE4-E_A"/>
    <x v="9"/>
    <x v="1"/>
    <s v="GNR_ST_BGAS_BP_E-38"/>
    <x v="0"/>
    <x v="14"/>
    <n v="230.4"/>
    <n v="84096"/>
    <n v="302745.59999999998"/>
  </r>
  <r>
    <x v="0"/>
    <x v="0"/>
    <x v="0"/>
    <x v="3"/>
    <x v="4"/>
    <s v="DE4-E_A"/>
    <x v="9"/>
    <x v="1"/>
    <s v="GNR_ST_BGAS_BP_E-38"/>
    <x v="0"/>
    <x v="15"/>
    <n v="230.4"/>
    <n v="84096"/>
    <n v="302745.59999999998"/>
  </r>
  <r>
    <x v="0"/>
    <x v="0"/>
    <x v="0"/>
    <x v="3"/>
    <x v="4"/>
    <s v="DE4-E_A"/>
    <x v="9"/>
    <x v="1"/>
    <s v="GNR_ST_BGAS_BP_E-38"/>
    <x v="0"/>
    <x v="16"/>
    <n v="230.4"/>
    <n v="84096"/>
    <n v="302745.59999999998"/>
  </r>
  <r>
    <x v="0"/>
    <x v="0"/>
    <x v="0"/>
    <x v="3"/>
    <x v="4"/>
    <s v="DE4-E_A"/>
    <x v="9"/>
    <x v="1"/>
    <s v="GNR_ST_BGAS_BP_E-38"/>
    <x v="0"/>
    <x v="17"/>
    <n v="230.4"/>
    <n v="84096"/>
    <n v="302745.59999999998"/>
  </r>
  <r>
    <x v="0"/>
    <x v="0"/>
    <x v="0"/>
    <x v="3"/>
    <x v="4"/>
    <s v="DE4-E_A"/>
    <x v="9"/>
    <x v="1"/>
    <s v="GNR_ST_BGAS_BP_E-38"/>
    <x v="0"/>
    <x v="18"/>
    <n v="230.4"/>
    <n v="84096"/>
    <n v="302745.59999999998"/>
  </r>
  <r>
    <x v="0"/>
    <x v="0"/>
    <x v="0"/>
    <x v="3"/>
    <x v="4"/>
    <s v="DE4-E_A"/>
    <x v="9"/>
    <x v="1"/>
    <s v="GNR_ST_BGAS_BP_E-38"/>
    <x v="0"/>
    <x v="19"/>
    <n v="230.4"/>
    <n v="84096"/>
    <n v="302745.59999999998"/>
  </r>
  <r>
    <x v="0"/>
    <x v="0"/>
    <x v="0"/>
    <x v="3"/>
    <x v="4"/>
    <s v="DE4-E_A"/>
    <x v="9"/>
    <x v="2"/>
    <s v="GNR_ST_BGAS_CND_E-38"/>
    <x v="0"/>
    <x v="1"/>
    <n v="73.8"/>
    <n v="26937"/>
    <n v="96973.2"/>
  </r>
  <r>
    <x v="0"/>
    <x v="0"/>
    <x v="0"/>
    <x v="3"/>
    <x v="4"/>
    <s v="DE4-E_A"/>
    <x v="9"/>
    <x v="2"/>
    <s v="GNR_ST_BGAS_CND_E-38"/>
    <x v="0"/>
    <x v="2"/>
    <n v="73.8"/>
    <n v="26937"/>
    <n v="96973.2"/>
  </r>
  <r>
    <x v="0"/>
    <x v="0"/>
    <x v="0"/>
    <x v="3"/>
    <x v="4"/>
    <s v="DE4-E_A"/>
    <x v="9"/>
    <x v="2"/>
    <s v="GNR_ST_BGAS_CND_E-38"/>
    <x v="0"/>
    <x v="9"/>
    <n v="73.8"/>
    <n v="26937"/>
    <n v="96973.2"/>
  </r>
  <r>
    <x v="0"/>
    <x v="0"/>
    <x v="0"/>
    <x v="3"/>
    <x v="4"/>
    <s v="DE4-E_A"/>
    <x v="14"/>
    <x v="8"/>
    <s v="AGG-DE4-E_ES_ELEC"/>
    <x v="0"/>
    <x v="1"/>
    <n v="0.293333333333333"/>
    <n v="107.066666666667"/>
    <n v="385.44"/>
  </r>
  <r>
    <x v="0"/>
    <x v="0"/>
    <x v="0"/>
    <x v="3"/>
    <x v="4"/>
    <s v="DE4-E_A"/>
    <x v="14"/>
    <x v="8"/>
    <s v="AGG-DE4-E_ES_ELEC"/>
    <x v="0"/>
    <x v="2"/>
    <n v="0.293333333333333"/>
    <n v="107.066666666667"/>
    <n v="385.44"/>
  </r>
  <r>
    <x v="0"/>
    <x v="0"/>
    <x v="0"/>
    <x v="3"/>
    <x v="4"/>
    <s v="DE4-E_A"/>
    <x v="14"/>
    <x v="8"/>
    <s v="AGG-DE4-E_ES_ELEC"/>
    <x v="0"/>
    <x v="9"/>
    <n v="0.293333333333333"/>
    <n v="107.066666666667"/>
    <n v="385.44"/>
  </r>
  <r>
    <x v="0"/>
    <x v="0"/>
    <x v="0"/>
    <x v="3"/>
    <x v="4"/>
    <s v="DE4-E_A"/>
    <x v="14"/>
    <x v="8"/>
    <s v="AGG-DE4-E_ES_ELEC"/>
    <x v="0"/>
    <x v="16"/>
    <n v="0.293333333333333"/>
    <n v="107.066666666667"/>
    <n v="385.44"/>
  </r>
  <r>
    <x v="0"/>
    <x v="0"/>
    <x v="0"/>
    <x v="3"/>
    <x v="4"/>
    <s v="DE4-E_A"/>
    <x v="14"/>
    <x v="9"/>
    <s v="AGG-DE4-E_RES_WTR_PMP"/>
    <x v="0"/>
    <x v="3"/>
    <n v="2174.6294916740198"/>
    <n v="793739.76446101605"/>
    <n v="2857463.1520596598"/>
  </r>
  <r>
    <x v="0"/>
    <x v="0"/>
    <x v="0"/>
    <x v="3"/>
    <x v="4"/>
    <s v="DE4-E_A"/>
    <x v="14"/>
    <x v="9"/>
    <s v="AGG-DE4-E_RES_WTR_PMP"/>
    <x v="0"/>
    <x v="1"/>
    <n v="1980.66494856944"/>
    <n v="722942.706227844"/>
    <n v="2602593.7424202398"/>
  </r>
  <r>
    <x v="0"/>
    <x v="0"/>
    <x v="0"/>
    <x v="3"/>
    <x v="4"/>
    <s v="DE4-E_A"/>
    <x v="14"/>
    <x v="9"/>
    <s v="AGG-DE4-E_RES_WTR_PMP"/>
    <x v="0"/>
    <x v="2"/>
    <n v="771.77340759494803"/>
    <n v="281697.293772156"/>
    <n v="1014110.25757976"/>
  </r>
  <r>
    <x v="0"/>
    <x v="0"/>
    <x v="0"/>
    <x v="3"/>
    <x v="4"/>
    <s v="DE4-E_A"/>
    <x v="14"/>
    <x v="9"/>
    <s v="AGG-DE4-E_RES_WTR_PMP"/>
    <x v="0"/>
    <x v="16"/>
    <n v="443.58833326942897"/>
    <n v="161909.74164334199"/>
    <n v="582875.06991603004"/>
  </r>
  <r>
    <x v="0"/>
    <x v="0"/>
    <x v="0"/>
    <x v="3"/>
    <x v="4"/>
    <s v="DE4-E_A"/>
    <x v="14"/>
    <x v="9"/>
    <s v="AGG-DE4-E_RES_WTR_PMP"/>
    <x v="0"/>
    <x v="17"/>
    <n v="2308.8500228949501"/>
    <n v="842730.25835665804"/>
    <n v="3033828.9300839701"/>
  </r>
  <r>
    <x v="0"/>
    <x v="0"/>
    <x v="0"/>
    <x v="3"/>
    <x v="4"/>
    <s v="DE4-E_A"/>
    <x v="14"/>
    <x v="8"/>
    <s v="GNR_ES_ELEC_BAT-LITHIO_E-95_Y-16-29"/>
    <x v="0"/>
    <x v="0"/>
    <n v="2679.0864735928299"/>
    <n v="977866.56286138203"/>
    <n v="3520319.6263009799"/>
  </r>
  <r>
    <x v="0"/>
    <x v="0"/>
    <x v="0"/>
    <x v="3"/>
    <x v="4"/>
    <s v="DE4-E_A"/>
    <x v="14"/>
    <x v="8"/>
    <s v="GNR_ES_ELEC_BAT-LITHIO_E-95_Y-16-29"/>
    <x v="0"/>
    <x v="1"/>
    <n v="2755.2876144971901"/>
    <n v="1005679.97929147"/>
    <n v="3620447.9254493001"/>
  </r>
  <r>
    <x v="0"/>
    <x v="0"/>
    <x v="0"/>
    <x v="3"/>
    <x v="4"/>
    <s v="DE4-E_A"/>
    <x v="14"/>
    <x v="8"/>
    <s v="GNR_ES_ELEC_BAT-LITHIO_E-95_Y-16-29"/>
    <x v="0"/>
    <x v="2"/>
    <n v="2755.2876144971901"/>
    <n v="1005679.97929147"/>
    <n v="3620447.9254493001"/>
  </r>
  <r>
    <x v="0"/>
    <x v="0"/>
    <x v="0"/>
    <x v="3"/>
    <x v="4"/>
    <s v="DE4-E_A"/>
    <x v="14"/>
    <x v="8"/>
    <s v="GNR_ES_ELEC_BAT-LITHIO_E-95_Y-16-29"/>
    <x v="0"/>
    <x v="9"/>
    <n v="2755.2876144971901"/>
    <n v="1005679.97929147"/>
    <n v="3620447.9254493001"/>
  </r>
  <r>
    <x v="0"/>
    <x v="0"/>
    <x v="0"/>
    <x v="3"/>
    <x v="4"/>
    <s v="DE4-E_A"/>
    <x v="14"/>
    <x v="8"/>
    <s v="GNR_ES_ELEC_BAT-LITHIO_E-95_Y-16-29"/>
    <x v="0"/>
    <x v="16"/>
    <n v="2324.5027115138801"/>
    <n v="848443.48970256594"/>
    <n v="3054396.5629292401"/>
  </r>
  <r>
    <x v="0"/>
    <x v="0"/>
    <x v="0"/>
    <x v="3"/>
    <x v="4"/>
    <s v="DE4-E_A"/>
    <x v="1"/>
    <x v="1"/>
    <s v="GNR_ST_MSW_BP_E-33"/>
    <x v="0"/>
    <x v="8"/>
    <n v="218.99832957784901"/>
    <n v="79934.390295915102"/>
    <n v="287763.80506529397"/>
  </r>
  <r>
    <x v="0"/>
    <x v="0"/>
    <x v="0"/>
    <x v="3"/>
    <x v="4"/>
    <s v="DE4-E_A"/>
    <x v="1"/>
    <x v="1"/>
    <s v="GNR_ST_MSW_BP_E-33"/>
    <x v="0"/>
    <x v="0"/>
    <n v="318.89999999999998"/>
    <n v="116398.5"/>
    <n v="419034.6"/>
  </r>
  <r>
    <x v="0"/>
    <x v="0"/>
    <x v="0"/>
    <x v="3"/>
    <x v="4"/>
    <s v="DE4-E_A"/>
    <x v="1"/>
    <x v="1"/>
    <s v="GNR_ST_MSW_BP_E-33"/>
    <x v="0"/>
    <x v="1"/>
    <n v="318.89999999999998"/>
    <n v="116398.5"/>
    <n v="419034.6"/>
  </r>
  <r>
    <x v="0"/>
    <x v="0"/>
    <x v="0"/>
    <x v="3"/>
    <x v="4"/>
    <s v="DE4-E_A"/>
    <x v="1"/>
    <x v="1"/>
    <s v="GNR_ST_MSW_BP_E-33"/>
    <x v="0"/>
    <x v="2"/>
    <n v="318.89999999999998"/>
    <n v="116398.5"/>
    <n v="419034.6"/>
  </r>
  <r>
    <x v="0"/>
    <x v="0"/>
    <x v="0"/>
    <x v="3"/>
    <x v="4"/>
    <s v="DE4-E_A"/>
    <x v="1"/>
    <x v="1"/>
    <s v="GNR_ST_MSW_BP_E-33"/>
    <x v="0"/>
    <x v="9"/>
    <n v="318.89999999999998"/>
    <n v="116398.5"/>
    <n v="419034.6"/>
  </r>
  <r>
    <x v="0"/>
    <x v="0"/>
    <x v="0"/>
    <x v="3"/>
    <x v="4"/>
    <s v="DE4-E_A"/>
    <x v="1"/>
    <x v="1"/>
    <s v="GNR_ST_MSW_BP_E-33"/>
    <x v="0"/>
    <x v="10"/>
    <n v="318.89999999999998"/>
    <n v="116398.5"/>
    <n v="419034.6"/>
  </r>
  <r>
    <x v="0"/>
    <x v="0"/>
    <x v="0"/>
    <x v="3"/>
    <x v="4"/>
    <s v="DE4-E_A"/>
    <x v="1"/>
    <x v="1"/>
    <s v="GNR_ST_MSW_BP_E-33"/>
    <x v="0"/>
    <x v="11"/>
    <n v="318.89999999999998"/>
    <n v="116398.5"/>
    <n v="419034.6"/>
  </r>
  <r>
    <x v="0"/>
    <x v="0"/>
    <x v="0"/>
    <x v="3"/>
    <x v="4"/>
    <s v="DE4-E_A"/>
    <x v="1"/>
    <x v="1"/>
    <s v="GNR_ST_MSW_BP_E-33"/>
    <x v="0"/>
    <x v="12"/>
    <n v="318.89999999999998"/>
    <n v="116398.5"/>
    <n v="419034.6"/>
  </r>
  <r>
    <x v="0"/>
    <x v="0"/>
    <x v="0"/>
    <x v="3"/>
    <x v="4"/>
    <s v="DE4-E_A"/>
    <x v="1"/>
    <x v="1"/>
    <s v="GNR_ST_MSW_BP_E-33"/>
    <x v="0"/>
    <x v="13"/>
    <n v="318.89999999999998"/>
    <n v="116398.5"/>
    <n v="419034.6"/>
  </r>
  <r>
    <x v="0"/>
    <x v="0"/>
    <x v="0"/>
    <x v="3"/>
    <x v="4"/>
    <s v="DE4-E_A"/>
    <x v="1"/>
    <x v="1"/>
    <s v="GNR_ST_MSW_BP_E-33"/>
    <x v="0"/>
    <x v="14"/>
    <n v="318.89999999999998"/>
    <n v="116398.5"/>
    <n v="419034.6"/>
  </r>
  <r>
    <x v="0"/>
    <x v="0"/>
    <x v="0"/>
    <x v="3"/>
    <x v="4"/>
    <s v="DE4-E_A"/>
    <x v="1"/>
    <x v="1"/>
    <s v="GNR_ST_MSW_BP_E-33"/>
    <x v="0"/>
    <x v="15"/>
    <n v="318.89999999999998"/>
    <n v="116398.5"/>
    <n v="419034.6"/>
  </r>
  <r>
    <x v="0"/>
    <x v="0"/>
    <x v="0"/>
    <x v="3"/>
    <x v="4"/>
    <s v="DE4-E_A"/>
    <x v="1"/>
    <x v="1"/>
    <s v="GNR_ST_MSW_BP_E-33"/>
    <x v="0"/>
    <x v="16"/>
    <n v="318.89999999999998"/>
    <n v="116398.5"/>
    <n v="419034.6"/>
  </r>
  <r>
    <x v="0"/>
    <x v="0"/>
    <x v="0"/>
    <x v="3"/>
    <x v="4"/>
    <s v="DE4-E_A"/>
    <x v="1"/>
    <x v="1"/>
    <s v="GNR_ST_MSW_BP_E-33"/>
    <x v="0"/>
    <x v="17"/>
    <n v="318.89999999999998"/>
    <n v="116398.5"/>
    <n v="419034.6"/>
  </r>
  <r>
    <x v="0"/>
    <x v="0"/>
    <x v="0"/>
    <x v="3"/>
    <x v="4"/>
    <s v="DE4-E_A"/>
    <x v="1"/>
    <x v="1"/>
    <s v="GNR_ST_MSW_BP_E-33"/>
    <x v="0"/>
    <x v="18"/>
    <n v="318.89999999999998"/>
    <n v="116398.5"/>
    <n v="419034.6"/>
  </r>
  <r>
    <x v="0"/>
    <x v="0"/>
    <x v="0"/>
    <x v="3"/>
    <x v="4"/>
    <s v="DE4-E_A"/>
    <x v="1"/>
    <x v="1"/>
    <s v="GNR_ST_MSW_BP_E-33"/>
    <x v="0"/>
    <x v="19"/>
    <n v="318.89999999999998"/>
    <n v="116398.5"/>
    <n v="419034.6"/>
  </r>
  <r>
    <x v="0"/>
    <x v="0"/>
    <x v="0"/>
    <x v="3"/>
    <x v="4"/>
    <s v="DE4-E_A"/>
    <x v="1"/>
    <x v="1"/>
    <s v="GNR_ST_MSW_BP_E-33"/>
    <x v="0"/>
    <x v="20"/>
    <n v="318.89999999999998"/>
    <n v="116398.5"/>
    <n v="419034.6"/>
  </r>
  <r>
    <x v="0"/>
    <x v="0"/>
    <x v="0"/>
    <x v="3"/>
    <x v="4"/>
    <s v="DE4-E_A"/>
    <x v="1"/>
    <x v="1"/>
    <s v="GNR_ST_MSW_BP_E-33"/>
    <x v="0"/>
    <x v="21"/>
    <n v="99.981879923248499"/>
    <n v="36493.386171985701"/>
    <n v="131376.190219148"/>
  </r>
  <r>
    <x v="0"/>
    <x v="0"/>
    <x v="0"/>
    <x v="3"/>
    <x v="4"/>
    <s v="DE4-E_A"/>
    <x v="1"/>
    <x v="1"/>
    <s v="GNR_ST_MSW_BP_E-33"/>
    <x v="0"/>
    <x v="22"/>
    <n v="11.690021405876401"/>
    <n v="4266.8578131448703"/>
    <n v="15360.6881273215"/>
  </r>
  <r>
    <x v="0"/>
    <x v="0"/>
    <x v="0"/>
    <x v="3"/>
    <x v="4"/>
    <s v="DE4-E_A"/>
    <x v="1"/>
    <x v="2"/>
    <s v="GNR_ST_MSW_CND_E-33"/>
    <x v="0"/>
    <x v="3"/>
    <n v="65.099999999999994"/>
    <n v="23761.5"/>
    <n v="85541.4"/>
  </r>
  <r>
    <x v="0"/>
    <x v="0"/>
    <x v="0"/>
    <x v="3"/>
    <x v="4"/>
    <s v="DE4-E_A"/>
    <x v="1"/>
    <x v="2"/>
    <s v="GNR_ST_MSW_CND_E-33"/>
    <x v="0"/>
    <x v="4"/>
    <n v="65.099999999999994"/>
    <n v="23761.5"/>
    <n v="85541.4"/>
  </r>
  <r>
    <x v="0"/>
    <x v="0"/>
    <x v="0"/>
    <x v="3"/>
    <x v="4"/>
    <s v="DE4-E_A"/>
    <x v="1"/>
    <x v="2"/>
    <s v="GNR_ST_MSW_CND_E-33"/>
    <x v="0"/>
    <x v="5"/>
    <n v="65.099999999999994"/>
    <n v="23761.5"/>
    <n v="85541.4"/>
  </r>
  <r>
    <x v="0"/>
    <x v="0"/>
    <x v="0"/>
    <x v="3"/>
    <x v="4"/>
    <s v="DE4-E_A"/>
    <x v="1"/>
    <x v="2"/>
    <s v="GNR_ST_MSW_CND_E-33"/>
    <x v="0"/>
    <x v="6"/>
    <n v="65.099999999999994"/>
    <n v="23761.5"/>
    <n v="85541.4"/>
  </r>
  <r>
    <x v="0"/>
    <x v="0"/>
    <x v="0"/>
    <x v="3"/>
    <x v="4"/>
    <s v="DE4-E_A"/>
    <x v="1"/>
    <x v="2"/>
    <s v="GNR_ST_MSW_CND_E-33"/>
    <x v="0"/>
    <x v="7"/>
    <n v="65.099999999999994"/>
    <n v="23761.5"/>
    <n v="85541.4"/>
  </r>
  <r>
    <x v="0"/>
    <x v="0"/>
    <x v="0"/>
    <x v="3"/>
    <x v="4"/>
    <s v="DE4-E_A"/>
    <x v="1"/>
    <x v="2"/>
    <s v="GNR_ST_MSW_CND_E-33"/>
    <x v="0"/>
    <x v="8"/>
    <n v="65.099999999999994"/>
    <n v="23761.5"/>
    <n v="85541.4"/>
  </r>
  <r>
    <x v="0"/>
    <x v="0"/>
    <x v="0"/>
    <x v="3"/>
    <x v="4"/>
    <s v="DE4-E_A"/>
    <x v="1"/>
    <x v="2"/>
    <s v="GNR_ST_MSW_CND_E-33"/>
    <x v="0"/>
    <x v="0"/>
    <n v="65.099999999999994"/>
    <n v="23761.5"/>
    <n v="85541.4"/>
  </r>
  <r>
    <x v="0"/>
    <x v="0"/>
    <x v="0"/>
    <x v="3"/>
    <x v="4"/>
    <s v="DE4-E_A"/>
    <x v="1"/>
    <x v="2"/>
    <s v="GNR_ST_MSW_CND_E-33"/>
    <x v="0"/>
    <x v="1"/>
    <n v="65.099999999999994"/>
    <n v="23761.5"/>
    <n v="85541.4"/>
  </r>
  <r>
    <x v="0"/>
    <x v="0"/>
    <x v="0"/>
    <x v="3"/>
    <x v="4"/>
    <s v="DE4-E_A"/>
    <x v="1"/>
    <x v="2"/>
    <s v="GNR_ST_MSW_CND_E-33"/>
    <x v="0"/>
    <x v="2"/>
    <n v="65.099999999999994"/>
    <n v="23761.5"/>
    <n v="85541.4"/>
  </r>
  <r>
    <x v="0"/>
    <x v="0"/>
    <x v="0"/>
    <x v="3"/>
    <x v="4"/>
    <s v="DE4-E_A"/>
    <x v="1"/>
    <x v="2"/>
    <s v="GNR_ST_MSW_CND_E-33"/>
    <x v="0"/>
    <x v="9"/>
    <n v="65.099999999999994"/>
    <n v="23761.5"/>
    <n v="85541.4"/>
  </r>
  <r>
    <x v="0"/>
    <x v="0"/>
    <x v="0"/>
    <x v="3"/>
    <x v="4"/>
    <s v="DE4-E_A"/>
    <x v="1"/>
    <x v="2"/>
    <s v="GNR_ST_MSW_CND_E-33"/>
    <x v="0"/>
    <x v="10"/>
    <n v="65.099999999999994"/>
    <n v="23761.5"/>
    <n v="85541.4"/>
  </r>
  <r>
    <x v="0"/>
    <x v="0"/>
    <x v="0"/>
    <x v="3"/>
    <x v="4"/>
    <s v="DE4-E_A"/>
    <x v="1"/>
    <x v="2"/>
    <s v="GNR_ST_MSW_CND_E-33"/>
    <x v="0"/>
    <x v="11"/>
    <n v="65.099999999999994"/>
    <n v="23761.5"/>
    <n v="85541.4"/>
  </r>
  <r>
    <x v="0"/>
    <x v="0"/>
    <x v="0"/>
    <x v="3"/>
    <x v="4"/>
    <s v="DE4-E_A"/>
    <x v="1"/>
    <x v="2"/>
    <s v="GNR_ST_MSW_CND_E-33"/>
    <x v="0"/>
    <x v="12"/>
    <n v="65.099999999999994"/>
    <n v="23761.5"/>
    <n v="85541.4"/>
  </r>
  <r>
    <x v="0"/>
    <x v="0"/>
    <x v="0"/>
    <x v="3"/>
    <x v="4"/>
    <s v="DE4-E_A"/>
    <x v="1"/>
    <x v="2"/>
    <s v="GNR_ST_MSW_CND_E-33"/>
    <x v="0"/>
    <x v="13"/>
    <n v="65.099999999999994"/>
    <n v="23761.5"/>
    <n v="85541.4"/>
  </r>
  <r>
    <x v="0"/>
    <x v="0"/>
    <x v="0"/>
    <x v="3"/>
    <x v="4"/>
    <s v="DE4-E_A"/>
    <x v="1"/>
    <x v="2"/>
    <s v="GNR_ST_MSW_CND_E-33"/>
    <x v="0"/>
    <x v="14"/>
    <n v="65.099999999999994"/>
    <n v="23761.5"/>
    <n v="85541.4"/>
  </r>
  <r>
    <x v="0"/>
    <x v="0"/>
    <x v="0"/>
    <x v="3"/>
    <x v="4"/>
    <s v="DE4-E_A"/>
    <x v="1"/>
    <x v="2"/>
    <s v="GNR_ST_MSW_CND_E-33"/>
    <x v="0"/>
    <x v="15"/>
    <n v="65.099999999999994"/>
    <n v="23761.5"/>
    <n v="85541.4"/>
  </r>
  <r>
    <x v="0"/>
    <x v="0"/>
    <x v="0"/>
    <x v="3"/>
    <x v="4"/>
    <s v="DE4-E_A"/>
    <x v="1"/>
    <x v="2"/>
    <s v="GNR_ST_MSW_CND_E-33"/>
    <x v="0"/>
    <x v="16"/>
    <n v="65.099999999999994"/>
    <n v="23761.5"/>
    <n v="85541.4"/>
  </r>
  <r>
    <x v="0"/>
    <x v="0"/>
    <x v="0"/>
    <x v="3"/>
    <x v="4"/>
    <s v="DE4-E_A"/>
    <x v="1"/>
    <x v="2"/>
    <s v="GNR_ST_MSW_CND_E-33"/>
    <x v="0"/>
    <x v="17"/>
    <n v="65.099999999999994"/>
    <n v="23761.5"/>
    <n v="85541.4"/>
  </r>
  <r>
    <x v="0"/>
    <x v="0"/>
    <x v="0"/>
    <x v="3"/>
    <x v="4"/>
    <s v="DE4-E_A"/>
    <x v="1"/>
    <x v="2"/>
    <s v="GNR_ST_MSW_CND_E-33"/>
    <x v="0"/>
    <x v="18"/>
    <n v="65.099999999999994"/>
    <n v="23761.5"/>
    <n v="85541.4"/>
  </r>
  <r>
    <x v="0"/>
    <x v="0"/>
    <x v="0"/>
    <x v="3"/>
    <x v="4"/>
    <s v="DE4-E_A"/>
    <x v="1"/>
    <x v="2"/>
    <s v="GNR_ST_MSW_CND_E-33"/>
    <x v="0"/>
    <x v="19"/>
    <n v="65.099999999999994"/>
    <n v="23761.5"/>
    <n v="85541.4"/>
  </r>
  <r>
    <x v="0"/>
    <x v="0"/>
    <x v="0"/>
    <x v="3"/>
    <x v="4"/>
    <s v="DE4-E_A"/>
    <x v="1"/>
    <x v="2"/>
    <s v="GNR_ST_MSW_CND_E-33"/>
    <x v="0"/>
    <x v="20"/>
    <n v="65.099999999999994"/>
    <n v="23761.5"/>
    <n v="85541.4"/>
  </r>
  <r>
    <x v="0"/>
    <x v="0"/>
    <x v="0"/>
    <x v="3"/>
    <x v="4"/>
    <s v="DE4-E_A"/>
    <x v="1"/>
    <x v="2"/>
    <s v="GNR_ST_MSW_CND_E-33"/>
    <x v="0"/>
    <x v="21"/>
    <n v="65.099999999999994"/>
    <n v="23761.5"/>
    <n v="85541.4"/>
  </r>
  <r>
    <x v="0"/>
    <x v="0"/>
    <x v="0"/>
    <x v="3"/>
    <x v="4"/>
    <s v="DE4-E_A"/>
    <x v="1"/>
    <x v="2"/>
    <s v="GNR_ST_MSW_CND_E-33"/>
    <x v="0"/>
    <x v="22"/>
    <n v="65.099999999999994"/>
    <n v="23761.5"/>
    <n v="85541.4"/>
  </r>
  <r>
    <x v="0"/>
    <x v="0"/>
    <x v="0"/>
    <x v="3"/>
    <x v="4"/>
    <s v="DE4-E_A"/>
    <x v="1"/>
    <x v="2"/>
    <s v="GNR_ST_MSW_CND_E-33"/>
    <x v="0"/>
    <x v="23"/>
    <n v="65.099999999999994"/>
    <n v="23761.5"/>
    <n v="85541.4"/>
  </r>
  <r>
    <x v="0"/>
    <x v="0"/>
    <x v="0"/>
    <x v="3"/>
    <x v="4"/>
    <s v="DE4-E_A"/>
    <x v="2"/>
    <x v="1"/>
    <s v="GNR_CC_NGAS_BP_E-53"/>
    <x v="0"/>
    <x v="3"/>
    <n v="1999.9"/>
    <n v="729963.5"/>
    <n v="2627868.6"/>
  </r>
  <r>
    <x v="0"/>
    <x v="0"/>
    <x v="0"/>
    <x v="3"/>
    <x v="4"/>
    <s v="DE4-E_A"/>
    <x v="2"/>
    <x v="1"/>
    <s v="GNR_CC_NGAS_BP_E-53"/>
    <x v="0"/>
    <x v="4"/>
    <n v="1999.9"/>
    <n v="729963.5"/>
    <n v="2627868.6"/>
  </r>
  <r>
    <x v="0"/>
    <x v="0"/>
    <x v="0"/>
    <x v="3"/>
    <x v="4"/>
    <s v="DE4-E_A"/>
    <x v="2"/>
    <x v="1"/>
    <s v="GNR_CC_NGAS_BP_E-53"/>
    <x v="0"/>
    <x v="5"/>
    <n v="1999.9"/>
    <n v="729963.5"/>
    <n v="2627868.6"/>
  </r>
  <r>
    <x v="0"/>
    <x v="0"/>
    <x v="0"/>
    <x v="3"/>
    <x v="4"/>
    <s v="DE4-E_A"/>
    <x v="2"/>
    <x v="1"/>
    <s v="GNR_CC_NGAS_BP_E-53"/>
    <x v="0"/>
    <x v="6"/>
    <n v="1999.9"/>
    <n v="729963.5"/>
    <n v="2627868.6"/>
  </r>
  <r>
    <x v="0"/>
    <x v="0"/>
    <x v="0"/>
    <x v="3"/>
    <x v="4"/>
    <s v="DE4-E_A"/>
    <x v="2"/>
    <x v="1"/>
    <s v="GNR_CC_NGAS_BP_E-53"/>
    <x v="0"/>
    <x v="7"/>
    <n v="1999.9"/>
    <n v="729963.5"/>
    <n v="2627868.6"/>
  </r>
  <r>
    <x v="0"/>
    <x v="0"/>
    <x v="0"/>
    <x v="3"/>
    <x v="4"/>
    <s v="DE4-E_A"/>
    <x v="2"/>
    <x v="1"/>
    <s v="GNR_CC_NGAS_BP_E-53"/>
    <x v="0"/>
    <x v="8"/>
    <n v="1999.9"/>
    <n v="729963.5"/>
    <n v="2627868.6"/>
  </r>
  <r>
    <x v="0"/>
    <x v="0"/>
    <x v="0"/>
    <x v="3"/>
    <x v="4"/>
    <s v="DE4-E_A"/>
    <x v="2"/>
    <x v="1"/>
    <s v="GNR_CC_NGAS_BP_E-53"/>
    <x v="0"/>
    <x v="0"/>
    <n v="1999.9"/>
    <n v="729963.5"/>
    <n v="2627868.6"/>
  </r>
  <r>
    <x v="0"/>
    <x v="0"/>
    <x v="0"/>
    <x v="3"/>
    <x v="4"/>
    <s v="DE4-E_A"/>
    <x v="2"/>
    <x v="1"/>
    <s v="GNR_CC_NGAS_BP_E-53"/>
    <x v="0"/>
    <x v="1"/>
    <n v="1999.9"/>
    <n v="729963.5"/>
    <n v="2627868.6"/>
  </r>
  <r>
    <x v="0"/>
    <x v="0"/>
    <x v="0"/>
    <x v="3"/>
    <x v="4"/>
    <s v="DE4-E_A"/>
    <x v="2"/>
    <x v="1"/>
    <s v="GNR_CC_NGAS_BP_E-53"/>
    <x v="0"/>
    <x v="2"/>
    <n v="1999.9"/>
    <n v="729963.5"/>
    <n v="2627868.6"/>
  </r>
  <r>
    <x v="0"/>
    <x v="0"/>
    <x v="0"/>
    <x v="3"/>
    <x v="4"/>
    <s v="DE4-E_A"/>
    <x v="2"/>
    <x v="1"/>
    <s v="GNR_CC_NGAS_BP_E-53"/>
    <x v="0"/>
    <x v="9"/>
    <n v="1999.9"/>
    <n v="729963.5"/>
    <n v="2627868.6"/>
  </r>
  <r>
    <x v="0"/>
    <x v="0"/>
    <x v="0"/>
    <x v="3"/>
    <x v="4"/>
    <s v="DE4-E_A"/>
    <x v="2"/>
    <x v="1"/>
    <s v="GNR_CC_NGAS_BP_E-53"/>
    <x v="0"/>
    <x v="10"/>
    <n v="1999.9"/>
    <n v="729963.5"/>
    <n v="2627868.6"/>
  </r>
  <r>
    <x v="0"/>
    <x v="0"/>
    <x v="0"/>
    <x v="3"/>
    <x v="4"/>
    <s v="DE4-E_A"/>
    <x v="2"/>
    <x v="1"/>
    <s v="GNR_CC_NGAS_BP_E-53"/>
    <x v="0"/>
    <x v="11"/>
    <n v="1999.9"/>
    <n v="729963.5"/>
    <n v="2627868.6"/>
  </r>
  <r>
    <x v="0"/>
    <x v="0"/>
    <x v="0"/>
    <x v="3"/>
    <x v="4"/>
    <s v="DE4-E_A"/>
    <x v="2"/>
    <x v="1"/>
    <s v="GNR_CC_NGAS_BP_E-53"/>
    <x v="0"/>
    <x v="12"/>
    <n v="1999.9"/>
    <n v="729963.5"/>
    <n v="2627868.6"/>
  </r>
  <r>
    <x v="0"/>
    <x v="0"/>
    <x v="0"/>
    <x v="3"/>
    <x v="4"/>
    <s v="DE4-E_A"/>
    <x v="2"/>
    <x v="1"/>
    <s v="GNR_CC_NGAS_BP_E-53"/>
    <x v="0"/>
    <x v="13"/>
    <n v="1999.9"/>
    <n v="729963.5"/>
    <n v="2627868.6"/>
  </r>
  <r>
    <x v="0"/>
    <x v="0"/>
    <x v="0"/>
    <x v="3"/>
    <x v="4"/>
    <s v="DE4-E_A"/>
    <x v="2"/>
    <x v="1"/>
    <s v="GNR_CC_NGAS_BP_E-53"/>
    <x v="0"/>
    <x v="14"/>
    <n v="1999.9"/>
    <n v="729963.5"/>
    <n v="2627868.6"/>
  </r>
  <r>
    <x v="0"/>
    <x v="0"/>
    <x v="0"/>
    <x v="3"/>
    <x v="4"/>
    <s v="DE4-E_A"/>
    <x v="2"/>
    <x v="1"/>
    <s v="GNR_CC_NGAS_BP_E-53"/>
    <x v="0"/>
    <x v="15"/>
    <n v="1999.9"/>
    <n v="729963.5"/>
    <n v="2627868.6"/>
  </r>
  <r>
    <x v="0"/>
    <x v="0"/>
    <x v="0"/>
    <x v="3"/>
    <x v="4"/>
    <s v="DE4-E_A"/>
    <x v="2"/>
    <x v="1"/>
    <s v="GNR_CC_NGAS_BP_E-53"/>
    <x v="0"/>
    <x v="16"/>
    <n v="1999.9"/>
    <n v="729963.5"/>
    <n v="2627868.6"/>
  </r>
  <r>
    <x v="0"/>
    <x v="0"/>
    <x v="0"/>
    <x v="3"/>
    <x v="4"/>
    <s v="DE4-E_A"/>
    <x v="2"/>
    <x v="1"/>
    <s v="GNR_CC_NGAS_BP_E-53"/>
    <x v="0"/>
    <x v="17"/>
    <n v="1999.9"/>
    <n v="729963.5"/>
    <n v="2627868.6"/>
  </r>
  <r>
    <x v="0"/>
    <x v="0"/>
    <x v="0"/>
    <x v="3"/>
    <x v="4"/>
    <s v="DE4-E_A"/>
    <x v="2"/>
    <x v="1"/>
    <s v="GNR_CC_NGAS_BP_E-53"/>
    <x v="0"/>
    <x v="18"/>
    <n v="1999.9"/>
    <n v="729963.5"/>
    <n v="2627868.6"/>
  </r>
  <r>
    <x v="0"/>
    <x v="0"/>
    <x v="0"/>
    <x v="3"/>
    <x v="4"/>
    <s v="DE4-E_A"/>
    <x v="2"/>
    <x v="1"/>
    <s v="GNR_CC_NGAS_BP_E-53"/>
    <x v="0"/>
    <x v="19"/>
    <n v="1999.9"/>
    <n v="729963.5"/>
    <n v="2627868.6"/>
  </r>
  <r>
    <x v="0"/>
    <x v="0"/>
    <x v="0"/>
    <x v="3"/>
    <x v="4"/>
    <s v="DE4-E_A"/>
    <x v="2"/>
    <x v="1"/>
    <s v="GNR_CC_NGAS_BP_E-53"/>
    <x v="0"/>
    <x v="20"/>
    <n v="1999.9"/>
    <n v="729963.5"/>
    <n v="2627868.6"/>
  </r>
  <r>
    <x v="0"/>
    <x v="0"/>
    <x v="0"/>
    <x v="3"/>
    <x v="4"/>
    <s v="DE4-E_A"/>
    <x v="2"/>
    <x v="1"/>
    <s v="GNR_CC_NGAS_BP_E-53"/>
    <x v="0"/>
    <x v="21"/>
    <n v="1999.9"/>
    <n v="729963.5"/>
    <n v="2627868.6"/>
  </r>
  <r>
    <x v="0"/>
    <x v="0"/>
    <x v="0"/>
    <x v="3"/>
    <x v="4"/>
    <s v="DE4-E_A"/>
    <x v="2"/>
    <x v="1"/>
    <s v="GNR_CC_NGAS_BP_E-53"/>
    <x v="0"/>
    <x v="22"/>
    <n v="1999.9"/>
    <n v="729963.5"/>
    <n v="2627868.6"/>
  </r>
  <r>
    <x v="0"/>
    <x v="0"/>
    <x v="0"/>
    <x v="3"/>
    <x v="4"/>
    <s v="DE4-E_A"/>
    <x v="2"/>
    <x v="1"/>
    <s v="GNR_CC_NGAS_BP_E-53"/>
    <x v="0"/>
    <x v="23"/>
    <n v="1999.9"/>
    <n v="729963.5"/>
    <n v="2627868.6"/>
  </r>
  <r>
    <x v="0"/>
    <x v="0"/>
    <x v="0"/>
    <x v="3"/>
    <x v="4"/>
    <s v="DE4-E_A"/>
    <x v="2"/>
    <x v="2"/>
    <s v="GNR_CC_NGAS_CND_E-51"/>
    <x v="0"/>
    <x v="3"/>
    <n v="160"/>
    <n v="58400"/>
    <n v="210240"/>
  </r>
  <r>
    <x v="0"/>
    <x v="0"/>
    <x v="0"/>
    <x v="3"/>
    <x v="4"/>
    <s v="DE4-E_A"/>
    <x v="2"/>
    <x v="2"/>
    <s v="GNR_CC_NGAS_CND_E-51"/>
    <x v="0"/>
    <x v="4"/>
    <n v="160"/>
    <n v="58400"/>
    <n v="210240"/>
  </r>
  <r>
    <x v="0"/>
    <x v="0"/>
    <x v="0"/>
    <x v="3"/>
    <x v="4"/>
    <s v="DE4-E_A"/>
    <x v="2"/>
    <x v="2"/>
    <s v="GNR_CC_NGAS_CND_E-51"/>
    <x v="0"/>
    <x v="5"/>
    <n v="160"/>
    <n v="58400"/>
    <n v="210240"/>
  </r>
  <r>
    <x v="0"/>
    <x v="0"/>
    <x v="0"/>
    <x v="3"/>
    <x v="4"/>
    <s v="DE4-E_A"/>
    <x v="2"/>
    <x v="2"/>
    <s v="GNR_CC_NGAS_CND_E-51"/>
    <x v="0"/>
    <x v="6"/>
    <n v="160"/>
    <n v="58400"/>
    <n v="210240"/>
  </r>
  <r>
    <x v="0"/>
    <x v="0"/>
    <x v="0"/>
    <x v="3"/>
    <x v="4"/>
    <s v="DE4-E_A"/>
    <x v="2"/>
    <x v="2"/>
    <s v="GNR_CC_NGAS_CND_E-51"/>
    <x v="0"/>
    <x v="7"/>
    <n v="160"/>
    <n v="58400"/>
    <n v="210240"/>
  </r>
  <r>
    <x v="0"/>
    <x v="0"/>
    <x v="0"/>
    <x v="3"/>
    <x v="4"/>
    <s v="DE4-E_A"/>
    <x v="2"/>
    <x v="2"/>
    <s v="GNR_CC_NGAS_CND_E-51"/>
    <x v="0"/>
    <x v="8"/>
    <n v="160"/>
    <n v="58400"/>
    <n v="210240"/>
  </r>
  <r>
    <x v="0"/>
    <x v="0"/>
    <x v="0"/>
    <x v="3"/>
    <x v="4"/>
    <s v="DE4-E_A"/>
    <x v="2"/>
    <x v="2"/>
    <s v="GNR_CC_NGAS_CND_E-51"/>
    <x v="0"/>
    <x v="0"/>
    <n v="160"/>
    <n v="58400"/>
    <n v="210240"/>
  </r>
  <r>
    <x v="0"/>
    <x v="0"/>
    <x v="0"/>
    <x v="3"/>
    <x v="4"/>
    <s v="DE4-E_A"/>
    <x v="2"/>
    <x v="2"/>
    <s v="GNR_CC_NGAS_CND_E-51"/>
    <x v="0"/>
    <x v="1"/>
    <n v="160"/>
    <n v="58400"/>
    <n v="210240"/>
  </r>
  <r>
    <x v="0"/>
    <x v="0"/>
    <x v="0"/>
    <x v="3"/>
    <x v="4"/>
    <s v="DE4-E_A"/>
    <x v="2"/>
    <x v="2"/>
    <s v="GNR_CC_NGAS_CND_E-51"/>
    <x v="0"/>
    <x v="2"/>
    <n v="160"/>
    <n v="58400"/>
    <n v="210240"/>
  </r>
  <r>
    <x v="0"/>
    <x v="0"/>
    <x v="0"/>
    <x v="3"/>
    <x v="4"/>
    <s v="DE4-E_A"/>
    <x v="2"/>
    <x v="2"/>
    <s v="GNR_CC_NGAS_CND_E-51"/>
    <x v="0"/>
    <x v="9"/>
    <n v="160"/>
    <n v="58400"/>
    <n v="210240"/>
  </r>
  <r>
    <x v="0"/>
    <x v="0"/>
    <x v="0"/>
    <x v="3"/>
    <x v="4"/>
    <s v="DE4-E_A"/>
    <x v="2"/>
    <x v="2"/>
    <s v="GNR_CC_NGAS_CND_E-51"/>
    <x v="0"/>
    <x v="10"/>
    <n v="160"/>
    <n v="58400"/>
    <n v="210240"/>
  </r>
  <r>
    <x v="0"/>
    <x v="0"/>
    <x v="0"/>
    <x v="3"/>
    <x v="4"/>
    <s v="DE4-E_A"/>
    <x v="2"/>
    <x v="2"/>
    <s v="GNR_CC_NGAS_CND_E-51"/>
    <x v="0"/>
    <x v="11"/>
    <n v="160"/>
    <n v="58400"/>
    <n v="210240"/>
  </r>
  <r>
    <x v="0"/>
    <x v="0"/>
    <x v="0"/>
    <x v="3"/>
    <x v="4"/>
    <s v="DE4-E_A"/>
    <x v="2"/>
    <x v="2"/>
    <s v="GNR_CC_NGAS_CND_E-51"/>
    <x v="0"/>
    <x v="12"/>
    <n v="160"/>
    <n v="58400"/>
    <n v="210240"/>
  </r>
  <r>
    <x v="0"/>
    <x v="0"/>
    <x v="0"/>
    <x v="3"/>
    <x v="4"/>
    <s v="DE4-E_A"/>
    <x v="2"/>
    <x v="2"/>
    <s v="GNR_CC_NGAS_CND_E-51"/>
    <x v="0"/>
    <x v="13"/>
    <n v="160"/>
    <n v="58400"/>
    <n v="210240"/>
  </r>
  <r>
    <x v="0"/>
    <x v="0"/>
    <x v="0"/>
    <x v="3"/>
    <x v="4"/>
    <s v="DE4-E_A"/>
    <x v="2"/>
    <x v="2"/>
    <s v="GNR_CC_NGAS_CND_E-51"/>
    <x v="0"/>
    <x v="14"/>
    <n v="160"/>
    <n v="58400"/>
    <n v="210240"/>
  </r>
  <r>
    <x v="0"/>
    <x v="0"/>
    <x v="0"/>
    <x v="3"/>
    <x v="4"/>
    <s v="DE4-E_A"/>
    <x v="2"/>
    <x v="2"/>
    <s v="GNR_CC_NGAS_CND_E-51"/>
    <x v="0"/>
    <x v="15"/>
    <n v="160"/>
    <n v="58400"/>
    <n v="210240"/>
  </r>
  <r>
    <x v="0"/>
    <x v="0"/>
    <x v="0"/>
    <x v="3"/>
    <x v="4"/>
    <s v="DE4-E_A"/>
    <x v="2"/>
    <x v="2"/>
    <s v="GNR_CC_NGAS_CND_E-51"/>
    <x v="0"/>
    <x v="16"/>
    <n v="160"/>
    <n v="58400"/>
    <n v="210240"/>
  </r>
  <r>
    <x v="0"/>
    <x v="0"/>
    <x v="0"/>
    <x v="3"/>
    <x v="4"/>
    <s v="DE4-E_A"/>
    <x v="2"/>
    <x v="2"/>
    <s v="GNR_CC_NGAS_CND_E-51"/>
    <x v="0"/>
    <x v="17"/>
    <n v="160"/>
    <n v="58400"/>
    <n v="210240"/>
  </r>
  <r>
    <x v="0"/>
    <x v="0"/>
    <x v="0"/>
    <x v="3"/>
    <x v="4"/>
    <s v="DE4-E_A"/>
    <x v="2"/>
    <x v="2"/>
    <s v="GNR_CC_NGAS_CND_E-51"/>
    <x v="0"/>
    <x v="18"/>
    <n v="160"/>
    <n v="58400"/>
    <n v="210240"/>
  </r>
  <r>
    <x v="0"/>
    <x v="0"/>
    <x v="0"/>
    <x v="3"/>
    <x v="4"/>
    <s v="DE4-E_A"/>
    <x v="2"/>
    <x v="2"/>
    <s v="GNR_CC_NGAS_CND_E-51"/>
    <x v="0"/>
    <x v="19"/>
    <n v="160"/>
    <n v="58400"/>
    <n v="210240"/>
  </r>
  <r>
    <x v="0"/>
    <x v="0"/>
    <x v="0"/>
    <x v="3"/>
    <x v="4"/>
    <s v="DE4-E_A"/>
    <x v="2"/>
    <x v="2"/>
    <s v="GNR_CC_NGAS_CND_E-51"/>
    <x v="0"/>
    <x v="20"/>
    <n v="160"/>
    <n v="58400"/>
    <n v="210240"/>
  </r>
  <r>
    <x v="0"/>
    <x v="0"/>
    <x v="0"/>
    <x v="3"/>
    <x v="4"/>
    <s v="DE4-E_A"/>
    <x v="2"/>
    <x v="2"/>
    <s v="GNR_CC_NGAS_CND_E-51"/>
    <x v="0"/>
    <x v="21"/>
    <n v="160"/>
    <n v="58400"/>
    <n v="210240"/>
  </r>
  <r>
    <x v="0"/>
    <x v="0"/>
    <x v="0"/>
    <x v="3"/>
    <x v="4"/>
    <s v="DE4-E_A"/>
    <x v="2"/>
    <x v="2"/>
    <s v="GNR_CC_NGAS_CND_E-51"/>
    <x v="0"/>
    <x v="22"/>
    <n v="160"/>
    <n v="58400"/>
    <n v="210240"/>
  </r>
  <r>
    <x v="0"/>
    <x v="0"/>
    <x v="0"/>
    <x v="3"/>
    <x v="4"/>
    <s v="DE4-E_A"/>
    <x v="2"/>
    <x v="2"/>
    <s v="GNR_CC_NGAS_CND_E-51"/>
    <x v="0"/>
    <x v="23"/>
    <n v="160"/>
    <n v="58400"/>
    <n v="210240"/>
  </r>
  <r>
    <x v="0"/>
    <x v="0"/>
    <x v="0"/>
    <x v="3"/>
    <x v="4"/>
    <s v="DE4-E_A"/>
    <x v="2"/>
    <x v="2"/>
    <s v="GNR_CC_NGAS_CND_E-57"/>
    <x v="0"/>
    <x v="3"/>
    <n v="50"/>
    <n v="18250"/>
    <n v="65700"/>
  </r>
  <r>
    <x v="0"/>
    <x v="0"/>
    <x v="0"/>
    <x v="3"/>
    <x v="4"/>
    <s v="DE4-E_A"/>
    <x v="2"/>
    <x v="2"/>
    <s v="GNR_CC_NGAS_CND_E-57"/>
    <x v="0"/>
    <x v="4"/>
    <n v="50"/>
    <n v="18250"/>
    <n v="65700"/>
  </r>
  <r>
    <x v="0"/>
    <x v="0"/>
    <x v="0"/>
    <x v="3"/>
    <x v="4"/>
    <s v="DE4-E_A"/>
    <x v="2"/>
    <x v="2"/>
    <s v="GNR_CC_NGAS_CND_E-57"/>
    <x v="0"/>
    <x v="5"/>
    <n v="50"/>
    <n v="18250"/>
    <n v="65700"/>
  </r>
  <r>
    <x v="0"/>
    <x v="0"/>
    <x v="0"/>
    <x v="3"/>
    <x v="4"/>
    <s v="DE4-E_A"/>
    <x v="2"/>
    <x v="2"/>
    <s v="GNR_CC_NGAS_CND_E-57"/>
    <x v="0"/>
    <x v="6"/>
    <n v="50"/>
    <n v="18250"/>
    <n v="65700"/>
  </r>
  <r>
    <x v="0"/>
    <x v="0"/>
    <x v="0"/>
    <x v="3"/>
    <x v="4"/>
    <s v="DE4-E_A"/>
    <x v="2"/>
    <x v="2"/>
    <s v="GNR_CC_NGAS_CND_E-57"/>
    <x v="0"/>
    <x v="7"/>
    <n v="50"/>
    <n v="18250"/>
    <n v="65700"/>
  </r>
  <r>
    <x v="0"/>
    <x v="0"/>
    <x v="0"/>
    <x v="3"/>
    <x v="4"/>
    <s v="DE4-E_A"/>
    <x v="2"/>
    <x v="2"/>
    <s v="GNR_CC_NGAS_CND_E-57"/>
    <x v="0"/>
    <x v="8"/>
    <n v="50"/>
    <n v="18250"/>
    <n v="65700"/>
  </r>
  <r>
    <x v="0"/>
    <x v="0"/>
    <x v="0"/>
    <x v="3"/>
    <x v="4"/>
    <s v="DE4-E_A"/>
    <x v="2"/>
    <x v="2"/>
    <s v="GNR_CC_NGAS_CND_E-57"/>
    <x v="0"/>
    <x v="0"/>
    <n v="50"/>
    <n v="18250"/>
    <n v="65700"/>
  </r>
  <r>
    <x v="0"/>
    <x v="0"/>
    <x v="0"/>
    <x v="3"/>
    <x v="4"/>
    <s v="DE4-E_A"/>
    <x v="2"/>
    <x v="2"/>
    <s v="GNR_CC_NGAS_CND_E-57"/>
    <x v="0"/>
    <x v="1"/>
    <n v="50"/>
    <n v="18250"/>
    <n v="65700"/>
  </r>
  <r>
    <x v="0"/>
    <x v="0"/>
    <x v="0"/>
    <x v="3"/>
    <x v="4"/>
    <s v="DE4-E_A"/>
    <x v="2"/>
    <x v="2"/>
    <s v="GNR_CC_NGAS_CND_E-57"/>
    <x v="0"/>
    <x v="2"/>
    <n v="50"/>
    <n v="18250"/>
    <n v="65700"/>
  </r>
  <r>
    <x v="0"/>
    <x v="0"/>
    <x v="0"/>
    <x v="3"/>
    <x v="4"/>
    <s v="DE4-E_A"/>
    <x v="2"/>
    <x v="2"/>
    <s v="GNR_CC_NGAS_CND_E-57"/>
    <x v="0"/>
    <x v="9"/>
    <n v="50"/>
    <n v="18250"/>
    <n v="65700"/>
  </r>
  <r>
    <x v="0"/>
    <x v="0"/>
    <x v="0"/>
    <x v="3"/>
    <x v="4"/>
    <s v="DE4-E_A"/>
    <x v="2"/>
    <x v="2"/>
    <s v="GNR_CC_NGAS_CND_E-57"/>
    <x v="0"/>
    <x v="10"/>
    <n v="50"/>
    <n v="18250"/>
    <n v="65700"/>
  </r>
  <r>
    <x v="0"/>
    <x v="0"/>
    <x v="0"/>
    <x v="3"/>
    <x v="4"/>
    <s v="DE4-E_A"/>
    <x v="2"/>
    <x v="2"/>
    <s v="GNR_CC_NGAS_CND_E-57"/>
    <x v="0"/>
    <x v="11"/>
    <n v="50"/>
    <n v="18250"/>
    <n v="65700"/>
  </r>
  <r>
    <x v="0"/>
    <x v="0"/>
    <x v="0"/>
    <x v="3"/>
    <x v="4"/>
    <s v="DE4-E_A"/>
    <x v="2"/>
    <x v="2"/>
    <s v="GNR_CC_NGAS_CND_E-57"/>
    <x v="0"/>
    <x v="12"/>
    <n v="50"/>
    <n v="18250"/>
    <n v="65700"/>
  </r>
  <r>
    <x v="0"/>
    <x v="0"/>
    <x v="0"/>
    <x v="3"/>
    <x v="4"/>
    <s v="DE4-E_A"/>
    <x v="2"/>
    <x v="2"/>
    <s v="GNR_CC_NGAS_CND_E-57"/>
    <x v="0"/>
    <x v="13"/>
    <n v="50"/>
    <n v="18250"/>
    <n v="65700"/>
  </r>
  <r>
    <x v="0"/>
    <x v="0"/>
    <x v="0"/>
    <x v="3"/>
    <x v="4"/>
    <s v="DE4-E_A"/>
    <x v="2"/>
    <x v="2"/>
    <s v="GNR_CC_NGAS_CND_E-57"/>
    <x v="0"/>
    <x v="14"/>
    <n v="50"/>
    <n v="18250"/>
    <n v="65700"/>
  </r>
  <r>
    <x v="0"/>
    <x v="0"/>
    <x v="0"/>
    <x v="3"/>
    <x v="4"/>
    <s v="DE4-E_A"/>
    <x v="2"/>
    <x v="2"/>
    <s v="GNR_CC_NGAS_CND_E-57"/>
    <x v="0"/>
    <x v="15"/>
    <n v="50"/>
    <n v="18250"/>
    <n v="65700"/>
  </r>
  <r>
    <x v="0"/>
    <x v="0"/>
    <x v="0"/>
    <x v="3"/>
    <x v="4"/>
    <s v="DE4-E_A"/>
    <x v="2"/>
    <x v="2"/>
    <s v="GNR_CC_NGAS_CND_E-57"/>
    <x v="0"/>
    <x v="16"/>
    <n v="50"/>
    <n v="18250"/>
    <n v="65700"/>
  </r>
  <r>
    <x v="0"/>
    <x v="0"/>
    <x v="0"/>
    <x v="3"/>
    <x v="4"/>
    <s v="DE4-E_A"/>
    <x v="2"/>
    <x v="2"/>
    <s v="GNR_CC_NGAS_CND_E-57"/>
    <x v="0"/>
    <x v="17"/>
    <n v="50"/>
    <n v="18250"/>
    <n v="65700"/>
  </r>
  <r>
    <x v="0"/>
    <x v="0"/>
    <x v="0"/>
    <x v="3"/>
    <x v="4"/>
    <s v="DE4-E_A"/>
    <x v="2"/>
    <x v="2"/>
    <s v="GNR_CC_NGAS_CND_E-57"/>
    <x v="0"/>
    <x v="18"/>
    <n v="50"/>
    <n v="18250"/>
    <n v="65700"/>
  </r>
  <r>
    <x v="0"/>
    <x v="0"/>
    <x v="0"/>
    <x v="3"/>
    <x v="4"/>
    <s v="DE4-E_A"/>
    <x v="2"/>
    <x v="2"/>
    <s v="GNR_CC_NGAS_CND_E-57"/>
    <x v="0"/>
    <x v="19"/>
    <n v="50"/>
    <n v="18250"/>
    <n v="65700"/>
  </r>
  <r>
    <x v="0"/>
    <x v="0"/>
    <x v="0"/>
    <x v="3"/>
    <x v="4"/>
    <s v="DE4-E_A"/>
    <x v="2"/>
    <x v="2"/>
    <s v="GNR_CC_NGAS_CND_E-57"/>
    <x v="0"/>
    <x v="20"/>
    <n v="50"/>
    <n v="18250"/>
    <n v="65700"/>
  </r>
  <r>
    <x v="0"/>
    <x v="0"/>
    <x v="0"/>
    <x v="3"/>
    <x v="4"/>
    <s v="DE4-E_A"/>
    <x v="2"/>
    <x v="2"/>
    <s v="GNR_CC_NGAS_CND_E-57"/>
    <x v="0"/>
    <x v="21"/>
    <n v="50"/>
    <n v="18250"/>
    <n v="65700"/>
  </r>
  <r>
    <x v="0"/>
    <x v="0"/>
    <x v="0"/>
    <x v="3"/>
    <x v="4"/>
    <s v="DE4-E_A"/>
    <x v="2"/>
    <x v="2"/>
    <s v="GNR_CC_NGAS_CND_E-57"/>
    <x v="0"/>
    <x v="22"/>
    <n v="50"/>
    <n v="18250"/>
    <n v="65700"/>
  </r>
  <r>
    <x v="0"/>
    <x v="0"/>
    <x v="0"/>
    <x v="3"/>
    <x v="4"/>
    <s v="DE4-E_A"/>
    <x v="2"/>
    <x v="2"/>
    <s v="GNR_CC_NGAS_CND_E-57"/>
    <x v="0"/>
    <x v="23"/>
    <n v="50"/>
    <n v="18250"/>
    <n v="65700"/>
  </r>
  <r>
    <x v="0"/>
    <x v="0"/>
    <x v="0"/>
    <x v="3"/>
    <x v="4"/>
    <s v="DE4-E_A"/>
    <x v="2"/>
    <x v="1"/>
    <s v="GNR_GT_NGAS_BP_E-38"/>
    <x v="0"/>
    <x v="3"/>
    <n v="225.7"/>
    <n v="82380.5"/>
    <n v="296569.8"/>
  </r>
  <r>
    <x v="0"/>
    <x v="0"/>
    <x v="0"/>
    <x v="3"/>
    <x v="4"/>
    <s v="DE4-E_A"/>
    <x v="2"/>
    <x v="1"/>
    <s v="GNR_GT_NGAS_BP_E-38"/>
    <x v="0"/>
    <x v="4"/>
    <n v="225.7"/>
    <n v="82380.5"/>
    <n v="296569.8"/>
  </r>
  <r>
    <x v="0"/>
    <x v="0"/>
    <x v="0"/>
    <x v="3"/>
    <x v="4"/>
    <s v="DE4-E_A"/>
    <x v="2"/>
    <x v="1"/>
    <s v="GNR_GT_NGAS_BP_E-38"/>
    <x v="0"/>
    <x v="5"/>
    <n v="225.7"/>
    <n v="82380.5"/>
    <n v="296569.8"/>
  </r>
  <r>
    <x v="0"/>
    <x v="0"/>
    <x v="0"/>
    <x v="3"/>
    <x v="4"/>
    <s v="DE4-E_A"/>
    <x v="2"/>
    <x v="1"/>
    <s v="GNR_GT_NGAS_BP_E-38"/>
    <x v="0"/>
    <x v="6"/>
    <n v="225.7"/>
    <n v="82380.5"/>
    <n v="296569.8"/>
  </r>
  <r>
    <x v="0"/>
    <x v="0"/>
    <x v="0"/>
    <x v="3"/>
    <x v="4"/>
    <s v="DE4-E_A"/>
    <x v="2"/>
    <x v="1"/>
    <s v="GNR_GT_NGAS_BP_E-38"/>
    <x v="0"/>
    <x v="7"/>
    <n v="225.7"/>
    <n v="82380.5"/>
    <n v="296569.8"/>
  </r>
  <r>
    <x v="0"/>
    <x v="0"/>
    <x v="0"/>
    <x v="3"/>
    <x v="4"/>
    <s v="DE4-E_A"/>
    <x v="2"/>
    <x v="1"/>
    <s v="GNR_GT_NGAS_BP_E-38"/>
    <x v="0"/>
    <x v="8"/>
    <n v="225.7"/>
    <n v="82380.5"/>
    <n v="296569.8"/>
  </r>
  <r>
    <x v="0"/>
    <x v="0"/>
    <x v="0"/>
    <x v="3"/>
    <x v="4"/>
    <s v="DE4-E_A"/>
    <x v="2"/>
    <x v="1"/>
    <s v="GNR_GT_NGAS_BP_E-38"/>
    <x v="0"/>
    <x v="0"/>
    <n v="225.7"/>
    <n v="82380.5"/>
    <n v="296569.8"/>
  </r>
  <r>
    <x v="0"/>
    <x v="0"/>
    <x v="0"/>
    <x v="3"/>
    <x v="4"/>
    <s v="DE4-E_A"/>
    <x v="2"/>
    <x v="1"/>
    <s v="GNR_GT_NGAS_BP_E-38"/>
    <x v="0"/>
    <x v="1"/>
    <n v="225.7"/>
    <n v="82380.5"/>
    <n v="296569.8"/>
  </r>
  <r>
    <x v="0"/>
    <x v="0"/>
    <x v="0"/>
    <x v="3"/>
    <x v="4"/>
    <s v="DE4-E_A"/>
    <x v="2"/>
    <x v="1"/>
    <s v="GNR_GT_NGAS_BP_E-38"/>
    <x v="0"/>
    <x v="2"/>
    <n v="225.7"/>
    <n v="82380.5"/>
    <n v="296569.8"/>
  </r>
  <r>
    <x v="0"/>
    <x v="0"/>
    <x v="0"/>
    <x v="3"/>
    <x v="4"/>
    <s v="DE4-E_A"/>
    <x v="2"/>
    <x v="1"/>
    <s v="GNR_GT_NGAS_BP_E-38"/>
    <x v="0"/>
    <x v="9"/>
    <n v="225.7"/>
    <n v="82380.5"/>
    <n v="296569.8"/>
  </r>
  <r>
    <x v="0"/>
    <x v="0"/>
    <x v="0"/>
    <x v="3"/>
    <x v="4"/>
    <s v="DE4-E_A"/>
    <x v="2"/>
    <x v="1"/>
    <s v="GNR_GT_NGAS_BP_E-38"/>
    <x v="0"/>
    <x v="10"/>
    <n v="225.7"/>
    <n v="82380.5"/>
    <n v="296569.8"/>
  </r>
  <r>
    <x v="0"/>
    <x v="0"/>
    <x v="0"/>
    <x v="3"/>
    <x v="4"/>
    <s v="DE4-E_A"/>
    <x v="2"/>
    <x v="1"/>
    <s v="GNR_GT_NGAS_BP_E-38"/>
    <x v="0"/>
    <x v="11"/>
    <n v="225.7"/>
    <n v="82380.5"/>
    <n v="296569.8"/>
  </r>
  <r>
    <x v="0"/>
    <x v="0"/>
    <x v="0"/>
    <x v="3"/>
    <x v="4"/>
    <s v="DE4-E_A"/>
    <x v="2"/>
    <x v="1"/>
    <s v="GNR_GT_NGAS_BP_E-38"/>
    <x v="0"/>
    <x v="12"/>
    <n v="225.7"/>
    <n v="82380.5"/>
    <n v="296569.8"/>
  </r>
  <r>
    <x v="0"/>
    <x v="0"/>
    <x v="0"/>
    <x v="3"/>
    <x v="4"/>
    <s v="DE4-E_A"/>
    <x v="2"/>
    <x v="1"/>
    <s v="GNR_GT_NGAS_BP_E-38"/>
    <x v="0"/>
    <x v="13"/>
    <n v="225.7"/>
    <n v="82380.5"/>
    <n v="296569.8"/>
  </r>
  <r>
    <x v="0"/>
    <x v="0"/>
    <x v="0"/>
    <x v="3"/>
    <x v="4"/>
    <s v="DE4-E_A"/>
    <x v="2"/>
    <x v="1"/>
    <s v="GNR_GT_NGAS_BP_E-38"/>
    <x v="0"/>
    <x v="14"/>
    <n v="225.7"/>
    <n v="82380.5"/>
    <n v="296569.8"/>
  </r>
  <r>
    <x v="0"/>
    <x v="0"/>
    <x v="0"/>
    <x v="3"/>
    <x v="4"/>
    <s v="DE4-E_A"/>
    <x v="2"/>
    <x v="1"/>
    <s v="GNR_GT_NGAS_BP_E-38"/>
    <x v="0"/>
    <x v="15"/>
    <n v="225.7"/>
    <n v="82380.5"/>
    <n v="296569.8"/>
  </r>
  <r>
    <x v="0"/>
    <x v="0"/>
    <x v="0"/>
    <x v="3"/>
    <x v="4"/>
    <s v="DE4-E_A"/>
    <x v="2"/>
    <x v="1"/>
    <s v="GNR_GT_NGAS_BP_E-38"/>
    <x v="0"/>
    <x v="16"/>
    <n v="225.7"/>
    <n v="82380.5"/>
    <n v="296569.8"/>
  </r>
  <r>
    <x v="0"/>
    <x v="0"/>
    <x v="0"/>
    <x v="3"/>
    <x v="4"/>
    <s v="DE4-E_A"/>
    <x v="2"/>
    <x v="1"/>
    <s v="GNR_GT_NGAS_BP_E-38"/>
    <x v="0"/>
    <x v="17"/>
    <n v="225.7"/>
    <n v="82380.5"/>
    <n v="296569.8"/>
  </r>
  <r>
    <x v="0"/>
    <x v="0"/>
    <x v="0"/>
    <x v="3"/>
    <x v="4"/>
    <s v="DE4-E_A"/>
    <x v="2"/>
    <x v="1"/>
    <s v="GNR_GT_NGAS_BP_E-38"/>
    <x v="0"/>
    <x v="18"/>
    <n v="225.7"/>
    <n v="82380.5"/>
    <n v="296569.8"/>
  </r>
  <r>
    <x v="0"/>
    <x v="0"/>
    <x v="0"/>
    <x v="3"/>
    <x v="4"/>
    <s v="DE4-E_A"/>
    <x v="2"/>
    <x v="1"/>
    <s v="GNR_GT_NGAS_BP_E-38"/>
    <x v="0"/>
    <x v="19"/>
    <n v="225.7"/>
    <n v="82380.5"/>
    <n v="296569.8"/>
  </r>
  <r>
    <x v="0"/>
    <x v="0"/>
    <x v="0"/>
    <x v="3"/>
    <x v="4"/>
    <s v="DE4-E_A"/>
    <x v="2"/>
    <x v="1"/>
    <s v="GNR_GT_NGAS_BP_E-38"/>
    <x v="0"/>
    <x v="20"/>
    <n v="225.7"/>
    <n v="82380.5"/>
    <n v="296569.8"/>
  </r>
  <r>
    <x v="0"/>
    <x v="0"/>
    <x v="0"/>
    <x v="3"/>
    <x v="4"/>
    <s v="DE4-E_A"/>
    <x v="2"/>
    <x v="1"/>
    <s v="GNR_GT_NGAS_BP_E-38"/>
    <x v="0"/>
    <x v="21"/>
    <n v="225.7"/>
    <n v="82380.5"/>
    <n v="296569.8"/>
  </r>
  <r>
    <x v="0"/>
    <x v="0"/>
    <x v="0"/>
    <x v="3"/>
    <x v="4"/>
    <s v="DE4-E_A"/>
    <x v="2"/>
    <x v="1"/>
    <s v="GNR_GT_NGAS_BP_E-38"/>
    <x v="0"/>
    <x v="22"/>
    <n v="225.7"/>
    <n v="82380.5"/>
    <n v="296569.8"/>
  </r>
  <r>
    <x v="0"/>
    <x v="0"/>
    <x v="0"/>
    <x v="3"/>
    <x v="4"/>
    <s v="DE4-E_A"/>
    <x v="2"/>
    <x v="1"/>
    <s v="GNR_GT_NGAS_BP_E-38"/>
    <x v="0"/>
    <x v="23"/>
    <n v="225.7"/>
    <n v="82380.5"/>
    <n v="296569.8"/>
  </r>
  <r>
    <x v="0"/>
    <x v="0"/>
    <x v="0"/>
    <x v="3"/>
    <x v="4"/>
    <s v="DE4-E_A"/>
    <x v="2"/>
    <x v="2"/>
    <s v="GNR_GT_NGAS_CND_E-35"/>
    <x v="0"/>
    <x v="3"/>
    <n v="446"/>
    <n v="162790"/>
    <n v="586044"/>
  </r>
  <r>
    <x v="0"/>
    <x v="0"/>
    <x v="0"/>
    <x v="3"/>
    <x v="4"/>
    <s v="DE4-E_A"/>
    <x v="2"/>
    <x v="2"/>
    <s v="GNR_GT_NGAS_CND_E-35"/>
    <x v="0"/>
    <x v="4"/>
    <n v="446"/>
    <n v="162790"/>
    <n v="586044"/>
  </r>
  <r>
    <x v="0"/>
    <x v="0"/>
    <x v="0"/>
    <x v="3"/>
    <x v="4"/>
    <s v="DE4-E_A"/>
    <x v="2"/>
    <x v="2"/>
    <s v="GNR_GT_NGAS_CND_E-35"/>
    <x v="0"/>
    <x v="5"/>
    <n v="446"/>
    <n v="162790"/>
    <n v="586044"/>
  </r>
  <r>
    <x v="0"/>
    <x v="0"/>
    <x v="0"/>
    <x v="3"/>
    <x v="4"/>
    <s v="DE4-E_A"/>
    <x v="2"/>
    <x v="2"/>
    <s v="GNR_GT_NGAS_CND_E-35"/>
    <x v="0"/>
    <x v="6"/>
    <n v="446"/>
    <n v="162790"/>
    <n v="586044"/>
  </r>
  <r>
    <x v="0"/>
    <x v="0"/>
    <x v="0"/>
    <x v="3"/>
    <x v="4"/>
    <s v="DE4-E_A"/>
    <x v="2"/>
    <x v="2"/>
    <s v="GNR_GT_NGAS_CND_E-35"/>
    <x v="0"/>
    <x v="7"/>
    <n v="446"/>
    <n v="162790"/>
    <n v="586044"/>
  </r>
  <r>
    <x v="0"/>
    <x v="0"/>
    <x v="0"/>
    <x v="3"/>
    <x v="4"/>
    <s v="DE4-E_A"/>
    <x v="2"/>
    <x v="2"/>
    <s v="GNR_GT_NGAS_CND_E-35"/>
    <x v="0"/>
    <x v="8"/>
    <n v="446"/>
    <n v="162790"/>
    <n v="586044"/>
  </r>
  <r>
    <x v="0"/>
    <x v="0"/>
    <x v="0"/>
    <x v="3"/>
    <x v="4"/>
    <s v="DE4-E_A"/>
    <x v="2"/>
    <x v="2"/>
    <s v="GNR_GT_NGAS_CND_E-35"/>
    <x v="0"/>
    <x v="0"/>
    <n v="446"/>
    <n v="162790"/>
    <n v="586044"/>
  </r>
  <r>
    <x v="0"/>
    <x v="0"/>
    <x v="0"/>
    <x v="3"/>
    <x v="4"/>
    <s v="DE4-E_A"/>
    <x v="2"/>
    <x v="2"/>
    <s v="GNR_GT_NGAS_CND_E-35"/>
    <x v="0"/>
    <x v="1"/>
    <n v="446"/>
    <n v="162790"/>
    <n v="586044"/>
  </r>
  <r>
    <x v="0"/>
    <x v="0"/>
    <x v="0"/>
    <x v="3"/>
    <x v="4"/>
    <s v="DE4-E_A"/>
    <x v="2"/>
    <x v="2"/>
    <s v="GNR_GT_NGAS_CND_E-35"/>
    <x v="0"/>
    <x v="2"/>
    <n v="446"/>
    <n v="162790"/>
    <n v="586044"/>
  </r>
  <r>
    <x v="0"/>
    <x v="0"/>
    <x v="0"/>
    <x v="3"/>
    <x v="4"/>
    <s v="DE4-E_A"/>
    <x v="2"/>
    <x v="2"/>
    <s v="GNR_GT_NGAS_CND_E-35"/>
    <x v="0"/>
    <x v="9"/>
    <n v="446"/>
    <n v="162790"/>
    <n v="586044"/>
  </r>
  <r>
    <x v="0"/>
    <x v="0"/>
    <x v="0"/>
    <x v="3"/>
    <x v="4"/>
    <s v="DE4-E_A"/>
    <x v="2"/>
    <x v="2"/>
    <s v="GNR_GT_NGAS_CND_E-35"/>
    <x v="0"/>
    <x v="10"/>
    <n v="446"/>
    <n v="162790"/>
    <n v="586044"/>
  </r>
  <r>
    <x v="0"/>
    <x v="0"/>
    <x v="0"/>
    <x v="3"/>
    <x v="4"/>
    <s v="DE4-E_A"/>
    <x v="2"/>
    <x v="2"/>
    <s v="GNR_GT_NGAS_CND_E-35"/>
    <x v="0"/>
    <x v="11"/>
    <n v="446"/>
    <n v="162790"/>
    <n v="586044"/>
  </r>
  <r>
    <x v="0"/>
    <x v="0"/>
    <x v="0"/>
    <x v="3"/>
    <x v="4"/>
    <s v="DE4-E_A"/>
    <x v="2"/>
    <x v="2"/>
    <s v="GNR_GT_NGAS_CND_E-35"/>
    <x v="0"/>
    <x v="12"/>
    <n v="446"/>
    <n v="162790"/>
    <n v="586044"/>
  </r>
  <r>
    <x v="0"/>
    <x v="0"/>
    <x v="0"/>
    <x v="3"/>
    <x v="4"/>
    <s v="DE4-E_A"/>
    <x v="2"/>
    <x v="2"/>
    <s v="GNR_GT_NGAS_CND_E-35"/>
    <x v="0"/>
    <x v="13"/>
    <n v="446"/>
    <n v="162790"/>
    <n v="586044"/>
  </r>
  <r>
    <x v="0"/>
    <x v="0"/>
    <x v="0"/>
    <x v="3"/>
    <x v="4"/>
    <s v="DE4-E_A"/>
    <x v="2"/>
    <x v="2"/>
    <s v="GNR_GT_NGAS_CND_E-35"/>
    <x v="0"/>
    <x v="14"/>
    <n v="446"/>
    <n v="162790"/>
    <n v="586044"/>
  </r>
  <r>
    <x v="0"/>
    <x v="0"/>
    <x v="0"/>
    <x v="3"/>
    <x v="4"/>
    <s v="DE4-E_A"/>
    <x v="2"/>
    <x v="2"/>
    <s v="GNR_GT_NGAS_CND_E-35"/>
    <x v="0"/>
    <x v="15"/>
    <n v="446"/>
    <n v="162790"/>
    <n v="586044"/>
  </r>
  <r>
    <x v="0"/>
    <x v="0"/>
    <x v="0"/>
    <x v="3"/>
    <x v="4"/>
    <s v="DE4-E_A"/>
    <x v="2"/>
    <x v="2"/>
    <s v="GNR_GT_NGAS_CND_E-35"/>
    <x v="0"/>
    <x v="16"/>
    <n v="446"/>
    <n v="162790"/>
    <n v="586044"/>
  </r>
  <r>
    <x v="0"/>
    <x v="0"/>
    <x v="0"/>
    <x v="3"/>
    <x v="4"/>
    <s v="DE4-E_A"/>
    <x v="2"/>
    <x v="2"/>
    <s v="GNR_GT_NGAS_CND_E-35"/>
    <x v="0"/>
    <x v="17"/>
    <n v="446"/>
    <n v="162790"/>
    <n v="586044"/>
  </r>
  <r>
    <x v="0"/>
    <x v="0"/>
    <x v="0"/>
    <x v="3"/>
    <x v="4"/>
    <s v="DE4-E_A"/>
    <x v="2"/>
    <x v="2"/>
    <s v="GNR_GT_NGAS_CND_E-35"/>
    <x v="0"/>
    <x v="18"/>
    <n v="446"/>
    <n v="162790"/>
    <n v="586044"/>
  </r>
  <r>
    <x v="0"/>
    <x v="0"/>
    <x v="0"/>
    <x v="3"/>
    <x v="4"/>
    <s v="DE4-E_A"/>
    <x v="2"/>
    <x v="2"/>
    <s v="GNR_GT_NGAS_CND_E-35"/>
    <x v="0"/>
    <x v="19"/>
    <n v="446"/>
    <n v="162790"/>
    <n v="586044"/>
  </r>
  <r>
    <x v="0"/>
    <x v="0"/>
    <x v="0"/>
    <x v="3"/>
    <x v="4"/>
    <s v="DE4-E_A"/>
    <x v="2"/>
    <x v="2"/>
    <s v="GNR_GT_NGAS_CND_E-35"/>
    <x v="0"/>
    <x v="20"/>
    <n v="446"/>
    <n v="162790"/>
    <n v="586044"/>
  </r>
  <r>
    <x v="0"/>
    <x v="0"/>
    <x v="0"/>
    <x v="3"/>
    <x v="4"/>
    <s v="DE4-E_A"/>
    <x v="2"/>
    <x v="2"/>
    <s v="GNR_GT_NGAS_CND_E-35"/>
    <x v="0"/>
    <x v="21"/>
    <n v="446"/>
    <n v="162790"/>
    <n v="586044"/>
  </r>
  <r>
    <x v="0"/>
    <x v="0"/>
    <x v="0"/>
    <x v="3"/>
    <x v="4"/>
    <s v="DE4-E_A"/>
    <x v="2"/>
    <x v="2"/>
    <s v="GNR_GT_NGAS_CND_E-35"/>
    <x v="0"/>
    <x v="22"/>
    <n v="446"/>
    <n v="162790"/>
    <n v="586044"/>
  </r>
  <r>
    <x v="0"/>
    <x v="0"/>
    <x v="0"/>
    <x v="3"/>
    <x v="4"/>
    <s v="DE4-E_A"/>
    <x v="2"/>
    <x v="2"/>
    <s v="GNR_GT_NGAS_CND_E-35"/>
    <x v="0"/>
    <x v="23"/>
    <n v="446"/>
    <n v="162790"/>
    <n v="586044"/>
  </r>
  <r>
    <x v="0"/>
    <x v="0"/>
    <x v="0"/>
    <x v="3"/>
    <x v="4"/>
    <s v="DE4-E_A"/>
    <x v="2"/>
    <x v="1"/>
    <s v="GNR_ST_NGAS_BP_E-31"/>
    <x v="0"/>
    <x v="3"/>
    <n v="26.5"/>
    <n v="9672.5"/>
    <n v="34821"/>
  </r>
  <r>
    <x v="0"/>
    <x v="0"/>
    <x v="0"/>
    <x v="3"/>
    <x v="4"/>
    <s v="DE4-E_A"/>
    <x v="2"/>
    <x v="1"/>
    <s v="GNR_ST_NGAS_BP_E-31"/>
    <x v="0"/>
    <x v="4"/>
    <n v="26.5"/>
    <n v="9672.5"/>
    <n v="34821"/>
  </r>
  <r>
    <x v="0"/>
    <x v="0"/>
    <x v="0"/>
    <x v="3"/>
    <x v="4"/>
    <s v="DE4-E_A"/>
    <x v="2"/>
    <x v="1"/>
    <s v="GNR_ST_NGAS_BP_E-31"/>
    <x v="0"/>
    <x v="5"/>
    <n v="26.5"/>
    <n v="9672.5"/>
    <n v="34821"/>
  </r>
  <r>
    <x v="0"/>
    <x v="0"/>
    <x v="0"/>
    <x v="3"/>
    <x v="4"/>
    <s v="DE4-E_A"/>
    <x v="2"/>
    <x v="1"/>
    <s v="GNR_ST_NGAS_BP_E-31"/>
    <x v="0"/>
    <x v="6"/>
    <n v="26.5"/>
    <n v="9672.5"/>
    <n v="34821"/>
  </r>
  <r>
    <x v="0"/>
    <x v="0"/>
    <x v="0"/>
    <x v="3"/>
    <x v="4"/>
    <s v="DE4-E_A"/>
    <x v="2"/>
    <x v="1"/>
    <s v="GNR_ST_NGAS_BP_E-31"/>
    <x v="0"/>
    <x v="7"/>
    <n v="26.5"/>
    <n v="9672.5"/>
    <n v="34821"/>
  </r>
  <r>
    <x v="0"/>
    <x v="0"/>
    <x v="0"/>
    <x v="3"/>
    <x v="4"/>
    <s v="DE4-E_A"/>
    <x v="2"/>
    <x v="1"/>
    <s v="GNR_ST_NGAS_BP_E-31"/>
    <x v="0"/>
    <x v="8"/>
    <n v="26.5"/>
    <n v="9672.5"/>
    <n v="34821"/>
  </r>
  <r>
    <x v="0"/>
    <x v="0"/>
    <x v="0"/>
    <x v="3"/>
    <x v="4"/>
    <s v="DE4-E_A"/>
    <x v="2"/>
    <x v="1"/>
    <s v="GNR_ST_NGAS_BP_E-31"/>
    <x v="0"/>
    <x v="0"/>
    <n v="26.5"/>
    <n v="9672.5"/>
    <n v="34821"/>
  </r>
  <r>
    <x v="0"/>
    <x v="0"/>
    <x v="0"/>
    <x v="3"/>
    <x v="4"/>
    <s v="DE4-E_A"/>
    <x v="2"/>
    <x v="1"/>
    <s v="GNR_ST_NGAS_BP_E-31"/>
    <x v="0"/>
    <x v="1"/>
    <n v="26.5"/>
    <n v="9672.5"/>
    <n v="34821"/>
  </r>
  <r>
    <x v="0"/>
    <x v="0"/>
    <x v="0"/>
    <x v="3"/>
    <x v="4"/>
    <s v="DE4-E_A"/>
    <x v="2"/>
    <x v="1"/>
    <s v="GNR_ST_NGAS_BP_E-31"/>
    <x v="0"/>
    <x v="2"/>
    <n v="26.5"/>
    <n v="9672.5"/>
    <n v="34821"/>
  </r>
  <r>
    <x v="0"/>
    <x v="0"/>
    <x v="0"/>
    <x v="3"/>
    <x v="4"/>
    <s v="DE4-E_A"/>
    <x v="2"/>
    <x v="1"/>
    <s v="GNR_ST_NGAS_BP_E-31"/>
    <x v="0"/>
    <x v="9"/>
    <n v="26.5"/>
    <n v="9672.5"/>
    <n v="34821"/>
  </r>
  <r>
    <x v="0"/>
    <x v="0"/>
    <x v="0"/>
    <x v="3"/>
    <x v="4"/>
    <s v="DE4-E_A"/>
    <x v="2"/>
    <x v="1"/>
    <s v="GNR_ST_NGAS_BP_E-31"/>
    <x v="0"/>
    <x v="10"/>
    <n v="26.5"/>
    <n v="9672.5"/>
    <n v="34821"/>
  </r>
  <r>
    <x v="0"/>
    <x v="0"/>
    <x v="0"/>
    <x v="3"/>
    <x v="4"/>
    <s v="DE4-E_A"/>
    <x v="2"/>
    <x v="1"/>
    <s v="GNR_ST_NGAS_BP_E-31"/>
    <x v="0"/>
    <x v="11"/>
    <n v="26.5"/>
    <n v="9672.5"/>
    <n v="34821"/>
  </r>
  <r>
    <x v="0"/>
    <x v="0"/>
    <x v="0"/>
    <x v="3"/>
    <x v="4"/>
    <s v="DE4-E_A"/>
    <x v="2"/>
    <x v="1"/>
    <s v="GNR_ST_NGAS_BP_E-31"/>
    <x v="0"/>
    <x v="12"/>
    <n v="26.5"/>
    <n v="9672.5"/>
    <n v="34821"/>
  </r>
  <r>
    <x v="0"/>
    <x v="0"/>
    <x v="0"/>
    <x v="3"/>
    <x v="4"/>
    <s v="DE4-E_A"/>
    <x v="2"/>
    <x v="1"/>
    <s v="GNR_ST_NGAS_BP_E-31"/>
    <x v="0"/>
    <x v="13"/>
    <n v="26.5"/>
    <n v="9672.5"/>
    <n v="34821"/>
  </r>
  <r>
    <x v="0"/>
    <x v="0"/>
    <x v="0"/>
    <x v="3"/>
    <x v="4"/>
    <s v="DE4-E_A"/>
    <x v="2"/>
    <x v="1"/>
    <s v="GNR_ST_NGAS_BP_E-31"/>
    <x v="0"/>
    <x v="14"/>
    <n v="26.5"/>
    <n v="9672.5"/>
    <n v="34821"/>
  </r>
  <r>
    <x v="0"/>
    <x v="0"/>
    <x v="0"/>
    <x v="3"/>
    <x v="4"/>
    <s v="DE4-E_A"/>
    <x v="2"/>
    <x v="1"/>
    <s v="GNR_ST_NGAS_BP_E-31"/>
    <x v="0"/>
    <x v="15"/>
    <n v="26.5"/>
    <n v="9672.5"/>
    <n v="34821"/>
  </r>
  <r>
    <x v="0"/>
    <x v="0"/>
    <x v="0"/>
    <x v="3"/>
    <x v="4"/>
    <s v="DE4-E_A"/>
    <x v="2"/>
    <x v="1"/>
    <s v="GNR_ST_NGAS_BP_E-31"/>
    <x v="0"/>
    <x v="16"/>
    <n v="26.5"/>
    <n v="9672.5"/>
    <n v="34821"/>
  </r>
  <r>
    <x v="0"/>
    <x v="0"/>
    <x v="0"/>
    <x v="3"/>
    <x v="4"/>
    <s v="DE4-E_A"/>
    <x v="2"/>
    <x v="1"/>
    <s v="GNR_ST_NGAS_BP_E-31"/>
    <x v="0"/>
    <x v="17"/>
    <n v="26.5"/>
    <n v="9672.5"/>
    <n v="34821"/>
  </r>
  <r>
    <x v="0"/>
    <x v="0"/>
    <x v="0"/>
    <x v="3"/>
    <x v="4"/>
    <s v="DE4-E_A"/>
    <x v="2"/>
    <x v="1"/>
    <s v="GNR_ST_NGAS_BP_E-31"/>
    <x v="0"/>
    <x v="18"/>
    <n v="26.5"/>
    <n v="9672.5"/>
    <n v="34821"/>
  </r>
  <r>
    <x v="0"/>
    <x v="0"/>
    <x v="0"/>
    <x v="3"/>
    <x v="4"/>
    <s v="DE4-E_A"/>
    <x v="2"/>
    <x v="1"/>
    <s v="GNR_ST_NGAS_BP_E-31"/>
    <x v="0"/>
    <x v="19"/>
    <n v="26.5"/>
    <n v="9672.5"/>
    <n v="34821"/>
  </r>
  <r>
    <x v="0"/>
    <x v="0"/>
    <x v="0"/>
    <x v="3"/>
    <x v="4"/>
    <s v="DE4-E_A"/>
    <x v="2"/>
    <x v="1"/>
    <s v="GNR_ST_NGAS_BP_E-31"/>
    <x v="0"/>
    <x v="20"/>
    <n v="26.5"/>
    <n v="9672.5"/>
    <n v="34821"/>
  </r>
  <r>
    <x v="0"/>
    <x v="0"/>
    <x v="0"/>
    <x v="3"/>
    <x v="4"/>
    <s v="DE4-E_A"/>
    <x v="2"/>
    <x v="1"/>
    <s v="GNR_ST_NGAS_BP_E-31"/>
    <x v="0"/>
    <x v="21"/>
    <n v="26.5"/>
    <n v="9672.5"/>
    <n v="34821"/>
  </r>
  <r>
    <x v="0"/>
    <x v="0"/>
    <x v="0"/>
    <x v="3"/>
    <x v="4"/>
    <s v="DE4-E_A"/>
    <x v="2"/>
    <x v="1"/>
    <s v="GNR_ST_NGAS_BP_E-31"/>
    <x v="0"/>
    <x v="22"/>
    <n v="26.5"/>
    <n v="9672.5"/>
    <n v="34821"/>
  </r>
  <r>
    <x v="0"/>
    <x v="0"/>
    <x v="0"/>
    <x v="3"/>
    <x v="4"/>
    <s v="DE4-E_A"/>
    <x v="2"/>
    <x v="1"/>
    <s v="GNR_ST_NGAS_BP_E-31"/>
    <x v="0"/>
    <x v="23"/>
    <n v="26.5"/>
    <n v="9672.5"/>
    <n v="34821"/>
  </r>
  <r>
    <x v="0"/>
    <x v="0"/>
    <x v="0"/>
    <x v="3"/>
    <x v="4"/>
    <s v="DE4-E_A"/>
    <x v="2"/>
    <x v="1"/>
    <s v="GNR_ST_NGAS_BP_E-38"/>
    <x v="0"/>
    <x v="3"/>
    <n v="1223"/>
    <n v="446395"/>
    <n v="1607022"/>
  </r>
  <r>
    <x v="0"/>
    <x v="0"/>
    <x v="0"/>
    <x v="3"/>
    <x v="4"/>
    <s v="DE4-E_A"/>
    <x v="2"/>
    <x v="1"/>
    <s v="GNR_ST_NGAS_BP_E-38"/>
    <x v="0"/>
    <x v="4"/>
    <n v="1223"/>
    <n v="446395"/>
    <n v="1607022"/>
  </r>
  <r>
    <x v="0"/>
    <x v="0"/>
    <x v="0"/>
    <x v="3"/>
    <x v="4"/>
    <s v="DE4-E_A"/>
    <x v="2"/>
    <x v="1"/>
    <s v="GNR_ST_NGAS_BP_E-38"/>
    <x v="0"/>
    <x v="5"/>
    <n v="1223"/>
    <n v="446395"/>
    <n v="1607022"/>
  </r>
  <r>
    <x v="0"/>
    <x v="0"/>
    <x v="0"/>
    <x v="3"/>
    <x v="4"/>
    <s v="DE4-E_A"/>
    <x v="2"/>
    <x v="1"/>
    <s v="GNR_ST_NGAS_BP_E-38"/>
    <x v="0"/>
    <x v="6"/>
    <n v="1223"/>
    <n v="446395"/>
    <n v="1607022"/>
  </r>
  <r>
    <x v="0"/>
    <x v="0"/>
    <x v="0"/>
    <x v="3"/>
    <x v="4"/>
    <s v="DE4-E_A"/>
    <x v="2"/>
    <x v="1"/>
    <s v="GNR_ST_NGAS_BP_E-38"/>
    <x v="0"/>
    <x v="7"/>
    <n v="1223"/>
    <n v="446395"/>
    <n v="1607022"/>
  </r>
  <r>
    <x v="0"/>
    <x v="0"/>
    <x v="0"/>
    <x v="3"/>
    <x v="4"/>
    <s v="DE4-E_A"/>
    <x v="2"/>
    <x v="1"/>
    <s v="GNR_ST_NGAS_BP_E-38"/>
    <x v="0"/>
    <x v="8"/>
    <n v="1223"/>
    <n v="446395"/>
    <n v="1607022"/>
  </r>
  <r>
    <x v="0"/>
    <x v="0"/>
    <x v="0"/>
    <x v="3"/>
    <x v="4"/>
    <s v="DE4-E_A"/>
    <x v="2"/>
    <x v="1"/>
    <s v="GNR_ST_NGAS_BP_E-38"/>
    <x v="0"/>
    <x v="0"/>
    <n v="1223"/>
    <n v="446395"/>
    <n v="1607022"/>
  </r>
  <r>
    <x v="0"/>
    <x v="0"/>
    <x v="0"/>
    <x v="3"/>
    <x v="4"/>
    <s v="DE4-E_A"/>
    <x v="2"/>
    <x v="1"/>
    <s v="GNR_ST_NGAS_BP_E-38"/>
    <x v="0"/>
    <x v="1"/>
    <n v="1223"/>
    <n v="446395"/>
    <n v="1607022"/>
  </r>
  <r>
    <x v="0"/>
    <x v="0"/>
    <x v="0"/>
    <x v="3"/>
    <x v="4"/>
    <s v="DE4-E_A"/>
    <x v="2"/>
    <x v="1"/>
    <s v="GNR_ST_NGAS_BP_E-38"/>
    <x v="0"/>
    <x v="2"/>
    <n v="1223"/>
    <n v="446395"/>
    <n v="1607022"/>
  </r>
  <r>
    <x v="0"/>
    <x v="0"/>
    <x v="0"/>
    <x v="3"/>
    <x v="4"/>
    <s v="DE4-E_A"/>
    <x v="2"/>
    <x v="1"/>
    <s v="GNR_ST_NGAS_BP_E-38"/>
    <x v="0"/>
    <x v="9"/>
    <n v="1223"/>
    <n v="446395"/>
    <n v="1607022"/>
  </r>
  <r>
    <x v="0"/>
    <x v="0"/>
    <x v="0"/>
    <x v="3"/>
    <x v="4"/>
    <s v="DE4-E_A"/>
    <x v="2"/>
    <x v="1"/>
    <s v="GNR_ST_NGAS_BP_E-38"/>
    <x v="0"/>
    <x v="10"/>
    <n v="1223"/>
    <n v="446395"/>
    <n v="1607022"/>
  </r>
  <r>
    <x v="0"/>
    <x v="0"/>
    <x v="0"/>
    <x v="3"/>
    <x v="4"/>
    <s v="DE4-E_A"/>
    <x v="2"/>
    <x v="1"/>
    <s v="GNR_ST_NGAS_BP_E-38"/>
    <x v="0"/>
    <x v="11"/>
    <n v="1223"/>
    <n v="446395"/>
    <n v="1607022"/>
  </r>
  <r>
    <x v="0"/>
    <x v="0"/>
    <x v="0"/>
    <x v="3"/>
    <x v="4"/>
    <s v="DE4-E_A"/>
    <x v="2"/>
    <x v="1"/>
    <s v="GNR_ST_NGAS_BP_E-38"/>
    <x v="0"/>
    <x v="12"/>
    <n v="1223"/>
    <n v="446395"/>
    <n v="1607022"/>
  </r>
  <r>
    <x v="0"/>
    <x v="0"/>
    <x v="0"/>
    <x v="3"/>
    <x v="4"/>
    <s v="DE4-E_A"/>
    <x v="2"/>
    <x v="1"/>
    <s v="GNR_ST_NGAS_BP_E-38"/>
    <x v="0"/>
    <x v="13"/>
    <n v="1223"/>
    <n v="446395"/>
    <n v="1607022"/>
  </r>
  <r>
    <x v="0"/>
    <x v="0"/>
    <x v="0"/>
    <x v="3"/>
    <x v="4"/>
    <s v="DE4-E_A"/>
    <x v="2"/>
    <x v="1"/>
    <s v="GNR_ST_NGAS_BP_E-38"/>
    <x v="0"/>
    <x v="14"/>
    <n v="1223"/>
    <n v="446395"/>
    <n v="1607022"/>
  </r>
  <r>
    <x v="0"/>
    <x v="0"/>
    <x v="0"/>
    <x v="3"/>
    <x v="4"/>
    <s v="DE4-E_A"/>
    <x v="2"/>
    <x v="1"/>
    <s v="GNR_ST_NGAS_BP_E-38"/>
    <x v="0"/>
    <x v="15"/>
    <n v="1223"/>
    <n v="446395"/>
    <n v="1607022"/>
  </r>
  <r>
    <x v="0"/>
    <x v="0"/>
    <x v="0"/>
    <x v="3"/>
    <x v="4"/>
    <s v="DE4-E_A"/>
    <x v="2"/>
    <x v="1"/>
    <s v="GNR_ST_NGAS_BP_E-38"/>
    <x v="0"/>
    <x v="16"/>
    <n v="1223"/>
    <n v="446395"/>
    <n v="1607022"/>
  </r>
  <r>
    <x v="0"/>
    <x v="0"/>
    <x v="0"/>
    <x v="3"/>
    <x v="4"/>
    <s v="DE4-E_A"/>
    <x v="2"/>
    <x v="1"/>
    <s v="GNR_ST_NGAS_BP_E-38"/>
    <x v="0"/>
    <x v="17"/>
    <n v="1223"/>
    <n v="446395"/>
    <n v="1607022"/>
  </r>
  <r>
    <x v="0"/>
    <x v="0"/>
    <x v="0"/>
    <x v="3"/>
    <x v="4"/>
    <s v="DE4-E_A"/>
    <x v="2"/>
    <x v="1"/>
    <s v="GNR_ST_NGAS_BP_E-38"/>
    <x v="0"/>
    <x v="18"/>
    <n v="1223"/>
    <n v="446395"/>
    <n v="1607022"/>
  </r>
  <r>
    <x v="0"/>
    <x v="0"/>
    <x v="0"/>
    <x v="3"/>
    <x v="4"/>
    <s v="DE4-E_A"/>
    <x v="2"/>
    <x v="1"/>
    <s v="GNR_ST_NGAS_BP_E-38"/>
    <x v="0"/>
    <x v="19"/>
    <n v="1223"/>
    <n v="446395"/>
    <n v="1607022"/>
  </r>
  <r>
    <x v="0"/>
    <x v="0"/>
    <x v="0"/>
    <x v="3"/>
    <x v="4"/>
    <s v="DE4-E_A"/>
    <x v="2"/>
    <x v="1"/>
    <s v="GNR_ST_NGAS_BP_E-38"/>
    <x v="0"/>
    <x v="20"/>
    <n v="1223"/>
    <n v="446395"/>
    <n v="1607022"/>
  </r>
  <r>
    <x v="0"/>
    <x v="0"/>
    <x v="0"/>
    <x v="3"/>
    <x v="4"/>
    <s v="DE4-E_A"/>
    <x v="2"/>
    <x v="1"/>
    <s v="GNR_ST_NGAS_BP_E-38"/>
    <x v="0"/>
    <x v="21"/>
    <n v="1223"/>
    <n v="446395"/>
    <n v="1607022"/>
  </r>
  <r>
    <x v="0"/>
    <x v="0"/>
    <x v="0"/>
    <x v="3"/>
    <x v="4"/>
    <s v="DE4-E_A"/>
    <x v="2"/>
    <x v="1"/>
    <s v="GNR_ST_NGAS_BP_E-38"/>
    <x v="0"/>
    <x v="22"/>
    <n v="1223"/>
    <n v="446395"/>
    <n v="1607022"/>
  </r>
  <r>
    <x v="0"/>
    <x v="0"/>
    <x v="0"/>
    <x v="3"/>
    <x v="4"/>
    <s v="DE4-E_A"/>
    <x v="2"/>
    <x v="1"/>
    <s v="GNR_ST_NGAS_BP_E-38"/>
    <x v="0"/>
    <x v="23"/>
    <n v="1223"/>
    <n v="446395"/>
    <n v="1607022"/>
  </r>
  <r>
    <x v="0"/>
    <x v="0"/>
    <x v="0"/>
    <x v="3"/>
    <x v="4"/>
    <s v="DE4-E_A"/>
    <x v="2"/>
    <x v="2"/>
    <s v="GNR_ST_NGAS_CND_E-38"/>
    <x v="0"/>
    <x v="3"/>
    <n v="40"/>
    <n v="14600"/>
    <n v="52560"/>
  </r>
  <r>
    <x v="0"/>
    <x v="0"/>
    <x v="0"/>
    <x v="3"/>
    <x v="4"/>
    <s v="DE4-E_A"/>
    <x v="2"/>
    <x v="2"/>
    <s v="GNR_ST_NGAS_CND_E-38"/>
    <x v="0"/>
    <x v="4"/>
    <n v="40"/>
    <n v="14600"/>
    <n v="52560"/>
  </r>
  <r>
    <x v="0"/>
    <x v="0"/>
    <x v="0"/>
    <x v="3"/>
    <x v="4"/>
    <s v="DE4-E_A"/>
    <x v="2"/>
    <x v="2"/>
    <s v="GNR_ST_NGAS_CND_E-38"/>
    <x v="0"/>
    <x v="5"/>
    <n v="40"/>
    <n v="14600"/>
    <n v="52560"/>
  </r>
  <r>
    <x v="0"/>
    <x v="0"/>
    <x v="0"/>
    <x v="3"/>
    <x v="4"/>
    <s v="DE4-E_A"/>
    <x v="2"/>
    <x v="2"/>
    <s v="GNR_ST_NGAS_CND_E-38"/>
    <x v="0"/>
    <x v="6"/>
    <n v="40"/>
    <n v="14600"/>
    <n v="52560"/>
  </r>
  <r>
    <x v="0"/>
    <x v="0"/>
    <x v="0"/>
    <x v="3"/>
    <x v="4"/>
    <s v="DE4-E_A"/>
    <x v="2"/>
    <x v="2"/>
    <s v="GNR_ST_NGAS_CND_E-38"/>
    <x v="0"/>
    <x v="7"/>
    <n v="40"/>
    <n v="14600"/>
    <n v="52560"/>
  </r>
  <r>
    <x v="0"/>
    <x v="0"/>
    <x v="0"/>
    <x v="3"/>
    <x v="4"/>
    <s v="DE4-E_A"/>
    <x v="2"/>
    <x v="2"/>
    <s v="GNR_ST_NGAS_CND_E-38"/>
    <x v="0"/>
    <x v="8"/>
    <n v="40"/>
    <n v="14600"/>
    <n v="52560"/>
  </r>
  <r>
    <x v="0"/>
    <x v="0"/>
    <x v="0"/>
    <x v="3"/>
    <x v="4"/>
    <s v="DE4-E_A"/>
    <x v="2"/>
    <x v="2"/>
    <s v="GNR_ST_NGAS_CND_E-38"/>
    <x v="0"/>
    <x v="0"/>
    <n v="40"/>
    <n v="14600"/>
    <n v="52560"/>
  </r>
  <r>
    <x v="0"/>
    <x v="0"/>
    <x v="0"/>
    <x v="3"/>
    <x v="4"/>
    <s v="DE4-E_A"/>
    <x v="2"/>
    <x v="2"/>
    <s v="GNR_ST_NGAS_CND_E-38"/>
    <x v="0"/>
    <x v="1"/>
    <n v="40"/>
    <n v="14600"/>
    <n v="52560"/>
  </r>
  <r>
    <x v="0"/>
    <x v="0"/>
    <x v="0"/>
    <x v="3"/>
    <x v="4"/>
    <s v="DE4-E_A"/>
    <x v="2"/>
    <x v="2"/>
    <s v="GNR_ST_NGAS_CND_E-38"/>
    <x v="0"/>
    <x v="2"/>
    <n v="40"/>
    <n v="14600"/>
    <n v="52560"/>
  </r>
  <r>
    <x v="0"/>
    <x v="0"/>
    <x v="0"/>
    <x v="3"/>
    <x v="4"/>
    <s v="DE4-E_A"/>
    <x v="2"/>
    <x v="2"/>
    <s v="GNR_ST_NGAS_CND_E-38"/>
    <x v="0"/>
    <x v="9"/>
    <n v="40"/>
    <n v="14600"/>
    <n v="52560"/>
  </r>
  <r>
    <x v="0"/>
    <x v="0"/>
    <x v="0"/>
    <x v="3"/>
    <x v="4"/>
    <s v="DE4-E_A"/>
    <x v="2"/>
    <x v="2"/>
    <s v="GNR_ST_NGAS_CND_E-38"/>
    <x v="0"/>
    <x v="10"/>
    <n v="40"/>
    <n v="14600"/>
    <n v="52560"/>
  </r>
  <r>
    <x v="0"/>
    <x v="0"/>
    <x v="0"/>
    <x v="3"/>
    <x v="4"/>
    <s v="DE4-E_A"/>
    <x v="2"/>
    <x v="2"/>
    <s v="GNR_ST_NGAS_CND_E-38"/>
    <x v="0"/>
    <x v="11"/>
    <n v="40"/>
    <n v="14600"/>
    <n v="52560"/>
  </r>
  <r>
    <x v="0"/>
    <x v="0"/>
    <x v="0"/>
    <x v="3"/>
    <x v="4"/>
    <s v="DE4-E_A"/>
    <x v="2"/>
    <x v="2"/>
    <s v="GNR_ST_NGAS_CND_E-38"/>
    <x v="0"/>
    <x v="12"/>
    <n v="40"/>
    <n v="14600"/>
    <n v="52560"/>
  </r>
  <r>
    <x v="0"/>
    <x v="0"/>
    <x v="0"/>
    <x v="3"/>
    <x v="4"/>
    <s v="DE4-E_A"/>
    <x v="2"/>
    <x v="2"/>
    <s v="GNR_ST_NGAS_CND_E-38"/>
    <x v="0"/>
    <x v="13"/>
    <n v="40"/>
    <n v="14600"/>
    <n v="52560"/>
  </r>
  <r>
    <x v="0"/>
    <x v="0"/>
    <x v="0"/>
    <x v="3"/>
    <x v="4"/>
    <s v="DE4-E_A"/>
    <x v="2"/>
    <x v="2"/>
    <s v="GNR_ST_NGAS_CND_E-38"/>
    <x v="0"/>
    <x v="14"/>
    <n v="40"/>
    <n v="14600"/>
    <n v="52560"/>
  </r>
  <r>
    <x v="0"/>
    <x v="0"/>
    <x v="0"/>
    <x v="3"/>
    <x v="4"/>
    <s v="DE4-E_A"/>
    <x v="2"/>
    <x v="2"/>
    <s v="GNR_ST_NGAS_CND_E-38"/>
    <x v="0"/>
    <x v="15"/>
    <n v="40"/>
    <n v="14600"/>
    <n v="52560"/>
  </r>
  <r>
    <x v="0"/>
    <x v="0"/>
    <x v="0"/>
    <x v="3"/>
    <x v="4"/>
    <s v="DE4-E_A"/>
    <x v="2"/>
    <x v="2"/>
    <s v="GNR_ST_NGAS_CND_E-38"/>
    <x v="0"/>
    <x v="16"/>
    <n v="40"/>
    <n v="14600"/>
    <n v="52560"/>
  </r>
  <r>
    <x v="0"/>
    <x v="0"/>
    <x v="0"/>
    <x v="3"/>
    <x v="4"/>
    <s v="DE4-E_A"/>
    <x v="2"/>
    <x v="2"/>
    <s v="GNR_ST_NGAS_CND_E-38"/>
    <x v="0"/>
    <x v="17"/>
    <n v="40"/>
    <n v="14600"/>
    <n v="52560"/>
  </r>
  <r>
    <x v="0"/>
    <x v="0"/>
    <x v="0"/>
    <x v="3"/>
    <x v="4"/>
    <s v="DE4-E_A"/>
    <x v="2"/>
    <x v="2"/>
    <s v="GNR_ST_NGAS_CND_E-38"/>
    <x v="0"/>
    <x v="18"/>
    <n v="40"/>
    <n v="14600"/>
    <n v="52560"/>
  </r>
  <r>
    <x v="0"/>
    <x v="0"/>
    <x v="0"/>
    <x v="3"/>
    <x v="4"/>
    <s v="DE4-E_A"/>
    <x v="2"/>
    <x v="2"/>
    <s v="GNR_ST_NGAS_CND_E-38"/>
    <x v="0"/>
    <x v="19"/>
    <n v="40"/>
    <n v="14600"/>
    <n v="52560"/>
  </r>
  <r>
    <x v="0"/>
    <x v="0"/>
    <x v="0"/>
    <x v="3"/>
    <x v="4"/>
    <s v="DE4-E_A"/>
    <x v="2"/>
    <x v="2"/>
    <s v="GNR_ST_NGAS_CND_E-38"/>
    <x v="0"/>
    <x v="20"/>
    <n v="40"/>
    <n v="14600"/>
    <n v="52560"/>
  </r>
  <r>
    <x v="0"/>
    <x v="0"/>
    <x v="0"/>
    <x v="3"/>
    <x v="4"/>
    <s v="DE4-E_A"/>
    <x v="2"/>
    <x v="2"/>
    <s v="GNR_ST_NGAS_CND_E-38"/>
    <x v="0"/>
    <x v="21"/>
    <n v="40"/>
    <n v="14600"/>
    <n v="52560"/>
  </r>
  <r>
    <x v="0"/>
    <x v="0"/>
    <x v="0"/>
    <x v="3"/>
    <x v="4"/>
    <s v="DE4-E_A"/>
    <x v="2"/>
    <x v="2"/>
    <s v="GNR_ST_NGAS_CND_E-38"/>
    <x v="0"/>
    <x v="22"/>
    <n v="40"/>
    <n v="14600"/>
    <n v="52560"/>
  </r>
  <r>
    <x v="0"/>
    <x v="0"/>
    <x v="0"/>
    <x v="3"/>
    <x v="4"/>
    <s v="DE4-E_A"/>
    <x v="2"/>
    <x v="2"/>
    <s v="GNR_ST_NGAS_CND_E-38"/>
    <x v="0"/>
    <x v="23"/>
    <n v="40"/>
    <n v="14600"/>
    <n v="52560"/>
  </r>
  <r>
    <x v="0"/>
    <x v="0"/>
    <x v="0"/>
    <x v="3"/>
    <x v="4"/>
    <s v="DE4-E_A"/>
    <x v="5"/>
    <x v="3"/>
    <s v="GNR_PV_SUN"/>
    <x v="0"/>
    <x v="2"/>
    <n v="231.322785698838"/>
    <n v="84432.816780075897"/>
    <n v="303958.14040827297"/>
  </r>
  <r>
    <x v="0"/>
    <x v="0"/>
    <x v="0"/>
    <x v="3"/>
    <x v="4"/>
    <s v="DE4-E_A"/>
    <x v="5"/>
    <x v="3"/>
    <s v="GNR_PV_SUN"/>
    <x v="0"/>
    <x v="9"/>
    <n v="1741.44538156869"/>
    <n v="635627.56427257101"/>
    <n v="2288259.2313812599"/>
  </r>
  <r>
    <x v="0"/>
    <x v="0"/>
    <x v="0"/>
    <x v="3"/>
    <x v="4"/>
    <s v="DE4-E_A"/>
    <x v="5"/>
    <x v="3"/>
    <s v="GNR_PV_SUN"/>
    <x v="0"/>
    <x v="10"/>
    <n v="4022.6439297679999"/>
    <n v="1468265.0343653201"/>
    <n v="5285754.1237151502"/>
  </r>
  <r>
    <x v="0"/>
    <x v="0"/>
    <x v="0"/>
    <x v="3"/>
    <x v="4"/>
    <s v="DE4-E_A"/>
    <x v="5"/>
    <x v="3"/>
    <s v="GNR_PV_SUN"/>
    <x v="0"/>
    <x v="11"/>
    <n v="6125.9018735835898"/>
    <n v="2235954.18385801"/>
    <n v="8049435.06188884"/>
  </r>
  <r>
    <x v="0"/>
    <x v="0"/>
    <x v="0"/>
    <x v="3"/>
    <x v="4"/>
    <s v="DE4-E_A"/>
    <x v="5"/>
    <x v="3"/>
    <s v="GNR_PV_SUN"/>
    <x v="0"/>
    <x v="12"/>
    <n v="6964.5952555788699"/>
    <n v="2542077.2682862901"/>
    <n v="9151478.1658306308"/>
  </r>
  <r>
    <x v="0"/>
    <x v="0"/>
    <x v="0"/>
    <x v="3"/>
    <x v="4"/>
    <s v="DE4-E_A"/>
    <x v="5"/>
    <x v="3"/>
    <s v="GNR_PV_SUN"/>
    <x v="0"/>
    <x v="13"/>
    <n v="6055.9119025259897"/>
    <n v="2210407.8444219902"/>
    <n v="7957468.2399191502"/>
  </r>
  <r>
    <x v="0"/>
    <x v="0"/>
    <x v="0"/>
    <x v="3"/>
    <x v="4"/>
    <s v="DE4-E_A"/>
    <x v="5"/>
    <x v="3"/>
    <s v="GNR_PV_SUN"/>
    <x v="0"/>
    <x v="14"/>
    <n v="3940.7912517514901"/>
    <n v="1438388.80688929"/>
    <n v="5178199.7048014598"/>
  </r>
  <r>
    <x v="0"/>
    <x v="0"/>
    <x v="0"/>
    <x v="3"/>
    <x v="4"/>
    <s v="DE4-E_A"/>
    <x v="5"/>
    <x v="3"/>
    <s v="GNR_PV_SUN"/>
    <x v="0"/>
    <x v="15"/>
    <n v="1995.30731048947"/>
    <n v="728287.16832865495"/>
    <n v="2621833.8059831602"/>
  </r>
  <r>
    <x v="0"/>
    <x v="0"/>
    <x v="0"/>
    <x v="3"/>
    <x v="4"/>
    <s v="DE4-E_A"/>
    <x v="5"/>
    <x v="3"/>
    <s v="GNR_PV_SUN"/>
    <x v="0"/>
    <x v="16"/>
    <n v="259.79328240023398"/>
    <n v="94824.548076085295"/>
    <n v="341368.37307390699"/>
  </r>
  <r>
    <x v="0"/>
    <x v="0"/>
    <x v="0"/>
    <x v="3"/>
    <x v="4"/>
    <s v="DE4-E_A"/>
    <x v="16"/>
    <x v="2"/>
    <s v="GNR_GEO_HEAT_EO"/>
    <x v="0"/>
    <x v="3"/>
    <n v="0.22"/>
    <n v="80.3"/>
    <n v="289.08"/>
  </r>
  <r>
    <x v="0"/>
    <x v="0"/>
    <x v="0"/>
    <x v="3"/>
    <x v="4"/>
    <s v="DE4-E_A"/>
    <x v="16"/>
    <x v="2"/>
    <s v="GNR_GEO_HEAT_EO"/>
    <x v="0"/>
    <x v="4"/>
    <n v="0.22"/>
    <n v="80.3"/>
    <n v="289.08"/>
  </r>
  <r>
    <x v="0"/>
    <x v="0"/>
    <x v="0"/>
    <x v="3"/>
    <x v="4"/>
    <s v="DE4-E_A"/>
    <x v="16"/>
    <x v="2"/>
    <s v="GNR_GEO_HEAT_EO"/>
    <x v="0"/>
    <x v="5"/>
    <n v="0.22"/>
    <n v="80.3"/>
    <n v="289.08"/>
  </r>
  <r>
    <x v="0"/>
    <x v="0"/>
    <x v="0"/>
    <x v="3"/>
    <x v="4"/>
    <s v="DE4-E_A"/>
    <x v="16"/>
    <x v="2"/>
    <s v="GNR_GEO_HEAT_EO"/>
    <x v="0"/>
    <x v="6"/>
    <n v="0.22"/>
    <n v="80.3"/>
    <n v="289.08"/>
  </r>
  <r>
    <x v="0"/>
    <x v="0"/>
    <x v="0"/>
    <x v="3"/>
    <x v="4"/>
    <s v="DE4-E_A"/>
    <x v="16"/>
    <x v="2"/>
    <s v="GNR_GEO_HEAT_EO"/>
    <x v="0"/>
    <x v="7"/>
    <n v="0.22"/>
    <n v="80.3"/>
    <n v="289.08"/>
  </r>
  <r>
    <x v="0"/>
    <x v="0"/>
    <x v="0"/>
    <x v="3"/>
    <x v="4"/>
    <s v="DE4-E_A"/>
    <x v="16"/>
    <x v="2"/>
    <s v="GNR_GEO_HEAT_EO"/>
    <x v="0"/>
    <x v="8"/>
    <n v="0.22"/>
    <n v="80.3"/>
    <n v="289.08"/>
  </r>
  <r>
    <x v="0"/>
    <x v="0"/>
    <x v="0"/>
    <x v="3"/>
    <x v="4"/>
    <s v="DE4-E_A"/>
    <x v="16"/>
    <x v="2"/>
    <s v="GNR_GEO_HEAT_EO"/>
    <x v="0"/>
    <x v="0"/>
    <n v="0.22"/>
    <n v="80.3"/>
    <n v="289.08"/>
  </r>
  <r>
    <x v="0"/>
    <x v="0"/>
    <x v="0"/>
    <x v="3"/>
    <x v="4"/>
    <s v="DE4-E_A"/>
    <x v="16"/>
    <x v="2"/>
    <s v="GNR_GEO_HEAT_EO"/>
    <x v="0"/>
    <x v="1"/>
    <n v="0.22"/>
    <n v="80.3"/>
    <n v="289.08"/>
  </r>
  <r>
    <x v="0"/>
    <x v="0"/>
    <x v="0"/>
    <x v="3"/>
    <x v="4"/>
    <s v="DE4-E_A"/>
    <x v="16"/>
    <x v="2"/>
    <s v="GNR_GEO_HEAT_EO"/>
    <x v="0"/>
    <x v="2"/>
    <n v="0.22"/>
    <n v="80.3"/>
    <n v="289.08"/>
  </r>
  <r>
    <x v="0"/>
    <x v="0"/>
    <x v="0"/>
    <x v="3"/>
    <x v="4"/>
    <s v="DE4-E_A"/>
    <x v="16"/>
    <x v="2"/>
    <s v="GNR_GEO_HEAT_EO"/>
    <x v="0"/>
    <x v="9"/>
    <n v="0.22"/>
    <n v="80.3"/>
    <n v="289.08"/>
  </r>
  <r>
    <x v="0"/>
    <x v="0"/>
    <x v="0"/>
    <x v="3"/>
    <x v="4"/>
    <s v="DE4-E_A"/>
    <x v="16"/>
    <x v="2"/>
    <s v="GNR_GEO_HEAT_EO"/>
    <x v="0"/>
    <x v="10"/>
    <n v="0.22"/>
    <n v="80.3"/>
    <n v="289.08"/>
  </r>
  <r>
    <x v="0"/>
    <x v="0"/>
    <x v="0"/>
    <x v="3"/>
    <x v="4"/>
    <s v="DE4-E_A"/>
    <x v="16"/>
    <x v="2"/>
    <s v="GNR_GEO_HEAT_EO"/>
    <x v="0"/>
    <x v="11"/>
    <n v="0.22"/>
    <n v="80.3"/>
    <n v="289.08"/>
  </r>
  <r>
    <x v="0"/>
    <x v="0"/>
    <x v="0"/>
    <x v="3"/>
    <x v="4"/>
    <s v="DE4-E_A"/>
    <x v="16"/>
    <x v="2"/>
    <s v="GNR_GEO_HEAT_EO"/>
    <x v="0"/>
    <x v="12"/>
    <n v="0.22"/>
    <n v="80.3"/>
    <n v="289.08"/>
  </r>
  <r>
    <x v="0"/>
    <x v="0"/>
    <x v="0"/>
    <x v="3"/>
    <x v="4"/>
    <s v="DE4-E_A"/>
    <x v="16"/>
    <x v="2"/>
    <s v="GNR_GEO_HEAT_EO"/>
    <x v="0"/>
    <x v="13"/>
    <n v="0.22"/>
    <n v="80.3"/>
    <n v="289.08"/>
  </r>
  <r>
    <x v="0"/>
    <x v="0"/>
    <x v="0"/>
    <x v="3"/>
    <x v="4"/>
    <s v="DE4-E_A"/>
    <x v="16"/>
    <x v="2"/>
    <s v="GNR_GEO_HEAT_EO"/>
    <x v="0"/>
    <x v="14"/>
    <n v="0.22"/>
    <n v="80.3"/>
    <n v="289.08"/>
  </r>
  <r>
    <x v="0"/>
    <x v="0"/>
    <x v="0"/>
    <x v="3"/>
    <x v="4"/>
    <s v="DE4-E_A"/>
    <x v="16"/>
    <x v="2"/>
    <s v="GNR_GEO_HEAT_EO"/>
    <x v="0"/>
    <x v="15"/>
    <n v="0.22"/>
    <n v="80.3"/>
    <n v="289.08"/>
  </r>
  <r>
    <x v="0"/>
    <x v="0"/>
    <x v="0"/>
    <x v="3"/>
    <x v="4"/>
    <s v="DE4-E_A"/>
    <x v="16"/>
    <x v="2"/>
    <s v="GNR_GEO_HEAT_EO"/>
    <x v="0"/>
    <x v="16"/>
    <n v="0.22"/>
    <n v="80.3"/>
    <n v="289.08"/>
  </r>
  <r>
    <x v="0"/>
    <x v="0"/>
    <x v="0"/>
    <x v="3"/>
    <x v="4"/>
    <s v="DE4-E_A"/>
    <x v="16"/>
    <x v="2"/>
    <s v="GNR_GEO_HEAT_EO"/>
    <x v="0"/>
    <x v="17"/>
    <n v="0.22"/>
    <n v="80.3"/>
    <n v="289.08"/>
  </r>
  <r>
    <x v="0"/>
    <x v="0"/>
    <x v="0"/>
    <x v="3"/>
    <x v="4"/>
    <s v="DE4-E_A"/>
    <x v="16"/>
    <x v="2"/>
    <s v="GNR_GEO_HEAT_EO"/>
    <x v="0"/>
    <x v="18"/>
    <n v="0.22"/>
    <n v="80.3"/>
    <n v="289.08"/>
  </r>
  <r>
    <x v="0"/>
    <x v="0"/>
    <x v="0"/>
    <x v="3"/>
    <x v="4"/>
    <s v="DE4-E_A"/>
    <x v="16"/>
    <x v="2"/>
    <s v="GNR_GEO_HEAT_EO"/>
    <x v="0"/>
    <x v="19"/>
    <n v="0.22"/>
    <n v="80.3"/>
    <n v="289.08"/>
  </r>
  <r>
    <x v="0"/>
    <x v="0"/>
    <x v="0"/>
    <x v="3"/>
    <x v="4"/>
    <s v="DE4-E_A"/>
    <x v="16"/>
    <x v="2"/>
    <s v="GNR_GEO_HEAT_EO"/>
    <x v="0"/>
    <x v="20"/>
    <n v="0.22"/>
    <n v="80.3"/>
    <n v="289.08"/>
  </r>
  <r>
    <x v="0"/>
    <x v="0"/>
    <x v="0"/>
    <x v="3"/>
    <x v="4"/>
    <s v="DE4-E_A"/>
    <x v="16"/>
    <x v="2"/>
    <s v="GNR_GEO_HEAT_EO"/>
    <x v="0"/>
    <x v="21"/>
    <n v="0.22"/>
    <n v="80.3"/>
    <n v="289.08"/>
  </r>
  <r>
    <x v="0"/>
    <x v="0"/>
    <x v="0"/>
    <x v="3"/>
    <x v="4"/>
    <s v="DE4-E_A"/>
    <x v="16"/>
    <x v="2"/>
    <s v="GNR_GEO_HEAT_EO"/>
    <x v="0"/>
    <x v="22"/>
    <n v="0.22"/>
    <n v="80.3"/>
    <n v="289.08"/>
  </r>
  <r>
    <x v="0"/>
    <x v="0"/>
    <x v="0"/>
    <x v="3"/>
    <x v="4"/>
    <s v="DE4-E_A"/>
    <x v="16"/>
    <x v="2"/>
    <s v="GNR_GEO_HEAT_EO"/>
    <x v="0"/>
    <x v="23"/>
    <n v="0.22"/>
    <n v="80.3"/>
    <n v="289.08"/>
  </r>
  <r>
    <x v="0"/>
    <x v="0"/>
    <x v="0"/>
    <x v="3"/>
    <x v="4"/>
    <s v="DE4-E_A"/>
    <x v="6"/>
    <x v="4"/>
    <s v="GNR_ROR_WTR"/>
    <x v="0"/>
    <x v="3"/>
    <n v="302.85891450546501"/>
    <n v="110543.503794495"/>
    <n v="397956.613660181"/>
  </r>
  <r>
    <x v="0"/>
    <x v="0"/>
    <x v="0"/>
    <x v="3"/>
    <x v="4"/>
    <s v="DE4-E_A"/>
    <x v="6"/>
    <x v="4"/>
    <s v="GNR_ROR_WTR"/>
    <x v="0"/>
    <x v="4"/>
    <n v="302.85891450546501"/>
    <n v="110543.503794495"/>
    <n v="397956.613660181"/>
  </r>
  <r>
    <x v="0"/>
    <x v="0"/>
    <x v="0"/>
    <x v="3"/>
    <x v="4"/>
    <s v="DE4-E_A"/>
    <x v="6"/>
    <x v="4"/>
    <s v="GNR_ROR_WTR"/>
    <x v="0"/>
    <x v="5"/>
    <n v="302.85891450546501"/>
    <n v="110543.503794495"/>
    <n v="397956.613660181"/>
  </r>
  <r>
    <x v="0"/>
    <x v="0"/>
    <x v="0"/>
    <x v="3"/>
    <x v="4"/>
    <s v="DE4-E_A"/>
    <x v="6"/>
    <x v="4"/>
    <s v="GNR_ROR_WTR"/>
    <x v="0"/>
    <x v="6"/>
    <n v="302.85891450546501"/>
    <n v="110543.503794495"/>
    <n v="397956.613660181"/>
  </r>
  <r>
    <x v="0"/>
    <x v="0"/>
    <x v="0"/>
    <x v="3"/>
    <x v="4"/>
    <s v="DE4-E_A"/>
    <x v="6"/>
    <x v="4"/>
    <s v="GNR_ROR_WTR"/>
    <x v="0"/>
    <x v="7"/>
    <n v="302.85891450546501"/>
    <n v="110543.503794495"/>
    <n v="397956.613660181"/>
  </r>
  <r>
    <x v="0"/>
    <x v="0"/>
    <x v="0"/>
    <x v="3"/>
    <x v="4"/>
    <s v="DE4-E_A"/>
    <x v="6"/>
    <x v="4"/>
    <s v="GNR_ROR_WTR"/>
    <x v="0"/>
    <x v="8"/>
    <n v="302.85891450546501"/>
    <n v="110543.503794495"/>
    <n v="397956.613660181"/>
  </r>
  <r>
    <x v="0"/>
    <x v="0"/>
    <x v="0"/>
    <x v="3"/>
    <x v="4"/>
    <s v="DE4-E_A"/>
    <x v="6"/>
    <x v="4"/>
    <s v="GNR_ROR_WTR"/>
    <x v="0"/>
    <x v="0"/>
    <n v="302.85891450546501"/>
    <n v="110543.503794495"/>
    <n v="397956.613660181"/>
  </r>
  <r>
    <x v="0"/>
    <x v="0"/>
    <x v="0"/>
    <x v="3"/>
    <x v="4"/>
    <s v="DE4-E_A"/>
    <x v="6"/>
    <x v="4"/>
    <s v="GNR_ROR_WTR"/>
    <x v="0"/>
    <x v="1"/>
    <n v="302.85891450546501"/>
    <n v="110543.503794495"/>
    <n v="397956.613660181"/>
  </r>
  <r>
    <x v="0"/>
    <x v="0"/>
    <x v="0"/>
    <x v="3"/>
    <x v="4"/>
    <s v="DE4-E_A"/>
    <x v="6"/>
    <x v="4"/>
    <s v="GNR_ROR_WTR"/>
    <x v="0"/>
    <x v="2"/>
    <n v="302.85891450546501"/>
    <n v="110543.503794495"/>
    <n v="397956.613660181"/>
  </r>
  <r>
    <x v="0"/>
    <x v="0"/>
    <x v="0"/>
    <x v="3"/>
    <x v="4"/>
    <s v="DE4-E_A"/>
    <x v="6"/>
    <x v="4"/>
    <s v="GNR_ROR_WTR"/>
    <x v="0"/>
    <x v="9"/>
    <n v="302.85891450546501"/>
    <n v="110543.503794495"/>
    <n v="397956.613660181"/>
  </r>
  <r>
    <x v="0"/>
    <x v="0"/>
    <x v="0"/>
    <x v="3"/>
    <x v="4"/>
    <s v="DE4-E_A"/>
    <x v="6"/>
    <x v="4"/>
    <s v="GNR_ROR_WTR"/>
    <x v="0"/>
    <x v="10"/>
    <n v="302.85891450546501"/>
    <n v="110543.503794495"/>
    <n v="397956.613660181"/>
  </r>
  <r>
    <x v="0"/>
    <x v="0"/>
    <x v="0"/>
    <x v="3"/>
    <x v="4"/>
    <s v="DE4-E_A"/>
    <x v="6"/>
    <x v="4"/>
    <s v="GNR_ROR_WTR"/>
    <x v="0"/>
    <x v="11"/>
    <n v="302.85891450546501"/>
    <n v="110543.503794495"/>
    <n v="397956.613660181"/>
  </r>
  <r>
    <x v="0"/>
    <x v="0"/>
    <x v="0"/>
    <x v="3"/>
    <x v="4"/>
    <s v="DE4-E_A"/>
    <x v="6"/>
    <x v="4"/>
    <s v="GNR_ROR_WTR"/>
    <x v="0"/>
    <x v="12"/>
    <n v="302.85891450546501"/>
    <n v="110543.503794495"/>
    <n v="397956.613660181"/>
  </r>
  <r>
    <x v="0"/>
    <x v="0"/>
    <x v="0"/>
    <x v="3"/>
    <x v="4"/>
    <s v="DE4-E_A"/>
    <x v="6"/>
    <x v="4"/>
    <s v="GNR_ROR_WTR"/>
    <x v="0"/>
    <x v="13"/>
    <n v="302.85891450546501"/>
    <n v="110543.503794495"/>
    <n v="397956.613660181"/>
  </r>
  <r>
    <x v="0"/>
    <x v="0"/>
    <x v="0"/>
    <x v="3"/>
    <x v="4"/>
    <s v="DE4-E_A"/>
    <x v="6"/>
    <x v="4"/>
    <s v="GNR_ROR_WTR"/>
    <x v="0"/>
    <x v="14"/>
    <n v="302.85891450546501"/>
    <n v="110543.503794495"/>
    <n v="397956.613660181"/>
  </r>
  <r>
    <x v="0"/>
    <x v="0"/>
    <x v="0"/>
    <x v="3"/>
    <x v="4"/>
    <s v="DE4-E_A"/>
    <x v="6"/>
    <x v="4"/>
    <s v="GNR_ROR_WTR"/>
    <x v="0"/>
    <x v="15"/>
    <n v="302.85891450546501"/>
    <n v="110543.503794495"/>
    <n v="397956.613660181"/>
  </r>
  <r>
    <x v="0"/>
    <x v="0"/>
    <x v="0"/>
    <x v="3"/>
    <x v="4"/>
    <s v="DE4-E_A"/>
    <x v="6"/>
    <x v="4"/>
    <s v="GNR_ROR_WTR"/>
    <x v="0"/>
    <x v="16"/>
    <n v="302.85891450546501"/>
    <n v="110543.503794495"/>
    <n v="397956.613660181"/>
  </r>
  <r>
    <x v="0"/>
    <x v="0"/>
    <x v="0"/>
    <x v="3"/>
    <x v="4"/>
    <s v="DE4-E_A"/>
    <x v="6"/>
    <x v="4"/>
    <s v="GNR_ROR_WTR"/>
    <x v="0"/>
    <x v="17"/>
    <n v="302.85891450546501"/>
    <n v="110543.503794495"/>
    <n v="397956.613660181"/>
  </r>
  <r>
    <x v="0"/>
    <x v="0"/>
    <x v="0"/>
    <x v="3"/>
    <x v="4"/>
    <s v="DE4-E_A"/>
    <x v="6"/>
    <x v="4"/>
    <s v="GNR_ROR_WTR"/>
    <x v="0"/>
    <x v="18"/>
    <n v="302.85891450546501"/>
    <n v="110543.503794495"/>
    <n v="397956.613660181"/>
  </r>
  <r>
    <x v="0"/>
    <x v="0"/>
    <x v="0"/>
    <x v="3"/>
    <x v="4"/>
    <s v="DE4-E_A"/>
    <x v="6"/>
    <x v="4"/>
    <s v="GNR_ROR_WTR"/>
    <x v="0"/>
    <x v="19"/>
    <n v="302.85891450546501"/>
    <n v="110543.503794495"/>
    <n v="397956.613660181"/>
  </r>
  <r>
    <x v="0"/>
    <x v="0"/>
    <x v="0"/>
    <x v="3"/>
    <x v="4"/>
    <s v="DE4-E_A"/>
    <x v="6"/>
    <x v="4"/>
    <s v="GNR_ROR_WTR"/>
    <x v="0"/>
    <x v="20"/>
    <n v="302.85891450546501"/>
    <n v="110543.503794495"/>
    <n v="397956.613660181"/>
  </r>
  <r>
    <x v="0"/>
    <x v="0"/>
    <x v="0"/>
    <x v="3"/>
    <x v="4"/>
    <s v="DE4-E_A"/>
    <x v="6"/>
    <x v="4"/>
    <s v="GNR_ROR_WTR"/>
    <x v="0"/>
    <x v="21"/>
    <n v="302.85891450546501"/>
    <n v="110543.503794495"/>
    <n v="397956.613660181"/>
  </r>
  <r>
    <x v="0"/>
    <x v="0"/>
    <x v="0"/>
    <x v="3"/>
    <x v="4"/>
    <s v="DE4-E_A"/>
    <x v="6"/>
    <x v="4"/>
    <s v="GNR_ROR_WTR"/>
    <x v="0"/>
    <x v="22"/>
    <n v="302.85891450546501"/>
    <n v="110543.503794495"/>
    <n v="397956.613660181"/>
  </r>
  <r>
    <x v="0"/>
    <x v="0"/>
    <x v="0"/>
    <x v="3"/>
    <x v="4"/>
    <s v="DE4-E_A"/>
    <x v="6"/>
    <x v="4"/>
    <s v="GNR_ROR_WTR"/>
    <x v="0"/>
    <x v="23"/>
    <n v="302.85891450546501"/>
    <n v="110543.503794495"/>
    <n v="397956.613660181"/>
  </r>
  <r>
    <x v="0"/>
    <x v="0"/>
    <x v="0"/>
    <x v="3"/>
    <x v="4"/>
    <s v="DE4-E_A"/>
    <x v="7"/>
    <x v="5"/>
    <s v="GNR_WT_WIND_ONS"/>
    <x v="0"/>
    <x v="3"/>
    <n v="2948.4392652654901"/>
    <n v="1076180.3318219001"/>
    <n v="3874249.1945588598"/>
  </r>
  <r>
    <x v="0"/>
    <x v="0"/>
    <x v="0"/>
    <x v="3"/>
    <x v="4"/>
    <s v="DE4-E_A"/>
    <x v="7"/>
    <x v="5"/>
    <s v="GNR_WT_WIND_ONS"/>
    <x v="0"/>
    <x v="4"/>
    <n v="2852.88526764892"/>
    <n v="1041303.1226918499"/>
    <n v="3748691.2416906701"/>
  </r>
  <r>
    <x v="0"/>
    <x v="0"/>
    <x v="0"/>
    <x v="3"/>
    <x v="4"/>
    <s v="DE4-E_A"/>
    <x v="7"/>
    <x v="5"/>
    <s v="GNR_WT_WIND_ONS"/>
    <x v="0"/>
    <x v="5"/>
    <n v="2771.4583497621002"/>
    <n v="1011582.29766317"/>
    <n v="3641696.2715874002"/>
  </r>
  <r>
    <x v="0"/>
    <x v="0"/>
    <x v="0"/>
    <x v="3"/>
    <x v="4"/>
    <s v="DE4-E_A"/>
    <x v="7"/>
    <x v="5"/>
    <s v="GNR_WT_WIND_ONS"/>
    <x v="0"/>
    <x v="6"/>
    <n v="2631.7572279900201"/>
    <n v="960591.38821635698"/>
    <n v="3458128.9975788901"/>
  </r>
  <r>
    <x v="0"/>
    <x v="0"/>
    <x v="0"/>
    <x v="3"/>
    <x v="4"/>
    <s v="DE4-E_A"/>
    <x v="7"/>
    <x v="5"/>
    <s v="GNR_WT_WIND_ONS"/>
    <x v="0"/>
    <x v="7"/>
    <n v="2397.28694636413"/>
    <n v="875009.73542290705"/>
    <n v="3150035.0475224699"/>
  </r>
  <r>
    <x v="0"/>
    <x v="0"/>
    <x v="0"/>
    <x v="3"/>
    <x v="4"/>
    <s v="DE4-E_A"/>
    <x v="7"/>
    <x v="5"/>
    <s v="GNR_WT_WIND_ONS"/>
    <x v="0"/>
    <x v="8"/>
    <n v="2187.5390542653199"/>
    <n v="798451.75480684196"/>
    <n v="2874426.3173046298"/>
  </r>
  <r>
    <x v="0"/>
    <x v="0"/>
    <x v="0"/>
    <x v="3"/>
    <x v="4"/>
    <s v="DE4-E_A"/>
    <x v="7"/>
    <x v="5"/>
    <s v="GNR_WT_WIND_ONS"/>
    <x v="0"/>
    <x v="0"/>
    <n v="1803.1647599514099"/>
    <n v="658155.13738226495"/>
    <n v="2369358.4945761599"/>
  </r>
  <r>
    <x v="0"/>
    <x v="0"/>
    <x v="0"/>
    <x v="3"/>
    <x v="4"/>
    <s v="DE4-E_A"/>
    <x v="7"/>
    <x v="5"/>
    <s v="GNR_WT_WIND_ONS"/>
    <x v="0"/>
    <x v="1"/>
    <n v="1743.7132994220001"/>
    <n v="636455.35428903101"/>
    <n v="2291239.2754405099"/>
  </r>
  <r>
    <x v="0"/>
    <x v="0"/>
    <x v="0"/>
    <x v="3"/>
    <x v="4"/>
    <s v="DE4-E_A"/>
    <x v="7"/>
    <x v="5"/>
    <s v="GNR_WT_WIND_ONS"/>
    <x v="0"/>
    <x v="2"/>
    <n v="1874.5849963629801"/>
    <n v="684223.52367248805"/>
    <n v="2463204.6852209601"/>
  </r>
  <r>
    <x v="0"/>
    <x v="0"/>
    <x v="0"/>
    <x v="3"/>
    <x v="4"/>
    <s v="DE4-E_A"/>
    <x v="7"/>
    <x v="5"/>
    <s v="GNR_WT_WIND_ONS"/>
    <x v="0"/>
    <x v="9"/>
    <n v="2021.9382863220101"/>
    <n v="738007.47450753499"/>
    <n v="2656826.9082271298"/>
  </r>
  <r>
    <x v="0"/>
    <x v="0"/>
    <x v="0"/>
    <x v="3"/>
    <x v="4"/>
    <s v="DE4-E_A"/>
    <x v="7"/>
    <x v="5"/>
    <s v="GNR_WT_WIND_ONS"/>
    <x v="0"/>
    <x v="10"/>
    <n v="2332.9302498174402"/>
    <n v="851519.54118336597"/>
    <n v="3065470.34826012"/>
  </r>
  <r>
    <x v="0"/>
    <x v="0"/>
    <x v="0"/>
    <x v="3"/>
    <x v="4"/>
    <s v="DE4-E_A"/>
    <x v="7"/>
    <x v="5"/>
    <s v="GNR_WT_WIND_ONS"/>
    <x v="0"/>
    <x v="11"/>
    <n v="2569.9512541723202"/>
    <n v="938032.20777289604"/>
    <n v="3376915.9479824202"/>
  </r>
  <r>
    <x v="0"/>
    <x v="0"/>
    <x v="0"/>
    <x v="3"/>
    <x v="4"/>
    <s v="DE4-E_A"/>
    <x v="7"/>
    <x v="5"/>
    <s v="GNR_WT_WIND_ONS"/>
    <x v="0"/>
    <x v="12"/>
    <n v="3162.50376505951"/>
    <n v="1154313.87424672"/>
    <n v="4155529.94728819"/>
  </r>
  <r>
    <x v="0"/>
    <x v="0"/>
    <x v="0"/>
    <x v="3"/>
    <x v="4"/>
    <s v="DE4-E_A"/>
    <x v="7"/>
    <x v="5"/>
    <s v="GNR_WT_WIND_ONS"/>
    <x v="0"/>
    <x v="13"/>
    <n v="3695.60481541728"/>
    <n v="1348895.75762731"/>
    <n v="4856024.7274583103"/>
  </r>
  <r>
    <x v="0"/>
    <x v="0"/>
    <x v="0"/>
    <x v="3"/>
    <x v="4"/>
    <s v="DE4-E_A"/>
    <x v="7"/>
    <x v="5"/>
    <s v="GNR_WT_WIND_ONS"/>
    <x v="0"/>
    <x v="14"/>
    <n v="4303.0692437970001"/>
    <n v="1570620.2739859"/>
    <n v="5654232.9863492604"/>
  </r>
  <r>
    <x v="0"/>
    <x v="0"/>
    <x v="0"/>
    <x v="3"/>
    <x v="4"/>
    <s v="DE4-E_A"/>
    <x v="7"/>
    <x v="5"/>
    <s v="GNR_WT_WIND_ONS"/>
    <x v="0"/>
    <x v="15"/>
    <n v="4902.68529454907"/>
    <n v="1789480.1325104099"/>
    <n v="6442128.4770374699"/>
  </r>
  <r>
    <x v="0"/>
    <x v="0"/>
    <x v="0"/>
    <x v="3"/>
    <x v="4"/>
    <s v="DE4-E_A"/>
    <x v="7"/>
    <x v="5"/>
    <s v="GNR_WT_WIND_ONS"/>
    <x v="0"/>
    <x v="16"/>
    <n v="5703.2198125688501"/>
    <n v="2081675.23158763"/>
    <n v="7494030.8337154603"/>
  </r>
  <r>
    <x v="0"/>
    <x v="0"/>
    <x v="0"/>
    <x v="3"/>
    <x v="4"/>
    <s v="DE4-E_A"/>
    <x v="7"/>
    <x v="5"/>
    <s v="GNR_WT_WIND_ONS"/>
    <x v="0"/>
    <x v="17"/>
    <n v="6434.4923980246604"/>
    <n v="2348589.7252790001"/>
    <n v="8454923.0110043995"/>
  </r>
  <r>
    <x v="0"/>
    <x v="0"/>
    <x v="0"/>
    <x v="3"/>
    <x v="4"/>
    <s v="DE4-E_A"/>
    <x v="7"/>
    <x v="5"/>
    <s v="GNR_WT_WIND_ONS"/>
    <x v="0"/>
    <x v="18"/>
    <n v="7218.1529041450003"/>
    <n v="2634625.8100129198"/>
    <n v="9484652.91604653"/>
  </r>
  <r>
    <x v="0"/>
    <x v="0"/>
    <x v="0"/>
    <x v="3"/>
    <x v="4"/>
    <s v="DE4-E_A"/>
    <x v="7"/>
    <x v="5"/>
    <s v="GNR_WT_WIND_ONS"/>
    <x v="0"/>
    <x v="19"/>
    <n v="8005.7375990791597"/>
    <n v="2922094.2236638898"/>
    <n v="10519539.205189999"/>
  </r>
  <r>
    <x v="0"/>
    <x v="0"/>
    <x v="0"/>
    <x v="3"/>
    <x v="4"/>
    <s v="DE4-E_A"/>
    <x v="7"/>
    <x v="5"/>
    <s v="GNR_WT_WIND_ONS"/>
    <x v="0"/>
    <x v="20"/>
    <n v="8678.3435617683299"/>
    <n v="3167595.4000454401"/>
    <n v="11403343.440163599"/>
  </r>
  <r>
    <x v="0"/>
    <x v="0"/>
    <x v="0"/>
    <x v="3"/>
    <x v="4"/>
    <s v="DE4-E_A"/>
    <x v="7"/>
    <x v="5"/>
    <s v="GNR_WT_WIND_ONS"/>
    <x v="0"/>
    <x v="21"/>
    <n v="9418.2493626145497"/>
    <n v="3437661.01735431"/>
    <n v="12375579.6624755"/>
  </r>
  <r>
    <x v="0"/>
    <x v="0"/>
    <x v="0"/>
    <x v="3"/>
    <x v="4"/>
    <s v="DE4-E_A"/>
    <x v="7"/>
    <x v="5"/>
    <s v="GNR_WT_WIND_ONS"/>
    <x v="0"/>
    <x v="22"/>
    <n v="10352.0100908636"/>
    <n v="3778483.6831652098"/>
    <n v="13602541.2593948"/>
  </r>
  <r>
    <x v="0"/>
    <x v="0"/>
    <x v="0"/>
    <x v="3"/>
    <x v="4"/>
    <s v="DE4-E_A"/>
    <x v="7"/>
    <x v="5"/>
    <s v="GNR_WT_WIND_ONS"/>
    <x v="0"/>
    <x v="23"/>
    <n v="10961.0441947688"/>
    <n v="4000781.1310906298"/>
    <n v="14402812.071926299"/>
  </r>
  <r>
    <x v="0"/>
    <x v="0"/>
    <x v="0"/>
    <x v="3"/>
    <x v="4"/>
    <s v="DE4-E_Offshore_A"/>
    <x v="7"/>
    <x v="5"/>
    <s v="GNR_WT_WIND_OFF"/>
    <x v="0"/>
    <x v="3"/>
    <n v="107.223932542749"/>
    <n v="39136.735378103302"/>
    <n v="140892.24736117199"/>
  </r>
  <r>
    <x v="0"/>
    <x v="0"/>
    <x v="0"/>
    <x v="3"/>
    <x v="4"/>
    <s v="DE4-E_Offshore_A"/>
    <x v="7"/>
    <x v="5"/>
    <s v="GNR_WT_WIND_OFF"/>
    <x v="0"/>
    <x v="4"/>
    <n v="103.748983773978"/>
    <n v="37868.379077501901"/>
    <n v="136326.16467900699"/>
  </r>
  <r>
    <x v="0"/>
    <x v="0"/>
    <x v="0"/>
    <x v="3"/>
    <x v="4"/>
    <s v="DE4-E_Offshore_A"/>
    <x v="7"/>
    <x v="5"/>
    <s v="GNR_WT_WIND_OFF"/>
    <x v="0"/>
    <x v="5"/>
    <n v="100.787785131186"/>
    <n v="36787.541572882699"/>
    <n v="132435.14966237801"/>
  </r>
  <r>
    <x v="0"/>
    <x v="0"/>
    <x v="0"/>
    <x v="3"/>
    <x v="4"/>
    <s v="DE4-E_Offshore_A"/>
    <x v="7"/>
    <x v="5"/>
    <s v="GNR_WT_WIND_OFF"/>
    <x v="0"/>
    <x v="6"/>
    <n v="95.707367218732202"/>
    <n v="34933.189034837204"/>
    <n v="125759.48052541399"/>
  </r>
  <r>
    <x v="0"/>
    <x v="0"/>
    <x v="0"/>
    <x v="3"/>
    <x v="4"/>
    <s v="DE4-E_Offshore_A"/>
    <x v="7"/>
    <x v="5"/>
    <s v="GNR_WT_WIND_OFF"/>
    <x v="0"/>
    <x v="7"/>
    <n v="87.180542211173403"/>
    <n v="31820.897907078299"/>
    <n v="114555.232465482"/>
  </r>
  <r>
    <x v="0"/>
    <x v="0"/>
    <x v="0"/>
    <x v="3"/>
    <x v="4"/>
    <s v="DE4-E_Offshore_A"/>
    <x v="7"/>
    <x v="5"/>
    <s v="GNR_WT_WIND_OFF"/>
    <x v="0"/>
    <x v="8"/>
    <n v="79.552779924077001"/>
    <n v="29036.7646722881"/>
    <n v="104532.35282023701"/>
  </r>
  <r>
    <x v="0"/>
    <x v="0"/>
    <x v="0"/>
    <x v="3"/>
    <x v="4"/>
    <s v="DE4-E_Offshore_A"/>
    <x v="7"/>
    <x v="5"/>
    <s v="GNR_WT_WIND_OFF"/>
    <x v="0"/>
    <x v="0"/>
    <n v="65.574495246413804"/>
    <n v="23934.690764940999"/>
    <n v="86164.886753787796"/>
  </r>
  <r>
    <x v="0"/>
    <x v="0"/>
    <x v="0"/>
    <x v="3"/>
    <x v="4"/>
    <s v="DE4-E_Offshore_A"/>
    <x v="7"/>
    <x v="5"/>
    <s v="GNR_WT_WIND_OFF"/>
    <x v="0"/>
    <x v="1"/>
    <n v="63.4124634662546"/>
    <n v="23145.5491651829"/>
    <n v="83323.9769946585"/>
  </r>
  <r>
    <x v="0"/>
    <x v="0"/>
    <x v="0"/>
    <x v="3"/>
    <x v="4"/>
    <s v="DE4-E_Offshore_A"/>
    <x v="7"/>
    <x v="5"/>
    <s v="GNR_WT_WIND_OFF"/>
    <x v="0"/>
    <x v="2"/>
    <n v="68.171787549971398"/>
    <n v="24882.7024557396"/>
    <n v="89577.728840662501"/>
  </r>
  <r>
    <x v="0"/>
    <x v="0"/>
    <x v="0"/>
    <x v="3"/>
    <x v="4"/>
    <s v="DE4-E_Offshore_A"/>
    <x v="7"/>
    <x v="5"/>
    <s v="GNR_WT_WIND_OFF"/>
    <x v="0"/>
    <x v="9"/>
    <n v="73.530486780663196"/>
    <n v="26838.627674942101"/>
    <n v="96619.059629791402"/>
  </r>
  <r>
    <x v="0"/>
    <x v="0"/>
    <x v="0"/>
    <x v="3"/>
    <x v="4"/>
    <s v="DE4-E_Offshore_A"/>
    <x v="7"/>
    <x v="5"/>
    <s v="GNR_WT_WIND_OFF"/>
    <x v="0"/>
    <x v="10"/>
    <n v="84.840124970605004"/>
    <n v="30966.645614270801"/>
    <n v="111479.92421137499"/>
  </r>
  <r>
    <x v="0"/>
    <x v="0"/>
    <x v="0"/>
    <x v="3"/>
    <x v="4"/>
    <s v="DE4-E_Offshore_A"/>
    <x v="7"/>
    <x v="5"/>
    <s v="GNR_WT_WIND_OFF"/>
    <x v="0"/>
    <x v="11"/>
    <n v="93.459710417576503"/>
    <n v="34112.794302415401"/>
    <n v="122806.059488696"/>
  </r>
  <r>
    <x v="0"/>
    <x v="0"/>
    <x v="0"/>
    <x v="3"/>
    <x v="4"/>
    <s v="DE4-E_Offshore_A"/>
    <x v="7"/>
    <x v="5"/>
    <s v="GNR_WT_WIND_OFF"/>
    <x v="0"/>
    <x v="12"/>
    <n v="115.008674035005"/>
    <n v="41978.166022776903"/>
    <n v="151121.39768199701"/>
  </r>
  <r>
    <x v="0"/>
    <x v="0"/>
    <x v="0"/>
    <x v="3"/>
    <x v="4"/>
    <s v="DE4-E_Offshore_A"/>
    <x v="7"/>
    <x v="5"/>
    <s v="GNR_WT_WIND_OFF"/>
    <x v="0"/>
    <x v="13"/>
    <n v="134.39560587227501"/>
    <n v="49054.396143380298"/>
    <n v="176595.82611616899"/>
  </r>
  <r>
    <x v="0"/>
    <x v="0"/>
    <x v="0"/>
    <x v="3"/>
    <x v="4"/>
    <s v="DE4-E_Offshore_A"/>
    <x v="7"/>
    <x v="5"/>
    <s v="GNR_WT_WIND_OFF"/>
    <x v="0"/>
    <x v="14"/>
    <n v="156.48686128934699"/>
    <n v="57117.704370611798"/>
    <n v="205623.735734202"/>
  </r>
  <r>
    <x v="0"/>
    <x v="0"/>
    <x v="0"/>
    <x v="3"/>
    <x v="4"/>
    <s v="DE4-E_Offshore_A"/>
    <x v="7"/>
    <x v="5"/>
    <s v="GNR_WT_WIND_OFF"/>
    <x v="0"/>
    <x v="15"/>
    <n v="178.29269996976501"/>
    <n v="65076.835488964301"/>
    <n v="234276.607760271"/>
  </r>
  <r>
    <x v="0"/>
    <x v="0"/>
    <x v="0"/>
    <x v="3"/>
    <x v="4"/>
    <s v="DE4-E_Offshore_A"/>
    <x v="7"/>
    <x v="5"/>
    <s v="GNR_WT_WIND_OFF"/>
    <x v="0"/>
    <x v="16"/>
    <n v="207.40520710854301"/>
    <n v="75702.900594618201"/>
    <n v="272530.44214062602"/>
  </r>
  <r>
    <x v="0"/>
    <x v="0"/>
    <x v="0"/>
    <x v="3"/>
    <x v="4"/>
    <s v="DE4-E_Offshore_A"/>
    <x v="7"/>
    <x v="5"/>
    <s v="GNR_WT_WIND_OFF"/>
    <x v="0"/>
    <x v="17"/>
    <n v="233.99891154634301"/>
    <n v="85409.602714415305"/>
    <n v="307474.56977189501"/>
  </r>
  <r>
    <x v="0"/>
    <x v="0"/>
    <x v="0"/>
    <x v="3"/>
    <x v="4"/>
    <s v="DE4-E_Offshore_A"/>
    <x v="7"/>
    <x v="5"/>
    <s v="GNR_WT_WIND_OFF"/>
    <x v="0"/>
    <x v="18"/>
    <n v="262.49777270131398"/>
    <n v="95811.687035979397"/>
    <n v="344922.073329526"/>
  </r>
  <r>
    <x v="0"/>
    <x v="0"/>
    <x v="0"/>
    <x v="3"/>
    <x v="4"/>
    <s v="DE4-E_Offshore_A"/>
    <x v="7"/>
    <x v="5"/>
    <s v="GNR_WT_WIND_OFF"/>
    <x v="0"/>
    <x v="19"/>
    <n v="291.13934222461103"/>
    <n v="106265.859911983"/>
    <n v="382557.09568313899"/>
  </r>
  <r>
    <x v="0"/>
    <x v="0"/>
    <x v="0"/>
    <x v="3"/>
    <x v="4"/>
    <s v="DE4-E_Offshore_A"/>
    <x v="7"/>
    <x v="5"/>
    <s v="GNR_WT_WIND_OFF"/>
    <x v="0"/>
    <x v="20"/>
    <n v="315.59955655591801"/>
    <n v="115193.83814291"/>
    <n v="414697.81731447601"/>
  </r>
  <r>
    <x v="0"/>
    <x v="0"/>
    <x v="0"/>
    <x v="3"/>
    <x v="4"/>
    <s v="DE4-E_Offshore_A"/>
    <x v="7"/>
    <x v="5"/>
    <s v="GNR_WT_WIND_OFF"/>
    <x v="0"/>
    <x v="21"/>
    <n v="342.50721940403798"/>
    <n v="125015.13508247399"/>
    <n v="450054.48629690602"/>
  </r>
  <r>
    <x v="0"/>
    <x v="0"/>
    <x v="0"/>
    <x v="3"/>
    <x v="4"/>
    <s v="DE4-E_Offshore_A"/>
    <x v="7"/>
    <x v="5"/>
    <s v="GNR_WT_WIND_OFF"/>
    <x v="0"/>
    <x v="22"/>
    <n v="376.46467564752902"/>
    <n v="137409.60661134799"/>
    <n v="494674.583800853"/>
  </r>
  <r>
    <x v="0"/>
    <x v="0"/>
    <x v="0"/>
    <x v="3"/>
    <x v="4"/>
    <s v="DE4-E_Offshore_A"/>
    <x v="7"/>
    <x v="5"/>
    <s v="GNR_WT_WIND_OFF"/>
    <x v="0"/>
    <x v="23"/>
    <n v="398.61301441193302"/>
    <n v="145493.75026035501"/>
    <n v="523777.50093727902"/>
  </r>
  <r>
    <x v="0"/>
    <x v="0"/>
    <x v="0"/>
    <x v="3"/>
    <x v="5"/>
    <s v="DE4-N_A"/>
    <x v="9"/>
    <x v="1"/>
    <s v="GNR_ENG_BGAS_BP_E-45"/>
    <x v="0"/>
    <x v="3"/>
    <n v="0.48"/>
    <n v="175.2"/>
    <n v="630.72"/>
  </r>
  <r>
    <x v="0"/>
    <x v="0"/>
    <x v="0"/>
    <x v="3"/>
    <x v="5"/>
    <s v="DE4-N_A"/>
    <x v="9"/>
    <x v="1"/>
    <s v="GNR_ENG_BGAS_BP_E-45"/>
    <x v="0"/>
    <x v="4"/>
    <n v="0.48"/>
    <n v="175.2"/>
    <n v="630.72"/>
  </r>
  <r>
    <x v="0"/>
    <x v="0"/>
    <x v="0"/>
    <x v="3"/>
    <x v="5"/>
    <s v="DE4-N_A"/>
    <x v="9"/>
    <x v="1"/>
    <s v="GNR_ENG_BGAS_BP_E-45"/>
    <x v="0"/>
    <x v="5"/>
    <n v="0.48"/>
    <n v="175.2"/>
    <n v="630.72"/>
  </r>
  <r>
    <x v="0"/>
    <x v="0"/>
    <x v="0"/>
    <x v="3"/>
    <x v="5"/>
    <s v="DE4-N_A"/>
    <x v="9"/>
    <x v="1"/>
    <s v="GNR_ENG_BGAS_BP_E-45"/>
    <x v="0"/>
    <x v="6"/>
    <n v="0.48"/>
    <n v="175.2"/>
    <n v="630.72"/>
  </r>
  <r>
    <x v="0"/>
    <x v="0"/>
    <x v="0"/>
    <x v="3"/>
    <x v="5"/>
    <s v="DE4-N_A"/>
    <x v="9"/>
    <x v="1"/>
    <s v="GNR_ENG_BGAS_BP_E-45"/>
    <x v="0"/>
    <x v="7"/>
    <n v="0.48"/>
    <n v="175.2"/>
    <n v="630.72"/>
  </r>
  <r>
    <x v="0"/>
    <x v="0"/>
    <x v="0"/>
    <x v="3"/>
    <x v="5"/>
    <s v="DE4-N_A"/>
    <x v="9"/>
    <x v="1"/>
    <s v="GNR_ENG_BGAS_BP_E-45"/>
    <x v="0"/>
    <x v="8"/>
    <n v="0.48"/>
    <n v="175.2"/>
    <n v="630.72"/>
  </r>
  <r>
    <x v="0"/>
    <x v="0"/>
    <x v="0"/>
    <x v="3"/>
    <x v="5"/>
    <s v="DE4-N_A"/>
    <x v="9"/>
    <x v="1"/>
    <s v="GNR_ENG_BGAS_BP_E-45"/>
    <x v="0"/>
    <x v="0"/>
    <n v="0.48"/>
    <n v="175.2"/>
    <n v="630.72"/>
  </r>
  <r>
    <x v="0"/>
    <x v="0"/>
    <x v="0"/>
    <x v="3"/>
    <x v="5"/>
    <s v="DE4-N_A"/>
    <x v="9"/>
    <x v="1"/>
    <s v="GNR_ENG_BGAS_BP_E-45"/>
    <x v="0"/>
    <x v="1"/>
    <n v="0.48"/>
    <n v="175.2"/>
    <n v="630.72"/>
  </r>
  <r>
    <x v="0"/>
    <x v="0"/>
    <x v="0"/>
    <x v="3"/>
    <x v="5"/>
    <s v="DE4-N_A"/>
    <x v="9"/>
    <x v="1"/>
    <s v="GNR_ENG_BGAS_BP_E-45"/>
    <x v="0"/>
    <x v="2"/>
    <n v="0.48"/>
    <n v="175.2"/>
    <n v="630.72"/>
  </r>
  <r>
    <x v="0"/>
    <x v="0"/>
    <x v="0"/>
    <x v="3"/>
    <x v="5"/>
    <s v="DE4-N_A"/>
    <x v="9"/>
    <x v="1"/>
    <s v="GNR_ENG_BGAS_BP_E-45"/>
    <x v="0"/>
    <x v="9"/>
    <n v="0.48"/>
    <n v="175.2"/>
    <n v="630.72"/>
  </r>
  <r>
    <x v="0"/>
    <x v="0"/>
    <x v="0"/>
    <x v="3"/>
    <x v="5"/>
    <s v="DE4-N_A"/>
    <x v="9"/>
    <x v="1"/>
    <s v="GNR_ENG_BGAS_BP_E-45"/>
    <x v="0"/>
    <x v="10"/>
    <n v="0.48"/>
    <n v="175.2"/>
    <n v="630.72"/>
  </r>
  <r>
    <x v="0"/>
    <x v="0"/>
    <x v="0"/>
    <x v="3"/>
    <x v="5"/>
    <s v="DE4-N_A"/>
    <x v="9"/>
    <x v="1"/>
    <s v="GNR_ENG_BGAS_BP_E-45"/>
    <x v="0"/>
    <x v="11"/>
    <n v="0.48"/>
    <n v="175.2"/>
    <n v="630.72"/>
  </r>
  <r>
    <x v="0"/>
    <x v="0"/>
    <x v="0"/>
    <x v="3"/>
    <x v="5"/>
    <s v="DE4-N_A"/>
    <x v="9"/>
    <x v="1"/>
    <s v="GNR_ENG_BGAS_BP_E-45"/>
    <x v="0"/>
    <x v="12"/>
    <n v="0.48"/>
    <n v="175.2"/>
    <n v="630.72"/>
  </r>
  <r>
    <x v="0"/>
    <x v="0"/>
    <x v="0"/>
    <x v="3"/>
    <x v="5"/>
    <s v="DE4-N_A"/>
    <x v="9"/>
    <x v="1"/>
    <s v="GNR_ENG_BGAS_BP_E-45"/>
    <x v="0"/>
    <x v="13"/>
    <n v="0.48"/>
    <n v="175.2"/>
    <n v="630.72"/>
  </r>
  <r>
    <x v="0"/>
    <x v="0"/>
    <x v="0"/>
    <x v="3"/>
    <x v="5"/>
    <s v="DE4-N_A"/>
    <x v="9"/>
    <x v="1"/>
    <s v="GNR_ENG_BGAS_BP_E-45"/>
    <x v="0"/>
    <x v="14"/>
    <n v="0.48"/>
    <n v="175.2"/>
    <n v="630.72"/>
  </r>
  <r>
    <x v="0"/>
    <x v="0"/>
    <x v="0"/>
    <x v="3"/>
    <x v="5"/>
    <s v="DE4-N_A"/>
    <x v="9"/>
    <x v="1"/>
    <s v="GNR_ENG_BGAS_BP_E-45"/>
    <x v="0"/>
    <x v="15"/>
    <n v="0.48"/>
    <n v="175.2"/>
    <n v="630.72"/>
  </r>
  <r>
    <x v="0"/>
    <x v="0"/>
    <x v="0"/>
    <x v="3"/>
    <x v="5"/>
    <s v="DE4-N_A"/>
    <x v="9"/>
    <x v="1"/>
    <s v="GNR_ENG_BGAS_BP_E-45"/>
    <x v="0"/>
    <x v="16"/>
    <n v="0.48"/>
    <n v="175.2"/>
    <n v="630.72"/>
  </r>
  <r>
    <x v="0"/>
    <x v="0"/>
    <x v="0"/>
    <x v="3"/>
    <x v="5"/>
    <s v="DE4-N_A"/>
    <x v="9"/>
    <x v="1"/>
    <s v="GNR_ENG_BGAS_BP_E-45"/>
    <x v="0"/>
    <x v="17"/>
    <n v="0.48"/>
    <n v="175.2"/>
    <n v="630.72"/>
  </r>
  <r>
    <x v="0"/>
    <x v="0"/>
    <x v="0"/>
    <x v="3"/>
    <x v="5"/>
    <s v="DE4-N_A"/>
    <x v="9"/>
    <x v="1"/>
    <s v="GNR_ENG_BGAS_BP_E-45"/>
    <x v="0"/>
    <x v="18"/>
    <n v="0.48"/>
    <n v="175.2"/>
    <n v="630.72"/>
  </r>
  <r>
    <x v="0"/>
    <x v="0"/>
    <x v="0"/>
    <x v="3"/>
    <x v="5"/>
    <s v="DE4-N_A"/>
    <x v="9"/>
    <x v="1"/>
    <s v="GNR_ENG_BGAS_BP_E-45"/>
    <x v="0"/>
    <x v="19"/>
    <n v="0.48"/>
    <n v="175.2"/>
    <n v="630.72"/>
  </r>
  <r>
    <x v="0"/>
    <x v="0"/>
    <x v="0"/>
    <x v="3"/>
    <x v="5"/>
    <s v="DE4-N_A"/>
    <x v="9"/>
    <x v="1"/>
    <s v="GNR_ENG_BGAS_BP_E-45"/>
    <x v="0"/>
    <x v="20"/>
    <n v="0.48"/>
    <n v="175.2"/>
    <n v="630.72"/>
  </r>
  <r>
    <x v="0"/>
    <x v="0"/>
    <x v="0"/>
    <x v="3"/>
    <x v="5"/>
    <s v="DE4-N_A"/>
    <x v="9"/>
    <x v="1"/>
    <s v="GNR_ENG_BGAS_BP_E-45"/>
    <x v="0"/>
    <x v="21"/>
    <n v="0.48"/>
    <n v="175.2"/>
    <n v="630.72"/>
  </r>
  <r>
    <x v="0"/>
    <x v="0"/>
    <x v="0"/>
    <x v="3"/>
    <x v="5"/>
    <s v="DE4-N_A"/>
    <x v="9"/>
    <x v="1"/>
    <s v="GNR_ENG_BGAS_BP_E-45"/>
    <x v="0"/>
    <x v="22"/>
    <n v="0.48"/>
    <n v="175.2"/>
    <n v="630.72"/>
  </r>
  <r>
    <x v="0"/>
    <x v="0"/>
    <x v="0"/>
    <x v="3"/>
    <x v="5"/>
    <s v="DE4-N_A"/>
    <x v="9"/>
    <x v="1"/>
    <s v="GNR_ENG_BGAS_BP_E-45"/>
    <x v="0"/>
    <x v="23"/>
    <n v="0.48"/>
    <n v="175.2"/>
    <n v="630.72"/>
  </r>
  <r>
    <x v="0"/>
    <x v="0"/>
    <x v="0"/>
    <x v="3"/>
    <x v="5"/>
    <s v="DE4-N_A"/>
    <x v="9"/>
    <x v="2"/>
    <s v="GNR_ENG_BGAS_CND_E-44"/>
    <x v="0"/>
    <x v="1"/>
    <n v="484.32"/>
    <n v="176776.8"/>
    <n v="636396.48"/>
  </r>
  <r>
    <x v="0"/>
    <x v="0"/>
    <x v="0"/>
    <x v="3"/>
    <x v="5"/>
    <s v="DE4-N_A"/>
    <x v="9"/>
    <x v="2"/>
    <s v="GNR_ENG_BGAS_CND_E-44"/>
    <x v="0"/>
    <x v="2"/>
    <n v="484.32"/>
    <n v="176776.8"/>
    <n v="636396.48"/>
  </r>
  <r>
    <x v="0"/>
    <x v="0"/>
    <x v="0"/>
    <x v="3"/>
    <x v="5"/>
    <s v="DE4-N_A"/>
    <x v="9"/>
    <x v="2"/>
    <s v="GNR_ENG_BGAS_CND_E-44"/>
    <x v="0"/>
    <x v="9"/>
    <n v="484.32"/>
    <n v="176776.8"/>
    <n v="636396.48"/>
  </r>
  <r>
    <x v="0"/>
    <x v="0"/>
    <x v="0"/>
    <x v="3"/>
    <x v="5"/>
    <s v="DE4-N_A"/>
    <x v="9"/>
    <x v="1"/>
    <s v="GNR_ST_BGAS_BP_E-38"/>
    <x v="0"/>
    <x v="3"/>
    <n v="20"/>
    <n v="7300"/>
    <n v="26280"/>
  </r>
  <r>
    <x v="0"/>
    <x v="0"/>
    <x v="0"/>
    <x v="3"/>
    <x v="5"/>
    <s v="DE4-N_A"/>
    <x v="9"/>
    <x v="1"/>
    <s v="GNR_ST_BGAS_BP_E-38"/>
    <x v="0"/>
    <x v="4"/>
    <n v="20"/>
    <n v="7300"/>
    <n v="26280"/>
  </r>
  <r>
    <x v="0"/>
    <x v="0"/>
    <x v="0"/>
    <x v="3"/>
    <x v="5"/>
    <s v="DE4-N_A"/>
    <x v="9"/>
    <x v="1"/>
    <s v="GNR_ST_BGAS_BP_E-38"/>
    <x v="0"/>
    <x v="5"/>
    <n v="20"/>
    <n v="7300"/>
    <n v="26280"/>
  </r>
  <r>
    <x v="0"/>
    <x v="0"/>
    <x v="0"/>
    <x v="3"/>
    <x v="5"/>
    <s v="DE4-N_A"/>
    <x v="9"/>
    <x v="1"/>
    <s v="GNR_ST_BGAS_BP_E-38"/>
    <x v="0"/>
    <x v="6"/>
    <n v="20"/>
    <n v="7300"/>
    <n v="26280"/>
  </r>
  <r>
    <x v="0"/>
    <x v="0"/>
    <x v="0"/>
    <x v="3"/>
    <x v="5"/>
    <s v="DE4-N_A"/>
    <x v="9"/>
    <x v="1"/>
    <s v="GNR_ST_BGAS_BP_E-38"/>
    <x v="0"/>
    <x v="7"/>
    <n v="20"/>
    <n v="7300"/>
    <n v="26280"/>
  </r>
  <r>
    <x v="0"/>
    <x v="0"/>
    <x v="0"/>
    <x v="3"/>
    <x v="5"/>
    <s v="DE4-N_A"/>
    <x v="9"/>
    <x v="1"/>
    <s v="GNR_ST_BGAS_BP_E-38"/>
    <x v="0"/>
    <x v="8"/>
    <n v="20"/>
    <n v="7300"/>
    <n v="26280"/>
  </r>
  <r>
    <x v="0"/>
    <x v="0"/>
    <x v="0"/>
    <x v="3"/>
    <x v="5"/>
    <s v="DE4-N_A"/>
    <x v="9"/>
    <x v="1"/>
    <s v="GNR_ST_BGAS_BP_E-38"/>
    <x v="0"/>
    <x v="0"/>
    <n v="20"/>
    <n v="7300"/>
    <n v="26280"/>
  </r>
  <r>
    <x v="0"/>
    <x v="0"/>
    <x v="0"/>
    <x v="3"/>
    <x v="5"/>
    <s v="DE4-N_A"/>
    <x v="9"/>
    <x v="1"/>
    <s v="GNR_ST_BGAS_BP_E-38"/>
    <x v="0"/>
    <x v="1"/>
    <n v="20"/>
    <n v="7300"/>
    <n v="26280"/>
  </r>
  <r>
    <x v="0"/>
    <x v="0"/>
    <x v="0"/>
    <x v="3"/>
    <x v="5"/>
    <s v="DE4-N_A"/>
    <x v="9"/>
    <x v="1"/>
    <s v="GNR_ST_BGAS_BP_E-38"/>
    <x v="0"/>
    <x v="2"/>
    <n v="20"/>
    <n v="7300"/>
    <n v="26280"/>
  </r>
  <r>
    <x v="0"/>
    <x v="0"/>
    <x v="0"/>
    <x v="3"/>
    <x v="5"/>
    <s v="DE4-N_A"/>
    <x v="9"/>
    <x v="1"/>
    <s v="GNR_ST_BGAS_BP_E-38"/>
    <x v="0"/>
    <x v="9"/>
    <n v="20"/>
    <n v="7300"/>
    <n v="26280"/>
  </r>
  <r>
    <x v="0"/>
    <x v="0"/>
    <x v="0"/>
    <x v="3"/>
    <x v="5"/>
    <s v="DE4-N_A"/>
    <x v="9"/>
    <x v="1"/>
    <s v="GNR_ST_BGAS_BP_E-38"/>
    <x v="0"/>
    <x v="10"/>
    <n v="20"/>
    <n v="7300"/>
    <n v="26280"/>
  </r>
  <r>
    <x v="0"/>
    <x v="0"/>
    <x v="0"/>
    <x v="3"/>
    <x v="5"/>
    <s v="DE4-N_A"/>
    <x v="9"/>
    <x v="1"/>
    <s v="GNR_ST_BGAS_BP_E-38"/>
    <x v="0"/>
    <x v="11"/>
    <n v="20"/>
    <n v="7300"/>
    <n v="26280"/>
  </r>
  <r>
    <x v="0"/>
    <x v="0"/>
    <x v="0"/>
    <x v="3"/>
    <x v="5"/>
    <s v="DE4-N_A"/>
    <x v="9"/>
    <x v="1"/>
    <s v="GNR_ST_BGAS_BP_E-38"/>
    <x v="0"/>
    <x v="12"/>
    <n v="20"/>
    <n v="7300"/>
    <n v="26280"/>
  </r>
  <r>
    <x v="0"/>
    <x v="0"/>
    <x v="0"/>
    <x v="3"/>
    <x v="5"/>
    <s v="DE4-N_A"/>
    <x v="9"/>
    <x v="1"/>
    <s v="GNR_ST_BGAS_BP_E-38"/>
    <x v="0"/>
    <x v="13"/>
    <n v="20"/>
    <n v="7300"/>
    <n v="26280"/>
  </r>
  <r>
    <x v="0"/>
    <x v="0"/>
    <x v="0"/>
    <x v="3"/>
    <x v="5"/>
    <s v="DE4-N_A"/>
    <x v="9"/>
    <x v="1"/>
    <s v="GNR_ST_BGAS_BP_E-38"/>
    <x v="0"/>
    <x v="14"/>
    <n v="20"/>
    <n v="7300"/>
    <n v="26280"/>
  </r>
  <r>
    <x v="0"/>
    <x v="0"/>
    <x v="0"/>
    <x v="3"/>
    <x v="5"/>
    <s v="DE4-N_A"/>
    <x v="9"/>
    <x v="1"/>
    <s v="GNR_ST_BGAS_BP_E-38"/>
    <x v="0"/>
    <x v="15"/>
    <n v="20"/>
    <n v="7300"/>
    <n v="26280"/>
  </r>
  <r>
    <x v="0"/>
    <x v="0"/>
    <x v="0"/>
    <x v="3"/>
    <x v="5"/>
    <s v="DE4-N_A"/>
    <x v="9"/>
    <x v="1"/>
    <s v="GNR_ST_BGAS_BP_E-38"/>
    <x v="0"/>
    <x v="16"/>
    <n v="20"/>
    <n v="7300"/>
    <n v="26280"/>
  </r>
  <r>
    <x v="0"/>
    <x v="0"/>
    <x v="0"/>
    <x v="3"/>
    <x v="5"/>
    <s v="DE4-N_A"/>
    <x v="9"/>
    <x v="1"/>
    <s v="GNR_ST_BGAS_BP_E-38"/>
    <x v="0"/>
    <x v="17"/>
    <n v="20"/>
    <n v="7300"/>
    <n v="26280"/>
  </r>
  <r>
    <x v="0"/>
    <x v="0"/>
    <x v="0"/>
    <x v="3"/>
    <x v="5"/>
    <s v="DE4-N_A"/>
    <x v="9"/>
    <x v="1"/>
    <s v="GNR_ST_BGAS_BP_E-38"/>
    <x v="0"/>
    <x v="18"/>
    <n v="20"/>
    <n v="7300"/>
    <n v="26280"/>
  </r>
  <r>
    <x v="0"/>
    <x v="0"/>
    <x v="0"/>
    <x v="3"/>
    <x v="5"/>
    <s v="DE4-N_A"/>
    <x v="9"/>
    <x v="1"/>
    <s v="GNR_ST_BGAS_BP_E-38"/>
    <x v="0"/>
    <x v="19"/>
    <n v="20"/>
    <n v="7300"/>
    <n v="26280"/>
  </r>
  <r>
    <x v="0"/>
    <x v="0"/>
    <x v="0"/>
    <x v="3"/>
    <x v="5"/>
    <s v="DE4-N_A"/>
    <x v="9"/>
    <x v="1"/>
    <s v="GNR_ST_BGAS_BP_E-38"/>
    <x v="0"/>
    <x v="20"/>
    <n v="20"/>
    <n v="7300"/>
    <n v="26280"/>
  </r>
  <r>
    <x v="0"/>
    <x v="0"/>
    <x v="0"/>
    <x v="3"/>
    <x v="5"/>
    <s v="DE4-N_A"/>
    <x v="9"/>
    <x v="1"/>
    <s v="GNR_ST_BGAS_BP_E-38"/>
    <x v="0"/>
    <x v="21"/>
    <n v="20"/>
    <n v="7300"/>
    <n v="26280"/>
  </r>
  <r>
    <x v="0"/>
    <x v="0"/>
    <x v="0"/>
    <x v="3"/>
    <x v="5"/>
    <s v="DE4-N_A"/>
    <x v="9"/>
    <x v="1"/>
    <s v="GNR_ST_BGAS_BP_E-38"/>
    <x v="0"/>
    <x v="22"/>
    <n v="20"/>
    <n v="7300"/>
    <n v="26280"/>
  </r>
  <r>
    <x v="0"/>
    <x v="0"/>
    <x v="0"/>
    <x v="3"/>
    <x v="5"/>
    <s v="DE4-N_A"/>
    <x v="9"/>
    <x v="1"/>
    <s v="GNR_ST_BGAS_BP_E-38"/>
    <x v="0"/>
    <x v="23"/>
    <n v="20"/>
    <n v="7300"/>
    <n v="26280"/>
  </r>
  <r>
    <x v="0"/>
    <x v="0"/>
    <x v="0"/>
    <x v="3"/>
    <x v="5"/>
    <s v="DE4-N_A"/>
    <x v="0"/>
    <x v="1"/>
    <s v="GNR_ST_COAL_BP_E-40"/>
    <x v="0"/>
    <x v="1"/>
    <n v="5.2514876998030102"/>
    <n v="1916.7930104280999"/>
    <n v="6900.4548375411596"/>
  </r>
  <r>
    <x v="0"/>
    <x v="0"/>
    <x v="0"/>
    <x v="3"/>
    <x v="5"/>
    <s v="DE4-N_A"/>
    <x v="0"/>
    <x v="1"/>
    <s v="GNR_ST_COAL_BP_E-40"/>
    <x v="0"/>
    <x v="2"/>
    <n v="863.25050763239199"/>
    <n v="315086.43528582301"/>
    <n v="1134311.1670289601"/>
  </r>
  <r>
    <x v="0"/>
    <x v="0"/>
    <x v="0"/>
    <x v="3"/>
    <x v="5"/>
    <s v="DE4-N_A"/>
    <x v="14"/>
    <x v="8"/>
    <s v="AGG-DE4-N_ES_ELEC"/>
    <x v="0"/>
    <x v="1"/>
    <n v="9.3333333333333296E-2"/>
    <n v="34.066666666666698"/>
    <n v="122.64"/>
  </r>
  <r>
    <x v="0"/>
    <x v="0"/>
    <x v="0"/>
    <x v="3"/>
    <x v="5"/>
    <s v="DE4-N_A"/>
    <x v="14"/>
    <x v="8"/>
    <s v="AGG-DE4-N_ES_ELEC"/>
    <x v="0"/>
    <x v="2"/>
    <n v="9.3333333333333296E-2"/>
    <n v="34.066666666666698"/>
    <n v="122.64"/>
  </r>
  <r>
    <x v="0"/>
    <x v="0"/>
    <x v="0"/>
    <x v="3"/>
    <x v="5"/>
    <s v="DE4-N_A"/>
    <x v="14"/>
    <x v="8"/>
    <s v="AGG-DE4-N_ES_ELEC"/>
    <x v="0"/>
    <x v="9"/>
    <n v="9.3333333333333296E-2"/>
    <n v="34.066666666666698"/>
    <n v="122.64"/>
  </r>
  <r>
    <x v="0"/>
    <x v="0"/>
    <x v="0"/>
    <x v="3"/>
    <x v="5"/>
    <s v="DE4-N_A"/>
    <x v="14"/>
    <x v="8"/>
    <s v="AGG-DE4-N_ES_ELEC"/>
    <x v="0"/>
    <x v="10"/>
    <n v="9.3333333333333296E-2"/>
    <n v="34.066666666666698"/>
    <n v="122.64"/>
  </r>
  <r>
    <x v="0"/>
    <x v="0"/>
    <x v="0"/>
    <x v="3"/>
    <x v="5"/>
    <s v="DE4-N_A"/>
    <x v="14"/>
    <x v="9"/>
    <s v="AGG-DE4-N_RES_WTR_PMP"/>
    <x v="0"/>
    <x v="3"/>
    <n v="16.641369863013701"/>
    <n v="6074.0999999999904"/>
    <n v="21866.76"/>
  </r>
  <r>
    <x v="0"/>
    <x v="0"/>
    <x v="0"/>
    <x v="3"/>
    <x v="5"/>
    <s v="DE4-N_A"/>
    <x v="14"/>
    <x v="9"/>
    <s v="AGG-DE4-N_RES_WTR_PMP"/>
    <x v="0"/>
    <x v="4"/>
    <n v="119.1"/>
    <n v="43471.5"/>
    <n v="156497.4"/>
  </r>
  <r>
    <x v="0"/>
    <x v="0"/>
    <x v="0"/>
    <x v="3"/>
    <x v="5"/>
    <s v="DE4-N_A"/>
    <x v="14"/>
    <x v="9"/>
    <s v="AGG-DE4-N_RES_WTR_PMP"/>
    <x v="0"/>
    <x v="1"/>
    <n v="119.1"/>
    <n v="43471.5"/>
    <n v="156497.4"/>
  </r>
  <r>
    <x v="0"/>
    <x v="0"/>
    <x v="0"/>
    <x v="3"/>
    <x v="5"/>
    <s v="DE4-N_A"/>
    <x v="14"/>
    <x v="9"/>
    <s v="AGG-DE4-N_RES_WTR_PMP"/>
    <x v="0"/>
    <x v="2"/>
    <n v="16.641369863013701"/>
    <n v="6074.1"/>
    <n v="21866.76"/>
  </r>
  <r>
    <x v="0"/>
    <x v="0"/>
    <x v="0"/>
    <x v="3"/>
    <x v="5"/>
    <s v="DE4-N_A"/>
    <x v="14"/>
    <x v="9"/>
    <s v="AGG-DE4-N_RES_WTR_PMP"/>
    <x v="0"/>
    <x v="15"/>
    <n v="119.1"/>
    <n v="43471.5"/>
    <n v="156497.4"/>
  </r>
  <r>
    <x v="0"/>
    <x v="0"/>
    <x v="0"/>
    <x v="3"/>
    <x v="5"/>
    <s v="DE4-N_A"/>
    <x v="14"/>
    <x v="9"/>
    <s v="AGG-DE4-N_RES_WTR_PMP"/>
    <x v="0"/>
    <x v="17"/>
    <n v="119.1"/>
    <n v="43471.5"/>
    <n v="156497.4"/>
  </r>
  <r>
    <x v="0"/>
    <x v="0"/>
    <x v="0"/>
    <x v="3"/>
    <x v="5"/>
    <s v="DE4-N_A"/>
    <x v="14"/>
    <x v="9"/>
    <s v="AGG-DE4-N_RES_WTR_PMP"/>
    <x v="0"/>
    <x v="22"/>
    <n v="102.458630136986"/>
    <n v="37397.4"/>
    <n v="134630.64000000001"/>
  </r>
  <r>
    <x v="0"/>
    <x v="0"/>
    <x v="0"/>
    <x v="3"/>
    <x v="5"/>
    <s v="DE4-N_A"/>
    <x v="14"/>
    <x v="6"/>
    <s v="GNR_BO_ELEC_E-80"/>
    <x v="0"/>
    <x v="3"/>
    <n v="-18.362500000000001"/>
    <n v="-6702.3125"/>
    <n v="-24128.325000000001"/>
  </r>
  <r>
    <x v="0"/>
    <x v="0"/>
    <x v="0"/>
    <x v="3"/>
    <x v="5"/>
    <s v="DE4-N_A"/>
    <x v="14"/>
    <x v="6"/>
    <s v="GNR_BO_ELEC_E-80"/>
    <x v="0"/>
    <x v="4"/>
    <n v="-18.362500000000001"/>
    <n v="-6702.3125"/>
    <n v="-24128.325000000001"/>
  </r>
  <r>
    <x v="0"/>
    <x v="0"/>
    <x v="0"/>
    <x v="3"/>
    <x v="5"/>
    <s v="DE4-N_A"/>
    <x v="14"/>
    <x v="6"/>
    <s v="GNR_BO_ELEC_E-80"/>
    <x v="0"/>
    <x v="5"/>
    <n v="-18.362500000000001"/>
    <n v="-6702.3125"/>
    <n v="-24128.325000000001"/>
  </r>
  <r>
    <x v="0"/>
    <x v="0"/>
    <x v="0"/>
    <x v="3"/>
    <x v="5"/>
    <s v="DE4-N_A"/>
    <x v="14"/>
    <x v="6"/>
    <s v="GNR_BO_ELEC_E-80"/>
    <x v="0"/>
    <x v="6"/>
    <n v="-18.362500000000001"/>
    <n v="-6702.3125"/>
    <n v="-24128.325000000001"/>
  </r>
  <r>
    <x v="0"/>
    <x v="0"/>
    <x v="0"/>
    <x v="3"/>
    <x v="5"/>
    <s v="DE4-N_A"/>
    <x v="14"/>
    <x v="6"/>
    <s v="GNR_BO_ELEC_E-80"/>
    <x v="0"/>
    <x v="7"/>
    <n v="-18.362500000000001"/>
    <n v="-6702.3125"/>
    <n v="-24128.325000000001"/>
  </r>
  <r>
    <x v="0"/>
    <x v="0"/>
    <x v="0"/>
    <x v="3"/>
    <x v="5"/>
    <s v="DE4-N_A"/>
    <x v="14"/>
    <x v="6"/>
    <s v="GNR_BO_ELEC_E-80"/>
    <x v="0"/>
    <x v="8"/>
    <n v="-18.362500000000001"/>
    <n v="-6702.3125"/>
    <n v="-24128.325000000001"/>
  </r>
  <r>
    <x v="0"/>
    <x v="0"/>
    <x v="0"/>
    <x v="3"/>
    <x v="5"/>
    <s v="DE4-N_A"/>
    <x v="14"/>
    <x v="6"/>
    <s v="GNR_BO_ELEC_E-80"/>
    <x v="0"/>
    <x v="0"/>
    <n v="-18.362500000000001"/>
    <n v="-6702.3125"/>
    <n v="-24128.325000000001"/>
  </r>
  <r>
    <x v="0"/>
    <x v="0"/>
    <x v="0"/>
    <x v="3"/>
    <x v="5"/>
    <s v="DE4-N_A"/>
    <x v="14"/>
    <x v="6"/>
    <s v="GNR_BO_ELEC_E-80"/>
    <x v="0"/>
    <x v="1"/>
    <n v="-18.362500000000001"/>
    <n v="-6702.3125"/>
    <n v="-24128.325000000001"/>
  </r>
  <r>
    <x v="0"/>
    <x v="0"/>
    <x v="0"/>
    <x v="3"/>
    <x v="5"/>
    <s v="DE4-N_A"/>
    <x v="14"/>
    <x v="6"/>
    <s v="GNR_BO_ELEC_E-80"/>
    <x v="0"/>
    <x v="2"/>
    <n v="-18.362500000000001"/>
    <n v="-6702.3125"/>
    <n v="-24128.325000000001"/>
  </r>
  <r>
    <x v="0"/>
    <x v="0"/>
    <x v="0"/>
    <x v="3"/>
    <x v="5"/>
    <s v="DE4-N_A"/>
    <x v="14"/>
    <x v="6"/>
    <s v="GNR_BO_ELEC_E-80"/>
    <x v="0"/>
    <x v="9"/>
    <n v="-18.362500000000001"/>
    <n v="-6702.3125"/>
    <n v="-24128.325000000001"/>
  </r>
  <r>
    <x v="0"/>
    <x v="0"/>
    <x v="0"/>
    <x v="3"/>
    <x v="5"/>
    <s v="DE4-N_A"/>
    <x v="14"/>
    <x v="6"/>
    <s v="GNR_BO_ELEC_E-80"/>
    <x v="0"/>
    <x v="10"/>
    <n v="-18.362500000000001"/>
    <n v="-6702.3125"/>
    <n v="-24128.325000000001"/>
  </r>
  <r>
    <x v="0"/>
    <x v="0"/>
    <x v="0"/>
    <x v="3"/>
    <x v="5"/>
    <s v="DE4-N_A"/>
    <x v="14"/>
    <x v="6"/>
    <s v="GNR_BO_ELEC_E-80"/>
    <x v="0"/>
    <x v="11"/>
    <n v="-18.362500000000001"/>
    <n v="-6702.3125"/>
    <n v="-24128.325000000001"/>
  </r>
  <r>
    <x v="0"/>
    <x v="0"/>
    <x v="0"/>
    <x v="3"/>
    <x v="5"/>
    <s v="DE4-N_A"/>
    <x v="14"/>
    <x v="6"/>
    <s v="GNR_BO_ELEC_E-80"/>
    <x v="0"/>
    <x v="12"/>
    <n v="-18.362500000000001"/>
    <n v="-6702.3125"/>
    <n v="-24128.325000000001"/>
  </r>
  <r>
    <x v="0"/>
    <x v="0"/>
    <x v="0"/>
    <x v="3"/>
    <x v="5"/>
    <s v="DE4-N_A"/>
    <x v="14"/>
    <x v="6"/>
    <s v="GNR_BO_ELEC_E-80"/>
    <x v="0"/>
    <x v="13"/>
    <n v="-18.362500000000001"/>
    <n v="-6702.3125"/>
    <n v="-24128.325000000001"/>
  </r>
  <r>
    <x v="0"/>
    <x v="0"/>
    <x v="0"/>
    <x v="3"/>
    <x v="5"/>
    <s v="DE4-N_A"/>
    <x v="14"/>
    <x v="6"/>
    <s v="GNR_BO_ELEC_E-80"/>
    <x v="0"/>
    <x v="14"/>
    <n v="-18.362500000000001"/>
    <n v="-6702.3125"/>
    <n v="-24128.325000000001"/>
  </r>
  <r>
    <x v="0"/>
    <x v="0"/>
    <x v="0"/>
    <x v="3"/>
    <x v="5"/>
    <s v="DE4-N_A"/>
    <x v="14"/>
    <x v="6"/>
    <s v="GNR_BO_ELEC_E-80"/>
    <x v="0"/>
    <x v="15"/>
    <n v="-18.362500000000001"/>
    <n v="-6702.3125"/>
    <n v="-24128.325000000001"/>
  </r>
  <r>
    <x v="0"/>
    <x v="0"/>
    <x v="0"/>
    <x v="3"/>
    <x v="5"/>
    <s v="DE4-N_A"/>
    <x v="14"/>
    <x v="6"/>
    <s v="GNR_BO_ELEC_E-80"/>
    <x v="0"/>
    <x v="16"/>
    <n v="-18.362500000000001"/>
    <n v="-6702.3125"/>
    <n v="-24128.325000000001"/>
  </r>
  <r>
    <x v="0"/>
    <x v="0"/>
    <x v="0"/>
    <x v="3"/>
    <x v="5"/>
    <s v="DE4-N_A"/>
    <x v="14"/>
    <x v="6"/>
    <s v="GNR_BO_ELEC_E-80"/>
    <x v="0"/>
    <x v="17"/>
    <n v="-18.362500000000001"/>
    <n v="-6702.3125"/>
    <n v="-24128.325000000001"/>
  </r>
  <r>
    <x v="0"/>
    <x v="0"/>
    <x v="0"/>
    <x v="3"/>
    <x v="5"/>
    <s v="DE4-N_A"/>
    <x v="14"/>
    <x v="6"/>
    <s v="GNR_BO_ELEC_E-80"/>
    <x v="0"/>
    <x v="18"/>
    <n v="-18.362500000000001"/>
    <n v="-6702.3125"/>
    <n v="-24128.325000000001"/>
  </r>
  <r>
    <x v="0"/>
    <x v="0"/>
    <x v="0"/>
    <x v="3"/>
    <x v="5"/>
    <s v="DE4-N_A"/>
    <x v="14"/>
    <x v="6"/>
    <s v="GNR_BO_ELEC_E-80"/>
    <x v="0"/>
    <x v="19"/>
    <n v="-18.362500000000001"/>
    <n v="-6702.3125"/>
    <n v="-24128.325000000001"/>
  </r>
  <r>
    <x v="0"/>
    <x v="0"/>
    <x v="0"/>
    <x v="3"/>
    <x v="5"/>
    <s v="DE4-N_A"/>
    <x v="14"/>
    <x v="6"/>
    <s v="GNR_BO_ELEC_E-80"/>
    <x v="0"/>
    <x v="20"/>
    <n v="-18.362500000000001"/>
    <n v="-6702.3125"/>
    <n v="-24128.325000000001"/>
  </r>
  <r>
    <x v="0"/>
    <x v="0"/>
    <x v="0"/>
    <x v="3"/>
    <x v="5"/>
    <s v="DE4-N_A"/>
    <x v="14"/>
    <x v="6"/>
    <s v="GNR_BO_ELEC_E-80"/>
    <x v="0"/>
    <x v="21"/>
    <n v="-18.362500000000001"/>
    <n v="-6702.3125"/>
    <n v="-24128.325000000001"/>
  </r>
  <r>
    <x v="0"/>
    <x v="0"/>
    <x v="0"/>
    <x v="3"/>
    <x v="5"/>
    <s v="DE4-N_A"/>
    <x v="14"/>
    <x v="6"/>
    <s v="GNR_BO_ELEC_E-80"/>
    <x v="0"/>
    <x v="22"/>
    <n v="-18.362500000000001"/>
    <n v="-6702.3125"/>
    <n v="-24128.325000000001"/>
  </r>
  <r>
    <x v="0"/>
    <x v="0"/>
    <x v="0"/>
    <x v="3"/>
    <x v="5"/>
    <s v="DE4-N_A"/>
    <x v="14"/>
    <x v="6"/>
    <s v="GNR_BO_ELEC_E-80"/>
    <x v="0"/>
    <x v="23"/>
    <n v="-18.362500000000001"/>
    <n v="-6702.3125"/>
    <n v="-24128.325000000001"/>
  </r>
  <r>
    <x v="0"/>
    <x v="0"/>
    <x v="0"/>
    <x v="3"/>
    <x v="5"/>
    <s v="DE4-N_A"/>
    <x v="14"/>
    <x v="8"/>
    <s v="GNR_ES_ELEC_BAT-LITHIO_E-95_Y-16-29"/>
    <x v="0"/>
    <x v="0"/>
    <n v="510.22436827276601"/>
    <n v="186231.89441956001"/>
    <n v="670434.81991041405"/>
  </r>
  <r>
    <x v="0"/>
    <x v="0"/>
    <x v="0"/>
    <x v="3"/>
    <x v="5"/>
    <s v="DE4-N_A"/>
    <x v="14"/>
    <x v="8"/>
    <s v="GNR_ES_ELEC_BAT-LITHIO_E-95_Y-16-29"/>
    <x v="0"/>
    <x v="1"/>
    <n v="815.970228630625"/>
    <n v="297829.13345017802"/>
    <n v="1072184.8804206401"/>
  </r>
  <r>
    <x v="0"/>
    <x v="0"/>
    <x v="0"/>
    <x v="3"/>
    <x v="5"/>
    <s v="DE4-N_A"/>
    <x v="14"/>
    <x v="8"/>
    <s v="GNR_ES_ELEC_BAT-LITHIO_E-95_Y-16-29"/>
    <x v="0"/>
    <x v="2"/>
    <n v="815.970228630625"/>
    <n v="297829.13345017802"/>
    <n v="1072184.8804206401"/>
  </r>
  <r>
    <x v="0"/>
    <x v="0"/>
    <x v="0"/>
    <x v="3"/>
    <x v="5"/>
    <s v="DE4-N_A"/>
    <x v="14"/>
    <x v="8"/>
    <s v="GNR_ES_ELEC_BAT-LITHIO_E-95_Y-16-29"/>
    <x v="0"/>
    <x v="9"/>
    <n v="815.970228630625"/>
    <n v="297829.13345017802"/>
    <n v="1072184.8804206401"/>
  </r>
  <r>
    <x v="0"/>
    <x v="0"/>
    <x v="0"/>
    <x v="3"/>
    <x v="5"/>
    <s v="DE4-N_A"/>
    <x v="14"/>
    <x v="8"/>
    <s v="GNR_ES_ELEC_BAT-LITHIO_E-95_Y-16-29"/>
    <x v="0"/>
    <x v="10"/>
    <n v="815.970228630625"/>
    <n v="297829.13345017802"/>
    <n v="1072184.8804206401"/>
  </r>
  <r>
    <x v="0"/>
    <x v="0"/>
    <x v="0"/>
    <x v="3"/>
    <x v="5"/>
    <s v="DE4-N_A"/>
    <x v="17"/>
    <x v="1"/>
    <s v="GNR_ST_FUELOIL_BP_E-35"/>
    <x v="0"/>
    <x v="3"/>
    <n v="74.5"/>
    <n v="27192.5"/>
    <n v="97893"/>
  </r>
  <r>
    <x v="0"/>
    <x v="0"/>
    <x v="0"/>
    <x v="3"/>
    <x v="5"/>
    <s v="DE4-N_A"/>
    <x v="17"/>
    <x v="1"/>
    <s v="GNR_ST_FUELOIL_BP_E-35"/>
    <x v="0"/>
    <x v="4"/>
    <n v="74.5"/>
    <n v="27192.5"/>
    <n v="97893"/>
  </r>
  <r>
    <x v="0"/>
    <x v="0"/>
    <x v="0"/>
    <x v="3"/>
    <x v="5"/>
    <s v="DE4-N_A"/>
    <x v="17"/>
    <x v="1"/>
    <s v="GNR_ST_FUELOIL_BP_E-35"/>
    <x v="0"/>
    <x v="5"/>
    <n v="74.5"/>
    <n v="27192.5"/>
    <n v="97893"/>
  </r>
  <r>
    <x v="0"/>
    <x v="0"/>
    <x v="0"/>
    <x v="3"/>
    <x v="5"/>
    <s v="DE4-N_A"/>
    <x v="17"/>
    <x v="1"/>
    <s v="GNR_ST_FUELOIL_BP_E-35"/>
    <x v="0"/>
    <x v="6"/>
    <n v="74.5"/>
    <n v="27192.5"/>
    <n v="97893"/>
  </r>
  <r>
    <x v="0"/>
    <x v="0"/>
    <x v="0"/>
    <x v="3"/>
    <x v="5"/>
    <s v="DE4-N_A"/>
    <x v="17"/>
    <x v="1"/>
    <s v="GNR_ST_FUELOIL_BP_E-35"/>
    <x v="0"/>
    <x v="7"/>
    <n v="74.5"/>
    <n v="27192.5"/>
    <n v="97893"/>
  </r>
  <r>
    <x v="0"/>
    <x v="0"/>
    <x v="0"/>
    <x v="3"/>
    <x v="5"/>
    <s v="DE4-N_A"/>
    <x v="17"/>
    <x v="1"/>
    <s v="GNR_ST_FUELOIL_BP_E-35"/>
    <x v="0"/>
    <x v="8"/>
    <n v="74.5"/>
    <n v="27192.5"/>
    <n v="97893"/>
  </r>
  <r>
    <x v="0"/>
    <x v="0"/>
    <x v="0"/>
    <x v="3"/>
    <x v="5"/>
    <s v="DE4-N_A"/>
    <x v="17"/>
    <x v="1"/>
    <s v="GNR_ST_FUELOIL_BP_E-35"/>
    <x v="0"/>
    <x v="0"/>
    <n v="74.5"/>
    <n v="27192.5"/>
    <n v="97893"/>
  </r>
  <r>
    <x v="0"/>
    <x v="0"/>
    <x v="0"/>
    <x v="3"/>
    <x v="5"/>
    <s v="DE4-N_A"/>
    <x v="17"/>
    <x v="1"/>
    <s v="GNR_ST_FUELOIL_BP_E-35"/>
    <x v="0"/>
    <x v="1"/>
    <n v="74.5"/>
    <n v="27192.5"/>
    <n v="97893"/>
  </r>
  <r>
    <x v="0"/>
    <x v="0"/>
    <x v="0"/>
    <x v="3"/>
    <x v="5"/>
    <s v="DE4-N_A"/>
    <x v="17"/>
    <x v="1"/>
    <s v="GNR_ST_FUELOIL_BP_E-35"/>
    <x v="0"/>
    <x v="2"/>
    <n v="74.5"/>
    <n v="27192.5"/>
    <n v="97893"/>
  </r>
  <r>
    <x v="0"/>
    <x v="0"/>
    <x v="0"/>
    <x v="3"/>
    <x v="5"/>
    <s v="DE4-N_A"/>
    <x v="17"/>
    <x v="1"/>
    <s v="GNR_ST_FUELOIL_BP_E-35"/>
    <x v="0"/>
    <x v="9"/>
    <n v="74.5"/>
    <n v="27192.5"/>
    <n v="97893"/>
  </r>
  <r>
    <x v="0"/>
    <x v="0"/>
    <x v="0"/>
    <x v="3"/>
    <x v="5"/>
    <s v="DE4-N_A"/>
    <x v="17"/>
    <x v="1"/>
    <s v="GNR_ST_FUELOIL_BP_E-35"/>
    <x v="0"/>
    <x v="10"/>
    <n v="74.5"/>
    <n v="27192.5"/>
    <n v="97893"/>
  </r>
  <r>
    <x v="0"/>
    <x v="0"/>
    <x v="0"/>
    <x v="3"/>
    <x v="5"/>
    <s v="DE4-N_A"/>
    <x v="17"/>
    <x v="1"/>
    <s v="GNR_ST_FUELOIL_BP_E-35"/>
    <x v="0"/>
    <x v="11"/>
    <n v="74.5"/>
    <n v="27192.5"/>
    <n v="97893"/>
  </r>
  <r>
    <x v="0"/>
    <x v="0"/>
    <x v="0"/>
    <x v="3"/>
    <x v="5"/>
    <s v="DE4-N_A"/>
    <x v="17"/>
    <x v="1"/>
    <s v="GNR_ST_FUELOIL_BP_E-35"/>
    <x v="0"/>
    <x v="12"/>
    <n v="74.5"/>
    <n v="27192.5"/>
    <n v="97893"/>
  </r>
  <r>
    <x v="0"/>
    <x v="0"/>
    <x v="0"/>
    <x v="3"/>
    <x v="5"/>
    <s v="DE4-N_A"/>
    <x v="17"/>
    <x v="1"/>
    <s v="GNR_ST_FUELOIL_BP_E-35"/>
    <x v="0"/>
    <x v="13"/>
    <n v="74.5"/>
    <n v="27192.5"/>
    <n v="97893"/>
  </r>
  <r>
    <x v="0"/>
    <x v="0"/>
    <x v="0"/>
    <x v="3"/>
    <x v="5"/>
    <s v="DE4-N_A"/>
    <x v="17"/>
    <x v="1"/>
    <s v="GNR_ST_FUELOIL_BP_E-35"/>
    <x v="0"/>
    <x v="14"/>
    <n v="74.5"/>
    <n v="27192.5"/>
    <n v="97893"/>
  </r>
  <r>
    <x v="0"/>
    <x v="0"/>
    <x v="0"/>
    <x v="3"/>
    <x v="5"/>
    <s v="DE4-N_A"/>
    <x v="17"/>
    <x v="1"/>
    <s v="GNR_ST_FUELOIL_BP_E-35"/>
    <x v="0"/>
    <x v="15"/>
    <n v="74.5"/>
    <n v="27192.5"/>
    <n v="97893"/>
  </r>
  <r>
    <x v="0"/>
    <x v="0"/>
    <x v="0"/>
    <x v="3"/>
    <x v="5"/>
    <s v="DE4-N_A"/>
    <x v="17"/>
    <x v="1"/>
    <s v="GNR_ST_FUELOIL_BP_E-35"/>
    <x v="0"/>
    <x v="16"/>
    <n v="74.5"/>
    <n v="27192.5"/>
    <n v="97893"/>
  </r>
  <r>
    <x v="0"/>
    <x v="0"/>
    <x v="0"/>
    <x v="3"/>
    <x v="5"/>
    <s v="DE4-N_A"/>
    <x v="17"/>
    <x v="1"/>
    <s v="GNR_ST_FUELOIL_BP_E-35"/>
    <x v="0"/>
    <x v="17"/>
    <n v="74.5"/>
    <n v="27192.5"/>
    <n v="97893"/>
  </r>
  <r>
    <x v="0"/>
    <x v="0"/>
    <x v="0"/>
    <x v="3"/>
    <x v="5"/>
    <s v="DE4-N_A"/>
    <x v="17"/>
    <x v="1"/>
    <s v="GNR_ST_FUELOIL_BP_E-35"/>
    <x v="0"/>
    <x v="18"/>
    <n v="74.5"/>
    <n v="27192.5"/>
    <n v="97893"/>
  </r>
  <r>
    <x v="0"/>
    <x v="0"/>
    <x v="0"/>
    <x v="3"/>
    <x v="5"/>
    <s v="DE4-N_A"/>
    <x v="17"/>
    <x v="1"/>
    <s v="GNR_ST_FUELOIL_BP_E-35"/>
    <x v="0"/>
    <x v="19"/>
    <n v="74.5"/>
    <n v="27192.5"/>
    <n v="97893"/>
  </r>
  <r>
    <x v="0"/>
    <x v="0"/>
    <x v="0"/>
    <x v="3"/>
    <x v="5"/>
    <s v="DE4-N_A"/>
    <x v="17"/>
    <x v="1"/>
    <s v="GNR_ST_FUELOIL_BP_E-35"/>
    <x v="0"/>
    <x v="20"/>
    <n v="74.5"/>
    <n v="27192.5"/>
    <n v="97893"/>
  </r>
  <r>
    <x v="0"/>
    <x v="0"/>
    <x v="0"/>
    <x v="3"/>
    <x v="5"/>
    <s v="DE4-N_A"/>
    <x v="17"/>
    <x v="1"/>
    <s v="GNR_ST_FUELOIL_BP_E-35"/>
    <x v="0"/>
    <x v="21"/>
    <n v="74.5"/>
    <n v="27192.5"/>
    <n v="97893"/>
  </r>
  <r>
    <x v="0"/>
    <x v="0"/>
    <x v="0"/>
    <x v="3"/>
    <x v="5"/>
    <s v="DE4-N_A"/>
    <x v="17"/>
    <x v="1"/>
    <s v="GNR_ST_FUELOIL_BP_E-35"/>
    <x v="0"/>
    <x v="22"/>
    <n v="74.5"/>
    <n v="27192.5"/>
    <n v="97893"/>
  </r>
  <r>
    <x v="0"/>
    <x v="0"/>
    <x v="0"/>
    <x v="3"/>
    <x v="5"/>
    <s v="DE4-N_A"/>
    <x v="17"/>
    <x v="1"/>
    <s v="GNR_ST_FUELOIL_BP_E-35"/>
    <x v="0"/>
    <x v="23"/>
    <n v="74.5"/>
    <n v="27192.5"/>
    <n v="97893"/>
  </r>
  <r>
    <x v="0"/>
    <x v="0"/>
    <x v="0"/>
    <x v="3"/>
    <x v="5"/>
    <s v="DE4-N_A"/>
    <x v="17"/>
    <x v="1"/>
    <s v="GNR_ST_FUELOIL_BP_E-38"/>
    <x v="0"/>
    <x v="3"/>
    <n v="38"/>
    <n v="13870"/>
    <n v="49932"/>
  </r>
  <r>
    <x v="0"/>
    <x v="0"/>
    <x v="0"/>
    <x v="3"/>
    <x v="5"/>
    <s v="DE4-N_A"/>
    <x v="17"/>
    <x v="1"/>
    <s v="GNR_ST_FUELOIL_BP_E-38"/>
    <x v="0"/>
    <x v="4"/>
    <n v="38"/>
    <n v="13870"/>
    <n v="49932"/>
  </r>
  <r>
    <x v="0"/>
    <x v="0"/>
    <x v="0"/>
    <x v="3"/>
    <x v="5"/>
    <s v="DE4-N_A"/>
    <x v="17"/>
    <x v="1"/>
    <s v="GNR_ST_FUELOIL_BP_E-38"/>
    <x v="0"/>
    <x v="5"/>
    <n v="38"/>
    <n v="13870"/>
    <n v="49932"/>
  </r>
  <r>
    <x v="0"/>
    <x v="0"/>
    <x v="0"/>
    <x v="3"/>
    <x v="5"/>
    <s v="DE4-N_A"/>
    <x v="17"/>
    <x v="1"/>
    <s v="GNR_ST_FUELOIL_BP_E-38"/>
    <x v="0"/>
    <x v="6"/>
    <n v="38"/>
    <n v="13870"/>
    <n v="49932"/>
  </r>
  <r>
    <x v="0"/>
    <x v="0"/>
    <x v="0"/>
    <x v="3"/>
    <x v="5"/>
    <s v="DE4-N_A"/>
    <x v="17"/>
    <x v="1"/>
    <s v="GNR_ST_FUELOIL_BP_E-38"/>
    <x v="0"/>
    <x v="7"/>
    <n v="38"/>
    <n v="13870"/>
    <n v="49932"/>
  </r>
  <r>
    <x v="0"/>
    <x v="0"/>
    <x v="0"/>
    <x v="3"/>
    <x v="5"/>
    <s v="DE4-N_A"/>
    <x v="17"/>
    <x v="1"/>
    <s v="GNR_ST_FUELOIL_BP_E-38"/>
    <x v="0"/>
    <x v="8"/>
    <n v="38"/>
    <n v="13870"/>
    <n v="49932"/>
  </r>
  <r>
    <x v="0"/>
    <x v="0"/>
    <x v="0"/>
    <x v="3"/>
    <x v="5"/>
    <s v="DE4-N_A"/>
    <x v="17"/>
    <x v="1"/>
    <s v="GNR_ST_FUELOIL_BP_E-38"/>
    <x v="0"/>
    <x v="0"/>
    <n v="38"/>
    <n v="13870"/>
    <n v="49932"/>
  </r>
  <r>
    <x v="0"/>
    <x v="0"/>
    <x v="0"/>
    <x v="3"/>
    <x v="5"/>
    <s v="DE4-N_A"/>
    <x v="17"/>
    <x v="1"/>
    <s v="GNR_ST_FUELOIL_BP_E-38"/>
    <x v="0"/>
    <x v="1"/>
    <n v="38"/>
    <n v="13870"/>
    <n v="49932"/>
  </r>
  <r>
    <x v="0"/>
    <x v="0"/>
    <x v="0"/>
    <x v="3"/>
    <x v="5"/>
    <s v="DE4-N_A"/>
    <x v="17"/>
    <x v="1"/>
    <s v="GNR_ST_FUELOIL_BP_E-38"/>
    <x v="0"/>
    <x v="2"/>
    <n v="38"/>
    <n v="13870"/>
    <n v="49932"/>
  </r>
  <r>
    <x v="0"/>
    <x v="0"/>
    <x v="0"/>
    <x v="3"/>
    <x v="5"/>
    <s v="DE4-N_A"/>
    <x v="17"/>
    <x v="1"/>
    <s v="GNR_ST_FUELOIL_BP_E-38"/>
    <x v="0"/>
    <x v="9"/>
    <n v="38"/>
    <n v="13870"/>
    <n v="49932"/>
  </r>
  <r>
    <x v="0"/>
    <x v="0"/>
    <x v="0"/>
    <x v="3"/>
    <x v="5"/>
    <s v="DE4-N_A"/>
    <x v="17"/>
    <x v="1"/>
    <s v="GNR_ST_FUELOIL_BP_E-38"/>
    <x v="0"/>
    <x v="10"/>
    <n v="38"/>
    <n v="13870"/>
    <n v="49932"/>
  </r>
  <r>
    <x v="0"/>
    <x v="0"/>
    <x v="0"/>
    <x v="3"/>
    <x v="5"/>
    <s v="DE4-N_A"/>
    <x v="17"/>
    <x v="1"/>
    <s v="GNR_ST_FUELOIL_BP_E-38"/>
    <x v="0"/>
    <x v="11"/>
    <n v="38"/>
    <n v="13870"/>
    <n v="49932"/>
  </r>
  <r>
    <x v="0"/>
    <x v="0"/>
    <x v="0"/>
    <x v="3"/>
    <x v="5"/>
    <s v="DE4-N_A"/>
    <x v="17"/>
    <x v="1"/>
    <s v="GNR_ST_FUELOIL_BP_E-38"/>
    <x v="0"/>
    <x v="12"/>
    <n v="38"/>
    <n v="13870"/>
    <n v="49932"/>
  </r>
  <r>
    <x v="0"/>
    <x v="0"/>
    <x v="0"/>
    <x v="3"/>
    <x v="5"/>
    <s v="DE4-N_A"/>
    <x v="17"/>
    <x v="1"/>
    <s v="GNR_ST_FUELOIL_BP_E-38"/>
    <x v="0"/>
    <x v="13"/>
    <n v="38"/>
    <n v="13870"/>
    <n v="49932"/>
  </r>
  <r>
    <x v="0"/>
    <x v="0"/>
    <x v="0"/>
    <x v="3"/>
    <x v="5"/>
    <s v="DE4-N_A"/>
    <x v="17"/>
    <x v="1"/>
    <s v="GNR_ST_FUELOIL_BP_E-38"/>
    <x v="0"/>
    <x v="14"/>
    <n v="38"/>
    <n v="13870"/>
    <n v="49932"/>
  </r>
  <r>
    <x v="0"/>
    <x v="0"/>
    <x v="0"/>
    <x v="3"/>
    <x v="5"/>
    <s v="DE4-N_A"/>
    <x v="17"/>
    <x v="1"/>
    <s v="GNR_ST_FUELOIL_BP_E-38"/>
    <x v="0"/>
    <x v="15"/>
    <n v="38"/>
    <n v="13870"/>
    <n v="49932"/>
  </r>
  <r>
    <x v="0"/>
    <x v="0"/>
    <x v="0"/>
    <x v="3"/>
    <x v="5"/>
    <s v="DE4-N_A"/>
    <x v="17"/>
    <x v="1"/>
    <s v="GNR_ST_FUELOIL_BP_E-38"/>
    <x v="0"/>
    <x v="16"/>
    <n v="38"/>
    <n v="13870"/>
    <n v="49932"/>
  </r>
  <r>
    <x v="0"/>
    <x v="0"/>
    <x v="0"/>
    <x v="3"/>
    <x v="5"/>
    <s v="DE4-N_A"/>
    <x v="17"/>
    <x v="1"/>
    <s v="GNR_ST_FUELOIL_BP_E-38"/>
    <x v="0"/>
    <x v="17"/>
    <n v="38"/>
    <n v="13870"/>
    <n v="49932"/>
  </r>
  <r>
    <x v="0"/>
    <x v="0"/>
    <x v="0"/>
    <x v="3"/>
    <x v="5"/>
    <s v="DE4-N_A"/>
    <x v="17"/>
    <x v="1"/>
    <s v="GNR_ST_FUELOIL_BP_E-38"/>
    <x v="0"/>
    <x v="18"/>
    <n v="38"/>
    <n v="13870"/>
    <n v="49932"/>
  </r>
  <r>
    <x v="0"/>
    <x v="0"/>
    <x v="0"/>
    <x v="3"/>
    <x v="5"/>
    <s v="DE4-N_A"/>
    <x v="17"/>
    <x v="1"/>
    <s v="GNR_ST_FUELOIL_BP_E-38"/>
    <x v="0"/>
    <x v="19"/>
    <n v="38"/>
    <n v="13870"/>
    <n v="49932"/>
  </r>
  <r>
    <x v="0"/>
    <x v="0"/>
    <x v="0"/>
    <x v="3"/>
    <x v="5"/>
    <s v="DE4-N_A"/>
    <x v="17"/>
    <x v="1"/>
    <s v="GNR_ST_FUELOIL_BP_E-38"/>
    <x v="0"/>
    <x v="20"/>
    <n v="38"/>
    <n v="13870"/>
    <n v="49932"/>
  </r>
  <r>
    <x v="0"/>
    <x v="0"/>
    <x v="0"/>
    <x v="3"/>
    <x v="5"/>
    <s v="DE4-N_A"/>
    <x v="17"/>
    <x v="1"/>
    <s v="GNR_ST_FUELOIL_BP_E-38"/>
    <x v="0"/>
    <x v="21"/>
    <n v="38"/>
    <n v="13870"/>
    <n v="49932"/>
  </r>
  <r>
    <x v="0"/>
    <x v="0"/>
    <x v="0"/>
    <x v="3"/>
    <x v="5"/>
    <s v="DE4-N_A"/>
    <x v="17"/>
    <x v="1"/>
    <s v="GNR_ST_FUELOIL_BP_E-38"/>
    <x v="0"/>
    <x v="22"/>
    <n v="38"/>
    <n v="13870"/>
    <n v="49932"/>
  </r>
  <r>
    <x v="0"/>
    <x v="0"/>
    <x v="0"/>
    <x v="3"/>
    <x v="5"/>
    <s v="DE4-N_A"/>
    <x v="17"/>
    <x v="1"/>
    <s v="GNR_ST_FUELOIL_BP_E-38"/>
    <x v="0"/>
    <x v="23"/>
    <n v="38"/>
    <n v="13870"/>
    <n v="49932"/>
  </r>
  <r>
    <x v="0"/>
    <x v="0"/>
    <x v="0"/>
    <x v="3"/>
    <x v="5"/>
    <s v="DE4-N_A"/>
    <x v="1"/>
    <x v="1"/>
    <s v="GNR_ST_MSW_BP_E-33"/>
    <x v="0"/>
    <x v="3"/>
    <n v="41"/>
    <n v="14965"/>
    <n v="53874"/>
  </r>
  <r>
    <x v="0"/>
    <x v="0"/>
    <x v="0"/>
    <x v="3"/>
    <x v="5"/>
    <s v="DE4-N_A"/>
    <x v="1"/>
    <x v="1"/>
    <s v="GNR_ST_MSW_BP_E-33"/>
    <x v="0"/>
    <x v="4"/>
    <n v="41"/>
    <n v="14965"/>
    <n v="53874"/>
  </r>
  <r>
    <x v="0"/>
    <x v="0"/>
    <x v="0"/>
    <x v="3"/>
    <x v="5"/>
    <s v="DE4-N_A"/>
    <x v="1"/>
    <x v="1"/>
    <s v="GNR_ST_MSW_BP_E-33"/>
    <x v="0"/>
    <x v="5"/>
    <n v="41"/>
    <n v="14965"/>
    <n v="53874"/>
  </r>
  <r>
    <x v="0"/>
    <x v="0"/>
    <x v="0"/>
    <x v="3"/>
    <x v="5"/>
    <s v="DE4-N_A"/>
    <x v="1"/>
    <x v="1"/>
    <s v="GNR_ST_MSW_BP_E-33"/>
    <x v="0"/>
    <x v="6"/>
    <n v="41"/>
    <n v="14965"/>
    <n v="53874"/>
  </r>
  <r>
    <x v="0"/>
    <x v="0"/>
    <x v="0"/>
    <x v="3"/>
    <x v="5"/>
    <s v="DE4-N_A"/>
    <x v="1"/>
    <x v="1"/>
    <s v="GNR_ST_MSW_BP_E-33"/>
    <x v="0"/>
    <x v="7"/>
    <n v="41"/>
    <n v="14965"/>
    <n v="53874"/>
  </r>
  <r>
    <x v="0"/>
    <x v="0"/>
    <x v="0"/>
    <x v="3"/>
    <x v="5"/>
    <s v="DE4-N_A"/>
    <x v="1"/>
    <x v="1"/>
    <s v="GNR_ST_MSW_BP_E-33"/>
    <x v="0"/>
    <x v="8"/>
    <n v="41"/>
    <n v="14965"/>
    <n v="53874"/>
  </r>
  <r>
    <x v="0"/>
    <x v="0"/>
    <x v="0"/>
    <x v="3"/>
    <x v="5"/>
    <s v="DE4-N_A"/>
    <x v="1"/>
    <x v="1"/>
    <s v="GNR_ST_MSW_BP_E-33"/>
    <x v="0"/>
    <x v="0"/>
    <n v="41"/>
    <n v="14965"/>
    <n v="53874"/>
  </r>
  <r>
    <x v="0"/>
    <x v="0"/>
    <x v="0"/>
    <x v="3"/>
    <x v="5"/>
    <s v="DE4-N_A"/>
    <x v="1"/>
    <x v="1"/>
    <s v="GNR_ST_MSW_BP_E-33"/>
    <x v="0"/>
    <x v="1"/>
    <n v="41"/>
    <n v="14965"/>
    <n v="53874"/>
  </r>
  <r>
    <x v="0"/>
    <x v="0"/>
    <x v="0"/>
    <x v="3"/>
    <x v="5"/>
    <s v="DE4-N_A"/>
    <x v="1"/>
    <x v="1"/>
    <s v="GNR_ST_MSW_BP_E-33"/>
    <x v="0"/>
    <x v="2"/>
    <n v="41"/>
    <n v="14965"/>
    <n v="53874"/>
  </r>
  <r>
    <x v="0"/>
    <x v="0"/>
    <x v="0"/>
    <x v="3"/>
    <x v="5"/>
    <s v="DE4-N_A"/>
    <x v="1"/>
    <x v="1"/>
    <s v="GNR_ST_MSW_BP_E-33"/>
    <x v="0"/>
    <x v="9"/>
    <n v="41"/>
    <n v="14965"/>
    <n v="53874"/>
  </r>
  <r>
    <x v="0"/>
    <x v="0"/>
    <x v="0"/>
    <x v="3"/>
    <x v="5"/>
    <s v="DE4-N_A"/>
    <x v="1"/>
    <x v="1"/>
    <s v="GNR_ST_MSW_BP_E-33"/>
    <x v="0"/>
    <x v="10"/>
    <n v="41"/>
    <n v="14965"/>
    <n v="53874"/>
  </r>
  <r>
    <x v="0"/>
    <x v="0"/>
    <x v="0"/>
    <x v="3"/>
    <x v="5"/>
    <s v="DE4-N_A"/>
    <x v="1"/>
    <x v="1"/>
    <s v="GNR_ST_MSW_BP_E-33"/>
    <x v="0"/>
    <x v="11"/>
    <n v="41"/>
    <n v="14965"/>
    <n v="53874"/>
  </r>
  <r>
    <x v="0"/>
    <x v="0"/>
    <x v="0"/>
    <x v="3"/>
    <x v="5"/>
    <s v="DE4-N_A"/>
    <x v="1"/>
    <x v="1"/>
    <s v="GNR_ST_MSW_BP_E-33"/>
    <x v="0"/>
    <x v="12"/>
    <n v="41"/>
    <n v="14965"/>
    <n v="53874"/>
  </r>
  <r>
    <x v="0"/>
    <x v="0"/>
    <x v="0"/>
    <x v="3"/>
    <x v="5"/>
    <s v="DE4-N_A"/>
    <x v="1"/>
    <x v="1"/>
    <s v="GNR_ST_MSW_BP_E-33"/>
    <x v="0"/>
    <x v="13"/>
    <n v="41"/>
    <n v="14965"/>
    <n v="53874"/>
  </r>
  <r>
    <x v="0"/>
    <x v="0"/>
    <x v="0"/>
    <x v="3"/>
    <x v="5"/>
    <s v="DE4-N_A"/>
    <x v="1"/>
    <x v="1"/>
    <s v="GNR_ST_MSW_BP_E-33"/>
    <x v="0"/>
    <x v="14"/>
    <n v="41"/>
    <n v="14965"/>
    <n v="53874"/>
  </r>
  <r>
    <x v="0"/>
    <x v="0"/>
    <x v="0"/>
    <x v="3"/>
    <x v="5"/>
    <s v="DE4-N_A"/>
    <x v="1"/>
    <x v="1"/>
    <s v="GNR_ST_MSW_BP_E-33"/>
    <x v="0"/>
    <x v="15"/>
    <n v="41"/>
    <n v="14965"/>
    <n v="53874"/>
  </r>
  <r>
    <x v="0"/>
    <x v="0"/>
    <x v="0"/>
    <x v="3"/>
    <x v="5"/>
    <s v="DE4-N_A"/>
    <x v="1"/>
    <x v="1"/>
    <s v="GNR_ST_MSW_BP_E-33"/>
    <x v="0"/>
    <x v="16"/>
    <n v="41"/>
    <n v="14965"/>
    <n v="53874"/>
  </r>
  <r>
    <x v="0"/>
    <x v="0"/>
    <x v="0"/>
    <x v="3"/>
    <x v="5"/>
    <s v="DE4-N_A"/>
    <x v="1"/>
    <x v="1"/>
    <s v="GNR_ST_MSW_BP_E-33"/>
    <x v="0"/>
    <x v="17"/>
    <n v="41"/>
    <n v="14965"/>
    <n v="53874"/>
  </r>
  <r>
    <x v="0"/>
    <x v="0"/>
    <x v="0"/>
    <x v="3"/>
    <x v="5"/>
    <s v="DE4-N_A"/>
    <x v="1"/>
    <x v="1"/>
    <s v="GNR_ST_MSW_BP_E-33"/>
    <x v="0"/>
    <x v="18"/>
    <n v="41"/>
    <n v="14965"/>
    <n v="53874"/>
  </r>
  <r>
    <x v="0"/>
    <x v="0"/>
    <x v="0"/>
    <x v="3"/>
    <x v="5"/>
    <s v="DE4-N_A"/>
    <x v="1"/>
    <x v="1"/>
    <s v="GNR_ST_MSW_BP_E-33"/>
    <x v="0"/>
    <x v="19"/>
    <n v="41"/>
    <n v="14965"/>
    <n v="53874"/>
  </r>
  <r>
    <x v="0"/>
    <x v="0"/>
    <x v="0"/>
    <x v="3"/>
    <x v="5"/>
    <s v="DE4-N_A"/>
    <x v="1"/>
    <x v="1"/>
    <s v="GNR_ST_MSW_BP_E-33"/>
    <x v="0"/>
    <x v="20"/>
    <n v="41"/>
    <n v="14965"/>
    <n v="53874"/>
  </r>
  <r>
    <x v="0"/>
    <x v="0"/>
    <x v="0"/>
    <x v="3"/>
    <x v="5"/>
    <s v="DE4-N_A"/>
    <x v="1"/>
    <x v="1"/>
    <s v="GNR_ST_MSW_BP_E-33"/>
    <x v="0"/>
    <x v="21"/>
    <n v="41"/>
    <n v="14965"/>
    <n v="53874"/>
  </r>
  <r>
    <x v="0"/>
    <x v="0"/>
    <x v="0"/>
    <x v="3"/>
    <x v="5"/>
    <s v="DE4-N_A"/>
    <x v="1"/>
    <x v="1"/>
    <s v="GNR_ST_MSW_BP_E-33"/>
    <x v="0"/>
    <x v="22"/>
    <n v="41"/>
    <n v="14965"/>
    <n v="53874"/>
  </r>
  <r>
    <x v="0"/>
    <x v="0"/>
    <x v="0"/>
    <x v="3"/>
    <x v="5"/>
    <s v="DE4-N_A"/>
    <x v="1"/>
    <x v="1"/>
    <s v="GNR_ST_MSW_BP_E-33"/>
    <x v="0"/>
    <x v="23"/>
    <n v="41"/>
    <n v="14965"/>
    <n v="53874"/>
  </r>
  <r>
    <x v="0"/>
    <x v="0"/>
    <x v="0"/>
    <x v="3"/>
    <x v="5"/>
    <s v="DE4-N_A"/>
    <x v="2"/>
    <x v="1"/>
    <s v="GNR_CC_NGAS_BP_E-57"/>
    <x v="0"/>
    <x v="3"/>
    <n v="127"/>
    <n v="46355"/>
    <n v="166878"/>
  </r>
  <r>
    <x v="0"/>
    <x v="0"/>
    <x v="0"/>
    <x v="3"/>
    <x v="5"/>
    <s v="DE4-N_A"/>
    <x v="2"/>
    <x v="1"/>
    <s v="GNR_CC_NGAS_BP_E-57"/>
    <x v="0"/>
    <x v="4"/>
    <n v="127"/>
    <n v="46355"/>
    <n v="166878"/>
  </r>
  <r>
    <x v="0"/>
    <x v="0"/>
    <x v="0"/>
    <x v="3"/>
    <x v="5"/>
    <s v="DE4-N_A"/>
    <x v="2"/>
    <x v="1"/>
    <s v="GNR_CC_NGAS_BP_E-57"/>
    <x v="0"/>
    <x v="5"/>
    <n v="127"/>
    <n v="46355"/>
    <n v="166878"/>
  </r>
  <r>
    <x v="0"/>
    <x v="0"/>
    <x v="0"/>
    <x v="3"/>
    <x v="5"/>
    <s v="DE4-N_A"/>
    <x v="2"/>
    <x v="1"/>
    <s v="GNR_CC_NGAS_BP_E-57"/>
    <x v="0"/>
    <x v="6"/>
    <n v="127"/>
    <n v="46355"/>
    <n v="166878"/>
  </r>
  <r>
    <x v="0"/>
    <x v="0"/>
    <x v="0"/>
    <x v="3"/>
    <x v="5"/>
    <s v="DE4-N_A"/>
    <x v="2"/>
    <x v="1"/>
    <s v="GNR_CC_NGAS_BP_E-57"/>
    <x v="0"/>
    <x v="7"/>
    <n v="127"/>
    <n v="46355"/>
    <n v="166878"/>
  </r>
  <r>
    <x v="0"/>
    <x v="0"/>
    <x v="0"/>
    <x v="3"/>
    <x v="5"/>
    <s v="DE4-N_A"/>
    <x v="2"/>
    <x v="1"/>
    <s v="GNR_CC_NGAS_BP_E-57"/>
    <x v="0"/>
    <x v="8"/>
    <n v="127"/>
    <n v="46355"/>
    <n v="166878"/>
  </r>
  <r>
    <x v="0"/>
    <x v="0"/>
    <x v="0"/>
    <x v="3"/>
    <x v="5"/>
    <s v="DE4-N_A"/>
    <x v="2"/>
    <x v="1"/>
    <s v="GNR_CC_NGAS_BP_E-57"/>
    <x v="0"/>
    <x v="0"/>
    <n v="127"/>
    <n v="46355"/>
    <n v="166878"/>
  </r>
  <r>
    <x v="0"/>
    <x v="0"/>
    <x v="0"/>
    <x v="3"/>
    <x v="5"/>
    <s v="DE4-N_A"/>
    <x v="2"/>
    <x v="1"/>
    <s v="GNR_CC_NGAS_BP_E-57"/>
    <x v="0"/>
    <x v="1"/>
    <n v="127"/>
    <n v="46355"/>
    <n v="166878"/>
  </r>
  <r>
    <x v="0"/>
    <x v="0"/>
    <x v="0"/>
    <x v="3"/>
    <x v="5"/>
    <s v="DE4-N_A"/>
    <x v="2"/>
    <x v="1"/>
    <s v="GNR_CC_NGAS_BP_E-57"/>
    <x v="0"/>
    <x v="2"/>
    <n v="127"/>
    <n v="46355"/>
    <n v="166878"/>
  </r>
  <r>
    <x v="0"/>
    <x v="0"/>
    <x v="0"/>
    <x v="3"/>
    <x v="5"/>
    <s v="DE4-N_A"/>
    <x v="2"/>
    <x v="1"/>
    <s v="GNR_CC_NGAS_BP_E-57"/>
    <x v="0"/>
    <x v="9"/>
    <n v="127"/>
    <n v="46355"/>
    <n v="166878"/>
  </r>
  <r>
    <x v="0"/>
    <x v="0"/>
    <x v="0"/>
    <x v="3"/>
    <x v="5"/>
    <s v="DE4-N_A"/>
    <x v="2"/>
    <x v="1"/>
    <s v="GNR_CC_NGAS_BP_E-57"/>
    <x v="0"/>
    <x v="10"/>
    <n v="127"/>
    <n v="46355"/>
    <n v="166878"/>
  </r>
  <r>
    <x v="0"/>
    <x v="0"/>
    <x v="0"/>
    <x v="3"/>
    <x v="5"/>
    <s v="DE4-N_A"/>
    <x v="2"/>
    <x v="1"/>
    <s v="GNR_CC_NGAS_BP_E-57"/>
    <x v="0"/>
    <x v="11"/>
    <n v="127"/>
    <n v="46355"/>
    <n v="166878"/>
  </r>
  <r>
    <x v="0"/>
    <x v="0"/>
    <x v="0"/>
    <x v="3"/>
    <x v="5"/>
    <s v="DE4-N_A"/>
    <x v="2"/>
    <x v="1"/>
    <s v="GNR_CC_NGAS_BP_E-57"/>
    <x v="0"/>
    <x v="12"/>
    <n v="127"/>
    <n v="46355"/>
    <n v="166878"/>
  </r>
  <r>
    <x v="0"/>
    <x v="0"/>
    <x v="0"/>
    <x v="3"/>
    <x v="5"/>
    <s v="DE4-N_A"/>
    <x v="2"/>
    <x v="1"/>
    <s v="GNR_CC_NGAS_BP_E-57"/>
    <x v="0"/>
    <x v="13"/>
    <n v="127"/>
    <n v="46355"/>
    <n v="166878"/>
  </r>
  <r>
    <x v="0"/>
    <x v="0"/>
    <x v="0"/>
    <x v="3"/>
    <x v="5"/>
    <s v="DE4-N_A"/>
    <x v="2"/>
    <x v="1"/>
    <s v="GNR_CC_NGAS_BP_E-57"/>
    <x v="0"/>
    <x v="14"/>
    <n v="127"/>
    <n v="46355"/>
    <n v="166878"/>
  </r>
  <r>
    <x v="0"/>
    <x v="0"/>
    <x v="0"/>
    <x v="3"/>
    <x v="5"/>
    <s v="DE4-N_A"/>
    <x v="2"/>
    <x v="1"/>
    <s v="GNR_CC_NGAS_BP_E-57"/>
    <x v="0"/>
    <x v="15"/>
    <n v="127"/>
    <n v="46355"/>
    <n v="166878"/>
  </r>
  <r>
    <x v="0"/>
    <x v="0"/>
    <x v="0"/>
    <x v="3"/>
    <x v="5"/>
    <s v="DE4-N_A"/>
    <x v="2"/>
    <x v="1"/>
    <s v="GNR_CC_NGAS_BP_E-57"/>
    <x v="0"/>
    <x v="16"/>
    <n v="127"/>
    <n v="46355"/>
    <n v="166878"/>
  </r>
  <r>
    <x v="0"/>
    <x v="0"/>
    <x v="0"/>
    <x v="3"/>
    <x v="5"/>
    <s v="DE4-N_A"/>
    <x v="2"/>
    <x v="1"/>
    <s v="GNR_CC_NGAS_BP_E-57"/>
    <x v="0"/>
    <x v="17"/>
    <n v="127"/>
    <n v="46355"/>
    <n v="166878"/>
  </r>
  <r>
    <x v="0"/>
    <x v="0"/>
    <x v="0"/>
    <x v="3"/>
    <x v="5"/>
    <s v="DE4-N_A"/>
    <x v="2"/>
    <x v="1"/>
    <s v="GNR_CC_NGAS_BP_E-57"/>
    <x v="0"/>
    <x v="18"/>
    <n v="127"/>
    <n v="46355"/>
    <n v="166878"/>
  </r>
  <r>
    <x v="0"/>
    <x v="0"/>
    <x v="0"/>
    <x v="3"/>
    <x v="5"/>
    <s v="DE4-N_A"/>
    <x v="2"/>
    <x v="1"/>
    <s v="GNR_CC_NGAS_BP_E-57"/>
    <x v="0"/>
    <x v="19"/>
    <n v="127"/>
    <n v="46355"/>
    <n v="166878"/>
  </r>
  <r>
    <x v="0"/>
    <x v="0"/>
    <x v="0"/>
    <x v="3"/>
    <x v="5"/>
    <s v="DE4-N_A"/>
    <x v="2"/>
    <x v="1"/>
    <s v="GNR_CC_NGAS_BP_E-57"/>
    <x v="0"/>
    <x v="20"/>
    <n v="127"/>
    <n v="46355"/>
    <n v="166878"/>
  </r>
  <r>
    <x v="0"/>
    <x v="0"/>
    <x v="0"/>
    <x v="3"/>
    <x v="5"/>
    <s v="DE4-N_A"/>
    <x v="2"/>
    <x v="1"/>
    <s v="GNR_CC_NGAS_BP_E-57"/>
    <x v="0"/>
    <x v="21"/>
    <n v="127"/>
    <n v="46355"/>
    <n v="166878"/>
  </r>
  <r>
    <x v="0"/>
    <x v="0"/>
    <x v="0"/>
    <x v="3"/>
    <x v="5"/>
    <s v="DE4-N_A"/>
    <x v="2"/>
    <x v="1"/>
    <s v="GNR_CC_NGAS_BP_E-57"/>
    <x v="0"/>
    <x v="22"/>
    <n v="127"/>
    <n v="46355"/>
    <n v="166878"/>
  </r>
  <r>
    <x v="0"/>
    <x v="0"/>
    <x v="0"/>
    <x v="3"/>
    <x v="5"/>
    <s v="DE4-N_A"/>
    <x v="2"/>
    <x v="1"/>
    <s v="GNR_CC_NGAS_BP_E-57"/>
    <x v="0"/>
    <x v="23"/>
    <n v="127"/>
    <n v="46355"/>
    <n v="166878"/>
  </r>
  <r>
    <x v="0"/>
    <x v="0"/>
    <x v="0"/>
    <x v="3"/>
    <x v="5"/>
    <s v="DE4-N_A"/>
    <x v="2"/>
    <x v="1"/>
    <s v="GNR_ST_NGAS_BP_E-39"/>
    <x v="0"/>
    <x v="3"/>
    <n v="128.5"/>
    <n v="46902.5"/>
    <n v="168849"/>
  </r>
  <r>
    <x v="0"/>
    <x v="0"/>
    <x v="0"/>
    <x v="3"/>
    <x v="5"/>
    <s v="DE4-N_A"/>
    <x v="2"/>
    <x v="1"/>
    <s v="GNR_ST_NGAS_BP_E-39"/>
    <x v="0"/>
    <x v="4"/>
    <n v="128.5"/>
    <n v="46902.5"/>
    <n v="168849"/>
  </r>
  <r>
    <x v="0"/>
    <x v="0"/>
    <x v="0"/>
    <x v="3"/>
    <x v="5"/>
    <s v="DE4-N_A"/>
    <x v="2"/>
    <x v="1"/>
    <s v="GNR_ST_NGAS_BP_E-39"/>
    <x v="0"/>
    <x v="5"/>
    <n v="128.5"/>
    <n v="46902.5"/>
    <n v="168849"/>
  </r>
  <r>
    <x v="0"/>
    <x v="0"/>
    <x v="0"/>
    <x v="3"/>
    <x v="5"/>
    <s v="DE4-N_A"/>
    <x v="2"/>
    <x v="1"/>
    <s v="GNR_ST_NGAS_BP_E-39"/>
    <x v="0"/>
    <x v="6"/>
    <n v="128.5"/>
    <n v="46902.5"/>
    <n v="168849"/>
  </r>
  <r>
    <x v="0"/>
    <x v="0"/>
    <x v="0"/>
    <x v="3"/>
    <x v="5"/>
    <s v="DE4-N_A"/>
    <x v="2"/>
    <x v="1"/>
    <s v="GNR_ST_NGAS_BP_E-39"/>
    <x v="0"/>
    <x v="7"/>
    <n v="128.5"/>
    <n v="46902.5"/>
    <n v="168849"/>
  </r>
  <r>
    <x v="0"/>
    <x v="0"/>
    <x v="0"/>
    <x v="3"/>
    <x v="5"/>
    <s v="DE4-N_A"/>
    <x v="2"/>
    <x v="1"/>
    <s v="GNR_ST_NGAS_BP_E-39"/>
    <x v="0"/>
    <x v="8"/>
    <n v="128.5"/>
    <n v="46902.5"/>
    <n v="168849"/>
  </r>
  <r>
    <x v="0"/>
    <x v="0"/>
    <x v="0"/>
    <x v="3"/>
    <x v="5"/>
    <s v="DE4-N_A"/>
    <x v="2"/>
    <x v="1"/>
    <s v="GNR_ST_NGAS_BP_E-39"/>
    <x v="0"/>
    <x v="0"/>
    <n v="128.5"/>
    <n v="46902.5"/>
    <n v="168849"/>
  </r>
  <r>
    <x v="0"/>
    <x v="0"/>
    <x v="0"/>
    <x v="3"/>
    <x v="5"/>
    <s v="DE4-N_A"/>
    <x v="2"/>
    <x v="1"/>
    <s v="GNR_ST_NGAS_BP_E-39"/>
    <x v="0"/>
    <x v="1"/>
    <n v="128.5"/>
    <n v="46902.5"/>
    <n v="168849"/>
  </r>
  <r>
    <x v="0"/>
    <x v="0"/>
    <x v="0"/>
    <x v="3"/>
    <x v="5"/>
    <s v="DE4-N_A"/>
    <x v="2"/>
    <x v="1"/>
    <s v="GNR_ST_NGAS_BP_E-39"/>
    <x v="0"/>
    <x v="2"/>
    <n v="128.5"/>
    <n v="46902.5"/>
    <n v="168849"/>
  </r>
  <r>
    <x v="0"/>
    <x v="0"/>
    <x v="0"/>
    <x v="3"/>
    <x v="5"/>
    <s v="DE4-N_A"/>
    <x v="2"/>
    <x v="1"/>
    <s v="GNR_ST_NGAS_BP_E-39"/>
    <x v="0"/>
    <x v="9"/>
    <n v="128.5"/>
    <n v="46902.5"/>
    <n v="168849"/>
  </r>
  <r>
    <x v="0"/>
    <x v="0"/>
    <x v="0"/>
    <x v="3"/>
    <x v="5"/>
    <s v="DE4-N_A"/>
    <x v="2"/>
    <x v="1"/>
    <s v="GNR_ST_NGAS_BP_E-39"/>
    <x v="0"/>
    <x v="10"/>
    <n v="128.5"/>
    <n v="46902.5"/>
    <n v="168849"/>
  </r>
  <r>
    <x v="0"/>
    <x v="0"/>
    <x v="0"/>
    <x v="3"/>
    <x v="5"/>
    <s v="DE4-N_A"/>
    <x v="2"/>
    <x v="1"/>
    <s v="GNR_ST_NGAS_BP_E-39"/>
    <x v="0"/>
    <x v="11"/>
    <n v="128.5"/>
    <n v="46902.5"/>
    <n v="168849"/>
  </r>
  <r>
    <x v="0"/>
    <x v="0"/>
    <x v="0"/>
    <x v="3"/>
    <x v="5"/>
    <s v="DE4-N_A"/>
    <x v="2"/>
    <x v="1"/>
    <s v="GNR_ST_NGAS_BP_E-39"/>
    <x v="0"/>
    <x v="12"/>
    <n v="128.5"/>
    <n v="46902.5"/>
    <n v="168849"/>
  </r>
  <r>
    <x v="0"/>
    <x v="0"/>
    <x v="0"/>
    <x v="3"/>
    <x v="5"/>
    <s v="DE4-N_A"/>
    <x v="2"/>
    <x v="1"/>
    <s v="GNR_ST_NGAS_BP_E-39"/>
    <x v="0"/>
    <x v="13"/>
    <n v="128.5"/>
    <n v="46902.5"/>
    <n v="168849"/>
  </r>
  <r>
    <x v="0"/>
    <x v="0"/>
    <x v="0"/>
    <x v="3"/>
    <x v="5"/>
    <s v="DE4-N_A"/>
    <x v="2"/>
    <x v="1"/>
    <s v="GNR_ST_NGAS_BP_E-39"/>
    <x v="0"/>
    <x v="14"/>
    <n v="128.5"/>
    <n v="46902.5"/>
    <n v="168849"/>
  </r>
  <r>
    <x v="0"/>
    <x v="0"/>
    <x v="0"/>
    <x v="3"/>
    <x v="5"/>
    <s v="DE4-N_A"/>
    <x v="2"/>
    <x v="1"/>
    <s v="GNR_ST_NGAS_BP_E-39"/>
    <x v="0"/>
    <x v="15"/>
    <n v="128.5"/>
    <n v="46902.5"/>
    <n v="168849"/>
  </r>
  <r>
    <x v="0"/>
    <x v="0"/>
    <x v="0"/>
    <x v="3"/>
    <x v="5"/>
    <s v="DE4-N_A"/>
    <x v="2"/>
    <x v="1"/>
    <s v="GNR_ST_NGAS_BP_E-39"/>
    <x v="0"/>
    <x v="16"/>
    <n v="128.5"/>
    <n v="46902.5"/>
    <n v="168849"/>
  </r>
  <r>
    <x v="0"/>
    <x v="0"/>
    <x v="0"/>
    <x v="3"/>
    <x v="5"/>
    <s v="DE4-N_A"/>
    <x v="2"/>
    <x v="1"/>
    <s v="GNR_ST_NGAS_BP_E-39"/>
    <x v="0"/>
    <x v="17"/>
    <n v="128.5"/>
    <n v="46902.5"/>
    <n v="168849"/>
  </r>
  <r>
    <x v="0"/>
    <x v="0"/>
    <x v="0"/>
    <x v="3"/>
    <x v="5"/>
    <s v="DE4-N_A"/>
    <x v="2"/>
    <x v="1"/>
    <s v="GNR_ST_NGAS_BP_E-39"/>
    <x v="0"/>
    <x v="18"/>
    <n v="128.5"/>
    <n v="46902.5"/>
    <n v="168849"/>
  </r>
  <r>
    <x v="0"/>
    <x v="0"/>
    <x v="0"/>
    <x v="3"/>
    <x v="5"/>
    <s v="DE4-N_A"/>
    <x v="2"/>
    <x v="1"/>
    <s v="GNR_ST_NGAS_BP_E-39"/>
    <x v="0"/>
    <x v="19"/>
    <n v="128.5"/>
    <n v="46902.5"/>
    <n v="168849"/>
  </r>
  <r>
    <x v="0"/>
    <x v="0"/>
    <x v="0"/>
    <x v="3"/>
    <x v="5"/>
    <s v="DE4-N_A"/>
    <x v="2"/>
    <x v="1"/>
    <s v="GNR_ST_NGAS_BP_E-39"/>
    <x v="0"/>
    <x v="20"/>
    <n v="128.5"/>
    <n v="46902.5"/>
    <n v="168849"/>
  </r>
  <r>
    <x v="0"/>
    <x v="0"/>
    <x v="0"/>
    <x v="3"/>
    <x v="5"/>
    <s v="DE4-N_A"/>
    <x v="2"/>
    <x v="1"/>
    <s v="GNR_ST_NGAS_BP_E-39"/>
    <x v="0"/>
    <x v="21"/>
    <n v="128.5"/>
    <n v="46902.5"/>
    <n v="168849"/>
  </r>
  <r>
    <x v="0"/>
    <x v="0"/>
    <x v="0"/>
    <x v="3"/>
    <x v="5"/>
    <s v="DE4-N_A"/>
    <x v="2"/>
    <x v="1"/>
    <s v="GNR_ST_NGAS_BP_E-39"/>
    <x v="0"/>
    <x v="22"/>
    <n v="128.5"/>
    <n v="46902.5"/>
    <n v="168849"/>
  </r>
  <r>
    <x v="0"/>
    <x v="0"/>
    <x v="0"/>
    <x v="3"/>
    <x v="5"/>
    <s v="DE4-N_A"/>
    <x v="2"/>
    <x v="1"/>
    <s v="GNR_ST_NGAS_BP_E-39"/>
    <x v="0"/>
    <x v="23"/>
    <n v="128.5"/>
    <n v="46902.5"/>
    <n v="168849"/>
  </r>
  <r>
    <x v="0"/>
    <x v="0"/>
    <x v="0"/>
    <x v="3"/>
    <x v="5"/>
    <s v="DE4-N_A"/>
    <x v="15"/>
    <x v="2"/>
    <s v="GNR_ST_NUCL_CND_E-33"/>
    <x v="0"/>
    <x v="3"/>
    <n v="1410"/>
    <n v="514650"/>
    <n v="1852740"/>
  </r>
  <r>
    <x v="0"/>
    <x v="0"/>
    <x v="0"/>
    <x v="3"/>
    <x v="5"/>
    <s v="DE4-N_A"/>
    <x v="15"/>
    <x v="2"/>
    <s v="GNR_ST_NUCL_CND_E-33"/>
    <x v="0"/>
    <x v="4"/>
    <n v="1410"/>
    <n v="514650"/>
    <n v="1852740"/>
  </r>
  <r>
    <x v="0"/>
    <x v="0"/>
    <x v="0"/>
    <x v="3"/>
    <x v="5"/>
    <s v="DE4-N_A"/>
    <x v="15"/>
    <x v="2"/>
    <s v="GNR_ST_NUCL_CND_E-33"/>
    <x v="0"/>
    <x v="5"/>
    <n v="1410"/>
    <n v="514650"/>
    <n v="1852740"/>
  </r>
  <r>
    <x v="0"/>
    <x v="0"/>
    <x v="0"/>
    <x v="3"/>
    <x v="5"/>
    <s v="DE4-N_A"/>
    <x v="15"/>
    <x v="2"/>
    <s v="GNR_ST_NUCL_CND_E-33"/>
    <x v="0"/>
    <x v="6"/>
    <n v="1410"/>
    <n v="514650"/>
    <n v="1852740"/>
  </r>
  <r>
    <x v="0"/>
    <x v="0"/>
    <x v="0"/>
    <x v="3"/>
    <x v="5"/>
    <s v="DE4-N_A"/>
    <x v="15"/>
    <x v="2"/>
    <s v="GNR_ST_NUCL_CND_E-33"/>
    <x v="0"/>
    <x v="7"/>
    <n v="1410"/>
    <n v="514650"/>
    <n v="1852740"/>
  </r>
  <r>
    <x v="0"/>
    <x v="0"/>
    <x v="0"/>
    <x v="3"/>
    <x v="5"/>
    <s v="DE4-N_A"/>
    <x v="15"/>
    <x v="2"/>
    <s v="GNR_ST_NUCL_CND_E-33"/>
    <x v="0"/>
    <x v="8"/>
    <n v="1410"/>
    <n v="514650"/>
    <n v="1852740"/>
  </r>
  <r>
    <x v="0"/>
    <x v="0"/>
    <x v="0"/>
    <x v="3"/>
    <x v="5"/>
    <s v="DE4-N_A"/>
    <x v="15"/>
    <x v="2"/>
    <s v="GNR_ST_NUCL_CND_E-33"/>
    <x v="0"/>
    <x v="0"/>
    <n v="1410"/>
    <n v="514650"/>
    <n v="1852740"/>
  </r>
  <r>
    <x v="0"/>
    <x v="0"/>
    <x v="0"/>
    <x v="3"/>
    <x v="5"/>
    <s v="DE4-N_A"/>
    <x v="15"/>
    <x v="2"/>
    <s v="GNR_ST_NUCL_CND_E-33"/>
    <x v="0"/>
    <x v="1"/>
    <n v="1410"/>
    <n v="514650"/>
    <n v="1852740"/>
  </r>
  <r>
    <x v="0"/>
    <x v="0"/>
    <x v="0"/>
    <x v="3"/>
    <x v="5"/>
    <s v="DE4-N_A"/>
    <x v="15"/>
    <x v="2"/>
    <s v="GNR_ST_NUCL_CND_E-33"/>
    <x v="0"/>
    <x v="2"/>
    <n v="1410"/>
    <n v="514650"/>
    <n v="1852740"/>
  </r>
  <r>
    <x v="0"/>
    <x v="0"/>
    <x v="0"/>
    <x v="3"/>
    <x v="5"/>
    <s v="DE4-N_A"/>
    <x v="15"/>
    <x v="2"/>
    <s v="GNR_ST_NUCL_CND_E-33"/>
    <x v="0"/>
    <x v="9"/>
    <n v="1410"/>
    <n v="514650"/>
    <n v="1852740"/>
  </r>
  <r>
    <x v="0"/>
    <x v="0"/>
    <x v="0"/>
    <x v="3"/>
    <x v="5"/>
    <s v="DE4-N_A"/>
    <x v="15"/>
    <x v="2"/>
    <s v="GNR_ST_NUCL_CND_E-33"/>
    <x v="0"/>
    <x v="10"/>
    <n v="1410"/>
    <n v="514650"/>
    <n v="1852740"/>
  </r>
  <r>
    <x v="0"/>
    <x v="0"/>
    <x v="0"/>
    <x v="3"/>
    <x v="5"/>
    <s v="DE4-N_A"/>
    <x v="15"/>
    <x v="2"/>
    <s v="GNR_ST_NUCL_CND_E-33"/>
    <x v="0"/>
    <x v="11"/>
    <n v="1410"/>
    <n v="514650"/>
    <n v="1852740"/>
  </r>
  <r>
    <x v="0"/>
    <x v="0"/>
    <x v="0"/>
    <x v="3"/>
    <x v="5"/>
    <s v="DE4-N_A"/>
    <x v="15"/>
    <x v="2"/>
    <s v="GNR_ST_NUCL_CND_E-33"/>
    <x v="0"/>
    <x v="12"/>
    <n v="1410"/>
    <n v="514650"/>
    <n v="1852740"/>
  </r>
  <r>
    <x v="0"/>
    <x v="0"/>
    <x v="0"/>
    <x v="3"/>
    <x v="5"/>
    <s v="DE4-N_A"/>
    <x v="15"/>
    <x v="2"/>
    <s v="GNR_ST_NUCL_CND_E-33"/>
    <x v="0"/>
    <x v="13"/>
    <n v="1410"/>
    <n v="514650"/>
    <n v="1852740"/>
  </r>
  <r>
    <x v="0"/>
    <x v="0"/>
    <x v="0"/>
    <x v="3"/>
    <x v="5"/>
    <s v="DE4-N_A"/>
    <x v="15"/>
    <x v="2"/>
    <s v="GNR_ST_NUCL_CND_E-33"/>
    <x v="0"/>
    <x v="14"/>
    <n v="1410"/>
    <n v="514650"/>
    <n v="1852740"/>
  </r>
  <r>
    <x v="0"/>
    <x v="0"/>
    <x v="0"/>
    <x v="3"/>
    <x v="5"/>
    <s v="DE4-N_A"/>
    <x v="15"/>
    <x v="2"/>
    <s v="GNR_ST_NUCL_CND_E-33"/>
    <x v="0"/>
    <x v="15"/>
    <n v="1410"/>
    <n v="514650"/>
    <n v="1852740"/>
  </r>
  <r>
    <x v="0"/>
    <x v="0"/>
    <x v="0"/>
    <x v="3"/>
    <x v="5"/>
    <s v="DE4-N_A"/>
    <x v="15"/>
    <x v="2"/>
    <s v="GNR_ST_NUCL_CND_E-33"/>
    <x v="0"/>
    <x v="16"/>
    <n v="1410"/>
    <n v="514650"/>
    <n v="1852740"/>
  </r>
  <r>
    <x v="0"/>
    <x v="0"/>
    <x v="0"/>
    <x v="3"/>
    <x v="5"/>
    <s v="DE4-N_A"/>
    <x v="15"/>
    <x v="2"/>
    <s v="GNR_ST_NUCL_CND_E-33"/>
    <x v="0"/>
    <x v="17"/>
    <n v="1410"/>
    <n v="514650"/>
    <n v="1852740"/>
  </r>
  <r>
    <x v="0"/>
    <x v="0"/>
    <x v="0"/>
    <x v="3"/>
    <x v="5"/>
    <s v="DE4-N_A"/>
    <x v="15"/>
    <x v="2"/>
    <s v="GNR_ST_NUCL_CND_E-33"/>
    <x v="0"/>
    <x v="18"/>
    <n v="1410"/>
    <n v="514650"/>
    <n v="1852740"/>
  </r>
  <r>
    <x v="0"/>
    <x v="0"/>
    <x v="0"/>
    <x v="3"/>
    <x v="5"/>
    <s v="DE4-N_A"/>
    <x v="15"/>
    <x v="2"/>
    <s v="GNR_ST_NUCL_CND_E-33"/>
    <x v="0"/>
    <x v="19"/>
    <n v="1410"/>
    <n v="514650"/>
    <n v="1852740"/>
  </r>
  <r>
    <x v="0"/>
    <x v="0"/>
    <x v="0"/>
    <x v="3"/>
    <x v="5"/>
    <s v="DE4-N_A"/>
    <x v="15"/>
    <x v="2"/>
    <s v="GNR_ST_NUCL_CND_E-33"/>
    <x v="0"/>
    <x v="20"/>
    <n v="1410"/>
    <n v="514650"/>
    <n v="1852740"/>
  </r>
  <r>
    <x v="0"/>
    <x v="0"/>
    <x v="0"/>
    <x v="3"/>
    <x v="5"/>
    <s v="DE4-N_A"/>
    <x v="15"/>
    <x v="2"/>
    <s v="GNR_ST_NUCL_CND_E-33"/>
    <x v="0"/>
    <x v="21"/>
    <n v="1410"/>
    <n v="514650"/>
    <n v="1852740"/>
  </r>
  <r>
    <x v="0"/>
    <x v="0"/>
    <x v="0"/>
    <x v="3"/>
    <x v="5"/>
    <s v="DE4-N_A"/>
    <x v="15"/>
    <x v="2"/>
    <s v="GNR_ST_NUCL_CND_E-33"/>
    <x v="0"/>
    <x v="22"/>
    <n v="1410"/>
    <n v="514650"/>
    <n v="1852740"/>
  </r>
  <r>
    <x v="0"/>
    <x v="0"/>
    <x v="0"/>
    <x v="3"/>
    <x v="5"/>
    <s v="DE4-N_A"/>
    <x v="15"/>
    <x v="2"/>
    <s v="GNR_ST_NUCL_CND_E-33"/>
    <x v="0"/>
    <x v="23"/>
    <n v="1410"/>
    <n v="514650"/>
    <n v="1852740"/>
  </r>
  <r>
    <x v="0"/>
    <x v="0"/>
    <x v="0"/>
    <x v="3"/>
    <x v="5"/>
    <s v="DE4-N_A"/>
    <x v="5"/>
    <x v="3"/>
    <s v="GNR_PV_SUN"/>
    <x v="0"/>
    <x v="2"/>
    <n v="33.982254946418202"/>
    <n v="12403.5230554426"/>
    <n v="44652.682999593497"/>
  </r>
  <r>
    <x v="0"/>
    <x v="0"/>
    <x v="0"/>
    <x v="3"/>
    <x v="5"/>
    <s v="DE4-N_A"/>
    <x v="5"/>
    <x v="3"/>
    <s v="GNR_PV_SUN"/>
    <x v="0"/>
    <x v="9"/>
    <n v="255.82538595560001"/>
    <n v="93376.265873793804"/>
    <n v="336154.55714565801"/>
  </r>
  <r>
    <x v="0"/>
    <x v="0"/>
    <x v="0"/>
    <x v="3"/>
    <x v="5"/>
    <s v="DE4-N_A"/>
    <x v="5"/>
    <x v="3"/>
    <s v="GNR_PV_SUN"/>
    <x v="0"/>
    <x v="10"/>
    <n v="590.942700119508"/>
    <n v="215694.08554361999"/>
    <n v="776498.707957034"/>
  </r>
  <r>
    <x v="0"/>
    <x v="0"/>
    <x v="0"/>
    <x v="3"/>
    <x v="5"/>
    <s v="DE4-N_A"/>
    <x v="5"/>
    <x v="3"/>
    <s v="GNR_PV_SUN"/>
    <x v="0"/>
    <x v="11"/>
    <n v="899.91981817078704"/>
    <n v="328470.73363233701"/>
    <n v="1182494.64107641"/>
  </r>
  <r>
    <x v="0"/>
    <x v="0"/>
    <x v="0"/>
    <x v="3"/>
    <x v="5"/>
    <s v="DE4-N_A"/>
    <x v="5"/>
    <x v="3"/>
    <s v="GNR_PV_SUN"/>
    <x v="0"/>
    <x v="12"/>
    <n v="1023.12727584831"/>
    <n v="373441.45568463497"/>
    <n v="1344389.2404646799"/>
  </r>
  <r>
    <x v="0"/>
    <x v="0"/>
    <x v="0"/>
    <x v="3"/>
    <x v="5"/>
    <s v="DE4-N_A"/>
    <x v="5"/>
    <x v="3"/>
    <s v="GNR_PV_SUN"/>
    <x v="0"/>
    <x v="13"/>
    <n v="889.63800769982004"/>
    <n v="324717.87281043403"/>
    <n v="1168984.3421175601"/>
  </r>
  <r>
    <x v="0"/>
    <x v="0"/>
    <x v="0"/>
    <x v="3"/>
    <x v="5"/>
    <s v="DE4-N_A"/>
    <x v="5"/>
    <x v="3"/>
    <s v="GNR_PV_SUN"/>
    <x v="0"/>
    <x v="14"/>
    <n v="578.91820990769895"/>
    <n v="211305.14661631"/>
    <n v="760698.52781871601"/>
  </r>
  <r>
    <x v="0"/>
    <x v="0"/>
    <x v="0"/>
    <x v="3"/>
    <x v="5"/>
    <s v="DE4-N_A"/>
    <x v="5"/>
    <x v="3"/>
    <s v="GNR_PV_SUN"/>
    <x v="0"/>
    <x v="15"/>
    <n v="293.118732409617"/>
    <n v="106988.33732951"/>
    <n v="385158.01438623702"/>
  </r>
  <r>
    <x v="0"/>
    <x v="0"/>
    <x v="0"/>
    <x v="3"/>
    <x v="5"/>
    <s v="DE4-N_A"/>
    <x v="5"/>
    <x v="3"/>
    <s v="GNR_PV_SUN"/>
    <x v="0"/>
    <x v="16"/>
    <n v="38.164686324438897"/>
    <n v="13930.110508420201"/>
    <n v="50148.397830312701"/>
  </r>
  <r>
    <x v="0"/>
    <x v="0"/>
    <x v="0"/>
    <x v="3"/>
    <x v="5"/>
    <s v="DE4-N_A"/>
    <x v="6"/>
    <x v="4"/>
    <s v="GNR_ROR_WTR"/>
    <x v="0"/>
    <x v="3"/>
    <n v="2.66860730593607"/>
    <n v="974.04166666666595"/>
    <n v="3506.55"/>
  </r>
  <r>
    <x v="0"/>
    <x v="0"/>
    <x v="0"/>
    <x v="3"/>
    <x v="5"/>
    <s v="DE4-N_A"/>
    <x v="6"/>
    <x v="4"/>
    <s v="GNR_ROR_WTR"/>
    <x v="0"/>
    <x v="4"/>
    <n v="2.66860730593607"/>
    <n v="974.04166666666595"/>
    <n v="3506.55"/>
  </r>
  <r>
    <x v="0"/>
    <x v="0"/>
    <x v="0"/>
    <x v="3"/>
    <x v="5"/>
    <s v="DE4-N_A"/>
    <x v="6"/>
    <x v="4"/>
    <s v="GNR_ROR_WTR"/>
    <x v="0"/>
    <x v="5"/>
    <n v="2.66860730593607"/>
    <n v="974.04166666666595"/>
    <n v="3506.55"/>
  </r>
  <r>
    <x v="0"/>
    <x v="0"/>
    <x v="0"/>
    <x v="3"/>
    <x v="5"/>
    <s v="DE4-N_A"/>
    <x v="6"/>
    <x v="4"/>
    <s v="GNR_ROR_WTR"/>
    <x v="0"/>
    <x v="6"/>
    <n v="2.66860730593607"/>
    <n v="974.04166666666595"/>
    <n v="3506.55"/>
  </r>
  <r>
    <x v="0"/>
    <x v="0"/>
    <x v="0"/>
    <x v="3"/>
    <x v="5"/>
    <s v="DE4-N_A"/>
    <x v="6"/>
    <x v="4"/>
    <s v="GNR_ROR_WTR"/>
    <x v="0"/>
    <x v="7"/>
    <n v="2.66860730593607"/>
    <n v="974.04166666666595"/>
    <n v="3506.55"/>
  </r>
  <r>
    <x v="0"/>
    <x v="0"/>
    <x v="0"/>
    <x v="3"/>
    <x v="5"/>
    <s v="DE4-N_A"/>
    <x v="6"/>
    <x v="4"/>
    <s v="GNR_ROR_WTR"/>
    <x v="0"/>
    <x v="8"/>
    <n v="2.66860730593607"/>
    <n v="974.04166666666595"/>
    <n v="3506.55"/>
  </r>
  <r>
    <x v="0"/>
    <x v="0"/>
    <x v="0"/>
    <x v="3"/>
    <x v="5"/>
    <s v="DE4-N_A"/>
    <x v="6"/>
    <x v="4"/>
    <s v="GNR_ROR_WTR"/>
    <x v="0"/>
    <x v="0"/>
    <n v="2.66860730593607"/>
    <n v="974.04166666666595"/>
    <n v="3506.55"/>
  </r>
  <r>
    <x v="0"/>
    <x v="0"/>
    <x v="0"/>
    <x v="3"/>
    <x v="5"/>
    <s v="DE4-N_A"/>
    <x v="6"/>
    <x v="4"/>
    <s v="GNR_ROR_WTR"/>
    <x v="0"/>
    <x v="1"/>
    <n v="2.66860730593607"/>
    <n v="974.04166666666595"/>
    <n v="3506.55"/>
  </r>
  <r>
    <x v="0"/>
    <x v="0"/>
    <x v="0"/>
    <x v="3"/>
    <x v="5"/>
    <s v="DE4-N_A"/>
    <x v="6"/>
    <x v="4"/>
    <s v="GNR_ROR_WTR"/>
    <x v="0"/>
    <x v="2"/>
    <n v="2.66860730593607"/>
    <n v="974.04166666666595"/>
    <n v="3506.55"/>
  </r>
  <r>
    <x v="0"/>
    <x v="0"/>
    <x v="0"/>
    <x v="3"/>
    <x v="5"/>
    <s v="DE4-N_A"/>
    <x v="6"/>
    <x v="4"/>
    <s v="GNR_ROR_WTR"/>
    <x v="0"/>
    <x v="9"/>
    <n v="2.66860730593607"/>
    <n v="974.04166666666595"/>
    <n v="3506.55"/>
  </r>
  <r>
    <x v="0"/>
    <x v="0"/>
    <x v="0"/>
    <x v="3"/>
    <x v="5"/>
    <s v="DE4-N_A"/>
    <x v="6"/>
    <x v="4"/>
    <s v="GNR_ROR_WTR"/>
    <x v="0"/>
    <x v="10"/>
    <n v="2.66860730593607"/>
    <n v="974.04166666666595"/>
    <n v="3506.55"/>
  </r>
  <r>
    <x v="0"/>
    <x v="0"/>
    <x v="0"/>
    <x v="3"/>
    <x v="5"/>
    <s v="DE4-N_A"/>
    <x v="6"/>
    <x v="4"/>
    <s v="GNR_ROR_WTR"/>
    <x v="0"/>
    <x v="11"/>
    <n v="2.66860730593607"/>
    <n v="974.04166666666595"/>
    <n v="3506.55"/>
  </r>
  <r>
    <x v="0"/>
    <x v="0"/>
    <x v="0"/>
    <x v="3"/>
    <x v="5"/>
    <s v="DE4-N_A"/>
    <x v="6"/>
    <x v="4"/>
    <s v="GNR_ROR_WTR"/>
    <x v="0"/>
    <x v="12"/>
    <n v="2.66860730593607"/>
    <n v="974.04166666666595"/>
    <n v="3506.55"/>
  </r>
  <r>
    <x v="0"/>
    <x v="0"/>
    <x v="0"/>
    <x v="3"/>
    <x v="5"/>
    <s v="DE4-N_A"/>
    <x v="6"/>
    <x v="4"/>
    <s v="GNR_ROR_WTR"/>
    <x v="0"/>
    <x v="13"/>
    <n v="2.66860730593607"/>
    <n v="974.04166666666595"/>
    <n v="3506.55"/>
  </r>
  <r>
    <x v="0"/>
    <x v="0"/>
    <x v="0"/>
    <x v="3"/>
    <x v="5"/>
    <s v="DE4-N_A"/>
    <x v="6"/>
    <x v="4"/>
    <s v="GNR_ROR_WTR"/>
    <x v="0"/>
    <x v="14"/>
    <n v="2.66860730593607"/>
    <n v="974.04166666666595"/>
    <n v="3506.55"/>
  </r>
  <r>
    <x v="0"/>
    <x v="0"/>
    <x v="0"/>
    <x v="3"/>
    <x v="5"/>
    <s v="DE4-N_A"/>
    <x v="6"/>
    <x v="4"/>
    <s v="GNR_ROR_WTR"/>
    <x v="0"/>
    <x v="15"/>
    <n v="2.66860730593607"/>
    <n v="974.04166666666595"/>
    <n v="3506.55"/>
  </r>
  <r>
    <x v="0"/>
    <x v="0"/>
    <x v="0"/>
    <x v="3"/>
    <x v="5"/>
    <s v="DE4-N_A"/>
    <x v="6"/>
    <x v="4"/>
    <s v="GNR_ROR_WTR"/>
    <x v="0"/>
    <x v="16"/>
    <n v="2.66860730593607"/>
    <n v="974.04166666666595"/>
    <n v="3506.55"/>
  </r>
  <r>
    <x v="0"/>
    <x v="0"/>
    <x v="0"/>
    <x v="3"/>
    <x v="5"/>
    <s v="DE4-N_A"/>
    <x v="6"/>
    <x v="4"/>
    <s v="GNR_ROR_WTR"/>
    <x v="0"/>
    <x v="17"/>
    <n v="2.66860730593607"/>
    <n v="974.04166666666595"/>
    <n v="3506.55"/>
  </r>
  <r>
    <x v="0"/>
    <x v="0"/>
    <x v="0"/>
    <x v="3"/>
    <x v="5"/>
    <s v="DE4-N_A"/>
    <x v="6"/>
    <x v="4"/>
    <s v="GNR_ROR_WTR"/>
    <x v="0"/>
    <x v="18"/>
    <n v="2.66860730593607"/>
    <n v="974.04166666666595"/>
    <n v="3506.55"/>
  </r>
  <r>
    <x v="0"/>
    <x v="0"/>
    <x v="0"/>
    <x v="3"/>
    <x v="5"/>
    <s v="DE4-N_A"/>
    <x v="6"/>
    <x v="4"/>
    <s v="GNR_ROR_WTR"/>
    <x v="0"/>
    <x v="19"/>
    <n v="2.66860730593607"/>
    <n v="974.04166666666595"/>
    <n v="3506.55"/>
  </r>
  <r>
    <x v="0"/>
    <x v="0"/>
    <x v="0"/>
    <x v="3"/>
    <x v="5"/>
    <s v="DE4-N_A"/>
    <x v="6"/>
    <x v="4"/>
    <s v="GNR_ROR_WTR"/>
    <x v="0"/>
    <x v="20"/>
    <n v="2.66860730593607"/>
    <n v="974.04166666666595"/>
    <n v="3506.55"/>
  </r>
  <r>
    <x v="0"/>
    <x v="0"/>
    <x v="0"/>
    <x v="3"/>
    <x v="5"/>
    <s v="DE4-N_A"/>
    <x v="6"/>
    <x v="4"/>
    <s v="GNR_ROR_WTR"/>
    <x v="0"/>
    <x v="21"/>
    <n v="2.66860730593607"/>
    <n v="974.04166666666595"/>
    <n v="3506.55"/>
  </r>
  <r>
    <x v="0"/>
    <x v="0"/>
    <x v="0"/>
    <x v="3"/>
    <x v="5"/>
    <s v="DE4-N_A"/>
    <x v="6"/>
    <x v="4"/>
    <s v="GNR_ROR_WTR"/>
    <x v="0"/>
    <x v="22"/>
    <n v="2.66860730593607"/>
    <n v="974.04166666666595"/>
    <n v="3506.55"/>
  </r>
  <r>
    <x v="0"/>
    <x v="0"/>
    <x v="0"/>
    <x v="3"/>
    <x v="5"/>
    <s v="DE4-N_A"/>
    <x v="6"/>
    <x v="4"/>
    <s v="GNR_ROR_WTR"/>
    <x v="0"/>
    <x v="23"/>
    <n v="2.66860730593607"/>
    <n v="974.04166666666595"/>
    <n v="3506.55"/>
  </r>
  <r>
    <x v="0"/>
    <x v="0"/>
    <x v="0"/>
    <x v="3"/>
    <x v="5"/>
    <s v="DE4-N_A"/>
    <x v="7"/>
    <x v="5"/>
    <s v="GNR_WT_WIND_ONS"/>
    <x v="0"/>
    <x v="3"/>
    <n v="1247.1653136443599"/>
    <n v="455215.339480191"/>
    <n v="1638775.22212869"/>
  </r>
  <r>
    <x v="0"/>
    <x v="0"/>
    <x v="0"/>
    <x v="3"/>
    <x v="5"/>
    <s v="DE4-N_A"/>
    <x v="7"/>
    <x v="5"/>
    <s v="GNR_WT_WIND_ONS"/>
    <x v="0"/>
    <x v="4"/>
    <n v="1206.74676651287"/>
    <n v="440462.56977719901"/>
    <n v="1585665.2511979199"/>
  </r>
  <r>
    <x v="0"/>
    <x v="0"/>
    <x v="0"/>
    <x v="3"/>
    <x v="5"/>
    <s v="DE4-N_A"/>
    <x v="7"/>
    <x v="5"/>
    <s v="GNR_WT_WIND_ONS"/>
    <x v="0"/>
    <x v="5"/>
    <n v="1172.30385673964"/>
    <n v="427890.90770996897"/>
    <n v="1540407.26775589"/>
  </r>
  <r>
    <x v="0"/>
    <x v="0"/>
    <x v="0"/>
    <x v="3"/>
    <x v="5"/>
    <s v="DE4-N_A"/>
    <x v="7"/>
    <x v="5"/>
    <s v="GNR_WT_WIND_ONS"/>
    <x v="0"/>
    <x v="6"/>
    <n v="1113.2114428636301"/>
    <n v="406322.17664522497"/>
    <n v="1462759.83592281"/>
  </r>
  <r>
    <x v="0"/>
    <x v="0"/>
    <x v="0"/>
    <x v="3"/>
    <x v="5"/>
    <s v="DE4-N_A"/>
    <x v="7"/>
    <x v="5"/>
    <s v="GNR_WT_WIND_ONS"/>
    <x v="0"/>
    <x v="7"/>
    <n v="1014.03246170937"/>
    <n v="370121.84852392197"/>
    <n v="1332438.6546861201"/>
  </r>
  <r>
    <x v="0"/>
    <x v="0"/>
    <x v="0"/>
    <x v="3"/>
    <x v="5"/>
    <s v="DE4-N_A"/>
    <x v="7"/>
    <x v="5"/>
    <s v="GNR_WT_WIND_ONS"/>
    <x v="0"/>
    <x v="8"/>
    <n v="925.31084593205298"/>
    <n v="337738.458765199"/>
    <n v="1215858.4515547201"/>
  </r>
  <r>
    <x v="0"/>
    <x v="0"/>
    <x v="0"/>
    <x v="3"/>
    <x v="5"/>
    <s v="DE4-N_A"/>
    <x v="7"/>
    <x v="5"/>
    <s v="GNR_WT_WIND_ONS"/>
    <x v="0"/>
    <x v="0"/>
    <n v="762.72371280972004"/>
    <n v="278394.15517554799"/>
    <n v="1002218.95863197"/>
  </r>
  <r>
    <x v="0"/>
    <x v="0"/>
    <x v="0"/>
    <x v="3"/>
    <x v="5"/>
    <s v="DE4-N_A"/>
    <x v="7"/>
    <x v="5"/>
    <s v="GNR_WT_WIND_ONS"/>
    <x v="0"/>
    <x v="1"/>
    <n v="737.57623892709205"/>
    <n v="269215.327208389"/>
    <n v="969175.17795019899"/>
  </r>
  <r>
    <x v="0"/>
    <x v="0"/>
    <x v="0"/>
    <x v="3"/>
    <x v="5"/>
    <s v="DE4-N_A"/>
    <x v="7"/>
    <x v="5"/>
    <s v="GNR_WT_WIND_ONS"/>
    <x v="0"/>
    <x v="2"/>
    <n v="792.93387945419602"/>
    <n v="289420.86600078101"/>
    <n v="1041915.11760281"/>
  </r>
  <r>
    <x v="0"/>
    <x v="0"/>
    <x v="0"/>
    <x v="3"/>
    <x v="5"/>
    <s v="DE4-N_A"/>
    <x v="7"/>
    <x v="5"/>
    <s v="GNR_WT_WIND_ONS"/>
    <x v="0"/>
    <x v="9"/>
    <n v="855.26309689925597"/>
    <n v="312171.03036822798"/>
    <n v="1123815.70932562"/>
  </r>
  <r>
    <x v="0"/>
    <x v="0"/>
    <x v="0"/>
    <x v="3"/>
    <x v="5"/>
    <s v="DE4-N_A"/>
    <x v="7"/>
    <x v="5"/>
    <s v="GNR_WT_WIND_ONS"/>
    <x v="0"/>
    <x v="10"/>
    <n v="986.81011374402203"/>
    <n v="360185.69151656801"/>
    <n v="1296668.4894596499"/>
  </r>
  <r>
    <x v="0"/>
    <x v="0"/>
    <x v="0"/>
    <x v="3"/>
    <x v="5"/>
    <s v="DE4-N_A"/>
    <x v="7"/>
    <x v="5"/>
    <s v="GNR_WT_WIND_ONS"/>
    <x v="0"/>
    <x v="11"/>
    <n v="1087.0680294213"/>
    <n v="396779.83073877299"/>
    <n v="1428407.39065958"/>
  </r>
  <r>
    <x v="0"/>
    <x v="0"/>
    <x v="0"/>
    <x v="3"/>
    <x v="5"/>
    <s v="DE4-N_A"/>
    <x v="7"/>
    <x v="5"/>
    <s v="GNR_WT_WIND_ONS"/>
    <x v="0"/>
    <x v="12"/>
    <n v="1337.7128186144801"/>
    <n v="488265.17879428499"/>
    <n v="1757754.6436594201"/>
  </r>
  <r>
    <x v="0"/>
    <x v="0"/>
    <x v="0"/>
    <x v="3"/>
    <x v="5"/>
    <s v="DE4-N_A"/>
    <x v="7"/>
    <x v="5"/>
    <s v="GNR_WT_WIND_ONS"/>
    <x v="0"/>
    <x v="13"/>
    <n v="1563.21013392503"/>
    <n v="570571.69888263801"/>
    <n v="2054058.1159775001"/>
  </r>
  <r>
    <x v="0"/>
    <x v="0"/>
    <x v="0"/>
    <x v="3"/>
    <x v="5"/>
    <s v="DE4-N_A"/>
    <x v="7"/>
    <x v="5"/>
    <s v="GNR_WT_WIND_ONS"/>
    <x v="0"/>
    <x v="14"/>
    <n v="1820.1625403297001"/>
    <n v="664359.32722034096"/>
    <n v="2391693.57799323"/>
  </r>
  <r>
    <x v="0"/>
    <x v="0"/>
    <x v="0"/>
    <x v="3"/>
    <x v="5"/>
    <s v="DE4-N_A"/>
    <x v="7"/>
    <x v="5"/>
    <s v="GNR_WT_WIND_ONS"/>
    <x v="0"/>
    <x v="15"/>
    <n v="2073.7951482020098"/>
    <n v="756935.22909373301"/>
    <n v="2724966.8247374399"/>
  </r>
  <r>
    <x v="0"/>
    <x v="0"/>
    <x v="0"/>
    <x v="3"/>
    <x v="5"/>
    <s v="DE4-N_A"/>
    <x v="7"/>
    <x v="5"/>
    <s v="GNR_WT_WIND_ONS"/>
    <x v="0"/>
    <x v="16"/>
    <n v="2412.4145985027299"/>
    <n v="880531.32845349796"/>
    <n v="3169912.7824325901"/>
  </r>
  <r>
    <x v="0"/>
    <x v="0"/>
    <x v="0"/>
    <x v="3"/>
    <x v="5"/>
    <s v="DE4-N_A"/>
    <x v="7"/>
    <x v="5"/>
    <s v="GNR_WT_WIND_ONS"/>
    <x v="0"/>
    <x v="17"/>
    <n v="2721.7368267553802"/>
    <n v="993433.94176571397"/>
    <n v="3576362.1903565698"/>
  </r>
  <r>
    <x v="0"/>
    <x v="0"/>
    <x v="0"/>
    <x v="3"/>
    <x v="5"/>
    <s v="DE4-N_A"/>
    <x v="7"/>
    <x v="5"/>
    <s v="GNR_WT_WIND_ONS"/>
    <x v="0"/>
    <x v="18"/>
    <n v="3053.2187102115299"/>
    <n v="1114424.82922721"/>
    <n v="4011929.3852179502"/>
  </r>
  <r>
    <x v="0"/>
    <x v="0"/>
    <x v="0"/>
    <x v="3"/>
    <x v="5"/>
    <s v="DE4-N_A"/>
    <x v="7"/>
    <x v="5"/>
    <s v="GNR_WT_WIND_ONS"/>
    <x v="0"/>
    <x v="19"/>
    <n v="3386.3604929338599"/>
    <n v="1236021.57992086"/>
    <n v="4449677.6877150899"/>
  </r>
  <r>
    <x v="0"/>
    <x v="0"/>
    <x v="0"/>
    <x v="3"/>
    <x v="5"/>
    <s v="DE4-N_A"/>
    <x v="7"/>
    <x v="5"/>
    <s v="GNR_WT_WIND_ONS"/>
    <x v="0"/>
    <x v="20"/>
    <n v="3670.8672271571199"/>
    <n v="1339866.5379123499"/>
    <n v="4823519.5364844501"/>
  </r>
  <r>
    <x v="0"/>
    <x v="0"/>
    <x v="0"/>
    <x v="3"/>
    <x v="5"/>
    <s v="DE4-N_A"/>
    <x v="7"/>
    <x v="5"/>
    <s v="GNR_WT_WIND_ONS"/>
    <x v="0"/>
    <x v="21"/>
    <n v="3983.84123379536"/>
    <n v="1454102.0503353099"/>
    <n v="5234767.3812071001"/>
  </r>
  <r>
    <x v="0"/>
    <x v="0"/>
    <x v="0"/>
    <x v="3"/>
    <x v="5"/>
    <s v="DE4-N_A"/>
    <x v="7"/>
    <x v="5"/>
    <s v="GNR_WT_WIND_ONS"/>
    <x v="0"/>
    <x v="22"/>
    <n v="4378.8142641828899"/>
    <n v="1598267.2064267599"/>
    <n v="5753761.9431363204"/>
  </r>
  <r>
    <x v="0"/>
    <x v="0"/>
    <x v="0"/>
    <x v="3"/>
    <x v="5"/>
    <s v="DE4-N_A"/>
    <x v="7"/>
    <x v="5"/>
    <s v="GNR_WT_WIND_ONS"/>
    <x v="0"/>
    <x v="23"/>
    <n v="4636.4306302940304"/>
    <n v="1692297.18005732"/>
    <n v="6092269.8482063599"/>
  </r>
  <r>
    <x v="0"/>
    <x v="0"/>
    <x v="0"/>
    <x v="3"/>
    <x v="5"/>
    <s v="DE4-N_Offshore_A"/>
    <x v="7"/>
    <x v="5"/>
    <s v="GNR_WT_WIND_OFF"/>
    <x v="0"/>
    <x v="3"/>
    <n v="293.30560164840898"/>
    <n v="107056.544601669"/>
    <n v="385403.56056601001"/>
  </r>
  <r>
    <x v="0"/>
    <x v="0"/>
    <x v="0"/>
    <x v="3"/>
    <x v="5"/>
    <s v="DE4-N_Offshore_A"/>
    <x v="7"/>
    <x v="5"/>
    <s v="GNR_WT_WIND_OFF"/>
    <x v="0"/>
    <x v="4"/>
    <n v="283.800056429618"/>
    <n v="103587.02059681099"/>
    <n v="372913.27414851799"/>
  </r>
  <r>
    <x v="0"/>
    <x v="0"/>
    <x v="0"/>
    <x v="3"/>
    <x v="5"/>
    <s v="DE4-N_Offshore_A"/>
    <x v="7"/>
    <x v="5"/>
    <s v="GNR_WT_WIND_OFF"/>
    <x v="0"/>
    <x v="5"/>
    <n v="275.69984849163399"/>
    <n v="100630.444699446"/>
    <n v="362269.60091800703"/>
  </r>
  <r>
    <x v="0"/>
    <x v="0"/>
    <x v="0"/>
    <x v="3"/>
    <x v="5"/>
    <s v="DE4-N_Offshore_A"/>
    <x v="7"/>
    <x v="5"/>
    <s v="GNR_WT_WIND_OFF"/>
    <x v="0"/>
    <x v="6"/>
    <n v="261.80262427032102"/>
    <n v="95557.9578586672"/>
    <n v="344008.64829120197"/>
  </r>
  <r>
    <x v="0"/>
    <x v="0"/>
    <x v="0"/>
    <x v="3"/>
    <x v="5"/>
    <s v="DE4-N_Offshore_A"/>
    <x v="7"/>
    <x v="5"/>
    <s v="GNR_WT_WIND_OFF"/>
    <x v="0"/>
    <x v="7"/>
    <n v="238.477929123595"/>
    <n v="87044.444130112301"/>
    <n v="313359.99886840401"/>
  </r>
  <r>
    <x v="0"/>
    <x v="0"/>
    <x v="0"/>
    <x v="3"/>
    <x v="5"/>
    <s v="DE4-N_Offshore_A"/>
    <x v="7"/>
    <x v="5"/>
    <s v="GNR_WT_WIND_OFF"/>
    <x v="0"/>
    <x v="8"/>
    <n v="217.61257421828199"/>
    <n v="79428.589589672803"/>
    <n v="285942.92252282199"/>
  </r>
  <r>
    <x v="0"/>
    <x v="0"/>
    <x v="0"/>
    <x v="3"/>
    <x v="5"/>
    <s v="DE4-N_Offshore_A"/>
    <x v="7"/>
    <x v="5"/>
    <s v="GNR_WT_WIND_OFF"/>
    <x v="0"/>
    <x v="0"/>
    <n v="179.375689036327"/>
    <n v="65472.126498259298"/>
    <n v="235699.655393733"/>
  </r>
  <r>
    <x v="0"/>
    <x v="0"/>
    <x v="0"/>
    <x v="3"/>
    <x v="5"/>
    <s v="DE4-N_Offshore_A"/>
    <x v="7"/>
    <x v="5"/>
    <s v="GNR_WT_WIND_OFF"/>
    <x v="0"/>
    <x v="1"/>
    <n v="173.461561312931"/>
    <n v="63313.469879219803"/>
    <n v="227928.49156519101"/>
  </r>
  <r>
    <x v="0"/>
    <x v="0"/>
    <x v="0"/>
    <x v="3"/>
    <x v="5"/>
    <s v="DE4-N_Offshore_A"/>
    <x v="7"/>
    <x v="5"/>
    <s v="GNR_WT_WIND_OFF"/>
    <x v="0"/>
    <x v="2"/>
    <n v="186.48044973373999"/>
    <n v="68065.364152814902"/>
    <n v="245035.31095013401"/>
  </r>
  <r>
    <x v="0"/>
    <x v="0"/>
    <x v="0"/>
    <x v="3"/>
    <x v="5"/>
    <s v="DE4-N_Offshore_A"/>
    <x v="7"/>
    <x v="5"/>
    <s v="GNR_WT_WIND_OFF"/>
    <x v="0"/>
    <x v="9"/>
    <n v="201.138898315489"/>
    <n v="73415.697885153597"/>
    <n v="264296.51238655299"/>
  </r>
  <r>
    <x v="0"/>
    <x v="0"/>
    <x v="0"/>
    <x v="3"/>
    <x v="5"/>
    <s v="DE4-N_Offshore_A"/>
    <x v="7"/>
    <x v="5"/>
    <s v="GNR_WT_WIND_OFF"/>
    <x v="0"/>
    <x v="10"/>
    <n v="232.07583706658599"/>
    <n v="84707.680529303907"/>
    <n v="304947.64990549401"/>
  </r>
  <r>
    <x v="0"/>
    <x v="0"/>
    <x v="0"/>
    <x v="3"/>
    <x v="5"/>
    <s v="DE4-N_Offshore_A"/>
    <x v="7"/>
    <x v="5"/>
    <s v="GNR_WT_WIND_OFF"/>
    <x v="0"/>
    <x v="11"/>
    <n v="255.654273666791"/>
    <n v="93313.809888378702"/>
    <n v="335929.71559816302"/>
  </r>
  <r>
    <x v="0"/>
    <x v="0"/>
    <x v="0"/>
    <x v="3"/>
    <x v="5"/>
    <s v="DE4-N_Offshore_A"/>
    <x v="7"/>
    <x v="5"/>
    <s v="GNR_WT_WIND_OFF"/>
    <x v="0"/>
    <x v="12"/>
    <n v="314.60036516730298"/>
    <n v="114829.133286066"/>
    <n v="413384.87982983602"/>
  </r>
  <r>
    <x v="0"/>
    <x v="0"/>
    <x v="0"/>
    <x v="3"/>
    <x v="5"/>
    <s v="DE4-N_Offshore_A"/>
    <x v="7"/>
    <x v="5"/>
    <s v="GNR_WT_WIND_OFF"/>
    <x v="0"/>
    <x v="13"/>
    <n v="367.63232894442001"/>
    <n v="134185.800064713"/>
    <n v="483068.88023296703"/>
  </r>
  <r>
    <x v="0"/>
    <x v="0"/>
    <x v="0"/>
    <x v="3"/>
    <x v="5"/>
    <s v="DE4-N_Offshore_A"/>
    <x v="7"/>
    <x v="5"/>
    <s v="GNR_WT_WIND_OFF"/>
    <x v="0"/>
    <x v="14"/>
    <n v="428.06183201911699"/>
    <n v="156242.56868697799"/>
    <n v="562473.24727311998"/>
  </r>
  <r>
    <x v="0"/>
    <x v="0"/>
    <x v="0"/>
    <x v="3"/>
    <x v="5"/>
    <s v="DE4-N_Offshore_A"/>
    <x v="7"/>
    <x v="5"/>
    <s v="GNR_WT_WIND_OFF"/>
    <x v="0"/>
    <x v="15"/>
    <n v="487.71059216003198"/>
    <n v="178014.36613841201"/>
    <n v="640851.71809828305"/>
  </r>
  <r>
    <x v="0"/>
    <x v="0"/>
    <x v="0"/>
    <x v="3"/>
    <x v="5"/>
    <s v="DE4-N_Offshore_A"/>
    <x v="7"/>
    <x v="5"/>
    <s v="GNR_WT_WIND_OFF"/>
    <x v="0"/>
    <x v="16"/>
    <n v="567.34637140575796"/>
    <n v="207081.42556310099"/>
    <n v="745493.13202716503"/>
  </r>
  <r>
    <x v="0"/>
    <x v="0"/>
    <x v="0"/>
    <x v="3"/>
    <x v="5"/>
    <s v="DE4-N_Offshore_A"/>
    <x v="7"/>
    <x v="5"/>
    <s v="GNR_WT_WIND_OFF"/>
    <x v="0"/>
    <x v="17"/>
    <n v="640.09209426085999"/>
    <n v="233633.614405214"/>
    <n v="841081.01185877004"/>
  </r>
  <r>
    <x v="0"/>
    <x v="0"/>
    <x v="0"/>
    <x v="3"/>
    <x v="5"/>
    <s v="DE4-N_Offshore_A"/>
    <x v="7"/>
    <x v="5"/>
    <s v="GNR_WT_WIND_OFF"/>
    <x v="0"/>
    <x v="18"/>
    <n v="718.04927619895398"/>
    <n v="262087.98581261799"/>
    <n v="943516.74892542604"/>
  </r>
  <r>
    <x v="0"/>
    <x v="0"/>
    <x v="0"/>
    <x v="3"/>
    <x v="5"/>
    <s v="DE4-N_Offshore_A"/>
    <x v="7"/>
    <x v="5"/>
    <s v="GNR_WT_WIND_OFF"/>
    <x v="0"/>
    <x v="19"/>
    <n v="796.39682960393998"/>
    <n v="290684.84280543798"/>
    <n v="1046465.43409958"/>
  </r>
  <r>
    <x v="0"/>
    <x v="0"/>
    <x v="0"/>
    <x v="3"/>
    <x v="5"/>
    <s v="DE4-N_Offshore_A"/>
    <x v="7"/>
    <x v="5"/>
    <s v="GNR_WT_WIND_OFF"/>
    <x v="0"/>
    <x v="20"/>
    <n v="863.30649902902496"/>
    <n v="315106.87214559398"/>
    <n v="1134384.7397241399"/>
  </r>
  <r>
    <x v="0"/>
    <x v="0"/>
    <x v="0"/>
    <x v="3"/>
    <x v="5"/>
    <s v="DE4-N_Offshore_A"/>
    <x v="7"/>
    <x v="5"/>
    <s v="GNR_WT_WIND_OFF"/>
    <x v="0"/>
    <x v="21"/>
    <n v="936.91103911128698"/>
    <n v="341972.52927562001"/>
    <n v="1231101.10539223"/>
  </r>
  <r>
    <x v="0"/>
    <x v="0"/>
    <x v="0"/>
    <x v="3"/>
    <x v="5"/>
    <s v="DE4-N_Offshore_A"/>
    <x v="7"/>
    <x v="5"/>
    <s v="GNR_WT_WIND_OFF"/>
    <x v="0"/>
    <x v="22"/>
    <n v="1029.7999296579501"/>
    <n v="375876.97432515299"/>
    <n v="1353157.1075705499"/>
  </r>
  <r>
    <x v="0"/>
    <x v="0"/>
    <x v="0"/>
    <x v="3"/>
    <x v="5"/>
    <s v="DE4-N_Offshore_A"/>
    <x v="7"/>
    <x v="5"/>
    <s v="GNR_WT_WIND_OFF"/>
    <x v="0"/>
    <x v="23"/>
    <n v="1090.38558131941"/>
    <n v="397990.737181584"/>
    <n v="1432766.6538537"/>
  </r>
  <r>
    <x v="0"/>
    <x v="0"/>
    <x v="0"/>
    <x v="3"/>
    <x v="6"/>
    <s v="DE4-S_A"/>
    <x v="9"/>
    <x v="1"/>
    <s v="GNR_ENG_BGAS_BP_E-45"/>
    <x v="0"/>
    <x v="1"/>
    <n v="47.36"/>
    <n v="17286.400000000001"/>
    <n v="62231.040000000001"/>
  </r>
  <r>
    <x v="0"/>
    <x v="0"/>
    <x v="0"/>
    <x v="3"/>
    <x v="6"/>
    <s v="DE4-S_A"/>
    <x v="9"/>
    <x v="1"/>
    <s v="GNR_ENG_BGAS_BP_E-45"/>
    <x v="0"/>
    <x v="2"/>
    <n v="47.36"/>
    <n v="17286.400000000001"/>
    <n v="62231.040000000001"/>
  </r>
  <r>
    <x v="0"/>
    <x v="0"/>
    <x v="0"/>
    <x v="3"/>
    <x v="6"/>
    <s v="DE4-S_A"/>
    <x v="9"/>
    <x v="2"/>
    <s v="GNR_ENG_BGAS_CND_E-44"/>
    <x v="0"/>
    <x v="1"/>
    <n v="2526.71"/>
    <n v="922249.15"/>
    <n v="3320096.94"/>
  </r>
  <r>
    <x v="0"/>
    <x v="0"/>
    <x v="0"/>
    <x v="3"/>
    <x v="6"/>
    <s v="DE4-S_A"/>
    <x v="9"/>
    <x v="2"/>
    <s v="GNR_ENG_BGAS_CND_E-44"/>
    <x v="0"/>
    <x v="2"/>
    <n v="2526.71"/>
    <n v="922249.15"/>
    <n v="3320096.94"/>
  </r>
  <r>
    <x v="0"/>
    <x v="0"/>
    <x v="0"/>
    <x v="3"/>
    <x v="6"/>
    <s v="DE4-S_A"/>
    <x v="9"/>
    <x v="2"/>
    <s v="GNR_ENG_BGAS_CND_E-44"/>
    <x v="0"/>
    <x v="9"/>
    <n v="2526.71"/>
    <n v="922249.15"/>
    <n v="3320096.94"/>
  </r>
  <r>
    <x v="0"/>
    <x v="0"/>
    <x v="0"/>
    <x v="3"/>
    <x v="6"/>
    <s v="DE4-S_A"/>
    <x v="9"/>
    <x v="2"/>
    <s v="GNR_ST_BGAS_CND_E-38"/>
    <x v="0"/>
    <x v="1"/>
    <n v="40.299999999999997"/>
    <n v="14709.5"/>
    <n v="52954.2"/>
  </r>
  <r>
    <x v="0"/>
    <x v="0"/>
    <x v="0"/>
    <x v="3"/>
    <x v="6"/>
    <s v="DE4-S_A"/>
    <x v="9"/>
    <x v="2"/>
    <s v="GNR_ST_BGAS_CND_E-38"/>
    <x v="0"/>
    <x v="2"/>
    <n v="40.299999999999997"/>
    <n v="14709.5"/>
    <n v="52954.2"/>
  </r>
  <r>
    <x v="0"/>
    <x v="0"/>
    <x v="0"/>
    <x v="3"/>
    <x v="6"/>
    <s v="DE4-S_A"/>
    <x v="14"/>
    <x v="8"/>
    <s v="AGG-DE4-S_ES_ELEC"/>
    <x v="0"/>
    <x v="0"/>
    <n v="0.473333333333333"/>
    <n v="172.76666666666699"/>
    <n v="621.96"/>
  </r>
  <r>
    <x v="0"/>
    <x v="0"/>
    <x v="0"/>
    <x v="3"/>
    <x v="6"/>
    <s v="DE4-S_A"/>
    <x v="14"/>
    <x v="8"/>
    <s v="AGG-DE4-S_ES_ELEC"/>
    <x v="0"/>
    <x v="1"/>
    <n v="0.473333333333333"/>
    <n v="172.76666666666699"/>
    <n v="621.96"/>
  </r>
  <r>
    <x v="0"/>
    <x v="0"/>
    <x v="0"/>
    <x v="3"/>
    <x v="6"/>
    <s v="DE4-S_A"/>
    <x v="14"/>
    <x v="8"/>
    <s v="AGG-DE4-S_ES_ELEC"/>
    <x v="0"/>
    <x v="2"/>
    <n v="0.473333333333333"/>
    <n v="172.76666666666699"/>
    <n v="621.96"/>
  </r>
  <r>
    <x v="0"/>
    <x v="0"/>
    <x v="0"/>
    <x v="3"/>
    <x v="6"/>
    <s v="DE4-S_A"/>
    <x v="14"/>
    <x v="8"/>
    <s v="AGG-DE4-S_ES_ELEC"/>
    <x v="0"/>
    <x v="9"/>
    <n v="0.473333333333333"/>
    <n v="172.76666666666699"/>
    <n v="621.96"/>
  </r>
  <r>
    <x v="0"/>
    <x v="0"/>
    <x v="0"/>
    <x v="3"/>
    <x v="6"/>
    <s v="DE4-S_A"/>
    <x v="14"/>
    <x v="8"/>
    <s v="AGG-DE4-S_ES_ELEC"/>
    <x v="0"/>
    <x v="10"/>
    <n v="0.473333333333333"/>
    <n v="172.76666666666699"/>
    <n v="621.96"/>
  </r>
  <r>
    <x v="0"/>
    <x v="0"/>
    <x v="0"/>
    <x v="3"/>
    <x v="6"/>
    <s v="DE4-S_A"/>
    <x v="14"/>
    <x v="8"/>
    <s v="AGG-DE4-S_ES_ELEC"/>
    <x v="0"/>
    <x v="15"/>
    <n v="0.473333333333333"/>
    <n v="172.76666666666699"/>
    <n v="621.96"/>
  </r>
  <r>
    <x v="0"/>
    <x v="0"/>
    <x v="0"/>
    <x v="3"/>
    <x v="6"/>
    <s v="DE4-S_A"/>
    <x v="14"/>
    <x v="8"/>
    <s v="AGG-DE4-S_ES_ELEC"/>
    <x v="0"/>
    <x v="16"/>
    <n v="0.473333333333333"/>
    <n v="172.76666666666699"/>
    <n v="621.96"/>
  </r>
  <r>
    <x v="0"/>
    <x v="0"/>
    <x v="0"/>
    <x v="3"/>
    <x v="6"/>
    <s v="DE4-S_A"/>
    <x v="14"/>
    <x v="8"/>
    <s v="AGG-DE4-S_ES_ELEC"/>
    <x v="0"/>
    <x v="17"/>
    <n v="0.473333333333333"/>
    <n v="172.76666666666699"/>
    <n v="621.96"/>
  </r>
  <r>
    <x v="0"/>
    <x v="0"/>
    <x v="0"/>
    <x v="3"/>
    <x v="6"/>
    <s v="DE4-S_A"/>
    <x v="14"/>
    <x v="8"/>
    <s v="AGG-DE4-S_ES_ELEC"/>
    <x v="0"/>
    <x v="18"/>
    <n v="0.473333333333333"/>
    <n v="172.76666666666699"/>
    <n v="621.96"/>
  </r>
  <r>
    <x v="0"/>
    <x v="0"/>
    <x v="0"/>
    <x v="3"/>
    <x v="6"/>
    <s v="DE4-S_A"/>
    <x v="14"/>
    <x v="8"/>
    <s v="AGG-DE4-S_ES_ELEC"/>
    <x v="0"/>
    <x v="19"/>
    <n v="0.473333333333333"/>
    <n v="172.76666666666699"/>
    <n v="621.96"/>
  </r>
  <r>
    <x v="0"/>
    <x v="0"/>
    <x v="0"/>
    <x v="3"/>
    <x v="6"/>
    <s v="DE4-S_A"/>
    <x v="14"/>
    <x v="9"/>
    <s v="AGG-DE4-S_RES_WTR_PMP"/>
    <x v="0"/>
    <x v="3"/>
    <n v="2163"/>
    <n v="789495"/>
    <n v="2842182"/>
  </r>
  <r>
    <x v="0"/>
    <x v="0"/>
    <x v="0"/>
    <x v="3"/>
    <x v="6"/>
    <s v="DE4-S_A"/>
    <x v="14"/>
    <x v="9"/>
    <s v="AGG-DE4-S_RES_WTR_PMP"/>
    <x v="0"/>
    <x v="1"/>
    <n v="302.22739726027299"/>
    <n v="110313"/>
    <n v="397126.799999999"/>
  </r>
  <r>
    <x v="0"/>
    <x v="0"/>
    <x v="0"/>
    <x v="3"/>
    <x v="6"/>
    <s v="DE4-S_A"/>
    <x v="14"/>
    <x v="9"/>
    <s v="AGG-DE4-S_RES_WTR_PMP"/>
    <x v="0"/>
    <x v="2"/>
    <n v="2163"/>
    <n v="789495"/>
    <n v="2842182"/>
  </r>
  <r>
    <x v="0"/>
    <x v="0"/>
    <x v="0"/>
    <x v="3"/>
    <x v="6"/>
    <s v="DE4-S_A"/>
    <x v="14"/>
    <x v="9"/>
    <s v="AGG-DE4-S_RES_WTR_PMP"/>
    <x v="0"/>
    <x v="16"/>
    <n v="171.73239062081299"/>
    <n v="62682.322576596598"/>
    <n v="225656.361275748"/>
  </r>
  <r>
    <x v="0"/>
    <x v="0"/>
    <x v="0"/>
    <x v="3"/>
    <x v="6"/>
    <s v="DE4-S_A"/>
    <x v="14"/>
    <x v="9"/>
    <s v="AGG-DE4-S_RES_WTR_PMP"/>
    <x v="0"/>
    <x v="17"/>
    <n v="1557.9391909824301"/>
    <n v="568647.80470858805"/>
    <n v="2047132.0969509201"/>
  </r>
  <r>
    <x v="0"/>
    <x v="0"/>
    <x v="0"/>
    <x v="3"/>
    <x v="6"/>
    <s v="DE4-S_A"/>
    <x v="14"/>
    <x v="9"/>
    <s v="AGG-DE4-S_RES_WTR_PMP"/>
    <x v="0"/>
    <x v="18"/>
    <n v="735.55581565702801"/>
    <n v="268477.87271481502"/>
    <n v="966520.34177333501"/>
  </r>
  <r>
    <x v="0"/>
    <x v="0"/>
    <x v="0"/>
    <x v="3"/>
    <x v="6"/>
    <s v="DE4-S_A"/>
    <x v="14"/>
    <x v="8"/>
    <s v="GNR_ES_ELEC_BAT-LITHIO_E-95_Y-16-29"/>
    <x v="0"/>
    <x v="0"/>
    <n v="1490.0325371465001"/>
    <n v="543861.87605847197"/>
    <n v="1957902.7538105"/>
  </r>
  <r>
    <x v="0"/>
    <x v="0"/>
    <x v="0"/>
    <x v="3"/>
    <x v="6"/>
    <s v="DE4-S_A"/>
    <x v="14"/>
    <x v="8"/>
    <s v="GNR_ES_ELEC_BAT-LITHIO_E-95_Y-16-29"/>
    <x v="0"/>
    <x v="1"/>
    <n v="1490.0325371465001"/>
    <n v="543861.87605847197"/>
    <n v="1957902.7538105"/>
  </r>
  <r>
    <x v="0"/>
    <x v="0"/>
    <x v="0"/>
    <x v="3"/>
    <x v="6"/>
    <s v="DE4-S_A"/>
    <x v="14"/>
    <x v="8"/>
    <s v="GNR_ES_ELEC_BAT-LITHIO_E-95_Y-16-29"/>
    <x v="0"/>
    <x v="2"/>
    <n v="1490.0325371465001"/>
    <n v="543861.87605847197"/>
    <n v="1957902.7538105"/>
  </r>
  <r>
    <x v="0"/>
    <x v="0"/>
    <x v="0"/>
    <x v="3"/>
    <x v="6"/>
    <s v="DE4-S_A"/>
    <x v="14"/>
    <x v="8"/>
    <s v="GNR_ES_ELEC_BAT-LITHIO_E-95_Y-16-29"/>
    <x v="0"/>
    <x v="9"/>
    <n v="1490.0325371465001"/>
    <n v="543861.87605847197"/>
    <n v="1957902.7538105"/>
  </r>
  <r>
    <x v="0"/>
    <x v="0"/>
    <x v="0"/>
    <x v="3"/>
    <x v="6"/>
    <s v="DE4-S_A"/>
    <x v="14"/>
    <x v="8"/>
    <s v="GNR_ES_ELEC_BAT-LITHIO_E-95_Y-16-29"/>
    <x v="0"/>
    <x v="10"/>
    <n v="1490.0325371465001"/>
    <n v="543861.87605847197"/>
    <n v="1957902.7538105"/>
  </r>
  <r>
    <x v="0"/>
    <x v="0"/>
    <x v="0"/>
    <x v="3"/>
    <x v="6"/>
    <s v="DE4-S_A"/>
    <x v="14"/>
    <x v="8"/>
    <s v="GNR_ES_ELEC_BAT-LITHIO_E-95_Y-16-29"/>
    <x v="0"/>
    <x v="15"/>
    <n v="1490.0325371465001"/>
    <n v="543861.87605847197"/>
    <n v="1957902.7538105"/>
  </r>
  <r>
    <x v="0"/>
    <x v="0"/>
    <x v="0"/>
    <x v="3"/>
    <x v="6"/>
    <s v="DE4-S_A"/>
    <x v="14"/>
    <x v="8"/>
    <s v="GNR_ES_ELEC_BAT-LITHIO_E-95_Y-16-29"/>
    <x v="0"/>
    <x v="16"/>
    <n v="1490.0325371465001"/>
    <n v="543861.87605847197"/>
    <n v="1957902.7538105"/>
  </r>
  <r>
    <x v="0"/>
    <x v="0"/>
    <x v="0"/>
    <x v="3"/>
    <x v="6"/>
    <s v="DE4-S_A"/>
    <x v="14"/>
    <x v="8"/>
    <s v="GNR_ES_ELEC_BAT-LITHIO_E-95_Y-16-29"/>
    <x v="0"/>
    <x v="17"/>
    <n v="1490.0325371465001"/>
    <n v="543861.87605847197"/>
    <n v="1957902.7538105"/>
  </r>
  <r>
    <x v="0"/>
    <x v="0"/>
    <x v="0"/>
    <x v="3"/>
    <x v="6"/>
    <s v="DE4-S_A"/>
    <x v="14"/>
    <x v="8"/>
    <s v="GNR_ES_ELEC_BAT-LITHIO_E-95_Y-16-29"/>
    <x v="0"/>
    <x v="18"/>
    <n v="1490.0325371465001"/>
    <n v="543861.87605847197"/>
    <n v="1957902.7538105"/>
  </r>
  <r>
    <x v="0"/>
    <x v="0"/>
    <x v="0"/>
    <x v="3"/>
    <x v="6"/>
    <s v="DE4-S_A"/>
    <x v="14"/>
    <x v="8"/>
    <s v="GNR_ES_ELEC_BAT-LITHIO_E-95_Y-16-29"/>
    <x v="0"/>
    <x v="19"/>
    <n v="1490.0325371465001"/>
    <n v="543861.87605847197"/>
    <n v="1957902.7538105"/>
  </r>
  <r>
    <x v="0"/>
    <x v="0"/>
    <x v="0"/>
    <x v="3"/>
    <x v="6"/>
    <s v="DE4-S_A"/>
    <x v="1"/>
    <x v="1"/>
    <s v="GNR_ST_MSW_BP_E-33"/>
    <x v="0"/>
    <x v="1"/>
    <n v="399.9"/>
    <n v="145963.5"/>
    <n v="525468.6"/>
  </r>
  <r>
    <x v="0"/>
    <x v="0"/>
    <x v="0"/>
    <x v="3"/>
    <x v="6"/>
    <s v="DE4-S_A"/>
    <x v="1"/>
    <x v="1"/>
    <s v="GNR_ST_MSW_BP_E-33"/>
    <x v="0"/>
    <x v="2"/>
    <n v="399.9"/>
    <n v="145963.5"/>
    <n v="525468.6"/>
  </r>
  <r>
    <x v="0"/>
    <x v="0"/>
    <x v="0"/>
    <x v="3"/>
    <x v="6"/>
    <s v="DE4-S_A"/>
    <x v="1"/>
    <x v="1"/>
    <s v="GNR_ST_MSW_BP_E-33"/>
    <x v="0"/>
    <x v="9"/>
    <n v="399.9"/>
    <n v="145963.5"/>
    <n v="525468.6"/>
  </r>
  <r>
    <x v="0"/>
    <x v="0"/>
    <x v="0"/>
    <x v="3"/>
    <x v="6"/>
    <s v="DE4-S_A"/>
    <x v="1"/>
    <x v="1"/>
    <s v="GNR_ST_MSW_BP_E-33"/>
    <x v="0"/>
    <x v="16"/>
    <n v="399.9"/>
    <n v="145963.5"/>
    <n v="525468.6"/>
  </r>
  <r>
    <x v="0"/>
    <x v="0"/>
    <x v="0"/>
    <x v="3"/>
    <x v="6"/>
    <s v="DE4-S_A"/>
    <x v="1"/>
    <x v="1"/>
    <s v="GNR_ST_MSW_BP_E-33"/>
    <x v="0"/>
    <x v="17"/>
    <n v="399.9"/>
    <n v="145963.5"/>
    <n v="525468.6"/>
  </r>
  <r>
    <x v="0"/>
    <x v="0"/>
    <x v="0"/>
    <x v="3"/>
    <x v="6"/>
    <s v="DE4-S_A"/>
    <x v="1"/>
    <x v="1"/>
    <s v="GNR_ST_MSW_BP_E-33"/>
    <x v="0"/>
    <x v="18"/>
    <n v="399.9"/>
    <n v="145963.5"/>
    <n v="525468.6"/>
  </r>
  <r>
    <x v="0"/>
    <x v="0"/>
    <x v="0"/>
    <x v="3"/>
    <x v="6"/>
    <s v="DE4-S_A"/>
    <x v="1"/>
    <x v="1"/>
    <s v="GNR_ST_MSW_BP_E-33"/>
    <x v="0"/>
    <x v="19"/>
    <n v="399.9"/>
    <n v="145963.5"/>
    <n v="525468.6"/>
  </r>
  <r>
    <x v="0"/>
    <x v="0"/>
    <x v="0"/>
    <x v="3"/>
    <x v="6"/>
    <s v="DE4-S_A"/>
    <x v="1"/>
    <x v="2"/>
    <s v="GNR_ST_MSW_CND_E-33"/>
    <x v="0"/>
    <x v="3"/>
    <n v="40"/>
    <n v="14600"/>
    <n v="52560"/>
  </r>
  <r>
    <x v="0"/>
    <x v="0"/>
    <x v="0"/>
    <x v="3"/>
    <x v="6"/>
    <s v="DE4-S_A"/>
    <x v="1"/>
    <x v="2"/>
    <s v="GNR_ST_MSW_CND_E-33"/>
    <x v="0"/>
    <x v="4"/>
    <n v="40"/>
    <n v="14600"/>
    <n v="52560"/>
  </r>
  <r>
    <x v="0"/>
    <x v="0"/>
    <x v="0"/>
    <x v="3"/>
    <x v="6"/>
    <s v="DE4-S_A"/>
    <x v="1"/>
    <x v="2"/>
    <s v="GNR_ST_MSW_CND_E-33"/>
    <x v="0"/>
    <x v="5"/>
    <n v="40"/>
    <n v="14600"/>
    <n v="52560"/>
  </r>
  <r>
    <x v="0"/>
    <x v="0"/>
    <x v="0"/>
    <x v="3"/>
    <x v="6"/>
    <s v="DE4-S_A"/>
    <x v="1"/>
    <x v="2"/>
    <s v="GNR_ST_MSW_CND_E-33"/>
    <x v="0"/>
    <x v="6"/>
    <n v="40"/>
    <n v="14600"/>
    <n v="52560"/>
  </r>
  <r>
    <x v="0"/>
    <x v="0"/>
    <x v="0"/>
    <x v="3"/>
    <x v="6"/>
    <s v="DE4-S_A"/>
    <x v="1"/>
    <x v="2"/>
    <s v="GNR_ST_MSW_CND_E-33"/>
    <x v="0"/>
    <x v="7"/>
    <n v="40"/>
    <n v="14600"/>
    <n v="52560"/>
  </r>
  <r>
    <x v="0"/>
    <x v="0"/>
    <x v="0"/>
    <x v="3"/>
    <x v="6"/>
    <s v="DE4-S_A"/>
    <x v="1"/>
    <x v="2"/>
    <s v="GNR_ST_MSW_CND_E-33"/>
    <x v="0"/>
    <x v="8"/>
    <n v="40"/>
    <n v="14600"/>
    <n v="52560"/>
  </r>
  <r>
    <x v="0"/>
    <x v="0"/>
    <x v="0"/>
    <x v="3"/>
    <x v="6"/>
    <s v="DE4-S_A"/>
    <x v="1"/>
    <x v="2"/>
    <s v="GNR_ST_MSW_CND_E-33"/>
    <x v="0"/>
    <x v="0"/>
    <n v="40"/>
    <n v="14600"/>
    <n v="52560"/>
  </r>
  <r>
    <x v="0"/>
    <x v="0"/>
    <x v="0"/>
    <x v="3"/>
    <x v="6"/>
    <s v="DE4-S_A"/>
    <x v="1"/>
    <x v="2"/>
    <s v="GNR_ST_MSW_CND_E-33"/>
    <x v="0"/>
    <x v="1"/>
    <n v="40"/>
    <n v="14600"/>
    <n v="52560"/>
  </r>
  <r>
    <x v="0"/>
    <x v="0"/>
    <x v="0"/>
    <x v="3"/>
    <x v="6"/>
    <s v="DE4-S_A"/>
    <x v="1"/>
    <x v="2"/>
    <s v="GNR_ST_MSW_CND_E-33"/>
    <x v="0"/>
    <x v="2"/>
    <n v="40"/>
    <n v="14600"/>
    <n v="52560"/>
  </r>
  <r>
    <x v="0"/>
    <x v="0"/>
    <x v="0"/>
    <x v="3"/>
    <x v="6"/>
    <s v="DE4-S_A"/>
    <x v="1"/>
    <x v="2"/>
    <s v="GNR_ST_MSW_CND_E-33"/>
    <x v="0"/>
    <x v="9"/>
    <n v="40"/>
    <n v="14600"/>
    <n v="52560"/>
  </r>
  <r>
    <x v="0"/>
    <x v="0"/>
    <x v="0"/>
    <x v="3"/>
    <x v="6"/>
    <s v="DE4-S_A"/>
    <x v="1"/>
    <x v="2"/>
    <s v="GNR_ST_MSW_CND_E-33"/>
    <x v="0"/>
    <x v="10"/>
    <n v="40"/>
    <n v="14600"/>
    <n v="52560"/>
  </r>
  <r>
    <x v="0"/>
    <x v="0"/>
    <x v="0"/>
    <x v="3"/>
    <x v="6"/>
    <s v="DE4-S_A"/>
    <x v="1"/>
    <x v="2"/>
    <s v="GNR_ST_MSW_CND_E-33"/>
    <x v="0"/>
    <x v="11"/>
    <n v="40"/>
    <n v="14600"/>
    <n v="52560"/>
  </r>
  <r>
    <x v="0"/>
    <x v="0"/>
    <x v="0"/>
    <x v="3"/>
    <x v="6"/>
    <s v="DE4-S_A"/>
    <x v="1"/>
    <x v="2"/>
    <s v="GNR_ST_MSW_CND_E-33"/>
    <x v="0"/>
    <x v="12"/>
    <n v="40"/>
    <n v="14600"/>
    <n v="52560"/>
  </r>
  <r>
    <x v="0"/>
    <x v="0"/>
    <x v="0"/>
    <x v="3"/>
    <x v="6"/>
    <s v="DE4-S_A"/>
    <x v="1"/>
    <x v="2"/>
    <s v="GNR_ST_MSW_CND_E-33"/>
    <x v="0"/>
    <x v="13"/>
    <n v="40"/>
    <n v="14600"/>
    <n v="52560"/>
  </r>
  <r>
    <x v="0"/>
    <x v="0"/>
    <x v="0"/>
    <x v="3"/>
    <x v="6"/>
    <s v="DE4-S_A"/>
    <x v="1"/>
    <x v="2"/>
    <s v="GNR_ST_MSW_CND_E-33"/>
    <x v="0"/>
    <x v="14"/>
    <n v="40"/>
    <n v="14600"/>
    <n v="52560"/>
  </r>
  <r>
    <x v="0"/>
    <x v="0"/>
    <x v="0"/>
    <x v="3"/>
    <x v="6"/>
    <s v="DE4-S_A"/>
    <x v="1"/>
    <x v="2"/>
    <s v="GNR_ST_MSW_CND_E-33"/>
    <x v="0"/>
    <x v="15"/>
    <n v="40"/>
    <n v="14600"/>
    <n v="52560"/>
  </r>
  <r>
    <x v="0"/>
    <x v="0"/>
    <x v="0"/>
    <x v="3"/>
    <x v="6"/>
    <s v="DE4-S_A"/>
    <x v="1"/>
    <x v="2"/>
    <s v="GNR_ST_MSW_CND_E-33"/>
    <x v="0"/>
    <x v="16"/>
    <n v="40"/>
    <n v="14600"/>
    <n v="52560"/>
  </r>
  <r>
    <x v="0"/>
    <x v="0"/>
    <x v="0"/>
    <x v="3"/>
    <x v="6"/>
    <s v="DE4-S_A"/>
    <x v="1"/>
    <x v="2"/>
    <s v="GNR_ST_MSW_CND_E-33"/>
    <x v="0"/>
    <x v="17"/>
    <n v="40"/>
    <n v="14600"/>
    <n v="52560"/>
  </r>
  <r>
    <x v="0"/>
    <x v="0"/>
    <x v="0"/>
    <x v="3"/>
    <x v="6"/>
    <s v="DE4-S_A"/>
    <x v="1"/>
    <x v="2"/>
    <s v="GNR_ST_MSW_CND_E-33"/>
    <x v="0"/>
    <x v="18"/>
    <n v="40"/>
    <n v="14600"/>
    <n v="52560"/>
  </r>
  <r>
    <x v="0"/>
    <x v="0"/>
    <x v="0"/>
    <x v="3"/>
    <x v="6"/>
    <s v="DE4-S_A"/>
    <x v="1"/>
    <x v="2"/>
    <s v="GNR_ST_MSW_CND_E-33"/>
    <x v="0"/>
    <x v="19"/>
    <n v="40"/>
    <n v="14600"/>
    <n v="52560"/>
  </r>
  <r>
    <x v="0"/>
    <x v="0"/>
    <x v="0"/>
    <x v="3"/>
    <x v="6"/>
    <s v="DE4-S_A"/>
    <x v="1"/>
    <x v="2"/>
    <s v="GNR_ST_MSW_CND_E-33"/>
    <x v="0"/>
    <x v="20"/>
    <n v="40"/>
    <n v="14600"/>
    <n v="52560"/>
  </r>
  <r>
    <x v="0"/>
    <x v="0"/>
    <x v="0"/>
    <x v="3"/>
    <x v="6"/>
    <s v="DE4-S_A"/>
    <x v="1"/>
    <x v="2"/>
    <s v="GNR_ST_MSW_CND_E-33"/>
    <x v="0"/>
    <x v="21"/>
    <n v="40"/>
    <n v="14600"/>
    <n v="52560"/>
  </r>
  <r>
    <x v="0"/>
    <x v="0"/>
    <x v="0"/>
    <x v="3"/>
    <x v="6"/>
    <s v="DE4-S_A"/>
    <x v="1"/>
    <x v="2"/>
    <s v="GNR_ST_MSW_CND_E-33"/>
    <x v="0"/>
    <x v="22"/>
    <n v="40"/>
    <n v="14600"/>
    <n v="52560"/>
  </r>
  <r>
    <x v="0"/>
    <x v="0"/>
    <x v="0"/>
    <x v="3"/>
    <x v="6"/>
    <s v="DE4-S_A"/>
    <x v="1"/>
    <x v="2"/>
    <s v="GNR_ST_MSW_CND_E-33"/>
    <x v="0"/>
    <x v="23"/>
    <n v="40"/>
    <n v="14600"/>
    <n v="52560"/>
  </r>
  <r>
    <x v="0"/>
    <x v="0"/>
    <x v="0"/>
    <x v="3"/>
    <x v="6"/>
    <s v="DE4-S_A"/>
    <x v="2"/>
    <x v="1"/>
    <s v="GNR_CC_NGAS_BP_E-53"/>
    <x v="0"/>
    <x v="3"/>
    <n v="3247.9"/>
    <n v="1185483.5"/>
    <n v="4267740.5999999996"/>
  </r>
  <r>
    <x v="0"/>
    <x v="0"/>
    <x v="0"/>
    <x v="3"/>
    <x v="6"/>
    <s v="DE4-S_A"/>
    <x v="2"/>
    <x v="1"/>
    <s v="GNR_CC_NGAS_BP_E-53"/>
    <x v="0"/>
    <x v="4"/>
    <n v="3247.9"/>
    <n v="1185483.5"/>
    <n v="4267740.5999999996"/>
  </r>
  <r>
    <x v="0"/>
    <x v="0"/>
    <x v="0"/>
    <x v="3"/>
    <x v="6"/>
    <s v="DE4-S_A"/>
    <x v="2"/>
    <x v="1"/>
    <s v="GNR_CC_NGAS_BP_E-53"/>
    <x v="0"/>
    <x v="5"/>
    <n v="3247.9"/>
    <n v="1185483.5"/>
    <n v="4267740.5999999996"/>
  </r>
  <r>
    <x v="0"/>
    <x v="0"/>
    <x v="0"/>
    <x v="3"/>
    <x v="6"/>
    <s v="DE4-S_A"/>
    <x v="2"/>
    <x v="1"/>
    <s v="GNR_CC_NGAS_BP_E-53"/>
    <x v="0"/>
    <x v="6"/>
    <n v="3247.9"/>
    <n v="1185483.5"/>
    <n v="4267740.5999999996"/>
  </r>
  <r>
    <x v="0"/>
    <x v="0"/>
    <x v="0"/>
    <x v="3"/>
    <x v="6"/>
    <s v="DE4-S_A"/>
    <x v="2"/>
    <x v="1"/>
    <s v="GNR_CC_NGAS_BP_E-53"/>
    <x v="0"/>
    <x v="7"/>
    <n v="3247.9"/>
    <n v="1185483.5"/>
    <n v="4267740.5999999996"/>
  </r>
  <r>
    <x v="0"/>
    <x v="0"/>
    <x v="0"/>
    <x v="3"/>
    <x v="6"/>
    <s v="DE4-S_A"/>
    <x v="2"/>
    <x v="1"/>
    <s v="GNR_CC_NGAS_BP_E-53"/>
    <x v="0"/>
    <x v="8"/>
    <n v="3247.9"/>
    <n v="1185483.5"/>
    <n v="4267740.5999999996"/>
  </r>
  <r>
    <x v="0"/>
    <x v="0"/>
    <x v="0"/>
    <x v="3"/>
    <x v="6"/>
    <s v="DE4-S_A"/>
    <x v="2"/>
    <x v="1"/>
    <s v="GNR_CC_NGAS_BP_E-53"/>
    <x v="0"/>
    <x v="0"/>
    <n v="3247.9"/>
    <n v="1185483.5"/>
    <n v="4267740.5999999996"/>
  </r>
  <r>
    <x v="0"/>
    <x v="0"/>
    <x v="0"/>
    <x v="3"/>
    <x v="6"/>
    <s v="DE4-S_A"/>
    <x v="2"/>
    <x v="1"/>
    <s v="GNR_CC_NGAS_BP_E-53"/>
    <x v="0"/>
    <x v="1"/>
    <n v="3247.9"/>
    <n v="1185483.5"/>
    <n v="4267740.5999999996"/>
  </r>
  <r>
    <x v="0"/>
    <x v="0"/>
    <x v="0"/>
    <x v="3"/>
    <x v="6"/>
    <s v="DE4-S_A"/>
    <x v="2"/>
    <x v="1"/>
    <s v="GNR_CC_NGAS_BP_E-53"/>
    <x v="0"/>
    <x v="2"/>
    <n v="3247.9"/>
    <n v="1185483.5"/>
    <n v="4267740.5999999996"/>
  </r>
  <r>
    <x v="0"/>
    <x v="0"/>
    <x v="0"/>
    <x v="3"/>
    <x v="6"/>
    <s v="DE4-S_A"/>
    <x v="2"/>
    <x v="1"/>
    <s v="GNR_CC_NGAS_BP_E-53"/>
    <x v="0"/>
    <x v="9"/>
    <n v="3247.9"/>
    <n v="1185483.5"/>
    <n v="4267740.5999999996"/>
  </r>
  <r>
    <x v="0"/>
    <x v="0"/>
    <x v="0"/>
    <x v="3"/>
    <x v="6"/>
    <s v="DE4-S_A"/>
    <x v="2"/>
    <x v="1"/>
    <s v="GNR_CC_NGAS_BP_E-53"/>
    <x v="0"/>
    <x v="10"/>
    <n v="3247.9"/>
    <n v="1185483.5"/>
    <n v="4267740.5999999996"/>
  </r>
  <r>
    <x v="0"/>
    <x v="0"/>
    <x v="0"/>
    <x v="3"/>
    <x v="6"/>
    <s v="DE4-S_A"/>
    <x v="2"/>
    <x v="1"/>
    <s v="GNR_CC_NGAS_BP_E-53"/>
    <x v="0"/>
    <x v="11"/>
    <n v="3247.9"/>
    <n v="1185483.5"/>
    <n v="4267740.5999999996"/>
  </r>
  <r>
    <x v="0"/>
    <x v="0"/>
    <x v="0"/>
    <x v="3"/>
    <x v="6"/>
    <s v="DE4-S_A"/>
    <x v="2"/>
    <x v="1"/>
    <s v="GNR_CC_NGAS_BP_E-53"/>
    <x v="0"/>
    <x v="12"/>
    <n v="3247.9"/>
    <n v="1185483.5"/>
    <n v="4267740.5999999996"/>
  </r>
  <r>
    <x v="0"/>
    <x v="0"/>
    <x v="0"/>
    <x v="3"/>
    <x v="6"/>
    <s v="DE4-S_A"/>
    <x v="2"/>
    <x v="1"/>
    <s v="GNR_CC_NGAS_BP_E-53"/>
    <x v="0"/>
    <x v="13"/>
    <n v="3247.9"/>
    <n v="1185483.5"/>
    <n v="4267740.5999999996"/>
  </r>
  <r>
    <x v="0"/>
    <x v="0"/>
    <x v="0"/>
    <x v="3"/>
    <x v="6"/>
    <s v="DE4-S_A"/>
    <x v="2"/>
    <x v="1"/>
    <s v="GNR_CC_NGAS_BP_E-53"/>
    <x v="0"/>
    <x v="14"/>
    <n v="3247.9"/>
    <n v="1185483.5"/>
    <n v="4267740.5999999996"/>
  </r>
  <r>
    <x v="0"/>
    <x v="0"/>
    <x v="0"/>
    <x v="3"/>
    <x v="6"/>
    <s v="DE4-S_A"/>
    <x v="2"/>
    <x v="1"/>
    <s v="GNR_CC_NGAS_BP_E-53"/>
    <x v="0"/>
    <x v="15"/>
    <n v="3247.9"/>
    <n v="1185483.5"/>
    <n v="4267740.5999999996"/>
  </r>
  <r>
    <x v="0"/>
    <x v="0"/>
    <x v="0"/>
    <x v="3"/>
    <x v="6"/>
    <s v="DE4-S_A"/>
    <x v="2"/>
    <x v="1"/>
    <s v="GNR_CC_NGAS_BP_E-53"/>
    <x v="0"/>
    <x v="16"/>
    <n v="3247.9"/>
    <n v="1185483.5"/>
    <n v="4267740.5999999996"/>
  </r>
  <r>
    <x v="0"/>
    <x v="0"/>
    <x v="0"/>
    <x v="3"/>
    <x v="6"/>
    <s v="DE4-S_A"/>
    <x v="2"/>
    <x v="1"/>
    <s v="GNR_CC_NGAS_BP_E-53"/>
    <x v="0"/>
    <x v="17"/>
    <n v="3247.9"/>
    <n v="1185483.5"/>
    <n v="4267740.5999999996"/>
  </r>
  <r>
    <x v="0"/>
    <x v="0"/>
    <x v="0"/>
    <x v="3"/>
    <x v="6"/>
    <s v="DE4-S_A"/>
    <x v="2"/>
    <x v="1"/>
    <s v="GNR_CC_NGAS_BP_E-53"/>
    <x v="0"/>
    <x v="18"/>
    <n v="3247.9"/>
    <n v="1185483.5"/>
    <n v="4267740.5999999996"/>
  </r>
  <r>
    <x v="0"/>
    <x v="0"/>
    <x v="0"/>
    <x v="3"/>
    <x v="6"/>
    <s v="DE4-S_A"/>
    <x v="2"/>
    <x v="1"/>
    <s v="GNR_CC_NGAS_BP_E-53"/>
    <x v="0"/>
    <x v="19"/>
    <n v="3247.9"/>
    <n v="1185483.5"/>
    <n v="4267740.5999999996"/>
  </r>
  <r>
    <x v="0"/>
    <x v="0"/>
    <x v="0"/>
    <x v="3"/>
    <x v="6"/>
    <s v="DE4-S_A"/>
    <x v="2"/>
    <x v="1"/>
    <s v="GNR_CC_NGAS_BP_E-53"/>
    <x v="0"/>
    <x v="20"/>
    <n v="3247.9"/>
    <n v="1185483.5"/>
    <n v="4267740.5999999996"/>
  </r>
  <r>
    <x v="0"/>
    <x v="0"/>
    <x v="0"/>
    <x v="3"/>
    <x v="6"/>
    <s v="DE4-S_A"/>
    <x v="2"/>
    <x v="1"/>
    <s v="GNR_CC_NGAS_BP_E-53"/>
    <x v="0"/>
    <x v="21"/>
    <n v="3247.9"/>
    <n v="1185483.5"/>
    <n v="4267740.5999999996"/>
  </r>
  <r>
    <x v="0"/>
    <x v="0"/>
    <x v="0"/>
    <x v="3"/>
    <x v="6"/>
    <s v="DE4-S_A"/>
    <x v="2"/>
    <x v="1"/>
    <s v="GNR_CC_NGAS_BP_E-53"/>
    <x v="0"/>
    <x v="22"/>
    <n v="3247.9"/>
    <n v="1185483.5"/>
    <n v="4267740.5999999996"/>
  </r>
  <r>
    <x v="0"/>
    <x v="0"/>
    <x v="0"/>
    <x v="3"/>
    <x v="6"/>
    <s v="DE4-S_A"/>
    <x v="2"/>
    <x v="1"/>
    <s v="GNR_CC_NGAS_BP_E-53"/>
    <x v="0"/>
    <x v="23"/>
    <n v="3247.9"/>
    <n v="1185483.5"/>
    <n v="4267740.5999999996"/>
  </r>
  <r>
    <x v="0"/>
    <x v="0"/>
    <x v="0"/>
    <x v="3"/>
    <x v="6"/>
    <s v="DE4-S_A"/>
    <x v="2"/>
    <x v="2"/>
    <s v="GNR_CC_NGAS_CND_E-43"/>
    <x v="0"/>
    <x v="3"/>
    <n v="823"/>
    <n v="300395"/>
    <n v="1081422"/>
  </r>
  <r>
    <x v="0"/>
    <x v="0"/>
    <x v="0"/>
    <x v="3"/>
    <x v="6"/>
    <s v="DE4-S_A"/>
    <x v="2"/>
    <x v="2"/>
    <s v="GNR_CC_NGAS_CND_E-43"/>
    <x v="0"/>
    <x v="4"/>
    <n v="823"/>
    <n v="300395"/>
    <n v="1081422"/>
  </r>
  <r>
    <x v="0"/>
    <x v="0"/>
    <x v="0"/>
    <x v="3"/>
    <x v="6"/>
    <s v="DE4-S_A"/>
    <x v="2"/>
    <x v="2"/>
    <s v="GNR_CC_NGAS_CND_E-43"/>
    <x v="0"/>
    <x v="5"/>
    <n v="823"/>
    <n v="300395"/>
    <n v="1081422"/>
  </r>
  <r>
    <x v="0"/>
    <x v="0"/>
    <x v="0"/>
    <x v="3"/>
    <x v="6"/>
    <s v="DE4-S_A"/>
    <x v="2"/>
    <x v="2"/>
    <s v="GNR_CC_NGAS_CND_E-43"/>
    <x v="0"/>
    <x v="6"/>
    <n v="823"/>
    <n v="300395"/>
    <n v="1081422"/>
  </r>
  <r>
    <x v="0"/>
    <x v="0"/>
    <x v="0"/>
    <x v="3"/>
    <x v="6"/>
    <s v="DE4-S_A"/>
    <x v="2"/>
    <x v="2"/>
    <s v="GNR_CC_NGAS_CND_E-43"/>
    <x v="0"/>
    <x v="7"/>
    <n v="823"/>
    <n v="300395"/>
    <n v="1081422"/>
  </r>
  <r>
    <x v="0"/>
    <x v="0"/>
    <x v="0"/>
    <x v="3"/>
    <x v="6"/>
    <s v="DE4-S_A"/>
    <x v="2"/>
    <x v="2"/>
    <s v="GNR_CC_NGAS_CND_E-43"/>
    <x v="0"/>
    <x v="8"/>
    <n v="823"/>
    <n v="300395"/>
    <n v="1081422"/>
  </r>
  <r>
    <x v="0"/>
    <x v="0"/>
    <x v="0"/>
    <x v="3"/>
    <x v="6"/>
    <s v="DE4-S_A"/>
    <x v="2"/>
    <x v="2"/>
    <s v="GNR_CC_NGAS_CND_E-43"/>
    <x v="0"/>
    <x v="0"/>
    <n v="823"/>
    <n v="300395"/>
    <n v="1081422"/>
  </r>
  <r>
    <x v="0"/>
    <x v="0"/>
    <x v="0"/>
    <x v="3"/>
    <x v="6"/>
    <s v="DE4-S_A"/>
    <x v="2"/>
    <x v="2"/>
    <s v="GNR_CC_NGAS_CND_E-43"/>
    <x v="0"/>
    <x v="1"/>
    <n v="823"/>
    <n v="300395"/>
    <n v="1081422"/>
  </r>
  <r>
    <x v="0"/>
    <x v="0"/>
    <x v="0"/>
    <x v="3"/>
    <x v="6"/>
    <s v="DE4-S_A"/>
    <x v="2"/>
    <x v="2"/>
    <s v="GNR_CC_NGAS_CND_E-43"/>
    <x v="0"/>
    <x v="2"/>
    <n v="823"/>
    <n v="300395"/>
    <n v="1081422"/>
  </r>
  <r>
    <x v="0"/>
    <x v="0"/>
    <x v="0"/>
    <x v="3"/>
    <x v="6"/>
    <s v="DE4-S_A"/>
    <x v="2"/>
    <x v="2"/>
    <s v="GNR_CC_NGAS_CND_E-43"/>
    <x v="0"/>
    <x v="9"/>
    <n v="823"/>
    <n v="300395"/>
    <n v="1081422"/>
  </r>
  <r>
    <x v="0"/>
    <x v="0"/>
    <x v="0"/>
    <x v="3"/>
    <x v="6"/>
    <s v="DE4-S_A"/>
    <x v="2"/>
    <x v="2"/>
    <s v="GNR_CC_NGAS_CND_E-43"/>
    <x v="0"/>
    <x v="10"/>
    <n v="823"/>
    <n v="300395"/>
    <n v="1081422"/>
  </r>
  <r>
    <x v="0"/>
    <x v="0"/>
    <x v="0"/>
    <x v="3"/>
    <x v="6"/>
    <s v="DE4-S_A"/>
    <x v="2"/>
    <x v="2"/>
    <s v="GNR_CC_NGAS_CND_E-43"/>
    <x v="0"/>
    <x v="11"/>
    <n v="823"/>
    <n v="300395"/>
    <n v="1081422"/>
  </r>
  <r>
    <x v="0"/>
    <x v="0"/>
    <x v="0"/>
    <x v="3"/>
    <x v="6"/>
    <s v="DE4-S_A"/>
    <x v="2"/>
    <x v="2"/>
    <s v="GNR_CC_NGAS_CND_E-43"/>
    <x v="0"/>
    <x v="12"/>
    <n v="823"/>
    <n v="300395"/>
    <n v="1081422"/>
  </r>
  <r>
    <x v="0"/>
    <x v="0"/>
    <x v="0"/>
    <x v="3"/>
    <x v="6"/>
    <s v="DE4-S_A"/>
    <x v="2"/>
    <x v="2"/>
    <s v="GNR_CC_NGAS_CND_E-43"/>
    <x v="0"/>
    <x v="13"/>
    <n v="823"/>
    <n v="300395"/>
    <n v="1081422"/>
  </r>
  <r>
    <x v="0"/>
    <x v="0"/>
    <x v="0"/>
    <x v="3"/>
    <x v="6"/>
    <s v="DE4-S_A"/>
    <x v="2"/>
    <x v="2"/>
    <s v="GNR_CC_NGAS_CND_E-43"/>
    <x v="0"/>
    <x v="14"/>
    <n v="823"/>
    <n v="300395"/>
    <n v="1081422"/>
  </r>
  <r>
    <x v="0"/>
    <x v="0"/>
    <x v="0"/>
    <x v="3"/>
    <x v="6"/>
    <s v="DE4-S_A"/>
    <x v="2"/>
    <x v="2"/>
    <s v="GNR_CC_NGAS_CND_E-43"/>
    <x v="0"/>
    <x v="15"/>
    <n v="823"/>
    <n v="300395"/>
    <n v="1081422"/>
  </r>
  <r>
    <x v="0"/>
    <x v="0"/>
    <x v="0"/>
    <x v="3"/>
    <x v="6"/>
    <s v="DE4-S_A"/>
    <x v="2"/>
    <x v="2"/>
    <s v="GNR_CC_NGAS_CND_E-43"/>
    <x v="0"/>
    <x v="16"/>
    <n v="823"/>
    <n v="300395"/>
    <n v="1081422"/>
  </r>
  <r>
    <x v="0"/>
    <x v="0"/>
    <x v="0"/>
    <x v="3"/>
    <x v="6"/>
    <s v="DE4-S_A"/>
    <x v="2"/>
    <x v="2"/>
    <s v="GNR_CC_NGAS_CND_E-43"/>
    <x v="0"/>
    <x v="17"/>
    <n v="823"/>
    <n v="300395"/>
    <n v="1081422"/>
  </r>
  <r>
    <x v="0"/>
    <x v="0"/>
    <x v="0"/>
    <x v="3"/>
    <x v="6"/>
    <s v="DE4-S_A"/>
    <x v="2"/>
    <x v="2"/>
    <s v="GNR_CC_NGAS_CND_E-43"/>
    <x v="0"/>
    <x v="18"/>
    <n v="823"/>
    <n v="300395"/>
    <n v="1081422"/>
  </r>
  <r>
    <x v="0"/>
    <x v="0"/>
    <x v="0"/>
    <x v="3"/>
    <x v="6"/>
    <s v="DE4-S_A"/>
    <x v="2"/>
    <x v="2"/>
    <s v="GNR_CC_NGAS_CND_E-43"/>
    <x v="0"/>
    <x v="19"/>
    <n v="823"/>
    <n v="300395"/>
    <n v="1081422"/>
  </r>
  <r>
    <x v="0"/>
    <x v="0"/>
    <x v="0"/>
    <x v="3"/>
    <x v="6"/>
    <s v="DE4-S_A"/>
    <x v="2"/>
    <x v="2"/>
    <s v="GNR_CC_NGAS_CND_E-43"/>
    <x v="0"/>
    <x v="20"/>
    <n v="823"/>
    <n v="300395"/>
    <n v="1081422"/>
  </r>
  <r>
    <x v="0"/>
    <x v="0"/>
    <x v="0"/>
    <x v="3"/>
    <x v="6"/>
    <s v="DE4-S_A"/>
    <x v="2"/>
    <x v="2"/>
    <s v="GNR_CC_NGAS_CND_E-43"/>
    <x v="0"/>
    <x v="21"/>
    <n v="823"/>
    <n v="300395"/>
    <n v="1081422"/>
  </r>
  <r>
    <x v="0"/>
    <x v="0"/>
    <x v="0"/>
    <x v="3"/>
    <x v="6"/>
    <s v="DE4-S_A"/>
    <x v="2"/>
    <x v="2"/>
    <s v="GNR_CC_NGAS_CND_E-43"/>
    <x v="0"/>
    <x v="22"/>
    <n v="823"/>
    <n v="300395"/>
    <n v="1081422"/>
  </r>
  <r>
    <x v="0"/>
    <x v="0"/>
    <x v="0"/>
    <x v="3"/>
    <x v="6"/>
    <s v="DE4-S_A"/>
    <x v="2"/>
    <x v="2"/>
    <s v="GNR_CC_NGAS_CND_E-43"/>
    <x v="0"/>
    <x v="23"/>
    <n v="823"/>
    <n v="300395"/>
    <n v="1081422"/>
  </r>
  <r>
    <x v="0"/>
    <x v="0"/>
    <x v="0"/>
    <x v="3"/>
    <x v="6"/>
    <s v="DE4-S_A"/>
    <x v="2"/>
    <x v="2"/>
    <s v="GNR_CC_NGAS_CND_E-57"/>
    <x v="0"/>
    <x v="3"/>
    <n v="1838.6"/>
    <n v="671089"/>
    <n v="2415920.4"/>
  </r>
  <r>
    <x v="0"/>
    <x v="0"/>
    <x v="0"/>
    <x v="3"/>
    <x v="6"/>
    <s v="DE4-S_A"/>
    <x v="2"/>
    <x v="2"/>
    <s v="GNR_CC_NGAS_CND_E-57"/>
    <x v="0"/>
    <x v="4"/>
    <n v="1838.6"/>
    <n v="671089"/>
    <n v="2415920.4"/>
  </r>
  <r>
    <x v="0"/>
    <x v="0"/>
    <x v="0"/>
    <x v="3"/>
    <x v="6"/>
    <s v="DE4-S_A"/>
    <x v="2"/>
    <x v="2"/>
    <s v="GNR_CC_NGAS_CND_E-57"/>
    <x v="0"/>
    <x v="5"/>
    <n v="1838.6"/>
    <n v="671089"/>
    <n v="2415920.4"/>
  </r>
  <r>
    <x v="0"/>
    <x v="0"/>
    <x v="0"/>
    <x v="3"/>
    <x v="6"/>
    <s v="DE4-S_A"/>
    <x v="2"/>
    <x v="2"/>
    <s v="GNR_CC_NGAS_CND_E-57"/>
    <x v="0"/>
    <x v="6"/>
    <n v="1838.6"/>
    <n v="671089"/>
    <n v="2415920.4"/>
  </r>
  <r>
    <x v="0"/>
    <x v="0"/>
    <x v="0"/>
    <x v="3"/>
    <x v="6"/>
    <s v="DE4-S_A"/>
    <x v="2"/>
    <x v="2"/>
    <s v="GNR_CC_NGAS_CND_E-57"/>
    <x v="0"/>
    <x v="7"/>
    <n v="1838.6"/>
    <n v="671089"/>
    <n v="2415920.4"/>
  </r>
  <r>
    <x v="0"/>
    <x v="0"/>
    <x v="0"/>
    <x v="3"/>
    <x v="6"/>
    <s v="DE4-S_A"/>
    <x v="2"/>
    <x v="2"/>
    <s v="GNR_CC_NGAS_CND_E-57"/>
    <x v="0"/>
    <x v="8"/>
    <n v="1838.6"/>
    <n v="671089"/>
    <n v="2415920.4"/>
  </r>
  <r>
    <x v="0"/>
    <x v="0"/>
    <x v="0"/>
    <x v="3"/>
    <x v="6"/>
    <s v="DE4-S_A"/>
    <x v="2"/>
    <x v="2"/>
    <s v="GNR_CC_NGAS_CND_E-57"/>
    <x v="0"/>
    <x v="0"/>
    <n v="1838.6"/>
    <n v="671089"/>
    <n v="2415920.4"/>
  </r>
  <r>
    <x v="0"/>
    <x v="0"/>
    <x v="0"/>
    <x v="3"/>
    <x v="6"/>
    <s v="DE4-S_A"/>
    <x v="2"/>
    <x v="2"/>
    <s v="GNR_CC_NGAS_CND_E-57"/>
    <x v="0"/>
    <x v="1"/>
    <n v="1838.6"/>
    <n v="671089"/>
    <n v="2415920.4"/>
  </r>
  <r>
    <x v="0"/>
    <x v="0"/>
    <x v="0"/>
    <x v="3"/>
    <x v="6"/>
    <s v="DE4-S_A"/>
    <x v="2"/>
    <x v="2"/>
    <s v="GNR_CC_NGAS_CND_E-57"/>
    <x v="0"/>
    <x v="2"/>
    <n v="1838.6"/>
    <n v="671089"/>
    <n v="2415920.4"/>
  </r>
  <r>
    <x v="0"/>
    <x v="0"/>
    <x v="0"/>
    <x v="3"/>
    <x v="6"/>
    <s v="DE4-S_A"/>
    <x v="2"/>
    <x v="2"/>
    <s v="GNR_CC_NGAS_CND_E-57"/>
    <x v="0"/>
    <x v="9"/>
    <n v="1838.6"/>
    <n v="671089"/>
    <n v="2415920.4"/>
  </r>
  <r>
    <x v="0"/>
    <x v="0"/>
    <x v="0"/>
    <x v="3"/>
    <x v="6"/>
    <s v="DE4-S_A"/>
    <x v="2"/>
    <x v="2"/>
    <s v="GNR_CC_NGAS_CND_E-57"/>
    <x v="0"/>
    <x v="10"/>
    <n v="1838.6"/>
    <n v="671089"/>
    <n v="2415920.4"/>
  </r>
  <r>
    <x v="0"/>
    <x v="0"/>
    <x v="0"/>
    <x v="3"/>
    <x v="6"/>
    <s v="DE4-S_A"/>
    <x v="2"/>
    <x v="2"/>
    <s v="GNR_CC_NGAS_CND_E-57"/>
    <x v="0"/>
    <x v="11"/>
    <n v="1838.6"/>
    <n v="671089"/>
    <n v="2415920.4"/>
  </r>
  <r>
    <x v="0"/>
    <x v="0"/>
    <x v="0"/>
    <x v="3"/>
    <x v="6"/>
    <s v="DE4-S_A"/>
    <x v="2"/>
    <x v="2"/>
    <s v="GNR_CC_NGAS_CND_E-57"/>
    <x v="0"/>
    <x v="12"/>
    <n v="1838.6"/>
    <n v="671089"/>
    <n v="2415920.4"/>
  </r>
  <r>
    <x v="0"/>
    <x v="0"/>
    <x v="0"/>
    <x v="3"/>
    <x v="6"/>
    <s v="DE4-S_A"/>
    <x v="2"/>
    <x v="2"/>
    <s v="GNR_CC_NGAS_CND_E-57"/>
    <x v="0"/>
    <x v="13"/>
    <n v="1838.6"/>
    <n v="671089"/>
    <n v="2415920.4"/>
  </r>
  <r>
    <x v="0"/>
    <x v="0"/>
    <x v="0"/>
    <x v="3"/>
    <x v="6"/>
    <s v="DE4-S_A"/>
    <x v="2"/>
    <x v="2"/>
    <s v="GNR_CC_NGAS_CND_E-57"/>
    <x v="0"/>
    <x v="14"/>
    <n v="1838.6"/>
    <n v="671089"/>
    <n v="2415920.4"/>
  </r>
  <r>
    <x v="0"/>
    <x v="0"/>
    <x v="0"/>
    <x v="3"/>
    <x v="6"/>
    <s v="DE4-S_A"/>
    <x v="2"/>
    <x v="2"/>
    <s v="GNR_CC_NGAS_CND_E-57"/>
    <x v="0"/>
    <x v="15"/>
    <n v="1838.6"/>
    <n v="671089"/>
    <n v="2415920.4"/>
  </r>
  <r>
    <x v="0"/>
    <x v="0"/>
    <x v="0"/>
    <x v="3"/>
    <x v="6"/>
    <s v="DE4-S_A"/>
    <x v="2"/>
    <x v="2"/>
    <s v="GNR_CC_NGAS_CND_E-57"/>
    <x v="0"/>
    <x v="16"/>
    <n v="1838.6"/>
    <n v="671089"/>
    <n v="2415920.4"/>
  </r>
  <r>
    <x v="0"/>
    <x v="0"/>
    <x v="0"/>
    <x v="3"/>
    <x v="6"/>
    <s v="DE4-S_A"/>
    <x v="2"/>
    <x v="2"/>
    <s v="GNR_CC_NGAS_CND_E-57"/>
    <x v="0"/>
    <x v="17"/>
    <n v="1838.6"/>
    <n v="671089"/>
    <n v="2415920.4"/>
  </r>
  <r>
    <x v="0"/>
    <x v="0"/>
    <x v="0"/>
    <x v="3"/>
    <x v="6"/>
    <s v="DE4-S_A"/>
    <x v="2"/>
    <x v="2"/>
    <s v="GNR_CC_NGAS_CND_E-57"/>
    <x v="0"/>
    <x v="18"/>
    <n v="1838.6"/>
    <n v="671089"/>
    <n v="2415920.4"/>
  </r>
  <r>
    <x v="0"/>
    <x v="0"/>
    <x v="0"/>
    <x v="3"/>
    <x v="6"/>
    <s v="DE4-S_A"/>
    <x v="2"/>
    <x v="2"/>
    <s v="GNR_CC_NGAS_CND_E-57"/>
    <x v="0"/>
    <x v="19"/>
    <n v="1838.6"/>
    <n v="671089"/>
    <n v="2415920.4"/>
  </r>
  <r>
    <x v="0"/>
    <x v="0"/>
    <x v="0"/>
    <x v="3"/>
    <x v="6"/>
    <s v="DE4-S_A"/>
    <x v="2"/>
    <x v="2"/>
    <s v="GNR_CC_NGAS_CND_E-57"/>
    <x v="0"/>
    <x v="20"/>
    <n v="1838.6"/>
    <n v="671089"/>
    <n v="2415920.4"/>
  </r>
  <r>
    <x v="0"/>
    <x v="0"/>
    <x v="0"/>
    <x v="3"/>
    <x v="6"/>
    <s v="DE4-S_A"/>
    <x v="2"/>
    <x v="2"/>
    <s v="GNR_CC_NGAS_CND_E-57"/>
    <x v="0"/>
    <x v="21"/>
    <n v="1838.6"/>
    <n v="671089"/>
    <n v="2415920.4"/>
  </r>
  <r>
    <x v="0"/>
    <x v="0"/>
    <x v="0"/>
    <x v="3"/>
    <x v="6"/>
    <s v="DE4-S_A"/>
    <x v="2"/>
    <x v="2"/>
    <s v="GNR_CC_NGAS_CND_E-57"/>
    <x v="0"/>
    <x v="22"/>
    <n v="1838.6"/>
    <n v="671089"/>
    <n v="2415920.4"/>
  </r>
  <r>
    <x v="0"/>
    <x v="0"/>
    <x v="0"/>
    <x v="3"/>
    <x v="6"/>
    <s v="DE4-S_A"/>
    <x v="2"/>
    <x v="2"/>
    <s v="GNR_CC_NGAS_CND_E-57"/>
    <x v="0"/>
    <x v="23"/>
    <n v="1838.6"/>
    <n v="671089"/>
    <n v="2415920.4"/>
  </r>
  <r>
    <x v="0"/>
    <x v="0"/>
    <x v="0"/>
    <x v="3"/>
    <x v="6"/>
    <s v="DE4-S_A"/>
    <x v="2"/>
    <x v="1"/>
    <s v="GNR_ENG_NGAS_BP_E-46"/>
    <x v="0"/>
    <x v="3"/>
    <n v="33.1"/>
    <n v="12081.5"/>
    <n v="43493.4"/>
  </r>
  <r>
    <x v="0"/>
    <x v="0"/>
    <x v="0"/>
    <x v="3"/>
    <x v="6"/>
    <s v="DE4-S_A"/>
    <x v="2"/>
    <x v="1"/>
    <s v="GNR_ENG_NGAS_BP_E-46"/>
    <x v="0"/>
    <x v="4"/>
    <n v="33.1"/>
    <n v="12081.5"/>
    <n v="43493.4"/>
  </r>
  <r>
    <x v="0"/>
    <x v="0"/>
    <x v="0"/>
    <x v="3"/>
    <x v="6"/>
    <s v="DE4-S_A"/>
    <x v="2"/>
    <x v="1"/>
    <s v="GNR_ENG_NGAS_BP_E-46"/>
    <x v="0"/>
    <x v="5"/>
    <n v="33.1"/>
    <n v="12081.5"/>
    <n v="43493.4"/>
  </r>
  <r>
    <x v="0"/>
    <x v="0"/>
    <x v="0"/>
    <x v="3"/>
    <x v="6"/>
    <s v="DE4-S_A"/>
    <x v="2"/>
    <x v="1"/>
    <s v="GNR_ENG_NGAS_BP_E-46"/>
    <x v="0"/>
    <x v="6"/>
    <n v="33.1"/>
    <n v="12081.5"/>
    <n v="43493.4"/>
  </r>
  <r>
    <x v="0"/>
    <x v="0"/>
    <x v="0"/>
    <x v="3"/>
    <x v="6"/>
    <s v="DE4-S_A"/>
    <x v="2"/>
    <x v="1"/>
    <s v="GNR_ENG_NGAS_BP_E-46"/>
    <x v="0"/>
    <x v="7"/>
    <n v="33.1"/>
    <n v="12081.5"/>
    <n v="43493.4"/>
  </r>
  <r>
    <x v="0"/>
    <x v="0"/>
    <x v="0"/>
    <x v="3"/>
    <x v="6"/>
    <s v="DE4-S_A"/>
    <x v="2"/>
    <x v="1"/>
    <s v="GNR_ENG_NGAS_BP_E-46"/>
    <x v="0"/>
    <x v="8"/>
    <n v="33.1"/>
    <n v="12081.5"/>
    <n v="43493.4"/>
  </r>
  <r>
    <x v="0"/>
    <x v="0"/>
    <x v="0"/>
    <x v="3"/>
    <x v="6"/>
    <s v="DE4-S_A"/>
    <x v="2"/>
    <x v="1"/>
    <s v="GNR_ENG_NGAS_BP_E-46"/>
    <x v="0"/>
    <x v="0"/>
    <n v="33.1"/>
    <n v="12081.5"/>
    <n v="43493.4"/>
  </r>
  <r>
    <x v="0"/>
    <x v="0"/>
    <x v="0"/>
    <x v="3"/>
    <x v="6"/>
    <s v="DE4-S_A"/>
    <x v="2"/>
    <x v="1"/>
    <s v="GNR_ENG_NGAS_BP_E-46"/>
    <x v="0"/>
    <x v="1"/>
    <n v="33.1"/>
    <n v="12081.5"/>
    <n v="43493.4"/>
  </r>
  <r>
    <x v="0"/>
    <x v="0"/>
    <x v="0"/>
    <x v="3"/>
    <x v="6"/>
    <s v="DE4-S_A"/>
    <x v="2"/>
    <x v="1"/>
    <s v="GNR_ENG_NGAS_BP_E-46"/>
    <x v="0"/>
    <x v="2"/>
    <n v="33.1"/>
    <n v="12081.5"/>
    <n v="43493.4"/>
  </r>
  <r>
    <x v="0"/>
    <x v="0"/>
    <x v="0"/>
    <x v="3"/>
    <x v="6"/>
    <s v="DE4-S_A"/>
    <x v="2"/>
    <x v="1"/>
    <s v="GNR_ENG_NGAS_BP_E-46"/>
    <x v="0"/>
    <x v="9"/>
    <n v="33.1"/>
    <n v="12081.5"/>
    <n v="43493.4"/>
  </r>
  <r>
    <x v="0"/>
    <x v="0"/>
    <x v="0"/>
    <x v="3"/>
    <x v="6"/>
    <s v="DE4-S_A"/>
    <x v="2"/>
    <x v="1"/>
    <s v="GNR_ENG_NGAS_BP_E-46"/>
    <x v="0"/>
    <x v="10"/>
    <n v="33.1"/>
    <n v="12081.5"/>
    <n v="43493.4"/>
  </r>
  <r>
    <x v="0"/>
    <x v="0"/>
    <x v="0"/>
    <x v="3"/>
    <x v="6"/>
    <s v="DE4-S_A"/>
    <x v="2"/>
    <x v="1"/>
    <s v="GNR_ENG_NGAS_BP_E-46"/>
    <x v="0"/>
    <x v="11"/>
    <n v="33.1"/>
    <n v="12081.5"/>
    <n v="43493.4"/>
  </r>
  <r>
    <x v="0"/>
    <x v="0"/>
    <x v="0"/>
    <x v="3"/>
    <x v="6"/>
    <s v="DE4-S_A"/>
    <x v="2"/>
    <x v="1"/>
    <s v="GNR_ENG_NGAS_BP_E-46"/>
    <x v="0"/>
    <x v="12"/>
    <n v="33.1"/>
    <n v="12081.5"/>
    <n v="43493.4"/>
  </r>
  <r>
    <x v="0"/>
    <x v="0"/>
    <x v="0"/>
    <x v="3"/>
    <x v="6"/>
    <s v="DE4-S_A"/>
    <x v="2"/>
    <x v="1"/>
    <s v="GNR_ENG_NGAS_BP_E-46"/>
    <x v="0"/>
    <x v="13"/>
    <n v="33.1"/>
    <n v="12081.5"/>
    <n v="43493.4"/>
  </r>
  <r>
    <x v="0"/>
    <x v="0"/>
    <x v="0"/>
    <x v="3"/>
    <x v="6"/>
    <s v="DE4-S_A"/>
    <x v="2"/>
    <x v="1"/>
    <s v="GNR_ENG_NGAS_BP_E-46"/>
    <x v="0"/>
    <x v="14"/>
    <n v="33.1"/>
    <n v="12081.5"/>
    <n v="43493.4"/>
  </r>
  <r>
    <x v="0"/>
    <x v="0"/>
    <x v="0"/>
    <x v="3"/>
    <x v="6"/>
    <s v="DE4-S_A"/>
    <x v="2"/>
    <x v="1"/>
    <s v="GNR_ENG_NGAS_BP_E-46"/>
    <x v="0"/>
    <x v="15"/>
    <n v="33.1"/>
    <n v="12081.5"/>
    <n v="43493.4"/>
  </r>
  <r>
    <x v="0"/>
    <x v="0"/>
    <x v="0"/>
    <x v="3"/>
    <x v="6"/>
    <s v="DE4-S_A"/>
    <x v="2"/>
    <x v="1"/>
    <s v="GNR_ENG_NGAS_BP_E-46"/>
    <x v="0"/>
    <x v="16"/>
    <n v="33.1"/>
    <n v="12081.5"/>
    <n v="43493.4"/>
  </r>
  <r>
    <x v="0"/>
    <x v="0"/>
    <x v="0"/>
    <x v="3"/>
    <x v="6"/>
    <s v="DE4-S_A"/>
    <x v="2"/>
    <x v="1"/>
    <s v="GNR_ENG_NGAS_BP_E-46"/>
    <x v="0"/>
    <x v="17"/>
    <n v="33.1"/>
    <n v="12081.5"/>
    <n v="43493.4"/>
  </r>
  <r>
    <x v="0"/>
    <x v="0"/>
    <x v="0"/>
    <x v="3"/>
    <x v="6"/>
    <s v="DE4-S_A"/>
    <x v="2"/>
    <x v="1"/>
    <s v="GNR_ENG_NGAS_BP_E-46"/>
    <x v="0"/>
    <x v="18"/>
    <n v="33.1"/>
    <n v="12081.5"/>
    <n v="43493.4"/>
  </r>
  <r>
    <x v="0"/>
    <x v="0"/>
    <x v="0"/>
    <x v="3"/>
    <x v="6"/>
    <s v="DE4-S_A"/>
    <x v="2"/>
    <x v="1"/>
    <s v="GNR_ENG_NGAS_BP_E-46"/>
    <x v="0"/>
    <x v="19"/>
    <n v="33.1"/>
    <n v="12081.5"/>
    <n v="43493.4"/>
  </r>
  <r>
    <x v="0"/>
    <x v="0"/>
    <x v="0"/>
    <x v="3"/>
    <x v="6"/>
    <s v="DE4-S_A"/>
    <x v="2"/>
    <x v="1"/>
    <s v="GNR_ENG_NGAS_BP_E-46"/>
    <x v="0"/>
    <x v="20"/>
    <n v="33.1"/>
    <n v="12081.5"/>
    <n v="43493.4"/>
  </r>
  <r>
    <x v="0"/>
    <x v="0"/>
    <x v="0"/>
    <x v="3"/>
    <x v="6"/>
    <s v="DE4-S_A"/>
    <x v="2"/>
    <x v="1"/>
    <s v="GNR_ENG_NGAS_BP_E-46"/>
    <x v="0"/>
    <x v="21"/>
    <n v="33.1"/>
    <n v="12081.5"/>
    <n v="43493.4"/>
  </r>
  <r>
    <x v="0"/>
    <x v="0"/>
    <x v="0"/>
    <x v="3"/>
    <x v="6"/>
    <s v="DE4-S_A"/>
    <x v="2"/>
    <x v="1"/>
    <s v="GNR_ENG_NGAS_BP_E-46"/>
    <x v="0"/>
    <x v="22"/>
    <n v="33.1"/>
    <n v="12081.5"/>
    <n v="43493.4"/>
  </r>
  <r>
    <x v="0"/>
    <x v="0"/>
    <x v="0"/>
    <x v="3"/>
    <x v="6"/>
    <s v="DE4-S_A"/>
    <x v="2"/>
    <x v="1"/>
    <s v="GNR_ENG_NGAS_BP_E-46"/>
    <x v="0"/>
    <x v="23"/>
    <n v="33.1"/>
    <n v="12081.5"/>
    <n v="43493.4"/>
  </r>
  <r>
    <x v="0"/>
    <x v="0"/>
    <x v="0"/>
    <x v="3"/>
    <x v="6"/>
    <s v="DE4-S_A"/>
    <x v="2"/>
    <x v="1"/>
    <s v="GNR_GT_NGAS_BP_E-32"/>
    <x v="0"/>
    <x v="0"/>
    <n v="80"/>
    <n v="29200"/>
    <n v="105120"/>
  </r>
  <r>
    <x v="0"/>
    <x v="0"/>
    <x v="0"/>
    <x v="3"/>
    <x v="6"/>
    <s v="DE4-S_A"/>
    <x v="2"/>
    <x v="1"/>
    <s v="GNR_GT_NGAS_BP_E-32"/>
    <x v="0"/>
    <x v="1"/>
    <n v="80"/>
    <n v="29200"/>
    <n v="105120"/>
  </r>
  <r>
    <x v="0"/>
    <x v="0"/>
    <x v="0"/>
    <x v="3"/>
    <x v="6"/>
    <s v="DE4-S_A"/>
    <x v="2"/>
    <x v="1"/>
    <s v="GNR_GT_NGAS_BP_E-32"/>
    <x v="0"/>
    <x v="2"/>
    <n v="80"/>
    <n v="29200"/>
    <n v="105120"/>
  </r>
  <r>
    <x v="0"/>
    <x v="0"/>
    <x v="0"/>
    <x v="3"/>
    <x v="6"/>
    <s v="DE4-S_A"/>
    <x v="2"/>
    <x v="1"/>
    <s v="GNR_GT_NGAS_BP_E-32"/>
    <x v="0"/>
    <x v="9"/>
    <n v="80"/>
    <n v="29200"/>
    <n v="105120"/>
  </r>
  <r>
    <x v="0"/>
    <x v="0"/>
    <x v="0"/>
    <x v="3"/>
    <x v="6"/>
    <s v="DE4-S_A"/>
    <x v="2"/>
    <x v="1"/>
    <s v="GNR_GT_NGAS_BP_E-32"/>
    <x v="0"/>
    <x v="10"/>
    <n v="80"/>
    <n v="29200"/>
    <n v="105120"/>
  </r>
  <r>
    <x v="0"/>
    <x v="0"/>
    <x v="0"/>
    <x v="3"/>
    <x v="6"/>
    <s v="DE4-S_A"/>
    <x v="2"/>
    <x v="1"/>
    <s v="GNR_GT_NGAS_BP_E-32"/>
    <x v="0"/>
    <x v="14"/>
    <n v="80"/>
    <n v="29200"/>
    <n v="105120"/>
  </r>
  <r>
    <x v="0"/>
    <x v="0"/>
    <x v="0"/>
    <x v="3"/>
    <x v="6"/>
    <s v="DE4-S_A"/>
    <x v="2"/>
    <x v="1"/>
    <s v="GNR_GT_NGAS_BP_E-32"/>
    <x v="0"/>
    <x v="15"/>
    <n v="80"/>
    <n v="29200"/>
    <n v="105120"/>
  </r>
  <r>
    <x v="0"/>
    <x v="0"/>
    <x v="0"/>
    <x v="3"/>
    <x v="6"/>
    <s v="DE4-S_A"/>
    <x v="2"/>
    <x v="1"/>
    <s v="GNR_GT_NGAS_BP_E-32"/>
    <x v="0"/>
    <x v="16"/>
    <n v="80"/>
    <n v="29200"/>
    <n v="105120"/>
  </r>
  <r>
    <x v="0"/>
    <x v="0"/>
    <x v="0"/>
    <x v="3"/>
    <x v="6"/>
    <s v="DE4-S_A"/>
    <x v="2"/>
    <x v="1"/>
    <s v="GNR_GT_NGAS_BP_E-32"/>
    <x v="0"/>
    <x v="17"/>
    <n v="80"/>
    <n v="29200"/>
    <n v="105120"/>
  </r>
  <r>
    <x v="0"/>
    <x v="0"/>
    <x v="0"/>
    <x v="3"/>
    <x v="6"/>
    <s v="DE4-S_A"/>
    <x v="2"/>
    <x v="1"/>
    <s v="GNR_GT_NGAS_BP_E-32"/>
    <x v="0"/>
    <x v="18"/>
    <n v="80"/>
    <n v="29200"/>
    <n v="105120"/>
  </r>
  <r>
    <x v="0"/>
    <x v="0"/>
    <x v="0"/>
    <x v="3"/>
    <x v="6"/>
    <s v="DE4-S_A"/>
    <x v="2"/>
    <x v="1"/>
    <s v="GNR_GT_NGAS_BP_E-32"/>
    <x v="0"/>
    <x v="19"/>
    <n v="80"/>
    <n v="29200"/>
    <n v="105120"/>
  </r>
  <r>
    <x v="0"/>
    <x v="0"/>
    <x v="0"/>
    <x v="3"/>
    <x v="6"/>
    <s v="DE4-S_A"/>
    <x v="2"/>
    <x v="1"/>
    <s v="GNR_GT_NGAS_BP_E-37"/>
    <x v="0"/>
    <x v="0"/>
    <n v="178.8"/>
    <n v="65262"/>
    <n v="234943.2"/>
  </r>
  <r>
    <x v="0"/>
    <x v="0"/>
    <x v="0"/>
    <x v="3"/>
    <x v="6"/>
    <s v="DE4-S_A"/>
    <x v="2"/>
    <x v="1"/>
    <s v="GNR_GT_NGAS_BP_E-37"/>
    <x v="0"/>
    <x v="1"/>
    <n v="178.8"/>
    <n v="65262"/>
    <n v="234943.2"/>
  </r>
  <r>
    <x v="0"/>
    <x v="0"/>
    <x v="0"/>
    <x v="3"/>
    <x v="6"/>
    <s v="DE4-S_A"/>
    <x v="2"/>
    <x v="1"/>
    <s v="GNR_GT_NGAS_BP_E-37"/>
    <x v="0"/>
    <x v="2"/>
    <n v="178.8"/>
    <n v="65262"/>
    <n v="234943.2"/>
  </r>
  <r>
    <x v="0"/>
    <x v="0"/>
    <x v="0"/>
    <x v="3"/>
    <x v="6"/>
    <s v="DE4-S_A"/>
    <x v="2"/>
    <x v="1"/>
    <s v="GNR_GT_NGAS_BP_E-37"/>
    <x v="0"/>
    <x v="9"/>
    <n v="178.8"/>
    <n v="65262"/>
    <n v="234943.2"/>
  </r>
  <r>
    <x v="0"/>
    <x v="0"/>
    <x v="0"/>
    <x v="3"/>
    <x v="6"/>
    <s v="DE4-S_A"/>
    <x v="2"/>
    <x v="1"/>
    <s v="GNR_GT_NGAS_BP_E-37"/>
    <x v="0"/>
    <x v="10"/>
    <n v="178.8"/>
    <n v="65262"/>
    <n v="234943.2"/>
  </r>
  <r>
    <x v="0"/>
    <x v="0"/>
    <x v="0"/>
    <x v="3"/>
    <x v="6"/>
    <s v="DE4-S_A"/>
    <x v="2"/>
    <x v="1"/>
    <s v="GNR_GT_NGAS_BP_E-37"/>
    <x v="0"/>
    <x v="11"/>
    <n v="178.8"/>
    <n v="65262"/>
    <n v="234943.2"/>
  </r>
  <r>
    <x v="0"/>
    <x v="0"/>
    <x v="0"/>
    <x v="3"/>
    <x v="6"/>
    <s v="DE4-S_A"/>
    <x v="2"/>
    <x v="1"/>
    <s v="GNR_GT_NGAS_BP_E-37"/>
    <x v="0"/>
    <x v="12"/>
    <n v="178.8"/>
    <n v="65262"/>
    <n v="234943.2"/>
  </r>
  <r>
    <x v="0"/>
    <x v="0"/>
    <x v="0"/>
    <x v="3"/>
    <x v="6"/>
    <s v="DE4-S_A"/>
    <x v="2"/>
    <x v="1"/>
    <s v="GNR_GT_NGAS_BP_E-37"/>
    <x v="0"/>
    <x v="13"/>
    <n v="178.8"/>
    <n v="65262"/>
    <n v="234943.2"/>
  </r>
  <r>
    <x v="0"/>
    <x v="0"/>
    <x v="0"/>
    <x v="3"/>
    <x v="6"/>
    <s v="DE4-S_A"/>
    <x v="2"/>
    <x v="1"/>
    <s v="GNR_GT_NGAS_BP_E-37"/>
    <x v="0"/>
    <x v="14"/>
    <n v="178.8"/>
    <n v="65262"/>
    <n v="234943.2"/>
  </r>
  <r>
    <x v="0"/>
    <x v="0"/>
    <x v="0"/>
    <x v="3"/>
    <x v="6"/>
    <s v="DE4-S_A"/>
    <x v="2"/>
    <x v="1"/>
    <s v="GNR_GT_NGAS_BP_E-37"/>
    <x v="0"/>
    <x v="15"/>
    <n v="178.8"/>
    <n v="65262"/>
    <n v="234943.2"/>
  </r>
  <r>
    <x v="0"/>
    <x v="0"/>
    <x v="0"/>
    <x v="3"/>
    <x v="6"/>
    <s v="DE4-S_A"/>
    <x v="2"/>
    <x v="1"/>
    <s v="GNR_GT_NGAS_BP_E-37"/>
    <x v="0"/>
    <x v="16"/>
    <n v="178.8"/>
    <n v="65262"/>
    <n v="234943.2"/>
  </r>
  <r>
    <x v="0"/>
    <x v="0"/>
    <x v="0"/>
    <x v="3"/>
    <x v="6"/>
    <s v="DE4-S_A"/>
    <x v="2"/>
    <x v="1"/>
    <s v="GNR_GT_NGAS_BP_E-37"/>
    <x v="0"/>
    <x v="17"/>
    <n v="178.8"/>
    <n v="65262"/>
    <n v="234943.2"/>
  </r>
  <r>
    <x v="0"/>
    <x v="0"/>
    <x v="0"/>
    <x v="3"/>
    <x v="6"/>
    <s v="DE4-S_A"/>
    <x v="2"/>
    <x v="1"/>
    <s v="GNR_GT_NGAS_BP_E-37"/>
    <x v="0"/>
    <x v="18"/>
    <n v="178.8"/>
    <n v="65262"/>
    <n v="234943.2"/>
  </r>
  <r>
    <x v="0"/>
    <x v="0"/>
    <x v="0"/>
    <x v="3"/>
    <x v="6"/>
    <s v="DE4-S_A"/>
    <x v="2"/>
    <x v="1"/>
    <s v="GNR_GT_NGAS_BP_E-37"/>
    <x v="0"/>
    <x v="19"/>
    <n v="178.8"/>
    <n v="65262"/>
    <n v="234943.2"/>
  </r>
  <r>
    <x v="0"/>
    <x v="0"/>
    <x v="0"/>
    <x v="3"/>
    <x v="6"/>
    <s v="DE4-S_A"/>
    <x v="2"/>
    <x v="1"/>
    <s v="GNR_GT_NGAS_BP_E-37"/>
    <x v="0"/>
    <x v="20"/>
    <n v="178.8"/>
    <n v="65262"/>
    <n v="234943.2"/>
  </r>
  <r>
    <x v="0"/>
    <x v="0"/>
    <x v="0"/>
    <x v="3"/>
    <x v="6"/>
    <s v="DE4-S_A"/>
    <x v="2"/>
    <x v="2"/>
    <s v="GNR_GT_NGAS_CND_E-31"/>
    <x v="0"/>
    <x v="0"/>
    <n v="323"/>
    <n v="117895"/>
    <n v="424422"/>
  </r>
  <r>
    <x v="0"/>
    <x v="0"/>
    <x v="0"/>
    <x v="3"/>
    <x v="6"/>
    <s v="DE4-S_A"/>
    <x v="2"/>
    <x v="2"/>
    <s v="GNR_GT_NGAS_CND_E-31"/>
    <x v="0"/>
    <x v="1"/>
    <n v="323"/>
    <n v="117895"/>
    <n v="424422"/>
  </r>
  <r>
    <x v="0"/>
    <x v="0"/>
    <x v="0"/>
    <x v="3"/>
    <x v="6"/>
    <s v="DE4-S_A"/>
    <x v="2"/>
    <x v="2"/>
    <s v="GNR_GT_NGAS_CND_E-31"/>
    <x v="0"/>
    <x v="2"/>
    <n v="323"/>
    <n v="117895"/>
    <n v="424422"/>
  </r>
  <r>
    <x v="0"/>
    <x v="0"/>
    <x v="0"/>
    <x v="3"/>
    <x v="6"/>
    <s v="DE4-S_A"/>
    <x v="2"/>
    <x v="2"/>
    <s v="GNR_GT_NGAS_CND_E-31"/>
    <x v="0"/>
    <x v="9"/>
    <n v="323"/>
    <n v="117895"/>
    <n v="424422"/>
  </r>
  <r>
    <x v="0"/>
    <x v="0"/>
    <x v="0"/>
    <x v="3"/>
    <x v="6"/>
    <s v="DE4-S_A"/>
    <x v="2"/>
    <x v="2"/>
    <s v="GNR_GT_NGAS_CND_E-31"/>
    <x v="0"/>
    <x v="10"/>
    <n v="323"/>
    <n v="117895"/>
    <n v="424422"/>
  </r>
  <r>
    <x v="0"/>
    <x v="0"/>
    <x v="0"/>
    <x v="3"/>
    <x v="6"/>
    <s v="DE4-S_A"/>
    <x v="2"/>
    <x v="2"/>
    <s v="GNR_GT_NGAS_CND_E-31"/>
    <x v="0"/>
    <x v="11"/>
    <n v="323"/>
    <n v="117895"/>
    <n v="424422"/>
  </r>
  <r>
    <x v="0"/>
    <x v="0"/>
    <x v="0"/>
    <x v="3"/>
    <x v="6"/>
    <s v="DE4-S_A"/>
    <x v="2"/>
    <x v="2"/>
    <s v="GNR_GT_NGAS_CND_E-31"/>
    <x v="0"/>
    <x v="14"/>
    <n v="323"/>
    <n v="117895"/>
    <n v="424422"/>
  </r>
  <r>
    <x v="0"/>
    <x v="0"/>
    <x v="0"/>
    <x v="3"/>
    <x v="6"/>
    <s v="DE4-S_A"/>
    <x v="2"/>
    <x v="2"/>
    <s v="GNR_GT_NGAS_CND_E-31"/>
    <x v="0"/>
    <x v="15"/>
    <n v="323"/>
    <n v="117895"/>
    <n v="424422"/>
  </r>
  <r>
    <x v="0"/>
    <x v="0"/>
    <x v="0"/>
    <x v="3"/>
    <x v="6"/>
    <s v="DE4-S_A"/>
    <x v="2"/>
    <x v="2"/>
    <s v="GNR_GT_NGAS_CND_E-31"/>
    <x v="0"/>
    <x v="16"/>
    <n v="323"/>
    <n v="117895"/>
    <n v="424422"/>
  </r>
  <r>
    <x v="0"/>
    <x v="0"/>
    <x v="0"/>
    <x v="3"/>
    <x v="6"/>
    <s v="DE4-S_A"/>
    <x v="2"/>
    <x v="2"/>
    <s v="GNR_GT_NGAS_CND_E-31"/>
    <x v="0"/>
    <x v="17"/>
    <n v="323"/>
    <n v="117895"/>
    <n v="424422"/>
  </r>
  <r>
    <x v="0"/>
    <x v="0"/>
    <x v="0"/>
    <x v="3"/>
    <x v="6"/>
    <s v="DE4-S_A"/>
    <x v="2"/>
    <x v="2"/>
    <s v="GNR_GT_NGAS_CND_E-31"/>
    <x v="0"/>
    <x v="18"/>
    <n v="323"/>
    <n v="117895"/>
    <n v="424422"/>
  </r>
  <r>
    <x v="0"/>
    <x v="0"/>
    <x v="0"/>
    <x v="3"/>
    <x v="6"/>
    <s v="DE4-S_A"/>
    <x v="2"/>
    <x v="2"/>
    <s v="GNR_GT_NGAS_CND_E-31"/>
    <x v="0"/>
    <x v="19"/>
    <n v="323"/>
    <n v="117895"/>
    <n v="424422"/>
  </r>
  <r>
    <x v="0"/>
    <x v="0"/>
    <x v="0"/>
    <x v="3"/>
    <x v="6"/>
    <s v="DE4-S_A"/>
    <x v="2"/>
    <x v="1"/>
    <s v="GNR_ST_NGAS_BP_E-38"/>
    <x v="0"/>
    <x v="3"/>
    <n v="986.2"/>
    <n v="359963"/>
    <n v="1295866.8"/>
  </r>
  <r>
    <x v="0"/>
    <x v="0"/>
    <x v="0"/>
    <x v="3"/>
    <x v="6"/>
    <s v="DE4-S_A"/>
    <x v="2"/>
    <x v="1"/>
    <s v="GNR_ST_NGAS_BP_E-38"/>
    <x v="0"/>
    <x v="4"/>
    <n v="986.2"/>
    <n v="359963"/>
    <n v="1295866.8"/>
  </r>
  <r>
    <x v="0"/>
    <x v="0"/>
    <x v="0"/>
    <x v="3"/>
    <x v="6"/>
    <s v="DE4-S_A"/>
    <x v="2"/>
    <x v="1"/>
    <s v="GNR_ST_NGAS_BP_E-38"/>
    <x v="0"/>
    <x v="5"/>
    <n v="986.2"/>
    <n v="359963"/>
    <n v="1295866.8"/>
  </r>
  <r>
    <x v="0"/>
    <x v="0"/>
    <x v="0"/>
    <x v="3"/>
    <x v="6"/>
    <s v="DE4-S_A"/>
    <x v="2"/>
    <x v="1"/>
    <s v="GNR_ST_NGAS_BP_E-38"/>
    <x v="0"/>
    <x v="6"/>
    <n v="986.2"/>
    <n v="359963"/>
    <n v="1295866.8"/>
  </r>
  <r>
    <x v="0"/>
    <x v="0"/>
    <x v="0"/>
    <x v="3"/>
    <x v="6"/>
    <s v="DE4-S_A"/>
    <x v="2"/>
    <x v="1"/>
    <s v="GNR_ST_NGAS_BP_E-38"/>
    <x v="0"/>
    <x v="7"/>
    <n v="986.2"/>
    <n v="359963"/>
    <n v="1295866.8"/>
  </r>
  <r>
    <x v="0"/>
    <x v="0"/>
    <x v="0"/>
    <x v="3"/>
    <x v="6"/>
    <s v="DE4-S_A"/>
    <x v="2"/>
    <x v="1"/>
    <s v="GNR_ST_NGAS_BP_E-38"/>
    <x v="0"/>
    <x v="8"/>
    <n v="986.2"/>
    <n v="359963"/>
    <n v="1295866.8"/>
  </r>
  <r>
    <x v="0"/>
    <x v="0"/>
    <x v="0"/>
    <x v="3"/>
    <x v="6"/>
    <s v="DE4-S_A"/>
    <x v="2"/>
    <x v="1"/>
    <s v="GNR_ST_NGAS_BP_E-38"/>
    <x v="0"/>
    <x v="0"/>
    <n v="986.2"/>
    <n v="359963"/>
    <n v="1295866.8"/>
  </r>
  <r>
    <x v="0"/>
    <x v="0"/>
    <x v="0"/>
    <x v="3"/>
    <x v="6"/>
    <s v="DE4-S_A"/>
    <x v="2"/>
    <x v="1"/>
    <s v="GNR_ST_NGAS_BP_E-38"/>
    <x v="0"/>
    <x v="1"/>
    <n v="986.2"/>
    <n v="359963"/>
    <n v="1295866.8"/>
  </r>
  <r>
    <x v="0"/>
    <x v="0"/>
    <x v="0"/>
    <x v="3"/>
    <x v="6"/>
    <s v="DE4-S_A"/>
    <x v="2"/>
    <x v="1"/>
    <s v="GNR_ST_NGAS_BP_E-38"/>
    <x v="0"/>
    <x v="2"/>
    <n v="986.2"/>
    <n v="359963"/>
    <n v="1295866.8"/>
  </r>
  <r>
    <x v="0"/>
    <x v="0"/>
    <x v="0"/>
    <x v="3"/>
    <x v="6"/>
    <s v="DE4-S_A"/>
    <x v="2"/>
    <x v="1"/>
    <s v="GNR_ST_NGAS_BP_E-38"/>
    <x v="0"/>
    <x v="9"/>
    <n v="986.2"/>
    <n v="359963"/>
    <n v="1295866.8"/>
  </r>
  <r>
    <x v="0"/>
    <x v="0"/>
    <x v="0"/>
    <x v="3"/>
    <x v="6"/>
    <s v="DE4-S_A"/>
    <x v="2"/>
    <x v="1"/>
    <s v="GNR_ST_NGAS_BP_E-38"/>
    <x v="0"/>
    <x v="10"/>
    <n v="986.2"/>
    <n v="359963"/>
    <n v="1295866.8"/>
  </r>
  <r>
    <x v="0"/>
    <x v="0"/>
    <x v="0"/>
    <x v="3"/>
    <x v="6"/>
    <s v="DE4-S_A"/>
    <x v="2"/>
    <x v="1"/>
    <s v="GNR_ST_NGAS_BP_E-38"/>
    <x v="0"/>
    <x v="11"/>
    <n v="986.2"/>
    <n v="359963"/>
    <n v="1295866.8"/>
  </r>
  <r>
    <x v="0"/>
    <x v="0"/>
    <x v="0"/>
    <x v="3"/>
    <x v="6"/>
    <s v="DE4-S_A"/>
    <x v="2"/>
    <x v="1"/>
    <s v="GNR_ST_NGAS_BP_E-38"/>
    <x v="0"/>
    <x v="12"/>
    <n v="986.2"/>
    <n v="359963"/>
    <n v="1295866.8"/>
  </r>
  <r>
    <x v="0"/>
    <x v="0"/>
    <x v="0"/>
    <x v="3"/>
    <x v="6"/>
    <s v="DE4-S_A"/>
    <x v="2"/>
    <x v="1"/>
    <s v="GNR_ST_NGAS_BP_E-38"/>
    <x v="0"/>
    <x v="13"/>
    <n v="986.2"/>
    <n v="359963"/>
    <n v="1295866.8"/>
  </r>
  <r>
    <x v="0"/>
    <x v="0"/>
    <x v="0"/>
    <x v="3"/>
    <x v="6"/>
    <s v="DE4-S_A"/>
    <x v="2"/>
    <x v="1"/>
    <s v="GNR_ST_NGAS_BP_E-38"/>
    <x v="0"/>
    <x v="14"/>
    <n v="986.2"/>
    <n v="359963"/>
    <n v="1295866.8"/>
  </r>
  <r>
    <x v="0"/>
    <x v="0"/>
    <x v="0"/>
    <x v="3"/>
    <x v="6"/>
    <s v="DE4-S_A"/>
    <x v="2"/>
    <x v="1"/>
    <s v="GNR_ST_NGAS_BP_E-38"/>
    <x v="0"/>
    <x v="15"/>
    <n v="986.2"/>
    <n v="359963"/>
    <n v="1295866.8"/>
  </r>
  <r>
    <x v="0"/>
    <x v="0"/>
    <x v="0"/>
    <x v="3"/>
    <x v="6"/>
    <s v="DE4-S_A"/>
    <x v="2"/>
    <x v="1"/>
    <s v="GNR_ST_NGAS_BP_E-38"/>
    <x v="0"/>
    <x v="16"/>
    <n v="986.2"/>
    <n v="359963"/>
    <n v="1295866.8"/>
  </r>
  <r>
    <x v="0"/>
    <x v="0"/>
    <x v="0"/>
    <x v="3"/>
    <x v="6"/>
    <s v="DE4-S_A"/>
    <x v="2"/>
    <x v="1"/>
    <s v="GNR_ST_NGAS_BP_E-38"/>
    <x v="0"/>
    <x v="17"/>
    <n v="986.2"/>
    <n v="359963"/>
    <n v="1295866.8"/>
  </r>
  <r>
    <x v="0"/>
    <x v="0"/>
    <x v="0"/>
    <x v="3"/>
    <x v="6"/>
    <s v="DE4-S_A"/>
    <x v="2"/>
    <x v="1"/>
    <s v="GNR_ST_NGAS_BP_E-38"/>
    <x v="0"/>
    <x v="18"/>
    <n v="986.2"/>
    <n v="359963"/>
    <n v="1295866.8"/>
  </r>
  <r>
    <x v="0"/>
    <x v="0"/>
    <x v="0"/>
    <x v="3"/>
    <x v="6"/>
    <s v="DE4-S_A"/>
    <x v="2"/>
    <x v="1"/>
    <s v="GNR_ST_NGAS_BP_E-38"/>
    <x v="0"/>
    <x v="19"/>
    <n v="986.2"/>
    <n v="359963"/>
    <n v="1295866.8"/>
  </r>
  <r>
    <x v="0"/>
    <x v="0"/>
    <x v="0"/>
    <x v="3"/>
    <x v="6"/>
    <s v="DE4-S_A"/>
    <x v="2"/>
    <x v="1"/>
    <s v="GNR_ST_NGAS_BP_E-38"/>
    <x v="0"/>
    <x v="20"/>
    <n v="986.2"/>
    <n v="359963"/>
    <n v="1295866.8"/>
  </r>
  <r>
    <x v="0"/>
    <x v="0"/>
    <x v="0"/>
    <x v="3"/>
    <x v="6"/>
    <s v="DE4-S_A"/>
    <x v="2"/>
    <x v="1"/>
    <s v="GNR_ST_NGAS_BP_E-38"/>
    <x v="0"/>
    <x v="21"/>
    <n v="986.2"/>
    <n v="359963"/>
    <n v="1295866.8"/>
  </r>
  <r>
    <x v="0"/>
    <x v="0"/>
    <x v="0"/>
    <x v="3"/>
    <x v="6"/>
    <s v="DE4-S_A"/>
    <x v="2"/>
    <x v="1"/>
    <s v="GNR_ST_NGAS_BP_E-38"/>
    <x v="0"/>
    <x v="22"/>
    <n v="986.2"/>
    <n v="359963"/>
    <n v="1295866.8"/>
  </r>
  <r>
    <x v="0"/>
    <x v="0"/>
    <x v="0"/>
    <x v="3"/>
    <x v="6"/>
    <s v="DE4-S_A"/>
    <x v="2"/>
    <x v="1"/>
    <s v="GNR_ST_NGAS_BP_E-38"/>
    <x v="0"/>
    <x v="23"/>
    <n v="986.2"/>
    <n v="359963"/>
    <n v="1295866.8"/>
  </r>
  <r>
    <x v="0"/>
    <x v="0"/>
    <x v="0"/>
    <x v="3"/>
    <x v="6"/>
    <s v="DE4-S_A"/>
    <x v="2"/>
    <x v="2"/>
    <s v="GNR_ST_NGAS_CND_E-36"/>
    <x v="0"/>
    <x v="3"/>
    <n v="415"/>
    <n v="151475"/>
    <n v="545310"/>
  </r>
  <r>
    <x v="0"/>
    <x v="0"/>
    <x v="0"/>
    <x v="3"/>
    <x v="6"/>
    <s v="DE4-S_A"/>
    <x v="2"/>
    <x v="2"/>
    <s v="GNR_ST_NGAS_CND_E-36"/>
    <x v="0"/>
    <x v="4"/>
    <n v="415"/>
    <n v="151475"/>
    <n v="545310"/>
  </r>
  <r>
    <x v="0"/>
    <x v="0"/>
    <x v="0"/>
    <x v="3"/>
    <x v="6"/>
    <s v="DE4-S_A"/>
    <x v="2"/>
    <x v="2"/>
    <s v="GNR_ST_NGAS_CND_E-36"/>
    <x v="0"/>
    <x v="5"/>
    <n v="415"/>
    <n v="151475"/>
    <n v="545310"/>
  </r>
  <r>
    <x v="0"/>
    <x v="0"/>
    <x v="0"/>
    <x v="3"/>
    <x v="6"/>
    <s v="DE4-S_A"/>
    <x v="2"/>
    <x v="2"/>
    <s v="GNR_ST_NGAS_CND_E-36"/>
    <x v="0"/>
    <x v="6"/>
    <n v="415"/>
    <n v="151475"/>
    <n v="545310"/>
  </r>
  <r>
    <x v="0"/>
    <x v="0"/>
    <x v="0"/>
    <x v="3"/>
    <x v="6"/>
    <s v="DE4-S_A"/>
    <x v="2"/>
    <x v="2"/>
    <s v="GNR_ST_NGAS_CND_E-36"/>
    <x v="0"/>
    <x v="7"/>
    <n v="415"/>
    <n v="151475"/>
    <n v="545310"/>
  </r>
  <r>
    <x v="0"/>
    <x v="0"/>
    <x v="0"/>
    <x v="3"/>
    <x v="6"/>
    <s v="DE4-S_A"/>
    <x v="2"/>
    <x v="2"/>
    <s v="GNR_ST_NGAS_CND_E-36"/>
    <x v="0"/>
    <x v="8"/>
    <n v="415"/>
    <n v="151475"/>
    <n v="545310"/>
  </r>
  <r>
    <x v="0"/>
    <x v="0"/>
    <x v="0"/>
    <x v="3"/>
    <x v="6"/>
    <s v="DE4-S_A"/>
    <x v="2"/>
    <x v="2"/>
    <s v="GNR_ST_NGAS_CND_E-36"/>
    <x v="0"/>
    <x v="0"/>
    <n v="415"/>
    <n v="151475"/>
    <n v="545310"/>
  </r>
  <r>
    <x v="0"/>
    <x v="0"/>
    <x v="0"/>
    <x v="3"/>
    <x v="6"/>
    <s v="DE4-S_A"/>
    <x v="2"/>
    <x v="2"/>
    <s v="GNR_ST_NGAS_CND_E-36"/>
    <x v="0"/>
    <x v="1"/>
    <n v="415"/>
    <n v="151475"/>
    <n v="545310"/>
  </r>
  <r>
    <x v="0"/>
    <x v="0"/>
    <x v="0"/>
    <x v="3"/>
    <x v="6"/>
    <s v="DE4-S_A"/>
    <x v="2"/>
    <x v="2"/>
    <s v="GNR_ST_NGAS_CND_E-36"/>
    <x v="0"/>
    <x v="2"/>
    <n v="415"/>
    <n v="151475"/>
    <n v="545310"/>
  </r>
  <r>
    <x v="0"/>
    <x v="0"/>
    <x v="0"/>
    <x v="3"/>
    <x v="6"/>
    <s v="DE4-S_A"/>
    <x v="2"/>
    <x v="2"/>
    <s v="GNR_ST_NGAS_CND_E-36"/>
    <x v="0"/>
    <x v="9"/>
    <n v="415"/>
    <n v="151475"/>
    <n v="545310"/>
  </r>
  <r>
    <x v="0"/>
    <x v="0"/>
    <x v="0"/>
    <x v="3"/>
    <x v="6"/>
    <s v="DE4-S_A"/>
    <x v="2"/>
    <x v="2"/>
    <s v="GNR_ST_NGAS_CND_E-36"/>
    <x v="0"/>
    <x v="10"/>
    <n v="415"/>
    <n v="151475"/>
    <n v="545310"/>
  </r>
  <r>
    <x v="0"/>
    <x v="0"/>
    <x v="0"/>
    <x v="3"/>
    <x v="6"/>
    <s v="DE4-S_A"/>
    <x v="2"/>
    <x v="2"/>
    <s v="GNR_ST_NGAS_CND_E-36"/>
    <x v="0"/>
    <x v="11"/>
    <n v="415"/>
    <n v="151475"/>
    <n v="545310"/>
  </r>
  <r>
    <x v="0"/>
    <x v="0"/>
    <x v="0"/>
    <x v="3"/>
    <x v="6"/>
    <s v="DE4-S_A"/>
    <x v="2"/>
    <x v="2"/>
    <s v="GNR_ST_NGAS_CND_E-36"/>
    <x v="0"/>
    <x v="12"/>
    <n v="415"/>
    <n v="151475"/>
    <n v="545310"/>
  </r>
  <r>
    <x v="0"/>
    <x v="0"/>
    <x v="0"/>
    <x v="3"/>
    <x v="6"/>
    <s v="DE4-S_A"/>
    <x v="2"/>
    <x v="2"/>
    <s v="GNR_ST_NGAS_CND_E-36"/>
    <x v="0"/>
    <x v="13"/>
    <n v="415"/>
    <n v="151475"/>
    <n v="545310"/>
  </r>
  <r>
    <x v="0"/>
    <x v="0"/>
    <x v="0"/>
    <x v="3"/>
    <x v="6"/>
    <s v="DE4-S_A"/>
    <x v="2"/>
    <x v="2"/>
    <s v="GNR_ST_NGAS_CND_E-36"/>
    <x v="0"/>
    <x v="14"/>
    <n v="415"/>
    <n v="151475"/>
    <n v="545310"/>
  </r>
  <r>
    <x v="0"/>
    <x v="0"/>
    <x v="0"/>
    <x v="3"/>
    <x v="6"/>
    <s v="DE4-S_A"/>
    <x v="2"/>
    <x v="2"/>
    <s v="GNR_ST_NGAS_CND_E-36"/>
    <x v="0"/>
    <x v="15"/>
    <n v="415"/>
    <n v="151475"/>
    <n v="545310"/>
  </r>
  <r>
    <x v="0"/>
    <x v="0"/>
    <x v="0"/>
    <x v="3"/>
    <x v="6"/>
    <s v="DE4-S_A"/>
    <x v="2"/>
    <x v="2"/>
    <s v="GNR_ST_NGAS_CND_E-36"/>
    <x v="0"/>
    <x v="16"/>
    <n v="415"/>
    <n v="151475"/>
    <n v="545310"/>
  </r>
  <r>
    <x v="0"/>
    <x v="0"/>
    <x v="0"/>
    <x v="3"/>
    <x v="6"/>
    <s v="DE4-S_A"/>
    <x v="2"/>
    <x v="2"/>
    <s v="GNR_ST_NGAS_CND_E-36"/>
    <x v="0"/>
    <x v="17"/>
    <n v="415"/>
    <n v="151475"/>
    <n v="545310"/>
  </r>
  <r>
    <x v="0"/>
    <x v="0"/>
    <x v="0"/>
    <x v="3"/>
    <x v="6"/>
    <s v="DE4-S_A"/>
    <x v="2"/>
    <x v="2"/>
    <s v="GNR_ST_NGAS_CND_E-36"/>
    <x v="0"/>
    <x v="18"/>
    <n v="415"/>
    <n v="151475"/>
    <n v="545310"/>
  </r>
  <r>
    <x v="0"/>
    <x v="0"/>
    <x v="0"/>
    <x v="3"/>
    <x v="6"/>
    <s v="DE4-S_A"/>
    <x v="2"/>
    <x v="2"/>
    <s v="GNR_ST_NGAS_CND_E-36"/>
    <x v="0"/>
    <x v="19"/>
    <n v="415"/>
    <n v="151475"/>
    <n v="545310"/>
  </r>
  <r>
    <x v="0"/>
    <x v="0"/>
    <x v="0"/>
    <x v="3"/>
    <x v="6"/>
    <s v="DE4-S_A"/>
    <x v="2"/>
    <x v="2"/>
    <s v="GNR_ST_NGAS_CND_E-36"/>
    <x v="0"/>
    <x v="20"/>
    <n v="415"/>
    <n v="151475"/>
    <n v="545310"/>
  </r>
  <r>
    <x v="0"/>
    <x v="0"/>
    <x v="0"/>
    <x v="3"/>
    <x v="6"/>
    <s v="DE4-S_A"/>
    <x v="2"/>
    <x v="2"/>
    <s v="GNR_ST_NGAS_CND_E-36"/>
    <x v="0"/>
    <x v="21"/>
    <n v="415"/>
    <n v="151475"/>
    <n v="545310"/>
  </r>
  <r>
    <x v="0"/>
    <x v="0"/>
    <x v="0"/>
    <x v="3"/>
    <x v="6"/>
    <s v="DE4-S_A"/>
    <x v="2"/>
    <x v="2"/>
    <s v="GNR_ST_NGAS_CND_E-36"/>
    <x v="0"/>
    <x v="22"/>
    <n v="415"/>
    <n v="151475"/>
    <n v="545310"/>
  </r>
  <r>
    <x v="0"/>
    <x v="0"/>
    <x v="0"/>
    <x v="3"/>
    <x v="6"/>
    <s v="DE4-S_A"/>
    <x v="2"/>
    <x v="2"/>
    <s v="GNR_ST_NGAS_CND_E-36"/>
    <x v="0"/>
    <x v="23"/>
    <n v="415"/>
    <n v="151475"/>
    <n v="545310"/>
  </r>
  <r>
    <x v="0"/>
    <x v="0"/>
    <x v="0"/>
    <x v="3"/>
    <x v="6"/>
    <s v="DE4-S_A"/>
    <x v="15"/>
    <x v="2"/>
    <s v="GNR_ST_NUCL_CND_E-33"/>
    <x v="0"/>
    <x v="3"/>
    <n v="6694"/>
    <n v="2443310"/>
    <n v="8795916"/>
  </r>
  <r>
    <x v="0"/>
    <x v="0"/>
    <x v="0"/>
    <x v="3"/>
    <x v="6"/>
    <s v="DE4-S_A"/>
    <x v="15"/>
    <x v="2"/>
    <s v="GNR_ST_NUCL_CND_E-33"/>
    <x v="0"/>
    <x v="4"/>
    <n v="6694"/>
    <n v="2443310"/>
    <n v="8795916"/>
  </r>
  <r>
    <x v="0"/>
    <x v="0"/>
    <x v="0"/>
    <x v="3"/>
    <x v="6"/>
    <s v="DE4-S_A"/>
    <x v="15"/>
    <x v="2"/>
    <s v="GNR_ST_NUCL_CND_E-33"/>
    <x v="0"/>
    <x v="5"/>
    <n v="6694"/>
    <n v="2443310"/>
    <n v="8795916"/>
  </r>
  <r>
    <x v="0"/>
    <x v="0"/>
    <x v="0"/>
    <x v="3"/>
    <x v="6"/>
    <s v="DE4-S_A"/>
    <x v="15"/>
    <x v="2"/>
    <s v="GNR_ST_NUCL_CND_E-33"/>
    <x v="0"/>
    <x v="6"/>
    <n v="6694"/>
    <n v="2443310"/>
    <n v="8795916"/>
  </r>
  <r>
    <x v="0"/>
    <x v="0"/>
    <x v="0"/>
    <x v="3"/>
    <x v="6"/>
    <s v="DE4-S_A"/>
    <x v="15"/>
    <x v="2"/>
    <s v="GNR_ST_NUCL_CND_E-33"/>
    <x v="0"/>
    <x v="7"/>
    <n v="6694"/>
    <n v="2443310"/>
    <n v="8795916"/>
  </r>
  <r>
    <x v="0"/>
    <x v="0"/>
    <x v="0"/>
    <x v="3"/>
    <x v="6"/>
    <s v="DE4-S_A"/>
    <x v="15"/>
    <x v="2"/>
    <s v="GNR_ST_NUCL_CND_E-33"/>
    <x v="0"/>
    <x v="8"/>
    <n v="6694"/>
    <n v="2443310"/>
    <n v="8795916"/>
  </r>
  <r>
    <x v="0"/>
    <x v="0"/>
    <x v="0"/>
    <x v="3"/>
    <x v="6"/>
    <s v="DE4-S_A"/>
    <x v="15"/>
    <x v="2"/>
    <s v="GNR_ST_NUCL_CND_E-33"/>
    <x v="0"/>
    <x v="0"/>
    <n v="6694"/>
    <n v="2443310"/>
    <n v="8795916"/>
  </r>
  <r>
    <x v="0"/>
    <x v="0"/>
    <x v="0"/>
    <x v="3"/>
    <x v="6"/>
    <s v="DE4-S_A"/>
    <x v="15"/>
    <x v="2"/>
    <s v="GNR_ST_NUCL_CND_E-33"/>
    <x v="0"/>
    <x v="1"/>
    <n v="6694"/>
    <n v="2443310"/>
    <n v="8795916"/>
  </r>
  <r>
    <x v="0"/>
    <x v="0"/>
    <x v="0"/>
    <x v="3"/>
    <x v="6"/>
    <s v="DE4-S_A"/>
    <x v="15"/>
    <x v="2"/>
    <s v="GNR_ST_NUCL_CND_E-33"/>
    <x v="0"/>
    <x v="2"/>
    <n v="6694"/>
    <n v="2443310"/>
    <n v="8795916"/>
  </r>
  <r>
    <x v="0"/>
    <x v="0"/>
    <x v="0"/>
    <x v="3"/>
    <x v="6"/>
    <s v="DE4-S_A"/>
    <x v="15"/>
    <x v="2"/>
    <s v="GNR_ST_NUCL_CND_E-33"/>
    <x v="0"/>
    <x v="9"/>
    <n v="6694"/>
    <n v="2443310"/>
    <n v="8795916"/>
  </r>
  <r>
    <x v="0"/>
    <x v="0"/>
    <x v="0"/>
    <x v="3"/>
    <x v="6"/>
    <s v="DE4-S_A"/>
    <x v="15"/>
    <x v="2"/>
    <s v="GNR_ST_NUCL_CND_E-33"/>
    <x v="0"/>
    <x v="10"/>
    <n v="6694"/>
    <n v="2443310"/>
    <n v="8795916"/>
  </r>
  <r>
    <x v="0"/>
    <x v="0"/>
    <x v="0"/>
    <x v="3"/>
    <x v="6"/>
    <s v="DE4-S_A"/>
    <x v="15"/>
    <x v="2"/>
    <s v="GNR_ST_NUCL_CND_E-33"/>
    <x v="0"/>
    <x v="11"/>
    <n v="6694"/>
    <n v="2443310"/>
    <n v="8795916"/>
  </r>
  <r>
    <x v="0"/>
    <x v="0"/>
    <x v="0"/>
    <x v="3"/>
    <x v="6"/>
    <s v="DE4-S_A"/>
    <x v="15"/>
    <x v="2"/>
    <s v="GNR_ST_NUCL_CND_E-33"/>
    <x v="0"/>
    <x v="12"/>
    <n v="6694"/>
    <n v="2443310"/>
    <n v="8795916"/>
  </r>
  <r>
    <x v="0"/>
    <x v="0"/>
    <x v="0"/>
    <x v="3"/>
    <x v="6"/>
    <s v="DE4-S_A"/>
    <x v="15"/>
    <x v="2"/>
    <s v="GNR_ST_NUCL_CND_E-33"/>
    <x v="0"/>
    <x v="13"/>
    <n v="6694"/>
    <n v="2443310"/>
    <n v="8795916"/>
  </r>
  <r>
    <x v="0"/>
    <x v="0"/>
    <x v="0"/>
    <x v="3"/>
    <x v="6"/>
    <s v="DE4-S_A"/>
    <x v="15"/>
    <x v="2"/>
    <s v="GNR_ST_NUCL_CND_E-33"/>
    <x v="0"/>
    <x v="14"/>
    <n v="6694"/>
    <n v="2443310"/>
    <n v="8795916"/>
  </r>
  <r>
    <x v="0"/>
    <x v="0"/>
    <x v="0"/>
    <x v="3"/>
    <x v="6"/>
    <s v="DE4-S_A"/>
    <x v="15"/>
    <x v="2"/>
    <s v="GNR_ST_NUCL_CND_E-33"/>
    <x v="0"/>
    <x v="15"/>
    <n v="6694"/>
    <n v="2443310"/>
    <n v="8795916"/>
  </r>
  <r>
    <x v="0"/>
    <x v="0"/>
    <x v="0"/>
    <x v="3"/>
    <x v="6"/>
    <s v="DE4-S_A"/>
    <x v="15"/>
    <x v="2"/>
    <s v="GNR_ST_NUCL_CND_E-33"/>
    <x v="0"/>
    <x v="16"/>
    <n v="6694"/>
    <n v="2443310"/>
    <n v="8795916"/>
  </r>
  <r>
    <x v="0"/>
    <x v="0"/>
    <x v="0"/>
    <x v="3"/>
    <x v="6"/>
    <s v="DE4-S_A"/>
    <x v="15"/>
    <x v="2"/>
    <s v="GNR_ST_NUCL_CND_E-33"/>
    <x v="0"/>
    <x v="17"/>
    <n v="6694"/>
    <n v="2443310"/>
    <n v="8795916"/>
  </r>
  <r>
    <x v="0"/>
    <x v="0"/>
    <x v="0"/>
    <x v="3"/>
    <x v="6"/>
    <s v="DE4-S_A"/>
    <x v="15"/>
    <x v="2"/>
    <s v="GNR_ST_NUCL_CND_E-33"/>
    <x v="0"/>
    <x v="18"/>
    <n v="6694"/>
    <n v="2443310"/>
    <n v="8795916"/>
  </r>
  <r>
    <x v="0"/>
    <x v="0"/>
    <x v="0"/>
    <x v="3"/>
    <x v="6"/>
    <s v="DE4-S_A"/>
    <x v="15"/>
    <x v="2"/>
    <s v="GNR_ST_NUCL_CND_E-33"/>
    <x v="0"/>
    <x v="19"/>
    <n v="6694"/>
    <n v="2443310"/>
    <n v="8795916"/>
  </r>
  <r>
    <x v="0"/>
    <x v="0"/>
    <x v="0"/>
    <x v="3"/>
    <x v="6"/>
    <s v="DE4-S_A"/>
    <x v="15"/>
    <x v="2"/>
    <s v="GNR_ST_NUCL_CND_E-33"/>
    <x v="0"/>
    <x v="20"/>
    <n v="6694"/>
    <n v="2443310"/>
    <n v="8795916"/>
  </r>
  <r>
    <x v="0"/>
    <x v="0"/>
    <x v="0"/>
    <x v="3"/>
    <x v="6"/>
    <s v="DE4-S_A"/>
    <x v="15"/>
    <x v="2"/>
    <s v="GNR_ST_NUCL_CND_E-33"/>
    <x v="0"/>
    <x v="21"/>
    <n v="6694"/>
    <n v="2443310"/>
    <n v="8795916"/>
  </r>
  <r>
    <x v="0"/>
    <x v="0"/>
    <x v="0"/>
    <x v="3"/>
    <x v="6"/>
    <s v="DE4-S_A"/>
    <x v="15"/>
    <x v="2"/>
    <s v="GNR_ST_NUCL_CND_E-33"/>
    <x v="0"/>
    <x v="22"/>
    <n v="6694"/>
    <n v="2443310"/>
    <n v="8795916"/>
  </r>
  <r>
    <x v="0"/>
    <x v="0"/>
    <x v="0"/>
    <x v="3"/>
    <x v="6"/>
    <s v="DE4-S_A"/>
    <x v="15"/>
    <x v="2"/>
    <s v="GNR_ST_NUCL_CND_E-33"/>
    <x v="0"/>
    <x v="23"/>
    <n v="6694"/>
    <n v="2443310"/>
    <n v="8795916"/>
  </r>
  <r>
    <x v="0"/>
    <x v="0"/>
    <x v="0"/>
    <x v="3"/>
    <x v="6"/>
    <s v="DE4-S_A"/>
    <x v="5"/>
    <x v="3"/>
    <s v="GNR_PV_SUN"/>
    <x v="0"/>
    <x v="2"/>
    <n v="439.20802308583097"/>
    <n v="160310.928426328"/>
    <n v="577119.34233478201"/>
  </r>
  <r>
    <x v="0"/>
    <x v="0"/>
    <x v="0"/>
    <x v="3"/>
    <x v="6"/>
    <s v="DE4-S_A"/>
    <x v="5"/>
    <x v="3"/>
    <s v="GNR_PV_SUN"/>
    <x v="0"/>
    <x v="9"/>
    <n v="3306.4480917435899"/>
    <n v="1206853.5534864101"/>
    <n v="4344672.7925510705"/>
  </r>
  <r>
    <x v="0"/>
    <x v="0"/>
    <x v="0"/>
    <x v="3"/>
    <x v="6"/>
    <s v="DE4-S_A"/>
    <x v="5"/>
    <x v="3"/>
    <s v="GNR_PV_SUN"/>
    <x v="0"/>
    <x v="10"/>
    <n v="7637.7149040207796"/>
    <n v="2787765.9399675801"/>
    <n v="10035957.383883299"/>
  </r>
  <r>
    <x v="0"/>
    <x v="0"/>
    <x v="0"/>
    <x v="3"/>
    <x v="6"/>
    <s v="DE4-S_A"/>
    <x v="5"/>
    <x v="3"/>
    <s v="GNR_PV_SUN"/>
    <x v="0"/>
    <x v="11"/>
    <n v="11631.1293908473"/>
    <n v="4245362.2276592804"/>
    <n v="15283304.0195734"/>
  </r>
  <r>
    <x v="0"/>
    <x v="0"/>
    <x v="0"/>
    <x v="3"/>
    <x v="6"/>
    <s v="DE4-S_A"/>
    <x v="5"/>
    <x v="3"/>
    <s v="GNR_PV_SUN"/>
    <x v="0"/>
    <x v="12"/>
    <n v="13223.540018137999"/>
    <n v="4826592.1066203704"/>
    <n v="17375731.5838333"/>
  </r>
  <r>
    <x v="0"/>
    <x v="0"/>
    <x v="0"/>
    <x v="3"/>
    <x v="6"/>
    <s v="DE4-S_A"/>
    <x v="5"/>
    <x v="3"/>
    <s v="GNR_PV_SUN"/>
    <x v="0"/>
    <x v="13"/>
    <n v="11498.240809503401"/>
    <n v="4196857.89546875"/>
    <n v="15108688.423687501"/>
  </r>
  <r>
    <x v="0"/>
    <x v="0"/>
    <x v="0"/>
    <x v="3"/>
    <x v="6"/>
    <s v="DE4-S_A"/>
    <x v="5"/>
    <x v="3"/>
    <s v="GNR_PV_SUN"/>
    <x v="0"/>
    <x v="14"/>
    <n v="7482.3028343134902"/>
    <n v="2731040.5345244198"/>
    <n v="9831745.9242879208"/>
  </r>
  <r>
    <x v="0"/>
    <x v="0"/>
    <x v="0"/>
    <x v="3"/>
    <x v="6"/>
    <s v="DE4-S_A"/>
    <x v="5"/>
    <x v="3"/>
    <s v="GNR_PV_SUN"/>
    <x v="0"/>
    <x v="15"/>
    <n v="3788.45074271983"/>
    <n v="1382784.5210927399"/>
    <n v="4978024.2759338599"/>
  </r>
  <r>
    <x v="0"/>
    <x v="0"/>
    <x v="0"/>
    <x v="3"/>
    <x v="6"/>
    <s v="DE4-S_A"/>
    <x v="5"/>
    <x v="3"/>
    <s v="GNR_PV_SUN"/>
    <x v="0"/>
    <x v="16"/>
    <n v="493.264395157933"/>
    <n v="180041.504232646"/>
    <n v="648149.41523752396"/>
  </r>
  <r>
    <x v="0"/>
    <x v="0"/>
    <x v="0"/>
    <x v="3"/>
    <x v="6"/>
    <s v="DE4-S_A"/>
    <x v="16"/>
    <x v="2"/>
    <s v="GNR_GEO_HEAT_EO"/>
    <x v="0"/>
    <x v="3"/>
    <n v="44.76"/>
    <n v="16337.4"/>
    <n v="58814.64"/>
  </r>
  <r>
    <x v="0"/>
    <x v="0"/>
    <x v="0"/>
    <x v="3"/>
    <x v="6"/>
    <s v="DE4-S_A"/>
    <x v="16"/>
    <x v="2"/>
    <s v="GNR_GEO_HEAT_EO"/>
    <x v="0"/>
    <x v="4"/>
    <n v="44.76"/>
    <n v="16337.4"/>
    <n v="58814.64"/>
  </r>
  <r>
    <x v="0"/>
    <x v="0"/>
    <x v="0"/>
    <x v="3"/>
    <x v="6"/>
    <s v="DE4-S_A"/>
    <x v="16"/>
    <x v="2"/>
    <s v="GNR_GEO_HEAT_EO"/>
    <x v="0"/>
    <x v="5"/>
    <n v="44.76"/>
    <n v="16337.4"/>
    <n v="58814.64"/>
  </r>
  <r>
    <x v="0"/>
    <x v="0"/>
    <x v="0"/>
    <x v="3"/>
    <x v="6"/>
    <s v="DE4-S_A"/>
    <x v="16"/>
    <x v="2"/>
    <s v="GNR_GEO_HEAT_EO"/>
    <x v="0"/>
    <x v="6"/>
    <n v="44.76"/>
    <n v="16337.4"/>
    <n v="58814.64"/>
  </r>
  <r>
    <x v="0"/>
    <x v="0"/>
    <x v="0"/>
    <x v="3"/>
    <x v="6"/>
    <s v="DE4-S_A"/>
    <x v="16"/>
    <x v="2"/>
    <s v="GNR_GEO_HEAT_EO"/>
    <x v="0"/>
    <x v="7"/>
    <n v="44.76"/>
    <n v="16337.4"/>
    <n v="58814.64"/>
  </r>
  <r>
    <x v="0"/>
    <x v="0"/>
    <x v="0"/>
    <x v="3"/>
    <x v="6"/>
    <s v="DE4-S_A"/>
    <x v="16"/>
    <x v="2"/>
    <s v="GNR_GEO_HEAT_EO"/>
    <x v="0"/>
    <x v="8"/>
    <n v="44.76"/>
    <n v="16337.4"/>
    <n v="58814.64"/>
  </r>
  <r>
    <x v="0"/>
    <x v="0"/>
    <x v="0"/>
    <x v="3"/>
    <x v="6"/>
    <s v="DE4-S_A"/>
    <x v="16"/>
    <x v="2"/>
    <s v="GNR_GEO_HEAT_EO"/>
    <x v="0"/>
    <x v="0"/>
    <n v="44.76"/>
    <n v="16337.4"/>
    <n v="58814.64"/>
  </r>
  <r>
    <x v="0"/>
    <x v="0"/>
    <x v="0"/>
    <x v="3"/>
    <x v="6"/>
    <s v="DE4-S_A"/>
    <x v="16"/>
    <x v="2"/>
    <s v="GNR_GEO_HEAT_EO"/>
    <x v="0"/>
    <x v="1"/>
    <n v="44.76"/>
    <n v="16337.4"/>
    <n v="58814.64"/>
  </r>
  <r>
    <x v="0"/>
    <x v="0"/>
    <x v="0"/>
    <x v="3"/>
    <x v="6"/>
    <s v="DE4-S_A"/>
    <x v="16"/>
    <x v="2"/>
    <s v="GNR_GEO_HEAT_EO"/>
    <x v="0"/>
    <x v="2"/>
    <n v="44.76"/>
    <n v="16337.4"/>
    <n v="58814.64"/>
  </r>
  <r>
    <x v="0"/>
    <x v="0"/>
    <x v="0"/>
    <x v="3"/>
    <x v="6"/>
    <s v="DE4-S_A"/>
    <x v="16"/>
    <x v="2"/>
    <s v="GNR_GEO_HEAT_EO"/>
    <x v="0"/>
    <x v="9"/>
    <n v="44.76"/>
    <n v="16337.4"/>
    <n v="58814.64"/>
  </r>
  <r>
    <x v="0"/>
    <x v="0"/>
    <x v="0"/>
    <x v="3"/>
    <x v="6"/>
    <s v="DE4-S_A"/>
    <x v="16"/>
    <x v="2"/>
    <s v="GNR_GEO_HEAT_EO"/>
    <x v="0"/>
    <x v="10"/>
    <n v="44.76"/>
    <n v="16337.4"/>
    <n v="58814.64"/>
  </r>
  <r>
    <x v="0"/>
    <x v="0"/>
    <x v="0"/>
    <x v="3"/>
    <x v="6"/>
    <s v="DE4-S_A"/>
    <x v="16"/>
    <x v="2"/>
    <s v="GNR_GEO_HEAT_EO"/>
    <x v="0"/>
    <x v="11"/>
    <n v="44.76"/>
    <n v="16337.4"/>
    <n v="58814.64"/>
  </r>
  <r>
    <x v="0"/>
    <x v="0"/>
    <x v="0"/>
    <x v="3"/>
    <x v="6"/>
    <s v="DE4-S_A"/>
    <x v="16"/>
    <x v="2"/>
    <s v="GNR_GEO_HEAT_EO"/>
    <x v="0"/>
    <x v="12"/>
    <n v="44.76"/>
    <n v="16337.4"/>
    <n v="58814.64"/>
  </r>
  <r>
    <x v="0"/>
    <x v="0"/>
    <x v="0"/>
    <x v="3"/>
    <x v="6"/>
    <s v="DE4-S_A"/>
    <x v="16"/>
    <x v="2"/>
    <s v="GNR_GEO_HEAT_EO"/>
    <x v="0"/>
    <x v="13"/>
    <n v="44.76"/>
    <n v="16337.4"/>
    <n v="58814.64"/>
  </r>
  <r>
    <x v="0"/>
    <x v="0"/>
    <x v="0"/>
    <x v="3"/>
    <x v="6"/>
    <s v="DE4-S_A"/>
    <x v="16"/>
    <x v="2"/>
    <s v="GNR_GEO_HEAT_EO"/>
    <x v="0"/>
    <x v="14"/>
    <n v="44.76"/>
    <n v="16337.4"/>
    <n v="58814.64"/>
  </r>
  <r>
    <x v="0"/>
    <x v="0"/>
    <x v="0"/>
    <x v="3"/>
    <x v="6"/>
    <s v="DE4-S_A"/>
    <x v="16"/>
    <x v="2"/>
    <s v="GNR_GEO_HEAT_EO"/>
    <x v="0"/>
    <x v="15"/>
    <n v="44.76"/>
    <n v="16337.4"/>
    <n v="58814.64"/>
  </r>
  <r>
    <x v="0"/>
    <x v="0"/>
    <x v="0"/>
    <x v="3"/>
    <x v="6"/>
    <s v="DE4-S_A"/>
    <x v="16"/>
    <x v="2"/>
    <s v="GNR_GEO_HEAT_EO"/>
    <x v="0"/>
    <x v="16"/>
    <n v="44.76"/>
    <n v="16337.4"/>
    <n v="58814.64"/>
  </r>
  <r>
    <x v="0"/>
    <x v="0"/>
    <x v="0"/>
    <x v="3"/>
    <x v="6"/>
    <s v="DE4-S_A"/>
    <x v="16"/>
    <x v="2"/>
    <s v="GNR_GEO_HEAT_EO"/>
    <x v="0"/>
    <x v="17"/>
    <n v="44.76"/>
    <n v="16337.4"/>
    <n v="58814.64"/>
  </r>
  <r>
    <x v="0"/>
    <x v="0"/>
    <x v="0"/>
    <x v="3"/>
    <x v="6"/>
    <s v="DE4-S_A"/>
    <x v="16"/>
    <x v="2"/>
    <s v="GNR_GEO_HEAT_EO"/>
    <x v="0"/>
    <x v="18"/>
    <n v="44.76"/>
    <n v="16337.4"/>
    <n v="58814.64"/>
  </r>
  <r>
    <x v="0"/>
    <x v="0"/>
    <x v="0"/>
    <x v="3"/>
    <x v="6"/>
    <s v="DE4-S_A"/>
    <x v="16"/>
    <x v="2"/>
    <s v="GNR_GEO_HEAT_EO"/>
    <x v="0"/>
    <x v="19"/>
    <n v="44.76"/>
    <n v="16337.4"/>
    <n v="58814.64"/>
  </r>
  <r>
    <x v="0"/>
    <x v="0"/>
    <x v="0"/>
    <x v="3"/>
    <x v="6"/>
    <s v="DE4-S_A"/>
    <x v="16"/>
    <x v="2"/>
    <s v="GNR_GEO_HEAT_EO"/>
    <x v="0"/>
    <x v="20"/>
    <n v="44.76"/>
    <n v="16337.4"/>
    <n v="58814.64"/>
  </r>
  <r>
    <x v="0"/>
    <x v="0"/>
    <x v="0"/>
    <x v="3"/>
    <x v="6"/>
    <s v="DE4-S_A"/>
    <x v="16"/>
    <x v="2"/>
    <s v="GNR_GEO_HEAT_EO"/>
    <x v="0"/>
    <x v="21"/>
    <n v="44.76"/>
    <n v="16337.4"/>
    <n v="58814.64"/>
  </r>
  <r>
    <x v="0"/>
    <x v="0"/>
    <x v="0"/>
    <x v="3"/>
    <x v="6"/>
    <s v="DE4-S_A"/>
    <x v="16"/>
    <x v="2"/>
    <s v="GNR_GEO_HEAT_EO"/>
    <x v="0"/>
    <x v="22"/>
    <n v="44.76"/>
    <n v="16337.4"/>
    <n v="58814.64"/>
  </r>
  <r>
    <x v="0"/>
    <x v="0"/>
    <x v="0"/>
    <x v="3"/>
    <x v="6"/>
    <s v="DE4-S_A"/>
    <x v="16"/>
    <x v="2"/>
    <s v="GNR_GEO_HEAT_EO"/>
    <x v="0"/>
    <x v="23"/>
    <n v="44.76"/>
    <n v="16337.4"/>
    <n v="58814.64"/>
  </r>
  <r>
    <x v="0"/>
    <x v="0"/>
    <x v="0"/>
    <x v="3"/>
    <x v="6"/>
    <s v="DE4-S_A"/>
    <x v="6"/>
    <x v="7"/>
    <s v="GNR_RES_WTR_NOPMP"/>
    <x v="0"/>
    <x v="0"/>
    <n v="124"/>
    <n v="45260"/>
    <n v="162936"/>
  </r>
  <r>
    <x v="0"/>
    <x v="0"/>
    <x v="0"/>
    <x v="3"/>
    <x v="6"/>
    <s v="DE4-S_A"/>
    <x v="6"/>
    <x v="7"/>
    <s v="GNR_RES_WTR_NOPMP"/>
    <x v="0"/>
    <x v="1"/>
    <n v="124"/>
    <n v="45260"/>
    <n v="162936"/>
  </r>
  <r>
    <x v="0"/>
    <x v="0"/>
    <x v="0"/>
    <x v="3"/>
    <x v="6"/>
    <s v="DE4-S_A"/>
    <x v="6"/>
    <x v="7"/>
    <s v="GNR_RES_WTR_NOPMP"/>
    <x v="0"/>
    <x v="2"/>
    <n v="124"/>
    <n v="45260"/>
    <n v="162936"/>
  </r>
  <r>
    <x v="0"/>
    <x v="0"/>
    <x v="0"/>
    <x v="3"/>
    <x v="6"/>
    <s v="DE4-S_A"/>
    <x v="6"/>
    <x v="7"/>
    <s v="GNR_RES_WTR_NOPMP"/>
    <x v="0"/>
    <x v="9"/>
    <n v="124"/>
    <n v="45260"/>
    <n v="162936"/>
  </r>
  <r>
    <x v="0"/>
    <x v="0"/>
    <x v="0"/>
    <x v="3"/>
    <x v="6"/>
    <s v="DE4-S_A"/>
    <x v="6"/>
    <x v="7"/>
    <s v="GNR_RES_WTR_NOPMP"/>
    <x v="0"/>
    <x v="10"/>
    <n v="124"/>
    <n v="45260"/>
    <n v="162936"/>
  </r>
  <r>
    <x v="0"/>
    <x v="0"/>
    <x v="0"/>
    <x v="3"/>
    <x v="6"/>
    <s v="DE4-S_A"/>
    <x v="6"/>
    <x v="7"/>
    <s v="GNR_RES_WTR_NOPMP"/>
    <x v="0"/>
    <x v="11"/>
    <n v="124"/>
    <n v="45260"/>
    <n v="162936"/>
  </r>
  <r>
    <x v="0"/>
    <x v="0"/>
    <x v="0"/>
    <x v="3"/>
    <x v="6"/>
    <s v="DE4-S_A"/>
    <x v="6"/>
    <x v="7"/>
    <s v="GNR_RES_WTR_NOPMP"/>
    <x v="0"/>
    <x v="12"/>
    <n v="25.432108074022501"/>
    <n v="9282.7194470182294"/>
    <n v="33417.790009265598"/>
  </r>
  <r>
    <x v="0"/>
    <x v="0"/>
    <x v="0"/>
    <x v="3"/>
    <x v="6"/>
    <s v="DE4-S_A"/>
    <x v="6"/>
    <x v="7"/>
    <s v="GNR_RES_WTR_NOPMP"/>
    <x v="0"/>
    <x v="13"/>
    <n v="124"/>
    <n v="45260"/>
    <n v="162936"/>
  </r>
  <r>
    <x v="0"/>
    <x v="0"/>
    <x v="0"/>
    <x v="3"/>
    <x v="6"/>
    <s v="DE4-S_A"/>
    <x v="6"/>
    <x v="7"/>
    <s v="GNR_RES_WTR_NOPMP"/>
    <x v="0"/>
    <x v="14"/>
    <n v="124"/>
    <n v="45260"/>
    <n v="162936"/>
  </r>
  <r>
    <x v="0"/>
    <x v="0"/>
    <x v="0"/>
    <x v="3"/>
    <x v="6"/>
    <s v="DE4-S_A"/>
    <x v="6"/>
    <x v="7"/>
    <s v="GNR_RES_WTR_NOPMP"/>
    <x v="0"/>
    <x v="15"/>
    <n v="124"/>
    <n v="45260"/>
    <n v="162936"/>
  </r>
  <r>
    <x v="0"/>
    <x v="0"/>
    <x v="0"/>
    <x v="3"/>
    <x v="6"/>
    <s v="DE4-S_A"/>
    <x v="6"/>
    <x v="7"/>
    <s v="GNR_RES_WTR_NOPMP"/>
    <x v="0"/>
    <x v="16"/>
    <n v="124"/>
    <n v="45260"/>
    <n v="162936"/>
  </r>
  <r>
    <x v="0"/>
    <x v="0"/>
    <x v="0"/>
    <x v="3"/>
    <x v="6"/>
    <s v="DE4-S_A"/>
    <x v="6"/>
    <x v="7"/>
    <s v="GNR_RES_WTR_NOPMP"/>
    <x v="0"/>
    <x v="17"/>
    <n v="124"/>
    <n v="45260"/>
    <n v="162936"/>
  </r>
  <r>
    <x v="0"/>
    <x v="0"/>
    <x v="0"/>
    <x v="3"/>
    <x v="6"/>
    <s v="DE4-S_A"/>
    <x v="6"/>
    <x v="7"/>
    <s v="GNR_RES_WTR_NOPMP"/>
    <x v="0"/>
    <x v="18"/>
    <n v="124"/>
    <n v="45260"/>
    <n v="162936"/>
  </r>
  <r>
    <x v="0"/>
    <x v="0"/>
    <x v="0"/>
    <x v="3"/>
    <x v="6"/>
    <s v="DE4-S_A"/>
    <x v="6"/>
    <x v="7"/>
    <s v="GNR_RES_WTR_NOPMP"/>
    <x v="0"/>
    <x v="19"/>
    <n v="124"/>
    <n v="45260"/>
    <n v="162936"/>
  </r>
  <r>
    <x v="0"/>
    <x v="0"/>
    <x v="0"/>
    <x v="3"/>
    <x v="6"/>
    <s v="DE4-S_A"/>
    <x v="6"/>
    <x v="4"/>
    <s v="GNR_ROR_WTR"/>
    <x v="0"/>
    <x v="3"/>
    <n v="4361.5442694063904"/>
    <n v="1591963.6583333299"/>
    <n v="5731069.1699999999"/>
  </r>
  <r>
    <x v="0"/>
    <x v="0"/>
    <x v="0"/>
    <x v="3"/>
    <x v="6"/>
    <s v="DE4-S_A"/>
    <x v="6"/>
    <x v="4"/>
    <s v="GNR_ROR_WTR"/>
    <x v="0"/>
    <x v="4"/>
    <n v="4361.5442694063904"/>
    <n v="1591963.6583333299"/>
    <n v="5731069.1699999999"/>
  </r>
  <r>
    <x v="0"/>
    <x v="0"/>
    <x v="0"/>
    <x v="3"/>
    <x v="6"/>
    <s v="DE4-S_A"/>
    <x v="6"/>
    <x v="4"/>
    <s v="GNR_ROR_WTR"/>
    <x v="0"/>
    <x v="5"/>
    <n v="4361.5442694063904"/>
    <n v="1591963.6583333299"/>
    <n v="5731069.1699999999"/>
  </r>
  <r>
    <x v="0"/>
    <x v="0"/>
    <x v="0"/>
    <x v="3"/>
    <x v="6"/>
    <s v="DE4-S_A"/>
    <x v="6"/>
    <x v="4"/>
    <s v="GNR_ROR_WTR"/>
    <x v="0"/>
    <x v="6"/>
    <n v="4361.5442694063904"/>
    <n v="1591963.6583333299"/>
    <n v="5731069.1699999999"/>
  </r>
  <r>
    <x v="0"/>
    <x v="0"/>
    <x v="0"/>
    <x v="3"/>
    <x v="6"/>
    <s v="DE4-S_A"/>
    <x v="6"/>
    <x v="4"/>
    <s v="GNR_ROR_WTR"/>
    <x v="0"/>
    <x v="7"/>
    <n v="4361.5442694063904"/>
    <n v="1591963.6583333299"/>
    <n v="5731069.1699999999"/>
  </r>
  <r>
    <x v="0"/>
    <x v="0"/>
    <x v="0"/>
    <x v="3"/>
    <x v="6"/>
    <s v="DE4-S_A"/>
    <x v="6"/>
    <x v="4"/>
    <s v="GNR_ROR_WTR"/>
    <x v="0"/>
    <x v="8"/>
    <n v="4361.5442694063904"/>
    <n v="1591963.6583333299"/>
    <n v="5731069.1699999999"/>
  </r>
  <r>
    <x v="0"/>
    <x v="0"/>
    <x v="0"/>
    <x v="3"/>
    <x v="6"/>
    <s v="DE4-S_A"/>
    <x v="6"/>
    <x v="4"/>
    <s v="GNR_ROR_WTR"/>
    <x v="0"/>
    <x v="0"/>
    <n v="4361.5442694063904"/>
    <n v="1591963.6583333299"/>
    <n v="5731069.1699999999"/>
  </r>
  <r>
    <x v="0"/>
    <x v="0"/>
    <x v="0"/>
    <x v="3"/>
    <x v="6"/>
    <s v="DE4-S_A"/>
    <x v="6"/>
    <x v="4"/>
    <s v="GNR_ROR_WTR"/>
    <x v="0"/>
    <x v="1"/>
    <n v="4361.5442694063904"/>
    <n v="1591963.6583333299"/>
    <n v="5731069.1699999999"/>
  </r>
  <r>
    <x v="0"/>
    <x v="0"/>
    <x v="0"/>
    <x v="3"/>
    <x v="6"/>
    <s v="DE4-S_A"/>
    <x v="6"/>
    <x v="4"/>
    <s v="GNR_ROR_WTR"/>
    <x v="0"/>
    <x v="2"/>
    <n v="4361.5442694063904"/>
    <n v="1591963.6583333299"/>
    <n v="5731069.1699999999"/>
  </r>
  <r>
    <x v="0"/>
    <x v="0"/>
    <x v="0"/>
    <x v="3"/>
    <x v="6"/>
    <s v="DE4-S_A"/>
    <x v="6"/>
    <x v="4"/>
    <s v="GNR_ROR_WTR"/>
    <x v="0"/>
    <x v="9"/>
    <n v="4361.5442694063904"/>
    <n v="1591963.6583333299"/>
    <n v="5731069.1699999999"/>
  </r>
  <r>
    <x v="0"/>
    <x v="0"/>
    <x v="0"/>
    <x v="3"/>
    <x v="6"/>
    <s v="DE4-S_A"/>
    <x v="6"/>
    <x v="4"/>
    <s v="GNR_ROR_WTR"/>
    <x v="0"/>
    <x v="10"/>
    <n v="4361.5442694063904"/>
    <n v="1591963.6583333299"/>
    <n v="5731069.1699999999"/>
  </r>
  <r>
    <x v="0"/>
    <x v="0"/>
    <x v="0"/>
    <x v="3"/>
    <x v="6"/>
    <s v="DE4-S_A"/>
    <x v="6"/>
    <x v="4"/>
    <s v="GNR_ROR_WTR"/>
    <x v="0"/>
    <x v="11"/>
    <n v="4361.5442694063904"/>
    <n v="1591963.6583333299"/>
    <n v="5731069.1699999999"/>
  </r>
  <r>
    <x v="0"/>
    <x v="0"/>
    <x v="0"/>
    <x v="3"/>
    <x v="6"/>
    <s v="DE4-S_A"/>
    <x v="6"/>
    <x v="4"/>
    <s v="GNR_ROR_WTR"/>
    <x v="0"/>
    <x v="12"/>
    <n v="4361.5442694063904"/>
    <n v="1591963.6583333299"/>
    <n v="5731069.1699999999"/>
  </r>
  <r>
    <x v="0"/>
    <x v="0"/>
    <x v="0"/>
    <x v="3"/>
    <x v="6"/>
    <s v="DE4-S_A"/>
    <x v="6"/>
    <x v="4"/>
    <s v="GNR_ROR_WTR"/>
    <x v="0"/>
    <x v="13"/>
    <n v="4361.5442694063904"/>
    <n v="1591963.6583333299"/>
    <n v="5731069.1699999999"/>
  </r>
  <r>
    <x v="0"/>
    <x v="0"/>
    <x v="0"/>
    <x v="3"/>
    <x v="6"/>
    <s v="DE4-S_A"/>
    <x v="6"/>
    <x v="4"/>
    <s v="GNR_ROR_WTR"/>
    <x v="0"/>
    <x v="14"/>
    <n v="4361.5442694063904"/>
    <n v="1591963.6583333299"/>
    <n v="5731069.1699999999"/>
  </r>
  <r>
    <x v="0"/>
    <x v="0"/>
    <x v="0"/>
    <x v="3"/>
    <x v="6"/>
    <s v="DE4-S_A"/>
    <x v="6"/>
    <x v="4"/>
    <s v="GNR_ROR_WTR"/>
    <x v="0"/>
    <x v="15"/>
    <n v="4361.5442694063904"/>
    <n v="1591963.6583333299"/>
    <n v="5731069.1699999999"/>
  </r>
  <r>
    <x v="0"/>
    <x v="0"/>
    <x v="0"/>
    <x v="3"/>
    <x v="6"/>
    <s v="DE4-S_A"/>
    <x v="6"/>
    <x v="4"/>
    <s v="GNR_ROR_WTR"/>
    <x v="0"/>
    <x v="16"/>
    <n v="4361.5442694063904"/>
    <n v="1591963.6583333299"/>
    <n v="5731069.1699999999"/>
  </r>
  <r>
    <x v="0"/>
    <x v="0"/>
    <x v="0"/>
    <x v="3"/>
    <x v="6"/>
    <s v="DE4-S_A"/>
    <x v="6"/>
    <x v="4"/>
    <s v="GNR_ROR_WTR"/>
    <x v="0"/>
    <x v="17"/>
    <n v="4361.5442694063904"/>
    <n v="1591963.6583333299"/>
    <n v="5731069.1699999999"/>
  </r>
  <r>
    <x v="0"/>
    <x v="0"/>
    <x v="0"/>
    <x v="3"/>
    <x v="6"/>
    <s v="DE4-S_A"/>
    <x v="6"/>
    <x v="4"/>
    <s v="GNR_ROR_WTR"/>
    <x v="0"/>
    <x v="18"/>
    <n v="4361.5442694063904"/>
    <n v="1591963.6583333299"/>
    <n v="5731069.1699999999"/>
  </r>
  <r>
    <x v="0"/>
    <x v="0"/>
    <x v="0"/>
    <x v="3"/>
    <x v="6"/>
    <s v="DE4-S_A"/>
    <x v="6"/>
    <x v="4"/>
    <s v="GNR_ROR_WTR"/>
    <x v="0"/>
    <x v="19"/>
    <n v="4361.5442694063904"/>
    <n v="1591963.6583333299"/>
    <n v="5731069.1699999999"/>
  </r>
  <r>
    <x v="0"/>
    <x v="0"/>
    <x v="0"/>
    <x v="3"/>
    <x v="6"/>
    <s v="DE4-S_A"/>
    <x v="6"/>
    <x v="4"/>
    <s v="GNR_ROR_WTR"/>
    <x v="0"/>
    <x v="20"/>
    <n v="4361.5442694063904"/>
    <n v="1591963.6583333299"/>
    <n v="5731069.1699999999"/>
  </r>
  <r>
    <x v="0"/>
    <x v="0"/>
    <x v="0"/>
    <x v="3"/>
    <x v="6"/>
    <s v="DE4-S_A"/>
    <x v="6"/>
    <x v="4"/>
    <s v="GNR_ROR_WTR"/>
    <x v="0"/>
    <x v="21"/>
    <n v="4361.5442694063904"/>
    <n v="1591963.6583333299"/>
    <n v="5731069.1699999999"/>
  </r>
  <r>
    <x v="0"/>
    <x v="0"/>
    <x v="0"/>
    <x v="3"/>
    <x v="6"/>
    <s v="DE4-S_A"/>
    <x v="6"/>
    <x v="4"/>
    <s v="GNR_ROR_WTR"/>
    <x v="0"/>
    <x v="22"/>
    <n v="4361.5442694063904"/>
    <n v="1591963.6583333299"/>
    <n v="5731069.1699999999"/>
  </r>
  <r>
    <x v="0"/>
    <x v="0"/>
    <x v="0"/>
    <x v="3"/>
    <x v="6"/>
    <s v="DE4-S_A"/>
    <x v="6"/>
    <x v="4"/>
    <s v="GNR_ROR_WTR"/>
    <x v="0"/>
    <x v="23"/>
    <n v="4361.5442694063904"/>
    <n v="1591963.6583333299"/>
    <n v="5731069.1699999999"/>
  </r>
  <r>
    <x v="0"/>
    <x v="0"/>
    <x v="0"/>
    <x v="3"/>
    <x v="6"/>
    <s v="DE4-S_A"/>
    <x v="7"/>
    <x v="5"/>
    <s v="GNR_WT_WIND_ONS"/>
    <x v="0"/>
    <x v="3"/>
    <n v="1017.02860886909"/>
    <n v="371215.44223721803"/>
    <n v="1336375.5920539801"/>
  </r>
  <r>
    <x v="0"/>
    <x v="0"/>
    <x v="0"/>
    <x v="3"/>
    <x v="6"/>
    <s v="DE4-S_A"/>
    <x v="7"/>
    <x v="5"/>
    <s v="GNR_WT_WIND_ONS"/>
    <x v="0"/>
    <x v="4"/>
    <n v="984.06840839532595"/>
    <n v="359184.96906429401"/>
    <n v="1293065.88863146"/>
  </r>
  <r>
    <x v="0"/>
    <x v="0"/>
    <x v="0"/>
    <x v="3"/>
    <x v="6"/>
    <s v="DE4-S_A"/>
    <x v="7"/>
    <x v="5"/>
    <s v="GNR_WT_WIND_ONS"/>
    <x v="0"/>
    <x v="5"/>
    <n v="955.98117390536299"/>
    <n v="348933.12847545801"/>
    <n v="1256159.2625116501"/>
  </r>
  <r>
    <x v="0"/>
    <x v="0"/>
    <x v="0"/>
    <x v="3"/>
    <x v="6"/>
    <s v="DE4-S_A"/>
    <x v="7"/>
    <x v="5"/>
    <s v="GNR_WT_WIND_ONS"/>
    <x v="0"/>
    <x v="6"/>
    <n v="907.79295473222203"/>
    <n v="331344.42847726098"/>
    <n v="1192839.94251814"/>
  </r>
  <r>
    <x v="0"/>
    <x v="0"/>
    <x v="0"/>
    <x v="3"/>
    <x v="6"/>
    <s v="DE4-S_A"/>
    <x v="7"/>
    <x v="5"/>
    <s v="GNR_WT_WIND_ONS"/>
    <x v="0"/>
    <x v="7"/>
    <n v="826.91525541775104"/>
    <n v="301824.068227479"/>
    <n v="1086566.64561892"/>
  </r>
  <r>
    <x v="0"/>
    <x v="0"/>
    <x v="0"/>
    <x v="3"/>
    <x v="6"/>
    <s v="DE4-S_A"/>
    <x v="7"/>
    <x v="5"/>
    <s v="GNR_WT_WIND_ONS"/>
    <x v="0"/>
    <x v="8"/>
    <n v="754.56524657493105"/>
    <n v="275416.31499985"/>
    <n v="991498.73399945896"/>
  </r>
  <r>
    <x v="0"/>
    <x v="0"/>
    <x v="0"/>
    <x v="3"/>
    <x v="6"/>
    <s v="DE4-S_A"/>
    <x v="7"/>
    <x v="5"/>
    <s v="GNR_WT_WIND_ONS"/>
    <x v="0"/>
    <x v="0"/>
    <n v="621.97996376568403"/>
    <n v="227022.68677447501"/>
    <n v="817281.67238810903"/>
  </r>
  <r>
    <x v="0"/>
    <x v="0"/>
    <x v="0"/>
    <x v="3"/>
    <x v="6"/>
    <s v="DE4-S_A"/>
    <x v="7"/>
    <x v="5"/>
    <s v="GNR_WT_WIND_ONS"/>
    <x v="0"/>
    <x v="1"/>
    <n v="601.47289858385602"/>
    <n v="219537.60798310701"/>
    <n v="790335.38873918704"/>
  </r>
  <r>
    <x v="0"/>
    <x v="0"/>
    <x v="0"/>
    <x v="3"/>
    <x v="6"/>
    <s v="DE4-S_A"/>
    <x v="7"/>
    <x v="5"/>
    <s v="GNR_WT_WIND_ONS"/>
    <x v="0"/>
    <x v="2"/>
    <n v="646.615514017122"/>
    <n v="236014.662616249"/>
    <n v="849652.78541849798"/>
  </r>
  <r>
    <x v="0"/>
    <x v="0"/>
    <x v="0"/>
    <x v="3"/>
    <x v="6"/>
    <s v="DE4-S_A"/>
    <x v="7"/>
    <x v="5"/>
    <s v="GNR_WT_WIND_ONS"/>
    <x v="0"/>
    <x v="9"/>
    <n v="697.44325643148795"/>
    <n v="254566.788597493"/>
    <n v="916440.43895097601"/>
  </r>
  <r>
    <x v="0"/>
    <x v="0"/>
    <x v="0"/>
    <x v="3"/>
    <x v="6"/>
    <s v="DE4-S_A"/>
    <x v="7"/>
    <x v="5"/>
    <s v="GNR_WT_WIND_ONS"/>
    <x v="0"/>
    <x v="10"/>
    <n v="804.71618815821398"/>
    <n v="293721.408677748"/>
    <n v="1057397.0712398901"/>
  </r>
  <r>
    <x v="0"/>
    <x v="0"/>
    <x v="0"/>
    <x v="3"/>
    <x v="6"/>
    <s v="DE4-S_A"/>
    <x v="7"/>
    <x v="5"/>
    <s v="GNR_WT_WIND_ONS"/>
    <x v="0"/>
    <x v="11"/>
    <n v="886.47372855309402"/>
    <n v="323562.910921879"/>
    <n v="1164826.4793187701"/>
  </r>
  <r>
    <x v="0"/>
    <x v="0"/>
    <x v="0"/>
    <x v="3"/>
    <x v="6"/>
    <s v="DE4-S_A"/>
    <x v="7"/>
    <x v="5"/>
    <s v="GNR_WT_WIND_ONS"/>
    <x v="0"/>
    <x v="12"/>
    <n v="1090.8675795402901"/>
    <n v="398166.66653220699"/>
    <n v="1433399.99951595"/>
  </r>
  <r>
    <x v="0"/>
    <x v="0"/>
    <x v="0"/>
    <x v="3"/>
    <x v="6"/>
    <s v="DE4-S_A"/>
    <x v="7"/>
    <x v="5"/>
    <s v="GNR_WT_WIND_ONS"/>
    <x v="0"/>
    <x v="13"/>
    <n v="1274.7543653456701"/>
    <n v="465285.34335116798"/>
    <n v="1675027.2360642001"/>
  </r>
  <r>
    <x v="0"/>
    <x v="0"/>
    <x v="0"/>
    <x v="3"/>
    <x v="6"/>
    <s v="DE4-S_A"/>
    <x v="7"/>
    <x v="5"/>
    <s v="GNR_WT_WIND_ONS"/>
    <x v="0"/>
    <x v="14"/>
    <n v="1484.2919026490999"/>
    <n v="541766.54446692101"/>
    <n v="1950359.5600809201"/>
  </r>
  <r>
    <x v="0"/>
    <x v="0"/>
    <x v="0"/>
    <x v="3"/>
    <x v="6"/>
    <s v="DE4-S_A"/>
    <x v="7"/>
    <x v="5"/>
    <s v="GNR_WT_WIND_ONS"/>
    <x v="0"/>
    <x v="15"/>
    <n v="1691.1222366282"/>
    <n v="617259.61636929295"/>
    <n v="2222134.6189294499"/>
  </r>
  <r>
    <x v="0"/>
    <x v="0"/>
    <x v="0"/>
    <x v="3"/>
    <x v="6"/>
    <s v="DE4-S_A"/>
    <x v="7"/>
    <x v="5"/>
    <s v="GNR_WT_WIND_ONS"/>
    <x v="0"/>
    <x v="16"/>
    <n v="1967.2569757102401"/>
    <n v="718048.79613423895"/>
    <n v="2584975.66608326"/>
  </r>
  <r>
    <x v="0"/>
    <x v="0"/>
    <x v="0"/>
    <x v="3"/>
    <x v="6"/>
    <s v="DE4-S_A"/>
    <x v="7"/>
    <x v="5"/>
    <s v="GNR_WT_WIND_ONS"/>
    <x v="0"/>
    <x v="17"/>
    <n v="2219.5006454550398"/>
    <n v="810117.73559109098"/>
    <n v="2916423.84812793"/>
  </r>
  <r>
    <x v="0"/>
    <x v="0"/>
    <x v="0"/>
    <x v="3"/>
    <x v="6"/>
    <s v="DE4-S_A"/>
    <x v="7"/>
    <x v="5"/>
    <s v="GNR_WT_WIND_ONS"/>
    <x v="0"/>
    <x v="18"/>
    <n v="2489.8148973897701"/>
    <n v="908782.43754726602"/>
    <n v="3271616.77517016"/>
  </r>
  <r>
    <x v="0"/>
    <x v="0"/>
    <x v="0"/>
    <x v="3"/>
    <x v="6"/>
    <s v="DE4-S_A"/>
    <x v="7"/>
    <x v="5"/>
    <s v="GNR_WT_WIND_ONS"/>
    <x v="0"/>
    <x v="19"/>
    <n v="2761.48275098666"/>
    <n v="1007941.20411013"/>
    <n v="3628588.3347964799"/>
  </r>
  <r>
    <x v="0"/>
    <x v="0"/>
    <x v="0"/>
    <x v="3"/>
    <x v="6"/>
    <s v="DE4-S_A"/>
    <x v="7"/>
    <x v="5"/>
    <s v="GNR_WT_WIND_ONS"/>
    <x v="0"/>
    <x v="20"/>
    <n v="2993.49007588207"/>
    <n v="1092623.87769696"/>
    <n v="3933445.9597090399"/>
  </r>
  <r>
    <x v="0"/>
    <x v="0"/>
    <x v="0"/>
    <x v="3"/>
    <x v="6"/>
    <s v="DE4-S_A"/>
    <x v="7"/>
    <x v="5"/>
    <s v="GNR_WT_WIND_ONS"/>
    <x v="0"/>
    <x v="21"/>
    <n v="3248.7116692836398"/>
    <n v="1185779.7592885301"/>
    <n v="4268807.1334386999"/>
  </r>
  <r>
    <x v="0"/>
    <x v="0"/>
    <x v="0"/>
    <x v="3"/>
    <x v="6"/>
    <s v="DE4-S_A"/>
    <x v="7"/>
    <x v="5"/>
    <s v="GNR_WT_WIND_ONS"/>
    <x v="0"/>
    <x v="22"/>
    <n v="3570.8011847962498"/>
    <n v="1303342.43245063"/>
    <n v="4692032.7568222703"/>
  </r>
  <r>
    <x v="0"/>
    <x v="0"/>
    <x v="0"/>
    <x v="3"/>
    <x v="6"/>
    <s v="DE4-S_A"/>
    <x v="7"/>
    <x v="5"/>
    <s v="GNR_WT_WIND_ONS"/>
    <x v="0"/>
    <x v="23"/>
    <n v="3780.8801627645498"/>
    <n v="1380021.25940906"/>
    <n v="4968076.53387261"/>
  </r>
  <r>
    <x v="0"/>
    <x v="0"/>
    <x v="0"/>
    <x v="3"/>
    <x v="7"/>
    <s v="DE4-W_A"/>
    <x v="9"/>
    <x v="1"/>
    <s v="GNR_ENG_BGAS_BP_E-45"/>
    <x v="0"/>
    <x v="1"/>
    <n v="17.59"/>
    <n v="6420.35"/>
    <n v="23113.26"/>
  </r>
  <r>
    <x v="0"/>
    <x v="0"/>
    <x v="0"/>
    <x v="3"/>
    <x v="7"/>
    <s v="DE4-W_A"/>
    <x v="9"/>
    <x v="1"/>
    <s v="GNR_ENG_BGAS_BP_E-45"/>
    <x v="0"/>
    <x v="2"/>
    <n v="17.59"/>
    <n v="6420.35"/>
    <n v="23113.26"/>
  </r>
  <r>
    <x v="0"/>
    <x v="0"/>
    <x v="0"/>
    <x v="3"/>
    <x v="7"/>
    <s v="DE4-W_A"/>
    <x v="9"/>
    <x v="1"/>
    <s v="GNR_ENG_BGAS_BP_E-45"/>
    <x v="0"/>
    <x v="9"/>
    <n v="17.59"/>
    <n v="6420.35"/>
    <n v="23113.26"/>
  </r>
  <r>
    <x v="0"/>
    <x v="0"/>
    <x v="0"/>
    <x v="3"/>
    <x v="7"/>
    <s v="DE4-W_A"/>
    <x v="9"/>
    <x v="2"/>
    <s v="GNR_ENG_BGAS_CND_E-44"/>
    <x v="0"/>
    <x v="0"/>
    <n v="912.63801990667798"/>
    <n v="333112.87726593699"/>
    <n v="1199206.35815737"/>
  </r>
  <r>
    <x v="0"/>
    <x v="0"/>
    <x v="0"/>
    <x v="3"/>
    <x v="7"/>
    <s v="DE4-W_A"/>
    <x v="9"/>
    <x v="2"/>
    <s v="GNR_ENG_BGAS_CND_E-44"/>
    <x v="0"/>
    <x v="1"/>
    <n v="2541.5"/>
    <n v="927647.5"/>
    <n v="3339531"/>
  </r>
  <r>
    <x v="0"/>
    <x v="0"/>
    <x v="0"/>
    <x v="3"/>
    <x v="7"/>
    <s v="DE4-W_A"/>
    <x v="9"/>
    <x v="2"/>
    <s v="GNR_ENG_BGAS_CND_E-44"/>
    <x v="0"/>
    <x v="2"/>
    <n v="2541.5"/>
    <n v="927647.5"/>
    <n v="3339531"/>
  </r>
  <r>
    <x v="0"/>
    <x v="0"/>
    <x v="0"/>
    <x v="3"/>
    <x v="7"/>
    <s v="DE4-W_A"/>
    <x v="9"/>
    <x v="2"/>
    <s v="GNR_ENG_BGAS_CND_E-44"/>
    <x v="0"/>
    <x v="9"/>
    <n v="2541.5"/>
    <n v="927647.5"/>
    <n v="3339531"/>
  </r>
  <r>
    <x v="0"/>
    <x v="0"/>
    <x v="0"/>
    <x v="3"/>
    <x v="7"/>
    <s v="DE4-W_A"/>
    <x v="9"/>
    <x v="2"/>
    <s v="GNR_ENG_BGAS_CND_E-44"/>
    <x v="0"/>
    <x v="10"/>
    <n v="1210.0619434658299"/>
    <n v="441672.60936502699"/>
    <n v="1590021.3937140999"/>
  </r>
  <r>
    <x v="0"/>
    <x v="0"/>
    <x v="0"/>
    <x v="3"/>
    <x v="7"/>
    <s v="DE4-W_A"/>
    <x v="9"/>
    <x v="2"/>
    <s v="GNR_ENG_BGAS_CND_E-44"/>
    <x v="0"/>
    <x v="15"/>
    <n v="1344.0423506547399"/>
    <n v="490575.45798898098"/>
    <n v="1766071.6487603299"/>
  </r>
  <r>
    <x v="0"/>
    <x v="0"/>
    <x v="0"/>
    <x v="3"/>
    <x v="7"/>
    <s v="DE4-W_A"/>
    <x v="9"/>
    <x v="2"/>
    <s v="GNR_ENG_BGAS_CND_E-44"/>
    <x v="0"/>
    <x v="16"/>
    <n v="2541.5"/>
    <n v="927647.5"/>
    <n v="3339531"/>
  </r>
  <r>
    <x v="0"/>
    <x v="0"/>
    <x v="0"/>
    <x v="3"/>
    <x v="7"/>
    <s v="DE4-W_A"/>
    <x v="9"/>
    <x v="2"/>
    <s v="GNR_ENG_BGAS_CND_E-44"/>
    <x v="0"/>
    <x v="17"/>
    <n v="2541.5"/>
    <n v="927647.5"/>
    <n v="3339531"/>
  </r>
  <r>
    <x v="0"/>
    <x v="0"/>
    <x v="0"/>
    <x v="3"/>
    <x v="7"/>
    <s v="DE4-W_A"/>
    <x v="9"/>
    <x v="2"/>
    <s v="GNR_ENG_BGAS_CND_E-44"/>
    <x v="0"/>
    <x v="18"/>
    <n v="1387.1529968495299"/>
    <n v="506310.84385007998"/>
    <n v="1822719.0378602899"/>
  </r>
  <r>
    <x v="0"/>
    <x v="0"/>
    <x v="0"/>
    <x v="3"/>
    <x v="7"/>
    <s v="DE4-W_A"/>
    <x v="9"/>
    <x v="1"/>
    <s v="GNR_ST_BGAS_BP_E-38"/>
    <x v="0"/>
    <x v="1"/>
    <n v="134.30000000000001"/>
    <n v="49019.5"/>
    <n v="176470.2"/>
  </r>
  <r>
    <x v="0"/>
    <x v="0"/>
    <x v="0"/>
    <x v="3"/>
    <x v="7"/>
    <s v="DE4-W_A"/>
    <x v="9"/>
    <x v="1"/>
    <s v="GNR_ST_BGAS_BP_E-38"/>
    <x v="0"/>
    <x v="2"/>
    <n v="134.30000000000001"/>
    <n v="49019.5"/>
    <n v="176470.2"/>
  </r>
  <r>
    <x v="0"/>
    <x v="0"/>
    <x v="0"/>
    <x v="3"/>
    <x v="7"/>
    <s v="DE4-W_A"/>
    <x v="9"/>
    <x v="2"/>
    <s v="GNR_ST_BGAS_CND_E-38"/>
    <x v="0"/>
    <x v="1"/>
    <n v="94.5"/>
    <n v="34492.5"/>
    <n v="124173"/>
  </r>
  <r>
    <x v="0"/>
    <x v="0"/>
    <x v="0"/>
    <x v="3"/>
    <x v="7"/>
    <s v="DE4-W_A"/>
    <x v="9"/>
    <x v="2"/>
    <s v="GNR_ST_BGAS_CND_E-38"/>
    <x v="0"/>
    <x v="2"/>
    <n v="94.5"/>
    <n v="34492.5"/>
    <n v="124173"/>
  </r>
  <r>
    <x v="0"/>
    <x v="0"/>
    <x v="0"/>
    <x v="3"/>
    <x v="7"/>
    <s v="DE4-W_A"/>
    <x v="9"/>
    <x v="2"/>
    <s v="GNR_ST_BGAS_CND_E-38"/>
    <x v="0"/>
    <x v="9"/>
    <n v="94.5"/>
    <n v="34492.5"/>
    <n v="124173"/>
  </r>
  <r>
    <x v="0"/>
    <x v="0"/>
    <x v="0"/>
    <x v="3"/>
    <x v="7"/>
    <s v="DE4-W_A"/>
    <x v="14"/>
    <x v="8"/>
    <s v="AGG-DE4-W_ES_ELEC"/>
    <x v="0"/>
    <x v="0"/>
    <n v="0.3"/>
    <n v="109.5"/>
    <n v="394.2"/>
  </r>
  <r>
    <x v="0"/>
    <x v="0"/>
    <x v="0"/>
    <x v="3"/>
    <x v="7"/>
    <s v="DE4-W_A"/>
    <x v="14"/>
    <x v="8"/>
    <s v="AGG-DE4-W_ES_ELEC"/>
    <x v="0"/>
    <x v="1"/>
    <n v="0.3"/>
    <n v="109.5"/>
    <n v="394.2"/>
  </r>
  <r>
    <x v="0"/>
    <x v="0"/>
    <x v="0"/>
    <x v="3"/>
    <x v="7"/>
    <s v="DE4-W_A"/>
    <x v="14"/>
    <x v="8"/>
    <s v="AGG-DE4-W_ES_ELEC"/>
    <x v="0"/>
    <x v="2"/>
    <n v="0.3"/>
    <n v="109.5"/>
    <n v="394.2"/>
  </r>
  <r>
    <x v="0"/>
    <x v="0"/>
    <x v="0"/>
    <x v="3"/>
    <x v="7"/>
    <s v="DE4-W_A"/>
    <x v="14"/>
    <x v="8"/>
    <s v="AGG-DE4-W_ES_ELEC"/>
    <x v="0"/>
    <x v="9"/>
    <n v="0.3"/>
    <n v="109.5"/>
    <n v="394.2"/>
  </r>
  <r>
    <x v="0"/>
    <x v="0"/>
    <x v="0"/>
    <x v="3"/>
    <x v="7"/>
    <s v="DE4-W_A"/>
    <x v="14"/>
    <x v="8"/>
    <s v="AGG-DE4-W_ES_ELEC"/>
    <x v="0"/>
    <x v="10"/>
    <n v="0.3"/>
    <n v="109.5"/>
    <n v="394.2"/>
  </r>
  <r>
    <x v="0"/>
    <x v="0"/>
    <x v="0"/>
    <x v="3"/>
    <x v="7"/>
    <s v="DE4-W_A"/>
    <x v="14"/>
    <x v="8"/>
    <s v="AGG-DE4-W_ES_ELEC"/>
    <x v="0"/>
    <x v="15"/>
    <n v="0.3"/>
    <n v="109.5"/>
    <n v="394.2"/>
  </r>
  <r>
    <x v="0"/>
    <x v="0"/>
    <x v="0"/>
    <x v="3"/>
    <x v="7"/>
    <s v="DE4-W_A"/>
    <x v="14"/>
    <x v="8"/>
    <s v="AGG-DE4-W_ES_ELEC"/>
    <x v="0"/>
    <x v="16"/>
    <n v="0.3"/>
    <n v="109.5"/>
    <n v="394.2"/>
  </r>
  <r>
    <x v="0"/>
    <x v="0"/>
    <x v="0"/>
    <x v="3"/>
    <x v="7"/>
    <s v="DE4-W_A"/>
    <x v="14"/>
    <x v="8"/>
    <s v="AGG-DE4-W_ES_ELEC"/>
    <x v="0"/>
    <x v="17"/>
    <n v="0.3"/>
    <n v="109.5"/>
    <n v="394.2"/>
  </r>
  <r>
    <x v="0"/>
    <x v="0"/>
    <x v="0"/>
    <x v="3"/>
    <x v="7"/>
    <s v="DE4-W_A"/>
    <x v="14"/>
    <x v="8"/>
    <s v="AGG-DE4-W_ES_ELEC"/>
    <x v="0"/>
    <x v="18"/>
    <n v="0.3"/>
    <n v="109.5"/>
    <n v="394.2"/>
  </r>
  <r>
    <x v="0"/>
    <x v="0"/>
    <x v="0"/>
    <x v="3"/>
    <x v="7"/>
    <s v="DE4-W_A"/>
    <x v="14"/>
    <x v="9"/>
    <s v="AGG-DE4-W_RES_WTR_PMP"/>
    <x v="0"/>
    <x v="4"/>
    <n v="882.86549938460598"/>
    <n v="322245.90727538097"/>
    <n v="1160085.2661913701"/>
  </r>
  <r>
    <x v="0"/>
    <x v="0"/>
    <x v="0"/>
    <x v="3"/>
    <x v="7"/>
    <s v="DE4-W_A"/>
    <x v="14"/>
    <x v="9"/>
    <s v="AGG-DE4-W_RES_WTR_PMP"/>
    <x v="0"/>
    <x v="5"/>
    <n v="423.26052801265399"/>
    <n v="154490.092724619"/>
    <n v="556164.33380862803"/>
  </r>
  <r>
    <x v="0"/>
    <x v="0"/>
    <x v="0"/>
    <x v="3"/>
    <x v="7"/>
    <s v="DE4-W_A"/>
    <x v="14"/>
    <x v="9"/>
    <s v="AGG-DE4-W_RES_WTR_PMP"/>
    <x v="0"/>
    <x v="1"/>
    <n v="160.12602739726"/>
    <n v="58445.999999999898"/>
    <n v="210405.6"/>
  </r>
  <r>
    <x v="0"/>
    <x v="0"/>
    <x v="0"/>
    <x v="3"/>
    <x v="7"/>
    <s v="DE4-W_A"/>
    <x v="14"/>
    <x v="9"/>
    <s v="AGG-DE4-W_RES_WTR_PMP"/>
    <x v="0"/>
    <x v="2"/>
    <n v="1146"/>
    <n v="418290"/>
    <n v="1505844"/>
  </r>
  <r>
    <x v="0"/>
    <x v="0"/>
    <x v="0"/>
    <x v="3"/>
    <x v="7"/>
    <s v="DE4-W_A"/>
    <x v="14"/>
    <x v="9"/>
    <s v="AGG-DE4-W_RES_WTR_PMP"/>
    <x v="0"/>
    <x v="17"/>
    <n v="160.12602739726"/>
    <n v="58445.999999999898"/>
    <n v="210405.6"/>
  </r>
  <r>
    <x v="0"/>
    <x v="0"/>
    <x v="0"/>
    <x v="3"/>
    <x v="7"/>
    <s v="DE4-W_A"/>
    <x v="14"/>
    <x v="9"/>
    <s v="AGG-DE4-W_RES_WTR_PMP"/>
    <x v="0"/>
    <x v="18"/>
    <n v="1146"/>
    <n v="418290"/>
    <n v="1505844"/>
  </r>
  <r>
    <x v="0"/>
    <x v="0"/>
    <x v="0"/>
    <x v="3"/>
    <x v="7"/>
    <s v="DE4-W_A"/>
    <x v="14"/>
    <x v="8"/>
    <s v="GNR_ES_ELEC_BAT-LITHIO_E-95_Y-16-29"/>
    <x v="0"/>
    <x v="0"/>
    <n v="615.74020674740598"/>
    <n v="224745.17546280299"/>
    <n v="809082.63166609197"/>
  </r>
  <r>
    <x v="0"/>
    <x v="0"/>
    <x v="0"/>
    <x v="3"/>
    <x v="7"/>
    <s v="DE4-W_A"/>
    <x v="14"/>
    <x v="8"/>
    <s v="GNR_ES_ELEC_BAT-LITHIO_E-95_Y-16-29"/>
    <x v="0"/>
    <x v="1"/>
    <n v="615.74020674740598"/>
    <n v="224745.17546280299"/>
    <n v="809082.63166609197"/>
  </r>
  <r>
    <x v="0"/>
    <x v="0"/>
    <x v="0"/>
    <x v="3"/>
    <x v="7"/>
    <s v="DE4-W_A"/>
    <x v="14"/>
    <x v="8"/>
    <s v="GNR_ES_ELEC_BAT-LITHIO_E-95_Y-16-29"/>
    <x v="0"/>
    <x v="2"/>
    <n v="615.74020674740598"/>
    <n v="224745.17546280299"/>
    <n v="809082.63166609197"/>
  </r>
  <r>
    <x v="0"/>
    <x v="0"/>
    <x v="0"/>
    <x v="3"/>
    <x v="7"/>
    <s v="DE4-W_A"/>
    <x v="14"/>
    <x v="8"/>
    <s v="GNR_ES_ELEC_BAT-LITHIO_E-95_Y-16-29"/>
    <x v="0"/>
    <x v="9"/>
    <n v="615.74020674740598"/>
    <n v="224745.17546280299"/>
    <n v="809082.63166609197"/>
  </r>
  <r>
    <x v="0"/>
    <x v="0"/>
    <x v="0"/>
    <x v="3"/>
    <x v="7"/>
    <s v="DE4-W_A"/>
    <x v="14"/>
    <x v="8"/>
    <s v="GNR_ES_ELEC_BAT-LITHIO_E-95_Y-16-29"/>
    <x v="0"/>
    <x v="10"/>
    <n v="615.74020674740598"/>
    <n v="224745.17546280299"/>
    <n v="809082.63166609197"/>
  </r>
  <r>
    <x v="0"/>
    <x v="0"/>
    <x v="0"/>
    <x v="3"/>
    <x v="7"/>
    <s v="DE4-W_A"/>
    <x v="14"/>
    <x v="8"/>
    <s v="GNR_ES_ELEC_BAT-LITHIO_E-95_Y-16-29"/>
    <x v="0"/>
    <x v="15"/>
    <n v="615.74020674740598"/>
    <n v="224745.17546280299"/>
    <n v="809082.63166609197"/>
  </r>
  <r>
    <x v="0"/>
    <x v="0"/>
    <x v="0"/>
    <x v="3"/>
    <x v="7"/>
    <s v="DE4-W_A"/>
    <x v="14"/>
    <x v="8"/>
    <s v="GNR_ES_ELEC_BAT-LITHIO_E-95_Y-16-29"/>
    <x v="0"/>
    <x v="16"/>
    <n v="615.74020674740598"/>
    <n v="224745.17546280299"/>
    <n v="809082.63166609197"/>
  </r>
  <r>
    <x v="0"/>
    <x v="0"/>
    <x v="0"/>
    <x v="3"/>
    <x v="7"/>
    <s v="DE4-W_A"/>
    <x v="14"/>
    <x v="8"/>
    <s v="GNR_ES_ELEC_BAT-LITHIO_E-95_Y-16-29"/>
    <x v="0"/>
    <x v="17"/>
    <n v="615.74020674740598"/>
    <n v="224745.17546280299"/>
    <n v="809082.63166609197"/>
  </r>
  <r>
    <x v="0"/>
    <x v="0"/>
    <x v="0"/>
    <x v="3"/>
    <x v="7"/>
    <s v="DE4-W_A"/>
    <x v="14"/>
    <x v="8"/>
    <s v="GNR_ES_ELEC_BAT-LITHIO_E-95_Y-16-29"/>
    <x v="0"/>
    <x v="18"/>
    <n v="615.74020674740598"/>
    <n v="224745.17546280299"/>
    <n v="809082.63166609197"/>
  </r>
  <r>
    <x v="0"/>
    <x v="0"/>
    <x v="0"/>
    <x v="3"/>
    <x v="7"/>
    <s v="DE4-W_A"/>
    <x v="1"/>
    <x v="1"/>
    <s v="GNR_ST_MSW_BP_E-33"/>
    <x v="0"/>
    <x v="0"/>
    <n v="579.1"/>
    <n v="211371.5"/>
    <n v="760937.4"/>
  </r>
  <r>
    <x v="0"/>
    <x v="0"/>
    <x v="0"/>
    <x v="3"/>
    <x v="7"/>
    <s v="DE4-W_A"/>
    <x v="1"/>
    <x v="1"/>
    <s v="GNR_ST_MSW_BP_E-33"/>
    <x v="0"/>
    <x v="1"/>
    <n v="579.1"/>
    <n v="211371.5"/>
    <n v="760937.4"/>
  </r>
  <r>
    <x v="0"/>
    <x v="0"/>
    <x v="0"/>
    <x v="3"/>
    <x v="7"/>
    <s v="DE4-W_A"/>
    <x v="1"/>
    <x v="1"/>
    <s v="GNR_ST_MSW_BP_E-33"/>
    <x v="0"/>
    <x v="2"/>
    <n v="579.1"/>
    <n v="211371.5"/>
    <n v="760937.4"/>
  </r>
  <r>
    <x v="0"/>
    <x v="0"/>
    <x v="0"/>
    <x v="3"/>
    <x v="7"/>
    <s v="DE4-W_A"/>
    <x v="1"/>
    <x v="1"/>
    <s v="GNR_ST_MSW_BP_E-33"/>
    <x v="0"/>
    <x v="9"/>
    <n v="579.1"/>
    <n v="211371.5"/>
    <n v="760937.4"/>
  </r>
  <r>
    <x v="0"/>
    <x v="0"/>
    <x v="0"/>
    <x v="3"/>
    <x v="7"/>
    <s v="DE4-W_A"/>
    <x v="1"/>
    <x v="1"/>
    <s v="GNR_ST_MSW_BP_E-33"/>
    <x v="0"/>
    <x v="10"/>
    <n v="579.1"/>
    <n v="211371.5"/>
    <n v="760937.4"/>
  </r>
  <r>
    <x v="0"/>
    <x v="0"/>
    <x v="0"/>
    <x v="3"/>
    <x v="7"/>
    <s v="DE4-W_A"/>
    <x v="1"/>
    <x v="1"/>
    <s v="GNR_ST_MSW_BP_E-33"/>
    <x v="0"/>
    <x v="15"/>
    <n v="579.1"/>
    <n v="211371.5"/>
    <n v="760937.4"/>
  </r>
  <r>
    <x v="0"/>
    <x v="0"/>
    <x v="0"/>
    <x v="3"/>
    <x v="7"/>
    <s v="DE4-W_A"/>
    <x v="1"/>
    <x v="1"/>
    <s v="GNR_ST_MSW_BP_E-33"/>
    <x v="0"/>
    <x v="16"/>
    <n v="579.1"/>
    <n v="211371.5"/>
    <n v="760937.4"/>
  </r>
  <r>
    <x v="0"/>
    <x v="0"/>
    <x v="0"/>
    <x v="3"/>
    <x v="7"/>
    <s v="DE4-W_A"/>
    <x v="1"/>
    <x v="1"/>
    <s v="GNR_ST_MSW_BP_E-33"/>
    <x v="0"/>
    <x v="17"/>
    <n v="579.1"/>
    <n v="211371.5"/>
    <n v="760937.4"/>
  </r>
  <r>
    <x v="0"/>
    <x v="0"/>
    <x v="0"/>
    <x v="3"/>
    <x v="7"/>
    <s v="DE4-W_A"/>
    <x v="1"/>
    <x v="1"/>
    <s v="GNR_ST_MSW_BP_E-33"/>
    <x v="0"/>
    <x v="18"/>
    <n v="579.1"/>
    <n v="211371.5"/>
    <n v="760937.4"/>
  </r>
  <r>
    <x v="0"/>
    <x v="0"/>
    <x v="0"/>
    <x v="3"/>
    <x v="7"/>
    <s v="DE4-W_A"/>
    <x v="1"/>
    <x v="1"/>
    <s v="GNR_ST_MSW_BP_E-33"/>
    <x v="0"/>
    <x v="19"/>
    <n v="486.357795538814"/>
    <n v="177520.595371667"/>
    <n v="639074.14333800098"/>
  </r>
  <r>
    <x v="0"/>
    <x v="0"/>
    <x v="0"/>
    <x v="3"/>
    <x v="7"/>
    <s v="DE4-W_A"/>
    <x v="1"/>
    <x v="2"/>
    <s v="GNR_ST_MSW_CND_E-33"/>
    <x v="0"/>
    <x v="3"/>
    <n v="172.8"/>
    <n v="63072"/>
    <n v="227059.20000000001"/>
  </r>
  <r>
    <x v="0"/>
    <x v="0"/>
    <x v="0"/>
    <x v="3"/>
    <x v="7"/>
    <s v="DE4-W_A"/>
    <x v="1"/>
    <x v="2"/>
    <s v="GNR_ST_MSW_CND_E-33"/>
    <x v="0"/>
    <x v="4"/>
    <n v="172.8"/>
    <n v="63072"/>
    <n v="227059.20000000001"/>
  </r>
  <r>
    <x v="0"/>
    <x v="0"/>
    <x v="0"/>
    <x v="3"/>
    <x v="7"/>
    <s v="DE4-W_A"/>
    <x v="1"/>
    <x v="2"/>
    <s v="GNR_ST_MSW_CND_E-33"/>
    <x v="0"/>
    <x v="5"/>
    <n v="172.8"/>
    <n v="63072"/>
    <n v="227059.20000000001"/>
  </r>
  <r>
    <x v="0"/>
    <x v="0"/>
    <x v="0"/>
    <x v="3"/>
    <x v="7"/>
    <s v="DE4-W_A"/>
    <x v="1"/>
    <x v="2"/>
    <s v="GNR_ST_MSW_CND_E-33"/>
    <x v="0"/>
    <x v="6"/>
    <n v="172.8"/>
    <n v="63072"/>
    <n v="227059.20000000001"/>
  </r>
  <r>
    <x v="0"/>
    <x v="0"/>
    <x v="0"/>
    <x v="3"/>
    <x v="7"/>
    <s v="DE4-W_A"/>
    <x v="1"/>
    <x v="2"/>
    <s v="GNR_ST_MSW_CND_E-33"/>
    <x v="0"/>
    <x v="7"/>
    <n v="172.8"/>
    <n v="63072"/>
    <n v="227059.20000000001"/>
  </r>
  <r>
    <x v="0"/>
    <x v="0"/>
    <x v="0"/>
    <x v="3"/>
    <x v="7"/>
    <s v="DE4-W_A"/>
    <x v="1"/>
    <x v="2"/>
    <s v="GNR_ST_MSW_CND_E-33"/>
    <x v="0"/>
    <x v="8"/>
    <n v="172.8"/>
    <n v="63072"/>
    <n v="227059.20000000001"/>
  </r>
  <r>
    <x v="0"/>
    <x v="0"/>
    <x v="0"/>
    <x v="3"/>
    <x v="7"/>
    <s v="DE4-W_A"/>
    <x v="1"/>
    <x v="2"/>
    <s v="GNR_ST_MSW_CND_E-33"/>
    <x v="0"/>
    <x v="0"/>
    <n v="172.8"/>
    <n v="63072"/>
    <n v="227059.20000000001"/>
  </r>
  <r>
    <x v="0"/>
    <x v="0"/>
    <x v="0"/>
    <x v="3"/>
    <x v="7"/>
    <s v="DE4-W_A"/>
    <x v="1"/>
    <x v="2"/>
    <s v="GNR_ST_MSW_CND_E-33"/>
    <x v="0"/>
    <x v="1"/>
    <n v="172.8"/>
    <n v="63072"/>
    <n v="227059.20000000001"/>
  </r>
  <r>
    <x v="0"/>
    <x v="0"/>
    <x v="0"/>
    <x v="3"/>
    <x v="7"/>
    <s v="DE4-W_A"/>
    <x v="1"/>
    <x v="2"/>
    <s v="GNR_ST_MSW_CND_E-33"/>
    <x v="0"/>
    <x v="2"/>
    <n v="172.8"/>
    <n v="63072"/>
    <n v="227059.20000000001"/>
  </r>
  <r>
    <x v="0"/>
    <x v="0"/>
    <x v="0"/>
    <x v="3"/>
    <x v="7"/>
    <s v="DE4-W_A"/>
    <x v="1"/>
    <x v="2"/>
    <s v="GNR_ST_MSW_CND_E-33"/>
    <x v="0"/>
    <x v="9"/>
    <n v="172.8"/>
    <n v="63072"/>
    <n v="227059.20000000001"/>
  </r>
  <r>
    <x v="0"/>
    <x v="0"/>
    <x v="0"/>
    <x v="3"/>
    <x v="7"/>
    <s v="DE4-W_A"/>
    <x v="1"/>
    <x v="2"/>
    <s v="GNR_ST_MSW_CND_E-33"/>
    <x v="0"/>
    <x v="10"/>
    <n v="172.8"/>
    <n v="63072"/>
    <n v="227059.20000000001"/>
  </r>
  <r>
    <x v="0"/>
    <x v="0"/>
    <x v="0"/>
    <x v="3"/>
    <x v="7"/>
    <s v="DE4-W_A"/>
    <x v="1"/>
    <x v="2"/>
    <s v="GNR_ST_MSW_CND_E-33"/>
    <x v="0"/>
    <x v="11"/>
    <n v="172.8"/>
    <n v="63072"/>
    <n v="227059.20000000001"/>
  </r>
  <r>
    <x v="0"/>
    <x v="0"/>
    <x v="0"/>
    <x v="3"/>
    <x v="7"/>
    <s v="DE4-W_A"/>
    <x v="1"/>
    <x v="2"/>
    <s v="GNR_ST_MSW_CND_E-33"/>
    <x v="0"/>
    <x v="12"/>
    <n v="172.8"/>
    <n v="63072"/>
    <n v="227059.20000000001"/>
  </r>
  <r>
    <x v="0"/>
    <x v="0"/>
    <x v="0"/>
    <x v="3"/>
    <x v="7"/>
    <s v="DE4-W_A"/>
    <x v="1"/>
    <x v="2"/>
    <s v="GNR_ST_MSW_CND_E-33"/>
    <x v="0"/>
    <x v="13"/>
    <n v="172.8"/>
    <n v="63072"/>
    <n v="227059.20000000001"/>
  </r>
  <r>
    <x v="0"/>
    <x v="0"/>
    <x v="0"/>
    <x v="3"/>
    <x v="7"/>
    <s v="DE4-W_A"/>
    <x v="1"/>
    <x v="2"/>
    <s v="GNR_ST_MSW_CND_E-33"/>
    <x v="0"/>
    <x v="14"/>
    <n v="172.8"/>
    <n v="63072"/>
    <n v="227059.20000000001"/>
  </r>
  <r>
    <x v="0"/>
    <x v="0"/>
    <x v="0"/>
    <x v="3"/>
    <x v="7"/>
    <s v="DE4-W_A"/>
    <x v="1"/>
    <x v="2"/>
    <s v="GNR_ST_MSW_CND_E-33"/>
    <x v="0"/>
    <x v="15"/>
    <n v="172.8"/>
    <n v="63072"/>
    <n v="227059.20000000001"/>
  </r>
  <r>
    <x v="0"/>
    <x v="0"/>
    <x v="0"/>
    <x v="3"/>
    <x v="7"/>
    <s v="DE4-W_A"/>
    <x v="1"/>
    <x v="2"/>
    <s v="GNR_ST_MSW_CND_E-33"/>
    <x v="0"/>
    <x v="16"/>
    <n v="172.8"/>
    <n v="63072"/>
    <n v="227059.20000000001"/>
  </r>
  <r>
    <x v="0"/>
    <x v="0"/>
    <x v="0"/>
    <x v="3"/>
    <x v="7"/>
    <s v="DE4-W_A"/>
    <x v="1"/>
    <x v="2"/>
    <s v="GNR_ST_MSW_CND_E-33"/>
    <x v="0"/>
    <x v="17"/>
    <n v="172.8"/>
    <n v="63072"/>
    <n v="227059.20000000001"/>
  </r>
  <r>
    <x v="0"/>
    <x v="0"/>
    <x v="0"/>
    <x v="3"/>
    <x v="7"/>
    <s v="DE4-W_A"/>
    <x v="1"/>
    <x v="2"/>
    <s v="GNR_ST_MSW_CND_E-33"/>
    <x v="0"/>
    <x v="18"/>
    <n v="172.8"/>
    <n v="63072"/>
    <n v="227059.20000000001"/>
  </r>
  <r>
    <x v="0"/>
    <x v="0"/>
    <x v="0"/>
    <x v="3"/>
    <x v="7"/>
    <s v="DE4-W_A"/>
    <x v="1"/>
    <x v="2"/>
    <s v="GNR_ST_MSW_CND_E-33"/>
    <x v="0"/>
    <x v="19"/>
    <n v="172.8"/>
    <n v="63072"/>
    <n v="227059.20000000001"/>
  </r>
  <r>
    <x v="0"/>
    <x v="0"/>
    <x v="0"/>
    <x v="3"/>
    <x v="7"/>
    <s v="DE4-W_A"/>
    <x v="1"/>
    <x v="2"/>
    <s v="GNR_ST_MSW_CND_E-33"/>
    <x v="0"/>
    <x v="20"/>
    <n v="172.8"/>
    <n v="63072"/>
    <n v="227059.20000000001"/>
  </r>
  <r>
    <x v="0"/>
    <x v="0"/>
    <x v="0"/>
    <x v="3"/>
    <x v="7"/>
    <s v="DE4-W_A"/>
    <x v="1"/>
    <x v="2"/>
    <s v="GNR_ST_MSW_CND_E-33"/>
    <x v="0"/>
    <x v="21"/>
    <n v="172.8"/>
    <n v="63072"/>
    <n v="227059.20000000001"/>
  </r>
  <r>
    <x v="0"/>
    <x v="0"/>
    <x v="0"/>
    <x v="3"/>
    <x v="7"/>
    <s v="DE4-W_A"/>
    <x v="1"/>
    <x v="2"/>
    <s v="GNR_ST_MSW_CND_E-33"/>
    <x v="0"/>
    <x v="22"/>
    <n v="172.8"/>
    <n v="63072"/>
    <n v="227059.20000000001"/>
  </r>
  <r>
    <x v="0"/>
    <x v="0"/>
    <x v="0"/>
    <x v="3"/>
    <x v="7"/>
    <s v="DE4-W_A"/>
    <x v="1"/>
    <x v="2"/>
    <s v="GNR_ST_MSW_CND_E-33"/>
    <x v="0"/>
    <x v="23"/>
    <n v="172.8"/>
    <n v="63072"/>
    <n v="227059.20000000001"/>
  </r>
  <r>
    <x v="0"/>
    <x v="0"/>
    <x v="0"/>
    <x v="3"/>
    <x v="7"/>
    <s v="DE4-W_A"/>
    <x v="2"/>
    <x v="1"/>
    <s v="GNR_CC_NGAS_BP_E-39"/>
    <x v="0"/>
    <x v="3"/>
    <n v="109.5"/>
    <n v="39967.5"/>
    <n v="143883"/>
  </r>
  <r>
    <x v="0"/>
    <x v="0"/>
    <x v="0"/>
    <x v="3"/>
    <x v="7"/>
    <s v="DE4-W_A"/>
    <x v="2"/>
    <x v="1"/>
    <s v="GNR_CC_NGAS_BP_E-39"/>
    <x v="0"/>
    <x v="4"/>
    <n v="109.5"/>
    <n v="39967.5"/>
    <n v="143883"/>
  </r>
  <r>
    <x v="0"/>
    <x v="0"/>
    <x v="0"/>
    <x v="3"/>
    <x v="7"/>
    <s v="DE4-W_A"/>
    <x v="2"/>
    <x v="1"/>
    <s v="GNR_CC_NGAS_BP_E-39"/>
    <x v="0"/>
    <x v="5"/>
    <n v="109.5"/>
    <n v="39967.5"/>
    <n v="143883"/>
  </r>
  <r>
    <x v="0"/>
    <x v="0"/>
    <x v="0"/>
    <x v="3"/>
    <x v="7"/>
    <s v="DE4-W_A"/>
    <x v="2"/>
    <x v="1"/>
    <s v="GNR_CC_NGAS_BP_E-39"/>
    <x v="0"/>
    <x v="6"/>
    <n v="109.5"/>
    <n v="39967.5"/>
    <n v="143883"/>
  </r>
  <r>
    <x v="0"/>
    <x v="0"/>
    <x v="0"/>
    <x v="3"/>
    <x v="7"/>
    <s v="DE4-W_A"/>
    <x v="2"/>
    <x v="1"/>
    <s v="GNR_CC_NGAS_BP_E-39"/>
    <x v="0"/>
    <x v="7"/>
    <n v="109.5"/>
    <n v="39967.5"/>
    <n v="143883"/>
  </r>
  <r>
    <x v="0"/>
    <x v="0"/>
    <x v="0"/>
    <x v="3"/>
    <x v="7"/>
    <s v="DE4-W_A"/>
    <x v="2"/>
    <x v="1"/>
    <s v="GNR_CC_NGAS_BP_E-39"/>
    <x v="0"/>
    <x v="8"/>
    <n v="109.5"/>
    <n v="39967.5"/>
    <n v="143883"/>
  </r>
  <r>
    <x v="0"/>
    <x v="0"/>
    <x v="0"/>
    <x v="3"/>
    <x v="7"/>
    <s v="DE4-W_A"/>
    <x v="2"/>
    <x v="1"/>
    <s v="GNR_CC_NGAS_BP_E-39"/>
    <x v="0"/>
    <x v="0"/>
    <n v="109.5"/>
    <n v="39967.5"/>
    <n v="143883"/>
  </r>
  <r>
    <x v="0"/>
    <x v="0"/>
    <x v="0"/>
    <x v="3"/>
    <x v="7"/>
    <s v="DE4-W_A"/>
    <x v="2"/>
    <x v="1"/>
    <s v="GNR_CC_NGAS_BP_E-39"/>
    <x v="0"/>
    <x v="1"/>
    <n v="109.5"/>
    <n v="39967.5"/>
    <n v="143883"/>
  </r>
  <r>
    <x v="0"/>
    <x v="0"/>
    <x v="0"/>
    <x v="3"/>
    <x v="7"/>
    <s v="DE4-W_A"/>
    <x v="2"/>
    <x v="1"/>
    <s v="GNR_CC_NGAS_BP_E-39"/>
    <x v="0"/>
    <x v="2"/>
    <n v="109.5"/>
    <n v="39967.5"/>
    <n v="143883"/>
  </r>
  <r>
    <x v="0"/>
    <x v="0"/>
    <x v="0"/>
    <x v="3"/>
    <x v="7"/>
    <s v="DE4-W_A"/>
    <x v="2"/>
    <x v="1"/>
    <s v="GNR_CC_NGAS_BP_E-39"/>
    <x v="0"/>
    <x v="9"/>
    <n v="109.5"/>
    <n v="39967.5"/>
    <n v="143883"/>
  </r>
  <r>
    <x v="0"/>
    <x v="0"/>
    <x v="0"/>
    <x v="3"/>
    <x v="7"/>
    <s v="DE4-W_A"/>
    <x v="2"/>
    <x v="1"/>
    <s v="GNR_CC_NGAS_BP_E-39"/>
    <x v="0"/>
    <x v="10"/>
    <n v="109.5"/>
    <n v="39967.5"/>
    <n v="143883"/>
  </r>
  <r>
    <x v="0"/>
    <x v="0"/>
    <x v="0"/>
    <x v="3"/>
    <x v="7"/>
    <s v="DE4-W_A"/>
    <x v="2"/>
    <x v="1"/>
    <s v="GNR_CC_NGAS_BP_E-39"/>
    <x v="0"/>
    <x v="11"/>
    <n v="109.5"/>
    <n v="39967.5"/>
    <n v="143883"/>
  </r>
  <r>
    <x v="0"/>
    <x v="0"/>
    <x v="0"/>
    <x v="3"/>
    <x v="7"/>
    <s v="DE4-W_A"/>
    <x v="2"/>
    <x v="1"/>
    <s v="GNR_CC_NGAS_BP_E-39"/>
    <x v="0"/>
    <x v="12"/>
    <n v="109.5"/>
    <n v="39967.5"/>
    <n v="143883"/>
  </r>
  <r>
    <x v="0"/>
    <x v="0"/>
    <x v="0"/>
    <x v="3"/>
    <x v="7"/>
    <s v="DE4-W_A"/>
    <x v="2"/>
    <x v="1"/>
    <s v="GNR_CC_NGAS_BP_E-39"/>
    <x v="0"/>
    <x v="13"/>
    <n v="109.5"/>
    <n v="39967.5"/>
    <n v="143883"/>
  </r>
  <r>
    <x v="0"/>
    <x v="0"/>
    <x v="0"/>
    <x v="3"/>
    <x v="7"/>
    <s v="DE4-W_A"/>
    <x v="2"/>
    <x v="1"/>
    <s v="GNR_CC_NGAS_BP_E-39"/>
    <x v="0"/>
    <x v="14"/>
    <n v="109.5"/>
    <n v="39967.5"/>
    <n v="143883"/>
  </r>
  <r>
    <x v="0"/>
    <x v="0"/>
    <x v="0"/>
    <x v="3"/>
    <x v="7"/>
    <s v="DE4-W_A"/>
    <x v="2"/>
    <x v="1"/>
    <s v="GNR_CC_NGAS_BP_E-39"/>
    <x v="0"/>
    <x v="15"/>
    <n v="109.5"/>
    <n v="39967.5"/>
    <n v="143883"/>
  </r>
  <r>
    <x v="0"/>
    <x v="0"/>
    <x v="0"/>
    <x v="3"/>
    <x v="7"/>
    <s v="DE4-W_A"/>
    <x v="2"/>
    <x v="1"/>
    <s v="GNR_CC_NGAS_BP_E-39"/>
    <x v="0"/>
    <x v="16"/>
    <n v="109.5"/>
    <n v="39967.5"/>
    <n v="143883"/>
  </r>
  <r>
    <x v="0"/>
    <x v="0"/>
    <x v="0"/>
    <x v="3"/>
    <x v="7"/>
    <s v="DE4-W_A"/>
    <x v="2"/>
    <x v="1"/>
    <s v="GNR_CC_NGAS_BP_E-39"/>
    <x v="0"/>
    <x v="17"/>
    <n v="109.5"/>
    <n v="39967.5"/>
    <n v="143883"/>
  </r>
  <r>
    <x v="0"/>
    <x v="0"/>
    <x v="0"/>
    <x v="3"/>
    <x v="7"/>
    <s v="DE4-W_A"/>
    <x v="2"/>
    <x v="1"/>
    <s v="GNR_CC_NGAS_BP_E-39"/>
    <x v="0"/>
    <x v="18"/>
    <n v="109.5"/>
    <n v="39967.5"/>
    <n v="143883"/>
  </r>
  <r>
    <x v="0"/>
    <x v="0"/>
    <x v="0"/>
    <x v="3"/>
    <x v="7"/>
    <s v="DE4-W_A"/>
    <x v="2"/>
    <x v="1"/>
    <s v="GNR_CC_NGAS_BP_E-39"/>
    <x v="0"/>
    <x v="19"/>
    <n v="109.5"/>
    <n v="39967.5"/>
    <n v="143883"/>
  </r>
  <r>
    <x v="0"/>
    <x v="0"/>
    <x v="0"/>
    <x v="3"/>
    <x v="7"/>
    <s v="DE4-W_A"/>
    <x v="2"/>
    <x v="1"/>
    <s v="GNR_CC_NGAS_BP_E-39"/>
    <x v="0"/>
    <x v="20"/>
    <n v="109.5"/>
    <n v="39967.5"/>
    <n v="143883"/>
  </r>
  <r>
    <x v="0"/>
    <x v="0"/>
    <x v="0"/>
    <x v="3"/>
    <x v="7"/>
    <s v="DE4-W_A"/>
    <x v="2"/>
    <x v="1"/>
    <s v="GNR_CC_NGAS_BP_E-39"/>
    <x v="0"/>
    <x v="21"/>
    <n v="109.5"/>
    <n v="39967.5"/>
    <n v="143883"/>
  </r>
  <r>
    <x v="0"/>
    <x v="0"/>
    <x v="0"/>
    <x v="3"/>
    <x v="7"/>
    <s v="DE4-W_A"/>
    <x v="2"/>
    <x v="1"/>
    <s v="GNR_CC_NGAS_BP_E-39"/>
    <x v="0"/>
    <x v="22"/>
    <n v="109.5"/>
    <n v="39967.5"/>
    <n v="143883"/>
  </r>
  <r>
    <x v="0"/>
    <x v="0"/>
    <x v="0"/>
    <x v="3"/>
    <x v="7"/>
    <s v="DE4-W_A"/>
    <x v="2"/>
    <x v="1"/>
    <s v="GNR_CC_NGAS_BP_E-39"/>
    <x v="0"/>
    <x v="23"/>
    <n v="109.5"/>
    <n v="39967.5"/>
    <n v="143883"/>
  </r>
  <r>
    <x v="0"/>
    <x v="0"/>
    <x v="0"/>
    <x v="3"/>
    <x v="7"/>
    <s v="DE4-W_A"/>
    <x v="2"/>
    <x v="1"/>
    <s v="GNR_CC_NGAS_BP_E-55"/>
    <x v="0"/>
    <x v="3"/>
    <n v="5421.2"/>
    <n v="1978738"/>
    <n v="7123456.7999999998"/>
  </r>
  <r>
    <x v="0"/>
    <x v="0"/>
    <x v="0"/>
    <x v="3"/>
    <x v="7"/>
    <s v="DE4-W_A"/>
    <x v="2"/>
    <x v="1"/>
    <s v="GNR_CC_NGAS_BP_E-55"/>
    <x v="0"/>
    <x v="4"/>
    <n v="5421.2"/>
    <n v="1978738"/>
    <n v="7123456.7999999998"/>
  </r>
  <r>
    <x v="0"/>
    <x v="0"/>
    <x v="0"/>
    <x v="3"/>
    <x v="7"/>
    <s v="DE4-W_A"/>
    <x v="2"/>
    <x v="1"/>
    <s v="GNR_CC_NGAS_BP_E-55"/>
    <x v="0"/>
    <x v="5"/>
    <n v="5421.2"/>
    <n v="1978738"/>
    <n v="7123456.7999999998"/>
  </r>
  <r>
    <x v="0"/>
    <x v="0"/>
    <x v="0"/>
    <x v="3"/>
    <x v="7"/>
    <s v="DE4-W_A"/>
    <x v="2"/>
    <x v="1"/>
    <s v="GNR_CC_NGAS_BP_E-55"/>
    <x v="0"/>
    <x v="6"/>
    <n v="5421.2"/>
    <n v="1978738"/>
    <n v="7123456.7999999998"/>
  </r>
  <r>
    <x v="0"/>
    <x v="0"/>
    <x v="0"/>
    <x v="3"/>
    <x v="7"/>
    <s v="DE4-W_A"/>
    <x v="2"/>
    <x v="1"/>
    <s v="GNR_CC_NGAS_BP_E-55"/>
    <x v="0"/>
    <x v="7"/>
    <n v="5421.2"/>
    <n v="1978738"/>
    <n v="7123456.7999999998"/>
  </r>
  <r>
    <x v="0"/>
    <x v="0"/>
    <x v="0"/>
    <x v="3"/>
    <x v="7"/>
    <s v="DE4-W_A"/>
    <x v="2"/>
    <x v="1"/>
    <s v="GNR_CC_NGAS_BP_E-55"/>
    <x v="0"/>
    <x v="8"/>
    <n v="5421.2"/>
    <n v="1978738"/>
    <n v="7123456.7999999998"/>
  </r>
  <r>
    <x v="0"/>
    <x v="0"/>
    <x v="0"/>
    <x v="3"/>
    <x v="7"/>
    <s v="DE4-W_A"/>
    <x v="2"/>
    <x v="1"/>
    <s v="GNR_CC_NGAS_BP_E-55"/>
    <x v="0"/>
    <x v="0"/>
    <n v="5421.2"/>
    <n v="1978738"/>
    <n v="7123456.7999999998"/>
  </r>
  <r>
    <x v="0"/>
    <x v="0"/>
    <x v="0"/>
    <x v="3"/>
    <x v="7"/>
    <s v="DE4-W_A"/>
    <x v="2"/>
    <x v="1"/>
    <s v="GNR_CC_NGAS_BP_E-55"/>
    <x v="0"/>
    <x v="1"/>
    <n v="5421.2"/>
    <n v="1978738"/>
    <n v="7123456.7999999998"/>
  </r>
  <r>
    <x v="0"/>
    <x v="0"/>
    <x v="0"/>
    <x v="3"/>
    <x v="7"/>
    <s v="DE4-W_A"/>
    <x v="2"/>
    <x v="1"/>
    <s v="GNR_CC_NGAS_BP_E-55"/>
    <x v="0"/>
    <x v="2"/>
    <n v="5421.2"/>
    <n v="1978738"/>
    <n v="7123456.7999999998"/>
  </r>
  <r>
    <x v="0"/>
    <x v="0"/>
    <x v="0"/>
    <x v="3"/>
    <x v="7"/>
    <s v="DE4-W_A"/>
    <x v="2"/>
    <x v="1"/>
    <s v="GNR_CC_NGAS_BP_E-55"/>
    <x v="0"/>
    <x v="9"/>
    <n v="5421.2"/>
    <n v="1978738"/>
    <n v="7123456.7999999998"/>
  </r>
  <r>
    <x v="0"/>
    <x v="0"/>
    <x v="0"/>
    <x v="3"/>
    <x v="7"/>
    <s v="DE4-W_A"/>
    <x v="2"/>
    <x v="1"/>
    <s v="GNR_CC_NGAS_BP_E-55"/>
    <x v="0"/>
    <x v="10"/>
    <n v="5421.2"/>
    <n v="1978738"/>
    <n v="7123456.7999999998"/>
  </r>
  <r>
    <x v="0"/>
    <x v="0"/>
    <x v="0"/>
    <x v="3"/>
    <x v="7"/>
    <s v="DE4-W_A"/>
    <x v="2"/>
    <x v="1"/>
    <s v="GNR_CC_NGAS_BP_E-55"/>
    <x v="0"/>
    <x v="11"/>
    <n v="5421.2"/>
    <n v="1978738"/>
    <n v="7123456.7999999998"/>
  </r>
  <r>
    <x v="0"/>
    <x v="0"/>
    <x v="0"/>
    <x v="3"/>
    <x v="7"/>
    <s v="DE4-W_A"/>
    <x v="2"/>
    <x v="1"/>
    <s v="GNR_CC_NGAS_BP_E-55"/>
    <x v="0"/>
    <x v="12"/>
    <n v="5421.2"/>
    <n v="1978738"/>
    <n v="7123456.7999999998"/>
  </r>
  <r>
    <x v="0"/>
    <x v="0"/>
    <x v="0"/>
    <x v="3"/>
    <x v="7"/>
    <s v="DE4-W_A"/>
    <x v="2"/>
    <x v="1"/>
    <s v="GNR_CC_NGAS_BP_E-55"/>
    <x v="0"/>
    <x v="13"/>
    <n v="5421.2"/>
    <n v="1978738"/>
    <n v="7123456.7999999998"/>
  </r>
  <r>
    <x v="0"/>
    <x v="0"/>
    <x v="0"/>
    <x v="3"/>
    <x v="7"/>
    <s v="DE4-W_A"/>
    <x v="2"/>
    <x v="1"/>
    <s v="GNR_CC_NGAS_BP_E-55"/>
    <x v="0"/>
    <x v="14"/>
    <n v="5421.2"/>
    <n v="1978738"/>
    <n v="7123456.7999999998"/>
  </r>
  <r>
    <x v="0"/>
    <x v="0"/>
    <x v="0"/>
    <x v="3"/>
    <x v="7"/>
    <s v="DE4-W_A"/>
    <x v="2"/>
    <x v="1"/>
    <s v="GNR_CC_NGAS_BP_E-55"/>
    <x v="0"/>
    <x v="15"/>
    <n v="5421.2"/>
    <n v="1978738"/>
    <n v="7123456.7999999998"/>
  </r>
  <r>
    <x v="0"/>
    <x v="0"/>
    <x v="0"/>
    <x v="3"/>
    <x v="7"/>
    <s v="DE4-W_A"/>
    <x v="2"/>
    <x v="1"/>
    <s v="GNR_CC_NGAS_BP_E-55"/>
    <x v="0"/>
    <x v="16"/>
    <n v="5421.2"/>
    <n v="1978738"/>
    <n v="7123456.7999999998"/>
  </r>
  <r>
    <x v="0"/>
    <x v="0"/>
    <x v="0"/>
    <x v="3"/>
    <x v="7"/>
    <s v="DE4-W_A"/>
    <x v="2"/>
    <x v="1"/>
    <s v="GNR_CC_NGAS_BP_E-55"/>
    <x v="0"/>
    <x v="17"/>
    <n v="5421.2"/>
    <n v="1978738"/>
    <n v="7123456.7999999998"/>
  </r>
  <r>
    <x v="0"/>
    <x v="0"/>
    <x v="0"/>
    <x v="3"/>
    <x v="7"/>
    <s v="DE4-W_A"/>
    <x v="2"/>
    <x v="1"/>
    <s v="GNR_CC_NGAS_BP_E-55"/>
    <x v="0"/>
    <x v="18"/>
    <n v="5421.2"/>
    <n v="1978738"/>
    <n v="7123456.7999999998"/>
  </r>
  <r>
    <x v="0"/>
    <x v="0"/>
    <x v="0"/>
    <x v="3"/>
    <x v="7"/>
    <s v="DE4-W_A"/>
    <x v="2"/>
    <x v="1"/>
    <s v="GNR_CC_NGAS_BP_E-55"/>
    <x v="0"/>
    <x v="19"/>
    <n v="5421.2"/>
    <n v="1978738"/>
    <n v="7123456.7999999998"/>
  </r>
  <r>
    <x v="0"/>
    <x v="0"/>
    <x v="0"/>
    <x v="3"/>
    <x v="7"/>
    <s v="DE4-W_A"/>
    <x v="2"/>
    <x v="1"/>
    <s v="GNR_CC_NGAS_BP_E-55"/>
    <x v="0"/>
    <x v="20"/>
    <n v="5421.2"/>
    <n v="1978738"/>
    <n v="7123456.7999999998"/>
  </r>
  <r>
    <x v="0"/>
    <x v="0"/>
    <x v="0"/>
    <x v="3"/>
    <x v="7"/>
    <s v="DE4-W_A"/>
    <x v="2"/>
    <x v="1"/>
    <s v="GNR_CC_NGAS_BP_E-55"/>
    <x v="0"/>
    <x v="21"/>
    <n v="5421.2"/>
    <n v="1978738"/>
    <n v="7123456.7999999998"/>
  </r>
  <r>
    <x v="0"/>
    <x v="0"/>
    <x v="0"/>
    <x v="3"/>
    <x v="7"/>
    <s v="DE4-W_A"/>
    <x v="2"/>
    <x v="1"/>
    <s v="GNR_CC_NGAS_BP_E-55"/>
    <x v="0"/>
    <x v="22"/>
    <n v="5421.2"/>
    <n v="1978738"/>
    <n v="7123456.7999999998"/>
  </r>
  <r>
    <x v="0"/>
    <x v="0"/>
    <x v="0"/>
    <x v="3"/>
    <x v="7"/>
    <s v="DE4-W_A"/>
    <x v="2"/>
    <x v="1"/>
    <s v="GNR_CC_NGAS_BP_E-55"/>
    <x v="0"/>
    <x v="23"/>
    <n v="5421.2"/>
    <n v="1978738"/>
    <n v="7123456.7999999998"/>
  </r>
  <r>
    <x v="0"/>
    <x v="0"/>
    <x v="0"/>
    <x v="3"/>
    <x v="7"/>
    <s v="DE4-W_A"/>
    <x v="2"/>
    <x v="2"/>
    <s v="GNR_CC_NGAS_CND_E-42"/>
    <x v="0"/>
    <x v="3"/>
    <n v="1021.5"/>
    <n v="372847.5"/>
    <n v="1342251"/>
  </r>
  <r>
    <x v="0"/>
    <x v="0"/>
    <x v="0"/>
    <x v="3"/>
    <x v="7"/>
    <s v="DE4-W_A"/>
    <x v="2"/>
    <x v="2"/>
    <s v="GNR_CC_NGAS_CND_E-42"/>
    <x v="0"/>
    <x v="4"/>
    <n v="1021.5"/>
    <n v="372847.5"/>
    <n v="1342251"/>
  </r>
  <r>
    <x v="0"/>
    <x v="0"/>
    <x v="0"/>
    <x v="3"/>
    <x v="7"/>
    <s v="DE4-W_A"/>
    <x v="2"/>
    <x v="2"/>
    <s v="GNR_CC_NGAS_CND_E-42"/>
    <x v="0"/>
    <x v="5"/>
    <n v="1021.5"/>
    <n v="372847.5"/>
    <n v="1342251"/>
  </r>
  <r>
    <x v="0"/>
    <x v="0"/>
    <x v="0"/>
    <x v="3"/>
    <x v="7"/>
    <s v="DE4-W_A"/>
    <x v="2"/>
    <x v="2"/>
    <s v="GNR_CC_NGAS_CND_E-42"/>
    <x v="0"/>
    <x v="6"/>
    <n v="1021.5"/>
    <n v="372847.5"/>
    <n v="1342251"/>
  </r>
  <r>
    <x v="0"/>
    <x v="0"/>
    <x v="0"/>
    <x v="3"/>
    <x v="7"/>
    <s v="DE4-W_A"/>
    <x v="2"/>
    <x v="2"/>
    <s v="GNR_CC_NGAS_CND_E-42"/>
    <x v="0"/>
    <x v="7"/>
    <n v="1021.5"/>
    <n v="372847.5"/>
    <n v="1342251"/>
  </r>
  <r>
    <x v="0"/>
    <x v="0"/>
    <x v="0"/>
    <x v="3"/>
    <x v="7"/>
    <s v="DE4-W_A"/>
    <x v="2"/>
    <x v="2"/>
    <s v="GNR_CC_NGAS_CND_E-42"/>
    <x v="0"/>
    <x v="8"/>
    <n v="1021.5"/>
    <n v="372847.5"/>
    <n v="1342251"/>
  </r>
  <r>
    <x v="0"/>
    <x v="0"/>
    <x v="0"/>
    <x v="3"/>
    <x v="7"/>
    <s v="DE4-W_A"/>
    <x v="2"/>
    <x v="2"/>
    <s v="GNR_CC_NGAS_CND_E-42"/>
    <x v="0"/>
    <x v="0"/>
    <n v="1021.5"/>
    <n v="372847.5"/>
    <n v="1342251"/>
  </r>
  <r>
    <x v="0"/>
    <x v="0"/>
    <x v="0"/>
    <x v="3"/>
    <x v="7"/>
    <s v="DE4-W_A"/>
    <x v="2"/>
    <x v="2"/>
    <s v="GNR_CC_NGAS_CND_E-42"/>
    <x v="0"/>
    <x v="1"/>
    <n v="1021.5"/>
    <n v="372847.5"/>
    <n v="1342251"/>
  </r>
  <r>
    <x v="0"/>
    <x v="0"/>
    <x v="0"/>
    <x v="3"/>
    <x v="7"/>
    <s v="DE4-W_A"/>
    <x v="2"/>
    <x v="2"/>
    <s v="GNR_CC_NGAS_CND_E-42"/>
    <x v="0"/>
    <x v="2"/>
    <n v="1021.5"/>
    <n v="372847.5"/>
    <n v="1342251"/>
  </r>
  <r>
    <x v="0"/>
    <x v="0"/>
    <x v="0"/>
    <x v="3"/>
    <x v="7"/>
    <s v="DE4-W_A"/>
    <x v="2"/>
    <x v="2"/>
    <s v="GNR_CC_NGAS_CND_E-42"/>
    <x v="0"/>
    <x v="9"/>
    <n v="1021.5"/>
    <n v="372847.5"/>
    <n v="1342251"/>
  </r>
  <r>
    <x v="0"/>
    <x v="0"/>
    <x v="0"/>
    <x v="3"/>
    <x v="7"/>
    <s v="DE4-W_A"/>
    <x v="2"/>
    <x v="2"/>
    <s v="GNR_CC_NGAS_CND_E-42"/>
    <x v="0"/>
    <x v="10"/>
    <n v="1021.5"/>
    <n v="372847.5"/>
    <n v="1342251"/>
  </r>
  <r>
    <x v="0"/>
    <x v="0"/>
    <x v="0"/>
    <x v="3"/>
    <x v="7"/>
    <s v="DE4-W_A"/>
    <x v="2"/>
    <x v="2"/>
    <s v="GNR_CC_NGAS_CND_E-42"/>
    <x v="0"/>
    <x v="11"/>
    <n v="1021.5"/>
    <n v="372847.5"/>
    <n v="1342251"/>
  </r>
  <r>
    <x v="0"/>
    <x v="0"/>
    <x v="0"/>
    <x v="3"/>
    <x v="7"/>
    <s v="DE4-W_A"/>
    <x v="2"/>
    <x v="2"/>
    <s v="GNR_CC_NGAS_CND_E-42"/>
    <x v="0"/>
    <x v="12"/>
    <n v="1021.5"/>
    <n v="372847.5"/>
    <n v="1342251"/>
  </r>
  <r>
    <x v="0"/>
    <x v="0"/>
    <x v="0"/>
    <x v="3"/>
    <x v="7"/>
    <s v="DE4-W_A"/>
    <x v="2"/>
    <x v="2"/>
    <s v="GNR_CC_NGAS_CND_E-42"/>
    <x v="0"/>
    <x v="13"/>
    <n v="1021.5"/>
    <n v="372847.5"/>
    <n v="1342251"/>
  </r>
  <r>
    <x v="0"/>
    <x v="0"/>
    <x v="0"/>
    <x v="3"/>
    <x v="7"/>
    <s v="DE4-W_A"/>
    <x v="2"/>
    <x v="2"/>
    <s v="GNR_CC_NGAS_CND_E-42"/>
    <x v="0"/>
    <x v="14"/>
    <n v="1021.5"/>
    <n v="372847.5"/>
    <n v="1342251"/>
  </r>
  <r>
    <x v="0"/>
    <x v="0"/>
    <x v="0"/>
    <x v="3"/>
    <x v="7"/>
    <s v="DE4-W_A"/>
    <x v="2"/>
    <x v="2"/>
    <s v="GNR_CC_NGAS_CND_E-42"/>
    <x v="0"/>
    <x v="15"/>
    <n v="1021.5"/>
    <n v="372847.5"/>
    <n v="1342251"/>
  </r>
  <r>
    <x v="0"/>
    <x v="0"/>
    <x v="0"/>
    <x v="3"/>
    <x v="7"/>
    <s v="DE4-W_A"/>
    <x v="2"/>
    <x v="2"/>
    <s v="GNR_CC_NGAS_CND_E-42"/>
    <x v="0"/>
    <x v="16"/>
    <n v="1021.5"/>
    <n v="372847.5"/>
    <n v="1342251"/>
  </r>
  <r>
    <x v="0"/>
    <x v="0"/>
    <x v="0"/>
    <x v="3"/>
    <x v="7"/>
    <s v="DE4-W_A"/>
    <x v="2"/>
    <x v="2"/>
    <s v="GNR_CC_NGAS_CND_E-42"/>
    <x v="0"/>
    <x v="17"/>
    <n v="1021.5"/>
    <n v="372847.5"/>
    <n v="1342251"/>
  </r>
  <r>
    <x v="0"/>
    <x v="0"/>
    <x v="0"/>
    <x v="3"/>
    <x v="7"/>
    <s v="DE4-W_A"/>
    <x v="2"/>
    <x v="2"/>
    <s v="GNR_CC_NGAS_CND_E-42"/>
    <x v="0"/>
    <x v="18"/>
    <n v="1021.5"/>
    <n v="372847.5"/>
    <n v="1342251"/>
  </r>
  <r>
    <x v="0"/>
    <x v="0"/>
    <x v="0"/>
    <x v="3"/>
    <x v="7"/>
    <s v="DE4-W_A"/>
    <x v="2"/>
    <x v="2"/>
    <s v="GNR_CC_NGAS_CND_E-42"/>
    <x v="0"/>
    <x v="19"/>
    <n v="1021.5"/>
    <n v="372847.5"/>
    <n v="1342251"/>
  </r>
  <r>
    <x v="0"/>
    <x v="0"/>
    <x v="0"/>
    <x v="3"/>
    <x v="7"/>
    <s v="DE4-W_A"/>
    <x v="2"/>
    <x v="2"/>
    <s v="GNR_CC_NGAS_CND_E-42"/>
    <x v="0"/>
    <x v="20"/>
    <n v="1021.5"/>
    <n v="372847.5"/>
    <n v="1342251"/>
  </r>
  <r>
    <x v="0"/>
    <x v="0"/>
    <x v="0"/>
    <x v="3"/>
    <x v="7"/>
    <s v="DE4-W_A"/>
    <x v="2"/>
    <x v="2"/>
    <s v="GNR_CC_NGAS_CND_E-42"/>
    <x v="0"/>
    <x v="21"/>
    <n v="1021.5"/>
    <n v="372847.5"/>
    <n v="1342251"/>
  </r>
  <r>
    <x v="0"/>
    <x v="0"/>
    <x v="0"/>
    <x v="3"/>
    <x v="7"/>
    <s v="DE4-W_A"/>
    <x v="2"/>
    <x v="2"/>
    <s v="GNR_CC_NGAS_CND_E-42"/>
    <x v="0"/>
    <x v="22"/>
    <n v="1021.5"/>
    <n v="372847.5"/>
    <n v="1342251"/>
  </r>
  <r>
    <x v="0"/>
    <x v="0"/>
    <x v="0"/>
    <x v="3"/>
    <x v="7"/>
    <s v="DE4-W_A"/>
    <x v="2"/>
    <x v="2"/>
    <s v="GNR_CC_NGAS_CND_E-42"/>
    <x v="0"/>
    <x v="23"/>
    <n v="1021.5"/>
    <n v="372847.5"/>
    <n v="1342251"/>
  </r>
  <r>
    <x v="0"/>
    <x v="0"/>
    <x v="0"/>
    <x v="3"/>
    <x v="7"/>
    <s v="DE4-W_A"/>
    <x v="2"/>
    <x v="2"/>
    <s v="GNR_CC_NGAS_CND_E-57"/>
    <x v="0"/>
    <x v="3"/>
    <n v="2929.5"/>
    <n v="1069267.5"/>
    <n v="3849363"/>
  </r>
  <r>
    <x v="0"/>
    <x v="0"/>
    <x v="0"/>
    <x v="3"/>
    <x v="7"/>
    <s v="DE4-W_A"/>
    <x v="2"/>
    <x v="2"/>
    <s v="GNR_CC_NGAS_CND_E-57"/>
    <x v="0"/>
    <x v="4"/>
    <n v="2929.5"/>
    <n v="1069267.5"/>
    <n v="3849363"/>
  </r>
  <r>
    <x v="0"/>
    <x v="0"/>
    <x v="0"/>
    <x v="3"/>
    <x v="7"/>
    <s v="DE4-W_A"/>
    <x v="2"/>
    <x v="2"/>
    <s v="GNR_CC_NGAS_CND_E-57"/>
    <x v="0"/>
    <x v="5"/>
    <n v="2929.5"/>
    <n v="1069267.5"/>
    <n v="3849363"/>
  </r>
  <r>
    <x v="0"/>
    <x v="0"/>
    <x v="0"/>
    <x v="3"/>
    <x v="7"/>
    <s v="DE4-W_A"/>
    <x v="2"/>
    <x v="2"/>
    <s v="GNR_CC_NGAS_CND_E-57"/>
    <x v="0"/>
    <x v="6"/>
    <n v="2929.5"/>
    <n v="1069267.5"/>
    <n v="3849363"/>
  </r>
  <r>
    <x v="0"/>
    <x v="0"/>
    <x v="0"/>
    <x v="3"/>
    <x v="7"/>
    <s v="DE4-W_A"/>
    <x v="2"/>
    <x v="2"/>
    <s v="GNR_CC_NGAS_CND_E-57"/>
    <x v="0"/>
    <x v="7"/>
    <n v="2929.5"/>
    <n v="1069267.5"/>
    <n v="3849363"/>
  </r>
  <r>
    <x v="0"/>
    <x v="0"/>
    <x v="0"/>
    <x v="3"/>
    <x v="7"/>
    <s v="DE4-W_A"/>
    <x v="2"/>
    <x v="2"/>
    <s v="GNR_CC_NGAS_CND_E-57"/>
    <x v="0"/>
    <x v="8"/>
    <n v="2929.5"/>
    <n v="1069267.5"/>
    <n v="3849363"/>
  </r>
  <r>
    <x v="0"/>
    <x v="0"/>
    <x v="0"/>
    <x v="3"/>
    <x v="7"/>
    <s v="DE4-W_A"/>
    <x v="2"/>
    <x v="2"/>
    <s v="GNR_CC_NGAS_CND_E-57"/>
    <x v="0"/>
    <x v="0"/>
    <n v="2929.5"/>
    <n v="1069267.5"/>
    <n v="3849363"/>
  </r>
  <r>
    <x v="0"/>
    <x v="0"/>
    <x v="0"/>
    <x v="3"/>
    <x v="7"/>
    <s v="DE4-W_A"/>
    <x v="2"/>
    <x v="2"/>
    <s v="GNR_CC_NGAS_CND_E-57"/>
    <x v="0"/>
    <x v="1"/>
    <n v="2929.5"/>
    <n v="1069267.5"/>
    <n v="3849363"/>
  </r>
  <r>
    <x v="0"/>
    <x v="0"/>
    <x v="0"/>
    <x v="3"/>
    <x v="7"/>
    <s v="DE4-W_A"/>
    <x v="2"/>
    <x v="2"/>
    <s v="GNR_CC_NGAS_CND_E-57"/>
    <x v="0"/>
    <x v="2"/>
    <n v="2929.5"/>
    <n v="1069267.5"/>
    <n v="3849363"/>
  </r>
  <r>
    <x v="0"/>
    <x v="0"/>
    <x v="0"/>
    <x v="3"/>
    <x v="7"/>
    <s v="DE4-W_A"/>
    <x v="2"/>
    <x v="2"/>
    <s v="GNR_CC_NGAS_CND_E-57"/>
    <x v="0"/>
    <x v="9"/>
    <n v="2929.5"/>
    <n v="1069267.5"/>
    <n v="3849363"/>
  </r>
  <r>
    <x v="0"/>
    <x v="0"/>
    <x v="0"/>
    <x v="3"/>
    <x v="7"/>
    <s v="DE4-W_A"/>
    <x v="2"/>
    <x v="2"/>
    <s v="GNR_CC_NGAS_CND_E-57"/>
    <x v="0"/>
    <x v="10"/>
    <n v="2929.5"/>
    <n v="1069267.5"/>
    <n v="3849363"/>
  </r>
  <r>
    <x v="0"/>
    <x v="0"/>
    <x v="0"/>
    <x v="3"/>
    <x v="7"/>
    <s v="DE4-W_A"/>
    <x v="2"/>
    <x v="2"/>
    <s v="GNR_CC_NGAS_CND_E-57"/>
    <x v="0"/>
    <x v="11"/>
    <n v="2929.5"/>
    <n v="1069267.5"/>
    <n v="3849363"/>
  </r>
  <r>
    <x v="0"/>
    <x v="0"/>
    <x v="0"/>
    <x v="3"/>
    <x v="7"/>
    <s v="DE4-W_A"/>
    <x v="2"/>
    <x v="2"/>
    <s v="GNR_CC_NGAS_CND_E-57"/>
    <x v="0"/>
    <x v="12"/>
    <n v="2929.5"/>
    <n v="1069267.5"/>
    <n v="3849363"/>
  </r>
  <r>
    <x v="0"/>
    <x v="0"/>
    <x v="0"/>
    <x v="3"/>
    <x v="7"/>
    <s v="DE4-W_A"/>
    <x v="2"/>
    <x v="2"/>
    <s v="GNR_CC_NGAS_CND_E-57"/>
    <x v="0"/>
    <x v="13"/>
    <n v="2929.5"/>
    <n v="1069267.5"/>
    <n v="3849363"/>
  </r>
  <r>
    <x v="0"/>
    <x v="0"/>
    <x v="0"/>
    <x v="3"/>
    <x v="7"/>
    <s v="DE4-W_A"/>
    <x v="2"/>
    <x v="2"/>
    <s v="GNR_CC_NGAS_CND_E-57"/>
    <x v="0"/>
    <x v="14"/>
    <n v="2929.5"/>
    <n v="1069267.5"/>
    <n v="3849363"/>
  </r>
  <r>
    <x v="0"/>
    <x v="0"/>
    <x v="0"/>
    <x v="3"/>
    <x v="7"/>
    <s v="DE4-W_A"/>
    <x v="2"/>
    <x v="2"/>
    <s v="GNR_CC_NGAS_CND_E-57"/>
    <x v="0"/>
    <x v="15"/>
    <n v="2929.5"/>
    <n v="1069267.5"/>
    <n v="3849363"/>
  </r>
  <r>
    <x v="0"/>
    <x v="0"/>
    <x v="0"/>
    <x v="3"/>
    <x v="7"/>
    <s v="DE4-W_A"/>
    <x v="2"/>
    <x v="2"/>
    <s v="GNR_CC_NGAS_CND_E-57"/>
    <x v="0"/>
    <x v="16"/>
    <n v="2929.5"/>
    <n v="1069267.5"/>
    <n v="3849363"/>
  </r>
  <r>
    <x v="0"/>
    <x v="0"/>
    <x v="0"/>
    <x v="3"/>
    <x v="7"/>
    <s v="DE4-W_A"/>
    <x v="2"/>
    <x v="2"/>
    <s v="GNR_CC_NGAS_CND_E-57"/>
    <x v="0"/>
    <x v="17"/>
    <n v="2929.5"/>
    <n v="1069267.5"/>
    <n v="3849363"/>
  </r>
  <r>
    <x v="0"/>
    <x v="0"/>
    <x v="0"/>
    <x v="3"/>
    <x v="7"/>
    <s v="DE4-W_A"/>
    <x v="2"/>
    <x v="2"/>
    <s v="GNR_CC_NGAS_CND_E-57"/>
    <x v="0"/>
    <x v="18"/>
    <n v="2929.5"/>
    <n v="1069267.5"/>
    <n v="3849363"/>
  </r>
  <r>
    <x v="0"/>
    <x v="0"/>
    <x v="0"/>
    <x v="3"/>
    <x v="7"/>
    <s v="DE4-W_A"/>
    <x v="2"/>
    <x v="2"/>
    <s v="GNR_CC_NGAS_CND_E-57"/>
    <x v="0"/>
    <x v="19"/>
    <n v="2929.5"/>
    <n v="1069267.5"/>
    <n v="3849363"/>
  </r>
  <r>
    <x v="0"/>
    <x v="0"/>
    <x v="0"/>
    <x v="3"/>
    <x v="7"/>
    <s v="DE4-W_A"/>
    <x v="2"/>
    <x v="2"/>
    <s v="GNR_CC_NGAS_CND_E-57"/>
    <x v="0"/>
    <x v="20"/>
    <n v="2929.5"/>
    <n v="1069267.5"/>
    <n v="3849363"/>
  </r>
  <r>
    <x v="0"/>
    <x v="0"/>
    <x v="0"/>
    <x v="3"/>
    <x v="7"/>
    <s v="DE4-W_A"/>
    <x v="2"/>
    <x v="2"/>
    <s v="GNR_CC_NGAS_CND_E-57"/>
    <x v="0"/>
    <x v="21"/>
    <n v="2929.5"/>
    <n v="1069267.5"/>
    <n v="3849363"/>
  </r>
  <r>
    <x v="0"/>
    <x v="0"/>
    <x v="0"/>
    <x v="3"/>
    <x v="7"/>
    <s v="DE4-W_A"/>
    <x v="2"/>
    <x v="2"/>
    <s v="GNR_CC_NGAS_CND_E-57"/>
    <x v="0"/>
    <x v="22"/>
    <n v="2929.5"/>
    <n v="1069267.5"/>
    <n v="3849363"/>
  </r>
  <r>
    <x v="0"/>
    <x v="0"/>
    <x v="0"/>
    <x v="3"/>
    <x v="7"/>
    <s v="DE4-W_A"/>
    <x v="2"/>
    <x v="2"/>
    <s v="GNR_CC_NGAS_CND_E-57"/>
    <x v="0"/>
    <x v="23"/>
    <n v="2929.5"/>
    <n v="1069267.5"/>
    <n v="3849363"/>
  </r>
  <r>
    <x v="0"/>
    <x v="0"/>
    <x v="0"/>
    <x v="3"/>
    <x v="7"/>
    <s v="DE4-W_A"/>
    <x v="2"/>
    <x v="2"/>
    <s v="GNR_ENG_NGAS_CND_E-44"/>
    <x v="0"/>
    <x v="3"/>
    <n v="14"/>
    <n v="5110"/>
    <n v="18396"/>
  </r>
  <r>
    <x v="0"/>
    <x v="0"/>
    <x v="0"/>
    <x v="3"/>
    <x v="7"/>
    <s v="DE4-W_A"/>
    <x v="2"/>
    <x v="2"/>
    <s v="GNR_ENG_NGAS_CND_E-44"/>
    <x v="0"/>
    <x v="4"/>
    <n v="14"/>
    <n v="5110"/>
    <n v="18396"/>
  </r>
  <r>
    <x v="0"/>
    <x v="0"/>
    <x v="0"/>
    <x v="3"/>
    <x v="7"/>
    <s v="DE4-W_A"/>
    <x v="2"/>
    <x v="2"/>
    <s v="GNR_ENG_NGAS_CND_E-44"/>
    <x v="0"/>
    <x v="5"/>
    <n v="14"/>
    <n v="5110"/>
    <n v="18396"/>
  </r>
  <r>
    <x v="0"/>
    <x v="0"/>
    <x v="0"/>
    <x v="3"/>
    <x v="7"/>
    <s v="DE4-W_A"/>
    <x v="2"/>
    <x v="2"/>
    <s v="GNR_ENG_NGAS_CND_E-44"/>
    <x v="0"/>
    <x v="6"/>
    <n v="14"/>
    <n v="5110"/>
    <n v="18396"/>
  </r>
  <r>
    <x v="0"/>
    <x v="0"/>
    <x v="0"/>
    <x v="3"/>
    <x v="7"/>
    <s v="DE4-W_A"/>
    <x v="2"/>
    <x v="2"/>
    <s v="GNR_ENG_NGAS_CND_E-44"/>
    <x v="0"/>
    <x v="7"/>
    <n v="14"/>
    <n v="5110"/>
    <n v="18396"/>
  </r>
  <r>
    <x v="0"/>
    <x v="0"/>
    <x v="0"/>
    <x v="3"/>
    <x v="7"/>
    <s v="DE4-W_A"/>
    <x v="2"/>
    <x v="2"/>
    <s v="GNR_ENG_NGAS_CND_E-44"/>
    <x v="0"/>
    <x v="8"/>
    <n v="14"/>
    <n v="5110"/>
    <n v="18396"/>
  </r>
  <r>
    <x v="0"/>
    <x v="0"/>
    <x v="0"/>
    <x v="3"/>
    <x v="7"/>
    <s v="DE4-W_A"/>
    <x v="2"/>
    <x v="2"/>
    <s v="GNR_ENG_NGAS_CND_E-44"/>
    <x v="0"/>
    <x v="0"/>
    <n v="14"/>
    <n v="5110"/>
    <n v="18396"/>
  </r>
  <r>
    <x v="0"/>
    <x v="0"/>
    <x v="0"/>
    <x v="3"/>
    <x v="7"/>
    <s v="DE4-W_A"/>
    <x v="2"/>
    <x v="2"/>
    <s v="GNR_ENG_NGAS_CND_E-44"/>
    <x v="0"/>
    <x v="1"/>
    <n v="14"/>
    <n v="5110"/>
    <n v="18396"/>
  </r>
  <r>
    <x v="0"/>
    <x v="0"/>
    <x v="0"/>
    <x v="3"/>
    <x v="7"/>
    <s v="DE4-W_A"/>
    <x v="2"/>
    <x v="2"/>
    <s v="GNR_ENG_NGAS_CND_E-44"/>
    <x v="0"/>
    <x v="2"/>
    <n v="14"/>
    <n v="5110"/>
    <n v="18396"/>
  </r>
  <r>
    <x v="0"/>
    <x v="0"/>
    <x v="0"/>
    <x v="3"/>
    <x v="7"/>
    <s v="DE4-W_A"/>
    <x v="2"/>
    <x v="2"/>
    <s v="GNR_ENG_NGAS_CND_E-44"/>
    <x v="0"/>
    <x v="9"/>
    <n v="14"/>
    <n v="5110"/>
    <n v="18396"/>
  </r>
  <r>
    <x v="0"/>
    <x v="0"/>
    <x v="0"/>
    <x v="3"/>
    <x v="7"/>
    <s v="DE4-W_A"/>
    <x v="2"/>
    <x v="2"/>
    <s v="GNR_ENG_NGAS_CND_E-44"/>
    <x v="0"/>
    <x v="10"/>
    <n v="14"/>
    <n v="5110"/>
    <n v="18396"/>
  </r>
  <r>
    <x v="0"/>
    <x v="0"/>
    <x v="0"/>
    <x v="3"/>
    <x v="7"/>
    <s v="DE4-W_A"/>
    <x v="2"/>
    <x v="2"/>
    <s v="GNR_ENG_NGAS_CND_E-44"/>
    <x v="0"/>
    <x v="11"/>
    <n v="14"/>
    <n v="5110"/>
    <n v="18396"/>
  </r>
  <r>
    <x v="0"/>
    <x v="0"/>
    <x v="0"/>
    <x v="3"/>
    <x v="7"/>
    <s v="DE4-W_A"/>
    <x v="2"/>
    <x v="2"/>
    <s v="GNR_ENG_NGAS_CND_E-44"/>
    <x v="0"/>
    <x v="12"/>
    <n v="14"/>
    <n v="5110"/>
    <n v="18396"/>
  </r>
  <r>
    <x v="0"/>
    <x v="0"/>
    <x v="0"/>
    <x v="3"/>
    <x v="7"/>
    <s v="DE4-W_A"/>
    <x v="2"/>
    <x v="2"/>
    <s v="GNR_ENG_NGAS_CND_E-44"/>
    <x v="0"/>
    <x v="13"/>
    <n v="14"/>
    <n v="5110"/>
    <n v="18396"/>
  </r>
  <r>
    <x v="0"/>
    <x v="0"/>
    <x v="0"/>
    <x v="3"/>
    <x v="7"/>
    <s v="DE4-W_A"/>
    <x v="2"/>
    <x v="2"/>
    <s v="GNR_ENG_NGAS_CND_E-44"/>
    <x v="0"/>
    <x v="14"/>
    <n v="14"/>
    <n v="5110"/>
    <n v="18396"/>
  </r>
  <r>
    <x v="0"/>
    <x v="0"/>
    <x v="0"/>
    <x v="3"/>
    <x v="7"/>
    <s v="DE4-W_A"/>
    <x v="2"/>
    <x v="2"/>
    <s v="GNR_ENG_NGAS_CND_E-44"/>
    <x v="0"/>
    <x v="15"/>
    <n v="14"/>
    <n v="5110"/>
    <n v="18396"/>
  </r>
  <r>
    <x v="0"/>
    <x v="0"/>
    <x v="0"/>
    <x v="3"/>
    <x v="7"/>
    <s v="DE4-W_A"/>
    <x v="2"/>
    <x v="2"/>
    <s v="GNR_ENG_NGAS_CND_E-44"/>
    <x v="0"/>
    <x v="16"/>
    <n v="14"/>
    <n v="5110"/>
    <n v="18396"/>
  </r>
  <r>
    <x v="0"/>
    <x v="0"/>
    <x v="0"/>
    <x v="3"/>
    <x v="7"/>
    <s v="DE4-W_A"/>
    <x v="2"/>
    <x v="2"/>
    <s v="GNR_ENG_NGAS_CND_E-44"/>
    <x v="0"/>
    <x v="17"/>
    <n v="14"/>
    <n v="5110"/>
    <n v="18396"/>
  </r>
  <r>
    <x v="0"/>
    <x v="0"/>
    <x v="0"/>
    <x v="3"/>
    <x v="7"/>
    <s v="DE4-W_A"/>
    <x v="2"/>
    <x v="2"/>
    <s v="GNR_ENG_NGAS_CND_E-44"/>
    <x v="0"/>
    <x v="18"/>
    <n v="14"/>
    <n v="5110"/>
    <n v="18396"/>
  </r>
  <r>
    <x v="0"/>
    <x v="0"/>
    <x v="0"/>
    <x v="3"/>
    <x v="7"/>
    <s v="DE4-W_A"/>
    <x v="2"/>
    <x v="2"/>
    <s v="GNR_ENG_NGAS_CND_E-44"/>
    <x v="0"/>
    <x v="19"/>
    <n v="14"/>
    <n v="5110"/>
    <n v="18396"/>
  </r>
  <r>
    <x v="0"/>
    <x v="0"/>
    <x v="0"/>
    <x v="3"/>
    <x v="7"/>
    <s v="DE4-W_A"/>
    <x v="2"/>
    <x v="2"/>
    <s v="GNR_ENG_NGAS_CND_E-44"/>
    <x v="0"/>
    <x v="20"/>
    <n v="14"/>
    <n v="5110"/>
    <n v="18396"/>
  </r>
  <r>
    <x v="0"/>
    <x v="0"/>
    <x v="0"/>
    <x v="3"/>
    <x v="7"/>
    <s v="DE4-W_A"/>
    <x v="2"/>
    <x v="2"/>
    <s v="GNR_ENG_NGAS_CND_E-44"/>
    <x v="0"/>
    <x v="21"/>
    <n v="14"/>
    <n v="5110"/>
    <n v="18396"/>
  </r>
  <r>
    <x v="0"/>
    <x v="0"/>
    <x v="0"/>
    <x v="3"/>
    <x v="7"/>
    <s v="DE4-W_A"/>
    <x v="2"/>
    <x v="2"/>
    <s v="GNR_ENG_NGAS_CND_E-44"/>
    <x v="0"/>
    <x v="22"/>
    <n v="14"/>
    <n v="5110"/>
    <n v="18396"/>
  </r>
  <r>
    <x v="0"/>
    <x v="0"/>
    <x v="0"/>
    <x v="3"/>
    <x v="7"/>
    <s v="DE4-W_A"/>
    <x v="2"/>
    <x v="2"/>
    <s v="GNR_ENG_NGAS_CND_E-44"/>
    <x v="0"/>
    <x v="23"/>
    <n v="14"/>
    <n v="5110"/>
    <n v="18396"/>
  </r>
  <r>
    <x v="0"/>
    <x v="0"/>
    <x v="0"/>
    <x v="3"/>
    <x v="7"/>
    <s v="DE4-W_A"/>
    <x v="2"/>
    <x v="1"/>
    <s v="GNR_GT_NGAS_BP_E-31"/>
    <x v="0"/>
    <x v="0"/>
    <n v="104"/>
    <n v="37960"/>
    <n v="136656"/>
  </r>
  <r>
    <x v="0"/>
    <x v="0"/>
    <x v="0"/>
    <x v="3"/>
    <x v="7"/>
    <s v="DE4-W_A"/>
    <x v="2"/>
    <x v="1"/>
    <s v="GNR_GT_NGAS_BP_E-31"/>
    <x v="0"/>
    <x v="1"/>
    <n v="104"/>
    <n v="37960"/>
    <n v="136656"/>
  </r>
  <r>
    <x v="0"/>
    <x v="0"/>
    <x v="0"/>
    <x v="3"/>
    <x v="7"/>
    <s v="DE4-W_A"/>
    <x v="2"/>
    <x v="1"/>
    <s v="GNR_GT_NGAS_BP_E-31"/>
    <x v="0"/>
    <x v="2"/>
    <n v="104"/>
    <n v="37960"/>
    <n v="136656"/>
  </r>
  <r>
    <x v="0"/>
    <x v="0"/>
    <x v="0"/>
    <x v="3"/>
    <x v="7"/>
    <s v="DE4-W_A"/>
    <x v="2"/>
    <x v="1"/>
    <s v="GNR_GT_NGAS_BP_E-31"/>
    <x v="0"/>
    <x v="9"/>
    <n v="104"/>
    <n v="37960"/>
    <n v="136656"/>
  </r>
  <r>
    <x v="0"/>
    <x v="0"/>
    <x v="0"/>
    <x v="3"/>
    <x v="7"/>
    <s v="DE4-W_A"/>
    <x v="2"/>
    <x v="1"/>
    <s v="GNR_GT_NGAS_BP_E-31"/>
    <x v="0"/>
    <x v="10"/>
    <n v="104"/>
    <n v="37960"/>
    <n v="136656"/>
  </r>
  <r>
    <x v="0"/>
    <x v="0"/>
    <x v="0"/>
    <x v="3"/>
    <x v="7"/>
    <s v="DE4-W_A"/>
    <x v="2"/>
    <x v="1"/>
    <s v="GNR_GT_NGAS_BP_E-31"/>
    <x v="0"/>
    <x v="14"/>
    <n v="104"/>
    <n v="37960"/>
    <n v="136656"/>
  </r>
  <r>
    <x v="0"/>
    <x v="0"/>
    <x v="0"/>
    <x v="3"/>
    <x v="7"/>
    <s v="DE4-W_A"/>
    <x v="2"/>
    <x v="1"/>
    <s v="GNR_GT_NGAS_BP_E-31"/>
    <x v="0"/>
    <x v="15"/>
    <n v="104"/>
    <n v="37960"/>
    <n v="136656"/>
  </r>
  <r>
    <x v="0"/>
    <x v="0"/>
    <x v="0"/>
    <x v="3"/>
    <x v="7"/>
    <s v="DE4-W_A"/>
    <x v="2"/>
    <x v="1"/>
    <s v="GNR_GT_NGAS_BP_E-31"/>
    <x v="0"/>
    <x v="16"/>
    <n v="104"/>
    <n v="37960"/>
    <n v="136656"/>
  </r>
  <r>
    <x v="0"/>
    <x v="0"/>
    <x v="0"/>
    <x v="3"/>
    <x v="7"/>
    <s v="DE4-W_A"/>
    <x v="2"/>
    <x v="1"/>
    <s v="GNR_GT_NGAS_BP_E-31"/>
    <x v="0"/>
    <x v="17"/>
    <n v="104"/>
    <n v="37960"/>
    <n v="136656"/>
  </r>
  <r>
    <x v="0"/>
    <x v="0"/>
    <x v="0"/>
    <x v="3"/>
    <x v="7"/>
    <s v="DE4-W_A"/>
    <x v="2"/>
    <x v="1"/>
    <s v="GNR_GT_NGAS_BP_E-31"/>
    <x v="0"/>
    <x v="18"/>
    <n v="104"/>
    <n v="37960"/>
    <n v="136656"/>
  </r>
  <r>
    <x v="0"/>
    <x v="0"/>
    <x v="0"/>
    <x v="3"/>
    <x v="7"/>
    <s v="DE4-W_A"/>
    <x v="2"/>
    <x v="1"/>
    <s v="GNR_GT_NGAS_BP_E-31"/>
    <x v="0"/>
    <x v="19"/>
    <n v="104"/>
    <n v="37960"/>
    <n v="136656"/>
  </r>
  <r>
    <x v="0"/>
    <x v="0"/>
    <x v="0"/>
    <x v="3"/>
    <x v="7"/>
    <s v="DE4-W_A"/>
    <x v="2"/>
    <x v="1"/>
    <s v="GNR_GT_NGAS_BP_E-39"/>
    <x v="0"/>
    <x v="3"/>
    <n v="249.9"/>
    <n v="91213.5"/>
    <n v="328368.59999999998"/>
  </r>
  <r>
    <x v="0"/>
    <x v="0"/>
    <x v="0"/>
    <x v="3"/>
    <x v="7"/>
    <s v="DE4-W_A"/>
    <x v="2"/>
    <x v="1"/>
    <s v="GNR_GT_NGAS_BP_E-39"/>
    <x v="0"/>
    <x v="4"/>
    <n v="249.9"/>
    <n v="91213.5"/>
    <n v="328368.59999999998"/>
  </r>
  <r>
    <x v="0"/>
    <x v="0"/>
    <x v="0"/>
    <x v="3"/>
    <x v="7"/>
    <s v="DE4-W_A"/>
    <x v="2"/>
    <x v="1"/>
    <s v="GNR_GT_NGAS_BP_E-39"/>
    <x v="0"/>
    <x v="5"/>
    <n v="249.9"/>
    <n v="91213.5"/>
    <n v="328368.59999999998"/>
  </r>
  <r>
    <x v="0"/>
    <x v="0"/>
    <x v="0"/>
    <x v="3"/>
    <x v="7"/>
    <s v="DE4-W_A"/>
    <x v="2"/>
    <x v="1"/>
    <s v="GNR_GT_NGAS_BP_E-39"/>
    <x v="0"/>
    <x v="6"/>
    <n v="249.9"/>
    <n v="91213.5"/>
    <n v="328368.59999999998"/>
  </r>
  <r>
    <x v="0"/>
    <x v="0"/>
    <x v="0"/>
    <x v="3"/>
    <x v="7"/>
    <s v="DE4-W_A"/>
    <x v="2"/>
    <x v="1"/>
    <s v="GNR_GT_NGAS_BP_E-39"/>
    <x v="0"/>
    <x v="7"/>
    <n v="249.9"/>
    <n v="91213.5"/>
    <n v="328368.59999999998"/>
  </r>
  <r>
    <x v="0"/>
    <x v="0"/>
    <x v="0"/>
    <x v="3"/>
    <x v="7"/>
    <s v="DE4-W_A"/>
    <x v="2"/>
    <x v="1"/>
    <s v="GNR_GT_NGAS_BP_E-39"/>
    <x v="0"/>
    <x v="8"/>
    <n v="249.9"/>
    <n v="91213.5"/>
    <n v="328368.59999999998"/>
  </r>
  <r>
    <x v="0"/>
    <x v="0"/>
    <x v="0"/>
    <x v="3"/>
    <x v="7"/>
    <s v="DE4-W_A"/>
    <x v="2"/>
    <x v="1"/>
    <s v="GNR_GT_NGAS_BP_E-39"/>
    <x v="0"/>
    <x v="0"/>
    <n v="249.9"/>
    <n v="91213.5"/>
    <n v="328368.59999999998"/>
  </r>
  <r>
    <x v="0"/>
    <x v="0"/>
    <x v="0"/>
    <x v="3"/>
    <x v="7"/>
    <s v="DE4-W_A"/>
    <x v="2"/>
    <x v="1"/>
    <s v="GNR_GT_NGAS_BP_E-39"/>
    <x v="0"/>
    <x v="1"/>
    <n v="249.9"/>
    <n v="91213.5"/>
    <n v="328368.59999999998"/>
  </r>
  <r>
    <x v="0"/>
    <x v="0"/>
    <x v="0"/>
    <x v="3"/>
    <x v="7"/>
    <s v="DE4-W_A"/>
    <x v="2"/>
    <x v="1"/>
    <s v="GNR_GT_NGAS_BP_E-39"/>
    <x v="0"/>
    <x v="2"/>
    <n v="249.9"/>
    <n v="91213.5"/>
    <n v="328368.59999999998"/>
  </r>
  <r>
    <x v="0"/>
    <x v="0"/>
    <x v="0"/>
    <x v="3"/>
    <x v="7"/>
    <s v="DE4-W_A"/>
    <x v="2"/>
    <x v="1"/>
    <s v="GNR_GT_NGAS_BP_E-39"/>
    <x v="0"/>
    <x v="9"/>
    <n v="249.9"/>
    <n v="91213.5"/>
    <n v="328368.59999999998"/>
  </r>
  <r>
    <x v="0"/>
    <x v="0"/>
    <x v="0"/>
    <x v="3"/>
    <x v="7"/>
    <s v="DE4-W_A"/>
    <x v="2"/>
    <x v="1"/>
    <s v="GNR_GT_NGAS_BP_E-39"/>
    <x v="0"/>
    <x v="10"/>
    <n v="249.9"/>
    <n v="91213.5"/>
    <n v="328368.59999999998"/>
  </r>
  <r>
    <x v="0"/>
    <x v="0"/>
    <x v="0"/>
    <x v="3"/>
    <x v="7"/>
    <s v="DE4-W_A"/>
    <x v="2"/>
    <x v="1"/>
    <s v="GNR_GT_NGAS_BP_E-39"/>
    <x v="0"/>
    <x v="11"/>
    <n v="249.9"/>
    <n v="91213.5"/>
    <n v="328368.59999999998"/>
  </r>
  <r>
    <x v="0"/>
    <x v="0"/>
    <x v="0"/>
    <x v="3"/>
    <x v="7"/>
    <s v="DE4-W_A"/>
    <x v="2"/>
    <x v="1"/>
    <s v="GNR_GT_NGAS_BP_E-39"/>
    <x v="0"/>
    <x v="12"/>
    <n v="249.9"/>
    <n v="91213.5"/>
    <n v="328368.59999999998"/>
  </r>
  <r>
    <x v="0"/>
    <x v="0"/>
    <x v="0"/>
    <x v="3"/>
    <x v="7"/>
    <s v="DE4-W_A"/>
    <x v="2"/>
    <x v="1"/>
    <s v="GNR_GT_NGAS_BP_E-39"/>
    <x v="0"/>
    <x v="13"/>
    <n v="249.9"/>
    <n v="91213.5"/>
    <n v="328368.59999999998"/>
  </r>
  <r>
    <x v="0"/>
    <x v="0"/>
    <x v="0"/>
    <x v="3"/>
    <x v="7"/>
    <s v="DE4-W_A"/>
    <x v="2"/>
    <x v="1"/>
    <s v="GNR_GT_NGAS_BP_E-39"/>
    <x v="0"/>
    <x v="14"/>
    <n v="249.9"/>
    <n v="91213.5"/>
    <n v="328368.59999999998"/>
  </r>
  <r>
    <x v="0"/>
    <x v="0"/>
    <x v="0"/>
    <x v="3"/>
    <x v="7"/>
    <s v="DE4-W_A"/>
    <x v="2"/>
    <x v="1"/>
    <s v="GNR_GT_NGAS_BP_E-39"/>
    <x v="0"/>
    <x v="15"/>
    <n v="249.9"/>
    <n v="91213.5"/>
    <n v="328368.59999999998"/>
  </r>
  <r>
    <x v="0"/>
    <x v="0"/>
    <x v="0"/>
    <x v="3"/>
    <x v="7"/>
    <s v="DE4-W_A"/>
    <x v="2"/>
    <x v="1"/>
    <s v="GNR_GT_NGAS_BP_E-39"/>
    <x v="0"/>
    <x v="16"/>
    <n v="249.9"/>
    <n v="91213.5"/>
    <n v="328368.59999999998"/>
  </r>
  <r>
    <x v="0"/>
    <x v="0"/>
    <x v="0"/>
    <x v="3"/>
    <x v="7"/>
    <s v="DE4-W_A"/>
    <x v="2"/>
    <x v="1"/>
    <s v="GNR_GT_NGAS_BP_E-39"/>
    <x v="0"/>
    <x v="17"/>
    <n v="249.9"/>
    <n v="91213.5"/>
    <n v="328368.59999999998"/>
  </r>
  <r>
    <x v="0"/>
    <x v="0"/>
    <x v="0"/>
    <x v="3"/>
    <x v="7"/>
    <s v="DE4-W_A"/>
    <x v="2"/>
    <x v="1"/>
    <s v="GNR_GT_NGAS_BP_E-39"/>
    <x v="0"/>
    <x v="18"/>
    <n v="249.9"/>
    <n v="91213.5"/>
    <n v="328368.59999999998"/>
  </r>
  <r>
    <x v="0"/>
    <x v="0"/>
    <x v="0"/>
    <x v="3"/>
    <x v="7"/>
    <s v="DE4-W_A"/>
    <x v="2"/>
    <x v="1"/>
    <s v="GNR_GT_NGAS_BP_E-39"/>
    <x v="0"/>
    <x v="19"/>
    <n v="249.9"/>
    <n v="91213.5"/>
    <n v="328368.59999999998"/>
  </r>
  <r>
    <x v="0"/>
    <x v="0"/>
    <x v="0"/>
    <x v="3"/>
    <x v="7"/>
    <s v="DE4-W_A"/>
    <x v="2"/>
    <x v="1"/>
    <s v="GNR_GT_NGAS_BP_E-39"/>
    <x v="0"/>
    <x v="20"/>
    <n v="249.9"/>
    <n v="91213.5"/>
    <n v="328368.59999999998"/>
  </r>
  <r>
    <x v="0"/>
    <x v="0"/>
    <x v="0"/>
    <x v="3"/>
    <x v="7"/>
    <s v="DE4-W_A"/>
    <x v="2"/>
    <x v="1"/>
    <s v="GNR_GT_NGAS_BP_E-39"/>
    <x v="0"/>
    <x v="21"/>
    <n v="249.9"/>
    <n v="91213.5"/>
    <n v="328368.59999999998"/>
  </r>
  <r>
    <x v="0"/>
    <x v="0"/>
    <x v="0"/>
    <x v="3"/>
    <x v="7"/>
    <s v="DE4-W_A"/>
    <x v="2"/>
    <x v="1"/>
    <s v="GNR_GT_NGAS_BP_E-39"/>
    <x v="0"/>
    <x v="22"/>
    <n v="249.9"/>
    <n v="91213.5"/>
    <n v="328368.59999999998"/>
  </r>
  <r>
    <x v="0"/>
    <x v="0"/>
    <x v="0"/>
    <x v="3"/>
    <x v="7"/>
    <s v="DE4-W_A"/>
    <x v="2"/>
    <x v="1"/>
    <s v="GNR_GT_NGAS_BP_E-39"/>
    <x v="0"/>
    <x v="23"/>
    <n v="249.9"/>
    <n v="91213.5"/>
    <n v="328368.59999999998"/>
  </r>
  <r>
    <x v="0"/>
    <x v="0"/>
    <x v="0"/>
    <x v="3"/>
    <x v="7"/>
    <s v="DE4-W_A"/>
    <x v="2"/>
    <x v="2"/>
    <s v="GNR_GT_NGAS_CND_E-32"/>
    <x v="0"/>
    <x v="8"/>
    <n v="131.68025100116299"/>
    <n v="48063.2916154247"/>
    <n v="173027.84981552901"/>
  </r>
  <r>
    <x v="0"/>
    <x v="0"/>
    <x v="0"/>
    <x v="3"/>
    <x v="7"/>
    <s v="DE4-W_A"/>
    <x v="2"/>
    <x v="2"/>
    <s v="GNR_GT_NGAS_CND_E-32"/>
    <x v="0"/>
    <x v="0"/>
    <n v="581.4"/>
    <n v="212211"/>
    <n v="763959.6"/>
  </r>
  <r>
    <x v="0"/>
    <x v="0"/>
    <x v="0"/>
    <x v="3"/>
    <x v="7"/>
    <s v="DE4-W_A"/>
    <x v="2"/>
    <x v="2"/>
    <s v="GNR_GT_NGAS_CND_E-32"/>
    <x v="0"/>
    <x v="1"/>
    <n v="581.4"/>
    <n v="212211"/>
    <n v="763959.6"/>
  </r>
  <r>
    <x v="0"/>
    <x v="0"/>
    <x v="0"/>
    <x v="3"/>
    <x v="7"/>
    <s v="DE4-W_A"/>
    <x v="2"/>
    <x v="2"/>
    <s v="GNR_GT_NGAS_CND_E-32"/>
    <x v="0"/>
    <x v="2"/>
    <n v="581.4"/>
    <n v="212211"/>
    <n v="763959.6"/>
  </r>
  <r>
    <x v="0"/>
    <x v="0"/>
    <x v="0"/>
    <x v="3"/>
    <x v="7"/>
    <s v="DE4-W_A"/>
    <x v="2"/>
    <x v="2"/>
    <s v="GNR_GT_NGAS_CND_E-32"/>
    <x v="0"/>
    <x v="9"/>
    <n v="581.4"/>
    <n v="212211"/>
    <n v="763959.6"/>
  </r>
  <r>
    <x v="0"/>
    <x v="0"/>
    <x v="0"/>
    <x v="3"/>
    <x v="7"/>
    <s v="DE4-W_A"/>
    <x v="2"/>
    <x v="2"/>
    <s v="GNR_GT_NGAS_CND_E-32"/>
    <x v="0"/>
    <x v="10"/>
    <n v="581.4"/>
    <n v="212211"/>
    <n v="763959.6"/>
  </r>
  <r>
    <x v="0"/>
    <x v="0"/>
    <x v="0"/>
    <x v="3"/>
    <x v="7"/>
    <s v="DE4-W_A"/>
    <x v="2"/>
    <x v="2"/>
    <s v="GNR_GT_NGAS_CND_E-32"/>
    <x v="0"/>
    <x v="11"/>
    <n v="581.4"/>
    <n v="212211"/>
    <n v="763959.6"/>
  </r>
  <r>
    <x v="0"/>
    <x v="0"/>
    <x v="0"/>
    <x v="3"/>
    <x v="7"/>
    <s v="DE4-W_A"/>
    <x v="2"/>
    <x v="2"/>
    <s v="GNR_GT_NGAS_CND_E-32"/>
    <x v="0"/>
    <x v="12"/>
    <n v="581.4"/>
    <n v="212211"/>
    <n v="763959.6"/>
  </r>
  <r>
    <x v="0"/>
    <x v="0"/>
    <x v="0"/>
    <x v="3"/>
    <x v="7"/>
    <s v="DE4-W_A"/>
    <x v="2"/>
    <x v="2"/>
    <s v="GNR_GT_NGAS_CND_E-32"/>
    <x v="0"/>
    <x v="13"/>
    <n v="581.4"/>
    <n v="212211"/>
    <n v="763959.6"/>
  </r>
  <r>
    <x v="0"/>
    <x v="0"/>
    <x v="0"/>
    <x v="3"/>
    <x v="7"/>
    <s v="DE4-W_A"/>
    <x v="2"/>
    <x v="2"/>
    <s v="GNR_GT_NGAS_CND_E-32"/>
    <x v="0"/>
    <x v="14"/>
    <n v="581.4"/>
    <n v="212211"/>
    <n v="763959.6"/>
  </r>
  <r>
    <x v="0"/>
    <x v="0"/>
    <x v="0"/>
    <x v="3"/>
    <x v="7"/>
    <s v="DE4-W_A"/>
    <x v="2"/>
    <x v="2"/>
    <s v="GNR_GT_NGAS_CND_E-32"/>
    <x v="0"/>
    <x v="15"/>
    <n v="581.4"/>
    <n v="212211"/>
    <n v="763959.6"/>
  </r>
  <r>
    <x v="0"/>
    <x v="0"/>
    <x v="0"/>
    <x v="3"/>
    <x v="7"/>
    <s v="DE4-W_A"/>
    <x v="2"/>
    <x v="2"/>
    <s v="GNR_GT_NGAS_CND_E-32"/>
    <x v="0"/>
    <x v="16"/>
    <n v="581.4"/>
    <n v="212211"/>
    <n v="763959.6"/>
  </r>
  <r>
    <x v="0"/>
    <x v="0"/>
    <x v="0"/>
    <x v="3"/>
    <x v="7"/>
    <s v="DE4-W_A"/>
    <x v="2"/>
    <x v="2"/>
    <s v="GNR_GT_NGAS_CND_E-32"/>
    <x v="0"/>
    <x v="17"/>
    <n v="581.4"/>
    <n v="212211"/>
    <n v="763959.6"/>
  </r>
  <r>
    <x v="0"/>
    <x v="0"/>
    <x v="0"/>
    <x v="3"/>
    <x v="7"/>
    <s v="DE4-W_A"/>
    <x v="2"/>
    <x v="2"/>
    <s v="GNR_GT_NGAS_CND_E-32"/>
    <x v="0"/>
    <x v="18"/>
    <n v="581.4"/>
    <n v="212211"/>
    <n v="763959.6"/>
  </r>
  <r>
    <x v="0"/>
    <x v="0"/>
    <x v="0"/>
    <x v="3"/>
    <x v="7"/>
    <s v="DE4-W_A"/>
    <x v="2"/>
    <x v="2"/>
    <s v="GNR_GT_NGAS_CND_E-32"/>
    <x v="0"/>
    <x v="19"/>
    <n v="581.4"/>
    <n v="212211"/>
    <n v="763959.6"/>
  </r>
  <r>
    <x v="0"/>
    <x v="0"/>
    <x v="0"/>
    <x v="3"/>
    <x v="7"/>
    <s v="DE4-W_A"/>
    <x v="2"/>
    <x v="2"/>
    <s v="GNR_GT_NGAS_CND_E-32"/>
    <x v="0"/>
    <x v="20"/>
    <n v="581.4"/>
    <n v="212211"/>
    <n v="763959.6"/>
  </r>
  <r>
    <x v="0"/>
    <x v="0"/>
    <x v="0"/>
    <x v="3"/>
    <x v="7"/>
    <s v="DE4-W_A"/>
    <x v="2"/>
    <x v="2"/>
    <s v="GNR_GT_NGAS_CND_E-40"/>
    <x v="0"/>
    <x v="3"/>
    <n v="865"/>
    <n v="315725"/>
    <n v="1136610"/>
  </r>
  <r>
    <x v="0"/>
    <x v="0"/>
    <x v="0"/>
    <x v="3"/>
    <x v="7"/>
    <s v="DE4-W_A"/>
    <x v="2"/>
    <x v="2"/>
    <s v="GNR_GT_NGAS_CND_E-40"/>
    <x v="0"/>
    <x v="4"/>
    <n v="865"/>
    <n v="315725"/>
    <n v="1136610"/>
  </r>
  <r>
    <x v="0"/>
    <x v="0"/>
    <x v="0"/>
    <x v="3"/>
    <x v="7"/>
    <s v="DE4-W_A"/>
    <x v="2"/>
    <x v="2"/>
    <s v="GNR_GT_NGAS_CND_E-40"/>
    <x v="0"/>
    <x v="5"/>
    <n v="865"/>
    <n v="315725"/>
    <n v="1136610"/>
  </r>
  <r>
    <x v="0"/>
    <x v="0"/>
    <x v="0"/>
    <x v="3"/>
    <x v="7"/>
    <s v="DE4-W_A"/>
    <x v="2"/>
    <x v="2"/>
    <s v="GNR_GT_NGAS_CND_E-40"/>
    <x v="0"/>
    <x v="6"/>
    <n v="865"/>
    <n v="315725"/>
    <n v="1136610"/>
  </r>
  <r>
    <x v="0"/>
    <x v="0"/>
    <x v="0"/>
    <x v="3"/>
    <x v="7"/>
    <s v="DE4-W_A"/>
    <x v="2"/>
    <x v="2"/>
    <s v="GNR_GT_NGAS_CND_E-40"/>
    <x v="0"/>
    <x v="7"/>
    <n v="865"/>
    <n v="315725"/>
    <n v="1136610"/>
  </r>
  <r>
    <x v="0"/>
    <x v="0"/>
    <x v="0"/>
    <x v="3"/>
    <x v="7"/>
    <s v="DE4-W_A"/>
    <x v="2"/>
    <x v="2"/>
    <s v="GNR_GT_NGAS_CND_E-40"/>
    <x v="0"/>
    <x v="8"/>
    <n v="865"/>
    <n v="315725"/>
    <n v="1136610"/>
  </r>
  <r>
    <x v="0"/>
    <x v="0"/>
    <x v="0"/>
    <x v="3"/>
    <x v="7"/>
    <s v="DE4-W_A"/>
    <x v="2"/>
    <x v="2"/>
    <s v="GNR_GT_NGAS_CND_E-40"/>
    <x v="0"/>
    <x v="0"/>
    <n v="865"/>
    <n v="315725"/>
    <n v="1136610"/>
  </r>
  <r>
    <x v="0"/>
    <x v="0"/>
    <x v="0"/>
    <x v="3"/>
    <x v="7"/>
    <s v="DE4-W_A"/>
    <x v="2"/>
    <x v="2"/>
    <s v="GNR_GT_NGAS_CND_E-40"/>
    <x v="0"/>
    <x v="1"/>
    <n v="865"/>
    <n v="315725"/>
    <n v="1136610"/>
  </r>
  <r>
    <x v="0"/>
    <x v="0"/>
    <x v="0"/>
    <x v="3"/>
    <x v="7"/>
    <s v="DE4-W_A"/>
    <x v="2"/>
    <x v="2"/>
    <s v="GNR_GT_NGAS_CND_E-40"/>
    <x v="0"/>
    <x v="2"/>
    <n v="865"/>
    <n v="315725"/>
    <n v="1136610"/>
  </r>
  <r>
    <x v="0"/>
    <x v="0"/>
    <x v="0"/>
    <x v="3"/>
    <x v="7"/>
    <s v="DE4-W_A"/>
    <x v="2"/>
    <x v="2"/>
    <s v="GNR_GT_NGAS_CND_E-40"/>
    <x v="0"/>
    <x v="9"/>
    <n v="865"/>
    <n v="315725"/>
    <n v="1136610"/>
  </r>
  <r>
    <x v="0"/>
    <x v="0"/>
    <x v="0"/>
    <x v="3"/>
    <x v="7"/>
    <s v="DE4-W_A"/>
    <x v="2"/>
    <x v="2"/>
    <s v="GNR_GT_NGAS_CND_E-40"/>
    <x v="0"/>
    <x v="10"/>
    <n v="865"/>
    <n v="315725"/>
    <n v="1136610"/>
  </r>
  <r>
    <x v="0"/>
    <x v="0"/>
    <x v="0"/>
    <x v="3"/>
    <x v="7"/>
    <s v="DE4-W_A"/>
    <x v="2"/>
    <x v="2"/>
    <s v="GNR_GT_NGAS_CND_E-40"/>
    <x v="0"/>
    <x v="11"/>
    <n v="865"/>
    <n v="315725"/>
    <n v="1136610"/>
  </r>
  <r>
    <x v="0"/>
    <x v="0"/>
    <x v="0"/>
    <x v="3"/>
    <x v="7"/>
    <s v="DE4-W_A"/>
    <x v="2"/>
    <x v="2"/>
    <s v="GNR_GT_NGAS_CND_E-40"/>
    <x v="0"/>
    <x v="12"/>
    <n v="865"/>
    <n v="315725"/>
    <n v="1136610"/>
  </r>
  <r>
    <x v="0"/>
    <x v="0"/>
    <x v="0"/>
    <x v="3"/>
    <x v="7"/>
    <s v="DE4-W_A"/>
    <x v="2"/>
    <x v="2"/>
    <s v="GNR_GT_NGAS_CND_E-40"/>
    <x v="0"/>
    <x v="13"/>
    <n v="865"/>
    <n v="315725"/>
    <n v="1136610"/>
  </r>
  <r>
    <x v="0"/>
    <x v="0"/>
    <x v="0"/>
    <x v="3"/>
    <x v="7"/>
    <s v="DE4-W_A"/>
    <x v="2"/>
    <x v="2"/>
    <s v="GNR_GT_NGAS_CND_E-40"/>
    <x v="0"/>
    <x v="14"/>
    <n v="865"/>
    <n v="315725"/>
    <n v="1136610"/>
  </r>
  <r>
    <x v="0"/>
    <x v="0"/>
    <x v="0"/>
    <x v="3"/>
    <x v="7"/>
    <s v="DE4-W_A"/>
    <x v="2"/>
    <x v="2"/>
    <s v="GNR_GT_NGAS_CND_E-40"/>
    <x v="0"/>
    <x v="15"/>
    <n v="865"/>
    <n v="315725"/>
    <n v="1136610"/>
  </r>
  <r>
    <x v="0"/>
    <x v="0"/>
    <x v="0"/>
    <x v="3"/>
    <x v="7"/>
    <s v="DE4-W_A"/>
    <x v="2"/>
    <x v="2"/>
    <s v="GNR_GT_NGAS_CND_E-40"/>
    <x v="0"/>
    <x v="16"/>
    <n v="865"/>
    <n v="315725"/>
    <n v="1136610"/>
  </r>
  <r>
    <x v="0"/>
    <x v="0"/>
    <x v="0"/>
    <x v="3"/>
    <x v="7"/>
    <s v="DE4-W_A"/>
    <x v="2"/>
    <x v="2"/>
    <s v="GNR_GT_NGAS_CND_E-40"/>
    <x v="0"/>
    <x v="17"/>
    <n v="865"/>
    <n v="315725"/>
    <n v="1136610"/>
  </r>
  <r>
    <x v="0"/>
    <x v="0"/>
    <x v="0"/>
    <x v="3"/>
    <x v="7"/>
    <s v="DE4-W_A"/>
    <x v="2"/>
    <x v="2"/>
    <s v="GNR_GT_NGAS_CND_E-40"/>
    <x v="0"/>
    <x v="18"/>
    <n v="865"/>
    <n v="315725"/>
    <n v="1136610"/>
  </r>
  <r>
    <x v="0"/>
    <x v="0"/>
    <x v="0"/>
    <x v="3"/>
    <x v="7"/>
    <s v="DE4-W_A"/>
    <x v="2"/>
    <x v="2"/>
    <s v="GNR_GT_NGAS_CND_E-40"/>
    <x v="0"/>
    <x v="19"/>
    <n v="865"/>
    <n v="315725"/>
    <n v="1136610"/>
  </r>
  <r>
    <x v="0"/>
    <x v="0"/>
    <x v="0"/>
    <x v="3"/>
    <x v="7"/>
    <s v="DE4-W_A"/>
    <x v="2"/>
    <x v="2"/>
    <s v="GNR_GT_NGAS_CND_E-40"/>
    <x v="0"/>
    <x v="20"/>
    <n v="865"/>
    <n v="315725"/>
    <n v="1136610"/>
  </r>
  <r>
    <x v="0"/>
    <x v="0"/>
    <x v="0"/>
    <x v="3"/>
    <x v="7"/>
    <s v="DE4-W_A"/>
    <x v="2"/>
    <x v="2"/>
    <s v="GNR_GT_NGAS_CND_E-40"/>
    <x v="0"/>
    <x v="21"/>
    <n v="865"/>
    <n v="315725"/>
    <n v="1136610"/>
  </r>
  <r>
    <x v="0"/>
    <x v="0"/>
    <x v="0"/>
    <x v="3"/>
    <x v="7"/>
    <s v="DE4-W_A"/>
    <x v="2"/>
    <x v="2"/>
    <s v="GNR_GT_NGAS_CND_E-40"/>
    <x v="0"/>
    <x v="22"/>
    <n v="865"/>
    <n v="315725"/>
    <n v="1136610"/>
  </r>
  <r>
    <x v="0"/>
    <x v="0"/>
    <x v="0"/>
    <x v="3"/>
    <x v="7"/>
    <s v="DE4-W_A"/>
    <x v="2"/>
    <x v="2"/>
    <s v="GNR_GT_NGAS_CND_E-40"/>
    <x v="0"/>
    <x v="23"/>
    <n v="865"/>
    <n v="315725"/>
    <n v="1136610"/>
  </r>
  <r>
    <x v="0"/>
    <x v="0"/>
    <x v="0"/>
    <x v="3"/>
    <x v="7"/>
    <s v="DE4-W_A"/>
    <x v="2"/>
    <x v="1"/>
    <s v="GNR_ST_NGAS_BP_E-33"/>
    <x v="0"/>
    <x v="0"/>
    <n v="203.9"/>
    <n v="74423.5"/>
    <n v="267924.59999999998"/>
  </r>
  <r>
    <x v="0"/>
    <x v="0"/>
    <x v="0"/>
    <x v="3"/>
    <x v="7"/>
    <s v="DE4-W_A"/>
    <x v="2"/>
    <x v="1"/>
    <s v="GNR_ST_NGAS_BP_E-33"/>
    <x v="0"/>
    <x v="1"/>
    <n v="203.9"/>
    <n v="74423.5"/>
    <n v="267924.59999999998"/>
  </r>
  <r>
    <x v="0"/>
    <x v="0"/>
    <x v="0"/>
    <x v="3"/>
    <x v="7"/>
    <s v="DE4-W_A"/>
    <x v="2"/>
    <x v="1"/>
    <s v="GNR_ST_NGAS_BP_E-33"/>
    <x v="0"/>
    <x v="2"/>
    <n v="203.9"/>
    <n v="74423.5"/>
    <n v="267924.59999999998"/>
  </r>
  <r>
    <x v="0"/>
    <x v="0"/>
    <x v="0"/>
    <x v="3"/>
    <x v="7"/>
    <s v="DE4-W_A"/>
    <x v="2"/>
    <x v="1"/>
    <s v="GNR_ST_NGAS_BP_E-33"/>
    <x v="0"/>
    <x v="9"/>
    <n v="203.9"/>
    <n v="74423.5"/>
    <n v="267924.59999999998"/>
  </r>
  <r>
    <x v="0"/>
    <x v="0"/>
    <x v="0"/>
    <x v="3"/>
    <x v="7"/>
    <s v="DE4-W_A"/>
    <x v="2"/>
    <x v="1"/>
    <s v="GNR_ST_NGAS_BP_E-33"/>
    <x v="0"/>
    <x v="10"/>
    <n v="203.9"/>
    <n v="74423.5"/>
    <n v="267924.59999999998"/>
  </r>
  <r>
    <x v="0"/>
    <x v="0"/>
    <x v="0"/>
    <x v="3"/>
    <x v="7"/>
    <s v="DE4-W_A"/>
    <x v="2"/>
    <x v="1"/>
    <s v="GNR_ST_NGAS_BP_E-33"/>
    <x v="0"/>
    <x v="11"/>
    <n v="203.9"/>
    <n v="74423.5"/>
    <n v="267924.59999999998"/>
  </r>
  <r>
    <x v="0"/>
    <x v="0"/>
    <x v="0"/>
    <x v="3"/>
    <x v="7"/>
    <s v="DE4-W_A"/>
    <x v="2"/>
    <x v="1"/>
    <s v="GNR_ST_NGAS_BP_E-33"/>
    <x v="0"/>
    <x v="12"/>
    <n v="203.9"/>
    <n v="74423.5"/>
    <n v="267924.59999999998"/>
  </r>
  <r>
    <x v="0"/>
    <x v="0"/>
    <x v="0"/>
    <x v="3"/>
    <x v="7"/>
    <s v="DE4-W_A"/>
    <x v="2"/>
    <x v="1"/>
    <s v="GNR_ST_NGAS_BP_E-33"/>
    <x v="0"/>
    <x v="13"/>
    <n v="203.9"/>
    <n v="74423.5"/>
    <n v="267924.59999999998"/>
  </r>
  <r>
    <x v="0"/>
    <x v="0"/>
    <x v="0"/>
    <x v="3"/>
    <x v="7"/>
    <s v="DE4-W_A"/>
    <x v="2"/>
    <x v="1"/>
    <s v="GNR_ST_NGAS_BP_E-33"/>
    <x v="0"/>
    <x v="14"/>
    <n v="203.9"/>
    <n v="74423.5"/>
    <n v="267924.59999999998"/>
  </r>
  <r>
    <x v="0"/>
    <x v="0"/>
    <x v="0"/>
    <x v="3"/>
    <x v="7"/>
    <s v="DE4-W_A"/>
    <x v="2"/>
    <x v="1"/>
    <s v="GNR_ST_NGAS_BP_E-33"/>
    <x v="0"/>
    <x v="15"/>
    <n v="203.9"/>
    <n v="74423.5"/>
    <n v="267924.59999999998"/>
  </r>
  <r>
    <x v="0"/>
    <x v="0"/>
    <x v="0"/>
    <x v="3"/>
    <x v="7"/>
    <s v="DE4-W_A"/>
    <x v="2"/>
    <x v="1"/>
    <s v="GNR_ST_NGAS_BP_E-33"/>
    <x v="0"/>
    <x v="16"/>
    <n v="203.9"/>
    <n v="74423.5"/>
    <n v="267924.59999999998"/>
  </r>
  <r>
    <x v="0"/>
    <x v="0"/>
    <x v="0"/>
    <x v="3"/>
    <x v="7"/>
    <s v="DE4-W_A"/>
    <x v="2"/>
    <x v="1"/>
    <s v="GNR_ST_NGAS_BP_E-33"/>
    <x v="0"/>
    <x v="17"/>
    <n v="203.9"/>
    <n v="74423.5"/>
    <n v="267924.59999999998"/>
  </r>
  <r>
    <x v="0"/>
    <x v="0"/>
    <x v="0"/>
    <x v="3"/>
    <x v="7"/>
    <s v="DE4-W_A"/>
    <x v="2"/>
    <x v="1"/>
    <s v="GNR_ST_NGAS_BP_E-33"/>
    <x v="0"/>
    <x v="18"/>
    <n v="203.9"/>
    <n v="74423.5"/>
    <n v="267924.59999999998"/>
  </r>
  <r>
    <x v="0"/>
    <x v="0"/>
    <x v="0"/>
    <x v="3"/>
    <x v="7"/>
    <s v="DE4-W_A"/>
    <x v="2"/>
    <x v="1"/>
    <s v="GNR_ST_NGAS_BP_E-33"/>
    <x v="0"/>
    <x v="19"/>
    <n v="203.9"/>
    <n v="74423.5"/>
    <n v="267924.59999999998"/>
  </r>
  <r>
    <x v="0"/>
    <x v="0"/>
    <x v="0"/>
    <x v="3"/>
    <x v="7"/>
    <s v="DE4-W_A"/>
    <x v="2"/>
    <x v="1"/>
    <s v="GNR_ST_NGAS_BP_E-33"/>
    <x v="0"/>
    <x v="20"/>
    <n v="203.9"/>
    <n v="74423.5"/>
    <n v="267924.59999999998"/>
  </r>
  <r>
    <x v="0"/>
    <x v="0"/>
    <x v="0"/>
    <x v="3"/>
    <x v="7"/>
    <s v="DE4-W_A"/>
    <x v="2"/>
    <x v="1"/>
    <s v="GNR_ST_NGAS_BP_E-38"/>
    <x v="0"/>
    <x v="3"/>
    <n v="2148.3000000000002"/>
    <n v="784129.5"/>
    <n v="2822866.2"/>
  </r>
  <r>
    <x v="0"/>
    <x v="0"/>
    <x v="0"/>
    <x v="3"/>
    <x v="7"/>
    <s v="DE4-W_A"/>
    <x v="2"/>
    <x v="1"/>
    <s v="GNR_ST_NGAS_BP_E-38"/>
    <x v="0"/>
    <x v="4"/>
    <n v="2148.3000000000002"/>
    <n v="784129.5"/>
    <n v="2822866.2"/>
  </r>
  <r>
    <x v="0"/>
    <x v="0"/>
    <x v="0"/>
    <x v="3"/>
    <x v="7"/>
    <s v="DE4-W_A"/>
    <x v="2"/>
    <x v="1"/>
    <s v="GNR_ST_NGAS_BP_E-38"/>
    <x v="0"/>
    <x v="5"/>
    <n v="2148.3000000000002"/>
    <n v="784129.5"/>
    <n v="2822866.2"/>
  </r>
  <r>
    <x v="0"/>
    <x v="0"/>
    <x v="0"/>
    <x v="3"/>
    <x v="7"/>
    <s v="DE4-W_A"/>
    <x v="2"/>
    <x v="1"/>
    <s v="GNR_ST_NGAS_BP_E-38"/>
    <x v="0"/>
    <x v="6"/>
    <n v="2148.3000000000002"/>
    <n v="784129.5"/>
    <n v="2822866.2"/>
  </r>
  <r>
    <x v="0"/>
    <x v="0"/>
    <x v="0"/>
    <x v="3"/>
    <x v="7"/>
    <s v="DE4-W_A"/>
    <x v="2"/>
    <x v="1"/>
    <s v="GNR_ST_NGAS_BP_E-38"/>
    <x v="0"/>
    <x v="7"/>
    <n v="2148.3000000000002"/>
    <n v="784129.5"/>
    <n v="2822866.2"/>
  </r>
  <r>
    <x v="0"/>
    <x v="0"/>
    <x v="0"/>
    <x v="3"/>
    <x v="7"/>
    <s v="DE4-W_A"/>
    <x v="2"/>
    <x v="1"/>
    <s v="GNR_ST_NGAS_BP_E-38"/>
    <x v="0"/>
    <x v="8"/>
    <n v="2148.3000000000002"/>
    <n v="784129.5"/>
    <n v="2822866.2"/>
  </r>
  <r>
    <x v="0"/>
    <x v="0"/>
    <x v="0"/>
    <x v="3"/>
    <x v="7"/>
    <s v="DE4-W_A"/>
    <x v="2"/>
    <x v="1"/>
    <s v="GNR_ST_NGAS_BP_E-38"/>
    <x v="0"/>
    <x v="0"/>
    <n v="2148.3000000000002"/>
    <n v="784129.5"/>
    <n v="2822866.2"/>
  </r>
  <r>
    <x v="0"/>
    <x v="0"/>
    <x v="0"/>
    <x v="3"/>
    <x v="7"/>
    <s v="DE4-W_A"/>
    <x v="2"/>
    <x v="1"/>
    <s v="GNR_ST_NGAS_BP_E-38"/>
    <x v="0"/>
    <x v="1"/>
    <n v="2148.3000000000002"/>
    <n v="784129.5"/>
    <n v="2822866.2"/>
  </r>
  <r>
    <x v="0"/>
    <x v="0"/>
    <x v="0"/>
    <x v="3"/>
    <x v="7"/>
    <s v="DE4-W_A"/>
    <x v="2"/>
    <x v="1"/>
    <s v="GNR_ST_NGAS_BP_E-38"/>
    <x v="0"/>
    <x v="2"/>
    <n v="2148.3000000000002"/>
    <n v="784129.5"/>
    <n v="2822866.2"/>
  </r>
  <r>
    <x v="0"/>
    <x v="0"/>
    <x v="0"/>
    <x v="3"/>
    <x v="7"/>
    <s v="DE4-W_A"/>
    <x v="2"/>
    <x v="1"/>
    <s v="GNR_ST_NGAS_BP_E-38"/>
    <x v="0"/>
    <x v="9"/>
    <n v="2148.3000000000002"/>
    <n v="784129.5"/>
    <n v="2822866.2"/>
  </r>
  <r>
    <x v="0"/>
    <x v="0"/>
    <x v="0"/>
    <x v="3"/>
    <x v="7"/>
    <s v="DE4-W_A"/>
    <x v="2"/>
    <x v="1"/>
    <s v="GNR_ST_NGAS_BP_E-38"/>
    <x v="0"/>
    <x v="10"/>
    <n v="2148.3000000000002"/>
    <n v="784129.5"/>
    <n v="2822866.2"/>
  </r>
  <r>
    <x v="0"/>
    <x v="0"/>
    <x v="0"/>
    <x v="3"/>
    <x v="7"/>
    <s v="DE4-W_A"/>
    <x v="2"/>
    <x v="1"/>
    <s v="GNR_ST_NGAS_BP_E-38"/>
    <x v="0"/>
    <x v="11"/>
    <n v="2148.3000000000002"/>
    <n v="784129.5"/>
    <n v="2822866.2"/>
  </r>
  <r>
    <x v="0"/>
    <x v="0"/>
    <x v="0"/>
    <x v="3"/>
    <x v="7"/>
    <s v="DE4-W_A"/>
    <x v="2"/>
    <x v="1"/>
    <s v="GNR_ST_NGAS_BP_E-38"/>
    <x v="0"/>
    <x v="12"/>
    <n v="2148.3000000000002"/>
    <n v="784129.5"/>
    <n v="2822866.2"/>
  </r>
  <r>
    <x v="0"/>
    <x v="0"/>
    <x v="0"/>
    <x v="3"/>
    <x v="7"/>
    <s v="DE4-W_A"/>
    <x v="2"/>
    <x v="1"/>
    <s v="GNR_ST_NGAS_BP_E-38"/>
    <x v="0"/>
    <x v="13"/>
    <n v="2148.3000000000002"/>
    <n v="784129.5"/>
    <n v="2822866.2"/>
  </r>
  <r>
    <x v="0"/>
    <x v="0"/>
    <x v="0"/>
    <x v="3"/>
    <x v="7"/>
    <s v="DE4-W_A"/>
    <x v="2"/>
    <x v="1"/>
    <s v="GNR_ST_NGAS_BP_E-38"/>
    <x v="0"/>
    <x v="14"/>
    <n v="2148.3000000000002"/>
    <n v="784129.5"/>
    <n v="2822866.2"/>
  </r>
  <r>
    <x v="0"/>
    <x v="0"/>
    <x v="0"/>
    <x v="3"/>
    <x v="7"/>
    <s v="DE4-W_A"/>
    <x v="2"/>
    <x v="1"/>
    <s v="GNR_ST_NGAS_BP_E-38"/>
    <x v="0"/>
    <x v="15"/>
    <n v="2148.3000000000002"/>
    <n v="784129.5"/>
    <n v="2822866.2"/>
  </r>
  <r>
    <x v="0"/>
    <x v="0"/>
    <x v="0"/>
    <x v="3"/>
    <x v="7"/>
    <s v="DE4-W_A"/>
    <x v="2"/>
    <x v="1"/>
    <s v="GNR_ST_NGAS_BP_E-38"/>
    <x v="0"/>
    <x v="16"/>
    <n v="2148.3000000000002"/>
    <n v="784129.5"/>
    <n v="2822866.2"/>
  </r>
  <r>
    <x v="0"/>
    <x v="0"/>
    <x v="0"/>
    <x v="3"/>
    <x v="7"/>
    <s v="DE4-W_A"/>
    <x v="2"/>
    <x v="1"/>
    <s v="GNR_ST_NGAS_BP_E-38"/>
    <x v="0"/>
    <x v="17"/>
    <n v="2148.3000000000002"/>
    <n v="784129.5"/>
    <n v="2822866.2"/>
  </r>
  <r>
    <x v="0"/>
    <x v="0"/>
    <x v="0"/>
    <x v="3"/>
    <x v="7"/>
    <s v="DE4-W_A"/>
    <x v="2"/>
    <x v="1"/>
    <s v="GNR_ST_NGAS_BP_E-38"/>
    <x v="0"/>
    <x v="18"/>
    <n v="2148.3000000000002"/>
    <n v="784129.5"/>
    <n v="2822866.2"/>
  </r>
  <r>
    <x v="0"/>
    <x v="0"/>
    <x v="0"/>
    <x v="3"/>
    <x v="7"/>
    <s v="DE4-W_A"/>
    <x v="2"/>
    <x v="1"/>
    <s v="GNR_ST_NGAS_BP_E-38"/>
    <x v="0"/>
    <x v="19"/>
    <n v="2148.3000000000002"/>
    <n v="784129.5"/>
    <n v="2822866.2"/>
  </r>
  <r>
    <x v="0"/>
    <x v="0"/>
    <x v="0"/>
    <x v="3"/>
    <x v="7"/>
    <s v="DE4-W_A"/>
    <x v="2"/>
    <x v="1"/>
    <s v="GNR_ST_NGAS_BP_E-38"/>
    <x v="0"/>
    <x v="20"/>
    <n v="2148.3000000000002"/>
    <n v="784129.5"/>
    <n v="2822866.2"/>
  </r>
  <r>
    <x v="0"/>
    <x v="0"/>
    <x v="0"/>
    <x v="3"/>
    <x v="7"/>
    <s v="DE4-W_A"/>
    <x v="2"/>
    <x v="1"/>
    <s v="GNR_ST_NGAS_BP_E-38"/>
    <x v="0"/>
    <x v="21"/>
    <n v="2148.3000000000002"/>
    <n v="784129.5"/>
    <n v="2822866.2"/>
  </r>
  <r>
    <x v="0"/>
    <x v="0"/>
    <x v="0"/>
    <x v="3"/>
    <x v="7"/>
    <s v="DE4-W_A"/>
    <x v="2"/>
    <x v="1"/>
    <s v="GNR_ST_NGAS_BP_E-38"/>
    <x v="0"/>
    <x v="22"/>
    <n v="2148.3000000000002"/>
    <n v="784129.5"/>
    <n v="2822866.2"/>
  </r>
  <r>
    <x v="0"/>
    <x v="0"/>
    <x v="0"/>
    <x v="3"/>
    <x v="7"/>
    <s v="DE4-W_A"/>
    <x v="2"/>
    <x v="1"/>
    <s v="GNR_ST_NGAS_BP_E-38"/>
    <x v="0"/>
    <x v="23"/>
    <n v="2148.3000000000002"/>
    <n v="784129.5"/>
    <n v="2822866.2"/>
  </r>
  <r>
    <x v="0"/>
    <x v="0"/>
    <x v="0"/>
    <x v="3"/>
    <x v="7"/>
    <s v="DE4-W_A"/>
    <x v="2"/>
    <x v="2"/>
    <s v="GNR_ST_NGAS_CND_E-36"/>
    <x v="0"/>
    <x v="3"/>
    <n v="2176"/>
    <n v="794240"/>
    <n v="2859264"/>
  </r>
  <r>
    <x v="0"/>
    <x v="0"/>
    <x v="0"/>
    <x v="3"/>
    <x v="7"/>
    <s v="DE4-W_A"/>
    <x v="2"/>
    <x v="2"/>
    <s v="GNR_ST_NGAS_CND_E-36"/>
    <x v="0"/>
    <x v="4"/>
    <n v="2176"/>
    <n v="794240"/>
    <n v="2859264"/>
  </r>
  <r>
    <x v="0"/>
    <x v="0"/>
    <x v="0"/>
    <x v="3"/>
    <x v="7"/>
    <s v="DE4-W_A"/>
    <x v="2"/>
    <x v="2"/>
    <s v="GNR_ST_NGAS_CND_E-36"/>
    <x v="0"/>
    <x v="5"/>
    <n v="2176"/>
    <n v="794240"/>
    <n v="2859264"/>
  </r>
  <r>
    <x v="0"/>
    <x v="0"/>
    <x v="0"/>
    <x v="3"/>
    <x v="7"/>
    <s v="DE4-W_A"/>
    <x v="2"/>
    <x v="2"/>
    <s v="GNR_ST_NGAS_CND_E-36"/>
    <x v="0"/>
    <x v="6"/>
    <n v="2176"/>
    <n v="794240"/>
    <n v="2859264"/>
  </r>
  <r>
    <x v="0"/>
    <x v="0"/>
    <x v="0"/>
    <x v="3"/>
    <x v="7"/>
    <s v="DE4-W_A"/>
    <x v="2"/>
    <x v="2"/>
    <s v="GNR_ST_NGAS_CND_E-36"/>
    <x v="0"/>
    <x v="7"/>
    <n v="2176"/>
    <n v="794240"/>
    <n v="2859264"/>
  </r>
  <r>
    <x v="0"/>
    <x v="0"/>
    <x v="0"/>
    <x v="3"/>
    <x v="7"/>
    <s v="DE4-W_A"/>
    <x v="2"/>
    <x v="2"/>
    <s v="GNR_ST_NGAS_CND_E-36"/>
    <x v="0"/>
    <x v="8"/>
    <n v="2176"/>
    <n v="794240"/>
    <n v="2859264"/>
  </r>
  <r>
    <x v="0"/>
    <x v="0"/>
    <x v="0"/>
    <x v="3"/>
    <x v="7"/>
    <s v="DE4-W_A"/>
    <x v="2"/>
    <x v="2"/>
    <s v="GNR_ST_NGAS_CND_E-36"/>
    <x v="0"/>
    <x v="0"/>
    <n v="2176"/>
    <n v="794240"/>
    <n v="2859264"/>
  </r>
  <r>
    <x v="0"/>
    <x v="0"/>
    <x v="0"/>
    <x v="3"/>
    <x v="7"/>
    <s v="DE4-W_A"/>
    <x v="2"/>
    <x v="2"/>
    <s v="GNR_ST_NGAS_CND_E-36"/>
    <x v="0"/>
    <x v="1"/>
    <n v="2176"/>
    <n v="794240"/>
    <n v="2859264"/>
  </r>
  <r>
    <x v="0"/>
    <x v="0"/>
    <x v="0"/>
    <x v="3"/>
    <x v="7"/>
    <s v="DE4-W_A"/>
    <x v="2"/>
    <x v="2"/>
    <s v="GNR_ST_NGAS_CND_E-36"/>
    <x v="0"/>
    <x v="2"/>
    <n v="2176"/>
    <n v="794240"/>
    <n v="2859264"/>
  </r>
  <r>
    <x v="0"/>
    <x v="0"/>
    <x v="0"/>
    <x v="3"/>
    <x v="7"/>
    <s v="DE4-W_A"/>
    <x v="2"/>
    <x v="2"/>
    <s v="GNR_ST_NGAS_CND_E-36"/>
    <x v="0"/>
    <x v="9"/>
    <n v="2176"/>
    <n v="794240"/>
    <n v="2859264"/>
  </r>
  <r>
    <x v="0"/>
    <x v="0"/>
    <x v="0"/>
    <x v="3"/>
    <x v="7"/>
    <s v="DE4-W_A"/>
    <x v="2"/>
    <x v="2"/>
    <s v="GNR_ST_NGAS_CND_E-36"/>
    <x v="0"/>
    <x v="10"/>
    <n v="2176"/>
    <n v="794240"/>
    <n v="2859264"/>
  </r>
  <r>
    <x v="0"/>
    <x v="0"/>
    <x v="0"/>
    <x v="3"/>
    <x v="7"/>
    <s v="DE4-W_A"/>
    <x v="2"/>
    <x v="2"/>
    <s v="GNR_ST_NGAS_CND_E-36"/>
    <x v="0"/>
    <x v="11"/>
    <n v="2176"/>
    <n v="794240"/>
    <n v="2859264"/>
  </r>
  <r>
    <x v="0"/>
    <x v="0"/>
    <x v="0"/>
    <x v="3"/>
    <x v="7"/>
    <s v="DE4-W_A"/>
    <x v="2"/>
    <x v="2"/>
    <s v="GNR_ST_NGAS_CND_E-36"/>
    <x v="0"/>
    <x v="12"/>
    <n v="2176"/>
    <n v="794240"/>
    <n v="2859264"/>
  </r>
  <r>
    <x v="0"/>
    <x v="0"/>
    <x v="0"/>
    <x v="3"/>
    <x v="7"/>
    <s v="DE4-W_A"/>
    <x v="2"/>
    <x v="2"/>
    <s v="GNR_ST_NGAS_CND_E-36"/>
    <x v="0"/>
    <x v="13"/>
    <n v="2176"/>
    <n v="794240"/>
    <n v="2859264"/>
  </r>
  <r>
    <x v="0"/>
    <x v="0"/>
    <x v="0"/>
    <x v="3"/>
    <x v="7"/>
    <s v="DE4-W_A"/>
    <x v="2"/>
    <x v="2"/>
    <s v="GNR_ST_NGAS_CND_E-36"/>
    <x v="0"/>
    <x v="14"/>
    <n v="2176"/>
    <n v="794240"/>
    <n v="2859264"/>
  </r>
  <r>
    <x v="0"/>
    <x v="0"/>
    <x v="0"/>
    <x v="3"/>
    <x v="7"/>
    <s v="DE4-W_A"/>
    <x v="2"/>
    <x v="2"/>
    <s v="GNR_ST_NGAS_CND_E-36"/>
    <x v="0"/>
    <x v="15"/>
    <n v="2176"/>
    <n v="794240"/>
    <n v="2859264"/>
  </r>
  <r>
    <x v="0"/>
    <x v="0"/>
    <x v="0"/>
    <x v="3"/>
    <x v="7"/>
    <s v="DE4-W_A"/>
    <x v="2"/>
    <x v="2"/>
    <s v="GNR_ST_NGAS_CND_E-36"/>
    <x v="0"/>
    <x v="16"/>
    <n v="2176"/>
    <n v="794240"/>
    <n v="2859264"/>
  </r>
  <r>
    <x v="0"/>
    <x v="0"/>
    <x v="0"/>
    <x v="3"/>
    <x v="7"/>
    <s v="DE4-W_A"/>
    <x v="2"/>
    <x v="2"/>
    <s v="GNR_ST_NGAS_CND_E-36"/>
    <x v="0"/>
    <x v="17"/>
    <n v="2176"/>
    <n v="794240"/>
    <n v="2859264"/>
  </r>
  <r>
    <x v="0"/>
    <x v="0"/>
    <x v="0"/>
    <x v="3"/>
    <x v="7"/>
    <s v="DE4-W_A"/>
    <x v="2"/>
    <x v="2"/>
    <s v="GNR_ST_NGAS_CND_E-36"/>
    <x v="0"/>
    <x v="18"/>
    <n v="2176"/>
    <n v="794240"/>
    <n v="2859264"/>
  </r>
  <r>
    <x v="0"/>
    <x v="0"/>
    <x v="0"/>
    <x v="3"/>
    <x v="7"/>
    <s v="DE4-W_A"/>
    <x v="2"/>
    <x v="2"/>
    <s v="GNR_ST_NGAS_CND_E-36"/>
    <x v="0"/>
    <x v="19"/>
    <n v="2176"/>
    <n v="794240"/>
    <n v="2859264"/>
  </r>
  <r>
    <x v="0"/>
    <x v="0"/>
    <x v="0"/>
    <x v="3"/>
    <x v="7"/>
    <s v="DE4-W_A"/>
    <x v="2"/>
    <x v="2"/>
    <s v="GNR_ST_NGAS_CND_E-36"/>
    <x v="0"/>
    <x v="20"/>
    <n v="2176"/>
    <n v="794240"/>
    <n v="2859264"/>
  </r>
  <r>
    <x v="0"/>
    <x v="0"/>
    <x v="0"/>
    <x v="3"/>
    <x v="7"/>
    <s v="DE4-W_A"/>
    <x v="2"/>
    <x v="2"/>
    <s v="GNR_ST_NGAS_CND_E-36"/>
    <x v="0"/>
    <x v="21"/>
    <n v="2176"/>
    <n v="794240"/>
    <n v="2859264"/>
  </r>
  <r>
    <x v="0"/>
    <x v="0"/>
    <x v="0"/>
    <x v="3"/>
    <x v="7"/>
    <s v="DE4-W_A"/>
    <x v="2"/>
    <x v="2"/>
    <s v="GNR_ST_NGAS_CND_E-36"/>
    <x v="0"/>
    <x v="22"/>
    <n v="2176"/>
    <n v="794240"/>
    <n v="2859264"/>
  </r>
  <r>
    <x v="0"/>
    <x v="0"/>
    <x v="0"/>
    <x v="3"/>
    <x v="7"/>
    <s v="DE4-W_A"/>
    <x v="2"/>
    <x v="2"/>
    <s v="GNR_ST_NGAS_CND_E-36"/>
    <x v="0"/>
    <x v="23"/>
    <n v="2176"/>
    <n v="794240"/>
    <n v="2859264"/>
  </r>
  <r>
    <x v="0"/>
    <x v="0"/>
    <x v="0"/>
    <x v="3"/>
    <x v="7"/>
    <s v="DE4-W_A"/>
    <x v="2"/>
    <x v="2"/>
    <s v="GNR_ST_NGAS_CND_E-39"/>
    <x v="0"/>
    <x v="3"/>
    <n v="39.799999999999997"/>
    <n v="14527"/>
    <n v="52297.2"/>
  </r>
  <r>
    <x v="0"/>
    <x v="0"/>
    <x v="0"/>
    <x v="3"/>
    <x v="7"/>
    <s v="DE4-W_A"/>
    <x v="2"/>
    <x v="2"/>
    <s v="GNR_ST_NGAS_CND_E-39"/>
    <x v="0"/>
    <x v="4"/>
    <n v="39.799999999999997"/>
    <n v="14527"/>
    <n v="52297.2"/>
  </r>
  <r>
    <x v="0"/>
    <x v="0"/>
    <x v="0"/>
    <x v="3"/>
    <x v="7"/>
    <s v="DE4-W_A"/>
    <x v="2"/>
    <x v="2"/>
    <s v="GNR_ST_NGAS_CND_E-39"/>
    <x v="0"/>
    <x v="5"/>
    <n v="39.799999999999997"/>
    <n v="14527"/>
    <n v="52297.2"/>
  </r>
  <r>
    <x v="0"/>
    <x v="0"/>
    <x v="0"/>
    <x v="3"/>
    <x v="7"/>
    <s v="DE4-W_A"/>
    <x v="2"/>
    <x v="2"/>
    <s v="GNR_ST_NGAS_CND_E-39"/>
    <x v="0"/>
    <x v="6"/>
    <n v="39.799999999999997"/>
    <n v="14527"/>
    <n v="52297.2"/>
  </r>
  <r>
    <x v="0"/>
    <x v="0"/>
    <x v="0"/>
    <x v="3"/>
    <x v="7"/>
    <s v="DE4-W_A"/>
    <x v="2"/>
    <x v="2"/>
    <s v="GNR_ST_NGAS_CND_E-39"/>
    <x v="0"/>
    <x v="7"/>
    <n v="39.799999999999997"/>
    <n v="14527"/>
    <n v="52297.2"/>
  </r>
  <r>
    <x v="0"/>
    <x v="0"/>
    <x v="0"/>
    <x v="3"/>
    <x v="7"/>
    <s v="DE4-W_A"/>
    <x v="2"/>
    <x v="2"/>
    <s v="GNR_ST_NGAS_CND_E-39"/>
    <x v="0"/>
    <x v="8"/>
    <n v="39.799999999999997"/>
    <n v="14527"/>
    <n v="52297.2"/>
  </r>
  <r>
    <x v="0"/>
    <x v="0"/>
    <x v="0"/>
    <x v="3"/>
    <x v="7"/>
    <s v="DE4-W_A"/>
    <x v="2"/>
    <x v="2"/>
    <s v="GNR_ST_NGAS_CND_E-39"/>
    <x v="0"/>
    <x v="0"/>
    <n v="39.799999999999997"/>
    <n v="14527"/>
    <n v="52297.2"/>
  </r>
  <r>
    <x v="0"/>
    <x v="0"/>
    <x v="0"/>
    <x v="3"/>
    <x v="7"/>
    <s v="DE4-W_A"/>
    <x v="2"/>
    <x v="2"/>
    <s v="GNR_ST_NGAS_CND_E-39"/>
    <x v="0"/>
    <x v="1"/>
    <n v="39.799999999999997"/>
    <n v="14527"/>
    <n v="52297.2"/>
  </r>
  <r>
    <x v="0"/>
    <x v="0"/>
    <x v="0"/>
    <x v="3"/>
    <x v="7"/>
    <s v="DE4-W_A"/>
    <x v="2"/>
    <x v="2"/>
    <s v="GNR_ST_NGAS_CND_E-39"/>
    <x v="0"/>
    <x v="2"/>
    <n v="39.799999999999997"/>
    <n v="14527"/>
    <n v="52297.2"/>
  </r>
  <r>
    <x v="0"/>
    <x v="0"/>
    <x v="0"/>
    <x v="3"/>
    <x v="7"/>
    <s v="DE4-W_A"/>
    <x v="2"/>
    <x v="2"/>
    <s v="GNR_ST_NGAS_CND_E-39"/>
    <x v="0"/>
    <x v="9"/>
    <n v="39.799999999999997"/>
    <n v="14527"/>
    <n v="52297.2"/>
  </r>
  <r>
    <x v="0"/>
    <x v="0"/>
    <x v="0"/>
    <x v="3"/>
    <x v="7"/>
    <s v="DE4-W_A"/>
    <x v="2"/>
    <x v="2"/>
    <s v="GNR_ST_NGAS_CND_E-39"/>
    <x v="0"/>
    <x v="10"/>
    <n v="39.799999999999997"/>
    <n v="14527"/>
    <n v="52297.2"/>
  </r>
  <r>
    <x v="0"/>
    <x v="0"/>
    <x v="0"/>
    <x v="3"/>
    <x v="7"/>
    <s v="DE4-W_A"/>
    <x v="2"/>
    <x v="2"/>
    <s v="GNR_ST_NGAS_CND_E-39"/>
    <x v="0"/>
    <x v="11"/>
    <n v="39.799999999999997"/>
    <n v="14527"/>
    <n v="52297.2"/>
  </r>
  <r>
    <x v="0"/>
    <x v="0"/>
    <x v="0"/>
    <x v="3"/>
    <x v="7"/>
    <s v="DE4-W_A"/>
    <x v="2"/>
    <x v="2"/>
    <s v="GNR_ST_NGAS_CND_E-39"/>
    <x v="0"/>
    <x v="12"/>
    <n v="39.799999999999997"/>
    <n v="14527"/>
    <n v="52297.2"/>
  </r>
  <r>
    <x v="0"/>
    <x v="0"/>
    <x v="0"/>
    <x v="3"/>
    <x v="7"/>
    <s v="DE4-W_A"/>
    <x v="2"/>
    <x v="2"/>
    <s v="GNR_ST_NGAS_CND_E-39"/>
    <x v="0"/>
    <x v="13"/>
    <n v="39.799999999999997"/>
    <n v="14527"/>
    <n v="52297.2"/>
  </r>
  <r>
    <x v="0"/>
    <x v="0"/>
    <x v="0"/>
    <x v="3"/>
    <x v="7"/>
    <s v="DE4-W_A"/>
    <x v="2"/>
    <x v="2"/>
    <s v="GNR_ST_NGAS_CND_E-39"/>
    <x v="0"/>
    <x v="14"/>
    <n v="39.799999999999997"/>
    <n v="14527"/>
    <n v="52297.2"/>
  </r>
  <r>
    <x v="0"/>
    <x v="0"/>
    <x v="0"/>
    <x v="3"/>
    <x v="7"/>
    <s v="DE4-W_A"/>
    <x v="2"/>
    <x v="2"/>
    <s v="GNR_ST_NGAS_CND_E-39"/>
    <x v="0"/>
    <x v="15"/>
    <n v="39.799999999999997"/>
    <n v="14527"/>
    <n v="52297.2"/>
  </r>
  <r>
    <x v="0"/>
    <x v="0"/>
    <x v="0"/>
    <x v="3"/>
    <x v="7"/>
    <s v="DE4-W_A"/>
    <x v="2"/>
    <x v="2"/>
    <s v="GNR_ST_NGAS_CND_E-39"/>
    <x v="0"/>
    <x v="16"/>
    <n v="39.799999999999997"/>
    <n v="14527"/>
    <n v="52297.2"/>
  </r>
  <r>
    <x v="0"/>
    <x v="0"/>
    <x v="0"/>
    <x v="3"/>
    <x v="7"/>
    <s v="DE4-W_A"/>
    <x v="2"/>
    <x v="2"/>
    <s v="GNR_ST_NGAS_CND_E-39"/>
    <x v="0"/>
    <x v="17"/>
    <n v="39.799999999999997"/>
    <n v="14527"/>
    <n v="52297.2"/>
  </r>
  <r>
    <x v="0"/>
    <x v="0"/>
    <x v="0"/>
    <x v="3"/>
    <x v="7"/>
    <s v="DE4-W_A"/>
    <x v="2"/>
    <x v="2"/>
    <s v="GNR_ST_NGAS_CND_E-39"/>
    <x v="0"/>
    <x v="18"/>
    <n v="39.799999999999997"/>
    <n v="14527"/>
    <n v="52297.2"/>
  </r>
  <r>
    <x v="0"/>
    <x v="0"/>
    <x v="0"/>
    <x v="3"/>
    <x v="7"/>
    <s v="DE4-W_A"/>
    <x v="2"/>
    <x v="2"/>
    <s v="GNR_ST_NGAS_CND_E-39"/>
    <x v="0"/>
    <x v="19"/>
    <n v="39.799999999999997"/>
    <n v="14527"/>
    <n v="52297.2"/>
  </r>
  <r>
    <x v="0"/>
    <x v="0"/>
    <x v="0"/>
    <x v="3"/>
    <x v="7"/>
    <s v="DE4-W_A"/>
    <x v="2"/>
    <x v="2"/>
    <s v="GNR_ST_NGAS_CND_E-39"/>
    <x v="0"/>
    <x v="20"/>
    <n v="39.799999999999997"/>
    <n v="14527"/>
    <n v="52297.2"/>
  </r>
  <r>
    <x v="0"/>
    <x v="0"/>
    <x v="0"/>
    <x v="3"/>
    <x v="7"/>
    <s v="DE4-W_A"/>
    <x v="2"/>
    <x v="2"/>
    <s v="GNR_ST_NGAS_CND_E-39"/>
    <x v="0"/>
    <x v="21"/>
    <n v="39.799999999999997"/>
    <n v="14527"/>
    <n v="52297.2"/>
  </r>
  <r>
    <x v="0"/>
    <x v="0"/>
    <x v="0"/>
    <x v="3"/>
    <x v="7"/>
    <s v="DE4-W_A"/>
    <x v="2"/>
    <x v="2"/>
    <s v="GNR_ST_NGAS_CND_E-39"/>
    <x v="0"/>
    <x v="22"/>
    <n v="39.799999999999997"/>
    <n v="14527"/>
    <n v="52297.2"/>
  </r>
  <r>
    <x v="0"/>
    <x v="0"/>
    <x v="0"/>
    <x v="3"/>
    <x v="7"/>
    <s v="DE4-W_A"/>
    <x v="2"/>
    <x v="2"/>
    <s v="GNR_ST_NGAS_CND_E-39"/>
    <x v="0"/>
    <x v="23"/>
    <n v="39.799999999999997"/>
    <n v="14527"/>
    <n v="52297.2"/>
  </r>
  <r>
    <x v="0"/>
    <x v="0"/>
    <x v="0"/>
    <x v="3"/>
    <x v="7"/>
    <s v="DE4-W_A"/>
    <x v="15"/>
    <x v="2"/>
    <s v="GNR_ST_NUCL_CND_E-33"/>
    <x v="0"/>
    <x v="3"/>
    <n v="2696"/>
    <n v="984040"/>
    <n v="3542544"/>
  </r>
  <r>
    <x v="0"/>
    <x v="0"/>
    <x v="0"/>
    <x v="3"/>
    <x v="7"/>
    <s v="DE4-W_A"/>
    <x v="15"/>
    <x v="2"/>
    <s v="GNR_ST_NUCL_CND_E-33"/>
    <x v="0"/>
    <x v="4"/>
    <n v="2696"/>
    <n v="984040"/>
    <n v="3542544"/>
  </r>
  <r>
    <x v="0"/>
    <x v="0"/>
    <x v="0"/>
    <x v="3"/>
    <x v="7"/>
    <s v="DE4-W_A"/>
    <x v="15"/>
    <x v="2"/>
    <s v="GNR_ST_NUCL_CND_E-33"/>
    <x v="0"/>
    <x v="5"/>
    <n v="2696"/>
    <n v="984040"/>
    <n v="3542544"/>
  </r>
  <r>
    <x v="0"/>
    <x v="0"/>
    <x v="0"/>
    <x v="3"/>
    <x v="7"/>
    <s v="DE4-W_A"/>
    <x v="15"/>
    <x v="2"/>
    <s v="GNR_ST_NUCL_CND_E-33"/>
    <x v="0"/>
    <x v="6"/>
    <n v="2696"/>
    <n v="984040"/>
    <n v="3542544"/>
  </r>
  <r>
    <x v="0"/>
    <x v="0"/>
    <x v="0"/>
    <x v="3"/>
    <x v="7"/>
    <s v="DE4-W_A"/>
    <x v="15"/>
    <x v="2"/>
    <s v="GNR_ST_NUCL_CND_E-33"/>
    <x v="0"/>
    <x v="7"/>
    <n v="2696"/>
    <n v="984040"/>
    <n v="3542544"/>
  </r>
  <r>
    <x v="0"/>
    <x v="0"/>
    <x v="0"/>
    <x v="3"/>
    <x v="7"/>
    <s v="DE4-W_A"/>
    <x v="15"/>
    <x v="2"/>
    <s v="GNR_ST_NUCL_CND_E-33"/>
    <x v="0"/>
    <x v="8"/>
    <n v="2696"/>
    <n v="984040"/>
    <n v="3542544"/>
  </r>
  <r>
    <x v="0"/>
    <x v="0"/>
    <x v="0"/>
    <x v="3"/>
    <x v="7"/>
    <s v="DE4-W_A"/>
    <x v="15"/>
    <x v="2"/>
    <s v="GNR_ST_NUCL_CND_E-33"/>
    <x v="0"/>
    <x v="0"/>
    <n v="2696"/>
    <n v="984040"/>
    <n v="3542544"/>
  </r>
  <r>
    <x v="0"/>
    <x v="0"/>
    <x v="0"/>
    <x v="3"/>
    <x v="7"/>
    <s v="DE4-W_A"/>
    <x v="15"/>
    <x v="2"/>
    <s v="GNR_ST_NUCL_CND_E-33"/>
    <x v="0"/>
    <x v="1"/>
    <n v="2696"/>
    <n v="984040"/>
    <n v="3542544"/>
  </r>
  <r>
    <x v="0"/>
    <x v="0"/>
    <x v="0"/>
    <x v="3"/>
    <x v="7"/>
    <s v="DE4-W_A"/>
    <x v="15"/>
    <x v="2"/>
    <s v="GNR_ST_NUCL_CND_E-33"/>
    <x v="0"/>
    <x v="2"/>
    <n v="2696"/>
    <n v="984040"/>
    <n v="3542544"/>
  </r>
  <r>
    <x v="0"/>
    <x v="0"/>
    <x v="0"/>
    <x v="3"/>
    <x v="7"/>
    <s v="DE4-W_A"/>
    <x v="15"/>
    <x v="2"/>
    <s v="GNR_ST_NUCL_CND_E-33"/>
    <x v="0"/>
    <x v="9"/>
    <n v="2696"/>
    <n v="984040"/>
    <n v="3542544"/>
  </r>
  <r>
    <x v="0"/>
    <x v="0"/>
    <x v="0"/>
    <x v="3"/>
    <x v="7"/>
    <s v="DE4-W_A"/>
    <x v="15"/>
    <x v="2"/>
    <s v="GNR_ST_NUCL_CND_E-33"/>
    <x v="0"/>
    <x v="10"/>
    <n v="2696"/>
    <n v="984040"/>
    <n v="3542544"/>
  </r>
  <r>
    <x v="0"/>
    <x v="0"/>
    <x v="0"/>
    <x v="3"/>
    <x v="7"/>
    <s v="DE4-W_A"/>
    <x v="15"/>
    <x v="2"/>
    <s v="GNR_ST_NUCL_CND_E-33"/>
    <x v="0"/>
    <x v="11"/>
    <n v="2696"/>
    <n v="984040"/>
    <n v="3542544"/>
  </r>
  <r>
    <x v="0"/>
    <x v="0"/>
    <x v="0"/>
    <x v="3"/>
    <x v="7"/>
    <s v="DE4-W_A"/>
    <x v="15"/>
    <x v="2"/>
    <s v="GNR_ST_NUCL_CND_E-33"/>
    <x v="0"/>
    <x v="12"/>
    <n v="2696"/>
    <n v="984040"/>
    <n v="3542544"/>
  </r>
  <r>
    <x v="0"/>
    <x v="0"/>
    <x v="0"/>
    <x v="3"/>
    <x v="7"/>
    <s v="DE4-W_A"/>
    <x v="15"/>
    <x v="2"/>
    <s v="GNR_ST_NUCL_CND_E-33"/>
    <x v="0"/>
    <x v="13"/>
    <n v="2696"/>
    <n v="984040"/>
    <n v="3542544"/>
  </r>
  <r>
    <x v="0"/>
    <x v="0"/>
    <x v="0"/>
    <x v="3"/>
    <x v="7"/>
    <s v="DE4-W_A"/>
    <x v="15"/>
    <x v="2"/>
    <s v="GNR_ST_NUCL_CND_E-33"/>
    <x v="0"/>
    <x v="14"/>
    <n v="2696"/>
    <n v="984040"/>
    <n v="3542544"/>
  </r>
  <r>
    <x v="0"/>
    <x v="0"/>
    <x v="0"/>
    <x v="3"/>
    <x v="7"/>
    <s v="DE4-W_A"/>
    <x v="15"/>
    <x v="2"/>
    <s v="GNR_ST_NUCL_CND_E-33"/>
    <x v="0"/>
    <x v="15"/>
    <n v="2696"/>
    <n v="984040"/>
    <n v="3542544"/>
  </r>
  <r>
    <x v="0"/>
    <x v="0"/>
    <x v="0"/>
    <x v="3"/>
    <x v="7"/>
    <s v="DE4-W_A"/>
    <x v="15"/>
    <x v="2"/>
    <s v="GNR_ST_NUCL_CND_E-33"/>
    <x v="0"/>
    <x v="16"/>
    <n v="2696"/>
    <n v="984040"/>
    <n v="3542544"/>
  </r>
  <r>
    <x v="0"/>
    <x v="0"/>
    <x v="0"/>
    <x v="3"/>
    <x v="7"/>
    <s v="DE4-W_A"/>
    <x v="15"/>
    <x v="2"/>
    <s v="GNR_ST_NUCL_CND_E-33"/>
    <x v="0"/>
    <x v="17"/>
    <n v="2696"/>
    <n v="984040"/>
    <n v="3542544"/>
  </r>
  <r>
    <x v="0"/>
    <x v="0"/>
    <x v="0"/>
    <x v="3"/>
    <x v="7"/>
    <s v="DE4-W_A"/>
    <x v="15"/>
    <x v="2"/>
    <s v="GNR_ST_NUCL_CND_E-33"/>
    <x v="0"/>
    <x v="18"/>
    <n v="2696"/>
    <n v="984040"/>
    <n v="3542544"/>
  </r>
  <r>
    <x v="0"/>
    <x v="0"/>
    <x v="0"/>
    <x v="3"/>
    <x v="7"/>
    <s v="DE4-W_A"/>
    <x v="15"/>
    <x v="2"/>
    <s v="GNR_ST_NUCL_CND_E-33"/>
    <x v="0"/>
    <x v="19"/>
    <n v="2696"/>
    <n v="984040"/>
    <n v="3542544"/>
  </r>
  <r>
    <x v="0"/>
    <x v="0"/>
    <x v="0"/>
    <x v="3"/>
    <x v="7"/>
    <s v="DE4-W_A"/>
    <x v="15"/>
    <x v="2"/>
    <s v="GNR_ST_NUCL_CND_E-33"/>
    <x v="0"/>
    <x v="20"/>
    <n v="2696"/>
    <n v="984040"/>
    <n v="3542544"/>
  </r>
  <r>
    <x v="0"/>
    <x v="0"/>
    <x v="0"/>
    <x v="3"/>
    <x v="7"/>
    <s v="DE4-W_A"/>
    <x v="15"/>
    <x v="2"/>
    <s v="GNR_ST_NUCL_CND_E-33"/>
    <x v="0"/>
    <x v="21"/>
    <n v="2696"/>
    <n v="984040"/>
    <n v="3542544"/>
  </r>
  <r>
    <x v="0"/>
    <x v="0"/>
    <x v="0"/>
    <x v="3"/>
    <x v="7"/>
    <s v="DE4-W_A"/>
    <x v="15"/>
    <x v="2"/>
    <s v="GNR_ST_NUCL_CND_E-33"/>
    <x v="0"/>
    <x v="22"/>
    <n v="2696"/>
    <n v="984040"/>
    <n v="3542544"/>
  </r>
  <r>
    <x v="0"/>
    <x v="0"/>
    <x v="0"/>
    <x v="3"/>
    <x v="7"/>
    <s v="DE4-W_A"/>
    <x v="15"/>
    <x v="2"/>
    <s v="GNR_ST_NUCL_CND_E-33"/>
    <x v="0"/>
    <x v="23"/>
    <n v="2696"/>
    <n v="984040"/>
    <n v="3542544"/>
  </r>
  <r>
    <x v="0"/>
    <x v="0"/>
    <x v="0"/>
    <x v="3"/>
    <x v="7"/>
    <s v="DE4-W_A"/>
    <x v="5"/>
    <x v="3"/>
    <s v="GNR_PV_SUN"/>
    <x v="0"/>
    <x v="2"/>
    <n v="214.82182741120599"/>
    <n v="78409.967005090104"/>
    <n v="282275.88121832401"/>
  </r>
  <r>
    <x v="0"/>
    <x v="0"/>
    <x v="0"/>
    <x v="3"/>
    <x v="7"/>
    <s v="DE4-W_A"/>
    <x v="5"/>
    <x v="3"/>
    <s v="GNR_PV_SUN"/>
    <x v="0"/>
    <x v="9"/>
    <n v="1617.2227827674401"/>
    <n v="590286.31571011397"/>
    <n v="2125030.7365564099"/>
  </r>
  <r>
    <x v="0"/>
    <x v="0"/>
    <x v="0"/>
    <x v="3"/>
    <x v="7"/>
    <s v="DE4-W_A"/>
    <x v="5"/>
    <x v="3"/>
    <s v="GNR_PV_SUN"/>
    <x v="0"/>
    <x v="10"/>
    <n v="3735.6964961610201"/>
    <n v="1363529.2210987699"/>
    <n v="4908705.1959555801"/>
  </r>
  <r>
    <x v="0"/>
    <x v="0"/>
    <x v="0"/>
    <x v="3"/>
    <x v="7"/>
    <s v="DE4-W_A"/>
    <x v="5"/>
    <x v="3"/>
    <s v="GNR_PV_SUN"/>
    <x v="0"/>
    <x v="11"/>
    <n v="5688.9226500075201"/>
    <n v="2076456.76725274"/>
    <n v="7475244.36210988"/>
  </r>
  <r>
    <x v="0"/>
    <x v="0"/>
    <x v="0"/>
    <x v="3"/>
    <x v="7"/>
    <s v="DE4-W_A"/>
    <x v="5"/>
    <x v="3"/>
    <s v="GNR_PV_SUN"/>
    <x v="0"/>
    <x v="12"/>
    <n v="6467.78948067276"/>
    <n v="2360743.1604455598"/>
    <n v="8498675.3776040096"/>
  </r>
  <r>
    <x v="0"/>
    <x v="0"/>
    <x v="0"/>
    <x v="3"/>
    <x v="7"/>
    <s v="DE4-W_A"/>
    <x v="5"/>
    <x v="3"/>
    <s v="GNR_PV_SUN"/>
    <x v="0"/>
    <x v="13"/>
    <n v="5623.92527658567"/>
    <n v="2052732.7259537701"/>
    <n v="7389837.8134335699"/>
  </r>
  <r>
    <x v="0"/>
    <x v="0"/>
    <x v="0"/>
    <x v="3"/>
    <x v="7"/>
    <s v="DE4-W_A"/>
    <x v="5"/>
    <x v="3"/>
    <s v="GNR_PV_SUN"/>
    <x v="0"/>
    <x v="14"/>
    <n v="3659.68261876936"/>
    <n v="1335784.15585082"/>
    <n v="4808822.9610629398"/>
  </r>
  <r>
    <x v="0"/>
    <x v="0"/>
    <x v="0"/>
    <x v="3"/>
    <x v="7"/>
    <s v="DE4-W_A"/>
    <x v="5"/>
    <x v="3"/>
    <s v="GNR_PV_SUN"/>
    <x v="0"/>
    <x v="15"/>
    <n v="1852.9759677212701"/>
    <n v="676336.22821826395"/>
    <n v="2434810.4215857498"/>
  </r>
  <r>
    <x v="0"/>
    <x v="0"/>
    <x v="0"/>
    <x v="3"/>
    <x v="7"/>
    <s v="DE4-W_A"/>
    <x v="5"/>
    <x v="3"/>
    <s v="GNR_PV_SUN"/>
    <x v="0"/>
    <x v="16"/>
    <n v="241.261436938739"/>
    <n v="88060.424482639603"/>
    <n v="317017.52813750302"/>
  </r>
  <r>
    <x v="0"/>
    <x v="0"/>
    <x v="0"/>
    <x v="3"/>
    <x v="7"/>
    <s v="DE4-W_A"/>
    <x v="6"/>
    <x v="4"/>
    <s v="GNR_ROR_WTR"/>
    <x v="0"/>
    <x v="3"/>
    <n v="198.90753424657501"/>
    <n v="72601.25"/>
    <n v="261364.5"/>
  </r>
  <r>
    <x v="0"/>
    <x v="0"/>
    <x v="0"/>
    <x v="3"/>
    <x v="7"/>
    <s v="DE4-W_A"/>
    <x v="6"/>
    <x v="4"/>
    <s v="GNR_ROR_WTR"/>
    <x v="0"/>
    <x v="4"/>
    <n v="198.90753424657501"/>
    <n v="72601.25"/>
    <n v="261364.5"/>
  </r>
  <r>
    <x v="0"/>
    <x v="0"/>
    <x v="0"/>
    <x v="3"/>
    <x v="7"/>
    <s v="DE4-W_A"/>
    <x v="6"/>
    <x v="4"/>
    <s v="GNR_ROR_WTR"/>
    <x v="0"/>
    <x v="5"/>
    <n v="198.90753424657501"/>
    <n v="72601.25"/>
    <n v="261364.5"/>
  </r>
  <r>
    <x v="0"/>
    <x v="0"/>
    <x v="0"/>
    <x v="3"/>
    <x v="7"/>
    <s v="DE4-W_A"/>
    <x v="6"/>
    <x v="4"/>
    <s v="GNR_ROR_WTR"/>
    <x v="0"/>
    <x v="6"/>
    <n v="198.90753424657501"/>
    <n v="72601.25"/>
    <n v="261364.5"/>
  </r>
  <r>
    <x v="0"/>
    <x v="0"/>
    <x v="0"/>
    <x v="3"/>
    <x v="7"/>
    <s v="DE4-W_A"/>
    <x v="6"/>
    <x v="4"/>
    <s v="GNR_ROR_WTR"/>
    <x v="0"/>
    <x v="7"/>
    <n v="198.90753424657501"/>
    <n v="72601.25"/>
    <n v="261364.5"/>
  </r>
  <r>
    <x v="0"/>
    <x v="0"/>
    <x v="0"/>
    <x v="3"/>
    <x v="7"/>
    <s v="DE4-W_A"/>
    <x v="6"/>
    <x v="4"/>
    <s v="GNR_ROR_WTR"/>
    <x v="0"/>
    <x v="8"/>
    <n v="198.90753424657501"/>
    <n v="72601.25"/>
    <n v="261364.5"/>
  </r>
  <r>
    <x v="0"/>
    <x v="0"/>
    <x v="0"/>
    <x v="3"/>
    <x v="7"/>
    <s v="DE4-W_A"/>
    <x v="6"/>
    <x v="4"/>
    <s v="GNR_ROR_WTR"/>
    <x v="0"/>
    <x v="0"/>
    <n v="198.90753424657501"/>
    <n v="72601.25"/>
    <n v="261364.5"/>
  </r>
  <r>
    <x v="0"/>
    <x v="0"/>
    <x v="0"/>
    <x v="3"/>
    <x v="7"/>
    <s v="DE4-W_A"/>
    <x v="6"/>
    <x v="4"/>
    <s v="GNR_ROR_WTR"/>
    <x v="0"/>
    <x v="1"/>
    <n v="198.90753424657501"/>
    <n v="72601.25"/>
    <n v="261364.5"/>
  </r>
  <r>
    <x v="0"/>
    <x v="0"/>
    <x v="0"/>
    <x v="3"/>
    <x v="7"/>
    <s v="DE4-W_A"/>
    <x v="6"/>
    <x v="4"/>
    <s v="GNR_ROR_WTR"/>
    <x v="0"/>
    <x v="2"/>
    <n v="198.90753424657501"/>
    <n v="72601.25"/>
    <n v="261364.5"/>
  </r>
  <r>
    <x v="0"/>
    <x v="0"/>
    <x v="0"/>
    <x v="3"/>
    <x v="7"/>
    <s v="DE4-W_A"/>
    <x v="6"/>
    <x v="4"/>
    <s v="GNR_ROR_WTR"/>
    <x v="0"/>
    <x v="9"/>
    <n v="198.90753424657501"/>
    <n v="72601.25"/>
    <n v="261364.5"/>
  </r>
  <r>
    <x v="0"/>
    <x v="0"/>
    <x v="0"/>
    <x v="3"/>
    <x v="7"/>
    <s v="DE4-W_A"/>
    <x v="6"/>
    <x v="4"/>
    <s v="GNR_ROR_WTR"/>
    <x v="0"/>
    <x v="10"/>
    <n v="198.90753424657501"/>
    <n v="72601.25"/>
    <n v="261364.5"/>
  </r>
  <r>
    <x v="0"/>
    <x v="0"/>
    <x v="0"/>
    <x v="3"/>
    <x v="7"/>
    <s v="DE4-W_A"/>
    <x v="6"/>
    <x v="4"/>
    <s v="GNR_ROR_WTR"/>
    <x v="0"/>
    <x v="11"/>
    <n v="198.90753424657501"/>
    <n v="72601.25"/>
    <n v="261364.5"/>
  </r>
  <r>
    <x v="0"/>
    <x v="0"/>
    <x v="0"/>
    <x v="3"/>
    <x v="7"/>
    <s v="DE4-W_A"/>
    <x v="6"/>
    <x v="4"/>
    <s v="GNR_ROR_WTR"/>
    <x v="0"/>
    <x v="12"/>
    <n v="198.90753424657501"/>
    <n v="72601.25"/>
    <n v="261364.5"/>
  </r>
  <r>
    <x v="0"/>
    <x v="0"/>
    <x v="0"/>
    <x v="3"/>
    <x v="7"/>
    <s v="DE4-W_A"/>
    <x v="6"/>
    <x v="4"/>
    <s v="GNR_ROR_WTR"/>
    <x v="0"/>
    <x v="13"/>
    <n v="198.90753424657501"/>
    <n v="72601.25"/>
    <n v="261364.5"/>
  </r>
  <r>
    <x v="0"/>
    <x v="0"/>
    <x v="0"/>
    <x v="3"/>
    <x v="7"/>
    <s v="DE4-W_A"/>
    <x v="6"/>
    <x v="4"/>
    <s v="GNR_ROR_WTR"/>
    <x v="0"/>
    <x v="14"/>
    <n v="198.90753424657501"/>
    <n v="72601.25"/>
    <n v="261364.5"/>
  </r>
  <r>
    <x v="0"/>
    <x v="0"/>
    <x v="0"/>
    <x v="3"/>
    <x v="7"/>
    <s v="DE4-W_A"/>
    <x v="6"/>
    <x v="4"/>
    <s v="GNR_ROR_WTR"/>
    <x v="0"/>
    <x v="15"/>
    <n v="198.90753424657501"/>
    <n v="72601.25"/>
    <n v="261364.5"/>
  </r>
  <r>
    <x v="0"/>
    <x v="0"/>
    <x v="0"/>
    <x v="3"/>
    <x v="7"/>
    <s v="DE4-W_A"/>
    <x v="6"/>
    <x v="4"/>
    <s v="GNR_ROR_WTR"/>
    <x v="0"/>
    <x v="16"/>
    <n v="198.90753424657501"/>
    <n v="72601.25"/>
    <n v="261364.5"/>
  </r>
  <r>
    <x v="0"/>
    <x v="0"/>
    <x v="0"/>
    <x v="3"/>
    <x v="7"/>
    <s v="DE4-W_A"/>
    <x v="6"/>
    <x v="4"/>
    <s v="GNR_ROR_WTR"/>
    <x v="0"/>
    <x v="17"/>
    <n v="198.90753424657501"/>
    <n v="72601.25"/>
    <n v="261364.5"/>
  </r>
  <r>
    <x v="0"/>
    <x v="0"/>
    <x v="0"/>
    <x v="3"/>
    <x v="7"/>
    <s v="DE4-W_A"/>
    <x v="6"/>
    <x v="4"/>
    <s v="GNR_ROR_WTR"/>
    <x v="0"/>
    <x v="18"/>
    <n v="198.90753424657501"/>
    <n v="72601.25"/>
    <n v="261364.5"/>
  </r>
  <r>
    <x v="0"/>
    <x v="0"/>
    <x v="0"/>
    <x v="3"/>
    <x v="7"/>
    <s v="DE4-W_A"/>
    <x v="6"/>
    <x v="4"/>
    <s v="GNR_ROR_WTR"/>
    <x v="0"/>
    <x v="19"/>
    <n v="198.90753424657501"/>
    <n v="72601.25"/>
    <n v="261364.5"/>
  </r>
  <r>
    <x v="0"/>
    <x v="0"/>
    <x v="0"/>
    <x v="3"/>
    <x v="7"/>
    <s v="DE4-W_A"/>
    <x v="6"/>
    <x v="4"/>
    <s v="GNR_ROR_WTR"/>
    <x v="0"/>
    <x v="20"/>
    <n v="198.90753424657501"/>
    <n v="72601.25"/>
    <n v="261364.5"/>
  </r>
  <r>
    <x v="0"/>
    <x v="0"/>
    <x v="0"/>
    <x v="3"/>
    <x v="7"/>
    <s v="DE4-W_A"/>
    <x v="6"/>
    <x v="4"/>
    <s v="GNR_ROR_WTR"/>
    <x v="0"/>
    <x v="21"/>
    <n v="198.90753424657501"/>
    <n v="72601.25"/>
    <n v="261364.5"/>
  </r>
  <r>
    <x v="0"/>
    <x v="0"/>
    <x v="0"/>
    <x v="3"/>
    <x v="7"/>
    <s v="DE4-W_A"/>
    <x v="6"/>
    <x v="4"/>
    <s v="GNR_ROR_WTR"/>
    <x v="0"/>
    <x v="22"/>
    <n v="198.90753424657501"/>
    <n v="72601.25"/>
    <n v="261364.5"/>
  </r>
  <r>
    <x v="0"/>
    <x v="0"/>
    <x v="0"/>
    <x v="3"/>
    <x v="7"/>
    <s v="DE4-W_A"/>
    <x v="6"/>
    <x v="4"/>
    <s v="GNR_ROR_WTR"/>
    <x v="0"/>
    <x v="23"/>
    <n v="198.90753424657501"/>
    <n v="72601.25"/>
    <n v="261364.5"/>
  </r>
  <r>
    <x v="0"/>
    <x v="0"/>
    <x v="0"/>
    <x v="3"/>
    <x v="7"/>
    <s v="DE4-W_A"/>
    <x v="7"/>
    <x v="5"/>
    <s v="GNR_WT_WIND_ONS"/>
    <x v="0"/>
    <x v="3"/>
    <n v="2767.70001359974"/>
    <n v="1010210.5049639"/>
    <n v="3636757.8178700502"/>
  </r>
  <r>
    <x v="0"/>
    <x v="0"/>
    <x v="0"/>
    <x v="3"/>
    <x v="7"/>
    <s v="DE4-W_A"/>
    <x v="7"/>
    <x v="5"/>
    <s v="GNR_WT_WIND_ONS"/>
    <x v="0"/>
    <x v="4"/>
    <n v="2678.0034735968702"/>
    <n v="977471.26786285802"/>
    <n v="3518896.5643062899"/>
  </r>
  <r>
    <x v="0"/>
    <x v="0"/>
    <x v="0"/>
    <x v="3"/>
    <x v="7"/>
    <s v="DE4-W_A"/>
    <x v="7"/>
    <x v="5"/>
    <s v="GNR_WT_WIND_ONS"/>
    <x v="0"/>
    <x v="5"/>
    <n v="2601.5680236971002"/>
    <n v="949572.32864943997"/>
    <n v="3418460.3831379898"/>
  </r>
  <r>
    <x v="0"/>
    <x v="0"/>
    <x v="0"/>
    <x v="3"/>
    <x v="7"/>
    <s v="DE4-W_A"/>
    <x v="7"/>
    <x v="5"/>
    <s v="GNR_WT_WIND_ONS"/>
    <x v="0"/>
    <x v="6"/>
    <n v="2470.4305771220702"/>
    <n v="901707.16064955399"/>
    <n v="3246145.7783383899"/>
  </r>
  <r>
    <x v="0"/>
    <x v="0"/>
    <x v="0"/>
    <x v="3"/>
    <x v="7"/>
    <s v="DE4-W_A"/>
    <x v="7"/>
    <x v="5"/>
    <s v="GNR_WT_WIND_ONS"/>
    <x v="0"/>
    <x v="7"/>
    <n v="2250.3333177721202"/>
    <n v="821371.66098682198"/>
    <n v="2956937.97955256"/>
  </r>
  <r>
    <x v="0"/>
    <x v="0"/>
    <x v="0"/>
    <x v="3"/>
    <x v="7"/>
    <s v="DE4-W_A"/>
    <x v="7"/>
    <x v="5"/>
    <s v="GNR_WT_WIND_ONS"/>
    <x v="0"/>
    <x v="8"/>
    <n v="2053.4429661025802"/>
    <n v="749506.68262744194"/>
    <n v="2698224.05745879"/>
  </r>
  <r>
    <x v="0"/>
    <x v="0"/>
    <x v="0"/>
    <x v="3"/>
    <x v="7"/>
    <s v="DE4-W_A"/>
    <x v="7"/>
    <x v="5"/>
    <s v="GNR_WT_WIND_ONS"/>
    <x v="0"/>
    <x v="0"/>
    <n v="1692.63080621425"/>
    <n v="617810.24426820199"/>
    <n v="2224116.8793655299"/>
  </r>
  <r>
    <x v="0"/>
    <x v="0"/>
    <x v="0"/>
    <x v="3"/>
    <x v="7"/>
    <s v="DE4-W_A"/>
    <x v="7"/>
    <x v="5"/>
    <s v="GNR_WT_WIND_ONS"/>
    <x v="0"/>
    <x v="1"/>
    <n v="1636.82371869707"/>
    <n v="597440.65732442995"/>
    <n v="2150786.3663679501"/>
  </r>
  <r>
    <x v="0"/>
    <x v="0"/>
    <x v="0"/>
    <x v="3"/>
    <x v="7"/>
    <s v="DE4-W_A"/>
    <x v="7"/>
    <x v="5"/>
    <s v="GNR_WT_WIND_ONS"/>
    <x v="0"/>
    <x v="2"/>
    <n v="1759.6729839576701"/>
    <n v="642280.63914454903"/>
    <n v="2312210.3009203798"/>
  </r>
  <r>
    <x v="0"/>
    <x v="0"/>
    <x v="0"/>
    <x v="3"/>
    <x v="7"/>
    <s v="DE4-W_A"/>
    <x v="7"/>
    <x v="5"/>
    <s v="GNR_WT_WIND_ONS"/>
    <x v="0"/>
    <x v="9"/>
    <n v="1897.9935210052099"/>
    <n v="692767.63516690198"/>
    <n v="2493963.4866008498"/>
  </r>
  <r>
    <x v="0"/>
    <x v="0"/>
    <x v="0"/>
    <x v="3"/>
    <x v="7"/>
    <s v="DE4-W_A"/>
    <x v="7"/>
    <x v="5"/>
    <s v="GNR_WT_WIND_ONS"/>
    <x v="0"/>
    <x v="10"/>
    <n v="2189.92168508025"/>
    <n v="799321.41505428997"/>
    <n v="2877557.0941954399"/>
  </r>
  <r>
    <x v="0"/>
    <x v="0"/>
    <x v="0"/>
    <x v="3"/>
    <x v="7"/>
    <s v="DE4-W_A"/>
    <x v="7"/>
    <x v="5"/>
    <s v="GNR_WT_WIND_ONS"/>
    <x v="0"/>
    <x v="11"/>
    <n v="2412.4133079210301"/>
    <n v="880530.85739117698"/>
    <n v="3169911.0866082399"/>
  </r>
  <r>
    <x v="0"/>
    <x v="0"/>
    <x v="0"/>
    <x v="3"/>
    <x v="7"/>
    <s v="DE4-W_A"/>
    <x v="7"/>
    <x v="5"/>
    <s v="GNR_WT_WIND_ONS"/>
    <x v="0"/>
    <x v="12"/>
    <n v="2968.6423650229999"/>
    <n v="1083554.4632333899"/>
    <n v="3900796.0676402198"/>
  </r>
  <r>
    <x v="0"/>
    <x v="0"/>
    <x v="0"/>
    <x v="3"/>
    <x v="7"/>
    <s v="DE4-W_A"/>
    <x v="7"/>
    <x v="5"/>
    <s v="GNR_WT_WIND_ONS"/>
    <x v="0"/>
    <x v="13"/>
    <n v="3469.06433460778"/>
    <n v="1266208.48213184"/>
    <n v="4558350.5356746204"/>
  </r>
  <r>
    <x v="0"/>
    <x v="0"/>
    <x v="0"/>
    <x v="3"/>
    <x v="7"/>
    <s v="DE4-W_A"/>
    <x v="7"/>
    <x v="5"/>
    <s v="GNR_WT_WIND_ONS"/>
    <x v="0"/>
    <x v="14"/>
    <n v="4039.2912090407799"/>
    <n v="1474341.29129989"/>
    <n v="5307628.6486795899"/>
  </r>
  <r>
    <x v="0"/>
    <x v="0"/>
    <x v="0"/>
    <x v="3"/>
    <x v="7"/>
    <s v="DE4-W_A"/>
    <x v="7"/>
    <x v="5"/>
    <s v="GNR_WT_WIND_ONS"/>
    <x v="0"/>
    <x v="15"/>
    <n v="4602.1508111942903"/>
    <n v="1679785.04608592"/>
    <n v="6047226.1659092996"/>
  </r>
  <r>
    <x v="0"/>
    <x v="0"/>
    <x v="0"/>
    <x v="3"/>
    <x v="7"/>
    <s v="DE4-W_A"/>
    <x v="7"/>
    <x v="5"/>
    <s v="GNR_WT_WIND_ONS"/>
    <x v="0"/>
    <x v="16"/>
    <n v="5353.6125837029003"/>
    <n v="1954068.59305156"/>
    <n v="7034646.93498562"/>
  </r>
  <r>
    <x v="0"/>
    <x v="0"/>
    <x v="0"/>
    <x v="3"/>
    <x v="7"/>
    <s v="DE4-W_A"/>
    <x v="7"/>
    <x v="5"/>
    <s v="GNR_WT_WIND_ONS"/>
    <x v="0"/>
    <x v="17"/>
    <n v="6040.0581783449597"/>
    <n v="2204621.2350959098"/>
    <n v="7936636.4463452799"/>
  </r>
  <r>
    <x v="0"/>
    <x v="0"/>
    <x v="0"/>
    <x v="3"/>
    <x v="7"/>
    <s v="DE4-W_A"/>
    <x v="7"/>
    <x v="5"/>
    <s v="GNR_WT_WIND_ONS"/>
    <x v="0"/>
    <x v="18"/>
    <n v="6775.6803154526597"/>
    <n v="2473123.3151402199"/>
    <n v="8903243.9345047995"/>
  </r>
  <r>
    <x v="0"/>
    <x v="0"/>
    <x v="0"/>
    <x v="3"/>
    <x v="7"/>
    <s v="DE4-W_A"/>
    <x v="7"/>
    <x v="5"/>
    <s v="GNR_WT_WIND_ONS"/>
    <x v="0"/>
    <x v="19"/>
    <n v="7514.9860887000996"/>
    <n v="2742969.9223755398"/>
    <n v="9874691.7205519397"/>
  </r>
  <r>
    <x v="0"/>
    <x v="0"/>
    <x v="0"/>
    <x v="3"/>
    <x v="7"/>
    <s v="DE4-W_A"/>
    <x v="7"/>
    <x v="5"/>
    <s v="GNR_WT_WIND_ONS"/>
    <x v="0"/>
    <x v="20"/>
    <n v="8146.3613230529299"/>
    <n v="2973421.8829143201"/>
    <n v="10704318.778491501"/>
  </r>
  <r>
    <x v="0"/>
    <x v="0"/>
    <x v="0"/>
    <x v="3"/>
    <x v="7"/>
    <s v="DE4-W_A"/>
    <x v="7"/>
    <x v="5"/>
    <s v="GNR_WT_WIND_ONS"/>
    <x v="0"/>
    <x v="21"/>
    <n v="8840.9109172024291"/>
    <n v="3226932.4847788899"/>
    <n v="11616956.945204001"/>
  </r>
  <r>
    <x v="0"/>
    <x v="0"/>
    <x v="0"/>
    <x v="3"/>
    <x v="7"/>
    <s v="DE4-W_A"/>
    <x v="7"/>
    <x v="5"/>
    <s v="GNR_WT_WIND_ONS"/>
    <x v="0"/>
    <x v="22"/>
    <n v="9717.4321366554905"/>
    <n v="3546862.7298792601"/>
    <n v="12768705.827565299"/>
  </r>
  <r>
    <x v="0"/>
    <x v="0"/>
    <x v="0"/>
    <x v="3"/>
    <x v="7"/>
    <s v="DE4-W_A"/>
    <x v="7"/>
    <x v="5"/>
    <s v="GNR_WT_WIND_ONS"/>
    <x v="0"/>
    <x v="23"/>
    <n v="10289.1324655444"/>
    <n v="3755533.3499237099"/>
    <n v="13519920.059725299"/>
  </r>
  <r>
    <x v="0"/>
    <x v="0"/>
    <x v="0"/>
    <x v="3"/>
    <x v="7"/>
    <s v="DE4-W_Offshore_A"/>
    <x v="7"/>
    <x v="5"/>
    <s v="GNR_WT_WIND_OFF"/>
    <x v="0"/>
    <x v="3"/>
    <n v="36.174357536637203"/>
    <n v="13203.6405008726"/>
    <n v="47533.105803141203"/>
  </r>
  <r>
    <x v="0"/>
    <x v="0"/>
    <x v="0"/>
    <x v="3"/>
    <x v="7"/>
    <s v="DE4-W_Offshore_A"/>
    <x v="7"/>
    <x v="5"/>
    <s v="GNR_WT_WIND_OFF"/>
    <x v="0"/>
    <x v="4"/>
    <n v="35.002006959652903"/>
    <n v="12775.7325402733"/>
    <n v="45992.637144983899"/>
  </r>
  <r>
    <x v="0"/>
    <x v="0"/>
    <x v="0"/>
    <x v="3"/>
    <x v="7"/>
    <s v="DE4-W_Offshore_A"/>
    <x v="7"/>
    <x v="5"/>
    <s v="GNR_WT_WIND_OFF"/>
    <x v="0"/>
    <x v="5"/>
    <n v="34.002981313968199"/>
    <n v="12411.088179598401"/>
    <n v="44679.917446554202"/>
  </r>
  <r>
    <x v="0"/>
    <x v="0"/>
    <x v="0"/>
    <x v="3"/>
    <x v="7"/>
    <s v="DE4-W_Offshore_A"/>
    <x v="7"/>
    <x v="5"/>
    <s v="GNR_WT_WIND_OFF"/>
    <x v="0"/>
    <x v="6"/>
    <n v="32.288990326672902"/>
    <n v="11785.481469235599"/>
    <n v="42427.733289248303"/>
  </r>
  <r>
    <x v="0"/>
    <x v="0"/>
    <x v="0"/>
    <x v="3"/>
    <x v="7"/>
    <s v="DE4-W_Offshore_A"/>
    <x v="7"/>
    <x v="5"/>
    <s v="GNR_WT_WIND_OFF"/>
    <x v="0"/>
    <x v="7"/>
    <n v="29.412277925243401"/>
    <n v="10735.481442713801"/>
    <n v="38647.733193769898"/>
  </r>
  <r>
    <x v="0"/>
    <x v="0"/>
    <x v="0"/>
    <x v="3"/>
    <x v="7"/>
    <s v="DE4-W_Offshore_A"/>
    <x v="7"/>
    <x v="5"/>
    <s v="GNR_WT_WIND_OFF"/>
    <x v="0"/>
    <x v="8"/>
    <n v="26.838884153588101"/>
    <n v="9796.1927160596406"/>
    <n v="35266.293777814702"/>
  </r>
  <r>
    <x v="0"/>
    <x v="0"/>
    <x v="0"/>
    <x v="3"/>
    <x v="7"/>
    <s v="DE4-W_Offshore_A"/>
    <x v="7"/>
    <x v="5"/>
    <s v="GNR_WT_WIND_OFF"/>
    <x v="0"/>
    <x v="0"/>
    <n v="22.123001647813599"/>
    <n v="8074.8956014519799"/>
    <n v="29069.624165227098"/>
  </r>
  <r>
    <x v="0"/>
    <x v="0"/>
    <x v="0"/>
    <x v="3"/>
    <x v="7"/>
    <s v="DE4-W_Offshore_A"/>
    <x v="7"/>
    <x v="5"/>
    <s v="GNR_WT_WIND_OFF"/>
    <x v="0"/>
    <x v="1"/>
    <n v="21.393592561928202"/>
    <n v="7808.6612851037798"/>
    <n v="28111.1806263736"/>
  </r>
  <r>
    <x v="0"/>
    <x v="0"/>
    <x v="0"/>
    <x v="3"/>
    <x v="7"/>
    <s v="DE4-W_Offshore_A"/>
    <x v="7"/>
    <x v="5"/>
    <s v="GNR_WT_WIND_OFF"/>
    <x v="0"/>
    <x v="2"/>
    <n v="22.999255467161198"/>
    <n v="8394.7282455138393"/>
    <n v="30221.021683849802"/>
  </r>
  <r>
    <x v="0"/>
    <x v="0"/>
    <x v="0"/>
    <x v="3"/>
    <x v="7"/>
    <s v="DE4-W_Offshore_A"/>
    <x v="7"/>
    <x v="5"/>
    <s v="GNR_WT_WIND_OFF"/>
    <x v="0"/>
    <x v="9"/>
    <n v="24.807130792243701"/>
    <n v="9054.6027391689495"/>
    <n v="32596.5698610082"/>
  </r>
  <r>
    <x v="0"/>
    <x v="0"/>
    <x v="0"/>
    <x v="3"/>
    <x v="7"/>
    <s v="DE4-W_Offshore_A"/>
    <x v="7"/>
    <x v="5"/>
    <s v="GNR_WT_WIND_OFF"/>
    <x v="0"/>
    <x v="10"/>
    <n v="28.6226865715456"/>
    <n v="10447.280598614099"/>
    <n v="37610.2101550109"/>
  </r>
  <r>
    <x v="0"/>
    <x v="0"/>
    <x v="0"/>
    <x v="3"/>
    <x v="7"/>
    <s v="DE4-W_Offshore_A"/>
    <x v="7"/>
    <x v="5"/>
    <s v="GNR_WT_WIND_OFF"/>
    <x v="0"/>
    <x v="11"/>
    <n v="31.5306937522375"/>
    <n v="11508.7032195667"/>
    <n v="41431.331590440102"/>
  </r>
  <r>
    <x v="0"/>
    <x v="0"/>
    <x v="0"/>
    <x v="3"/>
    <x v="7"/>
    <s v="DE4-W_Offshore_A"/>
    <x v="7"/>
    <x v="5"/>
    <s v="GNR_WT_WIND_OFF"/>
    <x v="0"/>
    <x v="12"/>
    <n v="38.800711703967401"/>
    <n v="14162.2597719481"/>
    <n v="50984.135179013101"/>
  </r>
  <r>
    <x v="0"/>
    <x v="0"/>
    <x v="0"/>
    <x v="3"/>
    <x v="7"/>
    <s v="DE4-W_Offshore_A"/>
    <x v="7"/>
    <x v="5"/>
    <s v="GNR_WT_WIND_OFF"/>
    <x v="0"/>
    <x v="13"/>
    <n v="45.3413205698117"/>
    <n v="16549.582007981298"/>
    <n v="59578.495228732601"/>
  </r>
  <r>
    <x v="0"/>
    <x v="0"/>
    <x v="0"/>
    <x v="3"/>
    <x v="7"/>
    <s v="DE4-W_Offshore_A"/>
    <x v="7"/>
    <x v="5"/>
    <s v="GNR_WT_WIND_OFF"/>
    <x v="0"/>
    <x v="14"/>
    <n v="52.794292615691099"/>
    <n v="19269.9168047272"/>
    <n v="69371.700497018101"/>
  </r>
  <r>
    <x v="0"/>
    <x v="0"/>
    <x v="0"/>
    <x v="3"/>
    <x v="7"/>
    <s v="DE4-W_Offshore_A"/>
    <x v="7"/>
    <x v="5"/>
    <s v="GNR_WT_WIND_OFF"/>
    <x v="0"/>
    <x v="15"/>
    <n v="60.150973033070699"/>
    <n v="21955.1051570708"/>
    <n v="79038.378565454899"/>
  </r>
  <r>
    <x v="0"/>
    <x v="0"/>
    <x v="0"/>
    <x v="3"/>
    <x v="7"/>
    <s v="DE4-W_Offshore_A"/>
    <x v="7"/>
    <x v="5"/>
    <s v="GNR_WT_WIND_OFF"/>
    <x v="0"/>
    <x v="16"/>
    <n v="69.972719140043395"/>
    <n v="25540.042486115799"/>
    <n v="91944.152950017102"/>
  </r>
  <r>
    <x v="0"/>
    <x v="0"/>
    <x v="0"/>
    <x v="3"/>
    <x v="7"/>
    <s v="DE4-W_Offshore_A"/>
    <x v="7"/>
    <x v="5"/>
    <s v="GNR_WT_WIND_OFF"/>
    <x v="0"/>
    <x v="17"/>
    <n v="78.944691625505996"/>
    <n v="28814.8124433097"/>
    <n v="103733.324795915"/>
  </r>
  <r>
    <x v="0"/>
    <x v="0"/>
    <x v="0"/>
    <x v="3"/>
    <x v="7"/>
    <s v="DE4-W_Offshore_A"/>
    <x v="7"/>
    <x v="5"/>
    <s v="GNR_WT_WIND_OFF"/>
    <x v="0"/>
    <x v="18"/>
    <n v="88.559410731204395"/>
    <n v="32324.184916889601"/>
    <n v="116367.065700803"/>
  </r>
  <r>
    <x v="0"/>
    <x v="0"/>
    <x v="0"/>
    <x v="3"/>
    <x v="7"/>
    <s v="DE4-W_Offshore_A"/>
    <x v="7"/>
    <x v="5"/>
    <s v="GNR_WT_WIND_OFF"/>
    <x v="0"/>
    <x v="19"/>
    <n v="98.2222756511526"/>
    <n v="35851.130612670699"/>
    <n v="129064.070205614"/>
  </r>
  <r>
    <x v="0"/>
    <x v="0"/>
    <x v="0"/>
    <x v="3"/>
    <x v="7"/>
    <s v="DE4-W_Offshore_A"/>
    <x v="7"/>
    <x v="5"/>
    <s v="GNR_WT_WIND_OFF"/>
    <x v="0"/>
    <x v="20"/>
    <n v="106.47446821358"/>
    <n v="38863.180897956598"/>
    <n v="139907.451232644"/>
  </r>
  <r>
    <x v="0"/>
    <x v="0"/>
    <x v="0"/>
    <x v="3"/>
    <x v="7"/>
    <s v="DE4-W_Offshore_A"/>
    <x v="7"/>
    <x v="5"/>
    <s v="GNR_WT_WIND_OFF"/>
    <x v="0"/>
    <x v="21"/>
    <n v="115.552361490392"/>
    <n v="42176.611943993099"/>
    <n v="151835.802998375"/>
  </r>
  <r>
    <x v="0"/>
    <x v="0"/>
    <x v="0"/>
    <x v="3"/>
    <x v="7"/>
    <s v="DE4-W_Offshore_A"/>
    <x v="7"/>
    <x v="5"/>
    <s v="GNR_WT_WIND_OFF"/>
    <x v="0"/>
    <x v="22"/>
    <n v="127.008657991148"/>
    <n v="46358.160166768903"/>
    <n v="166889.37660036801"/>
  </r>
  <r>
    <x v="0"/>
    <x v="0"/>
    <x v="0"/>
    <x v="3"/>
    <x v="7"/>
    <s v="DE4-W_Offshore_A"/>
    <x v="7"/>
    <x v="5"/>
    <s v="GNR_WT_WIND_OFF"/>
    <x v="0"/>
    <x v="23"/>
    <n v="134.480888362727"/>
    <n v="49085.5242523954"/>
    <n v="176707.887308623"/>
  </r>
  <r>
    <x v="0"/>
    <x v="0"/>
    <x v="0"/>
    <x v="4"/>
    <x v="8"/>
    <s v="LV_Other_DH"/>
    <x v="2"/>
    <x v="1"/>
    <s v="GNR_ST_NGAS_BP_E-28"/>
    <x v="0"/>
    <x v="0"/>
    <n v="120.09"/>
    <n v="43832.85"/>
    <n v="157798.26"/>
  </r>
  <r>
    <x v="0"/>
    <x v="0"/>
    <x v="0"/>
    <x v="4"/>
    <x v="8"/>
    <s v="LV_Other_DH"/>
    <x v="2"/>
    <x v="1"/>
    <s v="GNR_ST_NGAS_BP_E-28"/>
    <x v="0"/>
    <x v="1"/>
    <n v="120.09"/>
    <n v="43832.85"/>
    <n v="157798.26"/>
  </r>
  <r>
    <x v="0"/>
    <x v="0"/>
    <x v="0"/>
    <x v="4"/>
    <x v="8"/>
    <s v="LV_Other_DH"/>
    <x v="2"/>
    <x v="1"/>
    <s v="GNR_ST_NGAS_BP_E-28"/>
    <x v="0"/>
    <x v="2"/>
    <n v="120.09"/>
    <n v="43832.85"/>
    <n v="157798.26"/>
  </r>
  <r>
    <x v="0"/>
    <x v="0"/>
    <x v="0"/>
    <x v="4"/>
    <x v="8"/>
    <s v="LV_Other_DH"/>
    <x v="2"/>
    <x v="1"/>
    <s v="GNR_ST_NGAS_BP_E-28"/>
    <x v="0"/>
    <x v="9"/>
    <n v="120.09"/>
    <n v="43832.85"/>
    <n v="157798.26"/>
  </r>
  <r>
    <x v="0"/>
    <x v="0"/>
    <x v="0"/>
    <x v="4"/>
    <x v="8"/>
    <s v="LV_Other_DH"/>
    <x v="2"/>
    <x v="1"/>
    <s v="GNR_ST_NGAS_BP_E-28"/>
    <x v="0"/>
    <x v="10"/>
    <n v="120.09"/>
    <n v="43832.85"/>
    <n v="157798.26"/>
  </r>
  <r>
    <x v="0"/>
    <x v="0"/>
    <x v="0"/>
    <x v="4"/>
    <x v="8"/>
    <s v="LV_Other_DH"/>
    <x v="2"/>
    <x v="1"/>
    <s v="GNR_ST_NGAS_BP_E-28"/>
    <x v="0"/>
    <x v="11"/>
    <n v="120.09"/>
    <n v="43832.85"/>
    <n v="157798.26"/>
  </r>
  <r>
    <x v="0"/>
    <x v="0"/>
    <x v="0"/>
    <x v="4"/>
    <x v="8"/>
    <s v="LV_Other_DH"/>
    <x v="2"/>
    <x v="1"/>
    <s v="GNR_ST_NGAS_BP_E-28"/>
    <x v="0"/>
    <x v="12"/>
    <n v="120.09"/>
    <n v="43832.85"/>
    <n v="157798.26"/>
  </r>
  <r>
    <x v="0"/>
    <x v="0"/>
    <x v="0"/>
    <x v="4"/>
    <x v="8"/>
    <s v="LV_Other_DH"/>
    <x v="2"/>
    <x v="1"/>
    <s v="GNR_ST_NGAS_BP_E-28"/>
    <x v="0"/>
    <x v="14"/>
    <n v="120.09"/>
    <n v="43832.85"/>
    <n v="157798.26"/>
  </r>
  <r>
    <x v="0"/>
    <x v="0"/>
    <x v="0"/>
    <x v="4"/>
    <x v="8"/>
    <s v="LV_Other_DH"/>
    <x v="2"/>
    <x v="1"/>
    <s v="GNR_ST_NGAS_BP_E-28"/>
    <x v="0"/>
    <x v="15"/>
    <n v="120.09"/>
    <n v="43832.85"/>
    <n v="157798.26"/>
  </r>
  <r>
    <x v="0"/>
    <x v="0"/>
    <x v="0"/>
    <x v="4"/>
    <x v="8"/>
    <s v="LV_Other_DH"/>
    <x v="2"/>
    <x v="1"/>
    <s v="GNR_ST_NGAS_BP_E-28"/>
    <x v="0"/>
    <x v="16"/>
    <n v="120.09"/>
    <n v="43832.85"/>
    <n v="157798.26"/>
  </r>
  <r>
    <x v="0"/>
    <x v="0"/>
    <x v="0"/>
    <x v="4"/>
    <x v="8"/>
    <s v="LV_Other_DH"/>
    <x v="2"/>
    <x v="1"/>
    <s v="GNR_ST_NGAS_BP_E-28"/>
    <x v="0"/>
    <x v="17"/>
    <n v="120.09"/>
    <n v="43832.85"/>
    <n v="157798.26"/>
  </r>
  <r>
    <x v="0"/>
    <x v="0"/>
    <x v="0"/>
    <x v="4"/>
    <x v="8"/>
    <s v="LV_Other_DH"/>
    <x v="2"/>
    <x v="1"/>
    <s v="GNR_ST_NGAS_BP_E-28"/>
    <x v="0"/>
    <x v="18"/>
    <n v="120.09"/>
    <n v="43832.85"/>
    <n v="157798.26"/>
  </r>
  <r>
    <x v="0"/>
    <x v="0"/>
    <x v="0"/>
    <x v="4"/>
    <x v="8"/>
    <s v="LV_Other_DH"/>
    <x v="11"/>
    <x v="1"/>
    <s v="GNR_ST_WOOD_BP_E-30"/>
    <x v="0"/>
    <x v="3"/>
    <n v="54"/>
    <n v="19710"/>
    <n v="70956"/>
  </r>
  <r>
    <x v="0"/>
    <x v="0"/>
    <x v="0"/>
    <x v="4"/>
    <x v="8"/>
    <s v="LV_Other_DH"/>
    <x v="11"/>
    <x v="1"/>
    <s v="GNR_ST_WOOD_BP_E-30"/>
    <x v="0"/>
    <x v="4"/>
    <n v="54"/>
    <n v="19710"/>
    <n v="70956"/>
  </r>
  <r>
    <x v="0"/>
    <x v="0"/>
    <x v="0"/>
    <x v="4"/>
    <x v="8"/>
    <s v="LV_Other_DH"/>
    <x v="11"/>
    <x v="1"/>
    <s v="GNR_ST_WOOD_BP_E-30"/>
    <x v="0"/>
    <x v="5"/>
    <n v="54"/>
    <n v="19710"/>
    <n v="70956"/>
  </r>
  <r>
    <x v="0"/>
    <x v="0"/>
    <x v="0"/>
    <x v="4"/>
    <x v="8"/>
    <s v="LV_Other_DH"/>
    <x v="11"/>
    <x v="1"/>
    <s v="GNR_ST_WOOD_BP_E-30"/>
    <x v="0"/>
    <x v="6"/>
    <n v="54"/>
    <n v="19710"/>
    <n v="70956"/>
  </r>
  <r>
    <x v="0"/>
    <x v="0"/>
    <x v="0"/>
    <x v="4"/>
    <x v="8"/>
    <s v="LV_Other_DH"/>
    <x v="11"/>
    <x v="1"/>
    <s v="GNR_ST_WOOD_BP_E-30"/>
    <x v="0"/>
    <x v="7"/>
    <n v="54"/>
    <n v="19710"/>
    <n v="70956"/>
  </r>
  <r>
    <x v="0"/>
    <x v="0"/>
    <x v="0"/>
    <x v="4"/>
    <x v="8"/>
    <s v="LV_Other_DH"/>
    <x v="11"/>
    <x v="1"/>
    <s v="GNR_ST_WOOD_BP_E-30"/>
    <x v="0"/>
    <x v="8"/>
    <n v="54"/>
    <n v="19710"/>
    <n v="70956"/>
  </r>
  <r>
    <x v="0"/>
    <x v="0"/>
    <x v="0"/>
    <x v="4"/>
    <x v="8"/>
    <s v="LV_Other_DH"/>
    <x v="11"/>
    <x v="1"/>
    <s v="GNR_ST_WOOD_BP_E-30"/>
    <x v="0"/>
    <x v="0"/>
    <n v="54"/>
    <n v="19710"/>
    <n v="70956"/>
  </r>
  <r>
    <x v="0"/>
    <x v="0"/>
    <x v="0"/>
    <x v="4"/>
    <x v="8"/>
    <s v="LV_Other_DH"/>
    <x v="11"/>
    <x v="1"/>
    <s v="GNR_ST_WOOD_BP_E-30"/>
    <x v="0"/>
    <x v="1"/>
    <n v="54"/>
    <n v="19710"/>
    <n v="70956"/>
  </r>
  <r>
    <x v="0"/>
    <x v="0"/>
    <x v="0"/>
    <x v="4"/>
    <x v="8"/>
    <s v="LV_Other_DH"/>
    <x v="11"/>
    <x v="1"/>
    <s v="GNR_ST_WOOD_BP_E-30"/>
    <x v="0"/>
    <x v="2"/>
    <n v="54"/>
    <n v="19710"/>
    <n v="70956"/>
  </r>
  <r>
    <x v="0"/>
    <x v="0"/>
    <x v="0"/>
    <x v="4"/>
    <x v="8"/>
    <s v="LV_Other_DH"/>
    <x v="11"/>
    <x v="1"/>
    <s v="GNR_ST_WOOD_BP_E-30"/>
    <x v="0"/>
    <x v="9"/>
    <n v="54"/>
    <n v="19710"/>
    <n v="70956"/>
  </r>
  <r>
    <x v="0"/>
    <x v="0"/>
    <x v="0"/>
    <x v="4"/>
    <x v="8"/>
    <s v="LV_Other_DH"/>
    <x v="11"/>
    <x v="1"/>
    <s v="GNR_ST_WOOD_BP_E-30"/>
    <x v="0"/>
    <x v="10"/>
    <n v="54"/>
    <n v="19710"/>
    <n v="70956"/>
  </r>
  <r>
    <x v="0"/>
    <x v="0"/>
    <x v="0"/>
    <x v="4"/>
    <x v="8"/>
    <s v="LV_Other_DH"/>
    <x v="11"/>
    <x v="1"/>
    <s v="GNR_ST_WOOD_BP_E-30"/>
    <x v="0"/>
    <x v="11"/>
    <n v="54"/>
    <n v="19710"/>
    <n v="70956"/>
  </r>
  <r>
    <x v="0"/>
    <x v="0"/>
    <x v="0"/>
    <x v="4"/>
    <x v="8"/>
    <s v="LV_Other_DH"/>
    <x v="11"/>
    <x v="1"/>
    <s v="GNR_ST_WOOD_BP_E-30"/>
    <x v="0"/>
    <x v="12"/>
    <n v="54"/>
    <n v="19710"/>
    <n v="70956"/>
  </r>
  <r>
    <x v="0"/>
    <x v="0"/>
    <x v="0"/>
    <x v="4"/>
    <x v="8"/>
    <s v="LV_Other_DH"/>
    <x v="11"/>
    <x v="1"/>
    <s v="GNR_ST_WOOD_BP_E-30"/>
    <x v="0"/>
    <x v="13"/>
    <n v="54"/>
    <n v="19710"/>
    <n v="70956"/>
  </r>
  <r>
    <x v="0"/>
    <x v="0"/>
    <x v="0"/>
    <x v="4"/>
    <x v="8"/>
    <s v="LV_Other_DH"/>
    <x v="11"/>
    <x v="1"/>
    <s v="GNR_ST_WOOD_BP_E-30"/>
    <x v="0"/>
    <x v="14"/>
    <n v="54"/>
    <n v="19710"/>
    <n v="70956"/>
  </r>
  <r>
    <x v="0"/>
    <x v="0"/>
    <x v="0"/>
    <x v="4"/>
    <x v="8"/>
    <s v="LV_Other_DH"/>
    <x v="11"/>
    <x v="1"/>
    <s v="GNR_ST_WOOD_BP_E-30"/>
    <x v="0"/>
    <x v="15"/>
    <n v="54"/>
    <n v="19710"/>
    <n v="70956"/>
  </r>
  <r>
    <x v="0"/>
    <x v="0"/>
    <x v="0"/>
    <x v="4"/>
    <x v="8"/>
    <s v="LV_Other_DH"/>
    <x v="11"/>
    <x v="1"/>
    <s v="GNR_ST_WOOD_BP_E-30"/>
    <x v="0"/>
    <x v="16"/>
    <n v="54"/>
    <n v="19710"/>
    <n v="70956"/>
  </r>
  <r>
    <x v="0"/>
    <x v="0"/>
    <x v="0"/>
    <x v="4"/>
    <x v="8"/>
    <s v="LV_Other_DH"/>
    <x v="11"/>
    <x v="1"/>
    <s v="GNR_ST_WOOD_BP_E-30"/>
    <x v="0"/>
    <x v="17"/>
    <n v="54"/>
    <n v="19710"/>
    <n v="70956"/>
  </r>
  <r>
    <x v="0"/>
    <x v="0"/>
    <x v="0"/>
    <x v="4"/>
    <x v="8"/>
    <s v="LV_Other_DH"/>
    <x v="11"/>
    <x v="1"/>
    <s v="GNR_ST_WOOD_BP_E-30"/>
    <x v="0"/>
    <x v="18"/>
    <n v="54"/>
    <n v="19710"/>
    <n v="70956"/>
  </r>
  <r>
    <x v="0"/>
    <x v="0"/>
    <x v="0"/>
    <x v="4"/>
    <x v="8"/>
    <s v="LV_Other_DH"/>
    <x v="11"/>
    <x v="1"/>
    <s v="GNR_ST_WOOD_BP_E-30"/>
    <x v="0"/>
    <x v="19"/>
    <n v="54"/>
    <n v="19710"/>
    <n v="70956"/>
  </r>
  <r>
    <x v="0"/>
    <x v="0"/>
    <x v="0"/>
    <x v="4"/>
    <x v="8"/>
    <s v="LV_Other_DH"/>
    <x v="11"/>
    <x v="1"/>
    <s v="GNR_ST_WOOD_BP_E-30"/>
    <x v="0"/>
    <x v="20"/>
    <n v="54"/>
    <n v="19710"/>
    <n v="70956"/>
  </r>
  <r>
    <x v="0"/>
    <x v="0"/>
    <x v="0"/>
    <x v="4"/>
    <x v="8"/>
    <s v="LV_Other_DH"/>
    <x v="11"/>
    <x v="1"/>
    <s v="GNR_ST_WOOD_BP_E-30"/>
    <x v="0"/>
    <x v="21"/>
    <n v="54"/>
    <n v="19710"/>
    <n v="70956"/>
  </r>
  <r>
    <x v="0"/>
    <x v="0"/>
    <x v="0"/>
    <x v="4"/>
    <x v="8"/>
    <s v="LV_Other_DH"/>
    <x v="11"/>
    <x v="1"/>
    <s v="GNR_ST_WOOD_BP_E-30"/>
    <x v="0"/>
    <x v="22"/>
    <n v="54"/>
    <n v="19710"/>
    <n v="70956"/>
  </r>
  <r>
    <x v="0"/>
    <x v="0"/>
    <x v="0"/>
    <x v="4"/>
    <x v="8"/>
    <s v="LV_Other_DH"/>
    <x v="11"/>
    <x v="1"/>
    <s v="GNR_ST_WOOD_BP_E-30"/>
    <x v="0"/>
    <x v="23"/>
    <n v="54"/>
    <n v="19710"/>
    <n v="70956"/>
  </r>
  <r>
    <x v="0"/>
    <x v="0"/>
    <x v="0"/>
    <x v="4"/>
    <x v="8"/>
    <s v="LV_RigaR"/>
    <x v="2"/>
    <x v="1"/>
    <s v="GNR_ST_NGAS_BP_E-42"/>
    <x v="0"/>
    <x v="3"/>
    <n v="47.9"/>
    <n v="17483.5"/>
    <n v="62940.6"/>
  </r>
  <r>
    <x v="0"/>
    <x v="0"/>
    <x v="0"/>
    <x v="4"/>
    <x v="8"/>
    <s v="LV_RigaR"/>
    <x v="2"/>
    <x v="1"/>
    <s v="GNR_ST_NGAS_BP_E-42"/>
    <x v="0"/>
    <x v="4"/>
    <n v="47.9"/>
    <n v="17483.5"/>
    <n v="62940.6"/>
  </r>
  <r>
    <x v="0"/>
    <x v="0"/>
    <x v="0"/>
    <x v="4"/>
    <x v="8"/>
    <s v="LV_RigaR"/>
    <x v="2"/>
    <x v="1"/>
    <s v="GNR_ST_NGAS_BP_E-42"/>
    <x v="0"/>
    <x v="5"/>
    <n v="47.9"/>
    <n v="17483.5"/>
    <n v="62940.6"/>
  </r>
  <r>
    <x v="0"/>
    <x v="0"/>
    <x v="0"/>
    <x v="4"/>
    <x v="8"/>
    <s v="LV_RigaR"/>
    <x v="2"/>
    <x v="1"/>
    <s v="GNR_ST_NGAS_BP_E-42"/>
    <x v="0"/>
    <x v="6"/>
    <n v="47.9"/>
    <n v="17483.5"/>
    <n v="62940.6"/>
  </r>
  <r>
    <x v="0"/>
    <x v="0"/>
    <x v="0"/>
    <x v="4"/>
    <x v="8"/>
    <s v="LV_RigaR"/>
    <x v="2"/>
    <x v="1"/>
    <s v="GNR_ST_NGAS_BP_E-42"/>
    <x v="0"/>
    <x v="7"/>
    <n v="47.9"/>
    <n v="17483.5"/>
    <n v="62940.6"/>
  </r>
  <r>
    <x v="0"/>
    <x v="0"/>
    <x v="0"/>
    <x v="4"/>
    <x v="8"/>
    <s v="LV_RigaR"/>
    <x v="2"/>
    <x v="1"/>
    <s v="GNR_ST_NGAS_BP_E-42"/>
    <x v="0"/>
    <x v="8"/>
    <n v="47.9"/>
    <n v="17483.5"/>
    <n v="62940.6"/>
  </r>
  <r>
    <x v="0"/>
    <x v="0"/>
    <x v="0"/>
    <x v="4"/>
    <x v="8"/>
    <s v="LV_RigaR"/>
    <x v="2"/>
    <x v="1"/>
    <s v="GNR_ST_NGAS_BP_E-42"/>
    <x v="0"/>
    <x v="0"/>
    <n v="47.9"/>
    <n v="17483.5"/>
    <n v="62940.6"/>
  </r>
  <r>
    <x v="0"/>
    <x v="0"/>
    <x v="0"/>
    <x v="4"/>
    <x v="8"/>
    <s v="LV_RigaR"/>
    <x v="2"/>
    <x v="1"/>
    <s v="GNR_ST_NGAS_BP_E-42"/>
    <x v="0"/>
    <x v="1"/>
    <n v="47.9"/>
    <n v="17483.5"/>
    <n v="62940.6"/>
  </r>
  <r>
    <x v="0"/>
    <x v="0"/>
    <x v="0"/>
    <x v="4"/>
    <x v="8"/>
    <s v="LV_RigaR"/>
    <x v="2"/>
    <x v="1"/>
    <s v="GNR_ST_NGAS_BP_E-42"/>
    <x v="0"/>
    <x v="2"/>
    <n v="47.9"/>
    <n v="17483.5"/>
    <n v="62940.6"/>
  </r>
  <r>
    <x v="0"/>
    <x v="0"/>
    <x v="0"/>
    <x v="4"/>
    <x v="8"/>
    <s v="LV_RigaR"/>
    <x v="2"/>
    <x v="1"/>
    <s v="GNR_ST_NGAS_BP_E-42"/>
    <x v="0"/>
    <x v="9"/>
    <n v="47.9"/>
    <n v="17483.5"/>
    <n v="62940.6"/>
  </r>
  <r>
    <x v="0"/>
    <x v="0"/>
    <x v="0"/>
    <x v="4"/>
    <x v="8"/>
    <s v="LV_RigaR"/>
    <x v="2"/>
    <x v="1"/>
    <s v="GNR_ST_NGAS_BP_E-42"/>
    <x v="0"/>
    <x v="10"/>
    <n v="47.9"/>
    <n v="17483.5"/>
    <n v="62940.6"/>
  </r>
  <r>
    <x v="0"/>
    <x v="0"/>
    <x v="0"/>
    <x v="4"/>
    <x v="8"/>
    <s v="LV_RigaR"/>
    <x v="2"/>
    <x v="1"/>
    <s v="GNR_ST_NGAS_BP_E-42"/>
    <x v="0"/>
    <x v="11"/>
    <n v="47.9"/>
    <n v="17483.5"/>
    <n v="62940.6"/>
  </r>
  <r>
    <x v="0"/>
    <x v="0"/>
    <x v="0"/>
    <x v="4"/>
    <x v="8"/>
    <s v="LV_RigaR"/>
    <x v="2"/>
    <x v="1"/>
    <s v="GNR_ST_NGAS_BP_E-42"/>
    <x v="0"/>
    <x v="12"/>
    <n v="47.9"/>
    <n v="17483.5"/>
    <n v="62940.6"/>
  </r>
  <r>
    <x v="0"/>
    <x v="0"/>
    <x v="0"/>
    <x v="4"/>
    <x v="8"/>
    <s v="LV_RigaR"/>
    <x v="2"/>
    <x v="1"/>
    <s v="GNR_ST_NGAS_BP_E-42"/>
    <x v="0"/>
    <x v="13"/>
    <n v="47.9"/>
    <n v="17483.5"/>
    <n v="62940.6"/>
  </r>
  <r>
    <x v="0"/>
    <x v="0"/>
    <x v="0"/>
    <x v="4"/>
    <x v="8"/>
    <s v="LV_RigaR"/>
    <x v="2"/>
    <x v="1"/>
    <s v="GNR_ST_NGAS_BP_E-42"/>
    <x v="0"/>
    <x v="14"/>
    <n v="47.9"/>
    <n v="17483.5"/>
    <n v="62940.6"/>
  </r>
  <r>
    <x v="0"/>
    <x v="0"/>
    <x v="0"/>
    <x v="4"/>
    <x v="8"/>
    <s v="LV_RigaR"/>
    <x v="2"/>
    <x v="1"/>
    <s v="GNR_ST_NGAS_BP_E-42"/>
    <x v="0"/>
    <x v="15"/>
    <n v="47.9"/>
    <n v="17483.5"/>
    <n v="62940.6"/>
  </r>
  <r>
    <x v="0"/>
    <x v="0"/>
    <x v="0"/>
    <x v="4"/>
    <x v="8"/>
    <s v="LV_RigaR"/>
    <x v="2"/>
    <x v="1"/>
    <s v="GNR_ST_NGAS_BP_E-42"/>
    <x v="0"/>
    <x v="16"/>
    <n v="47.9"/>
    <n v="17483.5"/>
    <n v="62940.6"/>
  </r>
  <r>
    <x v="0"/>
    <x v="0"/>
    <x v="0"/>
    <x v="4"/>
    <x v="8"/>
    <s v="LV_RigaR"/>
    <x v="2"/>
    <x v="1"/>
    <s v="GNR_ST_NGAS_BP_E-42"/>
    <x v="0"/>
    <x v="17"/>
    <n v="47.9"/>
    <n v="17483.5"/>
    <n v="62940.6"/>
  </r>
  <r>
    <x v="0"/>
    <x v="0"/>
    <x v="0"/>
    <x v="4"/>
    <x v="8"/>
    <s v="LV_RigaR"/>
    <x v="2"/>
    <x v="1"/>
    <s v="GNR_ST_NGAS_BP_E-42"/>
    <x v="0"/>
    <x v="18"/>
    <n v="47.9"/>
    <n v="17483.5"/>
    <n v="62940.6"/>
  </r>
  <r>
    <x v="0"/>
    <x v="0"/>
    <x v="0"/>
    <x v="4"/>
    <x v="8"/>
    <s v="LV_RigaR"/>
    <x v="2"/>
    <x v="1"/>
    <s v="GNR_ST_NGAS_BP_E-42"/>
    <x v="0"/>
    <x v="19"/>
    <n v="47.9"/>
    <n v="17483.5"/>
    <n v="62940.6"/>
  </r>
  <r>
    <x v="0"/>
    <x v="0"/>
    <x v="0"/>
    <x v="4"/>
    <x v="8"/>
    <s v="LV_RigaR"/>
    <x v="2"/>
    <x v="1"/>
    <s v="GNR_ST_NGAS_BP_E-42"/>
    <x v="0"/>
    <x v="20"/>
    <n v="47.9"/>
    <n v="17483.5"/>
    <n v="62940.6"/>
  </r>
  <r>
    <x v="0"/>
    <x v="0"/>
    <x v="0"/>
    <x v="4"/>
    <x v="8"/>
    <s v="LV_RigaR"/>
    <x v="2"/>
    <x v="1"/>
    <s v="GNR_ST_NGAS_BP_E-42"/>
    <x v="0"/>
    <x v="21"/>
    <n v="47.9"/>
    <n v="17483.5"/>
    <n v="62940.6"/>
  </r>
  <r>
    <x v="0"/>
    <x v="0"/>
    <x v="0"/>
    <x v="4"/>
    <x v="8"/>
    <s v="LV_RigaR"/>
    <x v="2"/>
    <x v="1"/>
    <s v="GNR_ST_NGAS_BP_E-42"/>
    <x v="0"/>
    <x v="22"/>
    <n v="47.9"/>
    <n v="17483.5"/>
    <n v="62940.6"/>
  </r>
  <r>
    <x v="0"/>
    <x v="0"/>
    <x v="0"/>
    <x v="4"/>
    <x v="8"/>
    <s v="LV_RigaR"/>
    <x v="2"/>
    <x v="1"/>
    <s v="GNR_ST_NGAS_BP_E-42"/>
    <x v="0"/>
    <x v="23"/>
    <n v="47.9"/>
    <n v="17483.5"/>
    <n v="62940.6"/>
  </r>
  <r>
    <x v="0"/>
    <x v="0"/>
    <x v="0"/>
    <x v="4"/>
    <x v="8"/>
    <s v="LV_RigaR"/>
    <x v="2"/>
    <x v="1"/>
    <s v="RIGA-TEC2_CC_NGAS_BP"/>
    <x v="0"/>
    <x v="3"/>
    <n v="144"/>
    <n v="52560"/>
    <n v="189216"/>
  </r>
  <r>
    <x v="0"/>
    <x v="0"/>
    <x v="0"/>
    <x v="4"/>
    <x v="8"/>
    <s v="LV_RigaR"/>
    <x v="2"/>
    <x v="1"/>
    <s v="RIGA-TEC2_CC_NGAS_BP"/>
    <x v="0"/>
    <x v="4"/>
    <n v="144"/>
    <n v="52560"/>
    <n v="189216"/>
  </r>
  <r>
    <x v="0"/>
    <x v="0"/>
    <x v="0"/>
    <x v="4"/>
    <x v="8"/>
    <s v="LV_RigaR"/>
    <x v="2"/>
    <x v="1"/>
    <s v="RIGA-TEC2_CC_NGAS_BP"/>
    <x v="0"/>
    <x v="5"/>
    <n v="144"/>
    <n v="52560"/>
    <n v="189216"/>
  </r>
  <r>
    <x v="0"/>
    <x v="0"/>
    <x v="0"/>
    <x v="4"/>
    <x v="8"/>
    <s v="LV_RigaR"/>
    <x v="2"/>
    <x v="1"/>
    <s v="RIGA-TEC2_CC_NGAS_BP"/>
    <x v="0"/>
    <x v="6"/>
    <n v="144"/>
    <n v="52560"/>
    <n v="189216"/>
  </r>
  <r>
    <x v="0"/>
    <x v="0"/>
    <x v="0"/>
    <x v="4"/>
    <x v="8"/>
    <s v="LV_RigaR"/>
    <x v="2"/>
    <x v="1"/>
    <s v="RIGA-TEC2_CC_NGAS_BP"/>
    <x v="0"/>
    <x v="7"/>
    <n v="144"/>
    <n v="52560"/>
    <n v="189216"/>
  </r>
  <r>
    <x v="0"/>
    <x v="0"/>
    <x v="0"/>
    <x v="4"/>
    <x v="8"/>
    <s v="LV_RigaR"/>
    <x v="2"/>
    <x v="1"/>
    <s v="RIGA-TEC2_CC_NGAS_BP"/>
    <x v="0"/>
    <x v="8"/>
    <n v="144"/>
    <n v="52560"/>
    <n v="189216"/>
  </r>
  <r>
    <x v="0"/>
    <x v="0"/>
    <x v="0"/>
    <x v="4"/>
    <x v="8"/>
    <s v="LV_RigaR"/>
    <x v="2"/>
    <x v="1"/>
    <s v="RIGA-TEC2_CC_NGAS_BP"/>
    <x v="0"/>
    <x v="0"/>
    <n v="144"/>
    <n v="52560"/>
    <n v="189216"/>
  </r>
  <r>
    <x v="0"/>
    <x v="0"/>
    <x v="0"/>
    <x v="4"/>
    <x v="8"/>
    <s v="LV_RigaR"/>
    <x v="2"/>
    <x v="1"/>
    <s v="RIGA-TEC2_CC_NGAS_BP"/>
    <x v="0"/>
    <x v="1"/>
    <n v="144"/>
    <n v="52560"/>
    <n v="189216"/>
  </r>
  <r>
    <x v="0"/>
    <x v="0"/>
    <x v="0"/>
    <x v="4"/>
    <x v="8"/>
    <s v="LV_RigaR"/>
    <x v="2"/>
    <x v="1"/>
    <s v="RIGA-TEC2_CC_NGAS_BP"/>
    <x v="0"/>
    <x v="2"/>
    <n v="144"/>
    <n v="52560"/>
    <n v="189216"/>
  </r>
  <r>
    <x v="0"/>
    <x v="0"/>
    <x v="0"/>
    <x v="4"/>
    <x v="8"/>
    <s v="LV_RigaR"/>
    <x v="2"/>
    <x v="1"/>
    <s v="RIGA-TEC2_CC_NGAS_BP"/>
    <x v="0"/>
    <x v="9"/>
    <n v="144"/>
    <n v="52560"/>
    <n v="189216"/>
  </r>
  <r>
    <x v="0"/>
    <x v="0"/>
    <x v="0"/>
    <x v="4"/>
    <x v="8"/>
    <s v="LV_RigaR"/>
    <x v="2"/>
    <x v="1"/>
    <s v="RIGA-TEC2_CC_NGAS_BP"/>
    <x v="0"/>
    <x v="10"/>
    <n v="144"/>
    <n v="52560"/>
    <n v="189216"/>
  </r>
  <r>
    <x v="0"/>
    <x v="0"/>
    <x v="0"/>
    <x v="4"/>
    <x v="8"/>
    <s v="LV_RigaR"/>
    <x v="2"/>
    <x v="1"/>
    <s v="RIGA-TEC2_CC_NGAS_BP"/>
    <x v="0"/>
    <x v="11"/>
    <n v="144"/>
    <n v="52560"/>
    <n v="189216"/>
  </r>
  <r>
    <x v="0"/>
    <x v="0"/>
    <x v="0"/>
    <x v="4"/>
    <x v="8"/>
    <s v="LV_RigaR"/>
    <x v="2"/>
    <x v="1"/>
    <s v="RIGA-TEC2_CC_NGAS_BP"/>
    <x v="0"/>
    <x v="12"/>
    <n v="144"/>
    <n v="52560"/>
    <n v="189216"/>
  </r>
  <r>
    <x v="0"/>
    <x v="0"/>
    <x v="0"/>
    <x v="4"/>
    <x v="8"/>
    <s v="LV_RigaR"/>
    <x v="2"/>
    <x v="1"/>
    <s v="RIGA-TEC2_CC_NGAS_BP"/>
    <x v="0"/>
    <x v="13"/>
    <n v="144"/>
    <n v="52560"/>
    <n v="189216"/>
  </r>
  <r>
    <x v="0"/>
    <x v="0"/>
    <x v="0"/>
    <x v="4"/>
    <x v="8"/>
    <s v="LV_RigaR"/>
    <x v="2"/>
    <x v="1"/>
    <s v="RIGA-TEC2_CC_NGAS_BP"/>
    <x v="0"/>
    <x v="14"/>
    <n v="144"/>
    <n v="52560"/>
    <n v="189216"/>
  </r>
  <r>
    <x v="0"/>
    <x v="0"/>
    <x v="0"/>
    <x v="4"/>
    <x v="8"/>
    <s v="LV_RigaR"/>
    <x v="2"/>
    <x v="1"/>
    <s v="RIGA-TEC2_CC_NGAS_BP"/>
    <x v="0"/>
    <x v="15"/>
    <n v="144"/>
    <n v="52560"/>
    <n v="189216"/>
  </r>
  <r>
    <x v="0"/>
    <x v="0"/>
    <x v="0"/>
    <x v="4"/>
    <x v="8"/>
    <s v="LV_RigaR"/>
    <x v="2"/>
    <x v="1"/>
    <s v="RIGA-TEC2_CC_NGAS_BP"/>
    <x v="0"/>
    <x v="16"/>
    <n v="144"/>
    <n v="52560"/>
    <n v="189216"/>
  </r>
  <r>
    <x v="0"/>
    <x v="0"/>
    <x v="0"/>
    <x v="4"/>
    <x v="8"/>
    <s v="LV_RigaR"/>
    <x v="2"/>
    <x v="1"/>
    <s v="RIGA-TEC2_CC_NGAS_BP"/>
    <x v="0"/>
    <x v="17"/>
    <n v="144"/>
    <n v="52560"/>
    <n v="189216"/>
  </r>
  <r>
    <x v="0"/>
    <x v="0"/>
    <x v="0"/>
    <x v="4"/>
    <x v="8"/>
    <s v="LV_RigaR"/>
    <x v="2"/>
    <x v="1"/>
    <s v="RIGA-TEC2_CC_NGAS_BP"/>
    <x v="0"/>
    <x v="18"/>
    <n v="144"/>
    <n v="52560"/>
    <n v="189216"/>
  </r>
  <r>
    <x v="0"/>
    <x v="0"/>
    <x v="0"/>
    <x v="4"/>
    <x v="8"/>
    <s v="LV_RigaR"/>
    <x v="2"/>
    <x v="1"/>
    <s v="RIGA-TEC2_CC_NGAS_BP"/>
    <x v="0"/>
    <x v="19"/>
    <n v="144"/>
    <n v="52560"/>
    <n v="189216"/>
  </r>
  <r>
    <x v="0"/>
    <x v="0"/>
    <x v="0"/>
    <x v="4"/>
    <x v="8"/>
    <s v="LV_RigaR"/>
    <x v="2"/>
    <x v="1"/>
    <s v="RIGA-TEC2_CC_NGAS_BP"/>
    <x v="0"/>
    <x v="20"/>
    <n v="144"/>
    <n v="52560"/>
    <n v="189216"/>
  </r>
  <r>
    <x v="0"/>
    <x v="0"/>
    <x v="0"/>
    <x v="4"/>
    <x v="8"/>
    <s v="LV_RigaR"/>
    <x v="2"/>
    <x v="1"/>
    <s v="RIGA-TEC2_CC_NGAS_BP"/>
    <x v="0"/>
    <x v="21"/>
    <n v="144"/>
    <n v="52560"/>
    <n v="189216"/>
  </r>
  <r>
    <x v="0"/>
    <x v="0"/>
    <x v="0"/>
    <x v="4"/>
    <x v="8"/>
    <s v="LV_RigaR"/>
    <x v="2"/>
    <x v="1"/>
    <s v="RIGA-TEC2_CC_NGAS_BP"/>
    <x v="0"/>
    <x v="22"/>
    <n v="144"/>
    <n v="52560"/>
    <n v="189216"/>
  </r>
  <r>
    <x v="0"/>
    <x v="0"/>
    <x v="0"/>
    <x v="4"/>
    <x v="8"/>
    <s v="LV_RigaR"/>
    <x v="2"/>
    <x v="1"/>
    <s v="RIGA-TEC2_CC_NGAS_BP"/>
    <x v="0"/>
    <x v="23"/>
    <n v="144"/>
    <n v="52560"/>
    <n v="189216"/>
  </r>
  <r>
    <x v="0"/>
    <x v="0"/>
    <x v="0"/>
    <x v="4"/>
    <x v="8"/>
    <s v="LV_RigaR"/>
    <x v="2"/>
    <x v="0"/>
    <s v="RIGA-TEC2_CC_NGAS_EXT"/>
    <x v="0"/>
    <x v="3"/>
    <n v="881"/>
    <n v="321565"/>
    <n v="1157634"/>
  </r>
  <r>
    <x v="0"/>
    <x v="0"/>
    <x v="0"/>
    <x v="4"/>
    <x v="8"/>
    <s v="LV_RigaR"/>
    <x v="2"/>
    <x v="0"/>
    <s v="RIGA-TEC2_CC_NGAS_EXT"/>
    <x v="0"/>
    <x v="4"/>
    <n v="881"/>
    <n v="321565"/>
    <n v="1157634"/>
  </r>
  <r>
    <x v="0"/>
    <x v="0"/>
    <x v="0"/>
    <x v="4"/>
    <x v="8"/>
    <s v="LV_RigaR"/>
    <x v="2"/>
    <x v="0"/>
    <s v="RIGA-TEC2_CC_NGAS_EXT"/>
    <x v="0"/>
    <x v="5"/>
    <n v="881"/>
    <n v="321565"/>
    <n v="1157634"/>
  </r>
  <r>
    <x v="0"/>
    <x v="0"/>
    <x v="0"/>
    <x v="4"/>
    <x v="8"/>
    <s v="LV_RigaR"/>
    <x v="2"/>
    <x v="0"/>
    <s v="RIGA-TEC2_CC_NGAS_EXT"/>
    <x v="0"/>
    <x v="6"/>
    <n v="881"/>
    <n v="321565"/>
    <n v="1157634"/>
  </r>
  <r>
    <x v="0"/>
    <x v="0"/>
    <x v="0"/>
    <x v="4"/>
    <x v="8"/>
    <s v="LV_RigaR"/>
    <x v="2"/>
    <x v="0"/>
    <s v="RIGA-TEC2_CC_NGAS_EXT"/>
    <x v="0"/>
    <x v="7"/>
    <n v="881"/>
    <n v="321565"/>
    <n v="1157634"/>
  </r>
  <r>
    <x v="0"/>
    <x v="0"/>
    <x v="0"/>
    <x v="4"/>
    <x v="8"/>
    <s v="LV_RigaR"/>
    <x v="2"/>
    <x v="0"/>
    <s v="RIGA-TEC2_CC_NGAS_EXT"/>
    <x v="0"/>
    <x v="8"/>
    <n v="881"/>
    <n v="321565"/>
    <n v="1157634"/>
  </r>
  <r>
    <x v="0"/>
    <x v="0"/>
    <x v="0"/>
    <x v="4"/>
    <x v="8"/>
    <s v="LV_RigaR"/>
    <x v="2"/>
    <x v="0"/>
    <s v="RIGA-TEC2_CC_NGAS_EXT"/>
    <x v="0"/>
    <x v="0"/>
    <n v="881"/>
    <n v="321565"/>
    <n v="1157634"/>
  </r>
  <r>
    <x v="0"/>
    <x v="0"/>
    <x v="0"/>
    <x v="4"/>
    <x v="8"/>
    <s v="LV_RigaR"/>
    <x v="2"/>
    <x v="0"/>
    <s v="RIGA-TEC2_CC_NGAS_EXT"/>
    <x v="0"/>
    <x v="1"/>
    <n v="881"/>
    <n v="321565"/>
    <n v="1157634"/>
  </r>
  <r>
    <x v="0"/>
    <x v="0"/>
    <x v="0"/>
    <x v="4"/>
    <x v="8"/>
    <s v="LV_RigaR"/>
    <x v="2"/>
    <x v="0"/>
    <s v="RIGA-TEC2_CC_NGAS_EXT"/>
    <x v="0"/>
    <x v="2"/>
    <n v="881"/>
    <n v="321565"/>
    <n v="1157634"/>
  </r>
  <r>
    <x v="0"/>
    <x v="0"/>
    <x v="0"/>
    <x v="4"/>
    <x v="8"/>
    <s v="LV_RigaR"/>
    <x v="2"/>
    <x v="0"/>
    <s v="RIGA-TEC2_CC_NGAS_EXT"/>
    <x v="0"/>
    <x v="9"/>
    <n v="881"/>
    <n v="321565"/>
    <n v="1157634"/>
  </r>
  <r>
    <x v="0"/>
    <x v="0"/>
    <x v="0"/>
    <x v="4"/>
    <x v="8"/>
    <s v="LV_RigaR"/>
    <x v="2"/>
    <x v="0"/>
    <s v="RIGA-TEC2_CC_NGAS_EXT"/>
    <x v="0"/>
    <x v="10"/>
    <n v="881"/>
    <n v="321565"/>
    <n v="1157634"/>
  </r>
  <r>
    <x v="0"/>
    <x v="0"/>
    <x v="0"/>
    <x v="4"/>
    <x v="8"/>
    <s v="LV_RigaR"/>
    <x v="2"/>
    <x v="0"/>
    <s v="RIGA-TEC2_CC_NGAS_EXT"/>
    <x v="0"/>
    <x v="11"/>
    <n v="881"/>
    <n v="321565"/>
    <n v="1157634"/>
  </r>
  <r>
    <x v="0"/>
    <x v="0"/>
    <x v="0"/>
    <x v="4"/>
    <x v="8"/>
    <s v="LV_RigaR"/>
    <x v="2"/>
    <x v="0"/>
    <s v="RIGA-TEC2_CC_NGAS_EXT"/>
    <x v="0"/>
    <x v="12"/>
    <n v="881"/>
    <n v="321565"/>
    <n v="1157634"/>
  </r>
  <r>
    <x v="0"/>
    <x v="0"/>
    <x v="0"/>
    <x v="4"/>
    <x v="8"/>
    <s v="LV_RigaR"/>
    <x v="2"/>
    <x v="0"/>
    <s v="RIGA-TEC2_CC_NGAS_EXT"/>
    <x v="0"/>
    <x v="13"/>
    <n v="881"/>
    <n v="321565"/>
    <n v="1157634"/>
  </r>
  <r>
    <x v="0"/>
    <x v="0"/>
    <x v="0"/>
    <x v="4"/>
    <x v="8"/>
    <s v="LV_RigaR"/>
    <x v="2"/>
    <x v="0"/>
    <s v="RIGA-TEC2_CC_NGAS_EXT"/>
    <x v="0"/>
    <x v="14"/>
    <n v="881"/>
    <n v="321565"/>
    <n v="1157634"/>
  </r>
  <r>
    <x v="0"/>
    <x v="0"/>
    <x v="0"/>
    <x v="4"/>
    <x v="8"/>
    <s v="LV_RigaR"/>
    <x v="2"/>
    <x v="0"/>
    <s v="RIGA-TEC2_CC_NGAS_EXT"/>
    <x v="0"/>
    <x v="15"/>
    <n v="881"/>
    <n v="321565"/>
    <n v="1157634"/>
  </r>
  <r>
    <x v="0"/>
    <x v="0"/>
    <x v="0"/>
    <x v="4"/>
    <x v="8"/>
    <s v="LV_RigaR"/>
    <x v="2"/>
    <x v="0"/>
    <s v="RIGA-TEC2_CC_NGAS_EXT"/>
    <x v="0"/>
    <x v="16"/>
    <n v="881"/>
    <n v="321565"/>
    <n v="1157634"/>
  </r>
  <r>
    <x v="0"/>
    <x v="0"/>
    <x v="0"/>
    <x v="4"/>
    <x v="8"/>
    <s v="LV_RigaR"/>
    <x v="2"/>
    <x v="0"/>
    <s v="RIGA-TEC2_CC_NGAS_EXT"/>
    <x v="0"/>
    <x v="17"/>
    <n v="881"/>
    <n v="321565"/>
    <n v="1157634"/>
  </r>
  <r>
    <x v="0"/>
    <x v="0"/>
    <x v="0"/>
    <x v="4"/>
    <x v="8"/>
    <s v="LV_RigaR"/>
    <x v="2"/>
    <x v="0"/>
    <s v="RIGA-TEC2_CC_NGAS_EXT"/>
    <x v="0"/>
    <x v="18"/>
    <n v="881"/>
    <n v="321565"/>
    <n v="1157634"/>
  </r>
  <r>
    <x v="0"/>
    <x v="0"/>
    <x v="0"/>
    <x v="4"/>
    <x v="8"/>
    <s v="LV_RigaR"/>
    <x v="2"/>
    <x v="0"/>
    <s v="RIGA-TEC2_CC_NGAS_EXT"/>
    <x v="0"/>
    <x v="19"/>
    <n v="881"/>
    <n v="321565"/>
    <n v="1157634"/>
  </r>
  <r>
    <x v="0"/>
    <x v="0"/>
    <x v="0"/>
    <x v="4"/>
    <x v="8"/>
    <s v="LV_RigaR"/>
    <x v="2"/>
    <x v="0"/>
    <s v="RIGA-TEC2_CC_NGAS_EXT"/>
    <x v="0"/>
    <x v="20"/>
    <n v="881"/>
    <n v="321565"/>
    <n v="1157634"/>
  </r>
  <r>
    <x v="0"/>
    <x v="0"/>
    <x v="0"/>
    <x v="4"/>
    <x v="8"/>
    <s v="LV_RigaR"/>
    <x v="2"/>
    <x v="0"/>
    <s v="RIGA-TEC2_CC_NGAS_EXT"/>
    <x v="0"/>
    <x v="21"/>
    <n v="881"/>
    <n v="321565"/>
    <n v="1157634"/>
  </r>
  <r>
    <x v="0"/>
    <x v="0"/>
    <x v="0"/>
    <x v="4"/>
    <x v="8"/>
    <s v="LV_RigaR"/>
    <x v="2"/>
    <x v="0"/>
    <s v="RIGA-TEC2_CC_NGAS_EXT"/>
    <x v="0"/>
    <x v="22"/>
    <n v="881"/>
    <n v="321565"/>
    <n v="1157634"/>
  </r>
  <r>
    <x v="0"/>
    <x v="0"/>
    <x v="0"/>
    <x v="4"/>
    <x v="8"/>
    <s v="LV_RigaR"/>
    <x v="2"/>
    <x v="0"/>
    <s v="RIGA-TEC2_CC_NGAS_EXT"/>
    <x v="0"/>
    <x v="23"/>
    <n v="881"/>
    <n v="321565"/>
    <n v="1157634"/>
  </r>
  <r>
    <x v="0"/>
    <x v="0"/>
    <x v="0"/>
    <x v="4"/>
    <x v="8"/>
    <s v="LV_RigaR"/>
    <x v="6"/>
    <x v="7"/>
    <s v="GNR_RES_WTR_NOPMP"/>
    <x v="0"/>
    <x v="2"/>
    <n v="1.1013698630137001"/>
    <n v="402"/>
    <n v="1447.2"/>
  </r>
  <r>
    <x v="0"/>
    <x v="0"/>
    <x v="0"/>
    <x v="4"/>
    <x v="8"/>
    <s v="LV_Rural"/>
    <x v="7"/>
    <x v="5"/>
    <s v="GNR_WT_WIND_ONS"/>
    <x v="0"/>
    <x v="3"/>
    <n v="3.5228018212877599"/>
    <n v="1285.8226647700301"/>
    <n v="4628.96159317212"/>
  </r>
  <r>
    <x v="0"/>
    <x v="0"/>
    <x v="0"/>
    <x v="4"/>
    <x v="8"/>
    <s v="LV_Rural"/>
    <x v="7"/>
    <x v="5"/>
    <s v="GNR_WT_WIND_ONS"/>
    <x v="0"/>
    <x v="4"/>
    <n v="4.2273621855453101"/>
    <n v="1542.98719772404"/>
    <n v="5554.7539118065397"/>
  </r>
  <r>
    <x v="0"/>
    <x v="0"/>
    <x v="0"/>
    <x v="4"/>
    <x v="8"/>
    <s v="LV_Rural"/>
    <x v="7"/>
    <x v="5"/>
    <s v="GNR_WT_WIND_ONS"/>
    <x v="0"/>
    <x v="5"/>
    <n v="4.1267107049370901"/>
    <n v="1506.24940730204"/>
    <n v="5422.49786628734"/>
  </r>
  <r>
    <x v="0"/>
    <x v="0"/>
    <x v="0"/>
    <x v="4"/>
    <x v="8"/>
    <s v="LV_Rural"/>
    <x v="7"/>
    <x v="5"/>
    <s v="GNR_WT_WIND_ONS"/>
    <x v="0"/>
    <x v="6"/>
    <n v="3.8750820034165399"/>
    <n v="1414.4049312470399"/>
    <n v="5091.8577524893299"/>
  </r>
  <r>
    <x v="0"/>
    <x v="0"/>
    <x v="0"/>
    <x v="4"/>
    <x v="8"/>
    <s v="LV_Rural"/>
    <x v="7"/>
    <x v="5"/>
    <s v="GNR_WT_WIND_ONS"/>
    <x v="0"/>
    <x v="7"/>
    <n v="2.8685671973343201"/>
    <n v="1047.02702702703"/>
    <n v="3769.2972972972998"/>
  </r>
  <r>
    <x v="0"/>
    <x v="0"/>
    <x v="0"/>
    <x v="4"/>
    <x v="8"/>
    <s v="LV_Rural"/>
    <x v="7"/>
    <x v="5"/>
    <s v="GNR_WT_WIND_ONS"/>
    <x v="0"/>
    <x v="8"/>
    <n v="1.66074943003566"/>
    <n v="606.17354196301596"/>
    <n v="2182.2247510668599"/>
  </r>
  <r>
    <x v="0"/>
    <x v="0"/>
    <x v="0"/>
    <x v="4"/>
    <x v="8"/>
    <s v="LV_Rural"/>
    <x v="7"/>
    <x v="5"/>
    <s v="GNR_WT_WIND_ONS"/>
    <x v="0"/>
    <x v="0"/>
    <n v="0.35228018212877599"/>
    <n v="128.582266477003"/>
    <n v="462.89615931721198"/>
  </r>
  <r>
    <x v="0"/>
    <x v="0"/>
    <x v="0"/>
    <x v="4"/>
    <x v="8"/>
    <s v="LV_Rural"/>
    <x v="7"/>
    <x v="5"/>
    <s v="GNR_WT_WIND_ONS"/>
    <x v="0"/>
    <x v="1"/>
    <n v="0.251628701520554"/>
    <n v="91.844476055002403"/>
    <n v="330.640113798009"/>
  </r>
  <r>
    <x v="0"/>
    <x v="0"/>
    <x v="0"/>
    <x v="4"/>
    <x v="8"/>
    <s v="LV_Rural"/>
    <x v="7"/>
    <x v="5"/>
    <s v="GNR_WT_WIND_ONS"/>
    <x v="0"/>
    <x v="2"/>
    <n v="0.35228018212877599"/>
    <n v="128.582266477003"/>
    <n v="462.89615931721198"/>
  </r>
  <r>
    <x v="0"/>
    <x v="0"/>
    <x v="0"/>
    <x v="4"/>
    <x v="8"/>
    <s v="LV_Rural"/>
    <x v="7"/>
    <x v="5"/>
    <s v="GNR_WT_WIND_ONS"/>
    <x v="0"/>
    <x v="9"/>
    <n v="1.66074943003566"/>
    <n v="606.17354196301596"/>
    <n v="2182.2247510668599"/>
  </r>
  <r>
    <x v="0"/>
    <x v="0"/>
    <x v="0"/>
    <x v="4"/>
    <x v="8"/>
    <s v="LV_Rural"/>
    <x v="7"/>
    <x v="5"/>
    <s v="GNR_WT_WIND_ONS"/>
    <x v="0"/>
    <x v="10"/>
    <n v="3.8750820034165399"/>
    <n v="1414.4049312470399"/>
    <n v="5091.8577524893299"/>
  </r>
  <r>
    <x v="0"/>
    <x v="0"/>
    <x v="0"/>
    <x v="4"/>
    <x v="8"/>
    <s v="LV_Rural"/>
    <x v="7"/>
    <x v="5"/>
    <s v="GNR_WT_WIND_ONS"/>
    <x v="0"/>
    <x v="11"/>
    <n v="5.9887630961892002"/>
    <n v="2185.8985301090602"/>
    <n v="7869.2347083925997"/>
  </r>
  <r>
    <x v="0"/>
    <x v="0"/>
    <x v="0"/>
    <x v="4"/>
    <x v="8"/>
    <s v="LV_Rural"/>
    <x v="7"/>
    <x v="5"/>
    <s v="GNR_WT_WIND_ONS"/>
    <x v="0"/>
    <x v="12"/>
    <n v="6.9449521619672998"/>
    <n v="2534.90753911807"/>
    <n v="9125.6671408250295"/>
  </r>
  <r>
    <x v="0"/>
    <x v="0"/>
    <x v="0"/>
    <x v="4"/>
    <x v="8"/>
    <s v="LV_Rural"/>
    <x v="7"/>
    <x v="5"/>
    <s v="GNR_WT_WIND_ONS"/>
    <x v="0"/>
    <x v="13"/>
    <n v="7.9514669680495196"/>
    <n v="2902.2854433380699"/>
    <n v="10448.227596017099"/>
  </r>
  <r>
    <x v="0"/>
    <x v="0"/>
    <x v="0"/>
    <x v="4"/>
    <x v="8"/>
    <s v="LV_Rural"/>
    <x v="7"/>
    <x v="5"/>
    <s v="GNR_WT_WIND_ONS"/>
    <x v="0"/>
    <x v="14"/>
    <n v="7.9514669680495196"/>
    <n v="2902.2854433380699"/>
    <n v="10448.227596017099"/>
  </r>
  <r>
    <x v="0"/>
    <x v="0"/>
    <x v="0"/>
    <x v="4"/>
    <x v="8"/>
    <s v="LV_Rural"/>
    <x v="7"/>
    <x v="5"/>
    <s v="GNR_WT_WIND_ONS"/>
    <x v="0"/>
    <x v="15"/>
    <n v="12.581435076027701"/>
    <n v="4592.2238027501198"/>
    <n v="16532.005689900401"/>
  </r>
  <r>
    <x v="0"/>
    <x v="0"/>
    <x v="0"/>
    <x v="4"/>
    <x v="8"/>
    <s v="LV_Rural"/>
    <x v="7"/>
    <x v="5"/>
    <s v="GNR_WT_WIND_ONS"/>
    <x v="0"/>
    <x v="16"/>
    <n v="16.255214118227801"/>
    <n v="5933.15315315315"/>
    <n v="21359.351351351299"/>
  </r>
  <r>
    <x v="0"/>
    <x v="0"/>
    <x v="0"/>
    <x v="4"/>
    <x v="8"/>
    <s v="LV_Rural"/>
    <x v="7"/>
    <x v="5"/>
    <s v="GNR_WT_WIND_ONS"/>
    <x v="0"/>
    <x v="17"/>
    <n v="16.053911157011399"/>
    <n v="5859.6775723091496"/>
    <n v="21094.8392603129"/>
  </r>
  <r>
    <x v="0"/>
    <x v="0"/>
    <x v="0"/>
    <x v="4"/>
    <x v="8"/>
    <s v="LV_Rural"/>
    <x v="7"/>
    <x v="5"/>
    <s v="GNR_WT_WIND_ONS"/>
    <x v="0"/>
    <x v="18"/>
    <n v="21.942022772592299"/>
    <n v="8008.83831199621"/>
    <n v="28831.8179231863"/>
  </r>
  <r>
    <x v="0"/>
    <x v="0"/>
    <x v="0"/>
    <x v="4"/>
    <x v="8"/>
    <s v="LV_Rural"/>
    <x v="7"/>
    <x v="5"/>
    <s v="GNR_WT_WIND_ONS"/>
    <x v="0"/>
    <x v="19"/>
    <n v="32.661405457367998"/>
    <n v="11921.4129919393"/>
    <n v="42917.086770981499"/>
  </r>
  <r>
    <x v="0"/>
    <x v="0"/>
    <x v="0"/>
    <x v="4"/>
    <x v="8"/>
    <s v="LV_Rural"/>
    <x v="7"/>
    <x v="5"/>
    <s v="GNR_WT_WIND_ONS"/>
    <x v="0"/>
    <x v="20"/>
    <n v="37.844956708691399"/>
    <n v="13813.4091986724"/>
    <n v="49728.273115220501"/>
  </r>
  <r>
    <x v="0"/>
    <x v="0"/>
    <x v="0"/>
    <x v="4"/>
    <x v="8"/>
    <s v="LV_Rural"/>
    <x v="7"/>
    <x v="5"/>
    <s v="GNR_WT_WIND_ONS"/>
    <x v="0"/>
    <x v="21"/>
    <n v="40.814175386633899"/>
    <n v="14897.1740161214"/>
    <n v="53629.826458037001"/>
  </r>
  <r>
    <x v="0"/>
    <x v="0"/>
    <x v="0"/>
    <x v="4"/>
    <x v="8"/>
    <s v="LV_Rural"/>
    <x v="7"/>
    <x v="5"/>
    <s v="GNR_WT_WIND_ONS"/>
    <x v="0"/>
    <x v="22"/>
    <n v="41.468410010587398"/>
    <n v="15135.9696538644"/>
    <n v="54489.490753911799"/>
  </r>
  <r>
    <x v="0"/>
    <x v="0"/>
    <x v="0"/>
    <x v="4"/>
    <x v="8"/>
    <s v="LV_Rural"/>
    <x v="7"/>
    <x v="5"/>
    <s v="GNR_WT_WIND_ONS"/>
    <x v="0"/>
    <x v="23"/>
    <n v="43.179485180927102"/>
    <n v="15760.512091038399"/>
    <n v="56737.843527738303"/>
  </r>
  <r>
    <x v="0"/>
    <x v="0"/>
    <x v="0"/>
    <x v="5"/>
    <x v="9"/>
    <s v="LT_KauU"/>
    <x v="1"/>
    <x v="1"/>
    <s v="KAUNAS_ST_MSW_BP"/>
    <x v="0"/>
    <x v="3"/>
    <n v="24"/>
    <n v="8760"/>
    <n v="31536"/>
  </r>
  <r>
    <x v="0"/>
    <x v="0"/>
    <x v="0"/>
    <x v="5"/>
    <x v="9"/>
    <s v="LT_KauU"/>
    <x v="1"/>
    <x v="1"/>
    <s v="KAUNAS_ST_MSW_BP"/>
    <x v="0"/>
    <x v="4"/>
    <n v="24"/>
    <n v="8760"/>
    <n v="31536"/>
  </r>
  <r>
    <x v="0"/>
    <x v="0"/>
    <x v="0"/>
    <x v="5"/>
    <x v="9"/>
    <s v="LT_KauU"/>
    <x v="1"/>
    <x v="1"/>
    <s v="KAUNAS_ST_MSW_BP"/>
    <x v="0"/>
    <x v="5"/>
    <n v="24"/>
    <n v="8760"/>
    <n v="31536"/>
  </r>
  <r>
    <x v="0"/>
    <x v="0"/>
    <x v="0"/>
    <x v="5"/>
    <x v="9"/>
    <s v="LT_KauU"/>
    <x v="1"/>
    <x v="1"/>
    <s v="KAUNAS_ST_MSW_BP"/>
    <x v="0"/>
    <x v="6"/>
    <n v="24"/>
    <n v="8760"/>
    <n v="31536"/>
  </r>
  <r>
    <x v="0"/>
    <x v="0"/>
    <x v="0"/>
    <x v="5"/>
    <x v="9"/>
    <s v="LT_KauU"/>
    <x v="1"/>
    <x v="1"/>
    <s v="KAUNAS_ST_MSW_BP"/>
    <x v="0"/>
    <x v="7"/>
    <n v="24"/>
    <n v="8760"/>
    <n v="31536"/>
  </r>
  <r>
    <x v="0"/>
    <x v="0"/>
    <x v="0"/>
    <x v="5"/>
    <x v="9"/>
    <s v="LT_KauU"/>
    <x v="1"/>
    <x v="1"/>
    <s v="KAUNAS_ST_MSW_BP"/>
    <x v="0"/>
    <x v="8"/>
    <n v="24"/>
    <n v="8760"/>
    <n v="31536"/>
  </r>
  <r>
    <x v="0"/>
    <x v="0"/>
    <x v="0"/>
    <x v="5"/>
    <x v="9"/>
    <s v="LT_KauU"/>
    <x v="1"/>
    <x v="1"/>
    <s v="KAUNAS_ST_MSW_BP"/>
    <x v="0"/>
    <x v="0"/>
    <n v="24"/>
    <n v="8760"/>
    <n v="31536"/>
  </r>
  <r>
    <x v="0"/>
    <x v="0"/>
    <x v="0"/>
    <x v="5"/>
    <x v="9"/>
    <s v="LT_KauU"/>
    <x v="1"/>
    <x v="1"/>
    <s v="KAUNAS_ST_MSW_BP"/>
    <x v="0"/>
    <x v="1"/>
    <n v="24"/>
    <n v="8760"/>
    <n v="31536"/>
  </r>
  <r>
    <x v="0"/>
    <x v="0"/>
    <x v="0"/>
    <x v="5"/>
    <x v="9"/>
    <s v="LT_KauU"/>
    <x v="1"/>
    <x v="1"/>
    <s v="KAUNAS_ST_MSW_BP"/>
    <x v="0"/>
    <x v="2"/>
    <n v="24"/>
    <n v="8760"/>
    <n v="31536"/>
  </r>
  <r>
    <x v="0"/>
    <x v="0"/>
    <x v="0"/>
    <x v="5"/>
    <x v="9"/>
    <s v="LT_KauU"/>
    <x v="1"/>
    <x v="1"/>
    <s v="KAUNAS_ST_MSW_BP"/>
    <x v="0"/>
    <x v="9"/>
    <n v="24"/>
    <n v="8760"/>
    <n v="31536"/>
  </r>
  <r>
    <x v="0"/>
    <x v="0"/>
    <x v="0"/>
    <x v="5"/>
    <x v="9"/>
    <s v="LT_KauU"/>
    <x v="1"/>
    <x v="1"/>
    <s v="KAUNAS_ST_MSW_BP"/>
    <x v="0"/>
    <x v="10"/>
    <n v="24"/>
    <n v="8760"/>
    <n v="31536"/>
  </r>
  <r>
    <x v="0"/>
    <x v="0"/>
    <x v="0"/>
    <x v="5"/>
    <x v="9"/>
    <s v="LT_KauU"/>
    <x v="1"/>
    <x v="1"/>
    <s v="KAUNAS_ST_MSW_BP"/>
    <x v="0"/>
    <x v="11"/>
    <n v="24"/>
    <n v="8760"/>
    <n v="31536"/>
  </r>
  <r>
    <x v="0"/>
    <x v="0"/>
    <x v="0"/>
    <x v="5"/>
    <x v="9"/>
    <s v="LT_KauU"/>
    <x v="1"/>
    <x v="1"/>
    <s v="KAUNAS_ST_MSW_BP"/>
    <x v="0"/>
    <x v="12"/>
    <n v="24"/>
    <n v="8760"/>
    <n v="31536"/>
  </r>
  <r>
    <x v="0"/>
    <x v="0"/>
    <x v="0"/>
    <x v="5"/>
    <x v="9"/>
    <s v="LT_KauU"/>
    <x v="1"/>
    <x v="1"/>
    <s v="KAUNAS_ST_MSW_BP"/>
    <x v="0"/>
    <x v="13"/>
    <n v="24"/>
    <n v="8760"/>
    <n v="31536"/>
  </r>
  <r>
    <x v="0"/>
    <x v="0"/>
    <x v="0"/>
    <x v="5"/>
    <x v="9"/>
    <s v="LT_KauU"/>
    <x v="1"/>
    <x v="1"/>
    <s v="KAUNAS_ST_MSW_BP"/>
    <x v="0"/>
    <x v="14"/>
    <n v="24"/>
    <n v="8760"/>
    <n v="31536"/>
  </r>
  <r>
    <x v="0"/>
    <x v="0"/>
    <x v="0"/>
    <x v="5"/>
    <x v="9"/>
    <s v="LT_KauU"/>
    <x v="1"/>
    <x v="1"/>
    <s v="KAUNAS_ST_MSW_BP"/>
    <x v="0"/>
    <x v="15"/>
    <n v="24"/>
    <n v="8760"/>
    <n v="31536"/>
  </r>
  <r>
    <x v="0"/>
    <x v="0"/>
    <x v="0"/>
    <x v="5"/>
    <x v="9"/>
    <s v="LT_KauU"/>
    <x v="1"/>
    <x v="1"/>
    <s v="KAUNAS_ST_MSW_BP"/>
    <x v="0"/>
    <x v="16"/>
    <n v="24"/>
    <n v="8760"/>
    <n v="31536"/>
  </r>
  <r>
    <x v="0"/>
    <x v="0"/>
    <x v="0"/>
    <x v="5"/>
    <x v="9"/>
    <s v="LT_KauU"/>
    <x v="1"/>
    <x v="1"/>
    <s v="KAUNAS_ST_MSW_BP"/>
    <x v="0"/>
    <x v="17"/>
    <n v="24"/>
    <n v="8760"/>
    <n v="31536"/>
  </r>
  <r>
    <x v="0"/>
    <x v="0"/>
    <x v="0"/>
    <x v="5"/>
    <x v="9"/>
    <s v="LT_KauU"/>
    <x v="1"/>
    <x v="1"/>
    <s v="KAUNAS_ST_MSW_BP"/>
    <x v="0"/>
    <x v="18"/>
    <n v="24"/>
    <n v="8760"/>
    <n v="31536"/>
  </r>
  <r>
    <x v="0"/>
    <x v="0"/>
    <x v="0"/>
    <x v="5"/>
    <x v="9"/>
    <s v="LT_KauU"/>
    <x v="1"/>
    <x v="1"/>
    <s v="KAUNAS_ST_MSW_BP"/>
    <x v="0"/>
    <x v="19"/>
    <n v="24"/>
    <n v="8760"/>
    <n v="31536"/>
  </r>
  <r>
    <x v="0"/>
    <x v="0"/>
    <x v="0"/>
    <x v="5"/>
    <x v="9"/>
    <s v="LT_KauU"/>
    <x v="1"/>
    <x v="1"/>
    <s v="KAUNAS_ST_MSW_BP"/>
    <x v="0"/>
    <x v="20"/>
    <n v="24"/>
    <n v="8760"/>
    <n v="31536"/>
  </r>
  <r>
    <x v="0"/>
    <x v="0"/>
    <x v="0"/>
    <x v="5"/>
    <x v="9"/>
    <s v="LT_KauU"/>
    <x v="1"/>
    <x v="1"/>
    <s v="KAUNAS_ST_MSW_BP"/>
    <x v="0"/>
    <x v="21"/>
    <n v="24"/>
    <n v="8760"/>
    <n v="31536"/>
  </r>
  <r>
    <x v="0"/>
    <x v="0"/>
    <x v="0"/>
    <x v="5"/>
    <x v="9"/>
    <s v="LT_KauU"/>
    <x v="1"/>
    <x v="1"/>
    <s v="KAUNAS_ST_MSW_BP"/>
    <x v="0"/>
    <x v="22"/>
    <n v="24"/>
    <n v="8760"/>
    <n v="31536"/>
  </r>
  <r>
    <x v="0"/>
    <x v="0"/>
    <x v="0"/>
    <x v="5"/>
    <x v="9"/>
    <s v="LT_KauU"/>
    <x v="1"/>
    <x v="1"/>
    <s v="KAUNAS_ST_MSW_BP"/>
    <x v="0"/>
    <x v="23"/>
    <n v="24"/>
    <n v="8760"/>
    <n v="31536"/>
  </r>
  <r>
    <x v="0"/>
    <x v="0"/>
    <x v="0"/>
    <x v="5"/>
    <x v="9"/>
    <s v="LT_KauU"/>
    <x v="2"/>
    <x v="0"/>
    <s v="GNR_ST_NGAS_EXT_E-24"/>
    <x v="0"/>
    <x v="0"/>
    <n v="60"/>
    <n v="21900"/>
    <n v="78840"/>
  </r>
  <r>
    <x v="0"/>
    <x v="0"/>
    <x v="0"/>
    <x v="5"/>
    <x v="9"/>
    <s v="LT_KauU"/>
    <x v="2"/>
    <x v="0"/>
    <s v="GNR_ST_NGAS_EXT_E-24"/>
    <x v="0"/>
    <x v="1"/>
    <n v="60"/>
    <n v="21900"/>
    <n v="78840"/>
  </r>
  <r>
    <x v="0"/>
    <x v="0"/>
    <x v="0"/>
    <x v="5"/>
    <x v="9"/>
    <s v="LT_KauU"/>
    <x v="2"/>
    <x v="0"/>
    <s v="GNR_ST_NGAS_EXT_E-24"/>
    <x v="0"/>
    <x v="2"/>
    <n v="60"/>
    <n v="21900"/>
    <n v="78840"/>
  </r>
  <r>
    <x v="0"/>
    <x v="0"/>
    <x v="0"/>
    <x v="5"/>
    <x v="9"/>
    <s v="LT_KauU"/>
    <x v="2"/>
    <x v="0"/>
    <s v="GNR_ST_NGAS_EXT_E-24"/>
    <x v="0"/>
    <x v="9"/>
    <n v="60"/>
    <n v="21900"/>
    <n v="78840"/>
  </r>
  <r>
    <x v="0"/>
    <x v="0"/>
    <x v="0"/>
    <x v="5"/>
    <x v="9"/>
    <s v="LT_KauU"/>
    <x v="2"/>
    <x v="0"/>
    <s v="GNR_ST_NGAS_EXT_E-24"/>
    <x v="0"/>
    <x v="10"/>
    <n v="60"/>
    <n v="21900"/>
    <n v="78840"/>
  </r>
  <r>
    <x v="0"/>
    <x v="0"/>
    <x v="0"/>
    <x v="5"/>
    <x v="9"/>
    <s v="LT_KauU"/>
    <x v="2"/>
    <x v="0"/>
    <s v="GNR_ST_NGAS_EXT_E-24"/>
    <x v="0"/>
    <x v="11"/>
    <n v="60"/>
    <n v="21900"/>
    <n v="78840"/>
  </r>
  <r>
    <x v="0"/>
    <x v="0"/>
    <x v="0"/>
    <x v="5"/>
    <x v="9"/>
    <s v="LT_KauU"/>
    <x v="2"/>
    <x v="0"/>
    <s v="GNR_ST_NGAS_EXT_E-24"/>
    <x v="0"/>
    <x v="12"/>
    <n v="60"/>
    <n v="21900"/>
    <n v="78840"/>
  </r>
  <r>
    <x v="0"/>
    <x v="0"/>
    <x v="0"/>
    <x v="5"/>
    <x v="9"/>
    <s v="LT_KauU"/>
    <x v="2"/>
    <x v="0"/>
    <s v="GNR_ST_NGAS_EXT_E-24"/>
    <x v="0"/>
    <x v="14"/>
    <n v="60"/>
    <n v="21900"/>
    <n v="78840"/>
  </r>
  <r>
    <x v="0"/>
    <x v="0"/>
    <x v="0"/>
    <x v="5"/>
    <x v="9"/>
    <s v="LT_KauU"/>
    <x v="2"/>
    <x v="0"/>
    <s v="GNR_ST_NGAS_EXT_E-24"/>
    <x v="0"/>
    <x v="15"/>
    <n v="60"/>
    <n v="21900"/>
    <n v="78840"/>
  </r>
  <r>
    <x v="0"/>
    <x v="0"/>
    <x v="0"/>
    <x v="5"/>
    <x v="9"/>
    <s v="LT_KauU"/>
    <x v="2"/>
    <x v="0"/>
    <s v="GNR_ST_NGAS_EXT_E-24"/>
    <x v="0"/>
    <x v="16"/>
    <n v="60"/>
    <n v="21900"/>
    <n v="78840"/>
  </r>
  <r>
    <x v="0"/>
    <x v="0"/>
    <x v="0"/>
    <x v="5"/>
    <x v="9"/>
    <s v="LT_KauU"/>
    <x v="2"/>
    <x v="0"/>
    <s v="GNR_ST_NGAS_EXT_E-24"/>
    <x v="0"/>
    <x v="17"/>
    <n v="60"/>
    <n v="21900"/>
    <n v="78840"/>
  </r>
  <r>
    <x v="0"/>
    <x v="0"/>
    <x v="0"/>
    <x v="5"/>
    <x v="9"/>
    <s v="LT_KauU"/>
    <x v="2"/>
    <x v="0"/>
    <s v="GNR_ST_NGAS_EXT_E-24"/>
    <x v="0"/>
    <x v="18"/>
    <n v="60"/>
    <n v="21900"/>
    <n v="78840"/>
  </r>
  <r>
    <x v="0"/>
    <x v="0"/>
    <x v="0"/>
    <x v="5"/>
    <x v="9"/>
    <s v="LT_KauU"/>
    <x v="2"/>
    <x v="0"/>
    <s v="GNR_ST_NGAS_EXT_E-31"/>
    <x v="0"/>
    <x v="8"/>
    <n v="110"/>
    <n v="40150"/>
    <n v="144540"/>
  </r>
  <r>
    <x v="0"/>
    <x v="0"/>
    <x v="0"/>
    <x v="5"/>
    <x v="9"/>
    <s v="LT_KauU"/>
    <x v="2"/>
    <x v="0"/>
    <s v="GNR_ST_NGAS_EXT_E-31"/>
    <x v="0"/>
    <x v="0"/>
    <n v="110"/>
    <n v="40150"/>
    <n v="144540"/>
  </r>
  <r>
    <x v="0"/>
    <x v="0"/>
    <x v="0"/>
    <x v="5"/>
    <x v="9"/>
    <s v="LT_KauU"/>
    <x v="2"/>
    <x v="0"/>
    <s v="GNR_ST_NGAS_EXT_E-31"/>
    <x v="0"/>
    <x v="1"/>
    <n v="110"/>
    <n v="40150"/>
    <n v="144540"/>
  </r>
  <r>
    <x v="0"/>
    <x v="0"/>
    <x v="0"/>
    <x v="5"/>
    <x v="9"/>
    <s v="LT_KauU"/>
    <x v="2"/>
    <x v="0"/>
    <s v="GNR_ST_NGAS_EXT_E-31"/>
    <x v="0"/>
    <x v="2"/>
    <n v="110"/>
    <n v="40150"/>
    <n v="144540"/>
  </r>
  <r>
    <x v="0"/>
    <x v="0"/>
    <x v="0"/>
    <x v="5"/>
    <x v="9"/>
    <s v="LT_KauU"/>
    <x v="2"/>
    <x v="0"/>
    <s v="GNR_ST_NGAS_EXT_E-31"/>
    <x v="0"/>
    <x v="9"/>
    <n v="110"/>
    <n v="40150"/>
    <n v="144540"/>
  </r>
  <r>
    <x v="0"/>
    <x v="0"/>
    <x v="0"/>
    <x v="5"/>
    <x v="9"/>
    <s v="LT_KauU"/>
    <x v="2"/>
    <x v="0"/>
    <s v="GNR_ST_NGAS_EXT_E-31"/>
    <x v="0"/>
    <x v="10"/>
    <n v="110"/>
    <n v="40150"/>
    <n v="144540"/>
  </r>
  <r>
    <x v="0"/>
    <x v="0"/>
    <x v="0"/>
    <x v="5"/>
    <x v="9"/>
    <s v="LT_KauU"/>
    <x v="2"/>
    <x v="0"/>
    <s v="GNR_ST_NGAS_EXT_E-31"/>
    <x v="0"/>
    <x v="11"/>
    <n v="110"/>
    <n v="40150"/>
    <n v="144540"/>
  </r>
  <r>
    <x v="0"/>
    <x v="0"/>
    <x v="0"/>
    <x v="5"/>
    <x v="9"/>
    <s v="LT_KauU"/>
    <x v="2"/>
    <x v="0"/>
    <s v="GNR_ST_NGAS_EXT_E-31"/>
    <x v="0"/>
    <x v="12"/>
    <n v="110"/>
    <n v="40150"/>
    <n v="144540"/>
  </r>
  <r>
    <x v="0"/>
    <x v="0"/>
    <x v="0"/>
    <x v="5"/>
    <x v="9"/>
    <s v="LT_KauU"/>
    <x v="2"/>
    <x v="0"/>
    <s v="GNR_ST_NGAS_EXT_E-31"/>
    <x v="0"/>
    <x v="13"/>
    <n v="110"/>
    <n v="40150"/>
    <n v="144540"/>
  </r>
  <r>
    <x v="0"/>
    <x v="0"/>
    <x v="0"/>
    <x v="5"/>
    <x v="9"/>
    <s v="LT_KauU"/>
    <x v="2"/>
    <x v="0"/>
    <s v="GNR_ST_NGAS_EXT_E-31"/>
    <x v="0"/>
    <x v="14"/>
    <n v="110"/>
    <n v="40150"/>
    <n v="144540"/>
  </r>
  <r>
    <x v="0"/>
    <x v="0"/>
    <x v="0"/>
    <x v="5"/>
    <x v="9"/>
    <s v="LT_KauU"/>
    <x v="2"/>
    <x v="0"/>
    <s v="GNR_ST_NGAS_EXT_E-31"/>
    <x v="0"/>
    <x v="15"/>
    <n v="110"/>
    <n v="40150"/>
    <n v="144540"/>
  </r>
  <r>
    <x v="0"/>
    <x v="0"/>
    <x v="0"/>
    <x v="5"/>
    <x v="9"/>
    <s v="LT_KauU"/>
    <x v="2"/>
    <x v="0"/>
    <s v="GNR_ST_NGAS_EXT_E-31"/>
    <x v="0"/>
    <x v="16"/>
    <n v="110"/>
    <n v="40150"/>
    <n v="144540"/>
  </r>
  <r>
    <x v="0"/>
    <x v="0"/>
    <x v="0"/>
    <x v="5"/>
    <x v="9"/>
    <s v="LT_KauU"/>
    <x v="2"/>
    <x v="0"/>
    <s v="GNR_ST_NGAS_EXT_E-31"/>
    <x v="0"/>
    <x v="17"/>
    <n v="110"/>
    <n v="40150"/>
    <n v="144540"/>
  </r>
  <r>
    <x v="0"/>
    <x v="0"/>
    <x v="0"/>
    <x v="5"/>
    <x v="9"/>
    <s v="LT_KauU"/>
    <x v="2"/>
    <x v="0"/>
    <s v="GNR_ST_NGAS_EXT_E-31"/>
    <x v="0"/>
    <x v="18"/>
    <n v="110"/>
    <n v="40150"/>
    <n v="144540"/>
  </r>
  <r>
    <x v="0"/>
    <x v="0"/>
    <x v="0"/>
    <x v="5"/>
    <x v="9"/>
    <s v="LT_KauU"/>
    <x v="2"/>
    <x v="0"/>
    <s v="GNR_ST_NGAS_EXT_E-31"/>
    <x v="0"/>
    <x v="19"/>
    <n v="110"/>
    <n v="40150"/>
    <n v="144540"/>
  </r>
  <r>
    <x v="0"/>
    <x v="0"/>
    <x v="0"/>
    <x v="5"/>
    <x v="9"/>
    <s v="LT_KauU"/>
    <x v="2"/>
    <x v="0"/>
    <s v="GNR_ST_NGAS_EXT_E-31"/>
    <x v="0"/>
    <x v="20"/>
    <n v="110"/>
    <n v="40150"/>
    <n v="144540"/>
  </r>
  <r>
    <x v="0"/>
    <x v="0"/>
    <x v="0"/>
    <x v="5"/>
    <x v="9"/>
    <s v="LT_KauU"/>
    <x v="6"/>
    <x v="4"/>
    <s v="GNR_ROR_WTR"/>
    <x v="0"/>
    <x v="3"/>
    <n v="70.027397260273901"/>
    <n v="25560"/>
    <n v="92016"/>
  </r>
  <r>
    <x v="0"/>
    <x v="0"/>
    <x v="0"/>
    <x v="5"/>
    <x v="9"/>
    <s v="LT_KauU"/>
    <x v="6"/>
    <x v="4"/>
    <s v="GNR_ROR_WTR"/>
    <x v="0"/>
    <x v="4"/>
    <n v="70.027397260273901"/>
    <n v="25560"/>
    <n v="92016"/>
  </r>
  <r>
    <x v="0"/>
    <x v="0"/>
    <x v="0"/>
    <x v="5"/>
    <x v="9"/>
    <s v="LT_KauU"/>
    <x v="6"/>
    <x v="4"/>
    <s v="GNR_ROR_WTR"/>
    <x v="0"/>
    <x v="5"/>
    <n v="70.027397260273901"/>
    <n v="25560"/>
    <n v="92016"/>
  </r>
  <r>
    <x v="0"/>
    <x v="0"/>
    <x v="0"/>
    <x v="5"/>
    <x v="9"/>
    <s v="LT_KauU"/>
    <x v="6"/>
    <x v="4"/>
    <s v="GNR_ROR_WTR"/>
    <x v="0"/>
    <x v="6"/>
    <n v="70.027397260273901"/>
    <n v="25560"/>
    <n v="92016"/>
  </r>
  <r>
    <x v="0"/>
    <x v="0"/>
    <x v="0"/>
    <x v="5"/>
    <x v="9"/>
    <s v="LT_KauU"/>
    <x v="6"/>
    <x v="4"/>
    <s v="GNR_ROR_WTR"/>
    <x v="0"/>
    <x v="7"/>
    <n v="70.027397260273901"/>
    <n v="25560"/>
    <n v="92016"/>
  </r>
  <r>
    <x v="0"/>
    <x v="0"/>
    <x v="0"/>
    <x v="5"/>
    <x v="9"/>
    <s v="LT_KauU"/>
    <x v="6"/>
    <x v="4"/>
    <s v="GNR_ROR_WTR"/>
    <x v="0"/>
    <x v="8"/>
    <n v="70.027397260273901"/>
    <n v="25560"/>
    <n v="92016"/>
  </r>
  <r>
    <x v="0"/>
    <x v="0"/>
    <x v="0"/>
    <x v="5"/>
    <x v="9"/>
    <s v="LT_KauU"/>
    <x v="6"/>
    <x v="4"/>
    <s v="GNR_ROR_WTR"/>
    <x v="0"/>
    <x v="0"/>
    <n v="70.027397260273901"/>
    <n v="25560"/>
    <n v="92016"/>
  </r>
  <r>
    <x v="0"/>
    <x v="0"/>
    <x v="0"/>
    <x v="5"/>
    <x v="9"/>
    <s v="LT_KauU"/>
    <x v="6"/>
    <x v="4"/>
    <s v="GNR_ROR_WTR"/>
    <x v="0"/>
    <x v="1"/>
    <n v="70.027397260273901"/>
    <n v="25560"/>
    <n v="92016"/>
  </r>
  <r>
    <x v="0"/>
    <x v="0"/>
    <x v="0"/>
    <x v="5"/>
    <x v="9"/>
    <s v="LT_KauU"/>
    <x v="6"/>
    <x v="4"/>
    <s v="GNR_ROR_WTR"/>
    <x v="0"/>
    <x v="2"/>
    <n v="70.027397260273901"/>
    <n v="25560"/>
    <n v="92016"/>
  </r>
  <r>
    <x v="0"/>
    <x v="0"/>
    <x v="0"/>
    <x v="5"/>
    <x v="9"/>
    <s v="LT_KauU"/>
    <x v="6"/>
    <x v="4"/>
    <s v="GNR_ROR_WTR"/>
    <x v="0"/>
    <x v="9"/>
    <n v="70.027397260273901"/>
    <n v="25560"/>
    <n v="92016"/>
  </r>
  <r>
    <x v="0"/>
    <x v="0"/>
    <x v="0"/>
    <x v="5"/>
    <x v="9"/>
    <s v="LT_KauU"/>
    <x v="6"/>
    <x v="4"/>
    <s v="GNR_ROR_WTR"/>
    <x v="0"/>
    <x v="10"/>
    <n v="70.027397260273901"/>
    <n v="25560"/>
    <n v="92016"/>
  </r>
  <r>
    <x v="0"/>
    <x v="0"/>
    <x v="0"/>
    <x v="5"/>
    <x v="9"/>
    <s v="LT_KauU"/>
    <x v="6"/>
    <x v="4"/>
    <s v="GNR_ROR_WTR"/>
    <x v="0"/>
    <x v="11"/>
    <n v="70.027397260273901"/>
    <n v="25560"/>
    <n v="92016"/>
  </r>
  <r>
    <x v="0"/>
    <x v="0"/>
    <x v="0"/>
    <x v="5"/>
    <x v="9"/>
    <s v="LT_KauU"/>
    <x v="6"/>
    <x v="4"/>
    <s v="GNR_ROR_WTR"/>
    <x v="0"/>
    <x v="12"/>
    <n v="70.027397260273901"/>
    <n v="25560"/>
    <n v="92016"/>
  </r>
  <r>
    <x v="0"/>
    <x v="0"/>
    <x v="0"/>
    <x v="5"/>
    <x v="9"/>
    <s v="LT_KauU"/>
    <x v="6"/>
    <x v="4"/>
    <s v="GNR_ROR_WTR"/>
    <x v="0"/>
    <x v="13"/>
    <n v="70.027397260273901"/>
    <n v="25560"/>
    <n v="92016"/>
  </r>
  <r>
    <x v="0"/>
    <x v="0"/>
    <x v="0"/>
    <x v="5"/>
    <x v="9"/>
    <s v="LT_KauU"/>
    <x v="6"/>
    <x v="4"/>
    <s v="GNR_ROR_WTR"/>
    <x v="0"/>
    <x v="14"/>
    <n v="70.027397260273901"/>
    <n v="25560"/>
    <n v="92016"/>
  </r>
  <r>
    <x v="0"/>
    <x v="0"/>
    <x v="0"/>
    <x v="5"/>
    <x v="9"/>
    <s v="LT_KauU"/>
    <x v="6"/>
    <x v="4"/>
    <s v="GNR_ROR_WTR"/>
    <x v="0"/>
    <x v="15"/>
    <n v="70.027397260273901"/>
    <n v="25560"/>
    <n v="92016"/>
  </r>
  <r>
    <x v="0"/>
    <x v="0"/>
    <x v="0"/>
    <x v="5"/>
    <x v="9"/>
    <s v="LT_KauU"/>
    <x v="6"/>
    <x v="4"/>
    <s v="GNR_ROR_WTR"/>
    <x v="0"/>
    <x v="16"/>
    <n v="70.027397260273901"/>
    <n v="25560"/>
    <n v="92016"/>
  </r>
  <r>
    <x v="0"/>
    <x v="0"/>
    <x v="0"/>
    <x v="5"/>
    <x v="9"/>
    <s v="LT_KauU"/>
    <x v="6"/>
    <x v="4"/>
    <s v="GNR_ROR_WTR"/>
    <x v="0"/>
    <x v="17"/>
    <n v="70.027397260273901"/>
    <n v="25560"/>
    <n v="92016"/>
  </r>
  <r>
    <x v="0"/>
    <x v="0"/>
    <x v="0"/>
    <x v="5"/>
    <x v="9"/>
    <s v="LT_KauU"/>
    <x v="6"/>
    <x v="4"/>
    <s v="GNR_ROR_WTR"/>
    <x v="0"/>
    <x v="18"/>
    <n v="70.027397260273901"/>
    <n v="25560"/>
    <n v="92016"/>
  </r>
  <r>
    <x v="0"/>
    <x v="0"/>
    <x v="0"/>
    <x v="5"/>
    <x v="9"/>
    <s v="LT_KauU"/>
    <x v="6"/>
    <x v="4"/>
    <s v="GNR_ROR_WTR"/>
    <x v="0"/>
    <x v="19"/>
    <n v="70.027397260273901"/>
    <n v="25560"/>
    <n v="92016"/>
  </r>
  <r>
    <x v="0"/>
    <x v="0"/>
    <x v="0"/>
    <x v="5"/>
    <x v="9"/>
    <s v="LT_KauU"/>
    <x v="6"/>
    <x v="4"/>
    <s v="GNR_ROR_WTR"/>
    <x v="0"/>
    <x v="20"/>
    <n v="70.027397260273901"/>
    <n v="25560"/>
    <n v="92016"/>
  </r>
  <r>
    <x v="0"/>
    <x v="0"/>
    <x v="0"/>
    <x v="5"/>
    <x v="9"/>
    <s v="LT_KauU"/>
    <x v="6"/>
    <x v="4"/>
    <s v="GNR_ROR_WTR"/>
    <x v="0"/>
    <x v="21"/>
    <n v="70.027397260273901"/>
    <n v="25560"/>
    <n v="92016"/>
  </r>
  <r>
    <x v="0"/>
    <x v="0"/>
    <x v="0"/>
    <x v="5"/>
    <x v="9"/>
    <s v="LT_KauU"/>
    <x v="6"/>
    <x v="4"/>
    <s v="GNR_ROR_WTR"/>
    <x v="0"/>
    <x v="22"/>
    <n v="70.027397260273901"/>
    <n v="25560"/>
    <n v="92016"/>
  </r>
  <r>
    <x v="0"/>
    <x v="0"/>
    <x v="0"/>
    <x v="5"/>
    <x v="9"/>
    <s v="LT_KauU"/>
    <x v="6"/>
    <x v="4"/>
    <s v="GNR_ROR_WTR"/>
    <x v="0"/>
    <x v="23"/>
    <n v="70.027397260273901"/>
    <n v="25560"/>
    <n v="92016"/>
  </r>
  <r>
    <x v="0"/>
    <x v="0"/>
    <x v="0"/>
    <x v="5"/>
    <x v="9"/>
    <s v="LT_KlaU"/>
    <x v="5"/>
    <x v="3"/>
    <s v="GNR_PV_SUN"/>
    <x v="0"/>
    <x v="2"/>
    <n v="1.7762462043374301"/>
    <n v="648.32986458316304"/>
    <n v="2333.98751249939"/>
  </r>
  <r>
    <x v="0"/>
    <x v="0"/>
    <x v="0"/>
    <x v="5"/>
    <x v="9"/>
    <s v="LT_KlaU"/>
    <x v="5"/>
    <x v="3"/>
    <s v="GNR_PV_SUN"/>
    <x v="0"/>
    <x v="9"/>
    <n v="13.371945784448"/>
    <n v="4880.7602113234998"/>
    <n v="17570.736760764601"/>
  </r>
  <r>
    <x v="0"/>
    <x v="0"/>
    <x v="0"/>
    <x v="5"/>
    <x v="9"/>
    <s v="LT_KlaU"/>
    <x v="5"/>
    <x v="3"/>
    <s v="GNR_PV_SUN"/>
    <x v="0"/>
    <x v="10"/>
    <n v="30.888466045683298"/>
    <n v="11274.2901066744"/>
    <n v="40587.444384027804"/>
  </r>
  <r>
    <x v="0"/>
    <x v="0"/>
    <x v="0"/>
    <x v="5"/>
    <x v="9"/>
    <s v="LT_KlaU"/>
    <x v="5"/>
    <x v="3"/>
    <s v="GNR_PV_SUN"/>
    <x v="0"/>
    <x v="11"/>
    <n v="47.038643072812803"/>
    <n v="17169.104721576699"/>
    <n v="61808.776997676097"/>
  </r>
  <r>
    <x v="0"/>
    <x v="0"/>
    <x v="0"/>
    <x v="5"/>
    <x v="9"/>
    <s v="LT_KlaU"/>
    <x v="5"/>
    <x v="3"/>
    <s v="GNR_PV_SUN"/>
    <x v="0"/>
    <x v="12"/>
    <n v="53.478674182897798"/>
    <n v="19519.716076757701"/>
    <n v="70270.977876327699"/>
  </r>
  <r>
    <x v="0"/>
    <x v="0"/>
    <x v="0"/>
    <x v="5"/>
    <x v="9"/>
    <s v="LT_KlaU"/>
    <x v="5"/>
    <x v="3"/>
    <s v="GNR_PV_SUN"/>
    <x v="0"/>
    <x v="13"/>
    <n v="46.501214734064597"/>
    <n v="16972.9433779336"/>
    <n v="61102.596160560897"/>
  </r>
  <r>
    <x v="0"/>
    <x v="0"/>
    <x v="0"/>
    <x v="5"/>
    <x v="9"/>
    <s v="LT_KlaU"/>
    <x v="5"/>
    <x v="3"/>
    <s v="GNR_PV_SUN"/>
    <x v="0"/>
    <x v="14"/>
    <n v="30.2599481579946"/>
    <n v="11044.881077668"/>
    <n v="39761.571879604897"/>
  </r>
  <r>
    <x v="0"/>
    <x v="0"/>
    <x v="0"/>
    <x v="5"/>
    <x v="9"/>
    <s v="LT_KlaU"/>
    <x v="5"/>
    <x v="3"/>
    <s v="GNR_PV_SUN"/>
    <x v="0"/>
    <x v="15"/>
    <n v="15.3212621317721"/>
    <n v="5592.2606780968199"/>
    <n v="20132.1384411486"/>
  </r>
  <r>
    <x v="0"/>
    <x v="0"/>
    <x v="0"/>
    <x v="5"/>
    <x v="9"/>
    <s v="LT_KlaU"/>
    <x v="5"/>
    <x v="3"/>
    <s v="GNR_PV_SUN"/>
    <x v="0"/>
    <x v="16"/>
    <n v="1.9948611217943499"/>
    <n v="728.12430945493702"/>
    <n v="2621.2475140377701"/>
  </r>
  <r>
    <x v="0"/>
    <x v="0"/>
    <x v="0"/>
    <x v="5"/>
    <x v="9"/>
    <s v="LT_Other_DH"/>
    <x v="18"/>
    <x v="1"/>
    <s v="LIFOSA_ST_HEAT_BP"/>
    <x v="0"/>
    <x v="3"/>
    <n v="37"/>
    <n v="13505"/>
    <n v="48618"/>
  </r>
  <r>
    <x v="0"/>
    <x v="0"/>
    <x v="0"/>
    <x v="5"/>
    <x v="9"/>
    <s v="LT_Other_DH"/>
    <x v="18"/>
    <x v="1"/>
    <s v="LIFOSA_ST_HEAT_BP"/>
    <x v="0"/>
    <x v="4"/>
    <n v="37"/>
    <n v="13505"/>
    <n v="48618"/>
  </r>
  <r>
    <x v="0"/>
    <x v="0"/>
    <x v="0"/>
    <x v="5"/>
    <x v="9"/>
    <s v="LT_Other_DH"/>
    <x v="18"/>
    <x v="1"/>
    <s v="LIFOSA_ST_HEAT_BP"/>
    <x v="0"/>
    <x v="5"/>
    <n v="37"/>
    <n v="13505"/>
    <n v="48618"/>
  </r>
  <r>
    <x v="0"/>
    <x v="0"/>
    <x v="0"/>
    <x v="5"/>
    <x v="9"/>
    <s v="LT_Other_DH"/>
    <x v="18"/>
    <x v="1"/>
    <s v="LIFOSA_ST_HEAT_BP"/>
    <x v="0"/>
    <x v="6"/>
    <n v="37"/>
    <n v="13505"/>
    <n v="48618"/>
  </r>
  <r>
    <x v="0"/>
    <x v="0"/>
    <x v="0"/>
    <x v="5"/>
    <x v="9"/>
    <s v="LT_Other_DH"/>
    <x v="18"/>
    <x v="1"/>
    <s v="LIFOSA_ST_HEAT_BP"/>
    <x v="0"/>
    <x v="7"/>
    <n v="37"/>
    <n v="13505"/>
    <n v="48618"/>
  </r>
  <r>
    <x v="0"/>
    <x v="0"/>
    <x v="0"/>
    <x v="5"/>
    <x v="9"/>
    <s v="LT_Other_DH"/>
    <x v="18"/>
    <x v="1"/>
    <s v="LIFOSA_ST_HEAT_BP"/>
    <x v="0"/>
    <x v="8"/>
    <n v="37"/>
    <n v="13505"/>
    <n v="48618"/>
  </r>
  <r>
    <x v="0"/>
    <x v="0"/>
    <x v="0"/>
    <x v="5"/>
    <x v="9"/>
    <s v="LT_Other_DH"/>
    <x v="18"/>
    <x v="1"/>
    <s v="LIFOSA_ST_HEAT_BP"/>
    <x v="0"/>
    <x v="0"/>
    <n v="37"/>
    <n v="13505"/>
    <n v="48618"/>
  </r>
  <r>
    <x v="0"/>
    <x v="0"/>
    <x v="0"/>
    <x v="5"/>
    <x v="9"/>
    <s v="LT_Other_DH"/>
    <x v="18"/>
    <x v="1"/>
    <s v="LIFOSA_ST_HEAT_BP"/>
    <x v="0"/>
    <x v="1"/>
    <n v="37"/>
    <n v="13505"/>
    <n v="48618"/>
  </r>
  <r>
    <x v="0"/>
    <x v="0"/>
    <x v="0"/>
    <x v="5"/>
    <x v="9"/>
    <s v="LT_Other_DH"/>
    <x v="18"/>
    <x v="1"/>
    <s v="LIFOSA_ST_HEAT_BP"/>
    <x v="0"/>
    <x v="2"/>
    <n v="37"/>
    <n v="13505"/>
    <n v="48618"/>
  </r>
  <r>
    <x v="0"/>
    <x v="0"/>
    <x v="0"/>
    <x v="5"/>
    <x v="9"/>
    <s v="LT_Other_DH"/>
    <x v="18"/>
    <x v="1"/>
    <s v="LIFOSA_ST_HEAT_BP"/>
    <x v="0"/>
    <x v="9"/>
    <n v="37"/>
    <n v="13505"/>
    <n v="48618"/>
  </r>
  <r>
    <x v="0"/>
    <x v="0"/>
    <x v="0"/>
    <x v="5"/>
    <x v="9"/>
    <s v="LT_Other_DH"/>
    <x v="18"/>
    <x v="1"/>
    <s v="LIFOSA_ST_HEAT_BP"/>
    <x v="0"/>
    <x v="10"/>
    <n v="37"/>
    <n v="13505"/>
    <n v="48618"/>
  </r>
  <r>
    <x v="0"/>
    <x v="0"/>
    <x v="0"/>
    <x v="5"/>
    <x v="9"/>
    <s v="LT_Other_DH"/>
    <x v="18"/>
    <x v="1"/>
    <s v="LIFOSA_ST_HEAT_BP"/>
    <x v="0"/>
    <x v="11"/>
    <n v="37"/>
    <n v="13505"/>
    <n v="48618"/>
  </r>
  <r>
    <x v="0"/>
    <x v="0"/>
    <x v="0"/>
    <x v="5"/>
    <x v="9"/>
    <s v="LT_Other_DH"/>
    <x v="18"/>
    <x v="1"/>
    <s v="LIFOSA_ST_HEAT_BP"/>
    <x v="0"/>
    <x v="12"/>
    <n v="37"/>
    <n v="13505"/>
    <n v="48618"/>
  </r>
  <r>
    <x v="0"/>
    <x v="0"/>
    <x v="0"/>
    <x v="5"/>
    <x v="9"/>
    <s v="LT_Other_DH"/>
    <x v="18"/>
    <x v="1"/>
    <s v="LIFOSA_ST_HEAT_BP"/>
    <x v="0"/>
    <x v="13"/>
    <n v="37"/>
    <n v="13505"/>
    <n v="48618"/>
  </r>
  <r>
    <x v="0"/>
    <x v="0"/>
    <x v="0"/>
    <x v="5"/>
    <x v="9"/>
    <s v="LT_Other_DH"/>
    <x v="18"/>
    <x v="1"/>
    <s v="LIFOSA_ST_HEAT_BP"/>
    <x v="0"/>
    <x v="14"/>
    <n v="37"/>
    <n v="13505"/>
    <n v="48618"/>
  </r>
  <r>
    <x v="0"/>
    <x v="0"/>
    <x v="0"/>
    <x v="5"/>
    <x v="9"/>
    <s v="LT_Other_DH"/>
    <x v="18"/>
    <x v="1"/>
    <s v="LIFOSA_ST_HEAT_BP"/>
    <x v="0"/>
    <x v="15"/>
    <n v="37"/>
    <n v="13505"/>
    <n v="48618"/>
  </r>
  <r>
    <x v="0"/>
    <x v="0"/>
    <x v="0"/>
    <x v="5"/>
    <x v="9"/>
    <s v="LT_Other_DH"/>
    <x v="18"/>
    <x v="1"/>
    <s v="LIFOSA_ST_HEAT_BP"/>
    <x v="0"/>
    <x v="16"/>
    <n v="37"/>
    <n v="13505"/>
    <n v="48618"/>
  </r>
  <r>
    <x v="0"/>
    <x v="0"/>
    <x v="0"/>
    <x v="5"/>
    <x v="9"/>
    <s v="LT_Other_DH"/>
    <x v="18"/>
    <x v="1"/>
    <s v="LIFOSA_ST_HEAT_BP"/>
    <x v="0"/>
    <x v="17"/>
    <n v="37"/>
    <n v="13505"/>
    <n v="48618"/>
  </r>
  <r>
    <x v="0"/>
    <x v="0"/>
    <x v="0"/>
    <x v="5"/>
    <x v="9"/>
    <s v="LT_Other_DH"/>
    <x v="18"/>
    <x v="1"/>
    <s v="LIFOSA_ST_HEAT_BP"/>
    <x v="0"/>
    <x v="18"/>
    <n v="37"/>
    <n v="13505"/>
    <n v="48618"/>
  </r>
  <r>
    <x v="0"/>
    <x v="0"/>
    <x v="0"/>
    <x v="5"/>
    <x v="9"/>
    <s v="LT_Other_DH"/>
    <x v="18"/>
    <x v="1"/>
    <s v="LIFOSA_ST_HEAT_BP"/>
    <x v="0"/>
    <x v="19"/>
    <n v="37"/>
    <n v="13505"/>
    <n v="48618"/>
  </r>
  <r>
    <x v="0"/>
    <x v="0"/>
    <x v="0"/>
    <x v="5"/>
    <x v="9"/>
    <s v="LT_Other_DH"/>
    <x v="18"/>
    <x v="1"/>
    <s v="LIFOSA_ST_HEAT_BP"/>
    <x v="0"/>
    <x v="20"/>
    <n v="37"/>
    <n v="13505"/>
    <n v="48618"/>
  </r>
  <r>
    <x v="0"/>
    <x v="0"/>
    <x v="0"/>
    <x v="5"/>
    <x v="9"/>
    <s v="LT_Other_DH"/>
    <x v="18"/>
    <x v="1"/>
    <s v="LIFOSA_ST_HEAT_BP"/>
    <x v="0"/>
    <x v="21"/>
    <n v="37"/>
    <n v="13505"/>
    <n v="48618"/>
  </r>
  <r>
    <x v="0"/>
    <x v="0"/>
    <x v="0"/>
    <x v="5"/>
    <x v="9"/>
    <s v="LT_Other_DH"/>
    <x v="18"/>
    <x v="1"/>
    <s v="LIFOSA_ST_HEAT_BP"/>
    <x v="0"/>
    <x v="22"/>
    <n v="37"/>
    <n v="13505"/>
    <n v="48618"/>
  </r>
  <r>
    <x v="0"/>
    <x v="0"/>
    <x v="0"/>
    <x v="5"/>
    <x v="9"/>
    <s v="LT_Other_DH"/>
    <x v="18"/>
    <x v="1"/>
    <s v="LIFOSA_ST_HEAT_BP"/>
    <x v="0"/>
    <x v="23"/>
    <n v="37"/>
    <n v="13505"/>
    <n v="48618"/>
  </r>
  <r>
    <x v="0"/>
    <x v="0"/>
    <x v="0"/>
    <x v="5"/>
    <x v="9"/>
    <s v="LT_Other_DH"/>
    <x v="2"/>
    <x v="0"/>
    <s v="ACHEMA1_ST_NGAS_EXT"/>
    <x v="0"/>
    <x v="3"/>
    <n v="22"/>
    <n v="8030"/>
    <n v="28908"/>
  </r>
  <r>
    <x v="0"/>
    <x v="0"/>
    <x v="0"/>
    <x v="5"/>
    <x v="9"/>
    <s v="LT_Other_DH"/>
    <x v="2"/>
    <x v="0"/>
    <s v="ACHEMA1_ST_NGAS_EXT"/>
    <x v="0"/>
    <x v="4"/>
    <n v="22"/>
    <n v="8030"/>
    <n v="28908"/>
  </r>
  <r>
    <x v="0"/>
    <x v="0"/>
    <x v="0"/>
    <x v="5"/>
    <x v="9"/>
    <s v="LT_Other_DH"/>
    <x v="2"/>
    <x v="0"/>
    <s v="ACHEMA1_ST_NGAS_EXT"/>
    <x v="0"/>
    <x v="5"/>
    <n v="22"/>
    <n v="8030"/>
    <n v="28908"/>
  </r>
  <r>
    <x v="0"/>
    <x v="0"/>
    <x v="0"/>
    <x v="5"/>
    <x v="9"/>
    <s v="LT_Other_DH"/>
    <x v="2"/>
    <x v="0"/>
    <s v="ACHEMA1_ST_NGAS_EXT"/>
    <x v="0"/>
    <x v="6"/>
    <n v="22"/>
    <n v="8030"/>
    <n v="28908"/>
  </r>
  <r>
    <x v="0"/>
    <x v="0"/>
    <x v="0"/>
    <x v="5"/>
    <x v="9"/>
    <s v="LT_Other_DH"/>
    <x v="2"/>
    <x v="0"/>
    <s v="ACHEMA1_ST_NGAS_EXT"/>
    <x v="0"/>
    <x v="7"/>
    <n v="22"/>
    <n v="8030"/>
    <n v="28908"/>
  </r>
  <r>
    <x v="0"/>
    <x v="0"/>
    <x v="0"/>
    <x v="5"/>
    <x v="9"/>
    <s v="LT_Other_DH"/>
    <x v="2"/>
    <x v="0"/>
    <s v="ACHEMA1_ST_NGAS_EXT"/>
    <x v="0"/>
    <x v="8"/>
    <n v="22"/>
    <n v="8030"/>
    <n v="28908"/>
  </r>
  <r>
    <x v="0"/>
    <x v="0"/>
    <x v="0"/>
    <x v="5"/>
    <x v="9"/>
    <s v="LT_Other_DH"/>
    <x v="2"/>
    <x v="0"/>
    <s v="ACHEMA1_ST_NGAS_EXT"/>
    <x v="0"/>
    <x v="0"/>
    <n v="22"/>
    <n v="8030"/>
    <n v="28908"/>
  </r>
  <r>
    <x v="0"/>
    <x v="0"/>
    <x v="0"/>
    <x v="5"/>
    <x v="9"/>
    <s v="LT_Other_DH"/>
    <x v="2"/>
    <x v="0"/>
    <s v="ACHEMA1_ST_NGAS_EXT"/>
    <x v="0"/>
    <x v="1"/>
    <n v="22"/>
    <n v="8030"/>
    <n v="28908"/>
  </r>
  <r>
    <x v="0"/>
    <x v="0"/>
    <x v="0"/>
    <x v="5"/>
    <x v="9"/>
    <s v="LT_Other_DH"/>
    <x v="2"/>
    <x v="0"/>
    <s v="ACHEMA1_ST_NGAS_EXT"/>
    <x v="0"/>
    <x v="2"/>
    <n v="22"/>
    <n v="8030"/>
    <n v="28908"/>
  </r>
  <r>
    <x v="0"/>
    <x v="0"/>
    <x v="0"/>
    <x v="5"/>
    <x v="9"/>
    <s v="LT_Other_DH"/>
    <x v="2"/>
    <x v="0"/>
    <s v="ACHEMA1_ST_NGAS_EXT"/>
    <x v="0"/>
    <x v="9"/>
    <n v="22"/>
    <n v="8030"/>
    <n v="28908"/>
  </r>
  <r>
    <x v="0"/>
    <x v="0"/>
    <x v="0"/>
    <x v="5"/>
    <x v="9"/>
    <s v="LT_Other_DH"/>
    <x v="2"/>
    <x v="0"/>
    <s v="ACHEMA1_ST_NGAS_EXT"/>
    <x v="0"/>
    <x v="10"/>
    <n v="22"/>
    <n v="8030"/>
    <n v="28908"/>
  </r>
  <r>
    <x v="0"/>
    <x v="0"/>
    <x v="0"/>
    <x v="5"/>
    <x v="9"/>
    <s v="LT_Other_DH"/>
    <x v="2"/>
    <x v="0"/>
    <s v="ACHEMA1_ST_NGAS_EXT"/>
    <x v="0"/>
    <x v="11"/>
    <n v="22"/>
    <n v="8030"/>
    <n v="28908"/>
  </r>
  <r>
    <x v="0"/>
    <x v="0"/>
    <x v="0"/>
    <x v="5"/>
    <x v="9"/>
    <s v="LT_Other_DH"/>
    <x v="2"/>
    <x v="0"/>
    <s v="ACHEMA1_ST_NGAS_EXT"/>
    <x v="0"/>
    <x v="12"/>
    <n v="22"/>
    <n v="8030"/>
    <n v="28908"/>
  </r>
  <r>
    <x v="0"/>
    <x v="0"/>
    <x v="0"/>
    <x v="5"/>
    <x v="9"/>
    <s v="LT_Other_DH"/>
    <x v="2"/>
    <x v="0"/>
    <s v="ACHEMA1_ST_NGAS_EXT"/>
    <x v="0"/>
    <x v="13"/>
    <n v="22"/>
    <n v="8030"/>
    <n v="28908"/>
  </r>
  <r>
    <x v="0"/>
    <x v="0"/>
    <x v="0"/>
    <x v="5"/>
    <x v="9"/>
    <s v="LT_Other_DH"/>
    <x v="2"/>
    <x v="0"/>
    <s v="ACHEMA1_ST_NGAS_EXT"/>
    <x v="0"/>
    <x v="14"/>
    <n v="22"/>
    <n v="8030"/>
    <n v="28908"/>
  </r>
  <r>
    <x v="0"/>
    <x v="0"/>
    <x v="0"/>
    <x v="5"/>
    <x v="9"/>
    <s v="LT_Other_DH"/>
    <x v="2"/>
    <x v="0"/>
    <s v="ACHEMA1_ST_NGAS_EXT"/>
    <x v="0"/>
    <x v="15"/>
    <n v="22"/>
    <n v="8030"/>
    <n v="28908"/>
  </r>
  <r>
    <x v="0"/>
    <x v="0"/>
    <x v="0"/>
    <x v="5"/>
    <x v="9"/>
    <s v="LT_Other_DH"/>
    <x v="2"/>
    <x v="0"/>
    <s v="ACHEMA1_ST_NGAS_EXT"/>
    <x v="0"/>
    <x v="16"/>
    <n v="22"/>
    <n v="8030"/>
    <n v="28908"/>
  </r>
  <r>
    <x v="0"/>
    <x v="0"/>
    <x v="0"/>
    <x v="5"/>
    <x v="9"/>
    <s v="LT_Other_DH"/>
    <x v="2"/>
    <x v="0"/>
    <s v="ACHEMA1_ST_NGAS_EXT"/>
    <x v="0"/>
    <x v="17"/>
    <n v="22"/>
    <n v="8030"/>
    <n v="28908"/>
  </r>
  <r>
    <x v="0"/>
    <x v="0"/>
    <x v="0"/>
    <x v="5"/>
    <x v="9"/>
    <s v="LT_Other_DH"/>
    <x v="2"/>
    <x v="0"/>
    <s v="ACHEMA1_ST_NGAS_EXT"/>
    <x v="0"/>
    <x v="18"/>
    <n v="22"/>
    <n v="8030"/>
    <n v="28908"/>
  </r>
  <r>
    <x v="0"/>
    <x v="0"/>
    <x v="0"/>
    <x v="5"/>
    <x v="9"/>
    <s v="LT_Other_DH"/>
    <x v="2"/>
    <x v="0"/>
    <s v="ACHEMA1_ST_NGAS_EXT"/>
    <x v="0"/>
    <x v="19"/>
    <n v="22"/>
    <n v="8030"/>
    <n v="28908"/>
  </r>
  <r>
    <x v="0"/>
    <x v="0"/>
    <x v="0"/>
    <x v="5"/>
    <x v="9"/>
    <s v="LT_Other_DH"/>
    <x v="2"/>
    <x v="0"/>
    <s v="ACHEMA1_ST_NGAS_EXT"/>
    <x v="0"/>
    <x v="20"/>
    <n v="22"/>
    <n v="8030"/>
    <n v="28908"/>
  </r>
  <r>
    <x v="0"/>
    <x v="0"/>
    <x v="0"/>
    <x v="5"/>
    <x v="9"/>
    <s v="LT_Other_DH"/>
    <x v="2"/>
    <x v="0"/>
    <s v="ACHEMA1_ST_NGAS_EXT"/>
    <x v="0"/>
    <x v="21"/>
    <n v="22"/>
    <n v="8030"/>
    <n v="28908"/>
  </r>
  <r>
    <x v="0"/>
    <x v="0"/>
    <x v="0"/>
    <x v="5"/>
    <x v="9"/>
    <s v="LT_Other_DH"/>
    <x v="2"/>
    <x v="0"/>
    <s v="ACHEMA1_ST_NGAS_EXT"/>
    <x v="0"/>
    <x v="22"/>
    <n v="22"/>
    <n v="8030"/>
    <n v="28908"/>
  </r>
  <r>
    <x v="0"/>
    <x v="0"/>
    <x v="0"/>
    <x v="5"/>
    <x v="9"/>
    <s v="LT_Other_DH"/>
    <x v="2"/>
    <x v="0"/>
    <s v="ACHEMA1_ST_NGAS_EXT"/>
    <x v="0"/>
    <x v="23"/>
    <n v="22"/>
    <n v="8030"/>
    <n v="28908"/>
  </r>
  <r>
    <x v="0"/>
    <x v="0"/>
    <x v="0"/>
    <x v="5"/>
    <x v="9"/>
    <s v="LT_Other_DH"/>
    <x v="2"/>
    <x v="0"/>
    <s v="ACHEMA2_ST_NGAS_EXT"/>
    <x v="0"/>
    <x v="3"/>
    <n v="47"/>
    <n v="17155"/>
    <n v="61758"/>
  </r>
  <r>
    <x v="0"/>
    <x v="0"/>
    <x v="0"/>
    <x v="5"/>
    <x v="9"/>
    <s v="LT_Other_DH"/>
    <x v="2"/>
    <x v="0"/>
    <s v="ACHEMA2_ST_NGAS_EXT"/>
    <x v="0"/>
    <x v="4"/>
    <n v="47"/>
    <n v="17155"/>
    <n v="61758"/>
  </r>
  <r>
    <x v="0"/>
    <x v="0"/>
    <x v="0"/>
    <x v="5"/>
    <x v="9"/>
    <s v="LT_Other_DH"/>
    <x v="2"/>
    <x v="0"/>
    <s v="ACHEMA2_ST_NGAS_EXT"/>
    <x v="0"/>
    <x v="5"/>
    <n v="47"/>
    <n v="17155"/>
    <n v="61758"/>
  </r>
  <r>
    <x v="0"/>
    <x v="0"/>
    <x v="0"/>
    <x v="5"/>
    <x v="9"/>
    <s v="LT_Other_DH"/>
    <x v="2"/>
    <x v="0"/>
    <s v="ACHEMA2_ST_NGAS_EXT"/>
    <x v="0"/>
    <x v="6"/>
    <n v="47"/>
    <n v="17155"/>
    <n v="61758"/>
  </r>
  <r>
    <x v="0"/>
    <x v="0"/>
    <x v="0"/>
    <x v="5"/>
    <x v="9"/>
    <s v="LT_Other_DH"/>
    <x v="2"/>
    <x v="0"/>
    <s v="ACHEMA2_ST_NGAS_EXT"/>
    <x v="0"/>
    <x v="7"/>
    <n v="47"/>
    <n v="17155"/>
    <n v="61758"/>
  </r>
  <r>
    <x v="0"/>
    <x v="0"/>
    <x v="0"/>
    <x v="5"/>
    <x v="9"/>
    <s v="LT_Other_DH"/>
    <x v="2"/>
    <x v="0"/>
    <s v="ACHEMA2_ST_NGAS_EXT"/>
    <x v="0"/>
    <x v="8"/>
    <n v="47"/>
    <n v="17155"/>
    <n v="61758"/>
  </r>
  <r>
    <x v="0"/>
    <x v="0"/>
    <x v="0"/>
    <x v="5"/>
    <x v="9"/>
    <s v="LT_Other_DH"/>
    <x v="2"/>
    <x v="0"/>
    <s v="ACHEMA2_ST_NGAS_EXT"/>
    <x v="0"/>
    <x v="0"/>
    <n v="47"/>
    <n v="17155"/>
    <n v="61758"/>
  </r>
  <r>
    <x v="0"/>
    <x v="0"/>
    <x v="0"/>
    <x v="5"/>
    <x v="9"/>
    <s v="LT_Other_DH"/>
    <x v="2"/>
    <x v="0"/>
    <s v="ACHEMA2_ST_NGAS_EXT"/>
    <x v="0"/>
    <x v="1"/>
    <n v="47"/>
    <n v="17155"/>
    <n v="61758"/>
  </r>
  <r>
    <x v="0"/>
    <x v="0"/>
    <x v="0"/>
    <x v="5"/>
    <x v="9"/>
    <s v="LT_Other_DH"/>
    <x v="2"/>
    <x v="0"/>
    <s v="ACHEMA2_ST_NGAS_EXT"/>
    <x v="0"/>
    <x v="2"/>
    <n v="47"/>
    <n v="17155"/>
    <n v="61758"/>
  </r>
  <r>
    <x v="0"/>
    <x v="0"/>
    <x v="0"/>
    <x v="5"/>
    <x v="9"/>
    <s v="LT_Other_DH"/>
    <x v="2"/>
    <x v="0"/>
    <s v="ACHEMA2_ST_NGAS_EXT"/>
    <x v="0"/>
    <x v="9"/>
    <n v="47"/>
    <n v="17155"/>
    <n v="61758"/>
  </r>
  <r>
    <x v="0"/>
    <x v="0"/>
    <x v="0"/>
    <x v="5"/>
    <x v="9"/>
    <s v="LT_Other_DH"/>
    <x v="2"/>
    <x v="0"/>
    <s v="ACHEMA2_ST_NGAS_EXT"/>
    <x v="0"/>
    <x v="10"/>
    <n v="47"/>
    <n v="17155"/>
    <n v="61758"/>
  </r>
  <r>
    <x v="0"/>
    <x v="0"/>
    <x v="0"/>
    <x v="5"/>
    <x v="9"/>
    <s v="LT_Other_DH"/>
    <x v="2"/>
    <x v="0"/>
    <s v="ACHEMA2_ST_NGAS_EXT"/>
    <x v="0"/>
    <x v="11"/>
    <n v="47"/>
    <n v="17155"/>
    <n v="61758"/>
  </r>
  <r>
    <x v="0"/>
    <x v="0"/>
    <x v="0"/>
    <x v="5"/>
    <x v="9"/>
    <s v="LT_Other_DH"/>
    <x v="2"/>
    <x v="0"/>
    <s v="ACHEMA2_ST_NGAS_EXT"/>
    <x v="0"/>
    <x v="12"/>
    <n v="47"/>
    <n v="17155"/>
    <n v="61758"/>
  </r>
  <r>
    <x v="0"/>
    <x v="0"/>
    <x v="0"/>
    <x v="5"/>
    <x v="9"/>
    <s v="LT_Other_DH"/>
    <x v="2"/>
    <x v="0"/>
    <s v="ACHEMA2_ST_NGAS_EXT"/>
    <x v="0"/>
    <x v="13"/>
    <n v="47"/>
    <n v="17155"/>
    <n v="61758"/>
  </r>
  <r>
    <x v="0"/>
    <x v="0"/>
    <x v="0"/>
    <x v="5"/>
    <x v="9"/>
    <s v="LT_Other_DH"/>
    <x v="2"/>
    <x v="0"/>
    <s v="ACHEMA2_ST_NGAS_EXT"/>
    <x v="0"/>
    <x v="14"/>
    <n v="47"/>
    <n v="17155"/>
    <n v="61758"/>
  </r>
  <r>
    <x v="0"/>
    <x v="0"/>
    <x v="0"/>
    <x v="5"/>
    <x v="9"/>
    <s v="LT_Other_DH"/>
    <x v="2"/>
    <x v="0"/>
    <s v="ACHEMA2_ST_NGAS_EXT"/>
    <x v="0"/>
    <x v="15"/>
    <n v="47"/>
    <n v="17155"/>
    <n v="61758"/>
  </r>
  <r>
    <x v="0"/>
    <x v="0"/>
    <x v="0"/>
    <x v="5"/>
    <x v="9"/>
    <s v="LT_Other_DH"/>
    <x v="2"/>
    <x v="0"/>
    <s v="ACHEMA2_ST_NGAS_EXT"/>
    <x v="0"/>
    <x v="16"/>
    <n v="47"/>
    <n v="17155"/>
    <n v="61758"/>
  </r>
  <r>
    <x v="0"/>
    <x v="0"/>
    <x v="0"/>
    <x v="5"/>
    <x v="9"/>
    <s v="LT_Other_DH"/>
    <x v="2"/>
    <x v="0"/>
    <s v="ACHEMA2_ST_NGAS_EXT"/>
    <x v="0"/>
    <x v="17"/>
    <n v="47"/>
    <n v="17155"/>
    <n v="61758"/>
  </r>
  <r>
    <x v="0"/>
    <x v="0"/>
    <x v="0"/>
    <x v="5"/>
    <x v="9"/>
    <s v="LT_Other_DH"/>
    <x v="2"/>
    <x v="0"/>
    <s v="ACHEMA2_ST_NGAS_EXT"/>
    <x v="0"/>
    <x v="18"/>
    <n v="47"/>
    <n v="17155"/>
    <n v="61758"/>
  </r>
  <r>
    <x v="0"/>
    <x v="0"/>
    <x v="0"/>
    <x v="5"/>
    <x v="9"/>
    <s v="LT_Other_DH"/>
    <x v="2"/>
    <x v="0"/>
    <s v="ACHEMA2_ST_NGAS_EXT"/>
    <x v="0"/>
    <x v="19"/>
    <n v="47"/>
    <n v="17155"/>
    <n v="61758"/>
  </r>
  <r>
    <x v="0"/>
    <x v="0"/>
    <x v="0"/>
    <x v="5"/>
    <x v="9"/>
    <s v="LT_Other_DH"/>
    <x v="2"/>
    <x v="0"/>
    <s v="ACHEMA2_ST_NGAS_EXT"/>
    <x v="0"/>
    <x v="20"/>
    <n v="47"/>
    <n v="17155"/>
    <n v="61758"/>
  </r>
  <r>
    <x v="0"/>
    <x v="0"/>
    <x v="0"/>
    <x v="5"/>
    <x v="9"/>
    <s v="LT_Other_DH"/>
    <x v="2"/>
    <x v="0"/>
    <s v="ACHEMA2_ST_NGAS_EXT"/>
    <x v="0"/>
    <x v="21"/>
    <n v="47"/>
    <n v="17155"/>
    <n v="61758"/>
  </r>
  <r>
    <x v="0"/>
    <x v="0"/>
    <x v="0"/>
    <x v="5"/>
    <x v="9"/>
    <s v="LT_Other_DH"/>
    <x v="2"/>
    <x v="0"/>
    <s v="ACHEMA2_ST_NGAS_EXT"/>
    <x v="0"/>
    <x v="22"/>
    <n v="47"/>
    <n v="17155"/>
    <n v="61758"/>
  </r>
  <r>
    <x v="0"/>
    <x v="0"/>
    <x v="0"/>
    <x v="5"/>
    <x v="9"/>
    <s v="LT_Other_DH"/>
    <x v="2"/>
    <x v="0"/>
    <s v="ACHEMA2_ST_NGAS_EXT"/>
    <x v="0"/>
    <x v="23"/>
    <n v="19.265876520532501"/>
    <n v="7032.0449299943702"/>
    <n v="25315.361747979699"/>
  </r>
  <r>
    <x v="0"/>
    <x v="0"/>
    <x v="0"/>
    <x v="5"/>
    <x v="9"/>
    <s v="LT_Other_DH"/>
    <x v="2"/>
    <x v="1"/>
    <s v="ALYTUS_ENG_NGAS_BP"/>
    <x v="0"/>
    <x v="2"/>
    <n v="9.1999999999999993"/>
    <n v="3358"/>
    <n v="12088.8"/>
  </r>
  <r>
    <x v="0"/>
    <x v="0"/>
    <x v="0"/>
    <x v="5"/>
    <x v="9"/>
    <s v="LT_Other_DH"/>
    <x v="2"/>
    <x v="1"/>
    <s v="ALYTUS_ENG_NGAS_BP"/>
    <x v="0"/>
    <x v="9"/>
    <n v="9.1999999999999993"/>
    <n v="3358"/>
    <n v="12088.8"/>
  </r>
  <r>
    <x v="0"/>
    <x v="0"/>
    <x v="0"/>
    <x v="5"/>
    <x v="9"/>
    <s v="LT_Other_DH"/>
    <x v="2"/>
    <x v="1"/>
    <s v="ALYTUS_ENG_NGAS_BP"/>
    <x v="0"/>
    <x v="10"/>
    <n v="9.1999999999999993"/>
    <n v="3358"/>
    <n v="12088.8"/>
  </r>
  <r>
    <x v="0"/>
    <x v="0"/>
    <x v="0"/>
    <x v="5"/>
    <x v="9"/>
    <s v="LT_Other_DH"/>
    <x v="2"/>
    <x v="0"/>
    <s v="GNR_ENG_NGAS_EXT_E-43"/>
    <x v="0"/>
    <x v="3"/>
    <n v="4"/>
    <n v="1460"/>
    <n v="5256"/>
  </r>
  <r>
    <x v="0"/>
    <x v="0"/>
    <x v="0"/>
    <x v="5"/>
    <x v="9"/>
    <s v="LT_Other_DH"/>
    <x v="2"/>
    <x v="0"/>
    <s v="GNR_ENG_NGAS_EXT_E-43"/>
    <x v="0"/>
    <x v="4"/>
    <n v="4"/>
    <n v="1460"/>
    <n v="5256"/>
  </r>
  <r>
    <x v="0"/>
    <x v="0"/>
    <x v="0"/>
    <x v="5"/>
    <x v="9"/>
    <s v="LT_Other_DH"/>
    <x v="2"/>
    <x v="0"/>
    <s v="GNR_ENG_NGAS_EXT_E-43"/>
    <x v="0"/>
    <x v="5"/>
    <n v="4"/>
    <n v="1460"/>
    <n v="5256"/>
  </r>
  <r>
    <x v="0"/>
    <x v="0"/>
    <x v="0"/>
    <x v="5"/>
    <x v="9"/>
    <s v="LT_Other_DH"/>
    <x v="2"/>
    <x v="0"/>
    <s v="GNR_ENG_NGAS_EXT_E-43"/>
    <x v="0"/>
    <x v="6"/>
    <n v="4"/>
    <n v="1460"/>
    <n v="5256"/>
  </r>
  <r>
    <x v="0"/>
    <x v="0"/>
    <x v="0"/>
    <x v="5"/>
    <x v="9"/>
    <s v="LT_Other_DH"/>
    <x v="2"/>
    <x v="0"/>
    <s v="GNR_ENG_NGAS_EXT_E-43"/>
    <x v="0"/>
    <x v="7"/>
    <n v="4"/>
    <n v="1460"/>
    <n v="5256"/>
  </r>
  <r>
    <x v="0"/>
    <x v="0"/>
    <x v="0"/>
    <x v="5"/>
    <x v="9"/>
    <s v="LT_Other_DH"/>
    <x v="2"/>
    <x v="0"/>
    <s v="GNR_ENG_NGAS_EXT_E-43"/>
    <x v="0"/>
    <x v="8"/>
    <n v="4"/>
    <n v="1460"/>
    <n v="5256"/>
  </r>
  <r>
    <x v="0"/>
    <x v="0"/>
    <x v="0"/>
    <x v="5"/>
    <x v="9"/>
    <s v="LT_Other_DH"/>
    <x v="2"/>
    <x v="0"/>
    <s v="GNR_ENG_NGAS_EXT_E-43"/>
    <x v="0"/>
    <x v="0"/>
    <n v="4"/>
    <n v="1460"/>
    <n v="5256"/>
  </r>
  <r>
    <x v="0"/>
    <x v="0"/>
    <x v="0"/>
    <x v="5"/>
    <x v="9"/>
    <s v="LT_Other_DH"/>
    <x v="2"/>
    <x v="0"/>
    <s v="GNR_ENG_NGAS_EXT_E-43"/>
    <x v="0"/>
    <x v="1"/>
    <n v="4"/>
    <n v="1460"/>
    <n v="5256"/>
  </r>
  <r>
    <x v="0"/>
    <x v="0"/>
    <x v="0"/>
    <x v="5"/>
    <x v="9"/>
    <s v="LT_Other_DH"/>
    <x v="2"/>
    <x v="0"/>
    <s v="GNR_ENG_NGAS_EXT_E-43"/>
    <x v="0"/>
    <x v="2"/>
    <n v="4"/>
    <n v="1460"/>
    <n v="5256"/>
  </r>
  <r>
    <x v="0"/>
    <x v="0"/>
    <x v="0"/>
    <x v="5"/>
    <x v="9"/>
    <s v="LT_Other_DH"/>
    <x v="2"/>
    <x v="0"/>
    <s v="GNR_ENG_NGAS_EXT_E-43"/>
    <x v="0"/>
    <x v="9"/>
    <n v="4"/>
    <n v="1460"/>
    <n v="5256"/>
  </r>
  <r>
    <x v="0"/>
    <x v="0"/>
    <x v="0"/>
    <x v="5"/>
    <x v="9"/>
    <s v="LT_Other_DH"/>
    <x v="2"/>
    <x v="0"/>
    <s v="GNR_ENG_NGAS_EXT_E-43"/>
    <x v="0"/>
    <x v="10"/>
    <n v="4"/>
    <n v="1460"/>
    <n v="5256"/>
  </r>
  <r>
    <x v="0"/>
    <x v="0"/>
    <x v="0"/>
    <x v="5"/>
    <x v="9"/>
    <s v="LT_Other_DH"/>
    <x v="2"/>
    <x v="0"/>
    <s v="GNR_ENG_NGAS_EXT_E-43"/>
    <x v="0"/>
    <x v="11"/>
    <n v="4"/>
    <n v="1460"/>
    <n v="5256"/>
  </r>
  <r>
    <x v="0"/>
    <x v="0"/>
    <x v="0"/>
    <x v="5"/>
    <x v="9"/>
    <s v="LT_Other_DH"/>
    <x v="2"/>
    <x v="0"/>
    <s v="GNR_ENG_NGAS_EXT_E-43"/>
    <x v="0"/>
    <x v="12"/>
    <n v="4"/>
    <n v="1460"/>
    <n v="5256"/>
  </r>
  <r>
    <x v="0"/>
    <x v="0"/>
    <x v="0"/>
    <x v="5"/>
    <x v="9"/>
    <s v="LT_Other_DH"/>
    <x v="2"/>
    <x v="0"/>
    <s v="GNR_ENG_NGAS_EXT_E-43"/>
    <x v="0"/>
    <x v="13"/>
    <n v="4"/>
    <n v="1460"/>
    <n v="5256"/>
  </r>
  <r>
    <x v="0"/>
    <x v="0"/>
    <x v="0"/>
    <x v="5"/>
    <x v="9"/>
    <s v="LT_Other_DH"/>
    <x v="2"/>
    <x v="0"/>
    <s v="GNR_ENG_NGAS_EXT_E-43"/>
    <x v="0"/>
    <x v="14"/>
    <n v="4"/>
    <n v="1460"/>
    <n v="5256"/>
  </r>
  <r>
    <x v="0"/>
    <x v="0"/>
    <x v="0"/>
    <x v="5"/>
    <x v="9"/>
    <s v="LT_Other_DH"/>
    <x v="2"/>
    <x v="0"/>
    <s v="GNR_ENG_NGAS_EXT_E-43"/>
    <x v="0"/>
    <x v="15"/>
    <n v="4"/>
    <n v="1460"/>
    <n v="5256"/>
  </r>
  <r>
    <x v="0"/>
    <x v="0"/>
    <x v="0"/>
    <x v="5"/>
    <x v="9"/>
    <s v="LT_Other_DH"/>
    <x v="2"/>
    <x v="0"/>
    <s v="GNR_ENG_NGAS_EXT_E-43"/>
    <x v="0"/>
    <x v="16"/>
    <n v="4"/>
    <n v="1460"/>
    <n v="5256"/>
  </r>
  <r>
    <x v="0"/>
    <x v="0"/>
    <x v="0"/>
    <x v="5"/>
    <x v="9"/>
    <s v="LT_Other_DH"/>
    <x v="2"/>
    <x v="0"/>
    <s v="GNR_ENG_NGAS_EXT_E-43"/>
    <x v="0"/>
    <x v="17"/>
    <n v="4"/>
    <n v="1460"/>
    <n v="5256"/>
  </r>
  <r>
    <x v="0"/>
    <x v="0"/>
    <x v="0"/>
    <x v="5"/>
    <x v="9"/>
    <s v="LT_Other_DH"/>
    <x v="2"/>
    <x v="0"/>
    <s v="GNR_ENG_NGAS_EXT_E-43"/>
    <x v="0"/>
    <x v="18"/>
    <n v="4"/>
    <n v="1460"/>
    <n v="5256"/>
  </r>
  <r>
    <x v="0"/>
    <x v="0"/>
    <x v="0"/>
    <x v="5"/>
    <x v="9"/>
    <s v="LT_Other_DH"/>
    <x v="2"/>
    <x v="0"/>
    <s v="GNR_ENG_NGAS_EXT_E-43"/>
    <x v="0"/>
    <x v="19"/>
    <n v="4"/>
    <n v="1460"/>
    <n v="5256"/>
  </r>
  <r>
    <x v="0"/>
    <x v="0"/>
    <x v="0"/>
    <x v="5"/>
    <x v="9"/>
    <s v="LT_Other_DH"/>
    <x v="2"/>
    <x v="0"/>
    <s v="GNR_ENG_NGAS_EXT_E-43"/>
    <x v="0"/>
    <x v="20"/>
    <n v="4"/>
    <n v="1460"/>
    <n v="5256"/>
  </r>
  <r>
    <x v="0"/>
    <x v="0"/>
    <x v="0"/>
    <x v="5"/>
    <x v="9"/>
    <s v="LT_Other_DH"/>
    <x v="2"/>
    <x v="0"/>
    <s v="GNR_ENG_NGAS_EXT_E-43"/>
    <x v="0"/>
    <x v="21"/>
    <n v="4"/>
    <n v="1460"/>
    <n v="5256"/>
  </r>
  <r>
    <x v="0"/>
    <x v="0"/>
    <x v="0"/>
    <x v="5"/>
    <x v="9"/>
    <s v="LT_Other_DH"/>
    <x v="2"/>
    <x v="0"/>
    <s v="GNR_ENG_NGAS_EXT_E-43"/>
    <x v="0"/>
    <x v="22"/>
    <n v="4"/>
    <n v="1460"/>
    <n v="5256"/>
  </r>
  <r>
    <x v="0"/>
    <x v="0"/>
    <x v="0"/>
    <x v="5"/>
    <x v="9"/>
    <s v="LT_Other_DH"/>
    <x v="2"/>
    <x v="0"/>
    <s v="GNR_ENG_NGAS_EXT_E-43"/>
    <x v="0"/>
    <x v="23"/>
    <n v="4"/>
    <n v="1460"/>
    <n v="5256"/>
  </r>
  <r>
    <x v="0"/>
    <x v="0"/>
    <x v="0"/>
    <x v="5"/>
    <x v="9"/>
    <s v="LT_Other_DH"/>
    <x v="12"/>
    <x v="1"/>
    <s v="EBAVERE_ST_WOODWST_BP"/>
    <x v="0"/>
    <x v="3"/>
    <n v="10.4"/>
    <n v="3796"/>
    <n v="13665.6"/>
  </r>
  <r>
    <x v="0"/>
    <x v="0"/>
    <x v="0"/>
    <x v="5"/>
    <x v="9"/>
    <s v="LT_Other_DH"/>
    <x v="12"/>
    <x v="1"/>
    <s v="EBAVERE_ST_WOODWST_BP"/>
    <x v="0"/>
    <x v="4"/>
    <n v="10.4"/>
    <n v="3796"/>
    <n v="13665.6"/>
  </r>
  <r>
    <x v="0"/>
    <x v="0"/>
    <x v="0"/>
    <x v="5"/>
    <x v="9"/>
    <s v="LT_Other_DH"/>
    <x v="12"/>
    <x v="1"/>
    <s v="EBAVERE_ST_WOODWST_BP"/>
    <x v="0"/>
    <x v="5"/>
    <n v="10.4"/>
    <n v="3796"/>
    <n v="13665.6"/>
  </r>
  <r>
    <x v="0"/>
    <x v="0"/>
    <x v="0"/>
    <x v="5"/>
    <x v="9"/>
    <s v="LT_Other_DH"/>
    <x v="12"/>
    <x v="1"/>
    <s v="EBAVERE_ST_WOODWST_BP"/>
    <x v="0"/>
    <x v="6"/>
    <n v="10.4"/>
    <n v="3796"/>
    <n v="13665.6"/>
  </r>
  <r>
    <x v="0"/>
    <x v="0"/>
    <x v="0"/>
    <x v="5"/>
    <x v="9"/>
    <s v="LT_Other_DH"/>
    <x v="12"/>
    <x v="1"/>
    <s v="EBAVERE_ST_WOODWST_BP"/>
    <x v="0"/>
    <x v="7"/>
    <n v="10.4"/>
    <n v="3796"/>
    <n v="13665.6"/>
  </r>
  <r>
    <x v="0"/>
    <x v="0"/>
    <x v="0"/>
    <x v="5"/>
    <x v="9"/>
    <s v="LT_Other_DH"/>
    <x v="12"/>
    <x v="1"/>
    <s v="EBAVERE_ST_WOODWST_BP"/>
    <x v="0"/>
    <x v="8"/>
    <n v="10.4"/>
    <n v="3796"/>
    <n v="13665.6"/>
  </r>
  <r>
    <x v="0"/>
    <x v="0"/>
    <x v="0"/>
    <x v="5"/>
    <x v="9"/>
    <s v="LT_Other_DH"/>
    <x v="12"/>
    <x v="1"/>
    <s v="EBAVERE_ST_WOODWST_BP"/>
    <x v="0"/>
    <x v="0"/>
    <n v="10.4"/>
    <n v="3796"/>
    <n v="13665.6"/>
  </r>
  <r>
    <x v="0"/>
    <x v="0"/>
    <x v="0"/>
    <x v="5"/>
    <x v="9"/>
    <s v="LT_Other_DH"/>
    <x v="12"/>
    <x v="1"/>
    <s v="EBAVERE_ST_WOODWST_BP"/>
    <x v="0"/>
    <x v="1"/>
    <n v="10.4"/>
    <n v="3796"/>
    <n v="13665.6"/>
  </r>
  <r>
    <x v="0"/>
    <x v="0"/>
    <x v="0"/>
    <x v="5"/>
    <x v="9"/>
    <s v="LT_Other_DH"/>
    <x v="12"/>
    <x v="1"/>
    <s v="EBAVERE_ST_WOODWST_BP"/>
    <x v="0"/>
    <x v="2"/>
    <n v="10.4"/>
    <n v="3796"/>
    <n v="13665.6"/>
  </r>
  <r>
    <x v="0"/>
    <x v="0"/>
    <x v="0"/>
    <x v="5"/>
    <x v="9"/>
    <s v="LT_Other_DH"/>
    <x v="12"/>
    <x v="1"/>
    <s v="EBAVERE_ST_WOODWST_BP"/>
    <x v="0"/>
    <x v="9"/>
    <n v="10.4"/>
    <n v="3796"/>
    <n v="13665.6"/>
  </r>
  <r>
    <x v="0"/>
    <x v="0"/>
    <x v="0"/>
    <x v="5"/>
    <x v="9"/>
    <s v="LT_Other_DH"/>
    <x v="12"/>
    <x v="1"/>
    <s v="EBAVERE_ST_WOODWST_BP"/>
    <x v="0"/>
    <x v="10"/>
    <n v="10.4"/>
    <n v="3796"/>
    <n v="13665.6"/>
  </r>
  <r>
    <x v="0"/>
    <x v="0"/>
    <x v="0"/>
    <x v="5"/>
    <x v="9"/>
    <s v="LT_Other_DH"/>
    <x v="12"/>
    <x v="1"/>
    <s v="EBAVERE_ST_WOODWST_BP"/>
    <x v="0"/>
    <x v="11"/>
    <n v="10.4"/>
    <n v="3796"/>
    <n v="13665.6"/>
  </r>
  <r>
    <x v="0"/>
    <x v="0"/>
    <x v="0"/>
    <x v="5"/>
    <x v="9"/>
    <s v="LT_Other_DH"/>
    <x v="12"/>
    <x v="1"/>
    <s v="EBAVERE_ST_WOODWST_BP"/>
    <x v="0"/>
    <x v="12"/>
    <n v="10.4"/>
    <n v="3796"/>
    <n v="13665.6"/>
  </r>
  <r>
    <x v="0"/>
    <x v="0"/>
    <x v="0"/>
    <x v="5"/>
    <x v="9"/>
    <s v="LT_Other_DH"/>
    <x v="12"/>
    <x v="1"/>
    <s v="EBAVERE_ST_WOODWST_BP"/>
    <x v="0"/>
    <x v="13"/>
    <n v="10.4"/>
    <n v="3796"/>
    <n v="13665.6"/>
  </r>
  <r>
    <x v="0"/>
    <x v="0"/>
    <x v="0"/>
    <x v="5"/>
    <x v="9"/>
    <s v="LT_Other_DH"/>
    <x v="12"/>
    <x v="1"/>
    <s v="EBAVERE_ST_WOODWST_BP"/>
    <x v="0"/>
    <x v="14"/>
    <n v="10.4"/>
    <n v="3796"/>
    <n v="13665.6"/>
  </r>
  <r>
    <x v="0"/>
    <x v="0"/>
    <x v="0"/>
    <x v="5"/>
    <x v="9"/>
    <s v="LT_Other_DH"/>
    <x v="12"/>
    <x v="1"/>
    <s v="EBAVERE_ST_WOODWST_BP"/>
    <x v="0"/>
    <x v="15"/>
    <n v="10.4"/>
    <n v="3796"/>
    <n v="13665.6"/>
  </r>
  <r>
    <x v="0"/>
    <x v="0"/>
    <x v="0"/>
    <x v="5"/>
    <x v="9"/>
    <s v="LT_Other_DH"/>
    <x v="12"/>
    <x v="1"/>
    <s v="EBAVERE_ST_WOODWST_BP"/>
    <x v="0"/>
    <x v="16"/>
    <n v="10.4"/>
    <n v="3796"/>
    <n v="13665.6"/>
  </r>
  <r>
    <x v="0"/>
    <x v="0"/>
    <x v="0"/>
    <x v="5"/>
    <x v="9"/>
    <s v="LT_Other_DH"/>
    <x v="12"/>
    <x v="1"/>
    <s v="EBAVERE_ST_WOODWST_BP"/>
    <x v="0"/>
    <x v="17"/>
    <n v="10.4"/>
    <n v="3796"/>
    <n v="13665.6"/>
  </r>
  <r>
    <x v="0"/>
    <x v="0"/>
    <x v="0"/>
    <x v="5"/>
    <x v="9"/>
    <s v="LT_Other_DH"/>
    <x v="12"/>
    <x v="1"/>
    <s v="EBAVERE_ST_WOODWST_BP"/>
    <x v="0"/>
    <x v="18"/>
    <n v="10.4"/>
    <n v="3796"/>
    <n v="13665.6"/>
  </r>
  <r>
    <x v="0"/>
    <x v="0"/>
    <x v="0"/>
    <x v="5"/>
    <x v="9"/>
    <s v="LT_Other_DH"/>
    <x v="12"/>
    <x v="1"/>
    <s v="EBAVERE_ST_WOODWST_BP"/>
    <x v="0"/>
    <x v="19"/>
    <n v="10.4"/>
    <n v="3796"/>
    <n v="13665.6"/>
  </r>
  <r>
    <x v="0"/>
    <x v="0"/>
    <x v="0"/>
    <x v="5"/>
    <x v="9"/>
    <s v="LT_Other_DH"/>
    <x v="12"/>
    <x v="1"/>
    <s v="EBAVERE_ST_WOODWST_BP"/>
    <x v="0"/>
    <x v="20"/>
    <n v="10.4"/>
    <n v="3796"/>
    <n v="13665.6"/>
  </r>
  <r>
    <x v="0"/>
    <x v="0"/>
    <x v="0"/>
    <x v="5"/>
    <x v="9"/>
    <s v="LT_Other_DH"/>
    <x v="12"/>
    <x v="1"/>
    <s v="EBAVERE_ST_WOODWST_BP"/>
    <x v="0"/>
    <x v="21"/>
    <n v="10.4"/>
    <n v="3796"/>
    <n v="13665.6"/>
  </r>
  <r>
    <x v="0"/>
    <x v="0"/>
    <x v="0"/>
    <x v="5"/>
    <x v="9"/>
    <s v="LT_Other_DH"/>
    <x v="12"/>
    <x v="1"/>
    <s v="EBAVERE_ST_WOODWST_BP"/>
    <x v="0"/>
    <x v="22"/>
    <n v="10.4"/>
    <n v="3796"/>
    <n v="13665.6"/>
  </r>
  <r>
    <x v="0"/>
    <x v="0"/>
    <x v="0"/>
    <x v="5"/>
    <x v="9"/>
    <s v="LT_Other_DH"/>
    <x v="12"/>
    <x v="1"/>
    <s v="EBAVERE_ST_WOODWST_BP"/>
    <x v="0"/>
    <x v="23"/>
    <n v="10.4"/>
    <n v="3796"/>
    <n v="13665.6"/>
  </r>
  <r>
    <x v="0"/>
    <x v="0"/>
    <x v="0"/>
    <x v="5"/>
    <x v="9"/>
    <s v="LT_Panevezys"/>
    <x v="2"/>
    <x v="1"/>
    <s v="GNR_CC_NGAS_BP_E-42"/>
    <x v="0"/>
    <x v="3"/>
    <n v="35"/>
    <n v="12775"/>
    <n v="45990"/>
  </r>
  <r>
    <x v="0"/>
    <x v="0"/>
    <x v="0"/>
    <x v="5"/>
    <x v="9"/>
    <s v="LT_Panevezys"/>
    <x v="2"/>
    <x v="1"/>
    <s v="GNR_CC_NGAS_BP_E-42"/>
    <x v="0"/>
    <x v="4"/>
    <n v="35"/>
    <n v="12775"/>
    <n v="45990"/>
  </r>
  <r>
    <x v="0"/>
    <x v="0"/>
    <x v="0"/>
    <x v="5"/>
    <x v="9"/>
    <s v="LT_Panevezys"/>
    <x v="2"/>
    <x v="1"/>
    <s v="GNR_CC_NGAS_BP_E-42"/>
    <x v="0"/>
    <x v="5"/>
    <n v="35"/>
    <n v="12775"/>
    <n v="45990"/>
  </r>
  <r>
    <x v="0"/>
    <x v="0"/>
    <x v="0"/>
    <x v="5"/>
    <x v="9"/>
    <s v="LT_Panevezys"/>
    <x v="2"/>
    <x v="1"/>
    <s v="GNR_CC_NGAS_BP_E-42"/>
    <x v="0"/>
    <x v="6"/>
    <n v="35"/>
    <n v="12775"/>
    <n v="45990"/>
  </r>
  <r>
    <x v="0"/>
    <x v="0"/>
    <x v="0"/>
    <x v="5"/>
    <x v="9"/>
    <s v="LT_Panevezys"/>
    <x v="2"/>
    <x v="1"/>
    <s v="GNR_CC_NGAS_BP_E-42"/>
    <x v="0"/>
    <x v="7"/>
    <n v="35"/>
    <n v="12775"/>
    <n v="45990"/>
  </r>
  <r>
    <x v="0"/>
    <x v="0"/>
    <x v="0"/>
    <x v="5"/>
    <x v="9"/>
    <s v="LT_Panevezys"/>
    <x v="2"/>
    <x v="1"/>
    <s v="GNR_CC_NGAS_BP_E-42"/>
    <x v="0"/>
    <x v="8"/>
    <n v="35"/>
    <n v="12775"/>
    <n v="45990"/>
  </r>
  <r>
    <x v="0"/>
    <x v="0"/>
    <x v="0"/>
    <x v="5"/>
    <x v="9"/>
    <s v="LT_Panevezys"/>
    <x v="2"/>
    <x v="1"/>
    <s v="GNR_CC_NGAS_BP_E-42"/>
    <x v="0"/>
    <x v="0"/>
    <n v="35"/>
    <n v="12775"/>
    <n v="45990"/>
  </r>
  <r>
    <x v="0"/>
    <x v="0"/>
    <x v="0"/>
    <x v="5"/>
    <x v="9"/>
    <s v="LT_Panevezys"/>
    <x v="2"/>
    <x v="1"/>
    <s v="GNR_CC_NGAS_BP_E-42"/>
    <x v="0"/>
    <x v="1"/>
    <n v="35"/>
    <n v="12775"/>
    <n v="45990"/>
  </r>
  <r>
    <x v="0"/>
    <x v="0"/>
    <x v="0"/>
    <x v="5"/>
    <x v="9"/>
    <s v="LT_Panevezys"/>
    <x v="2"/>
    <x v="1"/>
    <s v="GNR_CC_NGAS_BP_E-42"/>
    <x v="0"/>
    <x v="2"/>
    <n v="35"/>
    <n v="12775"/>
    <n v="45990"/>
  </r>
  <r>
    <x v="0"/>
    <x v="0"/>
    <x v="0"/>
    <x v="5"/>
    <x v="9"/>
    <s v="LT_Panevezys"/>
    <x v="2"/>
    <x v="1"/>
    <s v="GNR_CC_NGAS_BP_E-42"/>
    <x v="0"/>
    <x v="9"/>
    <n v="35"/>
    <n v="12775"/>
    <n v="45990"/>
  </r>
  <r>
    <x v="0"/>
    <x v="0"/>
    <x v="0"/>
    <x v="5"/>
    <x v="9"/>
    <s v="LT_Panevezys"/>
    <x v="2"/>
    <x v="1"/>
    <s v="GNR_CC_NGAS_BP_E-42"/>
    <x v="0"/>
    <x v="10"/>
    <n v="35"/>
    <n v="12775"/>
    <n v="45990"/>
  </r>
  <r>
    <x v="0"/>
    <x v="0"/>
    <x v="0"/>
    <x v="5"/>
    <x v="9"/>
    <s v="LT_Panevezys"/>
    <x v="2"/>
    <x v="1"/>
    <s v="GNR_CC_NGAS_BP_E-42"/>
    <x v="0"/>
    <x v="11"/>
    <n v="35"/>
    <n v="12775"/>
    <n v="45990"/>
  </r>
  <r>
    <x v="0"/>
    <x v="0"/>
    <x v="0"/>
    <x v="5"/>
    <x v="9"/>
    <s v="LT_Panevezys"/>
    <x v="2"/>
    <x v="1"/>
    <s v="GNR_CC_NGAS_BP_E-42"/>
    <x v="0"/>
    <x v="12"/>
    <n v="35"/>
    <n v="12775"/>
    <n v="45990"/>
  </r>
  <r>
    <x v="0"/>
    <x v="0"/>
    <x v="0"/>
    <x v="5"/>
    <x v="9"/>
    <s v="LT_Panevezys"/>
    <x v="2"/>
    <x v="1"/>
    <s v="GNR_CC_NGAS_BP_E-42"/>
    <x v="0"/>
    <x v="13"/>
    <n v="35"/>
    <n v="12775"/>
    <n v="45990"/>
  </r>
  <r>
    <x v="0"/>
    <x v="0"/>
    <x v="0"/>
    <x v="5"/>
    <x v="9"/>
    <s v="LT_Panevezys"/>
    <x v="2"/>
    <x v="1"/>
    <s v="GNR_CC_NGAS_BP_E-42"/>
    <x v="0"/>
    <x v="14"/>
    <n v="35"/>
    <n v="12775"/>
    <n v="45990"/>
  </r>
  <r>
    <x v="0"/>
    <x v="0"/>
    <x v="0"/>
    <x v="5"/>
    <x v="9"/>
    <s v="LT_Panevezys"/>
    <x v="2"/>
    <x v="1"/>
    <s v="GNR_CC_NGAS_BP_E-42"/>
    <x v="0"/>
    <x v="15"/>
    <n v="35"/>
    <n v="12775"/>
    <n v="45990"/>
  </r>
  <r>
    <x v="0"/>
    <x v="0"/>
    <x v="0"/>
    <x v="5"/>
    <x v="9"/>
    <s v="LT_Panevezys"/>
    <x v="2"/>
    <x v="1"/>
    <s v="GNR_CC_NGAS_BP_E-42"/>
    <x v="0"/>
    <x v="16"/>
    <n v="35"/>
    <n v="12775"/>
    <n v="45990"/>
  </r>
  <r>
    <x v="0"/>
    <x v="0"/>
    <x v="0"/>
    <x v="5"/>
    <x v="9"/>
    <s v="LT_Panevezys"/>
    <x v="2"/>
    <x v="1"/>
    <s v="GNR_CC_NGAS_BP_E-42"/>
    <x v="0"/>
    <x v="17"/>
    <n v="35"/>
    <n v="12775"/>
    <n v="45990"/>
  </r>
  <r>
    <x v="0"/>
    <x v="0"/>
    <x v="0"/>
    <x v="5"/>
    <x v="9"/>
    <s v="LT_Panevezys"/>
    <x v="2"/>
    <x v="1"/>
    <s v="GNR_CC_NGAS_BP_E-42"/>
    <x v="0"/>
    <x v="18"/>
    <n v="35"/>
    <n v="12775"/>
    <n v="45990"/>
  </r>
  <r>
    <x v="0"/>
    <x v="0"/>
    <x v="0"/>
    <x v="5"/>
    <x v="9"/>
    <s v="LT_Panevezys"/>
    <x v="2"/>
    <x v="1"/>
    <s v="GNR_CC_NGAS_BP_E-42"/>
    <x v="0"/>
    <x v="19"/>
    <n v="35"/>
    <n v="12775"/>
    <n v="45990"/>
  </r>
  <r>
    <x v="0"/>
    <x v="0"/>
    <x v="0"/>
    <x v="5"/>
    <x v="9"/>
    <s v="LT_Panevezys"/>
    <x v="2"/>
    <x v="1"/>
    <s v="GNR_CC_NGAS_BP_E-42"/>
    <x v="0"/>
    <x v="20"/>
    <n v="35"/>
    <n v="12775"/>
    <n v="45990"/>
  </r>
  <r>
    <x v="0"/>
    <x v="0"/>
    <x v="0"/>
    <x v="5"/>
    <x v="9"/>
    <s v="LT_Panevezys"/>
    <x v="2"/>
    <x v="1"/>
    <s v="GNR_CC_NGAS_BP_E-42"/>
    <x v="0"/>
    <x v="21"/>
    <n v="35"/>
    <n v="12775"/>
    <n v="45990"/>
  </r>
  <r>
    <x v="0"/>
    <x v="0"/>
    <x v="0"/>
    <x v="5"/>
    <x v="9"/>
    <s v="LT_Panevezys"/>
    <x v="2"/>
    <x v="1"/>
    <s v="GNR_CC_NGAS_BP_E-42"/>
    <x v="0"/>
    <x v="22"/>
    <n v="35"/>
    <n v="12775"/>
    <n v="45990"/>
  </r>
  <r>
    <x v="0"/>
    <x v="0"/>
    <x v="0"/>
    <x v="5"/>
    <x v="9"/>
    <s v="LT_Panevezys"/>
    <x v="2"/>
    <x v="1"/>
    <s v="GNR_CC_NGAS_BP_E-42"/>
    <x v="0"/>
    <x v="23"/>
    <n v="35"/>
    <n v="12775"/>
    <n v="45990"/>
  </r>
  <r>
    <x v="0"/>
    <x v="0"/>
    <x v="0"/>
    <x v="5"/>
    <x v="9"/>
    <s v="LT_Rural"/>
    <x v="7"/>
    <x v="5"/>
    <s v="GNR_WT_WIND_ONS"/>
    <x v="0"/>
    <x v="3"/>
    <n v="29.885102117257802"/>
    <n v="10908.062272799099"/>
    <n v="39269.024182076799"/>
  </r>
  <r>
    <x v="0"/>
    <x v="0"/>
    <x v="0"/>
    <x v="5"/>
    <x v="9"/>
    <s v="LT_Rural"/>
    <x v="7"/>
    <x v="5"/>
    <s v="GNR_WT_WIND_ONS"/>
    <x v="0"/>
    <x v="4"/>
    <n v="35.8621225407094"/>
    <n v="13089.674727358901"/>
    <n v="47122.829018492201"/>
  </r>
  <r>
    <x v="0"/>
    <x v="0"/>
    <x v="0"/>
    <x v="5"/>
    <x v="9"/>
    <s v="LT_Rural"/>
    <x v="7"/>
    <x v="5"/>
    <s v="GNR_WT_WIND_ONS"/>
    <x v="0"/>
    <x v="5"/>
    <n v="35.008262480216302"/>
    <n v="12778.015805278999"/>
    <n v="46000.856899004299"/>
  </r>
  <r>
    <x v="0"/>
    <x v="0"/>
    <x v="0"/>
    <x v="5"/>
    <x v="9"/>
    <s v="LT_Rural"/>
    <x v="7"/>
    <x v="5"/>
    <s v="GNR_WT_WIND_ONS"/>
    <x v="0"/>
    <x v="6"/>
    <n v="32.873612328983597"/>
    <n v="11998.868500078999"/>
    <n v="43195.926600284503"/>
  </r>
  <r>
    <x v="0"/>
    <x v="0"/>
    <x v="0"/>
    <x v="5"/>
    <x v="9"/>
    <s v="LT_Rural"/>
    <x v="7"/>
    <x v="5"/>
    <s v="GNR_WT_WIND_ONS"/>
    <x v="0"/>
    <x v="7"/>
    <n v="24.335011724052801"/>
    <n v="8882.2792792792807"/>
    <n v="31976.205405405399"/>
  </r>
  <r>
    <x v="0"/>
    <x v="0"/>
    <x v="0"/>
    <x v="5"/>
    <x v="9"/>
    <s v="LT_Rural"/>
    <x v="7"/>
    <x v="5"/>
    <s v="GNR_WT_WIND_ONS"/>
    <x v="0"/>
    <x v="8"/>
    <n v="14.0886909981358"/>
    <n v="5142.3722143195801"/>
    <n v="18512.539971550501"/>
  </r>
  <r>
    <x v="0"/>
    <x v="0"/>
    <x v="0"/>
    <x v="5"/>
    <x v="9"/>
    <s v="LT_Rural"/>
    <x v="7"/>
    <x v="5"/>
    <s v="GNR_WT_WIND_ONS"/>
    <x v="0"/>
    <x v="0"/>
    <n v="2.98851021172579"/>
    <n v="1090.80622727991"/>
    <n v="3926.9024182076801"/>
  </r>
  <r>
    <x v="0"/>
    <x v="0"/>
    <x v="0"/>
    <x v="5"/>
    <x v="9"/>
    <s v="LT_Rural"/>
    <x v="7"/>
    <x v="5"/>
    <s v="GNR_WT_WIND_ONS"/>
    <x v="0"/>
    <x v="1"/>
    <n v="2.1346501512326999"/>
    <n v="779.14730519993702"/>
    <n v="2804.9302987197698"/>
  </r>
  <r>
    <x v="0"/>
    <x v="0"/>
    <x v="0"/>
    <x v="5"/>
    <x v="9"/>
    <s v="LT_Rural"/>
    <x v="7"/>
    <x v="5"/>
    <s v="GNR_WT_WIND_ONS"/>
    <x v="0"/>
    <x v="2"/>
    <n v="2.98851021172579"/>
    <n v="1090.80622727991"/>
    <n v="3926.9024182076801"/>
  </r>
  <r>
    <x v="0"/>
    <x v="0"/>
    <x v="0"/>
    <x v="5"/>
    <x v="9"/>
    <s v="LT_Rural"/>
    <x v="7"/>
    <x v="5"/>
    <s v="GNR_WT_WIND_ONS"/>
    <x v="0"/>
    <x v="9"/>
    <n v="14.0886909981358"/>
    <n v="5142.3722143195801"/>
    <n v="18512.539971550501"/>
  </r>
  <r>
    <x v="0"/>
    <x v="0"/>
    <x v="0"/>
    <x v="5"/>
    <x v="9"/>
    <s v="LT_Rural"/>
    <x v="7"/>
    <x v="5"/>
    <s v="GNR_WT_WIND_ONS"/>
    <x v="0"/>
    <x v="10"/>
    <n v="32.873612328983597"/>
    <n v="11998.868500078999"/>
    <n v="43195.926600284503"/>
  </r>
  <r>
    <x v="0"/>
    <x v="0"/>
    <x v="0"/>
    <x v="5"/>
    <x v="9"/>
    <s v="LT_Rural"/>
    <x v="7"/>
    <x v="5"/>
    <s v="GNR_WT_WIND_ONS"/>
    <x v="0"/>
    <x v="11"/>
    <n v="50.804673599338301"/>
    <n v="18543.7058637585"/>
    <n v="66757.341109530593"/>
  </r>
  <r>
    <x v="0"/>
    <x v="0"/>
    <x v="0"/>
    <x v="5"/>
    <x v="9"/>
    <s v="LT_Rural"/>
    <x v="7"/>
    <x v="5"/>
    <s v="GNR_WT_WIND_ONS"/>
    <x v="0"/>
    <x v="12"/>
    <n v="58.916344174022598"/>
    <n v="21504.465623518299"/>
    <n v="77416.076244665703"/>
  </r>
  <r>
    <x v="0"/>
    <x v="0"/>
    <x v="0"/>
    <x v="5"/>
    <x v="9"/>
    <s v="LT_Rural"/>
    <x v="7"/>
    <x v="5"/>
    <s v="GNR_WT_WIND_ONS"/>
    <x v="0"/>
    <x v="13"/>
    <n v="67.454944778953404"/>
    <n v="24621.054844318001"/>
    <n v="88635.797439544796"/>
  </r>
  <r>
    <x v="0"/>
    <x v="0"/>
    <x v="0"/>
    <x v="5"/>
    <x v="9"/>
    <s v="LT_Rural"/>
    <x v="7"/>
    <x v="5"/>
    <s v="GNR_WT_WIND_ONS"/>
    <x v="0"/>
    <x v="14"/>
    <n v="67.454944778953404"/>
    <n v="24621.054844318001"/>
    <n v="88635.797439544796"/>
  </r>
  <r>
    <x v="0"/>
    <x v="0"/>
    <x v="0"/>
    <x v="5"/>
    <x v="9"/>
    <s v="LT_Rural"/>
    <x v="7"/>
    <x v="5"/>
    <s v="GNR_WT_WIND_ONS"/>
    <x v="0"/>
    <x v="15"/>
    <n v="106.732507561635"/>
    <n v="38957.365259996797"/>
    <n v="140246.51493598899"/>
  </r>
  <r>
    <x v="0"/>
    <x v="0"/>
    <x v="0"/>
    <x v="5"/>
    <x v="9"/>
    <s v="LT_Rural"/>
    <x v="7"/>
    <x v="5"/>
    <s v="GNR_WT_WIND_ONS"/>
    <x v="0"/>
    <x v="16"/>
    <n v="137.89839976963299"/>
    <n v="50332.915915915903"/>
    <n v="181198.497297297"/>
  </r>
  <r>
    <x v="0"/>
    <x v="0"/>
    <x v="0"/>
    <x v="5"/>
    <x v="9"/>
    <s v="LT_Rural"/>
    <x v="7"/>
    <x v="5"/>
    <s v="GNR_WT_WIND_ONS"/>
    <x v="0"/>
    <x v="17"/>
    <n v="136.19067964864601"/>
    <n v="49709.598071756001"/>
    <n v="178954.553058322"/>
  </r>
  <r>
    <x v="0"/>
    <x v="0"/>
    <x v="0"/>
    <x v="5"/>
    <x v="9"/>
    <s v="LT_Rural"/>
    <x v="7"/>
    <x v="5"/>
    <s v="GNR_WT_WIND_ONS"/>
    <x v="0"/>
    <x v="18"/>
    <n v="186.14149318749199"/>
    <n v="67941.645013434507"/>
    <n v="244589.92204836401"/>
  </r>
  <r>
    <x v="0"/>
    <x v="0"/>
    <x v="0"/>
    <x v="5"/>
    <x v="9"/>
    <s v="LT_Rural"/>
    <x v="7"/>
    <x v="5"/>
    <s v="GNR_WT_WIND_ONS"/>
    <x v="0"/>
    <x v="19"/>
    <n v="277.07758963000498"/>
    <n v="101133.32021495199"/>
    <n v="364079.95277382602"/>
  </r>
  <r>
    <x v="0"/>
    <x v="0"/>
    <x v="0"/>
    <x v="5"/>
    <x v="9"/>
    <s v="LT_Rural"/>
    <x v="7"/>
    <x v="5"/>
    <s v="GNR_WT_WIND_ONS"/>
    <x v="0"/>
    <x v="20"/>
    <n v="321.051382745399"/>
    <n v="117183.75470207"/>
    <n v="421861.51692745398"/>
  </r>
  <r>
    <x v="0"/>
    <x v="0"/>
    <x v="0"/>
    <x v="5"/>
    <x v="9"/>
    <s v="LT_Rural"/>
    <x v="7"/>
    <x v="5"/>
    <s v="GNR_WT_WIND_ONS"/>
    <x v="0"/>
    <x v="21"/>
    <n v="346.24025452994499"/>
    <n v="126377.69290343"/>
    <n v="454959.694452347"/>
  </r>
  <r>
    <x v="0"/>
    <x v="0"/>
    <x v="0"/>
    <x v="5"/>
    <x v="9"/>
    <s v="LT_Rural"/>
    <x v="7"/>
    <x v="5"/>
    <s v="GNR_WT_WIND_ONS"/>
    <x v="0"/>
    <x v="22"/>
    <n v="351.79034492314997"/>
    <n v="128403.47589695"/>
    <n v="462252.51322901802"/>
  </r>
  <r>
    <x v="0"/>
    <x v="0"/>
    <x v="0"/>
    <x v="5"/>
    <x v="9"/>
    <s v="LT_Rural"/>
    <x v="7"/>
    <x v="5"/>
    <s v="GNR_WT_WIND_ONS"/>
    <x v="0"/>
    <x v="23"/>
    <n v="366.30596595153202"/>
    <n v="133701.67757230901"/>
    <n v="481326.03926031297"/>
  </r>
  <r>
    <x v="0"/>
    <x v="0"/>
    <x v="0"/>
    <x v="5"/>
    <x v="9"/>
    <s v="LT_SiaU"/>
    <x v="11"/>
    <x v="1"/>
    <s v="SIAULIAI_ST_WOOD_BP"/>
    <x v="0"/>
    <x v="0"/>
    <n v="10.8"/>
    <n v="3942"/>
    <n v="14191.2"/>
  </r>
  <r>
    <x v="0"/>
    <x v="0"/>
    <x v="0"/>
    <x v="5"/>
    <x v="9"/>
    <s v="LT_SiaU"/>
    <x v="11"/>
    <x v="1"/>
    <s v="SIAULIAI_ST_WOOD_BP"/>
    <x v="0"/>
    <x v="1"/>
    <n v="10.8"/>
    <n v="3942"/>
    <n v="14191.2"/>
  </r>
  <r>
    <x v="0"/>
    <x v="0"/>
    <x v="0"/>
    <x v="5"/>
    <x v="9"/>
    <s v="LT_SiaU"/>
    <x v="11"/>
    <x v="1"/>
    <s v="SIAULIAI_ST_WOOD_BP"/>
    <x v="0"/>
    <x v="2"/>
    <n v="10.8"/>
    <n v="3942"/>
    <n v="14191.2"/>
  </r>
  <r>
    <x v="0"/>
    <x v="0"/>
    <x v="0"/>
    <x v="5"/>
    <x v="9"/>
    <s v="LT_SiaU"/>
    <x v="11"/>
    <x v="1"/>
    <s v="SIAULIAI_ST_WOOD_BP"/>
    <x v="0"/>
    <x v="9"/>
    <n v="10.8"/>
    <n v="3942"/>
    <n v="14191.2"/>
  </r>
  <r>
    <x v="0"/>
    <x v="0"/>
    <x v="0"/>
    <x v="5"/>
    <x v="9"/>
    <s v="LT_SiaU"/>
    <x v="11"/>
    <x v="1"/>
    <s v="SIAULIAI_ST_WOOD_BP"/>
    <x v="0"/>
    <x v="10"/>
    <n v="10.8"/>
    <n v="3942"/>
    <n v="14191.2"/>
  </r>
  <r>
    <x v="0"/>
    <x v="0"/>
    <x v="0"/>
    <x v="5"/>
    <x v="9"/>
    <s v="LT_SiaU"/>
    <x v="11"/>
    <x v="1"/>
    <s v="SIAULIAI_ST_WOOD_BP"/>
    <x v="0"/>
    <x v="11"/>
    <n v="10.8"/>
    <n v="3942"/>
    <n v="14191.2"/>
  </r>
  <r>
    <x v="0"/>
    <x v="0"/>
    <x v="0"/>
    <x v="5"/>
    <x v="9"/>
    <s v="LT_SiaU"/>
    <x v="11"/>
    <x v="1"/>
    <s v="SIAULIAI_ST_WOOD_BP"/>
    <x v="0"/>
    <x v="12"/>
    <n v="10.8"/>
    <n v="3942"/>
    <n v="14191.2"/>
  </r>
  <r>
    <x v="0"/>
    <x v="0"/>
    <x v="0"/>
    <x v="5"/>
    <x v="9"/>
    <s v="LT_SiaU"/>
    <x v="11"/>
    <x v="1"/>
    <s v="SIAULIAI_ST_WOOD_BP"/>
    <x v="0"/>
    <x v="14"/>
    <n v="10.8"/>
    <n v="3942"/>
    <n v="14191.2"/>
  </r>
  <r>
    <x v="0"/>
    <x v="0"/>
    <x v="0"/>
    <x v="5"/>
    <x v="9"/>
    <s v="LT_SiaU"/>
    <x v="11"/>
    <x v="1"/>
    <s v="SIAULIAI_ST_WOOD_BP"/>
    <x v="0"/>
    <x v="15"/>
    <n v="10.8"/>
    <n v="3942"/>
    <n v="14191.2"/>
  </r>
  <r>
    <x v="0"/>
    <x v="0"/>
    <x v="0"/>
    <x v="5"/>
    <x v="9"/>
    <s v="LT_SiaU"/>
    <x v="11"/>
    <x v="1"/>
    <s v="SIAULIAI_ST_WOOD_BP"/>
    <x v="0"/>
    <x v="16"/>
    <n v="10.8"/>
    <n v="3942"/>
    <n v="14191.2"/>
  </r>
  <r>
    <x v="0"/>
    <x v="0"/>
    <x v="0"/>
    <x v="5"/>
    <x v="9"/>
    <s v="LT_SiaU"/>
    <x v="11"/>
    <x v="1"/>
    <s v="SIAULIAI_ST_WOOD_BP"/>
    <x v="0"/>
    <x v="17"/>
    <n v="10.8"/>
    <n v="3942"/>
    <n v="14191.2"/>
  </r>
  <r>
    <x v="0"/>
    <x v="0"/>
    <x v="0"/>
    <x v="5"/>
    <x v="9"/>
    <s v="LT_SiaU"/>
    <x v="11"/>
    <x v="1"/>
    <s v="SIAULIAI_ST_WOOD_BP"/>
    <x v="0"/>
    <x v="18"/>
    <n v="10.8"/>
    <n v="3942"/>
    <n v="14191.2"/>
  </r>
  <r>
    <x v="0"/>
    <x v="0"/>
    <x v="0"/>
    <x v="5"/>
    <x v="9"/>
    <s v="LT_VilU"/>
    <x v="1"/>
    <x v="1"/>
    <s v="VILNIUS_ST_MSW_BP"/>
    <x v="0"/>
    <x v="3"/>
    <n v="92"/>
    <n v="33580"/>
    <n v="120888"/>
  </r>
  <r>
    <x v="0"/>
    <x v="0"/>
    <x v="0"/>
    <x v="5"/>
    <x v="9"/>
    <s v="LT_VilU"/>
    <x v="1"/>
    <x v="1"/>
    <s v="VILNIUS_ST_MSW_BP"/>
    <x v="0"/>
    <x v="4"/>
    <n v="92"/>
    <n v="33580"/>
    <n v="120888"/>
  </r>
  <r>
    <x v="0"/>
    <x v="0"/>
    <x v="0"/>
    <x v="5"/>
    <x v="9"/>
    <s v="LT_VilU"/>
    <x v="1"/>
    <x v="1"/>
    <s v="VILNIUS_ST_MSW_BP"/>
    <x v="0"/>
    <x v="5"/>
    <n v="92"/>
    <n v="33580"/>
    <n v="120888"/>
  </r>
  <r>
    <x v="0"/>
    <x v="0"/>
    <x v="0"/>
    <x v="5"/>
    <x v="9"/>
    <s v="LT_VilU"/>
    <x v="1"/>
    <x v="1"/>
    <s v="VILNIUS_ST_MSW_BP"/>
    <x v="0"/>
    <x v="6"/>
    <n v="92"/>
    <n v="33580"/>
    <n v="120888"/>
  </r>
  <r>
    <x v="0"/>
    <x v="0"/>
    <x v="0"/>
    <x v="5"/>
    <x v="9"/>
    <s v="LT_VilU"/>
    <x v="1"/>
    <x v="1"/>
    <s v="VILNIUS_ST_MSW_BP"/>
    <x v="0"/>
    <x v="7"/>
    <n v="92"/>
    <n v="33580"/>
    <n v="120888"/>
  </r>
  <r>
    <x v="0"/>
    <x v="0"/>
    <x v="0"/>
    <x v="5"/>
    <x v="9"/>
    <s v="LT_VilU"/>
    <x v="1"/>
    <x v="1"/>
    <s v="VILNIUS_ST_MSW_BP"/>
    <x v="0"/>
    <x v="8"/>
    <n v="92"/>
    <n v="33580"/>
    <n v="120888"/>
  </r>
  <r>
    <x v="0"/>
    <x v="0"/>
    <x v="0"/>
    <x v="5"/>
    <x v="9"/>
    <s v="LT_VilU"/>
    <x v="1"/>
    <x v="1"/>
    <s v="VILNIUS_ST_MSW_BP"/>
    <x v="0"/>
    <x v="0"/>
    <n v="92"/>
    <n v="33580"/>
    <n v="120888"/>
  </r>
  <r>
    <x v="0"/>
    <x v="0"/>
    <x v="0"/>
    <x v="5"/>
    <x v="9"/>
    <s v="LT_VilU"/>
    <x v="1"/>
    <x v="1"/>
    <s v="VILNIUS_ST_MSW_BP"/>
    <x v="0"/>
    <x v="1"/>
    <n v="92"/>
    <n v="33580"/>
    <n v="120888"/>
  </r>
  <r>
    <x v="0"/>
    <x v="0"/>
    <x v="0"/>
    <x v="5"/>
    <x v="9"/>
    <s v="LT_VilU"/>
    <x v="1"/>
    <x v="1"/>
    <s v="VILNIUS_ST_MSW_BP"/>
    <x v="0"/>
    <x v="2"/>
    <n v="92"/>
    <n v="33580"/>
    <n v="120888"/>
  </r>
  <r>
    <x v="0"/>
    <x v="0"/>
    <x v="0"/>
    <x v="5"/>
    <x v="9"/>
    <s v="LT_VilU"/>
    <x v="1"/>
    <x v="1"/>
    <s v="VILNIUS_ST_MSW_BP"/>
    <x v="0"/>
    <x v="9"/>
    <n v="92"/>
    <n v="33580"/>
    <n v="120888"/>
  </r>
  <r>
    <x v="0"/>
    <x v="0"/>
    <x v="0"/>
    <x v="5"/>
    <x v="9"/>
    <s v="LT_VilU"/>
    <x v="1"/>
    <x v="1"/>
    <s v="VILNIUS_ST_MSW_BP"/>
    <x v="0"/>
    <x v="10"/>
    <n v="92"/>
    <n v="33580"/>
    <n v="120888"/>
  </r>
  <r>
    <x v="0"/>
    <x v="0"/>
    <x v="0"/>
    <x v="5"/>
    <x v="9"/>
    <s v="LT_VilU"/>
    <x v="1"/>
    <x v="1"/>
    <s v="VILNIUS_ST_MSW_BP"/>
    <x v="0"/>
    <x v="11"/>
    <n v="92"/>
    <n v="33580"/>
    <n v="120888"/>
  </r>
  <r>
    <x v="0"/>
    <x v="0"/>
    <x v="0"/>
    <x v="5"/>
    <x v="9"/>
    <s v="LT_VilU"/>
    <x v="1"/>
    <x v="1"/>
    <s v="VILNIUS_ST_MSW_BP"/>
    <x v="0"/>
    <x v="12"/>
    <n v="92"/>
    <n v="33580"/>
    <n v="120888"/>
  </r>
  <r>
    <x v="0"/>
    <x v="0"/>
    <x v="0"/>
    <x v="5"/>
    <x v="9"/>
    <s v="LT_VilU"/>
    <x v="1"/>
    <x v="1"/>
    <s v="VILNIUS_ST_MSW_BP"/>
    <x v="0"/>
    <x v="13"/>
    <n v="92"/>
    <n v="33580"/>
    <n v="120888"/>
  </r>
  <r>
    <x v="0"/>
    <x v="0"/>
    <x v="0"/>
    <x v="5"/>
    <x v="9"/>
    <s v="LT_VilU"/>
    <x v="1"/>
    <x v="1"/>
    <s v="VILNIUS_ST_MSW_BP"/>
    <x v="0"/>
    <x v="14"/>
    <n v="92"/>
    <n v="33580"/>
    <n v="120888"/>
  </r>
  <r>
    <x v="0"/>
    <x v="0"/>
    <x v="0"/>
    <x v="5"/>
    <x v="9"/>
    <s v="LT_VilU"/>
    <x v="1"/>
    <x v="1"/>
    <s v="VILNIUS_ST_MSW_BP"/>
    <x v="0"/>
    <x v="15"/>
    <n v="92"/>
    <n v="33580"/>
    <n v="120888"/>
  </r>
  <r>
    <x v="0"/>
    <x v="0"/>
    <x v="0"/>
    <x v="5"/>
    <x v="9"/>
    <s v="LT_VilU"/>
    <x v="1"/>
    <x v="1"/>
    <s v="VILNIUS_ST_MSW_BP"/>
    <x v="0"/>
    <x v="16"/>
    <n v="92"/>
    <n v="33580"/>
    <n v="120888"/>
  </r>
  <r>
    <x v="0"/>
    <x v="0"/>
    <x v="0"/>
    <x v="5"/>
    <x v="9"/>
    <s v="LT_VilU"/>
    <x v="1"/>
    <x v="1"/>
    <s v="VILNIUS_ST_MSW_BP"/>
    <x v="0"/>
    <x v="17"/>
    <n v="92"/>
    <n v="33580"/>
    <n v="120888"/>
  </r>
  <r>
    <x v="0"/>
    <x v="0"/>
    <x v="0"/>
    <x v="5"/>
    <x v="9"/>
    <s v="LT_VilU"/>
    <x v="1"/>
    <x v="1"/>
    <s v="VILNIUS_ST_MSW_BP"/>
    <x v="0"/>
    <x v="18"/>
    <n v="92"/>
    <n v="33580"/>
    <n v="120888"/>
  </r>
  <r>
    <x v="0"/>
    <x v="0"/>
    <x v="0"/>
    <x v="5"/>
    <x v="9"/>
    <s v="LT_VilU"/>
    <x v="1"/>
    <x v="1"/>
    <s v="VILNIUS_ST_MSW_BP"/>
    <x v="0"/>
    <x v="19"/>
    <n v="92"/>
    <n v="33580"/>
    <n v="120888"/>
  </r>
  <r>
    <x v="0"/>
    <x v="0"/>
    <x v="0"/>
    <x v="5"/>
    <x v="9"/>
    <s v="LT_VilU"/>
    <x v="1"/>
    <x v="1"/>
    <s v="VILNIUS_ST_MSW_BP"/>
    <x v="0"/>
    <x v="20"/>
    <n v="92"/>
    <n v="33580"/>
    <n v="120888"/>
  </r>
  <r>
    <x v="0"/>
    <x v="0"/>
    <x v="0"/>
    <x v="5"/>
    <x v="9"/>
    <s v="LT_VilU"/>
    <x v="1"/>
    <x v="1"/>
    <s v="VILNIUS_ST_MSW_BP"/>
    <x v="0"/>
    <x v="21"/>
    <n v="92"/>
    <n v="33580"/>
    <n v="120888"/>
  </r>
  <r>
    <x v="0"/>
    <x v="0"/>
    <x v="0"/>
    <x v="5"/>
    <x v="9"/>
    <s v="LT_VilU"/>
    <x v="1"/>
    <x v="1"/>
    <s v="VILNIUS_ST_MSW_BP"/>
    <x v="0"/>
    <x v="22"/>
    <n v="92"/>
    <n v="33580"/>
    <n v="120888"/>
  </r>
  <r>
    <x v="0"/>
    <x v="0"/>
    <x v="0"/>
    <x v="5"/>
    <x v="9"/>
    <s v="LT_VilU"/>
    <x v="1"/>
    <x v="1"/>
    <s v="VILNIUS_ST_MSW_BP"/>
    <x v="0"/>
    <x v="23"/>
    <n v="92"/>
    <n v="33580"/>
    <n v="120888"/>
  </r>
  <r>
    <x v="0"/>
    <x v="0"/>
    <x v="0"/>
    <x v="5"/>
    <x v="9"/>
    <s v="LT_VilU"/>
    <x v="2"/>
    <x v="2"/>
    <s v="GNR_CC_NGAS_CND_E-58"/>
    <x v="0"/>
    <x v="3"/>
    <n v="455"/>
    <n v="166075"/>
    <n v="597870"/>
  </r>
  <r>
    <x v="0"/>
    <x v="0"/>
    <x v="0"/>
    <x v="5"/>
    <x v="9"/>
    <s v="LT_VilU"/>
    <x v="2"/>
    <x v="2"/>
    <s v="GNR_CC_NGAS_CND_E-58"/>
    <x v="0"/>
    <x v="4"/>
    <n v="455"/>
    <n v="166075"/>
    <n v="597870"/>
  </r>
  <r>
    <x v="0"/>
    <x v="0"/>
    <x v="0"/>
    <x v="5"/>
    <x v="9"/>
    <s v="LT_VilU"/>
    <x v="2"/>
    <x v="2"/>
    <s v="GNR_CC_NGAS_CND_E-58"/>
    <x v="0"/>
    <x v="5"/>
    <n v="455"/>
    <n v="166075"/>
    <n v="597870"/>
  </r>
  <r>
    <x v="0"/>
    <x v="0"/>
    <x v="0"/>
    <x v="5"/>
    <x v="9"/>
    <s v="LT_VilU"/>
    <x v="2"/>
    <x v="2"/>
    <s v="GNR_CC_NGAS_CND_E-58"/>
    <x v="0"/>
    <x v="6"/>
    <n v="455"/>
    <n v="166075"/>
    <n v="597870"/>
  </r>
  <r>
    <x v="0"/>
    <x v="0"/>
    <x v="0"/>
    <x v="5"/>
    <x v="9"/>
    <s v="LT_VilU"/>
    <x v="2"/>
    <x v="2"/>
    <s v="GNR_CC_NGAS_CND_E-58"/>
    <x v="0"/>
    <x v="7"/>
    <n v="455"/>
    <n v="166075"/>
    <n v="597870"/>
  </r>
  <r>
    <x v="0"/>
    <x v="0"/>
    <x v="0"/>
    <x v="5"/>
    <x v="9"/>
    <s v="LT_VilU"/>
    <x v="2"/>
    <x v="2"/>
    <s v="GNR_CC_NGAS_CND_E-58"/>
    <x v="0"/>
    <x v="8"/>
    <n v="455"/>
    <n v="166075"/>
    <n v="597870"/>
  </r>
  <r>
    <x v="0"/>
    <x v="0"/>
    <x v="0"/>
    <x v="5"/>
    <x v="9"/>
    <s v="LT_VilU"/>
    <x v="2"/>
    <x v="2"/>
    <s v="GNR_CC_NGAS_CND_E-58"/>
    <x v="0"/>
    <x v="0"/>
    <n v="455"/>
    <n v="166075"/>
    <n v="597870"/>
  </r>
  <r>
    <x v="0"/>
    <x v="0"/>
    <x v="0"/>
    <x v="5"/>
    <x v="9"/>
    <s v="LT_VilU"/>
    <x v="2"/>
    <x v="2"/>
    <s v="GNR_CC_NGAS_CND_E-58"/>
    <x v="0"/>
    <x v="1"/>
    <n v="455"/>
    <n v="166075"/>
    <n v="597870"/>
  </r>
  <r>
    <x v="0"/>
    <x v="0"/>
    <x v="0"/>
    <x v="5"/>
    <x v="9"/>
    <s v="LT_VilU"/>
    <x v="2"/>
    <x v="2"/>
    <s v="GNR_CC_NGAS_CND_E-58"/>
    <x v="0"/>
    <x v="2"/>
    <n v="455"/>
    <n v="166075"/>
    <n v="597870"/>
  </r>
  <r>
    <x v="0"/>
    <x v="0"/>
    <x v="0"/>
    <x v="5"/>
    <x v="9"/>
    <s v="LT_VilU"/>
    <x v="2"/>
    <x v="2"/>
    <s v="GNR_CC_NGAS_CND_E-58"/>
    <x v="0"/>
    <x v="9"/>
    <n v="455"/>
    <n v="166075"/>
    <n v="597870"/>
  </r>
  <r>
    <x v="0"/>
    <x v="0"/>
    <x v="0"/>
    <x v="5"/>
    <x v="9"/>
    <s v="LT_VilU"/>
    <x v="2"/>
    <x v="2"/>
    <s v="GNR_CC_NGAS_CND_E-58"/>
    <x v="0"/>
    <x v="10"/>
    <n v="455"/>
    <n v="166075"/>
    <n v="597870"/>
  </r>
  <r>
    <x v="0"/>
    <x v="0"/>
    <x v="0"/>
    <x v="5"/>
    <x v="9"/>
    <s v="LT_VilU"/>
    <x v="2"/>
    <x v="2"/>
    <s v="GNR_CC_NGAS_CND_E-58"/>
    <x v="0"/>
    <x v="11"/>
    <n v="455"/>
    <n v="166075"/>
    <n v="597870"/>
  </r>
  <r>
    <x v="0"/>
    <x v="0"/>
    <x v="0"/>
    <x v="5"/>
    <x v="9"/>
    <s v="LT_VilU"/>
    <x v="2"/>
    <x v="2"/>
    <s v="GNR_CC_NGAS_CND_E-58"/>
    <x v="0"/>
    <x v="12"/>
    <n v="455"/>
    <n v="166075"/>
    <n v="597870"/>
  </r>
  <r>
    <x v="0"/>
    <x v="0"/>
    <x v="0"/>
    <x v="5"/>
    <x v="9"/>
    <s v="LT_VilU"/>
    <x v="2"/>
    <x v="2"/>
    <s v="GNR_CC_NGAS_CND_E-58"/>
    <x v="0"/>
    <x v="13"/>
    <n v="455"/>
    <n v="166075"/>
    <n v="597870"/>
  </r>
  <r>
    <x v="0"/>
    <x v="0"/>
    <x v="0"/>
    <x v="5"/>
    <x v="9"/>
    <s v="LT_VilU"/>
    <x v="2"/>
    <x v="2"/>
    <s v="GNR_CC_NGAS_CND_E-58"/>
    <x v="0"/>
    <x v="14"/>
    <n v="455"/>
    <n v="166075"/>
    <n v="597870"/>
  </r>
  <r>
    <x v="0"/>
    <x v="0"/>
    <x v="0"/>
    <x v="5"/>
    <x v="9"/>
    <s v="LT_VilU"/>
    <x v="2"/>
    <x v="2"/>
    <s v="GNR_CC_NGAS_CND_E-58"/>
    <x v="0"/>
    <x v="15"/>
    <n v="455"/>
    <n v="166075"/>
    <n v="597870"/>
  </r>
  <r>
    <x v="0"/>
    <x v="0"/>
    <x v="0"/>
    <x v="5"/>
    <x v="9"/>
    <s v="LT_VilU"/>
    <x v="2"/>
    <x v="2"/>
    <s v="GNR_CC_NGAS_CND_E-58"/>
    <x v="0"/>
    <x v="16"/>
    <n v="455"/>
    <n v="166075"/>
    <n v="597870"/>
  </r>
  <r>
    <x v="0"/>
    <x v="0"/>
    <x v="0"/>
    <x v="5"/>
    <x v="9"/>
    <s v="LT_VilU"/>
    <x v="2"/>
    <x v="2"/>
    <s v="GNR_CC_NGAS_CND_E-58"/>
    <x v="0"/>
    <x v="17"/>
    <n v="455"/>
    <n v="166075"/>
    <n v="597870"/>
  </r>
  <r>
    <x v="0"/>
    <x v="0"/>
    <x v="0"/>
    <x v="5"/>
    <x v="9"/>
    <s v="LT_VilU"/>
    <x v="2"/>
    <x v="2"/>
    <s v="GNR_CC_NGAS_CND_E-58"/>
    <x v="0"/>
    <x v="18"/>
    <n v="455"/>
    <n v="166075"/>
    <n v="597870"/>
  </r>
  <r>
    <x v="0"/>
    <x v="0"/>
    <x v="0"/>
    <x v="5"/>
    <x v="9"/>
    <s v="LT_VilU"/>
    <x v="2"/>
    <x v="2"/>
    <s v="GNR_CC_NGAS_CND_E-58"/>
    <x v="0"/>
    <x v="19"/>
    <n v="455"/>
    <n v="166075"/>
    <n v="597870"/>
  </r>
  <r>
    <x v="0"/>
    <x v="0"/>
    <x v="0"/>
    <x v="5"/>
    <x v="9"/>
    <s v="LT_VilU"/>
    <x v="2"/>
    <x v="2"/>
    <s v="GNR_CC_NGAS_CND_E-58"/>
    <x v="0"/>
    <x v="20"/>
    <n v="455"/>
    <n v="166075"/>
    <n v="597870"/>
  </r>
  <r>
    <x v="0"/>
    <x v="0"/>
    <x v="0"/>
    <x v="5"/>
    <x v="9"/>
    <s v="LT_VilU"/>
    <x v="2"/>
    <x v="2"/>
    <s v="GNR_CC_NGAS_CND_E-58"/>
    <x v="0"/>
    <x v="21"/>
    <n v="455"/>
    <n v="166075"/>
    <n v="597870"/>
  </r>
  <r>
    <x v="0"/>
    <x v="0"/>
    <x v="0"/>
    <x v="5"/>
    <x v="9"/>
    <s v="LT_VilU"/>
    <x v="2"/>
    <x v="2"/>
    <s v="GNR_CC_NGAS_CND_E-58"/>
    <x v="0"/>
    <x v="22"/>
    <n v="455"/>
    <n v="166075"/>
    <n v="597870"/>
  </r>
  <r>
    <x v="0"/>
    <x v="0"/>
    <x v="0"/>
    <x v="5"/>
    <x v="9"/>
    <s v="LT_VilU"/>
    <x v="2"/>
    <x v="2"/>
    <s v="GNR_CC_NGAS_CND_E-58"/>
    <x v="0"/>
    <x v="23"/>
    <n v="455"/>
    <n v="166075"/>
    <n v="597870"/>
  </r>
  <r>
    <x v="0"/>
    <x v="0"/>
    <x v="0"/>
    <x v="5"/>
    <x v="9"/>
    <s v="LT_VilU"/>
    <x v="2"/>
    <x v="2"/>
    <s v="GNR_ST_NGAS_CON_E-38"/>
    <x v="0"/>
    <x v="3"/>
    <n v="600"/>
    <n v="219000"/>
    <n v="788400"/>
  </r>
  <r>
    <x v="0"/>
    <x v="0"/>
    <x v="0"/>
    <x v="5"/>
    <x v="9"/>
    <s v="LT_VilU"/>
    <x v="2"/>
    <x v="2"/>
    <s v="GNR_ST_NGAS_CON_E-38"/>
    <x v="0"/>
    <x v="4"/>
    <n v="600"/>
    <n v="219000"/>
    <n v="788400"/>
  </r>
  <r>
    <x v="0"/>
    <x v="0"/>
    <x v="0"/>
    <x v="5"/>
    <x v="9"/>
    <s v="LT_VilU"/>
    <x v="2"/>
    <x v="2"/>
    <s v="GNR_ST_NGAS_CON_E-38"/>
    <x v="0"/>
    <x v="5"/>
    <n v="600"/>
    <n v="219000"/>
    <n v="788400"/>
  </r>
  <r>
    <x v="0"/>
    <x v="0"/>
    <x v="0"/>
    <x v="5"/>
    <x v="9"/>
    <s v="LT_VilU"/>
    <x v="2"/>
    <x v="2"/>
    <s v="GNR_ST_NGAS_CON_E-38"/>
    <x v="0"/>
    <x v="6"/>
    <n v="600"/>
    <n v="219000"/>
    <n v="788400"/>
  </r>
  <r>
    <x v="0"/>
    <x v="0"/>
    <x v="0"/>
    <x v="5"/>
    <x v="9"/>
    <s v="LT_VilU"/>
    <x v="2"/>
    <x v="2"/>
    <s v="GNR_ST_NGAS_CON_E-38"/>
    <x v="0"/>
    <x v="7"/>
    <n v="600"/>
    <n v="219000"/>
    <n v="788400"/>
  </r>
  <r>
    <x v="0"/>
    <x v="0"/>
    <x v="0"/>
    <x v="5"/>
    <x v="9"/>
    <s v="LT_VilU"/>
    <x v="2"/>
    <x v="2"/>
    <s v="GNR_ST_NGAS_CON_E-38"/>
    <x v="0"/>
    <x v="8"/>
    <n v="600"/>
    <n v="219000"/>
    <n v="788400"/>
  </r>
  <r>
    <x v="0"/>
    <x v="0"/>
    <x v="0"/>
    <x v="5"/>
    <x v="9"/>
    <s v="LT_VilU"/>
    <x v="2"/>
    <x v="2"/>
    <s v="GNR_ST_NGAS_CON_E-38"/>
    <x v="0"/>
    <x v="0"/>
    <n v="600"/>
    <n v="219000"/>
    <n v="788400"/>
  </r>
  <r>
    <x v="0"/>
    <x v="0"/>
    <x v="0"/>
    <x v="5"/>
    <x v="9"/>
    <s v="LT_VilU"/>
    <x v="2"/>
    <x v="2"/>
    <s v="GNR_ST_NGAS_CON_E-38"/>
    <x v="0"/>
    <x v="1"/>
    <n v="600"/>
    <n v="219000"/>
    <n v="788400"/>
  </r>
  <r>
    <x v="0"/>
    <x v="0"/>
    <x v="0"/>
    <x v="5"/>
    <x v="9"/>
    <s v="LT_VilU"/>
    <x v="2"/>
    <x v="2"/>
    <s v="GNR_ST_NGAS_CON_E-38"/>
    <x v="0"/>
    <x v="2"/>
    <n v="600"/>
    <n v="219000"/>
    <n v="788400"/>
  </r>
  <r>
    <x v="0"/>
    <x v="0"/>
    <x v="0"/>
    <x v="5"/>
    <x v="9"/>
    <s v="LT_VilU"/>
    <x v="2"/>
    <x v="2"/>
    <s v="GNR_ST_NGAS_CON_E-38"/>
    <x v="0"/>
    <x v="9"/>
    <n v="600"/>
    <n v="219000"/>
    <n v="788400"/>
  </r>
  <r>
    <x v="0"/>
    <x v="0"/>
    <x v="0"/>
    <x v="5"/>
    <x v="9"/>
    <s v="LT_VilU"/>
    <x v="2"/>
    <x v="2"/>
    <s v="GNR_ST_NGAS_CON_E-38"/>
    <x v="0"/>
    <x v="10"/>
    <n v="600"/>
    <n v="219000"/>
    <n v="788400"/>
  </r>
  <r>
    <x v="0"/>
    <x v="0"/>
    <x v="0"/>
    <x v="5"/>
    <x v="9"/>
    <s v="LT_VilU"/>
    <x v="2"/>
    <x v="2"/>
    <s v="GNR_ST_NGAS_CON_E-38"/>
    <x v="0"/>
    <x v="11"/>
    <n v="600"/>
    <n v="219000"/>
    <n v="788400"/>
  </r>
  <r>
    <x v="0"/>
    <x v="0"/>
    <x v="0"/>
    <x v="5"/>
    <x v="9"/>
    <s v="LT_VilU"/>
    <x v="2"/>
    <x v="2"/>
    <s v="GNR_ST_NGAS_CON_E-38"/>
    <x v="0"/>
    <x v="12"/>
    <n v="600"/>
    <n v="219000"/>
    <n v="788400"/>
  </r>
  <r>
    <x v="0"/>
    <x v="0"/>
    <x v="0"/>
    <x v="5"/>
    <x v="9"/>
    <s v="LT_VilU"/>
    <x v="2"/>
    <x v="2"/>
    <s v="GNR_ST_NGAS_CON_E-38"/>
    <x v="0"/>
    <x v="13"/>
    <n v="600"/>
    <n v="219000"/>
    <n v="788400"/>
  </r>
  <r>
    <x v="0"/>
    <x v="0"/>
    <x v="0"/>
    <x v="5"/>
    <x v="9"/>
    <s v="LT_VilU"/>
    <x v="2"/>
    <x v="2"/>
    <s v="GNR_ST_NGAS_CON_E-38"/>
    <x v="0"/>
    <x v="14"/>
    <n v="600"/>
    <n v="219000"/>
    <n v="788400"/>
  </r>
  <r>
    <x v="0"/>
    <x v="0"/>
    <x v="0"/>
    <x v="5"/>
    <x v="9"/>
    <s v="LT_VilU"/>
    <x v="2"/>
    <x v="2"/>
    <s v="GNR_ST_NGAS_CON_E-38"/>
    <x v="0"/>
    <x v="15"/>
    <n v="600"/>
    <n v="219000"/>
    <n v="788400"/>
  </r>
  <r>
    <x v="0"/>
    <x v="0"/>
    <x v="0"/>
    <x v="5"/>
    <x v="9"/>
    <s v="LT_VilU"/>
    <x v="2"/>
    <x v="2"/>
    <s v="GNR_ST_NGAS_CON_E-38"/>
    <x v="0"/>
    <x v="16"/>
    <n v="600"/>
    <n v="219000"/>
    <n v="788400"/>
  </r>
  <r>
    <x v="0"/>
    <x v="0"/>
    <x v="0"/>
    <x v="5"/>
    <x v="9"/>
    <s v="LT_VilU"/>
    <x v="2"/>
    <x v="2"/>
    <s v="GNR_ST_NGAS_CON_E-38"/>
    <x v="0"/>
    <x v="17"/>
    <n v="600"/>
    <n v="219000"/>
    <n v="788400"/>
  </r>
  <r>
    <x v="0"/>
    <x v="0"/>
    <x v="0"/>
    <x v="5"/>
    <x v="9"/>
    <s v="LT_VilU"/>
    <x v="2"/>
    <x v="2"/>
    <s v="GNR_ST_NGAS_CON_E-38"/>
    <x v="0"/>
    <x v="18"/>
    <n v="600"/>
    <n v="219000"/>
    <n v="788400"/>
  </r>
  <r>
    <x v="0"/>
    <x v="0"/>
    <x v="0"/>
    <x v="5"/>
    <x v="9"/>
    <s v="LT_VilU"/>
    <x v="2"/>
    <x v="2"/>
    <s v="GNR_ST_NGAS_CON_E-38"/>
    <x v="0"/>
    <x v="19"/>
    <n v="600"/>
    <n v="219000"/>
    <n v="788400"/>
  </r>
  <r>
    <x v="0"/>
    <x v="0"/>
    <x v="0"/>
    <x v="5"/>
    <x v="9"/>
    <s v="LT_VilU"/>
    <x v="2"/>
    <x v="2"/>
    <s v="GNR_ST_NGAS_CON_E-38"/>
    <x v="0"/>
    <x v="20"/>
    <n v="600"/>
    <n v="219000"/>
    <n v="788400"/>
  </r>
  <r>
    <x v="0"/>
    <x v="0"/>
    <x v="0"/>
    <x v="5"/>
    <x v="9"/>
    <s v="LT_VilU"/>
    <x v="2"/>
    <x v="2"/>
    <s v="GNR_ST_NGAS_CON_E-38"/>
    <x v="0"/>
    <x v="21"/>
    <n v="600"/>
    <n v="219000"/>
    <n v="788400"/>
  </r>
  <r>
    <x v="0"/>
    <x v="0"/>
    <x v="0"/>
    <x v="5"/>
    <x v="9"/>
    <s v="LT_VilU"/>
    <x v="2"/>
    <x v="2"/>
    <s v="GNR_ST_NGAS_CON_E-38"/>
    <x v="0"/>
    <x v="22"/>
    <n v="600"/>
    <n v="219000"/>
    <n v="788400"/>
  </r>
  <r>
    <x v="0"/>
    <x v="0"/>
    <x v="0"/>
    <x v="5"/>
    <x v="9"/>
    <s v="LT_VilU"/>
    <x v="2"/>
    <x v="2"/>
    <s v="GNR_ST_NGAS_CON_E-38"/>
    <x v="0"/>
    <x v="23"/>
    <n v="600"/>
    <n v="219000"/>
    <n v="788400"/>
  </r>
  <r>
    <x v="0"/>
    <x v="0"/>
    <x v="0"/>
    <x v="5"/>
    <x v="9"/>
    <s v="LT_VilU"/>
    <x v="2"/>
    <x v="0"/>
    <s v="GNR_ST_NGAS_EXT_E-39"/>
    <x v="0"/>
    <x v="3"/>
    <n v="360"/>
    <n v="131400"/>
    <n v="473040"/>
  </r>
  <r>
    <x v="0"/>
    <x v="0"/>
    <x v="0"/>
    <x v="5"/>
    <x v="9"/>
    <s v="LT_VilU"/>
    <x v="2"/>
    <x v="0"/>
    <s v="GNR_ST_NGAS_EXT_E-39"/>
    <x v="0"/>
    <x v="4"/>
    <n v="360"/>
    <n v="131400"/>
    <n v="473040"/>
  </r>
  <r>
    <x v="0"/>
    <x v="0"/>
    <x v="0"/>
    <x v="5"/>
    <x v="9"/>
    <s v="LT_VilU"/>
    <x v="2"/>
    <x v="0"/>
    <s v="GNR_ST_NGAS_EXT_E-39"/>
    <x v="0"/>
    <x v="5"/>
    <n v="360"/>
    <n v="131400"/>
    <n v="473040"/>
  </r>
  <r>
    <x v="0"/>
    <x v="0"/>
    <x v="0"/>
    <x v="5"/>
    <x v="9"/>
    <s v="LT_VilU"/>
    <x v="2"/>
    <x v="0"/>
    <s v="GNR_ST_NGAS_EXT_E-39"/>
    <x v="0"/>
    <x v="6"/>
    <n v="360"/>
    <n v="131400"/>
    <n v="473040"/>
  </r>
  <r>
    <x v="0"/>
    <x v="0"/>
    <x v="0"/>
    <x v="5"/>
    <x v="9"/>
    <s v="LT_VilU"/>
    <x v="2"/>
    <x v="0"/>
    <s v="GNR_ST_NGAS_EXT_E-39"/>
    <x v="0"/>
    <x v="7"/>
    <n v="360"/>
    <n v="131400"/>
    <n v="473040"/>
  </r>
  <r>
    <x v="0"/>
    <x v="0"/>
    <x v="0"/>
    <x v="5"/>
    <x v="9"/>
    <s v="LT_VilU"/>
    <x v="2"/>
    <x v="0"/>
    <s v="GNR_ST_NGAS_EXT_E-39"/>
    <x v="0"/>
    <x v="8"/>
    <n v="360"/>
    <n v="131400"/>
    <n v="473040"/>
  </r>
  <r>
    <x v="0"/>
    <x v="0"/>
    <x v="0"/>
    <x v="5"/>
    <x v="9"/>
    <s v="LT_VilU"/>
    <x v="2"/>
    <x v="0"/>
    <s v="GNR_ST_NGAS_EXT_E-39"/>
    <x v="0"/>
    <x v="0"/>
    <n v="360"/>
    <n v="131400"/>
    <n v="473040"/>
  </r>
  <r>
    <x v="0"/>
    <x v="0"/>
    <x v="0"/>
    <x v="5"/>
    <x v="9"/>
    <s v="LT_VilU"/>
    <x v="2"/>
    <x v="0"/>
    <s v="GNR_ST_NGAS_EXT_E-39"/>
    <x v="0"/>
    <x v="1"/>
    <n v="360"/>
    <n v="131400"/>
    <n v="473040"/>
  </r>
  <r>
    <x v="0"/>
    <x v="0"/>
    <x v="0"/>
    <x v="5"/>
    <x v="9"/>
    <s v="LT_VilU"/>
    <x v="2"/>
    <x v="0"/>
    <s v="GNR_ST_NGAS_EXT_E-39"/>
    <x v="0"/>
    <x v="2"/>
    <n v="360"/>
    <n v="131400"/>
    <n v="473040"/>
  </r>
  <r>
    <x v="0"/>
    <x v="0"/>
    <x v="0"/>
    <x v="5"/>
    <x v="9"/>
    <s v="LT_VilU"/>
    <x v="2"/>
    <x v="0"/>
    <s v="GNR_ST_NGAS_EXT_E-39"/>
    <x v="0"/>
    <x v="9"/>
    <n v="360"/>
    <n v="131400"/>
    <n v="473040"/>
  </r>
  <r>
    <x v="0"/>
    <x v="0"/>
    <x v="0"/>
    <x v="5"/>
    <x v="9"/>
    <s v="LT_VilU"/>
    <x v="2"/>
    <x v="0"/>
    <s v="GNR_ST_NGAS_EXT_E-39"/>
    <x v="0"/>
    <x v="10"/>
    <n v="360"/>
    <n v="131400"/>
    <n v="473040"/>
  </r>
  <r>
    <x v="0"/>
    <x v="0"/>
    <x v="0"/>
    <x v="5"/>
    <x v="9"/>
    <s v="LT_VilU"/>
    <x v="2"/>
    <x v="0"/>
    <s v="GNR_ST_NGAS_EXT_E-39"/>
    <x v="0"/>
    <x v="11"/>
    <n v="360"/>
    <n v="131400"/>
    <n v="473040"/>
  </r>
  <r>
    <x v="0"/>
    <x v="0"/>
    <x v="0"/>
    <x v="5"/>
    <x v="9"/>
    <s v="LT_VilU"/>
    <x v="2"/>
    <x v="0"/>
    <s v="GNR_ST_NGAS_EXT_E-39"/>
    <x v="0"/>
    <x v="12"/>
    <n v="360"/>
    <n v="131400"/>
    <n v="473040"/>
  </r>
  <r>
    <x v="0"/>
    <x v="0"/>
    <x v="0"/>
    <x v="5"/>
    <x v="9"/>
    <s v="LT_VilU"/>
    <x v="2"/>
    <x v="0"/>
    <s v="GNR_ST_NGAS_EXT_E-39"/>
    <x v="0"/>
    <x v="13"/>
    <n v="360"/>
    <n v="131400"/>
    <n v="473040"/>
  </r>
  <r>
    <x v="0"/>
    <x v="0"/>
    <x v="0"/>
    <x v="5"/>
    <x v="9"/>
    <s v="LT_VilU"/>
    <x v="2"/>
    <x v="0"/>
    <s v="GNR_ST_NGAS_EXT_E-39"/>
    <x v="0"/>
    <x v="14"/>
    <n v="360"/>
    <n v="131400"/>
    <n v="473040"/>
  </r>
  <r>
    <x v="0"/>
    <x v="0"/>
    <x v="0"/>
    <x v="5"/>
    <x v="9"/>
    <s v="LT_VilU"/>
    <x v="2"/>
    <x v="0"/>
    <s v="GNR_ST_NGAS_EXT_E-39"/>
    <x v="0"/>
    <x v="15"/>
    <n v="360"/>
    <n v="131400"/>
    <n v="473040"/>
  </r>
  <r>
    <x v="0"/>
    <x v="0"/>
    <x v="0"/>
    <x v="5"/>
    <x v="9"/>
    <s v="LT_VilU"/>
    <x v="2"/>
    <x v="0"/>
    <s v="GNR_ST_NGAS_EXT_E-39"/>
    <x v="0"/>
    <x v="16"/>
    <n v="360"/>
    <n v="131400"/>
    <n v="473040"/>
  </r>
  <r>
    <x v="0"/>
    <x v="0"/>
    <x v="0"/>
    <x v="5"/>
    <x v="9"/>
    <s v="LT_VilU"/>
    <x v="2"/>
    <x v="0"/>
    <s v="GNR_ST_NGAS_EXT_E-39"/>
    <x v="0"/>
    <x v="17"/>
    <n v="360"/>
    <n v="131400"/>
    <n v="473040"/>
  </r>
  <r>
    <x v="0"/>
    <x v="0"/>
    <x v="0"/>
    <x v="5"/>
    <x v="9"/>
    <s v="LT_VilU"/>
    <x v="2"/>
    <x v="0"/>
    <s v="GNR_ST_NGAS_EXT_E-39"/>
    <x v="0"/>
    <x v="18"/>
    <n v="360"/>
    <n v="131400"/>
    <n v="473040"/>
  </r>
  <r>
    <x v="0"/>
    <x v="0"/>
    <x v="0"/>
    <x v="5"/>
    <x v="9"/>
    <s v="LT_VilU"/>
    <x v="2"/>
    <x v="0"/>
    <s v="GNR_ST_NGAS_EXT_E-39"/>
    <x v="0"/>
    <x v="19"/>
    <n v="360"/>
    <n v="131400"/>
    <n v="473040"/>
  </r>
  <r>
    <x v="0"/>
    <x v="0"/>
    <x v="0"/>
    <x v="5"/>
    <x v="9"/>
    <s v="LT_VilU"/>
    <x v="2"/>
    <x v="0"/>
    <s v="GNR_ST_NGAS_EXT_E-39"/>
    <x v="0"/>
    <x v="20"/>
    <n v="360"/>
    <n v="131400"/>
    <n v="473040"/>
  </r>
  <r>
    <x v="0"/>
    <x v="0"/>
    <x v="0"/>
    <x v="5"/>
    <x v="9"/>
    <s v="LT_VilU"/>
    <x v="2"/>
    <x v="0"/>
    <s v="GNR_ST_NGAS_EXT_E-39"/>
    <x v="0"/>
    <x v="21"/>
    <n v="360"/>
    <n v="131400"/>
    <n v="473040"/>
  </r>
  <r>
    <x v="0"/>
    <x v="0"/>
    <x v="0"/>
    <x v="5"/>
    <x v="9"/>
    <s v="LT_VilU"/>
    <x v="2"/>
    <x v="0"/>
    <s v="GNR_ST_NGAS_EXT_E-39"/>
    <x v="0"/>
    <x v="22"/>
    <n v="360"/>
    <n v="131400"/>
    <n v="473040"/>
  </r>
  <r>
    <x v="0"/>
    <x v="0"/>
    <x v="0"/>
    <x v="5"/>
    <x v="9"/>
    <s v="LT_VilU"/>
    <x v="2"/>
    <x v="0"/>
    <s v="GNR_ST_NGAS_EXT_E-39"/>
    <x v="0"/>
    <x v="23"/>
    <n v="360"/>
    <n v="131400"/>
    <n v="473040"/>
  </r>
  <r>
    <x v="0"/>
    <x v="0"/>
    <x v="0"/>
    <x v="5"/>
    <x v="9"/>
    <s v="LT_VilU"/>
    <x v="6"/>
    <x v="9"/>
    <s v="GNR_ES_WTR_PMP"/>
    <x v="0"/>
    <x v="2"/>
    <n v="93.6"/>
    <n v="34164"/>
    <n v="122990.39999999999"/>
  </r>
  <r>
    <x v="0"/>
    <x v="0"/>
    <x v="0"/>
    <x v="6"/>
    <x v="10"/>
    <s v="NL_A"/>
    <x v="0"/>
    <x v="2"/>
    <s v="GNR_ST_COAL_CND_E-40"/>
    <x v="0"/>
    <x v="16"/>
    <n v="858.84146608462697"/>
    <n v="313477.135120889"/>
    <n v="1128517.6864352"/>
  </r>
  <r>
    <x v="0"/>
    <x v="0"/>
    <x v="0"/>
    <x v="6"/>
    <x v="10"/>
    <s v="NL_A"/>
    <x v="0"/>
    <x v="2"/>
    <s v="GNR_ST_COAL_CND_E-40"/>
    <x v="0"/>
    <x v="17"/>
    <n v="1354.73686996878"/>
    <n v="494478.95753860602"/>
    <n v="1780124.2471389801"/>
  </r>
  <r>
    <x v="0"/>
    <x v="0"/>
    <x v="0"/>
    <x v="6"/>
    <x v="10"/>
    <s v="NL_A"/>
    <x v="0"/>
    <x v="2"/>
    <s v="GNR_ST_COAL_CND_E-40"/>
    <x v="0"/>
    <x v="18"/>
    <n v="1004.32867286984"/>
    <n v="366579.96559749299"/>
    <n v="1319687.8761509799"/>
  </r>
  <r>
    <x v="0"/>
    <x v="0"/>
    <x v="0"/>
    <x v="6"/>
    <x v="10"/>
    <s v="NL_A"/>
    <x v="1"/>
    <x v="2"/>
    <s v="GNR_ST_MSW_CND_E-40"/>
    <x v="0"/>
    <x v="3"/>
    <n v="684"/>
    <n v="249660"/>
    <n v="898776"/>
  </r>
  <r>
    <x v="0"/>
    <x v="0"/>
    <x v="0"/>
    <x v="6"/>
    <x v="10"/>
    <s v="NL_A"/>
    <x v="1"/>
    <x v="2"/>
    <s v="GNR_ST_MSW_CND_E-40"/>
    <x v="0"/>
    <x v="4"/>
    <n v="684"/>
    <n v="249660"/>
    <n v="898776"/>
  </r>
  <r>
    <x v="0"/>
    <x v="0"/>
    <x v="0"/>
    <x v="6"/>
    <x v="10"/>
    <s v="NL_A"/>
    <x v="1"/>
    <x v="2"/>
    <s v="GNR_ST_MSW_CND_E-40"/>
    <x v="0"/>
    <x v="5"/>
    <n v="684"/>
    <n v="249660"/>
    <n v="898776"/>
  </r>
  <r>
    <x v="0"/>
    <x v="0"/>
    <x v="0"/>
    <x v="6"/>
    <x v="10"/>
    <s v="NL_A"/>
    <x v="1"/>
    <x v="2"/>
    <s v="GNR_ST_MSW_CND_E-40"/>
    <x v="0"/>
    <x v="6"/>
    <n v="684"/>
    <n v="249660"/>
    <n v="898776"/>
  </r>
  <r>
    <x v="0"/>
    <x v="0"/>
    <x v="0"/>
    <x v="6"/>
    <x v="10"/>
    <s v="NL_A"/>
    <x v="1"/>
    <x v="2"/>
    <s v="GNR_ST_MSW_CND_E-40"/>
    <x v="0"/>
    <x v="7"/>
    <n v="684"/>
    <n v="249660"/>
    <n v="898776"/>
  </r>
  <r>
    <x v="0"/>
    <x v="0"/>
    <x v="0"/>
    <x v="6"/>
    <x v="10"/>
    <s v="NL_A"/>
    <x v="1"/>
    <x v="2"/>
    <s v="GNR_ST_MSW_CND_E-40"/>
    <x v="0"/>
    <x v="8"/>
    <n v="684"/>
    <n v="249660"/>
    <n v="898776"/>
  </r>
  <r>
    <x v="0"/>
    <x v="0"/>
    <x v="0"/>
    <x v="6"/>
    <x v="10"/>
    <s v="NL_A"/>
    <x v="1"/>
    <x v="2"/>
    <s v="GNR_ST_MSW_CND_E-40"/>
    <x v="0"/>
    <x v="0"/>
    <n v="684"/>
    <n v="249660"/>
    <n v="898776"/>
  </r>
  <r>
    <x v="0"/>
    <x v="0"/>
    <x v="0"/>
    <x v="6"/>
    <x v="10"/>
    <s v="NL_A"/>
    <x v="1"/>
    <x v="2"/>
    <s v="GNR_ST_MSW_CND_E-40"/>
    <x v="0"/>
    <x v="1"/>
    <n v="684"/>
    <n v="249660"/>
    <n v="898776"/>
  </r>
  <r>
    <x v="0"/>
    <x v="0"/>
    <x v="0"/>
    <x v="6"/>
    <x v="10"/>
    <s v="NL_A"/>
    <x v="1"/>
    <x v="2"/>
    <s v="GNR_ST_MSW_CND_E-40"/>
    <x v="0"/>
    <x v="2"/>
    <n v="684"/>
    <n v="249660"/>
    <n v="898776"/>
  </r>
  <r>
    <x v="0"/>
    <x v="0"/>
    <x v="0"/>
    <x v="6"/>
    <x v="10"/>
    <s v="NL_A"/>
    <x v="1"/>
    <x v="2"/>
    <s v="GNR_ST_MSW_CND_E-40"/>
    <x v="0"/>
    <x v="9"/>
    <n v="684"/>
    <n v="249660"/>
    <n v="898776"/>
  </r>
  <r>
    <x v="0"/>
    <x v="0"/>
    <x v="0"/>
    <x v="6"/>
    <x v="10"/>
    <s v="NL_A"/>
    <x v="1"/>
    <x v="2"/>
    <s v="GNR_ST_MSW_CND_E-40"/>
    <x v="0"/>
    <x v="10"/>
    <n v="684"/>
    <n v="249660"/>
    <n v="898776"/>
  </r>
  <r>
    <x v="0"/>
    <x v="0"/>
    <x v="0"/>
    <x v="6"/>
    <x v="10"/>
    <s v="NL_A"/>
    <x v="1"/>
    <x v="2"/>
    <s v="GNR_ST_MSW_CND_E-40"/>
    <x v="0"/>
    <x v="11"/>
    <n v="684"/>
    <n v="249660"/>
    <n v="898776"/>
  </r>
  <r>
    <x v="0"/>
    <x v="0"/>
    <x v="0"/>
    <x v="6"/>
    <x v="10"/>
    <s v="NL_A"/>
    <x v="1"/>
    <x v="2"/>
    <s v="GNR_ST_MSW_CND_E-40"/>
    <x v="0"/>
    <x v="12"/>
    <n v="684"/>
    <n v="249660"/>
    <n v="898776"/>
  </r>
  <r>
    <x v="0"/>
    <x v="0"/>
    <x v="0"/>
    <x v="6"/>
    <x v="10"/>
    <s v="NL_A"/>
    <x v="1"/>
    <x v="2"/>
    <s v="GNR_ST_MSW_CND_E-40"/>
    <x v="0"/>
    <x v="13"/>
    <n v="684"/>
    <n v="249660"/>
    <n v="898776"/>
  </r>
  <r>
    <x v="0"/>
    <x v="0"/>
    <x v="0"/>
    <x v="6"/>
    <x v="10"/>
    <s v="NL_A"/>
    <x v="1"/>
    <x v="2"/>
    <s v="GNR_ST_MSW_CND_E-40"/>
    <x v="0"/>
    <x v="14"/>
    <n v="684"/>
    <n v="249660"/>
    <n v="898776"/>
  </r>
  <r>
    <x v="0"/>
    <x v="0"/>
    <x v="0"/>
    <x v="6"/>
    <x v="10"/>
    <s v="NL_A"/>
    <x v="1"/>
    <x v="2"/>
    <s v="GNR_ST_MSW_CND_E-40"/>
    <x v="0"/>
    <x v="15"/>
    <n v="684"/>
    <n v="249660"/>
    <n v="898776"/>
  </r>
  <r>
    <x v="0"/>
    <x v="0"/>
    <x v="0"/>
    <x v="6"/>
    <x v="10"/>
    <s v="NL_A"/>
    <x v="1"/>
    <x v="2"/>
    <s v="GNR_ST_MSW_CND_E-40"/>
    <x v="0"/>
    <x v="16"/>
    <n v="684"/>
    <n v="249660"/>
    <n v="898776"/>
  </r>
  <r>
    <x v="0"/>
    <x v="0"/>
    <x v="0"/>
    <x v="6"/>
    <x v="10"/>
    <s v="NL_A"/>
    <x v="1"/>
    <x v="2"/>
    <s v="GNR_ST_MSW_CND_E-40"/>
    <x v="0"/>
    <x v="17"/>
    <n v="684"/>
    <n v="249660"/>
    <n v="898776"/>
  </r>
  <r>
    <x v="0"/>
    <x v="0"/>
    <x v="0"/>
    <x v="6"/>
    <x v="10"/>
    <s v="NL_A"/>
    <x v="1"/>
    <x v="2"/>
    <s v="GNR_ST_MSW_CND_E-40"/>
    <x v="0"/>
    <x v="18"/>
    <n v="684"/>
    <n v="249660"/>
    <n v="898776"/>
  </r>
  <r>
    <x v="0"/>
    <x v="0"/>
    <x v="0"/>
    <x v="6"/>
    <x v="10"/>
    <s v="NL_A"/>
    <x v="1"/>
    <x v="2"/>
    <s v="GNR_ST_MSW_CND_E-40"/>
    <x v="0"/>
    <x v="19"/>
    <n v="684"/>
    <n v="249660"/>
    <n v="898776"/>
  </r>
  <r>
    <x v="0"/>
    <x v="0"/>
    <x v="0"/>
    <x v="6"/>
    <x v="10"/>
    <s v="NL_A"/>
    <x v="1"/>
    <x v="2"/>
    <s v="GNR_ST_MSW_CND_E-40"/>
    <x v="0"/>
    <x v="20"/>
    <n v="684"/>
    <n v="249660"/>
    <n v="898776"/>
  </r>
  <r>
    <x v="0"/>
    <x v="0"/>
    <x v="0"/>
    <x v="6"/>
    <x v="10"/>
    <s v="NL_A"/>
    <x v="1"/>
    <x v="2"/>
    <s v="GNR_ST_MSW_CND_E-40"/>
    <x v="0"/>
    <x v="21"/>
    <n v="684"/>
    <n v="249660"/>
    <n v="898776"/>
  </r>
  <r>
    <x v="0"/>
    <x v="0"/>
    <x v="0"/>
    <x v="6"/>
    <x v="10"/>
    <s v="NL_A"/>
    <x v="1"/>
    <x v="2"/>
    <s v="GNR_ST_MSW_CND_E-40"/>
    <x v="0"/>
    <x v="22"/>
    <n v="684"/>
    <n v="249660"/>
    <n v="898776"/>
  </r>
  <r>
    <x v="0"/>
    <x v="0"/>
    <x v="0"/>
    <x v="6"/>
    <x v="10"/>
    <s v="NL_A"/>
    <x v="1"/>
    <x v="2"/>
    <s v="GNR_ST_MSW_CND_E-40"/>
    <x v="0"/>
    <x v="23"/>
    <n v="684"/>
    <n v="249660"/>
    <n v="898776"/>
  </r>
  <r>
    <x v="0"/>
    <x v="0"/>
    <x v="0"/>
    <x v="6"/>
    <x v="10"/>
    <s v="NL_A"/>
    <x v="2"/>
    <x v="2"/>
    <s v="GNR_CC_NGAS_CND_E-38"/>
    <x v="0"/>
    <x v="3"/>
    <n v="16871.679601395099"/>
    <n v="6158163.05450923"/>
    <n v="22169386.996233199"/>
  </r>
  <r>
    <x v="0"/>
    <x v="0"/>
    <x v="0"/>
    <x v="6"/>
    <x v="10"/>
    <s v="NL_A"/>
    <x v="2"/>
    <x v="2"/>
    <s v="GNR_CC_NGAS_CND_E-38"/>
    <x v="0"/>
    <x v="4"/>
    <n v="16255.5217334299"/>
    <n v="5933265.4327019304"/>
    <n v="21359755.557726901"/>
  </r>
  <r>
    <x v="0"/>
    <x v="0"/>
    <x v="0"/>
    <x v="6"/>
    <x v="10"/>
    <s v="NL_A"/>
    <x v="2"/>
    <x v="2"/>
    <s v="GNR_CC_NGAS_CND_E-38"/>
    <x v="0"/>
    <x v="5"/>
    <n v="16076.544623027499"/>
    <n v="5867938.7874050299"/>
    <n v="21124579.634658098"/>
  </r>
  <r>
    <x v="0"/>
    <x v="0"/>
    <x v="0"/>
    <x v="6"/>
    <x v="10"/>
    <s v="NL_A"/>
    <x v="2"/>
    <x v="2"/>
    <s v="GNR_CC_NGAS_CND_E-38"/>
    <x v="0"/>
    <x v="6"/>
    <n v="15986.0113126497"/>
    <n v="5834894.1291171499"/>
    <n v="21005618.864821699"/>
  </r>
  <r>
    <x v="0"/>
    <x v="0"/>
    <x v="0"/>
    <x v="6"/>
    <x v="10"/>
    <s v="NL_A"/>
    <x v="2"/>
    <x v="2"/>
    <s v="GNR_CC_NGAS_CND_E-38"/>
    <x v="0"/>
    <x v="7"/>
    <n v="16073.3034446193"/>
    <n v="5866755.7572860401"/>
    <n v="21120320.726229802"/>
  </r>
  <r>
    <x v="0"/>
    <x v="0"/>
    <x v="0"/>
    <x v="6"/>
    <x v="10"/>
    <s v="NL_A"/>
    <x v="2"/>
    <x v="2"/>
    <s v="GNR_CC_NGAS_CND_E-38"/>
    <x v="0"/>
    <x v="8"/>
    <n v="16459.608265155301"/>
    <n v="6007757.01678167"/>
    <n v="21627925.260414001"/>
  </r>
  <r>
    <x v="0"/>
    <x v="0"/>
    <x v="0"/>
    <x v="6"/>
    <x v="10"/>
    <s v="NL_A"/>
    <x v="2"/>
    <x v="2"/>
    <s v="GNR_CC_NGAS_CND_E-38"/>
    <x v="0"/>
    <x v="0"/>
    <n v="17894.222848867899"/>
    <n v="6531391.3398367995"/>
    <n v="23513008.8234125"/>
  </r>
  <r>
    <x v="0"/>
    <x v="0"/>
    <x v="0"/>
    <x v="6"/>
    <x v="10"/>
    <s v="NL_A"/>
    <x v="2"/>
    <x v="2"/>
    <s v="GNR_CC_NGAS_CND_E-38"/>
    <x v="0"/>
    <x v="1"/>
    <n v="20415.046895007901"/>
    <n v="7451492.1166778998"/>
    <n v="26825371.620040402"/>
  </r>
  <r>
    <x v="0"/>
    <x v="0"/>
    <x v="0"/>
    <x v="6"/>
    <x v="10"/>
    <s v="NL_A"/>
    <x v="2"/>
    <x v="2"/>
    <s v="GNR_CC_NGAS_CND_E-38"/>
    <x v="0"/>
    <x v="2"/>
    <n v="20969"/>
    <n v="7653685"/>
    <n v="27553266"/>
  </r>
  <r>
    <x v="0"/>
    <x v="0"/>
    <x v="0"/>
    <x v="6"/>
    <x v="10"/>
    <s v="NL_A"/>
    <x v="2"/>
    <x v="2"/>
    <s v="GNR_CC_NGAS_CND_E-38"/>
    <x v="0"/>
    <x v="9"/>
    <n v="20969"/>
    <n v="7653685"/>
    <n v="27553266"/>
  </r>
  <r>
    <x v="0"/>
    <x v="0"/>
    <x v="0"/>
    <x v="6"/>
    <x v="10"/>
    <s v="NL_A"/>
    <x v="2"/>
    <x v="2"/>
    <s v="GNR_CC_NGAS_CND_E-38"/>
    <x v="0"/>
    <x v="10"/>
    <n v="20969"/>
    <n v="7653685"/>
    <n v="27553266"/>
  </r>
  <r>
    <x v="0"/>
    <x v="0"/>
    <x v="0"/>
    <x v="6"/>
    <x v="10"/>
    <s v="NL_A"/>
    <x v="2"/>
    <x v="2"/>
    <s v="GNR_CC_NGAS_CND_E-38"/>
    <x v="0"/>
    <x v="11"/>
    <n v="20969"/>
    <n v="7653685"/>
    <n v="27553266"/>
  </r>
  <r>
    <x v="0"/>
    <x v="0"/>
    <x v="0"/>
    <x v="6"/>
    <x v="10"/>
    <s v="NL_A"/>
    <x v="2"/>
    <x v="2"/>
    <s v="GNR_CC_NGAS_CND_E-38"/>
    <x v="0"/>
    <x v="12"/>
    <n v="20969"/>
    <n v="7653685"/>
    <n v="27553266"/>
  </r>
  <r>
    <x v="0"/>
    <x v="0"/>
    <x v="0"/>
    <x v="6"/>
    <x v="10"/>
    <s v="NL_A"/>
    <x v="2"/>
    <x v="2"/>
    <s v="GNR_CC_NGAS_CND_E-38"/>
    <x v="0"/>
    <x v="13"/>
    <n v="20969"/>
    <n v="7653685"/>
    <n v="27553266"/>
  </r>
  <r>
    <x v="0"/>
    <x v="0"/>
    <x v="0"/>
    <x v="6"/>
    <x v="10"/>
    <s v="NL_A"/>
    <x v="2"/>
    <x v="2"/>
    <s v="GNR_CC_NGAS_CND_E-38"/>
    <x v="0"/>
    <x v="14"/>
    <n v="20969"/>
    <n v="7653685"/>
    <n v="27553266"/>
  </r>
  <r>
    <x v="0"/>
    <x v="0"/>
    <x v="0"/>
    <x v="6"/>
    <x v="10"/>
    <s v="NL_A"/>
    <x v="2"/>
    <x v="2"/>
    <s v="GNR_CC_NGAS_CND_E-38"/>
    <x v="0"/>
    <x v="15"/>
    <n v="20969"/>
    <n v="7653685"/>
    <n v="27553266"/>
  </r>
  <r>
    <x v="0"/>
    <x v="0"/>
    <x v="0"/>
    <x v="6"/>
    <x v="10"/>
    <s v="NL_A"/>
    <x v="2"/>
    <x v="2"/>
    <s v="GNR_CC_NGAS_CND_E-38"/>
    <x v="0"/>
    <x v="16"/>
    <n v="20969"/>
    <n v="7653685"/>
    <n v="27553266"/>
  </r>
  <r>
    <x v="0"/>
    <x v="0"/>
    <x v="0"/>
    <x v="6"/>
    <x v="10"/>
    <s v="NL_A"/>
    <x v="2"/>
    <x v="2"/>
    <s v="GNR_CC_NGAS_CND_E-38"/>
    <x v="0"/>
    <x v="17"/>
    <n v="20969"/>
    <n v="7653685"/>
    <n v="27553266"/>
  </r>
  <r>
    <x v="0"/>
    <x v="0"/>
    <x v="0"/>
    <x v="6"/>
    <x v="10"/>
    <s v="NL_A"/>
    <x v="2"/>
    <x v="2"/>
    <s v="GNR_CC_NGAS_CND_E-38"/>
    <x v="0"/>
    <x v="18"/>
    <n v="20969"/>
    <n v="7653685"/>
    <n v="27553266"/>
  </r>
  <r>
    <x v="0"/>
    <x v="0"/>
    <x v="0"/>
    <x v="6"/>
    <x v="10"/>
    <s v="NL_A"/>
    <x v="2"/>
    <x v="2"/>
    <s v="GNR_CC_NGAS_CND_E-38"/>
    <x v="0"/>
    <x v="19"/>
    <n v="20969"/>
    <n v="7653685"/>
    <n v="27553266"/>
  </r>
  <r>
    <x v="0"/>
    <x v="0"/>
    <x v="0"/>
    <x v="6"/>
    <x v="10"/>
    <s v="NL_A"/>
    <x v="2"/>
    <x v="2"/>
    <s v="GNR_CC_NGAS_CND_E-38"/>
    <x v="0"/>
    <x v="20"/>
    <n v="20969"/>
    <n v="7653685"/>
    <n v="27553266"/>
  </r>
  <r>
    <x v="0"/>
    <x v="0"/>
    <x v="0"/>
    <x v="6"/>
    <x v="10"/>
    <s v="NL_A"/>
    <x v="2"/>
    <x v="2"/>
    <s v="GNR_CC_NGAS_CND_E-38"/>
    <x v="0"/>
    <x v="21"/>
    <n v="20619.4774458352"/>
    <n v="7526109.26772983"/>
    <n v="27093993.3638274"/>
  </r>
  <r>
    <x v="0"/>
    <x v="0"/>
    <x v="0"/>
    <x v="6"/>
    <x v="10"/>
    <s v="NL_A"/>
    <x v="2"/>
    <x v="2"/>
    <s v="GNR_CC_NGAS_CND_E-38"/>
    <x v="0"/>
    <x v="22"/>
    <n v="19669.6942089656"/>
    <n v="7179438.38627245"/>
    <n v="25845978.1905808"/>
  </r>
  <r>
    <x v="0"/>
    <x v="0"/>
    <x v="0"/>
    <x v="6"/>
    <x v="10"/>
    <s v="NL_A"/>
    <x v="2"/>
    <x v="2"/>
    <s v="GNR_CC_NGAS_CND_E-38"/>
    <x v="0"/>
    <x v="23"/>
    <n v="18660.9178581138"/>
    <n v="6811235.0182115501"/>
    <n v="24520446.0655616"/>
  </r>
  <r>
    <x v="0"/>
    <x v="0"/>
    <x v="0"/>
    <x v="6"/>
    <x v="10"/>
    <s v="NL_A"/>
    <x v="15"/>
    <x v="2"/>
    <s v="GNR_ST_NUCL_CND_E-33"/>
    <x v="0"/>
    <x v="3"/>
    <n v="515"/>
    <n v="187975"/>
    <n v="676710"/>
  </r>
  <r>
    <x v="0"/>
    <x v="0"/>
    <x v="0"/>
    <x v="6"/>
    <x v="10"/>
    <s v="NL_A"/>
    <x v="15"/>
    <x v="2"/>
    <s v="GNR_ST_NUCL_CND_E-33"/>
    <x v="0"/>
    <x v="4"/>
    <n v="515"/>
    <n v="187975"/>
    <n v="676710"/>
  </r>
  <r>
    <x v="0"/>
    <x v="0"/>
    <x v="0"/>
    <x v="6"/>
    <x v="10"/>
    <s v="NL_A"/>
    <x v="15"/>
    <x v="2"/>
    <s v="GNR_ST_NUCL_CND_E-33"/>
    <x v="0"/>
    <x v="5"/>
    <n v="515"/>
    <n v="187975"/>
    <n v="676710"/>
  </r>
  <r>
    <x v="0"/>
    <x v="0"/>
    <x v="0"/>
    <x v="6"/>
    <x v="10"/>
    <s v="NL_A"/>
    <x v="15"/>
    <x v="2"/>
    <s v="GNR_ST_NUCL_CND_E-33"/>
    <x v="0"/>
    <x v="6"/>
    <n v="515"/>
    <n v="187975"/>
    <n v="676710"/>
  </r>
  <r>
    <x v="0"/>
    <x v="0"/>
    <x v="0"/>
    <x v="6"/>
    <x v="10"/>
    <s v="NL_A"/>
    <x v="15"/>
    <x v="2"/>
    <s v="GNR_ST_NUCL_CND_E-33"/>
    <x v="0"/>
    <x v="7"/>
    <n v="515"/>
    <n v="187975"/>
    <n v="676710"/>
  </r>
  <r>
    <x v="0"/>
    <x v="0"/>
    <x v="0"/>
    <x v="6"/>
    <x v="10"/>
    <s v="NL_A"/>
    <x v="15"/>
    <x v="2"/>
    <s v="GNR_ST_NUCL_CND_E-33"/>
    <x v="0"/>
    <x v="8"/>
    <n v="515"/>
    <n v="187975"/>
    <n v="676710"/>
  </r>
  <r>
    <x v="0"/>
    <x v="0"/>
    <x v="0"/>
    <x v="6"/>
    <x v="10"/>
    <s v="NL_A"/>
    <x v="15"/>
    <x v="2"/>
    <s v="GNR_ST_NUCL_CND_E-33"/>
    <x v="0"/>
    <x v="0"/>
    <n v="515"/>
    <n v="187975"/>
    <n v="676710"/>
  </r>
  <r>
    <x v="0"/>
    <x v="0"/>
    <x v="0"/>
    <x v="6"/>
    <x v="10"/>
    <s v="NL_A"/>
    <x v="15"/>
    <x v="2"/>
    <s v="GNR_ST_NUCL_CND_E-33"/>
    <x v="0"/>
    <x v="1"/>
    <n v="515"/>
    <n v="187975"/>
    <n v="676710"/>
  </r>
  <r>
    <x v="0"/>
    <x v="0"/>
    <x v="0"/>
    <x v="6"/>
    <x v="10"/>
    <s v="NL_A"/>
    <x v="15"/>
    <x v="2"/>
    <s v="GNR_ST_NUCL_CND_E-33"/>
    <x v="0"/>
    <x v="2"/>
    <n v="515"/>
    <n v="187975"/>
    <n v="676710"/>
  </r>
  <r>
    <x v="0"/>
    <x v="0"/>
    <x v="0"/>
    <x v="6"/>
    <x v="10"/>
    <s v="NL_A"/>
    <x v="15"/>
    <x v="2"/>
    <s v="GNR_ST_NUCL_CND_E-33"/>
    <x v="0"/>
    <x v="9"/>
    <n v="515"/>
    <n v="187975"/>
    <n v="676710"/>
  </r>
  <r>
    <x v="0"/>
    <x v="0"/>
    <x v="0"/>
    <x v="6"/>
    <x v="10"/>
    <s v="NL_A"/>
    <x v="15"/>
    <x v="2"/>
    <s v="GNR_ST_NUCL_CND_E-33"/>
    <x v="0"/>
    <x v="10"/>
    <n v="515"/>
    <n v="187975"/>
    <n v="676710"/>
  </r>
  <r>
    <x v="0"/>
    <x v="0"/>
    <x v="0"/>
    <x v="6"/>
    <x v="10"/>
    <s v="NL_A"/>
    <x v="15"/>
    <x v="2"/>
    <s v="GNR_ST_NUCL_CND_E-33"/>
    <x v="0"/>
    <x v="11"/>
    <n v="515"/>
    <n v="187975"/>
    <n v="676710"/>
  </r>
  <r>
    <x v="0"/>
    <x v="0"/>
    <x v="0"/>
    <x v="6"/>
    <x v="10"/>
    <s v="NL_A"/>
    <x v="15"/>
    <x v="2"/>
    <s v="GNR_ST_NUCL_CND_E-33"/>
    <x v="0"/>
    <x v="12"/>
    <n v="515"/>
    <n v="187975"/>
    <n v="676710"/>
  </r>
  <r>
    <x v="0"/>
    <x v="0"/>
    <x v="0"/>
    <x v="6"/>
    <x v="10"/>
    <s v="NL_A"/>
    <x v="15"/>
    <x v="2"/>
    <s v="GNR_ST_NUCL_CND_E-33"/>
    <x v="0"/>
    <x v="13"/>
    <n v="515"/>
    <n v="187975"/>
    <n v="676710"/>
  </r>
  <r>
    <x v="0"/>
    <x v="0"/>
    <x v="0"/>
    <x v="6"/>
    <x v="10"/>
    <s v="NL_A"/>
    <x v="15"/>
    <x v="2"/>
    <s v="GNR_ST_NUCL_CND_E-33"/>
    <x v="0"/>
    <x v="14"/>
    <n v="515"/>
    <n v="187975"/>
    <n v="676710"/>
  </r>
  <r>
    <x v="0"/>
    <x v="0"/>
    <x v="0"/>
    <x v="6"/>
    <x v="10"/>
    <s v="NL_A"/>
    <x v="15"/>
    <x v="2"/>
    <s v="GNR_ST_NUCL_CND_E-33"/>
    <x v="0"/>
    <x v="15"/>
    <n v="515"/>
    <n v="187975"/>
    <n v="676710"/>
  </r>
  <r>
    <x v="0"/>
    <x v="0"/>
    <x v="0"/>
    <x v="6"/>
    <x v="10"/>
    <s v="NL_A"/>
    <x v="15"/>
    <x v="2"/>
    <s v="GNR_ST_NUCL_CND_E-33"/>
    <x v="0"/>
    <x v="16"/>
    <n v="515"/>
    <n v="187975"/>
    <n v="676710"/>
  </r>
  <r>
    <x v="0"/>
    <x v="0"/>
    <x v="0"/>
    <x v="6"/>
    <x v="10"/>
    <s v="NL_A"/>
    <x v="15"/>
    <x v="2"/>
    <s v="GNR_ST_NUCL_CND_E-33"/>
    <x v="0"/>
    <x v="17"/>
    <n v="515"/>
    <n v="187975"/>
    <n v="676710"/>
  </r>
  <r>
    <x v="0"/>
    <x v="0"/>
    <x v="0"/>
    <x v="6"/>
    <x v="10"/>
    <s v="NL_A"/>
    <x v="15"/>
    <x v="2"/>
    <s v="GNR_ST_NUCL_CND_E-33"/>
    <x v="0"/>
    <x v="18"/>
    <n v="515"/>
    <n v="187975"/>
    <n v="676710"/>
  </r>
  <r>
    <x v="0"/>
    <x v="0"/>
    <x v="0"/>
    <x v="6"/>
    <x v="10"/>
    <s v="NL_A"/>
    <x v="15"/>
    <x v="2"/>
    <s v="GNR_ST_NUCL_CND_E-33"/>
    <x v="0"/>
    <x v="19"/>
    <n v="515"/>
    <n v="187975"/>
    <n v="676710"/>
  </r>
  <r>
    <x v="0"/>
    <x v="0"/>
    <x v="0"/>
    <x v="6"/>
    <x v="10"/>
    <s v="NL_A"/>
    <x v="15"/>
    <x v="2"/>
    <s v="GNR_ST_NUCL_CND_E-33"/>
    <x v="0"/>
    <x v="20"/>
    <n v="515"/>
    <n v="187975"/>
    <n v="676710"/>
  </r>
  <r>
    <x v="0"/>
    <x v="0"/>
    <x v="0"/>
    <x v="6"/>
    <x v="10"/>
    <s v="NL_A"/>
    <x v="15"/>
    <x v="2"/>
    <s v="GNR_ST_NUCL_CND_E-33"/>
    <x v="0"/>
    <x v="21"/>
    <n v="515"/>
    <n v="187975"/>
    <n v="676710"/>
  </r>
  <r>
    <x v="0"/>
    <x v="0"/>
    <x v="0"/>
    <x v="6"/>
    <x v="10"/>
    <s v="NL_A"/>
    <x v="15"/>
    <x v="2"/>
    <s v="GNR_ST_NUCL_CND_E-33"/>
    <x v="0"/>
    <x v="22"/>
    <n v="515"/>
    <n v="187975"/>
    <n v="676710"/>
  </r>
  <r>
    <x v="0"/>
    <x v="0"/>
    <x v="0"/>
    <x v="6"/>
    <x v="10"/>
    <s v="NL_A"/>
    <x v="15"/>
    <x v="2"/>
    <s v="GNR_ST_NUCL_CND_E-33"/>
    <x v="0"/>
    <x v="23"/>
    <n v="515"/>
    <n v="187975"/>
    <n v="676710"/>
  </r>
  <r>
    <x v="0"/>
    <x v="0"/>
    <x v="0"/>
    <x v="6"/>
    <x v="10"/>
    <s v="NL_A"/>
    <x v="5"/>
    <x v="3"/>
    <s v="GNR_PV_SUN"/>
    <x v="0"/>
    <x v="2"/>
    <n v="16.883927773781998"/>
    <n v="6162.6336374304401"/>
    <n v="22185.481094749601"/>
  </r>
  <r>
    <x v="0"/>
    <x v="0"/>
    <x v="0"/>
    <x v="6"/>
    <x v="10"/>
    <s v="NL_A"/>
    <x v="5"/>
    <x v="3"/>
    <s v="GNR_PV_SUN"/>
    <x v="0"/>
    <x v="9"/>
    <n v="127.105671650831"/>
    <n v="46393.5701525533"/>
    <n v="167016.852549192"/>
  </r>
  <r>
    <x v="0"/>
    <x v="0"/>
    <x v="0"/>
    <x v="6"/>
    <x v="10"/>
    <s v="NL_A"/>
    <x v="5"/>
    <x v="3"/>
    <s v="GNR_PV_SUN"/>
    <x v="0"/>
    <x v="10"/>
    <n v="293.60717477382002"/>
    <n v="107166.618792444"/>
    <n v="385799.82765279902"/>
  </r>
  <r>
    <x v="0"/>
    <x v="0"/>
    <x v="0"/>
    <x v="6"/>
    <x v="10"/>
    <s v="NL_A"/>
    <x v="5"/>
    <x v="3"/>
    <s v="GNR_PV_SUN"/>
    <x v="0"/>
    <x v="11"/>
    <n v="447.12104114774598"/>
    <n v="163199.180018927"/>
    <n v="587517.04806813796"/>
  </r>
  <r>
    <x v="0"/>
    <x v="0"/>
    <x v="0"/>
    <x v="6"/>
    <x v="10"/>
    <s v="NL_A"/>
    <x v="5"/>
    <x v="3"/>
    <s v="GNR_PV_SUN"/>
    <x v="0"/>
    <x v="12"/>
    <n v="508.33610235832998"/>
    <n v="185542.67736079"/>
    <n v="667953.63849884504"/>
  </r>
  <r>
    <x v="0"/>
    <x v="0"/>
    <x v="0"/>
    <x v="6"/>
    <x v="10"/>
    <s v="NL_A"/>
    <x v="5"/>
    <x v="3"/>
    <s v="GNR_PV_SUN"/>
    <x v="0"/>
    <x v="13"/>
    <n v="442.01257069311401"/>
    <n v="161334.58830298699"/>
    <n v="580804.51789075194"/>
  </r>
  <r>
    <x v="0"/>
    <x v="0"/>
    <x v="0"/>
    <x v="6"/>
    <x v="10"/>
    <s v="NL_A"/>
    <x v="5"/>
    <x v="3"/>
    <s v="GNR_PV_SUN"/>
    <x v="0"/>
    <x v="14"/>
    <n v="287.63286186925097"/>
    <n v="104985.994582277"/>
    <n v="377949.58049619599"/>
  </r>
  <r>
    <x v="0"/>
    <x v="0"/>
    <x v="0"/>
    <x v="6"/>
    <x v="10"/>
    <s v="NL_A"/>
    <x v="5"/>
    <x v="3"/>
    <s v="GNR_PV_SUN"/>
    <x v="0"/>
    <x v="15"/>
    <n v="145.634700079494"/>
    <n v="53156.665529015401"/>
    <n v="191363.99590445499"/>
  </r>
  <r>
    <x v="0"/>
    <x v="0"/>
    <x v="0"/>
    <x v="6"/>
    <x v="10"/>
    <s v="NL_A"/>
    <x v="5"/>
    <x v="3"/>
    <s v="GNR_PV_SUN"/>
    <x v="0"/>
    <x v="16"/>
    <n v="18.9619496536321"/>
    <n v="6921.1116235757299"/>
    <n v="24916.0018448726"/>
  </r>
  <r>
    <x v="0"/>
    <x v="0"/>
    <x v="0"/>
    <x v="6"/>
    <x v="10"/>
    <s v="NL_A"/>
    <x v="6"/>
    <x v="4"/>
    <s v="GNR_ROR_WTR"/>
    <x v="0"/>
    <x v="3"/>
    <n v="18.219178082191799"/>
    <n v="6650"/>
    <n v="23940"/>
  </r>
  <r>
    <x v="0"/>
    <x v="0"/>
    <x v="0"/>
    <x v="6"/>
    <x v="10"/>
    <s v="NL_A"/>
    <x v="6"/>
    <x v="4"/>
    <s v="GNR_ROR_WTR"/>
    <x v="0"/>
    <x v="4"/>
    <n v="18.219178082191799"/>
    <n v="6650"/>
    <n v="23940"/>
  </r>
  <r>
    <x v="0"/>
    <x v="0"/>
    <x v="0"/>
    <x v="6"/>
    <x v="10"/>
    <s v="NL_A"/>
    <x v="6"/>
    <x v="4"/>
    <s v="GNR_ROR_WTR"/>
    <x v="0"/>
    <x v="5"/>
    <n v="18.219178082191799"/>
    <n v="6650"/>
    <n v="23940"/>
  </r>
  <r>
    <x v="0"/>
    <x v="0"/>
    <x v="0"/>
    <x v="6"/>
    <x v="10"/>
    <s v="NL_A"/>
    <x v="6"/>
    <x v="4"/>
    <s v="GNR_ROR_WTR"/>
    <x v="0"/>
    <x v="6"/>
    <n v="18.219178082191799"/>
    <n v="6650"/>
    <n v="23940"/>
  </r>
  <r>
    <x v="0"/>
    <x v="0"/>
    <x v="0"/>
    <x v="6"/>
    <x v="10"/>
    <s v="NL_A"/>
    <x v="6"/>
    <x v="4"/>
    <s v="GNR_ROR_WTR"/>
    <x v="0"/>
    <x v="7"/>
    <n v="18.219178082191799"/>
    <n v="6650"/>
    <n v="23940"/>
  </r>
  <r>
    <x v="0"/>
    <x v="0"/>
    <x v="0"/>
    <x v="6"/>
    <x v="10"/>
    <s v="NL_A"/>
    <x v="6"/>
    <x v="4"/>
    <s v="GNR_ROR_WTR"/>
    <x v="0"/>
    <x v="8"/>
    <n v="18.219178082191799"/>
    <n v="6650"/>
    <n v="23940"/>
  </r>
  <r>
    <x v="0"/>
    <x v="0"/>
    <x v="0"/>
    <x v="6"/>
    <x v="10"/>
    <s v="NL_A"/>
    <x v="6"/>
    <x v="4"/>
    <s v="GNR_ROR_WTR"/>
    <x v="0"/>
    <x v="0"/>
    <n v="18.219178082191799"/>
    <n v="6650"/>
    <n v="23940"/>
  </r>
  <r>
    <x v="0"/>
    <x v="0"/>
    <x v="0"/>
    <x v="6"/>
    <x v="10"/>
    <s v="NL_A"/>
    <x v="6"/>
    <x v="4"/>
    <s v="GNR_ROR_WTR"/>
    <x v="0"/>
    <x v="1"/>
    <n v="18.219178082191799"/>
    <n v="6650"/>
    <n v="23940"/>
  </r>
  <r>
    <x v="0"/>
    <x v="0"/>
    <x v="0"/>
    <x v="6"/>
    <x v="10"/>
    <s v="NL_A"/>
    <x v="6"/>
    <x v="4"/>
    <s v="GNR_ROR_WTR"/>
    <x v="0"/>
    <x v="2"/>
    <n v="18.219178082191799"/>
    <n v="6650"/>
    <n v="23940"/>
  </r>
  <r>
    <x v="0"/>
    <x v="0"/>
    <x v="0"/>
    <x v="6"/>
    <x v="10"/>
    <s v="NL_A"/>
    <x v="6"/>
    <x v="4"/>
    <s v="GNR_ROR_WTR"/>
    <x v="0"/>
    <x v="9"/>
    <n v="18.219178082191799"/>
    <n v="6650"/>
    <n v="23940"/>
  </r>
  <r>
    <x v="0"/>
    <x v="0"/>
    <x v="0"/>
    <x v="6"/>
    <x v="10"/>
    <s v="NL_A"/>
    <x v="6"/>
    <x v="4"/>
    <s v="GNR_ROR_WTR"/>
    <x v="0"/>
    <x v="10"/>
    <n v="18.219178082191799"/>
    <n v="6650"/>
    <n v="23940"/>
  </r>
  <r>
    <x v="0"/>
    <x v="0"/>
    <x v="0"/>
    <x v="6"/>
    <x v="10"/>
    <s v="NL_A"/>
    <x v="6"/>
    <x v="4"/>
    <s v="GNR_ROR_WTR"/>
    <x v="0"/>
    <x v="11"/>
    <n v="18.219178082191799"/>
    <n v="6650"/>
    <n v="23940"/>
  </r>
  <r>
    <x v="0"/>
    <x v="0"/>
    <x v="0"/>
    <x v="6"/>
    <x v="10"/>
    <s v="NL_A"/>
    <x v="6"/>
    <x v="4"/>
    <s v="GNR_ROR_WTR"/>
    <x v="0"/>
    <x v="12"/>
    <n v="18.219178082191799"/>
    <n v="6650"/>
    <n v="23940"/>
  </r>
  <r>
    <x v="0"/>
    <x v="0"/>
    <x v="0"/>
    <x v="6"/>
    <x v="10"/>
    <s v="NL_A"/>
    <x v="6"/>
    <x v="4"/>
    <s v="GNR_ROR_WTR"/>
    <x v="0"/>
    <x v="13"/>
    <n v="18.219178082191799"/>
    <n v="6650"/>
    <n v="23940"/>
  </r>
  <r>
    <x v="0"/>
    <x v="0"/>
    <x v="0"/>
    <x v="6"/>
    <x v="10"/>
    <s v="NL_A"/>
    <x v="6"/>
    <x v="4"/>
    <s v="GNR_ROR_WTR"/>
    <x v="0"/>
    <x v="14"/>
    <n v="18.219178082191799"/>
    <n v="6650"/>
    <n v="23940"/>
  </r>
  <r>
    <x v="0"/>
    <x v="0"/>
    <x v="0"/>
    <x v="6"/>
    <x v="10"/>
    <s v="NL_A"/>
    <x v="6"/>
    <x v="4"/>
    <s v="GNR_ROR_WTR"/>
    <x v="0"/>
    <x v="15"/>
    <n v="18.219178082191799"/>
    <n v="6650"/>
    <n v="23940"/>
  </r>
  <r>
    <x v="0"/>
    <x v="0"/>
    <x v="0"/>
    <x v="6"/>
    <x v="10"/>
    <s v="NL_A"/>
    <x v="6"/>
    <x v="4"/>
    <s v="GNR_ROR_WTR"/>
    <x v="0"/>
    <x v="16"/>
    <n v="18.219178082191799"/>
    <n v="6650"/>
    <n v="23940"/>
  </r>
  <r>
    <x v="0"/>
    <x v="0"/>
    <x v="0"/>
    <x v="6"/>
    <x v="10"/>
    <s v="NL_A"/>
    <x v="6"/>
    <x v="4"/>
    <s v="GNR_ROR_WTR"/>
    <x v="0"/>
    <x v="17"/>
    <n v="18.219178082191799"/>
    <n v="6650"/>
    <n v="23940"/>
  </r>
  <r>
    <x v="0"/>
    <x v="0"/>
    <x v="0"/>
    <x v="6"/>
    <x v="10"/>
    <s v="NL_A"/>
    <x v="6"/>
    <x v="4"/>
    <s v="GNR_ROR_WTR"/>
    <x v="0"/>
    <x v="18"/>
    <n v="18.219178082191799"/>
    <n v="6650"/>
    <n v="23940"/>
  </r>
  <r>
    <x v="0"/>
    <x v="0"/>
    <x v="0"/>
    <x v="6"/>
    <x v="10"/>
    <s v="NL_A"/>
    <x v="6"/>
    <x v="4"/>
    <s v="GNR_ROR_WTR"/>
    <x v="0"/>
    <x v="19"/>
    <n v="18.219178082191799"/>
    <n v="6650"/>
    <n v="23940"/>
  </r>
  <r>
    <x v="0"/>
    <x v="0"/>
    <x v="0"/>
    <x v="6"/>
    <x v="10"/>
    <s v="NL_A"/>
    <x v="6"/>
    <x v="4"/>
    <s v="GNR_ROR_WTR"/>
    <x v="0"/>
    <x v="20"/>
    <n v="18.219178082191799"/>
    <n v="6650"/>
    <n v="23940"/>
  </r>
  <r>
    <x v="0"/>
    <x v="0"/>
    <x v="0"/>
    <x v="6"/>
    <x v="10"/>
    <s v="NL_A"/>
    <x v="6"/>
    <x v="4"/>
    <s v="GNR_ROR_WTR"/>
    <x v="0"/>
    <x v="21"/>
    <n v="18.219178082191799"/>
    <n v="6650"/>
    <n v="23940"/>
  </r>
  <r>
    <x v="0"/>
    <x v="0"/>
    <x v="0"/>
    <x v="6"/>
    <x v="10"/>
    <s v="NL_A"/>
    <x v="6"/>
    <x v="4"/>
    <s v="GNR_ROR_WTR"/>
    <x v="0"/>
    <x v="22"/>
    <n v="18.219178082191799"/>
    <n v="6650"/>
    <n v="23940"/>
  </r>
  <r>
    <x v="0"/>
    <x v="0"/>
    <x v="0"/>
    <x v="6"/>
    <x v="10"/>
    <s v="NL_A"/>
    <x v="6"/>
    <x v="4"/>
    <s v="GNR_ROR_WTR"/>
    <x v="0"/>
    <x v="23"/>
    <n v="18.219178082191799"/>
    <n v="6650"/>
    <n v="23940"/>
  </r>
  <r>
    <x v="0"/>
    <x v="0"/>
    <x v="0"/>
    <x v="6"/>
    <x v="10"/>
    <s v="NL_A"/>
    <x v="7"/>
    <x v="5"/>
    <s v="GNR_WT_WIND_OFF"/>
    <x v="0"/>
    <x v="3"/>
    <n v="55.210607732886402"/>
    <n v="20151.871822503501"/>
    <n v="72546.738561012695"/>
  </r>
  <r>
    <x v="0"/>
    <x v="0"/>
    <x v="0"/>
    <x v="6"/>
    <x v="10"/>
    <s v="NL_A"/>
    <x v="7"/>
    <x v="5"/>
    <s v="GNR_WT_WIND_OFF"/>
    <x v="0"/>
    <x v="4"/>
    <n v="65.846739402838594"/>
    <n v="24034.059882036101"/>
    <n v="86522.615575329895"/>
  </r>
  <r>
    <x v="0"/>
    <x v="0"/>
    <x v="0"/>
    <x v="6"/>
    <x v="10"/>
    <s v="NL_A"/>
    <x v="7"/>
    <x v="5"/>
    <s v="GNR_WT_WIND_OFF"/>
    <x v="0"/>
    <x v="5"/>
    <n v="62.482647804815798"/>
    <n v="22806.166448757798"/>
    <n v="82102.1992155279"/>
  </r>
  <r>
    <x v="0"/>
    <x v="0"/>
    <x v="0"/>
    <x v="6"/>
    <x v="10"/>
    <s v="NL_A"/>
    <x v="7"/>
    <x v="5"/>
    <s v="GNR_WT_WIND_OFF"/>
    <x v="0"/>
    <x v="6"/>
    <n v="65.283828522886694"/>
    <n v="23828.597410853701"/>
    <n v="85782.950679073198"/>
  </r>
  <r>
    <x v="0"/>
    <x v="0"/>
    <x v="0"/>
    <x v="6"/>
    <x v="10"/>
    <s v="NL_A"/>
    <x v="7"/>
    <x v="5"/>
    <s v="GNR_WT_WIND_OFF"/>
    <x v="0"/>
    <x v="7"/>
    <n v="66.024935285789894"/>
    <n v="24099.101379313299"/>
    <n v="86756.764965527997"/>
  </r>
  <r>
    <x v="0"/>
    <x v="0"/>
    <x v="0"/>
    <x v="6"/>
    <x v="10"/>
    <s v="NL_A"/>
    <x v="7"/>
    <x v="5"/>
    <s v="GNR_WT_WIND_OFF"/>
    <x v="0"/>
    <x v="8"/>
    <n v="72.629332161629904"/>
    <n v="26509.706238994899"/>
    <n v="95434.942460381702"/>
  </r>
  <r>
    <x v="0"/>
    <x v="0"/>
    <x v="0"/>
    <x v="6"/>
    <x v="10"/>
    <s v="NL_A"/>
    <x v="7"/>
    <x v="5"/>
    <s v="GNR_WT_WIND_OFF"/>
    <x v="0"/>
    <x v="0"/>
    <n v="73.046463281610897"/>
    <n v="26661.959097788"/>
    <n v="95983.052752036703"/>
  </r>
  <r>
    <x v="0"/>
    <x v="0"/>
    <x v="0"/>
    <x v="6"/>
    <x v="10"/>
    <s v="NL_A"/>
    <x v="7"/>
    <x v="5"/>
    <s v="GNR_WT_WIND_OFF"/>
    <x v="0"/>
    <x v="1"/>
    <n v="69.881411624717998"/>
    <n v="25506.715243022099"/>
    <n v="91824.174874879405"/>
  </r>
  <r>
    <x v="0"/>
    <x v="0"/>
    <x v="0"/>
    <x v="6"/>
    <x v="10"/>
    <s v="NL_A"/>
    <x v="7"/>
    <x v="5"/>
    <s v="GNR_WT_WIND_OFF"/>
    <x v="0"/>
    <x v="2"/>
    <n v="67.221960515529702"/>
    <n v="24536.015588168299"/>
    <n v="88329.656117406004"/>
  </r>
  <r>
    <x v="0"/>
    <x v="0"/>
    <x v="0"/>
    <x v="6"/>
    <x v="10"/>
    <s v="NL_A"/>
    <x v="7"/>
    <x v="5"/>
    <s v="GNR_WT_WIND_OFF"/>
    <x v="0"/>
    <x v="9"/>
    <n v="69.778271541859795"/>
    <n v="25469.069112778801"/>
    <n v="91688.648806003694"/>
  </r>
  <r>
    <x v="0"/>
    <x v="0"/>
    <x v="0"/>
    <x v="6"/>
    <x v="10"/>
    <s v="NL_A"/>
    <x v="7"/>
    <x v="5"/>
    <s v="GNR_WT_WIND_OFF"/>
    <x v="0"/>
    <x v="10"/>
    <n v="77.2823203335453"/>
    <n v="28208.046921744"/>
    <n v="101548.968918278"/>
  </r>
  <r>
    <x v="0"/>
    <x v="0"/>
    <x v="0"/>
    <x v="6"/>
    <x v="10"/>
    <s v="NL_A"/>
    <x v="7"/>
    <x v="5"/>
    <s v="GNR_WT_WIND_OFF"/>
    <x v="0"/>
    <x v="11"/>
    <n v="83.1641453175679"/>
    <n v="30354.913040912299"/>
    <n v="109277.686947284"/>
  </r>
  <r>
    <x v="0"/>
    <x v="0"/>
    <x v="0"/>
    <x v="6"/>
    <x v="10"/>
    <s v="NL_A"/>
    <x v="7"/>
    <x v="5"/>
    <s v="GNR_WT_WIND_OFF"/>
    <x v="0"/>
    <x v="12"/>
    <n v="96.015989647794797"/>
    <n v="35045.836221445097"/>
    <n v="126165.010397202"/>
  </r>
  <r>
    <x v="0"/>
    <x v="0"/>
    <x v="0"/>
    <x v="6"/>
    <x v="10"/>
    <s v="NL_A"/>
    <x v="7"/>
    <x v="5"/>
    <s v="GNR_WT_WIND_OFF"/>
    <x v="0"/>
    <x v="13"/>
    <n v="107.03100511983401"/>
    <n v="39066.316868739297"/>
    <n v="140638.74072746199"/>
  </r>
  <r>
    <x v="0"/>
    <x v="0"/>
    <x v="0"/>
    <x v="6"/>
    <x v="10"/>
    <s v="NL_A"/>
    <x v="7"/>
    <x v="5"/>
    <s v="GNR_WT_WIND_OFF"/>
    <x v="0"/>
    <x v="14"/>
    <n v="125.81943584469499"/>
    <n v="45924.094083313801"/>
    <n v="165326.73869992999"/>
  </r>
  <r>
    <x v="0"/>
    <x v="0"/>
    <x v="0"/>
    <x v="6"/>
    <x v="10"/>
    <s v="NL_A"/>
    <x v="7"/>
    <x v="5"/>
    <s v="GNR_WT_WIND_OFF"/>
    <x v="0"/>
    <x v="15"/>
    <n v="124.939008092262"/>
    <n v="45602.737953675503"/>
    <n v="164169.856633232"/>
  </r>
  <r>
    <x v="0"/>
    <x v="0"/>
    <x v="0"/>
    <x v="6"/>
    <x v="10"/>
    <s v="NL_A"/>
    <x v="7"/>
    <x v="5"/>
    <s v="GNR_WT_WIND_OFF"/>
    <x v="0"/>
    <x v="16"/>
    <n v="114.15703361553901"/>
    <n v="41667.317269671701"/>
    <n v="150002.34217081801"/>
  </r>
  <r>
    <x v="0"/>
    <x v="0"/>
    <x v="0"/>
    <x v="6"/>
    <x v="10"/>
    <s v="NL_A"/>
    <x v="7"/>
    <x v="5"/>
    <s v="GNR_WT_WIND_OFF"/>
    <x v="0"/>
    <x v="17"/>
    <n v="104.019552043614"/>
    <n v="37967.136495919302"/>
    <n v="136681.69138530901"/>
  </r>
  <r>
    <x v="0"/>
    <x v="0"/>
    <x v="0"/>
    <x v="6"/>
    <x v="10"/>
    <s v="NL_A"/>
    <x v="7"/>
    <x v="5"/>
    <s v="GNR_WT_WIND_OFF"/>
    <x v="0"/>
    <x v="18"/>
    <n v="101.145821755729"/>
    <n v="36918.224940841101"/>
    <n v="132905.60978702799"/>
  </r>
  <r>
    <x v="0"/>
    <x v="0"/>
    <x v="0"/>
    <x v="6"/>
    <x v="10"/>
    <s v="NL_A"/>
    <x v="7"/>
    <x v="5"/>
    <s v="GNR_WT_WIND_OFF"/>
    <x v="0"/>
    <x v="19"/>
    <n v="91.281462727270196"/>
    <n v="33317.733895453603"/>
    <n v="119943.842023633"/>
  </r>
  <r>
    <x v="0"/>
    <x v="0"/>
    <x v="0"/>
    <x v="6"/>
    <x v="10"/>
    <s v="NL_A"/>
    <x v="7"/>
    <x v="5"/>
    <s v="GNR_WT_WIND_OFF"/>
    <x v="0"/>
    <x v="20"/>
    <n v="68.345742304648397"/>
    <n v="24946.1959411967"/>
    <n v="89806.305388307999"/>
  </r>
  <r>
    <x v="0"/>
    <x v="0"/>
    <x v="0"/>
    <x v="6"/>
    <x v="10"/>
    <s v="NL_A"/>
    <x v="7"/>
    <x v="5"/>
    <s v="GNR_WT_WIND_OFF"/>
    <x v="0"/>
    <x v="21"/>
    <n v="67.417655454694994"/>
    <n v="24607.444240963701"/>
    <n v="88586.799267469207"/>
  </r>
  <r>
    <x v="0"/>
    <x v="0"/>
    <x v="0"/>
    <x v="6"/>
    <x v="10"/>
    <s v="NL_A"/>
    <x v="7"/>
    <x v="5"/>
    <s v="GNR_WT_WIND_OFF"/>
    <x v="0"/>
    <x v="22"/>
    <n v="55.770778636800898"/>
    <n v="20356.334202432299"/>
    <n v="73282.803128756394"/>
  </r>
  <r>
    <x v="0"/>
    <x v="0"/>
    <x v="0"/>
    <x v="6"/>
    <x v="10"/>
    <s v="NL_A"/>
    <x v="7"/>
    <x v="5"/>
    <s v="GNR_WT_WIND_OFF"/>
    <x v="0"/>
    <x v="23"/>
    <n v="51.601111505412099"/>
    <n v="18834.405699475399"/>
    <n v="67803.860518111498"/>
  </r>
  <r>
    <x v="0"/>
    <x v="0"/>
    <x v="0"/>
    <x v="6"/>
    <x v="10"/>
    <s v="NL_A"/>
    <x v="7"/>
    <x v="5"/>
    <s v="GNR_WT_WIND_ONS"/>
    <x v="0"/>
    <x v="3"/>
    <n v="551.21197841821004"/>
    <n v="201192.37212264701"/>
    <n v="724292.53964152804"/>
  </r>
  <r>
    <x v="0"/>
    <x v="0"/>
    <x v="0"/>
    <x v="6"/>
    <x v="10"/>
    <s v="NL_A"/>
    <x v="7"/>
    <x v="5"/>
    <s v="GNR_WT_WIND_ONS"/>
    <x v="0"/>
    <x v="4"/>
    <n v="657.40105007044497"/>
    <n v="239951.383275712"/>
    <n v="863824.97979256499"/>
  </r>
  <r>
    <x v="0"/>
    <x v="0"/>
    <x v="0"/>
    <x v="6"/>
    <x v="10"/>
    <s v="NL_A"/>
    <x v="7"/>
    <x v="5"/>
    <s v="GNR_WT_WIND_ONS"/>
    <x v="0"/>
    <x v="5"/>
    <n v="623.81461330637899"/>
    <n v="227692.33385682901"/>
    <n v="819692.40188458306"/>
  </r>
  <r>
    <x v="0"/>
    <x v="0"/>
    <x v="0"/>
    <x v="6"/>
    <x v="10"/>
    <s v="NL_A"/>
    <x v="7"/>
    <x v="5"/>
    <s v="GNR_WT_WIND_ONS"/>
    <x v="0"/>
    <x v="6"/>
    <n v="651.78105723659405"/>
    <n v="237900.08589135701"/>
    <n v="856440.30920888402"/>
  </r>
  <r>
    <x v="0"/>
    <x v="0"/>
    <x v="0"/>
    <x v="6"/>
    <x v="10"/>
    <s v="NL_A"/>
    <x v="7"/>
    <x v="5"/>
    <s v="GNR_WT_WIND_ONS"/>
    <x v="0"/>
    <x v="7"/>
    <n v="659.18012313667202"/>
    <n v="240600.74494488499"/>
    <n v="866162.68180158699"/>
  </r>
  <r>
    <x v="0"/>
    <x v="0"/>
    <x v="0"/>
    <x v="6"/>
    <x v="10"/>
    <s v="NL_A"/>
    <x v="7"/>
    <x v="5"/>
    <s v="GNR_WT_WIND_ONS"/>
    <x v="0"/>
    <x v="8"/>
    <n v="725.11713809951095"/>
    <n v="264667.75540632202"/>
    <n v="952803.919462758"/>
  </r>
  <r>
    <x v="0"/>
    <x v="0"/>
    <x v="0"/>
    <x v="6"/>
    <x v="10"/>
    <s v="NL_A"/>
    <x v="7"/>
    <x v="5"/>
    <s v="GNR_WT_WIND_ONS"/>
    <x v="0"/>
    <x v="0"/>
    <n v="729.28169413948297"/>
    <n v="266187.81836091098"/>
    <n v="958276.14609928103"/>
  </r>
  <r>
    <x v="0"/>
    <x v="0"/>
    <x v="0"/>
    <x v="6"/>
    <x v="10"/>
    <s v="NL_A"/>
    <x v="7"/>
    <x v="5"/>
    <s v="GNR_WT_WIND_ONS"/>
    <x v="0"/>
    <x v="1"/>
    <n v="697.68243346783197"/>
    <n v="254654.08821575899"/>
    <n v="916754.71757673204"/>
  </r>
  <r>
    <x v="0"/>
    <x v="0"/>
    <x v="0"/>
    <x v="6"/>
    <x v="10"/>
    <s v="NL_A"/>
    <x v="7"/>
    <x v="5"/>
    <s v="GNR_WT_WIND_ONS"/>
    <x v="0"/>
    <x v="2"/>
    <n v="671.13099041010605"/>
    <n v="244962.81149968901"/>
    <n v="881866.12139887898"/>
  </r>
  <r>
    <x v="0"/>
    <x v="0"/>
    <x v="0"/>
    <x v="6"/>
    <x v="10"/>
    <s v="NL_A"/>
    <x v="7"/>
    <x v="5"/>
    <s v="GNR_WT_WIND_ONS"/>
    <x v="0"/>
    <x v="9"/>
    <n v="696.65270292399202"/>
    <n v="254278.236567257"/>
    <n v="915401.65164212603"/>
  </r>
  <r>
    <x v="0"/>
    <x v="0"/>
    <x v="0"/>
    <x v="6"/>
    <x v="10"/>
    <s v="NL_A"/>
    <x v="7"/>
    <x v="5"/>
    <s v="GNR_WT_WIND_ONS"/>
    <x v="0"/>
    <x v="10"/>
    <n v="771.57166778349199"/>
    <n v="281623.65874097502"/>
    <n v="1013845.1714675101"/>
  </r>
  <r>
    <x v="0"/>
    <x v="0"/>
    <x v="0"/>
    <x v="6"/>
    <x v="10"/>
    <s v="NL_A"/>
    <x v="7"/>
    <x v="5"/>
    <s v="GNR_WT_WIND_ONS"/>
    <x v="0"/>
    <x v="11"/>
    <n v="830.29466539725695"/>
    <n v="303057.55286999902"/>
    <n v="1091007.1903319999"/>
  </r>
  <r>
    <x v="0"/>
    <x v="0"/>
    <x v="0"/>
    <x v="6"/>
    <x v="10"/>
    <s v="NL_A"/>
    <x v="7"/>
    <x v="5"/>
    <s v="GNR_WT_WIND_ONS"/>
    <x v="0"/>
    <x v="12"/>
    <n v="958.60498166583704"/>
    <n v="349890.81830803101"/>
    <n v="1259606.9459089099"/>
  </r>
  <r>
    <x v="0"/>
    <x v="0"/>
    <x v="0"/>
    <x v="6"/>
    <x v="10"/>
    <s v="NL_A"/>
    <x v="7"/>
    <x v="5"/>
    <s v="GNR_WT_WIND_ONS"/>
    <x v="0"/>
    <x v="13"/>
    <n v="1068.5767555688701"/>
    <n v="390030.51578263601"/>
    <n v="1404109.85681749"/>
  </r>
  <r>
    <x v="0"/>
    <x v="0"/>
    <x v="0"/>
    <x v="6"/>
    <x v="10"/>
    <s v="NL_A"/>
    <x v="7"/>
    <x v="5"/>
    <s v="GNR_WT_WIND_ONS"/>
    <x v="0"/>
    <x v="14"/>
    <n v="1256.1567967328699"/>
    <n v="458497.23080749699"/>
    <n v="1650590.0309069899"/>
  </r>
  <r>
    <x v="0"/>
    <x v="0"/>
    <x v="0"/>
    <x v="6"/>
    <x v="10"/>
    <s v="NL_A"/>
    <x v="7"/>
    <x v="5"/>
    <s v="GNR_WT_WIND_ONS"/>
    <x v="0"/>
    <x v="15"/>
    <n v="1247.3667771478399"/>
    <n v="455288.87365896202"/>
    <n v="1639039.94517226"/>
  </r>
  <r>
    <x v="0"/>
    <x v="0"/>
    <x v="0"/>
    <x v="6"/>
    <x v="10"/>
    <s v="NL_A"/>
    <x v="7"/>
    <x v="5"/>
    <s v="GNR_WT_WIND_ONS"/>
    <x v="0"/>
    <x v="16"/>
    <n v="1139.72163925473"/>
    <n v="415998.39832797699"/>
    <n v="1497594.2339807199"/>
  </r>
  <r>
    <x v="0"/>
    <x v="0"/>
    <x v="0"/>
    <x v="6"/>
    <x v="10"/>
    <s v="NL_A"/>
    <x v="7"/>
    <x v="5"/>
    <s v="GNR_WT_WIND_ONS"/>
    <x v="0"/>
    <x v="17"/>
    <n v="1038.5109932775399"/>
    <n v="379056.51254630298"/>
    <n v="1364603.44516669"/>
  </r>
  <r>
    <x v="0"/>
    <x v="0"/>
    <x v="0"/>
    <x v="6"/>
    <x v="10"/>
    <s v="NL_A"/>
    <x v="7"/>
    <x v="5"/>
    <s v="GNR_WT_WIND_ONS"/>
    <x v="0"/>
    <x v="18"/>
    <n v="1009.820228541"/>
    <n v="368584.38341746602"/>
    <n v="1326903.7803028801"/>
  </r>
  <r>
    <x v="0"/>
    <x v="0"/>
    <x v="0"/>
    <x v="6"/>
    <x v="10"/>
    <s v="NL_A"/>
    <x v="7"/>
    <x v="5"/>
    <s v="GNR_WT_WIND_ONS"/>
    <x v="0"/>
    <x v="19"/>
    <n v="911.33638496132903"/>
    <n v="332637.780510885"/>
    <n v="1197496.0098391899"/>
  </r>
  <r>
    <x v="0"/>
    <x v="0"/>
    <x v="0"/>
    <x v="6"/>
    <x v="10"/>
    <s v="NL_A"/>
    <x v="7"/>
    <x v="5"/>
    <s v="GNR_WT_WIND_ONS"/>
    <x v="0"/>
    <x v="20"/>
    <n v="682.35060940592302"/>
    <n v="249057.97243316201"/>
    <n v="896608.70075938199"/>
  </r>
  <r>
    <x v="0"/>
    <x v="0"/>
    <x v="0"/>
    <x v="6"/>
    <x v="10"/>
    <s v="NL_A"/>
    <x v="7"/>
    <x v="5"/>
    <s v="GNR_WT_WIND_ONS"/>
    <x v="0"/>
    <x v="21"/>
    <n v="673.08477065294699"/>
    <n v="245675.94128832599"/>
    <n v="884433.38863797195"/>
  </r>
  <r>
    <x v="0"/>
    <x v="0"/>
    <x v="0"/>
    <x v="6"/>
    <x v="10"/>
    <s v="NL_A"/>
    <x v="7"/>
    <x v="5"/>
    <s v="GNR_WT_WIND_ONS"/>
    <x v="0"/>
    <x v="22"/>
    <n v="556.80461586376896"/>
    <n v="203233.68479027599"/>
    <n v="731641.26524499303"/>
  </r>
  <r>
    <x v="0"/>
    <x v="0"/>
    <x v="0"/>
    <x v="6"/>
    <x v="10"/>
    <s v="NL_A"/>
    <x v="7"/>
    <x v="5"/>
    <s v="GNR_WT_WIND_ONS"/>
    <x v="0"/>
    <x v="23"/>
    <n v="515.17546952366899"/>
    <n v="188039.04637613901"/>
    <n v="676940.56695410097"/>
  </r>
  <r>
    <x v="0"/>
    <x v="0"/>
    <x v="0"/>
    <x v="6"/>
    <x v="10"/>
    <s v="NL_A"/>
    <x v="11"/>
    <x v="2"/>
    <s v="GNR_ST_WOOD_CND_E-50"/>
    <x v="0"/>
    <x v="3"/>
    <n v="400"/>
    <n v="146000"/>
    <n v="525600"/>
  </r>
  <r>
    <x v="0"/>
    <x v="0"/>
    <x v="0"/>
    <x v="6"/>
    <x v="10"/>
    <s v="NL_A"/>
    <x v="11"/>
    <x v="2"/>
    <s v="GNR_ST_WOOD_CND_E-50"/>
    <x v="0"/>
    <x v="4"/>
    <n v="400"/>
    <n v="146000"/>
    <n v="525600"/>
  </r>
  <r>
    <x v="0"/>
    <x v="0"/>
    <x v="0"/>
    <x v="6"/>
    <x v="10"/>
    <s v="NL_A"/>
    <x v="11"/>
    <x v="2"/>
    <s v="GNR_ST_WOOD_CND_E-50"/>
    <x v="0"/>
    <x v="5"/>
    <n v="400"/>
    <n v="146000"/>
    <n v="525600"/>
  </r>
  <r>
    <x v="0"/>
    <x v="0"/>
    <x v="0"/>
    <x v="6"/>
    <x v="10"/>
    <s v="NL_A"/>
    <x v="11"/>
    <x v="2"/>
    <s v="GNR_ST_WOOD_CND_E-50"/>
    <x v="0"/>
    <x v="6"/>
    <n v="400"/>
    <n v="146000"/>
    <n v="525600"/>
  </r>
  <r>
    <x v="0"/>
    <x v="0"/>
    <x v="0"/>
    <x v="6"/>
    <x v="10"/>
    <s v="NL_A"/>
    <x v="11"/>
    <x v="2"/>
    <s v="GNR_ST_WOOD_CND_E-50"/>
    <x v="0"/>
    <x v="7"/>
    <n v="400"/>
    <n v="146000"/>
    <n v="525600"/>
  </r>
  <r>
    <x v="0"/>
    <x v="0"/>
    <x v="0"/>
    <x v="6"/>
    <x v="10"/>
    <s v="NL_A"/>
    <x v="11"/>
    <x v="2"/>
    <s v="GNR_ST_WOOD_CND_E-50"/>
    <x v="0"/>
    <x v="8"/>
    <n v="400"/>
    <n v="146000"/>
    <n v="525600"/>
  </r>
  <r>
    <x v="0"/>
    <x v="0"/>
    <x v="0"/>
    <x v="6"/>
    <x v="10"/>
    <s v="NL_A"/>
    <x v="11"/>
    <x v="2"/>
    <s v="GNR_ST_WOOD_CND_E-50"/>
    <x v="0"/>
    <x v="0"/>
    <n v="400"/>
    <n v="146000"/>
    <n v="525600"/>
  </r>
  <r>
    <x v="0"/>
    <x v="0"/>
    <x v="0"/>
    <x v="6"/>
    <x v="10"/>
    <s v="NL_A"/>
    <x v="11"/>
    <x v="2"/>
    <s v="GNR_ST_WOOD_CND_E-50"/>
    <x v="0"/>
    <x v="1"/>
    <n v="400"/>
    <n v="146000"/>
    <n v="525600"/>
  </r>
  <r>
    <x v="0"/>
    <x v="0"/>
    <x v="0"/>
    <x v="6"/>
    <x v="10"/>
    <s v="NL_A"/>
    <x v="11"/>
    <x v="2"/>
    <s v="GNR_ST_WOOD_CND_E-50"/>
    <x v="0"/>
    <x v="2"/>
    <n v="400"/>
    <n v="146000"/>
    <n v="525600"/>
  </r>
  <r>
    <x v="0"/>
    <x v="0"/>
    <x v="0"/>
    <x v="6"/>
    <x v="10"/>
    <s v="NL_A"/>
    <x v="11"/>
    <x v="2"/>
    <s v="GNR_ST_WOOD_CND_E-50"/>
    <x v="0"/>
    <x v="9"/>
    <n v="400"/>
    <n v="146000"/>
    <n v="525600"/>
  </r>
  <r>
    <x v="0"/>
    <x v="0"/>
    <x v="0"/>
    <x v="6"/>
    <x v="10"/>
    <s v="NL_A"/>
    <x v="11"/>
    <x v="2"/>
    <s v="GNR_ST_WOOD_CND_E-50"/>
    <x v="0"/>
    <x v="10"/>
    <n v="400"/>
    <n v="146000"/>
    <n v="525600"/>
  </r>
  <r>
    <x v="0"/>
    <x v="0"/>
    <x v="0"/>
    <x v="6"/>
    <x v="10"/>
    <s v="NL_A"/>
    <x v="11"/>
    <x v="2"/>
    <s v="GNR_ST_WOOD_CND_E-50"/>
    <x v="0"/>
    <x v="11"/>
    <n v="400"/>
    <n v="146000"/>
    <n v="525600"/>
  </r>
  <r>
    <x v="0"/>
    <x v="0"/>
    <x v="0"/>
    <x v="6"/>
    <x v="10"/>
    <s v="NL_A"/>
    <x v="11"/>
    <x v="2"/>
    <s v="GNR_ST_WOOD_CND_E-50"/>
    <x v="0"/>
    <x v="12"/>
    <n v="400"/>
    <n v="146000"/>
    <n v="525600"/>
  </r>
  <r>
    <x v="0"/>
    <x v="0"/>
    <x v="0"/>
    <x v="6"/>
    <x v="10"/>
    <s v="NL_A"/>
    <x v="11"/>
    <x v="2"/>
    <s v="GNR_ST_WOOD_CND_E-50"/>
    <x v="0"/>
    <x v="13"/>
    <n v="400"/>
    <n v="146000"/>
    <n v="525600"/>
  </r>
  <r>
    <x v="0"/>
    <x v="0"/>
    <x v="0"/>
    <x v="6"/>
    <x v="10"/>
    <s v="NL_A"/>
    <x v="11"/>
    <x v="2"/>
    <s v="GNR_ST_WOOD_CND_E-50"/>
    <x v="0"/>
    <x v="14"/>
    <n v="400"/>
    <n v="146000"/>
    <n v="525600"/>
  </r>
  <r>
    <x v="0"/>
    <x v="0"/>
    <x v="0"/>
    <x v="6"/>
    <x v="10"/>
    <s v="NL_A"/>
    <x v="11"/>
    <x v="2"/>
    <s v="GNR_ST_WOOD_CND_E-50"/>
    <x v="0"/>
    <x v="15"/>
    <n v="400"/>
    <n v="146000"/>
    <n v="525600"/>
  </r>
  <r>
    <x v="0"/>
    <x v="0"/>
    <x v="0"/>
    <x v="6"/>
    <x v="10"/>
    <s v="NL_A"/>
    <x v="11"/>
    <x v="2"/>
    <s v="GNR_ST_WOOD_CND_E-50"/>
    <x v="0"/>
    <x v="16"/>
    <n v="400"/>
    <n v="146000"/>
    <n v="525600"/>
  </r>
  <r>
    <x v="0"/>
    <x v="0"/>
    <x v="0"/>
    <x v="6"/>
    <x v="10"/>
    <s v="NL_A"/>
    <x v="11"/>
    <x v="2"/>
    <s v="GNR_ST_WOOD_CND_E-50"/>
    <x v="0"/>
    <x v="17"/>
    <n v="400"/>
    <n v="146000"/>
    <n v="525600"/>
  </r>
  <r>
    <x v="0"/>
    <x v="0"/>
    <x v="0"/>
    <x v="6"/>
    <x v="10"/>
    <s v="NL_A"/>
    <x v="11"/>
    <x v="2"/>
    <s v="GNR_ST_WOOD_CND_E-50"/>
    <x v="0"/>
    <x v="18"/>
    <n v="400"/>
    <n v="146000"/>
    <n v="525600"/>
  </r>
  <r>
    <x v="0"/>
    <x v="0"/>
    <x v="0"/>
    <x v="6"/>
    <x v="10"/>
    <s v="NL_A"/>
    <x v="11"/>
    <x v="2"/>
    <s v="GNR_ST_WOOD_CND_E-50"/>
    <x v="0"/>
    <x v="19"/>
    <n v="400"/>
    <n v="146000"/>
    <n v="525600"/>
  </r>
  <r>
    <x v="0"/>
    <x v="0"/>
    <x v="0"/>
    <x v="6"/>
    <x v="10"/>
    <s v="NL_A"/>
    <x v="11"/>
    <x v="2"/>
    <s v="GNR_ST_WOOD_CND_E-50"/>
    <x v="0"/>
    <x v="20"/>
    <n v="400"/>
    <n v="146000"/>
    <n v="525600"/>
  </r>
  <r>
    <x v="0"/>
    <x v="0"/>
    <x v="0"/>
    <x v="6"/>
    <x v="10"/>
    <s v="NL_A"/>
    <x v="11"/>
    <x v="2"/>
    <s v="GNR_ST_WOOD_CND_E-50"/>
    <x v="0"/>
    <x v="21"/>
    <n v="400"/>
    <n v="146000"/>
    <n v="525600"/>
  </r>
  <r>
    <x v="0"/>
    <x v="0"/>
    <x v="0"/>
    <x v="6"/>
    <x v="10"/>
    <s v="NL_A"/>
    <x v="11"/>
    <x v="2"/>
    <s v="GNR_ST_WOOD_CND_E-50"/>
    <x v="0"/>
    <x v="22"/>
    <n v="400"/>
    <n v="146000"/>
    <n v="525600"/>
  </r>
  <r>
    <x v="0"/>
    <x v="0"/>
    <x v="0"/>
    <x v="6"/>
    <x v="10"/>
    <s v="NL_A"/>
    <x v="11"/>
    <x v="2"/>
    <s v="GNR_ST_WOOD_CND_E-50"/>
    <x v="0"/>
    <x v="23"/>
    <n v="400"/>
    <n v="146000"/>
    <n v="525600"/>
  </r>
  <r>
    <x v="0"/>
    <x v="0"/>
    <x v="0"/>
    <x v="7"/>
    <x v="11"/>
    <s v="NO1_A1"/>
    <x v="1"/>
    <x v="1"/>
    <s v="GBPR_MUNIWASTE"/>
    <x v="0"/>
    <x v="3"/>
    <n v="8.1999999999999993"/>
    <n v="2993"/>
    <n v="10774.8"/>
  </r>
  <r>
    <x v="0"/>
    <x v="0"/>
    <x v="0"/>
    <x v="7"/>
    <x v="11"/>
    <s v="NO1_A1"/>
    <x v="1"/>
    <x v="1"/>
    <s v="GBPR_MUNIWASTE"/>
    <x v="0"/>
    <x v="4"/>
    <n v="8.1999999999999993"/>
    <n v="2993"/>
    <n v="10774.8"/>
  </r>
  <r>
    <x v="0"/>
    <x v="0"/>
    <x v="0"/>
    <x v="7"/>
    <x v="11"/>
    <s v="NO1_A1"/>
    <x v="1"/>
    <x v="1"/>
    <s v="GBPR_MUNIWASTE"/>
    <x v="0"/>
    <x v="5"/>
    <n v="8.1999999999999993"/>
    <n v="2993"/>
    <n v="10774.8"/>
  </r>
  <r>
    <x v="0"/>
    <x v="0"/>
    <x v="0"/>
    <x v="7"/>
    <x v="11"/>
    <s v="NO1_A1"/>
    <x v="1"/>
    <x v="1"/>
    <s v="GBPR_MUNIWASTE"/>
    <x v="0"/>
    <x v="6"/>
    <n v="8.1999999999999993"/>
    <n v="2993"/>
    <n v="10774.8"/>
  </r>
  <r>
    <x v="0"/>
    <x v="0"/>
    <x v="0"/>
    <x v="7"/>
    <x v="11"/>
    <s v="NO1_A1"/>
    <x v="1"/>
    <x v="1"/>
    <s v="GBPR_MUNIWASTE"/>
    <x v="0"/>
    <x v="7"/>
    <n v="8.1999999999999993"/>
    <n v="2993"/>
    <n v="10774.8"/>
  </r>
  <r>
    <x v="0"/>
    <x v="0"/>
    <x v="0"/>
    <x v="7"/>
    <x v="11"/>
    <s v="NO1_A1"/>
    <x v="1"/>
    <x v="1"/>
    <s v="GBPR_MUNIWASTE"/>
    <x v="0"/>
    <x v="8"/>
    <n v="8.1999999999999993"/>
    <n v="2993"/>
    <n v="10774.8"/>
  </r>
  <r>
    <x v="0"/>
    <x v="0"/>
    <x v="0"/>
    <x v="7"/>
    <x v="11"/>
    <s v="NO1_A1"/>
    <x v="1"/>
    <x v="1"/>
    <s v="GBPR_MUNIWASTE"/>
    <x v="0"/>
    <x v="0"/>
    <n v="8.1999999999999993"/>
    <n v="2993"/>
    <n v="10774.8"/>
  </r>
  <r>
    <x v="0"/>
    <x v="0"/>
    <x v="0"/>
    <x v="7"/>
    <x v="11"/>
    <s v="NO1_A1"/>
    <x v="1"/>
    <x v="1"/>
    <s v="GBPR_MUNIWASTE"/>
    <x v="0"/>
    <x v="1"/>
    <n v="8.1999999999999993"/>
    <n v="2993"/>
    <n v="10774.8"/>
  </r>
  <r>
    <x v="0"/>
    <x v="0"/>
    <x v="0"/>
    <x v="7"/>
    <x v="11"/>
    <s v="NO1_A1"/>
    <x v="1"/>
    <x v="1"/>
    <s v="GBPR_MUNIWASTE"/>
    <x v="0"/>
    <x v="2"/>
    <n v="8.1999999999999993"/>
    <n v="2993"/>
    <n v="10774.8"/>
  </r>
  <r>
    <x v="0"/>
    <x v="0"/>
    <x v="0"/>
    <x v="7"/>
    <x v="11"/>
    <s v="NO1_A1"/>
    <x v="1"/>
    <x v="1"/>
    <s v="GBPR_MUNIWASTE"/>
    <x v="0"/>
    <x v="9"/>
    <n v="8.1999999999999993"/>
    <n v="2993"/>
    <n v="10774.8"/>
  </r>
  <r>
    <x v="0"/>
    <x v="0"/>
    <x v="0"/>
    <x v="7"/>
    <x v="11"/>
    <s v="NO1_A1"/>
    <x v="1"/>
    <x v="1"/>
    <s v="GBPR_MUNIWASTE"/>
    <x v="0"/>
    <x v="10"/>
    <n v="8.1999999999999993"/>
    <n v="2993"/>
    <n v="10774.8"/>
  </r>
  <r>
    <x v="0"/>
    <x v="0"/>
    <x v="0"/>
    <x v="7"/>
    <x v="11"/>
    <s v="NO1_A1"/>
    <x v="1"/>
    <x v="1"/>
    <s v="GBPR_MUNIWASTE"/>
    <x v="0"/>
    <x v="11"/>
    <n v="8.1999999999999993"/>
    <n v="2993"/>
    <n v="10774.8"/>
  </r>
  <r>
    <x v="0"/>
    <x v="0"/>
    <x v="0"/>
    <x v="7"/>
    <x v="11"/>
    <s v="NO1_A1"/>
    <x v="1"/>
    <x v="1"/>
    <s v="GBPR_MUNIWASTE"/>
    <x v="0"/>
    <x v="12"/>
    <n v="8.1999999999999993"/>
    <n v="2993"/>
    <n v="10774.8"/>
  </r>
  <r>
    <x v="0"/>
    <x v="0"/>
    <x v="0"/>
    <x v="7"/>
    <x v="11"/>
    <s v="NO1_A1"/>
    <x v="1"/>
    <x v="1"/>
    <s v="GBPR_MUNIWASTE"/>
    <x v="0"/>
    <x v="13"/>
    <n v="8.1999999999999993"/>
    <n v="2993"/>
    <n v="10774.8"/>
  </r>
  <r>
    <x v="0"/>
    <x v="0"/>
    <x v="0"/>
    <x v="7"/>
    <x v="11"/>
    <s v="NO1_A1"/>
    <x v="1"/>
    <x v="1"/>
    <s v="GBPR_MUNIWASTE"/>
    <x v="0"/>
    <x v="14"/>
    <n v="8.1999999999999993"/>
    <n v="2993"/>
    <n v="10774.8"/>
  </r>
  <r>
    <x v="0"/>
    <x v="0"/>
    <x v="0"/>
    <x v="7"/>
    <x v="11"/>
    <s v="NO1_A1"/>
    <x v="1"/>
    <x v="1"/>
    <s v="GBPR_MUNIWASTE"/>
    <x v="0"/>
    <x v="15"/>
    <n v="8.1999999999999993"/>
    <n v="2993"/>
    <n v="10774.8"/>
  </r>
  <r>
    <x v="0"/>
    <x v="0"/>
    <x v="0"/>
    <x v="7"/>
    <x v="11"/>
    <s v="NO1_A1"/>
    <x v="1"/>
    <x v="1"/>
    <s v="GBPR_MUNIWASTE"/>
    <x v="0"/>
    <x v="16"/>
    <n v="8.1999999999999993"/>
    <n v="2993"/>
    <n v="10774.8"/>
  </r>
  <r>
    <x v="0"/>
    <x v="0"/>
    <x v="0"/>
    <x v="7"/>
    <x v="11"/>
    <s v="NO1_A1"/>
    <x v="1"/>
    <x v="1"/>
    <s v="GBPR_MUNIWASTE"/>
    <x v="0"/>
    <x v="17"/>
    <n v="8.1999999999999993"/>
    <n v="2993"/>
    <n v="10774.8"/>
  </r>
  <r>
    <x v="0"/>
    <x v="0"/>
    <x v="0"/>
    <x v="7"/>
    <x v="11"/>
    <s v="NO1_A1"/>
    <x v="1"/>
    <x v="1"/>
    <s v="GBPR_MUNIWASTE"/>
    <x v="0"/>
    <x v="18"/>
    <n v="8.1999999999999993"/>
    <n v="2993"/>
    <n v="10774.8"/>
  </r>
  <r>
    <x v="0"/>
    <x v="0"/>
    <x v="0"/>
    <x v="7"/>
    <x v="11"/>
    <s v="NO1_A1"/>
    <x v="1"/>
    <x v="1"/>
    <s v="GBPR_MUNIWASTE"/>
    <x v="0"/>
    <x v="19"/>
    <n v="8.1999999999999993"/>
    <n v="2993"/>
    <n v="10774.8"/>
  </r>
  <r>
    <x v="0"/>
    <x v="0"/>
    <x v="0"/>
    <x v="7"/>
    <x v="11"/>
    <s v="NO1_A1"/>
    <x v="1"/>
    <x v="1"/>
    <s v="GBPR_MUNIWASTE"/>
    <x v="0"/>
    <x v="20"/>
    <n v="8.1999999999999993"/>
    <n v="2993"/>
    <n v="10774.8"/>
  </r>
  <r>
    <x v="0"/>
    <x v="0"/>
    <x v="0"/>
    <x v="7"/>
    <x v="11"/>
    <s v="NO1_A1"/>
    <x v="1"/>
    <x v="1"/>
    <s v="GBPR_MUNIWASTE"/>
    <x v="0"/>
    <x v="21"/>
    <n v="8.1999999999999993"/>
    <n v="2993"/>
    <n v="10774.8"/>
  </r>
  <r>
    <x v="0"/>
    <x v="0"/>
    <x v="0"/>
    <x v="7"/>
    <x v="11"/>
    <s v="NO1_A1"/>
    <x v="1"/>
    <x v="1"/>
    <s v="GBPR_MUNIWASTE"/>
    <x v="0"/>
    <x v="22"/>
    <n v="8.1999999999999993"/>
    <n v="2993"/>
    <n v="10774.8"/>
  </r>
  <r>
    <x v="0"/>
    <x v="0"/>
    <x v="0"/>
    <x v="7"/>
    <x v="11"/>
    <s v="NO1_A1"/>
    <x v="1"/>
    <x v="1"/>
    <s v="GBPR_MUNIWASTE"/>
    <x v="0"/>
    <x v="23"/>
    <n v="8.1999999999999993"/>
    <n v="2993"/>
    <n v="10774.8"/>
  </r>
  <r>
    <x v="0"/>
    <x v="0"/>
    <x v="0"/>
    <x v="7"/>
    <x v="11"/>
    <s v="NO1_A1"/>
    <x v="6"/>
    <x v="7"/>
    <s v="GNR_RES_WTR_NOPMP_MC-01"/>
    <x v="0"/>
    <x v="3"/>
    <n v="160"/>
    <n v="58400"/>
    <n v="210240"/>
  </r>
  <r>
    <x v="0"/>
    <x v="0"/>
    <x v="0"/>
    <x v="7"/>
    <x v="11"/>
    <s v="NO1_A1"/>
    <x v="6"/>
    <x v="7"/>
    <s v="GNR_RES_WTR_NOPMP_MC-01"/>
    <x v="0"/>
    <x v="4"/>
    <n v="160"/>
    <n v="58400"/>
    <n v="210240"/>
  </r>
  <r>
    <x v="0"/>
    <x v="0"/>
    <x v="0"/>
    <x v="7"/>
    <x v="11"/>
    <s v="NO1_A1"/>
    <x v="6"/>
    <x v="7"/>
    <s v="GNR_RES_WTR_NOPMP_MC-01"/>
    <x v="0"/>
    <x v="5"/>
    <n v="160"/>
    <n v="58400"/>
    <n v="210240"/>
  </r>
  <r>
    <x v="0"/>
    <x v="0"/>
    <x v="0"/>
    <x v="7"/>
    <x v="11"/>
    <s v="NO1_A1"/>
    <x v="6"/>
    <x v="7"/>
    <s v="GNR_RES_WTR_NOPMP_MC-01"/>
    <x v="0"/>
    <x v="6"/>
    <n v="160"/>
    <n v="58400"/>
    <n v="210240"/>
  </r>
  <r>
    <x v="0"/>
    <x v="0"/>
    <x v="0"/>
    <x v="7"/>
    <x v="11"/>
    <s v="NO1_A1"/>
    <x v="6"/>
    <x v="7"/>
    <s v="GNR_RES_WTR_NOPMP_MC-01"/>
    <x v="0"/>
    <x v="7"/>
    <n v="160"/>
    <n v="58400"/>
    <n v="210240"/>
  </r>
  <r>
    <x v="0"/>
    <x v="0"/>
    <x v="0"/>
    <x v="7"/>
    <x v="11"/>
    <s v="NO1_A1"/>
    <x v="6"/>
    <x v="7"/>
    <s v="GNR_RES_WTR_NOPMP_MC-01"/>
    <x v="0"/>
    <x v="8"/>
    <n v="160"/>
    <n v="58400"/>
    <n v="210240"/>
  </r>
  <r>
    <x v="0"/>
    <x v="0"/>
    <x v="0"/>
    <x v="7"/>
    <x v="11"/>
    <s v="NO1_A1"/>
    <x v="6"/>
    <x v="7"/>
    <s v="GNR_RES_WTR_NOPMP_MC-01"/>
    <x v="0"/>
    <x v="0"/>
    <n v="160"/>
    <n v="58400"/>
    <n v="210240"/>
  </r>
  <r>
    <x v="0"/>
    <x v="0"/>
    <x v="0"/>
    <x v="7"/>
    <x v="11"/>
    <s v="NO1_A1"/>
    <x v="6"/>
    <x v="7"/>
    <s v="GNR_RES_WTR_NOPMP_MC-01"/>
    <x v="0"/>
    <x v="1"/>
    <n v="160"/>
    <n v="58400"/>
    <n v="210240"/>
  </r>
  <r>
    <x v="0"/>
    <x v="0"/>
    <x v="0"/>
    <x v="7"/>
    <x v="11"/>
    <s v="NO1_A1"/>
    <x v="6"/>
    <x v="7"/>
    <s v="GNR_RES_WTR_NOPMP_MC-01"/>
    <x v="0"/>
    <x v="2"/>
    <n v="160"/>
    <n v="58400"/>
    <n v="210240"/>
  </r>
  <r>
    <x v="0"/>
    <x v="0"/>
    <x v="0"/>
    <x v="7"/>
    <x v="11"/>
    <s v="NO1_A1"/>
    <x v="6"/>
    <x v="7"/>
    <s v="GNR_RES_WTR_NOPMP_MC-01"/>
    <x v="0"/>
    <x v="9"/>
    <n v="160"/>
    <n v="58400"/>
    <n v="210240"/>
  </r>
  <r>
    <x v="0"/>
    <x v="0"/>
    <x v="0"/>
    <x v="7"/>
    <x v="11"/>
    <s v="NO1_A1"/>
    <x v="6"/>
    <x v="7"/>
    <s v="GNR_RES_WTR_NOPMP_MC-01"/>
    <x v="0"/>
    <x v="10"/>
    <n v="160"/>
    <n v="58400"/>
    <n v="210240"/>
  </r>
  <r>
    <x v="0"/>
    <x v="0"/>
    <x v="0"/>
    <x v="7"/>
    <x v="11"/>
    <s v="NO1_A1"/>
    <x v="6"/>
    <x v="7"/>
    <s v="GNR_RES_WTR_NOPMP_MC-01"/>
    <x v="0"/>
    <x v="11"/>
    <n v="160"/>
    <n v="58400"/>
    <n v="210240"/>
  </r>
  <r>
    <x v="0"/>
    <x v="0"/>
    <x v="0"/>
    <x v="7"/>
    <x v="11"/>
    <s v="NO1_A1"/>
    <x v="6"/>
    <x v="7"/>
    <s v="GNR_RES_WTR_NOPMP_MC-01"/>
    <x v="0"/>
    <x v="12"/>
    <n v="160"/>
    <n v="58400"/>
    <n v="210240"/>
  </r>
  <r>
    <x v="0"/>
    <x v="0"/>
    <x v="0"/>
    <x v="7"/>
    <x v="11"/>
    <s v="NO1_A1"/>
    <x v="6"/>
    <x v="7"/>
    <s v="GNR_RES_WTR_NOPMP_MC-01"/>
    <x v="0"/>
    <x v="13"/>
    <n v="160"/>
    <n v="58400"/>
    <n v="210240"/>
  </r>
  <r>
    <x v="0"/>
    <x v="0"/>
    <x v="0"/>
    <x v="7"/>
    <x v="11"/>
    <s v="NO1_A1"/>
    <x v="6"/>
    <x v="7"/>
    <s v="GNR_RES_WTR_NOPMP_MC-01"/>
    <x v="0"/>
    <x v="14"/>
    <n v="160"/>
    <n v="58400"/>
    <n v="210240"/>
  </r>
  <r>
    <x v="0"/>
    <x v="0"/>
    <x v="0"/>
    <x v="7"/>
    <x v="11"/>
    <s v="NO1_A1"/>
    <x v="6"/>
    <x v="7"/>
    <s v="GNR_RES_WTR_NOPMP_MC-01"/>
    <x v="0"/>
    <x v="15"/>
    <n v="160"/>
    <n v="58400"/>
    <n v="210240"/>
  </r>
  <r>
    <x v="0"/>
    <x v="0"/>
    <x v="0"/>
    <x v="7"/>
    <x v="11"/>
    <s v="NO1_A1"/>
    <x v="6"/>
    <x v="7"/>
    <s v="GNR_RES_WTR_NOPMP_MC-01"/>
    <x v="0"/>
    <x v="16"/>
    <n v="160"/>
    <n v="58400"/>
    <n v="210240"/>
  </r>
  <r>
    <x v="0"/>
    <x v="0"/>
    <x v="0"/>
    <x v="7"/>
    <x v="11"/>
    <s v="NO1_A1"/>
    <x v="6"/>
    <x v="7"/>
    <s v="GNR_RES_WTR_NOPMP_MC-01"/>
    <x v="0"/>
    <x v="17"/>
    <n v="160"/>
    <n v="58400"/>
    <n v="210240"/>
  </r>
  <r>
    <x v="0"/>
    <x v="0"/>
    <x v="0"/>
    <x v="7"/>
    <x v="11"/>
    <s v="NO1_A1"/>
    <x v="6"/>
    <x v="7"/>
    <s v="GNR_RES_WTR_NOPMP_MC-01"/>
    <x v="0"/>
    <x v="18"/>
    <n v="160"/>
    <n v="58400"/>
    <n v="210240"/>
  </r>
  <r>
    <x v="0"/>
    <x v="0"/>
    <x v="0"/>
    <x v="7"/>
    <x v="11"/>
    <s v="NO1_A1"/>
    <x v="6"/>
    <x v="7"/>
    <s v="GNR_RES_WTR_NOPMP_MC-01"/>
    <x v="0"/>
    <x v="19"/>
    <n v="160"/>
    <n v="58400"/>
    <n v="210240"/>
  </r>
  <r>
    <x v="0"/>
    <x v="0"/>
    <x v="0"/>
    <x v="7"/>
    <x v="11"/>
    <s v="NO1_A1"/>
    <x v="6"/>
    <x v="7"/>
    <s v="GNR_RES_WTR_NOPMP_MC-01"/>
    <x v="0"/>
    <x v="20"/>
    <n v="160"/>
    <n v="58400"/>
    <n v="210240"/>
  </r>
  <r>
    <x v="0"/>
    <x v="0"/>
    <x v="0"/>
    <x v="7"/>
    <x v="11"/>
    <s v="NO1_A1"/>
    <x v="6"/>
    <x v="7"/>
    <s v="GNR_RES_WTR_NOPMP_MC-01"/>
    <x v="0"/>
    <x v="21"/>
    <n v="160"/>
    <n v="58400"/>
    <n v="210240"/>
  </r>
  <r>
    <x v="0"/>
    <x v="0"/>
    <x v="0"/>
    <x v="7"/>
    <x v="11"/>
    <s v="NO1_A1"/>
    <x v="6"/>
    <x v="7"/>
    <s v="GNR_RES_WTR_NOPMP_MC-01"/>
    <x v="0"/>
    <x v="22"/>
    <n v="160"/>
    <n v="58400"/>
    <n v="210240"/>
  </r>
  <r>
    <x v="0"/>
    <x v="0"/>
    <x v="0"/>
    <x v="7"/>
    <x v="11"/>
    <s v="NO1_A1"/>
    <x v="6"/>
    <x v="7"/>
    <s v="GNR_RES_WTR_NOPMP_MC-01"/>
    <x v="0"/>
    <x v="23"/>
    <n v="160"/>
    <n v="58400"/>
    <n v="210240"/>
  </r>
  <r>
    <x v="0"/>
    <x v="0"/>
    <x v="0"/>
    <x v="7"/>
    <x v="11"/>
    <s v="NO1_A1"/>
    <x v="6"/>
    <x v="7"/>
    <s v="GNR_RES_WTR_NOPMP_MC-02"/>
    <x v="0"/>
    <x v="3"/>
    <n v="160"/>
    <n v="58400"/>
    <n v="210240"/>
  </r>
  <r>
    <x v="0"/>
    <x v="0"/>
    <x v="0"/>
    <x v="7"/>
    <x v="11"/>
    <s v="NO1_A1"/>
    <x v="6"/>
    <x v="7"/>
    <s v="GNR_RES_WTR_NOPMP_MC-02"/>
    <x v="0"/>
    <x v="4"/>
    <n v="6.2923266034883296"/>
    <n v="2296.6992102732402"/>
    <n v="8268.1171569836697"/>
  </r>
  <r>
    <x v="0"/>
    <x v="0"/>
    <x v="0"/>
    <x v="7"/>
    <x v="11"/>
    <s v="NO1_A1"/>
    <x v="6"/>
    <x v="7"/>
    <s v="GNR_RES_WTR_NOPMP_MC-02"/>
    <x v="0"/>
    <x v="7"/>
    <n v="160"/>
    <n v="58400"/>
    <n v="210240"/>
  </r>
  <r>
    <x v="0"/>
    <x v="0"/>
    <x v="0"/>
    <x v="7"/>
    <x v="11"/>
    <s v="NO1_A1"/>
    <x v="6"/>
    <x v="7"/>
    <s v="GNR_RES_WTR_NOPMP_MC-02"/>
    <x v="0"/>
    <x v="8"/>
    <n v="160"/>
    <n v="58400"/>
    <n v="210240"/>
  </r>
  <r>
    <x v="0"/>
    <x v="0"/>
    <x v="0"/>
    <x v="7"/>
    <x v="11"/>
    <s v="NO1_A1"/>
    <x v="6"/>
    <x v="7"/>
    <s v="GNR_RES_WTR_NOPMP_MC-02"/>
    <x v="0"/>
    <x v="0"/>
    <n v="160"/>
    <n v="58400"/>
    <n v="210240"/>
  </r>
  <r>
    <x v="0"/>
    <x v="0"/>
    <x v="0"/>
    <x v="7"/>
    <x v="11"/>
    <s v="NO1_A1"/>
    <x v="6"/>
    <x v="7"/>
    <s v="GNR_RES_WTR_NOPMP_MC-02"/>
    <x v="0"/>
    <x v="1"/>
    <n v="160"/>
    <n v="58400"/>
    <n v="210240"/>
  </r>
  <r>
    <x v="0"/>
    <x v="0"/>
    <x v="0"/>
    <x v="7"/>
    <x v="11"/>
    <s v="NO1_A1"/>
    <x v="6"/>
    <x v="7"/>
    <s v="GNR_RES_WTR_NOPMP_MC-02"/>
    <x v="0"/>
    <x v="2"/>
    <n v="160"/>
    <n v="58400"/>
    <n v="210240"/>
  </r>
  <r>
    <x v="0"/>
    <x v="0"/>
    <x v="0"/>
    <x v="7"/>
    <x v="11"/>
    <s v="NO1_A1"/>
    <x v="6"/>
    <x v="7"/>
    <s v="GNR_RES_WTR_NOPMP_MC-02"/>
    <x v="0"/>
    <x v="9"/>
    <n v="160"/>
    <n v="58400"/>
    <n v="210240"/>
  </r>
  <r>
    <x v="0"/>
    <x v="0"/>
    <x v="0"/>
    <x v="7"/>
    <x v="11"/>
    <s v="NO1_A1"/>
    <x v="6"/>
    <x v="7"/>
    <s v="GNR_RES_WTR_NOPMP_MC-02"/>
    <x v="0"/>
    <x v="10"/>
    <n v="160"/>
    <n v="58400"/>
    <n v="210240"/>
  </r>
  <r>
    <x v="0"/>
    <x v="0"/>
    <x v="0"/>
    <x v="7"/>
    <x v="11"/>
    <s v="NO1_A1"/>
    <x v="6"/>
    <x v="7"/>
    <s v="GNR_RES_WTR_NOPMP_MC-02"/>
    <x v="0"/>
    <x v="11"/>
    <n v="160"/>
    <n v="58400"/>
    <n v="210240"/>
  </r>
  <r>
    <x v="0"/>
    <x v="0"/>
    <x v="0"/>
    <x v="7"/>
    <x v="11"/>
    <s v="NO1_A1"/>
    <x v="6"/>
    <x v="7"/>
    <s v="GNR_RES_WTR_NOPMP_MC-02"/>
    <x v="0"/>
    <x v="12"/>
    <n v="160"/>
    <n v="58400"/>
    <n v="210240"/>
  </r>
  <r>
    <x v="0"/>
    <x v="0"/>
    <x v="0"/>
    <x v="7"/>
    <x v="11"/>
    <s v="NO1_A1"/>
    <x v="6"/>
    <x v="7"/>
    <s v="GNR_RES_WTR_NOPMP_MC-02"/>
    <x v="0"/>
    <x v="13"/>
    <n v="160"/>
    <n v="58400"/>
    <n v="210240"/>
  </r>
  <r>
    <x v="0"/>
    <x v="0"/>
    <x v="0"/>
    <x v="7"/>
    <x v="11"/>
    <s v="NO1_A1"/>
    <x v="6"/>
    <x v="7"/>
    <s v="GNR_RES_WTR_NOPMP_MC-02"/>
    <x v="0"/>
    <x v="14"/>
    <n v="160"/>
    <n v="58400"/>
    <n v="210240"/>
  </r>
  <r>
    <x v="0"/>
    <x v="0"/>
    <x v="0"/>
    <x v="7"/>
    <x v="11"/>
    <s v="NO1_A1"/>
    <x v="6"/>
    <x v="7"/>
    <s v="GNR_RES_WTR_NOPMP_MC-02"/>
    <x v="0"/>
    <x v="15"/>
    <n v="160"/>
    <n v="58400"/>
    <n v="210240"/>
  </r>
  <r>
    <x v="0"/>
    <x v="0"/>
    <x v="0"/>
    <x v="7"/>
    <x v="11"/>
    <s v="NO1_A1"/>
    <x v="6"/>
    <x v="7"/>
    <s v="GNR_RES_WTR_NOPMP_MC-02"/>
    <x v="0"/>
    <x v="16"/>
    <n v="160"/>
    <n v="58400"/>
    <n v="210240"/>
  </r>
  <r>
    <x v="0"/>
    <x v="0"/>
    <x v="0"/>
    <x v="7"/>
    <x v="11"/>
    <s v="NO1_A1"/>
    <x v="6"/>
    <x v="7"/>
    <s v="GNR_RES_WTR_NOPMP_MC-02"/>
    <x v="0"/>
    <x v="17"/>
    <n v="160"/>
    <n v="58400"/>
    <n v="210240"/>
  </r>
  <r>
    <x v="0"/>
    <x v="0"/>
    <x v="0"/>
    <x v="7"/>
    <x v="11"/>
    <s v="NO1_A1"/>
    <x v="6"/>
    <x v="7"/>
    <s v="GNR_RES_WTR_NOPMP_MC-02"/>
    <x v="0"/>
    <x v="18"/>
    <n v="160"/>
    <n v="58400"/>
    <n v="210240"/>
  </r>
  <r>
    <x v="0"/>
    <x v="0"/>
    <x v="0"/>
    <x v="7"/>
    <x v="11"/>
    <s v="NO1_A1"/>
    <x v="6"/>
    <x v="7"/>
    <s v="GNR_RES_WTR_NOPMP_MC-02"/>
    <x v="0"/>
    <x v="19"/>
    <n v="160"/>
    <n v="58400"/>
    <n v="210240"/>
  </r>
  <r>
    <x v="0"/>
    <x v="0"/>
    <x v="0"/>
    <x v="7"/>
    <x v="11"/>
    <s v="NO1_A1"/>
    <x v="6"/>
    <x v="7"/>
    <s v="GNR_RES_WTR_NOPMP_MC-02"/>
    <x v="0"/>
    <x v="20"/>
    <n v="160"/>
    <n v="58400"/>
    <n v="210240"/>
  </r>
  <r>
    <x v="0"/>
    <x v="0"/>
    <x v="0"/>
    <x v="7"/>
    <x v="11"/>
    <s v="NO1_A1"/>
    <x v="6"/>
    <x v="7"/>
    <s v="GNR_RES_WTR_NOPMP_MC-02"/>
    <x v="0"/>
    <x v="21"/>
    <n v="97.664070184789296"/>
    <n v="35647.385617448097"/>
    <n v="128330.58822281301"/>
  </r>
  <r>
    <x v="0"/>
    <x v="0"/>
    <x v="0"/>
    <x v="7"/>
    <x v="11"/>
    <s v="NO1_A1"/>
    <x v="6"/>
    <x v="7"/>
    <s v="GNR_RES_WTR_NOPMP_MC-03"/>
    <x v="0"/>
    <x v="0"/>
    <n v="160"/>
    <n v="58400"/>
    <n v="210240"/>
  </r>
  <r>
    <x v="0"/>
    <x v="0"/>
    <x v="0"/>
    <x v="7"/>
    <x v="11"/>
    <s v="NO1_A1"/>
    <x v="6"/>
    <x v="7"/>
    <s v="GNR_RES_WTR_NOPMP_MC-03"/>
    <x v="0"/>
    <x v="1"/>
    <n v="160"/>
    <n v="58400"/>
    <n v="210240"/>
  </r>
  <r>
    <x v="0"/>
    <x v="0"/>
    <x v="0"/>
    <x v="7"/>
    <x v="11"/>
    <s v="NO1_A1"/>
    <x v="6"/>
    <x v="7"/>
    <s v="GNR_RES_WTR_NOPMP_MC-03"/>
    <x v="0"/>
    <x v="2"/>
    <n v="160"/>
    <n v="58400"/>
    <n v="210240"/>
  </r>
  <r>
    <x v="0"/>
    <x v="0"/>
    <x v="0"/>
    <x v="7"/>
    <x v="11"/>
    <s v="NO1_A1"/>
    <x v="6"/>
    <x v="7"/>
    <s v="GNR_RES_WTR_NOPMP_MC-03"/>
    <x v="0"/>
    <x v="9"/>
    <n v="160"/>
    <n v="58400"/>
    <n v="210240"/>
  </r>
  <r>
    <x v="0"/>
    <x v="0"/>
    <x v="0"/>
    <x v="7"/>
    <x v="11"/>
    <s v="NO1_A1"/>
    <x v="6"/>
    <x v="7"/>
    <s v="GNR_RES_WTR_NOPMP_MC-03"/>
    <x v="0"/>
    <x v="10"/>
    <n v="160"/>
    <n v="58400"/>
    <n v="210240"/>
  </r>
  <r>
    <x v="0"/>
    <x v="0"/>
    <x v="0"/>
    <x v="7"/>
    <x v="11"/>
    <s v="NO1_A1"/>
    <x v="6"/>
    <x v="7"/>
    <s v="GNR_RES_WTR_NOPMP_MC-03"/>
    <x v="0"/>
    <x v="11"/>
    <n v="160"/>
    <n v="58400"/>
    <n v="210240"/>
  </r>
  <r>
    <x v="0"/>
    <x v="0"/>
    <x v="0"/>
    <x v="7"/>
    <x v="11"/>
    <s v="NO1_A1"/>
    <x v="6"/>
    <x v="7"/>
    <s v="GNR_RES_WTR_NOPMP_MC-03"/>
    <x v="0"/>
    <x v="12"/>
    <n v="160"/>
    <n v="58400"/>
    <n v="210240"/>
  </r>
  <r>
    <x v="0"/>
    <x v="0"/>
    <x v="0"/>
    <x v="7"/>
    <x v="11"/>
    <s v="NO1_A1"/>
    <x v="6"/>
    <x v="7"/>
    <s v="GNR_RES_WTR_NOPMP_MC-03"/>
    <x v="0"/>
    <x v="13"/>
    <n v="160"/>
    <n v="58400"/>
    <n v="210240"/>
  </r>
  <r>
    <x v="0"/>
    <x v="0"/>
    <x v="0"/>
    <x v="7"/>
    <x v="11"/>
    <s v="NO1_A1"/>
    <x v="6"/>
    <x v="7"/>
    <s v="GNR_RES_WTR_NOPMP_MC-03"/>
    <x v="0"/>
    <x v="14"/>
    <n v="160"/>
    <n v="58400"/>
    <n v="210240"/>
  </r>
  <r>
    <x v="0"/>
    <x v="0"/>
    <x v="0"/>
    <x v="7"/>
    <x v="11"/>
    <s v="NO1_A1"/>
    <x v="6"/>
    <x v="7"/>
    <s v="GNR_RES_WTR_NOPMP_MC-03"/>
    <x v="0"/>
    <x v="15"/>
    <n v="160"/>
    <n v="58400"/>
    <n v="210240"/>
  </r>
  <r>
    <x v="0"/>
    <x v="0"/>
    <x v="0"/>
    <x v="7"/>
    <x v="11"/>
    <s v="NO1_A1"/>
    <x v="6"/>
    <x v="7"/>
    <s v="GNR_RES_WTR_NOPMP_MC-03"/>
    <x v="0"/>
    <x v="16"/>
    <n v="160"/>
    <n v="58400"/>
    <n v="210240"/>
  </r>
  <r>
    <x v="0"/>
    <x v="0"/>
    <x v="0"/>
    <x v="7"/>
    <x v="11"/>
    <s v="NO1_A1"/>
    <x v="6"/>
    <x v="7"/>
    <s v="GNR_RES_WTR_NOPMP_MC-03"/>
    <x v="0"/>
    <x v="17"/>
    <n v="160"/>
    <n v="58400"/>
    <n v="210240"/>
  </r>
  <r>
    <x v="0"/>
    <x v="0"/>
    <x v="0"/>
    <x v="7"/>
    <x v="11"/>
    <s v="NO1_A1"/>
    <x v="6"/>
    <x v="7"/>
    <s v="GNR_RES_WTR_NOPMP_MC-03"/>
    <x v="0"/>
    <x v="18"/>
    <n v="160"/>
    <n v="58400"/>
    <n v="210240"/>
  </r>
  <r>
    <x v="0"/>
    <x v="0"/>
    <x v="0"/>
    <x v="7"/>
    <x v="11"/>
    <s v="NO1_A1"/>
    <x v="6"/>
    <x v="7"/>
    <s v="GNR_RES_WTR_NOPMP_MC-03"/>
    <x v="0"/>
    <x v="19"/>
    <n v="160"/>
    <n v="58400"/>
    <n v="210240"/>
  </r>
  <r>
    <x v="0"/>
    <x v="0"/>
    <x v="0"/>
    <x v="7"/>
    <x v="11"/>
    <s v="NO1_A1"/>
    <x v="6"/>
    <x v="7"/>
    <s v="GNR_RES_WTR_NOPMP_MC-03"/>
    <x v="0"/>
    <x v="20"/>
    <n v="160"/>
    <n v="58400"/>
    <n v="210240"/>
  </r>
  <r>
    <x v="0"/>
    <x v="0"/>
    <x v="0"/>
    <x v="7"/>
    <x v="11"/>
    <s v="NO1_A1"/>
    <x v="6"/>
    <x v="7"/>
    <s v="GNR_RES_WTR_NOPMP_MC-04"/>
    <x v="0"/>
    <x v="0"/>
    <n v="160"/>
    <n v="58400"/>
    <n v="210240"/>
  </r>
  <r>
    <x v="0"/>
    <x v="0"/>
    <x v="0"/>
    <x v="7"/>
    <x v="11"/>
    <s v="NO1_A1"/>
    <x v="6"/>
    <x v="7"/>
    <s v="GNR_RES_WTR_NOPMP_MC-04"/>
    <x v="0"/>
    <x v="1"/>
    <n v="160"/>
    <n v="58400"/>
    <n v="210240"/>
  </r>
  <r>
    <x v="0"/>
    <x v="0"/>
    <x v="0"/>
    <x v="7"/>
    <x v="11"/>
    <s v="NO1_A1"/>
    <x v="6"/>
    <x v="7"/>
    <s v="GNR_RES_WTR_NOPMP_MC-04"/>
    <x v="0"/>
    <x v="2"/>
    <n v="160"/>
    <n v="58400"/>
    <n v="210240"/>
  </r>
  <r>
    <x v="0"/>
    <x v="0"/>
    <x v="0"/>
    <x v="7"/>
    <x v="11"/>
    <s v="NO1_A1"/>
    <x v="6"/>
    <x v="7"/>
    <s v="GNR_RES_WTR_NOPMP_MC-04"/>
    <x v="0"/>
    <x v="9"/>
    <n v="160"/>
    <n v="58400"/>
    <n v="210240"/>
  </r>
  <r>
    <x v="0"/>
    <x v="0"/>
    <x v="0"/>
    <x v="7"/>
    <x v="11"/>
    <s v="NO1_A1"/>
    <x v="6"/>
    <x v="7"/>
    <s v="GNR_RES_WTR_NOPMP_MC-04"/>
    <x v="0"/>
    <x v="10"/>
    <n v="160"/>
    <n v="58400"/>
    <n v="210240"/>
  </r>
  <r>
    <x v="0"/>
    <x v="0"/>
    <x v="0"/>
    <x v="7"/>
    <x v="11"/>
    <s v="NO1_A1"/>
    <x v="6"/>
    <x v="7"/>
    <s v="GNR_RES_WTR_NOPMP_MC-04"/>
    <x v="0"/>
    <x v="11"/>
    <n v="160"/>
    <n v="58400"/>
    <n v="210240"/>
  </r>
  <r>
    <x v="0"/>
    <x v="0"/>
    <x v="0"/>
    <x v="7"/>
    <x v="11"/>
    <s v="NO1_A1"/>
    <x v="6"/>
    <x v="7"/>
    <s v="GNR_RES_WTR_NOPMP_MC-04"/>
    <x v="0"/>
    <x v="12"/>
    <n v="160"/>
    <n v="58400"/>
    <n v="210240"/>
  </r>
  <r>
    <x v="0"/>
    <x v="0"/>
    <x v="0"/>
    <x v="7"/>
    <x v="11"/>
    <s v="NO1_A1"/>
    <x v="6"/>
    <x v="7"/>
    <s v="GNR_RES_WTR_NOPMP_MC-04"/>
    <x v="0"/>
    <x v="13"/>
    <n v="160"/>
    <n v="58400"/>
    <n v="210240"/>
  </r>
  <r>
    <x v="0"/>
    <x v="0"/>
    <x v="0"/>
    <x v="7"/>
    <x v="11"/>
    <s v="NO1_A1"/>
    <x v="6"/>
    <x v="7"/>
    <s v="GNR_RES_WTR_NOPMP_MC-04"/>
    <x v="0"/>
    <x v="14"/>
    <n v="160"/>
    <n v="58400"/>
    <n v="210240"/>
  </r>
  <r>
    <x v="0"/>
    <x v="0"/>
    <x v="0"/>
    <x v="7"/>
    <x v="11"/>
    <s v="NO1_A1"/>
    <x v="6"/>
    <x v="7"/>
    <s v="GNR_RES_WTR_NOPMP_MC-04"/>
    <x v="0"/>
    <x v="15"/>
    <n v="160"/>
    <n v="58400"/>
    <n v="210240"/>
  </r>
  <r>
    <x v="0"/>
    <x v="0"/>
    <x v="0"/>
    <x v="7"/>
    <x v="11"/>
    <s v="NO1_A1"/>
    <x v="6"/>
    <x v="7"/>
    <s v="GNR_RES_WTR_NOPMP_MC-04"/>
    <x v="0"/>
    <x v="16"/>
    <n v="160"/>
    <n v="58400"/>
    <n v="210240"/>
  </r>
  <r>
    <x v="0"/>
    <x v="0"/>
    <x v="0"/>
    <x v="7"/>
    <x v="11"/>
    <s v="NO1_A1"/>
    <x v="6"/>
    <x v="7"/>
    <s v="GNR_RES_WTR_NOPMP_MC-04"/>
    <x v="0"/>
    <x v="17"/>
    <n v="160"/>
    <n v="58400"/>
    <n v="210240"/>
  </r>
  <r>
    <x v="0"/>
    <x v="0"/>
    <x v="0"/>
    <x v="7"/>
    <x v="11"/>
    <s v="NO1_A1"/>
    <x v="6"/>
    <x v="7"/>
    <s v="GNR_RES_WTR_NOPMP_MC-04"/>
    <x v="0"/>
    <x v="18"/>
    <n v="160"/>
    <n v="58400"/>
    <n v="210240"/>
  </r>
  <r>
    <x v="0"/>
    <x v="0"/>
    <x v="0"/>
    <x v="7"/>
    <x v="11"/>
    <s v="NO1_A1"/>
    <x v="6"/>
    <x v="7"/>
    <s v="GNR_RES_WTR_NOPMP_MC-04"/>
    <x v="0"/>
    <x v="19"/>
    <n v="160"/>
    <n v="58400"/>
    <n v="210240"/>
  </r>
  <r>
    <x v="0"/>
    <x v="0"/>
    <x v="0"/>
    <x v="7"/>
    <x v="11"/>
    <s v="NO1_A1"/>
    <x v="6"/>
    <x v="7"/>
    <s v="GNR_RES_WTR_NOPMP_MC-05"/>
    <x v="0"/>
    <x v="1"/>
    <n v="160"/>
    <n v="58400"/>
    <n v="210240"/>
  </r>
  <r>
    <x v="0"/>
    <x v="0"/>
    <x v="0"/>
    <x v="7"/>
    <x v="11"/>
    <s v="NO1_A1"/>
    <x v="6"/>
    <x v="7"/>
    <s v="GNR_RES_WTR_NOPMP_MC-05"/>
    <x v="0"/>
    <x v="2"/>
    <n v="160"/>
    <n v="58400"/>
    <n v="210240"/>
  </r>
  <r>
    <x v="0"/>
    <x v="0"/>
    <x v="0"/>
    <x v="7"/>
    <x v="11"/>
    <s v="NO1_A1"/>
    <x v="6"/>
    <x v="7"/>
    <s v="GNR_RES_WTR_NOPMP_MC-05"/>
    <x v="0"/>
    <x v="9"/>
    <n v="160"/>
    <n v="58400"/>
    <n v="210240"/>
  </r>
  <r>
    <x v="0"/>
    <x v="0"/>
    <x v="0"/>
    <x v="7"/>
    <x v="11"/>
    <s v="NO1_A1"/>
    <x v="6"/>
    <x v="7"/>
    <s v="GNR_RES_WTR_NOPMP_MC-05"/>
    <x v="0"/>
    <x v="10"/>
    <n v="160"/>
    <n v="58400"/>
    <n v="210240"/>
  </r>
  <r>
    <x v="0"/>
    <x v="0"/>
    <x v="0"/>
    <x v="7"/>
    <x v="11"/>
    <s v="NO1_A1"/>
    <x v="6"/>
    <x v="7"/>
    <s v="GNR_RES_WTR_NOPMP_MC-05"/>
    <x v="0"/>
    <x v="11"/>
    <n v="160"/>
    <n v="58400"/>
    <n v="210240"/>
  </r>
  <r>
    <x v="0"/>
    <x v="0"/>
    <x v="0"/>
    <x v="7"/>
    <x v="11"/>
    <s v="NO1_A1"/>
    <x v="6"/>
    <x v="7"/>
    <s v="GNR_RES_WTR_NOPMP_MC-05"/>
    <x v="0"/>
    <x v="14"/>
    <n v="4.6946595999291496"/>
    <n v="1713.55075397414"/>
    <n v="6168.7827143069098"/>
  </r>
  <r>
    <x v="0"/>
    <x v="0"/>
    <x v="0"/>
    <x v="7"/>
    <x v="11"/>
    <s v="NO1_A1"/>
    <x v="6"/>
    <x v="7"/>
    <s v="GNR_RES_WTR_NOPMP_MC-05"/>
    <x v="0"/>
    <x v="16"/>
    <n v="160"/>
    <n v="58400"/>
    <n v="210240"/>
  </r>
  <r>
    <x v="0"/>
    <x v="0"/>
    <x v="0"/>
    <x v="7"/>
    <x v="11"/>
    <s v="NO1_A1"/>
    <x v="6"/>
    <x v="7"/>
    <s v="GNR_RES_WTR_NOPMP_MC-05"/>
    <x v="0"/>
    <x v="17"/>
    <n v="160"/>
    <n v="58400"/>
    <n v="210240"/>
  </r>
  <r>
    <x v="0"/>
    <x v="0"/>
    <x v="0"/>
    <x v="7"/>
    <x v="11"/>
    <s v="NO1_A1"/>
    <x v="6"/>
    <x v="7"/>
    <s v="GNR_RES_WTR_NOPMP_MC-06"/>
    <x v="0"/>
    <x v="1"/>
    <n v="160"/>
    <n v="58400"/>
    <n v="210240"/>
  </r>
  <r>
    <x v="0"/>
    <x v="0"/>
    <x v="0"/>
    <x v="7"/>
    <x v="11"/>
    <s v="NO1_A1"/>
    <x v="6"/>
    <x v="7"/>
    <s v="GNR_RES_WTR_NOPMP_MC-06"/>
    <x v="0"/>
    <x v="2"/>
    <n v="160"/>
    <n v="58400"/>
    <n v="210240"/>
  </r>
  <r>
    <x v="0"/>
    <x v="0"/>
    <x v="0"/>
    <x v="7"/>
    <x v="11"/>
    <s v="NO1_A1"/>
    <x v="6"/>
    <x v="7"/>
    <s v="GNR_RES_WTR_NOPMP_MC-06"/>
    <x v="0"/>
    <x v="9"/>
    <n v="160"/>
    <n v="58400"/>
    <n v="210240"/>
  </r>
  <r>
    <x v="0"/>
    <x v="0"/>
    <x v="0"/>
    <x v="7"/>
    <x v="11"/>
    <s v="NO1_A1"/>
    <x v="6"/>
    <x v="7"/>
    <s v="GNR_RES_WTR_NOPMP_MC-06"/>
    <x v="0"/>
    <x v="10"/>
    <n v="160"/>
    <n v="58400"/>
    <n v="210240"/>
  </r>
  <r>
    <x v="0"/>
    <x v="0"/>
    <x v="0"/>
    <x v="7"/>
    <x v="11"/>
    <s v="NO1_A1"/>
    <x v="6"/>
    <x v="4"/>
    <s v="GNR_ROR_WTR"/>
    <x v="0"/>
    <x v="3"/>
    <n v="938.44564324685803"/>
    <n v="342532.65978510299"/>
    <n v="1233117.57522637"/>
  </r>
  <r>
    <x v="0"/>
    <x v="0"/>
    <x v="0"/>
    <x v="7"/>
    <x v="11"/>
    <s v="NO1_A1"/>
    <x v="6"/>
    <x v="4"/>
    <s v="GNR_ROR_WTR"/>
    <x v="0"/>
    <x v="4"/>
    <n v="938.44564324685803"/>
    <n v="342532.65978510299"/>
    <n v="1233117.57522637"/>
  </r>
  <r>
    <x v="0"/>
    <x v="0"/>
    <x v="0"/>
    <x v="7"/>
    <x v="11"/>
    <s v="NO1_A1"/>
    <x v="6"/>
    <x v="4"/>
    <s v="GNR_ROR_WTR"/>
    <x v="0"/>
    <x v="5"/>
    <n v="938.44564324685803"/>
    <n v="342532.65978510299"/>
    <n v="1233117.57522637"/>
  </r>
  <r>
    <x v="0"/>
    <x v="0"/>
    <x v="0"/>
    <x v="7"/>
    <x v="11"/>
    <s v="NO1_A1"/>
    <x v="6"/>
    <x v="4"/>
    <s v="GNR_ROR_WTR"/>
    <x v="0"/>
    <x v="6"/>
    <n v="938.44564324685803"/>
    <n v="342532.65978510299"/>
    <n v="1233117.57522637"/>
  </r>
  <r>
    <x v="0"/>
    <x v="0"/>
    <x v="0"/>
    <x v="7"/>
    <x v="11"/>
    <s v="NO1_A1"/>
    <x v="6"/>
    <x v="4"/>
    <s v="GNR_ROR_WTR"/>
    <x v="0"/>
    <x v="7"/>
    <n v="938.44564324685803"/>
    <n v="342532.65978510299"/>
    <n v="1233117.57522637"/>
  </r>
  <r>
    <x v="0"/>
    <x v="0"/>
    <x v="0"/>
    <x v="7"/>
    <x v="11"/>
    <s v="NO1_A1"/>
    <x v="6"/>
    <x v="4"/>
    <s v="GNR_ROR_WTR"/>
    <x v="0"/>
    <x v="8"/>
    <n v="938.44564324685803"/>
    <n v="342532.65978510299"/>
    <n v="1233117.57522637"/>
  </r>
  <r>
    <x v="0"/>
    <x v="0"/>
    <x v="0"/>
    <x v="7"/>
    <x v="11"/>
    <s v="NO1_A1"/>
    <x v="6"/>
    <x v="4"/>
    <s v="GNR_ROR_WTR"/>
    <x v="0"/>
    <x v="0"/>
    <n v="938.44564324685803"/>
    <n v="342532.65978510299"/>
    <n v="1233117.57522637"/>
  </r>
  <r>
    <x v="0"/>
    <x v="0"/>
    <x v="0"/>
    <x v="7"/>
    <x v="11"/>
    <s v="NO1_A1"/>
    <x v="6"/>
    <x v="4"/>
    <s v="GNR_ROR_WTR"/>
    <x v="0"/>
    <x v="1"/>
    <n v="938.44564324685803"/>
    <n v="342532.65978510299"/>
    <n v="1233117.57522637"/>
  </r>
  <r>
    <x v="0"/>
    <x v="0"/>
    <x v="0"/>
    <x v="7"/>
    <x v="11"/>
    <s v="NO1_A1"/>
    <x v="6"/>
    <x v="4"/>
    <s v="GNR_ROR_WTR"/>
    <x v="0"/>
    <x v="2"/>
    <n v="938.44564324685803"/>
    <n v="342532.65978510299"/>
    <n v="1233117.57522637"/>
  </r>
  <r>
    <x v="0"/>
    <x v="0"/>
    <x v="0"/>
    <x v="7"/>
    <x v="11"/>
    <s v="NO1_A1"/>
    <x v="6"/>
    <x v="4"/>
    <s v="GNR_ROR_WTR"/>
    <x v="0"/>
    <x v="9"/>
    <n v="938.44564324685803"/>
    <n v="342532.65978510299"/>
    <n v="1233117.57522637"/>
  </r>
  <r>
    <x v="0"/>
    <x v="0"/>
    <x v="0"/>
    <x v="7"/>
    <x v="11"/>
    <s v="NO1_A1"/>
    <x v="6"/>
    <x v="4"/>
    <s v="GNR_ROR_WTR"/>
    <x v="0"/>
    <x v="10"/>
    <n v="938.44564324685803"/>
    <n v="342532.65978510299"/>
    <n v="1233117.57522637"/>
  </r>
  <r>
    <x v="0"/>
    <x v="0"/>
    <x v="0"/>
    <x v="7"/>
    <x v="11"/>
    <s v="NO1_A1"/>
    <x v="6"/>
    <x v="4"/>
    <s v="GNR_ROR_WTR"/>
    <x v="0"/>
    <x v="11"/>
    <n v="938.44564324685803"/>
    <n v="342532.65978510299"/>
    <n v="1233117.57522637"/>
  </r>
  <r>
    <x v="0"/>
    <x v="0"/>
    <x v="0"/>
    <x v="7"/>
    <x v="11"/>
    <s v="NO1_A1"/>
    <x v="6"/>
    <x v="4"/>
    <s v="GNR_ROR_WTR"/>
    <x v="0"/>
    <x v="12"/>
    <n v="938.44564324685803"/>
    <n v="342532.65978510299"/>
    <n v="1233117.57522637"/>
  </r>
  <r>
    <x v="0"/>
    <x v="0"/>
    <x v="0"/>
    <x v="7"/>
    <x v="11"/>
    <s v="NO1_A1"/>
    <x v="6"/>
    <x v="4"/>
    <s v="GNR_ROR_WTR"/>
    <x v="0"/>
    <x v="13"/>
    <n v="938.44564324685803"/>
    <n v="342532.65978510299"/>
    <n v="1233117.57522637"/>
  </r>
  <r>
    <x v="0"/>
    <x v="0"/>
    <x v="0"/>
    <x v="7"/>
    <x v="11"/>
    <s v="NO1_A1"/>
    <x v="6"/>
    <x v="4"/>
    <s v="GNR_ROR_WTR"/>
    <x v="0"/>
    <x v="14"/>
    <n v="938.44564324685803"/>
    <n v="342532.65978510299"/>
    <n v="1233117.57522637"/>
  </r>
  <r>
    <x v="0"/>
    <x v="0"/>
    <x v="0"/>
    <x v="7"/>
    <x v="11"/>
    <s v="NO1_A1"/>
    <x v="6"/>
    <x v="4"/>
    <s v="GNR_ROR_WTR"/>
    <x v="0"/>
    <x v="15"/>
    <n v="938.44564324685803"/>
    <n v="342532.65978510299"/>
    <n v="1233117.57522637"/>
  </r>
  <r>
    <x v="0"/>
    <x v="0"/>
    <x v="0"/>
    <x v="7"/>
    <x v="11"/>
    <s v="NO1_A1"/>
    <x v="6"/>
    <x v="4"/>
    <s v="GNR_ROR_WTR"/>
    <x v="0"/>
    <x v="16"/>
    <n v="938.44564324685803"/>
    <n v="342532.65978510299"/>
    <n v="1233117.57522637"/>
  </r>
  <r>
    <x v="0"/>
    <x v="0"/>
    <x v="0"/>
    <x v="7"/>
    <x v="11"/>
    <s v="NO1_A1"/>
    <x v="6"/>
    <x v="4"/>
    <s v="GNR_ROR_WTR"/>
    <x v="0"/>
    <x v="17"/>
    <n v="938.44564324685803"/>
    <n v="342532.65978510299"/>
    <n v="1233117.57522637"/>
  </r>
  <r>
    <x v="0"/>
    <x v="0"/>
    <x v="0"/>
    <x v="7"/>
    <x v="11"/>
    <s v="NO1_A1"/>
    <x v="6"/>
    <x v="4"/>
    <s v="GNR_ROR_WTR"/>
    <x v="0"/>
    <x v="18"/>
    <n v="938.44564324685803"/>
    <n v="342532.65978510299"/>
    <n v="1233117.57522637"/>
  </r>
  <r>
    <x v="0"/>
    <x v="0"/>
    <x v="0"/>
    <x v="7"/>
    <x v="11"/>
    <s v="NO1_A1"/>
    <x v="6"/>
    <x v="4"/>
    <s v="GNR_ROR_WTR"/>
    <x v="0"/>
    <x v="19"/>
    <n v="938.44564324685803"/>
    <n v="342532.65978510299"/>
    <n v="1233117.57522637"/>
  </r>
  <r>
    <x v="0"/>
    <x v="0"/>
    <x v="0"/>
    <x v="7"/>
    <x v="11"/>
    <s v="NO1_A1"/>
    <x v="6"/>
    <x v="4"/>
    <s v="GNR_ROR_WTR"/>
    <x v="0"/>
    <x v="20"/>
    <n v="938.44564324685803"/>
    <n v="342532.65978510299"/>
    <n v="1233117.57522637"/>
  </r>
  <r>
    <x v="0"/>
    <x v="0"/>
    <x v="0"/>
    <x v="7"/>
    <x v="11"/>
    <s v="NO1_A1"/>
    <x v="6"/>
    <x v="4"/>
    <s v="GNR_ROR_WTR"/>
    <x v="0"/>
    <x v="21"/>
    <n v="938.44564324685803"/>
    <n v="342532.65978510299"/>
    <n v="1233117.57522637"/>
  </r>
  <r>
    <x v="0"/>
    <x v="0"/>
    <x v="0"/>
    <x v="7"/>
    <x v="11"/>
    <s v="NO1_A1"/>
    <x v="6"/>
    <x v="4"/>
    <s v="GNR_ROR_WTR"/>
    <x v="0"/>
    <x v="22"/>
    <n v="938.44564324685803"/>
    <n v="342532.65978510299"/>
    <n v="1233117.57522637"/>
  </r>
  <r>
    <x v="0"/>
    <x v="0"/>
    <x v="0"/>
    <x v="7"/>
    <x v="11"/>
    <s v="NO1_A1"/>
    <x v="6"/>
    <x v="4"/>
    <s v="GNR_ROR_WTR"/>
    <x v="0"/>
    <x v="23"/>
    <n v="938.44564324685803"/>
    <n v="342532.65978510299"/>
    <n v="1233117.57522637"/>
  </r>
  <r>
    <x v="0"/>
    <x v="0"/>
    <x v="0"/>
    <x v="7"/>
    <x v="11"/>
    <s v="NO1_A2"/>
    <x v="14"/>
    <x v="6"/>
    <s v="GETOH_HEATPUMP"/>
    <x v="0"/>
    <x v="8"/>
    <n v="-3.5119013106154999"/>
    <n v="-1281.8439783746601"/>
    <n v="-4614.6383221487704"/>
  </r>
  <r>
    <x v="0"/>
    <x v="0"/>
    <x v="0"/>
    <x v="7"/>
    <x v="11"/>
    <s v="NO1_A2"/>
    <x v="14"/>
    <x v="6"/>
    <s v="GETOH_HEATPUMP"/>
    <x v="0"/>
    <x v="0"/>
    <n v="-11.1111111111111"/>
    <n v="-4055.5555555555602"/>
    <n v="-14600"/>
  </r>
  <r>
    <x v="0"/>
    <x v="0"/>
    <x v="0"/>
    <x v="7"/>
    <x v="11"/>
    <s v="NO1_A2"/>
    <x v="14"/>
    <x v="6"/>
    <s v="GETOH_HEATPUMP"/>
    <x v="0"/>
    <x v="1"/>
    <n v="-0.36868161284384199"/>
    <n v="-134.568788688002"/>
    <n v="-484.44763927680799"/>
  </r>
  <r>
    <x v="0"/>
    <x v="0"/>
    <x v="0"/>
    <x v="7"/>
    <x v="11"/>
    <s v="NO1_A2"/>
    <x v="14"/>
    <x v="6"/>
    <s v="GETOH_HEATPUMP"/>
    <x v="0"/>
    <x v="11"/>
    <n v="-11.1111111111111"/>
    <n v="-4055.5555555555602"/>
    <n v="-14600"/>
  </r>
  <r>
    <x v="0"/>
    <x v="0"/>
    <x v="0"/>
    <x v="7"/>
    <x v="11"/>
    <s v="NO1_A2"/>
    <x v="14"/>
    <x v="6"/>
    <s v="GETOH_HEATPUMP"/>
    <x v="0"/>
    <x v="12"/>
    <n v="-11.1111111111111"/>
    <n v="-4055.5555555555602"/>
    <n v="-14600"/>
  </r>
  <r>
    <x v="0"/>
    <x v="0"/>
    <x v="0"/>
    <x v="7"/>
    <x v="11"/>
    <s v="NO1_A2"/>
    <x v="14"/>
    <x v="6"/>
    <s v="GETOH_HEATPUMP"/>
    <x v="0"/>
    <x v="13"/>
    <n v="-11.1111111111111"/>
    <n v="-4055.5555555555602"/>
    <n v="-14600"/>
  </r>
  <r>
    <x v="0"/>
    <x v="0"/>
    <x v="0"/>
    <x v="7"/>
    <x v="11"/>
    <s v="NO1_A2"/>
    <x v="14"/>
    <x v="6"/>
    <s v="GETOH_HEATPUMP"/>
    <x v="0"/>
    <x v="14"/>
    <n v="-9.9206425376254597"/>
    <n v="-3621.0345262332899"/>
    <n v="-13035.7242944399"/>
  </r>
  <r>
    <x v="0"/>
    <x v="0"/>
    <x v="0"/>
    <x v="7"/>
    <x v="11"/>
    <s v="NO1_A2"/>
    <x v="14"/>
    <x v="6"/>
    <s v="GETOH_HEATPUMP"/>
    <x v="0"/>
    <x v="15"/>
    <n v="-8.0613707991062693"/>
    <n v="-2942.4003416737901"/>
    <n v="-10592.6412300256"/>
  </r>
  <r>
    <x v="0"/>
    <x v="0"/>
    <x v="0"/>
    <x v="7"/>
    <x v="11"/>
    <s v="NO1_A2"/>
    <x v="14"/>
    <x v="6"/>
    <s v="GETOH_HEATPUMP"/>
    <x v="0"/>
    <x v="16"/>
    <n v="-2.2441324333878399"/>
    <n v="-819.10833818655999"/>
    <n v="-2948.7900174716201"/>
  </r>
  <r>
    <x v="0"/>
    <x v="0"/>
    <x v="0"/>
    <x v="7"/>
    <x v="11"/>
    <s v="NO1_A2"/>
    <x v="1"/>
    <x v="1"/>
    <s v="GBPR_MUNIWASTE"/>
    <x v="0"/>
    <x v="3"/>
    <n v="11.0933333333332"/>
    <n v="4049.0666666666202"/>
    <n v="14576.639999999799"/>
  </r>
  <r>
    <x v="0"/>
    <x v="0"/>
    <x v="0"/>
    <x v="7"/>
    <x v="11"/>
    <s v="NO1_A2"/>
    <x v="1"/>
    <x v="1"/>
    <s v="GBPR_MUNIWASTE"/>
    <x v="0"/>
    <x v="4"/>
    <n v="11.0933333333332"/>
    <n v="4049.0666666666202"/>
    <n v="14576.639999999799"/>
  </r>
  <r>
    <x v="0"/>
    <x v="0"/>
    <x v="0"/>
    <x v="7"/>
    <x v="11"/>
    <s v="NO1_A2"/>
    <x v="1"/>
    <x v="1"/>
    <s v="GBPR_MUNIWASTE"/>
    <x v="0"/>
    <x v="5"/>
    <n v="11.0933333333332"/>
    <n v="4049.0666666666202"/>
    <n v="14576.639999999799"/>
  </r>
  <r>
    <x v="0"/>
    <x v="0"/>
    <x v="0"/>
    <x v="7"/>
    <x v="11"/>
    <s v="NO1_A2"/>
    <x v="1"/>
    <x v="1"/>
    <s v="GBPR_MUNIWASTE"/>
    <x v="0"/>
    <x v="6"/>
    <n v="11.0933333333332"/>
    <n v="4049.0666666666202"/>
    <n v="14576.639999999799"/>
  </r>
  <r>
    <x v="0"/>
    <x v="0"/>
    <x v="0"/>
    <x v="7"/>
    <x v="11"/>
    <s v="NO1_A2"/>
    <x v="1"/>
    <x v="1"/>
    <s v="GBPR_MUNIWASTE"/>
    <x v="0"/>
    <x v="7"/>
    <n v="11.0933333333332"/>
    <n v="4049.0666666666202"/>
    <n v="14576.639999999799"/>
  </r>
  <r>
    <x v="0"/>
    <x v="0"/>
    <x v="0"/>
    <x v="7"/>
    <x v="11"/>
    <s v="NO1_A2"/>
    <x v="1"/>
    <x v="1"/>
    <s v="GBPR_MUNIWASTE"/>
    <x v="0"/>
    <x v="8"/>
    <n v="11.0933333333332"/>
    <n v="4049.0666666666202"/>
    <n v="14576.639999999799"/>
  </r>
  <r>
    <x v="0"/>
    <x v="0"/>
    <x v="0"/>
    <x v="7"/>
    <x v="11"/>
    <s v="NO1_A2"/>
    <x v="1"/>
    <x v="1"/>
    <s v="GBPR_MUNIWASTE"/>
    <x v="0"/>
    <x v="0"/>
    <n v="11.0933333333332"/>
    <n v="4049.0666666666202"/>
    <n v="14576.639999999799"/>
  </r>
  <r>
    <x v="0"/>
    <x v="0"/>
    <x v="0"/>
    <x v="7"/>
    <x v="11"/>
    <s v="NO1_A2"/>
    <x v="1"/>
    <x v="1"/>
    <s v="GBPR_MUNIWASTE"/>
    <x v="0"/>
    <x v="1"/>
    <n v="11.0933333333332"/>
    <n v="4049.0666666666202"/>
    <n v="14576.639999999799"/>
  </r>
  <r>
    <x v="0"/>
    <x v="0"/>
    <x v="0"/>
    <x v="7"/>
    <x v="11"/>
    <s v="NO1_A2"/>
    <x v="1"/>
    <x v="1"/>
    <s v="GBPR_MUNIWASTE"/>
    <x v="0"/>
    <x v="2"/>
    <n v="11.0933333333332"/>
    <n v="4049.0666666666202"/>
    <n v="14576.639999999799"/>
  </r>
  <r>
    <x v="0"/>
    <x v="0"/>
    <x v="0"/>
    <x v="7"/>
    <x v="11"/>
    <s v="NO1_A2"/>
    <x v="1"/>
    <x v="1"/>
    <s v="GBPR_MUNIWASTE"/>
    <x v="0"/>
    <x v="9"/>
    <n v="11.0933333333332"/>
    <n v="4049.0666666666202"/>
    <n v="14576.639999999799"/>
  </r>
  <r>
    <x v="0"/>
    <x v="0"/>
    <x v="0"/>
    <x v="7"/>
    <x v="11"/>
    <s v="NO1_A2"/>
    <x v="1"/>
    <x v="1"/>
    <s v="GBPR_MUNIWASTE"/>
    <x v="0"/>
    <x v="10"/>
    <n v="11.0933333333332"/>
    <n v="4049.0666666666202"/>
    <n v="14576.639999999799"/>
  </r>
  <r>
    <x v="0"/>
    <x v="0"/>
    <x v="0"/>
    <x v="7"/>
    <x v="11"/>
    <s v="NO1_A2"/>
    <x v="1"/>
    <x v="1"/>
    <s v="GBPR_MUNIWASTE"/>
    <x v="0"/>
    <x v="11"/>
    <n v="11.0933333333332"/>
    <n v="4049.0666666666202"/>
    <n v="14576.639999999799"/>
  </r>
  <r>
    <x v="0"/>
    <x v="0"/>
    <x v="0"/>
    <x v="7"/>
    <x v="11"/>
    <s v="NO1_A2"/>
    <x v="1"/>
    <x v="1"/>
    <s v="GBPR_MUNIWASTE"/>
    <x v="0"/>
    <x v="12"/>
    <n v="11.0933333333332"/>
    <n v="4049.0666666666202"/>
    <n v="14576.639999999799"/>
  </r>
  <r>
    <x v="0"/>
    <x v="0"/>
    <x v="0"/>
    <x v="7"/>
    <x v="11"/>
    <s v="NO1_A2"/>
    <x v="1"/>
    <x v="1"/>
    <s v="GBPR_MUNIWASTE"/>
    <x v="0"/>
    <x v="13"/>
    <n v="11.0933333333332"/>
    <n v="4049.0666666666202"/>
    <n v="14576.639999999799"/>
  </r>
  <r>
    <x v="0"/>
    <x v="0"/>
    <x v="0"/>
    <x v="7"/>
    <x v="11"/>
    <s v="NO1_A2"/>
    <x v="1"/>
    <x v="1"/>
    <s v="GBPR_MUNIWASTE"/>
    <x v="0"/>
    <x v="14"/>
    <n v="11.0933333333332"/>
    <n v="4049.0666666666202"/>
    <n v="14576.639999999799"/>
  </r>
  <r>
    <x v="0"/>
    <x v="0"/>
    <x v="0"/>
    <x v="7"/>
    <x v="11"/>
    <s v="NO1_A2"/>
    <x v="1"/>
    <x v="1"/>
    <s v="GBPR_MUNIWASTE"/>
    <x v="0"/>
    <x v="15"/>
    <n v="11.0933333333332"/>
    <n v="4049.0666666666202"/>
    <n v="14576.639999999799"/>
  </r>
  <r>
    <x v="0"/>
    <x v="0"/>
    <x v="0"/>
    <x v="7"/>
    <x v="11"/>
    <s v="NO1_A2"/>
    <x v="1"/>
    <x v="1"/>
    <s v="GBPR_MUNIWASTE"/>
    <x v="0"/>
    <x v="16"/>
    <n v="11.0933333333332"/>
    <n v="4049.0666666666202"/>
    <n v="14576.639999999799"/>
  </r>
  <r>
    <x v="0"/>
    <x v="0"/>
    <x v="0"/>
    <x v="7"/>
    <x v="11"/>
    <s v="NO1_A2"/>
    <x v="1"/>
    <x v="1"/>
    <s v="GBPR_MUNIWASTE"/>
    <x v="0"/>
    <x v="17"/>
    <n v="11.0933333333332"/>
    <n v="4049.0666666666202"/>
    <n v="14576.639999999799"/>
  </r>
  <r>
    <x v="0"/>
    <x v="0"/>
    <x v="0"/>
    <x v="7"/>
    <x v="11"/>
    <s v="NO1_A2"/>
    <x v="1"/>
    <x v="1"/>
    <s v="GBPR_MUNIWASTE"/>
    <x v="0"/>
    <x v="18"/>
    <n v="11.0933333333332"/>
    <n v="4049.0666666666202"/>
    <n v="14576.639999999799"/>
  </r>
  <r>
    <x v="0"/>
    <x v="0"/>
    <x v="0"/>
    <x v="7"/>
    <x v="11"/>
    <s v="NO1_A2"/>
    <x v="1"/>
    <x v="1"/>
    <s v="GBPR_MUNIWASTE"/>
    <x v="0"/>
    <x v="19"/>
    <n v="11.0933333333332"/>
    <n v="4049.0666666666202"/>
    <n v="14576.639999999799"/>
  </r>
  <r>
    <x v="0"/>
    <x v="0"/>
    <x v="0"/>
    <x v="7"/>
    <x v="11"/>
    <s v="NO1_A2"/>
    <x v="1"/>
    <x v="1"/>
    <s v="GBPR_MUNIWASTE"/>
    <x v="0"/>
    <x v="20"/>
    <n v="11.0933333333332"/>
    <n v="4049.0666666666202"/>
    <n v="14576.639999999799"/>
  </r>
  <r>
    <x v="0"/>
    <x v="0"/>
    <x v="0"/>
    <x v="7"/>
    <x v="11"/>
    <s v="NO1_A2"/>
    <x v="1"/>
    <x v="1"/>
    <s v="GBPR_MUNIWASTE"/>
    <x v="0"/>
    <x v="21"/>
    <n v="11.0933333333332"/>
    <n v="4049.0666666666202"/>
    <n v="14576.639999999799"/>
  </r>
  <r>
    <x v="0"/>
    <x v="0"/>
    <x v="0"/>
    <x v="7"/>
    <x v="11"/>
    <s v="NO1_A2"/>
    <x v="1"/>
    <x v="1"/>
    <s v="GBPR_MUNIWASTE"/>
    <x v="0"/>
    <x v="22"/>
    <n v="11.0933333333332"/>
    <n v="4049.0666666666202"/>
    <n v="14576.639999999799"/>
  </r>
  <r>
    <x v="0"/>
    <x v="0"/>
    <x v="0"/>
    <x v="7"/>
    <x v="11"/>
    <s v="NO1_A2"/>
    <x v="1"/>
    <x v="1"/>
    <s v="GBPR_MUNIWASTE"/>
    <x v="0"/>
    <x v="23"/>
    <n v="11.0933333333332"/>
    <n v="4049.0666666666202"/>
    <n v="14576.639999999799"/>
  </r>
  <r>
    <x v="0"/>
    <x v="0"/>
    <x v="0"/>
    <x v="7"/>
    <x v="12"/>
    <s v="NO2_A1"/>
    <x v="1"/>
    <x v="1"/>
    <s v="GBPR_MUNIWASTE"/>
    <x v="0"/>
    <x v="3"/>
    <n v="10.8"/>
    <n v="3942"/>
    <n v="14191.2"/>
  </r>
  <r>
    <x v="0"/>
    <x v="0"/>
    <x v="0"/>
    <x v="7"/>
    <x v="12"/>
    <s v="NO2_A1"/>
    <x v="1"/>
    <x v="1"/>
    <s v="GBPR_MUNIWASTE"/>
    <x v="0"/>
    <x v="4"/>
    <n v="10.8"/>
    <n v="3942"/>
    <n v="14191.2"/>
  </r>
  <r>
    <x v="0"/>
    <x v="0"/>
    <x v="0"/>
    <x v="7"/>
    <x v="12"/>
    <s v="NO2_A1"/>
    <x v="1"/>
    <x v="1"/>
    <s v="GBPR_MUNIWASTE"/>
    <x v="0"/>
    <x v="5"/>
    <n v="10.8"/>
    <n v="3942"/>
    <n v="14191.2"/>
  </r>
  <r>
    <x v="0"/>
    <x v="0"/>
    <x v="0"/>
    <x v="7"/>
    <x v="12"/>
    <s v="NO2_A1"/>
    <x v="1"/>
    <x v="1"/>
    <s v="GBPR_MUNIWASTE"/>
    <x v="0"/>
    <x v="6"/>
    <n v="10.8"/>
    <n v="3942"/>
    <n v="14191.2"/>
  </r>
  <r>
    <x v="0"/>
    <x v="0"/>
    <x v="0"/>
    <x v="7"/>
    <x v="12"/>
    <s v="NO2_A1"/>
    <x v="1"/>
    <x v="1"/>
    <s v="GBPR_MUNIWASTE"/>
    <x v="0"/>
    <x v="7"/>
    <n v="10.8"/>
    <n v="3942"/>
    <n v="14191.2"/>
  </r>
  <r>
    <x v="0"/>
    <x v="0"/>
    <x v="0"/>
    <x v="7"/>
    <x v="12"/>
    <s v="NO2_A1"/>
    <x v="1"/>
    <x v="1"/>
    <s v="GBPR_MUNIWASTE"/>
    <x v="0"/>
    <x v="8"/>
    <n v="10.8"/>
    <n v="3942"/>
    <n v="14191.2"/>
  </r>
  <r>
    <x v="0"/>
    <x v="0"/>
    <x v="0"/>
    <x v="7"/>
    <x v="12"/>
    <s v="NO2_A1"/>
    <x v="1"/>
    <x v="1"/>
    <s v="GBPR_MUNIWASTE"/>
    <x v="0"/>
    <x v="0"/>
    <n v="10.8"/>
    <n v="3942"/>
    <n v="14191.2"/>
  </r>
  <r>
    <x v="0"/>
    <x v="0"/>
    <x v="0"/>
    <x v="7"/>
    <x v="12"/>
    <s v="NO2_A1"/>
    <x v="1"/>
    <x v="1"/>
    <s v="GBPR_MUNIWASTE"/>
    <x v="0"/>
    <x v="1"/>
    <n v="10.8"/>
    <n v="3942"/>
    <n v="14191.2"/>
  </r>
  <r>
    <x v="0"/>
    <x v="0"/>
    <x v="0"/>
    <x v="7"/>
    <x v="12"/>
    <s v="NO2_A1"/>
    <x v="1"/>
    <x v="1"/>
    <s v="GBPR_MUNIWASTE"/>
    <x v="0"/>
    <x v="2"/>
    <n v="10.8"/>
    <n v="3942"/>
    <n v="14191.2"/>
  </r>
  <r>
    <x v="0"/>
    <x v="0"/>
    <x v="0"/>
    <x v="7"/>
    <x v="12"/>
    <s v="NO2_A1"/>
    <x v="1"/>
    <x v="1"/>
    <s v="GBPR_MUNIWASTE"/>
    <x v="0"/>
    <x v="9"/>
    <n v="10.8"/>
    <n v="3942"/>
    <n v="14191.2"/>
  </r>
  <r>
    <x v="0"/>
    <x v="0"/>
    <x v="0"/>
    <x v="7"/>
    <x v="12"/>
    <s v="NO2_A1"/>
    <x v="1"/>
    <x v="1"/>
    <s v="GBPR_MUNIWASTE"/>
    <x v="0"/>
    <x v="10"/>
    <n v="10.8"/>
    <n v="3942"/>
    <n v="14191.2"/>
  </r>
  <r>
    <x v="0"/>
    <x v="0"/>
    <x v="0"/>
    <x v="7"/>
    <x v="12"/>
    <s v="NO2_A1"/>
    <x v="1"/>
    <x v="1"/>
    <s v="GBPR_MUNIWASTE"/>
    <x v="0"/>
    <x v="11"/>
    <n v="10.8"/>
    <n v="3942"/>
    <n v="14191.2"/>
  </r>
  <r>
    <x v="0"/>
    <x v="0"/>
    <x v="0"/>
    <x v="7"/>
    <x v="12"/>
    <s v="NO2_A1"/>
    <x v="1"/>
    <x v="1"/>
    <s v="GBPR_MUNIWASTE"/>
    <x v="0"/>
    <x v="12"/>
    <n v="10.8"/>
    <n v="3942"/>
    <n v="14191.2"/>
  </r>
  <r>
    <x v="0"/>
    <x v="0"/>
    <x v="0"/>
    <x v="7"/>
    <x v="12"/>
    <s v="NO2_A1"/>
    <x v="1"/>
    <x v="1"/>
    <s v="GBPR_MUNIWASTE"/>
    <x v="0"/>
    <x v="13"/>
    <n v="10.8"/>
    <n v="3942"/>
    <n v="14191.2"/>
  </r>
  <r>
    <x v="0"/>
    <x v="0"/>
    <x v="0"/>
    <x v="7"/>
    <x v="12"/>
    <s v="NO2_A1"/>
    <x v="1"/>
    <x v="1"/>
    <s v="GBPR_MUNIWASTE"/>
    <x v="0"/>
    <x v="14"/>
    <n v="10.8"/>
    <n v="3942"/>
    <n v="14191.2"/>
  </r>
  <r>
    <x v="0"/>
    <x v="0"/>
    <x v="0"/>
    <x v="7"/>
    <x v="12"/>
    <s v="NO2_A1"/>
    <x v="1"/>
    <x v="1"/>
    <s v="GBPR_MUNIWASTE"/>
    <x v="0"/>
    <x v="15"/>
    <n v="10.8"/>
    <n v="3942"/>
    <n v="14191.2"/>
  </r>
  <r>
    <x v="0"/>
    <x v="0"/>
    <x v="0"/>
    <x v="7"/>
    <x v="12"/>
    <s v="NO2_A1"/>
    <x v="1"/>
    <x v="1"/>
    <s v="GBPR_MUNIWASTE"/>
    <x v="0"/>
    <x v="16"/>
    <n v="10.8"/>
    <n v="3942"/>
    <n v="14191.2"/>
  </r>
  <r>
    <x v="0"/>
    <x v="0"/>
    <x v="0"/>
    <x v="7"/>
    <x v="12"/>
    <s v="NO2_A1"/>
    <x v="1"/>
    <x v="1"/>
    <s v="GBPR_MUNIWASTE"/>
    <x v="0"/>
    <x v="17"/>
    <n v="10.8"/>
    <n v="3942"/>
    <n v="14191.2"/>
  </r>
  <r>
    <x v="0"/>
    <x v="0"/>
    <x v="0"/>
    <x v="7"/>
    <x v="12"/>
    <s v="NO2_A1"/>
    <x v="1"/>
    <x v="1"/>
    <s v="GBPR_MUNIWASTE"/>
    <x v="0"/>
    <x v="18"/>
    <n v="10.8"/>
    <n v="3942"/>
    <n v="14191.2"/>
  </r>
  <r>
    <x v="0"/>
    <x v="0"/>
    <x v="0"/>
    <x v="7"/>
    <x v="12"/>
    <s v="NO2_A1"/>
    <x v="1"/>
    <x v="1"/>
    <s v="GBPR_MUNIWASTE"/>
    <x v="0"/>
    <x v="19"/>
    <n v="10.8"/>
    <n v="3942"/>
    <n v="14191.2"/>
  </r>
  <r>
    <x v="0"/>
    <x v="0"/>
    <x v="0"/>
    <x v="7"/>
    <x v="12"/>
    <s v="NO2_A1"/>
    <x v="1"/>
    <x v="1"/>
    <s v="GBPR_MUNIWASTE"/>
    <x v="0"/>
    <x v="20"/>
    <n v="10.8"/>
    <n v="3942"/>
    <n v="14191.2"/>
  </r>
  <r>
    <x v="0"/>
    <x v="0"/>
    <x v="0"/>
    <x v="7"/>
    <x v="12"/>
    <s v="NO2_A1"/>
    <x v="1"/>
    <x v="1"/>
    <s v="GBPR_MUNIWASTE"/>
    <x v="0"/>
    <x v="21"/>
    <n v="10.8"/>
    <n v="3942"/>
    <n v="14191.2"/>
  </r>
  <r>
    <x v="0"/>
    <x v="0"/>
    <x v="0"/>
    <x v="7"/>
    <x v="12"/>
    <s v="NO2_A1"/>
    <x v="1"/>
    <x v="1"/>
    <s v="GBPR_MUNIWASTE"/>
    <x v="0"/>
    <x v="22"/>
    <n v="10.8"/>
    <n v="3942"/>
    <n v="14191.2"/>
  </r>
  <r>
    <x v="0"/>
    <x v="0"/>
    <x v="0"/>
    <x v="7"/>
    <x v="12"/>
    <s v="NO2_A1"/>
    <x v="1"/>
    <x v="1"/>
    <s v="GBPR_MUNIWASTE"/>
    <x v="0"/>
    <x v="23"/>
    <n v="10.8"/>
    <n v="3942"/>
    <n v="14191.2"/>
  </r>
  <r>
    <x v="0"/>
    <x v="0"/>
    <x v="0"/>
    <x v="7"/>
    <x v="12"/>
    <s v="NO2_A1"/>
    <x v="6"/>
    <x v="7"/>
    <s v="GNR_RES_WTR_NOPMP_MC-01"/>
    <x v="0"/>
    <x v="3"/>
    <n v="367.19205575436598"/>
    <n v="134025.100350344"/>
    <n v="482490.36126123701"/>
  </r>
  <r>
    <x v="0"/>
    <x v="0"/>
    <x v="0"/>
    <x v="7"/>
    <x v="12"/>
    <s v="NO2_A1"/>
    <x v="6"/>
    <x v="7"/>
    <s v="GNR_RES_WTR_NOPMP_MC-01"/>
    <x v="0"/>
    <x v="4"/>
    <n v="367.19205575436598"/>
    <n v="134025.100350344"/>
    <n v="482490.36126123701"/>
  </r>
  <r>
    <x v="0"/>
    <x v="0"/>
    <x v="0"/>
    <x v="7"/>
    <x v="12"/>
    <s v="NO2_A1"/>
    <x v="6"/>
    <x v="7"/>
    <s v="GNR_RES_WTR_NOPMP_MC-01"/>
    <x v="0"/>
    <x v="5"/>
    <n v="367.19205575436598"/>
    <n v="134025.100350344"/>
    <n v="482490.36126123701"/>
  </r>
  <r>
    <x v="0"/>
    <x v="0"/>
    <x v="0"/>
    <x v="7"/>
    <x v="12"/>
    <s v="NO2_A1"/>
    <x v="6"/>
    <x v="7"/>
    <s v="GNR_RES_WTR_NOPMP_MC-01"/>
    <x v="0"/>
    <x v="6"/>
    <n v="367.19205575436598"/>
    <n v="134025.100350344"/>
    <n v="482490.36126123701"/>
  </r>
  <r>
    <x v="0"/>
    <x v="0"/>
    <x v="0"/>
    <x v="7"/>
    <x v="12"/>
    <s v="NO2_A1"/>
    <x v="6"/>
    <x v="7"/>
    <s v="GNR_RES_WTR_NOPMP_MC-01"/>
    <x v="0"/>
    <x v="7"/>
    <n v="367.19205575436598"/>
    <n v="134025.100350344"/>
    <n v="482490.36126123701"/>
  </r>
  <r>
    <x v="0"/>
    <x v="0"/>
    <x v="0"/>
    <x v="7"/>
    <x v="12"/>
    <s v="NO2_A1"/>
    <x v="6"/>
    <x v="7"/>
    <s v="GNR_RES_WTR_NOPMP_MC-01"/>
    <x v="0"/>
    <x v="8"/>
    <n v="367.19205575436598"/>
    <n v="134025.100350344"/>
    <n v="482490.36126123701"/>
  </r>
  <r>
    <x v="0"/>
    <x v="0"/>
    <x v="0"/>
    <x v="7"/>
    <x v="12"/>
    <s v="NO2_A1"/>
    <x v="6"/>
    <x v="7"/>
    <s v="GNR_RES_WTR_NOPMP_MC-01"/>
    <x v="0"/>
    <x v="0"/>
    <n v="367.19205575436598"/>
    <n v="134025.100350344"/>
    <n v="482490.36126123701"/>
  </r>
  <r>
    <x v="0"/>
    <x v="0"/>
    <x v="0"/>
    <x v="7"/>
    <x v="12"/>
    <s v="NO2_A1"/>
    <x v="6"/>
    <x v="7"/>
    <s v="GNR_RES_WTR_NOPMP_MC-01"/>
    <x v="0"/>
    <x v="1"/>
    <n v="367.19205575436598"/>
    <n v="134025.100350344"/>
    <n v="482490.36126123701"/>
  </r>
  <r>
    <x v="0"/>
    <x v="0"/>
    <x v="0"/>
    <x v="7"/>
    <x v="12"/>
    <s v="NO2_A1"/>
    <x v="6"/>
    <x v="7"/>
    <s v="GNR_RES_WTR_NOPMP_MC-01"/>
    <x v="0"/>
    <x v="2"/>
    <n v="367.19205575436598"/>
    <n v="134025.100350344"/>
    <n v="482490.36126123701"/>
  </r>
  <r>
    <x v="0"/>
    <x v="0"/>
    <x v="0"/>
    <x v="7"/>
    <x v="12"/>
    <s v="NO2_A1"/>
    <x v="6"/>
    <x v="7"/>
    <s v="GNR_RES_WTR_NOPMP_MC-01"/>
    <x v="0"/>
    <x v="9"/>
    <n v="367.19205575436598"/>
    <n v="134025.100350344"/>
    <n v="482490.36126123701"/>
  </r>
  <r>
    <x v="0"/>
    <x v="0"/>
    <x v="0"/>
    <x v="7"/>
    <x v="12"/>
    <s v="NO2_A1"/>
    <x v="6"/>
    <x v="7"/>
    <s v="GNR_RES_WTR_NOPMP_MC-01"/>
    <x v="0"/>
    <x v="10"/>
    <n v="367.19205575436598"/>
    <n v="134025.100350344"/>
    <n v="482490.36126123701"/>
  </r>
  <r>
    <x v="0"/>
    <x v="0"/>
    <x v="0"/>
    <x v="7"/>
    <x v="12"/>
    <s v="NO2_A1"/>
    <x v="6"/>
    <x v="7"/>
    <s v="GNR_RES_WTR_NOPMP_MC-01"/>
    <x v="0"/>
    <x v="11"/>
    <n v="367.19205575436598"/>
    <n v="134025.100350344"/>
    <n v="482490.36126123701"/>
  </r>
  <r>
    <x v="0"/>
    <x v="0"/>
    <x v="0"/>
    <x v="7"/>
    <x v="12"/>
    <s v="NO2_A1"/>
    <x v="6"/>
    <x v="7"/>
    <s v="GNR_RES_WTR_NOPMP_MC-01"/>
    <x v="0"/>
    <x v="12"/>
    <n v="367.19205575436598"/>
    <n v="134025.100350344"/>
    <n v="482490.36126123701"/>
  </r>
  <r>
    <x v="0"/>
    <x v="0"/>
    <x v="0"/>
    <x v="7"/>
    <x v="12"/>
    <s v="NO2_A1"/>
    <x v="6"/>
    <x v="7"/>
    <s v="GNR_RES_WTR_NOPMP_MC-01"/>
    <x v="0"/>
    <x v="13"/>
    <n v="367.19205575436598"/>
    <n v="134025.100350344"/>
    <n v="482490.36126123701"/>
  </r>
  <r>
    <x v="0"/>
    <x v="0"/>
    <x v="0"/>
    <x v="7"/>
    <x v="12"/>
    <s v="NO2_A1"/>
    <x v="6"/>
    <x v="7"/>
    <s v="GNR_RES_WTR_NOPMP_MC-01"/>
    <x v="0"/>
    <x v="14"/>
    <n v="367.19205575436598"/>
    <n v="134025.100350344"/>
    <n v="482490.36126123701"/>
  </r>
  <r>
    <x v="0"/>
    <x v="0"/>
    <x v="0"/>
    <x v="7"/>
    <x v="12"/>
    <s v="NO2_A1"/>
    <x v="6"/>
    <x v="7"/>
    <s v="GNR_RES_WTR_NOPMP_MC-01"/>
    <x v="0"/>
    <x v="15"/>
    <n v="367.19205575436598"/>
    <n v="134025.100350344"/>
    <n v="482490.36126123701"/>
  </r>
  <r>
    <x v="0"/>
    <x v="0"/>
    <x v="0"/>
    <x v="7"/>
    <x v="12"/>
    <s v="NO2_A1"/>
    <x v="6"/>
    <x v="7"/>
    <s v="GNR_RES_WTR_NOPMP_MC-01"/>
    <x v="0"/>
    <x v="16"/>
    <n v="367.19205575436598"/>
    <n v="134025.100350344"/>
    <n v="482490.36126123701"/>
  </r>
  <r>
    <x v="0"/>
    <x v="0"/>
    <x v="0"/>
    <x v="7"/>
    <x v="12"/>
    <s v="NO2_A1"/>
    <x v="6"/>
    <x v="7"/>
    <s v="GNR_RES_WTR_NOPMP_MC-01"/>
    <x v="0"/>
    <x v="17"/>
    <n v="367.19205575436598"/>
    <n v="134025.100350344"/>
    <n v="482490.36126123701"/>
  </r>
  <r>
    <x v="0"/>
    <x v="0"/>
    <x v="0"/>
    <x v="7"/>
    <x v="12"/>
    <s v="NO2_A1"/>
    <x v="6"/>
    <x v="7"/>
    <s v="GNR_RES_WTR_NOPMP_MC-01"/>
    <x v="0"/>
    <x v="18"/>
    <n v="367.19205575436598"/>
    <n v="134025.100350344"/>
    <n v="482490.36126123701"/>
  </r>
  <r>
    <x v="0"/>
    <x v="0"/>
    <x v="0"/>
    <x v="7"/>
    <x v="12"/>
    <s v="NO2_A1"/>
    <x v="6"/>
    <x v="7"/>
    <s v="GNR_RES_WTR_NOPMP_MC-01"/>
    <x v="0"/>
    <x v="19"/>
    <n v="367.19205575436598"/>
    <n v="134025.100350344"/>
    <n v="482490.36126123701"/>
  </r>
  <r>
    <x v="0"/>
    <x v="0"/>
    <x v="0"/>
    <x v="7"/>
    <x v="12"/>
    <s v="NO2_A1"/>
    <x v="6"/>
    <x v="7"/>
    <s v="GNR_RES_WTR_NOPMP_MC-01"/>
    <x v="0"/>
    <x v="20"/>
    <n v="367.19205575436598"/>
    <n v="134025.100350344"/>
    <n v="482490.36126123701"/>
  </r>
  <r>
    <x v="0"/>
    <x v="0"/>
    <x v="0"/>
    <x v="7"/>
    <x v="12"/>
    <s v="NO2_A1"/>
    <x v="6"/>
    <x v="7"/>
    <s v="GNR_RES_WTR_NOPMP_MC-01"/>
    <x v="0"/>
    <x v="21"/>
    <n v="367.19205575436598"/>
    <n v="134025.100350344"/>
    <n v="482490.36126123701"/>
  </r>
  <r>
    <x v="0"/>
    <x v="0"/>
    <x v="0"/>
    <x v="7"/>
    <x v="12"/>
    <s v="NO2_A1"/>
    <x v="6"/>
    <x v="7"/>
    <s v="GNR_RES_WTR_NOPMP_MC-01"/>
    <x v="0"/>
    <x v="22"/>
    <n v="367.19205575436598"/>
    <n v="134025.100350344"/>
    <n v="482490.36126123701"/>
  </r>
  <r>
    <x v="0"/>
    <x v="0"/>
    <x v="0"/>
    <x v="7"/>
    <x v="12"/>
    <s v="NO2_A1"/>
    <x v="6"/>
    <x v="7"/>
    <s v="GNR_RES_WTR_NOPMP_MC-01"/>
    <x v="0"/>
    <x v="23"/>
    <n v="367.19205575436598"/>
    <n v="134025.100350344"/>
    <n v="482490.36126123701"/>
  </r>
  <r>
    <x v="0"/>
    <x v="0"/>
    <x v="0"/>
    <x v="7"/>
    <x v="12"/>
    <s v="NO2_A1"/>
    <x v="6"/>
    <x v="7"/>
    <s v="GNR_RES_WTR_NOPMP_MC-02"/>
    <x v="0"/>
    <x v="3"/>
    <n v="887.19205575436604"/>
    <n v="323825.10035034397"/>
    <n v="1165770.36126124"/>
  </r>
  <r>
    <x v="0"/>
    <x v="0"/>
    <x v="0"/>
    <x v="7"/>
    <x v="12"/>
    <s v="NO2_A1"/>
    <x v="6"/>
    <x v="7"/>
    <s v="GNR_RES_WTR_NOPMP_MC-02"/>
    <x v="0"/>
    <x v="4"/>
    <n v="887.19205575436604"/>
    <n v="323825.10035034397"/>
    <n v="1165770.36126124"/>
  </r>
  <r>
    <x v="0"/>
    <x v="0"/>
    <x v="0"/>
    <x v="7"/>
    <x v="12"/>
    <s v="NO2_A1"/>
    <x v="6"/>
    <x v="7"/>
    <s v="GNR_RES_WTR_NOPMP_MC-02"/>
    <x v="0"/>
    <x v="5"/>
    <n v="887.19205575436604"/>
    <n v="323825.10035034397"/>
    <n v="1165770.36126124"/>
  </r>
  <r>
    <x v="0"/>
    <x v="0"/>
    <x v="0"/>
    <x v="7"/>
    <x v="12"/>
    <s v="NO2_A1"/>
    <x v="6"/>
    <x v="7"/>
    <s v="GNR_RES_WTR_NOPMP_MC-02"/>
    <x v="0"/>
    <x v="6"/>
    <n v="887.19205575436604"/>
    <n v="323825.10035034397"/>
    <n v="1165770.36126124"/>
  </r>
  <r>
    <x v="0"/>
    <x v="0"/>
    <x v="0"/>
    <x v="7"/>
    <x v="12"/>
    <s v="NO2_A1"/>
    <x v="6"/>
    <x v="7"/>
    <s v="GNR_RES_WTR_NOPMP_MC-02"/>
    <x v="0"/>
    <x v="7"/>
    <n v="887.19205575436604"/>
    <n v="323825.10035034397"/>
    <n v="1165770.36126124"/>
  </r>
  <r>
    <x v="0"/>
    <x v="0"/>
    <x v="0"/>
    <x v="7"/>
    <x v="12"/>
    <s v="NO2_A1"/>
    <x v="6"/>
    <x v="7"/>
    <s v="GNR_RES_WTR_NOPMP_MC-02"/>
    <x v="0"/>
    <x v="8"/>
    <n v="887.19205575436604"/>
    <n v="323825.10035034397"/>
    <n v="1165770.36126124"/>
  </r>
  <r>
    <x v="0"/>
    <x v="0"/>
    <x v="0"/>
    <x v="7"/>
    <x v="12"/>
    <s v="NO2_A1"/>
    <x v="6"/>
    <x v="7"/>
    <s v="GNR_RES_WTR_NOPMP_MC-02"/>
    <x v="0"/>
    <x v="0"/>
    <n v="887.19205575436604"/>
    <n v="323825.10035034397"/>
    <n v="1165770.36126124"/>
  </r>
  <r>
    <x v="0"/>
    <x v="0"/>
    <x v="0"/>
    <x v="7"/>
    <x v="12"/>
    <s v="NO2_A1"/>
    <x v="6"/>
    <x v="7"/>
    <s v="GNR_RES_WTR_NOPMP_MC-02"/>
    <x v="0"/>
    <x v="1"/>
    <n v="887.19205575436604"/>
    <n v="323825.10035034397"/>
    <n v="1165770.36126124"/>
  </r>
  <r>
    <x v="0"/>
    <x v="0"/>
    <x v="0"/>
    <x v="7"/>
    <x v="12"/>
    <s v="NO2_A1"/>
    <x v="6"/>
    <x v="7"/>
    <s v="GNR_RES_WTR_NOPMP_MC-02"/>
    <x v="0"/>
    <x v="2"/>
    <n v="887.19205575436604"/>
    <n v="323825.10035034397"/>
    <n v="1165770.36126124"/>
  </r>
  <r>
    <x v="0"/>
    <x v="0"/>
    <x v="0"/>
    <x v="7"/>
    <x v="12"/>
    <s v="NO2_A1"/>
    <x v="6"/>
    <x v="7"/>
    <s v="GNR_RES_WTR_NOPMP_MC-02"/>
    <x v="0"/>
    <x v="9"/>
    <n v="887.19205575436604"/>
    <n v="323825.10035034397"/>
    <n v="1165770.36126124"/>
  </r>
  <r>
    <x v="0"/>
    <x v="0"/>
    <x v="0"/>
    <x v="7"/>
    <x v="12"/>
    <s v="NO2_A1"/>
    <x v="6"/>
    <x v="7"/>
    <s v="GNR_RES_WTR_NOPMP_MC-02"/>
    <x v="0"/>
    <x v="10"/>
    <n v="887.19205575436604"/>
    <n v="323825.10035034397"/>
    <n v="1165770.36126124"/>
  </r>
  <r>
    <x v="0"/>
    <x v="0"/>
    <x v="0"/>
    <x v="7"/>
    <x v="12"/>
    <s v="NO2_A1"/>
    <x v="6"/>
    <x v="7"/>
    <s v="GNR_RES_WTR_NOPMP_MC-02"/>
    <x v="0"/>
    <x v="11"/>
    <n v="887.19205575436604"/>
    <n v="323825.10035034397"/>
    <n v="1165770.36126124"/>
  </r>
  <r>
    <x v="0"/>
    <x v="0"/>
    <x v="0"/>
    <x v="7"/>
    <x v="12"/>
    <s v="NO2_A1"/>
    <x v="6"/>
    <x v="7"/>
    <s v="GNR_RES_WTR_NOPMP_MC-02"/>
    <x v="0"/>
    <x v="12"/>
    <n v="887.19205575436604"/>
    <n v="323825.10035034397"/>
    <n v="1165770.36126124"/>
  </r>
  <r>
    <x v="0"/>
    <x v="0"/>
    <x v="0"/>
    <x v="7"/>
    <x v="12"/>
    <s v="NO2_A1"/>
    <x v="6"/>
    <x v="7"/>
    <s v="GNR_RES_WTR_NOPMP_MC-02"/>
    <x v="0"/>
    <x v="13"/>
    <n v="887.19205575436604"/>
    <n v="323825.10035034397"/>
    <n v="1165770.36126124"/>
  </r>
  <r>
    <x v="0"/>
    <x v="0"/>
    <x v="0"/>
    <x v="7"/>
    <x v="12"/>
    <s v="NO2_A1"/>
    <x v="6"/>
    <x v="7"/>
    <s v="GNR_RES_WTR_NOPMP_MC-02"/>
    <x v="0"/>
    <x v="14"/>
    <n v="887.19205575436604"/>
    <n v="323825.10035034397"/>
    <n v="1165770.36126124"/>
  </r>
  <r>
    <x v="0"/>
    <x v="0"/>
    <x v="0"/>
    <x v="7"/>
    <x v="12"/>
    <s v="NO2_A1"/>
    <x v="6"/>
    <x v="7"/>
    <s v="GNR_RES_WTR_NOPMP_MC-02"/>
    <x v="0"/>
    <x v="15"/>
    <n v="887.19205575436604"/>
    <n v="323825.10035034397"/>
    <n v="1165770.36126124"/>
  </r>
  <r>
    <x v="0"/>
    <x v="0"/>
    <x v="0"/>
    <x v="7"/>
    <x v="12"/>
    <s v="NO2_A1"/>
    <x v="6"/>
    <x v="7"/>
    <s v="GNR_RES_WTR_NOPMP_MC-02"/>
    <x v="0"/>
    <x v="16"/>
    <n v="887.19205575436604"/>
    <n v="323825.10035034397"/>
    <n v="1165770.36126124"/>
  </r>
  <r>
    <x v="0"/>
    <x v="0"/>
    <x v="0"/>
    <x v="7"/>
    <x v="12"/>
    <s v="NO2_A1"/>
    <x v="6"/>
    <x v="7"/>
    <s v="GNR_RES_WTR_NOPMP_MC-02"/>
    <x v="0"/>
    <x v="17"/>
    <n v="887.19205575436604"/>
    <n v="323825.10035034397"/>
    <n v="1165770.36126124"/>
  </r>
  <r>
    <x v="0"/>
    <x v="0"/>
    <x v="0"/>
    <x v="7"/>
    <x v="12"/>
    <s v="NO2_A1"/>
    <x v="6"/>
    <x v="7"/>
    <s v="GNR_RES_WTR_NOPMP_MC-02"/>
    <x v="0"/>
    <x v="18"/>
    <n v="887.19205575436604"/>
    <n v="323825.10035034397"/>
    <n v="1165770.36126124"/>
  </r>
  <r>
    <x v="0"/>
    <x v="0"/>
    <x v="0"/>
    <x v="7"/>
    <x v="12"/>
    <s v="NO2_A1"/>
    <x v="6"/>
    <x v="7"/>
    <s v="GNR_RES_WTR_NOPMP_MC-02"/>
    <x v="0"/>
    <x v="19"/>
    <n v="887.19205575436604"/>
    <n v="323825.10035034397"/>
    <n v="1165770.36126124"/>
  </r>
  <r>
    <x v="0"/>
    <x v="0"/>
    <x v="0"/>
    <x v="7"/>
    <x v="12"/>
    <s v="NO2_A1"/>
    <x v="6"/>
    <x v="7"/>
    <s v="GNR_RES_WTR_NOPMP_MC-02"/>
    <x v="0"/>
    <x v="20"/>
    <n v="887.19205575436604"/>
    <n v="323825.10035034397"/>
    <n v="1165770.36126124"/>
  </r>
  <r>
    <x v="0"/>
    <x v="0"/>
    <x v="0"/>
    <x v="7"/>
    <x v="12"/>
    <s v="NO2_A1"/>
    <x v="6"/>
    <x v="7"/>
    <s v="GNR_RES_WTR_NOPMP_MC-02"/>
    <x v="0"/>
    <x v="21"/>
    <n v="887.19205575436604"/>
    <n v="323825.10035034397"/>
    <n v="1165770.36126124"/>
  </r>
  <r>
    <x v="0"/>
    <x v="0"/>
    <x v="0"/>
    <x v="7"/>
    <x v="12"/>
    <s v="NO2_A1"/>
    <x v="6"/>
    <x v="7"/>
    <s v="GNR_RES_WTR_NOPMP_MC-02"/>
    <x v="0"/>
    <x v="22"/>
    <n v="887.19205575436604"/>
    <n v="323825.10035034397"/>
    <n v="1165770.36126124"/>
  </r>
  <r>
    <x v="0"/>
    <x v="0"/>
    <x v="0"/>
    <x v="7"/>
    <x v="12"/>
    <s v="NO2_A1"/>
    <x v="6"/>
    <x v="7"/>
    <s v="GNR_RES_WTR_NOPMP_MC-02"/>
    <x v="0"/>
    <x v="23"/>
    <n v="887.19205575436604"/>
    <n v="323825.10035034397"/>
    <n v="1165770.36126124"/>
  </r>
  <r>
    <x v="0"/>
    <x v="0"/>
    <x v="0"/>
    <x v="7"/>
    <x v="12"/>
    <s v="NO2_A1"/>
    <x v="6"/>
    <x v="7"/>
    <s v="GNR_RES_WTR_NOPMP_MC-03"/>
    <x v="0"/>
    <x v="3"/>
    <n v="887.19205575436604"/>
    <n v="323825.10035034397"/>
    <n v="1165770.36126124"/>
  </r>
  <r>
    <x v="0"/>
    <x v="0"/>
    <x v="0"/>
    <x v="7"/>
    <x v="12"/>
    <s v="NO2_A1"/>
    <x v="6"/>
    <x v="7"/>
    <s v="GNR_RES_WTR_NOPMP_MC-03"/>
    <x v="0"/>
    <x v="4"/>
    <n v="887.19205575436604"/>
    <n v="323825.10035034397"/>
    <n v="1165770.36126124"/>
  </r>
  <r>
    <x v="0"/>
    <x v="0"/>
    <x v="0"/>
    <x v="7"/>
    <x v="12"/>
    <s v="NO2_A1"/>
    <x v="6"/>
    <x v="7"/>
    <s v="GNR_RES_WTR_NOPMP_MC-03"/>
    <x v="0"/>
    <x v="5"/>
    <n v="812.47746994276304"/>
    <n v="296554.276529108"/>
    <n v="1067595.3955047899"/>
  </r>
  <r>
    <x v="0"/>
    <x v="0"/>
    <x v="0"/>
    <x v="7"/>
    <x v="12"/>
    <s v="NO2_A1"/>
    <x v="6"/>
    <x v="7"/>
    <s v="GNR_RES_WTR_NOPMP_MC-03"/>
    <x v="0"/>
    <x v="6"/>
    <n v="830.62310738355995"/>
    <n v="303177.43419499899"/>
    <n v="1091438.7631020001"/>
  </r>
  <r>
    <x v="0"/>
    <x v="0"/>
    <x v="0"/>
    <x v="7"/>
    <x v="12"/>
    <s v="NO2_A1"/>
    <x v="6"/>
    <x v="7"/>
    <s v="GNR_RES_WTR_NOPMP_MC-03"/>
    <x v="0"/>
    <x v="7"/>
    <n v="887.19205575436604"/>
    <n v="323825.10035034397"/>
    <n v="1165770.36126124"/>
  </r>
  <r>
    <x v="0"/>
    <x v="0"/>
    <x v="0"/>
    <x v="7"/>
    <x v="12"/>
    <s v="NO2_A1"/>
    <x v="6"/>
    <x v="7"/>
    <s v="GNR_RES_WTR_NOPMP_MC-03"/>
    <x v="0"/>
    <x v="8"/>
    <n v="887.19205575436604"/>
    <n v="323825.10035034397"/>
    <n v="1165770.36126124"/>
  </r>
  <r>
    <x v="0"/>
    <x v="0"/>
    <x v="0"/>
    <x v="7"/>
    <x v="12"/>
    <s v="NO2_A1"/>
    <x v="6"/>
    <x v="7"/>
    <s v="GNR_RES_WTR_NOPMP_MC-03"/>
    <x v="0"/>
    <x v="0"/>
    <n v="887.19205575436604"/>
    <n v="323825.10035034397"/>
    <n v="1165770.36126124"/>
  </r>
  <r>
    <x v="0"/>
    <x v="0"/>
    <x v="0"/>
    <x v="7"/>
    <x v="12"/>
    <s v="NO2_A1"/>
    <x v="6"/>
    <x v="7"/>
    <s v="GNR_RES_WTR_NOPMP_MC-03"/>
    <x v="0"/>
    <x v="1"/>
    <n v="887.19205575436604"/>
    <n v="323825.10035034397"/>
    <n v="1165770.36126124"/>
  </r>
  <r>
    <x v="0"/>
    <x v="0"/>
    <x v="0"/>
    <x v="7"/>
    <x v="12"/>
    <s v="NO2_A1"/>
    <x v="6"/>
    <x v="7"/>
    <s v="GNR_RES_WTR_NOPMP_MC-03"/>
    <x v="0"/>
    <x v="2"/>
    <n v="887.19205575436604"/>
    <n v="323825.10035034397"/>
    <n v="1165770.36126124"/>
  </r>
  <r>
    <x v="0"/>
    <x v="0"/>
    <x v="0"/>
    <x v="7"/>
    <x v="12"/>
    <s v="NO2_A1"/>
    <x v="6"/>
    <x v="7"/>
    <s v="GNR_RES_WTR_NOPMP_MC-03"/>
    <x v="0"/>
    <x v="9"/>
    <n v="887.19205575436604"/>
    <n v="323825.10035034397"/>
    <n v="1165770.36126124"/>
  </r>
  <r>
    <x v="0"/>
    <x v="0"/>
    <x v="0"/>
    <x v="7"/>
    <x v="12"/>
    <s v="NO2_A1"/>
    <x v="6"/>
    <x v="7"/>
    <s v="GNR_RES_WTR_NOPMP_MC-03"/>
    <x v="0"/>
    <x v="10"/>
    <n v="887.19205575436604"/>
    <n v="323825.10035034397"/>
    <n v="1165770.36126124"/>
  </r>
  <r>
    <x v="0"/>
    <x v="0"/>
    <x v="0"/>
    <x v="7"/>
    <x v="12"/>
    <s v="NO2_A1"/>
    <x v="6"/>
    <x v="7"/>
    <s v="GNR_RES_WTR_NOPMP_MC-03"/>
    <x v="0"/>
    <x v="11"/>
    <n v="887.19205575436604"/>
    <n v="323825.10035034397"/>
    <n v="1165770.36126124"/>
  </r>
  <r>
    <x v="0"/>
    <x v="0"/>
    <x v="0"/>
    <x v="7"/>
    <x v="12"/>
    <s v="NO2_A1"/>
    <x v="6"/>
    <x v="7"/>
    <s v="GNR_RES_WTR_NOPMP_MC-03"/>
    <x v="0"/>
    <x v="12"/>
    <n v="887.19205575436604"/>
    <n v="323825.10035034397"/>
    <n v="1165770.36126124"/>
  </r>
  <r>
    <x v="0"/>
    <x v="0"/>
    <x v="0"/>
    <x v="7"/>
    <x v="12"/>
    <s v="NO2_A1"/>
    <x v="6"/>
    <x v="7"/>
    <s v="GNR_RES_WTR_NOPMP_MC-03"/>
    <x v="0"/>
    <x v="13"/>
    <n v="887.19205575436604"/>
    <n v="323825.10035034397"/>
    <n v="1165770.36126124"/>
  </r>
  <r>
    <x v="0"/>
    <x v="0"/>
    <x v="0"/>
    <x v="7"/>
    <x v="12"/>
    <s v="NO2_A1"/>
    <x v="6"/>
    <x v="7"/>
    <s v="GNR_RES_WTR_NOPMP_MC-03"/>
    <x v="0"/>
    <x v="14"/>
    <n v="887.19205575436604"/>
    <n v="323825.10035034397"/>
    <n v="1165770.36126124"/>
  </r>
  <r>
    <x v="0"/>
    <x v="0"/>
    <x v="0"/>
    <x v="7"/>
    <x v="12"/>
    <s v="NO2_A1"/>
    <x v="6"/>
    <x v="7"/>
    <s v="GNR_RES_WTR_NOPMP_MC-03"/>
    <x v="0"/>
    <x v="15"/>
    <n v="887.19205575436604"/>
    <n v="323825.10035034397"/>
    <n v="1165770.36126124"/>
  </r>
  <r>
    <x v="0"/>
    <x v="0"/>
    <x v="0"/>
    <x v="7"/>
    <x v="12"/>
    <s v="NO2_A1"/>
    <x v="6"/>
    <x v="7"/>
    <s v="GNR_RES_WTR_NOPMP_MC-03"/>
    <x v="0"/>
    <x v="16"/>
    <n v="887.19205575436604"/>
    <n v="323825.10035034397"/>
    <n v="1165770.36126124"/>
  </r>
  <r>
    <x v="0"/>
    <x v="0"/>
    <x v="0"/>
    <x v="7"/>
    <x v="12"/>
    <s v="NO2_A1"/>
    <x v="6"/>
    <x v="7"/>
    <s v="GNR_RES_WTR_NOPMP_MC-03"/>
    <x v="0"/>
    <x v="17"/>
    <n v="887.19205575436604"/>
    <n v="323825.10035034397"/>
    <n v="1165770.36126124"/>
  </r>
  <r>
    <x v="0"/>
    <x v="0"/>
    <x v="0"/>
    <x v="7"/>
    <x v="12"/>
    <s v="NO2_A1"/>
    <x v="6"/>
    <x v="7"/>
    <s v="GNR_RES_WTR_NOPMP_MC-03"/>
    <x v="0"/>
    <x v="18"/>
    <n v="887.19205575436604"/>
    <n v="323825.10035034397"/>
    <n v="1165770.36126124"/>
  </r>
  <r>
    <x v="0"/>
    <x v="0"/>
    <x v="0"/>
    <x v="7"/>
    <x v="12"/>
    <s v="NO2_A1"/>
    <x v="6"/>
    <x v="7"/>
    <s v="GNR_RES_WTR_NOPMP_MC-03"/>
    <x v="0"/>
    <x v="19"/>
    <n v="887.19205575436604"/>
    <n v="323825.10035034397"/>
    <n v="1165770.36126124"/>
  </r>
  <r>
    <x v="0"/>
    <x v="0"/>
    <x v="0"/>
    <x v="7"/>
    <x v="12"/>
    <s v="NO2_A1"/>
    <x v="6"/>
    <x v="7"/>
    <s v="GNR_RES_WTR_NOPMP_MC-03"/>
    <x v="0"/>
    <x v="20"/>
    <n v="887.19205575436604"/>
    <n v="323825.10035034397"/>
    <n v="1165770.36126124"/>
  </r>
  <r>
    <x v="0"/>
    <x v="0"/>
    <x v="0"/>
    <x v="7"/>
    <x v="12"/>
    <s v="NO2_A1"/>
    <x v="6"/>
    <x v="7"/>
    <s v="GNR_RES_WTR_NOPMP_MC-03"/>
    <x v="0"/>
    <x v="21"/>
    <n v="671.85460265476297"/>
    <n v="245226.92996898899"/>
    <n v="882816.94788835896"/>
  </r>
  <r>
    <x v="0"/>
    <x v="0"/>
    <x v="0"/>
    <x v="7"/>
    <x v="12"/>
    <s v="NO2_A1"/>
    <x v="6"/>
    <x v="7"/>
    <s v="GNR_RES_WTR_NOPMP_MC-03"/>
    <x v="0"/>
    <x v="22"/>
    <n v="375.88981438710101"/>
    <n v="137199.782251292"/>
    <n v="493919.21610465"/>
  </r>
  <r>
    <x v="0"/>
    <x v="0"/>
    <x v="0"/>
    <x v="7"/>
    <x v="12"/>
    <s v="NO2_A1"/>
    <x v="6"/>
    <x v="7"/>
    <s v="GNR_RES_WTR_NOPMP_MC-03"/>
    <x v="0"/>
    <x v="23"/>
    <n v="48.480392745394703"/>
    <n v="17695.3433520691"/>
    <n v="63703.236067448699"/>
  </r>
  <r>
    <x v="0"/>
    <x v="0"/>
    <x v="0"/>
    <x v="7"/>
    <x v="12"/>
    <s v="NO2_A1"/>
    <x v="6"/>
    <x v="7"/>
    <s v="GNR_RES_WTR_NOPMP_MC-04"/>
    <x v="0"/>
    <x v="8"/>
    <n v="810.19134441103301"/>
    <n v="295719.84071002703"/>
    <n v="1064591.4265560999"/>
  </r>
  <r>
    <x v="0"/>
    <x v="0"/>
    <x v="0"/>
    <x v="7"/>
    <x v="12"/>
    <s v="NO2_A1"/>
    <x v="6"/>
    <x v="7"/>
    <s v="GNR_RES_WTR_NOPMP_MC-04"/>
    <x v="0"/>
    <x v="0"/>
    <n v="887.19205575436604"/>
    <n v="323825.10035034397"/>
    <n v="1165770.36126124"/>
  </r>
  <r>
    <x v="0"/>
    <x v="0"/>
    <x v="0"/>
    <x v="7"/>
    <x v="12"/>
    <s v="NO2_A1"/>
    <x v="6"/>
    <x v="7"/>
    <s v="GNR_RES_WTR_NOPMP_MC-04"/>
    <x v="0"/>
    <x v="1"/>
    <n v="887.19205575436604"/>
    <n v="323825.10035034397"/>
    <n v="1165770.36126124"/>
  </r>
  <r>
    <x v="0"/>
    <x v="0"/>
    <x v="0"/>
    <x v="7"/>
    <x v="12"/>
    <s v="NO2_A1"/>
    <x v="6"/>
    <x v="7"/>
    <s v="GNR_RES_WTR_NOPMP_MC-04"/>
    <x v="0"/>
    <x v="2"/>
    <n v="887.19205575436604"/>
    <n v="323825.10035034397"/>
    <n v="1165770.36126124"/>
  </r>
  <r>
    <x v="0"/>
    <x v="0"/>
    <x v="0"/>
    <x v="7"/>
    <x v="12"/>
    <s v="NO2_A1"/>
    <x v="6"/>
    <x v="7"/>
    <s v="GNR_RES_WTR_NOPMP_MC-04"/>
    <x v="0"/>
    <x v="9"/>
    <n v="887.19205575436604"/>
    <n v="323825.10035034397"/>
    <n v="1165770.36126124"/>
  </r>
  <r>
    <x v="0"/>
    <x v="0"/>
    <x v="0"/>
    <x v="7"/>
    <x v="12"/>
    <s v="NO2_A1"/>
    <x v="6"/>
    <x v="7"/>
    <s v="GNR_RES_WTR_NOPMP_MC-04"/>
    <x v="0"/>
    <x v="10"/>
    <n v="887.19205575436604"/>
    <n v="323825.10035034397"/>
    <n v="1165770.36126124"/>
  </r>
  <r>
    <x v="0"/>
    <x v="0"/>
    <x v="0"/>
    <x v="7"/>
    <x v="12"/>
    <s v="NO2_A1"/>
    <x v="6"/>
    <x v="7"/>
    <s v="GNR_RES_WTR_NOPMP_MC-04"/>
    <x v="0"/>
    <x v="11"/>
    <n v="887.19205575436604"/>
    <n v="323825.10035034397"/>
    <n v="1165770.36126124"/>
  </r>
  <r>
    <x v="0"/>
    <x v="0"/>
    <x v="0"/>
    <x v="7"/>
    <x v="12"/>
    <s v="NO2_A1"/>
    <x v="6"/>
    <x v="7"/>
    <s v="GNR_RES_WTR_NOPMP_MC-04"/>
    <x v="0"/>
    <x v="12"/>
    <n v="887.19205575436604"/>
    <n v="323825.10035034397"/>
    <n v="1165770.36126124"/>
  </r>
  <r>
    <x v="0"/>
    <x v="0"/>
    <x v="0"/>
    <x v="7"/>
    <x v="12"/>
    <s v="NO2_A1"/>
    <x v="6"/>
    <x v="7"/>
    <s v="GNR_RES_WTR_NOPMP_MC-04"/>
    <x v="0"/>
    <x v="13"/>
    <n v="887.19205575436604"/>
    <n v="323825.10035034397"/>
    <n v="1165770.36126124"/>
  </r>
  <r>
    <x v="0"/>
    <x v="0"/>
    <x v="0"/>
    <x v="7"/>
    <x v="12"/>
    <s v="NO2_A1"/>
    <x v="6"/>
    <x v="7"/>
    <s v="GNR_RES_WTR_NOPMP_MC-04"/>
    <x v="0"/>
    <x v="14"/>
    <n v="887.19205575436604"/>
    <n v="323825.10035034397"/>
    <n v="1165770.36126124"/>
  </r>
  <r>
    <x v="0"/>
    <x v="0"/>
    <x v="0"/>
    <x v="7"/>
    <x v="12"/>
    <s v="NO2_A1"/>
    <x v="6"/>
    <x v="7"/>
    <s v="GNR_RES_WTR_NOPMP_MC-04"/>
    <x v="0"/>
    <x v="15"/>
    <n v="887.19205575436604"/>
    <n v="323825.10035034397"/>
    <n v="1165770.36126124"/>
  </r>
  <r>
    <x v="0"/>
    <x v="0"/>
    <x v="0"/>
    <x v="7"/>
    <x v="12"/>
    <s v="NO2_A1"/>
    <x v="6"/>
    <x v="7"/>
    <s v="GNR_RES_WTR_NOPMP_MC-04"/>
    <x v="0"/>
    <x v="16"/>
    <n v="887.19205575436604"/>
    <n v="323825.10035034397"/>
    <n v="1165770.36126124"/>
  </r>
  <r>
    <x v="0"/>
    <x v="0"/>
    <x v="0"/>
    <x v="7"/>
    <x v="12"/>
    <s v="NO2_A1"/>
    <x v="6"/>
    <x v="7"/>
    <s v="GNR_RES_WTR_NOPMP_MC-04"/>
    <x v="0"/>
    <x v="17"/>
    <n v="887.19205575436604"/>
    <n v="323825.10035034397"/>
    <n v="1165770.36126124"/>
  </r>
  <r>
    <x v="0"/>
    <x v="0"/>
    <x v="0"/>
    <x v="7"/>
    <x v="12"/>
    <s v="NO2_A1"/>
    <x v="6"/>
    <x v="7"/>
    <s v="GNR_RES_WTR_NOPMP_MC-04"/>
    <x v="0"/>
    <x v="18"/>
    <n v="887.19205575436604"/>
    <n v="323825.10035034397"/>
    <n v="1165770.36126124"/>
  </r>
  <r>
    <x v="0"/>
    <x v="0"/>
    <x v="0"/>
    <x v="7"/>
    <x v="12"/>
    <s v="NO2_A1"/>
    <x v="6"/>
    <x v="7"/>
    <s v="GNR_RES_WTR_NOPMP_MC-04"/>
    <x v="0"/>
    <x v="19"/>
    <n v="887.19205575436604"/>
    <n v="323825.10035034397"/>
    <n v="1165770.36126124"/>
  </r>
  <r>
    <x v="0"/>
    <x v="0"/>
    <x v="0"/>
    <x v="7"/>
    <x v="12"/>
    <s v="NO2_A1"/>
    <x v="6"/>
    <x v="7"/>
    <s v="GNR_RES_WTR_NOPMP_MC-04"/>
    <x v="0"/>
    <x v="20"/>
    <n v="887.19205575436604"/>
    <n v="323825.10035034397"/>
    <n v="1165770.36126124"/>
  </r>
  <r>
    <x v="0"/>
    <x v="0"/>
    <x v="0"/>
    <x v="7"/>
    <x v="12"/>
    <s v="NO2_A1"/>
    <x v="6"/>
    <x v="7"/>
    <s v="GNR_RES_WTR_NOPMP_MC-05"/>
    <x v="0"/>
    <x v="0"/>
    <n v="887.19205575436604"/>
    <n v="323825.10035034397"/>
    <n v="1165770.36126124"/>
  </r>
  <r>
    <x v="0"/>
    <x v="0"/>
    <x v="0"/>
    <x v="7"/>
    <x v="12"/>
    <s v="NO2_A1"/>
    <x v="6"/>
    <x v="7"/>
    <s v="GNR_RES_WTR_NOPMP_MC-05"/>
    <x v="0"/>
    <x v="1"/>
    <n v="887.19205575436604"/>
    <n v="323825.10035034397"/>
    <n v="1165770.36126124"/>
  </r>
  <r>
    <x v="0"/>
    <x v="0"/>
    <x v="0"/>
    <x v="7"/>
    <x v="12"/>
    <s v="NO2_A1"/>
    <x v="6"/>
    <x v="7"/>
    <s v="GNR_RES_WTR_NOPMP_MC-05"/>
    <x v="0"/>
    <x v="2"/>
    <n v="887.19205575436604"/>
    <n v="323825.10035034397"/>
    <n v="1165770.36126124"/>
  </r>
  <r>
    <x v="0"/>
    <x v="0"/>
    <x v="0"/>
    <x v="7"/>
    <x v="12"/>
    <s v="NO2_A1"/>
    <x v="6"/>
    <x v="7"/>
    <s v="GNR_RES_WTR_NOPMP_MC-05"/>
    <x v="0"/>
    <x v="9"/>
    <n v="887.19205575436604"/>
    <n v="323825.10035034397"/>
    <n v="1165770.36126124"/>
  </r>
  <r>
    <x v="0"/>
    <x v="0"/>
    <x v="0"/>
    <x v="7"/>
    <x v="12"/>
    <s v="NO2_A1"/>
    <x v="6"/>
    <x v="7"/>
    <s v="GNR_RES_WTR_NOPMP_MC-05"/>
    <x v="0"/>
    <x v="10"/>
    <n v="887.19205575436604"/>
    <n v="323825.10035034397"/>
    <n v="1165770.36126124"/>
  </r>
  <r>
    <x v="0"/>
    <x v="0"/>
    <x v="0"/>
    <x v="7"/>
    <x v="12"/>
    <s v="NO2_A1"/>
    <x v="6"/>
    <x v="7"/>
    <s v="GNR_RES_WTR_NOPMP_MC-05"/>
    <x v="0"/>
    <x v="11"/>
    <n v="887.19205575436604"/>
    <n v="323825.10035034397"/>
    <n v="1165770.36126124"/>
  </r>
  <r>
    <x v="0"/>
    <x v="0"/>
    <x v="0"/>
    <x v="7"/>
    <x v="12"/>
    <s v="NO2_A1"/>
    <x v="6"/>
    <x v="7"/>
    <s v="GNR_RES_WTR_NOPMP_MC-05"/>
    <x v="0"/>
    <x v="12"/>
    <n v="887.19205575436604"/>
    <n v="323825.10035034397"/>
    <n v="1165770.36126124"/>
  </r>
  <r>
    <x v="0"/>
    <x v="0"/>
    <x v="0"/>
    <x v="7"/>
    <x v="12"/>
    <s v="NO2_A1"/>
    <x v="6"/>
    <x v="7"/>
    <s v="GNR_RES_WTR_NOPMP_MC-05"/>
    <x v="0"/>
    <x v="13"/>
    <n v="887.19205575436604"/>
    <n v="323825.10035034397"/>
    <n v="1165770.36126124"/>
  </r>
  <r>
    <x v="0"/>
    <x v="0"/>
    <x v="0"/>
    <x v="7"/>
    <x v="12"/>
    <s v="NO2_A1"/>
    <x v="6"/>
    <x v="7"/>
    <s v="GNR_RES_WTR_NOPMP_MC-05"/>
    <x v="0"/>
    <x v="14"/>
    <n v="887.19205575436604"/>
    <n v="323825.10035034397"/>
    <n v="1165770.36126124"/>
  </r>
  <r>
    <x v="0"/>
    <x v="0"/>
    <x v="0"/>
    <x v="7"/>
    <x v="12"/>
    <s v="NO2_A1"/>
    <x v="6"/>
    <x v="7"/>
    <s v="GNR_RES_WTR_NOPMP_MC-05"/>
    <x v="0"/>
    <x v="15"/>
    <n v="887.19205575436604"/>
    <n v="323825.10035034397"/>
    <n v="1165770.36126124"/>
  </r>
  <r>
    <x v="0"/>
    <x v="0"/>
    <x v="0"/>
    <x v="7"/>
    <x v="12"/>
    <s v="NO2_A1"/>
    <x v="6"/>
    <x v="7"/>
    <s v="GNR_RES_WTR_NOPMP_MC-05"/>
    <x v="0"/>
    <x v="16"/>
    <n v="887.19205575436604"/>
    <n v="323825.10035034397"/>
    <n v="1165770.36126124"/>
  </r>
  <r>
    <x v="0"/>
    <x v="0"/>
    <x v="0"/>
    <x v="7"/>
    <x v="12"/>
    <s v="NO2_A1"/>
    <x v="6"/>
    <x v="7"/>
    <s v="GNR_RES_WTR_NOPMP_MC-05"/>
    <x v="0"/>
    <x v="17"/>
    <n v="887.19205575436604"/>
    <n v="323825.10035034397"/>
    <n v="1165770.36126124"/>
  </r>
  <r>
    <x v="0"/>
    <x v="0"/>
    <x v="0"/>
    <x v="7"/>
    <x v="12"/>
    <s v="NO2_A1"/>
    <x v="6"/>
    <x v="7"/>
    <s v="GNR_RES_WTR_NOPMP_MC-05"/>
    <x v="0"/>
    <x v="18"/>
    <n v="887.19205575436604"/>
    <n v="323825.10035034397"/>
    <n v="1165770.36126124"/>
  </r>
  <r>
    <x v="0"/>
    <x v="0"/>
    <x v="0"/>
    <x v="7"/>
    <x v="12"/>
    <s v="NO2_A1"/>
    <x v="6"/>
    <x v="7"/>
    <s v="GNR_RES_WTR_NOPMP_MC-05"/>
    <x v="0"/>
    <x v="19"/>
    <n v="887.19205575436604"/>
    <n v="323825.10035034397"/>
    <n v="1165770.36126124"/>
  </r>
  <r>
    <x v="0"/>
    <x v="0"/>
    <x v="0"/>
    <x v="7"/>
    <x v="12"/>
    <s v="NO2_A1"/>
    <x v="6"/>
    <x v="7"/>
    <s v="GNR_RES_WTR_NOPMP_MC-06"/>
    <x v="0"/>
    <x v="0"/>
    <n v="887.19205575436604"/>
    <n v="323825.10035034397"/>
    <n v="1165770.36126124"/>
  </r>
  <r>
    <x v="0"/>
    <x v="0"/>
    <x v="0"/>
    <x v="7"/>
    <x v="12"/>
    <s v="NO2_A1"/>
    <x v="6"/>
    <x v="7"/>
    <s v="GNR_RES_WTR_NOPMP_MC-06"/>
    <x v="0"/>
    <x v="1"/>
    <n v="887.19205575436604"/>
    <n v="323825.10035034397"/>
    <n v="1165770.36126124"/>
  </r>
  <r>
    <x v="0"/>
    <x v="0"/>
    <x v="0"/>
    <x v="7"/>
    <x v="12"/>
    <s v="NO2_A1"/>
    <x v="6"/>
    <x v="7"/>
    <s v="GNR_RES_WTR_NOPMP_MC-06"/>
    <x v="0"/>
    <x v="2"/>
    <n v="887.19205575436604"/>
    <n v="323825.10035034397"/>
    <n v="1165770.36126124"/>
  </r>
  <r>
    <x v="0"/>
    <x v="0"/>
    <x v="0"/>
    <x v="7"/>
    <x v="12"/>
    <s v="NO2_A1"/>
    <x v="6"/>
    <x v="7"/>
    <s v="GNR_RES_WTR_NOPMP_MC-06"/>
    <x v="0"/>
    <x v="9"/>
    <n v="887.19205575436604"/>
    <n v="323825.10035034397"/>
    <n v="1165770.36126124"/>
  </r>
  <r>
    <x v="0"/>
    <x v="0"/>
    <x v="0"/>
    <x v="7"/>
    <x v="12"/>
    <s v="NO2_A1"/>
    <x v="6"/>
    <x v="7"/>
    <s v="GNR_RES_WTR_NOPMP_MC-06"/>
    <x v="0"/>
    <x v="10"/>
    <n v="887.19205575436604"/>
    <n v="323825.10035034397"/>
    <n v="1165770.36126124"/>
  </r>
  <r>
    <x v="0"/>
    <x v="0"/>
    <x v="0"/>
    <x v="7"/>
    <x v="12"/>
    <s v="NO2_A1"/>
    <x v="6"/>
    <x v="7"/>
    <s v="GNR_RES_WTR_NOPMP_MC-06"/>
    <x v="0"/>
    <x v="11"/>
    <n v="887.19205575436604"/>
    <n v="323825.10035034397"/>
    <n v="1165770.36126124"/>
  </r>
  <r>
    <x v="0"/>
    <x v="0"/>
    <x v="0"/>
    <x v="7"/>
    <x v="12"/>
    <s v="NO2_A1"/>
    <x v="6"/>
    <x v="7"/>
    <s v="GNR_RES_WTR_NOPMP_MC-06"/>
    <x v="0"/>
    <x v="12"/>
    <n v="887.19205575436604"/>
    <n v="323825.10035034397"/>
    <n v="1165770.36126124"/>
  </r>
  <r>
    <x v="0"/>
    <x v="0"/>
    <x v="0"/>
    <x v="7"/>
    <x v="12"/>
    <s v="NO2_A1"/>
    <x v="6"/>
    <x v="7"/>
    <s v="GNR_RES_WTR_NOPMP_MC-06"/>
    <x v="0"/>
    <x v="13"/>
    <n v="584.47600415609804"/>
    <n v="213333.74151697601"/>
    <n v="768001.46946111298"/>
  </r>
  <r>
    <x v="0"/>
    <x v="0"/>
    <x v="0"/>
    <x v="7"/>
    <x v="12"/>
    <s v="NO2_A1"/>
    <x v="6"/>
    <x v="7"/>
    <s v="GNR_RES_WTR_NOPMP_MC-06"/>
    <x v="0"/>
    <x v="14"/>
    <n v="887.19205575436604"/>
    <n v="323825.10035034397"/>
    <n v="1165770.36126124"/>
  </r>
  <r>
    <x v="0"/>
    <x v="0"/>
    <x v="0"/>
    <x v="7"/>
    <x v="12"/>
    <s v="NO2_A1"/>
    <x v="6"/>
    <x v="7"/>
    <s v="GNR_RES_WTR_NOPMP_MC-06"/>
    <x v="0"/>
    <x v="15"/>
    <n v="887.19205575436604"/>
    <n v="323825.10035034397"/>
    <n v="1165770.36126124"/>
  </r>
  <r>
    <x v="0"/>
    <x v="0"/>
    <x v="0"/>
    <x v="7"/>
    <x v="12"/>
    <s v="NO2_A1"/>
    <x v="6"/>
    <x v="7"/>
    <s v="GNR_RES_WTR_NOPMP_MC-06"/>
    <x v="0"/>
    <x v="16"/>
    <n v="887.19205575436604"/>
    <n v="323825.10035034397"/>
    <n v="1165770.36126124"/>
  </r>
  <r>
    <x v="0"/>
    <x v="0"/>
    <x v="0"/>
    <x v="7"/>
    <x v="12"/>
    <s v="NO2_A1"/>
    <x v="6"/>
    <x v="7"/>
    <s v="GNR_RES_WTR_NOPMP_MC-06"/>
    <x v="0"/>
    <x v="17"/>
    <n v="887.19205575436604"/>
    <n v="323825.10035034397"/>
    <n v="1165770.36126124"/>
  </r>
  <r>
    <x v="0"/>
    <x v="0"/>
    <x v="0"/>
    <x v="7"/>
    <x v="12"/>
    <s v="NO2_A1"/>
    <x v="6"/>
    <x v="7"/>
    <s v="GNR_RES_WTR_NOPMP_MC-06"/>
    <x v="0"/>
    <x v="18"/>
    <n v="407.9668723954"/>
    <n v="148907.90842432101"/>
    <n v="536068.47032755602"/>
  </r>
  <r>
    <x v="0"/>
    <x v="0"/>
    <x v="0"/>
    <x v="7"/>
    <x v="12"/>
    <s v="NO2_A1"/>
    <x v="6"/>
    <x v="7"/>
    <s v="GNR_RES_WTR_NOPMP_MC-06"/>
    <x v="0"/>
    <x v="19"/>
    <n v="52.573862612601999"/>
    <n v="19189.459853599699"/>
    <n v="69082.055472958993"/>
  </r>
  <r>
    <x v="0"/>
    <x v="0"/>
    <x v="0"/>
    <x v="7"/>
    <x v="12"/>
    <s v="NO2_A1"/>
    <x v="6"/>
    <x v="7"/>
    <s v="GNR_RES_WTR_NOPMP_MC-07"/>
    <x v="0"/>
    <x v="1"/>
    <n v="505.35191802140298"/>
    <n v="184453.45007781201"/>
    <n v="664032.42028012394"/>
  </r>
  <r>
    <x v="0"/>
    <x v="0"/>
    <x v="0"/>
    <x v="7"/>
    <x v="12"/>
    <s v="NO2_A1"/>
    <x v="6"/>
    <x v="7"/>
    <s v="GNR_RES_WTR_NOPMP_MC-07"/>
    <x v="0"/>
    <x v="2"/>
    <n v="887.19205575436604"/>
    <n v="323825.10035034397"/>
    <n v="1165770.36126124"/>
  </r>
  <r>
    <x v="0"/>
    <x v="0"/>
    <x v="0"/>
    <x v="7"/>
    <x v="12"/>
    <s v="NO2_A1"/>
    <x v="6"/>
    <x v="7"/>
    <s v="GNR_RES_WTR_NOPMP_MC-07"/>
    <x v="0"/>
    <x v="9"/>
    <n v="887.19205575436604"/>
    <n v="323825.10035034397"/>
    <n v="1165770.36126124"/>
  </r>
  <r>
    <x v="0"/>
    <x v="0"/>
    <x v="0"/>
    <x v="7"/>
    <x v="12"/>
    <s v="NO2_A1"/>
    <x v="6"/>
    <x v="7"/>
    <s v="GNR_RES_WTR_NOPMP_MC-07"/>
    <x v="0"/>
    <x v="10"/>
    <n v="887.19205575436604"/>
    <n v="323825.10035034397"/>
    <n v="1165770.36126124"/>
  </r>
  <r>
    <x v="0"/>
    <x v="0"/>
    <x v="0"/>
    <x v="7"/>
    <x v="12"/>
    <s v="NO2_A1"/>
    <x v="6"/>
    <x v="7"/>
    <s v="GNR_RES_WTR_PMP_MC-01"/>
    <x v="0"/>
    <x v="3"/>
    <n v="520"/>
    <n v="189800"/>
    <n v="683280"/>
  </r>
  <r>
    <x v="0"/>
    <x v="0"/>
    <x v="0"/>
    <x v="7"/>
    <x v="12"/>
    <s v="NO2_A1"/>
    <x v="6"/>
    <x v="7"/>
    <s v="GNR_RES_WTR_PMP_MC-01"/>
    <x v="0"/>
    <x v="4"/>
    <n v="520"/>
    <n v="189800"/>
    <n v="683280"/>
  </r>
  <r>
    <x v="0"/>
    <x v="0"/>
    <x v="0"/>
    <x v="7"/>
    <x v="12"/>
    <s v="NO2_A1"/>
    <x v="6"/>
    <x v="7"/>
    <s v="GNR_RES_WTR_PMP_MC-01"/>
    <x v="0"/>
    <x v="5"/>
    <n v="520"/>
    <n v="189800"/>
    <n v="683280"/>
  </r>
  <r>
    <x v="0"/>
    <x v="0"/>
    <x v="0"/>
    <x v="7"/>
    <x v="12"/>
    <s v="NO2_A1"/>
    <x v="6"/>
    <x v="7"/>
    <s v="GNR_RES_WTR_PMP_MC-01"/>
    <x v="0"/>
    <x v="6"/>
    <n v="520"/>
    <n v="189800"/>
    <n v="683280"/>
  </r>
  <r>
    <x v="0"/>
    <x v="0"/>
    <x v="0"/>
    <x v="7"/>
    <x v="12"/>
    <s v="NO2_A1"/>
    <x v="6"/>
    <x v="7"/>
    <s v="GNR_RES_WTR_PMP_MC-01"/>
    <x v="0"/>
    <x v="7"/>
    <n v="520"/>
    <n v="189800"/>
    <n v="683280"/>
  </r>
  <r>
    <x v="0"/>
    <x v="0"/>
    <x v="0"/>
    <x v="7"/>
    <x v="12"/>
    <s v="NO2_A1"/>
    <x v="6"/>
    <x v="7"/>
    <s v="GNR_RES_WTR_PMP_MC-01"/>
    <x v="0"/>
    <x v="8"/>
    <n v="520"/>
    <n v="189800"/>
    <n v="683280"/>
  </r>
  <r>
    <x v="0"/>
    <x v="0"/>
    <x v="0"/>
    <x v="7"/>
    <x v="12"/>
    <s v="NO2_A1"/>
    <x v="6"/>
    <x v="7"/>
    <s v="GNR_RES_WTR_PMP_MC-01"/>
    <x v="0"/>
    <x v="0"/>
    <n v="520"/>
    <n v="189800"/>
    <n v="683280"/>
  </r>
  <r>
    <x v="0"/>
    <x v="0"/>
    <x v="0"/>
    <x v="7"/>
    <x v="12"/>
    <s v="NO2_A1"/>
    <x v="6"/>
    <x v="7"/>
    <s v="GNR_RES_WTR_PMP_MC-01"/>
    <x v="0"/>
    <x v="1"/>
    <n v="520"/>
    <n v="189800"/>
    <n v="683280"/>
  </r>
  <r>
    <x v="0"/>
    <x v="0"/>
    <x v="0"/>
    <x v="7"/>
    <x v="12"/>
    <s v="NO2_A1"/>
    <x v="6"/>
    <x v="7"/>
    <s v="GNR_RES_WTR_PMP_MC-01"/>
    <x v="0"/>
    <x v="2"/>
    <n v="520"/>
    <n v="189800"/>
    <n v="683280"/>
  </r>
  <r>
    <x v="0"/>
    <x v="0"/>
    <x v="0"/>
    <x v="7"/>
    <x v="12"/>
    <s v="NO2_A1"/>
    <x v="6"/>
    <x v="7"/>
    <s v="GNR_RES_WTR_PMP_MC-01"/>
    <x v="0"/>
    <x v="9"/>
    <n v="520"/>
    <n v="189800"/>
    <n v="683280"/>
  </r>
  <r>
    <x v="0"/>
    <x v="0"/>
    <x v="0"/>
    <x v="7"/>
    <x v="12"/>
    <s v="NO2_A1"/>
    <x v="6"/>
    <x v="7"/>
    <s v="GNR_RES_WTR_PMP_MC-01"/>
    <x v="0"/>
    <x v="10"/>
    <n v="520"/>
    <n v="189800"/>
    <n v="683280"/>
  </r>
  <r>
    <x v="0"/>
    <x v="0"/>
    <x v="0"/>
    <x v="7"/>
    <x v="12"/>
    <s v="NO2_A1"/>
    <x v="6"/>
    <x v="7"/>
    <s v="GNR_RES_WTR_PMP_MC-01"/>
    <x v="0"/>
    <x v="11"/>
    <n v="520"/>
    <n v="189800"/>
    <n v="683280"/>
  </r>
  <r>
    <x v="0"/>
    <x v="0"/>
    <x v="0"/>
    <x v="7"/>
    <x v="12"/>
    <s v="NO2_A1"/>
    <x v="6"/>
    <x v="7"/>
    <s v="GNR_RES_WTR_PMP_MC-01"/>
    <x v="0"/>
    <x v="12"/>
    <n v="520"/>
    <n v="189800"/>
    <n v="683280"/>
  </r>
  <r>
    <x v="0"/>
    <x v="0"/>
    <x v="0"/>
    <x v="7"/>
    <x v="12"/>
    <s v="NO2_A1"/>
    <x v="6"/>
    <x v="7"/>
    <s v="GNR_RES_WTR_PMP_MC-01"/>
    <x v="0"/>
    <x v="13"/>
    <n v="520"/>
    <n v="189800"/>
    <n v="683280"/>
  </r>
  <r>
    <x v="0"/>
    <x v="0"/>
    <x v="0"/>
    <x v="7"/>
    <x v="12"/>
    <s v="NO2_A1"/>
    <x v="6"/>
    <x v="7"/>
    <s v="GNR_RES_WTR_PMP_MC-01"/>
    <x v="0"/>
    <x v="14"/>
    <n v="520"/>
    <n v="189800"/>
    <n v="683280"/>
  </r>
  <r>
    <x v="0"/>
    <x v="0"/>
    <x v="0"/>
    <x v="7"/>
    <x v="12"/>
    <s v="NO2_A1"/>
    <x v="6"/>
    <x v="7"/>
    <s v="GNR_RES_WTR_PMP_MC-01"/>
    <x v="0"/>
    <x v="15"/>
    <n v="520"/>
    <n v="189800"/>
    <n v="683280"/>
  </r>
  <r>
    <x v="0"/>
    <x v="0"/>
    <x v="0"/>
    <x v="7"/>
    <x v="12"/>
    <s v="NO2_A1"/>
    <x v="6"/>
    <x v="7"/>
    <s v="GNR_RES_WTR_PMP_MC-01"/>
    <x v="0"/>
    <x v="16"/>
    <n v="520"/>
    <n v="189800"/>
    <n v="683280"/>
  </r>
  <r>
    <x v="0"/>
    <x v="0"/>
    <x v="0"/>
    <x v="7"/>
    <x v="12"/>
    <s v="NO2_A1"/>
    <x v="6"/>
    <x v="7"/>
    <s v="GNR_RES_WTR_PMP_MC-01"/>
    <x v="0"/>
    <x v="17"/>
    <n v="520"/>
    <n v="189800"/>
    <n v="683280"/>
  </r>
  <r>
    <x v="0"/>
    <x v="0"/>
    <x v="0"/>
    <x v="7"/>
    <x v="12"/>
    <s v="NO2_A1"/>
    <x v="6"/>
    <x v="7"/>
    <s v="GNR_RES_WTR_PMP_MC-01"/>
    <x v="0"/>
    <x v="18"/>
    <n v="520"/>
    <n v="189800"/>
    <n v="683280"/>
  </r>
  <r>
    <x v="0"/>
    <x v="0"/>
    <x v="0"/>
    <x v="7"/>
    <x v="12"/>
    <s v="NO2_A1"/>
    <x v="6"/>
    <x v="7"/>
    <s v="GNR_RES_WTR_PMP_MC-01"/>
    <x v="0"/>
    <x v="19"/>
    <n v="520"/>
    <n v="189800"/>
    <n v="683280"/>
  </r>
  <r>
    <x v="0"/>
    <x v="0"/>
    <x v="0"/>
    <x v="7"/>
    <x v="12"/>
    <s v="NO2_A1"/>
    <x v="6"/>
    <x v="7"/>
    <s v="GNR_RES_WTR_PMP_MC-01"/>
    <x v="0"/>
    <x v="20"/>
    <n v="520"/>
    <n v="189800"/>
    <n v="683280"/>
  </r>
  <r>
    <x v="0"/>
    <x v="0"/>
    <x v="0"/>
    <x v="7"/>
    <x v="12"/>
    <s v="NO2_A1"/>
    <x v="6"/>
    <x v="7"/>
    <s v="GNR_RES_WTR_PMP_MC-01"/>
    <x v="0"/>
    <x v="21"/>
    <n v="520"/>
    <n v="189800"/>
    <n v="683280"/>
  </r>
  <r>
    <x v="0"/>
    <x v="0"/>
    <x v="0"/>
    <x v="7"/>
    <x v="12"/>
    <s v="NO2_A1"/>
    <x v="6"/>
    <x v="7"/>
    <s v="GNR_RES_WTR_PMP_MC-01"/>
    <x v="0"/>
    <x v="22"/>
    <n v="520"/>
    <n v="189800"/>
    <n v="683280"/>
  </r>
  <r>
    <x v="0"/>
    <x v="0"/>
    <x v="0"/>
    <x v="7"/>
    <x v="12"/>
    <s v="NO2_A1"/>
    <x v="6"/>
    <x v="7"/>
    <s v="GNR_RES_WTR_PMP_MC-01"/>
    <x v="0"/>
    <x v="23"/>
    <n v="520"/>
    <n v="189800"/>
    <n v="683280"/>
  </r>
  <r>
    <x v="0"/>
    <x v="0"/>
    <x v="0"/>
    <x v="7"/>
    <x v="12"/>
    <s v="NO2_A1"/>
    <x v="6"/>
    <x v="4"/>
    <s v="GNR_ROR_WTR"/>
    <x v="0"/>
    <x v="3"/>
    <n v="1058.7105432231699"/>
    <n v="386429.34827645897"/>
    <n v="1391145.65379525"/>
  </r>
  <r>
    <x v="0"/>
    <x v="0"/>
    <x v="0"/>
    <x v="7"/>
    <x v="12"/>
    <s v="NO2_A1"/>
    <x v="6"/>
    <x v="4"/>
    <s v="GNR_ROR_WTR"/>
    <x v="0"/>
    <x v="4"/>
    <n v="1058.7105432231699"/>
    <n v="386429.34827645897"/>
    <n v="1391145.65379525"/>
  </r>
  <r>
    <x v="0"/>
    <x v="0"/>
    <x v="0"/>
    <x v="7"/>
    <x v="12"/>
    <s v="NO2_A1"/>
    <x v="6"/>
    <x v="4"/>
    <s v="GNR_ROR_WTR"/>
    <x v="0"/>
    <x v="5"/>
    <n v="1058.7105432231699"/>
    <n v="386429.34827645897"/>
    <n v="1391145.65379525"/>
  </r>
  <r>
    <x v="0"/>
    <x v="0"/>
    <x v="0"/>
    <x v="7"/>
    <x v="12"/>
    <s v="NO2_A1"/>
    <x v="6"/>
    <x v="4"/>
    <s v="GNR_ROR_WTR"/>
    <x v="0"/>
    <x v="6"/>
    <n v="1058.7105432231699"/>
    <n v="386429.34827645897"/>
    <n v="1391145.65379525"/>
  </r>
  <r>
    <x v="0"/>
    <x v="0"/>
    <x v="0"/>
    <x v="7"/>
    <x v="12"/>
    <s v="NO2_A1"/>
    <x v="6"/>
    <x v="4"/>
    <s v="GNR_ROR_WTR"/>
    <x v="0"/>
    <x v="7"/>
    <n v="1058.7105432231699"/>
    <n v="386429.34827645897"/>
    <n v="1391145.65379525"/>
  </r>
  <r>
    <x v="0"/>
    <x v="0"/>
    <x v="0"/>
    <x v="7"/>
    <x v="12"/>
    <s v="NO2_A1"/>
    <x v="6"/>
    <x v="4"/>
    <s v="GNR_ROR_WTR"/>
    <x v="0"/>
    <x v="8"/>
    <n v="1058.7105432231699"/>
    <n v="386429.34827645897"/>
    <n v="1391145.65379525"/>
  </r>
  <r>
    <x v="0"/>
    <x v="0"/>
    <x v="0"/>
    <x v="7"/>
    <x v="12"/>
    <s v="NO2_A1"/>
    <x v="6"/>
    <x v="4"/>
    <s v="GNR_ROR_WTR"/>
    <x v="0"/>
    <x v="0"/>
    <n v="1058.7105432231699"/>
    <n v="386429.34827645897"/>
    <n v="1391145.65379525"/>
  </r>
  <r>
    <x v="0"/>
    <x v="0"/>
    <x v="0"/>
    <x v="7"/>
    <x v="12"/>
    <s v="NO2_A1"/>
    <x v="6"/>
    <x v="4"/>
    <s v="GNR_ROR_WTR"/>
    <x v="0"/>
    <x v="1"/>
    <n v="1058.7105432231699"/>
    <n v="386429.34827645897"/>
    <n v="1391145.65379525"/>
  </r>
  <r>
    <x v="0"/>
    <x v="0"/>
    <x v="0"/>
    <x v="7"/>
    <x v="12"/>
    <s v="NO2_A1"/>
    <x v="6"/>
    <x v="4"/>
    <s v="GNR_ROR_WTR"/>
    <x v="0"/>
    <x v="2"/>
    <n v="1058.7105432231699"/>
    <n v="386429.34827645897"/>
    <n v="1391145.65379525"/>
  </r>
  <r>
    <x v="0"/>
    <x v="0"/>
    <x v="0"/>
    <x v="7"/>
    <x v="12"/>
    <s v="NO2_A1"/>
    <x v="6"/>
    <x v="4"/>
    <s v="GNR_ROR_WTR"/>
    <x v="0"/>
    <x v="9"/>
    <n v="1058.7105432231699"/>
    <n v="386429.34827645897"/>
    <n v="1391145.65379525"/>
  </r>
  <r>
    <x v="0"/>
    <x v="0"/>
    <x v="0"/>
    <x v="7"/>
    <x v="12"/>
    <s v="NO2_A1"/>
    <x v="6"/>
    <x v="4"/>
    <s v="GNR_ROR_WTR"/>
    <x v="0"/>
    <x v="10"/>
    <n v="1058.7105432231699"/>
    <n v="386429.34827645897"/>
    <n v="1391145.65379525"/>
  </r>
  <r>
    <x v="0"/>
    <x v="0"/>
    <x v="0"/>
    <x v="7"/>
    <x v="12"/>
    <s v="NO2_A1"/>
    <x v="6"/>
    <x v="4"/>
    <s v="GNR_ROR_WTR"/>
    <x v="0"/>
    <x v="11"/>
    <n v="1058.7105432231699"/>
    <n v="386429.34827645897"/>
    <n v="1391145.65379525"/>
  </r>
  <r>
    <x v="0"/>
    <x v="0"/>
    <x v="0"/>
    <x v="7"/>
    <x v="12"/>
    <s v="NO2_A1"/>
    <x v="6"/>
    <x v="4"/>
    <s v="GNR_ROR_WTR"/>
    <x v="0"/>
    <x v="12"/>
    <n v="1058.7105432231699"/>
    <n v="386429.34827645897"/>
    <n v="1391145.65379525"/>
  </r>
  <r>
    <x v="0"/>
    <x v="0"/>
    <x v="0"/>
    <x v="7"/>
    <x v="12"/>
    <s v="NO2_A1"/>
    <x v="6"/>
    <x v="4"/>
    <s v="GNR_ROR_WTR"/>
    <x v="0"/>
    <x v="13"/>
    <n v="1058.7105432231699"/>
    <n v="386429.34827645897"/>
    <n v="1391145.65379525"/>
  </r>
  <r>
    <x v="0"/>
    <x v="0"/>
    <x v="0"/>
    <x v="7"/>
    <x v="12"/>
    <s v="NO2_A1"/>
    <x v="6"/>
    <x v="4"/>
    <s v="GNR_ROR_WTR"/>
    <x v="0"/>
    <x v="14"/>
    <n v="1058.7105432231699"/>
    <n v="386429.34827645897"/>
    <n v="1391145.65379525"/>
  </r>
  <r>
    <x v="0"/>
    <x v="0"/>
    <x v="0"/>
    <x v="7"/>
    <x v="12"/>
    <s v="NO2_A1"/>
    <x v="6"/>
    <x v="4"/>
    <s v="GNR_ROR_WTR"/>
    <x v="0"/>
    <x v="15"/>
    <n v="1058.7105432231699"/>
    <n v="386429.34827645897"/>
    <n v="1391145.65379525"/>
  </r>
  <r>
    <x v="0"/>
    <x v="0"/>
    <x v="0"/>
    <x v="7"/>
    <x v="12"/>
    <s v="NO2_A1"/>
    <x v="6"/>
    <x v="4"/>
    <s v="GNR_ROR_WTR"/>
    <x v="0"/>
    <x v="16"/>
    <n v="1058.7105432231699"/>
    <n v="386429.34827645897"/>
    <n v="1391145.65379525"/>
  </r>
  <r>
    <x v="0"/>
    <x v="0"/>
    <x v="0"/>
    <x v="7"/>
    <x v="12"/>
    <s v="NO2_A1"/>
    <x v="6"/>
    <x v="4"/>
    <s v="GNR_ROR_WTR"/>
    <x v="0"/>
    <x v="17"/>
    <n v="1058.7105432231699"/>
    <n v="386429.34827645897"/>
    <n v="1391145.65379525"/>
  </r>
  <r>
    <x v="0"/>
    <x v="0"/>
    <x v="0"/>
    <x v="7"/>
    <x v="12"/>
    <s v="NO2_A1"/>
    <x v="6"/>
    <x v="4"/>
    <s v="GNR_ROR_WTR"/>
    <x v="0"/>
    <x v="18"/>
    <n v="1058.7105432231699"/>
    <n v="386429.34827645897"/>
    <n v="1391145.65379525"/>
  </r>
  <r>
    <x v="0"/>
    <x v="0"/>
    <x v="0"/>
    <x v="7"/>
    <x v="12"/>
    <s v="NO2_A1"/>
    <x v="6"/>
    <x v="4"/>
    <s v="GNR_ROR_WTR"/>
    <x v="0"/>
    <x v="19"/>
    <n v="1058.7105432231699"/>
    <n v="386429.34827645897"/>
    <n v="1391145.65379525"/>
  </r>
  <r>
    <x v="0"/>
    <x v="0"/>
    <x v="0"/>
    <x v="7"/>
    <x v="12"/>
    <s v="NO2_A1"/>
    <x v="6"/>
    <x v="4"/>
    <s v="GNR_ROR_WTR"/>
    <x v="0"/>
    <x v="20"/>
    <n v="1058.7105432231699"/>
    <n v="386429.34827645897"/>
    <n v="1391145.65379525"/>
  </r>
  <r>
    <x v="0"/>
    <x v="0"/>
    <x v="0"/>
    <x v="7"/>
    <x v="12"/>
    <s v="NO2_A1"/>
    <x v="6"/>
    <x v="4"/>
    <s v="GNR_ROR_WTR"/>
    <x v="0"/>
    <x v="21"/>
    <n v="1058.7105432231699"/>
    <n v="386429.34827645897"/>
    <n v="1391145.65379525"/>
  </r>
  <r>
    <x v="0"/>
    <x v="0"/>
    <x v="0"/>
    <x v="7"/>
    <x v="12"/>
    <s v="NO2_A1"/>
    <x v="6"/>
    <x v="4"/>
    <s v="GNR_ROR_WTR"/>
    <x v="0"/>
    <x v="22"/>
    <n v="1058.7105432231699"/>
    <n v="386429.34827645897"/>
    <n v="1391145.65379525"/>
  </r>
  <r>
    <x v="0"/>
    <x v="0"/>
    <x v="0"/>
    <x v="7"/>
    <x v="12"/>
    <s v="NO2_A1"/>
    <x v="6"/>
    <x v="4"/>
    <s v="GNR_ROR_WTR"/>
    <x v="0"/>
    <x v="23"/>
    <n v="1058.7105432231699"/>
    <n v="386429.34827645897"/>
    <n v="1391145.65379525"/>
  </r>
  <r>
    <x v="0"/>
    <x v="0"/>
    <x v="0"/>
    <x v="7"/>
    <x v="12"/>
    <s v="NO2_A1"/>
    <x v="7"/>
    <x v="5"/>
    <s v="GNR_WT_WIND_ONS"/>
    <x v="0"/>
    <x v="3"/>
    <n v="188.37834895824599"/>
    <n v="68758.097369759693"/>
    <n v="247529.150531135"/>
  </r>
  <r>
    <x v="0"/>
    <x v="0"/>
    <x v="0"/>
    <x v="7"/>
    <x v="12"/>
    <s v="NO2_A1"/>
    <x v="7"/>
    <x v="5"/>
    <s v="GNR_WT_WIND_ONS"/>
    <x v="0"/>
    <x v="4"/>
    <n v="189.76088581393799"/>
    <n v="69262.723322087404"/>
    <n v="249345.803959515"/>
  </r>
  <r>
    <x v="0"/>
    <x v="0"/>
    <x v="0"/>
    <x v="7"/>
    <x v="12"/>
    <s v="NO2_A1"/>
    <x v="7"/>
    <x v="5"/>
    <s v="GNR_WT_WIND_ONS"/>
    <x v="0"/>
    <x v="5"/>
    <n v="191.45827827411401"/>
    <n v="69882.2715700517"/>
    <n v="251576.17765218599"/>
  </r>
  <r>
    <x v="0"/>
    <x v="0"/>
    <x v="0"/>
    <x v="7"/>
    <x v="12"/>
    <s v="NO2_A1"/>
    <x v="7"/>
    <x v="5"/>
    <s v="GNR_WT_WIND_ONS"/>
    <x v="0"/>
    <x v="6"/>
    <n v="193.48464992334701"/>
    <n v="70621.897222021493"/>
    <n v="254238.82999927699"/>
  </r>
  <r>
    <x v="0"/>
    <x v="0"/>
    <x v="0"/>
    <x v="7"/>
    <x v="12"/>
    <s v="NO2_A1"/>
    <x v="7"/>
    <x v="5"/>
    <s v="GNR_WT_WIND_ONS"/>
    <x v="0"/>
    <x v="7"/>
    <n v="193.619557168331"/>
    <n v="70671.138366440704"/>
    <n v="254416.09811918699"/>
  </r>
  <r>
    <x v="0"/>
    <x v="0"/>
    <x v="0"/>
    <x v="7"/>
    <x v="12"/>
    <s v="NO2_A1"/>
    <x v="7"/>
    <x v="5"/>
    <s v="GNR_WT_WIND_ONS"/>
    <x v="0"/>
    <x v="8"/>
    <n v="194.834771994775"/>
    <n v="71114.691778092805"/>
    <n v="256012.89040113401"/>
  </r>
  <r>
    <x v="0"/>
    <x v="0"/>
    <x v="0"/>
    <x v="7"/>
    <x v="12"/>
    <s v="NO2_A1"/>
    <x v="7"/>
    <x v="5"/>
    <s v="GNR_WT_WIND_ONS"/>
    <x v="0"/>
    <x v="0"/>
    <n v="194.81754585228001"/>
    <n v="71108.404236082293"/>
    <n v="255990.255249896"/>
  </r>
  <r>
    <x v="0"/>
    <x v="0"/>
    <x v="0"/>
    <x v="7"/>
    <x v="12"/>
    <s v="NO2_A1"/>
    <x v="7"/>
    <x v="5"/>
    <s v="GNR_WT_WIND_ONS"/>
    <x v="0"/>
    <x v="1"/>
    <n v="194.86947124954901"/>
    <n v="71127.357006085396"/>
    <n v="256058.485221907"/>
  </r>
  <r>
    <x v="0"/>
    <x v="0"/>
    <x v="0"/>
    <x v="7"/>
    <x v="12"/>
    <s v="NO2_A1"/>
    <x v="7"/>
    <x v="5"/>
    <s v="GNR_WT_WIND_ONS"/>
    <x v="0"/>
    <x v="2"/>
    <n v="194.18508710445599"/>
    <n v="70877.556793126394"/>
    <n v="255159.20445525501"/>
  </r>
  <r>
    <x v="0"/>
    <x v="0"/>
    <x v="0"/>
    <x v="7"/>
    <x v="12"/>
    <s v="NO2_A1"/>
    <x v="7"/>
    <x v="5"/>
    <s v="GNR_WT_WIND_ONS"/>
    <x v="0"/>
    <x v="9"/>
    <n v="191.78633132647701"/>
    <n v="70002.010934164093"/>
    <n v="252007.23936299101"/>
  </r>
  <r>
    <x v="0"/>
    <x v="0"/>
    <x v="0"/>
    <x v="7"/>
    <x v="12"/>
    <s v="NO2_A1"/>
    <x v="7"/>
    <x v="5"/>
    <s v="GNR_WT_WIND_ONS"/>
    <x v="0"/>
    <x v="10"/>
    <n v="152.153268546509"/>
    <n v="55535.943019475897"/>
    <n v="199929.394870113"/>
  </r>
  <r>
    <x v="0"/>
    <x v="0"/>
    <x v="0"/>
    <x v="7"/>
    <x v="12"/>
    <s v="NO2_A1"/>
    <x v="7"/>
    <x v="5"/>
    <s v="GNR_WT_WIND_ONS"/>
    <x v="0"/>
    <x v="11"/>
    <n v="49.927880951551899"/>
    <n v="18223.676547316401"/>
    <n v="65605.235570339195"/>
  </r>
  <r>
    <x v="0"/>
    <x v="0"/>
    <x v="0"/>
    <x v="7"/>
    <x v="12"/>
    <s v="NO2_A1"/>
    <x v="7"/>
    <x v="5"/>
    <s v="GNR_WT_WIND_ONS"/>
    <x v="0"/>
    <x v="12"/>
    <n v="62.913133317425697"/>
    <n v="22963.2936608604"/>
    <n v="82667.857179097293"/>
  </r>
  <r>
    <x v="0"/>
    <x v="0"/>
    <x v="0"/>
    <x v="7"/>
    <x v="12"/>
    <s v="NO2_A1"/>
    <x v="7"/>
    <x v="5"/>
    <s v="GNR_WT_WIND_ONS"/>
    <x v="0"/>
    <x v="13"/>
    <n v="181.02116537385601"/>
    <n v="66072.7253614574"/>
    <n v="237861.81130124701"/>
  </r>
  <r>
    <x v="0"/>
    <x v="0"/>
    <x v="0"/>
    <x v="7"/>
    <x v="12"/>
    <s v="NO2_A1"/>
    <x v="7"/>
    <x v="5"/>
    <s v="GNR_WT_WIND_ONS"/>
    <x v="0"/>
    <x v="14"/>
    <n v="186.21294875574401"/>
    <n v="67967.726295846602"/>
    <n v="244683.814665048"/>
  </r>
  <r>
    <x v="0"/>
    <x v="0"/>
    <x v="0"/>
    <x v="7"/>
    <x v="12"/>
    <s v="NO2_A1"/>
    <x v="7"/>
    <x v="5"/>
    <s v="GNR_WT_WIND_ONS"/>
    <x v="0"/>
    <x v="15"/>
    <n v="196.419330134489"/>
    <n v="71693.055499088601"/>
    <n v="258094.999796719"/>
  </r>
  <r>
    <x v="0"/>
    <x v="0"/>
    <x v="0"/>
    <x v="7"/>
    <x v="12"/>
    <s v="NO2_A1"/>
    <x v="7"/>
    <x v="5"/>
    <s v="GNR_WT_WIND_ONS"/>
    <x v="0"/>
    <x v="16"/>
    <n v="185.04079928553699"/>
    <n v="67539.891739220795"/>
    <n v="243143.61026119499"/>
  </r>
  <r>
    <x v="0"/>
    <x v="0"/>
    <x v="0"/>
    <x v="7"/>
    <x v="12"/>
    <s v="NO2_A1"/>
    <x v="7"/>
    <x v="5"/>
    <s v="GNR_WT_WIND_ONS"/>
    <x v="0"/>
    <x v="17"/>
    <n v="193.644902442503"/>
    <n v="70680.3893915136"/>
    <n v="254449.40180944899"/>
  </r>
  <r>
    <x v="0"/>
    <x v="0"/>
    <x v="0"/>
    <x v="7"/>
    <x v="12"/>
    <s v="NO2_A1"/>
    <x v="7"/>
    <x v="5"/>
    <s v="GNR_WT_WIND_ONS"/>
    <x v="0"/>
    <x v="18"/>
    <n v="164.094319387334"/>
    <n v="59894.426576377002"/>
    <n v="215619.935674957"/>
  </r>
  <r>
    <x v="0"/>
    <x v="0"/>
    <x v="0"/>
    <x v="7"/>
    <x v="12"/>
    <s v="NO2_A1"/>
    <x v="7"/>
    <x v="5"/>
    <s v="GNR_WT_WIND_ONS"/>
    <x v="0"/>
    <x v="19"/>
    <n v="148.80232076297099"/>
    <n v="54312.847078484403"/>
    <n v="195526.24948254399"/>
  </r>
  <r>
    <x v="0"/>
    <x v="0"/>
    <x v="0"/>
    <x v="7"/>
    <x v="12"/>
    <s v="NO2_A1"/>
    <x v="7"/>
    <x v="5"/>
    <s v="GNR_WT_WIND_ONS"/>
    <x v="0"/>
    <x v="20"/>
    <n v="189.031939058288"/>
    <n v="68996.657756275104"/>
    <n v="248387.96792259"/>
  </r>
  <r>
    <x v="0"/>
    <x v="0"/>
    <x v="0"/>
    <x v="7"/>
    <x v="12"/>
    <s v="NO2_A1"/>
    <x v="7"/>
    <x v="5"/>
    <s v="GNR_WT_WIND_ONS"/>
    <x v="0"/>
    <x v="21"/>
    <n v="160.58964834832699"/>
    <n v="58615.221647139399"/>
    <n v="211014.79792970201"/>
  </r>
  <r>
    <x v="0"/>
    <x v="0"/>
    <x v="0"/>
    <x v="7"/>
    <x v="12"/>
    <s v="NO2_A1"/>
    <x v="7"/>
    <x v="5"/>
    <s v="GNR_WT_WIND_ONS"/>
    <x v="0"/>
    <x v="22"/>
    <n v="182.55481686666499"/>
    <n v="66632.508156332595"/>
    <n v="239877.02936279701"/>
  </r>
  <r>
    <x v="0"/>
    <x v="0"/>
    <x v="0"/>
    <x v="7"/>
    <x v="12"/>
    <s v="NO2_A1"/>
    <x v="7"/>
    <x v="5"/>
    <s v="GNR_WT_WIND_ONS"/>
    <x v="0"/>
    <x v="23"/>
    <n v="130.39229773342299"/>
    <n v="47593.1886726995"/>
    <n v="171335.47922171801"/>
  </r>
  <r>
    <x v="0"/>
    <x v="0"/>
    <x v="0"/>
    <x v="7"/>
    <x v="13"/>
    <s v="NO3_A1"/>
    <x v="1"/>
    <x v="1"/>
    <s v="GBPR_MUNIWASTE"/>
    <x v="0"/>
    <x v="3"/>
    <n v="4.29"/>
    <n v="1565.85"/>
    <n v="5637.06"/>
  </r>
  <r>
    <x v="0"/>
    <x v="0"/>
    <x v="0"/>
    <x v="7"/>
    <x v="13"/>
    <s v="NO3_A1"/>
    <x v="1"/>
    <x v="1"/>
    <s v="GBPR_MUNIWASTE"/>
    <x v="0"/>
    <x v="4"/>
    <n v="4.29"/>
    <n v="1565.85"/>
    <n v="5637.06"/>
  </r>
  <r>
    <x v="0"/>
    <x v="0"/>
    <x v="0"/>
    <x v="7"/>
    <x v="13"/>
    <s v="NO3_A1"/>
    <x v="1"/>
    <x v="1"/>
    <s v="GBPR_MUNIWASTE"/>
    <x v="0"/>
    <x v="5"/>
    <n v="4.29"/>
    <n v="1565.85"/>
    <n v="5637.06"/>
  </r>
  <r>
    <x v="0"/>
    <x v="0"/>
    <x v="0"/>
    <x v="7"/>
    <x v="13"/>
    <s v="NO3_A1"/>
    <x v="1"/>
    <x v="1"/>
    <s v="GBPR_MUNIWASTE"/>
    <x v="0"/>
    <x v="6"/>
    <n v="4.29"/>
    <n v="1565.85"/>
    <n v="5637.06"/>
  </r>
  <r>
    <x v="0"/>
    <x v="0"/>
    <x v="0"/>
    <x v="7"/>
    <x v="13"/>
    <s v="NO3_A1"/>
    <x v="1"/>
    <x v="1"/>
    <s v="GBPR_MUNIWASTE"/>
    <x v="0"/>
    <x v="7"/>
    <n v="4.29"/>
    <n v="1565.85"/>
    <n v="5637.06"/>
  </r>
  <r>
    <x v="0"/>
    <x v="0"/>
    <x v="0"/>
    <x v="7"/>
    <x v="13"/>
    <s v="NO3_A1"/>
    <x v="1"/>
    <x v="1"/>
    <s v="GBPR_MUNIWASTE"/>
    <x v="0"/>
    <x v="8"/>
    <n v="4.29"/>
    <n v="1565.85"/>
    <n v="5637.06"/>
  </r>
  <r>
    <x v="0"/>
    <x v="0"/>
    <x v="0"/>
    <x v="7"/>
    <x v="13"/>
    <s v="NO3_A1"/>
    <x v="1"/>
    <x v="1"/>
    <s v="GBPR_MUNIWASTE"/>
    <x v="0"/>
    <x v="0"/>
    <n v="4.29"/>
    <n v="1565.85"/>
    <n v="5637.06"/>
  </r>
  <r>
    <x v="0"/>
    <x v="0"/>
    <x v="0"/>
    <x v="7"/>
    <x v="13"/>
    <s v="NO3_A1"/>
    <x v="1"/>
    <x v="1"/>
    <s v="GBPR_MUNIWASTE"/>
    <x v="0"/>
    <x v="1"/>
    <n v="4.29"/>
    <n v="1565.85"/>
    <n v="5637.06"/>
  </r>
  <r>
    <x v="0"/>
    <x v="0"/>
    <x v="0"/>
    <x v="7"/>
    <x v="13"/>
    <s v="NO3_A1"/>
    <x v="1"/>
    <x v="1"/>
    <s v="GBPR_MUNIWASTE"/>
    <x v="0"/>
    <x v="2"/>
    <n v="4.29"/>
    <n v="1565.85"/>
    <n v="5637.06"/>
  </r>
  <r>
    <x v="0"/>
    <x v="0"/>
    <x v="0"/>
    <x v="7"/>
    <x v="13"/>
    <s v="NO3_A1"/>
    <x v="1"/>
    <x v="1"/>
    <s v="GBPR_MUNIWASTE"/>
    <x v="0"/>
    <x v="9"/>
    <n v="4.29"/>
    <n v="1565.85"/>
    <n v="5637.06"/>
  </r>
  <r>
    <x v="0"/>
    <x v="0"/>
    <x v="0"/>
    <x v="7"/>
    <x v="13"/>
    <s v="NO3_A1"/>
    <x v="1"/>
    <x v="1"/>
    <s v="GBPR_MUNIWASTE"/>
    <x v="0"/>
    <x v="10"/>
    <n v="4.29"/>
    <n v="1565.85"/>
    <n v="5637.06"/>
  </r>
  <r>
    <x v="0"/>
    <x v="0"/>
    <x v="0"/>
    <x v="7"/>
    <x v="13"/>
    <s v="NO3_A1"/>
    <x v="1"/>
    <x v="1"/>
    <s v="GBPR_MUNIWASTE"/>
    <x v="0"/>
    <x v="11"/>
    <n v="4.29"/>
    <n v="1565.85"/>
    <n v="5637.06"/>
  </r>
  <r>
    <x v="0"/>
    <x v="0"/>
    <x v="0"/>
    <x v="7"/>
    <x v="13"/>
    <s v="NO3_A1"/>
    <x v="1"/>
    <x v="1"/>
    <s v="GBPR_MUNIWASTE"/>
    <x v="0"/>
    <x v="12"/>
    <n v="4.29"/>
    <n v="1565.85"/>
    <n v="5637.06"/>
  </r>
  <r>
    <x v="0"/>
    <x v="0"/>
    <x v="0"/>
    <x v="7"/>
    <x v="13"/>
    <s v="NO3_A1"/>
    <x v="1"/>
    <x v="1"/>
    <s v="GBPR_MUNIWASTE"/>
    <x v="0"/>
    <x v="13"/>
    <n v="4.29"/>
    <n v="1565.85"/>
    <n v="5637.06"/>
  </r>
  <r>
    <x v="0"/>
    <x v="0"/>
    <x v="0"/>
    <x v="7"/>
    <x v="13"/>
    <s v="NO3_A1"/>
    <x v="1"/>
    <x v="1"/>
    <s v="GBPR_MUNIWASTE"/>
    <x v="0"/>
    <x v="14"/>
    <n v="4.29"/>
    <n v="1565.85"/>
    <n v="5637.06"/>
  </r>
  <r>
    <x v="0"/>
    <x v="0"/>
    <x v="0"/>
    <x v="7"/>
    <x v="13"/>
    <s v="NO3_A1"/>
    <x v="1"/>
    <x v="1"/>
    <s v="GBPR_MUNIWASTE"/>
    <x v="0"/>
    <x v="15"/>
    <n v="4.29"/>
    <n v="1565.85"/>
    <n v="5637.06"/>
  </r>
  <r>
    <x v="0"/>
    <x v="0"/>
    <x v="0"/>
    <x v="7"/>
    <x v="13"/>
    <s v="NO3_A1"/>
    <x v="1"/>
    <x v="1"/>
    <s v="GBPR_MUNIWASTE"/>
    <x v="0"/>
    <x v="16"/>
    <n v="4.29"/>
    <n v="1565.85"/>
    <n v="5637.06"/>
  </r>
  <r>
    <x v="0"/>
    <x v="0"/>
    <x v="0"/>
    <x v="7"/>
    <x v="13"/>
    <s v="NO3_A1"/>
    <x v="1"/>
    <x v="1"/>
    <s v="GBPR_MUNIWASTE"/>
    <x v="0"/>
    <x v="17"/>
    <n v="4.29"/>
    <n v="1565.85"/>
    <n v="5637.06"/>
  </r>
  <r>
    <x v="0"/>
    <x v="0"/>
    <x v="0"/>
    <x v="7"/>
    <x v="13"/>
    <s v="NO3_A1"/>
    <x v="1"/>
    <x v="1"/>
    <s v="GBPR_MUNIWASTE"/>
    <x v="0"/>
    <x v="18"/>
    <n v="4.29"/>
    <n v="1565.85"/>
    <n v="5637.06"/>
  </r>
  <r>
    <x v="0"/>
    <x v="0"/>
    <x v="0"/>
    <x v="7"/>
    <x v="13"/>
    <s v="NO3_A1"/>
    <x v="1"/>
    <x v="1"/>
    <s v="GBPR_MUNIWASTE"/>
    <x v="0"/>
    <x v="19"/>
    <n v="4.29"/>
    <n v="1565.85"/>
    <n v="5637.06"/>
  </r>
  <r>
    <x v="0"/>
    <x v="0"/>
    <x v="0"/>
    <x v="7"/>
    <x v="13"/>
    <s v="NO3_A1"/>
    <x v="1"/>
    <x v="1"/>
    <s v="GBPR_MUNIWASTE"/>
    <x v="0"/>
    <x v="20"/>
    <n v="4.29"/>
    <n v="1565.85"/>
    <n v="5637.06"/>
  </r>
  <r>
    <x v="0"/>
    <x v="0"/>
    <x v="0"/>
    <x v="7"/>
    <x v="13"/>
    <s v="NO3_A1"/>
    <x v="1"/>
    <x v="1"/>
    <s v="GBPR_MUNIWASTE"/>
    <x v="0"/>
    <x v="21"/>
    <n v="4.29"/>
    <n v="1565.85"/>
    <n v="5637.06"/>
  </r>
  <r>
    <x v="0"/>
    <x v="0"/>
    <x v="0"/>
    <x v="7"/>
    <x v="13"/>
    <s v="NO3_A1"/>
    <x v="1"/>
    <x v="1"/>
    <s v="GBPR_MUNIWASTE"/>
    <x v="0"/>
    <x v="22"/>
    <n v="4.29"/>
    <n v="1565.85"/>
    <n v="5637.06"/>
  </r>
  <r>
    <x v="0"/>
    <x v="0"/>
    <x v="0"/>
    <x v="7"/>
    <x v="13"/>
    <s v="NO3_A1"/>
    <x v="1"/>
    <x v="1"/>
    <s v="GBPR_MUNIWASTE"/>
    <x v="0"/>
    <x v="23"/>
    <n v="4.29"/>
    <n v="1565.85"/>
    <n v="5637.06"/>
  </r>
  <r>
    <x v="0"/>
    <x v="0"/>
    <x v="0"/>
    <x v="7"/>
    <x v="13"/>
    <s v="NO3_A1"/>
    <x v="6"/>
    <x v="7"/>
    <s v="GNR_RES_WTR_NOPMP_MC-01"/>
    <x v="0"/>
    <x v="3"/>
    <n v="221.84651366034899"/>
    <n v="80973.977486027405"/>
    <n v="291506.31894969899"/>
  </r>
  <r>
    <x v="0"/>
    <x v="0"/>
    <x v="0"/>
    <x v="7"/>
    <x v="13"/>
    <s v="NO3_A1"/>
    <x v="6"/>
    <x v="7"/>
    <s v="GNR_RES_WTR_NOPMP_MC-01"/>
    <x v="0"/>
    <x v="4"/>
    <n v="221.84651366034899"/>
    <n v="80973.977486027405"/>
    <n v="291506.31894969899"/>
  </r>
  <r>
    <x v="0"/>
    <x v="0"/>
    <x v="0"/>
    <x v="7"/>
    <x v="13"/>
    <s v="NO3_A1"/>
    <x v="6"/>
    <x v="7"/>
    <s v="GNR_RES_WTR_NOPMP_MC-01"/>
    <x v="0"/>
    <x v="5"/>
    <n v="221.84651366034899"/>
    <n v="80973.977486027405"/>
    <n v="291506.31894969899"/>
  </r>
  <r>
    <x v="0"/>
    <x v="0"/>
    <x v="0"/>
    <x v="7"/>
    <x v="13"/>
    <s v="NO3_A1"/>
    <x v="6"/>
    <x v="7"/>
    <s v="GNR_RES_WTR_NOPMP_MC-01"/>
    <x v="0"/>
    <x v="6"/>
    <n v="221.84651366034899"/>
    <n v="80973.977486027405"/>
    <n v="291506.31894969899"/>
  </r>
  <r>
    <x v="0"/>
    <x v="0"/>
    <x v="0"/>
    <x v="7"/>
    <x v="13"/>
    <s v="NO3_A1"/>
    <x v="6"/>
    <x v="7"/>
    <s v="GNR_RES_WTR_NOPMP_MC-01"/>
    <x v="0"/>
    <x v="7"/>
    <n v="221.84651366034899"/>
    <n v="80973.977486027405"/>
    <n v="291506.31894969899"/>
  </r>
  <r>
    <x v="0"/>
    <x v="0"/>
    <x v="0"/>
    <x v="7"/>
    <x v="13"/>
    <s v="NO3_A1"/>
    <x v="6"/>
    <x v="7"/>
    <s v="GNR_RES_WTR_NOPMP_MC-01"/>
    <x v="0"/>
    <x v="8"/>
    <n v="221.84651366034899"/>
    <n v="80973.977486027405"/>
    <n v="291506.31894969899"/>
  </r>
  <r>
    <x v="0"/>
    <x v="0"/>
    <x v="0"/>
    <x v="7"/>
    <x v="13"/>
    <s v="NO3_A1"/>
    <x v="6"/>
    <x v="7"/>
    <s v="GNR_RES_WTR_NOPMP_MC-01"/>
    <x v="0"/>
    <x v="0"/>
    <n v="221.84651366034899"/>
    <n v="80973.977486027405"/>
    <n v="291506.31894969899"/>
  </r>
  <r>
    <x v="0"/>
    <x v="0"/>
    <x v="0"/>
    <x v="7"/>
    <x v="13"/>
    <s v="NO3_A1"/>
    <x v="6"/>
    <x v="7"/>
    <s v="GNR_RES_WTR_NOPMP_MC-01"/>
    <x v="0"/>
    <x v="1"/>
    <n v="221.84651366034899"/>
    <n v="80973.977486027405"/>
    <n v="291506.31894969899"/>
  </r>
  <r>
    <x v="0"/>
    <x v="0"/>
    <x v="0"/>
    <x v="7"/>
    <x v="13"/>
    <s v="NO3_A1"/>
    <x v="6"/>
    <x v="7"/>
    <s v="GNR_RES_WTR_NOPMP_MC-01"/>
    <x v="0"/>
    <x v="2"/>
    <n v="221.84651366034899"/>
    <n v="80973.977486027405"/>
    <n v="291506.31894969899"/>
  </r>
  <r>
    <x v="0"/>
    <x v="0"/>
    <x v="0"/>
    <x v="7"/>
    <x v="13"/>
    <s v="NO3_A1"/>
    <x v="6"/>
    <x v="7"/>
    <s v="GNR_RES_WTR_NOPMP_MC-01"/>
    <x v="0"/>
    <x v="9"/>
    <n v="221.84651366034899"/>
    <n v="80973.977486027405"/>
    <n v="291506.31894969899"/>
  </r>
  <r>
    <x v="0"/>
    <x v="0"/>
    <x v="0"/>
    <x v="7"/>
    <x v="13"/>
    <s v="NO3_A1"/>
    <x v="6"/>
    <x v="7"/>
    <s v="GNR_RES_WTR_NOPMP_MC-01"/>
    <x v="0"/>
    <x v="10"/>
    <n v="221.84651366034899"/>
    <n v="80973.977486027405"/>
    <n v="291506.31894969899"/>
  </r>
  <r>
    <x v="0"/>
    <x v="0"/>
    <x v="0"/>
    <x v="7"/>
    <x v="13"/>
    <s v="NO3_A1"/>
    <x v="6"/>
    <x v="7"/>
    <s v="GNR_RES_WTR_NOPMP_MC-01"/>
    <x v="0"/>
    <x v="11"/>
    <n v="221.84651366034899"/>
    <n v="80973.977486027405"/>
    <n v="291506.31894969899"/>
  </r>
  <r>
    <x v="0"/>
    <x v="0"/>
    <x v="0"/>
    <x v="7"/>
    <x v="13"/>
    <s v="NO3_A1"/>
    <x v="6"/>
    <x v="7"/>
    <s v="GNR_RES_WTR_NOPMP_MC-01"/>
    <x v="0"/>
    <x v="12"/>
    <n v="221.84651366034899"/>
    <n v="80973.977486027405"/>
    <n v="291506.31894969899"/>
  </r>
  <r>
    <x v="0"/>
    <x v="0"/>
    <x v="0"/>
    <x v="7"/>
    <x v="13"/>
    <s v="NO3_A1"/>
    <x v="6"/>
    <x v="7"/>
    <s v="GNR_RES_WTR_NOPMP_MC-01"/>
    <x v="0"/>
    <x v="13"/>
    <n v="221.84651366034899"/>
    <n v="80973.977486027405"/>
    <n v="291506.31894969899"/>
  </r>
  <r>
    <x v="0"/>
    <x v="0"/>
    <x v="0"/>
    <x v="7"/>
    <x v="13"/>
    <s v="NO3_A1"/>
    <x v="6"/>
    <x v="7"/>
    <s v="GNR_RES_WTR_NOPMP_MC-01"/>
    <x v="0"/>
    <x v="14"/>
    <n v="221.84651366034899"/>
    <n v="80973.977486027405"/>
    <n v="291506.31894969899"/>
  </r>
  <r>
    <x v="0"/>
    <x v="0"/>
    <x v="0"/>
    <x v="7"/>
    <x v="13"/>
    <s v="NO3_A1"/>
    <x v="6"/>
    <x v="7"/>
    <s v="GNR_RES_WTR_NOPMP_MC-01"/>
    <x v="0"/>
    <x v="15"/>
    <n v="221.84651366034899"/>
    <n v="80973.977486027405"/>
    <n v="291506.31894969899"/>
  </r>
  <r>
    <x v="0"/>
    <x v="0"/>
    <x v="0"/>
    <x v="7"/>
    <x v="13"/>
    <s v="NO3_A1"/>
    <x v="6"/>
    <x v="7"/>
    <s v="GNR_RES_WTR_NOPMP_MC-01"/>
    <x v="0"/>
    <x v="16"/>
    <n v="221.84651366034899"/>
    <n v="80973.977486027405"/>
    <n v="291506.31894969899"/>
  </r>
  <r>
    <x v="0"/>
    <x v="0"/>
    <x v="0"/>
    <x v="7"/>
    <x v="13"/>
    <s v="NO3_A1"/>
    <x v="6"/>
    <x v="7"/>
    <s v="GNR_RES_WTR_NOPMP_MC-01"/>
    <x v="0"/>
    <x v="17"/>
    <n v="221.84651366034899"/>
    <n v="80973.977486027405"/>
    <n v="291506.31894969899"/>
  </r>
  <r>
    <x v="0"/>
    <x v="0"/>
    <x v="0"/>
    <x v="7"/>
    <x v="13"/>
    <s v="NO3_A1"/>
    <x v="6"/>
    <x v="7"/>
    <s v="GNR_RES_WTR_NOPMP_MC-01"/>
    <x v="0"/>
    <x v="18"/>
    <n v="221.84651366034899"/>
    <n v="80973.977486027405"/>
    <n v="291506.31894969899"/>
  </r>
  <r>
    <x v="0"/>
    <x v="0"/>
    <x v="0"/>
    <x v="7"/>
    <x v="13"/>
    <s v="NO3_A1"/>
    <x v="6"/>
    <x v="7"/>
    <s v="GNR_RES_WTR_NOPMP_MC-01"/>
    <x v="0"/>
    <x v="19"/>
    <n v="221.84651366034899"/>
    <n v="80973.977486027405"/>
    <n v="291506.31894969899"/>
  </r>
  <r>
    <x v="0"/>
    <x v="0"/>
    <x v="0"/>
    <x v="7"/>
    <x v="13"/>
    <s v="NO3_A1"/>
    <x v="6"/>
    <x v="7"/>
    <s v="GNR_RES_WTR_NOPMP_MC-01"/>
    <x v="0"/>
    <x v="20"/>
    <n v="221.84651366034899"/>
    <n v="80973.977486027405"/>
    <n v="291506.31894969899"/>
  </r>
  <r>
    <x v="0"/>
    <x v="0"/>
    <x v="0"/>
    <x v="7"/>
    <x v="13"/>
    <s v="NO3_A1"/>
    <x v="6"/>
    <x v="7"/>
    <s v="GNR_RES_WTR_NOPMP_MC-01"/>
    <x v="0"/>
    <x v="21"/>
    <n v="221.84651366034899"/>
    <n v="80973.977486027405"/>
    <n v="291506.31894969899"/>
  </r>
  <r>
    <x v="0"/>
    <x v="0"/>
    <x v="0"/>
    <x v="7"/>
    <x v="13"/>
    <s v="NO3_A1"/>
    <x v="6"/>
    <x v="7"/>
    <s v="GNR_RES_WTR_NOPMP_MC-01"/>
    <x v="0"/>
    <x v="22"/>
    <n v="221.84651366034899"/>
    <n v="80973.977486027405"/>
    <n v="291506.31894969899"/>
  </r>
  <r>
    <x v="0"/>
    <x v="0"/>
    <x v="0"/>
    <x v="7"/>
    <x v="13"/>
    <s v="NO3_A1"/>
    <x v="6"/>
    <x v="7"/>
    <s v="GNR_RES_WTR_NOPMP_MC-01"/>
    <x v="0"/>
    <x v="23"/>
    <n v="221.84651366034899"/>
    <n v="80973.977486027405"/>
    <n v="291506.31894969899"/>
  </r>
  <r>
    <x v="0"/>
    <x v="0"/>
    <x v="0"/>
    <x v="7"/>
    <x v="13"/>
    <s v="NO3_A1"/>
    <x v="6"/>
    <x v="7"/>
    <s v="GNR_RES_WTR_NOPMP_MC-02"/>
    <x v="0"/>
    <x v="3"/>
    <n v="282.146513660349"/>
    <n v="102983.477486027"/>
    <n v="370740.51894969901"/>
  </r>
  <r>
    <x v="0"/>
    <x v="0"/>
    <x v="0"/>
    <x v="7"/>
    <x v="13"/>
    <s v="NO3_A1"/>
    <x v="6"/>
    <x v="7"/>
    <s v="GNR_RES_WTR_NOPMP_MC-02"/>
    <x v="0"/>
    <x v="4"/>
    <n v="282.146513660349"/>
    <n v="102983.477486027"/>
    <n v="370740.51894969901"/>
  </r>
  <r>
    <x v="0"/>
    <x v="0"/>
    <x v="0"/>
    <x v="7"/>
    <x v="13"/>
    <s v="NO3_A1"/>
    <x v="6"/>
    <x v="7"/>
    <s v="GNR_RES_WTR_NOPMP_MC-02"/>
    <x v="0"/>
    <x v="5"/>
    <n v="282.146513660349"/>
    <n v="102983.477486027"/>
    <n v="370740.51894969901"/>
  </r>
  <r>
    <x v="0"/>
    <x v="0"/>
    <x v="0"/>
    <x v="7"/>
    <x v="13"/>
    <s v="NO3_A1"/>
    <x v="6"/>
    <x v="7"/>
    <s v="GNR_RES_WTR_NOPMP_MC-02"/>
    <x v="0"/>
    <x v="6"/>
    <n v="282.146513660349"/>
    <n v="102983.477486027"/>
    <n v="370740.51894969901"/>
  </r>
  <r>
    <x v="0"/>
    <x v="0"/>
    <x v="0"/>
    <x v="7"/>
    <x v="13"/>
    <s v="NO3_A1"/>
    <x v="6"/>
    <x v="7"/>
    <s v="GNR_RES_WTR_NOPMP_MC-02"/>
    <x v="0"/>
    <x v="7"/>
    <n v="282.146513660349"/>
    <n v="102983.477486027"/>
    <n v="370740.51894969901"/>
  </r>
  <r>
    <x v="0"/>
    <x v="0"/>
    <x v="0"/>
    <x v="7"/>
    <x v="13"/>
    <s v="NO3_A1"/>
    <x v="6"/>
    <x v="7"/>
    <s v="GNR_RES_WTR_NOPMP_MC-02"/>
    <x v="0"/>
    <x v="8"/>
    <n v="282.146513660349"/>
    <n v="102983.477486027"/>
    <n v="370740.51894969901"/>
  </r>
  <r>
    <x v="0"/>
    <x v="0"/>
    <x v="0"/>
    <x v="7"/>
    <x v="13"/>
    <s v="NO3_A1"/>
    <x v="6"/>
    <x v="7"/>
    <s v="GNR_RES_WTR_NOPMP_MC-02"/>
    <x v="0"/>
    <x v="0"/>
    <n v="282.146513660349"/>
    <n v="102983.477486027"/>
    <n v="370740.51894969901"/>
  </r>
  <r>
    <x v="0"/>
    <x v="0"/>
    <x v="0"/>
    <x v="7"/>
    <x v="13"/>
    <s v="NO3_A1"/>
    <x v="6"/>
    <x v="7"/>
    <s v="GNR_RES_WTR_NOPMP_MC-02"/>
    <x v="0"/>
    <x v="1"/>
    <n v="282.146513660349"/>
    <n v="102983.477486027"/>
    <n v="370740.51894969901"/>
  </r>
  <r>
    <x v="0"/>
    <x v="0"/>
    <x v="0"/>
    <x v="7"/>
    <x v="13"/>
    <s v="NO3_A1"/>
    <x v="6"/>
    <x v="7"/>
    <s v="GNR_RES_WTR_NOPMP_MC-02"/>
    <x v="0"/>
    <x v="2"/>
    <n v="282.146513660349"/>
    <n v="102983.477486027"/>
    <n v="370740.51894969901"/>
  </r>
  <r>
    <x v="0"/>
    <x v="0"/>
    <x v="0"/>
    <x v="7"/>
    <x v="13"/>
    <s v="NO3_A1"/>
    <x v="6"/>
    <x v="7"/>
    <s v="GNR_RES_WTR_NOPMP_MC-02"/>
    <x v="0"/>
    <x v="9"/>
    <n v="282.146513660349"/>
    <n v="102983.477486027"/>
    <n v="370740.51894969901"/>
  </r>
  <r>
    <x v="0"/>
    <x v="0"/>
    <x v="0"/>
    <x v="7"/>
    <x v="13"/>
    <s v="NO3_A1"/>
    <x v="6"/>
    <x v="7"/>
    <s v="GNR_RES_WTR_NOPMP_MC-02"/>
    <x v="0"/>
    <x v="10"/>
    <n v="282.146513660349"/>
    <n v="102983.477486027"/>
    <n v="370740.51894969901"/>
  </r>
  <r>
    <x v="0"/>
    <x v="0"/>
    <x v="0"/>
    <x v="7"/>
    <x v="13"/>
    <s v="NO3_A1"/>
    <x v="6"/>
    <x v="7"/>
    <s v="GNR_RES_WTR_NOPMP_MC-02"/>
    <x v="0"/>
    <x v="11"/>
    <n v="282.146513660349"/>
    <n v="102983.477486027"/>
    <n v="370740.51894969901"/>
  </r>
  <r>
    <x v="0"/>
    <x v="0"/>
    <x v="0"/>
    <x v="7"/>
    <x v="13"/>
    <s v="NO3_A1"/>
    <x v="6"/>
    <x v="7"/>
    <s v="GNR_RES_WTR_NOPMP_MC-02"/>
    <x v="0"/>
    <x v="12"/>
    <n v="282.146513660349"/>
    <n v="102983.477486027"/>
    <n v="370740.51894969901"/>
  </r>
  <r>
    <x v="0"/>
    <x v="0"/>
    <x v="0"/>
    <x v="7"/>
    <x v="13"/>
    <s v="NO3_A1"/>
    <x v="6"/>
    <x v="7"/>
    <s v="GNR_RES_WTR_NOPMP_MC-02"/>
    <x v="0"/>
    <x v="13"/>
    <n v="282.146513660349"/>
    <n v="102983.477486027"/>
    <n v="370740.51894969901"/>
  </r>
  <r>
    <x v="0"/>
    <x v="0"/>
    <x v="0"/>
    <x v="7"/>
    <x v="13"/>
    <s v="NO3_A1"/>
    <x v="6"/>
    <x v="7"/>
    <s v="GNR_RES_WTR_NOPMP_MC-02"/>
    <x v="0"/>
    <x v="14"/>
    <n v="282.146513660349"/>
    <n v="102983.477486027"/>
    <n v="370740.51894969901"/>
  </r>
  <r>
    <x v="0"/>
    <x v="0"/>
    <x v="0"/>
    <x v="7"/>
    <x v="13"/>
    <s v="NO3_A1"/>
    <x v="6"/>
    <x v="7"/>
    <s v="GNR_RES_WTR_NOPMP_MC-02"/>
    <x v="0"/>
    <x v="15"/>
    <n v="282.146513660349"/>
    <n v="102983.477486027"/>
    <n v="370740.51894969901"/>
  </r>
  <r>
    <x v="0"/>
    <x v="0"/>
    <x v="0"/>
    <x v="7"/>
    <x v="13"/>
    <s v="NO3_A1"/>
    <x v="6"/>
    <x v="7"/>
    <s v="GNR_RES_WTR_NOPMP_MC-02"/>
    <x v="0"/>
    <x v="16"/>
    <n v="282.146513660349"/>
    <n v="102983.477486027"/>
    <n v="370740.51894969901"/>
  </r>
  <r>
    <x v="0"/>
    <x v="0"/>
    <x v="0"/>
    <x v="7"/>
    <x v="13"/>
    <s v="NO3_A1"/>
    <x v="6"/>
    <x v="7"/>
    <s v="GNR_RES_WTR_NOPMP_MC-02"/>
    <x v="0"/>
    <x v="17"/>
    <n v="282.146513660349"/>
    <n v="102983.477486027"/>
    <n v="370740.51894969901"/>
  </r>
  <r>
    <x v="0"/>
    <x v="0"/>
    <x v="0"/>
    <x v="7"/>
    <x v="13"/>
    <s v="NO3_A1"/>
    <x v="6"/>
    <x v="7"/>
    <s v="GNR_RES_WTR_NOPMP_MC-02"/>
    <x v="0"/>
    <x v="18"/>
    <n v="282.146513660349"/>
    <n v="102983.477486027"/>
    <n v="370740.51894969901"/>
  </r>
  <r>
    <x v="0"/>
    <x v="0"/>
    <x v="0"/>
    <x v="7"/>
    <x v="13"/>
    <s v="NO3_A1"/>
    <x v="6"/>
    <x v="7"/>
    <s v="GNR_RES_WTR_NOPMP_MC-02"/>
    <x v="0"/>
    <x v="19"/>
    <n v="282.146513660349"/>
    <n v="102983.477486027"/>
    <n v="370740.51894969901"/>
  </r>
  <r>
    <x v="0"/>
    <x v="0"/>
    <x v="0"/>
    <x v="7"/>
    <x v="13"/>
    <s v="NO3_A1"/>
    <x v="6"/>
    <x v="7"/>
    <s v="GNR_RES_WTR_NOPMP_MC-02"/>
    <x v="0"/>
    <x v="20"/>
    <n v="282.146513660349"/>
    <n v="102983.477486027"/>
    <n v="370740.51894969901"/>
  </r>
  <r>
    <x v="0"/>
    <x v="0"/>
    <x v="0"/>
    <x v="7"/>
    <x v="13"/>
    <s v="NO3_A1"/>
    <x v="6"/>
    <x v="7"/>
    <s v="GNR_RES_WTR_NOPMP_MC-02"/>
    <x v="0"/>
    <x v="21"/>
    <n v="282.146513660349"/>
    <n v="102983.477486027"/>
    <n v="370740.51894969901"/>
  </r>
  <r>
    <x v="0"/>
    <x v="0"/>
    <x v="0"/>
    <x v="7"/>
    <x v="13"/>
    <s v="NO3_A1"/>
    <x v="6"/>
    <x v="7"/>
    <s v="GNR_RES_WTR_NOPMP_MC-02"/>
    <x v="0"/>
    <x v="22"/>
    <n v="282.146513660349"/>
    <n v="102983.477486027"/>
    <n v="370740.51894969901"/>
  </r>
  <r>
    <x v="0"/>
    <x v="0"/>
    <x v="0"/>
    <x v="7"/>
    <x v="13"/>
    <s v="NO3_A1"/>
    <x v="6"/>
    <x v="7"/>
    <s v="GNR_RES_WTR_NOPMP_MC-02"/>
    <x v="0"/>
    <x v="23"/>
    <n v="282.146513660349"/>
    <n v="102983.477486027"/>
    <n v="370740.51894969901"/>
  </r>
  <r>
    <x v="0"/>
    <x v="0"/>
    <x v="0"/>
    <x v="7"/>
    <x v="13"/>
    <s v="NO3_A1"/>
    <x v="6"/>
    <x v="7"/>
    <s v="GNR_RES_WTR_NOPMP_MC-03"/>
    <x v="0"/>
    <x v="3"/>
    <n v="282.146513660349"/>
    <n v="102983.477486027"/>
    <n v="370740.51894969901"/>
  </r>
  <r>
    <x v="0"/>
    <x v="0"/>
    <x v="0"/>
    <x v="7"/>
    <x v="13"/>
    <s v="NO3_A1"/>
    <x v="6"/>
    <x v="7"/>
    <s v="GNR_RES_WTR_NOPMP_MC-03"/>
    <x v="0"/>
    <x v="4"/>
    <n v="282.146513660349"/>
    <n v="102983.477486027"/>
    <n v="370740.51894969901"/>
  </r>
  <r>
    <x v="0"/>
    <x v="0"/>
    <x v="0"/>
    <x v="7"/>
    <x v="13"/>
    <s v="NO3_A1"/>
    <x v="6"/>
    <x v="7"/>
    <s v="GNR_RES_WTR_NOPMP_MC-03"/>
    <x v="0"/>
    <x v="5"/>
    <n v="282.146513660349"/>
    <n v="102983.477486027"/>
    <n v="370740.51894969901"/>
  </r>
  <r>
    <x v="0"/>
    <x v="0"/>
    <x v="0"/>
    <x v="7"/>
    <x v="13"/>
    <s v="NO3_A1"/>
    <x v="6"/>
    <x v="7"/>
    <s v="GNR_RES_WTR_NOPMP_MC-03"/>
    <x v="0"/>
    <x v="6"/>
    <n v="282.146513660349"/>
    <n v="102983.477486027"/>
    <n v="370740.51894969901"/>
  </r>
  <r>
    <x v="0"/>
    <x v="0"/>
    <x v="0"/>
    <x v="7"/>
    <x v="13"/>
    <s v="NO3_A1"/>
    <x v="6"/>
    <x v="7"/>
    <s v="GNR_RES_WTR_NOPMP_MC-03"/>
    <x v="0"/>
    <x v="7"/>
    <n v="282.146513660349"/>
    <n v="102983.477486027"/>
    <n v="370740.51894969901"/>
  </r>
  <r>
    <x v="0"/>
    <x v="0"/>
    <x v="0"/>
    <x v="7"/>
    <x v="13"/>
    <s v="NO3_A1"/>
    <x v="6"/>
    <x v="7"/>
    <s v="GNR_RES_WTR_NOPMP_MC-03"/>
    <x v="0"/>
    <x v="8"/>
    <n v="282.146513660349"/>
    <n v="102983.477486027"/>
    <n v="370740.51894969901"/>
  </r>
  <r>
    <x v="0"/>
    <x v="0"/>
    <x v="0"/>
    <x v="7"/>
    <x v="13"/>
    <s v="NO3_A1"/>
    <x v="6"/>
    <x v="7"/>
    <s v="GNR_RES_WTR_NOPMP_MC-03"/>
    <x v="0"/>
    <x v="0"/>
    <n v="282.146513660349"/>
    <n v="102983.477486027"/>
    <n v="370740.51894969901"/>
  </r>
  <r>
    <x v="0"/>
    <x v="0"/>
    <x v="0"/>
    <x v="7"/>
    <x v="13"/>
    <s v="NO3_A1"/>
    <x v="6"/>
    <x v="7"/>
    <s v="GNR_RES_WTR_NOPMP_MC-03"/>
    <x v="0"/>
    <x v="1"/>
    <n v="282.146513660349"/>
    <n v="102983.477486027"/>
    <n v="370740.51894969901"/>
  </r>
  <r>
    <x v="0"/>
    <x v="0"/>
    <x v="0"/>
    <x v="7"/>
    <x v="13"/>
    <s v="NO3_A1"/>
    <x v="6"/>
    <x v="7"/>
    <s v="GNR_RES_WTR_NOPMP_MC-03"/>
    <x v="0"/>
    <x v="2"/>
    <n v="282.146513660349"/>
    <n v="102983.477486027"/>
    <n v="370740.51894969901"/>
  </r>
  <r>
    <x v="0"/>
    <x v="0"/>
    <x v="0"/>
    <x v="7"/>
    <x v="13"/>
    <s v="NO3_A1"/>
    <x v="6"/>
    <x v="7"/>
    <s v="GNR_RES_WTR_NOPMP_MC-03"/>
    <x v="0"/>
    <x v="9"/>
    <n v="282.146513660349"/>
    <n v="102983.477486027"/>
    <n v="370740.51894969901"/>
  </r>
  <r>
    <x v="0"/>
    <x v="0"/>
    <x v="0"/>
    <x v="7"/>
    <x v="13"/>
    <s v="NO3_A1"/>
    <x v="6"/>
    <x v="7"/>
    <s v="GNR_RES_WTR_NOPMP_MC-03"/>
    <x v="0"/>
    <x v="10"/>
    <n v="282.146513660349"/>
    <n v="102983.477486027"/>
    <n v="370740.51894969901"/>
  </r>
  <r>
    <x v="0"/>
    <x v="0"/>
    <x v="0"/>
    <x v="7"/>
    <x v="13"/>
    <s v="NO3_A1"/>
    <x v="6"/>
    <x v="7"/>
    <s v="GNR_RES_WTR_NOPMP_MC-03"/>
    <x v="0"/>
    <x v="11"/>
    <n v="282.146513660349"/>
    <n v="102983.477486027"/>
    <n v="370740.51894969901"/>
  </r>
  <r>
    <x v="0"/>
    <x v="0"/>
    <x v="0"/>
    <x v="7"/>
    <x v="13"/>
    <s v="NO3_A1"/>
    <x v="6"/>
    <x v="7"/>
    <s v="GNR_RES_WTR_NOPMP_MC-03"/>
    <x v="0"/>
    <x v="12"/>
    <n v="282.146513660349"/>
    <n v="102983.477486027"/>
    <n v="370740.51894969901"/>
  </r>
  <r>
    <x v="0"/>
    <x v="0"/>
    <x v="0"/>
    <x v="7"/>
    <x v="13"/>
    <s v="NO3_A1"/>
    <x v="6"/>
    <x v="7"/>
    <s v="GNR_RES_WTR_NOPMP_MC-03"/>
    <x v="0"/>
    <x v="13"/>
    <n v="282.146513660349"/>
    <n v="102983.477486027"/>
    <n v="370740.51894969901"/>
  </r>
  <r>
    <x v="0"/>
    <x v="0"/>
    <x v="0"/>
    <x v="7"/>
    <x v="13"/>
    <s v="NO3_A1"/>
    <x v="6"/>
    <x v="7"/>
    <s v="GNR_RES_WTR_NOPMP_MC-03"/>
    <x v="0"/>
    <x v="14"/>
    <n v="282.146513660349"/>
    <n v="102983.477486027"/>
    <n v="370740.51894969901"/>
  </r>
  <r>
    <x v="0"/>
    <x v="0"/>
    <x v="0"/>
    <x v="7"/>
    <x v="13"/>
    <s v="NO3_A1"/>
    <x v="6"/>
    <x v="7"/>
    <s v="GNR_RES_WTR_NOPMP_MC-03"/>
    <x v="0"/>
    <x v="15"/>
    <n v="282.146513660349"/>
    <n v="102983.477486027"/>
    <n v="370740.51894969901"/>
  </r>
  <r>
    <x v="0"/>
    <x v="0"/>
    <x v="0"/>
    <x v="7"/>
    <x v="13"/>
    <s v="NO3_A1"/>
    <x v="6"/>
    <x v="7"/>
    <s v="GNR_RES_WTR_NOPMP_MC-03"/>
    <x v="0"/>
    <x v="16"/>
    <n v="282.146513660349"/>
    <n v="102983.477486027"/>
    <n v="370740.51894969901"/>
  </r>
  <r>
    <x v="0"/>
    <x v="0"/>
    <x v="0"/>
    <x v="7"/>
    <x v="13"/>
    <s v="NO3_A1"/>
    <x v="6"/>
    <x v="7"/>
    <s v="GNR_RES_WTR_NOPMP_MC-03"/>
    <x v="0"/>
    <x v="17"/>
    <n v="282.146513660349"/>
    <n v="102983.477486027"/>
    <n v="370740.51894969901"/>
  </r>
  <r>
    <x v="0"/>
    <x v="0"/>
    <x v="0"/>
    <x v="7"/>
    <x v="13"/>
    <s v="NO3_A1"/>
    <x v="6"/>
    <x v="7"/>
    <s v="GNR_RES_WTR_NOPMP_MC-03"/>
    <x v="0"/>
    <x v="18"/>
    <n v="282.146513660349"/>
    <n v="102983.477486027"/>
    <n v="370740.51894969901"/>
  </r>
  <r>
    <x v="0"/>
    <x v="0"/>
    <x v="0"/>
    <x v="7"/>
    <x v="13"/>
    <s v="NO3_A1"/>
    <x v="6"/>
    <x v="7"/>
    <s v="GNR_RES_WTR_NOPMP_MC-03"/>
    <x v="0"/>
    <x v="19"/>
    <n v="282.146513660349"/>
    <n v="102983.477486027"/>
    <n v="370740.51894969901"/>
  </r>
  <r>
    <x v="0"/>
    <x v="0"/>
    <x v="0"/>
    <x v="7"/>
    <x v="13"/>
    <s v="NO3_A1"/>
    <x v="6"/>
    <x v="7"/>
    <s v="GNR_RES_WTR_NOPMP_MC-03"/>
    <x v="0"/>
    <x v="20"/>
    <n v="282.146513660349"/>
    <n v="102983.477486027"/>
    <n v="370740.51894969901"/>
  </r>
  <r>
    <x v="0"/>
    <x v="0"/>
    <x v="0"/>
    <x v="7"/>
    <x v="13"/>
    <s v="NO3_A1"/>
    <x v="6"/>
    <x v="7"/>
    <s v="GNR_RES_WTR_NOPMP_MC-03"/>
    <x v="0"/>
    <x v="21"/>
    <n v="282.146513660349"/>
    <n v="102983.477486027"/>
    <n v="370740.51894969901"/>
  </r>
  <r>
    <x v="0"/>
    <x v="0"/>
    <x v="0"/>
    <x v="7"/>
    <x v="13"/>
    <s v="NO3_A1"/>
    <x v="6"/>
    <x v="7"/>
    <s v="GNR_RES_WTR_NOPMP_MC-03"/>
    <x v="0"/>
    <x v="22"/>
    <n v="282.146513660349"/>
    <n v="102983.477486027"/>
    <n v="370740.51894969901"/>
  </r>
  <r>
    <x v="0"/>
    <x v="0"/>
    <x v="0"/>
    <x v="7"/>
    <x v="13"/>
    <s v="NO3_A1"/>
    <x v="6"/>
    <x v="7"/>
    <s v="GNR_RES_WTR_NOPMP_MC-03"/>
    <x v="0"/>
    <x v="23"/>
    <n v="282.146513660349"/>
    <n v="102983.477486027"/>
    <n v="370740.51894969901"/>
  </r>
  <r>
    <x v="0"/>
    <x v="0"/>
    <x v="0"/>
    <x v="7"/>
    <x v="13"/>
    <s v="NO3_A1"/>
    <x v="6"/>
    <x v="7"/>
    <s v="GNR_RES_WTR_NOPMP_MC-04"/>
    <x v="0"/>
    <x v="8"/>
    <n v="282.146513660349"/>
    <n v="102983.477486027"/>
    <n v="370740.51894969901"/>
  </r>
  <r>
    <x v="0"/>
    <x v="0"/>
    <x v="0"/>
    <x v="7"/>
    <x v="13"/>
    <s v="NO3_A1"/>
    <x v="6"/>
    <x v="7"/>
    <s v="GNR_RES_WTR_NOPMP_MC-04"/>
    <x v="0"/>
    <x v="0"/>
    <n v="282.146513660349"/>
    <n v="102983.477486027"/>
    <n v="370740.51894969901"/>
  </r>
  <r>
    <x v="0"/>
    <x v="0"/>
    <x v="0"/>
    <x v="7"/>
    <x v="13"/>
    <s v="NO3_A1"/>
    <x v="6"/>
    <x v="7"/>
    <s v="GNR_RES_WTR_NOPMP_MC-04"/>
    <x v="0"/>
    <x v="1"/>
    <n v="282.146513660349"/>
    <n v="102983.477486027"/>
    <n v="370740.51894969901"/>
  </r>
  <r>
    <x v="0"/>
    <x v="0"/>
    <x v="0"/>
    <x v="7"/>
    <x v="13"/>
    <s v="NO3_A1"/>
    <x v="6"/>
    <x v="7"/>
    <s v="GNR_RES_WTR_NOPMP_MC-04"/>
    <x v="0"/>
    <x v="2"/>
    <n v="282.146513660349"/>
    <n v="102983.477486027"/>
    <n v="370740.51894969901"/>
  </r>
  <r>
    <x v="0"/>
    <x v="0"/>
    <x v="0"/>
    <x v="7"/>
    <x v="13"/>
    <s v="NO3_A1"/>
    <x v="6"/>
    <x v="7"/>
    <s v="GNR_RES_WTR_NOPMP_MC-04"/>
    <x v="0"/>
    <x v="9"/>
    <n v="282.146513660349"/>
    <n v="102983.477486027"/>
    <n v="370740.51894969901"/>
  </r>
  <r>
    <x v="0"/>
    <x v="0"/>
    <x v="0"/>
    <x v="7"/>
    <x v="13"/>
    <s v="NO3_A1"/>
    <x v="6"/>
    <x v="7"/>
    <s v="GNR_RES_WTR_NOPMP_MC-04"/>
    <x v="0"/>
    <x v="10"/>
    <n v="282.146513660349"/>
    <n v="102983.477486027"/>
    <n v="370740.51894969901"/>
  </r>
  <r>
    <x v="0"/>
    <x v="0"/>
    <x v="0"/>
    <x v="7"/>
    <x v="13"/>
    <s v="NO3_A1"/>
    <x v="6"/>
    <x v="7"/>
    <s v="GNR_RES_WTR_NOPMP_MC-04"/>
    <x v="0"/>
    <x v="11"/>
    <n v="282.146513660349"/>
    <n v="102983.477486027"/>
    <n v="370740.51894969901"/>
  </r>
  <r>
    <x v="0"/>
    <x v="0"/>
    <x v="0"/>
    <x v="7"/>
    <x v="13"/>
    <s v="NO3_A1"/>
    <x v="6"/>
    <x v="7"/>
    <s v="GNR_RES_WTR_NOPMP_MC-04"/>
    <x v="0"/>
    <x v="12"/>
    <n v="282.146513660349"/>
    <n v="102983.477486027"/>
    <n v="370740.51894969901"/>
  </r>
  <r>
    <x v="0"/>
    <x v="0"/>
    <x v="0"/>
    <x v="7"/>
    <x v="13"/>
    <s v="NO3_A1"/>
    <x v="6"/>
    <x v="7"/>
    <s v="GNR_RES_WTR_NOPMP_MC-04"/>
    <x v="0"/>
    <x v="13"/>
    <n v="282.146513660349"/>
    <n v="102983.477486027"/>
    <n v="370740.51894969901"/>
  </r>
  <r>
    <x v="0"/>
    <x v="0"/>
    <x v="0"/>
    <x v="7"/>
    <x v="13"/>
    <s v="NO3_A1"/>
    <x v="6"/>
    <x v="7"/>
    <s v="GNR_RES_WTR_NOPMP_MC-04"/>
    <x v="0"/>
    <x v="14"/>
    <n v="282.146513660349"/>
    <n v="102983.477486027"/>
    <n v="370740.51894969901"/>
  </r>
  <r>
    <x v="0"/>
    <x v="0"/>
    <x v="0"/>
    <x v="7"/>
    <x v="13"/>
    <s v="NO3_A1"/>
    <x v="6"/>
    <x v="7"/>
    <s v="GNR_RES_WTR_NOPMP_MC-04"/>
    <x v="0"/>
    <x v="15"/>
    <n v="282.146513660349"/>
    <n v="102983.477486027"/>
    <n v="370740.51894969901"/>
  </r>
  <r>
    <x v="0"/>
    <x v="0"/>
    <x v="0"/>
    <x v="7"/>
    <x v="13"/>
    <s v="NO3_A1"/>
    <x v="6"/>
    <x v="7"/>
    <s v="GNR_RES_WTR_NOPMP_MC-04"/>
    <x v="0"/>
    <x v="16"/>
    <n v="282.146513660349"/>
    <n v="102983.477486027"/>
    <n v="370740.51894969901"/>
  </r>
  <r>
    <x v="0"/>
    <x v="0"/>
    <x v="0"/>
    <x v="7"/>
    <x v="13"/>
    <s v="NO3_A1"/>
    <x v="6"/>
    <x v="7"/>
    <s v="GNR_RES_WTR_NOPMP_MC-04"/>
    <x v="0"/>
    <x v="17"/>
    <n v="282.146513660349"/>
    <n v="102983.477486027"/>
    <n v="370740.51894969901"/>
  </r>
  <r>
    <x v="0"/>
    <x v="0"/>
    <x v="0"/>
    <x v="7"/>
    <x v="13"/>
    <s v="NO3_A1"/>
    <x v="6"/>
    <x v="7"/>
    <s v="GNR_RES_WTR_NOPMP_MC-04"/>
    <x v="0"/>
    <x v="18"/>
    <n v="282.146513660349"/>
    <n v="102983.477486027"/>
    <n v="370740.51894969901"/>
  </r>
  <r>
    <x v="0"/>
    <x v="0"/>
    <x v="0"/>
    <x v="7"/>
    <x v="13"/>
    <s v="NO3_A1"/>
    <x v="6"/>
    <x v="7"/>
    <s v="GNR_RES_WTR_NOPMP_MC-04"/>
    <x v="0"/>
    <x v="19"/>
    <n v="282.146513660349"/>
    <n v="102983.477486027"/>
    <n v="370740.51894969901"/>
  </r>
  <r>
    <x v="0"/>
    <x v="0"/>
    <x v="0"/>
    <x v="7"/>
    <x v="13"/>
    <s v="NO3_A1"/>
    <x v="6"/>
    <x v="7"/>
    <s v="GNR_RES_WTR_NOPMP_MC-04"/>
    <x v="0"/>
    <x v="20"/>
    <n v="282.146513660349"/>
    <n v="102983.477486027"/>
    <n v="370740.51894969901"/>
  </r>
  <r>
    <x v="0"/>
    <x v="0"/>
    <x v="0"/>
    <x v="7"/>
    <x v="13"/>
    <s v="NO3_A1"/>
    <x v="6"/>
    <x v="7"/>
    <s v="GNR_RES_WTR_NOPMP_MC-05"/>
    <x v="0"/>
    <x v="0"/>
    <n v="282.146513660349"/>
    <n v="102983.477486027"/>
    <n v="370740.51894969901"/>
  </r>
  <r>
    <x v="0"/>
    <x v="0"/>
    <x v="0"/>
    <x v="7"/>
    <x v="13"/>
    <s v="NO3_A1"/>
    <x v="6"/>
    <x v="7"/>
    <s v="GNR_RES_WTR_NOPMP_MC-05"/>
    <x v="0"/>
    <x v="1"/>
    <n v="282.146513660349"/>
    <n v="102983.477486027"/>
    <n v="370740.51894969901"/>
  </r>
  <r>
    <x v="0"/>
    <x v="0"/>
    <x v="0"/>
    <x v="7"/>
    <x v="13"/>
    <s v="NO3_A1"/>
    <x v="6"/>
    <x v="7"/>
    <s v="GNR_RES_WTR_NOPMP_MC-05"/>
    <x v="0"/>
    <x v="2"/>
    <n v="282.146513660349"/>
    <n v="102983.477486027"/>
    <n v="370740.51894969901"/>
  </r>
  <r>
    <x v="0"/>
    <x v="0"/>
    <x v="0"/>
    <x v="7"/>
    <x v="13"/>
    <s v="NO3_A1"/>
    <x v="6"/>
    <x v="7"/>
    <s v="GNR_RES_WTR_NOPMP_MC-05"/>
    <x v="0"/>
    <x v="9"/>
    <n v="282.146513660349"/>
    <n v="102983.477486027"/>
    <n v="370740.51894969901"/>
  </r>
  <r>
    <x v="0"/>
    <x v="0"/>
    <x v="0"/>
    <x v="7"/>
    <x v="13"/>
    <s v="NO3_A1"/>
    <x v="6"/>
    <x v="7"/>
    <s v="GNR_RES_WTR_NOPMP_MC-05"/>
    <x v="0"/>
    <x v="10"/>
    <n v="282.146513660349"/>
    <n v="102983.477486027"/>
    <n v="370740.51894969901"/>
  </r>
  <r>
    <x v="0"/>
    <x v="0"/>
    <x v="0"/>
    <x v="7"/>
    <x v="13"/>
    <s v="NO3_A1"/>
    <x v="6"/>
    <x v="7"/>
    <s v="GNR_RES_WTR_NOPMP_MC-05"/>
    <x v="0"/>
    <x v="11"/>
    <n v="282.146513660349"/>
    <n v="102983.477486027"/>
    <n v="370740.51894969901"/>
  </r>
  <r>
    <x v="0"/>
    <x v="0"/>
    <x v="0"/>
    <x v="7"/>
    <x v="13"/>
    <s v="NO3_A1"/>
    <x v="6"/>
    <x v="7"/>
    <s v="GNR_RES_WTR_NOPMP_MC-05"/>
    <x v="0"/>
    <x v="12"/>
    <n v="282.146513660349"/>
    <n v="102983.477486027"/>
    <n v="370740.51894969901"/>
  </r>
  <r>
    <x v="0"/>
    <x v="0"/>
    <x v="0"/>
    <x v="7"/>
    <x v="13"/>
    <s v="NO3_A1"/>
    <x v="6"/>
    <x v="7"/>
    <s v="GNR_RES_WTR_NOPMP_MC-05"/>
    <x v="0"/>
    <x v="13"/>
    <n v="282.146513660349"/>
    <n v="102983.477486027"/>
    <n v="370740.51894969901"/>
  </r>
  <r>
    <x v="0"/>
    <x v="0"/>
    <x v="0"/>
    <x v="7"/>
    <x v="13"/>
    <s v="NO3_A1"/>
    <x v="6"/>
    <x v="7"/>
    <s v="GNR_RES_WTR_NOPMP_MC-05"/>
    <x v="0"/>
    <x v="14"/>
    <n v="282.146513660349"/>
    <n v="102983.477486027"/>
    <n v="370740.51894969901"/>
  </r>
  <r>
    <x v="0"/>
    <x v="0"/>
    <x v="0"/>
    <x v="7"/>
    <x v="13"/>
    <s v="NO3_A1"/>
    <x v="6"/>
    <x v="7"/>
    <s v="GNR_RES_WTR_NOPMP_MC-05"/>
    <x v="0"/>
    <x v="15"/>
    <n v="282.146513660349"/>
    <n v="102983.477486027"/>
    <n v="370740.51894969901"/>
  </r>
  <r>
    <x v="0"/>
    <x v="0"/>
    <x v="0"/>
    <x v="7"/>
    <x v="13"/>
    <s v="NO3_A1"/>
    <x v="6"/>
    <x v="7"/>
    <s v="GNR_RES_WTR_NOPMP_MC-05"/>
    <x v="0"/>
    <x v="16"/>
    <n v="282.146513660349"/>
    <n v="102983.477486027"/>
    <n v="370740.51894969901"/>
  </r>
  <r>
    <x v="0"/>
    <x v="0"/>
    <x v="0"/>
    <x v="7"/>
    <x v="13"/>
    <s v="NO3_A1"/>
    <x v="6"/>
    <x v="7"/>
    <s v="GNR_RES_WTR_NOPMP_MC-05"/>
    <x v="0"/>
    <x v="17"/>
    <n v="282.146513660349"/>
    <n v="102983.477486027"/>
    <n v="370740.51894969901"/>
  </r>
  <r>
    <x v="0"/>
    <x v="0"/>
    <x v="0"/>
    <x v="7"/>
    <x v="13"/>
    <s v="NO3_A1"/>
    <x v="6"/>
    <x v="7"/>
    <s v="GNR_RES_WTR_NOPMP_MC-05"/>
    <x v="0"/>
    <x v="18"/>
    <n v="282.146513660349"/>
    <n v="102983.477486027"/>
    <n v="370740.51894969901"/>
  </r>
  <r>
    <x v="0"/>
    <x v="0"/>
    <x v="0"/>
    <x v="7"/>
    <x v="13"/>
    <s v="NO3_A1"/>
    <x v="6"/>
    <x v="7"/>
    <s v="GNR_RES_WTR_NOPMP_MC-05"/>
    <x v="0"/>
    <x v="19"/>
    <n v="282.146513660349"/>
    <n v="102983.477486027"/>
    <n v="370740.51894969901"/>
  </r>
  <r>
    <x v="0"/>
    <x v="0"/>
    <x v="0"/>
    <x v="7"/>
    <x v="13"/>
    <s v="NO3_A1"/>
    <x v="6"/>
    <x v="7"/>
    <s v="GNR_RES_WTR_NOPMP_MC-05"/>
    <x v="0"/>
    <x v="20"/>
    <n v="282.146513660349"/>
    <n v="102983.477486027"/>
    <n v="370740.51894969901"/>
  </r>
  <r>
    <x v="0"/>
    <x v="0"/>
    <x v="0"/>
    <x v="7"/>
    <x v="13"/>
    <s v="NO3_A1"/>
    <x v="6"/>
    <x v="7"/>
    <s v="GNR_RES_WTR_NOPMP_MC-06"/>
    <x v="0"/>
    <x v="0"/>
    <n v="282.146513660349"/>
    <n v="102983.477486027"/>
    <n v="370740.51894969901"/>
  </r>
  <r>
    <x v="0"/>
    <x v="0"/>
    <x v="0"/>
    <x v="7"/>
    <x v="13"/>
    <s v="NO3_A1"/>
    <x v="6"/>
    <x v="7"/>
    <s v="GNR_RES_WTR_NOPMP_MC-06"/>
    <x v="0"/>
    <x v="1"/>
    <n v="282.146513660349"/>
    <n v="102983.477486027"/>
    <n v="370740.51894969901"/>
  </r>
  <r>
    <x v="0"/>
    <x v="0"/>
    <x v="0"/>
    <x v="7"/>
    <x v="13"/>
    <s v="NO3_A1"/>
    <x v="6"/>
    <x v="7"/>
    <s v="GNR_RES_WTR_NOPMP_MC-06"/>
    <x v="0"/>
    <x v="2"/>
    <n v="282.146513660349"/>
    <n v="102983.477486027"/>
    <n v="370740.51894969901"/>
  </r>
  <r>
    <x v="0"/>
    <x v="0"/>
    <x v="0"/>
    <x v="7"/>
    <x v="13"/>
    <s v="NO3_A1"/>
    <x v="6"/>
    <x v="7"/>
    <s v="GNR_RES_WTR_NOPMP_MC-06"/>
    <x v="0"/>
    <x v="9"/>
    <n v="282.146513660349"/>
    <n v="102983.477486027"/>
    <n v="370740.51894969901"/>
  </r>
  <r>
    <x v="0"/>
    <x v="0"/>
    <x v="0"/>
    <x v="7"/>
    <x v="13"/>
    <s v="NO3_A1"/>
    <x v="6"/>
    <x v="7"/>
    <s v="GNR_RES_WTR_NOPMP_MC-06"/>
    <x v="0"/>
    <x v="10"/>
    <n v="282.146513660349"/>
    <n v="102983.477486027"/>
    <n v="370740.51894969901"/>
  </r>
  <r>
    <x v="0"/>
    <x v="0"/>
    <x v="0"/>
    <x v="7"/>
    <x v="13"/>
    <s v="NO3_A1"/>
    <x v="6"/>
    <x v="7"/>
    <s v="GNR_RES_WTR_NOPMP_MC-06"/>
    <x v="0"/>
    <x v="11"/>
    <n v="282.146513660349"/>
    <n v="102983.477486027"/>
    <n v="370740.51894969901"/>
  </r>
  <r>
    <x v="0"/>
    <x v="0"/>
    <x v="0"/>
    <x v="7"/>
    <x v="13"/>
    <s v="NO3_A1"/>
    <x v="6"/>
    <x v="7"/>
    <s v="GNR_RES_WTR_NOPMP_MC-06"/>
    <x v="0"/>
    <x v="12"/>
    <n v="282.146513660349"/>
    <n v="102983.477486027"/>
    <n v="370740.51894969901"/>
  </r>
  <r>
    <x v="0"/>
    <x v="0"/>
    <x v="0"/>
    <x v="7"/>
    <x v="13"/>
    <s v="NO3_A1"/>
    <x v="6"/>
    <x v="7"/>
    <s v="GNR_RES_WTR_NOPMP_MC-06"/>
    <x v="0"/>
    <x v="13"/>
    <n v="282.146513660349"/>
    <n v="102983.477486027"/>
    <n v="370740.51894969901"/>
  </r>
  <r>
    <x v="0"/>
    <x v="0"/>
    <x v="0"/>
    <x v="7"/>
    <x v="13"/>
    <s v="NO3_A1"/>
    <x v="6"/>
    <x v="7"/>
    <s v="GNR_RES_WTR_NOPMP_MC-06"/>
    <x v="0"/>
    <x v="14"/>
    <n v="282.146513660349"/>
    <n v="102983.477486027"/>
    <n v="370740.51894969901"/>
  </r>
  <r>
    <x v="0"/>
    <x v="0"/>
    <x v="0"/>
    <x v="7"/>
    <x v="13"/>
    <s v="NO3_A1"/>
    <x v="6"/>
    <x v="7"/>
    <s v="GNR_RES_WTR_NOPMP_MC-06"/>
    <x v="0"/>
    <x v="15"/>
    <n v="282.146513660349"/>
    <n v="102983.477486027"/>
    <n v="370740.51894969901"/>
  </r>
  <r>
    <x v="0"/>
    <x v="0"/>
    <x v="0"/>
    <x v="7"/>
    <x v="13"/>
    <s v="NO3_A1"/>
    <x v="6"/>
    <x v="7"/>
    <s v="GNR_RES_WTR_NOPMP_MC-06"/>
    <x v="0"/>
    <x v="16"/>
    <n v="282.146513660349"/>
    <n v="102983.477486027"/>
    <n v="370740.51894969901"/>
  </r>
  <r>
    <x v="0"/>
    <x v="0"/>
    <x v="0"/>
    <x v="7"/>
    <x v="13"/>
    <s v="NO3_A1"/>
    <x v="6"/>
    <x v="7"/>
    <s v="GNR_RES_WTR_NOPMP_MC-06"/>
    <x v="0"/>
    <x v="17"/>
    <n v="282.146513660349"/>
    <n v="102983.477486027"/>
    <n v="370740.51894969901"/>
  </r>
  <r>
    <x v="0"/>
    <x v="0"/>
    <x v="0"/>
    <x v="7"/>
    <x v="13"/>
    <s v="NO3_A1"/>
    <x v="6"/>
    <x v="7"/>
    <s v="GNR_RES_WTR_NOPMP_MC-06"/>
    <x v="0"/>
    <x v="18"/>
    <n v="282.146513660349"/>
    <n v="102983.477486027"/>
    <n v="370740.51894969901"/>
  </r>
  <r>
    <x v="0"/>
    <x v="0"/>
    <x v="0"/>
    <x v="7"/>
    <x v="13"/>
    <s v="NO3_A1"/>
    <x v="6"/>
    <x v="7"/>
    <s v="GNR_RES_WTR_NOPMP_MC-06"/>
    <x v="0"/>
    <x v="19"/>
    <n v="282.146513660349"/>
    <n v="102983.477486027"/>
    <n v="370740.51894969901"/>
  </r>
  <r>
    <x v="0"/>
    <x v="0"/>
    <x v="0"/>
    <x v="7"/>
    <x v="13"/>
    <s v="NO3_A1"/>
    <x v="6"/>
    <x v="7"/>
    <s v="GNR_RES_WTR_NOPMP_MC-07"/>
    <x v="0"/>
    <x v="1"/>
    <n v="282.146513660349"/>
    <n v="102983.477486027"/>
    <n v="370740.51894969901"/>
  </r>
  <r>
    <x v="0"/>
    <x v="0"/>
    <x v="0"/>
    <x v="7"/>
    <x v="13"/>
    <s v="NO3_A1"/>
    <x v="6"/>
    <x v="7"/>
    <s v="GNR_RES_WTR_NOPMP_MC-07"/>
    <x v="0"/>
    <x v="2"/>
    <n v="282.146513660349"/>
    <n v="102983.477486027"/>
    <n v="370740.51894969901"/>
  </r>
  <r>
    <x v="0"/>
    <x v="0"/>
    <x v="0"/>
    <x v="7"/>
    <x v="13"/>
    <s v="NO3_A1"/>
    <x v="6"/>
    <x v="7"/>
    <s v="GNR_RES_WTR_NOPMP_MC-07"/>
    <x v="0"/>
    <x v="9"/>
    <n v="282.146513660349"/>
    <n v="102983.477486027"/>
    <n v="370740.51894969901"/>
  </r>
  <r>
    <x v="0"/>
    <x v="0"/>
    <x v="0"/>
    <x v="7"/>
    <x v="13"/>
    <s v="NO3_A1"/>
    <x v="6"/>
    <x v="7"/>
    <s v="GNR_RES_WTR_NOPMP_MC-07"/>
    <x v="0"/>
    <x v="10"/>
    <n v="282.146513660349"/>
    <n v="102983.477486027"/>
    <n v="370740.51894969901"/>
  </r>
  <r>
    <x v="0"/>
    <x v="0"/>
    <x v="0"/>
    <x v="7"/>
    <x v="13"/>
    <s v="NO3_A1"/>
    <x v="6"/>
    <x v="7"/>
    <s v="GNR_RES_WTR_NOPMP_MC-07"/>
    <x v="0"/>
    <x v="11"/>
    <n v="192.36472241757099"/>
    <n v="70213.123682413294"/>
    <n v="252767.24525668801"/>
  </r>
  <r>
    <x v="0"/>
    <x v="0"/>
    <x v="0"/>
    <x v="7"/>
    <x v="13"/>
    <s v="NO3_A1"/>
    <x v="6"/>
    <x v="7"/>
    <s v="GNR_RES_WTR_PMP_MC-01"/>
    <x v="0"/>
    <x v="3"/>
    <n v="60.3"/>
    <n v="22009.5"/>
    <n v="79234.2"/>
  </r>
  <r>
    <x v="0"/>
    <x v="0"/>
    <x v="0"/>
    <x v="7"/>
    <x v="13"/>
    <s v="NO3_A1"/>
    <x v="6"/>
    <x v="7"/>
    <s v="GNR_RES_WTR_PMP_MC-01"/>
    <x v="0"/>
    <x v="4"/>
    <n v="60.3"/>
    <n v="22009.5"/>
    <n v="79234.2"/>
  </r>
  <r>
    <x v="0"/>
    <x v="0"/>
    <x v="0"/>
    <x v="7"/>
    <x v="13"/>
    <s v="NO3_A1"/>
    <x v="6"/>
    <x v="7"/>
    <s v="GNR_RES_WTR_PMP_MC-01"/>
    <x v="0"/>
    <x v="5"/>
    <n v="60.3"/>
    <n v="22009.5"/>
    <n v="79234.2"/>
  </r>
  <r>
    <x v="0"/>
    <x v="0"/>
    <x v="0"/>
    <x v="7"/>
    <x v="13"/>
    <s v="NO3_A1"/>
    <x v="6"/>
    <x v="7"/>
    <s v="GNR_RES_WTR_PMP_MC-01"/>
    <x v="0"/>
    <x v="6"/>
    <n v="60.3"/>
    <n v="22009.5"/>
    <n v="79234.2"/>
  </r>
  <r>
    <x v="0"/>
    <x v="0"/>
    <x v="0"/>
    <x v="7"/>
    <x v="13"/>
    <s v="NO3_A1"/>
    <x v="6"/>
    <x v="7"/>
    <s v="GNR_RES_WTR_PMP_MC-01"/>
    <x v="0"/>
    <x v="7"/>
    <n v="60.3"/>
    <n v="22009.5"/>
    <n v="79234.2"/>
  </r>
  <r>
    <x v="0"/>
    <x v="0"/>
    <x v="0"/>
    <x v="7"/>
    <x v="13"/>
    <s v="NO3_A1"/>
    <x v="6"/>
    <x v="7"/>
    <s v="GNR_RES_WTR_PMP_MC-01"/>
    <x v="0"/>
    <x v="8"/>
    <n v="60.3"/>
    <n v="22009.5"/>
    <n v="79234.2"/>
  </r>
  <r>
    <x v="0"/>
    <x v="0"/>
    <x v="0"/>
    <x v="7"/>
    <x v="13"/>
    <s v="NO3_A1"/>
    <x v="6"/>
    <x v="7"/>
    <s v="GNR_RES_WTR_PMP_MC-01"/>
    <x v="0"/>
    <x v="0"/>
    <n v="60.3"/>
    <n v="22009.5"/>
    <n v="79234.2"/>
  </r>
  <r>
    <x v="0"/>
    <x v="0"/>
    <x v="0"/>
    <x v="7"/>
    <x v="13"/>
    <s v="NO3_A1"/>
    <x v="6"/>
    <x v="7"/>
    <s v="GNR_RES_WTR_PMP_MC-01"/>
    <x v="0"/>
    <x v="1"/>
    <n v="60.3"/>
    <n v="22009.5"/>
    <n v="79234.2"/>
  </r>
  <r>
    <x v="0"/>
    <x v="0"/>
    <x v="0"/>
    <x v="7"/>
    <x v="13"/>
    <s v="NO3_A1"/>
    <x v="6"/>
    <x v="7"/>
    <s v="GNR_RES_WTR_PMP_MC-01"/>
    <x v="0"/>
    <x v="2"/>
    <n v="60.3"/>
    <n v="22009.5"/>
    <n v="79234.2"/>
  </r>
  <r>
    <x v="0"/>
    <x v="0"/>
    <x v="0"/>
    <x v="7"/>
    <x v="13"/>
    <s v="NO3_A1"/>
    <x v="6"/>
    <x v="7"/>
    <s v="GNR_RES_WTR_PMP_MC-01"/>
    <x v="0"/>
    <x v="9"/>
    <n v="60.3"/>
    <n v="22009.5"/>
    <n v="79234.2"/>
  </r>
  <r>
    <x v="0"/>
    <x v="0"/>
    <x v="0"/>
    <x v="7"/>
    <x v="13"/>
    <s v="NO3_A1"/>
    <x v="6"/>
    <x v="7"/>
    <s v="GNR_RES_WTR_PMP_MC-01"/>
    <x v="0"/>
    <x v="10"/>
    <n v="60.3"/>
    <n v="22009.5"/>
    <n v="79234.2"/>
  </r>
  <r>
    <x v="0"/>
    <x v="0"/>
    <x v="0"/>
    <x v="7"/>
    <x v="13"/>
    <s v="NO3_A1"/>
    <x v="6"/>
    <x v="7"/>
    <s v="GNR_RES_WTR_PMP_MC-01"/>
    <x v="0"/>
    <x v="11"/>
    <n v="60.3"/>
    <n v="22009.5"/>
    <n v="79234.2"/>
  </r>
  <r>
    <x v="0"/>
    <x v="0"/>
    <x v="0"/>
    <x v="7"/>
    <x v="13"/>
    <s v="NO3_A1"/>
    <x v="6"/>
    <x v="7"/>
    <s v="GNR_RES_WTR_PMP_MC-01"/>
    <x v="0"/>
    <x v="12"/>
    <n v="60.3"/>
    <n v="22009.5"/>
    <n v="79234.2"/>
  </r>
  <r>
    <x v="0"/>
    <x v="0"/>
    <x v="0"/>
    <x v="7"/>
    <x v="13"/>
    <s v="NO3_A1"/>
    <x v="6"/>
    <x v="7"/>
    <s v="GNR_RES_WTR_PMP_MC-01"/>
    <x v="0"/>
    <x v="13"/>
    <n v="60.3"/>
    <n v="22009.5"/>
    <n v="79234.2"/>
  </r>
  <r>
    <x v="0"/>
    <x v="0"/>
    <x v="0"/>
    <x v="7"/>
    <x v="13"/>
    <s v="NO3_A1"/>
    <x v="6"/>
    <x v="7"/>
    <s v="GNR_RES_WTR_PMP_MC-01"/>
    <x v="0"/>
    <x v="14"/>
    <n v="60.3"/>
    <n v="22009.5"/>
    <n v="79234.2"/>
  </r>
  <r>
    <x v="0"/>
    <x v="0"/>
    <x v="0"/>
    <x v="7"/>
    <x v="13"/>
    <s v="NO3_A1"/>
    <x v="6"/>
    <x v="7"/>
    <s v="GNR_RES_WTR_PMP_MC-01"/>
    <x v="0"/>
    <x v="15"/>
    <n v="60.3"/>
    <n v="22009.5"/>
    <n v="79234.2"/>
  </r>
  <r>
    <x v="0"/>
    <x v="0"/>
    <x v="0"/>
    <x v="7"/>
    <x v="13"/>
    <s v="NO3_A1"/>
    <x v="6"/>
    <x v="7"/>
    <s v="GNR_RES_WTR_PMP_MC-01"/>
    <x v="0"/>
    <x v="16"/>
    <n v="60.3"/>
    <n v="22009.5"/>
    <n v="79234.2"/>
  </r>
  <r>
    <x v="0"/>
    <x v="0"/>
    <x v="0"/>
    <x v="7"/>
    <x v="13"/>
    <s v="NO3_A1"/>
    <x v="6"/>
    <x v="7"/>
    <s v="GNR_RES_WTR_PMP_MC-01"/>
    <x v="0"/>
    <x v="17"/>
    <n v="60.3"/>
    <n v="22009.5"/>
    <n v="79234.2"/>
  </r>
  <r>
    <x v="0"/>
    <x v="0"/>
    <x v="0"/>
    <x v="7"/>
    <x v="13"/>
    <s v="NO3_A1"/>
    <x v="6"/>
    <x v="7"/>
    <s v="GNR_RES_WTR_PMP_MC-01"/>
    <x v="0"/>
    <x v="18"/>
    <n v="60.3"/>
    <n v="22009.5"/>
    <n v="79234.2"/>
  </r>
  <r>
    <x v="0"/>
    <x v="0"/>
    <x v="0"/>
    <x v="7"/>
    <x v="13"/>
    <s v="NO3_A1"/>
    <x v="6"/>
    <x v="7"/>
    <s v="GNR_RES_WTR_PMP_MC-01"/>
    <x v="0"/>
    <x v="19"/>
    <n v="60.3"/>
    <n v="22009.5"/>
    <n v="79234.2"/>
  </r>
  <r>
    <x v="0"/>
    <x v="0"/>
    <x v="0"/>
    <x v="7"/>
    <x v="13"/>
    <s v="NO3_A1"/>
    <x v="6"/>
    <x v="7"/>
    <s v="GNR_RES_WTR_PMP_MC-01"/>
    <x v="0"/>
    <x v="20"/>
    <n v="60.3"/>
    <n v="22009.5"/>
    <n v="79234.2"/>
  </r>
  <r>
    <x v="0"/>
    <x v="0"/>
    <x v="0"/>
    <x v="7"/>
    <x v="13"/>
    <s v="NO3_A1"/>
    <x v="6"/>
    <x v="7"/>
    <s v="GNR_RES_WTR_PMP_MC-01"/>
    <x v="0"/>
    <x v="21"/>
    <n v="60.3"/>
    <n v="22009.5"/>
    <n v="79234.2"/>
  </r>
  <r>
    <x v="0"/>
    <x v="0"/>
    <x v="0"/>
    <x v="7"/>
    <x v="13"/>
    <s v="NO3_A1"/>
    <x v="6"/>
    <x v="7"/>
    <s v="GNR_RES_WTR_PMP_MC-01"/>
    <x v="0"/>
    <x v="22"/>
    <n v="60.3"/>
    <n v="22009.5"/>
    <n v="79234.2"/>
  </r>
  <r>
    <x v="0"/>
    <x v="0"/>
    <x v="0"/>
    <x v="7"/>
    <x v="13"/>
    <s v="NO3_A1"/>
    <x v="6"/>
    <x v="7"/>
    <s v="GNR_RES_WTR_PMP_MC-01"/>
    <x v="0"/>
    <x v="23"/>
    <n v="60.3"/>
    <n v="22009.5"/>
    <n v="79234.2"/>
  </r>
  <r>
    <x v="0"/>
    <x v="0"/>
    <x v="0"/>
    <x v="7"/>
    <x v="13"/>
    <s v="NO3_A1"/>
    <x v="6"/>
    <x v="4"/>
    <s v="GNR_ROR_WTR"/>
    <x v="0"/>
    <x v="3"/>
    <n v="688.97059999822602"/>
    <n v="251474.268999352"/>
    <n v="905307.36839766905"/>
  </r>
  <r>
    <x v="0"/>
    <x v="0"/>
    <x v="0"/>
    <x v="7"/>
    <x v="13"/>
    <s v="NO3_A1"/>
    <x v="6"/>
    <x v="4"/>
    <s v="GNR_ROR_WTR"/>
    <x v="0"/>
    <x v="4"/>
    <n v="688.97059999822602"/>
    <n v="251474.268999352"/>
    <n v="905307.36839766905"/>
  </r>
  <r>
    <x v="0"/>
    <x v="0"/>
    <x v="0"/>
    <x v="7"/>
    <x v="13"/>
    <s v="NO3_A1"/>
    <x v="6"/>
    <x v="4"/>
    <s v="GNR_ROR_WTR"/>
    <x v="0"/>
    <x v="5"/>
    <n v="688.97059999822602"/>
    <n v="251474.268999352"/>
    <n v="905307.36839766905"/>
  </r>
  <r>
    <x v="0"/>
    <x v="0"/>
    <x v="0"/>
    <x v="7"/>
    <x v="13"/>
    <s v="NO3_A1"/>
    <x v="6"/>
    <x v="4"/>
    <s v="GNR_ROR_WTR"/>
    <x v="0"/>
    <x v="6"/>
    <n v="688.97059999822602"/>
    <n v="251474.268999352"/>
    <n v="905307.36839766905"/>
  </r>
  <r>
    <x v="0"/>
    <x v="0"/>
    <x v="0"/>
    <x v="7"/>
    <x v="13"/>
    <s v="NO3_A1"/>
    <x v="6"/>
    <x v="4"/>
    <s v="GNR_ROR_WTR"/>
    <x v="0"/>
    <x v="7"/>
    <n v="688.97059999822602"/>
    <n v="251474.268999352"/>
    <n v="905307.36839766905"/>
  </r>
  <r>
    <x v="0"/>
    <x v="0"/>
    <x v="0"/>
    <x v="7"/>
    <x v="13"/>
    <s v="NO3_A1"/>
    <x v="6"/>
    <x v="4"/>
    <s v="GNR_ROR_WTR"/>
    <x v="0"/>
    <x v="8"/>
    <n v="688.97059999822602"/>
    <n v="251474.268999352"/>
    <n v="905307.36839766905"/>
  </r>
  <r>
    <x v="0"/>
    <x v="0"/>
    <x v="0"/>
    <x v="7"/>
    <x v="13"/>
    <s v="NO3_A1"/>
    <x v="6"/>
    <x v="4"/>
    <s v="GNR_ROR_WTR"/>
    <x v="0"/>
    <x v="0"/>
    <n v="688.97059999822602"/>
    <n v="251474.268999352"/>
    <n v="905307.36839766905"/>
  </r>
  <r>
    <x v="0"/>
    <x v="0"/>
    <x v="0"/>
    <x v="7"/>
    <x v="13"/>
    <s v="NO3_A1"/>
    <x v="6"/>
    <x v="4"/>
    <s v="GNR_ROR_WTR"/>
    <x v="0"/>
    <x v="1"/>
    <n v="688.97059999822602"/>
    <n v="251474.268999352"/>
    <n v="905307.36839766905"/>
  </r>
  <r>
    <x v="0"/>
    <x v="0"/>
    <x v="0"/>
    <x v="7"/>
    <x v="13"/>
    <s v="NO3_A1"/>
    <x v="6"/>
    <x v="4"/>
    <s v="GNR_ROR_WTR"/>
    <x v="0"/>
    <x v="2"/>
    <n v="688.97059999822602"/>
    <n v="251474.268999352"/>
    <n v="905307.36839766905"/>
  </r>
  <r>
    <x v="0"/>
    <x v="0"/>
    <x v="0"/>
    <x v="7"/>
    <x v="13"/>
    <s v="NO3_A1"/>
    <x v="6"/>
    <x v="4"/>
    <s v="GNR_ROR_WTR"/>
    <x v="0"/>
    <x v="9"/>
    <n v="688.97059999822602"/>
    <n v="251474.268999352"/>
    <n v="905307.36839766905"/>
  </r>
  <r>
    <x v="0"/>
    <x v="0"/>
    <x v="0"/>
    <x v="7"/>
    <x v="13"/>
    <s v="NO3_A1"/>
    <x v="6"/>
    <x v="4"/>
    <s v="GNR_ROR_WTR"/>
    <x v="0"/>
    <x v="10"/>
    <n v="688.97059999822602"/>
    <n v="251474.268999352"/>
    <n v="905307.36839766905"/>
  </r>
  <r>
    <x v="0"/>
    <x v="0"/>
    <x v="0"/>
    <x v="7"/>
    <x v="13"/>
    <s v="NO3_A1"/>
    <x v="6"/>
    <x v="4"/>
    <s v="GNR_ROR_WTR"/>
    <x v="0"/>
    <x v="11"/>
    <n v="688.97059999822602"/>
    <n v="251474.268999352"/>
    <n v="905307.36839766905"/>
  </r>
  <r>
    <x v="0"/>
    <x v="0"/>
    <x v="0"/>
    <x v="7"/>
    <x v="13"/>
    <s v="NO3_A1"/>
    <x v="6"/>
    <x v="4"/>
    <s v="GNR_ROR_WTR"/>
    <x v="0"/>
    <x v="12"/>
    <n v="688.97059999822602"/>
    <n v="251474.268999352"/>
    <n v="905307.36839766905"/>
  </r>
  <r>
    <x v="0"/>
    <x v="0"/>
    <x v="0"/>
    <x v="7"/>
    <x v="13"/>
    <s v="NO3_A1"/>
    <x v="6"/>
    <x v="4"/>
    <s v="GNR_ROR_WTR"/>
    <x v="0"/>
    <x v="13"/>
    <n v="688.97059999822602"/>
    <n v="251474.268999352"/>
    <n v="905307.36839766905"/>
  </r>
  <r>
    <x v="0"/>
    <x v="0"/>
    <x v="0"/>
    <x v="7"/>
    <x v="13"/>
    <s v="NO3_A1"/>
    <x v="6"/>
    <x v="4"/>
    <s v="GNR_ROR_WTR"/>
    <x v="0"/>
    <x v="14"/>
    <n v="688.97059999822602"/>
    <n v="251474.268999352"/>
    <n v="905307.36839766905"/>
  </r>
  <r>
    <x v="0"/>
    <x v="0"/>
    <x v="0"/>
    <x v="7"/>
    <x v="13"/>
    <s v="NO3_A1"/>
    <x v="6"/>
    <x v="4"/>
    <s v="GNR_ROR_WTR"/>
    <x v="0"/>
    <x v="15"/>
    <n v="688.97059999822602"/>
    <n v="251474.268999352"/>
    <n v="905307.36839766905"/>
  </r>
  <r>
    <x v="0"/>
    <x v="0"/>
    <x v="0"/>
    <x v="7"/>
    <x v="13"/>
    <s v="NO3_A1"/>
    <x v="6"/>
    <x v="4"/>
    <s v="GNR_ROR_WTR"/>
    <x v="0"/>
    <x v="16"/>
    <n v="688.97059999822602"/>
    <n v="251474.268999352"/>
    <n v="905307.36839766905"/>
  </r>
  <r>
    <x v="0"/>
    <x v="0"/>
    <x v="0"/>
    <x v="7"/>
    <x v="13"/>
    <s v="NO3_A1"/>
    <x v="6"/>
    <x v="4"/>
    <s v="GNR_ROR_WTR"/>
    <x v="0"/>
    <x v="17"/>
    <n v="688.97059999822602"/>
    <n v="251474.268999352"/>
    <n v="905307.36839766905"/>
  </r>
  <r>
    <x v="0"/>
    <x v="0"/>
    <x v="0"/>
    <x v="7"/>
    <x v="13"/>
    <s v="NO3_A1"/>
    <x v="6"/>
    <x v="4"/>
    <s v="GNR_ROR_WTR"/>
    <x v="0"/>
    <x v="18"/>
    <n v="688.97059999822602"/>
    <n v="251474.268999352"/>
    <n v="905307.36839766905"/>
  </r>
  <r>
    <x v="0"/>
    <x v="0"/>
    <x v="0"/>
    <x v="7"/>
    <x v="13"/>
    <s v="NO3_A1"/>
    <x v="6"/>
    <x v="4"/>
    <s v="GNR_ROR_WTR"/>
    <x v="0"/>
    <x v="19"/>
    <n v="688.97059999822602"/>
    <n v="251474.268999352"/>
    <n v="905307.36839766905"/>
  </r>
  <r>
    <x v="0"/>
    <x v="0"/>
    <x v="0"/>
    <x v="7"/>
    <x v="13"/>
    <s v="NO3_A1"/>
    <x v="6"/>
    <x v="4"/>
    <s v="GNR_ROR_WTR"/>
    <x v="0"/>
    <x v="20"/>
    <n v="688.97059999822602"/>
    <n v="251474.268999352"/>
    <n v="905307.36839766905"/>
  </r>
  <r>
    <x v="0"/>
    <x v="0"/>
    <x v="0"/>
    <x v="7"/>
    <x v="13"/>
    <s v="NO3_A1"/>
    <x v="6"/>
    <x v="4"/>
    <s v="GNR_ROR_WTR"/>
    <x v="0"/>
    <x v="21"/>
    <n v="688.97059999822602"/>
    <n v="251474.268999352"/>
    <n v="905307.36839766905"/>
  </r>
  <r>
    <x v="0"/>
    <x v="0"/>
    <x v="0"/>
    <x v="7"/>
    <x v="13"/>
    <s v="NO3_A1"/>
    <x v="6"/>
    <x v="4"/>
    <s v="GNR_ROR_WTR"/>
    <x v="0"/>
    <x v="22"/>
    <n v="688.97059999822602"/>
    <n v="251474.268999352"/>
    <n v="905307.36839766905"/>
  </r>
  <r>
    <x v="0"/>
    <x v="0"/>
    <x v="0"/>
    <x v="7"/>
    <x v="13"/>
    <s v="NO3_A1"/>
    <x v="6"/>
    <x v="4"/>
    <s v="GNR_ROR_WTR"/>
    <x v="0"/>
    <x v="23"/>
    <n v="688.97059999822602"/>
    <n v="251474.268999352"/>
    <n v="905307.36839766905"/>
  </r>
  <r>
    <x v="0"/>
    <x v="0"/>
    <x v="0"/>
    <x v="7"/>
    <x v="13"/>
    <s v="NO3_A1"/>
    <x v="7"/>
    <x v="5"/>
    <s v="GNR_WT_WIND_ONS"/>
    <x v="0"/>
    <x v="3"/>
    <n v="42.407408621679998"/>
    <n v="15478.7041469132"/>
    <n v="55723.334928887503"/>
  </r>
  <r>
    <x v="0"/>
    <x v="0"/>
    <x v="0"/>
    <x v="7"/>
    <x v="13"/>
    <s v="NO3_A1"/>
    <x v="7"/>
    <x v="5"/>
    <s v="GNR_WT_WIND_ONS"/>
    <x v="0"/>
    <x v="4"/>
    <n v="55.434883861048"/>
    <n v="20233.732609282499"/>
    <n v="72841.437393417"/>
  </r>
  <r>
    <x v="0"/>
    <x v="0"/>
    <x v="0"/>
    <x v="7"/>
    <x v="13"/>
    <s v="NO3_A1"/>
    <x v="7"/>
    <x v="5"/>
    <s v="GNR_WT_WIND_ONS"/>
    <x v="0"/>
    <x v="5"/>
    <n v="59.087856686394701"/>
    <n v="21567.067690534099"/>
    <n v="77641.443685922597"/>
  </r>
  <r>
    <x v="0"/>
    <x v="0"/>
    <x v="0"/>
    <x v="7"/>
    <x v="13"/>
    <s v="NO3_A1"/>
    <x v="7"/>
    <x v="5"/>
    <s v="GNR_WT_WIND_ONS"/>
    <x v="0"/>
    <x v="6"/>
    <n v="67.831811775635103"/>
    <n v="24758.6112981068"/>
    <n v="89131.000673184593"/>
  </r>
  <r>
    <x v="0"/>
    <x v="0"/>
    <x v="0"/>
    <x v="7"/>
    <x v="13"/>
    <s v="NO3_A1"/>
    <x v="7"/>
    <x v="5"/>
    <s v="GNR_WT_WIND_ONS"/>
    <x v="0"/>
    <x v="7"/>
    <n v="77.100974162646196"/>
    <n v="28141.8555693659"/>
    <n v="101310.680049717"/>
  </r>
  <r>
    <x v="0"/>
    <x v="0"/>
    <x v="0"/>
    <x v="7"/>
    <x v="13"/>
    <s v="NO3_A1"/>
    <x v="7"/>
    <x v="5"/>
    <s v="GNR_WT_WIND_ONS"/>
    <x v="0"/>
    <x v="8"/>
    <n v="79.251338408944804"/>
    <n v="28926.7385192648"/>
    <n v="104136.258669353"/>
  </r>
  <r>
    <x v="0"/>
    <x v="0"/>
    <x v="0"/>
    <x v="7"/>
    <x v="13"/>
    <s v="NO3_A1"/>
    <x v="7"/>
    <x v="5"/>
    <s v="GNR_WT_WIND_ONS"/>
    <x v="0"/>
    <x v="0"/>
    <n v="55.665187939682802"/>
    <n v="20317.7935979842"/>
    <n v="73144.056952743194"/>
  </r>
  <r>
    <x v="0"/>
    <x v="0"/>
    <x v="0"/>
    <x v="7"/>
    <x v="13"/>
    <s v="NO3_A1"/>
    <x v="7"/>
    <x v="5"/>
    <s v="GNR_WT_WIND_ONS"/>
    <x v="0"/>
    <x v="1"/>
    <n v="63.054053915683099"/>
    <n v="23014.7296792243"/>
    <n v="82853.026845207598"/>
  </r>
  <r>
    <x v="0"/>
    <x v="0"/>
    <x v="0"/>
    <x v="7"/>
    <x v="13"/>
    <s v="NO3_A1"/>
    <x v="7"/>
    <x v="5"/>
    <s v="GNR_WT_WIND_ONS"/>
    <x v="0"/>
    <x v="2"/>
    <n v="93.745431277653196"/>
    <n v="34217.082416343401"/>
    <n v="123181.496698836"/>
  </r>
  <r>
    <x v="0"/>
    <x v="0"/>
    <x v="0"/>
    <x v="7"/>
    <x v="13"/>
    <s v="NO3_A1"/>
    <x v="7"/>
    <x v="5"/>
    <s v="GNR_WT_WIND_ONS"/>
    <x v="0"/>
    <x v="9"/>
    <n v="96.890038724002693"/>
    <n v="35364.864134260999"/>
    <n v="127313.510883339"/>
  </r>
  <r>
    <x v="0"/>
    <x v="0"/>
    <x v="0"/>
    <x v="7"/>
    <x v="13"/>
    <s v="NO3_A1"/>
    <x v="7"/>
    <x v="5"/>
    <s v="GNR_WT_WIND_ONS"/>
    <x v="0"/>
    <x v="10"/>
    <n v="100.156923114872"/>
    <n v="36557.276936928298"/>
    <n v="131606.19697294201"/>
  </r>
  <r>
    <x v="0"/>
    <x v="0"/>
    <x v="0"/>
    <x v="7"/>
    <x v="13"/>
    <s v="NO3_A1"/>
    <x v="7"/>
    <x v="5"/>
    <s v="GNR_WT_WIND_ONS"/>
    <x v="0"/>
    <x v="11"/>
    <n v="108.674170506199"/>
    <n v="39666.072234762498"/>
    <n v="142797.860045145"/>
  </r>
  <r>
    <x v="0"/>
    <x v="0"/>
    <x v="0"/>
    <x v="7"/>
    <x v="13"/>
    <s v="NO3_A1"/>
    <x v="7"/>
    <x v="5"/>
    <s v="GNR_WT_WIND_ONS"/>
    <x v="0"/>
    <x v="12"/>
    <n v="108.618718386853"/>
    <n v="39645.832211201203"/>
    <n v="142724.99596032401"/>
  </r>
  <r>
    <x v="0"/>
    <x v="0"/>
    <x v="0"/>
    <x v="7"/>
    <x v="13"/>
    <s v="NO3_A1"/>
    <x v="7"/>
    <x v="5"/>
    <s v="GNR_WT_WIND_ONS"/>
    <x v="0"/>
    <x v="13"/>
    <n v="161.41765874800399"/>
    <n v="58917.445443021599"/>
    <n v="212102.803594878"/>
  </r>
  <r>
    <x v="0"/>
    <x v="0"/>
    <x v="0"/>
    <x v="7"/>
    <x v="13"/>
    <s v="NO3_A1"/>
    <x v="7"/>
    <x v="5"/>
    <s v="GNR_WT_WIND_ONS"/>
    <x v="0"/>
    <x v="14"/>
    <n v="181.42893892418499"/>
    <n v="66221.562707327597"/>
    <n v="238397.625746379"/>
  </r>
  <r>
    <x v="0"/>
    <x v="0"/>
    <x v="0"/>
    <x v="7"/>
    <x v="13"/>
    <s v="NO3_A1"/>
    <x v="7"/>
    <x v="5"/>
    <s v="GNR_WT_WIND_ONS"/>
    <x v="0"/>
    <x v="15"/>
    <n v="174.38951901305001"/>
    <n v="63652.174439763403"/>
    <n v="229147.82798314799"/>
  </r>
  <r>
    <x v="0"/>
    <x v="0"/>
    <x v="0"/>
    <x v="7"/>
    <x v="13"/>
    <s v="NO3_A1"/>
    <x v="7"/>
    <x v="5"/>
    <s v="GNR_WT_WIND_ONS"/>
    <x v="0"/>
    <x v="16"/>
    <n v="162.25391905003599"/>
    <n v="59222.680453263201"/>
    <n v="213201.64963174699"/>
  </r>
  <r>
    <x v="0"/>
    <x v="0"/>
    <x v="0"/>
    <x v="7"/>
    <x v="13"/>
    <s v="NO3_A1"/>
    <x v="7"/>
    <x v="5"/>
    <s v="GNR_WT_WIND_ONS"/>
    <x v="0"/>
    <x v="17"/>
    <n v="174.71358684414801"/>
    <n v="63770.459198113902"/>
    <n v="229573.65311320999"/>
  </r>
  <r>
    <x v="0"/>
    <x v="0"/>
    <x v="0"/>
    <x v="7"/>
    <x v="13"/>
    <s v="NO3_A1"/>
    <x v="7"/>
    <x v="5"/>
    <s v="GNR_WT_WIND_ONS"/>
    <x v="0"/>
    <x v="18"/>
    <n v="168.76562098251901"/>
    <n v="61599.451658619597"/>
    <n v="221758.02597103"/>
  </r>
  <r>
    <x v="0"/>
    <x v="0"/>
    <x v="0"/>
    <x v="7"/>
    <x v="13"/>
    <s v="NO3_A1"/>
    <x v="7"/>
    <x v="5"/>
    <s v="GNR_WT_WIND_ONS"/>
    <x v="0"/>
    <x v="19"/>
    <n v="147.54588902778599"/>
    <n v="53854.249495142001"/>
    <n v="193875.298182511"/>
  </r>
  <r>
    <x v="0"/>
    <x v="0"/>
    <x v="0"/>
    <x v="7"/>
    <x v="13"/>
    <s v="NO3_A1"/>
    <x v="7"/>
    <x v="5"/>
    <s v="GNR_WT_WIND_ONS"/>
    <x v="0"/>
    <x v="20"/>
    <n v="161.69797287553499"/>
    <n v="59019.7600995705"/>
    <n v="212471.13635845401"/>
  </r>
  <r>
    <x v="0"/>
    <x v="0"/>
    <x v="0"/>
    <x v="7"/>
    <x v="13"/>
    <s v="NO3_A1"/>
    <x v="7"/>
    <x v="5"/>
    <s v="GNR_WT_WIND_ONS"/>
    <x v="0"/>
    <x v="21"/>
    <n v="138.93570573012499"/>
    <n v="50711.532591495699"/>
    <n v="182561.51732938399"/>
  </r>
  <r>
    <x v="0"/>
    <x v="0"/>
    <x v="0"/>
    <x v="7"/>
    <x v="13"/>
    <s v="NO3_A1"/>
    <x v="7"/>
    <x v="5"/>
    <s v="GNR_WT_WIND_ONS"/>
    <x v="0"/>
    <x v="22"/>
    <n v="140.497849474194"/>
    <n v="51281.715058080801"/>
    <n v="184614.174209091"/>
  </r>
  <r>
    <x v="0"/>
    <x v="0"/>
    <x v="0"/>
    <x v="7"/>
    <x v="13"/>
    <s v="NO3_A1"/>
    <x v="7"/>
    <x v="5"/>
    <s v="GNR_WT_WIND_ONS"/>
    <x v="0"/>
    <x v="23"/>
    <n v="127.754815921725"/>
    <n v="46630.507811429699"/>
    <n v="167869.828121147"/>
  </r>
  <r>
    <x v="0"/>
    <x v="0"/>
    <x v="0"/>
    <x v="7"/>
    <x v="14"/>
    <s v="NO4_A1"/>
    <x v="1"/>
    <x v="1"/>
    <s v="GBPR_MUNIWASTE"/>
    <x v="0"/>
    <x v="3"/>
    <n v="0.16632"/>
    <n v="60.706800000000001"/>
    <n v="218.54447999999999"/>
  </r>
  <r>
    <x v="0"/>
    <x v="0"/>
    <x v="0"/>
    <x v="7"/>
    <x v="14"/>
    <s v="NO4_A1"/>
    <x v="1"/>
    <x v="1"/>
    <s v="GBPR_MUNIWASTE"/>
    <x v="0"/>
    <x v="4"/>
    <n v="0.16632"/>
    <n v="60.706800000000001"/>
    <n v="218.54447999999999"/>
  </r>
  <r>
    <x v="0"/>
    <x v="0"/>
    <x v="0"/>
    <x v="7"/>
    <x v="14"/>
    <s v="NO4_A1"/>
    <x v="1"/>
    <x v="1"/>
    <s v="GBPR_MUNIWASTE"/>
    <x v="0"/>
    <x v="5"/>
    <n v="0.16632"/>
    <n v="60.706800000000001"/>
    <n v="218.54447999999999"/>
  </r>
  <r>
    <x v="0"/>
    <x v="0"/>
    <x v="0"/>
    <x v="7"/>
    <x v="14"/>
    <s v="NO4_A1"/>
    <x v="1"/>
    <x v="1"/>
    <s v="GBPR_MUNIWASTE"/>
    <x v="0"/>
    <x v="6"/>
    <n v="0.16632"/>
    <n v="60.706800000000001"/>
    <n v="218.54447999999999"/>
  </r>
  <r>
    <x v="0"/>
    <x v="0"/>
    <x v="0"/>
    <x v="7"/>
    <x v="14"/>
    <s v="NO4_A1"/>
    <x v="1"/>
    <x v="1"/>
    <s v="GBPR_MUNIWASTE"/>
    <x v="0"/>
    <x v="7"/>
    <n v="0.16632"/>
    <n v="60.706800000000001"/>
    <n v="218.54447999999999"/>
  </r>
  <r>
    <x v="0"/>
    <x v="0"/>
    <x v="0"/>
    <x v="7"/>
    <x v="14"/>
    <s v="NO4_A1"/>
    <x v="1"/>
    <x v="1"/>
    <s v="GBPR_MUNIWASTE"/>
    <x v="0"/>
    <x v="8"/>
    <n v="0.16632"/>
    <n v="60.706800000000001"/>
    <n v="218.54447999999999"/>
  </r>
  <r>
    <x v="0"/>
    <x v="0"/>
    <x v="0"/>
    <x v="7"/>
    <x v="14"/>
    <s v="NO4_A1"/>
    <x v="1"/>
    <x v="1"/>
    <s v="GBPR_MUNIWASTE"/>
    <x v="0"/>
    <x v="0"/>
    <n v="0.16632"/>
    <n v="60.706800000000001"/>
    <n v="218.54447999999999"/>
  </r>
  <r>
    <x v="0"/>
    <x v="0"/>
    <x v="0"/>
    <x v="7"/>
    <x v="14"/>
    <s v="NO4_A1"/>
    <x v="1"/>
    <x v="1"/>
    <s v="GBPR_MUNIWASTE"/>
    <x v="0"/>
    <x v="1"/>
    <n v="0.16632"/>
    <n v="60.706800000000001"/>
    <n v="218.54447999999999"/>
  </r>
  <r>
    <x v="0"/>
    <x v="0"/>
    <x v="0"/>
    <x v="7"/>
    <x v="14"/>
    <s v="NO4_A1"/>
    <x v="1"/>
    <x v="1"/>
    <s v="GBPR_MUNIWASTE"/>
    <x v="0"/>
    <x v="2"/>
    <n v="0.16632"/>
    <n v="60.706800000000001"/>
    <n v="218.54447999999999"/>
  </r>
  <r>
    <x v="0"/>
    <x v="0"/>
    <x v="0"/>
    <x v="7"/>
    <x v="14"/>
    <s v="NO4_A1"/>
    <x v="1"/>
    <x v="1"/>
    <s v="GBPR_MUNIWASTE"/>
    <x v="0"/>
    <x v="9"/>
    <n v="0.16632"/>
    <n v="60.706800000000001"/>
    <n v="218.54447999999999"/>
  </r>
  <r>
    <x v="0"/>
    <x v="0"/>
    <x v="0"/>
    <x v="7"/>
    <x v="14"/>
    <s v="NO4_A1"/>
    <x v="1"/>
    <x v="1"/>
    <s v="GBPR_MUNIWASTE"/>
    <x v="0"/>
    <x v="10"/>
    <n v="0.16632"/>
    <n v="60.706800000000001"/>
    <n v="218.54447999999999"/>
  </r>
  <r>
    <x v="0"/>
    <x v="0"/>
    <x v="0"/>
    <x v="7"/>
    <x v="14"/>
    <s v="NO4_A1"/>
    <x v="1"/>
    <x v="1"/>
    <s v="GBPR_MUNIWASTE"/>
    <x v="0"/>
    <x v="11"/>
    <n v="0.16632"/>
    <n v="60.706800000000001"/>
    <n v="218.54447999999999"/>
  </r>
  <r>
    <x v="0"/>
    <x v="0"/>
    <x v="0"/>
    <x v="7"/>
    <x v="14"/>
    <s v="NO4_A1"/>
    <x v="1"/>
    <x v="1"/>
    <s v="GBPR_MUNIWASTE"/>
    <x v="0"/>
    <x v="12"/>
    <n v="0.16632"/>
    <n v="60.706800000000001"/>
    <n v="218.54447999999999"/>
  </r>
  <r>
    <x v="0"/>
    <x v="0"/>
    <x v="0"/>
    <x v="7"/>
    <x v="14"/>
    <s v="NO4_A1"/>
    <x v="1"/>
    <x v="1"/>
    <s v="GBPR_MUNIWASTE"/>
    <x v="0"/>
    <x v="13"/>
    <n v="0.16632"/>
    <n v="60.706800000000001"/>
    <n v="218.54447999999999"/>
  </r>
  <r>
    <x v="0"/>
    <x v="0"/>
    <x v="0"/>
    <x v="7"/>
    <x v="14"/>
    <s v="NO4_A1"/>
    <x v="1"/>
    <x v="1"/>
    <s v="GBPR_MUNIWASTE"/>
    <x v="0"/>
    <x v="14"/>
    <n v="0.16632"/>
    <n v="60.706800000000001"/>
    <n v="218.54447999999999"/>
  </r>
  <r>
    <x v="0"/>
    <x v="0"/>
    <x v="0"/>
    <x v="7"/>
    <x v="14"/>
    <s v="NO4_A1"/>
    <x v="1"/>
    <x v="1"/>
    <s v="GBPR_MUNIWASTE"/>
    <x v="0"/>
    <x v="15"/>
    <n v="0.16632"/>
    <n v="60.706800000000001"/>
    <n v="218.54447999999999"/>
  </r>
  <r>
    <x v="0"/>
    <x v="0"/>
    <x v="0"/>
    <x v="7"/>
    <x v="14"/>
    <s v="NO4_A1"/>
    <x v="1"/>
    <x v="1"/>
    <s v="GBPR_MUNIWASTE"/>
    <x v="0"/>
    <x v="16"/>
    <n v="0.16632"/>
    <n v="60.706800000000001"/>
    <n v="218.54447999999999"/>
  </r>
  <r>
    <x v="0"/>
    <x v="0"/>
    <x v="0"/>
    <x v="7"/>
    <x v="14"/>
    <s v="NO4_A1"/>
    <x v="1"/>
    <x v="1"/>
    <s v="GBPR_MUNIWASTE"/>
    <x v="0"/>
    <x v="17"/>
    <n v="0.16632"/>
    <n v="60.706800000000001"/>
    <n v="218.54447999999999"/>
  </r>
  <r>
    <x v="0"/>
    <x v="0"/>
    <x v="0"/>
    <x v="7"/>
    <x v="14"/>
    <s v="NO4_A1"/>
    <x v="1"/>
    <x v="1"/>
    <s v="GBPR_MUNIWASTE"/>
    <x v="0"/>
    <x v="18"/>
    <n v="0.16632"/>
    <n v="60.706800000000001"/>
    <n v="218.54447999999999"/>
  </r>
  <r>
    <x v="0"/>
    <x v="0"/>
    <x v="0"/>
    <x v="7"/>
    <x v="14"/>
    <s v="NO4_A1"/>
    <x v="1"/>
    <x v="1"/>
    <s v="GBPR_MUNIWASTE"/>
    <x v="0"/>
    <x v="19"/>
    <n v="0.16632"/>
    <n v="60.706800000000001"/>
    <n v="218.54447999999999"/>
  </r>
  <r>
    <x v="0"/>
    <x v="0"/>
    <x v="0"/>
    <x v="7"/>
    <x v="14"/>
    <s v="NO4_A1"/>
    <x v="1"/>
    <x v="1"/>
    <s v="GBPR_MUNIWASTE"/>
    <x v="0"/>
    <x v="20"/>
    <n v="0.16632"/>
    <n v="60.706800000000001"/>
    <n v="218.54447999999999"/>
  </r>
  <r>
    <x v="0"/>
    <x v="0"/>
    <x v="0"/>
    <x v="7"/>
    <x v="14"/>
    <s v="NO4_A1"/>
    <x v="1"/>
    <x v="1"/>
    <s v="GBPR_MUNIWASTE"/>
    <x v="0"/>
    <x v="21"/>
    <n v="0.16632"/>
    <n v="60.706800000000001"/>
    <n v="218.54447999999999"/>
  </r>
  <r>
    <x v="0"/>
    <x v="0"/>
    <x v="0"/>
    <x v="7"/>
    <x v="14"/>
    <s v="NO4_A1"/>
    <x v="1"/>
    <x v="1"/>
    <s v="GBPR_MUNIWASTE"/>
    <x v="0"/>
    <x v="22"/>
    <n v="0.16632"/>
    <n v="60.706800000000001"/>
    <n v="218.54447999999999"/>
  </r>
  <r>
    <x v="0"/>
    <x v="0"/>
    <x v="0"/>
    <x v="7"/>
    <x v="14"/>
    <s v="NO4_A1"/>
    <x v="1"/>
    <x v="1"/>
    <s v="GBPR_MUNIWASTE"/>
    <x v="0"/>
    <x v="23"/>
    <n v="0.16632"/>
    <n v="60.706800000000001"/>
    <n v="218.54447999999999"/>
  </r>
  <r>
    <x v="0"/>
    <x v="0"/>
    <x v="0"/>
    <x v="7"/>
    <x v="14"/>
    <s v="NO4_A1"/>
    <x v="6"/>
    <x v="7"/>
    <s v="GNR_RES_WTR_NOPMP_MC-01"/>
    <x v="0"/>
    <x v="3"/>
    <n v="419.56363678000798"/>
    <n v="153140.72742470301"/>
    <n v="551306.61872893095"/>
  </r>
  <r>
    <x v="0"/>
    <x v="0"/>
    <x v="0"/>
    <x v="7"/>
    <x v="14"/>
    <s v="NO4_A1"/>
    <x v="6"/>
    <x v="7"/>
    <s v="GNR_RES_WTR_NOPMP_MC-01"/>
    <x v="0"/>
    <x v="4"/>
    <n v="419.56363678000798"/>
    <n v="153140.72742470301"/>
    <n v="551306.61872893095"/>
  </r>
  <r>
    <x v="0"/>
    <x v="0"/>
    <x v="0"/>
    <x v="7"/>
    <x v="14"/>
    <s v="NO4_A1"/>
    <x v="6"/>
    <x v="7"/>
    <s v="GNR_RES_WTR_NOPMP_MC-01"/>
    <x v="0"/>
    <x v="5"/>
    <n v="419.56363678000798"/>
    <n v="153140.72742470301"/>
    <n v="551306.61872893095"/>
  </r>
  <r>
    <x v="0"/>
    <x v="0"/>
    <x v="0"/>
    <x v="7"/>
    <x v="14"/>
    <s v="NO4_A1"/>
    <x v="6"/>
    <x v="7"/>
    <s v="GNR_RES_WTR_NOPMP_MC-01"/>
    <x v="0"/>
    <x v="6"/>
    <n v="419.56363678000798"/>
    <n v="153140.72742470301"/>
    <n v="551306.61872893095"/>
  </r>
  <r>
    <x v="0"/>
    <x v="0"/>
    <x v="0"/>
    <x v="7"/>
    <x v="14"/>
    <s v="NO4_A1"/>
    <x v="6"/>
    <x v="7"/>
    <s v="GNR_RES_WTR_NOPMP_MC-01"/>
    <x v="0"/>
    <x v="7"/>
    <n v="419.56363678000798"/>
    <n v="153140.72742470301"/>
    <n v="551306.61872893095"/>
  </r>
  <r>
    <x v="0"/>
    <x v="0"/>
    <x v="0"/>
    <x v="7"/>
    <x v="14"/>
    <s v="NO4_A1"/>
    <x v="6"/>
    <x v="7"/>
    <s v="GNR_RES_WTR_NOPMP_MC-01"/>
    <x v="0"/>
    <x v="8"/>
    <n v="419.56363678000798"/>
    <n v="153140.72742470301"/>
    <n v="551306.61872893095"/>
  </r>
  <r>
    <x v="0"/>
    <x v="0"/>
    <x v="0"/>
    <x v="7"/>
    <x v="14"/>
    <s v="NO4_A1"/>
    <x v="6"/>
    <x v="7"/>
    <s v="GNR_RES_WTR_NOPMP_MC-01"/>
    <x v="0"/>
    <x v="0"/>
    <n v="419.56363678000798"/>
    <n v="153140.72742470301"/>
    <n v="551306.61872893095"/>
  </r>
  <r>
    <x v="0"/>
    <x v="0"/>
    <x v="0"/>
    <x v="7"/>
    <x v="14"/>
    <s v="NO4_A1"/>
    <x v="6"/>
    <x v="7"/>
    <s v="GNR_RES_WTR_NOPMP_MC-01"/>
    <x v="0"/>
    <x v="1"/>
    <n v="419.56363678000798"/>
    <n v="153140.72742470301"/>
    <n v="551306.61872893095"/>
  </r>
  <r>
    <x v="0"/>
    <x v="0"/>
    <x v="0"/>
    <x v="7"/>
    <x v="14"/>
    <s v="NO4_A1"/>
    <x v="6"/>
    <x v="7"/>
    <s v="GNR_RES_WTR_NOPMP_MC-01"/>
    <x v="0"/>
    <x v="2"/>
    <n v="419.56363678000798"/>
    <n v="153140.72742470301"/>
    <n v="551306.61872893095"/>
  </r>
  <r>
    <x v="0"/>
    <x v="0"/>
    <x v="0"/>
    <x v="7"/>
    <x v="14"/>
    <s v="NO4_A1"/>
    <x v="6"/>
    <x v="7"/>
    <s v="GNR_RES_WTR_NOPMP_MC-01"/>
    <x v="0"/>
    <x v="9"/>
    <n v="419.56363678000798"/>
    <n v="153140.72742470301"/>
    <n v="551306.61872893095"/>
  </r>
  <r>
    <x v="0"/>
    <x v="0"/>
    <x v="0"/>
    <x v="7"/>
    <x v="14"/>
    <s v="NO4_A1"/>
    <x v="6"/>
    <x v="7"/>
    <s v="GNR_RES_WTR_NOPMP_MC-01"/>
    <x v="0"/>
    <x v="10"/>
    <n v="419.56363678000798"/>
    <n v="153140.72742470301"/>
    <n v="551306.61872893095"/>
  </r>
  <r>
    <x v="0"/>
    <x v="0"/>
    <x v="0"/>
    <x v="7"/>
    <x v="14"/>
    <s v="NO4_A1"/>
    <x v="6"/>
    <x v="7"/>
    <s v="GNR_RES_WTR_NOPMP_MC-01"/>
    <x v="0"/>
    <x v="11"/>
    <n v="419.56363678000798"/>
    <n v="153140.72742470301"/>
    <n v="551306.61872893095"/>
  </r>
  <r>
    <x v="0"/>
    <x v="0"/>
    <x v="0"/>
    <x v="7"/>
    <x v="14"/>
    <s v="NO4_A1"/>
    <x v="6"/>
    <x v="7"/>
    <s v="GNR_RES_WTR_NOPMP_MC-01"/>
    <x v="0"/>
    <x v="12"/>
    <n v="419.56363678000798"/>
    <n v="153140.72742470301"/>
    <n v="551306.61872893095"/>
  </r>
  <r>
    <x v="0"/>
    <x v="0"/>
    <x v="0"/>
    <x v="7"/>
    <x v="14"/>
    <s v="NO4_A1"/>
    <x v="6"/>
    <x v="7"/>
    <s v="GNR_RES_WTR_NOPMP_MC-01"/>
    <x v="0"/>
    <x v="13"/>
    <n v="419.56363678000798"/>
    <n v="153140.72742470301"/>
    <n v="551306.61872893095"/>
  </r>
  <r>
    <x v="0"/>
    <x v="0"/>
    <x v="0"/>
    <x v="7"/>
    <x v="14"/>
    <s v="NO4_A1"/>
    <x v="6"/>
    <x v="7"/>
    <s v="GNR_RES_WTR_NOPMP_MC-01"/>
    <x v="0"/>
    <x v="14"/>
    <n v="419.56363678000798"/>
    <n v="153140.72742470301"/>
    <n v="551306.61872893095"/>
  </r>
  <r>
    <x v="0"/>
    <x v="0"/>
    <x v="0"/>
    <x v="7"/>
    <x v="14"/>
    <s v="NO4_A1"/>
    <x v="6"/>
    <x v="7"/>
    <s v="GNR_RES_WTR_NOPMP_MC-01"/>
    <x v="0"/>
    <x v="15"/>
    <n v="419.56363678000798"/>
    <n v="153140.72742470301"/>
    <n v="551306.61872893095"/>
  </r>
  <r>
    <x v="0"/>
    <x v="0"/>
    <x v="0"/>
    <x v="7"/>
    <x v="14"/>
    <s v="NO4_A1"/>
    <x v="6"/>
    <x v="7"/>
    <s v="GNR_RES_WTR_NOPMP_MC-01"/>
    <x v="0"/>
    <x v="16"/>
    <n v="419.56363678000798"/>
    <n v="153140.72742470301"/>
    <n v="551306.61872893095"/>
  </r>
  <r>
    <x v="0"/>
    <x v="0"/>
    <x v="0"/>
    <x v="7"/>
    <x v="14"/>
    <s v="NO4_A1"/>
    <x v="6"/>
    <x v="7"/>
    <s v="GNR_RES_WTR_NOPMP_MC-01"/>
    <x v="0"/>
    <x v="17"/>
    <n v="419.56363678000798"/>
    <n v="153140.72742470301"/>
    <n v="551306.61872893095"/>
  </r>
  <r>
    <x v="0"/>
    <x v="0"/>
    <x v="0"/>
    <x v="7"/>
    <x v="14"/>
    <s v="NO4_A1"/>
    <x v="6"/>
    <x v="7"/>
    <s v="GNR_RES_WTR_NOPMP_MC-01"/>
    <x v="0"/>
    <x v="18"/>
    <n v="419.56363678000798"/>
    <n v="153140.72742470301"/>
    <n v="551306.61872893095"/>
  </r>
  <r>
    <x v="0"/>
    <x v="0"/>
    <x v="0"/>
    <x v="7"/>
    <x v="14"/>
    <s v="NO4_A1"/>
    <x v="6"/>
    <x v="7"/>
    <s v="GNR_RES_WTR_NOPMP_MC-01"/>
    <x v="0"/>
    <x v="19"/>
    <n v="419.56363678000798"/>
    <n v="153140.72742470301"/>
    <n v="551306.61872893095"/>
  </r>
  <r>
    <x v="0"/>
    <x v="0"/>
    <x v="0"/>
    <x v="7"/>
    <x v="14"/>
    <s v="NO4_A1"/>
    <x v="6"/>
    <x v="7"/>
    <s v="GNR_RES_WTR_NOPMP_MC-01"/>
    <x v="0"/>
    <x v="20"/>
    <n v="419.56363678000798"/>
    <n v="153140.72742470301"/>
    <n v="551306.61872893095"/>
  </r>
  <r>
    <x v="0"/>
    <x v="0"/>
    <x v="0"/>
    <x v="7"/>
    <x v="14"/>
    <s v="NO4_A1"/>
    <x v="6"/>
    <x v="7"/>
    <s v="GNR_RES_WTR_NOPMP_MC-01"/>
    <x v="0"/>
    <x v="21"/>
    <n v="419.56363678000798"/>
    <n v="153140.72742470301"/>
    <n v="551306.61872893095"/>
  </r>
  <r>
    <x v="0"/>
    <x v="0"/>
    <x v="0"/>
    <x v="7"/>
    <x v="14"/>
    <s v="NO4_A1"/>
    <x v="6"/>
    <x v="7"/>
    <s v="GNR_RES_WTR_NOPMP_MC-01"/>
    <x v="0"/>
    <x v="22"/>
    <n v="419.56363678000798"/>
    <n v="153140.72742470301"/>
    <n v="551306.61872893095"/>
  </r>
  <r>
    <x v="0"/>
    <x v="0"/>
    <x v="0"/>
    <x v="7"/>
    <x v="14"/>
    <s v="NO4_A1"/>
    <x v="6"/>
    <x v="7"/>
    <s v="GNR_RES_WTR_NOPMP_MC-01"/>
    <x v="0"/>
    <x v="23"/>
    <n v="419.56363678000798"/>
    <n v="153140.72742470301"/>
    <n v="551306.61872893095"/>
  </r>
  <r>
    <x v="0"/>
    <x v="0"/>
    <x v="0"/>
    <x v="7"/>
    <x v="14"/>
    <s v="NO4_A1"/>
    <x v="6"/>
    <x v="7"/>
    <s v="GNR_RES_WTR_NOPMP_MC-02"/>
    <x v="0"/>
    <x v="3"/>
    <n v="419.56363678000798"/>
    <n v="153140.72742470301"/>
    <n v="551306.61872893095"/>
  </r>
  <r>
    <x v="0"/>
    <x v="0"/>
    <x v="0"/>
    <x v="7"/>
    <x v="14"/>
    <s v="NO4_A1"/>
    <x v="6"/>
    <x v="7"/>
    <s v="GNR_RES_WTR_NOPMP_MC-02"/>
    <x v="0"/>
    <x v="4"/>
    <n v="419.56363678000798"/>
    <n v="153140.72742470301"/>
    <n v="551306.61872893095"/>
  </r>
  <r>
    <x v="0"/>
    <x v="0"/>
    <x v="0"/>
    <x v="7"/>
    <x v="14"/>
    <s v="NO4_A1"/>
    <x v="6"/>
    <x v="7"/>
    <s v="GNR_RES_WTR_NOPMP_MC-02"/>
    <x v="0"/>
    <x v="5"/>
    <n v="419.56363678000798"/>
    <n v="153140.72742470301"/>
    <n v="551306.61872893095"/>
  </r>
  <r>
    <x v="0"/>
    <x v="0"/>
    <x v="0"/>
    <x v="7"/>
    <x v="14"/>
    <s v="NO4_A1"/>
    <x v="6"/>
    <x v="7"/>
    <s v="GNR_RES_WTR_NOPMP_MC-02"/>
    <x v="0"/>
    <x v="6"/>
    <n v="419.56363678000798"/>
    <n v="153140.72742470301"/>
    <n v="551306.61872893095"/>
  </r>
  <r>
    <x v="0"/>
    <x v="0"/>
    <x v="0"/>
    <x v="7"/>
    <x v="14"/>
    <s v="NO4_A1"/>
    <x v="6"/>
    <x v="7"/>
    <s v="GNR_RES_WTR_NOPMP_MC-02"/>
    <x v="0"/>
    <x v="7"/>
    <n v="419.56363678000798"/>
    <n v="153140.72742470301"/>
    <n v="551306.61872893095"/>
  </r>
  <r>
    <x v="0"/>
    <x v="0"/>
    <x v="0"/>
    <x v="7"/>
    <x v="14"/>
    <s v="NO4_A1"/>
    <x v="6"/>
    <x v="7"/>
    <s v="GNR_RES_WTR_NOPMP_MC-02"/>
    <x v="0"/>
    <x v="8"/>
    <n v="419.56363678000798"/>
    <n v="153140.72742470301"/>
    <n v="551306.61872893095"/>
  </r>
  <r>
    <x v="0"/>
    <x v="0"/>
    <x v="0"/>
    <x v="7"/>
    <x v="14"/>
    <s v="NO4_A1"/>
    <x v="6"/>
    <x v="7"/>
    <s v="GNR_RES_WTR_NOPMP_MC-02"/>
    <x v="0"/>
    <x v="0"/>
    <n v="419.56363678000798"/>
    <n v="153140.72742470301"/>
    <n v="551306.61872893095"/>
  </r>
  <r>
    <x v="0"/>
    <x v="0"/>
    <x v="0"/>
    <x v="7"/>
    <x v="14"/>
    <s v="NO4_A1"/>
    <x v="6"/>
    <x v="7"/>
    <s v="GNR_RES_WTR_NOPMP_MC-02"/>
    <x v="0"/>
    <x v="1"/>
    <n v="419.56363678000798"/>
    <n v="153140.72742470301"/>
    <n v="551306.61872893095"/>
  </r>
  <r>
    <x v="0"/>
    <x v="0"/>
    <x v="0"/>
    <x v="7"/>
    <x v="14"/>
    <s v="NO4_A1"/>
    <x v="6"/>
    <x v="7"/>
    <s v="GNR_RES_WTR_NOPMP_MC-02"/>
    <x v="0"/>
    <x v="2"/>
    <n v="419.56363678000798"/>
    <n v="153140.72742470301"/>
    <n v="551306.61872893095"/>
  </r>
  <r>
    <x v="0"/>
    <x v="0"/>
    <x v="0"/>
    <x v="7"/>
    <x v="14"/>
    <s v="NO4_A1"/>
    <x v="6"/>
    <x v="7"/>
    <s v="GNR_RES_WTR_NOPMP_MC-02"/>
    <x v="0"/>
    <x v="9"/>
    <n v="419.56363678000798"/>
    <n v="153140.72742470301"/>
    <n v="551306.61872893095"/>
  </r>
  <r>
    <x v="0"/>
    <x v="0"/>
    <x v="0"/>
    <x v="7"/>
    <x v="14"/>
    <s v="NO4_A1"/>
    <x v="6"/>
    <x v="7"/>
    <s v="GNR_RES_WTR_NOPMP_MC-02"/>
    <x v="0"/>
    <x v="10"/>
    <n v="419.56363678000798"/>
    <n v="153140.72742470301"/>
    <n v="551306.61872893095"/>
  </r>
  <r>
    <x v="0"/>
    <x v="0"/>
    <x v="0"/>
    <x v="7"/>
    <x v="14"/>
    <s v="NO4_A1"/>
    <x v="6"/>
    <x v="7"/>
    <s v="GNR_RES_WTR_NOPMP_MC-02"/>
    <x v="0"/>
    <x v="11"/>
    <n v="419.56363678000798"/>
    <n v="153140.72742470301"/>
    <n v="551306.61872893095"/>
  </r>
  <r>
    <x v="0"/>
    <x v="0"/>
    <x v="0"/>
    <x v="7"/>
    <x v="14"/>
    <s v="NO4_A1"/>
    <x v="6"/>
    <x v="7"/>
    <s v="GNR_RES_WTR_NOPMP_MC-02"/>
    <x v="0"/>
    <x v="12"/>
    <n v="419.56363678000798"/>
    <n v="153140.72742470301"/>
    <n v="551306.61872893095"/>
  </r>
  <r>
    <x v="0"/>
    <x v="0"/>
    <x v="0"/>
    <x v="7"/>
    <x v="14"/>
    <s v="NO4_A1"/>
    <x v="6"/>
    <x v="7"/>
    <s v="GNR_RES_WTR_NOPMP_MC-02"/>
    <x v="0"/>
    <x v="13"/>
    <n v="419.56363678000798"/>
    <n v="153140.72742470301"/>
    <n v="551306.61872893095"/>
  </r>
  <r>
    <x v="0"/>
    <x v="0"/>
    <x v="0"/>
    <x v="7"/>
    <x v="14"/>
    <s v="NO4_A1"/>
    <x v="6"/>
    <x v="7"/>
    <s v="GNR_RES_WTR_NOPMP_MC-02"/>
    <x v="0"/>
    <x v="14"/>
    <n v="419.56363678000798"/>
    <n v="153140.72742470301"/>
    <n v="551306.61872893095"/>
  </r>
  <r>
    <x v="0"/>
    <x v="0"/>
    <x v="0"/>
    <x v="7"/>
    <x v="14"/>
    <s v="NO4_A1"/>
    <x v="6"/>
    <x v="7"/>
    <s v="GNR_RES_WTR_NOPMP_MC-02"/>
    <x v="0"/>
    <x v="15"/>
    <n v="419.56363678000798"/>
    <n v="153140.72742470301"/>
    <n v="551306.61872893095"/>
  </r>
  <r>
    <x v="0"/>
    <x v="0"/>
    <x v="0"/>
    <x v="7"/>
    <x v="14"/>
    <s v="NO4_A1"/>
    <x v="6"/>
    <x v="7"/>
    <s v="GNR_RES_WTR_NOPMP_MC-02"/>
    <x v="0"/>
    <x v="16"/>
    <n v="419.56363678000798"/>
    <n v="153140.72742470301"/>
    <n v="551306.61872893095"/>
  </r>
  <r>
    <x v="0"/>
    <x v="0"/>
    <x v="0"/>
    <x v="7"/>
    <x v="14"/>
    <s v="NO4_A1"/>
    <x v="6"/>
    <x v="7"/>
    <s v="GNR_RES_WTR_NOPMP_MC-02"/>
    <x v="0"/>
    <x v="17"/>
    <n v="419.56363678000798"/>
    <n v="153140.72742470301"/>
    <n v="551306.61872893095"/>
  </r>
  <r>
    <x v="0"/>
    <x v="0"/>
    <x v="0"/>
    <x v="7"/>
    <x v="14"/>
    <s v="NO4_A1"/>
    <x v="6"/>
    <x v="7"/>
    <s v="GNR_RES_WTR_NOPMP_MC-02"/>
    <x v="0"/>
    <x v="18"/>
    <n v="419.56363678000798"/>
    <n v="153140.72742470301"/>
    <n v="551306.61872893095"/>
  </r>
  <r>
    <x v="0"/>
    <x v="0"/>
    <x v="0"/>
    <x v="7"/>
    <x v="14"/>
    <s v="NO4_A1"/>
    <x v="6"/>
    <x v="7"/>
    <s v="GNR_RES_WTR_NOPMP_MC-02"/>
    <x v="0"/>
    <x v="19"/>
    <n v="419.56363678000798"/>
    <n v="153140.72742470301"/>
    <n v="551306.61872893095"/>
  </r>
  <r>
    <x v="0"/>
    <x v="0"/>
    <x v="0"/>
    <x v="7"/>
    <x v="14"/>
    <s v="NO4_A1"/>
    <x v="6"/>
    <x v="7"/>
    <s v="GNR_RES_WTR_NOPMP_MC-02"/>
    <x v="0"/>
    <x v="20"/>
    <n v="419.56363678000798"/>
    <n v="153140.72742470301"/>
    <n v="551306.61872893095"/>
  </r>
  <r>
    <x v="0"/>
    <x v="0"/>
    <x v="0"/>
    <x v="7"/>
    <x v="14"/>
    <s v="NO4_A1"/>
    <x v="6"/>
    <x v="7"/>
    <s v="GNR_RES_WTR_NOPMP_MC-02"/>
    <x v="0"/>
    <x v="21"/>
    <n v="419.56363678000798"/>
    <n v="153140.72742470301"/>
    <n v="551306.61872893095"/>
  </r>
  <r>
    <x v="0"/>
    <x v="0"/>
    <x v="0"/>
    <x v="7"/>
    <x v="14"/>
    <s v="NO4_A1"/>
    <x v="6"/>
    <x v="7"/>
    <s v="GNR_RES_WTR_NOPMP_MC-02"/>
    <x v="0"/>
    <x v="22"/>
    <n v="419.56363678000798"/>
    <n v="153140.72742470301"/>
    <n v="551306.61872893095"/>
  </r>
  <r>
    <x v="0"/>
    <x v="0"/>
    <x v="0"/>
    <x v="7"/>
    <x v="14"/>
    <s v="NO4_A1"/>
    <x v="6"/>
    <x v="7"/>
    <s v="GNR_RES_WTR_NOPMP_MC-02"/>
    <x v="0"/>
    <x v="23"/>
    <n v="419.56363678000798"/>
    <n v="153140.72742470301"/>
    <n v="551306.61872893095"/>
  </r>
  <r>
    <x v="0"/>
    <x v="0"/>
    <x v="0"/>
    <x v="7"/>
    <x v="14"/>
    <s v="NO4_A1"/>
    <x v="6"/>
    <x v="7"/>
    <s v="GNR_RES_WTR_NOPMP_MC-03"/>
    <x v="0"/>
    <x v="3"/>
    <n v="419.56363678000798"/>
    <n v="153140.72742470301"/>
    <n v="551306.61872893095"/>
  </r>
  <r>
    <x v="0"/>
    <x v="0"/>
    <x v="0"/>
    <x v="7"/>
    <x v="14"/>
    <s v="NO4_A1"/>
    <x v="6"/>
    <x v="7"/>
    <s v="GNR_RES_WTR_NOPMP_MC-03"/>
    <x v="0"/>
    <x v="4"/>
    <n v="419.56363678000798"/>
    <n v="153140.72742470301"/>
    <n v="551306.61872893095"/>
  </r>
  <r>
    <x v="0"/>
    <x v="0"/>
    <x v="0"/>
    <x v="7"/>
    <x v="14"/>
    <s v="NO4_A1"/>
    <x v="6"/>
    <x v="7"/>
    <s v="GNR_RES_WTR_NOPMP_MC-03"/>
    <x v="0"/>
    <x v="5"/>
    <n v="419.56363678000798"/>
    <n v="153140.72742470301"/>
    <n v="551306.61872893095"/>
  </r>
  <r>
    <x v="0"/>
    <x v="0"/>
    <x v="0"/>
    <x v="7"/>
    <x v="14"/>
    <s v="NO4_A1"/>
    <x v="6"/>
    <x v="7"/>
    <s v="GNR_RES_WTR_NOPMP_MC-03"/>
    <x v="0"/>
    <x v="6"/>
    <n v="419.56363678000798"/>
    <n v="153140.72742470301"/>
    <n v="551306.61872893095"/>
  </r>
  <r>
    <x v="0"/>
    <x v="0"/>
    <x v="0"/>
    <x v="7"/>
    <x v="14"/>
    <s v="NO4_A1"/>
    <x v="6"/>
    <x v="7"/>
    <s v="GNR_RES_WTR_NOPMP_MC-03"/>
    <x v="0"/>
    <x v="7"/>
    <n v="419.56363678000798"/>
    <n v="153140.72742470301"/>
    <n v="551306.61872893095"/>
  </r>
  <r>
    <x v="0"/>
    <x v="0"/>
    <x v="0"/>
    <x v="7"/>
    <x v="14"/>
    <s v="NO4_A1"/>
    <x v="6"/>
    <x v="7"/>
    <s v="GNR_RES_WTR_NOPMP_MC-03"/>
    <x v="0"/>
    <x v="8"/>
    <n v="419.56363678000798"/>
    <n v="153140.72742470301"/>
    <n v="551306.61872893095"/>
  </r>
  <r>
    <x v="0"/>
    <x v="0"/>
    <x v="0"/>
    <x v="7"/>
    <x v="14"/>
    <s v="NO4_A1"/>
    <x v="6"/>
    <x v="7"/>
    <s v="GNR_RES_WTR_NOPMP_MC-03"/>
    <x v="0"/>
    <x v="0"/>
    <n v="419.56363678000798"/>
    <n v="153140.72742470301"/>
    <n v="551306.61872893095"/>
  </r>
  <r>
    <x v="0"/>
    <x v="0"/>
    <x v="0"/>
    <x v="7"/>
    <x v="14"/>
    <s v="NO4_A1"/>
    <x v="6"/>
    <x v="7"/>
    <s v="GNR_RES_WTR_NOPMP_MC-03"/>
    <x v="0"/>
    <x v="1"/>
    <n v="419.56363678000798"/>
    <n v="153140.72742470301"/>
    <n v="551306.61872893095"/>
  </r>
  <r>
    <x v="0"/>
    <x v="0"/>
    <x v="0"/>
    <x v="7"/>
    <x v="14"/>
    <s v="NO4_A1"/>
    <x v="6"/>
    <x v="7"/>
    <s v="GNR_RES_WTR_NOPMP_MC-03"/>
    <x v="0"/>
    <x v="2"/>
    <n v="419.56363678000798"/>
    <n v="153140.72742470301"/>
    <n v="551306.61872893095"/>
  </r>
  <r>
    <x v="0"/>
    <x v="0"/>
    <x v="0"/>
    <x v="7"/>
    <x v="14"/>
    <s v="NO4_A1"/>
    <x v="6"/>
    <x v="7"/>
    <s v="GNR_RES_WTR_NOPMP_MC-03"/>
    <x v="0"/>
    <x v="9"/>
    <n v="419.56363678000798"/>
    <n v="153140.72742470301"/>
    <n v="551306.61872893095"/>
  </r>
  <r>
    <x v="0"/>
    <x v="0"/>
    <x v="0"/>
    <x v="7"/>
    <x v="14"/>
    <s v="NO4_A1"/>
    <x v="6"/>
    <x v="7"/>
    <s v="GNR_RES_WTR_NOPMP_MC-03"/>
    <x v="0"/>
    <x v="10"/>
    <n v="419.56363678000798"/>
    <n v="153140.72742470301"/>
    <n v="551306.61872893095"/>
  </r>
  <r>
    <x v="0"/>
    <x v="0"/>
    <x v="0"/>
    <x v="7"/>
    <x v="14"/>
    <s v="NO4_A1"/>
    <x v="6"/>
    <x v="7"/>
    <s v="GNR_RES_WTR_NOPMP_MC-03"/>
    <x v="0"/>
    <x v="11"/>
    <n v="419.56363678000798"/>
    <n v="153140.72742470301"/>
    <n v="551306.61872893095"/>
  </r>
  <r>
    <x v="0"/>
    <x v="0"/>
    <x v="0"/>
    <x v="7"/>
    <x v="14"/>
    <s v="NO4_A1"/>
    <x v="6"/>
    <x v="7"/>
    <s v="GNR_RES_WTR_NOPMP_MC-03"/>
    <x v="0"/>
    <x v="12"/>
    <n v="419.56363678000798"/>
    <n v="153140.72742470301"/>
    <n v="551306.61872893095"/>
  </r>
  <r>
    <x v="0"/>
    <x v="0"/>
    <x v="0"/>
    <x v="7"/>
    <x v="14"/>
    <s v="NO4_A1"/>
    <x v="6"/>
    <x v="7"/>
    <s v="GNR_RES_WTR_NOPMP_MC-03"/>
    <x v="0"/>
    <x v="13"/>
    <n v="419.56363678000798"/>
    <n v="153140.72742470301"/>
    <n v="551306.61872893095"/>
  </r>
  <r>
    <x v="0"/>
    <x v="0"/>
    <x v="0"/>
    <x v="7"/>
    <x v="14"/>
    <s v="NO4_A1"/>
    <x v="6"/>
    <x v="7"/>
    <s v="GNR_RES_WTR_NOPMP_MC-03"/>
    <x v="0"/>
    <x v="14"/>
    <n v="419.56363678000798"/>
    <n v="153140.72742470301"/>
    <n v="551306.61872893095"/>
  </r>
  <r>
    <x v="0"/>
    <x v="0"/>
    <x v="0"/>
    <x v="7"/>
    <x v="14"/>
    <s v="NO4_A1"/>
    <x v="6"/>
    <x v="7"/>
    <s v="GNR_RES_WTR_NOPMP_MC-03"/>
    <x v="0"/>
    <x v="15"/>
    <n v="419.56363678000798"/>
    <n v="153140.72742470301"/>
    <n v="551306.61872893095"/>
  </r>
  <r>
    <x v="0"/>
    <x v="0"/>
    <x v="0"/>
    <x v="7"/>
    <x v="14"/>
    <s v="NO4_A1"/>
    <x v="6"/>
    <x v="7"/>
    <s v="GNR_RES_WTR_NOPMP_MC-03"/>
    <x v="0"/>
    <x v="16"/>
    <n v="419.56363678000798"/>
    <n v="153140.72742470301"/>
    <n v="551306.61872893095"/>
  </r>
  <r>
    <x v="0"/>
    <x v="0"/>
    <x v="0"/>
    <x v="7"/>
    <x v="14"/>
    <s v="NO4_A1"/>
    <x v="6"/>
    <x v="7"/>
    <s v="GNR_RES_WTR_NOPMP_MC-03"/>
    <x v="0"/>
    <x v="17"/>
    <n v="419.56363678000798"/>
    <n v="153140.72742470301"/>
    <n v="551306.61872893095"/>
  </r>
  <r>
    <x v="0"/>
    <x v="0"/>
    <x v="0"/>
    <x v="7"/>
    <x v="14"/>
    <s v="NO4_A1"/>
    <x v="6"/>
    <x v="7"/>
    <s v="GNR_RES_WTR_NOPMP_MC-03"/>
    <x v="0"/>
    <x v="18"/>
    <n v="419.56363678000798"/>
    <n v="153140.72742470301"/>
    <n v="551306.61872893095"/>
  </r>
  <r>
    <x v="0"/>
    <x v="0"/>
    <x v="0"/>
    <x v="7"/>
    <x v="14"/>
    <s v="NO4_A1"/>
    <x v="6"/>
    <x v="7"/>
    <s v="GNR_RES_WTR_NOPMP_MC-03"/>
    <x v="0"/>
    <x v="19"/>
    <n v="419.56363678000798"/>
    <n v="153140.72742470301"/>
    <n v="551306.61872893095"/>
  </r>
  <r>
    <x v="0"/>
    <x v="0"/>
    <x v="0"/>
    <x v="7"/>
    <x v="14"/>
    <s v="NO4_A1"/>
    <x v="6"/>
    <x v="7"/>
    <s v="GNR_RES_WTR_NOPMP_MC-03"/>
    <x v="0"/>
    <x v="20"/>
    <n v="419.56363678000798"/>
    <n v="153140.72742470301"/>
    <n v="551306.61872893095"/>
  </r>
  <r>
    <x v="0"/>
    <x v="0"/>
    <x v="0"/>
    <x v="7"/>
    <x v="14"/>
    <s v="NO4_A1"/>
    <x v="6"/>
    <x v="7"/>
    <s v="GNR_RES_WTR_NOPMP_MC-03"/>
    <x v="0"/>
    <x v="21"/>
    <n v="419.56363678000798"/>
    <n v="153140.72742470301"/>
    <n v="551306.61872893095"/>
  </r>
  <r>
    <x v="0"/>
    <x v="0"/>
    <x v="0"/>
    <x v="7"/>
    <x v="14"/>
    <s v="NO4_A1"/>
    <x v="6"/>
    <x v="7"/>
    <s v="GNR_RES_WTR_NOPMP_MC-03"/>
    <x v="0"/>
    <x v="22"/>
    <n v="419.56363678000798"/>
    <n v="153140.72742470301"/>
    <n v="551306.61872893095"/>
  </r>
  <r>
    <x v="0"/>
    <x v="0"/>
    <x v="0"/>
    <x v="7"/>
    <x v="14"/>
    <s v="NO4_A1"/>
    <x v="6"/>
    <x v="7"/>
    <s v="GNR_RES_WTR_NOPMP_MC-03"/>
    <x v="0"/>
    <x v="23"/>
    <n v="419.56363678000798"/>
    <n v="153140.72742470301"/>
    <n v="551306.61872893095"/>
  </r>
  <r>
    <x v="0"/>
    <x v="0"/>
    <x v="0"/>
    <x v="7"/>
    <x v="14"/>
    <s v="NO4_A1"/>
    <x v="6"/>
    <x v="7"/>
    <s v="GNR_RES_WTR_NOPMP_MC-04"/>
    <x v="0"/>
    <x v="3"/>
    <n v="419.56363678000798"/>
    <n v="153140.72742470301"/>
    <n v="551306.61872893095"/>
  </r>
  <r>
    <x v="0"/>
    <x v="0"/>
    <x v="0"/>
    <x v="7"/>
    <x v="14"/>
    <s v="NO4_A1"/>
    <x v="6"/>
    <x v="7"/>
    <s v="GNR_RES_WTR_NOPMP_MC-04"/>
    <x v="0"/>
    <x v="4"/>
    <n v="419.56363678000798"/>
    <n v="153140.72742470301"/>
    <n v="551306.61872893095"/>
  </r>
  <r>
    <x v="0"/>
    <x v="0"/>
    <x v="0"/>
    <x v="7"/>
    <x v="14"/>
    <s v="NO4_A1"/>
    <x v="6"/>
    <x v="7"/>
    <s v="GNR_RES_WTR_NOPMP_MC-04"/>
    <x v="0"/>
    <x v="5"/>
    <n v="419.56363678000798"/>
    <n v="153140.72742470301"/>
    <n v="551306.61872893095"/>
  </r>
  <r>
    <x v="0"/>
    <x v="0"/>
    <x v="0"/>
    <x v="7"/>
    <x v="14"/>
    <s v="NO4_A1"/>
    <x v="6"/>
    <x v="7"/>
    <s v="GNR_RES_WTR_NOPMP_MC-04"/>
    <x v="0"/>
    <x v="6"/>
    <n v="419.56363678000798"/>
    <n v="153140.72742470301"/>
    <n v="551306.61872893095"/>
  </r>
  <r>
    <x v="0"/>
    <x v="0"/>
    <x v="0"/>
    <x v="7"/>
    <x v="14"/>
    <s v="NO4_A1"/>
    <x v="6"/>
    <x v="7"/>
    <s v="GNR_RES_WTR_NOPMP_MC-04"/>
    <x v="0"/>
    <x v="7"/>
    <n v="419.56363678000798"/>
    <n v="153140.72742470301"/>
    <n v="551306.61872893095"/>
  </r>
  <r>
    <x v="0"/>
    <x v="0"/>
    <x v="0"/>
    <x v="7"/>
    <x v="14"/>
    <s v="NO4_A1"/>
    <x v="6"/>
    <x v="7"/>
    <s v="GNR_RES_WTR_NOPMP_MC-04"/>
    <x v="0"/>
    <x v="8"/>
    <n v="419.56363678000798"/>
    <n v="153140.72742470301"/>
    <n v="551306.61872893095"/>
  </r>
  <r>
    <x v="0"/>
    <x v="0"/>
    <x v="0"/>
    <x v="7"/>
    <x v="14"/>
    <s v="NO4_A1"/>
    <x v="6"/>
    <x v="7"/>
    <s v="GNR_RES_WTR_NOPMP_MC-04"/>
    <x v="0"/>
    <x v="0"/>
    <n v="419.56363678000798"/>
    <n v="153140.72742470301"/>
    <n v="551306.61872893095"/>
  </r>
  <r>
    <x v="0"/>
    <x v="0"/>
    <x v="0"/>
    <x v="7"/>
    <x v="14"/>
    <s v="NO4_A1"/>
    <x v="6"/>
    <x v="7"/>
    <s v="GNR_RES_WTR_NOPMP_MC-04"/>
    <x v="0"/>
    <x v="1"/>
    <n v="419.56363678000798"/>
    <n v="153140.72742470301"/>
    <n v="551306.61872893095"/>
  </r>
  <r>
    <x v="0"/>
    <x v="0"/>
    <x v="0"/>
    <x v="7"/>
    <x v="14"/>
    <s v="NO4_A1"/>
    <x v="6"/>
    <x v="7"/>
    <s v="GNR_RES_WTR_NOPMP_MC-04"/>
    <x v="0"/>
    <x v="2"/>
    <n v="419.56363678000798"/>
    <n v="153140.72742470301"/>
    <n v="551306.61872893095"/>
  </r>
  <r>
    <x v="0"/>
    <x v="0"/>
    <x v="0"/>
    <x v="7"/>
    <x v="14"/>
    <s v="NO4_A1"/>
    <x v="6"/>
    <x v="7"/>
    <s v="GNR_RES_WTR_NOPMP_MC-04"/>
    <x v="0"/>
    <x v="9"/>
    <n v="419.56363678000798"/>
    <n v="153140.72742470301"/>
    <n v="551306.61872893095"/>
  </r>
  <r>
    <x v="0"/>
    <x v="0"/>
    <x v="0"/>
    <x v="7"/>
    <x v="14"/>
    <s v="NO4_A1"/>
    <x v="6"/>
    <x v="7"/>
    <s v="GNR_RES_WTR_NOPMP_MC-04"/>
    <x v="0"/>
    <x v="10"/>
    <n v="419.56363678000798"/>
    <n v="153140.72742470301"/>
    <n v="551306.61872893095"/>
  </r>
  <r>
    <x v="0"/>
    <x v="0"/>
    <x v="0"/>
    <x v="7"/>
    <x v="14"/>
    <s v="NO4_A1"/>
    <x v="6"/>
    <x v="7"/>
    <s v="GNR_RES_WTR_NOPMP_MC-04"/>
    <x v="0"/>
    <x v="11"/>
    <n v="419.56363678000798"/>
    <n v="153140.72742470301"/>
    <n v="551306.61872893095"/>
  </r>
  <r>
    <x v="0"/>
    <x v="0"/>
    <x v="0"/>
    <x v="7"/>
    <x v="14"/>
    <s v="NO4_A1"/>
    <x v="6"/>
    <x v="7"/>
    <s v="GNR_RES_WTR_NOPMP_MC-04"/>
    <x v="0"/>
    <x v="12"/>
    <n v="419.56363678000798"/>
    <n v="153140.72742470301"/>
    <n v="551306.61872893095"/>
  </r>
  <r>
    <x v="0"/>
    <x v="0"/>
    <x v="0"/>
    <x v="7"/>
    <x v="14"/>
    <s v="NO4_A1"/>
    <x v="6"/>
    <x v="7"/>
    <s v="GNR_RES_WTR_NOPMP_MC-04"/>
    <x v="0"/>
    <x v="13"/>
    <n v="419.56363678000798"/>
    <n v="153140.72742470301"/>
    <n v="551306.61872893095"/>
  </r>
  <r>
    <x v="0"/>
    <x v="0"/>
    <x v="0"/>
    <x v="7"/>
    <x v="14"/>
    <s v="NO4_A1"/>
    <x v="6"/>
    <x v="7"/>
    <s v="GNR_RES_WTR_NOPMP_MC-04"/>
    <x v="0"/>
    <x v="14"/>
    <n v="419.56363678000798"/>
    <n v="153140.72742470301"/>
    <n v="551306.61872893095"/>
  </r>
  <r>
    <x v="0"/>
    <x v="0"/>
    <x v="0"/>
    <x v="7"/>
    <x v="14"/>
    <s v="NO4_A1"/>
    <x v="6"/>
    <x v="7"/>
    <s v="GNR_RES_WTR_NOPMP_MC-04"/>
    <x v="0"/>
    <x v="15"/>
    <n v="419.56363678000798"/>
    <n v="153140.72742470301"/>
    <n v="551306.61872893095"/>
  </r>
  <r>
    <x v="0"/>
    <x v="0"/>
    <x v="0"/>
    <x v="7"/>
    <x v="14"/>
    <s v="NO4_A1"/>
    <x v="6"/>
    <x v="7"/>
    <s v="GNR_RES_WTR_NOPMP_MC-04"/>
    <x v="0"/>
    <x v="16"/>
    <n v="419.56363678000798"/>
    <n v="153140.72742470301"/>
    <n v="551306.61872893095"/>
  </r>
  <r>
    <x v="0"/>
    <x v="0"/>
    <x v="0"/>
    <x v="7"/>
    <x v="14"/>
    <s v="NO4_A1"/>
    <x v="6"/>
    <x v="7"/>
    <s v="GNR_RES_WTR_NOPMP_MC-04"/>
    <x v="0"/>
    <x v="17"/>
    <n v="419.56363678000798"/>
    <n v="153140.72742470301"/>
    <n v="551306.61872893095"/>
  </r>
  <r>
    <x v="0"/>
    <x v="0"/>
    <x v="0"/>
    <x v="7"/>
    <x v="14"/>
    <s v="NO4_A1"/>
    <x v="6"/>
    <x v="7"/>
    <s v="GNR_RES_WTR_NOPMP_MC-04"/>
    <x v="0"/>
    <x v="18"/>
    <n v="419.56363678000798"/>
    <n v="153140.72742470301"/>
    <n v="551306.61872893095"/>
  </r>
  <r>
    <x v="0"/>
    <x v="0"/>
    <x v="0"/>
    <x v="7"/>
    <x v="14"/>
    <s v="NO4_A1"/>
    <x v="6"/>
    <x v="7"/>
    <s v="GNR_RES_WTR_NOPMP_MC-04"/>
    <x v="0"/>
    <x v="19"/>
    <n v="419.56363678000798"/>
    <n v="153140.72742470301"/>
    <n v="551306.61872893095"/>
  </r>
  <r>
    <x v="0"/>
    <x v="0"/>
    <x v="0"/>
    <x v="7"/>
    <x v="14"/>
    <s v="NO4_A1"/>
    <x v="6"/>
    <x v="7"/>
    <s v="GNR_RES_WTR_NOPMP_MC-04"/>
    <x v="0"/>
    <x v="20"/>
    <n v="419.56363678000798"/>
    <n v="153140.72742470301"/>
    <n v="551306.61872893095"/>
  </r>
  <r>
    <x v="0"/>
    <x v="0"/>
    <x v="0"/>
    <x v="7"/>
    <x v="14"/>
    <s v="NO4_A1"/>
    <x v="6"/>
    <x v="7"/>
    <s v="GNR_RES_WTR_NOPMP_MC-04"/>
    <x v="0"/>
    <x v="21"/>
    <n v="419.56363678000798"/>
    <n v="153140.72742470301"/>
    <n v="551306.61872893095"/>
  </r>
  <r>
    <x v="0"/>
    <x v="0"/>
    <x v="0"/>
    <x v="7"/>
    <x v="14"/>
    <s v="NO4_A1"/>
    <x v="6"/>
    <x v="7"/>
    <s v="GNR_RES_WTR_NOPMP_MC-04"/>
    <x v="0"/>
    <x v="22"/>
    <n v="419.56363678000798"/>
    <n v="153140.72742470301"/>
    <n v="551306.61872893095"/>
  </r>
  <r>
    <x v="0"/>
    <x v="0"/>
    <x v="0"/>
    <x v="7"/>
    <x v="14"/>
    <s v="NO4_A1"/>
    <x v="6"/>
    <x v="7"/>
    <s v="GNR_RES_WTR_NOPMP_MC-04"/>
    <x v="0"/>
    <x v="23"/>
    <n v="419.56363678000798"/>
    <n v="153140.72742470301"/>
    <n v="551306.61872893095"/>
  </r>
  <r>
    <x v="0"/>
    <x v="0"/>
    <x v="0"/>
    <x v="7"/>
    <x v="14"/>
    <s v="NO4_A1"/>
    <x v="6"/>
    <x v="7"/>
    <s v="GNR_RES_WTR_NOPMP_MC-05"/>
    <x v="0"/>
    <x v="3"/>
    <n v="107.265986316067"/>
    <n v="39152.085005364497"/>
    <n v="140947.50601931199"/>
  </r>
  <r>
    <x v="0"/>
    <x v="0"/>
    <x v="0"/>
    <x v="7"/>
    <x v="14"/>
    <s v="NO4_A1"/>
    <x v="6"/>
    <x v="7"/>
    <s v="GNR_RES_WTR_NOPMP_MC-05"/>
    <x v="0"/>
    <x v="7"/>
    <n v="153.41556737163299"/>
    <n v="55996.6820906461"/>
    <n v="201588.055526326"/>
  </r>
  <r>
    <x v="0"/>
    <x v="0"/>
    <x v="0"/>
    <x v="7"/>
    <x v="14"/>
    <s v="NO4_A1"/>
    <x v="6"/>
    <x v="7"/>
    <s v="GNR_RES_WTR_NOPMP_MC-05"/>
    <x v="0"/>
    <x v="8"/>
    <n v="419.56363678000798"/>
    <n v="153140.72742470301"/>
    <n v="551306.61872893095"/>
  </r>
  <r>
    <x v="0"/>
    <x v="0"/>
    <x v="0"/>
    <x v="7"/>
    <x v="14"/>
    <s v="NO4_A1"/>
    <x v="6"/>
    <x v="7"/>
    <s v="GNR_RES_WTR_NOPMP_MC-05"/>
    <x v="0"/>
    <x v="0"/>
    <n v="419.56363678000798"/>
    <n v="153140.72742470301"/>
    <n v="551306.61872893095"/>
  </r>
  <r>
    <x v="0"/>
    <x v="0"/>
    <x v="0"/>
    <x v="7"/>
    <x v="14"/>
    <s v="NO4_A1"/>
    <x v="6"/>
    <x v="7"/>
    <s v="GNR_RES_WTR_NOPMP_MC-05"/>
    <x v="0"/>
    <x v="1"/>
    <n v="419.56363678000798"/>
    <n v="153140.72742470301"/>
    <n v="551306.61872893095"/>
  </r>
  <r>
    <x v="0"/>
    <x v="0"/>
    <x v="0"/>
    <x v="7"/>
    <x v="14"/>
    <s v="NO4_A1"/>
    <x v="6"/>
    <x v="7"/>
    <s v="GNR_RES_WTR_NOPMP_MC-05"/>
    <x v="0"/>
    <x v="2"/>
    <n v="419.56363678000798"/>
    <n v="153140.72742470301"/>
    <n v="551306.61872893095"/>
  </r>
  <r>
    <x v="0"/>
    <x v="0"/>
    <x v="0"/>
    <x v="7"/>
    <x v="14"/>
    <s v="NO4_A1"/>
    <x v="6"/>
    <x v="7"/>
    <s v="GNR_RES_WTR_NOPMP_MC-05"/>
    <x v="0"/>
    <x v="9"/>
    <n v="419.56363678000798"/>
    <n v="153140.72742470301"/>
    <n v="551306.61872893095"/>
  </r>
  <r>
    <x v="0"/>
    <x v="0"/>
    <x v="0"/>
    <x v="7"/>
    <x v="14"/>
    <s v="NO4_A1"/>
    <x v="6"/>
    <x v="7"/>
    <s v="GNR_RES_WTR_NOPMP_MC-05"/>
    <x v="0"/>
    <x v="10"/>
    <n v="419.56363678000798"/>
    <n v="153140.72742470301"/>
    <n v="551306.61872893095"/>
  </r>
  <r>
    <x v="0"/>
    <x v="0"/>
    <x v="0"/>
    <x v="7"/>
    <x v="14"/>
    <s v="NO4_A1"/>
    <x v="6"/>
    <x v="7"/>
    <s v="GNR_RES_WTR_NOPMP_MC-05"/>
    <x v="0"/>
    <x v="11"/>
    <n v="419.56363678000798"/>
    <n v="153140.72742470301"/>
    <n v="551306.61872893095"/>
  </r>
  <r>
    <x v="0"/>
    <x v="0"/>
    <x v="0"/>
    <x v="7"/>
    <x v="14"/>
    <s v="NO4_A1"/>
    <x v="6"/>
    <x v="7"/>
    <s v="GNR_RES_WTR_NOPMP_MC-05"/>
    <x v="0"/>
    <x v="12"/>
    <n v="419.56363678000798"/>
    <n v="153140.72742470301"/>
    <n v="551306.61872893095"/>
  </r>
  <r>
    <x v="0"/>
    <x v="0"/>
    <x v="0"/>
    <x v="7"/>
    <x v="14"/>
    <s v="NO4_A1"/>
    <x v="6"/>
    <x v="7"/>
    <s v="GNR_RES_WTR_NOPMP_MC-05"/>
    <x v="0"/>
    <x v="13"/>
    <n v="419.56363678000798"/>
    <n v="153140.72742470301"/>
    <n v="551306.61872893095"/>
  </r>
  <r>
    <x v="0"/>
    <x v="0"/>
    <x v="0"/>
    <x v="7"/>
    <x v="14"/>
    <s v="NO4_A1"/>
    <x v="6"/>
    <x v="7"/>
    <s v="GNR_RES_WTR_NOPMP_MC-05"/>
    <x v="0"/>
    <x v="14"/>
    <n v="419.56363678000798"/>
    <n v="153140.72742470301"/>
    <n v="551306.61872893095"/>
  </r>
  <r>
    <x v="0"/>
    <x v="0"/>
    <x v="0"/>
    <x v="7"/>
    <x v="14"/>
    <s v="NO4_A1"/>
    <x v="6"/>
    <x v="7"/>
    <s v="GNR_RES_WTR_NOPMP_MC-05"/>
    <x v="0"/>
    <x v="15"/>
    <n v="419.56363678000798"/>
    <n v="153140.72742470301"/>
    <n v="551306.61872893095"/>
  </r>
  <r>
    <x v="0"/>
    <x v="0"/>
    <x v="0"/>
    <x v="7"/>
    <x v="14"/>
    <s v="NO4_A1"/>
    <x v="6"/>
    <x v="7"/>
    <s v="GNR_RES_WTR_NOPMP_MC-05"/>
    <x v="0"/>
    <x v="16"/>
    <n v="419.56363678000798"/>
    <n v="153140.72742470301"/>
    <n v="551306.61872893095"/>
  </r>
  <r>
    <x v="0"/>
    <x v="0"/>
    <x v="0"/>
    <x v="7"/>
    <x v="14"/>
    <s v="NO4_A1"/>
    <x v="6"/>
    <x v="7"/>
    <s v="GNR_RES_WTR_NOPMP_MC-05"/>
    <x v="0"/>
    <x v="17"/>
    <n v="419.56363678000798"/>
    <n v="153140.72742470301"/>
    <n v="551306.61872893095"/>
  </r>
  <r>
    <x v="0"/>
    <x v="0"/>
    <x v="0"/>
    <x v="7"/>
    <x v="14"/>
    <s v="NO4_A1"/>
    <x v="6"/>
    <x v="7"/>
    <s v="GNR_RES_WTR_NOPMP_MC-05"/>
    <x v="0"/>
    <x v="18"/>
    <n v="419.56363678000798"/>
    <n v="153140.72742470301"/>
    <n v="551306.61872893095"/>
  </r>
  <r>
    <x v="0"/>
    <x v="0"/>
    <x v="0"/>
    <x v="7"/>
    <x v="14"/>
    <s v="NO4_A1"/>
    <x v="6"/>
    <x v="7"/>
    <s v="GNR_RES_WTR_NOPMP_MC-05"/>
    <x v="0"/>
    <x v="19"/>
    <n v="419.56363678000798"/>
    <n v="153140.72742470301"/>
    <n v="551306.61872893095"/>
  </r>
  <r>
    <x v="0"/>
    <x v="0"/>
    <x v="0"/>
    <x v="7"/>
    <x v="14"/>
    <s v="NO4_A1"/>
    <x v="6"/>
    <x v="7"/>
    <s v="GNR_RES_WTR_NOPMP_MC-05"/>
    <x v="0"/>
    <x v="20"/>
    <n v="419.56363678000798"/>
    <n v="153140.72742470301"/>
    <n v="551306.61872893095"/>
  </r>
  <r>
    <x v="0"/>
    <x v="0"/>
    <x v="0"/>
    <x v="7"/>
    <x v="14"/>
    <s v="NO4_A1"/>
    <x v="6"/>
    <x v="7"/>
    <s v="GNR_RES_WTR_NOPMP_MC-05"/>
    <x v="0"/>
    <x v="21"/>
    <n v="379.18378750568399"/>
    <n v="138402.082439575"/>
    <n v="498247.49678246898"/>
  </r>
  <r>
    <x v="0"/>
    <x v="0"/>
    <x v="0"/>
    <x v="7"/>
    <x v="14"/>
    <s v="NO4_A1"/>
    <x v="6"/>
    <x v="7"/>
    <s v="GNR_RES_WTR_NOPMP_MC-05"/>
    <x v="0"/>
    <x v="22"/>
    <n v="150.788478287483"/>
    <n v="55037.794574931097"/>
    <n v="198136.060469752"/>
  </r>
  <r>
    <x v="0"/>
    <x v="0"/>
    <x v="0"/>
    <x v="7"/>
    <x v="14"/>
    <s v="NO4_A1"/>
    <x v="6"/>
    <x v="7"/>
    <s v="GNR_RES_WTR_NOPMP_MC-06"/>
    <x v="0"/>
    <x v="0"/>
    <n v="419.56363678000798"/>
    <n v="153140.72742470301"/>
    <n v="551306.61872893095"/>
  </r>
  <r>
    <x v="0"/>
    <x v="0"/>
    <x v="0"/>
    <x v="7"/>
    <x v="14"/>
    <s v="NO4_A1"/>
    <x v="6"/>
    <x v="7"/>
    <s v="GNR_RES_WTR_NOPMP_MC-06"/>
    <x v="0"/>
    <x v="1"/>
    <n v="419.56363678000798"/>
    <n v="153140.72742470301"/>
    <n v="551306.61872893095"/>
  </r>
  <r>
    <x v="0"/>
    <x v="0"/>
    <x v="0"/>
    <x v="7"/>
    <x v="14"/>
    <s v="NO4_A1"/>
    <x v="6"/>
    <x v="7"/>
    <s v="GNR_RES_WTR_NOPMP_MC-06"/>
    <x v="0"/>
    <x v="2"/>
    <n v="419.56363678000798"/>
    <n v="153140.72742470301"/>
    <n v="551306.61872893095"/>
  </r>
  <r>
    <x v="0"/>
    <x v="0"/>
    <x v="0"/>
    <x v="7"/>
    <x v="14"/>
    <s v="NO4_A1"/>
    <x v="6"/>
    <x v="7"/>
    <s v="GNR_RES_WTR_NOPMP_MC-06"/>
    <x v="0"/>
    <x v="9"/>
    <n v="419.56363678000798"/>
    <n v="153140.72742470301"/>
    <n v="551306.61872893095"/>
  </r>
  <r>
    <x v="0"/>
    <x v="0"/>
    <x v="0"/>
    <x v="7"/>
    <x v="14"/>
    <s v="NO4_A1"/>
    <x v="6"/>
    <x v="7"/>
    <s v="GNR_RES_WTR_NOPMP_MC-06"/>
    <x v="0"/>
    <x v="10"/>
    <n v="419.56363678000798"/>
    <n v="153140.72742470301"/>
    <n v="551306.61872893095"/>
  </r>
  <r>
    <x v="0"/>
    <x v="0"/>
    <x v="0"/>
    <x v="7"/>
    <x v="14"/>
    <s v="NO4_A1"/>
    <x v="6"/>
    <x v="7"/>
    <s v="GNR_RES_WTR_NOPMP_MC-06"/>
    <x v="0"/>
    <x v="11"/>
    <n v="419.56363678000798"/>
    <n v="153140.72742470301"/>
    <n v="551306.61872893095"/>
  </r>
  <r>
    <x v="0"/>
    <x v="0"/>
    <x v="0"/>
    <x v="7"/>
    <x v="14"/>
    <s v="NO4_A1"/>
    <x v="6"/>
    <x v="7"/>
    <s v="GNR_RES_WTR_NOPMP_MC-06"/>
    <x v="0"/>
    <x v="12"/>
    <n v="419.56363678000798"/>
    <n v="153140.72742470301"/>
    <n v="551306.61872893095"/>
  </r>
  <r>
    <x v="0"/>
    <x v="0"/>
    <x v="0"/>
    <x v="7"/>
    <x v="14"/>
    <s v="NO4_A1"/>
    <x v="6"/>
    <x v="7"/>
    <s v="GNR_RES_WTR_NOPMP_MC-06"/>
    <x v="0"/>
    <x v="13"/>
    <n v="419.56363678000798"/>
    <n v="153140.72742470301"/>
    <n v="551306.61872893095"/>
  </r>
  <r>
    <x v="0"/>
    <x v="0"/>
    <x v="0"/>
    <x v="7"/>
    <x v="14"/>
    <s v="NO4_A1"/>
    <x v="6"/>
    <x v="7"/>
    <s v="GNR_RES_WTR_NOPMP_MC-06"/>
    <x v="0"/>
    <x v="14"/>
    <n v="419.56363678000798"/>
    <n v="153140.72742470301"/>
    <n v="551306.61872893095"/>
  </r>
  <r>
    <x v="0"/>
    <x v="0"/>
    <x v="0"/>
    <x v="7"/>
    <x v="14"/>
    <s v="NO4_A1"/>
    <x v="6"/>
    <x v="7"/>
    <s v="GNR_RES_WTR_NOPMP_MC-06"/>
    <x v="0"/>
    <x v="15"/>
    <n v="419.56363678000798"/>
    <n v="153140.72742470301"/>
    <n v="551306.61872893095"/>
  </r>
  <r>
    <x v="0"/>
    <x v="0"/>
    <x v="0"/>
    <x v="7"/>
    <x v="14"/>
    <s v="NO4_A1"/>
    <x v="6"/>
    <x v="7"/>
    <s v="GNR_RES_WTR_NOPMP_MC-06"/>
    <x v="0"/>
    <x v="16"/>
    <n v="419.56363678000798"/>
    <n v="153140.72742470301"/>
    <n v="551306.61872893095"/>
  </r>
  <r>
    <x v="0"/>
    <x v="0"/>
    <x v="0"/>
    <x v="7"/>
    <x v="14"/>
    <s v="NO4_A1"/>
    <x v="6"/>
    <x v="7"/>
    <s v="GNR_RES_WTR_NOPMP_MC-06"/>
    <x v="0"/>
    <x v="17"/>
    <n v="419.56363678000798"/>
    <n v="153140.72742470301"/>
    <n v="551306.61872893095"/>
  </r>
  <r>
    <x v="0"/>
    <x v="0"/>
    <x v="0"/>
    <x v="7"/>
    <x v="14"/>
    <s v="NO4_A1"/>
    <x v="6"/>
    <x v="7"/>
    <s v="GNR_RES_WTR_NOPMP_MC-06"/>
    <x v="0"/>
    <x v="18"/>
    <n v="419.56363678000798"/>
    <n v="153140.72742470301"/>
    <n v="551306.61872893095"/>
  </r>
  <r>
    <x v="0"/>
    <x v="0"/>
    <x v="0"/>
    <x v="7"/>
    <x v="14"/>
    <s v="NO4_A1"/>
    <x v="6"/>
    <x v="7"/>
    <s v="GNR_RES_WTR_NOPMP_MC-06"/>
    <x v="0"/>
    <x v="19"/>
    <n v="419.56363678000798"/>
    <n v="153140.72742470301"/>
    <n v="551306.61872893095"/>
  </r>
  <r>
    <x v="0"/>
    <x v="0"/>
    <x v="0"/>
    <x v="7"/>
    <x v="14"/>
    <s v="NO4_A1"/>
    <x v="6"/>
    <x v="7"/>
    <s v="GNR_RES_WTR_NOPMP_MC-06"/>
    <x v="0"/>
    <x v="20"/>
    <n v="69.740856318851698"/>
    <n v="25455.412556380899"/>
    <n v="91639.485202971206"/>
  </r>
  <r>
    <x v="0"/>
    <x v="0"/>
    <x v="0"/>
    <x v="7"/>
    <x v="14"/>
    <s v="NO4_A1"/>
    <x v="6"/>
    <x v="7"/>
    <s v="GNR_RES_WTR_NOPMP_MC-07"/>
    <x v="0"/>
    <x v="0"/>
    <n v="230.09245891040899"/>
    <n v="83983.7475022992"/>
    <n v="302341.49100827699"/>
  </r>
  <r>
    <x v="0"/>
    <x v="0"/>
    <x v="0"/>
    <x v="7"/>
    <x v="14"/>
    <s v="NO4_A1"/>
    <x v="6"/>
    <x v="7"/>
    <s v="GNR_RES_WTR_NOPMP_MC-07"/>
    <x v="0"/>
    <x v="1"/>
    <n v="357.87549335501501"/>
    <n v="130624.555074581"/>
    <n v="470248.39826848998"/>
  </r>
  <r>
    <x v="0"/>
    <x v="0"/>
    <x v="0"/>
    <x v="7"/>
    <x v="14"/>
    <s v="NO4_A1"/>
    <x v="6"/>
    <x v="7"/>
    <s v="GNR_RES_WTR_NOPMP_MC-07"/>
    <x v="0"/>
    <x v="2"/>
    <n v="419.56363678000798"/>
    <n v="153140.72742470301"/>
    <n v="551306.61872893095"/>
  </r>
  <r>
    <x v="0"/>
    <x v="0"/>
    <x v="0"/>
    <x v="7"/>
    <x v="14"/>
    <s v="NO4_A1"/>
    <x v="6"/>
    <x v="7"/>
    <s v="GNR_RES_WTR_NOPMP_MC-07"/>
    <x v="0"/>
    <x v="9"/>
    <n v="419.56363678000798"/>
    <n v="153140.72742470301"/>
    <n v="551306.61872893095"/>
  </r>
  <r>
    <x v="0"/>
    <x v="0"/>
    <x v="0"/>
    <x v="7"/>
    <x v="14"/>
    <s v="NO4_A1"/>
    <x v="6"/>
    <x v="7"/>
    <s v="GNR_RES_WTR_NOPMP_MC-07"/>
    <x v="0"/>
    <x v="10"/>
    <n v="419.56363678000798"/>
    <n v="153140.72742470301"/>
    <n v="551306.61872893095"/>
  </r>
  <r>
    <x v="0"/>
    <x v="0"/>
    <x v="0"/>
    <x v="7"/>
    <x v="14"/>
    <s v="NO4_A1"/>
    <x v="6"/>
    <x v="7"/>
    <s v="GNR_RES_WTR_NOPMP_MC-07"/>
    <x v="0"/>
    <x v="11"/>
    <n v="405.22109702566098"/>
    <n v="147905.700414366"/>
    <n v="532460.52149171894"/>
  </r>
  <r>
    <x v="0"/>
    <x v="0"/>
    <x v="0"/>
    <x v="7"/>
    <x v="14"/>
    <s v="NO4_A1"/>
    <x v="6"/>
    <x v="7"/>
    <s v="GNR_RES_WTR_NOPMP_MC-07"/>
    <x v="0"/>
    <x v="12"/>
    <n v="165.09291869311301"/>
    <n v="60258.9153229863"/>
    <n v="216932.09516275101"/>
  </r>
  <r>
    <x v="0"/>
    <x v="0"/>
    <x v="0"/>
    <x v="7"/>
    <x v="14"/>
    <s v="NO4_A1"/>
    <x v="6"/>
    <x v="7"/>
    <s v="GNR_RES_WTR_NOPMP_MC-07"/>
    <x v="0"/>
    <x v="14"/>
    <n v="413.243584690479"/>
    <n v="150833.90841202499"/>
    <n v="543002.07028329"/>
  </r>
  <r>
    <x v="0"/>
    <x v="0"/>
    <x v="0"/>
    <x v="7"/>
    <x v="14"/>
    <s v="NO4_A1"/>
    <x v="6"/>
    <x v="7"/>
    <s v="GNR_RES_WTR_NOPMP_MC-07"/>
    <x v="0"/>
    <x v="15"/>
    <n v="248.49878779557801"/>
    <n v="90702.057545385993"/>
    <n v="326527.40716338903"/>
  </r>
  <r>
    <x v="0"/>
    <x v="0"/>
    <x v="0"/>
    <x v="7"/>
    <x v="14"/>
    <s v="NO4_A1"/>
    <x v="6"/>
    <x v="7"/>
    <s v="GNR_RES_WTR_NOPMP_MC-07"/>
    <x v="0"/>
    <x v="16"/>
    <n v="419.56363678000798"/>
    <n v="153140.72742470301"/>
    <n v="551306.61872893095"/>
  </r>
  <r>
    <x v="0"/>
    <x v="0"/>
    <x v="0"/>
    <x v="7"/>
    <x v="14"/>
    <s v="NO4_A1"/>
    <x v="6"/>
    <x v="7"/>
    <s v="GNR_RES_WTR_NOPMP_MC-07"/>
    <x v="0"/>
    <x v="17"/>
    <n v="377.45428377279899"/>
    <n v="137770.813577072"/>
    <n v="495974.92887745798"/>
  </r>
  <r>
    <x v="0"/>
    <x v="0"/>
    <x v="0"/>
    <x v="7"/>
    <x v="14"/>
    <s v="NO4_A1"/>
    <x v="6"/>
    <x v="7"/>
    <s v="GNR_RES_WTR_NOPMP_MC-08"/>
    <x v="0"/>
    <x v="2"/>
    <n v="63.724521490403703"/>
    <n v="23259.4503439974"/>
    <n v="83734.021238390502"/>
  </r>
  <r>
    <x v="0"/>
    <x v="0"/>
    <x v="0"/>
    <x v="7"/>
    <x v="14"/>
    <s v="NO4_A1"/>
    <x v="6"/>
    <x v="7"/>
    <s v="GNR_RES_WTR_NOPMP_MC-08"/>
    <x v="0"/>
    <x v="9"/>
    <n v="65.508626154649406"/>
    <n v="23910.648546446999"/>
    <n v="86078.334767209293"/>
  </r>
  <r>
    <x v="0"/>
    <x v="0"/>
    <x v="0"/>
    <x v="7"/>
    <x v="14"/>
    <s v="NO4_A1"/>
    <x v="6"/>
    <x v="4"/>
    <s v="GNR_ROR_WTR"/>
    <x v="0"/>
    <x v="3"/>
    <n v="366.70762376241902"/>
    <n v="133848.28267328301"/>
    <n v="481853.81762381899"/>
  </r>
  <r>
    <x v="0"/>
    <x v="0"/>
    <x v="0"/>
    <x v="7"/>
    <x v="14"/>
    <s v="NO4_A1"/>
    <x v="6"/>
    <x v="4"/>
    <s v="GNR_ROR_WTR"/>
    <x v="0"/>
    <x v="4"/>
    <n v="366.70762376241902"/>
    <n v="133848.28267328301"/>
    <n v="481853.81762381899"/>
  </r>
  <r>
    <x v="0"/>
    <x v="0"/>
    <x v="0"/>
    <x v="7"/>
    <x v="14"/>
    <s v="NO4_A1"/>
    <x v="6"/>
    <x v="4"/>
    <s v="GNR_ROR_WTR"/>
    <x v="0"/>
    <x v="5"/>
    <n v="366.70762376241902"/>
    <n v="133848.28267328301"/>
    <n v="481853.81762381899"/>
  </r>
  <r>
    <x v="0"/>
    <x v="0"/>
    <x v="0"/>
    <x v="7"/>
    <x v="14"/>
    <s v="NO4_A1"/>
    <x v="6"/>
    <x v="4"/>
    <s v="GNR_ROR_WTR"/>
    <x v="0"/>
    <x v="6"/>
    <n v="366.70762376241902"/>
    <n v="133848.28267328301"/>
    <n v="481853.81762381899"/>
  </r>
  <r>
    <x v="0"/>
    <x v="0"/>
    <x v="0"/>
    <x v="7"/>
    <x v="14"/>
    <s v="NO4_A1"/>
    <x v="6"/>
    <x v="4"/>
    <s v="GNR_ROR_WTR"/>
    <x v="0"/>
    <x v="7"/>
    <n v="366.70762376241902"/>
    <n v="133848.28267328301"/>
    <n v="481853.81762381899"/>
  </r>
  <r>
    <x v="0"/>
    <x v="0"/>
    <x v="0"/>
    <x v="7"/>
    <x v="14"/>
    <s v="NO4_A1"/>
    <x v="6"/>
    <x v="4"/>
    <s v="GNR_ROR_WTR"/>
    <x v="0"/>
    <x v="8"/>
    <n v="366.70762376241902"/>
    <n v="133848.28267328301"/>
    <n v="481853.81762381899"/>
  </r>
  <r>
    <x v="0"/>
    <x v="0"/>
    <x v="0"/>
    <x v="7"/>
    <x v="14"/>
    <s v="NO4_A1"/>
    <x v="6"/>
    <x v="4"/>
    <s v="GNR_ROR_WTR"/>
    <x v="0"/>
    <x v="0"/>
    <n v="366.70762376241902"/>
    <n v="133848.28267328301"/>
    <n v="481853.81762381899"/>
  </r>
  <r>
    <x v="0"/>
    <x v="0"/>
    <x v="0"/>
    <x v="7"/>
    <x v="14"/>
    <s v="NO4_A1"/>
    <x v="6"/>
    <x v="4"/>
    <s v="GNR_ROR_WTR"/>
    <x v="0"/>
    <x v="1"/>
    <n v="366.70762376241902"/>
    <n v="133848.28267328301"/>
    <n v="481853.81762381899"/>
  </r>
  <r>
    <x v="0"/>
    <x v="0"/>
    <x v="0"/>
    <x v="7"/>
    <x v="14"/>
    <s v="NO4_A1"/>
    <x v="6"/>
    <x v="4"/>
    <s v="GNR_ROR_WTR"/>
    <x v="0"/>
    <x v="2"/>
    <n v="366.70762376241902"/>
    <n v="133848.28267328301"/>
    <n v="481853.81762381899"/>
  </r>
  <r>
    <x v="0"/>
    <x v="0"/>
    <x v="0"/>
    <x v="7"/>
    <x v="14"/>
    <s v="NO4_A1"/>
    <x v="6"/>
    <x v="4"/>
    <s v="GNR_ROR_WTR"/>
    <x v="0"/>
    <x v="9"/>
    <n v="366.70762376241902"/>
    <n v="133848.28267328301"/>
    <n v="481853.81762381899"/>
  </r>
  <r>
    <x v="0"/>
    <x v="0"/>
    <x v="0"/>
    <x v="7"/>
    <x v="14"/>
    <s v="NO4_A1"/>
    <x v="6"/>
    <x v="4"/>
    <s v="GNR_ROR_WTR"/>
    <x v="0"/>
    <x v="10"/>
    <n v="366.70762376241902"/>
    <n v="133848.28267328301"/>
    <n v="481853.81762381899"/>
  </r>
  <r>
    <x v="0"/>
    <x v="0"/>
    <x v="0"/>
    <x v="7"/>
    <x v="14"/>
    <s v="NO4_A1"/>
    <x v="6"/>
    <x v="4"/>
    <s v="GNR_ROR_WTR"/>
    <x v="0"/>
    <x v="11"/>
    <n v="366.70762376241902"/>
    <n v="133848.28267328301"/>
    <n v="481853.81762381899"/>
  </r>
  <r>
    <x v="0"/>
    <x v="0"/>
    <x v="0"/>
    <x v="7"/>
    <x v="14"/>
    <s v="NO4_A1"/>
    <x v="6"/>
    <x v="4"/>
    <s v="GNR_ROR_WTR"/>
    <x v="0"/>
    <x v="12"/>
    <n v="366.70762376241902"/>
    <n v="133848.28267328301"/>
    <n v="481853.81762381899"/>
  </r>
  <r>
    <x v="0"/>
    <x v="0"/>
    <x v="0"/>
    <x v="7"/>
    <x v="14"/>
    <s v="NO4_A1"/>
    <x v="6"/>
    <x v="4"/>
    <s v="GNR_ROR_WTR"/>
    <x v="0"/>
    <x v="13"/>
    <n v="366.70762376241902"/>
    <n v="133848.28267328301"/>
    <n v="481853.81762381899"/>
  </r>
  <r>
    <x v="0"/>
    <x v="0"/>
    <x v="0"/>
    <x v="7"/>
    <x v="14"/>
    <s v="NO4_A1"/>
    <x v="6"/>
    <x v="4"/>
    <s v="GNR_ROR_WTR"/>
    <x v="0"/>
    <x v="14"/>
    <n v="366.70762376241902"/>
    <n v="133848.28267328301"/>
    <n v="481853.81762381899"/>
  </r>
  <r>
    <x v="0"/>
    <x v="0"/>
    <x v="0"/>
    <x v="7"/>
    <x v="14"/>
    <s v="NO4_A1"/>
    <x v="6"/>
    <x v="4"/>
    <s v="GNR_ROR_WTR"/>
    <x v="0"/>
    <x v="15"/>
    <n v="366.70762376241902"/>
    <n v="133848.28267328301"/>
    <n v="481853.81762381899"/>
  </r>
  <r>
    <x v="0"/>
    <x v="0"/>
    <x v="0"/>
    <x v="7"/>
    <x v="14"/>
    <s v="NO4_A1"/>
    <x v="6"/>
    <x v="4"/>
    <s v="GNR_ROR_WTR"/>
    <x v="0"/>
    <x v="16"/>
    <n v="366.70762376241902"/>
    <n v="133848.28267328301"/>
    <n v="481853.81762381899"/>
  </r>
  <r>
    <x v="0"/>
    <x v="0"/>
    <x v="0"/>
    <x v="7"/>
    <x v="14"/>
    <s v="NO4_A1"/>
    <x v="6"/>
    <x v="4"/>
    <s v="GNR_ROR_WTR"/>
    <x v="0"/>
    <x v="17"/>
    <n v="366.70762376241902"/>
    <n v="133848.28267328301"/>
    <n v="481853.81762381899"/>
  </r>
  <r>
    <x v="0"/>
    <x v="0"/>
    <x v="0"/>
    <x v="7"/>
    <x v="14"/>
    <s v="NO4_A1"/>
    <x v="6"/>
    <x v="4"/>
    <s v="GNR_ROR_WTR"/>
    <x v="0"/>
    <x v="18"/>
    <n v="366.70762376241902"/>
    <n v="133848.28267328301"/>
    <n v="481853.81762381899"/>
  </r>
  <r>
    <x v="0"/>
    <x v="0"/>
    <x v="0"/>
    <x v="7"/>
    <x v="14"/>
    <s v="NO4_A1"/>
    <x v="6"/>
    <x v="4"/>
    <s v="GNR_ROR_WTR"/>
    <x v="0"/>
    <x v="19"/>
    <n v="366.70762376241902"/>
    <n v="133848.28267328301"/>
    <n v="481853.81762381899"/>
  </r>
  <r>
    <x v="0"/>
    <x v="0"/>
    <x v="0"/>
    <x v="7"/>
    <x v="14"/>
    <s v="NO4_A1"/>
    <x v="6"/>
    <x v="4"/>
    <s v="GNR_ROR_WTR"/>
    <x v="0"/>
    <x v="20"/>
    <n v="366.70762376241902"/>
    <n v="133848.28267328301"/>
    <n v="481853.81762381899"/>
  </r>
  <r>
    <x v="0"/>
    <x v="0"/>
    <x v="0"/>
    <x v="7"/>
    <x v="14"/>
    <s v="NO4_A1"/>
    <x v="6"/>
    <x v="4"/>
    <s v="GNR_ROR_WTR"/>
    <x v="0"/>
    <x v="21"/>
    <n v="366.70762376241902"/>
    <n v="133848.28267328301"/>
    <n v="481853.81762381899"/>
  </r>
  <r>
    <x v="0"/>
    <x v="0"/>
    <x v="0"/>
    <x v="7"/>
    <x v="14"/>
    <s v="NO4_A1"/>
    <x v="6"/>
    <x v="4"/>
    <s v="GNR_ROR_WTR"/>
    <x v="0"/>
    <x v="22"/>
    <n v="366.70762376241902"/>
    <n v="133848.28267328301"/>
    <n v="481853.81762381899"/>
  </r>
  <r>
    <x v="0"/>
    <x v="0"/>
    <x v="0"/>
    <x v="7"/>
    <x v="14"/>
    <s v="NO4_A1"/>
    <x v="6"/>
    <x v="4"/>
    <s v="GNR_ROR_WTR"/>
    <x v="0"/>
    <x v="23"/>
    <n v="366.70762376241902"/>
    <n v="133848.28267328301"/>
    <n v="481853.81762381899"/>
  </r>
  <r>
    <x v="0"/>
    <x v="0"/>
    <x v="0"/>
    <x v="7"/>
    <x v="14"/>
    <s v="NO4_A1"/>
    <x v="7"/>
    <x v="5"/>
    <s v="GNR_WT_WIND_ONS"/>
    <x v="0"/>
    <x v="3"/>
    <n v="24.637221848266801"/>
    <n v="8992.5859746173701"/>
    <n v="32373.3095086225"/>
  </r>
  <r>
    <x v="0"/>
    <x v="0"/>
    <x v="0"/>
    <x v="7"/>
    <x v="14"/>
    <s v="NO4_A1"/>
    <x v="7"/>
    <x v="5"/>
    <s v="GNR_WT_WIND_ONS"/>
    <x v="0"/>
    <x v="4"/>
    <n v="44.268222672135103"/>
    <n v="16157.901275329299"/>
    <n v="58168.4445911855"/>
  </r>
  <r>
    <x v="0"/>
    <x v="0"/>
    <x v="0"/>
    <x v="7"/>
    <x v="14"/>
    <s v="NO4_A1"/>
    <x v="7"/>
    <x v="5"/>
    <s v="GNR_WT_WIND_ONS"/>
    <x v="0"/>
    <x v="5"/>
    <n v="47.737199532540401"/>
    <n v="17424.077829377198"/>
    <n v="62726.680185758101"/>
  </r>
  <r>
    <x v="0"/>
    <x v="0"/>
    <x v="0"/>
    <x v="7"/>
    <x v="14"/>
    <s v="NO4_A1"/>
    <x v="7"/>
    <x v="5"/>
    <s v="GNR_WT_WIND_ONS"/>
    <x v="0"/>
    <x v="6"/>
    <n v="56.439331088370103"/>
    <n v="20600.355847255101"/>
    <n v="74161.281050118399"/>
  </r>
  <r>
    <x v="0"/>
    <x v="0"/>
    <x v="0"/>
    <x v="7"/>
    <x v="14"/>
    <s v="NO4_A1"/>
    <x v="7"/>
    <x v="5"/>
    <s v="GNR_WT_WIND_ONS"/>
    <x v="0"/>
    <x v="7"/>
    <n v="54.715549196856799"/>
    <n v="19971.175456852699"/>
    <n v="71896.231644669897"/>
  </r>
  <r>
    <x v="0"/>
    <x v="0"/>
    <x v="0"/>
    <x v="7"/>
    <x v="14"/>
    <s v="NO4_A1"/>
    <x v="7"/>
    <x v="5"/>
    <s v="GNR_WT_WIND_ONS"/>
    <x v="0"/>
    <x v="8"/>
    <n v="70.370703727425095"/>
    <n v="25685.306860510202"/>
    <n v="92467.104697836505"/>
  </r>
  <r>
    <x v="0"/>
    <x v="0"/>
    <x v="0"/>
    <x v="7"/>
    <x v="14"/>
    <s v="NO4_A1"/>
    <x v="7"/>
    <x v="5"/>
    <s v="GNR_WT_WIND_ONS"/>
    <x v="0"/>
    <x v="0"/>
    <n v="84.703263416542299"/>
    <n v="30916.691147037898"/>
    <n v="111300.088129337"/>
  </r>
  <r>
    <x v="0"/>
    <x v="0"/>
    <x v="0"/>
    <x v="7"/>
    <x v="14"/>
    <s v="NO4_A1"/>
    <x v="7"/>
    <x v="5"/>
    <s v="GNR_WT_WIND_ONS"/>
    <x v="0"/>
    <x v="1"/>
    <n v="107.62409051559899"/>
    <n v="39282.793038193697"/>
    <n v="141418.05493749701"/>
  </r>
  <r>
    <x v="0"/>
    <x v="0"/>
    <x v="0"/>
    <x v="7"/>
    <x v="14"/>
    <s v="NO4_A1"/>
    <x v="7"/>
    <x v="5"/>
    <s v="GNR_WT_WIND_ONS"/>
    <x v="0"/>
    <x v="2"/>
    <n v="102.941038439049"/>
    <n v="37573.479030252798"/>
    <n v="135264.52450890999"/>
  </r>
  <r>
    <x v="0"/>
    <x v="0"/>
    <x v="0"/>
    <x v="7"/>
    <x v="14"/>
    <s v="NO4_A1"/>
    <x v="7"/>
    <x v="5"/>
    <s v="GNR_WT_WIND_ONS"/>
    <x v="0"/>
    <x v="9"/>
    <n v="106.985259911851"/>
    <n v="39049.619867825597"/>
    <n v="140578.631524172"/>
  </r>
  <r>
    <x v="0"/>
    <x v="0"/>
    <x v="0"/>
    <x v="7"/>
    <x v="14"/>
    <s v="NO4_A1"/>
    <x v="7"/>
    <x v="5"/>
    <s v="GNR_WT_WIND_ONS"/>
    <x v="0"/>
    <x v="10"/>
    <n v="108.40611305461999"/>
    <n v="39568.231264936199"/>
    <n v="142445.63255377"/>
  </r>
  <r>
    <x v="0"/>
    <x v="0"/>
    <x v="0"/>
    <x v="7"/>
    <x v="14"/>
    <s v="NO4_A1"/>
    <x v="7"/>
    <x v="5"/>
    <s v="GNR_WT_WIND_ONS"/>
    <x v="0"/>
    <x v="11"/>
    <n v="99.411533765130798"/>
    <n v="36285.209824272803"/>
    <n v="130626.75536738199"/>
  </r>
  <r>
    <x v="0"/>
    <x v="0"/>
    <x v="0"/>
    <x v="7"/>
    <x v="14"/>
    <s v="NO4_A1"/>
    <x v="7"/>
    <x v="5"/>
    <s v="GNR_WT_WIND_ONS"/>
    <x v="0"/>
    <x v="12"/>
    <n v="98.957270901337296"/>
    <n v="36119.403878988101"/>
    <n v="130029.853964357"/>
  </r>
  <r>
    <x v="0"/>
    <x v="0"/>
    <x v="0"/>
    <x v="7"/>
    <x v="14"/>
    <s v="NO4_A1"/>
    <x v="7"/>
    <x v="5"/>
    <s v="GNR_WT_WIND_ONS"/>
    <x v="0"/>
    <x v="13"/>
    <n v="107.449364159128"/>
    <n v="39219.017918081801"/>
    <n v="141188.46450509501"/>
  </r>
  <r>
    <x v="0"/>
    <x v="0"/>
    <x v="0"/>
    <x v="7"/>
    <x v="14"/>
    <s v="NO4_A1"/>
    <x v="7"/>
    <x v="5"/>
    <s v="GNR_WT_WIND_ONS"/>
    <x v="0"/>
    <x v="14"/>
    <n v="123.028530844287"/>
    <n v="44905.413758164701"/>
    <n v="161659.489529393"/>
  </r>
  <r>
    <x v="0"/>
    <x v="0"/>
    <x v="0"/>
    <x v="7"/>
    <x v="14"/>
    <s v="NO4_A1"/>
    <x v="7"/>
    <x v="5"/>
    <s v="GNR_WT_WIND_ONS"/>
    <x v="0"/>
    <x v="15"/>
    <n v="126.733067109209"/>
    <n v="46257.5694948612"/>
    <n v="166527.25018150001"/>
  </r>
  <r>
    <x v="0"/>
    <x v="0"/>
    <x v="0"/>
    <x v="7"/>
    <x v="14"/>
    <s v="NO4_A1"/>
    <x v="7"/>
    <x v="5"/>
    <s v="GNR_WT_WIND_ONS"/>
    <x v="0"/>
    <x v="16"/>
    <n v="124.907200791783"/>
    <n v="45591.128289000902"/>
    <n v="164128.06184040301"/>
  </r>
  <r>
    <x v="0"/>
    <x v="0"/>
    <x v="0"/>
    <x v="7"/>
    <x v="14"/>
    <s v="NO4_A1"/>
    <x v="7"/>
    <x v="5"/>
    <s v="GNR_WT_WIND_ONS"/>
    <x v="0"/>
    <x v="17"/>
    <n v="110.23236042917"/>
    <n v="40234.811556646899"/>
    <n v="144845.32160392901"/>
  </r>
  <r>
    <x v="0"/>
    <x v="0"/>
    <x v="0"/>
    <x v="7"/>
    <x v="14"/>
    <s v="NO4_A1"/>
    <x v="7"/>
    <x v="5"/>
    <s v="GNR_WT_WIND_ONS"/>
    <x v="0"/>
    <x v="18"/>
    <n v="123.69390324323901"/>
    <n v="45148.274683782103"/>
    <n v="162533.78886161599"/>
  </r>
  <r>
    <x v="0"/>
    <x v="0"/>
    <x v="0"/>
    <x v="7"/>
    <x v="14"/>
    <s v="NO4_A1"/>
    <x v="7"/>
    <x v="5"/>
    <s v="GNR_WT_WIND_ONS"/>
    <x v="0"/>
    <x v="19"/>
    <n v="114.526154876649"/>
    <n v="41802.046529976797"/>
    <n v="150487.367507916"/>
  </r>
  <r>
    <x v="0"/>
    <x v="0"/>
    <x v="0"/>
    <x v="7"/>
    <x v="14"/>
    <s v="NO4_A1"/>
    <x v="7"/>
    <x v="5"/>
    <s v="GNR_WT_WIND_ONS"/>
    <x v="0"/>
    <x v="20"/>
    <n v="92.225904578588299"/>
    <n v="33662.455171184702"/>
    <n v="121184.838616265"/>
  </r>
  <r>
    <x v="0"/>
    <x v="0"/>
    <x v="0"/>
    <x v="7"/>
    <x v="14"/>
    <s v="NO4_A1"/>
    <x v="7"/>
    <x v="5"/>
    <s v="GNR_WT_WIND_ONS"/>
    <x v="0"/>
    <x v="21"/>
    <n v="71.814103398100301"/>
    <n v="26212.147740306598"/>
    <n v="94363.731865103706"/>
  </r>
  <r>
    <x v="0"/>
    <x v="0"/>
    <x v="0"/>
    <x v="7"/>
    <x v="14"/>
    <s v="NO4_A1"/>
    <x v="7"/>
    <x v="5"/>
    <s v="GNR_WT_WIND_ONS"/>
    <x v="0"/>
    <x v="22"/>
    <n v="130.615041846358"/>
    <n v="47674.490273920797"/>
    <n v="171628.16498611501"/>
  </r>
  <r>
    <x v="0"/>
    <x v="0"/>
    <x v="0"/>
    <x v="7"/>
    <x v="14"/>
    <s v="NO4_A1"/>
    <x v="7"/>
    <x v="5"/>
    <s v="GNR_WT_WIND_ONS"/>
    <x v="0"/>
    <x v="23"/>
    <n v="113.977570653765"/>
    <n v="41601.8132886241"/>
    <n v="149766.52783904699"/>
  </r>
  <r>
    <x v="0"/>
    <x v="0"/>
    <x v="0"/>
    <x v="7"/>
    <x v="15"/>
    <s v="NO5_A1"/>
    <x v="1"/>
    <x v="1"/>
    <s v="GBPR_MUNIWASTE"/>
    <x v="0"/>
    <x v="3"/>
    <n v="8"/>
    <n v="2920"/>
    <n v="10512"/>
  </r>
  <r>
    <x v="0"/>
    <x v="0"/>
    <x v="0"/>
    <x v="7"/>
    <x v="15"/>
    <s v="NO5_A1"/>
    <x v="1"/>
    <x v="1"/>
    <s v="GBPR_MUNIWASTE"/>
    <x v="0"/>
    <x v="4"/>
    <n v="8"/>
    <n v="2920"/>
    <n v="10512"/>
  </r>
  <r>
    <x v="0"/>
    <x v="0"/>
    <x v="0"/>
    <x v="7"/>
    <x v="15"/>
    <s v="NO5_A1"/>
    <x v="1"/>
    <x v="1"/>
    <s v="GBPR_MUNIWASTE"/>
    <x v="0"/>
    <x v="5"/>
    <n v="8"/>
    <n v="2920"/>
    <n v="10512"/>
  </r>
  <r>
    <x v="0"/>
    <x v="0"/>
    <x v="0"/>
    <x v="7"/>
    <x v="15"/>
    <s v="NO5_A1"/>
    <x v="1"/>
    <x v="1"/>
    <s v="GBPR_MUNIWASTE"/>
    <x v="0"/>
    <x v="6"/>
    <n v="8"/>
    <n v="2920"/>
    <n v="10512"/>
  </r>
  <r>
    <x v="0"/>
    <x v="0"/>
    <x v="0"/>
    <x v="7"/>
    <x v="15"/>
    <s v="NO5_A1"/>
    <x v="1"/>
    <x v="1"/>
    <s v="GBPR_MUNIWASTE"/>
    <x v="0"/>
    <x v="7"/>
    <n v="8"/>
    <n v="2920"/>
    <n v="10512"/>
  </r>
  <r>
    <x v="0"/>
    <x v="0"/>
    <x v="0"/>
    <x v="7"/>
    <x v="15"/>
    <s v="NO5_A1"/>
    <x v="1"/>
    <x v="1"/>
    <s v="GBPR_MUNIWASTE"/>
    <x v="0"/>
    <x v="8"/>
    <n v="8"/>
    <n v="2920"/>
    <n v="10512"/>
  </r>
  <r>
    <x v="0"/>
    <x v="0"/>
    <x v="0"/>
    <x v="7"/>
    <x v="15"/>
    <s v="NO5_A1"/>
    <x v="1"/>
    <x v="1"/>
    <s v="GBPR_MUNIWASTE"/>
    <x v="0"/>
    <x v="0"/>
    <n v="8"/>
    <n v="2920"/>
    <n v="10512"/>
  </r>
  <r>
    <x v="0"/>
    <x v="0"/>
    <x v="0"/>
    <x v="7"/>
    <x v="15"/>
    <s v="NO5_A1"/>
    <x v="1"/>
    <x v="1"/>
    <s v="GBPR_MUNIWASTE"/>
    <x v="0"/>
    <x v="1"/>
    <n v="8"/>
    <n v="2920"/>
    <n v="10512"/>
  </r>
  <r>
    <x v="0"/>
    <x v="0"/>
    <x v="0"/>
    <x v="7"/>
    <x v="15"/>
    <s v="NO5_A1"/>
    <x v="1"/>
    <x v="1"/>
    <s v="GBPR_MUNIWASTE"/>
    <x v="0"/>
    <x v="2"/>
    <n v="8"/>
    <n v="2920"/>
    <n v="10512"/>
  </r>
  <r>
    <x v="0"/>
    <x v="0"/>
    <x v="0"/>
    <x v="7"/>
    <x v="15"/>
    <s v="NO5_A1"/>
    <x v="1"/>
    <x v="1"/>
    <s v="GBPR_MUNIWASTE"/>
    <x v="0"/>
    <x v="9"/>
    <n v="8"/>
    <n v="2920"/>
    <n v="10512"/>
  </r>
  <r>
    <x v="0"/>
    <x v="0"/>
    <x v="0"/>
    <x v="7"/>
    <x v="15"/>
    <s v="NO5_A1"/>
    <x v="1"/>
    <x v="1"/>
    <s v="GBPR_MUNIWASTE"/>
    <x v="0"/>
    <x v="10"/>
    <n v="8"/>
    <n v="2920"/>
    <n v="10512"/>
  </r>
  <r>
    <x v="0"/>
    <x v="0"/>
    <x v="0"/>
    <x v="7"/>
    <x v="15"/>
    <s v="NO5_A1"/>
    <x v="1"/>
    <x v="1"/>
    <s v="GBPR_MUNIWASTE"/>
    <x v="0"/>
    <x v="11"/>
    <n v="8"/>
    <n v="2920"/>
    <n v="10512"/>
  </r>
  <r>
    <x v="0"/>
    <x v="0"/>
    <x v="0"/>
    <x v="7"/>
    <x v="15"/>
    <s v="NO5_A1"/>
    <x v="1"/>
    <x v="1"/>
    <s v="GBPR_MUNIWASTE"/>
    <x v="0"/>
    <x v="12"/>
    <n v="8"/>
    <n v="2920"/>
    <n v="10512"/>
  </r>
  <r>
    <x v="0"/>
    <x v="0"/>
    <x v="0"/>
    <x v="7"/>
    <x v="15"/>
    <s v="NO5_A1"/>
    <x v="1"/>
    <x v="1"/>
    <s v="GBPR_MUNIWASTE"/>
    <x v="0"/>
    <x v="13"/>
    <n v="8"/>
    <n v="2920"/>
    <n v="10512"/>
  </r>
  <r>
    <x v="0"/>
    <x v="0"/>
    <x v="0"/>
    <x v="7"/>
    <x v="15"/>
    <s v="NO5_A1"/>
    <x v="1"/>
    <x v="1"/>
    <s v="GBPR_MUNIWASTE"/>
    <x v="0"/>
    <x v="14"/>
    <n v="8"/>
    <n v="2920"/>
    <n v="10512"/>
  </r>
  <r>
    <x v="0"/>
    <x v="0"/>
    <x v="0"/>
    <x v="7"/>
    <x v="15"/>
    <s v="NO5_A1"/>
    <x v="1"/>
    <x v="1"/>
    <s v="GBPR_MUNIWASTE"/>
    <x v="0"/>
    <x v="15"/>
    <n v="8"/>
    <n v="2920"/>
    <n v="10512"/>
  </r>
  <r>
    <x v="0"/>
    <x v="0"/>
    <x v="0"/>
    <x v="7"/>
    <x v="15"/>
    <s v="NO5_A1"/>
    <x v="1"/>
    <x v="1"/>
    <s v="GBPR_MUNIWASTE"/>
    <x v="0"/>
    <x v="16"/>
    <n v="8"/>
    <n v="2920"/>
    <n v="10512"/>
  </r>
  <r>
    <x v="0"/>
    <x v="0"/>
    <x v="0"/>
    <x v="7"/>
    <x v="15"/>
    <s v="NO5_A1"/>
    <x v="1"/>
    <x v="1"/>
    <s v="GBPR_MUNIWASTE"/>
    <x v="0"/>
    <x v="17"/>
    <n v="8"/>
    <n v="2920"/>
    <n v="10512"/>
  </r>
  <r>
    <x v="0"/>
    <x v="0"/>
    <x v="0"/>
    <x v="7"/>
    <x v="15"/>
    <s v="NO5_A1"/>
    <x v="1"/>
    <x v="1"/>
    <s v="GBPR_MUNIWASTE"/>
    <x v="0"/>
    <x v="18"/>
    <n v="8"/>
    <n v="2920"/>
    <n v="10512"/>
  </r>
  <r>
    <x v="0"/>
    <x v="0"/>
    <x v="0"/>
    <x v="7"/>
    <x v="15"/>
    <s v="NO5_A1"/>
    <x v="1"/>
    <x v="1"/>
    <s v="GBPR_MUNIWASTE"/>
    <x v="0"/>
    <x v="19"/>
    <n v="8"/>
    <n v="2920"/>
    <n v="10512"/>
  </r>
  <r>
    <x v="0"/>
    <x v="0"/>
    <x v="0"/>
    <x v="7"/>
    <x v="15"/>
    <s v="NO5_A1"/>
    <x v="1"/>
    <x v="1"/>
    <s v="GBPR_MUNIWASTE"/>
    <x v="0"/>
    <x v="20"/>
    <n v="8"/>
    <n v="2920"/>
    <n v="10512"/>
  </r>
  <r>
    <x v="0"/>
    <x v="0"/>
    <x v="0"/>
    <x v="7"/>
    <x v="15"/>
    <s v="NO5_A1"/>
    <x v="1"/>
    <x v="1"/>
    <s v="GBPR_MUNIWASTE"/>
    <x v="0"/>
    <x v="21"/>
    <n v="8"/>
    <n v="2920"/>
    <n v="10512"/>
  </r>
  <r>
    <x v="0"/>
    <x v="0"/>
    <x v="0"/>
    <x v="7"/>
    <x v="15"/>
    <s v="NO5_A1"/>
    <x v="1"/>
    <x v="1"/>
    <s v="GBPR_MUNIWASTE"/>
    <x v="0"/>
    <x v="22"/>
    <n v="8"/>
    <n v="2920"/>
    <n v="10512"/>
  </r>
  <r>
    <x v="0"/>
    <x v="0"/>
    <x v="0"/>
    <x v="7"/>
    <x v="15"/>
    <s v="NO5_A1"/>
    <x v="1"/>
    <x v="1"/>
    <s v="GBPR_MUNIWASTE"/>
    <x v="0"/>
    <x v="23"/>
    <n v="8"/>
    <n v="2920"/>
    <n v="10512"/>
  </r>
  <r>
    <x v="0"/>
    <x v="0"/>
    <x v="0"/>
    <x v="7"/>
    <x v="15"/>
    <s v="NO5_A1"/>
    <x v="6"/>
    <x v="7"/>
    <s v="GNR_RES_WTR_NOPMP_MC-01"/>
    <x v="0"/>
    <x v="3"/>
    <n v="154.193241885916"/>
    <n v="56280.5332883593"/>
    <n v="202609.91983809401"/>
  </r>
  <r>
    <x v="0"/>
    <x v="0"/>
    <x v="0"/>
    <x v="7"/>
    <x v="15"/>
    <s v="NO5_A1"/>
    <x v="6"/>
    <x v="7"/>
    <s v="GNR_RES_WTR_NOPMP_MC-01"/>
    <x v="0"/>
    <x v="4"/>
    <n v="154.193241885916"/>
    <n v="56280.5332883593"/>
    <n v="202609.91983809401"/>
  </r>
  <r>
    <x v="0"/>
    <x v="0"/>
    <x v="0"/>
    <x v="7"/>
    <x v="15"/>
    <s v="NO5_A1"/>
    <x v="6"/>
    <x v="7"/>
    <s v="GNR_RES_WTR_NOPMP_MC-01"/>
    <x v="0"/>
    <x v="5"/>
    <n v="154.193241885916"/>
    <n v="56280.5332883593"/>
    <n v="202609.91983809401"/>
  </r>
  <r>
    <x v="0"/>
    <x v="0"/>
    <x v="0"/>
    <x v="7"/>
    <x v="15"/>
    <s v="NO5_A1"/>
    <x v="6"/>
    <x v="7"/>
    <s v="GNR_RES_WTR_NOPMP_MC-01"/>
    <x v="0"/>
    <x v="6"/>
    <n v="154.193241885916"/>
    <n v="56280.5332883593"/>
    <n v="202609.91983809401"/>
  </r>
  <r>
    <x v="0"/>
    <x v="0"/>
    <x v="0"/>
    <x v="7"/>
    <x v="15"/>
    <s v="NO5_A1"/>
    <x v="6"/>
    <x v="7"/>
    <s v="GNR_RES_WTR_NOPMP_MC-01"/>
    <x v="0"/>
    <x v="7"/>
    <n v="154.193241885916"/>
    <n v="56280.5332883593"/>
    <n v="202609.91983809401"/>
  </r>
  <r>
    <x v="0"/>
    <x v="0"/>
    <x v="0"/>
    <x v="7"/>
    <x v="15"/>
    <s v="NO5_A1"/>
    <x v="6"/>
    <x v="7"/>
    <s v="GNR_RES_WTR_NOPMP_MC-01"/>
    <x v="0"/>
    <x v="8"/>
    <n v="154.193241885916"/>
    <n v="56280.5332883593"/>
    <n v="202609.91983809401"/>
  </r>
  <r>
    <x v="0"/>
    <x v="0"/>
    <x v="0"/>
    <x v="7"/>
    <x v="15"/>
    <s v="NO5_A1"/>
    <x v="6"/>
    <x v="7"/>
    <s v="GNR_RES_WTR_NOPMP_MC-01"/>
    <x v="0"/>
    <x v="0"/>
    <n v="154.193241885916"/>
    <n v="56280.5332883593"/>
    <n v="202609.91983809401"/>
  </r>
  <r>
    <x v="0"/>
    <x v="0"/>
    <x v="0"/>
    <x v="7"/>
    <x v="15"/>
    <s v="NO5_A1"/>
    <x v="6"/>
    <x v="7"/>
    <s v="GNR_RES_WTR_NOPMP_MC-01"/>
    <x v="0"/>
    <x v="1"/>
    <n v="154.193241885916"/>
    <n v="56280.5332883593"/>
    <n v="202609.91983809401"/>
  </r>
  <r>
    <x v="0"/>
    <x v="0"/>
    <x v="0"/>
    <x v="7"/>
    <x v="15"/>
    <s v="NO5_A1"/>
    <x v="6"/>
    <x v="7"/>
    <s v="GNR_RES_WTR_NOPMP_MC-01"/>
    <x v="0"/>
    <x v="2"/>
    <n v="154.193241885916"/>
    <n v="56280.5332883593"/>
    <n v="202609.91983809401"/>
  </r>
  <r>
    <x v="0"/>
    <x v="0"/>
    <x v="0"/>
    <x v="7"/>
    <x v="15"/>
    <s v="NO5_A1"/>
    <x v="6"/>
    <x v="7"/>
    <s v="GNR_RES_WTR_NOPMP_MC-01"/>
    <x v="0"/>
    <x v="9"/>
    <n v="154.193241885916"/>
    <n v="56280.5332883593"/>
    <n v="202609.91983809401"/>
  </r>
  <r>
    <x v="0"/>
    <x v="0"/>
    <x v="0"/>
    <x v="7"/>
    <x v="15"/>
    <s v="NO5_A1"/>
    <x v="6"/>
    <x v="7"/>
    <s v="GNR_RES_WTR_NOPMP_MC-01"/>
    <x v="0"/>
    <x v="10"/>
    <n v="154.193241885916"/>
    <n v="56280.5332883593"/>
    <n v="202609.91983809401"/>
  </r>
  <r>
    <x v="0"/>
    <x v="0"/>
    <x v="0"/>
    <x v="7"/>
    <x v="15"/>
    <s v="NO5_A1"/>
    <x v="6"/>
    <x v="7"/>
    <s v="GNR_RES_WTR_NOPMP_MC-01"/>
    <x v="0"/>
    <x v="11"/>
    <n v="154.193241885916"/>
    <n v="56280.5332883593"/>
    <n v="202609.91983809401"/>
  </r>
  <r>
    <x v="0"/>
    <x v="0"/>
    <x v="0"/>
    <x v="7"/>
    <x v="15"/>
    <s v="NO5_A1"/>
    <x v="6"/>
    <x v="7"/>
    <s v="GNR_RES_WTR_NOPMP_MC-01"/>
    <x v="0"/>
    <x v="12"/>
    <n v="154.193241885916"/>
    <n v="56280.5332883593"/>
    <n v="202609.91983809401"/>
  </r>
  <r>
    <x v="0"/>
    <x v="0"/>
    <x v="0"/>
    <x v="7"/>
    <x v="15"/>
    <s v="NO5_A1"/>
    <x v="6"/>
    <x v="7"/>
    <s v="GNR_RES_WTR_NOPMP_MC-01"/>
    <x v="0"/>
    <x v="13"/>
    <n v="154.193241885916"/>
    <n v="56280.5332883593"/>
    <n v="202609.91983809401"/>
  </r>
  <r>
    <x v="0"/>
    <x v="0"/>
    <x v="0"/>
    <x v="7"/>
    <x v="15"/>
    <s v="NO5_A1"/>
    <x v="6"/>
    <x v="7"/>
    <s v="GNR_RES_WTR_NOPMP_MC-01"/>
    <x v="0"/>
    <x v="14"/>
    <n v="154.193241885916"/>
    <n v="56280.5332883593"/>
    <n v="202609.91983809401"/>
  </r>
  <r>
    <x v="0"/>
    <x v="0"/>
    <x v="0"/>
    <x v="7"/>
    <x v="15"/>
    <s v="NO5_A1"/>
    <x v="6"/>
    <x v="7"/>
    <s v="GNR_RES_WTR_NOPMP_MC-01"/>
    <x v="0"/>
    <x v="15"/>
    <n v="154.193241885916"/>
    <n v="56280.5332883593"/>
    <n v="202609.91983809401"/>
  </r>
  <r>
    <x v="0"/>
    <x v="0"/>
    <x v="0"/>
    <x v="7"/>
    <x v="15"/>
    <s v="NO5_A1"/>
    <x v="6"/>
    <x v="7"/>
    <s v="GNR_RES_WTR_NOPMP_MC-01"/>
    <x v="0"/>
    <x v="16"/>
    <n v="154.193241885916"/>
    <n v="56280.5332883593"/>
    <n v="202609.91983809401"/>
  </r>
  <r>
    <x v="0"/>
    <x v="0"/>
    <x v="0"/>
    <x v="7"/>
    <x v="15"/>
    <s v="NO5_A1"/>
    <x v="6"/>
    <x v="7"/>
    <s v="GNR_RES_WTR_NOPMP_MC-01"/>
    <x v="0"/>
    <x v="17"/>
    <n v="154.193241885916"/>
    <n v="56280.5332883593"/>
    <n v="202609.91983809401"/>
  </r>
  <r>
    <x v="0"/>
    <x v="0"/>
    <x v="0"/>
    <x v="7"/>
    <x v="15"/>
    <s v="NO5_A1"/>
    <x v="6"/>
    <x v="7"/>
    <s v="GNR_RES_WTR_NOPMP_MC-01"/>
    <x v="0"/>
    <x v="18"/>
    <n v="154.193241885916"/>
    <n v="56280.5332883593"/>
    <n v="202609.91983809401"/>
  </r>
  <r>
    <x v="0"/>
    <x v="0"/>
    <x v="0"/>
    <x v="7"/>
    <x v="15"/>
    <s v="NO5_A1"/>
    <x v="6"/>
    <x v="7"/>
    <s v="GNR_RES_WTR_NOPMP_MC-01"/>
    <x v="0"/>
    <x v="19"/>
    <n v="154.193241885916"/>
    <n v="56280.5332883593"/>
    <n v="202609.91983809401"/>
  </r>
  <r>
    <x v="0"/>
    <x v="0"/>
    <x v="0"/>
    <x v="7"/>
    <x v="15"/>
    <s v="NO5_A1"/>
    <x v="6"/>
    <x v="7"/>
    <s v="GNR_RES_WTR_NOPMP_MC-01"/>
    <x v="0"/>
    <x v="20"/>
    <n v="154.193241885916"/>
    <n v="56280.5332883593"/>
    <n v="202609.91983809401"/>
  </r>
  <r>
    <x v="0"/>
    <x v="0"/>
    <x v="0"/>
    <x v="7"/>
    <x v="15"/>
    <s v="NO5_A1"/>
    <x v="6"/>
    <x v="7"/>
    <s v="GNR_RES_WTR_NOPMP_MC-01"/>
    <x v="0"/>
    <x v="21"/>
    <n v="154.193241885916"/>
    <n v="56280.5332883593"/>
    <n v="202609.91983809401"/>
  </r>
  <r>
    <x v="0"/>
    <x v="0"/>
    <x v="0"/>
    <x v="7"/>
    <x v="15"/>
    <s v="NO5_A1"/>
    <x v="6"/>
    <x v="7"/>
    <s v="GNR_RES_WTR_NOPMP_MC-01"/>
    <x v="0"/>
    <x v="22"/>
    <n v="154.193241885916"/>
    <n v="56280.5332883593"/>
    <n v="202609.91983809401"/>
  </r>
  <r>
    <x v="0"/>
    <x v="0"/>
    <x v="0"/>
    <x v="7"/>
    <x v="15"/>
    <s v="NO5_A1"/>
    <x v="6"/>
    <x v="7"/>
    <s v="GNR_RES_WTR_NOPMP_MC-01"/>
    <x v="0"/>
    <x v="23"/>
    <n v="154.193241885916"/>
    <n v="56280.5332883593"/>
    <n v="202609.91983809401"/>
  </r>
  <r>
    <x v="0"/>
    <x v="0"/>
    <x v="0"/>
    <x v="7"/>
    <x v="15"/>
    <s v="NO5_A1"/>
    <x v="6"/>
    <x v="7"/>
    <s v="GNR_RES_WTR_NOPMP_MC-02"/>
    <x v="0"/>
    <x v="3"/>
    <n v="598.193241885916"/>
    <n v="218340.533288359"/>
    <n v="786025.91983809404"/>
  </r>
  <r>
    <x v="0"/>
    <x v="0"/>
    <x v="0"/>
    <x v="7"/>
    <x v="15"/>
    <s v="NO5_A1"/>
    <x v="6"/>
    <x v="7"/>
    <s v="GNR_RES_WTR_NOPMP_MC-02"/>
    <x v="0"/>
    <x v="4"/>
    <n v="598.193241885916"/>
    <n v="218340.533288359"/>
    <n v="786025.91983809404"/>
  </r>
  <r>
    <x v="0"/>
    <x v="0"/>
    <x v="0"/>
    <x v="7"/>
    <x v="15"/>
    <s v="NO5_A1"/>
    <x v="6"/>
    <x v="7"/>
    <s v="GNR_RES_WTR_NOPMP_MC-02"/>
    <x v="0"/>
    <x v="5"/>
    <n v="598.193241885916"/>
    <n v="218340.533288359"/>
    <n v="786025.91983809404"/>
  </r>
  <r>
    <x v="0"/>
    <x v="0"/>
    <x v="0"/>
    <x v="7"/>
    <x v="15"/>
    <s v="NO5_A1"/>
    <x v="6"/>
    <x v="7"/>
    <s v="GNR_RES_WTR_NOPMP_MC-02"/>
    <x v="0"/>
    <x v="6"/>
    <n v="598.193241885916"/>
    <n v="218340.533288359"/>
    <n v="786025.91983809404"/>
  </r>
  <r>
    <x v="0"/>
    <x v="0"/>
    <x v="0"/>
    <x v="7"/>
    <x v="15"/>
    <s v="NO5_A1"/>
    <x v="6"/>
    <x v="7"/>
    <s v="GNR_RES_WTR_NOPMP_MC-02"/>
    <x v="0"/>
    <x v="7"/>
    <n v="598.193241885916"/>
    <n v="218340.533288359"/>
    <n v="786025.91983809404"/>
  </r>
  <r>
    <x v="0"/>
    <x v="0"/>
    <x v="0"/>
    <x v="7"/>
    <x v="15"/>
    <s v="NO5_A1"/>
    <x v="6"/>
    <x v="7"/>
    <s v="GNR_RES_WTR_NOPMP_MC-02"/>
    <x v="0"/>
    <x v="8"/>
    <n v="598.193241885916"/>
    <n v="218340.533288359"/>
    <n v="786025.91983809404"/>
  </r>
  <r>
    <x v="0"/>
    <x v="0"/>
    <x v="0"/>
    <x v="7"/>
    <x v="15"/>
    <s v="NO5_A1"/>
    <x v="6"/>
    <x v="7"/>
    <s v="GNR_RES_WTR_NOPMP_MC-02"/>
    <x v="0"/>
    <x v="0"/>
    <n v="598.193241885916"/>
    <n v="218340.533288359"/>
    <n v="786025.91983809404"/>
  </r>
  <r>
    <x v="0"/>
    <x v="0"/>
    <x v="0"/>
    <x v="7"/>
    <x v="15"/>
    <s v="NO5_A1"/>
    <x v="6"/>
    <x v="7"/>
    <s v="GNR_RES_WTR_NOPMP_MC-02"/>
    <x v="0"/>
    <x v="1"/>
    <n v="598.193241885916"/>
    <n v="218340.533288359"/>
    <n v="786025.91983809404"/>
  </r>
  <r>
    <x v="0"/>
    <x v="0"/>
    <x v="0"/>
    <x v="7"/>
    <x v="15"/>
    <s v="NO5_A1"/>
    <x v="6"/>
    <x v="7"/>
    <s v="GNR_RES_WTR_NOPMP_MC-02"/>
    <x v="0"/>
    <x v="2"/>
    <n v="598.193241885916"/>
    <n v="218340.533288359"/>
    <n v="786025.91983809404"/>
  </r>
  <r>
    <x v="0"/>
    <x v="0"/>
    <x v="0"/>
    <x v="7"/>
    <x v="15"/>
    <s v="NO5_A1"/>
    <x v="6"/>
    <x v="7"/>
    <s v="GNR_RES_WTR_NOPMP_MC-02"/>
    <x v="0"/>
    <x v="9"/>
    <n v="598.193241885916"/>
    <n v="218340.533288359"/>
    <n v="786025.91983809404"/>
  </r>
  <r>
    <x v="0"/>
    <x v="0"/>
    <x v="0"/>
    <x v="7"/>
    <x v="15"/>
    <s v="NO5_A1"/>
    <x v="6"/>
    <x v="7"/>
    <s v="GNR_RES_WTR_NOPMP_MC-02"/>
    <x v="0"/>
    <x v="10"/>
    <n v="598.193241885916"/>
    <n v="218340.533288359"/>
    <n v="786025.91983809404"/>
  </r>
  <r>
    <x v="0"/>
    <x v="0"/>
    <x v="0"/>
    <x v="7"/>
    <x v="15"/>
    <s v="NO5_A1"/>
    <x v="6"/>
    <x v="7"/>
    <s v="GNR_RES_WTR_NOPMP_MC-02"/>
    <x v="0"/>
    <x v="11"/>
    <n v="598.193241885916"/>
    <n v="218340.533288359"/>
    <n v="786025.91983809404"/>
  </r>
  <r>
    <x v="0"/>
    <x v="0"/>
    <x v="0"/>
    <x v="7"/>
    <x v="15"/>
    <s v="NO5_A1"/>
    <x v="6"/>
    <x v="7"/>
    <s v="GNR_RES_WTR_NOPMP_MC-02"/>
    <x v="0"/>
    <x v="12"/>
    <n v="598.193241885916"/>
    <n v="218340.533288359"/>
    <n v="786025.91983809404"/>
  </r>
  <r>
    <x v="0"/>
    <x v="0"/>
    <x v="0"/>
    <x v="7"/>
    <x v="15"/>
    <s v="NO5_A1"/>
    <x v="6"/>
    <x v="7"/>
    <s v="GNR_RES_WTR_NOPMP_MC-02"/>
    <x v="0"/>
    <x v="13"/>
    <n v="598.193241885916"/>
    <n v="218340.533288359"/>
    <n v="786025.91983809404"/>
  </r>
  <r>
    <x v="0"/>
    <x v="0"/>
    <x v="0"/>
    <x v="7"/>
    <x v="15"/>
    <s v="NO5_A1"/>
    <x v="6"/>
    <x v="7"/>
    <s v="GNR_RES_WTR_NOPMP_MC-02"/>
    <x v="0"/>
    <x v="14"/>
    <n v="598.193241885916"/>
    <n v="218340.533288359"/>
    <n v="786025.91983809404"/>
  </r>
  <r>
    <x v="0"/>
    <x v="0"/>
    <x v="0"/>
    <x v="7"/>
    <x v="15"/>
    <s v="NO5_A1"/>
    <x v="6"/>
    <x v="7"/>
    <s v="GNR_RES_WTR_NOPMP_MC-02"/>
    <x v="0"/>
    <x v="15"/>
    <n v="598.193241885916"/>
    <n v="218340.533288359"/>
    <n v="786025.91983809404"/>
  </r>
  <r>
    <x v="0"/>
    <x v="0"/>
    <x v="0"/>
    <x v="7"/>
    <x v="15"/>
    <s v="NO5_A1"/>
    <x v="6"/>
    <x v="7"/>
    <s v="GNR_RES_WTR_NOPMP_MC-02"/>
    <x v="0"/>
    <x v="16"/>
    <n v="598.193241885916"/>
    <n v="218340.533288359"/>
    <n v="786025.91983809404"/>
  </r>
  <r>
    <x v="0"/>
    <x v="0"/>
    <x v="0"/>
    <x v="7"/>
    <x v="15"/>
    <s v="NO5_A1"/>
    <x v="6"/>
    <x v="7"/>
    <s v="GNR_RES_WTR_NOPMP_MC-02"/>
    <x v="0"/>
    <x v="17"/>
    <n v="598.193241885916"/>
    <n v="218340.533288359"/>
    <n v="786025.91983809404"/>
  </r>
  <r>
    <x v="0"/>
    <x v="0"/>
    <x v="0"/>
    <x v="7"/>
    <x v="15"/>
    <s v="NO5_A1"/>
    <x v="6"/>
    <x v="7"/>
    <s v="GNR_RES_WTR_NOPMP_MC-02"/>
    <x v="0"/>
    <x v="18"/>
    <n v="598.193241885916"/>
    <n v="218340.533288359"/>
    <n v="786025.91983809404"/>
  </r>
  <r>
    <x v="0"/>
    <x v="0"/>
    <x v="0"/>
    <x v="7"/>
    <x v="15"/>
    <s v="NO5_A1"/>
    <x v="6"/>
    <x v="7"/>
    <s v="GNR_RES_WTR_NOPMP_MC-02"/>
    <x v="0"/>
    <x v="19"/>
    <n v="598.193241885916"/>
    <n v="218340.533288359"/>
    <n v="786025.91983809404"/>
  </r>
  <r>
    <x v="0"/>
    <x v="0"/>
    <x v="0"/>
    <x v="7"/>
    <x v="15"/>
    <s v="NO5_A1"/>
    <x v="6"/>
    <x v="7"/>
    <s v="GNR_RES_WTR_NOPMP_MC-02"/>
    <x v="0"/>
    <x v="20"/>
    <n v="598.193241885916"/>
    <n v="218340.533288359"/>
    <n v="786025.91983809404"/>
  </r>
  <r>
    <x v="0"/>
    <x v="0"/>
    <x v="0"/>
    <x v="7"/>
    <x v="15"/>
    <s v="NO5_A1"/>
    <x v="6"/>
    <x v="7"/>
    <s v="GNR_RES_WTR_NOPMP_MC-02"/>
    <x v="0"/>
    <x v="21"/>
    <n v="598.193241885916"/>
    <n v="218340.533288359"/>
    <n v="786025.91983809404"/>
  </r>
  <r>
    <x v="0"/>
    <x v="0"/>
    <x v="0"/>
    <x v="7"/>
    <x v="15"/>
    <s v="NO5_A1"/>
    <x v="6"/>
    <x v="7"/>
    <s v="GNR_RES_WTR_NOPMP_MC-02"/>
    <x v="0"/>
    <x v="22"/>
    <n v="598.193241885916"/>
    <n v="218340.533288359"/>
    <n v="786025.91983809404"/>
  </r>
  <r>
    <x v="0"/>
    <x v="0"/>
    <x v="0"/>
    <x v="7"/>
    <x v="15"/>
    <s v="NO5_A1"/>
    <x v="6"/>
    <x v="7"/>
    <s v="GNR_RES_WTR_NOPMP_MC-02"/>
    <x v="0"/>
    <x v="23"/>
    <n v="598.193241885916"/>
    <n v="218340.533288359"/>
    <n v="786025.91983809404"/>
  </r>
  <r>
    <x v="0"/>
    <x v="0"/>
    <x v="0"/>
    <x v="7"/>
    <x v="15"/>
    <s v="NO5_A1"/>
    <x v="6"/>
    <x v="7"/>
    <s v="GNR_RES_WTR_NOPMP_MC-03"/>
    <x v="0"/>
    <x v="3"/>
    <n v="598.193241885916"/>
    <n v="218340.533288359"/>
    <n v="786025.91983809404"/>
  </r>
  <r>
    <x v="0"/>
    <x v="0"/>
    <x v="0"/>
    <x v="7"/>
    <x v="15"/>
    <s v="NO5_A1"/>
    <x v="6"/>
    <x v="7"/>
    <s v="GNR_RES_WTR_NOPMP_MC-03"/>
    <x v="0"/>
    <x v="4"/>
    <n v="598.193241885916"/>
    <n v="218340.533288359"/>
    <n v="786025.91983809404"/>
  </r>
  <r>
    <x v="0"/>
    <x v="0"/>
    <x v="0"/>
    <x v="7"/>
    <x v="15"/>
    <s v="NO5_A1"/>
    <x v="6"/>
    <x v="7"/>
    <s v="GNR_RES_WTR_NOPMP_MC-03"/>
    <x v="0"/>
    <x v="5"/>
    <n v="598.193241885916"/>
    <n v="218340.533288359"/>
    <n v="786025.91983809404"/>
  </r>
  <r>
    <x v="0"/>
    <x v="0"/>
    <x v="0"/>
    <x v="7"/>
    <x v="15"/>
    <s v="NO5_A1"/>
    <x v="6"/>
    <x v="7"/>
    <s v="GNR_RES_WTR_NOPMP_MC-03"/>
    <x v="0"/>
    <x v="6"/>
    <n v="598.193241885916"/>
    <n v="218340.533288359"/>
    <n v="786025.91983809404"/>
  </r>
  <r>
    <x v="0"/>
    <x v="0"/>
    <x v="0"/>
    <x v="7"/>
    <x v="15"/>
    <s v="NO5_A1"/>
    <x v="6"/>
    <x v="7"/>
    <s v="GNR_RES_WTR_NOPMP_MC-03"/>
    <x v="0"/>
    <x v="7"/>
    <n v="598.193241885916"/>
    <n v="218340.533288359"/>
    <n v="786025.91983809404"/>
  </r>
  <r>
    <x v="0"/>
    <x v="0"/>
    <x v="0"/>
    <x v="7"/>
    <x v="15"/>
    <s v="NO5_A1"/>
    <x v="6"/>
    <x v="7"/>
    <s v="GNR_RES_WTR_NOPMP_MC-03"/>
    <x v="0"/>
    <x v="8"/>
    <n v="598.193241885916"/>
    <n v="218340.533288359"/>
    <n v="786025.91983809404"/>
  </r>
  <r>
    <x v="0"/>
    <x v="0"/>
    <x v="0"/>
    <x v="7"/>
    <x v="15"/>
    <s v="NO5_A1"/>
    <x v="6"/>
    <x v="7"/>
    <s v="GNR_RES_WTR_NOPMP_MC-03"/>
    <x v="0"/>
    <x v="0"/>
    <n v="598.193241885916"/>
    <n v="218340.533288359"/>
    <n v="786025.91983809404"/>
  </r>
  <r>
    <x v="0"/>
    <x v="0"/>
    <x v="0"/>
    <x v="7"/>
    <x v="15"/>
    <s v="NO5_A1"/>
    <x v="6"/>
    <x v="7"/>
    <s v="GNR_RES_WTR_NOPMP_MC-03"/>
    <x v="0"/>
    <x v="1"/>
    <n v="598.193241885916"/>
    <n v="218340.533288359"/>
    <n v="786025.91983809404"/>
  </r>
  <r>
    <x v="0"/>
    <x v="0"/>
    <x v="0"/>
    <x v="7"/>
    <x v="15"/>
    <s v="NO5_A1"/>
    <x v="6"/>
    <x v="7"/>
    <s v="GNR_RES_WTR_NOPMP_MC-03"/>
    <x v="0"/>
    <x v="2"/>
    <n v="598.193241885916"/>
    <n v="218340.533288359"/>
    <n v="786025.91983809404"/>
  </r>
  <r>
    <x v="0"/>
    <x v="0"/>
    <x v="0"/>
    <x v="7"/>
    <x v="15"/>
    <s v="NO5_A1"/>
    <x v="6"/>
    <x v="7"/>
    <s v="GNR_RES_WTR_NOPMP_MC-03"/>
    <x v="0"/>
    <x v="9"/>
    <n v="598.193241885916"/>
    <n v="218340.533288359"/>
    <n v="786025.91983809404"/>
  </r>
  <r>
    <x v="0"/>
    <x v="0"/>
    <x v="0"/>
    <x v="7"/>
    <x v="15"/>
    <s v="NO5_A1"/>
    <x v="6"/>
    <x v="7"/>
    <s v="GNR_RES_WTR_NOPMP_MC-03"/>
    <x v="0"/>
    <x v="10"/>
    <n v="598.193241885916"/>
    <n v="218340.533288359"/>
    <n v="786025.91983809404"/>
  </r>
  <r>
    <x v="0"/>
    <x v="0"/>
    <x v="0"/>
    <x v="7"/>
    <x v="15"/>
    <s v="NO5_A1"/>
    <x v="6"/>
    <x v="7"/>
    <s v="GNR_RES_WTR_NOPMP_MC-03"/>
    <x v="0"/>
    <x v="11"/>
    <n v="598.193241885916"/>
    <n v="218340.533288359"/>
    <n v="786025.91983809404"/>
  </r>
  <r>
    <x v="0"/>
    <x v="0"/>
    <x v="0"/>
    <x v="7"/>
    <x v="15"/>
    <s v="NO5_A1"/>
    <x v="6"/>
    <x v="7"/>
    <s v="GNR_RES_WTR_NOPMP_MC-03"/>
    <x v="0"/>
    <x v="12"/>
    <n v="598.193241885916"/>
    <n v="218340.533288359"/>
    <n v="786025.91983809404"/>
  </r>
  <r>
    <x v="0"/>
    <x v="0"/>
    <x v="0"/>
    <x v="7"/>
    <x v="15"/>
    <s v="NO5_A1"/>
    <x v="6"/>
    <x v="7"/>
    <s v="GNR_RES_WTR_NOPMP_MC-03"/>
    <x v="0"/>
    <x v="13"/>
    <n v="598.193241885916"/>
    <n v="218340.533288359"/>
    <n v="786025.91983809404"/>
  </r>
  <r>
    <x v="0"/>
    <x v="0"/>
    <x v="0"/>
    <x v="7"/>
    <x v="15"/>
    <s v="NO5_A1"/>
    <x v="6"/>
    <x v="7"/>
    <s v="GNR_RES_WTR_NOPMP_MC-03"/>
    <x v="0"/>
    <x v="14"/>
    <n v="598.193241885916"/>
    <n v="218340.533288359"/>
    <n v="786025.91983809404"/>
  </r>
  <r>
    <x v="0"/>
    <x v="0"/>
    <x v="0"/>
    <x v="7"/>
    <x v="15"/>
    <s v="NO5_A1"/>
    <x v="6"/>
    <x v="7"/>
    <s v="GNR_RES_WTR_NOPMP_MC-03"/>
    <x v="0"/>
    <x v="15"/>
    <n v="598.193241885916"/>
    <n v="218340.533288359"/>
    <n v="786025.91983809404"/>
  </r>
  <r>
    <x v="0"/>
    <x v="0"/>
    <x v="0"/>
    <x v="7"/>
    <x v="15"/>
    <s v="NO5_A1"/>
    <x v="6"/>
    <x v="7"/>
    <s v="GNR_RES_WTR_NOPMP_MC-03"/>
    <x v="0"/>
    <x v="16"/>
    <n v="598.193241885916"/>
    <n v="218340.533288359"/>
    <n v="786025.91983809404"/>
  </r>
  <r>
    <x v="0"/>
    <x v="0"/>
    <x v="0"/>
    <x v="7"/>
    <x v="15"/>
    <s v="NO5_A1"/>
    <x v="6"/>
    <x v="7"/>
    <s v="GNR_RES_WTR_NOPMP_MC-03"/>
    <x v="0"/>
    <x v="17"/>
    <n v="598.193241885916"/>
    <n v="218340.533288359"/>
    <n v="786025.91983809404"/>
  </r>
  <r>
    <x v="0"/>
    <x v="0"/>
    <x v="0"/>
    <x v="7"/>
    <x v="15"/>
    <s v="NO5_A1"/>
    <x v="6"/>
    <x v="7"/>
    <s v="GNR_RES_WTR_NOPMP_MC-03"/>
    <x v="0"/>
    <x v="18"/>
    <n v="598.193241885916"/>
    <n v="218340.533288359"/>
    <n v="786025.91983809404"/>
  </r>
  <r>
    <x v="0"/>
    <x v="0"/>
    <x v="0"/>
    <x v="7"/>
    <x v="15"/>
    <s v="NO5_A1"/>
    <x v="6"/>
    <x v="7"/>
    <s v="GNR_RES_WTR_NOPMP_MC-03"/>
    <x v="0"/>
    <x v="19"/>
    <n v="598.193241885916"/>
    <n v="218340.533288359"/>
    <n v="786025.91983809404"/>
  </r>
  <r>
    <x v="0"/>
    <x v="0"/>
    <x v="0"/>
    <x v="7"/>
    <x v="15"/>
    <s v="NO5_A1"/>
    <x v="6"/>
    <x v="7"/>
    <s v="GNR_RES_WTR_NOPMP_MC-03"/>
    <x v="0"/>
    <x v="20"/>
    <n v="598.193241885916"/>
    <n v="218340.533288359"/>
    <n v="786025.91983809404"/>
  </r>
  <r>
    <x v="0"/>
    <x v="0"/>
    <x v="0"/>
    <x v="7"/>
    <x v="15"/>
    <s v="NO5_A1"/>
    <x v="6"/>
    <x v="7"/>
    <s v="GNR_RES_WTR_NOPMP_MC-03"/>
    <x v="0"/>
    <x v="21"/>
    <n v="598.193241885916"/>
    <n v="218340.533288359"/>
    <n v="786025.91983809404"/>
  </r>
  <r>
    <x v="0"/>
    <x v="0"/>
    <x v="0"/>
    <x v="7"/>
    <x v="15"/>
    <s v="NO5_A1"/>
    <x v="6"/>
    <x v="7"/>
    <s v="GNR_RES_WTR_NOPMP_MC-03"/>
    <x v="0"/>
    <x v="22"/>
    <n v="598.193241885916"/>
    <n v="218340.533288359"/>
    <n v="786025.91983809404"/>
  </r>
  <r>
    <x v="0"/>
    <x v="0"/>
    <x v="0"/>
    <x v="7"/>
    <x v="15"/>
    <s v="NO5_A1"/>
    <x v="6"/>
    <x v="7"/>
    <s v="GNR_RES_WTR_NOPMP_MC-03"/>
    <x v="0"/>
    <x v="23"/>
    <n v="598.193241885916"/>
    <n v="218340.533288359"/>
    <n v="786025.91983809404"/>
  </r>
  <r>
    <x v="0"/>
    <x v="0"/>
    <x v="0"/>
    <x v="7"/>
    <x v="15"/>
    <s v="NO5_A1"/>
    <x v="6"/>
    <x v="7"/>
    <s v="GNR_RES_WTR_NOPMP_MC-04"/>
    <x v="0"/>
    <x v="3"/>
    <n v="598.193241885916"/>
    <n v="218340.533288359"/>
    <n v="786025.91983809404"/>
  </r>
  <r>
    <x v="0"/>
    <x v="0"/>
    <x v="0"/>
    <x v="7"/>
    <x v="15"/>
    <s v="NO5_A1"/>
    <x v="6"/>
    <x v="7"/>
    <s v="GNR_RES_WTR_NOPMP_MC-04"/>
    <x v="0"/>
    <x v="4"/>
    <n v="598.193241885916"/>
    <n v="218340.533288359"/>
    <n v="786025.91983809404"/>
  </r>
  <r>
    <x v="0"/>
    <x v="0"/>
    <x v="0"/>
    <x v="7"/>
    <x v="15"/>
    <s v="NO5_A1"/>
    <x v="6"/>
    <x v="7"/>
    <s v="GNR_RES_WTR_NOPMP_MC-04"/>
    <x v="0"/>
    <x v="5"/>
    <n v="598.193241885916"/>
    <n v="218340.533288359"/>
    <n v="786025.91983809404"/>
  </r>
  <r>
    <x v="0"/>
    <x v="0"/>
    <x v="0"/>
    <x v="7"/>
    <x v="15"/>
    <s v="NO5_A1"/>
    <x v="6"/>
    <x v="7"/>
    <s v="GNR_RES_WTR_NOPMP_MC-04"/>
    <x v="0"/>
    <x v="6"/>
    <n v="598.193241885916"/>
    <n v="218340.533288359"/>
    <n v="786025.91983809404"/>
  </r>
  <r>
    <x v="0"/>
    <x v="0"/>
    <x v="0"/>
    <x v="7"/>
    <x v="15"/>
    <s v="NO5_A1"/>
    <x v="6"/>
    <x v="7"/>
    <s v="GNR_RES_WTR_NOPMP_MC-04"/>
    <x v="0"/>
    <x v="7"/>
    <n v="598.193241885916"/>
    <n v="218340.533288359"/>
    <n v="786025.91983809404"/>
  </r>
  <r>
    <x v="0"/>
    <x v="0"/>
    <x v="0"/>
    <x v="7"/>
    <x v="15"/>
    <s v="NO5_A1"/>
    <x v="6"/>
    <x v="7"/>
    <s v="GNR_RES_WTR_NOPMP_MC-04"/>
    <x v="0"/>
    <x v="8"/>
    <n v="598.193241885916"/>
    <n v="218340.533288359"/>
    <n v="786025.91983809404"/>
  </r>
  <r>
    <x v="0"/>
    <x v="0"/>
    <x v="0"/>
    <x v="7"/>
    <x v="15"/>
    <s v="NO5_A1"/>
    <x v="6"/>
    <x v="7"/>
    <s v="GNR_RES_WTR_NOPMP_MC-04"/>
    <x v="0"/>
    <x v="0"/>
    <n v="598.193241885916"/>
    <n v="218340.533288359"/>
    <n v="786025.91983809404"/>
  </r>
  <r>
    <x v="0"/>
    <x v="0"/>
    <x v="0"/>
    <x v="7"/>
    <x v="15"/>
    <s v="NO5_A1"/>
    <x v="6"/>
    <x v="7"/>
    <s v="GNR_RES_WTR_NOPMP_MC-04"/>
    <x v="0"/>
    <x v="1"/>
    <n v="598.193241885916"/>
    <n v="218340.533288359"/>
    <n v="786025.91983809404"/>
  </r>
  <r>
    <x v="0"/>
    <x v="0"/>
    <x v="0"/>
    <x v="7"/>
    <x v="15"/>
    <s v="NO5_A1"/>
    <x v="6"/>
    <x v="7"/>
    <s v="GNR_RES_WTR_NOPMP_MC-04"/>
    <x v="0"/>
    <x v="2"/>
    <n v="598.193241885916"/>
    <n v="218340.533288359"/>
    <n v="786025.91983809404"/>
  </r>
  <r>
    <x v="0"/>
    <x v="0"/>
    <x v="0"/>
    <x v="7"/>
    <x v="15"/>
    <s v="NO5_A1"/>
    <x v="6"/>
    <x v="7"/>
    <s v="GNR_RES_WTR_NOPMP_MC-04"/>
    <x v="0"/>
    <x v="9"/>
    <n v="598.193241885916"/>
    <n v="218340.533288359"/>
    <n v="786025.91983809404"/>
  </r>
  <r>
    <x v="0"/>
    <x v="0"/>
    <x v="0"/>
    <x v="7"/>
    <x v="15"/>
    <s v="NO5_A1"/>
    <x v="6"/>
    <x v="7"/>
    <s v="GNR_RES_WTR_NOPMP_MC-04"/>
    <x v="0"/>
    <x v="10"/>
    <n v="598.193241885916"/>
    <n v="218340.533288359"/>
    <n v="786025.91983809404"/>
  </r>
  <r>
    <x v="0"/>
    <x v="0"/>
    <x v="0"/>
    <x v="7"/>
    <x v="15"/>
    <s v="NO5_A1"/>
    <x v="6"/>
    <x v="7"/>
    <s v="GNR_RES_WTR_NOPMP_MC-04"/>
    <x v="0"/>
    <x v="11"/>
    <n v="598.193241885916"/>
    <n v="218340.533288359"/>
    <n v="786025.91983809404"/>
  </r>
  <r>
    <x v="0"/>
    <x v="0"/>
    <x v="0"/>
    <x v="7"/>
    <x v="15"/>
    <s v="NO5_A1"/>
    <x v="6"/>
    <x v="7"/>
    <s v="GNR_RES_WTR_NOPMP_MC-04"/>
    <x v="0"/>
    <x v="12"/>
    <n v="598.193241885916"/>
    <n v="218340.533288359"/>
    <n v="786025.91983809404"/>
  </r>
  <r>
    <x v="0"/>
    <x v="0"/>
    <x v="0"/>
    <x v="7"/>
    <x v="15"/>
    <s v="NO5_A1"/>
    <x v="6"/>
    <x v="7"/>
    <s v="GNR_RES_WTR_NOPMP_MC-04"/>
    <x v="0"/>
    <x v="13"/>
    <n v="598.193241885916"/>
    <n v="218340.533288359"/>
    <n v="786025.91983809404"/>
  </r>
  <r>
    <x v="0"/>
    <x v="0"/>
    <x v="0"/>
    <x v="7"/>
    <x v="15"/>
    <s v="NO5_A1"/>
    <x v="6"/>
    <x v="7"/>
    <s v="GNR_RES_WTR_NOPMP_MC-04"/>
    <x v="0"/>
    <x v="14"/>
    <n v="598.193241885916"/>
    <n v="218340.533288359"/>
    <n v="786025.91983809404"/>
  </r>
  <r>
    <x v="0"/>
    <x v="0"/>
    <x v="0"/>
    <x v="7"/>
    <x v="15"/>
    <s v="NO5_A1"/>
    <x v="6"/>
    <x v="7"/>
    <s v="GNR_RES_WTR_NOPMP_MC-04"/>
    <x v="0"/>
    <x v="15"/>
    <n v="598.193241885916"/>
    <n v="218340.533288359"/>
    <n v="786025.91983809404"/>
  </r>
  <r>
    <x v="0"/>
    <x v="0"/>
    <x v="0"/>
    <x v="7"/>
    <x v="15"/>
    <s v="NO5_A1"/>
    <x v="6"/>
    <x v="7"/>
    <s v="GNR_RES_WTR_NOPMP_MC-04"/>
    <x v="0"/>
    <x v="16"/>
    <n v="598.193241885916"/>
    <n v="218340.533288359"/>
    <n v="786025.91983809404"/>
  </r>
  <r>
    <x v="0"/>
    <x v="0"/>
    <x v="0"/>
    <x v="7"/>
    <x v="15"/>
    <s v="NO5_A1"/>
    <x v="6"/>
    <x v="7"/>
    <s v="GNR_RES_WTR_NOPMP_MC-04"/>
    <x v="0"/>
    <x v="17"/>
    <n v="598.193241885916"/>
    <n v="218340.533288359"/>
    <n v="786025.91983809404"/>
  </r>
  <r>
    <x v="0"/>
    <x v="0"/>
    <x v="0"/>
    <x v="7"/>
    <x v="15"/>
    <s v="NO5_A1"/>
    <x v="6"/>
    <x v="7"/>
    <s v="GNR_RES_WTR_NOPMP_MC-04"/>
    <x v="0"/>
    <x v="18"/>
    <n v="598.193241885916"/>
    <n v="218340.533288359"/>
    <n v="786025.91983809404"/>
  </r>
  <r>
    <x v="0"/>
    <x v="0"/>
    <x v="0"/>
    <x v="7"/>
    <x v="15"/>
    <s v="NO5_A1"/>
    <x v="6"/>
    <x v="7"/>
    <s v="GNR_RES_WTR_NOPMP_MC-04"/>
    <x v="0"/>
    <x v="19"/>
    <n v="598.193241885916"/>
    <n v="218340.533288359"/>
    <n v="786025.91983809404"/>
  </r>
  <r>
    <x v="0"/>
    <x v="0"/>
    <x v="0"/>
    <x v="7"/>
    <x v="15"/>
    <s v="NO5_A1"/>
    <x v="6"/>
    <x v="7"/>
    <s v="GNR_RES_WTR_NOPMP_MC-04"/>
    <x v="0"/>
    <x v="20"/>
    <n v="598.193241885916"/>
    <n v="218340.533288359"/>
    <n v="786025.91983809404"/>
  </r>
  <r>
    <x v="0"/>
    <x v="0"/>
    <x v="0"/>
    <x v="7"/>
    <x v="15"/>
    <s v="NO5_A1"/>
    <x v="6"/>
    <x v="7"/>
    <s v="GNR_RES_WTR_NOPMP_MC-04"/>
    <x v="0"/>
    <x v="21"/>
    <n v="598.193241885916"/>
    <n v="218340.533288359"/>
    <n v="786025.91983809404"/>
  </r>
  <r>
    <x v="0"/>
    <x v="0"/>
    <x v="0"/>
    <x v="7"/>
    <x v="15"/>
    <s v="NO5_A1"/>
    <x v="6"/>
    <x v="7"/>
    <s v="GNR_RES_WTR_NOPMP_MC-04"/>
    <x v="0"/>
    <x v="22"/>
    <n v="598.193241885916"/>
    <n v="218340.533288359"/>
    <n v="786025.91983809404"/>
  </r>
  <r>
    <x v="0"/>
    <x v="0"/>
    <x v="0"/>
    <x v="7"/>
    <x v="15"/>
    <s v="NO5_A1"/>
    <x v="6"/>
    <x v="7"/>
    <s v="GNR_RES_WTR_NOPMP_MC-04"/>
    <x v="0"/>
    <x v="23"/>
    <n v="598.193241885916"/>
    <n v="218340.533288359"/>
    <n v="786025.91983809404"/>
  </r>
  <r>
    <x v="0"/>
    <x v="0"/>
    <x v="0"/>
    <x v="7"/>
    <x v="15"/>
    <s v="NO5_A1"/>
    <x v="6"/>
    <x v="7"/>
    <s v="GNR_RES_WTR_NOPMP_MC-05"/>
    <x v="0"/>
    <x v="3"/>
    <n v="317.036705651104"/>
    <n v="115718.397562653"/>
    <n v="416586.23122555"/>
  </r>
  <r>
    <x v="0"/>
    <x v="0"/>
    <x v="0"/>
    <x v="7"/>
    <x v="15"/>
    <s v="NO5_A1"/>
    <x v="6"/>
    <x v="7"/>
    <s v="GNR_RES_WTR_NOPMP_MC-05"/>
    <x v="0"/>
    <x v="4"/>
    <n v="274.29378355475302"/>
    <n v="100117.23099748501"/>
    <n v="360422.03159094602"/>
  </r>
  <r>
    <x v="0"/>
    <x v="0"/>
    <x v="0"/>
    <x v="7"/>
    <x v="15"/>
    <s v="NO5_A1"/>
    <x v="6"/>
    <x v="7"/>
    <s v="GNR_RES_WTR_NOPMP_MC-05"/>
    <x v="0"/>
    <x v="5"/>
    <n v="258.21711652673798"/>
    <n v="94249.247532259295"/>
    <n v="339297.29111613298"/>
  </r>
  <r>
    <x v="0"/>
    <x v="0"/>
    <x v="0"/>
    <x v="7"/>
    <x v="15"/>
    <s v="NO5_A1"/>
    <x v="6"/>
    <x v="7"/>
    <s v="GNR_RES_WTR_NOPMP_MC-05"/>
    <x v="0"/>
    <x v="6"/>
    <n v="272.42827262900499"/>
    <n v="99436.319509586901"/>
    <n v="357970.75023451302"/>
  </r>
  <r>
    <x v="0"/>
    <x v="0"/>
    <x v="0"/>
    <x v="7"/>
    <x v="15"/>
    <s v="NO5_A1"/>
    <x v="6"/>
    <x v="7"/>
    <s v="GNR_RES_WTR_NOPMP_MC-05"/>
    <x v="0"/>
    <x v="7"/>
    <n v="302.669204429334"/>
    <n v="110474.259616707"/>
    <n v="397707.33462014497"/>
  </r>
  <r>
    <x v="0"/>
    <x v="0"/>
    <x v="0"/>
    <x v="7"/>
    <x v="15"/>
    <s v="NO5_A1"/>
    <x v="6"/>
    <x v="7"/>
    <s v="GNR_RES_WTR_NOPMP_MC-05"/>
    <x v="0"/>
    <x v="8"/>
    <n v="364.813342506303"/>
    <n v="133156.87001480101"/>
    <n v="479364.73205328197"/>
  </r>
  <r>
    <x v="0"/>
    <x v="0"/>
    <x v="0"/>
    <x v="7"/>
    <x v="15"/>
    <s v="NO5_A1"/>
    <x v="6"/>
    <x v="7"/>
    <s v="GNR_RES_WTR_NOPMP_MC-05"/>
    <x v="0"/>
    <x v="0"/>
    <n v="475.88260353387199"/>
    <n v="173697.150289863"/>
    <n v="625309.74104350805"/>
  </r>
  <r>
    <x v="0"/>
    <x v="0"/>
    <x v="0"/>
    <x v="7"/>
    <x v="15"/>
    <s v="NO5_A1"/>
    <x v="6"/>
    <x v="7"/>
    <s v="GNR_RES_WTR_NOPMP_MC-05"/>
    <x v="0"/>
    <x v="1"/>
    <n v="598.193241885916"/>
    <n v="218340.533288359"/>
    <n v="786025.91983809404"/>
  </r>
  <r>
    <x v="0"/>
    <x v="0"/>
    <x v="0"/>
    <x v="7"/>
    <x v="15"/>
    <s v="NO5_A1"/>
    <x v="6"/>
    <x v="7"/>
    <s v="GNR_RES_WTR_NOPMP_MC-05"/>
    <x v="0"/>
    <x v="2"/>
    <n v="598.193241885916"/>
    <n v="218340.533288359"/>
    <n v="786025.91983809404"/>
  </r>
  <r>
    <x v="0"/>
    <x v="0"/>
    <x v="0"/>
    <x v="7"/>
    <x v="15"/>
    <s v="NO5_A1"/>
    <x v="6"/>
    <x v="7"/>
    <s v="GNR_RES_WTR_NOPMP_MC-05"/>
    <x v="0"/>
    <x v="9"/>
    <n v="598.193241885916"/>
    <n v="218340.533288359"/>
    <n v="786025.91983809404"/>
  </r>
  <r>
    <x v="0"/>
    <x v="0"/>
    <x v="0"/>
    <x v="7"/>
    <x v="15"/>
    <s v="NO5_A1"/>
    <x v="6"/>
    <x v="7"/>
    <s v="GNR_RES_WTR_NOPMP_MC-05"/>
    <x v="0"/>
    <x v="10"/>
    <n v="598.193241885916"/>
    <n v="218340.533288359"/>
    <n v="786025.91983809404"/>
  </r>
  <r>
    <x v="0"/>
    <x v="0"/>
    <x v="0"/>
    <x v="7"/>
    <x v="15"/>
    <s v="NO5_A1"/>
    <x v="6"/>
    <x v="7"/>
    <s v="GNR_RES_WTR_NOPMP_MC-05"/>
    <x v="0"/>
    <x v="11"/>
    <n v="598.193241885916"/>
    <n v="218340.533288359"/>
    <n v="786025.91983809404"/>
  </r>
  <r>
    <x v="0"/>
    <x v="0"/>
    <x v="0"/>
    <x v="7"/>
    <x v="15"/>
    <s v="NO5_A1"/>
    <x v="6"/>
    <x v="7"/>
    <s v="GNR_RES_WTR_NOPMP_MC-05"/>
    <x v="0"/>
    <x v="12"/>
    <n v="598.193241885916"/>
    <n v="218340.533288359"/>
    <n v="786025.91983809404"/>
  </r>
  <r>
    <x v="0"/>
    <x v="0"/>
    <x v="0"/>
    <x v="7"/>
    <x v="15"/>
    <s v="NO5_A1"/>
    <x v="6"/>
    <x v="7"/>
    <s v="GNR_RES_WTR_NOPMP_MC-05"/>
    <x v="0"/>
    <x v="13"/>
    <n v="598.193241885916"/>
    <n v="218340.533288359"/>
    <n v="786025.91983809404"/>
  </r>
  <r>
    <x v="0"/>
    <x v="0"/>
    <x v="0"/>
    <x v="7"/>
    <x v="15"/>
    <s v="NO5_A1"/>
    <x v="6"/>
    <x v="7"/>
    <s v="GNR_RES_WTR_NOPMP_MC-05"/>
    <x v="0"/>
    <x v="14"/>
    <n v="598.193241885916"/>
    <n v="218340.533288359"/>
    <n v="786025.91983809404"/>
  </r>
  <r>
    <x v="0"/>
    <x v="0"/>
    <x v="0"/>
    <x v="7"/>
    <x v="15"/>
    <s v="NO5_A1"/>
    <x v="6"/>
    <x v="7"/>
    <s v="GNR_RES_WTR_NOPMP_MC-05"/>
    <x v="0"/>
    <x v="15"/>
    <n v="598.193241885916"/>
    <n v="218340.533288359"/>
    <n v="786025.91983809404"/>
  </r>
  <r>
    <x v="0"/>
    <x v="0"/>
    <x v="0"/>
    <x v="7"/>
    <x v="15"/>
    <s v="NO5_A1"/>
    <x v="6"/>
    <x v="7"/>
    <s v="GNR_RES_WTR_NOPMP_MC-05"/>
    <x v="0"/>
    <x v="16"/>
    <n v="598.193241885916"/>
    <n v="218340.533288359"/>
    <n v="786025.91983809404"/>
  </r>
  <r>
    <x v="0"/>
    <x v="0"/>
    <x v="0"/>
    <x v="7"/>
    <x v="15"/>
    <s v="NO5_A1"/>
    <x v="6"/>
    <x v="7"/>
    <s v="GNR_RES_WTR_NOPMP_MC-05"/>
    <x v="0"/>
    <x v="17"/>
    <n v="585.74295431398605"/>
    <n v="213796.17832460499"/>
    <n v="769666.24196857796"/>
  </r>
  <r>
    <x v="0"/>
    <x v="0"/>
    <x v="0"/>
    <x v="7"/>
    <x v="15"/>
    <s v="NO5_A1"/>
    <x v="6"/>
    <x v="7"/>
    <s v="GNR_RES_WTR_NOPMP_MC-05"/>
    <x v="0"/>
    <x v="18"/>
    <n v="567.87894891996496"/>
    <n v="207275.81635578701"/>
    <n v="746192.93888083403"/>
  </r>
  <r>
    <x v="0"/>
    <x v="0"/>
    <x v="0"/>
    <x v="7"/>
    <x v="15"/>
    <s v="NO5_A1"/>
    <x v="6"/>
    <x v="7"/>
    <s v="GNR_RES_WTR_NOPMP_MC-05"/>
    <x v="0"/>
    <x v="19"/>
    <n v="560.46801213251604"/>
    <n v="204570.82442836801"/>
    <n v="736454.96794212598"/>
  </r>
  <r>
    <x v="0"/>
    <x v="0"/>
    <x v="0"/>
    <x v="7"/>
    <x v="15"/>
    <s v="NO5_A1"/>
    <x v="6"/>
    <x v="7"/>
    <s v="GNR_RES_WTR_NOPMP_MC-05"/>
    <x v="0"/>
    <x v="20"/>
    <n v="537.852709113125"/>
    <n v="196316.238826291"/>
    <n v="706738.45977464598"/>
  </r>
  <r>
    <x v="0"/>
    <x v="0"/>
    <x v="0"/>
    <x v="7"/>
    <x v="15"/>
    <s v="NO5_A1"/>
    <x v="6"/>
    <x v="7"/>
    <s v="GNR_RES_WTR_NOPMP_MC-05"/>
    <x v="0"/>
    <x v="21"/>
    <n v="478.618337977637"/>
    <n v="174695.693361838"/>
    <n v="628904.49610261503"/>
  </r>
  <r>
    <x v="0"/>
    <x v="0"/>
    <x v="0"/>
    <x v="7"/>
    <x v="15"/>
    <s v="NO5_A1"/>
    <x v="6"/>
    <x v="7"/>
    <s v="GNR_RES_WTR_NOPMP_MC-05"/>
    <x v="0"/>
    <x v="22"/>
    <n v="435.882716869224"/>
    <n v="159097.19165726699"/>
    <n v="572749.88996615994"/>
  </r>
  <r>
    <x v="0"/>
    <x v="0"/>
    <x v="0"/>
    <x v="7"/>
    <x v="15"/>
    <s v="NO5_A1"/>
    <x v="6"/>
    <x v="7"/>
    <s v="GNR_RES_WTR_NOPMP_MC-05"/>
    <x v="0"/>
    <x v="23"/>
    <n v="362.43926690953498"/>
    <n v="132290.33242198001"/>
    <n v="476245.19671912899"/>
  </r>
  <r>
    <x v="0"/>
    <x v="0"/>
    <x v="0"/>
    <x v="7"/>
    <x v="15"/>
    <s v="NO5_A1"/>
    <x v="6"/>
    <x v="7"/>
    <s v="GNR_RES_WTR_NOPMP_MC-06"/>
    <x v="0"/>
    <x v="1"/>
    <n v="33.753702910762001"/>
    <n v="12320.101562428101"/>
    <n v="44352.365624741302"/>
  </r>
  <r>
    <x v="0"/>
    <x v="0"/>
    <x v="0"/>
    <x v="7"/>
    <x v="15"/>
    <s v="NO5_A1"/>
    <x v="6"/>
    <x v="7"/>
    <s v="GNR_RES_WTR_NOPMP_MC-06"/>
    <x v="0"/>
    <x v="2"/>
    <n v="98.463697489903495"/>
    <n v="35939.249583814802"/>
    <n v="129381.29850173301"/>
  </r>
  <r>
    <x v="0"/>
    <x v="0"/>
    <x v="0"/>
    <x v="7"/>
    <x v="15"/>
    <s v="NO5_A1"/>
    <x v="6"/>
    <x v="7"/>
    <s v="GNR_RES_WTR_NOPMP_MC-06"/>
    <x v="0"/>
    <x v="9"/>
    <n v="76.317368799525397"/>
    <n v="27855.839611826799"/>
    <n v="100281.02260257601"/>
  </r>
  <r>
    <x v="0"/>
    <x v="0"/>
    <x v="0"/>
    <x v="7"/>
    <x v="15"/>
    <s v="NO5_A1"/>
    <x v="6"/>
    <x v="7"/>
    <s v="GNR_RES_WTR_NOPMP_MC-06"/>
    <x v="0"/>
    <x v="10"/>
    <n v="56.805690905076901"/>
    <n v="20734.077180353099"/>
    <n v="74642.677849271102"/>
  </r>
  <r>
    <x v="0"/>
    <x v="0"/>
    <x v="0"/>
    <x v="7"/>
    <x v="15"/>
    <s v="NO5_A1"/>
    <x v="6"/>
    <x v="7"/>
    <s v="GNR_RES_WTR_NOPMP_MC-06"/>
    <x v="0"/>
    <x v="11"/>
    <n v="45.211437191041497"/>
    <n v="16502.174574730201"/>
    <n v="59407.8284690285"/>
  </r>
  <r>
    <x v="0"/>
    <x v="0"/>
    <x v="0"/>
    <x v="7"/>
    <x v="15"/>
    <s v="NO5_A1"/>
    <x v="6"/>
    <x v="7"/>
    <s v="GNR_RES_WTR_NOPMP_MC-06"/>
    <x v="0"/>
    <x v="12"/>
    <n v="19.6676106981899"/>
    <n v="7178.67790483931"/>
    <n v="25843.2404574215"/>
  </r>
  <r>
    <x v="0"/>
    <x v="0"/>
    <x v="0"/>
    <x v="7"/>
    <x v="15"/>
    <s v="NO5_A1"/>
    <x v="6"/>
    <x v="7"/>
    <s v="GNR_RES_WTR_NOPMP_MC-06"/>
    <x v="0"/>
    <x v="13"/>
    <n v="20.0188221254352"/>
    <n v="7306.8700757838396"/>
    <n v="26304.732272821799"/>
  </r>
  <r>
    <x v="0"/>
    <x v="0"/>
    <x v="0"/>
    <x v="7"/>
    <x v="15"/>
    <s v="NO5_A1"/>
    <x v="6"/>
    <x v="7"/>
    <s v="GNR_RES_WTR_NOPMP_MC-06"/>
    <x v="0"/>
    <x v="14"/>
    <n v="12.834032875527001"/>
    <n v="4684.4219995673702"/>
    <n v="16863.919198442502"/>
  </r>
  <r>
    <x v="0"/>
    <x v="0"/>
    <x v="0"/>
    <x v="7"/>
    <x v="15"/>
    <s v="NO5_A1"/>
    <x v="6"/>
    <x v="7"/>
    <s v="GNR_RES_WTR_NOPMP_MC-06"/>
    <x v="0"/>
    <x v="15"/>
    <n v="6.6184735134233401"/>
    <n v="2415.74283239952"/>
    <n v="8696.6741966382706"/>
  </r>
  <r>
    <x v="0"/>
    <x v="0"/>
    <x v="0"/>
    <x v="7"/>
    <x v="15"/>
    <s v="NO5_A1"/>
    <x v="6"/>
    <x v="7"/>
    <s v="GNR_RES_WTR_NOPMP_MC-06"/>
    <x v="0"/>
    <x v="16"/>
    <n v="23.279800494161901"/>
    <n v="8497.1271803690797"/>
    <n v="30589.657849328702"/>
  </r>
  <r>
    <x v="0"/>
    <x v="0"/>
    <x v="0"/>
    <x v="7"/>
    <x v="15"/>
    <s v="NO5_A1"/>
    <x v="6"/>
    <x v="7"/>
    <s v="GNR_RES_WTR_PMP_MC-01"/>
    <x v="0"/>
    <x v="3"/>
    <n v="444"/>
    <n v="162060"/>
    <n v="583416"/>
  </r>
  <r>
    <x v="0"/>
    <x v="0"/>
    <x v="0"/>
    <x v="7"/>
    <x v="15"/>
    <s v="NO5_A1"/>
    <x v="6"/>
    <x v="7"/>
    <s v="GNR_RES_WTR_PMP_MC-01"/>
    <x v="0"/>
    <x v="4"/>
    <n v="444"/>
    <n v="162060"/>
    <n v="583416"/>
  </r>
  <r>
    <x v="0"/>
    <x v="0"/>
    <x v="0"/>
    <x v="7"/>
    <x v="15"/>
    <s v="NO5_A1"/>
    <x v="6"/>
    <x v="7"/>
    <s v="GNR_RES_WTR_PMP_MC-01"/>
    <x v="0"/>
    <x v="5"/>
    <n v="444"/>
    <n v="162060"/>
    <n v="583416"/>
  </r>
  <r>
    <x v="0"/>
    <x v="0"/>
    <x v="0"/>
    <x v="7"/>
    <x v="15"/>
    <s v="NO5_A1"/>
    <x v="6"/>
    <x v="7"/>
    <s v="GNR_RES_WTR_PMP_MC-01"/>
    <x v="0"/>
    <x v="6"/>
    <n v="444"/>
    <n v="162060"/>
    <n v="583416"/>
  </r>
  <r>
    <x v="0"/>
    <x v="0"/>
    <x v="0"/>
    <x v="7"/>
    <x v="15"/>
    <s v="NO5_A1"/>
    <x v="6"/>
    <x v="7"/>
    <s v="GNR_RES_WTR_PMP_MC-01"/>
    <x v="0"/>
    <x v="7"/>
    <n v="444"/>
    <n v="162060"/>
    <n v="583416"/>
  </r>
  <r>
    <x v="0"/>
    <x v="0"/>
    <x v="0"/>
    <x v="7"/>
    <x v="15"/>
    <s v="NO5_A1"/>
    <x v="6"/>
    <x v="7"/>
    <s v="GNR_RES_WTR_PMP_MC-01"/>
    <x v="0"/>
    <x v="8"/>
    <n v="444"/>
    <n v="162060"/>
    <n v="583416"/>
  </r>
  <r>
    <x v="0"/>
    <x v="0"/>
    <x v="0"/>
    <x v="7"/>
    <x v="15"/>
    <s v="NO5_A1"/>
    <x v="6"/>
    <x v="7"/>
    <s v="GNR_RES_WTR_PMP_MC-01"/>
    <x v="0"/>
    <x v="0"/>
    <n v="444"/>
    <n v="162060"/>
    <n v="583416"/>
  </r>
  <r>
    <x v="0"/>
    <x v="0"/>
    <x v="0"/>
    <x v="7"/>
    <x v="15"/>
    <s v="NO5_A1"/>
    <x v="6"/>
    <x v="7"/>
    <s v="GNR_RES_WTR_PMP_MC-01"/>
    <x v="0"/>
    <x v="1"/>
    <n v="444"/>
    <n v="162060"/>
    <n v="583416"/>
  </r>
  <r>
    <x v="0"/>
    <x v="0"/>
    <x v="0"/>
    <x v="7"/>
    <x v="15"/>
    <s v="NO5_A1"/>
    <x v="6"/>
    <x v="7"/>
    <s v="GNR_RES_WTR_PMP_MC-01"/>
    <x v="0"/>
    <x v="2"/>
    <n v="444"/>
    <n v="162060"/>
    <n v="583416"/>
  </r>
  <r>
    <x v="0"/>
    <x v="0"/>
    <x v="0"/>
    <x v="7"/>
    <x v="15"/>
    <s v="NO5_A1"/>
    <x v="6"/>
    <x v="7"/>
    <s v="GNR_RES_WTR_PMP_MC-01"/>
    <x v="0"/>
    <x v="9"/>
    <n v="444"/>
    <n v="162060"/>
    <n v="583416"/>
  </r>
  <r>
    <x v="0"/>
    <x v="0"/>
    <x v="0"/>
    <x v="7"/>
    <x v="15"/>
    <s v="NO5_A1"/>
    <x v="6"/>
    <x v="7"/>
    <s v="GNR_RES_WTR_PMP_MC-01"/>
    <x v="0"/>
    <x v="10"/>
    <n v="444"/>
    <n v="162060"/>
    <n v="583416"/>
  </r>
  <r>
    <x v="0"/>
    <x v="0"/>
    <x v="0"/>
    <x v="7"/>
    <x v="15"/>
    <s v="NO5_A1"/>
    <x v="6"/>
    <x v="7"/>
    <s v="GNR_RES_WTR_PMP_MC-01"/>
    <x v="0"/>
    <x v="11"/>
    <n v="444"/>
    <n v="162060"/>
    <n v="583416"/>
  </r>
  <r>
    <x v="0"/>
    <x v="0"/>
    <x v="0"/>
    <x v="7"/>
    <x v="15"/>
    <s v="NO5_A1"/>
    <x v="6"/>
    <x v="7"/>
    <s v="GNR_RES_WTR_PMP_MC-01"/>
    <x v="0"/>
    <x v="12"/>
    <n v="444"/>
    <n v="162060"/>
    <n v="583416"/>
  </r>
  <r>
    <x v="0"/>
    <x v="0"/>
    <x v="0"/>
    <x v="7"/>
    <x v="15"/>
    <s v="NO5_A1"/>
    <x v="6"/>
    <x v="7"/>
    <s v="GNR_RES_WTR_PMP_MC-01"/>
    <x v="0"/>
    <x v="13"/>
    <n v="444"/>
    <n v="162060"/>
    <n v="583416"/>
  </r>
  <r>
    <x v="0"/>
    <x v="0"/>
    <x v="0"/>
    <x v="7"/>
    <x v="15"/>
    <s v="NO5_A1"/>
    <x v="6"/>
    <x v="7"/>
    <s v="GNR_RES_WTR_PMP_MC-01"/>
    <x v="0"/>
    <x v="14"/>
    <n v="444"/>
    <n v="162060"/>
    <n v="583416"/>
  </r>
  <r>
    <x v="0"/>
    <x v="0"/>
    <x v="0"/>
    <x v="7"/>
    <x v="15"/>
    <s v="NO5_A1"/>
    <x v="6"/>
    <x v="7"/>
    <s v="GNR_RES_WTR_PMP_MC-01"/>
    <x v="0"/>
    <x v="15"/>
    <n v="444"/>
    <n v="162060"/>
    <n v="583416"/>
  </r>
  <r>
    <x v="0"/>
    <x v="0"/>
    <x v="0"/>
    <x v="7"/>
    <x v="15"/>
    <s v="NO5_A1"/>
    <x v="6"/>
    <x v="7"/>
    <s v="GNR_RES_WTR_PMP_MC-01"/>
    <x v="0"/>
    <x v="16"/>
    <n v="444"/>
    <n v="162060"/>
    <n v="583416"/>
  </r>
  <r>
    <x v="0"/>
    <x v="0"/>
    <x v="0"/>
    <x v="7"/>
    <x v="15"/>
    <s v="NO5_A1"/>
    <x v="6"/>
    <x v="7"/>
    <s v="GNR_RES_WTR_PMP_MC-01"/>
    <x v="0"/>
    <x v="17"/>
    <n v="444"/>
    <n v="162060"/>
    <n v="583416"/>
  </r>
  <r>
    <x v="0"/>
    <x v="0"/>
    <x v="0"/>
    <x v="7"/>
    <x v="15"/>
    <s v="NO5_A1"/>
    <x v="6"/>
    <x v="7"/>
    <s v="GNR_RES_WTR_PMP_MC-01"/>
    <x v="0"/>
    <x v="18"/>
    <n v="444"/>
    <n v="162060"/>
    <n v="583416"/>
  </r>
  <r>
    <x v="0"/>
    <x v="0"/>
    <x v="0"/>
    <x v="7"/>
    <x v="15"/>
    <s v="NO5_A1"/>
    <x v="6"/>
    <x v="7"/>
    <s v="GNR_RES_WTR_PMP_MC-01"/>
    <x v="0"/>
    <x v="19"/>
    <n v="444"/>
    <n v="162060"/>
    <n v="583416"/>
  </r>
  <r>
    <x v="0"/>
    <x v="0"/>
    <x v="0"/>
    <x v="7"/>
    <x v="15"/>
    <s v="NO5_A1"/>
    <x v="6"/>
    <x v="7"/>
    <s v="GNR_RES_WTR_PMP_MC-01"/>
    <x v="0"/>
    <x v="20"/>
    <n v="444"/>
    <n v="162060"/>
    <n v="583416"/>
  </r>
  <r>
    <x v="0"/>
    <x v="0"/>
    <x v="0"/>
    <x v="7"/>
    <x v="15"/>
    <s v="NO5_A1"/>
    <x v="6"/>
    <x v="7"/>
    <s v="GNR_RES_WTR_PMP_MC-01"/>
    <x v="0"/>
    <x v="21"/>
    <n v="444"/>
    <n v="162060"/>
    <n v="583416"/>
  </r>
  <r>
    <x v="0"/>
    <x v="0"/>
    <x v="0"/>
    <x v="7"/>
    <x v="15"/>
    <s v="NO5_A1"/>
    <x v="6"/>
    <x v="7"/>
    <s v="GNR_RES_WTR_PMP_MC-01"/>
    <x v="0"/>
    <x v="22"/>
    <n v="444"/>
    <n v="162060"/>
    <n v="583416"/>
  </r>
  <r>
    <x v="0"/>
    <x v="0"/>
    <x v="0"/>
    <x v="7"/>
    <x v="15"/>
    <s v="NO5_A1"/>
    <x v="6"/>
    <x v="7"/>
    <s v="GNR_RES_WTR_PMP_MC-01"/>
    <x v="0"/>
    <x v="23"/>
    <n v="444"/>
    <n v="162060"/>
    <n v="583416"/>
  </r>
  <r>
    <x v="0"/>
    <x v="0"/>
    <x v="0"/>
    <x v="7"/>
    <x v="15"/>
    <s v="NO5_A1"/>
    <x v="6"/>
    <x v="4"/>
    <s v="GNR_ROR_WTR"/>
    <x v="0"/>
    <x v="3"/>
    <n v="1077.1597801871801"/>
    <n v="393163.31976832001"/>
    <n v="1415387.9511659499"/>
  </r>
  <r>
    <x v="0"/>
    <x v="0"/>
    <x v="0"/>
    <x v="7"/>
    <x v="15"/>
    <s v="NO5_A1"/>
    <x v="6"/>
    <x v="4"/>
    <s v="GNR_ROR_WTR"/>
    <x v="0"/>
    <x v="4"/>
    <n v="1077.1597801871801"/>
    <n v="393163.31976832001"/>
    <n v="1415387.9511659499"/>
  </r>
  <r>
    <x v="0"/>
    <x v="0"/>
    <x v="0"/>
    <x v="7"/>
    <x v="15"/>
    <s v="NO5_A1"/>
    <x v="6"/>
    <x v="4"/>
    <s v="GNR_ROR_WTR"/>
    <x v="0"/>
    <x v="5"/>
    <n v="1077.1597801871801"/>
    <n v="393163.31976832001"/>
    <n v="1415387.9511659499"/>
  </r>
  <r>
    <x v="0"/>
    <x v="0"/>
    <x v="0"/>
    <x v="7"/>
    <x v="15"/>
    <s v="NO5_A1"/>
    <x v="6"/>
    <x v="4"/>
    <s v="GNR_ROR_WTR"/>
    <x v="0"/>
    <x v="6"/>
    <n v="1077.1597801871801"/>
    <n v="393163.31976832001"/>
    <n v="1415387.9511659499"/>
  </r>
  <r>
    <x v="0"/>
    <x v="0"/>
    <x v="0"/>
    <x v="7"/>
    <x v="15"/>
    <s v="NO5_A1"/>
    <x v="6"/>
    <x v="4"/>
    <s v="GNR_ROR_WTR"/>
    <x v="0"/>
    <x v="7"/>
    <n v="1077.1597801871801"/>
    <n v="393163.31976832001"/>
    <n v="1415387.9511659499"/>
  </r>
  <r>
    <x v="0"/>
    <x v="0"/>
    <x v="0"/>
    <x v="7"/>
    <x v="15"/>
    <s v="NO5_A1"/>
    <x v="6"/>
    <x v="4"/>
    <s v="GNR_ROR_WTR"/>
    <x v="0"/>
    <x v="8"/>
    <n v="1077.1597801871801"/>
    <n v="393163.31976832001"/>
    <n v="1415387.9511659499"/>
  </r>
  <r>
    <x v="0"/>
    <x v="0"/>
    <x v="0"/>
    <x v="7"/>
    <x v="15"/>
    <s v="NO5_A1"/>
    <x v="6"/>
    <x v="4"/>
    <s v="GNR_ROR_WTR"/>
    <x v="0"/>
    <x v="0"/>
    <n v="1077.1597801871801"/>
    <n v="393163.31976832001"/>
    <n v="1415387.9511659499"/>
  </r>
  <r>
    <x v="0"/>
    <x v="0"/>
    <x v="0"/>
    <x v="7"/>
    <x v="15"/>
    <s v="NO5_A1"/>
    <x v="6"/>
    <x v="4"/>
    <s v="GNR_ROR_WTR"/>
    <x v="0"/>
    <x v="1"/>
    <n v="1077.1597801871801"/>
    <n v="393163.31976832001"/>
    <n v="1415387.9511659499"/>
  </r>
  <r>
    <x v="0"/>
    <x v="0"/>
    <x v="0"/>
    <x v="7"/>
    <x v="15"/>
    <s v="NO5_A1"/>
    <x v="6"/>
    <x v="4"/>
    <s v="GNR_ROR_WTR"/>
    <x v="0"/>
    <x v="2"/>
    <n v="1077.1597801871801"/>
    <n v="393163.31976832001"/>
    <n v="1415387.9511659499"/>
  </r>
  <r>
    <x v="0"/>
    <x v="0"/>
    <x v="0"/>
    <x v="7"/>
    <x v="15"/>
    <s v="NO5_A1"/>
    <x v="6"/>
    <x v="4"/>
    <s v="GNR_ROR_WTR"/>
    <x v="0"/>
    <x v="9"/>
    <n v="1077.1597801871801"/>
    <n v="393163.31976832001"/>
    <n v="1415387.9511659499"/>
  </r>
  <r>
    <x v="0"/>
    <x v="0"/>
    <x v="0"/>
    <x v="7"/>
    <x v="15"/>
    <s v="NO5_A1"/>
    <x v="6"/>
    <x v="4"/>
    <s v="GNR_ROR_WTR"/>
    <x v="0"/>
    <x v="10"/>
    <n v="1077.1597801871801"/>
    <n v="393163.31976832001"/>
    <n v="1415387.9511659499"/>
  </r>
  <r>
    <x v="0"/>
    <x v="0"/>
    <x v="0"/>
    <x v="7"/>
    <x v="15"/>
    <s v="NO5_A1"/>
    <x v="6"/>
    <x v="4"/>
    <s v="GNR_ROR_WTR"/>
    <x v="0"/>
    <x v="11"/>
    <n v="1077.1597801871801"/>
    <n v="393163.31976832001"/>
    <n v="1415387.9511659499"/>
  </r>
  <r>
    <x v="0"/>
    <x v="0"/>
    <x v="0"/>
    <x v="7"/>
    <x v="15"/>
    <s v="NO5_A1"/>
    <x v="6"/>
    <x v="4"/>
    <s v="GNR_ROR_WTR"/>
    <x v="0"/>
    <x v="12"/>
    <n v="1077.1597801871801"/>
    <n v="393163.31976832001"/>
    <n v="1415387.9511659499"/>
  </r>
  <r>
    <x v="0"/>
    <x v="0"/>
    <x v="0"/>
    <x v="7"/>
    <x v="15"/>
    <s v="NO5_A1"/>
    <x v="6"/>
    <x v="4"/>
    <s v="GNR_ROR_WTR"/>
    <x v="0"/>
    <x v="13"/>
    <n v="1077.1597801871801"/>
    <n v="393163.31976832001"/>
    <n v="1415387.9511659499"/>
  </r>
  <r>
    <x v="0"/>
    <x v="0"/>
    <x v="0"/>
    <x v="7"/>
    <x v="15"/>
    <s v="NO5_A1"/>
    <x v="6"/>
    <x v="4"/>
    <s v="GNR_ROR_WTR"/>
    <x v="0"/>
    <x v="14"/>
    <n v="1077.1597801871801"/>
    <n v="393163.31976832001"/>
    <n v="1415387.9511659499"/>
  </r>
  <r>
    <x v="0"/>
    <x v="0"/>
    <x v="0"/>
    <x v="7"/>
    <x v="15"/>
    <s v="NO5_A1"/>
    <x v="6"/>
    <x v="4"/>
    <s v="GNR_ROR_WTR"/>
    <x v="0"/>
    <x v="15"/>
    <n v="1077.1597801871801"/>
    <n v="393163.31976832001"/>
    <n v="1415387.9511659499"/>
  </r>
  <r>
    <x v="0"/>
    <x v="0"/>
    <x v="0"/>
    <x v="7"/>
    <x v="15"/>
    <s v="NO5_A1"/>
    <x v="6"/>
    <x v="4"/>
    <s v="GNR_ROR_WTR"/>
    <x v="0"/>
    <x v="16"/>
    <n v="1077.1597801871801"/>
    <n v="393163.31976832001"/>
    <n v="1415387.9511659499"/>
  </r>
  <r>
    <x v="0"/>
    <x v="0"/>
    <x v="0"/>
    <x v="7"/>
    <x v="15"/>
    <s v="NO5_A1"/>
    <x v="6"/>
    <x v="4"/>
    <s v="GNR_ROR_WTR"/>
    <x v="0"/>
    <x v="17"/>
    <n v="1077.1597801871801"/>
    <n v="393163.31976832001"/>
    <n v="1415387.9511659499"/>
  </r>
  <r>
    <x v="0"/>
    <x v="0"/>
    <x v="0"/>
    <x v="7"/>
    <x v="15"/>
    <s v="NO5_A1"/>
    <x v="6"/>
    <x v="4"/>
    <s v="GNR_ROR_WTR"/>
    <x v="0"/>
    <x v="18"/>
    <n v="1077.1597801871801"/>
    <n v="393163.31976832001"/>
    <n v="1415387.9511659499"/>
  </r>
  <r>
    <x v="0"/>
    <x v="0"/>
    <x v="0"/>
    <x v="7"/>
    <x v="15"/>
    <s v="NO5_A1"/>
    <x v="6"/>
    <x v="4"/>
    <s v="GNR_ROR_WTR"/>
    <x v="0"/>
    <x v="19"/>
    <n v="1077.1597801871801"/>
    <n v="393163.31976832001"/>
    <n v="1415387.9511659499"/>
  </r>
  <r>
    <x v="0"/>
    <x v="0"/>
    <x v="0"/>
    <x v="7"/>
    <x v="15"/>
    <s v="NO5_A1"/>
    <x v="6"/>
    <x v="4"/>
    <s v="GNR_ROR_WTR"/>
    <x v="0"/>
    <x v="20"/>
    <n v="1077.1597801871801"/>
    <n v="393163.31976832001"/>
    <n v="1415387.9511659499"/>
  </r>
  <r>
    <x v="0"/>
    <x v="0"/>
    <x v="0"/>
    <x v="7"/>
    <x v="15"/>
    <s v="NO5_A1"/>
    <x v="6"/>
    <x v="4"/>
    <s v="GNR_ROR_WTR"/>
    <x v="0"/>
    <x v="21"/>
    <n v="1077.1597801871801"/>
    <n v="393163.31976832001"/>
    <n v="1415387.9511659499"/>
  </r>
  <r>
    <x v="0"/>
    <x v="0"/>
    <x v="0"/>
    <x v="7"/>
    <x v="15"/>
    <s v="NO5_A1"/>
    <x v="6"/>
    <x v="4"/>
    <s v="GNR_ROR_WTR"/>
    <x v="0"/>
    <x v="22"/>
    <n v="1077.1597801871801"/>
    <n v="393163.31976832001"/>
    <n v="1415387.9511659499"/>
  </r>
  <r>
    <x v="0"/>
    <x v="0"/>
    <x v="0"/>
    <x v="7"/>
    <x v="15"/>
    <s v="NO5_A1"/>
    <x v="6"/>
    <x v="4"/>
    <s v="GNR_ROR_WTR"/>
    <x v="0"/>
    <x v="23"/>
    <n v="1077.1597801871801"/>
    <n v="393163.31976832001"/>
    <n v="1415387.9511659499"/>
  </r>
  <r>
    <x v="0"/>
    <x v="0"/>
    <x v="0"/>
    <x v="8"/>
    <x v="16"/>
    <s v="PL_A"/>
    <x v="9"/>
    <x v="2"/>
    <s v="GNR_ST_BGAS_CND_E-37"/>
    <x v="0"/>
    <x v="1"/>
    <n v="364"/>
    <n v="132860"/>
    <n v="478296"/>
  </r>
  <r>
    <x v="0"/>
    <x v="0"/>
    <x v="0"/>
    <x v="8"/>
    <x v="16"/>
    <s v="PL_A"/>
    <x v="9"/>
    <x v="2"/>
    <s v="GNR_ST_BGAS_CND_E-37"/>
    <x v="0"/>
    <x v="2"/>
    <n v="364"/>
    <n v="132860"/>
    <n v="478296"/>
  </r>
  <r>
    <x v="0"/>
    <x v="0"/>
    <x v="0"/>
    <x v="8"/>
    <x v="16"/>
    <s v="PL_A"/>
    <x v="9"/>
    <x v="2"/>
    <s v="GNR_ST_BGAS_CND_E-37"/>
    <x v="0"/>
    <x v="9"/>
    <n v="364"/>
    <n v="132860"/>
    <n v="478296"/>
  </r>
  <r>
    <x v="0"/>
    <x v="0"/>
    <x v="0"/>
    <x v="8"/>
    <x v="16"/>
    <s v="PL_A"/>
    <x v="9"/>
    <x v="2"/>
    <s v="GNR_ST_BGAS_CND_E-37"/>
    <x v="0"/>
    <x v="10"/>
    <n v="364"/>
    <n v="132860"/>
    <n v="478296"/>
  </r>
  <r>
    <x v="0"/>
    <x v="0"/>
    <x v="0"/>
    <x v="8"/>
    <x v="16"/>
    <s v="PL_A"/>
    <x v="9"/>
    <x v="2"/>
    <s v="GNR_ST_BGAS_CND_E-37"/>
    <x v="0"/>
    <x v="11"/>
    <n v="364"/>
    <n v="132860"/>
    <n v="478296"/>
  </r>
  <r>
    <x v="0"/>
    <x v="0"/>
    <x v="0"/>
    <x v="8"/>
    <x v="16"/>
    <s v="PL_A"/>
    <x v="9"/>
    <x v="2"/>
    <s v="GNR_ST_BGAS_CND_E-37"/>
    <x v="0"/>
    <x v="12"/>
    <n v="364"/>
    <n v="132860"/>
    <n v="478296"/>
  </r>
  <r>
    <x v="0"/>
    <x v="0"/>
    <x v="0"/>
    <x v="8"/>
    <x v="16"/>
    <s v="PL_A"/>
    <x v="9"/>
    <x v="2"/>
    <s v="GNR_ST_BGAS_CND_E-37"/>
    <x v="0"/>
    <x v="15"/>
    <n v="364"/>
    <n v="132860"/>
    <n v="478296"/>
  </r>
  <r>
    <x v="0"/>
    <x v="0"/>
    <x v="0"/>
    <x v="8"/>
    <x v="16"/>
    <s v="PL_A"/>
    <x v="9"/>
    <x v="2"/>
    <s v="GNR_ST_BGAS_CND_E-37"/>
    <x v="0"/>
    <x v="16"/>
    <n v="364"/>
    <n v="132860"/>
    <n v="478296"/>
  </r>
  <r>
    <x v="0"/>
    <x v="0"/>
    <x v="0"/>
    <x v="8"/>
    <x v="16"/>
    <s v="PL_A"/>
    <x v="9"/>
    <x v="2"/>
    <s v="GNR_ST_BGAS_CND_E-37"/>
    <x v="0"/>
    <x v="17"/>
    <n v="364"/>
    <n v="132860"/>
    <n v="478296"/>
  </r>
  <r>
    <x v="0"/>
    <x v="0"/>
    <x v="0"/>
    <x v="8"/>
    <x v="16"/>
    <s v="PL_A"/>
    <x v="9"/>
    <x v="2"/>
    <s v="GNR_ST_BGAS_CND_E-37"/>
    <x v="0"/>
    <x v="18"/>
    <n v="364"/>
    <n v="132860"/>
    <n v="478296"/>
  </r>
  <r>
    <x v="0"/>
    <x v="0"/>
    <x v="0"/>
    <x v="8"/>
    <x v="16"/>
    <s v="PL_A"/>
    <x v="9"/>
    <x v="2"/>
    <s v="GNR_ST_BGAS_CND_E-37"/>
    <x v="0"/>
    <x v="19"/>
    <n v="281.93379769098499"/>
    <n v="102905.83615720901"/>
    <n v="370461.01016595401"/>
  </r>
  <r>
    <x v="0"/>
    <x v="0"/>
    <x v="0"/>
    <x v="8"/>
    <x v="16"/>
    <s v="PL_A"/>
    <x v="0"/>
    <x v="2"/>
    <s v="BIAL-4_ST_COAL_CND"/>
    <x v="0"/>
    <x v="16"/>
    <n v="21"/>
    <n v="7665"/>
    <n v="27594"/>
  </r>
  <r>
    <x v="0"/>
    <x v="0"/>
    <x v="0"/>
    <x v="8"/>
    <x v="16"/>
    <s v="PL_A"/>
    <x v="0"/>
    <x v="1"/>
    <s v="KATO_ST_COAL_BP"/>
    <x v="0"/>
    <x v="16"/>
    <n v="123"/>
    <n v="44895"/>
    <n v="161622"/>
  </r>
  <r>
    <x v="0"/>
    <x v="0"/>
    <x v="0"/>
    <x v="8"/>
    <x v="16"/>
    <s v="PL_A"/>
    <x v="0"/>
    <x v="0"/>
    <s v="LAZI-1_ST_COAL_EXT"/>
    <x v="0"/>
    <x v="16"/>
    <n v="51.904237406029999"/>
    <n v="18945.046653201"/>
    <n v="68202.167951523399"/>
  </r>
  <r>
    <x v="0"/>
    <x v="0"/>
    <x v="0"/>
    <x v="8"/>
    <x v="16"/>
    <s v="PL_A"/>
    <x v="0"/>
    <x v="1"/>
    <s v="SIER-1_ST_COAL_BP"/>
    <x v="0"/>
    <x v="1"/>
    <n v="255.53582639520599"/>
    <n v="93270.576634250101"/>
    <n v="335774.07588329999"/>
  </r>
  <r>
    <x v="0"/>
    <x v="0"/>
    <x v="0"/>
    <x v="8"/>
    <x v="16"/>
    <s v="PL_A"/>
    <x v="0"/>
    <x v="1"/>
    <s v="SIER-1_ST_COAL_BP"/>
    <x v="0"/>
    <x v="2"/>
    <n v="623"/>
    <n v="227395"/>
    <n v="818622"/>
  </r>
  <r>
    <x v="0"/>
    <x v="0"/>
    <x v="0"/>
    <x v="8"/>
    <x v="16"/>
    <s v="PL_A"/>
    <x v="0"/>
    <x v="1"/>
    <s v="SIER-1_ST_COAL_BP"/>
    <x v="0"/>
    <x v="15"/>
    <n v="109.11215548039399"/>
    <n v="39825.936750343797"/>
    <n v="143373.37230123801"/>
  </r>
  <r>
    <x v="0"/>
    <x v="0"/>
    <x v="0"/>
    <x v="8"/>
    <x v="16"/>
    <s v="PL_A"/>
    <x v="0"/>
    <x v="1"/>
    <s v="SIER-1_ST_COAL_BP"/>
    <x v="0"/>
    <x v="16"/>
    <n v="623"/>
    <n v="227395"/>
    <n v="818622"/>
  </r>
  <r>
    <x v="0"/>
    <x v="0"/>
    <x v="0"/>
    <x v="8"/>
    <x v="16"/>
    <s v="PL_A"/>
    <x v="0"/>
    <x v="1"/>
    <s v="SIER-1_ST_COAL_BP"/>
    <x v="0"/>
    <x v="17"/>
    <n v="623"/>
    <n v="227395"/>
    <n v="818622"/>
  </r>
  <r>
    <x v="0"/>
    <x v="0"/>
    <x v="0"/>
    <x v="8"/>
    <x v="16"/>
    <s v="PL_A"/>
    <x v="0"/>
    <x v="1"/>
    <s v="SIER-1_ST_COAL_BP"/>
    <x v="0"/>
    <x v="18"/>
    <n v="623"/>
    <n v="227395"/>
    <n v="818622"/>
  </r>
  <r>
    <x v="0"/>
    <x v="0"/>
    <x v="0"/>
    <x v="8"/>
    <x v="16"/>
    <s v="PL_A"/>
    <x v="0"/>
    <x v="1"/>
    <s v="ZIEL-2_ST_COAL_BP"/>
    <x v="0"/>
    <x v="1"/>
    <n v="11"/>
    <n v="4015"/>
    <n v="14454"/>
  </r>
  <r>
    <x v="0"/>
    <x v="0"/>
    <x v="0"/>
    <x v="8"/>
    <x v="16"/>
    <s v="PL_A"/>
    <x v="0"/>
    <x v="1"/>
    <s v="ZIEL-2_ST_COAL_BP"/>
    <x v="0"/>
    <x v="2"/>
    <n v="11"/>
    <n v="4015"/>
    <n v="14454"/>
  </r>
  <r>
    <x v="0"/>
    <x v="0"/>
    <x v="0"/>
    <x v="8"/>
    <x v="16"/>
    <s v="PL_A"/>
    <x v="0"/>
    <x v="1"/>
    <s v="ZIEL-2_ST_COAL_BP"/>
    <x v="0"/>
    <x v="16"/>
    <n v="11"/>
    <n v="4015"/>
    <n v="14454"/>
  </r>
  <r>
    <x v="0"/>
    <x v="0"/>
    <x v="0"/>
    <x v="8"/>
    <x v="16"/>
    <s v="PL_A"/>
    <x v="0"/>
    <x v="1"/>
    <s v="ZIEL-2_ST_COAL_BP"/>
    <x v="0"/>
    <x v="17"/>
    <n v="11"/>
    <n v="4015"/>
    <n v="14454"/>
  </r>
  <r>
    <x v="0"/>
    <x v="0"/>
    <x v="0"/>
    <x v="8"/>
    <x v="16"/>
    <s v="PL_A"/>
    <x v="0"/>
    <x v="1"/>
    <s v="ZIEL-2_ST_COAL_BP"/>
    <x v="0"/>
    <x v="18"/>
    <n v="11"/>
    <n v="4015"/>
    <n v="14454"/>
  </r>
  <r>
    <x v="0"/>
    <x v="0"/>
    <x v="0"/>
    <x v="8"/>
    <x v="16"/>
    <s v="PL_A"/>
    <x v="0"/>
    <x v="1"/>
    <s v="ZIEL-4_ST_COAL_BP"/>
    <x v="0"/>
    <x v="2"/>
    <n v="60"/>
    <n v="21900"/>
    <n v="78840"/>
  </r>
  <r>
    <x v="0"/>
    <x v="0"/>
    <x v="0"/>
    <x v="8"/>
    <x v="16"/>
    <s v="PL_A"/>
    <x v="0"/>
    <x v="1"/>
    <s v="ZIEL-4_ST_COAL_BP"/>
    <x v="0"/>
    <x v="16"/>
    <n v="60"/>
    <n v="21900"/>
    <n v="78840"/>
  </r>
  <r>
    <x v="0"/>
    <x v="0"/>
    <x v="0"/>
    <x v="8"/>
    <x v="16"/>
    <s v="PL_A"/>
    <x v="0"/>
    <x v="1"/>
    <s v="ZIEL-4_ST_COAL_BP"/>
    <x v="0"/>
    <x v="17"/>
    <n v="60"/>
    <n v="21900"/>
    <n v="78840"/>
  </r>
  <r>
    <x v="0"/>
    <x v="0"/>
    <x v="0"/>
    <x v="8"/>
    <x v="16"/>
    <s v="PL_A"/>
    <x v="0"/>
    <x v="1"/>
    <s v="ZIEL-4_ST_COAL_BP"/>
    <x v="0"/>
    <x v="18"/>
    <n v="14.545495951195299"/>
    <n v="5309.1060221862999"/>
    <n v="19112.781679870699"/>
  </r>
  <r>
    <x v="0"/>
    <x v="0"/>
    <x v="0"/>
    <x v="8"/>
    <x v="16"/>
    <s v="PL_A"/>
    <x v="1"/>
    <x v="0"/>
    <s v="GNR_ST_MSW_BP_E-15"/>
    <x v="0"/>
    <x v="3"/>
    <n v="34"/>
    <n v="12410"/>
    <n v="44676"/>
  </r>
  <r>
    <x v="0"/>
    <x v="0"/>
    <x v="0"/>
    <x v="8"/>
    <x v="16"/>
    <s v="PL_A"/>
    <x v="1"/>
    <x v="0"/>
    <s v="GNR_ST_MSW_BP_E-15"/>
    <x v="0"/>
    <x v="4"/>
    <n v="34"/>
    <n v="12410"/>
    <n v="44676"/>
  </r>
  <r>
    <x v="0"/>
    <x v="0"/>
    <x v="0"/>
    <x v="8"/>
    <x v="16"/>
    <s v="PL_A"/>
    <x v="1"/>
    <x v="0"/>
    <s v="GNR_ST_MSW_BP_E-15"/>
    <x v="0"/>
    <x v="5"/>
    <n v="34"/>
    <n v="12410"/>
    <n v="44676"/>
  </r>
  <r>
    <x v="0"/>
    <x v="0"/>
    <x v="0"/>
    <x v="8"/>
    <x v="16"/>
    <s v="PL_A"/>
    <x v="1"/>
    <x v="0"/>
    <s v="GNR_ST_MSW_BP_E-15"/>
    <x v="0"/>
    <x v="6"/>
    <n v="34"/>
    <n v="12410"/>
    <n v="44676"/>
  </r>
  <r>
    <x v="0"/>
    <x v="0"/>
    <x v="0"/>
    <x v="8"/>
    <x v="16"/>
    <s v="PL_A"/>
    <x v="1"/>
    <x v="0"/>
    <s v="GNR_ST_MSW_BP_E-15"/>
    <x v="0"/>
    <x v="7"/>
    <n v="34"/>
    <n v="12410"/>
    <n v="44676"/>
  </r>
  <r>
    <x v="0"/>
    <x v="0"/>
    <x v="0"/>
    <x v="8"/>
    <x v="16"/>
    <s v="PL_A"/>
    <x v="1"/>
    <x v="0"/>
    <s v="GNR_ST_MSW_BP_E-15"/>
    <x v="0"/>
    <x v="8"/>
    <n v="34"/>
    <n v="12410"/>
    <n v="44676"/>
  </r>
  <r>
    <x v="0"/>
    <x v="0"/>
    <x v="0"/>
    <x v="8"/>
    <x v="16"/>
    <s v="PL_A"/>
    <x v="1"/>
    <x v="0"/>
    <s v="GNR_ST_MSW_BP_E-15"/>
    <x v="0"/>
    <x v="0"/>
    <n v="34"/>
    <n v="12410"/>
    <n v="44676"/>
  </r>
  <r>
    <x v="0"/>
    <x v="0"/>
    <x v="0"/>
    <x v="8"/>
    <x v="16"/>
    <s v="PL_A"/>
    <x v="1"/>
    <x v="0"/>
    <s v="GNR_ST_MSW_BP_E-15"/>
    <x v="0"/>
    <x v="1"/>
    <n v="34"/>
    <n v="12410"/>
    <n v="44676"/>
  </r>
  <r>
    <x v="0"/>
    <x v="0"/>
    <x v="0"/>
    <x v="8"/>
    <x v="16"/>
    <s v="PL_A"/>
    <x v="1"/>
    <x v="0"/>
    <s v="GNR_ST_MSW_BP_E-15"/>
    <x v="0"/>
    <x v="2"/>
    <n v="34"/>
    <n v="12410"/>
    <n v="44676"/>
  </r>
  <r>
    <x v="0"/>
    <x v="0"/>
    <x v="0"/>
    <x v="8"/>
    <x v="16"/>
    <s v="PL_A"/>
    <x v="1"/>
    <x v="0"/>
    <s v="GNR_ST_MSW_BP_E-15"/>
    <x v="0"/>
    <x v="9"/>
    <n v="34"/>
    <n v="12410"/>
    <n v="44676"/>
  </r>
  <r>
    <x v="0"/>
    <x v="0"/>
    <x v="0"/>
    <x v="8"/>
    <x v="16"/>
    <s v="PL_A"/>
    <x v="1"/>
    <x v="0"/>
    <s v="GNR_ST_MSW_BP_E-15"/>
    <x v="0"/>
    <x v="10"/>
    <n v="34"/>
    <n v="12410"/>
    <n v="44676"/>
  </r>
  <r>
    <x v="0"/>
    <x v="0"/>
    <x v="0"/>
    <x v="8"/>
    <x v="16"/>
    <s v="PL_A"/>
    <x v="1"/>
    <x v="0"/>
    <s v="GNR_ST_MSW_BP_E-15"/>
    <x v="0"/>
    <x v="11"/>
    <n v="34"/>
    <n v="12410"/>
    <n v="44676"/>
  </r>
  <r>
    <x v="0"/>
    <x v="0"/>
    <x v="0"/>
    <x v="8"/>
    <x v="16"/>
    <s v="PL_A"/>
    <x v="1"/>
    <x v="0"/>
    <s v="GNR_ST_MSW_BP_E-15"/>
    <x v="0"/>
    <x v="12"/>
    <n v="34"/>
    <n v="12410"/>
    <n v="44676"/>
  </r>
  <r>
    <x v="0"/>
    <x v="0"/>
    <x v="0"/>
    <x v="8"/>
    <x v="16"/>
    <s v="PL_A"/>
    <x v="1"/>
    <x v="0"/>
    <s v="GNR_ST_MSW_BP_E-15"/>
    <x v="0"/>
    <x v="13"/>
    <n v="34"/>
    <n v="12410"/>
    <n v="44676"/>
  </r>
  <r>
    <x v="0"/>
    <x v="0"/>
    <x v="0"/>
    <x v="8"/>
    <x v="16"/>
    <s v="PL_A"/>
    <x v="1"/>
    <x v="0"/>
    <s v="GNR_ST_MSW_BP_E-15"/>
    <x v="0"/>
    <x v="14"/>
    <n v="34"/>
    <n v="12410"/>
    <n v="44676"/>
  </r>
  <r>
    <x v="0"/>
    <x v="0"/>
    <x v="0"/>
    <x v="8"/>
    <x v="16"/>
    <s v="PL_A"/>
    <x v="1"/>
    <x v="0"/>
    <s v="GNR_ST_MSW_BP_E-15"/>
    <x v="0"/>
    <x v="15"/>
    <n v="34"/>
    <n v="12410"/>
    <n v="44676"/>
  </r>
  <r>
    <x v="0"/>
    <x v="0"/>
    <x v="0"/>
    <x v="8"/>
    <x v="16"/>
    <s v="PL_A"/>
    <x v="1"/>
    <x v="0"/>
    <s v="GNR_ST_MSW_BP_E-15"/>
    <x v="0"/>
    <x v="16"/>
    <n v="34"/>
    <n v="12410"/>
    <n v="44676"/>
  </r>
  <r>
    <x v="0"/>
    <x v="0"/>
    <x v="0"/>
    <x v="8"/>
    <x v="16"/>
    <s v="PL_A"/>
    <x v="1"/>
    <x v="0"/>
    <s v="GNR_ST_MSW_BP_E-15"/>
    <x v="0"/>
    <x v="17"/>
    <n v="34"/>
    <n v="12410"/>
    <n v="44676"/>
  </r>
  <r>
    <x v="0"/>
    <x v="0"/>
    <x v="0"/>
    <x v="8"/>
    <x v="16"/>
    <s v="PL_A"/>
    <x v="1"/>
    <x v="0"/>
    <s v="GNR_ST_MSW_BP_E-15"/>
    <x v="0"/>
    <x v="18"/>
    <n v="34"/>
    <n v="12410"/>
    <n v="44676"/>
  </r>
  <r>
    <x v="0"/>
    <x v="0"/>
    <x v="0"/>
    <x v="8"/>
    <x v="16"/>
    <s v="PL_A"/>
    <x v="1"/>
    <x v="0"/>
    <s v="GNR_ST_MSW_BP_E-15"/>
    <x v="0"/>
    <x v="19"/>
    <n v="34"/>
    <n v="12410"/>
    <n v="44676"/>
  </r>
  <r>
    <x v="0"/>
    <x v="0"/>
    <x v="0"/>
    <x v="8"/>
    <x v="16"/>
    <s v="PL_A"/>
    <x v="1"/>
    <x v="0"/>
    <s v="GNR_ST_MSW_BP_E-15"/>
    <x v="0"/>
    <x v="20"/>
    <n v="34"/>
    <n v="12410"/>
    <n v="44676"/>
  </r>
  <r>
    <x v="0"/>
    <x v="0"/>
    <x v="0"/>
    <x v="8"/>
    <x v="16"/>
    <s v="PL_A"/>
    <x v="1"/>
    <x v="0"/>
    <s v="GNR_ST_MSW_BP_E-15"/>
    <x v="0"/>
    <x v="21"/>
    <n v="34"/>
    <n v="12410"/>
    <n v="44676"/>
  </r>
  <r>
    <x v="0"/>
    <x v="0"/>
    <x v="0"/>
    <x v="8"/>
    <x v="16"/>
    <s v="PL_A"/>
    <x v="1"/>
    <x v="0"/>
    <s v="GNR_ST_MSW_BP_E-15"/>
    <x v="0"/>
    <x v="22"/>
    <n v="34"/>
    <n v="12410"/>
    <n v="44676"/>
  </r>
  <r>
    <x v="0"/>
    <x v="0"/>
    <x v="0"/>
    <x v="8"/>
    <x v="16"/>
    <s v="PL_A"/>
    <x v="1"/>
    <x v="0"/>
    <s v="GNR_ST_MSW_BP_E-15"/>
    <x v="0"/>
    <x v="23"/>
    <n v="34"/>
    <n v="12410"/>
    <n v="44676"/>
  </r>
  <r>
    <x v="0"/>
    <x v="0"/>
    <x v="0"/>
    <x v="8"/>
    <x v="16"/>
    <s v="PL_A"/>
    <x v="2"/>
    <x v="0"/>
    <s v="GNR_ST_NGAS_BP_E-15"/>
    <x v="0"/>
    <x v="3"/>
    <n v="142"/>
    <n v="51830"/>
    <n v="186588"/>
  </r>
  <r>
    <x v="0"/>
    <x v="0"/>
    <x v="0"/>
    <x v="8"/>
    <x v="16"/>
    <s v="PL_A"/>
    <x v="2"/>
    <x v="0"/>
    <s v="GNR_ST_NGAS_BP_E-15"/>
    <x v="0"/>
    <x v="4"/>
    <n v="142"/>
    <n v="51830"/>
    <n v="186588"/>
  </r>
  <r>
    <x v="0"/>
    <x v="0"/>
    <x v="0"/>
    <x v="8"/>
    <x v="16"/>
    <s v="PL_A"/>
    <x v="2"/>
    <x v="0"/>
    <s v="GNR_ST_NGAS_BP_E-15"/>
    <x v="0"/>
    <x v="5"/>
    <n v="142"/>
    <n v="51830"/>
    <n v="186588"/>
  </r>
  <r>
    <x v="0"/>
    <x v="0"/>
    <x v="0"/>
    <x v="8"/>
    <x v="16"/>
    <s v="PL_A"/>
    <x v="2"/>
    <x v="0"/>
    <s v="GNR_ST_NGAS_BP_E-15"/>
    <x v="0"/>
    <x v="6"/>
    <n v="142"/>
    <n v="51830"/>
    <n v="186588"/>
  </r>
  <r>
    <x v="0"/>
    <x v="0"/>
    <x v="0"/>
    <x v="8"/>
    <x v="16"/>
    <s v="PL_A"/>
    <x v="2"/>
    <x v="0"/>
    <s v="GNR_ST_NGAS_BP_E-15"/>
    <x v="0"/>
    <x v="7"/>
    <n v="142"/>
    <n v="51830"/>
    <n v="186588"/>
  </r>
  <r>
    <x v="0"/>
    <x v="0"/>
    <x v="0"/>
    <x v="8"/>
    <x v="16"/>
    <s v="PL_A"/>
    <x v="2"/>
    <x v="0"/>
    <s v="GNR_ST_NGAS_BP_E-15"/>
    <x v="0"/>
    <x v="8"/>
    <n v="142"/>
    <n v="51830"/>
    <n v="186588"/>
  </r>
  <r>
    <x v="0"/>
    <x v="0"/>
    <x v="0"/>
    <x v="8"/>
    <x v="16"/>
    <s v="PL_A"/>
    <x v="2"/>
    <x v="0"/>
    <s v="GNR_ST_NGAS_BP_E-15"/>
    <x v="0"/>
    <x v="0"/>
    <n v="142"/>
    <n v="51830"/>
    <n v="186588"/>
  </r>
  <r>
    <x v="0"/>
    <x v="0"/>
    <x v="0"/>
    <x v="8"/>
    <x v="16"/>
    <s v="PL_A"/>
    <x v="2"/>
    <x v="0"/>
    <s v="GNR_ST_NGAS_BP_E-15"/>
    <x v="0"/>
    <x v="1"/>
    <n v="142"/>
    <n v="51830"/>
    <n v="186588"/>
  </r>
  <r>
    <x v="0"/>
    <x v="0"/>
    <x v="0"/>
    <x v="8"/>
    <x v="16"/>
    <s v="PL_A"/>
    <x v="2"/>
    <x v="0"/>
    <s v="GNR_ST_NGAS_BP_E-15"/>
    <x v="0"/>
    <x v="2"/>
    <n v="142"/>
    <n v="51830"/>
    <n v="186588"/>
  </r>
  <r>
    <x v="0"/>
    <x v="0"/>
    <x v="0"/>
    <x v="8"/>
    <x v="16"/>
    <s v="PL_A"/>
    <x v="2"/>
    <x v="0"/>
    <s v="GNR_ST_NGAS_BP_E-15"/>
    <x v="0"/>
    <x v="9"/>
    <n v="142"/>
    <n v="51830"/>
    <n v="186588"/>
  </r>
  <r>
    <x v="0"/>
    <x v="0"/>
    <x v="0"/>
    <x v="8"/>
    <x v="16"/>
    <s v="PL_A"/>
    <x v="2"/>
    <x v="0"/>
    <s v="GNR_ST_NGAS_BP_E-15"/>
    <x v="0"/>
    <x v="10"/>
    <n v="142"/>
    <n v="51830"/>
    <n v="186588"/>
  </r>
  <r>
    <x v="0"/>
    <x v="0"/>
    <x v="0"/>
    <x v="8"/>
    <x v="16"/>
    <s v="PL_A"/>
    <x v="2"/>
    <x v="0"/>
    <s v="GNR_ST_NGAS_BP_E-15"/>
    <x v="0"/>
    <x v="11"/>
    <n v="142"/>
    <n v="51830"/>
    <n v="186588"/>
  </r>
  <r>
    <x v="0"/>
    <x v="0"/>
    <x v="0"/>
    <x v="8"/>
    <x v="16"/>
    <s v="PL_A"/>
    <x v="2"/>
    <x v="0"/>
    <s v="GNR_ST_NGAS_BP_E-15"/>
    <x v="0"/>
    <x v="12"/>
    <n v="142"/>
    <n v="51830"/>
    <n v="186588"/>
  </r>
  <r>
    <x v="0"/>
    <x v="0"/>
    <x v="0"/>
    <x v="8"/>
    <x v="16"/>
    <s v="PL_A"/>
    <x v="2"/>
    <x v="0"/>
    <s v="GNR_ST_NGAS_BP_E-15"/>
    <x v="0"/>
    <x v="13"/>
    <n v="142"/>
    <n v="51830"/>
    <n v="186588"/>
  </r>
  <r>
    <x v="0"/>
    <x v="0"/>
    <x v="0"/>
    <x v="8"/>
    <x v="16"/>
    <s v="PL_A"/>
    <x v="2"/>
    <x v="0"/>
    <s v="GNR_ST_NGAS_BP_E-15"/>
    <x v="0"/>
    <x v="14"/>
    <n v="142"/>
    <n v="51830"/>
    <n v="186588"/>
  </r>
  <r>
    <x v="0"/>
    <x v="0"/>
    <x v="0"/>
    <x v="8"/>
    <x v="16"/>
    <s v="PL_A"/>
    <x v="2"/>
    <x v="0"/>
    <s v="GNR_ST_NGAS_BP_E-15"/>
    <x v="0"/>
    <x v="15"/>
    <n v="142"/>
    <n v="51830"/>
    <n v="186588"/>
  </r>
  <r>
    <x v="0"/>
    <x v="0"/>
    <x v="0"/>
    <x v="8"/>
    <x v="16"/>
    <s v="PL_A"/>
    <x v="2"/>
    <x v="0"/>
    <s v="GNR_ST_NGAS_BP_E-15"/>
    <x v="0"/>
    <x v="16"/>
    <n v="142"/>
    <n v="51830"/>
    <n v="186588"/>
  </r>
  <r>
    <x v="0"/>
    <x v="0"/>
    <x v="0"/>
    <x v="8"/>
    <x v="16"/>
    <s v="PL_A"/>
    <x v="2"/>
    <x v="0"/>
    <s v="GNR_ST_NGAS_BP_E-15"/>
    <x v="0"/>
    <x v="17"/>
    <n v="142"/>
    <n v="51830"/>
    <n v="186588"/>
  </r>
  <r>
    <x v="0"/>
    <x v="0"/>
    <x v="0"/>
    <x v="8"/>
    <x v="16"/>
    <s v="PL_A"/>
    <x v="2"/>
    <x v="0"/>
    <s v="GNR_ST_NGAS_BP_E-15"/>
    <x v="0"/>
    <x v="18"/>
    <n v="142"/>
    <n v="51830"/>
    <n v="186588"/>
  </r>
  <r>
    <x v="0"/>
    <x v="0"/>
    <x v="0"/>
    <x v="8"/>
    <x v="16"/>
    <s v="PL_A"/>
    <x v="2"/>
    <x v="0"/>
    <s v="GNR_ST_NGAS_BP_E-15"/>
    <x v="0"/>
    <x v="19"/>
    <n v="142"/>
    <n v="51830"/>
    <n v="186588"/>
  </r>
  <r>
    <x v="0"/>
    <x v="0"/>
    <x v="0"/>
    <x v="8"/>
    <x v="16"/>
    <s v="PL_A"/>
    <x v="2"/>
    <x v="0"/>
    <s v="GNR_ST_NGAS_BP_E-15"/>
    <x v="0"/>
    <x v="20"/>
    <n v="142"/>
    <n v="51830"/>
    <n v="186588"/>
  </r>
  <r>
    <x v="0"/>
    <x v="0"/>
    <x v="0"/>
    <x v="8"/>
    <x v="16"/>
    <s v="PL_A"/>
    <x v="2"/>
    <x v="0"/>
    <s v="GNR_ST_NGAS_BP_E-15"/>
    <x v="0"/>
    <x v="21"/>
    <n v="142"/>
    <n v="51830"/>
    <n v="186588"/>
  </r>
  <r>
    <x v="0"/>
    <x v="0"/>
    <x v="0"/>
    <x v="8"/>
    <x v="16"/>
    <s v="PL_A"/>
    <x v="2"/>
    <x v="0"/>
    <s v="GNR_ST_NGAS_BP_E-15"/>
    <x v="0"/>
    <x v="22"/>
    <n v="142"/>
    <n v="51830"/>
    <n v="186588"/>
  </r>
  <r>
    <x v="0"/>
    <x v="0"/>
    <x v="0"/>
    <x v="8"/>
    <x v="16"/>
    <s v="PL_A"/>
    <x v="2"/>
    <x v="0"/>
    <s v="GNR_ST_NGAS_BP_E-15"/>
    <x v="0"/>
    <x v="23"/>
    <n v="142"/>
    <n v="51830"/>
    <n v="186588"/>
  </r>
  <r>
    <x v="0"/>
    <x v="0"/>
    <x v="0"/>
    <x v="8"/>
    <x v="16"/>
    <s v="PL_A"/>
    <x v="2"/>
    <x v="1"/>
    <s v="GORZ-4_ST_NGAS_BP"/>
    <x v="0"/>
    <x v="3"/>
    <n v="52"/>
    <n v="18980"/>
    <n v="68328"/>
  </r>
  <r>
    <x v="0"/>
    <x v="0"/>
    <x v="0"/>
    <x v="8"/>
    <x v="16"/>
    <s v="PL_A"/>
    <x v="2"/>
    <x v="1"/>
    <s v="GORZ-4_ST_NGAS_BP"/>
    <x v="0"/>
    <x v="4"/>
    <n v="52"/>
    <n v="18980"/>
    <n v="68328"/>
  </r>
  <r>
    <x v="0"/>
    <x v="0"/>
    <x v="0"/>
    <x v="8"/>
    <x v="16"/>
    <s v="PL_A"/>
    <x v="2"/>
    <x v="1"/>
    <s v="GORZ-4_ST_NGAS_BP"/>
    <x v="0"/>
    <x v="5"/>
    <n v="52"/>
    <n v="18980"/>
    <n v="68328"/>
  </r>
  <r>
    <x v="0"/>
    <x v="0"/>
    <x v="0"/>
    <x v="8"/>
    <x v="16"/>
    <s v="PL_A"/>
    <x v="2"/>
    <x v="1"/>
    <s v="GORZ-4_ST_NGAS_BP"/>
    <x v="0"/>
    <x v="6"/>
    <n v="52"/>
    <n v="18980"/>
    <n v="68328"/>
  </r>
  <r>
    <x v="0"/>
    <x v="0"/>
    <x v="0"/>
    <x v="8"/>
    <x v="16"/>
    <s v="PL_A"/>
    <x v="2"/>
    <x v="1"/>
    <s v="GORZ-4_ST_NGAS_BP"/>
    <x v="0"/>
    <x v="7"/>
    <n v="52"/>
    <n v="18980"/>
    <n v="68328"/>
  </r>
  <r>
    <x v="0"/>
    <x v="0"/>
    <x v="0"/>
    <x v="8"/>
    <x v="16"/>
    <s v="PL_A"/>
    <x v="2"/>
    <x v="1"/>
    <s v="GORZ-4_ST_NGAS_BP"/>
    <x v="0"/>
    <x v="8"/>
    <n v="52"/>
    <n v="18980"/>
    <n v="68328"/>
  </r>
  <r>
    <x v="0"/>
    <x v="0"/>
    <x v="0"/>
    <x v="8"/>
    <x v="16"/>
    <s v="PL_A"/>
    <x v="2"/>
    <x v="1"/>
    <s v="GORZ-4_ST_NGAS_BP"/>
    <x v="0"/>
    <x v="0"/>
    <n v="52"/>
    <n v="18980"/>
    <n v="68328"/>
  </r>
  <r>
    <x v="0"/>
    <x v="0"/>
    <x v="0"/>
    <x v="8"/>
    <x v="16"/>
    <s v="PL_A"/>
    <x v="2"/>
    <x v="1"/>
    <s v="GORZ-4_ST_NGAS_BP"/>
    <x v="0"/>
    <x v="1"/>
    <n v="52"/>
    <n v="18980"/>
    <n v="68328"/>
  </r>
  <r>
    <x v="0"/>
    <x v="0"/>
    <x v="0"/>
    <x v="8"/>
    <x v="16"/>
    <s v="PL_A"/>
    <x v="2"/>
    <x v="1"/>
    <s v="GORZ-4_ST_NGAS_BP"/>
    <x v="0"/>
    <x v="2"/>
    <n v="52"/>
    <n v="18980"/>
    <n v="68328"/>
  </r>
  <r>
    <x v="0"/>
    <x v="0"/>
    <x v="0"/>
    <x v="8"/>
    <x v="16"/>
    <s v="PL_A"/>
    <x v="2"/>
    <x v="1"/>
    <s v="GORZ-4_ST_NGAS_BP"/>
    <x v="0"/>
    <x v="9"/>
    <n v="52"/>
    <n v="18980"/>
    <n v="68328"/>
  </r>
  <r>
    <x v="0"/>
    <x v="0"/>
    <x v="0"/>
    <x v="8"/>
    <x v="16"/>
    <s v="PL_A"/>
    <x v="2"/>
    <x v="1"/>
    <s v="GORZ-4_ST_NGAS_BP"/>
    <x v="0"/>
    <x v="10"/>
    <n v="52"/>
    <n v="18980"/>
    <n v="68328"/>
  </r>
  <r>
    <x v="0"/>
    <x v="0"/>
    <x v="0"/>
    <x v="8"/>
    <x v="16"/>
    <s v="PL_A"/>
    <x v="2"/>
    <x v="1"/>
    <s v="GORZ-4_ST_NGAS_BP"/>
    <x v="0"/>
    <x v="11"/>
    <n v="52"/>
    <n v="18980"/>
    <n v="68328"/>
  </r>
  <r>
    <x v="0"/>
    <x v="0"/>
    <x v="0"/>
    <x v="8"/>
    <x v="16"/>
    <s v="PL_A"/>
    <x v="2"/>
    <x v="1"/>
    <s v="GORZ-4_ST_NGAS_BP"/>
    <x v="0"/>
    <x v="12"/>
    <n v="52"/>
    <n v="18980"/>
    <n v="68328"/>
  </r>
  <r>
    <x v="0"/>
    <x v="0"/>
    <x v="0"/>
    <x v="8"/>
    <x v="16"/>
    <s v="PL_A"/>
    <x v="2"/>
    <x v="1"/>
    <s v="GORZ-4_ST_NGAS_BP"/>
    <x v="0"/>
    <x v="13"/>
    <n v="52"/>
    <n v="18980"/>
    <n v="68328"/>
  </r>
  <r>
    <x v="0"/>
    <x v="0"/>
    <x v="0"/>
    <x v="8"/>
    <x v="16"/>
    <s v="PL_A"/>
    <x v="2"/>
    <x v="1"/>
    <s v="GORZ-4_ST_NGAS_BP"/>
    <x v="0"/>
    <x v="14"/>
    <n v="52"/>
    <n v="18980"/>
    <n v="68328"/>
  </r>
  <r>
    <x v="0"/>
    <x v="0"/>
    <x v="0"/>
    <x v="8"/>
    <x v="16"/>
    <s v="PL_A"/>
    <x v="2"/>
    <x v="1"/>
    <s v="GORZ-4_ST_NGAS_BP"/>
    <x v="0"/>
    <x v="15"/>
    <n v="52"/>
    <n v="18980"/>
    <n v="68328"/>
  </r>
  <r>
    <x v="0"/>
    <x v="0"/>
    <x v="0"/>
    <x v="8"/>
    <x v="16"/>
    <s v="PL_A"/>
    <x v="2"/>
    <x v="1"/>
    <s v="GORZ-4_ST_NGAS_BP"/>
    <x v="0"/>
    <x v="16"/>
    <n v="52"/>
    <n v="18980"/>
    <n v="68328"/>
  </r>
  <r>
    <x v="0"/>
    <x v="0"/>
    <x v="0"/>
    <x v="8"/>
    <x v="16"/>
    <s v="PL_A"/>
    <x v="2"/>
    <x v="1"/>
    <s v="GORZ-4_ST_NGAS_BP"/>
    <x v="0"/>
    <x v="17"/>
    <n v="52"/>
    <n v="18980"/>
    <n v="68328"/>
  </r>
  <r>
    <x v="0"/>
    <x v="0"/>
    <x v="0"/>
    <x v="8"/>
    <x v="16"/>
    <s v="PL_A"/>
    <x v="2"/>
    <x v="1"/>
    <s v="GORZ-4_ST_NGAS_BP"/>
    <x v="0"/>
    <x v="18"/>
    <n v="52"/>
    <n v="18980"/>
    <n v="68328"/>
  </r>
  <r>
    <x v="0"/>
    <x v="0"/>
    <x v="0"/>
    <x v="8"/>
    <x v="16"/>
    <s v="PL_A"/>
    <x v="2"/>
    <x v="1"/>
    <s v="GORZ-4_ST_NGAS_BP"/>
    <x v="0"/>
    <x v="19"/>
    <n v="52"/>
    <n v="18980"/>
    <n v="68328"/>
  </r>
  <r>
    <x v="0"/>
    <x v="0"/>
    <x v="0"/>
    <x v="8"/>
    <x v="16"/>
    <s v="PL_A"/>
    <x v="2"/>
    <x v="1"/>
    <s v="GORZ-4_ST_NGAS_BP"/>
    <x v="0"/>
    <x v="20"/>
    <n v="52"/>
    <n v="18980"/>
    <n v="68328"/>
  </r>
  <r>
    <x v="0"/>
    <x v="0"/>
    <x v="0"/>
    <x v="8"/>
    <x v="16"/>
    <s v="PL_A"/>
    <x v="2"/>
    <x v="1"/>
    <s v="GORZ-4_ST_NGAS_BP"/>
    <x v="0"/>
    <x v="21"/>
    <n v="52"/>
    <n v="18980"/>
    <n v="68328"/>
  </r>
  <r>
    <x v="0"/>
    <x v="0"/>
    <x v="0"/>
    <x v="8"/>
    <x v="16"/>
    <s v="PL_A"/>
    <x v="2"/>
    <x v="1"/>
    <s v="GORZ-4_ST_NGAS_BP"/>
    <x v="0"/>
    <x v="22"/>
    <n v="52"/>
    <n v="18980"/>
    <n v="68328"/>
  </r>
  <r>
    <x v="0"/>
    <x v="0"/>
    <x v="0"/>
    <x v="8"/>
    <x v="16"/>
    <s v="PL_A"/>
    <x v="2"/>
    <x v="1"/>
    <s v="GORZ-4_ST_NGAS_BP"/>
    <x v="0"/>
    <x v="23"/>
    <n v="52"/>
    <n v="18980"/>
    <n v="68328"/>
  </r>
  <r>
    <x v="0"/>
    <x v="0"/>
    <x v="0"/>
    <x v="8"/>
    <x v="16"/>
    <s v="PL_A"/>
    <x v="2"/>
    <x v="1"/>
    <s v="NOWA-1_ST_NGAS_BP"/>
    <x v="0"/>
    <x v="3"/>
    <n v="127"/>
    <n v="46355"/>
    <n v="166878"/>
  </r>
  <r>
    <x v="0"/>
    <x v="0"/>
    <x v="0"/>
    <x v="8"/>
    <x v="16"/>
    <s v="PL_A"/>
    <x v="2"/>
    <x v="1"/>
    <s v="NOWA-1_ST_NGAS_BP"/>
    <x v="0"/>
    <x v="4"/>
    <n v="127"/>
    <n v="46355"/>
    <n v="166878"/>
  </r>
  <r>
    <x v="0"/>
    <x v="0"/>
    <x v="0"/>
    <x v="8"/>
    <x v="16"/>
    <s v="PL_A"/>
    <x v="2"/>
    <x v="1"/>
    <s v="NOWA-1_ST_NGAS_BP"/>
    <x v="0"/>
    <x v="5"/>
    <n v="127"/>
    <n v="46355"/>
    <n v="166878"/>
  </r>
  <r>
    <x v="0"/>
    <x v="0"/>
    <x v="0"/>
    <x v="8"/>
    <x v="16"/>
    <s v="PL_A"/>
    <x v="2"/>
    <x v="1"/>
    <s v="NOWA-1_ST_NGAS_BP"/>
    <x v="0"/>
    <x v="6"/>
    <n v="127"/>
    <n v="46355"/>
    <n v="166878"/>
  </r>
  <r>
    <x v="0"/>
    <x v="0"/>
    <x v="0"/>
    <x v="8"/>
    <x v="16"/>
    <s v="PL_A"/>
    <x v="2"/>
    <x v="1"/>
    <s v="NOWA-1_ST_NGAS_BP"/>
    <x v="0"/>
    <x v="7"/>
    <n v="127"/>
    <n v="46355"/>
    <n v="166878"/>
  </r>
  <r>
    <x v="0"/>
    <x v="0"/>
    <x v="0"/>
    <x v="8"/>
    <x v="16"/>
    <s v="PL_A"/>
    <x v="2"/>
    <x v="1"/>
    <s v="NOWA-1_ST_NGAS_BP"/>
    <x v="0"/>
    <x v="8"/>
    <n v="127"/>
    <n v="46355"/>
    <n v="166878"/>
  </r>
  <r>
    <x v="0"/>
    <x v="0"/>
    <x v="0"/>
    <x v="8"/>
    <x v="16"/>
    <s v="PL_A"/>
    <x v="2"/>
    <x v="1"/>
    <s v="NOWA-1_ST_NGAS_BP"/>
    <x v="0"/>
    <x v="0"/>
    <n v="127"/>
    <n v="46355"/>
    <n v="166878"/>
  </r>
  <r>
    <x v="0"/>
    <x v="0"/>
    <x v="0"/>
    <x v="8"/>
    <x v="16"/>
    <s v="PL_A"/>
    <x v="2"/>
    <x v="1"/>
    <s v="NOWA-1_ST_NGAS_BP"/>
    <x v="0"/>
    <x v="1"/>
    <n v="127"/>
    <n v="46355"/>
    <n v="166878"/>
  </r>
  <r>
    <x v="0"/>
    <x v="0"/>
    <x v="0"/>
    <x v="8"/>
    <x v="16"/>
    <s v="PL_A"/>
    <x v="2"/>
    <x v="1"/>
    <s v="NOWA-1_ST_NGAS_BP"/>
    <x v="0"/>
    <x v="2"/>
    <n v="127"/>
    <n v="46355"/>
    <n v="166878"/>
  </r>
  <r>
    <x v="0"/>
    <x v="0"/>
    <x v="0"/>
    <x v="8"/>
    <x v="16"/>
    <s v="PL_A"/>
    <x v="2"/>
    <x v="1"/>
    <s v="NOWA-1_ST_NGAS_BP"/>
    <x v="0"/>
    <x v="9"/>
    <n v="127"/>
    <n v="46355"/>
    <n v="166878"/>
  </r>
  <r>
    <x v="0"/>
    <x v="0"/>
    <x v="0"/>
    <x v="8"/>
    <x v="16"/>
    <s v="PL_A"/>
    <x v="2"/>
    <x v="1"/>
    <s v="NOWA-1_ST_NGAS_BP"/>
    <x v="0"/>
    <x v="10"/>
    <n v="127"/>
    <n v="46355"/>
    <n v="166878"/>
  </r>
  <r>
    <x v="0"/>
    <x v="0"/>
    <x v="0"/>
    <x v="8"/>
    <x v="16"/>
    <s v="PL_A"/>
    <x v="2"/>
    <x v="1"/>
    <s v="NOWA-1_ST_NGAS_BP"/>
    <x v="0"/>
    <x v="11"/>
    <n v="127"/>
    <n v="46355"/>
    <n v="166878"/>
  </r>
  <r>
    <x v="0"/>
    <x v="0"/>
    <x v="0"/>
    <x v="8"/>
    <x v="16"/>
    <s v="PL_A"/>
    <x v="2"/>
    <x v="1"/>
    <s v="NOWA-1_ST_NGAS_BP"/>
    <x v="0"/>
    <x v="12"/>
    <n v="127"/>
    <n v="46355"/>
    <n v="166878"/>
  </r>
  <r>
    <x v="0"/>
    <x v="0"/>
    <x v="0"/>
    <x v="8"/>
    <x v="16"/>
    <s v="PL_A"/>
    <x v="2"/>
    <x v="1"/>
    <s v="NOWA-1_ST_NGAS_BP"/>
    <x v="0"/>
    <x v="13"/>
    <n v="127"/>
    <n v="46355"/>
    <n v="166878"/>
  </r>
  <r>
    <x v="0"/>
    <x v="0"/>
    <x v="0"/>
    <x v="8"/>
    <x v="16"/>
    <s v="PL_A"/>
    <x v="2"/>
    <x v="1"/>
    <s v="NOWA-1_ST_NGAS_BP"/>
    <x v="0"/>
    <x v="14"/>
    <n v="127"/>
    <n v="46355"/>
    <n v="166878"/>
  </r>
  <r>
    <x v="0"/>
    <x v="0"/>
    <x v="0"/>
    <x v="8"/>
    <x v="16"/>
    <s v="PL_A"/>
    <x v="2"/>
    <x v="1"/>
    <s v="NOWA-1_ST_NGAS_BP"/>
    <x v="0"/>
    <x v="15"/>
    <n v="127"/>
    <n v="46355"/>
    <n v="166878"/>
  </r>
  <r>
    <x v="0"/>
    <x v="0"/>
    <x v="0"/>
    <x v="8"/>
    <x v="16"/>
    <s v="PL_A"/>
    <x v="2"/>
    <x v="1"/>
    <s v="NOWA-1_ST_NGAS_BP"/>
    <x v="0"/>
    <x v="16"/>
    <n v="127"/>
    <n v="46355"/>
    <n v="166878"/>
  </r>
  <r>
    <x v="0"/>
    <x v="0"/>
    <x v="0"/>
    <x v="8"/>
    <x v="16"/>
    <s v="PL_A"/>
    <x v="2"/>
    <x v="1"/>
    <s v="NOWA-1_ST_NGAS_BP"/>
    <x v="0"/>
    <x v="17"/>
    <n v="127"/>
    <n v="46355"/>
    <n v="166878"/>
  </r>
  <r>
    <x v="0"/>
    <x v="0"/>
    <x v="0"/>
    <x v="8"/>
    <x v="16"/>
    <s v="PL_A"/>
    <x v="2"/>
    <x v="1"/>
    <s v="NOWA-1_ST_NGAS_BP"/>
    <x v="0"/>
    <x v="18"/>
    <n v="127"/>
    <n v="46355"/>
    <n v="166878"/>
  </r>
  <r>
    <x v="0"/>
    <x v="0"/>
    <x v="0"/>
    <x v="8"/>
    <x v="16"/>
    <s v="PL_A"/>
    <x v="2"/>
    <x v="1"/>
    <s v="NOWA-1_ST_NGAS_BP"/>
    <x v="0"/>
    <x v="19"/>
    <n v="127"/>
    <n v="46355"/>
    <n v="166878"/>
  </r>
  <r>
    <x v="0"/>
    <x v="0"/>
    <x v="0"/>
    <x v="8"/>
    <x v="16"/>
    <s v="PL_A"/>
    <x v="2"/>
    <x v="1"/>
    <s v="NOWA-1_ST_NGAS_BP"/>
    <x v="0"/>
    <x v="20"/>
    <n v="127"/>
    <n v="46355"/>
    <n v="166878"/>
  </r>
  <r>
    <x v="0"/>
    <x v="0"/>
    <x v="0"/>
    <x v="8"/>
    <x v="16"/>
    <s v="PL_A"/>
    <x v="2"/>
    <x v="1"/>
    <s v="NOWA-1_ST_NGAS_BP"/>
    <x v="0"/>
    <x v="21"/>
    <n v="127"/>
    <n v="46355"/>
    <n v="166878"/>
  </r>
  <r>
    <x v="0"/>
    <x v="0"/>
    <x v="0"/>
    <x v="8"/>
    <x v="16"/>
    <s v="PL_A"/>
    <x v="2"/>
    <x v="1"/>
    <s v="NOWA-1_ST_NGAS_BP"/>
    <x v="0"/>
    <x v="22"/>
    <n v="127"/>
    <n v="46355"/>
    <n v="166878"/>
  </r>
  <r>
    <x v="0"/>
    <x v="0"/>
    <x v="0"/>
    <x v="8"/>
    <x v="16"/>
    <s v="PL_A"/>
    <x v="2"/>
    <x v="1"/>
    <s v="NOWA-1_ST_NGAS_BP"/>
    <x v="0"/>
    <x v="23"/>
    <n v="127"/>
    <n v="46355"/>
    <n v="166878"/>
  </r>
  <r>
    <x v="0"/>
    <x v="0"/>
    <x v="0"/>
    <x v="8"/>
    <x v="16"/>
    <s v="PL_A"/>
    <x v="2"/>
    <x v="1"/>
    <s v="RZES-2_ST_NGAS_BP"/>
    <x v="0"/>
    <x v="3"/>
    <n v="32"/>
    <n v="11680"/>
    <n v="42048"/>
  </r>
  <r>
    <x v="0"/>
    <x v="0"/>
    <x v="0"/>
    <x v="8"/>
    <x v="16"/>
    <s v="PL_A"/>
    <x v="2"/>
    <x v="1"/>
    <s v="RZES-2_ST_NGAS_BP"/>
    <x v="0"/>
    <x v="4"/>
    <n v="32"/>
    <n v="11680"/>
    <n v="42048"/>
  </r>
  <r>
    <x v="0"/>
    <x v="0"/>
    <x v="0"/>
    <x v="8"/>
    <x v="16"/>
    <s v="PL_A"/>
    <x v="2"/>
    <x v="1"/>
    <s v="RZES-2_ST_NGAS_BP"/>
    <x v="0"/>
    <x v="5"/>
    <n v="32"/>
    <n v="11680"/>
    <n v="42048"/>
  </r>
  <r>
    <x v="0"/>
    <x v="0"/>
    <x v="0"/>
    <x v="8"/>
    <x v="16"/>
    <s v="PL_A"/>
    <x v="2"/>
    <x v="1"/>
    <s v="RZES-2_ST_NGAS_BP"/>
    <x v="0"/>
    <x v="6"/>
    <n v="32"/>
    <n v="11680"/>
    <n v="42048"/>
  </r>
  <r>
    <x v="0"/>
    <x v="0"/>
    <x v="0"/>
    <x v="8"/>
    <x v="16"/>
    <s v="PL_A"/>
    <x v="2"/>
    <x v="1"/>
    <s v="RZES-2_ST_NGAS_BP"/>
    <x v="0"/>
    <x v="7"/>
    <n v="32"/>
    <n v="11680"/>
    <n v="42048"/>
  </r>
  <r>
    <x v="0"/>
    <x v="0"/>
    <x v="0"/>
    <x v="8"/>
    <x v="16"/>
    <s v="PL_A"/>
    <x v="2"/>
    <x v="1"/>
    <s v="RZES-2_ST_NGAS_BP"/>
    <x v="0"/>
    <x v="8"/>
    <n v="32"/>
    <n v="11680"/>
    <n v="42048"/>
  </r>
  <r>
    <x v="0"/>
    <x v="0"/>
    <x v="0"/>
    <x v="8"/>
    <x v="16"/>
    <s v="PL_A"/>
    <x v="2"/>
    <x v="1"/>
    <s v="RZES-2_ST_NGAS_BP"/>
    <x v="0"/>
    <x v="0"/>
    <n v="32"/>
    <n v="11680"/>
    <n v="42048"/>
  </r>
  <r>
    <x v="0"/>
    <x v="0"/>
    <x v="0"/>
    <x v="8"/>
    <x v="16"/>
    <s v="PL_A"/>
    <x v="2"/>
    <x v="1"/>
    <s v="RZES-2_ST_NGAS_BP"/>
    <x v="0"/>
    <x v="1"/>
    <n v="32"/>
    <n v="11680"/>
    <n v="42048"/>
  </r>
  <r>
    <x v="0"/>
    <x v="0"/>
    <x v="0"/>
    <x v="8"/>
    <x v="16"/>
    <s v="PL_A"/>
    <x v="2"/>
    <x v="1"/>
    <s v="RZES-2_ST_NGAS_BP"/>
    <x v="0"/>
    <x v="2"/>
    <n v="32"/>
    <n v="11680"/>
    <n v="42048"/>
  </r>
  <r>
    <x v="0"/>
    <x v="0"/>
    <x v="0"/>
    <x v="8"/>
    <x v="16"/>
    <s v="PL_A"/>
    <x v="2"/>
    <x v="1"/>
    <s v="RZES-2_ST_NGAS_BP"/>
    <x v="0"/>
    <x v="9"/>
    <n v="32"/>
    <n v="11680"/>
    <n v="42048"/>
  </r>
  <r>
    <x v="0"/>
    <x v="0"/>
    <x v="0"/>
    <x v="8"/>
    <x v="16"/>
    <s v="PL_A"/>
    <x v="2"/>
    <x v="1"/>
    <s v="RZES-2_ST_NGAS_BP"/>
    <x v="0"/>
    <x v="10"/>
    <n v="32"/>
    <n v="11680"/>
    <n v="42048"/>
  </r>
  <r>
    <x v="0"/>
    <x v="0"/>
    <x v="0"/>
    <x v="8"/>
    <x v="16"/>
    <s v="PL_A"/>
    <x v="2"/>
    <x v="1"/>
    <s v="RZES-2_ST_NGAS_BP"/>
    <x v="0"/>
    <x v="11"/>
    <n v="32"/>
    <n v="11680"/>
    <n v="42048"/>
  </r>
  <r>
    <x v="0"/>
    <x v="0"/>
    <x v="0"/>
    <x v="8"/>
    <x v="16"/>
    <s v="PL_A"/>
    <x v="2"/>
    <x v="1"/>
    <s v="RZES-2_ST_NGAS_BP"/>
    <x v="0"/>
    <x v="12"/>
    <n v="32"/>
    <n v="11680"/>
    <n v="42048"/>
  </r>
  <r>
    <x v="0"/>
    <x v="0"/>
    <x v="0"/>
    <x v="8"/>
    <x v="16"/>
    <s v="PL_A"/>
    <x v="2"/>
    <x v="1"/>
    <s v="RZES-2_ST_NGAS_BP"/>
    <x v="0"/>
    <x v="13"/>
    <n v="32"/>
    <n v="11680"/>
    <n v="42048"/>
  </r>
  <r>
    <x v="0"/>
    <x v="0"/>
    <x v="0"/>
    <x v="8"/>
    <x v="16"/>
    <s v="PL_A"/>
    <x v="2"/>
    <x v="1"/>
    <s v="RZES-2_ST_NGAS_BP"/>
    <x v="0"/>
    <x v="14"/>
    <n v="32"/>
    <n v="11680"/>
    <n v="42048"/>
  </r>
  <r>
    <x v="0"/>
    <x v="0"/>
    <x v="0"/>
    <x v="8"/>
    <x v="16"/>
    <s v="PL_A"/>
    <x v="2"/>
    <x v="1"/>
    <s v="RZES-2_ST_NGAS_BP"/>
    <x v="0"/>
    <x v="15"/>
    <n v="32"/>
    <n v="11680"/>
    <n v="42048"/>
  </r>
  <r>
    <x v="0"/>
    <x v="0"/>
    <x v="0"/>
    <x v="8"/>
    <x v="16"/>
    <s v="PL_A"/>
    <x v="2"/>
    <x v="1"/>
    <s v="RZES-2_ST_NGAS_BP"/>
    <x v="0"/>
    <x v="16"/>
    <n v="32"/>
    <n v="11680"/>
    <n v="42048"/>
  </r>
  <r>
    <x v="0"/>
    <x v="0"/>
    <x v="0"/>
    <x v="8"/>
    <x v="16"/>
    <s v="PL_A"/>
    <x v="2"/>
    <x v="1"/>
    <s v="RZES-2_ST_NGAS_BP"/>
    <x v="0"/>
    <x v="17"/>
    <n v="32"/>
    <n v="11680"/>
    <n v="42048"/>
  </r>
  <r>
    <x v="0"/>
    <x v="0"/>
    <x v="0"/>
    <x v="8"/>
    <x v="16"/>
    <s v="PL_A"/>
    <x v="2"/>
    <x v="1"/>
    <s v="RZES-2_ST_NGAS_BP"/>
    <x v="0"/>
    <x v="18"/>
    <n v="32"/>
    <n v="11680"/>
    <n v="42048"/>
  </r>
  <r>
    <x v="0"/>
    <x v="0"/>
    <x v="0"/>
    <x v="8"/>
    <x v="16"/>
    <s v="PL_A"/>
    <x v="2"/>
    <x v="1"/>
    <s v="RZES-2_ST_NGAS_BP"/>
    <x v="0"/>
    <x v="19"/>
    <n v="32"/>
    <n v="11680"/>
    <n v="42048"/>
  </r>
  <r>
    <x v="0"/>
    <x v="0"/>
    <x v="0"/>
    <x v="8"/>
    <x v="16"/>
    <s v="PL_A"/>
    <x v="2"/>
    <x v="1"/>
    <s v="RZES-2_ST_NGAS_BP"/>
    <x v="0"/>
    <x v="20"/>
    <n v="32"/>
    <n v="11680"/>
    <n v="42048"/>
  </r>
  <r>
    <x v="0"/>
    <x v="0"/>
    <x v="0"/>
    <x v="8"/>
    <x v="16"/>
    <s v="PL_A"/>
    <x v="2"/>
    <x v="1"/>
    <s v="RZES-2_ST_NGAS_BP"/>
    <x v="0"/>
    <x v="21"/>
    <n v="32"/>
    <n v="11680"/>
    <n v="42048"/>
  </r>
  <r>
    <x v="0"/>
    <x v="0"/>
    <x v="0"/>
    <x v="8"/>
    <x v="16"/>
    <s v="PL_A"/>
    <x v="2"/>
    <x v="1"/>
    <s v="RZES-2_ST_NGAS_BP"/>
    <x v="0"/>
    <x v="22"/>
    <n v="32"/>
    <n v="11680"/>
    <n v="42048"/>
  </r>
  <r>
    <x v="0"/>
    <x v="0"/>
    <x v="0"/>
    <x v="8"/>
    <x v="16"/>
    <s v="PL_A"/>
    <x v="2"/>
    <x v="1"/>
    <s v="RZES-2_ST_NGAS_BP"/>
    <x v="0"/>
    <x v="23"/>
    <n v="32"/>
    <n v="11680"/>
    <n v="42048"/>
  </r>
  <r>
    <x v="0"/>
    <x v="0"/>
    <x v="0"/>
    <x v="8"/>
    <x v="16"/>
    <s v="PL_A"/>
    <x v="2"/>
    <x v="1"/>
    <s v="ZIEL-1_ST_NGAS_BP"/>
    <x v="0"/>
    <x v="3"/>
    <n v="10"/>
    <n v="3650"/>
    <n v="13140"/>
  </r>
  <r>
    <x v="0"/>
    <x v="0"/>
    <x v="0"/>
    <x v="8"/>
    <x v="16"/>
    <s v="PL_A"/>
    <x v="2"/>
    <x v="1"/>
    <s v="ZIEL-1_ST_NGAS_BP"/>
    <x v="0"/>
    <x v="4"/>
    <n v="10"/>
    <n v="3650"/>
    <n v="13140"/>
  </r>
  <r>
    <x v="0"/>
    <x v="0"/>
    <x v="0"/>
    <x v="8"/>
    <x v="16"/>
    <s v="PL_A"/>
    <x v="2"/>
    <x v="1"/>
    <s v="ZIEL-1_ST_NGAS_BP"/>
    <x v="0"/>
    <x v="5"/>
    <n v="10"/>
    <n v="3650"/>
    <n v="13140"/>
  </r>
  <r>
    <x v="0"/>
    <x v="0"/>
    <x v="0"/>
    <x v="8"/>
    <x v="16"/>
    <s v="PL_A"/>
    <x v="2"/>
    <x v="1"/>
    <s v="ZIEL-1_ST_NGAS_BP"/>
    <x v="0"/>
    <x v="6"/>
    <n v="10"/>
    <n v="3650"/>
    <n v="13140"/>
  </r>
  <r>
    <x v="0"/>
    <x v="0"/>
    <x v="0"/>
    <x v="8"/>
    <x v="16"/>
    <s v="PL_A"/>
    <x v="2"/>
    <x v="1"/>
    <s v="ZIEL-1_ST_NGAS_BP"/>
    <x v="0"/>
    <x v="7"/>
    <n v="10"/>
    <n v="3650"/>
    <n v="13140"/>
  </r>
  <r>
    <x v="0"/>
    <x v="0"/>
    <x v="0"/>
    <x v="8"/>
    <x v="16"/>
    <s v="PL_A"/>
    <x v="2"/>
    <x v="1"/>
    <s v="ZIEL-1_ST_NGAS_BP"/>
    <x v="0"/>
    <x v="8"/>
    <n v="10"/>
    <n v="3650"/>
    <n v="13140"/>
  </r>
  <r>
    <x v="0"/>
    <x v="0"/>
    <x v="0"/>
    <x v="8"/>
    <x v="16"/>
    <s v="PL_A"/>
    <x v="2"/>
    <x v="1"/>
    <s v="ZIEL-1_ST_NGAS_BP"/>
    <x v="0"/>
    <x v="0"/>
    <n v="10"/>
    <n v="3650"/>
    <n v="13140"/>
  </r>
  <r>
    <x v="0"/>
    <x v="0"/>
    <x v="0"/>
    <x v="8"/>
    <x v="16"/>
    <s v="PL_A"/>
    <x v="2"/>
    <x v="1"/>
    <s v="ZIEL-1_ST_NGAS_BP"/>
    <x v="0"/>
    <x v="1"/>
    <n v="10"/>
    <n v="3650"/>
    <n v="13140"/>
  </r>
  <r>
    <x v="0"/>
    <x v="0"/>
    <x v="0"/>
    <x v="8"/>
    <x v="16"/>
    <s v="PL_A"/>
    <x v="2"/>
    <x v="1"/>
    <s v="ZIEL-1_ST_NGAS_BP"/>
    <x v="0"/>
    <x v="2"/>
    <n v="10"/>
    <n v="3650"/>
    <n v="13140"/>
  </r>
  <r>
    <x v="0"/>
    <x v="0"/>
    <x v="0"/>
    <x v="8"/>
    <x v="16"/>
    <s v="PL_A"/>
    <x v="2"/>
    <x v="1"/>
    <s v="ZIEL-1_ST_NGAS_BP"/>
    <x v="0"/>
    <x v="9"/>
    <n v="10"/>
    <n v="3650"/>
    <n v="13140"/>
  </r>
  <r>
    <x v="0"/>
    <x v="0"/>
    <x v="0"/>
    <x v="8"/>
    <x v="16"/>
    <s v="PL_A"/>
    <x v="2"/>
    <x v="1"/>
    <s v="ZIEL-1_ST_NGAS_BP"/>
    <x v="0"/>
    <x v="10"/>
    <n v="10"/>
    <n v="3650"/>
    <n v="13140"/>
  </r>
  <r>
    <x v="0"/>
    <x v="0"/>
    <x v="0"/>
    <x v="8"/>
    <x v="16"/>
    <s v="PL_A"/>
    <x v="2"/>
    <x v="1"/>
    <s v="ZIEL-1_ST_NGAS_BP"/>
    <x v="0"/>
    <x v="11"/>
    <n v="10"/>
    <n v="3650"/>
    <n v="13140"/>
  </r>
  <r>
    <x v="0"/>
    <x v="0"/>
    <x v="0"/>
    <x v="8"/>
    <x v="16"/>
    <s v="PL_A"/>
    <x v="2"/>
    <x v="1"/>
    <s v="ZIEL-1_ST_NGAS_BP"/>
    <x v="0"/>
    <x v="12"/>
    <n v="10"/>
    <n v="3650"/>
    <n v="13140"/>
  </r>
  <r>
    <x v="0"/>
    <x v="0"/>
    <x v="0"/>
    <x v="8"/>
    <x v="16"/>
    <s v="PL_A"/>
    <x v="2"/>
    <x v="1"/>
    <s v="ZIEL-1_ST_NGAS_BP"/>
    <x v="0"/>
    <x v="13"/>
    <n v="10"/>
    <n v="3650"/>
    <n v="13140"/>
  </r>
  <r>
    <x v="0"/>
    <x v="0"/>
    <x v="0"/>
    <x v="8"/>
    <x v="16"/>
    <s v="PL_A"/>
    <x v="2"/>
    <x v="1"/>
    <s v="ZIEL-1_ST_NGAS_BP"/>
    <x v="0"/>
    <x v="14"/>
    <n v="10"/>
    <n v="3650"/>
    <n v="13140"/>
  </r>
  <r>
    <x v="0"/>
    <x v="0"/>
    <x v="0"/>
    <x v="8"/>
    <x v="16"/>
    <s v="PL_A"/>
    <x v="2"/>
    <x v="1"/>
    <s v="ZIEL-1_ST_NGAS_BP"/>
    <x v="0"/>
    <x v="15"/>
    <n v="10"/>
    <n v="3650"/>
    <n v="13140"/>
  </r>
  <r>
    <x v="0"/>
    <x v="0"/>
    <x v="0"/>
    <x v="8"/>
    <x v="16"/>
    <s v="PL_A"/>
    <x v="2"/>
    <x v="1"/>
    <s v="ZIEL-1_ST_NGAS_BP"/>
    <x v="0"/>
    <x v="16"/>
    <n v="10"/>
    <n v="3650"/>
    <n v="13140"/>
  </r>
  <r>
    <x v="0"/>
    <x v="0"/>
    <x v="0"/>
    <x v="8"/>
    <x v="16"/>
    <s v="PL_A"/>
    <x v="2"/>
    <x v="1"/>
    <s v="ZIEL-1_ST_NGAS_BP"/>
    <x v="0"/>
    <x v="17"/>
    <n v="10"/>
    <n v="3650"/>
    <n v="13140"/>
  </r>
  <r>
    <x v="0"/>
    <x v="0"/>
    <x v="0"/>
    <x v="8"/>
    <x v="16"/>
    <s v="PL_A"/>
    <x v="2"/>
    <x v="1"/>
    <s v="ZIEL-1_ST_NGAS_BP"/>
    <x v="0"/>
    <x v="18"/>
    <n v="10"/>
    <n v="3650"/>
    <n v="13140"/>
  </r>
  <r>
    <x v="0"/>
    <x v="0"/>
    <x v="0"/>
    <x v="8"/>
    <x v="16"/>
    <s v="PL_A"/>
    <x v="2"/>
    <x v="1"/>
    <s v="ZIEL-1_ST_NGAS_BP"/>
    <x v="0"/>
    <x v="19"/>
    <n v="10"/>
    <n v="3650"/>
    <n v="13140"/>
  </r>
  <r>
    <x v="0"/>
    <x v="0"/>
    <x v="0"/>
    <x v="8"/>
    <x v="16"/>
    <s v="PL_A"/>
    <x v="2"/>
    <x v="1"/>
    <s v="ZIEL-1_ST_NGAS_BP"/>
    <x v="0"/>
    <x v="20"/>
    <n v="10"/>
    <n v="3650"/>
    <n v="13140"/>
  </r>
  <r>
    <x v="0"/>
    <x v="0"/>
    <x v="0"/>
    <x v="8"/>
    <x v="16"/>
    <s v="PL_A"/>
    <x v="2"/>
    <x v="1"/>
    <s v="ZIEL-1_ST_NGAS_BP"/>
    <x v="0"/>
    <x v="21"/>
    <n v="10"/>
    <n v="3650"/>
    <n v="13140"/>
  </r>
  <r>
    <x v="0"/>
    <x v="0"/>
    <x v="0"/>
    <x v="8"/>
    <x v="16"/>
    <s v="PL_A"/>
    <x v="2"/>
    <x v="1"/>
    <s v="ZIEL-1_ST_NGAS_BP"/>
    <x v="0"/>
    <x v="22"/>
    <n v="10"/>
    <n v="3650"/>
    <n v="13140"/>
  </r>
  <r>
    <x v="0"/>
    <x v="0"/>
    <x v="0"/>
    <x v="8"/>
    <x v="16"/>
    <s v="PL_A"/>
    <x v="2"/>
    <x v="1"/>
    <s v="ZIEL-1_ST_NGAS_BP"/>
    <x v="0"/>
    <x v="23"/>
    <n v="10"/>
    <n v="3650"/>
    <n v="13140"/>
  </r>
  <r>
    <x v="0"/>
    <x v="0"/>
    <x v="0"/>
    <x v="8"/>
    <x v="16"/>
    <s v="PL_A"/>
    <x v="2"/>
    <x v="1"/>
    <s v="ZIEL-3_ST_NGAS_BP"/>
    <x v="0"/>
    <x v="3"/>
    <n v="120"/>
    <n v="43800"/>
    <n v="157680"/>
  </r>
  <r>
    <x v="0"/>
    <x v="0"/>
    <x v="0"/>
    <x v="8"/>
    <x v="16"/>
    <s v="PL_A"/>
    <x v="2"/>
    <x v="1"/>
    <s v="ZIEL-3_ST_NGAS_BP"/>
    <x v="0"/>
    <x v="4"/>
    <n v="120"/>
    <n v="43800"/>
    <n v="157680"/>
  </r>
  <r>
    <x v="0"/>
    <x v="0"/>
    <x v="0"/>
    <x v="8"/>
    <x v="16"/>
    <s v="PL_A"/>
    <x v="2"/>
    <x v="1"/>
    <s v="ZIEL-3_ST_NGAS_BP"/>
    <x v="0"/>
    <x v="5"/>
    <n v="120"/>
    <n v="43800"/>
    <n v="157680"/>
  </r>
  <r>
    <x v="0"/>
    <x v="0"/>
    <x v="0"/>
    <x v="8"/>
    <x v="16"/>
    <s v="PL_A"/>
    <x v="2"/>
    <x v="1"/>
    <s v="ZIEL-3_ST_NGAS_BP"/>
    <x v="0"/>
    <x v="6"/>
    <n v="120"/>
    <n v="43800"/>
    <n v="157680"/>
  </r>
  <r>
    <x v="0"/>
    <x v="0"/>
    <x v="0"/>
    <x v="8"/>
    <x v="16"/>
    <s v="PL_A"/>
    <x v="2"/>
    <x v="1"/>
    <s v="ZIEL-3_ST_NGAS_BP"/>
    <x v="0"/>
    <x v="7"/>
    <n v="120"/>
    <n v="43800"/>
    <n v="157680"/>
  </r>
  <r>
    <x v="0"/>
    <x v="0"/>
    <x v="0"/>
    <x v="8"/>
    <x v="16"/>
    <s v="PL_A"/>
    <x v="2"/>
    <x v="1"/>
    <s v="ZIEL-3_ST_NGAS_BP"/>
    <x v="0"/>
    <x v="8"/>
    <n v="120"/>
    <n v="43800"/>
    <n v="157680"/>
  </r>
  <r>
    <x v="0"/>
    <x v="0"/>
    <x v="0"/>
    <x v="8"/>
    <x v="16"/>
    <s v="PL_A"/>
    <x v="2"/>
    <x v="1"/>
    <s v="ZIEL-3_ST_NGAS_BP"/>
    <x v="0"/>
    <x v="0"/>
    <n v="120"/>
    <n v="43800"/>
    <n v="157680"/>
  </r>
  <r>
    <x v="0"/>
    <x v="0"/>
    <x v="0"/>
    <x v="8"/>
    <x v="16"/>
    <s v="PL_A"/>
    <x v="2"/>
    <x v="1"/>
    <s v="ZIEL-3_ST_NGAS_BP"/>
    <x v="0"/>
    <x v="1"/>
    <n v="120"/>
    <n v="43800"/>
    <n v="157680"/>
  </r>
  <r>
    <x v="0"/>
    <x v="0"/>
    <x v="0"/>
    <x v="8"/>
    <x v="16"/>
    <s v="PL_A"/>
    <x v="2"/>
    <x v="1"/>
    <s v="ZIEL-3_ST_NGAS_BP"/>
    <x v="0"/>
    <x v="2"/>
    <n v="120"/>
    <n v="43800"/>
    <n v="157680"/>
  </r>
  <r>
    <x v="0"/>
    <x v="0"/>
    <x v="0"/>
    <x v="8"/>
    <x v="16"/>
    <s v="PL_A"/>
    <x v="2"/>
    <x v="1"/>
    <s v="ZIEL-3_ST_NGAS_BP"/>
    <x v="0"/>
    <x v="9"/>
    <n v="120"/>
    <n v="43800"/>
    <n v="157680"/>
  </r>
  <r>
    <x v="0"/>
    <x v="0"/>
    <x v="0"/>
    <x v="8"/>
    <x v="16"/>
    <s v="PL_A"/>
    <x v="2"/>
    <x v="1"/>
    <s v="ZIEL-3_ST_NGAS_BP"/>
    <x v="0"/>
    <x v="10"/>
    <n v="120"/>
    <n v="43800"/>
    <n v="157680"/>
  </r>
  <r>
    <x v="0"/>
    <x v="0"/>
    <x v="0"/>
    <x v="8"/>
    <x v="16"/>
    <s v="PL_A"/>
    <x v="2"/>
    <x v="1"/>
    <s v="ZIEL-3_ST_NGAS_BP"/>
    <x v="0"/>
    <x v="11"/>
    <n v="120"/>
    <n v="43800"/>
    <n v="157680"/>
  </r>
  <r>
    <x v="0"/>
    <x v="0"/>
    <x v="0"/>
    <x v="8"/>
    <x v="16"/>
    <s v="PL_A"/>
    <x v="2"/>
    <x v="1"/>
    <s v="ZIEL-3_ST_NGAS_BP"/>
    <x v="0"/>
    <x v="12"/>
    <n v="120"/>
    <n v="43800"/>
    <n v="157680"/>
  </r>
  <r>
    <x v="0"/>
    <x v="0"/>
    <x v="0"/>
    <x v="8"/>
    <x v="16"/>
    <s v="PL_A"/>
    <x v="2"/>
    <x v="1"/>
    <s v="ZIEL-3_ST_NGAS_BP"/>
    <x v="0"/>
    <x v="13"/>
    <n v="120"/>
    <n v="43800"/>
    <n v="157680"/>
  </r>
  <r>
    <x v="0"/>
    <x v="0"/>
    <x v="0"/>
    <x v="8"/>
    <x v="16"/>
    <s v="PL_A"/>
    <x v="2"/>
    <x v="1"/>
    <s v="ZIEL-3_ST_NGAS_BP"/>
    <x v="0"/>
    <x v="14"/>
    <n v="120"/>
    <n v="43800"/>
    <n v="157680"/>
  </r>
  <r>
    <x v="0"/>
    <x v="0"/>
    <x v="0"/>
    <x v="8"/>
    <x v="16"/>
    <s v="PL_A"/>
    <x v="2"/>
    <x v="1"/>
    <s v="ZIEL-3_ST_NGAS_BP"/>
    <x v="0"/>
    <x v="15"/>
    <n v="120"/>
    <n v="43800"/>
    <n v="157680"/>
  </r>
  <r>
    <x v="0"/>
    <x v="0"/>
    <x v="0"/>
    <x v="8"/>
    <x v="16"/>
    <s v="PL_A"/>
    <x v="2"/>
    <x v="1"/>
    <s v="ZIEL-3_ST_NGAS_BP"/>
    <x v="0"/>
    <x v="16"/>
    <n v="120"/>
    <n v="43800"/>
    <n v="157680"/>
  </r>
  <r>
    <x v="0"/>
    <x v="0"/>
    <x v="0"/>
    <x v="8"/>
    <x v="16"/>
    <s v="PL_A"/>
    <x v="2"/>
    <x v="1"/>
    <s v="ZIEL-3_ST_NGAS_BP"/>
    <x v="0"/>
    <x v="17"/>
    <n v="120"/>
    <n v="43800"/>
    <n v="157680"/>
  </r>
  <r>
    <x v="0"/>
    <x v="0"/>
    <x v="0"/>
    <x v="8"/>
    <x v="16"/>
    <s v="PL_A"/>
    <x v="2"/>
    <x v="1"/>
    <s v="ZIEL-3_ST_NGAS_BP"/>
    <x v="0"/>
    <x v="18"/>
    <n v="120"/>
    <n v="43800"/>
    <n v="157680"/>
  </r>
  <r>
    <x v="0"/>
    <x v="0"/>
    <x v="0"/>
    <x v="8"/>
    <x v="16"/>
    <s v="PL_A"/>
    <x v="2"/>
    <x v="1"/>
    <s v="ZIEL-3_ST_NGAS_BP"/>
    <x v="0"/>
    <x v="19"/>
    <n v="120"/>
    <n v="43800"/>
    <n v="157680"/>
  </r>
  <r>
    <x v="0"/>
    <x v="0"/>
    <x v="0"/>
    <x v="8"/>
    <x v="16"/>
    <s v="PL_A"/>
    <x v="2"/>
    <x v="1"/>
    <s v="ZIEL-3_ST_NGAS_BP"/>
    <x v="0"/>
    <x v="20"/>
    <n v="120"/>
    <n v="43800"/>
    <n v="157680"/>
  </r>
  <r>
    <x v="0"/>
    <x v="0"/>
    <x v="0"/>
    <x v="8"/>
    <x v="16"/>
    <s v="PL_A"/>
    <x v="2"/>
    <x v="1"/>
    <s v="ZIEL-3_ST_NGAS_BP"/>
    <x v="0"/>
    <x v="21"/>
    <n v="120"/>
    <n v="43800"/>
    <n v="157680"/>
  </r>
  <r>
    <x v="0"/>
    <x v="0"/>
    <x v="0"/>
    <x v="8"/>
    <x v="16"/>
    <s v="PL_A"/>
    <x v="2"/>
    <x v="1"/>
    <s v="ZIEL-3_ST_NGAS_BP"/>
    <x v="0"/>
    <x v="22"/>
    <n v="120"/>
    <n v="43800"/>
    <n v="157680"/>
  </r>
  <r>
    <x v="0"/>
    <x v="0"/>
    <x v="0"/>
    <x v="8"/>
    <x v="16"/>
    <s v="PL_A"/>
    <x v="2"/>
    <x v="1"/>
    <s v="ZIEL-3_ST_NGAS_BP"/>
    <x v="0"/>
    <x v="23"/>
    <n v="120"/>
    <n v="43800"/>
    <n v="157680"/>
  </r>
  <r>
    <x v="0"/>
    <x v="0"/>
    <x v="0"/>
    <x v="8"/>
    <x v="16"/>
    <s v="PL_A"/>
    <x v="3"/>
    <x v="1"/>
    <s v="BIAL-1_ST_STRAW_BP"/>
    <x v="0"/>
    <x v="3"/>
    <n v="128"/>
    <n v="46720"/>
    <n v="168192"/>
  </r>
  <r>
    <x v="0"/>
    <x v="0"/>
    <x v="0"/>
    <x v="8"/>
    <x v="16"/>
    <s v="PL_A"/>
    <x v="3"/>
    <x v="1"/>
    <s v="BIAL-1_ST_STRAW_BP"/>
    <x v="0"/>
    <x v="4"/>
    <n v="128"/>
    <n v="46720"/>
    <n v="168192"/>
  </r>
  <r>
    <x v="0"/>
    <x v="0"/>
    <x v="0"/>
    <x v="8"/>
    <x v="16"/>
    <s v="PL_A"/>
    <x v="3"/>
    <x v="1"/>
    <s v="BIAL-1_ST_STRAW_BP"/>
    <x v="0"/>
    <x v="5"/>
    <n v="128"/>
    <n v="46720"/>
    <n v="168192"/>
  </r>
  <r>
    <x v="0"/>
    <x v="0"/>
    <x v="0"/>
    <x v="8"/>
    <x v="16"/>
    <s v="PL_A"/>
    <x v="3"/>
    <x v="1"/>
    <s v="BIAL-1_ST_STRAW_BP"/>
    <x v="0"/>
    <x v="6"/>
    <n v="128"/>
    <n v="46720"/>
    <n v="168192"/>
  </r>
  <r>
    <x v="0"/>
    <x v="0"/>
    <x v="0"/>
    <x v="8"/>
    <x v="16"/>
    <s v="PL_A"/>
    <x v="3"/>
    <x v="1"/>
    <s v="BIAL-1_ST_STRAW_BP"/>
    <x v="0"/>
    <x v="7"/>
    <n v="128"/>
    <n v="46720"/>
    <n v="168192"/>
  </r>
  <r>
    <x v="0"/>
    <x v="0"/>
    <x v="0"/>
    <x v="8"/>
    <x v="16"/>
    <s v="PL_A"/>
    <x v="3"/>
    <x v="1"/>
    <s v="BIAL-1_ST_STRAW_BP"/>
    <x v="0"/>
    <x v="8"/>
    <n v="128"/>
    <n v="46720"/>
    <n v="168192"/>
  </r>
  <r>
    <x v="0"/>
    <x v="0"/>
    <x v="0"/>
    <x v="8"/>
    <x v="16"/>
    <s v="PL_A"/>
    <x v="3"/>
    <x v="1"/>
    <s v="BIAL-1_ST_STRAW_BP"/>
    <x v="0"/>
    <x v="0"/>
    <n v="128"/>
    <n v="46720"/>
    <n v="168192"/>
  </r>
  <r>
    <x v="0"/>
    <x v="0"/>
    <x v="0"/>
    <x v="8"/>
    <x v="16"/>
    <s v="PL_A"/>
    <x v="3"/>
    <x v="1"/>
    <s v="BIAL-1_ST_STRAW_BP"/>
    <x v="0"/>
    <x v="1"/>
    <n v="128"/>
    <n v="46720"/>
    <n v="168192"/>
  </r>
  <r>
    <x v="0"/>
    <x v="0"/>
    <x v="0"/>
    <x v="8"/>
    <x v="16"/>
    <s v="PL_A"/>
    <x v="3"/>
    <x v="1"/>
    <s v="BIAL-1_ST_STRAW_BP"/>
    <x v="0"/>
    <x v="2"/>
    <n v="128"/>
    <n v="46720"/>
    <n v="168192"/>
  </r>
  <r>
    <x v="0"/>
    <x v="0"/>
    <x v="0"/>
    <x v="8"/>
    <x v="16"/>
    <s v="PL_A"/>
    <x v="3"/>
    <x v="1"/>
    <s v="BIAL-1_ST_STRAW_BP"/>
    <x v="0"/>
    <x v="9"/>
    <n v="128"/>
    <n v="46720"/>
    <n v="168192"/>
  </r>
  <r>
    <x v="0"/>
    <x v="0"/>
    <x v="0"/>
    <x v="8"/>
    <x v="16"/>
    <s v="PL_A"/>
    <x v="3"/>
    <x v="1"/>
    <s v="BIAL-1_ST_STRAW_BP"/>
    <x v="0"/>
    <x v="10"/>
    <n v="128"/>
    <n v="46720"/>
    <n v="168192"/>
  </r>
  <r>
    <x v="0"/>
    <x v="0"/>
    <x v="0"/>
    <x v="8"/>
    <x v="16"/>
    <s v="PL_A"/>
    <x v="3"/>
    <x v="1"/>
    <s v="BIAL-1_ST_STRAW_BP"/>
    <x v="0"/>
    <x v="11"/>
    <n v="128"/>
    <n v="46720"/>
    <n v="168192"/>
  </r>
  <r>
    <x v="0"/>
    <x v="0"/>
    <x v="0"/>
    <x v="8"/>
    <x v="16"/>
    <s v="PL_A"/>
    <x v="3"/>
    <x v="1"/>
    <s v="BIAL-1_ST_STRAW_BP"/>
    <x v="0"/>
    <x v="12"/>
    <n v="128"/>
    <n v="46720"/>
    <n v="168192"/>
  </r>
  <r>
    <x v="0"/>
    <x v="0"/>
    <x v="0"/>
    <x v="8"/>
    <x v="16"/>
    <s v="PL_A"/>
    <x v="3"/>
    <x v="1"/>
    <s v="BIAL-1_ST_STRAW_BP"/>
    <x v="0"/>
    <x v="13"/>
    <n v="128"/>
    <n v="46720"/>
    <n v="168192"/>
  </r>
  <r>
    <x v="0"/>
    <x v="0"/>
    <x v="0"/>
    <x v="8"/>
    <x v="16"/>
    <s v="PL_A"/>
    <x v="3"/>
    <x v="1"/>
    <s v="BIAL-1_ST_STRAW_BP"/>
    <x v="0"/>
    <x v="14"/>
    <n v="128"/>
    <n v="46720"/>
    <n v="168192"/>
  </r>
  <r>
    <x v="0"/>
    <x v="0"/>
    <x v="0"/>
    <x v="8"/>
    <x v="16"/>
    <s v="PL_A"/>
    <x v="3"/>
    <x v="1"/>
    <s v="BIAL-1_ST_STRAW_BP"/>
    <x v="0"/>
    <x v="15"/>
    <n v="128"/>
    <n v="46720"/>
    <n v="168192"/>
  </r>
  <r>
    <x v="0"/>
    <x v="0"/>
    <x v="0"/>
    <x v="8"/>
    <x v="16"/>
    <s v="PL_A"/>
    <x v="3"/>
    <x v="1"/>
    <s v="BIAL-1_ST_STRAW_BP"/>
    <x v="0"/>
    <x v="16"/>
    <n v="128"/>
    <n v="46720"/>
    <n v="168192"/>
  </r>
  <r>
    <x v="0"/>
    <x v="0"/>
    <x v="0"/>
    <x v="8"/>
    <x v="16"/>
    <s v="PL_A"/>
    <x v="3"/>
    <x v="1"/>
    <s v="BIAL-1_ST_STRAW_BP"/>
    <x v="0"/>
    <x v="17"/>
    <n v="128"/>
    <n v="46720"/>
    <n v="168192"/>
  </r>
  <r>
    <x v="0"/>
    <x v="0"/>
    <x v="0"/>
    <x v="8"/>
    <x v="16"/>
    <s v="PL_A"/>
    <x v="3"/>
    <x v="1"/>
    <s v="BIAL-1_ST_STRAW_BP"/>
    <x v="0"/>
    <x v="18"/>
    <n v="128"/>
    <n v="46720"/>
    <n v="168192"/>
  </r>
  <r>
    <x v="0"/>
    <x v="0"/>
    <x v="0"/>
    <x v="8"/>
    <x v="16"/>
    <s v="PL_A"/>
    <x v="3"/>
    <x v="1"/>
    <s v="BIAL-1_ST_STRAW_BP"/>
    <x v="0"/>
    <x v="19"/>
    <n v="128"/>
    <n v="46720"/>
    <n v="168192"/>
  </r>
  <r>
    <x v="0"/>
    <x v="0"/>
    <x v="0"/>
    <x v="8"/>
    <x v="16"/>
    <s v="PL_A"/>
    <x v="3"/>
    <x v="1"/>
    <s v="BIAL-1_ST_STRAW_BP"/>
    <x v="0"/>
    <x v="20"/>
    <n v="128"/>
    <n v="46720"/>
    <n v="168192"/>
  </r>
  <r>
    <x v="0"/>
    <x v="0"/>
    <x v="0"/>
    <x v="8"/>
    <x v="16"/>
    <s v="PL_A"/>
    <x v="3"/>
    <x v="1"/>
    <s v="BIAL-1_ST_STRAW_BP"/>
    <x v="0"/>
    <x v="21"/>
    <n v="128"/>
    <n v="46720"/>
    <n v="168192"/>
  </r>
  <r>
    <x v="0"/>
    <x v="0"/>
    <x v="0"/>
    <x v="8"/>
    <x v="16"/>
    <s v="PL_A"/>
    <x v="3"/>
    <x v="1"/>
    <s v="BIAL-1_ST_STRAW_BP"/>
    <x v="0"/>
    <x v="22"/>
    <n v="128"/>
    <n v="46720"/>
    <n v="168192"/>
  </r>
  <r>
    <x v="0"/>
    <x v="0"/>
    <x v="0"/>
    <x v="8"/>
    <x v="16"/>
    <s v="PL_A"/>
    <x v="3"/>
    <x v="1"/>
    <s v="BIAL-1_ST_STRAW_BP"/>
    <x v="0"/>
    <x v="23"/>
    <n v="128"/>
    <n v="46720"/>
    <n v="168192"/>
  </r>
  <r>
    <x v="0"/>
    <x v="0"/>
    <x v="0"/>
    <x v="8"/>
    <x v="16"/>
    <s v="PL_A"/>
    <x v="3"/>
    <x v="1"/>
    <s v="GNR_ST_STRAW_BP_E-15"/>
    <x v="0"/>
    <x v="3"/>
    <n v="82"/>
    <n v="29930"/>
    <n v="107748"/>
  </r>
  <r>
    <x v="0"/>
    <x v="0"/>
    <x v="0"/>
    <x v="8"/>
    <x v="16"/>
    <s v="PL_A"/>
    <x v="3"/>
    <x v="1"/>
    <s v="GNR_ST_STRAW_BP_E-15"/>
    <x v="0"/>
    <x v="4"/>
    <n v="82"/>
    <n v="29930"/>
    <n v="107748"/>
  </r>
  <r>
    <x v="0"/>
    <x v="0"/>
    <x v="0"/>
    <x v="8"/>
    <x v="16"/>
    <s v="PL_A"/>
    <x v="3"/>
    <x v="1"/>
    <s v="GNR_ST_STRAW_BP_E-15"/>
    <x v="0"/>
    <x v="5"/>
    <n v="82"/>
    <n v="29930"/>
    <n v="107748"/>
  </r>
  <r>
    <x v="0"/>
    <x v="0"/>
    <x v="0"/>
    <x v="8"/>
    <x v="16"/>
    <s v="PL_A"/>
    <x v="3"/>
    <x v="1"/>
    <s v="GNR_ST_STRAW_BP_E-15"/>
    <x v="0"/>
    <x v="6"/>
    <n v="82"/>
    <n v="29930"/>
    <n v="107748"/>
  </r>
  <r>
    <x v="0"/>
    <x v="0"/>
    <x v="0"/>
    <x v="8"/>
    <x v="16"/>
    <s v="PL_A"/>
    <x v="3"/>
    <x v="1"/>
    <s v="GNR_ST_STRAW_BP_E-15"/>
    <x v="0"/>
    <x v="7"/>
    <n v="82"/>
    <n v="29930"/>
    <n v="107748"/>
  </r>
  <r>
    <x v="0"/>
    <x v="0"/>
    <x v="0"/>
    <x v="8"/>
    <x v="16"/>
    <s v="PL_A"/>
    <x v="3"/>
    <x v="1"/>
    <s v="GNR_ST_STRAW_BP_E-15"/>
    <x v="0"/>
    <x v="8"/>
    <n v="82"/>
    <n v="29930"/>
    <n v="107748"/>
  </r>
  <r>
    <x v="0"/>
    <x v="0"/>
    <x v="0"/>
    <x v="8"/>
    <x v="16"/>
    <s v="PL_A"/>
    <x v="3"/>
    <x v="1"/>
    <s v="GNR_ST_STRAW_BP_E-15"/>
    <x v="0"/>
    <x v="0"/>
    <n v="82"/>
    <n v="29930"/>
    <n v="107748"/>
  </r>
  <r>
    <x v="0"/>
    <x v="0"/>
    <x v="0"/>
    <x v="8"/>
    <x v="16"/>
    <s v="PL_A"/>
    <x v="3"/>
    <x v="1"/>
    <s v="GNR_ST_STRAW_BP_E-15"/>
    <x v="0"/>
    <x v="1"/>
    <n v="82"/>
    <n v="29930"/>
    <n v="107748"/>
  </r>
  <r>
    <x v="0"/>
    <x v="0"/>
    <x v="0"/>
    <x v="8"/>
    <x v="16"/>
    <s v="PL_A"/>
    <x v="3"/>
    <x v="1"/>
    <s v="GNR_ST_STRAW_BP_E-15"/>
    <x v="0"/>
    <x v="2"/>
    <n v="82"/>
    <n v="29930"/>
    <n v="107748"/>
  </r>
  <r>
    <x v="0"/>
    <x v="0"/>
    <x v="0"/>
    <x v="8"/>
    <x v="16"/>
    <s v="PL_A"/>
    <x v="3"/>
    <x v="1"/>
    <s v="GNR_ST_STRAW_BP_E-15"/>
    <x v="0"/>
    <x v="9"/>
    <n v="82"/>
    <n v="29930"/>
    <n v="107748"/>
  </r>
  <r>
    <x v="0"/>
    <x v="0"/>
    <x v="0"/>
    <x v="8"/>
    <x v="16"/>
    <s v="PL_A"/>
    <x v="3"/>
    <x v="1"/>
    <s v="GNR_ST_STRAW_BP_E-15"/>
    <x v="0"/>
    <x v="10"/>
    <n v="82"/>
    <n v="29930"/>
    <n v="107748"/>
  </r>
  <r>
    <x v="0"/>
    <x v="0"/>
    <x v="0"/>
    <x v="8"/>
    <x v="16"/>
    <s v="PL_A"/>
    <x v="3"/>
    <x v="1"/>
    <s v="GNR_ST_STRAW_BP_E-15"/>
    <x v="0"/>
    <x v="11"/>
    <n v="82"/>
    <n v="29930"/>
    <n v="107748"/>
  </r>
  <r>
    <x v="0"/>
    <x v="0"/>
    <x v="0"/>
    <x v="8"/>
    <x v="16"/>
    <s v="PL_A"/>
    <x v="3"/>
    <x v="1"/>
    <s v="GNR_ST_STRAW_BP_E-15"/>
    <x v="0"/>
    <x v="12"/>
    <n v="82"/>
    <n v="29930"/>
    <n v="107748"/>
  </r>
  <r>
    <x v="0"/>
    <x v="0"/>
    <x v="0"/>
    <x v="8"/>
    <x v="16"/>
    <s v="PL_A"/>
    <x v="3"/>
    <x v="1"/>
    <s v="GNR_ST_STRAW_BP_E-15"/>
    <x v="0"/>
    <x v="13"/>
    <n v="82"/>
    <n v="29930"/>
    <n v="107748"/>
  </r>
  <r>
    <x v="0"/>
    <x v="0"/>
    <x v="0"/>
    <x v="8"/>
    <x v="16"/>
    <s v="PL_A"/>
    <x v="3"/>
    <x v="1"/>
    <s v="GNR_ST_STRAW_BP_E-15"/>
    <x v="0"/>
    <x v="14"/>
    <n v="82"/>
    <n v="29930"/>
    <n v="107748"/>
  </r>
  <r>
    <x v="0"/>
    <x v="0"/>
    <x v="0"/>
    <x v="8"/>
    <x v="16"/>
    <s v="PL_A"/>
    <x v="3"/>
    <x v="1"/>
    <s v="GNR_ST_STRAW_BP_E-15"/>
    <x v="0"/>
    <x v="15"/>
    <n v="82"/>
    <n v="29930"/>
    <n v="107748"/>
  </r>
  <r>
    <x v="0"/>
    <x v="0"/>
    <x v="0"/>
    <x v="8"/>
    <x v="16"/>
    <s v="PL_A"/>
    <x v="3"/>
    <x v="1"/>
    <s v="GNR_ST_STRAW_BP_E-15"/>
    <x v="0"/>
    <x v="16"/>
    <n v="82"/>
    <n v="29930"/>
    <n v="107748"/>
  </r>
  <r>
    <x v="0"/>
    <x v="0"/>
    <x v="0"/>
    <x v="8"/>
    <x v="16"/>
    <s v="PL_A"/>
    <x v="3"/>
    <x v="1"/>
    <s v="GNR_ST_STRAW_BP_E-15"/>
    <x v="0"/>
    <x v="17"/>
    <n v="82"/>
    <n v="29930"/>
    <n v="107748"/>
  </r>
  <r>
    <x v="0"/>
    <x v="0"/>
    <x v="0"/>
    <x v="8"/>
    <x v="16"/>
    <s v="PL_A"/>
    <x v="3"/>
    <x v="1"/>
    <s v="GNR_ST_STRAW_BP_E-15"/>
    <x v="0"/>
    <x v="18"/>
    <n v="82"/>
    <n v="29930"/>
    <n v="107748"/>
  </r>
  <r>
    <x v="0"/>
    <x v="0"/>
    <x v="0"/>
    <x v="8"/>
    <x v="16"/>
    <s v="PL_A"/>
    <x v="3"/>
    <x v="1"/>
    <s v="GNR_ST_STRAW_BP_E-15"/>
    <x v="0"/>
    <x v="19"/>
    <n v="82"/>
    <n v="29930"/>
    <n v="107748"/>
  </r>
  <r>
    <x v="0"/>
    <x v="0"/>
    <x v="0"/>
    <x v="8"/>
    <x v="16"/>
    <s v="PL_A"/>
    <x v="3"/>
    <x v="1"/>
    <s v="GNR_ST_STRAW_BP_E-15"/>
    <x v="0"/>
    <x v="20"/>
    <n v="82"/>
    <n v="29930"/>
    <n v="107748"/>
  </r>
  <r>
    <x v="0"/>
    <x v="0"/>
    <x v="0"/>
    <x v="8"/>
    <x v="16"/>
    <s v="PL_A"/>
    <x v="3"/>
    <x v="1"/>
    <s v="GNR_ST_STRAW_BP_E-15"/>
    <x v="0"/>
    <x v="21"/>
    <n v="82"/>
    <n v="29930"/>
    <n v="107748"/>
  </r>
  <r>
    <x v="0"/>
    <x v="0"/>
    <x v="0"/>
    <x v="8"/>
    <x v="16"/>
    <s v="PL_A"/>
    <x v="3"/>
    <x v="1"/>
    <s v="GNR_ST_STRAW_BP_E-15"/>
    <x v="0"/>
    <x v="22"/>
    <n v="82"/>
    <n v="29930"/>
    <n v="107748"/>
  </r>
  <r>
    <x v="0"/>
    <x v="0"/>
    <x v="0"/>
    <x v="8"/>
    <x v="16"/>
    <s v="PL_A"/>
    <x v="3"/>
    <x v="1"/>
    <s v="GNR_ST_STRAW_BP_E-15"/>
    <x v="0"/>
    <x v="23"/>
    <n v="82"/>
    <n v="29930"/>
    <n v="107748"/>
  </r>
  <r>
    <x v="0"/>
    <x v="0"/>
    <x v="0"/>
    <x v="8"/>
    <x v="16"/>
    <s v="PL_A"/>
    <x v="3"/>
    <x v="0"/>
    <s v="LODZ-3_ST_STRAW_EXT"/>
    <x v="0"/>
    <x v="3"/>
    <n v="48"/>
    <n v="17520"/>
    <n v="63072"/>
  </r>
  <r>
    <x v="0"/>
    <x v="0"/>
    <x v="0"/>
    <x v="8"/>
    <x v="16"/>
    <s v="PL_A"/>
    <x v="3"/>
    <x v="0"/>
    <s v="LODZ-3_ST_STRAW_EXT"/>
    <x v="0"/>
    <x v="4"/>
    <n v="48"/>
    <n v="17520"/>
    <n v="63072"/>
  </r>
  <r>
    <x v="0"/>
    <x v="0"/>
    <x v="0"/>
    <x v="8"/>
    <x v="16"/>
    <s v="PL_A"/>
    <x v="3"/>
    <x v="0"/>
    <s v="LODZ-3_ST_STRAW_EXT"/>
    <x v="0"/>
    <x v="5"/>
    <n v="48"/>
    <n v="17520"/>
    <n v="63072"/>
  </r>
  <r>
    <x v="0"/>
    <x v="0"/>
    <x v="0"/>
    <x v="8"/>
    <x v="16"/>
    <s v="PL_A"/>
    <x v="3"/>
    <x v="0"/>
    <s v="LODZ-3_ST_STRAW_EXT"/>
    <x v="0"/>
    <x v="6"/>
    <n v="48"/>
    <n v="17520"/>
    <n v="63072"/>
  </r>
  <r>
    <x v="0"/>
    <x v="0"/>
    <x v="0"/>
    <x v="8"/>
    <x v="16"/>
    <s v="PL_A"/>
    <x v="3"/>
    <x v="0"/>
    <s v="LODZ-3_ST_STRAW_EXT"/>
    <x v="0"/>
    <x v="7"/>
    <n v="48"/>
    <n v="17520"/>
    <n v="63072"/>
  </r>
  <r>
    <x v="0"/>
    <x v="0"/>
    <x v="0"/>
    <x v="8"/>
    <x v="16"/>
    <s v="PL_A"/>
    <x v="3"/>
    <x v="0"/>
    <s v="LODZ-3_ST_STRAW_EXT"/>
    <x v="0"/>
    <x v="8"/>
    <n v="48"/>
    <n v="17520"/>
    <n v="63072"/>
  </r>
  <r>
    <x v="0"/>
    <x v="0"/>
    <x v="0"/>
    <x v="8"/>
    <x v="16"/>
    <s v="PL_A"/>
    <x v="3"/>
    <x v="0"/>
    <s v="LODZ-3_ST_STRAW_EXT"/>
    <x v="0"/>
    <x v="0"/>
    <n v="88"/>
    <n v="32120"/>
    <n v="115632"/>
  </r>
  <r>
    <x v="0"/>
    <x v="0"/>
    <x v="0"/>
    <x v="8"/>
    <x v="16"/>
    <s v="PL_A"/>
    <x v="3"/>
    <x v="0"/>
    <s v="LODZ-3_ST_STRAW_EXT"/>
    <x v="0"/>
    <x v="1"/>
    <n v="88"/>
    <n v="32120"/>
    <n v="115632"/>
  </r>
  <r>
    <x v="0"/>
    <x v="0"/>
    <x v="0"/>
    <x v="8"/>
    <x v="16"/>
    <s v="PL_A"/>
    <x v="3"/>
    <x v="0"/>
    <s v="LODZ-3_ST_STRAW_EXT"/>
    <x v="0"/>
    <x v="2"/>
    <n v="88"/>
    <n v="32120"/>
    <n v="115632"/>
  </r>
  <r>
    <x v="0"/>
    <x v="0"/>
    <x v="0"/>
    <x v="8"/>
    <x v="16"/>
    <s v="PL_A"/>
    <x v="3"/>
    <x v="0"/>
    <s v="LODZ-3_ST_STRAW_EXT"/>
    <x v="0"/>
    <x v="9"/>
    <n v="88"/>
    <n v="32120"/>
    <n v="115632"/>
  </r>
  <r>
    <x v="0"/>
    <x v="0"/>
    <x v="0"/>
    <x v="8"/>
    <x v="16"/>
    <s v="PL_A"/>
    <x v="3"/>
    <x v="0"/>
    <s v="LODZ-3_ST_STRAW_EXT"/>
    <x v="0"/>
    <x v="10"/>
    <n v="88"/>
    <n v="32120"/>
    <n v="115632"/>
  </r>
  <r>
    <x v="0"/>
    <x v="0"/>
    <x v="0"/>
    <x v="8"/>
    <x v="16"/>
    <s v="PL_A"/>
    <x v="3"/>
    <x v="0"/>
    <s v="LODZ-3_ST_STRAW_EXT"/>
    <x v="0"/>
    <x v="11"/>
    <n v="88"/>
    <n v="32120"/>
    <n v="115632"/>
  </r>
  <r>
    <x v="0"/>
    <x v="0"/>
    <x v="0"/>
    <x v="8"/>
    <x v="16"/>
    <s v="PL_A"/>
    <x v="3"/>
    <x v="0"/>
    <s v="LODZ-3_ST_STRAW_EXT"/>
    <x v="0"/>
    <x v="12"/>
    <n v="88"/>
    <n v="32120"/>
    <n v="115632"/>
  </r>
  <r>
    <x v="0"/>
    <x v="0"/>
    <x v="0"/>
    <x v="8"/>
    <x v="16"/>
    <s v="PL_A"/>
    <x v="3"/>
    <x v="0"/>
    <s v="LODZ-3_ST_STRAW_EXT"/>
    <x v="0"/>
    <x v="13"/>
    <n v="48"/>
    <n v="17520"/>
    <n v="63072"/>
  </r>
  <r>
    <x v="0"/>
    <x v="0"/>
    <x v="0"/>
    <x v="8"/>
    <x v="16"/>
    <s v="PL_A"/>
    <x v="3"/>
    <x v="0"/>
    <s v="LODZ-3_ST_STRAW_EXT"/>
    <x v="0"/>
    <x v="14"/>
    <n v="88"/>
    <n v="32120"/>
    <n v="115632"/>
  </r>
  <r>
    <x v="0"/>
    <x v="0"/>
    <x v="0"/>
    <x v="8"/>
    <x v="16"/>
    <s v="PL_A"/>
    <x v="3"/>
    <x v="0"/>
    <s v="LODZ-3_ST_STRAW_EXT"/>
    <x v="0"/>
    <x v="15"/>
    <n v="88"/>
    <n v="32120"/>
    <n v="115632"/>
  </r>
  <r>
    <x v="0"/>
    <x v="0"/>
    <x v="0"/>
    <x v="8"/>
    <x v="16"/>
    <s v="PL_A"/>
    <x v="3"/>
    <x v="0"/>
    <s v="LODZ-3_ST_STRAW_EXT"/>
    <x v="0"/>
    <x v="16"/>
    <n v="88"/>
    <n v="32120"/>
    <n v="115632"/>
  </r>
  <r>
    <x v="0"/>
    <x v="0"/>
    <x v="0"/>
    <x v="8"/>
    <x v="16"/>
    <s v="PL_A"/>
    <x v="3"/>
    <x v="0"/>
    <s v="LODZ-3_ST_STRAW_EXT"/>
    <x v="0"/>
    <x v="17"/>
    <n v="88"/>
    <n v="32120"/>
    <n v="115632"/>
  </r>
  <r>
    <x v="0"/>
    <x v="0"/>
    <x v="0"/>
    <x v="8"/>
    <x v="16"/>
    <s v="PL_A"/>
    <x v="3"/>
    <x v="0"/>
    <s v="LODZ-3_ST_STRAW_EXT"/>
    <x v="0"/>
    <x v="18"/>
    <n v="88"/>
    <n v="32120"/>
    <n v="115632"/>
  </r>
  <r>
    <x v="0"/>
    <x v="0"/>
    <x v="0"/>
    <x v="8"/>
    <x v="16"/>
    <s v="PL_A"/>
    <x v="3"/>
    <x v="0"/>
    <s v="LODZ-3_ST_STRAW_EXT"/>
    <x v="0"/>
    <x v="19"/>
    <n v="88"/>
    <n v="32120"/>
    <n v="115632"/>
  </r>
  <r>
    <x v="0"/>
    <x v="0"/>
    <x v="0"/>
    <x v="8"/>
    <x v="16"/>
    <s v="PL_A"/>
    <x v="3"/>
    <x v="0"/>
    <s v="LODZ-3_ST_STRAW_EXT"/>
    <x v="0"/>
    <x v="20"/>
    <n v="48"/>
    <n v="17520"/>
    <n v="63072"/>
  </r>
  <r>
    <x v="0"/>
    <x v="0"/>
    <x v="0"/>
    <x v="8"/>
    <x v="16"/>
    <s v="PL_A"/>
    <x v="3"/>
    <x v="0"/>
    <s v="LODZ-3_ST_STRAW_EXT"/>
    <x v="0"/>
    <x v="21"/>
    <n v="48"/>
    <n v="17520"/>
    <n v="63072"/>
  </r>
  <r>
    <x v="0"/>
    <x v="0"/>
    <x v="0"/>
    <x v="8"/>
    <x v="16"/>
    <s v="PL_A"/>
    <x v="3"/>
    <x v="0"/>
    <s v="LODZ-3_ST_STRAW_EXT"/>
    <x v="0"/>
    <x v="22"/>
    <n v="48"/>
    <n v="17520"/>
    <n v="63072"/>
  </r>
  <r>
    <x v="0"/>
    <x v="0"/>
    <x v="0"/>
    <x v="8"/>
    <x v="16"/>
    <s v="PL_A"/>
    <x v="3"/>
    <x v="0"/>
    <s v="LODZ-3_ST_STRAW_EXT"/>
    <x v="0"/>
    <x v="23"/>
    <n v="48"/>
    <n v="17520"/>
    <n v="63072"/>
  </r>
  <r>
    <x v="0"/>
    <x v="0"/>
    <x v="0"/>
    <x v="8"/>
    <x v="16"/>
    <s v="PL_A"/>
    <x v="5"/>
    <x v="3"/>
    <s v="GNR_PV_SUN"/>
    <x v="0"/>
    <x v="2"/>
    <n v="2.2203077554217899E-2"/>
    <n v="8.1041233072895391"/>
    <n v="29.174843906242302"/>
  </r>
  <r>
    <x v="0"/>
    <x v="0"/>
    <x v="0"/>
    <x v="8"/>
    <x v="16"/>
    <s v="PL_A"/>
    <x v="5"/>
    <x v="3"/>
    <s v="GNR_PV_SUN"/>
    <x v="0"/>
    <x v="9"/>
    <n v="0.16714932230559901"/>
    <n v="61.009502641543797"/>
    <n v="219.63420950955799"/>
  </r>
  <r>
    <x v="0"/>
    <x v="0"/>
    <x v="0"/>
    <x v="8"/>
    <x v="16"/>
    <s v="PL_A"/>
    <x v="5"/>
    <x v="3"/>
    <s v="GNR_PV_SUN"/>
    <x v="0"/>
    <x v="10"/>
    <n v="0.38610582557104101"/>
    <n v="140.92862633343"/>
    <n v="507.34305480034698"/>
  </r>
  <r>
    <x v="0"/>
    <x v="0"/>
    <x v="0"/>
    <x v="8"/>
    <x v="16"/>
    <s v="PL_A"/>
    <x v="5"/>
    <x v="3"/>
    <s v="GNR_PV_SUN"/>
    <x v="0"/>
    <x v="11"/>
    <n v="0.58798303841015997"/>
    <n v="214.61380901970901"/>
    <n v="772.60971247095097"/>
  </r>
  <r>
    <x v="0"/>
    <x v="0"/>
    <x v="0"/>
    <x v="8"/>
    <x v="16"/>
    <s v="PL_A"/>
    <x v="5"/>
    <x v="3"/>
    <s v="GNR_PV_SUN"/>
    <x v="0"/>
    <x v="12"/>
    <n v="0.66848342728622201"/>
    <n v="243.99645095947099"/>
    <n v="878.38722345409599"/>
  </r>
  <r>
    <x v="0"/>
    <x v="0"/>
    <x v="0"/>
    <x v="8"/>
    <x v="16"/>
    <s v="PL_A"/>
    <x v="5"/>
    <x v="3"/>
    <s v="GNR_PV_SUN"/>
    <x v="0"/>
    <x v="13"/>
    <n v="0.58126518417580697"/>
    <n v="212.16179222417"/>
    <n v="763.78245200701099"/>
  </r>
  <r>
    <x v="0"/>
    <x v="0"/>
    <x v="0"/>
    <x v="8"/>
    <x v="16"/>
    <s v="PL_A"/>
    <x v="5"/>
    <x v="3"/>
    <s v="GNR_PV_SUN"/>
    <x v="0"/>
    <x v="14"/>
    <n v="0.37824935197493298"/>
    <n v="138.06101347085001"/>
    <n v="497.01964849506197"/>
  </r>
  <r>
    <x v="0"/>
    <x v="0"/>
    <x v="0"/>
    <x v="8"/>
    <x v="16"/>
    <s v="PL_A"/>
    <x v="5"/>
    <x v="3"/>
    <s v="GNR_PV_SUN"/>
    <x v="0"/>
    <x v="15"/>
    <n v="0.191515776647151"/>
    <n v="69.903258476210297"/>
    <n v="251.65173051435701"/>
  </r>
  <r>
    <x v="0"/>
    <x v="0"/>
    <x v="0"/>
    <x v="8"/>
    <x v="16"/>
    <s v="PL_A"/>
    <x v="5"/>
    <x v="3"/>
    <s v="GNR_PV_SUN"/>
    <x v="0"/>
    <x v="16"/>
    <n v="2.4935764022429301E-2"/>
    <n v="9.1015538681867092"/>
    <n v="32.765593925472203"/>
  </r>
  <r>
    <x v="0"/>
    <x v="0"/>
    <x v="0"/>
    <x v="8"/>
    <x v="16"/>
    <s v="PL_A"/>
    <x v="6"/>
    <x v="9"/>
    <s v="GNR_ES_WTR_PMP"/>
    <x v="0"/>
    <x v="2"/>
    <n v="13.5699888017917"/>
    <n v="4953.0459126539799"/>
    <n v="17830.965285554299"/>
  </r>
  <r>
    <x v="0"/>
    <x v="0"/>
    <x v="0"/>
    <x v="8"/>
    <x v="16"/>
    <s v="PL_A"/>
    <x v="6"/>
    <x v="9"/>
    <s v="GNR_ES_WTR_PMP"/>
    <x v="0"/>
    <x v="16"/>
    <n v="17.263999999999999"/>
    <n v="6301.36"/>
    <n v="22684.896000000001"/>
  </r>
  <r>
    <x v="0"/>
    <x v="0"/>
    <x v="0"/>
    <x v="8"/>
    <x v="16"/>
    <s v="PL_A"/>
    <x v="7"/>
    <x v="5"/>
    <s v="GNR_WT_WIND_ONS"/>
    <x v="0"/>
    <x v="3"/>
    <n v="209.95498743155599"/>
    <n v="76633.570412517802"/>
    <n v="275880.853485064"/>
  </r>
  <r>
    <x v="0"/>
    <x v="0"/>
    <x v="0"/>
    <x v="8"/>
    <x v="16"/>
    <s v="PL_A"/>
    <x v="7"/>
    <x v="5"/>
    <s v="GNR_WT_WIND_ONS"/>
    <x v="0"/>
    <x v="4"/>
    <n v="251.94598491786701"/>
    <n v="91960.284495021304"/>
    <n v="331057.02418207697"/>
  </r>
  <r>
    <x v="0"/>
    <x v="0"/>
    <x v="0"/>
    <x v="8"/>
    <x v="16"/>
    <s v="PL_A"/>
    <x v="7"/>
    <x v="5"/>
    <s v="GNR_WT_WIND_ONS"/>
    <x v="0"/>
    <x v="5"/>
    <n v="245.947270991251"/>
    <n v="89770.753911806503"/>
    <n v="323174.71408250398"/>
  </r>
  <r>
    <x v="0"/>
    <x v="0"/>
    <x v="0"/>
    <x v="8"/>
    <x v="16"/>
    <s v="PL_A"/>
    <x v="7"/>
    <x v="5"/>
    <s v="GNR_WT_WIND_ONS"/>
    <x v="0"/>
    <x v="6"/>
    <n v="230.95048617471099"/>
    <n v="84296.927453769604"/>
    <n v="303468.93883356999"/>
  </r>
  <r>
    <x v="0"/>
    <x v="0"/>
    <x v="0"/>
    <x v="8"/>
    <x v="16"/>
    <s v="PL_A"/>
    <x v="7"/>
    <x v="5"/>
    <s v="GNR_WT_WIND_ONS"/>
    <x v="0"/>
    <x v="7"/>
    <n v="170.96334690855201"/>
    <n v="62401.621621621598"/>
    <n v="224645.83783783799"/>
  </r>
  <r>
    <x v="0"/>
    <x v="0"/>
    <x v="0"/>
    <x v="8"/>
    <x v="16"/>
    <s v="PL_A"/>
    <x v="7"/>
    <x v="5"/>
    <s v="GNR_WT_WIND_ONS"/>
    <x v="0"/>
    <x v="8"/>
    <n v="98.978779789161905"/>
    <n v="36127.2546230441"/>
    <n v="130058.11664295899"/>
  </r>
  <r>
    <x v="0"/>
    <x v="0"/>
    <x v="0"/>
    <x v="8"/>
    <x v="16"/>
    <s v="PL_A"/>
    <x v="7"/>
    <x v="5"/>
    <s v="GNR_WT_WIND_ONS"/>
    <x v="0"/>
    <x v="0"/>
    <n v="20.995498743155601"/>
    <n v="7663.3570412517802"/>
    <n v="27588.0853485064"/>
  </r>
  <r>
    <x v="0"/>
    <x v="0"/>
    <x v="0"/>
    <x v="8"/>
    <x v="16"/>
    <s v="PL_A"/>
    <x v="7"/>
    <x v="5"/>
    <s v="GNR_WT_WIND_ONS"/>
    <x v="0"/>
    <x v="1"/>
    <n v="14.9967848165397"/>
    <n v="5473.8264580369796"/>
    <n v="19705.7752489331"/>
  </r>
  <r>
    <x v="0"/>
    <x v="0"/>
    <x v="0"/>
    <x v="8"/>
    <x v="16"/>
    <s v="PL_A"/>
    <x v="7"/>
    <x v="5"/>
    <s v="GNR_WT_WIND_ONS"/>
    <x v="0"/>
    <x v="2"/>
    <n v="20.995498743155601"/>
    <n v="7663.3570412517802"/>
    <n v="27588.0853485064"/>
  </r>
  <r>
    <x v="0"/>
    <x v="0"/>
    <x v="0"/>
    <x v="8"/>
    <x v="16"/>
    <s v="PL_A"/>
    <x v="7"/>
    <x v="5"/>
    <s v="GNR_WT_WIND_ONS"/>
    <x v="0"/>
    <x v="9"/>
    <n v="98.978779789161905"/>
    <n v="36127.2546230441"/>
    <n v="130058.11664295899"/>
  </r>
  <r>
    <x v="0"/>
    <x v="0"/>
    <x v="0"/>
    <x v="8"/>
    <x v="16"/>
    <s v="PL_A"/>
    <x v="7"/>
    <x v="5"/>
    <s v="GNR_WT_WIND_ONS"/>
    <x v="0"/>
    <x v="10"/>
    <n v="230.95048617471099"/>
    <n v="84296.927453769604"/>
    <n v="303468.93883356999"/>
  </r>
  <r>
    <x v="0"/>
    <x v="0"/>
    <x v="0"/>
    <x v="8"/>
    <x v="16"/>
    <s v="PL_A"/>
    <x v="7"/>
    <x v="5"/>
    <s v="GNR_WT_WIND_ONS"/>
    <x v="0"/>
    <x v="11"/>
    <n v="356.92347863364398"/>
    <n v="130277.06970127999"/>
    <n v="468997.45092460897"/>
  </r>
  <r>
    <x v="0"/>
    <x v="0"/>
    <x v="0"/>
    <x v="8"/>
    <x v="16"/>
    <s v="PL_A"/>
    <x v="7"/>
    <x v="5"/>
    <s v="GNR_WT_WIND_ONS"/>
    <x v="0"/>
    <x v="12"/>
    <n v="413.91126093649501"/>
    <n v="151077.61024182101"/>
    <n v="543879.39687055501"/>
  </r>
  <r>
    <x v="0"/>
    <x v="0"/>
    <x v="0"/>
    <x v="8"/>
    <x v="16"/>
    <s v="PL_A"/>
    <x v="7"/>
    <x v="5"/>
    <s v="GNR_WT_WIND_ONS"/>
    <x v="0"/>
    <x v="13"/>
    <n v="473.89840020265399"/>
    <n v="172972.91607396901"/>
    <n v="622702.49786628701"/>
  </r>
  <r>
    <x v="0"/>
    <x v="0"/>
    <x v="0"/>
    <x v="8"/>
    <x v="16"/>
    <s v="PL_A"/>
    <x v="7"/>
    <x v="5"/>
    <s v="GNR_WT_WIND_ONS"/>
    <x v="0"/>
    <x v="14"/>
    <n v="473.89840020265399"/>
    <n v="172972.91607396901"/>
    <n v="622702.49786628701"/>
  </r>
  <r>
    <x v="0"/>
    <x v="0"/>
    <x v="0"/>
    <x v="8"/>
    <x v="16"/>
    <s v="PL_A"/>
    <x v="7"/>
    <x v="5"/>
    <s v="GNR_WT_WIND_ONS"/>
    <x v="0"/>
    <x v="15"/>
    <n v="749.839240826984"/>
    <n v="273691.32290184899"/>
    <n v="985288.76244665706"/>
  </r>
  <r>
    <x v="0"/>
    <x v="0"/>
    <x v="0"/>
    <x v="8"/>
    <x v="16"/>
    <s v="PL_A"/>
    <x v="7"/>
    <x v="5"/>
    <s v="GNR_WT_WIND_ONS"/>
    <x v="0"/>
    <x v="16"/>
    <n v="968.79229914846303"/>
    <n v="353609.189189189"/>
    <n v="1272993.08108108"/>
  </r>
  <r>
    <x v="0"/>
    <x v="0"/>
    <x v="0"/>
    <x v="8"/>
    <x v="16"/>
    <s v="PL_A"/>
    <x v="7"/>
    <x v="5"/>
    <s v="GNR_WT_WIND_ONS"/>
    <x v="0"/>
    <x v="17"/>
    <n v="956.79487129523204"/>
    <n v="349230.12802275998"/>
    <n v="1257228.4608819301"/>
  </r>
  <r>
    <x v="0"/>
    <x v="0"/>
    <x v="0"/>
    <x v="8"/>
    <x v="16"/>
    <s v="PL_A"/>
    <x v="7"/>
    <x v="5"/>
    <s v="GNR_WT_WIND_ONS"/>
    <x v="0"/>
    <x v="18"/>
    <n v="1307.7196360022599"/>
    <n v="477317.66714082501"/>
    <n v="1718343.60170697"/>
  </r>
  <r>
    <x v="0"/>
    <x v="0"/>
    <x v="0"/>
    <x v="8"/>
    <x v="16"/>
    <s v="PL_A"/>
    <x v="7"/>
    <x v="5"/>
    <s v="GNR_WT_WIND_ONS"/>
    <x v="0"/>
    <x v="19"/>
    <n v="1946.5826691868499"/>
    <n v="710502.674253201"/>
    <n v="2557809.6273115198"/>
  </r>
  <r>
    <x v="0"/>
    <x v="0"/>
    <x v="0"/>
    <x v="8"/>
    <x v="16"/>
    <s v="PL_A"/>
    <x v="7"/>
    <x v="5"/>
    <s v="GNR_WT_WIND_ONS"/>
    <x v="0"/>
    <x v="20"/>
    <n v="2255.5164364075699"/>
    <n v="823263.49928876304"/>
    <n v="2963748.5974395499"/>
  </r>
  <r>
    <x v="0"/>
    <x v="0"/>
    <x v="0"/>
    <x v="8"/>
    <x v="16"/>
    <s v="PL_A"/>
    <x v="7"/>
    <x v="5"/>
    <s v="GNR_WT_WIND_ONS"/>
    <x v="0"/>
    <x v="21"/>
    <n v="2432.4784972427401"/>
    <n v="887854.65149359906"/>
    <n v="3196276.7453769599"/>
  </r>
  <r>
    <x v="0"/>
    <x v="0"/>
    <x v="0"/>
    <x v="8"/>
    <x v="16"/>
    <s v="PL_A"/>
    <x v="7"/>
    <x v="5"/>
    <s v="GNR_WT_WIND_ONS"/>
    <x v="0"/>
    <x v="22"/>
    <n v="2471.4701377657402"/>
    <n v="902086.60028449504"/>
    <n v="3247511.7610241799"/>
  </r>
  <r>
    <x v="0"/>
    <x v="0"/>
    <x v="0"/>
    <x v="8"/>
    <x v="16"/>
    <s v="PL_A"/>
    <x v="7"/>
    <x v="5"/>
    <s v="GNR_WT_WIND_ONS"/>
    <x v="0"/>
    <x v="23"/>
    <n v="2573.4482745182099"/>
    <n v="939308.62019914598"/>
    <n v="3381511.0327169299"/>
  </r>
  <r>
    <x v="0"/>
    <x v="0"/>
    <x v="0"/>
    <x v="8"/>
    <x v="16"/>
    <s v="PL_A"/>
    <x v="11"/>
    <x v="0"/>
    <s v="GNR_ST_WOOD_EXT_E-45"/>
    <x v="0"/>
    <x v="3"/>
    <n v="907.69230769230796"/>
    <n v="331307.69230769202"/>
    <n v="1192707.6923076899"/>
  </r>
  <r>
    <x v="0"/>
    <x v="0"/>
    <x v="0"/>
    <x v="8"/>
    <x v="16"/>
    <s v="PL_A"/>
    <x v="11"/>
    <x v="0"/>
    <s v="GNR_ST_WOOD_EXT_E-45"/>
    <x v="0"/>
    <x v="4"/>
    <n v="907.69230769230796"/>
    <n v="331307.69230769202"/>
    <n v="1192707.6923076899"/>
  </r>
  <r>
    <x v="0"/>
    <x v="0"/>
    <x v="0"/>
    <x v="8"/>
    <x v="16"/>
    <s v="PL_A"/>
    <x v="11"/>
    <x v="0"/>
    <s v="GNR_ST_WOOD_EXT_E-45"/>
    <x v="0"/>
    <x v="5"/>
    <n v="907.69230769230796"/>
    <n v="331307.69230769202"/>
    <n v="1192707.6923076899"/>
  </r>
  <r>
    <x v="0"/>
    <x v="0"/>
    <x v="0"/>
    <x v="8"/>
    <x v="16"/>
    <s v="PL_A"/>
    <x v="11"/>
    <x v="0"/>
    <s v="GNR_ST_WOOD_EXT_E-45"/>
    <x v="0"/>
    <x v="6"/>
    <n v="907.69230769230796"/>
    <n v="331307.69230769202"/>
    <n v="1192707.6923076899"/>
  </r>
  <r>
    <x v="0"/>
    <x v="0"/>
    <x v="0"/>
    <x v="8"/>
    <x v="16"/>
    <s v="PL_A"/>
    <x v="11"/>
    <x v="0"/>
    <s v="GNR_ST_WOOD_EXT_E-45"/>
    <x v="0"/>
    <x v="7"/>
    <n v="907.69230769230796"/>
    <n v="331307.69230769202"/>
    <n v="1192707.6923076899"/>
  </r>
  <r>
    <x v="0"/>
    <x v="0"/>
    <x v="0"/>
    <x v="8"/>
    <x v="16"/>
    <s v="PL_A"/>
    <x v="11"/>
    <x v="0"/>
    <s v="GNR_ST_WOOD_EXT_E-45"/>
    <x v="0"/>
    <x v="8"/>
    <n v="907.69230769230796"/>
    <n v="331307.69230769202"/>
    <n v="1192707.6923076899"/>
  </r>
  <r>
    <x v="0"/>
    <x v="0"/>
    <x v="0"/>
    <x v="8"/>
    <x v="16"/>
    <s v="PL_A"/>
    <x v="11"/>
    <x v="0"/>
    <s v="GNR_ST_WOOD_EXT_E-45"/>
    <x v="0"/>
    <x v="0"/>
    <n v="907.69230769230796"/>
    <n v="331307.69230769202"/>
    <n v="1192707.6923076899"/>
  </r>
  <r>
    <x v="0"/>
    <x v="0"/>
    <x v="0"/>
    <x v="8"/>
    <x v="16"/>
    <s v="PL_A"/>
    <x v="11"/>
    <x v="0"/>
    <s v="GNR_ST_WOOD_EXT_E-45"/>
    <x v="0"/>
    <x v="1"/>
    <n v="1180"/>
    <n v="430700"/>
    <n v="1550520"/>
  </r>
  <r>
    <x v="0"/>
    <x v="0"/>
    <x v="0"/>
    <x v="8"/>
    <x v="16"/>
    <s v="PL_A"/>
    <x v="11"/>
    <x v="0"/>
    <s v="GNR_ST_WOOD_EXT_E-45"/>
    <x v="0"/>
    <x v="2"/>
    <n v="1180"/>
    <n v="430700"/>
    <n v="1550520"/>
  </r>
  <r>
    <x v="0"/>
    <x v="0"/>
    <x v="0"/>
    <x v="8"/>
    <x v="16"/>
    <s v="PL_A"/>
    <x v="11"/>
    <x v="0"/>
    <s v="GNR_ST_WOOD_EXT_E-45"/>
    <x v="0"/>
    <x v="9"/>
    <n v="1180"/>
    <n v="430700"/>
    <n v="1550520"/>
  </r>
  <r>
    <x v="0"/>
    <x v="0"/>
    <x v="0"/>
    <x v="8"/>
    <x v="16"/>
    <s v="PL_A"/>
    <x v="11"/>
    <x v="0"/>
    <s v="GNR_ST_WOOD_EXT_E-45"/>
    <x v="0"/>
    <x v="10"/>
    <n v="1135.82927947146"/>
    <n v="414577.68700708298"/>
    <n v="1492479.6732254999"/>
  </r>
  <r>
    <x v="0"/>
    <x v="0"/>
    <x v="0"/>
    <x v="8"/>
    <x v="16"/>
    <s v="PL_A"/>
    <x v="11"/>
    <x v="0"/>
    <s v="GNR_ST_WOOD_EXT_E-45"/>
    <x v="0"/>
    <x v="11"/>
    <n v="918.02117698892505"/>
    <n v="335077.729600958"/>
    <n v="1206279.82656345"/>
  </r>
  <r>
    <x v="0"/>
    <x v="0"/>
    <x v="0"/>
    <x v="8"/>
    <x v="16"/>
    <s v="PL_A"/>
    <x v="11"/>
    <x v="0"/>
    <s v="GNR_ST_WOOD_EXT_E-45"/>
    <x v="0"/>
    <x v="12"/>
    <n v="919.56514231128995"/>
    <n v="335641.27694362099"/>
    <n v="1208308.5969970401"/>
  </r>
  <r>
    <x v="0"/>
    <x v="0"/>
    <x v="0"/>
    <x v="8"/>
    <x v="16"/>
    <s v="PL_A"/>
    <x v="11"/>
    <x v="0"/>
    <s v="GNR_ST_WOOD_EXT_E-45"/>
    <x v="0"/>
    <x v="13"/>
    <n v="907.69230769230796"/>
    <n v="331307.69230769202"/>
    <n v="1192707.6923076899"/>
  </r>
  <r>
    <x v="0"/>
    <x v="0"/>
    <x v="0"/>
    <x v="8"/>
    <x v="16"/>
    <s v="PL_A"/>
    <x v="11"/>
    <x v="0"/>
    <s v="GNR_ST_WOOD_EXT_E-45"/>
    <x v="0"/>
    <x v="14"/>
    <n v="907.69230769230796"/>
    <n v="331307.69230769202"/>
    <n v="1192707.6923076899"/>
  </r>
  <r>
    <x v="0"/>
    <x v="0"/>
    <x v="0"/>
    <x v="8"/>
    <x v="16"/>
    <s v="PL_A"/>
    <x v="11"/>
    <x v="0"/>
    <s v="GNR_ST_WOOD_EXT_E-45"/>
    <x v="0"/>
    <x v="15"/>
    <n v="1180"/>
    <n v="430700"/>
    <n v="1550520"/>
  </r>
  <r>
    <x v="0"/>
    <x v="0"/>
    <x v="0"/>
    <x v="8"/>
    <x v="16"/>
    <s v="PL_A"/>
    <x v="11"/>
    <x v="0"/>
    <s v="GNR_ST_WOOD_EXT_E-45"/>
    <x v="0"/>
    <x v="16"/>
    <n v="1180"/>
    <n v="430700"/>
    <n v="1550520"/>
  </r>
  <r>
    <x v="0"/>
    <x v="0"/>
    <x v="0"/>
    <x v="8"/>
    <x v="16"/>
    <s v="PL_A"/>
    <x v="11"/>
    <x v="0"/>
    <s v="GNR_ST_WOOD_EXT_E-45"/>
    <x v="0"/>
    <x v="17"/>
    <n v="1180"/>
    <n v="430700"/>
    <n v="1550520"/>
  </r>
  <r>
    <x v="0"/>
    <x v="0"/>
    <x v="0"/>
    <x v="8"/>
    <x v="16"/>
    <s v="PL_A"/>
    <x v="11"/>
    <x v="0"/>
    <s v="GNR_ST_WOOD_EXT_E-45"/>
    <x v="0"/>
    <x v="18"/>
    <n v="1180"/>
    <n v="430700"/>
    <n v="1550520"/>
  </r>
  <r>
    <x v="0"/>
    <x v="0"/>
    <x v="0"/>
    <x v="8"/>
    <x v="16"/>
    <s v="PL_A"/>
    <x v="11"/>
    <x v="0"/>
    <s v="GNR_ST_WOOD_EXT_E-45"/>
    <x v="0"/>
    <x v="19"/>
    <n v="907.69230769230796"/>
    <n v="331307.69230769202"/>
    <n v="1192707.6923076899"/>
  </r>
  <r>
    <x v="0"/>
    <x v="0"/>
    <x v="0"/>
    <x v="8"/>
    <x v="16"/>
    <s v="PL_A"/>
    <x v="11"/>
    <x v="0"/>
    <s v="GNR_ST_WOOD_EXT_E-45"/>
    <x v="0"/>
    <x v="20"/>
    <n v="907.69230769230796"/>
    <n v="331307.69230769202"/>
    <n v="1192707.6923076899"/>
  </r>
  <r>
    <x v="0"/>
    <x v="0"/>
    <x v="0"/>
    <x v="8"/>
    <x v="16"/>
    <s v="PL_A"/>
    <x v="11"/>
    <x v="0"/>
    <s v="GNR_ST_WOOD_EXT_E-45"/>
    <x v="0"/>
    <x v="21"/>
    <n v="907.69230769230796"/>
    <n v="331307.69230769202"/>
    <n v="1192707.6923076899"/>
  </r>
  <r>
    <x v="0"/>
    <x v="0"/>
    <x v="0"/>
    <x v="8"/>
    <x v="16"/>
    <s v="PL_A"/>
    <x v="11"/>
    <x v="0"/>
    <s v="GNR_ST_WOOD_EXT_E-45"/>
    <x v="0"/>
    <x v="22"/>
    <n v="907.69230769230796"/>
    <n v="331307.69230769202"/>
    <n v="1192707.6923076899"/>
  </r>
  <r>
    <x v="0"/>
    <x v="0"/>
    <x v="0"/>
    <x v="8"/>
    <x v="16"/>
    <s v="PL_A"/>
    <x v="11"/>
    <x v="0"/>
    <s v="GNR_ST_WOOD_EXT_E-45"/>
    <x v="0"/>
    <x v="23"/>
    <n v="907.69230769230796"/>
    <n v="331307.69230769202"/>
    <n v="1192707.6923076899"/>
  </r>
  <r>
    <x v="0"/>
    <x v="0"/>
    <x v="0"/>
    <x v="8"/>
    <x v="16"/>
    <s v="PL_Rural"/>
    <x v="0"/>
    <x v="2"/>
    <s v="LAGI-6_ST_COAL_CND"/>
    <x v="0"/>
    <x v="16"/>
    <n v="427"/>
    <n v="155855"/>
    <n v="561078"/>
  </r>
  <r>
    <x v="0"/>
    <x v="0"/>
    <x v="0"/>
    <x v="8"/>
    <x v="16"/>
    <s v="PL_Rural"/>
    <x v="0"/>
    <x v="2"/>
    <s v="LAGI-6_ST_COAL_CND"/>
    <x v="0"/>
    <x v="17"/>
    <n v="167.60764913211801"/>
    <n v="61176.791933223198"/>
    <n v="220236.45095960301"/>
  </r>
  <r>
    <x v="0"/>
    <x v="0"/>
    <x v="0"/>
    <x v="8"/>
    <x v="16"/>
    <s v="PL_Rural"/>
    <x v="6"/>
    <x v="4"/>
    <s v="GNR_ROR_WTR"/>
    <x v="0"/>
    <x v="3"/>
    <n v="263.81563926940601"/>
    <n v="96292.708333333299"/>
    <n v="346653.75"/>
  </r>
  <r>
    <x v="0"/>
    <x v="0"/>
    <x v="0"/>
    <x v="8"/>
    <x v="16"/>
    <s v="PL_Rural"/>
    <x v="6"/>
    <x v="4"/>
    <s v="GNR_ROR_WTR"/>
    <x v="0"/>
    <x v="4"/>
    <n v="263.81563926940601"/>
    <n v="96292.708333333299"/>
    <n v="346653.75"/>
  </r>
  <r>
    <x v="0"/>
    <x v="0"/>
    <x v="0"/>
    <x v="8"/>
    <x v="16"/>
    <s v="PL_Rural"/>
    <x v="6"/>
    <x v="4"/>
    <s v="GNR_ROR_WTR"/>
    <x v="0"/>
    <x v="5"/>
    <n v="263.81563926940601"/>
    <n v="96292.708333333299"/>
    <n v="346653.75"/>
  </r>
  <r>
    <x v="0"/>
    <x v="0"/>
    <x v="0"/>
    <x v="8"/>
    <x v="16"/>
    <s v="PL_Rural"/>
    <x v="6"/>
    <x v="4"/>
    <s v="GNR_ROR_WTR"/>
    <x v="0"/>
    <x v="6"/>
    <n v="263.81563926940601"/>
    <n v="96292.708333333299"/>
    <n v="346653.75"/>
  </r>
  <r>
    <x v="0"/>
    <x v="0"/>
    <x v="0"/>
    <x v="8"/>
    <x v="16"/>
    <s v="PL_Rural"/>
    <x v="6"/>
    <x v="4"/>
    <s v="GNR_ROR_WTR"/>
    <x v="0"/>
    <x v="7"/>
    <n v="263.81563926940601"/>
    <n v="96292.708333333299"/>
    <n v="346653.75"/>
  </r>
  <r>
    <x v="0"/>
    <x v="0"/>
    <x v="0"/>
    <x v="8"/>
    <x v="16"/>
    <s v="PL_Rural"/>
    <x v="6"/>
    <x v="4"/>
    <s v="GNR_ROR_WTR"/>
    <x v="0"/>
    <x v="8"/>
    <n v="263.81563926940601"/>
    <n v="96292.708333333299"/>
    <n v="346653.75"/>
  </r>
  <r>
    <x v="0"/>
    <x v="0"/>
    <x v="0"/>
    <x v="8"/>
    <x v="16"/>
    <s v="PL_Rural"/>
    <x v="6"/>
    <x v="4"/>
    <s v="GNR_ROR_WTR"/>
    <x v="0"/>
    <x v="0"/>
    <n v="263.81563926940601"/>
    <n v="96292.708333333299"/>
    <n v="346653.75"/>
  </r>
  <r>
    <x v="0"/>
    <x v="0"/>
    <x v="0"/>
    <x v="8"/>
    <x v="16"/>
    <s v="PL_Rural"/>
    <x v="6"/>
    <x v="4"/>
    <s v="GNR_ROR_WTR"/>
    <x v="0"/>
    <x v="1"/>
    <n v="263.81563926940601"/>
    <n v="96292.708333333299"/>
    <n v="346653.75"/>
  </r>
  <r>
    <x v="0"/>
    <x v="0"/>
    <x v="0"/>
    <x v="8"/>
    <x v="16"/>
    <s v="PL_Rural"/>
    <x v="6"/>
    <x v="4"/>
    <s v="GNR_ROR_WTR"/>
    <x v="0"/>
    <x v="2"/>
    <n v="263.81563926940601"/>
    <n v="96292.708333333299"/>
    <n v="346653.75"/>
  </r>
  <r>
    <x v="0"/>
    <x v="0"/>
    <x v="0"/>
    <x v="8"/>
    <x v="16"/>
    <s v="PL_Rural"/>
    <x v="6"/>
    <x v="4"/>
    <s v="GNR_ROR_WTR"/>
    <x v="0"/>
    <x v="9"/>
    <n v="263.81563926940601"/>
    <n v="96292.708333333299"/>
    <n v="346653.75"/>
  </r>
  <r>
    <x v="0"/>
    <x v="0"/>
    <x v="0"/>
    <x v="8"/>
    <x v="16"/>
    <s v="PL_Rural"/>
    <x v="6"/>
    <x v="4"/>
    <s v="GNR_ROR_WTR"/>
    <x v="0"/>
    <x v="10"/>
    <n v="263.81563926940601"/>
    <n v="96292.708333333299"/>
    <n v="346653.75"/>
  </r>
  <r>
    <x v="0"/>
    <x v="0"/>
    <x v="0"/>
    <x v="8"/>
    <x v="16"/>
    <s v="PL_Rural"/>
    <x v="6"/>
    <x v="4"/>
    <s v="GNR_ROR_WTR"/>
    <x v="0"/>
    <x v="11"/>
    <n v="263.81563926940601"/>
    <n v="96292.708333333299"/>
    <n v="346653.75"/>
  </r>
  <r>
    <x v="0"/>
    <x v="0"/>
    <x v="0"/>
    <x v="8"/>
    <x v="16"/>
    <s v="PL_Rural"/>
    <x v="6"/>
    <x v="4"/>
    <s v="GNR_ROR_WTR"/>
    <x v="0"/>
    <x v="12"/>
    <n v="263.81563926940601"/>
    <n v="96292.708333333299"/>
    <n v="346653.75"/>
  </r>
  <r>
    <x v="0"/>
    <x v="0"/>
    <x v="0"/>
    <x v="8"/>
    <x v="16"/>
    <s v="PL_Rural"/>
    <x v="6"/>
    <x v="4"/>
    <s v="GNR_ROR_WTR"/>
    <x v="0"/>
    <x v="13"/>
    <n v="263.81563926940601"/>
    <n v="96292.708333333299"/>
    <n v="346653.75"/>
  </r>
  <r>
    <x v="0"/>
    <x v="0"/>
    <x v="0"/>
    <x v="8"/>
    <x v="16"/>
    <s v="PL_Rural"/>
    <x v="6"/>
    <x v="4"/>
    <s v="GNR_ROR_WTR"/>
    <x v="0"/>
    <x v="14"/>
    <n v="263.81563926940601"/>
    <n v="96292.708333333299"/>
    <n v="346653.75"/>
  </r>
  <r>
    <x v="0"/>
    <x v="0"/>
    <x v="0"/>
    <x v="8"/>
    <x v="16"/>
    <s v="PL_Rural"/>
    <x v="6"/>
    <x v="4"/>
    <s v="GNR_ROR_WTR"/>
    <x v="0"/>
    <x v="15"/>
    <n v="263.81563926940601"/>
    <n v="96292.708333333299"/>
    <n v="346653.75"/>
  </r>
  <r>
    <x v="0"/>
    <x v="0"/>
    <x v="0"/>
    <x v="8"/>
    <x v="16"/>
    <s v="PL_Rural"/>
    <x v="6"/>
    <x v="4"/>
    <s v="GNR_ROR_WTR"/>
    <x v="0"/>
    <x v="16"/>
    <n v="263.81563926940601"/>
    <n v="96292.708333333299"/>
    <n v="346653.75"/>
  </r>
  <r>
    <x v="0"/>
    <x v="0"/>
    <x v="0"/>
    <x v="8"/>
    <x v="16"/>
    <s v="PL_Rural"/>
    <x v="6"/>
    <x v="4"/>
    <s v="GNR_ROR_WTR"/>
    <x v="0"/>
    <x v="17"/>
    <n v="263.81563926940601"/>
    <n v="96292.708333333299"/>
    <n v="346653.75"/>
  </r>
  <r>
    <x v="0"/>
    <x v="0"/>
    <x v="0"/>
    <x v="8"/>
    <x v="16"/>
    <s v="PL_Rural"/>
    <x v="6"/>
    <x v="4"/>
    <s v="GNR_ROR_WTR"/>
    <x v="0"/>
    <x v="18"/>
    <n v="263.81563926940601"/>
    <n v="96292.708333333299"/>
    <n v="346653.75"/>
  </r>
  <r>
    <x v="0"/>
    <x v="0"/>
    <x v="0"/>
    <x v="8"/>
    <x v="16"/>
    <s v="PL_Rural"/>
    <x v="6"/>
    <x v="4"/>
    <s v="GNR_ROR_WTR"/>
    <x v="0"/>
    <x v="19"/>
    <n v="263.81563926940601"/>
    <n v="96292.708333333299"/>
    <n v="346653.75"/>
  </r>
  <r>
    <x v="0"/>
    <x v="0"/>
    <x v="0"/>
    <x v="8"/>
    <x v="16"/>
    <s v="PL_Rural"/>
    <x v="6"/>
    <x v="4"/>
    <s v="GNR_ROR_WTR"/>
    <x v="0"/>
    <x v="20"/>
    <n v="263.81563926940601"/>
    <n v="96292.708333333299"/>
    <n v="346653.75"/>
  </r>
  <r>
    <x v="0"/>
    <x v="0"/>
    <x v="0"/>
    <x v="8"/>
    <x v="16"/>
    <s v="PL_Rural"/>
    <x v="6"/>
    <x v="4"/>
    <s v="GNR_ROR_WTR"/>
    <x v="0"/>
    <x v="21"/>
    <n v="263.81563926940601"/>
    <n v="96292.708333333299"/>
    <n v="346653.75"/>
  </r>
  <r>
    <x v="0"/>
    <x v="0"/>
    <x v="0"/>
    <x v="8"/>
    <x v="16"/>
    <s v="PL_Rural"/>
    <x v="6"/>
    <x v="4"/>
    <s v="GNR_ROR_WTR"/>
    <x v="0"/>
    <x v="22"/>
    <n v="263.81563926940601"/>
    <n v="96292.708333333299"/>
    <n v="346653.75"/>
  </r>
  <r>
    <x v="0"/>
    <x v="0"/>
    <x v="0"/>
    <x v="8"/>
    <x v="16"/>
    <s v="PL_Rural"/>
    <x v="6"/>
    <x v="4"/>
    <s v="GNR_ROR_WTR"/>
    <x v="0"/>
    <x v="23"/>
    <n v="263.81563926940601"/>
    <n v="96292.708333333299"/>
    <n v="346653.75"/>
  </r>
  <r>
    <x v="0"/>
    <x v="0"/>
    <x v="0"/>
    <x v="9"/>
    <x v="17"/>
    <s v="SE1A"/>
    <x v="6"/>
    <x v="7"/>
    <s v="GNR_RES_WTR_NOPMP_MC-01"/>
    <x v="0"/>
    <x v="3"/>
    <n v="405.5"/>
    <n v="148007.5"/>
    <n v="532827"/>
  </r>
  <r>
    <x v="0"/>
    <x v="0"/>
    <x v="0"/>
    <x v="9"/>
    <x v="17"/>
    <s v="SE1A"/>
    <x v="6"/>
    <x v="7"/>
    <s v="GNR_RES_WTR_NOPMP_MC-01"/>
    <x v="0"/>
    <x v="4"/>
    <n v="405.5"/>
    <n v="148007.5"/>
    <n v="532827"/>
  </r>
  <r>
    <x v="0"/>
    <x v="0"/>
    <x v="0"/>
    <x v="9"/>
    <x v="17"/>
    <s v="SE1A"/>
    <x v="6"/>
    <x v="7"/>
    <s v="GNR_RES_WTR_NOPMP_MC-01"/>
    <x v="0"/>
    <x v="5"/>
    <n v="405.5"/>
    <n v="148007.5"/>
    <n v="532827"/>
  </r>
  <r>
    <x v="0"/>
    <x v="0"/>
    <x v="0"/>
    <x v="9"/>
    <x v="17"/>
    <s v="SE1A"/>
    <x v="6"/>
    <x v="7"/>
    <s v="GNR_RES_WTR_NOPMP_MC-01"/>
    <x v="0"/>
    <x v="6"/>
    <n v="405.5"/>
    <n v="148007.5"/>
    <n v="532827"/>
  </r>
  <r>
    <x v="0"/>
    <x v="0"/>
    <x v="0"/>
    <x v="9"/>
    <x v="17"/>
    <s v="SE1A"/>
    <x v="6"/>
    <x v="7"/>
    <s v="GNR_RES_WTR_NOPMP_MC-01"/>
    <x v="0"/>
    <x v="7"/>
    <n v="405.5"/>
    <n v="148007.5"/>
    <n v="532827"/>
  </r>
  <r>
    <x v="0"/>
    <x v="0"/>
    <x v="0"/>
    <x v="9"/>
    <x v="17"/>
    <s v="SE1A"/>
    <x v="6"/>
    <x v="7"/>
    <s v="GNR_RES_WTR_NOPMP_MC-01"/>
    <x v="0"/>
    <x v="8"/>
    <n v="405.5"/>
    <n v="148007.5"/>
    <n v="532827"/>
  </r>
  <r>
    <x v="0"/>
    <x v="0"/>
    <x v="0"/>
    <x v="9"/>
    <x v="17"/>
    <s v="SE1A"/>
    <x v="6"/>
    <x v="7"/>
    <s v="GNR_RES_WTR_NOPMP_MC-01"/>
    <x v="0"/>
    <x v="0"/>
    <n v="405.5"/>
    <n v="148007.5"/>
    <n v="532827"/>
  </r>
  <r>
    <x v="0"/>
    <x v="0"/>
    <x v="0"/>
    <x v="9"/>
    <x v="17"/>
    <s v="SE1A"/>
    <x v="6"/>
    <x v="7"/>
    <s v="GNR_RES_WTR_NOPMP_MC-01"/>
    <x v="0"/>
    <x v="1"/>
    <n v="405.5"/>
    <n v="148007.5"/>
    <n v="532827"/>
  </r>
  <r>
    <x v="0"/>
    <x v="0"/>
    <x v="0"/>
    <x v="9"/>
    <x v="17"/>
    <s v="SE1A"/>
    <x v="6"/>
    <x v="7"/>
    <s v="GNR_RES_WTR_NOPMP_MC-01"/>
    <x v="0"/>
    <x v="2"/>
    <n v="405.5"/>
    <n v="148007.5"/>
    <n v="532827"/>
  </r>
  <r>
    <x v="0"/>
    <x v="0"/>
    <x v="0"/>
    <x v="9"/>
    <x v="17"/>
    <s v="SE1A"/>
    <x v="6"/>
    <x v="7"/>
    <s v="GNR_RES_WTR_NOPMP_MC-01"/>
    <x v="0"/>
    <x v="9"/>
    <n v="405.5"/>
    <n v="148007.5"/>
    <n v="532827"/>
  </r>
  <r>
    <x v="0"/>
    <x v="0"/>
    <x v="0"/>
    <x v="9"/>
    <x v="17"/>
    <s v="SE1A"/>
    <x v="6"/>
    <x v="7"/>
    <s v="GNR_RES_WTR_NOPMP_MC-01"/>
    <x v="0"/>
    <x v="10"/>
    <n v="405.5"/>
    <n v="148007.5"/>
    <n v="532827"/>
  </r>
  <r>
    <x v="0"/>
    <x v="0"/>
    <x v="0"/>
    <x v="9"/>
    <x v="17"/>
    <s v="SE1A"/>
    <x v="6"/>
    <x v="7"/>
    <s v="GNR_RES_WTR_NOPMP_MC-01"/>
    <x v="0"/>
    <x v="11"/>
    <n v="405.5"/>
    <n v="148007.5"/>
    <n v="532827"/>
  </r>
  <r>
    <x v="0"/>
    <x v="0"/>
    <x v="0"/>
    <x v="9"/>
    <x v="17"/>
    <s v="SE1A"/>
    <x v="6"/>
    <x v="7"/>
    <s v="GNR_RES_WTR_NOPMP_MC-01"/>
    <x v="0"/>
    <x v="12"/>
    <n v="405.5"/>
    <n v="148007.5"/>
    <n v="532827"/>
  </r>
  <r>
    <x v="0"/>
    <x v="0"/>
    <x v="0"/>
    <x v="9"/>
    <x v="17"/>
    <s v="SE1A"/>
    <x v="6"/>
    <x v="7"/>
    <s v="GNR_RES_WTR_NOPMP_MC-01"/>
    <x v="0"/>
    <x v="13"/>
    <n v="405.5"/>
    <n v="148007.5"/>
    <n v="532827"/>
  </r>
  <r>
    <x v="0"/>
    <x v="0"/>
    <x v="0"/>
    <x v="9"/>
    <x v="17"/>
    <s v="SE1A"/>
    <x v="6"/>
    <x v="7"/>
    <s v="GNR_RES_WTR_NOPMP_MC-01"/>
    <x v="0"/>
    <x v="14"/>
    <n v="405.5"/>
    <n v="148007.5"/>
    <n v="532827"/>
  </r>
  <r>
    <x v="0"/>
    <x v="0"/>
    <x v="0"/>
    <x v="9"/>
    <x v="17"/>
    <s v="SE1A"/>
    <x v="6"/>
    <x v="7"/>
    <s v="GNR_RES_WTR_NOPMP_MC-01"/>
    <x v="0"/>
    <x v="15"/>
    <n v="405.5"/>
    <n v="148007.5"/>
    <n v="532827"/>
  </r>
  <r>
    <x v="0"/>
    <x v="0"/>
    <x v="0"/>
    <x v="9"/>
    <x v="17"/>
    <s v="SE1A"/>
    <x v="6"/>
    <x v="7"/>
    <s v="GNR_RES_WTR_NOPMP_MC-01"/>
    <x v="0"/>
    <x v="16"/>
    <n v="405.5"/>
    <n v="148007.5"/>
    <n v="532827"/>
  </r>
  <r>
    <x v="0"/>
    <x v="0"/>
    <x v="0"/>
    <x v="9"/>
    <x v="17"/>
    <s v="SE1A"/>
    <x v="6"/>
    <x v="7"/>
    <s v="GNR_RES_WTR_NOPMP_MC-01"/>
    <x v="0"/>
    <x v="17"/>
    <n v="405.5"/>
    <n v="148007.5"/>
    <n v="532827"/>
  </r>
  <r>
    <x v="0"/>
    <x v="0"/>
    <x v="0"/>
    <x v="9"/>
    <x v="17"/>
    <s v="SE1A"/>
    <x v="6"/>
    <x v="7"/>
    <s v="GNR_RES_WTR_NOPMP_MC-01"/>
    <x v="0"/>
    <x v="18"/>
    <n v="405.5"/>
    <n v="148007.5"/>
    <n v="532827"/>
  </r>
  <r>
    <x v="0"/>
    <x v="0"/>
    <x v="0"/>
    <x v="9"/>
    <x v="17"/>
    <s v="SE1A"/>
    <x v="6"/>
    <x v="7"/>
    <s v="GNR_RES_WTR_NOPMP_MC-01"/>
    <x v="0"/>
    <x v="19"/>
    <n v="405.5"/>
    <n v="148007.5"/>
    <n v="532827"/>
  </r>
  <r>
    <x v="0"/>
    <x v="0"/>
    <x v="0"/>
    <x v="9"/>
    <x v="17"/>
    <s v="SE1A"/>
    <x v="6"/>
    <x v="7"/>
    <s v="GNR_RES_WTR_NOPMP_MC-01"/>
    <x v="0"/>
    <x v="20"/>
    <n v="405.5"/>
    <n v="148007.5"/>
    <n v="532827"/>
  </r>
  <r>
    <x v="0"/>
    <x v="0"/>
    <x v="0"/>
    <x v="9"/>
    <x v="17"/>
    <s v="SE1A"/>
    <x v="6"/>
    <x v="7"/>
    <s v="GNR_RES_WTR_NOPMP_MC-01"/>
    <x v="0"/>
    <x v="21"/>
    <n v="405.5"/>
    <n v="148007.5"/>
    <n v="532827"/>
  </r>
  <r>
    <x v="0"/>
    <x v="0"/>
    <x v="0"/>
    <x v="9"/>
    <x v="17"/>
    <s v="SE1A"/>
    <x v="6"/>
    <x v="7"/>
    <s v="GNR_RES_WTR_NOPMP_MC-01"/>
    <x v="0"/>
    <x v="22"/>
    <n v="405.5"/>
    <n v="148007.5"/>
    <n v="532827"/>
  </r>
  <r>
    <x v="0"/>
    <x v="0"/>
    <x v="0"/>
    <x v="9"/>
    <x v="17"/>
    <s v="SE1A"/>
    <x v="6"/>
    <x v="7"/>
    <s v="GNR_RES_WTR_NOPMP_MC-01"/>
    <x v="0"/>
    <x v="23"/>
    <n v="405.5"/>
    <n v="148007.5"/>
    <n v="532827"/>
  </r>
  <r>
    <x v="0"/>
    <x v="0"/>
    <x v="0"/>
    <x v="9"/>
    <x v="17"/>
    <s v="SE1A"/>
    <x v="6"/>
    <x v="7"/>
    <s v="GNR_RES_WTR_NOPMP_MC-02"/>
    <x v="0"/>
    <x v="3"/>
    <n v="405.5"/>
    <n v="148007.5"/>
    <n v="532827"/>
  </r>
  <r>
    <x v="0"/>
    <x v="0"/>
    <x v="0"/>
    <x v="9"/>
    <x v="17"/>
    <s v="SE1A"/>
    <x v="6"/>
    <x v="7"/>
    <s v="GNR_RES_WTR_NOPMP_MC-02"/>
    <x v="0"/>
    <x v="4"/>
    <n v="405.5"/>
    <n v="148007.5"/>
    <n v="532827"/>
  </r>
  <r>
    <x v="0"/>
    <x v="0"/>
    <x v="0"/>
    <x v="9"/>
    <x v="17"/>
    <s v="SE1A"/>
    <x v="6"/>
    <x v="7"/>
    <s v="GNR_RES_WTR_NOPMP_MC-02"/>
    <x v="0"/>
    <x v="5"/>
    <n v="405.5"/>
    <n v="148007.5"/>
    <n v="532827"/>
  </r>
  <r>
    <x v="0"/>
    <x v="0"/>
    <x v="0"/>
    <x v="9"/>
    <x v="17"/>
    <s v="SE1A"/>
    <x v="6"/>
    <x v="7"/>
    <s v="GNR_RES_WTR_NOPMP_MC-02"/>
    <x v="0"/>
    <x v="6"/>
    <n v="405.5"/>
    <n v="148007.5"/>
    <n v="532827"/>
  </r>
  <r>
    <x v="0"/>
    <x v="0"/>
    <x v="0"/>
    <x v="9"/>
    <x v="17"/>
    <s v="SE1A"/>
    <x v="6"/>
    <x v="7"/>
    <s v="GNR_RES_WTR_NOPMP_MC-02"/>
    <x v="0"/>
    <x v="7"/>
    <n v="405.5"/>
    <n v="148007.5"/>
    <n v="532827"/>
  </r>
  <r>
    <x v="0"/>
    <x v="0"/>
    <x v="0"/>
    <x v="9"/>
    <x v="17"/>
    <s v="SE1A"/>
    <x v="6"/>
    <x v="7"/>
    <s v="GNR_RES_WTR_NOPMP_MC-02"/>
    <x v="0"/>
    <x v="8"/>
    <n v="405.5"/>
    <n v="148007.5"/>
    <n v="532827"/>
  </r>
  <r>
    <x v="0"/>
    <x v="0"/>
    <x v="0"/>
    <x v="9"/>
    <x v="17"/>
    <s v="SE1A"/>
    <x v="6"/>
    <x v="7"/>
    <s v="GNR_RES_WTR_NOPMP_MC-02"/>
    <x v="0"/>
    <x v="0"/>
    <n v="405.5"/>
    <n v="148007.5"/>
    <n v="532827"/>
  </r>
  <r>
    <x v="0"/>
    <x v="0"/>
    <x v="0"/>
    <x v="9"/>
    <x v="17"/>
    <s v="SE1A"/>
    <x v="6"/>
    <x v="7"/>
    <s v="GNR_RES_WTR_NOPMP_MC-02"/>
    <x v="0"/>
    <x v="1"/>
    <n v="405.5"/>
    <n v="148007.5"/>
    <n v="532827"/>
  </r>
  <r>
    <x v="0"/>
    <x v="0"/>
    <x v="0"/>
    <x v="9"/>
    <x v="17"/>
    <s v="SE1A"/>
    <x v="6"/>
    <x v="7"/>
    <s v="GNR_RES_WTR_NOPMP_MC-02"/>
    <x v="0"/>
    <x v="2"/>
    <n v="405.5"/>
    <n v="148007.5"/>
    <n v="532827"/>
  </r>
  <r>
    <x v="0"/>
    <x v="0"/>
    <x v="0"/>
    <x v="9"/>
    <x v="17"/>
    <s v="SE1A"/>
    <x v="6"/>
    <x v="7"/>
    <s v="GNR_RES_WTR_NOPMP_MC-02"/>
    <x v="0"/>
    <x v="9"/>
    <n v="405.5"/>
    <n v="148007.5"/>
    <n v="532827"/>
  </r>
  <r>
    <x v="0"/>
    <x v="0"/>
    <x v="0"/>
    <x v="9"/>
    <x v="17"/>
    <s v="SE1A"/>
    <x v="6"/>
    <x v="7"/>
    <s v="GNR_RES_WTR_NOPMP_MC-02"/>
    <x v="0"/>
    <x v="10"/>
    <n v="405.5"/>
    <n v="148007.5"/>
    <n v="532827"/>
  </r>
  <r>
    <x v="0"/>
    <x v="0"/>
    <x v="0"/>
    <x v="9"/>
    <x v="17"/>
    <s v="SE1A"/>
    <x v="6"/>
    <x v="7"/>
    <s v="GNR_RES_WTR_NOPMP_MC-02"/>
    <x v="0"/>
    <x v="11"/>
    <n v="405.5"/>
    <n v="148007.5"/>
    <n v="532827"/>
  </r>
  <r>
    <x v="0"/>
    <x v="0"/>
    <x v="0"/>
    <x v="9"/>
    <x v="17"/>
    <s v="SE1A"/>
    <x v="6"/>
    <x v="7"/>
    <s v="GNR_RES_WTR_NOPMP_MC-02"/>
    <x v="0"/>
    <x v="12"/>
    <n v="405.5"/>
    <n v="148007.5"/>
    <n v="532827"/>
  </r>
  <r>
    <x v="0"/>
    <x v="0"/>
    <x v="0"/>
    <x v="9"/>
    <x v="17"/>
    <s v="SE1A"/>
    <x v="6"/>
    <x v="7"/>
    <s v="GNR_RES_WTR_NOPMP_MC-02"/>
    <x v="0"/>
    <x v="13"/>
    <n v="405.5"/>
    <n v="148007.5"/>
    <n v="532827"/>
  </r>
  <r>
    <x v="0"/>
    <x v="0"/>
    <x v="0"/>
    <x v="9"/>
    <x v="17"/>
    <s v="SE1A"/>
    <x v="6"/>
    <x v="7"/>
    <s v="GNR_RES_WTR_NOPMP_MC-02"/>
    <x v="0"/>
    <x v="14"/>
    <n v="405.5"/>
    <n v="148007.5"/>
    <n v="532827"/>
  </r>
  <r>
    <x v="0"/>
    <x v="0"/>
    <x v="0"/>
    <x v="9"/>
    <x v="17"/>
    <s v="SE1A"/>
    <x v="6"/>
    <x v="7"/>
    <s v="GNR_RES_WTR_NOPMP_MC-02"/>
    <x v="0"/>
    <x v="15"/>
    <n v="405.5"/>
    <n v="148007.5"/>
    <n v="532827"/>
  </r>
  <r>
    <x v="0"/>
    <x v="0"/>
    <x v="0"/>
    <x v="9"/>
    <x v="17"/>
    <s v="SE1A"/>
    <x v="6"/>
    <x v="7"/>
    <s v="GNR_RES_WTR_NOPMP_MC-02"/>
    <x v="0"/>
    <x v="16"/>
    <n v="405.5"/>
    <n v="148007.5"/>
    <n v="532827"/>
  </r>
  <r>
    <x v="0"/>
    <x v="0"/>
    <x v="0"/>
    <x v="9"/>
    <x v="17"/>
    <s v="SE1A"/>
    <x v="6"/>
    <x v="7"/>
    <s v="GNR_RES_WTR_NOPMP_MC-02"/>
    <x v="0"/>
    <x v="17"/>
    <n v="405.5"/>
    <n v="148007.5"/>
    <n v="532827"/>
  </r>
  <r>
    <x v="0"/>
    <x v="0"/>
    <x v="0"/>
    <x v="9"/>
    <x v="17"/>
    <s v="SE1A"/>
    <x v="6"/>
    <x v="7"/>
    <s v="GNR_RES_WTR_NOPMP_MC-02"/>
    <x v="0"/>
    <x v="18"/>
    <n v="405.5"/>
    <n v="148007.5"/>
    <n v="532827"/>
  </r>
  <r>
    <x v="0"/>
    <x v="0"/>
    <x v="0"/>
    <x v="9"/>
    <x v="17"/>
    <s v="SE1A"/>
    <x v="6"/>
    <x v="7"/>
    <s v="GNR_RES_WTR_NOPMP_MC-02"/>
    <x v="0"/>
    <x v="19"/>
    <n v="405.5"/>
    <n v="148007.5"/>
    <n v="532827"/>
  </r>
  <r>
    <x v="0"/>
    <x v="0"/>
    <x v="0"/>
    <x v="9"/>
    <x v="17"/>
    <s v="SE1A"/>
    <x v="6"/>
    <x v="7"/>
    <s v="GNR_RES_WTR_NOPMP_MC-02"/>
    <x v="0"/>
    <x v="20"/>
    <n v="405.5"/>
    <n v="148007.5"/>
    <n v="532827"/>
  </r>
  <r>
    <x v="0"/>
    <x v="0"/>
    <x v="0"/>
    <x v="9"/>
    <x v="17"/>
    <s v="SE1A"/>
    <x v="6"/>
    <x v="7"/>
    <s v="GNR_RES_WTR_NOPMP_MC-02"/>
    <x v="0"/>
    <x v="21"/>
    <n v="405.5"/>
    <n v="148007.5"/>
    <n v="532827"/>
  </r>
  <r>
    <x v="0"/>
    <x v="0"/>
    <x v="0"/>
    <x v="9"/>
    <x v="17"/>
    <s v="SE1A"/>
    <x v="6"/>
    <x v="7"/>
    <s v="GNR_RES_WTR_NOPMP_MC-02"/>
    <x v="0"/>
    <x v="22"/>
    <n v="405.5"/>
    <n v="148007.5"/>
    <n v="532827"/>
  </r>
  <r>
    <x v="0"/>
    <x v="0"/>
    <x v="0"/>
    <x v="9"/>
    <x v="17"/>
    <s v="SE1A"/>
    <x v="6"/>
    <x v="7"/>
    <s v="GNR_RES_WTR_NOPMP_MC-02"/>
    <x v="0"/>
    <x v="23"/>
    <n v="405.5"/>
    <n v="148007.5"/>
    <n v="532827"/>
  </r>
  <r>
    <x v="0"/>
    <x v="0"/>
    <x v="0"/>
    <x v="9"/>
    <x v="17"/>
    <s v="SE1A"/>
    <x v="6"/>
    <x v="7"/>
    <s v="GNR_RES_WTR_NOPMP_MC-03"/>
    <x v="0"/>
    <x v="8"/>
    <n v="405.5"/>
    <n v="148007.5"/>
    <n v="532827"/>
  </r>
  <r>
    <x v="0"/>
    <x v="0"/>
    <x v="0"/>
    <x v="9"/>
    <x v="17"/>
    <s v="SE1A"/>
    <x v="6"/>
    <x v="7"/>
    <s v="GNR_RES_WTR_NOPMP_MC-03"/>
    <x v="0"/>
    <x v="0"/>
    <n v="405.5"/>
    <n v="148007.5"/>
    <n v="532827"/>
  </r>
  <r>
    <x v="0"/>
    <x v="0"/>
    <x v="0"/>
    <x v="9"/>
    <x v="17"/>
    <s v="SE1A"/>
    <x v="6"/>
    <x v="7"/>
    <s v="GNR_RES_WTR_NOPMP_MC-03"/>
    <x v="0"/>
    <x v="1"/>
    <n v="405.5"/>
    <n v="148007.5"/>
    <n v="532827"/>
  </r>
  <r>
    <x v="0"/>
    <x v="0"/>
    <x v="0"/>
    <x v="9"/>
    <x v="17"/>
    <s v="SE1A"/>
    <x v="6"/>
    <x v="7"/>
    <s v="GNR_RES_WTR_NOPMP_MC-03"/>
    <x v="0"/>
    <x v="2"/>
    <n v="405.5"/>
    <n v="148007.5"/>
    <n v="532827"/>
  </r>
  <r>
    <x v="0"/>
    <x v="0"/>
    <x v="0"/>
    <x v="9"/>
    <x v="17"/>
    <s v="SE1A"/>
    <x v="6"/>
    <x v="7"/>
    <s v="GNR_RES_WTR_NOPMP_MC-03"/>
    <x v="0"/>
    <x v="9"/>
    <n v="405.5"/>
    <n v="148007.5"/>
    <n v="532827"/>
  </r>
  <r>
    <x v="0"/>
    <x v="0"/>
    <x v="0"/>
    <x v="9"/>
    <x v="17"/>
    <s v="SE1A"/>
    <x v="6"/>
    <x v="7"/>
    <s v="GNR_RES_WTR_NOPMP_MC-03"/>
    <x v="0"/>
    <x v="10"/>
    <n v="405.5"/>
    <n v="148007.5"/>
    <n v="532827"/>
  </r>
  <r>
    <x v="0"/>
    <x v="0"/>
    <x v="0"/>
    <x v="9"/>
    <x v="17"/>
    <s v="SE1A"/>
    <x v="6"/>
    <x v="7"/>
    <s v="GNR_RES_WTR_NOPMP_MC-03"/>
    <x v="0"/>
    <x v="11"/>
    <n v="405.5"/>
    <n v="148007.5"/>
    <n v="532827"/>
  </r>
  <r>
    <x v="0"/>
    <x v="0"/>
    <x v="0"/>
    <x v="9"/>
    <x v="17"/>
    <s v="SE1A"/>
    <x v="6"/>
    <x v="7"/>
    <s v="GNR_RES_WTR_NOPMP_MC-03"/>
    <x v="0"/>
    <x v="12"/>
    <n v="405.5"/>
    <n v="148007.5"/>
    <n v="532827"/>
  </r>
  <r>
    <x v="0"/>
    <x v="0"/>
    <x v="0"/>
    <x v="9"/>
    <x v="17"/>
    <s v="SE1A"/>
    <x v="6"/>
    <x v="7"/>
    <s v="GNR_RES_WTR_NOPMP_MC-03"/>
    <x v="0"/>
    <x v="13"/>
    <n v="405.5"/>
    <n v="148007.5"/>
    <n v="532827"/>
  </r>
  <r>
    <x v="0"/>
    <x v="0"/>
    <x v="0"/>
    <x v="9"/>
    <x v="17"/>
    <s v="SE1A"/>
    <x v="6"/>
    <x v="7"/>
    <s v="GNR_RES_WTR_NOPMP_MC-03"/>
    <x v="0"/>
    <x v="14"/>
    <n v="405.5"/>
    <n v="148007.5"/>
    <n v="532827"/>
  </r>
  <r>
    <x v="0"/>
    <x v="0"/>
    <x v="0"/>
    <x v="9"/>
    <x v="17"/>
    <s v="SE1A"/>
    <x v="6"/>
    <x v="7"/>
    <s v="GNR_RES_WTR_NOPMP_MC-03"/>
    <x v="0"/>
    <x v="15"/>
    <n v="405.5"/>
    <n v="148007.5"/>
    <n v="532827"/>
  </r>
  <r>
    <x v="0"/>
    <x v="0"/>
    <x v="0"/>
    <x v="9"/>
    <x v="17"/>
    <s v="SE1A"/>
    <x v="6"/>
    <x v="7"/>
    <s v="GNR_RES_WTR_NOPMP_MC-03"/>
    <x v="0"/>
    <x v="16"/>
    <n v="405.5"/>
    <n v="148007.5"/>
    <n v="532827"/>
  </r>
  <r>
    <x v="0"/>
    <x v="0"/>
    <x v="0"/>
    <x v="9"/>
    <x v="17"/>
    <s v="SE1A"/>
    <x v="6"/>
    <x v="7"/>
    <s v="GNR_RES_WTR_NOPMP_MC-03"/>
    <x v="0"/>
    <x v="17"/>
    <n v="405.5"/>
    <n v="148007.5"/>
    <n v="532827"/>
  </r>
  <r>
    <x v="0"/>
    <x v="0"/>
    <x v="0"/>
    <x v="9"/>
    <x v="17"/>
    <s v="SE1A"/>
    <x v="6"/>
    <x v="7"/>
    <s v="GNR_RES_WTR_NOPMP_MC-03"/>
    <x v="0"/>
    <x v="18"/>
    <n v="405.5"/>
    <n v="148007.5"/>
    <n v="532827"/>
  </r>
  <r>
    <x v="0"/>
    <x v="0"/>
    <x v="0"/>
    <x v="9"/>
    <x v="17"/>
    <s v="SE1A"/>
    <x v="6"/>
    <x v="7"/>
    <s v="GNR_RES_WTR_NOPMP_MC-03"/>
    <x v="0"/>
    <x v="19"/>
    <n v="405.5"/>
    <n v="148007.5"/>
    <n v="532827"/>
  </r>
  <r>
    <x v="0"/>
    <x v="0"/>
    <x v="0"/>
    <x v="9"/>
    <x v="17"/>
    <s v="SE1A"/>
    <x v="6"/>
    <x v="7"/>
    <s v="GNR_RES_WTR_NOPMP_MC-03"/>
    <x v="0"/>
    <x v="20"/>
    <n v="303.46385237759398"/>
    <n v="110764.30611782199"/>
    <n v="398751.50202415901"/>
  </r>
  <r>
    <x v="0"/>
    <x v="0"/>
    <x v="0"/>
    <x v="9"/>
    <x v="17"/>
    <s v="SE1A"/>
    <x v="6"/>
    <x v="7"/>
    <s v="GNR_RES_WTR_NOPMP_MC-03"/>
    <x v="0"/>
    <x v="21"/>
    <n v="100.41519305315801"/>
    <n v="36651.5454644028"/>
    <n v="131945.56367184999"/>
  </r>
  <r>
    <x v="0"/>
    <x v="0"/>
    <x v="0"/>
    <x v="9"/>
    <x v="17"/>
    <s v="SE1A"/>
    <x v="6"/>
    <x v="7"/>
    <s v="GNR_RES_WTR_NOPMP_MC-04"/>
    <x v="0"/>
    <x v="0"/>
    <n v="405.5"/>
    <n v="148007.5"/>
    <n v="532827"/>
  </r>
  <r>
    <x v="0"/>
    <x v="0"/>
    <x v="0"/>
    <x v="9"/>
    <x v="17"/>
    <s v="SE1A"/>
    <x v="6"/>
    <x v="7"/>
    <s v="GNR_RES_WTR_NOPMP_MC-04"/>
    <x v="0"/>
    <x v="1"/>
    <n v="405.5"/>
    <n v="148007.5"/>
    <n v="532827"/>
  </r>
  <r>
    <x v="0"/>
    <x v="0"/>
    <x v="0"/>
    <x v="9"/>
    <x v="17"/>
    <s v="SE1A"/>
    <x v="6"/>
    <x v="7"/>
    <s v="GNR_RES_WTR_NOPMP_MC-04"/>
    <x v="0"/>
    <x v="2"/>
    <n v="405.5"/>
    <n v="148007.5"/>
    <n v="532827"/>
  </r>
  <r>
    <x v="0"/>
    <x v="0"/>
    <x v="0"/>
    <x v="9"/>
    <x v="17"/>
    <s v="SE1A"/>
    <x v="6"/>
    <x v="7"/>
    <s v="GNR_RES_WTR_NOPMP_MC-04"/>
    <x v="0"/>
    <x v="9"/>
    <n v="405.5"/>
    <n v="148007.5"/>
    <n v="532827"/>
  </r>
  <r>
    <x v="0"/>
    <x v="0"/>
    <x v="0"/>
    <x v="9"/>
    <x v="17"/>
    <s v="SE1A"/>
    <x v="6"/>
    <x v="7"/>
    <s v="GNR_RES_WTR_NOPMP_MC-04"/>
    <x v="0"/>
    <x v="10"/>
    <n v="405.5"/>
    <n v="148007.5"/>
    <n v="532827"/>
  </r>
  <r>
    <x v="0"/>
    <x v="0"/>
    <x v="0"/>
    <x v="9"/>
    <x v="17"/>
    <s v="SE1A"/>
    <x v="6"/>
    <x v="7"/>
    <s v="GNR_RES_WTR_NOPMP_MC-04"/>
    <x v="0"/>
    <x v="11"/>
    <n v="405.5"/>
    <n v="148007.5"/>
    <n v="532827"/>
  </r>
  <r>
    <x v="0"/>
    <x v="0"/>
    <x v="0"/>
    <x v="9"/>
    <x v="17"/>
    <s v="SE1A"/>
    <x v="6"/>
    <x v="7"/>
    <s v="GNR_RES_WTR_NOPMP_MC-04"/>
    <x v="0"/>
    <x v="12"/>
    <n v="405.5"/>
    <n v="148007.5"/>
    <n v="532827"/>
  </r>
  <r>
    <x v="0"/>
    <x v="0"/>
    <x v="0"/>
    <x v="9"/>
    <x v="17"/>
    <s v="SE1A"/>
    <x v="6"/>
    <x v="7"/>
    <s v="GNR_RES_WTR_NOPMP_MC-04"/>
    <x v="0"/>
    <x v="13"/>
    <n v="405.5"/>
    <n v="148007.5"/>
    <n v="532827"/>
  </r>
  <r>
    <x v="0"/>
    <x v="0"/>
    <x v="0"/>
    <x v="9"/>
    <x v="17"/>
    <s v="SE1A"/>
    <x v="6"/>
    <x v="7"/>
    <s v="GNR_RES_WTR_NOPMP_MC-04"/>
    <x v="0"/>
    <x v="14"/>
    <n v="405.5"/>
    <n v="148007.5"/>
    <n v="532827"/>
  </r>
  <r>
    <x v="0"/>
    <x v="0"/>
    <x v="0"/>
    <x v="9"/>
    <x v="17"/>
    <s v="SE1A"/>
    <x v="6"/>
    <x v="7"/>
    <s v="GNR_RES_WTR_NOPMP_MC-04"/>
    <x v="0"/>
    <x v="15"/>
    <n v="405.5"/>
    <n v="148007.5"/>
    <n v="532827"/>
  </r>
  <r>
    <x v="0"/>
    <x v="0"/>
    <x v="0"/>
    <x v="9"/>
    <x v="17"/>
    <s v="SE1A"/>
    <x v="6"/>
    <x v="7"/>
    <s v="GNR_RES_WTR_NOPMP_MC-04"/>
    <x v="0"/>
    <x v="16"/>
    <n v="405.5"/>
    <n v="148007.5"/>
    <n v="532827"/>
  </r>
  <r>
    <x v="0"/>
    <x v="0"/>
    <x v="0"/>
    <x v="9"/>
    <x v="17"/>
    <s v="SE1A"/>
    <x v="6"/>
    <x v="7"/>
    <s v="GNR_RES_WTR_NOPMP_MC-04"/>
    <x v="0"/>
    <x v="17"/>
    <n v="405.5"/>
    <n v="148007.5"/>
    <n v="532827"/>
  </r>
  <r>
    <x v="0"/>
    <x v="0"/>
    <x v="0"/>
    <x v="9"/>
    <x v="17"/>
    <s v="SE1A"/>
    <x v="6"/>
    <x v="7"/>
    <s v="GNR_RES_WTR_NOPMP_MC-04"/>
    <x v="0"/>
    <x v="18"/>
    <n v="405.5"/>
    <n v="148007.5"/>
    <n v="532827"/>
  </r>
  <r>
    <x v="0"/>
    <x v="0"/>
    <x v="0"/>
    <x v="9"/>
    <x v="17"/>
    <s v="SE1A"/>
    <x v="6"/>
    <x v="7"/>
    <s v="GNR_RES_WTR_NOPMP_MC-04"/>
    <x v="0"/>
    <x v="19"/>
    <n v="405.5"/>
    <n v="148007.5"/>
    <n v="532827"/>
  </r>
  <r>
    <x v="0"/>
    <x v="0"/>
    <x v="0"/>
    <x v="9"/>
    <x v="17"/>
    <s v="SE1A"/>
    <x v="6"/>
    <x v="7"/>
    <s v="GNR_RES_WTR_NOPMP_MC-05"/>
    <x v="0"/>
    <x v="0"/>
    <n v="253.25618662199301"/>
    <n v="92438.508117027595"/>
    <n v="332778.62922129902"/>
  </r>
  <r>
    <x v="0"/>
    <x v="0"/>
    <x v="0"/>
    <x v="9"/>
    <x v="17"/>
    <s v="SE1A"/>
    <x v="6"/>
    <x v="7"/>
    <s v="GNR_RES_WTR_NOPMP_MC-05"/>
    <x v="0"/>
    <x v="1"/>
    <n v="405.5"/>
    <n v="148007.5"/>
    <n v="532827"/>
  </r>
  <r>
    <x v="0"/>
    <x v="0"/>
    <x v="0"/>
    <x v="9"/>
    <x v="17"/>
    <s v="SE1A"/>
    <x v="6"/>
    <x v="7"/>
    <s v="GNR_RES_WTR_NOPMP_MC-05"/>
    <x v="0"/>
    <x v="2"/>
    <n v="405.5"/>
    <n v="148007.5"/>
    <n v="532827"/>
  </r>
  <r>
    <x v="0"/>
    <x v="0"/>
    <x v="0"/>
    <x v="9"/>
    <x v="17"/>
    <s v="SE1A"/>
    <x v="6"/>
    <x v="7"/>
    <s v="GNR_RES_WTR_NOPMP_MC-05"/>
    <x v="0"/>
    <x v="9"/>
    <n v="405.5"/>
    <n v="148007.5"/>
    <n v="532827"/>
  </r>
  <r>
    <x v="0"/>
    <x v="0"/>
    <x v="0"/>
    <x v="9"/>
    <x v="17"/>
    <s v="SE1A"/>
    <x v="6"/>
    <x v="7"/>
    <s v="GNR_RES_WTR_NOPMP_MC-05"/>
    <x v="0"/>
    <x v="10"/>
    <n v="405.5"/>
    <n v="148007.5"/>
    <n v="532827"/>
  </r>
  <r>
    <x v="0"/>
    <x v="0"/>
    <x v="0"/>
    <x v="9"/>
    <x v="17"/>
    <s v="SE1A"/>
    <x v="6"/>
    <x v="7"/>
    <s v="GNR_RES_WTR_NOPMP_MC-05"/>
    <x v="0"/>
    <x v="11"/>
    <n v="405.5"/>
    <n v="148007.5"/>
    <n v="532827"/>
  </r>
  <r>
    <x v="0"/>
    <x v="0"/>
    <x v="0"/>
    <x v="9"/>
    <x v="17"/>
    <s v="SE1A"/>
    <x v="6"/>
    <x v="7"/>
    <s v="GNR_RES_WTR_NOPMP_MC-05"/>
    <x v="0"/>
    <x v="12"/>
    <n v="250.09432236495601"/>
    <n v="91284.427663208902"/>
    <n v="328623.93958755198"/>
  </r>
  <r>
    <x v="0"/>
    <x v="0"/>
    <x v="0"/>
    <x v="9"/>
    <x v="17"/>
    <s v="SE1A"/>
    <x v="6"/>
    <x v="7"/>
    <s v="GNR_RES_WTR_NOPMP_MC-05"/>
    <x v="0"/>
    <x v="13"/>
    <n v="74.822316014997298"/>
    <n v="27310.145345474"/>
    <n v="98316.523243706499"/>
  </r>
  <r>
    <x v="0"/>
    <x v="0"/>
    <x v="0"/>
    <x v="9"/>
    <x v="17"/>
    <s v="SE1A"/>
    <x v="6"/>
    <x v="7"/>
    <s v="GNR_RES_WTR_NOPMP_MC-05"/>
    <x v="0"/>
    <x v="14"/>
    <n v="405.5"/>
    <n v="148007.5"/>
    <n v="532827"/>
  </r>
  <r>
    <x v="0"/>
    <x v="0"/>
    <x v="0"/>
    <x v="9"/>
    <x v="17"/>
    <s v="SE1A"/>
    <x v="6"/>
    <x v="7"/>
    <s v="GNR_RES_WTR_NOPMP_MC-05"/>
    <x v="0"/>
    <x v="15"/>
    <n v="405.5"/>
    <n v="148007.5"/>
    <n v="532827"/>
  </r>
  <r>
    <x v="0"/>
    <x v="0"/>
    <x v="0"/>
    <x v="9"/>
    <x v="17"/>
    <s v="SE1A"/>
    <x v="6"/>
    <x v="7"/>
    <s v="GNR_RES_WTR_NOPMP_MC-05"/>
    <x v="0"/>
    <x v="16"/>
    <n v="405.5"/>
    <n v="148007.5"/>
    <n v="532827"/>
  </r>
  <r>
    <x v="0"/>
    <x v="0"/>
    <x v="0"/>
    <x v="9"/>
    <x v="17"/>
    <s v="SE1A"/>
    <x v="6"/>
    <x v="7"/>
    <s v="GNR_RES_WTR_NOPMP_MC-06"/>
    <x v="0"/>
    <x v="2"/>
    <n v="405.5"/>
    <n v="148007.5"/>
    <n v="532827"/>
  </r>
  <r>
    <x v="0"/>
    <x v="0"/>
    <x v="0"/>
    <x v="9"/>
    <x v="17"/>
    <s v="SE1A"/>
    <x v="6"/>
    <x v="7"/>
    <s v="GNR_RES_WTR_NOPMP_MC-06"/>
    <x v="0"/>
    <x v="9"/>
    <n v="405.5"/>
    <n v="148007.5"/>
    <n v="532827"/>
  </r>
  <r>
    <x v="0"/>
    <x v="0"/>
    <x v="0"/>
    <x v="9"/>
    <x v="17"/>
    <s v="SE1A"/>
    <x v="6"/>
    <x v="7"/>
    <s v="GNR_RES_WTR_NOPMP_MC-06"/>
    <x v="0"/>
    <x v="10"/>
    <n v="184.30624897456099"/>
    <n v="67271.780875714903"/>
    <n v="242178.411152574"/>
  </r>
  <r>
    <x v="0"/>
    <x v="0"/>
    <x v="0"/>
    <x v="9"/>
    <x v="17"/>
    <s v="SE1A"/>
    <x v="6"/>
    <x v="4"/>
    <s v="GNR_ROR_WTR"/>
    <x v="0"/>
    <x v="3"/>
    <n v="564.07145309684904"/>
    <n v="205886.08038035"/>
    <n v="741189.88936926005"/>
  </r>
  <r>
    <x v="0"/>
    <x v="0"/>
    <x v="0"/>
    <x v="9"/>
    <x v="17"/>
    <s v="SE1A"/>
    <x v="6"/>
    <x v="4"/>
    <s v="GNR_ROR_WTR"/>
    <x v="0"/>
    <x v="4"/>
    <n v="564.07145309684904"/>
    <n v="205886.08038035"/>
    <n v="741189.88936926005"/>
  </r>
  <r>
    <x v="0"/>
    <x v="0"/>
    <x v="0"/>
    <x v="9"/>
    <x v="17"/>
    <s v="SE1A"/>
    <x v="6"/>
    <x v="4"/>
    <s v="GNR_ROR_WTR"/>
    <x v="0"/>
    <x v="5"/>
    <n v="564.07145309684904"/>
    <n v="205886.08038035"/>
    <n v="741189.88936926005"/>
  </r>
  <r>
    <x v="0"/>
    <x v="0"/>
    <x v="0"/>
    <x v="9"/>
    <x v="17"/>
    <s v="SE1A"/>
    <x v="6"/>
    <x v="4"/>
    <s v="GNR_ROR_WTR"/>
    <x v="0"/>
    <x v="6"/>
    <n v="564.07145309684904"/>
    <n v="205886.08038035"/>
    <n v="741189.88936926005"/>
  </r>
  <r>
    <x v="0"/>
    <x v="0"/>
    <x v="0"/>
    <x v="9"/>
    <x v="17"/>
    <s v="SE1A"/>
    <x v="6"/>
    <x v="4"/>
    <s v="GNR_ROR_WTR"/>
    <x v="0"/>
    <x v="7"/>
    <n v="564.07145309684904"/>
    <n v="205886.08038035"/>
    <n v="741189.88936926005"/>
  </r>
  <r>
    <x v="0"/>
    <x v="0"/>
    <x v="0"/>
    <x v="9"/>
    <x v="17"/>
    <s v="SE1A"/>
    <x v="6"/>
    <x v="4"/>
    <s v="GNR_ROR_WTR"/>
    <x v="0"/>
    <x v="8"/>
    <n v="564.07145309684904"/>
    <n v="205886.08038035"/>
    <n v="741189.88936926005"/>
  </r>
  <r>
    <x v="0"/>
    <x v="0"/>
    <x v="0"/>
    <x v="9"/>
    <x v="17"/>
    <s v="SE1A"/>
    <x v="6"/>
    <x v="4"/>
    <s v="GNR_ROR_WTR"/>
    <x v="0"/>
    <x v="0"/>
    <n v="564.07145309684904"/>
    <n v="205886.08038035"/>
    <n v="741189.88936926005"/>
  </r>
  <r>
    <x v="0"/>
    <x v="0"/>
    <x v="0"/>
    <x v="9"/>
    <x v="17"/>
    <s v="SE1A"/>
    <x v="6"/>
    <x v="4"/>
    <s v="GNR_ROR_WTR"/>
    <x v="0"/>
    <x v="1"/>
    <n v="564.07145309684904"/>
    <n v="205886.08038035"/>
    <n v="741189.88936926005"/>
  </r>
  <r>
    <x v="0"/>
    <x v="0"/>
    <x v="0"/>
    <x v="9"/>
    <x v="17"/>
    <s v="SE1A"/>
    <x v="6"/>
    <x v="4"/>
    <s v="GNR_ROR_WTR"/>
    <x v="0"/>
    <x v="2"/>
    <n v="564.07145309684904"/>
    <n v="205886.08038035"/>
    <n v="741189.88936926005"/>
  </r>
  <r>
    <x v="0"/>
    <x v="0"/>
    <x v="0"/>
    <x v="9"/>
    <x v="17"/>
    <s v="SE1A"/>
    <x v="6"/>
    <x v="4"/>
    <s v="GNR_ROR_WTR"/>
    <x v="0"/>
    <x v="9"/>
    <n v="564.07145309684904"/>
    <n v="205886.08038035"/>
    <n v="741189.88936926005"/>
  </r>
  <r>
    <x v="0"/>
    <x v="0"/>
    <x v="0"/>
    <x v="9"/>
    <x v="17"/>
    <s v="SE1A"/>
    <x v="6"/>
    <x v="4"/>
    <s v="GNR_ROR_WTR"/>
    <x v="0"/>
    <x v="10"/>
    <n v="564.07145309684904"/>
    <n v="205886.08038035"/>
    <n v="741189.88936926005"/>
  </r>
  <r>
    <x v="0"/>
    <x v="0"/>
    <x v="0"/>
    <x v="9"/>
    <x v="17"/>
    <s v="SE1A"/>
    <x v="6"/>
    <x v="4"/>
    <s v="GNR_ROR_WTR"/>
    <x v="0"/>
    <x v="11"/>
    <n v="564.07145309684904"/>
    <n v="205886.08038035"/>
    <n v="741189.88936926005"/>
  </r>
  <r>
    <x v="0"/>
    <x v="0"/>
    <x v="0"/>
    <x v="9"/>
    <x v="17"/>
    <s v="SE1A"/>
    <x v="6"/>
    <x v="4"/>
    <s v="GNR_ROR_WTR"/>
    <x v="0"/>
    <x v="12"/>
    <n v="564.07145309684904"/>
    <n v="205886.08038035"/>
    <n v="741189.88936926005"/>
  </r>
  <r>
    <x v="0"/>
    <x v="0"/>
    <x v="0"/>
    <x v="9"/>
    <x v="17"/>
    <s v="SE1A"/>
    <x v="6"/>
    <x v="4"/>
    <s v="GNR_ROR_WTR"/>
    <x v="0"/>
    <x v="13"/>
    <n v="564.07145309684904"/>
    <n v="205886.08038035"/>
    <n v="741189.88936926005"/>
  </r>
  <r>
    <x v="0"/>
    <x v="0"/>
    <x v="0"/>
    <x v="9"/>
    <x v="17"/>
    <s v="SE1A"/>
    <x v="6"/>
    <x v="4"/>
    <s v="GNR_ROR_WTR"/>
    <x v="0"/>
    <x v="14"/>
    <n v="564.07145309684904"/>
    <n v="205886.08038035"/>
    <n v="741189.88936926005"/>
  </r>
  <r>
    <x v="0"/>
    <x v="0"/>
    <x v="0"/>
    <x v="9"/>
    <x v="17"/>
    <s v="SE1A"/>
    <x v="6"/>
    <x v="4"/>
    <s v="GNR_ROR_WTR"/>
    <x v="0"/>
    <x v="15"/>
    <n v="564.07145309684904"/>
    <n v="205886.08038035"/>
    <n v="741189.88936926005"/>
  </r>
  <r>
    <x v="0"/>
    <x v="0"/>
    <x v="0"/>
    <x v="9"/>
    <x v="17"/>
    <s v="SE1A"/>
    <x v="6"/>
    <x v="4"/>
    <s v="GNR_ROR_WTR"/>
    <x v="0"/>
    <x v="16"/>
    <n v="564.07145309684904"/>
    <n v="205886.08038035"/>
    <n v="741189.88936926005"/>
  </r>
  <r>
    <x v="0"/>
    <x v="0"/>
    <x v="0"/>
    <x v="9"/>
    <x v="17"/>
    <s v="SE1A"/>
    <x v="6"/>
    <x v="4"/>
    <s v="GNR_ROR_WTR"/>
    <x v="0"/>
    <x v="17"/>
    <n v="564.07145309684904"/>
    <n v="205886.08038035"/>
    <n v="741189.88936926005"/>
  </r>
  <r>
    <x v="0"/>
    <x v="0"/>
    <x v="0"/>
    <x v="9"/>
    <x v="17"/>
    <s v="SE1A"/>
    <x v="6"/>
    <x v="4"/>
    <s v="GNR_ROR_WTR"/>
    <x v="0"/>
    <x v="18"/>
    <n v="564.07145309684904"/>
    <n v="205886.08038035"/>
    <n v="741189.88936926005"/>
  </r>
  <r>
    <x v="0"/>
    <x v="0"/>
    <x v="0"/>
    <x v="9"/>
    <x v="17"/>
    <s v="SE1A"/>
    <x v="6"/>
    <x v="4"/>
    <s v="GNR_ROR_WTR"/>
    <x v="0"/>
    <x v="19"/>
    <n v="564.07145309684904"/>
    <n v="205886.08038035"/>
    <n v="741189.88936926005"/>
  </r>
  <r>
    <x v="0"/>
    <x v="0"/>
    <x v="0"/>
    <x v="9"/>
    <x v="17"/>
    <s v="SE1A"/>
    <x v="6"/>
    <x v="4"/>
    <s v="GNR_ROR_WTR"/>
    <x v="0"/>
    <x v="20"/>
    <n v="564.07145309684904"/>
    <n v="205886.08038035"/>
    <n v="741189.88936926005"/>
  </r>
  <r>
    <x v="0"/>
    <x v="0"/>
    <x v="0"/>
    <x v="9"/>
    <x v="17"/>
    <s v="SE1A"/>
    <x v="6"/>
    <x v="4"/>
    <s v="GNR_ROR_WTR"/>
    <x v="0"/>
    <x v="21"/>
    <n v="564.07145309684904"/>
    <n v="205886.08038035"/>
    <n v="741189.88936926005"/>
  </r>
  <r>
    <x v="0"/>
    <x v="0"/>
    <x v="0"/>
    <x v="9"/>
    <x v="17"/>
    <s v="SE1A"/>
    <x v="6"/>
    <x v="4"/>
    <s v="GNR_ROR_WTR"/>
    <x v="0"/>
    <x v="22"/>
    <n v="564.07145309684904"/>
    <n v="205886.08038035"/>
    <n v="741189.88936926005"/>
  </r>
  <r>
    <x v="0"/>
    <x v="0"/>
    <x v="0"/>
    <x v="9"/>
    <x v="17"/>
    <s v="SE1A"/>
    <x v="6"/>
    <x v="4"/>
    <s v="GNR_ROR_WTR"/>
    <x v="0"/>
    <x v="23"/>
    <n v="564.07145309684904"/>
    <n v="205886.08038035"/>
    <n v="741189.88936926005"/>
  </r>
  <r>
    <x v="0"/>
    <x v="0"/>
    <x v="0"/>
    <x v="9"/>
    <x v="17"/>
    <s v="SE1A"/>
    <x v="7"/>
    <x v="5"/>
    <s v="GNR_WT_WIND_ONS"/>
    <x v="0"/>
    <x v="3"/>
    <n v="12.6986819604206"/>
    <n v="4635.0189155535099"/>
    <n v="16686.068095992599"/>
  </r>
  <r>
    <x v="0"/>
    <x v="0"/>
    <x v="0"/>
    <x v="9"/>
    <x v="17"/>
    <s v="SE1A"/>
    <x v="7"/>
    <x v="5"/>
    <s v="GNR_WT_WIND_ONS"/>
    <x v="0"/>
    <x v="4"/>
    <n v="13.0260041018901"/>
    <n v="4754.4914971898697"/>
    <n v="17116.1693898835"/>
  </r>
  <r>
    <x v="0"/>
    <x v="0"/>
    <x v="0"/>
    <x v="9"/>
    <x v="17"/>
    <s v="SE1A"/>
    <x v="7"/>
    <x v="5"/>
    <s v="GNR_WT_WIND_ONS"/>
    <x v="0"/>
    <x v="5"/>
    <n v="17.789426711495501"/>
    <n v="6493.14074969585"/>
    <n v="23375.3066989051"/>
  </r>
  <r>
    <x v="0"/>
    <x v="0"/>
    <x v="0"/>
    <x v="9"/>
    <x v="17"/>
    <s v="SE1A"/>
    <x v="7"/>
    <x v="5"/>
    <s v="GNR_WT_WIND_ONS"/>
    <x v="0"/>
    <x v="6"/>
    <n v="29.958494981496301"/>
    <n v="10934.850668246099"/>
    <n v="39365.462405686099"/>
  </r>
  <r>
    <x v="0"/>
    <x v="0"/>
    <x v="0"/>
    <x v="9"/>
    <x v="17"/>
    <s v="SE1A"/>
    <x v="7"/>
    <x v="5"/>
    <s v="GNR_WT_WIND_ONS"/>
    <x v="0"/>
    <x v="7"/>
    <n v="14.519702371670601"/>
    <n v="5299.6913656597799"/>
    <n v="19078.888916375199"/>
  </r>
  <r>
    <x v="0"/>
    <x v="0"/>
    <x v="0"/>
    <x v="9"/>
    <x v="17"/>
    <s v="SE1A"/>
    <x v="7"/>
    <x v="5"/>
    <s v="GNR_WT_WIND_ONS"/>
    <x v="0"/>
    <x v="8"/>
    <n v="37.7820817525226"/>
    <n v="13790.459839670701"/>
    <n v="49645.655422814598"/>
  </r>
  <r>
    <x v="0"/>
    <x v="0"/>
    <x v="0"/>
    <x v="9"/>
    <x v="17"/>
    <s v="SE1A"/>
    <x v="7"/>
    <x v="5"/>
    <s v="GNR_WT_WIND_ONS"/>
    <x v="0"/>
    <x v="0"/>
    <n v="44.3437226253156"/>
    <n v="16185.4587582402"/>
    <n v="58267.651529664603"/>
  </r>
  <r>
    <x v="0"/>
    <x v="0"/>
    <x v="0"/>
    <x v="9"/>
    <x v="17"/>
    <s v="SE1A"/>
    <x v="7"/>
    <x v="5"/>
    <s v="GNR_WT_WIND_ONS"/>
    <x v="0"/>
    <x v="1"/>
    <n v="25.170287870340999"/>
    <n v="9187.1550726744608"/>
    <n v="33073.7582616281"/>
  </r>
  <r>
    <x v="0"/>
    <x v="0"/>
    <x v="0"/>
    <x v="9"/>
    <x v="17"/>
    <s v="SE1A"/>
    <x v="7"/>
    <x v="5"/>
    <s v="GNR_WT_WIND_ONS"/>
    <x v="0"/>
    <x v="2"/>
    <n v="19.993122673131801"/>
    <n v="7297.4897756930995"/>
    <n v="26270.963192495201"/>
  </r>
  <r>
    <x v="0"/>
    <x v="0"/>
    <x v="0"/>
    <x v="9"/>
    <x v="17"/>
    <s v="SE1A"/>
    <x v="7"/>
    <x v="5"/>
    <s v="GNR_WT_WIND_ONS"/>
    <x v="0"/>
    <x v="9"/>
    <n v="15.610637242392899"/>
    <n v="5697.8825934734105"/>
    <n v="20512.377336504302"/>
  </r>
  <r>
    <x v="0"/>
    <x v="0"/>
    <x v="0"/>
    <x v="9"/>
    <x v="17"/>
    <s v="SE1A"/>
    <x v="7"/>
    <x v="5"/>
    <s v="GNR_WT_WIND_ONS"/>
    <x v="0"/>
    <x v="10"/>
    <n v="11.7664268619263"/>
    <n v="4294.7458046031097"/>
    <n v="15461.084896571199"/>
  </r>
  <r>
    <x v="0"/>
    <x v="0"/>
    <x v="0"/>
    <x v="9"/>
    <x v="17"/>
    <s v="SE1A"/>
    <x v="7"/>
    <x v="5"/>
    <s v="GNR_WT_WIND_ONS"/>
    <x v="0"/>
    <x v="11"/>
    <n v="9.3043743283505993"/>
    <n v="3396.0966298479698"/>
    <n v="12225.9478674527"/>
  </r>
  <r>
    <x v="0"/>
    <x v="0"/>
    <x v="0"/>
    <x v="9"/>
    <x v="17"/>
    <s v="SE1A"/>
    <x v="7"/>
    <x v="5"/>
    <s v="GNR_WT_WIND_ONS"/>
    <x v="0"/>
    <x v="12"/>
    <n v="17.041611814649801"/>
    <n v="6220.1883123471798"/>
    <n v="22392.677924449799"/>
  </r>
  <r>
    <x v="0"/>
    <x v="0"/>
    <x v="0"/>
    <x v="9"/>
    <x v="17"/>
    <s v="SE1A"/>
    <x v="7"/>
    <x v="5"/>
    <s v="GNR_WT_WIND_ONS"/>
    <x v="0"/>
    <x v="13"/>
    <n v="62.621946877221497"/>
    <n v="22857.0106101858"/>
    <n v="82285.238196669001"/>
  </r>
  <r>
    <x v="0"/>
    <x v="0"/>
    <x v="0"/>
    <x v="9"/>
    <x v="17"/>
    <s v="SE1A"/>
    <x v="7"/>
    <x v="5"/>
    <s v="GNR_WT_WIND_ONS"/>
    <x v="0"/>
    <x v="14"/>
    <n v="134.95257670098101"/>
    <n v="49257.690495857903"/>
    <n v="177327.68578508799"/>
  </r>
  <r>
    <x v="0"/>
    <x v="0"/>
    <x v="0"/>
    <x v="9"/>
    <x v="17"/>
    <s v="SE1A"/>
    <x v="7"/>
    <x v="5"/>
    <s v="GNR_WT_WIND_ONS"/>
    <x v="0"/>
    <x v="15"/>
    <n v="194.051708610573"/>
    <n v="70828.873642859297"/>
    <n v="254983.94511429299"/>
  </r>
  <r>
    <x v="0"/>
    <x v="0"/>
    <x v="0"/>
    <x v="9"/>
    <x v="17"/>
    <s v="SE1A"/>
    <x v="7"/>
    <x v="5"/>
    <s v="GNR_WT_WIND_ONS"/>
    <x v="0"/>
    <x v="16"/>
    <n v="209.42188129198999"/>
    <n v="76438.986671576306"/>
    <n v="275180.352017675"/>
  </r>
  <r>
    <x v="0"/>
    <x v="0"/>
    <x v="0"/>
    <x v="9"/>
    <x v="17"/>
    <s v="SE1A"/>
    <x v="7"/>
    <x v="5"/>
    <s v="GNR_WT_WIND_ONS"/>
    <x v="0"/>
    <x v="17"/>
    <n v="392.28236069535097"/>
    <n v="143183.06165380299"/>
    <n v="515459.02195369097"/>
  </r>
  <r>
    <x v="0"/>
    <x v="0"/>
    <x v="0"/>
    <x v="9"/>
    <x v="17"/>
    <s v="SE1A"/>
    <x v="7"/>
    <x v="5"/>
    <s v="GNR_WT_WIND_ONS"/>
    <x v="0"/>
    <x v="18"/>
    <n v="557.52306218207502"/>
    <n v="203495.91769645701"/>
    <n v="732585.30370724702"/>
  </r>
  <r>
    <x v="0"/>
    <x v="0"/>
    <x v="0"/>
    <x v="9"/>
    <x v="17"/>
    <s v="SE1A"/>
    <x v="7"/>
    <x v="5"/>
    <s v="GNR_WT_WIND_ONS"/>
    <x v="0"/>
    <x v="19"/>
    <n v="417.068061823226"/>
    <n v="152229.84256547701"/>
    <n v="548027.43323571899"/>
  </r>
  <r>
    <x v="0"/>
    <x v="0"/>
    <x v="0"/>
    <x v="9"/>
    <x v="17"/>
    <s v="SE1A"/>
    <x v="7"/>
    <x v="5"/>
    <s v="GNR_WT_WIND_ONS"/>
    <x v="0"/>
    <x v="20"/>
    <n v="364.42475377386103"/>
    <n v="133015.03512745901"/>
    <n v="478854.12645885401"/>
  </r>
  <r>
    <x v="0"/>
    <x v="0"/>
    <x v="0"/>
    <x v="9"/>
    <x v="17"/>
    <s v="SE1A"/>
    <x v="7"/>
    <x v="5"/>
    <s v="GNR_WT_WIND_ONS"/>
    <x v="0"/>
    <x v="21"/>
    <n v="363.62571282971902"/>
    <n v="132723.38518284701"/>
    <n v="477804.18665824999"/>
  </r>
  <r>
    <x v="0"/>
    <x v="0"/>
    <x v="0"/>
    <x v="9"/>
    <x v="17"/>
    <s v="SE1A"/>
    <x v="7"/>
    <x v="5"/>
    <s v="GNR_WT_WIND_ONS"/>
    <x v="0"/>
    <x v="22"/>
    <n v="334.80177466158199"/>
    <n v="122202.647751478"/>
    <n v="439929.53190531902"/>
  </r>
  <r>
    <x v="0"/>
    <x v="0"/>
    <x v="0"/>
    <x v="9"/>
    <x v="17"/>
    <s v="SE1A"/>
    <x v="7"/>
    <x v="5"/>
    <s v="GNR_WT_WIND_ONS"/>
    <x v="0"/>
    <x v="23"/>
    <n v="336.63802361398098"/>
    <n v="122872.87861910299"/>
    <n v="442342.363028772"/>
  </r>
  <r>
    <x v="0"/>
    <x v="0"/>
    <x v="0"/>
    <x v="9"/>
    <x v="17"/>
    <s v="SE1_EL"/>
    <x v="1"/>
    <x v="1"/>
    <s v="GBPR_MUNIWASTE"/>
    <x v="0"/>
    <x v="3"/>
    <n v="3.93475156792227"/>
    <n v="1436.18432229163"/>
    <n v="5170.2635602498704"/>
  </r>
  <r>
    <x v="0"/>
    <x v="0"/>
    <x v="0"/>
    <x v="9"/>
    <x v="17"/>
    <s v="SE1_EL"/>
    <x v="1"/>
    <x v="1"/>
    <s v="GBPR_MUNIWASTE"/>
    <x v="0"/>
    <x v="4"/>
    <n v="3.93475156792227"/>
    <n v="1436.18432229163"/>
    <n v="5170.2635602498704"/>
  </r>
  <r>
    <x v="0"/>
    <x v="0"/>
    <x v="0"/>
    <x v="9"/>
    <x v="17"/>
    <s v="SE1_EL"/>
    <x v="1"/>
    <x v="1"/>
    <s v="GBPR_MUNIWASTE"/>
    <x v="0"/>
    <x v="5"/>
    <n v="3.93475156792227"/>
    <n v="1436.18432229163"/>
    <n v="5170.2635602498704"/>
  </r>
  <r>
    <x v="0"/>
    <x v="0"/>
    <x v="0"/>
    <x v="9"/>
    <x v="17"/>
    <s v="SE1_EL"/>
    <x v="1"/>
    <x v="1"/>
    <s v="GBPR_MUNIWASTE"/>
    <x v="0"/>
    <x v="6"/>
    <n v="3.93475156792227"/>
    <n v="1436.18432229163"/>
    <n v="5170.2635602498704"/>
  </r>
  <r>
    <x v="0"/>
    <x v="0"/>
    <x v="0"/>
    <x v="9"/>
    <x v="17"/>
    <s v="SE1_EL"/>
    <x v="1"/>
    <x v="1"/>
    <s v="GBPR_MUNIWASTE"/>
    <x v="0"/>
    <x v="7"/>
    <n v="3.93475156792227"/>
    <n v="1436.18432229163"/>
    <n v="5170.2635602498704"/>
  </r>
  <r>
    <x v="0"/>
    <x v="0"/>
    <x v="0"/>
    <x v="9"/>
    <x v="17"/>
    <s v="SE1_EL"/>
    <x v="1"/>
    <x v="1"/>
    <s v="GBPR_MUNIWASTE"/>
    <x v="0"/>
    <x v="8"/>
    <n v="3.93475156792227"/>
    <n v="1436.18432229163"/>
    <n v="5170.2635602498704"/>
  </r>
  <r>
    <x v="0"/>
    <x v="0"/>
    <x v="0"/>
    <x v="9"/>
    <x v="17"/>
    <s v="SE1_EL"/>
    <x v="1"/>
    <x v="1"/>
    <s v="GBPR_MUNIWASTE"/>
    <x v="0"/>
    <x v="0"/>
    <n v="3.93475156792227"/>
    <n v="1436.18432229163"/>
    <n v="5170.2635602498704"/>
  </r>
  <r>
    <x v="0"/>
    <x v="0"/>
    <x v="0"/>
    <x v="9"/>
    <x v="17"/>
    <s v="SE1_EL"/>
    <x v="1"/>
    <x v="1"/>
    <s v="GBPR_MUNIWASTE"/>
    <x v="0"/>
    <x v="1"/>
    <n v="3.93475156792227"/>
    <n v="1436.18432229163"/>
    <n v="5170.2635602498704"/>
  </r>
  <r>
    <x v="0"/>
    <x v="0"/>
    <x v="0"/>
    <x v="9"/>
    <x v="17"/>
    <s v="SE1_EL"/>
    <x v="1"/>
    <x v="1"/>
    <s v="GBPR_MUNIWASTE"/>
    <x v="0"/>
    <x v="2"/>
    <n v="3.93475156792227"/>
    <n v="1436.18432229163"/>
    <n v="5170.2635602498704"/>
  </r>
  <r>
    <x v="0"/>
    <x v="0"/>
    <x v="0"/>
    <x v="9"/>
    <x v="17"/>
    <s v="SE1_EL"/>
    <x v="1"/>
    <x v="1"/>
    <s v="GBPR_MUNIWASTE"/>
    <x v="0"/>
    <x v="9"/>
    <n v="3.93475156792227"/>
    <n v="1436.18432229163"/>
    <n v="5170.2635602498704"/>
  </r>
  <r>
    <x v="0"/>
    <x v="0"/>
    <x v="0"/>
    <x v="9"/>
    <x v="17"/>
    <s v="SE1_EL"/>
    <x v="1"/>
    <x v="1"/>
    <s v="GBPR_MUNIWASTE"/>
    <x v="0"/>
    <x v="10"/>
    <n v="3.93475156792227"/>
    <n v="1436.18432229163"/>
    <n v="5170.2635602498704"/>
  </r>
  <r>
    <x v="0"/>
    <x v="0"/>
    <x v="0"/>
    <x v="9"/>
    <x v="17"/>
    <s v="SE1_EL"/>
    <x v="1"/>
    <x v="1"/>
    <s v="GBPR_MUNIWASTE"/>
    <x v="0"/>
    <x v="11"/>
    <n v="3.93475156792227"/>
    <n v="1436.18432229163"/>
    <n v="5170.2635602498704"/>
  </r>
  <r>
    <x v="0"/>
    <x v="0"/>
    <x v="0"/>
    <x v="9"/>
    <x v="17"/>
    <s v="SE1_EL"/>
    <x v="1"/>
    <x v="1"/>
    <s v="GBPR_MUNIWASTE"/>
    <x v="0"/>
    <x v="12"/>
    <n v="3.93475156792227"/>
    <n v="1436.18432229163"/>
    <n v="5170.2635602498704"/>
  </r>
  <r>
    <x v="0"/>
    <x v="0"/>
    <x v="0"/>
    <x v="9"/>
    <x v="17"/>
    <s v="SE1_EL"/>
    <x v="1"/>
    <x v="1"/>
    <s v="GBPR_MUNIWASTE"/>
    <x v="0"/>
    <x v="13"/>
    <n v="3.93475156792227"/>
    <n v="1436.18432229163"/>
    <n v="5170.2635602498704"/>
  </r>
  <r>
    <x v="0"/>
    <x v="0"/>
    <x v="0"/>
    <x v="9"/>
    <x v="17"/>
    <s v="SE1_EL"/>
    <x v="1"/>
    <x v="1"/>
    <s v="GBPR_MUNIWASTE"/>
    <x v="0"/>
    <x v="14"/>
    <n v="3.93475156792227"/>
    <n v="1436.18432229163"/>
    <n v="5170.2635602498704"/>
  </r>
  <r>
    <x v="0"/>
    <x v="0"/>
    <x v="0"/>
    <x v="9"/>
    <x v="17"/>
    <s v="SE1_EL"/>
    <x v="1"/>
    <x v="1"/>
    <s v="GBPR_MUNIWASTE"/>
    <x v="0"/>
    <x v="15"/>
    <n v="3.93475156792227"/>
    <n v="1436.18432229163"/>
    <n v="5170.2635602498704"/>
  </r>
  <r>
    <x v="0"/>
    <x v="0"/>
    <x v="0"/>
    <x v="9"/>
    <x v="17"/>
    <s v="SE1_EL"/>
    <x v="1"/>
    <x v="1"/>
    <s v="GBPR_MUNIWASTE"/>
    <x v="0"/>
    <x v="16"/>
    <n v="3.93475156792227"/>
    <n v="1436.18432229163"/>
    <n v="5170.2635602498704"/>
  </r>
  <r>
    <x v="0"/>
    <x v="0"/>
    <x v="0"/>
    <x v="9"/>
    <x v="17"/>
    <s v="SE1_EL"/>
    <x v="1"/>
    <x v="1"/>
    <s v="GBPR_MUNIWASTE"/>
    <x v="0"/>
    <x v="17"/>
    <n v="3.93475156792227"/>
    <n v="1436.18432229163"/>
    <n v="5170.2635602498704"/>
  </r>
  <r>
    <x v="0"/>
    <x v="0"/>
    <x v="0"/>
    <x v="9"/>
    <x v="17"/>
    <s v="SE1_EL"/>
    <x v="1"/>
    <x v="1"/>
    <s v="GBPR_MUNIWASTE"/>
    <x v="0"/>
    <x v="18"/>
    <n v="3.93475156792227"/>
    <n v="1436.18432229163"/>
    <n v="5170.2635602498704"/>
  </r>
  <r>
    <x v="0"/>
    <x v="0"/>
    <x v="0"/>
    <x v="9"/>
    <x v="17"/>
    <s v="SE1_EL"/>
    <x v="1"/>
    <x v="1"/>
    <s v="GBPR_MUNIWASTE"/>
    <x v="0"/>
    <x v="19"/>
    <n v="3.93475156792227"/>
    <n v="1436.18432229163"/>
    <n v="5170.2635602498704"/>
  </r>
  <r>
    <x v="0"/>
    <x v="0"/>
    <x v="0"/>
    <x v="9"/>
    <x v="17"/>
    <s v="SE1_EL"/>
    <x v="1"/>
    <x v="1"/>
    <s v="GBPR_MUNIWASTE"/>
    <x v="0"/>
    <x v="20"/>
    <n v="3.93475156792227"/>
    <n v="1436.18432229163"/>
    <n v="5170.2635602498704"/>
  </r>
  <r>
    <x v="0"/>
    <x v="0"/>
    <x v="0"/>
    <x v="9"/>
    <x v="17"/>
    <s v="SE1_EL"/>
    <x v="1"/>
    <x v="1"/>
    <s v="GBPR_MUNIWASTE"/>
    <x v="0"/>
    <x v="21"/>
    <n v="3.93475156792227"/>
    <n v="1436.18432229163"/>
    <n v="5170.2635602498704"/>
  </r>
  <r>
    <x v="0"/>
    <x v="0"/>
    <x v="0"/>
    <x v="9"/>
    <x v="17"/>
    <s v="SE1_EL"/>
    <x v="1"/>
    <x v="1"/>
    <s v="GBPR_MUNIWASTE"/>
    <x v="0"/>
    <x v="22"/>
    <n v="3.93475156792227"/>
    <n v="1436.18432229163"/>
    <n v="5170.2635602498704"/>
  </r>
  <r>
    <x v="0"/>
    <x v="0"/>
    <x v="0"/>
    <x v="9"/>
    <x v="17"/>
    <s v="SE1_EL"/>
    <x v="1"/>
    <x v="1"/>
    <s v="GBPR_MUNIWASTE"/>
    <x v="0"/>
    <x v="23"/>
    <n v="3.93475156792227"/>
    <n v="1436.18432229163"/>
    <n v="5170.2635602498704"/>
  </r>
  <r>
    <x v="0"/>
    <x v="0"/>
    <x v="0"/>
    <x v="9"/>
    <x v="17"/>
    <s v="SE1_EL"/>
    <x v="12"/>
    <x v="1"/>
    <s v="GBPR_WOODWASTE_25"/>
    <x v="0"/>
    <x v="3"/>
    <n v="2.2523033309709399"/>
    <n v="822.09071580439297"/>
    <n v="2959.5265768958202"/>
  </r>
  <r>
    <x v="0"/>
    <x v="0"/>
    <x v="0"/>
    <x v="9"/>
    <x v="17"/>
    <s v="SE1_EL"/>
    <x v="12"/>
    <x v="1"/>
    <s v="GBPR_WOODWASTE_25"/>
    <x v="0"/>
    <x v="4"/>
    <n v="2.2523033309709399"/>
    <n v="822.09071580439297"/>
    <n v="2959.5265768958202"/>
  </r>
  <r>
    <x v="0"/>
    <x v="0"/>
    <x v="0"/>
    <x v="9"/>
    <x v="17"/>
    <s v="SE1_EL"/>
    <x v="12"/>
    <x v="1"/>
    <s v="GBPR_WOODWASTE_25"/>
    <x v="0"/>
    <x v="5"/>
    <n v="2.2523033309709399"/>
    <n v="822.09071580439297"/>
    <n v="2959.5265768958202"/>
  </r>
  <r>
    <x v="0"/>
    <x v="0"/>
    <x v="0"/>
    <x v="9"/>
    <x v="17"/>
    <s v="SE1_EL"/>
    <x v="12"/>
    <x v="1"/>
    <s v="GBPR_WOODWASTE_25"/>
    <x v="0"/>
    <x v="6"/>
    <n v="2.2523033309709399"/>
    <n v="822.09071580439297"/>
    <n v="2959.5265768958202"/>
  </r>
  <r>
    <x v="0"/>
    <x v="0"/>
    <x v="0"/>
    <x v="9"/>
    <x v="17"/>
    <s v="SE1_EL"/>
    <x v="12"/>
    <x v="1"/>
    <s v="GBPR_WOODWASTE_25"/>
    <x v="0"/>
    <x v="7"/>
    <n v="2.2523033309709399"/>
    <n v="822.09071580439297"/>
    <n v="2959.5265768958202"/>
  </r>
  <r>
    <x v="0"/>
    <x v="0"/>
    <x v="0"/>
    <x v="9"/>
    <x v="17"/>
    <s v="SE1_EL"/>
    <x v="12"/>
    <x v="1"/>
    <s v="GBPR_WOODWASTE_25"/>
    <x v="0"/>
    <x v="8"/>
    <n v="2.2523033309709399"/>
    <n v="822.09071580439297"/>
    <n v="2959.5265768958202"/>
  </r>
  <r>
    <x v="0"/>
    <x v="0"/>
    <x v="0"/>
    <x v="9"/>
    <x v="17"/>
    <s v="SE1_EL"/>
    <x v="12"/>
    <x v="1"/>
    <s v="GBPR_WOODWASTE_25"/>
    <x v="0"/>
    <x v="0"/>
    <n v="2.2523033309709399"/>
    <n v="822.09071580439297"/>
    <n v="2959.5265768958202"/>
  </r>
  <r>
    <x v="0"/>
    <x v="0"/>
    <x v="0"/>
    <x v="9"/>
    <x v="17"/>
    <s v="SE1_EL"/>
    <x v="12"/>
    <x v="1"/>
    <s v="GBPR_WOODWASTE_25"/>
    <x v="0"/>
    <x v="1"/>
    <n v="2.2523033309709399"/>
    <n v="822.09071580439297"/>
    <n v="2959.5265768958202"/>
  </r>
  <r>
    <x v="0"/>
    <x v="0"/>
    <x v="0"/>
    <x v="9"/>
    <x v="17"/>
    <s v="SE1_EL"/>
    <x v="12"/>
    <x v="1"/>
    <s v="GBPR_WOODWASTE_25"/>
    <x v="0"/>
    <x v="2"/>
    <n v="2.2523033309709399"/>
    <n v="822.09071580439297"/>
    <n v="2959.5265768958202"/>
  </r>
  <r>
    <x v="0"/>
    <x v="0"/>
    <x v="0"/>
    <x v="9"/>
    <x v="17"/>
    <s v="SE1_EL"/>
    <x v="12"/>
    <x v="1"/>
    <s v="GBPR_WOODWASTE_25"/>
    <x v="0"/>
    <x v="9"/>
    <n v="2.2523033309709399"/>
    <n v="822.09071580439297"/>
    <n v="2959.5265768958202"/>
  </r>
  <r>
    <x v="0"/>
    <x v="0"/>
    <x v="0"/>
    <x v="9"/>
    <x v="17"/>
    <s v="SE1_EL"/>
    <x v="12"/>
    <x v="1"/>
    <s v="GBPR_WOODWASTE_25"/>
    <x v="0"/>
    <x v="10"/>
    <n v="2.2523033309709399"/>
    <n v="822.09071580439297"/>
    <n v="2959.5265768958202"/>
  </r>
  <r>
    <x v="0"/>
    <x v="0"/>
    <x v="0"/>
    <x v="9"/>
    <x v="17"/>
    <s v="SE1_EL"/>
    <x v="12"/>
    <x v="1"/>
    <s v="GBPR_WOODWASTE_25"/>
    <x v="0"/>
    <x v="11"/>
    <n v="2.2523033309709399"/>
    <n v="822.09071580439297"/>
    <n v="2959.5265768958202"/>
  </r>
  <r>
    <x v="0"/>
    <x v="0"/>
    <x v="0"/>
    <x v="9"/>
    <x v="17"/>
    <s v="SE1_EL"/>
    <x v="12"/>
    <x v="1"/>
    <s v="GBPR_WOODWASTE_25"/>
    <x v="0"/>
    <x v="12"/>
    <n v="2.2523033309709399"/>
    <n v="822.09071580439297"/>
    <n v="2959.5265768958202"/>
  </r>
  <r>
    <x v="0"/>
    <x v="0"/>
    <x v="0"/>
    <x v="9"/>
    <x v="17"/>
    <s v="SE1_EL"/>
    <x v="12"/>
    <x v="1"/>
    <s v="GBPR_WOODWASTE_25"/>
    <x v="0"/>
    <x v="13"/>
    <n v="2.2523033309709399"/>
    <n v="822.09071580439297"/>
    <n v="2959.5265768958202"/>
  </r>
  <r>
    <x v="0"/>
    <x v="0"/>
    <x v="0"/>
    <x v="9"/>
    <x v="17"/>
    <s v="SE1_EL"/>
    <x v="12"/>
    <x v="1"/>
    <s v="GBPR_WOODWASTE_25"/>
    <x v="0"/>
    <x v="14"/>
    <n v="2.2523033309709399"/>
    <n v="822.09071580439297"/>
    <n v="2959.5265768958202"/>
  </r>
  <r>
    <x v="0"/>
    <x v="0"/>
    <x v="0"/>
    <x v="9"/>
    <x v="17"/>
    <s v="SE1_EL"/>
    <x v="12"/>
    <x v="1"/>
    <s v="GBPR_WOODWASTE_25"/>
    <x v="0"/>
    <x v="15"/>
    <n v="2.2523033309709399"/>
    <n v="822.09071580439297"/>
    <n v="2959.5265768958202"/>
  </r>
  <r>
    <x v="0"/>
    <x v="0"/>
    <x v="0"/>
    <x v="9"/>
    <x v="17"/>
    <s v="SE1_EL"/>
    <x v="12"/>
    <x v="1"/>
    <s v="GBPR_WOODWASTE_25"/>
    <x v="0"/>
    <x v="16"/>
    <n v="2.2523033309709399"/>
    <n v="822.09071580439297"/>
    <n v="2959.5265768958202"/>
  </r>
  <r>
    <x v="0"/>
    <x v="0"/>
    <x v="0"/>
    <x v="9"/>
    <x v="17"/>
    <s v="SE1_EL"/>
    <x v="12"/>
    <x v="1"/>
    <s v="GBPR_WOODWASTE_25"/>
    <x v="0"/>
    <x v="17"/>
    <n v="2.2523033309709399"/>
    <n v="822.09071580439297"/>
    <n v="2959.5265768958202"/>
  </r>
  <r>
    <x v="0"/>
    <x v="0"/>
    <x v="0"/>
    <x v="9"/>
    <x v="17"/>
    <s v="SE1_EL"/>
    <x v="12"/>
    <x v="1"/>
    <s v="GBPR_WOODWASTE_25"/>
    <x v="0"/>
    <x v="18"/>
    <n v="2.2523033309709399"/>
    <n v="822.09071580439297"/>
    <n v="2959.5265768958202"/>
  </r>
  <r>
    <x v="0"/>
    <x v="0"/>
    <x v="0"/>
    <x v="9"/>
    <x v="17"/>
    <s v="SE1_EL"/>
    <x v="12"/>
    <x v="1"/>
    <s v="GBPR_WOODWASTE_25"/>
    <x v="0"/>
    <x v="19"/>
    <n v="2.2523033309709399"/>
    <n v="822.09071580439297"/>
    <n v="2959.5265768958202"/>
  </r>
  <r>
    <x v="0"/>
    <x v="0"/>
    <x v="0"/>
    <x v="9"/>
    <x v="17"/>
    <s v="SE1_EL"/>
    <x v="12"/>
    <x v="1"/>
    <s v="GBPR_WOODWASTE_25"/>
    <x v="0"/>
    <x v="20"/>
    <n v="2.2523033309709399"/>
    <n v="822.09071580439297"/>
    <n v="2959.5265768958202"/>
  </r>
  <r>
    <x v="0"/>
    <x v="0"/>
    <x v="0"/>
    <x v="9"/>
    <x v="17"/>
    <s v="SE1_EL"/>
    <x v="12"/>
    <x v="1"/>
    <s v="GBPR_WOODWASTE_25"/>
    <x v="0"/>
    <x v="21"/>
    <n v="2.2523033309709399"/>
    <n v="822.09071580439297"/>
    <n v="2959.5265768958202"/>
  </r>
  <r>
    <x v="0"/>
    <x v="0"/>
    <x v="0"/>
    <x v="9"/>
    <x v="17"/>
    <s v="SE1_EL"/>
    <x v="12"/>
    <x v="1"/>
    <s v="GBPR_WOODWASTE_25"/>
    <x v="0"/>
    <x v="22"/>
    <n v="2.2523033309709399"/>
    <n v="822.09071580439297"/>
    <n v="2959.5265768958202"/>
  </r>
  <r>
    <x v="0"/>
    <x v="0"/>
    <x v="0"/>
    <x v="9"/>
    <x v="17"/>
    <s v="SE1_EL"/>
    <x v="12"/>
    <x v="1"/>
    <s v="GBPR_WOODWASTE_25"/>
    <x v="0"/>
    <x v="23"/>
    <n v="2.2523033309709399"/>
    <n v="822.09071580439297"/>
    <n v="2959.5265768958202"/>
  </r>
  <r>
    <x v="0"/>
    <x v="0"/>
    <x v="0"/>
    <x v="9"/>
    <x v="17"/>
    <s v="SE1_OTHER"/>
    <x v="2"/>
    <x v="1"/>
    <s v="GBPR_NATGAS"/>
    <x v="0"/>
    <x v="0"/>
    <n v="1.2"/>
    <n v="438"/>
    <n v="1576.8"/>
  </r>
  <r>
    <x v="0"/>
    <x v="0"/>
    <x v="0"/>
    <x v="9"/>
    <x v="17"/>
    <s v="SE1_OTHER"/>
    <x v="2"/>
    <x v="1"/>
    <s v="GBPR_NATGAS"/>
    <x v="0"/>
    <x v="1"/>
    <n v="1.2"/>
    <n v="438"/>
    <n v="1576.8"/>
  </r>
  <r>
    <x v="0"/>
    <x v="0"/>
    <x v="0"/>
    <x v="9"/>
    <x v="17"/>
    <s v="SE1_OTHER"/>
    <x v="2"/>
    <x v="1"/>
    <s v="GBPR_NATGAS"/>
    <x v="0"/>
    <x v="2"/>
    <n v="1.2"/>
    <n v="438"/>
    <n v="1576.8"/>
  </r>
  <r>
    <x v="0"/>
    <x v="0"/>
    <x v="0"/>
    <x v="9"/>
    <x v="17"/>
    <s v="SE1_OTHER"/>
    <x v="2"/>
    <x v="1"/>
    <s v="GBPR_NATGAS"/>
    <x v="0"/>
    <x v="9"/>
    <n v="1.2"/>
    <n v="438"/>
    <n v="1576.8"/>
  </r>
  <r>
    <x v="0"/>
    <x v="0"/>
    <x v="0"/>
    <x v="9"/>
    <x v="17"/>
    <s v="SE1_OTHER"/>
    <x v="2"/>
    <x v="1"/>
    <s v="GBPR_NATGAS"/>
    <x v="0"/>
    <x v="10"/>
    <n v="1.2"/>
    <n v="438"/>
    <n v="1576.8"/>
  </r>
  <r>
    <x v="0"/>
    <x v="0"/>
    <x v="0"/>
    <x v="9"/>
    <x v="17"/>
    <s v="SE1_OTHER"/>
    <x v="2"/>
    <x v="1"/>
    <s v="GBPR_NATGAS"/>
    <x v="0"/>
    <x v="11"/>
    <n v="1.2"/>
    <n v="438"/>
    <n v="1576.8"/>
  </r>
  <r>
    <x v="0"/>
    <x v="0"/>
    <x v="0"/>
    <x v="9"/>
    <x v="17"/>
    <s v="SE1_OTHER"/>
    <x v="2"/>
    <x v="1"/>
    <s v="GBPR_NATGAS"/>
    <x v="0"/>
    <x v="12"/>
    <n v="1.2"/>
    <n v="438"/>
    <n v="1576.8"/>
  </r>
  <r>
    <x v="0"/>
    <x v="0"/>
    <x v="0"/>
    <x v="9"/>
    <x v="17"/>
    <s v="SE1_OTHER"/>
    <x v="2"/>
    <x v="1"/>
    <s v="GBPR_NATGAS"/>
    <x v="0"/>
    <x v="13"/>
    <n v="1.2"/>
    <n v="438"/>
    <n v="1576.8"/>
  </r>
  <r>
    <x v="0"/>
    <x v="0"/>
    <x v="0"/>
    <x v="9"/>
    <x v="17"/>
    <s v="SE1_OTHER"/>
    <x v="2"/>
    <x v="1"/>
    <s v="GBPR_NATGAS"/>
    <x v="0"/>
    <x v="14"/>
    <n v="1.2"/>
    <n v="438"/>
    <n v="1576.8"/>
  </r>
  <r>
    <x v="0"/>
    <x v="0"/>
    <x v="0"/>
    <x v="9"/>
    <x v="17"/>
    <s v="SE1_OTHER"/>
    <x v="2"/>
    <x v="1"/>
    <s v="GBPR_NATGAS"/>
    <x v="0"/>
    <x v="15"/>
    <n v="1.2"/>
    <n v="438"/>
    <n v="1576.8"/>
  </r>
  <r>
    <x v="0"/>
    <x v="0"/>
    <x v="0"/>
    <x v="9"/>
    <x v="17"/>
    <s v="SE1_OTHER"/>
    <x v="2"/>
    <x v="1"/>
    <s v="GBPR_NATGAS"/>
    <x v="0"/>
    <x v="16"/>
    <n v="1.2"/>
    <n v="438"/>
    <n v="1576.8"/>
  </r>
  <r>
    <x v="0"/>
    <x v="0"/>
    <x v="0"/>
    <x v="9"/>
    <x v="17"/>
    <s v="SE1_OTHER"/>
    <x v="2"/>
    <x v="1"/>
    <s v="GBPR_NATGAS"/>
    <x v="0"/>
    <x v="17"/>
    <n v="0.57680783159858995"/>
    <n v="210.53485853348499"/>
    <n v="757.92549072054703"/>
  </r>
  <r>
    <x v="0"/>
    <x v="0"/>
    <x v="0"/>
    <x v="9"/>
    <x v="17"/>
    <s v="SE1_OTHER"/>
    <x v="4"/>
    <x v="1"/>
    <s v="GBPR_WOODCHIPS_25"/>
    <x v="0"/>
    <x v="1"/>
    <n v="2.8850437828371298"/>
    <n v="1053.04098073555"/>
    <n v="3790.9475306479799"/>
  </r>
  <r>
    <x v="0"/>
    <x v="0"/>
    <x v="0"/>
    <x v="9"/>
    <x v="17"/>
    <s v="SE1_OTHER"/>
    <x v="4"/>
    <x v="1"/>
    <s v="GBPR_WOODCHIPS_25"/>
    <x v="0"/>
    <x v="2"/>
    <n v="2.8850437828371298"/>
    <n v="1053.04098073555"/>
    <n v="3790.9475306479799"/>
  </r>
  <r>
    <x v="0"/>
    <x v="0"/>
    <x v="0"/>
    <x v="9"/>
    <x v="17"/>
    <s v="SE1_OTHER"/>
    <x v="4"/>
    <x v="1"/>
    <s v="GBPR_WOODCHIPS_25"/>
    <x v="0"/>
    <x v="9"/>
    <n v="2.8850437828371298"/>
    <n v="1053.04098073555"/>
    <n v="3790.9475306479799"/>
  </r>
  <r>
    <x v="0"/>
    <x v="0"/>
    <x v="0"/>
    <x v="9"/>
    <x v="17"/>
    <s v="SE1_OTHER"/>
    <x v="4"/>
    <x v="1"/>
    <s v="GBPR_WOODCHIPS_25"/>
    <x v="0"/>
    <x v="10"/>
    <n v="2.8850437828371298"/>
    <n v="1053.04098073555"/>
    <n v="3790.9475306479799"/>
  </r>
  <r>
    <x v="0"/>
    <x v="0"/>
    <x v="0"/>
    <x v="9"/>
    <x v="17"/>
    <s v="SE1_OTHER"/>
    <x v="4"/>
    <x v="1"/>
    <s v="GBPR_WOODCHIPS_25"/>
    <x v="0"/>
    <x v="11"/>
    <n v="2.8850437828371298"/>
    <n v="1053.04098073555"/>
    <n v="3790.9475306479799"/>
  </r>
  <r>
    <x v="0"/>
    <x v="0"/>
    <x v="0"/>
    <x v="9"/>
    <x v="17"/>
    <s v="SE1_OTHER"/>
    <x v="4"/>
    <x v="1"/>
    <s v="GBPR_WOODCHIPS_25"/>
    <x v="0"/>
    <x v="12"/>
    <n v="2.0348488863175902"/>
    <n v="742.71984350592197"/>
    <n v="2673.7914366213199"/>
  </r>
  <r>
    <x v="0"/>
    <x v="0"/>
    <x v="0"/>
    <x v="9"/>
    <x v="17"/>
    <s v="SE1_OTHER"/>
    <x v="4"/>
    <x v="1"/>
    <s v="GBPR_WOODCHIPS_25"/>
    <x v="0"/>
    <x v="15"/>
    <n v="2.3693000925872898"/>
    <n v="864.79453379435995"/>
    <n v="3113.2603216596999"/>
  </r>
  <r>
    <x v="0"/>
    <x v="0"/>
    <x v="0"/>
    <x v="9"/>
    <x v="17"/>
    <s v="SE1_OTHER"/>
    <x v="4"/>
    <x v="1"/>
    <s v="GBPR_WOODCHIPS_25"/>
    <x v="0"/>
    <x v="16"/>
    <n v="0.92014958523565704"/>
    <n v="335.85459861101498"/>
    <n v="1209.0765549996499"/>
  </r>
  <r>
    <x v="0"/>
    <x v="0"/>
    <x v="0"/>
    <x v="9"/>
    <x v="17"/>
    <s v="SE1_OTHER"/>
    <x v="12"/>
    <x v="1"/>
    <s v="GBPR_WOODWASTE"/>
    <x v="0"/>
    <x v="3"/>
    <n v="28.099124343257401"/>
    <n v="10256.180385289001"/>
    <n v="36922.249387040298"/>
  </r>
  <r>
    <x v="0"/>
    <x v="0"/>
    <x v="0"/>
    <x v="9"/>
    <x v="17"/>
    <s v="SE1_OTHER"/>
    <x v="12"/>
    <x v="1"/>
    <s v="GBPR_WOODWASTE"/>
    <x v="0"/>
    <x v="4"/>
    <n v="28.099124343257401"/>
    <n v="10256.180385289001"/>
    <n v="36922.249387040298"/>
  </r>
  <r>
    <x v="0"/>
    <x v="0"/>
    <x v="0"/>
    <x v="9"/>
    <x v="17"/>
    <s v="SE1_OTHER"/>
    <x v="12"/>
    <x v="1"/>
    <s v="GBPR_WOODWASTE"/>
    <x v="0"/>
    <x v="5"/>
    <n v="28.099124343257401"/>
    <n v="10256.180385289001"/>
    <n v="36922.249387040298"/>
  </r>
  <r>
    <x v="0"/>
    <x v="0"/>
    <x v="0"/>
    <x v="9"/>
    <x v="17"/>
    <s v="SE1_OTHER"/>
    <x v="12"/>
    <x v="1"/>
    <s v="GBPR_WOODWASTE"/>
    <x v="0"/>
    <x v="6"/>
    <n v="28.099124343257401"/>
    <n v="10256.180385289001"/>
    <n v="36922.249387040298"/>
  </r>
  <r>
    <x v="0"/>
    <x v="0"/>
    <x v="0"/>
    <x v="9"/>
    <x v="17"/>
    <s v="SE1_OTHER"/>
    <x v="12"/>
    <x v="1"/>
    <s v="GBPR_WOODWASTE"/>
    <x v="0"/>
    <x v="7"/>
    <n v="28.099124343257401"/>
    <n v="10256.180385289001"/>
    <n v="36922.249387040298"/>
  </r>
  <r>
    <x v="0"/>
    <x v="0"/>
    <x v="0"/>
    <x v="9"/>
    <x v="17"/>
    <s v="SE1_OTHER"/>
    <x v="12"/>
    <x v="1"/>
    <s v="GBPR_WOODWASTE"/>
    <x v="0"/>
    <x v="8"/>
    <n v="28.099124343257401"/>
    <n v="10256.180385289001"/>
    <n v="36922.249387040298"/>
  </r>
  <r>
    <x v="0"/>
    <x v="0"/>
    <x v="0"/>
    <x v="9"/>
    <x v="17"/>
    <s v="SE1_OTHER"/>
    <x v="12"/>
    <x v="1"/>
    <s v="GBPR_WOODWASTE"/>
    <x v="0"/>
    <x v="0"/>
    <n v="28.099124343257401"/>
    <n v="10256.180385289001"/>
    <n v="36922.249387040298"/>
  </r>
  <r>
    <x v="0"/>
    <x v="0"/>
    <x v="0"/>
    <x v="9"/>
    <x v="17"/>
    <s v="SE1_OTHER"/>
    <x v="12"/>
    <x v="1"/>
    <s v="GBPR_WOODWASTE"/>
    <x v="0"/>
    <x v="1"/>
    <n v="28.099124343257401"/>
    <n v="10256.180385289001"/>
    <n v="36922.249387040298"/>
  </r>
  <r>
    <x v="0"/>
    <x v="0"/>
    <x v="0"/>
    <x v="9"/>
    <x v="17"/>
    <s v="SE1_OTHER"/>
    <x v="12"/>
    <x v="1"/>
    <s v="GBPR_WOODWASTE"/>
    <x v="0"/>
    <x v="2"/>
    <n v="28.099124343257401"/>
    <n v="10256.180385289001"/>
    <n v="36922.249387040298"/>
  </r>
  <r>
    <x v="0"/>
    <x v="0"/>
    <x v="0"/>
    <x v="9"/>
    <x v="17"/>
    <s v="SE1_OTHER"/>
    <x v="12"/>
    <x v="1"/>
    <s v="GBPR_WOODWASTE"/>
    <x v="0"/>
    <x v="9"/>
    <n v="28.099124343257401"/>
    <n v="10256.180385289001"/>
    <n v="36922.249387040298"/>
  </r>
  <r>
    <x v="0"/>
    <x v="0"/>
    <x v="0"/>
    <x v="9"/>
    <x v="17"/>
    <s v="SE1_OTHER"/>
    <x v="12"/>
    <x v="1"/>
    <s v="GBPR_WOODWASTE"/>
    <x v="0"/>
    <x v="10"/>
    <n v="28.099124343257401"/>
    <n v="10256.180385289001"/>
    <n v="36922.249387040298"/>
  </r>
  <r>
    <x v="0"/>
    <x v="0"/>
    <x v="0"/>
    <x v="9"/>
    <x v="17"/>
    <s v="SE1_OTHER"/>
    <x v="12"/>
    <x v="1"/>
    <s v="GBPR_WOODWASTE"/>
    <x v="0"/>
    <x v="11"/>
    <n v="28.099124343257401"/>
    <n v="10256.180385289001"/>
    <n v="36922.249387040298"/>
  </r>
  <r>
    <x v="0"/>
    <x v="0"/>
    <x v="0"/>
    <x v="9"/>
    <x v="17"/>
    <s v="SE1_OTHER"/>
    <x v="12"/>
    <x v="1"/>
    <s v="GBPR_WOODWASTE"/>
    <x v="0"/>
    <x v="12"/>
    <n v="28.099124343257401"/>
    <n v="10256.180385289001"/>
    <n v="36922.249387040298"/>
  </r>
  <r>
    <x v="0"/>
    <x v="0"/>
    <x v="0"/>
    <x v="9"/>
    <x v="17"/>
    <s v="SE1_OTHER"/>
    <x v="12"/>
    <x v="1"/>
    <s v="GBPR_WOODWASTE"/>
    <x v="0"/>
    <x v="13"/>
    <n v="28.099124343257401"/>
    <n v="10256.180385289001"/>
    <n v="36922.249387040298"/>
  </r>
  <r>
    <x v="0"/>
    <x v="0"/>
    <x v="0"/>
    <x v="9"/>
    <x v="17"/>
    <s v="SE1_OTHER"/>
    <x v="12"/>
    <x v="1"/>
    <s v="GBPR_WOODWASTE"/>
    <x v="0"/>
    <x v="14"/>
    <n v="28.099124343257401"/>
    <n v="10256.180385289001"/>
    <n v="36922.249387040298"/>
  </r>
  <r>
    <x v="0"/>
    <x v="0"/>
    <x v="0"/>
    <x v="9"/>
    <x v="17"/>
    <s v="SE1_OTHER"/>
    <x v="12"/>
    <x v="1"/>
    <s v="GBPR_WOODWASTE"/>
    <x v="0"/>
    <x v="15"/>
    <n v="28.099124343257401"/>
    <n v="10256.180385289001"/>
    <n v="36922.249387040298"/>
  </r>
  <r>
    <x v="0"/>
    <x v="0"/>
    <x v="0"/>
    <x v="9"/>
    <x v="17"/>
    <s v="SE1_OTHER"/>
    <x v="12"/>
    <x v="1"/>
    <s v="GBPR_WOODWASTE"/>
    <x v="0"/>
    <x v="16"/>
    <n v="28.099124343257401"/>
    <n v="10256.180385289001"/>
    <n v="36922.249387040298"/>
  </r>
  <r>
    <x v="0"/>
    <x v="0"/>
    <x v="0"/>
    <x v="9"/>
    <x v="17"/>
    <s v="SE1_OTHER"/>
    <x v="12"/>
    <x v="1"/>
    <s v="GBPR_WOODWASTE"/>
    <x v="0"/>
    <x v="17"/>
    <n v="28.099124343257401"/>
    <n v="10256.180385289001"/>
    <n v="36922.249387040298"/>
  </r>
  <r>
    <x v="0"/>
    <x v="0"/>
    <x v="0"/>
    <x v="9"/>
    <x v="17"/>
    <s v="SE1_OTHER"/>
    <x v="12"/>
    <x v="1"/>
    <s v="GBPR_WOODWASTE"/>
    <x v="0"/>
    <x v="18"/>
    <n v="28.099124343257401"/>
    <n v="10256.180385289001"/>
    <n v="36922.249387040298"/>
  </r>
  <r>
    <x v="0"/>
    <x v="0"/>
    <x v="0"/>
    <x v="9"/>
    <x v="17"/>
    <s v="SE1_OTHER"/>
    <x v="12"/>
    <x v="1"/>
    <s v="GBPR_WOODWASTE"/>
    <x v="0"/>
    <x v="19"/>
    <n v="28.099124343257401"/>
    <n v="10256.180385289001"/>
    <n v="36922.249387040298"/>
  </r>
  <r>
    <x v="0"/>
    <x v="0"/>
    <x v="0"/>
    <x v="9"/>
    <x v="17"/>
    <s v="SE1_OTHER"/>
    <x v="12"/>
    <x v="1"/>
    <s v="GBPR_WOODWASTE"/>
    <x v="0"/>
    <x v="20"/>
    <n v="28.099124343257401"/>
    <n v="10256.180385289001"/>
    <n v="36922.249387040298"/>
  </r>
  <r>
    <x v="0"/>
    <x v="0"/>
    <x v="0"/>
    <x v="9"/>
    <x v="17"/>
    <s v="SE1_OTHER"/>
    <x v="12"/>
    <x v="1"/>
    <s v="GBPR_WOODWASTE"/>
    <x v="0"/>
    <x v="21"/>
    <n v="28.099124343257401"/>
    <n v="10256.180385289001"/>
    <n v="36922.249387040298"/>
  </r>
  <r>
    <x v="0"/>
    <x v="0"/>
    <x v="0"/>
    <x v="9"/>
    <x v="17"/>
    <s v="SE1_OTHER"/>
    <x v="12"/>
    <x v="1"/>
    <s v="GBPR_WOODWASTE"/>
    <x v="0"/>
    <x v="22"/>
    <n v="28.099124343257401"/>
    <n v="10256.180385289001"/>
    <n v="36922.249387040298"/>
  </r>
  <r>
    <x v="0"/>
    <x v="0"/>
    <x v="0"/>
    <x v="9"/>
    <x v="17"/>
    <s v="SE1_OTHER"/>
    <x v="12"/>
    <x v="1"/>
    <s v="GBPR_WOODWASTE"/>
    <x v="0"/>
    <x v="23"/>
    <n v="28.099124343257401"/>
    <n v="10256.180385289001"/>
    <n v="36922.249387040298"/>
  </r>
  <r>
    <x v="0"/>
    <x v="0"/>
    <x v="0"/>
    <x v="9"/>
    <x v="18"/>
    <s v="SE2A"/>
    <x v="6"/>
    <x v="7"/>
    <s v="GNR_RES_WTR_NOPMP_MC-01"/>
    <x v="0"/>
    <x v="4"/>
    <n v="407.485221835787"/>
    <n v="148732.105970062"/>
    <n v="535435.58149222401"/>
  </r>
  <r>
    <x v="0"/>
    <x v="0"/>
    <x v="0"/>
    <x v="9"/>
    <x v="18"/>
    <s v="SE2A"/>
    <x v="6"/>
    <x v="7"/>
    <s v="GNR_RES_WTR_NOPMP_MC-01"/>
    <x v="0"/>
    <x v="5"/>
    <n v="407.485221835787"/>
    <n v="148732.105970062"/>
    <n v="535435.58149222401"/>
  </r>
  <r>
    <x v="0"/>
    <x v="0"/>
    <x v="0"/>
    <x v="9"/>
    <x v="18"/>
    <s v="SE2A"/>
    <x v="6"/>
    <x v="7"/>
    <s v="GNR_RES_WTR_NOPMP_MC-01"/>
    <x v="0"/>
    <x v="6"/>
    <n v="407.485221835787"/>
    <n v="148732.105970062"/>
    <n v="535435.58149222401"/>
  </r>
  <r>
    <x v="0"/>
    <x v="0"/>
    <x v="0"/>
    <x v="9"/>
    <x v="18"/>
    <s v="SE2A"/>
    <x v="6"/>
    <x v="7"/>
    <s v="GNR_RES_WTR_NOPMP_MC-01"/>
    <x v="0"/>
    <x v="7"/>
    <n v="407.485221835787"/>
    <n v="148732.105970062"/>
    <n v="535435.58149222401"/>
  </r>
  <r>
    <x v="0"/>
    <x v="0"/>
    <x v="0"/>
    <x v="9"/>
    <x v="18"/>
    <s v="SE2A"/>
    <x v="6"/>
    <x v="7"/>
    <s v="GNR_RES_WTR_NOPMP_MC-01"/>
    <x v="0"/>
    <x v="8"/>
    <n v="407.485221835787"/>
    <n v="148732.105970062"/>
    <n v="535435.58149222401"/>
  </r>
  <r>
    <x v="0"/>
    <x v="0"/>
    <x v="0"/>
    <x v="9"/>
    <x v="18"/>
    <s v="SE2A"/>
    <x v="6"/>
    <x v="7"/>
    <s v="GNR_RES_WTR_NOPMP_MC-01"/>
    <x v="0"/>
    <x v="0"/>
    <n v="407.485221835787"/>
    <n v="148732.105970062"/>
    <n v="535435.58149222401"/>
  </r>
  <r>
    <x v="0"/>
    <x v="0"/>
    <x v="0"/>
    <x v="9"/>
    <x v="18"/>
    <s v="SE2A"/>
    <x v="6"/>
    <x v="7"/>
    <s v="GNR_RES_WTR_NOPMP_MC-01"/>
    <x v="0"/>
    <x v="1"/>
    <n v="407.485221835787"/>
    <n v="148732.105970062"/>
    <n v="535435.58149222401"/>
  </r>
  <r>
    <x v="0"/>
    <x v="0"/>
    <x v="0"/>
    <x v="9"/>
    <x v="18"/>
    <s v="SE2A"/>
    <x v="6"/>
    <x v="7"/>
    <s v="GNR_RES_WTR_NOPMP_MC-01"/>
    <x v="0"/>
    <x v="2"/>
    <n v="407.485221835787"/>
    <n v="148732.105970062"/>
    <n v="535435.58149222401"/>
  </r>
  <r>
    <x v="0"/>
    <x v="0"/>
    <x v="0"/>
    <x v="9"/>
    <x v="18"/>
    <s v="SE2A"/>
    <x v="6"/>
    <x v="7"/>
    <s v="GNR_RES_WTR_NOPMP_MC-01"/>
    <x v="0"/>
    <x v="9"/>
    <n v="407.485221835787"/>
    <n v="148732.105970062"/>
    <n v="535435.58149222401"/>
  </r>
  <r>
    <x v="0"/>
    <x v="0"/>
    <x v="0"/>
    <x v="9"/>
    <x v="18"/>
    <s v="SE2A"/>
    <x v="6"/>
    <x v="7"/>
    <s v="GNR_RES_WTR_NOPMP_MC-01"/>
    <x v="0"/>
    <x v="10"/>
    <n v="407.485221835787"/>
    <n v="148732.105970062"/>
    <n v="535435.58149222401"/>
  </r>
  <r>
    <x v="0"/>
    <x v="0"/>
    <x v="0"/>
    <x v="9"/>
    <x v="18"/>
    <s v="SE2A"/>
    <x v="6"/>
    <x v="7"/>
    <s v="GNR_RES_WTR_NOPMP_MC-01"/>
    <x v="0"/>
    <x v="11"/>
    <n v="407.485221835787"/>
    <n v="148732.105970062"/>
    <n v="535435.58149222401"/>
  </r>
  <r>
    <x v="0"/>
    <x v="0"/>
    <x v="0"/>
    <x v="9"/>
    <x v="18"/>
    <s v="SE2A"/>
    <x v="6"/>
    <x v="7"/>
    <s v="GNR_RES_WTR_NOPMP_MC-01"/>
    <x v="0"/>
    <x v="12"/>
    <n v="407.485221835787"/>
    <n v="148732.105970062"/>
    <n v="535435.58149222401"/>
  </r>
  <r>
    <x v="0"/>
    <x v="0"/>
    <x v="0"/>
    <x v="9"/>
    <x v="18"/>
    <s v="SE2A"/>
    <x v="6"/>
    <x v="7"/>
    <s v="GNR_RES_WTR_NOPMP_MC-01"/>
    <x v="0"/>
    <x v="13"/>
    <n v="407.485221835787"/>
    <n v="148732.105970062"/>
    <n v="535435.58149222401"/>
  </r>
  <r>
    <x v="0"/>
    <x v="0"/>
    <x v="0"/>
    <x v="9"/>
    <x v="18"/>
    <s v="SE2A"/>
    <x v="6"/>
    <x v="7"/>
    <s v="GNR_RES_WTR_NOPMP_MC-01"/>
    <x v="0"/>
    <x v="14"/>
    <n v="407.485221835787"/>
    <n v="148732.105970062"/>
    <n v="535435.58149222401"/>
  </r>
  <r>
    <x v="0"/>
    <x v="0"/>
    <x v="0"/>
    <x v="9"/>
    <x v="18"/>
    <s v="SE2A"/>
    <x v="6"/>
    <x v="7"/>
    <s v="GNR_RES_WTR_NOPMP_MC-01"/>
    <x v="0"/>
    <x v="15"/>
    <n v="407.485221835787"/>
    <n v="148732.105970062"/>
    <n v="535435.58149222401"/>
  </r>
  <r>
    <x v="0"/>
    <x v="0"/>
    <x v="0"/>
    <x v="9"/>
    <x v="18"/>
    <s v="SE2A"/>
    <x v="6"/>
    <x v="7"/>
    <s v="GNR_RES_WTR_NOPMP_MC-01"/>
    <x v="0"/>
    <x v="16"/>
    <n v="407.485221835787"/>
    <n v="148732.105970062"/>
    <n v="535435.58149222401"/>
  </r>
  <r>
    <x v="0"/>
    <x v="0"/>
    <x v="0"/>
    <x v="9"/>
    <x v="18"/>
    <s v="SE2A"/>
    <x v="6"/>
    <x v="7"/>
    <s v="GNR_RES_WTR_NOPMP_MC-01"/>
    <x v="0"/>
    <x v="17"/>
    <n v="407.485221835787"/>
    <n v="148732.105970062"/>
    <n v="535435.58149222401"/>
  </r>
  <r>
    <x v="0"/>
    <x v="0"/>
    <x v="0"/>
    <x v="9"/>
    <x v="18"/>
    <s v="SE2A"/>
    <x v="6"/>
    <x v="7"/>
    <s v="GNR_RES_WTR_NOPMP_MC-01"/>
    <x v="0"/>
    <x v="18"/>
    <n v="407.485221835787"/>
    <n v="148732.105970062"/>
    <n v="535435.58149222401"/>
  </r>
  <r>
    <x v="0"/>
    <x v="0"/>
    <x v="0"/>
    <x v="9"/>
    <x v="18"/>
    <s v="SE2A"/>
    <x v="6"/>
    <x v="7"/>
    <s v="GNR_RES_WTR_NOPMP_MC-01"/>
    <x v="0"/>
    <x v="19"/>
    <n v="407.485221835787"/>
    <n v="148732.105970062"/>
    <n v="535435.58149222401"/>
  </r>
  <r>
    <x v="0"/>
    <x v="0"/>
    <x v="0"/>
    <x v="9"/>
    <x v="18"/>
    <s v="SE2A"/>
    <x v="6"/>
    <x v="7"/>
    <s v="GNR_RES_WTR_NOPMP_MC-01"/>
    <x v="0"/>
    <x v="20"/>
    <n v="407.485221835787"/>
    <n v="148732.105970062"/>
    <n v="535435.58149222401"/>
  </r>
  <r>
    <x v="0"/>
    <x v="0"/>
    <x v="0"/>
    <x v="9"/>
    <x v="18"/>
    <s v="SE2A"/>
    <x v="6"/>
    <x v="7"/>
    <s v="GNR_RES_WTR_NOPMP_MC-01"/>
    <x v="0"/>
    <x v="21"/>
    <n v="407.485221835787"/>
    <n v="148732.105970062"/>
    <n v="535435.58149222401"/>
  </r>
  <r>
    <x v="0"/>
    <x v="0"/>
    <x v="0"/>
    <x v="9"/>
    <x v="18"/>
    <s v="SE2A"/>
    <x v="6"/>
    <x v="7"/>
    <s v="GNR_RES_WTR_NOPMP_MC-01"/>
    <x v="0"/>
    <x v="22"/>
    <n v="407.485221835787"/>
    <n v="148732.105970062"/>
    <n v="535435.58149222401"/>
  </r>
  <r>
    <x v="0"/>
    <x v="0"/>
    <x v="0"/>
    <x v="9"/>
    <x v="18"/>
    <s v="SE2A"/>
    <x v="6"/>
    <x v="7"/>
    <s v="GNR_RES_WTR_NOPMP_MC-02"/>
    <x v="0"/>
    <x v="7"/>
    <n v="515.485221835787"/>
    <n v="188152.105970062"/>
    <n v="677347.58149222401"/>
  </r>
  <r>
    <x v="0"/>
    <x v="0"/>
    <x v="0"/>
    <x v="9"/>
    <x v="18"/>
    <s v="SE2A"/>
    <x v="6"/>
    <x v="7"/>
    <s v="GNR_RES_WTR_NOPMP_MC-02"/>
    <x v="0"/>
    <x v="8"/>
    <n v="515.485221835787"/>
    <n v="188152.105970062"/>
    <n v="677347.58149222401"/>
  </r>
  <r>
    <x v="0"/>
    <x v="0"/>
    <x v="0"/>
    <x v="9"/>
    <x v="18"/>
    <s v="SE2A"/>
    <x v="6"/>
    <x v="7"/>
    <s v="GNR_RES_WTR_NOPMP_MC-02"/>
    <x v="0"/>
    <x v="0"/>
    <n v="515.485221835787"/>
    <n v="188152.105970062"/>
    <n v="677347.58149222401"/>
  </r>
  <r>
    <x v="0"/>
    <x v="0"/>
    <x v="0"/>
    <x v="9"/>
    <x v="18"/>
    <s v="SE2A"/>
    <x v="6"/>
    <x v="7"/>
    <s v="GNR_RES_WTR_NOPMP_MC-02"/>
    <x v="0"/>
    <x v="1"/>
    <n v="515.485221835787"/>
    <n v="188152.105970062"/>
    <n v="677347.58149222401"/>
  </r>
  <r>
    <x v="0"/>
    <x v="0"/>
    <x v="0"/>
    <x v="9"/>
    <x v="18"/>
    <s v="SE2A"/>
    <x v="6"/>
    <x v="7"/>
    <s v="GNR_RES_WTR_NOPMP_MC-02"/>
    <x v="0"/>
    <x v="2"/>
    <n v="515.485221835787"/>
    <n v="188152.105970062"/>
    <n v="677347.58149222401"/>
  </r>
  <r>
    <x v="0"/>
    <x v="0"/>
    <x v="0"/>
    <x v="9"/>
    <x v="18"/>
    <s v="SE2A"/>
    <x v="6"/>
    <x v="7"/>
    <s v="GNR_RES_WTR_NOPMP_MC-02"/>
    <x v="0"/>
    <x v="9"/>
    <n v="515.485221835787"/>
    <n v="188152.105970062"/>
    <n v="677347.58149222401"/>
  </r>
  <r>
    <x v="0"/>
    <x v="0"/>
    <x v="0"/>
    <x v="9"/>
    <x v="18"/>
    <s v="SE2A"/>
    <x v="6"/>
    <x v="7"/>
    <s v="GNR_RES_WTR_NOPMP_MC-02"/>
    <x v="0"/>
    <x v="10"/>
    <n v="515.485221835787"/>
    <n v="188152.105970062"/>
    <n v="677347.58149222401"/>
  </r>
  <r>
    <x v="0"/>
    <x v="0"/>
    <x v="0"/>
    <x v="9"/>
    <x v="18"/>
    <s v="SE2A"/>
    <x v="6"/>
    <x v="7"/>
    <s v="GNR_RES_WTR_NOPMP_MC-02"/>
    <x v="0"/>
    <x v="11"/>
    <n v="515.485221835787"/>
    <n v="188152.105970062"/>
    <n v="677347.58149222401"/>
  </r>
  <r>
    <x v="0"/>
    <x v="0"/>
    <x v="0"/>
    <x v="9"/>
    <x v="18"/>
    <s v="SE2A"/>
    <x v="6"/>
    <x v="7"/>
    <s v="GNR_RES_WTR_NOPMP_MC-02"/>
    <x v="0"/>
    <x v="12"/>
    <n v="515.485221835787"/>
    <n v="188152.105970062"/>
    <n v="677347.58149222401"/>
  </r>
  <r>
    <x v="0"/>
    <x v="0"/>
    <x v="0"/>
    <x v="9"/>
    <x v="18"/>
    <s v="SE2A"/>
    <x v="6"/>
    <x v="7"/>
    <s v="GNR_RES_WTR_NOPMP_MC-02"/>
    <x v="0"/>
    <x v="13"/>
    <n v="515.485221835787"/>
    <n v="188152.105970062"/>
    <n v="677347.58149222401"/>
  </r>
  <r>
    <x v="0"/>
    <x v="0"/>
    <x v="0"/>
    <x v="9"/>
    <x v="18"/>
    <s v="SE2A"/>
    <x v="6"/>
    <x v="7"/>
    <s v="GNR_RES_WTR_NOPMP_MC-02"/>
    <x v="0"/>
    <x v="14"/>
    <n v="515.485221835787"/>
    <n v="188152.105970062"/>
    <n v="677347.58149222401"/>
  </r>
  <r>
    <x v="0"/>
    <x v="0"/>
    <x v="0"/>
    <x v="9"/>
    <x v="18"/>
    <s v="SE2A"/>
    <x v="6"/>
    <x v="7"/>
    <s v="GNR_RES_WTR_NOPMP_MC-02"/>
    <x v="0"/>
    <x v="15"/>
    <n v="515.485221835787"/>
    <n v="188152.105970062"/>
    <n v="677347.58149222401"/>
  </r>
  <r>
    <x v="0"/>
    <x v="0"/>
    <x v="0"/>
    <x v="9"/>
    <x v="18"/>
    <s v="SE2A"/>
    <x v="6"/>
    <x v="7"/>
    <s v="GNR_RES_WTR_NOPMP_MC-02"/>
    <x v="0"/>
    <x v="16"/>
    <n v="515.485221835787"/>
    <n v="188152.105970062"/>
    <n v="677347.58149222401"/>
  </r>
  <r>
    <x v="0"/>
    <x v="0"/>
    <x v="0"/>
    <x v="9"/>
    <x v="18"/>
    <s v="SE2A"/>
    <x v="6"/>
    <x v="7"/>
    <s v="GNR_RES_WTR_NOPMP_MC-02"/>
    <x v="0"/>
    <x v="17"/>
    <n v="515.485221835787"/>
    <n v="188152.105970062"/>
    <n v="677347.58149222401"/>
  </r>
  <r>
    <x v="0"/>
    <x v="0"/>
    <x v="0"/>
    <x v="9"/>
    <x v="18"/>
    <s v="SE2A"/>
    <x v="6"/>
    <x v="7"/>
    <s v="GNR_RES_WTR_NOPMP_MC-02"/>
    <x v="0"/>
    <x v="18"/>
    <n v="515.485221835787"/>
    <n v="188152.105970062"/>
    <n v="677347.58149222401"/>
  </r>
  <r>
    <x v="0"/>
    <x v="0"/>
    <x v="0"/>
    <x v="9"/>
    <x v="18"/>
    <s v="SE2A"/>
    <x v="6"/>
    <x v="7"/>
    <s v="GNR_RES_WTR_NOPMP_MC-02"/>
    <x v="0"/>
    <x v="19"/>
    <n v="515.485221835787"/>
    <n v="188152.105970062"/>
    <n v="677347.58149222401"/>
  </r>
  <r>
    <x v="0"/>
    <x v="0"/>
    <x v="0"/>
    <x v="9"/>
    <x v="18"/>
    <s v="SE2A"/>
    <x v="6"/>
    <x v="7"/>
    <s v="GNR_RES_WTR_NOPMP_MC-02"/>
    <x v="0"/>
    <x v="20"/>
    <n v="515.485221835787"/>
    <n v="188152.105970062"/>
    <n v="677347.58149222401"/>
  </r>
  <r>
    <x v="0"/>
    <x v="0"/>
    <x v="0"/>
    <x v="9"/>
    <x v="18"/>
    <s v="SE2A"/>
    <x v="6"/>
    <x v="7"/>
    <s v="GNR_RES_WTR_NOPMP_MC-02"/>
    <x v="0"/>
    <x v="21"/>
    <n v="135.10181883726301"/>
    <n v="49312.163875601102"/>
    <n v="177523.78995216399"/>
  </r>
  <r>
    <x v="0"/>
    <x v="0"/>
    <x v="0"/>
    <x v="9"/>
    <x v="18"/>
    <s v="SE2A"/>
    <x v="6"/>
    <x v="7"/>
    <s v="GNR_RES_WTR_NOPMP_MC-03"/>
    <x v="0"/>
    <x v="8"/>
    <n v="515.485221835787"/>
    <n v="188152.105970062"/>
    <n v="677347.58149222401"/>
  </r>
  <r>
    <x v="0"/>
    <x v="0"/>
    <x v="0"/>
    <x v="9"/>
    <x v="18"/>
    <s v="SE2A"/>
    <x v="6"/>
    <x v="7"/>
    <s v="GNR_RES_WTR_NOPMP_MC-03"/>
    <x v="0"/>
    <x v="0"/>
    <n v="515.485221835787"/>
    <n v="188152.105970062"/>
    <n v="677347.58149222401"/>
  </r>
  <r>
    <x v="0"/>
    <x v="0"/>
    <x v="0"/>
    <x v="9"/>
    <x v="18"/>
    <s v="SE2A"/>
    <x v="6"/>
    <x v="7"/>
    <s v="GNR_RES_WTR_NOPMP_MC-03"/>
    <x v="0"/>
    <x v="1"/>
    <n v="515.485221835787"/>
    <n v="188152.105970062"/>
    <n v="677347.58149222401"/>
  </r>
  <r>
    <x v="0"/>
    <x v="0"/>
    <x v="0"/>
    <x v="9"/>
    <x v="18"/>
    <s v="SE2A"/>
    <x v="6"/>
    <x v="7"/>
    <s v="GNR_RES_WTR_NOPMP_MC-03"/>
    <x v="0"/>
    <x v="2"/>
    <n v="515.485221835787"/>
    <n v="188152.105970062"/>
    <n v="677347.58149222401"/>
  </r>
  <r>
    <x v="0"/>
    <x v="0"/>
    <x v="0"/>
    <x v="9"/>
    <x v="18"/>
    <s v="SE2A"/>
    <x v="6"/>
    <x v="7"/>
    <s v="GNR_RES_WTR_NOPMP_MC-03"/>
    <x v="0"/>
    <x v="9"/>
    <n v="515.485221835787"/>
    <n v="188152.105970062"/>
    <n v="677347.58149222401"/>
  </r>
  <r>
    <x v="0"/>
    <x v="0"/>
    <x v="0"/>
    <x v="9"/>
    <x v="18"/>
    <s v="SE2A"/>
    <x v="6"/>
    <x v="7"/>
    <s v="GNR_RES_WTR_NOPMP_MC-03"/>
    <x v="0"/>
    <x v="10"/>
    <n v="515.485221835787"/>
    <n v="188152.105970062"/>
    <n v="677347.58149222401"/>
  </r>
  <r>
    <x v="0"/>
    <x v="0"/>
    <x v="0"/>
    <x v="9"/>
    <x v="18"/>
    <s v="SE2A"/>
    <x v="6"/>
    <x v="7"/>
    <s v="GNR_RES_WTR_NOPMP_MC-03"/>
    <x v="0"/>
    <x v="11"/>
    <n v="515.485221835787"/>
    <n v="188152.105970062"/>
    <n v="677347.58149222401"/>
  </r>
  <r>
    <x v="0"/>
    <x v="0"/>
    <x v="0"/>
    <x v="9"/>
    <x v="18"/>
    <s v="SE2A"/>
    <x v="6"/>
    <x v="7"/>
    <s v="GNR_RES_WTR_NOPMP_MC-03"/>
    <x v="0"/>
    <x v="12"/>
    <n v="515.485221835787"/>
    <n v="188152.105970062"/>
    <n v="677347.58149222401"/>
  </r>
  <r>
    <x v="0"/>
    <x v="0"/>
    <x v="0"/>
    <x v="9"/>
    <x v="18"/>
    <s v="SE2A"/>
    <x v="6"/>
    <x v="7"/>
    <s v="GNR_RES_WTR_NOPMP_MC-03"/>
    <x v="0"/>
    <x v="13"/>
    <n v="515.485221835787"/>
    <n v="188152.105970062"/>
    <n v="677347.58149222401"/>
  </r>
  <r>
    <x v="0"/>
    <x v="0"/>
    <x v="0"/>
    <x v="9"/>
    <x v="18"/>
    <s v="SE2A"/>
    <x v="6"/>
    <x v="7"/>
    <s v="GNR_RES_WTR_NOPMP_MC-03"/>
    <x v="0"/>
    <x v="14"/>
    <n v="515.485221835787"/>
    <n v="188152.105970062"/>
    <n v="677347.58149222401"/>
  </r>
  <r>
    <x v="0"/>
    <x v="0"/>
    <x v="0"/>
    <x v="9"/>
    <x v="18"/>
    <s v="SE2A"/>
    <x v="6"/>
    <x v="7"/>
    <s v="GNR_RES_WTR_NOPMP_MC-03"/>
    <x v="0"/>
    <x v="15"/>
    <n v="515.485221835787"/>
    <n v="188152.105970062"/>
    <n v="677347.58149222401"/>
  </r>
  <r>
    <x v="0"/>
    <x v="0"/>
    <x v="0"/>
    <x v="9"/>
    <x v="18"/>
    <s v="SE2A"/>
    <x v="6"/>
    <x v="7"/>
    <s v="GNR_RES_WTR_NOPMP_MC-03"/>
    <x v="0"/>
    <x v="16"/>
    <n v="515.485221835787"/>
    <n v="188152.105970062"/>
    <n v="677347.58149222401"/>
  </r>
  <r>
    <x v="0"/>
    <x v="0"/>
    <x v="0"/>
    <x v="9"/>
    <x v="18"/>
    <s v="SE2A"/>
    <x v="6"/>
    <x v="7"/>
    <s v="GNR_RES_WTR_NOPMP_MC-03"/>
    <x v="0"/>
    <x v="17"/>
    <n v="515.485221835787"/>
    <n v="188152.105970062"/>
    <n v="677347.58149222401"/>
  </r>
  <r>
    <x v="0"/>
    <x v="0"/>
    <x v="0"/>
    <x v="9"/>
    <x v="18"/>
    <s v="SE2A"/>
    <x v="6"/>
    <x v="7"/>
    <s v="GNR_RES_WTR_NOPMP_MC-03"/>
    <x v="0"/>
    <x v="18"/>
    <n v="515.485221835787"/>
    <n v="188152.105970062"/>
    <n v="677347.58149222401"/>
  </r>
  <r>
    <x v="0"/>
    <x v="0"/>
    <x v="0"/>
    <x v="9"/>
    <x v="18"/>
    <s v="SE2A"/>
    <x v="6"/>
    <x v="7"/>
    <s v="GNR_RES_WTR_NOPMP_MC-03"/>
    <x v="0"/>
    <x v="19"/>
    <n v="515.485221835787"/>
    <n v="188152.105970062"/>
    <n v="677347.58149222401"/>
  </r>
  <r>
    <x v="0"/>
    <x v="0"/>
    <x v="0"/>
    <x v="9"/>
    <x v="18"/>
    <s v="SE2A"/>
    <x v="6"/>
    <x v="7"/>
    <s v="GNR_RES_WTR_NOPMP_MC-03"/>
    <x v="0"/>
    <x v="20"/>
    <n v="515.485221835787"/>
    <n v="188152.105970062"/>
    <n v="677347.58149222401"/>
  </r>
  <r>
    <x v="0"/>
    <x v="0"/>
    <x v="0"/>
    <x v="9"/>
    <x v="18"/>
    <s v="SE2A"/>
    <x v="6"/>
    <x v="7"/>
    <s v="GNR_RES_WTR_NOPMP_MC-04"/>
    <x v="0"/>
    <x v="8"/>
    <n v="515.485221835787"/>
    <n v="188152.105970062"/>
    <n v="677347.58149222401"/>
  </r>
  <r>
    <x v="0"/>
    <x v="0"/>
    <x v="0"/>
    <x v="9"/>
    <x v="18"/>
    <s v="SE2A"/>
    <x v="6"/>
    <x v="7"/>
    <s v="GNR_RES_WTR_NOPMP_MC-04"/>
    <x v="0"/>
    <x v="0"/>
    <n v="515.485221835787"/>
    <n v="188152.105970062"/>
    <n v="677347.58149222401"/>
  </r>
  <r>
    <x v="0"/>
    <x v="0"/>
    <x v="0"/>
    <x v="9"/>
    <x v="18"/>
    <s v="SE2A"/>
    <x v="6"/>
    <x v="7"/>
    <s v="GNR_RES_WTR_NOPMP_MC-04"/>
    <x v="0"/>
    <x v="1"/>
    <n v="515.485221835787"/>
    <n v="188152.105970062"/>
    <n v="677347.58149222401"/>
  </r>
  <r>
    <x v="0"/>
    <x v="0"/>
    <x v="0"/>
    <x v="9"/>
    <x v="18"/>
    <s v="SE2A"/>
    <x v="6"/>
    <x v="7"/>
    <s v="GNR_RES_WTR_NOPMP_MC-04"/>
    <x v="0"/>
    <x v="2"/>
    <n v="515.485221835787"/>
    <n v="188152.105970062"/>
    <n v="677347.58149222401"/>
  </r>
  <r>
    <x v="0"/>
    <x v="0"/>
    <x v="0"/>
    <x v="9"/>
    <x v="18"/>
    <s v="SE2A"/>
    <x v="6"/>
    <x v="7"/>
    <s v="GNR_RES_WTR_NOPMP_MC-04"/>
    <x v="0"/>
    <x v="9"/>
    <n v="515.485221835787"/>
    <n v="188152.105970062"/>
    <n v="677347.58149222401"/>
  </r>
  <r>
    <x v="0"/>
    <x v="0"/>
    <x v="0"/>
    <x v="9"/>
    <x v="18"/>
    <s v="SE2A"/>
    <x v="6"/>
    <x v="7"/>
    <s v="GNR_RES_WTR_NOPMP_MC-04"/>
    <x v="0"/>
    <x v="10"/>
    <n v="515.485221835787"/>
    <n v="188152.105970062"/>
    <n v="677347.58149222401"/>
  </r>
  <r>
    <x v="0"/>
    <x v="0"/>
    <x v="0"/>
    <x v="9"/>
    <x v="18"/>
    <s v="SE2A"/>
    <x v="6"/>
    <x v="7"/>
    <s v="GNR_RES_WTR_NOPMP_MC-04"/>
    <x v="0"/>
    <x v="11"/>
    <n v="515.485221835787"/>
    <n v="188152.105970062"/>
    <n v="677347.58149222401"/>
  </r>
  <r>
    <x v="0"/>
    <x v="0"/>
    <x v="0"/>
    <x v="9"/>
    <x v="18"/>
    <s v="SE2A"/>
    <x v="6"/>
    <x v="7"/>
    <s v="GNR_RES_WTR_NOPMP_MC-04"/>
    <x v="0"/>
    <x v="12"/>
    <n v="515.485221835787"/>
    <n v="188152.105970062"/>
    <n v="677347.58149222401"/>
  </r>
  <r>
    <x v="0"/>
    <x v="0"/>
    <x v="0"/>
    <x v="9"/>
    <x v="18"/>
    <s v="SE2A"/>
    <x v="6"/>
    <x v="7"/>
    <s v="GNR_RES_WTR_NOPMP_MC-04"/>
    <x v="0"/>
    <x v="13"/>
    <n v="515.485221835787"/>
    <n v="188152.105970062"/>
    <n v="677347.58149222401"/>
  </r>
  <r>
    <x v="0"/>
    <x v="0"/>
    <x v="0"/>
    <x v="9"/>
    <x v="18"/>
    <s v="SE2A"/>
    <x v="6"/>
    <x v="7"/>
    <s v="GNR_RES_WTR_NOPMP_MC-04"/>
    <x v="0"/>
    <x v="14"/>
    <n v="515.485221835787"/>
    <n v="188152.105970062"/>
    <n v="677347.58149222401"/>
  </r>
  <r>
    <x v="0"/>
    <x v="0"/>
    <x v="0"/>
    <x v="9"/>
    <x v="18"/>
    <s v="SE2A"/>
    <x v="6"/>
    <x v="7"/>
    <s v="GNR_RES_WTR_NOPMP_MC-04"/>
    <x v="0"/>
    <x v="15"/>
    <n v="515.485221835787"/>
    <n v="188152.105970062"/>
    <n v="677347.58149222401"/>
  </r>
  <r>
    <x v="0"/>
    <x v="0"/>
    <x v="0"/>
    <x v="9"/>
    <x v="18"/>
    <s v="SE2A"/>
    <x v="6"/>
    <x v="7"/>
    <s v="GNR_RES_WTR_NOPMP_MC-04"/>
    <x v="0"/>
    <x v="16"/>
    <n v="515.485221835787"/>
    <n v="188152.105970062"/>
    <n v="677347.58149222401"/>
  </r>
  <r>
    <x v="0"/>
    <x v="0"/>
    <x v="0"/>
    <x v="9"/>
    <x v="18"/>
    <s v="SE2A"/>
    <x v="6"/>
    <x v="7"/>
    <s v="GNR_RES_WTR_NOPMP_MC-04"/>
    <x v="0"/>
    <x v="17"/>
    <n v="515.485221835787"/>
    <n v="188152.105970062"/>
    <n v="677347.58149222401"/>
  </r>
  <r>
    <x v="0"/>
    <x v="0"/>
    <x v="0"/>
    <x v="9"/>
    <x v="18"/>
    <s v="SE2A"/>
    <x v="6"/>
    <x v="7"/>
    <s v="GNR_RES_WTR_NOPMP_MC-04"/>
    <x v="0"/>
    <x v="18"/>
    <n v="515.485221835787"/>
    <n v="188152.105970062"/>
    <n v="677347.58149222401"/>
  </r>
  <r>
    <x v="0"/>
    <x v="0"/>
    <x v="0"/>
    <x v="9"/>
    <x v="18"/>
    <s v="SE2A"/>
    <x v="6"/>
    <x v="7"/>
    <s v="GNR_RES_WTR_NOPMP_MC-04"/>
    <x v="0"/>
    <x v="19"/>
    <n v="515.485221835787"/>
    <n v="188152.105970062"/>
    <n v="677347.58149222401"/>
  </r>
  <r>
    <x v="0"/>
    <x v="0"/>
    <x v="0"/>
    <x v="9"/>
    <x v="18"/>
    <s v="SE2A"/>
    <x v="6"/>
    <x v="7"/>
    <s v="GNR_RES_WTR_NOPMP_MC-04"/>
    <x v="0"/>
    <x v="20"/>
    <n v="515.485221835787"/>
    <n v="188152.105970062"/>
    <n v="677347.58149222401"/>
  </r>
  <r>
    <x v="0"/>
    <x v="0"/>
    <x v="0"/>
    <x v="9"/>
    <x v="18"/>
    <s v="SE2A"/>
    <x v="6"/>
    <x v="7"/>
    <s v="GNR_RES_WTR_NOPMP_MC-05"/>
    <x v="0"/>
    <x v="8"/>
    <n v="515.485221835787"/>
    <n v="188152.105970062"/>
    <n v="677347.58149222401"/>
  </r>
  <r>
    <x v="0"/>
    <x v="0"/>
    <x v="0"/>
    <x v="9"/>
    <x v="18"/>
    <s v="SE2A"/>
    <x v="6"/>
    <x v="7"/>
    <s v="GNR_RES_WTR_NOPMP_MC-05"/>
    <x v="0"/>
    <x v="0"/>
    <n v="515.485221835787"/>
    <n v="188152.105970062"/>
    <n v="677347.58149222401"/>
  </r>
  <r>
    <x v="0"/>
    <x v="0"/>
    <x v="0"/>
    <x v="9"/>
    <x v="18"/>
    <s v="SE2A"/>
    <x v="6"/>
    <x v="7"/>
    <s v="GNR_RES_WTR_NOPMP_MC-05"/>
    <x v="0"/>
    <x v="1"/>
    <n v="515.485221835787"/>
    <n v="188152.105970062"/>
    <n v="677347.58149222401"/>
  </r>
  <r>
    <x v="0"/>
    <x v="0"/>
    <x v="0"/>
    <x v="9"/>
    <x v="18"/>
    <s v="SE2A"/>
    <x v="6"/>
    <x v="7"/>
    <s v="GNR_RES_WTR_NOPMP_MC-05"/>
    <x v="0"/>
    <x v="2"/>
    <n v="515.485221835787"/>
    <n v="188152.105970062"/>
    <n v="677347.58149222401"/>
  </r>
  <r>
    <x v="0"/>
    <x v="0"/>
    <x v="0"/>
    <x v="9"/>
    <x v="18"/>
    <s v="SE2A"/>
    <x v="6"/>
    <x v="7"/>
    <s v="GNR_RES_WTR_NOPMP_MC-05"/>
    <x v="0"/>
    <x v="9"/>
    <n v="515.485221835787"/>
    <n v="188152.105970062"/>
    <n v="677347.58149222401"/>
  </r>
  <r>
    <x v="0"/>
    <x v="0"/>
    <x v="0"/>
    <x v="9"/>
    <x v="18"/>
    <s v="SE2A"/>
    <x v="6"/>
    <x v="7"/>
    <s v="GNR_RES_WTR_NOPMP_MC-05"/>
    <x v="0"/>
    <x v="10"/>
    <n v="515.485221835787"/>
    <n v="188152.105970062"/>
    <n v="677347.58149222401"/>
  </r>
  <r>
    <x v="0"/>
    <x v="0"/>
    <x v="0"/>
    <x v="9"/>
    <x v="18"/>
    <s v="SE2A"/>
    <x v="6"/>
    <x v="7"/>
    <s v="GNR_RES_WTR_NOPMP_MC-05"/>
    <x v="0"/>
    <x v="11"/>
    <n v="515.485221835787"/>
    <n v="188152.105970062"/>
    <n v="677347.58149222401"/>
  </r>
  <r>
    <x v="0"/>
    <x v="0"/>
    <x v="0"/>
    <x v="9"/>
    <x v="18"/>
    <s v="SE2A"/>
    <x v="6"/>
    <x v="7"/>
    <s v="GNR_RES_WTR_NOPMP_MC-05"/>
    <x v="0"/>
    <x v="12"/>
    <n v="515.485221835787"/>
    <n v="188152.105970062"/>
    <n v="677347.58149222401"/>
  </r>
  <r>
    <x v="0"/>
    <x v="0"/>
    <x v="0"/>
    <x v="9"/>
    <x v="18"/>
    <s v="SE2A"/>
    <x v="6"/>
    <x v="7"/>
    <s v="GNR_RES_WTR_NOPMP_MC-05"/>
    <x v="0"/>
    <x v="13"/>
    <n v="515.485221835787"/>
    <n v="188152.105970062"/>
    <n v="677347.58149222401"/>
  </r>
  <r>
    <x v="0"/>
    <x v="0"/>
    <x v="0"/>
    <x v="9"/>
    <x v="18"/>
    <s v="SE2A"/>
    <x v="6"/>
    <x v="7"/>
    <s v="GNR_RES_WTR_NOPMP_MC-05"/>
    <x v="0"/>
    <x v="14"/>
    <n v="515.485221835787"/>
    <n v="188152.105970062"/>
    <n v="677347.58149222401"/>
  </r>
  <r>
    <x v="0"/>
    <x v="0"/>
    <x v="0"/>
    <x v="9"/>
    <x v="18"/>
    <s v="SE2A"/>
    <x v="6"/>
    <x v="7"/>
    <s v="GNR_RES_WTR_NOPMP_MC-05"/>
    <x v="0"/>
    <x v="15"/>
    <n v="515.485221835787"/>
    <n v="188152.105970062"/>
    <n v="677347.58149222401"/>
  </r>
  <r>
    <x v="0"/>
    <x v="0"/>
    <x v="0"/>
    <x v="9"/>
    <x v="18"/>
    <s v="SE2A"/>
    <x v="6"/>
    <x v="7"/>
    <s v="GNR_RES_WTR_NOPMP_MC-05"/>
    <x v="0"/>
    <x v="16"/>
    <n v="515.485221835787"/>
    <n v="188152.105970062"/>
    <n v="677347.58149222401"/>
  </r>
  <r>
    <x v="0"/>
    <x v="0"/>
    <x v="0"/>
    <x v="9"/>
    <x v="18"/>
    <s v="SE2A"/>
    <x v="6"/>
    <x v="7"/>
    <s v="GNR_RES_WTR_NOPMP_MC-05"/>
    <x v="0"/>
    <x v="17"/>
    <n v="515.485221835787"/>
    <n v="188152.105970062"/>
    <n v="677347.58149222401"/>
  </r>
  <r>
    <x v="0"/>
    <x v="0"/>
    <x v="0"/>
    <x v="9"/>
    <x v="18"/>
    <s v="SE2A"/>
    <x v="6"/>
    <x v="7"/>
    <s v="GNR_RES_WTR_NOPMP_MC-05"/>
    <x v="0"/>
    <x v="18"/>
    <n v="515.485221835787"/>
    <n v="188152.105970062"/>
    <n v="677347.58149222401"/>
  </r>
  <r>
    <x v="0"/>
    <x v="0"/>
    <x v="0"/>
    <x v="9"/>
    <x v="18"/>
    <s v="SE2A"/>
    <x v="6"/>
    <x v="7"/>
    <s v="GNR_RES_WTR_NOPMP_MC-05"/>
    <x v="0"/>
    <x v="19"/>
    <n v="515.485221835787"/>
    <n v="188152.105970062"/>
    <n v="677347.58149222401"/>
  </r>
  <r>
    <x v="0"/>
    <x v="0"/>
    <x v="0"/>
    <x v="9"/>
    <x v="18"/>
    <s v="SE2A"/>
    <x v="6"/>
    <x v="7"/>
    <s v="GNR_RES_WTR_NOPMP_MC-05"/>
    <x v="0"/>
    <x v="20"/>
    <n v="398.979552009489"/>
    <n v="145627.53648346299"/>
    <n v="524259.131340469"/>
  </r>
  <r>
    <x v="0"/>
    <x v="0"/>
    <x v="0"/>
    <x v="9"/>
    <x v="18"/>
    <s v="SE2A"/>
    <x v="6"/>
    <x v="7"/>
    <s v="GNR_RES_WTR_NOPMP_MC-06"/>
    <x v="0"/>
    <x v="0"/>
    <n v="515.485221835787"/>
    <n v="188152.105970062"/>
    <n v="677347.58149222401"/>
  </r>
  <r>
    <x v="0"/>
    <x v="0"/>
    <x v="0"/>
    <x v="9"/>
    <x v="18"/>
    <s v="SE2A"/>
    <x v="6"/>
    <x v="7"/>
    <s v="GNR_RES_WTR_NOPMP_MC-06"/>
    <x v="0"/>
    <x v="1"/>
    <n v="515.485221835787"/>
    <n v="188152.105970062"/>
    <n v="677347.58149222401"/>
  </r>
  <r>
    <x v="0"/>
    <x v="0"/>
    <x v="0"/>
    <x v="9"/>
    <x v="18"/>
    <s v="SE2A"/>
    <x v="6"/>
    <x v="7"/>
    <s v="GNR_RES_WTR_NOPMP_MC-06"/>
    <x v="0"/>
    <x v="2"/>
    <n v="515.485221835787"/>
    <n v="188152.105970062"/>
    <n v="677347.58149222401"/>
  </r>
  <r>
    <x v="0"/>
    <x v="0"/>
    <x v="0"/>
    <x v="9"/>
    <x v="18"/>
    <s v="SE2A"/>
    <x v="6"/>
    <x v="7"/>
    <s v="GNR_RES_WTR_NOPMP_MC-06"/>
    <x v="0"/>
    <x v="9"/>
    <n v="515.485221835787"/>
    <n v="188152.105970062"/>
    <n v="677347.58149222401"/>
  </r>
  <r>
    <x v="0"/>
    <x v="0"/>
    <x v="0"/>
    <x v="9"/>
    <x v="18"/>
    <s v="SE2A"/>
    <x v="6"/>
    <x v="7"/>
    <s v="GNR_RES_WTR_NOPMP_MC-06"/>
    <x v="0"/>
    <x v="10"/>
    <n v="515.485221835787"/>
    <n v="188152.105970062"/>
    <n v="677347.58149222401"/>
  </r>
  <r>
    <x v="0"/>
    <x v="0"/>
    <x v="0"/>
    <x v="9"/>
    <x v="18"/>
    <s v="SE2A"/>
    <x v="6"/>
    <x v="7"/>
    <s v="GNR_RES_WTR_NOPMP_MC-06"/>
    <x v="0"/>
    <x v="11"/>
    <n v="515.485221835787"/>
    <n v="188152.105970062"/>
    <n v="677347.58149222401"/>
  </r>
  <r>
    <x v="0"/>
    <x v="0"/>
    <x v="0"/>
    <x v="9"/>
    <x v="18"/>
    <s v="SE2A"/>
    <x v="6"/>
    <x v="7"/>
    <s v="GNR_RES_WTR_NOPMP_MC-06"/>
    <x v="0"/>
    <x v="12"/>
    <n v="515.485221835787"/>
    <n v="188152.105970062"/>
    <n v="677347.58149222401"/>
  </r>
  <r>
    <x v="0"/>
    <x v="0"/>
    <x v="0"/>
    <x v="9"/>
    <x v="18"/>
    <s v="SE2A"/>
    <x v="6"/>
    <x v="7"/>
    <s v="GNR_RES_WTR_NOPMP_MC-06"/>
    <x v="0"/>
    <x v="13"/>
    <n v="515.485221835787"/>
    <n v="188152.105970062"/>
    <n v="677347.58149222401"/>
  </r>
  <r>
    <x v="0"/>
    <x v="0"/>
    <x v="0"/>
    <x v="9"/>
    <x v="18"/>
    <s v="SE2A"/>
    <x v="6"/>
    <x v="7"/>
    <s v="GNR_RES_WTR_NOPMP_MC-06"/>
    <x v="0"/>
    <x v="14"/>
    <n v="515.485221835787"/>
    <n v="188152.105970062"/>
    <n v="677347.58149222401"/>
  </r>
  <r>
    <x v="0"/>
    <x v="0"/>
    <x v="0"/>
    <x v="9"/>
    <x v="18"/>
    <s v="SE2A"/>
    <x v="6"/>
    <x v="7"/>
    <s v="GNR_RES_WTR_NOPMP_MC-06"/>
    <x v="0"/>
    <x v="15"/>
    <n v="515.485221835787"/>
    <n v="188152.105970062"/>
    <n v="677347.58149222401"/>
  </r>
  <r>
    <x v="0"/>
    <x v="0"/>
    <x v="0"/>
    <x v="9"/>
    <x v="18"/>
    <s v="SE2A"/>
    <x v="6"/>
    <x v="7"/>
    <s v="GNR_RES_WTR_NOPMP_MC-06"/>
    <x v="0"/>
    <x v="16"/>
    <n v="515.485221835787"/>
    <n v="188152.105970062"/>
    <n v="677347.58149222401"/>
  </r>
  <r>
    <x v="0"/>
    <x v="0"/>
    <x v="0"/>
    <x v="9"/>
    <x v="18"/>
    <s v="SE2A"/>
    <x v="6"/>
    <x v="7"/>
    <s v="GNR_RES_WTR_NOPMP_MC-06"/>
    <x v="0"/>
    <x v="17"/>
    <n v="515.485221835787"/>
    <n v="188152.105970062"/>
    <n v="677347.58149222401"/>
  </r>
  <r>
    <x v="0"/>
    <x v="0"/>
    <x v="0"/>
    <x v="9"/>
    <x v="18"/>
    <s v="SE2A"/>
    <x v="6"/>
    <x v="7"/>
    <s v="GNR_RES_WTR_NOPMP_MC-06"/>
    <x v="0"/>
    <x v="18"/>
    <n v="515.485221835787"/>
    <n v="188152.105970062"/>
    <n v="677347.58149222401"/>
  </r>
  <r>
    <x v="0"/>
    <x v="0"/>
    <x v="0"/>
    <x v="9"/>
    <x v="18"/>
    <s v="SE2A"/>
    <x v="6"/>
    <x v="7"/>
    <s v="GNR_RES_WTR_NOPMP_MC-06"/>
    <x v="0"/>
    <x v="19"/>
    <n v="515.485221835787"/>
    <n v="188152.105970062"/>
    <n v="677347.58149222401"/>
  </r>
  <r>
    <x v="0"/>
    <x v="0"/>
    <x v="0"/>
    <x v="9"/>
    <x v="18"/>
    <s v="SE2A"/>
    <x v="6"/>
    <x v="7"/>
    <s v="GNR_RES_WTR_NOPMP_MC-07"/>
    <x v="0"/>
    <x v="0"/>
    <n v="515.485221835787"/>
    <n v="188152.105970062"/>
    <n v="677347.58149222401"/>
  </r>
  <r>
    <x v="0"/>
    <x v="0"/>
    <x v="0"/>
    <x v="9"/>
    <x v="18"/>
    <s v="SE2A"/>
    <x v="6"/>
    <x v="7"/>
    <s v="GNR_RES_WTR_NOPMP_MC-07"/>
    <x v="0"/>
    <x v="1"/>
    <n v="515.485221835787"/>
    <n v="188152.105970062"/>
    <n v="677347.58149222401"/>
  </r>
  <r>
    <x v="0"/>
    <x v="0"/>
    <x v="0"/>
    <x v="9"/>
    <x v="18"/>
    <s v="SE2A"/>
    <x v="6"/>
    <x v="7"/>
    <s v="GNR_RES_WTR_NOPMP_MC-07"/>
    <x v="0"/>
    <x v="2"/>
    <n v="515.485221835787"/>
    <n v="188152.105970062"/>
    <n v="677347.58149222401"/>
  </r>
  <r>
    <x v="0"/>
    <x v="0"/>
    <x v="0"/>
    <x v="9"/>
    <x v="18"/>
    <s v="SE2A"/>
    <x v="6"/>
    <x v="7"/>
    <s v="GNR_RES_WTR_NOPMP_MC-07"/>
    <x v="0"/>
    <x v="9"/>
    <n v="515.485221835787"/>
    <n v="188152.105970062"/>
    <n v="677347.58149222401"/>
  </r>
  <r>
    <x v="0"/>
    <x v="0"/>
    <x v="0"/>
    <x v="9"/>
    <x v="18"/>
    <s v="SE2A"/>
    <x v="6"/>
    <x v="7"/>
    <s v="GNR_RES_WTR_NOPMP_MC-07"/>
    <x v="0"/>
    <x v="10"/>
    <n v="515.485221835787"/>
    <n v="188152.105970062"/>
    <n v="677347.58149222401"/>
  </r>
  <r>
    <x v="0"/>
    <x v="0"/>
    <x v="0"/>
    <x v="9"/>
    <x v="18"/>
    <s v="SE2A"/>
    <x v="6"/>
    <x v="7"/>
    <s v="GNR_RES_WTR_NOPMP_MC-07"/>
    <x v="0"/>
    <x v="11"/>
    <n v="515.485221835787"/>
    <n v="188152.105970062"/>
    <n v="677347.58149222401"/>
  </r>
  <r>
    <x v="0"/>
    <x v="0"/>
    <x v="0"/>
    <x v="9"/>
    <x v="18"/>
    <s v="SE2A"/>
    <x v="6"/>
    <x v="7"/>
    <s v="GNR_RES_WTR_NOPMP_MC-07"/>
    <x v="0"/>
    <x v="12"/>
    <n v="515.485221835787"/>
    <n v="188152.105970062"/>
    <n v="677347.58149222401"/>
  </r>
  <r>
    <x v="0"/>
    <x v="0"/>
    <x v="0"/>
    <x v="9"/>
    <x v="18"/>
    <s v="SE2A"/>
    <x v="6"/>
    <x v="7"/>
    <s v="GNR_RES_WTR_NOPMP_MC-07"/>
    <x v="0"/>
    <x v="13"/>
    <n v="515.485221835787"/>
    <n v="188152.105970062"/>
    <n v="677347.58149222401"/>
  </r>
  <r>
    <x v="0"/>
    <x v="0"/>
    <x v="0"/>
    <x v="9"/>
    <x v="18"/>
    <s v="SE2A"/>
    <x v="6"/>
    <x v="7"/>
    <s v="GNR_RES_WTR_NOPMP_MC-07"/>
    <x v="0"/>
    <x v="14"/>
    <n v="515.485221835787"/>
    <n v="188152.105970062"/>
    <n v="677347.58149222401"/>
  </r>
  <r>
    <x v="0"/>
    <x v="0"/>
    <x v="0"/>
    <x v="9"/>
    <x v="18"/>
    <s v="SE2A"/>
    <x v="6"/>
    <x v="7"/>
    <s v="GNR_RES_WTR_NOPMP_MC-07"/>
    <x v="0"/>
    <x v="15"/>
    <n v="515.485221835787"/>
    <n v="188152.105970062"/>
    <n v="677347.58149222401"/>
  </r>
  <r>
    <x v="0"/>
    <x v="0"/>
    <x v="0"/>
    <x v="9"/>
    <x v="18"/>
    <s v="SE2A"/>
    <x v="6"/>
    <x v="7"/>
    <s v="GNR_RES_WTR_NOPMP_MC-07"/>
    <x v="0"/>
    <x v="16"/>
    <n v="515.485221835787"/>
    <n v="188152.105970062"/>
    <n v="677347.58149222401"/>
  </r>
  <r>
    <x v="0"/>
    <x v="0"/>
    <x v="0"/>
    <x v="9"/>
    <x v="18"/>
    <s v="SE2A"/>
    <x v="6"/>
    <x v="7"/>
    <s v="GNR_RES_WTR_NOPMP_MC-07"/>
    <x v="0"/>
    <x v="17"/>
    <n v="515.485221835787"/>
    <n v="188152.105970062"/>
    <n v="677347.58149222401"/>
  </r>
  <r>
    <x v="0"/>
    <x v="0"/>
    <x v="0"/>
    <x v="9"/>
    <x v="18"/>
    <s v="SE2A"/>
    <x v="6"/>
    <x v="7"/>
    <s v="GNR_RES_WTR_NOPMP_MC-07"/>
    <x v="0"/>
    <x v="18"/>
    <n v="515.485221835787"/>
    <n v="188152.105970062"/>
    <n v="677347.58149222401"/>
  </r>
  <r>
    <x v="0"/>
    <x v="0"/>
    <x v="0"/>
    <x v="9"/>
    <x v="18"/>
    <s v="SE2A"/>
    <x v="6"/>
    <x v="7"/>
    <s v="GNR_RES_WTR_NOPMP_MC-07"/>
    <x v="0"/>
    <x v="19"/>
    <n v="515.485221835787"/>
    <n v="188152.105970062"/>
    <n v="677347.58149222401"/>
  </r>
  <r>
    <x v="0"/>
    <x v="0"/>
    <x v="0"/>
    <x v="9"/>
    <x v="18"/>
    <s v="SE2A"/>
    <x v="6"/>
    <x v="7"/>
    <s v="GNR_RES_WTR_NOPMP_MC-08"/>
    <x v="0"/>
    <x v="1"/>
    <n v="515.485221835787"/>
    <n v="188152.105970062"/>
    <n v="677347.58149222401"/>
  </r>
  <r>
    <x v="0"/>
    <x v="0"/>
    <x v="0"/>
    <x v="9"/>
    <x v="18"/>
    <s v="SE2A"/>
    <x v="6"/>
    <x v="7"/>
    <s v="GNR_RES_WTR_NOPMP_MC-08"/>
    <x v="0"/>
    <x v="2"/>
    <n v="515.485221835787"/>
    <n v="188152.105970062"/>
    <n v="677347.58149222401"/>
  </r>
  <r>
    <x v="0"/>
    <x v="0"/>
    <x v="0"/>
    <x v="9"/>
    <x v="18"/>
    <s v="SE2A"/>
    <x v="6"/>
    <x v="7"/>
    <s v="GNR_RES_WTR_NOPMP_MC-08"/>
    <x v="0"/>
    <x v="9"/>
    <n v="515.485221835787"/>
    <n v="188152.105970062"/>
    <n v="677347.58149222401"/>
  </r>
  <r>
    <x v="0"/>
    <x v="0"/>
    <x v="0"/>
    <x v="9"/>
    <x v="18"/>
    <s v="SE2A"/>
    <x v="6"/>
    <x v="7"/>
    <s v="GNR_RES_WTR_NOPMP_MC-08"/>
    <x v="0"/>
    <x v="10"/>
    <n v="515.485221835787"/>
    <n v="188152.105970062"/>
    <n v="677347.58149222401"/>
  </r>
  <r>
    <x v="0"/>
    <x v="0"/>
    <x v="0"/>
    <x v="9"/>
    <x v="18"/>
    <s v="SE2A"/>
    <x v="6"/>
    <x v="7"/>
    <s v="GNR_RES_WTR_NOPMP_MC-08"/>
    <x v="0"/>
    <x v="11"/>
    <n v="515.485221835787"/>
    <n v="188152.105970062"/>
    <n v="677347.58149222401"/>
  </r>
  <r>
    <x v="0"/>
    <x v="0"/>
    <x v="0"/>
    <x v="9"/>
    <x v="18"/>
    <s v="SE2A"/>
    <x v="6"/>
    <x v="7"/>
    <s v="GNR_RES_WTR_NOPMP_MC-09"/>
    <x v="0"/>
    <x v="2"/>
    <n v="515.485221835787"/>
    <n v="188152.105970062"/>
    <n v="677347.58149222401"/>
  </r>
  <r>
    <x v="0"/>
    <x v="0"/>
    <x v="0"/>
    <x v="9"/>
    <x v="18"/>
    <s v="SE2A"/>
    <x v="6"/>
    <x v="7"/>
    <s v="GNR_RES_WTR_NOPMP_MC-09"/>
    <x v="0"/>
    <x v="9"/>
    <n v="295.617607074744"/>
    <n v="107900.426582282"/>
    <n v="388441.53569621302"/>
  </r>
  <r>
    <x v="0"/>
    <x v="0"/>
    <x v="0"/>
    <x v="9"/>
    <x v="18"/>
    <s v="SE2A"/>
    <x v="6"/>
    <x v="7"/>
    <s v="GNR_RES_WTR_PMP_MC-01"/>
    <x v="0"/>
    <x v="3"/>
    <n v="37.239006248145998"/>
    <n v="13592.237280573299"/>
    <n v="48932.054210063798"/>
  </r>
  <r>
    <x v="0"/>
    <x v="0"/>
    <x v="0"/>
    <x v="9"/>
    <x v="18"/>
    <s v="SE2A"/>
    <x v="6"/>
    <x v="7"/>
    <s v="GNR_RES_WTR_PMP_MC-01"/>
    <x v="0"/>
    <x v="4"/>
    <n v="108"/>
    <n v="39420"/>
    <n v="141912"/>
  </r>
  <r>
    <x v="0"/>
    <x v="0"/>
    <x v="0"/>
    <x v="9"/>
    <x v="18"/>
    <s v="SE2A"/>
    <x v="6"/>
    <x v="7"/>
    <s v="GNR_RES_WTR_PMP_MC-01"/>
    <x v="0"/>
    <x v="5"/>
    <n v="108"/>
    <n v="39420"/>
    <n v="141912"/>
  </r>
  <r>
    <x v="0"/>
    <x v="0"/>
    <x v="0"/>
    <x v="9"/>
    <x v="18"/>
    <s v="SE2A"/>
    <x v="6"/>
    <x v="7"/>
    <s v="GNR_RES_WTR_PMP_MC-01"/>
    <x v="0"/>
    <x v="6"/>
    <n v="108"/>
    <n v="39420"/>
    <n v="141912"/>
  </r>
  <r>
    <x v="0"/>
    <x v="0"/>
    <x v="0"/>
    <x v="9"/>
    <x v="18"/>
    <s v="SE2A"/>
    <x v="6"/>
    <x v="7"/>
    <s v="GNR_RES_WTR_PMP_MC-01"/>
    <x v="0"/>
    <x v="7"/>
    <n v="108"/>
    <n v="39420"/>
    <n v="141912"/>
  </r>
  <r>
    <x v="0"/>
    <x v="0"/>
    <x v="0"/>
    <x v="9"/>
    <x v="18"/>
    <s v="SE2A"/>
    <x v="6"/>
    <x v="7"/>
    <s v="GNR_RES_WTR_PMP_MC-01"/>
    <x v="0"/>
    <x v="8"/>
    <n v="108"/>
    <n v="39420"/>
    <n v="141912"/>
  </r>
  <r>
    <x v="0"/>
    <x v="0"/>
    <x v="0"/>
    <x v="9"/>
    <x v="18"/>
    <s v="SE2A"/>
    <x v="6"/>
    <x v="7"/>
    <s v="GNR_RES_WTR_PMP_MC-01"/>
    <x v="0"/>
    <x v="0"/>
    <n v="108"/>
    <n v="39420"/>
    <n v="141912"/>
  </r>
  <r>
    <x v="0"/>
    <x v="0"/>
    <x v="0"/>
    <x v="9"/>
    <x v="18"/>
    <s v="SE2A"/>
    <x v="6"/>
    <x v="7"/>
    <s v="GNR_RES_WTR_PMP_MC-01"/>
    <x v="0"/>
    <x v="1"/>
    <n v="108"/>
    <n v="39420"/>
    <n v="141912"/>
  </r>
  <r>
    <x v="0"/>
    <x v="0"/>
    <x v="0"/>
    <x v="9"/>
    <x v="18"/>
    <s v="SE2A"/>
    <x v="6"/>
    <x v="7"/>
    <s v="GNR_RES_WTR_PMP_MC-01"/>
    <x v="0"/>
    <x v="2"/>
    <n v="108"/>
    <n v="39420"/>
    <n v="141912"/>
  </r>
  <r>
    <x v="0"/>
    <x v="0"/>
    <x v="0"/>
    <x v="9"/>
    <x v="18"/>
    <s v="SE2A"/>
    <x v="6"/>
    <x v="7"/>
    <s v="GNR_RES_WTR_PMP_MC-01"/>
    <x v="0"/>
    <x v="9"/>
    <n v="108"/>
    <n v="39420"/>
    <n v="141912"/>
  </r>
  <r>
    <x v="0"/>
    <x v="0"/>
    <x v="0"/>
    <x v="9"/>
    <x v="18"/>
    <s v="SE2A"/>
    <x v="6"/>
    <x v="7"/>
    <s v="GNR_RES_WTR_PMP_MC-01"/>
    <x v="0"/>
    <x v="10"/>
    <n v="108"/>
    <n v="39420"/>
    <n v="141912"/>
  </r>
  <r>
    <x v="0"/>
    <x v="0"/>
    <x v="0"/>
    <x v="9"/>
    <x v="18"/>
    <s v="SE2A"/>
    <x v="6"/>
    <x v="7"/>
    <s v="GNR_RES_WTR_PMP_MC-01"/>
    <x v="0"/>
    <x v="11"/>
    <n v="108"/>
    <n v="39420"/>
    <n v="141912"/>
  </r>
  <r>
    <x v="0"/>
    <x v="0"/>
    <x v="0"/>
    <x v="9"/>
    <x v="18"/>
    <s v="SE2A"/>
    <x v="6"/>
    <x v="7"/>
    <s v="GNR_RES_WTR_PMP_MC-01"/>
    <x v="0"/>
    <x v="12"/>
    <n v="108"/>
    <n v="39420"/>
    <n v="141912"/>
  </r>
  <r>
    <x v="0"/>
    <x v="0"/>
    <x v="0"/>
    <x v="9"/>
    <x v="18"/>
    <s v="SE2A"/>
    <x v="6"/>
    <x v="7"/>
    <s v="GNR_RES_WTR_PMP_MC-01"/>
    <x v="0"/>
    <x v="13"/>
    <n v="108"/>
    <n v="39420"/>
    <n v="141912"/>
  </r>
  <r>
    <x v="0"/>
    <x v="0"/>
    <x v="0"/>
    <x v="9"/>
    <x v="18"/>
    <s v="SE2A"/>
    <x v="6"/>
    <x v="7"/>
    <s v="GNR_RES_WTR_PMP_MC-01"/>
    <x v="0"/>
    <x v="14"/>
    <n v="108"/>
    <n v="39420"/>
    <n v="141912"/>
  </r>
  <r>
    <x v="0"/>
    <x v="0"/>
    <x v="0"/>
    <x v="9"/>
    <x v="18"/>
    <s v="SE2A"/>
    <x v="6"/>
    <x v="7"/>
    <s v="GNR_RES_WTR_PMP_MC-01"/>
    <x v="0"/>
    <x v="15"/>
    <n v="108"/>
    <n v="39420"/>
    <n v="141912"/>
  </r>
  <r>
    <x v="0"/>
    <x v="0"/>
    <x v="0"/>
    <x v="9"/>
    <x v="18"/>
    <s v="SE2A"/>
    <x v="6"/>
    <x v="7"/>
    <s v="GNR_RES_WTR_PMP_MC-01"/>
    <x v="0"/>
    <x v="16"/>
    <n v="108"/>
    <n v="39420"/>
    <n v="141912"/>
  </r>
  <r>
    <x v="0"/>
    <x v="0"/>
    <x v="0"/>
    <x v="9"/>
    <x v="18"/>
    <s v="SE2A"/>
    <x v="6"/>
    <x v="7"/>
    <s v="GNR_RES_WTR_PMP_MC-01"/>
    <x v="0"/>
    <x v="17"/>
    <n v="108"/>
    <n v="39420"/>
    <n v="141912"/>
  </r>
  <r>
    <x v="0"/>
    <x v="0"/>
    <x v="0"/>
    <x v="9"/>
    <x v="18"/>
    <s v="SE2A"/>
    <x v="6"/>
    <x v="7"/>
    <s v="GNR_RES_WTR_PMP_MC-01"/>
    <x v="0"/>
    <x v="18"/>
    <n v="108"/>
    <n v="39420"/>
    <n v="141912"/>
  </r>
  <r>
    <x v="0"/>
    <x v="0"/>
    <x v="0"/>
    <x v="9"/>
    <x v="18"/>
    <s v="SE2A"/>
    <x v="6"/>
    <x v="7"/>
    <s v="GNR_RES_WTR_PMP_MC-01"/>
    <x v="0"/>
    <x v="19"/>
    <n v="108"/>
    <n v="39420"/>
    <n v="141912"/>
  </r>
  <r>
    <x v="0"/>
    <x v="0"/>
    <x v="0"/>
    <x v="9"/>
    <x v="18"/>
    <s v="SE2A"/>
    <x v="6"/>
    <x v="7"/>
    <s v="GNR_RES_WTR_PMP_MC-01"/>
    <x v="0"/>
    <x v="20"/>
    <n v="108"/>
    <n v="39420"/>
    <n v="141912"/>
  </r>
  <r>
    <x v="0"/>
    <x v="0"/>
    <x v="0"/>
    <x v="9"/>
    <x v="18"/>
    <s v="SE2A"/>
    <x v="6"/>
    <x v="7"/>
    <s v="GNR_RES_WTR_PMP_MC-01"/>
    <x v="0"/>
    <x v="21"/>
    <n v="108"/>
    <n v="39420"/>
    <n v="141912"/>
  </r>
  <r>
    <x v="0"/>
    <x v="0"/>
    <x v="0"/>
    <x v="9"/>
    <x v="18"/>
    <s v="SE2A"/>
    <x v="6"/>
    <x v="7"/>
    <s v="GNR_RES_WTR_PMP_MC-01"/>
    <x v="0"/>
    <x v="22"/>
    <n v="108"/>
    <n v="39420"/>
    <n v="141912"/>
  </r>
  <r>
    <x v="0"/>
    <x v="0"/>
    <x v="0"/>
    <x v="9"/>
    <x v="18"/>
    <s v="SE2A"/>
    <x v="6"/>
    <x v="4"/>
    <s v="GNR_ROR_WTR"/>
    <x v="0"/>
    <x v="3"/>
    <n v="1671.24697052902"/>
    <n v="610005.14424309297"/>
    <n v="2196018.5192751298"/>
  </r>
  <r>
    <x v="0"/>
    <x v="0"/>
    <x v="0"/>
    <x v="9"/>
    <x v="18"/>
    <s v="SE2A"/>
    <x v="6"/>
    <x v="4"/>
    <s v="GNR_ROR_WTR"/>
    <x v="0"/>
    <x v="4"/>
    <n v="1671.24697052902"/>
    <n v="610005.14424309297"/>
    <n v="2196018.5192751298"/>
  </r>
  <r>
    <x v="0"/>
    <x v="0"/>
    <x v="0"/>
    <x v="9"/>
    <x v="18"/>
    <s v="SE2A"/>
    <x v="6"/>
    <x v="4"/>
    <s v="GNR_ROR_WTR"/>
    <x v="0"/>
    <x v="5"/>
    <n v="1671.24697052902"/>
    <n v="610005.14424309297"/>
    <n v="2196018.5192751298"/>
  </r>
  <r>
    <x v="0"/>
    <x v="0"/>
    <x v="0"/>
    <x v="9"/>
    <x v="18"/>
    <s v="SE2A"/>
    <x v="6"/>
    <x v="4"/>
    <s v="GNR_ROR_WTR"/>
    <x v="0"/>
    <x v="6"/>
    <n v="1671.24697052902"/>
    <n v="610005.14424309297"/>
    <n v="2196018.5192751298"/>
  </r>
  <r>
    <x v="0"/>
    <x v="0"/>
    <x v="0"/>
    <x v="9"/>
    <x v="18"/>
    <s v="SE2A"/>
    <x v="6"/>
    <x v="4"/>
    <s v="GNR_ROR_WTR"/>
    <x v="0"/>
    <x v="7"/>
    <n v="1671.24697052902"/>
    <n v="610005.14424309297"/>
    <n v="2196018.5192751298"/>
  </r>
  <r>
    <x v="0"/>
    <x v="0"/>
    <x v="0"/>
    <x v="9"/>
    <x v="18"/>
    <s v="SE2A"/>
    <x v="6"/>
    <x v="4"/>
    <s v="GNR_ROR_WTR"/>
    <x v="0"/>
    <x v="8"/>
    <n v="1671.24697052902"/>
    <n v="610005.14424309297"/>
    <n v="2196018.5192751298"/>
  </r>
  <r>
    <x v="0"/>
    <x v="0"/>
    <x v="0"/>
    <x v="9"/>
    <x v="18"/>
    <s v="SE2A"/>
    <x v="6"/>
    <x v="4"/>
    <s v="GNR_ROR_WTR"/>
    <x v="0"/>
    <x v="0"/>
    <n v="1671.24697052902"/>
    <n v="610005.14424309297"/>
    <n v="2196018.5192751298"/>
  </r>
  <r>
    <x v="0"/>
    <x v="0"/>
    <x v="0"/>
    <x v="9"/>
    <x v="18"/>
    <s v="SE2A"/>
    <x v="6"/>
    <x v="4"/>
    <s v="GNR_ROR_WTR"/>
    <x v="0"/>
    <x v="1"/>
    <n v="1671.24697052902"/>
    <n v="610005.14424309297"/>
    <n v="2196018.5192751298"/>
  </r>
  <r>
    <x v="0"/>
    <x v="0"/>
    <x v="0"/>
    <x v="9"/>
    <x v="18"/>
    <s v="SE2A"/>
    <x v="6"/>
    <x v="4"/>
    <s v="GNR_ROR_WTR"/>
    <x v="0"/>
    <x v="2"/>
    <n v="1671.24697052902"/>
    <n v="610005.14424309297"/>
    <n v="2196018.5192751298"/>
  </r>
  <r>
    <x v="0"/>
    <x v="0"/>
    <x v="0"/>
    <x v="9"/>
    <x v="18"/>
    <s v="SE2A"/>
    <x v="6"/>
    <x v="4"/>
    <s v="GNR_ROR_WTR"/>
    <x v="0"/>
    <x v="9"/>
    <n v="1671.24697052902"/>
    <n v="610005.14424309297"/>
    <n v="2196018.5192751298"/>
  </r>
  <r>
    <x v="0"/>
    <x v="0"/>
    <x v="0"/>
    <x v="9"/>
    <x v="18"/>
    <s v="SE2A"/>
    <x v="6"/>
    <x v="4"/>
    <s v="GNR_ROR_WTR"/>
    <x v="0"/>
    <x v="10"/>
    <n v="1671.24697052902"/>
    <n v="610005.14424309297"/>
    <n v="2196018.5192751298"/>
  </r>
  <r>
    <x v="0"/>
    <x v="0"/>
    <x v="0"/>
    <x v="9"/>
    <x v="18"/>
    <s v="SE2A"/>
    <x v="6"/>
    <x v="4"/>
    <s v="GNR_ROR_WTR"/>
    <x v="0"/>
    <x v="11"/>
    <n v="1671.24697052902"/>
    <n v="610005.14424309297"/>
    <n v="2196018.5192751298"/>
  </r>
  <r>
    <x v="0"/>
    <x v="0"/>
    <x v="0"/>
    <x v="9"/>
    <x v="18"/>
    <s v="SE2A"/>
    <x v="6"/>
    <x v="4"/>
    <s v="GNR_ROR_WTR"/>
    <x v="0"/>
    <x v="12"/>
    <n v="1671.24697052902"/>
    <n v="610005.14424309297"/>
    <n v="2196018.5192751298"/>
  </r>
  <r>
    <x v="0"/>
    <x v="0"/>
    <x v="0"/>
    <x v="9"/>
    <x v="18"/>
    <s v="SE2A"/>
    <x v="6"/>
    <x v="4"/>
    <s v="GNR_ROR_WTR"/>
    <x v="0"/>
    <x v="13"/>
    <n v="1671.24697052902"/>
    <n v="610005.14424309297"/>
    <n v="2196018.5192751298"/>
  </r>
  <r>
    <x v="0"/>
    <x v="0"/>
    <x v="0"/>
    <x v="9"/>
    <x v="18"/>
    <s v="SE2A"/>
    <x v="6"/>
    <x v="4"/>
    <s v="GNR_ROR_WTR"/>
    <x v="0"/>
    <x v="14"/>
    <n v="1671.24697052902"/>
    <n v="610005.14424309297"/>
    <n v="2196018.5192751298"/>
  </r>
  <r>
    <x v="0"/>
    <x v="0"/>
    <x v="0"/>
    <x v="9"/>
    <x v="18"/>
    <s v="SE2A"/>
    <x v="6"/>
    <x v="4"/>
    <s v="GNR_ROR_WTR"/>
    <x v="0"/>
    <x v="15"/>
    <n v="1671.24697052902"/>
    <n v="610005.14424309297"/>
    <n v="2196018.5192751298"/>
  </r>
  <r>
    <x v="0"/>
    <x v="0"/>
    <x v="0"/>
    <x v="9"/>
    <x v="18"/>
    <s v="SE2A"/>
    <x v="6"/>
    <x v="4"/>
    <s v="GNR_ROR_WTR"/>
    <x v="0"/>
    <x v="16"/>
    <n v="1671.24697052902"/>
    <n v="610005.14424309297"/>
    <n v="2196018.5192751298"/>
  </r>
  <r>
    <x v="0"/>
    <x v="0"/>
    <x v="0"/>
    <x v="9"/>
    <x v="18"/>
    <s v="SE2A"/>
    <x v="6"/>
    <x v="4"/>
    <s v="GNR_ROR_WTR"/>
    <x v="0"/>
    <x v="17"/>
    <n v="1671.24697052902"/>
    <n v="610005.14424309297"/>
    <n v="2196018.5192751298"/>
  </r>
  <r>
    <x v="0"/>
    <x v="0"/>
    <x v="0"/>
    <x v="9"/>
    <x v="18"/>
    <s v="SE2A"/>
    <x v="6"/>
    <x v="4"/>
    <s v="GNR_ROR_WTR"/>
    <x v="0"/>
    <x v="18"/>
    <n v="1671.24697052902"/>
    <n v="610005.14424309297"/>
    <n v="2196018.5192751298"/>
  </r>
  <r>
    <x v="0"/>
    <x v="0"/>
    <x v="0"/>
    <x v="9"/>
    <x v="18"/>
    <s v="SE2A"/>
    <x v="6"/>
    <x v="4"/>
    <s v="GNR_ROR_WTR"/>
    <x v="0"/>
    <x v="19"/>
    <n v="1671.24697052902"/>
    <n v="610005.14424309297"/>
    <n v="2196018.5192751298"/>
  </r>
  <r>
    <x v="0"/>
    <x v="0"/>
    <x v="0"/>
    <x v="9"/>
    <x v="18"/>
    <s v="SE2A"/>
    <x v="6"/>
    <x v="4"/>
    <s v="GNR_ROR_WTR"/>
    <x v="0"/>
    <x v="20"/>
    <n v="1671.24697052902"/>
    <n v="610005.14424309297"/>
    <n v="2196018.5192751298"/>
  </r>
  <r>
    <x v="0"/>
    <x v="0"/>
    <x v="0"/>
    <x v="9"/>
    <x v="18"/>
    <s v="SE2A"/>
    <x v="6"/>
    <x v="4"/>
    <s v="GNR_ROR_WTR"/>
    <x v="0"/>
    <x v="21"/>
    <n v="1671.24697052902"/>
    <n v="610005.14424309297"/>
    <n v="2196018.5192751298"/>
  </r>
  <r>
    <x v="0"/>
    <x v="0"/>
    <x v="0"/>
    <x v="9"/>
    <x v="18"/>
    <s v="SE2A"/>
    <x v="6"/>
    <x v="4"/>
    <s v="GNR_ROR_WTR"/>
    <x v="0"/>
    <x v="22"/>
    <n v="1671.24697052902"/>
    <n v="610005.14424309297"/>
    <n v="2196018.5192751298"/>
  </r>
  <r>
    <x v="0"/>
    <x v="0"/>
    <x v="0"/>
    <x v="9"/>
    <x v="18"/>
    <s v="SE2A"/>
    <x v="6"/>
    <x v="4"/>
    <s v="GNR_ROR_WTR"/>
    <x v="0"/>
    <x v="23"/>
    <n v="1671.24697052902"/>
    <n v="610005.14424309297"/>
    <n v="2196018.5192751298"/>
  </r>
  <r>
    <x v="0"/>
    <x v="0"/>
    <x v="0"/>
    <x v="9"/>
    <x v="18"/>
    <s v="SE2A"/>
    <x v="7"/>
    <x v="5"/>
    <s v="GNR_WT_WIND_ONS"/>
    <x v="0"/>
    <x v="3"/>
    <n v="323.22607996570002"/>
    <n v="117977.519187481"/>
    <n v="424719.06907492998"/>
  </r>
  <r>
    <x v="0"/>
    <x v="0"/>
    <x v="0"/>
    <x v="9"/>
    <x v="18"/>
    <s v="SE2A"/>
    <x v="7"/>
    <x v="5"/>
    <s v="GNR_WT_WIND_ONS"/>
    <x v="0"/>
    <x v="4"/>
    <n v="212.283689093021"/>
    <n v="77483.546518952702"/>
    <n v="278940.76746822998"/>
  </r>
  <r>
    <x v="0"/>
    <x v="0"/>
    <x v="0"/>
    <x v="9"/>
    <x v="18"/>
    <s v="SE2A"/>
    <x v="7"/>
    <x v="5"/>
    <s v="GNR_WT_WIND_ONS"/>
    <x v="0"/>
    <x v="5"/>
    <n v="208.699441105483"/>
    <n v="76175.296003501193"/>
    <n v="274231.06561260403"/>
  </r>
  <r>
    <x v="0"/>
    <x v="0"/>
    <x v="0"/>
    <x v="9"/>
    <x v="18"/>
    <s v="SE2A"/>
    <x v="7"/>
    <x v="5"/>
    <s v="GNR_WT_WIND_ONS"/>
    <x v="0"/>
    <x v="6"/>
    <n v="157.28210947579001"/>
    <n v="57407.969958663198"/>
    <n v="206668.69185118799"/>
  </r>
  <r>
    <x v="0"/>
    <x v="0"/>
    <x v="0"/>
    <x v="9"/>
    <x v="18"/>
    <s v="SE2A"/>
    <x v="7"/>
    <x v="5"/>
    <s v="GNR_WT_WIND_ONS"/>
    <x v="0"/>
    <x v="7"/>
    <n v="148.10720142365801"/>
    <n v="54059.128519635102"/>
    <n v="194612.86267068601"/>
  </r>
  <r>
    <x v="0"/>
    <x v="0"/>
    <x v="0"/>
    <x v="9"/>
    <x v="18"/>
    <s v="SE2A"/>
    <x v="7"/>
    <x v="5"/>
    <s v="GNR_WT_WIND_ONS"/>
    <x v="0"/>
    <x v="8"/>
    <n v="127.512722785104"/>
    <n v="46542.143816563097"/>
    <n v="167551.717739627"/>
  </r>
  <r>
    <x v="0"/>
    <x v="0"/>
    <x v="0"/>
    <x v="9"/>
    <x v="18"/>
    <s v="SE2A"/>
    <x v="7"/>
    <x v="5"/>
    <s v="GNR_WT_WIND_ONS"/>
    <x v="0"/>
    <x v="0"/>
    <n v="128.02462075021299"/>
    <n v="46728.986573827598"/>
    <n v="168224.35166577899"/>
  </r>
  <r>
    <x v="0"/>
    <x v="0"/>
    <x v="0"/>
    <x v="9"/>
    <x v="18"/>
    <s v="SE2A"/>
    <x v="7"/>
    <x v="5"/>
    <s v="GNR_WT_WIND_ONS"/>
    <x v="0"/>
    <x v="1"/>
    <n v="200.083841953269"/>
    <n v="73030.602312943302"/>
    <n v="262910.16832659597"/>
  </r>
  <r>
    <x v="0"/>
    <x v="0"/>
    <x v="0"/>
    <x v="9"/>
    <x v="18"/>
    <s v="SE2A"/>
    <x v="7"/>
    <x v="5"/>
    <s v="GNR_WT_WIND_ONS"/>
    <x v="0"/>
    <x v="2"/>
    <n v="309.96910443949503"/>
    <n v="113138.72312041601"/>
    <n v="407299.40323349601"/>
  </r>
  <r>
    <x v="0"/>
    <x v="0"/>
    <x v="0"/>
    <x v="9"/>
    <x v="18"/>
    <s v="SE2A"/>
    <x v="7"/>
    <x v="5"/>
    <s v="GNR_WT_WIND_ONS"/>
    <x v="0"/>
    <x v="9"/>
    <n v="416.58278821446999"/>
    <n v="152052.71769828201"/>
    <n v="547389.78371381399"/>
  </r>
  <r>
    <x v="0"/>
    <x v="0"/>
    <x v="0"/>
    <x v="9"/>
    <x v="18"/>
    <s v="SE2A"/>
    <x v="7"/>
    <x v="5"/>
    <s v="GNR_WT_WIND_ONS"/>
    <x v="0"/>
    <x v="10"/>
    <n v="596.65293781612502"/>
    <n v="217778.32230288599"/>
    <n v="784001.96029038797"/>
  </r>
  <r>
    <x v="0"/>
    <x v="0"/>
    <x v="0"/>
    <x v="9"/>
    <x v="18"/>
    <s v="SE2A"/>
    <x v="7"/>
    <x v="5"/>
    <s v="GNR_WT_WIND_ONS"/>
    <x v="0"/>
    <x v="11"/>
    <n v="865.62731566730895"/>
    <n v="315953.97021856799"/>
    <n v="1137434.2927868399"/>
  </r>
  <r>
    <x v="0"/>
    <x v="0"/>
    <x v="0"/>
    <x v="9"/>
    <x v="18"/>
    <s v="SE2A"/>
    <x v="7"/>
    <x v="5"/>
    <s v="GNR_WT_WIND_ONS"/>
    <x v="0"/>
    <x v="12"/>
    <n v="1025.00206439814"/>
    <n v="374125.75350532198"/>
    <n v="1346852.7126191601"/>
  </r>
  <r>
    <x v="0"/>
    <x v="0"/>
    <x v="0"/>
    <x v="9"/>
    <x v="18"/>
    <s v="SE2A"/>
    <x v="7"/>
    <x v="5"/>
    <s v="GNR_WT_WIND_ONS"/>
    <x v="0"/>
    <x v="13"/>
    <n v="1075.28886710645"/>
    <n v="392480.43649385299"/>
    <n v="1412929.5713778699"/>
  </r>
  <r>
    <x v="0"/>
    <x v="0"/>
    <x v="0"/>
    <x v="9"/>
    <x v="18"/>
    <s v="SE2A"/>
    <x v="7"/>
    <x v="5"/>
    <s v="GNR_WT_WIND_ONS"/>
    <x v="0"/>
    <x v="14"/>
    <n v="1142.3571975898799"/>
    <n v="416960.377120308"/>
    <n v="1501057.3576331099"/>
  </r>
  <r>
    <x v="0"/>
    <x v="0"/>
    <x v="0"/>
    <x v="9"/>
    <x v="18"/>
    <s v="SE2A"/>
    <x v="7"/>
    <x v="5"/>
    <s v="GNR_WT_WIND_ONS"/>
    <x v="0"/>
    <x v="15"/>
    <n v="1252.24679479015"/>
    <n v="457070.08009840501"/>
    <n v="1645452.2883542599"/>
  </r>
  <r>
    <x v="0"/>
    <x v="0"/>
    <x v="0"/>
    <x v="9"/>
    <x v="18"/>
    <s v="SE2A"/>
    <x v="7"/>
    <x v="5"/>
    <s v="GNR_WT_WIND_ONS"/>
    <x v="0"/>
    <x v="16"/>
    <n v="1284.8997659173001"/>
    <n v="468988.41455981397"/>
    <n v="1688358.29241533"/>
  </r>
  <r>
    <x v="0"/>
    <x v="0"/>
    <x v="0"/>
    <x v="9"/>
    <x v="18"/>
    <s v="SE2A"/>
    <x v="7"/>
    <x v="5"/>
    <s v="GNR_WT_WIND_ONS"/>
    <x v="0"/>
    <x v="17"/>
    <n v="1073.6338564703501"/>
    <n v="391876.35761167901"/>
    <n v="1410754.88740204"/>
  </r>
  <r>
    <x v="0"/>
    <x v="0"/>
    <x v="0"/>
    <x v="9"/>
    <x v="18"/>
    <s v="SE2A"/>
    <x v="7"/>
    <x v="5"/>
    <s v="GNR_WT_WIND_ONS"/>
    <x v="0"/>
    <x v="18"/>
    <n v="1043.26696121227"/>
    <n v="380792.44084247999"/>
    <n v="1370852.7870329299"/>
  </r>
  <r>
    <x v="0"/>
    <x v="0"/>
    <x v="0"/>
    <x v="9"/>
    <x v="18"/>
    <s v="SE2A"/>
    <x v="7"/>
    <x v="5"/>
    <s v="GNR_WT_WIND_ONS"/>
    <x v="0"/>
    <x v="19"/>
    <n v="989.72014525819804"/>
    <n v="361247.853019242"/>
    <n v="1300492.27086927"/>
  </r>
  <r>
    <x v="0"/>
    <x v="0"/>
    <x v="0"/>
    <x v="9"/>
    <x v="18"/>
    <s v="SE2A"/>
    <x v="7"/>
    <x v="5"/>
    <s v="GNR_WT_WIND_ONS"/>
    <x v="0"/>
    <x v="20"/>
    <n v="966.27444306558095"/>
    <n v="352690.171718937"/>
    <n v="1269684.61818817"/>
  </r>
  <r>
    <x v="0"/>
    <x v="0"/>
    <x v="0"/>
    <x v="9"/>
    <x v="18"/>
    <s v="SE2A"/>
    <x v="7"/>
    <x v="5"/>
    <s v="GNR_WT_WIND_ONS"/>
    <x v="0"/>
    <x v="21"/>
    <n v="871.23493156376003"/>
    <n v="318000.75002077298"/>
    <n v="1144802.70007478"/>
  </r>
  <r>
    <x v="0"/>
    <x v="0"/>
    <x v="0"/>
    <x v="9"/>
    <x v="18"/>
    <s v="SE2A"/>
    <x v="7"/>
    <x v="5"/>
    <s v="GNR_WT_WIND_ONS"/>
    <x v="0"/>
    <x v="22"/>
    <n v="808.84275792924996"/>
    <n v="295227.606644176"/>
    <n v="1062819.38391903"/>
  </r>
  <r>
    <x v="0"/>
    <x v="0"/>
    <x v="0"/>
    <x v="9"/>
    <x v="18"/>
    <s v="SE2A"/>
    <x v="7"/>
    <x v="5"/>
    <s v="GNR_WT_WIND_ONS"/>
    <x v="0"/>
    <x v="23"/>
    <n v="658.21323872135304"/>
    <n v="240247.832133294"/>
    <n v="864892.19567985798"/>
  </r>
  <r>
    <x v="0"/>
    <x v="0"/>
    <x v="0"/>
    <x v="9"/>
    <x v="18"/>
    <s v="SE2A"/>
    <x v="11"/>
    <x v="1"/>
    <s v="GBPR_IND_BIO"/>
    <x v="0"/>
    <x v="0"/>
    <n v="364.7"/>
    <n v="133115.5"/>
    <n v="479215.8"/>
  </r>
  <r>
    <x v="0"/>
    <x v="0"/>
    <x v="0"/>
    <x v="9"/>
    <x v="18"/>
    <s v="SE2A"/>
    <x v="11"/>
    <x v="1"/>
    <s v="GBPR_IND_BIO"/>
    <x v="0"/>
    <x v="1"/>
    <n v="364.7"/>
    <n v="133115.5"/>
    <n v="479215.8"/>
  </r>
  <r>
    <x v="0"/>
    <x v="0"/>
    <x v="0"/>
    <x v="9"/>
    <x v="18"/>
    <s v="SE2A"/>
    <x v="11"/>
    <x v="1"/>
    <s v="GBPR_IND_BIO"/>
    <x v="0"/>
    <x v="2"/>
    <n v="364.7"/>
    <n v="133115.5"/>
    <n v="479215.8"/>
  </r>
  <r>
    <x v="0"/>
    <x v="0"/>
    <x v="0"/>
    <x v="9"/>
    <x v="18"/>
    <s v="SE2A"/>
    <x v="11"/>
    <x v="1"/>
    <s v="GBPR_IND_BIO"/>
    <x v="0"/>
    <x v="9"/>
    <n v="364.7"/>
    <n v="133115.5"/>
    <n v="479215.8"/>
  </r>
  <r>
    <x v="0"/>
    <x v="0"/>
    <x v="0"/>
    <x v="9"/>
    <x v="18"/>
    <s v="SE2A"/>
    <x v="11"/>
    <x v="1"/>
    <s v="GBPR_IND_BIO"/>
    <x v="0"/>
    <x v="10"/>
    <n v="364.7"/>
    <n v="133115.5"/>
    <n v="479215.8"/>
  </r>
  <r>
    <x v="0"/>
    <x v="0"/>
    <x v="0"/>
    <x v="9"/>
    <x v="18"/>
    <s v="SE2A"/>
    <x v="11"/>
    <x v="1"/>
    <s v="GBPR_IND_BIO"/>
    <x v="0"/>
    <x v="11"/>
    <n v="364.7"/>
    <n v="133115.5"/>
    <n v="479215.8"/>
  </r>
  <r>
    <x v="0"/>
    <x v="0"/>
    <x v="0"/>
    <x v="9"/>
    <x v="18"/>
    <s v="SE2A"/>
    <x v="11"/>
    <x v="1"/>
    <s v="GBPR_IND_BIO"/>
    <x v="0"/>
    <x v="12"/>
    <n v="364.7"/>
    <n v="133115.5"/>
    <n v="479215.8"/>
  </r>
  <r>
    <x v="0"/>
    <x v="0"/>
    <x v="0"/>
    <x v="9"/>
    <x v="18"/>
    <s v="SE2A"/>
    <x v="11"/>
    <x v="1"/>
    <s v="GBPR_IND_BIO"/>
    <x v="0"/>
    <x v="13"/>
    <n v="364.7"/>
    <n v="133115.5"/>
    <n v="479215.8"/>
  </r>
  <r>
    <x v="0"/>
    <x v="0"/>
    <x v="0"/>
    <x v="9"/>
    <x v="18"/>
    <s v="SE2A"/>
    <x v="11"/>
    <x v="1"/>
    <s v="GBPR_IND_BIO"/>
    <x v="0"/>
    <x v="14"/>
    <n v="364.7"/>
    <n v="133115.5"/>
    <n v="479215.8"/>
  </r>
  <r>
    <x v="0"/>
    <x v="0"/>
    <x v="0"/>
    <x v="9"/>
    <x v="18"/>
    <s v="SE2A"/>
    <x v="11"/>
    <x v="1"/>
    <s v="GBPR_IND_BIO"/>
    <x v="0"/>
    <x v="15"/>
    <n v="364.7"/>
    <n v="133115.5"/>
    <n v="479215.8"/>
  </r>
  <r>
    <x v="0"/>
    <x v="0"/>
    <x v="0"/>
    <x v="9"/>
    <x v="18"/>
    <s v="SE2A"/>
    <x v="11"/>
    <x v="1"/>
    <s v="GBPR_IND_BIO"/>
    <x v="0"/>
    <x v="16"/>
    <n v="364.7"/>
    <n v="133115.5"/>
    <n v="479215.8"/>
  </r>
  <r>
    <x v="0"/>
    <x v="0"/>
    <x v="0"/>
    <x v="9"/>
    <x v="18"/>
    <s v="SE2A"/>
    <x v="11"/>
    <x v="1"/>
    <s v="GBPR_IND_BIO"/>
    <x v="0"/>
    <x v="17"/>
    <n v="364.7"/>
    <n v="133115.5"/>
    <n v="479215.8"/>
  </r>
  <r>
    <x v="0"/>
    <x v="0"/>
    <x v="0"/>
    <x v="9"/>
    <x v="18"/>
    <s v="SE2A"/>
    <x v="11"/>
    <x v="1"/>
    <s v="GBPR_IND_BIO"/>
    <x v="0"/>
    <x v="18"/>
    <n v="364.7"/>
    <n v="133115.5"/>
    <n v="479215.8"/>
  </r>
  <r>
    <x v="0"/>
    <x v="0"/>
    <x v="0"/>
    <x v="9"/>
    <x v="18"/>
    <s v="SE2A"/>
    <x v="11"/>
    <x v="1"/>
    <s v="GBPR_IND_BIO"/>
    <x v="0"/>
    <x v="19"/>
    <n v="364.7"/>
    <n v="133115.5"/>
    <n v="479215.8"/>
  </r>
  <r>
    <x v="0"/>
    <x v="0"/>
    <x v="0"/>
    <x v="9"/>
    <x v="18"/>
    <s v="SE2_EL"/>
    <x v="1"/>
    <x v="1"/>
    <s v="GBPR_MUNIWASTE_24"/>
    <x v="0"/>
    <x v="3"/>
    <n v="41.725879512812497"/>
    <n v="15229.9460221766"/>
    <n v="54827.805679835597"/>
  </r>
  <r>
    <x v="0"/>
    <x v="0"/>
    <x v="0"/>
    <x v="9"/>
    <x v="18"/>
    <s v="SE2_EL"/>
    <x v="1"/>
    <x v="1"/>
    <s v="GBPR_MUNIWASTE_24"/>
    <x v="0"/>
    <x v="4"/>
    <n v="41.725879512812497"/>
    <n v="15229.9460221766"/>
    <n v="54827.805679835597"/>
  </r>
  <r>
    <x v="0"/>
    <x v="0"/>
    <x v="0"/>
    <x v="9"/>
    <x v="18"/>
    <s v="SE2_EL"/>
    <x v="1"/>
    <x v="1"/>
    <s v="GBPR_MUNIWASTE_24"/>
    <x v="0"/>
    <x v="5"/>
    <n v="41.725879512812497"/>
    <n v="15229.9460221766"/>
    <n v="54827.805679835597"/>
  </r>
  <r>
    <x v="0"/>
    <x v="0"/>
    <x v="0"/>
    <x v="9"/>
    <x v="18"/>
    <s v="SE2_EL"/>
    <x v="1"/>
    <x v="1"/>
    <s v="GBPR_MUNIWASTE_24"/>
    <x v="0"/>
    <x v="6"/>
    <n v="41.725879512812497"/>
    <n v="15229.9460221766"/>
    <n v="54827.805679835597"/>
  </r>
  <r>
    <x v="0"/>
    <x v="0"/>
    <x v="0"/>
    <x v="9"/>
    <x v="18"/>
    <s v="SE2_EL"/>
    <x v="1"/>
    <x v="1"/>
    <s v="GBPR_MUNIWASTE_24"/>
    <x v="0"/>
    <x v="7"/>
    <n v="41.725879512812497"/>
    <n v="15229.9460221766"/>
    <n v="54827.805679835597"/>
  </r>
  <r>
    <x v="0"/>
    <x v="0"/>
    <x v="0"/>
    <x v="9"/>
    <x v="18"/>
    <s v="SE2_EL"/>
    <x v="1"/>
    <x v="1"/>
    <s v="GBPR_MUNIWASTE_24"/>
    <x v="0"/>
    <x v="8"/>
    <n v="41.725879512812497"/>
    <n v="15229.9460221766"/>
    <n v="54827.805679835597"/>
  </r>
  <r>
    <x v="0"/>
    <x v="0"/>
    <x v="0"/>
    <x v="9"/>
    <x v="18"/>
    <s v="SE2_EL"/>
    <x v="1"/>
    <x v="1"/>
    <s v="GBPR_MUNIWASTE_24"/>
    <x v="0"/>
    <x v="0"/>
    <n v="41.725879512812497"/>
    <n v="15229.9460221766"/>
    <n v="54827.805679835597"/>
  </r>
  <r>
    <x v="0"/>
    <x v="0"/>
    <x v="0"/>
    <x v="9"/>
    <x v="18"/>
    <s v="SE2_EL"/>
    <x v="1"/>
    <x v="1"/>
    <s v="GBPR_MUNIWASTE_24"/>
    <x v="0"/>
    <x v="1"/>
    <n v="41.725879512812497"/>
    <n v="15229.9460221766"/>
    <n v="54827.805679835597"/>
  </r>
  <r>
    <x v="0"/>
    <x v="0"/>
    <x v="0"/>
    <x v="9"/>
    <x v="18"/>
    <s v="SE2_EL"/>
    <x v="1"/>
    <x v="1"/>
    <s v="GBPR_MUNIWASTE_24"/>
    <x v="0"/>
    <x v="2"/>
    <n v="41.725879512812497"/>
    <n v="15229.9460221766"/>
    <n v="54827.805679835597"/>
  </r>
  <r>
    <x v="0"/>
    <x v="0"/>
    <x v="0"/>
    <x v="9"/>
    <x v="18"/>
    <s v="SE2_EL"/>
    <x v="1"/>
    <x v="1"/>
    <s v="GBPR_MUNIWASTE_24"/>
    <x v="0"/>
    <x v="9"/>
    <n v="41.725879512812497"/>
    <n v="15229.9460221766"/>
    <n v="54827.805679835597"/>
  </r>
  <r>
    <x v="0"/>
    <x v="0"/>
    <x v="0"/>
    <x v="9"/>
    <x v="18"/>
    <s v="SE2_EL"/>
    <x v="1"/>
    <x v="1"/>
    <s v="GBPR_MUNIWASTE_24"/>
    <x v="0"/>
    <x v="10"/>
    <n v="41.725879512812497"/>
    <n v="15229.9460221766"/>
    <n v="54827.805679835597"/>
  </r>
  <r>
    <x v="0"/>
    <x v="0"/>
    <x v="0"/>
    <x v="9"/>
    <x v="18"/>
    <s v="SE2_EL"/>
    <x v="1"/>
    <x v="1"/>
    <s v="GBPR_MUNIWASTE_24"/>
    <x v="0"/>
    <x v="11"/>
    <n v="41.725879512812497"/>
    <n v="15229.9460221766"/>
    <n v="54827.805679835597"/>
  </r>
  <r>
    <x v="0"/>
    <x v="0"/>
    <x v="0"/>
    <x v="9"/>
    <x v="18"/>
    <s v="SE2_EL"/>
    <x v="1"/>
    <x v="1"/>
    <s v="GBPR_MUNIWASTE_24"/>
    <x v="0"/>
    <x v="12"/>
    <n v="41.725879512812497"/>
    <n v="15229.9460221766"/>
    <n v="54827.805679835597"/>
  </r>
  <r>
    <x v="0"/>
    <x v="0"/>
    <x v="0"/>
    <x v="9"/>
    <x v="18"/>
    <s v="SE2_EL"/>
    <x v="1"/>
    <x v="1"/>
    <s v="GBPR_MUNIWASTE_24"/>
    <x v="0"/>
    <x v="13"/>
    <n v="41.725879512812497"/>
    <n v="15229.9460221766"/>
    <n v="54827.805679835597"/>
  </r>
  <r>
    <x v="0"/>
    <x v="0"/>
    <x v="0"/>
    <x v="9"/>
    <x v="18"/>
    <s v="SE2_EL"/>
    <x v="1"/>
    <x v="1"/>
    <s v="GBPR_MUNIWASTE_24"/>
    <x v="0"/>
    <x v="14"/>
    <n v="41.725879512812497"/>
    <n v="15229.9460221766"/>
    <n v="54827.805679835597"/>
  </r>
  <r>
    <x v="0"/>
    <x v="0"/>
    <x v="0"/>
    <x v="9"/>
    <x v="18"/>
    <s v="SE2_EL"/>
    <x v="1"/>
    <x v="1"/>
    <s v="GBPR_MUNIWASTE_24"/>
    <x v="0"/>
    <x v="15"/>
    <n v="41.725879512812497"/>
    <n v="15229.9460221766"/>
    <n v="54827.805679835597"/>
  </r>
  <r>
    <x v="0"/>
    <x v="0"/>
    <x v="0"/>
    <x v="9"/>
    <x v="18"/>
    <s v="SE2_EL"/>
    <x v="1"/>
    <x v="1"/>
    <s v="GBPR_MUNIWASTE_24"/>
    <x v="0"/>
    <x v="16"/>
    <n v="41.725879512812497"/>
    <n v="15229.9460221766"/>
    <n v="54827.805679835597"/>
  </r>
  <r>
    <x v="0"/>
    <x v="0"/>
    <x v="0"/>
    <x v="9"/>
    <x v="18"/>
    <s v="SE2_EL"/>
    <x v="1"/>
    <x v="1"/>
    <s v="GBPR_MUNIWASTE_24"/>
    <x v="0"/>
    <x v="17"/>
    <n v="41.725879512812497"/>
    <n v="15229.9460221766"/>
    <n v="54827.805679835597"/>
  </r>
  <r>
    <x v="0"/>
    <x v="0"/>
    <x v="0"/>
    <x v="9"/>
    <x v="18"/>
    <s v="SE2_EL"/>
    <x v="1"/>
    <x v="1"/>
    <s v="GBPR_MUNIWASTE_24"/>
    <x v="0"/>
    <x v="18"/>
    <n v="41.725879512812497"/>
    <n v="15229.9460221766"/>
    <n v="54827.805679835597"/>
  </r>
  <r>
    <x v="0"/>
    <x v="0"/>
    <x v="0"/>
    <x v="9"/>
    <x v="18"/>
    <s v="SE2_EL"/>
    <x v="1"/>
    <x v="1"/>
    <s v="GBPR_MUNIWASTE_24"/>
    <x v="0"/>
    <x v="19"/>
    <n v="41.725879512812497"/>
    <n v="15229.9460221766"/>
    <n v="54827.805679835597"/>
  </r>
  <r>
    <x v="0"/>
    <x v="0"/>
    <x v="0"/>
    <x v="9"/>
    <x v="18"/>
    <s v="SE2_EL"/>
    <x v="1"/>
    <x v="1"/>
    <s v="GBPR_MUNIWASTE_24"/>
    <x v="0"/>
    <x v="20"/>
    <n v="41.725879512812497"/>
    <n v="15229.9460221766"/>
    <n v="54827.805679835597"/>
  </r>
  <r>
    <x v="0"/>
    <x v="0"/>
    <x v="0"/>
    <x v="9"/>
    <x v="18"/>
    <s v="SE2_EL"/>
    <x v="1"/>
    <x v="1"/>
    <s v="GBPR_MUNIWASTE_24"/>
    <x v="0"/>
    <x v="21"/>
    <n v="41.725879512812497"/>
    <n v="15229.9460221766"/>
    <n v="54827.805679835597"/>
  </r>
  <r>
    <x v="0"/>
    <x v="0"/>
    <x v="0"/>
    <x v="9"/>
    <x v="18"/>
    <s v="SE2_EL"/>
    <x v="1"/>
    <x v="1"/>
    <s v="GBPR_MUNIWASTE_24"/>
    <x v="0"/>
    <x v="22"/>
    <n v="41.725879512812497"/>
    <n v="15229.9460221766"/>
    <n v="54827.805679835597"/>
  </r>
  <r>
    <x v="0"/>
    <x v="0"/>
    <x v="0"/>
    <x v="9"/>
    <x v="18"/>
    <s v="SE2_EL"/>
    <x v="1"/>
    <x v="1"/>
    <s v="GBPR_MUNIWASTE_24"/>
    <x v="0"/>
    <x v="23"/>
    <n v="41.725879512812497"/>
    <n v="15229.9460221766"/>
    <n v="54827.805679835597"/>
  </r>
  <r>
    <x v="0"/>
    <x v="0"/>
    <x v="0"/>
    <x v="9"/>
    <x v="18"/>
    <s v="SE2_EL"/>
    <x v="12"/>
    <x v="1"/>
    <s v="GBPR_WOODWASTE_25"/>
    <x v="0"/>
    <x v="3"/>
    <n v="46.255099219151198"/>
    <n v="16883.1112149902"/>
    <n v="60779.200373964697"/>
  </r>
  <r>
    <x v="0"/>
    <x v="0"/>
    <x v="0"/>
    <x v="9"/>
    <x v="18"/>
    <s v="SE2_EL"/>
    <x v="12"/>
    <x v="1"/>
    <s v="GBPR_WOODWASTE_25"/>
    <x v="0"/>
    <x v="4"/>
    <n v="46.255099219151198"/>
    <n v="16883.1112149902"/>
    <n v="60779.200373964697"/>
  </r>
  <r>
    <x v="0"/>
    <x v="0"/>
    <x v="0"/>
    <x v="9"/>
    <x v="18"/>
    <s v="SE2_EL"/>
    <x v="12"/>
    <x v="1"/>
    <s v="GBPR_WOODWASTE_25"/>
    <x v="0"/>
    <x v="5"/>
    <n v="46.255099219151198"/>
    <n v="16883.1112149902"/>
    <n v="60779.200373964697"/>
  </r>
  <r>
    <x v="0"/>
    <x v="0"/>
    <x v="0"/>
    <x v="9"/>
    <x v="18"/>
    <s v="SE2_EL"/>
    <x v="12"/>
    <x v="1"/>
    <s v="GBPR_WOODWASTE_25"/>
    <x v="0"/>
    <x v="6"/>
    <n v="46.255099219151198"/>
    <n v="16883.1112149902"/>
    <n v="60779.200373964697"/>
  </r>
  <r>
    <x v="0"/>
    <x v="0"/>
    <x v="0"/>
    <x v="9"/>
    <x v="18"/>
    <s v="SE2_EL"/>
    <x v="12"/>
    <x v="1"/>
    <s v="GBPR_WOODWASTE_25"/>
    <x v="0"/>
    <x v="7"/>
    <n v="46.255099219151198"/>
    <n v="16883.1112149902"/>
    <n v="60779.200373964697"/>
  </r>
  <r>
    <x v="0"/>
    <x v="0"/>
    <x v="0"/>
    <x v="9"/>
    <x v="18"/>
    <s v="SE2_EL"/>
    <x v="12"/>
    <x v="1"/>
    <s v="GBPR_WOODWASTE_25"/>
    <x v="0"/>
    <x v="8"/>
    <n v="46.255099219151198"/>
    <n v="16883.1112149902"/>
    <n v="60779.200373964697"/>
  </r>
  <r>
    <x v="0"/>
    <x v="0"/>
    <x v="0"/>
    <x v="9"/>
    <x v="18"/>
    <s v="SE2_EL"/>
    <x v="12"/>
    <x v="1"/>
    <s v="GBPR_WOODWASTE_25"/>
    <x v="0"/>
    <x v="0"/>
    <n v="46.255099219151198"/>
    <n v="16883.1112149902"/>
    <n v="60779.200373964697"/>
  </r>
  <r>
    <x v="0"/>
    <x v="0"/>
    <x v="0"/>
    <x v="9"/>
    <x v="18"/>
    <s v="SE2_EL"/>
    <x v="12"/>
    <x v="1"/>
    <s v="GBPR_WOODWASTE_25"/>
    <x v="0"/>
    <x v="1"/>
    <n v="46.255099219151198"/>
    <n v="16883.1112149902"/>
    <n v="60779.200373964697"/>
  </r>
  <r>
    <x v="0"/>
    <x v="0"/>
    <x v="0"/>
    <x v="9"/>
    <x v="18"/>
    <s v="SE2_EL"/>
    <x v="12"/>
    <x v="1"/>
    <s v="GBPR_WOODWASTE_25"/>
    <x v="0"/>
    <x v="2"/>
    <n v="46.255099219151198"/>
    <n v="16883.1112149902"/>
    <n v="60779.200373964697"/>
  </r>
  <r>
    <x v="0"/>
    <x v="0"/>
    <x v="0"/>
    <x v="9"/>
    <x v="18"/>
    <s v="SE2_EL"/>
    <x v="12"/>
    <x v="1"/>
    <s v="GBPR_WOODWASTE_25"/>
    <x v="0"/>
    <x v="9"/>
    <n v="46.255099219151198"/>
    <n v="16883.1112149902"/>
    <n v="60779.200373964697"/>
  </r>
  <r>
    <x v="0"/>
    <x v="0"/>
    <x v="0"/>
    <x v="9"/>
    <x v="18"/>
    <s v="SE2_EL"/>
    <x v="12"/>
    <x v="1"/>
    <s v="GBPR_WOODWASTE_25"/>
    <x v="0"/>
    <x v="10"/>
    <n v="46.255099219151198"/>
    <n v="16883.1112149902"/>
    <n v="60779.200373964697"/>
  </r>
  <r>
    <x v="0"/>
    <x v="0"/>
    <x v="0"/>
    <x v="9"/>
    <x v="18"/>
    <s v="SE2_EL"/>
    <x v="12"/>
    <x v="1"/>
    <s v="GBPR_WOODWASTE_25"/>
    <x v="0"/>
    <x v="11"/>
    <n v="46.255099219151198"/>
    <n v="16883.1112149902"/>
    <n v="60779.200373964697"/>
  </r>
  <r>
    <x v="0"/>
    <x v="0"/>
    <x v="0"/>
    <x v="9"/>
    <x v="18"/>
    <s v="SE2_EL"/>
    <x v="12"/>
    <x v="1"/>
    <s v="GBPR_WOODWASTE_25"/>
    <x v="0"/>
    <x v="12"/>
    <n v="46.255099219151198"/>
    <n v="16883.1112149902"/>
    <n v="60779.200373964697"/>
  </r>
  <r>
    <x v="0"/>
    <x v="0"/>
    <x v="0"/>
    <x v="9"/>
    <x v="18"/>
    <s v="SE2_EL"/>
    <x v="12"/>
    <x v="1"/>
    <s v="GBPR_WOODWASTE_25"/>
    <x v="0"/>
    <x v="13"/>
    <n v="46.255099219151198"/>
    <n v="16883.1112149902"/>
    <n v="60779.200373964697"/>
  </r>
  <r>
    <x v="0"/>
    <x v="0"/>
    <x v="0"/>
    <x v="9"/>
    <x v="18"/>
    <s v="SE2_EL"/>
    <x v="12"/>
    <x v="1"/>
    <s v="GBPR_WOODWASTE_25"/>
    <x v="0"/>
    <x v="14"/>
    <n v="46.255099219151198"/>
    <n v="16883.1112149902"/>
    <n v="60779.200373964697"/>
  </r>
  <r>
    <x v="0"/>
    <x v="0"/>
    <x v="0"/>
    <x v="9"/>
    <x v="18"/>
    <s v="SE2_EL"/>
    <x v="12"/>
    <x v="1"/>
    <s v="GBPR_WOODWASTE_25"/>
    <x v="0"/>
    <x v="15"/>
    <n v="46.255099219151198"/>
    <n v="16883.1112149902"/>
    <n v="60779.200373964697"/>
  </r>
  <r>
    <x v="0"/>
    <x v="0"/>
    <x v="0"/>
    <x v="9"/>
    <x v="18"/>
    <s v="SE2_EL"/>
    <x v="12"/>
    <x v="1"/>
    <s v="GBPR_WOODWASTE_25"/>
    <x v="0"/>
    <x v="16"/>
    <n v="46.255099219151198"/>
    <n v="16883.1112149902"/>
    <n v="60779.200373964697"/>
  </r>
  <r>
    <x v="0"/>
    <x v="0"/>
    <x v="0"/>
    <x v="9"/>
    <x v="18"/>
    <s v="SE2_EL"/>
    <x v="12"/>
    <x v="1"/>
    <s v="GBPR_WOODWASTE_25"/>
    <x v="0"/>
    <x v="17"/>
    <n v="46.255099219151198"/>
    <n v="16883.1112149902"/>
    <n v="60779.200373964697"/>
  </r>
  <r>
    <x v="0"/>
    <x v="0"/>
    <x v="0"/>
    <x v="9"/>
    <x v="18"/>
    <s v="SE2_EL"/>
    <x v="12"/>
    <x v="1"/>
    <s v="GBPR_WOODWASTE_25"/>
    <x v="0"/>
    <x v="18"/>
    <n v="46.255099219151198"/>
    <n v="16883.1112149902"/>
    <n v="60779.200373964697"/>
  </r>
  <r>
    <x v="0"/>
    <x v="0"/>
    <x v="0"/>
    <x v="9"/>
    <x v="18"/>
    <s v="SE2_EL"/>
    <x v="12"/>
    <x v="1"/>
    <s v="GBPR_WOODWASTE_25"/>
    <x v="0"/>
    <x v="19"/>
    <n v="46.255099219151198"/>
    <n v="16883.1112149902"/>
    <n v="60779.200373964697"/>
  </r>
  <r>
    <x v="0"/>
    <x v="0"/>
    <x v="0"/>
    <x v="9"/>
    <x v="18"/>
    <s v="SE2_EL"/>
    <x v="12"/>
    <x v="1"/>
    <s v="GBPR_WOODWASTE_25"/>
    <x v="0"/>
    <x v="20"/>
    <n v="46.255099219151198"/>
    <n v="16883.1112149902"/>
    <n v="60779.200373964697"/>
  </r>
  <r>
    <x v="0"/>
    <x v="0"/>
    <x v="0"/>
    <x v="9"/>
    <x v="18"/>
    <s v="SE2_EL"/>
    <x v="12"/>
    <x v="1"/>
    <s v="GBPR_WOODWASTE_25"/>
    <x v="0"/>
    <x v="21"/>
    <n v="46.255099219151198"/>
    <n v="16883.1112149902"/>
    <n v="60779.200373964697"/>
  </r>
  <r>
    <x v="0"/>
    <x v="0"/>
    <x v="0"/>
    <x v="9"/>
    <x v="18"/>
    <s v="SE2_EL"/>
    <x v="12"/>
    <x v="1"/>
    <s v="GBPR_WOODWASTE_25"/>
    <x v="0"/>
    <x v="22"/>
    <n v="46.255099219151198"/>
    <n v="16883.1112149902"/>
    <n v="60779.200373964697"/>
  </r>
  <r>
    <x v="0"/>
    <x v="0"/>
    <x v="0"/>
    <x v="9"/>
    <x v="18"/>
    <s v="SE2_EL"/>
    <x v="12"/>
    <x v="1"/>
    <s v="GBPR_WOODWASTE_25"/>
    <x v="0"/>
    <x v="23"/>
    <n v="46.255099219151198"/>
    <n v="16883.1112149902"/>
    <n v="60779.200373964697"/>
  </r>
  <r>
    <x v="0"/>
    <x v="0"/>
    <x v="0"/>
    <x v="9"/>
    <x v="18"/>
    <s v="SE2_EL"/>
    <x v="12"/>
    <x v="0"/>
    <s v="GEXT_WOODWASTE_HORNEBORG"/>
    <x v="0"/>
    <x v="3"/>
    <n v="33.884238178634"/>
    <n v="12367.7469352014"/>
    <n v="44523.888966724997"/>
  </r>
  <r>
    <x v="0"/>
    <x v="0"/>
    <x v="0"/>
    <x v="9"/>
    <x v="18"/>
    <s v="SE2_EL"/>
    <x v="12"/>
    <x v="0"/>
    <s v="GEXT_WOODWASTE_HORNEBORG"/>
    <x v="0"/>
    <x v="4"/>
    <n v="33.884238178634"/>
    <n v="12367.7469352014"/>
    <n v="44523.888966724997"/>
  </r>
  <r>
    <x v="0"/>
    <x v="0"/>
    <x v="0"/>
    <x v="9"/>
    <x v="18"/>
    <s v="SE2_EL"/>
    <x v="12"/>
    <x v="0"/>
    <s v="GEXT_WOODWASTE_HORNEBORG"/>
    <x v="0"/>
    <x v="5"/>
    <n v="33.884238178634"/>
    <n v="12367.7469352014"/>
    <n v="44523.888966724997"/>
  </r>
  <r>
    <x v="0"/>
    <x v="0"/>
    <x v="0"/>
    <x v="9"/>
    <x v="18"/>
    <s v="SE2_EL"/>
    <x v="12"/>
    <x v="0"/>
    <s v="GEXT_WOODWASTE_HORNEBORG"/>
    <x v="0"/>
    <x v="6"/>
    <n v="33.884238178634"/>
    <n v="12367.7469352014"/>
    <n v="44523.888966724997"/>
  </r>
  <r>
    <x v="0"/>
    <x v="0"/>
    <x v="0"/>
    <x v="9"/>
    <x v="18"/>
    <s v="SE2_EL"/>
    <x v="12"/>
    <x v="0"/>
    <s v="GEXT_WOODWASTE_HORNEBORG"/>
    <x v="0"/>
    <x v="7"/>
    <n v="33.884238178634"/>
    <n v="12367.7469352014"/>
    <n v="44523.888966724997"/>
  </r>
  <r>
    <x v="0"/>
    <x v="0"/>
    <x v="0"/>
    <x v="9"/>
    <x v="18"/>
    <s v="SE2_EL"/>
    <x v="12"/>
    <x v="0"/>
    <s v="GEXT_WOODWASTE_HORNEBORG"/>
    <x v="0"/>
    <x v="8"/>
    <n v="33.884238178634"/>
    <n v="12367.7469352014"/>
    <n v="44523.888966724997"/>
  </r>
  <r>
    <x v="0"/>
    <x v="0"/>
    <x v="0"/>
    <x v="9"/>
    <x v="18"/>
    <s v="SE2_EL"/>
    <x v="12"/>
    <x v="0"/>
    <s v="GEXT_WOODWASTE_HORNEBORG"/>
    <x v="0"/>
    <x v="0"/>
    <n v="33.884238178634"/>
    <n v="12367.7469352014"/>
    <n v="44523.888966724997"/>
  </r>
  <r>
    <x v="0"/>
    <x v="0"/>
    <x v="0"/>
    <x v="9"/>
    <x v="18"/>
    <s v="SE2_EL"/>
    <x v="12"/>
    <x v="0"/>
    <s v="GEXT_WOODWASTE_HORNEBORG"/>
    <x v="0"/>
    <x v="1"/>
    <n v="33.884238178634"/>
    <n v="12367.7469352014"/>
    <n v="44523.888966724997"/>
  </r>
  <r>
    <x v="0"/>
    <x v="0"/>
    <x v="0"/>
    <x v="9"/>
    <x v="18"/>
    <s v="SE2_EL"/>
    <x v="12"/>
    <x v="0"/>
    <s v="GEXT_WOODWASTE_HORNEBORG"/>
    <x v="0"/>
    <x v="2"/>
    <n v="33.884238178634"/>
    <n v="12367.7469352014"/>
    <n v="44523.888966724997"/>
  </r>
  <r>
    <x v="0"/>
    <x v="0"/>
    <x v="0"/>
    <x v="9"/>
    <x v="18"/>
    <s v="SE2_EL"/>
    <x v="12"/>
    <x v="0"/>
    <s v="GEXT_WOODWASTE_HORNEBORG"/>
    <x v="0"/>
    <x v="9"/>
    <n v="33.884238178634"/>
    <n v="12367.7469352014"/>
    <n v="44523.888966724997"/>
  </r>
  <r>
    <x v="0"/>
    <x v="0"/>
    <x v="0"/>
    <x v="9"/>
    <x v="18"/>
    <s v="SE2_EL"/>
    <x v="12"/>
    <x v="0"/>
    <s v="GEXT_WOODWASTE_HORNEBORG"/>
    <x v="0"/>
    <x v="10"/>
    <n v="33.884238178634"/>
    <n v="12367.7469352014"/>
    <n v="44523.888966724997"/>
  </r>
  <r>
    <x v="0"/>
    <x v="0"/>
    <x v="0"/>
    <x v="9"/>
    <x v="18"/>
    <s v="SE2_EL"/>
    <x v="12"/>
    <x v="0"/>
    <s v="GEXT_WOODWASTE_HORNEBORG"/>
    <x v="0"/>
    <x v="11"/>
    <n v="33.884238178634"/>
    <n v="12367.7469352014"/>
    <n v="44523.888966724997"/>
  </r>
  <r>
    <x v="0"/>
    <x v="0"/>
    <x v="0"/>
    <x v="9"/>
    <x v="18"/>
    <s v="SE2_EL"/>
    <x v="12"/>
    <x v="0"/>
    <s v="GEXT_WOODWASTE_HORNEBORG"/>
    <x v="0"/>
    <x v="12"/>
    <n v="33.884238178634"/>
    <n v="12367.7469352014"/>
    <n v="44523.888966724997"/>
  </r>
  <r>
    <x v="0"/>
    <x v="0"/>
    <x v="0"/>
    <x v="9"/>
    <x v="18"/>
    <s v="SE2_EL"/>
    <x v="12"/>
    <x v="0"/>
    <s v="GEXT_WOODWASTE_HORNEBORG"/>
    <x v="0"/>
    <x v="13"/>
    <n v="33.884238178634"/>
    <n v="12367.7469352014"/>
    <n v="44523.888966724997"/>
  </r>
  <r>
    <x v="0"/>
    <x v="0"/>
    <x v="0"/>
    <x v="9"/>
    <x v="18"/>
    <s v="SE2_EL"/>
    <x v="12"/>
    <x v="0"/>
    <s v="GEXT_WOODWASTE_HORNEBORG"/>
    <x v="0"/>
    <x v="14"/>
    <n v="33.884238178634"/>
    <n v="12367.7469352014"/>
    <n v="44523.888966724997"/>
  </r>
  <r>
    <x v="0"/>
    <x v="0"/>
    <x v="0"/>
    <x v="9"/>
    <x v="18"/>
    <s v="SE2_EL"/>
    <x v="12"/>
    <x v="0"/>
    <s v="GEXT_WOODWASTE_HORNEBORG"/>
    <x v="0"/>
    <x v="15"/>
    <n v="33.884238178634"/>
    <n v="12367.7469352014"/>
    <n v="44523.888966724997"/>
  </r>
  <r>
    <x v="0"/>
    <x v="0"/>
    <x v="0"/>
    <x v="9"/>
    <x v="18"/>
    <s v="SE2_EL"/>
    <x v="12"/>
    <x v="0"/>
    <s v="GEXT_WOODWASTE_HORNEBORG"/>
    <x v="0"/>
    <x v="16"/>
    <n v="33.884238178634"/>
    <n v="12367.7469352014"/>
    <n v="44523.888966724997"/>
  </r>
  <r>
    <x v="0"/>
    <x v="0"/>
    <x v="0"/>
    <x v="9"/>
    <x v="18"/>
    <s v="SE2_EL"/>
    <x v="12"/>
    <x v="0"/>
    <s v="GEXT_WOODWASTE_HORNEBORG"/>
    <x v="0"/>
    <x v="17"/>
    <n v="33.884238178634"/>
    <n v="12367.7469352014"/>
    <n v="44523.888966724997"/>
  </r>
  <r>
    <x v="0"/>
    <x v="0"/>
    <x v="0"/>
    <x v="9"/>
    <x v="18"/>
    <s v="SE2_EL"/>
    <x v="12"/>
    <x v="0"/>
    <s v="GEXT_WOODWASTE_HORNEBORG"/>
    <x v="0"/>
    <x v="18"/>
    <n v="33.884238178634"/>
    <n v="12367.7469352014"/>
    <n v="44523.888966724997"/>
  </r>
  <r>
    <x v="0"/>
    <x v="0"/>
    <x v="0"/>
    <x v="9"/>
    <x v="18"/>
    <s v="SE2_EL"/>
    <x v="12"/>
    <x v="0"/>
    <s v="GEXT_WOODWASTE_HORNEBORG"/>
    <x v="0"/>
    <x v="19"/>
    <n v="33.884238178634"/>
    <n v="12367.7469352014"/>
    <n v="44523.888966724997"/>
  </r>
  <r>
    <x v="0"/>
    <x v="0"/>
    <x v="0"/>
    <x v="9"/>
    <x v="18"/>
    <s v="SE2_EL"/>
    <x v="12"/>
    <x v="0"/>
    <s v="GEXT_WOODWASTE_HORNEBORG"/>
    <x v="0"/>
    <x v="20"/>
    <n v="33.884238178634"/>
    <n v="12367.7469352014"/>
    <n v="44523.888966724997"/>
  </r>
  <r>
    <x v="0"/>
    <x v="0"/>
    <x v="0"/>
    <x v="9"/>
    <x v="18"/>
    <s v="SE2_EL"/>
    <x v="12"/>
    <x v="0"/>
    <s v="GEXT_WOODWASTE_HORNEBORG"/>
    <x v="0"/>
    <x v="21"/>
    <n v="33.884238178634"/>
    <n v="12367.7469352014"/>
    <n v="44523.888966724997"/>
  </r>
  <r>
    <x v="0"/>
    <x v="0"/>
    <x v="0"/>
    <x v="9"/>
    <x v="18"/>
    <s v="SE2_EL"/>
    <x v="12"/>
    <x v="0"/>
    <s v="GEXT_WOODWASTE_HORNEBORG"/>
    <x v="0"/>
    <x v="22"/>
    <n v="33.884238178634"/>
    <n v="12367.7469352014"/>
    <n v="44523.888966724997"/>
  </r>
  <r>
    <x v="0"/>
    <x v="0"/>
    <x v="0"/>
    <x v="9"/>
    <x v="18"/>
    <s v="SE2_EL"/>
    <x v="12"/>
    <x v="0"/>
    <s v="GEXT_WOODWASTE_HORNEBORG"/>
    <x v="0"/>
    <x v="23"/>
    <n v="33.884238178634"/>
    <n v="12367.7469352014"/>
    <n v="44523.888966724997"/>
  </r>
  <r>
    <x v="0"/>
    <x v="0"/>
    <x v="0"/>
    <x v="9"/>
    <x v="18"/>
    <s v="SE2_OTHER"/>
    <x v="1"/>
    <x v="1"/>
    <s v="GBPR_MUNIWASTE_24"/>
    <x v="0"/>
    <x v="3"/>
    <n v="3.1627952466180802"/>
    <n v="1154.4202650156001"/>
    <n v="4155.9129540561598"/>
  </r>
  <r>
    <x v="0"/>
    <x v="0"/>
    <x v="0"/>
    <x v="9"/>
    <x v="18"/>
    <s v="SE2_OTHER"/>
    <x v="1"/>
    <x v="1"/>
    <s v="GBPR_MUNIWASTE_24"/>
    <x v="0"/>
    <x v="4"/>
    <n v="3.1627952466180802"/>
    <n v="1154.4202650156001"/>
    <n v="4155.9129540561598"/>
  </r>
  <r>
    <x v="0"/>
    <x v="0"/>
    <x v="0"/>
    <x v="9"/>
    <x v="18"/>
    <s v="SE2_OTHER"/>
    <x v="1"/>
    <x v="1"/>
    <s v="GBPR_MUNIWASTE_24"/>
    <x v="0"/>
    <x v="5"/>
    <n v="3.1627952466180802"/>
    <n v="1154.4202650156001"/>
    <n v="4155.9129540561598"/>
  </r>
  <r>
    <x v="0"/>
    <x v="0"/>
    <x v="0"/>
    <x v="9"/>
    <x v="18"/>
    <s v="SE2_OTHER"/>
    <x v="1"/>
    <x v="1"/>
    <s v="GBPR_MUNIWASTE_24"/>
    <x v="0"/>
    <x v="6"/>
    <n v="3.1627952466180802"/>
    <n v="1154.4202650156001"/>
    <n v="4155.9129540561598"/>
  </r>
  <r>
    <x v="0"/>
    <x v="0"/>
    <x v="0"/>
    <x v="9"/>
    <x v="18"/>
    <s v="SE2_OTHER"/>
    <x v="1"/>
    <x v="1"/>
    <s v="GBPR_MUNIWASTE_24"/>
    <x v="0"/>
    <x v="7"/>
    <n v="3.1627952466180802"/>
    <n v="1154.4202650156001"/>
    <n v="4155.9129540561598"/>
  </r>
  <r>
    <x v="0"/>
    <x v="0"/>
    <x v="0"/>
    <x v="9"/>
    <x v="18"/>
    <s v="SE2_OTHER"/>
    <x v="1"/>
    <x v="1"/>
    <s v="GBPR_MUNIWASTE_24"/>
    <x v="0"/>
    <x v="8"/>
    <n v="3.1627952466180802"/>
    <n v="1154.4202650156001"/>
    <n v="4155.9129540561598"/>
  </r>
  <r>
    <x v="0"/>
    <x v="0"/>
    <x v="0"/>
    <x v="9"/>
    <x v="18"/>
    <s v="SE2_OTHER"/>
    <x v="1"/>
    <x v="1"/>
    <s v="GBPR_MUNIWASTE_24"/>
    <x v="0"/>
    <x v="0"/>
    <n v="3.1627952466180802"/>
    <n v="1154.4202650156001"/>
    <n v="4155.9129540561598"/>
  </r>
  <r>
    <x v="0"/>
    <x v="0"/>
    <x v="0"/>
    <x v="9"/>
    <x v="18"/>
    <s v="SE2_OTHER"/>
    <x v="1"/>
    <x v="1"/>
    <s v="GBPR_MUNIWASTE_24"/>
    <x v="0"/>
    <x v="1"/>
    <n v="3.1627952466180802"/>
    <n v="1154.4202650156001"/>
    <n v="4155.9129540561598"/>
  </r>
  <r>
    <x v="0"/>
    <x v="0"/>
    <x v="0"/>
    <x v="9"/>
    <x v="18"/>
    <s v="SE2_OTHER"/>
    <x v="1"/>
    <x v="1"/>
    <s v="GBPR_MUNIWASTE_24"/>
    <x v="0"/>
    <x v="2"/>
    <n v="3.1627952466180802"/>
    <n v="1154.4202650156001"/>
    <n v="4155.9129540561598"/>
  </r>
  <r>
    <x v="0"/>
    <x v="0"/>
    <x v="0"/>
    <x v="9"/>
    <x v="18"/>
    <s v="SE2_OTHER"/>
    <x v="1"/>
    <x v="1"/>
    <s v="GBPR_MUNIWASTE_24"/>
    <x v="0"/>
    <x v="9"/>
    <n v="3.1627952466180802"/>
    <n v="1154.4202650156001"/>
    <n v="4155.9129540561598"/>
  </r>
  <r>
    <x v="0"/>
    <x v="0"/>
    <x v="0"/>
    <x v="9"/>
    <x v="18"/>
    <s v="SE2_OTHER"/>
    <x v="1"/>
    <x v="1"/>
    <s v="GBPR_MUNIWASTE_24"/>
    <x v="0"/>
    <x v="10"/>
    <n v="3.1627952466180802"/>
    <n v="1154.4202650156001"/>
    <n v="4155.9129540561598"/>
  </r>
  <r>
    <x v="0"/>
    <x v="0"/>
    <x v="0"/>
    <x v="9"/>
    <x v="18"/>
    <s v="SE2_OTHER"/>
    <x v="1"/>
    <x v="1"/>
    <s v="GBPR_MUNIWASTE_24"/>
    <x v="0"/>
    <x v="11"/>
    <n v="3.1627952466180802"/>
    <n v="1154.4202650156001"/>
    <n v="4155.9129540561598"/>
  </r>
  <r>
    <x v="0"/>
    <x v="0"/>
    <x v="0"/>
    <x v="9"/>
    <x v="18"/>
    <s v="SE2_OTHER"/>
    <x v="1"/>
    <x v="1"/>
    <s v="GBPR_MUNIWASTE_24"/>
    <x v="0"/>
    <x v="12"/>
    <n v="3.1627952466180802"/>
    <n v="1154.4202650156001"/>
    <n v="4155.9129540561598"/>
  </r>
  <r>
    <x v="0"/>
    <x v="0"/>
    <x v="0"/>
    <x v="9"/>
    <x v="18"/>
    <s v="SE2_OTHER"/>
    <x v="1"/>
    <x v="1"/>
    <s v="GBPR_MUNIWASTE_24"/>
    <x v="0"/>
    <x v="13"/>
    <n v="3.1627952466180802"/>
    <n v="1154.4202650156001"/>
    <n v="4155.9129540561598"/>
  </r>
  <r>
    <x v="0"/>
    <x v="0"/>
    <x v="0"/>
    <x v="9"/>
    <x v="18"/>
    <s v="SE2_OTHER"/>
    <x v="1"/>
    <x v="1"/>
    <s v="GBPR_MUNIWASTE_24"/>
    <x v="0"/>
    <x v="14"/>
    <n v="3.1627952466180802"/>
    <n v="1154.4202650156001"/>
    <n v="4155.9129540561598"/>
  </r>
  <r>
    <x v="0"/>
    <x v="0"/>
    <x v="0"/>
    <x v="9"/>
    <x v="18"/>
    <s v="SE2_OTHER"/>
    <x v="1"/>
    <x v="1"/>
    <s v="GBPR_MUNIWASTE_24"/>
    <x v="0"/>
    <x v="15"/>
    <n v="3.1627952466180802"/>
    <n v="1154.4202650156001"/>
    <n v="4155.9129540561598"/>
  </r>
  <r>
    <x v="0"/>
    <x v="0"/>
    <x v="0"/>
    <x v="9"/>
    <x v="18"/>
    <s v="SE2_OTHER"/>
    <x v="1"/>
    <x v="1"/>
    <s v="GBPR_MUNIWASTE_24"/>
    <x v="0"/>
    <x v="16"/>
    <n v="3.1627952466180802"/>
    <n v="1154.4202650156001"/>
    <n v="4155.9129540561598"/>
  </r>
  <r>
    <x v="0"/>
    <x v="0"/>
    <x v="0"/>
    <x v="9"/>
    <x v="18"/>
    <s v="SE2_OTHER"/>
    <x v="1"/>
    <x v="1"/>
    <s v="GBPR_MUNIWASTE_24"/>
    <x v="0"/>
    <x v="17"/>
    <n v="3.1627952466180802"/>
    <n v="1154.4202650156001"/>
    <n v="4155.9129540561598"/>
  </r>
  <r>
    <x v="0"/>
    <x v="0"/>
    <x v="0"/>
    <x v="9"/>
    <x v="18"/>
    <s v="SE2_OTHER"/>
    <x v="1"/>
    <x v="1"/>
    <s v="GBPR_MUNIWASTE_24"/>
    <x v="0"/>
    <x v="18"/>
    <n v="3.1627952466180802"/>
    <n v="1154.4202650156001"/>
    <n v="4155.9129540561598"/>
  </r>
  <r>
    <x v="0"/>
    <x v="0"/>
    <x v="0"/>
    <x v="9"/>
    <x v="18"/>
    <s v="SE2_OTHER"/>
    <x v="1"/>
    <x v="1"/>
    <s v="GBPR_MUNIWASTE_24"/>
    <x v="0"/>
    <x v="19"/>
    <n v="3.1627952466180802"/>
    <n v="1154.4202650156001"/>
    <n v="4155.9129540561598"/>
  </r>
  <r>
    <x v="0"/>
    <x v="0"/>
    <x v="0"/>
    <x v="9"/>
    <x v="18"/>
    <s v="SE2_OTHER"/>
    <x v="1"/>
    <x v="1"/>
    <s v="GBPR_MUNIWASTE_24"/>
    <x v="0"/>
    <x v="20"/>
    <n v="3.1627952466180802"/>
    <n v="1154.4202650156001"/>
    <n v="4155.9129540561598"/>
  </r>
  <r>
    <x v="0"/>
    <x v="0"/>
    <x v="0"/>
    <x v="9"/>
    <x v="18"/>
    <s v="SE2_OTHER"/>
    <x v="1"/>
    <x v="1"/>
    <s v="GBPR_MUNIWASTE_24"/>
    <x v="0"/>
    <x v="21"/>
    <n v="3.1627952466180802"/>
    <n v="1154.4202650156001"/>
    <n v="4155.9129540561598"/>
  </r>
  <r>
    <x v="0"/>
    <x v="0"/>
    <x v="0"/>
    <x v="9"/>
    <x v="18"/>
    <s v="SE2_OTHER"/>
    <x v="1"/>
    <x v="1"/>
    <s v="GBPR_MUNIWASTE_24"/>
    <x v="0"/>
    <x v="22"/>
    <n v="3.1627952466180802"/>
    <n v="1154.4202650156001"/>
    <n v="4155.9129540561598"/>
  </r>
  <r>
    <x v="0"/>
    <x v="0"/>
    <x v="0"/>
    <x v="9"/>
    <x v="18"/>
    <s v="SE2_OTHER"/>
    <x v="1"/>
    <x v="1"/>
    <s v="GBPR_MUNIWASTE_24"/>
    <x v="0"/>
    <x v="23"/>
    <n v="3.1627952466180802"/>
    <n v="1154.4202650156001"/>
    <n v="4155.9129540561598"/>
  </r>
  <r>
    <x v="0"/>
    <x v="0"/>
    <x v="0"/>
    <x v="9"/>
    <x v="18"/>
    <s v="SE2_OTHER"/>
    <x v="12"/>
    <x v="1"/>
    <s v="GBPR_WOODWASTE_36"/>
    <x v="0"/>
    <x v="3"/>
    <n v="43.576919441298401"/>
    <n v="15905.575596073901"/>
    <n v="57260.072145866099"/>
  </r>
  <r>
    <x v="0"/>
    <x v="0"/>
    <x v="0"/>
    <x v="9"/>
    <x v="18"/>
    <s v="SE2_OTHER"/>
    <x v="12"/>
    <x v="1"/>
    <s v="GBPR_WOODWASTE_36"/>
    <x v="0"/>
    <x v="4"/>
    <n v="43.576919441298401"/>
    <n v="15905.575596073901"/>
    <n v="57260.072145866099"/>
  </r>
  <r>
    <x v="0"/>
    <x v="0"/>
    <x v="0"/>
    <x v="9"/>
    <x v="18"/>
    <s v="SE2_OTHER"/>
    <x v="12"/>
    <x v="1"/>
    <s v="GBPR_WOODWASTE_36"/>
    <x v="0"/>
    <x v="5"/>
    <n v="43.576919441298401"/>
    <n v="15905.575596073901"/>
    <n v="57260.072145866099"/>
  </r>
  <r>
    <x v="0"/>
    <x v="0"/>
    <x v="0"/>
    <x v="9"/>
    <x v="18"/>
    <s v="SE2_OTHER"/>
    <x v="12"/>
    <x v="1"/>
    <s v="GBPR_WOODWASTE_36"/>
    <x v="0"/>
    <x v="6"/>
    <n v="43.576919441298401"/>
    <n v="15905.575596073901"/>
    <n v="57260.072145866099"/>
  </r>
  <r>
    <x v="0"/>
    <x v="0"/>
    <x v="0"/>
    <x v="9"/>
    <x v="18"/>
    <s v="SE2_OTHER"/>
    <x v="12"/>
    <x v="1"/>
    <s v="GBPR_WOODWASTE_36"/>
    <x v="0"/>
    <x v="7"/>
    <n v="43.576919441298401"/>
    <n v="15905.575596073901"/>
    <n v="57260.072145866099"/>
  </r>
  <r>
    <x v="0"/>
    <x v="0"/>
    <x v="0"/>
    <x v="9"/>
    <x v="18"/>
    <s v="SE2_OTHER"/>
    <x v="12"/>
    <x v="1"/>
    <s v="GBPR_WOODWASTE_36"/>
    <x v="0"/>
    <x v="8"/>
    <n v="43.576919441298401"/>
    <n v="15905.575596073901"/>
    <n v="57260.072145866099"/>
  </r>
  <r>
    <x v="0"/>
    <x v="0"/>
    <x v="0"/>
    <x v="9"/>
    <x v="18"/>
    <s v="SE2_OTHER"/>
    <x v="12"/>
    <x v="1"/>
    <s v="GBPR_WOODWASTE_36"/>
    <x v="0"/>
    <x v="0"/>
    <n v="43.576919441298401"/>
    <n v="15905.575596073901"/>
    <n v="57260.072145866099"/>
  </r>
  <r>
    <x v="0"/>
    <x v="0"/>
    <x v="0"/>
    <x v="9"/>
    <x v="18"/>
    <s v="SE2_OTHER"/>
    <x v="12"/>
    <x v="1"/>
    <s v="GBPR_WOODWASTE_36"/>
    <x v="0"/>
    <x v="1"/>
    <n v="43.576919441298401"/>
    <n v="15905.575596073901"/>
    <n v="57260.072145866099"/>
  </r>
  <r>
    <x v="0"/>
    <x v="0"/>
    <x v="0"/>
    <x v="9"/>
    <x v="18"/>
    <s v="SE2_OTHER"/>
    <x v="12"/>
    <x v="1"/>
    <s v="GBPR_WOODWASTE_36"/>
    <x v="0"/>
    <x v="2"/>
    <n v="43.576919441298401"/>
    <n v="15905.575596073901"/>
    <n v="57260.072145866099"/>
  </r>
  <r>
    <x v="0"/>
    <x v="0"/>
    <x v="0"/>
    <x v="9"/>
    <x v="18"/>
    <s v="SE2_OTHER"/>
    <x v="12"/>
    <x v="1"/>
    <s v="GBPR_WOODWASTE_36"/>
    <x v="0"/>
    <x v="9"/>
    <n v="43.576919441298401"/>
    <n v="15905.575596073901"/>
    <n v="57260.072145866099"/>
  </r>
  <r>
    <x v="0"/>
    <x v="0"/>
    <x v="0"/>
    <x v="9"/>
    <x v="18"/>
    <s v="SE2_OTHER"/>
    <x v="12"/>
    <x v="1"/>
    <s v="GBPR_WOODWASTE_36"/>
    <x v="0"/>
    <x v="10"/>
    <n v="43.576919441298401"/>
    <n v="15905.575596073901"/>
    <n v="57260.072145866099"/>
  </r>
  <r>
    <x v="0"/>
    <x v="0"/>
    <x v="0"/>
    <x v="9"/>
    <x v="18"/>
    <s v="SE2_OTHER"/>
    <x v="12"/>
    <x v="1"/>
    <s v="GBPR_WOODWASTE_36"/>
    <x v="0"/>
    <x v="11"/>
    <n v="43.576919441298401"/>
    <n v="15905.575596073901"/>
    <n v="57260.072145866099"/>
  </r>
  <r>
    <x v="0"/>
    <x v="0"/>
    <x v="0"/>
    <x v="9"/>
    <x v="18"/>
    <s v="SE2_OTHER"/>
    <x v="12"/>
    <x v="1"/>
    <s v="GBPR_WOODWASTE_36"/>
    <x v="0"/>
    <x v="12"/>
    <n v="43.576919441298401"/>
    <n v="15905.575596073901"/>
    <n v="57260.072145866099"/>
  </r>
  <r>
    <x v="0"/>
    <x v="0"/>
    <x v="0"/>
    <x v="9"/>
    <x v="18"/>
    <s v="SE2_OTHER"/>
    <x v="12"/>
    <x v="1"/>
    <s v="GBPR_WOODWASTE_36"/>
    <x v="0"/>
    <x v="13"/>
    <n v="43.576919441298401"/>
    <n v="15905.575596073901"/>
    <n v="57260.072145866099"/>
  </r>
  <r>
    <x v="0"/>
    <x v="0"/>
    <x v="0"/>
    <x v="9"/>
    <x v="18"/>
    <s v="SE2_OTHER"/>
    <x v="12"/>
    <x v="1"/>
    <s v="GBPR_WOODWASTE_36"/>
    <x v="0"/>
    <x v="14"/>
    <n v="43.576919441298401"/>
    <n v="15905.575596073901"/>
    <n v="57260.072145866099"/>
  </r>
  <r>
    <x v="0"/>
    <x v="0"/>
    <x v="0"/>
    <x v="9"/>
    <x v="18"/>
    <s v="SE2_OTHER"/>
    <x v="12"/>
    <x v="1"/>
    <s v="GBPR_WOODWASTE_36"/>
    <x v="0"/>
    <x v="15"/>
    <n v="43.576919441298401"/>
    <n v="15905.575596073901"/>
    <n v="57260.072145866099"/>
  </r>
  <r>
    <x v="0"/>
    <x v="0"/>
    <x v="0"/>
    <x v="9"/>
    <x v="18"/>
    <s v="SE2_OTHER"/>
    <x v="12"/>
    <x v="1"/>
    <s v="GBPR_WOODWASTE_36"/>
    <x v="0"/>
    <x v="16"/>
    <n v="43.576919441298401"/>
    <n v="15905.575596073901"/>
    <n v="57260.072145866099"/>
  </r>
  <r>
    <x v="0"/>
    <x v="0"/>
    <x v="0"/>
    <x v="9"/>
    <x v="18"/>
    <s v="SE2_OTHER"/>
    <x v="12"/>
    <x v="1"/>
    <s v="GBPR_WOODWASTE_36"/>
    <x v="0"/>
    <x v="17"/>
    <n v="43.576919441298401"/>
    <n v="15905.575596073901"/>
    <n v="57260.072145866099"/>
  </r>
  <r>
    <x v="0"/>
    <x v="0"/>
    <x v="0"/>
    <x v="9"/>
    <x v="18"/>
    <s v="SE2_OTHER"/>
    <x v="12"/>
    <x v="1"/>
    <s v="GBPR_WOODWASTE_36"/>
    <x v="0"/>
    <x v="18"/>
    <n v="43.576919441298401"/>
    <n v="15905.575596073901"/>
    <n v="57260.072145866099"/>
  </r>
  <r>
    <x v="0"/>
    <x v="0"/>
    <x v="0"/>
    <x v="9"/>
    <x v="18"/>
    <s v="SE2_OTHER"/>
    <x v="12"/>
    <x v="1"/>
    <s v="GBPR_WOODWASTE_36"/>
    <x v="0"/>
    <x v="19"/>
    <n v="43.576919441298401"/>
    <n v="15905.575596073901"/>
    <n v="57260.072145866099"/>
  </r>
  <r>
    <x v="0"/>
    <x v="0"/>
    <x v="0"/>
    <x v="9"/>
    <x v="18"/>
    <s v="SE2_OTHER"/>
    <x v="12"/>
    <x v="1"/>
    <s v="GBPR_WOODWASTE_36"/>
    <x v="0"/>
    <x v="20"/>
    <n v="43.576919441298401"/>
    <n v="15905.575596073901"/>
    <n v="57260.072145866099"/>
  </r>
  <r>
    <x v="0"/>
    <x v="0"/>
    <x v="0"/>
    <x v="9"/>
    <x v="18"/>
    <s v="SE2_OTHER"/>
    <x v="12"/>
    <x v="1"/>
    <s v="GBPR_WOODWASTE_36"/>
    <x v="0"/>
    <x v="21"/>
    <n v="43.576919441298401"/>
    <n v="15905.575596073901"/>
    <n v="57260.072145866099"/>
  </r>
  <r>
    <x v="0"/>
    <x v="0"/>
    <x v="0"/>
    <x v="9"/>
    <x v="18"/>
    <s v="SE2_OTHER"/>
    <x v="12"/>
    <x v="1"/>
    <s v="GBPR_WOODWASTE_36"/>
    <x v="0"/>
    <x v="22"/>
    <n v="43.576919441298401"/>
    <n v="15905.575596073901"/>
    <n v="57260.072145866099"/>
  </r>
  <r>
    <x v="0"/>
    <x v="0"/>
    <x v="0"/>
    <x v="9"/>
    <x v="18"/>
    <s v="SE2_OTHER"/>
    <x v="12"/>
    <x v="1"/>
    <s v="GBPR_WOODWASTE_36"/>
    <x v="0"/>
    <x v="23"/>
    <n v="43.576919441298401"/>
    <n v="15905.575596073901"/>
    <n v="57260.072145866099"/>
  </r>
  <r>
    <x v="0"/>
    <x v="0"/>
    <x v="0"/>
    <x v="9"/>
    <x v="19"/>
    <s v="SE3A"/>
    <x v="15"/>
    <x v="2"/>
    <s v="GCND_NUCLEAR"/>
    <x v="0"/>
    <x v="3"/>
    <n v="7274.4849626155001"/>
    <n v="2655187.0113546601"/>
    <n v="9558673.2408767603"/>
  </r>
  <r>
    <x v="0"/>
    <x v="0"/>
    <x v="0"/>
    <x v="9"/>
    <x v="19"/>
    <s v="SE3A"/>
    <x v="15"/>
    <x v="2"/>
    <s v="GCND_NUCLEAR"/>
    <x v="0"/>
    <x v="4"/>
    <n v="7274.4849626155001"/>
    <n v="2655187.0113546601"/>
    <n v="9558673.2408767603"/>
  </r>
  <r>
    <x v="0"/>
    <x v="0"/>
    <x v="0"/>
    <x v="9"/>
    <x v="19"/>
    <s v="SE3A"/>
    <x v="15"/>
    <x v="2"/>
    <s v="GCND_NUCLEAR"/>
    <x v="0"/>
    <x v="5"/>
    <n v="7274.4849626155001"/>
    <n v="2655187.0113546601"/>
    <n v="9558673.2408767603"/>
  </r>
  <r>
    <x v="0"/>
    <x v="0"/>
    <x v="0"/>
    <x v="9"/>
    <x v="19"/>
    <s v="SE3A"/>
    <x v="15"/>
    <x v="2"/>
    <s v="GCND_NUCLEAR"/>
    <x v="0"/>
    <x v="6"/>
    <n v="7274.4849626155001"/>
    <n v="2655187.0113546601"/>
    <n v="9558673.2408767603"/>
  </r>
  <r>
    <x v="0"/>
    <x v="0"/>
    <x v="0"/>
    <x v="9"/>
    <x v="19"/>
    <s v="SE3A"/>
    <x v="15"/>
    <x v="2"/>
    <s v="GCND_NUCLEAR"/>
    <x v="0"/>
    <x v="7"/>
    <n v="7274.4849626155001"/>
    <n v="2655187.0113546601"/>
    <n v="9558673.2408767603"/>
  </r>
  <r>
    <x v="0"/>
    <x v="0"/>
    <x v="0"/>
    <x v="9"/>
    <x v="19"/>
    <s v="SE3A"/>
    <x v="15"/>
    <x v="2"/>
    <s v="GCND_NUCLEAR"/>
    <x v="0"/>
    <x v="8"/>
    <n v="7274.4849626155001"/>
    <n v="2655187.0113546601"/>
    <n v="9558673.2408767603"/>
  </r>
  <r>
    <x v="0"/>
    <x v="0"/>
    <x v="0"/>
    <x v="9"/>
    <x v="19"/>
    <s v="SE3A"/>
    <x v="15"/>
    <x v="2"/>
    <s v="GCND_NUCLEAR"/>
    <x v="0"/>
    <x v="0"/>
    <n v="7274.4849626155001"/>
    <n v="2655187.0113546601"/>
    <n v="9558673.2408767603"/>
  </r>
  <r>
    <x v="0"/>
    <x v="0"/>
    <x v="0"/>
    <x v="9"/>
    <x v="19"/>
    <s v="SE3A"/>
    <x v="15"/>
    <x v="2"/>
    <s v="GCND_NUCLEAR"/>
    <x v="0"/>
    <x v="1"/>
    <n v="7274.4849626155001"/>
    <n v="2655187.0113546601"/>
    <n v="9558673.2408767603"/>
  </r>
  <r>
    <x v="0"/>
    <x v="0"/>
    <x v="0"/>
    <x v="9"/>
    <x v="19"/>
    <s v="SE3A"/>
    <x v="15"/>
    <x v="2"/>
    <s v="GCND_NUCLEAR"/>
    <x v="0"/>
    <x v="2"/>
    <n v="7274.4849626155001"/>
    <n v="2655187.0113546601"/>
    <n v="9558673.2408767603"/>
  </r>
  <r>
    <x v="0"/>
    <x v="0"/>
    <x v="0"/>
    <x v="9"/>
    <x v="19"/>
    <s v="SE3A"/>
    <x v="15"/>
    <x v="2"/>
    <s v="GCND_NUCLEAR"/>
    <x v="0"/>
    <x v="9"/>
    <n v="7274.4849626155001"/>
    <n v="2655187.0113546601"/>
    <n v="9558673.2408767603"/>
  </r>
  <r>
    <x v="0"/>
    <x v="0"/>
    <x v="0"/>
    <x v="9"/>
    <x v="19"/>
    <s v="SE3A"/>
    <x v="15"/>
    <x v="2"/>
    <s v="GCND_NUCLEAR"/>
    <x v="0"/>
    <x v="10"/>
    <n v="7274.4849626155001"/>
    <n v="2655187.0113546601"/>
    <n v="9558673.2408767603"/>
  </r>
  <r>
    <x v="0"/>
    <x v="0"/>
    <x v="0"/>
    <x v="9"/>
    <x v="19"/>
    <s v="SE3A"/>
    <x v="15"/>
    <x v="2"/>
    <s v="GCND_NUCLEAR"/>
    <x v="0"/>
    <x v="11"/>
    <n v="7274.4849626155001"/>
    <n v="2655187.0113546601"/>
    <n v="9558673.2408767603"/>
  </r>
  <r>
    <x v="0"/>
    <x v="0"/>
    <x v="0"/>
    <x v="9"/>
    <x v="19"/>
    <s v="SE3A"/>
    <x v="15"/>
    <x v="2"/>
    <s v="GCND_NUCLEAR"/>
    <x v="0"/>
    <x v="12"/>
    <n v="7274.4849626155001"/>
    <n v="2655187.0113546601"/>
    <n v="9558673.2408767603"/>
  </r>
  <r>
    <x v="0"/>
    <x v="0"/>
    <x v="0"/>
    <x v="9"/>
    <x v="19"/>
    <s v="SE3A"/>
    <x v="15"/>
    <x v="2"/>
    <s v="GCND_NUCLEAR"/>
    <x v="0"/>
    <x v="13"/>
    <n v="7274.4849626155001"/>
    <n v="2655187.0113546601"/>
    <n v="9558673.2408767603"/>
  </r>
  <r>
    <x v="0"/>
    <x v="0"/>
    <x v="0"/>
    <x v="9"/>
    <x v="19"/>
    <s v="SE3A"/>
    <x v="15"/>
    <x v="2"/>
    <s v="GCND_NUCLEAR"/>
    <x v="0"/>
    <x v="14"/>
    <n v="7274.4849626155001"/>
    <n v="2655187.0113546601"/>
    <n v="9558673.2408767603"/>
  </r>
  <r>
    <x v="0"/>
    <x v="0"/>
    <x v="0"/>
    <x v="9"/>
    <x v="19"/>
    <s v="SE3A"/>
    <x v="15"/>
    <x v="2"/>
    <s v="GCND_NUCLEAR"/>
    <x v="0"/>
    <x v="15"/>
    <n v="7274.4849626155001"/>
    <n v="2655187.0113546601"/>
    <n v="9558673.2408767603"/>
  </r>
  <r>
    <x v="0"/>
    <x v="0"/>
    <x v="0"/>
    <x v="9"/>
    <x v="19"/>
    <s v="SE3A"/>
    <x v="15"/>
    <x v="2"/>
    <s v="GCND_NUCLEAR"/>
    <x v="0"/>
    <x v="16"/>
    <n v="7274.4849626155001"/>
    <n v="2655187.0113546601"/>
    <n v="9558673.2408767603"/>
  </r>
  <r>
    <x v="0"/>
    <x v="0"/>
    <x v="0"/>
    <x v="9"/>
    <x v="19"/>
    <s v="SE3A"/>
    <x v="15"/>
    <x v="2"/>
    <s v="GCND_NUCLEAR"/>
    <x v="0"/>
    <x v="17"/>
    <n v="7274.4849626155001"/>
    <n v="2655187.0113546601"/>
    <n v="9558673.2408767603"/>
  </r>
  <r>
    <x v="0"/>
    <x v="0"/>
    <x v="0"/>
    <x v="9"/>
    <x v="19"/>
    <s v="SE3A"/>
    <x v="15"/>
    <x v="2"/>
    <s v="GCND_NUCLEAR"/>
    <x v="0"/>
    <x v="18"/>
    <n v="7274.4849626155001"/>
    <n v="2655187.0113546601"/>
    <n v="9558673.2408767603"/>
  </r>
  <r>
    <x v="0"/>
    <x v="0"/>
    <x v="0"/>
    <x v="9"/>
    <x v="19"/>
    <s v="SE3A"/>
    <x v="15"/>
    <x v="2"/>
    <s v="GCND_NUCLEAR"/>
    <x v="0"/>
    <x v="19"/>
    <n v="7274.4849626155001"/>
    <n v="2655187.0113546601"/>
    <n v="9558673.2408767603"/>
  </r>
  <r>
    <x v="0"/>
    <x v="0"/>
    <x v="0"/>
    <x v="9"/>
    <x v="19"/>
    <s v="SE3A"/>
    <x v="15"/>
    <x v="2"/>
    <s v="GCND_NUCLEAR"/>
    <x v="0"/>
    <x v="20"/>
    <n v="7274.4849626155001"/>
    <n v="2655187.0113546601"/>
    <n v="9558673.2408767603"/>
  </r>
  <r>
    <x v="0"/>
    <x v="0"/>
    <x v="0"/>
    <x v="9"/>
    <x v="19"/>
    <s v="SE3A"/>
    <x v="15"/>
    <x v="2"/>
    <s v="GCND_NUCLEAR"/>
    <x v="0"/>
    <x v="21"/>
    <n v="7274.4849626155001"/>
    <n v="2655187.0113546601"/>
    <n v="9558673.2408767603"/>
  </r>
  <r>
    <x v="0"/>
    <x v="0"/>
    <x v="0"/>
    <x v="9"/>
    <x v="19"/>
    <s v="SE3A"/>
    <x v="15"/>
    <x v="2"/>
    <s v="GCND_NUCLEAR"/>
    <x v="0"/>
    <x v="22"/>
    <n v="7274.4849626155001"/>
    <n v="2655187.0113546601"/>
    <n v="9558673.2408767603"/>
  </r>
  <r>
    <x v="0"/>
    <x v="0"/>
    <x v="0"/>
    <x v="9"/>
    <x v="19"/>
    <s v="SE3A"/>
    <x v="15"/>
    <x v="2"/>
    <s v="GCND_NUCLEAR"/>
    <x v="0"/>
    <x v="23"/>
    <n v="7274.4849626155001"/>
    <n v="2655187.0113546601"/>
    <n v="9558673.2408767603"/>
  </r>
  <r>
    <x v="0"/>
    <x v="0"/>
    <x v="0"/>
    <x v="9"/>
    <x v="19"/>
    <s v="SE3A"/>
    <x v="6"/>
    <x v="7"/>
    <s v="GNR_RES_WTR_NOPMP_MC-01"/>
    <x v="0"/>
    <x v="7"/>
    <n v="131.6"/>
    <n v="48034"/>
    <n v="172922.4"/>
  </r>
  <r>
    <x v="0"/>
    <x v="0"/>
    <x v="0"/>
    <x v="9"/>
    <x v="19"/>
    <s v="SE3A"/>
    <x v="6"/>
    <x v="7"/>
    <s v="GNR_RES_WTR_NOPMP_MC-01"/>
    <x v="0"/>
    <x v="8"/>
    <n v="131.6"/>
    <n v="48034"/>
    <n v="172922.4"/>
  </r>
  <r>
    <x v="0"/>
    <x v="0"/>
    <x v="0"/>
    <x v="9"/>
    <x v="19"/>
    <s v="SE3A"/>
    <x v="6"/>
    <x v="7"/>
    <s v="GNR_RES_WTR_NOPMP_MC-01"/>
    <x v="0"/>
    <x v="0"/>
    <n v="131.6"/>
    <n v="48034"/>
    <n v="172922.4"/>
  </r>
  <r>
    <x v="0"/>
    <x v="0"/>
    <x v="0"/>
    <x v="9"/>
    <x v="19"/>
    <s v="SE3A"/>
    <x v="6"/>
    <x v="7"/>
    <s v="GNR_RES_WTR_NOPMP_MC-01"/>
    <x v="0"/>
    <x v="1"/>
    <n v="131.6"/>
    <n v="48034"/>
    <n v="172922.4"/>
  </r>
  <r>
    <x v="0"/>
    <x v="0"/>
    <x v="0"/>
    <x v="9"/>
    <x v="19"/>
    <s v="SE3A"/>
    <x v="6"/>
    <x v="7"/>
    <s v="GNR_RES_WTR_NOPMP_MC-01"/>
    <x v="0"/>
    <x v="2"/>
    <n v="131.6"/>
    <n v="48034"/>
    <n v="172922.4"/>
  </r>
  <r>
    <x v="0"/>
    <x v="0"/>
    <x v="0"/>
    <x v="9"/>
    <x v="19"/>
    <s v="SE3A"/>
    <x v="6"/>
    <x v="7"/>
    <s v="GNR_RES_WTR_NOPMP_MC-01"/>
    <x v="0"/>
    <x v="9"/>
    <n v="131.6"/>
    <n v="48034"/>
    <n v="172922.4"/>
  </r>
  <r>
    <x v="0"/>
    <x v="0"/>
    <x v="0"/>
    <x v="9"/>
    <x v="19"/>
    <s v="SE3A"/>
    <x v="6"/>
    <x v="7"/>
    <s v="GNR_RES_WTR_NOPMP_MC-01"/>
    <x v="0"/>
    <x v="10"/>
    <n v="131.6"/>
    <n v="48034"/>
    <n v="172922.4"/>
  </r>
  <r>
    <x v="0"/>
    <x v="0"/>
    <x v="0"/>
    <x v="9"/>
    <x v="19"/>
    <s v="SE3A"/>
    <x v="6"/>
    <x v="7"/>
    <s v="GNR_RES_WTR_NOPMP_MC-01"/>
    <x v="0"/>
    <x v="11"/>
    <n v="131.6"/>
    <n v="48034"/>
    <n v="172922.4"/>
  </r>
  <r>
    <x v="0"/>
    <x v="0"/>
    <x v="0"/>
    <x v="9"/>
    <x v="19"/>
    <s v="SE3A"/>
    <x v="6"/>
    <x v="7"/>
    <s v="GNR_RES_WTR_NOPMP_MC-01"/>
    <x v="0"/>
    <x v="12"/>
    <n v="131.6"/>
    <n v="48034"/>
    <n v="172922.4"/>
  </r>
  <r>
    <x v="0"/>
    <x v="0"/>
    <x v="0"/>
    <x v="9"/>
    <x v="19"/>
    <s v="SE3A"/>
    <x v="6"/>
    <x v="7"/>
    <s v="GNR_RES_WTR_NOPMP_MC-01"/>
    <x v="0"/>
    <x v="13"/>
    <n v="131.6"/>
    <n v="48034"/>
    <n v="172922.4"/>
  </r>
  <r>
    <x v="0"/>
    <x v="0"/>
    <x v="0"/>
    <x v="9"/>
    <x v="19"/>
    <s v="SE3A"/>
    <x v="6"/>
    <x v="7"/>
    <s v="GNR_RES_WTR_NOPMP_MC-01"/>
    <x v="0"/>
    <x v="14"/>
    <n v="131.6"/>
    <n v="48034"/>
    <n v="172922.4"/>
  </r>
  <r>
    <x v="0"/>
    <x v="0"/>
    <x v="0"/>
    <x v="9"/>
    <x v="19"/>
    <s v="SE3A"/>
    <x v="6"/>
    <x v="7"/>
    <s v="GNR_RES_WTR_NOPMP_MC-01"/>
    <x v="0"/>
    <x v="15"/>
    <n v="131.6"/>
    <n v="48034"/>
    <n v="172922.4"/>
  </r>
  <r>
    <x v="0"/>
    <x v="0"/>
    <x v="0"/>
    <x v="9"/>
    <x v="19"/>
    <s v="SE3A"/>
    <x v="6"/>
    <x v="7"/>
    <s v="GNR_RES_WTR_NOPMP_MC-01"/>
    <x v="0"/>
    <x v="16"/>
    <n v="131.6"/>
    <n v="48034"/>
    <n v="172922.4"/>
  </r>
  <r>
    <x v="0"/>
    <x v="0"/>
    <x v="0"/>
    <x v="9"/>
    <x v="19"/>
    <s v="SE3A"/>
    <x v="6"/>
    <x v="7"/>
    <s v="GNR_RES_WTR_NOPMP_MC-01"/>
    <x v="0"/>
    <x v="17"/>
    <n v="131.6"/>
    <n v="48034"/>
    <n v="172922.4"/>
  </r>
  <r>
    <x v="0"/>
    <x v="0"/>
    <x v="0"/>
    <x v="9"/>
    <x v="19"/>
    <s v="SE3A"/>
    <x v="6"/>
    <x v="7"/>
    <s v="GNR_RES_WTR_NOPMP_MC-01"/>
    <x v="0"/>
    <x v="18"/>
    <n v="131.6"/>
    <n v="48034"/>
    <n v="172922.4"/>
  </r>
  <r>
    <x v="0"/>
    <x v="0"/>
    <x v="0"/>
    <x v="9"/>
    <x v="19"/>
    <s v="SE3A"/>
    <x v="6"/>
    <x v="7"/>
    <s v="GNR_RES_WTR_NOPMP_MC-01"/>
    <x v="0"/>
    <x v="19"/>
    <n v="131.6"/>
    <n v="48034"/>
    <n v="172922.4"/>
  </r>
  <r>
    <x v="0"/>
    <x v="0"/>
    <x v="0"/>
    <x v="9"/>
    <x v="19"/>
    <s v="SE3A"/>
    <x v="6"/>
    <x v="7"/>
    <s v="GNR_RES_WTR_NOPMP_MC-01"/>
    <x v="0"/>
    <x v="20"/>
    <n v="131.6"/>
    <n v="48034"/>
    <n v="172922.4"/>
  </r>
  <r>
    <x v="0"/>
    <x v="0"/>
    <x v="0"/>
    <x v="9"/>
    <x v="19"/>
    <s v="SE3A"/>
    <x v="6"/>
    <x v="7"/>
    <s v="GNR_RES_WTR_NOPMP_MC-01"/>
    <x v="0"/>
    <x v="21"/>
    <n v="131.6"/>
    <n v="48034"/>
    <n v="172922.4"/>
  </r>
  <r>
    <x v="0"/>
    <x v="0"/>
    <x v="0"/>
    <x v="9"/>
    <x v="19"/>
    <s v="SE3A"/>
    <x v="6"/>
    <x v="7"/>
    <s v="GNR_RES_WTR_NOPMP_MC-02"/>
    <x v="0"/>
    <x v="8"/>
    <n v="131.6"/>
    <n v="48034"/>
    <n v="172922.4"/>
  </r>
  <r>
    <x v="0"/>
    <x v="0"/>
    <x v="0"/>
    <x v="9"/>
    <x v="19"/>
    <s v="SE3A"/>
    <x v="6"/>
    <x v="7"/>
    <s v="GNR_RES_WTR_NOPMP_MC-02"/>
    <x v="0"/>
    <x v="0"/>
    <n v="131.6"/>
    <n v="48034"/>
    <n v="172922.4"/>
  </r>
  <r>
    <x v="0"/>
    <x v="0"/>
    <x v="0"/>
    <x v="9"/>
    <x v="19"/>
    <s v="SE3A"/>
    <x v="6"/>
    <x v="7"/>
    <s v="GNR_RES_WTR_NOPMP_MC-02"/>
    <x v="0"/>
    <x v="1"/>
    <n v="131.6"/>
    <n v="48034"/>
    <n v="172922.4"/>
  </r>
  <r>
    <x v="0"/>
    <x v="0"/>
    <x v="0"/>
    <x v="9"/>
    <x v="19"/>
    <s v="SE3A"/>
    <x v="6"/>
    <x v="7"/>
    <s v="GNR_RES_WTR_NOPMP_MC-02"/>
    <x v="0"/>
    <x v="2"/>
    <n v="131.6"/>
    <n v="48034"/>
    <n v="172922.4"/>
  </r>
  <r>
    <x v="0"/>
    <x v="0"/>
    <x v="0"/>
    <x v="9"/>
    <x v="19"/>
    <s v="SE3A"/>
    <x v="6"/>
    <x v="7"/>
    <s v="GNR_RES_WTR_NOPMP_MC-02"/>
    <x v="0"/>
    <x v="9"/>
    <n v="131.6"/>
    <n v="48034"/>
    <n v="172922.4"/>
  </r>
  <r>
    <x v="0"/>
    <x v="0"/>
    <x v="0"/>
    <x v="9"/>
    <x v="19"/>
    <s v="SE3A"/>
    <x v="6"/>
    <x v="7"/>
    <s v="GNR_RES_WTR_NOPMP_MC-02"/>
    <x v="0"/>
    <x v="10"/>
    <n v="131.6"/>
    <n v="48034"/>
    <n v="172922.4"/>
  </r>
  <r>
    <x v="0"/>
    <x v="0"/>
    <x v="0"/>
    <x v="9"/>
    <x v="19"/>
    <s v="SE3A"/>
    <x v="6"/>
    <x v="7"/>
    <s v="GNR_RES_WTR_NOPMP_MC-02"/>
    <x v="0"/>
    <x v="11"/>
    <n v="131.6"/>
    <n v="48034"/>
    <n v="172922.4"/>
  </r>
  <r>
    <x v="0"/>
    <x v="0"/>
    <x v="0"/>
    <x v="9"/>
    <x v="19"/>
    <s v="SE3A"/>
    <x v="6"/>
    <x v="7"/>
    <s v="GNR_RES_WTR_NOPMP_MC-02"/>
    <x v="0"/>
    <x v="12"/>
    <n v="131.6"/>
    <n v="48034"/>
    <n v="172922.4"/>
  </r>
  <r>
    <x v="0"/>
    <x v="0"/>
    <x v="0"/>
    <x v="9"/>
    <x v="19"/>
    <s v="SE3A"/>
    <x v="6"/>
    <x v="7"/>
    <s v="GNR_RES_WTR_NOPMP_MC-02"/>
    <x v="0"/>
    <x v="13"/>
    <n v="131.6"/>
    <n v="48034"/>
    <n v="172922.4"/>
  </r>
  <r>
    <x v="0"/>
    <x v="0"/>
    <x v="0"/>
    <x v="9"/>
    <x v="19"/>
    <s v="SE3A"/>
    <x v="6"/>
    <x v="7"/>
    <s v="GNR_RES_WTR_NOPMP_MC-02"/>
    <x v="0"/>
    <x v="14"/>
    <n v="131.6"/>
    <n v="48034"/>
    <n v="172922.4"/>
  </r>
  <r>
    <x v="0"/>
    <x v="0"/>
    <x v="0"/>
    <x v="9"/>
    <x v="19"/>
    <s v="SE3A"/>
    <x v="6"/>
    <x v="7"/>
    <s v="GNR_RES_WTR_NOPMP_MC-02"/>
    <x v="0"/>
    <x v="15"/>
    <n v="131.6"/>
    <n v="48034"/>
    <n v="172922.4"/>
  </r>
  <r>
    <x v="0"/>
    <x v="0"/>
    <x v="0"/>
    <x v="9"/>
    <x v="19"/>
    <s v="SE3A"/>
    <x v="6"/>
    <x v="7"/>
    <s v="GNR_RES_WTR_NOPMP_MC-02"/>
    <x v="0"/>
    <x v="16"/>
    <n v="131.6"/>
    <n v="48034"/>
    <n v="172922.4"/>
  </r>
  <r>
    <x v="0"/>
    <x v="0"/>
    <x v="0"/>
    <x v="9"/>
    <x v="19"/>
    <s v="SE3A"/>
    <x v="6"/>
    <x v="7"/>
    <s v="GNR_RES_WTR_NOPMP_MC-02"/>
    <x v="0"/>
    <x v="17"/>
    <n v="131.6"/>
    <n v="48034"/>
    <n v="172922.4"/>
  </r>
  <r>
    <x v="0"/>
    <x v="0"/>
    <x v="0"/>
    <x v="9"/>
    <x v="19"/>
    <s v="SE3A"/>
    <x v="6"/>
    <x v="7"/>
    <s v="GNR_RES_WTR_NOPMP_MC-02"/>
    <x v="0"/>
    <x v="18"/>
    <n v="131.6"/>
    <n v="48034"/>
    <n v="172922.4"/>
  </r>
  <r>
    <x v="0"/>
    <x v="0"/>
    <x v="0"/>
    <x v="9"/>
    <x v="19"/>
    <s v="SE3A"/>
    <x v="6"/>
    <x v="7"/>
    <s v="GNR_RES_WTR_NOPMP_MC-02"/>
    <x v="0"/>
    <x v="19"/>
    <n v="131.6"/>
    <n v="48034"/>
    <n v="172922.4"/>
  </r>
  <r>
    <x v="0"/>
    <x v="0"/>
    <x v="0"/>
    <x v="9"/>
    <x v="19"/>
    <s v="SE3A"/>
    <x v="6"/>
    <x v="7"/>
    <s v="GNR_RES_WTR_NOPMP_MC-02"/>
    <x v="0"/>
    <x v="20"/>
    <n v="131.6"/>
    <n v="48034"/>
    <n v="172922.4"/>
  </r>
  <r>
    <x v="0"/>
    <x v="0"/>
    <x v="0"/>
    <x v="9"/>
    <x v="19"/>
    <s v="SE3A"/>
    <x v="6"/>
    <x v="7"/>
    <s v="GNR_RES_WTR_NOPMP_MC-03"/>
    <x v="0"/>
    <x v="8"/>
    <n v="131.6"/>
    <n v="48034"/>
    <n v="172922.4"/>
  </r>
  <r>
    <x v="0"/>
    <x v="0"/>
    <x v="0"/>
    <x v="9"/>
    <x v="19"/>
    <s v="SE3A"/>
    <x v="6"/>
    <x v="7"/>
    <s v="GNR_RES_WTR_NOPMP_MC-03"/>
    <x v="0"/>
    <x v="0"/>
    <n v="131.6"/>
    <n v="48034"/>
    <n v="172922.4"/>
  </r>
  <r>
    <x v="0"/>
    <x v="0"/>
    <x v="0"/>
    <x v="9"/>
    <x v="19"/>
    <s v="SE3A"/>
    <x v="6"/>
    <x v="7"/>
    <s v="GNR_RES_WTR_NOPMP_MC-03"/>
    <x v="0"/>
    <x v="1"/>
    <n v="131.6"/>
    <n v="48034"/>
    <n v="172922.4"/>
  </r>
  <r>
    <x v="0"/>
    <x v="0"/>
    <x v="0"/>
    <x v="9"/>
    <x v="19"/>
    <s v="SE3A"/>
    <x v="6"/>
    <x v="7"/>
    <s v="GNR_RES_WTR_NOPMP_MC-03"/>
    <x v="0"/>
    <x v="2"/>
    <n v="131.6"/>
    <n v="48034"/>
    <n v="172922.4"/>
  </r>
  <r>
    <x v="0"/>
    <x v="0"/>
    <x v="0"/>
    <x v="9"/>
    <x v="19"/>
    <s v="SE3A"/>
    <x v="6"/>
    <x v="7"/>
    <s v="GNR_RES_WTR_NOPMP_MC-03"/>
    <x v="0"/>
    <x v="9"/>
    <n v="131.6"/>
    <n v="48034"/>
    <n v="172922.4"/>
  </r>
  <r>
    <x v="0"/>
    <x v="0"/>
    <x v="0"/>
    <x v="9"/>
    <x v="19"/>
    <s v="SE3A"/>
    <x v="6"/>
    <x v="7"/>
    <s v="GNR_RES_WTR_NOPMP_MC-03"/>
    <x v="0"/>
    <x v="10"/>
    <n v="131.6"/>
    <n v="48034"/>
    <n v="172922.4"/>
  </r>
  <r>
    <x v="0"/>
    <x v="0"/>
    <x v="0"/>
    <x v="9"/>
    <x v="19"/>
    <s v="SE3A"/>
    <x v="6"/>
    <x v="7"/>
    <s v="GNR_RES_WTR_NOPMP_MC-03"/>
    <x v="0"/>
    <x v="11"/>
    <n v="131.6"/>
    <n v="48034"/>
    <n v="172922.4"/>
  </r>
  <r>
    <x v="0"/>
    <x v="0"/>
    <x v="0"/>
    <x v="9"/>
    <x v="19"/>
    <s v="SE3A"/>
    <x v="6"/>
    <x v="7"/>
    <s v="GNR_RES_WTR_NOPMP_MC-03"/>
    <x v="0"/>
    <x v="12"/>
    <n v="131.6"/>
    <n v="48034"/>
    <n v="172922.4"/>
  </r>
  <r>
    <x v="0"/>
    <x v="0"/>
    <x v="0"/>
    <x v="9"/>
    <x v="19"/>
    <s v="SE3A"/>
    <x v="6"/>
    <x v="7"/>
    <s v="GNR_RES_WTR_NOPMP_MC-03"/>
    <x v="0"/>
    <x v="13"/>
    <n v="131.6"/>
    <n v="48034"/>
    <n v="172922.4"/>
  </r>
  <r>
    <x v="0"/>
    <x v="0"/>
    <x v="0"/>
    <x v="9"/>
    <x v="19"/>
    <s v="SE3A"/>
    <x v="6"/>
    <x v="7"/>
    <s v="GNR_RES_WTR_NOPMP_MC-03"/>
    <x v="0"/>
    <x v="14"/>
    <n v="131.6"/>
    <n v="48034"/>
    <n v="172922.4"/>
  </r>
  <r>
    <x v="0"/>
    <x v="0"/>
    <x v="0"/>
    <x v="9"/>
    <x v="19"/>
    <s v="SE3A"/>
    <x v="6"/>
    <x v="7"/>
    <s v="GNR_RES_WTR_NOPMP_MC-03"/>
    <x v="0"/>
    <x v="15"/>
    <n v="131.6"/>
    <n v="48034"/>
    <n v="172922.4"/>
  </r>
  <r>
    <x v="0"/>
    <x v="0"/>
    <x v="0"/>
    <x v="9"/>
    <x v="19"/>
    <s v="SE3A"/>
    <x v="6"/>
    <x v="7"/>
    <s v="GNR_RES_WTR_NOPMP_MC-03"/>
    <x v="0"/>
    <x v="16"/>
    <n v="131.6"/>
    <n v="48034"/>
    <n v="172922.4"/>
  </r>
  <r>
    <x v="0"/>
    <x v="0"/>
    <x v="0"/>
    <x v="9"/>
    <x v="19"/>
    <s v="SE3A"/>
    <x v="6"/>
    <x v="7"/>
    <s v="GNR_RES_WTR_NOPMP_MC-03"/>
    <x v="0"/>
    <x v="17"/>
    <n v="131.6"/>
    <n v="48034"/>
    <n v="172922.4"/>
  </r>
  <r>
    <x v="0"/>
    <x v="0"/>
    <x v="0"/>
    <x v="9"/>
    <x v="19"/>
    <s v="SE3A"/>
    <x v="6"/>
    <x v="7"/>
    <s v="GNR_RES_WTR_NOPMP_MC-03"/>
    <x v="0"/>
    <x v="18"/>
    <n v="131.6"/>
    <n v="48034"/>
    <n v="172922.4"/>
  </r>
  <r>
    <x v="0"/>
    <x v="0"/>
    <x v="0"/>
    <x v="9"/>
    <x v="19"/>
    <s v="SE3A"/>
    <x v="6"/>
    <x v="7"/>
    <s v="GNR_RES_WTR_NOPMP_MC-03"/>
    <x v="0"/>
    <x v="19"/>
    <n v="131.6"/>
    <n v="48034"/>
    <n v="172922.4"/>
  </r>
  <r>
    <x v="0"/>
    <x v="0"/>
    <x v="0"/>
    <x v="9"/>
    <x v="19"/>
    <s v="SE3A"/>
    <x v="6"/>
    <x v="7"/>
    <s v="GNR_RES_WTR_NOPMP_MC-03"/>
    <x v="0"/>
    <x v="20"/>
    <n v="131.6"/>
    <n v="48034"/>
    <n v="172922.4"/>
  </r>
  <r>
    <x v="0"/>
    <x v="0"/>
    <x v="0"/>
    <x v="9"/>
    <x v="19"/>
    <s v="SE3A"/>
    <x v="6"/>
    <x v="7"/>
    <s v="GNR_RES_WTR_NOPMP_MC-04"/>
    <x v="0"/>
    <x v="8"/>
    <n v="131.6"/>
    <n v="48034"/>
    <n v="172922.4"/>
  </r>
  <r>
    <x v="0"/>
    <x v="0"/>
    <x v="0"/>
    <x v="9"/>
    <x v="19"/>
    <s v="SE3A"/>
    <x v="6"/>
    <x v="7"/>
    <s v="GNR_RES_WTR_NOPMP_MC-04"/>
    <x v="0"/>
    <x v="0"/>
    <n v="131.6"/>
    <n v="48034"/>
    <n v="172922.4"/>
  </r>
  <r>
    <x v="0"/>
    <x v="0"/>
    <x v="0"/>
    <x v="9"/>
    <x v="19"/>
    <s v="SE3A"/>
    <x v="6"/>
    <x v="7"/>
    <s v="GNR_RES_WTR_NOPMP_MC-04"/>
    <x v="0"/>
    <x v="1"/>
    <n v="131.6"/>
    <n v="48034"/>
    <n v="172922.4"/>
  </r>
  <r>
    <x v="0"/>
    <x v="0"/>
    <x v="0"/>
    <x v="9"/>
    <x v="19"/>
    <s v="SE3A"/>
    <x v="6"/>
    <x v="7"/>
    <s v="GNR_RES_WTR_NOPMP_MC-04"/>
    <x v="0"/>
    <x v="2"/>
    <n v="131.6"/>
    <n v="48034"/>
    <n v="172922.4"/>
  </r>
  <r>
    <x v="0"/>
    <x v="0"/>
    <x v="0"/>
    <x v="9"/>
    <x v="19"/>
    <s v="SE3A"/>
    <x v="6"/>
    <x v="7"/>
    <s v="GNR_RES_WTR_NOPMP_MC-04"/>
    <x v="0"/>
    <x v="9"/>
    <n v="131.6"/>
    <n v="48034"/>
    <n v="172922.4"/>
  </r>
  <r>
    <x v="0"/>
    <x v="0"/>
    <x v="0"/>
    <x v="9"/>
    <x v="19"/>
    <s v="SE3A"/>
    <x v="6"/>
    <x v="7"/>
    <s v="GNR_RES_WTR_NOPMP_MC-04"/>
    <x v="0"/>
    <x v="10"/>
    <n v="131.6"/>
    <n v="48034"/>
    <n v="172922.4"/>
  </r>
  <r>
    <x v="0"/>
    <x v="0"/>
    <x v="0"/>
    <x v="9"/>
    <x v="19"/>
    <s v="SE3A"/>
    <x v="6"/>
    <x v="7"/>
    <s v="GNR_RES_WTR_NOPMP_MC-04"/>
    <x v="0"/>
    <x v="11"/>
    <n v="131.6"/>
    <n v="48034"/>
    <n v="172922.4"/>
  </r>
  <r>
    <x v="0"/>
    <x v="0"/>
    <x v="0"/>
    <x v="9"/>
    <x v="19"/>
    <s v="SE3A"/>
    <x v="6"/>
    <x v="7"/>
    <s v="GNR_RES_WTR_NOPMP_MC-04"/>
    <x v="0"/>
    <x v="12"/>
    <n v="131.6"/>
    <n v="48034"/>
    <n v="172922.4"/>
  </r>
  <r>
    <x v="0"/>
    <x v="0"/>
    <x v="0"/>
    <x v="9"/>
    <x v="19"/>
    <s v="SE3A"/>
    <x v="6"/>
    <x v="7"/>
    <s v="GNR_RES_WTR_NOPMP_MC-04"/>
    <x v="0"/>
    <x v="13"/>
    <n v="131.6"/>
    <n v="48034"/>
    <n v="172922.4"/>
  </r>
  <r>
    <x v="0"/>
    <x v="0"/>
    <x v="0"/>
    <x v="9"/>
    <x v="19"/>
    <s v="SE3A"/>
    <x v="6"/>
    <x v="7"/>
    <s v="GNR_RES_WTR_NOPMP_MC-04"/>
    <x v="0"/>
    <x v="14"/>
    <n v="131.6"/>
    <n v="48034"/>
    <n v="172922.4"/>
  </r>
  <r>
    <x v="0"/>
    <x v="0"/>
    <x v="0"/>
    <x v="9"/>
    <x v="19"/>
    <s v="SE3A"/>
    <x v="6"/>
    <x v="7"/>
    <s v="GNR_RES_WTR_NOPMP_MC-04"/>
    <x v="0"/>
    <x v="15"/>
    <n v="131.6"/>
    <n v="48034"/>
    <n v="172922.4"/>
  </r>
  <r>
    <x v="0"/>
    <x v="0"/>
    <x v="0"/>
    <x v="9"/>
    <x v="19"/>
    <s v="SE3A"/>
    <x v="6"/>
    <x v="7"/>
    <s v="GNR_RES_WTR_NOPMP_MC-04"/>
    <x v="0"/>
    <x v="16"/>
    <n v="131.6"/>
    <n v="48034"/>
    <n v="172922.4"/>
  </r>
  <r>
    <x v="0"/>
    <x v="0"/>
    <x v="0"/>
    <x v="9"/>
    <x v="19"/>
    <s v="SE3A"/>
    <x v="6"/>
    <x v="7"/>
    <s v="GNR_RES_WTR_NOPMP_MC-04"/>
    <x v="0"/>
    <x v="17"/>
    <n v="131.6"/>
    <n v="48034"/>
    <n v="172922.4"/>
  </r>
  <r>
    <x v="0"/>
    <x v="0"/>
    <x v="0"/>
    <x v="9"/>
    <x v="19"/>
    <s v="SE3A"/>
    <x v="6"/>
    <x v="7"/>
    <s v="GNR_RES_WTR_NOPMP_MC-04"/>
    <x v="0"/>
    <x v="18"/>
    <n v="131.6"/>
    <n v="48034"/>
    <n v="172922.4"/>
  </r>
  <r>
    <x v="0"/>
    <x v="0"/>
    <x v="0"/>
    <x v="9"/>
    <x v="19"/>
    <s v="SE3A"/>
    <x v="6"/>
    <x v="7"/>
    <s v="GNR_RES_WTR_NOPMP_MC-04"/>
    <x v="0"/>
    <x v="19"/>
    <n v="131.6"/>
    <n v="48034"/>
    <n v="172922.4"/>
  </r>
  <r>
    <x v="0"/>
    <x v="0"/>
    <x v="0"/>
    <x v="9"/>
    <x v="19"/>
    <s v="SE3A"/>
    <x v="6"/>
    <x v="7"/>
    <s v="GNR_RES_WTR_NOPMP_MC-04"/>
    <x v="0"/>
    <x v="20"/>
    <n v="131.6"/>
    <n v="48034"/>
    <n v="172922.4"/>
  </r>
  <r>
    <x v="0"/>
    <x v="0"/>
    <x v="0"/>
    <x v="9"/>
    <x v="19"/>
    <s v="SE3A"/>
    <x v="6"/>
    <x v="7"/>
    <s v="GNR_RES_WTR_NOPMP_MC-05"/>
    <x v="0"/>
    <x v="0"/>
    <n v="131.6"/>
    <n v="48034"/>
    <n v="172922.4"/>
  </r>
  <r>
    <x v="0"/>
    <x v="0"/>
    <x v="0"/>
    <x v="9"/>
    <x v="19"/>
    <s v="SE3A"/>
    <x v="6"/>
    <x v="7"/>
    <s v="GNR_RES_WTR_NOPMP_MC-05"/>
    <x v="0"/>
    <x v="1"/>
    <n v="131.6"/>
    <n v="48034"/>
    <n v="172922.4"/>
  </r>
  <r>
    <x v="0"/>
    <x v="0"/>
    <x v="0"/>
    <x v="9"/>
    <x v="19"/>
    <s v="SE3A"/>
    <x v="6"/>
    <x v="7"/>
    <s v="GNR_RES_WTR_NOPMP_MC-05"/>
    <x v="0"/>
    <x v="2"/>
    <n v="131.6"/>
    <n v="48034"/>
    <n v="172922.4"/>
  </r>
  <r>
    <x v="0"/>
    <x v="0"/>
    <x v="0"/>
    <x v="9"/>
    <x v="19"/>
    <s v="SE3A"/>
    <x v="6"/>
    <x v="7"/>
    <s v="GNR_RES_WTR_NOPMP_MC-05"/>
    <x v="0"/>
    <x v="9"/>
    <n v="131.6"/>
    <n v="48034"/>
    <n v="172922.4"/>
  </r>
  <r>
    <x v="0"/>
    <x v="0"/>
    <x v="0"/>
    <x v="9"/>
    <x v="19"/>
    <s v="SE3A"/>
    <x v="6"/>
    <x v="7"/>
    <s v="GNR_RES_WTR_NOPMP_MC-05"/>
    <x v="0"/>
    <x v="10"/>
    <n v="131.6"/>
    <n v="48034"/>
    <n v="172922.4"/>
  </r>
  <r>
    <x v="0"/>
    <x v="0"/>
    <x v="0"/>
    <x v="9"/>
    <x v="19"/>
    <s v="SE3A"/>
    <x v="6"/>
    <x v="7"/>
    <s v="GNR_RES_WTR_NOPMP_MC-05"/>
    <x v="0"/>
    <x v="11"/>
    <n v="131.6"/>
    <n v="48034"/>
    <n v="172922.4"/>
  </r>
  <r>
    <x v="0"/>
    <x v="0"/>
    <x v="0"/>
    <x v="9"/>
    <x v="19"/>
    <s v="SE3A"/>
    <x v="6"/>
    <x v="7"/>
    <s v="GNR_RES_WTR_NOPMP_MC-05"/>
    <x v="0"/>
    <x v="12"/>
    <n v="131.6"/>
    <n v="48034"/>
    <n v="172922.4"/>
  </r>
  <r>
    <x v="0"/>
    <x v="0"/>
    <x v="0"/>
    <x v="9"/>
    <x v="19"/>
    <s v="SE3A"/>
    <x v="6"/>
    <x v="7"/>
    <s v="GNR_RES_WTR_NOPMP_MC-05"/>
    <x v="0"/>
    <x v="13"/>
    <n v="131.6"/>
    <n v="48034"/>
    <n v="172922.4"/>
  </r>
  <r>
    <x v="0"/>
    <x v="0"/>
    <x v="0"/>
    <x v="9"/>
    <x v="19"/>
    <s v="SE3A"/>
    <x v="6"/>
    <x v="7"/>
    <s v="GNR_RES_WTR_NOPMP_MC-05"/>
    <x v="0"/>
    <x v="14"/>
    <n v="131.6"/>
    <n v="48034"/>
    <n v="172922.4"/>
  </r>
  <r>
    <x v="0"/>
    <x v="0"/>
    <x v="0"/>
    <x v="9"/>
    <x v="19"/>
    <s v="SE3A"/>
    <x v="6"/>
    <x v="7"/>
    <s v="GNR_RES_WTR_NOPMP_MC-05"/>
    <x v="0"/>
    <x v="15"/>
    <n v="131.6"/>
    <n v="48034"/>
    <n v="172922.4"/>
  </r>
  <r>
    <x v="0"/>
    <x v="0"/>
    <x v="0"/>
    <x v="9"/>
    <x v="19"/>
    <s v="SE3A"/>
    <x v="6"/>
    <x v="7"/>
    <s v="GNR_RES_WTR_NOPMP_MC-05"/>
    <x v="0"/>
    <x v="16"/>
    <n v="131.6"/>
    <n v="48034"/>
    <n v="172922.4"/>
  </r>
  <r>
    <x v="0"/>
    <x v="0"/>
    <x v="0"/>
    <x v="9"/>
    <x v="19"/>
    <s v="SE3A"/>
    <x v="6"/>
    <x v="7"/>
    <s v="GNR_RES_WTR_NOPMP_MC-05"/>
    <x v="0"/>
    <x v="17"/>
    <n v="131.6"/>
    <n v="48034"/>
    <n v="172922.4"/>
  </r>
  <r>
    <x v="0"/>
    <x v="0"/>
    <x v="0"/>
    <x v="9"/>
    <x v="19"/>
    <s v="SE3A"/>
    <x v="6"/>
    <x v="7"/>
    <s v="GNR_RES_WTR_NOPMP_MC-05"/>
    <x v="0"/>
    <x v="18"/>
    <n v="131.6"/>
    <n v="48034"/>
    <n v="172922.4"/>
  </r>
  <r>
    <x v="0"/>
    <x v="0"/>
    <x v="0"/>
    <x v="9"/>
    <x v="19"/>
    <s v="SE3A"/>
    <x v="6"/>
    <x v="7"/>
    <s v="GNR_RES_WTR_NOPMP_MC-05"/>
    <x v="0"/>
    <x v="19"/>
    <n v="131.6"/>
    <n v="48034"/>
    <n v="172922.4"/>
  </r>
  <r>
    <x v="0"/>
    <x v="0"/>
    <x v="0"/>
    <x v="9"/>
    <x v="19"/>
    <s v="SE3A"/>
    <x v="6"/>
    <x v="7"/>
    <s v="GNR_RES_WTR_NOPMP_MC-06"/>
    <x v="0"/>
    <x v="0"/>
    <n v="131.6"/>
    <n v="48034"/>
    <n v="172922.4"/>
  </r>
  <r>
    <x v="0"/>
    <x v="0"/>
    <x v="0"/>
    <x v="9"/>
    <x v="19"/>
    <s v="SE3A"/>
    <x v="6"/>
    <x v="7"/>
    <s v="GNR_RES_WTR_NOPMP_MC-06"/>
    <x v="0"/>
    <x v="1"/>
    <n v="131.6"/>
    <n v="48034"/>
    <n v="172922.4"/>
  </r>
  <r>
    <x v="0"/>
    <x v="0"/>
    <x v="0"/>
    <x v="9"/>
    <x v="19"/>
    <s v="SE3A"/>
    <x v="6"/>
    <x v="7"/>
    <s v="GNR_RES_WTR_NOPMP_MC-06"/>
    <x v="0"/>
    <x v="2"/>
    <n v="131.6"/>
    <n v="48034"/>
    <n v="172922.4"/>
  </r>
  <r>
    <x v="0"/>
    <x v="0"/>
    <x v="0"/>
    <x v="9"/>
    <x v="19"/>
    <s v="SE3A"/>
    <x v="6"/>
    <x v="7"/>
    <s v="GNR_RES_WTR_NOPMP_MC-06"/>
    <x v="0"/>
    <x v="9"/>
    <n v="131.6"/>
    <n v="48034"/>
    <n v="172922.4"/>
  </r>
  <r>
    <x v="0"/>
    <x v="0"/>
    <x v="0"/>
    <x v="9"/>
    <x v="19"/>
    <s v="SE3A"/>
    <x v="6"/>
    <x v="7"/>
    <s v="GNR_RES_WTR_NOPMP_MC-06"/>
    <x v="0"/>
    <x v="10"/>
    <n v="131.6"/>
    <n v="48034"/>
    <n v="172922.4"/>
  </r>
  <r>
    <x v="0"/>
    <x v="0"/>
    <x v="0"/>
    <x v="9"/>
    <x v="19"/>
    <s v="SE3A"/>
    <x v="6"/>
    <x v="7"/>
    <s v="GNR_RES_WTR_NOPMP_MC-06"/>
    <x v="0"/>
    <x v="11"/>
    <n v="131.6"/>
    <n v="48034"/>
    <n v="172922.4"/>
  </r>
  <r>
    <x v="0"/>
    <x v="0"/>
    <x v="0"/>
    <x v="9"/>
    <x v="19"/>
    <s v="SE3A"/>
    <x v="6"/>
    <x v="7"/>
    <s v="GNR_RES_WTR_NOPMP_MC-06"/>
    <x v="0"/>
    <x v="12"/>
    <n v="131.6"/>
    <n v="48034"/>
    <n v="172922.4"/>
  </r>
  <r>
    <x v="0"/>
    <x v="0"/>
    <x v="0"/>
    <x v="9"/>
    <x v="19"/>
    <s v="SE3A"/>
    <x v="6"/>
    <x v="7"/>
    <s v="GNR_RES_WTR_NOPMP_MC-06"/>
    <x v="0"/>
    <x v="13"/>
    <n v="131.6"/>
    <n v="48034"/>
    <n v="172922.4"/>
  </r>
  <r>
    <x v="0"/>
    <x v="0"/>
    <x v="0"/>
    <x v="9"/>
    <x v="19"/>
    <s v="SE3A"/>
    <x v="6"/>
    <x v="7"/>
    <s v="GNR_RES_WTR_NOPMP_MC-06"/>
    <x v="0"/>
    <x v="14"/>
    <n v="131.6"/>
    <n v="48034"/>
    <n v="172922.4"/>
  </r>
  <r>
    <x v="0"/>
    <x v="0"/>
    <x v="0"/>
    <x v="9"/>
    <x v="19"/>
    <s v="SE3A"/>
    <x v="6"/>
    <x v="7"/>
    <s v="GNR_RES_WTR_NOPMP_MC-06"/>
    <x v="0"/>
    <x v="15"/>
    <n v="131.6"/>
    <n v="48034"/>
    <n v="172922.4"/>
  </r>
  <r>
    <x v="0"/>
    <x v="0"/>
    <x v="0"/>
    <x v="9"/>
    <x v="19"/>
    <s v="SE3A"/>
    <x v="6"/>
    <x v="7"/>
    <s v="GNR_RES_WTR_NOPMP_MC-06"/>
    <x v="0"/>
    <x v="16"/>
    <n v="131.6"/>
    <n v="48034"/>
    <n v="172922.4"/>
  </r>
  <r>
    <x v="0"/>
    <x v="0"/>
    <x v="0"/>
    <x v="9"/>
    <x v="19"/>
    <s v="SE3A"/>
    <x v="6"/>
    <x v="7"/>
    <s v="GNR_RES_WTR_NOPMP_MC-06"/>
    <x v="0"/>
    <x v="17"/>
    <n v="131.6"/>
    <n v="48034"/>
    <n v="172922.4"/>
  </r>
  <r>
    <x v="0"/>
    <x v="0"/>
    <x v="0"/>
    <x v="9"/>
    <x v="19"/>
    <s v="SE3A"/>
    <x v="6"/>
    <x v="7"/>
    <s v="GNR_RES_WTR_NOPMP_MC-06"/>
    <x v="0"/>
    <x v="18"/>
    <n v="131.6"/>
    <n v="48034"/>
    <n v="172922.4"/>
  </r>
  <r>
    <x v="0"/>
    <x v="0"/>
    <x v="0"/>
    <x v="9"/>
    <x v="19"/>
    <s v="SE3A"/>
    <x v="6"/>
    <x v="7"/>
    <s v="GNR_RES_WTR_NOPMP_MC-06"/>
    <x v="0"/>
    <x v="19"/>
    <n v="131.6"/>
    <n v="48034"/>
    <n v="172922.4"/>
  </r>
  <r>
    <x v="0"/>
    <x v="0"/>
    <x v="0"/>
    <x v="9"/>
    <x v="19"/>
    <s v="SE3A"/>
    <x v="6"/>
    <x v="7"/>
    <s v="GNR_RES_WTR_NOPMP_MC-07"/>
    <x v="0"/>
    <x v="0"/>
    <n v="131.6"/>
    <n v="48034"/>
    <n v="172922.4"/>
  </r>
  <r>
    <x v="0"/>
    <x v="0"/>
    <x v="0"/>
    <x v="9"/>
    <x v="19"/>
    <s v="SE3A"/>
    <x v="6"/>
    <x v="7"/>
    <s v="GNR_RES_WTR_NOPMP_MC-07"/>
    <x v="0"/>
    <x v="1"/>
    <n v="131.6"/>
    <n v="48034"/>
    <n v="172922.4"/>
  </r>
  <r>
    <x v="0"/>
    <x v="0"/>
    <x v="0"/>
    <x v="9"/>
    <x v="19"/>
    <s v="SE3A"/>
    <x v="6"/>
    <x v="7"/>
    <s v="GNR_RES_WTR_NOPMP_MC-07"/>
    <x v="0"/>
    <x v="2"/>
    <n v="131.6"/>
    <n v="48034"/>
    <n v="172922.4"/>
  </r>
  <r>
    <x v="0"/>
    <x v="0"/>
    <x v="0"/>
    <x v="9"/>
    <x v="19"/>
    <s v="SE3A"/>
    <x v="6"/>
    <x v="7"/>
    <s v="GNR_RES_WTR_NOPMP_MC-07"/>
    <x v="0"/>
    <x v="9"/>
    <n v="131.6"/>
    <n v="48034"/>
    <n v="172922.4"/>
  </r>
  <r>
    <x v="0"/>
    <x v="0"/>
    <x v="0"/>
    <x v="9"/>
    <x v="19"/>
    <s v="SE3A"/>
    <x v="6"/>
    <x v="7"/>
    <s v="GNR_RES_WTR_NOPMP_MC-07"/>
    <x v="0"/>
    <x v="10"/>
    <n v="131.6"/>
    <n v="48034"/>
    <n v="172922.4"/>
  </r>
  <r>
    <x v="0"/>
    <x v="0"/>
    <x v="0"/>
    <x v="9"/>
    <x v="19"/>
    <s v="SE3A"/>
    <x v="6"/>
    <x v="7"/>
    <s v="GNR_RES_WTR_NOPMP_MC-07"/>
    <x v="0"/>
    <x v="11"/>
    <n v="131.6"/>
    <n v="48034"/>
    <n v="172922.4"/>
  </r>
  <r>
    <x v="0"/>
    <x v="0"/>
    <x v="0"/>
    <x v="9"/>
    <x v="19"/>
    <s v="SE3A"/>
    <x v="6"/>
    <x v="7"/>
    <s v="GNR_RES_WTR_NOPMP_MC-07"/>
    <x v="0"/>
    <x v="12"/>
    <n v="131.6"/>
    <n v="48034"/>
    <n v="172922.4"/>
  </r>
  <r>
    <x v="0"/>
    <x v="0"/>
    <x v="0"/>
    <x v="9"/>
    <x v="19"/>
    <s v="SE3A"/>
    <x v="6"/>
    <x v="7"/>
    <s v="GNR_RES_WTR_NOPMP_MC-07"/>
    <x v="0"/>
    <x v="13"/>
    <n v="131.6"/>
    <n v="48034"/>
    <n v="172922.4"/>
  </r>
  <r>
    <x v="0"/>
    <x v="0"/>
    <x v="0"/>
    <x v="9"/>
    <x v="19"/>
    <s v="SE3A"/>
    <x v="6"/>
    <x v="7"/>
    <s v="GNR_RES_WTR_NOPMP_MC-07"/>
    <x v="0"/>
    <x v="14"/>
    <n v="131.6"/>
    <n v="48034"/>
    <n v="172922.4"/>
  </r>
  <r>
    <x v="0"/>
    <x v="0"/>
    <x v="0"/>
    <x v="9"/>
    <x v="19"/>
    <s v="SE3A"/>
    <x v="6"/>
    <x v="7"/>
    <s v="GNR_RES_WTR_NOPMP_MC-07"/>
    <x v="0"/>
    <x v="15"/>
    <n v="131.6"/>
    <n v="48034"/>
    <n v="172922.4"/>
  </r>
  <r>
    <x v="0"/>
    <x v="0"/>
    <x v="0"/>
    <x v="9"/>
    <x v="19"/>
    <s v="SE3A"/>
    <x v="6"/>
    <x v="7"/>
    <s v="GNR_RES_WTR_NOPMP_MC-07"/>
    <x v="0"/>
    <x v="16"/>
    <n v="131.6"/>
    <n v="48034"/>
    <n v="172922.4"/>
  </r>
  <r>
    <x v="0"/>
    <x v="0"/>
    <x v="0"/>
    <x v="9"/>
    <x v="19"/>
    <s v="SE3A"/>
    <x v="6"/>
    <x v="7"/>
    <s v="GNR_RES_WTR_NOPMP_MC-07"/>
    <x v="0"/>
    <x v="17"/>
    <n v="131.6"/>
    <n v="48034"/>
    <n v="172922.4"/>
  </r>
  <r>
    <x v="0"/>
    <x v="0"/>
    <x v="0"/>
    <x v="9"/>
    <x v="19"/>
    <s v="SE3A"/>
    <x v="6"/>
    <x v="7"/>
    <s v="GNR_RES_WTR_NOPMP_MC-07"/>
    <x v="0"/>
    <x v="19"/>
    <n v="5.5405712636343596"/>
    <n v="2022.3085112265401"/>
    <n v="7280.3106404155496"/>
  </r>
  <r>
    <x v="0"/>
    <x v="0"/>
    <x v="0"/>
    <x v="9"/>
    <x v="19"/>
    <s v="SE3A"/>
    <x v="6"/>
    <x v="7"/>
    <s v="GNR_RES_WTR_NOPMP_MC-08"/>
    <x v="0"/>
    <x v="1"/>
    <n v="131.6"/>
    <n v="48034"/>
    <n v="172922.4"/>
  </r>
  <r>
    <x v="0"/>
    <x v="0"/>
    <x v="0"/>
    <x v="9"/>
    <x v="19"/>
    <s v="SE3A"/>
    <x v="6"/>
    <x v="7"/>
    <s v="GNR_RES_WTR_NOPMP_MC-08"/>
    <x v="0"/>
    <x v="2"/>
    <n v="131.6"/>
    <n v="48034"/>
    <n v="172922.4"/>
  </r>
  <r>
    <x v="0"/>
    <x v="0"/>
    <x v="0"/>
    <x v="9"/>
    <x v="19"/>
    <s v="SE3A"/>
    <x v="6"/>
    <x v="7"/>
    <s v="GNR_RES_WTR_NOPMP_MC-08"/>
    <x v="0"/>
    <x v="9"/>
    <n v="131.6"/>
    <n v="48034"/>
    <n v="172922.4"/>
  </r>
  <r>
    <x v="0"/>
    <x v="0"/>
    <x v="0"/>
    <x v="9"/>
    <x v="19"/>
    <s v="SE3A"/>
    <x v="6"/>
    <x v="7"/>
    <s v="GNR_RES_WTR_NOPMP_MC-08"/>
    <x v="0"/>
    <x v="10"/>
    <n v="131.6"/>
    <n v="48034"/>
    <n v="172922.4"/>
  </r>
  <r>
    <x v="0"/>
    <x v="0"/>
    <x v="0"/>
    <x v="9"/>
    <x v="19"/>
    <s v="SE3A"/>
    <x v="6"/>
    <x v="7"/>
    <s v="GNR_RES_WTR_NOPMP_MC-08"/>
    <x v="0"/>
    <x v="11"/>
    <n v="90.031140368413702"/>
    <n v="32861.366234471003"/>
    <n v="118300.91844409599"/>
  </r>
  <r>
    <x v="0"/>
    <x v="0"/>
    <x v="0"/>
    <x v="9"/>
    <x v="19"/>
    <s v="SE3A"/>
    <x v="6"/>
    <x v="7"/>
    <s v="GNR_RES_WTR_NOPMP_MC-09"/>
    <x v="0"/>
    <x v="2"/>
    <n v="131.6"/>
    <n v="48034"/>
    <n v="172922.4"/>
  </r>
  <r>
    <x v="0"/>
    <x v="0"/>
    <x v="0"/>
    <x v="9"/>
    <x v="19"/>
    <s v="SE3A"/>
    <x v="6"/>
    <x v="4"/>
    <s v="GNR_ROR_WTR"/>
    <x v="0"/>
    <x v="3"/>
    <n v="612.63215465133601"/>
    <n v="223610.73644773799"/>
    <n v="804998.651211855"/>
  </r>
  <r>
    <x v="0"/>
    <x v="0"/>
    <x v="0"/>
    <x v="9"/>
    <x v="19"/>
    <s v="SE3A"/>
    <x v="6"/>
    <x v="4"/>
    <s v="GNR_ROR_WTR"/>
    <x v="0"/>
    <x v="4"/>
    <n v="612.63215465133601"/>
    <n v="223610.73644773799"/>
    <n v="804998.651211855"/>
  </r>
  <r>
    <x v="0"/>
    <x v="0"/>
    <x v="0"/>
    <x v="9"/>
    <x v="19"/>
    <s v="SE3A"/>
    <x v="6"/>
    <x v="4"/>
    <s v="GNR_ROR_WTR"/>
    <x v="0"/>
    <x v="5"/>
    <n v="612.63215465133601"/>
    <n v="223610.73644773799"/>
    <n v="804998.651211855"/>
  </r>
  <r>
    <x v="0"/>
    <x v="0"/>
    <x v="0"/>
    <x v="9"/>
    <x v="19"/>
    <s v="SE3A"/>
    <x v="6"/>
    <x v="4"/>
    <s v="GNR_ROR_WTR"/>
    <x v="0"/>
    <x v="6"/>
    <n v="612.63215465133601"/>
    <n v="223610.73644773799"/>
    <n v="804998.651211855"/>
  </r>
  <r>
    <x v="0"/>
    <x v="0"/>
    <x v="0"/>
    <x v="9"/>
    <x v="19"/>
    <s v="SE3A"/>
    <x v="6"/>
    <x v="4"/>
    <s v="GNR_ROR_WTR"/>
    <x v="0"/>
    <x v="7"/>
    <n v="612.63215465133601"/>
    <n v="223610.73644773799"/>
    <n v="804998.651211855"/>
  </r>
  <r>
    <x v="0"/>
    <x v="0"/>
    <x v="0"/>
    <x v="9"/>
    <x v="19"/>
    <s v="SE3A"/>
    <x v="6"/>
    <x v="4"/>
    <s v="GNR_ROR_WTR"/>
    <x v="0"/>
    <x v="8"/>
    <n v="612.63215465133601"/>
    <n v="223610.73644773799"/>
    <n v="804998.651211855"/>
  </r>
  <r>
    <x v="0"/>
    <x v="0"/>
    <x v="0"/>
    <x v="9"/>
    <x v="19"/>
    <s v="SE3A"/>
    <x v="6"/>
    <x v="4"/>
    <s v="GNR_ROR_WTR"/>
    <x v="0"/>
    <x v="0"/>
    <n v="612.63215465133601"/>
    <n v="223610.73644773799"/>
    <n v="804998.651211855"/>
  </r>
  <r>
    <x v="0"/>
    <x v="0"/>
    <x v="0"/>
    <x v="9"/>
    <x v="19"/>
    <s v="SE3A"/>
    <x v="6"/>
    <x v="4"/>
    <s v="GNR_ROR_WTR"/>
    <x v="0"/>
    <x v="1"/>
    <n v="612.63215465133601"/>
    <n v="223610.73644773799"/>
    <n v="804998.651211855"/>
  </r>
  <r>
    <x v="0"/>
    <x v="0"/>
    <x v="0"/>
    <x v="9"/>
    <x v="19"/>
    <s v="SE3A"/>
    <x v="6"/>
    <x v="4"/>
    <s v="GNR_ROR_WTR"/>
    <x v="0"/>
    <x v="2"/>
    <n v="612.63215465133601"/>
    <n v="223610.73644773799"/>
    <n v="804998.651211855"/>
  </r>
  <r>
    <x v="0"/>
    <x v="0"/>
    <x v="0"/>
    <x v="9"/>
    <x v="19"/>
    <s v="SE3A"/>
    <x v="6"/>
    <x v="4"/>
    <s v="GNR_ROR_WTR"/>
    <x v="0"/>
    <x v="9"/>
    <n v="612.63215465133601"/>
    <n v="223610.73644773799"/>
    <n v="804998.651211855"/>
  </r>
  <r>
    <x v="0"/>
    <x v="0"/>
    <x v="0"/>
    <x v="9"/>
    <x v="19"/>
    <s v="SE3A"/>
    <x v="6"/>
    <x v="4"/>
    <s v="GNR_ROR_WTR"/>
    <x v="0"/>
    <x v="10"/>
    <n v="612.63215465133601"/>
    <n v="223610.73644773799"/>
    <n v="804998.651211855"/>
  </r>
  <r>
    <x v="0"/>
    <x v="0"/>
    <x v="0"/>
    <x v="9"/>
    <x v="19"/>
    <s v="SE3A"/>
    <x v="6"/>
    <x v="4"/>
    <s v="GNR_ROR_WTR"/>
    <x v="0"/>
    <x v="11"/>
    <n v="612.63215465133601"/>
    <n v="223610.73644773799"/>
    <n v="804998.651211855"/>
  </r>
  <r>
    <x v="0"/>
    <x v="0"/>
    <x v="0"/>
    <x v="9"/>
    <x v="19"/>
    <s v="SE3A"/>
    <x v="6"/>
    <x v="4"/>
    <s v="GNR_ROR_WTR"/>
    <x v="0"/>
    <x v="12"/>
    <n v="612.63215465133601"/>
    <n v="223610.73644773799"/>
    <n v="804998.651211855"/>
  </r>
  <r>
    <x v="0"/>
    <x v="0"/>
    <x v="0"/>
    <x v="9"/>
    <x v="19"/>
    <s v="SE3A"/>
    <x v="6"/>
    <x v="4"/>
    <s v="GNR_ROR_WTR"/>
    <x v="0"/>
    <x v="13"/>
    <n v="612.63215465133601"/>
    <n v="223610.73644773799"/>
    <n v="804998.651211855"/>
  </r>
  <r>
    <x v="0"/>
    <x v="0"/>
    <x v="0"/>
    <x v="9"/>
    <x v="19"/>
    <s v="SE3A"/>
    <x v="6"/>
    <x v="4"/>
    <s v="GNR_ROR_WTR"/>
    <x v="0"/>
    <x v="14"/>
    <n v="612.63215465133601"/>
    <n v="223610.73644773799"/>
    <n v="804998.651211855"/>
  </r>
  <r>
    <x v="0"/>
    <x v="0"/>
    <x v="0"/>
    <x v="9"/>
    <x v="19"/>
    <s v="SE3A"/>
    <x v="6"/>
    <x v="4"/>
    <s v="GNR_ROR_WTR"/>
    <x v="0"/>
    <x v="15"/>
    <n v="612.63215465133601"/>
    <n v="223610.73644773799"/>
    <n v="804998.651211855"/>
  </r>
  <r>
    <x v="0"/>
    <x v="0"/>
    <x v="0"/>
    <x v="9"/>
    <x v="19"/>
    <s v="SE3A"/>
    <x v="6"/>
    <x v="4"/>
    <s v="GNR_ROR_WTR"/>
    <x v="0"/>
    <x v="16"/>
    <n v="612.63215465133601"/>
    <n v="223610.73644773799"/>
    <n v="804998.651211855"/>
  </r>
  <r>
    <x v="0"/>
    <x v="0"/>
    <x v="0"/>
    <x v="9"/>
    <x v="19"/>
    <s v="SE3A"/>
    <x v="6"/>
    <x v="4"/>
    <s v="GNR_ROR_WTR"/>
    <x v="0"/>
    <x v="17"/>
    <n v="612.63215465133601"/>
    <n v="223610.73644773799"/>
    <n v="804998.651211855"/>
  </r>
  <r>
    <x v="0"/>
    <x v="0"/>
    <x v="0"/>
    <x v="9"/>
    <x v="19"/>
    <s v="SE3A"/>
    <x v="6"/>
    <x v="4"/>
    <s v="GNR_ROR_WTR"/>
    <x v="0"/>
    <x v="18"/>
    <n v="612.63215465133601"/>
    <n v="223610.73644773799"/>
    <n v="804998.651211855"/>
  </r>
  <r>
    <x v="0"/>
    <x v="0"/>
    <x v="0"/>
    <x v="9"/>
    <x v="19"/>
    <s v="SE3A"/>
    <x v="6"/>
    <x v="4"/>
    <s v="GNR_ROR_WTR"/>
    <x v="0"/>
    <x v="19"/>
    <n v="612.63215465133601"/>
    <n v="223610.73644773799"/>
    <n v="804998.651211855"/>
  </r>
  <r>
    <x v="0"/>
    <x v="0"/>
    <x v="0"/>
    <x v="9"/>
    <x v="19"/>
    <s v="SE3A"/>
    <x v="6"/>
    <x v="4"/>
    <s v="GNR_ROR_WTR"/>
    <x v="0"/>
    <x v="20"/>
    <n v="612.63215465133601"/>
    <n v="223610.73644773799"/>
    <n v="804998.651211855"/>
  </r>
  <r>
    <x v="0"/>
    <x v="0"/>
    <x v="0"/>
    <x v="9"/>
    <x v="19"/>
    <s v="SE3A"/>
    <x v="6"/>
    <x v="4"/>
    <s v="GNR_ROR_WTR"/>
    <x v="0"/>
    <x v="21"/>
    <n v="612.63215465133601"/>
    <n v="223610.73644773799"/>
    <n v="804998.651211855"/>
  </r>
  <r>
    <x v="0"/>
    <x v="0"/>
    <x v="0"/>
    <x v="9"/>
    <x v="19"/>
    <s v="SE3A"/>
    <x v="6"/>
    <x v="4"/>
    <s v="GNR_ROR_WTR"/>
    <x v="0"/>
    <x v="22"/>
    <n v="612.63215465133601"/>
    <n v="223610.73644773799"/>
    <n v="804998.651211855"/>
  </r>
  <r>
    <x v="0"/>
    <x v="0"/>
    <x v="0"/>
    <x v="9"/>
    <x v="19"/>
    <s v="SE3A"/>
    <x v="6"/>
    <x v="4"/>
    <s v="GNR_ROR_WTR"/>
    <x v="0"/>
    <x v="23"/>
    <n v="612.63215465133601"/>
    <n v="223610.73644773799"/>
    <n v="804998.651211855"/>
  </r>
  <r>
    <x v="0"/>
    <x v="0"/>
    <x v="0"/>
    <x v="9"/>
    <x v="19"/>
    <s v="SE3A"/>
    <x v="7"/>
    <x v="5"/>
    <s v="GNR_WT_WIND_ONS"/>
    <x v="0"/>
    <x v="3"/>
    <n v="630.20853809515404"/>
    <n v="230026.116404731"/>
    <n v="828094.019057033"/>
  </r>
  <r>
    <x v="0"/>
    <x v="0"/>
    <x v="0"/>
    <x v="9"/>
    <x v="19"/>
    <s v="SE3A"/>
    <x v="7"/>
    <x v="5"/>
    <s v="GNR_WT_WIND_ONS"/>
    <x v="0"/>
    <x v="4"/>
    <n v="579.90689185148904"/>
    <n v="211666.01552579299"/>
    <n v="761997.65589285595"/>
  </r>
  <r>
    <x v="0"/>
    <x v="0"/>
    <x v="0"/>
    <x v="9"/>
    <x v="19"/>
    <s v="SE3A"/>
    <x v="7"/>
    <x v="5"/>
    <s v="GNR_WT_WIND_ONS"/>
    <x v="0"/>
    <x v="5"/>
    <n v="484.39772577407001"/>
    <n v="176805.16990753499"/>
    <n v="636498.611667127"/>
  </r>
  <r>
    <x v="0"/>
    <x v="0"/>
    <x v="0"/>
    <x v="9"/>
    <x v="19"/>
    <s v="SE3A"/>
    <x v="7"/>
    <x v="5"/>
    <s v="GNR_WT_WIND_ONS"/>
    <x v="0"/>
    <x v="6"/>
    <n v="326.61875594709801"/>
    <n v="119215.845920691"/>
    <n v="429177.04531448701"/>
  </r>
  <r>
    <x v="0"/>
    <x v="0"/>
    <x v="0"/>
    <x v="9"/>
    <x v="19"/>
    <s v="SE3A"/>
    <x v="7"/>
    <x v="5"/>
    <s v="GNR_WT_WIND_ONS"/>
    <x v="0"/>
    <x v="7"/>
    <n v="314.45614213319999"/>
    <n v="114776.49187861801"/>
    <n v="413195.37076302402"/>
  </r>
  <r>
    <x v="0"/>
    <x v="0"/>
    <x v="0"/>
    <x v="9"/>
    <x v="19"/>
    <s v="SE3A"/>
    <x v="7"/>
    <x v="5"/>
    <s v="GNR_WT_WIND_ONS"/>
    <x v="0"/>
    <x v="8"/>
    <n v="253.32181962193101"/>
    <n v="92462.464162004995"/>
    <n v="332864.87098321802"/>
  </r>
  <r>
    <x v="0"/>
    <x v="0"/>
    <x v="0"/>
    <x v="9"/>
    <x v="19"/>
    <s v="SE3A"/>
    <x v="7"/>
    <x v="5"/>
    <s v="GNR_WT_WIND_ONS"/>
    <x v="0"/>
    <x v="0"/>
    <n v="229.02111023963499"/>
    <n v="83592.705237466696"/>
    <n v="300933.73885487998"/>
  </r>
  <r>
    <x v="0"/>
    <x v="0"/>
    <x v="0"/>
    <x v="9"/>
    <x v="19"/>
    <s v="SE3A"/>
    <x v="7"/>
    <x v="5"/>
    <s v="GNR_WT_WIND_ONS"/>
    <x v="0"/>
    <x v="1"/>
    <n v="290.23404835149501"/>
    <n v="105935.427648296"/>
    <n v="381367.539533865"/>
  </r>
  <r>
    <x v="0"/>
    <x v="0"/>
    <x v="0"/>
    <x v="9"/>
    <x v="19"/>
    <s v="SE3A"/>
    <x v="7"/>
    <x v="5"/>
    <s v="GNR_WT_WIND_ONS"/>
    <x v="0"/>
    <x v="2"/>
    <n v="341.828714981524"/>
    <n v="124767.480968256"/>
    <n v="449162.93148572301"/>
  </r>
  <r>
    <x v="0"/>
    <x v="0"/>
    <x v="0"/>
    <x v="9"/>
    <x v="19"/>
    <s v="SE3A"/>
    <x v="7"/>
    <x v="5"/>
    <s v="GNR_WT_WIND_ONS"/>
    <x v="0"/>
    <x v="9"/>
    <n v="366.085104322625"/>
    <n v="133621.06307775801"/>
    <n v="481035.82707992999"/>
  </r>
  <r>
    <x v="0"/>
    <x v="0"/>
    <x v="0"/>
    <x v="9"/>
    <x v="19"/>
    <s v="SE3A"/>
    <x v="7"/>
    <x v="5"/>
    <s v="GNR_WT_WIND_ONS"/>
    <x v="0"/>
    <x v="10"/>
    <n v="466.50690668697302"/>
    <n v="170275.02094074499"/>
    <n v="612990.07538668194"/>
  </r>
  <r>
    <x v="0"/>
    <x v="0"/>
    <x v="0"/>
    <x v="9"/>
    <x v="19"/>
    <s v="SE3A"/>
    <x v="7"/>
    <x v="5"/>
    <s v="GNR_WT_WIND_ONS"/>
    <x v="0"/>
    <x v="11"/>
    <n v="484.76302372561099"/>
    <n v="176938.50365984801"/>
    <n v="636978.61317545304"/>
  </r>
  <r>
    <x v="0"/>
    <x v="0"/>
    <x v="0"/>
    <x v="9"/>
    <x v="19"/>
    <s v="SE3A"/>
    <x v="7"/>
    <x v="5"/>
    <s v="GNR_WT_WIND_ONS"/>
    <x v="0"/>
    <x v="12"/>
    <n v="538.46831379855098"/>
    <n v="196540.934536471"/>
    <n v="707547.36433129502"/>
  </r>
  <r>
    <x v="0"/>
    <x v="0"/>
    <x v="0"/>
    <x v="9"/>
    <x v="19"/>
    <s v="SE3A"/>
    <x v="7"/>
    <x v="5"/>
    <s v="GNR_WT_WIND_ONS"/>
    <x v="0"/>
    <x v="13"/>
    <n v="656.69087293918301"/>
    <n v="239692.16862280201"/>
    <n v="862891.80704208696"/>
  </r>
  <r>
    <x v="0"/>
    <x v="0"/>
    <x v="0"/>
    <x v="9"/>
    <x v="19"/>
    <s v="SE3A"/>
    <x v="7"/>
    <x v="5"/>
    <s v="GNR_WT_WIND_ONS"/>
    <x v="0"/>
    <x v="14"/>
    <n v="735.71913857775405"/>
    <n v="268537.48558088002"/>
    <n v="966734.94809116796"/>
  </r>
  <r>
    <x v="0"/>
    <x v="0"/>
    <x v="0"/>
    <x v="9"/>
    <x v="19"/>
    <s v="SE3A"/>
    <x v="7"/>
    <x v="5"/>
    <s v="GNR_WT_WIND_ONS"/>
    <x v="0"/>
    <x v="15"/>
    <n v="790.35722815734005"/>
    <n v="288480.38827742898"/>
    <n v="1038529.39779875"/>
  </r>
  <r>
    <x v="0"/>
    <x v="0"/>
    <x v="0"/>
    <x v="9"/>
    <x v="19"/>
    <s v="SE3A"/>
    <x v="7"/>
    <x v="5"/>
    <s v="GNR_WT_WIND_ONS"/>
    <x v="0"/>
    <x v="16"/>
    <n v="802.40127836496401"/>
    <n v="292876.466603212"/>
    <n v="1054355.2797715601"/>
  </r>
  <r>
    <x v="0"/>
    <x v="0"/>
    <x v="0"/>
    <x v="9"/>
    <x v="19"/>
    <s v="SE3A"/>
    <x v="7"/>
    <x v="5"/>
    <s v="GNR_WT_WIND_ONS"/>
    <x v="0"/>
    <x v="17"/>
    <n v="849.83711408234603"/>
    <n v="310190.54664005601"/>
    <n v="1116685.9679042001"/>
  </r>
  <r>
    <x v="0"/>
    <x v="0"/>
    <x v="0"/>
    <x v="9"/>
    <x v="19"/>
    <s v="SE3A"/>
    <x v="7"/>
    <x v="5"/>
    <s v="GNR_WT_WIND_ONS"/>
    <x v="0"/>
    <x v="18"/>
    <n v="808.02531654920199"/>
    <n v="294929.240540459"/>
    <n v="1061745.2659456499"/>
  </r>
  <r>
    <x v="0"/>
    <x v="0"/>
    <x v="0"/>
    <x v="9"/>
    <x v="19"/>
    <s v="SE3A"/>
    <x v="7"/>
    <x v="5"/>
    <s v="GNR_WT_WIND_ONS"/>
    <x v="0"/>
    <x v="19"/>
    <n v="720.59362992718195"/>
    <n v="263016.674923421"/>
    <n v="946860.02972431702"/>
  </r>
  <r>
    <x v="0"/>
    <x v="0"/>
    <x v="0"/>
    <x v="9"/>
    <x v="19"/>
    <s v="SE3A"/>
    <x v="7"/>
    <x v="5"/>
    <s v="GNR_WT_WIND_ONS"/>
    <x v="0"/>
    <x v="20"/>
    <n v="606.34139768049897"/>
    <n v="221314.610153382"/>
    <n v="796732.59655217605"/>
  </r>
  <r>
    <x v="0"/>
    <x v="0"/>
    <x v="0"/>
    <x v="9"/>
    <x v="19"/>
    <s v="SE3A"/>
    <x v="7"/>
    <x v="5"/>
    <s v="GNR_WT_WIND_ONS"/>
    <x v="0"/>
    <x v="21"/>
    <n v="491.218348343532"/>
    <n v="179294.69714538899"/>
    <n v="645460.90972340095"/>
  </r>
  <r>
    <x v="0"/>
    <x v="0"/>
    <x v="0"/>
    <x v="9"/>
    <x v="19"/>
    <s v="SE3A"/>
    <x v="7"/>
    <x v="5"/>
    <s v="GNR_WT_WIND_ONS"/>
    <x v="0"/>
    <x v="22"/>
    <n v="460.57818341426201"/>
    <n v="168111.036946206"/>
    <n v="605199.73300634103"/>
  </r>
  <r>
    <x v="0"/>
    <x v="0"/>
    <x v="0"/>
    <x v="9"/>
    <x v="19"/>
    <s v="SE3A"/>
    <x v="7"/>
    <x v="5"/>
    <s v="GNR_WT_WIND_ONS"/>
    <x v="0"/>
    <x v="23"/>
    <n v="486.87519095492598"/>
    <n v="177709.444698548"/>
    <n v="639754.00091477297"/>
  </r>
  <r>
    <x v="0"/>
    <x v="0"/>
    <x v="0"/>
    <x v="9"/>
    <x v="19"/>
    <s v="SE3A"/>
    <x v="11"/>
    <x v="1"/>
    <s v="GBPR_IND_BIO"/>
    <x v="0"/>
    <x v="7"/>
    <n v="5.07777131524381"/>
    <n v="1853.38653006399"/>
    <n v="6672.1915082303603"/>
  </r>
  <r>
    <x v="0"/>
    <x v="0"/>
    <x v="0"/>
    <x v="9"/>
    <x v="19"/>
    <s v="SE3A"/>
    <x v="11"/>
    <x v="1"/>
    <s v="GBPR_IND_BIO"/>
    <x v="0"/>
    <x v="8"/>
    <n v="567.79999999999995"/>
    <n v="207247"/>
    <n v="746089.2"/>
  </r>
  <r>
    <x v="0"/>
    <x v="0"/>
    <x v="0"/>
    <x v="9"/>
    <x v="19"/>
    <s v="SE3A"/>
    <x v="11"/>
    <x v="1"/>
    <s v="GBPR_IND_BIO"/>
    <x v="0"/>
    <x v="0"/>
    <n v="567.79999999999995"/>
    <n v="207247"/>
    <n v="746089.2"/>
  </r>
  <r>
    <x v="0"/>
    <x v="0"/>
    <x v="0"/>
    <x v="9"/>
    <x v="19"/>
    <s v="SE3A"/>
    <x v="11"/>
    <x v="1"/>
    <s v="GBPR_IND_BIO"/>
    <x v="0"/>
    <x v="1"/>
    <n v="567.79999999999995"/>
    <n v="207247"/>
    <n v="746089.2"/>
  </r>
  <r>
    <x v="0"/>
    <x v="0"/>
    <x v="0"/>
    <x v="9"/>
    <x v="19"/>
    <s v="SE3A"/>
    <x v="11"/>
    <x v="1"/>
    <s v="GBPR_IND_BIO"/>
    <x v="0"/>
    <x v="2"/>
    <n v="567.79999999999995"/>
    <n v="207247"/>
    <n v="746089.2"/>
  </r>
  <r>
    <x v="0"/>
    <x v="0"/>
    <x v="0"/>
    <x v="9"/>
    <x v="19"/>
    <s v="SE3A"/>
    <x v="11"/>
    <x v="1"/>
    <s v="GBPR_IND_BIO"/>
    <x v="0"/>
    <x v="9"/>
    <n v="567.79999999999995"/>
    <n v="207247"/>
    <n v="746089.2"/>
  </r>
  <r>
    <x v="0"/>
    <x v="0"/>
    <x v="0"/>
    <x v="9"/>
    <x v="19"/>
    <s v="SE3A"/>
    <x v="11"/>
    <x v="1"/>
    <s v="GBPR_IND_BIO"/>
    <x v="0"/>
    <x v="10"/>
    <n v="567.79999999999995"/>
    <n v="207247"/>
    <n v="746089.2"/>
  </r>
  <r>
    <x v="0"/>
    <x v="0"/>
    <x v="0"/>
    <x v="9"/>
    <x v="19"/>
    <s v="SE3A"/>
    <x v="11"/>
    <x v="1"/>
    <s v="GBPR_IND_BIO"/>
    <x v="0"/>
    <x v="11"/>
    <n v="567.79999999999995"/>
    <n v="207247"/>
    <n v="746089.2"/>
  </r>
  <r>
    <x v="0"/>
    <x v="0"/>
    <x v="0"/>
    <x v="9"/>
    <x v="19"/>
    <s v="SE3A"/>
    <x v="11"/>
    <x v="1"/>
    <s v="GBPR_IND_BIO"/>
    <x v="0"/>
    <x v="12"/>
    <n v="567.79999999999995"/>
    <n v="207247"/>
    <n v="746089.2"/>
  </r>
  <r>
    <x v="0"/>
    <x v="0"/>
    <x v="0"/>
    <x v="9"/>
    <x v="19"/>
    <s v="SE3A"/>
    <x v="11"/>
    <x v="1"/>
    <s v="GBPR_IND_BIO"/>
    <x v="0"/>
    <x v="13"/>
    <n v="567.79999999999995"/>
    <n v="207247"/>
    <n v="746089.2"/>
  </r>
  <r>
    <x v="0"/>
    <x v="0"/>
    <x v="0"/>
    <x v="9"/>
    <x v="19"/>
    <s v="SE3A"/>
    <x v="11"/>
    <x v="1"/>
    <s v="GBPR_IND_BIO"/>
    <x v="0"/>
    <x v="14"/>
    <n v="567.79999999999995"/>
    <n v="207247"/>
    <n v="746089.2"/>
  </r>
  <r>
    <x v="0"/>
    <x v="0"/>
    <x v="0"/>
    <x v="9"/>
    <x v="19"/>
    <s v="SE3A"/>
    <x v="11"/>
    <x v="1"/>
    <s v="GBPR_IND_BIO"/>
    <x v="0"/>
    <x v="15"/>
    <n v="567.79999999999995"/>
    <n v="207247"/>
    <n v="746089.2"/>
  </r>
  <r>
    <x v="0"/>
    <x v="0"/>
    <x v="0"/>
    <x v="9"/>
    <x v="19"/>
    <s v="SE3A"/>
    <x v="11"/>
    <x v="1"/>
    <s v="GBPR_IND_BIO"/>
    <x v="0"/>
    <x v="16"/>
    <n v="567.79999999999995"/>
    <n v="207247"/>
    <n v="746089.2"/>
  </r>
  <r>
    <x v="0"/>
    <x v="0"/>
    <x v="0"/>
    <x v="9"/>
    <x v="19"/>
    <s v="SE3A"/>
    <x v="11"/>
    <x v="1"/>
    <s v="GBPR_IND_BIO"/>
    <x v="0"/>
    <x v="17"/>
    <n v="567.79999999999995"/>
    <n v="207247"/>
    <n v="746089.2"/>
  </r>
  <r>
    <x v="0"/>
    <x v="0"/>
    <x v="0"/>
    <x v="9"/>
    <x v="19"/>
    <s v="SE3A"/>
    <x v="11"/>
    <x v="1"/>
    <s v="GBPR_IND_BIO"/>
    <x v="0"/>
    <x v="18"/>
    <n v="567.79999999999995"/>
    <n v="207247"/>
    <n v="746089.2"/>
  </r>
  <r>
    <x v="0"/>
    <x v="0"/>
    <x v="0"/>
    <x v="9"/>
    <x v="19"/>
    <s v="SE3A"/>
    <x v="11"/>
    <x v="1"/>
    <s v="GBPR_IND_BIO"/>
    <x v="0"/>
    <x v="19"/>
    <n v="567.79999999999995"/>
    <n v="207247"/>
    <n v="746089.2"/>
  </r>
  <r>
    <x v="0"/>
    <x v="0"/>
    <x v="0"/>
    <x v="9"/>
    <x v="19"/>
    <s v="SE3A"/>
    <x v="11"/>
    <x v="1"/>
    <s v="GBPR_IND_BIO"/>
    <x v="0"/>
    <x v="20"/>
    <n v="567.79999999999995"/>
    <n v="207247"/>
    <n v="746089.2"/>
  </r>
  <r>
    <x v="0"/>
    <x v="0"/>
    <x v="0"/>
    <x v="9"/>
    <x v="19"/>
    <s v="SE3_EL"/>
    <x v="0"/>
    <x v="0"/>
    <s v="GEXT_COAL_LINK"/>
    <x v="0"/>
    <x v="0"/>
    <n v="0.57088471816245201"/>
    <n v="208.37292212929501"/>
    <n v="750.14251966546203"/>
  </r>
  <r>
    <x v="0"/>
    <x v="0"/>
    <x v="0"/>
    <x v="9"/>
    <x v="19"/>
    <s v="SE3_EL"/>
    <x v="0"/>
    <x v="0"/>
    <s v="GEXT_COAL_LINK"/>
    <x v="0"/>
    <x v="1"/>
    <n v="10.1341372733398"/>
    <n v="3698.9601047690398"/>
    <n v="13316.2563771685"/>
  </r>
  <r>
    <x v="0"/>
    <x v="0"/>
    <x v="0"/>
    <x v="9"/>
    <x v="19"/>
    <s v="SE3_EL"/>
    <x v="0"/>
    <x v="0"/>
    <s v="GEXT_COAL_LINK"/>
    <x v="0"/>
    <x v="2"/>
    <n v="14.769566729849"/>
    <n v="5390.8918563948801"/>
    <n v="19407.2106830216"/>
  </r>
  <r>
    <x v="0"/>
    <x v="0"/>
    <x v="0"/>
    <x v="9"/>
    <x v="19"/>
    <s v="SE3_EL"/>
    <x v="0"/>
    <x v="0"/>
    <s v="GEXT_COAL_LINK"/>
    <x v="0"/>
    <x v="9"/>
    <n v="12.0031630742006"/>
    <n v="4381.1545220832004"/>
    <n v="15772.156279499501"/>
  </r>
  <r>
    <x v="0"/>
    <x v="0"/>
    <x v="0"/>
    <x v="9"/>
    <x v="19"/>
    <s v="SE3_EL"/>
    <x v="0"/>
    <x v="0"/>
    <s v="GEXT_COAL_LINK"/>
    <x v="0"/>
    <x v="10"/>
    <n v="10.1341372733398"/>
    <n v="3698.9601047690398"/>
    <n v="13316.2563771685"/>
  </r>
  <r>
    <x v="0"/>
    <x v="0"/>
    <x v="0"/>
    <x v="9"/>
    <x v="19"/>
    <s v="SE3_EL"/>
    <x v="0"/>
    <x v="0"/>
    <s v="GEXT_COAL_LINK"/>
    <x v="0"/>
    <x v="11"/>
    <n v="10.1341372733398"/>
    <n v="3698.9601047690398"/>
    <n v="13316.2563771685"/>
  </r>
  <r>
    <x v="0"/>
    <x v="0"/>
    <x v="0"/>
    <x v="9"/>
    <x v="19"/>
    <s v="SE3_EL"/>
    <x v="0"/>
    <x v="0"/>
    <s v="GEXT_COAL_LINK"/>
    <x v="0"/>
    <x v="12"/>
    <n v="10.1341372733398"/>
    <n v="3698.9601047690398"/>
    <n v="13316.2563771685"/>
  </r>
  <r>
    <x v="0"/>
    <x v="0"/>
    <x v="0"/>
    <x v="9"/>
    <x v="19"/>
    <s v="SE3_EL"/>
    <x v="0"/>
    <x v="0"/>
    <s v="GEXT_COAL_LINK"/>
    <x v="0"/>
    <x v="13"/>
    <n v="10.1341372733398"/>
    <n v="3698.9601047690398"/>
    <n v="13316.2563771685"/>
  </r>
  <r>
    <x v="0"/>
    <x v="0"/>
    <x v="0"/>
    <x v="9"/>
    <x v="19"/>
    <s v="SE3_EL"/>
    <x v="0"/>
    <x v="0"/>
    <s v="GEXT_COAL_LINK"/>
    <x v="0"/>
    <x v="14"/>
    <n v="10.1341372733398"/>
    <n v="3698.9601047690398"/>
    <n v="13316.2563771685"/>
  </r>
  <r>
    <x v="0"/>
    <x v="0"/>
    <x v="0"/>
    <x v="9"/>
    <x v="19"/>
    <s v="SE3_EL"/>
    <x v="0"/>
    <x v="0"/>
    <s v="GEXT_COAL_LINK"/>
    <x v="0"/>
    <x v="15"/>
    <n v="7.1926771318610196"/>
    <n v="2625.3271531292698"/>
    <n v="9451.1777512653898"/>
  </r>
  <r>
    <x v="0"/>
    <x v="0"/>
    <x v="0"/>
    <x v="9"/>
    <x v="19"/>
    <s v="SE3_EL"/>
    <x v="1"/>
    <x v="1"/>
    <s v="GBPR_MUNIWASTE_24"/>
    <x v="0"/>
    <x v="3"/>
    <n v="46.222048776481302"/>
    <n v="16871.047803415699"/>
    <n v="60735.7720922964"/>
  </r>
  <r>
    <x v="0"/>
    <x v="0"/>
    <x v="0"/>
    <x v="9"/>
    <x v="19"/>
    <s v="SE3_EL"/>
    <x v="1"/>
    <x v="1"/>
    <s v="GBPR_MUNIWASTE_24"/>
    <x v="0"/>
    <x v="4"/>
    <n v="46.222048776481302"/>
    <n v="16871.047803415699"/>
    <n v="60735.7720922964"/>
  </r>
  <r>
    <x v="0"/>
    <x v="0"/>
    <x v="0"/>
    <x v="9"/>
    <x v="19"/>
    <s v="SE3_EL"/>
    <x v="1"/>
    <x v="1"/>
    <s v="GBPR_MUNIWASTE_24"/>
    <x v="0"/>
    <x v="5"/>
    <n v="46.222048776481302"/>
    <n v="16871.047803415699"/>
    <n v="60735.7720922964"/>
  </r>
  <r>
    <x v="0"/>
    <x v="0"/>
    <x v="0"/>
    <x v="9"/>
    <x v="19"/>
    <s v="SE3_EL"/>
    <x v="1"/>
    <x v="1"/>
    <s v="GBPR_MUNIWASTE_24"/>
    <x v="0"/>
    <x v="6"/>
    <n v="46.222048776481302"/>
    <n v="16871.047803415699"/>
    <n v="60735.7720922964"/>
  </r>
  <r>
    <x v="0"/>
    <x v="0"/>
    <x v="0"/>
    <x v="9"/>
    <x v="19"/>
    <s v="SE3_EL"/>
    <x v="1"/>
    <x v="1"/>
    <s v="GBPR_MUNIWASTE_24"/>
    <x v="0"/>
    <x v="7"/>
    <n v="46.222048776481302"/>
    <n v="16871.047803415699"/>
    <n v="60735.7720922964"/>
  </r>
  <r>
    <x v="0"/>
    <x v="0"/>
    <x v="0"/>
    <x v="9"/>
    <x v="19"/>
    <s v="SE3_EL"/>
    <x v="1"/>
    <x v="1"/>
    <s v="GBPR_MUNIWASTE_24"/>
    <x v="0"/>
    <x v="8"/>
    <n v="46.222048776481302"/>
    <n v="16871.047803415699"/>
    <n v="60735.7720922964"/>
  </r>
  <r>
    <x v="0"/>
    <x v="0"/>
    <x v="0"/>
    <x v="9"/>
    <x v="19"/>
    <s v="SE3_EL"/>
    <x v="1"/>
    <x v="1"/>
    <s v="GBPR_MUNIWASTE_24"/>
    <x v="0"/>
    <x v="0"/>
    <n v="46.222048776481302"/>
    <n v="16871.047803415699"/>
    <n v="60735.7720922964"/>
  </r>
  <r>
    <x v="0"/>
    <x v="0"/>
    <x v="0"/>
    <x v="9"/>
    <x v="19"/>
    <s v="SE3_EL"/>
    <x v="1"/>
    <x v="1"/>
    <s v="GBPR_MUNIWASTE_24"/>
    <x v="0"/>
    <x v="1"/>
    <n v="46.222048776481302"/>
    <n v="16871.047803415699"/>
    <n v="60735.7720922964"/>
  </r>
  <r>
    <x v="0"/>
    <x v="0"/>
    <x v="0"/>
    <x v="9"/>
    <x v="19"/>
    <s v="SE3_EL"/>
    <x v="1"/>
    <x v="1"/>
    <s v="GBPR_MUNIWASTE_24"/>
    <x v="0"/>
    <x v="2"/>
    <n v="46.222048776481302"/>
    <n v="16871.047803415699"/>
    <n v="60735.7720922964"/>
  </r>
  <r>
    <x v="0"/>
    <x v="0"/>
    <x v="0"/>
    <x v="9"/>
    <x v="19"/>
    <s v="SE3_EL"/>
    <x v="1"/>
    <x v="1"/>
    <s v="GBPR_MUNIWASTE_24"/>
    <x v="0"/>
    <x v="9"/>
    <n v="46.222048776481302"/>
    <n v="16871.047803415699"/>
    <n v="60735.7720922964"/>
  </r>
  <r>
    <x v="0"/>
    <x v="0"/>
    <x v="0"/>
    <x v="9"/>
    <x v="19"/>
    <s v="SE3_EL"/>
    <x v="1"/>
    <x v="1"/>
    <s v="GBPR_MUNIWASTE_24"/>
    <x v="0"/>
    <x v="10"/>
    <n v="46.222048776481302"/>
    <n v="16871.047803415699"/>
    <n v="60735.7720922964"/>
  </r>
  <r>
    <x v="0"/>
    <x v="0"/>
    <x v="0"/>
    <x v="9"/>
    <x v="19"/>
    <s v="SE3_EL"/>
    <x v="1"/>
    <x v="1"/>
    <s v="GBPR_MUNIWASTE_24"/>
    <x v="0"/>
    <x v="11"/>
    <n v="46.222048776481302"/>
    <n v="16871.047803415699"/>
    <n v="60735.7720922964"/>
  </r>
  <r>
    <x v="0"/>
    <x v="0"/>
    <x v="0"/>
    <x v="9"/>
    <x v="19"/>
    <s v="SE3_EL"/>
    <x v="1"/>
    <x v="1"/>
    <s v="GBPR_MUNIWASTE_24"/>
    <x v="0"/>
    <x v="12"/>
    <n v="46.222048776481302"/>
    <n v="16871.047803415699"/>
    <n v="60735.7720922964"/>
  </r>
  <r>
    <x v="0"/>
    <x v="0"/>
    <x v="0"/>
    <x v="9"/>
    <x v="19"/>
    <s v="SE3_EL"/>
    <x v="1"/>
    <x v="1"/>
    <s v="GBPR_MUNIWASTE_24"/>
    <x v="0"/>
    <x v="13"/>
    <n v="46.222048776481302"/>
    <n v="16871.047803415699"/>
    <n v="60735.7720922964"/>
  </r>
  <r>
    <x v="0"/>
    <x v="0"/>
    <x v="0"/>
    <x v="9"/>
    <x v="19"/>
    <s v="SE3_EL"/>
    <x v="1"/>
    <x v="1"/>
    <s v="GBPR_MUNIWASTE_24"/>
    <x v="0"/>
    <x v="14"/>
    <n v="46.222048776481302"/>
    <n v="16871.047803415699"/>
    <n v="60735.7720922964"/>
  </r>
  <r>
    <x v="0"/>
    <x v="0"/>
    <x v="0"/>
    <x v="9"/>
    <x v="19"/>
    <s v="SE3_EL"/>
    <x v="1"/>
    <x v="1"/>
    <s v="GBPR_MUNIWASTE_24"/>
    <x v="0"/>
    <x v="15"/>
    <n v="46.222048776481302"/>
    <n v="16871.047803415699"/>
    <n v="60735.7720922964"/>
  </r>
  <r>
    <x v="0"/>
    <x v="0"/>
    <x v="0"/>
    <x v="9"/>
    <x v="19"/>
    <s v="SE3_EL"/>
    <x v="1"/>
    <x v="1"/>
    <s v="GBPR_MUNIWASTE_24"/>
    <x v="0"/>
    <x v="16"/>
    <n v="46.222048776481302"/>
    <n v="16871.047803415699"/>
    <n v="60735.7720922964"/>
  </r>
  <r>
    <x v="0"/>
    <x v="0"/>
    <x v="0"/>
    <x v="9"/>
    <x v="19"/>
    <s v="SE3_EL"/>
    <x v="1"/>
    <x v="1"/>
    <s v="GBPR_MUNIWASTE_24"/>
    <x v="0"/>
    <x v="17"/>
    <n v="46.222048776481302"/>
    <n v="16871.047803415699"/>
    <n v="60735.7720922964"/>
  </r>
  <r>
    <x v="0"/>
    <x v="0"/>
    <x v="0"/>
    <x v="9"/>
    <x v="19"/>
    <s v="SE3_EL"/>
    <x v="1"/>
    <x v="1"/>
    <s v="GBPR_MUNIWASTE_24"/>
    <x v="0"/>
    <x v="18"/>
    <n v="46.222048776481302"/>
    <n v="16871.047803415699"/>
    <n v="60735.7720922964"/>
  </r>
  <r>
    <x v="0"/>
    <x v="0"/>
    <x v="0"/>
    <x v="9"/>
    <x v="19"/>
    <s v="SE3_EL"/>
    <x v="1"/>
    <x v="1"/>
    <s v="GBPR_MUNIWASTE_24"/>
    <x v="0"/>
    <x v="19"/>
    <n v="46.222048776481302"/>
    <n v="16871.047803415699"/>
    <n v="60735.7720922964"/>
  </r>
  <r>
    <x v="0"/>
    <x v="0"/>
    <x v="0"/>
    <x v="9"/>
    <x v="19"/>
    <s v="SE3_EL"/>
    <x v="1"/>
    <x v="1"/>
    <s v="GBPR_MUNIWASTE_24"/>
    <x v="0"/>
    <x v="20"/>
    <n v="46.222048776481302"/>
    <n v="16871.047803415699"/>
    <n v="60735.7720922964"/>
  </r>
  <r>
    <x v="0"/>
    <x v="0"/>
    <x v="0"/>
    <x v="9"/>
    <x v="19"/>
    <s v="SE3_EL"/>
    <x v="1"/>
    <x v="1"/>
    <s v="GBPR_MUNIWASTE_24"/>
    <x v="0"/>
    <x v="21"/>
    <n v="46.222048776481302"/>
    <n v="16871.047803415699"/>
    <n v="60735.7720922964"/>
  </r>
  <r>
    <x v="0"/>
    <x v="0"/>
    <x v="0"/>
    <x v="9"/>
    <x v="19"/>
    <s v="SE3_EL"/>
    <x v="1"/>
    <x v="1"/>
    <s v="GBPR_MUNIWASTE_24"/>
    <x v="0"/>
    <x v="22"/>
    <n v="46.222048776481302"/>
    <n v="16871.047803415699"/>
    <n v="60735.7720922964"/>
  </r>
  <r>
    <x v="0"/>
    <x v="0"/>
    <x v="0"/>
    <x v="9"/>
    <x v="19"/>
    <s v="SE3_EL"/>
    <x v="1"/>
    <x v="1"/>
    <s v="GBPR_MUNIWASTE_24"/>
    <x v="0"/>
    <x v="23"/>
    <n v="46.222048776481302"/>
    <n v="16871.047803415699"/>
    <n v="60735.7720922964"/>
  </r>
  <r>
    <x v="0"/>
    <x v="0"/>
    <x v="0"/>
    <x v="9"/>
    <x v="19"/>
    <s v="SE3_EL"/>
    <x v="1"/>
    <x v="1"/>
    <s v="GBPR_MUNIWASTE_LINK"/>
    <x v="0"/>
    <x v="3"/>
    <n v="28.242772365308799"/>
    <n v="10308.6119133377"/>
    <n v="37111.002888015697"/>
  </r>
  <r>
    <x v="0"/>
    <x v="0"/>
    <x v="0"/>
    <x v="9"/>
    <x v="19"/>
    <s v="SE3_EL"/>
    <x v="1"/>
    <x v="1"/>
    <s v="GBPR_MUNIWASTE_LINK"/>
    <x v="0"/>
    <x v="4"/>
    <n v="28.242772365308799"/>
    <n v="10308.6119133377"/>
    <n v="37111.002888015697"/>
  </r>
  <r>
    <x v="0"/>
    <x v="0"/>
    <x v="0"/>
    <x v="9"/>
    <x v="19"/>
    <s v="SE3_EL"/>
    <x v="1"/>
    <x v="1"/>
    <s v="GBPR_MUNIWASTE_LINK"/>
    <x v="0"/>
    <x v="5"/>
    <n v="28.242772365308799"/>
    <n v="10308.6119133377"/>
    <n v="37111.002888015697"/>
  </r>
  <r>
    <x v="0"/>
    <x v="0"/>
    <x v="0"/>
    <x v="9"/>
    <x v="19"/>
    <s v="SE3_EL"/>
    <x v="1"/>
    <x v="1"/>
    <s v="GBPR_MUNIWASTE_LINK"/>
    <x v="0"/>
    <x v="6"/>
    <n v="28.242772365308799"/>
    <n v="10308.6119133377"/>
    <n v="37111.002888015697"/>
  </r>
  <r>
    <x v="0"/>
    <x v="0"/>
    <x v="0"/>
    <x v="9"/>
    <x v="19"/>
    <s v="SE3_EL"/>
    <x v="1"/>
    <x v="1"/>
    <s v="GBPR_MUNIWASTE_LINK"/>
    <x v="0"/>
    <x v="7"/>
    <n v="28.242772365308799"/>
    <n v="10308.6119133377"/>
    <n v="37111.002888015697"/>
  </r>
  <r>
    <x v="0"/>
    <x v="0"/>
    <x v="0"/>
    <x v="9"/>
    <x v="19"/>
    <s v="SE3_EL"/>
    <x v="1"/>
    <x v="1"/>
    <s v="GBPR_MUNIWASTE_LINK"/>
    <x v="0"/>
    <x v="8"/>
    <n v="28.242772365308799"/>
    <n v="10308.6119133377"/>
    <n v="37111.002888015697"/>
  </r>
  <r>
    <x v="0"/>
    <x v="0"/>
    <x v="0"/>
    <x v="9"/>
    <x v="19"/>
    <s v="SE3_EL"/>
    <x v="1"/>
    <x v="1"/>
    <s v="GBPR_MUNIWASTE_LINK"/>
    <x v="0"/>
    <x v="0"/>
    <n v="28.242772365308799"/>
    <n v="10308.6119133377"/>
    <n v="37111.002888015697"/>
  </r>
  <r>
    <x v="0"/>
    <x v="0"/>
    <x v="0"/>
    <x v="9"/>
    <x v="19"/>
    <s v="SE3_EL"/>
    <x v="1"/>
    <x v="1"/>
    <s v="GBPR_MUNIWASTE_LINK"/>
    <x v="0"/>
    <x v="1"/>
    <n v="28.242772365308799"/>
    <n v="10308.6119133377"/>
    <n v="37111.002888015697"/>
  </r>
  <r>
    <x v="0"/>
    <x v="0"/>
    <x v="0"/>
    <x v="9"/>
    <x v="19"/>
    <s v="SE3_EL"/>
    <x v="1"/>
    <x v="1"/>
    <s v="GBPR_MUNIWASTE_LINK"/>
    <x v="0"/>
    <x v="2"/>
    <n v="28.242772365308799"/>
    <n v="10308.6119133377"/>
    <n v="37111.002888015697"/>
  </r>
  <r>
    <x v="0"/>
    <x v="0"/>
    <x v="0"/>
    <x v="9"/>
    <x v="19"/>
    <s v="SE3_EL"/>
    <x v="1"/>
    <x v="1"/>
    <s v="GBPR_MUNIWASTE_LINK"/>
    <x v="0"/>
    <x v="9"/>
    <n v="28.242772365308799"/>
    <n v="10308.6119133377"/>
    <n v="37111.002888015697"/>
  </r>
  <r>
    <x v="0"/>
    <x v="0"/>
    <x v="0"/>
    <x v="9"/>
    <x v="19"/>
    <s v="SE3_EL"/>
    <x v="1"/>
    <x v="1"/>
    <s v="GBPR_MUNIWASTE_LINK"/>
    <x v="0"/>
    <x v="10"/>
    <n v="28.242772365308799"/>
    <n v="10308.6119133377"/>
    <n v="37111.002888015697"/>
  </r>
  <r>
    <x v="0"/>
    <x v="0"/>
    <x v="0"/>
    <x v="9"/>
    <x v="19"/>
    <s v="SE3_EL"/>
    <x v="1"/>
    <x v="1"/>
    <s v="GBPR_MUNIWASTE_LINK"/>
    <x v="0"/>
    <x v="11"/>
    <n v="28.242772365308799"/>
    <n v="10308.6119133377"/>
    <n v="37111.002888015697"/>
  </r>
  <r>
    <x v="0"/>
    <x v="0"/>
    <x v="0"/>
    <x v="9"/>
    <x v="19"/>
    <s v="SE3_EL"/>
    <x v="1"/>
    <x v="1"/>
    <s v="GBPR_MUNIWASTE_LINK"/>
    <x v="0"/>
    <x v="12"/>
    <n v="28.242772365308799"/>
    <n v="10308.6119133377"/>
    <n v="37111.002888015697"/>
  </r>
  <r>
    <x v="0"/>
    <x v="0"/>
    <x v="0"/>
    <x v="9"/>
    <x v="19"/>
    <s v="SE3_EL"/>
    <x v="1"/>
    <x v="1"/>
    <s v="GBPR_MUNIWASTE_LINK"/>
    <x v="0"/>
    <x v="13"/>
    <n v="28.242772365308799"/>
    <n v="10308.6119133377"/>
    <n v="37111.002888015697"/>
  </r>
  <r>
    <x v="0"/>
    <x v="0"/>
    <x v="0"/>
    <x v="9"/>
    <x v="19"/>
    <s v="SE3_EL"/>
    <x v="1"/>
    <x v="1"/>
    <s v="GBPR_MUNIWASTE_LINK"/>
    <x v="0"/>
    <x v="14"/>
    <n v="28.242772365308799"/>
    <n v="10308.6119133377"/>
    <n v="37111.002888015697"/>
  </r>
  <r>
    <x v="0"/>
    <x v="0"/>
    <x v="0"/>
    <x v="9"/>
    <x v="19"/>
    <s v="SE3_EL"/>
    <x v="1"/>
    <x v="1"/>
    <s v="GBPR_MUNIWASTE_LINK"/>
    <x v="0"/>
    <x v="15"/>
    <n v="28.242772365308799"/>
    <n v="10308.6119133377"/>
    <n v="37111.002888015697"/>
  </r>
  <r>
    <x v="0"/>
    <x v="0"/>
    <x v="0"/>
    <x v="9"/>
    <x v="19"/>
    <s v="SE3_EL"/>
    <x v="1"/>
    <x v="1"/>
    <s v="GBPR_MUNIWASTE_LINK"/>
    <x v="0"/>
    <x v="16"/>
    <n v="28.242772365308799"/>
    <n v="10308.6119133377"/>
    <n v="37111.002888015697"/>
  </r>
  <r>
    <x v="0"/>
    <x v="0"/>
    <x v="0"/>
    <x v="9"/>
    <x v="19"/>
    <s v="SE3_EL"/>
    <x v="1"/>
    <x v="1"/>
    <s v="GBPR_MUNIWASTE_LINK"/>
    <x v="0"/>
    <x v="17"/>
    <n v="28.242772365308799"/>
    <n v="10308.6119133377"/>
    <n v="37111.002888015697"/>
  </r>
  <r>
    <x v="0"/>
    <x v="0"/>
    <x v="0"/>
    <x v="9"/>
    <x v="19"/>
    <s v="SE3_EL"/>
    <x v="1"/>
    <x v="1"/>
    <s v="GBPR_MUNIWASTE_LINK"/>
    <x v="0"/>
    <x v="18"/>
    <n v="28.242772365308799"/>
    <n v="10308.6119133377"/>
    <n v="37111.002888015697"/>
  </r>
  <r>
    <x v="0"/>
    <x v="0"/>
    <x v="0"/>
    <x v="9"/>
    <x v="19"/>
    <s v="SE3_EL"/>
    <x v="1"/>
    <x v="1"/>
    <s v="GBPR_MUNIWASTE_LINK"/>
    <x v="0"/>
    <x v="19"/>
    <n v="28.242772365308799"/>
    <n v="10308.6119133377"/>
    <n v="37111.002888015697"/>
  </r>
  <r>
    <x v="0"/>
    <x v="0"/>
    <x v="0"/>
    <x v="9"/>
    <x v="19"/>
    <s v="SE3_EL"/>
    <x v="1"/>
    <x v="1"/>
    <s v="GBPR_MUNIWASTE_LINK"/>
    <x v="0"/>
    <x v="20"/>
    <n v="28.242772365308799"/>
    <n v="10308.6119133377"/>
    <n v="37111.002888015697"/>
  </r>
  <r>
    <x v="0"/>
    <x v="0"/>
    <x v="0"/>
    <x v="9"/>
    <x v="19"/>
    <s v="SE3_EL"/>
    <x v="1"/>
    <x v="1"/>
    <s v="GBPR_MUNIWASTE_LINK"/>
    <x v="0"/>
    <x v="21"/>
    <n v="28.242772365308799"/>
    <n v="10308.6119133377"/>
    <n v="37111.002888015697"/>
  </r>
  <r>
    <x v="0"/>
    <x v="0"/>
    <x v="0"/>
    <x v="9"/>
    <x v="19"/>
    <s v="SE3_EL"/>
    <x v="1"/>
    <x v="1"/>
    <s v="GBPR_MUNIWASTE_LINK"/>
    <x v="0"/>
    <x v="22"/>
    <n v="28.242772365308799"/>
    <n v="10308.6119133377"/>
    <n v="37111.002888015697"/>
  </r>
  <r>
    <x v="0"/>
    <x v="0"/>
    <x v="0"/>
    <x v="9"/>
    <x v="19"/>
    <s v="SE3_EL"/>
    <x v="1"/>
    <x v="1"/>
    <s v="GBPR_MUNIWASTE_LINK"/>
    <x v="0"/>
    <x v="23"/>
    <n v="28.242772365308799"/>
    <n v="10308.6119133377"/>
    <n v="37111.002888015697"/>
  </r>
  <r>
    <x v="0"/>
    <x v="0"/>
    <x v="0"/>
    <x v="9"/>
    <x v="19"/>
    <s v="SE3_EL"/>
    <x v="2"/>
    <x v="1"/>
    <s v="GBPR_NATGAS"/>
    <x v="0"/>
    <x v="8"/>
    <n v="3.6339130000000002"/>
    <n v="1326.3782450000001"/>
    <n v="4774.9616820000001"/>
  </r>
  <r>
    <x v="0"/>
    <x v="0"/>
    <x v="0"/>
    <x v="9"/>
    <x v="19"/>
    <s v="SE3_EL"/>
    <x v="2"/>
    <x v="1"/>
    <s v="GBPR_NATGAS"/>
    <x v="0"/>
    <x v="0"/>
    <n v="3.6339130000000002"/>
    <n v="1326.3782450000001"/>
    <n v="4774.9616820000001"/>
  </r>
  <r>
    <x v="0"/>
    <x v="0"/>
    <x v="0"/>
    <x v="9"/>
    <x v="19"/>
    <s v="SE3_EL"/>
    <x v="2"/>
    <x v="1"/>
    <s v="GBPR_NATGAS"/>
    <x v="0"/>
    <x v="1"/>
    <n v="3.6339130000000002"/>
    <n v="1326.3782450000001"/>
    <n v="4774.9616820000001"/>
  </r>
  <r>
    <x v="0"/>
    <x v="0"/>
    <x v="0"/>
    <x v="9"/>
    <x v="19"/>
    <s v="SE3_EL"/>
    <x v="2"/>
    <x v="1"/>
    <s v="GBPR_NATGAS"/>
    <x v="0"/>
    <x v="2"/>
    <n v="3.6339130000000002"/>
    <n v="1326.3782450000001"/>
    <n v="4774.9616820000001"/>
  </r>
  <r>
    <x v="0"/>
    <x v="0"/>
    <x v="0"/>
    <x v="9"/>
    <x v="19"/>
    <s v="SE3_EL"/>
    <x v="2"/>
    <x v="1"/>
    <s v="GBPR_NATGAS"/>
    <x v="0"/>
    <x v="9"/>
    <n v="3.6339130000000002"/>
    <n v="1326.3782450000001"/>
    <n v="4774.9616820000001"/>
  </r>
  <r>
    <x v="0"/>
    <x v="0"/>
    <x v="0"/>
    <x v="9"/>
    <x v="19"/>
    <s v="SE3_EL"/>
    <x v="2"/>
    <x v="1"/>
    <s v="GBPR_NATGAS"/>
    <x v="0"/>
    <x v="10"/>
    <n v="3.6339130000000002"/>
    <n v="1326.3782450000001"/>
    <n v="4774.9616820000001"/>
  </r>
  <r>
    <x v="0"/>
    <x v="0"/>
    <x v="0"/>
    <x v="9"/>
    <x v="19"/>
    <s v="SE3_EL"/>
    <x v="2"/>
    <x v="1"/>
    <s v="GBPR_NATGAS"/>
    <x v="0"/>
    <x v="11"/>
    <n v="3.6339130000000002"/>
    <n v="1326.3782450000001"/>
    <n v="4774.9616820000001"/>
  </r>
  <r>
    <x v="0"/>
    <x v="0"/>
    <x v="0"/>
    <x v="9"/>
    <x v="19"/>
    <s v="SE3_EL"/>
    <x v="2"/>
    <x v="1"/>
    <s v="GBPR_NATGAS"/>
    <x v="0"/>
    <x v="12"/>
    <n v="3.6339130000000002"/>
    <n v="1326.3782450000001"/>
    <n v="4774.9616820000001"/>
  </r>
  <r>
    <x v="0"/>
    <x v="0"/>
    <x v="0"/>
    <x v="9"/>
    <x v="19"/>
    <s v="SE3_EL"/>
    <x v="2"/>
    <x v="1"/>
    <s v="GBPR_NATGAS"/>
    <x v="0"/>
    <x v="13"/>
    <n v="3.6339130000000002"/>
    <n v="1326.3782450000001"/>
    <n v="4774.9616820000001"/>
  </r>
  <r>
    <x v="0"/>
    <x v="0"/>
    <x v="0"/>
    <x v="9"/>
    <x v="19"/>
    <s v="SE3_EL"/>
    <x v="2"/>
    <x v="1"/>
    <s v="GBPR_NATGAS"/>
    <x v="0"/>
    <x v="14"/>
    <n v="3.6339130000000002"/>
    <n v="1326.3782450000001"/>
    <n v="4774.9616820000001"/>
  </r>
  <r>
    <x v="0"/>
    <x v="0"/>
    <x v="0"/>
    <x v="9"/>
    <x v="19"/>
    <s v="SE3_EL"/>
    <x v="2"/>
    <x v="1"/>
    <s v="GBPR_NATGAS"/>
    <x v="0"/>
    <x v="15"/>
    <n v="3.6339130000000002"/>
    <n v="1326.3782450000001"/>
    <n v="4774.9616820000001"/>
  </r>
  <r>
    <x v="0"/>
    <x v="0"/>
    <x v="0"/>
    <x v="9"/>
    <x v="19"/>
    <s v="SE3_EL"/>
    <x v="2"/>
    <x v="1"/>
    <s v="GBPR_NATGAS"/>
    <x v="0"/>
    <x v="16"/>
    <n v="3.6339130000000002"/>
    <n v="1326.3782450000001"/>
    <n v="4774.9616820000001"/>
  </r>
  <r>
    <x v="0"/>
    <x v="0"/>
    <x v="0"/>
    <x v="9"/>
    <x v="19"/>
    <s v="SE3_EL"/>
    <x v="2"/>
    <x v="1"/>
    <s v="GBPR_NATGAS"/>
    <x v="0"/>
    <x v="17"/>
    <n v="3.6339130000000002"/>
    <n v="1326.3782450000001"/>
    <n v="4774.9616820000001"/>
  </r>
  <r>
    <x v="0"/>
    <x v="0"/>
    <x v="0"/>
    <x v="9"/>
    <x v="19"/>
    <s v="SE3_EL"/>
    <x v="19"/>
    <x v="1"/>
    <s v="GBPR_RECYCLEDWOOD_SE3EL"/>
    <x v="0"/>
    <x v="3"/>
    <n v="63.7184429500698"/>
    <n v="23257.2316767755"/>
    <n v="83726.034036391793"/>
  </r>
  <r>
    <x v="0"/>
    <x v="0"/>
    <x v="0"/>
    <x v="9"/>
    <x v="19"/>
    <s v="SE3_EL"/>
    <x v="19"/>
    <x v="1"/>
    <s v="GBPR_RECYCLEDWOOD_SE3EL"/>
    <x v="0"/>
    <x v="4"/>
    <n v="63.7184429500698"/>
    <n v="23257.2316767755"/>
    <n v="83726.034036391793"/>
  </r>
  <r>
    <x v="0"/>
    <x v="0"/>
    <x v="0"/>
    <x v="9"/>
    <x v="19"/>
    <s v="SE3_EL"/>
    <x v="19"/>
    <x v="1"/>
    <s v="GBPR_RECYCLEDWOOD_SE3EL"/>
    <x v="0"/>
    <x v="5"/>
    <n v="63.7184429500698"/>
    <n v="23257.2316767755"/>
    <n v="83726.034036391793"/>
  </r>
  <r>
    <x v="0"/>
    <x v="0"/>
    <x v="0"/>
    <x v="9"/>
    <x v="19"/>
    <s v="SE3_EL"/>
    <x v="19"/>
    <x v="1"/>
    <s v="GBPR_RECYCLEDWOOD_SE3EL"/>
    <x v="0"/>
    <x v="6"/>
    <n v="63.7184429500698"/>
    <n v="23257.2316767755"/>
    <n v="83726.034036391793"/>
  </r>
  <r>
    <x v="0"/>
    <x v="0"/>
    <x v="0"/>
    <x v="9"/>
    <x v="19"/>
    <s v="SE3_EL"/>
    <x v="19"/>
    <x v="1"/>
    <s v="GBPR_RECYCLEDWOOD_SE3EL"/>
    <x v="0"/>
    <x v="7"/>
    <n v="63.7184429500698"/>
    <n v="23257.2316767755"/>
    <n v="83726.034036391793"/>
  </r>
  <r>
    <x v="0"/>
    <x v="0"/>
    <x v="0"/>
    <x v="9"/>
    <x v="19"/>
    <s v="SE3_EL"/>
    <x v="19"/>
    <x v="1"/>
    <s v="GBPR_RECYCLEDWOOD_SE3EL"/>
    <x v="0"/>
    <x v="8"/>
    <n v="63.7184429500698"/>
    <n v="23257.2316767755"/>
    <n v="83726.034036391793"/>
  </r>
  <r>
    <x v="0"/>
    <x v="0"/>
    <x v="0"/>
    <x v="9"/>
    <x v="19"/>
    <s v="SE3_EL"/>
    <x v="19"/>
    <x v="1"/>
    <s v="GBPR_RECYCLEDWOOD_SE3EL"/>
    <x v="0"/>
    <x v="0"/>
    <n v="63.7184429500698"/>
    <n v="23257.2316767755"/>
    <n v="83726.034036391793"/>
  </r>
  <r>
    <x v="0"/>
    <x v="0"/>
    <x v="0"/>
    <x v="9"/>
    <x v="19"/>
    <s v="SE3_EL"/>
    <x v="19"/>
    <x v="1"/>
    <s v="GBPR_RECYCLEDWOOD_SE3EL"/>
    <x v="0"/>
    <x v="1"/>
    <n v="63.7184429500698"/>
    <n v="23257.2316767755"/>
    <n v="83726.034036391793"/>
  </r>
  <r>
    <x v="0"/>
    <x v="0"/>
    <x v="0"/>
    <x v="9"/>
    <x v="19"/>
    <s v="SE3_EL"/>
    <x v="19"/>
    <x v="1"/>
    <s v="GBPR_RECYCLEDWOOD_SE3EL"/>
    <x v="0"/>
    <x v="2"/>
    <n v="63.7184429500698"/>
    <n v="23257.2316767755"/>
    <n v="83726.034036391793"/>
  </r>
  <r>
    <x v="0"/>
    <x v="0"/>
    <x v="0"/>
    <x v="9"/>
    <x v="19"/>
    <s v="SE3_EL"/>
    <x v="19"/>
    <x v="1"/>
    <s v="GBPR_RECYCLEDWOOD_SE3EL"/>
    <x v="0"/>
    <x v="9"/>
    <n v="63.7184429500698"/>
    <n v="23257.2316767755"/>
    <n v="83726.034036391793"/>
  </r>
  <r>
    <x v="0"/>
    <x v="0"/>
    <x v="0"/>
    <x v="9"/>
    <x v="19"/>
    <s v="SE3_EL"/>
    <x v="19"/>
    <x v="1"/>
    <s v="GBPR_RECYCLEDWOOD_SE3EL"/>
    <x v="0"/>
    <x v="10"/>
    <n v="63.7184429500698"/>
    <n v="23257.2316767755"/>
    <n v="83726.034036391793"/>
  </r>
  <r>
    <x v="0"/>
    <x v="0"/>
    <x v="0"/>
    <x v="9"/>
    <x v="19"/>
    <s v="SE3_EL"/>
    <x v="19"/>
    <x v="1"/>
    <s v="GBPR_RECYCLEDWOOD_SE3EL"/>
    <x v="0"/>
    <x v="11"/>
    <n v="63.7184429500698"/>
    <n v="23257.2316767755"/>
    <n v="83726.034036391793"/>
  </r>
  <r>
    <x v="0"/>
    <x v="0"/>
    <x v="0"/>
    <x v="9"/>
    <x v="19"/>
    <s v="SE3_EL"/>
    <x v="19"/>
    <x v="1"/>
    <s v="GBPR_RECYCLEDWOOD_SE3EL"/>
    <x v="0"/>
    <x v="12"/>
    <n v="63.7184429500698"/>
    <n v="23257.2316767755"/>
    <n v="83726.034036391793"/>
  </r>
  <r>
    <x v="0"/>
    <x v="0"/>
    <x v="0"/>
    <x v="9"/>
    <x v="19"/>
    <s v="SE3_EL"/>
    <x v="19"/>
    <x v="1"/>
    <s v="GBPR_RECYCLEDWOOD_SE3EL"/>
    <x v="0"/>
    <x v="13"/>
    <n v="63.7184429500698"/>
    <n v="23257.2316767755"/>
    <n v="83726.034036391793"/>
  </r>
  <r>
    <x v="0"/>
    <x v="0"/>
    <x v="0"/>
    <x v="9"/>
    <x v="19"/>
    <s v="SE3_EL"/>
    <x v="19"/>
    <x v="1"/>
    <s v="GBPR_RECYCLEDWOOD_SE3EL"/>
    <x v="0"/>
    <x v="14"/>
    <n v="63.7184429500698"/>
    <n v="23257.2316767755"/>
    <n v="83726.034036391793"/>
  </r>
  <r>
    <x v="0"/>
    <x v="0"/>
    <x v="0"/>
    <x v="9"/>
    <x v="19"/>
    <s v="SE3_EL"/>
    <x v="19"/>
    <x v="1"/>
    <s v="GBPR_RECYCLEDWOOD_SE3EL"/>
    <x v="0"/>
    <x v="15"/>
    <n v="63.7184429500698"/>
    <n v="23257.2316767755"/>
    <n v="83726.034036391793"/>
  </r>
  <r>
    <x v="0"/>
    <x v="0"/>
    <x v="0"/>
    <x v="9"/>
    <x v="19"/>
    <s v="SE3_EL"/>
    <x v="19"/>
    <x v="1"/>
    <s v="GBPR_RECYCLEDWOOD_SE3EL"/>
    <x v="0"/>
    <x v="16"/>
    <n v="63.7184429500698"/>
    <n v="23257.2316767755"/>
    <n v="83726.034036391793"/>
  </r>
  <r>
    <x v="0"/>
    <x v="0"/>
    <x v="0"/>
    <x v="9"/>
    <x v="19"/>
    <s v="SE3_EL"/>
    <x v="19"/>
    <x v="1"/>
    <s v="GBPR_RECYCLEDWOOD_SE3EL"/>
    <x v="0"/>
    <x v="17"/>
    <n v="63.7184429500698"/>
    <n v="23257.2316767755"/>
    <n v="83726.034036391793"/>
  </r>
  <r>
    <x v="0"/>
    <x v="0"/>
    <x v="0"/>
    <x v="9"/>
    <x v="19"/>
    <s v="SE3_EL"/>
    <x v="19"/>
    <x v="1"/>
    <s v="GBPR_RECYCLEDWOOD_SE3EL"/>
    <x v="0"/>
    <x v="18"/>
    <n v="63.7184429500698"/>
    <n v="23257.2316767755"/>
    <n v="83726.034036391793"/>
  </r>
  <r>
    <x v="0"/>
    <x v="0"/>
    <x v="0"/>
    <x v="9"/>
    <x v="19"/>
    <s v="SE3_EL"/>
    <x v="19"/>
    <x v="1"/>
    <s v="GBPR_RECYCLEDWOOD_SE3EL"/>
    <x v="0"/>
    <x v="19"/>
    <n v="63.7184429500698"/>
    <n v="23257.2316767755"/>
    <n v="83726.034036391793"/>
  </r>
  <r>
    <x v="0"/>
    <x v="0"/>
    <x v="0"/>
    <x v="9"/>
    <x v="19"/>
    <s v="SE3_EL"/>
    <x v="19"/>
    <x v="1"/>
    <s v="GBPR_RECYCLEDWOOD_SE3EL"/>
    <x v="0"/>
    <x v="20"/>
    <n v="63.7184429500698"/>
    <n v="23257.2316767755"/>
    <n v="83726.034036391793"/>
  </r>
  <r>
    <x v="0"/>
    <x v="0"/>
    <x v="0"/>
    <x v="9"/>
    <x v="19"/>
    <s v="SE3_EL"/>
    <x v="19"/>
    <x v="1"/>
    <s v="GBPR_RECYCLEDWOOD_SE3EL"/>
    <x v="0"/>
    <x v="21"/>
    <n v="63.7184429500698"/>
    <n v="23257.2316767755"/>
    <n v="83726.034036391793"/>
  </r>
  <r>
    <x v="0"/>
    <x v="0"/>
    <x v="0"/>
    <x v="9"/>
    <x v="19"/>
    <s v="SE3_EL"/>
    <x v="19"/>
    <x v="1"/>
    <s v="GBPR_RECYCLEDWOOD_SE3EL"/>
    <x v="0"/>
    <x v="22"/>
    <n v="63.7184429500698"/>
    <n v="23257.2316767755"/>
    <n v="83726.034036391793"/>
  </r>
  <r>
    <x v="0"/>
    <x v="0"/>
    <x v="0"/>
    <x v="9"/>
    <x v="19"/>
    <s v="SE3_EL"/>
    <x v="19"/>
    <x v="1"/>
    <s v="GBPR_RECYCLEDWOOD_SE3EL"/>
    <x v="0"/>
    <x v="23"/>
    <n v="63.7184429500698"/>
    <n v="23257.2316767755"/>
    <n v="83726.034036391793"/>
  </r>
  <r>
    <x v="0"/>
    <x v="0"/>
    <x v="0"/>
    <x v="9"/>
    <x v="19"/>
    <s v="SE3_EL"/>
    <x v="12"/>
    <x v="1"/>
    <s v="GBPR_WOODWASTE_25"/>
    <x v="0"/>
    <x v="3"/>
    <n v="54.082549912434303"/>
    <n v="19740.130718038501"/>
    <n v="71064.470584938696"/>
  </r>
  <r>
    <x v="0"/>
    <x v="0"/>
    <x v="0"/>
    <x v="9"/>
    <x v="19"/>
    <s v="SE3_EL"/>
    <x v="12"/>
    <x v="1"/>
    <s v="GBPR_WOODWASTE_25"/>
    <x v="0"/>
    <x v="4"/>
    <n v="54.082549912434303"/>
    <n v="19740.130718038501"/>
    <n v="71064.470584938696"/>
  </r>
  <r>
    <x v="0"/>
    <x v="0"/>
    <x v="0"/>
    <x v="9"/>
    <x v="19"/>
    <s v="SE3_EL"/>
    <x v="12"/>
    <x v="1"/>
    <s v="GBPR_WOODWASTE_25"/>
    <x v="0"/>
    <x v="5"/>
    <n v="54.082549912434303"/>
    <n v="19740.130718038501"/>
    <n v="71064.470584938696"/>
  </r>
  <r>
    <x v="0"/>
    <x v="0"/>
    <x v="0"/>
    <x v="9"/>
    <x v="19"/>
    <s v="SE3_EL"/>
    <x v="12"/>
    <x v="1"/>
    <s v="GBPR_WOODWASTE_25"/>
    <x v="0"/>
    <x v="6"/>
    <n v="54.082549912434303"/>
    <n v="19740.130718038501"/>
    <n v="71064.470584938696"/>
  </r>
  <r>
    <x v="0"/>
    <x v="0"/>
    <x v="0"/>
    <x v="9"/>
    <x v="19"/>
    <s v="SE3_EL"/>
    <x v="12"/>
    <x v="1"/>
    <s v="GBPR_WOODWASTE_25"/>
    <x v="0"/>
    <x v="7"/>
    <n v="54.082549912434303"/>
    <n v="19740.130718038501"/>
    <n v="71064.470584938696"/>
  </r>
  <r>
    <x v="0"/>
    <x v="0"/>
    <x v="0"/>
    <x v="9"/>
    <x v="19"/>
    <s v="SE3_EL"/>
    <x v="12"/>
    <x v="1"/>
    <s v="GBPR_WOODWASTE_25"/>
    <x v="0"/>
    <x v="8"/>
    <n v="54.082549912434303"/>
    <n v="19740.130718038501"/>
    <n v="71064.470584938696"/>
  </r>
  <r>
    <x v="0"/>
    <x v="0"/>
    <x v="0"/>
    <x v="9"/>
    <x v="19"/>
    <s v="SE3_EL"/>
    <x v="12"/>
    <x v="1"/>
    <s v="GBPR_WOODWASTE_25"/>
    <x v="0"/>
    <x v="0"/>
    <n v="54.082549912434303"/>
    <n v="19740.130718038501"/>
    <n v="71064.470584938696"/>
  </r>
  <r>
    <x v="0"/>
    <x v="0"/>
    <x v="0"/>
    <x v="9"/>
    <x v="19"/>
    <s v="SE3_EL"/>
    <x v="12"/>
    <x v="1"/>
    <s v="GBPR_WOODWASTE_25"/>
    <x v="0"/>
    <x v="1"/>
    <n v="54.082549912434303"/>
    <n v="19740.130718038501"/>
    <n v="71064.470584938696"/>
  </r>
  <r>
    <x v="0"/>
    <x v="0"/>
    <x v="0"/>
    <x v="9"/>
    <x v="19"/>
    <s v="SE3_EL"/>
    <x v="12"/>
    <x v="1"/>
    <s v="GBPR_WOODWASTE_25"/>
    <x v="0"/>
    <x v="2"/>
    <n v="54.082549912434303"/>
    <n v="19740.130718038501"/>
    <n v="71064.470584938696"/>
  </r>
  <r>
    <x v="0"/>
    <x v="0"/>
    <x v="0"/>
    <x v="9"/>
    <x v="19"/>
    <s v="SE3_EL"/>
    <x v="12"/>
    <x v="1"/>
    <s v="GBPR_WOODWASTE_25"/>
    <x v="0"/>
    <x v="9"/>
    <n v="54.082549912434303"/>
    <n v="19740.130718038501"/>
    <n v="71064.470584938696"/>
  </r>
  <r>
    <x v="0"/>
    <x v="0"/>
    <x v="0"/>
    <x v="9"/>
    <x v="19"/>
    <s v="SE3_EL"/>
    <x v="12"/>
    <x v="1"/>
    <s v="GBPR_WOODWASTE_25"/>
    <x v="0"/>
    <x v="10"/>
    <n v="54.082549912434303"/>
    <n v="19740.130718038501"/>
    <n v="71064.470584938696"/>
  </r>
  <r>
    <x v="0"/>
    <x v="0"/>
    <x v="0"/>
    <x v="9"/>
    <x v="19"/>
    <s v="SE3_EL"/>
    <x v="12"/>
    <x v="1"/>
    <s v="GBPR_WOODWASTE_25"/>
    <x v="0"/>
    <x v="11"/>
    <n v="54.082549912434303"/>
    <n v="19740.130718038501"/>
    <n v="71064.470584938696"/>
  </r>
  <r>
    <x v="0"/>
    <x v="0"/>
    <x v="0"/>
    <x v="9"/>
    <x v="19"/>
    <s v="SE3_EL"/>
    <x v="12"/>
    <x v="1"/>
    <s v="GBPR_WOODWASTE_25"/>
    <x v="0"/>
    <x v="12"/>
    <n v="54.082549912434303"/>
    <n v="19740.130718038501"/>
    <n v="71064.470584938696"/>
  </r>
  <r>
    <x v="0"/>
    <x v="0"/>
    <x v="0"/>
    <x v="9"/>
    <x v="19"/>
    <s v="SE3_EL"/>
    <x v="12"/>
    <x v="1"/>
    <s v="GBPR_WOODWASTE_25"/>
    <x v="0"/>
    <x v="13"/>
    <n v="54.082549912434303"/>
    <n v="19740.130718038501"/>
    <n v="71064.470584938696"/>
  </r>
  <r>
    <x v="0"/>
    <x v="0"/>
    <x v="0"/>
    <x v="9"/>
    <x v="19"/>
    <s v="SE3_EL"/>
    <x v="12"/>
    <x v="1"/>
    <s v="GBPR_WOODWASTE_25"/>
    <x v="0"/>
    <x v="14"/>
    <n v="54.082549912434303"/>
    <n v="19740.130718038501"/>
    <n v="71064.470584938696"/>
  </r>
  <r>
    <x v="0"/>
    <x v="0"/>
    <x v="0"/>
    <x v="9"/>
    <x v="19"/>
    <s v="SE3_EL"/>
    <x v="12"/>
    <x v="1"/>
    <s v="GBPR_WOODWASTE_25"/>
    <x v="0"/>
    <x v="15"/>
    <n v="54.082549912434303"/>
    <n v="19740.130718038501"/>
    <n v="71064.470584938696"/>
  </r>
  <r>
    <x v="0"/>
    <x v="0"/>
    <x v="0"/>
    <x v="9"/>
    <x v="19"/>
    <s v="SE3_EL"/>
    <x v="12"/>
    <x v="1"/>
    <s v="GBPR_WOODWASTE_25"/>
    <x v="0"/>
    <x v="16"/>
    <n v="54.082549912434303"/>
    <n v="19740.130718038501"/>
    <n v="71064.470584938696"/>
  </r>
  <r>
    <x v="0"/>
    <x v="0"/>
    <x v="0"/>
    <x v="9"/>
    <x v="19"/>
    <s v="SE3_EL"/>
    <x v="12"/>
    <x v="1"/>
    <s v="GBPR_WOODWASTE_25"/>
    <x v="0"/>
    <x v="17"/>
    <n v="54.082549912434303"/>
    <n v="19740.130718038501"/>
    <n v="71064.470584938696"/>
  </r>
  <r>
    <x v="0"/>
    <x v="0"/>
    <x v="0"/>
    <x v="9"/>
    <x v="19"/>
    <s v="SE3_EL"/>
    <x v="12"/>
    <x v="1"/>
    <s v="GBPR_WOODWASTE_25"/>
    <x v="0"/>
    <x v="18"/>
    <n v="54.082549912434303"/>
    <n v="19740.130718038501"/>
    <n v="71064.470584938696"/>
  </r>
  <r>
    <x v="0"/>
    <x v="0"/>
    <x v="0"/>
    <x v="9"/>
    <x v="19"/>
    <s v="SE3_EL"/>
    <x v="12"/>
    <x v="1"/>
    <s v="GBPR_WOODWASTE_25"/>
    <x v="0"/>
    <x v="19"/>
    <n v="54.082549912434303"/>
    <n v="19740.130718038501"/>
    <n v="71064.470584938696"/>
  </r>
  <r>
    <x v="0"/>
    <x v="0"/>
    <x v="0"/>
    <x v="9"/>
    <x v="19"/>
    <s v="SE3_EL"/>
    <x v="12"/>
    <x v="1"/>
    <s v="GBPR_WOODWASTE_25"/>
    <x v="0"/>
    <x v="20"/>
    <n v="54.082549912434303"/>
    <n v="19740.130718038501"/>
    <n v="71064.470584938696"/>
  </r>
  <r>
    <x v="0"/>
    <x v="0"/>
    <x v="0"/>
    <x v="9"/>
    <x v="19"/>
    <s v="SE3_EL"/>
    <x v="12"/>
    <x v="1"/>
    <s v="GBPR_WOODWASTE_25"/>
    <x v="0"/>
    <x v="21"/>
    <n v="54.082549912434303"/>
    <n v="19740.130718038501"/>
    <n v="71064.470584938696"/>
  </r>
  <r>
    <x v="0"/>
    <x v="0"/>
    <x v="0"/>
    <x v="9"/>
    <x v="19"/>
    <s v="SE3_EL"/>
    <x v="12"/>
    <x v="1"/>
    <s v="GBPR_WOODWASTE_25"/>
    <x v="0"/>
    <x v="22"/>
    <n v="54.082549912434303"/>
    <n v="19740.130718038501"/>
    <n v="71064.470584938696"/>
  </r>
  <r>
    <x v="0"/>
    <x v="0"/>
    <x v="0"/>
    <x v="9"/>
    <x v="19"/>
    <s v="SE3_EL"/>
    <x v="12"/>
    <x v="1"/>
    <s v="GBPR_WOODWASTE_25"/>
    <x v="0"/>
    <x v="23"/>
    <n v="54.082549912434303"/>
    <n v="19740.130718038501"/>
    <n v="71064.470584938696"/>
  </r>
  <r>
    <x v="0"/>
    <x v="0"/>
    <x v="0"/>
    <x v="9"/>
    <x v="19"/>
    <s v="SE3_EL"/>
    <x v="12"/>
    <x v="1"/>
    <s v="GBPR_WOODWASTE_ABY"/>
    <x v="0"/>
    <x v="3"/>
    <n v="101.938213660245"/>
    <n v="37207.4479859895"/>
    <n v="133946.812749562"/>
  </r>
  <r>
    <x v="0"/>
    <x v="0"/>
    <x v="0"/>
    <x v="9"/>
    <x v="19"/>
    <s v="SE3_EL"/>
    <x v="12"/>
    <x v="1"/>
    <s v="GBPR_WOODWASTE_ABY"/>
    <x v="0"/>
    <x v="4"/>
    <n v="101.938213660245"/>
    <n v="37207.4479859895"/>
    <n v="133946.812749562"/>
  </r>
  <r>
    <x v="0"/>
    <x v="0"/>
    <x v="0"/>
    <x v="9"/>
    <x v="19"/>
    <s v="SE3_EL"/>
    <x v="12"/>
    <x v="1"/>
    <s v="GBPR_WOODWASTE_ABY"/>
    <x v="0"/>
    <x v="5"/>
    <n v="101.938213660245"/>
    <n v="37207.4479859895"/>
    <n v="133946.812749562"/>
  </r>
  <r>
    <x v="0"/>
    <x v="0"/>
    <x v="0"/>
    <x v="9"/>
    <x v="19"/>
    <s v="SE3_EL"/>
    <x v="12"/>
    <x v="1"/>
    <s v="GBPR_WOODWASTE_ABY"/>
    <x v="0"/>
    <x v="6"/>
    <n v="101.938213660245"/>
    <n v="37207.4479859895"/>
    <n v="133946.812749562"/>
  </r>
  <r>
    <x v="0"/>
    <x v="0"/>
    <x v="0"/>
    <x v="9"/>
    <x v="19"/>
    <s v="SE3_EL"/>
    <x v="12"/>
    <x v="1"/>
    <s v="GBPR_WOODWASTE_ABY"/>
    <x v="0"/>
    <x v="7"/>
    <n v="101.938213660245"/>
    <n v="37207.4479859895"/>
    <n v="133946.812749562"/>
  </r>
  <r>
    <x v="0"/>
    <x v="0"/>
    <x v="0"/>
    <x v="9"/>
    <x v="19"/>
    <s v="SE3_EL"/>
    <x v="12"/>
    <x v="1"/>
    <s v="GBPR_WOODWASTE_ABY"/>
    <x v="0"/>
    <x v="8"/>
    <n v="101.938213660245"/>
    <n v="37207.4479859895"/>
    <n v="133946.812749562"/>
  </r>
  <r>
    <x v="0"/>
    <x v="0"/>
    <x v="0"/>
    <x v="9"/>
    <x v="19"/>
    <s v="SE3_EL"/>
    <x v="12"/>
    <x v="1"/>
    <s v="GBPR_WOODWASTE_ABY"/>
    <x v="0"/>
    <x v="0"/>
    <n v="101.938213660245"/>
    <n v="37207.4479859895"/>
    <n v="133946.812749562"/>
  </r>
  <r>
    <x v="0"/>
    <x v="0"/>
    <x v="0"/>
    <x v="9"/>
    <x v="19"/>
    <s v="SE3_EL"/>
    <x v="12"/>
    <x v="1"/>
    <s v="GBPR_WOODWASTE_ABY"/>
    <x v="0"/>
    <x v="1"/>
    <n v="101.938213660245"/>
    <n v="37207.4479859895"/>
    <n v="133946.812749562"/>
  </r>
  <r>
    <x v="0"/>
    <x v="0"/>
    <x v="0"/>
    <x v="9"/>
    <x v="19"/>
    <s v="SE3_EL"/>
    <x v="12"/>
    <x v="1"/>
    <s v="GBPR_WOODWASTE_ABY"/>
    <x v="0"/>
    <x v="2"/>
    <n v="101.938213660245"/>
    <n v="37207.4479859895"/>
    <n v="133946.812749562"/>
  </r>
  <r>
    <x v="0"/>
    <x v="0"/>
    <x v="0"/>
    <x v="9"/>
    <x v="19"/>
    <s v="SE3_EL"/>
    <x v="12"/>
    <x v="1"/>
    <s v="GBPR_WOODWASTE_ABY"/>
    <x v="0"/>
    <x v="9"/>
    <n v="101.938213660245"/>
    <n v="37207.4479859895"/>
    <n v="133946.812749562"/>
  </r>
  <r>
    <x v="0"/>
    <x v="0"/>
    <x v="0"/>
    <x v="9"/>
    <x v="19"/>
    <s v="SE3_EL"/>
    <x v="12"/>
    <x v="1"/>
    <s v="GBPR_WOODWASTE_ABY"/>
    <x v="0"/>
    <x v="10"/>
    <n v="101.938213660245"/>
    <n v="37207.4479859895"/>
    <n v="133946.812749562"/>
  </r>
  <r>
    <x v="0"/>
    <x v="0"/>
    <x v="0"/>
    <x v="9"/>
    <x v="19"/>
    <s v="SE3_EL"/>
    <x v="12"/>
    <x v="1"/>
    <s v="GBPR_WOODWASTE_ABY"/>
    <x v="0"/>
    <x v="11"/>
    <n v="101.938213660245"/>
    <n v="37207.4479859895"/>
    <n v="133946.812749562"/>
  </r>
  <r>
    <x v="0"/>
    <x v="0"/>
    <x v="0"/>
    <x v="9"/>
    <x v="19"/>
    <s v="SE3_EL"/>
    <x v="12"/>
    <x v="1"/>
    <s v="GBPR_WOODWASTE_ABY"/>
    <x v="0"/>
    <x v="12"/>
    <n v="101.938213660245"/>
    <n v="37207.4479859895"/>
    <n v="133946.812749562"/>
  </r>
  <r>
    <x v="0"/>
    <x v="0"/>
    <x v="0"/>
    <x v="9"/>
    <x v="19"/>
    <s v="SE3_EL"/>
    <x v="12"/>
    <x v="1"/>
    <s v="GBPR_WOODWASTE_ABY"/>
    <x v="0"/>
    <x v="13"/>
    <n v="101.938213660245"/>
    <n v="37207.4479859895"/>
    <n v="133946.812749562"/>
  </r>
  <r>
    <x v="0"/>
    <x v="0"/>
    <x v="0"/>
    <x v="9"/>
    <x v="19"/>
    <s v="SE3_EL"/>
    <x v="12"/>
    <x v="1"/>
    <s v="GBPR_WOODWASTE_ABY"/>
    <x v="0"/>
    <x v="14"/>
    <n v="101.938213660245"/>
    <n v="37207.4479859895"/>
    <n v="133946.812749562"/>
  </r>
  <r>
    <x v="0"/>
    <x v="0"/>
    <x v="0"/>
    <x v="9"/>
    <x v="19"/>
    <s v="SE3_EL"/>
    <x v="12"/>
    <x v="1"/>
    <s v="GBPR_WOODWASTE_ABY"/>
    <x v="0"/>
    <x v="15"/>
    <n v="101.938213660245"/>
    <n v="37207.4479859895"/>
    <n v="133946.812749562"/>
  </r>
  <r>
    <x v="0"/>
    <x v="0"/>
    <x v="0"/>
    <x v="9"/>
    <x v="19"/>
    <s v="SE3_EL"/>
    <x v="12"/>
    <x v="1"/>
    <s v="GBPR_WOODWASTE_ABY"/>
    <x v="0"/>
    <x v="16"/>
    <n v="101.938213660245"/>
    <n v="37207.4479859895"/>
    <n v="133946.812749562"/>
  </r>
  <r>
    <x v="0"/>
    <x v="0"/>
    <x v="0"/>
    <x v="9"/>
    <x v="19"/>
    <s v="SE3_EL"/>
    <x v="12"/>
    <x v="1"/>
    <s v="GBPR_WOODWASTE_ABY"/>
    <x v="0"/>
    <x v="17"/>
    <n v="101.938213660245"/>
    <n v="37207.4479859895"/>
    <n v="133946.812749562"/>
  </r>
  <r>
    <x v="0"/>
    <x v="0"/>
    <x v="0"/>
    <x v="9"/>
    <x v="19"/>
    <s v="SE3_EL"/>
    <x v="12"/>
    <x v="1"/>
    <s v="GBPR_WOODWASTE_ABY"/>
    <x v="0"/>
    <x v="18"/>
    <n v="101.938213660245"/>
    <n v="37207.4479859895"/>
    <n v="133946.812749562"/>
  </r>
  <r>
    <x v="0"/>
    <x v="0"/>
    <x v="0"/>
    <x v="9"/>
    <x v="19"/>
    <s v="SE3_EL"/>
    <x v="12"/>
    <x v="1"/>
    <s v="GBPR_WOODWASTE_ABY"/>
    <x v="0"/>
    <x v="19"/>
    <n v="101.938213660245"/>
    <n v="37207.4479859895"/>
    <n v="133946.812749562"/>
  </r>
  <r>
    <x v="0"/>
    <x v="0"/>
    <x v="0"/>
    <x v="9"/>
    <x v="19"/>
    <s v="SE3_EL"/>
    <x v="12"/>
    <x v="1"/>
    <s v="GBPR_WOODWASTE_ABY"/>
    <x v="0"/>
    <x v="20"/>
    <n v="101.938213660245"/>
    <n v="37207.4479859895"/>
    <n v="133946.812749562"/>
  </r>
  <r>
    <x v="0"/>
    <x v="0"/>
    <x v="0"/>
    <x v="9"/>
    <x v="19"/>
    <s v="SE3_EL"/>
    <x v="12"/>
    <x v="1"/>
    <s v="GBPR_WOODWASTE_ABY"/>
    <x v="0"/>
    <x v="21"/>
    <n v="101.938213660245"/>
    <n v="37207.4479859895"/>
    <n v="133946.812749562"/>
  </r>
  <r>
    <x v="0"/>
    <x v="0"/>
    <x v="0"/>
    <x v="9"/>
    <x v="19"/>
    <s v="SE3_EL"/>
    <x v="12"/>
    <x v="1"/>
    <s v="GBPR_WOODWASTE_ABY"/>
    <x v="0"/>
    <x v="22"/>
    <n v="101.938213660245"/>
    <n v="37207.4479859895"/>
    <n v="133946.812749562"/>
  </r>
  <r>
    <x v="0"/>
    <x v="0"/>
    <x v="0"/>
    <x v="9"/>
    <x v="19"/>
    <s v="SE3_EL"/>
    <x v="12"/>
    <x v="1"/>
    <s v="GBPR_WOODWASTE_ABY"/>
    <x v="0"/>
    <x v="23"/>
    <n v="101.938213660245"/>
    <n v="37207.4479859895"/>
    <n v="133946.812749562"/>
  </r>
  <r>
    <x v="0"/>
    <x v="0"/>
    <x v="0"/>
    <x v="9"/>
    <x v="19"/>
    <s v="SE3_GOT"/>
    <x v="1"/>
    <x v="1"/>
    <s v="GBPR_MUNIWASTE_24"/>
    <x v="0"/>
    <x v="3"/>
    <n v="40.6"/>
    <n v="14819"/>
    <n v="53348.4"/>
  </r>
  <r>
    <x v="0"/>
    <x v="0"/>
    <x v="0"/>
    <x v="9"/>
    <x v="19"/>
    <s v="SE3_GOT"/>
    <x v="1"/>
    <x v="1"/>
    <s v="GBPR_MUNIWASTE_24"/>
    <x v="0"/>
    <x v="4"/>
    <n v="40.6"/>
    <n v="14819"/>
    <n v="53348.4"/>
  </r>
  <r>
    <x v="0"/>
    <x v="0"/>
    <x v="0"/>
    <x v="9"/>
    <x v="19"/>
    <s v="SE3_GOT"/>
    <x v="1"/>
    <x v="1"/>
    <s v="GBPR_MUNIWASTE_24"/>
    <x v="0"/>
    <x v="5"/>
    <n v="40.6"/>
    <n v="14819"/>
    <n v="53348.4"/>
  </r>
  <r>
    <x v="0"/>
    <x v="0"/>
    <x v="0"/>
    <x v="9"/>
    <x v="19"/>
    <s v="SE3_GOT"/>
    <x v="1"/>
    <x v="1"/>
    <s v="GBPR_MUNIWASTE_24"/>
    <x v="0"/>
    <x v="6"/>
    <n v="40.6"/>
    <n v="14819"/>
    <n v="53348.4"/>
  </r>
  <r>
    <x v="0"/>
    <x v="0"/>
    <x v="0"/>
    <x v="9"/>
    <x v="19"/>
    <s v="SE3_GOT"/>
    <x v="1"/>
    <x v="1"/>
    <s v="GBPR_MUNIWASTE_24"/>
    <x v="0"/>
    <x v="7"/>
    <n v="40.6"/>
    <n v="14819"/>
    <n v="53348.4"/>
  </r>
  <r>
    <x v="0"/>
    <x v="0"/>
    <x v="0"/>
    <x v="9"/>
    <x v="19"/>
    <s v="SE3_GOT"/>
    <x v="1"/>
    <x v="1"/>
    <s v="GBPR_MUNIWASTE_24"/>
    <x v="0"/>
    <x v="8"/>
    <n v="40.6"/>
    <n v="14819"/>
    <n v="53348.4"/>
  </r>
  <r>
    <x v="0"/>
    <x v="0"/>
    <x v="0"/>
    <x v="9"/>
    <x v="19"/>
    <s v="SE3_GOT"/>
    <x v="1"/>
    <x v="1"/>
    <s v="GBPR_MUNIWASTE_24"/>
    <x v="0"/>
    <x v="0"/>
    <n v="40.6"/>
    <n v="14819"/>
    <n v="53348.4"/>
  </r>
  <r>
    <x v="0"/>
    <x v="0"/>
    <x v="0"/>
    <x v="9"/>
    <x v="19"/>
    <s v="SE3_GOT"/>
    <x v="1"/>
    <x v="1"/>
    <s v="GBPR_MUNIWASTE_24"/>
    <x v="0"/>
    <x v="1"/>
    <n v="40.6"/>
    <n v="14819"/>
    <n v="53348.4"/>
  </r>
  <r>
    <x v="0"/>
    <x v="0"/>
    <x v="0"/>
    <x v="9"/>
    <x v="19"/>
    <s v="SE3_GOT"/>
    <x v="1"/>
    <x v="1"/>
    <s v="GBPR_MUNIWASTE_24"/>
    <x v="0"/>
    <x v="2"/>
    <n v="40.6"/>
    <n v="14819"/>
    <n v="53348.4"/>
  </r>
  <r>
    <x v="0"/>
    <x v="0"/>
    <x v="0"/>
    <x v="9"/>
    <x v="19"/>
    <s v="SE3_GOT"/>
    <x v="1"/>
    <x v="1"/>
    <s v="GBPR_MUNIWASTE_24"/>
    <x v="0"/>
    <x v="9"/>
    <n v="40.6"/>
    <n v="14819"/>
    <n v="53348.4"/>
  </r>
  <r>
    <x v="0"/>
    <x v="0"/>
    <x v="0"/>
    <x v="9"/>
    <x v="19"/>
    <s v="SE3_GOT"/>
    <x v="1"/>
    <x v="1"/>
    <s v="GBPR_MUNIWASTE_24"/>
    <x v="0"/>
    <x v="10"/>
    <n v="40.6"/>
    <n v="14819"/>
    <n v="53348.4"/>
  </r>
  <r>
    <x v="0"/>
    <x v="0"/>
    <x v="0"/>
    <x v="9"/>
    <x v="19"/>
    <s v="SE3_GOT"/>
    <x v="1"/>
    <x v="1"/>
    <s v="GBPR_MUNIWASTE_24"/>
    <x v="0"/>
    <x v="11"/>
    <n v="40.6"/>
    <n v="14819"/>
    <n v="53348.4"/>
  </r>
  <r>
    <x v="0"/>
    <x v="0"/>
    <x v="0"/>
    <x v="9"/>
    <x v="19"/>
    <s v="SE3_GOT"/>
    <x v="1"/>
    <x v="1"/>
    <s v="GBPR_MUNIWASTE_24"/>
    <x v="0"/>
    <x v="12"/>
    <n v="40.6"/>
    <n v="14819"/>
    <n v="53348.4"/>
  </r>
  <r>
    <x v="0"/>
    <x v="0"/>
    <x v="0"/>
    <x v="9"/>
    <x v="19"/>
    <s v="SE3_GOT"/>
    <x v="1"/>
    <x v="1"/>
    <s v="GBPR_MUNIWASTE_24"/>
    <x v="0"/>
    <x v="13"/>
    <n v="40.6"/>
    <n v="14819"/>
    <n v="53348.4"/>
  </r>
  <r>
    <x v="0"/>
    <x v="0"/>
    <x v="0"/>
    <x v="9"/>
    <x v="19"/>
    <s v="SE3_GOT"/>
    <x v="1"/>
    <x v="1"/>
    <s v="GBPR_MUNIWASTE_24"/>
    <x v="0"/>
    <x v="14"/>
    <n v="40.6"/>
    <n v="14819"/>
    <n v="53348.4"/>
  </r>
  <r>
    <x v="0"/>
    <x v="0"/>
    <x v="0"/>
    <x v="9"/>
    <x v="19"/>
    <s v="SE3_GOT"/>
    <x v="1"/>
    <x v="1"/>
    <s v="GBPR_MUNIWASTE_24"/>
    <x v="0"/>
    <x v="15"/>
    <n v="40.6"/>
    <n v="14819"/>
    <n v="53348.4"/>
  </r>
  <r>
    <x v="0"/>
    <x v="0"/>
    <x v="0"/>
    <x v="9"/>
    <x v="19"/>
    <s v="SE3_GOT"/>
    <x v="1"/>
    <x v="1"/>
    <s v="GBPR_MUNIWASTE_24"/>
    <x v="0"/>
    <x v="16"/>
    <n v="40.6"/>
    <n v="14819"/>
    <n v="53348.4"/>
  </r>
  <r>
    <x v="0"/>
    <x v="0"/>
    <x v="0"/>
    <x v="9"/>
    <x v="19"/>
    <s v="SE3_GOT"/>
    <x v="1"/>
    <x v="1"/>
    <s v="GBPR_MUNIWASTE_24"/>
    <x v="0"/>
    <x v="17"/>
    <n v="40.6"/>
    <n v="14819"/>
    <n v="53348.4"/>
  </r>
  <r>
    <x v="0"/>
    <x v="0"/>
    <x v="0"/>
    <x v="9"/>
    <x v="19"/>
    <s v="SE3_GOT"/>
    <x v="1"/>
    <x v="1"/>
    <s v="GBPR_MUNIWASTE_24"/>
    <x v="0"/>
    <x v="18"/>
    <n v="40.6"/>
    <n v="14819"/>
    <n v="53348.4"/>
  </r>
  <r>
    <x v="0"/>
    <x v="0"/>
    <x v="0"/>
    <x v="9"/>
    <x v="19"/>
    <s v="SE3_GOT"/>
    <x v="1"/>
    <x v="1"/>
    <s v="GBPR_MUNIWASTE_24"/>
    <x v="0"/>
    <x v="19"/>
    <n v="40.6"/>
    <n v="14819"/>
    <n v="53348.4"/>
  </r>
  <r>
    <x v="0"/>
    <x v="0"/>
    <x v="0"/>
    <x v="9"/>
    <x v="19"/>
    <s v="SE3_GOT"/>
    <x v="1"/>
    <x v="1"/>
    <s v="GBPR_MUNIWASTE_24"/>
    <x v="0"/>
    <x v="20"/>
    <n v="40.6"/>
    <n v="14819"/>
    <n v="53348.4"/>
  </r>
  <r>
    <x v="0"/>
    <x v="0"/>
    <x v="0"/>
    <x v="9"/>
    <x v="19"/>
    <s v="SE3_GOT"/>
    <x v="1"/>
    <x v="1"/>
    <s v="GBPR_MUNIWASTE_24"/>
    <x v="0"/>
    <x v="21"/>
    <n v="40.6"/>
    <n v="14819"/>
    <n v="53348.4"/>
  </r>
  <r>
    <x v="0"/>
    <x v="0"/>
    <x v="0"/>
    <x v="9"/>
    <x v="19"/>
    <s v="SE3_GOT"/>
    <x v="1"/>
    <x v="1"/>
    <s v="GBPR_MUNIWASTE_24"/>
    <x v="0"/>
    <x v="22"/>
    <n v="40.6"/>
    <n v="14819"/>
    <n v="53348.4"/>
  </r>
  <r>
    <x v="0"/>
    <x v="0"/>
    <x v="0"/>
    <x v="9"/>
    <x v="19"/>
    <s v="SE3_GOT"/>
    <x v="1"/>
    <x v="1"/>
    <s v="GBPR_MUNIWASTE_24"/>
    <x v="0"/>
    <x v="23"/>
    <n v="40.6"/>
    <n v="14819"/>
    <n v="53348.4"/>
  </r>
  <r>
    <x v="0"/>
    <x v="0"/>
    <x v="0"/>
    <x v="9"/>
    <x v="19"/>
    <s v="SE3_GOT"/>
    <x v="2"/>
    <x v="1"/>
    <s v="GBPR_NATGAS_RYA"/>
    <x v="0"/>
    <x v="3"/>
    <n v="261"/>
    <n v="95265"/>
    <n v="342954"/>
  </r>
  <r>
    <x v="0"/>
    <x v="0"/>
    <x v="0"/>
    <x v="9"/>
    <x v="19"/>
    <s v="SE3_GOT"/>
    <x v="2"/>
    <x v="1"/>
    <s v="GBPR_NATGAS_RYA"/>
    <x v="0"/>
    <x v="4"/>
    <n v="261"/>
    <n v="95265"/>
    <n v="342954"/>
  </r>
  <r>
    <x v="0"/>
    <x v="0"/>
    <x v="0"/>
    <x v="9"/>
    <x v="19"/>
    <s v="SE3_GOT"/>
    <x v="2"/>
    <x v="1"/>
    <s v="GBPR_NATGAS_RYA"/>
    <x v="0"/>
    <x v="5"/>
    <n v="261"/>
    <n v="95265"/>
    <n v="342954"/>
  </r>
  <r>
    <x v="0"/>
    <x v="0"/>
    <x v="0"/>
    <x v="9"/>
    <x v="19"/>
    <s v="SE3_GOT"/>
    <x v="2"/>
    <x v="1"/>
    <s v="GBPR_NATGAS_RYA"/>
    <x v="0"/>
    <x v="6"/>
    <n v="261"/>
    <n v="95265"/>
    <n v="342954"/>
  </r>
  <r>
    <x v="0"/>
    <x v="0"/>
    <x v="0"/>
    <x v="9"/>
    <x v="19"/>
    <s v="SE3_GOT"/>
    <x v="2"/>
    <x v="1"/>
    <s v="GBPR_NATGAS_RYA"/>
    <x v="0"/>
    <x v="7"/>
    <n v="261"/>
    <n v="95265"/>
    <n v="342954"/>
  </r>
  <r>
    <x v="0"/>
    <x v="0"/>
    <x v="0"/>
    <x v="9"/>
    <x v="19"/>
    <s v="SE3_GOT"/>
    <x v="2"/>
    <x v="1"/>
    <s v="GBPR_NATGAS_RYA"/>
    <x v="0"/>
    <x v="8"/>
    <n v="261"/>
    <n v="95265"/>
    <n v="342954"/>
  </r>
  <r>
    <x v="0"/>
    <x v="0"/>
    <x v="0"/>
    <x v="9"/>
    <x v="19"/>
    <s v="SE3_GOT"/>
    <x v="2"/>
    <x v="1"/>
    <s v="GBPR_NATGAS_RYA"/>
    <x v="0"/>
    <x v="0"/>
    <n v="261"/>
    <n v="95265"/>
    <n v="342954"/>
  </r>
  <r>
    <x v="0"/>
    <x v="0"/>
    <x v="0"/>
    <x v="9"/>
    <x v="19"/>
    <s v="SE3_GOT"/>
    <x v="2"/>
    <x v="1"/>
    <s v="GBPR_NATGAS_RYA"/>
    <x v="0"/>
    <x v="1"/>
    <n v="261"/>
    <n v="95265"/>
    <n v="342954"/>
  </r>
  <r>
    <x v="0"/>
    <x v="0"/>
    <x v="0"/>
    <x v="9"/>
    <x v="19"/>
    <s v="SE3_GOT"/>
    <x v="2"/>
    <x v="1"/>
    <s v="GBPR_NATGAS_RYA"/>
    <x v="0"/>
    <x v="2"/>
    <n v="261"/>
    <n v="95265"/>
    <n v="342954"/>
  </r>
  <r>
    <x v="0"/>
    <x v="0"/>
    <x v="0"/>
    <x v="9"/>
    <x v="19"/>
    <s v="SE3_GOT"/>
    <x v="2"/>
    <x v="1"/>
    <s v="GBPR_NATGAS_RYA"/>
    <x v="0"/>
    <x v="9"/>
    <n v="261"/>
    <n v="95265"/>
    <n v="342954"/>
  </r>
  <r>
    <x v="0"/>
    <x v="0"/>
    <x v="0"/>
    <x v="9"/>
    <x v="19"/>
    <s v="SE3_GOT"/>
    <x v="2"/>
    <x v="1"/>
    <s v="GBPR_NATGAS_RYA"/>
    <x v="0"/>
    <x v="10"/>
    <n v="261"/>
    <n v="95265"/>
    <n v="342954"/>
  </r>
  <r>
    <x v="0"/>
    <x v="0"/>
    <x v="0"/>
    <x v="9"/>
    <x v="19"/>
    <s v="SE3_GOT"/>
    <x v="2"/>
    <x v="1"/>
    <s v="GBPR_NATGAS_RYA"/>
    <x v="0"/>
    <x v="11"/>
    <n v="261"/>
    <n v="95265"/>
    <n v="342954"/>
  </r>
  <r>
    <x v="0"/>
    <x v="0"/>
    <x v="0"/>
    <x v="9"/>
    <x v="19"/>
    <s v="SE3_GOT"/>
    <x v="2"/>
    <x v="1"/>
    <s v="GBPR_NATGAS_RYA"/>
    <x v="0"/>
    <x v="12"/>
    <n v="261"/>
    <n v="95265"/>
    <n v="342954"/>
  </r>
  <r>
    <x v="0"/>
    <x v="0"/>
    <x v="0"/>
    <x v="9"/>
    <x v="19"/>
    <s v="SE3_GOT"/>
    <x v="2"/>
    <x v="1"/>
    <s v="GBPR_NATGAS_RYA"/>
    <x v="0"/>
    <x v="13"/>
    <n v="261"/>
    <n v="95265"/>
    <n v="342954"/>
  </r>
  <r>
    <x v="0"/>
    <x v="0"/>
    <x v="0"/>
    <x v="9"/>
    <x v="19"/>
    <s v="SE3_GOT"/>
    <x v="2"/>
    <x v="1"/>
    <s v="GBPR_NATGAS_RYA"/>
    <x v="0"/>
    <x v="14"/>
    <n v="261"/>
    <n v="95265"/>
    <n v="342954"/>
  </r>
  <r>
    <x v="0"/>
    <x v="0"/>
    <x v="0"/>
    <x v="9"/>
    <x v="19"/>
    <s v="SE3_GOT"/>
    <x v="2"/>
    <x v="1"/>
    <s v="GBPR_NATGAS_RYA"/>
    <x v="0"/>
    <x v="15"/>
    <n v="261"/>
    <n v="95265"/>
    <n v="342954"/>
  </r>
  <r>
    <x v="0"/>
    <x v="0"/>
    <x v="0"/>
    <x v="9"/>
    <x v="19"/>
    <s v="SE3_GOT"/>
    <x v="2"/>
    <x v="1"/>
    <s v="GBPR_NATGAS_RYA"/>
    <x v="0"/>
    <x v="16"/>
    <n v="261"/>
    <n v="95265"/>
    <n v="342954"/>
  </r>
  <r>
    <x v="0"/>
    <x v="0"/>
    <x v="0"/>
    <x v="9"/>
    <x v="19"/>
    <s v="SE3_GOT"/>
    <x v="2"/>
    <x v="1"/>
    <s v="GBPR_NATGAS_RYA"/>
    <x v="0"/>
    <x v="17"/>
    <n v="261"/>
    <n v="95265"/>
    <n v="342954"/>
  </r>
  <r>
    <x v="0"/>
    <x v="0"/>
    <x v="0"/>
    <x v="9"/>
    <x v="19"/>
    <s v="SE3_GOT"/>
    <x v="2"/>
    <x v="1"/>
    <s v="GBPR_NATGAS_RYA"/>
    <x v="0"/>
    <x v="18"/>
    <n v="261"/>
    <n v="95265"/>
    <n v="342954"/>
  </r>
  <r>
    <x v="0"/>
    <x v="0"/>
    <x v="0"/>
    <x v="9"/>
    <x v="19"/>
    <s v="SE3_GOT"/>
    <x v="2"/>
    <x v="1"/>
    <s v="GBPR_NATGAS_RYA"/>
    <x v="0"/>
    <x v="19"/>
    <n v="261"/>
    <n v="95265"/>
    <n v="342954"/>
  </r>
  <r>
    <x v="0"/>
    <x v="0"/>
    <x v="0"/>
    <x v="9"/>
    <x v="19"/>
    <s v="SE3_GOT"/>
    <x v="2"/>
    <x v="1"/>
    <s v="GBPR_NATGAS_RYA"/>
    <x v="0"/>
    <x v="20"/>
    <n v="261"/>
    <n v="95265"/>
    <n v="342954"/>
  </r>
  <r>
    <x v="0"/>
    <x v="0"/>
    <x v="0"/>
    <x v="9"/>
    <x v="19"/>
    <s v="SE3_GOT"/>
    <x v="2"/>
    <x v="1"/>
    <s v="GBPR_NATGAS_RYA"/>
    <x v="0"/>
    <x v="21"/>
    <n v="261"/>
    <n v="95265"/>
    <n v="342954"/>
  </r>
  <r>
    <x v="0"/>
    <x v="0"/>
    <x v="0"/>
    <x v="9"/>
    <x v="19"/>
    <s v="SE3_GOT"/>
    <x v="2"/>
    <x v="1"/>
    <s v="GBPR_NATGAS_RYA"/>
    <x v="0"/>
    <x v="22"/>
    <n v="261"/>
    <n v="95265"/>
    <n v="342954"/>
  </r>
  <r>
    <x v="0"/>
    <x v="0"/>
    <x v="0"/>
    <x v="9"/>
    <x v="19"/>
    <s v="SE3_GOT"/>
    <x v="2"/>
    <x v="1"/>
    <s v="GBPR_NATGAS_RYA"/>
    <x v="0"/>
    <x v="23"/>
    <n v="261"/>
    <n v="95265"/>
    <n v="342954"/>
  </r>
  <r>
    <x v="0"/>
    <x v="0"/>
    <x v="0"/>
    <x v="9"/>
    <x v="19"/>
    <s v="SE3_GOT"/>
    <x v="12"/>
    <x v="1"/>
    <s v="GBPR_WOODWASTE_GOT"/>
    <x v="0"/>
    <x v="7"/>
    <n v="10.743782837127799"/>
    <n v="3921.48073555166"/>
    <n v="14117.330647986"/>
  </r>
  <r>
    <x v="0"/>
    <x v="0"/>
    <x v="0"/>
    <x v="9"/>
    <x v="19"/>
    <s v="SE3_GOT"/>
    <x v="12"/>
    <x v="1"/>
    <s v="GBPR_WOODWASTE_GOT"/>
    <x v="0"/>
    <x v="8"/>
    <n v="10.743782837127799"/>
    <n v="3921.48073555166"/>
    <n v="14117.330647986"/>
  </r>
  <r>
    <x v="0"/>
    <x v="0"/>
    <x v="0"/>
    <x v="9"/>
    <x v="19"/>
    <s v="SE3_GOT"/>
    <x v="12"/>
    <x v="1"/>
    <s v="GBPR_WOODWASTE_GOT"/>
    <x v="0"/>
    <x v="0"/>
    <n v="10.743782837127799"/>
    <n v="3921.48073555166"/>
    <n v="14117.330647986"/>
  </r>
  <r>
    <x v="0"/>
    <x v="0"/>
    <x v="0"/>
    <x v="9"/>
    <x v="19"/>
    <s v="SE3_GOT"/>
    <x v="12"/>
    <x v="1"/>
    <s v="GBPR_WOODWASTE_GOT"/>
    <x v="0"/>
    <x v="1"/>
    <n v="10.743782837127799"/>
    <n v="3921.48073555166"/>
    <n v="14117.330647986"/>
  </r>
  <r>
    <x v="0"/>
    <x v="0"/>
    <x v="0"/>
    <x v="9"/>
    <x v="19"/>
    <s v="SE3_GOT"/>
    <x v="12"/>
    <x v="1"/>
    <s v="GBPR_WOODWASTE_GOT"/>
    <x v="0"/>
    <x v="2"/>
    <n v="10.743782837127799"/>
    <n v="3921.48073555166"/>
    <n v="14117.330647986"/>
  </r>
  <r>
    <x v="0"/>
    <x v="0"/>
    <x v="0"/>
    <x v="9"/>
    <x v="19"/>
    <s v="SE3_GOT"/>
    <x v="12"/>
    <x v="1"/>
    <s v="GBPR_WOODWASTE_GOT"/>
    <x v="0"/>
    <x v="9"/>
    <n v="10.743782837127799"/>
    <n v="3921.48073555166"/>
    <n v="14117.330647986"/>
  </r>
  <r>
    <x v="0"/>
    <x v="0"/>
    <x v="0"/>
    <x v="9"/>
    <x v="19"/>
    <s v="SE3_GOT"/>
    <x v="12"/>
    <x v="1"/>
    <s v="GBPR_WOODWASTE_GOT"/>
    <x v="0"/>
    <x v="10"/>
    <n v="10.743782837127799"/>
    <n v="3921.48073555166"/>
    <n v="14117.330647986"/>
  </r>
  <r>
    <x v="0"/>
    <x v="0"/>
    <x v="0"/>
    <x v="9"/>
    <x v="19"/>
    <s v="SE3_GOT"/>
    <x v="12"/>
    <x v="1"/>
    <s v="GBPR_WOODWASTE_GOT"/>
    <x v="0"/>
    <x v="11"/>
    <n v="10.743782837127799"/>
    <n v="3921.48073555166"/>
    <n v="14117.330647986"/>
  </r>
  <r>
    <x v="0"/>
    <x v="0"/>
    <x v="0"/>
    <x v="9"/>
    <x v="19"/>
    <s v="SE3_GOT"/>
    <x v="12"/>
    <x v="1"/>
    <s v="GBPR_WOODWASTE_GOT"/>
    <x v="0"/>
    <x v="12"/>
    <n v="10.743782837127799"/>
    <n v="3921.48073555166"/>
    <n v="14117.330647986"/>
  </r>
  <r>
    <x v="0"/>
    <x v="0"/>
    <x v="0"/>
    <x v="9"/>
    <x v="19"/>
    <s v="SE3_GOT"/>
    <x v="12"/>
    <x v="1"/>
    <s v="GBPR_WOODWASTE_GOT"/>
    <x v="0"/>
    <x v="13"/>
    <n v="10.743782837127799"/>
    <n v="3921.48073555166"/>
    <n v="14117.330647986"/>
  </r>
  <r>
    <x v="0"/>
    <x v="0"/>
    <x v="0"/>
    <x v="9"/>
    <x v="19"/>
    <s v="SE3_GOT"/>
    <x v="12"/>
    <x v="1"/>
    <s v="GBPR_WOODWASTE_GOT"/>
    <x v="0"/>
    <x v="14"/>
    <n v="10.743782837127799"/>
    <n v="3921.48073555166"/>
    <n v="14117.330647986"/>
  </r>
  <r>
    <x v="0"/>
    <x v="0"/>
    <x v="0"/>
    <x v="9"/>
    <x v="19"/>
    <s v="SE3_GOT"/>
    <x v="12"/>
    <x v="1"/>
    <s v="GBPR_WOODWASTE_GOT"/>
    <x v="0"/>
    <x v="15"/>
    <n v="10.743782837127799"/>
    <n v="3921.48073555166"/>
    <n v="14117.330647986"/>
  </r>
  <r>
    <x v="0"/>
    <x v="0"/>
    <x v="0"/>
    <x v="9"/>
    <x v="19"/>
    <s v="SE3_GOT"/>
    <x v="12"/>
    <x v="1"/>
    <s v="GBPR_WOODWASTE_GOT"/>
    <x v="0"/>
    <x v="16"/>
    <n v="10.743782837127799"/>
    <n v="3921.48073555166"/>
    <n v="14117.330647986"/>
  </r>
  <r>
    <x v="0"/>
    <x v="0"/>
    <x v="0"/>
    <x v="9"/>
    <x v="19"/>
    <s v="SE3_GOT"/>
    <x v="12"/>
    <x v="1"/>
    <s v="GBPR_WOODWASTE_GOT"/>
    <x v="0"/>
    <x v="17"/>
    <n v="10.743782837127799"/>
    <n v="3921.48073555166"/>
    <n v="14117.330647986"/>
  </r>
  <r>
    <x v="0"/>
    <x v="0"/>
    <x v="0"/>
    <x v="9"/>
    <x v="19"/>
    <s v="SE3_GOT"/>
    <x v="12"/>
    <x v="1"/>
    <s v="GBPR_WOODWASTE_GOT"/>
    <x v="0"/>
    <x v="18"/>
    <n v="10.743782837127799"/>
    <n v="3921.48073555166"/>
    <n v="14117.330647986"/>
  </r>
  <r>
    <x v="0"/>
    <x v="0"/>
    <x v="0"/>
    <x v="9"/>
    <x v="19"/>
    <s v="SE3_GOT"/>
    <x v="12"/>
    <x v="1"/>
    <s v="GBPR_WOODWASTE_GOT"/>
    <x v="0"/>
    <x v="19"/>
    <n v="10.743782837127799"/>
    <n v="3921.48073555166"/>
    <n v="14117.330647986"/>
  </r>
  <r>
    <x v="0"/>
    <x v="0"/>
    <x v="0"/>
    <x v="9"/>
    <x v="19"/>
    <s v="SE3_GOT"/>
    <x v="12"/>
    <x v="1"/>
    <s v="GBPR_WOODWASTE_GOT"/>
    <x v="0"/>
    <x v="20"/>
    <n v="10.743782837127799"/>
    <n v="3921.48073555166"/>
    <n v="14117.330647986"/>
  </r>
  <r>
    <x v="0"/>
    <x v="0"/>
    <x v="0"/>
    <x v="9"/>
    <x v="19"/>
    <s v="SE3_HP"/>
    <x v="1"/>
    <x v="1"/>
    <s v="GBPR_MUNIWASTE_24"/>
    <x v="0"/>
    <x v="3"/>
    <n v="33.168980159344798"/>
    <n v="12106.6777581608"/>
    <n v="43584.039929379003"/>
  </r>
  <r>
    <x v="0"/>
    <x v="0"/>
    <x v="0"/>
    <x v="9"/>
    <x v="19"/>
    <s v="SE3_HP"/>
    <x v="1"/>
    <x v="1"/>
    <s v="GBPR_MUNIWASTE_24"/>
    <x v="0"/>
    <x v="4"/>
    <n v="33.168980159344798"/>
    <n v="12106.6777581608"/>
    <n v="43584.039929379003"/>
  </r>
  <r>
    <x v="0"/>
    <x v="0"/>
    <x v="0"/>
    <x v="9"/>
    <x v="19"/>
    <s v="SE3_HP"/>
    <x v="1"/>
    <x v="1"/>
    <s v="GBPR_MUNIWASTE_24"/>
    <x v="0"/>
    <x v="5"/>
    <n v="33.168980159344798"/>
    <n v="12106.6777581608"/>
    <n v="43584.039929379003"/>
  </r>
  <r>
    <x v="0"/>
    <x v="0"/>
    <x v="0"/>
    <x v="9"/>
    <x v="19"/>
    <s v="SE3_HP"/>
    <x v="1"/>
    <x v="1"/>
    <s v="GBPR_MUNIWASTE_24"/>
    <x v="0"/>
    <x v="6"/>
    <n v="33.168980159344798"/>
    <n v="12106.6777581608"/>
    <n v="43584.039929379003"/>
  </r>
  <r>
    <x v="0"/>
    <x v="0"/>
    <x v="0"/>
    <x v="9"/>
    <x v="19"/>
    <s v="SE3_HP"/>
    <x v="1"/>
    <x v="1"/>
    <s v="GBPR_MUNIWASTE_24"/>
    <x v="0"/>
    <x v="7"/>
    <n v="33.168980159344798"/>
    <n v="12106.6777581608"/>
    <n v="43584.039929379003"/>
  </r>
  <r>
    <x v="0"/>
    <x v="0"/>
    <x v="0"/>
    <x v="9"/>
    <x v="19"/>
    <s v="SE3_HP"/>
    <x v="1"/>
    <x v="1"/>
    <s v="GBPR_MUNIWASTE_24"/>
    <x v="0"/>
    <x v="8"/>
    <n v="33.168980159344798"/>
    <n v="12106.6777581608"/>
    <n v="43584.039929379003"/>
  </r>
  <r>
    <x v="0"/>
    <x v="0"/>
    <x v="0"/>
    <x v="9"/>
    <x v="19"/>
    <s v="SE3_HP"/>
    <x v="1"/>
    <x v="1"/>
    <s v="GBPR_MUNIWASTE_24"/>
    <x v="0"/>
    <x v="0"/>
    <n v="33.168980159344798"/>
    <n v="12106.6777581608"/>
    <n v="43584.039929379003"/>
  </r>
  <r>
    <x v="0"/>
    <x v="0"/>
    <x v="0"/>
    <x v="9"/>
    <x v="19"/>
    <s v="SE3_HP"/>
    <x v="1"/>
    <x v="1"/>
    <s v="GBPR_MUNIWASTE_24"/>
    <x v="0"/>
    <x v="1"/>
    <n v="33.168980159344798"/>
    <n v="12106.6777581608"/>
    <n v="43584.039929379003"/>
  </r>
  <r>
    <x v="0"/>
    <x v="0"/>
    <x v="0"/>
    <x v="9"/>
    <x v="19"/>
    <s v="SE3_HP"/>
    <x v="1"/>
    <x v="1"/>
    <s v="GBPR_MUNIWASTE_24"/>
    <x v="0"/>
    <x v="2"/>
    <n v="33.168980159344798"/>
    <n v="12106.6777581608"/>
    <n v="43584.039929379003"/>
  </r>
  <r>
    <x v="0"/>
    <x v="0"/>
    <x v="0"/>
    <x v="9"/>
    <x v="19"/>
    <s v="SE3_HP"/>
    <x v="1"/>
    <x v="1"/>
    <s v="GBPR_MUNIWASTE_24"/>
    <x v="0"/>
    <x v="9"/>
    <n v="33.168980159344798"/>
    <n v="12106.6777581608"/>
    <n v="43584.039929379003"/>
  </r>
  <r>
    <x v="0"/>
    <x v="0"/>
    <x v="0"/>
    <x v="9"/>
    <x v="19"/>
    <s v="SE3_HP"/>
    <x v="1"/>
    <x v="1"/>
    <s v="GBPR_MUNIWASTE_24"/>
    <x v="0"/>
    <x v="10"/>
    <n v="33.168980159344798"/>
    <n v="12106.6777581608"/>
    <n v="43584.039929379003"/>
  </r>
  <r>
    <x v="0"/>
    <x v="0"/>
    <x v="0"/>
    <x v="9"/>
    <x v="19"/>
    <s v="SE3_HP"/>
    <x v="1"/>
    <x v="1"/>
    <s v="GBPR_MUNIWASTE_24"/>
    <x v="0"/>
    <x v="11"/>
    <n v="33.168980159344798"/>
    <n v="12106.6777581608"/>
    <n v="43584.039929379003"/>
  </r>
  <r>
    <x v="0"/>
    <x v="0"/>
    <x v="0"/>
    <x v="9"/>
    <x v="19"/>
    <s v="SE3_HP"/>
    <x v="1"/>
    <x v="1"/>
    <s v="GBPR_MUNIWASTE_24"/>
    <x v="0"/>
    <x v="12"/>
    <n v="33.168980159344798"/>
    <n v="12106.6777581608"/>
    <n v="43584.039929379003"/>
  </r>
  <r>
    <x v="0"/>
    <x v="0"/>
    <x v="0"/>
    <x v="9"/>
    <x v="19"/>
    <s v="SE3_HP"/>
    <x v="1"/>
    <x v="1"/>
    <s v="GBPR_MUNIWASTE_24"/>
    <x v="0"/>
    <x v="13"/>
    <n v="33.168980159344798"/>
    <n v="12106.6777581608"/>
    <n v="43584.039929379003"/>
  </r>
  <r>
    <x v="0"/>
    <x v="0"/>
    <x v="0"/>
    <x v="9"/>
    <x v="19"/>
    <s v="SE3_HP"/>
    <x v="1"/>
    <x v="1"/>
    <s v="GBPR_MUNIWASTE_24"/>
    <x v="0"/>
    <x v="14"/>
    <n v="33.168980159344798"/>
    <n v="12106.6777581608"/>
    <n v="43584.039929379003"/>
  </r>
  <r>
    <x v="0"/>
    <x v="0"/>
    <x v="0"/>
    <x v="9"/>
    <x v="19"/>
    <s v="SE3_HP"/>
    <x v="1"/>
    <x v="1"/>
    <s v="GBPR_MUNIWASTE_24"/>
    <x v="0"/>
    <x v="15"/>
    <n v="33.168980159344798"/>
    <n v="12106.6777581608"/>
    <n v="43584.039929379003"/>
  </r>
  <r>
    <x v="0"/>
    <x v="0"/>
    <x v="0"/>
    <x v="9"/>
    <x v="19"/>
    <s v="SE3_HP"/>
    <x v="1"/>
    <x v="1"/>
    <s v="GBPR_MUNIWASTE_24"/>
    <x v="0"/>
    <x v="16"/>
    <n v="33.168980159344798"/>
    <n v="12106.6777581608"/>
    <n v="43584.039929379003"/>
  </r>
  <r>
    <x v="0"/>
    <x v="0"/>
    <x v="0"/>
    <x v="9"/>
    <x v="19"/>
    <s v="SE3_HP"/>
    <x v="1"/>
    <x v="1"/>
    <s v="GBPR_MUNIWASTE_24"/>
    <x v="0"/>
    <x v="17"/>
    <n v="33.168980159344798"/>
    <n v="12106.6777581608"/>
    <n v="43584.039929379003"/>
  </r>
  <r>
    <x v="0"/>
    <x v="0"/>
    <x v="0"/>
    <x v="9"/>
    <x v="19"/>
    <s v="SE3_HP"/>
    <x v="1"/>
    <x v="1"/>
    <s v="GBPR_MUNIWASTE_24"/>
    <x v="0"/>
    <x v="18"/>
    <n v="33.168980159344798"/>
    <n v="12106.6777581608"/>
    <n v="43584.039929379003"/>
  </r>
  <r>
    <x v="0"/>
    <x v="0"/>
    <x v="0"/>
    <x v="9"/>
    <x v="19"/>
    <s v="SE3_HP"/>
    <x v="1"/>
    <x v="1"/>
    <s v="GBPR_MUNIWASTE_24"/>
    <x v="0"/>
    <x v="19"/>
    <n v="33.168980159344798"/>
    <n v="12106.6777581608"/>
    <n v="43584.039929379003"/>
  </r>
  <r>
    <x v="0"/>
    <x v="0"/>
    <x v="0"/>
    <x v="9"/>
    <x v="19"/>
    <s v="SE3_HP"/>
    <x v="1"/>
    <x v="1"/>
    <s v="GBPR_MUNIWASTE_24"/>
    <x v="0"/>
    <x v="20"/>
    <n v="33.168980159344798"/>
    <n v="12106.6777581608"/>
    <n v="43584.039929379003"/>
  </r>
  <r>
    <x v="0"/>
    <x v="0"/>
    <x v="0"/>
    <x v="9"/>
    <x v="19"/>
    <s v="SE3_HP"/>
    <x v="1"/>
    <x v="1"/>
    <s v="GBPR_MUNIWASTE_24"/>
    <x v="0"/>
    <x v="21"/>
    <n v="33.168980159344798"/>
    <n v="12106.6777581608"/>
    <n v="43584.039929379003"/>
  </r>
  <r>
    <x v="0"/>
    <x v="0"/>
    <x v="0"/>
    <x v="9"/>
    <x v="19"/>
    <s v="SE3_HP"/>
    <x v="1"/>
    <x v="1"/>
    <s v="GBPR_MUNIWASTE_24"/>
    <x v="0"/>
    <x v="22"/>
    <n v="33.168980159344798"/>
    <n v="12106.6777581608"/>
    <n v="43584.039929379003"/>
  </r>
  <r>
    <x v="0"/>
    <x v="0"/>
    <x v="0"/>
    <x v="9"/>
    <x v="19"/>
    <s v="SE3_HP"/>
    <x v="1"/>
    <x v="1"/>
    <s v="GBPR_MUNIWASTE_24"/>
    <x v="0"/>
    <x v="23"/>
    <n v="33.168980159344798"/>
    <n v="12106.6777581608"/>
    <n v="43584.039929379003"/>
  </r>
  <r>
    <x v="0"/>
    <x v="0"/>
    <x v="0"/>
    <x v="9"/>
    <x v="19"/>
    <s v="SE3_HP"/>
    <x v="12"/>
    <x v="1"/>
    <s v="GBPR_WOODWASTE_36"/>
    <x v="0"/>
    <x v="3"/>
    <n v="24.793345008756599"/>
    <n v="9049.5709281961499"/>
    <n v="32578.455341506098"/>
  </r>
  <r>
    <x v="0"/>
    <x v="0"/>
    <x v="0"/>
    <x v="9"/>
    <x v="19"/>
    <s v="SE3_HP"/>
    <x v="12"/>
    <x v="1"/>
    <s v="GBPR_WOODWASTE_36"/>
    <x v="0"/>
    <x v="4"/>
    <n v="24.793345008756599"/>
    <n v="9049.5709281961499"/>
    <n v="32578.455341506098"/>
  </r>
  <r>
    <x v="0"/>
    <x v="0"/>
    <x v="0"/>
    <x v="9"/>
    <x v="19"/>
    <s v="SE3_HP"/>
    <x v="12"/>
    <x v="1"/>
    <s v="GBPR_WOODWASTE_36"/>
    <x v="0"/>
    <x v="5"/>
    <n v="24.793345008756599"/>
    <n v="9049.5709281961499"/>
    <n v="32578.455341506098"/>
  </r>
  <r>
    <x v="0"/>
    <x v="0"/>
    <x v="0"/>
    <x v="9"/>
    <x v="19"/>
    <s v="SE3_HP"/>
    <x v="12"/>
    <x v="1"/>
    <s v="GBPR_WOODWASTE_36"/>
    <x v="0"/>
    <x v="6"/>
    <n v="24.793345008756599"/>
    <n v="9049.5709281961499"/>
    <n v="32578.455341506098"/>
  </r>
  <r>
    <x v="0"/>
    <x v="0"/>
    <x v="0"/>
    <x v="9"/>
    <x v="19"/>
    <s v="SE3_HP"/>
    <x v="12"/>
    <x v="1"/>
    <s v="GBPR_WOODWASTE_36"/>
    <x v="0"/>
    <x v="7"/>
    <n v="24.793345008756599"/>
    <n v="9049.5709281961499"/>
    <n v="32578.455341506098"/>
  </r>
  <r>
    <x v="0"/>
    <x v="0"/>
    <x v="0"/>
    <x v="9"/>
    <x v="19"/>
    <s v="SE3_HP"/>
    <x v="12"/>
    <x v="1"/>
    <s v="GBPR_WOODWASTE_36"/>
    <x v="0"/>
    <x v="8"/>
    <n v="24.793345008756599"/>
    <n v="9049.5709281961499"/>
    <n v="32578.455341506098"/>
  </r>
  <r>
    <x v="0"/>
    <x v="0"/>
    <x v="0"/>
    <x v="9"/>
    <x v="19"/>
    <s v="SE3_HP"/>
    <x v="12"/>
    <x v="1"/>
    <s v="GBPR_WOODWASTE_36"/>
    <x v="0"/>
    <x v="0"/>
    <n v="24.793345008756599"/>
    <n v="9049.5709281961499"/>
    <n v="32578.455341506098"/>
  </r>
  <r>
    <x v="0"/>
    <x v="0"/>
    <x v="0"/>
    <x v="9"/>
    <x v="19"/>
    <s v="SE3_HP"/>
    <x v="12"/>
    <x v="1"/>
    <s v="GBPR_WOODWASTE_36"/>
    <x v="0"/>
    <x v="1"/>
    <n v="24.793345008756599"/>
    <n v="9049.5709281961499"/>
    <n v="32578.455341506098"/>
  </r>
  <r>
    <x v="0"/>
    <x v="0"/>
    <x v="0"/>
    <x v="9"/>
    <x v="19"/>
    <s v="SE3_HP"/>
    <x v="12"/>
    <x v="1"/>
    <s v="GBPR_WOODWASTE_36"/>
    <x v="0"/>
    <x v="2"/>
    <n v="24.793345008756599"/>
    <n v="9049.5709281961499"/>
    <n v="32578.455341506098"/>
  </r>
  <r>
    <x v="0"/>
    <x v="0"/>
    <x v="0"/>
    <x v="9"/>
    <x v="19"/>
    <s v="SE3_HP"/>
    <x v="12"/>
    <x v="1"/>
    <s v="GBPR_WOODWASTE_36"/>
    <x v="0"/>
    <x v="9"/>
    <n v="24.793345008756599"/>
    <n v="9049.5709281961499"/>
    <n v="32578.455341506098"/>
  </r>
  <r>
    <x v="0"/>
    <x v="0"/>
    <x v="0"/>
    <x v="9"/>
    <x v="19"/>
    <s v="SE3_HP"/>
    <x v="12"/>
    <x v="1"/>
    <s v="GBPR_WOODWASTE_36"/>
    <x v="0"/>
    <x v="10"/>
    <n v="24.793345008756599"/>
    <n v="9049.5709281961499"/>
    <n v="32578.455341506098"/>
  </r>
  <r>
    <x v="0"/>
    <x v="0"/>
    <x v="0"/>
    <x v="9"/>
    <x v="19"/>
    <s v="SE3_HP"/>
    <x v="12"/>
    <x v="1"/>
    <s v="GBPR_WOODWASTE_36"/>
    <x v="0"/>
    <x v="11"/>
    <n v="24.793345008756599"/>
    <n v="9049.5709281961499"/>
    <n v="32578.455341506098"/>
  </r>
  <r>
    <x v="0"/>
    <x v="0"/>
    <x v="0"/>
    <x v="9"/>
    <x v="19"/>
    <s v="SE3_HP"/>
    <x v="12"/>
    <x v="1"/>
    <s v="GBPR_WOODWASTE_36"/>
    <x v="0"/>
    <x v="12"/>
    <n v="24.793345008756599"/>
    <n v="9049.5709281961499"/>
    <n v="32578.455341506098"/>
  </r>
  <r>
    <x v="0"/>
    <x v="0"/>
    <x v="0"/>
    <x v="9"/>
    <x v="19"/>
    <s v="SE3_HP"/>
    <x v="12"/>
    <x v="1"/>
    <s v="GBPR_WOODWASTE_36"/>
    <x v="0"/>
    <x v="13"/>
    <n v="24.793345008756599"/>
    <n v="9049.5709281961499"/>
    <n v="32578.455341506098"/>
  </r>
  <r>
    <x v="0"/>
    <x v="0"/>
    <x v="0"/>
    <x v="9"/>
    <x v="19"/>
    <s v="SE3_HP"/>
    <x v="12"/>
    <x v="1"/>
    <s v="GBPR_WOODWASTE_36"/>
    <x v="0"/>
    <x v="14"/>
    <n v="24.793345008756599"/>
    <n v="9049.5709281961499"/>
    <n v="32578.455341506098"/>
  </r>
  <r>
    <x v="0"/>
    <x v="0"/>
    <x v="0"/>
    <x v="9"/>
    <x v="19"/>
    <s v="SE3_HP"/>
    <x v="12"/>
    <x v="1"/>
    <s v="GBPR_WOODWASTE_36"/>
    <x v="0"/>
    <x v="15"/>
    <n v="24.793345008756599"/>
    <n v="9049.5709281961499"/>
    <n v="32578.455341506098"/>
  </r>
  <r>
    <x v="0"/>
    <x v="0"/>
    <x v="0"/>
    <x v="9"/>
    <x v="19"/>
    <s v="SE3_HP"/>
    <x v="12"/>
    <x v="1"/>
    <s v="GBPR_WOODWASTE_36"/>
    <x v="0"/>
    <x v="16"/>
    <n v="24.793345008756599"/>
    <n v="9049.5709281961499"/>
    <n v="32578.455341506098"/>
  </r>
  <r>
    <x v="0"/>
    <x v="0"/>
    <x v="0"/>
    <x v="9"/>
    <x v="19"/>
    <s v="SE3_HP"/>
    <x v="12"/>
    <x v="1"/>
    <s v="GBPR_WOODWASTE_36"/>
    <x v="0"/>
    <x v="17"/>
    <n v="24.793345008756599"/>
    <n v="9049.5709281961499"/>
    <n v="32578.455341506098"/>
  </r>
  <r>
    <x v="0"/>
    <x v="0"/>
    <x v="0"/>
    <x v="9"/>
    <x v="19"/>
    <s v="SE3_HP"/>
    <x v="12"/>
    <x v="1"/>
    <s v="GBPR_WOODWASTE_36"/>
    <x v="0"/>
    <x v="18"/>
    <n v="24.793345008756599"/>
    <n v="9049.5709281961499"/>
    <n v="32578.455341506098"/>
  </r>
  <r>
    <x v="0"/>
    <x v="0"/>
    <x v="0"/>
    <x v="9"/>
    <x v="19"/>
    <s v="SE3_HP"/>
    <x v="12"/>
    <x v="1"/>
    <s v="GBPR_WOODWASTE_36"/>
    <x v="0"/>
    <x v="19"/>
    <n v="24.793345008756599"/>
    <n v="9049.5709281961499"/>
    <n v="32578.455341506098"/>
  </r>
  <r>
    <x v="0"/>
    <x v="0"/>
    <x v="0"/>
    <x v="9"/>
    <x v="19"/>
    <s v="SE3_HP"/>
    <x v="12"/>
    <x v="1"/>
    <s v="GBPR_WOODWASTE_36"/>
    <x v="0"/>
    <x v="20"/>
    <n v="24.793345008756599"/>
    <n v="9049.5709281961499"/>
    <n v="32578.455341506098"/>
  </r>
  <r>
    <x v="0"/>
    <x v="0"/>
    <x v="0"/>
    <x v="9"/>
    <x v="19"/>
    <s v="SE3_HP"/>
    <x v="12"/>
    <x v="1"/>
    <s v="GBPR_WOODWASTE_36"/>
    <x v="0"/>
    <x v="21"/>
    <n v="24.793345008756599"/>
    <n v="9049.5709281961499"/>
    <n v="32578.455341506098"/>
  </r>
  <r>
    <x v="0"/>
    <x v="0"/>
    <x v="0"/>
    <x v="9"/>
    <x v="19"/>
    <s v="SE3_HP"/>
    <x v="12"/>
    <x v="1"/>
    <s v="GBPR_WOODWASTE_36"/>
    <x v="0"/>
    <x v="22"/>
    <n v="24.793345008756599"/>
    <n v="9049.5709281961499"/>
    <n v="32578.455341506098"/>
  </r>
  <r>
    <x v="0"/>
    <x v="0"/>
    <x v="0"/>
    <x v="9"/>
    <x v="19"/>
    <s v="SE3_HP"/>
    <x v="12"/>
    <x v="1"/>
    <s v="GBPR_WOODWASTE_36"/>
    <x v="0"/>
    <x v="23"/>
    <n v="24.793345008756599"/>
    <n v="9049.5709281961499"/>
    <n v="32578.455341506098"/>
  </r>
  <r>
    <x v="0"/>
    <x v="0"/>
    <x v="0"/>
    <x v="9"/>
    <x v="19"/>
    <s v="SE3_HP"/>
    <x v="12"/>
    <x v="0"/>
    <s v="GEXT_WOODWASTE"/>
    <x v="0"/>
    <x v="3"/>
    <n v="143.39126124749899"/>
    <n v="52337.810355337198"/>
    <n v="188416.117279214"/>
  </r>
  <r>
    <x v="0"/>
    <x v="0"/>
    <x v="0"/>
    <x v="9"/>
    <x v="19"/>
    <s v="SE3_HP"/>
    <x v="12"/>
    <x v="0"/>
    <s v="GEXT_WOODWASTE"/>
    <x v="0"/>
    <x v="4"/>
    <n v="143.96147806603901"/>
    <n v="52545.939494104103"/>
    <n v="189165.38217877501"/>
  </r>
  <r>
    <x v="0"/>
    <x v="0"/>
    <x v="0"/>
    <x v="9"/>
    <x v="19"/>
    <s v="SE3_HP"/>
    <x v="12"/>
    <x v="0"/>
    <s v="GEXT_WOODWASTE"/>
    <x v="0"/>
    <x v="5"/>
    <n v="143.94172890354301"/>
    <n v="52538.731049793001"/>
    <n v="189139.43177925501"/>
  </r>
  <r>
    <x v="0"/>
    <x v="0"/>
    <x v="0"/>
    <x v="9"/>
    <x v="19"/>
    <s v="SE3_HP"/>
    <x v="12"/>
    <x v="0"/>
    <s v="GEXT_WOODWASTE"/>
    <x v="0"/>
    <x v="6"/>
    <n v="142.707319387979"/>
    <n v="52088.171576612403"/>
    <n v="187517.417675804"/>
  </r>
  <r>
    <x v="0"/>
    <x v="0"/>
    <x v="0"/>
    <x v="9"/>
    <x v="19"/>
    <s v="SE3_HP"/>
    <x v="12"/>
    <x v="0"/>
    <s v="GEXT_WOODWASTE"/>
    <x v="0"/>
    <x v="7"/>
    <n v="138.96772211594501"/>
    <n v="50723.218572319798"/>
    <n v="182603.586860351"/>
  </r>
  <r>
    <x v="0"/>
    <x v="0"/>
    <x v="0"/>
    <x v="9"/>
    <x v="19"/>
    <s v="SE3_HP"/>
    <x v="12"/>
    <x v="0"/>
    <s v="GEXT_WOODWASTE"/>
    <x v="0"/>
    <x v="8"/>
    <n v="131.310145795777"/>
    <n v="47928.203215458598"/>
    <n v="172541.531575651"/>
  </r>
  <r>
    <x v="0"/>
    <x v="0"/>
    <x v="0"/>
    <x v="9"/>
    <x v="19"/>
    <s v="SE3_HP"/>
    <x v="12"/>
    <x v="0"/>
    <s v="GEXT_WOODWASTE"/>
    <x v="0"/>
    <x v="0"/>
    <n v="115.926780850922"/>
    <n v="42313.275010586403"/>
    <n v="152327.79003811101"/>
  </r>
  <r>
    <x v="0"/>
    <x v="0"/>
    <x v="0"/>
    <x v="9"/>
    <x v="19"/>
    <s v="SE3_HP"/>
    <x v="12"/>
    <x v="0"/>
    <s v="GEXT_WOODWASTE"/>
    <x v="0"/>
    <x v="1"/>
    <n v="107.82503697455201"/>
    <n v="39356.138495711602"/>
    <n v="141682.09858456199"/>
  </r>
  <r>
    <x v="0"/>
    <x v="0"/>
    <x v="0"/>
    <x v="9"/>
    <x v="19"/>
    <s v="SE3_HP"/>
    <x v="12"/>
    <x v="0"/>
    <s v="GEXT_WOODWASTE"/>
    <x v="0"/>
    <x v="2"/>
    <n v="107.360275463421"/>
    <n v="39186.500544148803"/>
    <n v="141071.40195893601"/>
  </r>
  <r>
    <x v="0"/>
    <x v="0"/>
    <x v="0"/>
    <x v="9"/>
    <x v="19"/>
    <s v="SE3_HP"/>
    <x v="12"/>
    <x v="0"/>
    <s v="GEXT_WOODWASTE"/>
    <x v="0"/>
    <x v="9"/>
    <n v="108.46122791358"/>
    <n v="39588.348188456599"/>
    <n v="142518.053478444"/>
  </r>
  <r>
    <x v="0"/>
    <x v="0"/>
    <x v="0"/>
    <x v="9"/>
    <x v="19"/>
    <s v="SE3_HP"/>
    <x v="12"/>
    <x v="0"/>
    <s v="GEXT_WOODWASTE"/>
    <x v="0"/>
    <x v="10"/>
    <n v="111.022490829025"/>
    <n v="40523.209152594201"/>
    <n v="145883.55294933901"/>
  </r>
  <r>
    <x v="0"/>
    <x v="0"/>
    <x v="0"/>
    <x v="9"/>
    <x v="19"/>
    <s v="SE3_HP"/>
    <x v="12"/>
    <x v="0"/>
    <s v="GEXT_WOODWASTE"/>
    <x v="0"/>
    <x v="11"/>
    <n v="112.497001915187"/>
    <n v="41061.405699043396"/>
    <n v="147821.060516556"/>
  </r>
  <r>
    <x v="0"/>
    <x v="0"/>
    <x v="0"/>
    <x v="9"/>
    <x v="19"/>
    <s v="SE3_HP"/>
    <x v="12"/>
    <x v="0"/>
    <s v="GEXT_WOODWASTE"/>
    <x v="0"/>
    <x v="12"/>
    <n v="112.965439145399"/>
    <n v="41232.385288070604"/>
    <n v="148436.58703705401"/>
  </r>
  <r>
    <x v="0"/>
    <x v="0"/>
    <x v="0"/>
    <x v="9"/>
    <x v="19"/>
    <s v="SE3_HP"/>
    <x v="12"/>
    <x v="0"/>
    <s v="GEXT_WOODWASTE"/>
    <x v="0"/>
    <x v="13"/>
    <n v="112.726336506959"/>
    <n v="41145.112825039898"/>
    <n v="148122.40617014401"/>
  </r>
  <r>
    <x v="0"/>
    <x v="0"/>
    <x v="0"/>
    <x v="9"/>
    <x v="19"/>
    <s v="SE3_HP"/>
    <x v="12"/>
    <x v="0"/>
    <s v="GEXT_WOODWASTE"/>
    <x v="0"/>
    <x v="14"/>
    <n v="113.189232061493"/>
    <n v="41314.069702444802"/>
    <n v="148730.65092880101"/>
  </r>
  <r>
    <x v="0"/>
    <x v="0"/>
    <x v="0"/>
    <x v="9"/>
    <x v="19"/>
    <s v="SE3_HP"/>
    <x v="12"/>
    <x v="0"/>
    <s v="GEXT_WOODWASTE"/>
    <x v="0"/>
    <x v="15"/>
    <n v="112.14587648258301"/>
    <n v="40933.244916142998"/>
    <n v="147359.68169811499"/>
  </r>
  <r>
    <x v="0"/>
    <x v="0"/>
    <x v="0"/>
    <x v="9"/>
    <x v="19"/>
    <s v="SE3_HP"/>
    <x v="12"/>
    <x v="0"/>
    <s v="GEXT_WOODWASTE"/>
    <x v="0"/>
    <x v="16"/>
    <n v="115.300358338686"/>
    <n v="42084.630793620403"/>
    <n v="151504.67085703401"/>
  </r>
  <r>
    <x v="0"/>
    <x v="0"/>
    <x v="0"/>
    <x v="9"/>
    <x v="19"/>
    <s v="SE3_HP"/>
    <x v="12"/>
    <x v="0"/>
    <s v="GEXT_WOODWASTE"/>
    <x v="0"/>
    <x v="17"/>
    <n v="118.515716772589"/>
    <n v="43258.2366219951"/>
    <n v="155729.65183918201"/>
  </r>
  <r>
    <x v="0"/>
    <x v="0"/>
    <x v="0"/>
    <x v="9"/>
    <x v="19"/>
    <s v="SE3_HP"/>
    <x v="12"/>
    <x v="0"/>
    <s v="GEXT_WOODWASTE"/>
    <x v="0"/>
    <x v="18"/>
    <n v="120.394577519793"/>
    <n v="43944.020794724398"/>
    <n v="158198.474861008"/>
  </r>
  <r>
    <x v="0"/>
    <x v="0"/>
    <x v="0"/>
    <x v="9"/>
    <x v="19"/>
    <s v="SE3_HP"/>
    <x v="12"/>
    <x v="0"/>
    <s v="GEXT_WOODWASTE"/>
    <x v="0"/>
    <x v="19"/>
    <n v="123.435150036064"/>
    <n v="45053.8297631635"/>
    <n v="162193.787147389"/>
  </r>
  <r>
    <x v="0"/>
    <x v="0"/>
    <x v="0"/>
    <x v="9"/>
    <x v="19"/>
    <s v="SE3_HP"/>
    <x v="12"/>
    <x v="0"/>
    <s v="GEXT_WOODWASTE"/>
    <x v="0"/>
    <x v="20"/>
    <n v="126.840576590157"/>
    <n v="46296.810455407198"/>
    <n v="166668.51763946601"/>
  </r>
  <r>
    <x v="0"/>
    <x v="0"/>
    <x v="0"/>
    <x v="9"/>
    <x v="19"/>
    <s v="SE3_HP"/>
    <x v="12"/>
    <x v="0"/>
    <s v="GEXT_WOODWASTE"/>
    <x v="0"/>
    <x v="21"/>
    <n v="129.750849688247"/>
    <n v="47359.060136210297"/>
    <n v="170492.616490357"/>
  </r>
  <r>
    <x v="0"/>
    <x v="0"/>
    <x v="0"/>
    <x v="9"/>
    <x v="19"/>
    <s v="SE3_HP"/>
    <x v="12"/>
    <x v="0"/>
    <s v="GEXT_WOODWASTE"/>
    <x v="0"/>
    <x v="22"/>
    <n v="134.258705617217"/>
    <n v="49004.427550284097"/>
    <n v="176415.93918102299"/>
  </r>
  <r>
    <x v="0"/>
    <x v="0"/>
    <x v="0"/>
    <x v="9"/>
    <x v="19"/>
    <s v="SE3_HP"/>
    <x v="12"/>
    <x v="0"/>
    <s v="GEXT_WOODWASTE"/>
    <x v="0"/>
    <x v="23"/>
    <n v="141.33780445807901"/>
    <n v="51588.298627198703"/>
    <n v="185717.87505791499"/>
  </r>
  <r>
    <x v="0"/>
    <x v="0"/>
    <x v="0"/>
    <x v="9"/>
    <x v="19"/>
    <s v="SE3_OTHER"/>
    <x v="1"/>
    <x v="1"/>
    <s v="GBPR_MUNIWASTE_24"/>
    <x v="0"/>
    <x v="3"/>
    <n v="28.917506225872899"/>
    <n v="10554.889772443599"/>
    <n v="37997.603180796898"/>
  </r>
  <r>
    <x v="0"/>
    <x v="0"/>
    <x v="0"/>
    <x v="9"/>
    <x v="19"/>
    <s v="SE3_OTHER"/>
    <x v="1"/>
    <x v="1"/>
    <s v="GBPR_MUNIWASTE_24"/>
    <x v="0"/>
    <x v="4"/>
    <n v="28.917506225872899"/>
    <n v="10554.889772443599"/>
    <n v="37997.603180796898"/>
  </r>
  <r>
    <x v="0"/>
    <x v="0"/>
    <x v="0"/>
    <x v="9"/>
    <x v="19"/>
    <s v="SE3_OTHER"/>
    <x v="1"/>
    <x v="1"/>
    <s v="GBPR_MUNIWASTE_24"/>
    <x v="0"/>
    <x v="5"/>
    <n v="28.917506225872899"/>
    <n v="10554.889772443599"/>
    <n v="37997.603180796898"/>
  </r>
  <r>
    <x v="0"/>
    <x v="0"/>
    <x v="0"/>
    <x v="9"/>
    <x v="19"/>
    <s v="SE3_OTHER"/>
    <x v="1"/>
    <x v="1"/>
    <s v="GBPR_MUNIWASTE_24"/>
    <x v="0"/>
    <x v="6"/>
    <n v="28.917506225872899"/>
    <n v="10554.889772443599"/>
    <n v="37997.603180796898"/>
  </r>
  <r>
    <x v="0"/>
    <x v="0"/>
    <x v="0"/>
    <x v="9"/>
    <x v="19"/>
    <s v="SE3_OTHER"/>
    <x v="1"/>
    <x v="1"/>
    <s v="GBPR_MUNIWASTE_24"/>
    <x v="0"/>
    <x v="7"/>
    <n v="28.917506225872899"/>
    <n v="10554.889772443599"/>
    <n v="37997.603180796898"/>
  </r>
  <r>
    <x v="0"/>
    <x v="0"/>
    <x v="0"/>
    <x v="9"/>
    <x v="19"/>
    <s v="SE3_OTHER"/>
    <x v="1"/>
    <x v="1"/>
    <s v="GBPR_MUNIWASTE_24"/>
    <x v="0"/>
    <x v="8"/>
    <n v="28.917506225872899"/>
    <n v="10554.889772443599"/>
    <n v="37997.603180796898"/>
  </r>
  <r>
    <x v="0"/>
    <x v="0"/>
    <x v="0"/>
    <x v="9"/>
    <x v="19"/>
    <s v="SE3_OTHER"/>
    <x v="1"/>
    <x v="1"/>
    <s v="GBPR_MUNIWASTE_24"/>
    <x v="0"/>
    <x v="0"/>
    <n v="28.917506225872899"/>
    <n v="10554.889772443599"/>
    <n v="37997.603180796898"/>
  </r>
  <r>
    <x v="0"/>
    <x v="0"/>
    <x v="0"/>
    <x v="9"/>
    <x v="19"/>
    <s v="SE3_OTHER"/>
    <x v="1"/>
    <x v="1"/>
    <s v="GBPR_MUNIWASTE_24"/>
    <x v="0"/>
    <x v="1"/>
    <n v="28.917506225872899"/>
    <n v="10554.889772443599"/>
    <n v="37997.603180796898"/>
  </r>
  <r>
    <x v="0"/>
    <x v="0"/>
    <x v="0"/>
    <x v="9"/>
    <x v="19"/>
    <s v="SE3_OTHER"/>
    <x v="1"/>
    <x v="1"/>
    <s v="GBPR_MUNIWASTE_24"/>
    <x v="0"/>
    <x v="2"/>
    <n v="28.917506225872899"/>
    <n v="10554.889772443599"/>
    <n v="37997.603180796898"/>
  </r>
  <r>
    <x v="0"/>
    <x v="0"/>
    <x v="0"/>
    <x v="9"/>
    <x v="19"/>
    <s v="SE3_OTHER"/>
    <x v="1"/>
    <x v="1"/>
    <s v="GBPR_MUNIWASTE_24"/>
    <x v="0"/>
    <x v="9"/>
    <n v="28.917506225872899"/>
    <n v="10554.889772443599"/>
    <n v="37997.603180796898"/>
  </r>
  <r>
    <x v="0"/>
    <x v="0"/>
    <x v="0"/>
    <x v="9"/>
    <x v="19"/>
    <s v="SE3_OTHER"/>
    <x v="1"/>
    <x v="1"/>
    <s v="GBPR_MUNIWASTE_24"/>
    <x v="0"/>
    <x v="10"/>
    <n v="28.917506225872899"/>
    <n v="10554.889772443599"/>
    <n v="37997.603180796898"/>
  </r>
  <r>
    <x v="0"/>
    <x v="0"/>
    <x v="0"/>
    <x v="9"/>
    <x v="19"/>
    <s v="SE3_OTHER"/>
    <x v="1"/>
    <x v="1"/>
    <s v="GBPR_MUNIWASTE_24"/>
    <x v="0"/>
    <x v="11"/>
    <n v="28.917506225872899"/>
    <n v="10554.889772443599"/>
    <n v="37997.603180796898"/>
  </r>
  <r>
    <x v="0"/>
    <x v="0"/>
    <x v="0"/>
    <x v="9"/>
    <x v="19"/>
    <s v="SE3_OTHER"/>
    <x v="1"/>
    <x v="1"/>
    <s v="GBPR_MUNIWASTE_24"/>
    <x v="0"/>
    <x v="12"/>
    <n v="28.917506225872899"/>
    <n v="10554.889772443599"/>
    <n v="37997.603180796898"/>
  </r>
  <r>
    <x v="0"/>
    <x v="0"/>
    <x v="0"/>
    <x v="9"/>
    <x v="19"/>
    <s v="SE3_OTHER"/>
    <x v="1"/>
    <x v="1"/>
    <s v="GBPR_MUNIWASTE_24"/>
    <x v="0"/>
    <x v="13"/>
    <n v="28.917506225872899"/>
    <n v="10554.889772443599"/>
    <n v="37997.603180796898"/>
  </r>
  <r>
    <x v="0"/>
    <x v="0"/>
    <x v="0"/>
    <x v="9"/>
    <x v="19"/>
    <s v="SE3_OTHER"/>
    <x v="1"/>
    <x v="1"/>
    <s v="GBPR_MUNIWASTE_24"/>
    <x v="0"/>
    <x v="14"/>
    <n v="28.917506225872899"/>
    <n v="10554.889772443599"/>
    <n v="37997.603180796898"/>
  </r>
  <r>
    <x v="0"/>
    <x v="0"/>
    <x v="0"/>
    <x v="9"/>
    <x v="19"/>
    <s v="SE3_OTHER"/>
    <x v="1"/>
    <x v="1"/>
    <s v="GBPR_MUNIWASTE_24"/>
    <x v="0"/>
    <x v="15"/>
    <n v="28.917506225872899"/>
    <n v="10554.889772443599"/>
    <n v="37997.603180796898"/>
  </r>
  <r>
    <x v="0"/>
    <x v="0"/>
    <x v="0"/>
    <x v="9"/>
    <x v="19"/>
    <s v="SE3_OTHER"/>
    <x v="1"/>
    <x v="1"/>
    <s v="GBPR_MUNIWASTE_24"/>
    <x v="0"/>
    <x v="16"/>
    <n v="28.917506225872899"/>
    <n v="10554.889772443599"/>
    <n v="37997.603180796898"/>
  </r>
  <r>
    <x v="0"/>
    <x v="0"/>
    <x v="0"/>
    <x v="9"/>
    <x v="19"/>
    <s v="SE3_OTHER"/>
    <x v="1"/>
    <x v="1"/>
    <s v="GBPR_MUNIWASTE_24"/>
    <x v="0"/>
    <x v="17"/>
    <n v="28.917506225872899"/>
    <n v="10554.889772443599"/>
    <n v="37997.603180796898"/>
  </r>
  <r>
    <x v="0"/>
    <x v="0"/>
    <x v="0"/>
    <x v="9"/>
    <x v="19"/>
    <s v="SE3_OTHER"/>
    <x v="1"/>
    <x v="1"/>
    <s v="GBPR_MUNIWASTE_24"/>
    <x v="0"/>
    <x v="18"/>
    <n v="28.917506225872899"/>
    <n v="10554.889772443599"/>
    <n v="37997.603180796898"/>
  </r>
  <r>
    <x v="0"/>
    <x v="0"/>
    <x v="0"/>
    <x v="9"/>
    <x v="19"/>
    <s v="SE3_OTHER"/>
    <x v="1"/>
    <x v="1"/>
    <s v="GBPR_MUNIWASTE_24"/>
    <x v="0"/>
    <x v="19"/>
    <n v="28.917506225872899"/>
    <n v="10554.889772443599"/>
    <n v="37997.603180796898"/>
  </r>
  <r>
    <x v="0"/>
    <x v="0"/>
    <x v="0"/>
    <x v="9"/>
    <x v="19"/>
    <s v="SE3_OTHER"/>
    <x v="1"/>
    <x v="1"/>
    <s v="GBPR_MUNIWASTE_24"/>
    <x v="0"/>
    <x v="20"/>
    <n v="28.917506225872899"/>
    <n v="10554.889772443599"/>
    <n v="37997.603180796898"/>
  </r>
  <r>
    <x v="0"/>
    <x v="0"/>
    <x v="0"/>
    <x v="9"/>
    <x v="19"/>
    <s v="SE3_OTHER"/>
    <x v="1"/>
    <x v="1"/>
    <s v="GBPR_MUNIWASTE_24"/>
    <x v="0"/>
    <x v="21"/>
    <n v="28.917506225872899"/>
    <n v="10554.889772443599"/>
    <n v="37997.603180796898"/>
  </r>
  <r>
    <x v="0"/>
    <x v="0"/>
    <x v="0"/>
    <x v="9"/>
    <x v="19"/>
    <s v="SE3_OTHER"/>
    <x v="1"/>
    <x v="1"/>
    <s v="GBPR_MUNIWASTE_24"/>
    <x v="0"/>
    <x v="22"/>
    <n v="28.917506225872899"/>
    <n v="10554.889772443599"/>
    <n v="37997.603180796898"/>
  </r>
  <r>
    <x v="0"/>
    <x v="0"/>
    <x v="0"/>
    <x v="9"/>
    <x v="19"/>
    <s v="SE3_OTHER"/>
    <x v="1"/>
    <x v="1"/>
    <s v="GBPR_MUNIWASTE_24"/>
    <x v="0"/>
    <x v="23"/>
    <n v="28.917506225872899"/>
    <n v="10554.889772443599"/>
    <n v="37997.603180796898"/>
  </r>
  <r>
    <x v="0"/>
    <x v="0"/>
    <x v="0"/>
    <x v="9"/>
    <x v="19"/>
    <s v="SE3_OTHER"/>
    <x v="19"/>
    <x v="1"/>
    <s v="GBPR_RECYCLEDWOOD_SE3OTHER"/>
    <x v="0"/>
    <x v="3"/>
    <n v="38.364923920971698"/>
    <n v="14003.1972311547"/>
    <n v="50411.510032156802"/>
  </r>
  <r>
    <x v="0"/>
    <x v="0"/>
    <x v="0"/>
    <x v="9"/>
    <x v="19"/>
    <s v="SE3_OTHER"/>
    <x v="19"/>
    <x v="1"/>
    <s v="GBPR_RECYCLEDWOOD_SE3OTHER"/>
    <x v="0"/>
    <x v="4"/>
    <n v="38.364923920971698"/>
    <n v="14003.1972311547"/>
    <n v="50411.510032156802"/>
  </r>
  <r>
    <x v="0"/>
    <x v="0"/>
    <x v="0"/>
    <x v="9"/>
    <x v="19"/>
    <s v="SE3_OTHER"/>
    <x v="19"/>
    <x v="1"/>
    <s v="GBPR_RECYCLEDWOOD_SE3OTHER"/>
    <x v="0"/>
    <x v="5"/>
    <n v="38.364923920971698"/>
    <n v="14003.1972311547"/>
    <n v="50411.510032156802"/>
  </r>
  <r>
    <x v="0"/>
    <x v="0"/>
    <x v="0"/>
    <x v="9"/>
    <x v="19"/>
    <s v="SE3_OTHER"/>
    <x v="19"/>
    <x v="1"/>
    <s v="GBPR_RECYCLEDWOOD_SE3OTHER"/>
    <x v="0"/>
    <x v="6"/>
    <n v="38.364923920971698"/>
    <n v="14003.1972311547"/>
    <n v="50411.510032156802"/>
  </r>
  <r>
    <x v="0"/>
    <x v="0"/>
    <x v="0"/>
    <x v="9"/>
    <x v="19"/>
    <s v="SE3_OTHER"/>
    <x v="19"/>
    <x v="1"/>
    <s v="GBPR_RECYCLEDWOOD_SE3OTHER"/>
    <x v="0"/>
    <x v="7"/>
    <n v="38.364923920971698"/>
    <n v="14003.1972311547"/>
    <n v="50411.510032156802"/>
  </r>
  <r>
    <x v="0"/>
    <x v="0"/>
    <x v="0"/>
    <x v="9"/>
    <x v="19"/>
    <s v="SE3_OTHER"/>
    <x v="19"/>
    <x v="1"/>
    <s v="GBPR_RECYCLEDWOOD_SE3OTHER"/>
    <x v="0"/>
    <x v="8"/>
    <n v="38.364923920971698"/>
    <n v="14003.1972311547"/>
    <n v="50411.510032156802"/>
  </r>
  <r>
    <x v="0"/>
    <x v="0"/>
    <x v="0"/>
    <x v="9"/>
    <x v="19"/>
    <s v="SE3_OTHER"/>
    <x v="19"/>
    <x v="1"/>
    <s v="GBPR_RECYCLEDWOOD_SE3OTHER"/>
    <x v="0"/>
    <x v="0"/>
    <n v="38.364923920971698"/>
    <n v="14003.1972311547"/>
    <n v="50411.510032156802"/>
  </r>
  <r>
    <x v="0"/>
    <x v="0"/>
    <x v="0"/>
    <x v="9"/>
    <x v="19"/>
    <s v="SE3_OTHER"/>
    <x v="19"/>
    <x v="1"/>
    <s v="GBPR_RECYCLEDWOOD_SE3OTHER"/>
    <x v="0"/>
    <x v="1"/>
    <n v="38.364923920971698"/>
    <n v="14003.1972311547"/>
    <n v="50411.510032156802"/>
  </r>
  <r>
    <x v="0"/>
    <x v="0"/>
    <x v="0"/>
    <x v="9"/>
    <x v="19"/>
    <s v="SE3_OTHER"/>
    <x v="19"/>
    <x v="1"/>
    <s v="GBPR_RECYCLEDWOOD_SE3OTHER"/>
    <x v="0"/>
    <x v="2"/>
    <n v="38.364923920971698"/>
    <n v="14003.1972311547"/>
    <n v="50411.510032156802"/>
  </r>
  <r>
    <x v="0"/>
    <x v="0"/>
    <x v="0"/>
    <x v="9"/>
    <x v="19"/>
    <s v="SE3_OTHER"/>
    <x v="19"/>
    <x v="1"/>
    <s v="GBPR_RECYCLEDWOOD_SE3OTHER"/>
    <x v="0"/>
    <x v="9"/>
    <n v="38.364923920971698"/>
    <n v="14003.1972311547"/>
    <n v="50411.510032156802"/>
  </r>
  <r>
    <x v="0"/>
    <x v="0"/>
    <x v="0"/>
    <x v="9"/>
    <x v="19"/>
    <s v="SE3_OTHER"/>
    <x v="19"/>
    <x v="1"/>
    <s v="GBPR_RECYCLEDWOOD_SE3OTHER"/>
    <x v="0"/>
    <x v="10"/>
    <n v="38.364923920971698"/>
    <n v="14003.1972311547"/>
    <n v="50411.510032156802"/>
  </r>
  <r>
    <x v="0"/>
    <x v="0"/>
    <x v="0"/>
    <x v="9"/>
    <x v="19"/>
    <s v="SE3_OTHER"/>
    <x v="19"/>
    <x v="1"/>
    <s v="GBPR_RECYCLEDWOOD_SE3OTHER"/>
    <x v="0"/>
    <x v="11"/>
    <n v="38.364923920971698"/>
    <n v="14003.1972311547"/>
    <n v="50411.510032156802"/>
  </r>
  <r>
    <x v="0"/>
    <x v="0"/>
    <x v="0"/>
    <x v="9"/>
    <x v="19"/>
    <s v="SE3_OTHER"/>
    <x v="19"/>
    <x v="1"/>
    <s v="GBPR_RECYCLEDWOOD_SE3OTHER"/>
    <x v="0"/>
    <x v="12"/>
    <n v="38.364923920971698"/>
    <n v="14003.1972311547"/>
    <n v="50411.510032156802"/>
  </r>
  <r>
    <x v="0"/>
    <x v="0"/>
    <x v="0"/>
    <x v="9"/>
    <x v="19"/>
    <s v="SE3_OTHER"/>
    <x v="19"/>
    <x v="1"/>
    <s v="GBPR_RECYCLEDWOOD_SE3OTHER"/>
    <x v="0"/>
    <x v="13"/>
    <n v="38.364923920971698"/>
    <n v="14003.1972311547"/>
    <n v="50411.510032156802"/>
  </r>
  <r>
    <x v="0"/>
    <x v="0"/>
    <x v="0"/>
    <x v="9"/>
    <x v="19"/>
    <s v="SE3_OTHER"/>
    <x v="19"/>
    <x v="1"/>
    <s v="GBPR_RECYCLEDWOOD_SE3OTHER"/>
    <x v="0"/>
    <x v="14"/>
    <n v="38.364923920971698"/>
    <n v="14003.1972311547"/>
    <n v="50411.510032156802"/>
  </r>
  <r>
    <x v="0"/>
    <x v="0"/>
    <x v="0"/>
    <x v="9"/>
    <x v="19"/>
    <s v="SE3_OTHER"/>
    <x v="19"/>
    <x v="1"/>
    <s v="GBPR_RECYCLEDWOOD_SE3OTHER"/>
    <x v="0"/>
    <x v="15"/>
    <n v="38.364923920971698"/>
    <n v="14003.1972311547"/>
    <n v="50411.510032156802"/>
  </r>
  <r>
    <x v="0"/>
    <x v="0"/>
    <x v="0"/>
    <x v="9"/>
    <x v="19"/>
    <s v="SE3_OTHER"/>
    <x v="19"/>
    <x v="1"/>
    <s v="GBPR_RECYCLEDWOOD_SE3OTHER"/>
    <x v="0"/>
    <x v="16"/>
    <n v="38.364923920971698"/>
    <n v="14003.1972311547"/>
    <n v="50411.510032156802"/>
  </r>
  <r>
    <x v="0"/>
    <x v="0"/>
    <x v="0"/>
    <x v="9"/>
    <x v="19"/>
    <s v="SE3_OTHER"/>
    <x v="19"/>
    <x v="1"/>
    <s v="GBPR_RECYCLEDWOOD_SE3OTHER"/>
    <x v="0"/>
    <x v="17"/>
    <n v="38.364923920971698"/>
    <n v="14003.1972311547"/>
    <n v="50411.510032156802"/>
  </r>
  <r>
    <x v="0"/>
    <x v="0"/>
    <x v="0"/>
    <x v="9"/>
    <x v="19"/>
    <s v="SE3_OTHER"/>
    <x v="19"/>
    <x v="1"/>
    <s v="GBPR_RECYCLEDWOOD_SE3OTHER"/>
    <x v="0"/>
    <x v="18"/>
    <n v="38.364923920971698"/>
    <n v="14003.1972311547"/>
    <n v="50411.510032156802"/>
  </r>
  <r>
    <x v="0"/>
    <x v="0"/>
    <x v="0"/>
    <x v="9"/>
    <x v="19"/>
    <s v="SE3_OTHER"/>
    <x v="19"/>
    <x v="1"/>
    <s v="GBPR_RECYCLEDWOOD_SE3OTHER"/>
    <x v="0"/>
    <x v="19"/>
    <n v="38.364923920971698"/>
    <n v="14003.1972311547"/>
    <n v="50411.510032156802"/>
  </r>
  <r>
    <x v="0"/>
    <x v="0"/>
    <x v="0"/>
    <x v="9"/>
    <x v="19"/>
    <s v="SE3_OTHER"/>
    <x v="19"/>
    <x v="1"/>
    <s v="GBPR_RECYCLEDWOOD_SE3OTHER"/>
    <x v="0"/>
    <x v="20"/>
    <n v="38.364923920971698"/>
    <n v="14003.1972311547"/>
    <n v="50411.510032156802"/>
  </r>
  <r>
    <x v="0"/>
    <x v="0"/>
    <x v="0"/>
    <x v="9"/>
    <x v="19"/>
    <s v="SE3_OTHER"/>
    <x v="19"/>
    <x v="1"/>
    <s v="GBPR_RECYCLEDWOOD_SE3OTHER"/>
    <x v="0"/>
    <x v="21"/>
    <n v="38.364923920971698"/>
    <n v="14003.1972311547"/>
    <n v="50411.510032156802"/>
  </r>
  <r>
    <x v="0"/>
    <x v="0"/>
    <x v="0"/>
    <x v="9"/>
    <x v="19"/>
    <s v="SE3_OTHER"/>
    <x v="19"/>
    <x v="1"/>
    <s v="GBPR_RECYCLEDWOOD_SE3OTHER"/>
    <x v="0"/>
    <x v="22"/>
    <n v="38.364923920971698"/>
    <n v="14003.1972311547"/>
    <n v="50411.510032156802"/>
  </r>
  <r>
    <x v="0"/>
    <x v="0"/>
    <x v="0"/>
    <x v="9"/>
    <x v="19"/>
    <s v="SE3_OTHER"/>
    <x v="19"/>
    <x v="1"/>
    <s v="GBPR_RECYCLEDWOOD_SE3OTHER"/>
    <x v="0"/>
    <x v="23"/>
    <n v="38.364923920971698"/>
    <n v="14003.1972311547"/>
    <n v="50411.510032156802"/>
  </r>
  <r>
    <x v="0"/>
    <x v="0"/>
    <x v="0"/>
    <x v="9"/>
    <x v="19"/>
    <s v="SE3_OTHER"/>
    <x v="4"/>
    <x v="1"/>
    <s v="GBPR_WOODCHIPS_37"/>
    <x v="0"/>
    <x v="0"/>
    <n v="31.56837595915"/>
    <n v="11522.4572250898"/>
    <n v="41480.846010323097"/>
  </r>
  <r>
    <x v="0"/>
    <x v="0"/>
    <x v="0"/>
    <x v="9"/>
    <x v="19"/>
    <s v="SE3_OTHER"/>
    <x v="4"/>
    <x v="1"/>
    <s v="GBPR_WOODCHIPS_37"/>
    <x v="0"/>
    <x v="1"/>
    <n v="37.794073555166399"/>
    <n v="13794.836847635701"/>
    <n v="49661.412651488601"/>
  </r>
  <r>
    <x v="0"/>
    <x v="0"/>
    <x v="0"/>
    <x v="9"/>
    <x v="19"/>
    <s v="SE3_OTHER"/>
    <x v="4"/>
    <x v="1"/>
    <s v="GBPR_WOODCHIPS_37"/>
    <x v="0"/>
    <x v="2"/>
    <n v="37.794073555166399"/>
    <n v="13794.836847635701"/>
    <n v="49661.412651488601"/>
  </r>
  <r>
    <x v="0"/>
    <x v="0"/>
    <x v="0"/>
    <x v="9"/>
    <x v="19"/>
    <s v="SE3_OTHER"/>
    <x v="4"/>
    <x v="1"/>
    <s v="GBPR_WOODCHIPS_37"/>
    <x v="0"/>
    <x v="9"/>
    <n v="37.794073555166399"/>
    <n v="13794.836847635701"/>
    <n v="49661.412651488601"/>
  </r>
  <r>
    <x v="0"/>
    <x v="0"/>
    <x v="0"/>
    <x v="9"/>
    <x v="19"/>
    <s v="SE3_OTHER"/>
    <x v="4"/>
    <x v="1"/>
    <s v="GBPR_WOODCHIPS_37"/>
    <x v="0"/>
    <x v="10"/>
    <n v="37.794073555166399"/>
    <n v="13794.836847635701"/>
    <n v="49661.412651488601"/>
  </r>
  <r>
    <x v="0"/>
    <x v="0"/>
    <x v="0"/>
    <x v="9"/>
    <x v="19"/>
    <s v="SE3_OTHER"/>
    <x v="4"/>
    <x v="1"/>
    <s v="GBPR_WOODCHIPS_37"/>
    <x v="0"/>
    <x v="11"/>
    <n v="37.794073555166399"/>
    <n v="13794.836847635701"/>
    <n v="49661.412651488601"/>
  </r>
  <r>
    <x v="0"/>
    <x v="0"/>
    <x v="0"/>
    <x v="9"/>
    <x v="19"/>
    <s v="SE3_OTHER"/>
    <x v="4"/>
    <x v="1"/>
    <s v="GBPR_WOODCHIPS_37"/>
    <x v="0"/>
    <x v="12"/>
    <n v="10.5198478525038"/>
    <n v="3839.7444661638801"/>
    <n v="13823.08007819"/>
  </r>
  <r>
    <x v="0"/>
    <x v="0"/>
    <x v="0"/>
    <x v="9"/>
    <x v="19"/>
    <s v="SE3_OTHER"/>
    <x v="4"/>
    <x v="1"/>
    <s v="GBPR_WOODCHIPS_37"/>
    <x v="0"/>
    <x v="13"/>
    <n v="1.5743942413339"/>
    <n v="574.65389808687496"/>
    <n v="2068.7540331127502"/>
  </r>
  <r>
    <x v="0"/>
    <x v="0"/>
    <x v="0"/>
    <x v="9"/>
    <x v="19"/>
    <s v="SE3_OTHER"/>
    <x v="12"/>
    <x v="1"/>
    <s v="GBPR_WOODWASTE_25"/>
    <x v="0"/>
    <x v="3"/>
    <n v="149.360812802102"/>
    <n v="54516.696672767102"/>
    <n v="196260.10802196199"/>
  </r>
  <r>
    <x v="0"/>
    <x v="0"/>
    <x v="0"/>
    <x v="9"/>
    <x v="19"/>
    <s v="SE3_OTHER"/>
    <x v="12"/>
    <x v="1"/>
    <s v="GBPR_WOODWASTE_25"/>
    <x v="0"/>
    <x v="4"/>
    <n v="149.360812802102"/>
    <n v="54516.696672767102"/>
    <n v="196260.10802196199"/>
  </r>
  <r>
    <x v="0"/>
    <x v="0"/>
    <x v="0"/>
    <x v="9"/>
    <x v="19"/>
    <s v="SE3_OTHER"/>
    <x v="12"/>
    <x v="1"/>
    <s v="GBPR_WOODWASTE_25"/>
    <x v="0"/>
    <x v="5"/>
    <n v="149.360812802102"/>
    <n v="54516.696672767102"/>
    <n v="196260.10802196199"/>
  </r>
  <r>
    <x v="0"/>
    <x v="0"/>
    <x v="0"/>
    <x v="9"/>
    <x v="19"/>
    <s v="SE3_OTHER"/>
    <x v="12"/>
    <x v="1"/>
    <s v="GBPR_WOODWASTE_25"/>
    <x v="0"/>
    <x v="6"/>
    <n v="149.360812802102"/>
    <n v="54516.696672767102"/>
    <n v="196260.10802196199"/>
  </r>
  <r>
    <x v="0"/>
    <x v="0"/>
    <x v="0"/>
    <x v="9"/>
    <x v="19"/>
    <s v="SE3_OTHER"/>
    <x v="12"/>
    <x v="1"/>
    <s v="GBPR_WOODWASTE_25"/>
    <x v="0"/>
    <x v="7"/>
    <n v="149.360812802102"/>
    <n v="54516.696672767102"/>
    <n v="196260.10802196199"/>
  </r>
  <r>
    <x v="0"/>
    <x v="0"/>
    <x v="0"/>
    <x v="9"/>
    <x v="19"/>
    <s v="SE3_OTHER"/>
    <x v="12"/>
    <x v="1"/>
    <s v="GBPR_WOODWASTE_25"/>
    <x v="0"/>
    <x v="8"/>
    <n v="149.360812802102"/>
    <n v="54516.696672767102"/>
    <n v="196260.10802196199"/>
  </r>
  <r>
    <x v="0"/>
    <x v="0"/>
    <x v="0"/>
    <x v="9"/>
    <x v="19"/>
    <s v="SE3_OTHER"/>
    <x v="12"/>
    <x v="1"/>
    <s v="GBPR_WOODWASTE_25"/>
    <x v="0"/>
    <x v="0"/>
    <n v="149.360812802102"/>
    <n v="54516.696672767102"/>
    <n v="196260.10802196199"/>
  </r>
  <r>
    <x v="0"/>
    <x v="0"/>
    <x v="0"/>
    <x v="9"/>
    <x v="19"/>
    <s v="SE3_OTHER"/>
    <x v="12"/>
    <x v="1"/>
    <s v="GBPR_WOODWASTE_25"/>
    <x v="0"/>
    <x v="1"/>
    <n v="149.360812802102"/>
    <n v="54516.696672767102"/>
    <n v="196260.10802196199"/>
  </r>
  <r>
    <x v="0"/>
    <x v="0"/>
    <x v="0"/>
    <x v="9"/>
    <x v="19"/>
    <s v="SE3_OTHER"/>
    <x v="12"/>
    <x v="1"/>
    <s v="GBPR_WOODWASTE_25"/>
    <x v="0"/>
    <x v="2"/>
    <n v="149.360812802102"/>
    <n v="54516.696672767102"/>
    <n v="196260.10802196199"/>
  </r>
  <r>
    <x v="0"/>
    <x v="0"/>
    <x v="0"/>
    <x v="9"/>
    <x v="19"/>
    <s v="SE3_OTHER"/>
    <x v="12"/>
    <x v="1"/>
    <s v="GBPR_WOODWASTE_25"/>
    <x v="0"/>
    <x v="9"/>
    <n v="149.360812802102"/>
    <n v="54516.696672767102"/>
    <n v="196260.10802196199"/>
  </r>
  <r>
    <x v="0"/>
    <x v="0"/>
    <x v="0"/>
    <x v="9"/>
    <x v="19"/>
    <s v="SE3_OTHER"/>
    <x v="12"/>
    <x v="1"/>
    <s v="GBPR_WOODWASTE_25"/>
    <x v="0"/>
    <x v="10"/>
    <n v="149.360812802102"/>
    <n v="54516.696672767102"/>
    <n v="196260.10802196199"/>
  </r>
  <r>
    <x v="0"/>
    <x v="0"/>
    <x v="0"/>
    <x v="9"/>
    <x v="19"/>
    <s v="SE3_OTHER"/>
    <x v="12"/>
    <x v="1"/>
    <s v="GBPR_WOODWASTE_25"/>
    <x v="0"/>
    <x v="11"/>
    <n v="149.360812802102"/>
    <n v="54516.696672767102"/>
    <n v="196260.10802196199"/>
  </r>
  <r>
    <x v="0"/>
    <x v="0"/>
    <x v="0"/>
    <x v="9"/>
    <x v="19"/>
    <s v="SE3_OTHER"/>
    <x v="12"/>
    <x v="1"/>
    <s v="GBPR_WOODWASTE_25"/>
    <x v="0"/>
    <x v="12"/>
    <n v="149.360812802102"/>
    <n v="54516.696672767102"/>
    <n v="196260.10802196199"/>
  </r>
  <r>
    <x v="0"/>
    <x v="0"/>
    <x v="0"/>
    <x v="9"/>
    <x v="19"/>
    <s v="SE3_OTHER"/>
    <x v="12"/>
    <x v="1"/>
    <s v="GBPR_WOODWASTE_25"/>
    <x v="0"/>
    <x v="13"/>
    <n v="149.360812802102"/>
    <n v="54516.696672767102"/>
    <n v="196260.10802196199"/>
  </r>
  <r>
    <x v="0"/>
    <x v="0"/>
    <x v="0"/>
    <x v="9"/>
    <x v="19"/>
    <s v="SE3_OTHER"/>
    <x v="12"/>
    <x v="1"/>
    <s v="GBPR_WOODWASTE_25"/>
    <x v="0"/>
    <x v="14"/>
    <n v="149.360812802102"/>
    <n v="54516.696672767102"/>
    <n v="196260.10802196199"/>
  </r>
  <r>
    <x v="0"/>
    <x v="0"/>
    <x v="0"/>
    <x v="9"/>
    <x v="19"/>
    <s v="SE3_OTHER"/>
    <x v="12"/>
    <x v="1"/>
    <s v="GBPR_WOODWASTE_25"/>
    <x v="0"/>
    <x v="15"/>
    <n v="149.360812802102"/>
    <n v="54516.696672767102"/>
    <n v="196260.10802196199"/>
  </r>
  <r>
    <x v="0"/>
    <x v="0"/>
    <x v="0"/>
    <x v="9"/>
    <x v="19"/>
    <s v="SE3_OTHER"/>
    <x v="12"/>
    <x v="1"/>
    <s v="GBPR_WOODWASTE_25"/>
    <x v="0"/>
    <x v="16"/>
    <n v="149.360812802102"/>
    <n v="54516.696672767102"/>
    <n v="196260.10802196199"/>
  </r>
  <r>
    <x v="0"/>
    <x v="0"/>
    <x v="0"/>
    <x v="9"/>
    <x v="19"/>
    <s v="SE3_OTHER"/>
    <x v="12"/>
    <x v="1"/>
    <s v="GBPR_WOODWASTE_25"/>
    <x v="0"/>
    <x v="17"/>
    <n v="149.360812802102"/>
    <n v="54516.696672767102"/>
    <n v="196260.10802196199"/>
  </r>
  <r>
    <x v="0"/>
    <x v="0"/>
    <x v="0"/>
    <x v="9"/>
    <x v="19"/>
    <s v="SE3_OTHER"/>
    <x v="12"/>
    <x v="1"/>
    <s v="GBPR_WOODWASTE_25"/>
    <x v="0"/>
    <x v="18"/>
    <n v="149.360812802102"/>
    <n v="54516.696672767102"/>
    <n v="196260.10802196199"/>
  </r>
  <r>
    <x v="0"/>
    <x v="0"/>
    <x v="0"/>
    <x v="9"/>
    <x v="19"/>
    <s v="SE3_OTHER"/>
    <x v="12"/>
    <x v="1"/>
    <s v="GBPR_WOODWASTE_25"/>
    <x v="0"/>
    <x v="19"/>
    <n v="149.360812802102"/>
    <n v="54516.696672767102"/>
    <n v="196260.10802196199"/>
  </r>
  <r>
    <x v="0"/>
    <x v="0"/>
    <x v="0"/>
    <x v="9"/>
    <x v="19"/>
    <s v="SE3_OTHER"/>
    <x v="12"/>
    <x v="1"/>
    <s v="GBPR_WOODWASTE_25"/>
    <x v="0"/>
    <x v="20"/>
    <n v="149.360812802102"/>
    <n v="54516.696672767102"/>
    <n v="196260.10802196199"/>
  </r>
  <r>
    <x v="0"/>
    <x v="0"/>
    <x v="0"/>
    <x v="9"/>
    <x v="19"/>
    <s v="SE3_OTHER"/>
    <x v="12"/>
    <x v="1"/>
    <s v="GBPR_WOODWASTE_25"/>
    <x v="0"/>
    <x v="21"/>
    <n v="149.360812802102"/>
    <n v="54516.696672767102"/>
    <n v="196260.10802196199"/>
  </r>
  <r>
    <x v="0"/>
    <x v="0"/>
    <x v="0"/>
    <x v="9"/>
    <x v="19"/>
    <s v="SE3_OTHER"/>
    <x v="12"/>
    <x v="1"/>
    <s v="GBPR_WOODWASTE_25"/>
    <x v="0"/>
    <x v="22"/>
    <n v="149.360812802102"/>
    <n v="54516.696672767102"/>
    <n v="196260.10802196199"/>
  </r>
  <r>
    <x v="0"/>
    <x v="0"/>
    <x v="0"/>
    <x v="9"/>
    <x v="19"/>
    <s v="SE3_OTHER"/>
    <x v="12"/>
    <x v="1"/>
    <s v="GBPR_WOODWASTE_25"/>
    <x v="0"/>
    <x v="23"/>
    <n v="149.360812802102"/>
    <n v="54516.696672767102"/>
    <n v="196260.10802196199"/>
  </r>
  <r>
    <x v="0"/>
    <x v="0"/>
    <x v="0"/>
    <x v="9"/>
    <x v="19"/>
    <s v="SE3_STO"/>
    <x v="0"/>
    <x v="1"/>
    <s v="GBPR_COAL_VARTAN"/>
    <x v="0"/>
    <x v="3"/>
    <n v="92.7705368218258"/>
    <n v="33861.2459399664"/>
    <n v="121900.485383879"/>
  </r>
  <r>
    <x v="0"/>
    <x v="0"/>
    <x v="0"/>
    <x v="9"/>
    <x v="19"/>
    <s v="SE3_STO"/>
    <x v="0"/>
    <x v="1"/>
    <s v="GBPR_COAL_VARTAN"/>
    <x v="0"/>
    <x v="4"/>
    <n v="92.7705368218258"/>
    <n v="33861.2459399664"/>
    <n v="121900.485383879"/>
  </r>
  <r>
    <x v="0"/>
    <x v="0"/>
    <x v="0"/>
    <x v="9"/>
    <x v="19"/>
    <s v="SE3_STO"/>
    <x v="0"/>
    <x v="1"/>
    <s v="GBPR_COAL_VARTAN"/>
    <x v="0"/>
    <x v="5"/>
    <n v="92.7705368218258"/>
    <n v="33861.2459399664"/>
    <n v="121900.485383879"/>
  </r>
  <r>
    <x v="0"/>
    <x v="0"/>
    <x v="0"/>
    <x v="9"/>
    <x v="19"/>
    <s v="SE3_STO"/>
    <x v="0"/>
    <x v="1"/>
    <s v="GBPR_COAL_VARTAN"/>
    <x v="0"/>
    <x v="6"/>
    <n v="92.7705368218258"/>
    <n v="33861.2459399664"/>
    <n v="121900.485383879"/>
  </r>
  <r>
    <x v="0"/>
    <x v="0"/>
    <x v="0"/>
    <x v="9"/>
    <x v="19"/>
    <s v="SE3_STO"/>
    <x v="0"/>
    <x v="1"/>
    <s v="GBPR_COAL_VARTAN"/>
    <x v="0"/>
    <x v="7"/>
    <n v="92.7705368218258"/>
    <n v="33861.2459399664"/>
    <n v="121900.485383879"/>
  </r>
  <r>
    <x v="0"/>
    <x v="0"/>
    <x v="0"/>
    <x v="9"/>
    <x v="19"/>
    <s v="SE3_STO"/>
    <x v="0"/>
    <x v="1"/>
    <s v="GBPR_COAL_VARTAN"/>
    <x v="0"/>
    <x v="8"/>
    <n v="92.7705368218258"/>
    <n v="33861.2459399664"/>
    <n v="121900.485383879"/>
  </r>
  <r>
    <x v="0"/>
    <x v="0"/>
    <x v="0"/>
    <x v="9"/>
    <x v="19"/>
    <s v="SE3_STO"/>
    <x v="0"/>
    <x v="1"/>
    <s v="GBPR_COAL_VARTAN"/>
    <x v="0"/>
    <x v="0"/>
    <n v="92.7705368218258"/>
    <n v="33861.2459399664"/>
    <n v="121900.485383879"/>
  </r>
  <r>
    <x v="0"/>
    <x v="0"/>
    <x v="0"/>
    <x v="9"/>
    <x v="19"/>
    <s v="SE3_STO"/>
    <x v="0"/>
    <x v="1"/>
    <s v="GBPR_COAL_VARTAN"/>
    <x v="0"/>
    <x v="1"/>
    <n v="92.7705368218258"/>
    <n v="33861.2459399664"/>
    <n v="121900.485383879"/>
  </r>
  <r>
    <x v="0"/>
    <x v="0"/>
    <x v="0"/>
    <x v="9"/>
    <x v="19"/>
    <s v="SE3_STO"/>
    <x v="0"/>
    <x v="1"/>
    <s v="GBPR_COAL_VARTAN"/>
    <x v="0"/>
    <x v="2"/>
    <n v="92.7705368218258"/>
    <n v="33861.2459399664"/>
    <n v="121900.485383879"/>
  </r>
  <r>
    <x v="0"/>
    <x v="0"/>
    <x v="0"/>
    <x v="9"/>
    <x v="19"/>
    <s v="SE3_STO"/>
    <x v="0"/>
    <x v="1"/>
    <s v="GBPR_COAL_VARTAN"/>
    <x v="0"/>
    <x v="9"/>
    <n v="92.7705368218258"/>
    <n v="33861.2459399664"/>
    <n v="121900.485383879"/>
  </r>
  <r>
    <x v="0"/>
    <x v="0"/>
    <x v="0"/>
    <x v="9"/>
    <x v="19"/>
    <s v="SE3_STO"/>
    <x v="0"/>
    <x v="1"/>
    <s v="GBPR_COAL_VARTAN"/>
    <x v="0"/>
    <x v="10"/>
    <n v="92.7705368218258"/>
    <n v="33861.2459399664"/>
    <n v="121900.485383879"/>
  </r>
  <r>
    <x v="0"/>
    <x v="0"/>
    <x v="0"/>
    <x v="9"/>
    <x v="19"/>
    <s v="SE3_STO"/>
    <x v="0"/>
    <x v="1"/>
    <s v="GBPR_COAL_VARTAN"/>
    <x v="0"/>
    <x v="11"/>
    <n v="92.7705368218258"/>
    <n v="33861.2459399664"/>
    <n v="121900.485383879"/>
  </r>
  <r>
    <x v="0"/>
    <x v="0"/>
    <x v="0"/>
    <x v="9"/>
    <x v="19"/>
    <s v="SE3_STO"/>
    <x v="0"/>
    <x v="1"/>
    <s v="GBPR_COAL_VARTAN"/>
    <x v="0"/>
    <x v="12"/>
    <n v="92.7705368218258"/>
    <n v="33861.2459399664"/>
    <n v="121900.485383879"/>
  </r>
  <r>
    <x v="0"/>
    <x v="0"/>
    <x v="0"/>
    <x v="9"/>
    <x v="19"/>
    <s v="SE3_STO"/>
    <x v="0"/>
    <x v="1"/>
    <s v="GBPR_COAL_VARTAN"/>
    <x v="0"/>
    <x v="13"/>
    <n v="92.7705368218258"/>
    <n v="33861.2459399664"/>
    <n v="121900.485383879"/>
  </r>
  <r>
    <x v="0"/>
    <x v="0"/>
    <x v="0"/>
    <x v="9"/>
    <x v="19"/>
    <s v="SE3_STO"/>
    <x v="0"/>
    <x v="1"/>
    <s v="GBPR_COAL_VARTAN"/>
    <x v="0"/>
    <x v="14"/>
    <n v="92.7705368218258"/>
    <n v="33861.2459399664"/>
    <n v="121900.485383879"/>
  </r>
  <r>
    <x v="0"/>
    <x v="0"/>
    <x v="0"/>
    <x v="9"/>
    <x v="19"/>
    <s v="SE3_STO"/>
    <x v="0"/>
    <x v="1"/>
    <s v="GBPR_COAL_VARTAN"/>
    <x v="0"/>
    <x v="15"/>
    <n v="92.7705368218258"/>
    <n v="33861.2459399664"/>
    <n v="121900.485383879"/>
  </r>
  <r>
    <x v="0"/>
    <x v="0"/>
    <x v="0"/>
    <x v="9"/>
    <x v="19"/>
    <s v="SE3_STO"/>
    <x v="0"/>
    <x v="1"/>
    <s v="GBPR_COAL_VARTAN"/>
    <x v="0"/>
    <x v="16"/>
    <n v="92.7705368218258"/>
    <n v="33861.2459399664"/>
    <n v="121900.485383879"/>
  </r>
  <r>
    <x v="0"/>
    <x v="0"/>
    <x v="0"/>
    <x v="9"/>
    <x v="19"/>
    <s v="SE3_STO"/>
    <x v="0"/>
    <x v="1"/>
    <s v="GBPR_COAL_VARTAN"/>
    <x v="0"/>
    <x v="17"/>
    <n v="92.7705368218258"/>
    <n v="33861.2459399664"/>
    <n v="121900.485383879"/>
  </r>
  <r>
    <x v="0"/>
    <x v="0"/>
    <x v="0"/>
    <x v="9"/>
    <x v="19"/>
    <s v="SE3_STO"/>
    <x v="0"/>
    <x v="1"/>
    <s v="GBPR_COAL_VARTAN"/>
    <x v="0"/>
    <x v="18"/>
    <n v="92.7705368218258"/>
    <n v="33861.2459399664"/>
    <n v="121900.485383879"/>
  </r>
  <r>
    <x v="0"/>
    <x v="0"/>
    <x v="0"/>
    <x v="9"/>
    <x v="19"/>
    <s v="SE3_STO"/>
    <x v="0"/>
    <x v="1"/>
    <s v="GBPR_COAL_VARTAN"/>
    <x v="0"/>
    <x v="19"/>
    <n v="92.7705368218258"/>
    <n v="33861.2459399664"/>
    <n v="121900.485383879"/>
  </r>
  <r>
    <x v="0"/>
    <x v="0"/>
    <x v="0"/>
    <x v="9"/>
    <x v="19"/>
    <s v="SE3_STO"/>
    <x v="0"/>
    <x v="1"/>
    <s v="GBPR_COAL_VARTAN"/>
    <x v="0"/>
    <x v="20"/>
    <n v="92.7705368218258"/>
    <n v="33861.2459399664"/>
    <n v="121900.485383879"/>
  </r>
  <r>
    <x v="0"/>
    <x v="0"/>
    <x v="0"/>
    <x v="9"/>
    <x v="19"/>
    <s v="SE3_STO"/>
    <x v="0"/>
    <x v="1"/>
    <s v="GBPR_COAL_VARTAN"/>
    <x v="0"/>
    <x v="21"/>
    <n v="92.7705368218258"/>
    <n v="33861.2459399664"/>
    <n v="121900.485383879"/>
  </r>
  <r>
    <x v="0"/>
    <x v="0"/>
    <x v="0"/>
    <x v="9"/>
    <x v="19"/>
    <s v="SE3_STO"/>
    <x v="0"/>
    <x v="1"/>
    <s v="GBPR_COAL_VARTAN"/>
    <x v="0"/>
    <x v="22"/>
    <n v="92.7705368218258"/>
    <n v="33861.2459399664"/>
    <n v="121900.485383879"/>
  </r>
  <r>
    <x v="0"/>
    <x v="0"/>
    <x v="0"/>
    <x v="9"/>
    <x v="19"/>
    <s v="SE3_STO"/>
    <x v="0"/>
    <x v="1"/>
    <s v="GBPR_COAL_VARTAN"/>
    <x v="0"/>
    <x v="23"/>
    <n v="92.7705368218258"/>
    <n v="33861.2459399664"/>
    <n v="121900.485383879"/>
  </r>
  <r>
    <x v="0"/>
    <x v="0"/>
    <x v="0"/>
    <x v="9"/>
    <x v="19"/>
    <s v="SE3_STO"/>
    <x v="14"/>
    <x v="6"/>
    <s v="GETOH_HEATPUMP33"/>
    <x v="0"/>
    <x v="8"/>
    <n v="-16.252331595581499"/>
    <n v="-5932.1010323872497"/>
    <n v="-21355.563716594101"/>
  </r>
  <r>
    <x v="0"/>
    <x v="0"/>
    <x v="0"/>
    <x v="9"/>
    <x v="19"/>
    <s v="SE3_STO"/>
    <x v="14"/>
    <x v="6"/>
    <s v="GETOH_HEATPUMP33"/>
    <x v="0"/>
    <x v="0"/>
    <n v="-0.86270970542121495"/>
    <n v="-314.88904247874302"/>
    <n v="-1133.6005529234801"/>
  </r>
  <r>
    <x v="0"/>
    <x v="0"/>
    <x v="0"/>
    <x v="9"/>
    <x v="19"/>
    <s v="SE3_STO"/>
    <x v="14"/>
    <x v="6"/>
    <s v="GETOH_HEATPUMP33"/>
    <x v="0"/>
    <x v="1"/>
    <n v="-1.9387417409088901"/>
    <n v="-707.64073543174698"/>
    <n v="-2547.5066475542899"/>
  </r>
  <r>
    <x v="0"/>
    <x v="0"/>
    <x v="0"/>
    <x v="9"/>
    <x v="19"/>
    <s v="SE3_STO"/>
    <x v="14"/>
    <x v="6"/>
    <s v="GETOH_HEATPUMP33"/>
    <x v="0"/>
    <x v="11"/>
    <n v="-5.4822906315461601"/>
    <n v="-2001.03608051435"/>
    <n v="-7203.7298898516501"/>
  </r>
  <r>
    <x v="0"/>
    <x v="0"/>
    <x v="0"/>
    <x v="9"/>
    <x v="19"/>
    <s v="SE3_STO"/>
    <x v="14"/>
    <x v="6"/>
    <s v="GETOH_HEATPUMP33"/>
    <x v="0"/>
    <x v="12"/>
    <n v="-4.1502202752989303"/>
    <n v="-1514.83040048411"/>
    <n v="-5453.38944174279"/>
  </r>
  <r>
    <x v="0"/>
    <x v="0"/>
    <x v="0"/>
    <x v="9"/>
    <x v="19"/>
    <s v="SE3_STO"/>
    <x v="14"/>
    <x v="6"/>
    <s v="GETOH_HEATPUMP33"/>
    <x v="0"/>
    <x v="13"/>
    <n v="-5.0995523681963002"/>
    <n v="-1861.3366143916501"/>
    <n v="-6700.8118118099401"/>
  </r>
  <r>
    <x v="0"/>
    <x v="0"/>
    <x v="0"/>
    <x v="9"/>
    <x v="19"/>
    <s v="SE3_STO"/>
    <x v="14"/>
    <x v="6"/>
    <s v="GETOH_HEATPUMP33"/>
    <x v="0"/>
    <x v="14"/>
    <n v="-5.2208239100536398"/>
    <n v="-1905.6007271695801"/>
    <n v="-6860.1626178104798"/>
  </r>
  <r>
    <x v="0"/>
    <x v="0"/>
    <x v="0"/>
    <x v="9"/>
    <x v="19"/>
    <s v="SE3_STO"/>
    <x v="14"/>
    <x v="6"/>
    <s v="GETOH_HEATPUMP33"/>
    <x v="0"/>
    <x v="15"/>
    <n v="-8.6268608376699998"/>
    <n v="-3148.80420574955"/>
    <n v="-11335.695140698401"/>
  </r>
  <r>
    <x v="0"/>
    <x v="0"/>
    <x v="0"/>
    <x v="9"/>
    <x v="19"/>
    <s v="SE3_STO"/>
    <x v="14"/>
    <x v="6"/>
    <s v="GETOH_HEATPUMP33"/>
    <x v="0"/>
    <x v="16"/>
    <n v="-6.7889773240552103"/>
    <n v="-2477.9767232801501"/>
    <n v="-8920.7162038085498"/>
  </r>
  <r>
    <x v="0"/>
    <x v="0"/>
    <x v="0"/>
    <x v="9"/>
    <x v="19"/>
    <s v="SE3_STO"/>
    <x v="14"/>
    <x v="6"/>
    <s v="GETOH_HEATPUMP33"/>
    <x v="0"/>
    <x v="17"/>
    <n v="-0.86120358821235099"/>
    <n v="-314.33930969750799"/>
    <n v="-1131.6215149110301"/>
  </r>
  <r>
    <x v="0"/>
    <x v="0"/>
    <x v="0"/>
    <x v="9"/>
    <x v="19"/>
    <s v="SE3_STO"/>
    <x v="14"/>
    <x v="6"/>
    <s v="GETOH_HEATPUMP33"/>
    <x v="0"/>
    <x v="20"/>
    <n v="-38.627340503473597"/>
    <n v="-14098.9792837679"/>
    <n v="-50756.325421564303"/>
  </r>
  <r>
    <x v="0"/>
    <x v="0"/>
    <x v="0"/>
    <x v="9"/>
    <x v="19"/>
    <s v="SE3_STO"/>
    <x v="14"/>
    <x v="6"/>
    <s v="GETOH_HEATPUMP33"/>
    <x v="0"/>
    <x v="21"/>
    <n v="-30.151614867475299"/>
    <n v="-11005.339426628499"/>
    <n v="-39619.221935862603"/>
  </r>
  <r>
    <x v="0"/>
    <x v="0"/>
    <x v="0"/>
    <x v="9"/>
    <x v="19"/>
    <s v="SE3_STO"/>
    <x v="14"/>
    <x v="6"/>
    <s v="GETOH_HEATPUMP33"/>
    <x v="0"/>
    <x v="22"/>
    <n v="-16.5141815745062"/>
    <n v="-6027.6762746947497"/>
    <n v="-21699.634588901099"/>
  </r>
  <r>
    <x v="0"/>
    <x v="0"/>
    <x v="0"/>
    <x v="9"/>
    <x v="19"/>
    <s v="SE3_STO"/>
    <x v="1"/>
    <x v="1"/>
    <s v="GBPR_MUNIWASTE_HOGDALEN"/>
    <x v="0"/>
    <x v="3"/>
    <n v="50.189942221941898"/>
    <n v="18319.328911008801"/>
    <n v="65949.584079631706"/>
  </r>
  <r>
    <x v="0"/>
    <x v="0"/>
    <x v="0"/>
    <x v="9"/>
    <x v="19"/>
    <s v="SE3_STO"/>
    <x v="1"/>
    <x v="1"/>
    <s v="GBPR_MUNIWASTE_HOGDALEN"/>
    <x v="0"/>
    <x v="4"/>
    <n v="50.189942221941898"/>
    <n v="18319.328911008801"/>
    <n v="65949.584079631706"/>
  </r>
  <r>
    <x v="0"/>
    <x v="0"/>
    <x v="0"/>
    <x v="9"/>
    <x v="19"/>
    <s v="SE3_STO"/>
    <x v="1"/>
    <x v="1"/>
    <s v="GBPR_MUNIWASTE_HOGDALEN"/>
    <x v="0"/>
    <x v="5"/>
    <n v="50.189942221941898"/>
    <n v="18319.328911008801"/>
    <n v="65949.584079631706"/>
  </r>
  <r>
    <x v="0"/>
    <x v="0"/>
    <x v="0"/>
    <x v="9"/>
    <x v="19"/>
    <s v="SE3_STO"/>
    <x v="1"/>
    <x v="1"/>
    <s v="GBPR_MUNIWASTE_HOGDALEN"/>
    <x v="0"/>
    <x v="6"/>
    <n v="50.189942221941898"/>
    <n v="18319.328911008801"/>
    <n v="65949.584079631706"/>
  </r>
  <r>
    <x v="0"/>
    <x v="0"/>
    <x v="0"/>
    <x v="9"/>
    <x v="19"/>
    <s v="SE3_STO"/>
    <x v="1"/>
    <x v="1"/>
    <s v="GBPR_MUNIWASTE_HOGDALEN"/>
    <x v="0"/>
    <x v="7"/>
    <n v="50.189942221941898"/>
    <n v="18319.328911008801"/>
    <n v="65949.584079631706"/>
  </r>
  <r>
    <x v="0"/>
    <x v="0"/>
    <x v="0"/>
    <x v="9"/>
    <x v="19"/>
    <s v="SE3_STO"/>
    <x v="1"/>
    <x v="1"/>
    <s v="GBPR_MUNIWASTE_HOGDALEN"/>
    <x v="0"/>
    <x v="8"/>
    <n v="50.189942221941898"/>
    <n v="18319.328911008801"/>
    <n v="65949.584079631706"/>
  </r>
  <r>
    <x v="0"/>
    <x v="0"/>
    <x v="0"/>
    <x v="9"/>
    <x v="19"/>
    <s v="SE3_STO"/>
    <x v="1"/>
    <x v="1"/>
    <s v="GBPR_MUNIWASTE_HOGDALEN"/>
    <x v="0"/>
    <x v="0"/>
    <n v="50.189942221941898"/>
    <n v="18319.328911008801"/>
    <n v="65949.584079631706"/>
  </r>
  <r>
    <x v="0"/>
    <x v="0"/>
    <x v="0"/>
    <x v="9"/>
    <x v="19"/>
    <s v="SE3_STO"/>
    <x v="1"/>
    <x v="1"/>
    <s v="GBPR_MUNIWASTE_HOGDALEN"/>
    <x v="0"/>
    <x v="1"/>
    <n v="50.189942221941898"/>
    <n v="18319.328911008801"/>
    <n v="65949.584079631706"/>
  </r>
  <r>
    <x v="0"/>
    <x v="0"/>
    <x v="0"/>
    <x v="9"/>
    <x v="19"/>
    <s v="SE3_STO"/>
    <x v="1"/>
    <x v="1"/>
    <s v="GBPR_MUNIWASTE_HOGDALEN"/>
    <x v="0"/>
    <x v="2"/>
    <n v="50.189942221941898"/>
    <n v="18319.328911008801"/>
    <n v="65949.584079631706"/>
  </r>
  <r>
    <x v="0"/>
    <x v="0"/>
    <x v="0"/>
    <x v="9"/>
    <x v="19"/>
    <s v="SE3_STO"/>
    <x v="1"/>
    <x v="1"/>
    <s v="GBPR_MUNIWASTE_HOGDALEN"/>
    <x v="0"/>
    <x v="9"/>
    <n v="50.189942221941898"/>
    <n v="18319.328911008801"/>
    <n v="65949.584079631706"/>
  </r>
  <r>
    <x v="0"/>
    <x v="0"/>
    <x v="0"/>
    <x v="9"/>
    <x v="19"/>
    <s v="SE3_STO"/>
    <x v="1"/>
    <x v="1"/>
    <s v="GBPR_MUNIWASTE_HOGDALEN"/>
    <x v="0"/>
    <x v="10"/>
    <n v="50.189942221941898"/>
    <n v="18319.328911008801"/>
    <n v="65949.584079631706"/>
  </r>
  <r>
    <x v="0"/>
    <x v="0"/>
    <x v="0"/>
    <x v="9"/>
    <x v="19"/>
    <s v="SE3_STO"/>
    <x v="1"/>
    <x v="1"/>
    <s v="GBPR_MUNIWASTE_HOGDALEN"/>
    <x v="0"/>
    <x v="11"/>
    <n v="50.189942221941898"/>
    <n v="18319.328911008801"/>
    <n v="65949.584079631706"/>
  </r>
  <r>
    <x v="0"/>
    <x v="0"/>
    <x v="0"/>
    <x v="9"/>
    <x v="19"/>
    <s v="SE3_STO"/>
    <x v="1"/>
    <x v="1"/>
    <s v="GBPR_MUNIWASTE_HOGDALEN"/>
    <x v="0"/>
    <x v="12"/>
    <n v="50.189942221941898"/>
    <n v="18319.328911008801"/>
    <n v="65949.584079631706"/>
  </r>
  <r>
    <x v="0"/>
    <x v="0"/>
    <x v="0"/>
    <x v="9"/>
    <x v="19"/>
    <s v="SE3_STO"/>
    <x v="1"/>
    <x v="1"/>
    <s v="GBPR_MUNIWASTE_HOGDALEN"/>
    <x v="0"/>
    <x v="13"/>
    <n v="50.189942221941898"/>
    <n v="18319.328911008801"/>
    <n v="65949.584079631706"/>
  </r>
  <r>
    <x v="0"/>
    <x v="0"/>
    <x v="0"/>
    <x v="9"/>
    <x v="19"/>
    <s v="SE3_STO"/>
    <x v="1"/>
    <x v="1"/>
    <s v="GBPR_MUNIWASTE_HOGDALEN"/>
    <x v="0"/>
    <x v="14"/>
    <n v="50.189942221941898"/>
    <n v="18319.328911008801"/>
    <n v="65949.584079631706"/>
  </r>
  <r>
    <x v="0"/>
    <x v="0"/>
    <x v="0"/>
    <x v="9"/>
    <x v="19"/>
    <s v="SE3_STO"/>
    <x v="1"/>
    <x v="1"/>
    <s v="GBPR_MUNIWASTE_HOGDALEN"/>
    <x v="0"/>
    <x v="15"/>
    <n v="50.189942221941898"/>
    <n v="18319.328911008801"/>
    <n v="65949.584079631706"/>
  </r>
  <r>
    <x v="0"/>
    <x v="0"/>
    <x v="0"/>
    <x v="9"/>
    <x v="19"/>
    <s v="SE3_STO"/>
    <x v="1"/>
    <x v="1"/>
    <s v="GBPR_MUNIWASTE_HOGDALEN"/>
    <x v="0"/>
    <x v="16"/>
    <n v="50.189942221941898"/>
    <n v="18319.328911008801"/>
    <n v="65949.584079631706"/>
  </r>
  <r>
    <x v="0"/>
    <x v="0"/>
    <x v="0"/>
    <x v="9"/>
    <x v="19"/>
    <s v="SE3_STO"/>
    <x v="1"/>
    <x v="1"/>
    <s v="GBPR_MUNIWASTE_HOGDALEN"/>
    <x v="0"/>
    <x v="17"/>
    <n v="50.189942221941898"/>
    <n v="18319.328911008801"/>
    <n v="65949.584079631706"/>
  </r>
  <r>
    <x v="0"/>
    <x v="0"/>
    <x v="0"/>
    <x v="9"/>
    <x v="19"/>
    <s v="SE3_STO"/>
    <x v="1"/>
    <x v="1"/>
    <s v="GBPR_MUNIWASTE_HOGDALEN"/>
    <x v="0"/>
    <x v="18"/>
    <n v="50.189942221941898"/>
    <n v="18319.328911008801"/>
    <n v="65949.584079631706"/>
  </r>
  <r>
    <x v="0"/>
    <x v="0"/>
    <x v="0"/>
    <x v="9"/>
    <x v="19"/>
    <s v="SE3_STO"/>
    <x v="1"/>
    <x v="1"/>
    <s v="GBPR_MUNIWASTE_HOGDALEN"/>
    <x v="0"/>
    <x v="19"/>
    <n v="50.189942221941898"/>
    <n v="18319.328911008801"/>
    <n v="65949.584079631706"/>
  </r>
  <r>
    <x v="0"/>
    <x v="0"/>
    <x v="0"/>
    <x v="9"/>
    <x v="19"/>
    <s v="SE3_STO"/>
    <x v="1"/>
    <x v="1"/>
    <s v="GBPR_MUNIWASTE_HOGDALEN"/>
    <x v="0"/>
    <x v="20"/>
    <n v="50.189942221941898"/>
    <n v="18319.328911008801"/>
    <n v="65949.584079631706"/>
  </r>
  <r>
    <x v="0"/>
    <x v="0"/>
    <x v="0"/>
    <x v="9"/>
    <x v="19"/>
    <s v="SE3_STO"/>
    <x v="1"/>
    <x v="1"/>
    <s v="GBPR_MUNIWASTE_HOGDALEN"/>
    <x v="0"/>
    <x v="21"/>
    <n v="50.189942221941898"/>
    <n v="18319.328911008801"/>
    <n v="65949.584079631706"/>
  </r>
  <r>
    <x v="0"/>
    <x v="0"/>
    <x v="0"/>
    <x v="9"/>
    <x v="19"/>
    <s v="SE3_STO"/>
    <x v="1"/>
    <x v="1"/>
    <s v="GBPR_MUNIWASTE_HOGDALEN"/>
    <x v="0"/>
    <x v="22"/>
    <n v="50.189942221941898"/>
    <n v="18319.328911008801"/>
    <n v="65949.584079631706"/>
  </r>
  <r>
    <x v="0"/>
    <x v="0"/>
    <x v="0"/>
    <x v="9"/>
    <x v="19"/>
    <s v="SE3_STO"/>
    <x v="1"/>
    <x v="1"/>
    <s v="GBPR_MUNIWASTE_HOGDALEN"/>
    <x v="0"/>
    <x v="23"/>
    <n v="50.189942221941898"/>
    <n v="18319.328911008801"/>
    <n v="65949.584079631706"/>
  </r>
  <r>
    <x v="0"/>
    <x v="0"/>
    <x v="0"/>
    <x v="9"/>
    <x v="19"/>
    <s v="SE3_STO"/>
    <x v="8"/>
    <x v="1"/>
    <s v="GBPR_WOODPELLETS_HASSELBY"/>
    <x v="0"/>
    <x v="0"/>
    <n v="75"/>
    <n v="27375"/>
    <n v="98550"/>
  </r>
  <r>
    <x v="0"/>
    <x v="0"/>
    <x v="0"/>
    <x v="9"/>
    <x v="19"/>
    <s v="SE3_STO"/>
    <x v="8"/>
    <x v="1"/>
    <s v="GBPR_WOODPELLETS_HASSELBY"/>
    <x v="0"/>
    <x v="1"/>
    <n v="75"/>
    <n v="27375"/>
    <n v="98550"/>
  </r>
  <r>
    <x v="0"/>
    <x v="0"/>
    <x v="0"/>
    <x v="9"/>
    <x v="19"/>
    <s v="SE3_STO"/>
    <x v="8"/>
    <x v="1"/>
    <s v="GBPR_WOODPELLETS_HASSELBY"/>
    <x v="0"/>
    <x v="2"/>
    <n v="75"/>
    <n v="27375"/>
    <n v="98550"/>
  </r>
  <r>
    <x v="0"/>
    <x v="0"/>
    <x v="0"/>
    <x v="9"/>
    <x v="19"/>
    <s v="SE3_STO"/>
    <x v="8"/>
    <x v="1"/>
    <s v="GBPR_WOODPELLETS_HASSELBY"/>
    <x v="0"/>
    <x v="9"/>
    <n v="75"/>
    <n v="27375"/>
    <n v="98550"/>
  </r>
  <r>
    <x v="0"/>
    <x v="0"/>
    <x v="0"/>
    <x v="9"/>
    <x v="19"/>
    <s v="SE3_STO"/>
    <x v="8"/>
    <x v="1"/>
    <s v="GBPR_WOODPELLETS_HASSELBY"/>
    <x v="0"/>
    <x v="10"/>
    <n v="75"/>
    <n v="27375"/>
    <n v="98550"/>
  </r>
  <r>
    <x v="0"/>
    <x v="0"/>
    <x v="0"/>
    <x v="9"/>
    <x v="19"/>
    <s v="SE3_STO"/>
    <x v="8"/>
    <x v="1"/>
    <s v="GBPR_WOODPELLETS_HASSELBY"/>
    <x v="0"/>
    <x v="11"/>
    <n v="75"/>
    <n v="27375"/>
    <n v="98550"/>
  </r>
  <r>
    <x v="0"/>
    <x v="0"/>
    <x v="0"/>
    <x v="9"/>
    <x v="19"/>
    <s v="SE3_STO"/>
    <x v="8"/>
    <x v="1"/>
    <s v="GBPR_WOODPELLETS_HASSELBY"/>
    <x v="0"/>
    <x v="12"/>
    <n v="75"/>
    <n v="27375"/>
    <n v="98550"/>
  </r>
  <r>
    <x v="0"/>
    <x v="0"/>
    <x v="0"/>
    <x v="9"/>
    <x v="19"/>
    <s v="SE3_STO"/>
    <x v="8"/>
    <x v="1"/>
    <s v="GBPR_WOODPELLETS_HASSELBY"/>
    <x v="0"/>
    <x v="13"/>
    <n v="75"/>
    <n v="27375"/>
    <n v="98550"/>
  </r>
  <r>
    <x v="0"/>
    <x v="0"/>
    <x v="0"/>
    <x v="9"/>
    <x v="19"/>
    <s v="SE3_STO"/>
    <x v="8"/>
    <x v="1"/>
    <s v="GBPR_WOODPELLETS_HASSELBY"/>
    <x v="0"/>
    <x v="14"/>
    <n v="75"/>
    <n v="27375"/>
    <n v="98550"/>
  </r>
  <r>
    <x v="0"/>
    <x v="0"/>
    <x v="0"/>
    <x v="9"/>
    <x v="19"/>
    <s v="SE3_STO"/>
    <x v="8"/>
    <x v="1"/>
    <s v="GBPR_WOODPELLETS_HASSELBY"/>
    <x v="0"/>
    <x v="15"/>
    <n v="75"/>
    <n v="27375"/>
    <n v="98550"/>
  </r>
  <r>
    <x v="0"/>
    <x v="0"/>
    <x v="0"/>
    <x v="9"/>
    <x v="19"/>
    <s v="SE3_STO"/>
    <x v="8"/>
    <x v="1"/>
    <s v="GBPR_WOODPELLETS_HASSELBY"/>
    <x v="0"/>
    <x v="16"/>
    <n v="75"/>
    <n v="27375"/>
    <n v="98550"/>
  </r>
  <r>
    <x v="0"/>
    <x v="0"/>
    <x v="0"/>
    <x v="9"/>
    <x v="19"/>
    <s v="SE3_STO"/>
    <x v="8"/>
    <x v="1"/>
    <s v="GBPR_WOODPELLETS_HASSELBY"/>
    <x v="0"/>
    <x v="17"/>
    <n v="75"/>
    <n v="27375"/>
    <n v="98550"/>
  </r>
  <r>
    <x v="0"/>
    <x v="0"/>
    <x v="0"/>
    <x v="9"/>
    <x v="19"/>
    <s v="SE3_STO"/>
    <x v="8"/>
    <x v="1"/>
    <s v="GBPR_WOODPELLETS_HASSELBY"/>
    <x v="0"/>
    <x v="18"/>
    <n v="70.200023176284105"/>
    <n v="25623.008459343699"/>
    <n v="92242.830453637303"/>
  </r>
  <r>
    <x v="0"/>
    <x v="0"/>
    <x v="0"/>
    <x v="9"/>
    <x v="19"/>
    <s v="SE3_STO"/>
    <x v="8"/>
    <x v="1"/>
    <s v="GBPR_WOODPELLETS_HASSELBY"/>
    <x v="0"/>
    <x v="19"/>
    <n v="61.1061415723211"/>
    <n v="22303.741673897199"/>
    <n v="80293.470026030001"/>
  </r>
  <r>
    <x v="0"/>
    <x v="0"/>
    <x v="0"/>
    <x v="9"/>
    <x v="19"/>
    <s v="SE3_STO"/>
    <x v="12"/>
    <x v="1"/>
    <s v="GBPR_WOODWASTE"/>
    <x v="0"/>
    <x v="3"/>
    <n v="96.694045534150604"/>
    <n v="35293.326619965002"/>
    <n v="127055.97583187401"/>
  </r>
  <r>
    <x v="0"/>
    <x v="0"/>
    <x v="0"/>
    <x v="9"/>
    <x v="19"/>
    <s v="SE3_STO"/>
    <x v="12"/>
    <x v="1"/>
    <s v="GBPR_WOODWASTE"/>
    <x v="0"/>
    <x v="4"/>
    <n v="96.694045534150604"/>
    <n v="35293.326619965002"/>
    <n v="127055.97583187401"/>
  </r>
  <r>
    <x v="0"/>
    <x v="0"/>
    <x v="0"/>
    <x v="9"/>
    <x v="19"/>
    <s v="SE3_STO"/>
    <x v="12"/>
    <x v="1"/>
    <s v="GBPR_WOODWASTE"/>
    <x v="0"/>
    <x v="5"/>
    <n v="96.694045534150604"/>
    <n v="35293.326619965002"/>
    <n v="127055.97583187401"/>
  </r>
  <r>
    <x v="0"/>
    <x v="0"/>
    <x v="0"/>
    <x v="9"/>
    <x v="19"/>
    <s v="SE3_STO"/>
    <x v="12"/>
    <x v="1"/>
    <s v="GBPR_WOODWASTE"/>
    <x v="0"/>
    <x v="6"/>
    <n v="96.694045534150604"/>
    <n v="35293.326619965002"/>
    <n v="127055.97583187401"/>
  </r>
  <r>
    <x v="0"/>
    <x v="0"/>
    <x v="0"/>
    <x v="9"/>
    <x v="19"/>
    <s v="SE3_STO"/>
    <x v="12"/>
    <x v="1"/>
    <s v="GBPR_WOODWASTE"/>
    <x v="0"/>
    <x v="7"/>
    <n v="96.694045534150604"/>
    <n v="35293.326619965002"/>
    <n v="127055.97583187401"/>
  </r>
  <r>
    <x v="0"/>
    <x v="0"/>
    <x v="0"/>
    <x v="9"/>
    <x v="19"/>
    <s v="SE3_STO"/>
    <x v="12"/>
    <x v="1"/>
    <s v="GBPR_WOODWASTE"/>
    <x v="0"/>
    <x v="8"/>
    <n v="96.694045534150604"/>
    <n v="35293.326619965002"/>
    <n v="127055.97583187401"/>
  </r>
  <r>
    <x v="0"/>
    <x v="0"/>
    <x v="0"/>
    <x v="9"/>
    <x v="19"/>
    <s v="SE3_STO"/>
    <x v="12"/>
    <x v="1"/>
    <s v="GBPR_WOODWASTE"/>
    <x v="0"/>
    <x v="0"/>
    <n v="96.694045534150604"/>
    <n v="35293.326619965002"/>
    <n v="127055.97583187401"/>
  </r>
  <r>
    <x v="0"/>
    <x v="0"/>
    <x v="0"/>
    <x v="9"/>
    <x v="19"/>
    <s v="SE3_STO"/>
    <x v="12"/>
    <x v="1"/>
    <s v="GBPR_WOODWASTE"/>
    <x v="0"/>
    <x v="1"/>
    <n v="96.694045534150604"/>
    <n v="35293.326619965002"/>
    <n v="127055.97583187401"/>
  </r>
  <r>
    <x v="0"/>
    <x v="0"/>
    <x v="0"/>
    <x v="9"/>
    <x v="19"/>
    <s v="SE3_STO"/>
    <x v="12"/>
    <x v="1"/>
    <s v="GBPR_WOODWASTE"/>
    <x v="0"/>
    <x v="2"/>
    <n v="96.694045534150604"/>
    <n v="35293.326619965002"/>
    <n v="127055.97583187401"/>
  </r>
  <r>
    <x v="0"/>
    <x v="0"/>
    <x v="0"/>
    <x v="9"/>
    <x v="19"/>
    <s v="SE3_STO"/>
    <x v="12"/>
    <x v="1"/>
    <s v="GBPR_WOODWASTE"/>
    <x v="0"/>
    <x v="9"/>
    <n v="96.694045534150604"/>
    <n v="35293.326619965002"/>
    <n v="127055.97583187401"/>
  </r>
  <r>
    <x v="0"/>
    <x v="0"/>
    <x v="0"/>
    <x v="9"/>
    <x v="19"/>
    <s v="SE3_STO"/>
    <x v="12"/>
    <x v="1"/>
    <s v="GBPR_WOODWASTE"/>
    <x v="0"/>
    <x v="10"/>
    <n v="96.694045534150604"/>
    <n v="35293.326619965002"/>
    <n v="127055.97583187401"/>
  </r>
  <r>
    <x v="0"/>
    <x v="0"/>
    <x v="0"/>
    <x v="9"/>
    <x v="19"/>
    <s v="SE3_STO"/>
    <x v="12"/>
    <x v="1"/>
    <s v="GBPR_WOODWASTE"/>
    <x v="0"/>
    <x v="11"/>
    <n v="96.694045534150604"/>
    <n v="35293.326619965002"/>
    <n v="127055.97583187401"/>
  </r>
  <r>
    <x v="0"/>
    <x v="0"/>
    <x v="0"/>
    <x v="9"/>
    <x v="19"/>
    <s v="SE3_STO"/>
    <x v="12"/>
    <x v="1"/>
    <s v="GBPR_WOODWASTE"/>
    <x v="0"/>
    <x v="12"/>
    <n v="96.694045534150604"/>
    <n v="35293.326619965002"/>
    <n v="127055.97583187401"/>
  </r>
  <r>
    <x v="0"/>
    <x v="0"/>
    <x v="0"/>
    <x v="9"/>
    <x v="19"/>
    <s v="SE3_STO"/>
    <x v="12"/>
    <x v="1"/>
    <s v="GBPR_WOODWASTE"/>
    <x v="0"/>
    <x v="13"/>
    <n v="96.694045534150604"/>
    <n v="35293.326619965002"/>
    <n v="127055.97583187401"/>
  </r>
  <r>
    <x v="0"/>
    <x v="0"/>
    <x v="0"/>
    <x v="9"/>
    <x v="19"/>
    <s v="SE3_STO"/>
    <x v="12"/>
    <x v="1"/>
    <s v="GBPR_WOODWASTE"/>
    <x v="0"/>
    <x v="14"/>
    <n v="96.694045534150604"/>
    <n v="35293.326619965002"/>
    <n v="127055.97583187401"/>
  </r>
  <r>
    <x v="0"/>
    <x v="0"/>
    <x v="0"/>
    <x v="9"/>
    <x v="19"/>
    <s v="SE3_STO"/>
    <x v="12"/>
    <x v="1"/>
    <s v="GBPR_WOODWASTE"/>
    <x v="0"/>
    <x v="15"/>
    <n v="96.694045534150604"/>
    <n v="35293.326619965002"/>
    <n v="127055.97583187401"/>
  </r>
  <r>
    <x v="0"/>
    <x v="0"/>
    <x v="0"/>
    <x v="9"/>
    <x v="19"/>
    <s v="SE3_STO"/>
    <x v="12"/>
    <x v="1"/>
    <s v="GBPR_WOODWASTE"/>
    <x v="0"/>
    <x v="16"/>
    <n v="96.694045534150604"/>
    <n v="35293.326619965002"/>
    <n v="127055.97583187401"/>
  </r>
  <r>
    <x v="0"/>
    <x v="0"/>
    <x v="0"/>
    <x v="9"/>
    <x v="19"/>
    <s v="SE3_STO"/>
    <x v="12"/>
    <x v="1"/>
    <s v="GBPR_WOODWASTE"/>
    <x v="0"/>
    <x v="17"/>
    <n v="96.694045534150604"/>
    <n v="35293.326619965002"/>
    <n v="127055.97583187401"/>
  </r>
  <r>
    <x v="0"/>
    <x v="0"/>
    <x v="0"/>
    <x v="9"/>
    <x v="19"/>
    <s v="SE3_STO"/>
    <x v="12"/>
    <x v="1"/>
    <s v="GBPR_WOODWASTE"/>
    <x v="0"/>
    <x v="18"/>
    <n v="96.694045534150604"/>
    <n v="35293.326619965002"/>
    <n v="127055.97583187401"/>
  </r>
  <r>
    <x v="0"/>
    <x v="0"/>
    <x v="0"/>
    <x v="9"/>
    <x v="19"/>
    <s v="SE3_STO"/>
    <x v="12"/>
    <x v="1"/>
    <s v="GBPR_WOODWASTE"/>
    <x v="0"/>
    <x v="19"/>
    <n v="96.694045534150604"/>
    <n v="35293.326619965002"/>
    <n v="127055.97583187401"/>
  </r>
  <r>
    <x v="0"/>
    <x v="0"/>
    <x v="0"/>
    <x v="9"/>
    <x v="19"/>
    <s v="SE3_STO"/>
    <x v="12"/>
    <x v="1"/>
    <s v="GBPR_WOODWASTE"/>
    <x v="0"/>
    <x v="20"/>
    <n v="96.694045534150604"/>
    <n v="35293.326619965002"/>
    <n v="127055.97583187401"/>
  </r>
  <r>
    <x v="0"/>
    <x v="0"/>
    <x v="0"/>
    <x v="9"/>
    <x v="19"/>
    <s v="SE3_STO"/>
    <x v="12"/>
    <x v="1"/>
    <s v="GBPR_WOODWASTE"/>
    <x v="0"/>
    <x v="21"/>
    <n v="96.694045534150604"/>
    <n v="35293.326619965002"/>
    <n v="127055.97583187401"/>
  </r>
  <r>
    <x v="0"/>
    <x v="0"/>
    <x v="0"/>
    <x v="9"/>
    <x v="19"/>
    <s v="SE3_STO"/>
    <x v="12"/>
    <x v="1"/>
    <s v="GBPR_WOODWASTE"/>
    <x v="0"/>
    <x v="22"/>
    <n v="96.694045534150604"/>
    <n v="35293.326619965002"/>
    <n v="127055.97583187401"/>
  </r>
  <r>
    <x v="0"/>
    <x v="0"/>
    <x v="0"/>
    <x v="9"/>
    <x v="19"/>
    <s v="SE3_STO"/>
    <x v="12"/>
    <x v="1"/>
    <s v="GBPR_WOODWASTE"/>
    <x v="0"/>
    <x v="23"/>
    <n v="96.694045534150604"/>
    <n v="35293.326619965002"/>
    <n v="127055.97583187401"/>
  </r>
  <r>
    <x v="0"/>
    <x v="0"/>
    <x v="0"/>
    <x v="9"/>
    <x v="19"/>
    <s v="SE3_STO"/>
    <x v="12"/>
    <x v="1"/>
    <s v="GBPR_WOODWASTE_BRISTA"/>
    <x v="0"/>
    <x v="3"/>
    <n v="40.390612959719803"/>
    <n v="14742.5737302977"/>
    <n v="53073.265429071798"/>
  </r>
  <r>
    <x v="0"/>
    <x v="0"/>
    <x v="0"/>
    <x v="9"/>
    <x v="19"/>
    <s v="SE3_STO"/>
    <x v="12"/>
    <x v="1"/>
    <s v="GBPR_WOODWASTE_BRISTA"/>
    <x v="0"/>
    <x v="4"/>
    <n v="40.390612959719803"/>
    <n v="14742.5737302977"/>
    <n v="53073.265429071798"/>
  </r>
  <r>
    <x v="0"/>
    <x v="0"/>
    <x v="0"/>
    <x v="9"/>
    <x v="19"/>
    <s v="SE3_STO"/>
    <x v="12"/>
    <x v="1"/>
    <s v="GBPR_WOODWASTE_BRISTA"/>
    <x v="0"/>
    <x v="5"/>
    <n v="40.390612959719803"/>
    <n v="14742.5737302977"/>
    <n v="53073.265429071798"/>
  </r>
  <r>
    <x v="0"/>
    <x v="0"/>
    <x v="0"/>
    <x v="9"/>
    <x v="19"/>
    <s v="SE3_STO"/>
    <x v="12"/>
    <x v="1"/>
    <s v="GBPR_WOODWASTE_BRISTA"/>
    <x v="0"/>
    <x v="6"/>
    <n v="40.390612959719803"/>
    <n v="14742.5737302977"/>
    <n v="53073.265429071798"/>
  </r>
  <r>
    <x v="0"/>
    <x v="0"/>
    <x v="0"/>
    <x v="9"/>
    <x v="19"/>
    <s v="SE3_STO"/>
    <x v="12"/>
    <x v="1"/>
    <s v="GBPR_WOODWASTE_BRISTA"/>
    <x v="0"/>
    <x v="7"/>
    <n v="40.390612959719803"/>
    <n v="14742.5737302977"/>
    <n v="53073.265429071798"/>
  </r>
  <r>
    <x v="0"/>
    <x v="0"/>
    <x v="0"/>
    <x v="9"/>
    <x v="19"/>
    <s v="SE3_STO"/>
    <x v="12"/>
    <x v="1"/>
    <s v="GBPR_WOODWASTE_BRISTA"/>
    <x v="0"/>
    <x v="8"/>
    <n v="40.390612959719803"/>
    <n v="14742.5737302977"/>
    <n v="53073.265429071798"/>
  </r>
  <r>
    <x v="0"/>
    <x v="0"/>
    <x v="0"/>
    <x v="9"/>
    <x v="19"/>
    <s v="SE3_STO"/>
    <x v="12"/>
    <x v="1"/>
    <s v="GBPR_WOODWASTE_BRISTA"/>
    <x v="0"/>
    <x v="0"/>
    <n v="40.390612959719803"/>
    <n v="14742.5737302977"/>
    <n v="53073.265429071798"/>
  </r>
  <r>
    <x v="0"/>
    <x v="0"/>
    <x v="0"/>
    <x v="9"/>
    <x v="19"/>
    <s v="SE3_STO"/>
    <x v="12"/>
    <x v="1"/>
    <s v="GBPR_WOODWASTE_BRISTA"/>
    <x v="0"/>
    <x v="1"/>
    <n v="40.390612959719803"/>
    <n v="14742.5737302977"/>
    <n v="53073.265429071798"/>
  </r>
  <r>
    <x v="0"/>
    <x v="0"/>
    <x v="0"/>
    <x v="9"/>
    <x v="19"/>
    <s v="SE3_STO"/>
    <x v="12"/>
    <x v="1"/>
    <s v="GBPR_WOODWASTE_BRISTA"/>
    <x v="0"/>
    <x v="2"/>
    <n v="40.390612959719803"/>
    <n v="14742.5737302977"/>
    <n v="53073.265429071798"/>
  </r>
  <r>
    <x v="0"/>
    <x v="0"/>
    <x v="0"/>
    <x v="9"/>
    <x v="19"/>
    <s v="SE3_STO"/>
    <x v="12"/>
    <x v="1"/>
    <s v="GBPR_WOODWASTE_BRISTA"/>
    <x v="0"/>
    <x v="9"/>
    <n v="40.390612959719803"/>
    <n v="14742.5737302977"/>
    <n v="53073.265429071798"/>
  </r>
  <r>
    <x v="0"/>
    <x v="0"/>
    <x v="0"/>
    <x v="9"/>
    <x v="19"/>
    <s v="SE3_STO"/>
    <x v="12"/>
    <x v="1"/>
    <s v="GBPR_WOODWASTE_BRISTA"/>
    <x v="0"/>
    <x v="10"/>
    <n v="40.390612959719803"/>
    <n v="14742.5737302977"/>
    <n v="53073.265429071798"/>
  </r>
  <r>
    <x v="0"/>
    <x v="0"/>
    <x v="0"/>
    <x v="9"/>
    <x v="19"/>
    <s v="SE3_STO"/>
    <x v="12"/>
    <x v="1"/>
    <s v="GBPR_WOODWASTE_BRISTA"/>
    <x v="0"/>
    <x v="11"/>
    <n v="40.390612959719803"/>
    <n v="14742.5737302977"/>
    <n v="53073.265429071798"/>
  </r>
  <r>
    <x v="0"/>
    <x v="0"/>
    <x v="0"/>
    <x v="9"/>
    <x v="19"/>
    <s v="SE3_STO"/>
    <x v="12"/>
    <x v="1"/>
    <s v="GBPR_WOODWASTE_BRISTA"/>
    <x v="0"/>
    <x v="12"/>
    <n v="40.390612959719803"/>
    <n v="14742.5737302977"/>
    <n v="53073.265429071798"/>
  </r>
  <r>
    <x v="0"/>
    <x v="0"/>
    <x v="0"/>
    <x v="9"/>
    <x v="19"/>
    <s v="SE3_STO"/>
    <x v="12"/>
    <x v="1"/>
    <s v="GBPR_WOODWASTE_BRISTA"/>
    <x v="0"/>
    <x v="13"/>
    <n v="40.390612959719803"/>
    <n v="14742.5737302977"/>
    <n v="53073.265429071798"/>
  </r>
  <r>
    <x v="0"/>
    <x v="0"/>
    <x v="0"/>
    <x v="9"/>
    <x v="19"/>
    <s v="SE3_STO"/>
    <x v="12"/>
    <x v="1"/>
    <s v="GBPR_WOODWASTE_BRISTA"/>
    <x v="0"/>
    <x v="14"/>
    <n v="40.390612959719803"/>
    <n v="14742.5737302977"/>
    <n v="53073.265429071798"/>
  </r>
  <r>
    <x v="0"/>
    <x v="0"/>
    <x v="0"/>
    <x v="9"/>
    <x v="19"/>
    <s v="SE3_STO"/>
    <x v="12"/>
    <x v="1"/>
    <s v="GBPR_WOODWASTE_BRISTA"/>
    <x v="0"/>
    <x v="15"/>
    <n v="40.390612959719803"/>
    <n v="14742.5737302977"/>
    <n v="53073.265429071798"/>
  </r>
  <r>
    <x v="0"/>
    <x v="0"/>
    <x v="0"/>
    <x v="9"/>
    <x v="19"/>
    <s v="SE3_STO"/>
    <x v="12"/>
    <x v="1"/>
    <s v="GBPR_WOODWASTE_BRISTA"/>
    <x v="0"/>
    <x v="16"/>
    <n v="40.390612959719803"/>
    <n v="14742.5737302977"/>
    <n v="53073.265429071798"/>
  </r>
  <r>
    <x v="0"/>
    <x v="0"/>
    <x v="0"/>
    <x v="9"/>
    <x v="19"/>
    <s v="SE3_STO"/>
    <x v="12"/>
    <x v="1"/>
    <s v="GBPR_WOODWASTE_BRISTA"/>
    <x v="0"/>
    <x v="17"/>
    <n v="40.390612959719803"/>
    <n v="14742.5737302977"/>
    <n v="53073.265429071798"/>
  </r>
  <r>
    <x v="0"/>
    <x v="0"/>
    <x v="0"/>
    <x v="9"/>
    <x v="19"/>
    <s v="SE3_STO"/>
    <x v="12"/>
    <x v="1"/>
    <s v="GBPR_WOODWASTE_BRISTA"/>
    <x v="0"/>
    <x v="18"/>
    <n v="40.390612959719803"/>
    <n v="14742.5737302977"/>
    <n v="53073.265429071798"/>
  </r>
  <r>
    <x v="0"/>
    <x v="0"/>
    <x v="0"/>
    <x v="9"/>
    <x v="19"/>
    <s v="SE3_STO"/>
    <x v="12"/>
    <x v="1"/>
    <s v="GBPR_WOODWASTE_BRISTA"/>
    <x v="0"/>
    <x v="19"/>
    <n v="40.390612959719803"/>
    <n v="14742.5737302977"/>
    <n v="53073.265429071798"/>
  </r>
  <r>
    <x v="0"/>
    <x v="0"/>
    <x v="0"/>
    <x v="9"/>
    <x v="19"/>
    <s v="SE3_STO"/>
    <x v="12"/>
    <x v="1"/>
    <s v="GBPR_WOODWASTE_BRISTA"/>
    <x v="0"/>
    <x v="20"/>
    <n v="40.390612959719803"/>
    <n v="14742.5737302977"/>
    <n v="53073.265429071798"/>
  </r>
  <r>
    <x v="0"/>
    <x v="0"/>
    <x v="0"/>
    <x v="9"/>
    <x v="19"/>
    <s v="SE3_STO"/>
    <x v="12"/>
    <x v="1"/>
    <s v="GBPR_WOODWASTE_BRISTA"/>
    <x v="0"/>
    <x v="21"/>
    <n v="40.390612959719803"/>
    <n v="14742.5737302977"/>
    <n v="53073.265429071798"/>
  </r>
  <r>
    <x v="0"/>
    <x v="0"/>
    <x v="0"/>
    <x v="9"/>
    <x v="19"/>
    <s v="SE3_STO"/>
    <x v="12"/>
    <x v="1"/>
    <s v="GBPR_WOODWASTE_BRISTA"/>
    <x v="0"/>
    <x v="22"/>
    <n v="40.390612959719803"/>
    <n v="14742.5737302977"/>
    <n v="53073.265429071798"/>
  </r>
  <r>
    <x v="0"/>
    <x v="0"/>
    <x v="0"/>
    <x v="9"/>
    <x v="19"/>
    <s v="SE3_STO"/>
    <x v="12"/>
    <x v="1"/>
    <s v="GBPR_WOODWASTE_BRISTA"/>
    <x v="0"/>
    <x v="23"/>
    <n v="40.390612959719803"/>
    <n v="14742.5737302977"/>
    <n v="53073.265429071798"/>
  </r>
  <r>
    <x v="0"/>
    <x v="0"/>
    <x v="0"/>
    <x v="9"/>
    <x v="20"/>
    <s v="SE4A"/>
    <x v="6"/>
    <x v="7"/>
    <s v="GNR_RES_WTR_NOPMP_MC-01"/>
    <x v="0"/>
    <x v="8"/>
    <n v="15.287300663378099"/>
    <n v="5579.8647421330097"/>
    <n v="20087.513071678801"/>
  </r>
  <r>
    <x v="0"/>
    <x v="0"/>
    <x v="0"/>
    <x v="9"/>
    <x v="20"/>
    <s v="SE4A"/>
    <x v="6"/>
    <x v="7"/>
    <s v="GNR_RES_WTR_NOPMP_MC-01"/>
    <x v="0"/>
    <x v="0"/>
    <n v="15.287300663378099"/>
    <n v="5579.8647421330097"/>
    <n v="20087.513071678801"/>
  </r>
  <r>
    <x v="0"/>
    <x v="0"/>
    <x v="0"/>
    <x v="9"/>
    <x v="20"/>
    <s v="SE4A"/>
    <x v="6"/>
    <x v="7"/>
    <s v="GNR_RES_WTR_NOPMP_MC-01"/>
    <x v="0"/>
    <x v="1"/>
    <n v="15.287300663378099"/>
    <n v="5579.8647421330097"/>
    <n v="20087.513071678801"/>
  </r>
  <r>
    <x v="0"/>
    <x v="0"/>
    <x v="0"/>
    <x v="9"/>
    <x v="20"/>
    <s v="SE4A"/>
    <x v="6"/>
    <x v="7"/>
    <s v="GNR_RES_WTR_NOPMP_MC-01"/>
    <x v="0"/>
    <x v="2"/>
    <n v="15.287300663378099"/>
    <n v="5579.8647421330097"/>
    <n v="20087.513071678801"/>
  </r>
  <r>
    <x v="0"/>
    <x v="0"/>
    <x v="0"/>
    <x v="9"/>
    <x v="20"/>
    <s v="SE4A"/>
    <x v="6"/>
    <x v="7"/>
    <s v="GNR_RES_WTR_NOPMP_MC-01"/>
    <x v="0"/>
    <x v="9"/>
    <n v="15.287300663378099"/>
    <n v="5579.8647421330097"/>
    <n v="20087.513071678801"/>
  </r>
  <r>
    <x v="0"/>
    <x v="0"/>
    <x v="0"/>
    <x v="9"/>
    <x v="20"/>
    <s v="SE4A"/>
    <x v="6"/>
    <x v="7"/>
    <s v="GNR_RES_WTR_NOPMP_MC-01"/>
    <x v="0"/>
    <x v="10"/>
    <n v="15.287300663378099"/>
    <n v="5579.8647421330097"/>
    <n v="20087.513071678801"/>
  </r>
  <r>
    <x v="0"/>
    <x v="0"/>
    <x v="0"/>
    <x v="9"/>
    <x v="20"/>
    <s v="SE4A"/>
    <x v="6"/>
    <x v="7"/>
    <s v="GNR_RES_WTR_NOPMP_MC-01"/>
    <x v="0"/>
    <x v="11"/>
    <n v="15.287300663378099"/>
    <n v="5579.8647421330097"/>
    <n v="20087.513071678801"/>
  </r>
  <r>
    <x v="0"/>
    <x v="0"/>
    <x v="0"/>
    <x v="9"/>
    <x v="20"/>
    <s v="SE4A"/>
    <x v="6"/>
    <x v="7"/>
    <s v="GNR_RES_WTR_NOPMP_MC-01"/>
    <x v="0"/>
    <x v="12"/>
    <n v="15.287300663378099"/>
    <n v="5579.8647421330097"/>
    <n v="20087.513071678801"/>
  </r>
  <r>
    <x v="0"/>
    <x v="0"/>
    <x v="0"/>
    <x v="9"/>
    <x v="20"/>
    <s v="SE4A"/>
    <x v="6"/>
    <x v="7"/>
    <s v="GNR_RES_WTR_NOPMP_MC-01"/>
    <x v="0"/>
    <x v="13"/>
    <n v="15.287300663378099"/>
    <n v="5579.8647421330097"/>
    <n v="20087.513071678801"/>
  </r>
  <r>
    <x v="0"/>
    <x v="0"/>
    <x v="0"/>
    <x v="9"/>
    <x v="20"/>
    <s v="SE4A"/>
    <x v="6"/>
    <x v="7"/>
    <s v="GNR_RES_WTR_NOPMP_MC-01"/>
    <x v="0"/>
    <x v="14"/>
    <n v="15.287300663378099"/>
    <n v="5579.8647421330097"/>
    <n v="20087.513071678801"/>
  </r>
  <r>
    <x v="0"/>
    <x v="0"/>
    <x v="0"/>
    <x v="9"/>
    <x v="20"/>
    <s v="SE4A"/>
    <x v="6"/>
    <x v="7"/>
    <s v="GNR_RES_WTR_NOPMP_MC-01"/>
    <x v="0"/>
    <x v="15"/>
    <n v="15.287300663378099"/>
    <n v="5579.8647421330097"/>
    <n v="20087.513071678801"/>
  </r>
  <r>
    <x v="0"/>
    <x v="0"/>
    <x v="0"/>
    <x v="9"/>
    <x v="20"/>
    <s v="SE4A"/>
    <x v="6"/>
    <x v="7"/>
    <s v="GNR_RES_WTR_NOPMP_MC-01"/>
    <x v="0"/>
    <x v="16"/>
    <n v="15.287300663378099"/>
    <n v="5579.8647421330097"/>
    <n v="20087.513071678801"/>
  </r>
  <r>
    <x v="0"/>
    <x v="0"/>
    <x v="0"/>
    <x v="9"/>
    <x v="20"/>
    <s v="SE4A"/>
    <x v="6"/>
    <x v="7"/>
    <s v="GNR_RES_WTR_NOPMP_MC-01"/>
    <x v="0"/>
    <x v="17"/>
    <n v="15.287300663378099"/>
    <n v="5579.8647421330097"/>
    <n v="20087.513071678801"/>
  </r>
  <r>
    <x v="0"/>
    <x v="0"/>
    <x v="0"/>
    <x v="9"/>
    <x v="20"/>
    <s v="SE4A"/>
    <x v="6"/>
    <x v="7"/>
    <s v="GNR_RES_WTR_NOPMP_MC-01"/>
    <x v="0"/>
    <x v="18"/>
    <n v="15.287300663378099"/>
    <n v="5579.8647421330097"/>
    <n v="20087.513071678801"/>
  </r>
  <r>
    <x v="0"/>
    <x v="0"/>
    <x v="0"/>
    <x v="9"/>
    <x v="20"/>
    <s v="SE4A"/>
    <x v="6"/>
    <x v="7"/>
    <s v="GNR_RES_WTR_NOPMP_MC-01"/>
    <x v="0"/>
    <x v="19"/>
    <n v="15.287300663378099"/>
    <n v="5579.8647421330097"/>
    <n v="20087.513071678801"/>
  </r>
  <r>
    <x v="0"/>
    <x v="0"/>
    <x v="0"/>
    <x v="9"/>
    <x v="20"/>
    <s v="SE4A"/>
    <x v="6"/>
    <x v="7"/>
    <s v="GNR_RES_WTR_NOPMP_MC-02"/>
    <x v="0"/>
    <x v="0"/>
    <n v="15.287300663378099"/>
    <n v="5579.8647421330097"/>
    <n v="20087.513071678801"/>
  </r>
  <r>
    <x v="0"/>
    <x v="0"/>
    <x v="0"/>
    <x v="9"/>
    <x v="20"/>
    <s v="SE4A"/>
    <x v="6"/>
    <x v="7"/>
    <s v="GNR_RES_WTR_NOPMP_MC-02"/>
    <x v="0"/>
    <x v="1"/>
    <n v="15.287300663378099"/>
    <n v="5579.8647421330097"/>
    <n v="20087.513071678801"/>
  </r>
  <r>
    <x v="0"/>
    <x v="0"/>
    <x v="0"/>
    <x v="9"/>
    <x v="20"/>
    <s v="SE4A"/>
    <x v="6"/>
    <x v="7"/>
    <s v="GNR_RES_WTR_NOPMP_MC-02"/>
    <x v="0"/>
    <x v="2"/>
    <n v="15.287300663378099"/>
    <n v="5579.8647421330097"/>
    <n v="20087.513071678801"/>
  </r>
  <r>
    <x v="0"/>
    <x v="0"/>
    <x v="0"/>
    <x v="9"/>
    <x v="20"/>
    <s v="SE4A"/>
    <x v="6"/>
    <x v="7"/>
    <s v="GNR_RES_WTR_NOPMP_MC-02"/>
    <x v="0"/>
    <x v="9"/>
    <n v="15.287300663378099"/>
    <n v="5579.8647421330097"/>
    <n v="20087.513071678801"/>
  </r>
  <r>
    <x v="0"/>
    <x v="0"/>
    <x v="0"/>
    <x v="9"/>
    <x v="20"/>
    <s v="SE4A"/>
    <x v="6"/>
    <x v="7"/>
    <s v="GNR_RES_WTR_NOPMP_MC-02"/>
    <x v="0"/>
    <x v="10"/>
    <n v="15.287300663378099"/>
    <n v="5579.8647421330097"/>
    <n v="20087.513071678801"/>
  </r>
  <r>
    <x v="0"/>
    <x v="0"/>
    <x v="0"/>
    <x v="9"/>
    <x v="20"/>
    <s v="SE4A"/>
    <x v="6"/>
    <x v="7"/>
    <s v="GNR_RES_WTR_NOPMP_MC-02"/>
    <x v="0"/>
    <x v="11"/>
    <n v="15.287300663378099"/>
    <n v="5579.8647421330097"/>
    <n v="20087.513071678801"/>
  </r>
  <r>
    <x v="0"/>
    <x v="0"/>
    <x v="0"/>
    <x v="9"/>
    <x v="20"/>
    <s v="SE4A"/>
    <x v="6"/>
    <x v="7"/>
    <s v="GNR_RES_WTR_NOPMP_MC-02"/>
    <x v="0"/>
    <x v="12"/>
    <n v="15.287300663378099"/>
    <n v="5579.8647421330097"/>
    <n v="20087.513071678801"/>
  </r>
  <r>
    <x v="0"/>
    <x v="0"/>
    <x v="0"/>
    <x v="9"/>
    <x v="20"/>
    <s v="SE4A"/>
    <x v="6"/>
    <x v="7"/>
    <s v="GNR_RES_WTR_NOPMP_MC-02"/>
    <x v="0"/>
    <x v="13"/>
    <n v="15.287300663378099"/>
    <n v="5579.8647421330097"/>
    <n v="20087.513071678801"/>
  </r>
  <r>
    <x v="0"/>
    <x v="0"/>
    <x v="0"/>
    <x v="9"/>
    <x v="20"/>
    <s v="SE4A"/>
    <x v="6"/>
    <x v="7"/>
    <s v="GNR_RES_WTR_NOPMP_MC-02"/>
    <x v="0"/>
    <x v="14"/>
    <n v="15.287300663378099"/>
    <n v="5579.8647421330097"/>
    <n v="20087.513071678801"/>
  </r>
  <r>
    <x v="0"/>
    <x v="0"/>
    <x v="0"/>
    <x v="9"/>
    <x v="20"/>
    <s v="SE4A"/>
    <x v="6"/>
    <x v="7"/>
    <s v="GNR_RES_WTR_NOPMP_MC-02"/>
    <x v="0"/>
    <x v="15"/>
    <n v="15.287300663378099"/>
    <n v="5579.8647421330097"/>
    <n v="20087.513071678801"/>
  </r>
  <r>
    <x v="0"/>
    <x v="0"/>
    <x v="0"/>
    <x v="9"/>
    <x v="20"/>
    <s v="SE4A"/>
    <x v="6"/>
    <x v="7"/>
    <s v="GNR_RES_WTR_NOPMP_MC-02"/>
    <x v="0"/>
    <x v="16"/>
    <n v="15.287300663378099"/>
    <n v="5579.8647421330097"/>
    <n v="20087.513071678801"/>
  </r>
  <r>
    <x v="0"/>
    <x v="0"/>
    <x v="0"/>
    <x v="9"/>
    <x v="20"/>
    <s v="SE4A"/>
    <x v="6"/>
    <x v="7"/>
    <s v="GNR_RES_WTR_NOPMP_MC-02"/>
    <x v="0"/>
    <x v="17"/>
    <n v="15.287300663378099"/>
    <n v="5579.8647421330097"/>
    <n v="20087.513071678801"/>
  </r>
  <r>
    <x v="0"/>
    <x v="0"/>
    <x v="0"/>
    <x v="9"/>
    <x v="20"/>
    <s v="SE4A"/>
    <x v="6"/>
    <x v="7"/>
    <s v="GNR_RES_WTR_NOPMP_MC-02"/>
    <x v="0"/>
    <x v="18"/>
    <n v="15.287300663378099"/>
    <n v="5579.8647421330097"/>
    <n v="20087.513071678801"/>
  </r>
  <r>
    <x v="0"/>
    <x v="0"/>
    <x v="0"/>
    <x v="9"/>
    <x v="20"/>
    <s v="SE4A"/>
    <x v="6"/>
    <x v="7"/>
    <s v="GNR_RES_WTR_NOPMP_MC-02"/>
    <x v="0"/>
    <x v="19"/>
    <n v="15.287300663378099"/>
    <n v="5579.8647421330097"/>
    <n v="20087.513071678801"/>
  </r>
  <r>
    <x v="0"/>
    <x v="0"/>
    <x v="0"/>
    <x v="9"/>
    <x v="20"/>
    <s v="SE4A"/>
    <x v="6"/>
    <x v="7"/>
    <s v="GNR_RES_WTR_NOPMP_MC-03"/>
    <x v="0"/>
    <x v="0"/>
    <n v="15.287300663378099"/>
    <n v="5579.8647421330097"/>
    <n v="20087.513071678801"/>
  </r>
  <r>
    <x v="0"/>
    <x v="0"/>
    <x v="0"/>
    <x v="9"/>
    <x v="20"/>
    <s v="SE4A"/>
    <x v="6"/>
    <x v="7"/>
    <s v="GNR_RES_WTR_NOPMP_MC-03"/>
    <x v="0"/>
    <x v="1"/>
    <n v="15.287300663378099"/>
    <n v="5579.8647421330097"/>
    <n v="20087.513071678801"/>
  </r>
  <r>
    <x v="0"/>
    <x v="0"/>
    <x v="0"/>
    <x v="9"/>
    <x v="20"/>
    <s v="SE4A"/>
    <x v="6"/>
    <x v="7"/>
    <s v="GNR_RES_WTR_NOPMP_MC-03"/>
    <x v="0"/>
    <x v="2"/>
    <n v="15.287300663378099"/>
    <n v="5579.8647421330097"/>
    <n v="20087.513071678801"/>
  </r>
  <r>
    <x v="0"/>
    <x v="0"/>
    <x v="0"/>
    <x v="9"/>
    <x v="20"/>
    <s v="SE4A"/>
    <x v="6"/>
    <x v="7"/>
    <s v="GNR_RES_WTR_NOPMP_MC-03"/>
    <x v="0"/>
    <x v="9"/>
    <n v="15.287300663378099"/>
    <n v="5579.8647421330097"/>
    <n v="20087.513071678801"/>
  </r>
  <r>
    <x v="0"/>
    <x v="0"/>
    <x v="0"/>
    <x v="9"/>
    <x v="20"/>
    <s v="SE4A"/>
    <x v="6"/>
    <x v="7"/>
    <s v="GNR_RES_WTR_NOPMP_MC-03"/>
    <x v="0"/>
    <x v="10"/>
    <n v="15.287300663378099"/>
    <n v="5579.8647421330097"/>
    <n v="20087.513071678801"/>
  </r>
  <r>
    <x v="0"/>
    <x v="0"/>
    <x v="0"/>
    <x v="9"/>
    <x v="20"/>
    <s v="SE4A"/>
    <x v="6"/>
    <x v="7"/>
    <s v="GNR_RES_WTR_NOPMP_MC-03"/>
    <x v="0"/>
    <x v="11"/>
    <n v="15.287300663378099"/>
    <n v="5579.8647421330097"/>
    <n v="20087.513071678801"/>
  </r>
  <r>
    <x v="0"/>
    <x v="0"/>
    <x v="0"/>
    <x v="9"/>
    <x v="20"/>
    <s v="SE4A"/>
    <x v="6"/>
    <x v="7"/>
    <s v="GNR_RES_WTR_NOPMP_MC-03"/>
    <x v="0"/>
    <x v="12"/>
    <n v="15.287300663378099"/>
    <n v="5579.8647421330097"/>
    <n v="20087.513071678801"/>
  </r>
  <r>
    <x v="0"/>
    <x v="0"/>
    <x v="0"/>
    <x v="9"/>
    <x v="20"/>
    <s v="SE4A"/>
    <x v="6"/>
    <x v="7"/>
    <s v="GNR_RES_WTR_NOPMP_MC-03"/>
    <x v="0"/>
    <x v="13"/>
    <n v="15.287300663378099"/>
    <n v="5579.8647421330097"/>
    <n v="20087.513071678801"/>
  </r>
  <r>
    <x v="0"/>
    <x v="0"/>
    <x v="0"/>
    <x v="9"/>
    <x v="20"/>
    <s v="SE4A"/>
    <x v="6"/>
    <x v="7"/>
    <s v="GNR_RES_WTR_NOPMP_MC-03"/>
    <x v="0"/>
    <x v="14"/>
    <n v="15.287300663378099"/>
    <n v="5579.8647421330097"/>
    <n v="20087.513071678801"/>
  </r>
  <r>
    <x v="0"/>
    <x v="0"/>
    <x v="0"/>
    <x v="9"/>
    <x v="20"/>
    <s v="SE4A"/>
    <x v="6"/>
    <x v="7"/>
    <s v="GNR_RES_WTR_NOPMP_MC-03"/>
    <x v="0"/>
    <x v="15"/>
    <n v="15.287300663378099"/>
    <n v="5579.8647421330097"/>
    <n v="20087.513071678801"/>
  </r>
  <r>
    <x v="0"/>
    <x v="0"/>
    <x v="0"/>
    <x v="9"/>
    <x v="20"/>
    <s v="SE4A"/>
    <x v="6"/>
    <x v="7"/>
    <s v="GNR_RES_WTR_NOPMP_MC-03"/>
    <x v="0"/>
    <x v="16"/>
    <n v="15.287300663378099"/>
    <n v="5579.8647421330097"/>
    <n v="20087.513071678801"/>
  </r>
  <r>
    <x v="0"/>
    <x v="0"/>
    <x v="0"/>
    <x v="9"/>
    <x v="20"/>
    <s v="SE4A"/>
    <x v="6"/>
    <x v="7"/>
    <s v="GNR_RES_WTR_NOPMP_MC-03"/>
    <x v="0"/>
    <x v="17"/>
    <n v="15.287300663378099"/>
    <n v="5579.8647421330097"/>
    <n v="20087.513071678801"/>
  </r>
  <r>
    <x v="0"/>
    <x v="0"/>
    <x v="0"/>
    <x v="9"/>
    <x v="20"/>
    <s v="SE4A"/>
    <x v="6"/>
    <x v="7"/>
    <s v="GNR_RES_WTR_NOPMP_MC-03"/>
    <x v="0"/>
    <x v="18"/>
    <n v="15.287300663378099"/>
    <n v="5579.8647421330097"/>
    <n v="20087.513071678801"/>
  </r>
  <r>
    <x v="0"/>
    <x v="0"/>
    <x v="0"/>
    <x v="9"/>
    <x v="20"/>
    <s v="SE4A"/>
    <x v="6"/>
    <x v="7"/>
    <s v="GNR_RES_WTR_NOPMP_MC-03"/>
    <x v="0"/>
    <x v="19"/>
    <n v="15.287300663378099"/>
    <n v="5579.8647421330097"/>
    <n v="20087.513071678801"/>
  </r>
  <r>
    <x v="0"/>
    <x v="0"/>
    <x v="0"/>
    <x v="9"/>
    <x v="20"/>
    <s v="SE4A"/>
    <x v="6"/>
    <x v="7"/>
    <s v="GNR_RES_WTR_NOPMP_MC-04"/>
    <x v="0"/>
    <x v="0"/>
    <n v="15.287300663378099"/>
    <n v="5579.8647421330097"/>
    <n v="20087.513071678801"/>
  </r>
  <r>
    <x v="0"/>
    <x v="0"/>
    <x v="0"/>
    <x v="9"/>
    <x v="20"/>
    <s v="SE4A"/>
    <x v="6"/>
    <x v="7"/>
    <s v="GNR_RES_WTR_NOPMP_MC-04"/>
    <x v="0"/>
    <x v="1"/>
    <n v="15.287300663378099"/>
    <n v="5579.8647421330097"/>
    <n v="20087.513071678801"/>
  </r>
  <r>
    <x v="0"/>
    <x v="0"/>
    <x v="0"/>
    <x v="9"/>
    <x v="20"/>
    <s v="SE4A"/>
    <x v="6"/>
    <x v="7"/>
    <s v="GNR_RES_WTR_NOPMP_MC-04"/>
    <x v="0"/>
    <x v="2"/>
    <n v="15.287300663378099"/>
    <n v="5579.8647421330097"/>
    <n v="20087.513071678801"/>
  </r>
  <r>
    <x v="0"/>
    <x v="0"/>
    <x v="0"/>
    <x v="9"/>
    <x v="20"/>
    <s v="SE4A"/>
    <x v="6"/>
    <x v="7"/>
    <s v="GNR_RES_WTR_NOPMP_MC-04"/>
    <x v="0"/>
    <x v="9"/>
    <n v="15.287300663378099"/>
    <n v="5579.8647421330097"/>
    <n v="20087.513071678801"/>
  </r>
  <r>
    <x v="0"/>
    <x v="0"/>
    <x v="0"/>
    <x v="9"/>
    <x v="20"/>
    <s v="SE4A"/>
    <x v="6"/>
    <x v="7"/>
    <s v="GNR_RES_WTR_NOPMP_MC-04"/>
    <x v="0"/>
    <x v="10"/>
    <n v="15.287300663378099"/>
    <n v="5579.8647421330097"/>
    <n v="20087.513071678801"/>
  </r>
  <r>
    <x v="0"/>
    <x v="0"/>
    <x v="0"/>
    <x v="9"/>
    <x v="20"/>
    <s v="SE4A"/>
    <x v="6"/>
    <x v="7"/>
    <s v="GNR_RES_WTR_NOPMP_MC-04"/>
    <x v="0"/>
    <x v="11"/>
    <n v="15.287300663378099"/>
    <n v="5579.8647421330097"/>
    <n v="20087.513071678801"/>
  </r>
  <r>
    <x v="0"/>
    <x v="0"/>
    <x v="0"/>
    <x v="9"/>
    <x v="20"/>
    <s v="SE4A"/>
    <x v="6"/>
    <x v="7"/>
    <s v="GNR_RES_WTR_NOPMP_MC-04"/>
    <x v="0"/>
    <x v="12"/>
    <n v="0.90400755526434295"/>
    <n v="329.96275767148501"/>
    <n v="1187.8659276173501"/>
  </r>
  <r>
    <x v="0"/>
    <x v="0"/>
    <x v="0"/>
    <x v="9"/>
    <x v="20"/>
    <s v="SE4A"/>
    <x v="6"/>
    <x v="7"/>
    <s v="GNR_RES_WTR_NOPMP_MC-04"/>
    <x v="0"/>
    <x v="13"/>
    <n v="14.951540573765699"/>
    <n v="5457.3123094244702"/>
    <n v="19646.3243139281"/>
  </r>
  <r>
    <x v="0"/>
    <x v="0"/>
    <x v="0"/>
    <x v="9"/>
    <x v="20"/>
    <s v="SE4A"/>
    <x v="6"/>
    <x v="7"/>
    <s v="GNR_RES_WTR_NOPMP_MC-04"/>
    <x v="0"/>
    <x v="14"/>
    <n v="15.287300663378099"/>
    <n v="5579.8647421330097"/>
    <n v="20087.513071678801"/>
  </r>
  <r>
    <x v="0"/>
    <x v="0"/>
    <x v="0"/>
    <x v="9"/>
    <x v="20"/>
    <s v="SE4A"/>
    <x v="6"/>
    <x v="7"/>
    <s v="GNR_RES_WTR_NOPMP_MC-04"/>
    <x v="0"/>
    <x v="15"/>
    <n v="15.287300663378099"/>
    <n v="5579.8647421330097"/>
    <n v="20087.513071678801"/>
  </r>
  <r>
    <x v="0"/>
    <x v="0"/>
    <x v="0"/>
    <x v="9"/>
    <x v="20"/>
    <s v="SE4A"/>
    <x v="6"/>
    <x v="7"/>
    <s v="GNR_RES_WTR_NOPMP_MC-04"/>
    <x v="0"/>
    <x v="16"/>
    <n v="15.287300663378099"/>
    <n v="5579.8647421330097"/>
    <n v="20087.513071678801"/>
  </r>
  <r>
    <x v="0"/>
    <x v="0"/>
    <x v="0"/>
    <x v="9"/>
    <x v="20"/>
    <s v="SE4A"/>
    <x v="6"/>
    <x v="7"/>
    <s v="GNR_RES_WTR_NOPMP_MC-04"/>
    <x v="0"/>
    <x v="17"/>
    <n v="15.287300663378099"/>
    <n v="5579.8647421330097"/>
    <n v="20087.513071678801"/>
  </r>
  <r>
    <x v="0"/>
    <x v="0"/>
    <x v="0"/>
    <x v="9"/>
    <x v="20"/>
    <s v="SE4A"/>
    <x v="6"/>
    <x v="7"/>
    <s v="GNR_RES_WTR_NOPMP_MC-04"/>
    <x v="0"/>
    <x v="18"/>
    <n v="15.287300663378099"/>
    <n v="5579.8647421330097"/>
    <n v="20087.513071678801"/>
  </r>
  <r>
    <x v="0"/>
    <x v="0"/>
    <x v="0"/>
    <x v="9"/>
    <x v="20"/>
    <s v="SE4A"/>
    <x v="6"/>
    <x v="7"/>
    <s v="GNR_RES_WTR_NOPMP_MC-04"/>
    <x v="0"/>
    <x v="19"/>
    <n v="15.287300663378099"/>
    <n v="5579.8647421330097"/>
    <n v="20087.513071678801"/>
  </r>
  <r>
    <x v="0"/>
    <x v="0"/>
    <x v="0"/>
    <x v="9"/>
    <x v="20"/>
    <s v="SE4A"/>
    <x v="6"/>
    <x v="7"/>
    <s v="GNR_RES_WTR_NOPMP_MC-05"/>
    <x v="0"/>
    <x v="0"/>
    <n v="15.287300663378099"/>
    <n v="5579.8647421330097"/>
    <n v="20087.513071678801"/>
  </r>
  <r>
    <x v="0"/>
    <x v="0"/>
    <x v="0"/>
    <x v="9"/>
    <x v="20"/>
    <s v="SE4A"/>
    <x v="6"/>
    <x v="7"/>
    <s v="GNR_RES_WTR_NOPMP_MC-05"/>
    <x v="0"/>
    <x v="1"/>
    <n v="15.287300663378099"/>
    <n v="5579.8647421330097"/>
    <n v="20087.513071678801"/>
  </r>
  <r>
    <x v="0"/>
    <x v="0"/>
    <x v="0"/>
    <x v="9"/>
    <x v="20"/>
    <s v="SE4A"/>
    <x v="6"/>
    <x v="7"/>
    <s v="GNR_RES_WTR_NOPMP_MC-05"/>
    <x v="0"/>
    <x v="2"/>
    <n v="15.287300663378099"/>
    <n v="5579.8647421330097"/>
    <n v="20087.513071678801"/>
  </r>
  <r>
    <x v="0"/>
    <x v="0"/>
    <x v="0"/>
    <x v="9"/>
    <x v="20"/>
    <s v="SE4A"/>
    <x v="6"/>
    <x v="7"/>
    <s v="GNR_RES_WTR_NOPMP_MC-05"/>
    <x v="0"/>
    <x v="9"/>
    <n v="15.287300663378099"/>
    <n v="5579.8647421330097"/>
    <n v="20087.513071678801"/>
  </r>
  <r>
    <x v="0"/>
    <x v="0"/>
    <x v="0"/>
    <x v="9"/>
    <x v="20"/>
    <s v="SE4A"/>
    <x v="6"/>
    <x v="7"/>
    <s v="GNR_RES_WTR_NOPMP_MC-05"/>
    <x v="0"/>
    <x v="10"/>
    <n v="15.287300663378099"/>
    <n v="5579.8647421330097"/>
    <n v="20087.513071678801"/>
  </r>
  <r>
    <x v="0"/>
    <x v="0"/>
    <x v="0"/>
    <x v="9"/>
    <x v="20"/>
    <s v="SE4A"/>
    <x v="6"/>
    <x v="7"/>
    <s v="GNR_RES_WTR_NOPMP_MC-05"/>
    <x v="0"/>
    <x v="11"/>
    <n v="15.287300663378099"/>
    <n v="5579.8647421330097"/>
    <n v="20087.513071678801"/>
  </r>
  <r>
    <x v="0"/>
    <x v="0"/>
    <x v="0"/>
    <x v="9"/>
    <x v="20"/>
    <s v="SE4A"/>
    <x v="6"/>
    <x v="7"/>
    <s v="GNR_RES_WTR_NOPMP_MC-05"/>
    <x v="0"/>
    <x v="14"/>
    <n v="15.287300663378099"/>
    <n v="5579.8647421330097"/>
    <n v="20087.513071678801"/>
  </r>
  <r>
    <x v="0"/>
    <x v="0"/>
    <x v="0"/>
    <x v="9"/>
    <x v="20"/>
    <s v="SE4A"/>
    <x v="6"/>
    <x v="7"/>
    <s v="GNR_RES_WTR_NOPMP_MC-05"/>
    <x v="0"/>
    <x v="15"/>
    <n v="15.287300663378099"/>
    <n v="5579.8647421330097"/>
    <n v="20087.513071678801"/>
  </r>
  <r>
    <x v="0"/>
    <x v="0"/>
    <x v="0"/>
    <x v="9"/>
    <x v="20"/>
    <s v="SE4A"/>
    <x v="6"/>
    <x v="7"/>
    <s v="GNR_RES_WTR_NOPMP_MC-05"/>
    <x v="0"/>
    <x v="16"/>
    <n v="15.287300663378099"/>
    <n v="5579.8647421330097"/>
    <n v="20087.513071678801"/>
  </r>
  <r>
    <x v="0"/>
    <x v="0"/>
    <x v="0"/>
    <x v="9"/>
    <x v="20"/>
    <s v="SE4A"/>
    <x v="6"/>
    <x v="7"/>
    <s v="GNR_RES_WTR_NOPMP_MC-05"/>
    <x v="0"/>
    <x v="17"/>
    <n v="15.287300663378099"/>
    <n v="5579.8647421330097"/>
    <n v="20087.513071678801"/>
  </r>
  <r>
    <x v="0"/>
    <x v="0"/>
    <x v="0"/>
    <x v="9"/>
    <x v="20"/>
    <s v="SE4A"/>
    <x v="6"/>
    <x v="7"/>
    <s v="GNR_RES_WTR_NOPMP_MC-05"/>
    <x v="0"/>
    <x v="18"/>
    <n v="15.287300663378099"/>
    <n v="5579.8647421330097"/>
    <n v="20087.513071678801"/>
  </r>
  <r>
    <x v="0"/>
    <x v="0"/>
    <x v="0"/>
    <x v="9"/>
    <x v="20"/>
    <s v="SE4A"/>
    <x v="6"/>
    <x v="7"/>
    <s v="GNR_RES_WTR_NOPMP_MC-05"/>
    <x v="0"/>
    <x v="19"/>
    <n v="15.287300663378099"/>
    <n v="5579.8647421330097"/>
    <n v="20087.513071678801"/>
  </r>
  <r>
    <x v="0"/>
    <x v="0"/>
    <x v="0"/>
    <x v="9"/>
    <x v="20"/>
    <s v="SE4A"/>
    <x v="6"/>
    <x v="7"/>
    <s v="GNR_RES_WTR_NOPMP_MC-06"/>
    <x v="0"/>
    <x v="0"/>
    <n v="15.287300663378099"/>
    <n v="5579.8647421330097"/>
    <n v="20087.513071678801"/>
  </r>
  <r>
    <x v="0"/>
    <x v="0"/>
    <x v="0"/>
    <x v="9"/>
    <x v="20"/>
    <s v="SE4A"/>
    <x v="6"/>
    <x v="7"/>
    <s v="GNR_RES_WTR_NOPMP_MC-06"/>
    <x v="0"/>
    <x v="1"/>
    <n v="15.287300663378099"/>
    <n v="5579.8647421330097"/>
    <n v="20087.513071678801"/>
  </r>
  <r>
    <x v="0"/>
    <x v="0"/>
    <x v="0"/>
    <x v="9"/>
    <x v="20"/>
    <s v="SE4A"/>
    <x v="6"/>
    <x v="7"/>
    <s v="GNR_RES_WTR_NOPMP_MC-06"/>
    <x v="0"/>
    <x v="2"/>
    <n v="15.287300663378099"/>
    <n v="5579.8647421330097"/>
    <n v="20087.513071678801"/>
  </r>
  <r>
    <x v="0"/>
    <x v="0"/>
    <x v="0"/>
    <x v="9"/>
    <x v="20"/>
    <s v="SE4A"/>
    <x v="6"/>
    <x v="7"/>
    <s v="GNR_RES_WTR_NOPMP_MC-06"/>
    <x v="0"/>
    <x v="9"/>
    <n v="15.287300663378099"/>
    <n v="5579.8647421330097"/>
    <n v="20087.513071678801"/>
  </r>
  <r>
    <x v="0"/>
    <x v="0"/>
    <x v="0"/>
    <x v="9"/>
    <x v="20"/>
    <s v="SE4A"/>
    <x v="6"/>
    <x v="7"/>
    <s v="GNR_RES_WTR_NOPMP_MC-06"/>
    <x v="0"/>
    <x v="10"/>
    <n v="15.287300663378099"/>
    <n v="5579.8647421330097"/>
    <n v="20087.513071678801"/>
  </r>
  <r>
    <x v="0"/>
    <x v="0"/>
    <x v="0"/>
    <x v="9"/>
    <x v="20"/>
    <s v="SE4A"/>
    <x v="6"/>
    <x v="7"/>
    <s v="GNR_RES_WTR_NOPMP_MC-06"/>
    <x v="0"/>
    <x v="11"/>
    <n v="15.287300663378099"/>
    <n v="5579.8647421330097"/>
    <n v="20087.513071678801"/>
  </r>
  <r>
    <x v="0"/>
    <x v="0"/>
    <x v="0"/>
    <x v="9"/>
    <x v="20"/>
    <s v="SE4A"/>
    <x v="6"/>
    <x v="7"/>
    <s v="GNR_RES_WTR_NOPMP_MC-06"/>
    <x v="0"/>
    <x v="14"/>
    <n v="15.287300663378099"/>
    <n v="5579.8647421330097"/>
    <n v="20087.513071678801"/>
  </r>
  <r>
    <x v="0"/>
    <x v="0"/>
    <x v="0"/>
    <x v="9"/>
    <x v="20"/>
    <s v="SE4A"/>
    <x v="6"/>
    <x v="7"/>
    <s v="GNR_RES_WTR_NOPMP_MC-06"/>
    <x v="0"/>
    <x v="15"/>
    <n v="15.287300663378099"/>
    <n v="5579.8647421330097"/>
    <n v="20087.513071678801"/>
  </r>
  <r>
    <x v="0"/>
    <x v="0"/>
    <x v="0"/>
    <x v="9"/>
    <x v="20"/>
    <s v="SE4A"/>
    <x v="6"/>
    <x v="7"/>
    <s v="GNR_RES_WTR_NOPMP_MC-06"/>
    <x v="0"/>
    <x v="16"/>
    <n v="15.287300663378099"/>
    <n v="5579.8647421330097"/>
    <n v="20087.513071678801"/>
  </r>
  <r>
    <x v="0"/>
    <x v="0"/>
    <x v="0"/>
    <x v="9"/>
    <x v="20"/>
    <s v="SE4A"/>
    <x v="6"/>
    <x v="7"/>
    <s v="GNR_RES_WTR_NOPMP_MC-06"/>
    <x v="0"/>
    <x v="17"/>
    <n v="15.287300663378099"/>
    <n v="5579.8647421330097"/>
    <n v="20087.513071678801"/>
  </r>
  <r>
    <x v="0"/>
    <x v="0"/>
    <x v="0"/>
    <x v="9"/>
    <x v="20"/>
    <s v="SE4A"/>
    <x v="6"/>
    <x v="7"/>
    <s v="GNR_RES_WTR_NOPMP_MC-06"/>
    <x v="0"/>
    <x v="18"/>
    <n v="15.287300663378099"/>
    <n v="5579.8647421330097"/>
    <n v="20087.513071678801"/>
  </r>
  <r>
    <x v="0"/>
    <x v="0"/>
    <x v="0"/>
    <x v="9"/>
    <x v="20"/>
    <s v="SE4A"/>
    <x v="6"/>
    <x v="7"/>
    <s v="GNR_RES_WTR_NOPMP_MC-06"/>
    <x v="0"/>
    <x v="19"/>
    <n v="15.287300663378099"/>
    <n v="5579.8647421330097"/>
    <n v="20087.513071678801"/>
  </r>
  <r>
    <x v="0"/>
    <x v="0"/>
    <x v="0"/>
    <x v="9"/>
    <x v="20"/>
    <s v="SE4A"/>
    <x v="6"/>
    <x v="7"/>
    <s v="GNR_RES_WTR_NOPMP_MC-07"/>
    <x v="0"/>
    <x v="0"/>
    <n v="15.287300663378099"/>
    <n v="5579.8647421330097"/>
    <n v="20087.513071678801"/>
  </r>
  <r>
    <x v="0"/>
    <x v="0"/>
    <x v="0"/>
    <x v="9"/>
    <x v="20"/>
    <s v="SE4A"/>
    <x v="6"/>
    <x v="7"/>
    <s v="GNR_RES_WTR_NOPMP_MC-07"/>
    <x v="0"/>
    <x v="1"/>
    <n v="15.287300663378099"/>
    <n v="5579.8647421330097"/>
    <n v="20087.513071678801"/>
  </r>
  <r>
    <x v="0"/>
    <x v="0"/>
    <x v="0"/>
    <x v="9"/>
    <x v="20"/>
    <s v="SE4A"/>
    <x v="6"/>
    <x v="7"/>
    <s v="GNR_RES_WTR_NOPMP_MC-07"/>
    <x v="0"/>
    <x v="2"/>
    <n v="15.287300663378099"/>
    <n v="5579.8647421330097"/>
    <n v="20087.513071678801"/>
  </r>
  <r>
    <x v="0"/>
    <x v="0"/>
    <x v="0"/>
    <x v="9"/>
    <x v="20"/>
    <s v="SE4A"/>
    <x v="6"/>
    <x v="7"/>
    <s v="GNR_RES_WTR_NOPMP_MC-07"/>
    <x v="0"/>
    <x v="9"/>
    <n v="15.287300663378099"/>
    <n v="5579.8647421330097"/>
    <n v="20087.513071678801"/>
  </r>
  <r>
    <x v="0"/>
    <x v="0"/>
    <x v="0"/>
    <x v="9"/>
    <x v="20"/>
    <s v="SE4A"/>
    <x v="6"/>
    <x v="7"/>
    <s v="GNR_RES_WTR_NOPMP_MC-07"/>
    <x v="0"/>
    <x v="10"/>
    <n v="15.287300663378099"/>
    <n v="5579.8647421330097"/>
    <n v="20087.513071678801"/>
  </r>
  <r>
    <x v="0"/>
    <x v="0"/>
    <x v="0"/>
    <x v="9"/>
    <x v="20"/>
    <s v="SE4A"/>
    <x v="6"/>
    <x v="7"/>
    <s v="GNR_RES_WTR_NOPMP_MC-07"/>
    <x v="0"/>
    <x v="11"/>
    <n v="14.2673990388048"/>
    <n v="5207.6006491637499"/>
    <n v="18747.362336989499"/>
  </r>
  <r>
    <x v="0"/>
    <x v="0"/>
    <x v="0"/>
    <x v="9"/>
    <x v="20"/>
    <s v="SE4A"/>
    <x v="6"/>
    <x v="7"/>
    <s v="GNR_RES_WTR_NOPMP_MC-07"/>
    <x v="0"/>
    <x v="14"/>
    <n v="15.287300663378099"/>
    <n v="5579.8647421330097"/>
    <n v="20087.513071678801"/>
  </r>
  <r>
    <x v="0"/>
    <x v="0"/>
    <x v="0"/>
    <x v="9"/>
    <x v="20"/>
    <s v="SE4A"/>
    <x v="6"/>
    <x v="7"/>
    <s v="GNR_RES_WTR_NOPMP_MC-07"/>
    <x v="0"/>
    <x v="15"/>
    <n v="15.287300663378099"/>
    <n v="5579.8647421330097"/>
    <n v="20087.513071678801"/>
  </r>
  <r>
    <x v="0"/>
    <x v="0"/>
    <x v="0"/>
    <x v="9"/>
    <x v="20"/>
    <s v="SE4A"/>
    <x v="6"/>
    <x v="7"/>
    <s v="GNR_RES_WTR_NOPMP_MC-07"/>
    <x v="0"/>
    <x v="16"/>
    <n v="15.287300663378099"/>
    <n v="5579.8647421330097"/>
    <n v="20087.513071678801"/>
  </r>
  <r>
    <x v="0"/>
    <x v="0"/>
    <x v="0"/>
    <x v="9"/>
    <x v="20"/>
    <s v="SE4A"/>
    <x v="6"/>
    <x v="7"/>
    <s v="GNR_RES_WTR_NOPMP_MC-07"/>
    <x v="0"/>
    <x v="17"/>
    <n v="15.287300663378099"/>
    <n v="5579.8647421330097"/>
    <n v="20087.513071678801"/>
  </r>
  <r>
    <x v="0"/>
    <x v="0"/>
    <x v="0"/>
    <x v="9"/>
    <x v="20"/>
    <s v="SE4A"/>
    <x v="6"/>
    <x v="7"/>
    <s v="GNR_RES_WTR_NOPMP_MC-07"/>
    <x v="0"/>
    <x v="18"/>
    <n v="15.287300663378099"/>
    <n v="5579.8647421330097"/>
    <n v="20087.513071678801"/>
  </r>
  <r>
    <x v="0"/>
    <x v="0"/>
    <x v="0"/>
    <x v="9"/>
    <x v="20"/>
    <s v="SE4A"/>
    <x v="6"/>
    <x v="7"/>
    <s v="GNR_RES_WTR_NOPMP_MC-07"/>
    <x v="0"/>
    <x v="19"/>
    <n v="15.287300663378099"/>
    <n v="5579.8647421330097"/>
    <n v="20087.513071678801"/>
  </r>
  <r>
    <x v="0"/>
    <x v="0"/>
    <x v="0"/>
    <x v="9"/>
    <x v="20"/>
    <s v="SE4A"/>
    <x v="6"/>
    <x v="7"/>
    <s v="GNR_RES_WTR_NOPMP_MC-08"/>
    <x v="0"/>
    <x v="0"/>
    <n v="15.287300663378099"/>
    <n v="5579.8647421330097"/>
    <n v="20087.513071678801"/>
  </r>
  <r>
    <x v="0"/>
    <x v="0"/>
    <x v="0"/>
    <x v="9"/>
    <x v="20"/>
    <s v="SE4A"/>
    <x v="6"/>
    <x v="7"/>
    <s v="GNR_RES_WTR_NOPMP_MC-08"/>
    <x v="0"/>
    <x v="1"/>
    <n v="15.287300663378099"/>
    <n v="5579.8647421330097"/>
    <n v="20087.513071678801"/>
  </r>
  <r>
    <x v="0"/>
    <x v="0"/>
    <x v="0"/>
    <x v="9"/>
    <x v="20"/>
    <s v="SE4A"/>
    <x v="6"/>
    <x v="7"/>
    <s v="GNR_RES_WTR_NOPMP_MC-08"/>
    <x v="0"/>
    <x v="2"/>
    <n v="15.287300663378099"/>
    <n v="5579.8647421330097"/>
    <n v="20087.513071678801"/>
  </r>
  <r>
    <x v="0"/>
    <x v="0"/>
    <x v="0"/>
    <x v="9"/>
    <x v="20"/>
    <s v="SE4A"/>
    <x v="6"/>
    <x v="7"/>
    <s v="GNR_RES_WTR_NOPMP_MC-08"/>
    <x v="0"/>
    <x v="9"/>
    <n v="15.287300663378099"/>
    <n v="5579.8647421330097"/>
    <n v="20087.513071678801"/>
  </r>
  <r>
    <x v="0"/>
    <x v="0"/>
    <x v="0"/>
    <x v="9"/>
    <x v="20"/>
    <s v="SE4A"/>
    <x v="6"/>
    <x v="7"/>
    <s v="GNR_RES_WTR_NOPMP_MC-08"/>
    <x v="0"/>
    <x v="10"/>
    <n v="15.287300663378099"/>
    <n v="5579.8647421330097"/>
    <n v="20087.513071678801"/>
  </r>
  <r>
    <x v="0"/>
    <x v="0"/>
    <x v="0"/>
    <x v="9"/>
    <x v="20"/>
    <s v="SE4A"/>
    <x v="6"/>
    <x v="7"/>
    <s v="GNR_RES_WTR_NOPMP_MC-08"/>
    <x v="0"/>
    <x v="14"/>
    <n v="15.287300663378099"/>
    <n v="5579.8647421330097"/>
    <n v="20087.513071678801"/>
  </r>
  <r>
    <x v="0"/>
    <x v="0"/>
    <x v="0"/>
    <x v="9"/>
    <x v="20"/>
    <s v="SE4A"/>
    <x v="6"/>
    <x v="7"/>
    <s v="GNR_RES_WTR_NOPMP_MC-08"/>
    <x v="0"/>
    <x v="15"/>
    <n v="15.287300663378099"/>
    <n v="5579.8647421330097"/>
    <n v="20087.513071678801"/>
  </r>
  <r>
    <x v="0"/>
    <x v="0"/>
    <x v="0"/>
    <x v="9"/>
    <x v="20"/>
    <s v="SE4A"/>
    <x v="6"/>
    <x v="7"/>
    <s v="GNR_RES_WTR_NOPMP_MC-08"/>
    <x v="0"/>
    <x v="16"/>
    <n v="15.287300663378099"/>
    <n v="5579.8647421330097"/>
    <n v="20087.513071678801"/>
  </r>
  <r>
    <x v="0"/>
    <x v="0"/>
    <x v="0"/>
    <x v="9"/>
    <x v="20"/>
    <s v="SE4A"/>
    <x v="6"/>
    <x v="7"/>
    <s v="GNR_RES_WTR_NOPMP_MC-08"/>
    <x v="0"/>
    <x v="17"/>
    <n v="15.287300663378099"/>
    <n v="5579.8647421330097"/>
    <n v="20087.513071678801"/>
  </r>
  <r>
    <x v="0"/>
    <x v="0"/>
    <x v="0"/>
    <x v="9"/>
    <x v="20"/>
    <s v="SE4A"/>
    <x v="6"/>
    <x v="7"/>
    <s v="GNR_RES_WTR_NOPMP_MC-08"/>
    <x v="0"/>
    <x v="18"/>
    <n v="15.287300663378099"/>
    <n v="5579.8647421330097"/>
    <n v="20087.513071678801"/>
  </r>
  <r>
    <x v="0"/>
    <x v="0"/>
    <x v="0"/>
    <x v="9"/>
    <x v="20"/>
    <s v="SE4A"/>
    <x v="6"/>
    <x v="7"/>
    <s v="GNR_RES_WTR_NOPMP_MC-08"/>
    <x v="0"/>
    <x v="19"/>
    <n v="15.287300663378099"/>
    <n v="5579.8647421330097"/>
    <n v="20087.513071678801"/>
  </r>
  <r>
    <x v="0"/>
    <x v="0"/>
    <x v="0"/>
    <x v="9"/>
    <x v="20"/>
    <s v="SE4A"/>
    <x v="6"/>
    <x v="7"/>
    <s v="GNR_RES_WTR_NOPMP_MC-09"/>
    <x v="0"/>
    <x v="0"/>
    <n v="15.287300663378099"/>
    <n v="5579.8647421330097"/>
    <n v="20087.513071678801"/>
  </r>
  <r>
    <x v="0"/>
    <x v="0"/>
    <x v="0"/>
    <x v="9"/>
    <x v="20"/>
    <s v="SE4A"/>
    <x v="6"/>
    <x v="7"/>
    <s v="GNR_RES_WTR_NOPMP_MC-09"/>
    <x v="0"/>
    <x v="1"/>
    <n v="15.287300663378099"/>
    <n v="5579.8647421330097"/>
    <n v="20087.513071678801"/>
  </r>
  <r>
    <x v="0"/>
    <x v="0"/>
    <x v="0"/>
    <x v="9"/>
    <x v="20"/>
    <s v="SE4A"/>
    <x v="6"/>
    <x v="7"/>
    <s v="GNR_RES_WTR_NOPMP_MC-09"/>
    <x v="0"/>
    <x v="2"/>
    <n v="15.287300663378099"/>
    <n v="5579.8647421330097"/>
    <n v="20087.513071678801"/>
  </r>
  <r>
    <x v="0"/>
    <x v="0"/>
    <x v="0"/>
    <x v="9"/>
    <x v="20"/>
    <s v="SE4A"/>
    <x v="6"/>
    <x v="7"/>
    <s v="GNR_RES_WTR_NOPMP_MC-09"/>
    <x v="0"/>
    <x v="9"/>
    <n v="15.287300663378099"/>
    <n v="5579.8647421330097"/>
    <n v="20087.513071678801"/>
  </r>
  <r>
    <x v="0"/>
    <x v="0"/>
    <x v="0"/>
    <x v="9"/>
    <x v="20"/>
    <s v="SE4A"/>
    <x v="6"/>
    <x v="7"/>
    <s v="GNR_RES_WTR_NOPMP_MC-09"/>
    <x v="0"/>
    <x v="10"/>
    <n v="15.287300663378099"/>
    <n v="5579.8647421330097"/>
    <n v="20087.513071678801"/>
  </r>
  <r>
    <x v="0"/>
    <x v="0"/>
    <x v="0"/>
    <x v="9"/>
    <x v="20"/>
    <s v="SE4A"/>
    <x v="6"/>
    <x v="7"/>
    <s v="GNR_RES_WTR_NOPMP_MC-09"/>
    <x v="0"/>
    <x v="14"/>
    <n v="15.287300663378099"/>
    <n v="5579.8647421330097"/>
    <n v="20087.513071678801"/>
  </r>
  <r>
    <x v="0"/>
    <x v="0"/>
    <x v="0"/>
    <x v="9"/>
    <x v="20"/>
    <s v="SE4A"/>
    <x v="6"/>
    <x v="7"/>
    <s v="GNR_RES_WTR_NOPMP_MC-09"/>
    <x v="0"/>
    <x v="15"/>
    <n v="15.287300663378099"/>
    <n v="5579.8647421330097"/>
    <n v="20087.513071678801"/>
  </r>
  <r>
    <x v="0"/>
    <x v="0"/>
    <x v="0"/>
    <x v="9"/>
    <x v="20"/>
    <s v="SE4A"/>
    <x v="6"/>
    <x v="7"/>
    <s v="GNR_RES_WTR_NOPMP_MC-09"/>
    <x v="0"/>
    <x v="16"/>
    <n v="15.287300663378099"/>
    <n v="5579.8647421330097"/>
    <n v="20087.513071678801"/>
  </r>
  <r>
    <x v="0"/>
    <x v="0"/>
    <x v="0"/>
    <x v="9"/>
    <x v="20"/>
    <s v="SE4A"/>
    <x v="6"/>
    <x v="7"/>
    <s v="GNR_RES_WTR_NOPMP_MC-09"/>
    <x v="0"/>
    <x v="17"/>
    <n v="15.287300663378099"/>
    <n v="5579.8647421330097"/>
    <n v="20087.513071678801"/>
  </r>
  <r>
    <x v="0"/>
    <x v="0"/>
    <x v="0"/>
    <x v="9"/>
    <x v="20"/>
    <s v="SE4A"/>
    <x v="6"/>
    <x v="7"/>
    <s v="GNR_RES_WTR_NOPMP_MC-09"/>
    <x v="0"/>
    <x v="18"/>
    <n v="15.287300663378099"/>
    <n v="5579.8647421330097"/>
    <n v="20087.513071678801"/>
  </r>
  <r>
    <x v="0"/>
    <x v="0"/>
    <x v="0"/>
    <x v="9"/>
    <x v="20"/>
    <s v="SE4A"/>
    <x v="6"/>
    <x v="7"/>
    <s v="GNR_RES_WTR_NOPMP_MC-09"/>
    <x v="0"/>
    <x v="19"/>
    <n v="4.8493707881159596"/>
    <n v="1770.0203376623199"/>
    <n v="6372.0732155843698"/>
  </r>
  <r>
    <x v="0"/>
    <x v="0"/>
    <x v="0"/>
    <x v="9"/>
    <x v="20"/>
    <s v="SE4A"/>
    <x v="6"/>
    <x v="7"/>
    <s v="GNR_RES_WTR_NOPMP_MC-10"/>
    <x v="0"/>
    <x v="0"/>
    <n v="15.287300663378099"/>
    <n v="5579.8647421330097"/>
    <n v="20087.513071678801"/>
  </r>
  <r>
    <x v="0"/>
    <x v="0"/>
    <x v="0"/>
    <x v="9"/>
    <x v="20"/>
    <s v="SE4A"/>
    <x v="6"/>
    <x v="7"/>
    <s v="GNR_RES_WTR_NOPMP_MC-10"/>
    <x v="0"/>
    <x v="1"/>
    <n v="15.287300663378099"/>
    <n v="5579.8647421330097"/>
    <n v="20087.513071678801"/>
  </r>
  <r>
    <x v="0"/>
    <x v="0"/>
    <x v="0"/>
    <x v="9"/>
    <x v="20"/>
    <s v="SE4A"/>
    <x v="6"/>
    <x v="7"/>
    <s v="GNR_RES_WTR_NOPMP_MC-10"/>
    <x v="0"/>
    <x v="2"/>
    <n v="15.287300663378099"/>
    <n v="5579.8647421330097"/>
    <n v="20087.513071678801"/>
  </r>
  <r>
    <x v="0"/>
    <x v="0"/>
    <x v="0"/>
    <x v="9"/>
    <x v="20"/>
    <s v="SE4A"/>
    <x v="6"/>
    <x v="7"/>
    <s v="GNR_RES_WTR_NOPMP_MC-10"/>
    <x v="0"/>
    <x v="9"/>
    <n v="15.287300663378099"/>
    <n v="5579.8647421330097"/>
    <n v="20087.513071678801"/>
  </r>
  <r>
    <x v="0"/>
    <x v="0"/>
    <x v="0"/>
    <x v="9"/>
    <x v="20"/>
    <s v="SE4A"/>
    <x v="6"/>
    <x v="7"/>
    <s v="GNR_RES_WTR_NOPMP_MC-10"/>
    <x v="0"/>
    <x v="10"/>
    <n v="15.287300663378099"/>
    <n v="5579.8647421330097"/>
    <n v="20087.513071678801"/>
  </r>
  <r>
    <x v="0"/>
    <x v="0"/>
    <x v="0"/>
    <x v="9"/>
    <x v="20"/>
    <s v="SE4A"/>
    <x v="6"/>
    <x v="7"/>
    <s v="GNR_RES_WTR_NOPMP_MC-10"/>
    <x v="0"/>
    <x v="14"/>
    <n v="15.287300663378099"/>
    <n v="5579.8647421330097"/>
    <n v="20087.513071678801"/>
  </r>
  <r>
    <x v="0"/>
    <x v="0"/>
    <x v="0"/>
    <x v="9"/>
    <x v="20"/>
    <s v="SE4A"/>
    <x v="6"/>
    <x v="7"/>
    <s v="GNR_RES_WTR_NOPMP_MC-10"/>
    <x v="0"/>
    <x v="15"/>
    <n v="15.287300663378099"/>
    <n v="5579.8647421330097"/>
    <n v="20087.513071678801"/>
  </r>
  <r>
    <x v="0"/>
    <x v="0"/>
    <x v="0"/>
    <x v="9"/>
    <x v="20"/>
    <s v="SE4A"/>
    <x v="6"/>
    <x v="7"/>
    <s v="GNR_RES_WTR_NOPMP_MC-10"/>
    <x v="0"/>
    <x v="16"/>
    <n v="15.287300663378099"/>
    <n v="5579.8647421330097"/>
    <n v="20087.513071678801"/>
  </r>
  <r>
    <x v="0"/>
    <x v="0"/>
    <x v="0"/>
    <x v="9"/>
    <x v="20"/>
    <s v="SE4A"/>
    <x v="6"/>
    <x v="7"/>
    <s v="GNR_RES_WTR_NOPMP_MC-10"/>
    <x v="0"/>
    <x v="17"/>
    <n v="15.287300663378099"/>
    <n v="5579.8647421330097"/>
    <n v="20087.513071678801"/>
  </r>
  <r>
    <x v="0"/>
    <x v="0"/>
    <x v="0"/>
    <x v="9"/>
    <x v="20"/>
    <s v="SE4A"/>
    <x v="6"/>
    <x v="7"/>
    <s v="GNR_RES_WTR_NOPMP_MC-10"/>
    <x v="0"/>
    <x v="18"/>
    <n v="15.287300663378099"/>
    <n v="5579.8647421330097"/>
    <n v="20087.513071678801"/>
  </r>
  <r>
    <x v="0"/>
    <x v="0"/>
    <x v="0"/>
    <x v="9"/>
    <x v="20"/>
    <s v="SE4A"/>
    <x v="6"/>
    <x v="4"/>
    <s v="GNR_ROR_WTR"/>
    <x v="0"/>
    <x v="3"/>
    <n v="102.50081849851099"/>
    <n v="37412.798751956601"/>
    <n v="134686.07550704401"/>
  </r>
  <r>
    <x v="0"/>
    <x v="0"/>
    <x v="0"/>
    <x v="9"/>
    <x v="20"/>
    <s v="SE4A"/>
    <x v="6"/>
    <x v="4"/>
    <s v="GNR_ROR_WTR"/>
    <x v="0"/>
    <x v="4"/>
    <n v="102.50081849851099"/>
    <n v="37412.798751956601"/>
    <n v="134686.07550704401"/>
  </r>
  <r>
    <x v="0"/>
    <x v="0"/>
    <x v="0"/>
    <x v="9"/>
    <x v="20"/>
    <s v="SE4A"/>
    <x v="6"/>
    <x v="4"/>
    <s v="GNR_ROR_WTR"/>
    <x v="0"/>
    <x v="5"/>
    <n v="102.50081849851099"/>
    <n v="37412.798751956601"/>
    <n v="134686.07550704401"/>
  </r>
  <r>
    <x v="0"/>
    <x v="0"/>
    <x v="0"/>
    <x v="9"/>
    <x v="20"/>
    <s v="SE4A"/>
    <x v="6"/>
    <x v="4"/>
    <s v="GNR_ROR_WTR"/>
    <x v="0"/>
    <x v="6"/>
    <n v="102.50081849851099"/>
    <n v="37412.798751956601"/>
    <n v="134686.07550704401"/>
  </r>
  <r>
    <x v="0"/>
    <x v="0"/>
    <x v="0"/>
    <x v="9"/>
    <x v="20"/>
    <s v="SE4A"/>
    <x v="6"/>
    <x v="4"/>
    <s v="GNR_ROR_WTR"/>
    <x v="0"/>
    <x v="7"/>
    <n v="102.50081849851099"/>
    <n v="37412.798751956601"/>
    <n v="134686.07550704401"/>
  </r>
  <r>
    <x v="0"/>
    <x v="0"/>
    <x v="0"/>
    <x v="9"/>
    <x v="20"/>
    <s v="SE4A"/>
    <x v="6"/>
    <x v="4"/>
    <s v="GNR_ROR_WTR"/>
    <x v="0"/>
    <x v="8"/>
    <n v="102.50081849851099"/>
    <n v="37412.798751956601"/>
    <n v="134686.07550704401"/>
  </r>
  <r>
    <x v="0"/>
    <x v="0"/>
    <x v="0"/>
    <x v="9"/>
    <x v="20"/>
    <s v="SE4A"/>
    <x v="6"/>
    <x v="4"/>
    <s v="GNR_ROR_WTR"/>
    <x v="0"/>
    <x v="0"/>
    <n v="102.50081849851099"/>
    <n v="37412.798751956601"/>
    <n v="134686.07550704401"/>
  </r>
  <r>
    <x v="0"/>
    <x v="0"/>
    <x v="0"/>
    <x v="9"/>
    <x v="20"/>
    <s v="SE4A"/>
    <x v="6"/>
    <x v="4"/>
    <s v="GNR_ROR_WTR"/>
    <x v="0"/>
    <x v="1"/>
    <n v="102.50081849851099"/>
    <n v="37412.798751956601"/>
    <n v="134686.07550704401"/>
  </r>
  <r>
    <x v="0"/>
    <x v="0"/>
    <x v="0"/>
    <x v="9"/>
    <x v="20"/>
    <s v="SE4A"/>
    <x v="6"/>
    <x v="4"/>
    <s v="GNR_ROR_WTR"/>
    <x v="0"/>
    <x v="2"/>
    <n v="102.50081849851099"/>
    <n v="37412.798751956601"/>
    <n v="134686.07550704401"/>
  </r>
  <r>
    <x v="0"/>
    <x v="0"/>
    <x v="0"/>
    <x v="9"/>
    <x v="20"/>
    <s v="SE4A"/>
    <x v="6"/>
    <x v="4"/>
    <s v="GNR_ROR_WTR"/>
    <x v="0"/>
    <x v="9"/>
    <n v="102.50081849851099"/>
    <n v="37412.798751956601"/>
    <n v="134686.07550704401"/>
  </r>
  <r>
    <x v="0"/>
    <x v="0"/>
    <x v="0"/>
    <x v="9"/>
    <x v="20"/>
    <s v="SE4A"/>
    <x v="6"/>
    <x v="4"/>
    <s v="GNR_ROR_WTR"/>
    <x v="0"/>
    <x v="10"/>
    <n v="102.50081849851099"/>
    <n v="37412.798751956601"/>
    <n v="134686.07550704401"/>
  </r>
  <r>
    <x v="0"/>
    <x v="0"/>
    <x v="0"/>
    <x v="9"/>
    <x v="20"/>
    <s v="SE4A"/>
    <x v="6"/>
    <x v="4"/>
    <s v="GNR_ROR_WTR"/>
    <x v="0"/>
    <x v="11"/>
    <n v="102.50081849851099"/>
    <n v="37412.798751956601"/>
    <n v="134686.07550704401"/>
  </r>
  <r>
    <x v="0"/>
    <x v="0"/>
    <x v="0"/>
    <x v="9"/>
    <x v="20"/>
    <s v="SE4A"/>
    <x v="6"/>
    <x v="4"/>
    <s v="GNR_ROR_WTR"/>
    <x v="0"/>
    <x v="12"/>
    <n v="102.50081849851099"/>
    <n v="37412.798751956601"/>
    <n v="134686.07550704401"/>
  </r>
  <r>
    <x v="0"/>
    <x v="0"/>
    <x v="0"/>
    <x v="9"/>
    <x v="20"/>
    <s v="SE4A"/>
    <x v="6"/>
    <x v="4"/>
    <s v="GNR_ROR_WTR"/>
    <x v="0"/>
    <x v="13"/>
    <n v="102.50081849851099"/>
    <n v="37412.798751956601"/>
    <n v="134686.07550704401"/>
  </r>
  <r>
    <x v="0"/>
    <x v="0"/>
    <x v="0"/>
    <x v="9"/>
    <x v="20"/>
    <s v="SE4A"/>
    <x v="6"/>
    <x v="4"/>
    <s v="GNR_ROR_WTR"/>
    <x v="0"/>
    <x v="14"/>
    <n v="102.50081849851099"/>
    <n v="37412.798751956601"/>
    <n v="134686.07550704401"/>
  </r>
  <r>
    <x v="0"/>
    <x v="0"/>
    <x v="0"/>
    <x v="9"/>
    <x v="20"/>
    <s v="SE4A"/>
    <x v="6"/>
    <x v="4"/>
    <s v="GNR_ROR_WTR"/>
    <x v="0"/>
    <x v="15"/>
    <n v="102.50081849851099"/>
    <n v="37412.798751956601"/>
    <n v="134686.07550704401"/>
  </r>
  <r>
    <x v="0"/>
    <x v="0"/>
    <x v="0"/>
    <x v="9"/>
    <x v="20"/>
    <s v="SE4A"/>
    <x v="6"/>
    <x v="4"/>
    <s v="GNR_ROR_WTR"/>
    <x v="0"/>
    <x v="16"/>
    <n v="102.50081849851099"/>
    <n v="37412.798751956601"/>
    <n v="134686.07550704401"/>
  </r>
  <r>
    <x v="0"/>
    <x v="0"/>
    <x v="0"/>
    <x v="9"/>
    <x v="20"/>
    <s v="SE4A"/>
    <x v="6"/>
    <x v="4"/>
    <s v="GNR_ROR_WTR"/>
    <x v="0"/>
    <x v="17"/>
    <n v="102.50081849851099"/>
    <n v="37412.798751956601"/>
    <n v="134686.07550704401"/>
  </r>
  <r>
    <x v="0"/>
    <x v="0"/>
    <x v="0"/>
    <x v="9"/>
    <x v="20"/>
    <s v="SE4A"/>
    <x v="6"/>
    <x v="4"/>
    <s v="GNR_ROR_WTR"/>
    <x v="0"/>
    <x v="18"/>
    <n v="102.50081849851099"/>
    <n v="37412.798751956601"/>
    <n v="134686.07550704401"/>
  </r>
  <r>
    <x v="0"/>
    <x v="0"/>
    <x v="0"/>
    <x v="9"/>
    <x v="20"/>
    <s v="SE4A"/>
    <x v="6"/>
    <x v="4"/>
    <s v="GNR_ROR_WTR"/>
    <x v="0"/>
    <x v="19"/>
    <n v="102.50081849851099"/>
    <n v="37412.798751956601"/>
    <n v="134686.07550704401"/>
  </r>
  <r>
    <x v="0"/>
    <x v="0"/>
    <x v="0"/>
    <x v="9"/>
    <x v="20"/>
    <s v="SE4A"/>
    <x v="6"/>
    <x v="4"/>
    <s v="GNR_ROR_WTR"/>
    <x v="0"/>
    <x v="20"/>
    <n v="102.50081849851099"/>
    <n v="37412.798751956601"/>
    <n v="134686.07550704401"/>
  </r>
  <r>
    <x v="0"/>
    <x v="0"/>
    <x v="0"/>
    <x v="9"/>
    <x v="20"/>
    <s v="SE4A"/>
    <x v="6"/>
    <x v="4"/>
    <s v="GNR_ROR_WTR"/>
    <x v="0"/>
    <x v="21"/>
    <n v="102.50081849851099"/>
    <n v="37412.798751956601"/>
    <n v="134686.07550704401"/>
  </r>
  <r>
    <x v="0"/>
    <x v="0"/>
    <x v="0"/>
    <x v="9"/>
    <x v="20"/>
    <s v="SE4A"/>
    <x v="6"/>
    <x v="4"/>
    <s v="GNR_ROR_WTR"/>
    <x v="0"/>
    <x v="22"/>
    <n v="102.50081849851099"/>
    <n v="37412.798751956601"/>
    <n v="134686.07550704401"/>
  </r>
  <r>
    <x v="0"/>
    <x v="0"/>
    <x v="0"/>
    <x v="9"/>
    <x v="20"/>
    <s v="SE4A"/>
    <x v="6"/>
    <x v="4"/>
    <s v="GNR_ROR_WTR"/>
    <x v="0"/>
    <x v="23"/>
    <n v="102.50081849851099"/>
    <n v="37412.798751956601"/>
    <n v="134686.07550704401"/>
  </r>
  <r>
    <x v="0"/>
    <x v="0"/>
    <x v="0"/>
    <x v="9"/>
    <x v="20"/>
    <s v="SE4A"/>
    <x v="7"/>
    <x v="5"/>
    <s v="GNR_WT_WIND_ONS"/>
    <x v="0"/>
    <x v="3"/>
    <n v="210.00501244287699"/>
    <n v="76651.829541650193"/>
    <n v="275946.58634994098"/>
  </r>
  <r>
    <x v="0"/>
    <x v="0"/>
    <x v="0"/>
    <x v="9"/>
    <x v="20"/>
    <s v="SE4A"/>
    <x v="7"/>
    <x v="5"/>
    <s v="GNR_WT_WIND_ONS"/>
    <x v="0"/>
    <x v="4"/>
    <n v="199.311168280972"/>
    <n v="72748.576422554805"/>
    <n v="261894.87512119699"/>
  </r>
  <r>
    <x v="0"/>
    <x v="0"/>
    <x v="0"/>
    <x v="9"/>
    <x v="20"/>
    <s v="SE4A"/>
    <x v="7"/>
    <x v="5"/>
    <s v="GNR_WT_WIND_ONS"/>
    <x v="0"/>
    <x v="5"/>
    <n v="189.13801045626099"/>
    <n v="69035.373816535197"/>
    <n v="248527.34573952699"/>
  </r>
  <r>
    <x v="0"/>
    <x v="0"/>
    <x v="0"/>
    <x v="9"/>
    <x v="20"/>
    <s v="SE4A"/>
    <x v="7"/>
    <x v="5"/>
    <s v="GNR_WT_WIND_ONS"/>
    <x v="0"/>
    <x v="6"/>
    <n v="179.12441692860301"/>
    <n v="65380.412178940198"/>
    <n v="235369.48384418499"/>
  </r>
  <r>
    <x v="0"/>
    <x v="0"/>
    <x v="0"/>
    <x v="9"/>
    <x v="20"/>
    <s v="SE4A"/>
    <x v="7"/>
    <x v="5"/>
    <s v="GNR_WT_WIND_ONS"/>
    <x v="0"/>
    <x v="7"/>
    <n v="147.713738355864"/>
    <n v="53915.514499890203"/>
    <n v="194095.852199605"/>
  </r>
  <r>
    <x v="0"/>
    <x v="0"/>
    <x v="0"/>
    <x v="9"/>
    <x v="20"/>
    <s v="SE4A"/>
    <x v="7"/>
    <x v="5"/>
    <s v="GNR_WT_WIND_ONS"/>
    <x v="0"/>
    <x v="8"/>
    <n v="136.203412954111"/>
    <n v="49714.245728250498"/>
    <n v="178971.28462170201"/>
  </r>
  <r>
    <x v="0"/>
    <x v="0"/>
    <x v="0"/>
    <x v="9"/>
    <x v="20"/>
    <s v="SE4A"/>
    <x v="7"/>
    <x v="5"/>
    <s v="GNR_WT_WIND_ONS"/>
    <x v="0"/>
    <x v="0"/>
    <n v="112.8691610396"/>
    <n v="41197.2437794539"/>
    <n v="148310.077606034"/>
  </r>
  <r>
    <x v="0"/>
    <x v="0"/>
    <x v="0"/>
    <x v="9"/>
    <x v="20"/>
    <s v="SE4A"/>
    <x v="7"/>
    <x v="5"/>
    <s v="GNR_WT_WIND_ONS"/>
    <x v="0"/>
    <x v="1"/>
    <n v="80.358898968112399"/>
    <n v="29330.998123361001"/>
    <n v="105591.5932441"/>
  </r>
  <r>
    <x v="0"/>
    <x v="0"/>
    <x v="0"/>
    <x v="9"/>
    <x v="20"/>
    <s v="SE4A"/>
    <x v="7"/>
    <x v="5"/>
    <s v="GNR_WT_WIND_ONS"/>
    <x v="0"/>
    <x v="2"/>
    <n v="64.708133936406199"/>
    <n v="23618.468886788301"/>
    <n v="85026.487992437804"/>
  </r>
  <r>
    <x v="0"/>
    <x v="0"/>
    <x v="0"/>
    <x v="9"/>
    <x v="20"/>
    <s v="SE4A"/>
    <x v="7"/>
    <x v="5"/>
    <s v="GNR_WT_WIND_ONS"/>
    <x v="0"/>
    <x v="9"/>
    <n v="68.032344276904695"/>
    <n v="24831.805661070201"/>
    <n v="89394.500379852805"/>
  </r>
  <r>
    <x v="0"/>
    <x v="0"/>
    <x v="0"/>
    <x v="9"/>
    <x v="20"/>
    <s v="SE4A"/>
    <x v="7"/>
    <x v="5"/>
    <s v="GNR_WT_WIND_ONS"/>
    <x v="0"/>
    <x v="10"/>
    <n v="63.623292106542898"/>
    <n v="23222.501618888102"/>
    <n v="83601.005827997302"/>
  </r>
  <r>
    <x v="0"/>
    <x v="0"/>
    <x v="0"/>
    <x v="9"/>
    <x v="20"/>
    <s v="SE4A"/>
    <x v="7"/>
    <x v="5"/>
    <s v="GNR_WT_WIND_ONS"/>
    <x v="0"/>
    <x v="11"/>
    <n v="66.379611404164706"/>
    <n v="24228.558162520101"/>
    <n v="87222.809385072396"/>
  </r>
  <r>
    <x v="0"/>
    <x v="0"/>
    <x v="0"/>
    <x v="9"/>
    <x v="20"/>
    <s v="SE4A"/>
    <x v="7"/>
    <x v="5"/>
    <s v="GNR_WT_WIND_ONS"/>
    <x v="0"/>
    <x v="12"/>
    <n v="74.687189692910806"/>
    <n v="27260.824237912399"/>
    <n v="98138.967256484801"/>
  </r>
  <r>
    <x v="0"/>
    <x v="0"/>
    <x v="0"/>
    <x v="9"/>
    <x v="20"/>
    <s v="SE4A"/>
    <x v="7"/>
    <x v="5"/>
    <s v="GNR_WT_WIND_ONS"/>
    <x v="0"/>
    <x v="13"/>
    <n v="87.505343305589193"/>
    <n v="31939.450306539999"/>
    <n v="114982.021103544"/>
  </r>
  <r>
    <x v="0"/>
    <x v="0"/>
    <x v="0"/>
    <x v="9"/>
    <x v="20"/>
    <s v="SE4A"/>
    <x v="7"/>
    <x v="5"/>
    <s v="GNR_WT_WIND_ONS"/>
    <x v="0"/>
    <x v="14"/>
    <n v="135.468231992451"/>
    <n v="49445.904677244704"/>
    <n v="178005.256838081"/>
  </r>
  <r>
    <x v="0"/>
    <x v="0"/>
    <x v="0"/>
    <x v="9"/>
    <x v="20"/>
    <s v="SE4A"/>
    <x v="7"/>
    <x v="5"/>
    <s v="GNR_WT_WIND_ONS"/>
    <x v="0"/>
    <x v="15"/>
    <n v="209.91291686164701"/>
    <n v="76618.214654501193"/>
    <n v="275825.572756204"/>
  </r>
  <r>
    <x v="0"/>
    <x v="0"/>
    <x v="0"/>
    <x v="9"/>
    <x v="20"/>
    <s v="SE4A"/>
    <x v="7"/>
    <x v="5"/>
    <s v="GNR_WT_WIND_ONS"/>
    <x v="0"/>
    <x v="16"/>
    <n v="322.23606026591602"/>
    <n v="117616.161997059"/>
    <n v="423418.18318941299"/>
  </r>
  <r>
    <x v="0"/>
    <x v="0"/>
    <x v="0"/>
    <x v="9"/>
    <x v="20"/>
    <s v="SE4A"/>
    <x v="7"/>
    <x v="5"/>
    <s v="GNR_WT_WIND_ONS"/>
    <x v="0"/>
    <x v="17"/>
    <n v="519.72459112731201"/>
    <n v="189699.47576146899"/>
    <n v="682918.11274128803"/>
  </r>
  <r>
    <x v="0"/>
    <x v="0"/>
    <x v="0"/>
    <x v="9"/>
    <x v="20"/>
    <s v="SE4A"/>
    <x v="7"/>
    <x v="5"/>
    <s v="GNR_WT_WIND_ONS"/>
    <x v="0"/>
    <x v="18"/>
    <n v="759.10603981563395"/>
    <n v="277073.704532706"/>
    <n v="997465.33631774294"/>
  </r>
  <r>
    <x v="0"/>
    <x v="0"/>
    <x v="0"/>
    <x v="9"/>
    <x v="20"/>
    <s v="SE4A"/>
    <x v="7"/>
    <x v="5"/>
    <s v="GNR_WT_WIND_ONS"/>
    <x v="0"/>
    <x v="19"/>
    <n v="845.481321337748"/>
    <n v="308600.68228827801"/>
    <n v="1110962.4562378"/>
  </r>
  <r>
    <x v="0"/>
    <x v="0"/>
    <x v="0"/>
    <x v="9"/>
    <x v="20"/>
    <s v="SE4A"/>
    <x v="7"/>
    <x v="5"/>
    <s v="GNR_WT_WIND_ONS"/>
    <x v="0"/>
    <x v="20"/>
    <n v="785.97916637598598"/>
    <n v="286882.39572723501"/>
    <n v="1032776.6246180499"/>
  </r>
  <r>
    <x v="0"/>
    <x v="0"/>
    <x v="0"/>
    <x v="9"/>
    <x v="20"/>
    <s v="SE4A"/>
    <x v="7"/>
    <x v="5"/>
    <s v="GNR_WT_WIND_ONS"/>
    <x v="0"/>
    <x v="21"/>
    <n v="745.56027660768302"/>
    <n v="272129.50096180401"/>
    <n v="979666.203462495"/>
  </r>
  <r>
    <x v="0"/>
    <x v="0"/>
    <x v="0"/>
    <x v="9"/>
    <x v="20"/>
    <s v="SE4A"/>
    <x v="7"/>
    <x v="5"/>
    <s v="GNR_WT_WIND_ONS"/>
    <x v="0"/>
    <x v="22"/>
    <n v="866.13156628821105"/>
    <n v="316138.02169519698"/>
    <n v="1138096.87810271"/>
  </r>
  <r>
    <x v="0"/>
    <x v="0"/>
    <x v="0"/>
    <x v="9"/>
    <x v="20"/>
    <s v="SE4A"/>
    <x v="7"/>
    <x v="5"/>
    <s v="GNR_WT_WIND_ONS"/>
    <x v="0"/>
    <x v="23"/>
    <n v="1053.33461572644"/>
    <n v="384467.13474015001"/>
    <n v="1384081.68506454"/>
  </r>
  <r>
    <x v="0"/>
    <x v="0"/>
    <x v="0"/>
    <x v="9"/>
    <x v="20"/>
    <s v="SE4A"/>
    <x v="11"/>
    <x v="1"/>
    <s v="GBPR_IND_BIO"/>
    <x v="0"/>
    <x v="3"/>
    <n v="258.89999999999998"/>
    <n v="94498.5"/>
    <n v="340194.6"/>
  </r>
  <r>
    <x v="0"/>
    <x v="0"/>
    <x v="0"/>
    <x v="9"/>
    <x v="20"/>
    <s v="SE4A"/>
    <x v="11"/>
    <x v="1"/>
    <s v="GBPR_IND_BIO"/>
    <x v="0"/>
    <x v="4"/>
    <n v="258.89999999999998"/>
    <n v="94498.5"/>
    <n v="340194.6"/>
  </r>
  <r>
    <x v="0"/>
    <x v="0"/>
    <x v="0"/>
    <x v="9"/>
    <x v="20"/>
    <s v="SE4A"/>
    <x v="11"/>
    <x v="1"/>
    <s v="GBPR_IND_BIO"/>
    <x v="0"/>
    <x v="5"/>
    <n v="258.89999999999998"/>
    <n v="94498.5"/>
    <n v="340194.6"/>
  </r>
  <r>
    <x v="0"/>
    <x v="0"/>
    <x v="0"/>
    <x v="9"/>
    <x v="20"/>
    <s v="SE4A"/>
    <x v="11"/>
    <x v="1"/>
    <s v="GBPR_IND_BIO"/>
    <x v="0"/>
    <x v="6"/>
    <n v="258.89999999999998"/>
    <n v="94498.5"/>
    <n v="340194.6"/>
  </r>
  <r>
    <x v="0"/>
    <x v="0"/>
    <x v="0"/>
    <x v="9"/>
    <x v="20"/>
    <s v="SE4A"/>
    <x v="11"/>
    <x v="1"/>
    <s v="GBPR_IND_BIO"/>
    <x v="0"/>
    <x v="7"/>
    <n v="258.89999999999998"/>
    <n v="94498.5"/>
    <n v="340194.6"/>
  </r>
  <r>
    <x v="0"/>
    <x v="0"/>
    <x v="0"/>
    <x v="9"/>
    <x v="20"/>
    <s v="SE4A"/>
    <x v="11"/>
    <x v="1"/>
    <s v="GBPR_IND_BIO"/>
    <x v="0"/>
    <x v="8"/>
    <n v="258.89999999999998"/>
    <n v="94498.5"/>
    <n v="340194.6"/>
  </r>
  <r>
    <x v="0"/>
    <x v="0"/>
    <x v="0"/>
    <x v="9"/>
    <x v="20"/>
    <s v="SE4A"/>
    <x v="11"/>
    <x v="1"/>
    <s v="GBPR_IND_BIO"/>
    <x v="0"/>
    <x v="0"/>
    <n v="258.89999999999998"/>
    <n v="94498.5"/>
    <n v="340194.6"/>
  </r>
  <r>
    <x v="0"/>
    <x v="0"/>
    <x v="0"/>
    <x v="9"/>
    <x v="20"/>
    <s v="SE4A"/>
    <x v="11"/>
    <x v="1"/>
    <s v="GBPR_IND_BIO"/>
    <x v="0"/>
    <x v="1"/>
    <n v="258.89999999999998"/>
    <n v="94498.5"/>
    <n v="340194.6"/>
  </r>
  <r>
    <x v="0"/>
    <x v="0"/>
    <x v="0"/>
    <x v="9"/>
    <x v="20"/>
    <s v="SE4A"/>
    <x v="11"/>
    <x v="1"/>
    <s v="GBPR_IND_BIO"/>
    <x v="0"/>
    <x v="2"/>
    <n v="258.89999999999998"/>
    <n v="94498.5"/>
    <n v="340194.6"/>
  </r>
  <r>
    <x v="0"/>
    <x v="0"/>
    <x v="0"/>
    <x v="9"/>
    <x v="20"/>
    <s v="SE4A"/>
    <x v="11"/>
    <x v="1"/>
    <s v="GBPR_IND_BIO"/>
    <x v="0"/>
    <x v="9"/>
    <n v="258.89999999999998"/>
    <n v="94498.5"/>
    <n v="340194.6"/>
  </r>
  <r>
    <x v="0"/>
    <x v="0"/>
    <x v="0"/>
    <x v="9"/>
    <x v="20"/>
    <s v="SE4A"/>
    <x v="11"/>
    <x v="1"/>
    <s v="GBPR_IND_BIO"/>
    <x v="0"/>
    <x v="10"/>
    <n v="258.89999999999998"/>
    <n v="94498.5"/>
    <n v="340194.6"/>
  </r>
  <r>
    <x v="0"/>
    <x v="0"/>
    <x v="0"/>
    <x v="9"/>
    <x v="20"/>
    <s v="SE4A"/>
    <x v="11"/>
    <x v="1"/>
    <s v="GBPR_IND_BIO"/>
    <x v="0"/>
    <x v="11"/>
    <n v="258.89999999999998"/>
    <n v="94498.5"/>
    <n v="340194.6"/>
  </r>
  <r>
    <x v="0"/>
    <x v="0"/>
    <x v="0"/>
    <x v="9"/>
    <x v="20"/>
    <s v="SE4A"/>
    <x v="11"/>
    <x v="1"/>
    <s v="GBPR_IND_BIO"/>
    <x v="0"/>
    <x v="12"/>
    <n v="258.89999999999998"/>
    <n v="94498.5"/>
    <n v="340194.6"/>
  </r>
  <r>
    <x v="0"/>
    <x v="0"/>
    <x v="0"/>
    <x v="9"/>
    <x v="20"/>
    <s v="SE4A"/>
    <x v="11"/>
    <x v="1"/>
    <s v="GBPR_IND_BIO"/>
    <x v="0"/>
    <x v="13"/>
    <n v="258.89999999999998"/>
    <n v="94498.5"/>
    <n v="340194.6"/>
  </r>
  <r>
    <x v="0"/>
    <x v="0"/>
    <x v="0"/>
    <x v="9"/>
    <x v="20"/>
    <s v="SE4A"/>
    <x v="11"/>
    <x v="1"/>
    <s v="GBPR_IND_BIO"/>
    <x v="0"/>
    <x v="14"/>
    <n v="258.89999999999998"/>
    <n v="94498.5"/>
    <n v="340194.6"/>
  </r>
  <r>
    <x v="0"/>
    <x v="0"/>
    <x v="0"/>
    <x v="9"/>
    <x v="20"/>
    <s v="SE4A"/>
    <x v="11"/>
    <x v="1"/>
    <s v="GBPR_IND_BIO"/>
    <x v="0"/>
    <x v="15"/>
    <n v="258.89999999999998"/>
    <n v="94498.5"/>
    <n v="340194.6"/>
  </r>
  <r>
    <x v="0"/>
    <x v="0"/>
    <x v="0"/>
    <x v="9"/>
    <x v="20"/>
    <s v="SE4A"/>
    <x v="11"/>
    <x v="1"/>
    <s v="GBPR_IND_BIO"/>
    <x v="0"/>
    <x v="16"/>
    <n v="258.89999999999998"/>
    <n v="94498.5"/>
    <n v="340194.6"/>
  </r>
  <r>
    <x v="0"/>
    <x v="0"/>
    <x v="0"/>
    <x v="9"/>
    <x v="20"/>
    <s v="SE4A"/>
    <x v="11"/>
    <x v="1"/>
    <s v="GBPR_IND_BIO"/>
    <x v="0"/>
    <x v="17"/>
    <n v="258.89999999999998"/>
    <n v="94498.5"/>
    <n v="340194.6"/>
  </r>
  <r>
    <x v="0"/>
    <x v="0"/>
    <x v="0"/>
    <x v="9"/>
    <x v="20"/>
    <s v="SE4A"/>
    <x v="11"/>
    <x v="1"/>
    <s v="GBPR_IND_BIO"/>
    <x v="0"/>
    <x v="18"/>
    <n v="258.89999999999998"/>
    <n v="94498.5"/>
    <n v="340194.6"/>
  </r>
  <r>
    <x v="0"/>
    <x v="0"/>
    <x v="0"/>
    <x v="9"/>
    <x v="20"/>
    <s v="SE4A"/>
    <x v="11"/>
    <x v="1"/>
    <s v="GBPR_IND_BIO"/>
    <x v="0"/>
    <x v="19"/>
    <n v="258.89999999999998"/>
    <n v="94498.5"/>
    <n v="340194.6"/>
  </r>
  <r>
    <x v="0"/>
    <x v="0"/>
    <x v="0"/>
    <x v="9"/>
    <x v="20"/>
    <s v="SE4A"/>
    <x v="11"/>
    <x v="1"/>
    <s v="GBPR_IND_BIO"/>
    <x v="0"/>
    <x v="20"/>
    <n v="258.89999999999998"/>
    <n v="94498.5"/>
    <n v="340194.6"/>
  </r>
  <r>
    <x v="0"/>
    <x v="0"/>
    <x v="0"/>
    <x v="9"/>
    <x v="20"/>
    <s v="SE4A"/>
    <x v="11"/>
    <x v="1"/>
    <s v="GBPR_IND_BIO"/>
    <x v="0"/>
    <x v="21"/>
    <n v="258.89999999999998"/>
    <n v="94498.5"/>
    <n v="340194.6"/>
  </r>
  <r>
    <x v="0"/>
    <x v="0"/>
    <x v="0"/>
    <x v="9"/>
    <x v="20"/>
    <s v="SE4A"/>
    <x v="11"/>
    <x v="1"/>
    <s v="GBPR_IND_BIO"/>
    <x v="0"/>
    <x v="22"/>
    <n v="258.89999999999998"/>
    <n v="94498.5"/>
    <n v="340194.6"/>
  </r>
  <r>
    <x v="0"/>
    <x v="0"/>
    <x v="0"/>
    <x v="9"/>
    <x v="20"/>
    <s v="SE4_EL"/>
    <x v="14"/>
    <x v="6"/>
    <s v="GETOH_HEATPUMP1"/>
    <x v="0"/>
    <x v="8"/>
    <n v="-0.142548988846604"/>
    <n v="-52.030380929010597"/>
    <n v="-187.30937134443801"/>
  </r>
  <r>
    <x v="0"/>
    <x v="0"/>
    <x v="0"/>
    <x v="9"/>
    <x v="20"/>
    <s v="SE4_EL"/>
    <x v="19"/>
    <x v="1"/>
    <s v="GBPR_RECYCLEDWOOD"/>
    <x v="0"/>
    <x v="3"/>
    <n v="24.0457040261917"/>
    <n v="8776.6819695599697"/>
    <n v="31596.055090415899"/>
  </r>
  <r>
    <x v="0"/>
    <x v="0"/>
    <x v="0"/>
    <x v="9"/>
    <x v="20"/>
    <s v="SE4_EL"/>
    <x v="19"/>
    <x v="1"/>
    <s v="GBPR_RECYCLEDWOOD"/>
    <x v="0"/>
    <x v="4"/>
    <n v="24.0457040261917"/>
    <n v="8776.6819695599697"/>
    <n v="31596.055090415899"/>
  </r>
  <r>
    <x v="0"/>
    <x v="0"/>
    <x v="0"/>
    <x v="9"/>
    <x v="20"/>
    <s v="SE4_EL"/>
    <x v="19"/>
    <x v="1"/>
    <s v="GBPR_RECYCLEDWOOD"/>
    <x v="0"/>
    <x v="5"/>
    <n v="24.0457040261917"/>
    <n v="8776.6819695599697"/>
    <n v="31596.055090415899"/>
  </r>
  <r>
    <x v="0"/>
    <x v="0"/>
    <x v="0"/>
    <x v="9"/>
    <x v="20"/>
    <s v="SE4_EL"/>
    <x v="19"/>
    <x v="1"/>
    <s v="GBPR_RECYCLEDWOOD"/>
    <x v="0"/>
    <x v="6"/>
    <n v="24.0457040261917"/>
    <n v="8776.6819695599697"/>
    <n v="31596.055090415899"/>
  </r>
  <r>
    <x v="0"/>
    <x v="0"/>
    <x v="0"/>
    <x v="9"/>
    <x v="20"/>
    <s v="SE4_EL"/>
    <x v="19"/>
    <x v="1"/>
    <s v="GBPR_RECYCLEDWOOD"/>
    <x v="0"/>
    <x v="7"/>
    <n v="24.0457040261917"/>
    <n v="8776.6819695599697"/>
    <n v="31596.055090415899"/>
  </r>
  <r>
    <x v="0"/>
    <x v="0"/>
    <x v="0"/>
    <x v="9"/>
    <x v="20"/>
    <s v="SE4_EL"/>
    <x v="19"/>
    <x v="1"/>
    <s v="GBPR_RECYCLEDWOOD"/>
    <x v="0"/>
    <x v="8"/>
    <n v="24.0457040261917"/>
    <n v="8776.6819695599697"/>
    <n v="31596.055090415899"/>
  </r>
  <r>
    <x v="0"/>
    <x v="0"/>
    <x v="0"/>
    <x v="9"/>
    <x v="20"/>
    <s v="SE4_EL"/>
    <x v="19"/>
    <x v="1"/>
    <s v="GBPR_RECYCLEDWOOD"/>
    <x v="0"/>
    <x v="0"/>
    <n v="24.0457040261917"/>
    <n v="8776.6819695599697"/>
    <n v="31596.055090415899"/>
  </r>
  <r>
    <x v="0"/>
    <x v="0"/>
    <x v="0"/>
    <x v="9"/>
    <x v="20"/>
    <s v="SE4_EL"/>
    <x v="19"/>
    <x v="1"/>
    <s v="GBPR_RECYCLEDWOOD"/>
    <x v="0"/>
    <x v="1"/>
    <n v="24.0457040261917"/>
    <n v="8776.6819695599697"/>
    <n v="31596.055090415899"/>
  </r>
  <r>
    <x v="0"/>
    <x v="0"/>
    <x v="0"/>
    <x v="9"/>
    <x v="20"/>
    <s v="SE4_EL"/>
    <x v="19"/>
    <x v="1"/>
    <s v="GBPR_RECYCLEDWOOD"/>
    <x v="0"/>
    <x v="2"/>
    <n v="24.0457040261917"/>
    <n v="8776.6819695599697"/>
    <n v="31596.055090415899"/>
  </r>
  <r>
    <x v="0"/>
    <x v="0"/>
    <x v="0"/>
    <x v="9"/>
    <x v="20"/>
    <s v="SE4_EL"/>
    <x v="19"/>
    <x v="1"/>
    <s v="GBPR_RECYCLEDWOOD"/>
    <x v="0"/>
    <x v="9"/>
    <n v="24.0457040261917"/>
    <n v="8776.6819695599697"/>
    <n v="31596.055090415899"/>
  </r>
  <r>
    <x v="0"/>
    <x v="0"/>
    <x v="0"/>
    <x v="9"/>
    <x v="20"/>
    <s v="SE4_EL"/>
    <x v="19"/>
    <x v="1"/>
    <s v="GBPR_RECYCLEDWOOD"/>
    <x v="0"/>
    <x v="10"/>
    <n v="24.0457040261917"/>
    <n v="8776.6819695599697"/>
    <n v="31596.055090415899"/>
  </r>
  <r>
    <x v="0"/>
    <x v="0"/>
    <x v="0"/>
    <x v="9"/>
    <x v="20"/>
    <s v="SE4_EL"/>
    <x v="19"/>
    <x v="1"/>
    <s v="GBPR_RECYCLEDWOOD"/>
    <x v="0"/>
    <x v="11"/>
    <n v="24.0457040261917"/>
    <n v="8776.6819695599697"/>
    <n v="31596.055090415899"/>
  </r>
  <r>
    <x v="0"/>
    <x v="0"/>
    <x v="0"/>
    <x v="9"/>
    <x v="20"/>
    <s v="SE4_EL"/>
    <x v="19"/>
    <x v="1"/>
    <s v="GBPR_RECYCLEDWOOD"/>
    <x v="0"/>
    <x v="12"/>
    <n v="24.0457040261917"/>
    <n v="8776.6819695599697"/>
    <n v="31596.055090415899"/>
  </r>
  <r>
    <x v="0"/>
    <x v="0"/>
    <x v="0"/>
    <x v="9"/>
    <x v="20"/>
    <s v="SE4_EL"/>
    <x v="19"/>
    <x v="1"/>
    <s v="GBPR_RECYCLEDWOOD"/>
    <x v="0"/>
    <x v="13"/>
    <n v="24.0457040261917"/>
    <n v="8776.6819695599697"/>
    <n v="31596.055090415899"/>
  </r>
  <r>
    <x v="0"/>
    <x v="0"/>
    <x v="0"/>
    <x v="9"/>
    <x v="20"/>
    <s v="SE4_EL"/>
    <x v="19"/>
    <x v="1"/>
    <s v="GBPR_RECYCLEDWOOD"/>
    <x v="0"/>
    <x v="14"/>
    <n v="24.0457040261917"/>
    <n v="8776.6819695599697"/>
    <n v="31596.055090415899"/>
  </r>
  <r>
    <x v="0"/>
    <x v="0"/>
    <x v="0"/>
    <x v="9"/>
    <x v="20"/>
    <s v="SE4_EL"/>
    <x v="19"/>
    <x v="1"/>
    <s v="GBPR_RECYCLEDWOOD"/>
    <x v="0"/>
    <x v="15"/>
    <n v="24.0457040261917"/>
    <n v="8776.6819695599697"/>
    <n v="31596.055090415899"/>
  </r>
  <r>
    <x v="0"/>
    <x v="0"/>
    <x v="0"/>
    <x v="9"/>
    <x v="20"/>
    <s v="SE4_EL"/>
    <x v="19"/>
    <x v="1"/>
    <s v="GBPR_RECYCLEDWOOD"/>
    <x v="0"/>
    <x v="16"/>
    <n v="24.0457040261917"/>
    <n v="8776.6819695599697"/>
    <n v="31596.055090415899"/>
  </r>
  <r>
    <x v="0"/>
    <x v="0"/>
    <x v="0"/>
    <x v="9"/>
    <x v="20"/>
    <s v="SE4_EL"/>
    <x v="19"/>
    <x v="1"/>
    <s v="GBPR_RECYCLEDWOOD"/>
    <x v="0"/>
    <x v="17"/>
    <n v="24.0457040261917"/>
    <n v="8776.6819695599697"/>
    <n v="31596.055090415899"/>
  </r>
  <r>
    <x v="0"/>
    <x v="0"/>
    <x v="0"/>
    <x v="9"/>
    <x v="20"/>
    <s v="SE4_EL"/>
    <x v="19"/>
    <x v="1"/>
    <s v="GBPR_RECYCLEDWOOD"/>
    <x v="0"/>
    <x v="18"/>
    <n v="24.0457040261917"/>
    <n v="8776.6819695599697"/>
    <n v="31596.055090415899"/>
  </r>
  <r>
    <x v="0"/>
    <x v="0"/>
    <x v="0"/>
    <x v="9"/>
    <x v="20"/>
    <s v="SE4_EL"/>
    <x v="19"/>
    <x v="1"/>
    <s v="GBPR_RECYCLEDWOOD"/>
    <x v="0"/>
    <x v="19"/>
    <n v="24.0457040261917"/>
    <n v="8776.6819695599697"/>
    <n v="31596.055090415899"/>
  </r>
  <r>
    <x v="0"/>
    <x v="0"/>
    <x v="0"/>
    <x v="9"/>
    <x v="20"/>
    <s v="SE4_EL"/>
    <x v="19"/>
    <x v="1"/>
    <s v="GBPR_RECYCLEDWOOD"/>
    <x v="0"/>
    <x v="20"/>
    <n v="24.0457040261917"/>
    <n v="8776.6819695599697"/>
    <n v="31596.055090415899"/>
  </r>
  <r>
    <x v="0"/>
    <x v="0"/>
    <x v="0"/>
    <x v="9"/>
    <x v="20"/>
    <s v="SE4_EL"/>
    <x v="19"/>
    <x v="1"/>
    <s v="GBPR_RECYCLEDWOOD"/>
    <x v="0"/>
    <x v="21"/>
    <n v="24.0457040261917"/>
    <n v="8776.6819695599697"/>
    <n v="31596.055090415899"/>
  </r>
  <r>
    <x v="0"/>
    <x v="0"/>
    <x v="0"/>
    <x v="9"/>
    <x v="20"/>
    <s v="SE4_EL"/>
    <x v="19"/>
    <x v="1"/>
    <s v="GBPR_RECYCLEDWOOD"/>
    <x v="0"/>
    <x v="22"/>
    <n v="24.0457040261917"/>
    <n v="8776.6819695599697"/>
    <n v="31596.055090415899"/>
  </r>
  <r>
    <x v="0"/>
    <x v="0"/>
    <x v="0"/>
    <x v="9"/>
    <x v="20"/>
    <s v="SE4_EL"/>
    <x v="19"/>
    <x v="1"/>
    <s v="GBPR_RECYCLEDWOOD"/>
    <x v="0"/>
    <x v="23"/>
    <n v="24.0457040261917"/>
    <n v="8776.6819695599697"/>
    <n v="31596.055090415899"/>
  </r>
  <r>
    <x v="0"/>
    <x v="0"/>
    <x v="0"/>
    <x v="9"/>
    <x v="20"/>
    <s v="SE4_EL"/>
    <x v="19"/>
    <x v="1"/>
    <s v="GBPR_RECYCLEDWOOD_SE4EL"/>
    <x v="0"/>
    <x v="3"/>
    <n v="2.4982549637601799"/>
    <n v="911.86306177246399"/>
    <n v="3282.7070223808701"/>
  </r>
  <r>
    <x v="0"/>
    <x v="0"/>
    <x v="0"/>
    <x v="9"/>
    <x v="20"/>
    <s v="SE4_EL"/>
    <x v="19"/>
    <x v="1"/>
    <s v="GBPR_RECYCLEDWOOD_SE4EL"/>
    <x v="0"/>
    <x v="4"/>
    <n v="2.4982549637601799"/>
    <n v="911.86306177246399"/>
    <n v="3282.7070223808701"/>
  </r>
  <r>
    <x v="0"/>
    <x v="0"/>
    <x v="0"/>
    <x v="9"/>
    <x v="20"/>
    <s v="SE4_EL"/>
    <x v="19"/>
    <x v="1"/>
    <s v="GBPR_RECYCLEDWOOD_SE4EL"/>
    <x v="0"/>
    <x v="5"/>
    <n v="2.4982549637601799"/>
    <n v="911.86306177246399"/>
    <n v="3282.7070223808701"/>
  </r>
  <r>
    <x v="0"/>
    <x v="0"/>
    <x v="0"/>
    <x v="9"/>
    <x v="20"/>
    <s v="SE4_EL"/>
    <x v="19"/>
    <x v="1"/>
    <s v="GBPR_RECYCLEDWOOD_SE4EL"/>
    <x v="0"/>
    <x v="6"/>
    <n v="2.4982549637601799"/>
    <n v="911.86306177246399"/>
    <n v="3282.7070223808701"/>
  </r>
  <r>
    <x v="0"/>
    <x v="0"/>
    <x v="0"/>
    <x v="9"/>
    <x v="20"/>
    <s v="SE4_EL"/>
    <x v="19"/>
    <x v="1"/>
    <s v="GBPR_RECYCLEDWOOD_SE4EL"/>
    <x v="0"/>
    <x v="7"/>
    <n v="2.4982549637601799"/>
    <n v="911.86306177246399"/>
    <n v="3282.7070223808701"/>
  </r>
  <r>
    <x v="0"/>
    <x v="0"/>
    <x v="0"/>
    <x v="9"/>
    <x v="20"/>
    <s v="SE4_EL"/>
    <x v="19"/>
    <x v="1"/>
    <s v="GBPR_RECYCLEDWOOD_SE4EL"/>
    <x v="0"/>
    <x v="8"/>
    <n v="2.4982549637601799"/>
    <n v="911.86306177246399"/>
    <n v="3282.7070223808701"/>
  </r>
  <r>
    <x v="0"/>
    <x v="0"/>
    <x v="0"/>
    <x v="9"/>
    <x v="20"/>
    <s v="SE4_EL"/>
    <x v="19"/>
    <x v="1"/>
    <s v="GBPR_RECYCLEDWOOD_SE4EL"/>
    <x v="0"/>
    <x v="0"/>
    <n v="2.4982549637601799"/>
    <n v="911.86306177246399"/>
    <n v="3282.7070223808701"/>
  </r>
  <r>
    <x v="0"/>
    <x v="0"/>
    <x v="0"/>
    <x v="9"/>
    <x v="20"/>
    <s v="SE4_EL"/>
    <x v="19"/>
    <x v="1"/>
    <s v="GBPR_RECYCLEDWOOD_SE4EL"/>
    <x v="0"/>
    <x v="1"/>
    <n v="2.4982549637601799"/>
    <n v="911.86306177246399"/>
    <n v="3282.7070223808701"/>
  </r>
  <r>
    <x v="0"/>
    <x v="0"/>
    <x v="0"/>
    <x v="9"/>
    <x v="20"/>
    <s v="SE4_EL"/>
    <x v="19"/>
    <x v="1"/>
    <s v="GBPR_RECYCLEDWOOD_SE4EL"/>
    <x v="0"/>
    <x v="2"/>
    <n v="2.4982549637601799"/>
    <n v="911.86306177246399"/>
    <n v="3282.7070223808701"/>
  </r>
  <r>
    <x v="0"/>
    <x v="0"/>
    <x v="0"/>
    <x v="9"/>
    <x v="20"/>
    <s v="SE4_EL"/>
    <x v="19"/>
    <x v="1"/>
    <s v="GBPR_RECYCLEDWOOD_SE4EL"/>
    <x v="0"/>
    <x v="9"/>
    <n v="2.4982549637601799"/>
    <n v="911.86306177246399"/>
    <n v="3282.7070223808701"/>
  </r>
  <r>
    <x v="0"/>
    <x v="0"/>
    <x v="0"/>
    <x v="9"/>
    <x v="20"/>
    <s v="SE4_EL"/>
    <x v="19"/>
    <x v="1"/>
    <s v="GBPR_RECYCLEDWOOD_SE4EL"/>
    <x v="0"/>
    <x v="10"/>
    <n v="2.4982549637601799"/>
    <n v="911.86306177246399"/>
    <n v="3282.7070223808701"/>
  </r>
  <r>
    <x v="0"/>
    <x v="0"/>
    <x v="0"/>
    <x v="9"/>
    <x v="20"/>
    <s v="SE4_EL"/>
    <x v="19"/>
    <x v="1"/>
    <s v="GBPR_RECYCLEDWOOD_SE4EL"/>
    <x v="0"/>
    <x v="11"/>
    <n v="2.4982549637601799"/>
    <n v="911.86306177246399"/>
    <n v="3282.7070223808701"/>
  </r>
  <r>
    <x v="0"/>
    <x v="0"/>
    <x v="0"/>
    <x v="9"/>
    <x v="20"/>
    <s v="SE4_EL"/>
    <x v="19"/>
    <x v="1"/>
    <s v="GBPR_RECYCLEDWOOD_SE4EL"/>
    <x v="0"/>
    <x v="12"/>
    <n v="2.4982549637601799"/>
    <n v="911.86306177246399"/>
    <n v="3282.7070223808701"/>
  </r>
  <r>
    <x v="0"/>
    <x v="0"/>
    <x v="0"/>
    <x v="9"/>
    <x v="20"/>
    <s v="SE4_EL"/>
    <x v="19"/>
    <x v="1"/>
    <s v="GBPR_RECYCLEDWOOD_SE4EL"/>
    <x v="0"/>
    <x v="13"/>
    <n v="2.4982549637601799"/>
    <n v="911.86306177246399"/>
    <n v="3282.7070223808701"/>
  </r>
  <r>
    <x v="0"/>
    <x v="0"/>
    <x v="0"/>
    <x v="9"/>
    <x v="20"/>
    <s v="SE4_EL"/>
    <x v="19"/>
    <x v="1"/>
    <s v="GBPR_RECYCLEDWOOD_SE4EL"/>
    <x v="0"/>
    <x v="14"/>
    <n v="2.4982549637601799"/>
    <n v="911.86306177246399"/>
    <n v="3282.7070223808701"/>
  </r>
  <r>
    <x v="0"/>
    <x v="0"/>
    <x v="0"/>
    <x v="9"/>
    <x v="20"/>
    <s v="SE4_EL"/>
    <x v="19"/>
    <x v="1"/>
    <s v="GBPR_RECYCLEDWOOD_SE4EL"/>
    <x v="0"/>
    <x v="15"/>
    <n v="2.4982549637601799"/>
    <n v="911.86306177246399"/>
    <n v="3282.7070223808701"/>
  </r>
  <r>
    <x v="0"/>
    <x v="0"/>
    <x v="0"/>
    <x v="9"/>
    <x v="20"/>
    <s v="SE4_EL"/>
    <x v="19"/>
    <x v="1"/>
    <s v="GBPR_RECYCLEDWOOD_SE4EL"/>
    <x v="0"/>
    <x v="16"/>
    <n v="2.4982549637601799"/>
    <n v="911.86306177246399"/>
    <n v="3282.7070223808701"/>
  </r>
  <r>
    <x v="0"/>
    <x v="0"/>
    <x v="0"/>
    <x v="9"/>
    <x v="20"/>
    <s v="SE4_EL"/>
    <x v="19"/>
    <x v="1"/>
    <s v="GBPR_RECYCLEDWOOD_SE4EL"/>
    <x v="0"/>
    <x v="17"/>
    <n v="2.4982549637601799"/>
    <n v="911.86306177246399"/>
    <n v="3282.7070223808701"/>
  </r>
  <r>
    <x v="0"/>
    <x v="0"/>
    <x v="0"/>
    <x v="9"/>
    <x v="20"/>
    <s v="SE4_EL"/>
    <x v="19"/>
    <x v="1"/>
    <s v="GBPR_RECYCLEDWOOD_SE4EL"/>
    <x v="0"/>
    <x v="18"/>
    <n v="2.4982549637601799"/>
    <n v="911.86306177246399"/>
    <n v="3282.7070223808701"/>
  </r>
  <r>
    <x v="0"/>
    <x v="0"/>
    <x v="0"/>
    <x v="9"/>
    <x v="20"/>
    <s v="SE4_EL"/>
    <x v="19"/>
    <x v="1"/>
    <s v="GBPR_RECYCLEDWOOD_SE4EL"/>
    <x v="0"/>
    <x v="19"/>
    <n v="2.4982549637601799"/>
    <n v="911.86306177246399"/>
    <n v="3282.7070223808701"/>
  </r>
  <r>
    <x v="0"/>
    <x v="0"/>
    <x v="0"/>
    <x v="9"/>
    <x v="20"/>
    <s v="SE4_EL"/>
    <x v="19"/>
    <x v="1"/>
    <s v="GBPR_RECYCLEDWOOD_SE4EL"/>
    <x v="0"/>
    <x v="20"/>
    <n v="2.4982549637601799"/>
    <n v="911.86306177246399"/>
    <n v="3282.7070223808701"/>
  </r>
  <r>
    <x v="0"/>
    <x v="0"/>
    <x v="0"/>
    <x v="9"/>
    <x v="20"/>
    <s v="SE4_EL"/>
    <x v="19"/>
    <x v="1"/>
    <s v="GBPR_RECYCLEDWOOD_SE4EL"/>
    <x v="0"/>
    <x v="21"/>
    <n v="2.4982549637601799"/>
    <n v="911.86306177246399"/>
    <n v="3282.7070223808701"/>
  </r>
  <r>
    <x v="0"/>
    <x v="0"/>
    <x v="0"/>
    <x v="9"/>
    <x v="20"/>
    <s v="SE4_EL"/>
    <x v="19"/>
    <x v="1"/>
    <s v="GBPR_RECYCLEDWOOD_SE4EL"/>
    <x v="0"/>
    <x v="22"/>
    <n v="2.4982549637601799"/>
    <n v="911.86306177246399"/>
    <n v="3282.7070223808701"/>
  </r>
  <r>
    <x v="0"/>
    <x v="0"/>
    <x v="0"/>
    <x v="9"/>
    <x v="20"/>
    <s v="SE4_EL"/>
    <x v="19"/>
    <x v="1"/>
    <s v="GBPR_RECYCLEDWOOD_SE4EL"/>
    <x v="0"/>
    <x v="23"/>
    <n v="2.4982549637601799"/>
    <n v="911.86306177246399"/>
    <n v="3282.7070223808701"/>
  </r>
  <r>
    <x v="0"/>
    <x v="0"/>
    <x v="0"/>
    <x v="9"/>
    <x v="20"/>
    <s v="SE4_HP"/>
    <x v="1"/>
    <x v="1"/>
    <s v="GBPR_MUNIWASTE_65"/>
    <x v="0"/>
    <x v="3"/>
    <n v="18"/>
    <n v="6570"/>
    <n v="23652"/>
  </r>
  <r>
    <x v="0"/>
    <x v="0"/>
    <x v="0"/>
    <x v="9"/>
    <x v="20"/>
    <s v="SE4_HP"/>
    <x v="1"/>
    <x v="1"/>
    <s v="GBPR_MUNIWASTE_65"/>
    <x v="0"/>
    <x v="4"/>
    <n v="18"/>
    <n v="6570"/>
    <n v="23652"/>
  </r>
  <r>
    <x v="0"/>
    <x v="0"/>
    <x v="0"/>
    <x v="9"/>
    <x v="20"/>
    <s v="SE4_HP"/>
    <x v="1"/>
    <x v="1"/>
    <s v="GBPR_MUNIWASTE_65"/>
    <x v="0"/>
    <x v="5"/>
    <n v="18"/>
    <n v="6570"/>
    <n v="23652"/>
  </r>
  <r>
    <x v="0"/>
    <x v="0"/>
    <x v="0"/>
    <x v="9"/>
    <x v="20"/>
    <s v="SE4_HP"/>
    <x v="1"/>
    <x v="1"/>
    <s v="GBPR_MUNIWASTE_65"/>
    <x v="0"/>
    <x v="6"/>
    <n v="18"/>
    <n v="6570"/>
    <n v="23652"/>
  </r>
  <r>
    <x v="0"/>
    <x v="0"/>
    <x v="0"/>
    <x v="9"/>
    <x v="20"/>
    <s v="SE4_HP"/>
    <x v="1"/>
    <x v="1"/>
    <s v="GBPR_MUNIWASTE_65"/>
    <x v="0"/>
    <x v="7"/>
    <n v="18"/>
    <n v="6570"/>
    <n v="23652"/>
  </r>
  <r>
    <x v="0"/>
    <x v="0"/>
    <x v="0"/>
    <x v="9"/>
    <x v="20"/>
    <s v="SE4_HP"/>
    <x v="1"/>
    <x v="1"/>
    <s v="GBPR_MUNIWASTE_65"/>
    <x v="0"/>
    <x v="8"/>
    <n v="18"/>
    <n v="6570"/>
    <n v="23652"/>
  </r>
  <r>
    <x v="0"/>
    <x v="0"/>
    <x v="0"/>
    <x v="9"/>
    <x v="20"/>
    <s v="SE4_HP"/>
    <x v="1"/>
    <x v="1"/>
    <s v="GBPR_MUNIWASTE_65"/>
    <x v="0"/>
    <x v="0"/>
    <n v="18"/>
    <n v="6570"/>
    <n v="23652"/>
  </r>
  <r>
    <x v="0"/>
    <x v="0"/>
    <x v="0"/>
    <x v="9"/>
    <x v="20"/>
    <s v="SE4_HP"/>
    <x v="1"/>
    <x v="1"/>
    <s v="GBPR_MUNIWASTE_65"/>
    <x v="0"/>
    <x v="1"/>
    <n v="18"/>
    <n v="6570"/>
    <n v="23652"/>
  </r>
  <r>
    <x v="0"/>
    <x v="0"/>
    <x v="0"/>
    <x v="9"/>
    <x v="20"/>
    <s v="SE4_HP"/>
    <x v="1"/>
    <x v="1"/>
    <s v="GBPR_MUNIWASTE_65"/>
    <x v="0"/>
    <x v="2"/>
    <n v="18"/>
    <n v="6570"/>
    <n v="23652"/>
  </r>
  <r>
    <x v="0"/>
    <x v="0"/>
    <x v="0"/>
    <x v="9"/>
    <x v="20"/>
    <s v="SE4_HP"/>
    <x v="1"/>
    <x v="1"/>
    <s v="GBPR_MUNIWASTE_65"/>
    <x v="0"/>
    <x v="9"/>
    <n v="18"/>
    <n v="6570"/>
    <n v="23652"/>
  </r>
  <r>
    <x v="0"/>
    <x v="0"/>
    <x v="0"/>
    <x v="9"/>
    <x v="20"/>
    <s v="SE4_HP"/>
    <x v="1"/>
    <x v="1"/>
    <s v="GBPR_MUNIWASTE_65"/>
    <x v="0"/>
    <x v="10"/>
    <n v="18"/>
    <n v="6570"/>
    <n v="23652"/>
  </r>
  <r>
    <x v="0"/>
    <x v="0"/>
    <x v="0"/>
    <x v="9"/>
    <x v="20"/>
    <s v="SE4_HP"/>
    <x v="1"/>
    <x v="1"/>
    <s v="GBPR_MUNIWASTE_65"/>
    <x v="0"/>
    <x v="11"/>
    <n v="18"/>
    <n v="6570"/>
    <n v="23652"/>
  </r>
  <r>
    <x v="0"/>
    <x v="0"/>
    <x v="0"/>
    <x v="9"/>
    <x v="20"/>
    <s v="SE4_HP"/>
    <x v="1"/>
    <x v="1"/>
    <s v="GBPR_MUNIWASTE_65"/>
    <x v="0"/>
    <x v="12"/>
    <n v="18"/>
    <n v="6570"/>
    <n v="23652"/>
  </r>
  <r>
    <x v="0"/>
    <x v="0"/>
    <x v="0"/>
    <x v="9"/>
    <x v="20"/>
    <s v="SE4_HP"/>
    <x v="1"/>
    <x v="1"/>
    <s v="GBPR_MUNIWASTE_65"/>
    <x v="0"/>
    <x v="13"/>
    <n v="18"/>
    <n v="6570"/>
    <n v="23652"/>
  </r>
  <r>
    <x v="0"/>
    <x v="0"/>
    <x v="0"/>
    <x v="9"/>
    <x v="20"/>
    <s v="SE4_HP"/>
    <x v="1"/>
    <x v="1"/>
    <s v="GBPR_MUNIWASTE_65"/>
    <x v="0"/>
    <x v="14"/>
    <n v="18"/>
    <n v="6570"/>
    <n v="23652"/>
  </r>
  <r>
    <x v="0"/>
    <x v="0"/>
    <x v="0"/>
    <x v="9"/>
    <x v="20"/>
    <s v="SE4_HP"/>
    <x v="1"/>
    <x v="1"/>
    <s v="GBPR_MUNIWASTE_65"/>
    <x v="0"/>
    <x v="15"/>
    <n v="18"/>
    <n v="6570"/>
    <n v="23652"/>
  </r>
  <r>
    <x v="0"/>
    <x v="0"/>
    <x v="0"/>
    <x v="9"/>
    <x v="20"/>
    <s v="SE4_HP"/>
    <x v="1"/>
    <x v="1"/>
    <s v="GBPR_MUNIWASTE_65"/>
    <x v="0"/>
    <x v="16"/>
    <n v="18"/>
    <n v="6570"/>
    <n v="23652"/>
  </r>
  <r>
    <x v="0"/>
    <x v="0"/>
    <x v="0"/>
    <x v="9"/>
    <x v="20"/>
    <s v="SE4_HP"/>
    <x v="1"/>
    <x v="1"/>
    <s v="GBPR_MUNIWASTE_65"/>
    <x v="0"/>
    <x v="17"/>
    <n v="18"/>
    <n v="6570"/>
    <n v="23652"/>
  </r>
  <r>
    <x v="0"/>
    <x v="0"/>
    <x v="0"/>
    <x v="9"/>
    <x v="20"/>
    <s v="SE4_HP"/>
    <x v="1"/>
    <x v="1"/>
    <s v="GBPR_MUNIWASTE_65"/>
    <x v="0"/>
    <x v="18"/>
    <n v="18"/>
    <n v="6570"/>
    <n v="23652"/>
  </r>
  <r>
    <x v="0"/>
    <x v="0"/>
    <x v="0"/>
    <x v="9"/>
    <x v="20"/>
    <s v="SE4_HP"/>
    <x v="1"/>
    <x v="1"/>
    <s v="GBPR_MUNIWASTE_65"/>
    <x v="0"/>
    <x v="19"/>
    <n v="18"/>
    <n v="6570"/>
    <n v="23652"/>
  </r>
  <r>
    <x v="0"/>
    <x v="0"/>
    <x v="0"/>
    <x v="9"/>
    <x v="20"/>
    <s v="SE4_HP"/>
    <x v="1"/>
    <x v="1"/>
    <s v="GBPR_MUNIWASTE_65"/>
    <x v="0"/>
    <x v="20"/>
    <n v="18"/>
    <n v="6570"/>
    <n v="23652"/>
  </r>
  <r>
    <x v="0"/>
    <x v="0"/>
    <x v="0"/>
    <x v="9"/>
    <x v="20"/>
    <s v="SE4_HP"/>
    <x v="1"/>
    <x v="1"/>
    <s v="GBPR_MUNIWASTE_65"/>
    <x v="0"/>
    <x v="21"/>
    <n v="18"/>
    <n v="6570"/>
    <n v="23652"/>
  </r>
  <r>
    <x v="0"/>
    <x v="0"/>
    <x v="0"/>
    <x v="9"/>
    <x v="20"/>
    <s v="SE4_HP"/>
    <x v="1"/>
    <x v="1"/>
    <s v="GBPR_MUNIWASTE_65"/>
    <x v="0"/>
    <x v="22"/>
    <n v="18"/>
    <n v="6570"/>
    <n v="23652"/>
  </r>
  <r>
    <x v="0"/>
    <x v="0"/>
    <x v="0"/>
    <x v="9"/>
    <x v="20"/>
    <s v="SE4_HP"/>
    <x v="1"/>
    <x v="1"/>
    <s v="GBPR_MUNIWASTE_65"/>
    <x v="0"/>
    <x v="23"/>
    <n v="18"/>
    <n v="6570"/>
    <n v="23652"/>
  </r>
  <r>
    <x v="0"/>
    <x v="0"/>
    <x v="0"/>
    <x v="9"/>
    <x v="20"/>
    <s v="SE4_HP"/>
    <x v="2"/>
    <x v="1"/>
    <s v="GBPR_NATGAS_100"/>
    <x v="0"/>
    <x v="3"/>
    <n v="54"/>
    <n v="19710"/>
    <n v="70956"/>
  </r>
  <r>
    <x v="0"/>
    <x v="0"/>
    <x v="0"/>
    <x v="9"/>
    <x v="20"/>
    <s v="SE4_HP"/>
    <x v="2"/>
    <x v="1"/>
    <s v="GBPR_NATGAS_100"/>
    <x v="0"/>
    <x v="4"/>
    <n v="54"/>
    <n v="19710"/>
    <n v="70956"/>
  </r>
  <r>
    <x v="0"/>
    <x v="0"/>
    <x v="0"/>
    <x v="9"/>
    <x v="20"/>
    <s v="SE4_HP"/>
    <x v="2"/>
    <x v="1"/>
    <s v="GBPR_NATGAS_100"/>
    <x v="0"/>
    <x v="5"/>
    <n v="54"/>
    <n v="19710"/>
    <n v="70956"/>
  </r>
  <r>
    <x v="0"/>
    <x v="0"/>
    <x v="0"/>
    <x v="9"/>
    <x v="20"/>
    <s v="SE4_HP"/>
    <x v="2"/>
    <x v="1"/>
    <s v="GBPR_NATGAS_100"/>
    <x v="0"/>
    <x v="6"/>
    <n v="54"/>
    <n v="19710"/>
    <n v="70956"/>
  </r>
  <r>
    <x v="0"/>
    <x v="0"/>
    <x v="0"/>
    <x v="9"/>
    <x v="20"/>
    <s v="SE4_HP"/>
    <x v="2"/>
    <x v="1"/>
    <s v="GBPR_NATGAS_100"/>
    <x v="0"/>
    <x v="7"/>
    <n v="54"/>
    <n v="19710"/>
    <n v="70956"/>
  </r>
  <r>
    <x v="0"/>
    <x v="0"/>
    <x v="0"/>
    <x v="9"/>
    <x v="20"/>
    <s v="SE4_HP"/>
    <x v="2"/>
    <x v="1"/>
    <s v="GBPR_NATGAS_100"/>
    <x v="0"/>
    <x v="8"/>
    <n v="54"/>
    <n v="19710"/>
    <n v="70956"/>
  </r>
  <r>
    <x v="0"/>
    <x v="0"/>
    <x v="0"/>
    <x v="9"/>
    <x v="20"/>
    <s v="SE4_HP"/>
    <x v="2"/>
    <x v="1"/>
    <s v="GBPR_NATGAS_100"/>
    <x v="0"/>
    <x v="0"/>
    <n v="54"/>
    <n v="19710"/>
    <n v="70956"/>
  </r>
  <r>
    <x v="0"/>
    <x v="0"/>
    <x v="0"/>
    <x v="9"/>
    <x v="20"/>
    <s v="SE4_HP"/>
    <x v="2"/>
    <x v="1"/>
    <s v="GBPR_NATGAS_100"/>
    <x v="0"/>
    <x v="1"/>
    <n v="54"/>
    <n v="19710"/>
    <n v="70956"/>
  </r>
  <r>
    <x v="0"/>
    <x v="0"/>
    <x v="0"/>
    <x v="9"/>
    <x v="20"/>
    <s v="SE4_HP"/>
    <x v="2"/>
    <x v="1"/>
    <s v="GBPR_NATGAS_100"/>
    <x v="0"/>
    <x v="2"/>
    <n v="54"/>
    <n v="19710"/>
    <n v="70956"/>
  </r>
  <r>
    <x v="0"/>
    <x v="0"/>
    <x v="0"/>
    <x v="9"/>
    <x v="20"/>
    <s v="SE4_HP"/>
    <x v="2"/>
    <x v="1"/>
    <s v="GBPR_NATGAS_100"/>
    <x v="0"/>
    <x v="9"/>
    <n v="54"/>
    <n v="19710"/>
    <n v="70956"/>
  </r>
  <r>
    <x v="0"/>
    <x v="0"/>
    <x v="0"/>
    <x v="9"/>
    <x v="20"/>
    <s v="SE4_HP"/>
    <x v="2"/>
    <x v="1"/>
    <s v="GBPR_NATGAS_100"/>
    <x v="0"/>
    <x v="10"/>
    <n v="54"/>
    <n v="19710"/>
    <n v="70956"/>
  </r>
  <r>
    <x v="0"/>
    <x v="0"/>
    <x v="0"/>
    <x v="9"/>
    <x v="20"/>
    <s v="SE4_HP"/>
    <x v="2"/>
    <x v="1"/>
    <s v="GBPR_NATGAS_100"/>
    <x v="0"/>
    <x v="11"/>
    <n v="54"/>
    <n v="19710"/>
    <n v="70956"/>
  </r>
  <r>
    <x v="0"/>
    <x v="0"/>
    <x v="0"/>
    <x v="9"/>
    <x v="20"/>
    <s v="SE4_HP"/>
    <x v="2"/>
    <x v="1"/>
    <s v="GBPR_NATGAS_100"/>
    <x v="0"/>
    <x v="12"/>
    <n v="54"/>
    <n v="19710"/>
    <n v="70956"/>
  </r>
  <r>
    <x v="0"/>
    <x v="0"/>
    <x v="0"/>
    <x v="9"/>
    <x v="20"/>
    <s v="SE4_HP"/>
    <x v="2"/>
    <x v="1"/>
    <s v="GBPR_NATGAS_100"/>
    <x v="0"/>
    <x v="13"/>
    <n v="54"/>
    <n v="19710"/>
    <n v="70956"/>
  </r>
  <r>
    <x v="0"/>
    <x v="0"/>
    <x v="0"/>
    <x v="9"/>
    <x v="20"/>
    <s v="SE4_HP"/>
    <x v="2"/>
    <x v="1"/>
    <s v="GBPR_NATGAS_100"/>
    <x v="0"/>
    <x v="14"/>
    <n v="54"/>
    <n v="19710"/>
    <n v="70956"/>
  </r>
  <r>
    <x v="0"/>
    <x v="0"/>
    <x v="0"/>
    <x v="9"/>
    <x v="20"/>
    <s v="SE4_HP"/>
    <x v="2"/>
    <x v="1"/>
    <s v="GBPR_NATGAS_100"/>
    <x v="0"/>
    <x v="15"/>
    <n v="54"/>
    <n v="19710"/>
    <n v="70956"/>
  </r>
  <r>
    <x v="0"/>
    <x v="0"/>
    <x v="0"/>
    <x v="9"/>
    <x v="20"/>
    <s v="SE4_HP"/>
    <x v="2"/>
    <x v="1"/>
    <s v="GBPR_NATGAS_100"/>
    <x v="0"/>
    <x v="16"/>
    <n v="54"/>
    <n v="19710"/>
    <n v="70956"/>
  </r>
  <r>
    <x v="0"/>
    <x v="0"/>
    <x v="0"/>
    <x v="9"/>
    <x v="20"/>
    <s v="SE4_HP"/>
    <x v="2"/>
    <x v="1"/>
    <s v="GBPR_NATGAS_100"/>
    <x v="0"/>
    <x v="17"/>
    <n v="54"/>
    <n v="19710"/>
    <n v="70956"/>
  </r>
  <r>
    <x v="0"/>
    <x v="0"/>
    <x v="0"/>
    <x v="9"/>
    <x v="20"/>
    <s v="SE4_HP"/>
    <x v="2"/>
    <x v="1"/>
    <s v="GBPR_NATGAS_100"/>
    <x v="0"/>
    <x v="18"/>
    <n v="54"/>
    <n v="19710"/>
    <n v="70956"/>
  </r>
  <r>
    <x v="0"/>
    <x v="0"/>
    <x v="0"/>
    <x v="9"/>
    <x v="20"/>
    <s v="SE4_HP"/>
    <x v="2"/>
    <x v="1"/>
    <s v="GBPR_NATGAS_100"/>
    <x v="0"/>
    <x v="19"/>
    <n v="54"/>
    <n v="19710"/>
    <n v="70956"/>
  </r>
  <r>
    <x v="0"/>
    <x v="0"/>
    <x v="0"/>
    <x v="9"/>
    <x v="20"/>
    <s v="SE4_HP"/>
    <x v="2"/>
    <x v="1"/>
    <s v="GBPR_NATGAS_100"/>
    <x v="0"/>
    <x v="20"/>
    <n v="54"/>
    <n v="19710"/>
    <n v="70956"/>
  </r>
  <r>
    <x v="0"/>
    <x v="0"/>
    <x v="0"/>
    <x v="9"/>
    <x v="20"/>
    <s v="SE4_HP"/>
    <x v="2"/>
    <x v="1"/>
    <s v="GBPR_NATGAS_100"/>
    <x v="0"/>
    <x v="21"/>
    <n v="54"/>
    <n v="19710"/>
    <n v="70956"/>
  </r>
  <r>
    <x v="0"/>
    <x v="0"/>
    <x v="0"/>
    <x v="9"/>
    <x v="20"/>
    <s v="SE4_HP"/>
    <x v="2"/>
    <x v="1"/>
    <s v="GBPR_NATGAS_100"/>
    <x v="0"/>
    <x v="22"/>
    <n v="54"/>
    <n v="19710"/>
    <n v="70956"/>
  </r>
  <r>
    <x v="0"/>
    <x v="0"/>
    <x v="0"/>
    <x v="9"/>
    <x v="20"/>
    <s v="SE4_HP"/>
    <x v="2"/>
    <x v="1"/>
    <s v="GBPR_NATGAS_100"/>
    <x v="0"/>
    <x v="23"/>
    <n v="54"/>
    <n v="19710"/>
    <n v="70956"/>
  </r>
  <r>
    <x v="0"/>
    <x v="0"/>
    <x v="0"/>
    <x v="9"/>
    <x v="20"/>
    <s v="SE4_HP"/>
    <x v="8"/>
    <x v="1"/>
    <s v="GBPR_WOODPELLETS"/>
    <x v="0"/>
    <x v="0"/>
    <n v="16.2507643331653"/>
    <n v="5931.52898160533"/>
    <n v="21353.504333779201"/>
  </r>
  <r>
    <x v="0"/>
    <x v="0"/>
    <x v="0"/>
    <x v="9"/>
    <x v="20"/>
    <s v="SE4_HP"/>
    <x v="8"/>
    <x v="1"/>
    <s v="GBPR_WOODPELLETS"/>
    <x v="0"/>
    <x v="1"/>
    <n v="69"/>
    <n v="25185"/>
    <n v="90666"/>
  </r>
  <r>
    <x v="0"/>
    <x v="0"/>
    <x v="0"/>
    <x v="9"/>
    <x v="20"/>
    <s v="SE4_HP"/>
    <x v="8"/>
    <x v="1"/>
    <s v="GBPR_WOODPELLETS"/>
    <x v="0"/>
    <x v="2"/>
    <n v="69"/>
    <n v="25185"/>
    <n v="90666"/>
  </r>
  <r>
    <x v="0"/>
    <x v="0"/>
    <x v="0"/>
    <x v="9"/>
    <x v="20"/>
    <s v="SE4_HP"/>
    <x v="8"/>
    <x v="1"/>
    <s v="GBPR_WOODPELLETS"/>
    <x v="0"/>
    <x v="9"/>
    <n v="69"/>
    <n v="25185"/>
    <n v="90666"/>
  </r>
  <r>
    <x v="0"/>
    <x v="0"/>
    <x v="0"/>
    <x v="9"/>
    <x v="20"/>
    <s v="SE4_HP"/>
    <x v="8"/>
    <x v="1"/>
    <s v="GBPR_WOODPELLETS"/>
    <x v="0"/>
    <x v="10"/>
    <n v="69"/>
    <n v="25185"/>
    <n v="90666"/>
  </r>
  <r>
    <x v="0"/>
    <x v="0"/>
    <x v="0"/>
    <x v="9"/>
    <x v="20"/>
    <s v="SE4_HP"/>
    <x v="8"/>
    <x v="1"/>
    <s v="GBPR_WOODPELLETS"/>
    <x v="0"/>
    <x v="14"/>
    <n v="69"/>
    <n v="25185"/>
    <n v="90666"/>
  </r>
  <r>
    <x v="0"/>
    <x v="0"/>
    <x v="0"/>
    <x v="9"/>
    <x v="20"/>
    <s v="SE4_HP"/>
    <x v="8"/>
    <x v="1"/>
    <s v="GBPR_WOODPELLETS"/>
    <x v="0"/>
    <x v="15"/>
    <n v="69"/>
    <n v="25185"/>
    <n v="90666"/>
  </r>
  <r>
    <x v="0"/>
    <x v="0"/>
    <x v="0"/>
    <x v="9"/>
    <x v="20"/>
    <s v="SE4_HP"/>
    <x v="8"/>
    <x v="1"/>
    <s v="GBPR_WOODPELLETS"/>
    <x v="0"/>
    <x v="16"/>
    <n v="69"/>
    <n v="25185"/>
    <n v="90666"/>
  </r>
  <r>
    <x v="0"/>
    <x v="0"/>
    <x v="0"/>
    <x v="9"/>
    <x v="20"/>
    <s v="SE4_HP"/>
    <x v="8"/>
    <x v="1"/>
    <s v="GBPR_WOODPELLETS"/>
    <x v="0"/>
    <x v="17"/>
    <n v="69"/>
    <n v="25185"/>
    <n v="90666"/>
  </r>
  <r>
    <x v="0"/>
    <x v="0"/>
    <x v="0"/>
    <x v="9"/>
    <x v="20"/>
    <s v="SE4_MAL"/>
    <x v="1"/>
    <x v="1"/>
    <s v="GBPR_MUNIWASTE_24"/>
    <x v="0"/>
    <x v="3"/>
    <n v="25.331143353475198"/>
    <n v="9245.8673240184598"/>
    <n v="33285.122366466501"/>
  </r>
  <r>
    <x v="0"/>
    <x v="0"/>
    <x v="0"/>
    <x v="9"/>
    <x v="20"/>
    <s v="SE4_MAL"/>
    <x v="1"/>
    <x v="1"/>
    <s v="GBPR_MUNIWASTE_24"/>
    <x v="0"/>
    <x v="4"/>
    <n v="25.331143353475198"/>
    <n v="9245.8673240184598"/>
    <n v="33285.122366466501"/>
  </r>
  <r>
    <x v="0"/>
    <x v="0"/>
    <x v="0"/>
    <x v="9"/>
    <x v="20"/>
    <s v="SE4_MAL"/>
    <x v="1"/>
    <x v="1"/>
    <s v="GBPR_MUNIWASTE_24"/>
    <x v="0"/>
    <x v="5"/>
    <n v="25.331143353475198"/>
    <n v="9245.8673240184598"/>
    <n v="33285.122366466501"/>
  </r>
  <r>
    <x v="0"/>
    <x v="0"/>
    <x v="0"/>
    <x v="9"/>
    <x v="20"/>
    <s v="SE4_MAL"/>
    <x v="1"/>
    <x v="1"/>
    <s v="GBPR_MUNIWASTE_24"/>
    <x v="0"/>
    <x v="6"/>
    <n v="25.331143353475198"/>
    <n v="9245.8673240184598"/>
    <n v="33285.122366466501"/>
  </r>
  <r>
    <x v="0"/>
    <x v="0"/>
    <x v="0"/>
    <x v="9"/>
    <x v="20"/>
    <s v="SE4_MAL"/>
    <x v="1"/>
    <x v="1"/>
    <s v="GBPR_MUNIWASTE_24"/>
    <x v="0"/>
    <x v="7"/>
    <n v="25.331143353475198"/>
    <n v="9245.8673240184598"/>
    <n v="33285.122366466501"/>
  </r>
  <r>
    <x v="0"/>
    <x v="0"/>
    <x v="0"/>
    <x v="9"/>
    <x v="20"/>
    <s v="SE4_MAL"/>
    <x v="1"/>
    <x v="1"/>
    <s v="GBPR_MUNIWASTE_24"/>
    <x v="0"/>
    <x v="8"/>
    <n v="25.331143353475198"/>
    <n v="9245.8673240184598"/>
    <n v="33285.122366466501"/>
  </r>
  <r>
    <x v="0"/>
    <x v="0"/>
    <x v="0"/>
    <x v="9"/>
    <x v="20"/>
    <s v="SE4_MAL"/>
    <x v="1"/>
    <x v="1"/>
    <s v="GBPR_MUNIWASTE_24"/>
    <x v="0"/>
    <x v="0"/>
    <n v="25.331143353475198"/>
    <n v="9245.8673240184598"/>
    <n v="33285.122366466501"/>
  </r>
  <r>
    <x v="0"/>
    <x v="0"/>
    <x v="0"/>
    <x v="9"/>
    <x v="20"/>
    <s v="SE4_MAL"/>
    <x v="1"/>
    <x v="1"/>
    <s v="GBPR_MUNIWASTE_24"/>
    <x v="0"/>
    <x v="1"/>
    <n v="25.331143353475198"/>
    <n v="9245.8673240184598"/>
    <n v="33285.122366466501"/>
  </r>
  <r>
    <x v="0"/>
    <x v="0"/>
    <x v="0"/>
    <x v="9"/>
    <x v="20"/>
    <s v="SE4_MAL"/>
    <x v="1"/>
    <x v="1"/>
    <s v="GBPR_MUNIWASTE_24"/>
    <x v="0"/>
    <x v="2"/>
    <n v="25.331143353475198"/>
    <n v="9245.8673240184598"/>
    <n v="33285.122366466501"/>
  </r>
  <r>
    <x v="0"/>
    <x v="0"/>
    <x v="0"/>
    <x v="9"/>
    <x v="20"/>
    <s v="SE4_MAL"/>
    <x v="1"/>
    <x v="1"/>
    <s v="GBPR_MUNIWASTE_24"/>
    <x v="0"/>
    <x v="9"/>
    <n v="25.331143353475198"/>
    <n v="9245.8673240184598"/>
    <n v="33285.122366466501"/>
  </r>
  <r>
    <x v="0"/>
    <x v="0"/>
    <x v="0"/>
    <x v="9"/>
    <x v="20"/>
    <s v="SE4_MAL"/>
    <x v="1"/>
    <x v="1"/>
    <s v="GBPR_MUNIWASTE_24"/>
    <x v="0"/>
    <x v="10"/>
    <n v="25.331143353475198"/>
    <n v="9245.8673240184598"/>
    <n v="33285.122366466501"/>
  </r>
  <r>
    <x v="0"/>
    <x v="0"/>
    <x v="0"/>
    <x v="9"/>
    <x v="20"/>
    <s v="SE4_MAL"/>
    <x v="1"/>
    <x v="1"/>
    <s v="GBPR_MUNIWASTE_24"/>
    <x v="0"/>
    <x v="11"/>
    <n v="25.331143353475198"/>
    <n v="9245.8673240184598"/>
    <n v="33285.122366466501"/>
  </r>
  <r>
    <x v="0"/>
    <x v="0"/>
    <x v="0"/>
    <x v="9"/>
    <x v="20"/>
    <s v="SE4_MAL"/>
    <x v="1"/>
    <x v="1"/>
    <s v="GBPR_MUNIWASTE_24"/>
    <x v="0"/>
    <x v="12"/>
    <n v="25.331143353475198"/>
    <n v="9245.8673240184598"/>
    <n v="33285.122366466501"/>
  </r>
  <r>
    <x v="0"/>
    <x v="0"/>
    <x v="0"/>
    <x v="9"/>
    <x v="20"/>
    <s v="SE4_MAL"/>
    <x v="1"/>
    <x v="1"/>
    <s v="GBPR_MUNIWASTE_24"/>
    <x v="0"/>
    <x v="13"/>
    <n v="25.331143353475198"/>
    <n v="9245.8673240184598"/>
    <n v="33285.122366466501"/>
  </r>
  <r>
    <x v="0"/>
    <x v="0"/>
    <x v="0"/>
    <x v="9"/>
    <x v="20"/>
    <s v="SE4_MAL"/>
    <x v="1"/>
    <x v="1"/>
    <s v="GBPR_MUNIWASTE_24"/>
    <x v="0"/>
    <x v="14"/>
    <n v="25.331143353475198"/>
    <n v="9245.8673240184598"/>
    <n v="33285.122366466501"/>
  </r>
  <r>
    <x v="0"/>
    <x v="0"/>
    <x v="0"/>
    <x v="9"/>
    <x v="20"/>
    <s v="SE4_MAL"/>
    <x v="1"/>
    <x v="1"/>
    <s v="GBPR_MUNIWASTE_24"/>
    <x v="0"/>
    <x v="15"/>
    <n v="25.331143353475198"/>
    <n v="9245.8673240184598"/>
    <n v="33285.122366466501"/>
  </r>
  <r>
    <x v="0"/>
    <x v="0"/>
    <x v="0"/>
    <x v="9"/>
    <x v="20"/>
    <s v="SE4_MAL"/>
    <x v="1"/>
    <x v="1"/>
    <s v="GBPR_MUNIWASTE_24"/>
    <x v="0"/>
    <x v="16"/>
    <n v="25.331143353475198"/>
    <n v="9245.8673240184598"/>
    <n v="33285.122366466501"/>
  </r>
  <r>
    <x v="0"/>
    <x v="0"/>
    <x v="0"/>
    <x v="9"/>
    <x v="20"/>
    <s v="SE4_MAL"/>
    <x v="1"/>
    <x v="1"/>
    <s v="GBPR_MUNIWASTE_24"/>
    <x v="0"/>
    <x v="17"/>
    <n v="25.331143353475198"/>
    <n v="9245.8673240184598"/>
    <n v="33285.122366466501"/>
  </r>
  <r>
    <x v="0"/>
    <x v="0"/>
    <x v="0"/>
    <x v="9"/>
    <x v="20"/>
    <s v="SE4_MAL"/>
    <x v="1"/>
    <x v="1"/>
    <s v="GBPR_MUNIWASTE_24"/>
    <x v="0"/>
    <x v="18"/>
    <n v="25.331143353475198"/>
    <n v="9245.8673240184598"/>
    <n v="33285.122366466501"/>
  </r>
  <r>
    <x v="0"/>
    <x v="0"/>
    <x v="0"/>
    <x v="9"/>
    <x v="20"/>
    <s v="SE4_MAL"/>
    <x v="1"/>
    <x v="1"/>
    <s v="GBPR_MUNIWASTE_24"/>
    <x v="0"/>
    <x v="19"/>
    <n v="25.331143353475198"/>
    <n v="9245.8673240184598"/>
    <n v="33285.122366466501"/>
  </r>
  <r>
    <x v="0"/>
    <x v="0"/>
    <x v="0"/>
    <x v="9"/>
    <x v="20"/>
    <s v="SE4_MAL"/>
    <x v="1"/>
    <x v="1"/>
    <s v="GBPR_MUNIWASTE_24"/>
    <x v="0"/>
    <x v="20"/>
    <n v="25.331143353475198"/>
    <n v="9245.8673240184598"/>
    <n v="33285.122366466501"/>
  </r>
  <r>
    <x v="0"/>
    <x v="0"/>
    <x v="0"/>
    <x v="9"/>
    <x v="20"/>
    <s v="SE4_MAL"/>
    <x v="1"/>
    <x v="1"/>
    <s v="GBPR_MUNIWASTE_24"/>
    <x v="0"/>
    <x v="21"/>
    <n v="25.331143353475198"/>
    <n v="9245.8673240184598"/>
    <n v="33285.122366466501"/>
  </r>
  <r>
    <x v="0"/>
    <x v="0"/>
    <x v="0"/>
    <x v="9"/>
    <x v="20"/>
    <s v="SE4_MAL"/>
    <x v="1"/>
    <x v="1"/>
    <s v="GBPR_MUNIWASTE_24"/>
    <x v="0"/>
    <x v="22"/>
    <n v="25.331143353475198"/>
    <n v="9245.8673240184598"/>
    <n v="33285.122366466501"/>
  </r>
  <r>
    <x v="0"/>
    <x v="0"/>
    <x v="0"/>
    <x v="9"/>
    <x v="20"/>
    <s v="SE4_MAL"/>
    <x v="1"/>
    <x v="1"/>
    <s v="GBPR_MUNIWASTE_24"/>
    <x v="0"/>
    <x v="23"/>
    <n v="25.331143353475198"/>
    <n v="9245.8673240184598"/>
    <n v="33285.122366466501"/>
  </r>
  <r>
    <x v="0"/>
    <x v="0"/>
    <x v="0"/>
    <x v="9"/>
    <x v="20"/>
    <s v="SE4_MAL"/>
    <x v="2"/>
    <x v="1"/>
    <s v="GBPR_NATGAS_MAL"/>
    <x v="0"/>
    <x v="0"/>
    <n v="130"/>
    <n v="47450"/>
    <n v="170820"/>
  </r>
  <r>
    <x v="0"/>
    <x v="0"/>
    <x v="0"/>
    <x v="9"/>
    <x v="20"/>
    <s v="SE4_MAL"/>
    <x v="2"/>
    <x v="1"/>
    <s v="GBPR_NATGAS_MAL"/>
    <x v="0"/>
    <x v="1"/>
    <n v="130"/>
    <n v="47450"/>
    <n v="170820"/>
  </r>
  <r>
    <x v="0"/>
    <x v="0"/>
    <x v="0"/>
    <x v="9"/>
    <x v="20"/>
    <s v="SE4_MAL"/>
    <x v="2"/>
    <x v="1"/>
    <s v="GBPR_NATGAS_MAL"/>
    <x v="0"/>
    <x v="2"/>
    <n v="130"/>
    <n v="47450"/>
    <n v="170820"/>
  </r>
  <r>
    <x v="0"/>
    <x v="0"/>
    <x v="0"/>
    <x v="9"/>
    <x v="20"/>
    <s v="SE4_MAL"/>
    <x v="2"/>
    <x v="1"/>
    <s v="GBPR_NATGAS_MAL"/>
    <x v="0"/>
    <x v="9"/>
    <n v="130"/>
    <n v="47450"/>
    <n v="170820"/>
  </r>
  <r>
    <x v="0"/>
    <x v="0"/>
    <x v="0"/>
    <x v="9"/>
    <x v="20"/>
    <s v="SE4_MAL"/>
    <x v="2"/>
    <x v="1"/>
    <s v="GBPR_NATGAS_MAL"/>
    <x v="0"/>
    <x v="10"/>
    <n v="130"/>
    <n v="47450"/>
    <n v="170820"/>
  </r>
  <r>
    <x v="0"/>
    <x v="0"/>
    <x v="0"/>
    <x v="9"/>
    <x v="20"/>
    <s v="SE4_MAL"/>
    <x v="2"/>
    <x v="1"/>
    <s v="GBPR_NATGAS_MAL"/>
    <x v="0"/>
    <x v="14"/>
    <n v="130"/>
    <n v="47450"/>
    <n v="170820"/>
  </r>
  <r>
    <x v="0"/>
    <x v="0"/>
    <x v="0"/>
    <x v="9"/>
    <x v="20"/>
    <s v="SE4_MAL"/>
    <x v="2"/>
    <x v="1"/>
    <s v="GBPR_NATGAS_MAL"/>
    <x v="0"/>
    <x v="15"/>
    <n v="130"/>
    <n v="47450"/>
    <n v="170820"/>
  </r>
  <r>
    <x v="0"/>
    <x v="0"/>
    <x v="0"/>
    <x v="9"/>
    <x v="20"/>
    <s v="SE4_MAL"/>
    <x v="2"/>
    <x v="1"/>
    <s v="GBPR_NATGAS_MAL"/>
    <x v="0"/>
    <x v="16"/>
    <n v="130"/>
    <n v="47450"/>
    <n v="170820"/>
  </r>
  <r>
    <x v="0"/>
    <x v="0"/>
    <x v="0"/>
    <x v="9"/>
    <x v="20"/>
    <s v="SE4_MAL"/>
    <x v="2"/>
    <x v="1"/>
    <s v="GBPR_NATGAS_MAL"/>
    <x v="0"/>
    <x v="17"/>
    <n v="130"/>
    <n v="47450"/>
    <n v="170820"/>
  </r>
  <r>
    <x v="0"/>
    <x v="0"/>
    <x v="0"/>
    <x v="9"/>
    <x v="20"/>
    <s v="SE4_MAL"/>
    <x v="2"/>
    <x v="1"/>
    <s v="GBPR_NATGAS_MAL"/>
    <x v="0"/>
    <x v="18"/>
    <n v="130"/>
    <n v="47450"/>
    <n v="170820"/>
  </r>
  <r>
    <x v="0"/>
    <x v="0"/>
    <x v="0"/>
    <x v="9"/>
    <x v="20"/>
    <s v="SE4_MAL"/>
    <x v="2"/>
    <x v="1"/>
    <s v="GBPR_NATGAS_MAL"/>
    <x v="0"/>
    <x v="19"/>
    <n v="59.7401925077816"/>
    <n v="21805.170265340301"/>
    <n v="78498.612955225006"/>
  </r>
  <r>
    <x v="0"/>
    <x v="0"/>
    <x v="0"/>
    <x v="9"/>
    <x v="20"/>
    <s v="SE4_MAL"/>
    <x v="2"/>
    <x v="0"/>
    <s v="GEXT_NATGAS_ORESUND"/>
    <x v="0"/>
    <x v="3"/>
    <n v="440"/>
    <n v="160600"/>
    <n v="578160"/>
  </r>
  <r>
    <x v="0"/>
    <x v="0"/>
    <x v="0"/>
    <x v="9"/>
    <x v="20"/>
    <s v="SE4_MAL"/>
    <x v="2"/>
    <x v="0"/>
    <s v="GEXT_NATGAS_ORESUND"/>
    <x v="0"/>
    <x v="4"/>
    <n v="440"/>
    <n v="160600"/>
    <n v="578160"/>
  </r>
  <r>
    <x v="0"/>
    <x v="0"/>
    <x v="0"/>
    <x v="9"/>
    <x v="20"/>
    <s v="SE4_MAL"/>
    <x v="2"/>
    <x v="0"/>
    <s v="GEXT_NATGAS_ORESUND"/>
    <x v="0"/>
    <x v="5"/>
    <n v="440"/>
    <n v="160600"/>
    <n v="578160"/>
  </r>
  <r>
    <x v="0"/>
    <x v="0"/>
    <x v="0"/>
    <x v="9"/>
    <x v="20"/>
    <s v="SE4_MAL"/>
    <x v="2"/>
    <x v="0"/>
    <s v="GEXT_NATGAS_ORESUND"/>
    <x v="0"/>
    <x v="6"/>
    <n v="440"/>
    <n v="160600"/>
    <n v="578160"/>
  </r>
  <r>
    <x v="0"/>
    <x v="0"/>
    <x v="0"/>
    <x v="9"/>
    <x v="20"/>
    <s v="SE4_MAL"/>
    <x v="2"/>
    <x v="0"/>
    <s v="GEXT_NATGAS_ORESUND"/>
    <x v="0"/>
    <x v="7"/>
    <n v="440"/>
    <n v="160600"/>
    <n v="578160"/>
  </r>
  <r>
    <x v="0"/>
    <x v="0"/>
    <x v="0"/>
    <x v="9"/>
    <x v="20"/>
    <s v="SE4_MAL"/>
    <x v="2"/>
    <x v="0"/>
    <s v="GEXT_NATGAS_ORESUND"/>
    <x v="0"/>
    <x v="8"/>
    <n v="440"/>
    <n v="160600"/>
    <n v="578160"/>
  </r>
  <r>
    <x v="0"/>
    <x v="0"/>
    <x v="0"/>
    <x v="9"/>
    <x v="20"/>
    <s v="SE4_MAL"/>
    <x v="2"/>
    <x v="0"/>
    <s v="GEXT_NATGAS_ORESUND"/>
    <x v="0"/>
    <x v="0"/>
    <n v="440"/>
    <n v="160600"/>
    <n v="578160"/>
  </r>
  <r>
    <x v="0"/>
    <x v="0"/>
    <x v="0"/>
    <x v="9"/>
    <x v="20"/>
    <s v="SE4_MAL"/>
    <x v="2"/>
    <x v="0"/>
    <s v="GEXT_NATGAS_ORESUND"/>
    <x v="0"/>
    <x v="1"/>
    <n v="440"/>
    <n v="160600"/>
    <n v="578160"/>
  </r>
  <r>
    <x v="0"/>
    <x v="0"/>
    <x v="0"/>
    <x v="9"/>
    <x v="20"/>
    <s v="SE4_MAL"/>
    <x v="2"/>
    <x v="0"/>
    <s v="GEXT_NATGAS_ORESUND"/>
    <x v="0"/>
    <x v="2"/>
    <n v="440"/>
    <n v="160600"/>
    <n v="578160"/>
  </r>
  <r>
    <x v="0"/>
    <x v="0"/>
    <x v="0"/>
    <x v="9"/>
    <x v="20"/>
    <s v="SE4_MAL"/>
    <x v="2"/>
    <x v="0"/>
    <s v="GEXT_NATGAS_ORESUND"/>
    <x v="0"/>
    <x v="9"/>
    <n v="440"/>
    <n v="160600"/>
    <n v="578160"/>
  </r>
  <r>
    <x v="0"/>
    <x v="0"/>
    <x v="0"/>
    <x v="9"/>
    <x v="20"/>
    <s v="SE4_MAL"/>
    <x v="2"/>
    <x v="0"/>
    <s v="GEXT_NATGAS_ORESUND"/>
    <x v="0"/>
    <x v="10"/>
    <n v="440"/>
    <n v="160600"/>
    <n v="578160"/>
  </r>
  <r>
    <x v="0"/>
    <x v="0"/>
    <x v="0"/>
    <x v="9"/>
    <x v="20"/>
    <s v="SE4_MAL"/>
    <x v="2"/>
    <x v="0"/>
    <s v="GEXT_NATGAS_ORESUND"/>
    <x v="0"/>
    <x v="11"/>
    <n v="440"/>
    <n v="160600"/>
    <n v="578160"/>
  </r>
  <r>
    <x v="0"/>
    <x v="0"/>
    <x v="0"/>
    <x v="9"/>
    <x v="20"/>
    <s v="SE4_MAL"/>
    <x v="2"/>
    <x v="0"/>
    <s v="GEXT_NATGAS_ORESUND"/>
    <x v="0"/>
    <x v="12"/>
    <n v="440"/>
    <n v="160600"/>
    <n v="578160"/>
  </r>
  <r>
    <x v="0"/>
    <x v="0"/>
    <x v="0"/>
    <x v="9"/>
    <x v="20"/>
    <s v="SE4_MAL"/>
    <x v="2"/>
    <x v="0"/>
    <s v="GEXT_NATGAS_ORESUND"/>
    <x v="0"/>
    <x v="13"/>
    <n v="440"/>
    <n v="160600"/>
    <n v="578160"/>
  </r>
  <r>
    <x v="0"/>
    <x v="0"/>
    <x v="0"/>
    <x v="9"/>
    <x v="20"/>
    <s v="SE4_MAL"/>
    <x v="2"/>
    <x v="0"/>
    <s v="GEXT_NATGAS_ORESUND"/>
    <x v="0"/>
    <x v="14"/>
    <n v="440"/>
    <n v="160600"/>
    <n v="578160"/>
  </r>
  <r>
    <x v="0"/>
    <x v="0"/>
    <x v="0"/>
    <x v="9"/>
    <x v="20"/>
    <s v="SE4_MAL"/>
    <x v="2"/>
    <x v="0"/>
    <s v="GEXT_NATGAS_ORESUND"/>
    <x v="0"/>
    <x v="15"/>
    <n v="440"/>
    <n v="160600"/>
    <n v="578160"/>
  </r>
  <r>
    <x v="0"/>
    <x v="0"/>
    <x v="0"/>
    <x v="9"/>
    <x v="20"/>
    <s v="SE4_MAL"/>
    <x v="2"/>
    <x v="0"/>
    <s v="GEXT_NATGAS_ORESUND"/>
    <x v="0"/>
    <x v="16"/>
    <n v="440"/>
    <n v="160600"/>
    <n v="578160"/>
  </r>
  <r>
    <x v="0"/>
    <x v="0"/>
    <x v="0"/>
    <x v="9"/>
    <x v="20"/>
    <s v="SE4_MAL"/>
    <x v="2"/>
    <x v="0"/>
    <s v="GEXT_NATGAS_ORESUND"/>
    <x v="0"/>
    <x v="17"/>
    <n v="440"/>
    <n v="160600"/>
    <n v="578160"/>
  </r>
  <r>
    <x v="0"/>
    <x v="0"/>
    <x v="0"/>
    <x v="9"/>
    <x v="20"/>
    <s v="SE4_MAL"/>
    <x v="2"/>
    <x v="0"/>
    <s v="GEXT_NATGAS_ORESUND"/>
    <x v="0"/>
    <x v="18"/>
    <n v="440"/>
    <n v="160600"/>
    <n v="578160"/>
  </r>
  <r>
    <x v="0"/>
    <x v="0"/>
    <x v="0"/>
    <x v="9"/>
    <x v="20"/>
    <s v="SE4_MAL"/>
    <x v="2"/>
    <x v="0"/>
    <s v="GEXT_NATGAS_ORESUND"/>
    <x v="0"/>
    <x v="19"/>
    <n v="440"/>
    <n v="160600"/>
    <n v="578160"/>
  </r>
  <r>
    <x v="0"/>
    <x v="0"/>
    <x v="0"/>
    <x v="9"/>
    <x v="20"/>
    <s v="SE4_MAL"/>
    <x v="2"/>
    <x v="0"/>
    <s v="GEXT_NATGAS_ORESUND"/>
    <x v="0"/>
    <x v="20"/>
    <n v="440"/>
    <n v="160600"/>
    <n v="578160"/>
  </r>
  <r>
    <x v="0"/>
    <x v="0"/>
    <x v="0"/>
    <x v="9"/>
    <x v="20"/>
    <s v="SE4_MAL"/>
    <x v="2"/>
    <x v="0"/>
    <s v="GEXT_NATGAS_ORESUND"/>
    <x v="0"/>
    <x v="21"/>
    <n v="440"/>
    <n v="160600"/>
    <n v="578160"/>
  </r>
  <r>
    <x v="0"/>
    <x v="0"/>
    <x v="0"/>
    <x v="9"/>
    <x v="20"/>
    <s v="SE4_MAL"/>
    <x v="2"/>
    <x v="0"/>
    <s v="GEXT_NATGAS_ORESUND"/>
    <x v="0"/>
    <x v="22"/>
    <n v="440"/>
    <n v="160600"/>
    <n v="578160"/>
  </r>
  <r>
    <x v="0"/>
    <x v="0"/>
    <x v="0"/>
    <x v="9"/>
    <x v="20"/>
    <s v="SE4_MAL"/>
    <x v="2"/>
    <x v="0"/>
    <s v="GEXT_NATGAS_ORESUND"/>
    <x v="0"/>
    <x v="23"/>
    <n v="440"/>
    <n v="160600"/>
    <n v="578160"/>
  </r>
  <r>
    <x v="0"/>
    <x v="0"/>
    <x v="0"/>
    <x v="9"/>
    <x v="20"/>
    <s v="SE4_OTHER"/>
    <x v="1"/>
    <x v="1"/>
    <s v="GBPR_MUNIWASTE_19"/>
    <x v="0"/>
    <x v="3"/>
    <n v="11.5403463801819"/>
    <n v="4212.2264287664102"/>
    <n v="15164.0151435591"/>
  </r>
  <r>
    <x v="0"/>
    <x v="0"/>
    <x v="0"/>
    <x v="9"/>
    <x v="20"/>
    <s v="SE4_OTHER"/>
    <x v="1"/>
    <x v="1"/>
    <s v="GBPR_MUNIWASTE_19"/>
    <x v="0"/>
    <x v="4"/>
    <n v="11.5403463801819"/>
    <n v="4212.2264287664102"/>
    <n v="15164.0151435591"/>
  </r>
  <r>
    <x v="0"/>
    <x v="0"/>
    <x v="0"/>
    <x v="9"/>
    <x v="20"/>
    <s v="SE4_OTHER"/>
    <x v="1"/>
    <x v="1"/>
    <s v="GBPR_MUNIWASTE_19"/>
    <x v="0"/>
    <x v="5"/>
    <n v="11.5403463801819"/>
    <n v="4212.2264287664102"/>
    <n v="15164.0151435591"/>
  </r>
  <r>
    <x v="0"/>
    <x v="0"/>
    <x v="0"/>
    <x v="9"/>
    <x v="20"/>
    <s v="SE4_OTHER"/>
    <x v="1"/>
    <x v="1"/>
    <s v="GBPR_MUNIWASTE_19"/>
    <x v="0"/>
    <x v="6"/>
    <n v="11.5403463801819"/>
    <n v="4212.2264287664102"/>
    <n v="15164.0151435591"/>
  </r>
  <r>
    <x v="0"/>
    <x v="0"/>
    <x v="0"/>
    <x v="9"/>
    <x v="20"/>
    <s v="SE4_OTHER"/>
    <x v="1"/>
    <x v="1"/>
    <s v="GBPR_MUNIWASTE_19"/>
    <x v="0"/>
    <x v="7"/>
    <n v="11.5403463801819"/>
    <n v="4212.2264287664102"/>
    <n v="15164.0151435591"/>
  </r>
  <r>
    <x v="0"/>
    <x v="0"/>
    <x v="0"/>
    <x v="9"/>
    <x v="20"/>
    <s v="SE4_OTHER"/>
    <x v="1"/>
    <x v="1"/>
    <s v="GBPR_MUNIWASTE_19"/>
    <x v="0"/>
    <x v="8"/>
    <n v="11.5403463801819"/>
    <n v="4212.2264287664102"/>
    <n v="15164.0151435591"/>
  </r>
  <r>
    <x v="0"/>
    <x v="0"/>
    <x v="0"/>
    <x v="9"/>
    <x v="20"/>
    <s v="SE4_OTHER"/>
    <x v="1"/>
    <x v="1"/>
    <s v="GBPR_MUNIWASTE_19"/>
    <x v="0"/>
    <x v="0"/>
    <n v="11.5403463801819"/>
    <n v="4212.2264287664102"/>
    <n v="15164.0151435591"/>
  </r>
  <r>
    <x v="0"/>
    <x v="0"/>
    <x v="0"/>
    <x v="9"/>
    <x v="20"/>
    <s v="SE4_OTHER"/>
    <x v="1"/>
    <x v="1"/>
    <s v="GBPR_MUNIWASTE_19"/>
    <x v="0"/>
    <x v="1"/>
    <n v="11.5403463801819"/>
    <n v="4212.2264287664102"/>
    <n v="15164.0151435591"/>
  </r>
  <r>
    <x v="0"/>
    <x v="0"/>
    <x v="0"/>
    <x v="9"/>
    <x v="20"/>
    <s v="SE4_OTHER"/>
    <x v="1"/>
    <x v="1"/>
    <s v="GBPR_MUNIWASTE_19"/>
    <x v="0"/>
    <x v="2"/>
    <n v="11.5403463801819"/>
    <n v="4212.2264287664102"/>
    <n v="15164.0151435591"/>
  </r>
  <r>
    <x v="0"/>
    <x v="0"/>
    <x v="0"/>
    <x v="9"/>
    <x v="20"/>
    <s v="SE4_OTHER"/>
    <x v="1"/>
    <x v="1"/>
    <s v="GBPR_MUNIWASTE_19"/>
    <x v="0"/>
    <x v="9"/>
    <n v="11.5403463801819"/>
    <n v="4212.2264287664102"/>
    <n v="15164.0151435591"/>
  </r>
  <r>
    <x v="0"/>
    <x v="0"/>
    <x v="0"/>
    <x v="9"/>
    <x v="20"/>
    <s v="SE4_OTHER"/>
    <x v="1"/>
    <x v="1"/>
    <s v="GBPR_MUNIWASTE_19"/>
    <x v="0"/>
    <x v="10"/>
    <n v="11.5403463801819"/>
    <n v="4212.2264287664102"/>
    <n v="15164.0151435591"/>
  </r>
  <r>
    <x v="0"/>
    <x v="0"/>
    <x v="0"/>
    <x v="9"/>
    <x v="20"/>
    <s v="SE4_OTHER"/>
    <x v="1"/>
    <x v="1"/>
    <s v="GBPR_MUNIWASTE_19"/>
    <x v="0"/>
    <x v="11"/>
    <n v="11.5403463801819"/>
    <n v="4212.2264287664102"/>
    <n v="15164.0151435591"/>
  </r>
  <r>
    <x v="0"/>
    <x v="0"/>
    <x v="0"/>
    <x v="9"/>
    <x v="20"/>
    <s v="SE4_OTHER"/>
    <x v="1"/>
    <x v="1"/>
    <s v="GBPR_MUNIWASTE_19"/>
    <x v="0"/>
    <x v="12"/>
    <n v="11.5403463801819"/>
    <n v="4212.2264287664102"/>
    <n v="15164.0151435591"/>
  </r>
  <r>
    <x v="0"/>
    <x v="0"/>
    <x v="0"/>
    <x v="9"/>
    <x v="20"/>
    <s v="SE4_OTHER"/>
    <x v="1"/>
    <x v="1"/>
    <s v="GBPR_MUNIWASTE_19"/>
    <x v="0"/>
    <x v="13"/>
    <n v="11.5403463801819"/>
    <n v="4212.2264287664102"/>
    <n v="15164.0151435591"/>
  </r>
  <r>
    <x v="0"/>
    <x v="0"/>
    <x v="0"/>
    <x v="9"/>
    <x v="20"/>
    <s v="SE4_OTHER"/>
    <x v="1"/>
    <x v="1"/>
    <s v="GBPR_MUNIWASTE_19"/>
    <x v="0"/>
    <x v="14"/>
    <n v="11.5403463801819"/>
    <n v="4212.2264287664102"/>
    <n v="15164.0151435591"/>
  </r>
  <r>
    <x v="0"/>
    <x v="0"/>
    <x v="0"/>
    <x v="9"/>
    <x v="20"/>
    <s v="SE4_OTHER"/>
    <x v="1"/>
    <x v="1"/>
    <s v="GBPR_MUNIWASTE_19"/>
    <x v="0"/>
    <x v="15"/>
    <n v="11.5403463801819"/>
    <n v="4212.2264287664102"/>
    <n v="15164.0151435591"/>
  </r>
  <r>
    <x v="0"/>
    <x v="0"/>
    <x v="0"/>
    <x v="9"/>
    <x v="20"/>
    <s v="SE4_OTHER"/>
    <x v="1"/>
    <x v="1"/>
    <s v="GBPR_MUNIWASTE_19"/>
    <x v="0"/>
    <x v="16"/>
    <n v="11.5403463801819"/>
    <n v="4212.2264287664102"/>
    <n v="15164.0151435591"/>
  </r>
  <r>
    <x v="0"/>
    <x v="0"/>
    <x v="0"/>
    <x v="9"/>
    <x v="20"/>
    <s v="SE4_OTHER"/>
    <x v="1"/>
    <x v="1"/>
    <s v="GBPR_MUNIWASTE_19"/>
    <x v="0"/>
    <x v="17"/>
    <n v="11.5403463801819"/>
    <n v="4212.2264287664102"/>
    <n v="15164.0151435591"/>
  </r>
  <r>
    <x v="0"/>
    <x v="0"/>
    <x v="0"/>
    <x v="9"/>
    <x v="20"/>
    <s v="SE4_OTHER"/>
    <x v="1"/>
    <x v="1"/>
    <s v="GBPR_MUNIWASTE_19"/>
    <x v="0"/>
    <x v="18"/>
    <n v="11.5403463801819"/>
    <n v="4212.2264287664102"/>
    <n v="15164.0151435591"/>
  </r>
  <r>
    <x v="0"/>
    <x v="0"/>
    <x v="0"/>
    <x v="9"/>
    <x v="20"/>
    <s v="SE4_OTHER"/>
    <x v="1"/>
    <x v="1"/>
    <s v="GBPR_MUNIWASTE_19"/>
    <x v="0"/>
    <x v="19"/>
    <n v="11.5403463801819"/>
    <n v="4212.2264287664102"/>
    <n v="15164.0151435591"/>
  </r>
  <r>
    <x v="0"/>
    <x v="0"/>
    <x v="0"/>
    <x v="9"/>
    <x v="20"/>
    <s v="SE4_OTHER"/>
    <x v="1"/>
    <x v="1"/>
    <s v="GBPR_MUNIWASTE_19"/>
    <x v="0"/>
    <x v="20"/>
    <n v="11.5403463801819"/>
    <n v="4212.2264287664102"/>
    <n v="15164.0151435591"/>
  </r>
  <r>
    <x v="0"/>
    <x v="0"/>
    <x v="0"/>
    <x v="9"/>
    <x v="20"/>
    <s v="SE4_OTHER"/>
    <x v="1"/>
    <x v="1"/>
    <s v="GBPR_MUNIWASTE_19"/>
    <x v="0"/>
    <x v="21"/>
    <n v="11.5403463801819"/>
    <n v="4212.2264287664102"/>
    <n v="15164.0151435591"/>
  </r>
  <r>
    <x v="0"/>
    <x v="0"/>
    <x v="0"/>
    <x v="9"/>
    <x v="20"/>
    <s v="SE4_OTHER"/>
    <x v="1"/>
    <x v="1"/>
    <s v="GBPR_MUNIWASTE_19"/>
    <x v="0"/>
    <x v="22"/>
    <n v="11.5403463801819"/>
    <n v="4212.2264287664102"/>
    <n v="15164.0151435591"/>
  </r>
  <r>
    <x v="0"/>
    <x v="0"/>
    <x v="0"/>
    <x v="9"/>
    <x v="20"/>
    <s v="SE4_OTHER"/>
    <x v="1"/>
    <x v="1"/>
    <s v="GBPR_MUNIWASTE_19"/>
    <x v="0"/>
    <x v="23"/>
    <n v="11.5403463801819"/>
    <n v="4212.2264287664102"/>
    <n v="15164.0151435591"/>
  </r>
  <r>
    <x v="0"/>
    <x v="0"/>
    <x v="0"/>
    <x v="9"/>
    <x v="20"/>
    <s v="SE4_OTHER"/>
    <x v="4"/>
    <x v="1"/>
    <s v="GBPR_WOODCHIPS"/>
    <x v="0"/>
    <x v="3"/>
    <n v="29.812119089317001"/>
    <n v="10881.4234676007"/>
    <n v="39173.124483362502"/>
  </r>
  <r>
    <x v="0"/>
    <x v="0"/>
    <x v="0"/>
    <x v="9"/>
    <x v="20"/>
    <s v="SE4_OTHER"/>
    <x v="4"/>
    <x v="1"/>
    <s v="GBPR_WOODCHIPS"/>
    <x v="0"/>
    <x v="4"/>
    <n v="29.812119089317001"/>
    <n v="10881.4234676007"/>
    <n v="39173.124483362502"/>
  </r>
  <r>
    <x v="0"/>
    <x v="0"/>
    <x v="0"/>
    <x v="9"/>
    <x v="20"/>
    <s v="SE4_OTHER"/>
    <x v="4"/>
    <x v="1"/>
    <s v="GBPR_WOODCHIPS"/>
    <x v="0"/>
    <x v="5"/>
    <n v="29.812119089317001"/>
    <n v="10881.4234676007"/>
    <n v="39173.124483362502"/>
  </r>
  <r>
    <x v="0"/>
    <x v="0"/>
    <x v="0"/>
    <x v="9"/>
    <x v="20"/>
    <s v="SE4_OTHER"/>
    <x v="4"/>
    <x v="1"/>
    <s v="GBPR_WOODCHIPS"/>
    <x v="0"/>
    <x v="6"/>
    <n v="29.812119089317001"/>
    <n v="10881.4234676007"/>
    <n v="39173.124483362502"/>
  </r>
  <r>
    <x v="0"/>
    <x v="0"/>
    <x v="0"/>
    <x v="9"/>
    <x v="20"/>
    <s v="SE4_OTHER"/>
    <x v="4"/>
    <x v="1"/>
    <s v="GBPR_WOODCHIPS"/>
    <x v="0"/>
    <x v="7"/>
    <n v="29.812119089317001"/>
    <n v="10881.4234676007"/>
    <n v="39173.124483362502"/>
  </r>
  <r>
    <x v="0"/>
    <x v="0"/>
    <x v="0"/>
    <x v="9"/>
    <x v="20"/>
    <s v="SE4_OTHER"/>
    <x v="4"/>
    <x v="1"/>
    <s v="GBPR_WOODCHIPS"/>
    <x v="0"/>
    <x v="8"/>
    <n v="29.812119089317001"/>
    <n v="10881.4234676007"/>
    <n v="39173.124483362502"/>
  </r>
  <r>
    <x v="0"/>
    <x v="0"/>
    <x v="0"/>
    <x v="9"/>
    <x v="20"/>
    <s v="SE4_OTHER"/>
    <x v="4"/>
    <x v="1"/>
    <s v="GBPR_WOODCHIPS"/>
    <x v="0"/>
    <x v="0"/>
    <n v="29.812119089317001"/>
    <n v="10881.4234676007"/>
    <n v="39173.124483362502"/>
  </r>
  <r>
    <x v="0"/>
    <x v="0"/>
    <x v="0"/>
    <x v="9"/>
    <x v="20"/>
    <s v="SE4_OTHER"/>
    <x v="4"/>
    <x v="1"/>
    <s v="GBPR_WOODCHIPS"/>
    <x v="0"/>
    <x v="1"/>
    <n v="29.812119089317001"/>
    <n v="10881.4234676007"/>
    <n v="39173.124483362502"/>
  </r>
  <r>
    <x v="0"/>
    <x v="0"/>
    <x v="0"/>
    <x v="9"/>
    <x v="20"/>
    <s v="SE4_OTHER"/>
    <x v="4"/>
    <x v="1"/>
    <s v="GBPR_WOODCHIPS"/>
    <x v="0"/>
    <x v="2"/>
    <n v="29.812119089317001"/>
    <n v="10881.4234676007"/>
    <n v="39173.124483362502"/>
  </r>
  <r>
    <x v="0"/>
    <x v="0"/>
    <x v="0"/>
    <x v="9"/>
    <x v="20"/>
    <s v="SE4_OTHER"/>
    <x v="4"/>
    <x v="1"/>
    <s v="GBPR_WOODCHIPS"/>
    <x v="0"/>
    <x v="9"/>
    <n v="29.812119089317001"/>
    <n v="10881.4234676007"/>
    <n v="39173.124483362502"/>
  </r>
  <r>
    <x v="0"/>
    <x v="0"/>
    <x v="0"/>
    <x v="9"/>
    <x v="20"/>
    <s v="SE4_OTHER"/>
    <x v="4"/>
    <x v="1"/>
    <s v="GBPR_WOODCHIPS"/>
    <x v="0"/>
    <x v="10"/>
    <n v="29.812119089317001"/>
    <n v="10881.4234676007"/>
    <n v="39173.124483362502"/>
  </r>
  <r>
    <x v="0"/>
    <x v="0"/>
    <x v="0"/>
    <x v="9"/>
    <x v="20"/>
    <s v="SE4_OTHER"/>
    <x v="4"/>
    <x v="1"/>
    <s v="GBPR_WOODCHIPS"/>
    <x v="0"/>
    <x v="11"/>
    <n v="29.812119089317001"/>
    <n v="10881.4234676007"/>
    <n v="39173.124483362502"/>
  </r>
  <r>
    <x v="0"/>
    <x v="0"/>
    <x v="0"/>
    <x v="9"/>
    <x v="20"/>
    <s v="SE4_OTHER"/>
    <x v="4"/>
    <x v="1"/>
    <s v="GBPR_WOODCHIPS"/>
    <x v="0"/>
    <x v="12"/>
    <n v="29.812119089317001"/>
    <n v="10881.4234676007"/>
    <n v="39173.124483362502"/>
  </r>
  <r>
    <x v="0"/>
    <x v="0"/>
    <x v="0"/>
    <x v="9"/>
    <x v="20"/>
    <s v="SE4_OTHER"/>
    <x v="4"/>
    <x v="1"/>
    <s v="GBPR_WOODCHIPS"/>
    <x v="0"/>
    <x v="13"/>
    <n v="29.812119089317001"/>
    <n v="10881.4234676007"/>
    <n v="39173.124483362502"/>
  </r>
  <r>
    <x v="0"/>
    <x v="0"/>
    <x v="0"/>
    <x v="9"/>
    <x v="20"/>
    <s v="SE4_OTHER"/>
    <x v="4"/>
    <x v="1"/>
    <s v="GBPR_WOODCHIPS"/>
    <x v="0"/>
    <x v="14"/>
    <n v="29.812119089317001"/>
    <n v="10881.4234676007"/>
    <n v="39173.124483362502"/>
  </r>
  <r>
    <x v="0"/>
    <x v="0"/>
    <x v="0"/>
    <x v="9"/>
    <x v="20"/>
    <s v="SE4_OTHER"/>
    <x v="4"/>
    <x v="1"/>
    <s v="GBPR_WOODCHIPS"/>
    <x v="0"/>
    <x v="15"/>
    <n v="29.812119089317001"/>
    <n v="10881.4234676007"/>
    <n v="39173.124483362502"/>
  </r>
  <r>
    <x v="0"/>
    <x v="0"/>
    <x v="0"/>
    <x v="9"/>
    <x v="20"/>
    <s v="SE4_OTHER"/>
    <x v="4"/>
    <x v="1"/>
    <s v="GBPR_WOODCHIPS"/>
    <x v="0"/>
    <x v="16"/>
    <n v="29.812119089317001"/>
    <n v="10881.4234676007"/>
    <n v="39173.124483362502"/>
  </r>
  <r>
    <x v="0"/>
    <x v="0"/>
    <x v="0"/>
    <x v="9"/>
    <x v="20"/>
    <s v="SE4_OTHER"/>
    <x v="4"/>
    <x v="1"/>
    <s v="GBPR_WOODCHIPS"/>
    <x v="0"/>
    <x v="17"/>
    <n v="29.812119089317001"/>
    <n v="10881.4234676007"/>
    <n v="39173.124483362502"/>
  </r>
  <r>
    <x v="0"/>
    <x v="0"/>
    <x v="0"/>
    <x v="9"/>
    <x v="20"/>
    <s v="SE4_OTHER"/>
    <x v="4"/>
    <x v="1"/>
    <s v="GBPR_WOODCHIPS"/>
    <x v="0"/>
    <x v="18"/>
    <n v="29.812119089317001"/>
    <n v="10881.4234676007"/>
    <n v="39173.124483362502"/>
  </r>
  <r>
    <x v="0"/>
    <x v="0"/>
    <x v="0"/>
    <x v="9"/>
    <x v="20"/>
    <s v="SE4_OTHER"/>
    <x v="4"/>
    <x v="1"/>
    <s v="GBPR_WOODCHIPS"/>
    <x v="0"/>
    <x v="19"/>
    <n v="29.812119089317001"/>
    <n v="10881.4234676007"/>
    <n v="39173.124483362502"/>
  </r>
  <r>
    <x v="0"/>
    <x v="0"/>
    <x v="0"/>
    <x v="9"/>
    <x v="20"/>
    <s v="SE4_OTHER"/>
    <x v="4"/>
    <x v="1"/>
    <s v="GBPR_WOODCHIPS"/>
    <x v="0"/>
    <x v="20"/>
    <n v="29.812119089317001"/>
    <n v="10881.4234676007"/>
    <n v="39173.124483362502"/>
  </r>
  <r>
    <x v="0"/>
    <x v="0"/>
    <x v="0"/>
    <x v="9"/>
    <x v="20"/>
    <s v="SE4_OTHER"/>
    <x v="4"/>
    <x v="1"/>
    <s v="GBPR_WOODCHIPS"/>
    <x v="0"/>
    <x v="21"/>
    <n v="29.812119089317001"/>
    <n v="10881.4234676007"/>
    <n v="39173.124483362502"/>
  </r>
  <r>
    <x v="0"/>
    <x v="0"/>
    <x v="0"/>
    <x v="9"/>
    <x v="20"/>
    <s v="SE4_OTHER"/>
    <x v="4"/>
    <x v="1"/>
    <s v="GBPR_WOODCHIPS"/>
    <x v="0"/>
    <x v="22"/>
    <n v="29.812119089317001"/>
    <n v="10881.4234676007"/>
    <n v="39173.124483362502"/>
  </r>
  <r>
    <x v="0"/>
    <x v="0"/>
    <x v="0"/>
    <x v="9"/>
    <x v="20"/>
    <s v="SE4_OTHER"/>
    <x v="4"/>
    <x v="1"/>
    <s v="GBPR_WOODCHIPS"/>
    <x v="0"/>
    <x v="23"/>
    <n v="28.0287395226161"/>
    <n v="10230.4899257549"/>
    <n v="36829.763732717503"/>
  </r>
  <r>
    <x v="0"/>
    <x v="0"/>
    <x v="0"/>
    <x v="9"/>
    <x v="20"/>
    <s v="SE4_OTHER"/>
    <x v="4"/>
    <x v="1"/>
    <s v="GBPR_WOODCHIPS_25"/>
    <x v="0"/>
    <x v="0"/>
    <n v="2.0569453912350801"/>
    <n v="750.78506780080204"/>
    <n v="2702.8262440828898"/>
  </r>
  <r>
    <x v="0"/>
    <x v="0"/>
    <x v="0"/>
    <x v="9"/>
    <x v="20"/>
    <s v="SE4_OTHER"/>
    <x v="4"/>
    <x v="1"/>
    <s v="GBPR_WOODCHIPS_25"/>
    <x v="0"/>
    <x v="1"/>
    <n v="23.054458844133102"/>
    <n v="8414.8774781085704"/>
    <n v="30293.558921190899"/>
  </r>
  <r>
    <x v="0"/>
    <x v="0"/>
    <x v="0"/>
    <x v="9"/>
    <x v="20"/>
    <s v="SE4_OTHER"/>
    <x v="4"/>
    <x v="1"/>
    <s v="GBPR_WOODCHIPS_25"/>
    <x v="0"/>
    <x v="2"/>
    <n v="23.054458844133102"/>
    <n v="8414.8774781085704"/>
    <n v="30293.558921190899"/>
  </r>
  <r>
    <x v="0"/>
    <x v="0"/>
    <x v="0"/>
    <x v="9"/>
    <x v="20"/>
    <s v="SE4_OTHER"/>
    <x v="4"/>
    <x v="1"/>
    <s v="GBPR_WOODCHIPS_25"/>
    <x v="0"/>
    <x v="9"/>
    <n v="23.054458844133102"/>
    <n v="8414.8774781085704"/>
    <n v="30293.558921190899"/>
  </r>
  <r>
    <x v="0"/>
    <x v="0"/>
    <x v="0"/>
    <x v="9"/>
    <x v="20"/>
    <s v="SE4_OTHER"/>
    <x v="4"/>
    <x v="1"/>
    <s v="GBPR_WOODCHIPS_25"/>
    <x v="0"/>
    <x v="10"/>
    <n v="6.9772318334310901"/>
    <n v="2546.6896192023501"/>
    <n v="9168.0826291284502"/>
  </r>
  <r>
    <x v="0"/>
    <x v="0"/>
    <x v="0"/>
    <x v="9"/>
    <x v="20"/>
    <s v="SE4_OTHER"/>
    <x v="12"/>
    <x v="1"/>
    <s v="GBPR_WOODWASTE_36"/>
    <x v="0"/>
    <x v="3"/>
    <n v="69.950290718038502"/>
    <n v="25531.8561120841"/>
    <n v="91914.682003502603"/>
  </r>
  <r>
    <x v="0"/>
    <x v="0"/>
    <x v="0"/>
    <x v="9"/>
    <x v="20"/>
    <s v="SE4_OTHER"/>
    <x v="12"/>
    <x v="1"/>
    <s v="GBPR_WOODWASTE_36"/>
    <x v="0"/>
    <x v="4"/>
    <n v="69.950290718038502"/>
    <n v="25531.8561120841"/>
    <n v="91914.682003502603"/>
  </r>
  <r>
    <x v="0"/>
    <x v="0"/>
    <x v="0"/>
    <x v="9"/>
    <x v="20"/>
    <s v="SE4_OTHER"/>
    <x v="12"/>
    <x v="1"/>
    <s v="GBPR_WOODWASTE_36"/>
    <x v="0"/>
    <x v="5"/>
    <n v="69.950290718038502"/>
    <n v="25531.8561120841"/>
    <n v="91914.682003502603"/>
  </r>
  <r>
    <x v="0"/>
    <x v="0"/>
    <x v="0"/>
    <x v="9"/>
    <x v="20"/>
    <s v="SE4_OTHER"/>
    <x v="12"/>
    <x v="1"/>
    <s v="GBPR_WOODWASTE_36"/>
    <x v="0"/>
    <x v="6"/>
    <n v="69.950290718038502"/>
    <n v="25531.8561120841"/>
    <n v="91914.682003502603"/>
  </r>
  <r>
    <x v="0"/>
    <x v="0"/>
    <x v="0"/>
    <x v="9"/>
    <x v="20"/>
    <s v="SE4_OTHER"/>
    <x v="12"/>
    <x v="1"/>
    <s v="GBPR_WOODWASTE_36"/>
    <x v="0"/>
    <x v="7"/>
    <n v="69.950290718038502"/>
    <n v="25531.8561120841"/>
    <n v="91914.682003502603"/>
  </r>
  <r>
    <x v="0"/>
    <x v="0"/>
    <x v="0"/>
    <x v="9"/>
    <x v="20"/>
    <s v="SE4_OTHER"/>
    <x v="12"/>
    <x v="1"/>
    <s v="GBPR_WOODWASTE_36"/>
    <x v="0"/>
    <x v="8"/>
    <n v="69.950290718038502"/>
    <n v="25531.8561120841"/>
    <n v="91914.682003502603"/>
  </r>
  <r>
    <x v="0"/>
    <x v="0"/>
    <x v="0"/>
    <x v="9"/>
    <x v="20"/>
    <s v="SE4_OTHER"/>
    <x v="12"/>
    <x v="1"/>
    <s v="GBPR_WOODWASTE_36"/>
    <x v="0"/>
    <x v="0"/>
    <n v="69.950290718038502"/>
    <n v="25531.8561120841"/>
    <n v="91914.682003502603"/>
  </r>
  <r>
    <x v="0"/>
    <x v="0"/>
    <x v="0"/>
    <x v="9"/>
    <x v="20"/>
    <s v="SE4_OTHER"/>
    <x v="12"/>
    <x v="1"/>
    <s v="GBPR_WOODWASTE_36"/>
    <x v="0"/>
    <x v="1"/>
    <n v="69.950290718038502"/>
    <n v="25531.8561120841"/>
    <n v="91914.682003502603"/>
  </r>
  <r>
    <x v="0"/>
    <x v="0"/>
    <x v="0"/>
    <x v="9"/>
    <x v="20"/>
    <s v="SE4_OTHER"/>
    <x v="12"/>
    <x v="1"/>
    <s v="GBPR_WOODWASTE_36"/>
    <x v="0"/>
    <x v="2"/>
    <n v="69.950290718038502"/>
    <n v="25531.8561120841"/>
    <n v="91914.682003502603"/>
  </r>
  <r>
    <x v="0"/>
    <x v="0"/>
    <x v="0"/>
    <x v="9"/>
    <x v="20"/>
    <s v="SE4_OTHER"/>
    <x v="12"/>
    <x v="1"/>
    <s v="GBPR_WOODWASTE_36"/>
    <x v="0"/>
    <x v="9"/>
    <n v="69.950290718038502"/>
    <n v="25531.8561120841"/>
    <n v="91914.682003502603"/>
  </r>
  <r>
    <x v="0"/>
    <x v="0"/>
    <x v="0"/>
    <x v="9"/>
    <x v="20"/>
    <s v="SE4_OTHER"/>
    <x v="12"/>
    <x v="1"/>
    <s v="GBPR_WOODWASTE_36"/>
    <x v="0"/>
    <x v="10"/>
    <n v="69.950290718038502"/>
    <n v="25531.8561120841"/>
    <n v="91914.682003502603"/>
  </r>
  <r>
    <x v="0"/>
    <x v="0"/>
    <x v="0"/>
    <x v="9"/>
    <x v="20"/>
    <s v="SE4_OTHER"/>
    <x v="12"/>
    <x v="1"/>
    <s v="GBPR_WOODWASTE_36"/>
    <x v="0"/>
    <x v="11"/>
    <n v="69.950290718038502"/>
    <n v="25531.8561120841"/>
    <n v="91914.682003502603"/>
  </r>
  <r>
    <x v="0"/>
    <x v="0"/>
    <x v="0"/>
    <x v="9"/>
    <x v="20"/>
    <s v="SE4_OTHER"/>
    <x v="12"/>
    <x v="1"/>
    <s v="GBPR_WOODWASTE_36"/>
    <x v="0"/>
    <x v="12"/>
    <n v="69.950290718038502"/>
    <n v="25531.8561120841"/>
    <n v="91914.682003502603"/>
  </r>
  <r>
    <x v="0"/>
    <x v="0"/>
    <x v="0"/>
    <x v="9"/>
    <x v="20"/>
    <s v="SE4_OTHER"/>
    <x v="12"/>
    <x v="1"/>
    <s v="GBPR_WOODWASTE_36"/>
    <x v="0"/>
    <x v="13"/>
    <n v="69.950290718038502"/>
    <n v="25531.8561120841"/>
    <n v="91914.682003502603"/>
  </r>
  <r>
    <x v="0"/>
    <x v="0"/>
    <x v="0"/>
    <x v="9"/>
    <x v="20"/>
    <s v="SE4_OTHER"/>
    <x v="12"/>
    <x v="1"/>
    <s v="GBPR_WOODWASTE_36"/>
    <x v="0"/>
    <x v="14"/>
    <n v="69.950290718038502"/>
    <n v="25531.8561120841"/>
    <n v="91914.682003502603"/>
  </r>
  <r>
    <x v="0"/>
    <x v="0"/>
    <x v="0"/>
    <x v="9"/>
    <x v="20"/>
    <s v="SE4_OTHER"/>
    <x v="12"/>
    <x v="1"/>
    <s v="GBPR_WOODWASTE_36"/>
    <x v="0"/>
    <x v="15"/>
    <n v="69.950290718038502"/>
    <n v="25531.8561120841"/>
    <n v="91914.682003502603"/>
  </r>
  <r>
    <x v="0"/>
    <x v="0"/>
    <x v="0"/>
    <x v="9"/>
    <x v="20"/>
    <s v="SE4_OTHER"/>
    <x v="12"/>
    <x v="1"/>
    <s v="GBPR_WOODWASTE_36"/>
    <x v="0"/>
    <x v="16"/>
    <n v="69.950290718038502"/>
    <n v="25531.8561120841"/>
    <n v="91914.682003502603"/>
  </r>
  <r>
    <x v="0"/>
    <x v="0"/>
    <x v="0"/>
    <x v="9"/>
    <x v="20"/>
    <s v="SE4_OTHER"/>
    <x v="12"/>
    <x v="1"/>
    <s v="GBPR_WOODWASTE_36"/>
    <x v="0"/>
    <x v="17"/>
    <n v="69.950290718038502"/>
    <n v="25531.8561120841"/>
    <n v="91914.682003502603"/>
  </r>
  <r>
    <x v="0"/>
    <x v="0"/>
    <x v="0"/>
    <x v="9"/>
    <x v="20"/>
    <s v="SE4_OTHER"/>
    <x v="12"/>
    <x v="1"/>
    <s v="GBPR_WOODWASTE_36"/>
    <x v="0"/>
    <x v="18"/>
    <n v="69.950290718038502"/>
    <n v="25531.8561120841"/>
    <n v="91914.682003502603"/>
  </r>
  <r>
    <x v="0"/>
    <x v="0"/>
    <x v="0"/>
    <x v="9"/>
    <x v="20"/>
    <s v="SE4_OTHER"/>
    <x v="12"/>
    <x v="1"/>
    <s v="GBPR_WOODWASTE_36"/>
    <x v="0"/>
    <x v="19"/>
    <n v="69.950290718038502"/>
    <n v="25531.8561120841"/>
    <n v="91914.682003502603"/>
  </r>
  <r>
    <x v="0"/>
    <x v="0"/>
    <x v="0"/>
    <x v="9"/>
    <x v="20"/>
    <s v="SE4_OTHER"/>
    <x v="12"/>
    <x v="1"/>
    <s v="GBPR_WOODWASTE_36"/>
    <x v="0"/>
    <x v="20"/>
    <n v="69.950290718038502"/>
    <n v="25531.8561120841"/>
    <n v="91914.682003502603"/>
  </r>
  <r>
    <x v="0"/>
    <x v="0"/>
    <x v="0"/>
    <x v="9"/>
    <x v="20"/>
    <s v="SE4_OTHER"/>
    <x v="12"/>
    <x v="1"/>
    <s v="GBPR_WOODWASTE_36"/>
    <x v="0"/>
    <x v="21"/>
    <n v="69.950290718038502"/>
    <n v="25531.8561120841"/>
    <n v="91914.682003502603"/>
  </r>
  <r>
    <x v="0"/>
    <x v="0"/>
    <x v="0"/>
    <x v="9"/>
    <x v="20"/>
    <s v="SE4_OTHER"/>
    <x v="12"/>
    <x v="1"/>
    <s v="GBPR_WOODWASTE_36"/>
    <x v="0"/>
    <x v="22"/>
    <n v="69.950290718038502"/>
    <n v="25531.8561120841"/>
    <n v="91914.682003502603"/>
  </r>
  <r>
    <x v="0"/>
    <x v="0"/>
    <x v="0"/>
    <x v="9"/>
    <x v="20"/>
    <s v="SE4_OTHER"/>
    <x v="12"/>
    <x v="1"/>
    <s v="GBPR_WOODWASTE_36"/>
    <x v="0"/>
    <x v="23"/>
    <n v="69.950290718038502"/>
    <n v="25531.8561120841"/>
    <n v="91914.682003502603"/>
  </r>
  <r>
    <x v="0"/>
    <x v="0"/>
    <x v="0"/>
    <x v="10"/>
    <x v="21"/>
    <s v="UK_A"/>
    <x v="9"/>
    <x v="2"/>
    <s v="GNR_ST_BGAS_CND_E-45"/>
    <x v="0"/>
    <x v="16"/>
    <n v="550.993459079687"/>
    <n v="201112.61256408601"/>
    <n v="724005.40523070795"/>
  </r>
  <r>
    <x v="0"/>
    <x v="0"/>
    <x v="0"/>
    <x v="10"/>
    <x v="21"/>
    <s v="UK_A"/>
    <x v="9"/>
    <x v="2"/>
    <s v="GNR_ST_BGAS_CND_E-45"/>
    <x v="0"/>
    <x v="17"/>
    <n v="1281.4736468554299"/>
    <n v="467737.88110223197"/>
    <n v="1683856.37196804"/>
  </r>
  <r>
    <x v="0"/>
    <x v="0"/>
    <x v="0"/>
    <x v="10"/>
    <x v="21"/>
    <s v="UK_A"/>
    <x v="9"/>
    <x v="2"/>
    <s v="GNR_ST_BGAS_CND_E-45"/>
    <x v="0"/>
    <x v="18"/>
    <n v="2401"/>
    <n v="876365"/>
    <n v="3154914"/>
  </r>
  <r>
    <x v="0"/>
    <x v="0"/>
    <x v="0"/>
    <x v="10"/>
    <x v="21"/>
    <s v="UK_A"/>
    <x v="9"/>
    <x v="2"/>
    <s v="GNR_ST_BGAS_CND_E-45"/>
    <x v="0"/>
    <x v="19"/>
    <n v="150.483578344541"/>
    <n v="54926.5060957573"/>
    <n v="197735.421944726"/>
  </r>
  <r>
    <x v="0"/>
    <x v="0"/>
    <x v="0"/>
    <x v="10"/>
    <x v="21"/>
    <s v="UK_A"/>
    <x v="0"/>
    <x v="2"/>
    <s v="GNR_ST_COAL_CND_E-35"/>
    <x v="0"/>
    <x v="17"/>
    <n v="2507.0076298905601"/>
    <n v="915057.78491005395"/>
    <n v="3294208.0256762002"/>
  </r>
  <r>
    <x v="0"/>
    <x v="0"/>
    <x v="0"/>
    <x v="10"/>
    <x v="21"/>
    <s v="UK_A"/>
    <x v="0"/>
    <x v="2"/>
    <s v="GNR_ST_COAL_CND_E-35"/>
    <x v="0"/>
    <x v="18"/>
    <n v="308.66100291728901"/>
    <n v="112661.26606481"/>
    <n v="405580.55783331703"/>
  </r>
  <r>
    <x v="0"/>
    <x v="0"/>
    <x v="0"/>
    <x v="10"/>
    <x v="21"/>
    <s v="UK_A"/>
    <x v="1"/>
    <x v="2"/>
    <s v="GNR_ST_MSW_CND_E-40"/>
    <x v="0"/>
    <x v="3"/>
    <n v="806"/>
    <n v="294190"/>
    <n v="1059084"/>
  </r>
  <r>
    <x v="0"/>
    <x v="0"/>
    <x v="0"/>
    <x v="10"/>
    <x v="21"/>
    <s v="UK_A"/>
    <x v="1"/>
    <x v="2"/>
    <s v="GNR_ST_MSW_CND_E-40"/>
    <x v="0"/>
    <x v="4"/>
    <n v="806"/>
    <n v="294190"/>
    <n v="1059084"/>
  </r>
  <r>
    <x v="0"/>
    <x v="0"/>
    <x v="0"/>
    <x v="10"/>
    <x v="21"/>
    <s v="UK_A"/>
    <x v="1"/>
    <x v="2"/>
    <s v="GNR_ST_MSW_CND_E-40"/>
    <x v="0"/>
    <x v="5"/>
    <n v="806"/>
    <n v="294190"/>
    <n v="1059084"/>
  </r>
  <r>
    <x v="0"/>
    <x v="0"/>
    <x v="0"/>
    <x v="10"/>
    <x v="21"/>
    <s v="UK_A"/>
    <x v="1"/>
    <x v="2"/>
    <s v="GNR_ST_MSW_CND_E-40"/>
    <x v="0"/>
    <x v="6"/>
    <n v="806"/>
    <n v="294190"/>
    <n v="1059084"/>
  </r>
  <r>
    <x v="0"/>
    <x v="0"/>
    <x v="0"/>
    <x v="10"/>
    <x v="21"/>
    <s v="UK_A"/>
    <x v="1"/>
    <x v="2"/>
    <s v="GNR_ST_MSW_CND_E-40"/>
    <x v="0"/>
    <x v="7"/>
    <n v="806"/>
    <n v="294190"/>
    <n v="1059084"/>
  </r>
  <r>
    <x v="0"/>
    <x v="0"/>
    <x v="0"/>
    <x v="10"/>
    <x v="21"/>
    <s v="UK_A"/>
    <x v="1"/>
    <x v="2"/>
    <s v="GNR_ST_MSW_CND_E-40"/>
    <x v="0"/>
    <x v="8"/>
    <n v="806"/>
    <n v="294190"/>
    <n v="1059084"/>
  </r>
  <r>
    <x v="0"/>
    <x v="0"/>
    <x v="0"/>
    <x v="10"/>
    <x v="21"/>
    <s v="UK_A"/>
    <x v="1"/>
    <x v="2"/>
    <s v="GNR_ST_MSW_CND_E-40"/>
    <x v="0"/>
    <x v="0"/>
    <n v="806"/>
    <n v="294190"/>
    <n v="1059084"/>
  </r>
  <r>
    <x v="0"/>
    <x v="0"/>
    <x v="0"/>
    <x v="10"/>
    <x v="21"/>
    <s v="UK_A"/>
    <x v="1"/>
    <x v="2"/>
    <s v="GNR_ST_MSW_CND_E-40"/>
    <x v="0"/>
    <x v="1"/>
    <n v="806"/>
    <n v="294190"/>
    <n v="1059084"/>
  </r>
  <r>
    <x v="0"/>
    <x v="0"/>
    <x v="0"/>
    <x v="10"/>
    <x v="21"/>
    <s v="UK_A"/>
    <x v="1"/>
    <x v="2"/>
    <s v="GNR_ST_MSW_CND_E-40"/>
    <x v="0"/>
    <x v="2"/>
    <n v="806"/>
    <n v="294190"/>
    <n v="1059084"/>
  </r>
  <r>
    <x v="0"/>
    <x v="0"/>
    <x v="0"/>
    <x v="10"/>
    <x v="21"/>
    <s v="UK_A"/>
    <x v="1"/>
    <x v="2"/>
    <s v="GNR_ST_MSW_CND_E-40"/>
    <x v="0"/>
    <x v="9"/>
    <n v="806"/>
    <n v="294190"/>
    <n v="1059084"/>
  </r>
  <r>
    <x v="0"/>
    <x v="0"/>
    <x v="0"/>
    <x v="10"/>
    <x v="21"/>
    <s v="UK_A"/>
    <x v="1"/>
    <x v="2"/>
    <s v="GNR_ST_MSW_CND_E-40"/>
    <x v="0"/>
    <x v="10"/>
    <n v="806"/>
    <n v="294190"/>
    <n v="1059084"/>
  </r>
  <r>
    <x v="0"/>
    <x v="0"/>
    <x v="0"/>
    <x v="10"/>
    <x v="21"/>
    <s v="UK_A"/>
    <x v="1"/>
    <x v="2"/>
    <s v="GNR_ST_MSW_CND_E-40"/>
    <x v="0"/>
    <x v="11"/>
    <n v="806"/>
    <n v="294190"/>
    <n v="1059084"/>
  </r>
  <r>
    <x v="0"/>
    <x v="0"/>
    <x v="0"/>
    <x v="10"/>
    <x v="21"/>
    <s v="UK_A"/>
    <x v="1"/>
    <x v="2"/>
    <s v="GNR_ST_MSW_CND_E-40"/>
    <x v="0"/>
    <x v="12"/>
    <n v="806"/>
    <n v="294190"/>
    <n v="1059084"/>
  </r>
  <r>
    <x v="0"/>
    <x v="0"/>
    <x v="0"/>
    <x v="10"/>
    <x v="21"/>
    <s v="UK_A"/>
    <x v="1"/>
    <x v="2"/>
    <s v="GNR_ST_MSW_CND_E-40"/>
    <x v="0"/>
    <x v="13"/>
    <n v="806"/>
    <n v="294190"/>
    <n v="1059084"/>
  </r>
  <r>
    <x v="0"/>
    <x v="0"/>
    <x v="0"/>
    <x v="10"/>
    <x v="21"/>
    <s v="UK_A"/>
    <x v="1"/>
    <x v="2"/>
    <s v="GNR_ST_MSW_CND_E-40"/>
    <x v="0"/>
    <x v="14"/>
    <n v="806"/>
    <n v="294190"/>
    <n v="1059084"/>
  </r>
  <r>
    <x v="0"/>
    <x v="0"/>
    <x v="0"/>
    <x v="10"/>
    <x v="21"/>
    <s v="UK_A"/>
    <x v="1"/>
    <x v="2"/>
    <s v="GNR_ST_MSW_CND_E-40"/>
    <x v="0"/>
    <x v="15"/>
    <n v="806"/>
    <n v="294190"/>
    <n v="1059084"/>
  </r>
  <r>
    <x v="0"/>
    <x v="0"/>
    <x v="0"/>
    <x v="10"/>
    <x v="21"/>
    <s v="UK_A"/>
    <x v="1"/>
    <x v="2"/>
    <s v="GNR_ST_MSW_CND_E-40"/>
    <x v="0"/>
    <x v="16"/>
    <n v="806"/>
    <n v="294190"/>
    <n v="1059084"/>
  </r>
  <r>
    <x v="0"/>
    <x v="0"/>
    <x v="0"/>
    <x v="10"/>
    <x v="21"/>
    <s v="UK_A"/>
    <x v="1"/>
    <x v="2"/>
    <s v="GNR_ST_MSW_CND_E-40"/>
    <x v="0"/>
    <x v="17"/>
    <n v="806"/>
    <n v="294190"/>
    <n v="1059084"/>
  </r>
  <r>
    <x v="0"/>
    <x v="0"/>
    <x v="0"/>
    <x v="10"/>
    <x v="21"/>
    <s v="UK_A"/>
    <x v="1"/>
    <x v="2"/>
    <s v="GNR_ST_MSW_CND_E-40"/>
    <x v="0"/>
    <x v="18"/>
    <n v="806"/>
    <n v="294190"/>
    <n v="1059084"/>
  </r>
  <r>
    <x v="0"/>
    <x v="0"/>
    <x v="0"/>
    <x v="10"/>
    <x v="21"/>
    <s v="UK_A"/>
    <x v="1"/>
    <x v="2"/>
    <s v="GNR_ST_MSW_CND_E-40"/>
    <x v="0"/>
    <x v="19"/>
    <n v="806"/>
    <n v="294190"/>
    <n v="1059084"/>
  </r>
  <r>
    <x v="0"/>
    <x v="0"/>
    <x v="0"/>
    <x v="10"/>
    <x v="21"/>
    <s v="UK_A"/>
    <x v="1"/>
    <x v="2"/>
    <s v="GNR_ST_MSW_CND_E-40"/>
    <x v="0"/>
    <x v="20"/>
    <n v="806"/>
    <n v="294190"/>
    <n v="1059084"/>
  </r>
  <r>
    <x v="0"/>
    <x v="0"/>
    <x v="0"/>
    <x v="10"/>
    <x v="21"/>
    <s v="UK_A"/>
    <x v="1"/>
    <x v="2"/>
    <s v="GNR_ST_MSW_CND_E-40"/>
    <x v="0"/>
    <x v="21"/>
    <n v="806"/>
    <n v="294190"/>
    <n v="1059084"/>
  </r>
  <r>
    <x v="0"/>
    <x v="0"/>
    <x v="0"/>
    <x v="10"/>
    <x v="21"/>
    <s v="UK_A"/>
    <x v="1"/>
    <x v="2"/>
    <s v="GNR_ST_MSW_CND_E-40"/>
    <x v="0"/>
    <x v="22"/>
    <n v="806"/>
    <n v="294190"/>
    <n v="1059084"/>
  </r>
  <r>
    <x v="0"/>
    <x v="0"/>
    <x v="0"/>
    <x v="10"/>
    <x v="21"/>
    <s v="UK_A"/>
    <x v="1"/>
    <x v="2"/>
    <s v="GNR_ST_MSW_CND_E-40"/>
    <x v="0"/>
    <x v="23"/>
    <n v="806"/>
    <n v="294190"/>
    <n v="1059084"/>
  </r>
  <r>
    <x v="0"/>
    <x v="0"/>
    <x v="0"/>
    <x v="10"/>
    <x v="21"/>
    <s v="UK_A"/>
    <x v="2"/>
    <x v="2"/>
    <s v="GNR_CC_NGAS_CND_E-47"/>
    <x v="0"/>
    <x v="0"/>
    <n v="1107.3040995301801"/>
    <n v="404165.996328515"/>
    <n v="1454997.5867826501"/>
  </r>
  <r>
    <x v="0"/>
    <x v="0"/>
    <x v="0"/>
    <x v="10"/>
    <x v="21"/>
    <s v="UK_A"/>
    <x v="2"/>
    <x v="2"/>
    <s v="GNR_CC_NGAS_CND_E-47"/>
    <x v="0"/>
    <x v="1"/>
    <n v="8368.2437741886806"/>
    <n v="3054408.97757887"/>
    <n v="10995872.319283901"/>
  </r>
  <r>
    <x v="0"/>
    <x v="0"/>
    <x v="0"/>
    <x v="10"/>
    <x v="21"/>
    <s v="UK_A"/>
    <x v="2"/>
    <x v="2"/>
    <s v="GNR_CC_NGAS_CND_E-47"/>
    <x v="0"/>
    <x v="2"/>
    <n v="10357.196130918899"/>
    <n v="3780376.5877854102"/>
    <n v="13609355.7160275"/>
  </r>
  <r>
    <x v="0"/>
    <x v="0"/>
    <x v="0"/>
    <x v="10"/>
    <x v="21"/>
    <s v="UK_A"/>
    <x v="2"/>
    <x v="2"/>
    <s v="GNR_CC_NGAS_CND_E-47"/>
    <x v="0"/>
    <x v="9"/>
    <n v="10763.016185892"/>
    <n v="3928500.90785057"/>
    <n v="14142603.268262099"/>
  </r>
  <r>
    <x v="0"/>
    <x v="0"/>
    <x v="0"/>
    <x v="10"/>
    <x v="21"/>
    <s v="UK_A"/>
    <x v="2"/>
    <x v="2"/>
    <s v="GNR_CC_NGAS_CND_E-47"/>
    <x v="0"/>
    <x v="10"/>
    <n v="10692.7420592786"/>
    <n v="3902850.8516366999"/>
    <n v="14050263.0658921"/>
  </r>
  <r>
    <x v="0"/>
    <x v="0"/>
    <x v="0"/>
    <x v="10"/>
    <x v="21"/>
    <s v="UK_A"/>
    <x v="2"/>
    <x v="2"/>
    <s v="GNR_CC_NGAS_CND_E-47"/>
    <x v="0"/>
    <x v="11"/>
    <n v="10643.746735172999"/>
    <n v="3884967.5583381299"/>
    <n v="13985883.210017299"/>
  </r>
  <r>
    <x v="0"/>
    <x v="0"/>
    <x v="0"/>
    <x v="10"/>
    <x v="21"/>
    <s v="UK_A"/>
    <x v="2"/>
    <x v="2"/>
    <s v="GNR_CC_NGAS_CND_E-47"/>
    <x v="0"/>
    <x v="12"/>
    <n v="10270.687214612501"/>
    <n v="3748800.83333357"/>
    <n v="13495683.0000009"/>
  </r>
  <r>
    <x v="0"/>
    <x v="0"/>
    <x v="0"/>
    <x v="10"/>
    <x v="21"/>
    <s v="UK_A"/>
    <x v="2"/>
    <x v="2"/>
    <s v="GNR_CC_NGAS_CND_E-47"/>
    <x v="0"/>
    <x v="13"/>
    <n v="10976.040090203"/>
    <n v="4006254.6329240901"/>
    <n v="14422516.6785267"/>
  </r>
  <r>
    <x v="0"/>
    <x v="0"/>
    <x v="0"/>
    <x v="10"/>
    <x v="21"/>
    <s v="UK_A"/>
    <x v="2"/>
    <x v="2"/>
    <s v="GNR_CC_NGAS_CND_E-47"/>
    <x v="0"/>
    <x v="14"/>
    <n v="13255.2432728193"/>
    <n v="4838163.79457903"/>
    <n v="17417389.6604845"/>
  </r>
  <r>
    <x v="0"/>
    <x v="0"/>
    <x v="0"/>
    <x v="10"/>
    <x v="21"/>
    <s v="UK_A"/>
    <x v="2"/>
    <x v="2"/>
    <s v="GNR_CC_NGAS_CND_E-47"/>
    <x v="0"/>
    <x v="15"/>
    <n v="14528"/>
    <n v="5302720"/>
    <n v="19089792"/>
  </r>
  <r>
    <x v="0"/>
    <x v="0"/>
    <x v="0"/>
    <x v="10"/>
    <x v="21"/>
    <s v="UK_A"/>
    <x v="2"/>
    <x v="2"/>
    <s v="GNR_CC_NGAS_CND_E-47"/>
    <x v="0"/>
    <x v="16"/>
    <n v="14528"/>
    <n v="5302720"/>
    <n v="19089792"/>
  </r>
  <r>
    <x v="0"/>
    <x v="0"/>
    <x v="0"/>
    <x v="10"/>
    <x v="21"/>
    <s v="UK_A"/>
    <x v="2"/>
    <x v="2"/>
    <s v="GNR_CC_NGAS_CND_E-47"/>
    <x v="0"/>
    <x v="17"/>
    <n v="14528"/>
    <n v="5302720"/>
    <n v="19089792"/>
  </r>
  <r>
    <x v="0"/>
    <x v="0"/>
    <x v="0"/>
    <x v="10"/>
    <x v="21"/>
    <s v="UK_A"/>
    <x v="2"/>
    <x v="2"/>
    <s v="GNR_CC_NGAS_CND_E-47"/>
    <x v="0"/>
    <x v="18"/>
    <n v="14528"/>
    <n v="5302720"/>
    <n v="19089792"/>
  </r>
  <r>
    <x v="0"/>
    <x v="0"/>
    <x v="0"/>
    <x v="10"/>
    <x v="21"/>
    <s v="UK_A"/>
    <x v="2"/>
    <x v="2"/>
    <s v="GNR_CC_NGAS_CND_E-47"/>
    <x v="0"/>
    <x v="19"/>
    <n v="14528"/>
    <n v="5302720"/>
    <n v="19089792"/>
  </r>
  <r>
    <x v="0"/>
    <x v="0"/>
    <x v="0"/>
    <x v="10"/>
    <x v="21"/>
    <s v="UK_A"/>
    <x v="2"/>
    <x v="2"/>
    <s v="GNR_CC_NGAS_CND_E-47"/>
    <x v="0"/>
    <x v="20"/>
    <n v="14528"/>
    <n v="5302720"/>
    <n v="19089792"/>
  </r>
  <r>
    <x v="0"/>
    <x v="0"/>
    <x v="0"/>
    <x v="10"/>
    <x v="21"/>
    <s v="UK_A"/>
    <x v="2"/>
    <x v="2"/>
    <s v="GNR_CC_NGAS_CND_E-47"/>
    <x v="0"/>
    <x v="21"/>
    <n v="13558.9060273785"/>
    <n v="4949000.6999931503"/>
    <n v="17816402.519975301"/>
  </r>
  <r>
    <x v="0"/>
    <x v="0"/>
    <x v="0"/>
    <x v="10"/>
    <x v="21"/>
    <s v="UK_A"/>
    <x v="2"/>
    <x v="2"/>
    <s v="GNR_CC_NGAS_CND_E-47"/>
    <x v="0"/>
    <x v="22"/>
    <n v="8775.5334119339204"/>
    <n v="3203069.6953558801"/>
    <n v="11531050.903281201"/>
  </r>
  <r>
    <x v="0"/>
    <x v="0"/>
    <x v="0"/>
    <x v="10"/>
    <x v="21"/>
    <s v="UK_A"/>
    <x v="2"/>
    <x v="2"/>
    <s v="GNR_CC_NGAS_CND_E-47"/>
    <x v="0"/>
    <x v="23"/>
    <n v="4752.95820782786"/>
    <n v="1734829.7458571701"/>
    <n v="6245387.0850858102"/>
  </r>
  <r>
    <x v="0"/>
    <x v="0"/>
    <x v="0"/>
    <x v="10"/>
    <x v="21"/>
    <s v="UK_A"/>
    <x v="2"/>
    <x v="2"/>
    <s v="GNR_CC_NGAS_CND_E-52"/>
    <x v="0"/>
    <x v="3"/>
    <n v="5415.3376617588801"/>
    <n v="1976598.24654199"/>
    <n v="7115753.6875511697"/>
  </r>
  <r>
    <x v="0"/>
    <x v="0"/>
    <x v="0"/>
    <x v="10"/>
    <x v="21"/>
    <s v="UK_A"/>
    <x v="2"/>
    <x v="2"/>
    <s v="GNR_CC_NGAS_CND_E-52"/>
    <x v="0"/>
    <x v="4"/>
    <n v="4476.5727543295297"/>
    <n v="1633949.05533028"/>
    <n v="5882216.5991890002"/>
  </r>
  <r>
    <x v="0"/>
    <x v="0"/>
    <x v="0"/>
    <x v="10"/>
    <x v="21"/>
    <s v="UK_A"/>
    <x v="2"/>
    <x v="2"/>
    <s v="GNR_CC_NGAS_CND_E-52"/>
    <x v="0"/>
    <x v="5"/>
    <n v="3238.3714807925699"/>
    <n v="1182005.59048929"/>
    <n v="4255220.1257614298"/>
  </r>
  <r>
    <x v="0"/>
    <x v="0"/>
    <x v="0"/>
    <x v="10"/>
    <x v="21"/>
    <s v="UK_A"/>
    <x v="2"/>
    <x v="2"/>
    <s v="GNR_CC_NGAS_CND_E-52"/>
    <x v="0"/>
    <x v="6"/>
    <n v="1914.57679966917"/>
    <n v="698820.53187924705"/>
    <n v="2515753.91476529"/>
  </r>
  <r>
    <x v="0"/>
    <x v="0"/>
    <x v="0"/>
    <x v="10"/>
    <x v="21"/>
    <s v="UK_A"/>
    <x v="2"/>
    <x v="2"/>
    <s v="GNR_CC_NGAS_CND_E-52"/>
    <x v="0"/>
    <x v="7"/>
    <n v="1054.6474299804099"/>
    <n v="384946.31194285001"/>
    <n v="1385806.72299426"/>
  </r>
  <r>
    <x v="0"/>
    <x v="0"/>
    <x v="0"/>
    <x v="10"/>
    <x v="21"/>
    <s v="UK_A"/>
    <x v="2"/>
    <x v="2"/>
    <s v="GNR_CC_NGAS_CND_E-52"/>
    <x v="0"/>
    <x v="8"/>
    <n v="2315.64463219758"/>
    <n v="845210.29075211799"/>
    <n v="3042757.0467076302"/>
  </r>
  <r>
    <x v="0"/>
    <x v="0"/>
    <x v="0"/>
    <x v="10"/>
    <x v="21"/>
    <s v="UK_A"/>
    <x v="2"/>
    <x v="2"/>
    <s v="GNR_CC_NGAS_CND_E-52"/>
    <x v="0"/>
    <x v="0"/>
    <n v="6950"/>
    <n v="2536750"/>
    <n v="9132300"/>
  </r>
  <r>
    <x v="0"/>
    <x v="0"/>
    <x v="0"/>
    <x v="10"/>
    <x v="21"/>
    <s v="UK_A"/>
    <x v="2"/>
    <x v="2"/>
    <s v="GNR_CC_NGAS_CND_E-52"/>
    <x v="0"/>
    <x v="1"/>
    <n v="6950"/>
    <n v="2536750"/>
    <n v="9132300"/>
  </r>
  <r>
    <x v="0"/>
    <x v="0"/>
    <x v="0"/>
    <x v="10"/>
    <x v="21"/>
    <s v="UK_A"/>
    <x v="2"/>
    <x v="2"/>
    <s v="GNR_CC_NGAS_CND_E-52"/>
    <x v="0"/>
    <x v="2"/>
    <n v="6950"/>
    <n v="2536750"/>
    <n v="9132300"/>
  </r>
  <r>
    <x v="0"/>
    <x v="0"/>
    <x v="0"/>
    <x v="10"/>
    <x v="21"/>
    <s v="UK_A"/>
    <x v="2"/>
    <x v="2"/>
    <s v="GNR_CC_NGAS_CND_E-52"/>
    <x v="0"/>
    <x v="9"/>
    <n v="6950"/>
    <n v="2536750"/>
    <n v="9132300"/>
  </r>
  <r>
    <x v="0"/>
    <x v="0"/>
    <x v="0"/>
    <x v="10"/>
    <x v="21"/>
    <s v="UK_A"/>
    <x v="2"/>
    <x v="2"/>
    <s v="GNR_CC_NGAS_CND_E-52"/>
    <x v="0"/>
    <x v="10"/>
    <n v="6950"/>
    <n v="2536750"/>
    <n v="9132300"/>
  </r>
  <r>
    <x v="0"/>
    <x v="0"/>
    <x v="0"/>
    <x v="10"/>
    <x v="21"/>
    <s v="UK_A"/>
    <x v="2"/>
    <x v="2"/>
    <s v="GNR_CC_NGAS_CND_E-52"/>
    <x v="0"/>
    <x v="11"/>
    <n v="6950"/>
    <n v="2536750"/>
    <n v="9132300"/>
  </r>
  <r>
    <x v="0"/>
    <x v="0"/>
    <x v="0"/>
    <x v="10"/>
    <x v="21"/>
    <s v="UK_A"/>
    <x v="2"/>
    <x v="2"/>
    <s v="GNR_CC_NGAS_CND_E-52"/>
    <x v="0"/>
    <x v="12"/>
    <n v="6950"/>
    <n v="2536750"/>
    <n v="9132300"/>
  </r>
  <r>
    <x v="0"/>
    <x v="0"/>
    <x v="0"/>
    <x v="10"/>
    <x v="21"/>
    <s v="UK_A"/>
    <x v="2"/>
    <x v="2"/>
    <s v="GNR_CC_NGAS_CND_E-52"/>
    <x v="0"/>
    <x v="13"/>
    <n v="6950"/>
    <n v="2536750"/>
    <n v="9132300"/>
  </r>
  <r>
    <x v="0"/>
    <x v="0"/>
    <x v="0"/>
    <x v="10"/>
    <x v="21"/>
    <s v="UK_A"/>
    <x v="2"/>
    <x v="2"/>
    <s v="GNR_CC_NGAS_CND_E-52"/>
    <x v="0"/>
    <x v="14"/>
    <n v="6950"/>
    <n v="2536750"/>
    <n v="9132300"/>
  </r>
  <r>
    <x v="0"/>
    <x v="0"/>
    <x v="0"/>
    <x v="10"/>
    <x v="21"/>
    <s v="UK_A"/>
    <x v="2"/>
    <x v="2"/>
    <s v="GNR_CC_NGAS_CND_E-52"/>
    <x v="0"/>
    <x v="15"/>
    <n v="6950"/>
    <n v="2536750"/>
    <n v="9132300"/>
  </r>
  <r>
    <x v="0"/>
    <x v="0"/>
    <x v="0"/>
    <x v="10"/>
    <x v="21"/>
    <s v="UK_A"/>
    <x v="2"/>
    <x v="2"/>
    <s v="GNR_CC_NGAS_CND_E-52"/>
    <x v="0"/>
    <x v="16"/>
    <n v="6950"/>
    <n v="2536750"/>
    <n v="9132300"/>
  </r>
  <r>
    <x v="0"/>
    <x v="0"/>
    <x v="0"/>
    <x v="10"/>
    <x v="21"/>
    <s v="UK_A"/>
    <x v="2"/>
    <x v="2"/>
    <s v="GNR_CC_NGAS_CND_E-52"/>
    <x v="0"/>
    <x v="17"/>
    <n v="6950"/>
    <n v="2536750"/>
    <n v="9132300"/>
  </r>
  <r>
    <x v="0"/>
    <x v="0"/>
    <x v="0"/>
    <x v="10"/>
    <x v="21"/>
    <s v="UK_A"/>
    <x v="2"/>
    <x v="2"/>
    <s v="GNR_CC_NGAS_CND_E-52"/>
    <x v="0"/>
    <x v="18"/>
    <n v="6950"/>
    <n v="2536750"/>
    <n v="9132300"/>
  </r>
  <r>
    <x v="0"/>
    <x v="0"/>
    <x v="0"/>
    <x v="10"/>
    <x v="21"/>
    <s v="UK_A"/>
    <x v="2"/>
    <x v="2"/>
    <s v="GNR_CC_NGAS_CND_E-52"/>
    <x v="0"/>
    <x v="19"/>
    <n v="6950"/>
    <n v="2536750"/>
    <n v="9132300"/>
  </r>
  <r>
    <x v="0"/>
    <x v="0"/>
    <x v="0"/>
    <x v="10"/>
    <x v="21"/>
    <s v="UK_A"/>
    <x v="2"/>
    <x v="2"/>
    <s v="GNR_CC_NGAS_CND_E-52"/>
    <x v="0"/>
    <x v="20"/>
    <n v="6950"/>
    <n v="2536750"/>
    <n v="9132300"/>
  </r>
  <r>
    <x v="0"/>
    <x v="0"/>
    <x v="0"/>
    <x v="10"/>
    <x v="21"/>
    <s v="UK_A"/>
    <x v="2"/>
    <x v="2"/>
    <s v="GNR_CC_NGAS_CND_E-52"/>
    <x v="0"/>
    <x v="21"/>
    <n v="6950"/>
    <n v="2536750"/>
    <n v="9132300"/>
  </r>
  <r>
    <x v="0"/>
    <x v="0"/>
    <x v="0"/>
    <x v="10"/>
    <x v="21"/>
    <s v="UK_A"/>
    <x v="2"/>
    <x v="2"/>
    <s v="GNR_CC_NGAS_CND_E-52"/>
    <x v="0"/>
    <x v="22"/>
    <n v="6950"/>
    <n v="2536750"/>
    <n v="9132300"/>
  </r>
  <r>
    <x v="0"/>
    <x v="0"/>
    <x v="0"/>
    <x v="10"/>
    <x v="21"/>
    <s v="UK_A"/>
    <x v="2"/>
    <x v="2"/>
    <s v="GNR_CC_NGAS_CND_E-52"/>
    <x v="0"/>
    <x v="23"/>
    <n v="6950"/>
    <n v="2536750"/>
    <n v="9132300"/>
  </r>
  <r>
    <x v="0"/>
    <x v="0"/>
    <x v="0"/>
    <x v="10"/>
    <x v="21"/>
    <s v="UK_A"/>
    <x v="2"/>
    <x v="2"/>
    <s v="GNR_CC_NGAS_CND_E-56"/>
    <x v="0"/>
    <x v="3"/>
    <n v="9060"/>
    <n v="3306900"/>
    <n v="11904840"/>
  </r>
  <r>
    <x v="0"/>
    <x v="0"/>
    <x v="0"/>
    <x v="10"/>
    <x v="21"/>
    <s v="UK_A"/>
    <x v="2"/>
    <x v="2"/>
    <s v="GNR_CC_NGAS_CND_E-56"/>
    <x v="0"/>
    <x v="4"/>
    <n v="9060"/>
    <n v="3306900"/>
    <n v="11904840"/>
  </r>
  <r>
    <x v="0"/>
    <x v="0"/>
    <x v="0"/>
    <x v="10"/>
    <x v="21"/>
    <s v="UK_A"/>
    <x v="2"/>
    <x v="2"/>
    <s v="GNR_CC_NGAS_CND_E-56"/>
    <x v="0"/>
    <x v="5"/>
    <n v="9060"/>
    <n v="3306900"/>
    <n v="11904840"/>
  </r>
  <r>
    <x v="0"/>
    <x v="0"/>
    <x v="0"/>
    <x v="10"/>
    <x v="21"/>
    <s v="UK_A"/>
    <x v="2"/>
    <x v="2"/>
    <s v="GNR_CC_NGAS_CND_E-56"/>
    <x v="0"/>
    <x v="6"/>
    <n v="9060"/>
    <n v="3306900"/>
    <n v="11904840"/>
  </r>
  <r>
    <x v="0"/>
    <x v="0"/>
    <x v="0"/>
    <x v="10"/>
    <x v="21"/>
    <s v="UK_A"/>
    <x v="2"/>
    <x v="2"/>
    <s v="GNR_CC_NGAS_CND_E-56"/>
    <x v="0"/>
    <x v="7"/>
    <n v="9060"/>
    <n v="3306900"/>
    <n v="11904840"/>
  </r>
  <r>
    <x v="0"/>
    <x v="0"/>
    <x v="0"/>
    <x v="10"/>
    <x v="21"/>
    <s v="UK_A"/>
    <x v="2"/>
    <x v="2"/>
    <s v="GNR_CC_NGAS_CND_E-56"/>
    <x v="0"/>
    <x v="8"/>
    <n v="9060"/>
    <n v="3306900"/>
    <n v="11904840"/>
  </r>
  <r>
    <x v="0"/>
    <x v="0"/>
    <x v="0"/>
    <x v="10"/>
    <x v="21"/>
    <s v="UK_A"/>
    <x v="2"/>
    <x v="2"/>
    <s v="GNR_CC_NGAS_CND_E-56"/>
    <x v="0"/>
    <x v="0"/>
    <n v="9060"/>
    <n v="3306900"/>
    <n v="11904840"/>
  </r>
  <r>
    <x v="0"/>
    <x v="0"/>
    <x v="0"/>
    <x v="10"/>
    <x v="21"/>
    <s v="UK_A"/>
    <x v="2"/>
    <x v="2"/>
    <s v="GNR_CC_NGAS_CND_E-56"/>
    <x v="0"/>
    <x v="1"/>
    <n v="9060"/>
    <n v="3306900"/>
    <n v="11904840"/>
  </r>
  <r>
    <x v="0"/>
    <x v="0"/>
    <x v="0"/>
    <x v="10"/>
    <x v="21"/>
    <s v="UK_A"/>
    <x v="2"/>
    <x v="2"/>
    <s v="GNR_CC_NGAS_CND_E-56"/>
    <x v="0"/>
    <x v="2"/>
    <n v="9060"/>
    <n v="3306900"/>
    <n v="11904840"/>
  </r>
  <r>
    <x v="0"/>
    <x v="0"/>
    <x v="0"/>
    <x v="10"/>
    <x v="21"/>
    <s v="UK_A"/>
    <x v="2"/>
    <x v="2"/>
    <s v="GNR_CC_NGAS_CND_E-56"/>
    <x v="0"/>
    <x v="9"/>
    <n v="9060"/>
    <n v="3306900"/>
    <n v="11904840"/>
  </r>
  <r>
    <x v="0"/>
    <x v="0"/>
    <x v="0"/>
    <x v="10"/>
    <x v="21"/>
    <s v="UK_A"/>
    <x v="2"/>
    <x v="2"/>
    <s v="GNR_CC_NGAS_CND_E-56"/>
    <x v="0"/>
    <x v="10"/>
    <n v="9060"/>
    <n v="3306900"/>
    <n v="11904840"/>
  </r>
  <r>
    <x v="0"/>
    <x v="0"/>
    <x v="0"/>
    <x v="10"/>
    <x v="21"/>
    <s v="UK_A"/>
    <x v="2"/>
    <x v="2"/>
    <s v="GNR_CC_NGAS_CND_E-56"/>
    <x v="0"/>
    <x v="11"/>
    <n v="9060"/>
    <n v="3306900"/>
    <n v="11904840"/>
  </r>
  <r>
    <x v="0"/>
    <x v="0"/>
    <x v="0"/>
    <x v="10"/>
    <x v="21"/>
    <s v="UK_A"/>
    <x v="2"/>
    <x v="2"/>
    <s v="GNR_CC_NGAS_CND_E-56"/>
    <x v="0"/>
    <x v="12"/>
    <n v="9060"/>
    <n v="3306900"/>
    <n v="11904840"/>
  </r>
  <r>
    <x v="0"/>
    <x v="0"/>
    <x v="0"/>
    <x v="10"/>
    <x v="21"/>
    <s v="UK_A"/>
    <x v="2"/>
    <x v="2"/>
    <s v="GNR_CC_NGAS_CND_E-56"/>
    <x v="0"/>
    <x v="13"/>
    <n v="9060"/>
    <n v="3306900"/>
    <n v="11904840"/>
  </r>
  <r>
    <x v="0"/>
    <x v="0"/>
    <x v="0"/>
    <x v="10"/>
    <x v="21"/>
    <s v="UK_A"/>
    <x v="2"/>
    <x v="2"/>
    <s v="GNR_CC_NGAS_CND_E-56"/>
    <x v="0"/>
    <x v="14"/>
    <n v="9060"/>
    <n v="3306900"/>
    <n v="11904840"/>
  </r>
  <r>
    <x v="0"/>
    <x v="0"/>
    <x v="0"/>
    <x v="10"/>
    <x v="21"/>
    <s v="UK_A"/>
    <x v="2"/>
    <x v="2"/>
    <s v="GNR_CC_NGAS_CND_E-56"/>
    <x v="0"/>
    <x v="15"/>
    <n v="9060"/>
    <n v="3306900"/>
    <n v="11904840"/>
  </r>
  <r>
    <x v="0"/>
    <x v="0"/>
    <x v="0"/>
    <x v="10"/>
    <x v="21"/>
    <s v="UK_A"/>
    <x v="2"/>
    <x v="2"/>
    <s v="GNR_CC_NGAS_CND_E-56"/>
    <x v="0"/>
    <x v="16"/>
    <n v="9060"/>
    <n v="3306900"/>
    <n v="11904840"/>
  </r>
  <r>
    <x v="0"/>
    <x v="0"/>
    <x v="0"/>
    <x v="10"/>
    <x v="21"/>
    <s v="UK_A"/>
    <x v="2"/>
    <x v="2"/>
    <s v="GNR_CC_NGAS_CND_E-56"/>
    <x v="0"/>
    <x v="17"/>
    <n v="9060"/>
    <n v="3306900"/>
    <n v="11904840"/>
  </r>
  <r>
    <x v="0"/>
    <x v="0"/>
    <x v="0"/>
    <x v="10"/>
    <x v="21"/>
    <s v="UK_A"/>
    <x v="2"/>
    <x v="2"/>
    <s v="GNR_CC_NGAS_CND_E-56"/>
    <x v="0"/>
    <x v="18"/>
    <n v="9060"/>
    <n v="3306900"/>
    <n v="11904840"/>
  </r>
  <r>
    <x v="0"/>
    <x v="0"/>
    <x v="0"/>
    <x v="10"/>
    <x v="21"/>
    <s v="UK_A"/>
    <x v="2"/>
    <x v="2"/>
    <s v="GNR_CC_NGAS_CND_E-56"/>
    <x v="0"/>
    <x v="19"/>
    <n v="9060"/>
    <n v="3306900"/>
    <n v="11904840"/>
  </r>
  <r>
    <x v="0"/>
    <x v="0"/>
    <x v="0"/>
    <x v="10"/>
    <x v="21"/>
    <s v="UK_A"/>
    <x v="2"/>
    <x v="2"/>
    <s v="GNR_CC_NGAS_CND_E-56"/>
    <x v="0"/>
    <x v="20"/>
    <n v="9060"/>
    <n v="3306900"/>
    <n v="11904840"/>
  </r>
  <r>
    <x v="0"/>
    <x v="0"/>
    <x v="0"/>
    <x v="10"/>
    <x v="21"/>
    <s v="UK_A"/>
    <x v="2"/>
    <x v="2"/>
    <s v="GNR_CC_NGAS_CND_E-56"/>
    <x v="0"/>
    <x v="21"/>
    <n v="9060"/>
    <n v="3306900"/>
    <n v="11904840"/>
  </r>
  <r>
    <x v="0"/>
    <x v="0"/>
    <x v="0"/>
    <x v="10"/>
    <x v="21"/>
    <s v="UK_A"/>
    <x v="2"/>
    <x v="2"/>
    <s v="GNR_CC_NGAS_CND_E-56"/>
    <x v="0"/>
    <x v="22"/>
    <n v="9060"/>
    <n v="3306900"/>
    <n v="11904840"/>
  </r>
  <r>
    <x v="0"/>
    <x v="0"/>
    <x v="0"/>
    <x v="10"/>
    <x v="21"/>
    <s v="UK_A"/>
    <x v="2"/>
    <x v="2"/>
    <s v="GNR_CC_NGAS_CND_E-56"/>
    <x v="0"/>
    <x v="23"/>
    <n v="9060"/>
    <n v="3306900"/>
    <n v="11904840"/>
  </r>
  <r>
    <x v="0"/>
    <x v="0"/>
    <x v="0"/>
    <x v="10"/>
    <x v="21"/>
    <s v="UK_A"/>
    <x v="2"/>
    <x v="2"/>
    <s v="GNR_GT_NGAS_CND_E-33"/>
    <x v="0"/>
    <x v="16"/>
    <n v="1494"/>
    <n v="545310"/>
    <n v="1963116"/>
  </r>
  <r>
    <x v="0"/>
    <x v="0"/>
    <x v="0"/>
    <x v="10"/>
    <x v="21"/>
    <s v="UK_A"/>
    <x v="2"/>
    <x v="2"/>
    <s v="GNR_GT_NGAS_CND_E-33"/>
    <x v="0"/>
    <x v="17"/>
    <n v="1494"/>
    <n v="545310"/>
    <n v="1963116"/>
  </r>
  <r>
    <x v="0"/>
    <x v="0"/>
    <x v="0"/>
    <x v="10"/>
    <x v="21"/>
    <s v="UK_A"/>
    <x v="2"/>
    <x v="2"/>
    <s v="GNR_GT_NGAS_CND_E-33"/>
    <x v="0"/>
    <x v="18"/>
    <n v="1494"/>
    <n v="545310"/>
    <n v="1963116"/>
  </r>
  <r>
    <x v="0"/>
    <x v="0"/>
    <x v="0"/>
    <x v="10"/>
    <x v="21"/>
    <s v="UK_A"/>
    <x v="2"/>
    <x v="2"/>
    <s v="GNR_GT_NGAS_CND_E-33"/>
    <x v="0"/>
    <x v="19"/>
    <n v="1494"/>
    <n v="545310"/>
    <n v="1963116"/>
  </r>
  <r>
    <x v="0"/>
    <x v="0"/>
    <x v="0"/>
    <x v="10"/>
    <x v="21"/>
    <s v="UK_A"/>
    <x v="2"/>
    <x v="2"/>
    <s v="GNR_GT_NGAS_CND_E-35"/>
    <x v="0"/>
    <x v="16"/>
    <n v="1075"/>
    <n v="392375"/>
    <n v="1412550"/>
  </r>
  <r>
    <x v="0"/>
    <x v="0"/>
    <x v="0"/>
    <x v="10"/>
    <x v="21"/>
    <s v="UK_A"/>
    <x v="2"/>
    <x v="2"/>
    <s v="GNR_GT_NGAS_CND_E-35"/>
    <x v="0"/>
    <x v="17"/>
    <n v="1075"/>
    <n v="392375"/>
    <n v="1412550"/>
  </r>
  <r>
    <x v="0"/>
    <x v="0"/>
    <x v="0"/>
    <x v="10"/>
    <x v="21"/>
    <s v="UK_A"/>
    <x v="2"/>
    <x v="2"/>
    <s v="GNR_GT_NGAS_CND_E-35"/>
    <x v="0"/>
    <x v="18"/>
    <n v="1075"/>
    <n v="392375"/>
    <n v="1412550"/>
  </r>
  <r>
    <x v="0"/>
    <x v="0"/>
    <x v="0"/>
    <x v="10"/>
    <x v="21"/>
    <s v="UK_A"/>
    <x v="2"/>
    <x v="2"/>
    <s v="GNR_GT_NGAS_CND_E-35"/>
    <x v="0"/>
    <x v="19"/>
    <n v="1075"/>
    <n v="392375"/>
    <n v="1412550"/>
  </r>
  <r>
    <x v="0"/>
    <x v="0"/>
    <x v="0"/>
    <x v="10"/>
    <x v="21"/>
    <s v="UK_A"/>
    <x v="2"/>
    <x v="2"/>
    <s v="GNR_GT_NGAS_CND_E-35"/>
    <x v="0"/>
    <x v="20"/>
    <n v="296.564840325749"/>
    <n v="108246.16671889801"/>
    <n v="389686.20018803398"/>
  </r>
  <r>
    <x v="0"/>
    <x v="0"/>
    <x v="0"/>
    <x v="10"/>
    <x v="21"/>
    <s v="UK_A"/>
    <x v="2"/>
    <x v="2"/>
    <s v="GNR_GT_NGAS_CND_E-38"/>
    <x v="0"/>
    <x v="15"/>
    <n v="485.90428858980101"/>
    <n v="177355.065335277"/>
    <n v="638478.23520699795"/>
  </r>
  <r>
    <x v="0"/>
    <x v="0"/>
    <x v="0"/>
    <x v="10"/>
    <x v="21"/>
    <s v="UK_A"/>
    <x v="2"/>
    <x v="2"/>
    <s v="GNR_GT_NGAS_CND_E-38"/>
    <x v="0"/>
    <x v="16"/>
    <n v="1941"/>
    <n v="708465"/>
    <n v="2550474"/>
  </r>
  <r>
    <x v="0"/>
    <x v="0"/>
    <x v="0"/>
    <x v="10"/>
    <x v="21"/>
    <s v="UK_A"/>
    <x v="2"/>
    <x v="2"/>
    <s v="GNR_GT_NGAS_CND_E-38"/>
    <x v="0"/>
    <x v="17"/>
    <n v="1941"/>
    <n v="708465"/>
    <n v="2550474"/>
  </r>
  <r>
    <x v="0"/>
    <x v="0"/>
    <x v="0"/>
    <x v="10"/>
    <x v="21"/>
    <s v="UK_A"/>
    <x v="2"/>
    <x v="2"/>
    <s v="GNR_GT_NGAS_CND_E-38"/>
    <x v="0"/>
    <x v="18"/>
    <n v="1941"/>
    <n v="708465"/>
    <n v="2550474"/>
  </r>
  <r>
    <x v="0"/>
    <x v="0"/>
    <x v="0"/>
    <x v="10"/>
    <x v="21"/>
    <s v="UK_A"/>
    <x v="2"/>
    <x v="2"/>
    <s v="GNR_GT_NGAS_CND_E-38"/>
    <x v="0"/>
    <x v="19"/>
    <n v="1941"/>
    <n v="708465"/>
    <n v="2550474"/>
  </r>
  <r>
    <x v="0"/>
    <x v="0"/>
    <x v="0"/>
    <x v="10"/>
    <x v="21"/>
    <s v="UK_A"/>
    <x v="2"/>
    <x v="2"/>
    <s v="GNR_GT_NGAS_CND_E-38"/>
    <x v="0"/>
    <x v="20"/>
    <n v="1941"/>
    <n v="708465"/>
    <n v="2550474"/>
  </r>
  <r>
    <x v="0"/>
    <x v="0"/>
    <x v="0"/>
    <x v="10"/>
    <x v="21"/>
    <s v="UK_A"/>
    <x v="2"/>
    <x v="2"/>
    <s v="GNR_GT_NGAS_CND_E-41"/>
    <x v="0"/>
    <x v="15"/>
    <n v="590"/>
    <n v="215350"/>
    <n v="775260"/>
  </r>
  <r>
    <x v="0"/>
    <x v="0"/>
    <x v="0"/>
    <x v="10"/>
    <x v="21"/>
    <s v="UK_A"/>
    <x v="2"/>
    <x v="2"/>
    <s v="GNR_GT_NGAS_CND_E-41"/>
    <x v="0"/>
    <x v="16"/>
    <n v="590"/>
    <n v="215350"/>
    <n v="775260"/>
  </r>
  <r>
    <x v="0"/>
    <x v="0"/>
    <x v="0"/>
    <x v="10"/>
    <x v="21"/>
    <s v="UK_A"/>
    <x v="2"/>
    <x v="2"/>
    <s v="GNR_GT_NGAS_CND_E-41"/>
    <x v="0"/>
    <x v="17"/>
    <n v="590"/>
    <n v="215350"/>
    <n v="775260"/>
  </r>
  <r>
    <x v="0"/>
    <x v="0"/>
    <x v="0"/>
    <x v="10"/>
    <x v="21"/>
    <s v="UK_A"/>
    <x v="2"/>
    <x v="2"/>
    <s v="GNR_GT_NGAS_CND_E-41"/>
    <x v="0"/>
    <x v="18"/>
    <n v="590"/>
    <n v="215350"/>
    <n v="775260"/>
  </r>
  <r>
    <x v="0"/>
    <x v="0"/>
    <x v="0"/>
    <x v="10"/>
    <x v="21"/>
    <s v="UK_A"/>
    <x v="2"/>
    <x v="2"/>
    <s v="GNR_GT_NGAS_CND_E-41"/>
    <x v="0"/>
    <x v="19"/>
    <n v="590"/>
    <n v="215350"/>
    <n v="775260"/>
  </r>
  <r>
    <x v="0"/>
    <x v="0"/>
    <x v="0"/>
    <x v="10"/>
    <x v="21"/>
    <s v="UK_A"/>
    <x v="2"/>
    <x v="2"/>
    <s v="GNR_GT_NGAS_CND_E-41"/>
    <x v="0"/>
    <x v="20"/>
    <n v="590"/>
    <n v="215350"/>
    <n v="775260"/>
  </r>
  <r>
    <x v="0"/>
    <x v="0"/>
    <x v="0"/>
    <x v="10"/>
    <x v="21"/>
    <s v="UK_A"/>
    <x v="15"/>
    <x v="2"/>
    <s v="GNR_ST_NUCL_CND_E-33"/>
    <x v="0"/>
    <x v="3"/>
    <n v="9401"/>
    <n v="3431365"/>
    <n v="12352914"/>
  </r>
  <r>
    <x v="0"/>
    <x v="0"/>
    <x v="0"/>
    <x v="10"/>
    <x v="21"/>
    <s v="UK_A"/>
    <x v="15"/>
    <x v="2"/>
    <s v="GNR_ST_NUCL_CND_E-33"/>
    <x v="0"/>
    <x v="4"/>
    <n v="9401"/>
    <n v="3431365"/>
    <n v="12352914"/>
  </r>
  <r>
    <x v="0"/>
    <x v="0"/>
    <x v="0"/>
    <x v="10"/>
    <x v="21"/>
    <s v="UK_A"/>
    <x v="15"/>
    <x v="2"/>
    <s v="GNR_ST_NUCL_CND_E-33"/>
    <x v="0"/>
    <x v="5"/>
    <n v="9401"/>
    <n v="3431365"/>
    <n v="12352914"/>
  </r>
  <r>
    <x v="0"/>
    <x v="0"/>
    <x v="0"/>
    <x v="10"/>
    <x v="21"/>
    <s v="UK_A"/>
    <x v="15"/>
    <x v="2"/>
    <s v="GNR_ST_NUCL_CND_E-33"/>
    <x v="0"/>
    <x v="6"/>
    <n v="9401"/>
    <n v="3431365"/>
    <n v="12352914"/>
  </r>
  <r>
    <x v="0"/>
    <x v="0"/>
    <x v="0"/>
    <x v="10"/>
    <x v="21"/>
    <s v="UK_A"/>
    <x v="15"/>
    <x v="2"/>
    <s v="GNR_ST_NUCL_CND_E-33"/>
    <x v="0"/>
    <x v="7"/>
    <n v="9401"/>
    <n v="3431365"/>
    <n v="12352914"/>
  </r>
  <r>
    <x v="0"/>
    <x v="0"/>
    <x v="0"/>
    <x v="10"/>
    <x v="21"/>
    <s v="UK_A"/>
    <x v="15"/>
    <x v="2"/>
    <s v="GNR_ST_NUCL_CND_E-33"/>
    <x v="0"/>
    <x v="8"/>
    <n v="9401"/>
    <n v="3431365"/>
    <n v="12352914"/>
  </r>
  <r>
    <x v="0"/>
    <x v="0"/>
    <x v="0"/>
    <x v="10"/>
    <x v="21"/>
    <s v="UK_A"/>
    <x v="15"/>
    <x v="2"/>
    <s v="GNR_ST_NUCL_CND_E-33"/>
    <x v="0"/>
    <x v="0"/>
    <n v="9401"/>
    <n v="3431365"/>
    <n v="12352914"/>
  </r>
  <r>
    <x v="0"/>
    <x v="0"/>
    <x v="0"/>
    <x v="10"/>
    <x v="21"/>
    <s v="UK_A"/>
    <x v="15"/>
    <x v="2"/>
    <s v="GNR_ST_NUCL_CND_E-33"/>
    <x v="0"/>
    <x v="1"/>
    <n v="9401"/>
    <n v="3431365"/>
    <n v="12352914"/>
  </r>
  <r>
    <x v="0"/>
    <x v="0"/>
    <x v="0"/>
    <x v="10"/>
    <x v="21"/>
    <s v="UK_A"/>
    <x v="15"/>
    <x v="2"/>
    <s v="GNR_ST_NUCL_CND_E-33"/>
    <x v="0"/>
    <x v="2"/>
    <n v="9401"/>
    <n v="3431365"/>
    <n v="12352914"/>
  </r>
  <r>
    <x v="0"/>
    <x v="0"/>
    <x v="0"/>
    <x v="10"/>
    <x v="21"/>
    <s v="UK_A"/>
    <x v="15"/>
    <x v="2"/>
    <s v="GNR_ST_NUCL_CND_E-33"/>
    <x v="0"/>
    <x v="9"/>
    <n v="9401"/>
    <n v="3431365"/>
    <n v="12352914"/>
  </r>
  <r>
    <x v="0"/>
    <x v="0"/>
    <x v="0"/>
    <x v="10"/>
    <x v="21"/>
    <s v="UK_A"/>
    <x v="15"/>
    <x v="2"/>
    <s v="GNR_ST_NUCL_CND_E-33"/>
    <x v="0"/>
    <x v="10"/>
    <n v="9401"/>
    <n v="3431365"/>
    <n v="12352914"/>
  </r>
  <r>
    <x v="0"/>
    <x v="0"/>
    <x v="0"/>
    <x v="10"/>
    <x v="21"/>
    <s v="UK_A"/>
    <x v="15"/>
    <x v="2"/>
    <s v="GNR_ST_NUCL_CND_E-33"/>
    <x v="0"/>
    <x v="11"/>
    <n v="9401"/>
    <n v="3431365"/>
    <n v="12352914"/>
  </r>
  <r>
    <x v="0"/>
    <x v="0"/>
    <x v="0"/>
    <x v="10"/>
    <x v="21"/>
    <s v="UK_A"/>
    <x v="15"/>
    <x v="2"/>
    <s v="GNR_ST_NUCL_CND_E-33"/>
    <x v="0"/>
    <x v="12"/>
    <n v="9401"/>
    <n v="3431365"/>
    <n v="12352914"/>
  </r>
  <r>
    <x v="0"/>
    <x v="0"/>
    <x v="0"/>
    <x v="10"/>
    <x v="21"/>
    <s v="UK_A"/>
    <x v="15"/>
    <x v="2"/>
    <s v="GNR_ST_NUCL_CND_E-33"/>
    <x v="0"/>
    <x v="13"/>
    <n v="9401"/>
    <n v="3431365"/>
    <n v="12352914"/>
  </r>
  <r>
    <x v="0"/>
    <x v="0"/>
    <x v="0"/>
    <x v="10"/>
    <x v="21"/>
    <s v="UK_A"/>
    <x v="15"/>
    <x v="2"/>
    <s v="GNR_ST_NUCL_CND_E-33"/>
    <x v="0"/>
    <x v="14"/>
    <n v="9401"/>
    <n v="3431365"/>
    <n v="12352914"/>
  </r>
  <r>
    <x v="0"/>
    <x v="0"/>
    <x v="0"/>
    <x v="10"/>
    <x v="21"/>
    <s v="UK_A"/>
    <x v="15"/>
    <x v="2"/>
    <s v="GNR_ST_NUCL_CND_E-33"/>
    <x v="0"/>
    <x v="15"/>
    <n v="9401"/>
    <n v="3431365"/>
    <n v="12352914"/>
  </r>
  <r>
    <x v="0"/>
    <x v="0"/>
    <x v="0"/>
    <x v="10"/>
    <x v="21"/>
    <s v="UK_A"/>
    <x v="15"/>
    <x v="2"/>
    <s v="GNR_ST_NUCL_CND_E-33"/>
    <x v="0"/>
    <x v="16"/>
    <n v="9401"/>
    <n v="3431365"/>
    <n v="12352914"/>
  </r>
  <r>
    <x v="0"/>
    <x v="0"/>
    <x v="0"/>
    <x v="10"/>
    <x v="21"/>
    <s v="UK_A"/>
    <x v="15"/>
    <x v="2"/>
    <s v="GNR_ST_NUCL_CND_E-33"/>
    <x v="0"/>
    <x v="17"/>
    <n v="9401"/>
    <n v="3431365"/>
    <n v="12352914"/>
  </r>
  <r>
    <x v="0"/>
    <x v="0"/>
    <x v="0"/>
    <x v="10"/>
    <x v="21"/>
    <s v="UK_A"/>
    <x v="15"/>
    <x v="2"/>
    <s v="GNR_ST_NUCL_CND_E-33"/>
    <x v="0"/>
    <x v="18"/>
    <n v="9401"/>
    <n v="3431365"/>
    <n v="12352914"/>
  </r>
  <r>
    <x v="0"/>
    <x v="0"/>
    <x v="0"/>
    <x v="10"/>
    <x v="21"/>
    <s v="UK_A"/>
    <x v="15"/>
    <x v="2"/>
    <s v="GNR_ST_NUCL_CND_E-33"/>
    <x v="0"/>
    <x v="19"/>
    <n v="9401"/>
    <n v="3431365"/>
    <n v="12352914"/>
  </r>
  <r>
    <x v="0"/>
    <x v="0"/>
    <x v="0"/>
    <x v="10"/>
    <x v="21"/>
    <s v="UK_A"/>
    <x v="15"/>
    <x v="2"/>
    <s v="GNR_ST_NUCL_CND_E-33"/>
    <x v="0"/>
    <x v="20"/>
    <n v="9401"/>
    <n v="3431365"/>
    <n v="12352914"/>
  </r>
  <r>
    <x v="0"/>
    <x v="0"/>
    <x v="0"/>
    <x v="10"/>
    <x v="21"/>
    <s v="UK_A"/>
    <x v="15"/>
    <x v="2"/>
    <s v="GNR_ST_NUCL_CND_E-33"/>
    <x v="0"/>
    <x v="21"/>
    <n v="9401"/>
    <n v="3431365"/>
    <n v="12352914"/>
  </r>
  <r>
    <x v="0"/>
    <x v="0"/>
    <x v="0"/>
    <x v="10"/>
    <x v="21"/>
    <s v="UK_A"/>
    <x v="15"/>
    <x v="2"/>
    <s v="GNR_ST_NUCL_CND_E-33"/>
    <x v="0"/>
    <x v="22"/>
    <n v="9401"/>
    <n v="3431365"/>
    <n v="12352914"/>
  </r>
  <r>
    <x v="0"/>
    <x v="0"/>
    <x v="0"/>
    <x v="10"/>
    <x v="21"/>
    <s v="UK_A"/>
    <x v="15"/>
    <x v="2"/>
    <s v="GNR_ST_NUCL_CND_E-33"/>
    <x v="0"/>
    <x v="23"/>
    <n v="9401"/>
    <n v="3431365"/>
    <n v="12352914"/>
  </r>
  <r>
    <x v="0"/>
    <x v="0"/>
    <x v="0"/>
    <x v="10"/>
    <x v="21"/>
    <s v="UK_A"/>
    <x v="5"/>
    <x v="3"/>
    <s v="GNR_PV_SUN"/>
    <x v="0"/>
    <x v="8"/>
    <n v="91.934696158323504"/>
    <n v="33556.164097788103"/>
    <n v="120802.190752037"/>
  </r>
  <r>
    <x v="0"/>
    <x v="0"/>
    <x v="0"/>
    <x v="10"/>
    <x v="21"/>
    <s v="UK_A"/>
    <x v="5"/>
    <x v="3"/>
    <s v="GNR_PV_SUN"/>
    <x v="0"/>
    <x v="0"/>
    <n v="183.86939231664701"/>
    <n v="67112.328195576294"/>
    <n v="241604.38150407499"/>
  </r>
  <r>
    <x v="0"/>
    <x v="0"/>
    <x v="0"/>
    <x v="10"/>
    <x v="21"/>
    <s v="UK_A"/>
    <x v="5"/>
    <x v="3"/>
    <s v="GNR_PV_SUN"/>
    <x v="0"/>
    <x v="1"/>
    <n v="220.643270779977"/>
    <n v="80534.793834691605"/>
    <n v="289925.25780488999"/>
  </r>
  <r>
    <x v="0"/>
    <x v="0"/>
    <x v="0"/>
    <x v="10"/>
    <x v="21"/>
    <s v="UK_A"/>
    <x v="5"/>
    <x v="3"/>
    <s v="GNR_PV_SUN"/>
    <x v="0"/>
    <x v="2"/>
    <n v="220.643270779977"/>
    <n v="80534.793834691605"/>
    <n v="289925.25780488999"/>
  </r>
  <r>
    <x v="0"/>
    <x v="0"/>
    <x v="0"/>
    <x v="10"/>
    <x v="21"/>
    <s v="UK_A"/>
    <x v="5"/>
    <x v="3"/>
    <s v="GNR_PV_SUN"/>
    <x v="0"/>
    <x v="9"/>
    <n v="937.73390081489902"/>
    <n v="342272.87379743799"/>
    <n v="1232182.3456707799"/>
  </r>
  <r>
    <x v="0"/>
    <x v="0"/>
    <x v="0"/>
    <x v="10"/>
    <x v="21"/>
    <s v="UK_A"/>
    <x v="5"/>
    <x v="3"/>
    <s v="GNR_PV_SUN"/>
    <x v="0"/>
    <x v="10"/>
    <n v="1949.0155585564601"/>
    <n v="711390.678873108"/>
    <n v="2561006.4439431899"/>
  </r>
  <r>
    <x v="0"/>
    <x v="0"/>
    <x v="0"/>
    <x v="10"/>
    <x v="21"/>
    <s v="UK_A"/>
    <x v="5"/>
    <x v="3"/>
    <s v="GNR_PV_SUN"/>
    <x v="0"/>
    <x v="11"/>
    <n v="2813.2017024447"/>
    <n v="1026818.62139232"/>
    <n v="3696547.03701234"/>
  </r>
  <r>
    <x v="0"/>
    <x v="0"/>
    <x v="0"/>
    <x v="10"/>
    <x v="21"/>
    <s v="UK_A"/>
    <x v="5"/>
    <x v="3"/>
    <s v="GNR_PV_SUN"/>
    <x v="0"/>
    <x v="12"/>
    <n v="3401.5837578579799"/>
    <n v="1241578.07161816"/>
    <n v="4469681.05782538"/>
  </r>
  <r>
    <x v="0"/>
    <x v="0"/>
    <x v="0"/>
    <x v="10"/>
    <x v="21"/>
    <s v="UK_A"/>
    <x v="5"/>
    <x v="3"/>
    <s v="GNR_PV_SUN"/>
    <x v="0"/>
    <x v="13"/>
    <n v="2868.3625201396999"/>
    <n v="1046952.31985099"/>
    <n v="3769028.35146356"/>
  </r>
  <r>
    <x v="0"/>
    <x v="0"/>
    <x v="0"/>
    <x v="10"/>
    <x v="21"/>
    <s v="UK_A"/>
    <x v="5"/>
    <x v="3"/>
    <s v="GNR_PV_SUN"/>
    <x v="0"/>
    <x v="14"/>
    <n v="1930.6286193248"/>
    <n v="704679.44605355104"/>
    <n v="2536846.0057927798"/>
  </r>
  <r>
    <x v="0"/>
    <x v="0"/>
    <x v="0"/>
    <x v="10"/>
    <x v="21"/>
    <s v="UK_A"/>
    <x v="5"/>
    <x v="3"/>
    <s v="GNR_PV_SUN"/>
    <x v="0"/>
    <x v="15"/>
    <n v="900.96002235157005"/>
    <n v="328850.40815832303"/>
    <n v="1183861.46936996"/>
  </r>
  <r>
    <x v="0"/>
    <x v="0"/>
    <x v="0"/>
    <x v="10"/>
    <x v="21"/>
    <s v="UK_A"/>
    <x v="5"/>
    <x v="3"/>
    <s v="GNR_PV_SUN"/>
    <x v="0"/>
    <x v="16"/>
    <n v="183.86939231664701"/>
    <n v="67112.328195576294"/>
    <n v="241604.38150407499"/>
  </r>
  <r>
    <x v="0"/>
    <x v="0"/>
    <x v="0"/>
    <x v="10"/>
    <x v="21"/>
    <s v="UK_A"/>
    <x v="5"/>
    <x v="3"/>
    <s v="GNR_PV_SUN"/>
    <x v="0"/>
    <x v="17"/>
    <n v="36.773878463329403"/>
    <n v="13422.4656391152"/>
    <n v="48320.876300814904"/>
  </r>
  <r>
    <x v="0"/>
    <x v="0"/>
    <x v="0"/>
    <x v="10"/>
    <x v="21"/>
    <s v="UK_A"/>
    <x v="5"/>
    <x v="3"/>
    <s v="GNR_PV_SUN"/>
    <x v="0"/>
    <x v="18"/>
    <n v="36.773878463329403"/>
    <n v="13422.4656391152"/>
    <n v="48320.876300814904"/>
  </r>
  <r>
    <x v="0"/>
    <x v="0"/>
    <x v="0"/>
    <x v="10"/>
    <x v="21"/>
    <s v="UK_A"/>
    <x v="5"/>
    <x v="3"/>
    <s v="GNR_PV_SUN"/>
    <x v="0"/>
    <x v="19"/>
    <n v="18.386939231664702"/>
    <n v="6711.2328195576301"/>
    <n v="24160.438150407499"/>
  </r>
  <r>
    <x v="0"/>
    <x v="0"/>
    <x v="0"/>
    <x v="10"/>
    <x v="21"/>
    <s v="UK_A"/>
    <x v="6"/>
    <x v="9"/>
    <s v="GNR_ES_WTR_PMP"/>
    <x v="0"/>
    <x v="18"/>
    <n v="26.312000000000001"/>
    <n v="9603.8799999999992"/>
    <n v="34573.968000000001"/>
  </r>
  <r>
    <x v="0"/>
    <x v="0"/>
    <x v="0"/>
    <x v="10"/>
    <x v="21"/>
    <s v="UK_A"/>
    <x v="6"/>
    <x v="4"/>
    <s v="GNR_ROR_WTR"/>
    <x v="0"/>
    <x v="3"/>
    <n v="602.97643832497397"/>
    <n v="220086.39998861501"/>
    <n v="792311.03995901602"/>
  </r>
  <r>
    <x v="0"/>
    <x v="0"/>
    <x v="0"/>
    <x v="10"/>
    <x v="21"/>
    <s v="UK_A"/>
    <x v="6"/>
    <x v="4"/>
    <s v="GNR_ROR_WTR"/>
    <x v="0"/>
    <x v="4"/>
    <n v="602.97643832497397"/>
    <n v="220086.39998861501"/>
    <n v="792311.03995901602"/>
  </r>
  <r>
    <x v="0"/>
    <x v="0"/>
    <x v="0"/>
    <x v="10"/>
    <x v="21"/>
    <s v="UK_A"/>
    <x v="6"/>
    <x v="4"/>
    <s v="GNR_ROR_WTR"/>
    <x v="0"/>
    <x v="5"/>
    <n v="602.97643832497397"/>
    <n v="220086.39998861501"/>
    <n v="792311.03995901602"/>
  </r>
  <r>
    <x v="0"/>
    <x v="0"/>
    <x v="0"/>
    <x v="10"/>
    <x v="21"/>
    <s v="UK_A"/>
    <x v="6"/>
    <x v="4"/>
    <s v="GNR_ROR_WTR"/>
    <x v="0"/>
    <x v="6"/>
    <n v="602.97643832497397"/>
    <n v="220086.39998861501"/>
    <n v="792311.03995901602"/>
  </r>
  <r>
    <x v="0"/>
    <x v="0"/>
    <x v="0"/>
    <x v="10"/>
    <x v="21"/>
    <s v="UK_A"/>
    <x v="6"/>
    <x v="4"/>
    <s v="GNR_ROR_WTR"/>
    <x v="0"/>
    <x v="7"/>
    <n v="602.97643832497397"/>
    <n v="220086.39998861501"/>
    <n v="792311.03995901602"/>
  </r>
  <r>
    <x v="0"/>
    <x v="0"/>
    <x v="0"/>
    <x v="10"/>
    <x v="21"/>
    <s v="UK_A"/>
    <x v="6"/>
    <x v="4"/>
    <s v="GNR_ROR_WTR"/>
    <x v="0"/>
    <x v="8"/>
    <n v="602.97643832497397"/>
    <n v="220086.39998861501"/>
    <n v="792311.03995901602"/>
  </r>
  <r>
    <x v="0"/>
    <x v="0"/>
    <x v="0"/>
    <x v="10"/>
    <x v="21"/>
    <s v="UK_A"/>
    <x v="6"/>
    <x v="4"/>
    <s v="GNR_ROR_WTR"/>
    <x v="0"/>
    <x v="0"/>
    <n v="602.97643832497397"/>
    <n v="220086.39998861501"/>
    <n v="792311.03995901602"/>
  </r>
  <r>
    <x v="0"/>
    <x v="0"/>
    <x v="0"/>
    <x v="10"/>
    <x v="21"/>
    <s v="UK_A"/>
    <x v="6"/>
    <x v="4"/>
    <s v="GNR_ROR_WTR"/>
    <x v="0"/>
    <x v="1"/>
    <n v="602.97643832497397"/>
    <n v="220086.39998861501"/>
    <n v="792311.03995901602"/>
  </r>
  <r>
    <x v="0"/>
    <x v="0"/>
    <x v="0"/>
    <x v="10"/>
    <x v="21"/>
    <s v="UK_A"/>
    <x v="6"/>
    <x v="4"/>
    <s v="GNR_ROR_WTR"/>
    <x v="0"/>
    <x v="2"/>
    <n v="602.97643832497397"/>
    <n v="220086.39998861501"/>
    <n v="792311.03995901602"/>
  </r>
  <r>
    <x v="0"/>
    <x v="0"/>
    <x v="0"/>
    <x v="10"/>
    <x v="21"/>
    <s v="UK_A"/>
    <x v="6"/>
    <x v="4"/>
    <s v="GNR_ROR_WTR"/>
    <x v="0"/>
    <x v="9"/>
    <n v="602.97643832497397"/>
    <n v="220086.39998861501"/>
    <n v="792311.03995901602"/>
  </r>
  <r>
    <x v="0"/>
    <x v="0"/>
    <x v="0"/>
    <x v="10"/>
    <x v="21"/>
    <s v="UK_A"/>
    <x v="6"/>
    <x v="4"/>
    <s v="GNR_ROR_WTR"/>
    <x v="0"/>
    <x v="10"/>
    <n v="602.97643832497397"/>
    <n v="220086.39998861501"/>
    <n v="792311.03995901602"/>
  </r>
  <r>
    <x v="0"/>
    <x v="0"/>
    <x v="0"/>
    <x v="10"/>
    <x v="21"/>
    <s v="UK_A"/>
    <x v="6"/>
    <x v="4"/>
    <s v="GNR_ROR_WTR"/>
    <x v="0"/>
    <x v="11"/>
    <n v="602.97643832497397"/>
    <n v="220086.39998861501"/>
    <n v="792311.03995901602"/>
  </r>
  <r>
    <x v="0"/>
    <x v="0"/>
    <x v="0"/>
    <x v="10"/>
    <x v="21"/>
    <s v="UK_A"/>
    <x v="6"/>
    <x v="4"/>
    <s v="GNR_ROR_WTR"/>
    <x v="0"/>
    <x v="12"/>
    <n v="602.97643832497397"/>
    <n v="220086.39998861501"/>
    <n v="792311.03995901602"/>
  </r>
  <r>
    <x v="0"/>
    <x v="0"/>
    <x v="0"/>
    <x v="10"/>
    <x v="21"/>
    <s v="UK_A"/>
    <x v="6"/>
    <x v="4"/>
    <s v="GNR_ROR_WTR"/>
    <x v="0"/>
    <x v="13"/>
    <n v="602.97643832497397"/>
    <n v="220086.39998861501"/>
    <n v="792311.03995901602"/>
  </r>
  <r>
    <x v="0"/>
    <x v="0"/>
    <x v="0"/>
    <x v="10"/>
    <x v="21"/>
    <s v="UK_A"/>
    <x v="6"/>
    <x v="4"/>
    <s v="GNR_ROR_WTR"/>
    <x v="0"/>
    <x v="14"/>
    <n v="602.97643832497397"/>
    <n v="220086.39998861501"/>
    <n v="792311.03995901602"/>
  </r>
  <r>
    <x v="0"/>
    <x v="0"/>
    <x v="0"/>
    <x v="10"/>
    <x v="21"/>
    <s v="UK_A"/>
    <x v="6"/>
    <x v="4"/>
    <s v="GNR_ROR_WTR"/>
    <x v="0"/>
    <x v="15"/>
    <n v="602.97643832497397"/>
    <n v="220086.39998861501"/>
    <n v="792311.03995901602"/>
  </r>
  <r>
    <x v="0"/>
    <x v="0"/>
    <x v="0"/>
    <x v="10"/>
    <x v="21"/>
    <s v="UK_A"/>
    <x v="6"/>
    <x v="4"/>
    <s v="GNR_ROR_WTR"/>
    <x v="0"/>
    <x v="16"/>
    <n v="602.97643832497397"/>
    <n v="220086.39998861501"/>
    <n v="792311.03995901602"/>
  </r>
  <r>
    <x v="0"/>
    <x v="0"/>
    <x v="0"/>
    <x v="10"/>
    <x v="21"/>
    <s v="UK_A"/>
    <x v="6"/>
    <x v="4"/>
    <s v="GNR_ROR_WTR"/>
    <x v="0"/>
    <x v="17"/>
    <n v="602.97643832497397"/>
    <n v="220086.39998861501"/>
    <n v="792311.03995901602"/>
  </r>
  <r>
    <x v="0"/>
    <x v="0"/>
    <x v="0"/>
    <x v="10"/>
    <x v="21"/>
    <s v="UK_A"/>
    <x v="6"/>
    <x v="4"/>
    <s v="GNR_ROR_WTR"/>
    <x v="0"/>
    <x v="18"/>
    <n v="602.97643832497397"/>
    <n v="220086.39998861501"/>
    <n v="792311.03995901602"/>
  </r>
  <r>
    <x v="0"/>
    <x v="0"/>
    <x v="0"/>
    <x v="10"/>
    <x v="21"/>
    <s v="UK_A"/>
    <x v="6"/>
    <x v="4"/>
    <s v="GNR_ROR_WTR"/>
    <x v="0"/>
    <x v="19"/>
    <n v="602.97643832497397"/>
    <n v="220086.39998861501"/>
    <n v="792311.03995901602"/>
  </r>
  <r>
    <x v="0"/>
    <x v="0"/>
    <x v="0"/>
    <x v="10"/>
    <x v="21"/>
    <s v="UK_A"/>
    <x v="6"/>
    <x v="4"/>
    <s v="GNR_ROR_WTR"/>
    <x v="0"/>
    <x v="20"/>
    <n v="602.97643832497397"/>
    <n v="220086.39998861501"/>
    <n v="792311.03995901602"/>
  </r>
  <r>
    <x v="0"/>
    <x v="0"/>
    <x v="0"/>
    <x v="10"/>
    <x v="21"/>
    <s v="UK_A"/>
    <x v="6"/>
    <x v="4"/>
    <s v="GNR_ROR_WTR"/>
    <x v="0"/>
    <x v="21"/>
    <n v="602.97643832497397"/>
    <n v="220086.39998861501"/>
    <n v="792311.03995901602"/>
  </r>
  <r>
    <x v="0"/>
    <x v="0"/>
    <x v="0"/>
    <x v="10"/>
    <x v="21"/>
    <s v="UK_A"/>
    <x v="6"/>
    <x v="4"/>
    <s v="GNR_ROR_WTR"/>
    <x v="0"/>
    <x v="22"/>
    <n v="602.97643832497397"/>
    <n v="220086.39998861501"/>
    <n v="792311.03995901602"/>
  </r>
  <r>
    <x v="0"/>
    <x v="0"/>
    <x v="0"/>
    <x v="10"/>
    <x v="21"/>
    <s v="UK_A"/>
    <x v="6"/>
    <x v="4"/>
    <s v="GNR_ROR_WTR"/>
    <x v="0"/>
    <x v="23"/>
    <n v="602.97643832497397"/>
    <n v="220086.39998861501"/>
    <n v="792311.03995901602"/>
  </r>
  <r>
    <x v="0"/>
    <x v="0"/>
    <x v="0"/>
    <x v="10"/>
    <x v="21"/>
    <s v="UK_A"/>
    <x v="7"/>
    <x v="5"/>
    <s v="GNR_WT_WIND_ONS"/>
    <x v="0"/>
    <x v="3"/>
    <n v="3871.3346559148999"/>
    <n v="1413037.14940894"/>
    <n v="5086933.7378721898"/>
  </r>
  <r>
    <x v="0"/>
    <x v="0"/>
    <x v="0"/>
    <x v="10"/>
    <x v="21"/>
    <s v="UK_A"/>
    <x v="7"/>
    <x v="5"/>
    <s v="GNR_WT_WIND_ONS"/>
    <x v="0"/>
    <x v="4"/>
    <n v="4037.88959422784"/>
    <n v="1473829.7018931599"/>
    <n v="5305786.9268153803"/>
  </r>
  <r>
    <x v="0"/>
    <x v="0"/>
    <x v="0"/>
    <x v="10"/>
    <x v="21"/>
    <s v="UK_A"/>
    <x v="7"/>
    <x v="5"/>
    <s v="GNR_WT_WIND_ONS"/>
    <x v="0"/>
    <x v="5"/>
    <n v="4217.25645087255"/>
    <n v="1539298.60456848"/>
    <n v="5541474.9764465299"/>
  </r>
  <r>
    <x v="0"/>
    <x v="0"/>
    <x v="0"/>
    <x v="10"/>
    <x v="21"/>
    <s v="UK_A"/>
    <x v="7"/>
    <x v="5"/>
    <s v="GNR_WT_WIND_ONS"/>
    <x v="0"/>
    <x v="6"/>
    <n v="4407.2999061270702"/>
    <n v="1608664.4657363801"/>
    <n v="5791192.0766509697"/>
  </r>
  <r>
    <x v="0"/>
    <x v="0"/>
    <x v="0"/>
    <x v="10"/>
    <x v="21"/>
    <s v="UK_A"/>
    <x v="7"/>
    <x v="5"/>
    <s v="GNR_WT_WIND_ONS"/>
    <x v="0"/>
    <x v="7"/>
    <n v="4447.87098084432"/>
    <n v="1623472.9080081801"/>
    <n v="5844502.46882944"/>
  </r>
  <r>
    <x v="0"/>
    <x v="0"/>
    <x v="0"/>
    <x v="10"/>
    <x v="21"/>
    <s v="UK_A"/>
    <x v="7"/>
    <x v="5"/>
    <s v="GNR_WT_WIND_ONS"/>
    <x v="0"/>
    <x v="8"/>
    <n v="4407.2999061270702"/>
    <n v="1608664.4657363801"/>
    <n v="5791192.0766509697"/>
  </r>
  <r>
    <x v="0"/>
    <x v="0"/>
    <x v="0"/>
    <x v="10"/>
    <x v="21"/>
    <s v="UK_A"/>
    <x v="7"/>
    <x v="5"/>
    <s v="GNR_WT_WIND_ONS"/>
    <x v="0"/>
    <x v="0"/>
    <n v="4452.1416202882301"/>
    <n v="1625031.6914052099"/>
    <n v="5850114.0890587401"/>
  </r>
  <r>
    <x v="0"/>
    <x v="0"/>
    <x v="0"/>
    <x v="10"/>
    <x v="21"/>
    <s v="UK_A"/>
    <x v="7"/>
    <x v="5"/>
    <s v="GNR_WT_WIND_ONS"/>
    <x v="0"/>
    <x v="1"/>
    <n v="4573.8548444400003"/>
    <n v="1669457.0182206"/>
    <n v="6010045.2655941704"/>
  </r>
  <r>
    <x v="0"/>
    <x v="0"/>
    <x v="0"/>
    <x v="10"/>
    <x v="21"/>
    <s v="UK_A"/>
    <x v="7"/>
    <x v="5"/>
    <s v="GNR_WT_WIND_ONS"/>
    <x v="0"/>
    <x v="2"/>
    <n v="4699.8387080356897"/>
    <n v="1715441.1284330301"/>
    <n v="6175588.0623589"/>
  </r>
  <r>
    <x v="0"/>
    <x v="0"/>
    <x v="0"/>
    <x v="10"/>
    <x v="21"/>
    <s v="UK_A"/>
    <x v="7"/>
    <x v="5"/>
    <s v="GNR_WT_WIND_ONS"/>
    <x v="0"/>
    <x v="9"/>
    <n v="4509.7952527811904"/>
    <n v="1646075.2672651301"/>
    <n v="5925870.9621544797"/>
  </r>
  <r>
    <x v="0"/>
    <x v="0"/>
    <x v="0"/>
    <x v="10"/>
    <x v="21"/>
    <s v="UK_A"/>
    <x v="7"/>
    <x v="5"/>
    <s v="GNR_WT_WIND_ONS"/>
    <x v="0"/>
    <x v="10"/>
    <n v="4020.80703645216"/>
    <n v="1467594.56830504"/>
    <n v="5283340.4458981398"/>
  </r>
  <r>
    <x v="0"/>
    <x v="0"/>
    <x v="0"/>
    <x v="10"/>
    <x v="21"/>
    <s v="UK_A"/>
    <x v="7"/>
    <x v="5"/>
    <s v="GNR_WT_WIND_ONS"/>
    <x v="0"/>
    <x v="11"/>
    <n v="3649.2614048309802"/>
    <n v="1331980.4127633099"/>
    <n v="4795129.4859479098"/>
  </r>
  <r>
    <x v="0"/>
    <x v="0"/>
    <x v="0"/>
    <x v="10"/>
    <x v="21"/>
    <s v="UK_A"/>
    <x v="7"/>
    <x v="5"/>
    <s v="GNR_WT_WIND_ONS"/>
    <x v="0"/>
    <x v="12"/>
    <n v="3604.4196906698198"/>
    <n v="1315613.18709448"/>
    <n v="4736207.4735401403"/>
  </r>
  <r>
    <x v="0"/>
    <x v="0"/>
    <x v="0"/>
    <x v="10"/>
    <x v="21"/>
    <s v="UK_A"/>
    <x v="7"/>
    <x v="5"/>
    <s v="GNR_WT_WIND_ONS"/>
    <x v="0"/>
    <x v="13"/>
    <n v="3333.2340859808"/>
    <n v="1216630.44138299"/>
    <n v="4379869.5889787599"/>
  </r>
  <r>
    <x v="0"/>
    <x v="0"/>
    <x v="0"/>
    <x v="10"/>
    <x v="21"/>
    <s v="UK_A"/>
    <x v="7"/>
    <x v="5"/>
    <s v="GNR_WT_WIND_ONS"/>
    <x v="0"/>
    <x v="14"/>
    <n v="2498.3240746941201"/>
    <n v="911888.28726335499"/>
    <n v="3282797.8341480801"/>
  </r>
  <r>
    <x v="0"/>
    <x v="0"/>
    <x v="0"/>
    <x v="10"/>
    <x v="21"/>
    <s v="UK_A"/>
    <x v="7"/>
    <x v="5"/>
    <s v="GNR_WT_WIND_ONS"/>
    <x v="0"/>
    <x v="15"/>
    <n v="1864.13411727177"/>
    <n v="680408.952804195"/>
    <n v="2449472.2300951001"/>
  </r>
  <r>
    <x v="0"/>
    <x v="0"/>
    <x v="0"/>
    <x v="10"/>
    <x v="21"/>
    <s v="UK_A"/>
    <x v="7"/>
    <x v="5"/>
    <s v="GNR_WT_WIND_ONS"/>
    <x v="0"/>
    <x v="16"/>
    <n v="1422.1229348258801"/>
    <n v="519074.87121144799"/>
    <n v="1868669.53636121"/>
  </r>
  <r>
    <x v="0"/>
    <x v="0"/>
    <x v="0"/>
    <x v="10"/>
    <x v="21"/>
    <s v="UK_A"/>
    <x v="7"/>
    <x v="5"/>
    <s v="GNR_WT_WIND_ONS"/>
    <x v="0"/>
    <x v="17"/>
    <n v="1140.26073152706"/>
    <n v="416195.16700737702"/>
    <n v="1498302.6012265601"/>
  </r>
  <r>
    <x v="0"/>
    <x v="0"/>
    <x v="0"/>
    <x v="10"/>
    <x v="21"/>
    <s v="UK_A"/>
    <x v="7"/>
    <x v="5"/>
    <s v="GNR_WT_WIND_ONS"/>
    <x v="0"/>
    <x v="18"/>
    <n v="1014.27686793137"/>
    <n v="370211.05679495097"/>
    <n v="1332759.8044618201"/>
  </r>
  <r>
    <x v="0"/>
    <x v="0"/>
    <x v="0"/>
    <x v="10"/>
    <x v="21"/>
    <s v="UK_A"/>
    <x v="7"/>
    <x v="5"/>
    <s v="GNR_WT_WIND_ONS"/>
    <x v="0"/>
    <x v="19"/>
    <n v="943.81131710666898"/>
    <n v="344491.13074393402"/>
    <n v="1240168.0706781601"/>
  </r>
  <r>
    <x v="0"/>
    <x v="0"/>
    <x v="0"/>
    <x v="10"/>
    <x v="21"/>
    <s v="UK_A"/>
    <x v="7"/>
    <x v="5"/>
    <s v="GNR_WT_WIND_ONS"/>
    <x v="0"/>
    <x v="20"/>
    <n v="999.32962987764802"/>
    <n v="364755.31490534201"/>
    <n v="1313119.1336592301"/>
  </r>
  <r>
    <x v="0"/>
    <x v="0"/>
    <x v="0"/>
    <x v="10"/>
    <x v="21"/>
    <s v="UK_A"/>
    <x v="7"/>
    <x v="5"/>
    <s v="GNR_WT_WIND_ONS"/>
    <x v="0"/>
    <x v="21"/>
    <n v="1157.34328930275"/>
    <n v="422430.30059550202"/>
    <n v="1520749.0821438101"/>
  </r>
  <r>
    <x v="0"/>
    <x v="0"/>
    <x v="0"/>
    <x v="10"/>
    <x v="21"/>
    <s v="UK_A"/>
    <x v="7"/>
    <x v="5"/>
    <s v="GNR_WT_WIND_ONS"/>
    <x v="0"/>
    <x v="22"/>
    <n v="1362.33398261098"/>
    <n v="497251.90365300898"/>
    <n v="1790106.8531508299"/>
  </r>
  <r>
    <x v="0"/>
    <x v="0"/>
    <x v="0"/>
    <x v="10"/>
    <x v="21"/>
    <s v="UK_A"/>
    <x v="7"/>
    <x v="5"/>
    <s v="GNR_WT_WIND_ONS"/>
    <x v="0"/>
    <x v="23"/>
    <n v="1439.2054926015701"/>
    <n v="525310.00479957403"/>
    <n v="1891116.0172784701"/>
  </r>
  <r>
    <x v="0"/>
    <x v="0"/>
    <x v="0"/>
    <x v="10"/>
    <x v="21"/>
    <s v="UK_Offshore"/>
    <x v="7"/>
    <x v="5"/>
    <s v="GNR_WT_WIND_OFF"/>
    <x v="0"/>
    <x v="3"/>
    <n v="2148.8929378575799"/>
    <n v="784345.92231801595"/>
    <n v="2823645.3203448602"/>
  </r>
  <r>
    <x v="0"/>
    <x v="0"/>
    <x v="0"/>
    <x v="10"/>
    <x v="21"/>
    <s v="UK_Offshore"/>
    <x v="7"/>
    <x v="5"/>
    <s v="GNR_WT_WIND_OFF"/>
    <x v="0"/>
    <x v="4"/>
    <n v="2241.3439302198999"/>
    <n v="818090.534530262"/>
    <n v="2945125.9243089398"/>
  </r>
  <r>
    <x v="0"/>
    <x v="0"/>
    <x v="0"/>
    <x v="10"/>
    <x v="21"/>
    <s v="UK_Offshore"/>
    <x v="7"/>
    <x v="5"/>
    <s v="GNR_WT_WIND_OFF"/>
    <x v="0"/>
    <x v="5"/>
    <n v="2340.9065373793201"/>
    <n v="854430.88614345202"/>
    <n v="3075951.1901164302"/>
  </r>
  <r>
    <x v="0"/>
    <x v="0"/>
    <x v="0"/>
    <x v="10"/>
    <x v="21"/>
    <s v="UK_Offshore"/>
    <x v="7"/>
    <x v="5"/>
    <s v="GNR_WT_WIND_OFF"/>
    <x v="0"/>
    <x v="6"/>
    <n v="2446.395490203"/>
    <n v="892934.35392409598"/>
    <n v="3214563.6741267499"/>
  </r>
  <r>
    <x v="0"/>
    <x v="0"/>
    <x v="0"/>
    <x v="10"/>
    <x v="21"/>
    <s v="UK_Offshore"/>
    <x v="7"/>
    <x v="5"/>
    <s v="GNR_WT_WIND_OFF"/>
    <x v="0"/>
    <x v="7"/>
    <n v="2468.91560372716"/>
    <n v="901154.19536041201"/>
    <n v="3244155.1032974799"/>
  </r>
  <r>
    <x v="0"/>
    <x v="0"/>
    <x v="0"/>
    <x v="10"/>
    <x v="21"/>
    <s v="UK_Offshore"/>
    <x v="7"/>
    <x v="5"/>
    <s v="GNR_WT_WIND_OFF"/>
    <x v="0"/>
    <x v="8"/>
    <n v="2446.395490203"/>
    <n v="892934.35392409598"/>
    <n v="3214563.6741267499"/>
  </r>
  <r>
    <x v="0"/>
    <x v="0"/>
    <x v="0"/>
    <x v="10"/>
    <x v="21"/>
    <s v="UK_Offshore"/>
    <x v="7"/>
    <x v="5"/>
    <s v="GNR_WT_WIND_OFF"/>
    <x v="0"/>
    <x v="0"/>
    <n v="2471.2861419928499"/>
    <n v="902019.44182739197"/>
    <n v="3247269.99057861"/>
  </r>
  <r>
    <x v="0"/>
    <x v="0"/>
    <x v="0"/>
    <x v="10"/>
    <x v="21"/>
    <s v="UK_Offshore"/>
    <x v="7"/>
    <x v="5"/>
    <s v="GNR_WT_WIND_OFF"/>
    <x v="0"/>
    <x v="1"/>
    <n v="2538.84648256532"/>
    <n v="926678.96613634296"/>
    <n v="3336044.27809083"/>
  </r>
  <r>
    <x v="0"/>
    <x v="0"/>
    <x v="0"/>
    <x v="10"/>
    <x v="21"/>
    <s v="UK_Offshore"/>
    <x v="7"/>
    <x v="5"/>
    <s v="GNR_WT_WIND_OFF"/>
    <x v="0"/>
    <x v="2"/>
    <n v="2608.77736140349"/>
    <n v="952203.73691227403"/>
    <n v="3427933.4528841898"/>
  </r>
  <r>
    <x v="0"/>
    <x v="0"/>
    <x v="0"/>
    <x v="10"/>
    <x v="21"/>
    <s v="UK_Offshore"/>
    <x v="7"/>
    <x v="5"/>
    <s v="GNR_WT_WIND_OFF"/>
    <x v="0"/>
    <x v="9"/>
    <n v="2503.28840857982"/>
    <n v="913700.26913163404"/>
    <n v="3289320.9688738799"/>
  </r>
  <r>
    <x v="0"/>
    <x v="0"/>
    <x v="0"/>
    <x v="10"/>
    <x v="21"/>
    <s v="UK_Offshore"/>
    <x v="7"/>
    <x v="5"/>
    <s v="GNR_WT_WIND_OFF"/>
    <x v="0"/>
    <x v="10"/>
    <n v="2231.8617771570998"/>
    <n v="814629.54866234004"/>
    <n v="2932666.37518442"/>
  </r>
  <r>
    <x v="0"/>
    <x v="0"/>
    <x v="0"/>
    <x v="10"/>
    <x v="21"/>
    <s v="UK_Offshore"/>
    <x v="7"/>
    <x v="5"/>
    <s v="GNR_WT_WIND_OFF"/>
    <x v="0"/>
    <x v="11"/>
    <n v="2025.62494804115"/>
    <n v="739353.10603501904"/>
    <n v="2661671.1817260701"/>
  </r>
  <r>
    <x v="0"/>
    <x v="0"/>
    <x v="0"/>
    <x v="10"/>
    <x v="21"/>
    <s v="UK_Offshore"/>
    <x v="7"/>
    <x v="5"/>
    <s v="GNR_WT_WIND_OFF"/>
    <x v="0"/>
    <x v="12"/>
    <n v="2000.7342962513001"/>
    <n v="730268.01813172305"/>
    <n v="2628964.8652742002"/>
  </r>
  <r>
    <x v="0"/>
    <x v="0"/>
    <x v="0"/>
    <x v="10"/>
    <x v="21"/>
    <s v="UK_Offshore"/>
    <x v="7"/>
    <x v="5"/>
    <s v="GNR_WT_WIND_OFF"/>
    <x v="0"/>
    <x v="13"/>
    <n v="1850.2051163793101"/>
    <n v="675324.86747844703"/>
    <n v="2431169.5229224102"/>
  </r>
  <r>
    <x v="0"/>
    <x v="0"/>
    <x v="0"/>
    <x v="10"/>
    <x v="21"/>
    <s v="UK_Offshore"/>
    <x v="7"/>
    <x v="5"/>
    <s v="GNR_WT_WIND_OFF"/>
    <x v="0"/>
    <x v="14"/>
    <n v="1386.7648854348399"/>
    <n v="506169.18318371801"/>
    <n v="1822209.0594613799"/>
  </r>
  <r>
    <x v="0"/>
    <x v="0"/>
    <x v="0"/>
    <x v="10"/>
    <x v="21"/>
    <s v="UK_Offshore"/>
    <x v="7"/>
    <x v="5"/>
    <s v="GNR_WT_WIND_OFF"/>
    <x v="0"/>
    <x v="15"/>
    <n v="1034.7399529782999"/>
    <n v="377680.08283708099"/>
    <n v="1359648.2982134901"/>
  </r>
  <r>
    <x v="0"/>
    <x v="0"/>
    <x v="0"/>
    <x v="10"/>
    <x v="21"/>
    <s v="UK_Offshore"/>
    <x v="7"/>
    <x v="5"/>
    <s v="GNR_WT_WIND_OFF"/>
    <x v="0"/>
    <x v="16"/>
    <n v="789.38924247829402"/>
    <n v="288127.07350457698"/>
    <n v="1037257.4646164801"/>
  </r>
  <r>
    <x v="0"/>
    <x v="0"/>
    <x v="0"/>
    <x v="10"/>
    <x v="21"/>
    <s v="UK_Offshore"/>
    <x v="7"/>
    <x v="5"/>
    <s v="GNR_WT_WIND_OFF"/>
    <x v="0"/>
    <x v="17"/>
    <n v="632.93371694205598"/>
    <n v="231020.806683851"/>
    <n v="831674.90406186203"/>
  </r>
  <r>
    <x v="0"/>
    <x v="0"/>
    <x v="0"/>
    <x v="10"/>
    <x v="21"/>
    <s v="UK_Offshore"/>
    <x v="7"/>
    <x v="5"/>
    <s v="GNR_WT_WIND_OFF"/>
    <x v="0"/>
    <x v="18"/>
    <n v="563.00283810388805"/>
    <n v="205496.03590791899"/>
    <n v="739785.72926850896"/>
  </r>
  <r>
    <x v="0"/>
    <x v="0"/>
    <x v="0"/>
    <x v="10"/>
    <x v="21"/>
    <s v="UK_Offshore"/>
    <x v="7"/>
    <x v="5"/>
    <s v="GNR_WT_WIND_OFF"/>
    <x v="0"/>
    <x v="19"/>
    <n v="523.88895671982903"/>
    <n v="191219.46920273799"/>
    <n v="688390.08912985597"/>
  </r>
  <r>
    <x v="0"/>
    <x v="0"/>
    <x v="0"/>
    <x v="10"/>
    <x v="21"/>
    <s v="UK_Offshore"/>
    <x v="7"/>
    <x v="5"/>
    <s v="GNR_WT_WIND_OFF"/>
    <x v="0"/>
    <x v="20"/>
    <n v="554.70595417393599"/>
    <n v="202467.67327348699"/>
    <n v="728883.62378455198"/>
  </r>
  <r>
    <x v="0"/>
    <x v="0"/>
    <x v="0"/>
    <x v="10"/>
    <x v="21"/>
    <s v="UK_Offshore"/>
    <x v="7"/>
    <x v="5"/>
    <s v="GNR_WT_WIND_OFF"/>
    <x v="0"/>
    <x v="21"/>
    <n v="642.41587000485799"/>
    <n v="234481.79255177299"/>
    <n v="844134.45318638301"/>
  </r>
  <r>
    <x v="0"/>
    <x v="0"/>
    <x v="0"/>
    <x v="10"/>
    <x v="21"/>
    <s v="UK_Offshore"/>
    <x v="7"/>
    <x v="5"/>
    <s v="GNR_WT_WIND_OFF"/>
    <x v="0"/>
    <x v="22"/>
    <n v="756.20170675848601"/>
    <n v="276013.62296684802"/>
    <n v="993649.04268065095"/>
  </r>
  <r>
    <x v="0"/>
    <x v="0"/>
    <x v="0"/>
    <x v="10"/>
    <x v="21"/>
    <s v="UK_Offshore"/>
    <x v="7"/>
    <x v="5"/>
    <s v="GNR_WT_WIND_OFF"/>
    <x v="0"/>
    <x v="23"/>
    <n v="798.87139554109694"/>
    <n v="291588.05937249999"/>
    <n v="1049717.0137410001"/>
  </r>
</pivotCacheRecords>
</file>

<file path=xl/pivotCache/pivotCacheRecords7.xml><?xml version="1.0" encoding="utf-8"?>
<pivotCacheRecords xmlns="http://schemas.openxmlformats.org/spreadsheetml/2006/main" xmlns:r="http://schemas.openxmlformats.org/officeDocument/2006/relationships" count="428">
  <r>
    <x v="0"/>
    <x v="0"/>
    <x v="0"/>
    <x v="0"/>
    <x v="0"/>
    <s v="DK1_Large"/>
    <x v="0"/>
    <s v="GNR_ST_COAL_EXT_E-47"/>
    <n v="2.2466980799660401E-2"/>
    <n v="8.0881130878777602E-2"/>
  </r>
  <r>
    <x v="0"/>
    <x v="0"/>
    <x v="0"/>
    <x v="0"/>
    <x v="0"/>
    <s v="DK1_Large"/>
    <x v="1"/>
    <s v="GNR_HS_HEAT-E-100"/>
    <n v="0.68103134272180199"/>
    <n v="2.4517128337984899"/>
  </r>
  <r>
    <x v="0"/>
    <x v="0"/>
    <x v="0"/>
    <x v="0"/>
    <x v="0"/>
    <s v="DK1_Large"/>
    <x v="2"/>
    <s v="GNR_BO_MSW_E-105"/>
    <n v="0.33288000000000001"/>
    <n v="1.1983680000000001"/>
  </r>
  <r>
    <x v="0"/>
    <x v="0"/>
    <x v="0"/>
    <x v="0"/>
    <x v="0"/>
    <s v="DK1_Large"/>
    <x v="2"/>
    <s v="GNR_ST_MSW_BP_E-18"/>
    <n v="8.4412835387342997E-2"/>
    <n v="0.303886207394435"/>
  </r>
  <r>
    <x v="0"/>
    <x v="0"/>
    <x v="0"/>
    <x v="0"/>
    <x v="0"/>
    <s v="DK1_Large"/>
    <x v="2"/>
    <s v="GNR_ST_MSW_BP_E-19"/>
    <n v="0.26656684859161001"/>
    <n v="0.959640654929794"/>
  </r>
  <r>
    <x v="0"/>
    <x v="0"/>
    <x v="0"/>
    <x v="0"/>
    <x v="0"/>
    <s v="DK1_Large"/>
    <x v="2"/>
    <s v="GNR_ST_MSW_BP_E-22"/>
    <n v="0.91817470070443397"/>
    <n v="3.3054289225359601"/>
  </r>
  <r>
    <x v="0"/>
    <x v="0"/>
    <x v="0"/>
    <x v="0"/>
    <x v="0"/>
    <s v="DK1_Large"/>
    <x v="2"/>
    <s v="GNR_ST_MSW_BP_E-23"/>
    <n v="1.0680445066903801"/>
    <n v="3.84496022408538"/>
  </r>
  <r>
    <x v="0"/>
    <x v="0"/>
    <x v="0"/>
    <x v="0"/>
    <x v="0"/>
    <s v="DK1_Large"/>
    <x v="2"/>
    <s v="GNR_ST_MSW_BP_E-27"/>
    <n v="0.53017184330997902"/>
    <n v="1.9086186359159301"/>
  </r>
  <r>
    <x v="0"/>
    <x v="0"/>
    <x v="0"/>
    <x v="0"/>
    <x v="0"/>
    <s v="DK1_Large"/>
    <x v="3"/>
    <s v="GNR_ENG_NGAS_BP_E-34"/>
    <n v="1.01908E-2"/>
    <n v="3.6686879999999998E-2"/>
  </r>
  <r>
    <x v="0"/>
    <x v="0"/>
    <x v="0"/>
    <x v="0"/>
    <x v="0"/>
    <s v="DK1_Large"/>
    <x v="3"/>
    <s v="GNR_ENG_NGAS_BP_E-38"/>
    <n v="2.8499199999999999E-2"/>
    <n v="0.10259712"/>
  </r>
  <r>
    <x v="0"/>
    <x v="0"/>
    <x v="0"/>
    <x v="0"/>
    <x v="0"/>
    <s v="DK1_Large"/>
    <x v="3"/>
    <s v="GNR_ENG_NGAS_BP_E-39"/>
    <n v="0.131010666666667"/>
    <n v="0.47163840000000001"/>
  </r>
  <r>
    <x v="0"/>
    <x v="0"/>
    <x v="0"/>
    <x v="0"/>
    <x v="0"/>
    <s v="DK1_Large"/>
    <x v="3"/>
    <s v="GNR_ENG_NGAS_BP_E-40"/>
    <n v="5.0710666666666702E-2"/>
    <n v="0.18255840000000001"/>
  </r>
  <r>
    <x v="0"/>
    <x v="0"/>
    <x v="0"/>
    <x v="0"/>
    <x v="0"/>
    <s v="DK1_Large"/>
    <x v="3"/>
    <s v="GNR_ENG_NGAS_BP_E-41"/>
    <n v="3.6986666666666702E-2"/>
    <n v="0.13315199999999999"/>
  </r>
  <r>
    <x v="0"/>
    <x v="0"/>
    <x v="0"/>
    <x v="0"/>
    <x v="0"/>
    <s v="DK1_Large"/>
    <x v="3"/>
    <s v="GNR_ENG_NGAS_BP_E-42"/>
    <n v="2.1997333333333299E-2"/>
    <n v="7.9190399999999994E-2"/>
  </r>
  <r>
    <x v="0"/>
    <x v="0"/>
    <x v="0"/>
    <x v="0"/>
    <x v="0"/>
    <s v="DK1_Large"/>
    <x v="3"/>
    <s v="GNR_ENG_NGAS_BP_E-43"/>
    <n v="8.7502666666666604E-2"/>
    <n v="0.3150096"/>
  </r>
  <r>
    <x v="0"/>
    <x v="0"/>
    <x v="0"/>
    <x v="0"/>
    <x v="0"/>
    <s v="DK1_Large"/>
    <x v="3"/>
    <s v="GNR_ENG_NGAS_BP_E-44"/>
    <n v="3.05626666666667E-2"/>
    <n v="0.1100256"/>
  </r>
  <r>
    <x v="0"/>
    <x v="0"/>
    <x v="0"/>
    <x v="0"/>
    <x v="0"/>
    <s v="DK1_Large"/>
    <x v="3"/>
    <s v="GNR_ENG_NGAS_BP_E-46"/>
    <n v="2.8421333333333298E-2"/>
    <n v="0.1023168"/>
  </r>
  <r>
    <x v="0"/>
    <x v="0"/>
    <x v="0"/>
    <x v="0"/>
    <x v="0"/>
    <s v="DK1_Large"/>
    <x v="3"/>
    <s v="GNR_GT_NGAS_BP_E-27"/>
    <n v="4.9947368421052601E-2"/>
    <n v="0.17981052631579"/>
  </r>
  <r>
    <x v="0"/>
    <x v="0"/>
    <x v="0"/>
    <x v="0"/>
    <x v="0"/>
    <s v="DK1_Large"/>
    <x v="3"/>
    <s v="GNR_ST_NGAS_EXT_E-47"/>
    <n v="2.7857610465248501"/>
    <n v="10.028739767489499"/>
  </r>
  <r>
    <x v="0"/>
    <x v="0"/>
    <x v="0"/>
    <x v="0"/>
    <x v="0"/>
    <s v="DK1_Large"/>
    <x v="4"/>
    <s v="GNR_ST_STRW_BP_E-26"/>
    <n v="0.61071864604127302"/>
    <n v="2.1985871257485798"/>
  </r>
  <r>
    <x v="0"/>
    <x v="0"/>
    <x v="0"/>
    <x v="0"/>
    <x v="0"/>
    <s v="DK1_Large"/>
    <x v="5"/>
    <s v="GNR_EH_HEAT"/>
    <n v="1.5254664"/>
    <n v="5.4916790400000002"/>
  </r>
  <r>
    <x v="0"/>
    <x v="0"/>
    <x v="0"/>
    <x v="0"/>
    <x v="0"/>
    <s v="DK1_Large"/>
    <x v="6"/>
    <s v="GNR_ST_WOODCHI_BP_E-23"/>
    <n v="0.18518382352941201"/>
    <n v="0.66666176470588201"/>
  </r>
  <r>
    <x v="0"/>
    <x v="0"/>
    <x v="0"/>
    <x v="0"/>
    <x v="0"/>
    <s v="DK1_MedSmall"/>
    <x v="1"/>
    <s v="GNR_HS_HEAT-E-100"/>
    <n v="0.17694566950135199"/>
    <n v="0.63700441020486798"/>
  </r>
  <r>
    <x v="0"/>
    <x v="0"/>
    <x v="0"/>
    <x v="0"/>
    <x v="0"/>
    <s v="DK1_MedSmall"/>
    <x v="2"/>
    <s v="GNR_BO_MSW_E-100"/>
    <n v="5.6939999999999998E-2"/>
    <n v="0.204984"/>
  </r>
  <r>
    <x v="0"/>
    <x v="0"/>
    <x v="0"/>
    <x v="0"/>
    <x v="0"/>
    <s v="DK1_MedSmall"/>
    <x v="2"/>
    <s v="GNR_ST_MSW_BP_E-17"/>
    <n v="7.1084492957762493E-2"/>
    <n v="0.25590417464794502"/>
  </r>
  <r>
    <x v="0"/>
    <x v="0"/>
    <x v="0"/>
    <x v="0"/>
    <x v="0"/>
    <s v="DK1_MedSmall"/>
    <x v="2"/>
    <s v="GNR_ST_MSW_BP_E-20"/>
    <n v="9.77411778169235E-2"/>
    <n v="0.35186824014092499"/>
  </r>
  <r>
    <x v="0"/>
    <x v="0"/>
    <x v="0"/>
    <x v="0"/>
    <x v="0"/>
    <s v="DK1_MedSmall"/>
    <x v="2"/>
    <s v="GNR_ST_MSW_BP_E-21"/>
    <n v="0.29618538732401101"/>
    <n v="1.06626739436644"/>
  </r>
  <r>
    <x v="0"/>
    <x v="0"/>
    <x v="0"/>
    <x v="0"/>
    <x v="0"/>
    <s v="DK1_MedSmall"/>
    <x v="2"/>
    <s v="GNR_ST_MSW_BP_E-22"/>
    <n v="0.133283424295805"/>
    <n v="0.479820327464897"/>
  </r>
  <r>
    <x v="0"/>
    <x v="0"/>
    <x v="0"/>
    <x v="0"/>
    <x v="0"/>
    <s v="DK1_MedSmall"/>
    <x v="2"/>
    <s v="GNR_ST_MSW_BP_E-26"/>
    <n v="0.207329771126808"/>
    <n v="0.74638717605650695"/>
  </r>
  <r>
    <x v="0"/>
    <x v="0"/>
    <x v="0"/>
    <x v="0"/>
    <x v="0"/>
    <s v="DK1_MedSmall"/>
    <x v="3"/>
    <s v="GNR_ENG_NGAS_BP_E-35"/>
    <n v="6.1320000000000003E-3"/>
    <n v="2.20752E-2"/>
  </r>
  <r>
    <x v="0"/>
    <x v="0"/>
    <x v="0"/>
    <x v="0"/>
    <x v="0"/>
    <s v="DK1_MedSmall"/>
    <x v="3"/>
    <s v="GNR_ENG_NGAS_BP_E-37"/>
    <n v="9.73333333333333E-3"/>
    <n v="3.5040000000000002E-2"/>
  </r>
  <r>
    <x v="0"/>
    <x v="0"/>
    <x v="0"/>
    <x v="0"/>
    <x v="0"/>
    <s v="DK1_MedSmall"/>
    <x v="3"/>
    <s v="GNR_ENG_NGAS_BP_E-40"/>
    <n v="0.121394133333333"/>
    <n v="0.43701888"/>
  </r>
  <r>
    <x v="0"/>
    <x v="0"/>
    <x v="0"/>
    <x v="0"/>
    <x v="0"/>
    <s v="DK1_MedSmall"/>
    <x v="3"/>
    <s v="GNR_ENG_NGAS_BP_E-41"/>
    <n v="8.2928000000000002E-2"/>
    <n v="0.2985408"/>
  </r>
  <r>
    <x v="0"/>
    <x v="0"/>
    <x v="0"/>
    <x v="0"/>
    <x v="0"/>
    <s v="DK1_MedSmall"/>
    <x v="3"/>
    <s v="GNR_ENG_NGAS_BP_E-46"/>
    <n v="2.1510666666666699E-2"/>
    <n v="7.7438400000000004E-2"/>
  </r>
  <r>
    <x v="0"/>
    <x v="0"/>
    <x v="0"/>
    <x v="0"/>
    <x v="0"/>
    <s v="DK1_MedSmall"/>
    <x v="3"/>
    <s v="GNR_GT_NGAS_BP_E-31"/>
    <n v="0.15675789473684201"/>
    <n v="0.56432842105263104"/>
  </r>
  <r>
    <x v="0"/>
    <x v="0"/>
    <x v="0"/>
    <x v="0"/>
    <x v="0"/>
    <s v="DK1_MedSmall"/>
    <x v="4"/>
    <s v="GNR_BO_STRW_E-102"/>
    <n v="5.874675E-2"/>
    <n v="0.21148829999999999"/>
  </r>
  <r>
    <x v="0"/>
    <x v="0"/>
    <x v="0"/>
    <x v="0"/>
    <x v="0"/>
    <s v="DK1_MedSmall"/>
    <x v="4"/>
    <s v="GNR_ST_STRW_BP_E-21"/>
    <n v="0.34476052599104101"/>
    <n v="1.24113789356775"/>
  </r>
  <r>
    <x v="0"/>
    <x v="0"/>
    <x v="0"/>
    <x v="0"/>
    <x v="0"/>
    <s v="DK1_MedSmall"/>
    <x v="5"/>
    <s v="GNR_EH_HEAT"/>
    <n v="0.1095"/>
    <n v="0.39419999999999999"/>
  </r>
  <r>
    <x v="0"/>
    <x v="0"/>
    <x v="0"/>
    <x v="0"/>
    <x v="0"/>
    <s v="DK1_MedSmall"/>
    <x v="5"/>
    <s v="GNR_GEO_HEAT_HO"/>
    <n v="7.2707999999999995E-2"/>
    <n v="0.2617488"/>
  </r>
  <r>
    <x v="0"/>
    <x v="0"/>
    <x v="0"/>
    <x v="0"/>
    <x v="0"/>
    <s v="DK1_MedSmall"/>
    <x v="6"/>
    <s v="GNR_BO_WOODCHI_E-110"/>
    <n v="3.7734424174741999E-3"/>
    <n v="1.35843927029071E-2"/>
  </r>
  <r>
    <x v="0"/>
    <x v="0"/>
    <x v="0"/>
    <x v="0"/>
    <x v="0"/>
    <s v="DK1_Medium"/>
    <x v="1"/>
    <s v="GNR_HS_HEAT-E-100"/>
    <n v="0.41196279673159503"/>
    <n v="1.48306606823374"/>
  </r>
  <r>
    <x v="0"/>
    <x v="0"/>
    <x v="0"/>
    <x v="0"/>
    <x v="0"/>
    <s v="DK1_Medium"/>
    <x v="1"/>
    <s v="GNR_HS_HEAT_WTR-TANK_LS_E-95_Y-2010"/>
    <n v="0.13017195527821099"/>
    <n v="0.46861903900156099"/>
  </r>
  <r>
    <x v="0"/>
    <x v="0"/>
    <x v="0"/>
    <x v="0"/>
    <x v="0"/>
    <s v="DK1_Medium"/>
    <x v="2"/>
    <s v="GNR_ST_MSW_BP_E-22"/>
    <n v="7.6906777648401703E-2"/>
    <n v="0.27686439953424602"/>
  </r>
  <r>
    <x v="0"/>
    <x v="0"/>
    <x v="0"/>
    <x v="0"/>
    <x v="0"/>
    <s v="DK1_Medium"/>
    <x v="3"/>
    <s v="GNR_ENG_NGAS_BP_E-34"/>
    <n v="3.47966666666667E-3"/>
    <n v="1.2526799999999999E-2"/>
  </r>
  <r>
    <x v="0"/>
    <x v="0"/>
    <x v="0"/>
    <x v="0"/>
    <x v="0"/>
    <s v="DK1_Medium"/>
    <x v="3"/>
    <s v="GNR_ENG_NGAS_BP_E-36"/>
    <n v="1.1753E-2"/>
    <n v="4.2310800000000003E-2"/>
  </r>
  <r>
    <x v="0"/>
    <x v="0"/>
    <x v="0"/>
    <x v="0"/>
    <x v="0"/>
    <s v="DK1_Medium"/>
    <x v="3"/>
    <s v="GNR_ENG_NGAS_BP_E-40"/>
    <n v="1.24059444444444E-2"/>
    <n v="4.4661399999999997E-2"/>
  </r>
  <r>
    <x v="0"/>
    <x v="0"/>
    <x v="0"/>
    <x v="0"/>
    <x v="0"/>
    <s v="DK1_Medium"/>
    <x v="3"/>
    <s v="GNR_ENG_NGAS_BP_E-41"/>
    <n v="4.1853333333333402E-2"/>
    <n v="0.150672"/>
  </r>
  <r>
    <x v="0"/>
    <x v="0"/>
    <x v="0"/>
    <x v="0"/>
    <x v="0"/>
    <s v="DK1_Medium"/>
    <x v="3"/>
    <s v="GNR_ENG_NGAS_BP_E-42"/>
    <n v="9.76253333333333E-2"/>
    <n v="0.35145120000000002"/>
  </r>
  <r>
    <x v="0"/>
    <x v="0"/>
    <x v="0"/>
    <x v="0"/>
    <x v="0"/>
    <s v="DK1_Medium"/>
    <x v="3"/>
    <s v="GNR_ENG_NGAS_BP_E-43"/>
    <n v="1.38213333333333E-2"/>
    <n v="4.9756799999999997E-2"/>
  </r>
  <r>
    <x v="0"/>
    <x v="0"/>
    <x v="0"/>
    <x v="0"/>
    <x v="0"/>
    <s v="DK1_Medium"/>
    <x v="3"/>
    <s v="GNR_ENG_NGAS_BP_E-44"/>
    <n v="4.5552000000000002E-2"/>
    <n v="0.1639872"/>
  </r>
  <r>
    <x v="0"/>
    <x v="0"/>
    <x v="0"/>
    <x v="0"/>
    <x v="0"/>
    <s v="DK1_Medium"/>
    <x v="3"/>
    <s v="GNR_GT_NGAS_BP_E-31"/>
    <n v="1.72894736842105E-2"/>
    <n v="6.2242105263157897E-2"/>
  </r>
  <r>
    <x v="0"/>
    <x v="0"/>
    <x v="0"/>
    <x v="0"/>
    <x v="0"/>
    <s v="DK1_Medium"/>
    <x v="3"/>
    <s v="GNR_GT_NGAS_BP_E-43"/>
    <n v="0.75750947368421095"/>
    <n v="2.7270341052631601"/>
  </r>
  <r>
    <x v="0"/>
    <x v="0"/>
    <x v="0"/>
    <x v="0"/>
    <x v="0"/>
    <s v="DK1_Medium"/>
    <x v="3"/>
    <s v="GNR_GT_NGAS_BP_E-44"/>
    <n v="0.52559999999999996"/>
    <n v="1.8921600000000001"/>
  </r>
  <r>
    <x v="0"/>
    <x v="0"/>
    <x v="0"/>
    <x v="0"/>
    <x v="0"/>
    <s v="DK1_Medium"/>
    <x v="3"/>
    <s v="GNR_GT_NGAS_BP_E-47"/>
    <n v="1.0009452631578899"/>
    <n v="3.6034029473684202"/>
  </r>
  <r>
    <x v="0"/>
    <x v="0"/>
    <x v="0"/>
    <x v="0"/>
    <x v="0"/>
    <s v="DK1_Medium"/>
    <x v="5"/>
    <s v="GNR_GEO_HEAT_HO"/>
    <n v="5.9271631095909098E-2"/>
    <n v="0.213377871945273"/>
  </r>
  <r>
    <x v="0"/>
    <x v="0"/>
    <x v="0"/>
    <x v="0"/>
    <x v="0"/>
    <s v="DK1_Medium"/>
    <x v="6"/>
    <s v="GNR_ST_WOODCHI_BP_E-27"/>
    <n v="0.223294117647059"/>
    <n v="0.80385882352941196"/>
  </r>
  <r>
    <x v="0"/>
    <x v="0"/>
    <x v="0"/>
    <x v="0"/>
    <x v="0"/>
    <s v="DK1_Medium"/>
    <x v="6"/>
    <s v="GNR_ST_WOODCHI_BP_E-30"/>
    <n v="1.0216488075121599"/>
    <n v="3.6779357070437801"/>
  </r>
  <r>
    <x v="0"/>
    <x v="0"/>
    <x v="0"/>
    <x v="0"/>
    <x v="0"/>
    <s v="DK1_NoDH"/>
    <x v="3"/>
    <s v="GNR_ENG_NGAS_BP_E-33"/>
    <n v="2.7375000000000001E-4"/>
    <n v="9.8550000000000005E-4"/>
  </r>
  <r>
    <x v="0"/>
    <x v="0"/>
    <x v="0"/>
    <x v="0"/>
    <x v="0"/>
    <s v="DK1_NoDH"/>
    <x v="3"/>
    <s v="GNR_ENG_NGAS_BP_E-35"/>
    <n v="9.7008888888888908E-3"/>
    <n v="3.4923200000000001E-2"/>
  </r>
  <r>
    <x v="0"/>
    <x v="0"/>
    <x v="0"/>
    <x v="0"/>
    <x v="0"/>
    <s v="DK1_NoDH"/>
    <x v="3"/>
    <s v="GNR_ENG_NGAS_BP_E-36"/>
    <n v="1.9134111111111098E-2"/>
    <n v="6.8882799999999994E-2"/>
  </r>
  <r>
    <x v="0"/>
    <x v="0"/>
    <x v="0"/>
    <x v="0"/>
    <x v="0"/>
    <s v="DK1_NoDH"/>
    <x v="3"/>
    <s v="GNR_ENG_NGAS_BP_E-37"/>
    <n v="0.224231666666667"/>
    <n v="0.80723400000000001"/>
  </r>
  <r>
    <x v="0"/>
    <x v="0"/>
    <x v="0"/>
    <x v="0"/>
    <x v="0"/>
    <s v="DK1_NoDH"/>
    <x v="3"/>
    <s v="GNR_ENG_NGAS_BP_E-38"/>
    <n v="0.100253333333333"/>
    <n v="0.36091200000000001"/>
  </r>
  <r>
    <x v="0"/>
    <x v="0"/>
    <x v="0"/>
    <x v="0"/>
    <x v="0"/>
    <s v="DK1_NoDH"/>
    <x v="3"/>
    <s v="GNR_ENG_NGAS_BP_E-39"/>
    <n v="9.6493833333333306E-2"/>
    <n v="0.34737780000000001"/>
  </r>
  <r>
    <x v="0"/>
    <x v="0"/>
    <x v="0"/>
    <x v="0"/>
    <x v="0"/>
    <s v="DK1_NoDH"/>
    <x v="3"/>
    <s v="GNR_ENG_NGAS_BP_E-40"/>
    <n v="2.6304333333333301E-2"/>
    <n v="9.4695600000000005E-2"/>
  </r>
  <r>
    <x v="0"/>
    <x v="0"/>
    <x v="0"/>
    <x v="0"/>
    <x v="0"/>
    <s v="DK1_NoDH"/>
    <x v="3"/>
    <s v="GNR_ENG_NGAS_BP_E-41"/>
    <n v="7.3782722222222194E-2"/>
    <n v="0.26561780000000002"/>
  </r>
  <r>
    <x v="0"/>
    <x v="0"/>
    <x v="0"/>
    <x v="0"/>
    <x v="0"/>
    <s v="DK1_NoDH"/>
    <x v="3"/>
    <s v="GNR_ENG_NGAS_BP_E-42"/>
    <n v="0.10823466666666701"/>
    <n v="0.38964480000000001"/>
  </r>
  <r>
    <x v="0"/>
    <x v="0"/>
    <x v="0"/>
    <x v="0"/>
    <x v="0"/>
    <s v="DK1_NoDH"/>
    <x v="3"/>
    <s v="GNR_ENG_NGAS_BP_E-43"/>
    <n v="0.120119066666667"/>
    <n v="0.43242863999999998"/>
  </r>
  <r>
    <x v="0"/>
    <x v="0"/>
    <x v="0"/>
    <x v="0"/>
    <x v="0"/>
    <s v="DK1_NoDH"/>
    <x v="3"/>
    <s v="GNR_ENG_NGAS_BP_E-46"/>
    <n v="4.6768666666666701E-2"/>
    <n v="0.16836719999999999"/>
  </r>
  <r>
    <x v="0"/>
    <x v="0"/>
    <x v="0"/>
    <x v="0"/>
    <x v="0"/>
    <s v="DK1_NoDH"/>
    <x v="3"/>
    <s v="GNR_GT_NGAS_BP_E-28"/>
    <n v="5.3635789473684199E-2"/>
    <n v="0.193088842105263"/>
  </r>
  <r>
    <x v="0"/>
    <x v="0"/>
    <x v="0"/>
    <x v="0"/>
    <x v="0"/>
    <s v="DK1_NoDH"/>
    <x v="3"/>
    <s v="GNR_GT_NGAS_BP_E-33"/>
    <n v="1.2217894736842099E-2"/>
    <n v="4.3984421052631603E-2"/>
  </r>
  <r>
    <x v="0"/>
    <x v="0"/>
    <x v="0"/>
    <x v="0"/>
    <x v="0"/>
    <s v="DK1_NoDH"/>
    <x v="3"/>
    <s v="GNR_GT_NGAS_BP_E-36"/>
    <n v="2.3052631578947401E-2"/>
    <n v="8.2989473684210502E-2"/>
  </r>
  <r>
    <x v="0"/>
    <x v="0"/>
    <x v="0"/>
    <x v="0"/>
    <x v="0"/>
    <s v="DK1_Rural"/>
    <x v="1"/>
    <s v="GNR_HS_HEAT-E-100"/>
    <n v="0.40130968238333198"/>
    <n v="1.4447148565800001"/>
  </r>
  <r>
    <x v="0"/>
    <x v="0"/>
    <x v="0"/>
    <x v="0"/>
    <x v="0"/>
    <s v="DK1_Rural"/>
    <x v="1"/>
    <s v="GNR_HS_HEAT_WTR-TANK_LS_E-95_Y-2010"/>
    <n v="5.5409835507168999E-2"/>
    <n v="0.199475407825808"/>
  </r>
  <r>
    <x v="0"/>
    <x v="0"/>
    <x v="0"/>
    <x v="0"/>
    <x v="0"/>
    <s v="DK1_Rural"/>
    <x v="3"/>
    <s v="GNR_ENG_NGAS_BP_E-33"/>
    <n v="9.1249999999999994E-3"/>
    <n v="3.2849999999999997E-2"/>
  </r>
  <r>
    <x v="0"/>
    <x v="0"/>
    <x v="0"/>
    <x v="0"/>
    <x v="0"/>
    <s v="DK1_Rural"/>
    <x v="3"/>
    <s v="GNR_ENG_NGAS_BP_E-34"/>
    <n v="2.4410388888888902E-2"/>
    <n v="8.7877399999999994E-2"/>
  </r>
  <r>
    <x v="0"/>
    <x v="0"/>
    <x v="0"/>
    <x v="0"/>
    <x v="0"/>
    <s v="DK1_Rural"/>
    <x v="3"/>
    <s v="GNR_ENG_NGAS_BP_E-36"/>
    <n v="0.12610344444444399"/>
    <n v="0.4539724"/>
  </r>
  <r>
    <x v="0"/>
    <x v="0"/>
    <x v="0"/>
    <x v="0"/>
    <x v="0"/>
    <s v="DK1_Rural"/>
    <x v="3"/>
    <s v="GNR_ENG_NGAS_BP_E-37"/>
    <n v="0.13178122222222199"/>
    <n v="0.47441240000000001"/>
  </r>
  <r>
    <x v="0"/>
    <x v="0"/>
    <x v="0"/>
    <x v="0"/>
    <x v="0"/>
    <s v="DK1_Rural"/>
    <x v="3"/>
    <s v="GNR_ENG_NGAS_BP_E-38"/>
    <n v="0.38776470237521898"/>
    <n v="1.3959529285507899"/>
  </r>
  <r>
    <x v="0"/>
    <x v="0"/>
    <x v="0"/>
    <x v="0"/>
    <x v="0"/>
    <s v="DK1_Rural"/>
    <x v="3"/>
    <s v="GNR_ENG_NGAS_BP_E-39"/>
    <n v="0.47846633333333299"/>
    <n v="1.7224788"/>
  </r>
  <r>
    <x v="0"/>
    <x v="0"/>
    <x v="0"/>
    <x v="0"/>
    <x v="0"/>
    <s v="DK1_Rural"/>
    <x v="3"/>
    <s v="GNR_ENG_NGAS_BP_E-40"/>
    <n v="0.65826127777777799"/>
    <n v="2.3697406000000001"/>
  </r>
  <r>
    <x v="0"/>
    <x v="0"/>
    <x v="0"/>
    <x v="0"/>
    <x v="0"/>
    <s v="DK1_Rural"/>
    <x v="3"/>
    <s v="GNR_ENG_NGAS_BP_E-41"/>
    <n v="0.99689871828499999"/>
    <n v="3.588835385826"/>
  </r>
  <r>
    <x v="0"/>
    <x v="0"/>
    <x v="0"/>
    <x v="0"/>
    <x v="0"/>
    <s v="DK1_Rural"/>
    <x v="3"/>
    <s v="GNR_ENG_NGAS_BP_E-42"/>
    <n v="0.74695546666666601"/>
    <n v="2.68903968"/>
  </r>
  <r>
    <x v="0"/>
    <x v="0"/>
    <x v="0"/>
    <x v="0"/>
    <x v="0"/>
    <s v="DK1_Rural"/>
    <x v="3"/>
    <s v="GNR_ENG_NGAS_BP_E-43"/>
    <n v="0.47237813333333301"/>
    <n v="1.7005612800000001"/>
  </r>
  <r>
    <x v="0"/>
    <x v="0"/>
    <x v="0"/>
    <x v="0"/>
    <x v="0"/>
    <s v="DK1_Rural"/>
    <x v="3"/>
    <s v="GNR_ENG_NGAS_BP_E-44"/>
    <n v="0.52589200000000003"/>
    <n v="1.8932112000000001"/>
  </r>
  <r>
    <x v="0"/>
    <x v="0"/>
    <x v="0"/>
    <x v="0"/>
    <x v="0"/>
    <s v="DK1_Rural"/>
    <x v="3"/>
    <s v="GNR_ENG_NGAS_BP_E-45"/>
    <n v="0.101616"/>
    <n v="0.36581760000000002"/>
  </r>
  <r>
    <x v="0"/>
    <x v="0"/>
    <x v="0"/>
    <x v="0"/>
    <x v="0"/>
    <s v="DK1_Rural"/>
    <x v="3"/>
    <s v="GNR_ENG_NGAS_BP_E-46"/>
    <n v="0.210629333333333"/>
    <n v="0.75826559999999998"/>
  </r>
  <r>
    <x v="0"/>
    <x v="0"/>
    <x v="0"/>
    <x v="0"/>
    <x v="0"/>
    <s v="DK1_Rural"/>
    <x v="3"/>
    <s v="GNR_ENG_NGAS_BP_E-47"/>
    <n v="3.60133333333333E-2"/>
    <n v="0.12964800000000001"/>
  </r>
  <r>
    <x v="0"/>
    <x v="0"/>
    <x v="0"/>
    <x v="0"/>
    <x v="0"/>
    <s v="DK1_Rural"/>
    <x v="3"/>
    <s v="GNR_GT_NGAS_BP_E-28"/>
    <n v="1.13726315789474E-2"/>
    <n v="4.09414736842105E-2"/>
  </r>
  <r>
    <x v="0"/>
    <x v="0"/>
    <x v="0"/>
    <x v="0"/>
    <x v="0"/>
    <s v="DK1_Rural"/>
    <x v="3"/>
    <s v="GNR_GT_NGAS_BP_E-30"/>
    <n v="1.21026315789474E-2"/>
    <n v="4.3569473684210498E-2"/>
  </r>
  <r>
    <x v="0"/>
    <x v="0"/>
    <x v="0"/>
    <x v="0"/>
    <x v="0"/>
    <s v="DK1_Rural"/>
    <x v="3"/>
    <s v="GNR_GT_NGAS_BP_E-41"/>
    <n v="5.5326315789473703E-2"/>
    <n v="0.19917473684210499"/>
  </r>
  <r>
    <x v="0"/>
    <x v="0"/>
    <x v="0"/>
    <x v="0"/>
    <x v="0"/>
    <s v="DK1_Rural"/>
    <x v="4"/>
    <s v="GNR_ST_STRW_BP_E-26"/>
    <n v="4.2746772332742398E-2"/>
    <n v="0.153888380397872"/>
  </r>
  <r>
    <x v="0"/>
    <x v="0"/>
    <x v="0"/>
    <x v="0"/>
    <x v="0"/>
    <s v="DK1_Rural"/>
    <x v="5"/>
    <s v="GNR_EH_HEAT"/>
    <n v="0.21376334891711701"/>
    <n v="0.76954805610162103"/>
  </r>
  <r>
    <x v="0"/>
    <x v="0"/>
    <x v="0"/>
    <x v="0"/>
    <x v="0"/>
    <s v="DK1_Rural"/>
    <x v="6"/>
    <s v="GNR_ST_WOODCHI_BP_E-27"/>
    <n v="2.0182352941176498E-2"/>
    <n v="7.2656470588235295E-2"/>
  </r>
  <r>
    <x v="0"/>
    <x v="0"/>
    <x v="0"/>
    <x v="0"/>
    <x v="0"/>
    <s v="DK1_Rural"/>
    <x v="7"/>
    <s v="GNR_ST_WOODPEL_BP_E-30"/>
    <n v="4.1828999999999998E-3"/>
    <n v="1.5058439999999999E-2"/>
  </r>
  <r>
    <x v="0"/>
    <x v="0"/>
    <x v="0"/>
    <x v="0"/>
    <x v="0"/>
    <s v="DK1_Small"/>
    <x v="1"/>
    <s v="GNR_HS_HEAT-E-100"/>
    <n v="1.9760424736757601E-2"/>
    <n v="7.1137529052327397E-2"/>
  </r>
  <r>
    <x v="0"/>
    <x v="0"/>
    <x v="0"/>
    <x v="0"/>
    <x v="0"/>
    <s v="DK1_Small"/>
    <x v="2"/>
    <s v="GNR_BO_MSW_E-105"/>
    <n v="5.6094459748251099E-2"/>
    <n v="0.201940055093704"/>
  </r>
  <r>
    <x v="0"/>
    <x v="0"/>
    <x v="0"/>
    <x v="0"/>
    <x v="0"/>
    <s v="DK1_Small"/>
    <x v="2"/>
    <s v="GNR_ST_MSW_BP_E-20"/>
    <n v="1.7832828528466502E-2"/>
    <n v="6.4198182702479303E-2"/>
  </r>
  <r>
    <x v="0"/>
    <x v="0"/>
    <x v="0"/>
    <x v="0"/>
    <x v="0"/>
    <s v="DK1_Small"/>
    <x v="3"/>
    <s v="GNR_ENG_NGAS_BP_E-38"/>
    <n v="3.7862666666666697E-2"/>
    <n v="0.1363056"/>
  </r>
  <r>
    <x v="0"/>
    <x v="0"/>
    <x v="0"/>
    <x v="0"/>
    <x v="0"/>
    <s v="DK1_Small"/>
    <x v="3"/>
    <s v="GNR_ENG_NGAS_BP_E-39"/>
    <n v="7.2026666666666697E-3"/>
    <n v="2.5929600000000001E-2"/>
  </r>
  <r>
    <x v="0"/>
    <x v="0"/>
    <x v="0"/>
    <x v="0"/>
    <x v="0"/>
    <s v="DK1_Small"/>
    <x v="3"/>
    <s v="GNR_ENG_NGAS_BP_E-41"/>
    <n v="1.44053333333333E-2"/>
    <n v="5.1859200000000001E-2"/>
  </r>
  <r>
    <x v="0"/>
    <x v="0"/>
    <x v="0"/>
    <x v="0"/>
    <x v="0"/>
    <s v="DK1_Small"/>
    <x v="3"/>
    <s v="GNR_ENG_NGAS_BP_E-42"/>
    <n v="0.13724"/>
    <n v="0.494064"/>
  </r>
  <r>
    <x v="0"/>
    <x v="0"/>
    <x v="0"/>
    <x v="0"/>
    <x v="0"/>
    <s v="DK1_Small"/>
    <x v="3"/>
    <s v="GNR_GT_NGAS_BP_E-31"/>
    <n v="3.0967368421052601E-2"/>
    <n v="0.111482526315789"/>
  </r>
  <r>
    <x v="0"/>
    <x v="0"/>
    <x v="0"/>
    <x v="0"/>
    <x v="0"/>
    <s v="DK1_Small"/>
    <x v="5"/>
    <s v="GNR_EH_HEAT"/>
    <n v="0.12264"/>
    <n v="0.44150400000000001"/>
  </r>
  <r>
    <x v="0"/>
    <x v="0"/>
    <x v="0"/>
    <x v="0"/>
    <x v="0"/>
    <s v="DK1_Small"/>
    <x v="8"/>
    <s v="GNR_BO_WOODWST_E-100"/>
    <n v="1.533E-2"/>
    <n v="5.5188000000000001E-2"/>
  </r>
  <r>
    <x v="0"/>
    <x v="0"/>
    <x v="0"/>
    <x v="0"/>
    <x v="0"/>
    <s v="DK1_Small"/>
    <x v="8"/>
    <s v="GNR_BO_WOODWST_E-89"/>
    <n v="1.5455676635563201E-2"/>
    <n v="5.5640435888027397E-2"/>
  </r>
  <r>
    <x v="0"/>
    <x v="0"/>
    <x v="0"/>
    <x v="0"/>
    <x v="1"/>
    <s v="DK2_Large"/>
    <x v="9"/>
    <s v="GNR_ENG_BGAS_BP_E-42"/>
    <n v="1.2206579268292699E-2"/>
    <n v="4.3943685365853601E-2"/>
  </r>
  <r>
    <x v="0"/>
    <x v="0"/>
    <x v="0"/>
    <x v="0"/>
    <x v="1"/>
    <s v="DK2_Large"/>
    <x v="1"/>
    <s v="GNR_HS_HEAT-E-100"/>
    <n v="1.6192312499999999"/>
    <n v="5.8292324999999998"/>
  </r>
  <r>
    <x v="0"/>
    <x v="0"/>
    <x v="0"/>
    <x v="0"/>
    <x v="1"/>
    <s v="DK2_Large"/>
    <x v="1"/>
    <s v="GNR_HS_HEAT_WTR-TANK_LS_E-95_Y-2010"/>
    <n v="0.23420944079574499"/>
    <n v="0.84315398686468102"/>
  </r>
  <r>
    <x v="0"/>
    <x v="0"/>
    <x v="0"/>
    <x v="0"/>
    <x v="1"/>
    <s v="DK2_Large"/>
    <x v="2"/>
    <s v="GNR_ST_MSW_BP_E-16"/>
    <n v="0.84412835387343099"/>
    <n v="3.0388620739443502"/>
  </r>
  <r>
    <x v="0"/>
    <x v="0"/>
    <x v="0"/>
    <x v="0"/>
    <x v="1"/>
    <s v="DK2_Large"/>
    <x v="2"/>
    <s v="GNR_ST_MSW_BP_E-20"/>
    <n v="1.1551230105636401"/>
    <n v="4.1584428380291101"/>
  </r>
  <r>
    <x v="0"/>
    <x v="0"/>
    <x v="0"/>
    <x v="0"/>
    <x v="1"/>
    <s v="DK2_Large"/>
    <x v="2"/>
    <s v="GNR_ST_MSW_BP_E-21"/>
    <n v="0.40577398063389503"/>
    <n v="1.4607863302820201"/>
  </r>
  <r>
    <x v="0"/>
    <x v="0"/>
    <x v="0"/>
    <x v="0"/>
    <x v="1"/>
    <s v="DK2_Large"/>
    <x v="2"/>
    <s v="GNR_ST_MSW_BP_E-27"/>
    <n v="0.57459965140858105"/>
    <n v="2.0685587450708902"/>
  </r>
  <r>
    <x v="0"/>
    <x v="0"/>
    <x v="0"/>
    <x v="0"/>
    <x v="1"/>
    <s v="DK2_Large"/>
    <x v="3"/>
    <s v="GNR_ENG_NGAS_BP_E-34"/>
    <n v="9.5386666666666692E-3"/>
    <n v="3.43392E-2"/>
  </r>
  <r>
    <x v="0"/>
    <x v="0"/>
    <x v="0"/>
    <x v="0"/>
    <x v="1"/>
    <s v="DK2_Large"/>
    <x v="3"/>
    <s v="GNR_ENG_NGAS_BP_E-36"/>
    <n v="2.72533333333333E-2"/>
    <n v="9.8112000000000005E-2"/>
  </r>
  <r>
    <x v="0"/>
    <x v="0"/>
    <x v="0"/>
    <x v="0"/>
    <x v="1"/>
    <s v="DK2_Large"/>
    <x v="3"/>
    <s v="GNR_ENG_NGAS_BP_E-38"/>
    <n v="3.9128000000000003E-2"/>
    <n v="0.14086080000000001"/>
  </r>
  <r>
    <x v="0"/>
    <x v="0"/>
    <x v="0"/>
    <x v="0"/>
    <x v="1"/>
    <s v="DK2_Large"/>
    <x v="3"/>
    <s v="GNR_ENG_NGAS_BP_E-40"/>
    <n v="5.3533333333333301E-2"/>
    <n v="0.19272"/>
  </r>
  <r>
    <x v="0"/>
    <x v="0"/>
    <x v="0"/>
    <x v="0"/>
    <x v="1"/>
    <s v="DK2_Large"/>
    <x v="3"/>
    <s v="GNR_GT_NGAS_BP_E-36"/>
    <n v="0.21392842105263199"/>
    <n v="0.77014231578947401"/>
  </r>
  <r>
    <x v="0"/>
    <x v="0"/>
    <x v="0"/>
    <x v="0"/>
    <x v="1"/>
    <s v="DK2_Large"/>
    <x v="3"/>
    <s v="GNR_ST_NGAS_BP_E-39"/>
    <n v="1.0261714285714301"/>
    <n v="3.69421714285714"/>
  </r>
  <r>
    <x v="0"/>
    <x v="0"/>
    <x v="0"/>
    <x v="0"/>
    <x v="1"/>
    <s v="DK2_Large"/>
    <x v="5"/>
    <s v="GNR_GEO_HEAT_HO"/>
    <n v="0.12264"/>
    <n v="0.44150400000000001"/>
  </r>
  <r>
    <x v="0"/>
    <x v="0"/>
    <x v="0"/>
    <x v="0"/>
    <x v="1"/>
    <s v="DK2_Large"/>
    <x v="6"/>
    <s v="GNR_ST_WOODCHI_BP_E-24"/>
    <n v="0.28341176470588197"/>
    <n v="1.02028235294118"/>
  </r>
  <r>
    <x v="0"/>
    <x v="0"/>
    <x v="0"/>
    <x v="0"/>
    <x v="1"/>
    <s v="DK2_Large"/>
    <x v="6"/>
    <s v="GNR_ST_WOODCHI_BP_E-27"/>
    <n v="0.38647058823529401"/>
    <n v="1.3912941176470599"/>
  </r>
  <r>
    <x v="0"/>
    <x v="0"/>
    <x v="0"/>
    <x v="0"/>
    <x v="1"/>
    <s v="DK2_Large"/>
    <x v="7"/>
    <s v="GNR_ST_WOODPEL_EXT_E-50"/>
    <n v="3.1721661010270501"/>
    <n v="11.4197979636974"/>
  </r>
  <r>
    <x v="0"/>
    <x v="0"/>
    <x v="0"/>
    <x v="0"/>
    <x v="1"/>
    <s v="DK2_Large"/>
    <x v="8"/>
    <s v="GNR_BO_WOODWST_E-90"/>
    <n v="5.83416E-2"/>
    <n v="0.21002976000000001"/>
  </r>
  <r>
    <x v="0"/>
    <x v="0"/>
    <x v="0"/>
    <x v="0"/>
    <x v="1"/>
    <s v="DK2_MedSmall"/>
    <x v="1"/>
    <s v="GNR_HS_HEAT-E-100"/>
    <n v="9.7995385405909505E-2"/>
    <n v="0.35278338746127402"/>
  </r>
  <r>
    <x v="0"/>
    <x v="0"/>
    <x v="0"/>
    <x v="0"/>
    <x v="1"/>
    <s v="DK2_MedSmall"/>
    <x v="2"/>
    <s v="GNR_BO_MSW_E-105"/>
    <n v="5.7753873167050301E-2"/>
    <n v="0.207913943401381"/>
  </r>
  <r>
    <x v="0"/>
    <x v="0"/>
    <x v="0"/>
    <x v="0"/>
    <x v="1"/>
    <s v="DK2_MedSmall"/>
    <x v="2"/>
    <s v="GNR_ST_MSW_BP_E-21"/>
    <n v="9.9222104753543594E-2"/>
    <n v="0.35719957711275702"/>
  </r>
  <r>
    <x v="0"/>
    <x v="0"/>
    <x v="0"/>
    <x v="0"/>
    <x v="1"/>
    <s v="DK2_MedSmall"/>
    <x v="2"/>
    <s v="GNR_ST_MSW_BP_E-25"/>
    <n v="0.167121125791689"/>
    <n v="0.60163605285008004"/>
  </r>
  <r>
    <x v="0"/>
    <x v="0"/>
    <x v="0"/>
    <x v="0"/>
    <x v="1"/>
    <s v="DK2_MedSmall"/>
    <x v="2"/>
    <s v="GNR_ST_MSW_BP_E-28"/>
    <n v="0.26613022962104999"/>
    <n v="0.95806882663578197"/>
  </r>
  <r>
    <x v="0"/>
    <x v="0"/>
    <x v="0"/>
    <x v="0"/>
    <x v="1"/>
    <s v="DK2_MedSmall"/>
    <x v="3"/>
    <s v="GNR_ENG_NGAS_BP_E-40"/>
    <n v="1.44053333333333E-2"/>
    <n v="5.1859200000000001E-2"/>
  </r>
  <r>
    <x v="0"/>
    <x v="0"/>
    <x v="0"/>
    <x v="0"/>
    <x v="1"/>
    <s v="DK2_MedSmall"/>
    <x v="3"/>
    <s v="GNR_ENG_NGAS_BP_E-42"/>
    <n v="3.0173333333333299E-2"/>
    <n v="0.108624"/>
  </r>
  <r>
    <x v="0"/>
    <x v="0"/>
    <x v="0"/>
    <x v="0"/>
    <x v="1"/>
    <s v="DK2_MedSmall"/>
    <x v="5"/>
    <s v="GNR_EH_HEAT"/>
    <n v="1.7520000000000001E-2"/>
    <n v="6.3072000000000003E-2"/>
  </r>
  <r>
    <x v="0"/>
    <x v="0"/>
    <x v="0"/>
    <x v="0"/>
    <x v="1"/>
    <s v="DK2_Medium"/>
    <x v="1"/>
    <s v="GNR_HS_HEAT-E-100"/>
    <n v="3.5691787938311299E-2"/>
    <n v="0.128490436577921"/>
  </r>
  <r>
    <x v="0"/>
    <x v="0"/>
    <x v="0"/>
    <x v="0"/>
    <x v="1"/>
    <s v="DK2_Medium"/>
    <x v="1"/>
    <s v="GNR_HS_HEAT_WTR-TANK_LS_E-95_Y-2010"/>
    <n v="0.10347960085392301"/>
    <n v="0.37252656307412202"/>
  </r>
  <r>
    <x v="0"/>
    <x v="0"/>
    <x v="0"/>
    <x v="0"/>
    <x v="1"/>
    <s v="DK2_Medium"/>
    <x v="2"/>
    <s v="GNR_ST_MSW_BP_E-23"/>
    <n v="9.5407550958877305E-2"/>
    <n v="0.34346718345195798"/>
  </r>
  <r>
    <x v="0"/>
    <x v="0"/>
    <x v="0"/>
    <x v="0"/>
    <x v="1"/>
    <s v="DK2_Medium"/>
    <x v="2"/>
    <s v="GNR_ST_MSW_BP_E-25"/>
    <n v="9.1323827758236595E-2"/>
    <n v="0.328765779929652"/>
  </r>
  <r>
    <x v="0"/>
    <x v="0"/>
    <x v="0"/>
    <x v="0"/>
    <x v="1"/>
    <s v="DK2_Medium"/>
    <x v="3"/>
    <s v="GNR_ENG_NGAS_BP_E-33"/>
    <n v="5.6777777777777799E-3"/>
    <n v="2.044E-2"/>
  </r>
  <r>
    <x v="0"/>
    <x v="0"/>
    <x v="0"/>
    <x v="0"/>
    <x v="1"/>
    <s v="DK2_Medium"/>
    <x v="3"/>
    <s v="GNR_ENG_NGAS_BP_E-35"/>
    <n v="1.9466666666666702E-2"/>
    <n v="7.0080000000000003E-2"/>
  </r>
  <r>
    <x v="0"/>
    <x v="0"/>
    <x v="0"/>
    <x v="0"/>
    <x v="1"/>
    <s v="DK2_Medium"/>
    <x v="3"/>
    <s v="GNR_ENG_NGAS_BP_E-38"/>
    <n v="9.4413333333333398E-3"/>
    <n v="3.39888E-2"/>
  </r>
  <r>
    <x v="0"/>
    <x v="0"/>
    <x v="0"/>
    <x v="0"/>
    <x v="1"/>
    <s v="DK2_Medium"/>
    <x v="3"/>
    <s v="GNR_ENG_NGAS_BP_E-39"/>
    <n v="0.10959733333333301"/>
    <n v="0.39455040000000002"/>
  </r>
  <r>
    <x v="0"/>
    <x v="0"/>
    <x v="0"/>
    <x v="0"/>
    <x v="1"/>
    <s v="DK2_Medium"/>
    <x v="3"/>
    <s v="GNR_ENG_NGAS_BP_E-41"/>
    <n v="3.0173333333333299E-2"/>
    <n v="0.108624"/>
  </r>
  <r>
    <x v="0"/>
    <x v="0"/>
    <x v="0"/>
    <x v="0"/>
    <x v="1"/>
    <s v="DK2_Medium"/>
    <x v="3"/>
    <s v="GNR_ENG_NGAS_BP_E-42"/>
    <n v="1.9466666666666702E-2"/>
    <n v="7.0080000000000003E-2"/>
  </r>
  <r>
    <x v="0"/>
    <x v="0"/>
    <x v="0"/>
    <x v="0"/>
    <x v="1"/>
    <s v="DK2_Medium"/>
    <x v="3"/>
    <s v="GNR_GT_NGAS_BP_E-42"/>
    <n v="0.54404210526315799"/>
    <n v="1.95855157894737"/>
  </r>
  <r>
    <x v="0"/>
    <x v="0"/>
    <x v="0"/>
    <x v="0"/>
    <x v="1"/>
    <s v="DK2_Medium"/>
    <x v="3"/>
    <s v="GNR_GT_NGAS_BP_E-44"/>
    <n v="0.710021052631579"/>
    <n v="2.5560757894736801"/>
  </r>
  <r>
    <x v="0"/>
    <x v="0"/>
    <x v="0"/>
    <x v="0"/>
    <x v="1"/>
    <s v="DK2_Medium"/>
    <x v="6"/>
    <s v="GNR_ST_WOODCHI_BP_E-27"/>
    <n v="3.5426470588235301E-3"/>
    <n v="1.27535294117647E-2"/>
  </r>
  <r>
    <x v="0"/>
    <x v="0"/>
    <x v="0"/>
    <x v="0"/>
    <x v="1"/>
    <s v="DK2_NoDH"/>
    <x v="3"/>
    <s v="GNR_ENG_NGAS_BP_E-33"/>
    <n v="9.0844444444444505E-3"/>
    <n v="3.2703999999999997E-2"/>
  </r>
  <r>
    <x v="0"/>
    <x v="0"/>
    <x v="0"/>
    <x v="0"/>
    <x v="1"/>
    <s v="DK2_NoDH"/>
    <x v="3"/>
    <s v="GNR_ENG_NGAS_BP_E-34"/>
    <n v="4.1009777777777798E-2"/>
    <n v="0.14763519999999999"/>
  </r>
  <r>
    <x v="0"/>
    <x v="0"/>
    <x v="0"/>
    <x v="0"/>
    <x v="1"/>
    <s v="DK2_NoDH"/>
    <x v="3"/>
    <s v="GNR_ENG_NGAS_BP_E-35"/>
    <n v="3.5989E-2"/>
    <n v="0.12956039999999999"/>
  </r>
  <r>
    <x v="0"/>
    <x v="0"/>
    <x v="0"/>
    <x v="0"/>
    <x v="1"/>
    <s v="DK2_NoDH"/>
    <x v="3"/>
    <s v="GNR_ENG_NGAS_BP_E-36"/>
    <n v="3.2927055555555598E-2"/>
    <n v="0.1185374"/>
  </r>
  <r>
    <x v="0"/>
    <x v="0"/>
    <x v="0"/>
    <x v="0"/>
    <x v="1"/>
    <s v="DK2_NoDH"/>
    <x v="3"/>
    <s v="GNR_ENG_NGAS_BP_E-37"/>
    <n v="2.6304333333333301E-2"/>
    <n v="9.4695600000000005E-2"/>
  </r>
  <r>
    <x v="0"/>
    <x v="0"/>
    <x v="0"/>
    <x v="0"/>
    <x v="1"/>
    <s v="DK2_NoDH"/>
    <x v="3"/>
    <s v="GNR_ENG_NGAS_BP_E-38"/>
    <n v="3.6597333333333301E-2"/>
    <n v="0.13175039999999999"/>
  </r>
  <r>
    <x v="0"/>
    <x v="0"/>
    <x v="0"/>
    <x v="0"/>
    <x v="1"/>
    <s v="DK2_NoDH"/>
    <x v="3"/>
    <s v="GNR_ENG_NGAS_BP_E-39"/>
    <n v="7.9326666666666698E-2"/>
    <n v="0.285576"/>
  </r>
  <r>
    <x v="0"/>
    <x v="0"/>
    <x v="0"/>
    <x v="0"/>
    <x v="1"/>
    <s v="DK2_NoDH"/>
    <x v="3"/>
    <s v="GNR_ENG_NGAS_BP_E-40"/>
    <n v="7.8158666666666696E-2"/>
    <n v="0.28137119999999999"/>
  </r>
  <r>
    <x v="0"/>
    <x v="0"/>
    <x v="0"/>
    <x v="0"/>
    <x v="1"/>
    <s v="DK2_NoDH"/>
    <x v="3"/>
    <s v="GNR_ENG_NGAS_BP_E-41"/>
    <n v="0.160210666666667"/>
    <n v="0.5767584"/>
  </r>
  <r>
    <x v="0"/>
    <x v="0"/>
    <x v="0"/>
    <x v="0"/>
    <x v="1"/>
    <s v="DK2_NoDH"/>
    <x v="3"/>
    <s v="GNR_ENG_NGAS_BP_E-46"/>
    <n v="9.1882666666666599E-2"/>
    <n v="0.3307776"/>
  </r>
  <r>
    <x v="0"/>
    <x v="0"/>
    <x v="0"/>
    <x v="0"/>
    <x v="1"/>
    <s v="DK2_NoDH"/>
    <x v="3"/>
    <s v="GNR_GT_NGAS_BP_E-28"/>
    <n v="1.8826315789473701E-2"/>
    <n v="6.7774736842105304E-2"/>
  </r>
  <r>
    <x v="0"/>
    <x v="0"/>
    <x v="0"/>
    <x v="0"/>
    <x v="1"/>
    <s v="DK2_NoDH"/>
    <x v="3"/>
    <s v="GNR_ST_NGAS_BP_E-39"/>
    <n v="7.3709142857142904E-2"/>
    <n v="0.265352914285714"/>
  </r>
  <r>
    <x v="0"/>
    <x v="0"/>
    <x v="0"/>
    <x v="0"/>
    <x v="1"/>
    <s v="DK2_Rural"/>
    <x v="9"/>
    <s v="GNR_ENG_BGAS_BP_E-39"/>
    <n v="1.34871951219512E-3"/>
    <n v="4.8553902439024401E-3"/>
  </r>
  <r>
    <x v="0"/>
    <x v="0"/>
    <x v="0"/>
    <x v="0"/>
    <x v="1"/>
    <s v="DK2_Rural"/>
    <x v="9"/>
    <s v="GNR_ENG_BGAS_BP_E-40"/>
    <n v="1.17957317073171E-3"/>
    <n v="4.2464634146341497E-3"/>
  </r>
  <r>
    <x v="0"/>
    <x v="0"/>
    <x v="0"/>
    <x v="0"/>
    <x v="1"/>
    <s v="DK2_Rural"/>
    <x v="9"/>
    <s v="GNR_ENG_BGAS_BP_E-41"/>
    <n v="8.0121951219512197E-3"/>
    <n v="2.8843902439024401E-2"/>
  </r>
  <r>
    <x v="0"/>
    <x v="0"/>
    <x v="0"/>
    <x v="0"/>
    <x v="1"/>
    <s v="DK2_Rural"/>
    <x v="9"/>
    <s v="GNR_ENG_BGAS_BP_E-42"/>
    <n v="2.2970963414634098E-2"/>
    <n v="8.26954682926829E-2"/>
  </r>
  <r>
    <x v="0"/>
    <x v="0"/>
    <x v="0"/>
    <x v="0"/>
    <x v="1"/>
    <s v="DK2_Rural"/>
    <x v="0"/>
    <s v="GNR_ST_COAL_BP_E-35"/>
    <n v="5.4019999999999999E-2"/>
    <n v="0.19447200000000001"/>
  </r>
  <r>
    <x v="0"/>
    <x v="0"/>
    <x v="0"/>
    <x v="0"/>
    <x v="1"/>
    <s v="DK2_Rural"/>
    <x v="1"/>
    <s v="GNR_HS_HEAT-E-100"/>
    <n v="0.10818545720009699"/>
    <n v="0.38946764592035099"/>
  </r>
  <r>
    <x v="0"/>
    <x v="0"/>
    <x v="0"/>
    <x v="0"/>
    <x v="1"/>
    <s v="DK2_Rural"/>
    <x v="2"/>
    <s v="GNR_BO_MSW_E-105"/>
    <n v="6.132E-2"/>
    <n v="0.220752"/>
  </r>
  <r>
    <x v="0"/>
    <x v="0"/>
    <x v="0"/>
    <x v="0"/>
    <x v="1"/>
    <s v="DK2_Rural"/>
    <x v="3"/>
    <s v="GNR_ENG_NGAS_BP_E-33"/>
    <n v="6.6867999999999997E-2"/>
    <n v="0.24072479999999999"/>
  </r>
  <r>
    <x v="0"/>
    <x v="0"/>
    <x v="0"/>
    <x v="0"/>
    <x v="1"/>
    <s v="DK2_Rural"/>
    <x v="3"/>
    <s v="GNR_ENG_NGAS_BP_E-34"/>
    <n v="3.8641333333333402E-2"/>
    <n v="0.1391088"/>
  </r>
  <r>
    <x v="0"/>
    <x v="0"/>
    <x v="0"/>
    <x v="0"/>
    <x v="1"/>
    <s v="DK2_Rural"/>
    <x v="3"/>
    <s v="GNR_ENG_NGAS_BP_E-35"/>
    <n v="7.0956000000000005E-2"/>
    <n v="0.25544159999999999"/>
  </r>
  <r>
    <x v="0"/>
    <x v="0"/>
    <x v="0"/>
    <x v="0"/>
    <x v="1"/>
    <s v="DK2_Rural"/>
    <x v="3"/>
    <s v="GNR_ENG_NGAS_BP_E-36"/>
    <n v="1.27993333333333E-2"/>
    <n v="4.6077600000000003E-2"/>
  </r>
  <r>
    <x v="0"/>
    <x v="0"/>
    <x v="0"/>
    <x v="0"/>
    <x v="1"/>
    <s v="DK2_Rural"/>
    <x v="3"/>
    <s v="GNR_ENG_NGAS_BP_E-37"/>
    <n v="1.7617333333333301E-2"/>
    <n v="6.3422400000000004E-2"/>
  </r>
  <r>
    <x v="0"/>
    <x v="0"/>
    <x v="0"/>
    <x v="0"/>
    <x v="1"/>
    <s v="DK2_Rural"/>
    <x v="3"/>
    <s v="GNR_ENG_NGAS_BP_E-38"/>
    <n v="3.1000666666666701E-2"/>
    <n v="0.1116024"/>
  </r>
  <r>
    <x v="0"/>
    <x v="0"/>
    <x v="0"/>
    <x v="0"/>
    <x v="1"/>
    <s v="DK2_Rural"/>
    <x v="3"/>
    <s v="GNR_ENG_NGAS_BP_E-39"/>
    <n v="0.25403999999999999"/>
    <n v="0.91454400000000002"/>
  </r>
  <r>
    <x v="0"/>
    <x v="0"/>
    <x v="0"/>
    <x v="0"/>
    <x v="1"/>
    <s v="DK2_Rural"/>
    <x v="3"/>
    <s v="GNR_ENG_NGAS_BP_E-40"/>
    <n v="0.25598666666666697"/>
    <n v="0.92155200000000004"/>
  </r>
  <r>
    <x v="0"/>
    <x v="0"/>
    <x v="0"/>
    <x v="0"/>
    <x v="1"/>
    <s v="DK2_Rural"/>
    <x v="3"/>
    <s v="GNR_ENG_NGAS_BP_E-41"/>
    <n v="5.2910400000000003E-2"/>
    <n v="0.19047744"/>
  </r>
  <r>
    <x v="0"/>
    <x v="0"/>
    <x v="0"/>
    <x v="0"/>
    <x v="1"/>
    <s v="DK2_Rural"/>
    <x v="3"/>
    <s v="GNR_ENG_NGAS_BP_E-42"/>
    <n v="1.4794666666666701E-2"/>
    <n v="5.3260799999999997E-2"/>
  </r>
  <r>
    <x v="0"/>
    <x v="0"/>
    <x v="0"/>
    <x v="0"/>
    <x v="1"/>
    <s v="DK2_Rural"/>
    <x v="3"/>
    <s v="GNR_ENG_NGAS_BP_E-43"/>
    <n v="2.4109466666666701E-2"/>
    <n v="8.6794079999999996E-2"/>
  </r>
  <r>
    <x v="0"/>
    <x v="0"/>
    <x v="0"/>
    <x v="0"/>
    <x v="1"/>
    <s v="DK2_Rural"/>
    <x v="3"/>
    <s v="GNR_ENG_NGAS_BP_E-45"/>
    <n v="4.8666666666666702E-3"/>
    <n v="1.7520000000000001E-2"/>
  </r>
  <r>
    <x v="0"/>
    <x v="0"/>
    <x v="0"/>
    <x v="0"/>
    <x v="1"/>
    <s v="DK2_Rural"/>
    <x v="3"/>
    <s v="GNR_ENG_NGAS_BP_E-46"/>
    <n v="5.3533333333333297E-3"/>
    <n v="1.9272000000000001E-2"/>
  </r>
  <r>
    <x v="0"/>
    <x v="0"/>
    <x v="0"/>
    <x v="0"/>
    <x v="1"/>
    <s v="DK2_Rural"/>
    <x v="4"/>
    <s v="GNR_BO_STRW_E-102"/>
    <n v="0.18811975478566301"/>
    <n v="0.67723111722838503"/>
  </r>
  <r>
    <x v="0"/>
    <x v="0"/>
    <x v="0"/>
    <x v="0"/>
    <x v="1"/>
    <s v="DK2_Rural"/>
    <x v="4"/>
    <s v="GNR_ST_STRW_BP_E-24"/>
    <n v="9.8503007426011702E-2"/>
    <n v="0.35461082673364203"/>
  </r>
  <r>
    <x v="0"/>
    <x v="0"/>
    <x v="0"/>
    <x v="0"/>
    <x v="1"/>
    <s v="DK2_Rural"/>
    <x v="4"/>
    <s v="GNR_ST_STRW_BP_E-27"/>
    <n v="0.19661200282232"/>
    <n v="0.70780321016035097"/>
  </r>
  <r>
    <x v="0"/>
    <x v="0"/>
    <x v="0"/>
    <x v="0"/>
    <x v="1"/>
    <s v="DK2_Rural"/>
    <x v="4"/>
    <s v="GNR_ST_STRW_BP_E-28"/>
    <n v="0.226556917079827"/>
    <n v="0.81560490148737697"/>
  </r>
  <r>
    <x v="0"/>
    <x v="0"/>
    <x v="0"/>
    <x v="0"/>
    <x v="1"/>
    <s v="DK2_Rural"/>
    <x v="5"/>
    <s v="GNR_EH_HEAT"/>
    <n v="0.14454"/>
    <n v="0.52034400000000003"/>
  </r>
  <r>
    <x v="0"/>
    <x v="0"/>
    <x v="0"/>
    <x v="0"/>
    <x v="1"/>
    <s v="DK2_Rural"/>
    <x v="8"/>
    <s v="GNR_BO_WOODWST_E-100"/>
    <n v="5.5188000000000001E-2"/>
    <n v="0.19867679999999999"/>
  </r>
  <r>
    <x v="0"/>
    <x v="0"/>
    <x v="0"/>
    <x v="0"/>
    <x v="1"/>
    <s v="DK2_Small"/>
    <x v="1"/>
    <s v="GNR_HS_HEAT_WTR-TANK_LS_E-95_Y-2010"/>
    <n v="4.2080123333333397"/>
    <n v="15.1488444"/>
  </r>
  <r>
    <x v="0"/>
    <x v="0"/>
    <x v="0"/>
    <x v="0"/>
    <x v="1"/>
    <s v="DK2_Small"/>
    <x v="3"/>
    <s v="GNR_ENG_NGAS_BP_E-46"/>
    <n v="0.37473333333333297"/>
    <n v="1.34904"/>
  </r>
  <r>
    <x v="0"/>
    <x v="0"/>
    <x v="0"/>
    <x v="1"/>
    <x v="2"/>
    <s v="EE_Industry"/>
    <x v="1"/>
    <s v="GNR_HS_HEAT_WTR-TANK_LS_E-95_Y-2010"/>
    <n v="13.129582199442901"/>
    <n v="47.266495917994497"/>
  </r>
  <r>
    <x v="0"/>
    <x v="0"/>
    <x v="0"/>
    <x v="1"/>
    <x v="2"/>
    <s v="EE_Industry"/>
    <x v="10"/>
    <s v="IMAVERE_ST_WOOD_BP"/>
    <n v="0.109351543525844"/>
    <n v="0.39366555669303699"/>
  </r>
  <r>
    <x v="0"/>
    <x v="0"/>
    <x v="0"/>
    <x v="1"/>
    <x v="2"/>
    <s v="EE_Industry"/>
    <x v="10"/>
    <s v="OSULA_ST_WOOD_BP"/>
    <n v="9.8550098550098594E-2"/>
    <n v="0.35478035478035502"/>
  </r>
  <r>
    <x v="0"/>
    <x v="0"/>
    <x v="0"/>
    <x v="1"/>
    <x v="2"/>
    <s v="EE_Industry"/>
    <x v="8"/>
    <s v="GNR_ST_WOODWST_BP_E-53"/>
    <n v="0.876"/>
    <n v="3.1536"/>
  </r>
  <r>
    <x v="0"/>
    <x v="0"/>
    <x v="0"/>
    <x v="1"/>
    <x v="2"/>
    <s v="EE_Kohtla_Jarve"/>
    <x v="3"/>
    <s v="GNR_BO_NGAS_HO_E-85"/>
    <n v="0.17874966666670999"/>
    <n v="0.64349880000015502"/>
  </r>
  <r>
    <x v="0"/>
    <x v="0"/>
    <x v="0"/>
    <x v="1"/>
    <x v="2"/>
    <s v="EE_Kohtla_Jarve"/>
    <x v="3"/>
    <s v="GNR_ENG_NGAS_EXT_E-44"/>
    <n v="0.155733333333333"/>
    <n v="0.56064000000000003"/>
  </r>
  <r>
    <x v="0"/>
    <x v="0"/>
    <x v="0"/>
    <x v="1"/>
    <x v="2"/>
    <s v="EE_Narva"/>
    <x v="11"/>
    <s v="GNR_BO_FUELOIL_HO_E-85"/>
    <n v="8.1387284685644601E-2"/>
    <n v="0.29299422486832"/>
  </r>
  <r>
    <x v="0"/>
    <x v="0"/>
    <x v="0"/>
    <x v="1"/>
    <x v="2"/>
    <s v="EE_Narva"/>
    <x v="1"/>
    <s v="GNR_HS_HEAT_WTR-TANK_LS_E-95_Y-2010"/>
    <n v="0.19581998119274699"/>
    <n v="0.70495193229388797"/>
  </r>
  <r>
    <x v="0"/>
    <x v="0"/>
    <x v="0"/>
    <x v="1"/>
    <x v="2"/>
    <s v="EE_Narva"/>
    <x v="12"/>
    <s v="NARVA-11_ST_SHALE_EXT"/>
    <n v="0.42452103011401998"/>
    <n v="1.5282757084104699"/>
  </r>
  <r>
    <x v="0"/>
    <x v="0"/>
    <x v="0"/>
    <x v="1"/>
    <x v="2"/>
    <s v="EE_Parnu"/>
    <x v="1"/>
    <s v="GNR_HS_HEAT_WTR-TANK_LS_E-95_Y-2010"/>
    <n v="1.6599453732854801"/>
    <n v="5.97580334382772"/>
  </r>
  <r>
    <x v="0"/>
    <x v="0"/>
    <x v="0"/>
    <x v="1"/>
    <x v="2"/>
    <s v="EE_Parnu"/>
    <x v="10"/>
    <s v="PARNU-1_ST_WOOD_BP"/>
    <n v="0.28492454596241101"/>
    <n v="1.02572836546468"/>
  </r>
  <r>
    <x v="0"/>
    <x v="0"/>
    <x v="0"/>
    <x v="1"/>
    <x v="2"/>
    <s v="EE_Rural"/>
    <x v="3"/>
    <s v="GNR_ENG_NGAS_EXT_E-44"/>
    <n v="1.1679999999999999E-2"/>
    <n v="4.2048000000000002E-2"/>
  </r>
  <r>
    <x v="0"/>
    <x v="0"/>
    <x v="0"/>
    <x v="1"/>
    <x v="2"/>
    <s v="EE_Rural"/>
    <x v="8"/>
    <s v="EBAVERE_ST_WOODWST_BP"/>
    <n v="0.230526315789474"/>
    <n v="0.82989473684210502"/>
  </r>
  <r>
    <x v="0"/>
    <x v="0"/>
    <x v="0"/>
    <x v="1"/>
    <x v="2"/>
    <s v="EE_Sillamae"/>
    <x v="3"/>
    <s v="GNR_ENG_NGAS_EXT_E-44"/>
    <n v="9.7333333333333397E-2"/>
    <n v="0.35039999999999999"/>
  </r>
  <r>
    <x v="0"/>
    <x v="0"/>
    <x v="0"/>
    <x v="1"/>
    <x v="2"/>
    <s v="EE_Tallinn"/>
    <x v="1"/>
    <s v="GNR_HS_HEAT_WTR-TANK_LS_E-95_Y-2010"/>
    <n v="0.192948269276527"/>
    <n v="0.69461376939549602"/>
  </r>
  <r>
    <x v="0"/>
    <x v="0"/>
    <x v="0"/>
    <x v="1"/>
    <x v="2"/>
    <s v="EE_Tallinn"/>
    <x v="2"/>
    <s v="IRU_ST_MSW_BP"/>
    <n v="0.29783999999999999"/>
    <n v="1.0722240000000001"/>
  </r>
  <r>
    <x v="0"/>
    <x v="0"/>
    <x v="0"/>
    <x v="1"/>
    <x v="2"/>
    <s v="EE_Tallinn"/>
    <x v="3"/>
    <s v="GNR_ENG_NGAS_EXT_E-44"/>
    <n v="1.46E-2"/>
    <n v="5.2560000000000003E-2"/>
  </r>
  <r>
    <x v="0"/>
    <x v="0"/>
    <x v="0"/>
    <x v="1"/>
    <x v="2"/>
    <s v="EE_Tallinn"/>
    <x v="3"/>
    <s v="IRU_ST_NGAS_BP"/>
    <n v="0.78481992808880097"/>
    <n v="2.8253517411196798"/>
  </r>
  <r>
    <x v="0"/>
    <x v="0"/>
    <x v="0"/>
    <x v="1"/>
    <x v="2"/>
    <s v="EE_Tallinn"/>
    <x v="10"/>
    <s v="MUSTAMAE_ST_WOOD_BP"/>
    <n v="0.124806564388312"/>
    <n v="0.44930363179792399"/>
  </r>
  <r>
    <x v="0"/>
    <x v="0"/>
    <x v="0"/>
    <x v="1"/>
    <x v="2"/>
    <s v="EE_Tallinn"/>
    <x v="10"/>
    <s v="VAO-1_ST_WOOD_BP"/>
    <n v="0.36792005886720902"/>
    <n v="1.3245122119219499"/>
  </r>
  <r>
    <x v="0"/>
    <x v="0"/>
    <x v="0"/>
    <x v="1"/>
    <x v="2"/>
    <s v="EE_Tallinn"/>
    <x v="10"/>
    <s v="VAO-2_ST_WOOD_BP"/>
    <n v="0.44895262072305198"/>
    <n v="1.61622943460299"/>
  </r>
  <r>
    <x v="0"/>
    <x v="0"/>
    <x v="0"/>
    <x v="1"/>
    <x v="2"/>
    <s v="EE_Tartu"/>
    <x v="3"/>
    <s v="GNR_BO_NGAS_HO_E-85"/>
    <n v="9.7534694196187002E-2"/>
    <n v="0.35112489910627298"/>
  </r>
  <r>
    <x v="0"/>
    <x v="0"/>
    <x v="0"/>
    <x v="1"/>
    <x v="2"/>
    <s v="EE_Tartu"/>
    <x v="10"/>
    <s v="TARTU-1_ST_WOOD_BP"/>
    <n v="0.42048030580385898"/>
    <n v="1.51372910089389"/>
  </r>
  <r>
    <x v="0"/>
    <x v="0"/>
    <x v="0"/>
    <x v="1"/>
    <x v="2"/>
    <s v="EE_Urban"/>
    <x v="3"/>
    <s v="GNR_ENG_NGAS_EXT_E-44"/>
    <n v="8.7600000000000004E-3"/>
    <n v="3.1536000000000002E-2"/>
  </r>
  <r>
    <x v="0"/>
    <x v="0"/>
    <x v="0"/>
    <x v="1"/>
    <x v="2"/>
    <s v="EE_Urban"/>
    <x v="10"/>
    <s v="GNR_ST_WOOD_BP_E-53"/>
    <n v="0.10512000000000001"/>
    <n v="0.37843199999999999"/>
  </r>
  <r>
    <x v="0"/>
    <x v="0"/>
    <x v="0"/>
    <x v="2"/>
    <x v="3"/>
    <s v="FIN_EL"/>
    <x v="1"/>
    <s v="GNR_HS_HEAT_WTR-TANK_LS_E-95_Y-2010"/>
    <n v="0.28002920948077098"/>
    <n v="1.0081051541307799"/>
  </r>
  <r>
    <x v="0"/>
    <x v="0"/>
    <x v="0"/>
    <x v="2"/>
    <x v="3"/>
    <s v="FIN_EL"/>
    <x v="3"/>
    <s v="GBPR_NATGAS_FINEL"/>
    <n v="1.04145241581259"/>
    <n v="3.7492286969253299"/>
  </r>
  <r>
    <x v="0"/>
    <x v="0"/>
    <x v="0"/>
    <x v="2"/>
    <x v="3"/>
    <s v="FIN_EL"/>
    <x v="6"/>
    <s v="GBPR_WOODCHIPS"/>
    <n v="0.43169296363376503"/>
    <n v="1.55409466908155"/>
  </r>
  <r>
    <x v="0"/>
    <x v="0"/>
    <x v="0"/>
    <x v="2"/>
    <x v="3"/>
    <s v="FIN_EL"/>
    <x v="8"/>
    <s v="GBPR_WOODWASTE_FINEL"/>
    <n v="1.752"/>
    <n v="6.3071999999999999"/>
  </r>
  <r>
    <x v="0"/>
    <x v="0"/>
    <x v="0"/>
    <x v="2"/>
    <x v="3"/>
    <s v="FIN_ESPOO"/>
    <x v="1"/>
    <s v="GNR_HS_HEAT_WTR-TANK_LS_E-95_Y-2010"/>
    <n v="2.5737778893880198E-2"/>
    <n v="9.2656004017968793E-2"/>
  </r>
  <r>
    <x v="0"/>
    <x v="0"/>
    <x v="0"/>
    <x v="2"/>
    <x v="3"/>
    <s v="FIN_ESPOO"/>
    <x v="3"/>
    <s v="GBPR_NATGAS_SUOMENOJA"/>
    <n v="0.70367213114754101"/>
    <n v="2.5332196721311502"/>
  </r>
  <r>
    <x v="0"/>
    <x v="0"/>
    <x v="0"/>
    <x v="2"/>
    <x v="3"/>
    <s v="FIN_ESPOO"/>
    <x v="3"/>
    <s v="GBPR_NATGAS_SUOMENOJA2"/>
    <n v="1.8746400000000101"/>
    <n v="6.7487040000000196"/>
  </r>
  <r>
    <x v="0"/>
    <x v="0"/>
    <x v="0"/>
    <x v="2"/>
    <x v="3"/>
    <s v="FIN_ESPOO"/>
    <x v="3"/>
    <s v="GHOB_NATGAS"/>
    <n v="0.25147063972320199"/>
    <n v="0.90529430300352898"/>
  </r>
  <r>
    <x v="0"/>
    <x v="0"/>
    <x v="0"/>
    <x v="2"/>
    <x v="3"/>
    <s v="FIN_ESPOO"/>
    <x v="13"/>
    <s v="GHOB_NATGAS_EXETS"/>
    <n v="6.4133849071034296E-2"/>
    <n v="0.230881856655723"/>
  </r>
  <r>
    <x v="0"/>
    <x v="0"/>
    <x v="0"/>
    <x v="2"/>
    <x v="3"/>
    <s v="FIN_GAS"/>
    <x v="1"/>
    <s v="GNR_HS_HEAT_WTR-TANK_LS_E-95_Y-2010"/>
    <n v="3.4332343125680301E-2"/>
    <n v="0.123596435252449"/>
  </r>
  <r>
    <x v="0"/>
    <x v="0"/>
    <x v="0"/>
    <x v="2"/>
    <x v="3"/>
    <s v="FIN_GAS"/>
    <x v="3"/>
    <s v="GBPR_NATGAS_GASAREA"/>
    <n v="0.97516981132075498"/>
    <n v="3.51061132075472"/>
  </r>
  <r>
    <x v="0"/>
    <x v="0"/>
    <x v="0"/>
    <x v="2"/>
    <x v="3"/>
    <s v="FIN_GAS"/>
    <x v="3"/>
    <s v="GEXT_NATGAS_NOKIA"/>
    <n v="0.35039999999999999"/>
    <n v="1.2614399999999999"/>
  </r>
  <r>
    <x v="0"/>
    <x v="0"/>
    <x v="0"/>
    <x v="2"/>
    <x v="3"/>
    <s v="FIN_GAS"/>
    <x v="3"/>
    <s v="GHOB_NATGAS"/>
    <n v="0.20041215410691299"/>
    <n v="0.72148375478488502"/>
  </r>
  <r>
    <x v="0"/>
    <x v="0"/>
    <x v="0"/>
    <x v="2"/>
    <x v="3"/>
    <s v="FIN_HELS"/>
    <x v="3"/>
    <s v="GBPR_NATGAS_MARTINLAAKSOGT"/>
    <n v="0.65728331177231503"/>
    <n v="2.3662199223803402"/>
  </r>
  <r>
    <x v="0"/>
    <x v="0"/>
    <x v="0"/>
    <x v="2"/>
    <x v="3"/>
    <s v="FIN_HELS"/>
    <x v="3"/>
    <s v="GBPR_NATGAS_VOUSAARI"/>
    <n v="1.4016"/>
    <n v="5.0457599999999996"/>
  </r>
  <r>
    <x v="0"/>
    <x v="0"/>
    <x v="0"/>
    <x v="2"/>
    <x v="3"/>
    <s v="FIN_HELS"/>
    <x v="3"/>
    <s v="GEXT_NATGAS_VOUSAARI"/>
    <n v="3.7911602209944699"/>
    <n v="13.648176795580101"/>
  </r>
  <r>
    <x v="0"/>
    <x v="0"/>
    <x v="0"/>
    <x v="2"/>
    <x v="3"/>
    <s v="FIN_HELS"/>
    <x v="3"/>
    <s v="GHOB_NATGAS"/>
    <n v="5.4445374672332099"/>
    <n v="19.600334882039601"/>
  </r>
  <r>
    <x v="0"/>
    <x v="0"/>
    <x v="0"/>
    <x v="2"/>
    <x v="3"/>
    <s v="FIN_HP"/>
    <x v="9"/>
    <s v="GHOB_BIOGAS"/>
    <n v="3.5040000000000002E-2"/>
    <n v="0.12614400000000001"/>
  </r>
  <r>
    <x v="0"/>
    <x v="0"/>
    <x v="0"/>
    <x v="2"/>
    <x v="3"/>
    <s v="FIN_HP"/>
    <x v="0"/>
    <s v="GBPR_COAL_NAANTALI"/>
    <n v="1.2944601540257099"/>
    <n v="4.6600565544925603"/>
  </r>
  <r>
    <x v="0"/>
    <x v="0"/>
    <x v="0"/>
    <x v="2"/>
    <x v="3"/>
    <s v="FIN_HP"/>
    <x v="14"/>
    <s v="GETOH_ELECTRICBOILER"/>
    <n v="0.45315667371893398"/>
    <n v="1.6313640253881601"/>
  </r>
  <r>
    <x v="0"/>
    <x v="0"/>
    <x v="0"/>
    <x v="2"/>
    <x v="3"/>
    <s v="FIN_HP"/>
    <x v="14"/>
    <s v="GETOH_HEATPUMP"/>
    <n v="0.29959200000000002"/>
    <n v="1.0785312"/>
  </r>
  <r>
    <x v="0"/>
    <x v="0"/>
    <x v="0"/>
    <x v="2"/>
    <x v="3"/>
    <s v="FIN_HP"/>
    <x v="15"/>
    <s v="GHOB_PEAT"/>
    <n v="3.7038798628981101E-2"/>
    <n v="0.133339675064332"/>
  </r>
  <r>
    <x v="0"/>
    <x v="0"/>
    <x v="0"/>
    <x v="2"/>
    <x v="3"/>
    <s v="FIN_HP"/>
    <x v="5"/>
    <s v="GHOB_WASTEHEAT"/>
    <n v="4.6126373626373403E-2"/>
    <n v="0.166054945054944"/>
  </r>
  <r>
    <x v="0"/>
    <x v="0"/>
    <x v="0"/>
    <x v="2"/>
    <x v="3"/>
    <s v="FIN_HP"/>
    <x v="6"/>
    <s v="GHOB_WOODCHIPS"/>
    <n v="0.76036800000000004"/>
    <n v="2.7373248000000001"/>
  </r>
  <r>
    <x v="0"/>
    <x v="0"/>
    <x v="0"/>
    <x v="2"/>
    <x v="3"/>
    <s v="FIN_HP"/>
    <x v="7"/>
    <s v="GHOB_WOODPELLETS"/>
    <n v="1.4892000000000001E-2"/>
    <n v="5.3611199999999998E-2"/>
  </r>
  <r>
    <x v="0"/>
    <x v="0"/>
    <x v="0"/>
    <x v="2"/>
    <x v="3"/>
    <s v="FIN_HP"/>
    <x v="8"/>
    <s v="GHOB_WOODWASTE"/>
    <n v="0.25841999999999998"/>
    <n v="0.93031200000000003"/>
  </r>
  <r>
    <x v="0"/>
    <x v="0"/>
    <x v="0"/>
    <x v="2"/>
    <x v="3"/>
    <s v="FIN_OTHER"/>
    <x v="1"/>
    <s v="GNR_HS_HEAT_WTR-TANK_LS_E-95_Y-2010"/>
    <n v="0.50493150678814902"/>
    <n v="1.8177534244373399"/>
  </r>
  <r>
    <x v="0"/>
    <x v="0"/>
    <x v="0"/>
    <x v="2"/>
    <x v="3"/>
    <s v="FIN_OTHER"/>
    <x v="3"/>
    <s v="GBPR_NATGAS_100"/>
    <n v="1.7397359999999999"/>
    <n v="6.2630496000000004"/>
  </r>
  <r>
    <x v="0"/>
    <x v="0"/>
    <x v="0"/>
    <x v="2"/>
    <x v="3"/>
    <s v="FIN_OTHER"/>
    <x v="3"/>
    <s v="GHOB_NATGAS"/>
    <n v="2.2011802837791898"/>
    <n v="7.92424902160508"/>
  </r>
  <r>
    <x v="0"/>
    <x v="0"/>
    <x v="0"/>
    <x v="2"/>
    <x v="3"/>
    <s v="FIN_OTHER"/>
    <x v="13"/>
    <s v="GHOB_NATGAS_EXETS"/>
    <n v="1.1433072936122799"/>
    <n v="4.1159062570042098"/>
  </r>
  <r>
    <x v="0"/>
    <x v="0"/>
    <x v="0"/>
    <x v="2"/>
    <x v="3"/>
    <s v="FIN_OTHER"/>
    <x v="5"/>
    <s v="GHOB_WASTEHEAT"/>
    <n v="1.8822568681318601"/>
    <n v="6.7761247252747001"/>
  </r>
  <r>
    <x v="0"/>
    <x v="0"/>
    <x v="0"/>
    <x v="2"/>
    <x v="3"/>
    <s v="FIN_OTHER"/>
    <x v="6"/>
    <s v="GBPR_WOODCHIPS_FINOTHER"/>
    <n v="4.6957157360406097"/>
    <n v="16.9045766497462"/>
  </r>
  <r>
    <x v="0"/>
    <x v="0"/>
    <x v="0"/>
    <x v="2"/>
    <x v="3"/>
    <s v="FIN_OTHER"/>
    <x v="6"/>
    <s v="GHOB_WOODCHIPS"/>
    <n v="4.5972479999999996"/>
    <n v="16.550092800000002"/>
  </r>
  <r>
    <x v="0"/>
    <x v="0"/>
    <x v="0"/>
    <x v="2"/>
    <x v="3"/>
    <s v="FIN_OTHER"/>
    <x v="7"/>
    <s v="GBPR_WOODPELLETS"/>
    <n v="1.9745901639344299E-2"/>
    <n v="7.1085245901639296E-2"/>
  </r>
  <r>
    <x v="0"/>
    <x v="0"/>
    <x v="0"/>
    <x v="2"/>
    <x v="3"/>
    <s v="FIN_OTHER"/>
    <x v="7"/>
    <s v="GHOB_WOODPELLETS"/>
    <n v="0.20951"/>
    <n v="0.75423600000000002"/>
  </r>
  <r>
    <x v="0"/>
    <x v="0"/>
    <x v="0"/>
    <x v="2"/>
    <x v="3"/>
    <s v="FIN_OTHER"/>
    <x v="8"/>
    <s v="GBPR_WOODWASTE_FINOTHER"/>
    <n v="2.6712592592592599"/>
    <n v="9.6165333333333294"/>
  </r>
  <r>
    <x v="0"/>
    <x v="0"/>
    <x v="0"/>
    <x v="2"/>
    <x v="3"/>
    <s v="FIN_OTHER"/>
    <x v="8"/>
    <s v="GHOB_WOODWASTE"/>
    <n v="1.461168"/>
    <n v="5.2602048000000003"/>
  </r>
  <r>
    <x v="0"/>
    <x v="0"/>
    <x v="0"/>
    <x v="2"/>
    <x v="3"/>
    <s v="FIN_TAMP"/>
    <x v="3"/>
    <s v="GEXT_NATGAS_TAMPERE"/>
    <n v="2.9376880000000001"/>
    <n v="10.5756768"/>
  </r>
  <r>
    <x v="0"/>
    <x v="0"/>
    <x v="0"/>
    <x v="2"/>
    <x v="3"/>
    <s v="FinA"/>
    <x v="3"/>
    <s v="GBPR_NATGAS_IND"/>
    <n v="2.9385818181818202"/>
    <n v="10.578894545454499"/>
  </r>
  <r>
    <x v="0"/>
    <x v="0"/>
    <x v="0"/>
    <x v="2"/>
    <x v="3"/>
    <s v="FinA"/>
    <x v="10"/>
    <s v="GBPR_IND_BIO"/>
    <n v="3.4840909090909098"/>
    <n v="12.5427272727273"/>
  </r>
  <r>
    <x v="0"/>
    <x v="0"/>
    <x v="0"/>
    <x v="2"/>
    <x v="3"/>
    <s v="FinA"/>
    <x v="10"/>
    <s v="GBPR_WOOD_IND"/>
    <n v="17.7369987393553"/>
    <n v="63.8531954616791"/>
  </r>
  <r>
    <x v="0"/>
    <x v="0"/>
    <x v="0"/>
    <x v="3"/>
    <x v="4"/>
    <s v="DE4-E_A"/>
    <x v="9"/>
    <s v="GNR_ENG_BGAS_BP_E-45"/>
    <n v="1.2583597560975599E-2"/>
    <n v="4.5300951219512199E-2"/>
  </r>
  <r>
    <x v="0"/>
    <x v="0"/>
    <x v="0"/>
    <x v="3"/>
    <x v="4"/>
    <s v="DE4-E_A"/>
    <x v="9"/>
    <s v="GNR_ST_BGAS_BP_E-38"/>
    <n v="1.3215085714285699"/>
    <n v="4.7574308571428601"/>
  </r>
  <r>
    <x v="0"/>
    <x v="0"/>
    <x v="0"/>
    <x v="3"/>
    <x v="4"/>
    <s v="DE4-E_A"/>
    <x v="1"/>
    <s v="GNR_HS_HEAT_WTR-TANK_LS_E-95_Y-2010"/>
    <n v="1.9490350564682799"/>
    <n v="7.0165262032857898"/>
  </r>
  <r>
    <x v="0"/>
    <x v="0"/>
    <x v="0"/>
    <x v="3"/>
    <x v="4"/>
    <s v="DE4-E_A"/>
    <x v="2"/>
    <s v="GNR_ST_MSW_BP_E-33"/>
    <n v="6.3114270445087799"/>
    <n v="22.721137360231602"/>
  </r>
  <r>
    <x v="0"/>
    <x v="0"/>
    <x v="0"/>
    <x v="3"/>
    <x v="4"/>
    <s v="DE4-E_A"/>
    <x v="3"/>
    <s v="GNR_CC_NGAS_BP_E-53"/>
    <n v="14.599270000000001"/>
    <n v="52.557372000000001"/>
  </r>
  <r>
    <x v="0"/>
    <x v="0"/>
    <x v="0"/>
    <x v="3"/>
    <x v="4"/>
    <s v="DE4-E_A"/>
    <x v="3"/>
    <s v="GNR_GT_NGAS_BP_E-38"/>
    <n v="2.0811915789473701"/>
    <n v="7.4922896842105198"/>
  </r>
  <r>
    <x v="0"/>
    <x v="0"/>
    <x v="0"/>
    <x v="3"/>
    <x v="4"/>
    <s v="DE4-E_A"/>
    <x v="3"/>
    <s v="GNR_ST_NGAS_BP_E-31"/>
    <n v="0.33162857142857199"/>
    <n v="1.19386285714286"/>
  </r>
  <r>
    <x v="0"/>
    <x v="0"/>
    <x v="0"/>
    <x v="3"/>
    <x v="4"/>
    <s v="DE4-E_A"/>
    <x v="3"/>
    <s v="GNR_ST_NGAS_BP_E-38"/>
    <n v="15.304971428571401"/>
    <n v="55.0978971428572"/>
  </r>
  <r>
    <x v="0"/>
    <x v="0"/>
    <x v="0"/>
    <x v="3"/>
    <x v="5"/>
    <s v="DE4-N_A"/>
    <x v="9"/>
    <s v="GNR_BO_BGAS_E-80"/>
    <n v="1.7520000000000001E-3"/>
    <n v="6.3071999999999998E-3"/>
  </r>
  <r>
    <x v="0"/>
    <x v="0"/>
    <x v="0"/>
    <x v="3"/>
    <x v="5"/>
    <s v="DE4-N_A"/>
    <x v="9"/>
    <s v="GNR_ENG_BGAS_BP_E-45"/>
    <n v="5.1278048780487801E-3"/>
    <n v="1.8460097560975601E-2"/>
  </r>
  <r>
    <x v="0"/>
    <x v="0"/>
    <x v="0"/>
    <x v="3"/>
    <x v="5"/>
    <s v="DE4-N_A"/>
    <x v="9"/>
    <s v="GNR_ST_BGAS_BP_E-38"/>
    <n v="0.250285714285714"/>
    <n v="0.90102857142857096"/>
  </r>
  <r>
    <x v="0"/>
    <x v="0"/>
    <x v="0"/>
    <x v="3"/>
    <x v="5"/>
    <s v="DE4-N_A"/>
    <x v="0"/>
    <s v="GNR_ST_COAL_BP_E-40"/>
    <n v="0.42267097106166801"/>
    <n v="1.5216154958220101"/>
  </r>
  <r>
    <x v="0"/>
    <x v="0"/>
    <x v="0"/>
    <x v="3"/>
    <x v="5"/>
    <s v="DE4-N_A"/>
    <x v="14"/>
    <s v="GNR_BO_ELEC_E-80"/>
    <n v="0.1286844"/>
    <n v="0.46326383999999998"/>
  </r>
  <r>
    <x v="0"/>
    <x v="0"/>
    <x v="0"/>
    <x v="3"/>
    <x v="5"/>
    <s v="DE4-N_A"/>
    <x v="11"/>
    <s v="GNR_ST_FUELOIL_BP_E-35"/>
    <n v="0.93231428571428598"/>
    <n v="3.3563314285714299"/>
  </r>
  <r>
    <x v="0"/>
    <x v="0"/>
    <x v="0"/>
    <x v="3"/>
    <x v="5"/>
    <s v="DE4-N_A"/>
    <x v="11"/>
    <s v="GNR_ST_FUELOIL_BP_E-38"/>
    <n v="0.47554285714285699"/>
    <n v="1.71195428571429"/>
  </r>
  <r>
    <x v="0"/>
    <x v="0"/>
    <x v="0"/>
    <x v="3"/>
    <x v="5"/>
    <s v="DE4-N_A"/>
    <x v="2"/>
    <s v="GNR_BO_MSW_E-80"/>
    <n v="2.7155999999999999E-3"/>
    <n v="9.7761600000000008E-3"/>
  </r>
  <r>
    <x v="0"/>
    <x v="0"/>
    <x v="0"/>
    <x v="3"/>
    <x v="5"/>
    <s v="DE4-N_A"/>
    <x v="2"/>
    <s v="GNR_ST_MSW_BP_E-33"/>
    <n v="1.21436008802844"/>
    <n v="4.3716963169024003"/>
  </r>
  <r>
    <x v="0"/>
    <x v="0"/>
    <x v="0"/>
    <x v="3"/>
    <x v="5"/>
    <s v="DE4-N_A"/>
    <x v="3"/>
    <s v="GNR_CC_NGAS_BP_E-57"/>
    <n v="0.92710000000000004"/>
    <n v="3.3375599999999999"/>
  </r>
  <r>
    <x v="0"/>
    <x v="0"/>
    <x v="0"/>
    <x v="3"/>
    <x v="5"/>
    <s v="DE4-N_A"/>
    <x v="3"/>
    <s v="GNR_ST_NGAS_BP_E-39"/>
    <n v="1.6080857142857199"/>
    <n v="5.7891085714285699"/>
  </r>
  <r>
    <x v="0"/>
    <x v="0"/>
    <x v="0"/>
    <x v="3"/>
    <x v="6"/>
    <s v="DE4-S_A"/>
    <x v="9"/>
    <s v="GNR_ENG_BGAS_BP_E-45"/>
    <n v="4.2161951219512203E-2"/>
    <n v="0.15178302439024399"/>
  </r>
  <r>
    <x v="0"/>
    <x v="0"/>
    <x v="0"/>
    <x v="3"/>
    <x v="6"/>
    <s v="DE4-S_A"/>
    <x v="1"/>
    <s v="GNR_HS_HEAT_WTR-TANK_LS_E-95_Y-2010"/>
    <n v="289.53689718025601"/>
    <n v="1042.33282984892"/>
  </r>
  <r>
    <x v="0"/>
    <x v="0"/>
    <x v="0"/>
    <x v="3"/>
    <x v="6"/>
    <s v="DE4-S_A"/>
    <x v="2"/>
    <s v="GNR_ST_MSW_BP_E-33"/>
    <n v="3.45463231140043"/>
    <n v="12.436676321041499"/>
  </r>
  <r>
    <x v="0"/>
    <x v="0"/>
    <x v="0"/>
    <x v="3"/>
    <x v="6"/>
    <s v="DE4-S_A"/>
    <x v="3"/>
    <s v="GNR_CC_NGAS_BP_E-53"/>
    <n v="23.709669999999999"/>
    <n v="85.354811999999995"/>
  </r>
  <r>
    <x v="0"/>
    <x v="0"/>
    <x v="0"/>
    <x v="3"/>
    <x v="6"/>
    <s v="DE4-S_A"/>
    <x v="3"/>
    <s v="GNR_ENG_NGAS_BP_E-46"/>
    <n v="0.32217333333333298"/>
    <n v="1.159824"/>
  </r>
  <r>
    <x v="0"/>
    <x v="0"/>
    <x v="0"/>
    <x v="3"/>
    <x v="6"/>
    <s v="DE4-S_A"/>
    <x v="3"/>
    <s v="GNR_GT_NGAS_BP_E-32"/>
    <n v="0.33810526315789502"/>
    <n v="1.21717894736842"/>
  </r>
  <r>
    <x v="0"/>
    <x v="0"/>
    <x v="0"/>
    <x v="3"/>
    <x v="6"/>
    <s v="DE4-S_A"/>
    <x v="3"/>
    <s v="GNR_GT_NGAS_BP_E-37"/>
    <n v="1.03045263157895"/>
    <n v="3.7096294736842101"/>
  </r>
  <r>
    <x v="0"/>
    <x v="0"/>
    <x v="0"/>
    <x v="3"/>
    <x v="6"/>
    <s v="DE4-S_A"/>
    <x v="3"/>
    <s v="GNR_ST_NGAS_BP_E-38"/>
    <n v="12.3415885714286"/>
    <n v="44.429718857142902"/>
  </r>
  <r>
    <x v="0"/>
    <x v="0"/>
    <x v="0"/>
    <x v="3"/>
    <x v="7"/>
    <s v="DE4-W_A"/>
    <x v="9"/>
    <s v="GNR_ENG_BGAS_BP_E-45"/>
    <n v="2.3489085365853701E-2"/>
    <n v="8.45607073170732E-2"/>
  </r>
  <r>
    <x v="0"/>
    <x v="0"/>
    <x v="0"/>
    <x v="3"/>
    <x v="7"/>
    <s v="DE4-W_A"/>
    <x v="9"/>
    <s v="GNR_ST_BGAS_BP_E-38"/>
    <n v="0.14005571428571401"/>
    <n v="0.504200571428572"/>
  </r>
  <r>
    <x v="0"/>
    <x v="0"/>
    <x v="0"/>
    <x v="3"/>
    <x v="7"/>
    <s v="DE4-W_A"/>
    <x v="1"/>
    <s v="GNR_HS_HEAT_WTR-TANK_LS_E-95_Y-2010"/>
    <n v="796.15728242458101"/>
    <n v="2866.1662167284899"/>
  </r>
  <r>
    <x v="0"/>
    <x v="0"/>
    <x v="0"/>
    <x v="3"/>
    <x v="7"/>
    <s v="DE4-W_A"/>
    <x v="2"/>
    <s v="GNR_ST_MSW_BP_E-33"/>
    <n v="7.0322528843488596"/>
    <n v="25.3161103836559"/>
  </r>
  <r>
    <x v="0"/>
    <x v="0"/>
    <x v="0"/>
    <x v="3"/>
    <x v="7"/>
    <s v="DE4-W_A"/>
    <x v="3"/>
    <s v="GNR_CC_NGAS_BP_E-39"/>
    <n v="0.79935"/>
    <n v="2.8776600000000001"/>
  </r>
  <r>
    <x v="0"/>
    <x v="0"/>
    <x v="0"/>
    <x v="3"/>
    <x v="7"/>
    <s v="DE4-W_A"/>
    <x v="3"/>
    <s v="GNR_CC_NGAS_BP_E-55"/>
    <n v="39.574759999999998"/>
    <n v="142.46913599999999"/>
  </r>
  <r>
    <x v="0"/>
    <x v="0"/>
    <x v="0"/>
    <x v="3"/>
    <x v="7"/>
    <s v="DE4-W_A"/>
    <x v="3"/>
    <s v="GNR_GT_NGAS_BP_E-31"/>
    <n v="0.439536842105263"/>
    <n v="1.5823326315789501"/>
  </r>
  <r>
    <x v="0"/>
    <x v="0"/>
    <x v="0"/>
    <x v="3"/>
    <x v="7"/>
    <s v="DE4-W_A"/>
    <x v="3"/>
    <s v="GNR_GT_NGAS_BP_E-39"/>
    <n v="2.30434105263158"/>
    <n v="8.2956277894736807"/>
  </r>
  <r>
    <x v="0"/>
    <x v="0"/>
    <x v="0"/>
    <x v="3"/>
    <x v="7"/>
    <s v="DE4-W_A"/>
    <x v="3"/>
    <s v="GNR_ST_NGAS_BP_E-33"/>
    <n v="1.59478928571429"/>
    <n v="5.7412414285714304"/>
  </r>
  <r>
    <x v="0"/>
    <x v="0"/>
    <x v="0"/>
    <x v="3"/>
    <x v="7"/>
    <s v="DE4-W_A"/>
    <x v="3"/>
    <s v="GNR_ST_NGAS_BP_E-38"/>
    <n v="26.884440000000001"/>
    <n v="96.783984000000004"/>
  </r>
  <r>
    <x v="0"/>
    <x v="0"/>
    <x v="0"/>
    <x v="4"/>
    <x v="8"/>
    <s v="LV_Other_DH"/>
    <x v="3"/>
    <s v="GNR_ST_NGAS_BP_E-28"/>
    <n v="1.0313611764705899"/>
    <n v="3.7129002352941201"/>
  </r>
  <r>
    <x v="0"/>
    <x v="0"/>
    <x v="0"/>
    <x v="4"/>
    <x v="8"/>
    <s v="LV_Other_DH"/>
    <x v="10"/>
    <s v="GNR_ST_WOOD_BP_E-30"/>
    <n v="0.92752941176470505"/>
    <n v="3.33910588235294"/>
  </r>
  <r>
    <x v="0"/>
    <x v="0"/>
    <x v="0"/>
    <x v="4"/>
    <x v="8"/>
    <s v="LV_RigaR"/>
    <x v="3"/>
    <s v="GNR_ST_NGAS_BP_E-42"/>
    <n v="0.41960399999999998"/>
    <n v="1.5105744000000001"/>
  </r>
  <r>
    <x v="0"/>
    <x v="0"/>
    <x v="0"/>
    <x v="4"/>
    <x v="8"/>
    <s v="LV_RigaR"/>
    <x v="3"/>
    <s v="RIGA-TEC2_CC_NGAS_BP"/>
    <n v="1.2741818181818201"/>
    <n v="4.5870545454545404"/>
  </r>
  <r>
    <x v="0"/>
    <x v="0"/>
    <x v="0"/>
    <x v="5"/>
    <x v="9"/>
    <s v="LT_KauU"/>
    <x v="2"/>
    <s v="KAUNAS_ST_MSW_BP"/>
    <n v="0.595681985606619"/>
    <n v="2.1444551481838299"/>
  </r>
  <r>
    <x v="0"/>
    <x v="0"/>
    <x v="0"/>
    <x v="5"/>
    <x v="9"/>
    <s v="LT_Other_DH"/>
    <x v="1"/>
    <s v="LIFOSA_ST_HEAT_BP"/>
    <n v="0.438"/>
    <n v="1.5768"/>
  </r>
  <r>
    <x v="0"/>
    <x v="0"/>
    <x v="0"/>
    <x v="5"/>
    <x v="9"/>
    <s v="LT_Other_DH"/>
    <x v="3"/>
    <s v="ALYTUS_ENG_NGAS_BP"/>
    <n v="3.3579999999999999E-2"/>
    <n v="0.120888"/>
  </r>
  <r>
    <x v="0"/>
    <x v="0"/>
    <x v="0"/>
    <x v="5"/>
    <x v="9"/>
    <s v="LT_Other_DH"/>
    <x v="8"/>
    <s v="EBAVERE_ST_WOODWST_BP"/>
    <n v="0.23974736842105299"/>
    <n v="0.86309052631578997"/>
  </r>
  <r>
    <x v="0"/>
    <x v="0"/>
    <x v="0"/>
    <x v="5"/>
    <x v="9"/>
    <s v="LT_Panevezys"/>
    <x v="3"/>
    <s v="GNR_CC_NGAS_BP_E-42"/>
    <n v="0.30659999999999998"/>
    <n v="1.1037600000000001"/>
  </r>
  <r>
    <x v="0"/>
    <x v="0"/>
    <x v="0"/>
    <x v="5"/>
    <x v="9"/>
    <s v="LT_SiaU"/>
    <x v="10"/>
    <s v="SIAULIAI_ST_WOOD_BP"/>
    <n v="0.16311724137931"/>
    <n v="0.58722206896551699"/>
  </r>
  <r>
    <x v="0"/>
    <x v="0"/>
    <x v="0"/>
    <x v="5"/>
    <x v="9"/>
    <s v="LT_VilU"/>
    <x v="2"/>
    <s v="VILNIUS_ST_MSW_BP"/>
    <n v="1.98850206025315"/>
    <n v="7.1586074169113401"/>
  </r>
  <r>
    <x v="0"/>
    <x v="0"/>
    <x v="0"/>
    <x v="6"/>
    <x v="10"/>
    <s v="NO1_A1"/>
    <x v="1"/>
    <s v="GNR_HS_HEAT_WTR-TANK_LS_E-95_Y-2010"/>
    <n v="6.7909685972223202E-2"/>
    <n v="0.24447486950000299"/>
  </r>
  <r>
    <x v="0"/>
    <x v="0"/>
    <x v="0"/>
    <x v="6"/>
    <x v="10"/>
    <s v="NO1_A1"/>
    <x v="16"/>
    <s v="GHOB_LNG"/>
    <n v="0.20147999999999999"/>
    <n v="0.72532799999999997"/>
  </r>
  <r>
    <x v="0"/>
    <x v="0"/>
    <x v="0"/>
    <x v="6"/>
    <x v="10"/>
    <s v="NO1_A1"/>
    <x v="16"/>
    <s v="GHOB_LPG"/>
    <n v="0.36441600000000002"/>
    <n v="1.3118976"/>
  </r>
  <r>
    <x v="0"/>
    <x v="0"/>
    <x v="0"/>
    <x v="6"/>
    <x v="10"/>
    <s v="NO1_A1"/>
    <x v="2"/>
    <s v="GBPR_MUNIWASTE"/>
    <n v="0.23171612903225799"/>
    <n v="0.83417806451612897"/>
  </r>
  <r>
    <x v="0"/>
    <x v="0"/>
    <x v="0"/>
    <x v="6"/>
    <x v="10"/>
    <s v="NO1_A1"/>
    <x v="2"/>
    <s v="GHOB_MUNIWASTE"/>
    <n v="6.5209439999999994E-2"/>
    <n v="0.234753984"/>
  </r>
  <r>
    <x v="0"/>
    <x v="0"/>
    <x v="0"/>
    <x v="6"/>
    <x v="10"/>
    <s v="NO1_A1"/>
    <x v="5"/>
    <s v="GHOB_WASTEHEAT"/>
    <n v="2.5974162087911999E-2"/>
    <n v="9.3506983516483094E-2"/>
  </r>
  <r>
    <x v="0"/>
    <x v="0"/>
    <x v="0"/>
    <x v="6"/>
    <x v="10"/>
    <s v="NO1_A1"/>
    <x v="8"/>
    <s v="GHOB_WOODWASTE"/>
    <n v="0.42067346287836799"/>
    <n v="1.51442446636212"/>
  </r>
  <r>
    <x v="0"/>
    <x v="0"/>
    <x v="0"/>
    <x v="6"/>
    <x v="10"/>
    <s v="NO1_A2"/>
    <x v="14"/>
    <s v="GETOH_HEATPUMP"/>
    <n v="6.7557181127522001E-2"/>
    <n v="0.24320585205907899"/>
  </r>
  <r>
    <x v="0"/>
    <x v="0"/>
    <x v="0"/>
    <x v="6"/>
    <x v="10"/>
    <s v="NO1_A2"/>
    <x v="1"/>
    <s v="GNR_HS_HEAT_WTR-TANK_LS_E-95_Y-2010"/>
    <n v="9.7874893035754307E-2"/>
    <n v="0.35234961492871503"/>
  </r>
  <r>
    <x v="0"/>
    <x v="0"/>
    <x v="0"/>
    <x v="6"/>
    <x v="10"/>
    <s v="NO1_A2"/>
    <x v="16"/>
    <s v="GHOB_LPG"/>
    <n v="0.876"/>
    <n v="3.1536"/>
  </r>
  <r>
    <x v="0"/>
    <x v="0"/>
    <x v="0"/>
    <x v="6"/>
    <x v="10"/>
    <s v="NO1_A2"/>
    <x v="2"/>
    <s v="GBPR_MUNIWASTE"/>
    <n v="0.31347612903225403"/>
    <n v="1.12851406451612"/>
  </r>
  <r>
    <x v="0"/>
    <x v="0"/>
    <x v="0"/>
    <x v="6"/>
    <x v="10"/>
    <s v="NO1_A2"/>
    <x v="2"/>
    <s v="GHOB_MUNIWASTE"/>
    <n v="0.28032000000000001"/>
    <n v="1.009152"/>
  </r>
  <r>
    <x v="0"/>
    <x v="0"/>
    <x v="0"/>
    <x v="6"/>
    <x v="10"/>
    <s v="NO1_A2"/>
    <x v="8"/>
    <s v="GHOB_WOODWASTE"/>
    <n v="0.14016000000000001"/>
    <n v="0.50457600000000002"/>
  </r>
  <r>
    <x v="0"/>
    <x v="0"/>
    <x v="0"/>
    <x v="6"/>
    <x v="11"/>
    <s v="NO2_A1"/>
    <x v="1"/>
    <s v="GNR_HS_HEAT_WTR-TANK_LS_E-95_Y-2010"/>
    <n v="2.4374705998737602E-3"/>
    <n v="8.7748941595455297E-3"/>
  </r>
  <r>
    <x v="0"/>
    <x v="0"/>
    <x v="0"/>
    <x v="6"/>
    <x v="11"/>
    <s v="NO2_A1"/>
    <x v="16"/>
    <s v="GHOB_LNG"/>
    <n v="3.4944862572202002E-3"/>
    <n v="1.2580150525992701E-2"/>
  </r>
  <r>
    <x v="0"/>
    <x v="0"/>
    <x v="0"/>
    <x v="6"/>
    <x v="11"/>
    <s v="NO2_A1"/>
    <x v="16"/>
    <s v="GHOB_LPG"/>
    <n v="4.0257802725842402E-2"/>
    <n v="0.14492808981303301"/>
  </r>
  <r>
    <x v="0"/>
    <x v="0"/>
    <x v="0"/>
    <x v="6"/>
    <x v="11"/>
    <s v="NO2_A1"/>
    <x v="2"/>
    <s v="GBPR_MUNIWASTE"/>
    <n v="0.30518709677419398"/>
    <n v="1.0986735483871"/>
  </r>
  <r>
    <x v="0"/>
    <x v="0"/>
    <x v="0"/>
    <x v="6"/>
    <x v="11"/>
    <s v="NO2_A1"/>
    <x v="5"/>
    <s v="GHOB_WASTEHEAT"/>
    <n v="3.7727902169053001E-2"/>
    <n v="0.13582044780859101"/>
  </r>
  <r>
    <x v="0"/>
    <x v="0"/>
    <x v="0"/>
    <x v="6"/>
    <x v="12"/>
    <s v="NO3_A1"/>
    <x v="16"/>
    <s v="GHOB_LNG"/>
    <n v="2.7516758197773002E-2"/>
    <n v="9.9060329511982806E-2"/>
  </r>
  <r>
    <x v="0"/>
    <x v="0"/>
    <x v="0"/>
    <x v="6"/>
    <x v="12"/>
    <s v="NO3_A1"/>
    <x v="16"/>
    <s v="GHOB_LPG"/>
    <n v="3.5646733934361602E-2"/>
    <n v="0.12832824216370201"/>
  </r>
  <r>
    <x v="0"/>
    <x v="0"/>
    <x v="0"/>
    <x v="6"/>
    <x v="12"/>
    <s v="NO3_A1"/>
    <x v="2"/>
    <s v="GBPR_MUNIWASTE"/>
    <n v="0.12122709677419399"/>
    <n v="0.43641754838709701"/>
  </r>
  <r>
    <x v="0"/>
    <x v="0"/>
    <x v="0"/>
    <x v="6"/>
    <x v="12"/>
    <s v="NO3_A1"/>
    <x v="5"/>
    <s v="GHOB_WASTEHEAT"/>
    <n v="3.6714411093671802E-2"/>
    <n v="0.13217187993721899"/>
  </r>
  <r>
    <x v="0"/>
    <x v="0"/>
    <x v="0"/>
    <x v="6"/>
    <x v="12"/>
    <s v="NO3_A2"/>
    <x v="16"/>
    <s v="GHOB_LNG"/>
    <n v="2.52015332485197E-2"/>
    <n v="9.0725519694671006E-2"/>
  </r>
  <r>
    <x v="0"/>
    <x v="0"/>
    <x v="0"/>
    <x v="6"/>
    <x v="12"/>
    <s v="NO3_A2"/>
    <x v="16"/>
    <s v="GHOB_LPG"/>
    <n v="3.2317891357452097E-2"/>
    <n v="0.116344408886827"/>
  </r>
  <r>
    <x v="0"/>
    <x v="0"/>
    <x v="0"/>
    <x v="6"/>
    <x v="12"/>
    <s v="NO3_A2"/>
    <x v="2"/>
    <s v="GHOB_MUNIWASTE"/>
    <n v="0.56471657539402798"/>
    <n v="2.0329796714185"/>
  </r>
  <r>
    <x v="0"/>
    <x v="0"/>
    <x v="0"/>
    <x v="6"/>
    <x v="13"/>
    <s v="NO4_A1"/>
    <x v="16"/>
    <s v="GHOB_LNG"/>
    <n v="2.2581868220987102E-2"/>
    <n v="8.1294725595553494E-2"/>
  </r>
  <r>
    <x v="0"/>
    <x v="0"/>
    <x v="0"/>
    <x v="6"/>
    <x v="13"/>
    <s v="NO4_A1"/>
    <x v="16"/>
    <s v="GHOB_LPG"/>
    <n v="5.44084071226937E-3"/>
    <n v="1.9587026564169701E-2"/>
  </r>
  <r>
    <x v="0"/>
    <x v="0"/>
    <x v="0"/>
    <x v="6"/>
    <x v="13"/>
    <s v="NO4_A1"/>
    <x v="2"/>
    <s v="GBPR_MUNIWASTE"/>
    <n v="4.6998812903225797E-3"/>
    <n v="1.69195726451613E-2"/>
  </r>
  <r>
    <x v="0"/>
    <x v="0"/>
    <x v="0"/>
    <x v="6"/>
    <x v="13"/>
    <s v="NO4_A1"/>
    <x v="2"/>
    <s v="GHOB_MUNIWASTE"/>
    <n v="0.125260349336861"/>
    <n v="0.45093725761269898"/>
  </r>
  <r>
    <x v="0"/>
    <x v="0"/>
    <x v="0"/>
    <x v="6"/>
    <x v="13"/>
    <s v="NO4_A1"/>
    <x v="5"/>
    <s v="GHOB_WASTEHEAT"/>
    <n v="8.7987060439560102E-2"/>
    <n v="0.31675341758241599"/>
  </r>
  <r>
    <x v="0"/>
    <x v="0"/>
    <x v="0"/>
    <x v="6"/>
    <x v="14"/>
    <s v="NO5_A1"/>
    <x v="16"/>
    <s v="GHOB_LPG"/>
    <n v="7.3728483870967698E-2"/>
    <n v="0.26542254193548398"/>
  </r>
  <r>
    <x v="0"/>
    <x v="0"/>
    <x v="0"/>
    <x v="6"/>
    <x v="14"/>
    <s v="NO5_A1"/>
    <x v="2"/>
    <s v="GBPR_MUNIWASTE"/>
    <n v="0.226064516129032"/>
    <n v="0.81383225806451598"/>
  </r>
  <r>
    <x v="0"/>
    <x v="0"/>
    <x v="0"/>
    <x v="7"/>
    <x v="15"/>
    <s v="PL_A"/>
    <x v="0"/>
    <s v="KATO_ST_COAL_BP"/>
    <n v="6.4135714285714296E-2"/>
    <n v="0.230888571428571"/>
  </r>
  <r>
    <x v="0"/>
    <x v="0"/>
    <x v="0"/>
    <x v="7"/>
    <x v="15"/>
    <s v="PL_A"/>
    <x v="0"/>
    <s v="SIER-1_ST_COAL_BP"/>
    <n v="1.0426765133845901"/>
    <n v="3.7536354481845402"/>
  </r>
  <r>
    <x v="0"/>
    <x v="0"/>
    <x v="0"/>
    <x v="7"/>
    <x v="15"/>
    <s v="PL_A"/>
    <x v="0"/>
    <s v="ZIEL-2_ST_COAL_BP"/>
    <n v="2.0074999999999999E-2"/>
    <n v="7.2270000000000001E-2"/>
  </r>
  <r>
    <x v="0"/>
    <x v="0"/>
    <x v="0"/>
    <x v="7"/>
    <x v="15"/>
    <s v="PL_A"/>
    <x v="0"/>
    <s v="ZIEL-4_ST_COAL_BP"/>
    <n v="7.1009106022186297E-2"/>
    <n v="0.25563278167987102"/>
  </r>
  <r>
    <x v="0"/>
    <x v="0"/>
    <x v="0"/>
    <x v="7"/>
    <x v="15"/>
    <s v="PL_A"/>
    <x v="2"/>
    <s v="GNR_ST_MSW_BP_E-15"/>
    <n v="1.4892000000000001"/>
    <n v="5.3611199999999997"/>
  </r>
  <r>
    <x v="0"/>
    <x v="0"/>
    <x v="0"/>
    <x v="7"/>
    <x v="15"/>
    <s v="PL_A"/>
    <x v="3"/>
    <s v="GNR_ST_NGAS_BP_E-15"/>
    <n v="6.2195999999999998"/>
    <n v="22.390560000000001"/>
  </r>
  <r>
    <x v="0"/>
    <x v="0"/>
    <x v="0"/>
    <x v="7"/>
    <x v="15"/>
    <s v="PL_A"/>
    <x v="3"/>
    <s v="GORZ-4_ST_NGAS_BP"/>
    <n v="0.91103999999999996"/>
    <n v="3.279744"/>
  </r>
  <r>
    <x v="0"/>
    <x v="0"/>
    <x v="0"/>
    <x v="7"/>
    <x v="15"/>
    <s v="PL_A"/>
    <x v="3"/>
    <s v="NOWA-1_ST_NGAS_BP"/>
    <n v="1.11252"/>
    <n v="4.0050720000000002"/>
  </r>
  <r>
    <x v="0"/>
    <x v="0"/>
    <x v="0"/>
    <x v="7"/>
    <x v="15"/>
    <s v="PL_A"/>
    <x v="3"/>
    <s v="RZES-2_ST_NGAS_BP"/>
    <n v="0.28032000000000001"/>
    <n v="1.009152"/>
  </r>
  <r>
    <x v="0"/>
    <x v="0"/>
    <x v="0"/>
    <x v="7"/>
    <x v="15"/>
    <s v="PL_A"/>
    <x v="3"/>
    <s v="ZIEL-1_ST_NGAS_BP"/>
    <n v="8.7599999999999997E-2"/>
    <n v="0.31535999999999997"/>
  </r>
  <r>
    <x v="0"/>
    <x v="0"/>
    <x v="0"/>
    <x v="7"/>
    <x v="15"/>
    <s v="PL_A"/>
    <x v="3"/>
    <s v="ZIEL-3_ST_NGAS_BP"/>
    <n v="1.0511999999999999"/>
    <n v="3.7843200000000001"/>
  </r>
  <r>
    <x v="0"/>
    <x v="0"/>
    <x v="0"/>
    <x v="7"/>
    <x v="15"/>
    <s v="PL_A"/>
    <x v="4"/>
    <s v="BIAL-1_ST_STRAW_BP"/>
    <n v="2.8031999999999999"/>
    <n v="10.091519999999999"/>
  </r>
  <r>
    <x v="0"/>
    <x v="0"/>
    <x v="0"/>
    <x v="7"/>
    <x v="15"/>
    <s v="PL_A"/>
    <x v="4"/>
    <s v="GNR_BO_STRAW_HO_E-100"/>
    <n v="31.013577954352598"/>
    <n v="111.648880635669"/>
  </r>
  <r>
    <x v="0"/>
    <x v="0"/>
    <x v="0"/>
    <x v="7"/>
    <x v="15"/>
    <s v="PL_A"/>
    <x v="4"/>
    <s v="GNR_ST_STRAW_BP_E-15"/>
    <n v="3.5916000000000001"/>
    <n v="12.92976"/>
  </r>
  <r>
    <x v="0"/>
    <x v="0"/>
    <x v="0"/>
    <x v="7"/>
    <x v="15"/>
    <s v="PL_A"/>
    <x v="4"/>
    <s v="LODZ-3_ST_STRAW_EXT"/>
    <n v="0.80300000000000005"/>
    <n v="2.8908"/>
  </r>
  <r>
    <x v="0"/>
    <x v="0"/>
    <x v="0"/>
    <x v="7"/>
    <x v="15"/>
    <s v="PL_A"/>
    <x v="10"/>
    <s v="GNR_ST_WOOD_EXT_E-45"/>
    <n v="10.655304094270999"/>
    <n v="38.3590947393755"/>
  </r>
  <r>
    <x v="0"/>
    <x v="0"/>
    <x v="0"/>
    <x v="8"/>
    <x v="16"/>
    <s v="SE1_EL"/>
    <x v="2"/>
    <s v="GBPR_MUNIWASTE"/>
    <n v="0.111188463661287"/>
    <n v="0.40027846918063498"/>
  </r>
  <r>
    <x v="0"/>
    <x v="0"/>
    <x v="0"/>
    <x v="8"/>
    <x v="16"/>
    <s v="SE1_EL"/>
    <x v="5"/>
    <s v="GHOB_WASTEHEAT"/>
    <n v="1.0020238276214899"/>
    <n v="3.6072857794373698"/>
  </r>
  <r>
    <x v="0"/>
    <x v="0"/>
    <x v="0"/>
    <x v="8"/>
    <x v="16"/>
    <s v="SE1_EL"/>
    <x v="8"/>
    <s v="GBPR_WOODWASTE_25"/>
    <n v="7.8920708717221705E-2"/>
    <n v="0.28411455138199798"/>
  </r>
  <r>
    <x v="0"/>
    <x v="0"/>
    <x v="0"/>
    <x v="8"/>
    <x v="16"/>
    <s v="SE1_OTHER"/>
    <x v="1"/>
    <s v="GNR_HS_HEAT_WTR-TANK_LS_E-95_Y-2010"/>
    <n v="4.1590711056928402E-2"/>
    <n v="0.14972655980494201"/>
  </r>
  <r>
    <x v="0"/>
    <x v="0"/>
    <x v="0"/>
    <x v="8"/>
    <x v="16"/>
    <s v="SE1_OTHER"/>
    <x v="3"/>
    <s v="GBPR_NATGAS"/>
    <n v="1.4408409336772199E-2"/>
    <n v="5.1870273612379801E-2"/>
  </r>
  <r>
    <x v="0"/>
    <x v="0"/>
    <x v="0"/>
    <x v="8"/>
    <x v="16"/>
    <s v="SE1_OTHER"/>
    <x v="5"/>
    <s v="GHOB_WASTEHEAT"/>
    <n v="0.31385989010988902"/>
    <n v="1.1298956043956001"/>
  </r>
  <r>
    <x v="0"/>
    <x v="0"/>
    <x v="0"/>
    <x v="8"/>
    <x v="16"/>
    <s v="SE1_OTHER"/>
    <x v="6"/>
    <s v="GBPR_WOODCHIPS_25"/>
    <n v="2.8834295518356201E-2"/>
    <n v="0.103803463866082"/>
  </r>
  <r>
    <x v="0"/>
    <x v="0"/>
    <x v="0"/>
    <x v="8"/>
    <x v="16"/>
    <s v="SE1_OTHER"/>
    <x v="8"/>
    <s v="GBPR_WOODWASTE"/>
    <n v="0.50440231403060498"/>
    <n v="1.81584833051018"/>
  </r>
  <r>
    <x v="0"/>
    <x v="0"/>
    <x v="0"/>
    <x v="8"/>
    <x v="16"/>
    <s v="SE1_OTHER"/>
    <x v="8"/>
    <s v="GHOB_WOODWASTE"/>
    <n v="0.233854075796847"/>
    <n v="0.84187467286865103"/>
  </r>
  <r>
    <x v="0"/>
    <x v="0"/>
    <x v="0"/>
    <x v="8"/>
    <x v="17"/>
    <s v="SE2A"/>
    <x v="10"/>
    <s v="GBPR_IND_BIO"/>
    <n v="4.23549318181818"/>
    <n v="15.247775454545501"/>
  </r>
  <r>
    <x v="0"/>
    <x v="0"/>
    <x v="0"/>
    <x v="8"/>
    <x v="17"/>
    <s v="SE2_EL"/>
    <x v="1"/>
    <s v="GNR_HS_HEAT_WTR-TANK_LS_E-95_Y-2010"/>
    <n v="11.321117298277599"/>
    <n v="40.756022273799402"/>
  </r>
  <r>
    <x v="0"/>
    <x v="0"/>
    <x v="0"/>
    <x v="8"/>
    <x v="17"/>
    <s v="SE2_EL"/>
    <x v="2"/>
    <s v="GBPR_MUNIWASTE_24"/>
    <n v="1.5229946022176599"/>
    <n v="5.4827805679835704"/>
  </r>
  <r>
    <x v="0"/>
    <x v="0"/>
    <x v="0"/>
    <x v="8"/>
    <x v="17"/>
    <s v="SE2_EL"/>
    <x v="8"/>
    <s v="GBPR_WOODWASTE_25"/>
    <n v="1.6207786766390599"/>
    <n v="5.8348032359006101"/>
  </r>
  <r>
    <x v="0"/>
    <x v="0"/>
    <x v="0"/>
    <x v="8"/>
    <x v="17"/>
    <s v="SE2_OTHER"/>
    <x v="2"/>
    <s v="GBPR_MUNIWASTE_24"/>
    <n v="0.11544202650156001"/>
    <n v="0.41559129540561601"/>
  </r>
  <r>
    <x v="0"/>
    <x v="0"/>
    <x v="0"/>
    <x v="8"/>
    <x v="17"/>
    <s v="SE2_OTHER"/>
    <x v="5"/>
    <s v="GHOB_WASTEHEAT"/>
    <n v="0.14043415109890101"/>
    <n v="0.50556294395604195"/>
  </r>
  <r>
    <x v="0"/>
    <x v="0"/>
    <x v="0"/>
    <x v="8"/>
    <x v="17"/>
    <s v="SE2_OTHER"/>
    <x v="8"/>
    <s v="GBPR_WOODWASTE_36"/>
    <n v="1.0603717064049301"/>
    <n v="3.81733814305773"/>
  </r>
  <r>
    <x v="0"/>
    <x v="0"/>
    <x v="0"/>
    <x v="8"/>
    <x v="17"/>
    <s v="SE2_OTHER"/>
    <x v="8"/>
    <s v="GHOB_WOODWASTE"/>
    <n v="0.468336115994612"/>
    <n v="1.6860100175806001"/>
  </r>
  <r>
    <x v="0"/>
    <x v="0"/>
    <x v="0"/>
    <x v="8"/>
    <x v="18"/>
    <s v="SE3A"/>
    <x v="10"/>
    <s v="GBPR_IND_BIO"/>
    <n v="7.5404667875683202"/>
    <n v="27.145680435246"/>
  </r>
  <r>
    <x v="0"/>
    <x v="0"/>
    <x v="0"/>
    <x v="8"/>
    <x v="18"/>
    <s v="SE3_EL"/>
    <x v="0"/>
    <s v="GEXT_COAL_LINK"/>
    <n v="0.100870309707376"/>
    <n v="0.36313311494655298"/>
  </r>
  <r>
    <x v="0"/>
    <x v="0"/>
    <x v="0"/>
    <x v="8"/>
    <x v="18"/>
    <s v="SE3_EL"/>
    <x v="1"/>
    <s v="GNR_HS_HEAT_WTR-TANK_LS_E-95_Y-2010"/>
    <n v="0.43487401396242498"/>
    <n v="1.56554645026473"/>
  </r>
  <r>
    <x v="0"/>
    <x v="0"/>
    <x v="0"/>
    <x v="8"/>
    <x v="18"/>
    <s v="SE3_EL"/>
    <x v="2"/>
    <s v="GBPR_MUNIWASTE_24"/>
    <n v="1.68710478034157"/>
    <n v="6.0735772092296401"/>
  </r>
  <r>
    <x v="0"/>
    <x v="0"/>
    <x v="0"/>
    <x v="8"/>
    <x v="18"/>
    <s v="SE3_EL"/>
    <x v="2"/>
    <s v="GBPR_MUNIWASTE_LINK"/>
    <n v="1.6493779061340299"/>
    <n v="5.9377604620825197"/>
  </r>
  <r>
    <x v="0"/>
    <x v="0"/>
    <x v="0"/>
    <x v="8"/>
    <x v="18"/>
    <s v="SE3_EL"/>
    <x v="2"/>
    <s v="GHOB_MUNIWASTE"/>
    <n v="1.55757335680091"/>
    <n v="5.6072640844832602"/>
  </r>
  <r>
    <x v="0"/>
    <x v="0"/>
    <x v="0"/>
    <x v="8"/>
    <x v="18"/>
    <s v="SE3_EL"/>
    <x v="3"/>
    <s v="GBPR_NATGAS"/>
    <n v="4.9406639498567301E-2"/>
    <n v="0.17786390219484199"/>
  </r>
  <r>
    <x v="0"/>
    <x v="0"/>
    <x v="0"/>
    <x v="8"/>
    <x v="18"/>
    <s v="SE3_EL"/>
    <x v="17"/>
    <s v="GBPR_RECYCLEDWOOD_SE3EL"/>
    <n v="1.19882637509152"/>
    <n v="4.3157749503294696"/>
  </r>
  <r>
    <x v="0"/>
    <x v="0"/>
    <x v="0"/>
    <x v="8"/>
    <x v="18"/>
    <s v="SE3_EL"/>
    <x v="17"/>
    <s v="GHOB_RECYCLEDWOOD"/>
    <n v="0.44558619093266999"/>
    <n v="1.6041102873576101"/>
  </r>
  <r>
    <x v="0"/>
    <x v="0"/>
    <x v="0"/>
    <x v="8"/>
    <x v="18"/>
    <s v="SE3_EL"/>
    <x v="5"/>
    <s v="GHOB_WASTEHEAT"/>
    <n v="0.23845329670329601"/>
    <n v="0.85843186813186501"/>
  </r>
  <r>
    <x v="0"/>
    <x v="0"/>
    <x v="0"/>
    <x v="8"/>
    <x v="18"/>
    <s v="SE3_EL"/>
    <x v="8"/>
    <s v="GBPR_WOODWASTE_25"/>
    <n v="1.8950525489317001"/>
    <n v="6.8221891761541196"/>
  </r>
  <r>
    <x v="0"/>
    <x v="0"/>
    <x v="0"/>
    <x v="8"/>
    <x v="18"/>
    <s v="SE3_EL"/>
    <x v="8"/>
    <s v="GBPR_WOODWASTE_ABY"/>
    <n v="0.79188681751313095"/>
    <n v="2.85079254304727"/>
  </r>
  <r>
    <x v="0"/>
    <x v="0"/>
    <x v="0"/>
    <x v="8"/>
    <x v="18"/>
    <s v="SE3_EL"/>
    <x v="8"/>
    <s v="GHOB_WOODWASTE"/>
    <n v="0.500187884343258"/>
    <n v="1.80067638363573"/>
  </r>
  <r>
    <x v="0"/>
    <x v="0"/>
    <x v="0"/>
    <x v="8"/>
    <x v="18"/>
    <s v="SE3_GOT"/>
    <x v="1"/>
    <s v="GNR_HS_HEAT_WTR-TANK_LS_E-95_Y-2010"/>
    <n v="7.8688489178847796"/>
    <n v="28.327856104385202"/>
  </r>
  <r>
    <x v="0"/>
    <x v="0"/>
    <x v="0"/>
    <x v="8"/>
    <x v="18"/>
    <s v="SE3_GOT"/>
    <x v="2"/>
    <s v="GBPR_MUNIWASTE_24"/>
    <n v="1.4819"/>
    <n v="5.3348399999999998"/>
  </r>
  <r>
    <x v="0"/>
    <x v="0"/>
    <x v="0"/>
    <x v="8"/>
    <x v="18"/>
    <s v="SE3_GOT"/>
    <x v="3"/>
    <s v="GBPR_NATGAS_RYA"/>
    <n v="2.5404"/>
    <n v="9.1454400000000007"/>
  </r>
  <r>
    <x v="0"/>
    <x v="0"/>
    <x v="0"/>
    <x v="8"/>
    <x v="18"/>
    <s v="SE3_GOT"/>
    <x v="8"/>
    <s v="GBPR_WOODWASTE_GOT"/>
    <n v="0.48716894304656699"/>
    <n v="1.7538081949676401"/>
  </r>
  <r>
    <x v="0"/>
    <x v="0"/>
    <x v="0"/>
    <x v="8"/>
    <x v="18"/>
    <s v="SE3_HP"/>
    <x v="2"/>
    <s v="GBPR_MUNIWASTE_24"/>
    <n v="1.21066777581608"/>
    <n v="4.3584039929378999"/>
  </r>
  <r>
    <x v="0"/>
    <x v="0"/>
    <x v="0"/>
    <x v="8"/>
    <x v="18"/>
    <s v="SE3_HP"/>
    <x v="5"/>
    <s v="GHOB_WASTEHEAT"/>
    <n v="3.0082417582417501E-5"/>
    <n v="1.08296703296703E-4"/>
  </r>
  <r>
    <x v="0"/>
    <x v="0"/>
    <x v="0"/>
    <x v="8"/>
    <x v="18"/>
    <s v="SE3_HP"/>
    <x v="8"/>
    <s v="GBPR_WOODWASTE_36"/>
    <n v="0.60330472854641004"/>
    <n v="2.17189702276707"/>
  </r>
  <r>
    <x v="0"/>
    <x v="0"/>
    <x v="0"/>
    <x v="8"/>
    <x v="18"/>
    <s v="SE3_HP"/>
    <x v="8"/>
    <s v="GEXT_WOODWASTE"/>
    <n v="1.95291120084864"/>
    <n v="7.0304803230551203"/>
  </r>
  <r>
    <x v="0"/>
    <x v="0"/>
    <x v="0"/>
    <x v="8"/>
    <x v="18"/>
    <s v="SE3_HP"/>
    <x v="8"/>
    <s v="GHOB_WOODWASTE"/>
    <n v="0.152438212371278"/>
    <n v="0.54877756453660198"/>
  </r>
  <r>
    <x v="0"/>
    <x v="0"/>
    <x v="0"/>
    <x v="8"/>
    <x v="18"/>
    <s v="SE3_OTHER"/>
    <x v="1"/>
    <s v="GNR_HS_HEAT_WTR-TANK_LS_E-95_Y-2010"/>
    <n v="0.15889325271574101"/>
    <n v="0.57201570977666805"/>
  </r>
  <r>
    <x v="0"/>
    <x v="0"/>
    <x v="0"/>
    <x v="8"/>
    <x v="18"/>
    <s v="SE3_OTHER"/>
    <x v="2"/>
    <s v="GBPR_MUNIWASTE_24"/>
    <n v="1.0554889772443601"/>
    <n v="3.7997603180796902"/>
  </r>
  <r>
    <x v="0"/>
    <x v="0"/>
    <x v="0"/>
    <x v="8"/>
    <x v="18"/>
    <s v="SE3_OTHER"/>
    <x v="2"/>
    <s v="GHOB_MUNIWASTE"/>
    <n v="1.04156840809286"/>
    <n v="3.7496462691343"/>
  </r>
  <r>
    <x v="0"/>
    <x v="0"/>
    <x v="0"/>
    <x v="8"/>
    <x v="18"/>
    <s v="SE3_OTHER"/>
    <x v="17"/>
    <s v="GBPR_RECYCLEDWOOD_SE3OTHER"/>
    <n v="1.0918672304993899"/>
    <n v="3.9307220297978001"/>
  </r>
  <r>
    <x v="0"/>
    <x v="0"/>
    <x v="0"/>
    <x v="8"/>
    <x v="18"/>
    <s v="SE3_OTHER"/>
    <x v="5"/>
    <s v="GHOB_WASTEHEAT"/>
    <n v="1.18305324175824"/>
    <n v="4.2589916703296504"/>
  </r>
  <r>
    <x v="0"/>
    <x v="0"/>
    <x v="0"/>
    <x v="8"/>
    <x v="18"/>
    <s v="SE3_OTHER"/>
    <x v="6"/>
    <s v="GBPR_WOODCHIPS_37"/>
    <n v="0.22948929683113301"/>
    <n v="0.82616146859207795"/>
  </r>
  <r>
    <x v="0"/>
    <x v="0"/>
    <x v="0"/>
    <x v="8"/>
    <x v="18"/>
    <s v="SE3_OTHER"/>
    <x v="8"/>
    <s v="GBPR_WOODWASTE_25"/>
    <n v="5.2336028805856403"/>
    <n v="18.840970370108298"/>
  </r>
  <r>
    <x v="0"/>
    <x v="0"/>
    <x v="0"/>
    <x v="8"/>
    <x v="18"/>
    <s v="SE3_OTHER"/>
    <x v="8"/>
    <s v="GHOB_WOODWASTE"/>
    <n v="1.9906977677628901"/>
    <n v="7.1665119639464097"/>
  </r>
  <r>
    <x v="0"/>
    <x v="0"/>
    <x v="0"/>
    <x v="8"/>
    <x v="18"/>
    <s v="SE3_STO"/>
    <x v="0"/>
    <s v="GBPR_COAL_VARTAN"/>
    <n v="1.7290848990621199"/>
    <n v="6.2247056366236198"/>
  </r>
  <r>
    <x v="0"/>
    <x v="0"/>
    <x v="0"/>
    <x v="8"/>
    <x v="18"/>
    <s v="SE3_STO"/>
    <x v="14"/>
    <s v="GETOH_HEATPUMP33"/>
    <n v="0.16932481452702999"/>
    <n v="0.60956933229730803"/>
  </r>
  <r>
    <x v="0"/>
    <x v="0"/>
    <x v="0"/>
    <x v="8"/>
    <x v="18"/>
    <s v="SE3_STO"/>
    <x v="1"/>
    <s v="GNR_HS_HEAT_WTR-TANK_LS_E-95_Y-2010"/>
    <n v="8.6586890054525203E-2"/>
    <n v="0.31171280419629099"/>
  </r>
  <r>
    <x v="0"/>
    <x v="0"/>
    <x v="0"/>
    <x v="8"/>
    <x v="18"/>
    <s v="SE3_STO"/>
    <x v="2"/>
    <s v="GBPR_MUNIWASTE_HOGDALEN"/>
    <n v="1.04681879491479"/>
    <n v="3.7685476616932401"/>
  </r>
  <r>
    <x v="0"/>
    <x v="0"/>
    <x v="0"/>
    <x v="8"/>
    <x v="18"/>
    <s v="SE3_STO"/>
    <x v="2"/>
    <s v="GHOB_MUNIWASTE"/>
    <n v="0.99575446345552998"/>
    <n v="3.58471606843991"/>
  </r>
  <r>
    <x v="0"/>
    <x v="0"/>
    <x v="0"/>
    <x v="8"/>
    <x v="18"/>
    <s v="SE3_STO"/>
    <x v="7"/>
    <s v="GBPR_WOODPELLETS_HASSELBY"/>
    <n v="0.99059671087695"/>
    <n v="3.5661481591570201"/>
  </r>
  <r>
    <x v="0"/>
    <x v="0"/>
    <x v="0"/>
    <x v="8"/>
    <x v="18"/>
    <s v="SE3_STO"/>
    <x v="8"/>
    <s v="GBPR_WOODWASTE"/>
    <n v="1.7357373747523801"/>
    <n v="6.2486545491085499"/>
  </r>
  <r>
    <x v="0"/>
    <x v="0"/>
    <x v="0"/>
    <x v="8"/>
    <x v="18"/>
    <s v="SE3_STO"/>
    <x v="8"/>
    <s v="GBPR_WOODWASTE_BRISTA"/>
    <n v="1.0720951471509199"/>
    <n v="3.8595425297433099"/>
  </r>
  <r>
    <x v="0"/>
    <x v="0"/>
    <x v="0"/>
    <x v="8"/>
    <x v="19"/>
    <s v="SE4A"/>
    <x v="10"/>
    <s v="GBPR_IND_BIO"/>
    <n v="4.9396943181818198"/>
    <n v="17.782899545454502"/>
  </r>
  <r>
    <x v="0"/>
    <x v="0"/>
    <x v="0"/>
    <x v="8"/>
    <x v="19"/>
    <s v="SE4_EL"/>
    <x v="14"/>
    <s v="GETOH_HEATPUMP1"/>
    <n v="1.61294180879933E-4"/>
    <n v="5.8065905116775902E-4"/>
  </r>
  <r>
    <x v="0"/>
    <x v="0"/>
    <x v="0"/>
    <x v="8"/>
    <x v="19"/>
    <s v="SE4_EL"/>
    <x v="1"/>
    <s v="GNR_HS_HEAT_WTR-TANK_LS_E-95_Y-2010"/>
    <n v="6.6371437875008002E-2"/>
    <n v="0.23893717635002901"/>
  </r>
  <r>
    <x v="0"/>
    <x v="0"/>
    <x v="0"/>
    <x v="8"/>
    <x v="19"/>
    <s v="SE4_EL"/>
    <x v="3"/>
    <s v="GHOB_NATGAS"/>
    <n v="8.8287275332578092E-3"/>
    <n v="3.1783419119728103E-2"/>
  </r>
  <r>
    <x v="0"/>
    <x v="0"/>
    <x v="0"/>
    <x v="8"/>
    <x v="19"/>
    <s v="SE4_EL"/>
    <x v="17"/>
    <s v="GBPR_RECYCLEDWOOD"/>
    <n v="0.43164009686360499"/>
    <n v="1.5539043487089801"/>
  </r>
  <r>
    <x v="0"/>
    <x v="0"/>
    <x v="0"/>
    <x v="8"/>
    <x v="19"/>
    <s v="SE4_EL"/>
    <x v="17"/>
    <s v="GBPR_RECYCLEDWOOD_SE4EL"/>
    <n v="6.5660706518269205E-2"/>
    <n v="0.236378543465769"/>
  </r>
  <r>
    <x v="0"/>
    <x v="0"/>
    <x v="0"/>
    <x v="8"/>
    <x v="19"/>
    <s v="SE4_EL"/>
    <x v="17"/>
    <s v="GHOB_RECYCLEDWOOD"/>
    <n v="3.4645048266199602E-2"/>
    <n v="0.124722173758319"/>
  </r>
  <r>
    <x v="0"/>
    <x v="0"/>
    <x v="0"/>
    <x v="8"/>
    <x v="19"/>
    <s v="SE4_EL"/>
    <x v="4"/>
    <s v="GHOB_STRAW"/>
    <n v="2.1899999999999999E-2"/>
    <n v="7.8839999999999993E-2"/>
  </r>
  <r>
    <x v="0"/>
    <x v="0"/>
    <x v="0"/>
    <x v="8"/>
    <x v="19"/>
    <s v="SE4_EL"/>
    <x v="5"/>
    <s v="GHOB_WASTEHEAT"/>
    <n v="9.1249999999999595E-2"/>
    <n v="0.32849999999999902"/>
  </r>
  <r>
    <x v="0"/>
    <x v="0"/>
    <x v="0"/>
    <x v="8"/>
    <x v="19"/>
    <s v="SE4_EL"/>
    <x v="8"/>
    <s v="GHOB_WOODWASTE"/>
    <n v="0.48286536021015802"/>
    <n v="1.73831529675657"/>
  </r>
  <r>
    <x v="0"/>
    <x v="0"/>
    <x v="0"/>
    <x v="8"/>
    <x v="19"/>
    <s v="SE4_HP"/>
    <x v="1"/>
    <s v="GNR_HS_HEAT_WTR-TANK_LS_E-95_Y-2010"/>
    <n v="1.1609634457123901"/>
    <n v="4.1794684045645996"/>
  </r>
  <r>
    <x v="0"/>
    <x v="0"/>
    <x v="0"/>
    <x v="8"/>
    <x v="19"/>
    <s v="SE4_HP"/>
    <x v="2"/>
    <s v="GBPR_MUNIWASTE_65"/>
    <n v="0.250285714285714"/>
    <n v="0.90102857142857096"/>
  </r>
  <r>
    <x v="0"/>
    <x v="0"/>
    <x v="0"/>
    <x v="8"/>
    <x v="19"/>
    <s v="SE4_HP"/>
    <x v="3"/>
    <s v="GBPR_NATGAS_100"/>
    <n v="0.47304000000000002"/>
    <n v="1.702944"/>
  </r>
  <r>
    <x v="0"/>
    <x v="0"/>
    <x v="0"/>
    <x v="8"/>
    <x v="19"/>
    <s v="SE4_HP"/>
    <x v="7"/>
    <s v="GBPR_WOODPELLETS"/>
    <n v="0.425023624962306"/>
    <n v="1.5300850498642999"/>
  </r>
  <r>
    <x v="0"/>
    <x v="0"/>
    <x v="0"/>
    <x v="8"/>
    <x v="19"/>
    <s v="SE4_MAL"/>
    <x v="1"/>
    <s v="GNR_HS_HEAT_WTR-TANK_LS_E-95_Y-2010"/>
    <n v="1.83371941021204"/>
    <n v="6.6013898767633501"/>
  </r>
  <r>
    <x v="0"/>
    <x v="0"/>
    <x v="0"/>
    <x v="8"/>
    <x v="19"/>
    <s v="SE4_MAL"/>
    <x v="2"/>
    <s v="GBPR_MUNIWASTE_24"/>
    <n v="0.92458673240184697"/>
    <n v="3.3285122366466502"/>
  </r>
  <r>
    <x v="0"/>
    <x v="0"/>
    <x v="0"/>
    <x v="8"/>
    <x v="19"/>
    <s v="SE4_MAL"/>
    <x v="2"/>
    <s v="GHOB_MUNIWASTE"/>
    <n v="0.130362118745911"/>
    <n v="0.46930362748528098"/>
  </r>
  <r>
    <x v="0"/>
    <x v="0"/>
    <x v="0"/>
    <x v="8"/>
    <x v="19"/>
    <s v="SE4_MAL"/>
    <x v="3"/>
    <s v="GBPR_NATGAS_MAL"/>
    <n v="1.1541980703845101"/>
    <n v="4.15511305338425"/>
  </r>
  <r>
    <x v="0"/>
    <x v="0"/>
    <x v="0"/>
    <x v="8"/>
    <x v="19"/>
    <s v="SE4_MAL"/>
    <x v="5"/>
    <s v="GHOB_WASTEHEAT"/>
    <n v="4.5123626373626199E-2"/>
    <n v="0.16244505494505401"/>
  </r>
  <r>
    <x v="0"/>
    <x v="0"/>
    <x v="0"/>
    <x v="8"/>
    <x v="19"/>
    <s v="SE4_OTHER"/>
    <x v="1"/>
    <s v="GNR_HS_HEAT_WTR-TANK_LS_E-95_Y-2010"/>
    <n v="3.4543998582551201E-3"/>
    <n v="1.24358394897184E-2"/>
  </r>
  <r>
    <x v="0"/>
    <x v="0"/>
    <x v="0"/>
    <x v="8"/>
    <x v="19"/>
    <s v="SE4_OTHER"/>
    <x v="2"/>
    <s v="GBPR_MUNIWASTE_19"/>
    <n v="0.532070706791547"/>
    <n v="1.9154545444495701"/>
  </r>
  <r>
    <x v="0"/>
    <x v="0"/>
    <x v="0"/>
    <x v="8"/>
    <x v="19"/>
    <s v="SE4_OTHER"/>
    <x v="2"/>
    <s v="GHOB_MUNIWASTE"/>
    <n v="0.115258579144978"/>
    <n v="0.41493088492191998"/>
  </r>
  <r>
    <x v="0"/>
    <x v="0"/>
    <x v="0"/>
    <x v="8"/>
    <x v="19"/>
    <s v="SE4_OTHER"/>
    <x v="5"/>
    <s v="GHOB_WASTEHEAT"/>
    <n v="0.481388873626372"/>
    <n v="1.73299994505494"/>
  </r>
  <r>
    <x v="0"/>
    <x v="0"/>
    <x v="0"/>
    <x v="8"/>
    <x v="19"/>
    <s v="SE4_OTHER"/>
    <x v="6"/>
    <s v="GBPR_WOODCHIPS"/>
    <n v="0.53381809360772703"/>
    <n v="1.92174513698782"/>
  </r>
  <r>
    <x v="0"/>
    <x v="0"/>
    <x v="0"/>
    <x v="8"/>
    <x v="19"/>
    <s v="SE4_OTHER"/>
    <x v="6"/>
    <s v="GBPR_WOODCHIPS_25"/>
    <n v="0.114168428485315"/>
    <n v="0.41100634254713603"/>
  </r>
  <r>
    <x v="0"/>
    <x v="0"/>
    <x v="0"/>
    <x v="8"/>
    <x v="19"/>
    <s v="SE4_OTHER"/>
    <x v="8"/>
    <s v="GBPR_WOODWASTE_36"/>
    <n v="1.7021237408056"/>
    <n v="6.1276454669001703"/>
  </r>
  <r>
    <x v="0"/>
    <x v="0"/>
    <x v="0"/>
    <x v="8"/>
    <x v="19"/>
    <s v="SE4_OTHER"/>
    <x v="8"/>
    <s v="GHOB_WOODWASTE"/>
    <n v="1.34760038805731"/>
    <n v="4.8513613970063201"/>
  </r>
</pivotCacheRecords>
</file>

<file path=xl/pivotCache/pivotCacheRecords8.xml><?xml version="1.0" encoding="utf-8"?>
<pivotCacheRecords xmlns="http://schemas.openxmlformats.org/spreadsheetml/2006/main" xmlns:r="http://schemas.openxmlformats.org/officeDocument/2006/relationships" count="531">
  <r>
    <x v="0"/>
    <x v="0"/>
    <x v="0"/>
    <x v="0"/>
    <x v="0"/>
    <s v="DK1_Large"/>
    <x v="0"/>
    <x v="0"/>
    <s v="GNR_ST_COAL_EXT_E-47"/>
    <n v="0.22819394639784499"/>
    <n v="0.82149820703224297"/>
  </r>
  <r>
    <x v="0"/>
    <x v="0"/>
    <x v="0"/>
    <x v="0"/>
    <x v="0"/>
    <s v="DK1_Large"/>
    <x v="1"/>
    <x v="1"/>
    <s v="GNR_ST_MSW_BP_E-18"/>
    <n v="2.4965999999999999E-2"/>
    <n v="8.9877600000000002E-2"/>
  </r>
  <r>
    <x v="0"/>
    <x v="0"/>
    <x v="0"/>
    <x v="0"/>
    <x v="0"/>
    <s v="DK1_Large"/>
    <x v="1"/>
    <x v="1"/>
    <s v="GNR_ST_MSW_BP_E-19"/>
    <n v="7.8839999999999993E-2"/>
    <n v="0.28382400000000002"/>
  </r>
  <r>
    <x v="0"/>
    <x v="0"/>
    <x v="0"/>
    <x v="0"/>
    <x v="0"/>
    <s v="DK1_Large"/>
    <x v="1"/>
    <x v="1"/>
    <s v="GNR_ST_MSW_BP_E-22"/>
    <n v="0.27156000000000002"/>
    <n v="0.97761600000000004"/>
  </r>
  <r>
    <x v="0"/>
    <x v="0"/>
    <x v="0"/>
    <x v="0"/>
    <x v="0"/>
    <s v="DK1_Large"/>
    <x v="1"/>
    <x v="1"/>
    <s v="GNR_ST_MSW_BP_E-23"/>
    <n v="0.31588559999999999"/>
    <n v="1.13718816"/>
  </r>
  <r>
    <x v="0"/>
    <x v="0"/>
    <x v="0"/>
    <x v="0"/>
    <x v="0"/>
    <s v="DK1_Large"/>
    <x v="1"/>
    <x v="1"/>
    <s v="GNR_ST_MSW_BP_E-27"/>
    <n v="0.156804"/>
    <n v="0.56449439999999995"/>
  </r>
  <r>
    <x v="0"/>
    <x v="0"/>
    <x v="0"/>
    <x v="0"/>
    <x v="0"/>
    <s v="DK1_Large"/>
    <x v="2"/>
    <x v="1"/>
    <s v="GNR_ENG_NGAS_BP_E-34"/>
    <n v="9.1717199999999995E-3"/>
    <n v="3.3018192000000002E-2"/>
  </r>
  <r>
    <x v="0"/>
    <x v="0"/>
    <x v="0"/>
    <x v="0"/>
    <x v="0"/>
    <s v="DK1_Large"/>
    <x v="2"/>
    <x v="1"/>
    <s v="GNR_ENG_NGAS_BP_E-38"/>
    <n v="2.564928E-2"/>
    <n v="9.2337407999999996E-2"/>
  </r>
  <r>
    <x v="0"/>
    <x v="0"/>
    <x v="0"/>
    <x v="0"/>
    <x v="0"/>
    <s v="DK1_Large"/>
    <x v="2"/>
    <x v="1"/>
    <s v="GNR_ENG_NGAS_BP_E-39"/>
    <n v="0.1179096"/>
    <n v="0.42447456"/>
  </r>
  <r>
    <x v="0"/>
    <x v="0"/>
    <x v="0"/>
    <x v="0"/>
    <x v="0"/>
    <s v="DK1_Large"/>
    <x v="2"/>
    <x v="1"/>
    <s v="GNR_ENG_NGAS_BP_E-40"/>
    <n v="4.5639600000000002E-2"/>
    <n v="0.16430255999999999"/>
  </r>
  <r>
    <x v="0"/>
    <x v="0"/>
    <x v="0"/>
    <x v="0"/>
    <x v="0"/>
    <s v="DK1_Large"/>
    <x v="2"/>
    <x v="1"/>
    <s v="GNR_ENG_NGAS_BP_E-41"/>
    <n v="3.3287999999999998E-2"/>
    <n v="0.11983679999999999"/>
  </r>
  <r>
    <x v="0"/>
    <x v="0"/>
    <x v="0"/>
    <x v="0"/>
    <x v="0"/>
    <s v="DK1_Large"/>
    <x v="2"/>
    <x v="1"/>
    <s v="GNR_ENG_NGAS_BP_E-42"/>
    <n v="1.9797599999999999E-2"/>
    <n v="7.1271360000000006E-2"/>
  </r>
  <r>
    <x v="0"/>
    <x v="0"/>
    <x v="0"/>
    <x v="0"/>
    <x v="0"/>
    <s v="DK1_Large"/>
    <x v="2"/>
    <x v="1"/>
    <s v="GNR_ENG_NGAS_BP_E-43"/>
    <n v="7.87524E-2"/>
    <n v="0.28350863999999998"/>
  </r>
  <r>
    <x v="0"/>
    <x v="0"/>
    <x v="0"/>
    <x v="0"/>
    <x v="0"/>
    <s v="DK1_Large"/>
    <x v="2"/>
    <x v="1"/>
    <s v="GNR_ENG_NGAS_BP_E-44"/>
    <n v="2.75064E-2"/>
    <n v="9.9023040000000007E-2"/>
  </r>
  <r>
    <x v="0"/>
    <x v="0"/>
    <x v="0"/>
    <x v="0"/>
    <x v="0"/>
    <s v="DK1_Large"/>
    <x v="2"/>
    <x v="1"/>
    <s v="GNR_ENG_NGAS_BP_E-46"/>
    <n v="2.55792E-2"/>
    <n v="9.2085120000000006E-2"/>
  </r>
  <r>
    <x v="0"/>
    <x v="0"/>
    <x v="0"/>
    <x v="0"/>
    <x v="0"/>
    <s v="DK1_Large"/>
    <x v="2"/>
    <x v="1"/>
    <s v="GNR_GT_NGAS_BP_E-27"/>
    <n v="4.7449999999999999E-2"/>
    <n v="0.17082"/>
  </r>
  <r>
    <x v="0"/>
    <x v="0"/>
    <x v="0"/>
    <x v="0"/>
    <x v="0"/>
    <s v="DK1_Large"/>
    <x v="2"/>
    <x v="0"/>
    <s v="GNR_ST_NGAS_EXT_E-47"/>
    <n v="2.96034062209077"/>
    <n v="10.6572262395268"/>
  </r>
  <r>
    <x v="0"/>
    <x v="0"/>
    <x v="0"/>
    <x v="0"/>
    <x v="0"/>
    <s v="DK1_Large"/>
    <x v="3"/>
    <x v="1"/>
    <s v="GNR_ST_STRW_BP_E-26"/>
    <n v="0.27156000000000002"/>
    <n v="0.97761600000000004"/>
  </r>
  <r>
    <x v="0"/>
    <x v="0"/>
    <x v="0"/>
    <x v="0"/>
    <x v="0"/>
    <s v="DK1_Large"/>
    <x v="4"/>
    <x v="1"/>
    <s v="GNR_ST_WOODCHI_BP_E-23"/>
    <n v="6.2962500000000005E-2"/>
    <n v="0.22666500000000001"/>
  </r>
  <r>
    <x v="0"/>
    <x v="0"/>
    <x v="0"/>
    <x v="0"/>
    <x v="0"/>
    <s v="DK1_MedSmall"/>
    <x v="1"/>
    <x v="1"/>
    <s v="GNR_ST_MSW_BP_E-17"/>
    <n v="2.1024000000000001E-2"/>
    <n v="7.5686400000000001E-2"/>
  </r>
  <r>
    <x v="0"/>
    <x v="0"/>
    <x v="0"/>
    <x v="0"/>
    <x v="0"/>
    <s v="DK1_MedSmall"/>
    <x v="1"/>
    <x v="1"/>
    <s v="GNR_ST_MSW_BP_E-20"/>
    <n v="2.8908E-2"/>
    <n v="0.1040688"/>
  </r>
  <r>
    <x v="0"/>
    <x v="0"/>
    <x v="0"/>
    <x v="0"/>
    <x v="0"/>
    <s v="DK1_MedSmall"/>
    <x v="1"/>
    <x v="1"/>
    <s v="GNR_ST_MSW_BP_E-21"/>
    <n v="8.7599999999999997E-2"/>
    <n v="0.31535999999999997"/>
  </r>
  <r>
    <x v="0"/>
    <x v="0"/>
    <x v="0"/>
    <x v="0"/>
    <x v="0"/>
    <s v="DK1_MedSmall"/>
    <x v="1"/>
    <x v="1"/>
    <s v="GNR_ST_MSW_BP_E-22"/>
    <n v="3.9419999999999997E-2"/>
    <n v="0.14191200000000001"/>
  </r>
  <r>
    <x v="0"/>
    <x v="0"/>
    <x v="0"/>
    <x v="0"/>
    <x v="0"/>
    <s v="DK1_MedSmall"/>
    <x v="1"/>
    <x v="1"/>
    <s v="GNR_ST_MSW_BP_E-26"/>
    <n v="6.132E-2"/>
    <n v="0.220752"/>
  </r>
  <r>
    <x v="0"/>
    <x v="0"/>
    <x v="0"/>
    <x v="0"/>
    <x v="0"/>
    <s v="DK1_MedSmall"/>
    <x v="2"/>
    <x v="1"/>
    <s v="GNR_ENG_NGAS_BP_E-35"/>
    <n v="5.5187999999999999E-3"/>
    <n v="1.9867679999999999E-2"/>
  </r>
  <r>
    <x v="0"/>
    <x v="0"/>
    <x v="0"/>
    <x v="0"/>
    <x v="0"/>
    <s v="DK1_MedSmall"/>
    <x v="2"/>
    <x v="1"/>
    <s v="GNR_ENG_NGAS_BP_E-37"/>
    <n v="8.7600000000000004E-3"/>
    <n v="3.1536000000000002E-2"/>
  </r>
  <r>
    <x v="0"/>
    <x v="0"/>
    <x v="0"/>
    <x v="0"/>
    <x v="0"/>
    <s v="DK1_MedSmall"/>
    <x v="2"/>
    <x v="1"/>
    <s v="GNR_ENG_NGAS_BP_E-40"/>
    <n v="0.10925472"/>
    <n v="0.39331699199999998"/>
  </r>
  <r>
    <x v="0"/>
    <x v="0"/>
    <x v="0"/>
    <x v="0"/>
    <x v="0"/>
    <s v="DK1_MedSmall"/>
    <x v="2"/>
    <x v="1"/>
    <s v="GNR_ENG_NGAS_BP_E-41"/>
    <n v="7.4635199999999999E-2"/>
    <n v="0.26868671999999999"/>
  </r>
  <r>
    <x v="0"/>
    <x v="0"/>
    <x v="0"/>
    <x v="0"/>
    <x v="0"/>
    <s v="DK1_MedSmall"/>
    <x v="2"/>
    <x v="1"/>
    <s v="GNR_ENG_NGAS_BP_E-46"/>
    <n v="1.9359600000000001E-2"/>
    <n v="6.9694560000000003E-2"/>
  </r>
  <r>
    <x v="0"/>
    <x v="0"/>
    <x v="0"/>
    <x v="0"/>
    <x v="0"/>
    <s v="DK1_MedSmall"/>
    <x v="2"/>
    <x v="1"/>
    <s v="GNR_GT_NGAS_BP_E-31"/>
    <n v="0.14892"/>
    <n v="0.53611200000000003"/>
  </r>
  <r>
    <x v="0"/>
    <x v="0"/>
    <x v="0"/>
    <x v="0"/>
    <x v="0"/>
    <s v="DK1_MedSmall"/>
    <x v="3"/>
    <x v="1"/>
    <s v="GNR_ST_STRW_BP_E-21"/>
    <n v="0.15329999999999999"/>
    <n v="0.55188000000000004"/>
  </r>
  <r>
    <x v="0"/>
    <x v="0"/>
    <x v="0"/>
    <x v="0"/>
    <x v="0"/>
    <s v="DK1_Medium"/>
    <x v="1"/>
    <x v="1"/>
    <s v="GNR_ST_MSW_BP_E-22"/>
    <n v="2.2746003045147001E-2"/>
    <n v="8.1885610962529207E-2"/>
  </r>
  <r>
    <x v="0"/>
    <x v="0"/>
    <x v="0"/>
    <x v="0"/>
    <x v="0"/>
    <s v="DK1_Medium"/>
    <x v="2"/>
    <x v="1"/>
    <s v="GNR_ENG_NGAS_BP_E-34"/>
    <n v="3.1316999999999998E-3"/>
    <n v="1.127412E-2"/>
  </r>
  <r>
    <x v="0"/>
    <x v="0"/>
    <x v="0"/>
    <x v="0"/>
    <x v="0"/>
    <s v="DK1_Medium"/>
    <x v="2"/>
    <x v="1"/>
    <s v="GNR_ENG_NGAS_BP_E-36"/>
    <n v="1.0577700000000001E-2"/>
    <n v="3.8079719999999997E-2"/>
  </r>
  <r>
    <x v="0"/>
    <x v="0"/>
    <x v="0"/>
    <x v="0"/>
    <x v="0"/>
    <s v="DK1_Medium"/>
    <x v="2"/>
    <x v="1"/>
    <s v="GNR_ENG_NGAS_BP_E-40"/>
    <n v="1.1165349999999999E-2"/>
    <n v="4.0195259999999997E-2"/>
  </r>
  <r>
    <x v="0"/>
    <x v="0"/>
    <x v="0"/>
    <x v="0"/>
    <x v="0"/>
    <s v="DK1_Medium"/>
    <x v="2"/>
    <x v="1"/>
    <s v="GNR_ENG_NGAS_BP_E-41"/>
    <n v="3.7668E-2"/>
    <n v="0.1356048"/>
  </r>
  <r>
    <x v="0"/>
    <x v="0"/>
    <x v="0"/>
    <x v="0"/>
    <x v="0"/>
    <s v="DK1_Medium"/>
    <x v="2"/>
    <x v="1"/>
    <s v="GNR_ENG_NGAS_BP_E-42"/>
    <n v="8.7862799999999894E-2"/>
    <n v="0.31630607999999999"/>
  </r>
  <r>
    <x v="0"/>
    <x v="0"/>
    <x v="0"/>
    <x v="0"/>
    <x v="0"/>
    <s v="DK1_Medium"/>
    <x v="2"/>
    <x v="1"/>
    <s v="GNR_ENG_NGAS_BP_E-43"/>
    <n v="1.2439199999999999E-2"/>
    <n v="4.4781120000000001E-2"/>
  </r>
  <r>
    <x v="0"/>
    <x v="0"/>
    <x v="0"/>
    <x v="0"/>
    <x v="0"/>
    <s v="DK1_Medium"/>
    <x v="2"/>
    <x v="1"/>
    <s v="GNR_ENG_NGAS_BP_E-44"/>
    <n v="4.09968E-2"/>
    <n v="0.14758847999999999"/>
  </r>
  <r>
    <x v="0"/>
    <x v="0"/>
    <x v="0"/>
    <x v="0"/>
    <x v="0"/>
    <s v="DK1_Medium"/>
    <x v="2"/>
    <x v="1"/>
    <s v="GNR_GT_NGAS_BP_E-31"/>
    <n v="1.6424999999999999E-2"/>
    <n v="5.9130000000000002E-2"/>
  </r>
  <r>
    <x v="0"/>
    <x v="0"/>
    <x v="0"/>
    <x v="0"/>
    <x v="0"/>
    <s v="DK1_Medium"/>
    <x v="2"/>
    <x v="1"/>
    <s v="GNR_GT_NGAS_BP_E-43"/>
    <n v="0.719634"/>
    <n v="2.5906823999999999"/>
  </r>
  <r>
    <x v="0"/>
    <x v="0"/>
    <x v="0"/>
    <x v="0"/>
    <x v="0"/>
    <s v="DK1_Medium"/>
    <x v="2"/>
    <x v="1"/>
    <s v="GNR_GT_NGAS_BP_E-44"/>
    <n v="0.49931999999999999"/>
    <n v="1.797552"/>
  </r>
  <r>
    <x v="0"/>
    <x v="0"/>
    <x v="0"/>
    <x v="0"/>
    <x v="0"/>
    <s v="DK1_Medium"/>
    <x v="2"/>
    <x v="1"/>
    <s v="GNR_GT_NGAS_BP_E-47"/>
    <n v="0.95089800000000002"/>
    <n v="3.4232328000000001"/>
  </r>
  <r>
    <x v="0"/>
    <x v="0"/>
    <x v="0"/>
    <x v="0"/>
    <x v="0"/>
    <s v="DK1_Medium"/>
    <x v="4"/>
    <x v="1"/>
    <s v="GNR_ST_WOODCHI_BP_E-27"/>
    <n v="7.5920000000000001E-2"/>
    <n v="0.273312"/>
  </r>
  <r>
    <x v="0"/>
    <x v="0"/>
    <x v="0"/>
    <x v="0"/>
    <x v="0"/>
    <s v="DK1_Medium"/>
    <x v="4"/>
    <x v="1"/>
    <s v="GNR_ST_WOODCHI_BP_E-30"/>
    <n v="0.34736059455413498"/>
    <n v="1.25049814039489"/>
  </r>
  <r>
    <x v="0"/>
    <x v="0"/>
    <x v="0"/>
    <x v="0"/>
    <x v="0"/>
    <s v="DK1_NoDH"/>
    <x v="2"/>
    <x v="1"/>
    <s v="GNR_ENG_NGAS_BP_E-33"/>
    <n v="2.4637500000000001E-4"/>
    <n v="8.8694999999999996E-4"/>
  </r>
  <r>
    <x v="0"/>
    <x v="0"/>
    <x v="0"/>
    <x v="0"/>
    <x v="0"/>
    <s v="DK1_NoDH"/>
    <x v="2"/>
    <x v="1"/>
    <s v="GNR_ENG_NGAS_BP_E-35"/>
    <n v="8.7308000000000004E-3"/>
    <n v="3.1430880000000001E-2"/>
  </r>
  <r>
    <x v="0"/>
    <x v="0"/>
    <x v="0"/>
    <x v="0"/>
    <x v="0"/>
    <s v="DK1_NoDH"/>
    <x v="2"/>
    <x v="1"/>
    <s v="GNR_ENG_NGAS_BP_E-36"/>
    <n v="1.7220699999999999E-2"/>
    <n v="6.1994519999999997E-2"/>
  </r>
  <r>
    <x v="0"/>
    <x v="0"/>
    <x v="0"/>
    <x v="0"/>
    <x v="0"/>
    <s v="DK1_NoDH"/>
    <x v="2"/>
    <x v="1"/>
    <s v="GNR_ENG_NGAS_BP_E-37"/>
    <n v="0.2018085"/>
    <n v="0.72651060000000001"/>
  </r>
  <r>
    <x v="0"/>
    <x v="0"/>
    <x v="0"/>
    <x v="0"/>
    <x v="0"/>
    <s v="DK1_NoDH"/>
    <x v="2"/>
    <x v="1"/>
    <s v="GNR_ENG_NGAS_BP_E-38"/>
    <n v="9.0228000000000003E-2"/>
    <n v="0.32482080000000002"/>
  </r>
  <r>
    <x v="0"/>
    <x v="0"/>
    <x v="0"/>
    <x v="0"/>
    <x v="0"/>
    <s v="DK1_NoDH"/>
    <x v="2"/>
    <x v="1"/>
    <s v="GNR_ENG_NGAS_BP_E-39"/>
    <n v="8.6844450000000004E-2"/>
    <n v="0.31264002000000002"/>
  </r>
  <r>
    <x v="0"/>
    <x v="0"/>
    <x v="0"/>
    <x v="0"/>
    <x v="0"/>
    <s v="DK1_NoDH"/>
    <x v="2"/>
    <x v="1"/>
    <s v="GNR_ENG_NGAS_BP_E-40"/>
    <n v="2.3673900000000001E-2"/>
    <n v="8.5226040000000003E-2"/>
  </r>
  <r>
    <x v="0"/>
    <x v="0"/>
    <x v="0"/>
    <x v="0"/>
    <x v="0"/>
    <s v="DK1_NoDH"/>
    <x v="2"/>
    <x v="1"/>
    <s v="GNR_ENG_NGAS_BP_E-41"/>
    <n v="6.6404450000000004E-2"/>
    <n v="0.23905602000000001"/>
  </r>
  <r>
    <x v="0"/>
    <x v="0"/>
    <x v="0"/>
    <x v="0"/>
    <x v="0"/>
    <s v="DK1_NoDH"/>
    <x v="2"/>
    <x v="1"/>
    <s v="GNR_ENG_NGAS_BP_E-42"/>
    <n v="9.7411200000000003E-2"/>
    <n v="0.35068031999999999"/>
  </r>
  <r>
    <x v="0"/>
    <x v="0"/>
    <x v="0"/>
    <x v="0"/>
    <x v="0"/>
    <s v="DK1_NoDH"/>
    <x v="2"/>
    <x v="1"/>
    <s v="GNR_ENG_NGAS_BP_E-43"/>
    <n v="0.10810715999999999"/>
    <n v="0.38918577599999998"/>
  </r>
  <r>
    <x v="0"/>
    <x v="0"/>
    <x v="0"/>
    <x v="0"/>
    <x v="0"/>
    <s v="DK1_NoDH"/>
    <x v="2"/>
    <x v="1"/>
    <s v="GNR_ENG_NGAS_BP_E-46"/>
    <n v="4.2091799999999999E-2"/>
    <n v="0.15153048"/>
  </r>
  <r>
    <x v="0"/>
    <x v="0"/>
    <x v="0"/>
    <x v="0"/>
    <x v="0"/>
    <s v="DK1_NoDH"/>
    <x v="2"/>
    <x v="1"/>
    <s v="GNR_GT_NGAS_BP_E-28"/>
    <n v="5.0953999999999999E-2"/>
    <n v="0.1834344"/>
  </r>
  <r>
    <x v="0"/>
    <x v="0"/>
    <x v="0"/>
    <x v="0"/>
    <x v="0"/>
    <s v="DK1_NoDH"/>
    <x v="2"/>
    <x v="1"/>
    <s v="GNR_GT_NGAS_BP_E-33"/>
    <n v="1.1606999999999999E-2"/>
    <n v="4.1785200000000002E-2"/>
  </r>
  <r>
    <x v="0"/>
    <x v="0"/>
    <x v="0"/>
    <x v="0"/>
    <x v="0"/>
    <s v="DK1_NoDH"/>
    <x v="2"/>
    <x v="1"/>
    <s v="GNR_GT_NGAS_BP_E-36"/>
    <n v="2.1899999999999999E-2"/>
    <n v="7.8839999999999993E-2"/>
  </r>
  <r>
    <x v="0"/>
    <x v="0"/>
    <x v="0"/>
    <x v="0"/>
    <x v="0"/>
    <s v="DK1_NoDH"/>
    <x v="2"/>
    <x v="2"/>
    <s v="GNR_ENG_NGAS_CND_E-41"/>
    <n v="0.357408"/>
    <n v="1.2866687999999999"/>
  </r>
  <r>
    <x v="0"/>
    <x v="0"/>
    <x v="0"/>
    <x v="0"/>
    <x v="0"/>
    <s v="DK1_NoDH"/>
    <x v="2"/>
    <x v="2"/>
    <s v="GNR_ENG_NGAS_CND_E-46"/>
    <n v="5.6064000000000001E-3"/>
    <n v="2.0183039999999999E-2"/>
  </r>
  <r>
    <x v="0"/>
    <x v="0"/>
    <x v="0"/>
    <x v="0"/>
    <x v="0"/>
    <s v="DK1_NoDH"/>
    <x v="5"/>
    <x v="3"/>
    <s v="GNR_PV_SUN"/>
    <n v="0.56990659346167905"/>
    <n v="2.05166373646205"/>
  </r>
  <r>
    <x v="0"/>
    <x v="0"/>
    <x v="0"/>
    <x v="0"/>
    <x v="0"/>
    <s v="DK1_NoDH"/>
    <x v="6"/>
    <x v="4"/>
    <s v="GNR_ROR_WTR"/>
    <n v="3.3449832846470198E-2"/>
    <n v="0.120419398247293"/>
  </r>
  <r>
    <x v="0"/>
    <x v="0"/>
    <x v="0"/>
    <x v="0"/>
    <x v="0"/>
    <s v="DK1_NoDH"/>
    <x v="7"/>
    <x v="5"/>
    <s v="GNR_WT_WIND_ONS"/>
    <n v="10.4267294285003"/>
    <n v="37.536225942601099"/>
  </r>
  <r>
    <x v="0"/>
    <x v="0"/>
    <x v="0"/>
    <x v="0"/>
    <x v="0"/>
    <s v="DK1_Offshore"/>
    <x v="7"/>
    <x v="5"/>
    <s v="GNR_WT_WIND_OFF"/>
    <n v="3.66971220000001"/>
    <n v="13.210963919999999"/>
  </r>
  <r>
    <x v="0"/>
    <x v="0"/>
    <x v="0"/>
    <x v="0"/>
    <x v="0"/>
    <s v="DK1_Rural"/>
    <x v="2"/>
    <x v="1"/>
    <s v="GNR_ENG_NGAS_BP_E-33"/>
    <n v="8.2124999999999993E-3"/>
    <n v="2.9565000000000001E-2"/>
  </r>
  <r>
    <x v="0"/>
    <x v="0"/>
    <x v="0"/>
    <x v="0"/>
    <x v="0"/>
    <s v="DK1_Rural"/>
    <x v="2"/>
    <x v="1"/>
    <s v="GNR_ENG_NGAS_BP_E-34"/>
    <n v="2.1969349999999999E-2"/>
    <n v="7.9089660000000006E-2"/>
  </r>
  <r>
    <x v="0"/>
    <x v="0"/>
    <x v="0"/>
    <x v="0"/>
    <x v="0"/>
    <s v="DK1_Rural"/>
    <x v="2"/>
    <x v="1"/>
    <s v="GNR_ENG_NGAS_BP_E-36"/>
    <n v="0.1134931"/>
    <n v="0.40857515999999999"/>
  </r>
  <r>
    <x v="0"/>
    <x v="0"/>
    <x v="0"/>
    <x v="0"/>
    <x v="0"/>
    <s v="DK1_Rural"/>
    <x v="2"/>
    <x v="1"/>
    <s v="GNR_ENG_NGAS_BP_E-37"/>
    <n v="0.1186031"/>
    <n v="0.42697116000000002"/>
  </r>
  <r>
    <x v="0"/>
    <x v="0"/>
    <x v="0"/>
    <x v="0"/>
    <x v="0"/>
    <s v="DK1_Rural"/>
    <x v="2"/>
    <x v="1"/>
    <s v="GNR_ENG_NGAS_BP_E-38"/>
    <n v="0.34898823213769697"/>
    <n v="1.25635763569571"/>
  </r>
  <r>
    <x v="0"/>
    <x v="0"/>
    <x v="0"/>
    <x v="0"/>
    <x v="0"/>
    <s v="DK1_Rural"/>
    <x v="2"/>
    <x v="1"/>
    <s v="GNR_ENG_NGAS_BP_E-39"/>
    <n v="0.43061969999999999"/>
    <n v="1.55023092"/>
  </r>
  <r>
    <x v="0"/>
    <x v="0"/>
    <x v="0"/>
    <x v="0"/>
    <x v="0"/>
    <s v="DK1_Rural"/>
    <x v="2"/>
    <x v="1"/>
    <s v="GNR_ENG_NGAS_BP_E-40"/>
    <n v="0.59243515000000002"/>
    <n v="2.13276654"/>
  </r>
  <r>
    <x v="0"/>
    <x v="0"/>
    <x v="0"/>
    <x v="0"/>
    <x v="0"/>
    <s v="DK1_Rural"/>
    <x v="2"/>
    <x v="1"/>
    <s v="GNR_ENG_NGAS_BP_E-41"/>
    <n v="0.89720884645650001"/>
    <n v="3.2299518472434001"/>
  </r>
  <r>
    <x v="0"/>
    <x v="0"/>
    <x v="0"/>
    <x v="0"/>
    <x v="0"/>
    <s v="DK1_Rural"/>
    <x v="2"/>
    <x v="1"/>
    <s v="GNR_ENG_NGAS_BP_E-42"/>
    <n v="0.67225992000000001"/>
    <n v="2.420135712"/>
  </r>
  <r>
    <x v="0"/>
    <x v="0"/>
    <x v="0"/>
    <x v="0"/>
    <x v="0"/>
    <s v="DK1_Rural"/>
    <x v="2"/>
    <x v="1"/>
    <s v="GNR_ENG_NGAS_BP_E-43"/>
    <n v="0.42514032000000002"/>
    <n v="1.5305051519999999"/>
  </r>
  <r>
    <x v="0"/>
    <x v="0"/>
    <x v="0"/>
    <x v="0"/>
    <x v="0"/>
    <s v="DK1_Rural"/>
    <x v="2"/>
    <x v="1"/>
    <s v="GNR_ENG_NGAS_BP_E-44"/>
    <n v="0.47330280000000002"/>
    <n v="1.7038900800000001"/>
  </r>
  <r>
    <x v="0"/>
    <x v="0"/>
    <x v="0"/>
    <x v="0"/>
    <x v="0"/>
    <s v="DK1_Rural"/>
    <x v="2"/>
    <x v="1"/>
    <s v="GNR_ENG_NGAS_BP_E-45"/>
    <n v="9.1454400000000005E-2"/>
    <n v="0.32923584"/>
  </r>
  <r>
    <x v="0"/>
    <x v="0"/>
    <x v="0"/>
    <x v="0"/>
    <x v="0"/>
    <s v="DK1_Rural"/>
    <x v="2"/>
    <x v="1"/>
    <s v="GNR_ENG_NGAS_BP_E-46"/>
    <n v="0.1895664"/>
    <n v="0.68243904"/>
  </r>
  <r>
    <x v="0"/>
    <x v="0"/>
    <x v="0"/>
    <x v="0"/>
    <x v="0"/>
    <s v="DK1_Rural"/>
    <x v="2"/>
    <x v="1"/>
    <s v="GNR_ENG_NGAS_BP_E-47"/>
    <n v="3.2412000000000003E-2"/>
    <n v="0.1166832"/>
  </r>
  <r>
    <x v="0"/>
    <x v="0"/>
    <x v="0"/>
    <x v="0"/>
    <x v="0"/>
    <s v="DK1_Rural"/>
    <x v="2"/>
    <x v="1"/>
    <s v="GNR_GT_NGAS_BP_E-28"/>
    <n v="1.0803999999999999E-2"/>
    <n v="3.8894400000000003E-2"/>
  </r>
  <r>
    <x v="0"/>
    <x v="0"/>
    <x v="0"/>
    <x v="0"/>
    <x v="0"/>
    <s v="DK1_Rural"/>
    <x v="2"/>
    <x v="1"/>
    <s v="GNR_GT_NGAS_BP_E-30"/>
    <n v="1.1497500000000001E-2"/>
    <n v="4.1390999999999997E-2"/>
  </r>
  <r>
    <x v="0"/>
    <x v="0"/>
    <x v="0"/>
    <x v="0"/>
    <x v="0"/>
    <s v="DK1_Rural"/>
    <x v="2"/>
    <x v="1"/>
    <s v="GNR_GT_NGAS_BP_E-41"/>
    <n v="5.2560000000000003E-2"/>
    <n v="0.189216"/>
  </r>
  <r>
    <x v="0"/>
    <x v="0"/>
    <x v="0"/>
    <x v="0"/>
    <x v="0"/>
    <s v="DK1_Rural"/>
    <x v="3"/>
    <x v="1"/>
    <s v="GNR_ST_STRW_BP_E-26"/>
    <n v="1.9007629077522899E-2"/>
    <n v="6.8427464679082506E-2"/>
  </r>
  <r>
    <x v="0"/>
    <x v="0"/>
    <x v="0"/>
    <x v="0"/>
    <x v="0"/>
    <s v="DK1_Rural"/>
    <x v="4"/>
    <x v="1"/>
    <s v="GNR_ST_WOODCHI_BP_E-27"/>
    <n v="6.862E-3"/>
    <n v="2.4703200000000002E-2"/>
  </r>
  <r>
    <x v="0"/>
    <x v="0"/>
    <x v="0"/>
    <x v="0"/>
    <x v="0"/>
    <s v="DK1_Rural"/>
    <x v="8"/>
    <x v="1"/>
    <s v="GNR_ST_WOODPEL_BP_E-30"/>
    <n v="2.0914499999999999E-3"/>
    <n v="7.5292199999999997E-3"/>
  </r>
  <r>
    <x v="0"/>
    <x v="0"/>
    <x v="0"/>
    <x v="0"/>
    <x v="0"/>
    <s v="DK1_Small"/>
    <x v="1"/>
    <x v="1"/>
    <s v="GNR_ST_MSW_BP_E-20"/>
    <n v="5.2742500000000003E-3"/>
    <n v="1.8987299999999999E-2"/>
  </r>
  <r>
    <x v="0"/>
    <x v="0"/>
    <x v="0"/>
    <x v="0"/>
    <x v="0"/>
    <s v="DK1_Small"/>
    <x v="2"/>
    <x v="1"/>
    <s v="GNR_ENG_NGAS_BP_E-38"/>
    <n v="3.40764E-2"/>
    <n v="0.12267504"/>
  </r>
  <r>
    <x v="0"/>
    <x v="0"/>
    <x v="0"/>
    <x v="0"/>
    <x v="0"/>
    <s v="DK1_Small"/>
    <x v="2"/>
    <x v="1"/>
    <s v="GNR_ENG_NGAS_BP_E-39"/>
    <n v="6.4824000000000001E-3"/>
    <n v="2.3336639999999999E-2"/>
  </r>
  <r>
    <x v="0"/>
    <x v="0"/>
    <x v="0"/>
    <x v="0"/>
    <x v="0"/>
    <s v="DK1_Small"/>
    <x v="2"/>
    <x v="1"/>
    <s v="GNR_ENG_NGAS_BP_E-41"/>
    <n v="1.29648E-2"/>
    <n v="4.6673279999999998E-2"/>
  </r>
  <r>
    <x v="0"/>
    <x v="0"/>
    <x v="0"/>
    <x v="0"/>
    <x v="0"/>
    <s v="DK1_Small"/>
    <x v="2"/>
    <x v="1"/>
    <s v="GNR_ENG_NGAS_BP_E-42"/>
    <n v="0.123516"/>
    <n v="0.44465759999999999"/>
  </r>
  <r>
    <x v="0"/>
    <x v="0"/>
    <x v="0"/>
    <x v="0"/>
    <x v="0"/>
    <s v="DK1_Small"/>
    <x v="2"/>
    <x v="1"/>
    <s v="GNR_GT_NGAS_BP_E-31"/>
    <n v="2.9419000000000001E-2"/>
    <n v="0.1059084"/>
  </r>
  <r>
    <x v="0"/>
    <x v="0"/>
    <x v="0"/>
    <x v="0"/>
    <x v="1"/>
    <s v="DK2_Large"/>
    <x v="9"/>
    <x v="1"/>
    <s v="GNR_ENG_BGAS_BP_E-42"/>
    <n v="1.0009395000000001E-2"/>
    <n v="3.6033822E-2"/>
  </r>
  <r>
    <x v="0"/>
    <x v="0"/>
    <x v="0"/>
    <x v="0"/>
    <x v="1"/>
    <s v="DK2_Large"/>
    <x v="0"/>
    <x v="0"/>
    <s v="GNR_ST_COAL_EXT_E-42"/>
    <n v="0.57689757877479597"/>
    <n v="2.0768312835892702"/>
  </r>
  <r>
    <x v="0"/>
    <x v="0"/>
    <x v="0"/>
    <x v="0"/>
    <x v="1"/>
    <s v="DK2_Large"/>
    <x v="1"/>
    <x v="1"/>
    <s v="GNR_ST_MSW_BP_E-16"/>
    <n v="0.24965999999999999"/>
    <n v="0.89877600000000002"/>
  </r>
  <r>
    <x v="0"/>
    <x v="0"/>
    <x v="0"/>
    <x v="0"/>
    <x v="1"/>
    <s v="DK2_Large"/>
    <x v="1"/>
    <x v="1"/>
    <s v="GNR_ST_MSW_BP_E-20"/>
    <n v="0.34164"/>
    <n v="1.2299040000000001"/>
  </r>
  <r>
    <x v="0"/>
    <x v="0"/>
    <x v="0"/>
    <x v="0"/>
    <x v="1"/>
    <s v="DK2_Large"/>
    <x v="1"/>
    <x v="1"/>
    <s v="GNR_ST_MSW_BP_E-21"/>
    <n v="0.12001199999999999"/>
    <n v="0.43204320000000002"/>
  </r>
  <r>
    <x v="0"/>
    <x v="0"/>
    <x v="0"/>
    <x v="0"/>
    <x v="1"/>
    <s v="DK2_Large"/>
    <x v="1"/>
    <x v="1"/>
    <s v="GNR_ST_MSW_BP_E-27"/>
    <n v="0.16994400000000001"/>
    <n v="0.61179839999999996"/>
  </r>
  <r>
    <x v="0"/>
    <x v="0"/>
    <x v="0"/>
    <x v="0"/>
    <x v="1"/>
    <s v="DK2_Large"/>
    <x v="2"/>
    <x v="1"/>
    <s v="GNR_ENG_NGAS_BP_E-34"/>
    <n v="8.5848000000000001E-3"/>
    <n v="3.090528E-2"/>
  </r>
  <r>
    <x v="0"/>
    <x v="0"/>
    <x v="0"/>
    <x v="0"/>
    <x v="1"/>
    <s v="DK2_Large"/>
    <x v="2"/>
    <x v="1"/>
    <s v="GNR_ENG_NGAS_BP_E-36"/>
    <n v="2.4528000000000001E-2"/>
    <n v="8.8300799999999999E-2"/>
  </r>
  <r>
    <x v="0"/>
    <x v="0"/>
    <x v="0"/>
    <x v="0"/>
    <x v="1"/>
    <s v="DK2_Large"/>
    <x v="2"/>
    <x v="1"/>
    <s v="GNR_ENG_NGAS_BP_E-38"/>
    <n v="3.5215200000000002E-2"/>
    <n v="0.12677472000000001"/>
  </r>
  <r>
    <x v="0"/>
    <x v="0"/>
    <x v="0"/>
    <x v="0"/>
    <x v="1"/>
    <s v="DK2_Large"/>
    <x v="2"/>
    <x v="1"/>
    <s v="GNR_ENG_NGAS_BP_E-40"/>
    <n v="4.8180000000000001E-2"/>
    <n v="0.17344799999999999"/>
  </r>
  <r>
    <x v="0"/>
    <x v="0"/>
    <x v="0"/>
    <x v="0"/>
    <x v="1"/>
    <s v="DK2_Large"/>
    <x v="2"/>
    <x v="1"/>
    <s v="GNR_GT_NGAS_BP_E-36"/>
    <n v="0.203232"/>
    <n v="0.73163520000000004"/>
  </r>
  <r>
    <x v="0"/>
    <x v="0"/>
    <x v="0"/>
    <x v="0"/>
    <x v="1"/>
    <s v="DK2_Large"/>
    <x v="2"/>
    <x v="1"/>
    <s v="GNR_ST_NGAS_BP_E-39"/>
    <n v="0.71831999999999996"/>
    <n v="2.5859519999999998"/>
  </r>
  <r>
    <x v="0"/>
    <x v="0"/>
    <x v="0"/>
    <x v="0"/>
    <x v="1"/>
    <s v="DK2_Large"/>
    <x v="4"/>
    <x v="1"/>
    <s v="GNR_ST_WOODCHI_BP_E-24"/>
    <n v="9.6360000000000001E-2"/>
    <n v="0.34689599999999998"/>
  </r>
  <r>
    <x v="0"/>
    <x v="0"/>
    <x v="0"/>
    <x v="0"/>
    <x v="1"/>
    <s v="DK2_Large"/>
    <x v="4"/>
    <x v="1"/>
    <s v="GNR_ST_WOODCHI_BP_E-27"/>
    <n v="0.13139999999999999"/>
    <n v="0.47304000000000002"/>
  </r>
  <r>
    <x v="0"/>
    <x v="0"/>
    <x v="0"/>
    <x v="0"/>
    <x v="1"/>
    <s v="DK2_Large"/>
    <x v="8"/>
    <x v="0"/>
    <s v="GNR_ST_WOODPEL_EXT_E-50"/>
    <n v="4.4998550848459402"/>
    <n v="16.1994783054454"/>
  </r>
  <r>
    <x v="0"/>
    <x v="0"/>
    <x v="0"/>
    <x v="0"/>
    <x v="1"/>
    <s v="DK2_MedSmall"/>
    <x v="1"/>
    <x v="1"/>
    <s v="GNR_ST_MSW_BP_E-21"/>
    <n v="2.9346000000000001E-2"/>
    <n v="0.10564560000000001"/>
  </r>
  <r>
    <x v="0"/>
    <x v="0"/>
    <x v="0"/>
    <x v="0"/>
    <x v="1"/>
    <s v="DK2_MedSmall"/>
    <x v="1"/>
    <x v="1"/>
    <s v="GNR_ST_MSW_BP_E-25"/>
    <n v="4.9427862568171901E-2"/>
    <n v="0.17794030524541901"/>
  </r>
  <r>
    <x v="0"/>
    <x v="0"/>
    <x v="0"/>
    <x v="0"/>
    <x v="1"/>
    <s v="DK2_MedSmall"/>
    <x v="1"/>
    <x v="1"/>
    <s v="GNR_ST_MSW_BP_E-28"/>
    <n v="7.8710865263926205E-2"/>
    <n v="0.28335911495013499"/>
  </r>
  <r>
    <x v="0"/>
    <x v="0"/>
    <x v="0"/>
    <x v="0"/>
    <x v="1"/>
    <s v="DK2_MedSmall"/>
    <x v="2"/>
    <x v="1"/>
    <s v="GNR_ENG_NGAS_BP_E-40"/>
    <n v="1.29648E-2"/>
    <n v="4.6673279999999998E-2"/>
  </r>
  <r>
    <x v="0"/>
    <x v="0"/>
    <x v="0"/>
    <x v="0"/>
    <x v="1"/>
    <s v="DK2_MedSmall"/>
    <x v="2"/>
    <x v="1"/>
    <s v="GNR_ENG_NGAS_BP_E-42"/>
    <n v="2.7156E-2"/>
    <n v="9.7761600000000004E-2"/>
  </r>
  <r>
    <x v="0"/>
    <x v="0"/>
    <x v="0"/>
    <x v="0"/>
    <x v="1"/>
    <s v="DK2_Medium"/>
    <x v="0"/>
    <x v="0"/>
    <s v="GNR_ST_COAL_EXT_E-41"/>
    <n v="0.39127447636150198"/>
    <n v="1.4085881149014099"/>
  </r>
  <r>
    <x v="0"/>
    <x v="0"/>
    <x v="0"/>
    <x v="0"/>
    <x v="1"/>
    <s v="DK2_Medium"/>
    <x v="1"/>
    <x v="1"/>
    <s v="GNR_ST_MSW_BP_E-23"/>
    <n v="2.8217804867107701E-2"/>
    <n v="0.10158409752158799"/>
  </r>
  <r>
    <x v="0"/>
    <x v="0"/>
    <x v="0"/>
    <x v="0"/>
    <x v="1"/>
    <s v="DK2_Medium"/>
    <x v="1"/>
    <x v="1"/>
    <s v="GNR_ST_MSW_BP_E-25"/>
    <n v="2.7009999999999999E-2"/>
    <n v="9.7236000000000003E-2"/>
  </r>
  <r>
    <x v="0"/>
    <x v="0"/>
    <x v="0"/>
    <x v="0"/>
    <x v="1"/>
    <s v="DK2_Medium"/>
    <x v="2"/>
    <x v="1"/>
    <s v="GNR_ENG_NGAS_BP_E-33"/>
    <n v="5.11E-3"/>
    <n v="1.8395999999999999E-2"/>
  </r>
  <r>
    <x v="0"/>
    <x v="0"/>
    <x v="0"/>
    <x v="0"/>
    <x v="1"/>
    <s v="DK2_Medium"/>
    <x v="2"/>
    <x v="1"/>
    <s v="GNR_ENG_NGAS_BP_E-35"/>
    <n v="1.7520000000000001E-2"/>
    <n v="6.3072000000000003E-2"/>
  </r>
  <r>
    <x v="0"/>
    <x v="0"/>
    <x v="0"/>
    <x v="0"/>
    <x v="1"/>
    <s v="DK2_Medium"/>
    <x v="2"/>
    <x v="1"/>
    <s v="GNR_ENG_NGAS_BP_E-38"/>
    <n v="8.4971999999999999E-3"/>
    <n v="3.058992E-2"/>
  </r>
  <r>
    <x v="0"/>
    <x v="0"/>
    <x v="0"/>
    <x v="0"/>
    <x v="1"/>
    <s v="DK2_Medium"/>
    <x v="2"/>
    <x v="1"/>
    <s v="GNR_ENG_NGAS_BP_E-39"/>
    <n v="9.8637600000000006E-2"/>
    <n v="0.35509536000000003"/>
  </r>
  <r>
    <x v="0"/>
    <x v="0"/>
    <x v="0"/>
    <x v="0"/>
    <x v="1"/>
    <s v="DK2_Medium"/>
    <x v="2"/>
    <x v="1"/>
    <s v="GNR_ENG_NGAS_BP_E-41"/>
    <n v="2.7156E-2"/>
    <n v="9.7761600000000004E-2"/>
  </r>
  <r>
    <x v="0"/>
    <x v="0"/>
    <x v="0"/>
    <x v="0"/>
    <x v="1"/>
    <s v="DK2_Medium"/>
    <x v="2"/>
    <x v="1"/>
    <s v="GNR_ENG_NGAS_BP_E-42"/>
    <n v="1.7520000000000001E-2"/>
    <n v="6.3072000000000003E-2"/>
  </r>
  <r>
    <x v="0"/>
    <x v="0"/>
    <x v="0"/>
    <x v="0"/>
    <x v="1"/>
    <s v="DK2_Medium"/>
    <x v="2"/>
    <x v="1"/>
    <s v="GNR_GT_NGAS_BP_E-42"/>
    <n v="0.51683999999999997"/>
    <n v="1.8606240000000001"/>
  </r>
  <r>
    <x v="0"/>
    <x v="0"/>
    <x v="0"/>
    <x v="0"/>
    <x v="1"/>
    <s v="DK2_Medium"/>
    <x v="2"/>
    <x v="1"/>
    <s v="GNR_GT_NGAS_BP_E-44"/>
    <n v="0.67452000000000001"/>
    <n v="2.4282720000000002"/>
  </r>
  <r>
    <x v="0"/>
    <x v="0"/>
    <x v="0"/>
    <x v="0"/>
    <x v="1"/>
    <s v="DK2_Medium"/>
    <x v="4"/>
    <x v="1"/>
    <s v="GNR_ST_WOODCHI_BP_E-27"/>
    <n v="1.2045000000000001E-3"/>
    <n v="4.3362000000000001E-3"/>
  </r>
  <r>
    <x v="0"/>
    <x v="0"/>
    <x v="0"/>
    <x v="0"/>
    <x v="1"/>
    <s v="DK2_NoDH"/>
    <x v="2"/>
    <x v="1"/>
    <s v="GNR_ENG_NGAS_BP_E-33"/>
    <n v="8.1759999999999992E-3"/>
    <n v="2.9433600000000001E-2"/>
  </r>
  <r>
    <x v="0"/>
    <x v="0"/>
    <x v="0"/>
    <x v="0"/>
    <x v="1"/>
    <s v="DK2_NoDH"/>
    <x v="2"/>
    <x v="1"/>
    <s v="GNR_ENG_NGAS_BP_E-34"/>
    <n v="3.6908799999999999E-2"/>
    <n v="0.13287167999999999"/>
  </r>
  <r>
    <x v="0"/>
    <x v="0"/>
    <x v="0"/>
    <x v="0"/>
    <x v="1"/>
    <s v="DK2_NoDH"/>
    <x v="2"/>
    <x v="1"/>
    <s v="GNR_ENG_NGAS_BP_E-35"/>
    <n v="3.2390099999999998E-2"/>
    <n v="0.11660436"/>
  </r>
  <r>
    <x v="0"/>
    <x v="0"/>
    <x v="0"/>
    <x v="0"/>
    <x v="1"/>
    <s v="DK2_NoDH"/>
    <x v="2"/>
    <x v="1"/>
    <s v="GNR_ENG_NGAS_BP_E-36"/>
    <n v="2.963435E-2"/>
    <n v="0.10668366"/>
  </r>
  <r>
    <x v="0"/>
    <x v="0"/>
    <x v="0"/>
    <x v="0"/>
    <x v="1"/>
    <s v="DK2_NoDH"/>
    <x v="2"/>
    <x v="1"/>
    <s v="GNR_ENG_NGAS_BP_E-37"/>
    <n v="2.3673900000000001E-2"/>
    <n v="8.5226040000000003E-2"/>
  </r>
  <r>
    <x v="0"/>
    <x v="0"/>
    <x v="0"/>
    <x v="0"/>
    <x v="1"/>
    <s v="DK2_NoDH"/>
    <x v="2"/>
    <x v="1"/>
    <s v="GNR_ENG_NGAS_BP_E-38"/>
    <n v="3.2937599999999997E-2"/>
    <n v="0.11857536"/>
  </r>
  <r>
    <x v="0"/>
    <x v="0"/>
    <x v="0"/>
    <x v="0"/>
    <x v="1"/>
    <s v="DK2_NoDH"/>
    <x v="2"/>
    <x v="1"/>
    <s v="GNR_ENG_NGAS_BP_E-39"/>
    <n v="7.1393999999999999E-2"/>
    <n v="0.25701839999999998"/>
  </r>
  <r>
    <x v="0"/>
    <x v="0"/>
    <x v="0"/>
    <x v="0"/>
    <x v="1"/>
    <s v="DK2_NoDH"/>
    <x v="2"/>
    <x v="1"/>
    <s v="GNR_ENG_NGAS_BP_E-40"/>
    <n v="7.0342799999999997E-2"/>
    <n v="0.25323407999999997"/>
  </r>
  <r>
    <x v="0"/>
    <x v="0"/>
    <x v="0"/>
    <x v="0"/>
    <x v="1"/>
    <s v="DK2_NoDH"/>
    <x v="2"/>
    <x v="1"/>
    <s v="GNR_ENG_NGAS_BP_E-41"/>
    <n v="0.1441896"/>
    <n v="0.51908255999999997"/>
  </r>
  <r>
    <x v="0"/>
    <x v="0"/>
    <x v="0"/>
    <x v="0"/>
    <x v="1"/>
    <s v="DK2_NoDH"/>
    <x v="2"/>
    <x v="1"/>
    <s v="GNR_ENG_NGAS_BP_E-46"/>
    <n v="8.2694400000000001E-2"/>
    <n v="0.29769983999999999"/>
  </r>
  <r>
    <x v="0"/>
    <x v="0"/>
    <x v="0"/>
    <x v="0"/>
    <x v="1"/>
    <s v="DK2_NoDH"/>
    <x v="2"/>
    <x v="1"/>
    <s v="GNR_GT_NGAS_BP_E-28"/>
    <n v="1.7885000000000002E-2"/>
    <n v="6.4385999999999999E-2"/>
  </r>
  <r>
    <x v="0"/>
    <x v="0"/>
    <x v="0"/>
    <x v="0"/>
    <x v="1"/>
    <s v="DK2_NoDH"/>
    <x v="2"/>
    <x v="1"/>
    <s v="GNR_ST_NGAS_BP_E-39"/>
    <n v="5.1596400000000001E-2"/>
    <n v="0.18574704"/>
  </r>
  <r>
    <x v="0"/>
    <x v="0"/>
    <x v="0"/>
    <x v="0"/>
    <x v="1"/>
    <s v="DK2_NoDH"/>
    <x v="5"/>
    <x v="3"/>
    <s v="GNR_PV_SUN"/>
    <n v="0.29146560783759401"/>
    <n v="1.0492761882153401"/>
  </r>
  <r>
    <x v="0"/>
    <x v="0"/>
    <x v="0"/>
    <x v="0"/>
    <x v="1"/>
    <s v="DK2_NoDH"/>
    <x v="6"/>
    <x v="4"/>
    <s v="GNR_ROR_WTR"/>
    <n v="7.2297909610526402E-5"/>
    <n v="2.6027247459789498E-4"/>
  </r>
  <r>
    <x v="0"/>
    <x v="0"/>
    <x v="0"/>
    <x v="0"/>
    <x v="1"/>
    <s v="DK2_NoDH"/>
    <x v="7"/>
    <x v="5"/>
    <s v="GNR_WT_WIND_ONS"/>
    <n v="1.8714861274999901"/>
    <n v="6.7373500589999802"/>
  </r>
  <r>
    <x v="0"/>
    <x v="0"/>
    <x v="0"/>
    <x v="0"/>
    <x v="1"/>
    <s v="DK2_Offshore"/>
    <x v="7"/>
    <x v="5"/>
    <s v="GNR_WT_WIND_OFF"/>
    <n v="1.946472"/>
    <n v="7.0072992000000198"/>
  </r>
  <r>
    <x v="0"/>
    <x v="0"/>
    <x v="0"/>
    <x v="0"/>
    <x v="1"/>
    <s v="DK2_Rural"/>
    <x v="9"/>
    <x v="1"/>
    <s v="GNR_ENG_BGAS_BP_E-39"/>
    <n v="1.1059500000000001E-3"/>
    <n v="3.9814200000000003E-3"/>
  </r>
  <r>
    <x v="0"/>
    <x v="0"/>
    <x v="0"/>
    <x v="0"/>
    <x v="1"/>
    <s v="DK2_Rural"/>
    <x v="9"/>
    <x v="1"/>
    <s v="GNR_ENG_BGAS_BP_E-40"/>
    <n v="9.6725000000000001E-4"/>
    <n v="3.4821000000000001E-3"/>
  </r>
  <r>
    <x v="0"/>
    <x v="0"/>
    <x v="0"/>
    <x v="0"/>
    <x v="1"/>
    <s v="DK2_Rural"/>
    <x v="9"/>
    <x v="1"/>
    <s v="GNR_ENG_BGAS_BP_E-41"/>
    <n v="6.5700000000000003E-3"/>
    <n v="2.3651999999999999E-2"/>
  </r>
  <r>
    <x v="0"/>
    <x v="0"/>
    <x v="0"/>
    <x v="0"/>
    <x v="1"/>
    <s v="DK2_Rural"/>
    <x v="9"/>
    <x v="1"/>
    <s v="GNR_ENG_BGAS_BP_E-42"/>
    <n v="1.8836189999999999E-2"/>
    <n v="6.7810283999999998E-2"/>
  </r>
  <r>
    <x v="0"/>
    <x v="0"/>
    <x v="0"/>
    <x v="0"/>
    <x v="1"/>
    <s v="DK2_Rural"/>
    <x v="0"/>
    <x v="1"/>
    <s v="GNR_ST_COAL_BP_E-35"/>
    <n v="4.0515000000000002E-2"/>
    <n v="0.14585400000000001"/>
  </r>
  <r>
    <x v="0"/>
    <x v="0"/>
    <x v="0"/>
    <x v="0"/>
    <x v="1"/>
    <s v="DK2_Rural"/>
    <x v="2"/>
    <x v="1"/>
    <s v="GNR_ENG_NGAS_BP_E-33"/>
    <n v="6.0181199999999997E-2"/>
    <n v="0.21665232000000001"/>
  </r>
  <r>
    <x v="0"/>
    <x v="0"/>
    <x v="0"/>
    <x v="0"/>
    <x v="1"/>
    <s v="DK2_Rural"/>
    <x v="2"/>
    <x v="1"/>
    <s v="GNR_ENG_NGAS_BP_E-34"/>
    <n v="3.4777200000000001E-2"/>
    <n v="0.12519791999999999"/>
  </r>
  <r>
    <x v="0"/>
    <x v="0"/>
    <x v="0"/>
    <x v="0"/>
    <x v="1"/>
    <s v="DK2_Rural"/>
    <x v="2"/>
    <x v="1"/>
    <s v="GNR_ENG_NGAS_BP_E-35"/>
    <n v="6.3860399999999998E-2"/>
    <n v="0.22989744000000001"/>
  </r>
  <r>
    <x v="0"/>
    <x v="0"/>
    <x v="0"/>
    <x v="0"/>
    <x v="1"/>
    <s v="DK2_Rural"/>
    <x v="2"/>
    <x v="1"/>
    <s v="GNR_ENG_NGAS_BP_E-36"/>
    <n v="1.1519400000000001E-2"/>
    <n v="4.1469840000000001E-2"/>
  </r>
  <r>
    <x v="0"/>
    <x v="0"/>
    <x v="0"/>
    <x v="0"/>
    <x v="1"/>
    <s v="DK2_Rural"/>
    <x v="2"/>
    <x v="1"/>
    <s v="GNR_ENG_NGAS_BP_E-37"/>
    <n v="1.5855600000000001E-2"/>
    <n v="5.7080159999999998E-2"/>
  </r>
  <r>
    <x v="0"/>
    <x v="0"/>
    <x v="0"/>
    <x v="0"/>
    <x v="1"/>
    <s v="DK2_Rural"/>
    <x v="2"/>
    <x v="1"/>
    <s v="GNR_ENG_NGAS_BP_E-38"/>
    <n v="2.7900600000000001E-2"/>
    <n v="0.10044216"/>
  </r>
  <r>
    <x v="0"/>
    <x v="0"/>
    <x v="0"/>
    <x v="0"/>
    <x v="1"/>
    <s v="DK2_Rural"/>
    <x v="2"/>
    <x v="1"/>
    <s v="GNR_ENG_NGAS_BP_E-39"/>
    <n v="0.22863600000000001"/>
    <n v="0.82308959999999998"/>
  </r>
  <r>
    <x v="0"/>
    <x v="0"/>
    <x v="0"/>
    <x v="0"/>
    <x v="1"/>
    <s v="DK2_Rural"/>
    <x v="2"/>
    <x v="1"/>
    <s v="GNR_ENG_NGAS_BP_E-40"/>
    <n v="0.23038800000000001"/>
    <n v="0.82939680000000005"/>
  </r>
  <r>
    <x v="0"/>
    <x v="0"/>
    <x v="0"/>
    <x v="0"/>
    <x v="1"/>
    <s v="DK2_Rural"/>
    <x v="2"/>
    <x v="1"/>
    <s v="GNR_ENG_NGAS_BP_E-41"/>
    <n v="4.7619359999999999E-2"/>
    <n v="0.17142969599999999"/>
  </r>
  <r>
    <x v="0"/>
    <x v="0"/>
    <x v="0"/>
    <x v="0"/>
    <x v="1"/>
    <s v="DK2_Rural"/>
    <x v="2"/>
    <x v="1"/>
    <s v="GNR_ENG_NGAS_BP_E-42"/>
    <n v="1.3315199999999999E-2"/>
    <n v="4.793472E-2"/>
  </r>
  <r>
    <x v="0"/>
    <x v="0"/>
    <x v="0"/>
    <x v="0"/>
    <x v="1"/>
    <s v="DK2_Rural"/>
    <x v="2"/>
    <x v="1"/>
    <s v="GNR_ENG_NGAS_BP_E-43"/>
    <n v="2.1698519999999999E-2"/>
    <n v="7.8114671999999996E-2"/>
  </r>
  <r>
    <x v="0"/>
    <x v="0"/>
    <x v="0"/>
    <x v="0"/>
    <x v="1"/>
    <s v="DK2_Rural"/>
    <x v="2"/>
    <x v="1"/>
    <s v="GNR_ENG_NGAS_BP_E-45"/>
    <n v="4.3800000000000002E-3"/>
    <n v="1.5768000000000001E-2"/>
  </r>
  <r>
    <x v="0"/>
    <x v="0"/>
    <x v="0"/>
    <x v="0"/>
    <x v="1"/>
    <s v="DK2_Rural"/>
    <x v="2"/>
    <x v="1"/>
    <s v="GNR_ENG_NGAS_BP_E-46"/>
    <n v="4.8180000000000002E-3"/>
    <n v="1.73448E-2"/>
  </r>
  <r>
    <x v="0"/>
    <x v="0"/>
    <x v="0"/>
    <x v="0"/>
    <x v="1"/>
    <s v="DK2_Rural"/>
    <x v="3"/>
    <x v="1"/>
    <s v="GNR_ST_STRW_BP_E-24"/>
    <n v="4.3799999999999999E-2"/>
    <n v="0.15767999999999999"/>
  </r>
  <r>
    <x v="0"/>
    <x v="0"/>
    <x v="0"/>
    <x v="0"/>
    <x v="1"/>
    <s v="DK2_Rural"/>
    <x v="3"/>
    <x v="1"/>
    <s v="GNR_ST_STRW_BP_E-27"/>
    <n v="8.7424799999999997E-2"/>
    <n v="0.31472928"/>
  </r>
  <r>
    <x v="0"/>
    <x v="0"/>
    <x v="0"/>
    <x v="0"/>
    <x v="1"/>
    <s v="DK2_Rural"/>
    <x v="3"/>
    <x v="1"/>
    <s v="GNR_ST_STRW_BP_E-28"/>
    <n v="0.10074"/>
    <n v="0.36266399999999999"/>
  </r>
  <r>
    <x v="0"/>
    <x v="0"/>
    <x v="0"/>
    <x v="0"/>
    <x v="1"/>
    <s v="DK2_Small"/>
    <x v="2"/>
    <x v="1"/>
    <s v="GNR_ENG_NGAS_BP_E-46"/>
    <n v="0.33726"/>
    <n v="1.2141360000000001"/>
  </r>
  <r>
    <x v="0"/>
    <x v="0"/>
    <x v="0"/>
    <x v="1"/>
    <x v="2"/>
    <s v="EE_Enefit"/>
    <x v="10"/>
    <x v="2"/>
    <s v="ENEFIT_ST_RETORT-GAS_CND"/>
    <n v="0.107400199337013"/>
    <n v="0.38664071761324698"/>
  </r>
  <r>
    <x v="0"/>
    <x v="0"/>
    <x v="0"/>
    <x v="1"/>
    <x v="2"/>
    <s v="EE_Industry"/>
    <x v="10"/>
    <x v="0"/>
    <s v="GNR_ENG_RETORT-GAS_E-44"/>
    <n v="0.83220000000000005"/>
    <n v="2.9959199999999999"/>
  </r>
  <r>
    <x v="0"/>
    <x v="0"/>
    <x v="0"/>
    <x v="1"/>
    <x v="2"/>
    <s v="EE_Industry"/>
    <x v="11"/>
    <x v="1"/>
    <s v="IMAVERE_ST_WOOD_BP"/>
    <n v="3.6450478058099998E-2"/>
    <n v="0.13122172100915999"/>
  </r>
  <r>
    <x v="0"/>
    <x v="0"/>
    <x v="0"/>
    <x v="1"/>
    <x v="2"/>
    <s v="EE_Industry"/>
    <x v="11"/>
    <x v="1"/>
    <s v="OSULA_ST_WOOD_BP"/>
    <n v="3.2849999999999997E-2"/>
    <n v="0.11826"/>
  </r>
  <r>
    <x v="0"/>
    <x v="0"/>
    <x v="0"/>
    <x v="1"/>
    <x v="2"/>
    <s v="EE_Industry"/>
    <x v="12"/>
    <x v="1"/>
    <s v="GNR_ST_WOODWST_BP_E-53"/>
    <n v="0.11388"/>
    <n v="0.409968"/>
  </r>
  <r>
    <x v="0"/>
    <x v="0"/>
    <x v="0"/>
    <x v="1"/>
    <x v="2"/>
    <s v="EE_Kohtla_Jarve"/>
    <x v="2"/>
    <x v="0"/>
    <s v="GNR_ENG_NGAS_EXT_E-44"/>
    <n v="0.14016000000000001"/>
    <n v="0.50457600000000002"/>
  </r>
  <r>
    <x v="0"/>
    <x v="0"/>
    <x v="0"/>
    <x v="1"/>
    <x v="2"/>
    <s v="EE_Narva"/>
    <x v="13"/>
    <x v="0"/>
    <s v="NARVA-11_ST_SHALE_EXT"/>
    <n v="0.36084287559691702"/>
    <n v="1.2990343521489001"/>
  </r>
  <r>
    <x v="0"/>
    <x v="0"/>
    <x v="0"/>
    <x v="1"/>
    <x v="2"/>
    <s v="EE_Parnu"/>
    <x v="11"/>
    <x v="1"/>
    <s v="PARNU-1_ST_WOOD_BP"/>
    <n v="0.130590321924589"/>
    <n v="0.47012515892852202"/>
  </r>
  <r>
    <x v="0"/>
    <x v="0"/>
    <x v="0"/>
    <x v="1"/>
    <x v="2"/>
    <s v="EE_Rural"/>
    <x v="2"/>
    <x v="0"/>
    <s v="GNR_ENG_NGAS_EXT_E-44"/>
    <n v="1.0512000000000001E-2"/>
    <n v="3.78432E-2"/>
  </r>
  <r>
    <x v="0"/>
    <x v="0"/>
    <x v="0"/>
    <x v="1"/>
    <x v="2"/>
    <s v="EE_Rural"/>
    <x v="6"/>
    <x v="4"/>
    <s v="GNR_ROR_WTR"/>
    <n v="0.03"/>
    <n v="0.108"/>
  </r>
  <r>
    <x v="0"/>
    <x v="0"/>
    <x v="0"/>
    <x v="1"/>
    <x v="2"/>
    <s v="EE_Rural"/>
    <x v="7"/>
    <x v="5"/>
    <s v="GNR_WT_WIND_ONS"/>
    <n v="0.78061100000000005"/>
    <n v="2.8101995999999998"/>
  </r>
  <r>
    <x v="0"/>
    <x v="0"/>
    <x v="0"/>
    <x v="1"/>
    <x v="2"/>
    <s v="EE_Rural"/>
    <x v="12"/>
    <x v="1"/>
    <s v="EBAVERE_ST_WOODWST_BP"/>
    <n v="8.7599999999999997E-2"/>
    <n v="0.31535999999999997"/>
  </r>
  <r>
    <x v="0"/>
    <x v="0"/>
    <x v="0"/>
    <x v="1"/>
    <x v="2"/>
    <s v="EE_Sillamae"/>
    <x v="2"/>
    <x v="0"/>
    <s v="GNR_ENG_NGAS_EXT_E-44"/>
    <n v="8.7599999999999997E-2"/>
    <n v="0.31535999999999997"/>
  </r>
  <r>
    <x v="0"/>
    <x v="0"/>
    <x v="0"/>
    <x v="1"/>
    <x v="2"/>
    <s v="EE_Tallinn"/>
    <x v="1"/>
    <x v="1"/>
    <s v="IRU_ST_MSW_BP"/>
    <n v="0.14892"/>
    <n v="0.53611200000000003"/>
  </r>
  <r>
    <x v="0"/>
    <x v="0"/>
    <x v="0"/>
    <x v="1"/>
    <x v="2"/>
    <s v="EE_Tallinn"/>
    <x v="2"/>
    <x v="1"/>
    <s v="IRU_ST_NGAS_BP"/>
    <n v="0.66709693887548105"/>
    <n v="2.40154897995173"/>
  </r>
  <r>
    <x v="0"/>
    <x v="0"/>
    <x v="0"/>
    <x v="1"/>
    <x v="2"/>
    <s v="EE_Tallinn"/>
    <x v="2"/>
    <x v="0"/>
    <s v="GNR_ENG_NGAS_EXT_E-44"/>
    <n v="1.3140000000000001E-2"/>
    <n v="4.7303999999999999E-2"/>
  </r>
  <r>
    <x v="0"/>
    <x v="0"/>
    <x v="0"/>
    <x v="1"/>
    <x v="2"/>
    <s v="EE_Tallinn"/>
    <x v="11"/>
    <x v="1"/>
    <s v="MUSTAMAE_ST_WOOD_BP"/>
    <n v="3.7820133206590299E-2"/>
    <n v="0.136152479543725"/>
  </r>
  <r>
    <x v="0"/>
    <x v="0"/>
    <x v="0"/>
    <x v="1"/>
    <x v="2"/>
    <s v="EE_Tallinn"/>
    <x v="11"/>
    <x v="1"/>
    <s v="VAO-1_ST_WOOD_BP"/>
    <n v="0.219"/>
    <n v="0.78839999999999999"/>
  </r>
  <r>
    <x v="0"/>
    <x v="0"/>
    <x v="0"/>
    <x v="1"/>
    <x v="2"/>
    <s v="EE_Tallinn"/>
    <x v="11"/>
    <x v="1"/>
    <s v="VAO-2_ST_WOOD_BP"/>
    <n v="0.171418191739235"/>
    <n v="0.61710549026124395"/>
  </r>
  <r>
    <x v="0"/>
    <x v="0"/>
    <x v="0"/>
    <x v="1"/>
    <x v="2"/>
    <s v="EE_Tartu"/>
    <x v="11"/>
    <x v="1"/>
    <s v="TARTU-1_ST_WOOD_BP"/>
    <n v="0.19272"/>
    <n v="0.69379199999999996"/>
  </r>
  <r>
    <x v="0"/>
    <x v="0"/>
    <x v="0"/>
    <x v="1"/>
    <x v="2"/>
    <s v="EE_Urban"/>
    <x v="2"/>
    <x v="0"/>
    <s v="GNR_ENG_NGAS_EXT_E-44"/>
    <n v="7.8840000000000004E-3"/>
    <n v="2.8382399999999999E-2"/>
  </r>
  <r>
    <x v="0"/>
    <x v="0"/>
    <x v="0"/>
    <x v="1"/>
    <x v="2"/>
    <s v="EE_Urban"/>
    <x v="11"/>
    <x v="1"/>
    <s v="GNR_ST_WOOD_BP_E-53"/>
    <n v="0.10512000000000001"/>
    <n v="0.37843199999999999"/>
  </r>
  <r>
    <x v="0"/>
    <x v="0"/>
    <x v="0"/>
    <x v="2"/>
    <x v="3"/>
    <s v="FIN_EL"/>
    <x v="2"/>
    <x v="1"/>
    <s v="GBPR_NATGAS_FINEL"/>
    <n v="0.71131200000000006"/>
    <n v="2.5607232"/>
  </r>
  <r>
    <x v="0"/>
    <x v="0"/>
    <x v="0"/>
    <x v="2"/>
    <x v="3"/>
    <s v="FIN_EL"/>
    <x v="2"/>
    <x v="0"/>
    <s v="GEXT_NATGAS_MERTANIEMI"/>
    <n v="0.90227999999999997"/>
    <n v="3.248208"/>
  </r>
  <r>
    <x v="0"/>
    <x v="0"/>
    <x v="0"/>
    <x v="2"/>
    <x v="3"/>
    <s v="FIN_EL"/>
    <x v="4"/>
    <x v="1"/>
    <s v="GBPR_WOODCHIPS"/>
    <n v="0.210666166253277"/>
    <n v="0.75839819851179802"/>
  </r>
  <r>
    <x v="0"/>
    <x v="0"/>
    <x v="0"/>
    <x v="2"/>
    <x v="3"/>
    <s v="FIN_EL"/>
    <x v="12"/>
    <x v="1"/>
    <s v="GBPR_WOODWASTE_FINEL"/>
    <n v="0.96360000000000001"/>
    <n v="3.46896"/>
  </r>
  <r>
    <x v="0"/>
    <x v="0"/>
    <x v="0"/>
    <x v="2"/>
    <x v="3"/>
    <s v="FIN_ESPOO"/>
    <x v="2"/>
    <x v="1"/>
    <s v="GBPR_NATGAS_SUOMENOJA"/>
    <n v="0.42924000000000001"/>
    <n v="1.545264"/>
  </r>
  <r>
    <x v="0"/>
    <x v="0"/>
    <x v="0"/>
    <x v="2"/>
    <x v="3"/>
    <s v="FIN_ESPOO"/>
    <x v="2"/>
    <x v="1"/>
    <s v="GBPR_NATGAS_SUOMENOJA2"/>
    <n v="2.0498400000000001"/>
    <n v="7.3794240000000002"/>
  </r>
  <r>
    <x v="0"/>
    <x v="0"/>
    <x v="0"/>
    <x v="2"/>
    <x v="3"/>
    <s v="FIN_GAS"/>
    <x v="2"/>
    <x v="1"/>
    <s v="GBPR_NATGAS_GASAREA"/>
    <n v="0.51683999999999997"/>
    <n v="1.8606240000000001"/>
  </r>
  <r>
    <x v="0"/>
    <x v="0"/>
    <x v="0"/>
    <x v="2"/>
    <x v="3"/>
    <s v="FIN_GAS"/>
    <x v="2"/>
    <x v="0"/>
    <s v="GEXT_NATGAS_NOKIA"/>
    <n v="0.56064000000000003"/>
    <n v="2.0183040000000001"/>
  </r>
  <r>
    <x v="0"/>
    <x v="0"/>
    <x v="0"/>
    <x v="2"/>
    <x v="3"/>
    <s v="FIN_HELS"/>
    <x v="2"/>
    <x v="1"/>
    <s v="GBPR_NATGAS_MARTINLAAKSOGT"/>
    <n v="0.50807999999999998"/>
    <n v="1.829088"/>
  </r>
  <r>
    <x v="0"/>
    <x v="0"/>
    <x v="0"/>
    <x v="2"/>
    <x v="3"/>
    <s v="FIN_HELS"/>
    <x v="2"/>
    <x v="1"/>
    <s v="GBPR_NATGAS_VOUSAARI"/>
    <n v="1.4016"/>
    <n v="5.0457599999999996"/>
  </r>
  <r>
    <x v="0"/>
    <x v="0"/>
    <x v="0"/>
    <x v="2"/>
    <x v="3"/>
    <s v="FIN_HELS"/>
    <x v="2"/>
    <x v="0"/>
    <s v="GEXT_NATGAS_VOUSAARI"/>
    <n v="3.4727027624309401"/>
    <n v="12.5017299447514"/>
  </r>
  <r>
    <x v="0"/>
    <x v="0"/>
    <x v="0"/>
    <x v="2"/>
    <x v="3"/>
    <s v="FIN_HP"/>
    <x v="0"/>
    <x v="1"/>
    <s v="GBPR_COAL_NAANTALI"/>
    <n v="0.86851953779102997"/>
    <n v="3.1266703360477099"/>
  </r>
  <r>
    <x v="0"/>
    <x v="0"/>
    <x v="0"/>
    <x v="2"/>
    <x v="3"/>
    <s v="FIN_HP"/>
    <x v="14"/>
    <x v="6"/>
    <s v="GETOH_ELECTRICBOILER"/>
    <n v="-0.46240476910095402"/>
    <n v="-1.66465716876343"/>
  </r>
  <r>
    <x v="0"/>
    <x v="0"/>
    <x v="0"/>
    <x v="2"/>
    <x v="3"/>
    <s v="FIN_HP"/>
    <x v="14"/>
    <x v="6"/>
    <s v="GETOH_HEATPUMP"/>
    <n v="-0.11096"/>
    <n v="-0.39945599999999998"/>
  </r>
  <r>
    <x v="0"/>
    <x v="0"/>
    <x v="0"/>
    <x v="2"/>
    <x v="3"/>
    <s v="FIN_OTHER"/>
    <x v="2"/>
    <x v="1"/>
    <s v="GBPR_NATGAS_100"/>
    <n v="1.7397359999999999"/>
    <n v="6.2630496000000004"/>
  </r>
  <r>
    <x v="0"/>
    <x v="0"/>
    <x v="0"/>
    <x v="2"/>
    <x v="3"/>
    <s v="FIN_OTHER"/>
    <x v="4"/>
    <x v="1"/>
    <s v="GBPR_WOODCHIPS_FINOTHER"/>
    <n v="1.850112"/>
    <n v="6.6604032000000002"/>
  </r>
  <r>
    <x v="0"/>
    <x v="0"/>
    <x v="0"/>
    <x v="2"/>
    <x v="3"/>
    <s v="FIN_OTHER"/>
    <x v="8"/>
    <x v="1"/>
    <s v="GBPR_WOODPELLETS"/>
    <n v="9.6360000000000005E-3"/>
    <n v="3.4689600000000001E-2"/>
  </r>
  <r>
    <x v="0"/>
    <x v="0"/>
    <x v="0"/>
    <x v="2"/>
    <x v="3"/>
    <s v="FIN_OTHER"/>
    <x v="12"/>
    <x v="1"/>
    <s v="GBPR_WOODWASTE_FINOTHER"/>
    <n v="0.64911600000000003"/>
    <n v="2.3368175999999998"/>
  </r>
  <r>
    <x v="0"/>
    <x v="0"/>
    <x v="0"/>
    <x v="2"/>
    <x v="3"/>
    <s v="FIN_TAMP"/>
    <x v="2"/>
    <x v="0"/>
    <s v="GEXT_NATGAS_TAMPERE"/>
    <n v="2.4439530399999998"/>
    <n v="8.7982309440000002"/>
  </r>
  <r>
    <x v="0"/>
    <x v="0"/>
    <x v="0"/>
    <x v="2"/>
    <x v="3"/>
    <s v="FinA"/>
    <x v="2"/>
    <x v="1"/>
    <s v="GBPR_NATGAS_IND"/>
    <n v="3.23244"/>
    <n v="11.636784"/>
  </r>
  <r>
    <x v="0"/>
    <x v="0"/>
    <x v="0"/>
    <x v="2"/>
    <x v="3"/>
    <s v="FinA"/>
    <x v="2"/>
    <x v="2"/>
    <s v="GCND_NATGAS1"/>
    <n v="3.7668E-2"/>
    <n v="0.1356048"/>
  </r>
  <r>
    <x v="0"/>
    <x v="0"/>
    <x v="0"/>
    <x v="2"/>
    <x v="3"/>
    <s v="FinA"/>
    <x v="2"/>
    <x v="2"/>
    <s v="GCND_NATGAS2"/>
    <n v="0.12556"/>
    <n v="0.45201599999999897"/>
  </r>
  <r>
    <x v="0"/>
    <x v="0"/>
    <x v="0"/>
    <x v="2"/>
    <x v="3"/>
    <s v="FinA"/>
    <x v="2"/>
    <x v="2"/>
    <s v="GCND_NATGAS3"/>
    <n v="0.12556"/>
    <n v="0.45201599999999897"/>
  </r>
  <r>
    <x v="0"/>
    <x v="0"/>
    <x v="0"/>
    <x v="2"/>
    <x v="3"/>
    <s v="FinA"/>
    <x v="15"/>
    <x v="2"/>
    <s v="GCND_NUCLEAR"/>
    <n v="25.401491136000001"/>
    <n v="91.445368089599995"/>
  </r>
  <r>
    <x v="0"/>
    <x v="0"/>
    <x v="0"/>
    <x v="2"/>
    <x v="3"/>
    <s v="FinA"/>
    <x v="6"/>
    <x v="4"/>
    <s v="GNR_ROR_WTR"/>
    <n v="8.0631208425029399"/>
    <n v="29.027235033010601"/>
  </r>
  <r>
    <x v="0"/>
    <x v="0"/>
    <x v="0"/>
    <x v="2"/>
    <x v="3"/>
    <s v="FinA"/>
    <x v="6"/>
    <x v="7"/>
    <s v="GNR_RES_WTR_NOPMP_MC-01"/>
    <n v="1.3748819999999999"/>
    <n v="4.9495752"/>
  </r>
  <r>
    <x v="0"/>
    <x v="0"/>
    <x v="0"/>
    <x v="2"/>
    <x v="3"/>
    <s v="FinA"/>
    <x v="6"/>
    <x v="7"/>
    <s v="GNR_RES_WTR_NOPMP_MC-02"/>
    <n v="1.3748819999999999"/>
    <n v="4.9495752"/>
  </r>
  <r>
    <x v="0"/>
    <x v="0"/>
    <x v="0"/>
    <x v="2"/>
    <x v="3"/>
    <s v="FinA"/>
    <x v="6"/>
    <x v="7"/>
    <s v="GNR_RES_WTR_NOPMP_MC-03"/>
    <n v="1.3748819999999999"/>
    <n v="4.9495752"/>
  </r>
  <r>
    <x v="0"/>
    <x v="0"/>
    <x v="0"/>
    <x v="2"/>
    <x v="3"/>
    <s v="FinA"/>
    <x v="6"/>
    <x v="7"/>
    <s v="GNR_RES_WTR_NOPMP_MC-04"/>
    <n v="1.3748819999999999"/>
    <n v="4.9495752"/>
  </r>
  <r>
    <x v="0"/>
    <x v="0"/>
    <x v="0"/>
    <x v="2"/>
    <x v="3"/>
    <s v="FinA"/>
    <x v="6"/>
    <x v="7"/>
    <s v="GNR_RES_WTR_NOPMP_MC-05"/>
    <n v="1.3088700701317"/>
    <n v="4.7119322524741198"/>
  </r>
  <r>
    <x v="0"/>
    <x v="0"/>
    <x v="0"/>
    <x v="2"/>
    <x v="3"/>
    <s v="FinA"/>
    <x v="6"/>
    <x v="7"/>
    <s v="GNR_RES_WTR_NOPMP_MC-06"/>
    <n v="0.80201449999999996"/>
    <n v="2.8872521999999998"/>
  </r>
  <r>
    <x v="0"/>
    <x v="0"/>
    <x v="0"/>
    <x v="2"/>
    <x v="3"/>
    <s v="FinA"/>
    <x v="6"/>
    <x v="7"/>
    <s v="GNR_RES_WTR_NOPMP_MC-07"/>
    <n v="0.80201449999999996"/>
    <n v="2.8872521999999998"/>
  </r>
  <r>
    <x v="0"/>
    <x v="0"/>
    <x v="0"/>
    <x v="2"/>
    <x v="3"/>
    <s v="FinA"/>
    <x v="6"/>
    <x v="7"/>
    <s v="GNR_RES_WTR_NOPMP_MC-08"/>
    <n v="0.46152592986830199"/>
    <n v="1.66149334752589"/>
  </r>
  <r>
    <x v="0"/>
    <x v="0"/>
    <x v="0"/>
    <x v="2"/>
    <x v="3"/>
    <s v="FinA"/>
    <x v="6"/>
    <x v="7"/>
    <s v="GNR_RES_WTR_NOPMP_MC-09"/>
    <n v="0.22914699999999999"/>
    <n v="0.82492920000000003"/>
  </r>
  <r>
    <x v="0"/>
    <x v="0"/>
    <x v="0"/>
    <x v="2"/>
    <x v="3"/>
    <s v="FinA"/>
    <x v="7"/>
    <x v="5"/>
    <s v="GNR_WT_WIND_ONS"/>
    <n v="2.967977935"/>
    <n v="10.684720565999999"/>
  </r>
  <r>
    <x v="0"/>
    <x v="0"/>
    <x v="0"/>
    <x v="2"/>
    <x v="3"/>
    <s v="FinA"/>
    <x v="11"/>
    <x v="1"/>
    <s v="GBPR_IND_BIO"/>
    <n v="1.5329999999999999"/>
    <n v="5.5187999999999997"/>
  </r>
  <r>
    <x v="0"/>
    <x v="0"/>
    <x v="0"/>
    <x v="2"/>
    <x v="3"/>
    <s v="FinA"/>
    <x v="11"/>
    <x v="1"/>
    <s v="GBPR_WOOD_IND"/>
    <n v="13.1253790671229"/>
    <n v="47.251364641642503"/>
  </r>
  <r>
    <x v="0"/>
    <x v="0"/>
    <x v="0"/>
    <x v="2"/>
    <x v="3"/>
    <s v="FinA"/>
    <x v="11"/>
    <x v="2"/>
    <s v="GCND_COFIRING"/>
    <n v="2.850285"/>
    <n v="10.261025999999999"/>
  </r>
  <r>
    <x v="0"/>
    <x v="0"/>
    <x v="0"/>
    <x v="2"/>
    <x v="3"/>
    <s v="FinA"/>
    <x v="4"/>
    <x v="2"/>
    <s v="GCND_WOODCHIPS"/>
    <n v="4.8166269592476503E-2"/>
    <n v="0.17339857053291499"/>
  </r>
  <r>
    <x v="0"/>
    <x v="0"/>
    <x v="0"/>
    <x v="3"/>
    <x v="4"/>
    <s v="DE4-E_A"/>
    <x v="9"/>
    <x v="1"/>
    <s v="GNR_ENG_BGAS_BP_E-45"/>
    <n v="1.0318549999999999E-2"/>
    <n v="3.7146779999999997E-2"/>
  </r>
  <r>
    <x v="0"/>
    <x v="0"/>
    <x v="0"/>
    <x v="3"/>
    <x v="4"/>
    <s v="DE4-E_A"/>
    <x v="9"/>
    <x v="1"/>
    <s v="GNR_ST_BGAS_BP_E-38"/>
    <n v="0.92505599999999999"/>
    <n v="3.3302016000000001"/>
  </r>
  <r>
    <x v="0"/>
    <x v="0"/>
    <x v="0"/>
    <x v="3"/>
    <x v="4"/>
    <s v="DE4-E_A"/>
    <x v="9"/>
    <x v="2"/>
    <s v="GNR_ENG_BGAS_CND_E-44"/>
    <n v="6.9004172750498398"/>
    <n v="24.841502190179401"/>
  </r>
  <r>
    <x v="0"/>
    <x v="0"/>
    <x v="0"/>
    <x v="3"/>
    <x v="4"/>
    <s v="DE4-E_A"/>
    <x v="9"/>
    <x v="2"/>
    <s v="GNR_ST_BGAS_CND_E-38"/>
    <n v="8.0810999999999994E-2"/>
    <n v="0.2909196"/>
  </r>
  <r>
    <x v="0"/>
    <x v="0"/>
    <x v="0"/>
    <x v="3"/>
    <x v="4"/>
    <s v="DE4-E_A"/>
    <x v="14"/>
    <x v="8"/>
    <s v="AGG-DE4-E_ES_ELEC"/>
    <n v="4.2826666666666698E-4"/>
    <n v="1.5417600000000001E-3"/>
  </r>
  <r>
    <x v="0"/>
    <x v="0"/>
    <x v="0"/>
    <x v="3"/>
    <x v="4"/>
    <s v="DE4-E_A"/>
    <x v="14"/>
    <x v="8"/>
    <s v="GNR_ES_ELEC_BAT-LITHIO_E-95_Y-16-29"/>
    <n v="4.8433499904383703"/>
    <n v="17.436059965578099"/>
  </r>
  <r>
    <x v="0"/>
    <x v="0"/>
    <x v="0"/>
    <x v="3"/>
    <x v="4"/>
    <s v="DE4-E_A"/>
    <x v="14"/>
    <x v="9"/>
    <s v="AGG-DE4-E_RES_WTR_PMP"/>
    <n v="2.8030197644610202"/>
    <n v="10.0908711520597"/>
  </r>
  <r>
    <x v="0"/>
    <x v="0"/>
    <x v="0"/>
    <x v="3"/>
    <x v="4"/>
    <s v="DE4-E_A"/>
    <x v="1"/>
    <x v="1"/>
    <s v="GNR_ST_MSW_BP_E-33"/>
    <n v="1.8666721342810499"/>
    <n v="6.7200196834117598"/>
  </r>
  <r>
    <x v="0"/>
    <x v="0"/>
    <x v="0"/>
    <x v="3"/>
    <x v="4"/>
    <s v="DE4-E_A"/>
    <x v="1"/>
    <x v="2"/>
    <s v="GNR_ST_MSW_CND_E-33"/>
    <n v="0.57027600000000001"/>
    <n v="2.0529936000000002"/>
  </r>
  <r>
    <x v="0"/>
    <x v="0"/>
    <x v="0"/>
    <x v="3"/>
    <x v="4"/>
    <s v="DE4-E_A"/>
    <x v="2"/>
    <x v="1"/>
    <s v="GNR_CC_NGAS_BP_E-53"/>
    <n v="17.519124000000001"/>
    <n v="63.068846399999998"/>
  </r>
  <r>
    <x v="0"/>
    <x v="0"/>
    <x v="0"/>
    <x v="3"/>
    <x v="4"/>
    <s v="DE4-E_A"/>
    <x v="2"/>
    <x v="1"/>
    <s v="GNR_GT_NGAS_BP_E-38"/>
    <n v="1.9771319999999999"/>
    <n v="7.1176751999999999"/>
  </r>
  <r>
    <x v="0"/>
    <x v="0"/>
    <x v="0"/>
    <x v="3"/>
    <x v="4"/>
    <s v="DE4-E_A"/>
    <x v="2"/>
    <x v="1"/>
    <s v="GNR_ST_NGAS_BP_E-31"/>
    <n v="0.23214000000000001"/>
    <n v="0.835704"/>
  </r>
  <r>
    <x v="0"/>
    <x v="0"/>
    <x v="0"/>
    <x v="3"/>
    <x v="4"/>
    <s v="DE4-E_A"/>
    <x v="2"/>
    <x v="1"/>
    <s v="GNR_ST_NGAS_BP_E-38"/>
    <n v="10.713480000000001"/>
    <n v="38.568528000000001"/>
  </r>
  <r>
    <x v="0"/>
    <x v="0"/>
    <x v="0"/>
    <x v="3"/>
    <x v="4"/>
    <s v="DE4-E_A"/>
    <x v="2"/>
    <x v="2"/>
    <s v="GNR_CC_NGAS_CND_E-51"/>
    <n v="1.4016"/>
    <n v="5.0457599999999996"/>
  </r>
  <r>
    <x v="0"/>
    <x v="0"/>
    <x v="0"/>
    <x v="3"/>
    <x v="4"/>
    <s v="DE4-E_A"/>
    <x v="2"/>
    <x v="2"/>
    <s v="GNR_CC_NGAS_CND_E-57"/>
    <n v="0.438"/>
    <n v="1.5768"/>
  </r>
  <r>
    <x v="0"/>
    <x v="0"/>
    <x v="0"/>
    <x v="3"/>
    <x v="4"/>
    <s v="DE4-E_A"/>
    <x v="2"/>
    <x v="2"/>
    <s v="GNR_GT_NGAS_CND_E-35"/>
    <n v="3.9069600000000002"/>
    <n v="14.065056"/>
  </r>
  <r>
    <x v="0"/>
    <x v="0"/>
    <x v="0"/>
    <x v="3"/>
    <x v="4"/>
    <s v="DE4-E_A"/>
    <x v="2"/>
    <x v="2"/>
    <s v="GNR_ST_NGAS_CND_E-38"/>
    <n v="0.35039999999999999"/>
    <n v="1.2614399999999999"/>
  </r>
  <r>
    <x v="0"/>
    <x v="0"/>
    <x v="0"/>
    <x v="3"/>
    <x v="4"/>
    <s v="DE4-E_A"/>
    <x v="5"/>
    <x v="3"/>
    <s v="GNR_PV_SUN"/>
    <n v="11.438265235278299"/>
    <n v="41.1777548470018"/>
  </r>
  <r>
    <x v="0"/>
    <x v="0"/>
    <x v="0"/>
    <x v="3"/>
    <x v="4"/>
    <s v="DE4-E_A"/>
    <x v="16"/>
    <x v="2"/>
    <s v="GNR_GEO_HEAT_EO"/>
    <n v="1.9272E-3"/>
    <n v="6.9379200000000002E-3"/>
  </r>
  <r>
    <x v="0"/>
    <x v="0"/>
    <x v="0"/>
    <x v="3"/>
    <x v="4"/>
    <s v="DE4-E_A"/>
    <x v="6"/>
    <x v="4"/>
    <s v="GNR_ROR_WTR"/>
    <n v="2.6530440910678799"/>
    <n v="9.5509587278443497"/>
  </r>
  <r>
    <x v="0"/>
    <x v="0"/>
    <x v="0"/>
    <x v="3"/>
    <x v="4"/>
    <s v="DE4-E_A"/>
    <x v="7"/>
    <x v="5"/>
    <s v="GNR_WT_WIND_ONS"/>
    <n v="40.504328129999998"/>
    <n v="145.81558126799999"/>
  </r>
  <r>
    <x v="0"/>
    <x v="0"/>
    <x v="0"/>
    <x v="3"/>
    <x v="4"/>
    <s v="DE4-E_Offshore_A"/>
    <x v="7"/>
    <x v="5"/>
    <s v="GNR_WT_WIND_OFF"/>
    <n v="1.4729939999999999"/>
    <n v="5.3027784000000002"/>
  </r>
  <r>
    <x v="0"/>
    <x v="0"/>
    <x v="0"/>
    <x v="3"/>
    <x v="5"/>
    <s v="DE4-N_A"/>
    <x v="9"/>
    <x v="1"/>
    <s v="GNR_ENG_BGAS_BP_E-45"/>
    <n v="4.2047999999999999E-3"/>
    <n v="1.5137279999999999E-2"/>
  </r>
  <r>
    <x v="0"/>
    <x v="0"/>
    <x v="0"/>
    <x v="3"/>
    <x v="5"/>
    <s v="DE4-N_A"/>
    <x v="9"/>
    <x v="1"/>
    <s v="GNR_ST_BGAS_BP_E-38"/>
    <n v="0.17519999999999999"/>
    <n v="0.63071999999999995"/>
  </r>
  <r>
    <x v="0"/>
    <x v="0"/>
    <x v="0"/>
    <x v="3"/>
    <x v="5"/>
    <s v="DE4-N_A"/>
    <x v="9"/>
    <x v="2"/>
    <s v="GNR_ENG_BGAS_CND_E-44"/>
    <n v="0.53033039999999998"/>
    <n v="1.90918944"/>
  </r>
  <r>
    <x v="0"/>
    <x v="0"/>
    <x v="0"/>
    <x v="3"/>
    <x v="5"/>
    <s v="DE4-N_A"/>
    <x v="0"/>
    <x v="1"/>
    <s v="GNR_ST_COAL_BP_E-40"/>
    <n v="0.31700322829625099"/>
    <n v="1.1412116218665"/>
  </r>
  <r>
    <x v="0"/>
    <x v="0"/>
    <x v="0"/>
    <x v="3"/>
    <x v="5"/>
    <s v="DE4-N_A"/>
    <x v="14"/>
    <x v="8"/>
    <s v="AGG-DE4-N_ES_ELEC"/>
    <n v="1.3626666666666701E-4"/>
    <n v="4.9056000000000002E-4"/>
  </r>
  <r>
    <x v="0"/>
    <x v="0"/>
    <x v="0"/>
    <x v="3"/>
    <x v="5"/>
    <s v="DE4-N_A"/>
    <x v="14"/>
    <x v="8"/>
    <s v="GNR_ES_ELEC_BAT-LITHIO_E-95_Y-16-29"/>
    <n v="1.3775484282202699"/>
    <n v="4.9591743415929797"/>
  </r>
  <r>
    <x v="0"/>
    <x v="0"/>
    <x v="0"/>
    <x v="3"/>
    <x v="5"/>
    <s v="DE4-N_A"/>
    <x v="14"/>
    <x v="9"/>
    <s v="AGG-DE4-N_RES_WTR_PMP"/>
    <n v="0.22343160000000001"/>
    <n v="0.80435376000000003"/>
  </r>
  <r>
    <x v="0"/>
    <x v="0"/>
    <x v="0"/>
    <x v="3"/>
    <x v="5"/>
    <s v="DE4-N_A"/>
    <x v="14"/>
    <x v="6"/>
    <s v="GNR_BO_ELEC_E-80"/>
    <n v="-0.16085550000000001"/>
    <n v="-0.57907980000000003"/>
  </r>
  <r>
    <x v="0"/>
    <x v="0"/>
    <x v="0"/>
    <x v="3"/>
    <x v="5"/>
    <s v="DE4-N_A"/>
    <x v="17"/>
    <x v="1"/>
    <s v="GNR_ST_FUELOIL_BP_E-35"/>
    <n v="0.65261999999999998"/>
    <n v="2.3494320000000002"/>
  </r>
  <r>
    <x v="0"/>
    <x v="0"/>
    <x v="0"/>
    <x v="3"/>
    <x v="5"/>
    <s v="DE4-N_A"/>
    <x v="17"/>
    <x v="1"/>
    <s v="GNR_ST_FUELOIL_BP_E-38"/>
    <n v="0.33288000000000001"/>
    <n v="1.1983680000000001"/>
  </r>
  <r>
    <x v="0"/>
    <x v="0"/>
    <x v="0"/>
    <x v="3"/>
    <x v="5"/>
    <s v="DE4-N_A"/>
    <x v="1"/>
    <x v="1"/>
    <s v="GNR_ST_MSW_BP_E-33"/>
    <n v="0.35915999999999998"/>
    <n v="1.2929759999999999"/>
  </r>
  <r>
    <x v="0"/>
    <x v="0"/>
    <x v="0"/>
    <x v="3"/>
    <x v="5"/>
    <s v="DE4-N_A"/>
    <x v="2"/>
    <x v="1"/>
    <s v="GNR_CC_NGAS_BP_E-57"/>
    <n v="1.11252"/>
    <n v="4.0050720000000002"/>
  </r>
  <r>
    <x v="0"/>
    <x v="0"/>
    <x v="0"/>
    <x v="3"/>
    <x v="5"/>
    <s v="DE4-N_A"/>
    <x v="2"/>
    <x v="1"/>
    <s v="GNR_ST_NGAS_BP_E-39"/>
    <n v="1.1256600000000001"/>
    <n v="4.0523759999999998"/>
  </r>
  <r>
    <x v="0"/>
    <x v="0"/>
    <x v="0"/>
    <x v="3"/>
    <x v="5"/>
    <s v="DE4-N_A"/>
    <x v="15"/>
    <x v="2"/>
    <s v="GNR_ST_NUCL_CND_E-33"/>
    <n v="12.351599999999999"/>
    <n v="44.465760000000003"/>
  </r>
  <r>
    <x v="0"/>
    <x v="0"/>
    <x v="0"/>
    <x v="3"/>
    <x v="5"/>
    <s v="DE4-N_A"/>
    <x v="5"/>
    <x v="3"/>
    <s v="GNR_PV_SUN"/>
    <n v="1.6803275310545001"/>
    <n v="6.0491791117962102"/>
  </r>
  <r>
    <x v="0"/>
    <x v="0"/>
    <x v="0"/>
    <x v="3"/>
    <x v="5"/>
    <s v="DE4-N_A"/>
    <x v="6"/>
    <x v="4"/>
    <s v="GNR_ROR_WTR"/>
    <n v="2.3376999999999998E-2"/>
    <n v="8.4157200000000001E-2"/>
  </r>
  <r>
    <x v="0"/>
    <x v="0"/>
    <x v="0"/>
    <x v="3"/>
    <x v="5"/>
    <s v="DE4-N_A"/>
    <x v="7"/>
    <x v="5"/>
    <s v="GNR_WT_WIND_ONS"/>
    <n v="17.132994289999999"/>
    <n v="61.678779444"/>
  </r>
  <r>
    <x v="0"/>
    <x v="0"/>
    <x v="0"/>
    <x v="3"/>
    <x v="5"/>
    <s v="DE4-N_Offshore_A"/>
    <x v="7"/>
    <x v="5"/>
    <s v="GNR_WT_WIND_OFF"/>
    <n v="4.0293000000000001"/>
    <n v="14.50548"/>
  </r>
  <r>
    <x v="0"/>
    <x v="0"/>
    <x v="0"/>
    <x v="3"/>
    <x v="6"/>
    <s v="DE4-S_A"/>
    <x v="9"/>
    <x v="1"/>
    <s v="GNR_ENG_BGAS_BP_E-45"/>
    <n v="3.4572800000000001E-2"/>
    <n v="0.12446208"/>
  </r>
  <r>
    <x v="0"/>
    <x v="0"/>
    <x v="0"/>
    <x v="3"/>
    <x v="6"/>
    <s v="DE4-S_A"/>
    <x v="9"/>
    <x v="2"/>
    <s v="GNR_ENG_BGAS_CND_E-44"/>
    <n v="2.76674745"/>
    <n v="9.9602908200000009"/>
  </r>
  <r>
    <x v="0"/>
    <x v="0"/>
    <x v="0"/>
    <x v="3"/>
    <x v="6"/>
    <s v="DE4-S_A"/>
    <x v="9"/>
    <x v="2"/>
    <s v="GNR_ST_BGAS_CND_E-38"/>
    <n v="2.9419000000000001E-2"/>
    <n v="0.1059084"/>
  </r>
  <r>
    <x v="0"/>
    <x v="0"/>
    <x v="0"/>
    <x v="3"/>
    <x v="6"/>
    <s v="DE4-S_A"/>
    <x v="14"/>
    <x v="8"/>
    <s v="AGG-DE4-S_ES_ELEC"/>
    <n v="1.7276666666666701E-3"/>
    <n v="6.2195999999999996E-3"/>
  </r>
  <r>
    <x v="0"/>
    <x v="0"/>
    <x v="0"/>
    <x v="3"/>
    <x v="6"/>
    <s v="DE4-S_A"/>
    <x v="14"/>
    <x v="8"/>
    <s v="GNR_ES_ELEC_BAT-LITHIO_E-95_Y-16-29"/>
    <n v="5.4386187605847196"/>
    <n v="19.579027538104999"/>
  </r>
  <r>
    <x v="0"/>
    <x v="0"/>
    <x v="0"/>
    <x v="3"/>
    <x v="6"/>
    <s v="DE4-S_A"/>
    <x v="14"/>
    <x v="9"/>
    <s v="AGG-DE4-S_RES_WTR_PMP"/>
    <n v="2.5891109999999999"/>
    <n v="9.3207996000000009"/>
  </r>
  <r>
    <x v="0"/>
    <x v="0"/>
    <x v="0"/>
    <x v="3"/>
    <x v="6"/>
    <s v="DE4-S_A"/>
    <x v="1"/>
    <x v="1"/>
    <s v="GNR_ST_MSW_BP_E-33"/>
    <n v="1.0217445000000001"/>
    <n v="3.6782802000000001"/>
  </r>
  <r>
    <x v="0"/>
    <x v="0"/>
    <x v="0"/>
    <x v="3"/>
    <x v="6"/>
    <s v="DE4-S_A"/>
    <x v="1"/>
    <x v="2"/>
    <s v="GNR_ST_MSW_CND_E-33"/>
    <n v="0.35039999999999999"/>
    <n v="1.2614399999999999"/>
  </r>
  <r>
    <x v="0"/>
    <x v="0"/>
    <x v="0"/>
    <x v="3"/>
    <x v="6"/>
    <s v="DE4-S_A"/>
    <x v="2"/>
    <x v="1"/>
    <s v="GNR_CC_NGAS_BP_E-53"/>
    <n v="28.451604"/>
    <n v="102.42577439999999"/>
  </r>
  <r>
    <x v="0"/>
    <x v="0"/>
    <x v="0"/>
    <x v="3"/>
    <x v="6"/>
    <s v="DE4-S_A"/>
    <x v="2"/>
    <x v="1"/>
    <s v="GNR_ENG_NGAS_BP_E-46"/>
    <n v="0.28995599999999999"/>
    <n v="1.0438415999999999"/>
  </r>
  <r>
    <x v="0"/>
    <x v="0"/>
    <x v="0"/>
    <x v="3"/>
    <x v="6"/>
    <s v="DE4-S_A"/>
    <x v="2"/>
    <x v="1"/>
    <s v="GNR_GT_NGAS_BP_E-32"/>
    <n v="0.32119999999999999"/>
    <n v="1.15632"/>
  </r>
  <r>
    <x v="0"/>
    <x v="0"/>
    <x v="0"/>
    <x v="3"/>
    <x v="6"/>
    <s v="DE4-S_A"/>
    <x v="2"/>
    <x v="1"/>
    <s v="GNR_GT_NGAS_BP_E-37"/>
    <n v="0.97892999999999997"/>
    <n v="3.5241479999999998"/>
  </r>
  <r>
    <x v="0"/>
    <x v="0"/>
    <x v="0"/>
    <x v="3"/>
    <x v="6"/>
    <s v="DE4-S_A"/>
    <x v="2"/>
    <x v="1"/>
    <s v="GNR_ST_NGAS_BP_E-38"/>
    <n v="8.6391120000000008"/>
    <n v="31.100803200000001"/>
  </r>
  <r>
    <x v="0"/>
    <x v="0"/>
    <x v="0"/>
    <x v="3"/>
    <x v="6"/>
    <s v="DE4-S_A"/>
    <x v="2"/>
    <x v="2"/>
    <s v="GNR_CC_NGAS_CND_E-43"/>
    <n v="7.2094800000000001"/>
    <n v="25.954128000000001"/>
  </r>
  <r>
    <x v="0"/>
    <x v="0"/>
    <x v="0"/>
    <x v="3"/>
    <x v="6"/>
    <s v="DE4-S_A"/>
    <x v="2"/>
    <x v="2"/>
    <s v="GNR_CC_NGAS_CND_E-57"/>
    <n v="16.106135999999999"/>
    <n v="57.982089600000002"/>
  </r>
  <r>
    <x v="0"/>
    <x v="0"/>
    <x v="0"/>
    <x v="3"/>
    <x v="6"/>
    <s v="DE4-S_A"/>
    <x v="2"/>
    <x v="2"/>
    <s v="GNR_GT_NGAS_CND_E-31"/>
    <n v="1.4147400000000001"/>
    <n v="5.093064"/>
  </r>
  <r>
    <x v="0"/>
    <x v="0"/>
    <x v="0"/>
    <x v="3"/>
    <x v="6"/>
    <s v="DE4-S_A"/>
    <x v="2"/>
    <x v="2"/>
    <s v="GNR_ST_NGAS_CND_E-36"/>
    <n v="3.6354000000000002"/>
    <n v="13.087440000000001"/>
  </r>
  <r>
    <x v="0"/>
    <x v="0"/>
    <x v="0"/>
    <x v="3"/>
    <x v="6"/>
    <s v="DE4-S_A"/>
    <x v="15"/>
    <x v="2"/>
    <s v="GNR_ST_NUCL_CND_E-33"/>
    <n v="58.63944"/>
    <n v="211.10198399999999"/>
  </r>
  <r>
    <x v="0"/>
    <x v="0"/>
    <x v="0"/>
    <x v="3"/>
    <x v="6"/>
    <s v="DE4-S_A"/>
    <x v="5"/>
    <x v="3"/>
    <s v="GNR_PV_SUN"/>
    <n v="21.7176092114785"/>
    <n v="78.183393161322698"/>
  </r>
  <r>
    <x v="0"/>
    <x v="0"/>
    <x v="0"/>
    <x v="3"/>
    <x v="6"/>
    <s v="DE4-S_A"/>
    <x v="16"/>
    <x v="2"/>
    <s v="GNR_GEO_HEAT_EO"/>
    <n v="0.39209759999999999"/>
    <n v="1.41155136"/>
  </r>
  <r>
    <x v="0"/>
    <x v="0"/>
    <x v="0"/>
    <x v="3"/>
    <x v="6"/>
    <s v="DE4-S_A"/>
    <x v="6"/>
    <x v="4"/>
    <s v="GNR_ROR_WTR"/>
    <n v="38.207127800000002"/>
    <n v="137.54566008"/>
  </r>
  <r>
    <x v="0"/>
    <x v="0"/>
    <x v="0"/>
    <x v="3"/>
    <x v="6"/>
    <s v="DE4-S_A"/>
    <x v="6"/>
    <x v="7"/>
    <s v="GNR_RES_WTR_NOPMP"/>
    <n v="0.59766271944701799"/>
    <n v="2.1515857900092699"/>
  </r>
  <r>
    <x v="0"/>
    <x v="0"/>
    <x v="0"/>
    <x v="3"/>
    <x v="6"/>
    <s v="DE4-S_A"/>
    <x v="7"/>
    <x v="5"/>
    <s v="GNR_WT_WIND_ONS"/>
    <n v="13.97148009"/>
    <n v="50.297328323999999"/>
  </r>
  <r>
    <x v="0"/>
    <x v="0"/>
    <x v="0"/>
    <x v="3"/>
    <x v="7"/>
    <s v="DE4-W_A"/>
    <x v="9"/>
    <x v="1"/>
    <s v="GNR_ENG_BGAS_BP_E-45"/>
    <n v="1.9261049999999998E-2"/>
    <n v="6.9339780000000004E-2"/>
  </r>
  <r>
    <x v="0"/>
    <x v="0"/>
    <x v="0"/>
    <x v="3"/>
    <x v="7"/>
    <s v="DE4-W_A"/>
    <x v="9"/>
    <x v="1"/>
    <s v="GNR_ST_BGAS_BP_E-38"/>
    <n v="9.8039000000000001E-2"/>
    <n v="0.35294039999999999"/>
  </r>
  <r>
    <x v="0"/>
    <x v="0"/>
    <x v="0"/>
    <x v="3"/>
    <x v="7"/>
    <s v="DE4-W_A"/>
    <x v="9"/>
    <x v="2"/>
    <s v="GNR_ENG_BGAS_CND_E-44"/>
    <n v="6.4099092884700299"/>
    <n v="23.0756734384921"/>
  </r>
  <r>
    <x v="0"/>
    <x v="0"/>
    <x v="0"/>
    <x v="3"/>
    <x v="7"/>
    <s v="DE4-W_A"/>
    <x v="9"/>
    <x v="2"/>
    <s v="GNR_ST_BGAS_CND_E-38"/>
    <n v="0.1034775"/>
    <n v="0.37251899999999999"/>
  </r>
  <r>
    <x v="0"/>
    <x v="0"/>
    <x v="0"/>
    <x v="3"/>
    <x v="7"/>
    <s v="DE4-W_A"/>
    <x v="14"/>
    <x v="8"/>
    <s v="AGG-DE4-W_ES_ELEC"/>
    <n v="9.8550000000000005E-4"/>
    <n v="3.5477999999999998E-3"/>
  </r>
  <r>
    <x v="0"/>
    <x v="0"/>
    <x v="0"/>
    <x v="3"/>
    <x v="7"/>
    <s v="DE4-W_A"/>
    <x v="14"/>
    <x v="8"/>
    <s v="GNR_ES_ELEC_BAT-LITHIO_E-95_Y-16-29"/>
    <n v="2.0227065791652299"/>
    <n v="7.2817436849948303"/>
  </r>
  <r>
    <x v="0"/>
    <x v="0"/>
    <x v="0"/>
    <x v="3"/>
    <x v="7"/>
    <s v="DE4-W_A"/>
    <x v="14"/>
    <x v="9"/>
    <s v="AGG-DE4-W_RES_WTR_PMP"/>
    <n v="1.4302079999999999"/>
    <n v="5.1487487999999999"/>
  </r>
  <r>
    <x v="0"/>
    <x v="0"/>
    <x v="0"/>
    <x v="3"/>
    <x v="7"/>
    <s v="DE4-W_A"/>
    <x v="1"/>
    <x v="1"/>
    <s v="GNR_ST_MSW_BP_E-33"/>
    <n v="2.0798640953716698"/>
    <n v="7.4875107433380004"/>
  </r>
  <r>
    <x v="0"/>
    <x v="0"/>
    <x v="0"/>
    <x v="3"/>
    <x v="7"/>
    <s v="DE4-W_A"/>
    <x v="1"/>
    <x v="2"/>
    <s v="GNR_ST_MSW_CND_E-33"/>
    <n v="1.513728"/>
    <n v="5.4494208000000004"/>
  </r>
  <r>
    <x v="0"/>
    <x v="0"/>
    <x v="0"/>
    <x v="3"/>
    <x v="7"/>
    <s v="DE4-W_A"/>
    <x v="2"/>
    <x v="1"/>
    <s v="GNR_CC_NGAS_BP_E-39"/>
    <n v="0.95921999999999996"/>
    <n v="3.453192"/>
  </r>
  <r>
    <x v="0"/>
    <x v="0"/>
    <x v="0"/>
    <x v="3"/>
    <x v="7"/>
    <s v="DE4-W_A"/>
    <x v="2"/>
    <x v="1"/>
    <s v="GNR_CC_NGAS_BP_E-55"/>
    <n v="47.489711999999997"/>
    <n v="170.96296319999999"/>
  </r>
  <r>
    <x v="0"/>
    <x v="0"/>
    <x v="0"/>
    <x v="3"/>
    <x v="7"/>
    <s v="DE4-W_A"/>
    <x v="2"/>
    <x v="1"/>
    <s v="GNR_GT_NGAS_BP_E-31"/>
    <n v="0.41755999999999999"/>
    <n v="1.5032160000000001"/>
  </r>
  <r>
    <x v="0"/>
    <x v="0"/>
    <x v="0"/>
    <x v="3"/>
    <x v="7"/>
    <s v="DE4-W_A"/>
    <x v="2"/>
    <x v="1"/>
    <s v="GNR_GT_NGAS_BP_E-39"/>
    <n v="2.1891240000000001"/>
    <n v="7.8808464000000003"/>
  </r>
  <r>
    <x v="0"/>
    <x v="0"/>
    <x v="0"/>
    <x v="3"/>
    <x v="7"/>
    <s v="DE4-W_A"/>
    <x v="2"/>
    <x v="1"/>
    <s v="GNR_ST_NGAS_BP_E-33"/>
    <n v="1.1163525000000001"/>
    <n v="4.0188689999999996"/>
  </r>
  <r>
    <x v="0"/>
    <x v="0"/>
    <x v="0"/>
    <x v="3"/>
    <x v="7"/>
    <s v="DE4-W_A"/>
    <x v="2"/>
    <x v="1"/>
    <s v="GNR_ST_NGAS_BP_E-38"/>
    <n v="18.819108"/>
    <n v="67.7487888"/>
  </r>
  <r>
    <x v="0"/>
    <x v="0"/>
    <x v="0"/>
    <x v="3"/>
    <x v="7"/>
    <s v="DE4-W_A"/>
    <x v="2"/>
    <x v="2"/>
    <s v="GNR_CC_NGAS_CND_E-42"/>
    <n v="8.94834"/>
    <n v="32.214024000000002"/>
  </r>
  <r>
    <x v="0"/>
    <x v="0"/>
    <x v="0"/>
    <x v="3"/>
    <x v="7"/>
    <s v="DE4-W_A"/>
    <x v="2"/>
    <x v="2"/>
    <s v="GNR_CC_NGAS_CND_E-57"/>
    <n v="25.662420000000001"/>
    <n v="92.384711999999993"/>
  </r>
  <r>
    <x v="0"/>
    <x v="0"/>
    <x v="0"/>
    <x v="3"/>
    <x v="7"/>
    <s v="DE4-W_A"/>
    <x v="2"/>
    <x v="2"/>
    <s v="GNR_ENG_NGAS_CND_E-44"/>
    <n v="0.12264"/>
    <n v="0.44150400000000001"/>
  </r>
  <r>
    <x v="0"/>
    <x v="0"/>
    <x v="0"/>
    <x v="3"/>
    <x v="7"/>
    <s v="DE4-W_A"/>
    <x v="2"/>
    <x v="2"/>
    <s v="GNR_GT_NGAS_CND_E-32"/>
    <n v="3.23122829161542"/>
    <n v="11.632421849815501"/>
  </r>
  <r>
    <x v="0"/>
    <x v="0"/>
    <x v="0"/>
    <x v="3"/>
    <x v="7"/>
    <s v="DE4-W_A"/>
    <x v="2"/>
    <x v="2"/>
    <s v="GNR_GT_NGAS_CND_E-40"/>
    <n v="7.5773999999999999"/>
    <n v="27.278639999999999"/>
  </r>
  <r>
    <x v="0"/>
    <x v="0"/>
    <x v="0"/>
    <x v="3"/>
    <x v="7"/>
    <s v="DE4-W_A"/>
    <x v="2"/>
    <x v="2"/>
    <s v="GNR_ST_NGAS_CND_E-36"/>
    <n v="19.06176"/>
    <n v="68.622336000000004"/>
  </r>
  <r>
    <x v="0"/>
    <x v="0"/>
    <x v="0"/>
    <x v="3"/>
    <x v="7"/>
    <s v="DE4-W_A"/>
    <x v="2"/>
    <x v="2"/>
    <s v="GNR_ST_NGAS_CND_E-39"/>
    <n v="0.34864800000000001"/>
    <n v="1.2551327999999999"/>
  </r>
  <r>
    <x v="0"/>
    <x v="0"/>
    <x v="0"/>
    <x v="3"/>
    <x v="7"/>
    <s v="DE4-W_A"/>
    <x v="15"/>
    <x v="2"/>
    <s v="GNR_ST_NUCL_CND_E-33"/>
    <n v="23.616959999999999"/>
    <n v="85.021056000000002"/>
  </r>
  <r>
    <x v="0"/>
    <x v="0"/>
    <x v="0"/>
    <x v="3"/>
    <x v="7"/>
    <s v="DE4-W_A"/>
    <x v="5"/>
    <x v="3"/>
    <s v="GNR_PV_SUN"/>
    <n v="10.6223389660178"/>
    <n v="38.240420277664001"/>
  </r>
  <r>
    <x v="0"/>
    <x v="0"/>
    <x v="0"/>
    <x v="3"/>
    <x v="7"/>
    <s v="DE4-W_A"/>
    <x v="6"/>
    <x v="4"/>
    <s v="GNR_ROR_WTR"/>
    <n v="1.7424299999999999"/>
    <n v="6.272748"/>
  </r>
  <r>
    <x v="0"/>
    <x v="0"/>
    <x v="0"/>
    <x v="3"/>
    <x v="7"/>
    <s v="DE4-W_A"/>
    <x v="7"/>
    <x v="5"/>
    <s v="GNR_WT_WIND_ONS"/>
    <n v="38.021413850000002"/>
    <n v="136.87708986000001"/>
  </r>
  <r>
    <x v="0"/>
    <x v="0"/>
    <x v="0"/>
    <x v="3"/>
    <x v="7"/>
    <s v="DE4-W_Offshore_A"/>
    <x v="7"/>
    <x v="5"/>
    <s v="GNR_WT_WIND_OFF"/>
    <n v="0.49694700000000003"/>
    <n v="1.7890092"/>
  </r>
  <r>
    <x v="0"/>
    <x v="0"/>
    <x v="0"/>
    <x v="4"/>
    <x v="8"/>
    <s v="LV_Other_DH"/>
    <x v="2"/>
    <x v="1"/>
    <s v="GNR_ST_NGAS_BP_E-28"/>
    <n v="0.52599419999999997"/>
    <n v="1.8935791200000001"/>
  </r>
  <r>
    <x v="0"/>
    <x v="0"/>
    <x v="0"/>
    <x v="4"/>
    <x v="8"/>
    <s v="LV_Other_DH"/>
    <x v="11"/>
    <x v="1"/>
    <s v="GNR_ST_WOOD_BP_E-30"/>
    <n v="0.47304000000000002"/>
    <n v="1.702944"/>
  </r>
  <r>
    <x v="0"/>
    <x v="0"/>
    <x v="0"/>
    <x v="4"/>
    <x v="8"/>
    <s v="LV_RigaR"/>
    <x v="2"/>
    <x v="1"/>
    <s v="GNR_ST_NGAS_BP_E-42"/>
    <n v="0.41960399999999998"/>
    <n v="1.5105744000000001"/>
  </r>
  <r>
    <x v="0"/>
    <x v="0"/>
    <x v="0"/>
    <x v="4"/>
    <x v="8"/>
    <s v="LV_RigaR"/>
    <x v="2"/>
    <x v="1"/>
    <s v="RIGA-TEC2_CC_NGAS_BP"/>
    <n v="1.2614399999999999"/>
    <n v="4.5411840000000003"/>
  </r>
  <r>
    <x v="0"/>
    <x v="0"/>
    <x v="0"/>
    <x v="4"/>
    <x v="8"/>
    <s v="LV_RigaR"/>
    <x v="2"/>
    <x v="0"/>
    <s v="RIGA-TEC2_CC_NGAS_EXT"/>
    <n v="7.7175599999999998"/>
    <n v="27.783215999999999"/>
  </r>
  <r>
    <x v="0"/>
    <x v="0"/>
    <x v="0"/>
    <x v="4"/>
    <x v="8"/>
    <s v="LV_RigaR"/>
    <x v="6"/>
    <x v="7"/>
    <s v="GNR_RES_WTR_NOPMP"/>
    <n v="4.0200000000000001E-4"/>
    <n v="1.4472E-3"/>
  </r>
  <r>
    <x v="0"/>
    <x v="0"/>
    <x v="0"/>
    <x v="4"/>
    <x v="8"/>
    <s v="LV_Rural"/>
    <x v="7"/>
    <x v="5"/>
    <s v="GNR_WT_WIND_ONS"/>
    <n v="0.11622"/>
    <n v="0.41839199999999999"/>
  </r>
  <r>
    <x v="0"/>
    <x v="0"/>
    <x v="0"/>
    <x v="5"/>
    <x v="9"/>
    <s v="LT_KauU"/>
    <x v="1"/>
    <x v="1"/>
    <s v="KAUNAS_ST_MSW_BP"/>
    <n v="0.21024000000000001"/>
    <n v="0.75686399999999998"/>
  </r>
  <r>
    <x v="0"/>
    <x v="0"/>
    <x v="0"/>
    <x v="5"/>
    <x v="9"/>
    <s v="LT_KauU"/>
    <x v="2"/>
    <x v="0"/>
    <s v="GNR_ST_NGAS_EXT_E-24"/>
    <n v="0.26279999999999998"/>
    <n v="0.94608000000000003"/>
  </r>
  <r>
    <x v="0"/>
    <x v="0"/>
    <x v="0"/>
    <x v="5"/>
    <x v="9"/>
    <s v="LT_KauU"/>
    <x v="2"/>
    <x v="0"/>
    <s v="GNR_ST_NGAS_EXT_E-31"/>
    <n v="0.64239999999999997"/>
    <n v="2.31264"/>
  </r>
  <r>
    <x v="0"/>
    <x v="0"/>
    <x v="0"/>
    <x v="5"/>
    <x v="9"/>
    <s v="LT_KauU"/>
    <x v="6"/>
    <x v="4"/>
    <s v="GNR_ROR_WTR"/>
    <n v="0.61343999999999999"/>
    <n v="2.2083840000000001"/>
  </r>
  <r>
    <x v="0"/>
    <x v="0"/>
    <x v="0"/>
    <x v="5"/>
    <x v="9"/>
    <s v="LT_KlaU"/>
    <x v="5"/>
    <x v="3"/>
    <s v="GNR_PV_SUN"/>
    <n v="8.7830410424068805E-2"/>
    <n v="0.316189477526648"/>
  </r>
  <r>
    <x v="0"/>
    <x v="0"/>
    <x v="0"/>
    <x v="5"/>
    <x v="9"/>
    <s v="LT_Other_DH"/>
    <x v="18"/>
    <x v="1"/>
    <s v="LIFOSA_ST_HEAT_BP"/>
    <n v="0.32412000000000002"/>
    <n v="1.1668320000000001"/>
  </r>
  <r>
    <x v="0"/>
    <x v="0"/>
    <x v="0"/>
    <x v="5"/>
    <x v="9"/>
    <s v="LT_Other_DH"/>
    <x v="2"/>
    <x v="1"/>
    <s v="ALYTUS_ENG_NGAS_BP"/>
    <n v="1.0074E-2"/>
    <n v="3.6266399999999997E-2"/>
  </r>
  <r>
    <x v="0"/>
    <x v="0"/>
    <x v="0"/>
    <x v="5"/>
    <x v="9"/>
    <s v="LT_Other_DH"/>
    <x v="2"/>
    <x v="0"/>
    <s v="ACHEMA1_ST_NGAS_EXT"/>
    <n v="0.19272"/>
    <n v="0.69379199999999996"/>
  </r>
  <r>
    <x v="0"/>
    <x v="0"/>
    <x v="0"/>
    <x v="5"/>
    <x v="9"/>
    <s v="LT_Other_DH"/>
    <x v="2"/>
    <x v="0"/>
    <s v="ACHEMA2_ST_NGAS_EXT"/>
    <n v="0.40159704492999398"/>
    <n v="1.44574936174798"/>
  </r>
  <r>
    <x v="0"/>
    <x v="0"/>
    <x v="0"/>
    <x v="5"/>
    <x v="9"/>
    <s v="LT_Other_DH"/>
    <x v="2"/>
    <x v="0"/>
    <s v="GNR_ENG_NGAS_EXT_E-43"/>
    <n v="3.5040000000000002E-2"/>
    <n v="0.12614400000000001"/>
  </r>
  <r>
    <x v="0"/>
    <x v="0"/>
    <x v="0"/>
    <x v="5"/>
    <x v="9"/>
    <s v="LT_Other_DH"/>
    <x v="12"/>
    <x v="1"/>
    <s v="EBAVERE_ST_WOODWST_BP"/>
    <n v="9.1104000000000004E-2"/>
    <n v="0.3279744"/>
  </r>
  <r>
    <x v="0"/>
    <x v="0"/>
    <x v="0"/>
    <x v="5"/>
    <x v="9"/>
    <s v="LT_Panevezys"/>
    <x v="2"/>
    <x v="1"/>
    <s v="GNR_CC_NGAS_BP_E-42"/>
    <n v="0.30659999999999998"/>
    <n v="1.1037600000000001"/>
  </r>
  <r>
    <x v="0"/>
    <x v="0"/>
    <x v="0"/>
    <x v="5"/>
    <x v="9"/>
    <s v="LT_Rural"/>
    <x v="7"/>
    <x v="5"/>
    <s v="GNR_WT_WIND_ONS"/>
    <n v="0.98593299999999995"/>
    <n v="3.5493587999999998"/>
  </r>
  <r>
    <x v="0"/>
    <x v="0"/>
    <x v="0"/>
    <x v="5"/>
    <x v="9"/>
    <s v="LT_SiaU"/>
    <x v="11"/>
    <x v="1"/>
    <s v="SIAULIAI_ST_WOOD_BP"/>
    <n v="4.7303999999999999E-2"/>
    <n v="0.17029440000000001"/>
  </r>
  <r>
    <x v="0"/>
    <x v="0"/>
    <x v="0"/>
    <x v="5"/>
    <x v="9"/>
    <s v="LT_VilU"/>
    <x v="1"/>
    <x v="1"/>
    <s v="VILNIUS_ST_MSW_BP"/>
    <n v="0.80591999999999997"/>
    <n v="2.9013119999999999"/>
  </r>
  <r>
    <x v="0"/>
    <x v="0"/>
    <x v="0"/>
    <x v="5"/>
    <x v="9"/>
    <s v="LT_VilU"/>
    <x v="2"/>
    <x v="2"/>
    <s v="GNR_CC_NGAS_CND_E-58"/>
    <n v="3.9857999999999998"/>
    <n v="14.348879999999999"/>
  </r>
  <r>
    <x v="0"/>
    <x v="0"/>
    <x v="0"/>
    <x v="5"/>
    <x v="9"/>
    <s v="LT_VilU"/>
    <x v="2"/>
    <x v="2"/>
    <s v="GNR_ST_NGAS_CON_E-38"/>
    <n v="5.2560000000000002"/>
    <n v="18.921600000000002"/>
  </r>
  <r>
    <x v="0"/>
    <x v="0"/>
    <x v="0"/>
    <x v="5"/>
    <x v="9"/>
    <s v="LT_VilU"/>
    <x v="2"/>
    <x v="0"/>
    <s v="GNR_ST_NGAS_EXT_E-39"/>
    <n v="3.1536"/>
    <n v="11.352959999999999"/>
  </r>
  <r>
    <x v="0"/>
    <x v="0"/>
    <x v="0"/>
    <x v="5"/>
    <x v="9"/>
    <s v="LT_VilU"/>
    <x v="6"/>
    <x v="9"/>
    <s v="GNR_ES_WTR_PMP"/>
    <n v="3.4164E-2"/>
    <n v="0.1229904"/>
  </r>
  <r>
    <x v="0"/>
    <x v="0"/>
    <x v="0"/>
    <x v="6"/>
    <x v="10"/>
    <s v="NL_A"/>
    <x v="0"/>
    <x v="2"/>
    <s v="GNR_ST_COAL_CND_E-40"/>
    <n v="1.1745360582569899"/>
    <n v="4.2283298097251603"/>
  </r>
  <r>
    <x v="0"/>
    <x v="0"/>
    <x v="0"/>
    <x v="6"/>
    <x v="10"/>
    <s v="NL_A"/>
    <x v="1"/>
    <x v="2"/>
    <s v="GNR_ST_MSW_CND_E-40"/>
    <n v="5.9918399999999998"/>
    <n v="21.570623999999999"/>
  </r>
  <r>
    <x v="0"/>
    <x v="0"/>
    <x v="0"/>
    <x v="6"/>
    <x v="10"/>
    <s v="NL_A"/>
    <x v="2"/>
    <x v="2"/>
    <s v="GNR_CC_NGAS_CND_E-38"/>
    <n v="170.66634530652999"/>
    <n v="614.39884310350703"/>
  </r>
  <r>
    <x v="0"/>
    <x v="0"/>
    <x v="0"/>
    <x v="6"/>
    <x v="10"/>
    <s v="NL_A"/>
    <x v="15"/>
    <x v="2"/>
    <s v="GNR_ST_NUCL_CND_E-33"/>
    <n v="4.5114000000000001"/>
    <n v="16.241040000000002"/>
  </r>
  <r>
    <x v="0"/>
    <x v="0"/>
    <x v="0"/>
    <x v="6"/>
    <x v="10"/>
    <s v="NL_A"/>
    <x v="5"/>
    <x v="3"/>
    <s v="GNR_PV_SUN"/>
    <n v="0.83486304"/>
    <n v="3.005506944"/>
  </r>
  <r>
    <x v="0"/>
    <x v="0"/>
    <x v="0"/>
    <x v="6"/>
    <x v="10"/>
    <s v="NL_A"/>
    <x v="6"/>
    <x v="4"/>
    <s v="GNR_ROR_WTR"/>
    <n v="0.15959999999999999"/>
    <n v="0.57455999999999996"/>
  </r>
  <r>
    <x v="0"/>
    <x v="0"/>
    <x v="0"/>
    <x v="6"/>
    <x v="10"/>
    <s v="NL_A"/>
    <x v="7"/>
    <x v="5"/>
    <s v="GNR_WT_WIND_OFF"/>
    <n v="0.70642000000000005"/>
    <n v="2.5431119999999998"/>
  </r>
  <r>
    <x v="0"/>
    <x v="0"/>
    <x v="0"/>
    <x v="6"/>
    <x v="10"/>
    <s v="NL_A"/>
    <x v="7"/>
    <x v="5"/>
    <s v="GNR_WT_WIND_ONS"/>
    <n v="7.0527600000000001"/>
    <n v="25.389935999999999"/>
  </r>
  <r>
    <x v="0"/>
    <x v="0"/>
    <x v="0"/>
    <x v="6"/>
    <x v="10"/>
    <s v="NL_A"/>
    <x v="11"/>
    <x v="2"/>
    <s v="GNR_ST_WOOD_CND_E-50"/>
    <n v="3.504"/>
    <n v="12.6144"/>
  </r>
  <r>
    <x v="0"/>
    <x v="0"/>
    <x v="0"/>
    <x v="7"/>
    <x v="11"/>
    <s v="NO1_A1"/>
    <x v="1"/>
    <x v="1"/>
    <s v="GBPR_MUNIWASTE"/>
    <n v="7.1831999999999993E-2"/>
    <n v="0.25859520000000003"/>
  </r>
  <r>
    <x v="0"/>
    <x v="0"/>
    <x v="0"/>
    <x v="7"/>
    <x v="11"/>
    <s v="NO1_A1"/>
    <x v="6"/>
    <x v="4"/>
    <s v="GNR_ROR_WTR"/>
    <n v="8.2207838348424804"/>
    <n v="29.5948218054329"/>
  </r>
  <r>
    <x v="0"/>
    <x v="0"/>
    <x v="0"/>
    <x v="7"/>
    <x v="11"/>
    <s v="NO1_A1"/>
    <x v="6"/>
    <x v="7"/>
    <s v="GNR_RES_WTR_NOPMP_MC-01"/>
    <n v="1.4016"/>
    <n v="5.0457599999999996"/>
  </r>
  <r>
    <x v="0"/>
    <x v="0"/>
    <x v="0"/>
    <x v="7"/>
    <x v="11"/>
    <s v="NO1_A1"/>
    <x v="6"/>
    <x v="7"/>
    <s v="GNR_RES_WTR_NOPMP_MC-02"/>
    <n v="1.0891440848277201"/>
    <n v="3.9209187053797998"/>
  </r>
  <r>
    <x v="0"/>
    <x v="0"/>
    <x v="0"/>
    <x v="7"/>
    <x v="11"/>
    <s v="NO1_A1"/>
    <x v="6"/>
    <x v="7"/>
    <s v="GNR_RES_WTR_NOPMP_MC-03"/>
    <n v="0.876"/>
    <n v="3.1536"/>
  </r>
  <r>
    <x v="0"/>
    <x v="0"/>
    <x v="0"/>
    <x v="7"/>
    <x v="11"/>
    <s v="NO1_A1"/>
    <x v="6"/>
    <x v="7"/>
    <s v="GNR_RES_WTR_NOPMP_MC-04"/>
    <n v="0.81759999999999999"/>
    <n v="2.9433600000000002"/>
  </r>
  <r>
    <x v="0"/>
    <x v="0"/>
    <x v="0"/>
    <x v="7"/>
    <x v="11"/>
    <s v="NO1_A1"/>
    <x v="6"/>
    <x v="7"/>
    <s v="GNR_RES_WTR_NOPMP_MC-05"/>
    <n v="0.410513550753974"/>
    <n v="1.4778487827143101"/>
  </r>
  <r>
    <x v="0"/>
    <x v="0"/>
    <x v="0"/>
    <x v="7"/>
    <x v="11"/>
    <s v="NO1_A1"/>
    <x v="6"/>
    <x v="7"/>
    <s v="GNR_RES_WTR_NOPMP_MC-06"/>
    <n v="0.2336"/>
    <n v="0.84096000000000004"/>
  </r>
  <r>
    <x v="0"/>
    <x v="0"/>
    <x v="0"/>
    <x v="7"/>
    <x v="11"/>
    <s v="NO1_A2"/>
    <x v="14"/>
    <x v="6"/>
    <s v="GETOH_HEATPUMP"/>
    <n v="-2.50211781953785E-2"/>
    <n v="-9.00762415033627E-2"/>
  </r>
  <r>
    <x v="0"/>
    <x v="0"/>
    <x v="0"/>
    <x v="7"/>
    <x v="11"/>
    <s v="NO1_A2"/>
    <x v="1"/>
    <x v="1"/>
    <s v="GBPR_MUNIWASTE"/>
    <n v="9.7177599999998795E-2"/>
    <n v="0.34983935999999599"/>
  </r>
  <r>
    <x v="0"/>
    <x v="0"/>
    <x v="0"/>
    <x v="7"/>
    <x v="12"/>
    <s v="NO2_A1"/>
    <x v="1"/>
    <x v="1"/>
    <s v="GBPR_MUNIWASTE"/>
    <n v="9.4607999999999998E-2"/>
    <n v="0.34058880000000002"/>
  </r>
  <r>
    <x v="0"/>
    <x v="0"/>
    <x v="0"/>
    <x v="7"/>
    <x v="12"/>
    <s v="NO2_A1"/>
    <x v="6"/>
    <x v="4"/>
    <s v="GNR_ROR_WTR"/>
    <n v="9.2743043586350105"/>
    <n v="33.387495691086102"/>
  </r>
  <r>
    <x v="0"/>
    <x v="0"/>
    <x v="0"/>
    <x v="7"/>
    <x v="12"/>
    <s v="NO2_A1"/>
    <x v="6"/>
    <x v="7"/>
    <s v="GNR_RES_WTR_NOPMP_MC-01"/>
    <n v="3.2166024084082498"/>
    <n v="11.579768670269701"/>
  </r>
  <r>
    <x v="0"/>
    <x v="0"/>
    <x v="0"/>
    <x v="7"/>
    <x v="12"/>
    <s v="NO2_A1"/>
    <x v="6"/>
    <x v="7"/>
    <s v="GNR_RES_WTR_NOPMP_MC-02"/>
    <n v="7.7718024084082398"/>
    <n v="27.978488670269702"/>
  </r>
  <r>
    <x v="0"/>
    <x v="0"/>
    <x v="0"/>
    <x v="7"/>
    <x v="12"/>
    <s v="NO2_A1"/>
    <x v="6"/>
    <x v="7"/>
    <s v="GNR_RES_WTR_NOPMP_MC-03"/>
    <n v="7.1525306729529801"/>
    <n v="25.7491104226308"/>
  </r>
  <r>
    <x v="0"/>
    <x v="0"/>
    <x v="0"/>
    <x v="7"/>
    <x v="12"/>
    <s v="NO2_A1"/>
    <x v="6"/>
    <x v="7"/>
    <s v="GNR_RES_WTR_NOPMP_MC-04"/>
    <n v="5.1530963459651797"/>
    <n v="18.551146845474701"/>
  </r>
  <r>
    <x v="0"/>
    <x v="0"/>
    <x v="0"/>
    <x v="7"/>
    <x v="12"/>
    <s v="NO2_A1"/>
    <x v="6"/>
    <x v="7"/>
    <s v="GNR_RES_WTR_NOPMP_MC-05"/>
    <n v="4.5335514049048102"/>
    <n v="16.3207850576573"/>
  </r>
  <r>
    <x v="0"/>
    <x v="0"/>
    <x v="0"/>
    <x v="7"/>
    <x v="12"/>
    <s v="NO2_A1"/>
    <x v="6"/>
    <x v="7"/>
    <s v="GNR_RES_WTR_NOPMP_MC-06"/>
    <n v="3.94350721364868"/>
    <n v="14.1966259691352"/>
  </r>
  <r>
    <x v="0"/>
    <x v="0"/>
    <x v="0"/>
    <x v="7"/>
    <x v="12"/>
    <s v="NO2_A1"/>
    <x v="6"/>
    <x v="7"/>
    <s v="GNR_RES_WTR_NOPMP_MC-07"/>
    <n v="1.1559287511288401"/>
    <n v="4.1613435040638302"/>
  </r>
  <r>
    <x v="0"/>
    <x v="0"/>
    <x v="0"/>
    <x v="7"/>
    <x v="12"/>
    <s v="NO2_A1"/>
    <x v="6"/>
    <x v="7"/>
    <s v="GNR_RES_WTR_PMP_MC-01"/>
    <n v="4.5552000000000001"/>
    <n v="16.398720000000001"/>
  </r>
  <r>
    <x v="0"/>
    <x v="0"/>
    <x v="0"/>
    <x v="7"/>
    <x v="12"/>
    <s v="NO2_A1"/>
    <x v="7"/>
    <x v="5"/>
    <s v="GNR_WT_WIND_ONS"/>
    <n v="1.5001477000000001"/>
    <n v="5.40053172"/>
  </r>
  <r>
    <x v="0"/>
    <x v="0"/>
    <x v="0"/>
    <x v="7"/>
    <x v="13"/>
    <s v="NO3_A1"/>
    <x v="1"/>
    <x v="1"/>
    <s v="GBPR_MUNIWASTE"/>
    <n v="3.75804E-2"/>
    <n v="0.13528944000000001"/>
  </r>
  <r>
    <x v="0"/>
    <x v="0"/>
    <x v="0"/>
    <x v="7"/>
    <x v="13"/>
    <s v="NO3_A1"/>
    <x v="6"/>
    <x v="4"/>
    <s v="GNR_ROR_WTR"/>
    <n v="6.0353824559844602"/>
    <n v="21.727376841544"/>
  </r>
  <r>
    <x v="0"/>
    <x v="0"/>
    <x v="0"/>
    <x v="7"/>
    <x v="13"/>
    <s v="NO3_A1"/>
    <x v="6"/>
    <x v="7"/>
    <s v="GNR_RES_WTR_NOPMP_MC-01"/>
    <n v="1.94337545966466"/>
    <n v="6.9961516547927696"/>
  </r>
  <r>
    <x v="0"/>
    <x v="0"/>
    <x v="0"/>
    <x v="7"/>
    <x v="13"/>
    <s v="NO3_A1"/>
    <x v="6"/>
    <x v="7"/>
    <s v="GNR_RES_WTR_NOPMP_MC-02"/>
    <n v="2.4716034596646601"/>
    <n v="8.8977724547927703"/>
  </r>
  <r>
    <x v="0"/>
    <x v="0"/>
    <x v="0"/>
    <x v="7"/>
    <x v="13"/>
    <s v="NO3_A1"/>
    <x v="6"/>
    <x v="7"/>
    <s v="GNR_RES_WTR_NOPMP_MC-03"/>
    <n v="2.4716034596646601"/>
    <n v="8.8977724547927703"/>
  </r>
  <r>
    <x v="0"/>
    <x v="0"/>
    <x v="0"/>
    <x v="7"/>
    <x v="13"/>
    <s v="NO3_A1"/>
    <x v="6"/>
    <x v="7"/>
    <s v="GNR_RES_WTR_NOPMP_MC-04"/>
    <n v="1.64773563977644"/>
    <n v="5.9318483031951796"/>
  </r>
  <r>
    <x v="0"/>
    <x v="0"/>
    <x v="0"/>
    <x v="7"/>
    <x v="13"/>
    <s v="NO3_A1"/>
    <x v="6"/>
    <x v="7"/>
    <s v="GNR_RES_WTR_NOPMP_MC-05"/>
    <n v="1.5447521622904099"/>
    <n v="5.5611077842454799"/>
  </r>
  <r>
    <x v="0"/>
    <x v="0"/>
    <x v="0"/>
    <x v="7"/>
    <x v="13"/>
    <s v="NO3_A1"/>
    <x v="6"/>
    <x v="7"/>
    <s v="GNR_RES_WTR_NOPMP_MC-06"/>
    <n v="1.44176868480438"/>
    <n v="5.1903672652957802"/>
  </r>
  <r>
    <x v="0"/>
    <x v="0"/>
    <x v="0"/>
    <x v="7"/>
    <x v="13"/>
    <s v="NO3_A1"/>
    <x v="6"/>
    <x v="7"/>
    <s v="GNR_RES_WTR_NOPMP_MC-07"/>
    <n v="0.482147033626523"/>
    <n v="1.7357293210554801"/>
  </r>
  <r>
    <x v="0"/>
    <x v="0"/>
    <x v="0"/>
    <x v="7"/>
    <x v="13"/>
    <s v="NO3_A1"/>
    <x v="6"/>
    <x v="7"/>
    <s v="GNR_RES_WTR_PMP_MC-01"/>
    <n v="0.52822800000000003"/>
    <n v="1.9016207999999999"/>
  </r>
  <r>
    <x v="0"/>
    <x v="0"/>
    <x v="0"/>
    <x v="7"/>
    <x v="13"/>
    <s v="NO3_A1"/>
    <x v="7"/>
    <x v="5"/>
    <s v="GNR_WT_WIND_ONS"/>
    <n v="1.0027718999999999"/>
    <n v="3.6099788400000001"/>
  </r>
  <r>
    <x v="0"/>
    <x v="0"/>
    <x v="0"/>
    <x v="7"/>
    <x v="14"/>
    <s v="NO4_A1"/>
    <x v="1"/>
    <x v="1"/>
    <s v="GBPR_MUNIWASTE"/>
    <n v="1.4569632E-3"/>
    <n v="5.2450675199999996E-3"/>
  </r>
  <r>
    <x v="0"/>
    <x v="0"/>
    <x v="0"/>
    <x v="7"/>
    <x v="14"/>
    <s v="NO4_A1"/>
    <x v="6"/>
    <x v="4"/>
    <s v="GNR_ROR_WTR"/>
    <n v="3.2123587841587899"/>
    <n v="11.5644916229716"/>
  </r>
  <r>
    <x v="0"/>
    <x v="0"/>
    <x v="0"/>
    <x v="7"/>
    <x v="14"/>
    <s v="NO4_A1"/>
    <x v="6"/>
    <x v="7"/>
    <s v="GNR_RES_WTR_NOPMP_MC-01"/>
    <n v="3.67537745819287"/>
    <n v="13.231358849494301"/>
  </r>
  <r>
    <x v="0"/>
    <x v="0"/>
    <x v="0"/>
    <x v="7"/>
    <x v="14"/>
    <s v="NO4_A1"/>
    <x v="6"/>
    <x v="7"/>
    <s v="GNR_RES_WTR_NOPMP_MC-02"/>
    <n v="3.67537745819287"/>
    <n v="13.231358849494301"/>
  </r>
  <r>
    <x v="0"/>
    <x v="0"/>
    <x v="0"/>
    <x v="7"/>
    <x v="14"/>
    <s v="NO4_A1"/>
    <x v="6"/>
    <x v="7"/>
    <s v="GNR_RES_WTR_NOPMP_MC-03"/>
    <n v="3.67537745819287"/>
    <n v="13.231358849494301"/>
  </r>
  <r>
    <x v="0"/>
    <x v="0"/>
    <x v="0"/>
    <x v="7"/>
    <x v="14"/>
    <s v="NO4_A1"/>
    <x v="6"/>
    <x v="7"/>
    <s v="GNR_RES_WTR_NOPMP_MC-04"/>
    <n v="3.67537745819287"/>
    <n v="13.231358849494301"/>
  </r>
  <r>
    <x v="0"/>
    <x v="0"/>
    <x v="0"/>
    <x v="7"/>
    <x v="14"/>
    <s v="NO4_A1"/>
    <x v="6"/>
    <x v="7"/>
    <s v="GNR_RES_WTR_NOPMP_MC-05"/>
    <n v="2.7388402829057599"/>
    <n v="9.8598250184607501"/>
  </r>
  <r>
    <x v="0"/>
    <x v="0"/>
    <x v="0"/>
    <x v="7"/>
    <x v="14"/>
    <s v="NO4_A1"/>
    <x v="6"/>
    <x v="7"/>
    <s v="GNR_RES_WTR_NOPMP_MC-06"/>
    <n v="2.16942559650222"/>
    <n v="7.8099321474080003"/>
  </r>
  <r>
    <x v="0"/>
    <x v="0"/>
    <x v="0"/>
    <x v="7"/>
    <x v="14"/>
    <s v="NO4_A1"/>
    <x v="6"/>
    <x v="7"/>
    <s v="GNR_RES_WTR_NOPMP_MC-07"/>
    <n v="1.41464260754753"/>
    <n v="5.0927133871711003"/>
  </r>
  <r>
    <x v="0"/>
    <x v="0"/>
    <x v="0"/>
    <x v="7"/>
    <x v="14"/>
    <s v="NO4_A1"/>
    <x v="6"/>
    <x v="7"/>
    <s v="GNR_RES_WTR_NOPMP_MC-08"/>
    <n v="4.7170098890444399E-2"/>
    <n v="0.16981235600559999"/>
  </r>
  <r>
    <x v="0"/>
    <x v="0"/>
    <x v="0"/>
    <x v="7"/>
    <x v="14"/>
    <s v="NO4_A1"/>
    <x v="7"/>
    <x v="5"/>
    <s v="GNR_WT_WIND_ONS"/>
    <n v="0.819936"/>
    <n v="2.9517696"/>
  </r>
  <r>
    <x v="0"/>
    <x v="0"/>
    <x v="0"/>
    <x v="7"/>
    <x v="15"/>
    <s v="NO5_A1"/>
    <x v="1"/>
    <x v="1"/>
    <s v="GBPR_MUNIWASTE"/>
    <n v="7.0080000000000003E-2"/>
    <n v="0.25228800000000001"/>
  </r>
  <r>
    <x v="0"/>
    <x v="0"/>
    <x v="0"/>
    <x v="7"/>
    <x v="15"/>
    <s v="NO5_A1"/>
    <x v="6"/>
    <x v="4"/>
    <s v="GNR_ROR_WTR"/>
    <n v="9.43591967443969"/>
    <n v="33.969310827982902"/>
  </r>
  <r>
    <x v="0"/>
    <x v="0"/>
    <x v="0"/>
    <x v="7"/>
    <x v="15"/>
    <s v="NO5_A1"/>
    <x v="6"/>
    <x v="7"/>
    <s v="GNR_RES_WTR_NOPMP_MC-01"/>
    <n v="1.3507327989206199"/>
    <n v="4.8626380761142496"/>
  </r>
  <r>
    <x v="0"/>
    <x v="0"/>
    <x v="0"/>
    <x v="7"/>
    <x v="15"/>
    <s v="NO5_A1"/>
    <x v="6"/>
    <x v="7"/>
    <s v="GNR_RES_WTR_NOPMP_MC-02"/>
    <n v="5.2401727989206197"/>
    <n v="18.864622076114198"/>
  </r>
  <r>
    <x v="0"/>
    <x v="0"/>
    <x v="0"/>
    <x v="7"/>
    <x v="15"/>
    <s v="NO5_A1"/>
    <x v="6"/>
    <x v="7"/>
    <s v="GNR_RES_WTR_NOPMP_MC-03"/>
    <n v="5.2401727989206197"/>
    <n v="18.864622076114198"/>
  </r>
  <r>
    <x v="0"/>
    <x v="0"/>
    <x v="0"/>
    <x v="7"/>
    <x v="15"/>
    <s v="NO5_A1"/>
    <x v="6"/>
    <x v="7"/>
    <s v="GNR_RES_WTR_NOPMP_MC-04"/>
    <n v="5.2401727989206197"/>
    <n v="18.864622076114198"/>
  </r>
  <r>
    <x v="0"/>
    <x v="0"/>
    <x v="0"/>
    <x v="7"/>
    <x v="15"/>
    <s v="NO5_A1"/>
    <x v="6"/>
    <x v="7"/>
    <s v="GNR_RES_WTR_NOPMP_MC-05"/>
    <n v="4.2982970837830798"/>
    <n v="15.473869501619101"/>
  </r>
  <r>
    <x v="0"/>
    <x v="0"/>
    <x v="0"/>
    <x v="7"/>
    <x v="15"/>
    <s v="NO5_A1"/>
    <x v="6"/>
    <x v="7"/>
    <s v="GNR_RES_WTR_NOPMP_MC-06"/>
    <n v="0.14343428250611201"/>
    <n v="0.51636341702200295"/>
  </r>
  <r>
    <x v="0"/>
    <x v="0"/>
    <x v="0"/>
    <x v="7"/>
    <x v="15"/>
    <s v="NO5_A1"/>
    <x v="6"/>
    <x v="7"/>
    <s v="GNR_RES_WTR_PMP_MC-01"/>
    <n v="3.88944"/>
    <n v="14.001984"/>
  </r>
  <r>
    <x v="0"/>
    <x v="0"/>
    <x v="0"/>
    <x v="8"/>
    <x v="16"/>
    <s v="PL_A"/>
    <x v="9"/>
    <x v="2"/>
    <s v="GNR_ST_BGAS_CND_E-37"/>
    <n v="1.4315058361572099"/>
    <n v="5.1534210101659497"/>
  </r>
  <r>
    <x v="0"/>
    <x v="0"/>
    <x v="0"/>
    <x v="8"/>
    <x v="16"/>
    <s v="PL_A"/>
    <x v="0"/>
    <x v="1"/>
    <s v="KATO_ST_COAL_BP"/>
    <n v="4.4894999999999997E-2"/>
    <n v="0.16162199999999999"/>
  </r>
  <r>
    <x v="0"/>
    <x v="0"/>
    <x v="0"/>
    <x v="8"/>
    <x v="16"/>
    <s v="PL_A"/>
    <x v="0"/>
    <x v="1"/>
    <s v="SIER-1_ST_COAL_BP"/>
    <n v="1.0426765133845901"/>
    <n v="3.7536354481845402"/>
  </r>
  <r>
    <x v="0"/>
    <x v="0"/>
    <x v="0"/>
    <x v="8"/>
    <x v="16"/>
    <s v="PL_A"/>
    <x v="0"/>
    <x v="1"/>
    <s v="ZIEL-2_ST_COAL_BP"/>
    <n v="2.0074999999999999E-2"/>
    <n v="7.2270000000000001E-2"/>
  </r>
  <r>
    <x v="0"/>
    <x v="0"/>
    <x v="0"/>
    <x v="8"/>
    <x v="16"/>
    <s v="PL_A"/>
    <x v="0"/>
    <x v="1"/>
    <s v="ZIEL-4_ST_COAL_BP"/>
    <n v="7.1009106022186297E-2"/>
    <n v="0.25563278167987102"/>
  </r>
  <r>
    <x v="0"/>
    <x v="0"/>
    <x v="0"/>
    <x v="8"/>
    <x v="16"/>
    <s v="PL_A"/>
    <x v="0"/>
    <x v="2"/>
    <s v="BIAL-4_ST_COAL_CND"/>
    <n v="7.6649999999999999E-3"/>
    <n v="2.7594E-2"/>
  </r>
  <r>
    <x v="0"/>
    <x v="0"/>
    <x v="0"/>
    <x v="8"/>
    <x v="16"/>
    <s v="PL_A"/>
    <x v="0"/>
    <x v="0"/>
    <s v="LAZI-1_ST_COAL_EXT"/>
    <n v="1.8945046653201E-2"/>
    <n v="6.8202167951523396E-2"/>
  </r>
  <r>
    <x v="0"/>
    <x v="0"/>
    <x v="0"/>
    <x v="8"/>
    <x v="16"/>
    <s v="PL_A"/>
    <x v="1"/>
    <x v="0"/>
    <s v="GNR_ST_MSW_BP_E-15"/>
    <n v="0.29783999999999999"/>
    <n v="1.0722240000000001"/>
  </r>
  <r>
    <x v="0"/>
    <x v="0"/>
    <x v="0"/>
    <x v="8"/>
    <x v="16"/>
    <s v="PL_A"/>
    <x v="2"/>
    <x v="1"/>
    <s v="GORZ-4_ST_NGAS_BP"/>
    <n v="0.45551999999999998"/>
    <n v="1.639872"/>
  </r>
  <r>
    <x v="0"/>
    <x v="0"/>
    <x v="0"/>
    <x v="8"/>
    <x v="16"/>
    <s v="PL_A"/>
    <x v="2"/>
    <x v="1"/>
    <s v="NOWA-1_ST_NGAS_BP"/>
    <n v="1.11252"/>
    <n v="4.0050720000000002"/>
  </r>
  <r>
    <x v="0"/>
    <x v="0"/>
    <x v="0"/>
    <x v="8"/>
    <x v="16"/>
    <s v="PL_A"/>
    <x v="2"/>
    <x v="1"/>
    <s v="RZES-2_ST_NGAS_BP"/>
    <n v="0.28032000000000001"/>
    <n v="1.009152"/>
  </r>
  <r>
    <x v="0"/>
    <x v="0"/>
    <x v="0"/>
    <x v="8"/>
    <x v="16"/>
    <s v="PL_A"/>
    <x v="2"/>
    <x v="1"/>
    <s v="ZIEL-1_ST_NGAS_BP"/>
    <n v="8.7599999999999997E-2"/>
    <n v="0.31535999999999997"/>
  </r>
  <r>
    <x v="0"/>
    <x v="0"/>
    <x v="0"/>
    <x v="8"/>
    <x v="16"/>
    <s v="PL_A"/>
    <x v="2"/>
    <x v="1"/>
    <s v="ZIEL-3_ST_NGAS_BP"/>
    <n v="1.0511999999999999"/>
    <n v="3.7843200000000001"/>
  </r>
  <r>
    <x v="0"/>
    <x v="0"/>
    <x v="0"/>
    <x v="8"/>
    <x v="16"/>
    <s v="PL_A"/>
    <x v="2"/>
    <x v="0"/>
    <s v="GNR_ST_NGAS_BP_E-15"/>
    <n v="1.2439199999999999"/>
    <n v="4.4781120000000003"/>
  </r>
  <r>
    <x v="0"/>
    <x v="0"/>
    <x v="0"/>
    <x v="8"/>
    <x v="16"/>
    <s v="PL_A"/>
    <x v="3"/>
    <x v="1"/>
    <s v="BIAL-1_ST_STRAW_BP"/>
    <n v="1.1212800000000001"/>
    <n v="4.0366080000000002"/>
  </r>
  <r>
    <x v="0"/>
    <x v="0"/>
    <x v="0"/>
    <x v="8"/>
    <x v="16"/>
    <s v="PL_A"/>
    <x v="3"/>
    <x v="1"/>
    <s v="GNR_ST_STRAW_BP_E-15"/>
    <n v="0.71831999999999996"/>
    <n v="2.5859519999999998"/>
  </r>
  <r>
    <x v="0"/>
    <x v="0"/>
    <x v="0"/>
    <x v="8"/>
    <x v="16"/>
    <s v="PL_A"/>
    <x v="3"/>
    <x v="0"/>
    <s v="LODZ-3_ST_STRAW_EXT"/>
    <n v="0.61028000000000004"/>
    <n v="2.1970079999999998"/>
  </r>
  <r>
    <x v="0"/>
    <x v="0"/>
    <x v="0"/>
    <x v="8"/>
    <x v="16"/>
    <s v="PL_A"/>
    <x v="5"/>
    <x v="3"/>
    <s v="GNR_PV_SUN"/>
    <n v="1.09788013030086E-3"/>
    <n v="3.9523684690831E-3"/>
  </r>
  <r>
    <x v="0"/>
    <x v="0"/>
    <x v="0"/>
    <x v="8"/>
    <x v="16"/>
    <s v="PL_A"/>
    <x v="6"/>
    <x v="9"/>
    <s v="GNR_ES_WTR_PMP"/>
    <n v="1.1254405912654E-2"/>
    <n v="4.0515861285554303E-2"/>
  </r>
  <r>
    <x v="0"/>
    <x v="0"/>
    <x v="0"/>
    <x v="8"/>
    <x v="16"/>
    <s v="PL_A"/>
    <x v="7"/>
    <x v="5"/>
    <s v="GNR_WT_WIND_ONS"/>
    <n v="6.9265800000000004"/>
    <n v="24.935687999999999"/>
  </r>
  <r>
    <x v="0"/>
    <x v="0"/>
    <x v="0"/>
    <x v="8"/>
    <x v="16"/>
    <s v="PL_A"/>
    <x v="11"/>
    <x v="0"/>
    <s v="GNR_ST_WOOD_EXT_E-45"/>
    <n v="8.7385043858593505"/>
    <n v="31.458615789093699"/>
  </r>
  <r>
    <x v="0"/>
    <x v="0"/>
    <x v="0"/>
    <x v="8"/>
    <x v="16"/>
    <s v="PL_Rural"/>
    <x v="0"/>
    <x v="2"/>
    <s v="LAGI-6_ST_COAL_CND"/>
    <n v="0.217031791933223"/>
    <n v="0.78131445095960295"/>
  </r>
  <r>
    <x v="0"/>
    <x v="0"/>
    <x v="0"/>
    <x v="8"/>
    <x v="16"/>
    <s v="PL_Rural"/>
    <x v="6"/>
    <x v="4"/>
    <s v="GNR_ROR_WTR"/>
    <n v="2.3110249999999999"/>
    <n v="8.3196899999999996"/>
  </r>
  <r>
    <x v="0"/>
    <x v="0"/>
    <x v="0"/>
    <x v="9"/>
    <x v="17"/>
    <s v="SE1A"/>
    <x v="6"/>
    <x v="4"/>
    <s v="GNR_ROR_WTR"/>
    <n v="4.9412659291283996"/>
    <n v="17.788557344862198"/>
  </r>
  <r>
    <x v="0"/>
    <x v="0"/>
    <x v="0"/>
    <x v="9"/>
    <x v="17"/>
    <s v="SE1A"/>
    <x v="6"/>
    <x v="7"/>
    <s v="GNR_RES_WTR_NOPMP_MC-01"/>
    <n v="3.5521799999999999"/>
    <n v="12.787848"/>
  </r>
  <r>
    <x v="0"/>
    <x v="0"/>
    <x v="0"/>
    <x v="9"/>
    <x v="17"/>
    <s v="SE1A"/>
    <x v="6"/>
    <x v="7"/>
    <s v="GNR_RES_WTR_NOPMP_MC-02"/>
    <n v="3.5521799999999999"/>
    <n v="12.787848"/>
  </r>
  <r>
    <x v="0"/>
    <x v="0"/>
    <x v="0"/>
    <x v="9"/>
    <x v="17"/>
    <s v="SE1A"/>
    <x v="6"/>
    <x v="7"/>
    <s v="GNR_RES_WTR_NOPMP_MC-03"/>
    <n v="2.3675283515822199"/>
    <n v="8.5231020656960101"/>
  </r>
  <r>
    <x v="0"/>
    <x v="0"/>
    <x v="0"/>
    <x v="9"/>
    <x v="17"/>
    <s v="SE1A"/>
    <x v="6"/>
    <x v="7"/>
    <s v="GNR_RES_WTR_NOPMP_MC-04"/>
    <n v="2.0721050000000001"/>
    <n v="7.4595779999999996"/>
  </r>
  <r>
    <x v="0"/>
    <x v="0"/>
    <x v="0"/>
    <x v="9"/>
    <x v="17"/>
    <s v="SE1A"/>
    <x v="6"/>
    <x v="7"/>
    <s v="GNR_RES_WTR_NOPMP_MC-05"/>
    <n v="1.3950930811257101"/>
    <n v="5.0223350920525602"/>
  </r>
  <r>
    <x v="0"/>
    <x v="0"/>
    <x v="0"/>
    <x v="9"/>
    <x v="17"/>
    <s v="SE1A"/>
    <x v="6"/>
    <x v="7"/>
    <s v="GNR_RES_WTR_NOPMP_MC-06"/>
    <n v="0.36328678087571498"/>
    <n v="1.3078324111525701"/>
  </r>
  <r>
    <x v="0"/>
    <x v="0"/>
    <x v="0"/>
    <x v="9"/>
    <x v="17"/>
    <s v="SE1A"/>
    <x v="7"/>
    <x v="5"/>
    <s v="GNR_WT_WIND_ONS"/>
    <n v="1.3272919999999999"/>
    <n v="4.7782511999999997"/>
  </r>
  <r>
    <x v="0"/>
    <x v="0"/>
    <x v="0"/>
    <x v="9"/>
    <x v="17"/>
    <s v="SE1_EL"/>
    <x v="1"/>
    <x v="1"/>
    <s v="GBPR_MUNIWASTE"/>
    <n v="3.4468423734999101E-2"/>
    <n v="0.124086325445997"/>
  </r>
  <r>
    <x v="0"/>
    <x v="0"/>
    <x v="0"/>
    <x v="9"/>
    <x v="17"/>
    <s v="SE1_EL"/>
    <x v="12"/>
    <x v="1"/>
    <s v="GBPR_WOODWASTE_25"/>
    <n v="1.9730177179305398E-2"/>
    <n v="7.1028637845499495E-2"/>
  </r>
  <r>
    <x v="0"/>
    <x v="0"/>
    <x v="0"/>
    <x v="9"/>
    <x v="17"/>
    <s v="SE1_OTHER"/>
    <x v="2"/>
    <x v="1"/>
    <s v="GBPR_NATGAS"/>
    <n v="5.0285348585334903E-3"/>
    <n v="1.8102725490720499E-2"/>
  </r>
  <r>
    <x v="0"/>
    <x v="0"/>
    <x v="0"/>
    <x v="9"/>
    <x v="17"/>
    <s v="SE1_OTHER"/>
    <x v="4"/>
    <x v="1"/>
    <s v="GBPR_WOODCHIPS_25"/>
    <n v="7.2085738795890503E-3"/>
    <n v="2.59508659665206E-2"/>
  </r>
  <r>
    <x v="0"/>
    <x v="0"/>
    <x v="0"/>
    <x v="9"/>
    <x v="17"/>
    <s v="SE1_OTHER"/>
    <x v="12"/>
    <x v="1"/>
    <s v="GBPR_WOODWASTE"/>
    <n v="0.246148329246935"/>
    <n v="0.88613398528896703"/>
  </r>
  <r>
    <x v="0"/>
    <x v="0"/>
    <x v="0"/>
    <x v="9"/>
    <x v="18"/>
    <s v="SE2A"/>
    <x v="6"/>
    <x v="4"/>
    <s v="GNR_ROR_WTR"/>
    <n v="14.6401234618342"/>
    <n v="52.704444462603199"/>
  </r>
  <r>
    <x v="0"/>
    <x v="0"/>
    <x v="0"/>
    <x v="9"/>
    <x v="18"/>
    <s v="SE2A"/>
    <x v="6"/>
    <x v="7"/>
    <s v="GNR_RES_WTR_NOPMP_MC-01"/>
    <n v="3.2721063313413699"/>
    <n v="11.779582792828901"/>
  </r>
  <r>
    <x v="0"/>
    <x v="0"/>
    <x v="0"/>
    <x v="9"/>
    <x v="18"/>
    <s v="SE2A"/>
    <x v="6"/>
    <x v="7"/>
    <s v="GNR_RES_WTR_NOPMP_MC-02"/>
    <n v="3.24789796536666"/>
    <n v="11.692432675319999"/>
  </r>
  <r>
    <x v="0"/>
    <x v="0"/>
    <x v="0"/>
    <x v="9"/>
    <x v="18"/>
    <s v="SE2A"/>
    <x v="6"/>
    <x v="7"/>
    <s v="GNR_RES_WTR_NOPMP_MC-03"/>
    <n v="3.0104336955209998"/>
    <n v="10.837561303875599"/>
  </r>
  <r>
    <x v="0"/>
    <x v="0"/>
    <x v="0"/>
    <x v="9"/>
    <x v="18"/>
    <s v="SE2A"/>
    <x v="6"/>
    <x v="7"/>
    <s v="GNR_RES_WTR_NOPMP_MC-04"/>
    <n v="3.0104336955209998"/>
    <n v="10.837561303875599"/>
  </r>
  <r>
    <x v="0"/>
    <x v="0"/>
    <x v="0"/>
    <x v="9"/>
    <x v="18"/>
    <s v="SE2A"/>
    <x v="6"/>
    <x v="7"/>
    <s v="GNR_RES_WTR_NOPMP_MC-05"/>
    <n v="2.9679091260343999"/>
    <n v="10.684472853723801"/>
  </r>
  <r>
    <x v="0"/>
    <x v="0"/>
    <x v="0"/>
    <x v="9"/>
    <x v="18"/>
    <s v="SE2A"/>
    <x v="6"/>
    <x v="7"/>
    <s v="GNR_RES_WTR_NOPMP_MC-06"/>
    <n v="2.6341294835808702"/>
    <n v="9.4828661408911401"/>
  </r>
  <r>
    <x v="0"/>
    <x v="0"/>
    <x v="0"/>
    <x v="9"/>
    <x v="18"/>
    <s v="SE2A"/>
    <x v="6"/>
    <x v="7"/>
    <s v="GNR_RES_WTR_NOPMP_MC-07"/>
    <n v="2.6341294835808702"/>
    <n v="9.4828661408911401"/>
  </r>
  <r>
    <x v="0"/>
    <x v="0"/>
    <x v="0"/>
    <x v="9"/>
    <x v="18"/>
    <s v="SE2A"/>
    <x v="6"/>
    <x v="7"/>
    <s v="GNR_RES_WTR_NOPMP_MC-08"/>
    <n v="0.940760529850311"/>
    <n v="3.3867379074611201"/>
  </r>
  <r>
    <x v="0"/>
    <x v="0"/>
    <x v="0"/>
    <x v="9"/>
    <x v="18"/>
    <s v="SE2A"/>
    <x v="6"/>
    <x v="7"/>
    <s v="GNR_RES_WTR_NOPMP_MC-09"/>
    <n v="0.29605253255234398"/>
    <n v="1.0657891171884399"/>
  </r>
  <r>
    <x v="0"/>
    <x v="0"/>
    <x v="0"/>
    <x v="9"/>
    <x v="18"/>
    <s v="SE2A"/>
    <x v="6"/>
    <x v="7"/>
    <s v="GNR_RES_WTR_PMP_MC-01"/>
    <n v="0.88083223728057303"/>
    <n v="3.1709960542100601"/>
  </r>
  <r>
    <x v="0"/>
    <x v="0"/>
    <x v="0"/>
    <x v="9"/>
    <x v="18"/>
    <s v="SE2A"/>
    <x v="7"/>
    <x v="5"/>
    <s v="GNR_WT_WIND_ONS"/>
    <n v="5.7980369999999999"/>
    <n v="20.872933199999999"/>
  </r>
  <r>
    <x v="0"/>
    <x v="0"/>
    <x v="0"/>
    <x v="9"/>
    <x v="18"/>
    <s v="SE2A"/>
    <x v="11"/>
    <x v="1"/>
    <s v="GBPR_IND_BIO"/>
    <n v="1.8636170000000001"/>
    <n v="6.7090211999999996"/>
  </r>
  <r>
    <x v="0"/>
    <x v="0"/>
    <x v="0"/>
    <x v="9"/>
    <x v="18"/>
    <s v="SE2_EL"/>
    <x v="1"/>
    <x v="1"/>
    <s v="GBPR_MUNIWASTE_24"/>
    <n v="0.365518704532238"/>
    <n v="1.31586733631606"/>
  </r>
  <r>
    <x v="0"/>
    <x v="0"/>
    <x v="0"/>
    <x v="9"/>
    <x v="18"/>
    <s v="SE2_EL"/>
    <x v="12"/>
    <x v="1"/>
    <s v="GBPR_WOODWASTE_25"/>
    <n v="0.40519466915976499"/>
    <n v="1.4587008089751501"/>
  </r>
  <r>
    <x v="0"/>
    <x v="0"/>
    <x v="0"/>
    <x v="9"/>
    <x v="18"/>
    <s v="SE2_EL"/>
    <x v="12"/>
    <x v="0"/>
    <s v="GEXT_WOODWASTE_HORNEBORG"/>
    <n v="0.29682592644483402"/>
    <n v="1.0685733352014"/>
  </r>
  <r>
    <x v="0"/>
    <x v="0"/>
    <x v="0"/>
    <x v="9"/>
    <x v="18"/>
    <s v="SE2_OTHER"/>
    <x v="1"/>
    <x v="1"/>
    <s v="GBPR_MUNIWASTE_24"/>
    <n v="2.7706086360374398E-2"/>
    <n v="9.9741910897347699E-2"/>
  </r>
  <r>
    <x v="0"/>
    <x v="0"/>
    <x v="0"/>
    <x v="9"/>
    <x v="18"/>
    <s v="SE2_OTHER"/>
    <x v="12"/>
    <x v="1"/>
    <s v="GBPR_WOODWASTE_36"/>
    <n v="0.38173381430577402"/>
    <n v="1.37424173150079"/>
  </r>
  <r>
    <x v="0"/>
    <x v="0"/>
    <x v="0"/>
    <x v="9"/>
    <x v="19"/>
    <s v="SE3A"/>
    <x v="15"/>
    <x v="2"/>
    <s v="GCND_NUCLEAR"/>
    <n v="63.724488272511699"/>
    <n v="229.40815778104201"/>
  </r>
  <r>
    <x v="0"/>
    <x v="0"/>
    <x v="0"/>
    <x v="9"/>
    <x v="19"/>
    <s v="SE3A"/>
    <x v="6"/>
    <x v="4"/>
    <s v="GNR_ROR_WTR"/>
    <n v="5.3666576747457002"/>
    <n v="19.319967629084498"/>
  </r>
  <r>
    <x v="0"/>
    <x v="0"/>
    <x v="0"/>
    <x v="9"/>
    <x v="19"/>
    <s v="SE3A"/>
    <x v="6"/>
    <x v="7"/>
    <s v="GNR_RES_WTR_NOPMP_MC-01"/>
    <n v="0.86461200000000005"/>
    <n v="3.1126032000000001"/>
  </r>
  <r>
    <x v="0"/>
    <x v="0"/>
    <x v="0"/>
    <x v="9"/>
    <x v="19"/>
    <s v="SE3A"/>
    <x v="6"/>
    <x v="7"/>
    <s v="GNR_RES_WTR_NOPMP_MC-02"/>
    <n v="0.768544"/>
    <n v="2.7667584000000001"/>
  </r>
  <r>
    <x v="0"/>
    <x v="0"/>
    <x v="0"/>
    <x v="9"/>
    <x v="19"/>
    <s v="SE3A"/>
    <x v="6"/>
    <x v="7"/>
    <s v="GNR_RES_WTR_NOPMP_MC-03"/>
    <n v="0.768544"/>
    <n v="2.7667584000000001"/>
  </r>
  <r>
    <x v="0"/>
    <x v="0"/>
    <x v="0"/>
    <x v="9"/>
    <x v="19"/>
    <s v="SE3A"/>
    <x v="6"/>
    <x v="7"/>
    <s v="GNR_RES_WTR_NOPMP_MC-04"/>
    <n v="0.768544"/>
    <n v="2.7667584000000001"/>
  </r>
  <r>
    <x v="0"/>
    <x v="0"/>
    <x v="0"/>
    <x v="9"/>
    <x v="19"/>
    <s v="SE3A"/>
    <x v="6"/>
    <x v="7"/>
    <s v="GNR_RES_WTR_NOPMP_MC-05"/>
    <n v="0.67247599999999996"/>
    <n v="2.4209136"/>
  </r>
  <r>
    <x v="0"/>
    <x v="0"/>
    <x v="0"/>
    <x v="9"/>
    <x v="19"/>
    <s v="SE3A"/>
    <x v="6"/>
    <x v="7"/>
    <s v="GNR_RES_WTR_NOPMP_MC-06"/>
    <n v="0.67247599999999996"/>
    <n v="2.4209136"/>
  </r>
  <r>
    <x v="0"/>
    <x v="0"/>
    <x v="0"/>
    <x v="9"/>
    <x v="19"/>
    <s v="SE3A"/>
    <x v="6"/>
    <x v="7"/>
    <s v="GNR_RES_WTR_NOPMP_MC-07"/>
    <n v="0.57843030851122701"/>
    <n v="2.0823491106404202"/>
  </r>
  <r>
    <x v="0"/>
    <x v="0"/>
    <x v="0"/>
    <x v="9"/>
    <x v="19"/>
    <s v="SE3A"/>
    <x v="6"/>
    <x v="7"/>
    <s v="GNR_RES_WTR_NOPMP_MC-08"/>
    <n v="0.224997366234471"/>
    <n v="0.80999051844409597"/>
  </r>
  <r>
    <x v="0"/>
    <x v="0"/>
    <x v="0"/>
    <x v="9"/>
    <x v="19"/>
    <s v="SE3A"/>
    <x v="6"/>
    <x v="7"/>
    <s v="GNR_RES_WTR_NOPMP_MC-09"/>
    <n v="4.8034E-2"/>
    <n v="0.1729224"/>
  </r>
  <r>
    <x v="0"/>
    <x v="0"/>
    <x v="0"/>
    <x v="9"/>
    <x v="19"/>
    <s v="SE3A"/>
    <x v="7"/>
    <x v="5"/>
    <s v="GNR_WT_WIND_ONS"/>
    <n v="4.6407759999999998"/>
    <n v="16.706793600000001"/>
  </r>
  <r>
    <x v="0"/>
    <x v="0"/>
    <x v="0"/>
    <x v="9"/>
    <x v="19"/>
    <s v="SE3A"/>
    <x v="11"/>
    <x v="1"/>
    <s v="GBPR_IND_BIO"/>
    <n v="3.3178053865300599"/>
    <n v="11.9440993915082"/>
  </r>
  <r>
    <x v="0"/>
    <x v="0"/>
    <x v="0"/>
    <x v="9"/>
    <x v="19"/>
    <s v="SE3_EL"/>
    <x v="0"/>
    <x v="0"/>
    <s v="GEXT_COAL_LINK"/>
    <n v="3.4799507082350897E-2"/>
    <n v="0.125278225496463"/>
  </r>
  <r>
    <x v="0"/>
    <x v="0"/>
    <x v="0"/>
    <x v="9"/>
    <x v="19"/>
    <s v="SE3_EL"/>
    <x v="1"/>
    <x v="1"/>
    <s v="GBPR_MUNIWASTE_24"/>
    <n v="0.40490514728197602"/>
    <n v="1.4576585302151099"/>
  </r>
  <r>
    <x v="0"/>
    <x v="0"/>
    <x v="0"/>
    <x v="9"/>
    <x v="19"/>
    <s v="SE3_EL"/>
    <x v="1"/>
    <x v="1"/>
    <s v="GBPR_MUNIWASTE_LINK"/>
    <n v="0.24740668592010501"/>
    <n v="0.89066406931237796"/>
  </r>
  <r>
    <x v="0"/>
    <x v="0"/>
    <x v="0"/>
    <x v="9"/>
    <x v="19"/>
    <s v="SE3_EL"/>
    <x v="2"/>
    <x v="1"/>
    <s v="GBPR_NATGAS"/>
    <n v="1.7242917185000001E-2"/>
    <n v="6.2074501865999998E-2"/>
  </r>
  <r>
    <x v="0"/>
    <x v="0"/>
    <x v="0"/>
    <x v="9"/>
    <x v="19"/>
    <s v="SE3_EL"/>
    <x v="19"/>
    <x v="1"/>
    <s v="GBPR_RECYCLEDWOOD_SE3EL"/>
    <n v="0.558173560242612"/>
    <n v="2.0094248168734001"/>
  </r>
  <r>
    <x v="0"/>
    <x v="0"/>
    <x v="0"/>
    <x v="9"/>
    <x v="19"/>
    <s v="SE3_EL"/>
    <x v="12"/>
    <x v="1"/>
    <s v="GBPR_WOODWASTE_25"/>
    <n v="0.47376313723292501"/>
    <n v="1.7055472940385299"/>
  </r>
  <r>
    <x v="0"/>
    <x v="0"/>
    <x v="0"/>
    <x v="9"/>
    <x v="19"/>
    <s v="SE3_EL"/>
    <x v="12"/>
    <x v="1"/>
    <s v="GBPR_WOODWASTE_ABY"/>
    <n v="0.89297875166374796"/>
    <n v="3.2147235059894901"/>
  </r>
  <r>
    <x v="0"/>
    <x v="0"/>
    <x v="0"/>
    <x v="9"/>
    <x v="19"/>
    <s v="SE3_GOT"/>
    <x v="1"/>
    <x v="1"/>
    <s v="GBPR_MUNIWASTE_24"/>
    <n v="0.35565600000000003"/>
    <n v="1.2803616"/>
  </r>
  <r>
    <x v="0"/>
    <x v="0"/>
    <x v="0"/>
    <x v="9"/>
    <x v="19"/>
    <s v="SE3_GOT"/>
    <x v="2"/>
    <x v="1"/>
    <s v="GBPR_NATGAS_RYA"/>
    <n v="2.2863600000000002"/>
    <n v="8.2308959999999995"/>
  </r>
  <r>
    <x v="0"/>
    <x v="0"/>
    <x v="0"/>
    <x v="9"/>
    <x v="19"/>
    <s v="SE3_GOT"/>
    <x v="12"/>
    <x v="1"/>
    <s v="GBPR_WOODWASTE_GOT"/>
    <n v="6.6665172504378298E-2"/>
    <n v="0.23999462101576199"/>
  </r>
  <r>
    <x v="0"/>
    <x v="0"/>
    <x v="0"/>
    <x v="9"/>
    <x v="19"/>
    <s v="SE3_HP"/>
    <x v="1"/>
    <x v="1"/>
    <s v="GBPR_MUNIWASTE_24"/>
    <n v="0.29056026619586001"/>
    <n v="1.0460169583051"/>
  </r>
  <r>
    <x v="0"/>
    <x v="0"/>
    <x v="0"/>
    <x v="9"/>
    <x v="19"/>
    <s v="SE3_HP"/>
    <x v="12"/>
    <x v="1"/>
    <s v="GBPR_WOODWASTE_36"/>
    <n v="0.217189702276707"/>
    <n v="0.78188292819614802"/>
  </r>
  <r>
    <x v="0"/>
    <x v="0"/>
    <x v="0"/>
    <x v="9"/>
    <x v="19"/>
    <s v="SE3_HP"/>
    <x v="12"/>
    <x v="0"/>
    <s v="GEXT_WOODWASTE"/>
    <n v="1.0834050788284699"/>
    <n v="3.90025828378249"/>
  </r>
  <r>
    <x v="0"/>
    <x v="0"/>
    <x v="0"/>
    <x v="9"/>
    <x v="19"/>
    <s v="SE3_OTHER"/>
    <x v="1"/>
    <x v="1"/>
    <s v="GBPR_MUNIWASTE_24"/>
    <n v="0.25331735453864601"/>
    <n v="0.91194247633912595"/>
  </r>
  <r>
    <x v="0"/>
    <x v="0"/>
    <x v="0"/>
    <x v="9"/>
    <x v="19"/>
    <s v="SE3_OTHER"/>
    <x v="19"/>
    <x v="1"/>
    <s v="GBPR_RECYCLEDWOOD_SE3OTHER"/>
    <n v="0.336076733547712"/>
    <n v="1.20987624077176"/>
  </r>
  <r>
    <x v="0"/>
    <x v="0"/>
    <x v="0"/>
    <x v="9"/>
    <x v="19"/>
    <s v="SE3_OTHER"/>
    <x v="4"/>
    <x v="1"/>
    <s v="GBPR_WOODCHIPS_37"/>
    <n v="8.4911039827519103E-2"/>
    <n v="0.305679743379069"/>
  </r>
  <r>
    <x v="0"/>
    <x v="0"/>
    <x v="0"/>
    <x v="9"/>
    <x v="19"/>
    <s v="SE3_OTHER"/>
    <x v="12"/>
    <x v="1"/>
    <s v="GBPR_WOODWASTE_25"/>
    <n v="1.3084007201464101"/>
    <n v="4.7102425925270799"/>
  </r>
  <r>
    <x v="0"/>
    <x v="0"/>
    <x v="0"/>
    <x v="9"/>
    <x v="19"/>
    <s v="SE3_STO"/>
    <x v="0"/>
    <x v="1"/>
    <s v="GBPR_COAL_VARTAN"/>
    <n v="0.81266990255919402"/>
    <n v="2.9256116492131001"/>
  </r>
  <r>
    <x v="0"/>
    <x v="0"/>
    <x v="0"/>
    <x v="9"/>
    <x v="19"/>
    <s v="SE3_STO"/>
    <x v="14"/>
    <x v="6"/>
    <s v="GETOH_HEATPUMP33"/>
    <n v="-5.13105498566757E-2"/>
    <n v="-0.18471797948403301"/>
  </r>
  <r>
    <x v="0"/>
    <x v="0"/>
    <x v="0"/>
    <x v="9"/>
    <x v="19"/>
    <s v="SE3_STO"/>
    <x v="1"/>
    <x v="1"/>
    <s v="GBPR_MUNIWASTE_HOGDALEN"/>
    <n v="0.43966389386421101"/>
    <n v="1.58279001791116"/>
  </r>
  <r>
    <x v="0"/>
    <x v="0"/>
    <x v="0"/>
    <x v="9"/>
    <x v="19"/>
    <s v="SE3_STO"/>
    <x v="8"/>
    <x v="1"/>
    <s v="GBPR_WOODPELLETS_HASSELBY"/>
    <n v="0.37642675013324101"/>
    <n v="1.3551363004796699"/>
  </r>
  <r>
    <x v="0"/>
    <x v="0"/>
    <x v="0"/>
    <x v="9"/>
    <x v="19"/>
    <s v="SE3_STO"/>
    <x v="12"/>
    <x v="1"/>
    <s v="GBPR_WOODWASTE"/>
    <n v="0.84703983887916001"/>
    <n v="3.0493434199649698"/>
  </r>
  <r>
    <x v="0"/>
    <x v="0"/>
    <x v="0"/>
    <x v="9"/>
    <x v="19"/>
    <s v="SE3_STO"/>
    <x v="12"/>
    <x v="1"/>
    <s v="GBPR_WOODWASTE_BRISTA"/>
    <n v="0.353821769527146"/>
    <n v="1.27375837029772"/>
  </r>
  <r>
    <x v="0"/>
    <x v="0"/>
    <x v="0"/>
    <x v="9"/>
    <x v="20"/>
    <s v="SE4A"/>
    <x v="6"/>
    <x v="4"/>
    <s v="GNR_ROR_WTR"/>
    <n v="0.89790717004695797"/>
    <n v="3.2324658121690502"/>
  </r>
  <r>
    <x v="0"/>
    <x v="0"/>
    <x v="0"/>
    <x v="9"/>
    <x v="20"/>
    <s v="SE4A"/>
    <x v="6"/>
    <x v="7"/>
    <s v="GNR_RES_WTR_NOPMP_MC-01"/>
    <n v="8.3697971131995105E-2"/>
    <n v="0.30131269607518202"/>
  </r>
  <r>
    <x v="0"/>
    <x v="0"/>
    <x v="0"/>
    <x v="9"/>
    <x v="20"/>
    <s v="SE4A"/>
    <x v="6"/>
    <x v="7"/>
    <s v="GNR_RES_WTR_NOPMP_MC-02"/>
    <n v="7.8118106389862094E-2"/>
    <n v="0.28122518300350402"/>
  </r>
  <r>
    <x v="0"/>
    <x v="0"/>
    <x v="0"/>
    <x v="9"/>
    <x v="20"/>
    <s v="SE4A"/>
    <x v="6"/>
    <x v="7"/>
    <s v="GNR_RES_WTR_NOPMP_MC-03"/>
    <n v="7.8118106389862094E-2"/>
    <n v="0.28122518300350402"/>
  </r>
  <r>
    <x v="0"/>
    <x v="0"/>
    <x v="0"/>
    <x v="9"/>
    <x v="20"/>
    <s v="SE4A"/>
    <x v="6"/>
    <x v="7"/>
    <s v="GNR_RES_WTR_NOPMP_MC-04"/>
    <n v="7.2745651972692005E-2"/>
    <n v="0.26188434710169101"/>
  </r>
  <r>
    <x v="0"/>
    <x v="0"/>
    <x v="0"/>
    <x v="9"/>
    <x v="20"/>
    <s v="SE4A"/>
    <x v="6"/>
    <x v="7"/>
    <s v="GNR_RES_WTR_NOPMP_MC-05"/>
    <n v="6.6958376905596098E-2"/>
    <n v="0.241050156860146"/>
  </r>
  <r>
    <x v="0"/>
    <x v="0"/>
    <x v="0"/>
    <x v="9"/>
    <x v="20"/>
    <s v="SE4A"/>
    <x v="6"/>
    <x v="7"/>
    <s v="GNR_RES_WTR_NOPMP_MC-06"/>
    <n v="6.6958376905596098E-2"/>
    <n v="0.241050156860146"/>
  </r>
  <r>
    <x v="0"/>
    <x v="0"/>
    <x v="0"/>
    <x v="9"/>
    <x v="20"/>
    <s v="SE4A"/>
    <x v="6"/>
    <x v="7"/>
    <s v="GNR_RES_WTR_NOPMP_MC-07"/>
    <n v="6.6586112812626802E-2"/>
    <n v="0.23971000612545701"/>
  </r>
  <r>
    <x v="0"/>
    <x v="0"/>
    <x v="0"/>
    <x v="9"/>
    <x v="20"/>
    <s v="SE4A"/>
    <x v="6"/>
    <x v="7"/>
    <s v="GNR_RES_WTR_NOPMP_MC-08"/>
    <n v="6.13785121634631E-2"/>
    <n v="0.220962643788467"/>
  </r>
  <r>
    <x v="0"/>
    <x v="0"/>
    <x v="0"/>
    <x v="9"/>
    <x v="20"/>
    <s v="SE4A"/>
    <x v="6"/>
    <x v="7"/>
    <s v="GNR_RES_WTR_NOPMP_MC-09"/>
    <n v="5.7568667758992401E-2"/>
    <n v="0.207247203932373"/>
  </r>
  <r>
    <x v="0"/>
    <x v="0"/>
    <x v="0"/>
    <x v="9"/>
    <x v="20"/>
    <s v="SE4A"/>
    <x v="6"/>
    <x v="7"/>
    <s v="GNR_RES_WTR_NOPMP_MC-10"/>
    <n v="5.5798647421330103E-2"/>
    <n v="0.200875130716788"/>
  </r>
  <r>
    <x v="0"/>
    <x v="0"/>
    <x v="0"/>
    <x v="9"/>
    <x v="20"/>
    <s v="SE4A"/>
    <x v="7"/>
    <x v="5"/>
    <s v="GNR_WT_WIND_ONS"/>
    <n v="2.8917470000000001"/>
    <n v="10.410289199999999"/>
  </r>
  <r>
    <x v="0"/>
    <x v="0"/>
    <x v="0"/>
    <x v="9"/>
    <x v="20"/>
    <s v="SE4A"/>
    <x v="11"/>
    <x v="1"/>
    <s v="GBPR_IND_BIO"/>
    <n v="2.1734654999999998"/>
    <n v="7.8244758000000001"/>
  </r>
  <r>
    <x v="0"/>
    <x v="0"/>
    <x v="0"/>
    <x v="9"/>
    <x v="20"/>
    <s v="SE4_EL"/>
    <x v="14"/>
    <x v="6"/>
    <s v="GETOH_HEATPUMP1"/>
    <n v="-5.2030380929010599E-5"/>
    <n v="-1.8730937134443801E-4"/>
  </r>
  <r>
    <x v="0"/>
    <x v="0"/>
    <x v="0"/>
    <x v="9"/>
    <x v="20"/>
    <s v="SE4_EL"/>
    <x v="19"/>
    <x v="1"/>
    <s v="GBPR_RECYCLEDWOOD"/>
    <n v="0.21064036726943899"/>
    <n v="0.75830532216998103"/>
  </r>
  <r>
    <x v="0"/>
    <x v="0"/>
    <x v="0"/>
    <x v="9"/>
    <x v="20"/>
    <s v="SE4_EL"/>
    <x v="19"/>
    <x v="1"/>
    <s v="GBPR_RECYCLEDWOOD_SE4EL"/>
    <n v="2.1884713482539099E-2"/>
    <n v="7.8784968537140898E-2"/>
  </r>
  <r>
    <x v="0"/>
    <x v="0"/>
    <x v="0"/>
    <x v="9"/>
    <x v="20"/>
    <s v="SE4_HP"/>
    <x v="1"/>
    <x v="1"/>
    <s v="GBPR_MUNIWASTE_65"/>
    <n v="0.15767999999999999"/>
    <n v="0.56764800000000004"/>
  </r>
  <r>
    <x v="0"/>
    <x v="0"/>
    <x v="0"/>
    <x v="9"/>
    <x v="20"/>
    <s v="SE4_HP"/>
    <x v="2"/>
    <x v="1"/>
    <s v="GBPR_NATGAS_100"/>
    <n v="0.47304000000000002"/>
    <n v="1.702944"/>
  </r>
  <r>
    <x v="0"/>
    <x v="0"/>
    <x v="0"/>
    <x v="9"/>
    <x v="20"/>
    <s v="SE4_HP"/>
    <x v="8"/>
    <x v="1"/>
    <s v="GBPR_WOODPELLETS"/>
    <n v="0.207411528981605"/>
    <n v="0.746681504333779"/>
  </r>
  <r>
    <x v="0"/>
    <x v="0"/>
    <x v="0"/>
    <x v="9"/>
    <x v="20"/>
    <s v="SE4_MAL"/>
    <x v="1"/>
    <x v="1"/>
    <s v="GBPR_MUNIWASTE_24"/>
    <n v="0.22190081577644299"/>
    <n v="0.79884293679519602"/>
  </r>
  <r>
    <x v="0"/>
    <x v="0"/>
    <x v="0"/>
    <x v="9"/>
    <x v="20"/>
    <s v="SE4_MAL"/>
    <x v="2"/>
    <x v="1"/>
    <s v="GBPR_NATGAS_MAL"/>
    <n v="0.49630517026533999"/>
    <n v="1.78669861295522"/>
  </r>
  <r>
    <x v="0"/>
    <x v="0"/>
    <x v="0"/>
    <x v="9"/>
    <x v="20"/>
    <s v="SE4_MAL"/>
    <x v="2"/>
    <x v="0"/>
    <s v="GEXT_NATGAS_ORESUND"/>
    <n v="3.8544"/>
    <n v="13.87584"/>
  </r>
  <r>
    <x v="0"/>
    <x v="0"/>
    <x v="0"/>
    <x v="9"/>
    <x v="20"/>
    <s v="SE4_OTHER"/>
    <x v="1"/>
    <x v="1"/>
    <s v="GBPR_MUNIWASTE_19"/>
    <n v="0.101093434290394"/>
    <n v="0.36393636344541802"/>
  </r>
  <r>
    <x v="0"/>
    <x v="0"/>
    <x v="0"/>
    <x v="9"/>
    <x v="20"/>
    <s v="SE4_OTHER"/>
    <x v="4"/>
    <x v="1"/>
    <s v="GBPR_WOODCHIPS"/>
    <n v="0.26050322968057099"/>
    <n v="0.93781162685005504"/>
  </r>
  <r>
    <x v="0"/>
    <x v="0"/>
    <x v="0"/>
    <x v="9"/>
    <x v="20"/>
    <s v="SE4_OTHER"/>
    <x v="4"/>
    <x v="1"/>
    <s v="GBPR_WOODCHIPS_25"/>
    <n v="2.8542107121328899E-2"/>
    <n v="0.10275158563678401"/>
  </r>
  <r>
    <x v="0"/>
    <x v="0"/>
    <x v="0"/>
    <x v="9"/>
    <x v="20"/>
    <s v="SE4_OTHER"/>
    <x v="12"/>
    <x v="1"/>
    <s v="GBPR_WOODWASTE_36"/>
    <n v="0.61276454669001801"/>
    <n v="2.20595236808406"/>
  </r>
  <r>
    <x v="0"/>
    <x v="0"/>
    <x v="0"/>
    <x v="10"/>
    <x v="21"/>
    <s v="UK_A"/>
    <x v="9"/>
    <x v="2"/>
    <s v="GNR_ST_BGAS_CND_E-45"/>
    <n v="1.60014199976208"/>
    <n v="5.7605111991434699"/>
  </r>
  <r>
    <x v="0"/>
    <x v="0"/>
    <x v="0"/>
    <x v="10"/>
    <x v="21"/>
    <s v="UK_A"/>
    <x v="0"/>
    <x v="2"/>
    <s v="GNR_ST_COAL_CND_E-35"/>
    <n v="1.0277190509748599"/>
    <n v="3.6997885835095099"/>
  </r>
  <r>
    <x v="0"/>
    <x v="0"/>
    <x v="0"/>
    <x v="10"/>
    <x v="21"/>
    <s v="UK_A"/>
    <x v="1"/>
    <x v="2"/>
    <s v="GNR_ST_MSW_CND_E-40"/>
    <n v="7.0605599999999997"/>
    <n v="25.418016000000001"/>
  </r>
  <r>
    <x v="0"/>
    <x v="0"/>
    <x v="0"/>
    <x v="10"/>
    <x v="21"/>
    <s v="UK_A"/>
    <x v="2"/>
    <x v="2"/>
    <s v="GNR_CC_NGAS_CND_E-47"/>
    <n v="73.251710281561103"/>
    <n v="263.70615701361999"/>
  </r>
  <r>
    <x v="0"/>
    <x v="0"/>
    <x v="0"/>
    <x v="10"/>
    <x v="21"/>
    <s v="UK_A"/>
    <x v="2"/>
    <x v="2"/>
    <s v="GNR_CC_NGAS_CND_E-52"/>
    <n v="52.383030026935799"/>
    <n v="188.578908096969"/>
  </r>
  <r>
    <x v="0"/>
    <x v="0"/>
    <x v="0"/>
    <x v="10"/>
    <x v="21"/>
    <s v="UK_A"/>
    <x v="2"/>
    <x v="2"/>
    <s v="GNR_CC_NGAS_CND_E-56"/>
    <n v="79.365600000000001"/>
    <n v="285.71616"/>
  </r>
  <r>
    <x v="0"/>
    <x v="0"/>
    <x v="0"/>
    <x v="10"/>
    <x v="21"/>
    <s v="UK_A"/>
    <x v="2"/>
    <x v="2"/>
    <s v="GNR_GT_NGAS_CND_E-33"/>
    <n v="2.1812399999999998"/>
    <n v="7.8524640000000003"/>
  </r>
  <r>
    <x v="0"/>
    <x v="0"/>
    <x v="0"/>
    <x v="10"/>
    <x v="21"/>
    <s v="UK_A"/>
    <x v="2"/>
    <x v="2"/>
    <s v="GNR_GT_NGAS_CND_E-35"/>
    <n v="1.6777461667189"/>
    <n v="6.0398862001880298"/>
  </r>
  <r>
    <x v="0"/>
    <x v="0"/>
    <x v="0"/>
    <x v="10"/>
    <x v="21"/>
    <s v="UK_A"/>
    <x v="2"/>
    <x v="2"/>
    <s v="GNR_GT_NGAS_CND_E-38"/>
    <n v="3.7196800653352802"/>
    <n v="13.390848235207001"/>
  </r>
  <r>
    <x v="0"/>
    <x v="0"/>
    <x v="0"/>
    <x v="10"/>
    <x v="21"/>
    <s v="UK_A"/>
    <x v="2"/>
    <x v="2"/>
    <s v="GNR_GT_NGAS_CND_E-41"/>
    <n v="1.2921"/>
    <n v="4.6515599999999999"/>
  </r>
  <r>
    <x v="0"/>
    <x v="0"/>
    <x v="0"/>
    <x v="10"/>
    <x v="21"/>
    <s v="UK_A"/>
    <x v="15"/>
    <x v="2"/>
    <s v="GNR_ST_NUCL_CND_E-33"/>
    <n v="82.352760000000004"/>
    <n v="296.46993600000002"/>
  </r>
  <r>
    <x v="0"/>
    <x v="0"/>
    <x v="0"/>
    <x v="10"/>
    <x v="21"/>
    <s v="UK_A"/>
    <x v="5"/>
    <x v="3"/>
    <s v="GNR_PV_SUN"/>
    <n v="5.7649489919999999"/>
    <n v="20.753816371199999"/>
  </r>
  <r>
    <x v="0"/>
    <x v="0"/>
    <x v="0"/>
    <x v="10"/>
    <x v="21"/>
    <s v="UK_A"/>
    <x v="6"/>
    <x v="9"/>
    <s v="GNR_ES_WTR_PMP"/>
    <n v="9.6038800000000004E-3"/>
    <n v="3.4573967999999997E-2"/>
  </r>
  <r>
    <x v="0"/>
    <x v="0"/>
    <x v="0"/>
    <x v="10"/>
    <x v="21"/>
    <s v="UK_A"/>
    <x v="6"/>
    <x v="4"/>
    <s v="GNR_ROR_WTR"/>
    <n v="5.28207359972677"/>
    <n v="19.015464959016398"/>
  </r>
  <r>
    <x v="0"/>
    <x v="0"/>
    <x v="0"/>
    <x v="10"/>
    <x v="21"/>
    <s v="UK_A"/>
    <x v="7"/>
    <x v="5"/>
    <s v="GNR_WT_WIND_ONS"/>
    <n v="26.306808"/>
    <n v="94.704508799999999"/>
  </r>
  <r>
    <x v="0"/>
    <x v="0"/>
    <x v="0"/>
    <x v="10"/>
    <x v="21"/>
    <s v="UK_Offshore"/>
    <x v="7"/>
    <x v="5"/>
    <s v="GNR_WT_WIND_OFF"/>
    <n v="14.602332000000001"/>
    <n v="52.568395199999998"/>
  </r>
</pivotCacheRecords>
</file>

<file path=xl/pivotCache/pivotCacheRecords9.xml><?xml version="1.0" encoding="utf-8"?>
<pivotCacheRecords xmlns="http://schemas.openxmlformats.org/spreadsheetml/2006/main" xmlns:r="http://schemas.openxmlformats.org/officeDocument/2006/relationships" count="8188">
  <r>
    <x v="0"/>
    <x v="0"/>
    <x v="0"/>
    <x v="0"/>
    <x v="0"/>
    <s v="DK1_Large"/>
    <x v="0"/>
    <s v="GNR_ST_COAL_EXT_E-47"/>
    <x v="0"/>
    <x v="0"/>
    <n v="10.4579823920973"/>
    <n v="3817.1635731155202"/>
    <n v="13741.788863215899"/>
  </r>
  <r>
    <x v="0"/>
    <x v="0"/>
    <x v="0"/>
    <x v="0"/>
    <x v="0"/>
    <s v="DK1_Large"/>
    <x v="0"/>
    <s v="GNR_ST_COAL_EXT_E-47"/>
    <x v="0"/>
    <x v="1"/>
    <n v="51.095389661766902"/>
    <n v="18649.817226544899"/>
    <n v="67139.342015561706"/>
  </r>
  <r>
    <x v="0"/>
    <x v="0"/>
    <x v="0"/>
    <x v="0"/>
    <x v="0"/>
    <s v="DK1_Large"/>
    <x v="1"/>
    <s v="GNR_HS_HEAT-E-100"/>
    <x v="0"/>
    <x v="0"/>
    <n v="337.73309872101299"/>
    <n v="123272.58103317"/>
    <n v="443781.29171941098"/>
  </r>
  <r>
    <x v="0"/>
    <x v="0"/>
    <x v="0"/>
    <x v="0"/>
    <x v="0"/>
    <s v="DK1_Large"/>
    <x v="1"/>
    <s v="GNR_HS_HEAT-E-100"/>
    <x v="0"/>
    <x v="1"/>
    <n v="337.66128691280102"/>
    <n v="123246.369723172"/>
    <n v="443686.93100341997"/>
  </r>
  <r>
    <x v="0"/>
    <x v="0"/>
    <x v="0"/>
    <x v="0"/>
    <x v="0"/>
    <s v="DK1_Large"/>
    <x v="1"/>
    <s v="GNR_HS_HEAT-E-100"/>
    <x v="0"/>
    <x v="2"/>
    <n v="398.720156161592"/>
    <n v="145532.85699898101"/>
    <n v="523918.28519633203"/>
  </r>
  <r>
    <x v="0"/>
    <x v="0"/>
    <x v="0"/>
    <x v="0"/>
    <x v="0"/>
    <s v="DK1_Large"/>
    <x v="1"/>
    <s v="GNR_HS_HEAT-E-100"/>
    <x v="0"/>
    <x v="3"/>
    <n v="368.11804028716"/>
    <n v="134363.08470481299"/>
    <n v="483707.10493732803"/>
  </r>
  <r>
    <x v="0"/>
    <x v="0"/>
    <x v="0"/>
    <x v="0"/>
    <x v="0"/>
    <s v="DK1_Large"/>
    <x v="1"/>
    <s v="GNR_HS_HEAT-E-100"/>
    <x v="0"/>
    <x v="4"/>
    <n v="327.25457217039599"/>
    <n v="119447.91884219499"/>
    <n v="430012.50783190102"/>
  </r>
  <r>
    <x v="0"/>
    <x v="0"/>
    <x v="0"/>
    <x v="0"/>
    <x v="0"/>
    <s v="DK1_Large"/>
    <x v="1"/>
    <s v="GNR_HS_HEAT-E-100"/>
    <x v="0"/>
    <x v="5"/>
    <n v="96.352140875261298"/>
    <n v="35168.531419470397"/>
    <n v="126606.713110093"/>
  </r>
  <r>
    <x v="0"/>
    <x v="0"/>
    <x v="0"/>
    <x v="0"/>
    <x v="0"/>
    <s v="DK1_Large"/>
    <x v="2"/>
    <s v="GNR_BO_MSW_E-105"/>
    <x v="0"/>
    <x v="6"/>
    <n v="38"/>
    <n v="13870"/>
    <n v="49932"/>
  </r>
  <r>
    <x v="0"/>
    <x v="0"/>
    <x v="0"/>
    <x v="0"/>
    <x v="0"/>
    <s v="DK1_Large"/>
    <x v="2"/>
    <s v="GNR_BO_MSW_E-105"/>
    <x v="0"/>
    <x v="7"/>
    <n v="38"/>
    <n v="13870"/>
    <n v="49932"/>
  </r>
  <r>
    <x v="0"/>
    <x v="0"/>
    <x v="0"/>
    <x v="0"/>
    <x v="0"/>
    <s v="DK1_Large"/>
    <x v="2"/>
    <s v="GNR_BO_MSW_E-105"/>
    <x v="0"/>
    <x v="8"/>
    <n v="38"/>
    <n v="13870"/>
    <n v="49932"/>
  </r>
  <r>
    <x v="0"/>
    <x v="0"/>
    <x v="0"/>
    <x v="0"/>
    <x v="0"/>
    <s v="DK1_Large"/>
    <x v="2"/>
    <s v="GNR_BO_MSW_E-105"/>
    <x v="0"/>
    <x v="9"/>
    <n v="38"/>
    <n v="13870"/>
    <n v="49932"/>
  </r>
  <r>
    <x v="0"/>
    <x v="0"/>
    <x v="0"/>
    <x v="0"/>
    <x v="0"/>
    <s v="DK1_Large"/>
    <x v="2"/>
    <s v="GNR_BO_MSW_E-105"/>
    <x v="0"/>
    <x v="10"/>
    <n v="38"/>
    <n v="13870"/>
    <n v="49932"/>
  </r>
  <r>
    <x v="0"/>
    <x v="0"/>
    <x v="0"/>
    <x v="0"/>
    <x v="0"/>
    <s v="DK1_Large"/>
    <x v="2"/>
    <s v="GNR_BO_MSW_E-105"/>
    <x v="0"/>
    <x v="11"/>
    <n v="38"/>
    <n v="13870"/>
    <n v="49932"/>
  </r>
  <r>
    <x v="0"/>
    <x v="0"/>
    <x v="0"/>
    <x v="0"/>
    <x v="0"/>
    <s v="DK1_Large"/>
    <x v="2"/>
    <s v="GNR_BO_MSW_E-105"/>
    <x v="0"/>
    <x v="0"/>
    <n v="38"/>
    <n v="13870"/>
    <n v="49932"/>
  </r>
  <r>
    <x v="0"/>
    <x v="0"/>
    <x v="0"/>
    <x v="0"/>
    <x v="0"/>
    <s v="DK1_Large"/>
    <x v="2"/>
    <s v="GNR_BO_MSW_E-105"/>
    <x v="0"/>
    <x v="1"/>
    <n v="38"/>
    <n v="13870"/>
    <n v="49932"/>
  </r>
  <r>
    <x v="0"/>
    <x v="0"/>
    <x v="0"/>
    <x v="0"/>
    <x v="0"/>
    <s v="DK1_Large"/>
    <x v="2"/>
    <s v="GNR_BO_MSW_E-105"/>
    <x v="0"/>
    <x v="2"/>
    <n v="38"/>
    <n v="13870"/>
    <n v="49932"/>
  </r>
  <r>
    <x v="0"/>
    <x v="0"/>
    <x v="0"/>
    <x v="0"/>
    <x v="0"/>
    <s v="DK1_Large"/>
    <x v="2"/>
    <s v="GNR_BO_MSW_E-105"/>
    <x v="0"/>
    <x v="3"/>
    <n v="38"/>
    <n v="13870"/>
    <n v="49932"/>
  </r>
  <r>
    <x v="0"/>
    <x v="0"/>
    <x v="0"/>
    <x v="0"/>
    <x v="0"/>
    <s v="DK1_Large"/>
    <x v="2"/>
    <s v="GNR_BO_MSW_E-105"/>
    <x v="0"/>
    <x v="12"/>
    <n v="38"/>
    <n v="13870"/>
    <n v="49932"/>
  </r>
  <r>
    <x v="0"/>
    <x v="0"/>
    <x v="0"/>
    <x v="0"/>
    <x v="0"/>
    <s v="DK1_Large"/>
    <x v="2"/>
    <s v="GNR_BO_MSW_E-105"/>
    <x v="0"/>
    <x v="13"/>
    <n v="38"/>
    <n v="13870"/>
    <n v="49932"/>
  </r>
  <r>
    <x v="0"/>
    <x v="0"/>
    <x v="0"/>
    <x v="0"/>
    <x v="0"/>
    <s v="DK1_Large"/>
    <x v="2"/>
    <s v="GNR_BO_MSW_E-105"/>
    <x v="0"/>
    <x v="14"/>
    <n v="38"/>
    <n v="13870"/>
    <n v="49932"/>
  </r>
  <r>
    <x v="0"/>
    <x v="0"/>
    <x v="0"/>
    <x v="0"/>
    <x v="0"/>
    <s v="DK1_Large"/>
    <x v="2"/>
    <s v="GNR_BO_MSW_E-105"/>
    <x v="0"/>
    <x v="15"/>
    <n v="38"/>
    <n v="13870"/>
    <n v="49932"/>
  </r>
  <r>
    <x v="0"/>
    <x v="0"/>
    <x v="0"/>
    <x v="0"/>
    <x v="0"/>
    <s v="DK1_Large"/>
    <x v="2"/>
    <s v="GNR_BO_MSW_E-105"/>
    <x v="0"/>
    <x v="4"/>
    <n v="38"/>
    <n v="13870"/>
    <n v="49932"/>
  </r>
  <r>
    <x v="0"/>
    <x v="0"/>
    <x v="0"/>
    <x v="0"/>
    <x v="0"/>
    <s v="DK1_Large"/>
    <x v="2"/>
    <s v="GNR_BO_MSW_E-105"/>
    <x v="0"/>
    <x v="16"/>
    <n v="38"/>
    <n v="13870"/>
    <n v="49932"/>
  </r>
  <r>
    <x v="0"/>
    <x v="0"/>
    <x v="0"/>
    <x v="0"/>
    <x v="0"/>
    <s v="DK1_Large"/>
    <x v="2"/>
    <s v="GNR_BO_MSW_E-105"/>
    <x v="0"/>
    <x v="5"/>
    <n v="38"/>
    <n v="13870"/>
    <n v="49932"/>
  </r>
  <r>
    <x v="0"/>
    <x v="0"/>
    <x v="0"/>
    <x v="0"/>
    <x v="0"/>
    <s v="DK1_Large"/>
    <x v="2"/>
    <s v="GNR_BO_MSW_E-105"/>
    <x v="0"/>
    <x v="17"/>
    <n v="38"/>
    <n v="13870"/>
    <n v="49932"/>
  </r>
  <r>
    <x v="0"/>
    <x v="0"/>
    <x v="0"/>
    <x v="0"/>
    <x v="0"/>
    <s v="DK1_Large"/>
    <x v="2"/>
    <s v="GNR_BO_MSW_E-105"/>
    <x v="0"/>
    <x v="18"/>
    <n v="38"/>
    <n v="13870"/>
    <n v="49932"/>
  </r>
  <r>
    <x v="0"/>
    <x v="0"/>
    <x v="0"/>
    <x v="0"/>
    <x v="0"/>
    <s v="DK1_Large"/>
    <x v="2"/>
    <s v="GNR_BO_MSW_E-105"/>
    <x v="0"/>
    <x v="19"/>
    <n v="38"/>
    <n v="13870"/>
    <n v="49932"/>
  </r>
  <r>
    <x v="0"/>
    <x v="0"/>
    <x v="0"/>
    <x v="0"/>
    <x v="0"/>
    <s v="DK1_Large"/>
    <x v="2"/>
    <s v="GNR_BO_MSW_E-105"/>
    <x v="0"/>
    <x v="20"/>
    <n v="38"/>
    <n v="13870"/>
    <n v="49932"/>
  </r>
  <r>
    <x v="0"/>
    <x v="0"/>
    <x v="0"/>
    <x v="0"/>
    <x v="0"/>
    <s v="DK1_Large"/>
    <x v="2"/>
    <s v="GNR_BO_MSW_E-105"/>
    <x v="0"/>
    <x v="21"/>
    <n v="38"/>
    <n v="13870"/>
    <n v="49932"/>
  </r>
  <r>
    <x v="0"/>
    <x v="0"/>
    <x v="0"/>
    <x v="0"/>
    <x v="0"/>
    <s v="DK1_Large"/>
    <x v="2"/>
    <s v="GNR_BO_MSW_E-105"/>
    <x v="0"/>
    <x v="22"/>
    <n v="38"/>
    <n v="13870"/>
    <n v="49932"/>
  </r>
  <r>
    <x v="0"/>
    <x v="0"/>
    <x v="0"/>
    <x v="0"/>
    <x v="0"/>
    <s v="DK1_Large"/>
    <x v="2"/>
    <s v="GNR_BO_MSW_E-105"/>
    <x v="0"/>
    <x v="23"/>
    <n v="38"/>
    <n v="13870"/>
    <n v="49932"/>
  </r>
  <r>
    <x v="0"/>
    <x v="0"/>
    <x v="0"/>
    <x v="0"/>
    <x v="0"/>
    <s v="DK1_Large"/>
    <x v="2"/>
    <s v="GNR_ST_MSW_BP_E-18"/>
    <x v="0"/>
    <x v="6"/>
    <n v="9.6361684232126805"/>
    <n v="3517.2014744726298"/>
    <n v="12661.925308101499"/>
  </r>
  <r>
    <x v="0"/>
    <x v="0"/>
    <x v="0"/>
    <x v="0"/>
    <x v="0"/>
    <s v="DK1_Large"/>
    <x v="2"/>
    <s v="GNR_ST_MSW_BP_E-18"/>
    <x v="0"/>
    <x v="7"/>
    <n v="9.6361684232126805"/>
    <n v="3517.2014744726298"/>
    <n v="12661.925308101499"/>
  </r>
  <r>
    <x v="0"/>
    <x v="0"/>
    <x v="0"/>
    <x v="0"/>
    <x v="0"/>
    <s v="DK1_Large"/>
    <x v="2"/>
    <s v="GNR_ST_MSW_BP_E-18"/>
    <x v="0"/>
    <x v="8"/>
    <n v="9.6361684232126805"/>
    <n v="3517.2014744726298"/>
    <n v="12661.925308101499"/>
  </r>
  <r>
    <x v="0"/>
    <x v="0"/>
    <x v="0"/>
    <x v="0"/>
    <x v="0"/>
    <s v="DK1_Large"/>
    <x v="2"/>
    <s v="GNR_ST_MSW_BP_E-18"/>
    <x v="0"/>
    <x v="9"/>
    <n v="9.6361684232126805"/>
    <n v="3517.2014744726298"/>
    <n v="12661.925308101499"/>
  </r>
  <r>
    <x v="0"/>
    <x v="0"/>
    <x v="0"/>
    <x v="0"/>
    <x v="0"/>
    <s v="DK1_Large"/>
    <x v="2"/>
    <s v="GNR_ST_MSW_BP_E-18"/>
    <x v="0"/>
    <x v="10"/>
    <n v="9.6361684232126805"/>
    <n v="3517.2014744726298"/>
    <n v="12661.925308101499"/>
  </r>
  <r>
    <x v="0"/>
    <x v="0"/>
    <x v="0"/>
    <x v="0"/>
    <x v="0"/>
    <s v="DK1_Large"/>
    <x v="2"/>
    <s v="GNR_ST_MSW_BP_E-18"/>
    <x v="0"/>
    <x v="11"/>
    <n v="9.6361684232126805"/>
    <n v="3517.2014744726298"/>
    <n v="12661.925308101499"/>
  </r>
  <r>
    <x v="0"/>
    <x v="0"/>
    <x v="0"/>
    <x v="0"/>
    <x v="0"/>
    <s v="DK1_Large"/>
    <x v="2"/>
    <s v="GNR_ST_MSW_BP_E-18"/>
    <x v="0"/>
    <x v="0"/>
    <n v="9.6361684232126805"/>
    <n v="3517.2014744726298"/>
    <n v="12661.925308101499"/>
  </r>
  <r>
    <x v="0"/>
    <x v="0"/>
    <x v="0"/>
    <x v="0"/>
    <x v="0"/>
    <s v="DK1_Large"/>
    <x v="2"/>
    <s v="GNR_ST_MSW_BP_E-18"/>
    <x v="0"/>
    <x v="1"/>
    <n v="9.6361684232126805"/>
    <n v="3517.2014744726298"/>
    <n v="12661.925308101499"/>
  </r>
  <r>
    <x v="0"/>
    <x v="0"/>
    <x v="0"/>
    <x v="0"/>
    <x v="0"/>
    <s v="DK1_Large"/>
    <x v="2"/>
    <s v="GNR_ST_MSW_BP_E-18"/>
    <x v="0"/>
    <x v="2"/>
    <n v="9.6361684232126805"/>
    <n v="3517.2014744726298"/>
    <n v="12661.925308101499"/>
  </r>
  <r>
    <x v="0"/>
    <x v="0"/>
    <x v="0"/>
    <x v="0"/>
    <x v="0"/>
    <s v="DK1_Large"/>
    <x v="2"/>
    <s v="GNR_ST_MSW_BP_E-18"/>
    <x v="0"/>
    <x v="3"/>
    <n v="9.6361684232126805"/>
    <n v="3517.2014744726298"/>
    <n v="12661.925308101499"/>
  </r>
  <r>
    <x v="0"/>
    <x v="0"/>
    <x v="0"/>
    <x v="0"/>
    <x v="0"/>
    <s v="DK1_Large"/>
    <x v="2"/>
    <s v="GNR_ST_MSW_BP_E-18"/>
    <x v="0"/>
    <x v="12"/>
    <n v="9.6361684232126805"/>
    <n v="3517.2014744726298"/>
    <n v="12661.925308101499"/>
  </r>
  <r>
    <x v="0"/>
    <x v="0"/>
    <x v="0"/>
    <x v="0"/>
    <x v="0"/>
    <s v="DK1_Large"/>
    <x v="2"/>
    <s v="GNR_ST_MSW_BP_E-18"/>
    <x v="0"/>
    <x v="13"/>
    <n v="9.6361684232126805"/>
    <n v="3517.2014744726298"/>
    <n v="12661.925308101499"/>
  </r>
  <r>
    <x v="0"/>
    <x v="0"/>
    <x v="0"/>
    <x v="0"/>
    <x v="0"/>
    <s v="DK1_Large"/>
    <x v="2"/>
    <s v="GNR_ST_MSW_BP_E-18"/>
    <x v="0"/>
    <x v="14"/>
    <n v="9.6361684232126805"/>
    <n v="3517.2014744726298"/>
    <n v="12661.925308101499"/>
  </r>
  <r>
    <x v="0"/>
    <x v="0"/>
    <x v="0"/>
    <x v="0"/>
    <x v="0"/>
    <s v="DK1_Large"/>
    <x v="2"/>
    <s v="GNR_ST_MSW_BP_E-18"/>
    <x v="0"/>
    <x v="15"/>
    <n v="9.6361684232126805"/>
    <n v="3517.2014744726298"/>
    <n v="12661.925308101499"/>
  </r>
  <r>
    <x v="0"/>
    <x v="0"/>
    <x v="0"/>
    <x v="0"/>
    <x v="0"/>
    <s v="DK1_Large"/>
    <x v="2"/>
    <s v="GNR_ST_MSW_BP_E-18"/>
    <x v="0"/>
    <x v="4"/>
    <n v="9.6361684232126805"/>
    <n v="3517.2014744726298"/>
    <n v="12661.925308101499"/>
  </r>
  <r>
    <x v="0"/>
    <x v="0"/>
    <x v="0"/>
    <x v="0"/>
    <x v="0"/>
    <s v="DK1_Large"/>
    <x v="2"/>
    <s v="GNR_ST_MSW_BP_E-18"/>
    <x v="0"/>
    <x v="16"/>
    <n v="9.6361684232126805"/>
    <n v="3517.2014744726298"/>
    <n v="12661.925308101499"/>
  </r>
  <r>
    <x v="0"/>
    <x v="0"/>
    <x v="0"/>
    <x v="0"/>
    <x v="0"/>
    <s v="DK1_Large"/>
    <x v="2"/>
    <s v="GNR_ST_MSW_BP_E-18"/>
    <x v="0"/>
    <x v="5"/>
    <n v="9.6361684232126805"/>
    <n v="3517.2014744726298"/>
    <n v="12661.925308101499"/>
  </r>
  <r>
    <x v="0"/>
    <x v="0"/>
    <x v="0"/>
    <x v="0"/>
    <x v="0"/>
    <s v="DK1_Large"/>
    <x v="2"/>
    <s v="GNR_ST_MSW_BP_E-18"/>
    <x v="0"/>
    <x v="17"/>
    <n v="9.6361684232126805"/>
    <n v="3517.2014744726298"/>
    <n v="12661.925308101499"/>
  </r>
  <r>
    <x v="0"/>
    <x v="0"/>
    <x v="0"/>
    <x v="0"/>
    <x v="0"/>
    <s v="DK1_Large"/>
    <x v="2"/>
    <s v="GNR_ST_MSW_BP_E-18"/>
    <x v="0"/>
    <x v="18"/>
    <n v="9.6361684232126805"/>
    <n v="3517.2014744726298"/>
    <n v="12661.925308101499"/>
  </r>
  <r>
    <x v="0"/>
    <x v="0"/>
    <x v="0"/>
    <x v="0"/>
    <x v="0"/>
    <s v="DK1_Large"/>
    <x v="2"/>
    <s v="GNR_ST_MSW_BP_E-18"/>
    <x v="0"/>
    <x v="19"/>
    <n v="9.6361684232126805"/>
    <n v="3517.2014744726298"/>
    <n v="12661.925308101499"/>
  </r>
  <r>
    <x v="0"/>
    <x v="0"/>
    <x v="0"/>
    <x v="0"/>
    <x v="0"/>
    <s v="DK1_Large"/>
    <x v="2"/>
    <s v="GNR_ST_MSW_BP_E-18"/>
    <x v="0"/>
    <x v="20"/>
    <n v="9.6361684232126805"/>
    <n v="3517.2014744726298"/>
    <n v="12661.925308101499"/>
  </r>
  <r>
    <x v="0"/>
    <x v="0"/>
    <x v="0"/>
    <x v="0"/>
    <x v="0"/>
    <s v="DK1_Large"/>
    <x v="2"/>
    <s v="GNR_ST_MSW_BP_E-18"/>
    <x v="0"/>
    <x v="21"/>
    <n v="9.6361684232126805"/>
    <n v="3517.2014744726298"/>
    <n v="12661.925308101499"/>
  </r>
  <r>
    <x v="0"/>
    <x v="0"/>
    <x v="0"/>
    <x v="0"/>
    <x v="0"/>
    <s v="DK1_Large"/>
    <x v="2"/>
    <s v="GNR_ST_MSW_BP_E-18"/>
    <x v="0"/>
    <x v="22"/>
    <n v="9.6361684232126805"/>
    <n v="3517.2014744726298"/>
    <n v="12661.925308101499"/>
  </r>
  <r>
    <x v="0"/>
    <x v="0"/>
    <x v="0"/>
    <x v="0"/>
    <x v="0"/>
    <s v="DK1_Large"/>
    <x v="2"/>
    <s v="GNR_ST_MSW_BP_E-18"/>
    <x v="0"/>
    <x v="23"/>
    <n v="9.6361684232126805"/>
    <n v="3517.2014744726298"/>
    <n v="12661.925308101499"/>
  </r>
  <r>
    <x v="0"/>
    <x v="0"/>
    <x v="0"/>
    <x v="0"/>
    <x v="0"/>
    <s v="DK1_Large"/>
    <x v="2"/>
    <s v="GNR_ST_MSW_BP_E-19"/>
    <x v="0"/>
    <x v="6"/>
    <n v="30.430005546987399"/>
    <n v="11106.9520246504"/>
    <n v="39985.027288741403"/>
  </r>
  <r>
    <x v="0"/>
    <x v="0"/>
    <x v="0"/>
    <x v="0"/>
    <x v="0"/>
    <s v="DK1_Large"/>
    <x v="2"/>
    <s v="GNR_ST_MSW_BP_E-19"/>
    <x v="0"/>
    <x v="7"/>
    <n v="30.430005546987399"/>
    <n v="11106.9520246504"/>
    <n v="39985.027288741403"/>
  </r>
  <r>
    <x v="0"/>
    <x v="0"/>
    <x v="0"/>
    <x v="0"/>
    <x v="0"/>
    <s v="DK1_Large"/>
    <x v="2"/>
    <s v="GNR_ST_MSW_BP_E-19"/>
    <x v="0"/>
    <x v="8"/>
    <n v="30.430005546987399"/>
    <n v="11106.9520246504"/>
    <n v="39985.027288741403"/>
  </r>
  <r>
    <x v="0"/>
    <x v="0"/>
    <x v="0"/>
    <x v="0"/>
    <x v="0"/>
    <s v="DK1_Large"/>
    <x v="2"/>
    <s v="GNR_ST_MSW_BP_E-19"/>
    <x v="0"/>
    <x v="9"/>
    <n v="30.430005546987399"/>
    <n v="11106.9520246504"/>
    <n v="39985.027288741403"/>
  </r>
  <r>
    <x v="0"/>
    <x v="0"/>
    <x v="0"/>
    <x v="0"/>
    <x v="0"/>
    <s v="DK1_Large"/>
    <x v="2"/>
    <s v="GNR_ST_MSW_BP_E-19"/>
    <x v="0"/>
    <x v="10"/>
    <n v="30.430005546987399"/>
    <n v="11106.9520246504"/>
    <n v="39985.027288741403"/>
  </r>
  <r>
    <x v="0"/>
    <x v="0"/>
    <x v="0"/>
    <x v="0"/>
    <x v="0"/>
    <s v="DK1_Large"/>
    <x v="2"/>
    <s v="GNR_ST_MSW_BP_E-19"/>
    <x v="0"/>
    <x v="11"/>
    <n v="30.430005546987399"/>
    <n v="11106.9520246504"/>
    <n v="39985.027288741403"/>
  </r>
  <r>
    <x v="0"/>
    <x v="0"/>
    <x v="0"/>
    <x v="0"/>
    <x v="0"/>
    <s v="DK1_Large"/>
    <x v="2"/>
    <s v="GNR_ST_MSW_BP_E-19"/>
    <x v="0"/>
    <x v="0"/>
    <n v="30.430005546987399"/>
    <n v="11106.9520246504"/>
    <n v="39985.027288741403"/>
  </r>
  <r>
    <x v="0"/>
    <x v="0"/>
    <x v="0"/>
    <x v="0"/>
    <x v="0"/>
    <s v="DK1_Large"/>
    <x v="2"/>
    <s v="GNR_ST_MSW_BP_E-19"/>
    <x v="0"/>
    <x v="1"/>
    <n v="30.430005546987399"/>
    <n v="11106.9520246504"/>
    <n v="39985.027288741403"/>
  </r>
  <r>
    <x v="0"/>
    <x v="0"/>
    <x v="0"/>
    <x v="0"/>
    <x v="0"/>
    <s v="DK1_Large"/>
    <x v="2"/>
    <s v="GNR_ST_MSW_BP_E-19"/>
    <x v="0"/>
    <x v="2"/>
    <n v="30.430005546987399"/>
    <n v="11106.9520246504"/>
    <n v="39985.027288741403"/>
  </r>
  <r>
    <x v="0"/>
    <x v="0"/>
    <x v="0"/>
    <x v="0"/>
    <x v="0"/>
    <s v="DK1_Large"/>
    <x v="2"/>
    <s v="GNR_ST_MSW_BP_E-19"/>
    <x v="0"/>
    <x v="3"/>
    <n v="30.430005546987399"/>
    <n v="11106.9520246504"/>
    <n v="39985.027288741403"/>
  </r>
  <r>
    <x v="0"/>
    <x v="0"/>
    <x v="0"/>
    <x v="0"/>
    <x v="0"/>
    <s v="DK1_Large"/>
    <x v="2"/>
    <s v="GNR_ST_MSW_BP_E-19"/>
    <x v="0"/>
    <x v="12"/>
    <n v="30.430005546987399"/>
    <n v="11106.9520246504"/>
    <n v="39985.027288741403"/>
  </r>
  <r>
    <x v="0"/>
    <x v="0"/>
    <x v="0"/>
    <x v="0"/>
    <x v="0"/>
    <s v="DK1_Large"/>
    <x v="2"/>
    <s v="GNR_ST_MSW_BP_E-19"/>
    <x v="0"/>
    <x v="13"/>
    <n v="30.430005546987399"/>
    <n v="11106.9520246504"/>
    <n v="39985.027288741403"/>
  </r>
  <r>
    <x v="0"/>
    <x v="0"/>
    <x v="0"/>
    <x v="0"/>
    <x v="0"/>
    <s v="DK1_Large"/>
    <x v="2"/>
    <s v="GNR_ST_MSW_BP_E-19"/>
    <x v="0"/>
    <x v="14"/>
    <n v="30.430005546987399"/>
    <n v="11106.9520246504"/>
    <n v="39985.027288741403"/>
  </r>
  <r>
    <x v="0"/>
    <x v="0"/>
    <x v="0"/>
    <x v="0"/>
    <x v="0"/>
    <s v="DK1_Large"/>
    <x v="2"/>
    <s v="GNR_ST_MSW_BP_E-19"/>
    <x v="0"/>
    <x v="15"/>
    <n v="30.430005546987399"/>
    <n v="11106.9520246504"/>
    <n v="39985.027288741403"/>
  </r>
  <r>
    <x v="0"/>
    <x v="0"/>
    <x v="0"/>
    <x v="0"/>
    <x v="0"/>
    <s v="DK1_Large"/>
    <x v="2"/>
    <s v="GNR_ST_MSW_BP_E-19"/>
    <x v="0"/>
    <x v="4"/>
    <n v="30.430005546987399"/>
    <n v="11106.9520246504"/>
    <n v="39985.027288741403"/>
  </r>
  <r>
    <x v="0"/>
    <x v="0"/>
    <x v="0"/>
    <x v="0"/>
    <x v="0"/>
    <s v="DK1_Large"/>
    <x v="2"/>
    <s v="GNR_ST_MSW_BP_E-19"/>
    <x v="0"/>
    <x v="16"/>
    <n v="30.430005546987399"/>
    <n v="11106.9520246504"/>
    <n v="39985.027288741403"/>
  </r>
  <r>
    <x v="0"/>
    <x v="0"/>
    <x v="0"/>
    <x v="0"/>
    <x v="0"/>
    <s v="DK1_Large"/>
    <x v="2"/>
    <s v="GNR_ST_MSW_BP_E-19"/>
    <x v="0"/>
    <x v="5"/>
    <n v="30.430005546987399"/>
    <n v="11106.9520246504"/>
    <n v="39985.027288741403"/>
  </r>
  <r>
    <x v="0"/>
    <x v="0"/>
    <x v="0"/>
    <x v="0"/>
    <x v="0"/>
    <s v="DK1_Large"/>
    <x v="2"/>
    <s v="GNR_ST_MSW_BP_E-19"/>
    <x v="0"/>
    <x v="17"/>
    <n v="30.430005546987399"/>
    <n v="11106.9520246504"/>
    <n v="39985.027288741403"/>
  </r>
  <r>
    <x v="0"/>
    <x v="0"/>
    <x v="0"/>
    <x v="0"/>
    <x v="0"/>
    <s v="DK1_Large"/>
    <x v="2"/>
    <s v="GNR_ST_MSW_BP_E-19"/>
    <x v="0"/>
    <x v="18"/>
    <n v="30.430005546987399"/>
    <n v="11106.9520246504"/>
    <n v="39985.027288741403"/>
  </r>
  <r>
    <x v="0"/>
    <x v="0"/>
    <x v="0"/>
    <x v="0"/>
    <x v="0"/>
    <s v="DK1_Large"/>
    <x v="2"/>
    <s v="GNR_ST_MSW_BP_E-19"/>
    <x v="0"/>
    <x v="19"/>
    <n v="30.430005546987399"/>
    <n v="11106.9520246504"/>
    <n v="39985.027288741403"/>
  </r>
  <r>
    <x v="0"/>
    <x v="0"/>
    <x v="0"/>
    <x v="0"/>
    <x v="0"/>
    <s v="DK1_Large"/>
    <x v="2"/>
    <s v="GNR_ST_MSW_BP_E-19"/>
    <x v="0"/>
    <x v="20"/>
    <n v="30.430005546987399"/>
    <n v="11106.9520246504"/>
    <n v="39985.027288741403"/>
  </r>
  <r>
    <x v="0"/>
    <x v="0"/>
    <x v="0"/>
    <x v="0"/>
    <x v="0"/>
    <s v="DK1_Large"/>
    <x v="2"/>
    <s v="GNR_ST_MSW_BP_E-19"/>
    <x v="0"/>
    <x v="21"/>
    <n v="30.430005546987399"/>
    <n v="11106.9520246504"/>
    <n v="39985.027288741403"/>
  </r>
  <r>
    <x v="0"/>
    <x v="0"/>
    <x v="0"/>
    <x v="0"/>
    <x v="0"/>
    <s v="DK1_Large"/>
    <x v="2"/>
    <s v="GNR_ST_MSW_BP_E-19"/>
    <x v="0"/>
    <x v="22"/>
    <n v="30.430005546987399"/>
    <n v="11106.9520246504"/>
    <n v="39985.027288741403"/>
  </r>
  <r>
    <x v="0"/>
    <x v="0"/>
    <x v="0"/>
    <x v="0"/>
    <x v="0"/>
    <s v="DK1_Large"/>
    <x v="2"/>
    <s v="GNR_ST_MSW_BP_E-19"/>
    <x v="0"/>
    <x v="23"/>
    <n v="30.430005546987399"/>
    <n v="11106.9520246504"/>
    <n v="39985.027288741403"/>
  </r>
  <r>
    <x v="0"/>
    <x v="0"/>
    <x v="0"/>
    <x v="0"/>
    <x v="0"/>
    <s v="DK1_Large"/>
    <x v="2"/>
    <s v="GNR_ST_MSW_BP_E-22"/>
    <x v="0"/>
    <x v="6"/>
    <n v="104.814463550734"/>
    <n v="38257.279196018098"/>
    <n v="137726.20510566499"/>
  </r>
  <r>
    <x v="0"/>
    <x v="0"/>
    <x v="0"/>
    <x v="0"/>
    <x v="0"/>
    <s v="DK1_Large"/>
    <x v="2"/>
    <s v="GNR_ST_MSW_BP_E-22"/>
    <x v="0"/>
    <x v="7"/>
    <n v="104.814463550734"/>
    <n v="38257.279196018098"/>
    <n v="137726.20510566499"/>
  </r>
  <r>
    <x v="0"/>
    <x v="0"/>
    <x v="0"/>
    <x v="0"/>
    <x v="0"/>
    <s v="DK1_Large"/>
    <x v="2"/>
    <s v="GNR_ST_MSW_BP_E-22"/>
    <x v="0"/>
    <x v="8"/>
    <n v="104.814463550734"/>
    <n v="38257.279196018098"/>
    <n v="137726.20510566499"/>
  </r>
  <r>
    <x v="0"/>
    <x v="0"/>
    <x v="0"/>
    <x v="0"/>
    <x v="0"/>
    <s v="DK1_Large"/>
    <x v="2"/>
    <s v="GNR_ST_MSW_BP_E-22"/>
    <x v="0"/>
    <x v="9"/>
    <n v="104.814463550734"/>
    <n v="38257.279196018098"/>
    <n v="137726.20510566499"/>
  </r>
  <r>
    <x v="0"/>
    <x v="0"/>
    <x v="0"/>
    <x v="0"/>
    <x v="0"/>
    <s v="DK1_Large"/>
    <x v="2"/>
    <s v="GNR_ST_MSW_BP_E-22"/>
    <x v="0"/>
    <x v="10"/>
    <n v="104.814463550734"/>
    <n v="38257.279196018098"/>
    <n v="137726.20510566499"/>
  </r>
  <r>
    <x v="0"/>
    <x v="0"/>
    <x v="0"/>
    <x v="0"/>
    <x v="0"/>
    <s v="DK1_Large"/>
    <x v="2"/>
    <s v="GNR_ST_MSW_BP_E-22"/>
    <x v="0"/>
    <x v="11"/>
    <n v="104.814463550734"/>
    <n v="38257.279196018098"/>
    <n v="137726.20510566499"/>
  </r>
  <r>
    <x v="0"/>
    <x v="0"/>
    <x v="0"/>
    <x v="0"/>
    <x v="0"/>
    <s v="DK1_Large"/>
    <x v="2"/>
    <s v="GNR_ST_MSW_BP_E-22"/>
    <x v="0"/>
    <x v="0"/>
    <n v="104.814463550734"/>
    <n v="38257.279196018098"/>
    <n v="137726.20510566499"/>
  </r>
  <r>
    <x v="0"/>
    <x v="0"/>
    <x v="0"/>
    <x v="0"/>
    <x v="0"/>
    <s v="DK1_Large"/>
    <x v="2"/>
    <s v="GNR_ST_MSW_BP_E-22"/>
    <x v="0"/>
    <x v="1"/>
    <n v="104.814463550734"/>
    <n v="38257.279196018098"/>
    <n v="137726.20510566499"/>
  </r>
  <r>
    <x v="0"/>
    <x v="0"/>
    <x v="0"/>
    <x v="0"/>
    <x v="0"/>
    <s v="DK1_Large"/>
    <x v="2"/>
    <s v="GNR_ST_MSW_BP_E-22"/>
    <x v="0"/>
    <x v="2"/>
    <n v="104.814463550734"/>
    <n v="38257.279196018098"/>
    <n v="137726.20510566499"/>
  </r>
  <r>
    <x v="0"/>
    <x v="0"/>
    <x v="0"/>
    <x v="0"/>
    <x v="0"/>
    <s v="DK1_Large"/>
    <x v="2"/>
    <s v="GNR_ST_MSW_BP_E-22"/>
    <x v="0"/>
    <x v="3"/>
    <n v="104.814463550734"/>
    <n v="38257.279196018098"/>
    <n v="137726.20510566499"/>
  </r>
  <r>
    <x v="0"/>
    <x v="0"/>
    <x v="0"/>
    <x v="0"/>
    <x v="0"/>
    <s v="DK1_Large"/>
    <x v="2"/>
    <s v="GNR_ST_MSW_BP_E-22"/>
    <x v="0"/>
    <x v="12"/>
    <n v="104.814463550734"/>
    <n v="38257.279196018098"/>
    <n v="137726.20510566499"/>
  </r>
  <r>
    <x v="0"/>
    <x v="0"/>
    <x v="0"/>
    <x v="0"/>
    <x v="0"/>
    <s v="DK1_Large"/>
    <x v="2"/>
    <s v="GNR_ST_MSW_BP_E-22"/>
    <x v="0"/>
    <x v="13"/>
    <n v="104.814463550734"/>
    <n v="38257.279196018098"/>
    <n v="137726.20510566499"/>
  </r>
  <r>
    <x v="0"/>
    <x v="0"/>
    <x v="0"/>
    <x v="0"/>
    <x v="0"/>
    <s v="DK1_Large"/>
    <x v="2"/>
    <s v="GNR_ST_MSW_BP_E-22"/>
    <x v="0"/>
    <x v="14"/>
    <n v="104.814463550734"/>
    <n v="38257.279196018098"/>
    <n v="137726.20510566499"/>
  </r>
  <r>
    <x v="0"/>
    <x v="0"/>
    <x v="0"/>
    <x v="0"/>
    <x v="0"/>
    <s v="DK1_Large"/>
    <x v="2"/>
    <s v="GNR_ST_MSW_BP_E-22"/>
    <x v="0"/>
    <x v="15"/>
    <n v="104.814463550734"/>
    <n v="38257.279196018098"/>
    <n v="137726.20510566499"/>
  </r>
  <r>
    <x v="0"/>
    <x v="0"/>
    <x v="0"/>
    <x v="0"/>
    <x v="0"/>
    <s v="DK1_Large"/>
    <x v="2"/>
    <s v="GNR_ST_MSW_BP_E-22"/>
    <x v="0"/>
    <x v="4"/>
    <n v="104.814463550734"/>
    <n v="38257.279196018098"/>
    <n v="137726.20510566499"/>
  </r>
  <r>
    <x v="0"/>
    <x v="0"/>
    <x v="0"/>
    <x v="0"/>
    <x v="0"/>
    <s v="DK1_Large"/>
    <x v="2"/>
    <s v="GNR_ST_MSW_BP_E-22"/>
    <x v="0"/>
    <x v="16"/>
    <n v="104.814463550734"/>
    <n v="38257.279196018098"/>
    <n v="137726.20510566499"/>
  </r>
  <r>
    <x v="0"/>
    <x v="0"/>
    <x v="0"/>
    <x v="0"/>
    <x v="0"/>
    <s v="DK1_Large"/>
    <x v="2"/>
    <s v="GNR_ST_MSW_BP_E-22"/>
    <x v="0"/>
    <x v="5"/>
    <n v="104.814463550734"/>
    <n v="38257.279196018098"/>
    <n v="137726.20510566499"/>
  </r>
  <r>
    <x v="0"/>
    <x v="0"/>
    <x v="0"/>
    <x v="0"/>
    <x v="0"/>
    <s v="DK1_Large"/>
    <x v="2"/>
    <s v="GNR_ST_MSW_BP_E-22"/>
    <x v="0"/>
    <x v="17"/>
    <n v="104.814463550734"/>
    <n v="38257.279196018098"/>
    <n v="137726.20510566499"/>
  </r>
  <r>
    <x v="0"/>
    <x v="0"/>
    <x v="0"/>
    <x v="0"/>
    <x v="0"/>
    <s v="DK1_Large"/>
    <x v="2"/>
    <s v="GNR_ST_MSW_BP_E-22"/>
    <x v="0"/>
    <x v="18"/>
    <n v="104.814463550734"/>
    <n v="38257.279196018098"/>
    <n v="137726.20510566499"/>
  </r>
  <r>
    <x v="0"/>
    <x v="0"/>
    <x v="0"/>
    <x v="0"/>
    <x v="0"/>
    <s v="DK1_Large"/>
    <x v="2"/>
    <s v="GNR_ST_MSW_BP_E-22"/>
    <x v="0"/>
    <x v="19"/>
    <n v="104.814463550734"/>
    <n v="38257.279196018098"/>
    <n v="137726.20510566499"/>
  </r>
  <r>
    <x v="0"/>
    <x v="0"/>
    <x v="0"/>
    <x v="0"/>
    <x v="0"/>
    <s v="DK1_Large"/>
    <x v="2"/>
    <s v="GNR_ST_MSW_BP_E-22"/>
    <x v="0"/>
    <x v="20"/>
    <n v="104.814463550734"/>
    <n v="38257.279196018098"/>
    <n v="137726.20510566499"/>
  </r>
  <r>
    <x v="0"/>
    <x v="0"/>
    <x v="0"/>
    <x v="0"/>
    <x v="0"/>
    <s v="DK1_Large"/>
    <x v="2"/>
    <s v="GNR_ST_MSW_BP_E-22"/>
    <x v="0"/>
    <x v="21"/>
    <n v="104.814463550734"/>
    <n v="38257.279196018098"/>
    <n v="137726.20510566499"/>
  </r>
  <r>
    <x v="0"/>
    <x v="0"/>
    <x v="0"/>
    <x v="0"/>
    <x v="0"/>
    <s v="DK1_Large"/>
    <x v="2"/>
    <s v="GNR_ST_MSW_BP_E-22"/>
    <x v="0"/>
    <x v="22"/>
    <n v="104.814463550734"/>
    <n v="38257.279196018098"/>
    <n v="137726.20510566499"/>
  </r>
  <r>
    <x v="0"/>
    <x v="0"/>
    <x v="0"/>
    <x v="0"/>
    <x v="0"/>
    <s v="DK1_Large"/>
    <x v="2"/>
    <s v="GNR_ST_MSW_BP_E-22"/>
    <x v="0"/>
    <x v="23"/>
    <n v="104.814463550734"/>
    <n v="38257.279196018098"/>
    <n v="137726.20510566499"/>
  </r>
  <r>
    <x v="0"/>
    <x v="0"/>
    <x v="0"/>
    <x v="0"/>
    <x v="0"/>
    <s v="DK1_Large"/>
    <x v="2"/>
    <s v="GNR_ST_MSW_BP_E-23"/>
    <x v="0"/>
    <x v="6"/>
    <n v="121.922888891596"/>
    <n v="44501.854445432597"/>
    <n v="160206.67600355699"/>
  </r>
  <r>
    <x v="0"/>
    <x v="0"/>
    <x v="0"/>
    <x v="0"/>
    <x v="0"/>
    <s v="DK1_Large"/>
    <x v="2"/>
    <s v="GNR_ST_MSW_BP_E-23"/>
    <x v="0"/>
    <x v="7"/>
    <n v="121.922888891596"/>
    <n v="44501.854445432597"/>
    <n v="160206.67600355699"/>
  </r>
  <r>
    <x v="0"/>
    <x v="0"/>
    <x v="0"/>
    <x v="0"/>
    <x v="0"/>
    <s v="DK1_Large"/>
    <x v="2"/>
    <s v="GNR_ST_MSW_BP_E-23"/>
    <x v="0"/>
    <x v="8"/>
    <n v="121.922888891596"/>
    <n v="44501.854445432597"/>
    <n v="160206.67600355699"/>
  </r>
  <r>
    <x v="0"/>
    <x v="0"/>
    <x v="0"/>
    <x v="0"/>
    <x v="0"/>
    <s v="DK1_Large"/>
    <x v="2"/>
    <s v="GNR_ST_MSW_BP_E-23"/>
    <x v="0"/>
    <x v="9"/>
    <n v="121.922888891596"/>
    <n v="44501.854445432597"/>
    <n v="160206.67600355699"/>
  </r>
  <r>
    <x v="0"/>
    <x v="0"/>
    <x v="0"/>
    <x v="0"/>
    <x v="0"/>
    <s v="DK1_Large"/>
    <x v="2"/>
    <s v="GNR_ST_MSW_BP_E-23"/>
    <x v="0"/>
    <x v="10"/>
    <n v="121.922888891596"/>
    <n v="44501.854445432597"/>
    <n v="160206.67600355699"/>
  </r>
  <r>
    <x v="0"/>
    <x v="0"/>
    <x v="0"/>
    <x v="0"/>
    <x v="0"/>
    <s v="DK1_Large"/>
    <x v="2"/>
    <s v="GNR_ST_MSW_BP_E-23"/>
    <x v="0"/>
    <x v="11"/>
    <n v="121.922888891596"/>
    <n v="44501.854445432597"/>
    <n v="160206.67600355699"/>
  </r>
  <r>
    <x v="0"/>
    <x v="0"/>
    <x v="0"/>
    <x v="0"/>
    <x v="0"/>
    <s v="DK1_Large"/>
    <x v="2"/>
    <s v="GNR_ST_MSW_BP_E-23"/>
    <x v="0"/>
    <x v="0"/>
    <n v="121.922888891596"/>
    <n v="44501.854445432597"/>
    <n v="160206.67600355699"/>
  </r>
  <r>
    <x v="0"/>
    <x v="0"/>
    <x v="0"/>
    <x v="0"/>
    <x v="0"/>
    <s v="DK1_Large"/>
    <x v="2"/>
    <s v="GNR_ST_MSW_BP_E-23"/>
    <x v="0"/>
    <x v="1"/>
    <n v="121.922888891596"/>
    <n v="44501.854445432597"/>
    <n v="160206.67600355699"/>
  </r>
  <r>
    <x v="0"/>
    <x v="0"/>
    <x v="0"/>
    <x v="0"/>
    <x v="0"/>
    <s v="DK1_Large"/>
    <x v="2"/>
    <s v="GNR_ST_MSW_BP_E-23"/>
    <x v="0"/>
    <x v="2"/>
    <n v="121.922888891596"/>
    <n v="44501.854445432597"/>
    <n v="160206.67600355699"/>
  </r>
  <r>
    <x v="0"/>
    <x v="0"/>
    <x v="0"/>
    <x v="0"/>
    <x v="0"/>
    <s v="DK1_Large"/>
    <x v="2"/>
    <s v="GNR_ST_MSW_BP_E-23"/>
    <x v="0"/>
    <x v="3"/>
    <n v="121.922888891596"/>
    <n v="44501.854445432597"/>
    <n v="160206.67600355699"/>
  </r>
  <r>
    <x v="0"/>
    <x v="0"/>
    <x v="0"/>
    <x v="0"/>
    <x v="0"/>
    <s v="DK1_Large"/>
    <x v="2"/>
    <s v="GNR_ST_MSW_BP_E-23"/>
    <x v="0"/>
    <x v="12"/>
    <n v="121.922888891596"/>
    <n v="44501.854445432597"/>
    <n v="160206.67600355699"/>
  </r>
  <r>
    <x v="0"/>
    <x v="0"/>
    <x v="0"/>
    <x v="0"/>
    <x v="0"/>
    <s v="DK1_Large"/>
    <x v="2"/>
    <s v="GNR_ST_MSW_BP_E-23"/>
    <x v="0"/>
    <x v="13"/>
    <n v="121.922888891596"/>
    <n v="44501.854445432597"/>
    <n v="160206.67600355699"/>
  </r>
  <r>
    <x v="0"/>
    <x v="0"/>
    <x v="0"/>
    <x v="0"/>
    <x v="0"/>
    <s v="DK1_Large"/>
    <x v="2"/>
    <s v="GNR_ST_MSW_BP_E-23"/>
    <x v="0"/>
    <x v="14"/>
    <n v="121.922888891596"/>
    <n v="44501.854445432597"/>
    <n v="160206.67600355699"/>
  </r>
  <r>
    <x v="0"/>
    <x v="0"/>
    <x v="0"/>
    <x v="0"/>
    <x v="0"/>
    <s v="DK1_Large"/>
    <x v="2"/>
    <s v="GNR_ST_MSW_BP_E-23"/>
    <x v="0"/>
    <x v="15"/>
    <n v="121.922888891596"/>
    <n v="44501.854445432597"/>
    <n v="160206.67600355699"/>
  </r>
  <r>
    <x v="0"/>
    <x v="0"/>
    <x v="0"/>
    <x v="0"/>
    <x v="0"/>
    <s v="DK1_Large"/>
    <x v="2"/>
    <s v="GNR_ST_MSW_BP_E-23"/>
    <x v="0"/>
    <x v="4"/>
    <n v="121.922888891596"/>
    <n v="44501.854445432597"/>
    <n v="160206.67600355699"/>
  </r>
  <r>
    <x v="0"/>
    <x v="0"/>
    <x v="0"/>
    <x v="0"/>
    <x v="0"/>
    <s v="DK1_Large"/>
    <x v="2"/>
    <s v="GNR_ST_MSW_BP_E-23"/>
    <x v="0"/>
    <x v="16"/>
    <n v="121.922888891596"/>
    <n v="44501.854445432597"/>
    <n v="160206.67600355699"/>
  </r>
  <r>
    <x v="0"/>
    <x v="0"/>
    <x v="0"/>
    <x v="0"/>
    <x v="0"/>
    <s v="DK1_Large"/>
    <x v="2"/>
    <s v="GNR_ST_MSW_BP_E-23"/>
    <x v="0"/>
    <x v="5"/>
    <n v="121.922888891596"/>
    <n v="44501.854445432597"/>
    <n v="160206.67600355699"/>
  </r>
  <r>
    <x v="0"/>
    <x v="0"/>
    <x v="0"/>
    <x v="0"/>
    <x v="0"/>
    <s v="DK1_Large"/>
    <x v="2"/>
    <s v="GNR_ST_MSW_BP_E-23"/>
    <x v="0"/>
    <x v="17"/>
    <n v="121.922888891596"/>
    <n v="44501.854445432597"/>
    <n v="160206.67600355699"/>
  </r>
  <r>
    <x v="0"/>
    <x v="0"/>
    <x v="0"/>
    <x v="0"/>
    <x v="0"/>
    <s v="DK1_Large"/>
    <x v="2"/>
    <s v="GNR_ST_MSW_BP_E-23"/>
    <x v="0"/>
    <x v="18"/>
    <n v="121.922888891596"/>
    <n v="44501.854445432597"/>
    <n v="160206.67600355699"/>
  </r>
  <r>
    <x v="0"/>
    <x v="0"/>
    <x v="0"/>
    <x v="0"/>
    <x v="0"/>
    <s v="DK1_Large"/>
    <x v="2"/>
    <s v="GNR_ST_MSW_BP_E-23"/>
    <x v="0"/>
    <x v="19"/>
    <n v="121.922888891596"/>
    <n v="44501.854445432597"/>
    <n v="160206.67600355699"/>
  </r>
  <r>
    <x v="0"/>
    <x v="0"/>
    <x v="0"/>
    <x v="0"/>
    <x v="0"/>
    <s v="DK1_Large"/>
    <x v="2"/>
    <s v="GNR_ST_MSW_BP_E-23"/>
    <x v="0"/>
    <x v="20"/>
    <n v="121.922888891596"/>
    <n v="44501.854445432597"/>
    <n v="160206.67600355699"/>
  </r>
  <r>
    <x v="0"/>
    <x v="0"/>
    <x v="0"/>
    <x v="0"/>
    <x v="0"/>
    <s v="DK1_Large"/>
    <x v="2"/>
    <s v="GNR_ST_MSW_BP_E-23"/>
    <x v="0"/>
    <x v="21"/>
    <n v="121.922888891596"/>
    <n v="44501.854445432597"/>
    <n v="160206.67600355699"/>
  </r>
  <r>
    <x v="0"/>
    <x v="0"/>
    <x v="0"/>
    <x v="0"/>
    <x v="0"/>
    <s v="DK1_Large"/>
    <x v="2"/>
    <s v="GNR_ST_MSW_BP_E-23"/>
    <x v="0"/>
    <x v="22"/>
    <n v="121.922888891596"/>
    <n v="44501.854445432597"/>
    <n v="160206.67600355699"/>
  </r>
  <r>
    <x v="0"/>
    <x v="0"/>
    <x v="0"/>
    <x v="0"/>
    <x v="0"/>
    <s v="DK1_Large"/>
    <x v="2"/>
    <s v="GNR_ST_MSW_BP_E-23"/>
    <x v="0"/>
    <x v="23"/>
    <n v="121.922888891596"/>
    <n v="44501.854445432597"/>
    <n v="160206.67600355699"/>
  </r>
  <r>
    <x v="0"/>
    <x v="0"/>
    <x v="0"/>
    <x v="0"/>
    <x v="0"/>
    <s v="DK1_Large"/>
    <x v="2"/>
    <s v="GNR_ST_MSW_BP_E-27"/>
    <x v="0"/>
    <x v="6"/>
    <n v="60.521899921230499"/>
    <n v="22090.493471249101"/>
    <n v="79525.776496496896"/>
  </r>
  <r>
    <x v="0"/>
    <x v="0"/>
    <x v="0"/>
    <x v="0"/>
    <x v="0"/>
    <s v="DK1_Large"/>
    <x v="2"/>
    <s v="GNR_ST_MSW_BP_E-27"/>
    <x v="0"/>
    <x v="7"/>
    <n v="60.521899921230499"/>
    <n v="22090.493471249101"/>
    <n v="79525.776496496896"/>
  </r>
  <r>
    <x v="0"/>
    <x v="0"/>
    <x v="0"/>
    <x v="0"/>
    <x v="0"/>
    <s v="DK1_Large"/>
    <x v="2"/>
    <s v="GNR_ST_MSW_BP_E-27"/>
    <x v="0"/>
    <x v="8"/>
    <n v="60.521899921230499"/>
    <n v="22090.493471249101"/>
    <n v="79525.776496496896"/>
  </r>
  <r>
    <x v="0"/>
    <x v="0"/>
    <x v="0"/>
    <x v="0"/>
    <x v="0"/>
    <s v="DK1_Large"/>
    <x v="2"/>
    <s v="GNR_ST_MSW_BP_E-27"/>
    <x v="0"/>
    <x v="9"/>
    <n v="60.521899921230499"/>
    <n v="22090.493471249101"/>
    <n v="79525.776496496896"/>
  </r>
  <r>
    <x v="0"/>
    <x v="0"/>
    <x v="0"/>
    <x v="0"/>
    <x v="0"/>
    <s v="DK1_Large"/>
    <x v="2"/>
    <s v="GNR_ST_MSW_BP_E-27"/>
    <x v="0"/>
    <x v="10"/>
    <n v="60.521899921230499"/>
    <n v="22090.493471249101"/>
    <n v="79525.776496496896"/>
  </r>
  <r>
    <x v="0"/>
    <x v="0"/>
    <x v="0"/>
    <x v="0"/>
    <x v="0"/>
    <s v="DK1_Large"/>
    <x v="2"/>
    <s v="GNR_ST_MSW_BP_E-27"/>
    <x v="0"/>
    <x v="11"/>
    <n v="60.521899921230499"/>
    <n v="22090.493471249101"/>
    <n v="79525.776496496896"/>
  </r>
  <r>
    <x v="0"/>
    <x v="0"/>
    <x v="0"/>
    <x v="0"/>
    <x v="0"/>
    <s v="DK1_Large"/>
    <x v="2"/>
    <s v="GNR_ST_MSW_BP_E-27"/>
    <x v="0"/>
    <x v="0"/>
    <n v="60.521899921230499"/>
    <n v="22090.493471249101"/>
    <n v="79525.776496496896"/>
  </r>
  <r>
    <x v="0"/>
    <x v="0"/>
    <x v="0"/>
    <x v="0"/>
    <x v="0"/>
    <s v="DK1_Large"/>
    <x v="2"/>
    <s v="GNR_ST_MSW_BP_E-27"/>
    <x v="0"/>
    <x v="1"/>
    <n v="60.521899921230499"/>
    <n v="22090.493471249101"/>
    <n v="79525.776496496896"/>
  </r>
  <r>
    <x v="0"/>
    <x v="0"/>
    <x v="0"/>
    <x v="0"/>
    <x v="0"/>
    <s v="DK1_Large"/>
    <x v="2"/>
    <s v="GNR_ST_MSW_BP_E-27"/>
    <x v="0"/>
    <x v="2"/>
    <n v="60.521899921230499"/>
    <n v="22090.493471249101"/>
    <n v="79525.776496496896"/>
  </r>
  <r>
    <x v="0"/>
    <x v="0"/>
    <x v="0"/>
    <x v="0"/>
    <x v="0"/>
    <s v="DK1_Large"/>
    <x v="2"/>
    <s v="GNR_ST_MSW_BP_E-27"/>
    <x v="0"/>
    <x v="3"/>
    <n v="60.521899921230499"/>
    <n v="22090.493471249101"/>
    <n v="79525.776496496896"/>
  </r>
  <r>
    <x v="0"/>
    <x v="0"/>
    <x v="0"/>
    <x v="0"/>
    <x v="0"/>
    <s v="DK1_Large"/>
    <x v="2"/>
    <s v="GNR_ST_MSW_BP_E-27"/>
    <x v="0"/>
    <x v="12"/>
    <n v="60.521899921230499"/>
    <n v="22090.493471249101"/>
    <n v="79525.776496496896"/>
  </r>
  <r>
    <x v="0"/>
    <x v="0"/>
    <x v="0"/>
    <x v="0"/>
    <x v="0"/>
    <s v="DK1_Large"/>
    <x v="2"/>
    <s v="GNR_ST_MSW_BP_E-27"/>
    <x v="0"/>
    <x v="13"/>
    <n v="60.521899921230499"/>
    <n v="22090.493471249101"/>
    <n v="79525.776496496896"/>
  </r>
  <r>
    <x v="0"/>
    <x v="0"/>
    <x v="0"/>
    <x v="0"/>
    <x v="0"/>
    <s v="DK1_Large"/>
    <x v="2"/>
    <s v="GNR_ST_MSW_BP_E-27"/>
    <x v="0"/>
    <x v="14"/>
    <n v="60.521899921230499"/>
    <n v="22090.493471249101"/>
    <n v="79525.776496496896"/>
  </r>
  <r>
    <x v="0"/>
    <x v="0"/>
    <x v="0"/>
    <x v="0"/>
    <x v="0"/>
    <s v="DK1_Large"/>
    <x v="2"/>
    <s v="GNR_ST_MSW_BP_E-27"/>
    <x v="0"/>
    <x v="15"/>
    <n v="60.521899921230499"/>
    <n v="22090.493471249101"/>
    <n v="79525.776496496896"/>
  </r>
  <r>
    <x v="0"/>
    <x v="0"/>
    <x v="0"/>
    <x v="0"/>
    <x v="0"/>
    <s v="DK1_Large"/>
    <x v="2"/>
    <s v="GNR_ST_MSW_BP_E-27"/>
    <x v="0"/>
    <x v="4"/>
    <n v="60.521899921230499"/>
    <n v="22090.493471249101"/>
    <n v="79525.776496496896"/>
  </r>
  <r>
    <x v="0"/>
    <x v="0"/>
    <x v="0"/>
    <x v="0"/>
    <x v="0"/>
    <s v="DK1_Large"/>
    <x v="2"/>
    <s v="GNR_ST_MSW_BP_E-27"/>
    <x v="0"/>
    <x v="16"/>
    <n v="60.521899921230499"/>
    <n v="22090.493471249101"/>
    <n v="79525.776496496896"/>
  </r>
  <r>
    <x v="0"/>
    <x v="0"/>
    <x v="0"/>
    <x v="0"/>
    <x v="0"/>
    <s v="DK1_Large"/>
    <x v="2"/>
    <s v="GNR_ST_MSW_BP_E-27"/>
    <x v="0"/>
    <x v="5"/>
    <n v="60.521899921230499"/>
    <n v="22090.493471249101"/>
    <n v="79525.776496496896"/>
  </r>
  <r>
    <x v="0"/>
    <x v="0"/>
    <x v="0"/>
    <x v="0"/>
    <x v="0"/>
    <s v="DK1_Large"/>
    <x v="2"/>
    <s v="GNR_ST_MSW_BP_E-27"/>
    <x v="0"/>
    <x v="17"/>
    <n v="60.521899921230499"/>
    <n v="22090.493471249101"/>
    <n v="79525.776496496896"/>
  </r>
  <r>
    <x v="0"/>
    <x v="0"/>
    <x v="0"/>
    <x v="0"/>
    <x v="0"/>
    <s v="DK1_Large"/>
    <x v="2"/>
    <s v="GNR_ST_MSW_BP_E-27"/>
    <x v="0"/>
    <x v="18"/>
    <n v="60.521899921230499"/>
    <n v="22090.493471249101"/>
    <n v="79525.776496496896"/>
  </r>
  <r>
    <x v="0"/>
    <x v="0"/>
    <x v="0"/>
    <x v="0"/>
    <x v="0"/>
    <s v="DK1_Large"/>
    <x v="2"/>
    <s v="GNR_ST_MSW_BP_E-27"/>
    <x v="0"/>
    <x v="19"/>
    <n v="60.521899921230499"/>
    <n v="22090.493471249101"/>
    <n v="79525.776496496896"/>
  </r>
  <r>
    <x v="0"/>
    <x v="0"/>
    <x v="0"/>
    <x v="0"/>
    <x v="0"/>
    <s v="DK1_Large"/>
    <x v="2"/>
    <s v="GNR_ST_MSW_BP_E-27"/>
    <x v="0"/>
    <x v="20"/>
    <n v="60.521899921230499"/>
    <n v="22090.493471249101"/>
    <n v="79525.776496496896"/>
  </r>
  <r>
    <x v="0"/>
    <x v="0"/>
    <x v="0"/>
    <x v="0"/>
    <x v="0"/>
    <s v="DK1_Large"/>
    <x v="2"/>
    <s v="GNR_ST_MSW_BP_E-27"/>
    <x v="0"/>
    <x v="21"/>
    <n v="60.521899921230499"/>
    <n v="22090.493471249101"/>
    <n v="79525.776496496896"/>
  </r>
  <r>
    <x v="0"/>
    <x v="0"/>
    <x v="0"/>
    <x v="0"/>
    <x v="0"/>
    <s v="DK1_Large"/>
    <x v="2"/>
    <s v="GNR_ST_MSW_BP_E-27"/>
    <x v="0"/>
    <x v="22"/>
    <n v="60.521899921230499"/>
    <n v="22090.493471249101"/>
    <n v="79525.776496496896"/>
  </r>
  <r>
    <x v="0"/>
    <x v="0"/>
    <x v="0"/>
    <x v="0"/>
    <x v="0"/>
    <s v="DK1_Large"/>
    <x v="2"/>
    <s v="GNR_ST_MSW_BP_E-27"/>
    <x v="0"/>
    <x v="23"/>
    <n v="60.521899921230499"/>
    <n v="22090.493471249101"/>
    <n v="79525.776496496896"/>
  </r>
  <r>
    <x v="0"/>
    <x v="0"/>
    <x v="0"/>
    <x v="0"/>
    <x v="0"/>
    <s v="DK1_Large"/>
    <x v="3"/>
    <s v="GNR_ENG_NGAS_BP_E-34"/>
    <x v="0"/>
    <x v="6"/>
    <n v="1.16333333333333"/>
    <n v="424.61666666666702"/>
    <n v="1528.62"/>
  </r>
  <r>
    <x v="0"/>
    <x v="0"/>
    <x v="0"/>
    <x v="0"/>
    <x v="0"/>
    <s v="DK1_Large"/>
    <x v="3"/>
    <s v="GNR_ENG_NGAS_BP_E-34"/>
    <x v="0"/>
    <x v="7"/>
    <n v="1.16333333333333"/>
    <n v="424.61666666666702"/>
    <n v="1528.62"/>
  </r>
  <r>
    <x v="0"/>
    <x v="0"/>
    <x v="0"/>
    <x v="0"/>
    <x v="0"/>
    <s v="DK1_Large"/>
    <x v="3"/>
    <s v="GNR_ENG_NGAS_BP_E-34"/>
    <x v="0"/>
    <x v="8"/>
    <n v="1.16333333333333"/>
    <n v="424.61666666666702"/>
    <n v="1528.62"/>
  </r>
  <r>
    <x v="0"/>
    <x v="0"/>
    <x v="0"/>
    <x v="0"/>
    <x v="0"/>
    <s v="DK1_Large"/>
    <x v="3"/>
    <s v="GNR_ENG_NGAS_BP_E-34"/>
    <x v="0"/>
    <x v="9"/>
    <n v="1.16333333333333"/>
    <n v="424.61666666666702"/>
    <n v="1528.62"/>
  </r>
  <r>
    <x v="0"/>
    <x v="0"/>
    <x v="0"/>
    <x v="0"/>
    <x v="0"/>
    <s v="DK1_Large"/>
    <x v="3"/>
    <s v="GNR_ENG_NGAS_BP_E-34"/>
    <x v="0"/>
    <x v="10"/>
    <n v="1.16333333333333"/>
    <n v="424.61666666666702"/>
    <n v="1528.62"/>
  </r>
  <r>
    <x v="0"/>
    <x v="0"/>
    <x v="0"/>
    <x v="0"/>
    <x v="0"/>
    <s v="DK1_Large"/>
    <x v="3"/>
    <s v="GNR_ENG_NGAS_BP_E-34"/>
    <x v="0"/>
    <x v="11"/>
    <n v="1.16333333333333"/>
    <n v="424.61666666666702"/>
    <n v="1528.62"/>
  </r>
  <r>
    <x v="0"/>
    <x v="0"/>
    <x v="0"/>
    <x v="0"/>
    <x v="0"/>
    <s v="DK1_Large"/>
    <x v="3"/>
    <s v="GNR_ENG_NGAS_BP_E-34"/>
    <x v="0"/>
    <x v="0"/>
    <n v="1.16333333333333"/>
    <n v="424.61666666666702"/>
    <n v="1528.62"/>
  </r>
  <r>
    <x v="0"/>
    <x v="0"/>
    <x v="0"/>
    <x v="0"/>
    <x v="0"/>
    <s v="DK1_Large"/>
    <x v="3"/>
    <s v="GNR_ENG_NGAS_BP_E-34"/>
    <x v="0"/>
    <x v="1"/>
    <n v="1.16333333333333"/>
    <n v="424.61666666666702"/>
    <n v="1528.62"/>
  </r>
  <r>
    <x v="0"/>
    <x v="0"/>
    <x v="0"/>
    <x v="0"/>
    <x v="0"/>
    <s v="DK1_Large"/>
    <x v="3"/>
    <s v="GNR_ENG_NGAS_BP_E-34"/>
    <x v="0"/>
    <x v="2"/>
    <n v="1.16333333333333"/>
    <n v="424.61666666666702"/>
    <n v="1528.62"/>
  </r>
  <r>
    <x v="0"/>
    <x v="0"/>
    <x v="0"/>
    <x v="0"/>
    <x v="0"/>
    <s v="DK1_Large"/>
    <x v="3"/>
    <s v="GNR_ENG_NGAS_BP_E-34"/>
    <x v="0"/>
    <x v="3"/>
    <n v="1.16333333333333"/>
    <n v="424.61666666666702"/>
    <n v="1528.62"/>
  </r>
  <r>
    <x v="0"/>
    <x v="0"/>
    <x v="0"/>
    <x v="0"/>
    <x v="0"/>
    <s v="DK1_Large"/>
    <x v="3"/>
    <s v="GNR_ENG_NGAS_BP_E-34"/>
    <x v="0"/>
    <x v="12"/>
    <n v="1.16333333333333"/>
    <n v="424.61666666666702"/>
    <n v="1528.62"/>
  </r>
  <r>
    <x v="0"/>
    <x v="0"/>
    <x v="0"/>
    <x v="0"/>
    <x v="0"/>
    <s v="DK1_Large"/>
    <x v="3"/>
    <s v="GNR_ENG_NGAS_BP_E-34"/>
    <x v="0"/>
    <x v="13"/>
    <n v="1.16333333333333"/>
    <n v="424.61666666666702"/>
    <n v="1528.62"/>
  </r>
  <r>
    <x v="0"/>
    <x v="0"/>
    <x v="0"/>
    <x v="0"/>
    <x v="0"/>
    <s v="DK1_Large"/>
    <x v="3"/>
    <s v="GNR_ENG_NGAS_BP_E-34"/>
    <x v="0"/>
    <x v="14"/>
    <n v="1.16333333333333"/>
    <n v="424.61666666666702"/>
    <n v="1528.62"/>
  </r>
  <r>
    <x v="0"/>
    <x v="0"/>
    <x v="0"/>
    <x v="0"/>
    <x v="0"/>
    <s v="DK1_Large"/>
    <x v="3"/>
    <s v="GNR_ENG_NGAS_BP_E-34"/>
    <x v="0"/>
    <x v="15"/>
    <n v="1.16333333333333"/>
    <n v="424.61666666666702"/>
    <n v="1528.62"/>
  </r>
  <r>
    <x v="0"/>
    <x v="0"/>
    <x v="0"/>
    <x v="0"/>
    <x v="0"/>
    <s v="DK1_Large"/>
    <x v="3"/>
    <s v="GNR_ENG_NGAS_BP_E-34"/>
    <x v="0"/>
    <x v="4"/>
    <n v="1.16333333333333"/>
    <n v="424.61666666666702"/>
    <n v="1528.62"/>
  </r>
  <r>
    <x v="0"/>
    <x v="0"/>
    <x v="0"/>
    <x v="0"/>
    <x v="0"/>
    <s v="DK1_Large"/>
    <x v="3"/>
    <s v="GNR_ENG_NGAS_BP_E-34"/>
    <x v="0"/>
    <x v="16"/>
    <n v="1.16333333333333"/>
    <n v="424.61666666666702"/>
    <n v="1528.62"/>
  </r>
  <r>
    <x v="0"/>
    <x v="0"/>
    <x v="0"/>
    <x v="0"/>
    <x v="0"/>
    <s v="DK1_Large"/>
    <x v="3"/>
    <s v="GNR_ENG_NGAS_BP_E-34"/>
    <x v="0"/>
    <x v="5"/>
    <n v="1.16333333333333"/>
    <n v="424.61666666666702"/>
    <n v="1528.62"/>
  </r>
  <r>
    <x v="0"/>
    <x v="0"/>
    <x v="0"/>
    <x v="0"/>
    <x v="0"/>
    <s v="DK1_Large"/>
    <x v="3"/>
    <s v="GNR_ENG_NGAS_BP_E-34"/>
    <x v="0"/>
    <x v="17"/>
    <n v="1.16333333333333"/>
    <n v="424.61666666666702"/>
    <n v="1528.62"/>
  </r>
  <r>
    <x v="0"/>
    <x v="0"/>
    <x v="0"/>
    <x v="0"/>
    <x v="0"/>
    <s v="DK1_Large"/>
    <x v="3"/>
    <s v="GNR_ENG_NGAS_BP_E-34"/>
    <x v="0"/>
    <x v="18"/>
    <n v="1.16333333333333"/>
    <n v="424.61666666666702"/>
    <n v="1528.62"/>
  </r>
  <r>
    <x v="0"/>
    <x v="0"/>
    <x v="0"/>
    <x v="0"/>
    <x v="0"/>
    <s v="DK1_Large"/>
    <x v="3"/>
    <s v="GNR_ENG_NGAS_BP_E-34"/>
    <x v="0"/>
    <x v="19"/>
    <n v="1.16333333333333"/>
    <n v="424.61666666666702"/>
    <n v="1528.62"/>
  </r>
  <r>
    <x v="0"/>
    <x v="0"/>
    <x v="0"/>
    <x v="0"/>
    <x v="0"/>
    <s v="DK1_Large"/>
    <x v="3"/>
    <s v="GNR_ENG_NGAS_BP_E-34"/>
    <x v="0"/>
    <x v="20"/>
    <n v="1.16333333333333"/>
    <n v="424.61666666666702"/>
    <n v="1528.62"/>
  </r>
  <r>
    <x v="0"/>
    <x v="0"/>
    <x v="0"/>
    <x v="0"/>
    <x v="0"/>
    <s v="DK1_Large"/>
    <x v="3"/>
    <s v="GNR_ENG_NGAS_BP_E-34"/>
    <x v="0"/>
    <x v="21"/>
    <n v="1.16333333333333"/>
    <n v="424.61666666666702"/>
    <n v="1528.62"/>
  </r>
  <r>
    <x v="0"/>
    <x v="0"/>
    <x v="0"/>
    <x v="0"/>
    <x v="0"/>
    <s v="DK1_Large"/>
    <x v="3"/>
    <s v="GNR_ENG_NGAS_BP_E-34"/>
    <x v="0"/>
    <x v="22"/>
    <n v="1.16333333333333"/>
    <n v="424.61666666666702"/>
    <n v="1528.62"/>
  </r>
  <r>
    <x v="0"/>
    <x v="0"/>
    <x v="0"/>
    <x v="0"/>
    <x v="0"/>
    <s v="DK1_Large"/>
    <x v="3"/>
    <s v="GNR_ENG_NGAS_BP_E-34"/>
    <x v="0"/>
    <x v="23"/>
    <n v="1.16333333333333"/>
    <n v="424.61666666666702"/>
    <n v="1528.62"/>
  </r>
  <r>
    <x v="0"/>
    <x v="0"/>
    <x v="0"/>
    <x v="0"/>
    <x v="0"/>
    <s v="DK1_Large"/>
    <x v="3"/>
    <s v="GNR_ENG_NGAS_BP_E-38"/>
    <x v="0"/>
    <x v="6"/>
    <n v="3.2533333333333299"/>
    <n v="1187.4666666666701"/>
    <n v="4274.88"/>
  </r>
  <r>
    <x v="0"/>
    <x v="0"/>
    <x v="0"/>
    <x v="0"/>
    <x v="0"/>
    <s v="DK1_Large"/>
    <x v="3"/>
    <s v="GNR_ENG_NGAS_BP_E-38"/>
    <x v="0"/>
    <x v="7"/>
    <n v="3.2533333333333299"/>
    <n v="1187.4666666666701"/>
    <n v="4274.88"/>
  </r>
  <r>
    <x v="0"/>
    <x v="0"/>
    <x v="0"/>
    <x v="0"/>
    <x v="0"/>
    <s v="DK1_Large"/>
    <x v="3"/>
    <s v="GNR_ENG_NGAS_BP_E-38"/>
    <x v="0"/>
    <x v="8"/>
    <n v="3.2533333333333299"/>
    <n v="1187.4666666666701"/>
    <n v="4274.88"/>
  </r>
  <r>
    <x v="0"/>
    <x v="0"/>
    <x v="0"/>
    <x v="0"/>
    <x v="0"/>
    <s v="DK1_Large"/>
    <x v="3"/>
    <s v="GNR_ENG_NGAS_BP_E-38"/>
    <x v="0"/>
    <x v="9"/>
    <n v="3.2533333333333299"/>
    <n v="1187.4666666666701"/>
    <n v="4274.88"/>
  </r>
  <r>
    <x v="0"/>
    <x v="0"/>
    <x v="0"/>
    <x v="0"/>
    <x v="0"/>
    <s v="DK1_Large"/>
    <x v="3"/>
    <s v="GNR_ENG_NGAS_BP_E-38"/>
    <x v="0"/>
    <x v="10"/>
    <n v="3.2533333333333299"/>
    <n v="1187.4666666666701"/>
    <n v="4274.88"/>
  </r>
  <r>
    <x v="0"/>
    <x v="0"/>
    <x v="0"/>
    <x v="0"/>
    <x v="0"/>
    <s v="DK1_Large"/>
    <x v="3"/>
    <s v="GNR_ENG_NGAS_BP_E-38"/>
    <x v="0"/>
    <x v="11"/>
    <n v="3.2533333333333299"/>
    <n v="1187.4666666666701"/>
    <n v="4274.88"/>
  </r>
  <r>
    <x v="0"/>
    <x v="0"/>
    <x v="0"/>
    <x v="0"/>
    <x v="0"/>
    <s v="DK1_Large"/>
    <x v="3"/>
    <s v="GNR_ENG_NGAS_BP_E-38"/>
    <x v="0"/>
    <x v="0"/>
    <n v="3.2533333333333299"/>
    <n v="1187.4666666666701"/>
    <n v="4274.88"/>
  </r>
  <r>
    <x v="0"/>
    <x v="0"/>
    <x v="0"/>
    <x v="0"/>
    <x v="0"/>
    <s v="DK1_Large"/>
    <x v="3"/>
    <s v="GNR_ENG_NGAS_BP_E-38"/>
    <x v="0"/>
    <x v="1"/>
    <n v="3.2533333333333299"/>
    <n v="1187.4666666666701"/>
    <n v="4274.88"/>
  </r>
  <r>
    <x v="0"/>
    <x v="0"/>
    <x v="0"/>
    <x v="0"/>
    <x v="0"/>
    <s v="DK1_Large"/>
    <x v="3"/>
    <s v="GNR_ENG_NGAS_BP_E-38"/>
    <x v="0"/>
    <x v="2"/>
    <n v="3.2533333333333299"/>
    <n v="1187.4666666666701"/>
    <n v="4274.88"/>
  </r>
  <r>
    <x v="0"/>
    <x v="0"/>
    <x v="0"/>
    <x v="0"/>
    <x v="0"/>
    <s v="DK1_Large"/>
    <x v="3"/>
    <s v="GNR_ENG_NGAS_BP_E-38"/>
    <x v="0"/>
    <x v="3"/>
    <n v="3.2533333333333299"/>
    <n v="1187.4666666666701"/>
    <n v="4274.88"/>
  </r>
  <r>
    <x v="0"/>
    <x v="0"/>
    <x v="0"/>
    <x v="0"/>
    <x v="0"/>
    <s v="DK1_Large"/>
    <x v="3"/>
    <s v="GNR_ENG_NGAS_BP_E-38"/>
    <x v="0"/>
    <x v="12"/>
    <n v="3.2533333333333299"/>
    <n v="1187.4666666666701"/>
    <n v="4274.88"/>
  </r>
  <r>
    <x v="0"/>
    <x v="0"/>
    <x v="0"/>
    <x v="0"/>
    <x v="0"/>
    <s v="DK1_Large"/>
    <x v="3"/>
    <s v="GNR_ENG_NGAS_BP_E-38"/>
    <x v="0"/>
    <x v="13"/>
    <n v="3.2533333333333299"/>
    <n v="1187.4666666666701"/>
    <n v="4274.88"/>
  </r>
  <r>
    <x v="0"/>
    <x v="0"/>
    <x v="0"/>
    <x v="0"/>
    <x v="0"/>
    <s v="DK1_Large"/>
    <x v="3"/>
    <s v="GNR_ENG_NGAS_BP_E-38"/>
    <x v="0"/>
    <x v="14"/>
    <n v="3.2533333333333299"/>
    <n v="1187.4666666666701"/>
    <n v="4274.88"/>
  </r>
  <r>
    <x v="0"/>
    <x v="0"/>
    <x v="0"/>
    <x v="0"/>
    <x v="0"/>
    <s v="DK1_Large"/>
    <x v="3"/>
    <s v="GNR_ENG_NGAS_BP_E-38"/>
    <x v="0"/>
    <x v="15"/>
    <n v="3.2533333333333299"/>
    <n v="1187.4666666666701"/>
    <n v="4274.88"/>
  </r>
  <r>
    <x v="0"/>
    <x v="0"/>
    <x v="0"/>
    <x v="0"/>
    <x v="0"/>
    <s v="DK1_Large"/>
    <x v="3"/>
    <s v="GNR_ENG_NGAS_BP_E-38"/>
    <x v="0"/>
    <x v="4"/>
    <n v="3.2533333333333299"/>
    <n v="1187.4666666666701"/>
    <n v="4274.88"/>
  </r>
  <r>
    <x v="0"/>
    <x v="0"/>
    <x v="0"/>
    <x v="0"/>
    <x v="0"/>
    <s v="DK1_Large"/>
    <x v="3"/>
    <s v="GNR_ENG_NGAS_BP_E-38"/>
    <x v="0"/>
    <x v="16"/>
    <n v="3.2533333333333299"/>
    <n v="1187.4666666666701"/>
    <n v="4274.88"/>
  </r>
  <r>
    <x v="0"/>
    <x v="0"/>
    <x v="0"/>
    <x v="0"/>
    <x v="0"/>
    <s v="DK1_Large"/>
    <x v="3"/>
    <s v="GNR_ENG_NGAS_BP_E-38"/>
    <x v="0"/>
    <x v="5"/>
    <n v="3.2533333333333299"/>
    <n v="1187.4666666666701"/>
    <n v="4274.88"/>
  </r>
  <r>
    <x v="0"/>
    <x v="0"/>
    <x v="0"/>
    <x v="0"/>
    <x v="0"/>
    <s v="DK1_Large"/>
    <x v="3"/>
    <s v="GNR_ENG_NGAS_BP_E-38"/>
    <x v="0"/>
    <x v="17"/>
    <n v="3.2533333333333299"/>
    <n v="1187.4666666666701"/>
    <n v="4274.88"/>
  </r>
  <r>
    <x v="0"/>
    <x v="0"/>
    <x v="0"/>
    <x v="0"/>
    <x v="0"/>
    <s v="DK1_Large"/>
    <x v="3"/>
    <s v="GNR_ENG_NGAS_BP_E-38"/>
    <x v="0"/>
    <x v="18"/>
    <n v="3.2533333333333299"/>
    <n v="1187.4666666666701"/>
    <n v="4274.88"/>
  </r>
  <r>
    <x v="0"/>
    <x v="0"/>
    <x v="0"/>
    <x v="0"/>
    <x v="0"/>
    <s v="DK1_Large"/>
    <x v="3"/>
    <s v="GNR_ENG_NGAS_BP_E-38"/>
    <x v="0"/>
    <x v="19"/>
    <n v="3.2533333333333299"/>
    <n v="1187.4666666666701"/>
    <n v="4274.88"/>
  </r>
  <r>
    <x v="0"/>
    <x v="0"/>
    <x v="0"/>
    <x v="0"/>
    <x v="0"/>
    <s v="DK1_Large"/>
    <x v="3"/>
    <s v="GNR_ENG_NGAS_BP_E-38"/>
    <x v="0"/>
    <x v="20"/>
    <n v="3.2533333333333299"/>
    <n v="1187.4666666666701"/>
    <n v="4274.88"/>
  </r>
  <r>
    <x v="0"/>
    <x v="0"/>
    <x v="0"/>
    <x v="0"/>
    <x v="0"/>
    <s v="DK1_Large"/>
    <x v="3"/>
    <s v="GNR_ENG_NGAS_BP_E-38"/>
    <x v="0"/>
    <x v="21"/>
    <n v="3.2533333333333299"/>
    <n v="1187.4666666666701"/>
    <n v="4274.88"/>
  </r>
  <r>
    <x v="0"/>
    <x v="0"/>
    <x v="0"/>
    <x v="0"/>
    <x v="0"/>
    <s v="DK1_Large"/>
    <x v="3"/>
    <s v="GNR_ENG_NGAS_BP_E-38"/>
    <x v="0"/>
    <x v="22"/>
    <n v="3.2533333333333299"/>
    <n v="1187.4666666666701"/>
    <n v="4274.88"/>
  </r>
  <r>
    <x v="0"/>
    <x v="0"/>
    <x v="0"/>
    <x v="0"/>
    <x v="0"/>
    <s v="DK1_Large"/>
    <x v="3"/>
    <s v="GNR_ENG_NGAS_BP_E-38"/>
    <x v="0"/>
    <x v="23"/>
    <n v="3.2533333333333299"/>
    <n v="1187.4666666666701"/>
    <n v="4274.88"/>
  </r>
  <r>
    <x v="0"/>
    <x v="0"/>
    <x v="0"/>
    <x v="0"/>
    <x v="0"/>
    <s v="DK1_Large"/>
    <x v="3"/>
    <s v="GNR_ENG_NGAS_BP_E-39"/>
    <x v="0"/>
    <x v="6"/>
    <n v="14.9555555555556"/>
    <n v="5458.7777777777801"/>
    <n v="19651.599999999999"/>
  </r>
  <r>
    <x v="0"/>
    <x v="0"/>
    <x v="0"/>
    <x v="0"/>
    <x v="0"/>
    <s v="DK1_Large"/>
    <x v="3"/>
    <s v="GNR_ENG_NGAS_BP_E-39"/>
    <x v="0"/>
    <x v="7"/>
    <n v="14.9555555555556"/>
    <n v="5458.7777777777801"/>
    <n v="19651.599999999999"/>
  </r>
  <r>
    <x v="0"/>
    <x v="0"/>
    <x v="0"/>
    <x v="0"/>
    <x v="0"/>
    <s v="DK1_Large"/>
    <x v="3"/>
    <s v="GNR_ENG_NGAS_BP_E-39"/>
    <x v="0"/>
    <x v="8"/>
    <n v="14.9555555555556"/>
    <n v="5458.7777777777801"/>
    <n v="19651.599999999999"/>
  </r>
  <r>
    <x v="0"/>
    <x v="0"/>
    <x v="0"/>
    <x v="0"/>
    <x v="0"/>
    <s v="DK1_Large"/>
    <x v="3"/>
    <s v="GNR_ENG_NGAS_BP_E-39"/>
    <x v="0"/>
    <x v="9"/>
    <n v="14.9555555555556"/>
    <n v="5458.7777777777801"/>
    <n v="19651.599999999999"/>
  </r>
  <r>
    <x v="0"/>
    <x v="0"/>
    <x v="0"/>
    <x v="0"/>
    <x v="0"/>
    <s v="DK1_Large"/>
    <x v="3"/>
    <s v="GNR_ENG_NGAS_BP_E-39"/>
    <x v="0"/>
    <x v="10"/>
    <n v="14.9555555555556"/>
    <n v="5458.7777777777801"/>
    <n v="19651.599999999999"/>
  </r>
  <r>
    <x v="0"/>
    <x v="0"/>
    <x v="0"/>
    <x v="0"/>
    <x v="0"/>
    <s v="DK1_Large"/>
    <x v="3"/>
    <s v="GNR_ENG_NGAS_BP_E-39"/>
    <x v="0"/>
    <x v="11"/>
    <n v="14.9555555555556"/>
    <n v="5458.7777777777801"/>
    <n v="19651.599999999999"/>
  </r>
  <r>
    <x v="0"/>
    <x v="0"/>
    <x v="0"/>
    <x v="0"/>
    <x v="0"/>
    <s v="DK1_Large"/>
    <x v="3"/>
    <s v="GNR_ENG_NGAS_BP_E-39"/>
    <x v="0"/>
    <x v="0"/>
    <n v="14.9555555555556"/>
    <n v="5458.7777777777801"/>
    <n v="19651.599999999999"/>
  </r>
  <r>
    <x v="0"/>
    <x v="0"/>
    <x v="0"/>
    <x v="0"/>
    <x v="0"/>
    <s v="DK1_Large"/>
    <x v="3"/>
    <s v="GNR_ENG_NGAS_BP_E-39"/>
    <x v="0"/>
    <x v="1"/>
    <n v="14.9555555555556"/>
    <n v="5458.7777777777801"/>
    <n v="19651.599999999999"/>
  </r>
  <r>
    <x v="0"/>
    <x v="0"/>
    <x v="0"/>
    <x v="0"/>
    <x v="0"/>
    <s v="DK1_Large"/>
    <x v="3"/>
    <s v="GNR_ENG_NGAS_BP_E-39"/>
    <x v="0"/>
    <x v="2"/>
    <n v="14.9555555555556"/>
    <n v="5458.7777777777801"/>
    <n v="19651.599999999999"/>
  </r>
  <r>
    <x v="0"/>
    <x v="0"/>
    <x v="0"/>
    <x v="0"/>
    <x v="0"/>
    <s v="DK1_Large"/>
    <x v="3"/>
    <s v="GNR_ENG_NGAS_BP_E-39"/>
    <x v="0"/>
    <x v="3"/>
    <n v="14.9555555555556"/>
    <n v="5458.7777777777801"/>
    <n v="19651.599999999999"/>
  </r>
  <r>
    <x v="0"/>
    <x v="0"/>
    <x v="0"/>
    <x v="0"/>
    <x v="0"/>
    <s v="DK1_Large"/>
    <x v="3"/>
    <s v="GNR_ENG_NGAS_BP_E-39"/>
    <x v="0"/>
    <x v="12"/>
    <n v="14.9555555555556"/>
    <n v="5458.7777777777801"/>
    <n v="19651.599999999999"/>
  </r>
  <r>
    <x v="0"/>
    <x v="0"/>
    <x v="0"/>
    <x v="0"/>
    <x v="0"/>
    <s v="DK1_Large"/>
    <x v="3"/>
    <s v="GNR_ENG_NGAS_BP_E-39"/>
    <x v="0"/>
    <x v="13"/>
    <n v="14.9555555555556"/>
    <n v="5458.7777777777801"/>
    <n v="19651.599999999999"/>
  </r>
  <r>
    <x v="0"/>
    <x v="0"/>
    <x v="0"/>
    <x v="0"/>
    <x v="0"/>
    <s v="DK1_Large"/>
    <x v="3"/>
    <s v="GNR_ENG_NGAS_BP_E-39"/>
    <x v="0"/>
    <x v="14"/>
    <n v="14.9555555555556"/>
    <n v="5458.7777777777801"/>
    <n v="19651.599999999999"/>
  </r>
  <r>
    <x v="0"/>
    <x v="0"/>
    <x v="0"/>
    <x v="0"/>
    <x v="0"/>
    <s v="DK1_Large"/>
    <x v="3"/>
    <s v="GNR_ENG_NGAS_BP_E-39"/>
    <x v="0"/>
    <x v="15"/>
    <n v="14.9555555555556"/>
    <n v="5458.7777777777801"/>
    <n v="19651.599999999999"/>
  </r>
  <r>
    <x v="0"/>
    <x v="0"/>
    <x v="0"/>
    <x v="0"/>
    <x v="0"/>
    <s v="DK1_Large"/>
    <x v="3"/>
    <s v="GNR_ENG_NGAS_BP_E-39"/>
    <x v="0"/>
    <x v="4"/>
    <n v="14.9555555555556"/>
    <n v="5458.7777777777801"/>
    <n v="19651.599999999999"/>
  </r>
  <r>
    <x v="0"/>
    <x v="0"/>
    <x v="0"/>
    <x v="0"/>
    <x v="0"/>
    <s v="DK1_Large"/>
    <x v="3"/>
    <s v="GNR_ENG_NGAS_BP_E-39"/>
    <x v="0"/>
    <x v="16"/>
    <n v="14.9555555555556"/>
    <n v="5458.7777777777801"/>
    <n v="19651.599999999999"/>
  </r>
  <r>
    <x v="0"/>
    <x v="0"/>
    <x v="0"/>
    <x v="0"/>
    <x v="0"/>
    <s v="DK1_Large"/>
    <x v="3"/>
    <s v="GNR_ENG_NGAS_BP_E-39"/>
    <x v="0"/>
    <x v="5"/>
    <n v="14.9555555555556"/>
    <n v="5458.7777777777801"/>
    <n v="19651.599999999999"/>
  </r>
  <r>
    <x v="0"/>
    <x v="0"/>
    <x v="0"/>
    <x v="0"/>
    <x v="0"/>
    <s v="DK1_Large"/>
    <x v="3"/>
    <s v="GNR_ENG_NGAS_BP_E-39"/>
    <x v="0"/>
    <x v="17"/>
    <n v="14.9555555555556"/>
    <n v="5458.7777777777801"/>
    <n v="19651.599999999999"/>
  </r>
  <r>
    <x v="0"/>
    <x v="0"/>
    <x v="0"/>
    <x v="0"/>
    <x v="0"/>
    <s v="DK1_Large"/>
    <x v="3"/>
    <s v="GNR_ENG_NGAS_BP_E-39"/>
    <x v="0"/>
    <x v="18"/>
    <n v="14.9555555555556"/>
    <n v="5458.7777777777801"/>
    <n v="19651.599999999999"/>
  </r>
  <r>
    <x v="0"/>
    <x v="0"/>
    <x v="0"/>
    <x v="0"/>
    <x v="0"/>
    <s v="DK1_Large"/>
    <x v="3"/>
    <s v="GNR_ENG_NGAS_BP_E-39"/>
    <x v="0"/>
    <x v="19"/>
    <n v="14.9555555555556"/>
    <n v="5458.7777777777801"/>
    <n v="19651.599999999999"/>
  </r>
  <r>
    <x v="0"/>
    <x v="0"/>
    <x v="0"/>
    <x v="0"/>
    <x v="0"/>
    <s v="DK1_Large"/>
    <x v="3"/>
    <s v="GNR_ENG_NGAS_BP_E-39"/>
    <x v="0"/>
    <x v="20"/>
    <n v="14.9555555555556"/>
    <n v="5458.7777777777801"/>
    <n v="19651.599999999999"/>
  </r>
  <r>
    <x v="0"/>
    <x v="0"/>
    <x v="0"/>
    <x v="0"/>
    <x v="0"/>
    <s v="DK1_Large"/>
    <x v="3"/>
    <s v="GNR_ENG_NGAS_BP_E-39"/>
    <x v="0"/>
    <x v="21"/>
    <n v="14.9555555555556"/>
    <n v="5458.7777777777801"/>
    <n v="19651.599999999999"/>
  </r>
  <r>
    <x v="0"/>
    <x v="0"/>
    <x v="0"/>
    <x v="0"/>
    <x v="0"/>
    <s v="DK1_Large"/>
    <x v="3"/>
    <s v="GNR_ENG_NGAS_BP_E-39"/>
    <x v="0"/>
    <x v="22"/>
    <n v="14.9555555555556"/>
    <n v="5458.7777777777801"/>
    <n v="19651.599999999999"/>
  </r>
  <r>
    <x v="0"/>
    <x v="0"/>
    <x v="0"/>
    <x v="0"/>
    <x v="0"/>
    <s v="DK1_Large"/>
    <x v="3"/>
    <s v="GNR_ENG_NGAS_BP_E-39"/>
    <x v="0"/>
    <x v="23"/>
    <n v="14.9555555555556"/>
    <n v="5458.7777777777801"/>
    <n v="19651.599999999999"/>
  </r>
  <r>
    <x v="0"/>
    <x v="0"/>
    <x v="0"/>
    <x v="0"/>
    <x v="0"/>
    <s v="DK1_Large"/>
    <x v="3"/>
    <s v="GNR_ENG_NGAS_BP_E-40"/>
    <x v="0"/>
    <x v="6"/>
    <n v="5.7888888888888896"/>
    <n v="2112.9444444444398"/>
    <n v="7606.6"/>
  </r>
  <r>
    <x v="0"/>
    <x v="0"/>
    <x v="0"/>
    <x v="0"/>
    <x v="0"/>
    <s v="DK1_Large"/>
    <x v="3"/>
    <s v="GNR_ENG_NGAS_BP_E-40"/>
    <x v="0"/>
    <x v="7"/>
    <n v="5.7888888888888896"/>
    <n v="2112.9444444444398"/>
    <n v="7606.6"/>
  </r>
  <r>
    <x v="0"/>
    <x v="0"/>
    <x v="0"/>
    <x v="0"/>
    <x v="0"/>
    <s v="DK1_Large"/>
    <x v="3"/>
    <s v="GNR_ENG_NGAS_BP_E-40"/>
    <x v="0"/>
    <x v="8"/>
    <n v="5.7888888888888896"/>
    <n v="2112.9444444444398"/>
    <n v="7606.6"/>
  </r>
  <r>
    <x v="0"/>
    <x v="0"/>
    <x v="0"/>
    <x v="0"/>
    <x v="0"/>
    <s v="DK1_Large"/>
    <x v="3"/>
    <s v="GNR_ENG_NGAS_BP_E-40"/>
    <x v="0"/>
    <x v="9"/>
    <n v="5.7888888888888896"/>
    <n v="2112.9444444444398"/>
    <n v="7606.6"/>
  </r>
  <r>
    <x v="0"/>
    <x v="0"/>
    <x v="0"/>
    <x v="0"/>
    <x v="0"/>
    <s v="DK1_Large"/>
    <x v="3"/>
    <s v="GNR_ENG_NGAS_BP_E-40"/>
    <x v="0"/>
    <x v="10"/>
    <n v="5.7888888888888896"/>
    <n v="2112.9444444444398"/>
    <n v="7606.6"/>
  </r>
  <r>
    <x v="0"/>
    <x v="0"/>
    <x v="0"/>
    <x v="0"/>
    <x v="0"/>
    <s v="DK1_Large"/>
    <x v="3"/>
    <s v="GNR_ENG_NGAS_BP_E-40"/>
    <x v="0"/>
    <x v="11"/>
    <n v="5.7888888888888896"/>
    <n v="2112.9444444444398"/>
    <n v="7606.6"/>
  </r>
  <r>
    <x v="0"/>
    <x v="0"/>
    <x v="0"/>
    <x v="0"/>
    <x v="0"/>
    <s v="DK1_Large"/>
    <x v="3"/>
    <s v="GNR_ENG_NGAS_BP_E-40"/>
    <x v="0"/>
    <x v="0"/>
    <n v="5.7888888888888896"/>
    <n v="2112.9444444444398"/>
    <n v="7606.6"/>
  </r>
  <r>
    <x v="0"/>
    <x v="0"/>
    <x v="0"/>
    <x v="0"/>
    <x v="0"/>
    <s v="DK1_Large"/>
    <x v="3"/>
    <s v="GNR_ENG_NGAS_BP_E-40"/>
    <x v="0"/>
    <x v="1"/>
    <n v="5.7888888888888896"/>
    <n v="2112.9444444444398"/>
    <n v="7606.6"/>
  </r>
  <r>
    <x v="0"/>
    <x v="0"/>
    <x v="0"/>
    <x v="0"/>
    <x v="0"/>
    <s v="DK1_Large"/>
    <x v="3"/>
    <s v="GNR_ENG_NGAS_BP_E-40"/>
    <x v="0"/>
    <x v="2"/>
    <n v="5.7888888888888896"/>
    <n v="2112.9444444444398"/>
    <n v="7606.6"/>
  </r>
  <r>
    <x v="0"/>
    <x v="0"/>
    <x v="0"/>
    <x v="0"/>
    <x v="0"/>
    <s v="DK1_Large"/>
    <x v="3"/>
    <s v="GNR_ENG_NGAS_BP_E-40"/>
    <x v="0"/>
    <x v="3"/>
    <n v="5.7888888888888896"/>
    <n v="2112.9444444444398"/>
    <n v="7606.6"/>
  </r>
  <r>
    <x v="0"/>
    <x v="0"/>
    <x v="0"/>
    <x v="0"/>
    <x v="0"/>
    <s v="DK1_Large"/>
    <x v="3"/>
    <s v="GNR_ENG_NGAS_BP_E-40"/>
    <x v="0"/>
    <x v="12"/>
    <n v="5.7888888888888896"/>
    <n v="2112.9444444444398"/>
    <n v="7606.6"/>
  </r>
  <r>
    <x v="0"/>
    <x v="0"/>
    <x v="0"/>
    <x v="0"/>
    <x v="0"/>
    <s v="DK1_Large"/>
    <x v="3"/>
    <s v="GNR_ENG_NGAS_BP_E-40"/>
    <x v="0"/>
    <x v="13"/>
    <n v="5.7888888888888896"/>
    <n v="2112.9444444444398"/>
    <n v="7606.6"/>
  </r>
  <r>
    <x v="0"/>
    <x v="0"/>
    <x v="0"/>
    <x v="0"/>
    <x v="0"/>
    <s v="DK1_Large"/>
    <x v="3"/>
    <s v="GNR_ENG_NGAS_BP_E-40"/>
    <x v="0"/>
    <x v="14"/>
    <n v="5.7888888888888896"/>
    <n v="2112.9444444444398"/>
    <n v="7606.6"/>
  </r>
  <r>
    <x v="0"/>
    <x v="0"/>
    <x v="0"/>
    <x v="0"/>
    <x v="0"/>
    <s v="DK1_Large"/>
    <x v="3"/>
    <s v="GNR_ENG_NGAS_BP_E-40"/>
    <x v="0"/>
    <x v="15"/>
    <n v="5.7888888888888896"/>
    <n v="2112.9444444444398"/>
    <n v="7606.6"/>
  </r>
  <r>
    <x v="0"/>
    <x v="0"/>
    <x v="0"/>
    <x v="0"/>
    <x v="0"/>
    <s v="DK1_Large"/>
    <x v="3"/>
    <s v="GNR_ENG_NGAS_BP_E-40"/>
    <x v="0"/>
    <x v="4"/>
    <n v="5.7888888888888896"/>
    <n v="2112.9444444444398"/>
    <n v="7606.6"/>
  </r>
  <r>
    <x v="0"/>
    <x v="0"/>
    <x v="0"/>
    <x v="0"/>
    <x v="0"/>
    <s v="DK1_Large"/>
    <x v="3"/>
    <s v="GNR_ENG_NGAS_BP_E-40"/>
    <x v="0"/>
    <x v="16"/>
    <n v="5.7888888888888896"/>
    <n v="2112.9444444444398"/>
    <n v="7606.6"/>
  </r>
  <r>
    <x v="0"/>
    <x v="0"/>
    <x v="0"/>
    <x v="0"/>
    <x v="0"/>
    <s v="DK1_Large"/>
    <x v="3"/>
    <s v="GNR_ENG_NGAS_BP_E-40"/>
    <x v="0"/>
    <x v="5"/>
    <n v="5.7888888888888896"/>
    <n v="2112.9444444444398"/>
    <n v="7606.6"/>
  </r>
  <r>
    <x v="0"/>
    <x v="0"/>
    <x v="0"/>
    <x v="0"/>
    <x v="0"/>
    <s v="DK1_Large"/>
    <x v="3"/>
    <s v="GNR_ENG_NGAS_BP_E-40"/>
    <x v="0"/>
    <x v="17"/>
    <n v="5.7888888888888896"/>
    <n v="2112.9444444444398"/>
    <n v="7606.6"/>
  </r>
  <r>
    <x v="0"/>
    <x v="0"/>
    <x v="0"/>
    <x v="0"/>
    <x v="0"/>
    <s v="DK1_Large"/>
    <x v="3"/>
    <s v="GNR_ENG_NGAS_BP_E-40"/>
    <x v="0"/>
    <x v="18"/>
    <n v="5.7888888888888896"/>
    <n v="2112.9444444444398"/>
    <n v="7606.6"/>
  </r>
  <r>
    <x v="0"/>
    <x v="0"/>
    <x v="0"/>
    <x v="0"/>
    <x v="0"/>
    <s v="DK1_Large"/>
    <x v="3"/>
    <s v="GNR_ENG_NGAS_BP_E-40"/>
    <x v="0"/>
    <x v="19"/>
    <n v="5.7888888888888896"/>
    <n v="2112.9444444444398"/>
    <n v="7606.6"/>
  </r>
  <r>
    <x v="0"/>
    <x v="0"/>
    <x v="0"/>
    <x v="0"/>
    <x v="0"/>
    <s v="DK1_Large"/>
    <x v="3"/>
    <s v="GNR_ENG_NGAS_BP_E-40"/>
    <x v="0"/>
    <x v="20"/>
    <n v="5.7888888888888896"/>
    <n v="2112.9444444444398"/>
    <n v="7606.6"/>
  </r>
  <r>
    <x v="0"/>
    <x v="0"/>
    <x v="0"/>
    <x v="0"/>
    <x v="0"/>
    <s v="DK1_Large"/>
    <x v="3"/>
    <s v="GNR_ENG_NGAS_BP_E-40"/>
    <x v="0"/>
    <x v="21"/>
    <n v="5.7888888888888896"/>
    <n v="2112.9444444444398"/>
    <n v="7606.6"/>
  </r>
  <r>
    <x v="0"/>
    <x v="0"/>
    <x v="0"/>
    <x v="0"/>
    <x v="0"/>
    <s v="DK1_Large"/>
    <x v="3"/>
    <s v="GNR_ENG_NGAS_BP_E-40"/>
    <x v="0"/>
    <x v="22"/>
    <n v="5.7888888888888896"/>
    <n v="2112.9444444444398"/>
    <n v="7606.6"/>
  </r>
  <r>
    <x v="0"/>
    <x v="0"/>
    <x v="0"/>
    <x v="0"/>
    <x v="0"/>
    <s v="DK1_Large"/>
    <x v="3"/>
    <s v="GNR_ENG_NGAS_BP_E-40"/>
    <x v="0"/>
    <x v="23"/>
    <n v="5.7888888888888896"/>
    <n v="2112.9444444444398"/>
    <n v="7606.6"/>
  </r>
  <r>
    <x v="0"/>
    <x v="0"/>
    <x v="0"/>
    <x v="0"/>
    <x v="0"/>
    <s v="DK1_Large"/>
    <x v="3"/>
    <s v="GNR_ENG_NGAS_BP_E-41"/>
    <x v="0"/>
    <x v="6"/>
    <n v="4.2222222222222197"/>
    <n v="1541.1111111111099"/>
    <n v="5548"/>
  </r>
  <r>
    <x v="0"/>
    <x v="0"/>
    <x v="0"/>
    <x v="0"/>
    <x v="0"/>
    <s v="DK1_Large"/>
    <x v="3"/>
    <s v="GNR_ENG_NGAS_BP_E-41"/>
    <x v="0"/>
    <x v="7"/>
    <n v="4.2222222222222197"/>
    <n v="1541.1111111111099"/>
    <n v="5548"/>
  </r>
  <r>
    <x v="0"/>
    <x v="0"/>
    <x v="0"/>
    <x v="0"/>
    <x v="0"/>
    <s v="DK1_Large"/>
    <x v="3"/>
    <s v="GNR_ENG_NGAS_BP_E-41"/>
    <x v="0"/>
    <x v="8"/>
    <n v="4.2222222222222197"/>
    <n v="1541.1111111111099"/>
    <n v="5548"/>
  </r>
  <r>
    <x v="0"/>
    <x v="0"/>
    <x v="0"/>
    <x v="0"/>
    <x v="0"/>
    <s v="DK1_Large"/>
    <x v="3"/>
    <s v="GNR_ENG_NGAS_BP_E-41"/>
    <x v="0"/>
    <x v="9"/>
    <n v="4.2222222222222197"/>
    <n v="1541.1111111111099"/>
    <n v="5548"/>
  </r>
  <r>
    <x v="0"/>
    <x v="0"/>
    <x v="0"/>
    <x v="0"/>
    <x v="0"/>
    <s v="DK1_Large"/>
    <x v="3"/>
    <s v="GNR_ENG_NGAS_BP_E-41"/>
    <x v="0"/>
    <x v="10"/>
    <n v="4.2222222222222197"/>
    <n v="1541.1111111111099"/>
    <n v="5548"/>
  </r>
  <r>
    <x v="0"/>
    <x v="0"/>
    <x v="0"/>
    <x v="0"/>
    <x v="0"/>
    <s v="DK1_Large"/>
    <x v="3"/>
    <s v="GNR_ENG_NGAS_BP_E-41"/>
    <x v="0"/>
    <x v="11"/>
    <n v="4.2222222222222197"/>
    <n v="1541.1111111111099"/>
    <n v="5548"/>
  </r>
  <r>
    <x v="0"/>
    <x v="0"/>
    <x v="0"/>
    <x v="0"/>
    <x v="0"/>
    <s v="DK1_Large"/>
    <x v="3"/>
    <s v="GNR_ENG_NGAS_BP_E-41"/>
    <x v="0"/>
    <x v="0"/>
    <n v="4.2222222222222197"/>
    <n v="1541.1111111111099"/>
    <n v="5548"/>
  </r>
  <r>
    <x v="0"/>
    <x v="0"/>
    <x v="0"/>
    <x v="0"/>
    <x v="0"/>
    <s v="DK1_Large"/>
    <x v="3"/>
    <s v="GNR_ENG_NGAS_BP_E-41"/>
    <x v="0"/>
    <x v="1"/>
    <n v="4.2222222222222197"/>
    <n v="1541.1111111111099"/>
    <n v="5548"/>
  </r>
  <r>
    <x v="0"/>
    <x v="0"/>
    <x v="0"/>
    <x v="0"/>
    <x v="0"/>
    <s v="DK1_Large"/>
    <x v="3"/>
    <s v="GNR_ENG_NGAS_BP_E-41"/>
    <x v="0"/>
    <x v="2"/>
    <n v="4.2222222222222197"/>
    <n v="1541.1111111111099"/>
    <n v="5548"/>
  </r>
  <r>
    <x v="0"/>
    <x v="0"/>
    <x v="0"/>
    <x v="0"/>
    <x v="0"/>
    <s v="DK1_Large"/>
    <x v="3"/>
    <s v="GNR_ENG_NGAS_BP_E-41"/>
    <x v="0"/>
    <x v="3"/>
    <n v="4.2222222222222197"/>
    <n v="1541.1111111111099"/>
    <n v="5548"/>
  </r>
  <r>
    <x v="0"/>
    <x v="0"/>
    <x v="0"/>
    <x v="0"/>
    <x v="0"/>
    <s v="DK1_Large"/>
    <x v="3"/>
    <s v="GNR_ENG_NGAS_BP_E-41"/>
    <x v="0"/>
    <x v="12"/>
    <n v="4.2222222222222197"/>
    <n v="1541.1111111111099"/>
    <n v="5548"/>
  </r>
  <r>
    <x v="0"/>
    <x v="0"/>
    <x v="0"/>
    <x v="0"/>
    <x v="0"/>
    <s v="DK1_Large"/>
    <x v="3"/>
    <s v="GNR_ENG_NGAS_BP_E-41"/>
    <x v="0"/>
    <x v="13"/>
    <n v="4.2222222222222197"/>
    <n v="1541.1111111111099"/>
    <n v="5548"/>
  </r>
  <r>
    <x v="0"/>
    <x v="0"/>
    <x v="0"/>
    <x v="0"/>
    <x v="0"/>
    <s v="DK1_Large"/>
    <x v="3"/>
    <s v="GNR_ENG_NGAS_BP_E-41"/>
    <x v="0"/>
    <x v="14"/>
    <n v="4.2222222222222197"/>
    <n v="1541.1111111111099"/>
    <n v="5548"/>
  </r>
  <r>
    <x v="0"/>
    <x v="0"/>
    <x v="0"/>
    <x v="0"/>
    <x v="0"/>
    <s v="DK1_Large"/>
    <x v="3"/>
    <s v="GNR_ENG_NGAS_BP_E-41"/>
    <x v="0"/>
    <x v="15"/>
    <n v="4.2222222222222197"/>
    <n v="1541.1111111111099"/>
    <n v="5548"/>
  </r>
  <r>
    <x v="0"/>
    <x v="0"/>
    <x v="0"/>
    <x v="0"/>
    <x v="0"/>
    <s v="DK1_Large"/>
    <x v="3"/>
    <s v="GNR_ENG_NGAS_BP_E-41"/>
    <x v="0"/>
    <x v="4"/>
    <n v="4.2222222222222197"/>
    <n v="1541.1111111111099"/>
    <n v="5548"/>
  </r>
  <r>
    <x v="0"/>
    <x v="0"/>
    <x v="0"/>
    <x v="0"/>
    <x v="0"/>
    <s v="DK1_Large"/>
    <x v="3"/>
    <s v="GNR_ENG_NGAS_BP_E-41"/>
    <x v="0"/>
    <x v="16"/>
    <n v="4.2222222222222197"/>
    <n v="1541.1111111111099"/>
    <n v="5548"/>
  </r>
  <r>
    <x v="0"/>
    <x v="0"/>
    <x v="0"/>
    <x v="0"/>
    <x v="0"/>
    <s v="DK1_Large"/>
    <x v="3"/>
    <s v="GNR_ENG_NGAS_BP_E-41"/>
    <x v="0"/>
    <x v="5"/>
    <n v="4.2222222222222197"/>
    <n v="1541.1111111111099"/>
    <n v="5548"/>
  </r>
  <r>
    <x v="0"/>
    <x v="0"/>
    <x v="0"/>
    <x v="0"/>
    <x v="0"/>
    <s v="DK1_Large"/>
    <x v="3"/>
    <s v="GNR_ENG_NGAS_BP_E-41"/>
    <x v="0"/>
    <x v="17"/>
    <n v="4.2222222222222197"/>
    <n v="1541.1111111111099"/>
    <n v="5548"/>
  </r>
  <r>
    <x v="0"/>
    <x v="0"/>
    <x v="0"/>
    <x v="0"/>
    <x v="0"/>
    <s v="DK1_Large"/>
    <x v="3"/>
    <s v="GNR_ENG_NGAS_BP_E-41"/>
    <x v="0"/>
    <x v="18"/>
    <n v="4.2222222222222197"/>
    <n v="1541.1111111111099"/>
    <n v="5548"/>
  </r>
  <r>
    <x v="0"/>
    <x v="0"/>
    <x v="0"/>
    <x v="0"/>
    <x v="0"/>
    <s v="DK1_Large"/>
    <x v="3"/>
    <s v="GNR_ENG_NGAS_BP_E-41"/>
    <x v="0"/>
    <x v="19"/>
    <n v="4.2222222222222197"/>
    <n v="1541.1111111111099"/>
    <n v="5548"/>
  </r>
  <r>
    <x v="0"/>
    <x v="0"/>
    <x v="0"/>
    <x v="0"/>
    <x v="0"/>
    <s v="DK1_Large"/>
    <x v="3"/>
    <s v="GNR_ENG_NGAS_BP_E-41"/>
    <x v="0"/>
    <x v="20"/>
    <n v="4.2222222222222197"/>
    <n v="1541.1111111111099"/>
    <n v="5548"/>
  </r>
  <r>
    <x v="0"/>
    <x v="0"/>
    <x v="0"/>
    <x v="0"/>
    <x v="0"/>
    <s v="DK1_Large"/>
    <x v="3"/>
    <s v="GNR_ENG_NGAS_BP_E-41"/>
    <x v="0"/>
    <x v="21"/>
    <n v="4.2222222222222197"/>
    <n v="1541.1111111111099"/>
    <n v="5548"/>
  </r>
  <r>
    <x v="0"/>
    <x v="0"/>
    <x v="0"/>
    <x v="0"/>
    <x v="0"/>
    <s v="DK1_Large"/>
    <x v="3"/>
    <s v="GNR_ENG_NGAS_BP_E-41"/>
    <x v="0"/>
    <x v="22"/>
    <n v="4.2222222222222197"/>
    <n v="1541.1111111111099"/>
    <n v="5548"/>
  </r>
  <r>
    <x v="0"/>
    <x v="0"/>
    <x v="0"/>
    <x v="0"/>
    <x v="0"/>
    <s v="DK1_Large"/>
    <x v="3"/>
    <s v="GNR_ENG_NGAS_BP_E-41"/>
    <x v="0"/>
    <x v="23"/>
    <n v="4.2222222222222197"/>
    <n v="1541.1111111111099"/>
    <n v="5548"/>
  </r>
  <r>
    <x v="0"/>
    <x v="0"/>
    <x v="0"/>
    <x v="0"/>
    <x v="0"/>
    <s v="DK1_Large"/>
    <x v="3"/>
    <s v="GNR_ENG_NGAS_BP_E-42"/>
    <x v="0"/>
    <x v="6"/>
    <n v="2.5111111111111102"/>
    <n v="916.555555555556"/>
    <n v="3299.6"/>
  </r>
  <r>
    <x v="0"/>
    <x v="0"/>
    <x v="0"/>
    <x v="0"/>
    <x v="0"/>
    <s v="DK1_Large"/>
    <x v="3"/>
    <s v="GNR_ENG_NGAS_BP_E-42"/>
    <x v="0"/>
    <x v="7"/>
    <n v="2.5111111111111102"/>
    <n v="916.555555555556"/>
    <n v="3299.6"/>
  </r>
  <r>
    <x v="0"/>
    <x v="0"/>
    <x v="0"/>
    <x v="0"/>
    <x v="0"/>
    <s v="DK1_Large"/>
    <x v="3"/>
    <s v="GNR_ENG_NGAS_BP_E-42"/>
    <x v="0"/>
    <x v="8"/>
    <n v="2.5111111111111102"/>
    <n v="916.555555555556"/>
    <n v="3299.6"/>
  </r>
  <r>
    <x v="0"/>
    <x v="0"/>
    <x v="0"/>
    <x v="0"/>
    <x v="0"/>
    <s v="DK1_Large"/>
    <x v="3"/>
    <s v="GNR_ENG_NGAS_BP_E-42"/>
    <x v="0"/>
    <x v="9"/>
    <n v="2.5111111111111102"/>
    <n v="916.555555555556"/>
    <n v="3299.6"/>
  </r>
  <r>
    <x v="0"/>
    <x v="0"/>
    <x v="0"/>
    <x v="0"/>
    <x v="0"/>
    <s v="DK1_Large"/>
    <x v="3"/>
    <s v="GNR_ENG_NGAS_BP_E-42"/>
    <x v="0"/>
    <x v="10"/>
    <n v="2.5111111111111102"/>
    <n v="916.555555555556"/>
    <n v="3299.6"/>
  </r>
  <r>
    <x v="0"/>
    <x v="0"/>
    <x v="0"/>
    <x v="0"/>
    <x v="0"/>
    <s v="DK1_Large"/>
    <x v="3"/>
    <s v="GNR_ENG_NGAS_BP_E-42"/>
    <x v="0"/>
    <x v="11"/>
    <n v="2.5111111111111102"/>
    <n v="916.555555555556"/>
    <n v="3299.6"/>
  </r>
  <r>
    <x v="0"/>
    <x v="0"/>
    <x v="0"/>
    <x v="0"/>
    <x v="0"/>
    <s v="DK1_Large"/>
    <x v="3"/>
    <s v="GNR_ENG_NGAS_BP_E-42"/>
    <x v="0"/>
    <x v="0"/>
    <n v="2.5111111111111102"/>
    <n v="916.555555555556"/>
    <n v="3299.6"/>
  </r>
  <r>
    <x v="0"/>
    <x v="0"/>
    <x v="0"/>
    <x v="0"/>
    <x v="0"/>
    <s v="DK1_Large"/>
    <x v="3"/>
    <s v="GNR_ENG_NGAS_BP_E-42"/>
    <x v="0"/>
    <x v="1"/>
    <n v="2.5111111111111102"/>
    <n v="916.555555555556"/>
    <n v="3299.6"/>
  </r>
  <r>
    <x v="0"/>
    <x v="0"/>
    <x v="0"/>
    <x v="0"/>
    <x v="0"/>
    <s v="DK1_Large"/>
    <x v="3"/>
    <s v="GNR_ENG_NGAS_BP_E-42"/>
    <x v="0"/>
    <x v="2"/>
    <n v="2.5111111111111102"/>
    <n v="916.555555555556"/>
    <n v="3299.6"/>
  </r>
  <r>
    <x v="0"/>
    <x v="0"/>
    <x v="0"/>
    <x v="0"/>
    <x v="0"/>
    <s v="DK1_Large"/>
    <x v="3"/>
    <s v="GNR_ENG_NGAS_BP_E-42"/>
    <x v="0"/>
    <x v="3"/>
    <n v="2.5111111111111102"/>
    <n v="916.555555555556"/>
    <n v="3299.6"/>
  </r>
  <r>
    <x v="0"/>
    <x v="0"/>
    <x v="0"/>
    <x v="0"/>
    <x v="0"/>
    <s v="DK1_Large"/>
    <x v="3"/>
    <s v="GNR_ENG_NGAS_BP_E-42"/>
    <x v="0"/>
    <x v="12"/>
    <n v="2.5111111111111102"/>
    <n v="916.555555555556"/>
    <n v="3299.6"/>
  </r>
  <r>
    <x v="0"/>
    <x v="0"/>
    <x v="0"/>
    <x v="0"/>
    <x v="0"/>
    <s v="DK1_Large"/>
    <x v="3"/>
    <s v="GNR_ENG_NGAS_BP_E-42"/>
    <x v="0"/>
    <x v="13"/>
    <n v="2.5111111111111102"/>
    <n v="916.555555555556"/>
    <n v="3299.6"/>
  </r>
  <r>
    <x v="0"/>
    <x v="0"/>
    <x v="0"/>
    <x v="0"/>
    <x v="0"/>
    <s v="DK1_Large"/>
    <x v="3"/>
    <s v="GNR_ENG_NGAS_BP_E-42"/>
    <x v="0"/>
    <x v="14"/>
    <n v="2.5111111111111102"/>
    <n v="916.555555555556"/>
    <n v="3299.6"/>
  </r>
  <r>
    <x v="0"/>
    <x v="0"/>
    <x v="0"/>
    <x v="0"/>
    <x v="0"/>
    <s v="DK1_Large"/>
    <x v="3"/>
    <s v="GNR_ENG_NGAS_BP_E-42"/>
    <x v="0"/>
    <x v="15"/>
    <n v="2.5111111111111102"/>
    <n v="916.555555555556"/>
    <n v="3299.6"/>
  </r>
  <r>
    <x v="0"/>
    <x v="0"/>
    <x v="0"/>
    <x v="0"/>
    <x v="0"/>
    <s v="DK1_Large"/>
    <x v="3"/>
    <s v="GNR_ENG_NGAS_BP_E-42"/>
    <x v="0"/>
    <x v="4"/>
    <n v="2.5111111111111102"/>
    <n v="916.555555555556"/>
    <n v="3299.6"/>
  </r>
  <r>
    <x v="0"/>
    <x v="0"/>
    <x v="0"/>
    <x v="0"/>
    <x v="0"/>
    <s v="DK1_Large"/>
    <x v="3"/>
    <s v="GNR_ENG_NGAS_BP_E-42"/>
    <x v="0"/>
    <x v="16"/>
    <n v="2.5111111111111102"/>
    <n v="916.555555555556"/>
    <n v="3299.6"/>
  </r>
  <r>
    <x v="0"/>
    <x v="0"/>
    <x v="0"/>
    <x v="0"/>
    <x v="0"/>
    <s v="DK1_Large"/>
    <x v="3"/>
    <s v="GNR_ENG_NGAS_BP_E-42"/>
    <x v="0"/>
    <x v="5"/>
    <n v="2.5111111111111102"/>
    <n v="916.555555555556"/>
    <n v="3299.6"/>
  </r>
  <r>
    <x v="0"/>
    <x v="0"/>
    <x v="0"/>
    <x v="0"/>
    <x v="0"/>
    <s v="DK1_Large"/>
    <x v="3"/>
    <s v="GNR_ENG_NGAS_BP_E-42"/>
    <x v="0"/>
    <x v="17"/>
    <n v="2.5111111111111102"/>
    <n v="916.555555555556"/>
    <n v="3299.6"/>
  </r>
  <r>
    <x v="0"/>
    <x v="0"/>
    <x v="0"/>
    <x v="0"/>
    <x v="0"/>
    <s v="DK1_Large"/>
    <x v="3"/>
    <s v="GNR_ENG_NGAS_BP_E-42"/>
    <x v="0"/>
    <x v="18"/>
    <n v="2.5111111111111102"/>
    <n v="916.555555555556"/>
    <n v="3299.6"/>
  </r>
  <r>
    <x v="0"/>
    <x v="0"/>
    <x v="0"/>
    <x v="0"/>
    <x v="0"/>
    <s v="DK1_Large"/>
    <x v="3"/>
    <s v="GNR_ENG_NGAS_BP_E-42"/>
    <x v="0"/>
    <x v="19"/>
    <n v="2.5111111111111102"/>
    <n v="916.555555555556"/>
    <n v="3299.6"/>
  </r>
  <r>
    <x v="0"/>
    <x v="0"/>
    <x v="0"/>
    <x v="0"/>
    <x v="0"/>
    <s v="DK1_Large"/>
    <x v="3"/>
    <s v="GNR_ENG_NGAS_BP_E-42"/>
    <x v="0"/>
    <x v="20"/>
    <n v="2.5111111111111102"/>
    <n v="916.555555555556"/>
    <n v="3299.6"/>
  </r>
  <r>
    <x v="0"/>
    <x v="0"/>
    <x v="0"/>
    <x v="0"/>
    <x v="0"/>
    <s v="DK1_Large"/>
    <x v="3"/>
    <s v="GNR_ENG_NGAS_BP_E-42"/>
    <x v="0"/>
    <x v="21"/>
    <n v="2.5111111111111102"/>
    <n v="916.555555555556"/>
    <n v="3299.6"/>
  </r>
  <r>
    <x v="0"/>
    <x v="0"/>
    <x v="0"/>
    <x v="0"/>
    <x v="0"/>
    <s v="DK1_Large"/>
    <x v="3"/>
    <s v="GNR_ENG_NGAS_BP_E-42"/>
    <x v="0"/>
    <x v="22"/>
    <n v="2.5111111111111102"/>
    <n v="916.555555555556"/>
    <n v="3299.6"/>
  </r>
  <r>
    <x v="0"/>
    <x v="0"/>
    <x v="0"/>
    <x v="0"/>
    <x v="0"/>
    <s v="DK1_Large"/>
    <x v="3"/>
    <s v="GNR_ENG_NGAS_BP_E-42"/>
    <x v="0"/>
    <x v="23"/>
    <n v="2.5111111111111102"/>
    <n v="916.555555555556"/>
    <n v="3299.6"/>
  </r>
  <r>
    <x v="0"/>
    <x v="0"/>
    <x v="0"/>
    <x v="0"/>
    <x v="0"/>
    <s v="DK1_Large"/>
    <x v="3"/>
    <s v="GNR_ENG_NGAS_BP_E-43"/>
    <x v="0"/>
    <x v="6"/>
    <n v="9.9888888888888907"/>
    <n v="3645.9444444444398"/>
    <n v="13125.4"/>
  </r>
  <r>
    <x v="0"/>
    <x v="0"/>
    <x v="0"/>
    <x v="0"/>
    <x v="0"/>
    <s v="DK1_Large"/>
    <x v="3"/>
    <s v="GNR_ENG_NGAS_BP_E-43"/>
    <x v="0"/>
    <x v="7"/>
    <n v="9.9888888888888907"/>
    <n v="3645.9444444444398"/>
    <n v="13125.4"/>
  </r>
  <r>
    <x v="0"/>
    <x v="0"/>
    <x v="0"/>
    <x v="0"/>
    <x v="0"/>
    <s v="DK1_Large"/>
    <x v="3"/>
    <s v="GNR_ENG_NGAS_BP_E-43"/>
    <x v="0"/>
    <x v="8"/>
    <n v="9.9888888888888907"/>
    <n v="3645.9444444444398"/>
    <n v="13125.4"/>
  </r>
  <r>
    <x v="0"/>
    <x v="0"/>
    <x v="0"/>
    <x v="0"/>
    <x v="0"/>
    <s v="DK1_Large"/>
    <x v="3"/>
    <s v="GNR_ENG_NGAS_BP_E-43"/>
    <x v="0"/>
    <x v="9"/>
    <n v="9.9888888888888907"/>
    <n v="3645.9444444444398"/>
    <n v="13125.4"/>
  </r>
  <r>
    <x v="0"/>
    <x v="0"/>
    <x v="0"/>
    <x v="0"/>
    <x v="0"/>
    <s v="DK1_Large"/>
    <x v="3"/>
    <s v="GNR_ENG_NGAS_BP_E-43"/>
    <x v="0"/>
    <x v="10"/>
    <n v="9.9888888888888907"/>
    <n v="3645.9444444444398"/>
    <n v="13125.4"/>
  </r>
  <r>
    <x v="0"/>
    <x v="0"/>
    <x v="0"/>
    <x v="0"/>
    <x v="0"/>
    <s v="DK1_Large"/>
    <x v="3"/>
    <s v="GNR_ENG_NGAS_BP_E-43"/>
    <x v="0"/>
    <x v="11"/>
    <n v="9.9888888888888907"/>
    <n v="3645.9444444444398"/>
    <n v="13125.4"/>
  </r>
  <r>
    <x v="0"/>
    <x v="0"/>
    <x v="0"/>
    <x v="0"/>
    <x v="0"/>
    <s v="DK1_Large"/>
    <x v="3"/>
    <s v="GNR_ENG_NGAS_BP_E-43"/>
    <x v="0"/>
    <x v="0"/>
    <n v="9.9888888888888907"/>
    <n v="3645.9444444444398"/>
    <n v="13125.4"/>
  </r>
  <r>
    <x v="0"/>
    <x v="0"/>
    <x v="0"/>
    <x v="0"/>
    <x v="0"/>
    <s v="DK1_Large"/>
    <x v="3"/>
    <s v="GNR_ENG_NGAS_BP_E-43"/>
    <x v="0"/>
    <x v="1"/>
    <n v="9.9888888888888907"/>
    <n v="3645.9444444444398"/>
    <n v="13125.4"/>
  </r>
  <r>
    <x v="0"/>
    <x v="0"/>
    <x v="0"/>
    <x v="0"/>
    <x v="0"/>
    <s v="DK1_Large"/>
    <x v="3"/>
    <s v="GNR_ENG_NGAS_BP_E-43"/>
    <x v="0"/>
    <x v="2"/>
    <n v="9.9888888888888907"/>
    <n v="3645.9444444444398"/>
    <n v="13125.4"/>
  </r>
  <r>
    <x v="0"/>
    <x v="0"/>
    <x v="0"/>
    <x v="0"/>
    <x v="0"/>
    <s v="DK1_Large"/>
    <x v="3"/>
    <s v="GNR_ENG_NGAS_BP_E-43"/>
    <x v="0"/>
    <x v="3"/>
    <n v="9.9888888888888907"/>
    <n v="3645.9444444444398"/>
    <n v="13125.4"/>
  </r>
  <r>
    <x v="0"/>
    <x v="0"/>
    <x v="0"/>
    <x v="0"/>
    <x v="0"/>
    <s v="DK1_Large"/>
    <x v="3"/>
    <s v="GNR_ENG_NGAS_BP_E-43"/>
    <x v="0"/>
    <x v="12"/>
    <n v="9.9888888888888907"/>
    <n v="3645.9444444444398"/>
    <n v="13125.4"/>
  </r>
  <r>
    <x v="0"/>
    <x v="0"/>
    <x v="0"/>
    <x v="0"/>
    <x v="0"/>
    <s v="DK1_Large"/>
    <x v="3"/>
    <s v="GNR_ENG_NGAS_BP_E-43"/>
    <x v="0"/>
    <x v="13"/>
    <n v="9.9888888888888907"/>
    <n v="3645.9444444444398"/>
    <n v="13125.4"/>
  </r>
  <r>
    <x v="0"/>
    <x v="0"/>
    <x v="0"/>
    <x v="0"/>
    <x v="0"/>
    <s v="DK1_Large"/>
    <x v="3"/>
    <s v="GNR_ENG_NGAS_BP_E-43"/>
    <x v="0"/>
    <x v="14"/>
    <n v="9.9888888888888907"/>
    <n v="3645.9444444444398"/>
    <n v="13125.4"/>
  </r>
  <r>
    <x v="0"/>
    <x v="0"/>
    <x v="0"/>
    <x v="0"/>
    <x v="0"/>
    <s v="DK1_Large"/>
    <x v="3"/>
    <s v="GNR_ENG_NGAS_BP_E-43"/>
    <x v="0"/>
    <x v="15"/>
    <n v="9.9888888888888907"/>
    <n v="3645.9444444444398"/>
    <n v="13125.4"/>
  </r>
  <r>
    <x v="0"/>
    <x v="0"/>
    <x v="0"/>
    <x v="0"/>
    <x v="0"/>
    <s v="DK1_Large"/>
    <x v="3"/>
    <s v="GNR_ENG_NGAS_BP_E-43"/>
    <x v="0"/>
    <x v="4"/>
    <n v="9.9888888888888907"/>
    <n v="3645.9444444444398"/>
    <n v="13125.4"/>
  </r>
  <r>
    <x v="0"/>
    <x v="0"/>
    <x v="0"/>
    <x v="0"/>
    <x v="0"/>
    <s v="DK1_Large"/>
    <x v="3"/>
    <s v="GNR_ENG_NGAS_BP_E-43"/>
    <x v="0"/>
    <x v="16"/>
    <n v="9.9888888888888907"/>
    <n v="3645.9444444444398"/>
    <n v="13125.4"/>
  </r>
  <r>
    <x v="0"/>
    <x v="0"/>
    <x v="0"/>
    <x v="0"/>
    <x v="0"/>
    <s v="DK1_Large"/>
    <x v="3"/>
    <s v="GNR_ENG_NGAS_BP_E-43"/>
    <x v="0"/>
    <x v="5"/>
    <n v="9.9888888888888907"/>
    <n v="3645.9444444444398"/>
    <n v="13125.4"/>
  </r>
  <r>
    <x v="0"/>
    <x v="0"/>
    <x v="0"/>
    <x v="0"/>
    <x v="0"/>
    <s v="DK1_Large"/>
    <x v="3"/>
    <s v="GNR_ENG_NGAS_BP_E-43"/>
    <x v="0"/>
    <x v="17"/>
    <n v="9.9888888888888907"/>
    <n v="3645.9444444444398"/>
    <n v="13125.4"/>
  </r>
  <r>
    <x v="0"/>
    <x v="0"/>
    <x v="0"/>
    <x v="0"/>
    <x v="0"/>
    <s v="DK1_Large"/>
    <x v="3"/>
    <s v="GNR_ENG_NGAS_BP_E-43"/>
    <x v="0"/>
    <x v="18"/>
    <n v="9.9888888888888907"/>
    <n v="3645.9444444444398"/>
    <n v="13125.4"/>
  </r>
  <r>
    <x v="0"/>
    <x v="0"/>
    <x v="0"/>
    <x v="0"/>
    <x v="0"/>
    <s v="DK1_Large"/>
    <x v="3"/>
    <s v="GNR_ENG_NGAS_BP_E-43"/>
    <x v="0"/>
    <x v="19"/>
    <n v="9.9888888888888907"/>
    <n v="3645.9444444444398"/>
    <n v="13125.4"/>
  </r>
  <r>
    <x v="0"/>
    <x v="0"/>
    <x v="0"/>
    <x v="0"/>
    <x v="0"/>
    <s v="DK1_Large"/>
    <x v="3"/>
    <s v="GNR_ENG_NGAS_BP_E-43"/>
    <x v="0"/>
    <x v="20"/>
    <n v="9.9888888888888907"/>
    <n v="3645.9444444444398"/>
    <n v="13125.4"/>
  </r>
  <r>
    <x v="0"/>
    <x v="0"/>
    <x v="0"/>
    <x v="0"/>
    <x v="0"/>
    <s v="DK1_Large"/>
    <x v="3"/>
    <s v="GNR_ENG_NGAS_BP_E-43"/>
    <x v="0"/>
    <x v="21"/>
    <n v="9.9888888888888907"/>
    <n v="3645.9444444444398"/>
    <n v="13125.4"/>
  </r>
  <r>
    <x v="0"/>
    <x v="0"/>
    <x v="0"/>
    <x v="0"/>
    <x v="0"/>
    <s v="DK1_Large"/>
    <x v="3"/>
    <s v="GNR_ENG_NGAS_BP_E-43"/>
    <x v="0"/>
    <x v="22"/>
    <n v="9.9888888888888907"/>
    <n v="3645.9444444444398"/>
    <n v="13125.4"/>
  </r>
  <r>
    <x v="0"/>
    <x v="0"/>
    <x v="0"/>
    <x v="0"/>
    <x v="0"/>
    <s v="DK1_Large"/>
    <x v="3"/>
    <s v="GNR_ENG_NGAS_BP_E-43"/>
    <x v="0"/>
    <x v="23"/>
    <n v="9.9888888888888907"/>
    <n v="3645.9444444444398"/>
    <n v="13125.4"/>
  </r>
  <r>
    <x v="0"/>
    <x v="0"/>
    <x v="0"/>
    <x v="0"/>
    <x v="0"/>
    <s v="DK1_Large"/>
    <x v="3"/>
    <s v="GNR_ENG_NGAS_BP_E-44"/>
    <x v="0"/>
    <x v="6"/>
    <n v="3.4888888888888898"/>
    <n v="1273.44444444444"/>
    <n v="4584.3999999999996"/>
  </r>
  <r>
    <x v="0"/>
    <x v="0"/>
    <x v="0"/>
    <x v="0"/>
    <x v="0"/>
    <s v="DK1_Large"/>
    <x v="3"/>
    <s v="GNR_ENG_NGAS_BP_E-44"/>
    <x v="0"/>
    <x v="7"/>
    <n v="3.4888888888888898"/>
    <n v="1273.44444444444"/>
    <n v="4584.3999999999996"/>
  </r>
  <r>
    <x v="0"/>
    <x v="0"/>
    <x v="0"/>
    <x v="0"/>
    <x v="0"/>
    <s v="DK1_Large"/>
    <x v="3"/>
    <s v="GNR_ENG_NGAS_BP_E-44"/>
    <x v="0"/>
    <x v="8"/>
    <n v="3.4888888888888898"/>
    <n v="1273.44444444444"/>
    <n v="4584.3999999999996"/>
  </r>
  <r>
    <x v="0"/>
    <x v="0"/>
    <x v="0"/>
    <x v="0"/>
    <x v="0"/>
    <s v="DK1_Large"/>
    <x v="3"/>
    <s v="GNR_ENG_NGAS_BP_E-44"/>
    <x v="0"/>
    <x v="9"/>
    <n v="3.4888888888888898"/>
    <n v="1273.44444444444"/>
    <n v="4584.3999999999996"/>
  </r>
  <r>
    <x v="0"/>
    <x v="0"/>
    <x v="0"/>
    <x v="0"/>
    <x v="0"/>
    <s v="DK1_Large"/>
    <x v="3"/>
    <s v="GNR_ENG_NGAS_BP_E-44"/>
    <x v="0"/>
    <x v="10"/>
    <n v="3.4888888888888898"/>
    <n v="1273.44444444444"/>
    <n v="4584.3999999999996"/>
  </r>
  <r>
    <x v="0"/>
    <x v="0"/>
    <x v="0"/>
    <x v="0"/>
    <x v="0"/>
    <s v="DK1_Large"/>
    <x v="3"/>
    <s v="GNR_ENG_NGAS_BP_E-44"/>
    <x v="0"/>
    <x v="11"/>
    <n v="3.4888888888888898"/>
    <n v="1273.44444444444"/>
    <n v="4584.3999999999996"/>
  </r>
  <r>
    <x v="0"/>
    <x v="0"/>
    <x v="0"/>
    <x v="0"/>
    <x v="0"/>
    <s v="DK1_Large"/>
    <x v="3"/>
    <s v="GNR_ENG_NGAS_BP_E-44"/>
    <x v="0"/>
    <x v="0"/>
    <n v="3.4888888888888898"/>
    <n v="1273.44444444444"/>
    <n v="4584.3999999999996"/>
  </r>
  <r>
    <x v="0"/>
    <x v="0"/>
    <x v="0"/>
    <x v="0"/>
    <x v="0"/>
    <s v="DK1_Large"/>
    <x v="3"/>
    <s v="GNR_ENG_NGAS_BP_E-44"/>
    <x v="0"/>
    <x v="1"/>
    <n v="3.4888888888888898"/>
    <n v="1273.44444444444"/>
    <n v="4584.3999999999996"/>
  </r>
  <r>
    <x v="0"/>
    <x v="0"/>
    <x v="0"/>
    <x v="0"/>
    <x v="0"/>
    <s v="DK1_Large"/>
    <x v="3"/>
    <s v="GNR_ENG_NGAS_BP_E-44"/>
    <x v="0"/>
    <x v="2"/>
    <n v="3.4888888888888898"/>
    <n v="1273.44444444444"/>
    <n v="4584.3999999999996"/>
  </r>
  <r>
    <x v="0"/>
    <x v="0"/>
    <x v="0"/>
    <x v="0"/>
    <x v="0"/>
    <s v="DK1_Large"/>
    <x v="3"/>
    <s v="GNR_ENG_NGAS_BP_E-44"/>
    <x v="0"/>
    <x v="3"/>
    <n v="3.4888888888888898"/>
    <n v="1273.44444444444"/>
    <n v="4584.3999999999996"/>
  </r>
  <r>
    <x v="0"/>
    <x v="0"/>
    <x v="0"/>
    <x v="0"/>
    <x v="0"/>
    <s v="DK1_Large"/>
    <x v="3"/>
    <s v="GNR_ENG_NGAS_BP_E-44"/>
    <x v="0"/>
    <x v="12"/>
    <n v="3.4888888888888898"/>
    <n v="1273.44444444444"/>
    <n v="4584.3999999999996"/>
  </r>
  <r>
    <x v="0"/>
    <x v="0"/>
    <x v="0"/>
    <x v="0"/>
    <x v="0"/>
    <s v="DK1_Large"/>
    <x v="3"/>
    <s v="GNR_ENG_NGAS_BP_E-44"/>
    <x v="0"/>
    <x v="13"/>
    <n v="3.4888888888888898"/>
    <n v="1273.44444444444"/>
    <n v="4584.3999999999996"/>
  </r>
  <r>
    <x v="0"/>
    <x v="0"/>
    <x v="0"/>
    <x v="0"/>
    <x v="0"/>
    <s v="DK1_Large"/>
    <x v="3"/>
    <s v="GNR_ENG_NGAS_BP_E-44"/>
    <x v="0"/>
    <x v="14"/>
    <n v="3.4888888888888898"/>
    <n v="1273.44444444444"/>
    <n v="4584.3999999999996"/>
  </r>
  <r>
    <x v="0"/>
    <x v="0"/>
    <x v="0"/>
    <x v="0"/>
    <x v="0"/>
    <s v="DK1_Large"/>
    <x v="3"/>
    <s v="GNR_ENG_NGAS_BP_E-44"/>
    <x v="0"/>
    <x v="15"/>
    <n v="3.4888888888888898"/>
    <n v="1273.44444444444"/>
    <n v="4584.3999999999996"/>
  </r>
  <r>
    <x v="0"/>
    <x v="0"/>
    <x v="0"/>
    <x v="0"/>
    <x v="0"/>
    <s v="DK1_Large"/>
    <x v="3"/>
    <s v="GNR_ENG_NGAS_BP_E-44"/>
    <x v="0"/>
    <x v="4"/>
    <n v="3.4888888888888898"/>
    <n v="1273.44444444444"/>
    <n v="4584.3999999999996"/>
  </r>
  <r>
    <x v="0"/>
    <x v="0"/>
    <x v="0"/>
    <x v="0"/>
    <x v="0"/>
    <s v="DK1_Large"/>
    <x v="3"/>
    <s v="GNR_ENG_NGAS_BP_E-44"/>
    <x v="0"/>
    <x v="16"/>
    <n v="3.4888888888888898"/>
    <n v="1273.44444444444"/>
    <n v="4584.3999999999996"/>
  </r>
  <r>
    <x v="0"/>
    <x v="0"/>
    <x v="0"/>
    <x v="0"/>
    <x v="0"/>
    <s v="DK1_Large"/>
    <x v="3"/>
    <s v="GNR_ENG_NGAS_BP_E-44"/>
    <x v="0"/>
    <x v="5"/>
    <n v="3.4888888888888898"/>
    <n v="1273.44444444444"/>
    <n v="4584.3999999999996"/>
  </r>
  <r>
    <x v="0"/>
    <x v="0"/>
    <x v="0"/>
    <x v="0"/>
    <x v="0"/>
    <s v="DK1_Large"/>
    <x v="3"/>
    <s v="GNR_ENG_NGAS_BP_E-44"/>
    <x v="0"/>
    <x v="17"/>
    <n v="3.4888888888888898"/>
    <n v="1273.44444444444"/>
    <n v="4584.3999999999996"/>
  </r>
  <r>
    <x v="0"/>
    <x v="0"/>
    <x v="0"/>
    <x v="0"/>
    <x v="0"/>
    <s v="DK1_Large"/>
    <x v="3"/>
    <s v="GNR_ENG_NGAS_BP_E-44"/>
    <x v="0"/>
    <x v="18"/>
    <n v="3.4888888888888898"/>
    <n v="1273.44444444444"/>
    <n v="4584.3999999999996"/>
  </r>
  <r>
    <x v="0"/>
    <x v="0"/>
    <x v="0"/>
    <x v="0"/>
    <x v="0"/>
    <s v="DK1_Large"/>
    <x v="3"/>
    <s v="GNR_ENG_NGAS_BP_E-44"/>
    <x v="0"/>
    <x v="19"/>
    <n v="3.4888888888888898"/>
    <n v="1273.44444444444"/>
    <n v="4584.3999999999996"/>
  </r>
  <r>
    <x v="0"/>
    <x v="0"/>
    <x v="0"/>
    <x v="0"/>
    <x v="0"/>
    <s v="DK1_Large"/>
    <x v="3"/>
    <s v="GNR_ENG_NGAS_BP_E-44"/>
    <x v="0"/>
    <x v="20"/>
    <n v="3.4888888888888898"/>
    <n v="1273.44444444444"/>
    <n v="4584.3999999999996"/>
  </r>
  <r>
    <x v="0"/>
    <x v="0"/>
    <x v="0"/>
    <x v="0"/>
    <x v="0"/>
    <s v="DK1_Large"/>
    <x v="3"/>
    <s v="GNR_ENG_NGAS_BP_E-44"/>
    <x v="0"/>
    <x v="21"/>
    <n v="3.4888888888888898"/>
    <n v="1273.44444444444"/>
    <n v="4584.3999999999996"/>
  </r>
  <r>
    <x v="0"/>
    <x v="0"/>
    <x v="0"/>
    <x v="0"/>
    <x v="0"/>
    <s v="DK1_Large"/>
    <x v="3"/>
    <s v="GNR_ENG_NGAS_BP_E-44"/>
    <x v="0"/>
    <x v="22"/>
    <n v="3.4888888888888898"/>
    <n v="1273.44444444444"/>
    <n v="4584.3999999999996"/>
  </r>
  <r>
    <x v="0"/>
    <x v="0"/>
    <x v="0"/>
    <x v="0"/>
    <x v="0"/>
    <s v="DK1_Large"/>
    <x v="3"/>
    <s v="GNR_ENG_NGAS_BP_E-44"/>
    <x v="0"/>
    <x v="23"/>
    <n v="3.4888888888888898"/>
    <n v="1273.44444444444"/>
    <n v="4584.3999999999996"/>
  </r>
  <r>
    <x v="0"/>
    <x v="0"/>
    <x v="0"/>
    <x v="0"/>
    <x v="0"/>
    <s v="DK1_Large"/>
    <x v="3"/>
    <s v="GNR_ENG_NGAS_BP_E-46"/>
    <x v="0"/>
    <x v="6"/>
    <n v="3.24444444444444"/>
    <n v="1184.2222222222199"/>
    <n v="4263.2"/>
  </r>
  <r>
    <x v="0"/>
    <x v="0"/>
    <x v="0"/>
    <x v="0"/>
    <x v="0"/>
    <s v="DK1_Large"/>
    <x v="3"/>
    <s v="GNR_ENG_NGAS_BP_E-46"/>
    <x v="0"/>
    <x v="7"/>
    <n v="3.24444444444444"/>
    <n v="1184.2222222222199"/>
    <n v="4263.2"/>
  </r>
  <r>
    <x v="0"/>
    <x v="0"/>
    <x v="0"/>
    <x v="0"/>
    <x v="0"/>
    <s v="DK1_Large"/>
    <x v="3"/>
    <s v="GNR_ENG_NGAS_BP_E-46"/>
    <x v="0"/>
    <x v="8"/>
    <n v="3.24444444444444"/>
    <n v="1184.2222222222199"/>
    <n v="4263.2"/>
  </r>
  <r>
    <x v="0"/>
    <x v="0"/>
    <x v="0"/>
    <x v="0"/>
    <x v="0"/>
    <s v="DK1_Large"/>
    <x v="3"/>
    <s v="GNR_ENG_NGAS_BP_E-46"/>
    <x v="0"/>
    <x v="9"/>
    <n v="3.24444444444444"/>
    <n v="1184.2222222222199"/>
    <n v="4263.2"/>
  </r>
  <r>
    <x v="0"/>
    <x v="0"/>
    <x v="0"/>
    <x v="0"/>
    <x v="0"/>
    <s v="DK1_Large"/>
    <x v="3"/>
    <s v="GNR_ENG_NGAS_BP_E-46"/>
    <x v="0"/>
    <x v="10"/>
    <n v="3.24444444444444"/>
    <n v="1184.2222222222199"/>
    <n v="4263.2"/>
  </r>
  <r>
    <x v="0"/>
    <x v="0"/>
    <x v="0"/>
    <x v="0"/>
    <x v="0"/>
    <s v="DK1_Large"/>
    <x v="3"/>
    <s v="GNR_ENG_NGAS_BP_E-46"/>
    <x v="0"/>
    <x v="11"/>
    <n v="3.24444444444444"/>
    <n v="1184.2222222222199"/>
    <n v="4263.2"/>
  </r>
  <r>
    <x v="0"/>
    <x v="0"/>
    <x v="0"/>
    <x v="0"/>
    <x v="0"/>
    <s v="DK1_Large"/>
    <x v="3"/>
    <s v="GNR_ENG_NGAS_BP_E-46"/>
    <x v="0"/>
    <x v="0"/>
    <n v="3.24444444444444"/>
    <n v="1184.2222222222199"/>
    <n v="4263.2"/>
  </r>
  <r>
    <x v="0"/>
    <x v="0"/>
    <x v="0"/>
    <x v="0"/>
    <x v="0"/>
    <s v="DK1_Large"/>
    <x v="3"/>
    <s v="GNR_ENG_NGAS_BP_E-46"/>
    <x v="0"/>
    <x v="1"/>
    <n v="3.24444444444444"/>
    <n v="1184.2222222222199"/>
    <n v="4263.2"/>
  </r>
  <r>
    <x v="0"/>
    <x v="0"/>
    <x v="0"/>
    <x v="0"/>
    <x v="0"/>
    <s v="DK1_Large"/>
    <x v="3"/>
    <s v="GNR_ENG_NGAS_BP_E-46"/>
    <x v="0"/>
    <x v="2"/>
    <n v="3.24444444444444"/>
    <n v="1184.2222222222199"/>
    <n v="4263.2"/>
  </r>
  <r>
    <x v="0"/>
    <x v="0"/>
    <x v="0"/>
    <x v="0"/>
    <x v="0"/>
    <s v="DK1_Large"/>
    <x v="3"/>
    <s v="GNR_ENG_NGAS_BP_E-46"/>
    <x v="0"/>
    <x v="3"/>
    <n v="3.24444444444444"/>
    <n v="1184.2222222222199"/>
    <n v="4263.2"/>
  </r>
  <r>
    <x v="0"/>
    <x v="0"/>
    <x v="0"/>
    <x v="0"/>
    <x v="0"/>
    <s v="DK1_Large"/>
    <x v="3"/>
    <s v="GNR_ENG_NGAS_BP_E-46"/>
    <x v="0"/>
    <x v="12"/>
    <n v="3.24444444444444"/>
    <n v="1184.2222222222199"/>
    <n v="4263.2"/>
  </r>
  <r>
    <x v="0"/>
    <x v="0"/>
    <x v="0"/>
    <x v="0"/>
    <x v="0"/>
    <s v="DK1_Large"/>
    <x v="3"/>
    <s v="GNR_ENG_NGAS_BP_E-46"/>
    <x v="0"/>
    <x v="13"/>
    <n v="3.24444444444444"/>
    <n v="1184.2222222222199"/>
    <n v="4263.2"/>
  </r>
  <r>
    <x v="0"/>
    <x v="0"/>
    <x v="0"/>
    <x v="0"/>
    <x v="0"/>
    <s v="DK1_Large"/>
    <x v="3"/>
    <s v="GNR_ENG_NGAS_BP_E-46"/>
    <x v="0"/>
    <x v="14"/>
    <n v="3.24444444444444"/>
    <n v="1184.2222222222199"/>
    <n v="4263.2"/>
  </r>
  <r>
    <x v="0"/>
    <x v="0"/>
    <x v="0"/>
    <x v="0"/>
    <x v="0"/>
    <s v="DK1_Large"/>
    <x v="3"/>
    <s v="GNR_ENG_NGAS_BP_E-46"/>
    <x v="0"/>
    <x v="15"/>
    <n v="3.24444444444444"/>
    <n v="1184.2222222222199"/>
    <n v="4263.2"/>
  </r>
  <r>
    <x v="0"/>
    <x v="0"/>
    <x v="0"/>
    <x v="0"/>
    <x v="0"/>
    <s v="DK1_Large"/>
    <x v="3"/>
    <s v="GNR_ENG_NGAS_BP_E-46"/>
    <x v="0"/>
    <x v="4"/>
    <n v="3.24444444444444"/>
    <n v="1184.2222222222199"/>
    <n v="4263.2"/>
  </r>
  <r>
    <x v="0"/>
    <x v="0"/>
    <x v="0"/>
    <x v="0"/>
    <x v="0"/>
    <s v="DK1_Large"/>
    <x v="3"/>
    <s v="GNR_ENG_NGAS_BP_E-46"/>
    <x v="0"/>
    <x v="16"/>
    <n v="3.24444444444444"/>
    <n v="1184.2222222222199"/>
    <n v="4263.2"/>
  </r>
  <r>
    <x v="0"/>
    <x v="0"/>
    <x v="0"/>
    <x v="0"/>
    <x v="0"/>
    <s v="DK1_Large"/>
    <x v="3"/>
    <s v="GNR_ENG_NGAS_BP_E-46"/>
    <x v="0"/>
    <x v="5"/>
    <n v="3.24444444444444"/>
    <n v="1184.2222222222199"/>
    <n v="4263.2"/>
  </r>
  <r>
    <x v="0"/>
    <x v="0"/>
    <x v="0"/>
    <x v="0"/>
    <x v="0"/>
    <s v="DK1_Large"/>
    <x v="3"/>
    <s v="GNR_ENG_NGAS_BP_E-46"/>
    <x v="0"/>
    <x v="17"/>
    <n v="3.24444444444444"/>
    <n v="1184.2222222222199"/>
    <n v="4263.2"/>
  </r>
  <r>
    <x v="0"/>
    <x v="0"/>
    <x v="0"/>
    <x v="0"/>
    <x v="0"/>
    <s v="DK1_Large"/>
    <x v="3"/>
    <s v="GNR_ENG_NGAS_BP_E-46"/>
    <x v="0"/>
    <x v="18"/>
    <n v="3.24444444444444"/>
    <n v="1184.2222222222199"/>
    <n v="4263.2"/>
  </r>
  <r>
    <x v="0"/>
    <x v="0"/>
    <x v="0"/>
    <x v="0"/>
    <x v="0"/>
    <s v="DK1_Large"/>
    <x v="3"/>
    <s v="GNR_ENG_NGAS_BP_E-46"/>
    <x v="0"/>
    <x v="19"/>
    <n v="3.24444444444444"/>
    <n v="1184.2222222222199"/>
    <n v="4263.2"/>
  </r>
  <r>
    <x v="0"/>
    <x v="0"/>
    <x v="0"/>
    <x v="0"/>
    <x v="0"/>
    <s v="DK1_Large"/>
    <x v="3"/>
    <s v="GNR_ENG_NGAS_BP_E-46"/>
    <x v="0"/>
    <x v="20"/>
    <n v="3.24444444444444"/>
    <n v="1184.2222222222199"/>
    <n v="4263.2"/>
  </r>
  <r>
    <x v="0"/>
    <x v="0"/>
    <x v="0"/>
    <x v="0"/>
    <x v="0"/>
    <s v="DK1_Large"/>
    <x v="3"/>
    <s v="GNR_ENG_NGAS_BP_E-46"/>
    <x v="0"/>
    <x v="21"/>
    <n v="3.24444444444444"/>
    <n v="1184.2222222222199"/>
    <n v="4263.2"/>
  </r>
  <r>
    <x v="0"/>
    <x v="0"/>
    <x v="0"/>
    <x v="0"/>
    <x v="0"/>
    <s v="DK1_Large"/>
    <x v="3"/>
    <s v="GNR_ENG_NGAS_BP_E-46"/>
    <x v="0"/>
    <x v="22"/>
    <n v="3.24444444444444"/>
    <n v="1184.2222222222199"/>
    <n v="4263.2"/>
  </r>
  <r>
    <x v="0"/>
    <x v="0"/>
    <x v="0"/>
    <x v="0"/>
    <x v="0"/>
    <s v="DK1_Large"/>
    <x v="3"/>
    <s v="GNR_ENG_NGAS_BP_E-46"/>
    <x v="0"/>
    <x v="23"/>
    <n v="3.24444444444444"/>
    <n v="1184.2222222222199"/>
    <n v="4263.2"/>
  </r>
  <r>
    <x v="0"/>
    <x v="0"/>
    <x v="0"/>
    <x v="0"/>
    <x v="0"/>
    <s v="DK1_Large"/>
    <x v="3"/>
    <s v="GNR_GT_NGAS_BP_E-27"/>
    <x v="0"/>
    <x v="0"/>
    <n v="27.3684210526316"/>
    <n v="9989.4736842105303"/>
    <n v="35962.1052631579"/>
  </r>
  <r>
    <x v="0"/>
    <x v="0"/>
    <x v="0"/>
    <x v="0"/>
    <x v="0"/>
    <s v="DK1_Large"/>
    <x v="3"/>
    <s v="GNR_GT_NGAS_BP_E-27"/>
    <x v="0"/>
    <x v="1"/>
    <n v="27.3684210526316"/>
    <n v="9989.4736842105303"/>
    <n v="35962.1052631579"/>
  </r>
  <r>
    <x v="0"/>
    <x v="0"/>
    <x v="0"/>
    <x v="0"/>
    <x v="0"/>
    <s v="DK1_Large"/>
    <x v="3"/>
    <s v="GNR_GT_NGAS_BP_E-27"/>
    <x v="0"/>
    <x v="2"/>
    <n v="27.3684210526316"/>
    <n v="9989.4736842105303"/>
    <n v="35962.1052631579"/>
  </r>
  <r>
    <x v="0"/>
    <x v="0"/>
    <x v="0"/>
    <x v="0"/>
    <x v="0"/>
    <s v="DK1_Large"/>
    <x v="3"/>
    <s v="GNR_GT_NGAS_BP_E-27"/>
    <x v="0"/>
    <x v="3"/>
    <n v="27.3684210526316"/>
    <n v="9989.4736842105303"/>
    <n v="35962.1052631579"/>
  </r>
  <r>
    <x v="0"/>
    <x v="0"/>
    <x v="0"/>
    <x v="0"/>
    <x v="0"/>
    <s v="DK1_Large"/>
    <x v="3"/>
    <s v="GNR_GT_NGAS_BP_E-27"/>
    <x v="0"/>
    <x v="12"/>
    <n v="27.3684210526316"/>
    <n v="9989.4736842105303"/>
    <n v="35962.1052631579"/>
  </r>
  <r>
    <x v="0"/>
    <x v="0"/>
    <x v="0"/>
    <x v="0"/>
    <x v="0"/>
    <s v="DK1_Large"/>
    <x v="3"/>
    <s v="GNR_ST_NGAS_EXT_E-47"/>
    <x v="0"/>
    <x v="6"/>
    <n v="271.12717171862198"/>
    <n v="98961.417677296995"/>
    <n v="356261.10363826901"/>
  </r>
  <r>
    <x v="0"/>
    <x v="0"/>
    <x v="0"/>
    <x v="0"/>
    <x v="0"/>
    <s v="DK1_Large"/>
    <x v="3"/>
    <s v="GNR_ST_NGAS_EXT_E-47"/>
    <x v="0"/>
    <x v="7"/>
    <n v="428.51588911426597"/>
    <n v="156408.29952670701"/>
    <n v="563069.87829614605"/>
  </r>
  <r>
    <x v="0"/>
    <x v="0"/>
    <x v="0"/>
    <x v="0"/>
    <x v="0"/>
    <s v="DK1_Large"/>
    <x v="3"/>
    <s v="GNR_ST_NGAS_EXT_E-47"/>
    <x v="0"/>
    <x v="8"/>
    <n v="438.47936870129098"/>
    <n v="160044.96957597099"/>
    <n v="576161.89047349605"/>
  </r>
  <r>
    <x v="0"/>
    <x v="0"/>
    <x v="0"/>
    <x v="0"/>
    <x v="0"/>
    <s v="DK1_Large"/>
    <x v="3"/>
    <s v="GNR_ST_NGAS_EXT_E-47"/>
    <x v="0"/>
    <x v="9"/>
    <n v="448.44284828831599"/>
    <n v="163681.639625235"/>
    <n v="589253.90265084698"/>
  </r>
  <r>
    <x v="0"/>
    <x v="0"/>
    <x v="0"/>
    <x v="0"/>
    <x v="0"/>
    <s v="DK1_Large"/>
    <x v="3"/>
    <s v="GNR_ST_NGAS_EXT_E-47"/>
    <x v="0"/>
    <x v="10"/>
    <n v="265.249549595112"/>
    <n v="96816.085602215899"/>
    <n v="348537.908167977"/>
  </r>
  <r>
    <x v="0"/>
    <x v="0"/>
    <x v="0"/>
    <x v="0"/>
    <x v="0"/>
    <s v="DK1_Large"/>
    <x v="3"/>
    <s v="GNR_ST_NGAS_EXT_E-47"/>
    <x v="0"/>
    <x v="11"/>
    <n v="325.03042711725999"/>
    <n v="118636.10589779999"/>
    <n v="427089.98123208003"/>
  </r>
  <r>
    <x v="0"/>
    <x v="0"/>
    <x v="0"/>
    <x v="0"/>
    <x v="0"/>
    <s v="DK1_Large"/>
    <x v="3"/>
    <s v="GNR_ST_NGAS_EXT_E-47"/>
    <x v="0"/>
    <x v="12"/>
    <n v="338.227601526086"/>
    <n v="123453.074557021"/>
    <n v="444431.06840527698"/>
  </r>
  <r>
    <x v="0"/>
    <x v="0"/>
    <x v="0"/>
    <x v="0"/>
    <x v="0"/>
    <s v="DK1_Large"/>
    <x v="3"/>
    <s v="GNR_ST_NGAS_EXT_E-47"/>
    <x v="0"/>
    <x v="13"/>
    <n v="345.66906340466801"/>
    <n v="126169.208142704"/>
    <n v="454209.14931373397"/>
  </r>
  <r>
    <x v="0"/>
    <x v="0"/>
    <x v="0"/>
    <x v="0"/>
    <x v="0"/>
    <s v="DK1_Large"/>
    <x v="3"/>
    <s v="GNR_ST_NGAS_EXT_E-47"/>
    <x v="0"/>
    <x v="14"/>
    <n v="325.03042711725999"/>
    <n v="118636.10589779999"/>
    <n v="427089.98123208003"/>
  </r>
  <r>
    <x v="0"/>
    <x v="0"/>
    <x v="0"/>
    <x v="0"/>
    <x v="0"/>
    <s v="DK1_Large"/>
    <x v="3"/>
    <s v="GNR_ST_NGAS_EXT_E-47"/>
    <x v="0"/>
    <x v="15"/>
    <n v="450.57471264367803"/>
    <n v="164459.77011494301"/>
    <n v="592055.17241379304"/>
  </r>
  <r>
    <x v="0"/>
    <x v="0"/>
    <x v="0"/>
    <x v="0"/>
    <x v="0"/>
    <s v="DK1_Large"/>
    <x v="3"/>
    <s v="GNR_ST_NGAS_EXT_E-47"/>
    <x v="0"/>
    <x v="4"/>
    <n v="232.20990580190801"/>
    <n v="84756.6156176964"/>
    <n v="305123.81622370699"/>
  </r>
  <r>
    <x v="0"/>
    <x v="0"/>
    <x v="0"/>
    <x v="0"/>
    <x v="0"/>
    <s v="DK1_Large"/>
    <x v="3"/>
    <s v="GNR_ST_NGAS_EXT_E-47"/>
    <x v="0"/>
    <x v="16"/>
    <n v="450.57471264367803"/>
    <n v="164459.77011494301"/>
    <n v="592055.17241379304"/>
  </r>
  <r>
    <x v="0"/>
    <x v="0"/>
    <x v="0"/>
    <x v="0"/>
    <x v="0"/>
    <s v="DK1_Large"/>
    <x v="3"/>
    <s v="GNR_ST_NGAS_EXT_E-47"/>
    <x v="0"/>
    <x v="5"/>
    <n v="279.207361290481"/>
    <n v="101910.686871025"/>
    <n v="366878.472735691"/>
  </r>
  <r>
    <x v="0"/>
    <x v="0"/>
    <x v="0"/>
    <x v="0"/>
    <x v="0"/>
    <s v="DK1_Large"/>
    <x v="3"/>
    <s v="GNR_ST_NGAS_EXT_E-47"/>
    <x v="0"/>
    <x v="17"/>
    <n v="385.52298175276599"/>
    <n v="140715.88833975999"/>
    <n v="506577.19802313502"/>
  </r>
  <r>
    <x v="0"/>
    <x v="0"/>
    <x v="0"/>
    <x v="0"/>
    <x v="0"/>
    <s v="DK1_Large"/>
    <x v="3"/>
    <s v="GNR_ST_NGAS_EXT_E-47"/>
    <x v="0"/>
    <x v="18"/>
    <n v="395.48646133979099"/>
    <n v="144352.55838902399"/>
    <n v="519669.21020048601"/>
  </r>
  <r>
    <x v="0"/>
    <x v="0"/>
    <x v="0"/>
    <x v="0"/>
    <x v="0"/>
    <s v="DK1_Large"/>
    <x v="3"/>
    <s v="GNR_ST_NGAS_EXT_E-47"/>
    <x v="0"/>
    <x v="19"/>
    <n v="450.57471264367803"/>
    <n v="164459.77011494301"/>
    <n v="592055.17241379304"/>
  </r>
  <r>
    <x v="0"/>
    <x v="0"/>
    <x v="0"/>
    <x v="0"/>
    <x v="0"/>
    <s v="DK1_Large"/>
    <x v="3"/>
    <s v="GNR_ST_NGAS_EXT_E-47"/>
    <x v="0"/>
    <x v="20"/>
    <n v="450.57471264367803"/>
    <n v="164459.77011494301"/>
    <n v="592055.17241379304"/>
  </r>
  <r>
    <x v="0"/>
    <x v="0"/>
    <x v="0"/>
    <x v="0"/>
    <x v="0"/>
    <s v="DK1_Large"/>
    <x v="3"/>
    <s v="GNR_ST_NGAS_EXT_E-47"/>
    <x v="0"/>
    <x v="21"/>
    <n v="450.57471264367803"/>
    <n v="164459.77011494301"/>
    <n v="592055.17241379304"/>
  </r>
  <r>
    <x v="0"/>
    <x v="0"/>
    <x v="0"/>
    <x v="0"/>
    <x v="0"/>
    <s v="DK1_Large"/>
    <x v="3"/>
    <s v="GNR_ST_NGAS_EXT_E-47"/>
    <x v="0"/>
    <x v="22"/>
    <n v="450.57471264367803"/>
    <n v="164459.77011494301"/>
    <n v="592055.17241379304"/>
  </r>
  <r>
    <x v="0"/>
    <x v="0"/>
    <x v="0"/>
    <x v="0"/>
    <x v="0"/>
    <s v="DK1_Large"/>
    <x v="3"/>
    <s v="GNR_ST_NGAS_EXT_E-47"/>
    <x v="0"/>
    <x v="23"/>
    <n v="450.57471264367803"/>
    <n v="164459.77011494301"/>
    <n v="592055.17241379304"/>
  </r>
  <r>
    <x v="0"/>
    <x v="0"/>
    <x v="0"/>
    <x v="0"/>
    <x v="0"/>
    <s v="DK1_Large"/>
    <x v="4"/>
    <s v="GNR_ST_STRW_BP_E-26"/>
    <x v="0"/>
    <x v="6"/>
    <n v="69.716740415670401"/>
    <n v="25446.6102517197"/>
    <n v="91607.796906190997"/>
  </r>
  <r>
    <x v="0"/>
    <x v="0"/>
    <x v="0"/>
    <x v="0"/>
    <x v="0"/>
    <s v="DK1_Large"/>
    <x v="4"/>
    <s v="GNR_ST_STRW_BP_E-26"/>
    <x v="0"/>
    <x v="7"/>
    <n v="69.716740415670401"/>
    <n v="25446.6102517197"/>
    <n v="91607.796906190997"/>
  </r>
  <r>
    <x v="0"/>
    <x v="0"/>
    <x v="0"/>
    <x v="0"/>
    <x v="0"/>
    <s v="DK1_Large"/>
    <x v="4"/>
    <s v="GNR_ST_STRW_BP_E-26"/>
    <x v="0"/>
    <x v="8"/>
    <n v="69.716740415670401"/>
    <n v="25446.6102517197"/>
    <n v="91607.796906190997"/>
  </r>
  <r>
    <x v="0"/>
    <x v="0"/>
    <x v="0"/>
    <x v="0"/>
    <x v="0"/>
    <s v="DK1_Large"/>
    <x v="4"/>
    <s v="GNR_ST_STRW_BP_E-26"/>
    <x v="0"/>
    <x v="9"/>
    <n v="69.716740415670401"/>
    <n v="25446.6102517197"/>
    <n v="91607.796906190997"/>
  </r>
  <r>
    <x v="0"/>
    <x v="0"/>
    <x v="0"/>
    <x v="0"/>
    <x v="0"/>
    <s v="DK1_Large"/>
    <x v="4"/>
    <s v="GNR_ST_STRW_BP_E-26"/>
    <x v="0"/>
    <x v="10"/>
    <n v="69.716740415670401"/>
    <n v="25446.6102517197"/>
    <n v="91607.796906190997"/>
  </r>
  <r>
    <x v="0"/>
    <x v="0"/>
    <x v="0"/>
    <x v="0"/>
    <x v="0"/>
    <s v="DK1_Large"/>
    <x v="4"/>
    <s v="GNR_ST_STRW_BP_E-26"/>
    <x v="0"/>
    <x v="11"/>
    <n v="69.716740415670401"/>
    <n v="25446.6102517197"/>
    <n v="91607.796906190997"/>
  </r>
  <r>
    <x v="0"/>
    <x v="0"/>
    <x v="0"/>
    <x v="0"/>
    <x v="0"/>
    <s v="DK1_Large"/>
    <x v="4"/>
    <s v="GNR_ST_STRW_BP_E-26"/>
    <x v="0"/>
    <x v="0"/>
    <n v="69.716740415670401"/>
    <n v="25446.6102517197"/>
    <n v="91607.796906190997"/>
  </r>
  <r>
    <x v="0"/>
    <x v="0"/>
    <x v="0"/>
    <x v="0"/>
    <x v="0"/>
    <s v="DK1_Large"/>
    <x v="4"/>
    <s v="GNR_ST_STRW_BP_E-26"/>
    <x v="0"/>
    <x v="1"/>
    <n v="69.716740415670401"/>
    <n v="25446.6102517197"/>
    <n v="91607.796906190997"/>
  </r>
  <r>
    <x v="0"/>
    <x v="0"/>
    <x v="0"/>
    <x v="0"/>
    <x v="0"/>
    <s v="DK1_Large"/>
    <x v="4"/>
    <s v="GNR_ST_STRW_BP_E-26"/>
    <x v="0"/>
    <x v="2"/>
    <n v="69.716740415670401"/>
    <n v="25446.6102517197"/>
    <n v="91607.796906190997"/>
  </r>
  <r>
    <x v="0"/>
    <x v="0"/>
    <x v="0"/>
    <x v="0"/>
    <x v="0"/>
    <s v="DK1_Large"/>
    <x v="4"/>
    <s v="GNR_ST_STRW_BP_E-26"/>
    <x v="0"/>
    <x v="3"/>
    <n v="69.716740415670401"/>
    <n v="25446.6102517197"/>
    <n v="91607.796906190997"/>
  </r>
  <r>
    <x v="0"/>
    <x v="0"/>
    <x v="0"/>
    <x v="0"/>
    <x v="0"/>
    <s v="DK1_Large"/>
    <x v="4"/>
    <s v="GNR_ST_STRW_BP_E-26"/>
    <x v="0"/>
    <x v="12"/>
    <n v="69.716740415670401"/>
    <n v="25446.6102517197"/>
    <n v="91607.796906190997"/>
  </r>
  <r>
    <x v="0"/>
    <x v="0"/>
    <x v="0"/>
    <x v="0"/>
    <x v="0"/>
    <s v="DK1_Large"/>
    <x v="4"/>
    <s v="GNR_ST_STRW_BP_E-26"/>
    <x v="0"/>
    <x v="13"/>
    <n v="69.716740415670401"/>
    <n v="25446.6102517197"/>
    <n v="91607.796906190997"/>
  </r>
  <r>
    <x v="0"/>
    <x v="0"/>
    <x v="0"/>
    <x v="0"/>
    <x v="0"/>
    <s v="DK1_Large"/>
    <x v="4"/>
    <s v="GNR_ST_STRW_BP_E-26"/>
    <x v="0"/>
    <x v="14"/>
    <n v="69.716740415670401"/>
    <n v="25446.6102517197"/>
    <n v="91607.796906190997"/>
  </r>
  <r>
    <x v="0"/>
    <x v="0"/>
    <x v="0"/>
    <x v="0"/>
    <x v="0"/>
    <s v="DK1_Large"/>
    <x v="4"/>
    <s v="GNR_ST_STRW_BP_E-26"/>
    <x v="0"/>
    <x v="15"/>
    <n v="69.716740415670401"/>
    <n v="25446.6102517197"/>
    <n v="91607.796906190997"/>
  </r>
  <r>
    <x v="0"/>
    <x v="0"/>
    <x v="0"/>
    <x v="0"/>
    <x v="0"/>
    <s v="DK1_Large"/>
    <x v="4"/>
    <s v="GNR_ST_STRW_BP_E-26"/>
    <x v="0"/>
    <x v="4"/>
    <n v="69.716740415670401"/>
    <n v="25446.6102517197"/>
    <n v="91607.796906190997"/>
  </r>
  <r>
    <x v="0"/>
    <x v="0"/>
    <x v="0"/>
    <x v="0"/>
    <x v="0"/>
    <s v="DK1_Large"/>
    <x v="4"/>
    <s v="GNR_ST_STRW_BP_E-26"/>
    <x v="0"/>
    <x v="16"/>
    <n v="69.716740415670401"/>
    <n v="25446.6102517197"/>
    <n v="91607.796906190997"/>
  </r>
  <r>
    <x v="0"/>
    <x v="0"/>
    <x v="0"/>
    <x v="0"/>
    <x v="0"/>
    <s v="DK1_Large"/>
    <x v="4"/>
    <s v="GNR_ST_STRW_BP_E-26"/>
    <x v="0"/>
    <x v="5"/>
    <n v="69.716740415670401"/>
    <n v="25446.6102517197"/>
    <n v="91607.796906190997"/>
  </r>
  <r>
    <x v="0"/>
    <x v="0"/>
    <x v="0"/>
    <x v="0"/>
    <x v="0"/>
    <s v="DK1_Large"/>
    <x v="4"/>
    <s v="GNR_ST_STRW_BP_E-26"/>
    <x v="0"/>
    <x v="17"/>
    <n v="69.716740415670401"/>
    <n v="25446.6102517197"/>
    <n v="91607.796906190997"/>
  </r>
  <r>
    <x v="0"/>
    <x v="0"/>
    <x v="0"/>
    <x v="0"/>
    <x v="0"/>
    <s v="DK1_Large"/>
    <x v="4"/>
    <s v="GNR_ST_STRW_BP_E-26"/>
    <x v="0"/>
    <x v="18"/>
    <n v="69.716740415670401"/>
    <n v="25446.6102517197"/>
    <n v="91607.796906190997"/>
  </r>
  <r>
    <x v="0"/>
    <x v="0"/>
    <x v="0"/>
    <x v="0"/>
    <x v="0"/>
    <s v="DK1_Large"/>
    <x v="4"/>
    <s v="GNR_ST_STRW_BP_E-26"/>
    <x v="0"/>
    <x v="19"/>
    <n v="69.716740415670401"/>
    <n v="25446.6102517197"/>
    <n v="91607.796906190997"/>
  </r>
  <r>
    <x v="0"/>
    <x v="0"/>
    <x v="0"/>
    <x v="0"/>
    <x v="0"/>
    <s v="DK1_Large"/>
    <x v="4"/>
    <s v="GNR_ST_STRW_BP_E-26"/>
    <x v="0"/>
    <x v="20"/>
    <n v="69.716740415670401"/>
    <n v="25446.6102517197"/>
    <n v="91607.796906190997"/>
  </r>
  <r>
    <x v="0"/>
    <x v="0"/>
    <x v="0"/>
    <x v="0"/>
    <x v="0"/>
    <s v="DK1_Large"/>
    <x v="4"/>
    <s v="GNR_ST_STRW_BP_E-26"/>
    <x v="0"/>
    <x v="21"/>
    <n v="69.716740415670401"/>
    <n v="25446.6102517197"/>
    <n v="91607.796906190997"/>
  </r>
  <r>
    <x v="0"/>
    <x v="0"/>
    <x v="0"/>
    <x v="0"/>
    <x v="0"/>
    <s v="DK1_Large"/>
    <x v="4"/>
    <s v="GNR_ST_STRW_BP_E-26"/>
    <x v="0"/>
    <x v="22"/>
    <n v="69.716740415670401"/>
    <n v="25446.6102517197"/>
    <n v="91607.796906190997"/>
  </r>
  <r>
    <x v="0"/>
    <x v="0"/>
    <x v="0"/>
    <x v="0"/>
    <x v="0"/>
    <s v="DK1_Large"/>
    <x v="4"/>
    <s v="GNR_ST_STRW_BP_E-26"/>
    <x v="0"/>
    <x v="23"/>
    <n v="69.716740415670401"/>
    <n v="25446.6102517197"/>
    <n v="91607.796906190997"/>
  </r>
  <r>
    <x v="0"/>
    <x v="0"/>
    <x v="0"/>
    <x v="0"/>
    <x v="0"/>
    <s v="DK1_Large"/>
    <x v="5"/>
    <s v="GNR_EH_HEAT"/>
    <x v="0"/>
    <x v="6"/>
    <n v="174.14"/>
    <n v="63561.1"/>
    <n v="228819.96"/>
  </r>
  <r>
    <x v="0"/>
    <x v="0"/>
    <x v="0"/>
    <x v="0"/>
    <x v="0"/>
    <s v="DK1_Large"/>
    <x v="5"/>
    <s v="GNR_EH_HEAT"/>
    <x v="0"/>
    <x v="7"/>
    <n v="174.14"/>
    <n v="63561.1"/>
    <n v="228819.96"/>
  </r>
  <r>
    <x v="0"/>
    <x v="0"/>
    <x v="0"/>
    <x v="0"/>
    <x v="0"/>
    <s v="DK1_Large"/>
    <x v="5"/>
    <s v="GNR_EH_HEAT"/>
    <x v="0"/>
    <x v="8"/>
    <n v="174.14"/>
    <n v="63561.1"/>
    <n v="228819.96"/>
  </r>
  <r>
    <x v="0"/>
    <x v="0"/>
    <x v="0"/>
    <x v="0"/>
    <x v="0"/>
    <s v="DK1_Large"/>
    <x v="5"/>
    <s v="GNR_EH_HEAT"/>
    <x v="0"/>
    <x v="9"/>
    <n v="174.14"/>
    <n v="63561.1"/>
    <n v="228819.96"/>
  </r>
  <r>
    <x v="0"/>
    <x v="0"/>
    <x v="0"/>
    <x v="0"/>
    <x v="0"/>
    <s v="DK1_Large"/>
    <x v="5"/>
    <s v="GNR_EH_HEAT"/>
    <x v="0"/>
    <x v="10"/>
    <n v="174.14"/>
    <n v="63561.1"/>
    <n v="228819.96"/>
  </r>
  <r>
    <x v="0"/>
    <x v="0"/>
    <x v="0"/>
    <x v="0"/>
    <x v="0"/>
    <s v="DK1_Large"/>
    <x v="5"/>
    <s v="GNR_EH_HEAT"/>
    <x v="0"/>
    <x v="11"/>
    <n v="174.14"/>
    <n v="63561.1"/>
    <n v="228819.96"/>
  </r>
  <r>
    <x v="0"/>
    <x v="0"/>
    <x v="0"/>
    <x v="0"/>
    <x v="0"/>
    <s v="DK1_Large"/>
    <x v="5"/>
    <s v="GNR_EH_HEAT"/>
    <x v="0"/>
    <x v="0"/>
    <n v="174.14"/>
    <n v="63561.1"/>
    <n v="228819.96"/>
  </r>
  <r>
    <x v="0"/>
    <x v="0"/>
    <x v="0"/>
    <x v="0"/>
    <x v="0"/>
    <s v="DK1_Large"/>
    <x v="5"/>
    <s v="GNR_EH_HEAT"/>
    <x v="0"/>
    <x v="1"/>
    <n v="174.14"/>
    <n v="63561.1"/>
    <n v="228819.96"/>
  </r>
  <r>
    <x v="0"/>
    <x v="0"/>
    <x v="0"/>
    <x v="0"/>
    <x v="0"/>
    <s v="DK1_Large"/>
    <x v="5"/>
    <s v="GNR_EH_HEAT"/>
    <x v="0"/>
    <x v="2"/>
    <n v="174.14"/>
    <n v="63561.1"/>
    <n v="228819.96"/>
  </r>
  <r>
    <x v="0"/>
    <x v="0"/>
    <x v="0"/>
    <x v="0"/>
    <x v="0"/>
    <s v="DK1_Large"/>
    <x v="5"/>
    <s v="GNR_EH_HEAT"/>
    <x v="0"/>
    <x v="3"/>
    <n v="174.14"/>
    <n v="63561.1"/>
    <n v="228819.96"/>
  </r>
  <r>
    <x v="0"/>
    <x v="0"/>
    <x v="0"/>
    <x v="0"/>
    <x v="0"/>
    <s v="DK1_Large"/>
    <x v="5"/>
    <s v="GNR_EH_HEAT"/>
    <x v="0"/>
    <x v="12"/>
    <n v="174.14"/>
    <n v="63561.1"/>
    <n v="228819.96"/>
  </r>
  <r>
    <x v="0"/>
    <x v="0"/>
    <x v="0"/>
    <x v="0"/>
    <x v="0"/>
    <s v="DK1_Large"/>
    <x v="5"/>
    <s v="GNR_EH_HEAT"/>
    <x v="0"/>
    <x v="13"/>
    <n v="174.14"/>
    <n v="63561.1"/>
    <n v="228819.96"/>
  </r>
  <r>
    <x v="0"/>
    <x v="0"/>
    <x v="0"/>
    <x v="0"/>
    <x v="0"/>
    <s v="DK1_Large"/>
    <x v="5"/>
    <s v="GNR_EH_HEAT"/>
    <x v="0"/>
    <x v="14"/>
    <n v="174.14"/>
    <n v="63561.1"/>
    <n v="228819.96"/>
  </r>
  <r>
    <x v="0"/>
    <x v="0"/>
    <x v="0"/>
    <x v="0"/>
    <x v="0"/>
    <s v="DK1_Large"/>
    <x v="5"/>
    <s v="GNR_EH_HEAT"/>
    <x v="0"/>
    <x v="15"/>
    <n v="174.14"/>
    <n v="63561.1"/>
    <n v="228819.96"/>
  </r>
  <r>
    <x v="0"/>
    <x v="0"/>
    <x v="0"/>
    <x v="0"/>
    <x v="0"/>
    <s v="DK1_Large"/>
    <x v="5"/>
    <s v="GNR_EH_HEAT"/>
    <x v="0"/>
    <x v="4"/>
    <n v="174.14"/>
    <n v="63561.1"/>
    <n v="228819.96"/>
  </r>
  <r>
    <x v="0"/>
    <x v="0"/>
    <x v="0"/>
    <x v="0"/>
    <x v="0"/>
    <s v="DK1_Large"/>
    <x v="5"/>
    <s v="GNR_EH_HEAT"/>
    <x v="0"/>
    <x v="16"/>
    <n v="174.14"/>
    <n v="63561.1"/>
    <n v="228819.96"/>
  </r>
  <r>
    <x v="0"/>
    <x v="0"/>
    <x v="0"/>
    <x v="0"/>
    <x v="0"/>
    <s v="DK1_Large"/>
    <x v="5"/>
    <s v="GNR_EH_HEAT"/>
    <x v="0"/>
    <x v="5"/>
    <n v="174.14"/>
    <n v="63561.1"/>
    <n v="228819.96"/>
  </r>
  <r>
    <x v="0"/>
    <x v="0"/>
    <x v="0"/>
    <x v="0"/>
    <x v="0"/>
    <s v="DK1_Large"/>
    <x v="5"/>
    <s v="GNR_EH_HEAT"/>
    <x v="0"/>
    <x v="17"/>
    <n v="174.14"/>
    <n v="63561.1"/>
    <n v="228819.96"/>
  </r>
  <r>
    <x v="0"/>
    <x v="0"/>
    <x v="0"/>
    <x v="0"/>
    <x v="0"/>
    <s v="DK1_Large"/>
    <x v="5"/>
    <s v="GNR_EH_HEAT"/>
    <x v="0"/>
    <x v="18"/>
    <n v="174.14"/>
    <n v="63561.1"/>
    <n v="228819.96"/>
  </r>
  <r>
    <x v="0"/>
    <x v="0"/>
    <x v="0"/>
    <x v="0"/>
    <x v="0"/>
    <s v="DK1_Large"/>
    <x v="5"/>
    <s v="GNR_EH_HEAT"/>
    <x v="0"/>
    <x v="19"/>
    <n v="174.14"/>
    <n v="63561.1"/>
    <n v="228819.96"/>
  </r>
  <r>
    <x v="0"/>
    <x v="0"/>
    <x v="0"/>
    <x v="0"/>
    <x v="0"/>
    <s v="DK1_Large"/>
    <x v="5"/>
    <s v="GNR_EH_HEAT"/>
    <x v="0"/>
    <x v="20"/>
    <n v="174.14"/>
    <n v="63561.1"/>
    <n v="228819.96"/>
  </r>
  <r>
    <x v="0"/>
    <x v="0"/>
    <x v="0"/>
    <x v="0"/>
    <x v="0"/>
    <s v="DK1_Large"/>
    <x v="5"/>
    <s v="GNR_EH_HEAT"/>
    <x v="0"/>
    <x v="21"/>
    <n v="174.14"/>
    <n v="63561.1"/>
    <n v="228819.96"/>
  </r>
  <r>
    <x v="0"/>
    <x v="0"/>
    <x v="0"/>
    <x v="0"/>
    <x v="0"/>
    <s v="DK1_Large"/>
    <x v="5"/>
    <s v="GNR_EH_HEAT"/>
    <x v="0"/>
    <x v="22"/>
    <n v="174.14"/>
    <n v="63561.1"/>
    <n v="228819.96"/>
  </r>
  <r>
    <x v="0"/>
    <x v="0"/>
    <x v="0"/>
    <x v="0"/>
    <x v="0"/>
    <s v="DK1_Large"/>
    <x v="5"/>
    <s v="GNR_EH_HEAT"/>
    <x v="0"/>
    <x v="23"/>
    <n v="174.14"/>
    <n v="63561.1"/>
    <n v="228819.96"/>
  </r>
  <r>
    <x v="0"/>
    <x v="0"/>
    <x v="0"/>
    <x v="0"/>
    <x v="0"/>
    <s v="DK1_Large"/>
    <x v="6"/>
    <s v="GNR_ST_WOODCHI_BP_E-23"/>
    <x v="0"/>
    <x v="6"/>
    <n v="22.0588235294118"/>
    <n v="8051.4705882352901"/>
    <n v="28985.294117647099"/>
  </r>
  <r>
    <x v="0"/>
    <x v="0"/>
    <x v="0"/>
    <x v="0"/>
    <x v="0"/>
    <s v="DK1_Large"/>
    <x v="6"/>
    <s v="GNR_ST_WOODCHI_BP_E-23"/>
    <x v="0"/>
    <x v="7"/>
    <n v="22.0588235294118"/>
    <n v="8051.4705882352901"/>
    <n v="28985.294117647099"/>
  </r>
  <r>
    <x v="0"/>
    <x v="0"/>
    <x v="0"/>
    <x v="0"/>
    <x v="0"/>
    <s v="DK1_Large"/>
    <x v="6"/>
    <s v="GNR_ST_WOODCHI_BP_E-23"/>
    <x v="0"/>
    <x v="8"/>
    <n v="22.0588235294118"/>
    <n v="8051.4705882352901"/>
    <n v="28985.294117647099"/>
  </r>
  <r>
    <x v="0"/>
    <x v="0"/>
    <x v="0"/>
    <x v="0"/>
    <x v="0"/>
    <s v="DK1_Large"/>
    <x v="6"/>
    <s v="GNR_ST_WOODCHI_BP_E-23"/>
    <x v="0"/>
    <x v="9"/>
    <n v="22.0588235294118"/>
    <n v="8051.4705882352901"/>
    <n v="28985.294117647099"/>
  </r>
  <r>
    <x v="0"/>
    <x v="0"/>
    <x v="0"/>
    <x v="0"/>
    <x v="0"/>
    <s v="DK1_Large"/>
    <x v="6"/>
    <s v="GNR_ST_WOODCHI_BP_E-23"/>
    <x v="0"/>
    <x v="10"/>
    <n v="22.0588235294118"/>
    <n v="8051.4705882352901"/>
    <n v="28985.294117647099"/>
  </r>
  <r>
    <x v="0"/>
    <x v="0"/>
    <x v="0"/>
    <x v="0"/>
    <x v="0"/>
    <s v="DK1_Large"/>
    <x v="6"/>
    <s v="GNR_ST_WOODCHI_BP_E-23"/>
    <x v="0"/>
    <x v="11"/>
    <n v="22.0588235294118"/>
    <n v="8051.4705882352901"/>
    <n v="28985.294117647099"/>
  </r>
  <r>
    <x v="0"/>
    <x v="0"/>
    <x v="0"/>
    <x v="0"/>
    <x v="0"/>
    <s v="DK1_Large"/>
    <x v="6"/>
    <s v="GNR_ST_WOODCHI_BP_E-23"/>
    <x v="0"/>
    <x v="0"/>
    <n v="22.0588235294118"/>
    <n v="8051.4705882352901"/>
    <n v="28985.294117647099"/>
  </r>
  <r>
    <x v="0"/>
    <x v="0"/>
    <x v="0"/>
    <x v="0"/>
    <x v="0"/>
    <s v="DK1_Large"/>
    <x v="6"/>
    <s v="GNR_ST_WOODCHI_BP_E-23"/>
    <x v="0"/>
    <x v="1"/>
    <n v="22.0588235294118"/>
    <n v="8051.4705882352901"/>
    <n v="28985.294117647099"/>
  </r>
  <r>
    <x v="0"/>
    <x v="0"/>
    <x v="0"/>
    <x v="0"/>
    <x v="0"/>
    <s v="DK1_Large"/>
    <x v="6"/>
    <s v="GNR_ST_WOODCHI_BP_E-23"/>
    <x v="0"/>
    <x v="2"/>
    <n v="22.0588235294118"/>
    <n v="8051.4705882352901"/>
    <n v="28985.294117647099"/>
  </r>
  <r>
    <x v="0"/>
    <x v="0"/>
    <x v="0"/>
    <x v="0"/>
    <x v="0"/>
    <s v="DK1_Large"/>
    <x v="6"/>
    <s v="GNR_ST_WOODCHI_BP_E-23"/>
    <x v="0"/>
    <x v="3"/>
    <n v="22.0588235294118"/>
    <n v="8051.4705882352901"/>
    <n v="28985.294117647099"/>
  </r>
  <r>
    <x v="0"/>
    <x v="0"/>
    <x v="0"/>
    <x v="0"/>
    <x v="0"/>
    <s v="DK1_Large"/>
    <x v="6"/>
    <s v="GNR_ST_WOODCHI_BP_E-23"/>
    <x v="0"/>
    <x v="12"/>
    <n v="22.0588235294118"/>
    <n v="8051.4705882352901"/>
    <n v="28985.294117647099"/>
  </r>
  <r>
    <x v="0"/>
    <x v="0"/>
    <x v="0"/>
    <x v="0"/>
    <x v="0"/>
    <s v="DK1_Large"/>
    <x v="6"/>
    <s v="GNR_ST_WOODCHI_BP_E-23"/>
    <x v="0"/>
    <x v="13"/>
    <n v="22.0588235294118"/>
    <n v="8051.4705882352901"/>
    <n v="28985.294117647099"/>
  </r>
  <r>
    <x v="0"/>
    <x v="0"/>
    <x v="0"/>
    <x v="0"/>
    <x v="0"/>
    <s v="DK1_Large"/>
    <x v="6"/>
    <s v="GNR_ST_WOODCHI_BP_E-23"/>
    <x v="0"/>
    <x v="14"/>
    <n v="22.0588235294118"/>
    <n v="8051.4705882352901"/>
    <n v="28985.294117647099"/>
  </r>
  <r>
    <x v="0"/>
    <x v="0"/>
    <x v="0"/>
    <x v="0"/>
    <x v="0"/>
    <s v="DK1_Large"/>
    <x v="6"/>
    <s v="GNR_ST_WOODCHI_BP_E-23"/>
    <x v="0"/>
    <x v="15"/>
    <n v="22.0588235294118"/>
    <n v="8051.4705882352901"/>
    <n v="28985.294117647099"/>
  </r>
  <r>
    <x v="0"/>
    <x v="0"/>
    <x v="0"/>
    <x v="0"/>
    <x v="0"/>
    <s v="DK1_Large"/>
    <x v="6"/>
    <s v="GNR_ST_WOODCHI_BP_E-23"/>
    <x v="0"/>
    <x v="4"/>
    <n v="22.0588235294118"/>
    <n v="8051.4705882352901"/>
    <n v="28985.294117647099"/>
  </r>
  <r>
    <x v="0"/>
    <x v="0"/>
    <x v="0"/>
    <x v="0"/>
    <x v="0"/>
    <s v="DK1_Large"/>
    <x v="6"/>
    <s v="GNR_ST_WOODCHI_BP_E-23"/>
    <x v="0"/>
    <x v="16"/>
    <n v="22.0588235294118"/>
    <n v="8051.4705882352901"/>
    <n v="28985.294117647099"/>
  </r>
  <r>
    <x v="0"/>
    <x v="0"/>
    <x v="0"/>
    <x v="0"/>
    <x v="0"/>
    <s v="DK1_Large"/>
    <x v="6"/>
    <s v="GNR_ST_WOODCHI_BP_E-23"/>
    <x v="0"/>
    <x v="5"/>
    <n v="22.0588235294118"/>
    <n v="8051.4705882352901"/>
    <n v="28985.294117647099"/>
  </r>
  <r>
    <x v="0"/>
    <x v="0"/>
    <x v="0"/>
    <x v="0"/>
    <x v="0"/>
    <s v="DK1_Large"/>
    <x v="6"/>
    <s v="GNR_ST_WOODCHI_BP_E-23"/>
    <x v="0"/>
    <x v="17"/>
    <n v="22.0588235294118"/>
    <n v="8051.4705882352901"/>
    <n v="28985.294117647099"/>
  </r>
  <r>
    <x v="0"/>
    <x v="0"/>
    <x v="0"/>
    <x v="0"/>
    <x v="0"/>
    <s v="DK1_Large"/>
    <x v="6"/>
    <s v="GNR_ST_WOODCHI_BP_E-23"/>
    <x v="0"/>
    <x v="18"/>
    <n v="22.0588235294118"/>
    <n v="8051.4705882352901"/>
    <n v="28985.294117647099"/>
  </r>
  <r>
    <x v="0"/>
    <x v="0"/>
    <x v="0"/>
    <x v="0"/>
    <x v="0"/>
    <s v="DK1_Large"/>
    <x v="6"/>
    <s v="GNR_ST_WOODCHI_BP_E-23"/>
    <x v="0"/>
    <x v="19"/>
    <n v="22.0588235294118"/>
    <n v="8051.4705882352901"/>
    <n v="28985.294117647099"/>
  </r>
  <r>
    <x v="0"/>
    <x v="0"/>
    <x v="0"/>
    <x v="0"/>
    <x v="0"/>
    <s v="DK1_Large"/>
    <x v="6"/>
    <s v="GNR_ST_WOODCHI_BP_E-23"/>
    <x v="0"/>
    <x v="20"/>
    <n v="22.0588235294118"/>
    <n v="8051.4705882352901"/>
    <n v="28985.294117647099"/>
  </r>
  <r>
    <x v="0"/>
    <x v="0"/>
    <x v="0"/>
    <x v="0"/>
    <x v="0"/>
    <s v="DK1_Large"/>
    <x v="6"/>
    <s v="GNR_ST_WOODCHI_BP_E-23"/>
    <x v="0"/>
    <x v="21"/>
    <n v="22.0588235294118"/>
    <n v="8051.4705882352901"/>
    <n v="28985.294117647099"/>
  </r>
  <r>
    <x v="0"/>
    <x v="0"/>
    <x v="0"/>
    <x v="0"/>
    <x v="0"/>
    <s v="DK1_Large"/>
    <x v="6"/>
    <s v="GNR_ST_WOODCHI_BP_E-23"/>
    <x v="0"/>
    <x v="22"/>
    <n v="22.0588235294118"/>
    <n v="8051.4705882352901"/>
    <n v="28985.294117647099"/>
  </r>
  <r>
    <x v="0"/>
    <x v="0"/>
    <x v="0"/>
    <x v="0"/>
    <x v="0"/>
    <s v="DK1_MedSmall"/>
    <x v="1"/>
    <s v="GNR_HS_HEAT-E-100"/>
    <x v="0"/>
    <x v="0"/>
    <n v="2.1094381068885899"/>
    <n v="769.94490901433699"/>
    <n v="2771.8016724516101"/>
  </r>
  <r>
    <x v="0"/>
    <x v="0"/>
    <x v="0"/>
    <x v="0"/>
    <x v="0"/>
    <s v="DK1_MedSmall"/>
    <x v="1"/>
    <s v="GNR_HS_HEAT-E-100"/>
    <x v="0"/>
    <x v="1"/>
    <n v="36.890373372804802"/>
    <n v="13464.9862810737"/>
    <n v="48473.950611865497"/>
  </r>
  <r>
    <x v="0"/>
    <x v="0"/>
    <x v="0"/>
    <x v="0"/>
    <x v="0"/>
    <s v="DK1_MedSmall"/>
    <x v="1"/>
    <s v="GNR_HS_HEAT-E-100"/>
    <x v="0"/>
    <x v="2"/>
    <n v="42.087524619435897"/>
    <n v="15361.946486094101"/>
    <n v="55303.007349938802"/>
  </r>
  <r>
    <x v="0"/>
    <x v="0"/>
    <x v="0"/>
    <x v="0"/>
    <x v="0"/>
    <s v="DK1_MedSmall"/>
    <x v="1"/>
    <s v="GNR_HS_HEAT-E-100"/>
    <x v="0"/>
    <x v="3"/>
    <n v="41.421223177560101"/>
    <n v="15118.746459809399"/>
    <n v="54427.487255314001"/>
  </r>
  <r>
    <x v="0"/>
    <x v="0"/>
    <x v="0"/>
    <x v="0"/>
    <x v="0"/>
    <s v="DK1_MedSmall"/>
    <x v="1"/>
    <s v="GNR_HS_HEAT-E-100"/>
    <x v="0"/>
    <x v="12"/>
    <n v="32.282367368897603"/>
    <n v="11783.0640896476"/>
    <n v="42419.030722731499"/>
  </r>
  <r>
    <x v="0"/>
    <x v="0"/>
    <x v="0"/>
    <x v="0"/>
    <x v="0"/>
    <s v="DK1_MedSmall"/>
    <x v="1"/>
    <s v="GNR_HS_HEAT-E-100"/>
    <x v="0"/>
    <x v="13"/>
    <n v="41.421223177560101"/>
    <n v="15118.746459809399"/>
    <n v="54427.487255314001"/>
  </r>
  <r>
    <x v="0"/>
    <x v="0"/>
    <x v="0"/>
    <x v="0"/>
    <x v="0"/>
    <s v="DK1_MedSmall"/>
    <x v="1"/>
    <s v="GNR_HS_HEAT-E-100"/>
    <x v="0"/>
    <x v="14"/>
    <n v="33.958647028551297"/>
    <n v="12394.9061654212"/>
    <n v="44621.662195516401"/>
  </r>
  <r>
    <x v="0"/>
    <x v="0"/>
    <x v="0"/>
    <x v="0"/>
    <x v="0"/>
    <s v="DK1_MedSmall"/>
    <x v="1"/>
    <s v="GNR_HS_HEAT-E-100"/>
    <x v="0"/>
    <x v="15"/>
    <n v="28.7614957819202"/>
    <n v="10497.945960400901"/>
    <n v="37792.605457443096"/>
  </r>
  <r>
    <x v="0"/>
    <x v="0"/>
    <x v="0"/>
    <x v="0"/>
    <x v="0"/>
    <s v="DK1_MedSmall"/>
    <x v="1"/>
    <s v="GNR_HS_HEAT-E-100"/>
    <x v="0"/>
    <x v="4"/>
    <n v="30.893660395922701"/>
    <n v="11276.1860445118"/>
    <n v="40594.269760242401"/>
  </r>
  <r>
    <x v="0"/>
    <x v="0"/>
    <x v="0"/>
    <x v="0"/>
    <x v="0"/>
    <s v="DK1_MedSmall"/>
    <x v="1"/>
    <s v="GNR_HS_HEAT-E-100"/>
    <x v="0"/>
    <x v="16"/>
    <n v="32.892564721550002"/>
    <n v="12005.7861233658"/>
    <n v="43220.830044116803"/>
  </r>
  <r>
    <x v="0"/>
    <x v="0"/>
    <x v="0"/>
    <x v="0"/>
    <x v="0"/>
    <s v="DK1_MedSmall"/>
    <x v="1"/>
    <s v="GNR_HS_HEAT-E-100"/>
    <x v="0"/>
    <x v="5"/>
    <n v="34.091907316926502"/>
    <n v="12443.546170678201"/>
    <n v="44796.766214441399"/>
  </r>
  <r>
    <x v="0"/>
    <x v="0"/>
    <x v="0"/>
    <x v="0"/>
    <x v="0"/>
    <s v="DK1_MedSmall"/>
    <x v="1"/>
    <s v="GNR_HS_HEAT-E-100"/>
    <x v="0"/>
    <x v="17"/>
    <n v="37.689935103055703"/>
    <n v="13756.8263126153"/>
    <n v="49524.574725415201"/>
  </r>
  <r>
    <x v="0"/>
    <x v="0"/>
    <x v="0"/>
    <x v="0"/>
    <x v="0"/>
    <s v="DK1_MedSmall"/>
    <x v="1"/>
    <s v="GNR_HS_HEAT-E-100"/>
    <x v="0"/>
    <x v="18"/>
    <n v="37.156893949555098"/>
    <n v="13562.266291587601"/>
    <n v="48824.158649715398"/>
  </r>
  <r>
    <x v="0"/>
    <x v="0"/>
    <x v="0"/>
    <x v="0"/>
    <x v="0"/>
    <s v="DK1_MedSmall"/>
    <x v="1"/>
    <s v="GNR_HS_HEAT-E-100"/>
    <x v="0"/>
    <x v="19"/>
    <n v="31.693222126173598"/>
    <n v="11568.0260760534"/>
    <n v="41644.893873792098"/>
  </r>
  <r>
    <x v="0"/>
    <x v="0"/>
    <x v="0"/>
    <x v="0"/>
    <x v="0"/>
    <s v="DK1_MedSmall"/>
    <x v="1"/>
    <s v="GNR_HS_HEAT-E-100"/>
    <x v="0"/>
    <x v="20"/>
    <n v="21.432179921286501"/>
    <n v="7822.7456712695703"/>
    <n v="28161.884416570399"/>
  </r>
  <r>
    <x v="0"/>
    <x v="0"/>
    <x v="0"/>
    <x v="0"/>
    <x v="0"/>
    <s v="DK1_MedSmall"/>
    <x v="2"/>
    <s v="GNR_BO_MSW_E-100"/>
    <x v="0"/>
    <x v="6"/>
    <n v="6.5"/>
    <n v="2372.5"/>
    <n v="8541"/>
  </r>
  <r>
    <x v="0"/>
    <x v="0"/>
    <x v="0"/>
    <x v="0"/>
    <x v="0"/>
    <s v="DK1_MedSmall"/>
    <x v="2"/>
    <s v="GNR_BO_MSW_E-100"/>
    <x v="0"/>
    <x v="7"/>
    <n v="6.5"/>
    <n v="2372.5"/>
    <n v="8541"/>
  </r>
  <r>
    <x v="0"/>
    <x v="0"/>
    <x v="0"/>
    <x v="0"/>
    <x v="0"/>
    <s v="DK1_MedSmall"/>
    <x v="2"/>
    <s v="GNR_BO_MSW_E-100"/>
    <x v="0"/>
    <x v="8"/>
    <n v="6.5"/>
    <n v="2372.5"/>
    <n v="8541"/>
  </r>
  <r>
    <x v="0"/>
    <x v="0"/>
    <x v="0"/>
    <x v="0"/>
    <x v="0"/>
    <s v="DK1_MedSmall"/>
    <x v="2"/>
    <s v="GNR_BO_MSW_E-100"/>
    <x v="0"/>
    <x v="9"/>
    <n v="6.5"/>
    <n v="2372.5"/>
    <n v="8541"/>
  </r>
  <r>
    <x v="0"/>
    <x v="0"/>
    <x v="0"/>
    <x v="0"/>
    <x v="0"/>
    <s v="DK1_MedSmall"/>
    <x v="2"/>
    <s v="GNR_BO_MSW_E-100"/>
    <x v="0"/>
    <x v="10"/>
    <n v="6.5"/>
    <n v="2372.5"/>
    <n v="8541"/>
  </r>
  <r>
    <x v="0"/>
    <x v="0"/>
    <x v="0"/>
    <x v="0"/>
    <x v="0"/>
    <s v="DK1_MedSmall"/>
    <x v="2"/>
    <s v="GNR_BO_MSW_E-100"/>
    <x v="0"/>
    <x v="11"/>
    <n v="6.5"/>
    <n v="2372.5"/>
    <n v="8541"/>
  </r>
  <r>
    <x v="0"/>
    <x v="0"/>
    <x v="0"/>
    <x v="0"/>
    <x v="0"/>
    <s v="DK1_MedSmall"/>
    <x v="2"/>
    <s v="GNR_BO_MSW_E-100"/>
    <x v="0"/>
    <x v="0"/>
    <n v="6.5"/>
    <n v="2372.5"/>
    <n v="8541"/>
  </r>
  <r>
    <x v="0"/>
    <x v="0"/>
    <x v="0"/>
    <x v="0"/>
    <x v="0"/>
    <s v="DK1_MedSmall"/>
    <x v="2"/>
    <s v="GNR_BO_MSW_E-100"/>
    <x v="0"/>
    <x v="1"/>
    <n v="6.5"/>
    <n v="2372.5"/>
    <n v="8541"/>
  </r>
  <r>
    <x v="0"/>
    <x v="0"/>
    <x v="0"/>
    <x v="0"/>
    <x v="0"/>
    <s v="DK1_MedSmall"/>
    <x v="2"/>
    <s v="GNR_BO_MSW_E-100"/>
    <x v="0"/>
    <x v="2"/>
    <n v="6.5"/>
    <n v="2372.5"/>
    <n v="8541"/>
  </r>
  <r>
    <x v="0"/>
    <x v="0"/>
    <x v="0"/>
    <x v="0"/>
    <x v="0"/>
    <s v="DK1_MedSmall"/>
    <x v="2"/>
    <s v="GNR_BO_MSW_E-100"/>
    <x v="0"/>
    <x v="3"/>
    <n v="6.5"/>
    <n v="2372.5"/>
    <n v="8541"/>
  </r>
  <r>
    <x v="0"/>
    <x v="0"/>
    <x v="0"/>
    <x v="0"/>
    <x v="0"/>
    <s v="DK1_MedSmall"/>
    <x v="2"/>
    <s v="GNR_BO_MSW_E-100"/>
    <x v="0"/>
    <x v="12"/>
    <n v="6.5"/>
    <n v="2372.5"/>
    <n v="8541"/>
  </r>
  <r>
    <x v="0"/>
    <x v="0"/>
    <x v="0"/>
    <x v="0"/>
    <x v="0"/>
    <s v="DK1_MedSmall"/>
    <x v="2"/>
    <s v="GNR_BO_MSW_E-100"/>
    <x v="0"/>
    <x v="13"/>
    <n v="6.5"/>
    <n v="2372.5"/>
    <n v="8541"/>
  </r>
  <r>
    <x v="0"/>
    <x v="0"/>
    <x v="0"/>
    <x v="0"/>
    <x v="0"/>
    <s v="DK1_MedSmall"/>
    <x v="2"/>
    <s v="GNR_BO_MSW_E-100"/>
    <x v="0"/>
    <x v="14"/>
    <n v="6.5"/>
    <n v="2372.5"/>
    <n v="8541"/>
  </r>
  <r>
    <x v="0"/>
    <x v="0"/>
    <x v="0"/>
    <x v="0"/>
    <x v="0"/>
    <s v="DK1_MedSmall"/>
    <x v="2"/>
    <s v="GNR_BO_MSW_E-100"/>
    <x v="0"/>
    <x v="15"/>
    <n v="6.5"/>
    <n v="2372.5"/>
    <n v="8541"/>
  </r>
  <r>
    <x v="0"/>
    <x v="0"/>
    <x v="0"/>
    <x v="0"/>
    <x v="0"/>
    <s v="DK1_MedSmall"/>
    <x v="2"/>
    <s v="GNR_BO_MSW_E-100"/>
    <x v="0"/>
    <x v="4"/>
    <n v="6.5"/>
    <n v="2372.5"/>
    <n v="8541"/>
  </r>
  <r>
    <x v="0"/>
    <x v="0"/>
    <x v="0"/>
    <x v="0"/>
    <x v="0"/>
    <s v="DK1_MedSmall"/>
    <x v="2"/>
    <s v="GNR_BO_MSW_E-100"/>
    <x v="0"/>
    <x v="16"/>
    <n v="6.5"/>
    <n v="2372.5"/>
    <n v="8541"/>
  </r>
  <r>
    <x v="0"/>
    <x v="0"/>
    <x v="0"/>
    <x v="0"/>
    <x v="0"/>
    <s v="DK1_MedSmall"/>
    <x v="2"/>
    <s v="GNR_BO_MSW_E-100"/>
    <x v="0"/>
    <x v="5"/>
    <n v="6.5"/>
    <n v="2372.5"/>
    <n v="8541"/>
  </r>
  <r>
    <x v="0"/>
    <x v="0"/>
    <x v="0"/>
    <x v="0"/>
    <x v="0"/>
    <s v="DK1_MedSmall"/>
    <x v="2"/>
    <s v="GNR_BO_MSW_E-100"/>
    <x v="0"/>
    <x v="17"/>
    <n v="6.5"/>
    <n v="2372.5"/>
    <n v="8541"/>
  </r>
  <r>
    <x v="0"/>
    <x v="0"/>
    <x v="0"/>
    <x v="0"/>
    <x v="0"/>
    <s v="DK1_MedSmall"/>
    <x v="2"/>
    <s v="GNR_BO_MSW_E-100"/>
    <x v="0"/>
    <x v="18"/>
    <n v="6.5"/>
    <n v="2372.5"/>
    <n v="8541"/>
  </r>
  <r>
    <x v="0"/>
    <x v="0"/>
    <x v="0"/>
    <x v="0"/>
    <x v="0"/>
    <s v="DK1_MedSmall"/>
    <x v="2"/>
    <s v="GNR_BO_MSW_E-100"/>
    <x v="0"/>
    <x v="19"/>
    <n v="6.5"/>
    <n v="2372.5"/>
    <n v="8541"/>
  </r>
  <r>
    <x v="0"/>
    <x v="0"/>
    <x v="0"/>
    <x v="0"/>
    <x v="0"/>
    <s v="DK1_MedSmall"/>
    <x v="2"/>
    <s v="GNR_BO_MSW_E-100"/>
    <x v="0"/>
    <x v="20"/>
    <n v="6.5"/>
    <n v="2372.5"/>
    <n v="8541"/>
  </r>
  <r>
    <x v="0"/>
    <x v="0"/>
    <x v="0"/>
    <x v="0"/>
    <x v="0"/>
    <s v="DK1_MedSmall"/>
    <x v="2"/>
    <s v="GNR_BO_MSW_E-100"/>
    <x v="0"/>
    <x v="21"/>
    <n v="6.5"/>
    <n v="2372.5"/>
    <n v="8541"/>
  </r>
  <r>
    <x v="0"/>
    <x v="0"/>
    <x v="0"/>
    <x v="0"/>
    <x v="0"/>
    <s v="DK1_MedSmall"/>
    <x v="2"/>
    <s v="GNR_BO_MSW_E-100"/>
    <x v="0"/>
    <x v="22"/>
    <n v="6.5"/>
    <n v="2372.5"/>
    <n v="8541"/>
  </r>
  <r>
    <x v="0"/>
    <x v="0"/>
    <x v="0"/>
    <x v="0"/>
    <x v="0"/>
    <s v="DK1_MedSmall"/>
    <x v="2"/>
    <s v="GNR_BO_MSW_E-100"/>
    <x v="0"/>
    <x v="23"/>
    <n v="6.5"/>
    <n v="2372.5"/>
    <n v="8541"/>
  </r>
  <r>
    <x v="0"/>
    <x v="0"/>
    <x v="0"/>
    <x v="0"/>
    <x v="0"/>
    <s v="DK1_MedSmall"/>
    <x v="2"/>
    <s v="GNR_ST_MSW_BP_E-17"/>
    <x v="0"/>
    <x v="6"/>
    <n v="8.1146681458633108"/>
    <n v="2961.8538732401098"/>
    <n v="10662.6739436644"/>
  </r>
  <r>
    <x v="0"/>
    <x v="0"/>
    <x v="0"/>
    <x v="0"/>
    <x v="0"/>
    <s v="DK1_MedSmall"/>
    <x v="2"/>
    <s v="GNR_ST_MSW_BP_E-17"/>
    <x v="0"/>
    <x v="7"/>
    <n v="8.1146681458633108"/>
    <n v="2961.8538732401098"/>
    <n v="10662.6739436644"/>
  </r>
  <r>
    <x v="0"/>
    <x v="0"/>
    <x v="0"/>
    <x v="0"/>
    <x v="0"/>
    <s v="DK1_MedSmall"/>
    <x v="2"/>
    <s v="GNR_ST_MSW_BP_E-17"/>
    <x v="0"/>
    <x v="8"/>
    <n v="8.1146681458633108"/>
    <n v="2961.8538732401098"/>
    <n v="10662.6739436644"/>
  </r>
  <r>
    <x v="0"/>
    <x v="0"/>
    <x v="0"/>
    <x v="0"/>
    <x v="0"/>
    <s v="DK1_MedSmall"/>
    <x v="2"/>
    <s v="GNR_ST_MSW_BP_E-17"/>
    <x v="0"/>
    <x v="9"/>
    <n v="8.1146681458633108"/>
    <n v="2961.8538732401098"/>
    <n v="10662.6739436644"/>
  </r>
  <r>
    <x v="0"/>
    <x v="0"/>
    <x v="0"/>
    <x v="0"/>
    <x v="0"/>
    <s v="DK1_MedSmall"/>
    <x v="2"/>
    <s v="GNR_ST_MSW_BP_E-17"/>
    <x v="0"/>
    <x v="10"/>
    <n v="8.1146681458633108"/>
    <n v="2961.8538732401098"/>
    <n v="10662.6739436644"/>
  </r>
  <r>
    <x v="0"/>
    <x v="0"/>
    <x v="0"/>
    <x v="0"/>
    <x v="0"/>
    <s v="DK1_MedSmall"/>
    <x v="2"/>
    <s v="GNR_ST_MSW_BP_E-17"/>
    <x v="0"/>
    <x v="11"/>
    <n v="8.1146681458633108"/>
    <n v="2961.8538732401098"/>
    <n v="10662.6739436644"/>
  </r>
  <r>
    <x v="0"/>
    <x v="0"/>
    <x v="0"/>
    <x v="0"/>
    <x v="0"/>
    <s v="DK1_MedSmall"/>
    <x v="2"/>
    <s v="GNR_ST_MSW_BP_E-17"/>
    <x v="0"/>
    <x v="0"/>
    <n v="8.1146681458633108"/>
    <n v="2961.8538732401098"/>
    <n v="10662.6739436644"/>
  </r>
  <r>
    <x v="0"/>
    <x v="0"/>
    <x v="0"/>
    <x v="0"/>
    <x v="0"/>
    <s v="DK1_MedSmall"/>
    <x v="2"/>
    <s v="GNR_ST_MSW_BP_E-17"/>
    <x v="0"/>
    <x v="1"/>
    <n v="8.1146681458633108"/>
    <n v="2961.8538732401098"/>
    <n v="10662.6739436644"/>
  </r>
  <r>
    <x v="0"/>
    <x v="0"/>
    <x v="0"/>
    <x v="0"/>
    <x v="0"/>
    <s v="DK1_MedSmall"/>
    <x v="2"/>
    <s v="GNR_ST_MSW_BP_E-17"/>
    <x v="0"/>
    <x v="2"/>
    <n v="8.1146681458633108"/>
    <n v="2961.8538732401098"/>
    <n v="10662.6739436644"/>
  </r>
  <r>
    <x v="0"/>
    <x v="0"/>
    <x v="0"/>
    <x v="0"/>
    <x v="0"/>
    <s v="DK1_MedSmall"/>
    <x v="2"/>
    <s v="GNR_ST_MSW_BP_E-17"/>
    <x v="0"/>
    <x v="3"/>
    <n v="8.1146681458633108"/>
    <n v="2961.8538732401098"/>
    <n v="10662.6739436644"/>
  </r>
  <r>
    <x v="0"/>
    <x v="0"/>
    <x v="0"/>
    <x v="0"/>
    <x v="0"/>
    <s v="DK1_MedSmall"/>
    <x v="2"/>
    <s v="GNR_ST_MSW_BP_E-17"/>
    <x v="0"/>
    <x v="12"/>
    <n v="8.1146681458633108"/>
    <n v="2961.8538732401098"/>
    <n v="10662.6739436644"/>
  </r>
  <r>
    <x v="0"/>
    <x v="0"/>
    <x v="0"/>
    <x v="0"/>
    <x v="0"/>
    <s v="DK1_MedSmall"/>
    <x v="2"/>
    <s v="GNR_ST_MSW_BP_E-17"/>
    <x v="0"/>
    <x v="13"/>
    <n v="8.1146681458633108"/>
    <n v="2961.8538732401098"/>
    <n v="10662.6739436644"/>
  </r>
  <r>
    <x v="0"/>
    <x v="0"/>
    <x v="0"/>
    <x v="0"/>
    <x v="0"/>
    <s v="DK1_MedSmall"/>
    <x v="2"/>
    <s v="GNR_ST_MSW_BP_E-17"/>
    <x v="0"/>
    <x v="14"/>
    <n v="8.1146681458633108"/>
    <n v="2961.8538732401098"/>
    <n v="10662.6739436644"/>
  </r>
  <r>
    <x v="0"/>
    <x v="0"/>
    <x v="0"/>
    <x v="0"/>
    <x v="0"/>
    <s v="DK1_MedSmall"/>
    <x v="2"/>
    <s v="GNR_ST_MSW_BP_E-17"/>
    <x v="0"/>
    <x v="15"/>
    <n v="8.1146681458633108"/>
    <n v="2961.8538732401098"/>
    <n v="10662.6739436644"/>
  </r>
  <r>
    <x v="0"/>
    <x v="0"/>
    <x v="0"/>
    <x v="0"/>
    <x v="0"/>
    <s v="DK1_MedSmall"/>
    <x v="2"/>
    <s v="GNR_ST_MSW_BP_E-17"/>
    <x v="0"/>
    <x v="4"/>
    <n v="8.1146681458633108"/>
    <n v="2961.8538732401098"/>
    <n v="10662.6739436644"/>
  </r>
  <r>
    <x v="0"/>
    <x v="0"/>
    <x v="0"/>
    <x v="0"/>
    <x v="0"/>
    <s v="DK1_MedSmall"/>
    <x v="2"/>
    <s v="GNR_ST_MSW_BP_E-17"/>
    <x v="0"/>
    <x v="16"/>
    <n v="8.1146681458633108"/>
    <n v="2961.8538732401098"/>
    <n v="10662.6739436644"/>
  </r>
  <r>
    <x v="0"/>
    <x v="0"/>
    <x v="0"/>
    <x v="0"/>
    <x v="0"/>
    <s v="DK1_MedSmall"/>
    <x v="2"/>
    <s v="GNR_ST_MSW_BP_E-17"/>
    <x v="0"/>
    <x v="5"/>
    <n v="8.1146681458633108"/>
    <n v="2961.8538732401098"/>
    <n v="10662.6739436644"/>
  </r>
  <r>
    <x v="0"/>
    <x v="0"/>
    <x v="0"/>
    <x v="0"/>
    <x v="0"/>
    <s v="DK1_MedSmall"/>
    <x v="2"/>
    <s v="GNR_ST_MSW_BP_E-17"/>
    <x v="0"/>
    <x v="17"/>
    <n v="8.1146681458633108"/>
    <n v="2961.8538732401098"/>
    <n v="10662.6739436644"/>
  </r>
  <r>
    <x v="0"/>
    <x v="0"/>
    <x v="0"/>
    <x v="0"/>
    <x v="0"/>
    <s v="DK1_MedSmall"/>
    <x v="2"/>
    <s v="GNR_ST_MSW_BP_E-17"/>
    <x v="0"/>
    <x v="18"/>
    <n v="8.1146681458633108"/>
    <n v="2961.8538732401098"/>
    <n v="10662.6739436644"/>
  </r>
  <r>
    <x v="0"/>
    <x v="0"/>
    <x v="0"/>
    <x v="0"/>
    <x v="0"/>
    <s v="DK1_MedSmall"/>
    <x v="2"/>
    <s v="GNR_ST_MSW_BP_E-17"/>
    <x v="0"/>
    <x v="19"/>
    <n v="8.1146681458633108"/>
    <n v="2961.8538732401098"/>
    <n v="10662.6739436644"/>
  </r>
  <r>
    <x v="0"/>
    <x v="0"/>
    <x v="0"/>
    <x v="0"/>
    <x v="0"/>
    <s v="DK1_MedSmall"/>
    <x v="2"/>
    <s v="GNR_ST_MSW_BP_E-17"/>
    <x v="0"/>
    <x v="20"/>
    <n v="8.1146681458633108"/>
    <n v="2961.8538732401098"/>
    <n v="10662.6739436644"/>
  </r>
  <r>
    <x v="0"/>
    <x v="0"/>
    <x v="0"/>
    <x v="0"/>
    <x v="0"/>
    <s v="DK1_MedSmall"/>
    <x v="2"/>
    <s v="GNR_ST_MSW_BP_E-17"/>
    <x v="0"/>
    <x v="21"/>
    <n v="8.1146681458633108"/>
    <n v="2961.8538732401098"/>
    <n v="10662.6739436644"/>
  </r>
  <r>
    <x v="0"/>
    <x v="0"/>
    <x v="0"/>
    <x v="0"/>
    <x v="0"/>
    <s v="DK1_MedSmall"/>
    <x v="2"/>
    <s v="GNR_ST_MSW_BP_E-17"/>
    <x v="0"/>
    <x v="22"/>
    <n v="8.1146681458633108"/>
    <n v="2961.8538732401098"/>
    <n v="10662.6739436644"/>
  </r>
  <r>
    <x v="0"/>
    <x v="0"/>
    <x v="0"/>
    <x v="0"/>
    <x v="0"/>
    <s v="DK1_MedSmall"/>
    <x v="2"/>
    <s v="GNR_ST_MSW_BP_E-17"/>
    <x v="0"/>
    <x v="23"/>
    <n v="8.1146681458633108"/>
    <n v="2961.8538732401098"/>
    <n v="10662.6739436644"/>
  </r>
  <r>
    <x v="0"/>
    <x v="0"/>
    <x v="0"/>
    <x v="0"/>
    <x v="0"/>
    <s v="DK1_MedSmall"/>
    <x v="2"/>
    <s v="GNR_ST_MSW_BP_E-20"/>
    <x v="0"/>
    <x v="6"/>
    <n v="11.157668700562001"/>
    <n v="4072.5490757051498"/>
    <n v="14661.1766725385"/>
  </r>
  <r>
    <x v="0"/>
    <x v="0"/>
    <x v="0"/>
    <x v="0"/>
    <x v="0"/>
    <s v="DK1_MedSmall"/>
    <x v="2"/>
    <s v="GNR_ST_MSW_BP_E-20"/>
    <x v="0"/>
    <x v="7"/>
    <n v="11.157668700562001"/>
    <n v="4072.5490757051498"/>
    <n v="14661.1766725385"/>
  </r>
  <r>
    <x v="0"/>
    <x v="0"/>
    <x v="0"/>
    <x v="0"/>
    <x v="0"/>
    <s v="DK1_MedSmall"/>
    <x v="2"/>
    <s v="GNR_ST_MSW_BP_E-20"/>
    <x v="0"/>
    <x v="8"/>
    <n v="11.157668700562001"/>
    <n v="4072.5490757051498"/>
    <n v="14661.1766725385"/>
  </r>
  <r>
    <x v="0"/>
    <x v="0"/>
    <x v="0"/>
    <x v="0"/>
    <x v="0"/>
    <s v="DK1_MedSmall"/>
    <x v="2"/>
    <s v="GNR_ST_MSW_BP_E-20"/>
    <x v="0"/>
    <x v="9"/>
    <n v="11.157668700562001"/>
    <n v="4072.5490757051498"/>
    <n v="14661.1766725385"/>
  </r>
  <r>
    <x v="0"/>
    <x v="0"/>
    <x v="0"/>
    <x v="0"/>
    <x v="0"/>
    <s v="DK1_MedSmall"/>
    <x v="2"/>
    <s v="GNR_ST_MSW_BP_E-20"/>
    <x v="0"/>
    <x v="10"/>
    <n v="11.157668700562001"/>
    <n v="4072.5490757051498"/>
    <n v="14661.1766725385"/>
  </r>
  <r>
    <x v="0"/>
    <x v="0"/>
    <x v="0"/>
    <x v="0"/>
    <x v="0"/>
    <s v="DK1_MedSmall"/>
    <x v="2"/>
    <s v="GNR_ST_MSW_BP_E-20"/>
    <x v="0"/>
    <x v="11"/>
    <n v="11.157668700562001"/>
    <n v="4072.5490757051498"/>
    <n v="14661.1766725385"/>
  </r>
  <r>
    <x v="0"/>
    <x v="0"/>
    <x v="0"/>
    <x v="0"/>
    <x v="0"/>
    <s v="DK1_MedSmall"/>
    <x v="2"/>
    <s v="GNR_ST_MSW_BP_E-20"/>
    <x v="0"/>
    <x v="0"/>
    <n v="11.157668700562001"/>
    <n v="4072.5490757051498"/>
    <n v="14661.1766725385"/>
  </r>
  <r>
    <x v="0"/>
    <x v="0"/>
    <x v="0"/>
    <x v="0"/>
    <x v="0"/>
    <s v="DK1_MedSmall"/>
    <x v="2"/>
    <s v="GNR_ST_MSW_BP_E-20"/>
    <x v="0"/>
    <x v="1"/>
    <n v="11.157668700562001"/>
    <n v="4072.5490757051498"/>
    <n v="14661.1766725385"/>
  </r>
  <r>
    <x v="0"/>
    <x v="0"/>
    <x v="0"/>
    <x v="0"/>
    <x v="0"/>
    <s v="DK1_MedSmall"/>
    <x v="2"/>
    <s v="GNR_ST_MSW_BP_E-20"/>
    <x v="0"/>
    <x v="2"/>
    <n v="11.157668700562001"/>
    <n v="4072.5490757051498"/>
    <n v="14661.1766725385"/>
  </r>
  <r>
    <x v="0"/>
    <x v="0"/>
    <x v="0"/>
    <x v="0"/>
    <x v="0"/>
    <s v="DK1_MedSmall"/>
    <x v="2"/>
    <s v="GNR_ST_MSW_BP_E-20"/>
    <x v="0"/>
    <x v="3"/>
    <n v="11.157668700562001"/>
    <n v="4072.5490757051498"/>
    <n v="14661.1766725385"/>
  </r>
  <r>
    <x v="0"/>
    <x v="0"/>
    <x v="0"/>
    <x v="0"/>
    <x v="0"/>
    <s v="DK1_MedSmall"/>
    <x v="2"/>
    <s v="GNR_ST_MSW_BP_E-20"/>
    <x v="0"/>
    <x v="12"/>
    <n v="11.157668700562001"/>
    <n v="4072.5490757051498"/>
    <n v="14661.1766725385"/>
  </r>
  <r>
    <x v="0"/>
    <x v="0"/>
    <x v="0"/>
    <x v="0"/>
    <x v="0"/>
    <s v="DK1_MedSmall"/>
    <x v="2"/>
    <s v="GNR_ST_MSW_BP_E-20"/>
    <x v="0"/>
    <x v="13"/>
    <n v="11.157668700562001"/>
    <n v="4072.5490757051498"/>
    <n v="14661.1766725385"/>
  </r>
  <r>
    <x v="0"/>
    <x v="0"/>
    <x v="0"/>
    <x v="0"/>
    <x v="0"/>
    <s v="DK1_MedSmall"/>
    <x v="2"/>
    <s v="GNR_ST_MSW_BP_E-20"/>
    <x v="0"/>
    <x v="14"/>
    <n v="11.157668700562001"/>
    <n v="4072.5490757051498"/>
    <n v="14661.1766725385"/>
  </r>
  <r>
    <x v="0"/>
    <x v="0"/>
    <x v="0"/>
    <x v="0"/>
    <x v="0"/>
    <s v="DK1_MedSmall"/>
    <x v="2"/>
    <s v="GNR_ST_MSW_BP_E-20"/>
    <x v="0"/>
    <x v="15"/>
    <n v="11.157668700562001"/>
    <n v="4072.5490757051498"/>
    <n v="14661.1766725385"/>
  </r>
  <r>
    <x v="0"/>
    <x v="0"/>
    <x v="0"/>
    <x v="0"/>
    <x v="0"/>
    <s v="DK1_MedSmall"/>
    <x v="2"/>
    <s v="GNR_ST_MSW_BP_E-20"/>
    <x v="0"/>
    <x v="4"/>
    <n v="11.157668700562001"/>
    <n v="4072.5490757051498"/>
    <n v="14661.1766725385"/>
  </r>
  <r>
    <x v="0"/>
    <x v="0"/>
    <x v="0"/>
    <x v="0"/>
    <x v="0"/>
    <s v="DK1_MedSmall"/>
    <x v="2"/>
    <s v="GNR_ST_MSW_BP_E-20"/>
    <x v="0"/>
    <x v="16"/>
    <n v="11.157668700562001"/>
    <n v="4072.5490757051498"/>
    <n v="14661.1766725385"/>
  </r>
  <r>
    <x v="0"/>
    <x v="0"/>
    <x v="0"/>
    <x v="0"/>
    <x v="0"/>
    <s v="DK1_MedSmall"/>
    <x v="2"/>
    <s v="GNR_ST_MSW_BP_E-20"/>
    <x v="0"/>
    <x v="5"/>
    <n v="11.157668700562001"/>
    <n v="4072.5490757051498"/>
    <n v="14661.1766725385"/>
  </r>
  <r>
    <x v="0"/>
    <x v="0"/>
    <x v="0"/>
    <x v="0"/>
    <x v="0"/>
    <s v="DK1_MedSmall"/>
    <x v="2"/>
    <s v="GNR_ST_MSW_BP_E-20"/>
    <x v="0"/>
    <x v="17"/>
    <n v="11.157668700562001"/>
    <n v="4072.5490757051498"/>
    <n v="14661.1766725385"/>
  </r>
  <r>
    <x v="0"/>
    <x v="0"/>
    <x v="0"/>
    <x v="0"/>
    <x v="0"/>
    <s v="DK1_MedSmall"/>
    <x v="2"/>
    <s v="GNR_ST_MSW_BP_E-20"/>
    <x v="0"/>
    <x v="18"/>
    <n v="11.157668700562001"/>
    <n v="4072.5490757051498"/>
    <n v="14661.1766725385"/>
  </r>
  <r>
    <x v="0"/>
    <x v="0"/>
    <x v="0"/>
    <x v="0"/>
    <x v="0"/>
    <s v="DK1_MedSmall"/>
    <x v="2"/>
    <s v="GNR_ST_MSW_BP_E-20"/>
    <x v="0"/>
    <x v="19"/>
    <n v="11.157668700562001"/>
    <n v="4072.5490757051498"/>
    <n v="14661.1766725385"/>
  </r>
  <r>
    <x v="0"/>
    <x v="0"/>
    <x v="0"/>
    <x v="0"/>
    <x v="0"/>
    <s v="DK1_MedSmall"/>
    <x v="2"/>
    <s v="GNR_ST_MSW_BP_E-20"/>
    <x v="0"/>
    <x v="20"/>
    <n v="11.157668700562001"/>
    <n v="4072.5490757051498"/>
    <n v="14661.1766725385"/>
  </r>
  <r>
    <x v="0"/>
    <x v="0"/>
    <x v="0"/>
    <x v="0"/>
    <x v="0"/>
    <s v="DK1_MedSmall"/>
    <x v="2"/>
    <s v="GNR_ST_MSW_BP_E-20"/>
    <x v="0"/>
    <x v="21"/>
    <n v="11.157668700562001"/>
    <n v="4072.5490757051498"/>
    <n v="14661.1766725385"/>
  </r>
  <r>
    <x v="0"/>
    <x v="0"/>
    <x v="0"/>
    <x v="0"/>
    <x v="0"/>
    <s v="DK1_MedSmall"/>
    <x v="2"/>
    <s v="GNR_ST_MSW_BP_E-20"/>
    <x v="0"/>
    <x v="22"/>
    <n v="11.157668700562001"/>
    <n v="4072.5490757051498"/>
    <n v="14661.1766725385"/>
  </r>
  <r>
    <x v="0"/>
    <x v="0"/>
    <x v="0"/>
    <x v="0"/>
    <x v="0"/>
    <s v="DK1_MedSmall"/>
    <x v="2"/>
    <s v="GNR_ST_MSW_BP_E-20"/>
    <x v="0"/>
    <x v="23"/>
    <n v="11.157668700562001"/>
    <n v="4072.5490757051498"/>
    <n v="14661.1766725385"/>
  </r>
  <r>
    <x v="0"/>
    <x v="0"/>
    <x v="0"/>
    <x v="0"/>
    <x v="0"/>
    <s v="DK1_MedSmall"/>
    <x v="2"/>
    <s v="GNR_ST_MSW_BP_E-21"/>
    <x v="0"/>
    <x v="6"/>
    <n v="33.811117274430401"/>
    <n v="12341.0578051671"/>
    <n v="44427.808098601599"/>
  </r>
  <r>
    <x v="0"/>
    <x v="0"/>
    <x v="0"/>
    <x v="0"/>
    <x v="0"/>
    <s v="DK1_MedSmall"/>
    <x v="2"/>
    <s v="GNR_ST_MSW_BP_E-21"/>
    <x v="0"/>
    <x v="7"/>
    <n v="33.811117274430401"/>
    <n v="12341.0578051671"/>
    <n v="44427.808098601599"/>
  </r>
  <r>
    <x v="0"/>
    <x v="0"/>
    <x v="0"/>
    <x v="0"/>
    <x v="0"/>
    <s v="DK1_MedSmall"/>
    <x v="2"/>
    <s v="GNR_ST_MSW_BP_E-21"/>
    <x v="0"/>
    <x v="8"/>
    <n v="33.811117274430401"/>
    <n v="12341.0578051671"/>
    <n v="44427.808098601599"/>
  </r>
  <r>
    <x v="0"/>
    <x v="0"/>
    <x v="0"/>
    <x v="0"/>
    <x v="0"/>
    <s v="DK1_MedSmall"/>
    <x v="2"/>
    <s v="GNR_ST_MSW_BP_E-21"/>
    <x v="0"/>
    <x v="9"/>
    <n v="33.811117274430401"/>
    <n v="12341.0578051671"/>
    <n v="44427.808098601599"/>
  </r>
  <r>
    <x v="0"/>
    <x v="0"/>
    <x v="0"/>
    <x v="0"/>
    <x v="0"/>
    <s v="DK1_MedSmall"/>
    <x v="2"/>
    <s v="GNR_ST_MSW_BP_E-21"/>
    <x v="0"/>
    <x v="10"/>
    <n v="33.811117274430401"/>
    <n v="12341.0578051671"/>
    <n v="44427.808098601599"/>
  </r>
  <r>
    <x v="0"/>
    <x v="0"/>
    <x v="0"/>
    <x v="0"/>
    <x v="0"/>
    <s v="DK1_MedSmall"/>
    <x v="2"/>
    <s v="GNR_ST_MSW_BP_E-21"/>
    <x v="0"/>
    <x v="11"/>
    <n v="33.811117274430401"/>
    <n v="12341.0578051671"/>
    <n v="44427.808098601599"/>
  </r>
  <r>
    <x v="0"/>
    <x v="0"/>
    <x v="0"/>
    <x v="0"/>
    <x v="0"/>
    <s v="DK1_MedSmall"/>
    <x v="2"/>
    <s v="GNR_ST_MSW_BP_E-21"/>
    <x v="0"/>
    <x v="0"/>
    <n v="33.811117274430401"/>
    <n v="12341.0578051671"/>
    <n v="44427.808098601599"/>
  </r>
  <r>
    <x v="0"/>
    <x v="0"/>
    <x v="0"/>
    <x v="0"/>
    <x v="0"/>
    <s v="DK1_MedSmall"/>
    <x v="2"/>
    <s v="GNR_ST_MSW_BP_E-21"/>
    <x v="0"/>
    <x v="1"/>
    <n v="33.811117274430401"/>
    <n v="12341.0578051671"/>
    <n v="44427.808098601599"/>
  </r>
  <r>
    <x v="0"/>
    <x v="0"/>
    <x v="0"/>
    <x v="0"/>
    <x v="0"/>
    <s v="DK1_MedSmall"/>
    <x v="2"/>
    <s v="GNR_ST_MSW_BP_E-21"/>
    <x v="0"/>
    <x v="2"/>
    <n v="33.811117274430401"/>
    <n v="12341.0578051671"/>
    <n v="44427.808098601599"/>
  </r>
  <r>
    <x v="0"/>
    <x v="0"/>
    <x v="0"/>
    <x v="0"/>
    <x v="0"/>
    <s v="DK1_MedSmall"/>
    <x v="2"/>
    <s v="GNR_ST_MSW_BP_E-21"/>
    <x v="0"/>
    <x v="3"/>
    <n v="33.811117274430401"/>
    <n v="12341.0578051671"/>
    <n v="44427.808098601599"/>
  </r>
  <r>
    <x v="0"/>
    <x v="0"/>
    <x v="0"/>
    <x v="0"/>
    <x v="0"/>
    <s v="DK1_MedSmall"/>
    <x v="2"/>
    <s v="GNR_ST_MSW_BP_E-21"/>
    <x v="0"/>
    <x v="12"/>
    <n v="33.811117274430401"/>
    <n v="12341.0578051671"/>
    <n v="44427.808098601599"/>
  </r>
  <r>
    <x v="0"/>
    <x v="0"/>
    <x v="0"/>
    <x v="0"/>
    <x v="0"/>
    <s v="DK1_MedSmall"/>
    <x v="2"/>
    <s v="GNR_ST_MSW_BP_E-21"/>
    <x v="0"/>
    <x v="13"/>
    <n v="33.811117274430401"/>
    <n v="12341.0578051671"/>
    <n v="44427.808098601599"/>
  </r>
  <r>
    <x v="0"/>
    <x v="0"/>
    <x v="0"/>
    <x v="0"/>
    <x v="0"/>
    <s v="DK1_MedSmall"/>
    <x v="2"/>
    <s v="GNR_ST_MSW_BP_E-21"/>
    <x v="0"/>
    <x v="14"/>
    <n v="33.811117274430401"/>
    <n v="12341.0578051671"/>
    <n v="44427.808098601599"/>
  </r>
  <r>
    <x v="0"/>
    <x v="0"/>
    <x v="0"/>
    <x v="0"/>
    <x v="0"/>
    <s v="DK1_MedSmall"/>
    <x v="2"/>
    <s v="GNR_ST_MSW_BP_E-21"/>
    <x v="0"/>
    <x v="15"/>
    <n v="33.811117274430401"/>
    <n v="12341.0578051671"/>
    <n v="44427.808098601599"/>
  </r>
  <r>
    <x v="0"/>
    <x v="0"/>
    <x v="0"/>
    <x v="0"/>
    <x v="0"/>
    <s v="DK1_MedSmall"/>
    <x v="2"/>
    <s v="GNR_ST_MSW_BP_E-21"/>
    <x v="0"/>
    <x v="4"/>
    <n v="33.811117274430401"/>
    <n v="12341.0578051671"/>
    <n v="44427.808098601599"/>
  </r>
  <r>
    <x v="0"/>
    <x v="0"/>
    <x v="0"/>
    <x v="0"/>
    <x v="0"/>
    <s v="DK1_MedSmall"/>
    <x v="2"/>
    <s v="GNR_ST_MSW_BP_E-21"/>
    <x v="0"/>
    <x v="16"/>
    <n v="33.811117274430401"/>
    <n v="12341.0578051671"/>
    <n v="44427.808098601599"/>
  </r>
  <r>
    <x v="0"/>
    <x v="0"/>
    <x v="0"/>
    <x v="0"/>
    <x v="0"/>
    <s v="DK1_MedSmall"/>
    <x v="2"/>
    <s v="GNR_ST_MSW_BP_E-21"/>
    <x v="0"/>
    <x v="5"/>
    <n v="33.811117274430401"/>
    <n v="12341.0578051671"/>
    <n v="44427.808098601599"/>
  </r>
  <r>
    <x v="0"/>
    <x v="0"/>
    <x v="0"/>
    <x v="0"/>
    <x v="0"/>
    <s v="DK1_MedSmall"/>
    <x v="2"/>
    <s v="GNR_ST_MSW_BP_E-21"/>
    <x v="0"/>
    <x v="17"/>
    <n v="33.811117274430401"/>
    <n v="12341.0578051671"/>
    <n v="44427.808098601599"/>
  </r>
  <r>
    <x v="0"/>
    <x v="0"/>
    <x v="0"/>
    <x v="0"/>
    <x v="0"/>
    <s v="DK1_MedSmall"/>
    <x v="2"/>
    <s v="GNR_ST_MSW_BP_E-21"/>
    <x v="0"/>
    <x v="18"/>
    <n v="33.811117274430401"/>
    <n v="12341.0578051671"/>
    <n v="44427.808098601599"/>
  </r>
  <r>
    <x v="0"/>
    <x v="0"/>
    <x v="0"/>
    <x v="0"/>
    <x v="0"/>
    <s v="DK1_MedSmall"/>
    <x v="2"/>
    <s v="GNR_ST_MSW_BP_E-21"/>
    <x v="0"/>
    <x v="19"/>
    <n v="33.811117274430401"/>
    <n v="12341.0578051671"/>
    <n v="44427.808098601599"/>
  </r>
  <r>
    <x v="0"/>
    <x v="0"/>
    <x v="0"/>
    <x v="0"/>
    <x v="0"/>
    <s v="DK1_MedSmall"/>
    <x v="2"/>
    <s v="GNR_ST_MSW_BP_E-21"/>
    <x v="0"/>
    <x v="20"/>
    <n v="33.811117274430401"/>
    <n v="12341.0578051671"/>
    <n v="44427.808098601599"/>
  </r>
  <r>
    <x v="0"/>
    <x v="0"/>
    <x v="0"/>
    <x v="0"/>
    <x v="0"/>
    <s v="DK1_MedSmall"/>
    <x v="2"/>
    <s v="GNR_ST_MSW_BP_E-21"/>
    <x v="0"/>
    <x v="21"/>
    <n v="33.811117274430401"/>
    <n v="12341.0578051671"/>
    <n v="44427.808098601599"/>
  </r>
  <r>
    <x v="0"/>
    <x v="0"/>
    <x v="0"/>
    <x v="0"/>
    <x v="0"/>
    <s v="DK1_MedSmall"/>
    <x v="2"/>
    <s v="GNR_ST_MSW_BP_E-21"/>
    <x v="0"/>
    <x v="22"/>
    <n v="33.811117274430401"/>
    <n v="12341.0578051671"/>
    <n v="44427.808098601599"/>
  </r>
  <r>
    <x v="0"/>
    <x v="0"/>
    <x v="0"/>
    <x v="0"/>
    <x v="0"/>
    <s v="DK1_MedSmall"/>
    <x v="2"/>
    <s v="GNR_ST_MSW_BP_E-21"/>
    <x v="0"/>
    <x v="23"/>
    <n v="33.811117274430401"/>
    <n v="12341.0578051671"/>
    <n v="44427.808098601599"/>
  </r>
  <r>
    <x v="0"/>
    <x v="0"/>
    <x v="0"/>
    <x v="0"/>
    <x v="0"/>
    <s v="DK1_MedSmall"/>
    <x v="2"/>
    <s v="GNR_ST_MSW_BP_E-22"/>
    <x v="0"/>
    <x v="6"/>
    <n v="15.215002773493699"/>
    <n v="5553.4760123251999"/>
    <n v="19992.513644370702"/>
  </r>
  <r>
    <x v="0"/>
    <x v="0"/>
    <x v="0"/>
    <x v="0"/>
    <x v="0"/>
    <s v="DK1_MedSmall"/>
    <x v="2"/>
    <s v="GNR_ST_MSW_BP_E-22"/>
    <x v="0"/>
    <x v="7"/>
    <n v="15.215002773493699"/>
    <n v="5553.4760123251999"/>
    <n v="19992.513644370702"/>
  </r>
  <r>
    <x v="0"/>
    <x v="0"/>
    <x v="0"/>
    <x v="0"/>
    <x v="0"/>
    <s v="DK1_MedSmall"/>
    <x v="2"/>
    <s v="GNR_ST_MSW_BP_E-22"/>
    <x v="0"/>
    <x v="8"/>
    <n v="15.215002773493699"/>
    <n v="5553.4760123251999"/>
    <n v="19992.513644370702"/>
  </r>
  <r>
    <x v="0"/>
    <x v="0"/>
    <x v="0"/>
    <x v="0"/>
    <x v="0"/>
    <s v="DK1_MedSmall"/>
    <x v="2"/>
    <s v="GNR_ST_MSW_BP_E-22"/>
    <x v="0"/>
    <x v="9"/>
    <n v="15.215002773493699"/>
    <n v="5553.4760123251999"/>
    <n v="19992.513644370702"/>
  </r>
  <r>
    <x v="0"/>
    <x v="0"/>
    <x v="0"/>
    <x v="0"/>
    <x v="0"/>
    <s v="DK1_MedSmall"/>
    <x v="2"/>
    <s v="GNR_ST_MSW_BP_E-22"/>
    <x v="0"/>
    <x v="10"/>
    <n v="15.215002773493699"/>
    <n v="5553.4760123251999"/>
    <n v="19992.513644370702"/>
  </r>
  <r>
    <x v="0"/>
    <x v="0"/>
    <x v="0"/>
    <x v="0"/>
    <x v="0"/>
    <s v="DK1_MedSmall"/>
    <x v="2"/>
    <s v="GNR_ST_MSW_BP_E-22"/>
    <x v="0"/>
    <x v="11"/>
    <n v="15.215002773493699"/>
    <n v="5553.4760123251999"/>
    <n v="19992.513644370702"/>
  </r>
  <r>
    <x v="0"/>
    <x v="0"/>
    <x v="0"/>
    <x v="0"/>
    <x v="0"/>
    <s v="DK1_MedSmall"/>
    <x v="2"/>
    <s v="GNR_ST_MSW_BP_E-22"/>
    <x v="0"/>
    <x v="0"/>
    <n v="15.215002773493699"/>
    <n v="5553.4760123251999"/>
    <n v="19992.513644370702"/>
  </r>
  <r>
    <x v="0"/>
    <x v="0"/>
    <x v="0"/>
    <x v="0"/>
    <x v="0"/>
    <s v="DK1_MedSmall"/>
    <x v="2"/>
    <s v="GNR_ST_MSW_BP_E-22"/>
    <x v="0"/>
    <x v="1"/>
    <n v="15.215002773493699"/>
    <n v="5553.4760123251999"/>
    <n v="19992.513644370702"/>
  </r>
  <r>
    <x v="0"/>
    <x v="0"/>
    <x v="0"/>
    <x v="0"/>
    <x v="0"/>
    <s v="DK1_MedSmall"/>
    <x v="2"/>
    <s v="GNR_ST_MSW_BP_E-22"/>
    <x v="0"/>
    <x v="2"/>
    <n v="15.215002773493699"/>
    <n v="5553.4760123251999"/>
    <n v="19992.513644370702"/>
  </r>
  <r>
    <x v="0"/>
    <x v="0"/>
    <x v="0"/>
    <x v="0"/>
    <x v="0"/>
    <s v="DK1_MedSmall"/>
    <x v="2"/>
    <s v="GNR_ST_MSW_BP_E-22"/>
    <x v="0"/>
    <x v="3"/>
    <n v="15.215002773493699"/>
    <n v="5553.4760123251999"/>
    <n v="19992.513644370702"/>
  </r>
  <r>
    <x v="0"/>
    <x v="0"/>
    <x v="0"/>
    <x v="0"/>
    <x v="0"/>
    <s v="DK1_MedSmall"/>
    <x v="2"/>
    <s v="GNR_ST_MSW_BP_E-22"/>
    <x v="0"/>
    <x v="12"/>
    <n v="15.215002773493699"/>
    <n v="5553.4760123251999"/>
    <n v="19992.513644370702"/>
  </r>
  <r>
    <x v="0"/>
    <x v="0"/>
    <x v="0"/>
    <x v="0"/>
    <x v="0"/>
    <s v="DK1_MedSmall"/>
    <x v="2"/>
    <s v="GNR_ST_MSW_BP_E-22"/>
    <x v="0"/>
    <x v="13"/>
    <n v="15.215002773493699"/>
    <n v="5553.4760123251999"/>
    <n v="19992.513644370702"/>
  </r>
  <r>
    <x v="0"/>
    <x v="0"/>
    <x v="0"/>
    <x v="0"/>
    <x v="0"/>
    <s v="DK1_MedSmall"/>
    <x v="2"/>
    <s v="GNR_ST_MSW_BP_E-22"/>
    <x v="0"/>
    <x v="14"/>
    <n v="15.215002773493699"/>
    <n v="5553.4760123251999"/>
    <n v="19992.513644370702"/>
  </r>
  <r>
    <x v="0"/>
    <x v="0"/>
    <x v="0"/>
    <x v="0"/>
    <x v="0"/>
    <s v="DK1_MedSmall"/>
    <x v="2"/>
    <s v="GNR_ST_MSW_BP_E-22"/>
    <x v="0"/>
    <x v="15"/>
    <n v="15.215002773493699"/>
    <n v="5553.4760123251999"/>
    <n v="19992.513644370702"/>
  </r>
  <r>
    <x v="0"/>
    <x v="0"/>
    <x v="0"/>
    <x v="0"/>
    <x v="0"/>
    <s v="DK1_MedSmall"/>
    <x v="2"/>
    <s v="GNR_ST_MSW_BP_E-22"/>
    <x v="0"/>
    <x v="4"/>
    <n v="15.215002773493699"/>
    <n v="5553.4760123251999"/>
    <n v="19992.513644370702"/>
  </r>
  <r>
    <x v="0"/>
    <x v="0"/>
    <x v="0"/>
    <x v="0"/>
    <x v="0"/>
    <s v="DK1_MedSmall"/>
    <x v="2"/>
    <s v="GNR_ST_MSW_BP_E-22"/>
    <x v="0"/>
    <x v="16"/>
    <n v="15.215002773493699"/>
    <n v="5553.4760123251999"/>
    <n v="19992.513644370702"/>
  </r>
  <r>
    <x v="0"/>
    <x v="0"/>
    <x v="0"/>
    <x v="0"/>
    <x v="0"/>
    <s v="DK1_MedSmall"/>
    <x v="2"/>
    <s v="GNR_ST_MSW_BP_E-22"/>
    <x v="0"/>
    <x v="5"/>
    <n v="15.215002773493699"/>
    <n v="5553.4760123251999"/>
    <n v="19992.513644370702"/>
  </r>
  <r>
    <x v="0"/>
    <x v="0"/>
    <x v="0"/>
    <x v="0"/>
    <x v="0"/>
    <s v="DK1_MedSmall"/>
    <x v="2"/>
    <s v="GNR_ST_MSW_BP_E-22"/>
    <x v="0"/>
    <x v="17"/>
    <n v="15.215002773493699"/>
    <n v="5553.4760123251999"/>
    <n v="19992.513644370702"/>
  </r>
  <r>
    <x v="0"/>
    <x v="0"/>
    <x v="0"/>
    <x v="0"/>
    <x v="0"/>
    <s v="DK1_MedSmall"/>
    <x v="2"/>
    <s v="GNR_ST_MSW_BP_E-22"/>
    <x v="0"/>
    <x v="18"/>
    <n v="15.215002773493699"/>
    <n v="5553.4760123251999"/>
    <n v="19992.513644370702"/>
  </r>
  <r>
    <x v="0"/>
    <x v="0"/>
    <x v="0"/>
    <x v="0"/>
    <x v="0"/>
    <s v="DK1_MedSmall"/>
    <x v="2"/>
    <s v="GNR_ST_MSW_BP_E-22"/>
    <x v="0"/>
    <x v="19"/>
    <n v="15.215002773493699"/>
    <n v="5553.4760123251999"/>
    <n v="19992.513644370702"/>
  </r>
  <r>
    <x v="0"/>
    <x v="0"/>
    <x v="0"/>
    <x v="0"/>
    <x v="0"/>
    <s v="DK1_MedSmall"/>
    <x v="2"/>
    <s v="GNR_ST_MSW_BP_E-22"/>
    <x v="0"/>
    <x v="20"/>
    <n v="15.215002773493699"/>
    <n v="5553.4760123251999"/>
    <n v="19992.513644370702"/>
  </r>
  <r>
    <x v="0"/>
    <x v="0"/>
    <x v="0"/>
    <x v="0"/>
    <x v="0"/>
    <s v="DK1_MedSmall"/>
    <x v="2"/>
    <s v="GNR_ST_MSW_BP_E-22"/>
    <x v="0"/>
    <x v="21"/>
    <n v="15.215002773493699"/>
    <n v="5553.4760123251999"/>
    <n v="19992.513644370702"/>
  </r>
  <r>
    <x v="0"/>
    <x v="0"/>
    <x v="0"/>
    <x v="0"/>
    <x v="0"/>
    <s v="DK1_MedSmall"/>
    <x v="2"/>
    <s v="GNR_ST_MSW_BP_E-22"/>
    <x v="0"/>
    <x v="22"/>
    <n v="15.215002773493699"/>
    <n v="5553.4760123251999"/>
    <n v="19992.513644370702"/>
  </r>
  <r>
    <x v="0"/>
    <x v="0"/>
    <x v="0"/>
    <x v="0"/>
    <x v="0"/>
    <s v="DK1_MedSmall"/>
    <x v="2"/>
    <s v="GNR_ST_MSW_BP_E-22"/>
    <x v="0"/>
    <x v="23"/>
    <n v="15.215002773493699"/>
    <n v="5553.4760123251999"/>
    <n v="19992.513644370702"/>
  </r>
  <r>
    <x v="0"/>
    <x v="0"/>
    <x v="0"/>
    <x v="0"/>
    <x v="0"/>
    <s v="DK1_MedSmall"/>
    <x v="2"/>
    <s v="GNR_ST_MSW_BP_E-26"/>
    <x v="0"/>
    <x v="6"/>
    <n v="23.667782092101302"/>
    <n v="8638.7404636169795"/>
    <n v="31099.465669021101"/>
  </r>
  <r>
    <x v="0"/>
    <x v="0"/>
    <x v="0"/>
    <x v="0"/>
    <x v="0"/>
    <s v="DK1_MedSmall"/>
    <x v="2"/>
    <s v="GNR_ST_MSW_BP_E-26"/>
    <x v="0"/>
    <x v="7"/>
    <n v="23.667782092101302"/>
    <n v="8638.7404636169795"/>
    <n v="31099.465669021101"/>
  </r>
  <r>
    <x v="0"/>
    <x v="0"/>
    <x v="0"/>
    <x v="0"/>
    <x v="0"/>
    <s v="DK1_MedSmall"/>
    <x v="2"/>
    <s v="GNR_ST_MSW_BP_E-26"/>
    <x v="0"/>
    <x v="8"/>
    <n v="23.667782092101302"/>
    <n v="8638.7404636169795"/>
    <n v="31099.465669021101"/>
  </r>
  <r>
    <x v="0"/>
    <x v="0"/>
    <x v="0"/>
    <x v="0"/>
    <x v="0"/>
    <s v="DK1_MedSmall"/>
    <x v="2"/>
    <s v="GNR_ST_MSW_BP_E-26"/>
    <x v="0"/>
    <x v="9"/>
    <n v="23.667782092101302"/>
    <n v="8638.7404636169795"/>
    <n v="31099.465669021101"/>
  </r>
  <r>
    <x v="0"/>
    <x v="0"/>
    <x v="0"/>
    <x v="0"/>
    <x v="0"/>
    <s v="DK1_MedSmall"/>
    <x v="2"/>
    <s v="GNR_ST_MSW_BP_E-26"/>
    <x v="0"/>
    <x v="10"/>
    <n v="23.667782092101302"/>
    <n v="8638.7404636169795"/>
    <n v="31099.465669021101"/>
  </r>
  <r>
    <x v="0"/>
    <x v="0"/>
    <x v="0"/>
    <x v="0"/>
    <x v="0"/>
    <s v="DK1_MedSmall"/>
    <x v="2"/>
    <s v="GNR_ST_MSW_BP_E-26"/>
    <x v="0"/>
    <x v="11"/>
    <n v="23.667782092101302"/>
    <n v="8638.7404636169795"/>
    <n v="31099.465669021101"/>
  </r>
  <r>
    <x v="0"/>
    <x v="0"/>
    <x v="0"/>
    <x v="0"/>
    <x v="0"/>
    <s v="DK1_MedSmall"/>
    <x v="2"/>
    <s v="GNR_ST_MSW_BP_E-26"/>
    <x v="0"/>
    <x v="0"/>
    <n v="23.667782092101302"/>
    <n v="8638.7404636169795"/>
    <n v="31099.465669021101"/>
  </r>
  <r>
    <x v="0"/>
    <x v="0"/>
    <x v="0"/>
    <x v="0"/>
    <x v="0"/>
    <s v="DK1_MedSmall"/>
    <x v="2"/>
    <s v="GNR_ST_MSW_BP_E-26"/>
    <x v="0"/>
    <x v="1"/>
    <n v="23.667782092101302"/>
    <n v="8638.7404636169795"/>
    <n v="31099.465669021101"/>
  </r>
  <r>
    <x v="0"/>
    <x v="0"/>
    <x v="0"/>
    <x v="0"/>
    <x v="0"/>
    <s v="DK1_MedSmall"/>
    <x v="2"/>
    <s v="GNR_ST_MSW_BP_E-26"/>
    <x v="0"/>
    <x v="2"/>
    <n v="23.667782092101302"/>
    <n v="8638.7404636169795"/>
    <n v="31099.465669021101"/>
  </r>
  <r>
    <x v="0"/>
    <x v="0"/>
    <x v="0"/>
    <x v="0"/>
    <x v="0"/>
    <s v="DK1_MedSmall"/>
    <x v="2"/>
    <s v="GNR_ST_MSW_BP_E-26"/>
    <x v="0"/>
    <x v="3"/>
    <n v="23.667782092101302"/>
    <n v="8638.7404636169795"/>
    <n v="31099.465669021101"/>
  </r>
  <r>
    <x v="0"/>
    <x v="0"/>
    <x v="0"/>
    <x v="0"/>
    <x v="0"/>
    <s v="DK1_MedSmall"/>
    <x v="2"/>
    <s v="GNR_ST_MSW_BP_E-26"/>
    <x v="0"/>
    <x v="12"/>
    <n v="23.667782092101302"/>
    <n v="8638.7404636169795"/>
    <n v="31099.465669021101"/>
  </r>
  <r>
    <x v="0"/>
    <x v="0"/>
    <x v="0"/>
    <x v="0"/>
    <x v="0"/>
    <s v="DK1_MedSmall"/>
    <x v="2"/>
    <s v="GNR_ST_MSW_BP_E-26"/>
    <x v="0"/>
    <x v="13"/>
    <n v="23.667782092101302"/>
    <n v="8638.7404636169795"/>
    <n v="31099.465669021101"/>
  </r>
  <r>
    <x v="0"/>
    <x v="0"/>
    <x v="0"/>
    <x v="0"/>
    <x v="0"/>
    <s v="DK1_MedSmall"/>
    <x v="2"/>
    <s v="GNR_ST_MSW_BP_E-26"/>
    <x v="0"/>
    <x v="14"/>
    <n v="23.667782092101302"/>
    <n v="8638.7404636169795"/>
    <n v="31099.465669021101"/>
  </r>
  <r>
    <x v="0"/>
    <x v="0"/>
    <x v="0"/>
    <x v="0"/>
    <x v="0"/>
    <s v="DK1_MedSmall"/>
    <x v="2"/>
    <s v="GNR_ST_MSW_BP_E-26"/>
    <x v="0"/>
    <x v="15"/>
    <n v="23.667782092101302"/>
    <n v="8638.7404636169795"/>
    <n v="31099.465669021101"/>
  </r>
  <r>
    <x v="0"/>
    <x v="0"/>
    <x v="0"/>
    <x v="0"/>
    <x v="0"/>
    <s v="DK1_MedSmall"/>
    <x v="2"/>
    <s v="GNR_ST_MSW_BP_E-26"/>
    <x v="0"/>
    <x v="4"/>
    <n v="23.667782092101302"/>
    <n v="8638.7404636169795"/>
    <n v="31099.465669021101"/>
  </r>
  <r>
    <x v="0"/>
    <x v="0"/>
    <x v="0"/>
    <x v="0"/>
    <x v="0"/>
    <s v="DK1_MedSmall"/>
    <x v="2"/>
    <s v="GNR_ST_MSW_BP_E-26"/>
    <x v="0"/>
    <x v="16"/>
    <n v="23.667782092101302"/>
    <n v="8638.7404636169795"/>
    <n v="31099.465669021101"/>
  </r>
  <r>
    <x v="0"/>
    <x v="0"/>
    <x v="0"/>
    <x v="0"/>
    <x v="0"/>
    <s v="DK1_MedSmall"/>
    <x v="2"/>
    <s v="GNR_ST_MSW_BP_E-26"/>
    <x v="0"/>
    <x v="5"/>
    <n v="23.667782092101302"/>
    <n v="8638.7404636169795"/>
    <n v="31099.465669021101"/>
  </r>
  <r>
    <x v="0"/>
    <x v="0"/>
    <x v="0"/>
    <x v="0"/>
    <x v="0"/>
    <s v="DK1_MedSmall"/>
    <x v="2"/>
    <s v="GNR_ST_MSW_BP_E-26"/>
    <x v="0"/>
    <x v="17"/>
    <n v="23.667782092101302"/>
    <n v="8638.7404636169795"/>
    <n v="31099.465669021101"/>
  </r>
  <r>
    <x v="0"/>
    <x v="0"/>
    <x v="0"/>
    <x v="0"/>
    <x v="0"/>
    <s v="DK1_MedSmall"/>
    <x v="2"/>
    <s v="GNR_ST_MSW_BP_E-26"/>
    <x v="0"/>
    <x v="18"/>
    <n v="23.667782092101302"/>
    <n v="8638.7404636169795"/>
    <n v="31099.465669021101"/>
  </r>
  <r>
    <x v="0"/>
    <x v="0"/>
    <x v="0"/>
    <x v="0"/>
    <x v="0"/>
    <s v="DK1_MedSmall"/>
    <x v="2"/>
    <s v="GNR_ST_MSW_BP_E-26"/>
    <x v="0"/>
    <x v="19"/>
    <n v="23.667782092101302"/>
    <n v="8638.7404636169795"/>
    <n v="31099.465669021101"/>
  </r>
  <r>
    <x v="0"/>
    <x v="0"/>
    <x v="0"/>
    <x v="0"/>
    <x v="0"/>
    <s v="DK1_MedSmall"/>
    <x v="2"/>
    <s v="GNR_ST_MSW_BP_E-26"/>
    <x v="0"/>
    <x v="20"/>
    <n v="23.667782092101302"/>
    <n v="8638.7404636169795"/>
    <n v="31099.465669021101"/>
  </r>
  <r>
    <x v="0"/>
    <x v="0"/>
    <x v="0"/>
    <x v="0"/>
    <x v="0"/>
    <s v="DK1_MedSmall"/>
    <x v="2"/>
    <s v="GNR_ST_MSW_BP_E-26"/>
    <x v="0"/>
    <x v="21"/>
    <n v="23.667782092101302"/>
    <n v="8638.7404636169795"/>
    <n v="31099.465669021101"/>
  </r>
  <r>
    <x v="0"/>
    <x v="0"/>
    <x v="0"/>
    <x v="0"/>
    <x v="0"/>
    <s v="DK1_MedSmall"/>
    <x v="2"/>
    <s v="GNR_ST_MSW_BP_E-26"/>
    <x v="0"/>
    <x v="22"/>
    <n v="23.667782092101302"/>
    <n v="8638.7404636169795"/>
    <n v="31099.465669021101"/>
  </r>
  <r>
    <x v="0"/>
    <x v="0"/>
    <x v="0"/>
    <x v="0"/>
    <x v="0"/>
    <s v="DK1_MedSmall"/>
    <x v="2"/>
    <s v="GNR_ST_MSW_BP_E-26"/>
    <x v="0"/>
    <x v="23"/>
    <n v="23.667782092101302"/>
    <n v="8638.7404636169795"/>
    <n v="31099.465669021101"/>
  </r>
  <r>
    <x v="0"/>
    <x v="0"/>
    <x v="0"/>
    <x v="0"/>
    <x v="0"/>
    <s v="DK1_MedSmall"/>
    <x v="3"/>
    <s v="GNR_ENG_NGAS_BP_E-35"/>
    <x v="0"/>
    <x v="6"/>
    <n v="0.7"/>
    <n v="255.5"/>
    <n v="919.8"/>
  </r>
  <r>
    <x v="0"/>
    <x v="0"/>
    <x v="0"/>
    <x v="0"/>
    <x v="0"/>
    <s v="DK1_MedSmall"/>
    <x v="3"/>
    <s v="GNR_ENG_NGAS_BP_E-35"/>
    <x v="0"/>
    <x v="7"/>
    <n v="0.7"/>
    <n v="255.5"/>
    <n v="919.8"/>
  </r>
  <r>
    <x v="0"/>
    <x v="0"/>
    <x v="0"/>
    <x v="0"/>
    <x v="0"/>
    <s v="DK1_MedSmall"/>
    <x v="3"/>
    <s v="GNR_ENG_NGAS_BP_E-35"/>
    <x v="0"/>
    <x v="8"/>
    <n v="0.7"/>
    <n v="255.5"/>
    <n v="919.8"/>
  </r>
  <r>
    <x v="0"/>
    <x v="0"/>
    <x v="0"/>
    <x v="0"/>
    <x v="0"/>
    <s v="DK1_MedSmall"/>
    <x v="3"/>
    <s v="GNR_ENG_NGAS_BP_E-35"/>
    <x v="0"/>
    <x v="9"/>
    <n v="0.7"/>
    <n v="255.5"/>
    <n v="919.8"/>
  </r>
  <r>
    <x v="0"/>
    <x v="0"/>
    <x v="0"/>
    <x v="0"/>
    <x v="0"/>
    <s v="DK1_MedSmall"/>
    <x v="3"/>
    <s v="GNR_ENG_NGAS_BP_E-35"/>
    <x v="0"/>
    <x v="10"/>
    <n v="0.7"/>
    <n v="255.5"/>
    <n v="919.8"/>
  </r>
  <r>
    <x v="0"/>
    <x v="0"/>
    <x v="0"/>
    <x v="0"/>
    <x v="0"/>
    <s v="DK1_MedSmall"/>
    <x v="3"/>
    <s v="GNR_ENG_NGAS_BP_E-35"/>
    <x v="0"/>
    <x v="11"/>
    <n v="0.7"/>
    <n v="255.5"/>
    <n v="919.8"/>
  </r>
  <r>
    <x v="0"/>
    <x v="0"/>
    <x v="0"/>
    <x v="0"/>
    <x v="0"/>
    <s v="DK1_MedSmall"/>
    <x v="3"/>
    <s v="GNR_ENG_NGAS_BP_E-35"/>
    <x v="0"/>
    <x v="0"/>
    <n v="0.7"/>
    <n v="255.5"/>
    <n v="919.8"/>
  </r>
  <r>
    <x v="0"/>
    <x v="0"/>
    <x v="0"/>
    <x v="0"/>
    <x v="0"/>
    <s v="DK1_MedSmall"/>
    <x v="3"/>
    <s v="GNR_ENG_NGAS_BP_E-35"/>
    <x v="0"/>
    <x v="1"/>
    <n v="0.7"/>
    <n v="255.5"/>
    <n v="919.8"/>
  </r>
  <r>
    <x v="0"/>
    <x v="0"/>
    <x v="0"/>
    <x v="0"/>
    <x v="0"/>
    <s v="DK1_MedSmall"/>
    <x v="3"/>
    <s v="GNR_ENG_NGAS_BP_E-35"/>
    <x v="0"/>
    <x v="2"/>
    <n v="0.7"/>
    <n v="255.5"/>
    <n v="919.8"/>
  </r>
  <r>
    <x v="0"/>
    <x v="0"/>
    <x v="0"/>
    <x v="0"/>
    <x v="0"/>
    <s v="DK1_MedSmall"/>
    <x v="3"/>
    <s v="GNR_ENG_NGAS_BP_E-35"/>
    <x v="0"/>
    <x v="3"/>
    <n v="0.7"/>
    <n v="255.5"/>
    <n v="919.8"/>
  </r>
  <r>
    <x v="0"/>
    <x v="0"/>
    <x v="0"/>
    <x v="0"/>
    <x v="0"/>
    <s v="DK1_MedSmall"/>
    <x v="3"/>
    <s v="GNR_ENG_NGAS_BP_E-35"/>
    <x v="0"/>
    <x v="12"/>
    <n v="0.7"/>
    <n v="255.5"/>
    <n v="919.8"/>
  </r>
  <r>
    <x v="0"/>
    <x v="0"/>
    <x v="0"/>
    <x v="0"/>
    <x v="0"/>
    <s v="DK1_MedSmall"/>
    <x v="3"/>
    <s v="GNR_ENG_NGAS_BP_E-35"/>
    <x v="0"/>
    <x v="13"/>
    <n v="0.7"/>
    <n v="255.5"/>
    <n v="919.8"/>
  </r>
  <r>
    <x v="0"/>
    <x v="0"/>
    <x v="0"/>
    <x v="0"/>
    <x v="0"/>
    <s v="DK1_MedSmall"/>
    <x v="3"/>
    <s v="GNR_ENG_NGAS_BP_E-35"/>
    <x v="0"/>
    <x v="14"/>
    <n v="0.7"/>
    <n v="255.5"/>
    <n v="919.8"/>
  </r>
  <r>
    <x v="0"/>
    <x v="0"/>
    <x v="0"/>
    <x v="0"/>
    <x v="0"/>
    <s v="DK1_MedSmall"/>
    <x v="3"/>
    <s v="GNR_ENG_NGAS_BP_E-35"/>
    <x v="0"/>
    <x v="15"/>
    <n v="0.7"/>
    <n v="255.5"/>
    <n v="919.8"/>
  </r>
  <r>
    <x v="0"/>
    <x v="0"/>
    <x v="0"/>
    <x v="0"/>
    <x v="0"/>
    <s v="DK1_MedSmall"/>
    <x v="3"/>
    <s v="GNR_ENG_NGAS_BP_E-35"/>
    <x v="0"/>
    <x v="4"/>
    <n v="0.7"/>
    <n v="255.5"/>
    <n v="919.8"/>
  </r>
  <r>
    <x v="0"/>
    <x v="0"/>
    <x v="0"/>
    <x v="0"/>
    <x v="0"/>
    <s v="DK1_MedSmall"/>
    <x v="3"/>
    <s v="GNR_ENG_NGAS_BP_E-35"/>
    <x v="0"/>
    <x v="16"/>
    <n v="0.7"/>
    <n v="255.5"/>
    <n v="919.8"/>
  </r>
  <r>
    <x v="0"/>
    <x v="0"/>
    <x v="0"/>
    <x v="0"/>
    <x v="0"/>
    <s v="DK1_MedSmall"/>
    <x v="3"/>
    <s v="GNR_ENG_NGAS_BP_E-35"/>
    <x v="0"/>
    <x v="5"/>
    <n v="0.7"/>
    <n v="255.5"/>
    <n v="919.8"/>
  </r>
  <r>
    <x v="0"/>
    <x v="0"/>
    <x v="0"/>
    <x v="0"/>
    <x v="0"/>
    <s v="DK1_MedSmall"/>
    <x v="3"/>
    <s v="GNR_ENG_NGAS_BP_E-35"/>
    <x v="0"/>
    <x v="17"/>
    <n v="0.7"/>
    <n v="255.5"/>
    <n v="919.8"/>
  </r>
  <r>
    <x v="0"/>
    <x v="0"/>
    <x v="0"/>
    <x v="0"/>
    <x v="0"/>
    <s v="DK1_MedSmall"/>
    <x v="3"/>
    <s v="GNR_ENG_NGAS_BP_E-35"/>
    <x v="0"/>
    <x v="18"/>
    <n v="0.7"/>
    <n v="255.5"/>
    <n v="919.8"/>
  </r>
  <r>
    <x v="0"/>
    <x v="0"/>
    <x v="0"/>
    <x v="0"/>
    <x v="0"/>
    <s v="DK1_MedSmall"/>
    <x v="3"/>
    <s v="GNR_ENG_NGAS_BP_E-35"/>
    <x v="0"/>
    <x v="19"/>
    <n v="0.7"/>
    <n v="255.5"/>
    <n v="919.8"/>
  </r>
  <r>
    <x v="0"/>
    <x v="0"/>
    <x v="0"/>
    <x v="0"/>
    <x v="0"/>
    <s v="DK1_MedSmall"/>
    <x v="3"/>
    <s v="GNR_ENG_NGAS_BP_E-35"/>
    <x v="0"/>
    <x v="20"/>
    <n v="0.7"/>
    <n v="255.5"/>
    <n v="919.8"/>
  </r>
  <r>
    <x v="0"/>
    <x v="0"/>
    <x v="0"/>
    <x v="0"/>
    <x v="0"/>
    <s v="DK1_MedSmall"/>
    <x v="3"/>
    <s v="GNR_ENG_NGAS_BP_E-35"/>
    <x v="0"/>
    <x v="21"/>
    <n v="0.7"/>
    <n v="255.5"/>
    <n v="919.8"/>
  </r>
  <r>
    <x v="0"/>
    <x v="0"/>
    <x v="0"/>
    <x v="0"/>
    <x v="0"/>
    <s v="DK1_MedSmall"/>
    <x v="3"/>
    <s v="GNR_ENG_NGAS_BP_E-35"/>
    <x v="0"/>
    <x v="22"/>
    <n v="0.7"/>
    <n v="255.5"/>
    <n v="919.8"/>
  </r>
  <r>
    <x v="0"/>
    <x v="0"/>
    <x v="0"/>
    <x v="0"/>
    <x v="0"/>
    <s v="DK1_MedSmall"/>
    <x v="3"/>
    <s v="GNR_ENG_NGAS_BP_E-35"/>
    <x v="0"/>
    <x v="23"/>
    <n v="0.7"/>
    <n v="255.5"/>
    <n v="919.8"/>
  </r>
  <r>
    <x v="0"/>
    <x v="0"/>
    <x v="0"/>
    <x v="0"/>
    <x v="0"/>
    <s v="DK1_MedSmall"/>
    <x v="3"/>
    <s v="GNR_ENG_NGAS_BP_E-37"/>
    <x v="0"/>
    <x v="6"/>
    <n v="1.1111111111111101"/>
    <n v="405.555555555556"/>
    <n v="1460"/>
  </r>
  <r>
    <x v="0"/>
    <x v="0"/>
    <x v="0"/>
    <x v="0"/>
    <x v="0"/>
    <s v="DK1_MedSmall"/>
    <x v="3"/>
    <s v="GNR_ENG_NGAS_BP_E-37"/>
    <x v="0"/>
    <x v="7"/>
    <n v="1.1111111111111101"/>
    <n v="405.555555555556"/>
    <n v="1460"/>
  </r>
  <r>
    <x v="0"/>
    <x v="0"/>
    <x v="0"/>
    <x v="0"/>
    <x v="0"/>
    <s v="DK1_MedSmall"/>
    <x v="3"/>
    <s v="GNR_ENG_NGAS_BP_E-37"/>
    <x v="0"/>
    <x v="8"/>
    <n v="1.1111111111111101"/>
    <n v="405.555555555556"/>
    <n v="1460"/>
  </r>
  <r>
    <x v="0"/>
    <x v="0"/>
    <x v="0"/>
    <x v="0"/>
    <x v="0"/>
    <s v="DK1_MedSmall"/>
    <x v="3"/>
    <s v="GNR_ENG_NGAS_BP_E-37"/>
    <x v="0"/>
    <x v="9"/>
    <n v="1.1111111111111101"/>
    <n v="405.555555555556"/>
    <n v="1460"/>
  </r>
  <r>
    <x v="0"/>
    <x v="0"/>
    <x v="0"/>
    <x v="0"/>
    <x v="0"/>
    <s v="DK1_MedSmall"/>
    <x v="3"/>
    <s v="GNR_ENG_NGAS_BP_E-37"/>
    <x v="0"/>
    <x v="10"/>
    <n v="1.1111111111111101"/>
    <n v="405.555555555556"/>
    <n v="1460"/>
  </r>
  <r>
    <x v="0"/>
    <x v="0"/>
    <x v="0"/>
    <x v="0"/>
    <x v="0"/>
    <s v="DK1_MedSmall"/>
    <x v="3"/>
    <s v="GNR_ENG_NGAS_BP_E-37"/>
    <x v="0"/>
    <x v="11"/>
    <n v="1.1111111111111101"/>
    <n v="405.555555555556"/>
    <n v="1460"/>
  </r>
  <r>
    <x v="0"/>
    <x v="0"/>
    <x v="0"/>
    <x v="0"/>
    <x v="0"/>
    <s v="DK1_MedSmall"/>
    <x v="3"/>
    <s v="GNR_ENG_NGAS_BP_E-37"/>
    <x v="0"/>
    <x v="0"/>
    <n v="1.1111111111111101"/>
    <n v="405.555555555556"/>
    <n v="1460"/>
  </r>
  <r>
    <x v="0"/>
    <x v="0"/>
    <x v="0"/>
    <x v="0"/>
    <x v="0"/>
    <s v="DK1_MedSmall"/>
    <x v="3"/>
    <s v="GNR_ENG_NGAS_BP_E-37"/>
    <x v="0"/>
    <x v="1"/>
    <n v="1.1111111111111101"/>
    <n v="405.555555555556"/>
    <n v="1460"/>
  </r>
  <r>
    <x v="0"/>
    <x v="0"/>
    <x v="0"/>
    <x v="0"/>
    <x v="0"/>
    <s v="DK1_MedSmall"/>
    <x v="3"/>
    <s v="GNR_ENG_NGAS_BP_E-37"/>
    <x v="0"/>
    <x v="2"/>
    <n v="1.1111111111111101"/>
    <n v="405.555555555556"/>
    <n v="1460"/>
  </r>
  <r>
    <x v="0"/>
    <x v="0"/>
    <x v="0"/>
    <x v="0"/>
    <x v="0"/>
    <s v="DK1_MedSmall"/>
    <x v="3"/>
    <s v="GNR_ENG_NGAS_BP_E-37"/>
    <x v="0"/>
    <x v="3"/>
    <n v="1.1111111111111101"/>
    <n v="405.555555555556"/>
    <n v="1460"/>
  </r>
  <r>
    <x v="0"/>
    <x v="0"/>
    <x v="0"/>
    <x v="0"/>
    <x v="0"/>
    <s v="DK1_MedSmall"/>
    <x v="3"/>
    <s v="GNR_ENG_NGAS_BP_E-37"/>
    <x v="0"/>
    <x v="12"/>
    <n v="1.1111111111111101"/>
    <n v="405.555555555556"/>
    <n v="1460"/>
  </r>
  <r>
    <x v="0"/>
    <x v="0"/>
    <x v="0"/>
    <x v="0"/>
    <x v="0"/>
    <s v="DK1_MedSmall"/>
    <x v="3"/>
    <s v="GNR_ENG_NGAS_BP_E-37"/>
    <x v="0"/>
    <x v="13"/>
    <n v="1.1111111111111101"/>
    <n v="405.555555555556"/>
    <n v="1460"/>
  </r>
  <r>
    <x v="0"/>
    <x v="0"/>
    <x v="0"/>
    <x v="0"/>
    <x v="0"/>
    <s v="DK1_MedSmall"/>
    <x v="3"/>
    <s v="GNR_ENG_NGAS_BP_E-37"/>
    <x v="0"/>
    <x v="14"/>
    <n v="1.1111111111111101"/>
    <n v="405.555555555556"/>
    <n v="1460"/>
  </r>
  <r>
    <x v="0"/>
    <x v="0"/>
    <x v="0"/>
    <x v="0"/>
    <x v="0"/>
    <s v="DK1_MedSmall"/>
    <x v="3"/>
    <s v="GNR_ENG_NGAS_BP_E-37"/>
    <x v="0"/>
    <x v="15"/>
    <n v="1.1111111111111101"/>
    <n v="405.555555555556"/>
    <n v="1460"/>
  </r>
  <r>
    <x v="0"/>
    <x v="0"/>
    <x v="0"/>
    <x v="0"/>
    <x v="0"/>
    <s v="DK1_MedSmall"/>
    <x v="3"/>
    <s v="GNR_ENG_NGAS_BP_E-37"/>
    <x v="0"/>
    <x v="4"/>
    <n v="1.1111111111111101"/>
    <n v="405.555555555556"/>
    <n v="1460"/>
  </r>
  <r>
    <x v="0"/>
    <x v="0"/>
    <x v="0"/>
    <x v="0"/>
    <x v="0"/>
    <s v="DK1_MedSmall"/>
    <x v="3"/>
    <s v="GNR_ENG_NGAS_BP_E-37"/>
    <x v="0"/>
    <x v="16"/>
    <n v="1.1111111111111101"/>
    <n v="405.555555555556"/>
    <n v="1460"/>
  </r>
  <r>
    <x v="0"/>
    <x v="0"/>
    <x v="0"/>
    <x v="0"/>
    <x v="0"/>
    <s v="DK1_MedSmall"/>
    <x v="3"/>
    <s v="GNR_ENG_NGAS_BP_E-37"/>
    <x v="0"/>
    <x v="5"/>
    <n v="1.1111111111111101"/>
    <n v="405.555555555556"/>
    <n v="1460"/>
  </r>
  <r>
    <x v="0"/>
    <x v="0"/>
    <x v="0"/>
    <x v="0"/>
    <x v="0"/>
    <s v="DK1_MedSmall"/>
    <x v="3"/>
    <s v="GNR_ENG_NGAS_BP_E-37"/>
    <x v="0"/>
    <x v="17"/>
    <n v="1.1111111111111101"/>
    <n v="405.555555555556"/>
    <n v="1460"/>
  </r>
  <r>
    <x v="0"/>
    <x v="0"/>
    <x v="0"/>
    <x v="0"/>
    <x v="0"/>
    <s v="DK1_MedSmall"/>
    <x v="3"/>
    <s v="GNR_ENG_NGAS_BP_E-37"/>
    <x v="0"/>
    <x v="18"/>
    <n v="1.1111111111111101"/>
    <n v="405.555555555556"/>
    <n v="1460"/>
  </r>
  <r>
    <x v="0"/>
    <x v="0"/>
    <x v="0"/>
    <x v="0"/>
    <x v="0"/>
    <s v="DK1_MedSmall"/>
    <x v="3"/>
    <s v="GNR_ENG_NGAS_BP_E-37"/>
    <x v="0"/>
    <x v="19"/>
    <n v="1.1111111111111101"/>
    <n v="405.555555555556"/>
    <n v="1460"/>
  </r>
  <r>
    <x v="0"/>
    <x v="0"/>
    <x v="0"/>
    <x v="0"/>
    <x v="0"/>
    <s v="DK1_MedSmall"/>
    <x v="3"/>
    <s v="GNR_ENG_NGAS_BP_E-37"/>
    <x v="0"/>
    <x v="20"/>
    <n v="1.1111111111111101"/>
    <n v="405.555555555556"/>
    <n v="1460"/>
  </r>
  <r>
    <x v="0"/>
    <x v="0"/>
    <x v="0"/>
    <x v="0"/>
    <x v="0"/>
    <s v="DK1_MedSmall"/>
    <x v="3"/>
    <s v="GNR_ENG_NGAS_BP_E-37"/>
    <x v="0"/>
    <x v="21"/>
    <n v="1.1111111111111101"/>
    <n v="405.555555555556"/>
    <n v="1460"/>
  </r>
  <r>
    <x v="0"/>
    <x v="0"/>
    <x v="0"/>
    <x v="0"/>
    <x v="0"/>
    <s v="DK1_MedSmall"/>
    <x v="3"/>
    <s v="GNR_ENG_NGAS_BP_E-37"/>
    <x v="0"/>
    <x v="22"/>
    <n v="1.1111111111111101"/>
    <n v="405.555555555556"/>
    <n v="1460"/>
  </r>
  <r>
    <x v="0"/>
    <x v="0"/>
    <x v="0"/>
    <x v="0"/>
    <x v="0"/>
    <s v="DK1_MedSmall"/>
    <x v="3"/>
    <s v="GNR_ENG_NGAS_BP_E-37"/>
    <x v="0"/>
    <x v="23"/>
    <n v="1.1111111111111101"/>
    <n v="405.555555555556"/>
    <n v="1460"/>
  </r>
  <r>
    <x v="0"/>
    <x v="0"/>
    <x v="0"/>
    <x v="0"/>
    <x v="0"/>
    <s v="DK1_MedSmall"/>
    <x v="3"/>
    <s v="GNR_ENG_NGAS_BP_E-40"/>
    <x v="0"/>
    <x v="6"/>
    <n v="13.8577777777778"/>
    <n v="5058.0888888888903"/>
    <n v="18209.12"/>
  </r>
  <r>
    <x v="0"/>
    <x v="0"/>
    <x v="0"/>
    <x v="0"/>
    <x v="0"/>
    <s v="DK1_MedSmall"/>
    <x v="3"/>
    <s v="GNR_ENG_NGAS_BP_E-40"/>
    <x v="0"/>
    <x v="7"/>
    <n v="13.8577777777778"/>
    <n v="5058.0888888888903"/>
    <n v="18209.12"/>
  </r>
  <r>
    <x v="0"/>
    <x v="0"/>
    <x v="0"/>
    <x v="0"/>
    <x v="0"/>
    <s v="DK1_MedSmall"/>
    <x v="3"/>
    <s v="GNR_ENG_NGAS_BP_E-40"/>
    <x v="0"/>
    <x v="8"/>
    <n v="13.8577777777778"/>
    <n v="5058.0888888888903"/>
    <n v="18209.12"/>
  </r>
  <r>
    <x v="0"/>
    <x v="0"/>
    <x v="0"/>
    <x v="0"/>
    <x v="0"/>
    <s v="DK1_MedSmall"/>
    <x v="3"/>
    <s v="GNR_ENG_NGAS_BP_E-40"/>
    <x v="0"/>
    <x v="9"/>
    <n v="13.8577777777778"/>
    <n v="5058.0888888888903"/>
    <n v="18209.12"/>
  </r>
  <r>
    <x v="0"/>
    <x v="0"/>
    <x v="0"/>
    <x v="0"/>
    <x v="0"/>
    <s v="DK1_MedSmall"/>
    <x v="3"/>
    <s v="GNR_ENG_NGAS_BP_E-40"/>
    <x v="0"/>
    <x v="10"/>
    <n v="13.8577777777778"/>
    <n v="5058.0888888888903"/>
    <n v="18209.12"/>
  </r>
  <r>
    <x v="0"/>
    <x v="0"/>
    <x v="0"/>
    <x v="0"/>
    <x v="0"/>
    <s v="DK1_MedSmall"/>
    <x v="3"/>
    <s v="GNR_ENG_NGAS_BP_E-40"/>
    <x v="0"/>
    <x v="11"/>
    <n v="13.8577777777778"/>
    <n v="5058.0888888888903"/>
    <n v="18209.12"/>
  </r>
  <r>
    <x v="0"/>
    <x v="0"/>
    <x v="0"/>
    <x v="0"/>
    <x v="0"/>
    <s v="DK1_MedSmall"/>
    <x v="3"/>
    <s v="GNR_ENG_NGAS_BP_E-40"/>
    <x v="0"/>
    <x v="0"/>
    <n v="13.8577777777778"/>
    <n v="5058.0888888888903"/>
    <n v="18209.12"/>
  </r>
  <r>
    <x v="0"/>
    <x v="0"/>
    <x v="0"/>
    <x v="0"/>
    <x v="0"/>
    <s v="DK1_MedSmall"/>
    <x v="3"/>
    <s v="GNR_ENG_NGAS_BP_E-40"/>
    <x v="0"/>
    <x v="1"/>
    <n v="13.8577777777778"/>
    <n v="5058.0888888888903"/>
    <n v="18209.12"/>
  </r>
  <r>
    <x v="0"/>
    <x v="0"/>
    <x v="0"/>
    <x v="0"/>
    <x v="0"/>
    <s v="DK1_MedSmall"/>
    <x v="3"/>
    <s v="GNR_ENG_NGAS_BP_E-40"/>
    <x v="0"/>
    <x v="2"/>
    <n v="13.8577777777778"/>
    <n v="5058.0888888888903"/>
    <n v="18209.12"/>
  </r>
  <r>
    <x v="0"/>
    <x v="0"/>
    <x v="0"/>
    <x v="0"/>
    <x v="0"/>
    <s v="DK1_MedSmall"/>
    <x v="3"/>
    <s v="GNR_ENG_NGAS_BP_E-40"/>
    <x v="0"/>
    <x v="3"/>
    <n v="13.8577777777778"/>
    <n v="5058.0888888888903"/>
    <n v="18209.12"/>
  </r>
  <r>
    <x v="0"/>
    <x v="0"/>
    <x v="0"/>
    <x v="0"/>
    <x v="0"/>
    <s v="DK1_MedSmall"/>
    <x v="3"/>
    <s v="GNR_ENG_NGAS_BP_E-40"/>
    <x v="0"/>
    <x v="12"/>
    <n v="13.8577777777778"/>
    <n v="5058.0888888888903"/>
    <n v="18209.12"/>
  </r>
  <r>
    <x v="0"/>
    <x v="0"/>
    <x v="0"/>
    <x v="0"/>
    <x v="0"/>
    <s v="DK1_MedSmall"/>
    <x v="3"/>
    <s v="GNR_ENG_NGAS_BP_E-40"/>
    <x v="0"/>
    <x v="13"/>
    <n v="13.8577777777778"/>
    <n v="5058.0888888888903"/>
    <n v="18209.12"/>
  </r>
  <r>
    <x v="0"/>
    <x v="0"/>
    <x v="0"/>
    <x v="0"/>
    <x v="0"/>
    <s v="DK1_MedSmall"/>
    <x v="3"/>
    <s v="GNR_ENG_NGAS_BP_E-40"/>
    <x v="0"/>
    <x v="14"/>
    <n v="13.8577777777778"/>
    <n v="5058.0888888888903"/>
    <n v="18209.12"/>
  </r>
  <r>
    <x v="0"/>
    <x v="0"/>
    <x v="0"/>
    <x v="0"/>
    <x v="0"/>
    <s v="DK1_MedSmall"/>
    <x v="3"/>
    <s v="GNR_ENG_NGAS_BP_E-40"/>
    <x v="0"/>
    <x v="15"/>
    <n v="13.8577777777778"/>
    <n v="5058.0888888888903"/>
    <n v="18209.12"/>
  </r>
  <r>
    <x v="0"/>
    <x v="0"/>
    <x v="0"/>
    <x v="0"/>
    <x v="0"/>
    <s v="DK1_MedSmall"/>
    <x v="3"/>
    <s v="GNR_ENG_NGAS_BP_E-40"/>
    <x v="0"/>
    <x v="4"/>
    <n v="13.8577777777778"/>
    <n v="5058.0888888888903"/>
    <n v="18209.12"/>
  </r>
  <r>
    <x v="0"/>
    <x v="0"/>
    <x v="0"/>
    <x v="0"/>
    <x v="0"/>
    <s v="DK1_MedSmall"/>
    <x v="3"/>
    <s v="GNR_ENG_NGAS_BP_E-40"/>
    <x v="0"/>
    <x v="16"/>
    <n v="13.8577777777778"/>
    <n v="5058.0888888888903"/>
    <n v="18209.12"/>
  </r>
  <r>
    <x v="0"/>
    <x v="0"/>
    <x v="0"/>
    <x v="0"/>
    <x v="0"/>
    <s v="DK1_MedSmall"/>
    <x v="3"/>
    <s v="GNR_ENG_NGAS_BP_E-40"/>
    <x v="0"/>
    <x v="5"/>
    <n v="13.8577777777778"/>
    <n v="5058.0888888888903"/>
    <n v="18209.12"/>
  </r>
  <r>
    <x v="0"/>
    <x v="0"/>
    <x v="0"/>
    <x v="0"/>
    <x v="0"/>
    <s v="DK1_MedSmall"/>
    <x v="3"/>
    <s v="GNR_ENG_NGAS_BP_E-40"/>
    <x v="0"/>
    <x v="17"/>
    <n v="13.8577777777778"/>
    <n v="5058.0888888888903"/>
    <n v="18209.12"/>
  </r>
  <r>
    <x v="0"/>
    <x v="0"/>
    <x v="0"/>
    <x v="0"/>
    <x v="0"/>
    <s v="DK1_MedSmall"/>
    <x v="3"/>
    <s v="GNR_ENG_NGAS_BP_E-40"/>
    <x v="0"/>
    <x v="18"/>
    <n v="13.8577777777778"/>
    <n v="5058.0888888888903"/>
    <n v="18209.12"/>
  </r>
  <r>
    <x v="0"/>
    <x v="0"/>
    <x v="0"/>
    <x v="0"/>
    <x v="0"/>
    <s v="DK1_MedSmall"/>
    <x v="3"/>
    <s v="GNR_ENG_NGAS_BP_E-40"/>
    <x v="0"/>
    <x v="19"/>
    <n v="13.8577777777778"/>
    <n v="5058.0888888888903"/>
    <n v="18209.12"/>
  </r>
  <r>
    <x v="0"/>
    <x v="0"/>
    <x v="0"/>
    <x v="0"/>
    <x v="0"/>
    <s v="DK1_MedSmall"/>
    <x v="3"/>
    <s v="GNR_ENG_NGAS_BP_E-40"/>
    <x v="0"/>
    <x v="20"/>
    <n v="13.8577777777778"/>
    <n v="5058.0888888888903"/>
    <n v="18209.12"/>
  </r>
  <r>
    <x v="0"/>
    <x v="0"/>
    <x v="0"/>
    <x v="0"/>
    <x v="0"/>
    <s v="DK1_MedSmall"/>
    <x v="3"/>
    <s v="GNR_ENG_NGAS_BP_E-40"/>
    <x v="0"/>
    <x v="21"/>
    <n v="13.8577777777778"/>
    <n v="5058.0888888888903"/>
    <n v="18209.12"/>
  </r>
  <r>
    <x v="0"/>
    <x v="0"/>
    <x v="0"/>
    <x v="0"/>
    <x v="0"/>
    <s v="DK1_MedSmall"/>
    <x v="3"/>
    <s v="GNR_ENG_NGAS_BP_E-40"/>
    <x v="0"/>
    <x v="22"/>
    <n v="13.8577777777778"/>
    <n v="5058.0888888888903"/>
    <n v="18209.12"/>
  </r>
  <r>
    <x v="0"/>
    <x v="0"/>
    <x v="0"/>
    <x v="0"/>
    <x v="0"/>
    <s v="DK1_MedSmall"/>
    <x v="3"/>
    <s v="GNR_ENG_NGAS_BP_E-40"/>
    <x v="0"/>
    <x v="23"/>
    <n v="13.8577777777778"/>
    <n v="5058.0888888888903"/>
    <n v="18209.12"/>
  </r>
  <r>
    <x v="0"/>
    <x v="0"/>
    <x v="0"/>
    <x v="0"/>
    <x v="0"/>
    <s v="DK1_MedSmall"/>
    <x v="3"/>
    <s v="GNR_ENG_NGAS_BP_E-41"/>
    <x v="0"/>
    <x v="6"/>
    <n v="9.4666666666666703"/>
    <n v="3455.3333333333298"/>
    <n v="12439.2"/>
  </r>
  <r>
    <x v="0"/>
    <x v="0"/>
    <x v="0"/>
    <x v="0"/>
    <x v="0"/>
    <s v="DK1_MedSmall"/>
    <x v="3"/>
    <s v="GNR_ENG_NGAS_BP_E-41"/>
    <x v="0"/>
    <x v="7"/>
    <n v="9.4666666666666703"/>
    <n v="3455.3333333333298"/>
    <n v="12439.2"/>
  </r>
  <r>
    <x v="0"/>
    <x v="0"/>
    <x v="0"/>
    <x v="0"/>
    <x v="0"/>
    <s v="DK1_MedSmall"/>
    <x v="3"/>
    <s v="GNR_ENG_NGAS_BP_E-41"/>
    <x v="0"/>
    <x v="8"/>
    <n v="9.4666666666666703"/>
    <n v="3455.3333333333298"/>
    <n v="12439.2"/>
  </r>
  <r>
    <x v="0"/>
    <x v="0"/>
    <x v="0"/>
    <x v="0"/>
    <x v="0"/>
    <s v="DK1_MedSmall"/>
    <x v="3"/>
    <s v="GNR_ENG_NGAS_BP_E-41"/>
    <x v="0"/>
    <x v="9"/>
    <n v="9.4666666666666703"/>
    <n v="3455.3333333333298"/>
    <n v="12439.2"/>
  </r>
  <r>
    <x v="0"/>
    <x v="0"/>
    <x v="0"/>
    <x v="0"/>
    <x v="0"/>
    <s v="DK1_MedSmall"/>
    <x v="3"/>
    <s v="GNR_ENG_NGAS_BP_E-41"/>
    <x v="0"/>
    <x v="10"/>
    <n v="9.4666666666666703"/>
    <n v="3455.3333333333298"/>
    <n v="12439.2"/>
  </r>
  <r>
    <x v="0"/>
    <x v="0"/>
    <x v="0"/>
    <x v="0"/>
    <x v="0"/>
    <s v="DK1_MedSmall"/>
    <x v="3"/>
    <s v="GNR_ENG_NGAS_BP_E-41"/>
    <x v="0"/>
    <x v="11"/>
    <n v="9.4666666666666703"/>
    <n v="3455.3333333333298"/>
    <n v="12439.2"/>
  </r>
  <r>
    <x v="0"/>
    <x v="0"/>
    <x v="0"/>
    <x v="0"/>
    <x v="0"/>
    <s v="DK1_MedSmall"/>
    <x v="3"/>
    <s v="GNR_ENG_NGAS_BP_E-41"/>
    <x v="0"/>
    <x v="0"/>
    <n v="9.4666666666666703"/>
    <n v="3455.3333333333298"/>
    <n v="12439.2"/>
  </r>
  <r>
    <x v="0"/>
    <x v="0"/>
    <x v="0"/>
    <x v="0"/>
    <x v="0"/>
    <s v="DK1_MedSmall"/>
    <x v="3"/>
    <s v="GNR_ENG_NGAS_BP_E-41"/>
    <x v="0"/>
    <x v="1"/>
    <n v="9.4666666666666703"/>
    <n v="3455.3333333333298"/>
    <n v="12439.2"/>
  </r>
  <r>
    <x v="0"/>
    <x v="0"/>
    <x v="0"/>
    <x v="0"/>
    <x v="0"/>
    <s v="DK1_MedSmall"/>
    <x v="3"/>
    <s v="GNR_ENG_NGAS_BP_E-41"/>
    <x v="0"/>
    <x v="2"/>
    <n v="9.4666666666666703"/>
    <n v="3455.3333333333298"/>
    <n v="12439.2"/>
  </r>
  <r>
    <x v="0"/>
    <x v="0"/>
    <x v="0"/>
    <x v="0"/>
    <x v="0"/>
    <s v="DK1_MedSmall"/>
    <x v="3"/>
    <s v="GNR_ENG_NGAS_BP_E-41"/>
    <x v="0"/>
    <x v="3"/>
    <n v="9.4666666666666703"/>
    <n v="3455.3333333333298"/>
    <n v="12439.2"/>
  </r>
  <r>
    <x v="0"/>
    <x v="0"/>
    <x v="0"/>
    <x v="0"/>
    <x v="0"/>
    <s v="DK1_MedSmall"/>
    <x v="3"/>
    <s v="GNR_ENG_NGAS_BP_E-41"/>
    <x v="0"/>
    <x v="12"/>
    <n v="9.4666666666666703"/>
    <n v="3455.3333333333298"/>
    <n v="12439.2"/>
  </r>
  <r>
    <x v="0"/>
    <x v="0"/>
    <x v="0"/>
    <x v="0"/>
    <x v="0"/>
    <s v="DK1_MedSmall"/>
    <x v="3"/>
    <s v="GNR_ENG_NGAS_BP_E-41"/>
    <x v="0"/>
    <x v="13"/>
    <n v="9.4666666666666703"/>
    <n v="3455.3333333333298"/>
    <n v="12439.2"/>
  </r>
  <r>
    <x v="0"/>
    <x v="0"/>
    <x v="0"/>
    <x v="0"/>
    <x v="0"/>
    <s v="DK1_MedSmall"/>
    <x v="3"/>
    <s v="GNR_ENG_NGAS_BP_E-41"/>
    <x v="0"/>
    <x v="14"/>
    <n v="9.4666666666666703"/>
    <n v="3455.3333333333298"/>
    <n v="12439.2"/>
  </r>
  <r>
    <x v="0"/>
    <x v="0"/>
    <x v="0"/>
    <x v="0"/>
    <x v="0"/>
    <s v="DK1_MedSmall"/>
    <x v="3"/>
    <s v="GNR_ENG_NGAS_BP_E-41"/>
    <x v="0"/>
    <x v="15"/>
    <n v="9.4666666666666703"/>
    <n v="3455.3333333333298"/>
    <n v="12439.2"/>
  </r>
  <r>
    <x v="0"/>
    <x v="0"/>
    <x v="0"/>
    <x v="0"/>
    <x v="0"/>
    <s v="DK1_MedSmall"/>
    <x v="3"/>
    <s v="GNR_ENG_NGAS_BP_E-41"/>
    <x v="0"/>
    <x v="4"/>
    <n v="9.4666666666666703"/>
    <n v="3455.3333333333298"/>
    <n v="12439.2"/>
  </r>
  <r>
    <x v="0"/>
    <x v="0"/>
    <x v="0"/>
    <x v="0"/>
    <x v="0"/>
    <s v="DK1_MedSmall"/>
    <x v="3"/>
    <s v="GNR_ENG_NGAS_BP_E-41"/>
    <x v="0"/>
    <x v="16"/>
    <n v="9.4666666666666703"/>
    <n v="3455.3333333333298"/>
    <n v="12439.2"/>
  </r>
  <r>
    <x v="0"/>
    <x v="0"/>
    <x v="0"/>
    <x v="0"/>
    <x v="0"/>
    <s v="DK1_MedSmall"/>
    <x v="3"/>
    <s v="GNR_ENG_NGAS_BP_E-41"/>
    <x v="0"/>
    <x v="5"/>
    <n v="9.4666666666666703"/>
    <n v="3455.3333333333298"/>
    <n v="12439.2"/>
  </r>
  <r>
    <x v="0"/>
    <x v="0"/>
    <x v="0"/>
    <x v="0"/>
    <x v="0"/>
    <s v="DK1_MedSmall"/>
    <x v="3"/>
    <s v="GNR_ENG_NGAS_BP_E-41"/>
    <x v="0"/>
    <x v="17"/>
    <n v="9.4666666666666703"/>
    <n v="3455.3333333333298"/>
    <n v="12439.2"/>
  </r>
  <r>
    <x v="0"/>
    <x v="0"/>
    <x v="0"/>
    <x v="0"/>
    <x v="0"/>
    <s v="DK1_MedSmall"/>
    <x v="3"/>
    <s v="GNR_ENG_NGAS_BP_E-41"/>
    <x v="0"/>
    <x v="18"/>
    <n v="9.4666666666666703"/>
    <n v="3455.3333333333298"/>
    <n v="12439.2"/>
  </r>
  <r>
    <x v="0"/>
    <x v="0"/>
    <x v="0"/>
    <x v="0"/>
    <x v="0"/>
    <s v="DK1_MedSmall"/>
    <x v="3"/>
    <s v="GNR_ENG_NGAS_BP_E-41"/>
    <x v="0"/>
    <x v="19"/>
    <n v="9.4666666666666703"/>
    <n v="3455.3333333333298"/>
    <n v="12439.2"/>
  </r>
  <r>
    <x v="0"/>
    <x v="0"/>
    <x v="0"/>
    <x v="0"/>
    <x v="0"/>
    <s v="DK1_MedSmall"/>
    <x v="3"/>
    <s v="GNR_ENG_NGAS_BP_E-41"/>
    <x v="0"/>
    <x v="20"/>
    <n v="9.4666666666666703"/>
    <n v="3455.3333333333298"/>
    <n v="12439.2"/>
  </r>
  <r>
    <x v="0"/>
    <x v="0"/>
    <x v="0"/>
    <x v="0"/>
    <x v="0"/>
    <s v="DK1_MedSmall"/>
    <x v="3"/>
    <s v="GNR_ENG_NGAS_BP_E-41"/>
    <x v="0"/>
    <x v="21"/>
    <n v="9.4666666666666703"/>
    <n v="3455.3333333333298"/>
    <n v="12439.2"/>
  </r>
  <r>
    <x v="0"/>
    <x v="0"/>
    <x v="0"/>
    <x v="0"/>
    <x v="0"/>
    <s v="DK1_MedSmall"/>
    <x v="3"/>
    <s v="GNR_ENG_NGAS_BP_E-41"/>
    <x v="0"/>
    <x v="22"/>
    <n v="9.4666666666666703"/>
    <n v="3455.3333333333298"/>
    <n v="12439.2"/>
  </r>
  <r>
    <x v="0"/>
    <x v="0"/>
    <x v="0"/>
    <x v="0"/>
    <x v="0"/>
    <s v="DK1_MedSmall"/>
    <x v="3"/>
    <s v="GNR_ENG_NGAS_BP_E-41"/>
    <x v="0"/>
    <x v="23"/>
    <n v="9.4666666666666703"/>
    <n v="3455.3333333333298"/>
    <n v="12439.2"/>
  </r>
  <r>
    <x v="0"/>
    <x v="0"/>
    <x v="0"/>
    <x v="0"/>
    <x v="0"/>
    <s v="DK1_MedSmall"/>
    <x v="3"/>
    <s v="GNR_ENG_NGAS_BP_E-46"/>
    <x v="0"/>
    <x v="6"/>
    <n v="2.4555555555555602"/>
    <n v="896.27777777777806"/>
    <n v="3226.6"/>
  </r>
  <r>
    <x v="0"/>
    <x v="0"/>
    <x v="0"/>
    <x v="0"/>
    <x v="0"/>
    <s v="DK1_MedSmall"/>
    <x v="3"/>
    <s v="GNR_ENG_NGAS_BP_E-46"/>
    <x v="0"/>
    <x v="7"/>
    <n v="2.4555555555555602"/>
    <n v="896.27777777777806"/>
    <n v="3226.6"/>
  </r>
  <r>
    <x v="0"/>
    <x v="0"/>
    <x v="0"/>
    <x v="0"/>
    <x v="0"/>
    <s v="DK1_MedSmall"/>
    <x v="3"/>
    <s v="GNR_ENG_NGAS_BP_E-46"/>
    <x v="0"/>
    <x v="8"/>
    <n v="2.4555555555555602"/>
    <n v="896.27777777777806"/>
    <n v="3226.6"/>
  </r>
  <r>
    <x v="0"/>
    <x v="0"/>
    <x v="0"/>
    <x v="0"/>
    <x v="0"/>
    <s v="DK1_MedSmall"/>
    <x v="3"/>
    <s v="GNR_ENG_NGAS_BP_E-46"/>
    <x v="0"/>
    <x v="9"/>
    <n v="2.4555555555555602"/>
    <n v="896.27777777777806"/>
    <n v="3226.6"/>
  </r>
  <r>
    <x v="0"/>
    <x v="0"/>
    <x v="0"/>
    <x v="0"/>
    <x v="0"/>
    <s v="DK1_MedSmall"/>
    <x v="3"/>
    <s v="GNR_ENG_NGAS_BP_E-46"/>
    <x v="0"/>
    <x v="10"/>
    <n v="2.4555555555555602"/>
    <n v="896.27777777777806"/>
    <n v="3226.6"/>
  </r>
  <r>
    <x v="0"/>
    <x v="0"/>
    <x v="0"/>
    <x v="0"/>
    <x v="0"/>
    <s v="DK1_MedSmall"/>
    <x v="3"/>
    <s v="GNR_ENG_NGAS_BP_E-46"/>
    <x v="0"/>
    <x v="11"/>
    <n v="2.4555555555555602"/>
    <n v="896.27777777777806"/>
    <n v="3226.6"/>
  </r>
  <r>
    <x v="0"/>
    <x v="0"/>
    <x v="0"/>
    <x v="0"/>
    <x v="0"/>
    <s v="DK1_MedSmall"/>
    <x v="3"/>
    <s v="GNR_ENG_NGAS_BP_E-46"/>
    <x v="0"/>
    <x v="0"/>
    <n v="2.4555555555555602"/>
    <n v="896.27777777777806"/>
    <n v="3226.6"/>
  </r>
  <r>
    <x v="0"/>
    <x v="0"/>
    <x v="0"/>
    <x v="0"/>
    <x v="0"/>
    <s v="DK1_MedSmall"/>
    <x v="3"/>
    <s v="GNR_ENG_NGAS_BP_E-46"/>
    <x v="0"/>
    <x v="1"/>
    <n v="2.4555555555555602"/>
    <n v="896.27777777777806"/>
    <n v="3226.6"/>
  </r>
  <r>
    <x v="0"/>
    <x v="0"/>
    <x v="0"/>
    <x v="0"/>
    <x v="0"/>
    <s v="DK1_MedSmall"/>
    <x v="3"/>
    <s v="GNR_ENG_NGAS_BP_E-46"/>
    <x v="0"/>
    <x v="2"/>
    <n v="2.4555555555555602"/>
    <n v="896.27777777777806"/>
    <n v="3226.6"/>
  </r>
  <r>
    <x v="0"/>
    <x v="0"/>
    <x v="0"/>
    <x v="0"/>
    <x v="0"/>
    <s v="DK1_MedSmall"/>
    <x v="3"/>
    <s v="GNR_ENG_NGAS_BP_E-46"/>
    <x v="0"/>
    <x v="3"/>
    <n v="2.4555555555555602"/>
    <n v="896.27777777777806"/>
    <n v="3226.6"/>
  </r>
  <r>
    <x v="0"/>
    <x v="0"/>
    <x v="0"/>
    <x v="0"/>
    <x v="0"/>
    <s v="DK1_MedSmall"/>
    <x v="3"/>
    <s v="GNR_ENG_NGAS_BP_E-46"/>
    <x v="0"/>
    <x v="12"/>
    <n v="2.4555555555555602"/>
    <n v="896.27777777777806"/>
    <n v="3226.6"/>
  </r>
  <r>
    <x v="0"/>
    <x v="0"/>
    <x v="0"/>
    <x v="0"/>
    <x v="0"/>
    <s v="DK1_MedSmall"/>
    <x v="3"/>
    <s v="GNR_ENG_NGAS_BP_E-46"/>
    <x v="0"/>
    <x v="13"/>
    <n v="2.4555555555555602"/>
    <n v="896.27777777777806"/>
    <n v="3226.6"/>
  </r>
  <r>
    <x v="0"/>
    <x v="0"/>
    <x v="0"/>
    <x v="0"/>
    <x v="0"/>
    <s v="DK1_MedSmall"/>
    <x v="3"/>
    <s v="GNR_ENG_NGAS_BP_E-46"/>
    <x v="0"/>
    <x v="14"/>
    <n v="2.4555555555555602"/>
    <n v="896.27777777777806"/>
    <n v="3226.6"/>
  </r>
  <r>
    <x v="0"/>
    <x v="0"/>
    <x v="0"/>
    <x v="0"/>
    <x v="0"/>
    <s v="DK1_MedSmall"/>
    <x v="3"/>
    <s v="GNR_ENG_NGAS_BP_E-46"/>
    <x v="0"/>
    <x v="15"/>
    <n v="2.4555555555555602"/>
    <n v="896.27777777777806"/>
    <n v="3226.6"/>
  </r>
  <r>
    <x v="0"/>
    <x v="0"/>
    <x v="0"/>
    <x v="0"/>
    <x v="0"/>
    <s v="DK1_MedSmall"/>
    <x v="3"/>
    <s v="GNR_ENG_NGAS_BP_E-46"/>
    <x v="0"/>
    <x v="4"/>
    <n v="2.4555555555555602"/>
    <n v="896.27777777777806"/>
    <n v="3226.6"/>
  </r>
  <r>
    <x v="0"/>
    <x v="0"/>
    <x v="0"/>
    <x v="0"/>
    <x v="0"/>
    <s v="DK1_MedSmall"/>
    <x v="3"/>
    <s v="GNR_ENG_NGAS_BP_E-46"/>
    <x v="0"/>
    <x v="16"/>
    <n v="2.4555555555555602"/>
    <n v="896.27777777777806"/>
    <n v="3226.6"/>
  </r>
  <r>
    <x v="0"/>
    <x v="0"/>
    <x v="0"/>
    <x v="0"/>
    <x v="0"/>
    <s v="DK1_MedSmall"/>
    <x v="3"/>
    <s v="GNR_ENG_NGAS_BP_E-46"/>
    <x v="0"/>
    <x v="5"/>
    <n v="2.4555555555555602"/>
    <n v="896.27777777777806"/>
    <n v="3226.6"/>
  </r>
  <r>
    <x v="0"/>
    <x v="0"/>
    <x v="0"/>
    <x v="0"/>
    <x v="0"/>
    <s v="DK1_MedSmall"/>
    <x v="3"/>
    <s v="GNR_ENG_NGAS_BP_E-46"/>
    <x v="0"/>
    <x v="17"/>
    <n v="2.4555555555555602"/>
    <n v="896.27777777777806"/>
    <n v="3226.6"/>
  </r>
  <r>
    <x v="0"/>
    <x v="0"/>
    <x v="0"/>
    <x v="0"/>
    <x v="0"/>
    <s v="DK1_MedSmall"/>
    <x v="3"/>
    <s v="GNR_ENG_NGAS_BP_E-46"/>
    <x v="0"/>
    <x v="18"/>
    <n v="2.4555555555555602"/>
    <n v="896.27777777777806"/>
    <n v="3226.6"/>
  </r>
  <r>
    <x v="0"/>
    <x v="0"/>
    <x v="0"/>
    <x v="0"/>
    <x v="0"/>
    <s v="DK1_MedSmall"/>
    <x v="3"/>
    <s v="GNR_ENG_NGAS_BP_E-46"/>
    <x v="0"/>
    <x v="19"/>
    <n v="2.4555555555555602"/>
    <n v="896.27777777777806"/>
    <n v="3226.6"/>
  </r>
  <r>
    <x v="0"/>
    <x v="0"/>
    <x v="0"/>
    <x v="0"/>
    <x v="0"/>
    <s v="DK1_MedSmall"/>
    <x v="3"/>
    <s v="GNR_ENG_NGAS_BP_E-46"/>
    <x v="0"/>
    <x v="20"/>
    <n v="2.4555555555555602"/>
    <n v="896.27777777777806"/>
    <n v="3226.6"/>
  </r>
  <r>
    <x v="0"/>
    <x v="0"/>
    <x v="0"/>
    <x v="0"/>
    <x v="0"/>
    <s v="DK1_MedSmall"/>
    <x v="3"/>
    <s v="GNR_ENG_NGAS_BP_E-46"/>
    <x v="0"/>
    <x v="21"/>
    <n v="2.4555555555555602"/>
    <n v="896.27777777777806"/>
    <n v="3226.6"/>
  </r>
  <r>
    <x v="0"/>
    <x v="0"/>
    <x v="0"/>
    <x v="0"/>
    <x v="0"/>
    <s v="DK1_MedSmall"/>
    <x v="3"/>
    <s v="GNR_ENG_NGAS_BP_E-46"/>
    <x v="0"/>
    <x v="22"/>
    <n v="2.4555555555555602"/>
    <n v="896.27777777777806"/>
    <n v="3226.6"/>
  </r>
  <r>
    <x v="0"/>
    <x v="0"/>
    <x v="0"/>
    <x v="0"/>
    <x v="0"/>
    <s v="DK1_MedSmall"/>
    <x v="3"/>
    <s v="GNR_ENG_NGAS_BP_E-46"/>
    <x v="0"/>
    <x v="23"/>
    <n v="2.4555555555555602"/>
    <n v="896.27777777777806"/>
    <n v="3226.6"/>
  </r>
  <r>
    <x v="0"/>
    <x v="0"/>
    <x v="0"/>
    <x v="0"/>
    <x v="0"/>
    <s v="DK1_MedSmall"/>
    <x v="3"/>
    <s v="GNR_GT_NGAS_BP_E-31"/>
    <x v="0"/>
    <x v="6"/>
    <n v="17.894736842105299"/>
    <n v="6531.5789473684199"/>
    <n v="23513.684210526299"/>
  </r>
  <r>
    <x v="0"/>
    <x v="0"/>
    <x v="0"/>
    <x v="0"/>
    <x v="0"/>
    <s v="DK1_MedSmall"/>
    <x v="3"/>
    <s v="GNR_GT_NGAS_BP_E-31"/>
    <x v="0"/>
    <x v="7"/>
    <n v="17.894736842105299"/>
    <n v="6531.5789473684199"/>
    <n v="23513.684210526299"/>
  </r>
  <r>
    <x v="0"/>
    <x v="0"/>
    <x v="0"/>
    <x v="0"/>
    <x v="0"/>
    <s v="DK1_MedSmall"/>
    <x v="3"/>
    <s v="GNR_GT_NGAS_BP_E-31"/>
    <x v="0"/>
    <x v="8"/>
    <n v="17.894736842105299"/>
    <n v="6531.5789473684199"/>
    <n v="23513.684210526299"/>
  </r>
  <r>
    <x v="0"/>
    <x v="0"/>
    <x v="0"/>
    <x v="0"/>
    <x v="0"/>
    <s v="DK1_MedSmall"/>
    <x v="3"/>
    <s v="GNR_GT_NGAS_BP_E-31"/>
    <x v="0"/>
    <x v="9"/>
    <n v="17.894736842105299"/>
    <n v="6531.5789473684199"/>
    <n v="23513.684210526299"/>
  </r>
  <r>
    <x v="0"/>
    <x v="0"/>
    <x v="0"/>
    <x v="0"/>
    <x v="0"/>
    <s v="DK1_MedSmall"/>
    <x v="3"/>
    <s v="GNR_GT_NGAS_BP_E-31"/>
    <x v="0"/>
    <x v="10"/>
    <n v="17.894736842105299"/>
    <n v="6531.5789473684199"/>
    <n v="23513.684210526299"/>
  </r>
  <r>
    <x v="0"/>
    <x v="0"/>
    <x v="0"/>
    <x v="0"/>
    <x v="0"/>
    <s v="DK1_MedSmall"/>
    <x v="3"/>
    <s v="GNR_GT_NGAS_BP_E-31"/>
    <x v="0"/>
    <x v="11"/>
    <n v="17.894736842105299"/>
    <n v="6531.5789473684199"/>
    <n v="23513.684210526299"/>
  </r>
  <r>
    <x v="0"/>
    <x v="0"/>
    <x v="0"/>
    <x v="0"/>
    <x v="0"/>
    <s v="DK1_MedSmall"/>
    <x v="3"/>
    <s v="GNR_GT_NGAS_BP_E-31"/>
    <x v="0"/>
    <x v="0"/>
    <n v="17.894736842105299"/>
    <n v="6531.5789473684199"/>
    <n v="23513.684210526299"/>
  </r>
  <r>
    <x v="0"/>
    <x v="0"/>
    <x v="0"/>
    <x v="0"/>
    <x v="0"/>
    <s v="DK1_MedSmall"/>
    <x v="3"/>
    <s v="GNR_GT_NGAS_BP_E-31"/>
    <x v="0"/>
    <x v="1"/>
    <n v="17.894736842105299"/>
    <n v="6531.5789473684199"/>
    <n v="23513.684210526299"/>
  </r>
  <r>
    <x v="0"/>
    <x v="0"/>
    <x v="0"/>
    <x v="0"/>
    <x v="0"/>
    <s v="DK1_MedSmall"/>
    <x v="3"/>
    <s v="GNR_GT_NGAS_BP_E-31"/>
    <x v="0"/>
    <x v="2"/>
    <n v="17.894736842105299"/>
    <n v="6531.5789473684199"/>
    <n v="23513.684210526299"/>
  </r>
  <r>
    <x v="0"/>
    <x v="0"/>
    <x v="0"/>
    <x v="0"/>
    <x v="0"/>
    <s v="DK1_MedSmall"/>
    <x v="3"/>
    <s v="GNR_GT_NGAS_BP_E-31"/>
    <x v="0"/>
    <x v="3"/>
    <n v="17.894736842105299"/>
    <n v="6531.5789473684199"/>
    <n v="23513.684210526299"/>
  </r>
  <r>
    <x v="0"/>
    <x v="0"/>
    <x v="0"/>
    <x v="0"/>
    <x v="0"/>
    <s v="DK1_MedSmall"/>
    <x v="3"/>
    <s v="GNR_GT_NGAS_BP_E-31"/>
    <x v="0"/>
    <x v="12"/>
    <n v="17.894736842105299"/>
    <n v="6531.5789473684199"/>
    <n v="23513.684210526299"/>
  </r>
  <r>
    <x v="0"/>
    <x v="0"/>
    <x v="0"/>
    <x v="0"/>
    <x v="0"/>
    <s v="DK1_MedSmall"/>
    <x v="3"/>
    <s v="GNR_GT_NGAS_BP_E-31"/>
    <x v="0"/>
    <x v="13"/>
    <n v="17.894736842105299"/>
    <n v="6531.5789473684199"/>
    <n v="23513.684210526299"/>
  </r>
  <r>
    <x v="0"/>
    <x v="0"/>
    <x v="0"/>
    <x v="0"/>
    <x v="0"/>
    <s v="DK1_MedSmall"/>
    <x v="3"/>
    <s v="GNR_GT_NGAS_BP_E-31"/>
    <x v="0"/>
    <x v="14"/>
    <n v="17.894736842105299"/>
    <n v="6531.5789473684199"/>
    <n v="23513.684210526299"/>
  </r>
  <r>
    <x v="0"/>
    <x v="0"/>
    <x v="0"/>
    <x v="0"/>
    <x v="0"/>
    <s v="DK1_MedSmall"/>
    <x v="3"/>
    <s v="GNR_GT_NGAS_BP_E-31"/>
    <x v="0"/>
    <x v="15"/>
    <n v="17.894736842105299"/>
    <n v="6531.5789473684199"/>
    <n v="23513.684210526299"/>
  </r>
  <r>
    <x v="0"/>
    <x v="0"/>
    <x v="0"/>
    <x v="0"/>
    <x v="0"/>
    <s v="DK1_MedSmall"/>
    <x v="3"/>
    <s v="GNR_GT_NGAS_BP_E-31"/>
    <x v="0"/>
    <x v="4"/>
    <n v="17.894736842105299"/>
    <n v="6531.5789473684199"/>
    <n v="23513.684210526299"/>
  </r>
  <r>
    <x v="0"/>
    <x v="0"/>
    <x v="0"/>
    <x v="0"/>
    <x v="0"/>
    <s v="DK1_MedSmall"/>
    <x v="3"/>
    <s v="GNR_GT_NGAS_BP_E-31"/>
    <x v="0"/>
    <x v="16"/>
    <n v="17.894736842105299"/>
    <n v="6531.5789473684199"/>
    <n v="23513.684210526299"/>
  </r>
  <r>
    <x v="0"/>
    <x v="0"/>
    <x v="0"/>
    <x v="0"/>
    <x v="0"/>
    <s v="DK1_MedSmall"/>
    <x v="3"/>
    <s v="GNR_GT_NGAS_BP_E-31"/>
    <x v="0"/>
    <x v="5"/>
    <n v="17.894736842105299"/>
    <n v="6531.5789473684199"/>
    <n v="23513.684210526299"/>
  </r>
  <r>
    <x v="0"/>
    <x v="0"/>
    <x v="0"/>
    <x v="0"/>
    <x v="0"/>
    <s v="DK1_MedSmall"/>
    <x v="3"/>
    <s v="GNR_GT_NGAS_BP_E-31"/>
    <x v="0"/>
    <x v="17"/>
    <n v="17.894736842105299"/>
    <n v="6531.5789473684199"/>
    <n v="23513.684210526299"/>
  </r>
  <r>
    <x v="0"/>
    <x v="0"/>
    <x v="0"/>
    <x v="0"/>
    <x v="0"/>
    <s v="DK1_MedSmall"/>
    <x v="3"/>
    <s v="GNR_GT_NGAS_BP_E-31"/>
    <x v="0"/>
    <x v="18"/>
    <n v="17.894736842105299"/>
    <n v="6531.5789473684199"/>
    <n v="23513.684210526299"/>
  </r>
  <r>
    <x v="0"/>
    <x v="0"/>
    <x v="0"/>
    <x v="0"/>
    <x v="0"/>
    <s v="DK1_MedSmall"/>
    <x v="3"/>
    <s v="GNR_GT_NGAS_BP_E-31"/>
    <x v="0"/>
    <x v="19"/>
    <n v="17.894736842105299"/>
    <n v="6531.5789473684199"/>
    <n v="23513.684210526299"/>
  </r>
  <r>
    <x v="0"/>
    <x v="0"/>
    <x v="0"/>
    <x v="0"/>
    <x v="0"/>
    <s v="DK1_MedSmall"/>
    <x v="3"/>
    <s v="GNR_GT_NGAS_BP_E-31"/>
    <x v="0"/>
    <x v="20"/>
    <n v="17.894736842105299"/>
    <n v="6531.5789473684199"/>
    <n v="23513.684210526299"/>
  </r>
  <r>
    <x v="0"/>
    <x v="0"/>
    <x v="0"/>
    <x v="0"/>
    <x v="0"/>
    <s v="DK1_MedSmall"/>
    <x v="3"/>
    <s v="GNR_GT_NGAS_BP_E-31"/>
    <x v="0"/>
    <x v="21"/>
    <n v="17.894736842105299"/>
    <n v="6531.5789473684199"/>
    <n v="23513.684210526299"/>
  </r>
  <r>
    <x v="0"/>
    <x v="0"/>
    <x v="0"/>
    <x v="0"/>
    <x v="0"/>
    <s v="DK1_MedSmall"/>
    <x v="3"/>
    <s v="GNR_GT_NGAS_BP_E-31"/>
    <x v="0"/>
    <x v="22"/>
    <n v="17.894736842105299"/>
    <n v="6531.5789473684199"/>
    <n v="23513.684210526299"/>
  </r>
  <r>
    <x v="0"/>
    <x v="0"/>
    <x v="0"/>
    <x v="0"/>
    <x v="0"/>
    <s v="DK1_MedSmall"/>
    <x v="3"/>
    <s v="GNR_GT_NGAS_BP_E-31"/>
    <x v="0"/>
    <x v="23"/>
    <n v="17.894736842105299"/>
    <n v="6531.5789473684199"/>
    <n v="23513.684210526299"/>
  </r>
  <r>
    <x v="0"/>
    <x v="0"/>
    <x v="0"/>
    <x v="0"/>
    <x v="0"/>
    <s v="DK1_MedSmall"/>
    <x v="4"/>
    <s v="GNR_BO_STRW_E-102"/>
    <x v="0"/>
    <x v="0"/>
    <n v="10.73"/>
    <n v="3916.45"/>
    <n v="14099.22"/>
  </r>
  <r>
    <x v="0"/>
    <x v="0"/>
    <x v="0"/>
    <x v="0"/>
    <x v="0"/>
    <s v="DK1_MedSmall"/>
    <x v="4"/>
    <s v="GNR_BO_STRW_E-102"/>
    <x v="0"/>
    <x v="1"/>
    <n v="10.73"/>
    <n v="3916.45"/>
    <n v="14099.22"/>
  </r>
  <r>
    <x v="0"/>
    <x v="0"/>
    <x v="0"/>
    <x v="0"/>
    <x v="0"/>
    <s v="DK1_MedSmall"/>
    <x v="4"/>
    <s v="GNR_BO_STRW_E-102"/>
    <x v="0"/>
    <x v="2"/>
    <n v="10.73"/>
    <n v="3916.45"/>
    <n v="14099.22"/>
  </r>
  <r>
    <x v="0"/>
    <x v="0"/>
    <x v="0"/>
    <x v="0"/>
    <x v="0"/>
    <s v="DK1_MedSmall"/>
    <x v="4"/>
    <s v="GNR_BO_STRW_E-102"/>
    <x v="0"/>
    <x v="3"/>
    <n v="10.73"/>
    <n v="3916.45"/>
    <n v="14099.22"/>
  </r>
  <r>
    <x v="0"/>
    <x v="0"/>
    <x v="0"/>
    <x v="0"/>
    <x v="0"/>
    <s v="DK1_MedSmall"/>
    <x v="4"/>
    <s v="GNR_BO_STRW_E-102"/>
    <x v="0"/>
    <x v="12"/>
    <n v="10.73"/>
    <n v="3916.45"/>
    <n v="14099.22"/>
  </r>
  <r>
    <x v="0"/>
    <x v="0"/>
    <x v="0"/>
    <x v="0"/>
    <x v="0"/>
    <s v="DK1_MedSmall"/>
    <x v="4"/>
    <s v="GNR_BO_STRW_E-102"/>
    <x v="0"/>
    <x v="13"/>
    <n v="10.73"/>
    <n v="3916.45"/>
    <n v="14099.22"/>
  </r>
  <r>
    <x v="0"/>
    <x v="0"/>
    <x v="0"/>
    <x v="0"/>
    <x v="0"/>
    <s v="DK1_MedSmall"/>
    <x v="4"/>
    <s v="GNR_BO_STRW_E-102"/>
    <x v="0"/>
    <x v="14"/>
    <n v="10.73"/>
    <n v="3916.45"/>
    <n v="14099.22"/>
  </r>
  <r>
    <x v="0"/>
    <x v="0"/>
    <x v="0"/>
    <x v="0"/>
    <x v="0"/>
    <s v="DK1_MedSmall"/>
    <x v="4"/>
    <s v="GNR_BO_STRW_E-102"/>
    <x v="0"/>
    <x v="15"/>
    <n v="10.73"/>
    <n v="3916.45"/>
    <n v="14099.22"/>
  </r>
  <r>
    <x v="0"/>
    <x v="0"/>
    <x v="0"/>
    <x v="0"/>
    <x v="0"/>
    <s v="DK1_MedSmall"/>
    <x v="4"/>
    <s v="GNR_BO_STRW_E-102"/>
    <x v="0"/>
    <x v="4"/>
    <n v="10.73"/>
    <n v="3916.45"/>
    <n v="14099.22"/>
  </r>
  <r>
    <x v="0"/>
    <x v="0"/>
    <x v="0"/>
    <x v="0"/>
    <x v="0"/>
    <s v="DK1_MedSmall"/>
    <x v="4"/>
    <s v="GNR_BO_STRW_E-102"/>
    <x v="0"/>
    <x v="16"/>
    <n v="10.73"/>
    <n v="3916.45"/>
    <n v="14099.22"/>
  </r>
  <r>
    <x v="0"/>
    <x v="0"/>
    <x v="0"/>
    <x v="0"/>
    <x v="0"/>
    <s v="DK1_MedSmall"/>
    <x v="4"/>
    <s v="GNR_BO_STRW_E-102"/>
    <x v="0"/>
    <x v="5"/>
    <n v="10.73"/>
    <n v="3916.45"/>
    <n v="14099.22"/>
  </r>
  <r>
    <x v="0"/>
    <x v="0"/>
    <x v="0"/>
    <x v="0"/>
    <x v="0"/>
    <s v="DK1_MedSmall"/>
    <x v="4"/>
    <s v="GNR_BO_STRW_E-102"/>
    <x v="0"/>
    <x v="17"/>
    <n v="10.73"/>
    <n v="3916.45"/>
    <n v="14099.22"/>
  </r>
  <r>
    <x v="0"/>
    <x v="0"/>
    <x v="0"/>
    <x v="0"/>
    <x v="0"/>
    <s v="DK1_MedSmall"/>
    <x v="4"/>
    <s v="GNR_BO_STRW_E-102"/>
    <x v="0"/>
    <x v="18"/>
    <n v="10.73"/>
    <n v="3916.45"/>
    <n v="14099.22"/>
  </r>
  <r>
    <x v="0"/>
    <x v="0"/>
    <x v="0"/>
    <x v="0"/>
    <x v="0"/>
    <s v="DK1_MedSmall"/>
    <x v="4"/>
    <s v="GNR_BO_STRW_E-102"/>
    <x v="0"/>
    <x v="19"/>
    <n v="10.73"/>
    <n v="3916.45"/>
    <n v="14099.22"/>
  </r>
  <r>
    <x v="0"/>
    <x v="0"/>
    <x v="0"/>
    <x v="0"/>
    <x v="0"/>
    <s v="DK1_MedSmall"/>
    <x v="4"/>
    <s v="GNR_BO_STRW_E-102"/>
    <x v="0"/>
    <x v="20"/>
    <n v="10.73"/>
    <n v="3916.45"/>
    <n v="14099.22"/>
  </r>
  <r>
    <x v="0"/>
    <x v="0"/>
    <x v="0"/>
    <x v="0"/>
    <x v="0"/>
    <s v="DK1_MedSmall"/>
    <x v="4"/>
    <s v="GNR_ST_STRW_BP_E-21"/>
    <x v="0"/>
    <x v="6"/>
    <n v="39.356224428201102"/>
    <n v="14365.021916293401"/>
    <n v="51714.078898656197"/>
  </r>
  <r>
    <x v="0"/>
    <x v="0"/>
    <x v="0"/>
    <x v="0"/>
    <x v="0"/>
    <s v="DK1_MedSmall"/>
    <x v="4"/>
    <s v="GNR_ST_STRW_BP_E-21"/>
    <x v="0"/>
    <x v="7"/>
    <n v="39.356224428201102"/>
    <n v="14365.021916293401"/>
    <n v="51714.078898656197"/>
  </r>
  <r>
    <x v="0"/>
    <x v="0"/>
    <x v="0"/>
    <x v="0"/>
    <x v="0"/>
    <s v="DK1_MedSmall"/>
    <x v="4"/>
    <s v="GNR_ST_STRW_BP_E-21"/>
    <x v="0"/>
    <x v="8"/>
    <n v="39.356224428201102"/>
    <n v="14365.021916293401"/>
    <n v="51714.078898656197"/>
  </r>
  <r>
    <x v="0"/>
    <x v="0"/>
    <x v="0"/>
    <x v="0"/>
    <x v="0"/>
    <s v="DK1_MedSmall"/>
    <x v="4"/>
    <s v="GNR_ST_STRW_BP_E-21"/>
    <x v="0"/>
    <x v="9"/>
    <n v="39.356224428201102"/>
    <n v="14365.021916293401"/>
    <n v="51714.078898656197"/>
  </r>
  <r>
    <x v="0"/>
    <x v="0"/>
    <x v="0"/>
    <x v="0"/>
    <x v="0"/>
    <s v="DK1_MedSmall"/>
    <x v="4"/>
    <s v="GNR_ST_STRW_BP_E-21"/>
    <x v="0"/>
    <x v="10"/>
    <n v="39.356224428201102"/>
    <n v="14365.021916293401"/>
    <n v="51714.078898656197"/>
  </r>
  <r>
    <x v="0"/>
    <x v="0"/>
    <x v="0"/>
    <x v="0"/>
    <x v="0"/>
    <s v="DK1_MedSmall"/>
    <x v="4"/>
    <s v="GNR_ST_STRW_BP_E-21"/>
    <x v="0"/>
    <x v="11"/>
    <n v="39.356224428201102"/>
    <n v="14365.021916293401"/>
    <n v="51714.078898656197"/>
  </r>
  <r>
    <x v="0"/>
    <x v="0"/>
    <x v="0"/>
    <x v="0"/>
    <x v="0"/>
    <s v="DK1_MedSmall"/>
    <x v="4"/>
    <s v="GNR_ST_STRW_BP_E-21"/>
    <x v="0"/>
    <x v="0"/>
    <n v="39.356224428201102"/>
    <n v="14365.021916293401"/>
    <n v="51714.078898656197"/>
  </r>
  <r>
    <x v="0"/>
    <x v="0"/>
    <x v="0"/>
    <x v="0"/>
    <x v="0"/>
    <s v="DK1_MedSmall"/>
    <x v="4"/>
    <s v="GNR_ST_STRW_BP_E-21"/>
    <x v="0"/>
    <x v="1"/>
    <n v="39.356224428201102"/>
    <n v="14365.021916293401"/>
    <n v="51714.078898656197"/>
  </r>
  <r>
    <x v="0"/>
    <x v="0"/>
    <x v="0"/>
    <x v="0"/>
    <x v="0"/>
    <s v="DK1_MedSmall"/>
    <x v="4"/>
    <s v="GNR_ST_STRW_BP_E-21"/>
    <x v="0"/>
    <x v="2"/>
    <n v="39.356224428201102"/>
    <n v="14365.021916293401"/>
    <n v="51714.078898656197"/>
  </r>
  <r>
    <x v="0"/>
    <x v="0"/>
    <x v="0"/>
    <x v="0"/>
    <x v="0"/>
    <s v="DK1_MedSmall"/>
    <x v="4"/>
    <s v="GNR_ST_STRW_BP_E-21"/>
    <x v="0"/>
    <x v="3"/>
    <n v="39.356224428201102"/>
    <n v="14365.021916293401"/>
    <n v="51714.078898656197"/>
  </r>
  <r>
    <x v="0"/>
    <x v="0"/>
    <x v="0"/>
    <x v="0"/>
    <x v="0"/>
    <s v="DK1_MedSmall"/>
    <x v="4"/>
    <s v="GNR_ST_STRW_BP_E-21"/>
    <x v="0"/>
    <x v="12"/>
    <n v="39.356224428201102"/>
    <n v="14365.021916293401"/>
    <n v="51714.078898656197"/>
  </r>
  <r>
    <x v="0"/>
    <x v="0"/>
    <x v="0"/>
    <x v="0"/>
    <x v="0"/>
    <s v="DK1_MedSmall"/>
    <x v="4"/>
    <s v="GNR_ST_STRW_BP_E-21"/>
    <x v="0"/>
    <x v="13"/>
    <n v="39.356224428201102"/>
    <n v="14365.021916293401"/>
    <n v="51714.078898656197"/>
  </r>
  <r>
    <x v="0"/>
    <x v="0"/>
    <x v="0"/>
    <x v="0"/>
    <x v="0"/>
    <s v="DK1_MedSmall"/>
    <x v="4"/>
    <s v="GNR_ST_STRW_BP_E-21"/>
    <x v="0"/>
    <x v="14"/>
    <n v="39.356224428201102"/>
    <n v="14365.021916293401"/>
    <n v="51714.078898656197"/>
  </r>
  <r>
    <x v="0"/>
    <x v="0"/>
    <x v="0"/>
    <x v="0"/>
    <x v="0"/>
    <s v="DK1_MedSmall"/>
    <x v="4"/>
    <s v="GNR_ST_STRW_BP_E-21"/>
    <x v="0"/>
    <x v="15"/>
    <n v="39.356224428201102"/>
    <n v="14365.021916293401"/>
    <n v="51714.078898656197"/>
  </r>
  <r>
    <x v="0"/>
    <x v="0"/>
    <x v="0"/>
    <x v="0"/>
    <x v="0"/>
    <s v="DK1_MedSmall"/>
    <x v="4"/>
    <s v="GNR_ST_STRW_BP_E-21"/>
    <x v="0"/>
    <x v="4"/>
    <n v="39.356224428201102"/>
    <n v="14365.021916293401"/>
    <n v="51714.078898656197"/>
  </r>
  <r>
    <x v="0"/>
    <x v="0"/>
    <x v="0"/>
    <x v="0"/>
    <x v="0"/>
    <s v="DK1_MedSmall"/>
    <x v="4"/>
    <s v="GNR_ST_STRW_BP_E-21"/>
    <x v="0"/>
    <x v="16"/>
    <n v="39.356224428201102"/>
    <n v="14365.021916293401"/>
    <n v="51714.078898656197"/>
  </r>
  <r>
    <x v="0"/>
    <x v="0"/>
    <x v="0"/>
    <x v="0"/>
    <x v="0"/>
    <s v="DK1_MedSmall"/>
    <x v="4"/>
    <s v="GNR_ST_STRW_BP_E-21"/>
    <x v="0"/>
    <x v="5"/>
    <n v="39.356224428201102"/>
    <n v="14365.021916293401"/>
    <n v="51714.078898656197"/>
  </r>
  <r>
    <x v="0"/>
    <x v="0"/>
    <x v="0"/>
    <x v="0"/>
    <x v="0"/>
    <s v="DK1_MedSmall"/>
    <x v="4"/>
    <s v="GNR_ST_STRW_BP_E-21"/>
    <x v="0"/>
    <x v="17"/>
    <n v="39.356224428201102"/>
    <n v="14365.021916293401"/>
    <n v="51714.078898656197"/>
  </r>
  <r>
    <x v="0"/>
    <x v="0"/>
    <x v="0"/>
    <x v="0"/>
    <x v="0"/>
    <s v="DK1_MedSmall"/>
    <x v="4"/>
    <s v="GNR_ST_STRW_BP_E-21"/>
    <x v="0"/>
    <x v="18"/>
    <n v="39.356224428201102"/>
    <n v="14365.021916293401"/>
    <n v="51714.078898656197"/>
  </r>
  <r>
    <x v="0"/>
    <x v="0"/>
    <x v="0"/>
    <x v="0"/>
    <x v="0"/>
    <s v="DK1_MedSmall"/>
    <x v="4"/>
    <s v="GNR_ST_STRW_BP_E-21"/>
    <x v="0"/>
    <x v="19"/>
    <n v="39.356224428201102"/>
    <n v="14365.021916293401"/>
    <n v="51714.078898656197"/>
  </r>
  <r>
    <x v="0"/>
    <x v="0"/>
    <x v="0"/>
    <x v="0"/>
    <x v="0"/>
    <s v="DK1_MedSmall"/>
    <x v="4"/>
    <s v="GNR_ST_STRW_BP_E-21"/>
    <x v="0"/>
    <x v="20"/>
    <n v="39.356224428201102"/>
    <n v="14365.021916293401"/>
    <n v="51714.078898656197"/>
  </r>
  <r>
    <x v="0"/>
    <x v="0"/>
    <x v="0"/>
    <x v="0"/>
    <x v="0"/>
    <s v="DK1_MedSmall"/>
    <x v="4"/>
    <s v="GNR_ST_STRW_BP_E-21"/>
    <x v="0"/>
    <x v="21"/>
    <n v="39.356224428201102"/>
    <n v="14365.021916293401"/>
    <n v="51714.078898656197"/>
  </r>
  <r>
    <x v="0"/>
    <x v="0"/>
    <x v="0"/>
    <x v="0"/>
    <x v="0"/>
    <s v="DK1_MedSmall"/>
    <x v="4"/>
    <s v="GNR_ST_STRW_BP_E-21"/>
    <x v="0"/>
    <x v="22"/>
    <n v="39.356224428201102"/>
    <n v="14365.021916293401"/>
    <n v="51714.078898656197"/>
  </r>
  <r>
    <x v="0"/>
    <x v="0"/>
    <x v="0"/>
    <x v="0"/>
    <x v="0"/>
    <s v="DK1_MedSmall"/>
    <x v="4"/>
    <s v="GNR_ST_STRW_BP_E-21"/>
    <x v="0"/>
    <x v="23"/>
    <n v="39.356224428201102"/>
    <n v="14365.021916293401"/>
    <n v="51714.078898656197"/>
  </r>
  <r>
    <x v="0"/>
    <x v="0"/>
    <x v="0"/>
    <x v="0"/>
    <x v="0"/>
    <s v="DK1_MedSmall"/>
    <x v="5"/>
    <s v="GNR_EH_HEAT"/>
    <x v="0"/>
    <x v="6"/>
    <n v="12.5"/>
    <n v="4562.5"/>
    <n v="16425"/>
  </r>
  <r>
    <x v="0"/>
    <x v="0"/>
    <x v="0"/>
    <x v="0"/>
    <x v="0"/>
    <s v="DK1_MedSmall"/>
    <x v="5"/>
    <s v="GNR_EH_HEAT"/>
    <x v="0"/>
    <x v="7"/>
    <n v="12.5"/>
    <n v="4562.5"/>
    <n v="16425"/>
  </r>
  <r>
    <x v="0"/>
    <x v="0"/>
    <x v="0"/>
    <x v="0"/>
    <x v="0"/>
    <s v="DK1_MedSmall"/>
    <x v="5"/>
    <s v="GNR_EH_HEAT"/>
    <x v="0"/>
    <x v="8"/>
    <n v="12.5"/>
    <n v="4562.5"/>
    <n v="16425"/>
  </r>
  <r>
    <x v="0"/>
    <x v="0"/>
    <x v="0"/>
    <x v="0"/>
    <x v="0"/>
    <s v="DK1_MedSmall"/>
    <x v="5"/>
    <s v="GNR_EH_HEAT"/>
    <x v="0"/>
    <x v="9"/>
    <n v="12.5"/>
    <n v="4562.5"/>
    <n v="16425"/>
  </r>
  <r>
    <x v="0"/>
    <x v="0"/>
    <x v="0"/>
    <x v="0"/>
    <x v="0"/>
    <s v="DK1_MedSmall"/>
    <x v="5"/>
    <s v="GNR_EH_HEAT"/>
    <x v="0"/>
    <x v="10"/>
    <n v="12.5"/>
    <n v="4562.5"/>
    <n v="16425"/>
  </r>
  <r>
    <x v="0"/>
    <x v="0"/>
    <x v="0"/>
    <x v="0"/>
    <x v="0"/>
    <s v="DK1_MedSmall"/>
    <x v="5"/>
    <s v="GNR_EH_HEAT"/>
    <x v="0"/>
    <x v="11"/>
    <n v="12.5"/>
    <n v="4562.5"/>
    <n v="16425"/>
  </r>
  <r>
    <x v="0"/>
    <x v="0"/>
    <x v="0"/>
    <x v="0"/>
    <x v="0"/>
    <s v="DK1_MedSmall"/>
    <x v="5"/>
    <s v="GNR_EH_HEAT"/>
    <x v="0"/>
    <x v="0"/>
    <n v="12.5"/>
    <n v="4562.5"/>
    <n v="16425"/>
  </r>
  <r>
    <x v="0"/>
    <x v="0"/>
    <x v="0"/>
    <x v="0"/>
    <x v="0"/>
    <s v="DK1_MedSmall"/>
    <x v="5"/>
    <s v="GNR_EH_HEAT"/>
    <x v="0"/>
    <x v="1"/>
    <n v="12.5"/>
    <n v="4562.5"/>
    <n v="16425"/>
  </r>
  <r>
    <x v="0"/>
    <x v="0"/>
    <x v="0"/>
    <x v="0"/>
    <x v="0"/>
    <s v="DK1_MedSmall"/>
    <x v="5"/>
    <s v="GNR_EH_HEAT"/>
    <x v="0"/>
    <x v="2"/>
    <n v="12.5"/>
    <n v="4562.5"/>
    <n v="16425"/>
  </r>
  <r>
    <x v="0"/>
    <x v="0"/>
    <x v="0"/>
    <x v="0"/>
    <x v="0"/>
    <s v="DK1_MedSmall"/>
    <x v="5"/>
    <s v="GNR_EH_HEAT"/>
    <x v="0"/>
    <x v="3"/>
    <n v="12.5"/>
    <n v="4562.5"/>
    <n v="16425"/>
  </r>
  <r>
    <x v="0"/>
    <x v="0"/>
    <x v="0"/>
    <x v="0"/>
    <x v="0"/>
    <s v="DK1_MedSmall"/>
    <x v="5"/>
    <s v="GNR_EH_HEAT"/>
    <x v="0"/>
    <x v="12"/>
    <n v="12.5"/>
    <n v="4562.5"/>
    <n v="16425"/>
  </r>
  <r>
    <x v="0"/>
    <x v="0"/>
    <x v="0"/>
    <x v="0"/>
    <x v="0"/>
    <s v="DK1_MedSmall"/>
    <x v="5"/>
    <s v="GNR_EH_HEAT"/>
    <x v="0"/>
    <x v="13"/>
    <n v="12.5"/>
    <n v="4562.5"/>
    <n v="16425"/>
  </r>
  <r>
    <x v="0"/>
    <x v="0"/>
    <x v="0"/>
    <x v="0"/>
    <x v="0"/>
    <s v="DK1_MedSmall"/>
    <x v="5"/>
    <s v="GNR_EH_HEAT"/>
    <x v="0"/>
    <x v="14"/>
    <n v="12.5"/>
    <n v="4562.5"/>
    <n v="16425"/>
  </r>
  <r>
    <x v="0"/>
    <x v="0"/>
    <x v="0"/>
    <x v="0"/>
    <x v="0"/>
    <s v="DK1_MedSmall"/>
    <x v="5"/>
    <s v="GNR_EH_HEAT"/>
    <x v="0"/>
    <x v="15"/>
    <n v="12.5"/>
    <n v="4562.5"/>
    <n v="16425"/>
  </r>
  <r>
    <x v="0"/>
    <x v="0"/>
    <x v="0"/>
    <x v="0"/>
    <x v="0"/>
    <s v="DK1_MedSmall"/>
    <x v="5"/>
    <s v="GNR_EH_HEAT"/>
    <x v="0"/>
    <x v="4"/>
    <n v="12.5"/>
    <n v="4562.5"/>
    <n v="16425"/>
  </r>
  <r>
    <x v="0"/>
    <x v="0"/>
    <x v="0"/>
    <x v="0"/>
    <x v="0"/>
    <s v="DK1_MedSmall"/>
    <x v="5"/>
    <s v="GNR_EH_HEAT"/>
    <x v="0"/>
    <x v="16"/>
    <n v="12.5"/>
    <n v="4562.5"/>
    <n v="16425"/>
  </r>
  <r>
    <x v="0"/>
    <x v="0"/>
    <x v="0"/>
    <x v="0"/>
    <x v="0"/>
    <s v="DK1_MedSmall"/>
    <x v="5"/>
    <s v="GNR_EH_HEAT"/>
    <x v="0"/>
    <x v="5"/>
    <n v="12.5"/>
    <n v="4562.5"/>
    <n v="16425"/>
  </r>
  <r>
    <x v="0"/>
    <x v="0"/>
    <x v="0"/>
    <x v="0"/>
    <x v="0"/>
    <s v="DK1_MedSmall"/>
    <x v="5"/>
    <s v="GNR_EH_HEAT"/>
    <x v="0"/>
    <x v="17"/>
    <n v="12.5"/>
    <n v="4562.5"/>
    <n v="16425"/>
  </r>
  <r>
    <x v="0"/>
    <x v="0"/>
    <x v="0"/>
    <x v="0"/>
    <x v="0"/>
    <s v="DK1_MedSmall"/>
    <x v="5"/>
    <s v="GNR_EH_HEAT"/>
    <x v="0"/>
    <x v="18"/>
    <n v="12.5"/>
    <n v="4562.5"/>
    <n v="16425"/>
  </r>
  <r>
    <x v="0"/>
    <x v="0"/>
    <x v="0"/>
    <x v="0"/>
    <x v="0"/>
    <s v="DK1_MedSmall"/>
    <x v="5"/>
    <s v="GNR_EH_HEAT"/>
    <x v="0"/>
    <x v="19"/>
    <n v="12.5"/>
    <n v="4562.5"/>
    <n v="16425"/>
  </r>
  <r>
    <x v="0"/>
    <x v="0"/>
    <x v="0"/>
    <x v="0"/>
    <x v="0"/>
    <s v="DK1_MedSmall"/>
    <x v="5"/>
    <s v="GNR_EH_HEAT"/>
    <x v="0"/>
    <x v="20"/>
    <n v="12.5"/>
    <n v="4562.5"/>
    <n v="16425"/>
  </r>
  <r>
    <x v="0"/>
    <x v="0"/>
    <x v="0"/>
    <x v="0"/>
    <x v="0"/>
    <s v="DK1_MedSmall"/>
    <x v="5"/>
    <s v="GNR_EH_HEAT"/>
    <x v="0"/>
    <x v="21"/>
    <n v="12.5"/>
    <n v="4562.5"/>
    <n v="16425"/>
  </r>
  <r>
    <x v="0"/>
    <x v="0"/>
    <x v="0"/>
    <x v="0"/>
    <x v="0"/>
    <s v="DK1_MedSmall"/>
    <x v="5"/>
    <s v="GNR_EH_HEAT"/>
    <x v="0"/>
    <x v="22"/>
    <n v="12.5"/>
    <n v="4562.5"/>
    <n v="16425"/>
  </r>
  <r>
    <x v="0"/>
    <x v="0"/>
    <x v="0"/>
    <x v="0"/>
    <x v="0"/>
    <s v="DK1_MedSmall"/>
    <x v="5"/>
    <s v="GNR_EH_HEAT"/>
    <x v="0"/>
    <x v="23"/>
    <n v="12.5"/>
    <n v="4562.5"/>
    <n v="16425"/>
  </r>
  <r>
    <x v="0"/>
    <x v="0"/>
    <x v="0"/>
    <x v="0"/>
    <x v="0"/>
    <s v="DK1_MedSmall"/>
    <x v="5"/>
    <s v="GNR_GEO_HEAT_HO"/>
    <x v="0"/>
    <x v="6"/>
    <n v="8.3000000000000007"/>
    <n v="3029.5"/>
    <n v="10906.2"/>
  </r>
  <r>
    <x v="0"/>
    <x v="0"/>
    <x v="0"/>
    <x v="0"/>
    <x v="0"/>
    <s v="DK1_MedSmall"/>
    <x v="5"/>
    <s v="GNR_GEO_HEAT_HO"/>
    <x v="0"/>
    <x v="7"/>
    <n v="8.3000000000000007"/>
    <n v="3029.5"/>
    <n v="10906.2"/>
  </r>
  <r>
    <x v="0"/>
    <x v="0"/>
    <x v="0"/>
    <x v="0"/>
    <x v="0"/>
    <s v="DK1_MedSmall"/>
    <x v="5"/>
    <s v="GNR_GEO_HEAT_HO"/>
    <x v="0"/>
    <x v="8"/>
    <n v="8.3000000000000007"/>
    <n v="3029.5"/>
    <n v="10906.2"/>
  </r>
  <r>
    <x v="0"/>
    <x v="0"/>
    <x v="0"/>
    <x v="0"/>
    <x v="0"/>
    <s v="DK1_MedSmall"/>
    <x v="5"/>
    <s v="GNR_GEO_HEAT_HO"/>
    <x v="0"/>
    <x v="9"/>
    <n v="8.3000000000000007"/>
    <n v="3029.5"/>
    <n v="10906.2"/>
  </r>
  <r>
    <x v="0"/>
    <x v="0"/>
    <x v="0"/>
    <x v="0"/>
    <x v="0"/>
    <s v="DK1_MedSmall"/>
    <x v="5"/>
    <s v="GNR_GEO_HEAT_HO"/>
    <x v="0"/>
    <x v="10"/>
    <n v="8.3000000000000007"/>
    <n v="3029.5"/>
    <n v="10906.2"/>
  </r>
  <r>
    <x v="0"/>
    <x v="0"/>
    <x v="0"/>
    <x v="0"/>
    <x v="0"/>
    <s v="DK1_MedSmall"/>
    <x v="5"/>
    <s v="GNR_GEO_HEAT_HO"/>
    <x v="0"/>
    <x v="11"/>
    <n v="8.3000000000000007"/>
    <n v="3029.5"/>
    <n v="10906.2"/>
  </r>
  <r>
    <x v="0"/>
    <x v="0"/>
    <x v="0"/>
    <x v="0"/>
    <x v="0"/>
    <s v="DK1_MedSmall"/>
    <x v="5"/>
    <s v="GNR_GEO_HEAT_HO"/>
    <x v="0"/>
    <x v="0"/>
    <n v="8.3000000000000007"/>
    <n v="3029.5"/>
    <n v="10906.2"/>
  </r>
  <r>
    <x v="0"/>
    <x v="0"/>
    <x v="0"/>
    <x v="0"/>
    <x v="0"/>
    <s v="DK1_MedSmall"/>
    <x v="5"/>
    <s v="GNR_GEO_HEAT_HO"/>
    <x v="0"/>
    <x v="1"/>
    <n v="8.3000000000000007"/>
    <n v="3029.5"/>
    <n v="10906.2"/>
  </r>
  <r>
    <x v="0"/>
    <x v="0"/>
    <x v="0"/>
    <x v="0"/>
    <x v="0"/>
    <s v="DK1_MedSmall"/>
    <x v="5"/>
    <s v="GNR_GEO_HEAT_HO"/>
    <x v="0"/>
    <x v="2"/>
    <n v="8.3000000000000007"/>
    <n v="3029.5"/>
    <n v="10906.2"/>
  </r>
  <r>
    <x v="0"/>
    <x v="0"/>
    <x v="0"/>
    <x v="0"/>
    <x v="0"/>
    <s v="DK1_MedSmall"/>
    <x v="5"/>
    <s v="GNR_GEO_HEAT_HO"/>
    <x v="0"/>
    <x v="3"/>
    <n v="8.3000000000000007"/>
    <n v="3029.5"/>
    <n v="10906.2"/>
  </r>
  <r>
    <x v="0"/>
    <x v="0"/>
    <x v="0"/>
    <x v="0"/>
    <x v="0"/>
    <s v="DK1_MedSmall"/>
    <x v="5"/>
    <s v="GNR_GEO_HEAT_HO"/>
    <x v="0"/>
    <x v="12"/>
    <n v="8.3000000000000007"/>
    <n v="3029.5"/>
    <n v="10906.2"/>
  </r>
  <r>
    <x v="0"/>
    <x v="0"/>
    <x v="0"/>
    <x v="0"/>
    <x v="0"/>
    <s v="DK1_MedSmall"/>
    <x v="5"/>
    <s v="GNR_GEO_HEAT_HO"/>
    <x v="0"/>
    <x v="13"/>
    <n v="8.3000000000000007"/>
    <n v="3029.5"/>
    <n v="10906.2"/>
  </r>
  <r>
    <x v="0"/>
    <x v="0"/>
    <x v="0"/>
    <x v="0"/>
    <x v="0"/>
    <s v="DK1_MedSmall"/>
    <x v="5"/>
    <s v="GNR_GEO_HEAT_HO"/>
    <x v="0"/>
    <x v="14"/>
    <n v="8.3000000000000007"/>
    <n v="3029.5"/>
    <n v="10906.2"/>
  </r>
  <r>
    <x v="0"/>
    <x v="0"/>
    <x v="0"/>
    <x v="0"/>
    <x v="0"/>
    <s v="DK1_MedSmall"/>
    <x v="5"/>
    <s v="GNR_GEO_HEAT_HO"/>
    <x v="0"/>
    <x v="15"/>
    <n v="8.3000000000000007"/>
    <n v="3029.5"/>
    <n v="10906.2"/>
  </r>
  <r>
    <x v="0"/>
    <x v="0"/>
    <x v="0"/>
    <x v="0"/>
    <x v="0"/>
    <s v="DK1_MedSmall"/>
    <x v="5"/>
    <s v="GNR_GEO_HEAT_HO"/>
    <x v="0"/>
    <x v="4"/>
    <n v="8.3000000000000007"/>
    <n v="3029.5"/>
    <n v="10906.2"/>
  </r>
  <r>
    <x v="0"/>
    <x v="0"/>
    <x v="0"/>
    <x v="0"/>
    <x v="0"/>
    <s v="DK1_MedSmall"/>
    <x v="5"/>
    <s v="GNR_GEO_HEAT_HO"/>
    <x v="0"/>
    <x v="16"/>
    <n v="8.3000000000000007"/>
    <n v="3029.5"/>
    <n v="10906.2"/>
  </r>
  <r>
    <x v="0"/>
    <x v="0"/>
    <x v="0"/>
    <x v="0"/>
    <x v="0"/>
    <s v="DK1_MedSmall"/>
    <x v="5"/>
    <s v="GNR_GEO_HEAT_HO"/>
    <x v="0"/>
    <x v="5"/>
    <n v="8.3000000000000007"/>
    <n v="3029.5"/>
    <n v="10906.2"/>
  </r>
  <r>
    <x v="0"/>
    <x v="0"/>
    <x v="0"/>
    <x v="0"/>
    <x v="0"/>
    <s v="DK1_MedSmall"/>
    <x v="5"/>
    <s v="GNR_GEO_HEAT_HO"/>
    <x v="0"/>
    <x v="17"/>
    <n v="8.3000000000000007"/>
    <n v="3029.5"/>
    <n v="10906.2"/>
  </r>
  <r>
    <x v="0"/>
    <x v="0"/>
    <x v="0"/>
    <x v="0"/>
    <x v="0"/>
    <s v="DK1_MedSmall"/>
    <x v="5"/>
    <s v="GNR_GEO_HEAT_HO"/>
    <x v="0"/>
    <x v="18"/>
    <n v="8.3000000000000007"/>
    <n v="3029.5"/>
    <n v="10906.2"/>
  </r>
  <r>
    <x v="0"/>
    <x v="0"/>
    <x v="0"/>
    <x v="0"/>
    <x v="0"/>
    <s v="DK1_MedSmall"/>
    <x v="5"/>
    <s v="GNR_GEO_HEAT_HO"/>
    <x v="0"/>
    <x v="19"/>
    <n v="8.3000000000000007"/>
    <n v="3029.5"/>
    <n v="10906.2"/>
  </r>
  <r>
    <x v="0"/>
    <x v="0"/>
    <x v="0"/>
    <x v="0"/>
    <x v="0"/>
    <s v="DK1_MedSmall"/>
    <x v="5"/>
    <s v="GNR_GEO_HEAT_HO"/>
    <x v="0"/>
    <x v="20"/>
    <n v="8.3000000000000007"/>
    <n v="3029.5"/>
    <n v="10906.2"/>
  </r>
  <r>
    <x v="0"/>
    <x v="0"/>
    <x v="0"/>
    <x v="0"/>
    <x v="0"/>
    <s v="DK1_MedSmall"/>
    <x v="5"/>
    <s v="GNR_GEO_HEAT_HO"/>
    <x v="0"/>
    <x v="21"/>
    <n v="8.3000000000000007"/>
    <n v="3029.5"/>
    <n v="10906.2"/>
  </r>
  <r>
    <x v="0"/>
    <x v="0"/>
    <x v="0"/>
    <x v="0"/>
    <x v="0"/>
    <s v="DK1_MedSmall"/>
    <x v="5"/>
    <s v="GNR_GEO_HEAT_HO"/>
    <x v="0"/>
    <x v="22"/>
    <n v="8.3000000000000007"/>
    <n v="3029.5"/>
    <n v="10906.2"/>
  </r>
  <r>
    <x v="0"/>
    <x v="0"/>
    <x v="0"/>
    <x v="0"/>
    <x v="0"/>
    <s v="DK1_MedSmall"/>
    <x v="5"/>
    <s v="GNR_GEO_HEAT_HO"/>
    <x v="0"/>
    <x v="23"/>
    <n v="8.3000000000000007"/>
    <n v="3029.5"/>
    <n v="10906.2"/>
  </r>
  <r>
    <x v="0"/>
    <x v="0"/>
    <x v="0"/>
    <x v="0"/>
    <x v="0"/>
    <s v="DK1_MedSmall"/>
    <x v="6"/>
    <s v="GNR_BO_WOODCHI_E-110"/>
    <x v="0"/>
    <x v="12"/>
    <n v="10.3381984040389"/>
    <n v="3773.4424174741998"/>
    <n v="13584.3927029071"/>
  </r>
  <r>
    <x v="0"/>
    <x v="0"/>
    <x v="0"/>
    <x v="0"/>
    <x v="0"/>
    <s v="DK1_Medium"/>
    <x v="1"/>
    <s v="GNR_HS_HEAT-E-100"/>
    <x v="0"/>
    <x v="11"/>
    <n v="37.1770576005447"/>
    <n v="13569.6260241988"/>
    <n v="48850.6536871157"/>
  </r>
  <r>
    <x v="0"/>
    <x v="0"/>
    <x v="0"/>
    <x v="0"/>
    <x v="0"/>
    <s v="DK1_Medium"/>
    <x v="1"/>
    <s v="GNR_HS_HEAT-E-100"/>
    <x v="0"/>
    <x v="14"/>
    <n v="226.68167860030999"/>
    <n v="82738.812689113198"/>
    <n v="297859.72568080702"/>
  </r>
  <r>
    <x v="0"/>
    <x v="0"/>
    <x v="0"/>
    <x v="0"/>
    <x v="0"/>
    <s v="DK1_Medium"/>
    <x v="1"/>
    <s v="GNR_HS_HEAT-E-100"/>
    <x v="0"/>
    <x v="15"/>
    <n v="212.68812077799601"/>
    <n v="77631.164083968397"/>
    <n v="279472.19070228603"/>
  </r>
  <r>
    <x v="0"/>
    <x v="0"/>
    <x v="0"/>
    <x v="0"/>
    <x v="0"/>
    <s v="DK1_Medium"/>
    <x v="1"/>
    <s v="GNR_HS_HEAT-E-100"/>
    <x v="0"/>
    <x v="19"/>
    <n v="224.937987969592"/>
    <n v="82102.365608901106"/>
    <n v="295568.51619204402"/>
  </r>
  <r>
    <x v="0"/>
    <x v="0"/>
    <x v="0"/>
    <x v="0"/>
    <x v="0"/>
    <s v="DK1_Medium"/>
    <x v="1"/>
    <s v="GNR_HS_HEAT-E-100"/>
    <x v="0"/>
    <x v="20"/>
    <n v="203.30087942653699"/>
    <n v="74204.820990685897"/>
    <n v="267137.35556646902"/>
  </r>
  <r>
    <x v="0"/>
    <x v="0"/>
    <x v="0"/>
    <x v="0"/>
    <x v="0"/>
    <s v="DK1_Medium"/>
    <x v="1"/>
    <s v="GNR_HS_HEAT-E-100"/>
    <x v="0"/>
    <x v="21"/>
    <n v="99.330357856009996"/>
    <n v="36255.580617443702"/>
    <n v="130520.09022279699"/>
  </r>
  <r>
    <x v="0"/>
    <x v="0"/>
    <x v="0"/>
    <x v="0"/>
    <x v="0"/>
    <s v="DK1_Medium"/>
    <x v="1"/>
    <s v="GNR_HS_HEAT-E-100"/>
    <x v="0"/>
    <x v="22"/>
    <n v="70.106211252402503"/>
    <n v="25588.7671071269"/>
    <n v="92119.561585656906"/>
  </r>
  <r>
    <x v="0"/>
    <x v="0"/>
    <x v="0"/>
    <x v="0"/>
    <x v="0"/>
    <s v="DK1_Medium"/>
    <x v="1"/>
    <s v="GNR_HS_HEAT-E-100"/>
    <x v="0"/>
    <x v="23"/>
    <n v="54.442903041525902"/>
    <n v="19871.659610156999"/>
    <n v="71537.974596565007"/>
  </r>
  <r>
    <x v="0"/>
    <x v="0"/>
    <x v="0"/>
    <x v="0"/>
    <x v="0"/>
    <s v="DK1_Medium"/>
    <x v="1"/>
    <s v="GNR_HS_HEAT_WTR-TANK_LS_E-95_Y-2010"/>
    <x v="0"/>
    <x v="3"/>
    <n v="100.582652377735"/>
    <n v="36712.668117873101"/>
    <n v="132165.60522434299"/>
  </r>
  <r>
    <x v="0"/>
    <x v="0"/>
    <x v="0"/>
    <x v="0"/>
    <x v="0"/>
    <s v="DK1_Medium"/>
    <x v="1"/>
    <s v="GNR_HS_HEAT_WTR-TANK_LS_E-95_Y-2010"/>
    <x v="0"/>
    <x v="12"/>
    <n v="256.052841535173"/>
    <n v="93459.287160338296"/>
    <n v="336453.43377721799"/>
  </r>
  <r>
    <x v="0"/>
    <x v="0"/>
    <x v="0"/>
    <x v="0"/>
    <x v="0"/>
    <s v="DK1_Medium"/>
    <x v="2"/>
    <s v="GNR_ST_MSW_BP_E-22"/>
    <x v="0"/>
    <x v="0"/>
    <n v="17.687236530963201"/>
    <n v="6455.8413338015598"/>
    <n v="23241.028801685599"/>
  </r>
  <r>
    <x v="0"/>
    <x v="0"/>
    <x v="0"/>
    <x v="0"/>
    <x v="0"/>
    <s v="DK1_Medium"/>
    <x v="2"/>
    <s v="GNR_ST_MSW_BP_E-22"/>
    <x v="0"/>
    <x v="1"/>
    <n v="91.028604449631999"/>
    <n v="33225.440624115698"/>
    <n v="119611.586246816"/>
  </r>
  <r>
    <x v="0"/>
    <x v="0"/>
    <x v="0"/>
    <x v="0"/>
    <x v="0"/>
    <s v="DK1_Medium"/>
    <x v="2"/>
    <s v="GNR_ST_MSW_BP_E-22"/>
    <x v="0"/>
    <x v="2"/>
    <n v="101.987659425985"/>
    <n v="37225.495690484502"/>
    <n v="134011.78448574399"/>
  </r>
  <r>
    <x v="0"/>
    <x v="0"/>
    <x v="0"/>
    <x v="0"/>
    <x v="0"/>
    <s v="DK1_Medium"/>
    <x v="3"/>
    <s v="GNR_ENG_NGAS_BP_E-34"/>
    <x v="0"/>
    <x v="0"/>
    <n v="0.73333333333333295"/>
    <n v="267.66666666666703"/>
    <n v="963.6"/>
  </r>
  <r>
    <x v="0"/>
    <x v="0"/>
    <x v="0"/>
    <x v="0"/>
    <x v="0"/>
    <s v="DK1_Medium"/>
    <x v="3"/>
    <s v="GNR_ENG_NGAS_BP_E-34"/>
    <x v="0"/>
    <x v="1"/>
    <n v="0.73333333333333295"/>
    <n v="267.66666666666703"/>
    <n v="963.6"/>
  </r>
  <r>
    <x v="0"/>
    <x v="0"/>
    <x v="0"/>
    <x v="0"/>
    <x v="0"/>
    <s v="DK1_Medium"/>
    <x v="3"/>
    <s v="GNR_ENG_NGAS_BP_E-34"/>
    <x v="0"/>
    <x v="2"/>
    <n v="0.73333333333333295"/>
    <n v="267.66666666666703"/>
    <n v="963.6"/>
  </r>
  <r>
    <x v="0"/>
    <x v="0"/>
    <x v="0"/>
    <x v="0"/>
    <x v="0"/>
    <s v="DK1_Medium"/>
    <x v="3"/>
    <s v="GNR_ENG_NGAS_BP_E-34"/>
    <x v="0"/>
    <x v="3"/>
    <n v="0.73333333333333295"/>
    <n v="267.66666666666703"/>
    <n v="963.6"/>
  </r>
  <r>
    <x v="0"/>
    <x v="0"/>
    <x v="0"/>
    <x v="0"/>
    <x v="0"/>
    <s v="DK1_Medium"/>
    <x v="3"/>
    <s v="GNR_ENG_NGAS_BP_E-34"/>
    <x v="0"/>
    <x v="12"/>
    <n v="0.73333333333333295"/>
    <n v="267.66666666666703"/>
    <n v="963.6"/>
  </r>
  <r>
    <x v="0"/>
    <x v="0"/>
    <x v="0"/>
    <x v="0"/>
    <x v="0"/>
    <s v="DK1_Medium"/>
    <x v="3"/>
    <s v="GNR_ENG_NGAS_BP_E-34"/>
    <x v="0"/>
    <x v="13"/>
    <n v="0.73333333333333295"/>
    <n v="267.66666666666703"/>
    <n v="963.6"/>
  </r>
  <r>
    <x v="0"/>
    <x v="0"/>
    <x v="0"/>
    <x v="0"/>
    <x v="0"/>
    <s v="DK1_Medium"/>
    <x v="3"/>
    <s v="GNR_ENG_NGAS_BP_E-34"/>
    <x v="0"/>
    <x v="14"/>
    <n v="0.73333333333333295"/>
    <n v="267.66666666666703"/>
    <n v="963.6"/>
  </r>
  <r>
    <x v="0"/>
    <x v="0"/>
    <x v="0"/>
    <x v="0"/>
    <x v="0"/>
    <s v="DK1_Medium"/>
    <x v="3"/>
    <s v="GNR_ENG_NGAS_BP_E-34"/>
    <x v="0"/>
    <x v="15"/>
    <n v="0.73333333333333295"/>
    <n v="267.66666666666703"/>
    <n v="963.6"/>
  </r>
  <r>
    <x v="0"/>
    <x v="0"/>
    <x v="0"/>
    <x v="0"/>
    <x v="0"/>
    <s v="DK1_Medium"/>
    <x v="3"/>
    <s v="GNR_ENG_NGAS_BP_E-34"/>
    <x v="0"/>
    <x v="4"/>
    <n v="0.73333333333333295"/>
    <n v="267.66666666666703"/>
    <n v="963.6"/>
  </r>
  <r>
    <x v="0"/>
    <x v="0"/>
    <x v="0"/>
    <x v="0"/>
    <x v="0"/>
    <s v="DK1_Medium"/>
    <x v="3"/>
    <s v="GNR_ENG_NGAS_BP_E-34"/>
    <x v="0"/>
    <x v="16"/>
    <n v="0.73333333333333295"/>
    <n v="267.66666666666703"/>
    <n v="963.6"/>
  </r>
  <r>
    <x v="0"/>
    <x v="0"/>
    <x v="0"/>
    <x v="0"/>
    <x v="0"/>
    <s v="DK1_Medium"/>
    <x v="3"/>
    <s v="GNR_ENG_NGAS_BP_E-34"/>
    <x v="0"/>
    <x v="5"/>
    <n v="0.73333333333333295"/>
    <n v="267.66666666666703"/>
    <n v="963.6"/>
  </r>
  <r>
    <x v="0"/>
    <x v="0"/>
    <x v="0"/>
    <x v="0"/>
    <x v="0"/>
    <s v="DK1_Medium"/>
    <x v="3"/>
    <s v="GNR_ENG_NGAS_BP_E-34"/>
    <x v="0"/>
    <x v="17"/>
    <n v="0.73333333333333295"/>
    <n v="267.66666666666703"/>
    <n v="963.6"/>
  </r>
  <r>
    <x v="0"/>
    <x v="0"/>
    <x v="0"/>
    <x v="0"/>
    <x v="0"/>
    <s v="DK1_Medium"/>
    <x v="3"/>
    <s v="GNR_ENG_NGAS_BP_E-34"/>
    <x v="0"/>
    <x v="18"/>
    <n v="0.73333333333333295"/>
    <n v="267.66666666666703"/>
    <n v="963.6"/>
  </r>
  <r>
    <x v="0"/>
    <x v="0"/>
    <x v="0"/>
    <x v="0"/>
    <x v="0"/>
    <s v="DK1_Medium"/>
    <x v="3"/>
    <s v="GNR_ENG_NGAS_BP_E-36"/>
    <x v="0"/>
    <x v="11"/>
    <n v="2.2999999999999998"/>
    <n v="839.5"/>
    <n v="3022.2"/>
  </r>
  <r>
    <x v="0"/>
    <x v="0"/>
    <x v="0"/>
    <x v="0"/>
    <x v="0"/>
    <s v="DK1_Medium"/>
    <x v="3"/>
    <s v="GNR_ENG_NGAS_BP_E-36"/>
    <x v="0"/>
    <x v="0"/>
    <n v="2.2999999999999998"/>
    <n v="839.5"/>
    <n v="3022.2"/>
  </r>
  <r>
    <x v="0"/>
    <x v="0"/>
    <x v="0"/>
    <x v="0"/>
    <x v="0"/>
    <s v="DK1_Medium"/>
    <x v="3"/>
    <s v="GNR_ENG_NGAS_BP_E-36"/>
    <x v="0"/>
    <x v="1"/>
    <n v="2.2999999999999998"/>
    <n v="839.5"/>
    <n v="3022.2"/>
  </r>
  <r>
    <x v="0"/>
    <x v="0"/>
    <x v="0"/>
    <x v="0"/>
    <x v="0"/>
    <s v="DK1_Medium"/>
    <x v="3"/>
    <s v="GNR_ENG_NGAS_BP_E-36"/>
    <x v="0"/>
    <x v="2"/>
    <n v="2.2999999999999998"/>
    <n v="839.5"/>
    <n v="3022.2"/>
  </r>
  <r>
    <x v="0"/>
    <x v="0"/>
    <x v="0"/>
    <x v="0"/>
    <x v="0"/>
    <s v="DK1_Medium"/>
    <x v="3"/>
    <s v="GNR_ENG_NGAS_BP_E-36"/>
    <x v="0"/>
    <x v="3"/>
    <n v="2.2999999999999998"/>
    <n v="839.5"/>
    <n v="3022.2"/>
  </r>
  <r>
    <x v="0"/>
    <x v="0"/>
    <x v="0"/>
    <x v="0"/>
    <x v="0"/>
    <s v="DK1_Medium"/>
    <x v="3"/>
    <s v="GNR_ENG_NGAS_BP_E-36"/>
    <x v="0"/>
    <x v="12"/>
    <n v="2.2999999999999998"/>
    <n v="839.5"/>
    <n v="3022.2"/>
  </r>
  <r>
    <x v="0"/>
    <x v="0"/>
    <x v="0"/>
    <x v="0"/>
    <x v="0"/>
    <s v="DK1_Medium"/>
    <x v="3"/>
    <s v="GNR_ENG_NGAS_BP_E-36"/>
    <x v="0"/>
    <x v="13"/>
    <n v="2.2999999999999998"/>
    <n v="839.5"/>
    <n v="3022.2"/>
  </r>
  <r>
    <x v="0"/>
    <x v="0"/>
    <x v="0"/>
    <x v="0"/>
    <x v="0"/>
    <s v="DK1_Medium"/>
    <x v="3"/>
    <s v="GNR_ENG_NGAS_BP_E-36"/>
    <x v="0"/>
    <x v="14"/>
    <n v="2.2999999999999998"/>
    <n v="839.5"/>
    <n v="3022.2"/>
  </r>
  <r>
    <x v="0"/>
    <x v="0"/>
    <x v="0"/>
    <x v="0"/>
    <x v="0"/>
    <s v="DK1_Medium"/>
    <x v="3"/>
    <s v="GNR_ENG_NGAS_BP_E-36"/>
    <x v="0"/>
    <x v="15"/>
    <n v="2.2999999999999998"/>
    <n v="839.5"/>
    <n v="3022.2"/>
  </r>
  <r>
    <x v="0"/>
    <x v="0"/>
    <x v="0"/>
    <x v="0"/>
    <x v="0"/>
    <s v="DK1_Medium"/>
    <x v="3"/>
    <s v="GNR_ENG_NGAS_BP_E-36"/>
    <x v="0"/>
    <x v="4"/>
    <n v="2.2999999999999998"/>
    <n v="839.5"/>
    <n v="3022.2"/>
  </r>
  <r>
    <x v="0"/>
    <x v="0"/>
    <x v="0"/>
    <x v="0"/>
    <x v="0"/>
    <s v="DK1_Medium"/>
    <x v="3"/>
    <s v="GNR_ENG_NGAS_BP_E-36"/>
    <x v="0"/>
    <x v="16"/>
    <n v="2.2999999999999998"/>
    <n v="839.5"/>
    <n v="3022.2"/>
  </r>
  <r>
    <x v="0"/>
    <x v="0"/>
    <x v="0"/>
    <x v="0"/>
    <x v="0"/>
    <s v="DK1_Medium"/>
    <x v="3"/>
    <s v="GNR_ENG_NGAS_BP_E-36"/>
    <x v="0"/>
    <x v="5"/>
    <n v="2.2999999999999998"/>
    <n v="839.5"/>
    <n v="3022.2"/>
  </r>
  <r>
    <x v="0"/>
    <x v="0"/>
    <x v="0"/>
    <x v="0"/>
    <x v="0"/>
    <s v="DK1_Medium"/>
    <x v="3"/>
    <s v="GNR_ENG_NGAS_BP_E-36"/>
    <x v="0"/>
    <x v="17"/>
    <n v="2.2999999999999998"/>
    <n v="839.5"/>
    <n v="3022.2"/>
  </r>
  <r>
    <x v="0"/>
    <x v="0"/>
    <x v="0"/>
    <x v="0"/>
    <x v="0"/>
    <s v="DK1_Medium"/>
    <x v="3"/>
    <s v="GNR_ENG_NGAS_BP_E-36"/>
    <x v="0"/>
    <x v="18"/>
    <n v="2.2999999999999998"/>
    <n v="839.5"/>
    <n v="3022.2"/>
  </r>
  <r>
    <x v="0"/>
    <x v="0"/>
    <x v="0"/>
    <x v="0"/>
    <x v="0"/>
    <s v="DK1_Medium"/>
    <x v="3"/>
    <s v="GNR_ENG_NGAS_BP_E-40"/>
    <x v="0"/>
    <x v="6"/>
    <n v="1.4777777777777801"/>
    <n v="539.38888888888903"/>
    <n v="1941.8"/>
  </r>
  <r>
    <x v="0"/>
    <x v="0"/>
    <x v="0"/>
    <x v="0"/>
    <x v="0"/>
    <s v="DK1_Medium"/>
    <x v="3"/>
    <s v="GNR_ENG_NGAS_BP_E-40"/>
    <x v="0"/>
    <x v="7"/>
    <n v="1.4777777777777801"/>
    <n v="539.38888888888903"/>
    <n v="1941.8"/>
  </r>
  <r>
    <x v="0"/>
    <x v="0"/>
    <x v="0"/>
    <x v="0"/>
    <x v="0"/>
    <s v="DK1_Medium"/>
    <x v="3"/>
    <s v="GNR_ENG_NGAS_BP_E-40"/>
    <x v="0"/>
    <x v="8"/>
    <n v="1.4777777777777801"/>
    <n v="539.38888888888903"/>
    <n v="1941.8"/>
  </r>
  <r>
    <x v="0"/>
    <x v="0"/>
    <x v="0"/>
    <x v="0"/>
    <x v="0"/>
    <s v="DK1_Medium"/>
    <x v="3"/>
    <s v="GNR_ENG_NGAS_BP_E-40"/>
    <x v="0"/>
    <x v="9"/>
    <n v="1.4777777777777801"/>
    <n v="539.38888888888903"/>
    <n v="1941.8"/>
  </r>
  <r>
    <x v="0"/>
    <x v="0"/>
    <x v="0"/>
    <x v="0"/>
    <x v="0"/>
    <s v="DK1_Medium"/>
    <x v="3"/>
    <s v="GNR_ENG_NGAS_BP_E-40"/>
    <x v="0"/>
    <x v="10"/>
    <n v="1.4777777777777801"/>
    <n v="539.38888888888903"/>
    <n v="1941.8"/>
  </r>
  <r>
    <x v="0"/>
    <x v="0"/>
    <x v="0"/>
    <x v="0"/>
    <x v="0"/>
    <s v="DK1_Medium"/>
    <x v="3"/>
    <s v="GNR_ENG_NGAS_BP_E-40"/>
    <x v="0"/>
    <x v="11"/>
    <n v="1.4777777777777801"/>
    <n v="539.38888888888903"/>
    <n v="1941.8"/>
  </r>
  <r>
    <x v="0"/>
    <x v="0"/>
    <x v="0"/>
    <x v="0"/>
    <x v="0"/>
    <s v="DK1_Medium"/>
    <x v="3"/>
    <s v="GNR_ENG_NGAS_BP_E-40"/>
    <x v="0"/>
    <x v="0"/>
    <n v="1.4777777777777801"/>
    <n v="539.38888888888903"/>
    <n v="1941.8"/>
  </r>
  <r>
    <x v="0"/>
    <x v="0"/>
    <x v="0"/>
    <x v="0"/>
    <x v="0"/>
    <s v="DK1_Medium"/>
    <x v="3"/>
    <s v="GNR_ENG_NGAS_BP_E-40"/>
    <x v="0"/>
    <x v="1"/>
    <n v="1.4777777777777801"/>
    <n v="539.38888888888903"/>
    <n v="1941.8"/>
  </r>
  <r>
    <x v="0"/>
    <x v="0"/>
    <x v="0"/>
    <x v="0"/>
    <x v="0"/>
    <s v="DK1_Medium"/>
    <x v="3"/>
    <s v="GNR_ENG_NGAS_BP_E-40"/>
    <x v="0"/>
    <x v="2"/>
    <n v="1.4777777777777801"/>
    <n v="539.38888888888903"/>
    <n v="1941.8"/>
  </r>
  <r>
    <x v="0"/>
    <x v="0"/>
    <x v="0"/>
    <x v="0"/>
    <x v="0"/>
    <s v="DK1_Medium"/>
    <x v="3"/>
    <s v="GNR_ENG_NGAS_BP_E-40"/>
    <x v="0"/>
    <x v="3"/>
    <n v="1.4777777777777801"/>
    <n v="539.38888888888903"/>
    <n v="1941.8"/>
  </r>
  <r>
    <x v="0"/>
    <x v="0"/>
    <x v="0"/>
    <x v="0"/>
    <x v="0"/>
    <s v="DK1_Medium"/>
    <x v="3"/>
    <s v="GNR_ENG_NGAS_BP_E-40"/>
    <x v="0"/>
    <x v="12"/>
    <n v="1.4777777777777801"/>
    <n v="539.38888888888903"/>
    <n v="1941.8"/>
  </r>
  <r>
    <x v="0"/>
    <x v="0"/>
    <x v="0"/>
    <x v="0"/>
    <x v="0"/>
    <s v="DK1_Medium"/>
    <x v="3"/>
    <s v="GNR_ENG_NGAS_BP_E-40"/>
    <x v="0"/>
    <x v="13"/>
    <n v="1.4777777777777801"/>
    <n v="539.38888888888903"/>
    <n v="1941.8"/>
  </r>
  <r>
    <x v="0"/>
    <x v="0"/>
    <x v="0"/>
    <x v="0"/>
    <x v="0"/>
    <s v="DK1_Medium"/>
    <x v="3"/>
    <s v="GNR_ENG_NGAS_BP_E-40"/>
    <x v="0"/>
    <x v="14"/>
    <n v="1.4777777777777801"/>
    <n v="539.38888888888903"/>
    <n v="1941.8"/>
  </r>
  <r>
    <x v="0"/>
    <x v="0"/>
    <x v="0"/>
    <x v="0"/>
    <x v="0"/>
    <s v="DK1_Medium"/>
    <x v="3"/>
    <s v="GNR_ENG_NGAS_BP_E-40"/>
    <x v="0"/>
    <x v="15"/>
    <n v="1.4777777777777801"/>
    <n v="539.38888888888903"/>
    <n v="1941.8"/>
  </r>
  <r>
    <x v="0"/>
    <x v="0"/>
    <x v="0"/>
    <x v="0"/>
    <x v="0"/>
    <s v="DK1_Medium"/>
    <x v="3"/>
    <s v="GNR_ENG_NGAS_BP_E-40"/>
    <x v="0"/>
    <x v="4"/>
    <n v="1.4777777777777801"/>
    <n v="539.38888888888903"/>
    <n v="1941.8"/>
  </r>
  <r>
    <x v="0"/>
    <x v="0"/>
    <x v="0"/>
    <x v="0"/>
    <x v="0"/>
    <s v="DK1_Medium"/>
    <x v="3"/>
    <s v="GNR_ENG_NGAS_BP_E-40"/>
    <x v="0"/>
    <x v="16"/>
    <n v="1.4777777777777801"/>
    <n v="539.38888888888903"/>
    <n v="1941.8"/>
  </r>
  <r>
    <x v="0"/>
    <x v="0"/>
    <x v="0"/>
    <x v="0"/>
    <x v="0"/>
    <s v="DK1_Medium"/>
    <x v="3"/>
    <s v="GNR_ENG_NGAS_BP_E-40"/>
    <x v="0"/>
    <x v="5"/>
    <n v="1.4777777777777801"/>
    <n v="539.38888888888903"/>
    <n v="1941.8"/>
  </r>
  <r>
    <x v="0"/>
    <x v="0"/>
    <x v="0"/>
    <x v="0"/>
    <x v="0"/>
    <s v="DK1_Medium"/>
    <x v="3"/>
    <s v="GNR_ENG_NGAS_BP_E-40"/>
    <x v="0"/>
    <x v="17"/>
    <n v="1.4777777777777801"/>
    <n v="539.38888888888903"/>
    <n v="1941.8"/>
  </r>
  <r>
    <x v="0"/>
    <x v="0"/>
    <x v="0"/>
    <x v="0"/>
    <x v="0"/>
    <s v="DK1_Medium"/>
    <x v="3"/>
    <s v="GNR_ENG_NGAS_BP_E-40"/>
    <x v="0"/>
    <x v="18"/>
    <n v="1.4777777777777801"/>
    <n v="539.38888888888903"/>
    <n v="1941.8"/>
  </r>
  <r>
    <x v="0"/>
    <x v="0"/>
    <x v="0"/>
    <x v="0"/>
    <x v="0"/>
    <s v="DK1_Medium"/>
    <x v="3"/>
    <s v="GNR_ENG_NGAS_BP_E-40"/>
    <x v="0"/>
    <x v="19"/>
    <n v="1.4777777777777801"/>
    <n v="539.38888888888903"/>
    <n v="1941.8"/>
  </r>
  <r>
    <x v="0"/>
    <x v="0"/>
    <x v="0"/>
    <x v="0"/>
    <x v="0"/>
    <s v="DK1_Medium"/>
    <x v="3"/>
    <s v="GNR_ENG_NGAS_BP_E-40"/>
    <x v="0"/>
    <x v="20"/>
    <n v="1.4777777777777801"/>
    <n v="539.38888888888903"/>
    <n v="1941.8"/>
  </r>
  <r>
    <x v="0"/>
    <x v="0"/>
    <x v="0"/>
    <x v="0"/>
    <x v="0"/>
    <s v="DK1_Medium"/>
    <x v="3"/>
    <s v="GNR_ENG_NGAS_BP_E-40"/>
    <x v="0"/>
    <x v="21"/>
    <n v="1.4777777777777801"/>
    <n v="539.38888888888903"/>
    <n v="1941.8"/>
  </r>
  <r>
    <x v="0"/>
    <x v="0"/>
    <x v="0"/>
    <x v="0"/>
    <x v="0"/>
    <s v="DK1_Medium"/>
    <x v="3"/>
    <s v="GNR_ENG_NGAS_BP_E-40"/>
    <x v="0"/>
    <x v="22"/>
    <n v="1.4777777777777801"/>
    <n v="539.38888888888903"/>
    <n v="1941.8"/>
  </r>
  <r>
    <x v="0"/>
    <x v="0"/>
    <x v="0"/>
    <x v="0"/>
    <x v="0"/>
    <s v="DK1_Medium"/>
    <x v="3"/>
    <s v="GNR_ENG_NGAS_BP_E-41"/>
    <x v="0"/>
    <x v="6"/>
    <n v="4.7777777777777803"/>
    <n v="1743.8888888888901"/>
    <n v="6278"/>
  </r>
  <r>
    <x v="0"/>
    <x v="0"/>
    <x v="0"/>
    <x v="0"/>
    <x v="0"/>
    <s v="DK1_Medium"/>
    <x v="3"/>
    <s v="GNR_ENG_NGAS_BP_E-41"/>
    <x v="0"/>
    <x v="7"/>
    <n v="4.7777777777777803"/>
    <n v="1743.8888888888901"/>
    <n v="6278"/>
  </r>
  <r>
    <x v="0"/>
    <x v="0"/>
    <x v="0"/>
    <x v="0"/>
    <x v="0"/>
    <s v="DK1_Medium"/>
    <x v="3"/>
    <s v="GNR_ENG_NGAS_BP_E-41"/>
    <x v="0"/>
    <x v="8"/>
    <n v="4.7777777777777803"/>
    <n v="1743.8888888888901"/>
    <n v="6278"/>
  </r>
  <r>
    <x v="0"/>
    <x v="0"/>
    <x v="0"/>
    <x v="0"/>
    <x v="0"/>
    <s v="DK1_Medium"/>
    <x v="3"/>
    <s v="GNR_ENG_NGAS_BP_E-41"/>
    <x v="0"/>
    <x v="9"/>
    <n v="4.7777777777777803"/>
    <n v="1743.8888888888901"/>
    <n v="6278"/>
  </r>
  <r>
    <x v="0"/>
    <x v="0"/>
    <x v="0"/>
    <x v="0"/>
    <x v="0"/>
    <s v="DK1_Medium"/>
    <x v="3"/>
    <s v="GNR_ENG_NGAS_BP_E-41"/>
    <x v="0"/>
    <x v="10"/>
    <n v="4.7777777777777803"/>
    <n v="1743.8888888888901"/>
    <n v="6278"/>
  </r>
  <r>
    <x v="0"/>
    <x v="0"/>
    <x v="0"/>
    <x v="0"/>
    <x v="0"/>
    <s v="DK1_Medium"/>
    <x v="3"/>
    <s v="GNR_ENG_NGAS_BP_E-41"/>
    <x v="0"/>
    <x v="11"/>
    <n v="4.7777777777777803"/>
    <n v="1743.8888888888901"/>
    <n v="6278"/>
  </r>
  <r>
    <x v="0"/>
    <x v="0"/>
    <x v="0"/>
    <x v="0"/>
    <x v="0"/>
    <s v="DK1_Medium"/>
    <x v="3"/>
    <s v="GNR_ENG_NGAS_BP_E-41"/>
    <x v="0"/>
    <x v="0"/>
    <n v="4.7777777777777803"/>
    <n v="1743.8888888888901"/>
    <n v="6278"/>
  </r>
  <r>
    <x v="0"/>
    <x v="0"/>
    <x v="0"/>
    <x v="0"/>
    <x v="0"/>
    <s v="DK1_Medium"/>
    <x v="3"/>
    <s v="GNR_ENG_NGAS_BP_E-41"/>
    <x v="0"/>
    <x v="1"/>
    <n v="4.7777777777777803"/>
    <n v="1743.8888888888901"/>
    <n v="6278"/>
  </r>
  <r>
    <x v="0"/>
    <x v="0"/>
    <x v="0"/>
    <x v="0"/>
    <x v="0"/>
    <s v="DK1_Medium"/>
    <x v="3"/>
    <s v="GNR_ENG_NGAS_BP_E-41"/>
    <x v="0"/>
    <x v="2"/>
    <n v="4.7777777777777803"/>
    <n v="1743.8888888888901"/>
    <n v="6278"/>
  </r>
  <r>
    <x v="0"/>
    <x v="0"/>
    <x v="0"/>
    <x v="0"/>
    <x v="0"/>
    <s v="DK1_Medium"/>
    <x v="3"/>
    <s v="GNR_ENG_NGAS_BP_E-41"/>
    <x v="0"/>
    <x v="3"/>
    <n v="4.7777777777777803"/>
    <n v="1743.8888888888901"/>
    <n v="6278"/>
  </r>
  <r>
    <x v="0"/>
    <x v="0"/>
    <x v="0"/>
    <x v="0"/>
    <x v="0"/>
    <s v="DK1_Medium"/>
    <x v="3"/>
    <s v="GNR_ENG_NGAS_BP_E-41"/>
    <x v="0"/>
    <x v="12"/>
    <n v="4.7777777777777803"/>
    <n v="1743.8888888888901"/>
    <n v="6278"/>
  </r>
  <r>
    <x v="0"/>
    <x v="0"/>
    <x v="0"/>
    <x v="0"/>
    <x v="0"/>
    <s v="DK1_Medium"/>
    <x v="3"/>
    <s v="GNR_ENG_NGAS_BP_E-41"/>
    <x v="0"/>
    <x v="13"/>
    <n v="4.7777777777777803"/>
    <n v="1743.8888888888901"/>
    <n v="6278"/>
  </r>
  <r>
    <x v="0"/>
    <x v="0"/>
    <x v="0"/>
    <x v="0"/>
    <x v="0"/>
    <s v="DK1_Medium"/>
    <x v="3"/>
    <s v="GNR_ENG_NGAS_BP_E-41"/>
    <x v="0"/>
    <x v="14"/>
    <n v="4.7777777777777803"/>
    <n v="1743.8888888888901"/>
    <n v="6278"/>
  </r>
  <r>
    <x v="0"/>
    <x v="0"/>
    <x v="0"/>
    <x v="0"/>
    <x v="0"/>
    <s v="DK1_Medium"/>
    <x v="3"/>
    <s v="GNR_ENG_NGAS_BP_E-41"/>
    <x v="0"/>
    <x v="15"/>
    <n v="4.7777777777777803"/>
    <n v="1743.8888888888901"/>
    <n v="6278"/>
  </r>
  <r>
    <x v="0"/>
    <x v="0"/>
    <x v="0"/>
    <x v="0"/>
    <x v="0"/>
    <s v="DK1_Medium"/>
    <x v="3"/>
    <s v="GNR_ENG_NGAS_BP_E-41"/>
    <x v="0"/>
    <x v="4"/>
    <n v="4.7777777777777803"/>
    <n v="1743.8888888888901"/>
    <n v="6278"/>
  </r>
  <r>
    <x v="0"/>
    <x v="0"/>
    <x v="0"/>
    <x v="0"/>
    <x v="0"/>
    <s v="DK1_Medium"/>
    <x v="3"/>
    <s v="GNR_ENG_NGAS_BP_E-41"/>
    <x v="0"/>
    <x v="16"/>
    <n v="4.7777777777777803"/>
    <n v="1743.8888888888901"/>
    <n v="6278"/>
  </r>
  <r>
    <x v="0"/>
    <x v="0"/>
    <x v="0"/>
    <x v="0"/>
    <x v="0"/>
    <s v="DK1_Medium"/>
    <x v="3"/>
    <s v="GNR_ENG_NGAS_BP_E-41"/>
    <x v="0"/>
    <x v="5"/>
    <n v="4.7777777777777803"/>
    <n v="1743.8888888888901"/>
    <n v="6278"/>
  </r>
  <r>
    <x v="0"/>
    <x v="0"/>
    <x v="0"/>
    <x v="0"/>
    <x v="0"/>
    <s v="DK1_Medium"/>
    <x v="3"/>
    <s v="GNR_ENG_NGAS_BP_E-41"/>
    <x v="0"/>
    <x v="17"/>
    <n v="4.7777777777777803"/>
    <n v="1743.8888888888901"/>
    <n v="6278"/>
  </r>
  <r>
    <x v="0"/>
    <x v="0"/>
    <x v="0"/>
    <x v="0"/>
    <x v="0"/>
    <s v="DK1_Medium"/>
    <x v="3"/>
    <s v="GNR_ENG_NGAS_BP_E-41"/>
    <x v="0"/>
    <x v="18"/>
    <n v="4.7777777777777803"/>
    <n v="1743.8888888888901"/>
    <n v="6278"/>
  </r>
  <r>
    <x v="0"/>
    <x v="0"/>
    <x v="0"/>
    <x v="0"/>
    <x v="0"/>
    <s v="DK1_Medium"/>
    <x v="3"/>
    <s v="GNR_ENG_NGAS_BP_E-41"/>
    <x v="0"/>
    <x v="19"/>
    <n v="4.7777777777777803"/>
    <n v="1743.8888888888901"/>
    <n v="6278"/>
  </r>
  <r>
    <x v="0"/>
    <x v="0"/>
    <x v="0"/>
    <x v="0"/>
    <x v="0"/>
    <s v="DK1_Medium"/>
    <x v="3"/>
    <s v="GNR_ENG_NGAS_BP_E-41"/>
    <x v="0"/>
    <x v="20"/>
    <n v="4.7777777777777803"/>
    <n v="1743.8888888888901"/>
    <n v="6278"/>
  </r>
  <r>
    <x v="0"/>
    <x v="0"/>
    <x v="0"/>
    <x v="0"/>
    <x v="0"/>
    <s v="DK1_Medium"/>
    <x v="3"/>
    <s v="GNR_ENG_NGAS_BP_E-41"/>
    <x v="0"/>
    <x v="21"/>
    <n v="4.7777777777777803"/>
    <n v="1743.8888888888901"/>
    <n v="6278"/>
  </r>
  <r>
    <x v="0"/>
    <x v="0"/>
    <x v="0"/>
    <x v="0"/>
    <x v="0"/>
    <s v="DK1_Medium"/>
    <x v="3"/>
    <s v="GNR_ENG_NGAS_BP_E-41"/>
    <x v="0"/>
    <x v="22"/>
    <n v="4.7777777777777803"/>
    <n v="1743.8888888888901"/>
    <n v="6278"/>
  </r>
  <r>
    <x v="0"/>
    <x v="0"/>
    <x v="0"/>
    <x v="0"/>
    <x v="0"/>
    <s v="DK1_Medium"/>
    <x v="3"/>
    <s v="GNR_ENG_NGAS_BP_E-41"/>
    <x v="0"/>
    <x v="23"/>
    <n v="4.7777777777777803"/>
    <n v="1743.8888888888901"/>
    <n v="6278"/>
  </r>
  <r>
    <x v="0"/>
    <x v="0"/>
    <x v="0"/>
    <x v="0"/>
    <x v="0"/>
    <s v="DK1_Medium"/>
    <x v="3"/>
    <s v="GNR_ENG_NGAS_BP_E-42"/>
    <x v="0"/>
    <x v="6"/>
    <n v="11.1444444444444"/>
    <n v="4067.7222222222199"/>
    <n v="14643.8"/>
  </r>
  <r>
    <x v="0"/>
    <x v="0"/>
    <x v="0"/>
    <x v="0"/>
    <x v="0"/>
    <s v="DK1_Medium"/>
    <x v="3"/>
    <s v="GNR_ENG_NGAS_BP_E-42"/>
    <x v="0"/>
    <x v="7"/>
    <n v="11.1444444444444"/>
    <n v="4067.7222222222199"/>
    <n v="14643.8"/>
  </r>
  <r>
    <x v="0"/>
    <x v="0"/>
    <x v="0"/>
    <x v="0"/>
    <x v="0"/>
    <s v="DK1_Medium"/>
    <x v="3"/>
    <s v="GNR_ENG_NGAS_BP_E-42"/>
    <x v="0"/>
    <x v="8"/>
    <n v="11.1444444444444"/>
    <n v="4067.7222222222199"/>
    <n v="14643.8"/>
  </r>
  <r>
    <x v="0"/>
    <x v="0"/>
    <x v="0"/>
    <x v="0"/>
    <x v="0"/>
    <s v="DK1_Medium"/>
    <x v="3"/>
    <s v="GNR_ENG_NGAS_BP_E-42"/>
    <x v="0"/>
    <x v="9"/>
    <n v="11.1444444444444"/>
    <n v="4067.7222222222199"/>
    <n v="14643.8"/>
  </r>
  <r>
    <x v="0"/>
    <x v="0"/>
    <x v="0"/>
    <x v="0"/>
    <x v="0"/>
    <s v="DK1_Medium"/>
    <x v="3"/>
    <s v="GNR_ENG_NGAS_BP_E-42"/>
    <x v="0"/>
    <x v="10"/>
    <n v="11.1444444444444"/>
    <n v="4067.7222222222199"/>
    <n v="14643.8"/>
  </r>
  <r>
    <x v="0"/>
    <x v="0"/>
    <x v="0"/>
    <x v="0"/>
    <x v="0"/>
    <s v="DK1_Medium"/>
    <x v="3"/>
    <s v="GNR_ENG_NGAS_BP_E-42"/>
    <x v="0"/>
    <x v="11"/>
    <n v="11.1444444444444"/>
    <n v="4067.7222222222199"/>
    <n v="14643.8"/>
  </r>
  <r>
    <x v="0"/>
    <x v="0"/>
    <x v="0"/>
    <x v="0"/>
    <x v="0"/>
    <s v="DK1_Medium"/>
    <x v="3"/>
    <s v="GNR_ENG_NGAS_BP_E-42"/>
    <x v="0"/>
    <x v="0"/>
    <n v="11.1444444444444"/>
    <n v="4067.7222222222199"/>
    <n v="14643.8"/>
  </r>
  <r>
    <x v="0"/>
    <x v="0"/>
    <x v="0"/>
    <x v="0"/>
    <x v="0"/>
    <s v="DK1_Medium"/>
    <x v="3"/>
    <s v="GNR_ENG_NGAS_BP_E-42"/>
    <x v="0"/>
    <x v="1"/>
    <n v="11.1444444444444"/>
    <n v="4067.7222222222199"/>
    <n v="14643.8"/>
  </r>
  <r>
    <x v="0"/>
    <x v="0"/>
    <x v="0"/>
    <x v="0"/>
    <x v="0"/>
    <s v="DK1_Medium"/>
    <x v="3"/>
    <s v="GNR_ENG_NGAS_BP_E-42"/>
    <x v="0"/>
    <x v="2"/>
    <n v="11.1444444444444"/>
    <n v="4067.7222222222199"/>
    <n v="14643.8"/>
  </r>
  <r>
    <x v="0"/>
    <x v="0"/>
    <x v="0"/>
    <x v="0"/>
    <x v="0"/>
    <s v="DK1_Medium"/>
    <x v="3"/>
    <s v="GNR_ENG_NGAS_BP_E-42"/>
    <x v="0"/>
    <x v="3"/>
    <n v="11.1444444444444"/>
    <n v="4067.7222222222199"/>
    <n v="14643.8"/>
  </r>
  <r>
    <x v="0"/>
    <x v="0"/>
    <x v="0"/>
    <x v="0"/>
    <x v="0"/>
    <s v="DK1_Medium"/>
    <x v="3"/>
    <s v="GNR_ENG_NGAS_BP_E-42"/>
    <x v="0"/>
    <x v="12"/>
    <n v="11.1444444444444"/>
    <n v="4067.7222222222199"/>
    <n v="14643.8"/>
  </r>
  <r>
    <x v="0"/>
    <x v="0"/>
    <x v="0"/>
    <x v="0"/>
    <x v="0"/>
    <s v="DK1_Medium"/>
    <x v="3"/>
    <s v="GNR_ENG_NGAS_BP_E-42"/>
    <x v="0"/>
    <x v="13"/>
    <n v="11.1444444444444"/>
    <n v="4067.7222222222199"/>
    <n v="14643.8"/>
  </r>
  <r>
    <x v="0"/>
    <x v="0"/>
    <x v="0"/>
    <x v="0"/>
    <x v="0"/>
    <s v="DK1_Medium"/>
    <x v="3"/>
    <s v="GNR_ENG_NGAS_BP_E-42"/>
    <x v="0"/>
    <x v="14"/>
    <n v="11.1444444444444"/>
    <n v="4067.7222222222199"/>
    <n v="14643.8"/>
  </r>
  <r>
    <x v="0"/>
    <x v="0"/>
    <x v="0"/>
    <x v="0"/>
    <x v="0"/>
    <s v="DK1_Medium"/>
    <x v="3"/>
    <s v="GNR_ENG_NGAS_BP_E-42"/>
    <x v="0"/>
    <x v="15"/>
    <n v="11.1444444444444"/>
    <n v="4067.7222222222199"/>
    <n v="14643.8"/>
  </r>
  <r>
    <x v="0"/>
    <x v="0"/>
    <x v="0"/>
    <x v="0"/>
    <x v="0"/>
    <s v="DK1_Medium"/>
    <x v="3"/>
    <s v="GNR_ENG_NGAS_BP_E-42"/>
    <x v="0"/>
    <x v="4"/>
    <n v="11.1444444444444"/>
    <n v="4067.7222222222199"/>
    <n v="14643.8"/>
  </r>
  <r>
    <x v="0"/>
    <x v="0"/>
    <x v="0"/>
    <x v="0"/>
    <x v="0"/>
    <s v="DK1_Medium"/>
    <x v="3"/>
    <s v="GNR_ENG_NGAS_BP_E-42"/>
    <x v="0"/>
    <x v="16"/>
    <n v="11.1444444444444"/>
    <n v="4067.7222222222199"/>
    <n v="14643.8"/>
  </r>
  <r>
    <x v="0"/>
    <x v="0"/>
    <x v="0"/>
    <x v="0"/>
    <x v="0"/>
    <s v="DK1_Medium"/>
    <x v="3"/>
    <s v="GNR_ENG_NGAS_BP_E-42"/>
    <x v="0"/>
    <x v="5"/>
    <n v="11.1444444444444"/>
    <n v="4067.7222222222199"/>
    <n v="14643.8"/>
  </r>
  <r>
    <x v="0"/>
    <x v="0"/>
    <x v="0"/>
    <x v="0"/>
    <x v="0"/>
    <s v="DK1_Medium"/>
    <x v="3"/>
    <s v="GNR_ENG_NGAS_BP_E-42"/>
    <x v="0"/>
    <x v="17"/>
    <n v="11.1444444444444"/>
    <n v="4067.7222222222199"/>
    <n v="14643.8"/>
  </r>
  <r>
    <x v="0"/>
    <x v="0"/>
    <x v="0"/>
    <x v="0"/>
    <x v="0"/>
    <s v="DK1_Medium"/>
    <x v="3"/>
    <s v="GNR_ENG_NGAS_BP_E-42"/>
    <x v="0"/>
    <x v="18"/>
    <n v="11.1444444444444"/>
    <n v="4067.7222222222199"/>
    <n v="14643.8"/>
  </r>
  <r>
    <x v="0"/>
    <x v="0"/>
    <x v="0"/>
    <x v="0"/>
    <x v="0"/>
    <s v="DK1_Medium"/>
    <x v="3"/>
    <s v="GNR_ENG_NGAS_BP_E-42"/>
    <x v="0"/>
    <x v="19"/>
    <n v="11.1444444444444"/>
    <n v="4067.7222222222199"/>
    <n v="14643.8"/>
  </r>
  <r>
    <x v="0"/>
    <x v="0"/>
    <x v="0"/>
    <x v="0"/>
    <x v="0"/>
    <s v="DK1_Medium"/>
    <x v="3"/>
    <s v="GNR_ENG_NGAS_BP_E-42"/>
    <x v="0"/>
    <x v="20"/>
    <n v="11.1444444444444"/>
    <n v="4067.7222222222199"/>
    <n v="14643.8"/>
  </r>
  <r>
    <x v="0"/>
    <x v="0"/>
    <x v="0"/>
    <x v="0"/>
    <x v="0"/>
    <s v="DK1_Medium"/>
    <x v="3"/>
    <s v="GNR_ENG_NGAS_BP_E-42"/>
    <x v="0"/>
    <x v="21"/>
    <n v="11.1444444444444"/>
    <n v="4067.7222222222199"/>
    <n v="14643.8"/>
  </r>
  <r>
    <x v="0"/>
    <x v="0"/>
    <x v="0"/>
    <x v="0"/>
    <x v="0"/>
    <s v="DK1_Medium"/>
    <x v="3"/>
    <s v="GNR_ENG_NGAS_BP_E-42"/>
    <x v="0"/>
    <x v="22"/>
    <n v="11.1444444444444"/>
    <n v="4067.7222222222199"/>
    <n v="14643.8"/>
  </r>
  <r>
    <x v="0"/>
    <x v="0"/>
    <x v="0"/>
    <x v="0"/>
    <x v="0"/>
    <s v="DK1_Medium"/>
    <x v="3"/>
    <s v="GNR_ENG_NGAS_BP_E-42"/>
    <x v="0"/>
    <x v="23"/>
    <n v="11.1444444444444"/>
    <n v="4067.7222222222199"/>
    <n v="14643.8"/>
  </r>
  <r>
    <x v="0"/>
    <x v="0"/>
    <x v="0"/>
    <x v="0"/>
    <x v="0"/>
    <s v="DK1_Medium"/>
    <x v="3"/>
    <s v="GNR_ENG_NGAS_BP_E-43"/>
    <x v="0"/>
    <x v="6"/>
    <n v="1.5777777777777799"/>
    <n v="575.88888888888903"/>
    <n v="2073.1999999999998"/>
  </r>
  <r>
    <x v="0"/>
    <x v="0"/>
    <x v="0"/>
    <x v="0"/>
    <x v="0"/>
    <s v="DK1_Medium"/>
    <x v="3"/>
    <s v="GNR_ENG_NGAS_BP_E-43"/>
    <x v="0"/>
    <x v="7"/>
    <n v="1.5777777777777799"/>
    <n v="575.88888888888903"/>
    <n v="2073.1999999999998"/>
  </r>
  <r>
    <x v="0"/>
    <x v="0"/>
    <x v="0"/>
    <x v="0"/>
    <x v="0"/>
    <s v="DK1_Medium"/>
    <x v="3"/>
    <s v="GNR_ENG_NGAS_BP_E-43"/>
    <x v="0"/>
    <x v="8"/>
    <n v="1.5777777777777799"/>
    <n v="575.88888888888903"/>
    <n v="2073.1999999999998"/>
  </r>
  <r>
    <x v="0"/>
    <x v="0"/>
    <x v="0"/>
    <x v="0"/>
    <x v="0"/>
    <s v="DK1_Medium"/>
    <x v="3"/>
    <s v="GNR_ENG_NGAS_BP_E-43"/>
    <x v="0"/>
    <x v="9"/>
    <n v="1.5777777777777799"/>
    <n v="575.88888888888903"/>
    <n v="2073.1999999999998"/>
  </r>
  <r>
    <x v="0"/>
    <x v="0"/>
    <x v="0"/>
    <x v="0"/>
    <x v="0"/>
    <s v="DK1_Medium"/>
    <x v="3"/>
    <s v="GNR_ENG_NGAS_BP_E-43"/>
    <x v="0"/>
    <x v="10"/>
    <n v="1.5777777777777799"/>
    <n v="575.88888888888903"/>
    <n v="2073.1999999999998"/>
  </r>
  <r>
    <x v="0"/>
    <x v="0"/>
    <x v="0"/>
    <x v="0"/>
    <x v="0"/>
    <s v="DK1_Medium"/>
    <x v="3"/>
    <s v="GNR_ENG_NGAS_BP_E-43"/>
    <x v="0"/>
    <x v="11"/>
    <n v="1.5777777777777799"/>
    <n v="575.88888888888903"/>
    <n v="2073.1999999999998"/>
  </r>
  <r>
    <x v="0"/>
    <x v="0"/>
    <x v="0"/>
    <x v="0"/>
    <x v="0"/>
    <s v="DK1_Medium"/>
    <x v="3"/>
    <s v="GNR_ENG_NGAS_BP_E-43"/>
    <x v="0"/>
    <x v="0"/>
    <n v="1.5777777777777799"/>
    <n v="575.88888888888903"/>
    <n v="2073.1999999999998"/>
  </r>
  <r>
    <x v="0"/>
    <x v="0"/>
    <x v="0"/>
    <x v="0"/>
    <x v="0"/>
    <s v="DK1_Medium"/>
    <x v="3"/>
    <s v="GNR_ENG_NGAS_BP_E-43"/>
    <x v="0"/>
    <x v="1"/>
    <n v="1.5777777777777799"/>
    <n v="575.88888888888903"/>
    <n v="2073.1999999999998"/>
  </r>
  <r>
    <x v="0"/>
    <x v="0"/>
    <x v="0"/>
    <x v="0"/>
    <x v="0"/>
    <s v="DK1_Medium"/>
    <x v="3"/>
    <s v="GNR_ENG_NGAS_BP_E-43"/>
    <x v="0"/>
    <x v="2"/>
    <n v="1.5777777777777799"/>
    <n v="575.88888888888903"/>
    <n v="2073.1999999999998"/>
  </r>
  <r>
    <x v="0"/>
    <x v="0"/>
    <x v="0"/>
    <x v="0"/>
    <x v="0"/>
    <s v="DK1_Medium"/>
    <x v="3"/>
    <s v="GNR_ENG_NGAS_BP_E-43"/>
    <x v="0"/>
    <x v="3"/>
    <n v="1.5777777777777799"/>
    <n v="575.88888888888903"/>
    <n v="2073.1999999999998"/>
  </r>
  <r>
    <x v="0"/>
    <x v="0"/>
    <x v="0"/>
    <x v="0"/>
    <x v="0"/>
    <s v="DK1_Medium"/>
    <x v="3"/>
    <s v="GNR_ENG_NGAS_BP_E-43"/>
    <x v="0"/>
    <x v="12"/>
    <n v="1.5777777777777799"/>
    <n v="575.88888888888903"/>
    <n v="2073.1999999999998"/>
  </r>
  <r>
    <x v="0"/>
    <x v="0"/>
    <x v="0"/>
    <x v="0"/>
    <x v="0"/>
    <s v="DK1_Medium"/>
    <x v="3"/>
    <s v="GNR_ENG_NGAS_BP_E-43"/>
    <x v="0"/>
    <x v="13"/>
    <n v="1.5777777777777799"/>
    <n v="575.88888888888903"/>
    <n v="2073.1999999999998"/>
  </r>
  <r>
    <x v="0"/>
    <x v="0"/>
    <x v="0"/>
    <x v="0"/>
    <x v="0"/>
    <s v="DK1_Medium"/>
    <x v="3"/>
    <s v="GNR_ENG_NGAS_BP_E-43"/>
    <x v="0"/>
    <x v="14"/>
    <n v="1.5777777777777799"/>
    <n v="575.88888888888903"/>
    <n v="2073.1999999999998"/>
  </r>
  <r>
    <x v="0"/>
    <x v="0"/>
    <x v="0"/>
    <x v="0"/>
    <x v="0"/>
    <s v="DK1_Medium"/>
    <x v="3"/>
    <s v="GNR_ENG_NGAS_BP_E-43"/>
    <x v="0"/>
    <x v="15"/>
    <n v="1.5777777777777799"/>
    <n v="575.88888888888903"/>
    <n v="2073.1999999999998"/>
  </r>
  <r>
    <x v="0"/>
    <x v="0"/>
    <x v="0"/>
    <x v="0"/>
    <x v="0"/>
    <s v="DK1_Medium"/>
    <x v="3"/>
    <s v="GNR_ENG_NGAS_BP_E-43"/>
    <x v="0"/>
    <x v="4"/>
    <n v="1.5777777777777799"/>
    <n v="575.88888888888903"/>
    <n v="2073.1999999999998"/>
  </r>
  <r>
    <x v="0"/>
    <x v="0"/>
    <x v="0"/>
    <x v="0"/>
    <x v="0"/>
    <s v="DK1_Medium"/>
    <x v="3"/>
    <s v="GNR_ENG_NGAS_BP_E-43"/>
    <x v="0"/>
    <x v="16"/>
    <n v="1.5777777777777799"/>
    <n v="575.88888888888903"/>
    <n v="2073.1999999999998"/>
  </r>
  <r>
    <x v="0"/>
    <x v="0"/>
    <x v="0"/>
    <x v="0"/>
    <x v="0"/>
    <s v="DK1_Medium"/>
    <x v="3"/>
    <s v="GNR_ENG_NGAS_BP_E-43"/>
    <x v="0"/>
    <x v="5"/>
    <n v="1.5777777777777799"/>
    <n v="575.88888888888903"/>
    <n v="2073.1999999999998"/>
  </r>
  <r>
    <x v="0"/>
    <x v="0"/>
    <x v="0"/>
    <x v="0"/>
    <x v="0"/>
    <s v="DK1_Medium"/>
    <x v="3"/>
    <s v="GNR_ENG_NGAS_BP_E-43"/>
    <x v="0"/>
    <x v="17"/>
    <n v="1.5777777777777799"/>
    <n v="575.88888888888903"/>
    <n v="2073.1999999999998"/>
  </r>
  <r>
    <x v="0"/>
    <x v="0"/>
    <x v="0"/>
    <x v="0"/>
    <x v="0"/>
    <s v="DK1_Medium"/>
    <x v="3"/>
    <s v="GNR_ENG_NGAS_BP_E-43"/>
    <x v="0"/>
    <x v="18"/>
    <n v="1.5777777777777799"/>
    <n v="575.88888888888903"/>
    <n v="2073.1999999999998"/>
  </r>
  <r>
    <x v="0"/>
    <x v="0"/>
    <x v="0"/>
    <x v="0"/>
    <x v="0"/>
    <s v="DK1_Medium"/>
    <x v="3"/>
    <s v="GNR_ENG_NGAS_BP_E-43"/>
    <x v="0"/>
    <x v="19"/>
    <n v="1.5777777777777799"/>
    <n v="575.88888888888903"/>
    <n v="2073.1999999999998"/>
  </r>
  <r>
    <x v="0"/>
    <x v="0"/>
    <x v="0"/>
    <x v="0"/>
    <x v="0"/>
    <s v="DK1_Medium"/>
    <x v="3"/>
    <s v="GNR_ENG_NGAS_BP_E-43"/>
    <x v="0"/>
    <x v="20"/>
    <n v="1.5777777777777799"/>
    <n v="575.88888888888903"/>
    <n v="2073.1999999999998"/>
  </r>
  <r>
    <x v="0"/>
    <x v="0"/>
    <x v="0"/>
    <x v="0"/>
    <x v="0"/>
    <s v="DK1_Medium"/>
    <x v="3"/>
    <s v="GNR_ENG_NGAS_BP_E-43"/>
    <x v="0"/>
    <x v="21"/>
    <n v="1.5777777777777799"/>
    <n v="575.88888888888903"/>
    <n v="2073.1999999999998"/>
  </r>
  <r>
    <x v="0"/>
    <x v="0"/>
    <x v="0"/>
    <x v="0"/>
    <x v="0"/>
    <s v="DK1_Medium"/>
    <x v="3"/>
    <s v="GNR_ENG_NGAS_BP_E-43"/>
    <x v="0"/>
    <x v="22"/>
    <n v="1.5777777777777799"/>
    <n v="575.88888888888903"/>
    <n v="2073.1999999999998"/>
  </r>
  <r>
    <x v="0"/>
    <x v="0"/>
    <x v="0"/>
    <x v="0"/>
    <x v="0"/>
    <s v="DK1_Medium"/>
    <x v="3"/>
    <s v="GNR_ENG_NGAS_BP_E-43"/>
    <x v="0"/>
    <x v="23"/>
    <n v="1.5777777777777799"/>
    <n v="575.88888888888903"/>
    <n v="2073.1999999999998"/>
  </r>
  <r>
    <x v="0"/>
    <x v="0"/>
    <x v="0"/>
    <x v="0"/>
    <x v="0"/>
    <s v="DK1_Medium"/>
    <x v="3"/>
    <s v="GNR_ENG_NGAS_BP_E-44"/>
    <x v="0"/>
    <x v="6"/>
    <n v="5.2"/>
    <n v="1898"/>
    <n v="6832.8"/>
  </r>
  <r>
    <x v="0"/>
    <x v="0"/>
    <x v="0"/>
    <x v="0"/>
    <x v="0"/>
    <s v="DK1_Medium"/>
    <x v="3"/>
    <s v="GNR_ENG_NGAS_BP_E-44"/>
    <x v="0"/>
    <x v="7"/>
    <n v="5.2"/>
    <n v="1898"/>
    <n v="6832.8"/>
  </r>
  <r>
    <x v="0"/>
    <x v="0"/>
    <x v="0"/>
    <x v="0"/>
    <x v="0"/>
    <s v="DK1_Medium"/>
    <x v="3"/>
    <s v="GNR_ENG_NGAS_BP_E-44"/>
    <x v="0"/>
    <x v="8"/>
    <n v="5.2"/>
    <n v="1898"/>
    <n v="6832.8"/>
  </r>
  <r>
    <x v="0"/>
    <x v="0"/>
    <x v="0"/>
    <x v="0"/>
    <x v="0"/>
    <s v="DK1_Medium"/>
    <x v="3"/>
    <s v="GNR_ENG_NGAS_BP_E-44"/>
    <x v="0"/>
    <x v="9"/>
    <n v="5.2"/>
    <n v="1898"/>
    <n v="6832.8"/>
  </r>
  <r>
    <x v="0"/>
    <x v="0"/>
    <x v="0"/>
    <x v="0"/>
    <x v="0"/>
    <s v="DK1_Medium"/>
    <x v="3"/>
    <s v="GNR_ENG_NGAS_BP_E-44"/>
    <x v="0"/>
    <x v="10"/>
    <n v="5.2"/>
    <n v="1898"/>
    <n v="6832.8"/>
  </r>
  <r>
    <x v="0"/>
    <x v="0"/>
    <x v="0"/>
    <x v="0"/>
    <x v="0"/>
    <s v="DK1_Medium"/>
    <x v="3"/>
    <s v="GNR_ENG_NGAS_BP_E-44"/>
    <x v="0"/>
    <x v="11"/>
    <n v="5.2"/>
    <n v="1898"/>
    <n v="6832.8"/>
  </r>
  <r>
    <x v="0"/>
    <x v="0"/>
    <x v="0"/>
    <x v="0"/>
    <x v="0"/>
    <s v="DK1_Medium"/>
    <x v="3"/>
    <s v="GNR_ENG_NGAS_BP_E-44"/>
    <x v="0"/>
    <x v="0"/>
    <n v="5.2"/>
    <n v="1898"/>
    <n v="6832.8"/>
  </r>
  <r>
    <x v="0"/>
    <x v="0"/>
    <x v="0"/>
    <x v="0"/>
    <x v="0"/>
    <s v="DK1_Medium"/>
    <x v="3"/>
    <s v="GNR_ENG_NGAS_BP_E-44"/>
    <x v="0"/>
    <x v="1"/>
    <n v="5.2"/>
    <n v="1898"/>
    <n v="6832.8"/>
  </r>
  <r>
    <x v="0"/>
    <x v="0"/>
    <x v="0"/>
    <x v="0"/>
    <x v="0"/>
    <s v="DK1_Medium"/>
    <x v="3"/>
    <s v="GNR_ENG_NGAS_BP_E-44"/>
    <x v="0"/>
    <x v="2"/>
    <n v="5.2"/>
    <n v="1898"/>
    <n v="6832.8"/>
  </r>
  <r>
    <x v="0"/>
    <x v="0"/>
    <x v="0"/>
    <x v="0"/>
    <x v="0"/>
    <s v="DK1_Medium"/>
    <x v="3"/>
    <s v="GNR_ENG_NGAS_BP_E-44"/>
    <x v="0"/>
    <x v="3"/>
    <n v="5.2"/>
    <n v="1898"/>
    <n v="6832.8"/>
  </r>
  <r>
    <x v="0"/>
    <x v="0"/>
    <x v="0"/>
    <x v="0"/>
    <x v="0"/>
    <s v="DK1_Medium"/>
    <x v="3"/>
    <s v="GNR_ENG_NGAS_BP_E-44"/>
    <x v="0"/>
    <x v="12"/>
    <n v="5.2"/>
    <n v="1898"/>
    <n v="6832.8"/>
  </r>
  <r>
    <x v="0"/>
    <x v="0"/>
    <x v="0"/>
    <x v="0"/>
    <x v="0"/>
    <s v="DK1_Medium"/>
    <x v="3"/>
    <s v="GNR_ENG_NGAS_BP_E-44"/>
    <x v="0"/>
    <x v="13"/>
    <n v="5.2"/>
    <n v="1898"/>
    <n v="6832.8"/>
  </r>
  <r>
    <x v="0"/>
    <x v="0"/>
    <x v="0"/>
    <x v="0"/>
    <x v="0"/>
    <s v="DK1_Medium"/>
    <x v="3"/>
    <s v="GNR_ENG_NGAS_BP_E-44"/>
    <x v="0"/>
    <x v="14"/>
    <n v="5.2"/>
    <n v="1898"/>
    <n v="6832.8"/>
  </r>
  <r>
    <x v="0"/>
    <x v="0"/>
    <x v="0"/>
    <x v="0"/>
    <x v="0"/>
    <s v="DK1_Medium"/>
    <x v="3"/>
    <s v="GNR_ENG_NGAS_BP_E-44"/>
    <x v="0"/>
    <x v="15"/>
    <n v="5.2"/>
    <n v="1898"/>
    <n v="6832.8"/>
  </r>
  <r>
    <x v="0"/>
    <x v="0"/>
    <x v="0"/>
    <x v="0"/>
    <x v="0"/>
    <s v="DK1_Medium"/>
    <x v="3"/>
    <s v="GNR_ENG_NGAS_BP_E-44"/>
    <x v="0"/>
    <x v="4"/>
    <n v="5.2"/>
    <n v="1898"/>
    <n v="6832.8"/>
  </r>
  <r>
    <x v="0"/>
    <x v="0"/>
    <x v="0"/>
    <x v="0"/>
    <x v="0"/>
    <s v="DK1_Medium"/>
    <x v="3"/>
    <s v="GNR_ENG_NGAS_BP_E-44"/>
    <x v="0"/>
    <x v="16"/>
    <n v="5.2"/>
    <n v="1898"/>
    <n v="6832.8"/>
  </r>
  <r>
    <x v="0"/>
    <x v="0"/>
    <x v="0"/>
    <x v="0"/>
    <x v="0"/>
    <s v="DK1_Medium"/>
    <x v="3"/>
    <s v="GNR_ENG_NGAS_BP_E-44"/>
    <x v="0"/>
    <x v="5"/>
    <n v="5.2"/>
    <n v="1898"/>
    <n v="6832.8"/>
  </r>
  <r>
    <x v="0"/>
    <x v="0"/>
    <x v="0"/>
    <x v="0"/>
    <x v="0"/>
    <s v="DK1_Medium"/>
    <x v="3"/>
    <s v="GNR_ENG_NGAS_BP_E-44"/>
    <x v="0"/>
    <x v="17"/>
    <n v="5.2"/>
    <n v="1898"/>
    <n v="6832.8"/>
  </r>
  <r>
    <x v="0"/>
    <x v="0"/>
    <x v="0"/>
    <x v="0"/>
    <x v="0"/>
    <s v="DK1_Medium"/>
    <x v="3"/>
    <s v="GNR_ENG_NGAS_BP_E-44"/>
    <x v="0"/>
    <x v="18"/>
    <n v="5.2"/>
    <n v="1898"/>
    <n v="6832.8"/>
  </r>
  <r>
    <x v="0"/>
    <x v="0"/>
    <x v="0"/>
    <x v="0"/>
    <x v="0"/>
    <s v="DK1_Medium"/>
    <x v="3"/>
    <s v="GNR_ENG_NGAS_BP_E-44"/>
    <x v="0"/>
    <x v="19"/>
    <n v="5.2"/>
    <n v="1898"/>
    <n v="6832.8"/>
  </r>
  <r>
    <x v="0"/>
    <x v="0"/>
    <x v="0"/>
    <x v="0"/>
    <x v="0"/>
    <s v="DK1_Medium"/>
    <x v="3"/>
    <s v="GNR_ENG_NGAS_BP_E-44"/>
    <x v="0"/>
    <x v="20"/>
    <n v="5.2"/>
    <n v="1898"/>
    <n v="6832.8"/>
  </r>
  <r>
    <x v="0"/>
    <x v="0"/>
    <x v="0"/>
    <x v="0"/>
    <x v="0"/>
    <s v="DK1_Medium"/>
    <x v="3"/>
    <s v="GNR_ENG_NGAS_BP_E-44"/>
    <x v="0"/>
    <x v="21"/>
    <n v="5.2"/>
    <n v="1898"/>
    <n v="6832.8"/>
  </r>
  <r>
    <x v="0"/>
    <x v="0"/>
    <x v="0"/>
    <x v="0"/>
    <x v="0"/>
    <s v="DK1_Medium"/>
    <x v="3"/>
    <s v="GNR_ENG_NGAS_BP_E-44"/>
    <x v="0"/>
    <x v="22"/>
    <n v="5.2"/>
    <n v="1898"/>
    <n v="6832.8"/>
  </r>
  <r>
    <x v="0"/>
    <x v="0"/>
    <x v="0"/>
    <x v="0"/>
    <x v="0"/>
    <s v="DK1_Medium"/>
    <x v="3"/>
    <s v="GNR_ENG_NGAS_BP_E-44"/>
    <x v="0"/>
    <x v="23"/>
    <n v="5.2"/>
    <n v="1898"/>
    <n v="6832.8"/>
  </r>
  <r>
    <x v="0"/>
    <x v="0"/>
    <x v="0"/>
    <x v="0"/>
    <x v="0"/>
    <s v="DK1_Medium"/>
    <x v="3"/>
    <s v="GNR_GT_NGAS_BP_E-31"/>
    <x v="0"/>
    <x v="0"/>
    <n v="9.4736842105263204"/>
    <n v="3457.8947368421"/>
    <n v="12448.4210526316"/>
  </r>
  <r>
    <x v="0"/>
    <x v="0"/>
    <x v="0"/>
    <x v="0"/>
    <x v="0"/>
    <s v="DK1_Medium"/>
    <x v="3"/>
    <s v="GNR_GT_NGAS_BP_E-31"/>
    <x v="0"/>
    <x v="1"/>
    <n v="9.4736842105263204"/>
    <n v="3457.8947368421"/>
    <n v="12448.4210526316"/>
  </r>
  <r>
    <x v="0"/>
    <x v="0"/>
    <x v="0"/>
    <x v="0"/>
    <x v="0"/>
    <s v="DK1_Medium"/>
    <x v="3"/>
    <s v="GNR_GT_NGAS_BP_E-31"/>
    <x v="0"/>
    <x v="2"/>
    <n v="9.4736842105263204"/>
    <n v="3457.8947368421"/>
    <n v="12448.4210526316"/>
  </r>
  <r>
    <x v="0"/>
    <x v="0"/>
    <x v="0"/>
    <x v="0"/>
    <x v="0"/>
    <s v="DK1_Medium"/>
    <x v="3"/>
    <s v="GNR_GT_NGAS_BP_E-31"/>
    <x v="0"/>
    <x v="3"/>
    <n v="9.4736842105263204"/>
    <n v="3457.8947368421"/>
    <n v="12448.4210526316"/>
  </r>
  <r>
    <x v="0"/>
    <x v="0"/>
    <x v="0"/>
    <x v="0"/>
    <x v="0"/>
    <s v="DK1_Medium"/>
    <x v="3"/>
    <s v="GNR_GT_NGAS_BP_E-31"/>
    <x v="0"/>
    <x v="12"/>
    <n v="9.4736842105263204"/>
    <n v="3457.8947368421"/>
    <n v="12448.4210526316"/>
  </r>
  <r>
    <x v="0"/>
    <x v="0"/>
    <x v="0"/>
    <x v="0"/>
    <x v="0"/>
    <s v="DK1_Medium"/>
    <x v="3"/>
    <s v="GNR_GT_NGAS_BP_E-43"/>
    <x v="0"/>
    <x v="6"/>
    <n v="86.473684210526301"/>
    <n v="31562.8947368421"/>
    <n v="113626.42105263199"/>
  </r>
  <r>
    <x v="0"/>
    <x v="0"/>
    <x v="0"/>
    <x v="0"/>
    <x v="0"/>
    <s v="DK1_Medium"/>
    <x v="3"/>
    <s v="GNR_GT_NGAS_BP_E-43"/>
    <x v="0"/>
    <x v="7"/>
    <n v="86.473684210526301"/>
    <n v="31562.8947368421"/>
    <n v="113626.42105263199"/>
  </r>
  <r>
    <x v="0"/>
    <x v="0"/>
    <x v="0"/>
    <x v="0"/>
    <x v="0"/>
    <s v="DK1_Medium"/>
    <x v="3"/>
    <s v="GNR_GT_NGAS_BP_E-43"/>
    <x v="0"/>
    <x v="8"/>
    <n v="86.473684210526301"/>
    <n v="31562.8947368421"/>
    <n v="113626.42105263199"/>
  </r>
  <r>
    <x v="0"/>
    <x v="0"/>
    <x v="0"/>
    <x v="0"/>
    <x v="0"/>
    <s v="DK1_Medium"/>
    <x v="3"/>
    <s v="GNR_GT_NGAS_BP_E-43"/>
    <x v="0"/>
    <x v="9"/>
    <n v="86.473684210526301"/>
    <n v="31562.8947368421"/>
    <n v="113626.42105263199"/>
  </r>
  <r>
    <x v="0"/>
    <x v="0"/>
    <x v="0"/>
    <x v="0"/>
    <x v="0"/>
    <s v="DK1_Medium"/>
    <x v="3"/>
    <s v="GNR_GT_NGAS_BP_E-43"/>
    <x v="0"/>
    <x v="10"/>
    <n v="86.473684210526301"/>
    <n v="31562.8947368421"/>
    <n v="113626.42105263199"/>
  </r>
  <r>
    <x v="0"/>
    <x v="0"/>
    <x v="0"/>
    <x v="0"/>
    <x v="0"/>
    <s v="DK1_Medium"/>
    <x v="3"/>
    <s v="GNR_GT_NGAS_BP_E-43"/>
    <x v="0"/>
    <x v="11"/>
    <n v="86.473684210526301"/>
    <n v="31562.8947368421"/>
    <n v="113626.42105263199"/>
  </r>
  <r>
    <x v="0"/>
    <x v="0"/>
    <x v="0"/>
    <x v="0"/>
    <x v="0"/>
    <s v="DK1_Medium"/>
    <x v="3"/>
    <s v="GNR_GT_NGAS_BP_E-43"/>
    <x v="0"/>
    <x v="0"/>
    <n v="86.473684210526301"/>
    <n v="31562.8947368421"/>
    <n v="113626.42105263199"/>
  </r>
  <r>
    <x v="0"/>
    <x v="0"/>
    <x v="0"/>
    <x v="0"/>
    <x v="0"/>
    <s v="DK1_Medium"/>
    <x v="3"/>
    <s v="GNR_GT_NGAS_BP_E-43"/>
    <x v="0"/>
    <x v="1"/>
    <n v="86.473684210526301"/>
    <n v="31562.8947368421"/>
    <n v="113626.42105263199"/>
  </r>
  <r>
    <x v="0"/>
    <x v="0"/>
    <x v="0"/>
    <x v="0"/>
    <x v="0"/>
    <s v="DK1_Medium"/>
    <x v="3"/>
    <s v="GNR_GT_NGAS_BP_E-43"/>
    <x v="0"/>
    <x v="2"/>
    <n v="86.473684210526301"/>
    <n v="31562.8947368421"/>
    <n v="113626.42105263199"/>
  </r>
  <r>
    <x v="0"/>
    <x v="0"/>
    <x v="0"/>
    <x v="0"/>
    <x v="0"/>
    <s v="DK1_Medium"/>
    <x v="3"/>
    <s v="GNR_GT_NGAS_BP_E-43"/>
    <x v="0"/>
    <x v="3"/>
    <n v="86.473684210526301"/>
    <n v="31562.8947368421"/>
    <n v="113626.42105263199"/>
  </r>
  <r>
    <x v="0"/>
    <x v="0"/>
    <x v="0"/>
    <x v="0"/>
    <x v="0"/>
    <s v="DK1_Medium"/>
    <x v="3"/>
    <s v="GNR_GT_NGAS_BP_E-43"/>
    <x v="0"/>
    <x v="12"/>
    <n v="86.473684210526301"/>
    <n v="31562.8947368421"/>
    <n v="113626.42105263199"/>
  </r>
  <r>
    <x v="0"/>
    <x v="0"/>
    <x v="0"/>
    <x v="0"/>
    <x v="0"/>
    <s v="DK1_Medium"/>
    <x v="3"/>
    <s v="GNR_GT_NGAS_BP_E-43"/>
    <x v="0"/>
    <x v="13"/>
    <n v="86.473684210526301"/>
    <n v="31562.8947368421"/>
    <n v="113626.42105263199"/>
  </r>
  <r>
    <x v="0"/>
    <x v="0"/>
    <x v="0"/>
    <x v="0"/>
    <x v="0"/>
    <s v="DK1_Medium"/>
    <x v="3"/>
    <s v="GNR_GT_NGAS_BP_E-43"/>
    <x v="0"/>
    <x v="14"/>
    <n v="86.473684210526301"/>
    <n v="31562.8947368421"/>
    <n v="113626.42105263199"/>
  </r>
  <r>
    <x v="0"/>
    <x v="0"/>
    <x v="0"/>
    <x v="0"/>
    <x v="0"/>
    <s v="DK1_Medium"/>
    <x v="3"/>
    <s v="GNR_GT_NGAS_BP_E-43"/>
    <x v="0"/>
    <x v="15"/>
    <n v="86.473684210526301"/>
    <n v="31562.8947368421"/>
    <n v="113626.42105263199"/>
  </r>
  <r>
    <x v="0"/>
    <x v="0"/>
    <x v="0"/>
    <x v="0"/>
    <x v="0"/>
    <s v="DK1_Medium"/>
    <x v="3"/>
    <s v="GNR_GT_NGAS_BP_E-43"/>
    <x v="0"/>
    <x v="4"/>
    <n v="86.473684210526301"/>
    <n v="31562.8947368421"/>
    <n v="113626.42105263199"/>
  </r>
  <r>
    <x v="0"/>
    <x v="0"/>
    <x v="0"/>
    <x v="0"/>
    <x v="0"/>
    <s v="DK1_Medium"/>
    <x v="3"/>
    <s v="GNR_GT_NGAS_BP_E-43"/>
    <x v="0"/>
    <x v="16"/>
    <n v="86.473684210526301"/>
    <n v="31562.8947368421"/>
    <n v="113626.42105263199"/>
  </r>
  <r>
    <x v="0"/>
    <x v="0"/>
    <x v="0"/>
    <x v="0"/>
    <x v="0"/>
    <s v="DK1_Medium"/>
    <x v="3"/>
    <s v="GNR_GT_NGAS_BP_E-43"/>
    <x v="0"/>
    <x v="5"/>
    <n v="86.473684210526301"/>
    <n v="31562.8947368421"/>
    <n v="113626.42105263199"/>
  </r>
  <r>
    <x v="0"/>
    <x v="0"/>
    <x v="0"/>
    <x v="0"/>
    <x v="0"/>
    <s v="DK1_Medium"/>
    <x v="3"/>
    <s v="GNR_GT_NGAS_BP_E-43"/>
    <x v="0"/>
    <x v="17"/>
    <n v="86.473684210526301"/>
    <n v="31562.8947368421"/>
    <n v="113626.42105263199"/>
  </r>
  <r>
    <x v="0"/>
    <x v="0"/>
    <x v="0"/>
    <x v="0"/>
    <x v="0"/>
    <s v="DK1_Medium"/>
    <x v="3"/>
    <s v="GNR_GT_NGAS_BP_E-43"/>
    <x v="0"/>
    <x v="18"/>
    <n v="86.473684210526301"/>
    <n v="31562.8947368421"/>
    <n v="113626.42105263199"/>
  </r>
  <r>
    <x v="0"/>
    <x v="0"/>
    <x v="0"/>
    <x v="0"/>
    <x v="0"/>
    <s v="DK1_Medium"/>
    <x v="3"/>
    <s v="GNR_GT_NGAS_BP_E-43"/>
    <x v="0"/>
    <x v="19"/>
    <n v="86.473684210526301"/>
    <n v="31562.8947368421"/>
    <n v="113626.42105263199"/>
  </r>
  <r>
    <x v="0"/>
    <x v="0"/>
    <x v="0"/>
    <x v="0"/>
    <x v="0"/>
    <s v="DK1_Medium"/>
    <x v="3"/>
    <s v="GNR_GT_NGAS_BP_E-43"/>
    <x v="0"/>
    <x v="20"/>
    <n v="86.473684210526301"/>
    <n v="31562.8947368421"/>
    <n v="113626.42105263199"/>
  </r>
  <r>
    <x v="0"/>
    <x v="0"/>
    <x v="0"/>
    <x v="0"/>
    <x v="0"/>
    <s v="DK1_Medium"/>
    <x v="3"/>
    <s v="GNR_GT_NGAS_BP_E-43"/>
    <x v="0"/>
    <x v="21"/>
    <n v="86.473684210526301"/>
    <n v="31562.8947368421"/>
    <n v="113626.42105263199"/>
  </r>
  <r>
    <x v="0"/>
    <x v="0"/>
    <x v="0"/>
    <x v="0"/>
    <x v="0"/>
    <s v="DK1_Medium"/>
    <x v="3"/>
    <s v="GNR_GT_NGAS_BP_E-43"/>
    <x v="0"/>
    <x v="22"/>
    <n v="86.473684210526301"/>
    <n v="31562.8947368421"/>
    <n v="113626.42105263199"/>
  </r>
  <r>
    <x v="0"/>
    <x v="0"/>
    <x v="0"/>
    <x v="0"/>
    <x v="0"/>
    <s v="DK1_Medium"/>
    <x v="3"/>
    <s v="GNR_GT_NGAS_BP_E-43"/>
    <x v="0"/>
    <x v="23"/>
    <n v="86.473684210526301"/>
    <n v="31562.8947368421"/>
    <n v="113626.42105263199"/>
  </r>
  <r>
    <x v="0"/>
    <x v="0"/>
    <x v="0"/>
    <x v="0"/>
    <x v="0"/>
    <s v="DK1_Medium"/>
    <x v="3"/>
    <s v="GNR_GT_NGAS_BP_E-44"/>
    <x v="0"/>
    <x v="6"/>
    <n v="60"/>
    <n v="21900"/>
    <n v="78840"/>
  </r>
  <r>
    <x v="0"/>
    <x v="0"/>
    <x v="0"/>
    <x v="0"/>
    <x v="0"/>
    <s v="DK1_Medium"/>
    <x v="3"/>
    <s v="GNR_GT_NGAS_BP_E-44"/>
    <x v="0"/>
    <x v="7"/>
    <n v="60"/>
    <n v="21900"/>
    <n v="78840"/>
  </r>
  <r>
    <x v="0"/>
    <x v="0"/>
    <x v="0"/>
    <x v="0"/>
    <x v="0"/>
    <s v="DK1_Medium"/>
    <x v="3"/>
    <s v="GNR_GT_NGAS_BP_E-44"/>
    <x v="0"/>
    <x v="8"/>
    <n v="60"/>
    <n v="21900"/>
    <n v="78840"/>
  </r>
  <r>
    <x v="0"/>
    <x v="0"/>
    <x v="0"/>
    <x v="0"/>
    <x v="0"/>
    <s v="DK1_Medium"/>
    <x v="3"/>
    <s v="GNR_GT_NGAS_BP_E-44"/>
    <x v="0"/>
    <x v="9"/>
    <n v="60"/>
    <n v="21900"/>
    <n v="78840"/>
  </r>
  <r>
    <x v="0"/>
    <x v="0"/>
    <x v="0"/>
    <x v="0"/>
    <x v="0"/>
    <s v="DK1_Medium"/>
    <x v="3"/>
    <s v="GNR_GT_NGAS_BP_E-44"/>
    <x v="0"/>
    <x v="10"/>
    <n v="60"/>
    <n v="21900"/>
    <n v="78840"/>
  </r>
  <r>
    <x v="0"/>
    <x v="0"/>
    <x v="0"/>
    <x v="0"/>
    <x v="0"/>
    <s v="DK1_Medium"/>
    <x v="3"/>
    <s v="GNR_GT_NGAS_BP_E-44"/>
    <x v="0"/>
    <x v="11"/>
    <n v="60"/>
    <n v="21900"/>
    <n v="78840"/>
  </r>
  <r>
    <x v="0"/>
    <x v="0"/>
    <x v="0"/>
    <x v="0"/>
    <x v="0"/>
    <s v="DK1_Medium"/>
    <x v="3"/>
    <s v="GNR_GT_NGAS_BP_E-44"/>
    <x v="0"/>
    <x v="0"/>
    <n v="60"/>
    <n v="21900"/>
    <n v="78840"/>
  </r>
  <r>
    <x v="0"/>
    <x v="0"/>
    <x v="0"/>
    <x v="0"/>
    <x v="0"/>
    <s v="DK1_Medium"/>
    <x v="3"/>
    <s v="GNR_GT_NGAS_BP_E-44"/>
    <x v="0"/>
    <x v="1"/>
    <n v="60"/>
    <n v="21900"/>
    <n v="78840"/>
  </r>
  <r>
    <x v="0"/>
    <x v="0"/>
    <x v="0"/>
    <x v="0"/>
    <x v="0"/>
    <s v="DK1_Medium"/>
    <x v="3"/>
    <s v="GNR_GT_NGAS_BP_E-44"/>
    <x v="0"/>
    <x v="2"/>
    <n v="60"/>
    <n v="21900"/>
    <n v="78840"/>
  </r>
  <r>
    <x v="0"/>
    <x v="0"/>
    <x v="0"/>
    <x v="0"/>
    <x v="0"/>
    <s v="DK1_Medium"/>
    <x v="3"/>
    <s v="GNR_GT_NGAS_BP_E-44"/>
    <x v="0"/>
    <x v="3"/>
    <n v="60"/>
    <n v="21900"/>
    <n v="78840"/>
  </r>
  <r>
    <x v="0"/>
    <x v="0"/>
    <x v="0"/>
    <x v="0"/>
    <x v="0"/>
    <s v="DK1_Medium"/>
    <x v="3"/>
    <s v="GNR_GT_NGAS_BP_E-44"/>
    <x v="0"/>
    <x v="12"/>
    <n v="60"/>
    <n v="21900"/>
    <n v="78840"/>
  </r>
  <r>
    <x v="0"/>
    <x v="0"/>
    <x v="0"/>
    <x v="0"/>
    <x v="0"/>
    <s v="DK1_Medium"/>
    <x v="3"/>
    <s v="GNR_GT_NGAS_BP_E-44"/>
    <x v="0"/>
    <x v="13"/>
    <n v="60"/>
    <n v="21900"/>
    <n v="78840"/>
  </r>
  <r>
    <x v="0"/>
    <x v="0"/>
    <x v="0"/>
    <x v="0"/>
    <x v="0"/>
    <s v="DK1_Medium"/>
    <x v="3"/>
    <s v="GNR_GT_NGAS_BP_E-44"/>
    <x v="0"/>
    <x v="14"/>
    <n v="60"/>
    <n v="21900"/>
    <n v="78840"/>
  </r>
  <r>
    <x v="0"/>
    <x v="0"/>
    <x v="0"/>
    <x v="0"/>
    <x v="0"/>
    <s v="DK1_Medium"/>
    <x v="3"/>
    <s v="GNR_GT_NGAS_BP_E-44"/>
    <x v="0"/>
    <x v="15"/>
    <n v="60"/>
    <n v="21900"/>
    <n v="78840"/>
  </r>
  <r>
    <x v="0"/>
    <x v="0"/>
    <x v="0"/>
    <x v="0"/>
    <x v="0"/>
    <s v="DK1_Medium"/>
    <x v="3"/>
    <s v="GNR_GT_NGAS_BP_E-44"/>
    <x v="0"/>
    <x v="4"/>
    <n v="60"/>
    <n v="21900"/>
    <n v="78840"/>
  </r>
  <r>
    <x v="0"/>
    <x v="0"/>
    <x v="0"/>
    <x v="0"/>
    <x v="0"/>
    <s v="DK1_Medium"/>
    <x v="3"/>
    <s v="GNR_GT_NGAS_BP_E-44"/>
    <x v="0"/>
    <x v="16"/>
    <n v="60"/>
    <n v="21900"/>
    <n v="78840"/>
  </r>
  <r>
    <x v="0"/>
    <x v="0"/>
    <x v="0"/>
    <x v="0"/>
    <x v="0"/>
    <s v="DK1_Medium"/>
    <x v="3"/>
    <s v="GNR_GT_NGAS_BP_E-44"/>
    <x v="0"/>
    <x v="5"/>
    <n v="60"/>
    <n v="21900"/>
    <n v="78840"/>
  </r>
  <r>
    <x v="0"/>
    <x v="0"/>
    <x v="0"/>
    <x v="0"/>
    <x v="0"/>
    <s v="DK1_Medium"/>
    <x v="3"/>
    <s v="GNR_GT_NGAS_BP_E-44"/>
    <x v="0"/>
    <x v="17"/>
    <n v="60"/>
    <n v="21900"/>
    <n v="78840"/>
  </r>
  <r>
    <x v="0"/>
    <x v="0"/>
    <x v="0"/>
    <x v="0"/>
    <x v="0"/>
    <s v="DK1_Medium"/>
    <x v="3"/>
    <s v="GNR_GT_NGAS_BP_E-44"/>
    <x v="0"/>
    <x v="18"/>
    <n v="60"/>
    <n v="21900"/>
    <n v="78840"/>
  </r>
  <r>
    <x v="0"/>
    <x v="0"/>
    <x v="0"/>
    <x v="0"/>
    <x v="0"/>
    <s v="DK1_Medium"/>
    <x v="3"/>
    <s v="GNR_GT_NGAS_BP_E-44"/>
    <x v="0"/>
    <x v="19"/>
    <n v="60"/>
    <n v="21900"/>
    <n v="78840"/>
  </r>
  <r>
    <x v="0"/>
    <x v="0"/>
    <x v="0"/>
    <x v="0"/>
    <x v="0"/>
    <s v="DK1_Medium"/>
    <x v="3"/>
    <s v="GNR_GT_NGAS_BP_E-44"/>
    <x v="0"/>
    <x v="20"/>
    <n v="60"/>
    <n v="21900"/>
    <n v="78840"/>
  </r>
  <r>
    <x v="0"/>
    <x v="0"/>
    <x v="0"/>
    <x v="0"/>
    <x v="0"/>
    <s v="DK1_Medium"/>
    <x v="3"/>
    <s v="GNR_GT_NGAS_BP_E-44"/>
    <x v="0"/>
    <x v="21"/>
    <n v="60"/>
    <n v="21900"/>
    <n v="78840"/>
  </r>
  <r>
    <x v="0"/>
    <x v="0"/>
    <x v="0"/>
    <x v="0"/>
    <x v="0"/>
    <s v="DK1_Medium"/>
    <x v="3"/>
    <s v="GNR_GT_NGAS_BP_E-44"/>
    <x v="0"/>
    <x v="22"/>
    <n v="60"/>
    <n v="21900"/>
    <n v="78840"/>
  </r>
  <r>
    <x v="0"/>
    <x v="0"/>
    <x v="0"/>
    <x v="0"/>
    <x v="0"/>
    <s v="DK1_Medium"/>
    <x v="3"/>
    <s v="GNR_GT_NGAS_BP_E-44"/>
    <x v="0"/>
    <x v="23"/>
    <n v="60"/>
    <n v="21900"/>
    <n v="78840"/>
  </r>
  <r>
    <x v="0"/>
    <x v="0"/>
    <x v="0"/>
    <x v="0"/>
    <x v="0"/>
    <s v="DK1_Medium"/>
    <x v="3"/>
    <s v="GNR_GT_NGAS_BP_E-47"/>
    <x v="0"/>
    <x v="6"/>
    <n v="114.26315789473701"/>
    <n v="41706.052631578903"/>
    <n v="150141.78947368401"/>
  </r>
  <r>
    <x v="0"/>
    <x v="0"/>
    <x v="0"/>
    <x v="0"/>
    <x v="0"/>
    <s v="DK1_Medium"/>
    <x v="3"/>
    <s v="GNR_GT_NGAS_BP_E-47"/>
    <x v="0"/>
    <x v="7"/>
    <n v="114.26315789473701"/>
    <n v="41706.052631578903"/>
    <n v="150141.78947368401"/>
  </r>
  <r>
    <x v="0"/>
    <x v="0"/>
    <x v="0"/>
    <x v="0"/>
    <x v="0"/>
    <s v="DK1_Medium"/>
    <x v="3"/>
    <s v="GNR_GT_NGAS_BP_E-47"/>
    <x v="0"/>
    <x v="8"/>
    <n v="114.26315789473701"/>
    <n v="41706.052631578903"/>
    <n v="150141.78947368401"/>
  </r>
  <r>
    <x v="0"/>
    <x v="0"/>
    <x v="0"/>
    <x v="0"/>
    <x v="0"/>
    <s v="DK1_Medium"/>
    <x v="3"/>
    <s v="GNR_GT_NGAS_BP_E-47"/>
    <x v="0"/>
    <x v="9"/>
    <n v="114.26315789473701"/>
    <n v="41706.052631578903"/>
    <n v="150141.78947368401"/>
  </r>
  <r>
    <x v="0"/>
    <x v="0"/>
    <x v="0"/>
    <x v="0"/>
    <x v="0"/>
    <s v="DK1_Medium"/>
    <x v="3"/>
    <s v="GNR_GT_NGAS_BP_E-47"/>
    <x v="0"/>
    <x v="10"/>
    <n v="114.26315789473701"/>
    <n v="41706.052631578903"/>
    <n v="150141.78947368401"/>
  </r>
  <r>
    <x v="0"/>
    <x v="0"/>
    <x v="0"/>
    <x v="0"/>
    <x v="0"/>
    <s v="DK1_Medium"/>
    <x v="3"/>
    <s v="GNR_GT_NGAS_BP_E-47"/>
    <x v="0"/>
    <x v="11"/>
    <n v="114.26315789473701"/>
    <n v="41706.052631578903"/>
    <n v="150141.78947368401"/>
  </r>
  <r>
    <x v="0"/>
    <x v="0"/>
    <x v="0"/>
    <x v="0"/>
    <x v="0"/>
    <s v="DK1_Medium"/>
    <x v="3"/>
    <s v="GNR_GT_NGAS_BP_E-47"/>
    <x v="0"/>
    <x v="0"/>
    <n v="114.26315789473701"/>
    <n v="41706.052631578903"/>
    <n v="150141.78947368401"/>
  </r>
  <r>
    <x v="0"/>
    <x v="0"/>
    <x v="0"/>
    <x v="0"/>
    <x v="0"/>
    <s v="DK1_Medium"/>
    <x v="3"/>
    <s v="GNR_GT_NGAS_BP_E-47"/>
    <x v="0"/>
    <x v="1"/>
    <n v="114.26315789473701"/>
    <n v="41706.052631578903"/>
    <n v="150141.78947368401"/>
  </r>
  <r>
    <x v="0"/>
    <x v="0"/>
    <x v="0"/>
    <x v="0"/>
    <x v="0"/>
    <s v="DK1_Medium"/>
    <x v="3"/>
    <s v="GNR_GT_NGAS_BP_E-47"/>
    <x v="0"/>
    <x v="2"/>
    <n v="114.26315789473701"/>
    <n v="41706.052631578903"/>
    <n v="150141.78947368401"/>
  </r>
  <r>
    <x v="0"/>
    <x v="0"/>
    <x v="0"/>
    <x v="0"/>
    <x v="0"/>
    <s v="DK1_Medium"/>
    <x v="3"/>
    <s v="GNR_GT_NGAS_BP_E-47"/>
    <x v="0"/>
    <x v="3"/>
    <n v="114.26315789473701"/>
    <n v="41706.052631578903"/>
    <n v="150141.78947368401"/>
  </r>
  <r>
    <x v="0"/>
    <x v="0"/>
    <x v="0"/>
    <x v="0"/>
    <x v="0"/>
    <s v="DK1_Medium"/>
    <x v="3"/>
    <s v="GNR_GT_NGAS_BP_E-47"/>
    <x v="0"/>
    <x v="12"/>
    <n v="114.26315789473701"/>
    <n v="41706.052631578903"/>
    <n v="150141.78947368401"/>
  </r>
  <r>
    <x v="0"/>
    <x v="0"/>
    <x v="0"/>
    <x v="0"/>
    <x v="0"/>
    <s v="DK1_Medium"/>
    <x v="3"/>
    <s v="GNR_GT_NGAS_BP_E-47"/>
    <x v="0"/>
    <x v="13"/>
    <n v="114.26315789473701"/>
    <n v="41706.052631578903"/>
    <n v="150141.78947368401"/>
  </r>
  <r>
    <x v="0"/>
    <x v="0"/>
    <x v="0"/>
    <x v="0"/>
    <x v="0"/>
    <s v="DK1_Medium"/>
    <x v="3"/>
    <s v="GNR_GT_NGAS_BP_E-47"/>
    <x v="0"/>
    <x v="14"/>
    <n v="114.26315789473701"/>
    <n v="41706.052631578903"/>
    <n v="150141.78947368401"/>
  </r>
  <r>
    <x v="0"/>
    <x v="0"/>
    <x v="0"/>
    <x v="0"/>
    <x v="0"/>
    <s v="DK1_Medium"/>
    <x v="3"/>
    <s v="GNR_GT_NGAS_BP_E-47"/>
    <x v="0"/>
    <x v="15"/>
    <n v="114.26315789473701"/>
    <n v="41706.052631578903"/>
    <n v="150141.78947368401"/>
  </r>
  <r>
    <x v="0"/>
    <x v="0"/>
    <x v="0"/>
    <x v="0"/>
    <x v="0"/>
    <s v="DK1_Medium"/>
    <x v="3"/>
    <s v="GNR_GT_NGAS_BP_E-47"/>
    <x v="0"/>
    <x v="4"/>
    <n v="114.26315789473701"/>
    <n v="41706.052631578903"/>
    <n v="150141.78947368401"/>
  </r>
  <r>
    <x v="0"/>
    <x v="0"/>
    <x v="0"/>
    <x v="0"/>
    <x v="0"/>
    <s v="DK1_Medium"/>
    <x v="3"/>
    <s v="GNR_GT_NGAS_BP_E-47"/>
    <x v="0"/>
    <x v="16"/>
    <n v="114.26315789473701"/>
    <n v="41706.052631578903"/>
    <n v="150141.78947368401"/>
  </r>
  <r>
    <x v="0"/>
    <x v="0"/>
    <x v="0"/>
    <x v="0"/>
    <x v="0"/>
    <s v="DK1_Medium"/>
    <x v="3"/>
    <s v="GNR_GT_NGAS_BP_E-47"/>
    <x v="0"/>
    <x v="5"/>
    <n v="114.26315789473701"/>
    <n v="41706.052631578903"/>
    <n v="150141.78947368401"/>
  </r>
  <r>
    <x v="0"/>
    <x v="0"/>
    <x v="0"/>
    <x v="0"/>
    <x v="0"/>
    <s v="DK1_Medium"/>
    <x v="3"/>
    <s v="GNR_GT_NGAS_BP_E-47"/>
    <x v="0"/>
    <x v="17"/>
    <n v="114.26315789473701"/>
    <n v="41706.052631578903"/>
    <n v="150141.78947368401"/>
  </r>
  <r>
    <x v="0"/>
    <x v="0"/>
    <x v="0"/>
    <x v="0"/>
    <x v="0"/>
    <s v="DK1_Medium"/>
    <x v="3"/>
    <s v="GNR_GT_NGAS_BP_E-47"/>
    <x v="0"/>
    <x v="18"/>
    <n v="114.26315789473701"/>
    <n v="41706.052631578903"/>
    <n v="150141.78947368401"/>
  </r>
  <r>
    <x v="0"/>
    <x v="0"/>
    <x v="0"/>
    <x v="0"/>
    <x v="0"/>
    <s v="DK1_Medium"/>
    <x v="3"/>
    <s v="GNR_GT_NGAS_BP_E-47"/>
    <x v="0"/>
    <x v="19"/>
    <n v="114.26315789473701"/>
    <n v="41706.052631578903"/>
    <n v="150141.78947368401"/>
  </r>
  <r>
    <x v="0"/>
    <x v="0"/>
    <x v="0"/>
    <x v="0"/>
    <x v="0"/>
    <s v="DK1_Medium"/>
    <x v="3"/>
    <s v="GNR_GT_NGAS_BP_E-47"/>
    <x v="0"/>
    <x v="20"/>
    <n v="114.26315789473701"/>
    <n v="41706.052631578903"/>
    <n v="150141.78947368401"/>
  </r>
  <r>
    <x v="0"/>
    <x v="0"/>
    <x v="0"/>
    <x v="0"/>
    <x v="0"/>
    <s v="DK1_Medium"/>
    <x v="3"/>
    <s v="GNR_GT_NGAS_BP_E-47"/>
    <x v="0"/>
    <x v="21"/>
    <n v="114.26315789473701"/>
    <n v="41706.052631578903"/>
    <n v="150141.78947368401"/>
  </r>
  <r>
    <x v="0"/>
    <x v="0"/>
    <x v="0"/>
    <x v="0"/>
    <x v="0"/>
    <s v="DK1_Medium"/>
    <x v="3"/>
    <s v="GNR_GT_NGAS_BP_E-47"/>
    <x v="0"/>
    <x v="22"/>
    <n v="114.26315789473701"/>
    <n v="41706.052631578903"/>
    <n v="150141.78947368401"/>
  </r>
  <r>
    <x v="0"/>
    <x v="0"/>
    <x v="0"/>
    <x v="0"/>
    <x v="0"/>
    <s v="DK1_Medium"/>
    <x v="3"/>
    <s v="GNR_GT_NGAS_BP_E-47"/>
    <x v="0"/>
    <x v="23"/>
    <n v="114.26315789473701"/>
    <n v="41706.052631578903"/>
    <n v="150141.78947368401"/>
  </r>
  <r>
    <x v="0"/>
    <x v="0"/>
    <x v="0"/>
    <x v="0"/>
    <x v="0"/>
    <s v="DK1_Medium"/>
    <x v="5"/>
    <s v="GNR_GEO_HEAT_HO"/>
    <x v="0"/>
    <x v="8"/>
    <n v="10"/>
    <n v="3650"/>
    <n v="13140"/>
  </r>
  <r>
    <x v="0"/>
    <x v="0"/>
    <x v="0"/>
    <x v="0"/>
    <x v="0"/>
    <s v="DK1_Medium"/>
    <x v="5"/>
    <s v="GNR_GEO_HEAT_HO"/>
    <x v="0"/>
    <x v="9"/>
    <n v="2.3880303997509502"/>
    <n v="871.63109590909596"/>
    <n v="3137.8719452727501"/>
  </r>
  <r>
    <x v="0"/>
    <x v="0"/>
    <x v="0"/>
    <x v="0"/>
    <x v="0"/>
    <s v="DK1_Medium"/>
    <x v="5"/>
    <s v="GNR_GEO_HEAT_HO"/>
    <x v="0"/>
    <x v="10"/>
    <n v="10"/>
    <n v="3650"/>
    <n v="13140"/>
  </r>
  <r>
    <x v="0"/>
    <x v="0"/>
    <x v="0"/>
    <x v="0"/>
    <x v="0"/>
    <s v="DK1_Medium"/>
    <x v="5"/>
    <s v="GNR_GEO_HEAT_HO"/>
    <x v="0"/>
    <x v="11"/>
    <n v="10"/>
    <n v="3650"/>
    <n v="13140"/>
  </r>
  <r>
    <x v="0"/>
    <x v="0"/>
    <x v="0"/>
    <x v="0"/>
    <x v="0"/>
    <s v="DK1_Medium"/>
    <x v="5"/>
    <s v="GNR_GEO_HEAT_HO"/>
    <x v="0"/>
    <x v="13"/>
    <n v="10"/>
    <n v="3650"/>
    <n v="13140"/>
  </r>
  <r>
    <x v="0"/>
    <x v="0"/>
    <x v="0"/>
    <x v="0"/>
    <x v="0"/>
    <s v="DK1_Medium"/>
    <x v="5"/>
    <s v="GNR_GEO_HEAT_HO"/>
    <x v="0"/>
    <x v="14"/>
    <n v="10"/>
    <n v="3650"/>
    <n v="13140"/>
  </r>
  <r>
    <x v="0"/>
    <x v="0"/>
    <x v="0"/>
    <x v="0"/>
    <x v="0"/>
    <s v="DK1_Medium"/>
    <x v="5"/>
    <s v="GNR_GEO_HEAT_HO"/>
    <x v="0"/>
    <x v="15"/>
    <n v="10"/>
    <n v="3650"/>
    <n v="13140"/>
  </r>
  <r>
    <x v="0"/>
    <x v="0"/>
    <x v="0"/>
    <x v="0"/>
    <x v="0"/>
    <s v="DK1_Medium"/>
    <x v="5"/>
    <s v="GNR_GEO_HEAT_HO"/>
    <x v="0"/>
    <x v="4"/>
    <n v="10"/>
    <n v="3650"/>
    <n v="13140"/>
  </r>
  <r>
    <x v="0"/>
    <x v="0"/>
    <x v="0"/>
    <x v="0"/>
    <x v="0"/>
    <s v="DK1_Medium"/>
    <x v="5"/>
    <s v="GNR_GEO_HEAT_HO"/>
    <x v="0"/>
    <x v="16"/>
    <n v="10"/>
    <n v="3650"/>
    <n v="13140"/>
  </r>
  <r>
    <x v="0"/>
    <x v="0"/>
    <x v="0"/>
    <x v="0"/>
    <x v="0"/>
    <s v="DK1_Medium"/>
    <x v="5"/>
    <s v="GNR_GEO_HEAT_HO"/>
    <x v="0"/>
    <x v="5"/>
    <n v="10"/>
    <n v="3650"/>
    <n v="13140"/>
  </r>
  <r>
    <x v="0"/>
    <x v="0"/>
    <x v="0"/>
    <x v="0"/>
    <x v="0"/>
    <s v="DK1_Medium"/>
    <x v="5"/>
    <s v="GNR_GEO_HEAT_HO"/>
    <x v="0"/>
    <x v="17"/>
    <n v="10"/>
    <n v="3650"/>
    <n v="13140"/>
  </r>
  <r>
    <x v="0"/>
    <x v="0"/>
    <x v="0"/>
    <x v="0"/>
    <x v="0"/>
    <s v="DK1_Medium"/>
    <x v="5"/>
    <s v="GNR_GEO_HEAT_HO"/>
    <x v="0"/>
    <x v="18"/>
    <n v="10"/>
    <n v="3650"/>
    <n v="13140"/>
  </r>
  <r>
    <x v="0"/>
    <x v="0"/>
    <x v="0"/>
    <x v="0"/>
    <x v="0"/>
    <s v="DK1_Medium"/>
    <x v="5"/>
    <s v="GNR_GEO_HEAT_HO"/>
    <x v="0"/>
    <x v="19"/>
    <n v="10"/>
    <n v="3650"/>
    <n v="13140"/>
  </r>
  <r>
    <x v="0"/>
    <x v="0"/>
    <x v="0"/>
    <x v="0"/>
    <x v="0"/>
    <s v="DK1_Medium"/>
    <x v="5"/>
    <s v="GNR_GEO_HEAT_HO"/>
    <x v="0"/>
    <x v="20"/>
    <n v="10"/>
    <n v="3650"/>
    <n v="13140"/>
  </r>
  <r>
    <x v="0"/>
    <x v="0"/>
    <x v="0"/>
    <x v="0"/>
    <x v="0"/>
    <s v="DK1_Medium"/>
    <x v="5"/>
    <s v="GNR_GEO_HEAT_HO"/>
    <x v="0"/>
    <x v="21"/>
    <n v="10"/>
    <n v="3650"/>
    <n v="13140"/>
  </r>
  <r>
    <x v="0"/>
    <x v="0"/>
    <x v="0"/>
    <x v="0"/>
    <x v="0"/>
    <s v="DK1_Medium"/>
    <x v="5"/>
    <s v="GNR_GEO_HEAT_HO"/>
    <x v="0"/>
    <x v="22"/>
    <n v="10"/>
    <n v="3650"/>
    <n v="13140"/>
  </r>
  <r>
    <x v="0"/>
    <x v="0"/>
    <x v="0"/>
    <x v="0"/>
    <x v="0"/>
    <s v="DK1_Medium"/>
    <x v="5"/>
    <s v="GNR_GEO_HEAT_HO"/>
    <x v="0"/>
    <x v="23"/>
    <n v="10"/>
    <n v="3650"/>
    <n v="13140"/>
  </r>
  <r>
    <x v="0"/>
    <x v="0"/>
    <x v="0"/>
    <x v="0"/>
    <x v="0"/>
    <s v="DK1_Medium"/>
    <x v="6"/>
    <s v="GNR_ST_WOODCHI_BP_E-27"/>
    <x v="0"/>
    <x v="0"/>
    <n v="152.941176470588"/>
    <n v="55823.529411764699"/>
    <n v="200964.70588235301"/>
  </r>
  <r>
    <x v="0"/>
    <x v="0"/>
    <x v="0"/>
    <x v="0"/>
    <x v="0"/>
    <s v="DK1_Medium"/>
    <x v="6"/>
    <s v="GNR_ST_WOODCHI_BP_E-27"/>
    <x v="0"/>
    <x v="1"/>
    <n v="152.941176470588"/>
    <n v="55823.529411764699"/>
    <n v="200964.70588235301"/>
  </r>
  <r>
    <x v="0"/>
    <x v="0"/>
    <x v="0"/>
    <x v="0"/>
    <x v="0"/>
    <s v="DK1_Medium"/>
    <x v="6"/>
    <s v="GNR_ST_WOODCHI_BP_E-27"/>
    <x v="0"/>
    <x v="2"/>
    <n v="152.941176470588"/>
    <n v="55823.529411764699"/>
    <n v="200964.70588235301"/>
  </r>
  <r>
    <x v="0"/>
    <x v="0"/>
    <x v="0"/>
    <x v="0"/>
    <x v="0"/>
    <s v="DK1_Medium"/>
    <x v="6"/>
    <s v="GNR_ST_WOODCHI_BP_E-27"/>
    <x v="0"/>
    <x v="3"/>
    <n v="152.941176470588"/>
    <n v="55823.529411764699"/>
    <n v="200964.70588235301"/>
  </r>
  <r>
    <x v="0"/>
    <x v="0"/>
    <x v="0"/>
    <x v="0"/>
    <x v="0"/>
    <s v="DK1_Medium"/>
    <x v="6"/>
    <s v="GNR_ST_WOODCHI_BP_E-30"/>
    <x v="0"/>
    <x v="0"/>
    <n v="265.88235294117601"/>
    <n v="97047.058823529398"/>
    <n v="349369.41176470602"/>
  </r>
  <r>
    <x v="0"/>
    <x v="0"/>
    <x v="0"/>
    <x v="0"/>
    <x v="0"/>
    <s v="DK1_Medium"/>
    <x v="6"/>
    <s v="GNR_ST_WOODCHI_BP_E-30"/>
    <x v="0"/>
    <x v="1"/>
    <n v="265.88235294117601"/>
    <n v="97047.058823529398"/>
    <n v="349369.41176470602"/>
  </r>
  <r>
    <x v="0"/>
    <x v="0"/>
    <x v="0"/>
    <x v="0"/>
    <x v="0"/>
    <s v="DK1_Medium"/>
    <x v="6"/>
    <s v="GNR_ST_WOODCHI_BP_E-30"/>
    <x v="0"/>
    <x v="2"/>
    <n v="265.88235294117601"/>
    <n v="97047.058823529398"/>
    <n v="349369.41176470602"/>
  </r>
  <r>
    <x v="0"/>
    <x v="0"/>
    <x v="0"/>
    <x v="0"/>
    <x v="0"/>
    <s v="DK1_Medium"/>
    <x v="6"/>
    <s v="GNR_ST_WOODCHI_BP_E-30"/>
    <x v="0"/>
    <x v="3"/>
    <n v="265.88235294117601"/>
    <n v="97047.058823529398"/>
    <n v="349369.41176470602"/>
  </r>
  <r>
    <x v="0"/>
    <x v="0"/>
    <x v="0"/>
    <x v="0"/>
    <x v="0"/>
    <s v="DK1_Medium"/>
    <x v="6"/>
    <s v="GNR_ST_WOODCHI_BP_E-30"/>
    <x v="0"/>
    <x v="12"/>
    <n v="265.88235294117601"/>
    <n v="97047.058823529398"/>
    <n v="349369.41176470602"/>
  </r>
  <r>
    <x v="0"/>
    <x v="0"/>
    <x v="0"/>
    <x v="0"/>
    <x v="0"/>
    <s v="DK1_Medium"/>
    <x v="6"/>
    <s v="GNR_ST_WOODCHI_BP_E-30"/>
    <x v="0"/>
    <x v="13"/>
    <n v="242.41775754071401"/>
    <n v="88482.481502360606"/>
    <n v="318536.93340849801"/>
  </r>
  <r>
    <x v="0"/>
    <x v="0"/>
    <x v="0"/>
    <x v="0"/>
    <x v="0"/>
    <s v="DK1_Medium"/>
    <x v="6"/>
    <s v="GNR_ST_WOODCHI_BP_E-30"/>
    <x v="0"/>
    <x v="15"/>
    <n v="3.0345028459615699"/>
    <n v="1107.59353877597"/>
    <n v="3987.3367395935002"/>
  </r>
  <r>
    <x v="0"/>
    <x v="0"/>
    <x v="0"/>
    <x v="0"/>
    <x v="0"/>
    <s v="DK1_Medium"/>
    <x v="6"/>
    <s v="GNR_ST_WOODCHI_BP_E-30"/>
    <x v="0"/>
    <x v="4"/>
    <n v="265.88235294117601"/>
    <n v="97047.058823529398"/>
    <n v="349369.41176470602"/>
  </r>
  <r>
    <x v="0"/>
    <x v="0"/>
    <x v="0"/>
    <x v="0"/>
    <x v="0"/>
    <s v="DK1_Medium"/>
    <x v="6"/>
    <s v="GNR_ST_WOODCHI_BP_E-30"/>
    <x v="0"/>
    <x v="16"/>
    <n v="224.43366732310901"/>
    <n v="81918.288572934995"/>
    <n v="294905.83886256599"/>
  </r>
  <r>
    <x v="0"/>
    <x v="0"/>
    <x v="0"/>
    <x v="0"/>
    <x v="0"/>
    <s v="DK1_Medium"/>
    <x v="6"/>
    <s v="GNR_ST_WOODCHI_BP_E-30"/>
    <x v="0"/>
    <x v="5"/>
    <n v="265.88235294117601"/>
    <n v="97047.058823529398"/>
    <n v="349369.41176470602"/>
  </r>
  <r>
    <x v="0"/>
    <x v="0"/>
    <x v="0"/>
    <x v="0"/>
    <x v="0"/>
    <s v="DK1_Medium"/>
    <x v="6"/>
    <s v="GNR_ST_WOODCHI_BP_E-30"/>
    <x v="0"/>
    <x v="17"/>
    <n v="234.549718070512"/>
    <n v="85610.647095736902"/>
    <n v="308198.32954465301"/>
  </r>
  <r>
    <x v="0"/>
    <x v="0"/>
    <x v="0"/>
    <x v="0"/>
    <x v="0"/>
    <s v="DK1_Medium"/>
    <x v="6"/>
    <s v="GNR_ST_WOODCHI_BP_E-30"/>
    <x v="0"/>
    <x v="18"/>
    <n v="233.42571243191199"/>
    <n v="85200.385037647793"/>
    <n v="306721.386135532"/>
  </r>
  <r>
    <x v="0"/>
    <x v="0"/>
    <x v="0"/>
    <x v="0"/>
    <x v="0"/>
    <s v="DK1_NoDH"/>
    <x v="3"/>
    <s v="GNR_ENG_NGAS_BP_E-33"/>
    <x v="0"/>
    <x v="0"/>
    <n v="0.15"/>
    <n v="54.75"/>
    <n v="197.1"/>
  </r>
  <r>
    <x v="0"/>
    <x v="0"/>
    <x v="0"/>
    <x v="0"/>
    <x v="0"/>
    <s v="DK1_NoDH"/>
    <x v="3"/>
    <s v="GNR_ENG_NGAS_BP_E-33"/>
    <x v="0"/>
    <x v="1"/>
    <n v="0.15"/>
    <n v="54.75"/>
    <n v="197.1"/>
  </r>
  <r>
    <x v="0"/>
    <x v="0"/>
    <x v="0"/>
    <x v="0"/>
    <x v="0"/>
    <s v="DK1_NoDH"/>
    <x v="3"/>
    <s v="GNR_ENG_NGAS_BP_E-33"/>
    <x v="0"/>
    <x v="2"/>
    <n v="0.15"/>
    <n v="54.75"/>
    <n v="197.1"/>
  </r>
  <r>
    <x v="0"/>
    <x v="0"/>
    <x v="0"/>
    <x v="0"/>
    <x v="0"/>
    <s v="DK1_NoDH"/>
    <x v="3"/>
    <s v="GNR_ENG_NGAS_BP_E-33"/>
    <x v="0"/>
    <x v="3"/>
    <n v="0.15"/>
    <n v="54.75"/>
    <n v="197.1"/>
  </r>
  <r>
    <x v="0"/>
    <x v="0"/>
    <x v="0"/>
    <x v="0"/>
    <x v="0"/>
    <s v="DK1_NoDH"/>
    <x v="3"/>
    <s v="GNR_ENG_NGAS_BP_E-33"/>
    <x v="0"/>
    <x v="12"/>
    <n v="0.15"/>
    <n v="54.75"/>
    <n v="197.1"/>
  </r>
  <r>
    <x v="0"/>
    <x v="0"/>
    <x v="0"/>
    <x v="0"/>
    <x v="0"/>
    <s v="DK1_NoDH"/>
    <x v="3"/>
    <s v="GNR_ENG_NGAS_BP_E-35"/>
    <x v="0"/>
    <x v="0"/>
    <n v="2.0444444444444398"/>
    <n v="746.22222222222194"/>
    <n v="2686.4"/>
  </r>
  <r>
    <x v="0"/>
    <x v="0"/>
    <x v="0"/>
    <x v="0"/>
    <x v="0"/>
    <s v="DK1_NoDH"/>
    <x v="3"/>
    <s v="GNR_ENG_NGAS_BP_E-35"/>
    <x v="0"/>
    <x v="1"/>
    <n v="2.0444444444444398"/>
    <n v="746.22222222222194"/>
    <n v="2686.4"/>
  </r>
  <r>
    <x v="0"/>
    <x v="0"/>
    <x v="0"/>
    <x v="0"/>
    <x v="0"/>
    <s v="DK1_NoDH"/>
    <x v="3"/>
    <s v="GNR_ENG_NGAS_BP_E-35"/>
    <x v="0"/>
    <x v="2"/>
    <n v="2.0444444444444398"/>
    <n v="746.22222222222194"/>
    <n v="2686.4"/>
  </r>
  <r>
    <x v="0"/>
    <x v="0"/>
    <x v="0"/>
    <x v="0"/>
    <x v="0"/>
    <s v="DK1_NoDH"/>
    <x v="3"/>
    <s v="GNR_ENG_NGAS_BP_E-35"/>
    <x v="0"/>
    <x v="3"/>
    <n v="2.0444444444444398"/>
    <n v="746.22222222222194"/>
    <n v="2686.4"/>
  </r>
  <r>
    <x v="0"/>
    <x v="0"/>
    <x v="0"/>
    <x v="0"/>
    <x v="0"/>
    <s v="DK1_NoDH"/>
    <x v="3"/>
    <s v="GNR_ENG_NGAS_BP_E-35"/>
    <x v="0"/>
    <x v="12"/>
    <n v="2.0444444444444398"/>
    <n v="746.22222222222194"/>
    <n v="2686.4"/>
  </r>
  <r>
    <x v="0"/>
    <x v="0"/>
    <x v="0"/>
    <x v="0"/>
    <x v="0"/>
    <s v="DK1_NoDH"/>
    <x v="3"/>
    <s v="GNR_ENG_NGAS_BP_E-35"/>
    <x v="0"/>
    <x v="13"/>
    <n v="2.0444444444444398"/>
    <n v="746.22222222222194"/>
    <n v="2686.4"/>
  </r>
  <r>
    <x v="0"/>
    <x v="0"/>
    <x v="0"/>
    <x v="0"/>
    <x v="0"/>
    <s v="DK1_NoDH"/>
    <x v="3"/>
    <s v="GNR_ENG_NGAS_BP_E-35"/>
    <x v="0"/>
    <x v="14"/>
    <n v="2.0444444444444398"/>
    <n v="746.22222222222194"/>
    <n v="2686.4"/>
  </r>
  <r>
    <x v="0"/>
    <x v="0"/>
    <x v="0"/>
    <x v="0"/>
    <x v="0"/>
    <s v="DK1_NoDH"/>
    <x v="3"/>
    <s v="GNR_ENG_NGAS_BP_E-35"/>
    <x v="0"/>
    <x v="15"/>
    <n v="2.0444444444444398"/>
    <n v="746.22222222222194"/>
    <n v="2686.4"/>
  </r>
  <r>
    <x v="0"/>
    <x v="0"/>
    <x v="0"/>
    <x v="0"/>
    <x v="0"/>
    <s v="DK1_NoDH"/>
    <x v="3"/>
    <s v="GNR_ENG_NGAS_BP_E-35"/>
    <x v="0"/>
    <x v="4"/>
    <n v="2.0444444444444398"/>
    <n v="746.22222222222194"/>
    <n v="2686.4"/>
  </r>
  <r>
    <x v="0"/>
    <x v="0"/>
    <x v="0"/>
    <x v="0"/>
    <x v="0"/>
    <s v="DK1_NoDH"/>
    <x v="3"/>
    <s v="GNR_ENG_NGAS_BP_E-35"/>
    <x v="0"/>
    <x v="16"/>
    <n v="2.0444444444444398"/>
    <n v="746.22222222222194"/>
    <n v="2686.4"/>
  </r>
  <r>
    <x v="0"/>
    <x v="0"/>
    <x v="0"/>
    <x v="0"/>
    <x v="0"/>
    <s v="DK1_NoDH"/>
    <x v="3"/>
    <s v="GNR_ENG_NGAS_BP_E-35"/>
    <x v="0"/>
    <x v="5"/>
    <n v="2.0444444444444398"/>
    <n v="746.22222222222194"/>
    <n v="2686.4"/>
  </r>
  <r>
    <x v="0"/>
    <x v="0"/>
    <x v="0"/>
    <x v="0"/>
    <x v="0"/>
    <s v="DK1_NoDH"/>
    <x v="3"/>
    <s v="GNR_ENG_NGAS_BP_E-35"/>
    <x v="0"/>
    <x v="17"/>
    <n v="2.0444444444444398"/>
    <n v="746.22222222222194"/>
    <n v="2686.4"/>
  </r>
  <r>
    <x v="0"/>
    <x v="0"/>
    <x v="0"/>
    <x v="0"/>
    <x v="0"/>
    <s v="DK1_NoDH"/>
    <x v="3"/>
    <s v="GNR_ENG_NGAS_BP_E-35"/>
    <x v="0"/>
    <x v="18"/>
    <n v="2.0444444444444398"/>
    <n v="746.22222222222194"/>
    <n v="2686.4"/>
  </r>
  <r>
    <x v="0"/>
    <x v="0"/>
    <x v="0"/>
    <x v="0"/>
    <x v="0"/>
    <s v="DK1_NoDH"/>
    <x v="3"/>
    <s v="GNR_ENG_NGAS_BP_E-36"/>
    <x v="0"/>
    <x v="11"/>
    <n v="3.74444444444444"/>
    <n v="1366.7222222222199"/>
    <n v="4920.2"/>
  </r>
  <r>
    <x v="0"/>
    <x v="0"/>
    <x v="0"/>
    <x v="0"/>
    <x v="0"/>
    <s v="DK1_NoDH"/>
    <x v="3"/>
    <s v="GNR_ENG_NGAS_BP_E-36"/>
    <x v="0"/>
    <x v="0"/>
    <n v="3.74444444444444"/>
    <n v="1366.7222222222199"/>
    <n v="4920.2"/>
  </r>
  <r>
    <x v="0"/>
    <x v="0"/>
    <x v="0"/>
    <x v="0"/>
    <x v="0"/>
    <s v="DK1_NoDH"/>
    <x v="3"/>
    <s v="GNR_ENG_NGAS_BP_E-36"/>
    <x v="0"/>
    <x v="1"/>
    <n v="3.74444444444444"/>
    <n v="1366.7222222222199"/>
    <n v="4920.2"/>
  </r>
  <r>
    <x v="0"/>
    <x v="0"/>
    <x v="0"/>
    <x v="0"/>
    <x v="0"/>
    <s v="DK1_NoDH"/>
    <x v="3"/>
    <s v="GNR_ENG_NGAS_BP_E-36"/>
    <x v="0"/>
    <x v="2"/>
    <n v="3.74444444444444"/>
    <n v="1366.7222222222199"/>
    <n v="4920.2"/>
  </r>
  <r>
    <x v="0"/>
    <x v="0"/>
    <x v="0"/>
    <x v="0"/>
    <x v="0"/>
    <s v="DK1_NoDH"/>
    <x v="3"/>
    <s v="GNR_ENG_NGAS_BP_E-36"/>
    <x v="0"/>
    <x v="3"/>
    <n v="3.74444444444444"/>
    <n v="1366.7222222222199"/>
    <n v="4920.2"/>
  </r>
  <r>
    <x v="0"/>
    <x v="0"/>
    <x v="0"/>
    <x v="0"/>
    <x v="0"/>
    <s v="DK1_NoDH"/>
    <x v="3"/>
    <s v="GNR_ENG_NGAS_BP_E-36"/>
    <x v="0"/>
    <x v="12"/>
    <n v="3.74444444444444"/>
    <n v="1366.7222222222199"/>
    <n v="4920.2"/>
  </r>
  <r>
    <x v="0"/>
    <x v="0"/>
    <x v="0"/>
    <x v="0"/>
    <x v="0"/>
    <s v="DK1_NoDH"/>
    <x v="3"/>
    <s v="GNR_ENG_NGAS_BP_E-36"/>
    <x v="0"/>
    <x v="13"/>
    <n v="3.74444444444444"/>
    <n v="1366.7222222222199"/>
    <n v="4920.2"/>
  </r>
  <r>
    <x v="0"/>
    <x v="0"/>
    <x v="0"/>
    <x v="0"/>
    <x v="0"/>
    <s v="DK1_NoDH"/>
    <x v="3"/>
    <s v="GNR_ENG_NGAS_BP_E-36"/>
    <x v="0"/>
    <x v="14"/>
    <n v="3.74444444444444"/>
    <n v="1366.7222222222199"/>
    <n v="4920.2"/>
  </r>
  <r>
    <x v="0"/>
    <x v="0"/>
    <x v="0"/>
    <x v="0"/>
    <x v="0"/>
    <s v="DK1_NoDH"/>
    <x v="3"/>
    <s v="GNR_ENG_NGAS_BP_E-36"/>
    <x v="0"/>
    <x v="15"/>
    <n v="3.74444444444444"/>
    <n v="1366.7222222222199"/>
    <n v="4920.2"/>
  </r>
  <r>
    <x v="0"/>
    <x v="0"/>
    <x v="0"/>
    <x v="0"/>
    <x v="0"/>
    <s v="DK1_NoDH"/>
    <x v="3"/>
    <s v="GNR_ENG_NGAS_BP_E-36"/>
    <x v="0"/>
    <x v="4"/>
    <n v="3.74444444444444"/>
    <n v="1366.7222222222199"/>
    <n v="4920.2"/>
  </r>
  <r>
    <x v="0"/>
    <x v="0"/>
    <x v="0"/>
    <x v="0"/>
    <x v="0"/>
    <s v="DK1_NoDH"/>
    <x v="3"/>
    <s v="GNR_ENG_NGAS_BP_E-36"/>
    <x v="0"/>
    <x v="16"/>
    <n v="3.74444444444444"/>
    <n v="1366.7222222222199"/>
    <n v="4920.2"/>
  </r>
  <r>
    <x v="0"/>
    <x v="0"/>
    <x v="0"/>
    <x v="0"/>
    <x v="0"/>
    <s v="DK1_NoDH"/>
    <x v="3"/>
    <s v="GNR_ENG_NGAS_BP_E-36"/>
    <x v="0"/>
    <x v="5"/>
    <n v="3.74444444444444"/>
    <n v="1366.7222222222199"/>
    <n v="4920.2"/>
  </r>
  <r>
    <x v="0"/>
    <x v="0"/>
    <x v="0"/>
    <x v="0"/>
    <x v="0"/>
    <s v="DK1_NoDH"/>
    <x v="3"/>
    <s v="GNR_ENG_NGAS_BP_E-36"/>
    <x v="0"/>
    <x v="17"/>
    <n v="3.74444444444444"/>
    <n v="1366.7222222222199"/>
    <n v="4920.2"/>
  </r>
  <r>
    <x v="0"/>
    <x v="0"/>
    <x v="0"/>
    <x v="0"/>
    <x v="0"/>
    <s v="DK1_NoDH"/>
    <x v="3"/>
    <s v="GNR_ENG_NGAS_BP_E-36"/>
    <x v="0"/>
    <x v="18"/>
    <n v="3.74444444444444"/>
    <n v="1366.7222222222199"/>
    <n v="4920.2"/>
  </r>
  <r>
    <x v="0"/>
    <x v="0"/>
    <x v="0"/>
    <x v="0"/>
    <x v="0"/>
    <s v="DK1_NoDH"/>
    <x v="3"/>
    <s v="GNR_ENG_NGAS_BP_E-37"/>
    <x v="0"/>
    <x v="10"/>
    <n v="40.955555555555598"/>
    <n v="14948.777777777799"/>
    <n v="53815.6"/>
  </r>
  <r>
    <x v="0"/>
    <x v="0"/>
    <x v="0"/>
    <x v="0"/>
    <x v="0"/>
    <s v="DK1_NoDH"/>
    <x v="3"/>
    <s v="GNR_ENG_NGAS_BP_E-37"/>
    <x v="0"/>
    <x v="11"/>
    <n v="40.955555555555598"/>
    <n v="14948.777777777799"/>
    <n v="53815.6"/>
  </r>
  <r>
    <x v="0"/>
    <x v="0"/>
    <x v="0"/>
    <x v="0"/>
    <x v="0"/>
    <s v="DK1_NoDH"/>
    <x v="3"/>
    <s v="GNR_ENG_NGAS_BP_E-37"/>
    <x v="0"/>
    <x v="0"/>
    <n v="40.955555555555598"/>
    <n v="14948.777777777799"/>
    <n v="53815.6"/>
  </r>
  <r>
    <x v="0"/>
    <x v="0"/>
    <x v="0"/>
    <x v="0"/>
    <x v="0"/>
    <s v="DK1_NoDH"/>
    <x v="3"/>
    <s v="GNR_ENG_NGAS_BP_E-37"/>
    <x v="0"/>
    <x v="1"/>
    <n v="40.955555555555598"/>
    <n v="14948.777777777799"/>
    <n v="53815.6"/>
  </r>
  <r>
    <x v="0"/>
    <x v="0"/>
    <x v="0"/>
    <x v="0"/>
    <x v="0"/>
    <s v="DK1_NoDH"/>
    <x v="3"/>
    <s v="GNR_ENG_NGAS_BP_E-37"/>
    <x v="0"/>
    <x v="2"/>
    <n v="40.955555555555598"/>
    <n v="14948.777777777799"/>
    <n v="53815.6"/>
  </r>
  <r>
    <x v="0"/>
    <x v="0"/>
    <x v="0"/>
    <x v="0"/>
    <x v="0"/>
    <s v="DK1_NoDH"/>
    <x v="3"/>
    <s v="GNR_ENG_NGAS_BP_E-37"/>
    <x v="0"/>
    <x v="3"/>
    <n v="40.955555555555598"/>
    <n v="14948.777777777799"/>
    <n v="53815.6"/>
  </r>
  <r>
    <x v="0"/>
    <x v="0"/>
    <x v="0"/>
    <x v="0"/>
    <x v="0"/>
    <s v="DK1_NoDH"/>
    <x v="3"/>
    <s v="GNR_ENG_NGAS_BP_E-37"/>
    <x v="0"/>
    <x v="12"/>
    <n v="40.955555555555598"/>
    <n v="14948.777777777799"/>
    <n v="53815.6"/>
  </r>
  <r>
    <x v="0"/>
    <x v="0"/>
    <x v="0"/>
    <x v="0"/>
    <x v="0"/>
    <s v="DK1_NoDH"/>
    <x v="3"/>
    <s v="GNR_ENG_NGAS_BP_E-37"/>
    <x v="0"/>
    <x v="13"/>
    <n v="40.955555555555598"/>
    <n v="14948.777777777799"/>
    <n v="53815.6"/>
  </r>
  <r>
    <x v="0"/>
    <x v="0"/>
    <x v="0"/>
    <x v="0"/>
    <x v="0"/>
    <s v="DK1_NoDH"/>
    <x v="3"/>
    <s v="GNR_ENG_NGAS_BP_E-37"/>
    <x v="0"/>
    <x v="14"/>
    <n v="40.955555555555598"/>
    <n v="14948.777777777799"/>
    <n v="53815.6"/>
  </r>
  <r>
    <x v="0"/>
    <x v="0"/>
    <x v="0"/>
    <x v="0"/>
    <x v="0"/>
    <s v="DK1_NoDH"/>
    <x v="3"/>
    <s v="GNR_ENG_NGAS_BP_E-37"/>
    <x v="0"/>
    <x v="15"/>
    <n v="40.955555555555598"/>
    <n v="14948.777777777799"/>
    <n v="53815.6"/>
  </r>
  <r>
    <x v="0"/>
    <x v="0"/>
    <x v="0"/>
    <x v="0"/>
    <x v="0"/>
    <s v="DK1_NoDH"/>
    <x v="3"/>
    <s v="GNR_ENG_NGAS_BP_E-37"/>
    <x v="0"/>
    <x v="4"/>
    <n v="40.955555555555598"/>
    <n v="14948.777777777799"/>
    <n v="53815.6"/>
  </r>
  <r>
    <x v="0"/>
    <x v="0"/>
    <x v="0"/>
    <x v="0"/>
    <x v="0"/>
    <s v="DK1_NoDH"/>
    <x v="3"/>
    <s v="GNR_ENG_NGAS_BP_E-37"/>
    <x v="0"/>
    <x v="16"/>
    <n v="40.955555555555598"/>
    <n v="14948.777777777799"/>
    <n v="53815.6"/>
  </r>
  <r>
    <x v="0"/>
    <x v="0"/>
    <x v="0"/>
    <x v="0"/>
    <x v="0"/>
    <s v="DK1_NoDH"/>
    <x v="3"/>
    <s v="GNR_ENG_NGAS_BP_E-37"/>
    <x v="0"/>
    <x v="5"/>
    <n v="40.955555555555598"/>
    <n v="14948.777777777799"/>
    <n v="53815.6"/>
  </r>
  <r>
    <x v="0"/>
    <x v="0"/>
    <x v="0"/>
    <x v="0"/>
    <x v="0"/>
    <s v="DK1_NoDH"/>
    <x v="3"/>
    <s v="GNR_ENG_NGAS_BP_E-37"/>
    <x v="0"/>
    <x v="17"/>
    <n v="40.955555555555598"/>
    <n v="14948.777777777799"/>
    <n v="53815.6"/>
  </r>
  <r>
    <x v="0"/>
    <x v="0"/>
    <x v="0"/>
    <x v="0"/>
    <x v="0"/>
    <s v="DK1_NoDH"/>
    <x v="3"/>
    <s v="GNR_ENG_NGAS_BP_E-37"/>
    <x v="0"/>
    <x v="18"/>
    <n v="40.955555555555598"/>
    <n v="14948.777777777799"/>
    <n v="53815.6"/>
  </r>
  <r>
    <x v="0"/>
    <x v="0"/>
    <x v="0"/>
    <x v="0"/>
    <x v="0"/>
    <s v="DK1_NoDH"/>
    <x v="3"/>
    <s v="GNR_ENG_NGAS_BP_E-38"/>
    <x v="0"/>
    <x v="6"/>
    <n v="13.733333333333301"/>
    <n v="5012.6666666666697"/>
    <n v="18045.599999999999"/>
  </r>
  <r>
    <x v="0"/>
    <x v="0"/>
    <x v="0"/>
    <x v="0"/>
    <x v="0"/>
    <s v="DK1_NoDH"/>
    <x v="3"/>
    <s v="GNR_ENG_NGAS_BP_E-38"/>
    <x v="0"/>
    <x v="7"/>
    <n v="13.733333333333301"/>
    <n v="5012.6666666666697"/>
    <n v="18045.599999999999"/>
  </r>
  <r>
    <x v="0"/>
    <x v="0"/>
    <x v="0"/>
    <x v="0"/>
    <x v="0"/>
    <s v="DK1_NoDH"/>
    <x v="3"/>
    <s v="GNR_ENG_NGAS_BP_E-38"/>
    <x v="0"/>
    <x v="8"/>
    <n v="13.733333333333301"/>
    <n v="5012.6666666666697"/>
    <n v="18045.599999999999"/>
  </r>
  <r>
    <x v="0"/>
    <x v="0"/>
    <x v="0"/>
    <x v="0"/>
    <x v="0"/>
    <s v="DK1_NoDH"/>
    <x v="3"/>
    <s v="GNR_ENG_NGAS_BP_E-38"/>
    <x v="0"/>
    <x v="9"/>
    <n v="13.733333333333301"/>
    <n v="5012.6666666666697"/>
    <n v="18045.599999999999"/>
  </r>
  <r>
    <x v="0"/>
    <x v="0"/>
    <x v="0"/>
    <x v="0"/>
    <x v="0"/>
    <s v="DK1_NoDH"/>
    <x v="3"/>
    <s v="GNR_ENG_NGAS_BP_E-38"/>
    <x v="0"/>
    <x v="10"/>
    <n v="13.733333333333301"/>
    <n v="5012.6666666666697"/>
    <n v="18045.599999999999"/>
  </r>
  <r>
    <x v="0"/>
    <x v="0"/>
    <x v="0"/>
    <x v="0"/>
    <x v="0"/>
    <s v="DK1_NoDH"/>
    <x v="3"/>
    <s v="GNR_ENG_NGAS_BP_E-38"/>
    <x v="0"/>
    <x v="11"/>
    <n v="13.733333333333301"/>
    <n v="5012.6666666666697"/>
    <n v="18045.599999999999"/>
  </r>
  <r>
    <x v="0"/>
    <x v="0"/>
    <x v="0"/>
    <x v="0"/>
    <x v="0"/>
    <s v="DK1_NoDH"/>
    <x v="3"/>
    <s v="GNR_ENG_NGAS_BP_E-38"/>
    <x v="0"/>
    <x v="0"/>
    <n v="13.733333333333301"/>
    <n v="5012.6666666666697"/>
    <n v="18045.599999999999"/>
  </r>
  <r>
    <x v="0"/>
    <x v="0"/>
    <x v="0"/>
    <x v="0"/>
    <x v="0"/>
    <s v="DK1_NoDH"/>
    <x v="3"/>
    <s v="GNR_ENG_NGAS_BP_E-38"/>
    <x v="0"/>
    <x v="1"/>
    <n v="13.733333333333301"/>
    <n v="5012.6666666666697"/>
    <n v="18045.599999999999"/>
  </r>
  <r>
    <x v="0"/>
    <x v="0"/>
    <x v="0"/>
    <x v="0"/>
    <x v="0"/>
    <s v="DK1_NoDH"/>
    <x v="3"/>
    <s v="GNR_ENG_NGAS_BP_E-38"/>
    <x v="0"/>
    <x v="2"/>
    <n v="13.733333333333301"/>
    <n v="5012.6666666666697"/>
    <n v="18045.599999999999"/>
  </r>
  <r>
    <x v="0"/>
    <x v="0"/>
    <x v="0"/>
    <x v="0"/>
    <x v="0"/>
    <s v="DK1_NoDH"/>
    <x v="3"/>
    <s v="GNR_ENG_NGAS_BP_E-38"/>
    <x v="0"/>
    <x v="3"/>
    <n v="13.733333333333301"/>
    <n v="5012.6666666666697"/>
    <n v="18045.599999999999"/>
  </r>
  <r>
    <x v="0"/>
    <x v="0"/>
    <x v="0"/>
    <x v="0"/>
    <x v="0"/>
    <s v="DK1_NoDH"/>
    <x v="3"/>
    <s v="GNR_ENG_NGAS_BP_E-38"/>
    <x v="0"/>
    <x v="12"/>
    <n v="13.733333333333301"/>
    <n v="5012.6666666666697"/>
    <n v="18045.599999999999"/>
  </r>
  <r>
    <x v="0"/>
    <x v="0"/>
    <x v="0"/>
    <x v="0"/>
    <x v="0"/>
    <s v="DK1_NoDH"/>
    <x v="3"/>
    <s v="GNR_ENG_NGAS_BP_E-38"/>
    <x v="0"/>
    <x v="13"/>
    <n v="13.733333333333301"/>
    <n v="5012.6666666666697"/>
    <n v="18045.599999999999"/>
  </r>
  <r>
    <x v="0"/>
    <x v="0"/>
    <x v="0"/>
    <x v="0"/>
    <x v="0"/>
    <s v="DK1_NoDH"/>
    <x v="3"/>
    <s v="GNR_ENG_NGAS_BP_E-38"/>
    <x v="0"/>
    <x v="14"/>
    <n v="13.733333333333301"/>
    <n v="5012.6666666666697"/>
    <n v="18045.599999999999"/>
  </r>
  <r>
    <x v="0"/>
    <x v="0"/>
    <x v="0"/>
    <x v="0"/>
    <x v="0"/>
    <s v="DK1_NoDH"/>
    <x v="3"/>
    <s v="GNR_ENG_NGAS_BP_E-38"/>
    <x v="0"/>
    <x v="15"/>
    <n v="13.733333333333301"/>
    <n v="5012.6666666666697"/>
    <n v="18045.599999999999"/>
  </r>
  <r>
    <x v="0"/>
    <x v="0"/>
    <x v="0"/>
    <x v="0"/>
    <x v="0"/>
    <s v="DK1_NoDH"/>
    <x v="3"/>
    <s v="GNR_ENG_NGAS_BP_E-38"/>
    <x v="0"/>
    <x v="4"/>
    <n v="13.733333333333301"/>
    <n v="5012.6666666666697"/>
    <n v="18045.599999999999"/>
  </r>
  <r>
    <x v="0"/>
    <x v="0"/>
    <x v="0"/>
    <x v="0"/>
    <x v="0"/>
    <s v="DK1_NoDH"/>
    <x v="3"/>
    <s v="GNR_ENG_NGAS_BP_E-38"/>
    <x v="0"/>
    <x v="16"/>
    <n v="13.733333333333301"/>
    <n v="5012.6666666666697"/>
    <n v="18045.599999999999"/>
  </r>
  <r>
    <x v="0"/>
    <x v="0"/>
    <x v="0"/>
    <x v="0"/>
    <x v="0"/>
    <s v="DK1_NoDH"/>
    <x v="3"/>
    <s v="GNR_ENG_NGAS_BP_E-38"/>
    <x v="0"/>
    <x v="5"/>
    <n v="13.733333333333301"/>
    <n v="5012.6666666666697"/>
    <n v="18045.599999999999"/>
  </r>
  <r>
    <x v="0"/>
    <x v="0"/>
    <x v="0"/>
    <x v="0"/>
    <x v="0"/>
    <s v="DK1_NoDH"/>
    <x v="3"/>
    <s v="GNR_ENG_NGAS_BP_E-38"/>
    <x v="0"/>
    <x v="17"/>
    <n v="13.733333333333301"/>
    <n v="5012.6666666666697"/>
    <n v="18045.599999999999"/>
  </r>
  <r>
    <x v="0"/>
    <x v="0"/>
    <x v="0"/>
    <x v="0"/>
    <x v="0"/>
    <s v="DK1_NoDH"/>
    <x v="3"/>
    <s v="GNR_ENG_NGAS_BP_E-38"/>
    <x v="0"/>
    <x v="18"/>
    <n v="13.733333333333301"/>
    <n v="5012.6666666666697"/>
    <n v="18045.599999999999"/>
  </r>
  <r>
    <x v="0"/>
    <x v="0"/>
    <x v="0"/>
    <x v="0"/>
    <x v="0"/>
    <s v="DK1_NoDH"/>
    <x v="3"/>
    <s v="GNR_ENG_NGAS_BP_E-38"/>
    <x v="0"/>
    <x v="19"/>
    <n v="13.733333333333301"/>
    <n v="5012.6666666666697"/>
    <n v="18045.599999999999"/>
  </r>
  <r>
    <x v="0"/>
    <x v="0"/>
    <x v="0"/>
    <x v="0"/>
    <x v="0"/>
    <s v="DK1_NoDH"/>
    <x v="3"/>
    <s v="GNR_ENG_NGAS_BP_E-39"/>
    <x v="0"/>
    <x v="6"/>
    <n v="12.588888888888899"/>
    <n v="4594.9444444444498"/>
    <n v="16541.8"/>
  </r>
  <r>
    <x v="0"/>
    <x v="0"/>
    <x v="0"/>
    <x v="0"/>
    <x v="0"/>
    <s v="DK1_NoDH"/>
    <x v="3"/>
    <s v="GNR_ENG_NGAS_BP_E-39"/>
    <x v="0"/>
    <x v="7"/>
    <n v="12.588888888888899"/>
    <n v="4594.9444444444498"/>
    <n v="16541.8"/>
  </r>
  <r>
    <x v="0"/>
    <x v="0"/>
    <x v="0"/>
    <x v="0"/>
    <x v="0"/>
    <s v="DK1_NoDH"/>
    <x v="3"/>
    <s v="GNR_ENG_NGAS_BP_E-39"/>
    <x v="0"/>
    <x v="8"/>
    <n v="12.588888888888899"/>
    <n v="4594.9444444444498"/>
    <n v="16541.8"/>
  </r>
  <r>
    <x v="0"/>
    <x v="0"/>
    <x v="0"/>
    <x v="0"/>
    <x v="0"/>
    <s v="DK1_NoDH"/>
    <x v="3"/>
    <s v="GNR_ENG_NGAS_BP_E-39"/>
    <x v="0"/>
    <x v="9"/>
    <n v="12.588888888888899"/>
    <n v="4594.9444444444498"/>
    <n v="16541.8"/>
  </r>
  <r>
    <x v="0"/>
    <x v="0"/>
    <x v="0"/>
    <x v="0"/>
    <x v="0"/>
    <s v="DK1_NoDH"/>
    <x v="3"/>
    <s v="GNR_ENG_NGAS_BP_E-39"/>
    <x v="0"/>
    <x v="10"/>
    <n v="12.588888888888899"/>
    <n v="4594.9444444444498"/>
    <n v="16541.8"/>
  </r>
  <r>
    <x v="0"/>
    <x v="0"/>
    <x v="0"/>
    <x v="0"/>
    <x v="0"/>
    <s v="DK1_NoDH"/>
    <x v="3"/>
    <s v="GNR_ENG_NGAS_BP_E-39"/>
    <x v="0"/>
    <x v="11"/>
    <n v="12.588888888888899"/>
    <n v="4594.9444444444498"/>
    <n v="16541.8"/>
  </r>
  <r>
    <x v="0"/>
    <x v="0"/>
    <x v="0"/>
    <x v="0"/>
    <x v="0"/>
    <s v="DK1_NoDH"/>
    <x v="3"/>
    <s v="GNR_ENG_NGAS_BP_E-39"/>
    <x v="0"/>
    <x v="0"/>
    <n v="12.588888888888899"/>
    <n v="4594.9444444444498"/>
    <n v="16541.8"/>
  </r>
  <r>
    <x v="0"/>
    <x v="0"/>
    <x v="0"/>
    <x v="0"/>
    <x v="0"/>
    <s v="DK1_NoDH"/>
    <x v="3"/>
    <s v="GNR_ENG_NGAS_BP_E-39"/>
    <x v="0"/>
    <x v="1"/>
    <n v="12.588888888888899"/>
    <n v="4594.9444444444498"/>
    <n v="16541.8"/>
  </r>
  <r>
    <x v="0"/>
    <x v="0"/>
    <x v="0"/>
    <x v="0"/>
    <x v="0"/>
    <s v="DK1_NoDH"/>
    <x v="3"/>
    <s v="GNR_ENG_NGAS_BP_E-39"/>
    <x v="0"/>
    <x v="2"/>
    <n v="12.588888888888899"/>
    <n v="4594.9444444444498"/>
    <n v="16541.8"/>
  </r>
  <r>
    <x v="0"/>
    <x v="0"/>
    <x v="0"/>
    <x v="0"/>
    <x v="0"/>
    <s v="DK1_NoDH"/>
    <x v="3"/>
    <s v="GNR_ENG_NGAS_BP_E-39"/>
    <x v="0"/>
    <x v="3"/>
    <n v="12.588888888888899"/>
    <n v="4594.9444444444498"/>
    <n v="16541.8"/>
  </r>
  <r>
    <x v="0"/>
    <x v="0"/>
    <x v="0"/>
    <x v="0"/>
    <x v="0"/>
    <s v="DK1_NoDH"/>
    <x v="3"/>
    <s v="GNR_ENG_NGAS_BP_E-39"/>
    <x v="0"/>
    <x v="12"/>
    <n v="12.588888888888899"/>
    <n v="4594.9444444444498"/>
    <n v="16541.8"/>
  </r>
  <r>
    <x v="0"/>
    <x v="0"/>
    <x v="0"/>
    <x v="0"/>
    <x v="0"/>
    <s v="DK1_NoDH"/>
    <x v="3"/>
    <s v="GNR_ENG_NGAS_BP_E-39"/>
    <x v="0"/>
    <x v="13"/>
    <n v="12.588888888888899"/>
    <n v="4594.9444444444498"/>
    <n v="16541.8"/>
  </r>
  <r>
    <x v="0"/>
    <x v="0"/>
    <x v="0"/>
    <x v="0"/>
    <x v="0"/>
    <s v="DK1_NoDH"/>
    <x v="3"/>
    <s v="GNR_ENG_NGAS_BP_E-39"/>
    <x v="0"/>
    <x v="14"/>
    <n v="12.588888888888899"/>
    <n v="4594.9444444444498"/>
    <n v="16541.8"/>
  </r>
  <r>
    <x v="0"/>
    <x v="0"/>
    <x v="0"/>
    <x v="0"/>
    <x v="0"/>
    <s v="DK1_NoDH"/>
    <x v="3"/>
    <s v="GNR_ENG_NGAS_BP_E-39"/>
    <x v="0"/>
    <x v="15"/>
    <n v="12.588888888888899"/>
    <n v="4594.9444444444498"/>
    <n v="16541.8"/>
  </r>
  <r>
    <x v="0"/>
    <x v="0"/>
    <x v="0"/>
    <x v="0"/>
    <x v="0"/>
    <s v="DK1_NoDH"/>
    <x v="3"/>
    <s v="GNR_ENG_NGAS_BP_E-39"/>
    <x v="0"/>
    <x v="4"/>
    <n v="12.588888888888899"/>
    <n v="4594.9444444444498"/>
    <n v="16541.8"/>
  </r>
  <r>
    <x v="0"/>
    <x v="0"/>
    <x v="0"/>
    <x v="0"/>
    <x v="0"/>
    <s v="DK1_NoDH"/>
    <x v="3"/>
    <s v="GNR_ENG_NGAS_BP_E-39"/>
    <x v="0"/>
    <x v="16"/>
    <n v="12.588888888888899"/>
    <n v="4594.9444444444498"/>
    <n v="16541.8"/>
  </r>
  <r>
    <x v="0"/>
    <x v="0"/>
    <x v="0"/>
    <x v="0"/>
    <x v="0"/>
    <s v="DK1_NoDH"/>
    <x v="3"/>
    <s v="GNR_ENG_NGAS_BP_E-39"/>
    <x v="0"/>
    <x v="5"/>
    <n v="12.588888888888899"/>
    <n v="4594.9444444444498"/>
    <n v="16541.8"/>
  </r>
  <r>
    <x v="0"/>
    <x v="0"/>
    <x v="0"/>
    <x v="0"/>
    <x v="0"/>
    <s v="DK1_NoDH"/>
    <x v="3"/>
    <s v="GNR_ENG_NGAS_BP_E-39"/>
    <x v="0"/>
    <x v="17"/>
    <n v="12.588888888888899"/>
    <n v="4594.9444444444498"/>
    <n v="16541.8"/>
  </r>
  <r>
    <x v="0"/>
    <x v="0"/>
    <x v="0"/>
    <x v="0"/>
    <x v="0"/>
    <s v="DK1_NoDH"/>
    <x v="3"/>
    <s v="GNR_ENG_NGAS_BP_E-39"/>
    <x v="0"/>
    <x v="18"/>
    <n v="12.588888888888899"/>
    <n v="4594.9444444444498"/>
    <n v="16541.8"/>
  </r>
  <r>
    <x v="0"/>
    <x v="0"/>
    <x v="0"/>
    <x v="0"/>
    <x v="0"/>
    <s v="DK1_NoDH"/>
    <x v="3"/>
    <s v="GNR_ENG_NGAS_BP_E-39"/>
    <x v="0"/>
    <x v="19"/>
    <n v="12.588888888888899"/>
    <n v="4594.9444444444498"/>
    <n v="16541.8"/>
  </r>
  <r>
    <x v="0"/>
    <x v="0"/>
    <x v="0"/>
    <x v="0"/>
    <x v="0"/>
    <s v="DK1_NoDH"/>
    <x v="3"/>
    <s v="GNR_ENG_NGAS_BP_E-39"/>
    <x v="0"/>
    <x v="20"/>
    <n v="12.588888888888899"/>
    <n v="4594.9444444444498"/>
    <n v="16541.8"/>
  </r>
  <r>
    <x v="0"/>
    <x v="0"/>
    <x v="0"/>
    <x v="0"/>
    <x v="0"/>
    <s v="DK1_NoDH"/>
    <x v="3"/>
    <s v="GNR_ENG_NGAS_BP_E-40"/>
    <x v="0"/>
    <x v="6"/>
    <n v="3.1333333333333302"/>
    <n v="1143.6666666666699"/>
    <n v="4117.2"/>
  </r>
  <r>
    <x v="0"/>
    <x v="0"/>
    <x v="0"/>
    <x v="0"/>
    <x v="0"/>
    <s v="DK1_NoDH"/>
    <x v="3"/>
    <s v="GNR_ENG_NGAS_BP_E-40"/>
    <x v="0"/>
    <x v="7"/>
    <n v="3.1333333333333302"/>
    <n v="1143.6666666666699"/>
    <n v="4117.2"/>
  </r>
  <r>
    <x v="0"/>
    <x v="0"/>
    <x v="0"/>
    <x v="0"/>
    <x v="0"/>
    <s v="DK1_NoDH"/>
    <x v="3"/>
    <s v="GNR_ENG_NGAS_BP_E-40"/>
    <x v="0"/>
    <x v="8"/>
    <n v="3.1333333333333302"/>
    <n v="1143.6666666666699"/>
    <n v="4117.2"/>
  </r>
  <r>
    <x v="0"/>
    <x v="0"/>
    <x v="0"/>
    <x v="0"/>
    <x v="0"/>
    <s v="DK1_NoDH"/>
    <x v="3"/>
    <s v="GNR_ENG_NGAS_BP_E-40"/>
    <x v="0"/>
    <x v="9"/>
    <n v="3.1333333333333302"/>
    <n v="1143.6666666666699"/>
    <n v="4117.2"/>
  </r>
  <r>
    <x v="0"/>
    <x v="0"/>
    <x v="0"/>
    <x v="0"/>
    <x v="0"/>
    <s v="DK1_NoDH"/>
    <x v="3"/>
    <s v="GNR_ENG_NGAS_BP_E-40"/>
    <x v="0"/>
    <x v="10"/>
    <n v="3.1333333333333302"/>
    <n v="1143.6666666666699"/>
    <n v="4117.2"/>
  </r>
  <r>
    <x v="0"/>
    <x v="0"/>
    <x v="0"/>
    <x v="0"/>
    <x v="0"/>
    <s v="DK1_NoDH"/>
    <x v="3"/>
    <s v="GNR_ENG_NGAS_BP_E-40"/>
    <x v="0"/>
    <x v="11"/>
    <n v="3.1333333333333302"/>
    <n v="1143.6666666666699"/>
    <n v="4117.2"/>
  </r>
  <r>
    <x v="0"/>
    <x v="0"/>
    <x v="0"/>
    <x v="0"/>
    <x v="0"/>
    <s v="DK1_NoDH"/>
    <x v="3"/>
    <s v="GNR_ENG_NGAS_BP_E-40"/>
    <x v="0"/>
    <x v="0"/>
    <n v="3.1333333333333302"/>
    <n v="1143.6666666666699"/>
    <n v="4117.2"/>
  </r>
  <r>
    <x v="0"/>
    <x v="0"/>
    <x v="0"/>
    <x v="0"/>
    <x v="0"/>
    <s v="DK1_NoDH"/>
    <x v="3"/>
    <s v="GNR_ENG_NGAS_BP_E-40"/>
    <x v="0"/>
    <x v="1"/>
    <n v="3.1333333333333302"/>
    <n v="1143.6666666666699"/>
    <n v="4117.2"/>
  </r>
  <r>
    <x v="0"/>
    <x v="0"/>
    <x v="0"/>
    <x v="0"/>
    <x v="0"/>
    <s v="DK1_NoDH"/>
    <x v="3"/>
    <s v="GNR_ENG_NGAS_BP_E-40"/>
    <x v="0"/>
    <x v="2"/>
    <n v="3.1333333333333302"/>
    <n v="1143.6666666666699"/>
    <n v="4117.2"/>
  </r>
  <r>
    <x v="0"/>
    <x v="0"/>
    <x v="0"/>
    <x v="0"/>
    <x v="0"/>
    <s v="DK1_NoDH"/>
    <x v="3"/>
    <s v="GNR_ENG_NGAS_BP_E-40"/>
    <x v="0"/>
    <x v="3"/>
    <n v="3.1333333333333302"/>
    <n v="1143.6666666666699"/>
    <n v="4117.2"/>
  </r>
  <r>
    <x v="0"/>
    <x v="0"/>
    <x v="0"/>
    <x v="0"/>
    <x v="0"/>
    <s v="DK1_NoDH"/>
    <x v="3"/>
    <s v="GNR_ENG_NGAS_BP_E-40"/>
    <x v="0"/>
    <x v="12"/>
    <n v="3.1333333333333302"/>
    <n v="1143.6666666666699"/>
    <n v="4117.2"/>
  </r>
  <r>
    <x v="0"/>
    <x v="0"/>
    <x v="0"/>
    <x v="0"/>
    <x v="0"/>
    <s v="DK1_NoDH"/>
    <x v="3"/>
    <s v="GNR_ENG_NGAS_BP_E-40"/>
    <x v="0"/>
    <x v="13"/>
    <n v="3.1333333333333302"/>
    <n v="1143.6666666666699"/>
    <n v="4117.2"/>
  </r>
  <r>
    <x v="0"/>
    <x v="0"/>
    <x v="0"/>
    <x v="0"/>
    <x v="0"/>
    <s v="DK1_NoDH"/>
    <x v="3"/>
    <s v="GNR_ENG_NGAS_BP_E-40"/>
    <x v="0"/>
    <x v="14"/>
    <n v="3.1333333333333302"/>
    <n v="1143.6666666666699"/>
    <n v="4117.2"/>
  </r>
  <r>
    <x v="0"/>
    <x v="0"/>
    <x v="0"/>
    <x v="0"/>
    <x v="0"/>
    <s v="DK1_NoDH"/>
    <x v="3"/>
    <s v="GNR_ENG_NGAS_BP_E-40"/>
    <x v="0"/>
    <x v="15"/>
    <n v="3.1333333333333302"/>
    <n v="1143.6666666666699"/>
    <n v="4117.2"/>
  </r>
  <r>
    <x v="0"/>
    <x v="0"/>
    <x v="0"/>
    <x v="0"/>
    <x v="0"/>
    <s v="DK1_NoDH"/>
    <x v="3"/>
    <s v="GNR_ENG_NGAS_BP_E-40"/>
    <x v="0"/>
    <x v="4"/>
    <n v="3.1333333333333302"/>
    <n v="1143.6666666666699"/>
    <n v="4117.2"/>
  </r>
  <r>
    <x v="0"/>
    <x v="0"/>
    <x v="0"/>
    <x v="0"/>
    <x v="0"/>
    <s v="DK1_NoDH"/>
    <x v="3"/>
    <s v="GNR_ENG_NGAS_BP_E-40"/>
    <x v="0"/>
    <x v="16"/>
    <n v="3.1333333333333302"/>
    <n v="1143.6666666666699"/>
    <n v="4117.2"/>
  </r>
  <r>
    <x v="0"/>
    <x v="0"/>
    <x v="0"/>
    <x v="0"/>
    <x v="0"/>
    <s v="DK1_NoDH"/>
    <x v="3"/>
    <s v="GNR_ENG_NGAS_BP_E-40"/>
    <x v="0"/>
    <x v="5"/>
    <n v="3.1333333333333302"/>
    <n v="1143.6666666666699"/>
    <n v="4117.2"/>
  </r>
  <r>
    <x v="0"/>
    <x v="0"/>
    <x v="0"/>
    <x v="0"/>
    <x v="0"/>
    <s v="DK1_NoDH"/>
    <x v="3"/>
    <s v="GNR_ENG_NGAS_BP_E-40"/>
    <x v="0"/>
    <x v="17"/>
    <n v="3.1333333333333302"/>
    <n v="1143.6666666666699"/>
    <n v="4117.2"/>
  </r>
  <r>
    <x v="0"/>
    <x v="0"/>
    <x v="0"/>
    <x v="0"/>
    <x v="0"/>
    <s v="DK1_NoDH"/>
    <x v="3"/>
    <s v="GNR_ENG_NGAS_BP_E-40"/>
    <x v="0"/>
    <x v="18"/>
    <n v="3.1333333333333302"/>
    <n v="1143.6666666666699"/>
    <n v="4117.2"/>
  </r>
  <r>
    <x v="0"/>
    <x v="0"/>
    <x v="0"/>
    <x v="0"/>
    <x v="0"/>
    <s v="DK1_NoDH"/>
    <x v="3"/>
    <s v="GNR_ENG_NGAS_BP_E-40"/>
    <x v="0"/>
    <x v="19"/>
    <n v="3.1333333333333302"/>
    <n v="1143.6666666666699"/>
    <n v="4117.2"/>
  </r>
  <r>
    <x v="0"/>
    <x v="0"/>
    <x v="0"/>
    <x v="0"/>
    <x v="0"/>
    <s v="DK1_NoDH"/>
    <x v="3"/>
    <s v="GNR_ENG_NGAS_BP_E-40"/>
    <x v="0"/>
    <x v="20"/>
    <n v="3.1333333333333302"/>
    <n v="1143.6666666666699"/>
    <n v="4117.2"/>
  </r>
  <r>
    <x v="0"/>
    <x v="0"/>
    <x v="0"/>
    <x v="0"/>
    <x v="0"/>
    <s v="DK1_NoDH"/>
    <x v="3"/>
    <s v="GNR_ENG_NGAS_BP_E-40"/>
    <x v="0"/>
    <x v="21"/>
    <n v="3.1333333333333302"/>
    <n v="1143.6666666666699"/>
    <n v="4117.2"/>
  </r>
  <r>
    <x v="0"/>
    <x v="0"/>
    <x v="0"/>
    <x v="0"/>
    <x v="0"/>
    <s v="DK1_NoDH"/>
    <x v="3"/>
    <s v="GNR_ENG_NGAS_BP_E-40"/>
    <x v="0"/>
    <x v="22"/>
    <n v="3.1333333333333302"/>
    <n v="1143.6666666666699"/>
    <n v="4117.2"/>
  </r>
  <r>
    <x v="0"/>
    <x v="0"/>
    <x v="0"/>
    <x v="0"/>
    <x v="0"/>
    <s v="DK1_NoDH"/>
    <x v="3"/>
    <s v="GNR_ENG_NGAS_BP_E-41"/>
    <x v="0"/>
    <x v="6"/>
    <n v="8.7888888888888896"/>
    <n v="3207.9444444444398"/>
    <n v="11548.6"/>
  </r>
  <r>
    <x v="0"/>
    <x v="0"/>
    <x v="0"/>
    <x v="0"/>
    <x v="0"/>
    <s v="DK1_NoDH"/>
    <x v="3"/>
    <s v="GNR_ENG_NGAS_BP_E-41"/>
    <x v="0"/>
    <x v="7"/>
    <n v="8.7888888888888896"/>
    <n v="3207.9444444444398"/>
    <n v="11548.6"/>
  </r>
  <r>
    <x v="0"/>
    <x v="0"/>
    <x v="0"/>
    <x v="0"/>
    <x v="0"/>
    <s v="DK1_NoDH"/>
    <x v="3"/>
    <s v="GNR_ENG_NGAS_BP_E-41"/>
    <x v="0"/>
    <x v="8"/>
    <n v="8.7888888888888896"/>
    <n v="3207.9444444444398"/>
    <n v="11548.6"/>
  </r>
  <r>
    <x v="0"/>
    <x v="0"/>
    <x v="0"/>
    <x v="0"/>
    <x v="0"/>
    <s v="DK1_NoDH"/>
    <x v="3"/>
    <s v="GNR_ENG_NGAS_BP_E-41"/>
    <x v="0"/>
    <x v="9"/>
    <n v="8.7888888888888896"/>
    <n v="3207.9444444444398"/>
    <n v="11548.6"/>
  </r>
  <r>
    <x v="0"/>
    <x v="0"/>
    <x v="0"/>
    <x v="0"/>
    <x v="0"/>
    <s v="DK1_NoDH"/>
    <x v="3"/>
    <s v="GNR_ENG_NGAS_BP_E-41"/>
    <x v="0"/>
    <x v="10"/>
    <n v="8.7888888888888896"/>
    <n v="3207.9444444444398"/>
    <n v="11548.6"/>
  </r>
  <r>
    <x v="0"/>
    <x v="0"/>
    <x v="0"/>
    <x v="0"/>
    <x v="0"/>
    <s v="DK1_NoDH"/>
    <x v="3"/>
    <s v="GNR_ENG_NGAS_BP_E-41"/>
    <x v="0"/>
    <x v="11"/>
    <n v="8.7888888888888896"/>
    <n v="3207.9444444444398"/>
    <n v="11548.6"/>
  </r>
  <r>
    <x v="0"/>
    <x v="0"/>
    <x v="0"/>
    <x v="0"/>
    <x v="0"/>
    <s v="DK1_NoDH"/>
    <x v="3"/>
    <s v="GNR_ENG_NGAS_BP_E-41"/>
    <x v="0"/>
    <x v="0"/>
    <n v="8.7888888888888896"/>
    <n v="3207.9444444444398"/>
    <n v="11548.6"/>
  </r>
  <r>
    <x v="0"/>
    <x v="0"/>
    <x v="0"/>
    <x v="0"/>
    <x v="0"/>
    <s v="DK1_NoDH"/>
    <x v="3"/>
    <s v="GNR_ENG_NGAS_BP_E-41"/>
    <x v="0"/>
    <x v="1"/>
    <n v="8.7888888888888896"/>
    <n v="3207.9444444444398"/>
    <n v="11548.6"/>
  </r>
  <r>
    <x v="0"/>
    <x v="0"/>
    <x v="0"/>
    <x v="0"/>
    <x v="0"/>
    <s v="DK1_NoDH"/>
    <x v="3"/>
    <s v="GNR_ENG_NGAS_BP_E-41"/>
    <x v="0"/>
    <x v="2"/>
    <n v="8.7888888888888896"/>
    <n v="3207.9444444444398"/>
    <n v="11548.6"/>
  </r>
  <r>
    <x v="0"/>
    <x v="0"/>
    <x v="0"/>
    <x v="0"/>
    <x v="0"/>
    <s v="DK1_NoDH"/>
    <x v="3"/>
    <s v="GNR_ENG_NGAS_BP_E-41"/>
    <x v="0"/>
    <x v="3"/>
    <n v="8.7888888888888896"/>
    <n v="3207.9444444444398"/>
    <n v="11548.6"/>
  </r>
  <r>
    <x v="0"/>
    <x v="0"/>
    <x v="0"/>
    <x v="0"/>
    <x v="0"/>
    <s v="DK1_NoDH"/>
    <x v="3"/>
    <s v="GNR_ENG_NGAS_BP_E-41"/>
    <x v="0"/>
    <x v="12"/>
    <n v="8.7888888888888896"/>
    <n v="3207.9444444444398"/>
    <n v="11548.6"/>
  </r>
  <r>
    <x v="0"/>
    <x v="0"/>
    <x v="0"/>
    <x v="0"/>
    <x v="0"/>
    <s v="DK1_NoDH"/>
    <x v="3"/>
    <s v="GNR_ENG_NGAS_BP_E-41"/>
    <x v="0"/>
    <x v="13"/>
    <n v="8.7888888888888896"/>
    <n v="3207.9444444444398"/>
    <n v="11548.6"/>
  </r>
  <r>
    <x v="0"/>
    <x v="0"/>
    <x v="0"/>
    <x v="0"/>
    <x v="0"/>
    <s v="DK1_NoDH"/>
    <x v="3"/>
    <s v="GNR_ENG_NGAS_BP_E-41"/>
    <x v="0"/>
    <x v="14"/>
    <n v="8.7888888888888896"/>
    <n v="3207.9444444444398"/>
    <n v="11548.6"/>
  </r>
  <r>
    <x v="0"/>
    <x v="0"/>
    <x v="0"/>
    <x v="0"/>
    <x v="0"/>
    <s v="DK1_NoDH"/>
    <x v="3"/>
    <s v="GNR_ENG_NGAS_BP_E-41"/>
    <x v="0"/>
    <x v="15"/>
    <n v="8.7888888888888896"/>
    <n v="3207.9444444444398"/>
    <n v="11548.6"/>
  </r>
  <r>
    <x v="0"/>
    <x v="0"/>
    <x v="0"/>
    <x v="0"/>
    <x v="0"/>
    <s v="DK1_NoDH"/>
    <x v="3"/>
    <s v="GNR_ENG_NGAS_BP_E-41"/>
    <x v="0"/>
    <x v="4"/>
    <n v="8.7888888888888896"/>
    <n v="3207.9444444444398"/>
    <n v="11548.6"/>
  </r>
  <r>
    <x v="0"/>
    <x v="0"/>
    <x v="0"/>
    <x v="0"/>
    <x v="0"/>
    <s v="DK1_NoDH"/>
    <x v="3"/>
    <s v="GNR_ENG_NGAS_BP_E-41"/>
    <x v="0"/>
    <x v="16"/>
    <n v="8.7888888888888896"/>
    <n v="3207.9444444444398"/>
    <n v="11548.6"/>
  </r>
  <r>
    <x v="0"/>
    <x v="0"/>
    <x v="0"/>
    <x v="0"/>
    <x v="0"/>
    <s v="DK1_NoDH"/>
    <x v="3"/>
    <s v="GNR_ENG_NGAS_BP_E-41"/>
    <x v="0"/>
    <x v="5"/>
    <n v="8.7888888888888896"/>
    <n v="3207.9444444444398"/>
    <n v="11548.6"/>
  </r>
  <r>
    <x v="0"/>
    <x v="0"/>
    <x v="0"/>
    <x v="0"/>
    <x v="0"/>
    <s v="DK1_NoDH"/>
    <x v="3"/>
    <s v="GNR_ENG_NGAS_BP_E-41"/>
    <x v="0"/>
    <x v="17"/>
    <n v="8.7888888888888896"/>
    <n v="3207.9444444444398"/>
    <n v="11548.6"/>
  </r>
  <r>
    <x v="0"/>
    <x v="0"/>
    <x v="0"/>
    <x v="0"/>
    <x v="0"/>
    <s v="DK1_NoDH"/>
    <x v="3"/>
    <s v="GNR_ENG_NGAS_BP_E-41"/>
    <x v="0"/>
    <x v="18"/>
    <n v="8.7888888888888896"/>
    <n v="3207.9444444444398"/>
    <n v="11548.6"/>
  </r>
  <r>
    <x v="0"/>
    <x v="0"/>
    <x v="0"/>
    <x v="0"/>
    <x v="0"/>
    <s v="DK1_NoDH"/>
    <x v="3"/>
    <s v="GNR_ENG_NGAS_BP_E-41"/>
    <x v="0"/>
    <x v="19"/>
    <n v="8.7888888888888896"/>
    <n v="3207.9444444444398"/>
    <n v="11548.6"/>
  </r>
  <r>
    <x v="0"/>
    <x v="0"/>
    <x v="0"/>
    <x v="0"/>
    <x v="0"/>
    <s v="DK1_NoDH"/>
    <x v="3"/>
    <s v="GNR_ENG_NGAS_BP_E-41"/>
    <x v="0"/>
    <x v="20"/>
    <n v="8.7888888888888896"/>
    <n v="3207.9444444444398"/>
    <n v="11548.6"/>
  </r>
  <r>
    <x v="0"/>
    <x v="0"/>
    <x v="0"/>
    <x v="0"/>
    <x v="0"/>
    <s v="DK1_NoDH"/>
    <x v="3"/>
    <s v="GNR_ENG_NGAS_BP_E-41"/>
    <x v="0"/>
    <x v="21"/>
    <n v="8.7888888888888896"/>
    <n v="3207.9444444444398"/>
    <n v="11548.6"/>
  </r>
  <r>
    <x v="0"/>
    <x v="0"/>
    <x v="0"/>
    <x v="0"/>
    <x v="0"/>
    <s v="DK1_NoDH"/>
    <x v="3"/>
    <s v="GNR_ENG_NGAS_BP_E-41"/>
    <x v="0"/>
    <x v="22"/>
    <n v="8.7888888888888896"/>
    <n v="3207.9444444444398"/>
    <n v="11548.6"/>
  </r>
  <r>
    <x v="0"/>
    <x v="0"/>
    <x v="0"/>
    <x v="0"/>
    <x v="0"/>
    <s v="DK1_NoDH"/>
    <x v="3"/>
    <s v="GNR_ENG_NGAS_BP_E-42"/>
    <x v="0"/>
    <x v="6"/>
    <n v="12.3555555555556"/>
    <n v="4509.7777777777801"/>
    <n v="16235.2"/>
  </r>
  <r>
    <x v="0"/>
    <x v="0"/>
    <x v="0"/>
    <x v="0"/>
    <x v="0"/>
    <s v="DK1_NoDH"/>
    <x v="3"/>
    <s v="GNR_ENG_NGAS_BP_E-42"/>
    <x v="0"/>
    <x v="7"/>
    <n v="12.3555555555556"/>
    <n v="4509.7777777777801"/>
    <n v="16235.2"/>
  </r>
  <r>
    <x v="0"/>
    <x v="0"/>
    <x v="0"/>
    <x v="0"/>
    <x v="0"/>
    <s v="DK1_NoDH"/>
    <x v="3"/>
    <s v="GNR_ENG_NGAS_BP_E-42"/>
    <x v="0"/>
    <x v="8"/>
    <n v="12.3555555555556"/>
    <n v="4509.7777777777801"/>
    <n v="16235.2"/>
  </r>
  <r>
    <x v="0"/>
    <x v="0"/>
    <x v="0"/>
    <x v="0"/>
    <x v="0"/>
    <s v="DK1_NoDH"/>
    <x v="3"/>
    <s v="GNR_ENG_NGAS_BP_E-42"/>
    <x v="0"/>
    <x v="9"/>
    <n v="12.3555555555556"/>
    <n v="4509.7777777777801"/>
    <n v="16235.2"/>
  </r>
  <r>
    <x v="0"/>
    <x v="0"/>
    <x v="0"/>
    <x v="0"/>
    <x v="0"/>
    <s v="DK1_NoDH"/>
    <x v="3"/>
    <s v="GNR_ENG_NGAS_BP_E-42"/>
    <x v="0"/>
    <x v="10"/>
    <n v="12.3555555555556"/>
    <n v="4509.7777777777801"/>
    <n v="16235.2"/>
  </r>
  <r>
    <x v="0"/>
    <x v="0"/>
    <x v="0"/>
    <x v="0"/>
    <x v="0"/>
    <s v="DK1_NoDH"/>
    <x v="3"/>
    <s v="GNR_ENG_NGAS_BP_E-42"/>
    <x v="0"/>
    <x v="11"/>
    <n v="12.3555555555556"/>
    <n v="4509.7777777777801"/>
    <n v="16235.2"/>
  </r>
  <r>
    <x v="0"/>
    <x v="0"/>
    <x v="0"/>
    <x v="0"/>
    <x v="0"/>
    <s v="DK1_NoDH"/>
    <x v="3"/>
    <s v="GNR_ENG_NGAS_BP_E-42"/>
    <x v="0"/>
    <x v="0"/>
    <n v="12.3555555555556"/>
    <n v="4509.7777777777801"/>
    <n v="16235.2"/>
  </r>
  <r>
    <x v="0"/>
    <x v="0"/>
    <x v="0"/>
    <x v="0"/>
    <x v="0"/>
    <s v="DK1_NoDH"/>
    <x v="3"/>
    <s v="GNR_ENG_NGAS_BP_E-42"/>
    <x v="0"/>
    <x v="1"/>
    <n v="12.3555555555556"/>
    <n v="4509.7777777777801"/>
    <n v="16235.2"/>
  </r>
  <r>
    <x v="0"/>
    <x v="0"/>
    <x v="0"/>
    <x v="0"/>
    <x v="0"/>
    <s v="DK1_NoDH"/>
    <x v="3"/>
    <s v="GNR_ENG_NGAS_BP_E-42"/>
    <x v="0"/>
    <x v="2"/>
    <n v="12.3555555555556"/>
    <n v="4509.7777777777801"/>
    <n v="16235.2"/>
  </r>
  <r>
    <x v="0"/>
    <x v="0"/>
    <x v="0"/>
    <x v="0"/>
    <x v="0"/>
    <s v="DK1_NoDH"/>
    <x v="3"/>
    <s v="GNR_ENG_NGAS_BP_E-42"/>
    <x v="0"/>
    <x v="3"/>
    <n v="12.3555555555556"/>
    <n v="4509.7777777777801"/>
    <n v="16235.2"/>
  </r>
  <r>
    <x v="0"/>
    <x v="0"/>
    <x v="0"/>
    <x v="0"/>
    <x v="0"/>
    <s v="DK1_NoDH"/>
    <x v="3"/>
    <s v="GNR_ENG_NGAS_BP_E-42"/>
    <x v="0"/>
    <x v="12"/>
    <n v="12.3555555555556"/>
    <n v="4509.7777777777801"/>
    <n v="16235.2"/>
  </r>
  <r>
    <x v="0"/>
    <x v="0"/>
    <x v="0"/>
    <x v="0"/>
    <x v="0"/>
    <s v="DK1_NoDH"/>
    <x v="3"/>
    <s v="GNR_ENG_NGAS_BP_E-42"/>
    <x v="0"/>
    <x v="13"/>
    <n v="12.3555555555556"/>
    <n v="4509.7777777777801"/>
    <n v="16235.2"/>
  </r>
  <r>
    <x v="0"/>
    <x v="0"/>
    <x v="0"/>
    <x v="0"/>
    <x v="0"/>
    <s v="DK1_NoDH"/>
    <x v="3"/>
    <s v="GNR_ENG_NGAS_BP_E-42"/>
    <x v="0"/>
    <x v="14"/>
    <n v="12.3555555555556"/>
    <n v="4509.7777777777801"/>
    <n v="16235.2"/>
  </r>
  <r>
    <x v="0"/>
    <x v="0"/>
    <x v="0"/>
    <x v="0"/>
    <x v="0"/>
    <s v="DK1_NoDH"/>
    <x v="3"/>
    <s v="GNR_ENG_NGAS_BP_E-42"/>
    <x v="0"/>
    <x v="15"/>
    <n v="12.3555555555556"/>
    <n v="4509.7777777777801"/>
    <n v="16235.2"/>
  </r>
  <r>
    <x v="0"/>
    <x v="0"/>
    <x v="0"/>
    <x v="0"/>
    <x v="0"/>
    <s v="DK1_NoDH"/>
    <x v="3"/>
    <s v="GNR_ENG_NGAS_BP_E-42"/>
    <x v="0"/>
    <x v="4"/>
    <n v="12.3555555555556"/>
    <n v="4509.7777777777801"/>
    <n v="16235.2"/>
  </r>
  <r>
    <x v="0"/>
    <x v="0"/>
    <x v="0"/>
    <x v="0"/>
    <x v="0"/>
    <s v="DK1_NoDH"/>
    <x v="3"/>
    <s v="GNR_ENG_NGAS_BP_E-42"/>
    <x v="0"/>
    <x v="16"/>
    <n v="12.3555555555556"/>
    <n v="4509.7777777777801"/>
    <n v="16235.2"/>
  </r>
  <r>
    <x v="0"/>
    <x v="0"/>
    <x v="0"/>
    <x v="0"/>
    <x v="0"/>
    <s v="DK1_NoDH"/>
    <x v="3"/>
    <s v="GNR_ENG_NGAS_BP_E-42"/>
    <x v="0"/>
    <x v="5"/>
    <n v="12.3555555555556"/>
    <n v="4509.7777777777801"/>
    <n v="16235.2"/>
  </r>
  <r>
    <x v="0"/>
    <x v="0"/>
    <x v="0"/>
    <x v="0"/>
    <x v="0"/>
    <s v="DK1_NoDH"/>
    <x v="3"/>
    <s v="GNR_ENG_NGAS_BP_E-42"/>
    <x v="0"/>
    <x v="17"/>
    <n v="12.3555555555556"/>
    <n v="4509.7777777777801"/>
    <n v="16235.2"/>
  </r>
  <r>
    <x v="0"/>
    <x v="0"/>
    <x v="0"/>
    <x v="0"/>
    <x v="0"/>
    <s v="DK1_NoDH"/>
    <x v="3"/>
    <s v="GNR_ENG_NGAS_BP_E-42"/>
    <x v="0"/>
    <x v="18"/>
    <n v="12.3555555555556"/>
    <n v="4509.7777777777801"/>
    <n v="16235.2"/>
  </r>
  <r>
    <x v="0"/>
    <x v="0"/>
    <x v="0"/>
    <x v="0"/>
    <x v="0"/>
    <s v="DK1_NoDH"/>
    <x v="3"/>
    <s v="GNR_ENG_NGAS_BP_E-42"/>
    <x v="0"/>
    <x v="19"/>
    <n v="12.3555555555556"/>
    <n v="4509.7777777777801"/>
    <n v="16235.2"/>
  </r>
  <r>
    <x v="0"/>
    <x v="0"/>
    <x v="0"/>
    <x v="0"/>
    <x v="0"/>
    <s v="DK1_NoDH"/>
    <x v="3"/>
    <s v="GNR_ENG_NGAS_BP_E-42"/>
    <x v="0"/>
    <x v="20"/>
    <n v="12.3555555555556"/>
    <n v="4509.7777777777801"/>
    <n v="16235.2"/>
  </r>
  <r>
    <x v="0"/>
    <x v="0"/>
    <x v="0"/>
    <x v="0"/>
    <x v="0"/>
    <s v="DK1_NoDH"/>
    <x v="3"/>
    <s v="GNR_ENG_NGAS_BP_E-42"/>
    <x v="0"/>
    <x v="21"/>
    <n v="12.3555555555556"/>
    <n v="4509.7777777777801"/>
    <n v="16235.2"/>
  </r>
  <r>
    <x v="0"/>
    <x v="0"/>
    <x v="0"/>
    <x v="0"/>
    <x v="0"/>
    <s v="DK1_NoDH"/>
    <x v="3"/>
    <s v="GNR_ENG_NGAS_BP_E-42"/>
    <x v="0"/>
    <x v="22"/>
    <n v="12.3555555555556"/>
    <n v="4509.7777777777801"/>
    <n v="16235.2"/>
  </r>
  <r>
    <x v="0"/>
    <x v="0"/>
    <x v="0"/>
    <x v="0"/>
    <x v="0"/>
    <s v="DK1_NoDH"/>
    <x v="3"/>
    <s v="GNR_ENG_NGAS_BP_E-42"/>
    <x v="0"/>
    <x v="23"/>
    <n v="12.3555555555556"/>
    <n v="4509.7777777777801"/>
    <n v="16235.2"/>
  </r>
  <r>
    <x v="0"/>
    <x v="0"/>
    <x v="0"/>
    <x v="0"/>
    <x v="0"/>
    <s v="DK1_NoDH"/>
    <x v="3"/>
    <s v="GNR_ENG_NGAS_BP_E-43"/>
    <x v="0"/>
    <x v="6"/>
    <n v="13.7122222222222"/>
    <n v="5004.9611111111099"/>
    <n v="18017.86"/>
  </r>
  <r>
    <x v="0"/>
    <x v="0"/>
    <x v="0"/>
    <x v="0"/>
    <x v="0"/>
    <s v="DK1_NoDH"/>
    <x v="3"/>
    <s v="GNR_ENG_NGAS_BP_E-43"/>
    <x v="0"/>
    <x v="7"/>
    <n v="13.7122222222222"/>
    <n v="5004.9611111111099"/>
    <n v="18017.86"/>
  </r>
  <r>
    <x v="0"/>
    <x v="0"/>
    <x v="0"/>
    <x v="0"/>
    <x v="0"/>
    <s v="DK1_NoDH"/>
    <x v="3"/>
    <s v="GNR_ENG_NGAS_BP_E-43"/>
    <x v="0"/>
    <x v="8"/>
    <n v="13.7122222222222"/>
    <n v="5004.9611111111099"/>
    <n v="18017.86"/>
  </r>
  <r>
    <x v="0"/>
    <x v="0"/>
    <x v="0"/>
    <x v="0"/>
    <x v="0"/>
    <s v="DK1_NoDH"/>
    <x v="3"/>
    <s v="GNR_ENG_NGAS_BP_E-43"/>
    <x v="0"/>
    <x v="9"/>
    <n v="13.7122222222222"/>
    <n v="5004.9611111111099"/>
    <n v="18017.86"/>
  </r>
  <r>
    <x v="0"/>
    <x v="0"/>
    <x v="0"/>
    <x v="0"/>
    <x v="0"/>
    <s v="DK1_NoDH"/>
    <x v="3"/>
    <s v="GNR_ENG_NGAS_BP_E-43"/>
    <x v="0"/>
    <x v="10"/>
    <n v="13.7122222222222"/>
    <n v="5004.9611111111099"/>
    <n v="18017.86"/>
  </r>
  <r>
    <x v="0"/>
    <x v="0"/>
    <x v="0"/>
    <x v="0"/>
    <x v="0"/>
    <s v="DK1_NoDH"/>
    <x v="3"/>
    <s v="GNR_ENG_NGAS_BP_E-43"/>
    <x v="0"/>
    <x v="11"/>
    <n v="13.7122222222222"/>
    <n v="5004.9611111111099"/>
    <n v="18017.86"/>
  </r>
  <r>
    <x v="0"/>
    <x v="0"/>
    <x v="0"/>
    <x v="0"/>
    <x v="0"/>
    <s v="DK1_NoDH"/>
    <x v="3"/>
    <s v="GNR_ENG_NGAS_BP_E-43"/>
    <x v="0"/>
    <x v="0"/>
    <n v="13.7122222222222"/>
    <n v="5004.9611111111099"/>
    <n v="18017.86"/>
  </r>
  <r>
    <x v="0"/>
    <x v="0"/>
    <x v="0"/>
    <x v="0"/>
    <x v="0"/>
    <s v="DK1_NoDH"/>
    <x v="3"/>
    <s v="GNR_ENG_NGAS_BP_E-43"/>
    <x v="0"/>
    <x v="1"/>
    <n v="13.7122222222222"/>
    <n v="5004.9611111111099"/>
    <n v="18017.86"/>
  </r>
  <r>
    <x v="0"/>
    <x v="0"/>
    <x v="0"/>
    <x v="0"/>
    <x v="0"/>
    <s v="DK1_NoDH"/>
    <x v="3"/>
    <s v="GNR_ENG_NGAS_BP_E-43"/>
    <x v="0"/>
    <x v="2"/>
    <n v="13.7122222222222"/>
    <n v="5004.9611111111099"/>
    <n v="18017.86"/>
  </r>
  <r>
    <x v="0"/>
    <x v="0"/>
    <x v="0"/>
    <x v="0"/>
    <x v="0"/>
    <s v="DK1_NoDH"/>
    <x v="3"/>
    <s v="GNR_ENG_NGAS_BP_E-43"/>
    <x v="0"/>
    <x v="3"/>
    <n v="13.7122222222222"/>
    <n v="5004.9611111111099"/>
    <n v="18017.86"/>
  </r>
  <r>
    <x v="0"/>
    <x v="0"/>
    <x v="0"/>
    <x v="0"/>
    <x v="0"/>
    <s v="DK1_NoDH"/>
    <x v="3"/>
    <s v="GNR_ENG_NGAS_BP_E-43"/>
    <x v="0"/>
    <x v="12"/>
    <n v="13.7122222222222"/>
    <n v="5004.9611111111099"/>
    <n v="18017.86"/>
  </r>
  <r>
    <x v="0"/>
    <x v="0"/>
    <x v="0"/>
    <x v="0"/>
    <x v="0"/>
    <s v="DK1_NoDH"/>
    <x v="3"/>
    <s v="GNR_ENG_NGAS_BP_E-43"/>
    <x v="0"/>
    <x v="13"/>
    <n v="13.7122222222222"/>
    <n v="5004.9611111111099"/>
    <n v="18017.86"/>
  </r>
  <r>
    <x v="0"/>
    <x v="0"/>
    <x v="0"/>
    <x v="0"/>
    <x v="0"/>
    <s v="DK1_NoDH"/>
    <x v="3"/>
    <s v="GNR_ENG_NGAS_BP_E-43"/>
    <x v="0"/>
    <x v="14"/>
    <n v="13.7122222222222"/>
    <n v="5004.9611111111099"/>
    <n v="18017.86"/>
  </r>
  <r>
    <x v="0"/>
    <x v="0"/>
    <x v="0"/>
    <x v="0"/>
    <x v="0"/>
    <s v="DK1_NoDH"/>
    <x v="3"/>
    <s v="GNR_ENG_NGAS_BP_E-43"/>
    <x v="0"/>
    <x v="15"/>
    <n v="13.7122222222222"/>
    <n v="5004.9611111111099"/>
    <n v="18017.86"/>
  </r>
  <r>
    <x v="0"/>
    <x v="0"/>
    <x v="0"/>
    <x v="0"/>
    <x v="0"/>
    <s v="DK1_NoDH"/>
    <x v="3"/>
    <s v="GNR_ENG_NGAS_BP_E-43"/>
    <x v="0"/>
    <x v="4"/>
    <n v="13.7122222222222"/>
    <n v="5004.9611111111099"/>
    <n v="18017.86"/>
  </r>
  <r>
    <x v="0"/>
    <x v="0"/>
    <x v="0"/>
    <x v="0"/>
    <x v="0"/>
    <s v="DK1_NoDH"/>
    <x v="3"/>
    <s v="GNR_ENG_NGAS_BP_E-43"/>
    <x v="0"/>
    <x v="16"/>
    <n v="13.7122222222222"/>
    <n v="5004.9611111111099"/>
    <n v="18017.86"/>
  </r>
  <r>
    <x v="0"/>
    <x v="0"/>
    <x v="0"/>
    <x v="0"/>
    <x v="0"/>
    <s v="DK1_NoDH"/>
    <x v="3"/>
    <s v="GNR_ENG_NGAS_BP_E-43"/>
    <x v="0"/>
    <x v="5"/>
    <n v="13.7122222222222"/>
    <n v="5004.9611111111099"/>
    <n v="18017.86"/>
  </r>
  <r>
    <x v="0"/>
    <x v="0"/>
    <x v="0"/>
    <x v="0"/>
    <x v="0"/>
    <s v="DK1_NoDH"/>
    <x v="3"/>
    <s v="GNR_ENG_NGAS_BP_E-43"/>
    <x v="0"/>
    <x v="17"/>
    <n v="13.7122222222222"/>
    <n v="5004.9611111111099"/>
    <n v="18017.86"/>
  </r>
  <r>
    <x v="0"/>
    <x v="0"/>
    <x v="0"/>
    <x v="0"/>
    <x v="0"/>
    <s v="DK1_NoDH"/>
    <x v="3"/>
    <s v="GNR_ENG_NGAS_BP_E-43"/>
    <x v="0"/>
    <x v="18"/>
    <n v="13.7122222222222"/>
    <n v="5004.9611111111099"/>
    <n v="18017.86"/>
  </r>
  <r>
    <x v="0"/>
    <x v="0"/>
    <x v="0"/>
    <x v="0"/>
    <x v="0"/>
    <s v="DK1_NoDH"/>
    <x v="3"/>
    <s v="GNR_ENG_NGAS_BP_E-43"/>
    <x v="0"/>
    <x v="19"/>
    <n v="13.7122222222222"/>
    <n v="5004.9611111111099"/>
    <n v="18017.86"/>
  </r>
  <r>
    <x v="0"/>
    <x v="0"/>
    <x v="0"/>
    <x v="0"/>
    <x v="0"/>
    <s v="DK1_NoDH"/>
    <x v="3"/>
    <s v="GNR_ENG_NGAS_BP_E-43"/>
    <x v="0"/>
    <x v="20"/>
    <n v="13.7122222222222"/>
    <n v="5004.9611111111099"/>
    <n v="18017.86"/>
  </r>
  <r>
    <x v="0"/>
    <x v="0"/>
    <x v="0"/>
    <x v="0"/>
    <x v="0"/>
    <s v="DK1_NoDH"/>
    <x v="3"/>
    <s v="GNR_ENG_NGAS_BP_E-43"/>
    <x v="0"/>
    <x v="21"/>
    <n v="13.7122222222222"/>
    <n v="5004.9611111111099"/>
    <n v="18017.86"/>
  </r>
  <r>
    <x v="0"/>
    <x v="0"/>
    <x v="0"/>
    <x v="0"/>
    <x v="0"/>
    <s v="DK1_NoDH"/>
    <x v="3"/>
    <s v="GNR_ENG_NGAS_BP_E-43"/>
    <x v="0"/>
    <x v="22"/>
    <n v="13.7122222222222"/>
    <n v="5004.9611111111099"/>
    <n v="18017.86"/>
  </r>
  <r>
    <x v="0"/>
    <x v="0"/>
    <x v="0"/>
    <x v="0"/>
    <x v="0"/>
    <s v="DK1_NoDH"/>
    <x v="3"/>
    <s v="GNR_ENG_NGAS_BP_E-43"/>
    <x v="0"/>
    <x v="23"/>
    <n v="13.7122222222222"/>
    <n v="5004.9611111111099"/>
    <n v="18017.86"/>
  </r>
  <r>
    <x v="0"/>
    <x v="0"/>
    <x v="0"/>
    <x v="0"/>
    <x v="0"/>
    <s v="DK1_NoDH"/>
    <x v="3"/>
    <s v="GNR_ENG_NGAS_BP_E-46"/>
    <x v="0"/>
    <x v="6"/>
    <n v="5.3388888888888903"/>
    <n v="1948.69444444444"/>
    <n v="7015.3"/>
  </r>
  <r>
    <x v="0"/>
    <x v="0"/>
    <x v="0"/>
    <x v="0"/>
    <x v="0"/>
    <s v="DK1_NoDH"/>
    <x v="3"/>
    <s v="GNR_ENG_NGAS_BP_E-46"/>
    <x v="0"/>
    <x v="7"/>
    <n v="5.3388888888888903"/>
    <n v="1948.69444444444"/>
    <n v="7015.3"/>
  </r>
  <r>
    <x v="0"/>
    <x v="0"/>
    <x v="0"/>
    <x v="0"/>
    <x v="0"/>
    <s v="DK1_NoDH"/>
    <x v="3"/>
    <s v="GNR_ENG_NGAS_BP_E-46"/>
    <x v="0"/>
    <x v="8"/>
    <n v="5.3388888888888903"/>
    <n v="1948.69444444444"/>
    <n v="7015.3"/>
  </r>
  <r>
    <x v="0"/>
    <x v="0"/>
    <x v="0"/>
    <x v="0"/>
    <x v="0"/>
    <s v="DK1_NoDH"/>
    <x v="3"/>
    <s v="GNR_ENG_NGAS_BP_E-46"/>
    <x v="0"/>
    <x v="9"/>
    <n v="5.3388888888888903"/>
    <n v="1948.69444444444"/>
    <n v="7015.3"/>
  </r>
  <r>
    <x v="0"/>
    <x v="0"/>
    <x v="0"/>
    <x v="0"/>
    <x v="0"/>
    <s v="DK1_NoDH"/>
    <x v="3"/>
    <s v="GNR_ENG_NGAS_BP_E-46"/>
    <x v="0"/>
    <x v="10"/>
    <n v="5.3388888888888903"/>
    <n v="1948.69444444444"/>
    <n v="7015.3"/>
  </r>
  <r>
    <x v="0"/>
    <x v="0"/>
    <x v="0"/>
    <x v="0"/>
    <x v="0"/>
    <s v="DK1_NoDH"/>
    <x v="3"/>
    <s v="GNR_ENG_NGAS_BP_E-46"/>
    <x v="0"/>
    <x v="11"/>
    <n v="5.3388888888888903"/>
    <n v="1948.69444444444"/>
    <n v="7015.3"/>
  </r>
  <r>
    <x v="0"/>
    <x v="0"/>
    <x v="0"/>
    <x v="0"/>
    <x v="0"/>
    <s v="DK1_NoDH"/>
    <x v="3"/>
    <s v="GNR_ENG_NGAS_BP_E-46"/>
    <x v="0"/>
    <x v="0"/>
    <n v="5.3388888888888903"/>
    <n v="1948.69444444444"/>
    <n v="7015.3"/>
  </r>
  <r>
    <x v="0"/>
    <x v="0"/>
    <x v="0"/>
    <x v="0"/>
    <x v="0"/>
    <s v="DK1_NoDH"/>
    <x v="3"/>
    <s v="GNR_ENG_NGAS_BP_E-46"/>
    <x v="0"/>
    <x v="1"/>
    <n v="5.3388888888888903"/>
    <n v="1948.69444444444"/>
    <n v="7015.3"/>
  </r>
  <r>
    <x v="0"/>
    <x v="0"/>
    <x v="0"/>
    <x v="0"/>
    <x v="0"/>
    <s v="DK1_NoDH"/>
    <x v="3"/>
    <s v="GNR_ENG_NGAS_BP_E-46"/>
    <x v="0"/>
    <x v="2"/>
    <n v="5.3388888888888903"/>
    <n v="1948.69444444444"/>
    <n v="7015.3"/>
  </r>
  <r>
    <x v="0"/>
    <x v="0"/>
    <x v="0"/>
    <x v="0"/>
    <x v="0"/>
    <s v="DK1_NoDH"/>
    <x v="3"/>
    <s v="GNR_ENG_NGAS_BP_E-46"/>
    <x v="0"/>
    <x v="3"/>
    <n v="5.3388888888888903"/>
    <n v="1948.69444444444"/>
    <n v="7015.3"/>
  </r>
  <r>
    <x v="0"/>
    <x v="0"/>
    <x v="0"/>
    <x v="0"/>
    <x v="0"/>
    <s v="DK1_NoDH"/>
    <x v="3"/>
    <s v="GNR_ENG_NGAS_BP_E-46"/>
    <x v="0"/>
    <x v="12"/>
    <n v="5.3388888888888903"/>
    <n v="1948.69444444444"/>
    <n v="7015.3"/>
  </r>
  <r>
    <x v="0"/>
    <x v="0"/>
    <x v="0"/>
    <x v="0"/>
    <x v="0"/>
    <s v="DK1_NoDH"/>
    <x v="3"/>
    <s v="GNR_ENG_NGAS_BP_E-46"/>
    <x v="0"/>
    <x v="13"/>
    <n v="5.3388888888888903"/>
    <n v="1948.69444444444"/>
    <n v="7015.3"/>
  </r>
  <r>
    <x v="0"/>
    <x v="0"/>
    <x v="0"/>
    <x v="0"/>
    <x v="0"/>
    <s v="DK1_NoDH"/>
    <x v="3"/>
    <s v="GNR_ENG_NGAS_BP_E-46"/>
    <x v="0"/>
    <x v="14"/>
    <n v="5.3388888888888903"/>
    <n v="1948.69444444444"/>
    <n v="7015.3"/>
  </r>
  <r>
    <x v="0"/>
    <x v="0"/>
    <x v="0"/>
    <x v="0"/>
    <x v="0"/>
    <s v="DK1_NoDH"/>
    <x v="3"/>
    <s v="GNR_ENG_NGAS_BP_E-46"/>
    <x v="0"/>
    <x v="15"/>
    <n v="5.3388888888888903"/>
    <n v="1948.69444444444"/>
    <n v="7015.3"/>
  </r>
  <r>
    <x v="0"/>
    <x v="0"/>
    <x v="0"/>
    <x v="0"/>
    <x v="0"/>
    <s v="DK1_NoDH"/>
    <x v="3"/>
    <s v="GNR_ENG_NGAS_BP_E-46"/>
    <x v="0"/>
    <x v="4"/>
    <n v="5.3388888888888903"/>
    <n v="1948.69444444444"/>
    <n v="7015.3"/>
  </r>
  <r>
    <x v="0"/>
    <x v="0"/>
    <x v="0"/>
    <x v="0"/>
    <x v="0"/>
    <s v="DK1_NoDH"/>
    <x v="3"/>
    <s v="GNR_ENG_NGAS_BP_E-46"/>
    <x v="0"/>
    <x v="16"/>
    <n v="5.3388888888888903"/>
    <n v="1948.69444444444"/>
    <n v="7015.3"/>
  </r>
  <r>
    <x v="0"/>
    <x v="0"/>
    <x v="0"/>
    <x v="0"/>
    <x v="0"/>
    <s v="DK1_NoDH"/>
    <x v="3"/>
    <s v="GNR_ENG_NGAS_BP_E-46"/>
    <x v="0"/>
    <x v="5"/>
    <n v="5.3388888888888903"/>
    <n v="1948.69444444444"/>
    <n v="7015.3"/>
  </r>
  <r>
    <x v="0"/>
    <x v="0"/>
    <x v="0"/>
    <x v="0"/>
    <x v="0"/>
    <s v="DK1_NoDH"/>
    <x v="3"/>
    <s v="GNR_ENG_NGAS_BP_E-46"/>
    <x v="0"/>
    <x v="17"/>
    <n v="5.3388888888888903"/>
    <n v="1948.69444444444"/>
    <n v="7015.3"/>
  </r>
  <r>
    <x v="0"/>
    <x v="0"/>
    <x v="0"/>
    <x v="0"/>
    <x v="0"/>
    <s v="DK1_NoDH"/>
    <x v="3"/>
    <s v="GNR_ENG_NGAS_BP_E-46"/>
    <x v="0"/>
    <x v="18"/>
    <n v="5.3388888888888903"/>
    <n v="1948.69444444444"/>
    <n v="7015.3"/>
  </r>
  <r>
    <x v="0"/>
    <x v="0"/>
    <x v="0"/>
    <x v="0"/>
    <x v="0"/>
    <s v="DK1_NoDH"/>
    <x v="3"/>
    <s v="GNR_ENG_NGAS_BP_E-46"/>
    <x v="0"/>
    <x v="19"/>
    <n v="5.3388888888888903"/>
    <n v="1948.69444444444"/>
    <n v="7015.3"/>
  </r>
  <r>
    <x v="0"/>
    <x v="0"/>
    <x v="0"/>
    <x v="0"/>
    <x v="0"/>
    <s v="DK1_NoDH"/>
    <x v="3"/>
    <s v="GNR_ENG_NGAS_BP_E-46"/>
    <x v="0"/>
    <x v="20"/>
    <n v="5.3388888888888903"/>
    <n v="1948.69444444444"/>
    <n v="7015.3"/>
  </r>
  <r>
    <x v="0"/>
    <x v="0"/>
    <x v="0"/>
    <x v="0"/>
    <x v="0"/>
    <s v="DK1_NoDH"/>
    <x v="3"/>
    <s v="GNR_ENG_NGAS_BP_E-46"/>
    <x v="0"/>
    <x v="21"/>
    <n v="5.3388888888888903"/>
    <n v="1948.69444444444"/>
    <n v="7015.3"/>
  </r>
  <r>
    <x v="0"/>
    <x v="0"/>
    <x v="0"/>
    <x v="0"/>
    <x v="0"/>
    <s v="DK1_NoDH"/>
    <x v="3"/>
    <s v="GNR_ENG_NGAS_BP_E-46"/>
    <x v="0"/>
    <x v="22"/>
    <n v="5.3388888888888903"/>
    <n v="1948.69444444444"/>
    <n v="7015.3"/>
  </r>
  <r>
    <x v="0"/>
    <x v="0"/>
    <x v="0"/>
    <x v="0"/>
    <x v="0"/>
    <s v="DK1_NoDH"/>
    <x v="3"/>
    <s v="GNR_ENG_NGAS_BP_E-46"/>
    <x v="0"/>
    <x v="23"/>
    <n v="5.3388888888888903"/>
    <n v="1948.69444444444"/>
    <n v="7015.3"/>
  </r>
  <r>
    <x v="0"/>
    <x v="0"/>
    <x v="0"/>
    <x v="0"/>
    <x v="0"/>
    <s v="DK1_NoDH"/>
    <x v="3"/>
    <s v="GNR_GT_NGAS_BP_E-28"/>
    <x v="0"/>
    <x v="0"/>
    <n v="36.7368421052632"/>
    <n v="13408.947368421101"/>
    <n v="48272.210526315801"/>
  </r>
  <r>
    <x v="0"/>
    <x v="0"/>
    <x v="0"/>
    <x v="0"/>
    <x v="0"/>
    <s v="DK1_NoDH"/>
    <x v="3"/>
    <s v="GNR_GT_NGAS_BP_E-28"/>
    <x v="0"/>
    <x v="1"/>
    <n v="36.7368421052632"/>
    <n v="13408.947368421101"/>
    <n v="48272.210526315801"/>
  </r>
  <r>
    <x v="0"/>
    <x v="0"/>
    <x v="0"/>
    <x v="0"/>
    <x v="0"/>
    <s v="DK1_NoDH"/>
    <x v="3"/>
    <s v="GNR_GT_NGAS_BP_E-28"/>
    <x v="0"/>
    <x v="2"/>
    <n v="36.7368421052632"/>
    <n v="13408.947368421101"/>
    <n v="48272.210526315801"/>
  </r>
  <r>
    <x v="0"/>
    <x v="0"/>
    <x v="0"/>
    <x v="0"/>
    <x v="0"/>
    <s v="DK1_NoDH"/>
    <x v="3"/>
    <s v="GNR_GT_NGAS_BP_E-28"/>
    <x v="0"/>
    <x v="3"/>
    <n v="36.7368421052632"/>
    <n v="13408.947368421101"/>
    <n v="48272.210526315801"/>
  </r>
  <r>
    <x v="0"/>
    <x v="0"/>
    <x v="0"/>
    <x v="0"/>
    <x v="0"/>
    <s v="DK1_NoDH"/>
    <x v="3"/>
    <s v="GNR_GT_NGAS_BP_E-33"/>
    <x v="0"/>
    <x v="0"/>
    <n v="5.5789473684210504"/>
    <n v="2036.3157894736801"/>
    <n v="7330.7368421052597"/>
  </r>
  <r>
    <x v="0"/>
    <x v="0"/>
    <x v="0"/>
    <x v="0"/>
    <x v="0"/>
    <s v="DK1_NoDH"/>
    <x v="3"/>
    <s v="GNR_GT_NGAS_BP_E-33"/>
    <x v="0"/>
    <x v="1"/>
    <n v="5.5789473684210504"/>
    <n v="2036.3157894736801"/>
    <n v="7330.7368421052597"/>
  </r>
  <r>
    <x v="0"/>
    <x v="0"/>
    <x v="0"/>
    <x v="0"/>
    <x v="0"/>
    <s v="DK1_NoDH"/>
    <x v="3"/>
    <s v="GNR_GT_NGAS_BP_E-33"/>
    <x v="0"/>
    <x v="2"/>
    <n v="5.5789473684210504"/>
    <n v="2036.3157894736801"/>
    <n v="7330.7368421052597"/>
  </r>
  <r>
    <x v="0"/>
    <x v="0"/>
    <x v="0"/>
    <x v="0"/>
    <x v="0"/>
    <s v="DK1_NoDH"/>
    <x v="3"/>
    <s v="GNR_GT_NGAS_BP_E-33"/>
    <x v="0"/>
    <x v="3"/>
    <n v="5.5789473684210504"/>
    <n v="2036.3157894736801"/>
    <n v="7330.7368421052597"/>
  </r>
  <r>
    <x v="0"/>
    <x v="0"/>
    <x v="0"/>
    <x v="0"/>
    <x v="0"/>
    <s v="DK1_NoDH"/>
    <x v="3"/>
    <s v="GNR_GT_NGAS_BP_E-33"/>
    <x v="0"/>
    <x v="12"/>
    <n v="5.5789473684210504"/>
    <n v="2036.3157894736801"/>
    <n v="7330.7368421052597"/>
  </r>
  <r>
    <x v="0"/>
    <x v="0"/>
    <x v="0"/>
    <x v="0"/>
    <x v="0"/>
    <s v="DK1_NoDH"/>
    <x v="3"/>
    <s v="GNR_GT_NGAS_BP_E-33"/>
    <x v="0"/>
    <x v="13"/>
    <n v="5.5789473684210504"/>
    <n v="2036.3157894736801"/>
    <n v="7330.7368421052597"/>
  </r>
  <r>
    <x v="0"/>
    <x v="0"/>
    <x v="0"/>
    <x v="0"/>
    <x v="0"/>
    <s v="DK1_NoDH"/>
    <x v="3"/>
    <s v="GNR_GT_NGAS_BP_E-36"/>
    <x v="0"/>
    <x v="10"/>
    <n v="4.2105263157894699"/>
    <n v="1536.84210526316"/>
    <n v="5532.6315789473701"/>
  </r>
  <r>
    <x v="0"/>
    <x v="0"/>
    <x v="0"/>
    <x v="0"/>
    <x v="0"/>
    <s v="DK1_NoDH"/>
    <x v="3"/>
    <s v="GNR_GT_NGAS_BP_E-36"/>
    <x v="0"/>
    <x v="11"/>
    <n v="4.2105263157894699"/>
    <n v="1536.84210526316"/>
    <n v="5532.6315789473701"/>
  </r>
  <r>
    <x v="0"/>
    <x v="0"/>
    <x v="0"/>
    <x v="0"/>
    <x v="0"/>
    <s v="DK1_NoDH"/>
    <x v="3"/>
    <s v="GNR_GT_NGAS_BP_E-36"/>
    <x v="0"/>
    <x v="0"/>
    <n v="4.2105263157894699"/>
    <n v="1536.84210526316"/>
    <n v="5532.6315789473701"/>
  </r>
  <r>
    <x v="0"/>
    <x v="0"/>
    <x v="0"/>
    <x v="0"/>
    <x v="0"/>
    <s v="DK1_NoDH"/>
    <x v="3"/>
    <s v="GNR_GT_NGAS_BP_E-36"/>
    <x v="0"/>
    <x v="1"/>
    <n v="4.2105263157894699"/>
    <n v="1536.84210526316"/>
    <n v="5532.6315789473701"/>
  </r>
  <r>
    <x v="0"/>
    <x v="0"/>
    <x v="0"/>
    <x v="0"/>
    <x v="0"/>
    <s v="DK1_NoDH"/>
    <x v="3"/>
    <s v="GNR_GT_NGAS_BP_E-36"/>
    <x v="0"/>
    <x v="2"/>
    <n v="4.2105263157894699"/>
    <n v="1536.84210526316"/>
    <n v="5532.6315789473701"/>
  </r>
  <r>
    <x v="0"/>
    <x v="0"/>
    <x v="0"/>
    <x v="0"/>
    <x v="0"/>
    <s v="DK1_NoDH"/>
    <x v="3"/>
    <s v="GNR_GT_NGAS_BP_E-36"/>
    <x v="0"/>
    <x v="3"/>
    <n v="4.2105263157894699"/>
    <n v="1536.84210526316"/>
    <n v="5532.6315789473701"/>
  </r>
  <r>
    <x v="0"/>
    <x v="0"/>
    <x v="0"/>
    <x v="0"/>
    <x v="0"/>
    <s v="DK1_NoDH"/>
    <x v="3"/>
    <s v="GNR_GT_NGAS_BP_E-36"/>
    <x v="0"/>
    <x v="12"/>
    <n v="4.2105263157894699"/>
    <n v="1536.84210526316"/>
    <n v="5532.6315789473701"/>
  </r>
  <r>
    <x v="0"/>
    <x v="0"/>
    <x v="0"/>
    <x v="0"/>
    <x v="0"/>
    <s v="DK1_NoDH"/>
    <x v="3"/>
    <s v="GNR_GT_NGAS_BP_E-36"/>
    <x v="0"/>
    <x v="13"/>
    <n v="4.2105263157894699"/>
    <n v="1536.84210526316"/>
    <n v="5532.6315789473701"/>
  </r>
  <r>
    <x v="0"/>
    <x v="0"/>
    <x v="0"/>
    <x v="0"/>
    <x v="0"/>
    <s v="DK1_NoDH"/>
    <x v="3"/>
    <s v="GNR_GT_NGAS_BP_E-36"/>
    <x v="0"/>
    <x v="14"/>
    <n v="4.2105263157894699"/>
    <n v="1536.84210526316"/>
    <n v="5532.6315789473701"/>
  </r>
  <r>
    <x v="0"/>
    <x v="0"/>
    <x v="0"/>
    <x v="0"/>
    <x v="0"/>
    <s v="DK1_NoDH"/>
    <x v="3"/>
    <s v="GNR_GT_NGAS_BP_E-36"/>
    <x v="0"/>
    <x v="15"/>
    <n v="4.2105263157894699"/>
    <n v="1536.84210526316"/>
    <n v="5532.6315789473701"/>
  </r>
  <r>
    <x v="0"/>
    <x v="0"/>
    <x v="0"/>
    <x v="0"/>
    <x v="0"/>
    <s v="DK1_NoDH"/>
    <x v="3"/>
    <s v="GNR_GT_NGAS_BP_E-36"/>
    <x v="0"/>
    <x v="4"/>
    <n v="4.2105263157894699"/>
    <n v="1536.84210526316"/>
    <n v="5532.6315789473701"/>
  </r>
  <r>
    <x v="0"/>
    <x v="0"/>
    <x v="0"/>
    <x v="0"/>
    <x v="0"/>
    <s v="DK1_NoDH"/>
    <x v="3"/>
    <s v="GNR_GT_NGAS_BP_E-36"/>
    <x v="0"/>
    <x v="16"/>
    <n v="4.2105263157894699"/>
    <n v="1536.84210526316"/>
    <n v="5532.6315789473701"/>
  </r>
  <r>
    <x v="0"/>
    <x v="0"/>
    <x v="0"/>
    <x v="0"/>
    <x v="0"/>
    <s v="DK1_NoDH"/>
    <x v="3"/>
    <s v="GNR_GT_NGAS_BP_E-36"/>
    <x v="0"/>
    <x v="5"/>
    <n v="4.2105263157894699"/>
    <n v="1536.84210526316"/>
    <n v="5532.6315789473701"/>
  </r>
  <r>
    <x v="0"/>
    <x v="0"/>
    <x v="0"/>
    <x v="0"/>
    <x v="0"/>
    <s v="DK1_NoDH"/>
    <x v="3"/>
    <s v="GNR_GT_NGAS_BP_E-36"/>
    <x v="0"/>
    <x v="17"/>
    <n v="4.2105263157894699"/>
    <n v="1536.84210526316"/>
    <n v="5532.6315789473701"/>
  </r>
  <r>
    <x v="0"/>
    <x v="0"/>
    <x v="0"/>
    <x v="0"/>
    <x v="0"/>
    <s v="DK1_NoDH"/>
    <x v="3"/>
    <s v="GNR_GT_NGAS_BP_E-36"/>
    <x v="0"/>
    <x v="18"/>
    <n v="4.2105263157894699"/>
    <n v="1536.84210526316"/>
    <n v="5532.6315789473701"/>
  </r>
  <r>
    <x v="0"/>
    <x v="0"/>
    <x v="0"/>
    <x v="0"/>
    <x v="0"/>
    <s v="DK1_Rural"/>
    <x v="1"/>
    <s v="GNR_HS_HEAT-E-100"/>
    <x v="0"/>
    <x v="2"/>
    <n v="77.446441953500496"/>
    <n v="28267.951313027701"/>
    <n v="101764.6247269"/>
  </r>
  <r>
    <x v="0"/>
    <x v="0"/>
    <x v="0"/>
    <x v="0"/>
    <x v="0"/>
    <s v="DK1_Rural"/>
    <x v="1"/>
    <s v="GNR_HS_HEAT-E-100"/>
    <x v="0"/>
    <x v="12"/>
    <n v="95.829027509076496"/>
    <n v="34977.595040812899"/>
    <n v="125919.34214692601"/>
  </r>
  <r>
    <x v="0"/>
    <x v="0"/>
    <x v="0"/>
    <x v="0"/>
    <x v="0"/>
    <s v="DK1_Rural"/>
    <x v="1"/>
    <s v="GNR_HS_HEAT-E-100"/>
    <x v="0"/>
    <x v="13"/>
    <n v="112.61598765739799"/>
    <n v="41104.835494950101"/>
    <n v="147977.40778182101"/>
  </r>
  <r>
    <x v="0"/>
    <x v="0"/>
    <x v="0"/>
    <x v="0"/>
    <x v="0"/>
    <s v="DK1_Rural"/>
    <x v="1"/>
    <s v="GNR_HS_HEAT-E-100"/>
    <x v="0"/>
    <x v="14"/>
    <n v="4.3815806555955596"/>
    <n v="1599.2769392923799"/>
    <n v="5757.3969814525699"/>
  </r>
  <r>
    <x v="0"/>
    <x v="0"/>
    <x v="0"/>
    <x v="0"/>
    <x v="0"/>
    <s v="DK1_Rural"/>
    <x v="1"/>
    <s v="GNR_HS_HEAT-E-100"/>
    <x v="0"/>
    <x v="15"/>
    <n v="76.610297207911898"/>
    <n v="27962.758480887798"/>
    <n v="100665.93053119601"/>
  </r>
  <r>
    <x v="0"/>
    <x v="0"/>
    <x v="0"/>
    <x v="0"/>
    <x v="0"/>
    <s v="DK1_Rural"/>
    <x v="1"/>
    <s v="GNR_HS_HEAT-E-100"/>
    <x v="0"/>
    <x v="4"/>
    <n v="82.674413494141007"/>
    <n v="30176.160925361499"/>
    <n v="108634.179331301"/>
  </r>
  <r>
    <x v="0"/>
    <x v="0"/>
    <x v="0"/>
    <x v="0"/>
    <x v="0"/>
    <s v="DK1_Rural"/>
    <x v="1"/>
    <s v="GNR_HS_HEAT-E-100"/>
    <x v="0"/>
    <x v="16"/>
    <n v="1.3495225124808801"/>
    <n v="492.57571705552101"/>
    <n v="1773.27258139987"/>
  </r>
  <r>
    <x v="0"/>
    <x v="0"/>
    <x v="0"/>
    <x v="0"/>
    <x v="0"/>
    <s v="DK1_Rural"/>
    <x v="1"/>
    <s v="GNR_HS_HEAT-E-100"/>
    <x v="0"/>
    <x v="5"/>
    <n v="91.770587923484797"/>
    <n v="33496.264592072002"/>
    <n v="120586.552531459"/>
  </r>
  <r>
    <x v="0"/>
    <x v="0"/>
    <x v="0"/>
    <x v="0"/>
    <x v="0"/>
    <s v="DK1_Rural"/>
    <x v="1"/>
    <s v="GNR_HS_HEAT-E-100"/>
    <x v="0"/>
    <x v="17"/>
    <n v="102.00378415649701"/>
    <n v="37231.381217121299"/>
    <n v="134032.972381637"/>
  </r>
  <r>
    <x v="0"/>
    <x v="0"/>
    <x v="0"/>
    <x v="0"/>
    <x v="0"/>
    <s v="DK1_Rural"/>
    <x v="1"/>
    <s v="GNR_HS_HEAT-E-100"/>
    <x v="0"/>
    <x v="18"/>
    <n v="100.487755084939"/>
    <n v="36678.030606002802"/>
    <n v="132040.91018161"/>
  </r>
  <r>
    <x v="0"/>
    <x v="0"/>
    <x v="0"/>
    <x v="0"/>
    <x v="0"/>
    <s v="DK1_Rural"/>
    <x v="1"/>
    <s v="GNR_HS_HEAT-E-100"/>
    <x v="0"/>
    <x v="19"/>
    <n v="140.559568212588"/>
    <n v="51304.242397594702"/>
    <n v="184695.27263134101"/>
  </r>
  <r>
    <x v="0"/>
    <x v="0"/>
    <x v="0"/>
    <x v="0"/>
    <x v="0"/>
    <s v="DK1_Rural"/>
    <x v="1"/>
    <s v="GNR_HS_HEAT-E-100"/>
    <x v="0"/>
    <x v="20"/>
    <n v="24.366008585110201"/>
    <n v="8893.5931335652203"/>
    <n v="32016.935280834801"/>
  </r>
  <r>
    <x v="0"/>
    <x v="0"/>
    <x v="0"/>
    <x v="0"/>
    <x v="0"/>
    <s v="DK1_Rural"/>
    <x v="1"/>
    <s v="GNR_HS_HEAT-E-100"/>
    <x v="0"/>
    <x v="21"/>
    <n v="85.554430577171601"/>
    <n v="31227.3671606676"/>
    <n v="112418.521778403"/>
  </r>
  <r>
    <x v="0"/>
    <x v="0"/>
    <x v="0"/>
    <x v="0"/>
    <x v="0"/>
    <s v="DK1_Rural"/>
    <x v="1"/>
    <s v="GNR_HS_HEAT-E-100"/>
    <x v="0"/>
    <x v="23"/>
    <n v="103.829176342248"/>
    <n v="37897.6493649205"/>
    <n v="136431.537713714"/>
  </r>
  <r>
    <x v="0"/>
    <x v="0"/>
    <x v="0"/>
    <x v="0"/>
    <x v="0"/>
    <s v="DK1_Rural"/>
    <x v="1"/>
    <s v="GNR_HS_HEAT_WTR-TANK_LS_E-95_Y-2010"/>
    <x v="0"/>
    <x v="11"/>
    <n v="14.005805832528001"/>
    <n v="5112.1191288727396"/>
    <n v="18403.628863941802"/>
  </r>
  <r>
    <x v="0"/>
    <x v="0"/>
    <x v="0"/>
    <x v="0"/>
    <x v="0"/>
    <s v="DK1_Rural"/>
    <x v="1"/>
    <s v="GNR_HS_HEAT_WTR-TANK_LS_E-95_Y-2010"/>
    <x v="0"/>
    <x v="0"/>
    <n v="137.80196268026401"/>
    <n v="50297.716378296303"/>
    <n v="181071.77896186701"/>
  </r>
  <r>
    <x v="0"/>
    <x v="0"/>
    <x v="0"/>
    <x v="0"/>
    <x v="0"/>
    <s v="DK1_Rural"/>
    <x v="3"/>
    <s v="GNR_ENG_NGAS_BP_E-33"/>
    <x v="0"/>
    <x v="0"/>
    <n v="5"/>
    <n v="1825"/>
    <n v="6570"/>
  </r>
  <r>
    <x v="0"/>
    <x v="0"/>
    <x v="0"/>
    <x v="0"/>
    <x v="0"/>
    <s v="DK1_Rural"/>
    <x v="3"/>
    <s v="GNR_ENG_NGAS_BP_E-33"/>
    <x v="0"/>
    <x v="1"/>
    <n v="5"/>
    <n v="1825"/>
    <n v="6570"/>
  </r>
  <r>
    <x v="0"/>
    <x v="0"/>
    <x v="0"/>
    <x v="0"/>
    <x v="0"/>
    <s v="DK1_Rural"/>
    <x v="3"/>
    <s v="GNR_ENG_NGAS_BP_E-33"/>
    <x v="0"/>
    <x v="2"/>
    <n v="5"/>
    <n v="1825"/>
    <n v="6570"/>
  </r>
  <r>
    <x v="0"/>
    <x v="0"/>
    <x v="0"/>
    <x v="0"/>
    <x v="0"/>
    <s v="DK1_Rural"/>
    <x v="3"/>
    <s v="GNR_ENG_NGAS_BP_E-33"/>
    <x v="0"/>
    <x v="3"/>
    <n v="5"/>
    <n v="1825"/>
    <n v="6570"/>
  </r>
  <r>
    <x v="0"/>
    <x v="0"/>
    <x v="0"/>
    <x v="0"/>
    <x v="0"/>
    <s v="DK1_Rural"/>
    <x v="3"/>
    <s v="GNR_ENG_NGAS_BP_E-33"/>
    <x v="0"/>
    <x v="12"/>
    <n v="5"/>
    <n v="1825"/>
    <n v="6570"/>
  </r>
  <r>
    <x v="0"/>
    <x v="0"/>
    <x v="0"/>
    <x v="0"/>
    <x v="0"/>
    <s v="DK1_Rural"/>
    <x v="3"/>
    <s v="GNR_ENG_NGAS_BP_E-34"/>
    <x v="0"/>
    <x v="0"/>
    <n v="5.1444444444444404"/>
    <n v="1877.7222222222199"/>
    <n v="6759.8"/>
  </r>
  <r>
    <x v="0"/>
    <x v="0"/>
    <x v="0"/>
    <x v="0"/>
    <x v="0"/>
    <s v="DK1_Rural"/>
    <x v="3"/>
    <s v="GNR_ENG_NGAS_BP_E-34"/>
    <x v="0"/>
    <x v="1"/>
    <n v="5.1444444444444404"/>
    <n v="1877.7222222222199"/>
    <n v="6759.8"/>
  </r>
  <r>
    <x v="0"/>
    <x v="0"/>
    <x v="0"/>
    <x v="0"/>
    <x v="0"/>
    <s v="DK1_Rural"/>
    <x v="3"/>
    <s v="GNR_ENG_NGAS_BP_E-34"/>
    <x v="0"/>
    <x v="2"/>
    <n v="5.1444444444444404"/>
    <n v="1877.7222222222199"/>
    <n v="6759.8"/>
  </r>
  <r>
    <x v="0"/>
    <x v="0"/>
    <x v="0"/>
    <x v="0"/>
    <x v="0"/>
    <s v="DK1_Rural"/>
    <x v="3"/>
    <s v="GNR_ENG_NGAS_BP_E-34"/>
    <x v="0"/>
    <x v="3"/>
    <n v="5.1444444444444404"/>
    <n v="1877.7222222222199"/>
    <n v="6759.8"/>
  </r>
  <r>
    <x v="0"/>
    <x v="0"/>
    <x v="0"/>
    <x v="0"/>
    <x v="0"/>
    <s v="DK1_Rural"/>
    <x v="3"/>
    <s v="GNR_ENG_NGAS_BP_E-34"/>
    <x v="0"/>
    <x v="12"/>
    <n v="5.1444444444444404"/>
    <n v="1877.7222222222199"/>
    <n v="6759.8"/>
  </r>
  <r>
    <x v="0"/>
    <x v="0"/>
    <x v="0"/>
    <x v="0"/>
    <x v="0"/>
    <s v="DK1_Rural"/>
    <x v="3"/>
    <s v="GNR_ENG_NGAS_BP_E-34"/>
    <x v="0"/>
    <x v="13"/>
    <n v="5.1444444444444404"/>
    <n v="1877.7222222222199"/>
    <n v="6759.8"/>
  </r>
  <r>
    <x v="0"/>
    <x v="0"/>
    <x v="0"/>
    <x v="0"/>
    <x v="0"/>
    <s v="DK1_Rural"/>
    <x v="3"/>
    <s v="GNR_ENG_NGAS_BP_E-34"/>
    <x v="0"/>
    <x v="14"/>
    <n v="5.1444444444444404"/>
    <n v="1877.7222222222199"/>
    <n v="6759.8"/>
  </r>
  <r>
    <x v="0"/>
    <x v="0"/>
    <x v="0"/>
    <x v="0"/>
    <x v="0"/>
    <s v="DK1_Rural"/>
    <x v="3"/>
    <s v="GNR_ENG_NGAS_BP_E-34"/>
    <x v="0"/>
    <x v="15"/>
    <n v="5.1444444444444404"/>
    <n v="1877.7222222222199"/>
    <n v="6759.8"/>
  </r>
  <r>
    <x v="0"/>
    <x v="0"/>
    <x v="0"/>
    <x v="0"/>
    <x v="0"/>
    <s v="DK1_Rural"/>
    <x v="3"/>
    <s v="GNR_ENG_NGAS_BP_E-34"/>
    <x v="0"/>
    <x v="4"/>
    <n v="5.1444444444444404"/>
    <n v="1877.7222222222199"/>
    <n v="6759.8"/>
  </r>
  <r>
    <x v="0"/>
    <x v="0"/>
    <x v="0"/>
    <x v="0"/>
    <x v="0"/>
    <s v="DK1_Rural"/>
    <x v="3"/>
    <s v="GNR_ENG_NGAS_BP_E-34"/>
    <x v="0"/>
    <x v="16"/>
    <n v="5.1444444444444404"/>
    <n v="1877.7222222222199"/>
    <n v="6759.8"/>
  </r>
  <r>
    <x v="0"/>
    <x v="0"/>
    <x v="0"/>
    <x v="0"/>
    <x v="0"/>
    <s v="DK1_Rural"/>
    <x v="3"/>
    <s v="GNR_ENG_NGAS_BP_E-34"/>
    <x v="0"/>
    <x v="5"/>
    <n v="5.1444444444444404"/>
    <n v="1877.7222222222199"/>
    <n v="6759.8"/>
  </r>
  <r>
    <x v="0"/>
    <x v="0"/>
    <x v="0"/>
    <x v="0"/>
    <x v="0"/>
    <s v="DK1_Rural"/>
    <x v="3"/>
    <s v="GNR_ENG_NGAS_BP_E-34"/>
    <x v="0"/>
    <x v="17"/>
    <n v="5.1444444444444404"/>
    <n v="1877.7222222222199"/>
    <n v="6759.8"/>
  </r>
  <r>
    <x v="0"/>
    <x v="0"/>
    <x v="0"/>
    <x v="0"/>
    <x v="0"/>
    <s v="DK1_Rural"/>
    <x v="3"/>
    <s v="GNR_ENG_NGAS_BP_E-34"/>
    <x v="0"/>
    <x v="18"/>
    <n v="5.1444444444444404"/>
    <n v="1877.7222222222199"/>
    <n v="6759.8"/>
  </r>
  <r>
    <x v="0"/>
    <x v="0"/>
    <x v="0"/>
    <x v="0"/>
    <x v="0"/>
    <s v="DK1_Rural"/>
    <x v="3"/>
    <s v="GNR_ENG_NGAS_BP_E-36"/>
    <x v="0"/>
    <x v="11"/>
    <n v="24.677777777777798"/>
    <n v="9007.3888888888905"/>
    <n v="32426.6"/>
  </r>
  <r>
    <x v="0"/>
    <x v="0"/>
    <x v="0"/>
    <x v="0"/>
    <x v="0"/>
    <s v="DK1_Rural"/>
    <x v="3"/>
    <s v="GNR_ENG_NGAS_BP_E-36"/>
    <x v="0"/>
    <x v="0"/>
    <n v="24.677777777777798"/>
    <n v="9007.3888888888905"/>
    <n v="32426.6"/>
  </r>
  <r>
    <x v="0"/>
    <x v="0"/>
    <x v="0"/>
    <x v="0"/>
    <x v="0"/>
    <s v="DK1_Rural"/>
    <x v="3"/>
    <s v="GNR_ENG_NGAS_BP_E-36"/>
    <x v="0"/>
    <x v="1"/>
    <n v="24.677777777777798"/>
    <n v="9007.3888888888905"/>
    <n v="32426.6"/>
  </r>
  <r>
    <x v="0"/>
    <x v="0"/>
    <x v="0"/>
    <x v="0"/>
    <x v="0"/>
    <s v="DK1_Rural"/>
    <x v="3"/>
    <s v="GNR_ENG_NGAS_BP_E-36"/>
    <x v="0"/>
    <x v="2"/>
    <n v="24.677777777777798"/>
    <n v="9007.3888888888905"/>
    <n v="32426.6"/>
  </r>
  <r>
    <x v="0"/>
    <x v="0"/>
    <x v="0"/>
    <x v="0"/>
    <x v="0"/>
    <s v="DK1_Rural"/>
    <x v="3"/>
    <s v="GNR_ENG_NGAS_BP_E-36"/>
    <x v="0"/>
    <x v="3"/>
    <n v="24.677777777777798"/>
    <n v="9007.3888888888905"/>
    <n v="32426.6"/>
  </r>
  <r>
    <x v="0"/>
    <x v="0"/>
    <x v="0"/>
    <x v="0"/>
    <x v="0"/>
    <s v="DK1_Rural"/>
    <x v="3"/>
    <s v="GNR_ENG_NGAS_BP_E-36"/>
    <x v="0"/>
    <x v="12"/>
    <n v="24.677777777777798"/>
    <n v="9007.3888888888905"/>
    <n v="32426.6"/>
  </r>
  <r>
    <x v="0"/>
    <x v="0"/>
    <x v="0"/>
    <x v="0"/>
    <x v="0"/>
    <s v="DK1_Rural"/>
    <x v="3"/>
    <s v="GNR_ENG_NGAS_BP_E-36"/>
    <x v="0"/>
    <x v="13"/>
    <n v="24.677777777777798"/>
    <n v="9007.3888888888905"/>
    <n v="32426.6"/>
  </r>
  <r>
    <x v="0"/>
    <x v="0"/>
    <x v="0"/>
    <x v="0"/>
    <x v="0"/>
    <s v="DK1_Rural"/>
    <x v="3"/>
    <s v="GNR_ENG_NGAS_BP_E-36"/>
    <x v="0"/>
    <x v="14"/>
    <n v="24.677777777777798"/>
    <n v="9007.3888888888905"/>
    <n v="32426.6"/>
  </r>
  <r>
    <x v="0"/>
    <x v="0"/>
    <x v="0"/>
    <x v="0"/>
    <x v="0"/>
    <s v="DK1_Rural"/>
    <x v="3"/>
    <s v="GNR_ENG_NGAS_BP_E-36"/>
    <x v="0"/>
    <x v="15"/>
    <n v="24.677777777777798"/>
    <n v="9007.3888888888905"/>
    <n v="32426.6"/>
  </r>
  <r>
    <x v="0"/>
    <x v="0"/>
    <x v="0"/>
    <x v="0"/>
    <x v="0"/>
    <s v="DK1_Rural"/>
    <x v="3"/>
    <s v="GNR_ENG_NGAS_BP_E-36"/>
    <x v="0"/>
    <x v="4"/>
    <n v="24.677777777777798"/>
    <n v="9007.3888888888905"/>
    <n v="32426.6"/>
  </r>
  <r>
    <x v="0"/>
    <x v="0"/>
    <x v="0"/>
    <x v="0"/>
    <x v="0"/>
    <s v="DK1_Rural"/>
    <x v="3"/>
    <s v="GNR_ENG_NGAS_BP_E-36"/>
    <x v="0"/>
    <x v="16"/>
    <n v="24.677777777777798"/>
    <n v="9007.3888888888905"/>
    <n v="32426.6"/>
  </r>
  <r>
    <x v="0"/>
    <x v="0"/>
    <x v="0"/>
    <x v="0"/>
    <x v="0"/>
    <s v="DK1_Rural"/>
    <x v="3"/>
    <s v="GNR_ENG_NGAS_BP_E-36"/>
    <x v="0"/>
    <x v="5"/>
    <n v="24.677777777777798"/>
    <n v="9007.3888888888905"/>
    <n v="32426.6"/>
  </r>
  <r>
    <x v="0"/>
    <x v="0"/>
    <x v="0"/>
    <x v="0"/>
    <x v="0"/>
    <s v="DK1_Rural"/>
    <x v="3"/>
    <s v="GNR_ENG_NGAS_BP_E-36"/>
    <x v="0"/>
    <x v="17"/>
    <n v="24.677777777777798"/>
    <n v="9007.3888888888905"/>
    <n v="32426.6"/>
  </r>
  <r>
    <x v="0"/>
    <x v="0"/>
    <x v="0"/>
    <x v="0"/>
    <x v="0"/>
    <s v="DK1_Rural"/>
    <x v="3"/>
    <s v="GNR_ENG_NGAS_BP_E-36"/>
    <x v="0"/>
    <x v="18"/>
    <n v="24.677777777777798"/>
    <n v="9007.3888888888905"/>
    <n v="32426.6"/>
  </r>
  <r>
    <x v="0"/>
    <x v="0"/>
    <x v="0"/>
    <x v="0"/>
    <x v="0"/>
    <s v="DK1_Rural"/>
    <x v="3"/>
    <s v="GNR_ENG_NGAS_BP_E-37"/>
    <x v="0"/>
    <x v="11"/>
    <n v="25.788888888888899"/>
    <n v="9412.9444444444507"/>
    <n v="33886.6"/>
  </r>
  <r>
    <x v="0"/>
    <x v="0"/>
    <x v="0"/>
    <x v="0"/>
    <x v="0"/>
    <s v="DK1_Rural"/>
    <x v="3"/>
    <s v="GNR_ENG_NGAS_BP_E-37"/>
    <x v="0"/>
    <x v="0"/>
    <n v="25.788888888888899"/>
    <n v="9412.9444444444507"/>
    <n v="33886.6"/>
  </r>
  <r>
    <x v="0"/>
    <x v="0"/>
    <x v="0"/>
    <x v="0"/>
    <x v="0"/>
    <s v="DK1_Rural"/>
    <x v="3"/>
    <s v="GNR_ENG_NGAS_BP_E-37"/>
    <x v="0"/>
    <x v="1"/>
    <n v="25.788888888888899"/>
    <n v="9412.9444444444507"/>
    <n v="33886.6"/>
  </r>
  <r>
    <x v="0"/>
    <x v="0"/>
    <x v="0"/>
    <x v="0"/>
    <x v="0"/>
    <s v="DK1_Rural"/>
    <x v="3"/>
    <s v="GNR_ENG_NGAS_BP_E-37"/>
    <x v="0"/>
    <x v="2"/>
    <n v="25.788888888888899"/>
    <n v="9412.9444444444507"/>
    <n v="33886.6"/>
  </r>
  <r>
    <x v="0"/>
    <x v="0"/>
    <x v="0"/>
    <x v="0"/>
    <x v="0"/>
    <s v="DK1_Rural"/>
    <x v="3"/>
    <s v="GNR_ENG_NGAS_BP_E-37"/>
    <x v="0"/>
    <x v="3"/>
    <n v="25.788888888888899"/>
    <n v="9412.9444444444507"/>
    <n v="33886.6"/>
  </r>
  <r>
    <x v="0"/>
    <x v="0"/>
    <x v="0"/>
    <x v="0"/>
    <x v="0"/>
    <s v="DK1_Rural"/>
    <x v="3"/>
    <s v="GNR_ENG_NGAS_BP_E-37"/>
    <x v="0"/>
    <x v="12"/>
    <n v="25.788888888888899"/>
    <n v="9412.9444444444507"/>
    <n v="33886.6"/>
  </r>
  <r>
    <x v="0"/>
    <x v="0"/>
    <x v="0"/>
    <x v="0"/>
    <x v="0"/>
    <s v="DK1_Rural"/>
    <x v="3"/>
    <s v="GNR_ENG_NGAS_BP_E-37"/>
    <x v="0"/>
    <x v="13"/>
    <n v="25.788888888888899"/>
    <n v="9412.9444444444507"/>
    <n v="33886.6"/>
  </r>
  <r>
    <x v="0"/>
    <x v="0"/>
    <x v="0"/>
    <x v="0"/>
    <x v="0"/>
    <s v="DK1_Rural"/>
    <x v="3"/>
    <s v="GNR_ENG_NGAS_BP_E-37"/>
    <x v="0"/>
    <x v="14"/>
    <n v="25.788888888888899"/>
    <n v="9412.9444444444507"/>
    <n v="33886.6"/>
  </r>
  <r>
    <x v="0"/>
    <x v="0"/>
    <x v="0"/>
    <x v="0"/>
    <x v="0"/>
    <s v="DK1_Rural"/>
    <x v="3"/>
    <s v="GNR_ENG_NGAS_BP_E-37"/>
    <x v="0"/>
    <x v="15"/>
    <n v="25.788888888888899"/>
    <n v="9412.9444444444507"/>
    <n v="33886.6"/>
  </r>
  <r>
    <x v="0"/>
    <x v="0"/>
    <x v="0"/>
    <x v="0"/>
    <x v="0"/>
    <s v="DK1_Rural"/>
    <x v="3"/>
    <s v="GNR_ENG_NGAS_BP_E-37"/>
    <x v="0"/>
    <x v="4"/>
    <n v="25.788888888888899"/>
    <n v="9412.9444444444507"/>
    <n v="33886.6"/>
  </r>
  <r>
    <x v="0"/>
    <x v="0"/>
    <x v="0"/>
    <x v="0"/>
    <x v="0"/>
    <s v="DK1_Rural"/>
    <x v="3"/>
    <s v="GNR_ENG_NGAS_BP_E-37"/>
    <x v="0"/>
    <x v="16"/>
    <n v="25.788888888888899"/>
    <n v="9412.9444444444507"/>
    <n v="33886.6"/>
  </r>
  <r>
    <x v="0"/>
    <x v="0"/>
    <x v="0"/>
    <x v="0"/>
    <x v="0"/>
    <s v="DK1_Rural"/>
    <x v="3"/>
    <s v="GNR_ENG_NGAS_BP_E-37"/>
    <x v="0"/>
    <x v="5"/>
    <n v="25.788888888888899"/>
    <n v="9412.9444444444507"/>
    <n v="33886.6"/>
  </r>
  <r>
    <x v="0"/>
    <x v="0"/>
    <x v="0"/>
    <x v="0"/>
    <x v="0"/>
    <s v="DK1_Rural"/>
    <x v="3"/>
    <s v="GNR_ENG_NGAS_BP_E-37"/>
    <x v="0"/>
    <x v="17"/>
    <n v="25.788888888888899"/>
    <n v="9412.9444444444507"/>
    <n v="33886.6"/>
  </r>
  <r>
    <x v="0"/>
    <x v="0"/>
    <x v="0"/>
    <x v="0"/>
    <x v="0"/>
    <s v="DK1_Rural"/>
    <x v="3"/>
    <s v="GNR_ENG_NGAS_BP_E-37"/>
    <x v="0"/>
    <x v="18"/>
    <n v="25.788888888888899"/>
    <n v="9412.9444444444507"/>
    <n v="33886.6"/>
  </r>
  <r>
    <x v="0"/>
    <x v="0"/>
    <x v="0"/>
    <x v="0"/>
    <x v="0"/>
    <s v="DK1_Rural"/>
    <x v="3"/>
    <s v="GNR_ENG_NGAS_BP_E-38"/>
    <x v="0"/>
    <x v="6"/>
    <n v="48.240053168005403"/>
    <n v="17607.619406321999"/>
    <n v="63387.429862759098"/>
  </r>
  <r>
    <x v="0"/>
    <x v="0"/>
    <x v="0"/>
    <x v="0"/>
    <x v="0"/>
    <s v="DK1_Rural"/>
    <x v="3"/>
    <s v="GNR_ENG_NGAS_BP_E-38"/>
    <x v="0"/>
    <x v="7"/>
    <n v="44.0709732212228"/>
    <n v="16085.905225746301"/>
    <n v="57909.258812686698"/>
  </r>
  <r>
    <x v="0"/>
    <x v="0"/>
    <x v="0"/>
    <x v="0"/>
    <x v="0"/>
    <s v="DK1_Rural"/>
    <x v="3"/>
    <s v="GNR_ENG_NGAS_BP_E-38"/>
    <x v="0"/>
    <x v="8"/>
    <n v="40.280900542329597"/>
    <n v="14702.5286979503"/>
    <n v="52929.103312621097"/>
  </r>
  <r>
    <x v="0"/>
    <x v="0"/>
    <x v="0"/>
    <x v="0"/>
    <x v="0"/>
    <s v="DK1_Rural"/>
    <x v="3"/>
    <s v="GNR_ENG_NGAS_BP_E-38"/>
    <x v="0"/>
    <x v="9"/>
    <n v="45.966009560669498"/>
    <n v="16777.593489644401"/>
    <n v="60399.336562719698"/>
  </r>
  <r>
    <x v="0"/>
    <x v="0"/>
    <x v="0"/>
    <x v="0"/>
    <x v="0"/>
    <s v="DK1_Rural"/>
    <x v="3"/>
    <s v="GNR_ENG_NGAS_BP_E-38"/>
    <x v="0"/>
    <x v="10"/>
    <n v="51.988888888888901"/>
    <n v="18975.944444444402"/>
    <n v="68313.399999999994"/>
  </r>
  <r>
    <x v="0"/>
    <x v="0"/>
    <x v="0"/>
    <x v="0"/>
    <x v="0"/>
    <s v="DK1_Rural"/>
    <x v="3"/>
    <s v="GNR_ENG_NGAS_BP_E-38"/>
    <x v="0"/>
    <x v="11"/>
    <n v="51.988888888888901"/>
    <n v="18975.944444444402"/>
    <n v="68313.399999999994"/>
  </r>
  <r>
    <x v="0"/>
    <x v="0"/>
    <x v="0"/>
    <x v="0"/>
    <x v="0"/>
    <s v="DK1_Rural"/>
    <x v="3"/>
    <s v="GNR_ENG_NGAS_BP_E-38"/>
    <x v="0"/>
    <x v="0"/>
    <n v="51.988888888888901"/>
    <n v="18975.944444444402"/>
    <n v="68313.399999999994"/>
  </r>
  <r>
    <x v="0"/>
    <x v="0"/>
    <x v="0"/>
    <x v="0"/>
    <x v="0"/>
    <s v="DK1_Rural"/>
    <x v="3"/>
    <s v="GNR_ENG_NGAS_BP_E-38"/>
    <x v="0"/>
    <x v="1"/>
    <n v="51.988888888888901"/>
    <n v="18975.944444444402"/>
    <n v="68313.399999999994"/>
  </r>
  <r>
    <x v="0"/>
    <x v="0"/>
    <x v="0"/>
    <x v="0"/>
    <x v="0"/>
    <s v="DK1_Rural"/>
    <x v="3"/>
    <s v="GNR_ENG_NGAS_BP_E-38"/>
    <x v="0"/>
    <x v="2"/>
    <n v="51.988888888888901"/>
    <n v="18975.944444444402"/>
    <n v="68313.399999999994"/>
  </r>
  <r>
    <x v="0"/>
    <x v="0"/>
    <x v="0"/>
    <x v="0"/>
    <x v="0"/>
    <s v="DK1_Rural"/>
    <x v="3"/>
    <s v="GNR_ENG_NGAS_BP_E-38"/>
    <x v="0"/>
    <x v="3"/>
    <n v="51.988888888888901"/>
    <n v="18975.944444444402"/>
    <n v="68313.399999999994"/>
  </r>
  <r>
    <x v="0"/>
    <x v="0"/>
    <x v="0"/>
    <x v="0"/>
    <x v="0"/>
    <s v="DK1_Rural"/>
    <x v="3"/>
    <s v="GNR_ENG_NGAS_BP_E-38"/>
    <x v="0"/>
    <x v="12"/>
    <n v="51.988888888888901"/>
    <n v="18975.944444444402"/>
    <n v="68313.399999999994"/>
  </r>
  <r>
    <x v="0"/>
    <x v="0"/>
    <x v="0"/>
    <x v="0"/>
    <x v="0"/>
    <s v="DK1_Rural"/>
    <x v="3"/>
    <s v="GNR_ENG_NGAS_BP_E-38"/>
    <x v="0"/>
    <x v="13"/>
    <n v="51.988888888888901"/>
    <n v="18975.944444444402"/>
    <n v="68313.399999999994"/>
  </r>
  <r>
    <x v="0"/>
    <x v="0"/>
    <x v="0"/>
    <x v="0"/>
    <x v="0"/>
    <s v="DK1_Rural"/>
    <x v="3"/>
    <s v="GNR_ENG_NGAS_BP_E-38"/>
    <x v="0"/>
    <x v="14"/>
    <n v="51.988888888888901"/>
    <n v="18975.944444444402"/>
    <n v="68313.399999999994"/>
  </r>
  <r>
    <x v="0"/>
    <x v="0"/>
    <x v="0"/>
    <x v="0"/>
    <x v="0"/>
    <s v="DK1_Rural"/>
    <x v="3"/>
    <s v="GNR_ENG_NGAS_BP_E-38"/>
    <x v="0"/>
    <x v="15"/>
    <n v="51.988888888888901"/>
    <n v="18975.944444444402"/>
    <n v="68313.399999999994"/>
  </r>
  <r>
    <x v="0"/>
    <x v="0"/>
    <x v="0"/>
    <x v="0"/>
    <x v="0"/>
    <s v="DK1_Rural"/>
    <x v="3"/>
    <s v="GNR_ENG_NGAS_BP_E-38"/>
    <x v="0"/>
    <x v="4"/>
    <n v="51.988888888888901"/>
    <n v="18975.944444444402"/>
    <n v="68313.399999999994"/>
  </r>
  <r>
    <x v="0"/>
    <x v="0"/>
    <x v="0"/>
    <x v="0"/>
    <x v="0"/>
    <s v="DK1_Rural"/>
    <x v="3"/>
    <s v="GNR_ENG_NGAS_BP_E-38"/>
    <x v="0"/>
    <x v="16"/>
    <n v="51.988888888888901"/>
    <n v="18975.944444444402"/>
    <n v="68313.399999999994"/>
  </r>
  <r>
    <x v="0"/>
    <x v="0"/>
    <x v="0"/>
    <x v="0"/>
    <x v="0"/>
    <s v="DK1_Rural"/>
    <x v="3"/>
    <s v="GNR_ENG_NGAS_BP_E-38"/>
    <x v="0"/>
    <x v="5"/>
    <n v="51.988888888888901"/>
    <n v="18975.944444444402"/>
    <n v="68313.399999999994"/>
  </r>
  <r>
    <x v="0"/>
    <x v="0"/>
    <x v="0"/>
    <x v="0"/>
    <x v="0"/>
    <s v="DK1_Rural"/>
    <x v="3"/>
    <s v="GNR_ENG_NGAS_BP_E-38"/>
    <x v="0"/>
    <x v="17"/>
    <n v="51.988888888888901"/>
    <n v="18975.944444444402"/>
    <n v="68313.399999999994"/>
  </r>
  <r>
    <x v="0"/>
    <x v="0"/>
    <x v="0"/>
    <x v="0"/>
    <x v="0"/>
    <s v="DK1_Rural"/>
    <x v="3"/>
    <s v="GNR_ENG_NGAS_BP_E-38"/>
    <x v="0"/>
    <x v="18"/>
    <n v="51.988888888888901"/>
    <n v="18975.944444444402"/>
    <n v="68313.399999999994"/>
  </r>
  <r>
    <x v="0"/>
    <x v="0"/>
    <x v="0"/>
    <x v="0"/>
    <x v="0"/>
    <s v="DK1_Rural"/>
    <x v="3"/>
    <s v="GNR_ENG_NGAS_BP_E-38"/>
    <x v="0"/>
    <x v="19"/>
    <n v="51.988888888888901"/>
    <n v="18975.944444444402"/>
    <n v="68313.399999999994"/>
  </r>
  <r>
    <x v="0"/>
    <x v="0"/>
    <x v="0"/>
    <x v="0"/>
    <x v="0"/>
    <s v="DK1_Rural"/>
    <x v="3"/>
    <s v="GNR_ENG_NGAS_BP_E-38"/>
    <x v="0"/>
    <x v="20"/>
    <n v="51.988888888888901"/>
    <n v="18975.944444444402"/>
    <n v="68313.399999999994"/>
  </r>
  <r>
    <x v="0"/>
    <x v="0"/>
    <x v="0"/>
    <x v="0"/>
    <x v="0"/>
    <s v="DK1_Rural"/>
    <x v="3"/>
    <s v="GNR_ENG_NGAS_BP_E-39"/>
    <x v="0"/>
    <x v="6"/>
    <n v="62.422222222222203"/>
    <n v="22784.111111111099"/>
    <n v="82022.8"/>
  </r>
  <r>
    <x v="0"/>
    <x v="0"/>
    <x v="0"/>
    <x v="0"/>
    <x v="0"/>
    <s v="DK1_Rural"/>
    <x v="3"/>
    <s v="GNR_ENG_NGAS_BP_E-39"/>
    <x v="0"/>
    <x v="7"/>
    <n v="62.422222222222203"/>
    <n v="22784.111111111099"/>
    <n v="82022.8"/>
  </r>
  <r>
    <x v="0"/>
    <x v="0"/>
    <x v="0"/>
    <x v="0"/>
    <x v="0"/>
    <s v="DK1_Rural"/>
    <x v="3"/>
    <s v="GNR_ENG_NGAS_BP_E-39"/>
    <x v="0"/>
    <x v="8"/>
    <n v="62.422222222222203"/>
    <n v="22784.111111111099"/>
    <n v="82022.8"/>
  </r>
  <r>
    <x v="0"/>
    <x v="0"/>
    <x v="0"/>
    <x v="0"/>
    <x v="0"/>
    <s v="DK1_Rural"/>
    <x v="3"/>
    <s v="GNR_ENG_NGAS_BP_E-39"/>
    <x v="0"/>
    <x v="9"/>
    <n v="62.422222222222203"/>
    <n v="22784.111111111099"/>
    <n v="82022.8"/>
  </r>
  <r>
    <x v="0"/>
    <x v="0"/>
    <x v="0"/>
    <x v="0"/>
    <x v="0"/>
    <s v="DK1_Rural"/>
    <x v="3"/>
    <s v="GNR_ENG_NGAS_BP_E-39"/>
    <x v="0"/>
    <x v="10"/>
    <n v="62.422222222222203"/>
    <n v="22784.111111111099"/>
    <n v="82022.8"/>
  </r>
  <r>
    <x v="0"/>
    <x v="0"/>
    <x v="0"/>
    <x v="0"/>
    <x v="0"/>
    <s v="DK1_Rural"/>
    <x v="3"/>
    <s v="GNR_ENG_NGAS_BP_E-39"/>
    <x v="0"/>
    <x v="11"/>
    <n v="62.422222222222203"/>
    <n v="22784.111111111099"/>
    <n v="82022.8"/>
  </r>
  <r>
    <x v="0"/>
    <x v="0"/>
    <x v="0"/>
    <x v="0"/>
    <x v="0"/>
    <s v="DK1_Rural"/>
    <x v="3"/>
    <s v="GNR_ENG_NGAS_BP_E-39"/>
    <x v="0"/>
    <x v="0"/>
    <n v="62.422222222222203"/>
    <n v="22784.111111111099"/>
    <n v="82022.8"/>
  </r>
  <r>
    <x v="0"/>
    <x v="0"/>
    <x v="0"/>
    <x v="0"/>
    <x v="0"/>
    <s v="DK1_Rural"/>
    <x v="3"/>
    <s v="GNR_ENG_NGAS_BP_E-39"/>
    <x v="0"/>
    <x v="1"/>
    <n v="62.422222222222203"/>
    <n v="22784.111111111099"/>
    <n v="82022.8"/>
  </r>
  <r>
    <x v="0"/>
    <x v="0"/>
    <x v="0"/>
    <x v="0"/>
    <x v="0"/>
    <s v="DK1_Rural"/>
    <x v="3"/>
    <s v="GNR_ENG_NGAS_BP_E-39"/>
    <x v="0"/>
    <x v="2"/>
    <n v="62.422222222222203"/>
    <n v="22784.111111111099"/>
    <n v="82022.8"/>
  </r>
  <r>
    <x v="0"/>
    <x v="0"/>
    <x v="0"/>
    <x v="0"/>
    <x v="0"/>
    <s v="DK1_Rural"/>
    <x v="3"/>
    <s v="GNR_ENG_NGAS_BP_E-39"/>
    <x v="0"/>
    <x v="3"/>
    <n v="62.422222222222203"/>
    <n v="22784.111111111099"/>
    <n v="82022.8"/>
  </r>
  <r>
    <x v="0"/>
    <x v="0"/>
    <x v="0"/>
    <x v="0"/>
    <x v="0"/>
    <s v="DK1_Rural"/>
    <x v="3"/>
    <s v="GNR_ENG_NGAS_BP_E-39"/>
    <x v="0"/>
    <x v="12"/>
    <n v="62.422222222222203"/>
    <n v="22784.111111111099"/>
    <n v="82022.8"/>
  </r>
  <r>
    <x v="0"/>
    <x v="0"/>
    <x v="0"/>
    <x v="0"/>
    <x v="0"/>
    <s v="DK1_Rural"/>
    <x v="3"/>
    <s v="GNR_ENG_NGAS_BP_E-39"/>
    <x v="0"/>
    <x v="13"/>
    <n v="62.422222222222203"/>
    <n v="22784.111111111099"/>
    <n v="82022.8"/>
  </r>
  <r>
    <x v="0"/>
    <x v="0"/>
    <x v="0"/>
    <x v="0"/>
    <x v="0"/>
    <s v="DK1_Rural"/>
    <x v="3"/>
    <s v="GNR_ENG_NGAS_BP_E-39"/>
    <x v="0"/>
    <x v="14"/>
    <n v="62.422222222222203"/>
    <n v="22784.111111111099"/>
    <n v="82022.8"/>
  </r>
  <r>
    <x v="0"/>
    <x v="0"/>
    <x v="0"/>
    <x v="0"/>
    <x v="0"/>
    <s v="DK1_Rural"/>
    <x v="3"/>
    <s v="GNR_ENG_NGAS_BP_E-39"/>
    <x v="0"/>
    <x v="15"/>
    <n v="62.422222222222203"/>
    <n v="22784.111111111099"/>
    <n v="82022.8"/>
  </r>
  <r>
    <x v="0"/>
    <x v="0"/>
    <x v="0"/>
    <x v="0"/>
    <x v="0"/>
    <s v="DK1_Rural"/>
    <x v="3"/>
    <s v="GNR_ENG_NGAS_BP_E-39"/>
    <x v="0"/>
    <x v="4"/>
    <n v="62.422222222222203"/>
    <n v="22784.111111111099"/>
    <n v="82022.8"/>
  </r>
  <r>
    <x v="0"/>
    <x v="0"/>
    <x v="0"/>
    <x v="0"/>
    <x v="0"/>
    <s v="DK1_Rural"/>
    <x v="3"/>
    <s v="GNR_ENG_NGAS_BP_E-39"/>
    <x v="0"/>
    <x v="16"/>
    <n v="62.422222222222203"/>
    <n v="22784.111111111099"/>
    <n v="82022.8"/>
  </r>
  <r>
    <x v="0"/>
    <x v="0"/>
    <x v="0"/>
    <x v="0"/>
    <x v="0"/>
    <s v="DK1_Rural"/>
    <x v="3"/>
    <s v="GNR_ENG_NGAS_BP_E-39"/>
    <x v="0"/>
    <x v="5"/>
    <n v="62.422222222222203"/>
    <n v="22784.111111111099"/>
    <n v="82022.8"/>
  </r>
  <r>
    <x v="0"/>
    <x v="0"/>
    <x v="0"/>
    <x v="0"/>
    <x v="0"/>
    <s v="DK1_Rural"/>
    <x v="3"/>
    <s v="GNR_ENG_NGAS_BP_E-39"/>
    <x v="0"/>
    <x v="17"/>
    <n v="62.422222222222203"/>
    <n v="22784.111111111099"/>
    <n v="82022.8"/>
  </r>
  <r>
    <x v="0"/>
    <x v="0"/>
    <x v="0"/>
    <x v="0"/>
    <x v="0"/>
    <s v="DK1_Rural"/>
    <x v="3"/>
    <s v="GNR_ENG_NGAS_BP_E-39"/>
    <x v="0"/>
    <x v="18"/>
    <n v="62.422222222222203"/>
    <n v="22784.111111111099"/>
    <n v="82022.8"/>
  </r>
  <r>
    <x v="0"/>
    <x v="0"/>
    <x v="0"/>
    <x v="0"/>
    <x v="0"/>
    <s v="DK1_Rural"/>
    <x v="3"/>
    <s v="GNR_ENG_NGAS_BP_E-39"/>
    <x v="0"/>
    <x v="19"/>
    <n v="62.422222222222203"/>
    <n v="22784.111111111099"/>
    <n v="82022.8"/>
  </r>
  <r>
    <x v="0"/>
    <x v="0"/>
    <x v="0"/>
    <x v="0"/>
    <x v="0"/>
    <s v="DK1_Rural"/>
    <x v="3"/>
    <s v="GNR_ENG_NGAS_BP_E-39"/>
    <x v="0"/>
    <x v="20"/>
    <n v="62.422222222222203"/>
    <n v="22784.111111111099"/>
    <n v="82022.8"/>
  </r>
  <r>
    <x v="0"/>
    <x v="0"/>
    <x v="0"/>
    <x v="0"/>
    <x v="0"/>
    <s v="DK1_Rural"/>
    <x v="3"/>
    <s v="GNR_ENG_NGAS_BP_E-40"/>
    <x v="0"/>
    <x v="6"/>
    <n v="78.411111111111097"/>
    <n v="28620.055555555598"/>
    <n v="103032.2"/>
  </r>
  <r>
    <x v="0"/>
    <x v="0"/>
    <x v="0"/>
    <x v="0"/>
    <x v="0"/>
    <s v="DK1_Rural"/>
    <x v="3"/>
    <s v="GNR_ENG_NGAS_BP_E-40"/>
    <x v="0"/>
    <x v="7"/>
    <n v="78.411111111111097"/>
    <n v="28620.055555555598"/>
    <n v="103032.2"/>
  </r>
  <r>
    <x v="0"/>
    <x v="0"/>
    <x v="0"/>
    <x v="0"/>
    <x v="0"/>
    <s v="DK1_Rural"/>
    <x v="3"/>
    <s v="GNR_ENG_NGAS_BP_E-40"/>
    <x v="0"/>
    <x v="8"/>
    <n v="78.411111111111097"/>
    <n v="28620.055555555598"/>
    <n v="103032.2"/>
  </r>
  <r>
    <x v="0"/>
    <x v="0"/>
    <x v="0"/>
    <x v="0"/>
    <x v="0"/>
    <s v="DK1_Rural"/>
    <x v="3"/>
    <s v="GNR_ENG_NGAS_BP_E-40"/>
    <x v="0"/>
    <x v="9"/>
    <n v="78.411111111111097"/>
    <n v="28620.055555555598"/>
    <n v="103032.2"/>
  </r>
  <r>
    <x v="0"/>
    <x v="0"/>
    <x v="0"/>
    <x v="0"/>
    <x v="0"/>
    <s v="DK1_Rural"/>
    <x v="3"/>
    <s v="GNR_ENG_NGAS_BP_E-40"/>
    <x v="0"/>
    <x v="10"/>
    <n v="78.411111111111097"/>
    <n v="28620.055555555598"/>
    <n v="103032.2"/>
  </r>
  <r>
    <x v="0"/>
    <x v="0"/>
    <x v="0"/>
    <x v="0"/>
    <x v="0"/>
    <s v="DK1_Rural"/>
    <x v="3"/>
    <s v="GNR_ENG_NGAS_BP_E-40"/>
    <x v="0"/>
    <x v="11"/>
    <n v="78.411111111111097"/>
    <n v="28620.055555555598"/>
    <n v="103032.2"/>
  </r>
  <r>
    <x v="0"/>
    <x v="0"/>
    <x v="0"/>
    <x v="0"/>
    <x v="0"/>
    <s v="DK1_Rural"/>
    <x v="3"/>
    <s v="GNR_ENG_NGAS_BP_E-40"/>
    <x v="0"/>
    <x v="0"/>
    <n v="78.411111111111097"/>
    <n v="28620.055555555598"/>
    <n v="103032.2"/>
  </r>
  <r>
    <x v="0"/>
    <x v="0"/>
    <x v="0"/>
    <x v="0"/>
    <x v="0"/>
    <s v="DK1_Rural"/>
    <x v="3"/>
    <s v="GNR_ENG_NGAS_BP_E-40"/>
    <x v="0"/>
    <x v="1"/>
    <n v="78.411111111111097"/>
    <n v="28620.055555555598"/>
    <n v="103032.2"/>
  </r>
  <r>
    <x v="0"/>
    <x v="0"/>
    <x v="0"/>
    <x v="0"/>
    <x v="0"/>
    <s v="DK1_Rural"/>
    <x v="3"/>
    <s v="GNR_ENG_NGAS_BP_E-40"/>
    <x v="0"/>
    <x v="2"/>
    <n v="78.411111111111097"/>
    <n v="28620.055555555598"/>
    <n v="103032.2"/>
  </r>
  <r>
    <x v="0"/>
    <x v="0"/>
    <x v="0"/>
    <x v="0"/>
    <x v="0"/>
    <s v="DK1_Rural"/>
    <x v="3"/>
    <s v="GNR_ENG_NGAS_BP_E-40"/>
    <x v="0"/>
    <x v="3"/>
    <n v="78.411111111111097"/>
    <n v="28620.055555555598"/>
    <n v="103032.2"/>
  </r>
  <r>
    <x v="0"/>
    <x v="0"/>
    <x v="0"/>
    <x v="0"/>
    <x v="0"/>
    <s v="DK1_Rural"/>
    <x v="3"/>
    <s v="GNR_ENG_NGAS_BP_E-40"/>
    <x v="0"/>
    <x v="12"/>
    <n v="78.411111111111097"/>
    <n v="28620.055555555598"/>
    <n v="103032.2"/>
  </r>
  <r>
    <x v="0"/>
    <x v="0"/>
    <x v="0"/>
    <x v="0"/>
    <x v="0"/>
    <s v="DK1_Rural"/>
    <x v="3"/>
    <s v="GNR_ENG_NGAS_BP_E-40"/>
    <x v="0"/>
    <x v="13"/>
    <n v="78.411111111111097"/>
    <n v="28620.055555555598"/>
    <n v="103032.2"/>
  </r>
  <r>
    <x v="0"/>
    <x v="0"/>
    <x v="0"/>
    <x v="0"/>
    <x v="0"/>
    <s v="DK1_Rural"/>
    <x v="3"/>
    <s v="GNR_ENG_NGAS_BP_E-40"/>
    <x v="0"/>
    <x v="14"/>
    <n v="78.411111111111097"/>
    <n v="28620.055555555598"/>
    <n v="103032.2"/>
  </r>
  <r>
    <x v="0"/>
    <x v="0"/>
    <x v="0"/>
    <x v="0"/>
    <x v="0"/>
    <s v="DK1_Rural"/>
    <x v="3"/>
    <s v="GNR_ENG_NGAS_BP_E-40"/>
    <x v="0"/>
    <x v="15"/>
    <n v="78.411111111111097"/>
    <n v="28620.055555555598"/>
    <n v="103032.2"/>
  </r>
  <r>
    <x v="0"/>
    <x v="0"/>
    <x v="0"/>
    <x v="0"/>
    <x v="0"/>
    <s v="DK1_Rural"/>
    <x v="3"/>
    <s v="GNR_ENG_NGAS_BP_E-40"/>
    <x v="0"/>
    <x v="4"/>
    <n v="78.411111111111097"/>
    <n v="28620.055555555598"/>
    <n v="103032.2"/>
  </r>
  <r>
    <x v="0"/>
    <x v="0"/>
    <x v="0"/>
    <x v="0"/>
    <x v="0"/>
    <s v="DK1_Rural"/>
    <x v="3"/>
    <s v="GNR_ENG_NGAS_BP_E-40"/>
    <x v="0"/>
    <x v="16"/>
    <n v="78.411111111111097"/>
    <n v="28620.055555555598"/>
    <n v="103032.2"/>
  </r>
  <r>
    <x v="0"/>
    <x v="0"/>
    <x v="0"/>
    <x v="0"/>
    <x v="0"/>
    <s v="DK1_Rural"/>
    <x v="3"/>
    <s v="GNR_ENG_NGAS_BP_E-40"/>
    <x v="0"/>
    <x v="5"/>
    <n v="78.411111111111097"/>
    <n v="28620.055555555598"/>
    <n v="103032.2"/>
  </r>
  <r>
    <x v="0"/>
    <x v="0"/>
    <x v="0"/>
    <x v="0"/>
    <x v="0"/>
    <s v="DK1_Rural"/>
    <x v="3"/>
    <s v="GNR_ENG_NGAS_BP_E-40"/>
    <x v="0"/>
    <x v="17"/>
    <n v="78.411111111111097"/>
    <n v="28620.055555555598"/>
    <n v="103032.2"/>
  </r>
  <r>
    <x v="0"/>
    <x v="0"/>
    <x v="0"/>
    <x v="0"/>
    <x v="0"/>
    <s v="DK1_Rural"/>
    <x v="3"/>
    <s v="GNR_ENG_NGAS_BP_E-40"/>
    <x v="0"/>
    <x v="18"/>
    <n v="78.411111111111097"/>
    <n v="28620.055555555598"/>
    <n v="103032.2"/>
  </r>
  <r>
    <x v="0"/>
    <x v="0"/>
    <x v="0"/>
    <x v="0"/>
    <x v="0"/>
    <s v="DK1_Rural"/>
    <x v="3"/>
    <s v="GNR_ENG_NGAS_BP_E-40"/>
    <x v="0"/>
    <x v="19"/>
    <n v="78.411111111111097"/>
    <n v="28620.055555555598"/>
    <n v="103032.2"/>
  </r>
  <r>
    <x v="0"/>
    <x v="0"/>
    <x v="0"/>
    <x v="0"/>
    <x v="0"/>
    <s v="DK1_Rural"/>
    <x v="3"/>
    <s v="GNR_ENG_NGAS_BP_E-40"/>
    <x v="0"/>
    <x v="20"/>
    <n v="78.411111111111097"/>
    <n v="28620.055555555598"/>
    <n v="103032.2"/>
  </r>
  <r>
    <x v="0"/>
    <x v="0"/>
    <x v="0"/>
    <x v="0"/>
    <x v="0"/>
    <s v="DK1_Rural"/>
    <x v="3"/>
    <s v="GNR_ENG_NGAS_BP_E-40"/>
    <x v="0"/>
    <x v="21"/>
    <n v="78.411111111111097"/>
    <n v="28620.055555555598"/>
    <n v="103032.2"/>
  </r>
  <r>
    <x v="0"/>
    <x v="0"/>
    <x v="0"/>
    <x v="0"/>
    <x v="0"/>
    <s v="DK1_Rural"/>
    <x v="3"/>
    <s v="GNR_ENG_NGAS_BP_E-40"/>
    <x v="0"/>
    <x v="22"/>
    <n v="78.411111111111097"/>
    <n v="28620.055555555598"/>
    <n v="103032.2"/>
  </r>
  <r>
    <x v="0"/>
    <x v="0"/>
    <x v="0"/>
    <x v="0"/>
    <x v="0"/>
    <s v="DK1_Rural"/>
    <x v="3"/>
    <s v="GNR_ENG_NGAS_BP_E-41"/>
    <x v="0"/>
    <x v="6"/>
    <n v="117.311111111111"/>
    <n v="42818.555555555598"/>
    <n v="154146.79999999999"/>
  </r>
  <r>
    <x v="0"/>
    <x v="0"/>
    <x v="0"/>
    <x v="0"/>
    <x v="0"/>
    <s v="DK1_Rural"/>
    <x v="3"/>
    <s v="GNR_ENG_NGAS_BP_E-41"/>
    <x v="0"/>
    <x v="7"/>
    <n v="117.311111111111"/>
    <n v="42818.555555555598"/>
    <n v="154146.79999999999"/>
  </r>
  <r>
    <x v="0"/>
    <x v="0"/>
    <x v="0"/>
    <x v="0"/>
    <x v="0"/>
    <s v="DK1_Rural"/>
    <x v="3"/>
    <s v="GNR_ENG_NGAS_BP_E-41"/>
    <x v="0"/>
    <x v="8"/>
    <n v="117.311111111111"/>
    <n v="42818.555555555598"/>
    <n v="154146.79999999999"/>
  </r>
  <r>
    <x v="0"/>
    <x v="0"/>
    <x v="0"/>
    <x v="0"/>
    <x v="0"/>
    <s v="DK1_Rural"/>
    <x v="3"/>
    <s v="GNR_ENG_NGAS_BP_E-41"/>
    <x v="0"/>
    <x v="9"/>
    <n v="117.311111111111"/>
    <n v="42818.555555555598"/>
    <n v="154146.79999999999"/>
  </r>
  <r>
    <x v="0"/>
    <x v="0"/>
    <x v="0"/>
    <x v="0"/>
    <x v="0"/>
    <s v="DK1_Rural"/>
    <x v="3"/>
    <s v="GNR_ENG_NGAS_BP_E-41"/>
    <x v="0"/>
    <x v="10"/>
    <n v="117.311111111111"/>
    <n v="42818.555555555598"/>
    <n v="154146.79999999999"/>
  </r>
  <r>
    <x v="0"/>
    <x v="0"/>
    <x v="0"/>
    <x v="0"/>
    <x v="0"/>
    <s v="DK1_Rural"/>
    <x v="3"/>
    <s v="GNR_ENG_NGAS_BP_E-41"/>
    <x v="0"/>
    <x v="11"/>
    <n v="117.311111111111"/>
    <n v="42818.555555555598"/>
    <n v="154146.79999999999"/>
  </r>
  <r>
    <x v="0"/>
    <x v="0"/>
    <x v="0"/>
    <x v="0"/>
    <x v="0"/>
    <s v="DK1_Rural"/>
    <x v="3"/>
    <s v="GNR_ENG_NGAS_BP_E-41"/>
    <x v="0"/>
    <x v="0"/>
    <n v="117.311111111111"/>
    <n v="42818.555555555598"/>
    <n v="154146.79999999999"/>
  </r>
  <r>
    <x v="0"/>
    <x v="0"/>
    <x v="0"/>
    <x v="0"/>
    <x v="0"/>
    <s v="DK1_Rural"/>
    <x v="3"/>
    <s v="GNR_ENG_NGAS_BP_E-41"/>
    <x v="0"/>
    <x v="1"/>
    <n v="117.311111111111"/>
    <n v="42818.555555555598"/>
    <n v="154146.79999999999"/>
  </r>
  <r>
    <x v="0"/>
    <x v="0"/>
    <x v="0"/>
    <x v="0"/>
    <x v="0"/>
    <s v="DK1_Rural"/>
    <x v="3"/>
    <s v="GNR_ENG_NGAS_BP_E-41"/>
    <x v="0"/>
    <x v="2"/>
    <n v="117.311111111111"/>
    <n v="42818.555555555598"/>
    <n v="154146.79999999999"/>
  </r>
  <r>
    <x v="0"/>
    <x v="0"/>
    <x v="0"/>
    <x v="0"/>
    <x v="0"/>
    <s v="DK1_Rural"/>
    <x v="3"/>
    <s v="GNR_ENG_NGAS_BP_E-41"/>
    <x v="0"/>
    <x v="3"/>
    <n v="117.311111111111"/>
    <n v="42818.555555555598"/>
    <n v="154146.79999999999"/>
  </r>
  <r>
    <x v="0"/>
    <x v="0"/>
    <x v="0"/>
    <x v="0"/>
    <x v="0"/>
    <s v="DK1_Rural"/>
    <x v="3"/>
    <s v="GNR_ENG_NGAS_BP_E-41"/>
    <x v="0"/>
    <x v="12"/>
    <n v="117.311111111111"/>
    <n v="42818.555555555598"/>
    <n v="154146.79999999999"/>
  </r>
  <r>
    <x v="0"/>
    <x v="0"/>
    <x v="0"/>
    <x v="0"/>
    <x v="0"/>
    <s v="DK1_Rural"/>
    <x v="3"/>
    <s v="GNR_ENG_NGAS_BP_E-41"/>
    <x v="0"/>
    <x v="13"/>
    <n v="117.311111111111"/>
    <n v="42818.555555555598"/>
    <n v="154146.79999999999"/>
  </r>
  <r>
    <x v="0"/>
    <x v="0"/>
    <x v="0"/>
    <x v="0"/>
    <x v="0"/>
    <s v="DK1_Rural"/>
    <x v="3"/>
    <s v="GNR_ENG_NGAS_BP_E-41"/>
    <x v="0"/>
    <x v="14"/>
    <n v="117.311111111111"/>
    <n v="42818.555555555598"/>
    <n v="154146.79999999999"/>
  </r>
  <r>
    <x v="0"/>
    <x v="0"/>
    <x v="0"/>
    <x v="0"/>
    <x v="0"/>
    <s v="DK1_Rural"/>
    <x v="3"/>
    <s v="GNR_ENG_NGAS_BP_E-41"/>
    <x v="0"/>
    <x v="15"/>
    <n v="117.311111111111"/>
    <n v="42818.555555555598"/>
    <n v="154146.79999999999"/>
  </r>
  <r>
    <x v="0"/>
    <x v="0"/>
    <x v="0"/>
    <x v="0"/>
    <x v="0"/>
    <s v="DK1_Rural"/>
    <x v="3"/>
    <s v="GNR_ENG_NGAS_BP_E-41"/>
    <x v="0"/>
    <x v="4"/>
    <n v="117.311111111111"/>
    <n v="42818.555555555598"/>
    <n v="154146.79999999999"/>
  </r>
  <r>
    <x v="0"/>
    <x v="0"/>
    <x v="0"/>
    <x v="0"/>
    <x v="0"/>
    <s v="DK1_Rural"/>
    <x v="3"/>
    <s v="GNR_ENG_NGAS_BP_E-41"/>
    <x v="0"/>
    <x v="16"/>
    <n v="117.311111111111"/>
    <n v="42818.555555555598"/>
    <n v="154146.79999999999"/>
  </r>
  <r>
    <x v="0"/>
    <x v="0"/>
    <x v="0"/>
    <x v="0"/>
    <x v="0"/>
    <s v="DK1_Rural"/>
    <x v="3"/>
    <s v="GNR_ENG_NGAS_BP_E-41"/>
    <x v="0"/>
    <x v="5"/>
    <n v="117.311111111111"/>
    <n v="42818.555555555598"/>
    <n v="154146.79999999999"/>
  </r>
  <r>
    <x v="0"/>
    <x v="0"/>
    <x v="0"/>
    <x v="0"/>
    <x v="0"/>
    <s v="DK1_Rural"/>
    <x v="3"/>
    <s v="GNR_ENG_NGAS_BP_E-41"/>
    <x v="0"/>
    <x v="17"/>
    <n v="117.311111111111"/>
    <n v="42818.555555555598"/>
    <n v="154146.79999999999"/>
  </r>
  <r>
    <x v="0"/>
    <x v="0"/>
    <x v="0"/>
    <x v="0"/>
    <x v="0"/>
    <s v="DK1_Rural"/>
    <x v="3"/>
    <s v="GNR_ENG_NGAS_BP_E-41"/>
    <x v="0"/>
    <x v="18"/>
    <n v="117.311111111111"/>
    <n v="42818.555555555598"/>
    <n v="154146.79999999999"/>
  </r>
  <r>
    <x v="0"/>
    <x v="0"/>
    <x v="0"/>
    <x v="0"/>
    <x v="0"/>
    <s v="DK1_Rural"/>
    <x v="3"/>
    <s v="GNR_ENG_NGAS_BP_E-41"/>
    <x v="0"/>
    <x v="19"/>
    <n v="117.311111111111"/>
    <n v="42818.555555555598"/>
    <n v="154146.79999999999"/>
  </r>
  <r>
    <x v="0"/>
    <x v="0"/>
    <x v="0"/>
    <x v="0"/>
    <x v="0"/>
    <s v="DK1_Rural"/>
    <x v="3"/>
    <s v="GNR_ENG_NGAS_BP_E-41"/>
    <x v="0"/>
    <x v="20"/>
    <n v="117.311111111111"/>
    <n v="42818.555555555598"/>
    <n v="154146.79999999999"/>
  </r>
  <r>
    <x v="0"/>
    <x v="0"/>
    <x v="0"/>
    <x v="0"/>
    <x v="0"/>
    <s v="DK1_Rural"/>
    <x v="3"/>
    <s v="GNR_ENG_NGAS_BP_E-41"/>
    <x v="0"/>
    <x v="21"/>
    <n v="117.311111111111"/>
    <n v="42818.555555555598"/>
    <n v="154146.79999999999"/>
  </r>
  <r>
    <x v="0"/>
    <x v="0"/>
    <x v="0"/>
    <x v="0"/>
    <x v="0"/>
    <s v="DK1_Rural"/>
    <x v="3"/>
    <s v="GNR_ENG_NGAS_BP_E-41"/>
    <x v="0"/>
    <x v="22"/>
    <n v="117.311111111111"/>
    <n v="42818.555555555598"/>
    <n v="154146.79999999999"/>
  </r>
  <r>
    <x v="0"/>
    <x v="0"/>
    <x v="0"/>
    <x v="0"/>
    <x v="0"/>
    <s v="DK1_Rural"/>
    <x v="3"/>
    <s v="GNR_ENG_NGAS_BP_E-41"/>
    <x v="0"/>
    <x v="23"/>
    <n v="33.0738096088281"/>
    <n v="12071.9405072223"/>
    <n v="43458.985826000098"/>
  </r>
  <r>
    <x v="0"/>
    <x v="0"/>
    <x v="0"/>
    <x v="0"/>
    <x v="0"/>
    <s v="DK1_Rural"/>
    <x v="3"/>
    <s v="GNR_ENG_NGAS_BP_E-42"/>
    <x v="0"/>
    <x v="6"/>
    <n v="85.268888888888895"/>
    <n v="31123.144444444399"/>
    <n v="112043.32"/>
  </r>
  <r>
    <x v="0"/>
    <x v="0"/>
    <x v="0"/>
    <x v="0"/>
    <x v="0"/>
    <s v="DK1_Rural"/>
    <x v="3"/>
    <s v="GNR_ENG_NGAS_BP_E-42"/>
    <x v="0"/>
    <x v="7"/>
    <n v="85.268888888888895"/>
    <n v="31123.144444444399"/>
    <n v="112043.32"/>
  </r>
  <r>
    <x v="0"/>
    <x v="0"/>
    <x v="0"/>
    <x v="0"/>
    <x v="0"/>
    <s v="DK1_Rural"/>
    <x v="3"/>
    <s v="GNR_ENG_NGAS_BP_E-42"/>
    <x v="0"/>
    <x v="8"/>
    <n v="85.268888888888895"/>
    <n v="31123.144444444399"/>
    <n v="112043.32"/>
  </r>
  <r>
    <x v="0"/>
    <x v="0"/>
    <x v="0"/>
    <x v="0"/>
    <x v="0"/>
    <s v="DK1_Rural"/>
    <x v="3"/>
    <s v="GNR_ENG_NGAS_BP_E-42"/>
    <x v="0"/>
    <x v="9"/>
    <n v="85.268888888888895"/>
    <n v="31123.144444444399"/>
    <n v="112043.32"/>
  </r>
  <r>
    <x v="0"/>
    <x v="0"/>
    <x v="0"/>
    <x v="0"/>
    <x v="0"/>
    <s v="DK1_Rural"/>
    <x v="3"/>
    <s v="GNR_ENG_NGAS_BP_E-42"/>
    <x v="0"/>
    <x v="10"/>
    <n v="85.268888888888895"/>
    <n v="31123.144444444399"/>
    <n v="112043.32"/>
  </r>
  <r>
    <x v="0"/>
    <x v="0"/>
    <x v="0"/>
    <x v="0"/>
    <x v="0"/>
    <s v="DK1_Rural"/>
    <x v="3"/>
    <s v="GNR_ENG_NGAS_BP_E-42"/>
    <x v="0"/>
    <x v="11"/>
    <n v="85.268888888888895"/>
    <n v="31123.144444444399"/>
    <n v="112043.32"/>
  </r>
  <r>
    <x v="0"/>
    <x v="0"/>
    <x v="0"/>
    <x v="0"/>
    <x v="0"/>
    <s v="DK1_Rural"/>
    <x v="3"/>
    <s v="GNR_ENG_NGAS_BP_E-42"/>
    <x v="0"/>
    <x v="0"/>
    <n v="85.268888888888895"/>
    <n v="31123.144444444399"/>
    <n v="112043.32"/>
  </r>
  <r>
    <x v="0"/>
    <x v="0"/>
    <x v="0"/>
    <x v="0"/>
    <x v="0"/>
    <s v="DK1_Rural"/>
    <x v="3"/>
    <s v="GNR_ENG_NGAS_BP_E-42"/>
    <x v="0"/>
    <x v="1"/>
    <n v="85.268888888888895"/>
    <n v="31123.144444444399"/>
    <n v="112043.32"/>
  </r>
  <r>
    <x v="0"/>
    <x v="0"/>
    <x v="0"/>
    <x v="0"/>
    <x v="0"/>
    <s v="DK1_Rural"/>
    <x v="3"/>
    <s v="GNR_ENG_NGAS_BP_E-42"/>
    <x v="0"/>
    <x v="2"/>
    <n v="85.268888888888895"/>
    <n v="31123.144444444399"/>
    <n v="112043.32"/>
  </r>
  <r>
    <x v="0"/>
    <x v="0"/>
    <x v="0"/>
    <x v="0"/>
    <x v="0"/>
    <s v="DK1_Rural"/>
    <x v="3"/>
    <s v="GNR_ENG_NGAS_BP_E-42"/>
    <x v="0"/>
    <x v="3"/>
    <n v="85.268888888888895"/>
    <n v="31123.144444444399"/>
    <n v="112043.32"/>
  </r>
  <r>
    <x v="0"/>
    <x v="0"/>
    <x v="0"/>
    <x v="0"/>
    <x v="0"/>
    <s v="DK1_Rural"/>
    <x v="3"/>
    <s v="GNR_ENG_NGAS_BP_E-42"/>
    <x v="0"/>
    <x v="12"/>
    <n v="85.268888888888895"/>
    <n v="31123.144444444399"/>
    <n v="112043.32"/>
  </r>
  <r>
    <x v="0"/>
    <x v="0"/>
    <x v="0"/>
    <x v="0"/>
    <x v="0"/>
    <s v="DK1_Rural"/>
    <x v="3"/>
    <s v="GNR_ENG_NGAS_BP_E-42"/>
    <x v="0"/>
    <x v="13"/>
    <n v="85.268888888888895"/>
    <n v="31123.144444444399"/>
    <n v="112043.32"/>
  </r>
  <r>
    <x v="0"/>
    <x v="0"/>
    <x v="0"/>
    <x v="0"/>
    <x v="0"/>
    <s v="DK1_Rural"/>
    <x v="3"/>
    <s v="GNR_ENG_NGAS_BP_E-42"/>
    <x v="0"/>
    <x v="14"/>
    <n v="85.268888888888895"/>
    <n v="31123.144444444399"/>
    <n v="112043.32"/>
  </r>
  <r>
    <x v="0"/>
    <x v="0"/>
    <x v="0"/>
    <x v="0"/>
    <x v="0"/>
    <s v="DK1_Rural"/>
    <x v="3"/>
    <s v="GNR_ENG_NGAS_BP_E-42"/>
    <x v="0"/>
    <x v="15"/>
    <n v="85.268888888888895"/>
    <n v="31123.144444444399"/>
    <n v="112043.32"/>
  </r>
  <r>
    <x v="0"/>
    <x v="0"/>
    <x v="0"/>
    <x v="0"/>
    <x v="0"/>
    <s v="DK1_Rural"/>
    <x v="3"/>
    <s v="GNR_ENG_NGAS_BP_E-42"/>
    <x v="0"/>
    <x v="4"/>
    <n v="85.268888888888895"/>
    <n v="31123.144444444399"/>
    <n v="112043.32"/>
  </r>
  <r>
    <x v="0"/>
    <x v="0"/>
    <x v="0"/>
    <x v="0"/>
    <x v="0"/>
    <s v="DK1_Rural"/>
    <x v="3"/>
    <s v="GNR_ENG_NGAS_BP_E-42"/>
    <x v="0"/>
    <x v="16"/>
    <n v="85.268888888888895"/>
    <n v="31123.144444444399"/>
    <n v="112043.32"/>
  </r>
  <r>
    <x v="0"/>
    <x v="0"/>
    <x v="0"/>
    <x v="0"/>
    <x v="0"/>
    <s v="DK1_Rural"/>
    <x v="3"/>
    <s v="GNR_ENG_NGAS_BP_E-42"/>
    <x v="0"/>
    <x v="5"/>
    <n v="85.268888888888895"/>
    <n v="31123.144444444399"/>
    <n v="112043.32"/>
  </r>
  <r>
    <x v="0"/>
    <x v="0"/>
    <x v="0"/>
    <x v="0"/>
    <x v="0"/>
    <s v="DK1_Rural"/>
    <x v="3"/>
    <s v="GNR_ENG_NGAS_BP_E-42"/>
    <x v="0"/>
    <x v="17"/>
    <n v="85.268888888888895"/>
    <n v="31123.144444444399"/>
    <n v="112043.32"/>
  </r>
  <r>
    <x v="0"/>
    <x v="0"/>
    <x v="0"/>
    <x v="0"/>
    <x v="0"/>
    <s v="DK1_Rural"/>
    <x v="3"/>
    <s v="GNR_ENG_NGAS_BP_E-42"/>
    <x v="0"/>
    <x v="18"/>
    <n v="85.268888888888895"/>
    <n v="31123.144444444399"/>
    <n v="112043.32"/>
  </r>
  <r>
    <x v="0"/>
    <x v="0"/>
    <x v="0"/>
    <x v="0"/>
    <x v="0"/>
    <s v="DK1_Rural"/>
    <x v="3"/>
    <s v="GNR_ENG_NGAS_BP_E-42"/>
    <x v="0"/>
    <x v="19"/>
    <n v="85.268888888888895"/>
    <n v="31123.144444444399"/>
    <n v="112043.32"/>
  </r>
  <r>
    <x v="0"/>
    <x v="0"/>
    <x v="0"/>
    <x v="0"/>
    <x v="0"/>
    <s v="DK1_Rural"/>
    <x v="3"/>
    <s v="GNR_ENG_NGAS_BP_E-42"/>
    <x v="0"/>
    <x v="20"/>
    <n v="85.268888888888895"/>
    <n v="31123.144444444399"/>
    <n v="112043.32"/>
  </r>
  <r>
    <x v="0"/>
    <x v="0"/>
    <x v="0"/>
    <x v="0"/>
    <x v="0"/>
    <s v="DK1_Rural"/>
    <x v="3"/>
    <s v="GNR_ENG_NGAS_BP_E-42"/>
    <x v="0"/>
    <x v="21"/>
    <n v="85.268888888888895"/>
    <n v="31123.144444444399"/>
    <n v="112043.32"/>
  </r>
  <r>
    <x v="0"/>
    <x v="0"/>
    <x v="0"/>
    <x v="0"/>
    <x v="0"/>
    <s v="DK1_Rural"/>
    <x v="3"/>
    <s v="GNR_ENG_NGAS_BP_E-42"/>
    <x v="0"/>
    <x v="22"/>
    <n v="85.268888888888895"/>
    <n v="31123.144444444399"/>
    <n v="112043.32"/>
  </r>
  <r>
    <x v="0"/>
    <x v="0"/>
    <x v="0"/>
    <x v="0"/>
    <x v="0"/>
    <s v="DK1_Rural"/>
    <x v="3"/>
    <s v="GNR_ENG_NGAS_BP_E-42"/>
    <x v="0"/>
    <x v="23"/>
    <n v="85.268888888888895"/>
    <n v="31123.144444444399"/>
    <n v="112043.32"/>
  </r>
  <r>
    <x v="0"/>
    <x v="0"/>
    <x v="0"/>
    <x v="0"/>
    <x v="0"/>
    <s v="DK1_Rural"/>
    <x v="3"/>
    <s v="GNR_ENG_NGAS_BP_E-43"/>
    <x v="0"/>
    <x v="6"/>
    <n v="53.924444444444397"/>
    <n v="19682.422222222202"/>
    <n v="70856.72"/>
  </r>
  <r>
    <x v="0"/>
    <x v="0"/>
    <x v="0"/>
    <x v="0"/>
    <x v="0"/>
    <s v="DK1_Rural"/>
    <x v="3"/>
    <s v="GNR_ENG_NGAS_BP_E-43"/>
    <x v="0"/>
    <x v="7"/>
    <n v="53.924444444444397"/>
    <n v="19682.422222222202"/>
    <n v="70856.72"/>
  </r>
  <r>
    <x v="0"/>
    <x v="0"/>
    <x v="0"/>
    <x v="0"/>
    <x v="0"/>
    <s v="DK1_Rural"/>
    <x v="3"/>
    <s v="GNR_ENG_NGAS_BP_E-43"/>
    <x v="0"/>
    <x v="8"/>
    <n v="53.924444444444397"/>
    <n v="19682.422222222202"/>
    <n v="70856.72"/>
  </r>
  <r>
    <x v="0"/>
    <x v="0"/>
    <x v="0"/>
    <x v="0"/>
    <x v="0"/>
    <s v="DK1_Rural"/>
    <x v="3"/>
    <s v="GNR_ENG_NGAS_BP_E-43"/>
    <x v="0"/>
    <x v="9"/>
    <n v="53.924444444444397"/>
    <n v="19682.422222222202"/>
    <n v="70856.72"/>
  </r>
  <r>
    <x v="0"/>
    <x v="0"/>
    <x v="0"/>
    <x v="0"/>
    <x v="0"/>
    <s v="DK1_Rural"/>
    <x v="3"/>
    <s v="GNR_ENG_NGAS_BP_E-43"/>
    <x v="0"/>
    <x v="10"/>
    <n v="53.924444444444397"/>
    <n v="19682.422222222202"/>
    <n v="70856.72"/>
  </r>
  <r>
    <x v="0"/>
    <x v="0"/>
    <x v="0"/>
    <x v="0"/>
    <x v="0"/>
    <s v="DK1_Rural"/>
    <x v="3"/>
    <s v="GNR_ENG_NGAS_BP_E-43"/>
    <x v="0"/>
    <x v="11"/>
    <n v="53.924444444444397"/>
    <n v="19682.422222222202"/>
    <n v="70856.72"/>
  </r>
  <r>
    <x v="0"/>
    <x v="0"/>
    <x v="0"/>
    <x v="0"/>
    <x v="0"/>
    <s v="DK1_Rural"/>
    <x v="3"/>
    <s v="GNR_ENG_NGAS_BP_E-43"/>
    <x v="0"/>
    <x v="0"/>
    <n v="53.924444444444397"/>
    <n v="19682.422222222202"/>
    <n v="70856.72"/>
  </r>
  <r>
    <x v="0"/>
    <x v="0"/>
    <x v="0"/>
    <x v="0"/>
    <x v="0"/>
    <s v="DK1_Rural"/>
    <x v="3"/>
    <s v="GNR_ENG_NGAS_BP_E-43"/>
    <x v="0"/>
    <x v="1"/>
    <n v="53.924444444444397"/>
    <n v="19682.422222222202"/>
    <n v="70856.72"/>
  </r>
  <r>
    <x v="0"/>
    <x v="0"/>
    <x v="0"/>
    <x v="0"/>
    <x v="0"/>
    <s v="DK1_Rural"/>
    <x v="3"/>
    <s v="GNR_ENG_NGAS_BP_E-43"/>
    <x v="0"/>
    <x v="2"/>
    <n v="53.924444444444397"/>
    <n v="19682.422222222202"/>
    <n v="70856.72"/>
  </r>
  <r>
    <x v="0"/>
    <x v="0"/>
    <x v="0"/>
    <x v="0"/>
    <x v="0"/>
    <s v="DK1_Rural"/>
    <x v="3"/>
    <s v="GNR_ENG_NGAS_BP_E-43"/>
    <x v="0"/>
    <x v="3"/>
    <n v="53.924444444444397"/>
    <n v="19682.422222222202"/>
    <n v="70856.72"/>
  </r>
  <r>
    <x v="0"/>
    <x v="0"/>
    <x v="0"/>
    <x v="0"/>
    <x v="0"/>
    <s v="DK1_Rural"/>
    <x v="3"/>
    <s v="GNR_ENG_NGAS_BP_E-43"/>
    <x v="0"/>
    <x v="12"/>
    <n v="53.924444444444397"/>
    <n v="19682.422222222202"/>
    <n v="70856.72"/>
  </r>
  <r>
    <x v="0"/>
    <x v="0"/>
    <x v="0"/>
    <x v="0"/>
    <x v="0"/>
    <s v="DK1_Rural"/>
    <x v="3"/>
    <s v="GNR_ENG_NGAS_BP_E-43"/>
    <x v="0"/>
    <x v="13"/>
    <n v="53.924444444444397"/>
    <n v="19682.422222222202"/>
    <n v="70856.72"/>
  </r>
  <r>
    <x v="0"/>
    <x v="0"/>
    <x v="0"/>
    <x v="0"/>
    <x v="0"/>
    <s v="DK1_Rural"/>
    <x v="3"/>
    <s v="GNR_ENG_NGAS_BP_E-43"/>
    <x v="0"/>
    <x v="14"/>
    <n v="53.924444444444397"/>
    <n v="19682.422222222202"/>
    <n v="70856.72"/>
  </r>
  <r>
    <x v="0"/>
    <x v="0"/>
    <x v="0"/>
    <x v="0"/>
    <x v="0"/>
    <s v="DK1_Rural"/>
    <x v="3"/>
    <s v="GNR_ENG_NGAS_BP_E-43"/>
    <x v="0"/>
    <x v="15"/>
    <n v="53.924444444444397"/>
    <n v="19682.422222222202"/>
    <n v="70856.72"/>
  </r>
  <r>
    <x v="0"/>
    <x v="0"/>
    <x v="0"/>
    <x v="0"/>
    <x v="0"/>
    <s v="DK1_Rural"/>
    <x v="3"/>
    <s v="GNR_ENG_NGAS_BP_E-43"/>
    <x v="0"/>
    <x v="4"/>
    <n v="53.924444444444397"/>
    <n v="19682.422222222202"/>
    <n v="70856.72"/>
  </r>
  <r>
    <x v="0"/>
    <x v="0"/>
    <x v="0"/>
    <x v="0"/>
    <x v="0"/>
    <s v="DK1_Rural"/>
    <x v="3"/>
    <s v="GNR_ENG_NGAS_BP_E-43"/>
    <x v="0"/>
    <x v="16"/>
    <n v="53.924444444444397"/>
    <n v="19682.422222222202"/>
    <n v="70856.72"/>
  </r>
  <r>
    <x v="0"/>
    <x v="0"/>
    <x v="0"/>
    <x v="0"/>
    <x v="0"/>
    <s v="DK1_Rural"/>
    <x v="3"/>
    <s v="GNR_ENG_NGAS_BP_E-43"/>
    <x v="0"/>
    <x v="5"/>
    <n v="53.924444444444397"/>
    <n v="19682.422222222202"/>
    <n v="70856.72"/>
  </r>
  <r>
    <x v="0"/>
    <x v="0"/>
    <x v="0"/>
    <x v="0"/>
    <x v="0"/>
    <s v="DK1_Rural"/>
    <x v="3"/>
    <s v="GNR_ENG_NGAS_BP_E-43"/>
    <x v="0"/>
    <x v="17"/>
    <n v="53.924444444444397"/>
    <n v="19682.422222222202"/>
    <n v="70856.72"/>
  </r>
  <r>
    <x v="0"/>
    <x v="0"/>
    <x v="0"/>
    <x v="0"/>
    <x v="0"/>
    <s v="DK1_Rural"/>
    <x v="3"/>
    <s v="GNR_ENG_NGAS_BP_E-43"/>
    <x v="0"/>
    <x v="18"/>
    <n v="53.924444444444397"/>
    <n v="19682.422222222202"/>
    <n v="70856.72"/>
  </r>
  <r>
    <x v="0"/>
    <x v="0"/>
    <x v="0"/>
    <x v="0"/>
    <x v="0"/>
    <s v="DK1_Rural"/>
    <x v="3"/>
    <s v="GNR_ENG_NGAS_BP_E-43"/>
    <x v="0"/>
    <x v="19"/>
    <n v="53.924444444444397"/>
    <n v="19682.422222222202"/>
    <n v="70856.72"/>
  </r>
  <r>
    <x v="0"/>
    <x v="0"/>
    <x v="0"/>
    <x v="0"/>
    <x v="0"/>
    <s v="DK1_Rural"/>
    <x v="3"/>
    <s v="GNR_ENG_NGAS_BP_E-43"/>
    <x v="0"/>
    <x v="20"/>
    <n v="53.924444444444397"/>
    <n v="19682.422222222202"/>
    <n v="70856.72"/>
  </r>
  <r>
    <x v="0"/>
    <x v="0"/>
    <x v="0"/>
    <x v="0"/>
    <x v="0"/>
    <s v="DK1_Rural"/>
    <x v="3"/>
    <s v="GNR_ENG_NGAS_BP_E-43"/>
    <x v="0"/>
    <x v="21"/>
    <n v="53.924444444444397"/>
    <n v="19682.422222222202"/>
    <n v="70856.72"/>
  </r>
  <r>
    <x v="0"/>
    <x v="0"/>
    <x v="0"/>
    <x v="0"/>
    <x v="0"/>
    <s v="DK1_Rural"/>
    <x v="3"/>
    <s v="GNR_ENG_NGAS_BP_E-43"/>
    <x v="0"/>
    <x v="22"/>
    <n v="53.924444444444397"/>
    <n v="19682.422222222202"/>
    <n v="70856.72"/>
  </r>
  <r>
    <x v="0"/>
    <x v="0"/>
    <x v="0"/>
    <x v="0"/>
    <x v="0"/>
    <s v="DK1_Rural"/>
    <x v="3"/>
    <s v="GNR_ENG_NGAS_BP_E-43"/>
    <x v="0"/>
    <x v="23"/>
    <n v="53.924444444444397"/>
    <n v="19682.422222222202"/>
    <n v="70856.72"/>
  </r>
  <r>
    <x v="0"/>
    <x v="0"/>
    <x v="0"/>
    <x v="0"/>
    <x v="0"/>
    <s v="DK1_Rural"/>
    <x v="3"/>
    <s v="GNR_ENG_NGAS_BP_E-44"/>
    <x v="0"/>
    <x v="6"/>
    <n v="60.033333333333303"/>
    <n v="21912.166666666701"/>
    <n v="78883.8"/>
  </r>
  <r>
    <x v="0"/>
    <x v="0"/>
    <x v="0"/>
    <x v="0"/>
    <x v="0"/>
    <s v="DK1_Rural"/>
    <x v="3"/>
    <s v="GNR_ENG_NGAS_BP_E-44"/>
    <x v="0"/>
    <x v="7"/>
    <n v="60.033333333333303"/>
    <n v="21912.166666666701"/>
    <n v="78883.8"/>
  </r>
  <r>
    <x v="0"/>
    <x v="0"/>
    <x v="0"/>
    <x v="0"/>
    <x v="0"/>
    <s v="DK1_Rural"/>
    <x v="3"/>
    <s v="GNR_ENG_NGAS_BP_E-44"/>
    <x v="0"/>
    <x v="8"/>
    <n v="60.033333333333303"/>
    <n v="21912.166666666701"/>
    <n v="78883.8"/>
  </r>
  <r>
    <x v="0"/>
    <x v="0"/>
    <x v="0"/>
    <x v="0"/>
    <x v="0"/>
    <s v="DK1_Rural"/>
    <x v="3"/>
    <s v="GNR_ENG_NGAS_BP_E-44"/>
    <x v="0"/>
    <x v="9"/>
    <n v="60.033333333333303"/>
    <n v="21912.166666666701"/>
    <n v="78883.8"/>
  </r>
  <r>
    <x v="0"/>
    <x v="0"/>
    <x v="0"/>
    <x v="0"/>
    <x v="0"/>
    <s v="DK1_Rural"/>
    <x v="3"/>
    <s v="GNR_ENG_NGAS_BP_E-44"/>
    <x v="0"/>
    <x v="10"/>
    <n v="60.033333333333303"/>
    <n v="21912.166666666701"/>
    <n v="78883.8"/>
  </r>
  <r>
    <x v="0"/>
    <x v="0"/>
    <x v="0"/>
    <x v="0"/>
    <x v="0"/>
    <s v="DK1_Rural"/>
    <x v="3"/>
    <s v="GNR_ENG_NGAS_BP_E-44"/>
    <x v="0"/>
    <x v="11"/>
    <n v="60.033333333333303"/>
    <n v="21912.166666666701"/>
    <n v="78883.8"/>
  </r>
  <r>
    <x v="0"/>
    <x v="0"/>
    <x v="0"/>
    <x v="0"/>
    <x v="0"/>
    <s v="DK1_Rural"/>
    <x v="3"/>
    <s v="GNR_ENG_NGAS_BP_E-44"/>
    <x v="0"/>
    <x v="0"/>
    <n v="60.033333333333303"/>
    <n v="21912.166666666701"/>
    <n v="78883.8"/>
  </r>
  <r>
    <x v="0"/>
    <x v="0"/>
    <x v="0"/>
    <x v="0"/>
    <x v="0"/>
    <s v="DK1_Rural"/>
    <x v="3"/>
    <s v="GNR_ENG_NGAS_BP_E-44"/>
    <x v="0"/>
    <x v="1"/>
    <n v="60.033333333333303"/>
    <n v="21912.166666666701"/>
    <n v="78883.8"/>
  </r>
  <r>
    <x v="0"/>
    <x v="0"/>
    <x v="0"/>
    <x v="0"/>
    <x v="0"/>
    <s v="DK1_Rural"/>
    <x v="3"/>
    <s v="GNR_ENG_NGAS_BP_E-44"/>
    <x v="0"/>
    <x v="2"/>
    <n v="60.033333333333303"/>
    <n v="21912.166666666701"/>
    <n v="78883.8"/>
  </r>
  <r>
    <x v="0"/>
    <x v="0"/>
    <x v="0"/>
    <x v="0"/>
    <x v="0"/>
    <s v="DK1_Rural"/>
    <x v="3"/>
    <s v="GNR_ENG_NGAS_BP_E-44"/>
    <x v="0"/>
    <x v="3"/>
    <n v="60.033333333333303"/>
    <n v="21912.166666666701"/>
    <n v="78883.8"/>
  </r>
  <r>
    <x v="0"/>
    <x v="0"/>
    <x v="0"/>
    <x v="0"/>
    <x v="0"/>
    <s v="DK1_Rural"/>
    <x v="3"/>
    <s v="GNR_ENG_NGAS_BP_E-44"/>
    <x v="0"/>
    <x v="12"/>
    <n v="60.033333333333303"/>
    <n v="21912.166666666701"/>
    <n v="78883.8"/>
  </r>
  <r>
    <x v="0"/>
    <x v="0"/>
    <x v="0"/>
    <x v="0"/>
    <x v="0"/>
    <s v="DK1_Rural"/>
    <x v="3"/>
    <s v="GNR_ENG_NGAS_BP_E-44"/>
    <x v="0"/>
    <x v="13"/>
    <n v="60.033333333333303"/>
    <n v="21912.166666666701"/>
    <n v="78883.8"/>
  </r>
  <r>
    <x v="0"/>
    <x v="0"/>
    <x v="0"/>
    <x v="0"/>
    <x v="0"/>
    <s v="DK1_Rural"/>
    <x v="3"/>
    <s v="GNR_ENG_NGAS_BP_E-44"/>
    <x v="0"/>
    <x v="14"/>
    <n v="60.033333333333303"/>
    <n v="21912.166666666701"/>
    <n v="78883.8"/>
  </r>
  <r>
    <x v="0"/>
    <x v="0"/>
    <x v="0"/>
    <x v="0"/>
    <x v="0"/>
    <s v="DK1_Rural"/>
    <x v="3"/>
    <s v="GNR_ENG_NGAS_BP_E-44"/>
    <x v="0"/>
    <x v="15"/>
    <n v="60.033333333333303"/>
    <n v="21912.166666666701"/>
    <n v="78883.8"/>
  </r>
  <r>
    <x v="0"/>
    <x v="0"/>
    <x v="0"/>
    <x v="0"/>
    <x v="0"/>
    <s v="DK1_Rural"/>
    <x v="3"/>
    <s v="GNR_ENG_NGAS_BP_E-44"/>
    <x v="0"/>
    <x v="4"/>
    <n v="60.033333333333303"/>
    <n v="21912.166666666701"/>
    <n v="78883.8"/>
  </r>
  <r>
    <x v="0"/>
    <x v="0"/>
    <x v="0"/>
    <x v="0"/>
    <x v="0"/>
    <s v="DK1_Rural"/>
    <x v="3"/>
    <s v="GNR_ENG_NGAS_BP_E-44"/>
    <x v="0"/>
    <x v="16"/>
    <n v="60.033333333333303"/>
    <n v="21912.166666666701"/>
    <n v="78883.8"/>
  </r>
  <r>
    <x v="0"/>
    <x v="0"/>
    <x v="0"/>
    <x v="0"/>
    <x v="0"/>
    <s v="DK1_Rural"/>
    <x v="3"/>
    <s v="GNR_ENG_NGAS_BP_E-44"/>
    <x v="0"/>
    <x v="5"/>
    <n v="60.033333333333303"/>
    <n v="21912.166666666701"/>
    <n v="78883.8"/>
  </r>
  <r>
    <x v="0"/>
    <x v="0"/>
    <x v="0"/>
    <x v="0"/>
    <x v="0"/>
    <s v="DK1_Rural"/>
    <x v="3"/>
    <s v="GNR_ENG_NGAS_BP_E-44"/>
    <x v="0"/>
    <x v="17"/>
    <n v="60.033333333333303"/>
    <n v="21912.166666666701"/>
    <n v="78883.8"/>
  </r>
  <r>
    <x v="0"/>
    <x v="0"/>
    <x v="0"/>
    <x v="0"/>
    <x v="0"/>
    <s v="DK1_Rural"/>
    <x v="3"/>
    <s v="GNR_ENG_NGAS_BP_E-44"/>
    <x v="0"/>
    <x v="18"/>
    <n v="60.033333333333303"/>
    <n v="21912.166666666701"/>
    <n v="78883.8"/>
  </r>
  <r>
    <x v="0"/>
    <x v="0"/>
    <x v="0"/>
    <x v="0"/>
    <x v="0"/>
    <s v="DK1_Rural"/>
    <x v="3"/>
    <s v="GNR_ENG_NGAS_BP_E-44"/>
    <x v="0"/>
    <x v="19"/>
    <n v="60.033333333333303"/>
    <n v="21912.166666666701"/>
    <n v="78883.8"/>
  </r>
  <r>
    <x v="0"/>
    <x v="0"/>
    <x v="0"/>
    <x v="0"/>
    <x v="0"/>
    <s v="DK1_Rural"/>
    <x v="3"/>
    <s v="GNR_ENG_NGAS_BP_E-44"/>
    <x v="0"/>
    <x v="20"/>
    <n v="60.033333333333303"/>
    <n v="21912.166666666701"/>
    <n v="78883.8"/>
  </r>
  <r>
    <x v="0"/>
    <x v="0"/>
    <x v="0"/>
    <x v="0"/>
    <x v="0"/>
    <s v="DK1_Rural"/>
    <x v="3"/>
    <s v="GNR_ENG_NGAS_BP_E-44"/>
    <x v="0"/>
    <x v="21"/>
    <n v="60.033333333333303"/>
    <n v="21912.166666666701"/>
    <n v="78883.8"/>
  </r>
  <r>
    <x v="0"/>
    <x v="0"/>
    <x v="0"/>
    <x v="0"/>
    <x v="0"/>
    <s v="DK1_Rural"/>
    <x v="3"/>
    <s v="GNR_ENG_NGAS_BP_E-44"/>
    <x v="0"/>
    <x v="22"/>
    <n v="60.033333333333303"/>
    <n v="21912.166666666701"/>
    <n v="78883.8"/>
  </r>
  <r>
    <x v="0"/>
    <x v="0"/>
    <x v="0"/>
    <x v="0"/>
    <x v="0"/>
    <s v="DK1_Rural"/>
    <x v="3"/>
    <s v="GNR_ENG_NGAS_BP_E-44"/>
    <x v="0"/>
    <x v="23"/>
    <n v="60.033333333333303"/>
    <n v="21912.166666666701"/>
    <n v="78883.8"/>
  </r>
  <r>
    <x v="0"/>
    <x v="0"/>
    <x v="0"/>
    <x v="0"/>
    <x v="0"/>
    <s v="DK1_Rural"/>
    <x v="3"/>
    <s v="GNR_ENG_NGAS_BP_E-45"/>
    <x v="0"/>
    <x v="6"/>
    <n v="11.6"/>
    <n v="4234"/>
    <n v="15242.4"/>
  </r>
  <r>
    <x v="0"/>
    <x v="0"/>
    <x v="0"/>
    <x v="0"/>
    <x v="0"/>
    <s v="DK1_Rural"/>
    <x v="3"/>
    <s v="GNR_ENG_NGAS_BP_E-45"/>
    <x v="0"/>
    <x v="7"/>
    <n v="11.6"/>
    <n v="4234"/>
    <n v="15242.4"/>
  </r>
  <r>
    <x v="0"/>
    <x v="0"/>
    <x v="0"/>
    <x v="0"/>
    <x v="0"/>
    <s v="DK1_Rural"/>
    <x v="3"/>
    <s v="GNR_ENG_NGAS_BP_E-45"/>
    <x v="0"/>
    <x v="8"/>
    <n v="11.6"/>
    <n v="4234"/>
    <n v="15242.4"/>
  </r>
  <r>
    <x v="0"/>
    <x v="0"/>
    <x v="0"/>
    <x v="0"/>
    <x v="0"/>
    <s v="DK1_Rural"/>
    <x v="3"/>
    <s v="GNR_ENG_NGAS_BP_E-45"/>
    <x v="0"/>
    <x v="9"/>
    <n v="11.6"/>
    <n v="4234"/>
    <n v="15242.4"/>
  </r>
  <r>
    <x v="0"/>
    <x v="0"/>
    <x v="0"/>
    <x v="0"/>
    <x v="0"/>
    <s v="DK1_Rural"/>
    <x v="3"/>
    <s v="GNR_ENG_NGAS_BP_E-45"/>
    <x v="0"/>
    <x v="10"/>
    <n v="11.6"/>
    <n v="4234"/>
    <n v="15242.4"/>
  </r>
  <r>
    <x v="0"/>
    <x v="0"/>
    <x v="0"/>
    <x v="0"/>
    <x v="0"/>
    <s v="DK1_Rural"/>
    <x v="3"/>
    <s v="GNR_ENG_NGAS_BP_E-45"/>
    <x v="0"/>
    <x v="11"/>
    <n v="11.6"/>
    <n v="4234"/>
    <n v="15242.4"/>
  </r>
  <r>
    <x v="0"/>
    <x v="0"/>
    <x v="0"/>
    <x v="0"/>
    <x v="0"/>
    <s v="DK1_Rural"/>
    <x v="3"/>
    <s v="GNR_ENG_NGAS_BP_E-45"/>
    <x v="0"/>
    <x v="0"/>
    <n v="11.6"/>
    <n v="4234"/>
    <n v="15242.4"/>
  </r>
  <r>
    <x v="0"/>
    <x v="0"/>
    <x v="0"/>
    <x v="0"/>
    <x v="0"/>
    <s v="DK1_Rural"/>
    <x v="3"/>
    <s v="GNR_ENG_NGAS_BP_E-45"/>
    <x v="0"/>
    <x v="1"/>
    <n v="11.6"/>
    <n v="4234"/>
    <n v="15242.4"/>
  </r>
  <r>
    <x v="0"/>
    <x v="0"/>
    <x v="0"/>
    <x v="0"/>
    <x v="0"/>
    <s v="DK1_Rural"/>
    <x v="3"/>
    <s v="GNR_ENG_NGAS_BP_E-45"/>
    <x v="0"/>
    <x v="2"/>
    <n v="11.6"/>
    <n v="4234"/>
    <n v="15242.4"/>
  </r>
  <r>
    <x v="0"/>
    <x v="0"/>
    <x v="0"/>
    <x v="0"/>
    <x v="0"/>
    <s v="DK1_Rural"/>
    <x v="3"/>
    <s v="GNR_ENG_NGAS_BP_E-45"/>
    <x v="0"/>
    <x v="3"/>
    <n v="11.6"/>
    <n v="4234"/>
    <n v="15242.4"/>
  </r>
  <r>
    <x v="0"/>
    <x v="0"/>
    <x v="0"/>
    <x v="0"/>
    <x v="0"/>
    <s v="DK1_Rural"/>
    <x v="3"/>
    <s v="GNR_ENG_NGAS_BP_E-45"/>
    <x v="0"/>
    <x v="12"/>
    <n v="11.6"/>
    <n v="4234"/>
    <n v="15242.4"/>
  </r>
  <r>
    <x v="0"/>
    <x v="0"/>
    <x v="0"/>
    <x v="0"/>
    <x v="0"/>
    <s v="DK1_Rural"/>
    <x v="3"/>
    <s v="GNR_ENG_NGAS_BP_E-45"/>
    <x v="0"/>
    <x v="13"/>
    <n v="11.6"/>
    <n v="4234"/>
    <n v="15242.4"/>
  </r>
  <r>
    <x v="0"/>
    <x v="0"/>
    <x v="0"/>
    <x v="0"/>
    <x v="0"/>
    <s v="DK1_Rural"/>
    <x v="3"/>
    <s v="GNR_ENG_NGAS_BP_E-45"/>
    <x v="0"/>
    <x v="14"/>
    <n v="11.6"/>
    <n v="4234"/>
    <n v="15242.4"/>
  </r>
  <r>
    <x v="0"/>
    <x v="0"/>
    <x v="0"/>
    <x v="0"/>
    <x v="0"/>
    <s v="DK1_Rural"/>
    <x v="3"/>
    <s v="GNR_ENG_NGAS_BP_E-45"/>
    <x v="0"/>
    <x v="15"/>
    <n v="11.6"/>
    <n v="4234"/>
    <n v="15242.4"/>
  </r>
  <r>
    <x v="0"/>
    <x v="0"/>
    <x v="0"/>
    <x v="0"/>
    <x v="0"/>
    <s v="DK1_Rural"/>
    <x v="3"/>
    <s v="GNR_ENG_NGAS_BP_E-45"/>
    <x v="0"/>
    <x v="4"/>
    <n v="11.6"/>
    <n v="4234"/>
    <n v="15242.4"/>
  </r>
  <r>
    <x v="0"/>
    <x v="0"/>
    <x v="0"/>
    <x v="0"/>
    <x v="0"/>
    <s v="DK1_Rural"/>
    <x v="3"/>
    <s v="GNR_ENG_NGAS_BP_E-45"/>
    <x v="0"/>
    <x v="16"/>
    <n v="11.6"/>
    <n v="4234"/>
    <n v="15242.4"/>
  </r>
  <r>
    <x v="0"/>
    <x v="0"/>
    <x v="0"/>
    <x v="0"/>
    <x v="0"/>
    <s v="DK1_Rural"/>
    <x v="3"/>
    <s v="GNR_ENG_NGAS_BP_E-45"/>
    <x v="0"/>
    <x v="5"/>
    <n v="11.6"/>
    <n v="4234"/>
    <n v="15242.4"/>
  </r>
  <r>
    <x v="0"/>
    <x v="0"/>
    <x v="0"/>
    <x v="0"/>
    <x v="0"/>
    <s v="DK1_Rural"/>
    <x v="3"/>
    <s v="GNR_ENG_NGAS_BP_E-45"/>
    <x v="0"/>
    <x v="17"/>
    <n v="11.6"/>
    <n v="4234"/>
    <n v="15242.4"/>
  </r>
  <r>
    <x v="0"/>
    <x v="0"/>
    <x v="0"/>
    <x v="0"/>
    <x v="0"/>
    <s v="DK1_Rural"/>
    <x v="3"/>
    <s v="GNR_ENG_NGAS_BP_E-45"/>
    <x v="0"/>
    <x v="18"/>
    <n v="11.6"/>
    <n v="4234"/>
    <n v="15242.4"/>
  </r>
  <r>
    <x v="0"/>
    <x v="0"/>
    <x v="0"/>
    <x v="0"/>
    <x v="0"/>
    <s v="DK1_Rural"/>
    <x v="3"/>
    <s v="GNR_ENG_NGAS_BP_E-45"/>
    <x v="0"/>
    <x v="19"/>
    <n v="11.6"/>
    <n v="4234"/>
    <n v="15242.4"/>
  </r>
  <r>
    <x v="0"/>
    <x v="0"/>
    <x v="0"/>
    <x v="0"/>
    <x v="0"/>
    <s v="DK1_Rural"/>
    <x v="3"/>
    <s v="GNR_ENG_NGAS_BP_E-45"/>
    <x v="0"/>
    <x v="20"/>
    <n v="11.6"/>
    <n v="4234"/>
    <n v="15242.4"/>
  </r>
  <r>
    <x v="0"/>
    <x v="0"/>
    <x v="0"/>
    <x v="0"/>
    <x v="0"/>
    <s v="DK1_Rural"/>
    <x v="3"/>
    <s v="GNR_ENG_NGAS_BP_E-45"/>
    <x v="0"/>
    <x v="21"/>
    <n v="11.6"/>
    <n v="4234"/>
    <n v="15242.4"/>
  </r>
  <r>
    <x v="0"/>
    <x v="0"/>
    <x v="0"/>
    <x v="0"/>
    <x v="0"/>
    <s v="DK1_Rural"/>
    <x v="3"/>
    <s v="GNR_ENG_NGAS_BP_E-45"/>
    <x v="0"/>
    <x v="22"/>
    <n v="11.6"/>
    <n v="4234"/>
    <n v="15242.4"/>
  </r>
  <r>
    <x v="0"/>
    <x v="0"/>
    <x v="0"/>
    <x v="0"/>
    <x v="0"/>
    <s v="DK1_Rural"/>
    <x v="3"/>
    <s v="GNR_ENG_NGAS_BP_E-45"/>
    <x v="0"/>
    <x v="23"/>
    <n v="11.6"/>
    <n v="4234"/>
    <n v="15242.4"/>
  </r>
  <r>
    <x v="0"/>
    <x v="0"/>
    <x v="0"/>
    <x v="0"/>
    <x v="0"/>
    <s v="DK1_Rural"/>
    <x v="3"/>
    <s v="GNR_ENG_NGAS_BP_E-46"/>
    <x v="0"/>
    <x v="6"/>
    <n v="24.044444444444402"/>
    <n v="8776.2222222222208"/>
    <n v="31594.400000000001"/>
  </r>
  <r>
    <x v="0"/>
    <x v="0"/>
    <x v="0"/>
    <x v="0"/>
    <x v="0"/>
    <s v="DK1_Rural"/>
    <x v="3"/>
    <s v="GNR_ENG_NGAS_BP_E-46"/>
    <x v="0"/>
    <x v="7"/>
    <n v="24.044444444444402"/>
    <n v="8776.2222222222208"/>
    <n v="31594.400000000001"/>
  </r>
  <r>
    <x v="0"/>
    <x v="0"/>
    <x v="0"/>
    <x v="0"/>
    <x v="0"/>
    <s v="DK1_Rural"/>
    <x v="3"/>
    <s v="GNR_ENG_NGAS_BP_E-46"/>
    <x v="0"/>
    <x v="8"/>
    <n v="24.044444444444402"/>
    <n v="8776.2222222222208"/>
    <n v="31594.400000000001"/>
  </r>
  <r>
    <x v="0"/>
    <x v="0"/>
    <x v="0"/>
    <x v="0"/>
    <x v="0"/>
    <s v="DK1_Rural"/>
    <x v="3"/>
    <s v="GNR_ENG_NGAS_BP_E-46"/>
    <x v="0"/>
    <x v="9"/>
    <n v="24.044444444444402"/>
    <n v="8776.2222222222208"/>
    <n v="31594.400000000001"/>
  </r>
  <r>
    <x v="0"/>
    <x v="0"/>
    <x v="0"/>
    <x v="0"/>
    <x v="0"/>
    <s v="DK1_Rural"/>
    <x v="3"/>
    <s v="GNR_ENG_NGAS_BP_E-46"/>
    <x v="0"/>
    <x v="10"/>
    <n v="24.044444444444402"/>
    <n v="8776.2222222222208"/>
    <n v="31594.400000000001"/>
  </r>
  <r>
    <x v="0"/>
    <x v="0"/>
    <x v="0"/>
    <x v="0"/>
    <x v="0"/>
    <s v="DK1_Rural"/>
    <x v="3"/>
    <s v="GNR_ENG_NGAS_BP_E-46"/>
    <x v="0"/>
    <x v="11"/>
    <n v="24.044444444444402"/>
    <n v="8776.2222222222208"/>
    <n v="31594.400000000001"/>
  </r>
  <r>
    <x v="0"/>
    <x v="0"/>
    <x v="0"/>
    <x v="0"/>
    <x v="0"/>
    <s v="DK1_Rural"/>
    <x v="3"/>
    <s v="GNR_ENG_NGAS_BP_E-46"/>
    <x v="0"/>
    <x v="0"/>
    <n v="24.044444444444402"/>
    <n v="8776.2222222222208"/>
    <n v="31594.400000000001"/>
  </r>
  <r>
    <x v="0"/>
    <x v="0"/>
    <x v="0"/>
    <x v="0"/>
    <x v="0"/>
    <s v="DK1_Rural"/>
    <x v="3"/>
    <s v="GNR_ENG_NGAS_BP_E-46"/>
    <x v="0"/>
    <x v="1"/>
    <n v="24.044444444444402"/>
    <n v="8776.2222222222208"/>
    <n v="31594.400000000001"/>
  </r>
  <r>
    <x v="0"/>
    <x v="0"/>
    <x v="0"/>
    <x v="0"/>
    <x v="0"/>
    <s v="DK1_Rural"/>
    <x v="3"/>
    <s v="GNR_ENG_NGAS_BP_E-46"/>
    <x v="0"/>
    <x v="2"/>
    <n v="24.044444444444402"/>
    <n v="8776.2222222222208"/>
    <n v="31594.400000000001"/>
  </r>
  <r>
    <x v="0"/>
    <x v="0"/>
    <x v="0"/>
    <x v="0"/>
    <x v="0"/>
    <s v="DK1_Rural"/>
    <x v="3"/>
    <s v="GNR_ENG_NGAS_BP_E-46"/>
    <x v="0"/>
    <x v="3"/>
    <n v="24.044444444444402"/>
    <n v="8776.2222222222208"/>
    <n v="31594.400000000001"/>
  </r>
  <r>
    <x v="0"/>
    <x v="0"/>
    <x v="0"/>
    <x v="0"/>
    <x v="0"/>
    <s v="DK1_Rural"/>
    <x v="3"/>
    <s v="GNR_ENG_NGAS_BP_E-46"/>
    <x v="0"/>
    <x v="12"/>
    <n v="24.044444444444402"/>
    <n v="8776.2222222222208"/>
    <n v="31594.400000000001"/>
  </r>
  <r>
    <x v="0"/>
    <x v="0"/>
    <x v="0"/>
    <x v="0"/>
    <x v="0"/>
    <s v="DK1_Rural"/>
    <x v="3"/>
    <s v="GNR_ENG_NGAS_BP_E-46"/>
    <x v="0"/>
    <x v="13"/>
    <n v="24.044444444444402"/>
    <n v="8776.2222222222208"/>
    <n v="31594.400000000001"/>
  </r>
  <r>
    <x v="0"/>
    <x v="0"/>
    <x v="0"/>
    <x v="0"/>
    <x v="0"/>
    <s v="DK1_Rural"/>
    <x v="3"/>
    <s v="GNR_ENG_NGAS_BP_E-46"/>
    <x v="0"/>
    <x v="14"/>
    <n v="24.044444444444402"/>
    <n v="8776.2222222222208"/>
    <n v="31594.400000000001"/>
  </r>
  <r>
    <x v="0"/>
    <x v="0"/>
    <x v="0"/>
    <x v="0"/>
    <x v="0"/>
    <s v="DK1_Rural"/>
    <x v="3"/>
    <s v="GNR_ENG_NGAS_BP_E-46"/>
    <x v="0"/>
    <x v="15"/>
    <n v="24.044444444444402"/>
    <n v="8776.2222222222208"/>
    <n v="31594.400000000001"/>
  </r>
  <r>
    <x v="0"/>
    <x v="0"/>
    <x v="0"/>
    <x v="0"/>
    <x v="0"/>
    <s v="DK1_Rural"/>
    <x v="3"/>
    <s v="GNR_ENG_NGAS_BP_E-46"/>
    <x v="0"/>
    <x v="4"/>
    <n v="24.044444444444402"/>
    <n v="8776.2222222222208"/>
    <n v="31594.400000000001"/>
  </r>
  <r>
    <x v="0"/>
    <x v="0"/>
    <x v="0"/>
    <x v="0"/>
    <x v="0"/>
    <s v="DK1_Rural"/>
    <x v="3"/>
    <s v="GNR_ENG_NGAS_BP_E-46"/>
    <x v="0"/>
    <x v="16"/>
    <n v="24.044444444444402"/>
    <n v="8776.2222222222208"/>
    <n v="31594.400000000001"/>
  </r>
  <r>
    <x v="0"/>
    <x v="0"/>
    <x v="0"/>
    <x v="0"/>
    <x v="0"/>
    <s v="DK1_Rural"/>
    <x v="3"/>
    <s v="GNR_ENG_NGAS_BP_E-46"/>
    <x v="0"/>
    <x v="5"/>
    <n v="24.044444444444402"/>
    <n v="8776.2222222222208"/>
    <n v="31594.400000000001"/>
  </r>
  <r>
    <x v="0"/>
    <x v="0"/>
    <x v="0"/>
    <x v="0"/>
    <x v="0"/>
    <s v="DK1_Rural"/>
    <x v="3"/>
    <s v="GNR_ENG_NGAS_BP_E-46"/>
    <x v="0"/>
    <x v="17"/>
    <n v="24.044444444444402"/>
    <n v="8776.2222222222208"/>
    <n v="31594.400000000001"/>
  </r>
  <r>
    <x v="0"/>
    <x v="0"/>
    <x v="0"/>
    <x v="0"/>
    <x v="0"/>
    <s v="DK1_Rural"/>
    <x v="3"/>
    <s v="GNR_ENG_NGAS_BP_E-46"/>
    <x v="0"/>
    <x v="18"/>
    <n v="24.044444444444402"/>
    <n v="8776.2222222222208"/>
    <n v="31594.400000000001"/>
  </r>
  <r>
    <x v="0"/>
    <x v="0"/>
    <x v="0"/>
    <x v="0"/>
    <x v="0"/>
    <s v="DK1_Rural"/>
    <x v="3"/>
    <s v="GNR_ENG_NGAS_BP_E-46"/>
    <x v="0"/>
    <x v="19"/>
    <n v="24.044444444444402"/>
    <n v="8776.2222222222208"/>
    <n v="31594.400000000001"/>
  </r>
  <r>
    <x v="0"/>
    <x v="0"/>
    <x v="0"/>
    <x v="0"/>
    <x v="0"/>
    <s v="DK1_Rural"/>
    <x v="3"/>
    <s v="GNR_ENG_NGAS_BP_E-46"/>
    <x v="0"/>
    <x v="20"/>
    <n v="24.044444444444402"/>
    <n v="8776.2222222222208"/>
    <n v="31594.400000000001"/>
  </r>
  <r>
    <x v="0"/>
    <x v="0"/>
    <x v="0"/>
    <x v="0"/>
    <x v="0"/>
    <s v="DK1_Rural"/>
    <x v="3"/>
    <s v="GNR_ENG_NGAS_BP_E-46"/>
    <x v="0"/>
    <x v="21"/>
    <n v="24.044444444444402"/>
    <n v="8776.2222222222208"/>
    <n v="31594.400000000001"/>
  </r>
  <r>
    <x v="0"/>
    <x v="0"/>
    <x v="0"/>
    <x v="0"/>
    <x v="0"/>
    <s v="DK1_Rural"/>
    <x v="3"/>
    <s v="GNR_ENG_NGAS_BP_E-46"/>
    <x v="0"/>
    <x v="22"/>
    <n v="24.044444444444402"/>
    <n v="8776.2222222222208"/>
    <n v="31594.400000000001"/>
  </r>
  <r>
    <x v="0"/>
    <x v="0"/>
    <x v="0"/>
    <x v="0"/>
    <x v="0"/>
    <s v="DK1_Rural"/>
    <x v="3"/>
    <s v="GNR_ENG_NGAS_BP_E-46"/>
    <x v="0"/>
    <x v="23"/>
    <n v="24.044444444444402"/>
    <n v="8776.2222222222208"/>
    <n v="31594.400000000001"/>
  </r>
  <r>
    <x v="0"/>
    <x v="0"/>
    <x v="0"/>
    <x v="0"/>
    <x v="0"/>
    <s v="DK1_Rural"/>
    <x v="3"/>
    <s v="GNR_ENG_NGAS_BP_E-47"/>
    <x v="0"/>
    <x v="6"/>
    <n v="4.1111111111111098"/>
    <n v="1500.55555555556"/>
    <n v="5402"/>
  </r>
  <r>
    <x v="0"/>
    <x v="0"/>
    <x v="0"/>
    <x v="0"/>
    <x v="0"/>
    <s v="DK1_Rural"/>
    <x v="3"/>
    <s v="GNR_ENG_NGAS_BP_E-47"/>
    <x v="0"/>
    <x v="7"/>
    <n v="4.1111111111111098"/>
    <n v="1500.55555555556"/>
    <n v="5402"/>
  </r>
  <r>
    <x v="0"/>
    <x v="0"/>
    <x v="0"/>
    <x v="0"/>
    <x v="0"/>
    <s v="DK1_Rural"/>
    <x v="3"/>
    <s v="GNR_ENG_NGAS_BP_E-47"/>
    <x v="0"/>
    <x v="8"/>
    <n v="4.1111111111111098"/>
    <n v="1500.55555555556"/>
    <n v="5402"/>
  </r>
  <r>
    <x v="0"/>
    <x v="0"/>
    <x v="0"/>
    <x v="0"/>
    <x v="0"/>
    <s v="DK1_Rural"/>
    <x v="3"/>
    <s v="GNR_ENG_NGAS_BP_E-47"/>
    <x v="0"/>
    <x v="9"/>
    <n v="4.1111111111111098"/>
    <n v="1500.55555555556"/>
    <n v="5402"/>
  </r>
  <r>
    <x v="0"/>
    <x v="0"/>
    <x v="0"/>
    <x v="0"/>
    <x v="0"/>
    <s v="DK1_Rural"/>
    <x v="3"/>
    <s v="GNR_ENG_NGAS_BP_E-47"/>
    <x v="0"/>
    <x v="10"/>
    <n v="4.1111111111111098"/>
    <n v="1500.55555555556"/>
    <n v="5402"/>
  </r>
  <r>
    <x v="0"/>
    <x v="0"/>
    <x v="0"/>
    <x v="0"/>
    <x v="0"/>
    <s v="DK1_Rural"/>
    <x v="3"/>
    <s v="GNR_ENG_NGAS_BP_E-47"/>
    <x v="0"/>
    <x v="11"/>
    <n v="4.1111111111111098"/>
    <n v="1500.55555555556"/>
    <n v="5402"/>
  </r>
  <r>
    <x v="0"/>
    <x v="0"/>
    <x v="0"/>
    <x v="0"/>
    <x v="0"/>
    <s v="DK1_Rural"/>
    <x v="3"/>
    <s v="GNR_ENG_NGAS_BP_E-47"/>
    <x v="0"/>
    <x v="0"/>
    <n v="4.1111111111111098"/>
    <n v="1500.55555555556"/>
    <n v="5402"/>
  </r>
  <r>
    <x v="0"/>
    <x v="0"/>
    <x v="0"/>
    <x v="0"/>
    <x v="0"/>
    <s v="DK1_Rural"/>
    <x v="3"/>
    <s v="GNR_ENG_NGAS_BP_E-47"/>
    <x v="0"/>
    <x v="1"/>
    <n v="4.1111111111111098"/>
    <n v="1500.55555555556"/>
    <n v="5402"/>
  </r>
  <r>
    <x v="0"/>
    <x v="0"/>
    <x v="0"/>
    <x v="0"/>
    <x v="0"/>
    <s v="DK1_Rural"/>
    <x v="3"/>
    <s v="GNR_ENG_NGAS_BP_E-47"/>
    <x v="0"/>
    <x v="2"/>
    <n v="4.1111111111111098"/>
    <n v="1500.55555555556"/>
    <n v="5402"/>
  </r>
  <r>
    <x v="0"/>
    <x v="0"/>
    <x v="0"/>
    <x v="0"/>
    <x v="0"/>
    <s v="DK1_Rural"/>
    <x v="3"/>
    <s v="GNR_ENG_NGAS_BP_E-47"/>
    <x v="0"/>
    <x v="3"/>
    <n v="4.1111111111111098"/>
    <n v="1500.55555555556"/>
    <n v="5402"/>
  </r>
  <r>
    <x v="0"/>
    <x v="0"/>
    <x v="0"/>
    <x v="0"/>
    <x v="0"/>
    <s v="DK1_Rural"/>
    <x v="3"/>
    <s v="GNR_ENG_NGAS_BP_E-47"/>
    <x v="0"/>
    <x v="12"/>
    <n v="4.1111111111111098"/>
    <n v="1500.55555555556"/>
    <n v="5402"/>
  </r>
  <r>
    <x v="0"/>
    <x v="0"/>
    <x v="0"/>
    <x v="0"/>
    <x v="0"/>
    <s v="DK1_Rural"/>
    <x v="3"/>
    <s v="GNR_ENG_NGAS_BP_E-47"/>
    <x v="0"/>
    <x v="13"/>
    <n v="4.1111111111111098"/>
    <n v="1500.55555555556"/>
    <n v="5402"/>
  </r>
  <r>
    <x v="0"/>
    <x v="0"/>
    <x v="0"/>
    <x v="0"/>
    <x v="0"/>
    <s v="DK1_Rural"/>
    <x v="3"/>
    <s v="GNR_ENG_NGAS_BP_E-47"/>
    <x v="0"/>
    <x v="14"/>
    <n v="4.1111111111111098"/>
    <n v="1500.55555555556"/>
    <n v="5402"/>
  </r>
  <r>
    <x v="0"/>
    <x v="0"/>
    <x v="0"/>
    <x v="0"/>
    <x v="0"/>
    <s v="DK1_Rural"/>
    <x v="3"/>
    <s v="GNR_ENG_NGAS_BP_E-47"/>
    <x v="0"/>
    <x v="15"/>
    <n v="4.1111111111111098"/>
    <n v="1500.55555555556"/>
    <n v="5402"/>
  </r>
  <r>
    <x v="0"/>
    <x v="0"/>
    <x v="0"/>
    <x v="0"/>
    <x v="0"/>
    <s v="DK1_Rural"/>
    <x v="3"/>
    <s v="GNR_ENG_NGAS_BP_E-47"/>
    <x v="0"/>
    <x v="4"/>
    <n v="4.1111111111111098"/>
    <n v="1500.55555555556"/>
    <n v="5402"/>
  </r>
  <r>
    <x v="0"/>
    <x v="0"/>
    <x v="0"/>
    <x v="0"/>
    <x v="0"/>
    <s v="DK1_Rural"/>
    <x v="3"/>
    <s v="GNR_ENG_NGAS_BP_E-47"/>
    <x v="0"/>
    <x v="16"/>
    <n v="4.1111111111111098"/>
    <n v="1500.55555555556"/>
    <n v="5402"/>
  </r>
  <r>
    <x v="0"/>
    <x v="0"/>
    <x v="0"/>
    <x v="0"/>
    <x v="0"/>
    <s v="DK1_Rural"/>
    <x v="3"/>
    <s v="GNR_ENG_NGAS_BP_E-47"/>
    <x v="0"/>
    <x v="5"/>
    <n v="4.1111111111111098"/>
    <n v="1500.55555555556"/>
    <n v="5402"/>
  </r>
  <r>
    <x v="0"/>
    <x v="0"/>
    <x v="0"/>
    <x v="0"/>
    <x v="0"/>
    <s v="DK1_Rural"/>
    <x v="3"/>
    <s v="GNR_ENG_NGAS_BP_E-47"/>
    <x v="0"/>
    <x v="17"/>
    <n v="4.1111111111111098"/>
    <n v="1500.55555555556"/>
    <n v="5402"/>
  </r>
  <r>
    <x v="0"/>
    <x v="0"/>
    <x v="0"/>
    <x v="0"/>
    <x v="0"/>
    <s v="DK1_Rural"/>
    <x v="3"/>
    <s v="GNR_ENG_NGAS_BP_E-47"/>
    <x v="0"/>
    <x v="18"/>
    <n v="4.1111111111111098"/>
    <n v="1500.55555555556"/>
    <n v="5402"/>
  </r>
  <r>
    <x v="0"/>
    <x v="0"/>
    <x v="0"/>
    <x v="0"/>
    <x v="0"/>
    <s v="DK1_Rural"/>
    <x v="3"/>
    <s v="GNR_ENG_NGAS_BP_E-47"/>
    <x v="0"/>
    <x v="19"/>
    <n v="4.1111111111111098"/>
    <n v="1500.55555555556"/>
    <n v="5402"/>
  </r>
  <r>
    <x v="0"/>
    <x v="0"/>
    <x v="0"/>
    <x v="0"/>
    <x v="0"/>
    <s v="DK1_Rural"/>
    <x v="3"/>
    <s v="GNR_ENG_NGAS_BP_E-47"/>
    <x v="0"/>
    <x v="20"/>
    <n v="4.1111111111111098"/>
    <n v="1500.55555555556"/>
    <n v="5402"/>
  </r>
  <r>
    <x v="0"/>
    <x v="0"/>
    <x v="0"/>
    <x v="0"/>
    <x v="0"/>
    <s v="DK1_Rural"/>
    <x v="3"/>
    <s v="GNR_ENG_NGAS_BP_E-47"/>
    <x v="0"/>
    <x v="21"/>
    <n v="4.1111111111111098"/>
    <n v="1500.55555555556"/>
    <n v="5402"/>
  </r>
  <r>
    <x v="0"/>
    <x v="0"/>
    <x v="0"/>
    <x v="0"/>
    <x v="0"/>
    <s v="DK1_Rural"/>
    <x v="3"/>
    <s v="GNR_ENG_NGAS_BP_E-47"/>
    <x v="0"/>
    <x v="22"/>
    <n v="4.1111111111111098"/>
    <n v="1500.55555555556"/>
    <n v="5402"/>
  </r>
  <r>
    <x v="0"/>
    <x v="0"/>
    <x v="0"/>
    <x v="0"/>
    <x v="0"/>
    <s v="DK1_Rural"/>
    <x v="3"/>
    <s v="GNR_ENG_NGAS_BP_E-47"/>
    <x v="0"/>
    <x v="23"/>
    <n v="4.1111111111111098"/>
    <n v="1500.55555555556"/>
    <n v="5402"/>
  </r>
  <r>
    <x v="0"/>
    <x v="0"/>
    <x v="0"/>
    <x v="0"/>
    <x v="0"/>
    <s v="DK1_Rural"/>
    <x v="3"/>
    <s v="GNR_GT_NGAS_BP_E-28"/>
    <x v="0"/>
    <x v="0"/>
    <n v="7.7894736842105301"/>
    <n v="2843.1578947368398"/>
    <n v="10235.368421052601"/>
  </r>
  <r>
    <x v="0"/>
    <x v="0"/>
    <x v="0"/>
    <x v="0"/>
    <x v="0"/>
    <s v="DK1_Rural"/>
    <x v="3"/>
    <s v="GNR_GT_NGAS_BP_E-28"/>
    <x v="0"/>
    <x v="1"/>
    <n v="7.7894736842105301"/>
    <n v="2843.1578947368398"/>
    <n v="10235.368421052601"/>
  </r>
  <r>
    <x v="0"/>
    <x v="0"/>
    <x v="0"/>
    <x v="0"/>
    <x v="0"/>
    <s v="DK1_Rural"/>
    <x v="3"/>
    <s v="GNR_GT_NGAS_BP_E-28"/>
    <x v="0"/>
    <x v="2"/>
    <n v="7.7894736842105301"/>
    <n v="2843.1578947368398"/>
    <n v="10235.368421052601"/>
  </r>
  <r>
    <x v="0"/>
    <x v="0"/>
    <x v="0"/>
    <x v="0"/>
    <x v="0"/>
    <s v="DK1_Rural"/>
    <x v="3"/>
    <s v="GNR_GT_NGAS_BP_E-28"/>
    <x v="0"/>
    <x v="3"/>
    <n v="7.7894736842105301"/>
    <n v="2843.1578947368398"/>
    <n v="10235.368421052601"/>
  </r>
  <r>
    <x v="0"/>
    <x v="0"/>
    <x v="0"/>
    <x v="0"/>
    <x v="0"/>
    <s v="DK1_Rural"/>
    <x v="3"/>
    <s v="GNR_GT_NGAS_BP_E-30"/>
    <x v="0"/>
    <x v="0"/>
    <n v="6.6315789473684204"/>
    <n v="2420.5263157894701"/>
    <n v="8713.8947368420995"/>
  </r>
  <r>
    <x v="0"/>
    <x v="0"/>
    <x v="0"/>
    <x v="0"/>
    <x v="0"/>
    <s v="DK1_Rural"/>
    <x v="3"/>
    <s v="GNR_GT_NGAS_BP_E-30"/>
    <x v="0"/>
    <x v="1"/>
    <n v="6.6315789473684204"/>
    <n v="2420.5263157894701"/>
    <n v="8713.8947368420995"/>
  </r>
  <r>
    <x v="0"/>
    <x v="0"/>
    <x v="0"/>
    <x v="0"/>
    <x v="0"/>
    <s v="DK1_Rural"/>
    <x v="3"/>
    <s v="GNR_GT_NGAS_BP_E-30"/>
    <x v="0"/>
    <x v="2"/>
    <n v="6.6315789473684204"/>
    <n v="2420.5263157894701"/>
    <n v="8713.8947368420995"/>
  </r>
  <r>
    <x v="0"/>
    <x v="0"/>
    <x v="0"/>
    <x v="0"/>
    <x v="0"/>
    <s v="DK1_Rural"/>
    <x v="3"/>
    <s v="GNR_GT_NGAS_BP_E-30"/>
    <x v="0"/>
    <x v="3"/>
    <n v="6.6315789473684204"/>
    <n v="2420.5263157894701"/>
    <n v="8713.8947368420995"/>
  </r>
  <r>
    <x v="0"/>
    <x v="0"/>
    <x v="0"/>
    <x v="0"/>
    <x v="0"/>
    <s v="DK1_Rural"/>
    <x v="3"/>
    <s v="GNR_GT_NGAS_BP_E-30"/>
    <x v="0"/>
    <x v="12"/>
    <n v="6.6315789473684204"/>
    <n v="2420.5263157894701"/>
    <n v="8713.8947368420995"/>
  </r>
  <r>
    <x v="0"/>
    <x v="0"/>
    <x v="0"/>
    <x v="0"/>
    <x v="0"/>
    <s v="DK1_Rural"/>
    <x v="3"/>
    <s v="GNR_GT_NGAS_BP_E-41"/>
    <x v="0"/>
    <x v="6"/>
    <n v="6.3157894736842097"/>
    <n v="2305.2631578947398"/>
    <n v="8298.9473684210498"/>
  </r>
  <r>
    <x v="0"/>
    <x v="0"/>
    <x v="0"/>
    <x v="0"/>
    <x v="0"/>
    <s v="DK1_Rural"/>
    <x v="3"/>
    <s v="GNR_GT_NGAS_BP_E-41"/>
    <x v="0"/>
    <x v="7"/>
    <n v="6.3157894736842097"/>
    <n v="2305.2631578947398"/>
    <n v="8298.9473684210498"/>
  </r>
  <r>
    <x v="0"/>
    <x v="0"/>
    <x v="0"/>
    <x v="0"/>
    <x v="0"/>
    <s v="DK1_Rural"/>
    <x v="3"/>
    <s v="GNR_GT_NGAS_BP_E-41"/>
    <x v="0"/>
    <x v="8"/>
    <n v="6.3157894736842097"/>
    <n v="2305.2631578947398"/>
    <n v="8298.9473684210498"/>
  </r>
  <r>
    <x v="0"/>
    <x v="0"/>
    <x v="0"/>
    <x v="0"/>
    <x v="0"/>
    <s v="DK1_Rural"/>
    <x v="3"/>
    <s v="GNR_GT_NGAS_BP_E-41"/>
    <x v="0"/>
    <x v="9"/>
    <n v="6.3157894736842097"/>
    <n v="2305.2631578947398"/>
    <n v="8298.9473684210498"/>
  </r>
  <r>
    <x v="0"/>
    <x v="0"/>
    <x v="0"/>
    <x v="0"/>
    <x v="0"/>
    <s v="DK1_Rural"/>
    <x v="3"/>
    <s v="GNR_GT_NGAS_BP_E-41"/>
    <x v="0"/>
    <x v="10"/>
    <n v="6.3157894736842097"/>
    <n v="2305.2631578947398"/>
    <n v="8298.9473684210498"/>
  </r>
  <r>
    <x v="0"/>
    <x v="0"/>
    <x v="0"/>
    <x v="0"/>
    <x v="0"/>
    <s v="DK1_Rural"/>
    <x v="3"/>
    <s v="GNR_GT_NGAS_BP_E-41"/>
    <x v="0"/>
    <x v="11"/>
    <n v="6.3157894736842097"/>
    <n v="2305.2631578947398"/>
    <n v="8298.9473684210498"/>
  </r>
  <r>
    <x v="0"/>
    <x v="0"/>
    <x v="0"/>
    <x v="0"/>
    <x v="0"/>
    <s v="DK1_Rural"/>
    <x v="3"/>
    <s v="GNR_GT_NGAS_BP_E-41"/>
    <x v="0"/>
    <x v="0"/>
    <n v="6.3157894736842097"/>
    <n v="2305.2631578947398"/>
    <n v="8298.9473684210498"/>
  </r>
  <r>
    <x v="0"/>
    <x v="0"/>
    <x v="0"/>
    <x v="0"/>
    <x v="0"/>
    <s v="DK1_Rural"/>
    <x v="3"/>
    <s v="GNR_GT_NGAS_BP_E-41"/>
    <x v="0"/>
    <x v="1"/>
    <n v="6.3157894736842097"/>
    <n v="2305.2631578947398"/>
    <n v="8298.9473684210498"/>
  </r>
  <r>
    <x v="0"/>
    <x v="0"/>
    <x v="0"/>
    <x v="0"/>
    <x v="0"/>
    <s v="DK1_Rural"/>
    <x v="3"/>
    <s v="GNR_GT_NGAS_BP_E-41"/>
    <x v="0"/>
    <x v="2"/>
    <n v="6.3157894736842097"/>
    <n v="2305.2631578947398"/>
    <n v="8298.9473684210498"/>
  </r>
  <r>
    <x v="0"/>
    <x v="0"/>
    <x v="0"/>
    <x v="0"/>
    <x v="0"/>
    <s v="DK1_Rural"/>
    <x v="3"/>
    <s v="GNR_GT_NGAS_BP_E-41"/>
    <x v="0"/>
    <x v="3"/>
    <n v="6.3157894736842097"/>
    <n v="2305.2631578947398"/>
    <n v="8298.9473684210498"/>
  </r>
  <r>
    <x v="0"/>
    <x v="0"/>
    <x v="0"/>
    <x v="0"/>
    <x v="0"/>
    <s v="DK1_Rural"/>
    <x v="3"/>
    <s v="GNR_GT_NGAS_BP_E-41"/>
    <x v="0"/>
    <x v="12"/>
    <n v="6.3157894736842097"/>
    <n v="2305.2631578947398"/>
    <n v="8298.9473684210498"/>
  </r>
  <r>
    <x v="0"/>
    <x v="0"/>
    <x v="0"/>
    <x v="0"/>
    <x v="0"/>
    <s v="DK1_Rural"/>
    <x v="3"/>
    <s v="GNR_GT_NGAS_BP_E-41"/>
    <x v="0"/>
    <x v="13"/>
    <n v="6.3157894736842097"/>
    <n v="2305.2631578947398"/>
    <n v="8298.9473684210498"/>
  </r>
  <r>
    <x v="0"/>
    <x v="0"/>
    <x v="0"/>
    <x v="0"/>
    <x v="0"/>
    <s v="DK1_Rural"/>
    <x v="3"/>
    <s v="GNR_GT_NGAS_BP_E-41"/>
    <x v="0"/>
    <x v="14"/>
    <n v="6.3157894736842097"/>
    <n v="2305.2631578947398"/>
    <n v="8298.9473684210498"/>
  </r>
  <r>
    <x v="0"/>
    <x v="0"/>
    <x v="0"/>
    <x v="0"/>
    <x v="0"/>
    <s v="DK1_Rural"/>
    <x v="3"/>
    <s v="GNR_GT_NGAS_BP_E-41"/>
    <x v="0"/>
    <x v="15"/>
    <n v="6.3157894736842097"/>
    <n v="2305.2631578947398"/>
    <n v="8298.9473684210498"/>
  </r>
  <r>
    <x v="0"/>
    <x v="0"/>
    <x v="0"/>
    <x v="0"/>
    <x v="0"/>
    <s v="DK1_Rural"/>
    <x v="3"/>
    <s v="GNR_GT_NGAS_BP_E-41"/>
    <x v="0"/>
    <x v="4"/>
    <n v="6.3157894736842097"/>
    <n v="2305.2631578947398"/>
    <n v="8298.9473684210498"/>
  </r>
  <r>
    <x v="0"/>
    <x v="0"/>
    <x v="0"/>
    <x v="0"/>
    <x v="0"/>
    <s v="DK1_Rural"/>
    <x v="3"/>
    <s v="GNR_GT_NGAS_BP_E-41"/>
    <x v="0"/>
    <x v="16"/>
    <n v="6.3157894736842097"/>
    <n v="2305.2631578947398"/>
    <n v="8298.9473684210498"/>
  </r>
  <r>
    <x v="0"/>
    <x v="0"/>
    <x v="0"/>
    <x v="0"/>
    <x v="0"/>
    <s v="DK1_Rural"/>
    <x v="3"/>
    <s v="GNR_GT_NGAS_BP_E-41"/>
    <x v="0"/>
    <x v="5"/>
    <n v="6.3157894736842097"/>
    <n v="2305.2631578947398"/>
    <n v="8298.9473684210498"/>
  </r>
  <r>
    <x v="0"/>
    <x v="0"/>
    <x v="0"/>
    <x v="0"/>
    <x v="0"/>
    <s v="DK1_Rural"/>
    <x v="3"/>
    <s v="GNR_GT_NGAS_BP_E-41"/>
    <x v="0"/>
    <x v="17"/>
    <n v="6.3157894736842097"/>
    <n v="2305.2631578947398"/>
    <n v="8298.9473684210498"/>
  </r>
  <r>
    <x v="0"/>
    <x v="0"/>
    <x v="0"/>
    <x v="0"/>
    <x v="0"/>
    <s v="DK1_Rural"/>
    <x v="3"/>
    <s v="GNR_GT_NGAS_BP_E-41"/>
    <x v="0"/>
    <x v="18"/>
    <n v="6.3157894736842097"/>
    <n v="2305.2631578947398"/>
    <n v="8298.9473684210498"/>
  </r>
  <r>
    <x v="0"/>
    <x v="0"/>
    <x v="0"/>
    <x v="0"/>
    <x v="0"/>
    <s v="DK1_Rural"/>
    <x v="3"/>
    <s v="GNR_GT_NGAS_BP_E-41"/>
    <x v="0"/>
    <x v="19"/>
    <n v="6.3157894736842097"/>
    <n v="2305.2631578947398"/>
    <n v="8298.9473684210498"/>
  </r>
  <r>
    <x v="0"/>
    <x v="0"/>
    <x v="0"/>
    <x v="0"/>
    <x v="0"/>
    <s v="DK1_Rural"/>
    <x v="3"/>
    <s v="GNR_GT_NGAS_BP_E-41"/>
    <x v="0"/>
    <x v="20"/>
    <n v="6.3157894736842097"/>
    <n v="2305.2631578947398"/>
    <n v="8298.9473684210498"/>
  </r>
  <r>
    <x v="0"/>
    <x v="0"/>
    <x v="0"/>
    <x v="0"/>
    <x v="0"/>
    <s v="DK1_Rural"/>
    <x v="3"/>
    <s v="GNR_GT_NGAS_BP_E-41"/>
    <x v="0"/>
    <x v="21"/>
    <n v="6.3157894736842097"/>
    <n v="2305.2631578947398"/>
    <n v="8298.9473684210498"/>
  </r>
  <r>
    <x v="0"/>
    <x v="0"/>
    <x v="0"/>
    <x v="0"/>
    <x v="0"/>
    <s v="DK1_Rural"/>
    <x v="3"/>
    <s v="GNR_GT_NGAS_BP_E-41"/>
    <x v="0"/>
    <x v="22"/>
    <n v="6.3157894736842097"/>
    <n v="2305.2631578947398"/>
    <n v="8298.9473684210498"/>
  </r>
  <r>
    <x v="0"/>
    <x v="0"/>
    <x v="0"/>
    <x v="0"/>
    <x v="0"/>
    <s v="DK1_Rural"/>
    <x v="3"/>
    <s v="GNR_GT_NGAS_BP_E-41"/>
    <x v="0"/>
    <x v="23"/>
    <n v="6.3157894736842097"/>
    <n v="2305.2631578947398"/>
    <n v="8298.9473684210498"/>
  </r>
  <r>
    <x v="0"/>
    <x v="0"/>
    <x v="0"/>
    <x v="0"/>
    <x v="0"/>
    <s v="DK1_Rural"/>
    <x v="4"/>
    <s v="GNR_ST_STRW_BP_E-26"/>
    <x v="0"/>
    <x v="6"/>
    <n v="5.1725323534207099"/>
    <n v="1887.97430899856"/>
    <n v="6796.7075123948098"/>
  </r>
  <r>
    <x v="0"/>
    <x v="0"/>
    <x v="0"/>
    <x v="0"/>
    <x v="0"/>
    <s v="DK1_Rural"/>
    <x v="4"/>
    <s v="GNR_ST_STRW_BP_E-26"/>
    <x v="0"/>
    <x v="7"/>
    <n v="5.1725323534207099"/>
    <n v="1887.97430899856"/>
    <n v="6796.7075123948098"/>
  </r>
  <r>
    <x v="0"/>
    <x v="0"/>
    <x v="0"/>
    <x v="0"/>
    <x v="0"/>
    <s v="DK1_Rural"/>
    <x v="4"/>
    <s v="GNR_ST_STRW_BP_E-26"/>
    <x v="0"/>
    <x v="8"/>
    <n v="5.1725323534207099"/>
    <n v="1887.97430899856"/>
    <n v="6796.7075123948098"/>
  </r>
  <r>
    <x v="0"/>
    <x v="0"/>
    <x v="0"/>
    <x v="0"/>
    <x v="0"/>
    <s v="DK1_Rural"/>
    <x v="4"/>
    <s v="GNR_ST_STRW_BP_E-26"/>
    <x v="0"/>
    <x v="9"/>
    <n v="5.1725323534207099"/>
    <n v="1887.97430899856"/>
    <n v="6796.7075123948098"/>
  </r>
  <r>
    <x v="0"/>
    <x v="0"/>
    <x v="0"/>
    <x v="0"/>
    <x v="0"/>
    <s v="DK1_Rural"/>
    <x v="4"/>
    <s v="GNR_ST_STRW_BP_E-26"/>
    <x v="0"/>
    <x v="10"/>
    <n v="3.31873297198374"/>
    <n v="1211.33753477406"/>
    <n v="4360.8151251866302"/>
  </r>
  <r>
    <x v="0"/>
    <x v="0"/>
    <x v="0"/>
    <x v="0"/>
    <x v="0"/>
    <s v="DK1_Rural"/>
    <x v="4"/>
    <s v="GNR_ST_STRW_BP_E-26"/>
    <x v="0"/>
    <x v="11"/>
    <n v="5.1725323534207099"/>
    <n v="1887.97430899856"/>
    <n v="6796.7075123948098"/>
  </r>
  <r>
    <x v="0"/>
    <x v="0"/>
    <x v="0"/>
    <x v="0"/>
    <x v="0"/>
    <s v="DK1_Rural"/>
    <x v="4"/>
    <s v="GNR_ST_STRW_BP_E-26"/>
    <x v="0"/>
    <x v="0"/>
    <n v="5.1725323534207099"/>
    <n v="1887.97430899856"/>
    <n v="6796.7075123948098"/>
  </r>
  <r>
    <x v="0"/>
    <x v="0"/>
    <x v="0"/>
    <x v="0"/>
    <x v="0"/>
    <s v="DK1_Rural"/>
    <x v="4"/>
    <s v="GNR_ST_STRW_BP_E-26"/>
    <x v="0"/>
    <x v="1"/>
    <n v="5.1725323534207099"/>
    <n v="1887.97430899856"/>
    <n v="6796.7075123948098"/>
  </r>
  <r>
    <x v="0"/>
    <x v="0"/>
    <x v="0"/>
    <x v="0"/>
    <x v="0"/>
    <s v="DK1_Rural"/>
    <x v="4"/>
    <s v="GNR_ST_STRW_BP_E-26"/>
    <x v="0"/>
    <x v="2"/>
    <n v="5.1725323534207099"/>
    <n v="1887.97430899856"/>
    <n v="6796.7075123948098"/>
  </r>
  <r>
    <x v="0"/>
    <x v="0"/>
    <x v="0"/>
    <x v="0"/>
    <x v="0"/>
    <s v="DK1_Rural"/>
    <x v="4"/>
    <s v="GNR_ST_STRW_BP_E-26"/>
    <x v="0"/>
    <x v="3"/>
    <n v="5.1725323534207099"/>
    <n v="1887.97430899856"/>
    <n v="6796.7075123948098"/>
  </r>
  <r>
    <x v="0"/>
    <x v="0"/>
    <x v="0"/>
    <x v="0"/>
    <x v="0"/>
    <s v="DK1_Rural"/>
    <x v="4"/>
    <s v="GNR_ST_STRW_BP_E-26"/>
    <x v="0"/>
    <x v="12"/>
    <n v="5.1725323534207099"/>
    <n v="1887.97430899856"/>
    <n v="6796.7075123948098"/>
  </r>
  <r>
    <x v="0"/>
    <x v="0"/>
    <x v="0"/>
    <x v="0"/>
    <x v="0"/>
    <s v="DK1_Rural"/>
    <x v="4"/>
    <s v="GNR_ST_STRW_BP_E-26"/>
    <x v="0"/>
    <x v="13"/>
    <n v="5.1725323534207099"/>
    <n v="1887.97430899856"/>
    <n v="6796.7075123948098"/>
  </r>
  <r>
    <x v="0"/>
    <x v="0"/>
    <x v="0"/>
    <x v="0"/>
    <x v="0"/>
    <s v="DK1_Rural"/>
    <x v="4"/>
    <s v="GNR_ST_STRW_BP_E-26"/>
    <x v="0"/>
    <x v="14"/>
    <n v="5.1725323534207099"/>
    <n v="1887.97430899856"/>
    <n v="6796.7075123948098"/>
  </r>
  <r>
    <x v="0"/>
    <x v="0"/>
    <x v="0"/>
    <x v="0"/>
    <x v="0"/>
    <s v="DK1_Rural"/>
    <x v="4"/>
    <s v="GNR_ST_STRW_BP_E-26"/>
    <x v="0"/>
    <x v="15"/>
    <n v="5.1725323534207099"/>
    <n v="1887.97430899856"/>
    <n v="6796.7075123948098"/>
  </r>
  <r>
    <x v="0"/>
    <x v="0"/>
    <x v="0"/>
    <x v="0"/>
    <x v="0"/>
    <s v="DK1_Rural"/>
    <x v="4"/>
    <s v="GNR_ST_STRW_BP_E-26"/>
    <x v="0"/>
    <x v="4"/>
    <n v="5.1725323534207099"/>
    <n v="1887.97430899856"/>
    <n v="6796.7075123948098"/>
  </r>
  <r>
    <x v="0"/>
    <x v="0"/>
    <x v="0"/>
    <x v="0"/>
    <x v="0"/>
    <s v="DK1_Rural"/>
    <x v="4"/>
    <s v="GNR_ST_STRW_BP_E-26"/>
    <x v="0"/>
    <x v="16"/>
    <n v="5.1725323534207099"/>
    <n v="1887.97430899856"/>
    <n v="6796.7075123948098"/>
  </r>
  <r>
    <x v="0"/>
    <x v="0"/>
    <x v="0"/>
    <x v="0"/>
    <x v="0"/>
    <s v="DK1_Rural"/>
    <x v="4"/>
    <s v="GNR_ST_STRW_BP_E-26"/>
    <x v="0"/>
    <x v="5"/>
    <n v="5.1725323534207099"/>
    <n v="1887.97430899856"/>
    <n v="6796.7075123948098"/>
  </r>
  <r>
    <x v="0"/>
    <x v="0"/>
    <x v="0"/>
    <x v="0"/>
    <x v="0"/>
    <s v="DK1_Rural"/>
    <x v="4"/>
    <s v="GNR_ST_STRW_BP_E-26"/>
    <x v="0"/>
    <x v="17"/>
    <n v="5.1725323534207099"/>
    <n v="1887.97430899856"/>
    <n v="6796.7075123948098"/>
  </r>
  <r>
    <x v="0"/>
    <x v="0"/>
    <x v="0"/>
    <x v="0"/>
    <x v="0"/>
    <s v="DK1_Rural"/>
    <x v="4"/>
    <s v="GNR_ST_STRW_BP_E-26"/>
    <x v="0"/>
    <x v="18"/>
    <n v="5.1725323534207099"/>
    <n v="1887.97430899856"/>
    <n v="6796.7075123948098"/>
  </r>
  <r>
    <x v="0"/>
    <x v="0"/>
    <x v="0"/>
    <x v="0"/>
    <x v="0"/>
    <s v="DK1_Rural"/>
    <x v="4"/>
    <s v="GNR_ST_STRW_BP_E-26"/>
    <x v="0"/>
    <x v="19"/>
    <n v="5.1725323534207099"/>
    <n v="1887.97430899856"/>
    <n v="6796.7075123948098"/>
  </r>
  <r>
    <x v="0"/>
    <x v="0"/>
    <x v="0"/>
    <x v="0"/>
    <x v="0"/>
    <s v="DK1_Rural"/>
    <x v="4"/>
    <s v="GNR_ST_STRW_BP_E-26"/>
    <x v="0"/>
    <x v="20"/>
    <n v="5.1725323534207099"/>
    <n v="1887.97430899856"/>
    <n v="6796.7075123948098"/>
  </r>
  <r>
    <x v="0"/>
    <x v="0"/>
    <x v="0"/>
    <x v="0"/>
    <x v="0"/>
    <s v="DK1_Rural"/>
    <x v="4"/>
    <s v="GNR_ST_STRW_BP_E-26"/>
    <x v="0"/>
    <x v="21"/>
    <n v="5.1725323534207099"/>
    <n v="1887.97430899856"/>
    <n v="6796.7075123948098"/>
  </r>
  <r>
    <x v="0"/>
    <x v="0"/>
    <x v="0"/>
    <x v="0"/>
    <x v="0"/>
    <s v="DK1_Rural"/>
    <x v="4"/>
    <s v="GNR_ST_STRW_BP_E-26"/>
    <x v="0"/>
    <x v="22"/>
    <n v="5.1725323534207099"/>
    <n v="1887.97430899856"/>
    <n v="6796.7075123948098"/>
  </r>
  <r>
    <x v="0"/>
    <x v="0"/>
    <x v="0"/>
    <x v="0"/>
    <x v="0"/>
    <s v="DK1_Rural"/>
    <x v="5"/>
    <s v="GNR_EH_HEAT"/>
    <x v="0"/>
    <x v="1"/>
    <n v="62.665158505816898"/>
    <n v="22872.782854623201"/>
    <n v="82342.018276643401"/>
  </r>
  <r>
    <x v="0"/>
    <x v="0"/>
    <x v="0"/>
    <x v="0"/>
    <x v="0"/>
    <s v="DK1_Rural"/>
    <x v="5"/>
    <s v="GNR_EH_HEAT"/>
    <x v="0"/>
    <x v="3"/>
    <n v="79.371405614053998"/>
    <n v="28970.563049129702"/>
    <n v="104294.026976867"/>
  </r>
  <r>
    <x v="0"/>
    <x v="0"/>
    <x v="0"/>
    <x v="0"/>
    <x v="0"/>
    <s v="DK1_Rural"/>
    <x v="5"/>
    <s v="GNR_EH_HEAT"/>
    <x v="0"/>
    <x v="12"/>
    <n v="8.5664466119566391"/>
    <n v="3126.7530133641699"/>
    <n v="11256.310848110999"/>
  </r>
  <r>
    <x v="0"/>
    <x v="0"/>
    <x v="0"/>
    <x v="0"/>
    <x v="0"/>
    <s v="DK1_Rural"/>
    <x v="5"/>
    <s v="GNR_EH_HEAT"/>
    <x v="0"/>
    <x v="14"/>
    <n v="87.01"/>
    <n v="31758.65"/>
    <n v="114331.14"/>
  </r>
  <r>
    <x v="0"/>
    <x v="0"/>
    <x v="0"/>
    <x v="0"/>
    <x v="0"/>
    <s v="DK1_Rural"/>
    <x v="5"/>
    <s v="GNR_EH_HEAT"/>
    <x v="0"/>
    <x v="16"/>
    <n v="87.01"/>
    <n v="31758.65"/>
    <n v="114331.14"/>
  </r>
  <r>
    <x v="0"/>
    <x v="0"/>
    <x v="0"/>
    <x v="0"/>
    <x v="0"/>
    <s v="DK1_Rural"/>
    <x v="5"/>
    <s v="GNR_EH_HEAT"/>
    <x v="0"/>
    <x v="20"/>
    <n v="87.01"/>
    <n v="31758.65"/>
    <n v="114331.14"/>
  </r>
  <r>
    <x v="0"/>
    <x v="0"/>
    <x v="0"/>
    <x v="0"/>
    <x v="0"/>
    <s v="DK1_Rural"/>
    <x v="5"/>
    <s v="GNR_EH_HEAT"/>
    <x v="0"/>
    <x v="22"/>
    <n v="87.01"/>
    <n v="31758.65"/>
    <n v="114331.14"/>
  </r>
  <r>
    <x v="0"/>
    <x v="0"/>
    <x v="0"/>
    <x v="0"/>
    <x v="0"/>
    <s v="DK1_Rural"/>
    <x v="5"/>
    <s v="GNR_EH_HEAT"/>
    <x v="0"/>
    <x v="23"/>
    <n v="87.01"/>
    <n v="31758.65"/>
    <n v="114331.14"/>
  </r>
  <r>
    <x v="0"/>
    <x v="0"/>
    <x v="0"/>
    <x v="0"/>
    <x v="0"/>
    <s v="DK1_Rural"/>
    <x v="6"/>
    <s v="GNR_ST_WOODCHI_BP_E-27"/>
    <x v="0"/>
    <x v="0"/>
    <n v="13.823529411764699"/>
    <n v="5045.5882352941198"/>
    <n v="18164.1176470588"/>
  </r>
  <r>
    <x v="0"/>
    <x v="0"/>
    <x v="0"/>
    <x v="0"/>
    <x v="0"/>
    <s v="DK1_Rural"/>
    <x v="6"/>
    <s v="GNR_ST_WOODCHI_BP_E-27"/>
    <x v="0"/>
    <x v="1"/>
    <n v="13.823529411764699"/>
    <n v="5045.5882352941198"/>
    <n v="18164.1176470588"/>
  </r>
  <r>
    <x v="0"/>
    <x v="0"/>
    <x v="0"/>
    <x v="0"/>
    <x v="0"/>
    <s v="DK1_Rural"/>
    <x v="6"/>
    <s v="GNR_ST_WOODCHI_BP_E-27"/>
    <x v="0"/>
    <x v="2"/>
    <n v="13.823529411764699"/>
    <n v="5045.5882352941198"/>
    <n v="18164.1176470588"/>
  </r>
  <r>
    <x v="0"/>
    <x v="0"/>
    <x v="0"/>
    <x v="0"/>
    <x v="0"/>
    <s v="DK1_Rural"/>
    <x v="6"/>
    <s v="GNR_ST_WOODCHI_BP_E-27"/>
    <x v="0"/>
    <x v="3"/>
    <n v="13.823529411764699"/>
    <n v="5045.5882352941198"/>
    <n v="18164.1176470588"/>
  </r>
  <r>
    <x v="0"/>
    <x v="0"/>
    <x v="0"/>
    <x v="0"/>
    <x v="0"/>
    <s v="DK1_Rural"/>
    <x v="7"/>
    <s v="GNR_ST_WOODPEL_BP_E-30"/>
    <x v="0"/>
    <x v="0"/>
    <n v="3.82"/>
    <n v="1394.3"/>
    <n v="5019.4799999999996"/>
  </r>
  <r>
    <x v="0"/>
    <x v="0"/>
    <x v="0"/>
    <x v="0"/>
    <x v="0"/>
    <s v="DK1_Rural"/>
    <x v="7"/>
    <s v="GNR_ST_WOODPEL_BP_E-30"/>
    <x v="0"/>
    <x v="1"/>
    <n v="3.82"/>
    <n v="1394.3"/>
    <n v="5019.4799999999996"/>
  </r>
  <r>
    <x v="0"/>
    <x v="0"/>
    <x v="0"/>
    <x v="0"/>
    <x v="0"/>
    <s v="DK1_Rural"/>
    <x v="7"/>
    <s v="GNR_ST_WOODPEL_BP_E-30"/>
    <x v="0"/>
    <x v="2"/>
    <n v="3.82"/>
    <n v="1394.3"/>
    <n v="5019.4799999999996"/>
  </r>
  <r>
    <x v="0"/>
    <x v="0"/>
    <x v="0"/>
    <x v="0"/>
    <x v="0"/>
    <s v="DK1_Small"/>
    <x v="1"/>
    <s v="GNR_HS_HEAT-E-100"/>
    <x v="0"/>
    <x v="1"/>
    <n v="5.6175528643622004"/>
    <n v="2050.4067954922002"/>
    <n v="7381.4644637719302"/>
  </r>
  <r>
    <x v="0"/>
    <x v="0"/>
    <x v="0"/>
    <x v="0"/>
    <x v="0"/>
    <s v="DK1_Small"/>
    <x v="1"/>
    <s v="GNR_HS_HEAT-E-100"/>
    <x v="0"/>
    <x v="12"/>
    <n v="7.0265788015634598"/>
    <n v="2564.7012625706602"/>
    <n v="9232.9245452543801"/>
  </r>
  <r>
    <x v="0"/>
    <x v="0"/>
    <x v="0"/>
    <x v="0"/>
    <x v="0"/>
    <s v="DK1_Small"/>
    <x v="1"/>
    <s v="GNR_HS_HEAT-E-100"/>
    <x v="0"/>
    <x v="13"/>
    <n v="0.106846549778375"/>
    <n v="38.998990669106803"/>
    <n v="140.39636640878501"/>
  </r>
  <r>
    <x v="0"/>
    <x v="0"/>
    <x v="0"/>
    <x v="0"/>
    <x v="0"/>
    <s v="DK1_Small"/>
    <x v="1"/>
    <s v="GNR_HS_HEAT-E-100"/>
    <x v="0"/>
    <x v="5"/>
    <n v="14.7008368105976"/>
    <n v="5365.8054358681102"/>
    <n v="19316.899569125198"/>
  </r>
  <r>
    <x v="0"/>
    <x v="0"/>
    <x v="0"/>
    <x v="0"/>
    <x v="0"/>
    <s v="DK1_Small"/>
    <x v="1"/>
    <s v="GNR_HS_HEAT-E-100"/>
    <x v="0"/>
    <x v="20"/>
    <n v="18.114188320208001"/>
    <n v="6611.6787368759196"/>
    <n v="23802.0434527533"/>
  </r>
  <r>
    <x v="0"/>
    <x v="0"/>
    <x v="0"/>
    <x v="0"/>
    <x v="0"/>
    <s v="DK1_Small"/>
    <x v="1"/>
    <s v="GNR_HS_HEAT-E-100"/>
    <x v="0"/>
    <x v="21"/>
    <n v="5.9900116512669301"/>
    <n v="2186.35425271243"/>
    <n v="7870.8753097647505"/>
  </r>
  <r>
    <x v="0"/>
    <x v="0"/>
    <x v="0"/>
    <x v="0"/>
    <x v="0"/>
    <s v="DK1_Small"/>
    <x v="1"/>
    <s v="GNR_HS_HEAT-E-100"/>
    <x v="0"/>
    <x v="22"/>
    <n v="2.5821349659429602"/>
    <n v="942.47926256918095"/>
    <n v="3392.9253452490502"/>
  </r>
  <r>
    <x v="0"/>
    <x v="0"/>
    <x v="0"/>
    <x v="0"/>
    <x v="0"/>
    <s v="DK1_Small"/>
    <x v="2"/>
    <s v="GNR_BO_MSW_E-105"/>
    <x v="0"/>
    <x v="10"/>
    <n v="0.52428872081907096"/>
    <n v="191.36538309896099"/>
    <n v="688.91537915625895"/>
  </r>
  <r>
    <x v="0"/>
    <x v="0"/>
    <x v="0"/>
    <x v="0"/>
    <x v="0"/>
    <s v="DK1_Small"/>
    <x v="2"/>
    <s v="GNR_BO_MSW_E-105"/>
    <x v="0"/>
    <x v="2"/>
    <n v="6.89550662135869"/>
    <n v="2516.8599167959201"/>
    <n v="9060.6957004653195"/>
  </r>
  <r>
    <x v="0"/>
    <x v="0"/>
    <x v="0"/>
    <x v="0"/>
    <x v="0"/>
    <s v="DK1_Small"/>
    <x v="2"/>
    <s v="GNR_BO_MSW_E-105"/>
    <x v="0"/>
    <x v="3"/>
    <n v="6.7316663961027299"/>
    <n v="2457.0582345775001"/>
    <n v="8845.4096444789902"/>
  </r>
  <r>
    <x v="0"/>
    <x v="0"/>
    <x v="0"/>
    <x v="0"/>
    <x v="0"/>
    <s v="DK1_Small"/>
    <x v="2"/>
    <s v="GNR_BO_MSW_E-105"/>
    <x v="0"/>
    <x v="13"/>
    <n v="16.396232738634801"/>
    <n v="5984.6249496016899"/>
    <n v="21544.6498185661"/>
  </r>
  <r>
    <x v="0"/>
    <x v="0"/>
    <x v="0"/>
    <x v="0"/>
    <x v="0"/>
    <s v="DK1_Small"/>
    <x v="2"/>
    <s v="GNR_BO_MSW_E-105"/>
    <x v="0"/>
    <x v="14"/>
    <n v="14.668068765546399"/>
    <n v="5353.8450994244304"/>
    <n v="19273.842357927901"/>
  </r>
  <r>
    <x v="0"/>
    <x v="0"/>
    <x v="0"/>
    <x v="0"/>
    <x v="0"/>
    <s v="DK1_Small"/>
    <x v="2"/>
    <s v="GNR_BO_MSW_E-105"/>
    <x v="0"/>
    <x v="15"/>
    <n v="20.638393557964498"/>
    <n v="7533.01364865706"/>
    <n v="27118.849135165401"/>
  </r>
  <r>
    <x v="0"/>
    <x v="0"/>
    <x v="0"/>
    <x v="0"/>
    <x v="0"/>
    <s v="DK1_Small"/>
    <x v="2"/>
    <s v="GNR_BO_MSW_E-105"/>
    <x v="0"/>
    <x v="4"/>
    <n v="13.914403729369001"/>
    <n v="5078.7573612196702"/>
    <n v="18283.526500390799"/>
  </r>
  <r>
    <x v="0"/>
    <x v="0"/>
    <x v="0"/>
    <x v="0"/>
    <x v="0"/>
    <s v="DK1_Small"/>
    <x v="2"/>
    <s v="GNR_BO_MSW_E-105"/>
    <x v="0"/>
    <x v="16"/>
    <n v="14.405924405136799"/>
    <n v="5258.1624078749401"/>
    <n v="18929.384668349801"/>
  </r>
  <r>
    <x v="0"/>
    <x v="0"/>
    <x v="0"/>
    <x v="0"/>
    <x v="0"/>
    <s v="DK1_Small"/>
    <x v="2"/>
    <s v="GNR_BO_MSW_E-105"/>
    <x v="0"/>
    <x v="17"/>
    <n v="15.585574026979801"/>
    <n v="5688.7345198476096"/>
    <n v="20479.444271451401"/>
  </r>
  <r>
    <x v="0"/>
    <x v="0"/>
    <x v="0"/>
    <x v="0"/>
    <x v="0"/>
    <s v="DK1_Small"/>
    <x v="2"/>
    <s v="GNR_BO_MSW_E-105"/>
    <x v="0"/>
    <x v="18"/>
    <n v="22.702780396189599"/>
    <n v="8286.5148446092207"/>
    <n v="29831.453440593199"/>
  </r>
  <r>
    <x v="0"/>
    <x v="0"/>
    <x v="0"/>
    <x v="0"/>
    <x v="0"/>
    <s v="DK1_Small"/>
    <x v="2"/>
    <s v="GNR_BO_MSW_E-105"/>
    <x v="0"/>
    <x v="19"/>
    <n v="20.637327789149801"/>
    <n v="7532.6246430396704"/>
    <n v="27117.448714942799"/>
  </r>
  <r>
    <x v="0"/>
    <x v="0"/>
    <x v="0"/>
    <x v="0"/>
    <x v="0"/>
    <s v="DK1_Small"/>
    <x v="2"/>
    <s v="GNR_BO_MSW_E-105"/>
    <x v="0"/>
    <x v="23"/>
    <n v="0.58328421782024098"/>
    <n v="212.898739504388"/>
    <n v="766.43546221579697"/>
  </r>
  <r>
    <x v="0"/>
    <x v="0"/>
    <x v="0"/>
    <x v="0"/>
    <x v="0"/>
    <s v="DK1_Small"/>
    <x v="2"/>
    <s v="GNR_ST_MSW_BP_E-20"/>
    <x v="0"/>
    <x v="0"/>
    <n v="9.7714128923103996"/>
    <n v="3566.5657056933001"/>
    <n v="12839.6365404959"/>
  </r>
  <r>
    <x v="0"/>
    <x v="0"/>
    <x v="0"/>
    <x v="0"/>
    <x v="0"/>
    <s v="DK1_Small"/>
    <x v="2"/>
    <s v="GNR_ST_MSW_BP_E-20"/>
    <x v="0"/>
    <x v="1"/>
    <n v="9.7714128923103996"/>
    <n v="3566.5657056933001"/>
    <n v="12839.6365404959"/>
  </r>
  <r>
    <x v="0"/>
    <x v="0"/>
    <x v="0"/>
    <x v="0"/>
    <x v="0"/>
    <s v="DK1_Small"/>
    <x v="2"/>
    <s v="GNR_ST_MSW_BP_E-20"/>
    <x v="0"/>
    <x v="2"/>
    <n v="9.7714128923103996"/>
    <n v="3566.5657056933001"/>
    <n v="12839.6365404959"/>
  </r>
  <r>
    <x v="0"/>
    <x v="0"/>
    <x v="0"/>
    <x v="0"/>
    <x v="0"/>
    <s v="DK1_Small"/>
    <x v="2"/>
    <s v="GNR_ST_MSW_BP_E-20"/>
    <x v="0"/>
    <x v="3"/>
    <n v="9.7714128923103996"/>
    <n v="3566.5657056933001"/>
    <n v="12839.6365404959"/>
  </r>
  <r>
    <x v="0"/>
    <x v="0"/>
    <x v="0"/>
    <x v="0"/>
    <x v="0"/>
    <s v="DK1_Small"/>
    <x v="2"/>
    <s v="GNR_ST_MSW_BP_E-20"/>
    <x v="0"/>
    <x v="12"/>
    <n v="9.7714128923103996"/>
    <n v="3566.5657056933001"/>
    <n v="12839.6365404959"/>
  </r>
  <r>
    <x v="0"/>
    <x v="0"/>
    <x v="0"/>
    <x v="0"/>
    <x v="0"/>
    <s v="DK1_Small"/>
    <x v="3"/>
    <s v="GNR_ENG_NGAS_BP_E-38"/>
    <x v="0"/>
    <x v="6"/>
    <n v="4.3222222222222202"/>
    <n v="1577.6111111111099"/>
    <n v="5679.4"/>
  </r>
  <r>
    <x v="0"/>
    <x v="0"/>
    <x v="0"/>
    <x v="0"/>
    <x v="0"/>
    <s v="DK1_Small"/>
    <x v="3"/>
    <s v="GNR_ENG_NGAS_BP_E-38"/>
    <x v="0"/>
    <x v="7"/>
    <n v="4.3222222222222202"/>
    <n v="1577.6111111111099"/>
    <n v="5679.4"/>
  </r>
  <r>
    <x v="0"/>
    <x v="0"/>
    <x v="0"/>
    <x v="0"/>
    <x v="0"/>
    <s v="DK1_Small"/>
    <x v="3"/>
    <s v="GNR_ENG_NGAS_BP_E-38"/>
    <x v="0"/>
    <x v="8"/>
    <n v="4.3222222222222202"/>
    <n v="1577.6111111111099"/>
    <n v="5679.4"/>
  </r>
  <r>
    <x v="0"/>
    <x v="0"/>
    <x v="0"/>
    <x v="0"/>
    <x v="0"/>
    <s v="DK1_Small"/>
    <x v="3"/>
    <s v="GNR_ENG_NGAS_BP_E-38"/>
    <x v="0"/>
    <x v="9"/>
    <n v="4.3222222222222202"/>
    <n v="1577.6111111111099"/>
    <n v="5679.4"/>
  </r>
  <r>
    <x v="0"/>
    <x v="0"/>
    <x v="0"/>
    <x v="0"/>
    <x v="0"/>
    <s v="DK1_Small"/>
    <x v="3"/>
    <s v="GNR_ENG_NGAS_BP_E-38"/>
    <x v="0"/>
    <x v="10"/>
    <n v="4.3222222222222202"/>
    <n v="1577.6111111111099"/>
    <n v="5679.4"/>
  </r>
  <r>
    <x v="0"/>
    <x v="0"/>
    <x v="0"/>
    <x v="0"/>
    <x v="0"/>
    <s v="DK1_Small"/>
    <x v="3"/>
    <s v="GNR_ENG_NGAS_BP_E-38"/>
    <x v="0"/>
    <x v="11"/>
    <n v="4.3222222222222202"/>
    <n v="1577.6111111111099"/>
    <n v="5679.4"/>
  </r>
  <r>
    <x v="0"/>
    <x v="0"/>
    <x v="0"/>
    <x v="0"/>
    <x v="0"/>
    <s v="DK1_Small"/>
    <x v="3"/>
    <s v="GNR_ENG_NGAS_BP_E-38"/>
    <x v="0"/>
    <x v="0"/>
    <n v="4.3222222222222202"/>
    <n v="1577.6111111111099"/>
    <n v="5679.4"/>
  </r>
  <r>
    <x v="0"/>
    <x v="0"/>
    <x v="0"/>
    <x v="0"/>
    <x v="0"/>
    <s v="DK1_Small"/>
    <x v="3"/>
    <s v="GNR_ENG_NGAS_BP_E-38"/>
    <x v="0"/>
    <x v="1"/>
    <n v="4.3222222222222202"/>
    <n v="1577.6111111111099"/>
    <n v="5679.4"/>
  </r>
  <r>
    <x v="0"/>
    <x v="0"/>
    <x v="0"/>
    <x v="0"/>
    <x v="0"/>
    <s v="DK1_Small"/>
    <x v="3"/>
    <s v="GNR_ENG_NGAS_BP_E-38"/>
    <x v="0"/>
    <x v="2"/>
    <n v="4.3222222222222202"/>
    <n v="1577.6111111111099"/>
    <n v="5679.4"/>
  </r>
  <r>
    <x v="0"/>
    <x v="0"/>
    <x v="0"/>
    <x v="0"/>
    <x v="0"/>
    <s v="DK1_Small"/>
    <x v="3"/>
    <s v="GNR_ENG_NGAS_BP_E-38"/>
    <x v="0"/>
    <x v="3"/>
    <n v="4.3222222222222202"/>
    <n v="1577.6111111111099"/>
    <n v="5679.4"/>
  </r>
  <r>
    <x v="0"/>
    <x v="0"/>
    <x v="0"/>
    <x v="0"/>
    <x v="0"/>
    <s v="DK1_Small"/>
    <x v="3"/>
    <s v="GNR_ENG_NGAS_BP_E-38"/>
    <x v="0"/>
    <x v="12"/>
    <n v="4.3222222222222202"/>
    <n v="1577.6111111111099"/>
    <n v="5679.4"/>
  </r>
  <r>
    <x v="0"/>
    <x v="0"/>
    <x v="0"/>
    <x v="0"/>
    <x v="0"/>
    <s v="DK1_Small"/>
    <x v="3"/>
    <s v="GNR_ENG_NGAS_BP_E-38"/>
    <x v="0"/>
    <x v="13"/>
    <n v="4.3222222222222202"/>
    <n v="1577.6111111111099"/>
    <n v="5679.4"/>
  </r>
  <r>
    <x v="0"/>
    <x v="0"/>
    <x v="0"/>
    <x v="0"/>
    <x v="0"/>
    <s v="DK1_Small"/>
    <x v="3"/>
    <s v="GNR_ENG_NGAS_BP_E-38"/>
    <x v="0"/>
    <x v="14"/>
    <n v="4.3222222222222202"/>
    <n v="1577.6111111111099"/>
    <n v="5679.4"/>
  </r>
  <r>
    <x v="0"/>
    <x v="0"/>
    <x v="0"/>
    <x v="0"/>
    <x v="0"/>
    <s v="DK1_Small"/>
    <x v="3"/>
    <s v="GNR_ENG_NGAS_BP_E-38"/>
    <x v="0"/>
    <x v="15"/>
    <n v="4.3222222222222202"/>
    <n v="1577.6111111111099"/>
    <n v="5679.4"/>
  </r>
  <r>
    <x v="0"/>
    <x v="0"/>
    <x v="0"/>
    <x v="0"/>
    <x v="0"/>
    <s v="DK1_Small"/>
    <x v="3"/>
    <s v="GNR_ENG_NGAS_BP_E-38"/>
    <x v="0"/>
    <x v="4"/>
    <n v="4.3222222222222202"/>
    <n v="1577.6111111111099"/>
    <n v="5679.4"/>
  </r>
  <r>
    <x v="0"/>
    <x v="0"/>
    <x v="0"/>
    <x v="0"/>
    <x v="0"/>
    <s v="DK1_Small"/>
    <x v="3"/>
    <s v="GNR_ENG_NGAS_BP_E-38"/>
    <x v="0"/>
    <x v="16"/>
    <n v="4.3222222222222202"/>
    <n v="1577.6111111111099"/>
    <n v="5679.4"/>
  </r>
  <r>
    <x v="0"/>
    <x v="0"/>
    <x v="0"/>
    <x v="0"/>
    <x v="0"/>
    <s v="DK1_Small"/>
    <x v="3"/>
    <s v="GNR_ENG_NGAS_BP_E-38"/>
    <x v="0"/>
    <x v="5"/>
    <n v="4.3222222222222202"/>
    <n v="1577.6111111111099"/>
    <n v="5679.4"/>
  </r>
  <r>
    <x v="0"/>
    <x v="0"/>
    <x v="0"/>
    <x v="0"/>
    <x v="0"/>
    <s v="DK1_Small"/>
    <x v="3"/>
    <s v="GNR_ENG_NGAS_BP_E-38"/>
    <x v="0"/>
    <x v="17"/>
    <n v="4.3222222222222202"/>
    <n v="1577.6111111111099"/>
    <n v="5679.4"/>
  </r>
  <r>
    <x v="0"/>
    <x v="0"/>
    <x v="0"/>
    <x v="0"/>
    <x v="0"/>
    <s v="DK1_Small"/>
    <x v="3"/>
    <s v="GNR_ENG_NGAS_BP_E-38"/>
    <x v="0"/>
    <x v="18"/>
    <n v="4.3222222222222202"/>
    <n v="1577.6111111111099"/>
    <n v="5679.4"/>
  </r>
  <r>
    <x v="0"/>
    <x v="0"/>
    <x v="0"/>
    <x v="0"/>
    <x v="0"/>
    <s v="DK1_Small"/>
    <x v="3"/>
    <s v="GNR_ENG_NGAS_BP_E-38"/>
    <x v="0"/>
    <x v="19"/>
    <n v="4.3222222222222202"/>
    <n v="1577.6111111111099"/>
    <n v="5679.4"/>
  </r>
  <r>
    <x v="0"/>
    <x v="0"/>
    <x v="0"/>
    <x v="0"/>
    <x v="0"/>
    <s v="DK1_Small"/>
    <x v="3"/>
    <s v="GNR_ENG_NGAS_BP_E-38"/>
    <x v="0"/>
    <x v="20"/>
    <n v="4.3222222222222202"/>
    <n v="1577.6111111111099"/>
    <n v="5679.4"/>
  </r>
  <r>
    <x v="0"/>
    <x v="0"/>
    <x v="0"/>
    <x v="0"/>
    <x v="0"/>
    <s v="DK1_Small"/>
    <x v="3"/>
    <s v="GNR_ENG_NGAS_BP_E-38"/>
    <x v="0"/>
    <x v="21"/>
    <n v="4.3222222222222202"/>
    <n v="1577.6111111111099"/>
    <n v="5679.4"/>
  </r>
  <r>
    <x v="0"/>
    <x v="0"/>
    <x v="0"/>
    <x v="0"/>
    <x v="0"/>
    <s v="DK1_Small"/>
    <x v="3"/>
    <s v="GNR_ENG_NGAS_BP_E-38"/>
    <x v="0"/>
    <x v="22"/>
    <n v="4.3222222222222202"/>
    <n v="1577.6111111111099"/>
    <n v="5679.4"/>
  </r>
  <r>
    <x v="0"/>
    <x v="0"/>
    <x v="0"/>
    <x v="0"/>
    <x v="0"/>
    <s v="DK1_Small"/>
    <x v="3"/>
    <s v="GNR_ENG_NGAS_BP_E-38"/>
    <x v="0"/>
    <x v="23"/>
    <n v="4.3222222222222202"/>
    <n v="1577.6111111111099"/>
    <n v="5679.4"/>
  </r>
  <r>
    <x v="0"/>
    <x v="0"/>
    <x v="0"/>
    <x v="0"/>
    <x v="0"/>
    <s v="DK1_Small"/>
    <x v="3"/>
    <s v="GNR_ENG_NGAS_BP_E-39"/>
    <x v="0"/>
    <x v="6"/>
    <n v="0.82222222222222197"/>
    <n v="300.11111111111097"/>
    <n v="1080.4000000000001"/>
  </r>
  <r>
    <x v="0"/>
    <x v="0"/>
    <x v="0"/>
    <x v="0"/>
    <x v="0"/>
    <s v="DK1_Small"/>
    <x v="3"/>
    <s v="GNR_ENG_NGAS_BP_E-39"/>
    <x v="0"/>
    <x v="7"/>
    <n v="0.82222222222222197"/>
    <n v="300.11111111111097"/>
    <n v="1080.4000000000001"/>
  </r>
  <r>
    <x v="0"/>
    <x v="0"/>
    <x v="0"/>
    <x v="0"/>
    <x v="0"/>
    <s v="DK1_Small"/>
    <x v="3"/>
    <s v="GNR_ENG_NGAS_BP_E-39"/>
    <x v="0"/>
    <x v="8"/>
    <n v="0.82222222222222197"/>
    <n v="300.11111111111097"/>
    <n v="1080.4000000000001"/>
  </r>
  <r>
    <x v="0"/>
    <x v="0"/>
    <x v="0"/>
    <x v="0"/>
    <x v="0"/>
    <s v="DK1_Small"/>
    <x v="3"/>
    <s v="GNR_ENG_NGAS_BP_E-39"/>
    <x v="0"/>
    <x v="9"/>
    <n v="0.82222222222222197"/>
    <n v="300.11111111111097"/>
    <n v="1080.4000000000001"/>
  </r>
  <r>
    <x v="0"/>
    <x v="0"/>
    <x v="0"/>
    <x v="0"/>
    <x v="0"/>
    <s v="DK1_Small"/>
    <x v="3"/>
    <s v="GNR_ENG_NGAS_BP_E-39"/>
    <x v="0"/>
    <x v="10"/>
    <n v="0.82222222222222197"/>
    <n v="300.11111111111097"/>
    <n v="1080.4000000000001"/>
  </r>
  <r>
    <x v="0"/>
    <x v="0"/>
    <x v="0"/>
    <x v="0"/>
    <x v="0"/>
    <s v="DK1_Small"/>
    <x v="3"/>
    <s v="GNR_ENG_NGAS_BP_E-39"/>
    <x v="0"/>
    <x v="11"/>
    <n v="0.82222222222222197"/>
    <n v="300.11111111111097"/>
    <n v="1080.4000000000001"/>
  </r>
  <r>
    <x v="0"/>
    <x v="0"/>
    <x v="0"/>
    <x v="0"/>
    <x v="0"/>
    <s v="DK1_Small"/>
    <x v="3"/>
    <s v="GNR_ENG_NGAS_BP_E-39"/>
    <x v="0"/>
    <x v="0"/>
    <n v="0.82222222222222197"/>
    <n v="300.11111111111097"/>
    <n v="1080.4000000000001"/>
  </r>
  <r>
    <x v="0"/>
    <x v="0"/>
    <x v="0"/>
    <x v="0"/>
    <x v="0"/>
    <s v="DK1_Small"/>
    <x v="3"/>
    <s v="GNR_ENG_NGAS_BP_E-39"/>
    <x v="0"/>
    <x v="1"/>
    <n v="0.82222222222222197"/>
    <n v="300.11111111111097"/>
    <n v="1080.4000000000001"/>
  </r>
  <r>
    <x v="0"/>
    <x v="0"/>
    <x v="0"/>
    <x v="0"/>
    <x v="0"/>
    <s v="DK1_Small"/>
    <x v="3"/>
    <s v="GNR_ENG_NGAS_BP_E-39"/>
    <x v="0"/>
    <x v="2"/>
    <n v="0.82222222222222197"/>
    <n v="300.11111111111097"/>
    <n v="1080.4000000000001"/>
  </r>
  <r>
    <x v="0"/>
    <x v="0"/>
    <x v="0"/>
    <x v="0"/>
    <x v="0"/>
    <s v="DK1_Small"/>
    <x v="3"/>
    <s v="GNR_ENG_NGAS_BP_E-39"/>
    <x v="0"/>
    <x v="3"/>
    <n v="0.82222222222222197"/>
    <n v="300.11111111111097"/>
    <n v="1080.4000000000001"/>
  </r>
  <r>
    <x v="0"/>
    <x v="0"/>
    <x v="0"/>
    <x v="0"/>
    <x v="0"/>
    <s v="DK1_Small"/>
    <x v="3"/>
    <s v="GNR_ENG_NGAS_BP_E-39"/>
    <x v="0"/>
    <x v="12"/>
    <n v="0.82222222222222197"/>
    <n v="300.11111111111097"/>
    <n v="1080.4000000000001"/>
  </r>
  <r>
    <x v="0"/>
    <x v="0"/>
    <x v="0"/>
    <x v="0"/>
    <x v="0"/>
    <s v="DK1_Small"/>
    <x v="3"/>
    <s v="GNR_ENG_NGAS_BP_E-39"/>
    <x v="0"/>
    <x v="13"/>
    <n v="0.82222222222222197"/>
    <n v="300.11111111111097"/>
    <n v="1080.4000000000001"/>
  </r>
  <r>
    <x v="0"/>
    <x v="0"/>
    <x v="0"/>
    <x v="0"/>
    <x v="0"/>
    <s v="DK1_Small"/>
    <x v="3"/>
    <s v="GNR_ENG_NGAS_BP_E-39"/>
    <x v="0"/>
    <x v="14"/>
    <n v="0.82222222222222197"/>
    <n v="300.11111111111097"/>
    <n v="1080.4000000000001"/>
  </r>
  <r>
    <x v="0"/>
    <x v="0"/>
    <x v="0"/>
    <x v="0"/>
    <x v="0"/>
    <s v="DK1_Small"/>
    <x v="3"/>
    <s v="GNR_ENG_NGAS_BP_E-39"/>
    <x v="0"/>
    <x v="15"/>
    <n v="0.82222222222222197"/>
    <n v="300.11111111111097"/>
    <n v="1080.4000000000001"/>
  </r>
  <r>
    <x v="0"/>
    <x v="0"/>
    <x v="0"/>
    <x v="0"/>
    <x v="0"/>
    <s v="DK1_Small"/>
    <x v="3"/>
    <s v="GNR_ENG_NGAS_BP_E-39"/>
    <x v="0"/>
    <x v="4"/>
    <n v="0.82222222222222197"/>
    <n v="300.11111111111097"/>
    <n v="1080.4000000000001"/>
  </r>
  <r>
    <x v="0"/>
    <x v="0"/>
    <x v="0"/>
    <x v="0"/>
    <x v="0"/>
    <s v="DK1_Small"/>
    <x v="3"/>
    <s v="GNR_ENG_NGAS_BP_E-39"/>
    <x v="0"/>
    <x v="16"/>
    <n v="0.82222222222222197"/>
    <n v="300.11111111111097"/>
    <n v="1080.4000000000001"/>
  </r>
  <r>
    <x v="0"/>
    <x v="0"/>
    <x v="0"/>
    <x v="0"/>
    <x v="0"/>
    <s v="DK1_Small"/>
    <x v="3"/>
    <s v="GNR_ENG_NGAS_BP_E-39"/>
    <x v="0"/>
    <x v="5"/>
    <n v="0.82222222222222197"/>
    <n v="300.11111111111097"/>
    <n v="1080.4000000000001"/>
  </r>
  <r>
    <x v="0"/>
    <x v="0"/>
    <x v="0"/>
    <x v="0"/>
    <x v="0"/>
    <s v="DK1_Small"/>
    <x v="3"/>
    <s v="GNR_ENG_NGAS_BP_E-39"/>
    <x v="0"/>
    <x v="17"/>
    <n v="0.82222222222222197"/>
    <n v="300.11111111111097"/>
    <n v="1080.4000000000001"/>
  </r>
  <r>
    <x v="0"/>
    <x v="0"/>
    <x v="0"/>
    <x v="0"/>
    <x v="0"/>
    <s v="DK1_Small"/>
    <x v="3"/>
    <s v="GNR_ENG_NGAS_BP_E-39"/>
    <x v="0"/>
    <x v="18"/>
    <n v="0.82222222222222197"/>
    <n v="300.11111111111097"/>
    <n v="1080.4000000000001"/>
  </r>
  <r>
    <x v="0"/>
    <x v="0"/>
    <x v="0"/>
    <x v="0"/>
    <x v="0"/>
    <s v="DK1_Small"/>
    <x v="3"/>
    <s v="GNR_ENG_NGAS_BP_E-39"/>
    <x v="0"/>
    <x v="19"/>
    <n v="0.82222222222222197"/>
    <n v="300.11111111111097"/>
    <n v="1080.4000000000001"/>
  </r>
  <r>
    <x v="0"/>
    <x v="0"/>
    <x v="0"/>
    <x v="0"/>
    <x v="0"/>
    <s v="DK1_Small"/>
    <x v="3"/>
    <s v="GNR_ENG_NGAS_BP_E-39"/>
    <x v="0"/>
    <x v="20"/>
    <n v="0.82222222222222197"/>
    <n v="300.11111111111097"/>
    <n v="1080.4000000000001"/>
  </r>
  <r>
    <x v="0"/>
    <x v="0"/>
    <x v="0"/>
    <x v="0"/>
    <x v="0"/>
    <s v="DK1_Small"/>
    <x v="3"/>
    <s v="GNR_ENG_NGAS_BP_E-39"/>
    <x v="0"/>
    <x v="21"/>
    <n v="0.82222222222222197"/>
    <n v="300.11111111111097"/>
    <n v="1080.4000000000001"/>
  </r>
  <r>
    <x v="0"/>
    <x v="0"/>
    <x v="0"/>
    <x v="0"/>
    <x v="0"/>
    <s v="DK1_Small"/>
    <x v="3"/>
    <s v="GNR_ENG_NGAS_BP_E-39"/>
    <x v="0"/>
    <x v="22"/>
    <n v="0.82222222222222197"/>
    <n v="300.11111111111097"/>
    <n v="1080.4000000000001"/>
  </r>
  <r>
    <x v="0"/>
    <x v="0"/>
    <x v="0"/>
    <x v="0"/>
    <x v="0"/>
    <s v="DK1_Small"/>
    <x v="3"/>
    <s v="GNR_ENG_NGAS_BP_E-39"/>
    <x v="0"/>
    <x v="23"/>
    <n v="0.82222222222222197"/>
    <n v="300.11111111111097"/>
    <n v="1080.4000000000001"/>
  </r>
  <r>
    <x v="0"/>
    <x v="0"/>
    <x v="0"/>
    <x v="0"/>
    <x v="0"/>
    <s v="DK1_Small"/>
    <x v="3"/>
    <s v="GNR_ENG_NGAS_BP_E-41"/>
    <x v="0"/>
    <x v="6"/>
    <n v="1.6444444444444399"/>
    <n v="600.22222222222194"/>
    <n v="2160.8000000000002"/>
  </r>
  <r>
    <x v="0"/>
    <x v="0"/>
    <x v="0"/>
    <x v="0"/>
    <x v="0"/>
    <s v="DK1_Small"/>
    <x v="3"/>
    <s v="GNR_ENG_NGAS_BP_E-41"/>
    <x v="0"/>
    <x v="7"/>
    <n v="1.6444444444444399"/>
    <n v="600.22222222222194"/>
    <n v="2160.8000000000002"/>
  </r>
  <r>
    <x v="0"/>
    <x v="0"/>
    <x v="0"/>
    <x v="0"/>
    <x v="0"/>
    <s v="DK1_Small"/>
    <x v="3"/>
    <s v="GNR_ENG_NGAS_BP_E-41"/>
    <x v="0"/>
    <x v="8"/>
    <n v="1.6444444444444399"/>
    <n v="600.22222222222194"/>
    <n v="2160.8000000000002"/>
  </r>
  <r>
    <x v="0"/>
    <x v="0"/>
    <x v="0"/>
    <x v="0"/>
    <x v="0"/>
    <s v="DK1_Small"/>
    <x v="3"/>
    <s v="GNR_ENG_NGAS_BP_E-41"/>
    <x v="0"/>
    <x v="9"/>
    <n v="1.6444444444444399"/>
    <n v="600.22222222222194"/>
    <n v="2160.8000000000002"/>
  </r>
  <r>
    <x v="0"/>
    <x v="0"/>
    <x v="0"/>
    <x v="0"/>
    <x v="0"/>
    <s v="DK1_Small"/>
    <x v="3"/>
    <s v="GNR_ENG_NGAS_BP_E-41"/>
    <x v="0"/>
    <x v="10"/>
    <n v="1.6444444444444399"/>
    <n v="600.22222222222194"/>
    <n v="2160.8000000000002"/>
  </r>
  <r>
    <x v="0"/>
    <x v="0"/>
    <x v="0"/>
    <x v="0"/>
    <x v="0"/>
    <s v="DK1_Small"/>
    <x v="3"/>
    <s v="GNR_ENG_NGAS_BP_E-41"/>
    <x v="0"/>
    <x v="11"/>
    <n v="1.6444444444444399"/>
    <n v="600.22222222222194"/>
    <n v="2160.8000000000002"/>
  </r>
  <r>
    <x v="0"/>
    <x v="0"/>
    <x v="0"/>
    <x v="0"/>
    <x v="0"/>
    <s v="DK1_Small"/>
    <x v="3"/>
    <s v="GNR_ENG_NGAS_BP_E-41"/>
    <x v="0"/>
    <x v="0"/>
    <n v="1.6444444444444399"/>
    <n v="600.22222222222194"/>
    <n v="2160.8000000000002"/>
  </r>
  <r>
    <x v="0"/>
    <x v="0"/>
    <x v="0"/>
    <x v="0"/>
    <x v="0"/>
    <s v="DK1_Small"/>
    <x v="3"/>
    <s v="GNR_ENG_NGAS_BP_E-41"/>
    <x v="0"/>
    <x v="1"/>
    <n v="1.6444444444444399"/>
    <n v="600.22222222222194"/>
    <n v="2160.8000000000002"/>
  </r>
  <r>
    <x v="0"/>
    <x v="0"/>
    <x v="0"/>
    <x v="0"/>
    <x v="0"/>
    <s v="DK1_Small"/>
    <x v="3"/>
    <s v="GNR_ENG_NGAS_BP_E-41"/>
    <x v="0"/>
    <x v="2"/>
    <n v="1.6444444444444399"/>
    <n v="600.22222222222194"/>
    <n v="2160.8000000000002"/>
  </r>
  <r>
    <x v="0"/>
    <x v="0"/>
    <x v="0"/>
    <x v="0"/>
    <x v="0"/>
    <s v="DK1_Small"/>
    <x v="3"/>
    <s v="GNR_ENG_NGAS_BP_E-41"/>
    <x v="0"/>
    <x v="3"/>
    <n v="1.6444444444444399"/>
    <n v="600.22222222222194"/>
    <n v="2160.8000000000002"/>
  </r>
  <r>
    <x v="0"/>
    <x v="0"/>
    <x v="0"/>
    <x v="0"/>
    <x v="0"/>
    <s v="DK1_Small"/>
    <x v="3"/>
    <s v="GNR_ENG_NGAS_BP_E-41"/>
    <x v="0"/>
    <x v="12"/>
    <n v="1.6444444444444399"/>
    <n v="600.22222222222194"/>
    <n v="2160.8000000000002"/>
  </r>
  <r>
    <x v="0"/>
    <x v="0"/>
    <x v="0"/>
    <x v="0"/>
    <x v="0"/>
    <s v="DK1_Small"/>
    <x v="3"/>
    <s v="GNR_ENG_NGAS_BP_E-41"/>
    <x v="0"/>
    <x v="13"/>
    <n v="1.6444444444444399"/>
    <n v="600.22222222222194"/>
    <n v="2160.8000000000002"/>
  </r>
  <r>
    <x v="0"/>
    <x v="0"/>
    <x v="0"/>
    <x v="0"/>
    <x v="0"/>
    <s v="DK1_Small"/>
    <x v="3"/>
    <s v="GNR_ENG_NGAS_BP_E-41"/>
    <x v="0"/>
    <x v="14"/>
    <n v="1.6444444444444399"/>
    <n v="600.22222222222194"/>
    <n v="2160.8000000000002"/>
  </r>
  <r>
    <x v="0"/>
    <x v="0"/>
    <x v="0"/>
    <x v="0"/>
    <x v="0"/>
    <s v="DK1_Small"/>
    <x v="3"/>
    <s v="GNR_ENG_NGAS_BP_E-41"/>
    <x v="0"/>
    <x v="15"/>
    <n v="1.6444444444444399"/>
    <n v="600.22222222222194"/>
    <n v="2160.8000000000002"/>
  </r>
  <r>
    <x v="0"/>
    <x v="0"/>
    <x v="0"/>
    <x v="0"/>
    <x v="0"/>
    <s v="DK1_Small"/>
    <x v="3"/>
    <s v="GNR_ENG_NGAS_BP_E-41"/>
    <x v="0"/>
    <x v="4"/>
    <n v="1.6444444444444399"/>
    <n v="600.22222222222194"/>
    <n v="2160.8000000000002"/>
  </r>
  <r>
    <x v="0"/>
    <x v="0"/>
    <x v="0"/>
    <x v="0"/>
    <x v="0"/>
    <s v="DK1_Small"/>
    <x v="3"/>
    <s v="GNR_ENG_NGAS_BP_E-41"/>
    <x v="0"/>
    <x v="16"/>
    <n v="1.6444444444444399"/>
    <n v="600.22222222222194"/>
    <n v="2160.8000000000002"/>
  </r>
  <r>
    <x v="0"/>
    <x v="0"/>
    <x v="0"/>
    <x v="0"/>
    <x v="0"/>
    <s v="DK1_Small"/>
    <x v="3"/>
    <s v="GNR_ENG_NGAS_BP_E-41"/>
    <x v="0"/>
    <x v="5"/>
    <n v="1.6444444444444399"/>
    <n v="600.22222222222194"/>
    <n v="2160.8000000000002"/>
  </r>
  <r>
    <x v="0"/>
    <x v="0"/>
    <x v="0"/>
    <x v="0"/>
    <x v="0"/>
    <s v="DK1_Small"/>
    <x v="3"/>
    <s v="GNR_ENG_NGAS_BP_E-41"/>
    <x v="0"/>
    <x v="17"/>
    <n v="1.6444444444444399"/>
    <n v="600.22222222222194"/>
    <n v="2160.8000000000002"/>
  </r>
  <r>
    <x v="0"/>
    <x v="0"/>
    <x v="0"/>
    <x v="0"/>
    <x v="0"/>
    <s v="DK1_Small"/>
    <x v="3"/>
    <s v="GNR_ENG_NGAS_BP_E-41"/>
    <x v="0"/>
    <x v="18"/>
    <n v="1.6444444444444399"/>
    <n v="600.22222222222194"/>
    <n v="2160.8000000000002"/>
  </r>
  <r>
    <x v="0"/>
    <x v="0"/>
    <x v="0"/>
    <x v="0"/>
    <x v="0"/>
    <s v="DK1_Small"/>
    <x v="3"/>
    <s v="GNR_ENG_NGAS_BP_E-41"/>
    <x v="0"/>
    <x v="19"/>
    <n v="1.6444444444444399"/>
    <n v="600.22222222222194"/>
    <n v="2160.8000000000002"/>
  </r>
  <r>
    <x v="0"/>
    <x v="0"/>
    <x v="0"/>
    <x v="0"/>
    <x v="0"/>
    <s v="DK1_Small"/>
    <x v="3"/>
    <s v="GNR_ENG_NGAS_BP_E-41"/>
    <x v="0"/>
    <x v="20"/>
    <n v="1.6444444444444399"/>
    <n v="600.22222222222194"/>
    <n v="2160.8000000000002"/>
  </r>
  <r>
    <x v="0"/>
    <x v="0"/>
    <x v="0"/>
    <x v="0"/>
    <x v="0"/>
    <s v="DK1_Small"/>
    <x v="3"/>
    <s v="GNR_ENG_NGAS_BP_E-41"/>
    <x v="0"/>
    <x v="21"/>
    <n v="1.6444444444444399"/>
    <n v="600.22222222222194"/>
    <n v="2160.8000000000002"/>
  </r>
  <r>
    <x v="0"/>
    <x v="0"/>
    <x v="0"/>
    <x v="0"/>
    <x v="0"/>
    <s v="DK1_Small"/>
    <x v="3"/>
    <s v="GNR_ENG_NGAS_BP_E-41"/>
    <x v="0"/>
    <x v="22"/>
    <n v="1.6444444444444399"/>
    <n v="600.22222222222194"/>
    <n v="2160.8000000000002"/>
  </r>
  <r>
    <x v="0"/>
    <x v="0"/>
    <x v="0"/>
    <x v="0"/>
    <x v="0"/>
    <s v="DK1_Small"/>
    <x v="3"/>
    <s v="GNR_ENG_NGAS_BP_E-41"/>
    <x v="0"/>
    <x v="23"/>
    <n v="1.6444444444444399"/>
    <n v="600.22222222222194"/>
    <n v="2160.8000000000002"/>
  </r>
  <r>
    <x v="0"/>
    <x v="0"/>
    <x v="0"/>
    <x v="0"/>
    <x v="0"/>
    <s v="DK1_Small"/>
    <x v="3"/>
    <s v="GNR_ENG_NGAS_BP_E-42"/>
    <x v="0"/>
    <x v="6"/>
    <n v="15.6666666666667"/>
    <n v="5718.3333333333303"/>
    <n v="20586"/>
  </r>
  <r>
    <x v="0"/>
    <x v="0"/>
    <x v="0"/>
    <x v="0"/>
    <x v="0"/>
    <s v="DK1_Small"/>
    <x v="3"/>
    <s v="GNR_ENG_NGAS_BP_E-42"/>
    <x v="0"/>
    <x v="7"/>
    <n v="15.6666666666667"/>
    <n v="5718.3333333333303"/>
    <n v="20586"/>
  </r>
  <r>
    <x v="0"/>
    <x v="0"/>
    <x v="0"/>
    <x v="0"/>
    <x v="0"/>
    <s v="DK1_Small"/>
    <x v="3"/>
    <s v="GNR_ENG_NGAS_BP_E-42"/>
    <x v="0"/>
    <x v="8"/>
    <n v="15.6666666666667"/>
    <n v="5718.3333333333303"/>
    <n v="20586"/>
  </r>
  <r>
    <x v="0"/>
    <x v="0"/>
    <x v="0"/>
    <x v="0"/>
    <x v="0"/>
    <s v="DK1_Small"/>
    <x v="3"/>
    <s v="GNR_ENG_NGAS_BP_E-42"/>
    <x v="0"/>
    <x v="9"/>
    <n v="15.6666666666667"/>
    <n v="5718.3333333333303"/>
    <n v="20586"/>
  </r>
  <r>
    <x v="0"/>
    <x v="0"/>
    <x v="0"/>
    <x v="0"/>
    <x v="0"/>
    <s v="DK1_Small"/>
    <x v="3"/>
    <s v="GNR_ENG_NGAS_BP_E-42"/>
    <x v="0"/>
    <x v="10"/>
    <n v="15.6666666666667"/>
    <n v="5718.3333333333303"/>
    <n v="20586"/>
  </r>
  <r>
    <x v="0"/>
    <x v="0"/>
    <x v="0"/>
    <x v="0"/>
    <x v="0"/>
    <s v="DK1_Small"/>
    <x v="3"/>
    <s v="GNR_ENG_NGAS_BP_E-42"/>
    <x v="0"/>
    <x v="11"/>
    <n v="15.6666666666667"/>
    <n v="5718.3333333333303"/>
    <n v="20586"/>
  </r>
  <r>
    <x v="0"/>
    <x v="0"/>
    <x v="0"/>
    <x v="0"/>
    <x v="0"/>
    <s v="DK1_Small"/>
    <x v="3"/>
    <s v="GNR_ENG_NGAS_BP_E-42"/>
    <x v="0"/>
    <x v="0"/>
    <n v="15.6666666666667"/>
    <n v="5718.3333333333303"/>
    <n v="20586"/>
  </r>
  <r>
    <x v="0"/>
    <x v="0"/>
    <x v="0"/>
    <x v="0"/>
    <x v="0"/>
    <s v="DK1_Small"/>
    <x v="3"/>
    <s v="GNR_ENG_NGAS_BP_E-42"/>
    <x v="0"/>
    <x v="1"/>
    <n v="15.6666666666667"/>
    <n v="5718.3333333333303"/>
    <n v="20586"/>
  </r>
  <r>
    <x v="0"/>
    <x v="0"/>
    <x v="0"/>
    <x v="0"/>
    <x v="0"/>
    <s v="DK1_Small"/>
    <x v="3"/>
    <s v="GNR_ENG_NGAS_BP_E-42"/>
    <x v="0"/>
    <x v="2"/>
    <n v="15.6666666666667"/>
    <n v="5718.3333333333303"/>
    <n v="20586"/>
  </r>
  <r>
    <x v="0"/>
    <x v="0"/>
    <x v="0"/>
    <x v="0"/>
    <x v="0"/>
    <s v="DK1_Small"/>
    <x v="3"/>
    <s v="GNR_ENG_NGAS_BP_E-42"/>
    <x v="0"/>
    <x v="3"/>
    <n v="15.6666666666667"/>
    <n v="5718.3333333333303"/>
    <n v="20586"/>
  </r>
  <r>
    <x v="0"/>
    <x v="0"/>
    <x v="0"/>
    <x v="0"/>
    <x v="0"/>
    <s v="DK1_Small"/>
    <x v="3"/>
    <s v="GNR_ENG_NGAS_BP_E-42"/>
    <x v="0"/>
    <x v="12"/>
    <n v="15.6666666666667"/>
    <n v="5718.3333333333303"/>
    <n v="20586"/>
  </r>
  <r>
    <x v="0"/>
    <x v="0"/>
    <x v="0"/>
    <x v="0"/>
    <x v="0"/>
    <s v="DK1_Small"/>
    <x v="3"/>
    <s v="GNR_ENG_NGAS_BP_E-42"/>
    <x v="0"/>
    <x v="13"/>
    <n v="15.6666666666667"/>
    <n v="5718.3333333333303"/>
    <n v="20586"/>
  </r>
  <r>
    <x v="0"/>
    <x v="0"/>
    <x v="0"/>
    <x v="0"/>
    <x v="0"/>
    <s v="DK1_Small"/>
    <x v="3"/>
    <s v="GNR_ENG_NGAS_BP_E-42"/>
    <x v="0"/>
    <x v="14"/>
    <n v="15.6666666666667"/>
    <n v="5718.3333333333303"/>
    <n v="20586"/>
  </r>
  <r>
    <x v="0"/>
    <x v="0"/>
    <x v="0"/>
    <x v="0"/>
    <x v="0"/>
    <s v="DK1_Small"/>
    <x v="3"/>
    <s v="GNR_ENG_NGAS_BP_E-42"/>
    <x v="0"/>
    <x v="15"/>
    <n v="15.6666666666667"/>
    <n v="5718.3333333333303"/>
    <n v="20586"/>
  </r>
  <r>
    <x v="0"/>
    <x v="0"/>
    <x v="0"/>
    <x v="0"/>
    <x v="0"/>
    <s v="DK1_Small"/>
    <x v="3"/>
    <s v="GNR_ENG_NGAS_BP_E-42"/>
    <x v="0"/>
    <x v="4"/>
    <n v="15.6666666666667"/>
    <n v="5718.3333333333303"/>
    <n v="20586"/>
  </r>
  <r>
    <x v="0"/>
    <x v="0"/>
    <x v="0"/>
    <x v="0"/>
    <x v="0"/>
    <s v="DK1_Small"/>
    <x v="3"/>
    <s v="GNR_ENG_NGAS_BP_E-42"/>
    <x v="0"/>
    <x v="16"/>
    <n v="15.6666666666667"/>
    <n v="5718.3333333333303"/>
    <n v="20586"/>
  </r>
  <r>
    <x v="0"/>
    <x v="0"/>
    <x v="0"/>
    <x v="0"/>
    <x v="0"/>
    <s v="DK1_Small"/>
    <x v="3"/>
    <s v="GNR_ENG_NGAS_BP_E-42"/>
    <x v="0"/>
    <x v="5"/>
    <n v="15.6666666666667"/>
    <n v="5718.3333333333303"/>
    <n v="20586"/>
  </r>
  <r>
    <x v="0"/>
    <x v="0"/>
    <x v="0"/>
    <x v="0"/>
    <x v="0"/>
    <s v="DK1_Small"/>
    <x v="3"/>
    <s v="GNR_ENG_NGAS_BP_E-42"/>
    <x v="0"/>
    <x v="17"/>
    <n v="15.6666666666667"/>
    <n v="5718.3333333333303"/>
    <n v="20586"/>
  </r>
  <r>
    <x v="0"/>
    <x v="0"/>
    <x v="0"/>
    <x v="0"/>
    <x v="0"/>
    <s v="DK1_Small"/>
    <x v="3"/>
    <s v="GNR_ENG_NGAS_BP_E-42"/>
    <x v="0"/>
    <x v="18"/>
    <n v="15.6666666666667"/>
    <n v="5718.3333333333303"/>
    <n v="20586"/>
  </r>
  <r>
    <x v="0"/>
    <x v="0"/>
    <x v="0"/>
    <x v="0"/>
    <x v="0"/>
    <s v="DK1_Small"/>
    <x v="3"/>
    <s v="GNR_ENG_NGAS_BP_E-42"/>
    <x v="0"/>
    <x v="19"/>
    <n v="15.6666666666667"/>
    <n v="5718.3333333333303"/>
    <n v="20586"/>
  </r>
  <r>
    <x v="0"/>
    <x v="0"/>
    <x v="0"/>
    <x v="0"/>
    <x v="0"/>
    <s v="DK1_Small"/>
    <x v="3"/>
    <s v="GNR_ENG_NGAS_BP_E-42"/>
    <x v="0"/>
    <x v="20"/>
    <n v="15.6666666666667"/>
    <n v="5718.3333333333303"/>
    <n v="20586"/>
  </r>
  <r>
    <x v="0"/>
    <x v="0"/>
    <x v="0"/>
    <x v="0"/>
    <x v="0"/>
    <s v="DK1_Small"/>
    <x v="3"/>
    <s v="GNR_ENG_NGAS_BP_E-42"/>
    <x v="0"/>
    <x v="21"/>
    <n v="15.6666666666667"/>
    <n v="5718.3333333333303"/>
    <n v="20586"/>
  </r>
  <r>
    <x v="0"/>
    <x v="0"/>
    <x v="0"/>
    <x v="0"/>
    <x v="0"/>
    <s v="DK1_Small"/>
    <x v="3"/>
    <s v="GNR_ENG_NGAS_BP_E-42"/>
    <x v="0"/>
    <x v="22"/>
    <n v="15.6666666666667"/>
    <n v="5718.3333333333303"/>
    <n v="20586"/>
  </r>
  <r>
    <x v="0"/>
    <x v="0"/>
    <x v="0"/>
    <x v="0"/>
    <x v="0"/>
    <s v="DK1_Small"/>
    <x v="3"/>
    <s v="GNR_ENG_NGAS_BP_E-42"/>
    <x v="0"/>
    <x v="23"/>
    <n v="15.6666666666667"/>
    <n v="5718.3333333333303"/>
    <n v="20586"/>
  </r>
  <r>
    <x v="0"/>
    <x v="0"/>
    <x v="0"/>
    <x v="0"/>
    <x v="0"/>
    <s v="DK1_Small"/>
    <x v="3"/>
    <s v="GNR_GT_NGAS_BP_E-31"/>
    <x v="0"/>
    <x v="0"/>
    <n v="6.5263157894736796"/>
    <n v="2382.10526315789"/>
    <n v="8575.5789473684199"/>
  </r>
  <r>
    <x v="0"/>
    <x v="0"/>
    <x v="0"/>
    <x v="0"/>
    <x v="0"/>
    <s v="DK1_Small"/>
    <x v="3"/>
    <s v="GNR_GT_NGAS_BP_E-31"/>
    <x v="0"/>
    <x v="1"/>
    <n v="6.5263157894736796"/>
    <n v="2382.10526315789"/>
    <n v="8575.5789473684199"/>
  </r>
  <r>
    <x v="0"/>
    <x v="0"/>
    <x v="0"/>
    <x v="0"/>
    <x v="0"/>
    <s v="DK1_Small"/>
    <x v="3"/>
    <s v="GNR_GT_NGAS_BP_E-31"/>
    <x v="0"/>
    <x v="2"/>
    <n v="6.5263157894736796"/>
    <n v="2382.10526315789"/>
    <n v="8575.5789473684199"/>
  </r>
  <r>
    <x v="0"/>
    <x v="0"/>
    <x v="0"/>
    <x v="0"/>
    <x v="0"/>
    <s v="DK1_Small"/>
    <x v="3"/>
    <s v="GNR_GT_NGAS_BP_E-31"/>
    <x v="0"/>
    <x v="3"/>
    <n v="6.5263157894736796"/>
    <n v="2382.10526315789"/>
    <n v="8575.5789473684199"/>
  </r>
  <r>
    <x v="0"/>
    <x v="0"/>
    <x v="0"/>
    <x v="0"/>
    <x v="0"/>
    <s v="DK1_Small"/>
    <x v="3"/>
    <s v="GNR_GT_NGAS_BP_E-31"/>
    <x v="0"/>
    <x v="12"/>
    <n v="6.5263157894736796"/>
    <n v="2382.10526315789"/>
    <n v="8575.5789473684199"/>
  </r>
  <r>
    <x v="0"/>
    <x v="0"/>
    <x v="0"/>
    <x v="0"/>
    <x v="0"/>
    <s v="DK1_Small"/>
    <x v="3"/>
    <s v="GNR_GT_NGAS_BP_E-31"/>
    <x v="0"/>
    <x v="13"/>
    <n v="6.5263157894736796"/>
    <n v="2382.10526315789"/>
    <n v="8575.5789473684199"/>
  </r>
  <r>
    <x v="0"/>
    <x v="0"/>
    <x v="0"/>
    <x v="0"/>
    <x v="0"/>
    <s v="DK1_Small"/>
    <x v="3"/>
    <s v="GNR_GT_NGAS_BP_E-31"/>
    <x v="0"/>
    <x v="14"/>
    <n v="6.5263157894736796"/>
    <n v="2382.10526315789"/>
    <n v="8575.5789473684199"/>
  </r>
  <r>
    <x v="0"/>
    <x v="0"/>
    <x v="0"/>
    <x v="0"/>
    <x v="0"/>
    <s v="DK1_Small"/>
    <x v="3"/>
    <s v="GNR_GT_NGAS_BP_E-31"/>
    <x v="0"/>
    <x v="15"/>
    <n v="6.5263157894736796"/>
    <n v="2382.10526315789"/>
    <n v="8575.5789473684199"/>
  </r>
  <r>
    <x v="0"/>
    <x v="0"/>
    <x v="0"/>
    <x v="0"/>
    <x v="0"/>
    <s v="DK1_Small"/>
    <x v="3"/>
    <s v="GNR_GT_NGAS_BP_E-31"/>
    <x v="0"/>
    <x v="4"/>
    <n v="6.5263157894736796"/>
    <n v="2382.10526315789"/>
    <n v="8575.5789473684199"/>
  </r>
  <r>
    <x v="0"/>
    <x v="0"/>
    <x v="0"/>
    <x v="0"/>
    <x v="0"/>
    <s v="DK1_Small"/>
    <x v="3"/>
    <s v="GNR_GT_NGAS_BP_E-31"/>
    <x v="0"/>
    <x v="16"/>
    <n v="6.5263157894736796"/>
    <n v="2382.10526315789"/>
    <n v="8575.5789473684199"/>
  </r>
  <r>
    <x v="0"/>
    <x v="0"/>
    <x v="0"/>
    <x v="0"/>
    <x v="0"/>
    <s v="DK1_Small"/>
    <x v="3"/>
    <s v="GNR_GT_NGAS_BP_E-31"/>
    <x v="0"/>
    <x v="5"/>
    <n v="6.5263157894736796"/>
    <n v="2382.10526315789"/>
    <n v="8575.5789473684199"/>
  </r>
  <r>
    <x v="0"/>
    <x v="0"/>
    <x v="0"/>
    <x v="0"/>
    <x v="0"/>
    <s v="DK1_Small"/>
    <x v="3"/>
    <s v="GNR_GT_NGAS_BP_E-31"/>
    <x v="0"/>
    <x v="17"/>
    <n v="6.5263157894736796"/>
    <n v="2382.10526315789"/>
    <n v="8575.5789473684199"/>
  </r>
  <r>
    <x v="0"/>
    <x v="0"/>
    <x v="0"/>
    <x v="0"/>
    <x v="0"/>
    <s v="DK1_Small"/>
    <x v="3"/>
    <s v="GNR_GT_NGAS_BP_E-31"/>
    <x v="0"/>
    <x v="18"/>
    <n v="6.5263157894736796"/>
    <n v="2382.10526315789"/>
    <n v="8575.5789473684199"/>
  </r>
  <r>
    <x v="0"/>
    <x v="0"/>
    <x v="0"/>
    <x v="0"/>
    <x v="0"/>
    <s v="DK1_Small"/>
    <x v="5"/>
    <s v="GNR_EH_HEAT"/>
    <x v="0"/>
    <x v="6"/>
    <n v="14"/>
    <n v="5110"/>
    <n v="18396"/>
  </r>
  <r>
    <x v="0"/>
    <x v="0"/>
    <x v="0"/>
    <x v="0"/>
    <x v="0"/>
    <s v="DK1_Small"/>
    <x v="5"/>
    <s v="GNR_EH_HEAT"/>
    <x v="0"/>
    <x v="7"/>
    <n v="14"/>
    <n v="5110"/>
    <n v="18396"/>
  </r>
  <r>
    <x v="0"/>
    <x v="0"/>
    <x v="0"/>
    <x v="0"/>
    <x v="0"/>
    <s v="DK1_Small"/>
    <x v="5"/>
    <s v="GNR_EH_HEAT"/>
    <x v="0"/>
    <x v="8"/>
    <n v="14"/>
    <n v="5110"/>
    <n v="18396"/>
  </r>
  <r>
    <x v="0"/>
    <x v="0"/>
    <x v="0"/>
    <x v="0"/>
    <x v="0"/>
    <s v="DK1_Small"/>
    <x v="5"/>
    <s v="GNR_EH_HEAT"/>
    <x v="0"/>
    <x v="9"/>
    <n v="14"/>
    <n v="5110"/>
    <n v="18396"/>
  </r>
  <r>
    <x v="0"/>
    <x v="0"/>
    <x v="0"/>
    <x v="0"/>
    <x v="0"/>
    <s v="DK1_Small"/>
    <x v="5"/>
    <s v="GNR_EH_HEAT"/>
    <x v="0"/>
    <x v="10"/>
    <n v="14"/>
    <n v="5110"/>
    <n v="18396"/>
  </r>
  <r>
    <x v="0"/>
    <x v="0"/>
    <x v="0"/>
    <x v="0"/>
    <x v="0"/>
    <s v="DK1_Small"/>
    <x v="5"/>
    <s v="GNR_EH_HEAT"/>
    <x v="0"/>
    <x v="11"/>
    <n v="14"/>
    <n v="5110"/>
    <n v="18396"/>
  </r>
  <r>
    <x v="0"/>
    <x v="0"/>
    <x v="0"/>
    <x v="0"/>
    <x v="0"/>
    <s v="DK1_Small"/>
    <x v="5"/>
    <s v="GNR_EH_HEAT"/>
    <x v="0"/>
    <x v="0"/>
    <n v="14"/>
    <n v="5110"/>
    <n v="18396"/>
  </r>
  <r>
    <x v="0"/>
    <x v="0"/>
    <x v="0"/>
    <x v="0"/>
    <x v="0"/>
    <s v="DK1_Small"/>
    <x v="5"/>
    <s v="GNR_EH_HEAT"/>
    <x v="0"/>
    <x v="1"/>
    <n v="14"/>
    <n v="5110"/>
    <n v="18396"/>
  </r>
  <r>
    <x v="0"/>
    <x v="0"/>
    <x v="0"/>
    <x v="0"/>
    <x v="0"/>
    <s v="DK1_Small"/>
    <x v="5"/>
    <s v="GNR_EH_HEAT"/>
    <x v="0"/>
    <x v="2"/>
    <n v="14"/>
    <n v="5110"/>
    <n v="18396"/>
  </r>
  <r>
    <x v="0"/>
    <x v="0"/>
    <x v="0"/>
    <x v="0"/>
    <x v="0"/>
    <s v="DK1_Small"/>
    <x v="5"/>
    <s v="GNR_EH_HEAT"/>
    <x v="0"/>
    <x v="3"/>
    <n v="14"/>
    <n v="5110"/>
    <n v="18396"/>
  </r>
  <r>
    <x v="0"/>
    <x v="0"/>
    <x v="0"/>
    <x v="0"/>
    <x v="0"/>
    <s v="DK1_Small"/>
    <x v="5"/>
    <s v="GNR_EH_HEAT"/>
    <x v="0"/>
    <x v="12"/>
    <n v="14"/>
    <n v="5110"/>
    <n v="18396"/>
  </r>
  <r>
    <x v="0"/>
    <x v="0"/>
    <x v="0"/>
    <x v="0"/>
    <x v="0"/>
    <s v="DK1_Small"/>
    <x v="5"/>
    <s v="GNR_EH_HEAT"/>
    <x v="0"/>
    <x v="13"/>
    <n v="14"/>
    <n v="5110"/>
    <n v="18396"/>
  </r>
  <r>
    <x v="0"/>
    <x v="0"/>
    <x v="0"/>
    <x v="0"/>
    <x v="0"/>
    <s v="DK1_Small"/>
    <x v="5"/>
    <s v="GNR_EH_HEAT"/>
    <x v="0"/>
    <x v="14"/>
    <n v="14"/>
    <n v="5110"/>
    <n v="18396"/>
  </r>
  <r>
    <x v="0"/>
    <x v="0"/>
    <x v="0"/>
    <x v="0"/>
    <x v="0"/>
    <s v="DK1_Small"/>
    <x v="5"/>
    <s v="GNR_EH_HEAT"/>
    <x v="0"/>
    <x v="15"/>
    <n v="14"/>
    <n v="5110"/>
    <n v="18396"/>
  </r>
  <r>
    <x v="0"/>
    <x v="0"/>
    <x v="0"/>
    <x v="0"/>
    <x v="0"/>
    <s v="DK1_Small"/>
    <x v="5"/>
    <s v="GNR_EH_HEAT"/>
    <x v="0"/>
    <x v="4"/>
    <n v="14"/>
    <n v="5110"/>
    <n v="18396"/>
  </r>
  <r>
    <x v="0"/>
    <x v="0"/>
    <x v="0"/>
    <x v="0"/>
    <x v="0"/>
    <s v="DK1_Small"/>
    <x v="5"/>
    <s v="GNR_EH_HEAT"/>
    <x v="0"/>
    <x v="16"/>
    <n v="14"/>
    <n v="5110"/>
    <n v="18396"/>
  </r>
  <r>
    <x v="0"/>
    <x v="0"/>
    <x v="0"/>
    <x v="0"/>
    <x v="0"/>
    <s v="DK1_Small"/>
    <x v="5"/>
    <s v="GNR_EH_HEAT"/>
    <x v="0"/>
    <x v="5"/>
    <n v="14"/>
    <n v="5110"/>
    <n v="18396"/>
  </r>
  <r>
    <x v="0"/>
    <x v="0"/>
    <x v="0"/>
    <x v="0"/>
    <x v="0"/>
    <s v="DK1_Small"/>
    <x v="5"/>
    <s v="GNR_EH_HEAT"/>
    <x v="0"/>
    <x v="17"/>
    <n v="14"/>
    <n v="5110"/>
    <n v="18396"/>
  </r>
  <r>
    <x v="0"/>
    <x v="0"/>
    <x v="0"/>
    <x v="0"/>
    <x v="0"/>
    <s v="DK1_Small"/>
    <x v="5"/>
    <s v="GNR_EH_HEAT"/>
    <x v="0"/>
    <x v="18"/>
    <n v="14"/>
    <n v="5110"/>
    <n v="18396"/>
  </r>
  <r>
    <x v="0"/>
    <x v="0"/>
    <x v="0"/>
    <x v="0"/>
    <x v="0"/>
    <s v="DK1_Small"/>
    <x v="5"/>
    <s v="GNR_EH_HEAT"/>
    <x v="0"/>
    <x v="19"/>
    <n v="14"/>
    <n v="5110"/>
    <n v="18396"/>
  </r>
  <r>
    <x v="0"/>
    <x v="0"/>
    <x v="0"/>
    <x v="0"/>
    <x v="0"/>
    <s v="DK1_Small"/>
    <x v="5"/>
    <s v="GNR_EH_HEAT"/>
    <x v="0"/>
    <x v="20"/>
    <n v="14"/>
    <n v="5110"/>
    <n v="18396"/>
  </r>
  <r>
    <x v="0"/>
    <x v="0"/>
    <x v="0"/>
    <x v="0"/>
    <x v="0"/>
    <s v="DK1_Small"/>
    <x v="5"/>
    <s v="GNR_EH_HEAT"/>
    <x v="0"/>
    <x v="21"/>
    <n v="14"/>
    <n v="5110"/>
    <n v="18396"/>
  </r>
  <r>
    <x v="0"/>
    <x v="0"/>
    <x v="0"/>
    <x v="0"/>
    <x v="0"/>
    <s v="DK1_Small"/>
    <x v="5"/>
    <s v="GNR_EH_HEAT"/>
    <x v="0"/>
    <x v="22"/>
    <n v="14"/>
    <n v="5110"/>
    <n v="18396"/>
  </r>
  <r>
    <x v="0"/>
    <x v="0"/>
    <x v="0"/>
    <x v="0"/>
    <x v="0"/>
    <s v="DK1_Small"/>
    <x v="5"/>
    <s v="GNR_EH_HEAT"/>
    <x v="0"/>
    <x v="23"/>
    <n v="14"/>
    <n v="5110"/>
    <n v="18396"/>
  </r>
  <r>
    <x v="0"/>
    <x v="0"/>
    <x v="0"/>
    <x v="0"/>
    <x v="0"/>
    <s v="DK1_Small"/>
    <x v="8"/>
    <s v="GNR_BO_WOODWST_E-100"/>
    <x v="0"/>
    <x v="6"/>
    <n v="1.75"/>
    <n v="638.75"/>
    <n v="2299.5"/>
  </r>
  <r>
    <x v="0"/>
    <x v="0"/>
    <x v="0"/>
    <x v="0"/>
    <x v="0"/>
    <s v="DK1_Small"/>
    <x v="8"/>
    <s v="GNR_BO_WOODWST_E-100"/>
    <x v="0"/>
    <x v="7"/>
    <n v="1.75"/>
    <n v="638.75"/>
    <n v="2299.5"/>
  </r>
  <r>
    <x v="0"/>
    <x v="0"/>
    <x v="0"/>
    <x v="0"/>
    <x v="0"/>
    <s v="DK1_Small"/>
    <x v="8"/>
    <s v="GNR_BO_WOODWST_E-100"/>
    <x v="0"/>
    <x v="8"/>
    <n v="1.75"/>
    <n v="638.75"/>
    <n v="2299.5"/>
  </r>
  <r>
    <x v="0"/>
    <x v="0"/>
    <x v="0"/>
    <x v="0"/>
    <x v="0"/>
    <s v="DK1_Small"/>
    <x v="8"/>
    <s v="GNR_BO_WOODWST_E-100"/>
    <x v="0"/>
    <x v="9"/>
    <n v="1.75"/>
    <n v="638.75"/>
    <n v="2299.5"/>
  </r>
  <r>
    <x v="0"/>
    <x v="0"/>
    <x v="0"/>
    <x v="0"/>
    <x v="0"/>
    <s v="DK1_Small"/>
    <x v="8"/>
    <s v="GNR_BO_WOODWST_E-100"/>
    <x v="0"/>
    <x v="10"/>
    <n v="1.75"/>
    <n v="638.75"/>
    <n v="2299.5"/>
  </r>
  <r>
    <x v="0"/>
    <x v="0"/>
    <x v="0"/>
    <x v="0"/>
    <x v="0"/>
    <s v="DK1_Small"/>
    <x v="8"/>
    <s v="GNR_BO_WOODWST_E-100"/>
    <x v="0"/>
    <x v="11"/>
    <n v="1.75"/>
    <n v="638.75"/>
    <n v="2299.5"/>
  </r>
  <r>
    <x v="0"/>
    <x v="0"/>
    <x v="0"/>
    <x v="0"/>
    <x v="0"/>
    <s v="DK1_Small"/>
    <x v="8"/>
    <s v="GNR_BO_WOODWST_E-100"/>
    <x v="0"/>
    <x v="0"/>
    <n v="1.75"/>
    <n v="638.75"/>
    <n v="2299.5"/>
  </r>
  <r>
    <x v="0"/>
    <x v="0"/>
    <x v="0"/>
    <x v="0"/>
    <x v="0"/>
    <s v="DK1_Small"/>
    <x v="8"/>
    <s v="GNR_BO_WOODWST_E-100"/>
    <x v="0"/>
    <x v="1"/>
    <n v="1.75"/>
    <n v="638.75"/>
    <n v="2299.5"/>
  </r>
  <r>
    <x v="0"/>
    <x v="0"/>
    <x v="0"/>
    <x v="0"/>
    <x v="0"/>
    <s v="DK1_Small"/>
    <x v="8"/>
    <s v="GNR_BO_WOODWST_E-100"/>
    <x v="0"/>
    <x v="2"/>
    <n v="1.75"/>
    <n v="638.75"/>
    <n v="2299.5"/>
  </r>
  <r>
    <x v="0"/>
    <x v="0"/>
    <x v="0"/>
    <x v="0"/>
    <x v="0"/>
    <s v="DK1_Small"/>
    <x v="8"/>
    <s v="GNR_BO_WOODWST_E-100"/>
    <x v="0"/>
    <x v="3"/>
    <n v="1.75"/>
    <n v="638.75"/>
    <n v="2299.5"/>
  </r>
  <r>
    <x v="0"/>
    <x v="0"/>
    <x v="0"/>
    <x v="0"/>
    <x v="0"/>
    <s v="DK1_Small"/>
    <x v="8"/>
    <s v="GNR_BO_WOODWST_E-100"/>
    <x v="0"/>
    <x v="12"/>
    <n v="1.75"/>
    <n v="638.75"/>
    <n v="2299.5"/>
  </r>
  <r>
    <x v="0"/>
    <x v="0"/>
    <x v="0"/>
    <x v="0"/>
    <x v="0"/>
    <s v="DK1_Small"/>
    <x v="8"/>
    <s v="GNR_BO_WOODWST_E-100"/>
    <x v="0"/>
    <x v="13"/>
    <n v="1.75"/>
    <n v="638.75"/>
    <n v="2299.5"/>
  </r>
  <r>
    <x v="0"/>
    <x v="0"/>
    <x v="0"/>
    <x v="0"/>
    <x v="0"/>
    <s v="DK1_Small"/>
    <x v="8"/>
    <s v="GNR_BO_WOODWST_E-100"/>
    <x v="0"/>
    <x v="14"/>
    <n v="1.75"/>
    <n v="638.75"/>
    <n v="2299.5"/>
  </r>
  <r>
    <x v="0"/>
    <x v="0"/>
    <x v="0"/>
    <x v="0"/>
    <x v="0"/>
    <s v="DK1_Small"/>
    <x v="8"/>
    <s v="GNR_BO_WOODWST_E-100"/>
    <x v="0"/>
    <x v="15"/>
    <n v="1.75"/>
    <n v="638.75"/>
    <n v="2299.5"/>
  </r>
  <r>
    <x v="0"/>
    <x v="0"/>
    <x v="0"/>
    <x v="0"/>
    <x v="0"/>
    <s v="DK1_Small"/>
    <x v="8"/>
    <s v="GNR_BO_WOODWST_E-100"/>
    <x v="0"/>
    <x v="4"/>
    <n v="1.75"/>
    <n v="638.75"/>
    <n v="2299.5"/>
  </r>
  <r>
    <x v="0"/>
    <x v="0"/>
    <x v="0"/>
    <x v="0"/>
    <x v="0"/>
    <s v="DK1_Small"/>
    <x v="8"/>
    <s v="GNR_BO_WOODWST_E-100"/>
    <x v="0"/>
    <x v="16"/>
    <n v="1.75"/>
    <n v="638.75"/>
    <n v="2299.5"/>
  </r>
  <r>
    <x v="0"/>
    <x v="0"/>
    <x v="0"/>
    <x v="0"/>
    <x v="0"/>
    <s v="DK1_Small"/>
    <x v="8"/>
    <s v="GNR_BO_WOODWST_E-100"/>
    <x v="0"/>
    <x v="5"/>
    <n v="1.75"/>
    <n v="638.75"/>
    <n v="2299.5"/>
  </r>
  <r>
    <x v="0"/>
    <x v="0"/>
    <x v="0"/>
    <x v="0"/>
    <x v="0"/>
    <s v="DK1_Small"/>
    <x v="8"/>
    <s v="GNR_BO_WOODWST_E-100"/>
    <x v="0"/>
    <x v="17"/>
    <n v="1.75"/>
    <n v="638.75"/>
    <n v="2299.5"/>
  </r>
  <r>
    <x v="0"/>
    <x v="0"/>
    <x v="0"/>
    <x v="0"/>
    <x v="0"/>
    <s v="DK1_Small"/>
    <x v="8"/>
    <s v="GNR_BO_WOODWST_E-100"/>
    <x v="0"/>
    <x v="18"/>
    <n v="1.75"/>
    <n v="638.75"/>
    <n v="2299.5"/>
  </r>
  <r>
    <x v="0"/>
    <x v="0"/>
    <x v="0"/>
    <x v="0"/>
    <x v="0"/>
    <s v="DK1_Small"/>
    <x v="8"/>
    <s v="GNR_BO_WOODWST_E-100"/>
    <x v="0"/>
    <x v="19"/>
    <n v="1.75"/>
    <n v="638.75"/>
    <n v="2299.5"/>
  </r>
  <r>
    <x v="0"/>
    <x v="0"/>
    <x v="0"/>
    <x v="0"/>
    <x v="0"/>
    <s v="DK1_Small"/>
    <x v="8"/>
    <s v="GNR_BO_WOODWST_E-100"/>
    <x v="0"/>
    <x v="20"/>
    <n v="1.75"/>
    <n v="638.75"/>
    <n v="2299.5"/>
  </r>
  <r>
    <x v="0"/>
    <x v="0"/>
    <x v="0"/>
    <x v="0"/>
    <x v="0"/>
    <s v="DK1_Small"/>
    <x v="8"/>
    <s v="GNR_BO_WOODWST_E-100"/>
    <x v="0"/>
    <x v="21"/>
    <n v="1.75"/>
    <n v="638.75"/>
    <n v="2299.5"/>
  </r>
  <r>
    <x v="0"/>
    <x v="0"/>
    <x v="0"/>
    <x v="0"/>
    <x v="0"/>
    <s v="DK1_Small"/>
    <x v="8"/>
    <s v="GNR_BO_WOODWST_E-100"/>
    <x v="0"/>
    <x v="22"/>
    <n v="1.75"/>
    <n v="638.75"/>
    <n v="2299.5"/>
  </r>
  <r>
    <x v="0"/>
    <x v="0"/>
    <x v="0"/>
    <x v="0"/>
    <x v="0"/>
    <s v="DK1_Small"/>
    <x v="8"/>
    <s v="GNR_BO_WOODWST_E-100"/>
    <x v="0"/>
    <x v="23"/>
    <n v="1.75"/>
    <n v="638.75"/>
    <n v="2299.5"/>
  </r>
  <r>
    <x v="0"/>
    <x v="0"/>
    <x v="0"/>
    <x v="0"/>
    <x v="0"/>
    <s v="DK1_Small"/>
    <x v="8"/>
    <s v="GNR_BO_WOODWST_E-89"/>
    <x v="0"/>
    <x v="6"/>
    <n v="1.778"/>
    <n v="648.97"/>
    <n v="2336.2919999999999"/>
  </r>
  <r>
    <x v="0"/>
    <x v="0"/>
    <x v="0"/>
    <x v="0"/>
    <x v="0"/>
    <s v="DK1_Small"/>
    <x v="8"/>
    <s v="GNR_BO_WOODWST_E-89"/>
    <x v="0"/>
    <x v="7"/>
    <n v="1.778"/>
    <n v="648.97"/>
    <n v="2336.2919999999999"/>
  </r>
  <r>
    <x v="0"/>
    <x v="0"/>
    <x v="0"/>
    <x v="0"/>
    <x v="0"/>
    <s v="DK1_Small"/>
    <x v="8"/>
    <s v="GNR_BO_WOODWST_E-89"/>
    <x v="0"/>
    <x v="8"/>
    <n v="1.4503195494880801"/>
    <n v="529.36663556314795"/>
    <n v="1905.7198880273299"/>
  </r>
  <r>
    <x v="0"/>
    <x v="0"/>
    <x v="0"/>
    <x v="0"/>
    <x v="0"/>
    <s v="DK1_Small"/>
    <x v="8"/>
    <s v="GNR_BO_WOODWST_E-89"/>
    <x v="0"/>
    <x v="9"/>
    <n v="1.778"/>
    <n v="648.97"/>
    <n v="2336.2919999999999"/>
  </r>
  <r>
    <x v="0"/>
    <x v="0"/>
    <x v="0"/>
    <x v="0"/>
    <x v="0"/>
    <s v="DK1_Small"/>
    <x v="8"/>
    <s v="GNR_BO_WOODWST_E-89"/>
    <x v="0"/>
    <x v="10"/>
    <n v="1.778"/>
    <n v="648.97"/>
    <n v="2336.2919999999999"/>
  </r>
  <r>
    <x v="0"/>
    <x v="0"/>
    <x v="0"/>
    <x v="0"/>
    <x v="0"/>
    <s v="DK1_Small"/>
    <x v="8"/>
    <s v="GNR_BO_WOODWST_E-89"/>
    <x v="0"/>
    <x v="11"/>
    <n v="1.778"/>
    <n v="648.97"/>
    <n v="2336.2919999999999"/>
  </r>
  <r>
    <x v="0"/>
    <x v="0"/>
    <x v="0"/>
    <x v="0"/>
    <x v="0"/>
    <s v="DK1_Small"/>
    <x v="8"/>
    <s v="GNR_BO_WOODWST_E-89"/>
    <x v="0"/>
    <x v="0"/>
    <n v="1.778"/>
    <n v="648.97"/>
    <n v="2336.2919999999999"/>
  </r>
  <r>
    <x v="0"/>
    <x v="0"/>
    <x v="0"/>
    <x v="0"/>
    <x v="0"/>
    <s v="DK1_Small"/>
    <x v="8"/>
    <s v="GNR_BO_WOODWST_E-89"/>
    <x v="0"/>
    <x v="1"/>
    <n v="1.778"/>
    <n v="648.97"/>
    <n v="2336.2919999999999"/>
  </r>
  <r>
    <x v="0"/>
    <x v="0"/>
    <x v="0"/>
    <x v="0"/>
    <x v="0"/>
    <s v="DK1_Small"/>
    <x v="8"/>
    <s v="GNR_BO_WOODWST_E-89"/>
    <x v="0"/>
    <x v="2"/>
    <n v="1.778"/>
    <n v="648.97"/>
    <n v="2336.2919999999999"/>
  </r>
  <r>
    <x v="0"/>
    <x v="0"/>
    <x v="0"/>
    <x v="0"/>
    <x v="0"/>
    <s v="DK1_Small"/>
    <x v="8"/>
    <s v="GNR_BO_WOODWST_E-89"/>
    <x v="0"/>
    <x v="3"/>
    <n v="1.778"/>
    <n v="648.97"/>
    <n v="2336.2919999999999"/>
  </r>
  <r>
    <x v="0"/>
    <x v="0"/>
    <x v="0"/>
    <x v="0"/>
    <x v="0"/>
    <s v="DK1_Small"/>
    <x v="8"/>
    <s v="GNR_BO_WOODWST_E-89"/>
    <x v="0"/>
    <x v="12"/>
    <n v="1.778"/>
    <n v="648.97"/>
    <n v="2336.2919999999999"/>
  </r>
  <r>
    <x v="0"/>
    <x v="0"/>
    <x v="0"/>
    <x v="0"/>
    <x v="0"/>
    <s v="DK1_Small"/>
    <x v="8"/>
    <s v="GNR_BO_WOODWST_E-89"/>
    <x v="0"/>
    <x v="13"/>
    <n v="1.778"/>
    <n v="648.97"/>
    <n v="2336.2919999999999"/>
  </r>
  <r>
    <x v="0"/>
    <x v="0"/>
    <x v="0"/>
    <x v="0"/>
    <x v="0"/>
    <s v="DK1_Small"/>
    <x v="8"/>
    <s v="GNR_BO_WOODWST_E-89"/>
    <x v="0"/>
    <x v="14"/>
    <n v="1.778"/>
    <n v="648.97"/>
    <n v="2336.2919999999999"/>
  </r>
  <r>
    <x v="0"/>
    <x v="0"/>
    <x v="0"/>
    <x v="0"/>
    <x v="0"/>
    <s v="DK1_Small"/>
    <x v="8"/>
    <s v="GNR_BO_WOODWST_E-89"/>
    <x v="0"/>
    <x v="15"/>
    <n v="1.778"/>
    <n v="648.97"/>
    <n v="2336.2919999999999"/>
  </r>
  <r>
    <x v="0"/>
    <x v="0"/>
    <x v="0"/>
    <x v="0"/>
    <x v="0"/>
    <s v="DK1_Small"/>
    <x v="8"/>
    <s v="GNR_BO_WOODWST_E-89"/>
    <x v="0"/>
    <x v="4"/>
    <n v="1.778"/>
    <n v="648.97"/>
    <n v="2336.2919999999999"/>
  </r>
  <r>
    <x v="0"/>
    <x v="0"/>
    <x v="0"/>
    <x v="0"/>
    <x v="0"/>
    <s v="DK1_Small"/>
    <x v="8"/>
    <s v="GNR_BO_WOODWST_E-89"/>
    <x v="0"/>
    <x v="16"/>
    <n v="1.778"/>
    <n v="648.97"/>
    <n v="2336.2919999999999"/>
  </r>
  <r>
    <x v="0"/>
    <x v="0"/>
    <x v="0"/>
    <x v="0"/>
    <x v="0"/>
    <s v="DK1_Small"/>
    <x v="8"/>
    <s v="GNR_BO_WOODWST_E-89"/>
    <x v="0"/>
    <x v="5"/>
    <n v="1.778"/>
    <n v="648.97"/>
    <n v="2336.2919999999999"/>
  </r>
  <r>
    <x v="0"/>
    <x v="0"/>
    <x v="0"/>
    <x v="0"/>
    <x v="0"/>
    <s v="DK1_Small"/>
    <x v="8"/>
    <s v="GNR_BO_WOODWST_E-89"/>
    <x v="0"/>
    <x v="17"/>
    <n v="1.778"/>
    <n v="648.97"/>
    <n v="2336.2919999999999"/>
  </r>
  <r>
    <x v="0"/>
    <x v="0"/>
    <x v="0"/>
    <x v="0"/>
    <x v="0"/>
    <s v="DK1_Small"/>
    <x v="8"/>
    <s v="GNR_BO_WOODWST_E-89"/>
    <x v="0"/>
    <x v="18"/>
    <n v="1.778"/>
    <n v="648.97"/>
    <n v="2336.2919999999999"/>
  </r>
  <r>
    <x v="0"/>
    <x v="0"/>
    <x v="0"/>
    <x v="0"/>
    <x v="0"/>
    <s v="DK1_Small"/>
    <x v="8"/>
    <s v="GNR_BO_WOODWST_E-89"/>
    <x v="0"/>
    <x v="19"/>
    <n v="1.778"/>
    <n v="648.97"/>
    <n v="2336.2919999999999"/>
  </r>
  <r>
    <x v="0"/>
    <x v="0"/>
    <x v="0"/>
    <x v="0"/>
    <x v="0"/>
    <s v="DK1_Small"/>
    <x v="8"/>
    <s v="GNR_BO_WOODWST_E-89"/>
    <x v="0"/>
    <x v="20"/>
    <n v="1.778"/>
    <n v="648.97"/>
    <n v="2336.2919999999999"/>
  </r>
  <r>
    <x v="0"/>
    <x v="0"/>
    <x v="0"/>
    <x v="0"/>
    <x v="0"/>
    <s v="DK1_Small"/>
    <x v="8"/>
    <s v="GNR_BO_WOODWST_E-89"/>
    <x v="0"/>
    <x v="21"/>
    <n v="1.778"/>
    <n v="648.97"/>
    <n v="2336.2919999999999"/>
  </r>
  <r>
    <x v="0"/>
    <x v="0"/>
    <x v="0"/>
    <x v="0"/>
    <x v="0"/>
    <s v="DK1_Small"/>
    <x v="8"/>
    <s v="GNR_BO_WOODWST_E-89"/>
    <x v="0"/>
    <x v="22"/>
    <n v="1.778"/>
    <n v="648.97"/>
    <n v="2336.2919999999999"/>
  </r>
  <r>
    <x v="0"/>
    <x v="0"/>
    <x v="0"/>
    <x v="0"/>
    <x v="0"/>
    <s v="DK1_Small"/>
    <x v="8"/>
    <s v="GNR_BO_WOODWST_E-89"/>
    <x v="0"/>
    <x v="23"/>
    <n v="1.778"/>
    <n v="648.97"/>
    <n v="2336.2919999999999"/>
  </r>
  <r>
    <x v="0"/>
    <x v="0"/>
    <x v="0"/>
    <x v="0"/>
    <x v="1"/>
    <s v="DK2_Large"/>
    <x v="9"/>
    <s v="GNR_ENG_BGAS_BP_E-42"/>
    <x v="0"/>
    <x v="0"/>
    <n v="3.7158536585365902"/>
    <n v="1356.28658536585"/>
    <n v="4882.6317073170703"/>
  </r>
  <r>
    <x v="0"/>
    <x v="0"/>
    <x v="0"/>
    <x v="0"/>
    <x v="1"/>
    <s v="DK2_Large"/>
    <x v="9"/>
    <s v="GNR_ENG_BGAS_BP_E-42"/>
    <x v="0"/>
    <x v="1"/>
    <n v="3.7158536585365902"/>
    <n v="1356.28658536585"/>
    <n v="4882.6317073170703"/>
  </r>
  <r>
    <x v="0"/>
    <x v="0"/>
    <x v="0"/>
    <x v="0"/>
    <x v="1"/>
    <s v="DK2_Large"/>
    <x v="9"/>
    <s v="GNR_ENG_BGAS_BP_E-42"/>
    <x v="0"/>
    <x v="2"/>
    <n v="3.7158536585365902"/>
    <n v="1356.28658536585"/>
    <n v="4882.6317073170703"/>
  </r>
  <r>
    <x v="0"/>
    <x v="0"/>
    <x v="0"/>
    <x v="0"/>
    <x v="1"/>
    <s v="DK2_Large"/>
    <x v="9"/>
    <s v="GNR_ENG_BGAS_BP_E-42"/>
    <x v="0"/>
    <x v="3"/>
    <n v="3.7158536585365902"/>
    <n v="1356.28658536585"/>
    <n v="4882.6317073170703"/>
  </r>
  <r>
    <x v="0"/>
    <x v="0"/>
    <x v="0"/>
    <x v="0"/>
    <x v="1"/>
    <s v="DK2_Large"/>
    <x v="9"/>
    <s v="GNR_ENG_BGAS_BP_E-42"/>
    <x v="0"/>
    <x v="12"/>
    <n v="3.7158536585365902"/>
    <n v="1356.28658536585"/>
    <n v="4882.6317073170703"/>
  </r>
  <r>
    <x v="0"/>
    <x v="0"/>
    <x v="0"/>
    <x v="0"/>
    <x v="1"/>
    <s v="DK2_Large"/>
    <x v="9"/>
    <s v="GNR_ENG_BGAS_BP_E-42"/>
    <x v="0"/>
    <x v="4"/>
    <n v="3.7158536585365902"/>
    <n v="1356.28658536585"/>
    <n v="4882.6317073170703"/>
  </r>
  <r>
    <x v="0"/>
    <x v="0"/>
    <x v="0"/>
    <x v="0"/>
    <x v="1"/>
    <s v="DK2_Large"/>
    <x v="9"/>
    <s v="GNR_ENG_BGAS_BP_E-42"/>
    <x v="0"/>
    <x v="16"/>
    <n v="3.7158536585365902"/>
    <n v="1356.28658536585"/>
    <n v="4882.6317073170703"/>
  </r>
  <r>
    <x v="0"/>
    <x v="0"/>
    <x v="0"/>
    <x v="0"/>
    <x v="1"/>
    <s v="DK2_Large"/>
    <x v="9"/>
    <s v="GNR_ENG_BGAS_BP_E-42"/>
    <x v="0"/>
    <x v="5"/>
    <n v="3.7158536585365902"/>
    <n v="1356.28658536585"/>
    <n v="4882.6317073170703"/>
  </r>
  <r>
    <x v="0"/>
    <x v="0"/>
    <x v="0"/>
    <x v="0"/>
    <x v="1"/>
    <s v="DK2_Large"/>
    <x v="9"/>
    <s v="GNR_ENG_BGAS_BP_E-42"/>
    <x v="0"/>
    <x v="17"/>
    <n v="3.7158536585365902"/>
    <n v="1356.28658536585"/>
    <n v="4882.6317073170703"/>
  </r>
  <r>
    <x v="0"/>
    <x v="0"/>
    <x v="0"/>
    <x v="0"/>
    <x v="1"/>
    <s v="DK2_Large"/>
    <x v="1"/>
    <s v="GNR_HS_HEAT-E-100"/>
    <x v="0"/>
    <x v="9"/>
    <n v="341.25"/>
    <n v="124556.25"/>
    <n v="448402.5"/>
  </r>
  <r>
    <x v="0"/>
    <x v="0"/>
    <x v="0"/>
    <x v="0"/>
    <x v="1"/>
    <s v="DK2_Large"/>
    <x v="1"/>
    <s v="GNR_HS_HEAT-E-100"/>
    <x v="0"/>
    <x v="0"/>
    <n v="341.25"/>
    <n v="124556.25"/>
    <n v="448402.5"/>
  </r>
  <r>
    <x v="0"/>
    <x v="0"/>
    <x v="0"/>
    <x v="0"/>
    <x v="1"/>
    <s v="DK2_Large"/>
    <x v="1"/>
    <s v="GNR_HS_HEAT-E-100"/>
    <x v="0"/>
    <x v="1"/>
    <n v="341.25"/>
    <n v="124556.25"/>
    <n v="448402.5"/>
  </r>
  <r>
    <x v="0"/>
    <x v="0"/>
    <x v="0"/>
    <x v="0"/>
    <x v="1"/>
    <s v="DK2_Large"/>
    <x v="1"/>
    <s v="GNR_HS_HEAT-E-100"/>
    <x v="0"/>
    <x v="2"/>
    <n v="341.25"/>
    <n v="124556.25"/>
    <n v="448402.5"/>
  </r>
  <r>
    <x v="0"/>
    <x v="0"/>
    <x v="0"/>
    <x v="0"/>
    <x v="1"/>
    <s v="DK2_Large"/>
    <x v="1"/>
    <s v="GNR_HS_HEAT-E-100"/>
    <x v="0"/>
    <x v="3"/>
    <n v="341.25"/>
    <n v="124556.25"/>
    <n v="448402.5"/>
  </r>
  <r>
    <x v="0"/>
    <x v="0"/>
    <x v="0"/>
    <x v="0"/>
    <x v="1"/>
    <s v="DK2_Large"/>
    <x v="1"/>
    <s v="GNR_HS_HEAT-E-100"/>
    <x v="0"/>
    <x v="12"/>
    <n v="341.25"/>
    <n v="124556.25"/>
    <n v="448402.5"/>
  </r>
  <r>
    <x v="0"/>
    <x v="0"/>
    <x v="0"/>
    <x v="0"/>
    <x v="1"/>
    <s v="DK2_Large"/>
    <x v="1"/>
    <s v="GNR_HS_HEAT-E-100"/>
    <x v="0"/>
    <x v="13"/>
    <n v="341.25"/>
    <n v="124556.25"/>
    <n v="448402.5"/>
  </r>
  <r>
    <x v="0"/>
    <x v="0"/>
    <x v="0"/>
    <x v="0"/>
    <x v="1"/>
    <s v="DK2_Large"/>
    <x v="1"/>
    <s v="GNR_HS_HEAT-E-100"/>
    <x v="0"/>
    <x v="15"/>
    <n v="341.25"/>
    <n v="124556.25"/>
    <n v="448402.5"/>
  </r>
  <r>
    <x v="0"/>
    <x v="0"/>
    <x v="0"/>
    <x v="0"/>
    <x v="1"/>
    <s v="DK2_Large"/>
    <x v="1"/>
    <s v="GNR_HS_HEAT-E-100"/>
    <x v="0"/>
    <x v="4"/>
    <n v="341.25"/>
    <n v="124556.25"/>
    <n v="448402.5"/>
  </r>
  <r>
    <x v="0"/>
    <x v="0"/>
    <x v="0"/>
    <x v="0"/>
    <x v="1"/>
    <s v="DK2_Large"/>
    <x v="1"/>
    <s v="GNR_HS_HEAT-E-100"/>
    <x v="0"/>
    <x v="16"/>
    <n v="341.25"/>
    <n v="124556.25"/>
    <n v="448402.5"/>
  </r>
  <r>
    <x v="0"/>
    <x v="0"/>
    <x v="0"/>
    <x v="0"/>
    <x v="1"/>
    <s v="DK2_Large"/>
    <x v="1"/>
    <s v="GNR_HS_HEAT-E-100"/>
    <x v="0"/>
    <x v="5"/>
    <n v="341.25"/>
    <n v="124556.25"/>
    <n v="448402.5"/>
  </r>
  <r>
    <x v="0"/>
    <x v="0"/>
    <x v="0"/>
    <x v="0"/>
    <x v="1"/>
    <s v="DK2_Large"/>
    <x v="1"/>
    <s v="GNR_HS_HEAT-E-100"/>
    <x v="0"/>
    <x v="17"/>
    <n v="341.25"/>
    <n v="124556.25"/>
    <n v="448402.5"/>
  </r>
  <r>
    <x v="0"/>
    <x v="0"/>
    <x v="0"/>
    <x v="0"/>
    <x v="1"/>
    <s v="DK2_Large"/>
    <x v="1"/>
    <s v="GNR_HS_HEAT-E-100"/>
    <x v="0"/>
    <x v="19"/>
    <n v="341.25"/>
    <n v="124556.25"/>
    <n v="448402.5"/>
  </r>
  <r>
    <x v="0"/>
    <x v="0"/>
    <x v="0"/>
    <x v="0"/>
    <x v="1"/>
    <s v="DK2_Large"/>
    <x v="1"/>
    <s v="GNR_HS_HEAT_WTR-TANK_LS_E-95_Y-2010"/>
    <x v="0"/>
    <x v="0"/>
    <n v="65.246329734653102"/>
    <n v="23814.9103531484"/>
    <n v="85733.677271334207"/>
  </r>
  <r>
    <x v="0"/>
    <x v="0"/>
    <x v="0"/>
    <x v="0"/>
    <x v="1"/>
    <s v="DK2_Large"/>
    <x v="1"/>
    <s v="GNR_HS_HEAT_WTR-TANK_LS_E-95_Y-2010"/>
    <x v="0"/>
    <x v="1"/>
    <n v="103.126491959614"/>
    <n v="37641.169565259202"/>
    <n v="135508.21043493299"/>
  </r>
  <r>
    <x v="0"/>
    <x v="0"/>
    <x v="0"/>
    <x v="0"/>
    <x v="1"/>
    <s v="DK2_Large"/>
    <x v="1"/>
    <s v="GNR_HS_HEAT_WTR-TANK_LS_E-95_Y-2010"/>
    <x v="0"/>
    <x v="2"/>
    <n v="112.59653251585399"/>
    <n v="41097.734368286903"/>
    <n v="147951.84372583299"/>
  </r>
  <r>
    <x v="0"/>
    <x v="0"/>
    <x v="0"/>
    <x v="0"/>
    <x v="1"/>
    <s v="DK2_Large"/>
    <x v="1"/>
    <s v="GNR_HS_HEAT_WTR-TANK_LS_E-95_Y-2010"/>
    <x v="0"/>
    <x v="3"/>
    <n v="84.1864108471337"/>
    <n v="30728.039959203801"/>
    <n v="110620.943853134"/>
  </r>
  <r>
    <x v="0"/>
    <x v="0"/>
    <x v="0"/>
    <x v="0"/>
    <x v="1"/>
    <s v="DK2_Large"/>
    <x v="1"/>
    <s v="GNR_HS_HEAT_WTR-TANK_LS_E-95_Y-2010"/>
    <x v="0"/>
    <x v="12"/>
    <n v="54.987119132059497"/>
    <n v="20070.298483201699"/>
    <n v="72253.074539526206"/>
  </r>
  <r>
    <x v="0"/>
    <x v="0"/>
    <x v="0"/>
    <x v="0"/>
    <x v="1"/>
    <s v="DK2_Large"/>
    <x v="1"/>
    <s v="GNR_HS_HEAT_WTR-TANK_LS_E-95_Y-2010"/>
    <x v="0"/>
    <x v="4"/>
    <n v="36.047038019578999"/>
    <n v="13157.1688771464"/>
    <n v="47365.807957726902"/>
  </r>
  <r>
    <x v="0"/>
    <x v="0"/>
    <x v="0"/>
    <x v="0"/>
    <x v="1"/>
    <s v="DK2_Large"/>
    <x v="1"/>
    <s v="GNR_HS_HEAT_WTR-TANK_LS_E-95_Y-2010"/>
    <x v="0"/>
    <x v="16"/>
    <n v="45.517078575819198"/>
    <n v="16613.733680173998"/>
    <n v="59809.441248626499"/>
  </r>
  <r>
    <x v="0"/>
    <x v="0"/>
    <x v="0"/>
    <x v="0"/>
    <x v="1"/>
    <s v="DK2_Large"/>
    <x v="1"/>
    <s v="GNR_HS_HEAT_WTR-TANK_LS_E-95_Y-2010"/>
    <x v="0"/>
    <x v="5"/>
    <n v="65.246329734653102"/>
    <n v="23814.9103531484"/>
    <n v="85733.677271334207"/>
  </r>
  <r>
    <x v="0"/>
    <x v="0"/>
    <x v="0"/>
    <x v="0"/>
    <x v="1"/>
    <s v="DK2_Large"/>
    <x v="1"/>
    <s v="GNR_HS_HEAT_WTR-TANK_LS_E-95_Y-2010"/>
    <x v="0"/>
    <x v="17"/>
    <n v="74.716370290893394"/>
    <n v="27271.4751561761"/>
    <n v="98177.310562233994"/>
  </r>
  <r>
    <x v="0"/>
    <x v="0"/>
    <x v="0"/>
    <x v="0"/>
    <x v="1"/>
    <s v="DK2_Large"/>
    <x v="2"/>
    <s v="GNR_ST_MSW_BP_E-16"/>
    <x v="0"/>
    <x v="6"/>
    <n v="96.361684232126805"/>
    <n v="35172.014744726301"/>
    <n v="126619.25308101501"/>
  </r>
  <r>
    <x v="0"/>
    <x v="0"/>
    <x v="0"/>
    <x v="0"/>
    <x v="1"/>
    <s v="DK2_Large"/>
    <x v="2"/>
    <s v="GNR_ST_MSW_BP_E-16"/>
    <x v="0"/>
    <x v="7"/>
    <n v="96.361684232126805"/>
    <n v="35172.014744726301"/>
    <n v="126619.25308101501"/>
  </r>
  <r>
    <x v="0"/>
    <x v="0"/>
    <x v="0"/>
    <x v="0"/>
    <x v="1"/>
    <s v="DK2_Large"/>
    <x v="2"/>
    <s v="GNR_ST_MSW_BP_E-16"/>
    <x v="0"/>
    <x v="8"/>
    <n v="96.361684232126805"/>
    <n v="35172.014744726301"/>
    <n v="126619.25308101501"/>
  </r>
  <r>
    <x v="0"/>
    <x v="0"/>
    <x v="0"/>
    <x v="0"/>
    <x v="1"/>
    <s v="DK2_Large"/>
    <x v="2"/>
    <s v="GNR_ST_MSW_BP_E-16"/>
    <x v="0"/>
    <x v="9"/>
    <n v="96.361684232126805"/>
    <n v="35172.014744726301"/>
    <n v="126619.25308101501"/>
  </r>
  <r>
    <x v="0"/>
    <x v="0"/>
    <x v="0"/>
    <x v="0"/>
    <x v="1"/>
    <s v="DK2_Large"/>
    <x v="2"/>
    <s v="GNR_ST_MSW_BP_E-16"/>
    <x v="0"/>
    <x v="10"/>
    <n v="96.361684232126805"/>
    <n v="35172.014744726301"/>
    <n v="126619.25308101501"/>
  </r>
  <r>
    <x v="0"/>
    <x v="0"/>
    <x v="0"/>
    <x v="0"/>
    <x v="1"/>
    <s v="DK2_Large"/>
    <x v="2"/>
    <s v="GNR_ST_MSW_BP_E-16"/>
    <x v="0"/>
    <x v="11"/>
    <n v="96.361684232126805"/>
    <n v="35172.014744726301"/>
    <n v="126619.25308101501"/>
  </r>
  <r>
    <x v="0"/>
    <x v="0"/>
    <x v="0"/>
    <x v="0"/>
    <x v="1"/>
    <s v="DK2_Large"/>
    <x v="2"/>
    <s v="GNR_ST_MSW_BP_E-16"/>
    <x v="0"/>
    <x v="0"/>
    <n v="96.361684232126805"/>
    <n v="35172.014744726301"/>
    <n v="126619.25308101501"/>
  </r>
  <r>
    <x v="0"/>
    <x v="0"/>
    <x v="0"/>
    <x v="0"/>
    <x v="1"/>
    <s v="DK2_Large"/>
    <x v="2"/>
    <s v="GNR_ST_MSW_BP_E-16"/>
    <x v="0"/>
    <x v="1"/>
    <n v="96.361684232126805"/>
    <n v="35172.014744726301"/>
    <n v="126619.25308101501"/>
  </r>
  <r>
    <x v="0"/>
    <x v="0"/>
    <x v="0"/>
    <x v="0"/>
    <x v="1"/>
    <s v="DK2_Large"/>
    <x v="2"/>
    <s v="GNR_ST_MSW_BP_E-16"/>
    <x v="0"/>
    <x v="2"/>
    <n v="96.361684232126805"/>
    <n v="35172.014744726301"/>
    <n v="126619.25308101501"/>
  </r>
  <r>
    <x v="0"/>
    <x v="0"/>
    <x v="0"/>
    <x v="0"/>
    <x v="1"/>
    <s v="DK2_Large"/>
    <x v="2"/>
    <s v="GNR_ST_MSW_BP_E-16"/>
    <x v="0"/>
    <x v="3"/>
    <n v="96.361684232126805"/>
    <n v="35172.014744726301"/>
    <n v="126619.25308101501"/>
  </r>
  <r>
    <x v="0"/>
    <x v="0"/>
    <x v="0"/>
    <x v="0"/>
    <x v="1"/>
    <s v="DK2_Large"/>
    <x v="2"/>
    <s v="GNR_ST_MSW_BP_E-16"/>
    <x v="0"/>
    <x v="12"/>
    <n v="96.361684232126805"/>
    <n v="35172.014744726301"/>
    <n v="126619.25308101501"/>
  </r>
  <r>
    <x v="0"/>
    <x v="0"/>
    <x v="0"/>
    <x v="0"/>
    <x v="1"/>
    <s v="DK2_Large"/>
    <x v="2"/>
    <s v="GNR_ST_MSW_BP_E-16"/>
    <x v="0"/>
    <x v="13"/>
    <n v="96.361684232126805"/>
    <n v="35172.014744726301"/>
    <n v="126619.25308101501"/>
  </r>
  <r>
    <x v="0"/>
    <x v="0"/>
    <x v="0"/>
    <x v="0"/>
    <x v="1"/>
    <s v="DK2_Large"/>
    <x v="2"/>
    <s v="GNR_ST_MSW_BP_E-16"/>
    <x v="0"/>
    <x v="14"/>
    <n v="96.361684232126805"/>
    <n v="35172.014744726301"/>
    <n v="126619.25308101501"/>
  </r>
  <r>
    <x v="0"/>
    <x v="0"/>
    <x v="0"/>
    <x v="0"/>
    <x v="1"/>
    <s v="DK2_Large"/>
    <x v="2"/>
    <s v="GNR_ST_MSW_BP_E-16"/>
    <x v="0"/>
    <x v="15"/>
    <n v="96.361684232126805"/>
    <n v="35172.014744726301"/>
    <n v="126619.25308101501"/>
  </r>
  <r>
    <x v="0"/>
    <x v="0"/>
    <x v="0"/>
    <x v="0"/>
    <x v="1"/>
    <s v="DK2_Large"/>
    <x v="2"/>
    <s v="GNR_ST_MSW_BP_E-16"/>
    <x v="0"/>
    <x v="4"/>
    <n v="96.361684232126805"/>
    <n v="35172.014744726301"/>
    <n v="126619.25308101501"/>
  </r>
  <r>
    <x v="0"/>
    <x v="0"/>
    <x v="0"/>
    <x v="0"/>
    <x v="1"/>
    <s v="DK2_Large"/>
    <x v="2"/>
    <s v="GNR_ST_MSW_BP_E-16"/>
    <x v="0"/>
    <x v="16"/>
    <n v="96.361684232126805"/>
    <n v="35172.014744726301"/>
    <n v="126619.25308101501"/>
  </r>
  <r>
    <x v="0"/>
    <x v="0"/>
    <x v="0"/>
    <x v="0"/>
    <x v="1"/>
    <s v="DK2_Large"/>
    <x v="2"/>
    <s v="GNR_ST_MSW_BP_E-16"/>
    <x v="0"/>
    <x v="5"/>
    <n v="96.361684232126805"/>
    <n v="35172.014744726301"/>
    <n v="126619.25308101501"/>
  </r>
  <r>
    <x v="0"/>
    <x v="0"/>
    <x v="0"/>
    <x v="0"/>
    <x v="1"/>
    <s v="DK2_Large"/>
    <x v="2"/>
    <s v="GNR_ST_MSW_BP_E-16"/>
    <x v="0"/>
    <x v="17"/>
    <n v="96.361684232126805"/>
    <n v="35172.014744726301"/>
    <n v="126619.25308101501"/>
  </r>
  <r>
    <x v="0"/>
    <x v="0"/>
    <x v="0"/>
    <x v="0"/>
    <x v="1"/>
    <s v="DK2_Large"/>
    <x v="2"/>
    <s v="GNR_ST_MSW_BP_E-16"/>
    <x v="0"/>
    <x v="18"/>
    <n v="96.361684232126805"/>
    <n v="35172.014744726301"/>
    <n v="126619.25308101501"/>
  </r>
  <r>
    <x v="0"/>
    <x v="0"/>
    <x v="0"/>
    <x v="0"/>
    <x v="1"/>
    <s v="DK2_Large"/>
    <x v="2"/>
    <s v="GNR_ST_MSW_BP_E-16"/>
    <x v="0"/>
    <x v="19"/>
    <n v="96.361684232126805"/>
    <n v="35172.014744726301"/>
    <n v="126619.25308101501"/>
  </r>
  <r>
    <x v="0"/>
    <x v="0"/>
    <x v="0"/>
    <x v="0"/>
    <x v="1"/>
    <s v="DK2_Large"/>
    <x v="2"/>
    <s v="GNR_ST_MSW_BP_E-16"/>
    <x v="0"/>
    <x v="20"/>
    <n v="96.361684232126805"/>
    <n v="35172.014744726301"/>
    <n v="126619.25308101501"/>
  </r>
  <r>
    <x v="0"/>
    <x v="0"/>
    <x v="0"/>
    <x v="0"/>
    <x v="1"/>
    <s v="DK2_Large"/>
    <x v="2"/>
    <s v="GNR_ST_MSW_BP_E-16"/>
    <x v="0"/>
    <x v="21"/>
    <n v="96.361684232126805"/>
    <n v="35172.014744726301"/>
    <n v="126619.25308101501"/>
  </r>
  <r>
    <x v="0"/>
    <x v="0"/>
    <x v="0"/>
    <x v="0"/>
    <x v="1"/>
    <s v="DK2_Large"/>
    <x v="2"/>
    <s v="GNR_ST_MSW_BP_E-16"/>
    <x v="0"/>
    <x v="22"/>
    <n v="96.361684232126805"/>
    <n v="35172.014744726301"/>
    <n v="126619.25308101501"/>
  </r>
  <r>
    <x v="0"/>
    <x v="0"/>
    <x v="0"/>
    <x v="0"/>
    <x v="1"/>
    <s v="DK2_Large"/>
    <x v="2"/>
    <s v="GNR_ST_MSW_BP_E-16"/>
    <x v="0"/>
    <x v="23"/>
    <n v="96.361684232126805"/>
    <n v="35172.014744726301"/>
    <n v="126619.25308101501"/>
  </r>
  <r>
    <x v="0"/>
    <x v="0"/>
    <x v="0"/>
    <x v="0"/>
    <x v="1"/>
    <s v="DK2_Large"/>
    <x v="2"/>
    <s v="GNR_ST_MSW_BP_E-20"/>
    <x v="0"/>
    <x v="6"/>
    <n v="131.863357370279"/>
    <n v="48130.1254401517"/>
    <n v="173268.45158454601"/>
  </r>
  <r>
    <x v="0"/>
    <x v="0"/>
    <x v="0"/>
    <x v="0"/>
    <x v="1"/>
    <s v="DK2_Large"/>
    <x v="2"/>
    <s v="GNR_ST_MSW_BP_E-20"/>
    <x v="0"/>
    <x v="7"/>
    <n v="131.863357370279"/>
    <n v="48130.1254401517"/>
    <n v="173268.45158454601"/>
  </r>
  <r>
    <x v="0"/>
    <x v="0"/>
    <x v="0"/>
    <x v="0"/>
    <x v="1"/>
    <s v="DK2_Large"/>
    <x v="2"/>
    <s v="GNR_ST_MSW_BP_E-20"/>
    <x v="0"/>
    <x v="8"/>
    <n v="131.863357370279"/>
    <n v="48130.1254401517"/>
    <n v="173268.45158454601"/>
  </r>
  <r>
    <x v="0"/>
    <x v="0"/>
    <x v="0"/>
    <x v="0"/>
    <x v="1"/>
    <s v="DK2_Large"/>
    <x v="2"/>
    <s v="GNR_ST_MSW_BP_E-20"/>
    <x v="0"/>
    <x v="9"/>
    <n v="131.863357370279"/>
    <n v="48130.1254401517"/>
    <n v="173268.45158454601"/>
  </r>
  <r>
    <x v="0"/>
    <x v="0"/>
    <x v="0"/>
    <x v="0"/>
    <x v="1"/>
    <s v="DK2_Large"/>
    <x v="2"/>
    <s v="GNR_ST_MSW_BP_E-20"/>
    <x v="0"/>
    <x v="10"/>
    <n v="131.863357370279"/>
    <n v="48130.1254401517"/>
    <n v="173268.45158454601"/>
  </r>
  <r>
    <x v="0"/>
    <x v="0"/>
    <x v="0"/>
    <x v="0"/>
    <x v="1"/>
    <s v="DK2_Large"/>
    <x v="2"/>
    <s v="GNR_ST_MSW_BP_E-20"/>
    <x v="0"/>
    <x v="11"/>
    <n v="131.863357370279"/>
    <n v="48130.1254401517"/>
    <n v="173268.45158454601"/>
  </r>
  <r>
    <x v="0"/>
    <x v="0"/>
    <x v="0"/>
    <x v="0"/>
    <x v="1"/>
    <s v="DK2_Large"/>
    <x v="2"/>
    <s v="GNR_ST_MSW_BP_E-20"/>
    <x v="0"/>
    <x v="0"/>
    <n v="131.863357370279"/>
    <n v="48130.1254401517"/>
    <n v="173268.45158454601"/>
  </r>
  <r>
    <x v="0"/>
    <x v="0"/>
    <x v="0"/>
    <x v="0"/>
    <x v="1"/>
    <s v="DK2_Large"/>
    <x v="2"/>
    <s v="GNR_ST_MSW_BP_E-20"/>
    <x v="0"/>
    <x v="1"/>
    <n v="131.863357370279"/>
    <n v="48130.1254401517"/>
    <n v="173268.45158454601"/>
  </r>
  <r>
    <x v="0"/>
    <x v="0"/>
    <x v="0"/>
    <x v="0"/>
    <x v="1"/>
    <s v="DK2_Large"/>
    <x v="2"/>
    <s v="GNR_ST_MSW_BP_E-20"/>
    <x v="0"/>
    <x v="2"/>
    <n v="131.863357370279"/>
    <n v="48130.1254401517"/>
    <n v="173268.45158454601"/>
  </r>
  <r>
    <x v="0"/>
    <x v="0"/>
    <x v="0"/>
    <x v="0"/>
    <x v="1"/>
    <s v="DK2_Large"/>
    <x v="2"/>
    <s v="GNR_ST_MSW_BP_E-20"/>
    <x v="0"/>
    <x v="3"/>
    <n v="131.863357370279"/>
    <n v="48130.1254401517"/>
    <n v="173268.45158454601"/>
  </r>
  <r>
    <x v="0"/>
    <x v="0"/>
    <x v="0"/>
    <x v="0"/>
    <x v="1"/>
    <s v="DK2_Large"/>
    <x v="2"/>
    <s v="GNR_ST_MSW_BP_E-20"/>
    <x v="0"/>
    <x v="12"/>
    <n v="131.863357370279"/>
    <n v="48130.1254401517"/>
    <n v="173268.45158454601"/>
  </r>
  <r>
    <x v="0"/>
    <x v="0"/>
    <x v="0"/>
    <x v="0"/>
    <x v="1"/>
    <s v="DK2_Large"/>
    <x v="2"/>
    <s v="GNR_ST_MSW_BP_E-20"/>
    <x v="0"/>
    <x v="13"/>
    <n v="131.863357370279"/>
    <n v="48130.1254401517"/>
    <n v="173268.45158454601"/>
  </r>
  <r>
    <x v="0"/>
    <x v="0"/>
    <x v="0"/>
    <x v="0"/>
    <x v="1"/>
    <s v="DK2_Large"/>
    <x v="2"/>
    <s v="GNR_ST_MSW_BP_E-20"/>
    <x v="0"/>
    <x v="14"/>
    <n v="131.863357370279"/>
    <n v="48130.1254401517"/>
    <n v="173268.45158454601"/>
  </r>
  <r>
    <x v="0"/>
    <x v="0"/>
    <x v="0"/>
    <x v="0"/>
    <x v="1"/>
    <s v="DK2_Large"/>
    <x v="2"/>
    <s v="GNR_ST_MSW_BP_E-20"/>
    <x v="0"/>
    <x v="15"/>
    <n v="131.863357370279"/>
    <n v="48130.1254401517"/>
    <n v="173268.45158454601"/>
  </r>
  <r>
    <x v="0"/>
    <x v="0"/>
    <x v="0"/>
    <x v="0"/>
    <x v="1"/>
    <s v="DK2_Large"/>
    <x v="2"/>
    <s v="GNR_ST_MSW_BP_E-20"/>
    <x v="0"/>
    <x v="4"/>
    <n v="131.863357370279"/>
    <n v="48130.1254401517"/>
    <n v="173268.45158454601"/>
  </r>
  <r>
    <x v="0"/>
    <x v="0"/>
    <x v="0"/>
    <x v="0"/>
    <x v="1"/>
    <s v="DK2_Large"/>
    <x v="2"/>
    <s v="GNR_ST_MSW_BP_E-20"/>
    <x v="0"/>
    <x v="16"/>
    <n v="131.863357370279"/>
    <n v="48130.1254401517"/>
    <n v="173268.45158454601"/>
  </r>
  <r>
    <x v="0"/>
    <x v="0"/>
    <x v="0"/>
    <x v="0"/>
    <x v="1"/>
    <s v="DK2_Large"/>
    <x v="2"/>
    <s v="GNR_ST_MSW_BP_E-20"/>
    <x v="0"/>
    <x v="5"/>
    <n v="131.863357370279"/>
    <n v="48130.1254401517"/>
    <n v="173268.45158454601"/>
  </r>
  <r>
    <x v="0"/>
    <x v="0"/>
    <x v="0"/>
    <x v="0"/>
    <x v="1"/>
    <s v="DK2_Large"/>
    <x v="2"/>
    <s v="GNR_ST_MSW_BP_E-20"/>
    <x v="0"/>
    <x v="17"/>
    <n v="131.863357370279"/>
    <n v="48130.1254401517"/>
    <n v="173268.45158454601"/>
  </r>
  <r>
    <x v="0"/>
    <x v="0"/>
    <x v="0"/>
    <x v="0"/>
    <x v="1"/>
    <s v="DK2_Large"/>
    <x v="2"/>
    <s v="GNR_ST_MSW_BP_E-20"/>
    <x v="0"/>
    <x v="18"/>
    <n v="131.863357370279"/>
    <n v="48130.1254401517"/>
    <n v="173268.45158454601"/>
  </r>
  <r>
    <x v="0"/>
    <x v="0"/>
    <x v="0"/>
    <x v="0"/>
    <x v="1"/>
    <s v="DK2_Large"/>
    <x v="2"/>
    <s v="GNR_ST_MSW_BP_E-20"/>
    <x v="0"/>
    <x v="19"/>
    <n v="131.863357370279"/>
    <n v="48130.1254401517"/>
    <n v="173268.45158454601"/>
  </r>
  <r>
    <x v="0"/>
    <x v="0"/>
    <x v="0"/>
    <x v="0"/>
    <x v="1"/>
    <s v="DK2_Large"/>
    <x v="2"/>
    <s v="GNR_ST_MSW_BP_E-20"/>
    <x v="0"/>
    <x v="20"/>
    <n v="131.863357370279"/>
    <n v="48130.1254401517"/>
    <n v="173268.45158454601"/>
  </r>
  <r>
    <x v="0"/>
    <x v="0"/>
    <x v="0"/>
    <x v="0"/>
    <x v="1"/>
    <s v="DK2_Large"/>
    <x v="2"/>
    <s v="GNR_ST_MSW_BP_E-20"/>
    <x v="0"/>
    <x v="21"/>
    <n v="131.863357370279"/>
    <n v="48130.1254401517"/>
    <n v="173268.45158454601"/>
  </r>
  <r>
    <x v="0"/>
    <x v="0"/>
    <x v="0"/>
    <x v="0"/>
    <x v="1"/>
    <s v="DK2_Large"/>
    <x v="2"/>
    <s v="GNR_ST_MSW_BP_E-20"/>
    <x v="0"/>
    <x v="22"/>
    <n v="131.863357370279"/>
    <n v="48130.1254401517"/>
    <n v="173268.45158454601"/>
  </r>
  <r>
    <x v="0"/>
    <x v="0"/>
    <x v="0"/>
    <x v="0"/>
    <x v="1"/>
    <s v="DK2_Large"/>
    <x v="2"/>
    <s v="GNR_ST_MSW_BP_E-20"/>
    <x v="0"/>
    <x v="23"/>
    <n v="131.863357370279"/>
    <n v="48130.1254401517"/>
    <n v="173268.45158454601"/>
  </r>
  <r>
    <x v="0"/>
    <x v="0"/>
    <x v="0"/>
    <x v="0"/>
    <x v="1"/>
    <s v="DK2_Large"/>
    <x v="2"/>
    <s v="GNR_ST_MSW_BP_E-21"/>
    <x v="0"/>
    <x v="6"/>
    <n v="46.321230665969701"/>
    <n v="16907.2491930789"/>
    <n v="60866.097095084202"/>
  </r>
  <r>
    <x v="0"/>
    <x v="0"/>
    <x v="0"/>
    <x v="0"/>
    <x v="1"/>
    <s v="DK2_Large"/>
    <x v="2"/>
    <s v="GNR_ST_MSW_BP_E-21"/>
    <x v="0"/>
    <x v="7"/>
    <n v="46.321230665969701"/>
    <n v="16907.2491930789"/>
    <n v="60866.097095084202"/>
  </r>
  <r>
    <x v="0"/>
    <x v="0"/>
    <x v="0"/>
    <x v="0"/>
    <x v="1"/>
    <s v="DK2_Large"/>
    <x v="2"/>
    <s v="GNR_ST_MSW_BP_E-21"/>
    <x v="0"/>
    <x v="8"/>
    <n v="46.321230665969701"/>
    <n v="16907.2491930789"/>
    <n v="60866.097095084202"/>
  </r>
  <r>
    <x v="0"/>
    <x v="0"/>
    <x v="0"/>
    <x v="0"/>
    <x v="1"/>
    <s v="DK2_Large"/>
    <x v="2"/>
    <s v="GNR_ST_MSW_BP_E-21"/>
    <x v="0"/>
    <x v="9"/>
    <n v="46.321230665969701"/>
    <n v="16907.2491930789"/>
    <n v="60866.097095084202"/>
  </r>
  <r>
    <x v="0"/>
    <x v="0"/>
    <x v="0"/>
    <x v="0"/>
    <x v="1"/>
    <s v="DK2_Large"/>
    <x v="2"/>
    <s v="GNR_ST_MSW_BP_E-21"/>
    <x v="0"/>
    <x v="10"/>
    <n v="46.321230665969701"/>
    <n v="16907.2491930789"/>
    <n v="60866.097095084202"/>
  </r>
  <r>
    <x v="0"/>
    <x v="0"/>
    <x v="0"/>
    <x v="0"/>
    <x v="1"/>
    <s v="DK2_Large"/>
    <x v="2"/>
    <s v="GNR_ST_MSW_BP_E-21"/>
    <x v="0"/>
    <x v="11"/>
    <n v="46.321230665969701"/>
    <n v="16907.2491930789"/>
    <n v="60866.097095084202"/>
  </r>
  <r>
    <x v="0"/>
    <x v="0"/>
    <x v="0"/>
    <x v="0"/>
    <x v="1"/>
    <s v="DK2_Large"/>
    <x v="2"/>
    <s v="GNR_ST_MSW_BP_E-21"/>
    <x v="0"/>
    <x v="0"/>
    <n v="46.321230665969701"/>
    <n v="16907.2491930789"/>
    <n v="60866.097095084202"/>
  </r>
  <r>
    <x v="0"/>
    <x v="0"/>
    <x v="0"/>
    <x v="0"/>
    <x v="1"/>
    <s v="DK2_Large"/>
    <x v="2"/>
    <s v="GNR_ST_MSW_BP_E-21"/>
    <x v="0"/>
    <x v="1"/>
    <n v="46.321230665969701"/>
    <n v="16907.2491930789"/>
    <n v="60866.097095084202"/>
  </r>
  <r>
    <x v="0"/>
    <x v="0"/>
    <x v="0"/>
    <x v="0"/>
    <x v="1"/>
    <s v="DK2_Large"/>
    <x v="2"/>
    <s v="GNR_ST_MSW_BP_E-21"/>
    <x v="0"/>
    <x v="2"/>
    <n v="46.321230665969701"/>
    <n v="16907.2491930789"/>
    <n v="60866.097095084202"/>
  </r>
  <r>
    <x v="0"/>
    <x v="0"/>
    <x v="0"/>
    <x v="0"/>
    <x v="1"/>
    <s v="DK2_Large"/>
    <x v="2"/>
    <s v="GNR_ST_MSW_BP_E-21"/>
    <x v="0"/>
    <x v="3"/>
    <n v="46.321230665969701"/>
    <n v="16907.2491930789"/>
    <n v="60866.097095084202"/>
  </r>
  <r>
    <x v="0"/>
    <x v="0"/>
    <x v="0"/>
    <x v="0"/>
    <x v="1"/>
    <s v="DK2_Large"/>
    <x v="2"/>
    <s v="GNR_ST_MSW_BP_E-21"/>
    <x v="0"/>
    <x v="12"/>
    <n v="46.321230665969701"/>
    <n v="16907.2491930789"/>
    <n v="60866.097095084202"/>
  </r>
  <r>
    <x v="0"/>
    <x v="0"/>
    <x v="0"/>
    <x v="0"/>
    <x v="1"/>
    <s v="DK2_Large"/>
    <x v="2"/>
    <s v="GNR_ST_MSW_BP_E-21"/>
    <x v="0"/>
    <x v="13"/>
    <n v="46.321230665969701"/>
    <n v="16907.2491930789"/>
    <n v="60866.097095084202"/>
  </r>
  <r>
    <x v="0"/>
    <x v="0"/>
    <x v="0"/>
    <x v="0"/>
    <x v="1"/>
    <s v="DK2_Large"/>
    <x v="2"/>
    <s v="GNR_ST_MSW_BP_E-21"/>
    <x v="0"/>
    <x v="14"/>
    <n v="46.321230665969701"/>
    <n v="16907.2491930789"/>
    <n v="60866.097095084202"/>
  </r>
  <r>
    <x v="0"/>
    <x v="0"/>
    <x v="0"/>
    <x v="0"/>
    <x v="1"/>
    <s v="DK2_Large"/>
    <x v="2"/>
    <s v="GNR_ST_MSW_BP_E-21"/>
    <x v="0"/>
    <x v="15"/>
    <n v="46.321230665969701"/>
    <n v="16907.2491930789"/>
    <n v="60866.097095084202"/>
  </r>
  <r>
    <x v="0"/>
    <x v="0"/>
    <x v="0"/>
    <x v="0"/>
    <x v="1"/>
    <s v="DK2_Large"/>
    <x v="2"/>
    <s v="GNR_ST_MSW_BP_E-21"/>
    <x v="0"/>
    <x v="4"/>
    <n v="46.321230665969701"/>
    <n v="16907.2491930789"/>
    <n v="60866.097095084202"/>
  </r>
  <r>
    <x v="0"/>
    <x v="0"/>
    <x v="0"/>
    <x v="0"/>
    <x v="1"/>
    <s v="DK2_Large"/>
    <x v="2"/>
    <s v="GNR_ST_MSW_BP_E-21"/>
    <x v="0"/>
    <x v="16"/>
    <n v="46.321230665969701"/>
    <n v="16907.2491930789"/>
    <n v="60866.097095084202"/>
  </r>
  <r>
    <x v="0"/>
    <x v="0"/>
    <x v="0"/>
    <x v="0"/>
    <x v="1"/>
    <s v="DK2_Large"/>
    <x v="2"/>
    <s v="GNR_ST_MSW_BP_E-21"/>
    <x v="0"/>
    <x v="5"/>
    <n v="46.321230665969701"/>
    <n v="16907.2491930789"/>
    <n v="60866.097095084202"/>
  </r>
  <r>
    <x v="0"/>
    <x v="0"/>
    <x v="0"/>
    <x v="0"/>
    <x v="1"/>
    <s v="DK2_Large"/>
    <x v="2"/>
    <s v="GNR_ST_MSW_BP_E-21"/>
    <x v="0"/>
    <x v="17"/>
    <n v="46.321230665969701"/>
    <n v="16907.2491930789"/>
    <n v="60866.097095084202"/>
  </r>
  <r>
    <x v="0"/>
    <x v="0"/>
    <x v="0"/>
    <x v="0"/>
    <x v="1"/>
    <s v="DK2_Large"/>
    <x v="2"/>
    <s v="GNR_ST_MSW_BP_E-21"/>
    <x v="0"/>
    <x v="18"/>
    <n v="46.321230665969701"/>
    <n v="16907.2491930789"/>
    <n v="60866.097095084202"/>
  </r>
  <r>
    <x v="0"/>
    <x v="0"/>
    <x v="0"/>
    <x v="0"/>
    <x v="1"/>
    <s v="DK2_Large"/>
    <x v="2"/>
    <s v="GNR_ST_MSW_BP_E-21"/>
    <x v="0"/>
    <x v="19"/>
    <n v="46.321230665969701"/>
    <n v="16907.2491930789"/>
    <n v="60866.097095084202"/>
  </r>
  <r>
    <x v="0"/>
    <x v="0"/>
    <x v="0"/>
    <x v="0"/>
    <x v="1"/>
    <s v="DK2_Large"/>
    <x v="2"/>
    <s v="GNR_ST_MSW_BP_E-21"/>
    <x v="0"/>
    <x v="20"/>
    <n v="46.321230665969701"/>
    <n v="16907.2491930789"/>
    <n v="60866.097095084202"/>
  </r>
  <r>
    <x v="0"/>
    <x v="0"/>
    <x v="0"/>
    <x v="0"/>
    <x v="1"/>
    <s v="DK2_Large"/>
    <x v="2"/>
    <s v="GNR_ST_MSW_BP_E-21"/>
    <x v="0"/>
    <x v="21"/>
    <n v="46.321230665969701"/>
    <n v="16907.2491930789"/>
    <n v="60866.097095084202"/>
  </r>
  <r>
    <x v="0"/>
    <x v="0"/>
    <x v="0"/>
    <x v="0"/>
    <x v="1"/>
    <s v="DK2_Large"/>
    <x v="2"/>
    <s v="GNR_ST_MSW_BP_E-21"/>
    <x v="0"/>
    <x v="22"/>
    <n v="46.321230665969701"/>
    <n v="16907.2491930789"/>
    <n v="60866.097095084202"/>
  </r>
  <r>
    <x v="0"/>
    <x v="0"/>
    <x v="0"/>
    <x v="0"/>
    <x v="1"/>
    <s v="DK2_Large"/>
    <x v="2"/>
    <s v="GNR_ST_MSW_BP_E-21"/>
    <x v="0"/>
    <x v="23"/>
    <n v="46.321230665969701"/>
    <n v="16907.2491930789"/>
    <n v="60866.097095084202"/>
  </r>
  <r>
    <x v="0"/>
    <x v="0"/>
    <x v="0"/>
    <x v="0"/>
    <x v="1"/>
    <s v="DK2_Large"/>
    <x v="2"/>
    <s v="GNR_ST_MSW_BP_E-27"/>
    <x v="0"/>
    <x v="6"/>
    <n v="65.593567512395097"/>
    <n v="23941.652142024199"/>
    <n v="86189.947711287095"/>
  </r>
  <r>
    <x v="0"/>
    <x v="0"/>
    <x v="0"/>
    <x v="0"/>
    <x v="1"/>
    <s v="DK2_Large"/>
    <x v="2"/>
    <s v="GNR_ST_MSW_BP_E-27"/>
    <x v="0"/>
    <x v="7"/>
    <n v="65.593567512395097"/>
    <n v="23941.652142024199"/>
    <n v="86189.947711287095"/>
  </r>
  <r>
    <x v="0"/>
    <x v="0"/>
    <x v="0"/>
    <x v="0"/>
    <x v="1"/>
    <s v="DK2_Large"/>
    <x v="2"/>
    <s v="GNR_ST_MSW_BP_E-27"/>
    <x v="0"/>
    <x v="8"/>
    <n v="65.593567512395097"/>
    <n v="23941.652142024199"/>
    <n v="86189.947711287095"/>
  </r>
  <r>
    <x v="0"/>
    <x v="0"/>
    <x v="0"/>
    <x v="0"/>
    <x v="1"/>
    <s v="DK2_Large"/>
    <x v="2"/>
    <s v="GNR_ST_MSW_BP_E-27"/>
    <x v="0"/>
    <x v="9"/>
    <n v="65.593567512395097"/>
    <n v="23941.652142024199"/>
    <n v="86189.947711287095"/>
  </r>
  <r>
    <x v="0"/>
    <x v="0"/>
    <x v="0"/>
    <x v="0"/>
    <x v="1"/>
    <s v="DK2_Large"/>
    <x v="2"/>
    <s v="GNR_ST_MSW_BP_E-27"/>
    <x v="0"/>
    <x v="10"/>
    <n v="65.593567512395097"/>
    <n v="23941.652142024199"/>
    <n v="86189.947711287095"/>
  </r>
  <r>
    <x v="0"/>
    <x v="0"/>
    <x v="0"/>
    <x v="0"/>
    <x v="1"/>
    <s v="DK2_Large"/>
    <x v="2"/>
    <s v="GNR_ST_MSW_BP_E-27"/>
    <x v="0"/>
    <x v="11"/>
    <n v="65.593567512395097"/>
    <n v="23941.652142024199"/>
    <n v="86189.947711287095"/>
  </r>
  <r>
    <x v="0"/>
    <x v="0"/>
    <x v="0"/>
    <x v="0"/>
    <x v="1"/>
    <s v="DK2_Large"/>
    <x v="2"/>
    <s v="GNR_ST_MSW_BP_E-27"/>
    <x v="0"/>
    <x v="0"/>
    <n v="65.593567512395097"/>
    <n v="23941.652142024199"/>
    <n v="86189.947711287095"/>
  </r>
  <r>
    <x v="0"/>
    <x v="0"/>
    <x v="0"/>
    <x v="0"/>
    <x v="1"/>
    <s v="DK2_Large"/>
    <x v="2"/>
    <s v="GNR_ST_MSW_BP_E-27"/>
    <x v="0"/>
    <x v="1"/>
    <n v="65.593567512395097"/>
    <n v="23941.652142024199"/>
    <n v="86189.947711287095"/>
  </r>
  <r>
    <x v="0"/>
    <x v="0"/>
    <x v="0"/>
    <x v="0"/>
    <x v="1"/>
    <s v="DK2_Large"/>
    <x v="2"/>
    <s v="GNR_ST_MSW_BP_E-27"/>
    <x v="0"/>
    <x v="2"/>
    <n v="65.593567512395097"/>
    <n v="23941.652142024199"/>
    <n v="86189.947711287095"/>
  </r>
  <r>
    <x v="0"/>
    <x v="0"/>
    <x v="0"/>
    <x v="0"/>
    <x v="1"/>
    <s v="DK2_Large"/>
    <x v="2"/>
    <s v="GNR_ST_MSW_BP_E-27"/>
    <x v="0"/>
    <x v="3"/>
    <n v="65.593567512395097"/>
    <n v="23941.652142024199"/>
    <n v="86189.947711287095"/>
  </r>
  <r>
    <x v="0"/>
    <x v="0"/>
    <x v="0"/>
    <x v="0"/>
    <x v="1"/>
    <s v="DK2_Large"/>
    <x v="2"/>
    <s v="GNR_ST_MSW_BP_E-27"/>
    <x v="0"/>
    <x v="12"/>
    <n v="65.593567512395097"/>
    <n v="23941.652142024199"/>
    <n v="86189.947711287095"/>
  </r>
  <r>
    <x v="0"/>
    <x v="0"/>
    <x v="0"/>
    <x v="0"/>
    <x v="1"/>
    <s v="DK2_Large"/>
    <x v="2"/>
    <s v="GNR_ST_MSW_BP_E-27"/>
    <x v="0"/>
    <x v="13"/>
    <n v="65.593567512395097"/>
    <n v="23941.652142024199"/>
    <n v="86189.947711287095"/>
  </r>
  <r>
    <x v="0"/>
    <x v="0"/>
    <x v="0"/>
    <x v="0"/>
    <x v="1"/>
    <s v="DK2_Large"/>
    <x v="2"/>
    <s v="GNR_ST_MSW_BP_E-27"/>
    <x v="0"/>
    <x v="14"/>
    <n v="65.593567512395097"/>
    <n v="23941.652142024199"/>
    <n v="86189.947711287095"/>
  </r>
  <r>
    <x v="0"/>
    <x v="0"/>
    <x v="0"/>
    <x v="0"/>
    <x v="1"/>
    <s v="DK2_Large"/>
    <x v="2"/>
    <s v="GNR_ST_MSW_BP_E-27"/>
    <x v="0"/>
    <x v="15"/>
    <n v="65.593567512395097"/>
    <n v="23941.652142024199"/>
    <n v="86189.947711287095"/>
  </r>
  <r>
    <x v="0"/>
    <x v="0"/>
    <x v="0"/>
    <x v="0"/>
    <x v="1"/>
    <s v="DK2_Large"/>
    <x v="2"/>
    <s v="GNR_ST_MSW_BP_E-27"/>
    <x v="0"/>
    <x v="4"/>
    <n v="65.593567512395097"/>
    <n v="23941.652142024199"/>
    <n v="86189.947711287095"/>
  </r>
  <r>
    <x v="0"/>
    <x v="0"/>
    <x v="0"/>
    <x v="0"/>
    <x v="1"/>
    <s v="DK2_Large"/>
    <x v="2"/>
    <s v="GNR_ST_MSW_BP_E-27"/>
    <x v="0"/>
    <x v="16"/>
    <n v="65.593567512395097"/>
    <n v="23941.652142024199"/>
    <n v="86189.947711287095"/>
  </r>
  <r>
    <x v="0"/>
    <x v="0"/>
    <x v="0"/>
    <x v="0"/>
    <x v="1"/>
    <s v="DK2_Large"/>
    <x v="2"/>
    <s v="GNR_ST_MSW_BP_E-27"/>
    <x v="0"/>
    <x v="5"/>
    <n v="65.593567512395097"/>
    <n v="23941.652142024199"/>
    <n v="86189.947711287095"/>
  </r>
  <r>
    <x v="0"/>
    <x v="0"/>
    <x v="0"/>
    <x v="0"/>
    <x v="1"/>
    <s v="DK2_Large"/>
    <x v="2"/>
    <s v="GNR_ST_MSW_BP_E-27"/>
    <x v="0"/>
    <x v="17"/>
    <n v="65.593567512395097"/>
    <n v="23941.652142024199"/>
    <n v="86189.947711287095"/>
  </r>
  <r>
    <x v="0"/>
    <x v="0"/>
    <x v="0"/>
    <x v="0"/>
    <x v="1"/>
    <s v="DK2_Large"/>
    <x v="2"/>
    <s v="GNR_ST_MSW_BP_E-27"/>
    <x v="0"/>
    <x v="18"/>
    <n v="65.593567512395097"/>
    <n v="23941.652142024199"/>
    <n v="86189.947711287095"/>
  </r>
  <r>
    <x v="0"/>
    <x v="0"/>
    <x v="0"/>
    <x v="0"/>
    <x v="1"/>
    <s v="DK2_Large"/>
    <x v="2"/>
    <s v="GNR_ST_MSW_BP_E-27"/>
    <x v="0"/>
    <x v="19"/>
    <n v="65.593567512395097"/>
    <n v="23941.652142024199"/>
    <n v="86189.947711287095"/>
  </r>
  <r>
    <x v="0"/>
    <x v="0"/>
    <x v="0"/>
    <x v="0"/>
    <x v="1"/>
    <s v="DK2_Large"/>
    <x v="2"/>
    <s v="GNR_ST_MSW_BP_E-27"/>
    <x v="0"/>
    <x v="20"/>
    <n v="65.593567512395097"/>
    <n v="23941.652142024199"/>
    <n v="86189.947711287095"/>
  </r>
  <r>
    <x v="0"/>
    <x v="0"/>
    <x v="0"/>
    <x v="0"/>
    <x v="1"/>
    <s v="DK2_Large"/>
    <x v="2"/>
    <s v="GNR_ST_MSW_BP_E-27"/>
    <x v="0"/>
    <x v="21"/>
    <n v="65.593567512395097"/>
    <n v="23941.652142024199"/>
    <n v="86189.947711287095"/>
  </r>
  <r>
    <x v="0"/>
    <x v="0"/>
    <x v="0"/>
    <x v="0"/>
    <x v="1"/>
    <s v="DK2_Large"/>
    <x v="2"/>
    <s v="GNR_ST_MSW_BP_E-27"/>
    <x v="0"/>
    <x v="22"/>
    <n v="65.593567512395097"/>
    <n v="23941.652142024199"/>
    <n v="86189.947711287095"/>
  </r>
  <r>
    <x v="0"/>
    <x v="0"/>
    <x v="0"/>
    <x v="0"/>
    <x v="1"/>
    <s v="DK2_Large"/>
    <x v="2"/>
    <s v="GNR_ST_MSW_BP_E-27"/>
    <x v="0"/>
    <x v="23"/>
    <n v="65.593567512395097"/>
    <n v="23941.652142024199"/>
    <n v="86189.947711287095"/>
  </r>
  <r>
    <x v="0"/>
    <x v="0"/>
    <x v="0"/>
    <x v="0"/>
    <x v="1"/>
    <s v="DK2_Large"/>
    <x v="3"/>
    <s v="GNR_ENG_NGAS_BP_E-34"/>
    <x v="0"/>
    <x v="6"/>
    <n v="1.0888888888888899"/>
    <n v="397.44444444444503"/>
    <n v="1430.8"/>
  </r>
  <r>
    <x v="0"/>
    <x v="0"/>
    <x v="0"/>
    <x v="0"/>
    <x v="1"/>
    <s v="DK2_Large"/>
    <x v="3"/>
    <s v="GNR_ENG_NGAS_BP_E-34"/>
    <x v="0"/>
    <x v="7"/>
    <n v="1.0888888888888899"/>
    <n v="397.44444444444503"/>
    <n v="1430.8"/>
  </r>
  <r>
    <x v="0"/>
    <x v="0"/>
    <x v="0"/>
    <x v="0"/>
    <x v="1"/>
    <s v="DK2_Large"/>
    <x v="3"/>
    <s v="GNR_ENG_NGAS_BP_E-34"/>
    <x v="0"/>
    <x v="8"/>
    <n v="1.0888888888888899"/>
    <n v="397.44444444444503"/>
    <n v="1430.8"/>
  </r>
  <r>
    <x v="0"/>
    <x v="0"/>
    <x v="0"/>
    <x v="0"/>
    <x v="1"/>
    <s v="DK2_Large"/>
    <x v="3"/>
    <s v="GNR_ENG_NGAS_BP_E-34"/>
    <x v="0"/>
    <x v="9"/>
    <n v="1.0888888888888899"/>
    <n v="397.44444444444503"/>
    <n v="1430.8"/>
  </r>
  <r>
    <x v="0"/>
    <x v="0"/>
    <x v="0"/>
    <x v="0"/>
    <x v="1"/>
    <s v="DK2_Large"/>
    <x v="3"/>
    <s v="GNR_ENG_NGAS_BP_E-34"/>
    <x v="0"/>
    <x v="10"/>
    <n v="1.0888888888888899"/>
    <n v="397.44444444444503"/>
    <n v="1430.8"/>
  </r>
  <r>
    <x v="0"/>
    <x v="0"/>
    <x v="0"/>
    <x v="0"/>
    <x v="1"/>
    <s v="DK2_Large"/>
    <x v="3"/>
    <s v="GNR_ENG_NGAS_BP_E-34"/>
    <x v="0"/>
    <x v="11"/>
    <n v="1.0888888888888899"/>
    <n v="397.44444444444503"/>
    <n v="1430.8"/>
  </r>
  <r>
    <x v="0"/>
    <x v="0"/>
    <x v="0"/>
    <x v="0"/>
    <x v="1"/>
    <s v="DK2_Large"/>
    <x v="3"/>
    <s v="GNR_ENG_NGAS_BP_E-34"/>
    <x v="0"/>
    <x v="0"/>
    <n v="1.0888888888888899"/>
    <n v="397.44444444444503"/>
    <n v="1430.8"/>
  </r>
  <r>
    <x v="0"/>
    <x v="0"/>
    <x v="0"/>
    <x v="0"/>
    <x v="1"/>
    <s v="DK2_Large"/>
    <x v="3"/>
    <s v="GNR_ENG_NGAS_BP_E-34"/>
    <x v="0"/>
    <x v="1"/>
    <n v="1.0888888888888899"/>
    <n v="397.44444444444503"/>
    <n v="1430.8"/>
  </r>
  <r>
    <x v="0"/>
    <x v="0"/>
    <x v="0"/>
    <x v="0"/>
    <x v="1"/>
    <s v="DK2_Large"/>
    <x v="3"/>
    <s v="GNR_ENG_NGAS_BP_E-34"/>
    <x v="0"/>
    <x v="2"/>
    <n v="1.0888888888888899"/>
    <n v="397.44444444444503"/>
    <n v="1430.8"/>
  </r>
  <r>
    <x v="0"/>
    <x v="0"/>
    <x v="0"/>
    <x v="0"/>
    <x v="1"/>
    <s v="DK2_Large"/>
    <x v="3"/>
    <s v="GNR_ENG_NGAS_BP_E-34"/>
    <x v="0"/>
    <x v="3"/>
    <n v="1.0888888888888899"/>
    <n v="397.44444444444503"/>
    <n v="1430.8"/>
  </r>
  <r>
    <x v="0"/>
    <x v="0"/>
    <x v="0"/>
    <x v="0"/>
    <x v="1"/>
    <s v="DK2_Large"/>
    <x v="3"/>
    <s v="GNR_ENG_NGAS_BP_E-34"/>
    <x v="0"/>
    <x v="12"/>
    <n v="1.0888888888888899"/>
    <n v="397.44444444444503"/>
    <n v="1430.8"/>
  </r>
  <r>
    <x v="0"/>
    <x v="0"/>
    <x v="0"/>
    <x v="0"/>
    <x v="1"/>
    <s v="DK2_Large"/>
    <x v="3"/>
    <s v="GNR_ENG_NGAS_BP_E-34"/>
    <x v="0"/>
    <x v="13"/>
    <n v="1.0888888888888899"/>
    <n v="397.44444444444503"/>
    <n v="1430.8"/>
  </r>
  <r>
    <x v="0"/>
    <x v="0"/>
    <x v="0"/>
    <x v="0"/>
    <x v="1"/>
    <s v="DK2_Large"/>
    <x v="3"/>
    <s v="GNR_ENG_NGAS_BP_E-34"/>
    <x v="0"/>
    <x v="14"/>
    <n v="1.0888888888888899"/>
    <n v="397.44444444444503"/>
    <n v="1430.8"/>
  </r>
  <r>
    <x v="0"/>
    <x v="0"/>
    <x v="0"/>
    <x v="0"/>
    <x v="1"/>
    <s v="DK2_Large"/>
    <x v="3"/>
    <s v="GNR_ENG_NGAS_BP_E-34"/>
    <x v="0"/>
    <x v="15"/>
    <n v="1.0888888888888899"/>
    <n v="397.44444444444503"/>
    <n v="1430.8"/>
  </r>
  <r>
    <x v="0"/>
    <x v="0"/>
    <x v="0"/>
    <x v="0"/>
    <x v="1"/>
    <s v="DK2_Large"/>
    <x v="3"/>
    <s v="GNR_ENG_NGAS_BP_E-34"/>
    <x v="0"/>
    <x v="4"/>
    <n v="1.0888888888888899"/>
    <n v="397.44444444444503"/>
    <n v="1430.8"/>
  </r>
  <r>
    <x v="0"/>
    <x v="0"/>
    <x v="0"/>
    <x v="0"/>
    <x v="1"/>
    <s v="DK2_Large"/>
    <x v="3"/>
    <s v="GNR_ENG_NGAS_BP_E-34"/>
    <x v="0"/>
    <x v="16"/>
    <n v="1.0888888888888899"/>
    <n v="397.44444444444503"/>
    <n v="1430.8"/>
  </r>
  <r>
    <x v="0"/>
    <x v="0"/>
    <x v="0"/>
    <x v="0"/>
    <x v="1"/>
    <s v="DK2_Large"/>
    <x v="3"/>
    <s v="GNR_ENG_NGAS_BP_E-34"/>
    <x v="0"/>
    <x v="5"/>
    <n v="1.0888888888888899"/>
    <n v="397.44444444444503"/>
    <n v="1430.8"/>
  </r>
  <r>
    <x v="0"/>
    <x v="0"/>
    <x v="0"/>
    <x v="0"/>
    <x v="1"/>
    <s v="DK2_Large"/>
    <x v="3"/>
    <s v="GNR_ENG_NGAS_BP_E-34"/>
    <x v="0"/>
    <x v="17"/>
    <n v="1.0888888888888899"/>
    <n v="397.44444444444503"/>
    <n v="1430.8"/>
  </r>
  <r>
    <x v="0"/>
    <x v="0"/>
    <x v="0"/>
    <x v="0"/>
    <x v="1"/>
    <s v="DK2_Large"/>
    <x v="3"/>
    <s v="GNR_ENG_NGAS_BP_E-34"/>
    <x v="0"/>
    <x v="18"/>
    <n v="1.0888888888888899"/>
    <n v="397.44444444444503"/>
    <n v="1430.8"/>
  </r>
  <r>
    <x v="0"/>
    <x v="0"/>
    <x v="0"/>
    <x v="0"/>
    <x v="1"/>
    <s v="DK2_Large"/>
    <x v="3"/>
    <s v="GNR_ENG_NGAS_BP_E-34"/>
    <x v="0"/>
    <x v="19"/>
    <n v="1.0888888888888899"/>
    <n v="397.44444444444503"/>
    <n v="1430.8"/>
  </r>
  <r>
    <x v="0"/>
    <x v="0"/>
    <x v="0"/>
    <x v="0"/>
    <x v="1"/>
    <s v="DK2_Large"/>
    <x v="3"/>
    <s v="GNR_ENG_NGAS_BP_E-34"/>
    <x v="0"/>
    <x v="20"/>
    <n v="1.0888888888888899"/>
    <n v="397.44444444444503"/>
    <n v="1430.8"/>
  </r>
  <r>
    <x v="0"/>
    <x v="0"/>
    <x v="0"/>
    <x v="0"/>
    <x v="1"/>
    <s v="DK2_Large"/>
    <x v="3"/>
    <s v="GNR_ENG_NGAS_BP_E-34"/>
    <x v="0"/>
    <x v="21"/>
    <n v="1.0888888888888899"/>
    <n v="397.44444444444503"/>
    <n v="1430.8"/>
  </r>
  <r>
    <x v="0"/>
    <x v="0"/>
    <x v="0"/>
    <x v="0"/>
    <x v="1"/>
    <s v="DK2_Large"/>
    <x v="3"/>
    <s v="GNR_ENG_NGAS_BP_E-34"/>
    <x v="0"/>
    <x v="22"/>
    <n v="1.0888888888888899"/>
    <n v="397.44444444444503"/>
    <n v="1430.8"/>
  </r>
  <r>
    <x v="0"/>
    <x v="0"/>
    <x v="0"/>
    <x v="0"/>
    <x v="1"/>
    <s v="DK2_Large"/>
    <x v="3"/>
    <s v="GNR_ENG_NGAS_BP_E-34"/>
    <x v="0"/>
    <x v="23"/>
    <n v="1.0888888888888899"/>
    <n v="397.44444444444503"/>
    <n v="1430.8"/>
  </r>
  <r>
    <x v="0"/>
    <x v="0"/>
    <x v="0"/>
    <x v="0"/>
    <x v="1"/>
    <s v="DK2_Large"/>
    <x v="3"/>
    <s v="GNR_ENG_NGAS_BP_E-36"/>
    <x v="0"/>
    <x v="6"/>
    <n v="3.1111111111111098"/>
    <n v="1135.55555555556"/>
    <n v="4088"/>
  </r>
  <r>
    <x v="0"/>
    <x v="0"/>
    <x v="0"/>
    <x v="0"/>
    <x v="1"/>
    <s v="DK2_Large"/>
    <x v="3"/>
    <s v="GNR_ENG_NGAS_BP_E-36"/>
    <x v="0"/>
    <x v="7"/>
    <n v="3.1111111111111098"/>
    <n v="1135.55555555556"/>
    <n v="4088"/>
  </r>
  <r>
    <x v="0"/>
    <x v="0"/>
    <x v="0"/>
    <x v="0"/>
    <x v="1"/>
    <s v="DK2_Large"/>
    <x v="3"/>
    <s v="GNR_ENG_NGAS_BP_E-36"/>
    <x v="0"/>
    <x v="8"/>
    <n v="3.1111111111111098"/>
    <n v="1135.55555555556"/>
    <n v="4088"/>
  </r>
  <r>
    <x v="0"/>
    <x v="0"/>
    <x v="0"/>
    <x v="0"/>
    <x v="1"/>
    <s v="DK2_Large"/>
    <x v="3"/>
    <s v="GNR_ENG_NGAS_BP_E-36"/>
    <x v="0"/>
    <x v="9"/>
    <n v="3.1111111111111098"/>
    <n v="1135.55555555556"/>
    <n v="4088"/>
  </r>
  <r>
    <x v="0"/>
    <x v="0"/>
    <x v="0"/>
    <x v="0"/>
    <x v="1"/>
    <s v="DK2_Large"/>
    <x v="3"/>
    <s v="GNR_ENG_NGAS_BP_E-36"/>
    <x v="0"/>
    <x v="10"/>
    <n v="3.1111111111111098"/>
    <n v="1135.55555555556"/>
    <n v="4088"/>
  </r>
  <r>
    <x v="0"/>
    <x v="0"/>
    <x v="0"/>
    <x v="0"/>
    <x v="1"/>
    <s v="DK2_Large"/>
    <x v="3"/>
    <s v="GNR_ENG_NGAS_BP_E-36"/>
    <x v="0"/>
    <x v="11"/>
    <n v="3.1111111111111098"/>
    <n v="1135.55555555556"/>
    <n v="4088"/>
  </r>
  <r>
    <x v="0"/>
    <x v="0"/>
    <x v="0"/>
    <x v="0"/>
    <x v="1"/>
    <s v="DK2_Large"/>
    <x v="3"/>
    <s v="GNR_ENG_NGAS_BP_E-36"/>
    <x v="0"/>
    <x v="0"/>
    <n v="3.1111111111111098"/>
    <n v="1135.55555555556"/>
    <n v="4088"/>
  </r>
  <r>
    <x v="0"/>
    <x v="0"/>
    <x v="0"/>
    <x v="0"/>
    <x v="1"/>
    <s v="DK2_Large"/>
    <x v="3"/>
    <s v="GNR_ENG_NGAS_BP_E-36"/>
    <x v="0"/>
    <x v="1"/>
    <n v="3.1111111111111098"/>
    <n v="1135.55555555556"/>
    <n v="4088"/>
  </r>
  <r>
    <x v="0"/>
    <x v="0"/>
    <x v="0"/>
    <x v="0"/>
    <x v="1"/>
    <s v="DK2_Large"/>
    <x v="3"/>
    <s v="GNR_ENG_NGAS_BP_E-36"/>
    <x v="0"/>
    <x v="2"/>
    <n v="3.1111111111111098"/>
    <n v="1135.55555555556"/>
    <n v="4088"/>
  </r>
  <r>
    <x v="0"/>
    <x v="0"/>
    <x v="0"/>
    <x v="0"/>
    <x v="1"/>
    <s v="DK2_Large"/>
    <x v="3"/>
    <s v="GNR_ENG_NGAS_BP_E-36"/>
    <x v="0"/>
    <x v="3"/>
    <n v="3.1111111111111098"/>
    <n v="1135.55555555556"/>
    <n v="4088"/>
  </r>
  <r>
    <x v="0"/>
    <x v="0"/>
    <x v="0"/>
    <x v="0"/>
    <x v="1"/>
    <s v="DK2_Large"/>
    <x v="3"/>
    <s v="GNR_ENG_NGAS_BP_E-36"/>
    <x v="0"/>
    <x v="12"/>
    <n v="3.1111111111111098"/>
    <n v="1135.55555555556"/>
    <n v="4088"/>
  </r>
  <r>
    <x v="0"/>
    <x v="0"/>
    <x v="0"/>
    <x v="0"/>
    <x v="1"/>
    <s v="DK2_Large"/>
    <x v="3"/>
    <s v="GNR_ENG_NGAS_BP_E-36"/>
    <x v="0"/>
    <x v="13"/>
    <n v="3.1111111111111098"/>
    <n v="1135.55555555556"/>
    <n v="4088"/>
  </r>
  <r>
    <x v="0"/>
    <x v="0"/>
    <x v="0"/>
    <x v="0"/>
    <x v="1"/>
    <s v="DK2_Large"/>
    <x v="3"/>
    <s v="GNR_ENG_NGAS_BP_E-36"/>
    <x v="0"/>
    <x v="14"/>
    <n v="3.1111111111111098"/>
    <n v="1135.55555555556"/>
    <n v="4088"/>
  </r>
  <r>
    <x v="0"/>
    <x v="0"/>
    <x v="0"/>
    <x v="0"/>
    <x v="1"/>
    <s v="DK2_Large"/>
    <x v="3"/>
    <s v="GNR_ENG_NGAS_BP_E-36"/>
    <x v="0"/>
    <x v="15"/>
    <n v="3.1111111111111098"/>
    <n v="1135.55555555556"/>
    <n v="4088"/>
  </r>
  <r>
    <x v="0"/>
    <x v="0"/>
    <x v="0"/>
    <x v="0"/>
    <x v="1"/>
    <s v="DK2_Large"/>
    <x v="3"/>
    <s v="GNR_ENG_NGAS_BP_E-36"/>
    <x v="0"/>
    <x v="4"/>
    <n v="3.1111111111111098"/>
    <n v="1135.55555555556"/>
    <n v="4088"/>
  </r>
  <r>
    <x v="0"/>
    <x v="0"/>
    <x v="0"/>
    <x v="0"/>
    <x v="1"/>
    <s v="DK2_Large"/>
    <x v="3"/>
    <s v="GNR_ENG_NGAS_BP_E-36"/>
    <x v="0"/>
    <x v="16"/>
    <n v="3.1111111111111098"/>
    <n v="1135.55555555556"/>
    <n v="4088"/>
  </r>
  <r>
    <x v="0"/>
    <x v="0"/>
    <x v="0"/>
    <x v="0"/>
    <x v="1"/>
    <s v="DK2_Large"/>
    <x v="3"/>
    <s v="GNR_ENG_NGAS_BP_E-36"/>
    <x v="0"/>
    <x v="5"/>
    <n v="3.1111111111111098"/>
    <n v="1135.55555555556"/>
    <n v="4088"/>
  </r>
  <r>
    <x v="0"/>
    <x v="0"/>
    <x v="0"/>
    <x v="0"/>
    <x v="1"/>
    <s v="DK2_Large"/>
    <x v="3"/>
    <s v="GNR_ENG_NGAS_BP_E-36"/>
    <x v="0"/>
    <x v="17"/>
    <n v="3.1111111111111098"/>
    <n v="1135.55555555556"/>
    <n v="4088"/>
  </r>
  <r>
    <x v="0"/>
    <x v="0"/>
    <x v="0"/>
    <x v="0"/>
    <x v="1"/>
    <s v="DK2_Large"/>
    <x v="3"/>
    <s v="GNR_ENG_NGAS_BP_E-36"/>
    <x v="0"/>
    <x v="18"/>
    <n v="3.1111111111111098"/>
    <n v="1135.55555555556"/>
    <n v="4088"/>
  </r>
  <r>
    <x v="0"/>
    <x v="0"/>
    <x v="0"/>
    <x v="0"/>
    <x v="1"/>
    <s v="DK2_Large"/>
    <x v="3"/>
    <s v="GNR_ENG_NGAS_BP_E-36"/>
    <x v="0"/>
    <x v="19"/>
    <n v="3.1111111111111098"/>
    <n v="1135.55555555556"/>
    <n v="4088"/>
  </r>
  <r>
    <x v="0"/>
    <x v="0"/>
    <x v="0"/>
    <x v="0"/>
    <x v="1"/>
    <s v="DK2_Large"/>
    <x v="3"/>
    <s v="GNR_ENG_NGAS_BP_E-36"/>
    <x v="0"/>
    <x v="20"/>
    <n v="3.1111111111111098"/>
    <n v="1135.55555555556"/>
    <n v="4088"/>
  </r>
  <r>
    <x v="0"/>
    <x v="0"/>
    <x v="0"/>
    <x v="0"/>
    <x v="1"/>
    <s v="DK2_Large"/>
    <x v="3"/>
    <s v="GNR_ENG_NGAS_BP_E-36"/>
    <x v="0"/>
    <x v="21"/>
    <n v="3.1111111111111098"/>
    <n v="1135.55555555556"/>
    <n v="4088"/>
  </r>
  <r>
    <x v="0"/>
    <x v="0"/>
    <x v="0"/>
    <x v="0"/>
    <x v="1"/>
    <s v="DK2_Large"/>
    <x v="3"/>
    <s v="GNR_ENG_NGAS_BP_E-36"/>
    <x v="0"/>
    <x v="22"/>
    <n v="3.1111111111111098"/>
    <n v="1135.55555555556"/>
    <n v="4088"/>
  </r>
  <r>
    <x v="0"/>
    <x v="0"/>
    <x v="0"/>
    <x v="0"/>
    <x v="1"/>
    <s v="DK2_Large"/>
    <x v="3"/>
    <s v="GNR_ENG_NGAS_BP_E-36"/>
    <x v="0"/>
    <x v="23"/>
    <n v="3.1111111111111098"/>
    <n v="1135.55555555556"/>
    <n v="4088"/>
  </r>
  <r>
    <x v="0"/>
    <x v="0"/>
    <x v="0"/>
    <x v="0"/>
    <x v="1"/>
    <s v="DK2_Large"/>
    <x v="3"/>
    <s v="GNR_ENG_NGAS_BP_E-38"/>
    <x v="0"/>
    <x v="6"/>
    <n v="4.4666666666666703"/>
    <n v="1630.3333333333301"/>
    <n v="5869.2"/>
  </r>
  <r>
    <x v="0"/>
    <x v="0"/>
    <x v="0"/>
    <x v="0"/>
    <x v="1"/>
    <s v="DK2_Large"/>
    <x v="3"/>
    <s v="GNR_ENG_NGAS_BP_E-38"/>
    <x v="0"/>
    <x v="7"/>
    <n v="4.4666666666666703"/>
    <n v="1630.3333333333301"/>
    <n v="5869.2"/>
  </r>
  <r>
    <x v="0"/>
    <x v="0"/>
    <x v="0"/>
    <x v="0"/>
    <x v="1"/>
    <s v="DK2_Large"/>
    <x v="3"/>
    <s v="GNR_ENG_NGAS_BP_E-38"/>
    <x v="0"/>
    <x v="8"/>
    <n v="4.4666666666666703"/>
    <n v="1630.3333333333301"/>
    <n v="5869.2"/>
  </r>
  <r>
    <x v="0"/>
    <x v="0"/>
    <x v="0"/>
    <x v="0"/>
    <x v="1"/>
    <s v="DK2_Large"/>
    <x v="3"/>
    <s v="GNR_ENG_NGAS_BP_E-38"/>
    <x v="0"/>
    <x v="9"/>
    <n v="4.4666666666666703"/>
    <n v="1630.3333333333301"/>
    <n v="5869.2"/>
  </r>
  <r>
    <x v="0"/>
    <x v="0"/>
    <x v="0"/>
    <x v="0"/>
    <x v="1"/>
    <s v="DK2_Large"/>
    <x v="3"/>
    <s v="GNR_ENG_NGAS_BP_E-38"/>
    <x v="0"/>
    <x v="10"/>
    <n v="4.4666666666666703"/>
    <n v="1630.3333333333301"/>
    <n v="5869.2"/>
  </r>
  <r>
    <x v="0"/>
    <x v="0"/>
    <x v="0"/>
    <x v="0"/>
    <x v="1"/>
    <s v="DK2_Large"/>
    <x v="3"/>
    <s v="GNR_ENG_NGAS_BP_E-38"/>
    <x v="0"/>
    <x v="11"/>
    <n v="4.4666666666666703"/>
    <n v="1630.3333333333301"/>
    <n v="5869.2"/>
  </r>
  <r>
    <x v="0"/>
    <x v="0"/>
    <x v="0"/>
    <x v="0"/>
    <x v="1"/>
    <s v="DK2_Large"/>
    <x v="3"/>
    <s v="GNR_ENG_NGAS_BP_E-38"/>
    <x v="0"/>
    <x v="0"/>
    <n v="4.4666666666666703"/>
    <n v="1630.3333333333301"/>
    <n v="5869.2"/>
  </r>
  <r>
    <x v="0"/>
    <x v="0"/>
    <x v="0"/>
    <x v="0"/>
    <x v="1"/>
    <s v="DK2_Large"/>
    <x v="3"/>
    <s v="GNR_ENG_NGAS_BP_E-38"/>
    <x v="0"/>
    <x v="1"/>
    <n v="4.4666666666666703"/>
    <n v="1630.3333333333301"/>
    <n v="5869.2"/>
  </r>
  <r>
    <x v="0"/>
    <x v="0"/>
    <x v="0"/>
    <x v="0"/>
    <x v="1"/>
    <s v="DK2_Large"/>
    <x v="3"/>
    <s v="GNR_ENG_NGAS_BP_E-38"/>
    <x v="0"/>
    <x v="2"/>
    <n v="4.4666666666666703"/>
    <n v="1630.3333333333301"/>
    <n v="5869.2"/>
  </r>
  <r>
    <x v="0"/>
    <x v="0"/>
    <x v="0"/>
    <x v="0"/>
    <x v="1"/>
    <s v="DK2_Large"/>
    <x v="3"/>
    <s v="GNR_ENG_NGAS_BP_E-38"/>
    <x v="0"/>
    <x v="3"/>
    <n v="4.4666666666666703"/>
    <n v="1630.3333333333301"/>
    <n v="5869.2"/>
  </r>
  <r>
    <x v="0"/>
    <x v="0"/>
    <x v="0"/>
    <x v="0"/>
    <x v="1"/>
    <s v="DK2_Large"/>
    <x v="3"/>
    <s v="GNR_ENG_NGAS_BP_E-38"/>
    <x v="0"/>
    <x v="12"/>
    <n v="4.4666666666666703"/>
    <n v="1630.3333333333301"/>
    <n v="5869.2"/>
  </r>
  <r>
    <x v="0"/>
    <x v="0"/>
    <x v="0"/>
    <x v="0"/>
    <x v="1"/>
    <s v="DK2_Large"/>
    <x v="3"/>
    <s v="GNR_ENG_NGAS_BP_E-38"/>
    <x v="0"/>
    <x v="13"/>
    <n v="4.4666666666666703"/>
    <n v="1630.3333333333301"/>
    <n v="5869.2"/>
  </r>
  <r>
    <x v="0"/>
    <x v="0"/>
    <x v="0"/>
    <x v="0"/>
    <x v="1"/>
    <s v="DK2_Large"/>
    <x v="3"/>
    <s v="GNR_ENG_NGAS_BP_E-38"/>
    <x v="0"/>
    <x v="14"/>
    <n v="4.4666666666666703"/>
    <n v="1630.3333333333301"/>
    <n v="5869.2"/>
  </r>
  <r>
    <x v="0"/>
    <x v="0"/>
    <x v="0"/>
    <x v="0"/>
    <x v="1"/>
    <s v="DK2_Large"/>
    <x v="3"/>
    <s v="GNR_ENG_NGAS_BP_E-38"/>
    <x v="0"/>
    <x v="15"/>
    <n v="4.4666666666666703"/>
    <n v="1630.3333333333301"/>
    <n v="5869.2"/>
  </r>
  <r>
    <x v="0"/>
    <x v="0"/>
    <x v="0"/>
    <x v="0"/>
    <x v="1"/>
    <s v="DK2_Large"/>
    <x v="3"/>
    <s v="GNR_ENG_NGAS_BP_E-38"/>
    <x v="0"/>
    <x v="4"/>
    <n v="4.4666666666666703"/>
    <n v="1630.3333333333301"/>
    <n v="5869.2"/>
  </r>
  <r>
    <x v="0"/>
    <x v="0"/>
    <x v="0"/>
    <x v="0"/>
    <x v="1"/>
    <s v="DK2_Large"/>
    <x v="3"/>
    <s v="GNR_ENG_NGAS_BP_E-38"/>
    <x v="0"/>
    <x v="16"/>
    <n v="4.4666666666666703"/>
    <n v="1630.3333333333301"/>
    <n v="5869.2"/>
  </r>
  <r>
    <x v="0"/>
    <x v="0"/>
    <x v="0"/>
    <x v="0"/>
    <x v="1"/>
    <s v="DK2_Large"/>
    <x v="3"/>
    <s v="GNR_ENG_NGAS_BP_E-38"/>
    <x v="0"/>
    <x v="5"/>
    <n v="4.4666666666666703"/>
    <n v="1630.3333333333301"/>
    <n v="5869.2"/>
  </r>
  <r>
    <x v="0"/>
    <x v="0"/>
    <x v="0"/>
    <x v="0"/>
    <x v="1"/>
    <s v="DK2_Large"/>
    <x v="3"/>
    <s v="GNR_ENG_NGAS_BP_E-38"/>
    <x v="0"/>
    <x v="17"/>
    <n v="4.4666666666666703"/>
    <n v="1630.3333333333301"/>
    <n v="5869.2"/>
  </r>
  <r>
    <x v="0"/>
    <x v="0"/>
    <x v="0"/>
    <x v="0"/>
    <x v="1"/>
    <s v="DK2_Large"/>
    <x v="3"/>
    <s v="GNR_ENG_NGAS_BP_E-38"/>
    <x v="0"/>
    <x v="18"/>
    <n v="4.4666666666666703"/>
    <n v="1630.3333333333301"/>
    <n v="5869.2"/>
  </r>
  <r>
    <x v="0"/>
    <x v="0"/>
    <x v="0"/>
    <x v="0"/>
    <x v="1"/>
    <s v="DK2_Large"/>
    <x v="3"/>
    <s v="GNR_ENG_NGAS_BP_E-38"/>
    <x v="0"/>
    <x v="19"/>
    <n v="4.4666666666666703"/>
    <n v="1630.3333333333301"/>
    <n v="5869.2"/>
  </r>
  <r>
    <x v="0"/>
    <x v="0"/>
    <x v="0"/>
    <x v="0"/>
    <x v="1"/>
    <s v="DK2_Large"/>
    <x v="3"/>
    <s v="GNR_ENG_NGAS_BP_E-38"/>
    <x v="0"/>
    <x v="20"/>
    <n v="4.4666666666666703"/>
    <n v="1630.3333333333301"/>
    <n v="5869.2"/>
  </r>
  <r>
    <x v="0"/>
    <x v="0"/>
    <x v="0"/>
    <x v="0"/>
    <x v="1"/>
    <s v="DK2_Large"/>
    <x v="3"/>
    <s v="GNR_ENG_NGAS_BP_E-38"/>
    <x v="0"/>
    <x v="21"/>
    <n v="4.4666666666666703"/>
    <n v="1630.3333333333301"/>
    <n v="5869.2"/>
  </r>
  <r>
    <x v="0"/>
    <x v="0"/>
    <x v="0"/>
    <x v="0"/>
    <x v="1"/>
    <s v="DK2_Large"/>
    <x v="3"/>
    <s v="GNR_ENG_NGAS_BP_E-38"/>
    <x v="0"/>
    <x v="22"/>
    <n v="4.4666666666666703"/>
    <n v="1630.3333333333301"/>
    <n v="5869.2"/>
  </r>
  <r>
    <x v="0"/>
    <x v="0"/>
    <x v="0"/>
    <x v="0"/>
    <x v="1"/>
    <s v="DK2_Large"/>
    <x v="3"/>
    <s v="GNR_ENG_NGAS_BP_E-38"/>
    <x v="0"/>
    <x v="23"/>
    <n v="4.4666666666666703"/>
    <n v="1630.3333333333301"/>
    <n v="5869.2"/>
  </r>
  <r>
    <x v="0"/>
    <x v="0"/>
    <x v="0"/>
    <x v="0"/>
    <x v="1"/>
    <s v="DK2_Large"/>
    <x v="3"/>
    <s v="GNR_ENG_NGAS_BP_E-40"/>
    <x v="0"/>
    <x v="6"/>
    <n v="6.1111111111111098"/>
    <n v="2230.5555555555602"/>
    <n v="8030"/>
  </r>
  <r>
    <x v="0"/>
    <x v="0"/>
    <x v="0"/>
    <x v="0"/>
    <x v="1"/>
    <s v="DK2_Large"/>
    <x v="3"/>
    <s v="GNR_ENG_NGAS_BP_E-40"/>
    <x v="0"/>
    <x v="7"/>
    <n v="6.1111111111111098"/>
    <n v="2230.5555555555602"/>
    <n v="8030"/>
  </r>
  <r>
    <x v="0"/>
    <x v="0"/>
    <x v="0"/>
    <x v="0"/>
    <x v="1"/>
    <s v="DK2_Large"/>
    <x v="3"/>
    <s v="GNR_ENG_NGAS_BP_E-40"/>
    <x v="0"/>
    <x v="8"/>
    <n v="6.1111111111111098"/>
    <n v="2230.5555555555602"/>
    <n v="8030"/>
  </r>
  <r>
    <x v="0"/>
    <x v="0"/>
    <x v="0"/>
    <x v="0"/>
    <x v="1"/>
    <s v="DK2_Large"/>
    <x v="3"/>
    <s v="GNR_ENG_NGAS_BP_E-40"/>
    <x v="0"/>
    <x v="9"/>
    <n v="6.1111111111111098"/>
    <n v="2230.5555555555602"/>
    <n v="8030"/>
  </r>
  <r>
    <x v="0"/>
    <x v="0"/>
    <x v="0"/>
    <x v="0"/>
    <x v="1"/>
    <s v="DK2_Large"/>
    <x v="3"/>
    <s v="GNR_ENG_NGAS_BP_E-40"/>
    <x v="0"/>
    <x v="10"/>
    <n v="6.1111111111111098"/>
    <n v="2230.5555555555602"/>
    <n v="8030"/>
  </r>
  <r>
    <x v="0"/>
    <x v="0"/>
    <x v="0"/>
    <x v="0"/>
    <x v="1"/>
    <s v="DK2_Large"/>
    <x v="3"/>
    <s v="GNR_ENG_NGAS_BP_E-40"/>
    <x v="0"/>
    <x v="11"/>
    <n v="6.1111111111111098"/>
    <n v="2230.5555555555602"/>
    <n v="8030"/>
  </r>
  <r>
    <x v="0"/>
    <x v="0"/>
    <x v="0"/>
    <x v="0"/>
    <x v="1"/>
    <s v="DK2_Large"/>
    <x v="3"/>
    <s v="GNR_ENG_NGAS_BP_E-40"/>
    <x v="0"/>
    <x v="0"/>
    <n v="6.1111111111111098"/>
    <n v="2230.5555555555602"/>
    <n v="8030"/>
  </r>
  <r>
    <x v="0"/>
    <x v="0"/>
    <x v="0"/>
    <x v="0"/>
    <x v="1"/>
    <s v="DK2_Large"/>
    <x v="3"/>
    <s v="GNR_ENG_NGAS_BP_E-40"/>
    <x v="0"/>
    <x v="1"/>
    <n v="6.1111111111111098"/>
    <n v="2230.5555555555602"/>
    <n v="8030"/>
  </r>
  <r>
    <x v="0"/>
    <x v="0"/>
    <x v="0"/>
    <x v="0"/>
    <x v="1"/>
    <s v="DK2_Large"/>
    <x v="3"/>
    <s v="GNR_ENG_NGAS_BP_E-40"/>
    <x v="0"/>
    <x v="2"/>
    <n v="6.1111111111111098"/>
    <n v="2230.5555555555602"/>
    <n v="8030"/>
  </r>
  <r>
    <x v="0"/>
    <x v="0"/>
    <x v="0"/>
    <x v="0"/>
    <x v="1"/>
    <s v="DK2_Large"/>
    <x v="3"/>
    <s v="GNR_ENG_NGAS_BP_E-40"/>
    <x v="0"/>
    <x v="3"/>
    <n v="6.1111111111111098"/>
    <n v="2230.5555555555602"/>
    <n v="8030"/>
  </r>
  <r>
    <x v="0"/>
    <x v="0"/>
    <x v="0"/>
    <x v="0"/>
    <x v="1"/>
    <s v="DK2_Large"/>
    <x v="3"/>
    <s v="GNR_ENG_NGAS_BP_E-40"/>
    <x v="0"/>
    <x v="12"/>
    <n v="6.1111111111111098"/>
    <n v="2230.5555555555602"/>
    <n v="8030"/>
  </r>
  <r>
    <x v="0"/>
    <x v="0"/>
    <x v="0"/>
    <x v="0"/>
    <x v="1"/>
    <s v="DK2_Large"/>
    <x v="3"/>
    <s v="GNR_ENG_NGAS_BP_E-40"/>
    <x v="0"/>
    <x v="13"/>
    <n v="6.1111111111111098"/>
    <n v="2230.5555555555602"/>
    <n v="8030"/>
  </r>
  <r>
    <x v="0"/>
    <x v="0"/>
    <x v="0"/>
    <x v="0"/>
    <x v="1"/>
    <s v="DK2_Large"/>
    <x v="3"/>
    <s v="GNR_ENG_NGAS_BP_E-40"/>
    <x v="0"/>
    <x v="14"/>
    <n v="6.1111111111111098"/>
    <n v="2230.5555555555602"/>
    <n v="8030"/>
  </r>
  <r>
    <x v="0"/>
    <x v="0"/>
    <x v="0"/>
    <x v="0"/>
    <x v="1"/>
    <s v="DK2_Large"/>
    <x v="3"/>
    <s v="GNR_ENG_NGAS_BP_E-40"/>
    <x v="0"/>
    <x v="15"/>
    <n v="6.1111111111111098"/>
    <n v="2230.5555555555602"/>
    <n v="8030"/>
  </r>
  <r>
    <x v="0"/>
    <x v="0"/>
    <x v="0"/>
    <x v="0"/>
    <x v="1"/>
    <s v="DK2_Large"/>
    <x v="3"/>
    <s v="GNR_ENG_NGAS_BP_E-40"/>
    <x v="0"/>
    <x v="4"/>
    <n v="6.1111111111111098"/>
    <n v="2230.5555555555602"/>
    <n v="8030"/>
  </r>
  <r>
    <x v="0"/>
    <x v="0"/>
    <x v="0"/>
    <x v="0"/>
    <x v="1"/>
    <s v="DK2_Large"/>
    <x v="3"/>
    <s v="GNR_ENG_NGAS_BP_E-40"/>
    <x v="0"/>
    <x v="16"/>
    <n v="6.1111111111111098"/>
    <n v="2230.5555555555602"/>
    <n v="8030"/>
  </r>
  <r>
    <x v="0"/>
    <x v="0"/>
    <x v="0"/>
    <x v="0"/>
    <x v="1"/>
    <s v="DK2_Large"/>
    <x v="3"/>
    <s v="GNR_ENG_NGAS_BP_E-40"/>
    <x v="0"/>
    <x v="5"/>
    <n v="6.1111111111111098"/>
    <n v="2230.5555555555602"/>
    <n v="8030"/>
  </r>
  <r>
    <x v="0"/>
    <x v="0"/>
    <x v="0"/>
    <x v="0"/>
    <x v="1"/>
    <s v="DK2_Large"/>
    <x v="3"/>
    <s v="GNR_ENG_NGAS_BP_E-40"/>
    <x v="0"/>
    <x v="17"/>
    <n v="6.1111111111111098"/>
    <n v="2230.5555555555602"/>
    <n v="8030"/>
  </r>
  <r>
    <x v="0"/>
    <x v="0"/>
    <x v="0"/>
    <x v="0"/>
    <x v="1"/>
    <s v="DK2_Large"/>
    <x v="3"/>
    <s v="GNR_ENG_NGAS_BP_E-40"/>
    <x v="0"/>
    <x v="18"/>
    <n v="6.1111111111111098"/>
    <n v="2230.5555555555602"/>
    <n v="8030"/>
  </r>
  <r>
    <x v="0"/>
    <x v="0"/>
    <x v="0"/>
    <x v="0"/>
    <x v="1"/>
    <s v="DK2_Large"/>
    <x v="3"/>
    <s v="GNR_ENG_NGAS_BP_E-40"/>
    <x v="0"/>
    <x v="19"/>
    <n v="6.1111111111111098"/>
    <n v="2230.5555555555602"/>
    <n v="8030"/>
  </r>
  <r>
    <x v="0"/>
    <x v="0"/>
    <x v="0"/>
    <x v="0"/>
    <x v="1"/>
    <s v="DK2_Large"/>
    <x v="3"/>
    <s v="GNR_ENG_NGAS_BP_E-40"/>
    <x v="0"/>
    <x v="20"/>
    <n v="6.1111111111111098"/>
    <n v="2230.5555555555602"/>
    <n v="8030"/>
  </r>
  <r>
    <x v="0"/>
    <x v="0"/>
    <x v="0"/>
    <x v="0"/>
    <x v="1"/>
    <s v="DK2_Large"/>
    <x v="3"/>
    <s v="GNR_ENG_NGAS_BP_E-40"/>
    <x v="0"/>
    <x v="21"/>
    <n v="6.1111111111111098"/>
    <n v="2230.5555555555602"/>
    <n v="8030"/>
  </r>
  <r>
    <x v="0"/>
    <x v="0"/>
    <x v="0"/>
    <x v="0"/>
    <x v="1"/>
    <s v="DK2_Large"/>
    <x v="3"/>
    <s v="GNR_ENG_NGAS_BP_E-40"/>
    <x v="0"/>
    <x v="22"/>
    <n v="6.1111111111111098"/>
    <n v="2230.5555555555602"/>
    <n v="8030"/>
  </r>
  <r>
    <x v="0"/>
    <x v="0"/>
    <x v="0"/>
    <x v="0"/>
    <x v="1"/>
    <s v="DK2_Large"/>
    <x v="3"/>
    <s v="GNR_ENG_NGAS_BP_E-40"/>
    <x v="0"/>
    <x v="23"/>
    <n v="6.1111111111111098"/>
    <n v="2230.5555555555602"/>
    <n v="8030"/>
  </r>
  <r>
    <x v="0"/>
    <x v="0"/>
    <x v="0"/>
    <x v="0"/>
    <x v="1"/>
    <s v="DK2_Large"/>
    <x v="3"/>
    <s v="GNR_GT_NGAS_BP_E-36"/>
    <x v="0"/>
    <x v="6"/>
    <n v="24.421052631578899"/>
    <n v="8913.6842105263095"/>
    <n v="32089.2631578947"/>
  </r>
  <r>
    <x v="0"/>
    <x v="0"/>
    <x v="0"/>
    <x v="0"/>
    <x v="1"/>
    <s v="DK2_Large"/>
    <x v="3"/>
    <s v="GNR_GT_NGAS_BP_E-36"/>
    <x v="0"/>
    <x v="7"/>
    <n v="24.421052631578899"/>
    <n v="8913.6842105263095"/>
    <n v="32089.2631578947"/>
  </r>
  <r>
    <x v="0"/>
    <x v="0"/>
    <x v="0"/>
    <x v="0"/>
    <x v="1"/>
    <s v="DK2_Large"/>
    <x v="3"/>
    <s v="GNR_GT_NGAS_BP_E-36"/>
    <x v="0"/>
    <x v="8"/>
    <n v="24.421052631578899"/>
    <n v="8913.6842105263095"/>
    <n v="32089.2631578947"/>
  </r>
  <r>
    <x v="0"/>
    <x v="0"/>
    <x v="0"/>
    <x v="0"/>
    <x v="1"/>
    <s v="DK2_Large"/>
    <x v="3"/>
    <s v="GNR_GT_NGAS_BP_E-36"/>
    <x v="0"/>
    <x v="9"/>
    <n v="24.421052631578899"/>
    <n v="8913.6842105263095"/>
    <n v="32089.2631578947"/>
  </r>
  <r>
    <x v="0"/>
    <x v="0"/>
    <x v="0"/>
    <x v="0"/>
    <x v="1"/>
    <s v="DK2_Large"/>
    <x v="3"/>
    <s v="GNR_GT_NGAS_BP_E-36"/>
    <x v="0"/>
    <x v="10"/>
    <n v="24.421052631578899"/>
    <n v="8913.6842105263095"/>
    <n v="32089.2631578947"/>
  </r>
  <r>
    <x v="0"/>
    <x v="0"/>
    <x v="0"/>
    <x v="0"/>
    <x v="1"/>
    <s v="DK2_Large"/>
    <x v="3"/>
    <s v="GNR_GT_NGAS_BP_E-36"/>
    <x v="0"/>
    <x v="11"/>
    <n v="24.421052631578899"/>
    <n v="8913.6842105263095"/>
    <n v="32089.2631578947"/>
  </r>
  <r>
    <x v="0"/>
    <x v="0"/>
    <x v="0"/>
    <x v="0"/>
    <x v="1"/>
    <s v="DK2_Large"/>
    <x v="3"/>
    <s v="GNR_GT_NGAS_BP_E-36"/>
    <x v="0"/>
    <x v="0"/>
    <n v="24.421052631578899"/>
    <n v="8913.6842105263095"/>
    <n v="32089.2631578947"/>
  </r>
  <r>
    <x v="0"/>
    <x v="0"/>
    <x v="0"/>
    <x v="0"/>
    <x v="1"/>
    <s v="DK2_Large"/>
    <x v="3"/>
    <s v="GNR_GT_NGAS_BP_E-36"/>
    <x v="0"/>
    <x v="1"/>
    <n v="24.421052631578899"/>
    <n v="8913.6842105263095"/>
    <n v="32089.2631578947"/>
  </r>
  <r>
    <x v="0"/>
    <x v="0"/>
    <x v="0"/>
    <x v="0"/>
    <x v="1"/>
    <s v="DK2_Large"/>
    <x v="3"/>
    <s v="GNR_GT_NGAS_BP_E-36"/>
    <x v="0"/>
    <x v="2"/>
    <n v="24.421052631578899"/>
    <n v="8913.6842105263095"/>
    <n v="32089.2631578947"/>
  </r>
  <r>
    <x v="0"/>
    <x v="0"/>
    <x v="0"/>
    <x v="0"/>
    <x v="1"/>
    <s v="DK2_Large"/>
    <x v="3"/>
    <s v="GNR_GT_NGAS_BP_E-36"/>
    <x v="0"/>
    <x v="3"/>
    <n v="24.421052631578899"/>
    <n v="8913.6842105263095"/>
    <n v="32089.2631578947"/>
  </r>
  <r>
    <x v="0"/>
    <x v="0"/>
    <x v="0"/>
    <x v="0"/>
    <x v="1"/>
    <s v="DK2_Large"/>
    <x v="3"/>
    <s v="GNR_GT_NGAS_BP_E-36"/>
    <x v="0"/>
    <x v="12"/>
    <n v="24.421052631578899"/>
    <n v="8913.6842105263095"/>
    <n v="32089.2631578947"/>
  </r>
  <r>
    <x v="0"/>
    <x v="0"/>
    <x v="0"/>
    <x v="0"/>
    <x v="1"/>
    <s v="DK2_Large"/>
    <x v="3"/>
    <s v="GNR_GT_NGAS_BP_E-36"/>
    <x v="0"/>
    <x v="13"/>
    <n v="24.421052631578899"/>
    <n v="8913.6842105263095"/>
    <n v="32089.2631578947"/>
  </r>
  <r>
    <x v="0"/>
    <x v="0"/>
    <x v="0"/>
    <x v="0"/>
    <x v="1"/>
    <s v="DK2_Large"/>
    <x v="3"/>
    <s v="GNR_GT_NGAS_BP_E-36"/>
    <x v="0"/>
    <x v="14"/>
    <n v="24.421052631578899"/>
    <n v="8913.6842105263095"/>
    <n v="32089.2631578947"/>
  </r>
  <r>
    <x v="0"/>
    <x v="0"/>
    <x v="0"/>
    <x v="0"/>
    <x v="1"/>
    <s v="DK2_Large"/>
    <x v="3"/>
    <s v="GNR_GT_NGAS_BP_E-36"/>
    <x v="0"/>
    <x v="15"/>
    <n v="24.421052631578899"/>
    <n v="8913.6842105263095"/>
    <n v="32089.2631578947"/>
  </r>
  <r>
    <x v="0"/>
    <x v="0"/>
    <x v="0"/>
    <x v="0"/>
    <x v="1"/>
    <s v="DK2_Large"/>
    <x v="3"/>
    <s v="GNR_GT_NGAS_BP_E-36"/>
    <x v="0"/>
    <x v="4"/>
    <n v="24.421052631578899"/>
    <n v="8913.6842105263095"/>
    <n v="32089.2631578947"/>
  </r>
  <r>
    <x v="0"/>
    <x v="0"/>
    <x v="0"/>
    <x v="0"/>
    <x v="1"/>
    <s v="DK2_Large"/>
    <x v="3"/>
    <s v="GNR_GT_NGAS_BP_E-36"/>
    <x v="0"/>
    <x v="16"/>
    <n v="24.421052631578899"/>
    <n v="8913.6842105263095"/>
    <n v="32089.2631578947"/>
  </r>
  <r>
    <x v="0"/>
    <x v="0"/>
    <x v="0"/>
    <x v="0"/>
    <x v="1"/>
    <s v="DK2_Large"/>
    <x v="3"/>
    <s v="GNR_GT_NGAS_BP_E-36"/>
    <x v="0"/>
    <x v="5"/>
    <n v="24.421052631578899"/>
    <n v="8913.6842105263095"/>
    <n v="32089.2631578947"/>
  </r>
  <r>
    <x v="0"/>
    <x v="0"/>
    <x v="0"/>
    <x v="0"/>
    <x v="1"/>
    <s v="DK2_Large"/>
    <x v="3"/>
    <s v="GNR_GT_NGAS_BP_E-36"/>
    <x v="0"/>
    <x v="17"/>
    <n v="24.421052631578899"/>
    <n v="8913.6842105263095"/>
    <n v="32089.2631578947"/>
  </r>
  <r>
    <x v="0"/>
    <x v="0"/>
    <x v="0"/>
    <x v="0"/>
    <x v="1"/>
    <s v="DK2_Large"/>
    <x v="3"/>
    <s v="GNR_GT_NGAS_BP_E-36"/>
    <x v="0"/>
    <x v="18"/>
    <n v="24.421052631578899"/>
    <n v="8913.6842105263095"/>
    <n v="32089.2631578947"/>
  </r>
  <r>
    <x v="0"/>
    <x v="0"/>
    <x v="0"/>
    <x v="0"/>
    <x v="1"/>
    <s v="DK2_Large"/>
    <x v="3"/>
    <s v="GNR_GT_NGAS_BP_E-36"/>
    <x v="0"/>
    <x v="19"/>
    <n v="24.421052631578899"/>
    <n v="8913.6842105263095"/>
    <n v="32089.2631578947"/>
  </r>
  <r>
    <x v="0"/>
    <x v="0"/>
    <x v="0"/>
    <x v="0"/>
    <x v="1"/>
    <s v="DK2_Large"/>
    <x v="3"/>
    <s v="GNR_GT_NGAS_BP_E-36"/>
    <x v="0"/>
    <x v="20"/>
    <n v="24.421052631578899"/>
    <n v="8913.6842105263095"/>
    <n v="32089.2631578947"/>
  </r>
  <r>
    <x v="0"/>
    <x v="0"/>
    <x v="0"/>
    <x v="0"/>
    <x v="1"/>
    <s v="DK2_Large"/>
    <x v="3"/>
    <s v="GNR_GT_NGAS_BP_E-36"/>
    <x v="0"/>
    <x v="21"/>
    <n v="24.421052631578899"/>
    <n v="8913.6842105263095"/>
    <n v="32089.2631578947"/>
  </r>
  <r>
    <x v="0"/>
    <x v="0"/>
    <x v="0"/>
    <x v="0"/>
    <x v="1"/>
    <s v="DK2_Large"/>
    <x v="3"/>
    <s v="GNR_GT_NGAS_BP_E-36"/>
    <x v="0"/>
    <x v="22"/>
    <n v="24.421052631578899"/>
    <n v="8913.6842105263095"/>
    <n v="32089.2631578947"/>
  </r>
  <r>
    <x v="0"/>
    <x v="0"/>
    <x v="0"/>
    <x v="0"/>
    <x v="1"/>
    <s v="DK2_Large"/>
    <x v="3"/>
    <s v="GNR_GT_NGAS_BP_E-36"/>
    <x v="0"/>
    <x v="23"/>
    <n v="24.421052631578899"/>
    <n v="8913.6842105263095"/>
    <n v="32089.2631578947"/>
  </r>
  <r>
    <x v="0"/>
    <x v="0"/>
    <x v="0"/>
    <x v="0"/>
    <x v="1"/>
    <s v="DK2_Large"/>
    <x v="3"/>
    <s v="GNR_ST_NGAS_BP_E-39"/>
    <x v="0"/>
    <x v="6"/>
    <n v="117.142857142857"/>
    <n v="42757.142857142899"/>
    <n v="153925.714285714"/>
  </r>
  <r>
    <x v="0"/>
    <x v="0"/>
    <x v="0"/>
    <x v="0"/>
    <x v="1"/>
    <s v="DK2_Large"/>
    <x v="3"/>
    <s v="GNR_ST_NGAS_BP_E-39"/>
    <x v="0"/>
    <x v="7"/>
    <n v="117.142857142857"/>
    <n v="42757.142857142899"/>
    <n v="153925.714285714"/>
  </r>
  <r>
    <x v="0"/>
    <x v="0"/>
    <x v="0"/>
    <x v="0"/>
    <x v="1"/>
    <s v="DK2_Large"/>
    <x v="3"/>
    <s v="GNR_ST_NGAS_BP_E-39"/>
    <x v="0"/>
    <x v="8"/>
    <n v="117.142857142857"/>
    <n v="42757.142857142899"/>
    <n v="153925.714285714"/>
  </r>
  <r>
    <x v="0"/>
    <x v="0"/>
    <x v="0"/>
    <x v="0"/>
    <x v="1"/>
    <s v="DK2_Large"/>
    <x v="3"/>
    <s v="GNR_ST_NGAS_BP_E-39"/>
    <x v="0"/>
    <x v="9"/>
    <n v="117.142857142857"/>
    <n v="42757.142857142899"/>
    <n v="153925.714285714"/>
  </r>
  <r>
    <x v="0"/>
    <x v="0"/>
    <x v="0"/>
    <x v="0"/>
    <x v="1"/>
    <s v="DK2_Large"/>
    <x v="3"/>
    <s v="GNR_ST_NGAS_BP_E-39"/>
    <x v="0"/>
    <x v="10"/>
    <n v="117.142857142857"/>
    <n v="42757.142857142899"/>
    <n v="153925.714285714"/>
  </r>
  <r>
    <x v="0"/>
    <x v="0"/>
    <x v="0"/>
    <x v="0"/>
    <x v="1"/>
    <s v="DK2_Large"/>
    <x v="3"/>
    <s v="GNR_ST_NGAS_BP_E-39"/>
    <x v="0"/>
    <x v="11"/>
    <n v="117.142857142857"/>
    <n v="42757.142857142899"/>
    <n v="153925.714285714"/>
  </r>
  <r>
    <x v="0"/>
    <x v="0"/>
    <x v="0"/>
    <x v="0"/>
    <x v="1"/>
    <s v="DK2_Large"/>
    <x v="3"/>
    <s v="GNR_ST_NGAS_BP_E-39"/>
    <x v="0"/>
    <x v="0"/>
    <n v="117.142857142857"/>
    <n v="42757.142857142899"/>
    <n v="153925.714285714"/>
  </r>
  <r>
    <x v="0"/>
    <x v="0"/>
    <x v="0"/>
    <x v="0"/>
    <x v="1"/>
    <s v="DK2_Large"/>
    <x v="3"/>
    <s v="GNR_ST_NGAS_BP_E-39"/>
    <x v="0"/>
    <x v="1"/>
    <n v="117.142857142857"/>
    <n v="42757.142857142899"/>
    <n v="153925.714285714"/>
  </r>
  <r>
    <x v="0"/>
    <x v="0"/>
    <x v="0"/>
    <x v="0"/>
    <x v="1"/>
    <s v="DK2_Large"/>
    <x v="3"/>
    <s v="GNR_ST_NGAS_BP_E-39"/>
    <x v="0"/>
    <x v="2"/>
    <n v="117.142857142857"/>
    <n v="42757.142857142899"/>
    <n v="153925.714285714"/>
  </r>
  <r>
    <x v="0"/>
    <x v="0"/>
    <x v="0"/>
    <x v="0"/>
    <x v="1"/>
    <s v="DK2_Large"/>
    <x v="3"/>
    <s v="GNR_ST_NGAS_BP_E-39"/>
    <x v="0"/>
    <x v="3"/>
    <n v="117.142857142857"/>
    <n v="42757.142857142899"/>
    <n v="153925.714285714"/>
  </r>
  <r>
    <x v="0"/>
    <x v="0"/>
    <x v="0"/>
    <x v="0"/>
    <x v="1"/>
    <s v="DK2_Large"/>
    <x v="3"/>
    <s v="GNR_ST_NGAS_BP_E-39"/>
    <x v="0"/>
    <x v="12"/>
    <n v="117.142857142857"/>
    <n v="42757.142857142899"/>
    <n v="153925.714285714"/>
  </r>
  <r>
    <x v="0"/>
    <x v="0"/>
    <x v="0"/>
    <x v="0"/>
    <x v="1"/>
    <s v="DK2_Large"/>
    <x v="3"/>
    <s v="GNR_ST_NGAS_BP_E-39"/>
    <x v="0"/>
    <x v="13"/>
    <n v="117.142857142857"/>
    <n v="42757.142857142899"/>
    <n v="153925.714285714"/>
  </r>
  <r>
    <x v="0"/>
    <x v="0"/>
    <x v="0"/>
    <x v="0"/>
    <x v="1"/>
    <s v="DK2_Large"/>
    <x v="3"/>
    <s v="GNR_ST_NGAS_BP_E-39"/>
    <x v="0"/>
    <x v="14"/>
    <n v="117.142857142857"/>
    <n v="42757.142857142899"/>
    <n v="153925.714285714"/>
  </r>
  <r>
    <x v="0"/>
    <x v="0"/>
    <x v="0"/>
    <x v="0"/>
    <x v="1"/>
    <s v="DK2_Large"/>
    <x v="3"/>
    <s v="GNR_ST_NGAS_BP_E-39"/>
    <x v="0"/>
    <x v="15"/>
    <n v="117.142857142857"/>
    <n v="42757.142857142899"/>
    <n v="153925.714285714"/>
  </r>
  <r>
    <x v="0"/>
    <x v="0"/>
    <x v="0"/>
    <x v="0"/>
    <x v="1"/>
    <s v="DK2_Large"/>
    <x v="3"/>
    <s v="GNR_ST_NGAS_BP_E-39"/>
    <x v="0"/>
    <x v="4"/>
    <n v="117.142857142857"/>
    <n v="42757.142857142899"/>
    <n v="153925.714285714"/>
  </r>
  <r>
    <x v="0"/>
    <x v="0"/>
    <x v="0"/>
    <x v="0"/>
    <x v="1"/>
    <s v="DK2_Large"/>
    <x v="3"/>
    <s v="GNR_ST_NGAS_BP_E-39"/>
    <x v="0"/>
    <x v="16"/>
    <n v="117.142857142857"/>
    <n v="42757.142857142899"/>
    <n v="153925.714285714"/>
  </r>
  <r>
    <x v="0"/>
    <x v="0"/>
    <x v="0"/>
    <x v="0"/>
    <x v="1"/>
    <s v="DK2_Large"/>
    <x v="3"/>
    <s v="GNR_ST_NGAS_BP_E-39"/>
    <x v="0"/>
    <x v="5"/>
    <n v="117.142857142857"/>
    <n v="42757.142857142899"/>
    <n v="153925.714285714"/>
  </r>
  <r>
    <x v="0"/>
    <x v="0"/>
    <x v="0"/>
    <x v="0"/>
    <x v="1"/>
    <s v="DK2_Large"/>
    <x v="3"/>
    <s v="GNR_ST_NGAS_BP_E-39"/>
    <x v="0"/>
    <x v="17"/>
    <n v="117.142857142857"/>
    <n v="42757.142857142899"/>
    <n v="153925.714285714"/>
  </r>
  <r>
    <x v="0"/>
    <x v="0"/>
    <x v="0"/>
    <x v="0"/>
    <x v="1"/>
    <s v="DK2_Large"/>
    <x v="3"/>
    <s v="GNR_ST_NGAS_BP_E-39"/>
    <x v="0"/>
    <x v="18"/>
    <n v="117.142857142857"/>
    <n v="42757.142857142899"/>
    <n v="153925.714285714"/>
  </r>
  <r>
    <x v="0"/>
    <x v="0"/>
    <x v="0"/>
    <x v="0"/>
    <x v="1"/>
    <s v="DK2_Large"/>
    <x v="3"/>
    <s v="GNR_ST_NGAS_BP_E-39"/>
    <x v="0"/>
    <x v="19"/>
    <n v="117.142857142857"/>
    <n v="42757.142857142899"/>
    <n v="153925.714285714"/>
  </r>
  <r>
    <x v="0"/>
    <x v="0"/>
    <x v="0"/>
    <x v="0"/>
    <x v="1"/>
    <s v="DK2_Large"/>
    <x v="3"/>
    <s v="GNR_ST_NGAS_BP_E-39"/>
    <x v="0"/>
    <x v="20"/>
    <n v="117.142857142857"/>
    <n v="42757.142857142899"/>
    <n v="153925.714285714"/>
  </r>
  <r>
    <x v="0"/>
    <x v="0"/>
    <x v="0"/>
    <x v="0"/>
    <x v="1"/>
    <s v="DK2_Large"/>
    <x v="3"/>
    <s v="GNR_ST_NGAS_BP_E-39"/>
    <x v="0"/>
    <x v="21"/>
    <n v="117.142857142857"/>
    <n v="42757.142857142899"/>
    <n v="153925.714285714"/>
  </r>
  <r>
    <x v="0"/>
    <x v="0"/>
    <x v="0"/>
    <x v="0"/>
    <x v="1"/>
    <s v="DK2_Large"/>
    <x v="3"/>
    <s v="GNR_ST_NGAS_BP_E-39"/>
    <x v="0"/>
    <x v="22"/>
    <n v="117.142857142857"/>
    <n v="42757.142857142899"/>
    <n v="153925.714285714"/>
  </r>
  <r>
    <x v="0"/>
    <x v="0"/>
    <x v="0"/>
    <x v="0"/>
    <x v="1"/>
    <s v="DK2_Large"/>
    <x v="3"/>
    <s v="GNR_ST_NGAS_BP_E-39"/>
    <x v="0"/>
    <x v="23"/>
    <n v="117.142857142857"/>
    <n v="42757.142857142899"/>
    <n v="153925.714285714"/>
  </r>
  <r>
    <x v="0"/>
    <x v="0"/>
    <x v="0"/>
    <x v="0"/>
    <x v="1"/>
    <s v="DK2_Large"/>
    <x v="5"/>
    <s v="GNR_GEO_HEAT_HO"/>
    <x v="0"/>
    <x v="6"/>
    <n v="14"/>
    <n v="5110"/>
    <n v="18396"/>
  </r>
  <r>
    <x v="0"/>
    <x v="0"/>
    <x v="0"/>
    <x v="0"/>
    <x v="1"/>
    <s v="DK2_Large"/>
    <x v="5"/>
    <s v="GNR_GEO_HEAT_HO"/>
    <x v="0"/>
    <x v="7"/>
    <n v="14"/>
    <n v="5110"/>
    <n v="18396"/>
  </r>
  <r>
    <x v="0"/>
    <x v="0"/>
    <x v="0"/>
    <x v="0"/>
    <x v="1"/>
    <s v="DK2_Large"/>
    <x v="5"/>
    <s v="GNR_GEO_HEAT_HO"/>
    <x v="0"/>
    <x v="8"/>
    <n v="14"/>
    <n v="5110"/>
    <n v="18396"/>
  </r>
  <r>
    <x v="0"/>
    <x v="0"/>
    <x v="0"/>
    <x v="0"/>
    <x v="1"/>
    <s v="DK2_Large"/>
    <x v="5"/>
    <s v="GNR_GEO_HEAT_HO"/>
    <x v="0"/>
    <x v="9"/>
    <n v="14"/>
    <n v="5110"/>
    <n v="18396"/>
  </r>
  <r>
    <x v="0"/>
    <x v="0"/>
    <x v="0"/>
    <x v="0"/>
    <x v="1"/>
    <s v="DK2_Large"/>
    <x v="5"/>
    <s v="GNR_GEO_HEAT_HO"/>
    <x v="0"/>
    <x v="10"/>
    <n v="14"/>
    <n v="5110"/>
    <n v="18396"/>
  </r>
  <r>
    <x v="0"/>
    <x v="0"/>
    <x v="0"/>
    <x v="0"/>
    <x v="1"/>
    <s v="DK2_Large"/>
    <x v="5"/>
    <s v="GNR_GEO_HEAT_HO"/>
    <x v="0"/>
    <x v="11"/>
    <n v="14"/>
    <n v="5110"/>
    <n v="18396"/>
  </r>
  <r>
    <x v="0"/>
    <x v="0"/>
    <x v="0"/>
    <x v="0"/>
    <x v="1"/>
    <s v="DK2_Large"/>
    <x v="5"/>
    <s v="GNR_GEO_HEAT_HO"/>
    <x v="0"/>
    <x v="0"/>
    <n v="14"/>
    <n v="5110"/>
    <n v="18396"/>
  </r>
  <r>
    <x v="0"/>
    <x v="0"/>
    <x v="0"/>
    <x v="0"/>
    <x v="1"/>
    <s v="DK2_Large"/>
    <x v="5"/>
    <s v="GNR_GEO_HEAT_HO"/>
    <x v="0"/>
    <x v="1"/>
    <n v="14"/>
    <n v="5110"/>
    <n v="18396"/>
  </r>
  <r>
    <x v="0"/>
    <x v="0"/>
    <x v="0"/>
    <x v="0"/>
    <x v="1"/>
    <s v="DK2_Large"/>
    <x v="5"/>
    <s v="GNR_GEO_HEAT_HO"/>
    <x v="0"/>
    <x v="2"/>
    <n v="14"/>
    <n v="5110"/>
    <n v="18396"/>
  </r>
  <r>
    <x v="0"/>
    <x v="0"/>
    <x v="0"/>
    <x v="0"/>
    <x v="1"/>
    <s v="DK2_Large"/>
    <x v="5"/>
    <s v="GNR_GEO_HEAT_HO"/>
    <x v="0"/>
    <x v="3"/>
    <n v="14"/>
    <n v="5110"/>
    <n v="18396"/>
  </r>
  <r>
    <x v="0"/>
    <x v="0"/>
    <x v="0"/>
    <x v="0"/>
    <x v="1"/>
    <s v="DK2_Large"/>
    <x v="5"/>
    <s v="GNR_GEO_HEAT_HO"/>
    <x v="0"/>
    <x v="12"/>
    <n v="14"/>
    <n v="5110"/>
    <n v="18396"/>
  </r>
  <r>
    <x v="0"/>
    <x v="0"/>
    <x v="0"/>
    <x v="0"/>
    <x v="1"/>
    <s v="DK2_Large"/>
    <x v="5"/>
    <s v="GNR_GEO_HEAT_HO"/>
    <x v="0"/>
    <x v="13"/>
    <n v="14"/>
    <n v="5110"/>
    <n v="18396"/>
  </r>
  <r>
    <x v="0"/>
    <x v="0"/>
    <x v="0"/>
    <x v="0"/>
    <x v="1"/>
    <s v="DK2_Large"/>
    <x v="5"/>
    <s v="GNR_GEO_HEAT_HO"/>
    <x v="0"/>
    <x v="14"/>
    <n v="14"/>
    <n v="5110"/>
    <n v="18396"/>
  </r>
  <r>
    <x v="0"/>
    <x v="0"/>
    <x v="0"/>
    <x v="0"/>
    <x v="1"/>
    <s v="DK2_Large"/>
    <x v="5"/>
    <s v="GNR_GEO_HEAT_HO"/>
    <x v="0"/>
    <x v="15"/>
    <n v="14"/>
    <n v="5110"/>
    <n v="18396"/>
  </r>
  <r>
    <x v="0"/>
    <x v="0"/>
    <x v="0"/>
    <x v="0"/>
    <x v="1"/>
    <s v="DK2_Large"/>
    <x v="5"/>
    <s v="GNR_GEO_HEAT_HO"/>
    <x v="0"/>
    <x v="4"/>
    <n v="14"/>
    <n v="5110"/>
    <n v="18396"/>
  </r>
  <r>
    <x v="0"/>
    <x v="0"/>
    <x v="0"/>
    <x v="0"/>
    <x v="1"/>
    <s v="DK2_Large"/>
    <x v="5"/>
    <s v="GNR_GEO_HEAT_HO"/>
    <x v="0"/>
    <x v="16"/>
    <n v="14"/>
    <n v="5110"/>
    <n v="18396"/>
  </r>
  <r>
    <x v="0"/>
    <x v="0"/>
    <x v="0"/>
    <x v="0"/>
    <x v="1"/>
    <s v="DK2_Large"/>
    <x v="5"/>
    <s v="GNR_GEO_HEAT_HO"/>
    <x v="0"/>
    <x v="5"/>
    <n v="14"/>
    <n v="5110"/>
    <n v="18396"/>
  </r>
  <r>
    <x v="0"/>
    <x v="0"/>
    <x v="0"/>
    <x v="0"/>
    <x v="1"/>
    <s v="DK2_Large"/>
    <x v="5"/>
    <s v="GNR_GEO_HEAT_HO"/>
    <x v="0"/>
    <x v="17"/>
    <n v="14"/>
    <n v="5110"/>
    <n v="18396"/>
  </r>
  <r>
    <x v="0"/>
    <x v="0"/>
    <x v="0"/>
    <x v="0"/>
    <x v="1"/>
    <s v="DK2_Large"/>
    <x v="5"/>
    <s v="GNR_GEO_HEAT_HO"/>
    <x v="0"/>
    <x v="18"/>
    <n v="14"/>
    <n v="5110"/>
    <n v="18396"/>
  </r>
  <r>
    <x v="0"/>
    <x v="0"/>
    <x v="0"/>
    <x v="0"/>
    <x v="1"/>
    <s v="DK2_Large"/>
    <x v="5"/>
    <s v="GNR_GEO_HEAT_HO"/>
    <x v="0"/>
    <x v="19"/>
    <n v="14"/>
    <n v="5110"/>
    <n v="18396"/>
  </r>
  <r>
    <x v="0"/>
    <x v="0"/>
    <x v="0"/>
    <x v="0"/>
    <x v="1"/>
    <s v="DK2_Large"/>
    <x v="5"/>
    <s v="GNR_GEO_HEAT_HO"/>
    <x v="0"/>
    <x v="20"/>
    <n v="14"/>
    <n v="5110"/>
    <n v="18396"/>
  </r>
  <r>
    <x v="0"/>
    <x v="0"/>
    <x v="0"/>
    <x v="0"/>
    <x v="1"/>
    <s v="DK2_Large"/>
    <x v="5"/>
    <s v="GNR_GEO_HEAT_HO"/>
    <x v="0"/>
    <x v="21"/>
    <n v="14"/>
    <n v="5110"/>
    <n v="18396"/>
  </r>
  <r>
    <x v="0"/>
    <x v="0"/>
    <x v="0"/>
    <x v="0"/>
    <x v="1"/>
    <s v="DK2_Large"/>
    <x v="5"/>
    <s v="GNR_GEO_HEAT_HO"/>
    <x v="0"/>
    <x v="22"/>
    <n v="14"/>
    <n v="5110"/>
    <n v="18396"/>
  </r>
  <r>
    <x v="0"/>
    <x v="0"/>
    <x v="0"/>
    <x v="0"/>
    <x v="1"/>
    <s v="DK2_Large"/>
    <x v="5"/>
    <s v="GNR_GEO_HEAT_HO"/>
    <x v="0"/>
    <x v="23"/>
    <n v="14"/>
    <n v="5110"/>
    <n v="18396"/>
  </r>
  <r>
    <x v="0"/>
    <x v="0"/>
    <x v="0"/>
    <x v="0"/>
    <x v="1"/>
    <s v="DK2_Large"/>
    <x v="6"/>
    <s v="GNR_ST_WOODCHI_BP_E-24"/>
    <x v="0"/>
    <x v="6"/>
    <n v="32.352941176470601"/>
    <n v="11808.8235294118"/>
    <n v="42511.764705882299"/>
  </r>
  <r>
    <x v="0"/>
    <x v="0"/>
    <x v="0"/>
    <x v="0"/>
    <x v="1"/>
    <s v="DK2_Large"/>
    <x v="6"/>
    <s v="GNR_ST_WOODCHI_BP_E-24"/>
    <x v="0"/>
    <x v="7"/>
    <n v="32.352941176470601"/>
    <n v="11808.8235294118"/>
    <n v="42511.764705882299"/>
  </r>
  <r>
    <x v="0"/>
    <x v="0"/>
    <x v="0"/>
    <x v="0"/>
    <x v="1"/>
    <s v="DK2_Large"/>
    <x v="6"/>
    <s v="GNR_ST_WOODCHI_BP_E-24"/>
    <x v="0"/>
    <x v="8"/>
    <n v="32.352941176470601"/>
    <n v="11808.8235294118"/>
    <n v="42511.764705882299"/>
  </r>
  <r>
    <x v="0"/>
    <x v="0"/>
    <x v="0"/>
    <x v="0"/>
    <x v="1"/>
    <s v="DK2_Large"/>
    <x v="6"/>
    <s v="GNR_ST_WOODCHI_BP_E-24"/>
    <x v="0"/>
    <x v="9"/>
    <n v="32.352941176470601"/>
    <n v="11808.8235294118"/>
    <n v="42511.764705882299"/>
  </r>
  <r>
    <x v="0"/>
    <x v="0"/>
    <x v="0"/>
    <x v="0"/>
    <x v="1"/>
    <s v="DK2_Large"/>
    <x v="6"/>
    <s v="GNR_ST_WOODCHI_BP_E-24"/>
    <x v="0"/>
    <x v="10"/>
    <n v="32.352941176470601"/>
    <n v="11808.8235294118"/>
    <n v="42511.764705882299"/>
  </r>
  <r>
    <x v="0"/>
    <x v="0"/>
    <x v="0"/>
    <x v="0"/>
    <x v="1"/>
    <s v="DK2_Large"/>
    <x v="6"/>
    <s v="GNR_ST_WOODCHI_BP_E-24"/>
    <x v="0"/>
    <x v="11"/>
    <n v="32.352941176470601"/>
    <n v="11808.8235294118"/>
    <n v="42511.764705882299"/>
  </r>
  <r>
    <x v="0"/>
    <x v="0"/>
    <x v="0"/>
    <x v="0"/>
    <x v="1"/>
    <s v="DK2_Large"/>
    <x v="6"/>
    <s v="GNR_ST_WOODCHI_BP_E-24"/>
    <x v="0"/>
    <x v="0"/>
    <n v="32.352941176470601"/>
    <n v="11808.8235294118"/>
    <n v="42511.764705882299"/>
  </r>
  <r>
    <x v="0"/>
    <x v="0"/>
    <x v="0"/>
    <x v="0"/>
    <x v="1"/>
    <s v="DK2_Large"/>
    <x v="6"/>
    <s v="GNR_ST_WOODCHI_BP_E-24"/>
    <x v="0"/>
    <x v="1"/>
    <n v="32.352941176470601"/>
    <n v="11808.8235294118"/>
    <n v="42511.764705882299"/>
  </r>
  <r>
    <x v="0"/>
    <x v="0"/>
    <x v="0"/>
    <x v="0"/>
    <x v="1"/>
    <s v="DK2_Large"/>
    <x v="6"/>
    <s v="GNR_ST_WOODCHI_BP_E-24"/>
    <x v="0"/>
    <x v="2"/>
    <n v="32.352941176470601"/>
    <n v="11808.8235294118"/>
    <n v="42511.764705882299"/>
  </r>
  <r>
    <x v="0"/>
    <x v="0"/>
    <x v="0"/>
    <x v="0"/>
    <x v="1"/>
    <s v="DK2_Large"/>
    <x v="6"/>
    <s v="GNR_ST_WOODCHI_BP_E-24"/>
    <x v="0"/>
    <x v="3"/>
    <n v="32.352941176470601"/>
    <n v="11808.8235294118"/>
    <n v="42511.764705882299"/>
  </r>
  <r>
    <x v="0"/>
    <x v="0"/>
    <x v="0"/>
    <x v="0"/>
    <x v="1"/>
    <s v="DK2_Large"/>
    <x v="6"/>
    <s v="GNR_ST_WOODCHI_BP_E-24"/>
    <x v="0"/>
    <x v="12"/>
    <n v="32.352941176470601"/>
    <n v="11808.8235294118"/>
    <n v="42511.764705882299"/>
  </r>
  <r>
    <x v="0"/>
    <x v="0"/>
    <x v="0"/>
    <x v="0"/>
    <x v="1"/>
    <s v="DK2_Large"/>
    <x v="6"/>
    <s v="GNR_ST_WOODCHI_BP_E-24"/>
    <x v="0"/>
    <x v="13"/>
    <n v="32.352941176470601"/>
    <n v="11808.8235294118"/>
    <n v="42511.764705882299"/>
  </r>
  <r>
    <x v="0"/>
    <x v="0"/>
    <x v="0"/>
    <x v="0"/>
    <x v="1"/>
    <s v="DK2_Large"/>
    <x v="6"/>
    <s v="GNR_ST_WOODCHI_BP_E-24"/>
    <x v="0"/>
    <x v="14"/>
    <n v="32.352941176470601"/>
    <n v="11808.8235294118"/>
    <n v="42511.764705882299"/>
  </r>
  <r>
    <x v="0"/>
    <x v="0"/>
    <x v="0"/>
    <x v="0"/>
    <x v="1"/>
    <s v="DK2_Large"/>
    <x v="6"/>
    <s v="GNR_ST_WOODCHI_BP_E-24"/>
    <x v="0"/>
    <x v="15"/>
    <n v="32.352941176470601"/>
    <n v="11808.8235294118"/>
    <n v="42511.764705882299"/>
  </r>
  <r>
    <x v="0"/>
    <x v="0"/>
    <x v="0"/>
    <x v="0"/>
    <x v="1"/>
    <s v="DK2_Large"/>
    <x v="6"/>
    <s v="GNR_ST_WOODCHI_BP_E-24"/>
    <x v="0"/>
    <x v="4"/>
    <n v="32.352941176470601"/>
    <n v="11808.8235294118"/>
    <n v="42511.764705882299"/>
  </r>
  <r>
    <x v="0"/>
    <x v="0"/>
    <x v="0"/>
    <x v="0"/>
    <x v="1"/>
    <s v="DK2_Large"/>
    <x v="6"/>
    <s v="GNR_ST_WOODCHI_BP_E-24"/>
    <x v="0"/>
    <x v="16"/>
    <n v="32.352941176470601"/>
    <n v="11808.8235294118"/>
    <n v="42511.764705882299"/>
  </r>
  <r>
    <x v="0"/>
    <x v="0"/>
    <x v="0"/>
    <x v="0"/>
    <x v="1"/>
    <s v="DK2_Large"/>
    <x v="6"/>
    <s v="GNR_ST_WOODCHI_BP_E-24"/>
    <x v="0"/>
    <x v="5"/>
    <n v="32.352941176470601"/>
    <n v="11808.8235294118"/>
    <n v="42511.764705882299"/>
  </r>
  <r>
    <x v="0"/>
    <x v="0"/>
    <x v="0"/>
    <x v="0"/>
    <x v="1"/>
    <s v="DK2_Large"/>
    <x v="6"/>
    <s v="GNR_ST_WOODCHI_BP_E-24"/>
    <x v="0"/>
    <x v="17"/>
    <n v="32.352941176470601"/>
    <n v="11808.8235294118"/>
    <n v="42511.764705882299"/>
  </r>
  <r>
    <x v="0"/>
    <x v="0"/>
    <x v="0"/>
    <x v="0"/>
    <x v="1"/>
    <s v="DK2_Large"/>
    <x v="6"/>
    <s v="GNR_ST_WOODCHI_BP_E-24"/>
    <x v="0"/>
    <x v="18"/>
    <n v="32.352941176470601"/>
    <n v="11808.8235294118"/>
    <n v="42511.764705882299"/>
  </r>
  <r>
    <x v="0"/>
    <x v="0"/>
    <x v="0"/>
    <x v="0"/>
    <x v="1"/>
    <s v="DK2_Large"/>
    <x v="6"/>
    <s v="GNR_ST_WOODCHI_BP_E-24"/>
    <x v="0"/>
    <x v="19"/>
    <n v="32.352941176470601"/>
    <n v="11808.8235294118"/>
    <n v="42511.764705882299"/>
  </r>
  <r>
    <x v="0"/>
    <x v="0"/>
    <x v="0"/>
    <x v="0"/>
    <x v="1"/>
    <s v="DK2_Large"/>
    <x v="6"/>
    <s v="GNR_ST_WOODCHI_BP_E-24"/>
    <x v="0"/>
    <x v="20"/>
    <n v="32.352941176470601"/>
    <n v="11808.8235294118"/>
    <n v="42511.764705882299"/>
  </r>
  <r>
    <x v="0"/>
    <x v="0"/>
    <x v="0"/>
    <x v="0"/>
    <x v="1"/>
    <s v="DK2_Large"/>
    <x v="6"/>
    <s v="GNR_ST_WOODCHI_BP_E-24"/>
    <x v="0"/>
    <x v="21"/>
    <n v="32.352941176470601"/>
    <n v="11808.8235294118"/>
    <n v="42511.764705882299"/>
  </r>
  <r>
    <x v="0"/>
    <x v="0"/>
    <x v="0"/>
    <x v="0"/>
    <x v="1"/>
    <s v="DK2_Large"/>
    <x v="6"/>
    <s v="GNR_ST_WOODCHI_BP_E-24"/>
    <x v="0"/>
    <x v="22"/>
    <n v="32.352941176470601"/>
    <n v="11808.8235294118"/>
    <n v="42511.764705882299"/>
  </r>
  <r>
    <x v="0"/>
    <x v="0"/>
    <x v="0"/>
    <x v="0"/>
    <x v="1"/>
    <s v="DK2_Large"/>
    <x v="6"/>
    <s v="GNR_ST_WOODCHI_BP_E-24"/>
    <x v="0"/>
    <x v="23"/>
    <n v="32.352941176470601"/>
    <n v="11808.8235294118"/>
    <n v="42511.764705882299"/>
  </r>
  <r>
    <x v="0"/>
    <x v="0"/>
    <x v="0"/>
    <x v="0"/>
    <x v="1"/>
    <s v="DK2_Large"/>
    <x v="6"/>
    <s v="GNR_ST_WOODCHI_BP_E-27"/>
    <x v="0"/>
    <x v="6"/>
    <n v="44.117647058823501"/>
    <n v="16102.9411764706"/>
    <n v="57970.588235294097"/>
  </r>
  <r>
    <x v="0"/>
    <x v="0"/>
    <x v="0"/>
    <x v="0"/>
    <x v="1"/>
    <s v="DK2_Large"/>
    <x v="6"/>
    <s v="GNR_ST_WOODCHI_BP_E-27"/>
    <x v="0"/>
    <x v="7"/>
    <n v="44.117647058823501"/>
    <n v="16102.9411764706"/>
    <n v="57970.588235294097"/>
  </r>
  <r>
    <x v="0"/>
    <x v="0"/>
    <x v="0"/>
    <x v="0"/>
    <x v="1"/>
    <s v="DK2_Large"/>
    <x v="6"/>
    <s v="GNR_ST_WOODCHI_BP_E-27"/>
    <x v="0"/>
    <x v="8"/>
    <n v="44.117647058823501"/>
    <n v="16102.9411764706"/>
    <n v="57970.588235294097"/>
  </r>
  <r>
    <x v="0"/>
    <x v="0"/>
    <x v="0"/>
    <x v="0"/>
    <x v="1"/>
    <s v="DK2_Large"/>
    <x v="6"/>
    <s v="GNR_ST_WOODCHI_BP_E-27"/>
    <x v="0"/>
    <x v="9"/>
    <n v="44.117647058823501"/>
    <n v="16102.9411764706"/>
    <n v="57970.588235294097"/>
  </r>
  <r>
    <x v="0"/>
    <x v="0"/>
    <x v="0"/>
    <x v="0"/>
    <x v="1"/>
    <s v="DK2_Large"/>
    <x v="6"/>
    <s v="GNR_ST_WOODCHI_BP_E-27"/>
    <x v="0"/>
    <x v="10"/>
    <n v="44.117647058823501"/>
    <n v="16102.9411764706"/>
    <n v="57970.588235294097"/>
  </r>
  <r>
    <x v="0"/>
    <x v="0"/>
    <x v="0"/>
    <x v="0"/>
    <x v="1"/>
    <s v="DK2_Large"/>
    <x v="6"/>
    <s v="GNR_ST_WOODCHI_BP_E-27"/>
    <x v="0"/>
    <x v="11"/>
    <n v="44.117647058823501"/>
    <n v="16102.9411764706"/>
    <n v="57970.588235294097"/>
  </r>
  <r>
    <x v="0"/>
    <x v="0"/>
    <x v="0"/>
    <x v="0"/>
    <x v="1"/>
    <s v="DK2_Large"/>
    <x v="6"/>
    <s v="GNR_ST_WOODCHI_BP_E-27"/>
    <x v="0"/>
    <x v="0"/>
    <n v="44.117647058823501"/>
    <n v="16102.9411764706"/>
    <n v="57970.588235294097"/>
  </r>
  <r>
    <x v="0"/>
    <x v="0"/>
    <x v="0"/>
    <x v="0"/>
    <x v="1"/>
    <s v="DK2_Large"/>
    <x v="6"/>
    <s v="GNR_ST_WOODCHI_BP_E-27"/>
    <x v="0"/>
    <x v="1"/>
    <n v="44.117647058823501"/>
    <n v="16102.9411764706"/>
    <n v="57970.588235294097"/>
  </r>
  <r>
    <x v="0"/>
    <x v="0"/>
    <x v="0"/>
    <x v="0"/>
    <x v="1"/>
    <s v="DK2_Large"/>
    <x v="6"/>
    <s v="GNR_ST_WOODCHI_BP_E-27"/>
    <x v="0"/>
    <x v="2"/>
    <n v="44.117647058823501"/>
    <n v="16102.9411764706"/>
    <n v="57970.588235294097"/>
  </r>
  <r>
    <x v="0"/>
    <x v="0"/>
    <x v="0"/>
    <x v="0"/>
    <x v="1"/>
    <s v="DK2_Large"/>
    <x v="6"/>
    <s v="GNR_ST_WOODCHI_BP_E-27"/>
    <x v="0"/>
    <x v="3"/>
    <n v="44.117647058823501"/>
    <n v="16102.9411764706"/>
    <n v="57970.588235294097"/>
  </r>
  <r>
    <x v="0"/>
    <x v="0"/>
    <x v="0"/>
    <x v="0"/>
    <x v="1"/>
    <s v="DK2_Large"/>
    <x v="6"/>
    <s v="GNR_ST_WOODCHI_BP_E-27"/>
    <x v="0"/>
    <x v="12"/>
    <n v="44.117647058823501"/>
    <n v="16102.9411764706"/>
    <n v="57970.588235294097"/>
  </r>
  <r>
    <x v="0"/>
    <x v="0"/>
    <x v="0"/>
    <x v="0"/>
    <x v="1"/>
    <s v="DK2_Large"/>
    <x v="6"/>
    <s v="GNR_ST_WOODCHI_BP_E-27"/>
    <x v="0"/>
    <x v="13"/>
    <n v="44.117647058823501"/>
    <n v="16102.9411764706"/>
    <n v="57970.588235294097"/>
  </r>
  <r>
    <x v="0"/>
    <x v="0"/>
    <x v="0"/>
    <x v="0"/>
    <x v="1"/>
    <s v="DK2_Large"/>
    <x v="6"/>
    <s v="GNR_ST_WOODCHI_BP_E-27"/>
    <x v="0"/>
    <x v="14"/>
    <n v="44.117647058823501"/>
    <n v="16102.9411764706"/>
    <n v="57970.588235294097"/>
  </r>
  <r>
    <x v="0"/>
    <x v="0"/>
    <x v="0"/>
    <x v="0"/>
    <x v="1"/>
    <s v="DK2_Large"/>
    <x v="6"/>
    <s v="GNR_ST_WOODCHI_BP_E-27"/>
    <x v="0"/>
    <x v="15"/>
    <n v="44.117647058823501"/>
    <n v="16102.9411764706"/>
    <n v="57970.588235294097"/>
  </r>
  <r>
    <x v="0"/>
    <x v="0"/>
    <x v="0"/>
    <x v="0"/>
    <x v="1"/>
    <s v="DK2_Large"/>
    <x v="6"/>
    <s v="GNR_ST_WOODCHI_BP_E-27"/>
    <x v="0"/>
    <x v="4"/>
    <n v="44.117647058823501"/>
    <n v="16102.9411764706"/>
    <n v="57970.588235294097"/>
  </r>
  <r>
    <x v="0"/>
    <x v="0"/>
    <x v="0"/>
    <x v="0"/>
    <x v="1"/>
    <s v="DK2_Large"/>
    <x v="6"/>
    <s v="GNR_ST_WOODCHI_BP_E-27"/>
    <x v="0"/>
    <x v="16"/>
    <n v="44.117647058823501"/>
    <n v="16102.9411764706"/>
    <n v="57970.588235294097"/>
  </r>
  <r>
    <x v="0"/>
    <x v="0"/>
    <x v="0"/>
    <x v="0"/>
    <x v="1"/>
    <s v="DK2_Large"/>
    <x v="6"/>
    <s v="GNR_ST_WOODCHI_BP_E-27"/>
    <x v="0"/>
    <x v="5"/>
    <n v="44.117647058823501"/>
    <n v="16102.9411764706"/>
    <n v="57970.588235294097"/>
  </r>
  <r>
    <x v="0"/>
    <x v="0"/>
    <x v="0"/>
    <x v="0"/>
    <x v="1"/>
    <s v="DK2_Large"/>
    <x v="6"/>
    <s v="GNR_ST_WOODCHI_BP_E-27"/>
    <x v="0"/>
    <x v="17"/>
    <n v="44.117647058823501"/>
    <n v="16102.9411764706"/>
    <n v="57970.588235294097"/>
  </r>
  <r>
    <x v="0"/>
    <x v="0"/>
    <x v="0"/>
    <x v="0"/>
    <x v="1"/>
    <s v="DK2_Large"/>
    <x v="6"/>
    <s v="GNR_ST_WOODCHI_BP_E-27"/>
    <x v="0"/>
    <x v="18"/>
    <n v="44.117647058823501"/>
    <n v="16102.9411764706"/>
    <n v="57970.588235294097"/>
  </r>
  <r>
    <x v="0"/>
    <x v="0"/>
    <x v="0"/>
    <x v="0"/>
    <x v="1"/>
    <s v="DK2_Large"/>
    <x v="6"/>
    <s v="GNR_ST_WOODCHI_BP_E-27"/>
    <x v="0"/>
    <x v="19"/>
    <n v="44.117647058823501"/>
    <n v="16102.9411764706"/>
    <n v="57970.588235294097"/>
  </r>
  <r>
    <x v="0"/>
    <x v="0"/>
    <x v="0"/>
    <x v="0"/>
    <x v="1"/>
    <s v="DK2_Large"/>
    <x v="6"/>
    <s v="GNR_ST_WOODCHI_BP_E-27"/>
    <x v="0"/>
    <x v="20"/>
    <n v="44.117647058823501"/>
    <n v="16102.9411764706"/>
    <n v="57970.588235294097"/>
  </r>
  <r>
    <x v="0"/>
    <x v="0"/>
    <x v="0"/>
    <x v="0"/>
    <x v="1"/>
    <s v="DK2_Large"/>
    <x v="6"/>
    <s v="GNR_ST_WOODCHI_BP_E-27"/>
    <x v="0"/>
    <x v="21"/>
    <n v="44.117647058823501"/>
    <n v="16102.9411764706"/>
    <n v="57970.588235294097"/>
  </r>
  <r>
    <x v="0"/>
    <x v="0"/>
    <x v="0"/>
    <x v="0"/>
    <x v="1"/>
    <s v="DK2_Large"/>
    <x v="6"/>
    <s v="GNR_ST_WOODCHI_BP_E-27"/>
    <x v="0"/>
    <x v="22"/>
    <n v="44.117647058823501"/>
    <n v="16102.9411764706"/>
    <n v="57970.588235294097"/>
  </r>
  <r>
    <x v="0"/>
    <x v="0"/>
    <x v="0"/>
    <x v="0"/>
    <x v="1"/>
    <s v="DK2_Large"/>
    <x v="6"/>
    <s v="GNR_ST_WOODCHI_BP_E-27"/>
    <x v="0"/>
    <x v="23"/>
    <n v="44.117647058823501"/>
    <n v="16102.9411764706"/>
    <n v="57970.588235294097"/>
  </r>
  <r>
    <x v="0"/>
    <x v="0"/>
    <x v="0"/>
    <x v="0"/>
    <x v="1"/>
    <s v="DK2_Large"/>
    <x v="7"/>
    <s v="GNR_ST_WOODPEL_EXT_E-50"/>
    <x v="0"/>
    <x v="6"/>
    <n v="631.11111111111097"/>
    <n v="230355.555555556"/>
    <n v="829280"/>
  </r>
  <r>
    <x v="0"/>
    <x v="0"/>
    <x v="0"/>
    <x v="0"/>
    <x v="1"/>
    <s v="DK2_Large"/>
    <x v="7"/>
    <s v="GNR_ST_WOODPEL_EXT_E-50"/>
    <x v="0"/>
    <x v="7"/>
    <n v="631.11111111111097"/>
    <n v="230355.555555556"/>
    <n v="829280"/>
  </r>
  <r>
    <x v="0"/>
    <x v="0"/>
    <x v="0"/>
    <x v="0"/>
    <x v="1"/>
    <s v="DK2_Large"/>
    <x v="7"/>
    <s v="GNR_ST_WOODPEL_EXT_E-50"/>
    <x v="0"/>
    <x v="8"/>
    <n v="631.11111111111097"/>
    <n v="230355.555555556"/>
    <n v="829280"/>
  </r>
  <r>
    <x v="0"/>
    <x v="0"/>
    <x v="0"/>
    <x v="0"/>
    <x v="1"/>
    <s v="DK2_Large"/>
    <x v="7"/>
    <s v="GNR_ST_WOODPEL_EXT_E-50"/>
    <x v="0"/>
    <x v="9"/>
    <n v="631.11111111111097"/>
    <n v="230355.555555556"/>
    <n v="829280"/>
  </r>
  <r>
    <x v="0"/>
    <x v="0"/>
    <x v="0"/>
    <x v="0"/>
    <x v="1"/>
    <s v="DK2_Large"/>
    <x v="7"/>
    <s v="GNR_ST_WOODPEL_EXT_E-50"/>
    <x v="0"/>
    <x v="10"/>
    <n v="631.11111111111097"/>
    <n v="230355.555555556"/>
    <n v="829280"/>
  </r>
  <r>
    <x v="0"/>
    <x v="0"/>
    <x v="0"/>
    <x v="0"/>
    <x v="1"/>
    <s v="DK2_Large"/>
    <x v="7"/>
    <s v="GNR_ST_WOODPEL_EXT_E-50"/>
    <x v="0"/>
    <x v="11"/>
    <n v="362.072810565635"/>
    <n v="132156.575856457"/>
    <n v="475763.673083245"/>
  </r>
  <r>
    <x v="0"/>
    <x v="0"/>
    <x v="0"/>
    <x v="0"/>
    <x v="1"/>
    <s v="DK2_Large"/>
    <x v="7"/>
    <s v="GNR_ST_WOODPEL_EXT_E-50"/>
    <x v="0"/>
    <x v="13"/>
    <n v="631.11111111111097"/>
    <n v="230355.555555556"/>
    <n v="829280"/>
  </r>
  <r>
    <x v="0"/>
    <x v="0"/>
    <x v="0"/>
    <x v="0"/>
    <x v="1"/>
    <s v="DK2_Large"/>
    <x v="7"/>
    <s v="GNR_ST_WOODPEL_EXT_E-50"/>
    <x v="0"/>
    <x v="14"/>
    <n v="631.11111111111097"/>
    <n v="230355.555555556"/>
    <n v="829280"/>
  </r>
  <r>
    <x v="0"/>
    <x v="0"/>
    <x v="0"/>
    <x v="0"/>
    <x v="1"/>
    <s v="DK2_Large"/>
    <x v="7"/>
    <s v="GNR_ST_WOODPEL_EXT_E-50"/>
    <x v="0"/>
    <x v="15"/>
    <n v="631.11111111111097"/>
    <n v="230355.555555556"/>
    <n v="829280"/>
  </r>
  <r>
    <x v="0"/>
    <x v="0"/>
    <x v="0"/>
    <x v="0"/>
    <x v="1"/>
    <s v="DK2_Large"/>
    <x v="7"/>
    <s v="GNR_ST_WOODPEL_EXT_E-50"/>
    <x v="0"/>
    <x v="18"/>
    <n v="429.15226450567002"/>
    <n v="156640.57654457001"/>
    <n v="563906.07556045102"/>
  </r>
  <r>
    <x v="0"/>
    <x v="0"/>
    <x v="0"/>
    <x v="0"/>
    <x v="1"/>
    <s v="DK2_Large"/>
    <x v="7"/>
    <s v="GNR_ST_WOODPEL_EXT_E-50"/>
    <x v="0"/>
    <x v="19"/>
    <n v="410.21218339319"/>
    <n v="149727.44693851401"/>
    <n v="539018.80897865095"/>
  </r>
  <r>
    <x v="0"/>
    <x v="0"/>
    <x v="0"/>
    <x v="0"/>
    <x v="1"/>
    <s v="DK2_Large"/>
    <x v="7"/>
    <s v="GNR_ST_WOODPEL_EXT_E-50"/>
    <x v="0"/>
    <x v="20"/>
    <n v="547.20654952437906"/>
    <n v="199730.390576398"/>
    <n v="719029.40607503406"/>
  </r>
  <r>
    <x v="0"/>
    <x v="0"/>
    <x v="0"/>
    <x v="0"/>
    <x v="1"/>
    <s v="DK2_Large"/>
    <x v="7"/>
    <s v="GNR_ST_WOODPEL_EXT_E-50"/>
    <x v="0"/>
    <x v="21"/>
    <n v="631.11111111111097"/>
    <n v="230355.555555556"/>
    <n v="829280"/>
  </r>
  <r>
    <x v="0"/>
    <x v="0"/>
    <x v="0"/>
    <x v="0"/>
    <x v="1"/>
    <s v="DK2_Large"/>
    <x v="7"/>
    <s v="GNR_ST_WOODPEL_EXT_E-50"/>
    <x v="0"/>
    <x v="22"/>
    <n v="631.11111111111097"/>
    <n v="230355.555555556"/>
    <n v="829280"/>
  </r>
  <r>
    <x v="0"/>
    <x v="0"/>
    <x v="0"/>
    <x v="0"/>
    <x v="1"/>
    <s v="DK2_Large"/>
    <x v="7"/>
    <s v="GNR_ST_WOODPEL_EXT_E-50"/>
    <x v="0"/>
    <x v="23"/>
    <n v="631.11111111111097"/>
    <n v="230355.555555556"/>
    <n v="829280"/>
  </r>
  <r>
    <x v="0"/>
    <x v="0"/>
    <x v="0"/>
    <x v="0"/>
    <x v="1"/>
    <s v="DK2_Large"/>
    <x v="8"/>
    <s v="GNR_BO_WOODWST_E-90"/>
    <x v="0"/>
    <x v="6"/>
    <n v="6.66"/>
    <n v="2430.9"/>
    <n v="8751.24"/>
  </r>
  <r>
    <x v="0"/>
    <x v="0"/>
    <x v="0"/>
    <x v="0"/>
    <x v="1"/>
    <s v="DK2_Large"/>
    <x v="8"/>
    <s v="GNR_BO_WOODWST_E-90"/>
    <x v="0"/>
    <x v="7"/>
    <n v="6.66"/>
    <n v="2430.9"/>
    <n v="8751.24"/>
  </r>
  <r>
    <x v="0"/>
    <x v="0"/>
    <x v="0"/>
    <x v="0"/>
    <x v="1"/>
    <s v="DK2_Large"/>
    <x v="8"/>
    <s v="GNR_BO_WOODWST_E-90"/>
    <x v="0"/>
    <x v="8"/>
    <n v="6.66"/>
    <n v="2430.9"/>
    <n v="8751.24"/>
  </r>
  <r>
    <x v="0"/>
    <x v="0"/>
    <x v="0"/>
    <x v="0"/>
    <x v="1"/>
    <s v="DK2_Large"/>
    <x v="8"/>
    <s v="GNR_BO_WOODWST_E-90"/>
    <x v="0"/>
    <x v="9"/>
    <n v="6.66"/>
    <n v="2430.9"/>
    <n v="8751.24"/>
  </r>
  <r>
    <x v="0"/>
    <x v="0"/>
    <x v="0"/>
    <x v="0"/>
    <x v="1"/>
    <s v="DK2_Large"/>
    <x v="8"/>
    <s v="GNR_BO_WOODWST_E-90"/>
    <x v="0"/>
    <x v="10"/>
    <n v="6.66"/>
    <n v="2430.9"/>
    <n v="8751.24"/>
  </r>
  <r>
    <x v="0"/>
    <x v="0"/>
    <x v="0"/>
    <x v="0"/>
    <x v="1"/>
    <s v="DK2_Large"/>
    <x v="8"/>
    <s v="GNR_BO_WOODWST_E-90"/>
    <x v="0"/>
    <x v="11"/>
    <n v="6.66"/>
    <n v="2430.9"/>
    <n v="8751.24"/>
  </r>
  <r>
    <x v="0"/>
    <x v="0"/>
    <x v="0"/>
    <x v="0"/>
    <x v="1"/>
    <s v="DK2_Large"/>
    <x v="8"/>
    <s v="GNR_BO_WOODWST_E-90"/>
    <x v="0"/>
    <x v="0"/>
    <n v="6.66"/>
    <n v="2430.9"/>
    <n v="8751.24"/>
  </r>
  <r>
    <x v="0"/>
    <x v="0"/>
    <x v="0"/>
    <x v="0"/>
    <x v="1"/>
    <s v="DK2_Large"/>
    <x v="8"/>
    <s v="GNR_BO_WOODWST_E-90"/>
    <x v="0"/>
    <x v="1"/>
    <n v="6.66"/>
    <n v="2430.9"/>
    <n v="8751.24"/>
  </r>
  <r>
    <x v="0"/>
    <x v="0"/>
    <x v="0"/>
    <x v="0"/>
    <x v="1"/>
    <s v="DK2_Large"/>
    <x v="8"/>
    <s v="GNR_BO_WOODWST_E-90"/>
    <x v="0"/>
    <x v="2"/>
    <n v="6.66"/>
    <n v="2430.9"/>
    <n v="8751.24"/>
  </r>
  <r>
    <x v="0"/>
    <x v="0"/>
    <x v="0"/>
    <x v="0"/>
    <x v="1"/>
    <s v="DK2_Large"/>
    <x v="8"/>
    <s v="GNR_BO_WOODWST_E-90"/>
    <x v="0"/>
    <x v="3"/>
    <n v="6.66"/>
    <n v="2430.9"/>
    <n v="8751.24"/>
  </r>
  <r>
    <x v="0"/>
    <x v="0"/>
    <x v="0"/>
    <x v="0"/>
    <x v="1"/>
    <s v="DK2_Large"/>
    <x v="8"/>
    <s v="GNR_BO_WOODWST_E-90"/>
    <x v="0"/>
    <x v="12"/>
    <n v="6.66"/>
    <n v="2430.9"/>
    <n v="8751.24"/>
  </r>
  <r>
    <x v="0"/>
    <x v="0"/>
    <x v="0"/>
    <x v="0"/>
    <x v="1"/>
    <s v="DK2_Large"/>
    <x v="8"/>
    <s v="GNR_BO_WOODWST_E-90"/>
    <x v="0"/>
    <x v="13"/>
    <n v="6.66"/>
    <n v="2430.9"/>
    <n v="8751.24"/>
  </r>
  <r>
    <x v="0"/>
    <x v="0"/>
    <x v="0"/>
    <x v="0"/>
    <x v="1"/>
    <s v="DK2_Large"/>
    <x v="8"/>
    <s v="GNR_BO_WOODWST_E-90"/>
    <x v="0"/>
    <x v="14"/>
    <n v="6.66"/>
    <n v="2430.9"/>
    <n v="8751.24"/>
  </r>
  <r>
    <x v="0"/>
    <x v="0"/>
    <x v="0"/>
    <x v="0"/>
    <x v="1"/>
    <s v="DK2_Large"/>
    <x v="8"/>
    <s v="GNR_BO_WOODWST_E-90"/>
    <x v="0"/>
    <x v="15"/>
    <n v="6.66"/>
    <n v="2430.9"/>
    <n v="8751.24"/>
  </r>
  <r>
    <x v="0"/>
    <x v="0"/>
    <x v="0"/>
    <x v="0"/>
    <x v="1"/>
    <s v="DK2_Large"/>
    <x v="8"/>
    <s v="GNR_BO_WOODWST_E-90"/>
    <x v="0"/>
    <x v="4"/>
    <n v="6.66"/>
    <n v="2430.9"/>
    <n v="8751.24"/>
  </r>
  <r>
    <x v="0"/>
    <x v="0"/>
    <x v="0"/>
    <x v="0"/>
    <x v="1"/>
    <s v="DK2_Large"/>
    <x v="8"/>
    <s v="GNR_BO_WOODWST_E-90"/>
    <x v="0"/>
    <x v="16"/>
    <n v="6.66"/>
    <n v="2430.9"/>
    <n v="8751.24"/>
  </r>
  <r>
    <x v="0"/>
    <x v="0"/>
    <x v="0"/>
    <x v="0"/>
    <x v="1"/>
    <s v="DK2_Large"/>
    <x v="8"/>
    <s v="GNR_BO_WOODWST_E-90"/>
    <x v="0"/>
    <x v="5"/>
    <n v="6.66"/>
    <n v="2430.9"/>
    <n v="8751.24"/>
  </r>
  <r>
    <x v="0"/>
    <x v="0"/>
    <x v="0"/>
    <x v="0"/>
    <x v="1"/>
    <s v="DK2_Large"/>
    <x v="8"/>
    <s v="GNR_BO_WOODWST_E-90"/>
    <x v="0"/>
    <x v="17"/>
    <n v="6.66"/>
    <n v="2430.9"/>
    <n v="8751.24"/>
  </r>
  <r>
    <x v="0"/>
    <x v="0"/>
    <x v="0"/>
    <x v="0"/>
    <x v="1"/>
    <s v="DK2_Large"/>
    <x v="8"/>
    <s v="GNR_BO_WOODWST_E-90"/>
    <x v="0"/>
    <x v="18"/>
    <n v="6.66"/>
    <n v="2430.9"/>
    <n v="8751.24"/>
  </r>
  <r>
    <x v="0"/>
    <x v="0"/>
    <x v="0"/>
    <x v="0"/>
    <x v="1"/>
    <s v="DK2_Large"/>
    <x v="8"/>
    <s v="GNR_BO_WOODWST_E-90"/>
    <x v="0"/>
    <x v="19"/>
    <n v="6.66"/>
    <n v="2430.9"/>
    <n v="8751.24"/>
  </r>
  <r>
    <x v="0"/>
    <x v="0"/>
    <x v="0"/>
    <x v="0"/>
    <x v="1"/>
    <s v="DK2_Large"/>
    <x v="8"/>
    <s v="GNR_BO_WOODWST_E-90"/>
    <x v="0"/>
    <x v="20"/>
    <n v="6.66"/>
    <n v="2430.9"/>
    <n v="8751.24"/>
  </r>
  <r>
    <x v="0"/>
    <x v="0"/>
    <x v="0"/>
    <x v="0"/>
    <x v="1"/>
    <s v="DK2_Large"/>
    <x v="8"/>
    <s v="GNR_BO_WOODWST_E-90"/>
    <x v="0"/>
    <x v="21"/>
    <n v="6.66"/>
    <n v="2430.9"/>
    <n v="8751.24"/>
  </r>
  <r>
    <x v="0"/>
    <x v="0"/>
    <x v="0"/>
    <x v="0"/>
    <x v="1"/>
    <s v="DK2_Large"/>
    <x v="8"/>
    <s v="GNR_BO_WOODWST_E-90"/>
    <x v="0"/>
    <x v="22"/>
    <n v="6.66"/>
    <n v="2430.9"/>
    <n v="8751.24"/>
  </r>
  <r>
    <x v="0"/>
    <x v="0"/>
    <x v="0"/>
    <x v="0"/>
    <x v="1"/>
    <s v="DK2_Large"/>
    <x v="8"/>
    <s v="GNR_BO_WOODWST_E-90"/>
    <x v="0"/>
    <x v="23"/>
    <n v="6.66"/>
    <n v="2430.9"/>
    <n v="8751.24"/>
  </r>
  <r>
    <x v="0"/>
    <x v="0"/>
    <x v="0"/>
    <x v="0"/>
    <x v="1"/>
    <s v="DK2_MedSmall"/>
    <x v="1"/>
    <s v="GNR_HS_HEAT-E-100"/>
    <x v="0"/>
    <x v="6"/>
    <n v="23.356674674087198"/>
    <n v="8525.1862560418194"/>
    <n v="30690.670521750599"/>
  </r>
  <r>
    <x v="0"/>
    <x v="0"/>
    <x v="0"/>
    <x v="0"/>
    <x v="1"/>
    <s v="DK2_MedSmall"/>
    <x v="1"/>
    <s v="GNR_HS_HEAT-E-100"/>
    <x v="0"/>
    <x v="7"/>
    <n v="22.839940813500299"/>
    <n v="8336.5783969276108"/>
    <n v="30011.6822289394"/>
  </r>
  <r>
    <x v="0"/>
    <x v="0"/>
    <x v="0"/>
    <x v="0"/>
    <x v="1"/>
    <s v="DK2_MedSmall"/>
    <x v="1"/>
    <s v="GNR_HS_HEAT-E-100"/>
    <x v="0"/>
    <x v="8"/>
    <n v="22.370182758421301"/>
    <n v="8165.1167068237901"/>
    <n v="29394.4201445656"/>
  </r>
  <r>
    <x v="0"/>
    <x v="0"/>
    <x v="0"/>
    <x v="0"/>
    <x v="1"/>
    <s v="DK2_MedSmall"/>
    <x v="1"/>
    <s v="GNR_HS_HEAT-E-100"/>
    <x v="0"/>
    <x v="9"/>
    <n v="23.074819841039801"/>
    <n v="8422.3092419795303"/>
    <n v="30320.313271126299"/>
  </r>
  <r>
    <x v="0"/>
    <x v="0"/>
    <x v="0"/>
    <x v="0"/>
    <x v="1"/>
    <s v="DK2_MedSmall"/>
    <x v="1"/>
    <s v="GNR_HS_HEAT-E-100"/>
    <x v="0"/>
    <x v="14"/>
    <n v="60.381010378242699"/>
    <n v="22039.068788058601"/>
    <n v="79340.647637010901"/>
  </r>
  <r>
    <x v="0"/>
    <x v="0"/>
    <x v="0"/>
    <x v="0"/>
    <x v="1"/>
    <s v="DK2_MedSmall"/>
    <x v="1"/>
    <s v="GNR_HS_HEAT-E-100"/>
    <x v="0"/>
    <x v="15"/>
    <n v="35.200353412806201"/>
    <n v="12848.1289956743"/>
    <n v="46253.264384427297"/>
  </r>
  <r>
    <x v="0"/>
    <x v="0"/>
    <x v="0"/>
    <x v="0"/>
    <x v="1"/>
    <s v="DK2_MedSmall"/>
    <x v="1"/>
    <s v="GNR_HS_HEAT-E-100"/>
    <x v="0"/>
    <x v="21"/>
    <n v="10.2576852875412"/>
    <n v="3744.05512995255"/>
    <n v="13478.598467829201"/>
  </r>
  <r>
    <x v="0"/>
    <x v="0"/>
    <x v="0"/>
    <x v="0"/>
    <x v="1"/>
    <s v="DK2_MedSmall"/>
    <x v="1"/>
    <s v="GNR_HS_HEAT-E-100"/>
    <x v="0"/>
    <x v="22"/>
    <n v="36.932682465869398"/>
    <n v="13480.4291000423"/>
    <n v="48529.544760152501"/>
  </r>
  <r>
    <x v="0"/>
    <x v="0"/>
    <x v="0"/>
    <x v="0"/>
    <x v="1"/>
    <s v="DK2_MedSmall"/>
    <x v="1"/>
    <s v="GNR_HS_HEAT-E-100"/>
    <x v="0"/>
    <x v="23"/>
    <n v="34.067158329887697"/>
    <n v="12434.512790409"/>
    <n v="44764.246045472501"/>
  </r>
  <r>
    <x v="0"/>
    <x v="0"/>
    <x v="0"/>
    <x v="0"/>
    <x v="1"/>
    <s v="DK2_MedSmall"/>
    <x v="2"/>
    <s v="GNR_BO_MSW_E-105"/>
    <x v="0"/>
    <x v="6"/>
    <n v="17"/>
    <n v="6205"/>
    <n v="22338"/>
  </r>
  <r>
    <x v="0"/>
    <x v="0"/>
    <x v="0"/>
    <x v="0"/>
    <x v="1"/>
    <s v="DK2_MedSmall"/>
    <x v="2"/>
    <s v="GNR_BO_MSW_E-105"/>
    <x v="0"/>
    <x v="7"/>
    <n v="17"/>
    <n v="6205"/>
    <n v="22338"/>
  </r>
  <r>
    <x v="0"/>
    <x v="0"/>
    <x v="0"/>
    <x v="0"/>
    <x v="1"/>
    <s v="DK2_MedSmall"/>
    <x v="2"/>
    <s v="GNR_BO_MSW_E-105"/>
    <x v="0"/>
    <x v="8"/>
    <n v="17"/>
    <n v="6205"/>
    <n v="22338"/>
  </r>
  <r>
    <x v="0"/>
    <x v="0"/>
    <x v="0"/>
    <x v="0"/>
    <x v="1"/>
    <s v="DK2_MedSmall"/>
    <x v="2"/>
    <s v="GNR_BO_MSW_E-105"/>
    <x v="0"/>
    <x v="9"/>
    <n v="17"/>
    <n v="6205"/>
    <n v="22338"/>
  </r>
  <r>
    <x v="0"/>
    <x v="0"/>
    <x v="0"/>
    <x v="0"/>
    <x v="1"/>
    <s v="DK2_MedSmall"/>
    <x v="2"/>
    <s v="GNR_BO_MSW_E-105"/>
    <x v="0"/>
    <x v="10"/>
    <n v="17"/>
    <n v="6205"/>
    <n v="22338"/>
  </r>
  <r>
    <x v="0"/>
    <x v="0"/>
    <x v="0"/>
    <x v="0"/>
    <x v="1"/>
    <s v="DK2_MedSmall"/>
    <x v="2"/>
    <s v="GNR_BO_MSW_E-105"/>
    <x v="0"/>
    <x v="11"/>
    <n v="5.2297894987678104"/>
    <n v="1908.87316705025"/>
    <n v="6871.9434013809096"/>
  </r>
  <r>
    <x v="0"/>
    <x v="0"/>
    <x v="0"/>
    <x v="0"/>
    <x v="1"/>
    <s v="DK2_MedSmall"/>
    <x v="2"/>
    <s v="GNR_BO_MSW_E-105"/>
    <x v="0"/>
    <x v="20"/>
    <n v="17"/>
    <n v="6205"/>
    <n v="22338"/>
  </r>
  <r>
    <x v="0"/>
    <x v="0"/>
    <x v="0"/>
    <x v="0"/>
    <x v="1"/>
    <s v="DK2_MedSmall"/>
    <x v="2"/>
    <s v="GNR_BO_MSW_E-105"/>
    <x v="0"/>
    <x v="21"/>
    <n v="17"/>
    <n v="6205"/>
    <n v="22338"/>
  </r>
  <r>
    <x v="0"/>
    <x v="0"/>
    <x v="0"/>
    <x v="0"/>
    <x v="1"/>
    <s v="DK2_MedSmall"/>
    <x v="2"/>
    <s v="GNR_BO_MSW_E-105"/>
    <x v="0"/>
    <x v="22"/>
    <n v="17"/>
    <n v="6205"/>
    <n v="22338"/>
  </r>
  <r>
    <x v="0"/>
    <x v="0"/>
    <x v="0"/>
    <x v="0"/>
    <x v="1"/>
    <s v="DK2_MedSmall"/>
    <x v="2"/>
    <s v="GNR_BO_MSW_E-105"/>
    <x v="0"/>
    <x v="23"/>
    <n v="17"/>
    <n v="6205"/>
    <n v="22338"/>
  </r>
  <r>
    <x v="0"/>
    <x v="0"/>
    <x v="0"/>
    <x v="0"/>
    <x v="1"/>
    <s v="DK2_MedSmall"/>
    <x v="2"/>
    <s v="GNR_ST_MSW_BP_E-21"/>
    <x v="0"/>
    <x v="0"/>
    <n v="22.653448573868399"/>
    <n v="8268.5087294619698"/>
    <n v="29766.631426063101"/>
  </r>
  <r>
    <x v="0"/>
    <x v="0"/>
    <x v="0"/>
    <x v="0"/>
    <x v="1"/>
    <s v="DK2_MedSmall"/>
    <x v="2"/>
    <s v="GNR_ST_MSW_BP_E-21"/>
    <x v="0"/>
    <x v="1"/>
    <n v="22.653448573868399"/>
    <n v="8268.5087294619698"/>
    <n v="29766.631426063101"/>
  </r>
  <r>
    <x v="0"/>
    <x v="0"/>
    <x v="0"/>
    <x v="0"/>
    <x v="1"/>
    <s v="DK2_MedSmall"/>
    <x v="2"/>
    <s v="GNR_ST_MSW_BP_E-21"/>
    <x v="0"/>
    <x v="2"/>
    <n v="22.653448573868399"/>
    <n v="8268.5087294619698"/>
    <n v="29766.631426063101"/>
  </r>
  <r>
    <x v="0"/>
    <x v="0"/>
    <x v="0"/>
    <x v="0"/>
    <x v="1"/>
    <s v="DK2_MedSmall"/>
    <x v="2"/>
    <s v="GNR_ST_MSW_BP_E-21"/>
    <x v="0"/>
    <x v="3"/>
    <n v="22.653448573868399"/>
    <n v="8268.5087294619698"/>
    <n v="29766.631426063101"/>
  </r>
  <r>
    <x v="0"/>
    <x v="0"/>
    <x v="0"/>
    <x v="0"/>
    <x v="1"/>
    <s v="DK2_MedSmall"/>
    <x v="2"/>
    <s v="GNR_ST_MSW_BP_E-21"/>
    <x v="0"/>
    <x v="12"/>
    <n v="22.653448573868399"/>
    <n v="8268.5087294619698"/>
    <n v="29766.631426063101"/>
  </r>
  <r>
    <x v="0"/>
    <x v="0"/>
    <x v="0"/>
    <x v="0"/>
    <x v="1"/>
    <s v="DK2_MedSmall"/>
    <x v="2"/>
    <s v="GNR_ST_MSW_BP_E-21"/>
    <x v="0"/>
    <x v="13"/>
    <n v="22.653448573868399"/>
    <n v="8268.5087294619698"/>
    <n v="29766.631426063101"/>
  </r>
  <r>
    <x v="0"/>
    <x v="0"/>
    <x v="0"/>
    <x v="0"/>
    <x v="1"/>
    <s v="DK2_MedSmall"/>
    <x v="2"/>
    <s v="GNR_ST_MSW_BP_E-21"/>
    <x v="0"/>
    <x v="4"/>
    <n v="22.653448573868399"/>
    <n v="8268.5087294619698"/>
    <n v="29766.631426063101"/>
  </r>
  <r>
    <x v="0"/>
    <x v="0"/>
    <x v="0"/>
    <x v="0"/>
    <x v="1"/>
    <s v="DK2_MedSmall"/>
    <x v="2"/>
    <s v="GNR_ST_MSW_BP_E-21"/>
    <x v="0"/>
    <x v="16"/>
    <n v="22.653448573868399"/>
    <n v="8268.5087294619698"/>
    <n v="29766.631426063101"/>
  </r>
  <r>
    <x v="0"/>
    <x v="0"/>
    <x v="0"/>
    <x v="0"/>
    <x v="1"/>
    <s v="DK2_MedSmall"/>
    <x v="2"/>
    <s v="GNR_ST_MSW_BP_E-21"/>
    <x v="0"/>
    <x v="5"/>
    <n v="22.653448573868399"/>
    <n v="8268.5087294619698"/>
    <n v="29766.631426063101"/>
  </r>
  <r>
    <x v="0"/>
    <x v="0"/>
    <x v="0"/>
    <x v="0"/>
    <x v="1"/>
    <s v="DK2_MedSmall"/>
    <x v="2"/>
    <s v="GNR_ST_MSW_BP_E-21"/>
    <x v="0"/>
    <x v="17"/>
    <n v="22.653448573868399"/>
    <n v="8268.5087294619698"/>
    <n v="29766.631426063101"/>
  </r>
  <r>
    <x v="0"/>
    <x v="0"/>
    <x v="0"/>
    <x v="0"/>
    <x v="1"/>
    <s v="DK2_MedSmall"/>
    <x v="2"/>
    <s v="GNR_ST_MSW_BP_E-21"/>
    <x v="0"/>
    <x v="18"/>
    <n v="22.653448573868399"/>
    <n v="8268.5087294619698"/>
    <n v="29766.631426063101"/>
  </r>
  <r>
    <x v="0"/>
    <x v="0"/>
    <x v="0"/>
    <x v="0"/>
    <x v="1"/>
    <s v="DK2_MedSmall"/>
    <x v="2"/>
    <s v="GNR_ST_MSW_BP_E-21"/>
    <x v="0"/>
    <x v="19"/>
    <n v="22.653448573868399"/>
    <n v="8268.5087294619698"/>
    <n v="29766.631426063101"/>
  </r>
  <r>
    <x v="0"/>
    <x v="0"/>
    <x v="0"/>
    <x v="0"/>
    <x v="1"/>
    <s v="DK2_MedSmall"/>
    <x v="2"/>
    <s v="GNR_ST_MSW_BP_E-25"/>
    <x v="0"/>
    <x v="0"/>
    <n v="36.854117829129201"/>
    <n v="13451.7530076322"/>
    <n v="48426.310827475798"/>
  </r>
  <r>
    <x v="0"/>
    <x v="0"/>
    <x v="0"/>
    <x v="0"/>
    <x v="1"/>
    <s v="DK2_MedSmall"/>
    <x v="2"/>
    <s v="GNR_ST_MSW_BP_E-25"/>
    <x v="0"/>
    <x v="1"/>
    <n v="36.854117829129201"/>
    <n v="13451.7530076322"/>
    <n v="48426.310827475798"/>
  </r>
  <r>
    <x v="0"/>
    <x v="0"/>
    <x v="0"/>
    <x v="0"/>
    <x v="1"/>
    <s v="DK2_MedSmall"/>
    <x v="2"/>
    <s v="GNR_ST_MSW_BP_E-25"/>
    <x v="0"/>
    <x v="2"/>
    <n v="36.854117829129201"/>
    <n v="13451.7530076322"/>
    <n v="48426.310827475798"/>
  </r>
  <r>
    <x v="0"/>
    <x v="0"/>
    <x v="0"/>
    <x v="0"/>
    <x v="1"/>
    <s v="DK2_MedSmall"/>
    <x v="2"/>
    <s v="GNR_ST_MSW_BP_E-25"/>
    <x v="0"/>
    <x v="3"/>
    <n v="36.854117829129201"/>
    <n v="13451.7530076322"/>
    <n v="48426.310827475798"/>
  </r>
  <r>
    <x v="0"/>
    <x v="0"/>
    <x v="0"/>
    <x v="0"/>
    <x v="1"/>
    <s v="DK2_MedSmall"/>
    <x v="2"/>
    <s v="GNR_ST_MSW_BP_E-25"/>
    <x v="0"/>
    <x v="12"/>
    <n v="36.854117829129201"/>
    <n v="13451.7530076322"/>
    <n v="48426.310827475798"/>
  </r>
  <r>
    <x v="0"/>
    <x v="0"/>
    <x v="0"/>
    <x v="0"/>
    <x v="1"/>
    <s v="DK2_MedSmall"/>
    <x v="2"/>
    <s v="GNR_ST_MSW_BP_E-25"/>
    <x v="0"/>
    <x v="13"/>
    <n v="36.854117829129201"/>
    <n v="13451.7530076322"/>
    <n v="48426.310827475798"/>
  </r>
  <r>
    <x v="0"/>
    <x v="0"/>
    <x v="0"/>
    <x v="0"/>
    <x v="1"/>
    <s v="DK2_MedSmall"/>
    <x v="2"/>
    <s v="GNR_ST_MSW_BP_E-25"/>
    <x v="0"/>
    <x v="4"/>
    <n v="36.854117829129201"/>
    <n v="13451.7530076322"/>
    <n v="48426.310827475798"/>
  </r>
  <r>
    <x v="0"/>
    <x v="0"/>
    <x v="0"/>
    <x v="0"/>
    <x v="1"/>
    <s v="DK2_MedSmall"/>
    <x v="2"/>
    <s v="GNR_ST_MSW_BP_E-25"/>
    <x v="0"/>
    <x v="16"/>
    <n v="36.854117829129201"/>
    <n v="13451.7530076322"/>
    <n v="48426.310827475798"/>
  </r>
  <r>
    <x v="0"/>
    <x v="0"/>
    <x v="0"/>
    <x v="0"/>
    <x v="1"/>
    <s v="DK2_MedSmall"/>
    <x v="2"/>
    <s v="GNR_ST_MSW_BP_E-25"/>
    <x v="0"/>
    <x v="5"/>
    <n v="36.854117829129201"/>
    <n v="13451.7530076322"/>
    <n v="48426.310827475798"/>
  </r>
  <r>
    <x v="0"/>
    <x v="0"/>
    <x v="0"/>
    <x v="0"/>
    <x v="1"/>
    <s v="DK2_MedSmall"/>
    <x v="2"/>
    <s v="GNR_ST_MSW_BP_E-25"/>
    <x v="0"/>
    <x v="17"/>
    <n v="36.854117829129201"/>
    <n v="13451.7530076322"/>
    <n v="48426.310827475798"/>
  </r>
  <r>
    <x v="0"/>
    <x v="0"/>
    <x v="0"/>
    <x v="0"/>
    <x v="1"/>
    <s v="DK2_MedSmall"/>
    <x v="2"/>
    <s v="GNR_ST_MSW_BP_E-25"/>
    <x v="0"/>
    <x v="18"/>
    <n v="36.854117829129201"/>
    <n v="13451.7530076322"/>
    <n v="48426.310827475798"/>
  </r>
  <r>
    <x v="0"/>
    <x v="0"/>
    <x v="0"/>
    <x v="0"/>
    <x v="1"/>
    <s v="DK2_MedSmall"/>
    <x v="2"/>
    <s v="GNR_ST_MSW_BP_E-25"/>
    <x v="0"/>
    <x v="19"/>
    <n v="36.854117829129201"/>
    <n v="13451.7530076322"/>
    <n v="48426.310827475798"/>
  </r>
  <r>
    <x v="0"/>
    <x v="0"/>
    <x v="0"/>
    <x v="0"/>
    <x v="1"/>
    <s v="DK2_MedSmall"/>
    <x v="2"/>
    <s v="GNR_ST_MSW_BP_E-25"/>
    <x v="0"/>
    <x v="20"/>
    <n v="15.6166841098718"/>
    <n v="5700.0897001032099"/>
    <n v="20520.3229203716"/>
  </r>
  <r>
    <x v="0"/>
    <x v="0"/>
    <x v="0"/>
    <x v="0"/>
    <x v="1"/>
    <s v="DK2_MedSmall"/>
    <x v="2"/>
    <s v="GNR_ST_MSW_BP_E-28"/>
    <x v="0"/>
    <x v="10"/>
    <n v="23.591553701626701"/>
    <n v="8610.9171010937298"/>
    <n v="30999.301563937399"/>
  </r>
  <r>
    <x v="0"/>
    <x v="0"/>
    <x v="0"/>
    <x v="0"/>
    <x v="1"/>
    <s v="DK2_MedSmall"/>
    <x v="2"/>
    <s v="GNR_ST_MSW_BP_E-28"/>
    <x v="0"/>
    <x v="11"/>
    <n v="43.582530166740803"/>
    <n v="15907.6235108604"/>
    <n v="57267.444639097499"/>
  </r>
  <r>
    <x v="0"/>
    <x v="0"/>
    <x v="0"/>
    <x v="0"/>
    <x v="1"/>
    <s v="DK2_MedSmall"/>
    <x v="2"/>
    <s v="GNR_ST_MSW_BP_E-28"/>
    <x v="0"/>
    <x v="0"/>
    <n v="43.582530166740803"/>
    <n v="15907.6235108604"/>
    <n v="57267.444639097499"/>
  </r>
  <r>
    <x v="0"/>
    <x v="0"/>
    <x v="0"/>
    <x v="0"/>
    <x v="1"/>
    <s v="DK2_MedSmall"/>
    <x v="2"/>
    <s v="GNR_ST_MSW_BP_E-28"/>
    <x v="0"/>
    <x v="1"/>
    <n v="43.582530166740803"/>
    <n v="15907.6235108604"/>
    <n v="57267.444639097499"/>
  </r>
  <r>
    <x v="0"/>
    <x v="0"/>
    <x v="0"/>
    <x v="0"/>
    <x v="1"/>
    <s v="DK2_MedSmall"/>
    <x v="2"/>
    <s v="GNR_ST_MSW_BP_E-28"/>
    <x v="0"/>
    <x v="2"/>
    <n v="43.582530166740803"/>
    <n v="15907.6235108604"/>
    <n v="57267.444639097499"/>
  </r>
  <r>
    <x v="0"/>
    <x v="0"/>
    <x v="0"/>
    <x v="0"/>
    <x v="1"/>
    <s v="DK2_MedSmall"/>
    <x v="2"/>
    <s v="GNR_ST_MSW_BP_E-28"/>
    <x v="0"/>
    <x v="3"/>
    <n v="43.582530166740803"/>
    <n v="15907.6235108604"/>
    <n v="57267.444639097499"/>
  </r>
  <r>
    <x v="0"/>
    <x v="0"/>
    <x v="0"/>
    <x v="0"/>
    <x v="1"/>
    <s v="DK2_MedSmall"/>
    <x v="2"/>
    <s v="GNR_ST_MSW_BP_E-28"/>
    <x v="0"/>
    <x v="12"/>
    <n v="43.582530166740803"/>
    <n v="15907.6235108604"/>
    <n v="57267.444639097499"/>
  </r>
  <r>
    <x v="0"/>
    <x v="0"/>
    <x v="0"/>
    <x v="0"/>
    <x v="1"/>
    <s v="DK2_MedSmall"/>
    <x v="2"/>
    <s v="GNR_ST_MSW_BP_E-28"/>
    <x v="0"/>
    <x v="13"/>
    <n v="43.582530166740803"/>
    <n v="15907.6235108604"/>
    <n v="57267.444639097499"/>
  </r>
  <r>
    <x v="0"/>
    <x v="0"/>
    <x v="0"/>
    <x v="0"/>
    <x v="1"/>
    <s v="DK2_MedSmall"/>
    <x v="2"/>
    <s v="GNR_ST_MSW_BP_E-28"/>
    <x v="0"/>
    <x v="14"/>
    <n v="20.233929616112299"/>
    <n v="7385.3843098809903"/>
    <n v="26587.383515571601"/>
  </r>
  <r>
    <x v="0"/>
    <x v="0"/>
    <x v="0"/>
    <x v="0"/>
    <x v="1"/>
    <s v="DK2_MedSmall"/>
    <x v="2"/>
    <s v="GNR_ST_MSW_BP_E-28"/>
    <x v="0"/>
    <x v="15"/>
    <n v="43.582530166740803"/>
    <n v="15907.6235108604"/>
    <n v="57267.444639097499"/>
  </r>
  <r>
    <x v="0"/>
    <x v="0"/>
    <x v="0"/>
    <x v="0"/>
    <x v="1"/>
    <s v="DK2_MedSmall"/>
    <x v="2"/>
    <s v="GNR_ST_MSW_BP_E-28"/>
    <x v="0"/>
    <x v="4"/>
    <n v="43.582530166740803"/>
    <n v="15907.6235108604"/>
    <n v="57267.444639097499"/>
  </r>
  <r>
    <x v="0"/>
    <x v="0"/>
    <x v="0"/>
    <x v="0"/>
    <x v="1"/>
    <s v="DK2_MedSmall"/>
    <x v="2"/>
    <s v="GNR_ST_MSW_BP_E-28"/>
    <x v="0"/>
    <x v="16"/>
    <n v="43.582530166740803"/>
    <n v="15907.6235108604"/>
    <n v="57267.444639097499"/>
  </r>
  <r>
    <x v="0"/>
    <x v="0"/>
    <x v="0"/>
    <x v="0"/>
    <x v="1"/>
    <s v="DK2_MedSmall"/>
    <x v="2"/>
    <s v="GNR_ST_MSW_BP_E-28"/>
    <x v="0"/>
    <x v="5"/>
    <n v="43.582530166740803"/>
    <n v="15907.6235108604"/>
    <n v="57267.444639097499"/>
  </r>
  <r>
    <x v="0"/>
    <x v="0"/>
    <x v="0"/>
    <x v="0"/>
    <x v="1"/>
    <s v="DK2_MedSmall"/>
    <x v="2"/>
    <s v="GNR_ST_MSW_BP_E-28"/>
    <x v="0"/>
    <x v="17"/>
    <n v="43.582530166740803"/>
    <n v="15907.6235108604"/>
    <n v="57267.444639097499"/>
  </r>
  <r>
    <x v="0"/>
    <x v="0"/>
    <x v="0"/>
    <x v="0"/>
    <x v="1"/>
    <s v="DK2_MedSmall"/>
    <x v="2"/>
    <s v="GNR_ST_MSW_BP_E-28"/>
    <x v="0"/>
    <x v="18"/>
    <n v="43.582530166740803"/>
    <n v="15907.6235108604"/>
    <n v="57267.444639097499"/>
  </r>
  <r>
    <x v="0"/>
    <x v="0"/>
    <x v="0"/>
    <x v="0"/>
    <x v="1"/>
    <s v="DK2_MedSmall"/>
    <x v="2"/>
    <s v="GNR_ST_MSW_BP_E-28"/>
    <x v="0"/>
    <x v="19"/>
    <n v="43.582530166740803"/>
    <n v="15907.6235108604"/>
    <n v="57267.444639097499"/>
  </r>
  <r>
    <x v="0"/>
    <x v="0"/>
    <x v="0"/>
    <x v="0"/>
    <x v="1"/>
    <s v="DK2_MedSmall"/>
    <x v="2"/>
    <s v="GNR_ST_MSW_BP_E-28"/>
    <x v="0"/>
    <x v="20"/>
    <n v="43.582530166740803"/>
    <n v="15907.6235108604"/>
    <n v="57267.444639097499"/>
  </r>
  <r>
    <x v="0"/>
    <x v="0"/>
    <x v="0"/>
    <x v="0"/>
    <x v="1"/>
    <s v="DK2_MedSmall"/>
    <x v="2"/>
    <s v="GNR_ST_MSW_BP_E-28"/>
    <x v="0"/>
    <x v="21"/>
    <n v="31.560480951149501"/>
    <n v="11519.575547169599"/>
    <n v="41470.471969810496"/>
  </r>
  <r>
    <x v="0"/>
    <x v="0"/>
    <x v="0"/>
    <x v="0"/>
    <x v="1"/>
    <s v="DK2_MedSmall"/>
    <x v="3"/>
    <s v="GNR_ENG_NGAS_BP_E-40"/>
    <x v="0"/>
    <x v="6"/>
    <n v="1.6444444444444399"/>
    <n v="600.22222222222194"/>
    <n v="2160.8000000000002"/>
  </r>
  <r>
    <x v="0"/>
    <x v="0"/>
    <x v="0"/>
    <x v="0"/>
    <x v="1"/>
    <s v="DK2_MedSmall"/>
    <x v="3"/>
    <s v="GNR_ENG_NGAS_BP_E-40"/>
    <x v="0"/>
    <x v="7"/>
    <n v="1.6444444444444399"/>
    <n v="600.22222222222194"/>
    <n v="2160.8000000000002"/>
  </r>
  <r>
    <x v="0"/>
    <x v="0"/>
    <x v="0"/>
    <x v="0"/>
    <x v="1"/>
    <s v="DK2_MedSmall"/>
    <x v="3"/>
    <s v="GNR_ENG_NGAS_BP_E-40"/>
    <x v="0"/>
    <x v="8"/>
    <n v="1.6444444444444399"/>
    <n v="600.22222222222194"/>
    <n v="2160.8000000000002"/>
  </r>
  <r>
    <x v="0"/>
    <x v="0"/>
    <x v="0"/>
    <x v="0"/>
    <x v="1"/>
    <s v="DK2_MedSmall"/>
    <x v="3"/>
    <s v="GNR_ENG_NGAS_BP_E-40"/>
    <x v="0"/>
    <x v="9"/>
    <n v="1.6444444444444399"/>
    <n v="600.22222222222194"/>
    <n v="2160.8000000000002"/>
  </r>
  <r>
    <x v="0"/>
    <x v="0"/>
    <x v="0"/>
    <x v="0"/>
    <x v="1"/>
    <s v="DK2_MedSmall"/>
    <x v="3"/>
    <s v="GNR_ENG_NGAS_BP_E-40"/>
    <x v="0"/>
    <x v="10"/>
    <n v="1.6444444444444399"/>
    <n v="600.22222222222194"/>
    <n v="2160.8000000000002"/>
  </r>
  <r>
    <x v="0"/>
    <x v="0"/>
    <x v="0"/>
    <x v="0"/>
    <x v="1"/>
    <s v="DK2_MedSmall"/>
    <x v="3"/>
    <s v="GNR_ENG_NGAS_BP_E-40"/>
    <x v="0"/>
    <x v="11"/>
    <n v="1.6444444444444399"/>
    <n v="600.22222222222194"/>
    <n v="2160.8000000000002"/>
  </r>
  <r>
    <x v="0"/>
    <x v="0"/>
    <x v="0"/>
    <x v="0"/>
    <x v="1"/>
    <s v="DK2_MedSmall"/>
    <x v="3"/>
    <s v="GNR_ENG_NGAS_BP_E-40"/>
    <x v="0"/>
    <x v="0"/>
    <n v="1.6444444444444399"/>
    <n v="600.22222222222194"/>
    <n v="2160.8000000000002"/>
  </r>
  <r>
    <x v="0"/>
    <x v="0"/>
    <x v="0"/>
    <x v="0"/>
    <x v="1"/>
    <s v="DK2_MedSmall"/>
    <x v="3"/>
    <s v="GNR_ENG_NGAS_BP_E-40"/>
    <x v="0"/>
    <x v="1"/>
    <n v="1.6444444444444399"/>
    <n v="600.22222222222194"/>
    <n v="2160.8000000000002"/>
  </r>
  <r>
    <x v="0"/>
    <x v="0"/>
    <x v="0"/>
    <x v="0"/>
    <x v="1"/>
    <s v="DK2_MedSmall"/>
    <x v="3"/>
    <s v="GNR_ENG_NGAS_BP_E-40"/>
    <x v="0"/>
    <x v="2"/>
    <n v="1.6444444444444399"/>
    <n v="600.22222222222194"/>
    <n v="2160.8000000000002"/>
  </r>
  <r>
    <x v="0"/>
    <x v="0"/>
    <x v="0"/>
    <x v="0"/>
    <x v="1"/>
    <s v="DK2_MedSmall"/>
    <x v="3"/>
    <s v="GNR_ENG_NGAS_BP_E-40"/>
    <x v="0"/>
    <x v="3"/>
    <n v="1.6444444444444399"/>
    <n v="600.22222222222194"/>
    <n v="2160.8000000000002"/>
  </r>
  <r>
    <x v="0"/>
    <x v="0"/>
    <x v="0"/>
    <x v="0"/>
    <x v="1"/>
    <s v="DK2_MedSmall"/>
    <x v="3"/>
    <s v="GNR_ENG_NGAS_BP_E-40"/>
    <x v="0"/>
    <x v="12"/>
    <n v="1.6444444444444399"/>
    <n v="600.22222222222194"/>
    <n v="2160.8000000000002"/>
  </r>
  <r>
    <x v="0"/>
    <x v="0"/>
    <x v="0"/>
    <x v="0"/>
    <x v="1"/>
    <s v="DK2_MedSmall"/>
    <x v="3"/>
    <s v="GNR_ENG_NGAS_BP_E-40"/>
    <x v="0"/>
    <x v="13"/>
    <n v="1.6444444444444399"/>
    <n v="600.22222222222194"/>
    <n v="2160.8000000000002"/>
  </r>
  <r>
    <x v="0"/>
    <x v="0"/>
    <x v="0"/>
    <x v="0"/>
    <x v="1"/>
    <s v="DK2_MedSmall"/>
    <x v="3"/>
    <s v="GNR_ENG_NGAS_BP_E-40"/>
    <x v="0"/>
    <x v="14"/>
    <n v="1.6444444444444399"/>
    <n v="600.22222222222194"/>
    <n v="2160.8000000000002"/>
  </r>
  <r>
    <x v="0"/>
    <x v="0"/>
    <x v="0"/>
    <x v="0"/>
    <x v="1"/>
    <s v="DK2_MedSmall"/>
    <x v="3"/>
    <s v="GNR_ENG_NGAS_BP_E-40"/>
    <x v="0"/>
    <x v="15"/>
    <n v="1.6444444444444399"/>
    <n v="600.22222222222194"/>
    <n v="2160.8000000000002"/>
  </r>
  <r>
    <x v="0"/>
    <x v="0"/>
    <x v="0"/>
    <x v="0"/>
    <x v="1"/>
    <s v="DK2_MedSmall"/>
    <x v="3"/>
    <s v="GNR_ENG_NGAS_BP_E-40"/>
    <x v="0"/>
    <x v="4"/>
    <n v="1.6444444444444399"/>
    <n v="600.22222222222194"/>
    <n v="2160.8000000000002"/>
  </r>
  <r>
    <x v="0"/>
    <x v="0"/>
    <x v="0"/>
    <x v="0"/>
    <x v="1"/>
    <s v="DK2_MedSmall"/>
    <x v="3"/>
    <s v="GNR_ENG_NGAS_BP_E-40"/>
    <x v="0"/>
    <x v="16"/>
    <n v="1.6444444444444399"/>
    <n v="600.22222222222194"/>
    <n v="2160.8000000000002"/>
  </r>
  <r>
    <x v="0"/>
    <x v="0"/>
    <x v="0"/>
    <x v="0"/>
    <x v="1"/>
    <s v="DK2_MedSmall"/>
    <x v="3"/>
    <s v="GNR_ENG_NGAS_BP_E-40"/>
    <x v="0"/>
    <x v="5"/>
    <n v="1.6444444444444399"/>
    <n v="600.22222222222194"/>
    <n v="2160.8000000000002"/>
  </r>
  <r>
    <x v="0"/>
    <x v="0"/>
    <x v="0"/>
    <x v="0"/>
    <x v="1"/>
    <s v="DK2_MedSmall"/>
    <x v="3"/>
    <s v="GNR_ENG_NGAS_BP_E-40"/>
    <x v="0"/>
    <x v="17"/>
    <n v="1.6444444444444399"/>
    <n v="600.22222222222194"/>
    <n v="2160.8000000000002"/>
  </r>
  <r>
    <x v="0"/>
    <x v="0"/>
    <x v="0"/>
    <x v="0"/>
    <x v="1"/>
    <s v="DK2_MedSmall"/>
    <x v="3"/>
    <s v="GNR_ENG_NGAS_BP_E-40"/>
    <x v="0"/>
    <x v="18"/>
    <n v="1.6444444444444399"/>
    <n v="600.22222222222194"/>
    <n v="2160.8000000000002"/>
  </r>
  <r>
    <x v="0"/>
    <x v="0"/>
    <x v="0"/>
    <x v="0"/>
    <x v="1"/>
    <s v="DK2_MedSmall"/>
    <x v="3"/>
    <s v="GNR_ENG_NGAS_BP_E-40"/>
    <x v="0"/>
    <x v="19"/>
    <n v="1.6444444444444399"/>
    <n v="600.22222222222194"/>
    <n v="2160.8000000000002"/>
  </r>
  <r>
    <x v="0"/>
    <x v="0"/>
    <x v="0"/>
    <x v="0"/>
    <x v="1"/>
    <s v="DK2_MedSmall"/>
    <x v="3"/>
    <s v="GNR_ENG_NGAS_BP_E-40"/>
    <x v="0"/>
    <x v="20"/>
    <n v="1.6444444444444399"/>
    <n v="600.22222222222194"/>
    <n v="2160.8000000000002"/>
  </r>
  <r>
    <x v="0"/>
    <x v="0"/>
    <x v="0"/>
    <x v="0"/>
    <x v="1"/>
    <s v="DK2_MedSmall"/>
    <x v="3"/>
    <s v="GNR_ENG_NGAS_BP_E-40"/>
    <x v="0"/>
    <x v="21"/>
    <n v="1.6444444444444399"/>
    <n v="600.22222222222194"/>
    <n v="2160.8000000000002"/>
  </r>
  <r>
    <x v="0"/>
    <x v="0"/>
    <x v="0"/>
    <x v="0"/>
    <x v="1"/>
    <s v="DK2_MedSmall"/>
    <x v="3"/>
    <s v="GNR_ENG_NGAS_BP_E-40"/>
    <x v="0"/>
    <x v="22"/>
    <n v="1.6444444444444399"/>
    <n v="600.22222222222194"/>
    <n v="2160.8000000000002"/>
  </r>
  <r>
    <x v="0"/>
    <x v="0"/>
    <x v="0"/>
    <x v="0"/>
    <x v="1"/>
    <s v="DK2_MedSmall"/>
    <x v="3"/>
    <s v="GNR_ENG_NGAS_BP_E-40"/>
    <x v="0"/>
    <x v="23"/>
    <n v="1.6444444444444399"/>
    <n v="600.22222222222194"/>
    <n v="2160.8000000000002"/>
  </r>
  <r>
    <x v="0"/>
    <x v="0"/>
    <x v="0"/>
    <x v="0"/>
    <x v="1"/>
    <s v="DK2_MedSmall"/>
    <x v="3"/>
    <s v="GNR_ENG_NGAS_BP_E-42"/>
    <x v="0"/>
    <x v="6"/>
    <n v="3.4444444444444402"/>
    <n v="1257.2222222222199"/>
    <n v="4526"/>
  </r>
  <r>
    <x v="0"/>
    <x v="0"/>
    <x v="0"/>
    <x v="0"/>
    <x v="1"/>
    <s v="DK2_MedSmall"/>
    <x v="3"/>
    <s v="GNR_ENG_NGAS_BP_E-42"/>
    <x v="0"/>
    <x v="7"/>
    <n v="3.4444444444444402"/>
    <n v="1257.2222222222199"/>
    <n v="4526"/>
  </r>
  <r>
    <x v="0"/>
    <x v="0"/>
    <x v="0"/>
    <x v="0"/>
    <x v="1"/>
    <s v="DK2_MedSmall"/>
    <x v="3"/>
    <s v="GNR_ENG_NGAS_BP_E-42"/>
    <x v="0"/>
    <x v="8"/>
    <n v="3.4444444444444402"/>
    <n v="1257.2222222222199"/>
    <n v="4526"/>
  </r>
  <r>
    <x v="0"/>
    <x v="0"/>
    <x v="0"/>
    <x v="0"/>
    <x v="1"/>
    <s v="DK2_MedSmall"/>
    <x v="3"/>
    <s v="GNR_ENG_NGAS_BP_E-42"/>
    <x v="0"/>
    <x v="9"/>
    <n v="3.4444444444444402"/>
    <n v="1257.2222222222199"/>
    <n v="4526"/>
  </r>
  <r>
    <x v="0"/>
    <x v="0"/>
    <x v="0"/>
    <x v="0"/>
    <x v="1"/>
    <s v="DK2_MedSmall"/>
    <x v="3"/>
    <s v="GNR_ENG_NGAS_BP_E-42"/>
    <x v="0"/>
    <x v="10"/>
    <n v="3.4444444444444402"/>
    <n v="1257.2222222222199"/>
    <n v="4526"/>
  </r>
  <r>
    <x v="0"/>
    <x v="0"/>
    <x v="0"/>
    <x v="0"/>
    <x v="1"/>
    <s v="DK2_MedSmall"/>
    <x v="3"/>
    <s v="GNR_ENG_NGAS_BP_E-42"/>
    <x v="0"/>
    <x v="11"/>
    <n v="3.4444444444444402"/>
    <n v="1257.2222222222199"/>
    <n v="4526"/>
  </r>
  <r>
    <x v="0"/>
    <x v="0"/>
    <x v="0"/>
    <x v="0"/>
    <x v="1"/>
    <s v="DK2_MedSmall"/>
    <x v="3"/>
    <s v="GNR_ENG_NGAS_BP_E-42"/>
    <x v="0"/>
    <x v="0"/>
    <n v="3.4444444444444402"/>
    <n v="1257.2222222222199"/>
    <n v="4526"/>
  </r>
  <r>
    <x v="0"/>
    <x v="0"/>
    <x v="0"/>
    <x v="0"/>
    <x v="1"/>
    <s v="DK2_MedSmall"/>
    <x v="3"/>
    <s v="GNR_ENG_NGAS_BP_E-42"/>
    <x v="0"/>
    <x v="1"/>
    <n v="3.4444444444444402"/>
    <n v="1257.2222222222199"/>
    <n v="4526"/>
  </r>
  <r>
    <x v="0"/>
    <x v="0"/>
    <x v="0"/>
    <x v="0"/>
    <x v="1"/>
    <s v="DK2_MedSmall"/>
    <x v="3"/>
    <s v="GNR_ENG_NGAS_BP_E-42"/>
    <x v="0"/>
    <x v="2"/>
    <n v="3.4444444444444402"/>
    <n v="1257.2222222222199"/>
    <n v="4526"/>
  </r>
  <r>
    <x v="0"/>
    <x v="0"/>
    <x v="0"/>
    <x v="0"/>
    <x v="1"/>
    <s v="DK2_MedSmall"/>
    <x v="3"/>
    <s v="GNR_ENG_NGAS_BP_E-42"/>
    <x v="0"/>
    <x v="3"/>
    <n v="3.4444444444444402"/>
    <n v="1257.2222222222199"/>
    <n v="4526"/>
  </r>
  <r>
    <x v="0"/>
    <x v="0"/>
    <x v="0"/>
    <x v="0"/>
    <x v="1"/>
    <s v="DK2_MedSmall"/>
    <x v="3"/>
    <s v="GNR_ENG_NGAS_BP_E-42"/>
    <x v="0"/>
    <x v="12"/>
    <n v="3.4444444444444402"/>
    <n v="1257.2222222222199"/>
    <n v="4526"/>
  </r>
  <r>
    <x v="0"/>
    <x v="0"/>
    <x v="0"/>
    <x v="0"/>
    <x v="1"/>
    <s v="DK2_MedSmall"/>
    <x v="3"/>
    <s v="GNR_ENG_NGAS_BP_E-42"/>
    <x v="0"/>
    <x v="13"/>
    <n v="3.4444444444444402"/>
    <n v="1257.2222222222199"/>
    <n v="4526"/>
  </r>
  <r>
    <x v="0"/>
    <x v="0"/>
    <x v="0"/>
    <x v="0"/>
    <x v="1"/>
    <s v="DK2_MedSmall"/>
    <x v="3"/>
    <s v="GNR_ENG_NGAS_BP_E-42"/>
    <x v="0"/>
    <x v="14"/>
    <n v="3.4444444444444402"/>
    <n v="1257.2222222222199"/>
    <n v="4526"/>
  </r>
  <r>
    <x v="0"/>
    <x v="0"/>
    <x v="0"/>
    <x v="0"/>
    <x v="1"/>
    <s v="DK2_MedSmall"/>
    <x v="3"/>
    <s v="GNR_ENG_NGAS_BP_E-42"/>
    <x v="0"/>
    <x v="15"/>
    <n v="3.4444444444444402"/>
    <n v="1257.2222222222199"/>
    <n v="4526"/>
  </r>
  <r>
    <x v="0"/>
    <x v="0"/>
    <x v="0"/>
    <x v="0"/>
    <x v="1"/>
    <s v="DK2_MedSmall"/>
    <x v="3"/>
    <s v="GNR_ENG_NGAS_BP_E-42"/>
    <x v="0"/>
    <x v="4"/>
    <n v="3.4444444444444402"/>
    <n v="1257.2222222222199"/>
    <n v="4526"/>
  </r>
  <r>
    <x v="0"/>
    <x v="0"/>
    <x v="0"/>
    <x v="0"/>
    <x v="1"/>
    <s v="DK2_MedSmall"/>
    <x v="3"/>
    <s v="GNR_ENG_NGAS_BP_E-42"/>
    <x v="0"/>
    <x v="16"/>
    <n v="3.4444444444444402"/>
    <n v="1257.2222222222199"/>
    <n v="4526"/>
  </r>
  <r>
    <x v="0"/>
    <x v="0"/>
    <x v="0"/>
    <x v="0"/>
    <x v="1"/>
    <s v="DK2_MedSmall"/>
    <x v="3"/>
    <s v="GNR_ENG_NGAS_BP_E-42"/>
    <x v="0"/>
    <x v="5"/>
    <n v="3.4444444444444402"/>
    <n v="1257.2222222222199"/>
    <n v="4526"/>
  </r>
  <r>
    <x v="0"/>
    <x v="0"/>
    <x v="0"/>
    <x v="0"/>
    <x v="1"/>
    <s v="DK2_MedSmall"/>
    <x v="3"/>
    <s v="GNR_ENG_NGAS_BP_E-42"/>
    <x v="0"/>
    <x v="17"/>
    <n v="3.4444444444444402"/>
    <n v="1257.2222222222199"/>
    <n v="4526"/>
  </r>
  <r>
    <x v="0"/>
    <x v="0"/>
    <x v="0"/>
    <x v="0"/>
    <x v="1"/>
    <s v="DK2_MedSmall"/>
    <x v="3"/>
    <s v="GNR_ENG_NGAS_BP_E-42"/>
    <x v="0"/>
    <x v="18"/>
    <n v="3.4444444444444402"/>
    <n v="1257.2222222222199"/>
    <n v="4526"/>
  </r>
  <r>
    <x v="0"/>
    <x v="0"/>
    <x v="0"/>
    <x v="0"/>
    <x v="1"/>
    <s v="DK2_MedSmall"/>
    <x v="3"/>
    <s v="GNR_ENG_NGAS_BP_E-42"/>
    <x v="0"/>
    <x v="19"/>
    <n v="3.4444444444444402"/>
    <n v="1257.2222222222199"/>
    <n v="4526"/>
  </r>
  <r>
    <x v="0"/>
    <x v="0"/>
    <x v="0"/>
    <x v="0"/>
    <x v="1"/>
    <s v="DK2_MedSmall"/>
    <x v="3"/>
    <s v="GNR_ENG_NGAS_BP_E-42"/>
    <x v="0"/>
    <x v="20"/>
    <n v="3.4444444444444402"/>
    <n v="1257.2222222222199"/>
    <n v="4526"/>
  </r>
  <r>
    <x v="0"/>
    <x v="0"/>
    <x v="0"/>
    <x v="0"/>
    <x v="1"/>
    <s v="DK2_MedSmall"/>
    <x v="3"/>
    <s v="GNR_ENG_NGAS_BP_E-42"/>
    <x v="0"/>
    <x v="21"/>
    <n v="3.4444444444444402"/>
    <n v="1257.2222222222199"/>
    <n v="4526"/>
  </r>
  <r>
    <x v="0"/>
    <x v="0"/>
    <x v="0"/>
    <x v="0"/>
    <x v="1"/>
    <s v="DK2_MedSmall"/>
    <x v="3"/>
    <s v="GNR_ENG_NGAS_BP_E-42"/>
    <x v="0"/>
    <x v="22"/>
    <n v="3.4444444444444402"/>
    <n v="1257.2222222222199"/>
    <n v="4526"/>
  </r>
  <r>
    <x v="0"/>
    <x v="0"/>
    <x v="0"/>
    <x v="0"/>
    <x v="1"/>
    <s v="DK2_MedSmall"/>
    <x v="3"/>
    <s v="GNR_ENG_NGAS_BP_E-42"/>
    <x v="0"/>
    <x v="23"/>
    <n v="3.4444444444444402"/>
    <n v="1257.2222222222199"/>
    <n v="4526"/>
  </r>
  <r>
    <x v="0"/>
    <x v="0"/>
    <x v="0"/>
    <x v="0"/>
    <x v="1"/>
    <s v="DK2_MedSmall"/>
    <x v="5"/>
    <s v="GNR_EH_HEAT"/>
    <x v="0"/>
    <x v="6"/>
    <n v="2"/>
    <n v="730"/>
    <n v="2628"/>
  </r>
  <r>
    <x v="0"/>
    <x v="0"/>
    <x v="0"/>
    <x v="0"/>
    <x v="1"/>
    <s v="DK2_MedSmall"/>
    <x v="5"/>
    <s v="GNR_EH_HEAT"/>
    <x v="0"/>
    <x v="7"/>
    <n v="2"/>
    <n v="730"/>
    <n v="2628"/>
  </r>
  <r>
    <x v="0"/>
    <x v="0"/>
    <x v="0"/>
    <x v="0"/>
    <x v="1"/>
    <s v="DK2_MedSmall"/>
    <x v="5"/>
    <s v="GNR_EH_HEAT"/>
    <x v="0"/>
    <x v="8"/>
    <n v="2"/>
    <n v="730"/>
    <n v="2628"/>
  </r>
  <r>
    <x v="0"/>
    <x v="0"/>
    <x v="0"/>
    <x v="0"/>
    <x v="1"/>
    <s v="DK2_MedSmall"/>
    <x v="5"/>
    <s v="GNR_EH_HEAT"/>
    <x v="0"/>
    <x v="9"/>
    <n v="2"/>
    <n v="730"/>
    <n v="2628"/>
  </r>
  <r>
    <x v="0"/>
    <x v="0"/>
    <x v="0"/>
    <x v="0"/>
    <x v="1"/>
    <s v="DK2_MedSmall"/>
    <x v="5"/>
    <s v="GNR_EH_HEAT"/>
    <x v="0"/>
    <x v="10"/>
    <n v="2"/>
    <n v="730"/>
    <n v="2628"/>
  </r>
  <r>
    <x v="0"/>
    <x v="0"/>
    <x v="0"/>
    <x v="0"/>
    <x v="1"/>
    <s v="DK2_MedSmall"/>
    <x v="5"/>
    <s v="GNR_EH_HEAT"/>
    <x v="0"/>
    <x v="11"/>
    <n v="2"/>
    <n v="730"/>
    <n v="2628"/>
  </r>
  <r>
    <x v="0"/>
    <x v="0"/>
    <x v="0"/>
    <x v="0"/>
    <x v="1"/>
    <s v="DK2_MedSmall"/>
    <x v="5"/>
    <s v="GNR_EH_HEAT"/>
    <x v="0"/>
    <x v="0"/>
    <n v="2"/>
    <n v="730"/>
    <n v="2628"/>
  </r>
  <r>
    <x v="0"/>
    <x v="0"/>
    <x v="0"/>
    <x v="0"/>
    <x v="1"/>
    <s v="DK2_MedSmall"/>
    <x v="5"/>
    <s v="GNR_EH_HEAT"/>
    <x v="0"/>
    <x v="1"/>
    <n v="2"/>
    <n v="730"/>
    <n v="2628"/>
  </r>
  <r>
    <x v="0"/>
    <x v="0"/>
    <x v="0"/>
    <x v="0"/>
    <x v="1"/>
    <s v="DK2_MedSmall"/>
    <x v="5"/>
    <s v="GNR_EH_HEAT"/>
    <x v="0"/>
    <x v="2"/>
    <n v="2"/>
    <n v="730"/>
    <n v="2628"/>
  </r>
  <r>
    <x v="0"/>
    <x v="0"/>
    <x v="0"/>
    <x v="0"/>
    <x v="1"/>
    <s v="DK2_MedSmall"/>
    <x v="5"/>
    <s v="GNR_EH_HEAT"/>
    <x v="0"/>
    <x v="3"/>
    <n v="2"/>
    <n v="730"/>
    <n v="2628"/>
  </r>
  <r>
    <x v="0"/>
    <x v="0"/>
    <x v="0"/>
    <x v="0"/>
    <x v="1"/>
    <s v="DK2_MedSmall"/>
    <x v="5"/>
    <s v="GNR_EH_HEAT"/>
    <x v="0"/>
    <x v="12"/>
    <n v="2"/>
    <n v="730"/>
    <n v="2628"/>
  </r>
  <r>
    <x v="0"/>
    <x v="0"/>
    <x v="0"/>
    <x v="0"/>
    <x v="1"/>
    <s v="DK2_MedSmall"/>
    <x v="5"/>
    <s v="GNR_EH_HEAT"/>
    <x v="0"/>
    <x v="13"/>
    <n v="2"/>
    <n v="730"/>
    <n v="2628"/>
  </r>
  <r>
    <x v="0"/>
    <x v="0"/>
    <x v="0"/>
    <x v="0"/>
    <x v="1"/>
    <s v="DK2_MedSmall"/>
    <x v="5"/>
    <s v="GNR_EH_HEAT"/>
    <x v="0"/>
    <x v="14"/>
    <n v="2"/>
    <n v="730"/>
    <n v="2628"/>
  </r>
  <r>
    <x v="0"/>
    <x v="0"/>
    <x v="0"/>
    <x v="0"/>
    <x v="1"/>
    <s v="DK2_MedSmall"/>
    <x v="5"/>
    <s v="GNR_EH_HEAT"/>
    <x v="0"/>
    <x v="15"/>
    <n v="2"/>
    <n v="730"/>
    <n v="2628"/>
  </r>
  <r>
    <x v="0"/>
    <x v="0"/>
    <x v="0"/>
    <x v="0"/>
    <x v="1"/>
    <s v="DK2_MedSmall"/>
    <x v="5"/>
    <s v="GNR_EH_HEAT"/>
    <x v="0"/>
    <x v="4"/>
    <n v="2"/>
    <n v="730"/>
    <n v="2628"/>
  </r>
  <r>
    <x v="0"/>
    <x v="0"/>
    <x v="0"/>
    <x v="0"/>
    <x v="1"/>
    <s v="DK2_MedSmall"/>
    <x v="5"/>
    <s v="GNR_EH_HEAT"/>
    <x v="0"/>
    <x v="16"/>
    <n v="2"/>
    <n v="730"/>
    <n v="2628"/>
  </r>
  <r>
    <x v="0"/>
    <x v="0"/>
    <x v="0"/>
    <x v="0"/>
    <x v="1"/>
    <s v="DK2_MedSmall"/>
    <x v="5"/>
    <s v="GNR_EH_HEAT"/>
    <x v="0"/>
    <x v="5"/>
    <n v="2"/>
    <n v="730"/>
    <n v="2628"/>
  </r>
  <r>
    <x v="0"/>
    <x v="0"/>
    <x v="0"/>
    <x v="0"/>
    <x v="1"/>
    <s v="DK2_MedSmall"/>
    <x v="5"/>
    <s v="GNR_EH_HEAT"/>
    <x v="0"/>
    <x v="17"/>
    <n v="2"/>
    <n v="730"/>
    <n v="2628"/>
  </r>
  <r>
    <x v="0"/>
    <x v="0"/>
    <x v="0"/>
    <x v="0"/>
    <x v="1"/>
    <s v="DK2_MedSmall"/>
    <x v="5"/>
    <s v="GNR_EH_HEAT"/>
    <x v="0"/>
    <x v="18"/>
    <n v="2"/>
    <n v="730"/>
    <n v="2628"/>
  </r>
  <r>
    <x v="0"/>
    <x v="0"/>
    <x v="0"/>
    <x v="0"/>
    <x v="1"/>
    <s v="DK2_MedSmall"/>
    <x v="5"/>
    <s v="GNR_EH_HEAT"/>
    <x v="0"/>
    <x v="19"/>
    <n v="2"/>
    <n v="730"/>
    <n v="2628"/>
  </r>
  <r>
    <x v="0"/>
    <x v="0"/>
    <x v="0"/>
    <x v="0"/>
    <x v="1"/>
    <s v="DK2_MedSmall"/>
    <x v="5"/>
    <s v="GNR_EH_HEAT"/>
    <x v="0"/>
    <x v="20"/>
    <n v="2"/>
    <n v="730"/>
    <n v="2628"/>
  </r>
  <r>
    <x v="0"/>
    <x v="0"/>
    <x v="0"/>
    <x v="0"/>
    <x v="1"/>
    <s v="DK2_MedSmall"/>
    <x v="5"/>
    <s v="GNR_EH_HEAT"/>
    <x v="0"/>
    <x v="21"/>
    <n v="2"/>
    <n v="730"/>
    <n v="2628"/>
  </r>
  <r>
    <x v="0"/>
    <x v="0"/>
    <x v="0"/>
    <x v="0"/>
    <x v="1"/>
    <s v="DK2_MedSmall"/>
    <x v="5"/>
    <s v="GNR_EH_HEAT"/>
    <x v="0"/>
    <x v="22"/>
    <n v="2"/>
    <n v="730"/>
    <n v="2628"/>
  </r>
  <r>
    <x v="0"/>
    <x v="0"/>
    <x v="0"/>
    <x v="0"/>
    <x v="1"/>
    <s v="DK2_MedSmall"/>
    <x v="5"/>
    <s v="GNR_EH_HEAT"/>
    <x v="0"/>
    <x v="23"/>
    <n v="2"/>
    <n v="730"/>
    <n v="2628"/>
  </r>
  <r>
    <x v="0"/>
    <x v="0"/>
    <x v="0"/>
    <x v="0"/>
    <x v="1"/>
    <s v="DK2_Medium"/>
    <x v="1"/>
    <s v="GNR_HS_HEAT-E-100"/>
    <x v="0"/>
    <x v="13"/>
    <n v="23.8139277854814"/>
    <n v="8692.0836417006904"/>
    <n v="31291.501110122499"/>
  </r>
  <r>
    <x v="0"/>
    <x v="0"/>
    <x v="0"/>
    <x v="0"/>
    <x v="1"/>
    <s v="DK2_Medium"/>
    <x v="1"/>
    <s v="GNR_HS_HEAT-E-100"/>
    <x v="0"/>
    <x v="14"/>
    <n v="19.742104211011799"/>
    <n v="7205.8680370192897"/>
    <n v="25941.124933269501"/>
  </r>
  <r>
    <x v="0"/>
    <x v="0"/>
    <x v="0"/>
    <x v="0"/>
    <x v="1"/>
    <s v="DK2_Medium"/>
    <x v="1"/>
    <s v="GNR_HS_HEAT-E-100"/>
    <x v="0"/>
    <x v="15"/>
    <n v="12.761835226206699"/>
    <n v="4658.0698575654496"/>
    <n v="16769.0514872356"/>
  </r>
  <r>
    <x v="0"/>
    <x v="0"/>
    <x v="0"/>
    <x v="0"/>
    <x v="1"/>
    <s v="DK2_Medium"/>
    <x v="1"/>
    <s v="GNR_HS_HEAT-E-100"/>
    <x v="0"/>
    <x v="19"/>
    <n v="21.778015998246602"/>
    <n v="7948.9758393599895"/>
    <n v="28616.313021696002"/>
  </r>
  <r>
    <x v="0"/>
    <x v="0"/>
    <x v="0"/>
    <x v="0"/>
    <x v="1"/>
    <s v="DK2_Medium"/>
    <x v="1"/>
    <s v="GNR_HS_HEAT-E-100"/>
    <x v="0"/>
    <x v="20"/>
    <n v="19.689837157988698"/>
    <n v="7186.7905626658703"/>
    <n v="25872.446025597099"/>
  </r>
  <r>
    <x v="0"/>
    <x v="0"/>
    <x v="0"/>
    <x v="0"/>
    <x v="1"/>
    <s v="DK2_Medium"/>
    <x v="1"/>
    <s v="GNR_HS_HEAT_WTR-TANK_LS_E-95_Y-2010"/>
    <x v="0"/>
    <x v="6"/>
    <n v="6.6894244437715003"/>
    <n v="2441.6399219765999"/>
    <n v="8789.9037191157495"/>
  </r>
  <r>
    <x v="0"/>
    <x v="0"/>
    <x v="0"/>
    <x v="0"/>
    <x v="1"/>
    <s v="DK2_Medium"/>
    <x v="1"/>
    <s v="GNR_HS_HEAT_WTR-TANK_LS_E-95_Y-2010"/>
    <x v="0"/>
    <x v="7"/>
    <n v="2.3267563282683601"/>
    <n v="849.26605981795103"/>
    <n v="3057.3578153446201"/>
  </r>
  <r>
    <x v="0"/>
    <x v="0"/>
    <x v="0"/>
    <x v="0"/>
    <x v="1"/>
    <s v="DK2_Medium"/>
    <x v="1"/>
    <s v="GNR_HS_HEAT_WTR-TANK_LS_E-95_Y-2010"/>
    <x v="0"/>
    <x v="8"/>
    <n v="1.74506724620126"/>
    <n v="636.94954486345898"/>
    <n v="2293.0183615084502"/>
  </r>
  <r>
    <x v="0"/>
    <x v="0"/>
    <x v="0"/>
    <x v="0"/>
    <x v="1"/>
    <s v="DK2_Medium"/>
    <x v="1"/>
    <s v="GNR_HS_HEAT_WTR-TANK_LS_E-95_Y-2010"/>
    <x v="0"/>
    <x v="10"/>
    <n v="2.90844541033543"/>
    <n v="1061.58257477243"/>
    <n v="3821.69726918076"/>
  </r>
  <r>
    <x v="0"/>
    <x v="0"/>
    <x v="0"/>
    <x v="0"/>
    <x v="1"/>
    <s v="DK2_Medium"/>
    <x v="1"/>
    <s v="GNR_HS_HEAT_WTR-TANK_LS_E-95_Y-2010"/>
    <x v="0"/>
    <x v="11"/>
    <n v="21.644692432162898"/>
    <n v="7900.3127377394503"/>
    <n v="28441.125855861999"/>
  </r>
  <r>
    <x v="0"/>
    <x v="0"/>
    <x v="0"/>
    <x v="0"/>
    <x v="1"/>
    <s v="DK2_Medium"/>
    <x v="1"/>
    <s v="GNR_HS_HEAT_WTR-TANK_LS_E-95_Y-2010"/>
    <x v="0"/>
    <x v="1"/>
    <n v="5.3382675808838398"/>
    <n v="1948.4676670225999"/>
    <n v="7014.4836012813603"/>
  </r>
  <r>
    <x v="0"/>
    <x v="0"/>
    <x v="0"/>
    <x v="0"/>
    <x v="1"/>
    <s v="DK2_Medium"/>
    <x v="1"/>
    <s v="GNR_HS_HEAT_WTR-TANK_LS_E-95_Y-2010"/>
    <x v="0"/>
    <x v="2"/>
    <n v="9.9917802374205298"/>
    <n v="3646.9997866584899"/>
    <n v="13129.199231970601"/>
  </r>
  <r>
    <x v="0"/>
    <x v="0"/>
    <x v="0"/>
    <x v="0"/>
    <x v="1"/>
    <s v="DK2_Medium"/>
    <x v="1"/>
    <s v="GNR_HS_HEAT_WTR-TANK_LS_E-95_Y-2010"/>
    <x v="0"/>
    <x v="3"/>
    <n v="11.155158401554701"/>
    <n v="4071.6328165674599"/>
    <n v="14657.8781396429"/>
  </r>
  <r>
    <x v="0"/>
    <x v="0"/>
    <x v="0"/>
    <x v="0"/>
    <x v="1"/>
    <s v="DK2_Medium"/>
    <x v="1"/>
    <s v="GNR_HS_HEAT_WTR-TANK_LS_E-95_Y-2010"/>
    <x v="0"/>
    <x v="12"/>
    <n v="13.481914729823"/>
    <n v="4920.8988763854104"/>
    <n v="17715.2359549875"/>
  </r>
  <r>
    <x v="0"/>
    <x v="0"/>
    <x v="0"/>
    <x v="0"/>
    <x v="1"/>
    <s v="DK2_Medium"/>
    <x v="1"/>
    <s v="GNR_HS_HEAT_WTR-TANK_LS_E-95_Y-2010"/>
    <x v="0"/>
    <x v="13"/>
    <n v="21.644692432162898"/>
    <n v="7900.3127377394503"/>
    <n v="28441.125855861999"/>
  </r>
  <r>
    <x v="0"/>
    <x v="0"/>
    <x v="0"/>
    <x v="0"/>
    <x v="1"/>
    <s v="DK2_Medium"/>
    <x v="1"/>
    <s v="GNR_HS_HEAT_WTR-TANK_LS_E-95_Y-2010"/>
    <x v="0"/>
    <x v="14"/>
    <n v="21.644692432162898"/>
    <n v="7900.3127377394503"/>
    <n v="28441.125855861999"/>
  </r>
  <r>
    <x v="0"/>
    <x v="0"/>
    <x v="0"/>
    <x v="0"/>
    <x v="1"/>
    <s v="DK2_Medium"/>
    <x v="1"/>
    <s v="GNR_HS_HEAT_WTR-TANK_LS_E-95_Y-2010"/>
    <x v="0"/>
    <x v="15"/>
    <n v="21.644692432162898"/>
    <n v="7900.3127377394503"/>
    <n v="28441.125855861999"/>
  </r>
  <r>
    <x v="0"/>
    <x v="0"/>
    <x v="0"/>
    <x v="0"/>
    <x v="1"/>
    <s v="DK2_Medium"/>
    <x v="1"/>
    <s v="GNR_HS_HEAT_WTR-TANK_LS_E-95_Y-2010"/>
    <x v="0"/>
    <x v="4"/>
    <n v="3.59320033468259"/>
    <n v="1311.5181221591499"/>
    <n v="4721.4652397729196"/>
  </r>
  <r>
    <x v="0"/>
    <x v="0"/>
    <x v="0"/>
    <x v="0"/>
    <x v="1"/>
    <s v="DK2_Medium"/>
    <x v="1"/>
    <s v="GNR_HS_HEAT_WTR-TANK_LS_E-95_Y-2010"/>
    <x v="0"/>
    <x v="16"/>
    <n v="5.0474230398502904"/>
    <n v="1842.30940954535"/>
    <n v="6632.3138743632799"/>
  </r>
  <r>
    <x v="0"/>
    <x v="0"/>
    <x v="0"/>
    <x v="0"/>
    <x v="1"/>
    <s v="DK2_Medium"/>
    <x v="1"/>
    <s v="GNR_HS_HEAT_WTR-TANK_LS_E-95_Y-2010"/>
    <x v="0"/>
    <x v="5"/>
    <n v="6.7924902860515601"/>
    <n v="2479.25895440882"/>
    <n v="8925.3322358717505"/>
  </r>
  <r>
    <x v="0"/>
    <x v="0"/>
    <x v="0"/>
    <x v="0"/>
    <x v="1"/>
    <s v="DK2_Medium"/>
    <x v="1"/>
    <s v="GNR_HS_HEAT_WTR-TANK_LS_E-95_Y-2010"/>
    <x v="0"/>
    <x v="17"/>
    <n v="12.0276920246553"/>
    <n v="4390.1075889991898"/>
    <n v="15804.3873203971"/>
  </r>
  <r>
    <x v="0"/>
    <x v="0"/>
    <x v="0"/>
    <x v="0"/>
    <x v="1"/>
    <s v="DK2_Medium"/>
    <x v="1"/>
    <s v="GNR_HS_HEAT_WTR-TANK_LS_E-95_Y-2010"/>
    <x v="0"/>
    <x v="18"/>
    <n v="16.866477374609101"/>
    <n v="6156.2642417323405"/>
    <n v="22162.551270236399"/>
  </r>
  <r>
    <x v="0"/>
    <x v="0"/>
    <x v="0"/>
    <x v="0"/>
    <x v="1"/>
    <s v="DK2_Medium"/>
    <x v="1"/>
    <s v="GNR_HS_HEAT_WTR-TANK_LS_E-95_Y-2010"/>
    <x v="0"/>
    <x v="19"/>
    <n v="21.644692432162898"/>
    <n v="7900.3127377394503"/>
    <n v="28441.125855861999"/>
  </r>
  <r>
    <x v="0"/>
    <x v="0"/>
    <x v="0"/>
    <x v="0"/>
    <x v="1"/>
    <s v="DK2_Medium"/>
    <x v="1"/>
    <s v="GNR_HS_HEAT_WTR-TANK_LS_E-95_Y-2010"/>
    <x v="0"/>
    <x v="20"/>
    <n v="21.644692432162898"/>
    <n v="7900.3127377394503"/>
    <n v="28441.125855861999"/>
  </r>
  <r>
    <x v="0"/>
    <x v="0"/>
    <x v="0"/>
    <x v="0"/>
    <x v="1"/>
    <s v="DK2_Medium"/>
    <x v="1"/>
    <s v="GNR_HS_HEAT_WTR-TANK_LS_E-95_Y-2010"/>
    <x v="0"/>
    <x v="21"/>
    <n v="21.644692432162898"/>
    <n v="7900.3127377394503"/>
    <n v="28441.125855861999"/>
  </r>
  <r>
    <x v="0"/>
    <x v="0"/>
    <x v="0"/>
    <x v="0"/>
    <x v="1"/>
    <s v="DK2_Medium"/>
    <x v="1"/>
    <s v="GNR_HS_HEAT_WTR-TANK_LS_E-95_Y-2010"/>
    <x v="0"/>
    <x v="22"/>
    <n v="20.068273331314501"/>
    <n v="7324.9197659297797"/>
    <n v="26369.711157347199"/>
  </r>
  <r>
    <x v="0"/>
    <x v="0"/>
    <x v="0"/>
    <x v="0"/>
    <x v="1"/>
    <s v="DK2_Medium"/>
    <x v="1"/>
    <s v="GNR_HS_HEAT_WTR-TANK_LS_E-95_Y-2010"/>
    <x v="0"/>
    <x v="23"/>
    <n v="13.960537969610099"/>
    <n v="5095.59635890767"/>
    <n v="18344.146892067602"/>
  </r>
  <r>
    <x v="0"/>
    <x v="0"/>
    <x v="0"/>
    <x v="0"/>
    <x v="1"/>
    <s v="DK2_Medium"/>
    <x v="2"/>
    <s v="GNR_ST_MSW_BP_E-23"/>
    <x v="0"/>
    <x v="0"/>
    <n v="21.04422430012"/>
    <n v="7681.1418695437796"/>
    <n v="27652.110730357599"/>
  </r>
  <r>
    <x v="0"/>
    <x v="0"/>
    <x v="0"/>
    <x v="0"/>
    <x v="1"/>
    <s v="DK2_Medium"/>
    <x v="2"/>
    <s v="GNR_ST_MSW_BP_E-23"/>
    <x v="0"/>
    <x v="1"/>
    <n v="27.0488938195444"/>
    <n v="9872.8462441336906"/>
    <n v="35542.246478881301"/>
  </r>
  <r>
    <x v="0"/>
    <x v="0"/>
    <x v="0"/>
    <x v="0"/>
    <x v="1"/>
    <s v="DK2_Medium"/>
    <x v="2"/>
    <s v="GNR_ST_MSW_BP_E-23"/>
    <x v="0"/>
    <x v="2"/>
    <n v="27.0488938195444"/>
    <n v="9872.8462441336906"/>
    <n v="35542.246478881301"/>
  </r>
  <r>
    <x v="0"/>
    <x v="0"/>
    <x v="0"/>
    <x v="0"/>
    <x v="1"/>
    <s v="DK2_Medium"/>
    <x v="2"/>
    <s v="GNR_ST_MSW_BP_E-23"/>
    <x v="0"/>
    <x v="3"/>
    <n v="27.0488938195444"/>
    <n v="9872.8462441336906"/>
    <n v="35542.246478881301"/>
  </r>
  <r>
    <x v="0"/>
    <x v="0"/>
    <x v="0"/>
    <x v="0"/>
    <x v="1"/>
    <s v="DK2_Medium"/>
    <x v="2"/>
    <s v="GNR_ST_MSW_BP_E-23"/>
    <x v="0"/>
    <x v="12"/>
    <n v="27.0488938195444"/>
    <n v="9872.8462441336906"/>
    <n v="35542.246478881301"/>
  </r>
  <r>
    <x v="0"/>
    <x v="0"/>
    <x v="0"/>
    <x v="0"/>
    <x v="1"/>
    <s v="DK2_Medium"/>
    <x v="2"/>
    <s v="GNR_ST_MSW_BP_E-23"/>
    <x v="0"/>
    <x v="4"/>
    <n v="27.0488938195444"/>
    <n v="9872.8462441336906"/>
    <n v="35542.246478881301"/>
  </r>
  <r>
    <x v="0"/>
    <x v="0"/>
    <x v="0"/>
    <x v="0"/>
    <x v="1"/>
    <s v="DK2_Medium"/>
    <x v="2"/>
    <s v="GNR_ST_MSW_BP_E-23"/>
    <x v="0"/>
    <x v="16"/>
    <n v="27.0488938195444"/>
    <n v="9872.8462441336906"/>
    <n v="35542.246478881301"/>
  </r>
  <r>
    <x v="0"/>
    <x v="0"/>
    <x v="0"/>
    <x v="0"/>
    <x v="1"/>
    <s v="DK2_Medium"/>
    <x v="2"/>
    <s v="GNR_ST_MSW_BP_E-23"/>
    <x v="0"/>
    <x v="5"/>
    <n v="27.0488938195444"/>
    <n v="9872.8462441336906"/>
    <n v="35542.246478881301"/>
  </r>
  <r>
    <x v="0"/>
    <x v="0"/>
    <x v="0"/>
    <x v="0"/>
    <x v="1"/>
    <s v="DK2_Medium"/>
    <x v="2"/>
    <s v="GNR_ST_MSW_BP_E-23"/>
    <x v="0"/>
    <x v="17"/>
    <n v="27.0488938195444"/>
    <n v="9872.8462441336906"/>
    <n v="35542.246478881301"/>
  </r>
  <r>
    <x v="0"/>
    <x v="0"/>
    <x v="0"/>
    <x v="0"/>
    <x v="1"/>
    <s v="DK2_Medium"/>
    <x v="2"/>
    <s v="GNR_ST_MSW_BP_E-23"/>
    <x v="0"/>
    <x v="18"/>
    <n v="23.9551757157918"/>
    <n v="8743.6391362640006"/>
    <n v="31477.100890550399"/>
  </r>
  <r>
    <x v="0"/>
    <x v="0"/>
    <x v="0"/>
    <x v="0"/>
    <x v="1"/>
    <s v="DK2_Medium"/>
    <x v="2"/>
    <s v="GNR_ST_MSW_BP_E-25"/>
    <x v="0"/>
    <x v="0"/>
    <n v="25.020226783078499"/>
    <n v="9132.3827758236603"/>
    <n v="32876.577992965198"/>
  </r>
  <r>
    <x v="0"/>
    <x v="0"/>
    <x v="0"/>
    <x v="0"/>
    <x v="1"/>
    <s v="DK2_Medium"/>
    <x v="2"/>
    <s v="GNR_ST_MSW_BP_E-25"/>
    <x v="0"/>
    <x v="1"/>
    <n v="25.020226783078499"/>
    <n v="9132.3827758236603"/>
    <n v="32876.577992965198"/>
  </r>
  <r>
    <x v="0"/>
    <x v="0"/>
    <x v="0"/>
    <x v="0"/>
    <x v="1"/>
    <s v="DK2_Medium"/>
    <x v="2"/>
    <s v="GNR_ST_MSW_BP_E-25"/>
    <x v="0"/>
    <x v="2"/>
    <n v="25.020226783078499"/>
    <n v="9132.3827758236603"/>
    <n v="32876.577992965198"/>
  </r>
  <r>
    <x v="0"/>
    <x v="0"/>
    <x v="0"/>
    <x v="0"/>
    <x v="1"/>
    <s v="DK2_Medium"/>
    <x v="2"/>
    <s v="GNR_ST_MSW_BP_E-25"/>
    <x v="0"/>
    <x v="3"/>
    <n v="25.020226783078499"/>
    <n v="9132.3827758236603"/>
    <n v="32876.577992965198"/>
  </r>
  <r>
    <x v="0"/>
    <x v="0"/>
    <x v="0"/>
    <x v="0"/>
    <x v="1"/>
    <s v="DK2_Medium"/>
    <x v="2"/>
    <s v="GNR_ST_MSW_BP_E-25"/>
    <x v="0"/>
    <x v="12"/>
    <n v="25.020226783078499"/>
    <n v="9132.3827758236603"/>
    <n v="32876.577992965198"/>
  </r>
  <r>
    <x v="0"/>
    <x v="0"/>
    <x v="0"/>
    <x v="0"/>
    <x v="1"/>
    <s v="DK2_Medium"/>
    <x v="2"/>
    <s v="GNR_ST_MSW_BP_E-25"/>
    <x v="0"/>
    <x v="4"/>
    <n v="25.020226783078499"/>
    <n v="9132.3827758236603"/>
    <n v="32876.577992965198"/>
  </r>
  <r>
    <x v="0"/>
    <x v="0"/>
    <x v="0"/>
    <x v="0"/>
    <x v="1"/>
    <s v="DK2_Medium"/>
    <x v="2"/>
    <s v="GNR_ST_MSW_BP_E-25"/>
    <x v="0"/>
    <x v="16"/>
    <n v="25.020226783078499"/>
    <n v="9132.3827758236603"/>
    <n v="32876.577992965198"/>
  </r>
  <r>
    <x v="0"/>
    <x v="0"/>
    <x v="0"/>
    <x v="0"/>
    <x v="1"/>
    <s v="DK2_Medium"/>
    <x v="2"/>
    <s v="GNR_ST_MSW_BP_E-25"/>
    <x v="0"/>
    <x v="5"/>
    <n v="25.020226783078499"/>
    <n v="9132.3827758236603"/>
    <n v="32876.577992965198"/>
  </r>
  <r>
    <x v="0"/>
    <x v="0"/>
    <x v="0"/>
    <x v="0"/>
    <x v="1"/>
    <s v="DK2_Medium"/>
    <x v="2"/>
    <s v="GNR_ST_MSW_BP_E-25"/>
    <x v="0"/>
    <x v="17"/>
    <n v="25.020226783078499"/>
    <n v="9132.3827758236603"/>
    <n v="32876.577992965198"/>
  </r>
  <r>
    <x v="0"/>
    <x v="0"/>
    <x v="0"/>
    <x v="0"/>
    <x v="1"/>
    <s v="DK2_Medium"/>
    <x v="2"/>
    <s v="GNR_ST_MSW_BP_E-25"/>
    <x v="0"/>
    <x v="18"/>
    <n v="25.020226783078499"/>
    <n v="9132.3827758236603"/>
    <n v="32876.577992965198"/>
  </r>
  <r>
    <x v="0"/>
    <x v="0"/>
    <x v="0"/>
    <x v="0"/>
    <x v="1"/>
    <s v="DK2_Medium"/>
    <x v="3"/>
    <s v="GNR_ENG_NGAS_BP_E-33"/>
    <x v="0"/>
    <x v="0"/>
    <n v="1.1111111111111101"/>
    <n v="405.555555555556"/>
    <n v="1460"/>
  </r>
  <r>
    <x v="0"/>
    <x v="0"/>
    <x v="0"/>
    <x v="0"/>
    <x v="1"/>
    <s v="DK2_Medium"/>
    <x v="3"/>
    <s v="GNR_ENG_NGAS_BP_E-33"/>
    <x v="0"/>
    <x v="1"/>
    <n v="1.1111111111111101"/>
    <n v="405.555555555556"/>
    <n v="1460"/>
  </r>
  <r>
    <x v="0"/>
    <x v="0"/>
    <x v="0"/>
    <x v="0"/>
    <x v="1"/>
    <s v="DK2_Medium"/>
    <x v="3"/>
    <s v="GNR_ENG_NGAS_BP_E-33"/>
    <x v="0"/>
    <x v="2"/>
    <n v="1.1111111111111101"/>
    <n v="405.555555555556"/>
    <n v="1460"/>
  </r>
  <r>
    <x v="0"/>
    <x v="0"/>
    <x v="0"/>
    <x v="0"/>
    <x v="1"/>
    <s v="DK2_Medium"/>
    <x v="3"/>
    <s v="GNR_ENG_NGAS_BP_E-33"/>
    <x v="0"/>
    <x v="3"/>
    <n v="1.1111111111111101"/>
    <n v="405.555555555556"/>
    <n v="1460"/>
  </r>
  <r>
    <x v="0"/>
    <x v="0"/>
    <x v="0"/>
    <x v="0"/>
    <x v="1"/>
    <s v="DK2_Medium"/>
    <x v="3"/>
    <s v="GNR_ENG_NGAS_BP_E-33"/>
    <x v="0"/>
    <x v="12"/>
    <n v="1.1111111111111101"/>
    <n v="405.555555555556"/>
    <n v="1460"/>
  </r>
  <r>
    <x v="0"/>
    <x v="0"/>
    <x v="0"/>
    <x v="0"/>
    <x v="1"/>
    <s v="DK2_Medium"/>
    <x v="3"/>
    <s v="GNR_ENG_NGAS_BP_E-33"/>
    <x v="0"/>
    <x v="13"/>
    <n v="1.1111111111111101"/>
    <n v="405.555555555556"/>
    <n v="1460"/>
  </r>
  <r>
    <x v="0"/>
    <x v="0"/>
    <x v="0"/>
    <x v="0"/>
    <x v="1"/>
    <s v="DK2_Medium"/>
    <x v="3"/>
    <s v="GNR_ENG_NGAS_BP_E-33"/>
    <x v="0"/>
    <x v="14"/>
    <n v="1.1111111111111101"/>
    <n v="405.555555555556"/>
    <n v="1460"/>
  </r>
  <r>
    <x v="0"/>
    <x v="0"/>
    <x v="0"/>
    <x v="0"/>
    <x v="1"/>
    <s v="DK2_Medium"/>
    <x v="3"/>
    <s v="GNR_ENG_NGAS_BP_E-33"/>
    <x v="0"/>
    <x v="15"/>
    <n v="1.1111111111111101"/>
    <n v="405.555555555556"/>
    <n v="1460"/>
  </r>
  <r>
    <x v="0"/>
    <x v="0"/>
    <x v="0"/>
    <x v="0"/>
    <x v="1"/>
    <s v="DK2_Medium"/>
    <x v="3"/>
    <s v="GNR_ENG_NGAS_BP_E-33"/>
    <x v="0"/>
    <x v="4"/>
    <n v="1.1111111111111101"/>
    <n v="405.555555555556"/>
    <n v="1460"/>
  </r>
  <r>
    <x v="0"/>
    <x v="0"/>
    <x v="0"/>
    <x v="0"/>
    <x v="1"/>
    <s v="DK2_Medium"/>
    <x v="3"/>
    <s v="GNR_ENG_NGAS_BP_E-33"/>
    <x v="0"/>
    <x v="16"/>
    <n v="1.1111111111111101"/>
    <n v="405.555555555556"/>
    <n v="1460"/>
  </r>
  <r>
    <x v="0"/>
    <x v="0"/>
    <x v="0"/>
    <x v="0"/>
    <x v="1"/>
    <s v="DK2_Medium"/>
    <x v="3"/>
    <s v="GNR_ENG_NGAS_BP_E-33"/>
    <x v="0"/>
    <x v="5"/>
    <n v="1.1111111111111101"/>
    <n v="405.555555555556"/>
    <n v="1460"/>
  </r>
  <r>
    <x v="0"/>
    <x v="0"/>
    <x v="0"/>
    <x v="0"/>
    <x v="1"/>
    <s v="DK2_Medium"/>
    <x v="3"/>
    <s v="GNR_ENG_NGAS_BP_E-33"/>
    <x v="0"/>
    <x v="17"/>
    <n v="1.1111111111111101"/>
    <n v="405.555555555556"/>
    <n v="1460"/>
  </r>
  <r>
    <x v="0"/>
    <x v="0"/>
    <x v="0"/>
    <x v="0"/>
    <x v="1"/>
    <s v="DK2_Medium"/>
    <x v="3"/>
    <s v="GNR_ENG_NGAS_BP_E-33"/>
    <x v="0"/>
    <x v="18"/>
    <n v="1.1111111111111101"/>
    <n v="405.555555555556"/>
    <n v="1460"/>
  </r>
  <r>
    <x v="0"/>
    <x v="0"/>
    <x v="0"/>
    <x v="0"/>
    <x v="1"/>
    <s v="DK2_Medium"/>
    <x v="3"/>
    <s v="GNR_ENG_NGAS_BP_E-33"/>
    <x v="0"/>
    <x v="19"/>
    <n v="1.1111111111111101"/>
    <n v="405.555555555556"/>
    <n v="1460"/>
  </r>
  <r>
    <x v="0"/>
    <x v="0"/>
    <x v="0"/>
    <x v="0"/>
    <x v="1"/>
    <s v="DK2_Medium"/>
    <x v="3"/>
    <s v="GNR_ENG_NGAS_BP_E-35"/>
    <x v="0"/>
    <x v="11"/>
    <n v="3.3333333333333299"/>
    <n v="1216.6666666666699"/>
    <n v="4380"/>
  </r>
  <r>
    <x v="0"/>
    <x v="0"/>
    <x v="0"/>
    <x v="0"/>
    <x v="1"/>
    <s v="DK2_Medium"/>
    <x v="3"/>
    <s v="GNR_ENG_NGAS_BP_E-35"/>
    <x v="0"/>
    <x v="0"/>
    <n v="3.3333333333333299"/>
    <n v="1216.6666666666699"/>
    <n v="4380"/>
  </r>
  <r>
    <x v="0"/>
    <x v="0"/>
    <x v="0"/>
    <x v="0"/>
    <x v="1"/>
    <s v="DK2_Medium"/>
    <x v="3"/>
    <s v="GNR_ENG_NGAS_BP_E-35"/>
    <x v="0"/>
    <x v="1"/>
    <n v="3.3333333333333299"/>
    <n v="1216.6666666666699"/>
    <n v="4380"/>
  </r>
  <r>
    <x v="0"/>
    <x v="0"/>
    <x v="0"/>
    <x v="0"/>
    <x v="1"/>
    <s v="DK2_Medium"/>
    <x v="3"/>
    <s v="GNR_ENG_NGAS_BP_E-35"/>
    <x v="0"/>
    <x v="2"/>
    <n v="3.3333333333333299"/>
    <n v="1216.6666666666699"/>
    <n v="4380"/>
  </r>
  <r>
    <x v="0"/>
    <x v="0"/>
    <x v="0"/>
    <x v="0"/>
    <x v="1"/>
    <s v="DK2_Medium"/>
    <x v="3"/>
    <s v="GNR_ENG_NGAS_BP_E-35"/>
    <x v="0"/>
    <x v="3"/>
    <n v="3.3333333333333299"/>
    <n v="1216.6666666666699"/>
    <n v="4380"/>
  </r>
  <r>
    <x v="0"/>
    <x v="0"/>
    <x v="0"/>
    <x v="0"/>
    <x v="1"/>
    <s v="DK2_Medium"/>
    <x v="3"/>
    <s v="GNR_ENG_NGAS_BP_E-35"/>
    <x v="0"/>
    <x v="12"/>
    <n v="3.3333333333333299"/>
    <n v="1216.6666666666699"/>
    <n v="4380"/>
  </r>
  <r>
    <x v="0"/>
    <x v="0"/>
    <x v="0"/>
    <x v="0"/>
    <x v="1"/>
    <s v="DK2_Medium"/>
    <x v="3"/>
    <s v="GNR_ENG_NGAS_BP_E-35"/>
    <x v="0"/>
    <x v="13"/>
    <n v="3.3333333333333299"/>
    <n v="1216.6666666666699"/>
    <n v="4380"/>
  </r>
  <r>
    <x v="0"/>
    <x v="0"/>
    <x v="0"/>
    <x v="0"/>
    <x v="1"/>
    <s v="DK2_Medium"/>
    <x v="3"/>
    <s v="GNR_ENG_NGAS_BP_E-35"/>
    <x v="0"/>
    <x v="14"/>
    <n v="3.3333333333333299"/>
    <n v="1216.6666666666699"/>
    <n v="4380"/>
  </r>
  <r>
    <x v="0"/>
    <x v="0"/>
    <x v="0"/>
    <x v="0"/>
    <x v="1"/>
    <s v="DK2_Medium"/>
    <x v="3"/>
    <s v="GNR_ENG_NGAS_BP_E-35"/>
    <x v="0"/>
    <x v="15"/>
    <n v="3.3333333333333299"/>
    <n v="1216.6666666666699"/>
    <n v="4380"/>
  </r>
  <r>
    <x v="0"/>
    <x v="0"/>
    <x v="0"/>
    <x v="0"/>
    <x v="1"/>
    <s v="DK2_Medium"/>
    <x v="3"/>
    <s v="GNR_ENG_NGAS_BP_E-35"/>
    <x v="0"/>
    <x v="4"/>
    <n v="3.3333333333333299"/>
    <n v="1216.6666666666699"/>
    <n v="4380"/>
  </r>
  <r>
    <x v="0"/>
    <x v="0"/>
    <x v="0"/>
    <x v="0"/>
    <x v="1"/>
    <s v="DK2_Medium"/>
    <x v="3"/>
    <s v="GNR_ENG_NGAS_BP_E-35"/>
    <x v="0"/>
    <x v="16"/>
    <n v="3.3333333333333299"/>
    <n v="1216.6666666666699"/>
    <n v="4380"/>
  </r>
  <r>
    <x v="0"/>
    <x v="0"/>
    <x v="0"/>
    <x v="0"/>
    <x v="1"/>
    <s v="DK2_Medium"/>
    <x v="3"/>
    <s v="GNR_ENG_NGAS_BP_E-35"/>
    <x v="0"/>
    <x v="5"/>
    <n v="3.3333333333333299"/>
    <n v="1216.6666666666699"/>
    <n v="4380"/>
  </r>
  <r>
    <x v="0"/>
    <x v="0"/>
    <x v="0"/>
    <x v="0"/>
    <x v="1"/>
    <s v="DK2_Medium"/>
    <x v="3"/>
    <s v="GNR_ENG_NGAS_BP_E-35"/>
    <x v="0"/>
    <x v="17"/>
    <n v="3.3333333333333299"/>
    <n v="1216.6666666666699"/>
    <n v="4380"/>
  </r>
  <r>
    <x v="0"/>
    <x v="0"/>
    <x v="0"/>
    <x v="0"/>
    <x v="1"/>
    <s v="DK2_Medium"/>
    <x v="3"/>
    <s v="GNR_ENG_NGAS_BP_E-35"/>
    <x v="0"/>
    <x v="18"/>
    <n v="3.3333333333333299"/>
    <n v="1216.6666666666699"/>
    <n v="4380"/>
  </r>
  <r>
    <x v="0"/>
    <x v="0"/>
    <x v="0"/>
    <x v="0"/>
    <x v="1"/>
    <s v="DK2_Medium"/>
    <x v="3"/>
    <s v="GNR_ENG_NGAS_BP_E-35"/>
    <x v="0"/>
    <x v="19"/>
    <n v="3.3333333333333299"/>
    <n v="1216.6666666666699"/>
    <n v="4380"/>
  </r>
  <r>
    <x v="0"/>
    <x v="0"/>
    <x v="0"/>
    <x v="0"/>
    <x v="1"/>
    <s v="DK2_Medium"/>
    <x v="3"/>
    <s v="GNR_ENG_NGAS_BP_E-35"/>
    <x v="0"/>
    <x v="20"/>
    <n v="3.3333333333333299"/>
    <n v="1216.6666666666699"/>
    <n v="4380"/>
  </r>
  <r>
    <x v="0"/>
    <x v="0"/>
    <x v="0"/>
    <x v="0"/>
    <x v="1"/>
    <s v="DK2_Medium"/>
    <x v="3"/>
    <s v="GNR_ENG_NGAS_BP_E-38"/>
    <x v="0"/>
    <x v="6"/>
    <n v="1.0777777777777799"/>
    <n v="393.38888888888903"/>
    <n v="1416.2"/>
  </r>
  <r>
    <x v="0"/>
    <x v="0"/>
    <x v="0"/>
    <x v="0"/>
    <x v="1"/>
    <s v="DK2_Medium"/>
    <x v="3"/>
    <s v="GNR_ENG_NGAS_BP_E-38"/>
    <x v="0"/>
    <x v="7"/>
    <n v="1.0777777777777799"/>
    <n v="393.38888888888903"/>
    <n v="1416.2"/>
  </r>
  <r>
    <x v="0"/>
    <x v="0"/>
    <x v="0"/>
    <x v="0"/>
    <x v="1"/>
    <s v="DK2_Medium"/>
    <x v="3"/>
    <s v="GNR_ENG_NGAS_BP_E-38"/>
    <x v="0"/>
    <x v="8"/>
    <n v="1.0777777777777799"/>
    <n v="393.38888888888903"/>
    <n v="1416.2"/>
  </r>
  <r>
    <x v="0"/>
    <x v="0"/>
    <x v="0"/>
    <x v="0"/>
    <x v="1"/>
    <s v="DK2_Medium"/>
    <x v="3"/>
    <s v="GNR_ENG_NGAS_BP_E-38"/>
    <x v="0"/>
    <x v="9"/>
    <n v="1.0777777777777799"/>
    <n v="393.38888888888903"/>
    <n v="1416.2"/>
  </r>
  <r>
    <x v="0"/>
    <x v="0"/>
    <x v="0"/>
    <x v="0"/>
    <x v="1"/>
    <s v="DK2_Medium"/>
    <x v="3"/>
    <s v="GNR_ENG_NGAS_BP_E-38"/>
    <x v="0"/>
    <x v="10"/>
    <n v="1.0777777777777799"/>
    <n v="393.38888888888903"/>
    <n v="1416.2"/>
  </r>
  <r>
    <x v="0"/>
    <x v="0"/>
    <x v="0"/>
    <x v="0"/>
    <x v="1"/>
    <s v="DK2_Medium"/>
    <x v="3"/>
    <s v="GNR_ENG_NGAS_BP_E-38"/>
    <x v="0"/>
    <x v="11"/>
    <n v="1.0777777777777799"/>
    <n v="393.38888888888903"/>
    <n v="1416.2"/>
  </r>
  <r>
    <x v="0"/>
    <x v="0"/>
    <x v="0"/>
    <x v="0"/>
    <x v="1"/>
    <s v="DK2_Medium"/>
    <x v="3"/>
    <s v="GNR_ENG_NGAS_BP_E-38"/>
    <x v="0"/>
    <x v="0"/>
    <n v="1.0777777777777799"/>
    <n v="393.38888888888903"/>
    <n v="1416.2"/>
  </r>
  <r>
    <x v="0"/>
    <x v="0"/>
    <x v="0"/>
    <x v="0"/>
    <x v="1"/>
    <s v="DK2_Medium"/>
    <x v="3"/>
    <s v="GNR_ENG_NGAS_BP_E-38"/>
    <x v="0"/>
    <x v="1"/>
    <n v="1.0777777777777799"/>
    <n v="393.38888888888903"/>
    <n v="1416.2"/>
  </r>
  <r>
    <x v="0"/>
    <x v="0"/>
    <x v="0"/>
    <x v="0"/>
    <x v="1"/>
    <s v="DK2_Medium"/>
    <x v="3"/>
    <s v="GNR_ENG_NGAS_BP_E-38"/>
    <x v="0"/>
    <x v="2"/>
    <n v="1.0777777777777799"/>
    <n v="393.38888888888903"/>
    <n v="1416.2"/>
  </r>
  <r>
    <x v="0"/>
    <x v="0"/>
    <x v="0"/>
    <x v="0"/>
    <x v="1"/>
    <s v="DK2_Medium"/>
    <x v="3"/>
    <s v="GNR_ENG_NGAS_BP_E-38"/>
    <x v="0"/>
    <x v="3"/>
    <n v="1.0777777777777799"/>
    <n v="393.38888888888903"/>
    <n v="1416.2"/>
  </r>
  <r>
    <x v="0"/>
    <x v="0"/>
    <x v="0"/>
    <x v="0"/>
    <x v="1"/>
    <s v="DK2_Medium"/>
    <x v="3"/>
    <s v="GNR_ENG_NGAS_BP_E-38"/>
    <x v="0"/>
    <x v="12"/>
    <n v="1.0777777777777799"/>
    <n v="393.38888888888903"/>
    <n v="1416.2"/>
  </r>
  <r>
    <x v="0"/>
    <x v="0"/>
    <x v="0"/>
    <x v="0"/>
    <x v="1"/>
    <s v="DK2_Medium"/>
    <x v="3"/>
    <s v="GNR_ENG_NGAS_BP_E-38"/>
    <x v="0"/>
    <x v="13"/>
    <n v="1.0777777777777799"/>
    <n v="393.38888888888903"/>
    <n v="1416.2"/>
  </r>
  <r>
    <x v="0"/>
    <x v="0"/>
    <x v="0"/>
    <x v="0"/>
    <x v="1"/>
    <s v="DK2_Medium"/>
    <x v="3"/>
    <s v="GNR_ENG_NGAS_BP_E-38"/>
    <x v="0"/>
    <x v="14"/>
    <n v="1.0777777777777799"/>
    <n v="393.38888888888903"/>
    <n v="1416.2"/>
  </r>
  <r>
    <x v="0"/>
    <x v="0"/>
    <x v="0"/>
    <x v="0"/>
    <x v="1"/>
    <s v="DK2_Medium"/>
    <x v="3"/>
    <s v="GNR_ENG_NGAS_BP_E-38"/>
    <x v="0"/>
    <x v="15"/>
    <n v="1.0777777777777799"/>
    <n v="393.38888888888903"/>
    <n v="1416.2"/>
  </r>
  <r>
    <x v="0"/>
    <x v="0"/>
    <x v="0"/>
    <x v="0"/>
    <x v="1"/>
    <s v="DK2_Medium"/>
    <x v="3"/>
    <s v="GNR_ENG_NGAS_BP_E-38"/>
    <x v="0"/>
    <x v="4"/>
    <n v="1.0777777777777799"/>
    <n v="393.38888888888903"/>
    <n v="1416.2"/>
  </r>
  <r>
    <x v="0"/>
    <x v="0"/>
    <x v="0"/>
    <x v="0"/>
    <x v="1"/>
    <s v="DK2_Medium"/>
    <x v="3"/>
    <s v="GNR_ENG_NGAS_BP_E-38"/>
    <x v="0"/>
    <x v="16"/>
    <n v="1.0777777777777799"/>
    <n v="393.38888888888903"/>
    <n v="1416.2"/>
  </r>
  <r>
    <x v="0"/>
    <x v="0"/>
    <x v="0"/>
    <x v="0"/>
    <x v="1"/>
    <s v="DK2_Medium"/>
    <x v="3"/>
    <s v="GNR_ENG_NGAS_BP_E-38"/>
    <x v="0"/>
    <x v="5"/>
    <n v="1.0777777777777799"/>
    <n v="393.38888888888903"/>
    <n v="1416.2"/>
  </r>
  <r>
    <x v="0"/>
    <x v="0"/>
    <x v="0"/>
    <x v="0"/>
    <x v="1"/>
    <s v="DK2_Medium"/>
    <x v="3"/>
    <s v="GNR_ENG_NGAS_BP_E-38"/>
    <x v="0"/>
    <x v="17"/>
    <n v="1.0777777777777799"/>
    <n v="393.38888888888903"/>
    <n v="1416.2"/>
  </r>
  <r>
    <x v="0"/>
    <x v="0"/>
    <x v="0"/>
    <x v="0"/>
    <x v="1"/>
    <s v="DK2_Medium"/>
    <x v="3"/>
    <s v="GNR_ENG_NGAS_BP_E-38"/>
    <x v="0"/>
    <x v="18"/>
    <n v="1.0777777777777799"/>
    <n v="393.38888888888903"/>
    <n v="1416.2"/>
  </r>
  <r>
    <x v="0"/>
    <x v="0"/>
    <x v="0"/>
    <x v="0"/>
    <x v="1"/>
    <s v="DK2_Medium"/>
    <x v="3"/>
    <s v="GNR_ENG_NGAS_BP_E-38"/>
    <x v="0"/>
    <x v="19"/>
    <n v="1.0777777777777799"/>
    <n v="393.38888888888903"/>
    <n v="1416.2"/>
  </r>
  <r>
    <x v="0"/>
    <x v="0"/>
    <x v="0"/>
    <x v="0"/>
    <x v="1"/>
    <s v="DK2_Medium"/>
    <x v="3"/>
    <s v="GNR_ENG_NGAS_BP_E-38"/>
    <x v="0"/>
    <x v="20"/>
    <n v="1.0777777777777799"/>
    <n v="393.38888888888903"/>
    <n v="1416.2"/>
  </r>
  <r>
    <x v="0"/>
    <x v="0"/>
    <x v="0"/>
    <x v="0"/>
    <x v="1"/>
    <s v="DK2_Medium"/>
    <x v="3"/>
    <s v="GNR_ENG_NGAS_BP_E-38"/>
    <x v="0"/>
    <x v="21"/>
    <n v="1.0777777777777799"/>
    <n v="393.38888888888903"/>
    <n v="1416.2"/>
  </r>
  <r>
    <x v="0"/>
    <x v="0"/>
    <x v="0"/>
    <x v="0"/>
    <x v="1"/>
    <s v="DK2_Medium"/>
    <x v="3"/>
    <s v="GNR_ENG_NGAS_BP_E-38"/>
    <x v="0"/>
    <x v="22"/>
    <n v="1.0777777777777799"/>
    <n v="393.38888888888903"/>
    <n v="1416.2"/>
  </r>
  <r>
    <x v="0"/>
    <x v="0"/>
    <x v="0"/>
    <x v="0"/>
    <x v="1"/>
    <s v="DK2_Medium"/>
    <x v="3"/>
    <s v="GNR_ENG_NGAS_BP_E-38"/>
    <x v="0"/>
    <x v="23"/>
    <n v="1.0777777777777799"/>
    <n v="393.38888888888903"/>
    <n v="1416.2"/>
  </r>
  <r>
    <x v="0"/>
    <x v="0"/>
    <x v="0"/>
    <x v="0"/>
    <x v="1"/>
    <s v="DK2_Medium"/>
    <x v="3"/>
    <s v="GNR_ENG_NGAS_BP_E-39"/>
    <x v="0"/>
    <x v="6"/>
    <n v="12.5111111111111"/>
    <n v="4566.5555555555602"/>
    <n v="16439.599999999999"/>
  </r>
  <r>
    <x v="0"/>
    <x v="0"/>
    <x v="0"/>
    <x v="0"/>
    <x v="1"/>
    <s v="DK2_Medium"/>
    <x v="3"/>
    <s v="GNR_ENG_NGAS_BP_E-39"/>
    <x v="0"/>
    <x v="7"/>
    <n v="12.5111111111111"/>
    <n v="4566.5555555555602"/>
    <n v="16439.599999999999"/>
  </r>
  <r>
    <x v="0"/>
    <x v="0"/>
    <x v="0"/>
    <x v="0"/>
    <x v="1"/>
    <s v="DK2_Medium"/>
    <x v="3"/>
    <s v="GNR_ENG_NGAS_BP_E-39"/>
    <x v="0"/>
    <x v="8"/>
    <n v="12.5111111111111"/>
    <n v="4566.5555555555602"/>
    <n v="16439.599999999999"/>
  </r>
  <r>
    <x v="0"/>
    <x v="0"/>
    <x v="0"/>
    <x v="0"/>
    <x v="1"/>
    <s v="DK2_Medium"/>
    <x v="3"/>
    <s v="GNR_ENG_NGAS_BP_E-39"/>
    <x v="0"/>
    <x v="9"/>
    <n v="12.5111111111111"/>
    <n v="4566.5555555555602"/>
    <n v="16439.599999999999"/>
  </r>
  <r>
    <x v="0"/>
    <x v="0"/>
    <x v="0"/>
    <x v="0"/>
    <x v="1"/>
    <s v="DK2_Medium"/>
    <x v="3"/>
    <s v="GNR_ENG_NGAS_BP_E-39"/>
    <x v="0"/>
    <x v="10"/>
    <n v="12.5111111111111"/>
    <n v="4566.5555555555602"/>
    <n v="16439.599999999999"/>
  </r>
  <r>
    <x v="0"/>
    <x v="0"/>
    <x v="0"/>
    <x v="0"/>
    <x v="1"/>
    <s v="DK2_Medium"/>
    <x v="3"/>
    <s v="GNR_ENG_NGAS_BP_E-39"/>
    <x v="0"/>
    <x v="11"/>
    <n v="12.5111111111111"/>
    <n v="4566.5555555555602"/>
    <n v="16439.599999999999"/>
  </r>
  <r>
    <x v="0"/>
    <x v="0"/>
    <x v="0"/>
    <x v="0"/>
    <x v="1"/>
    <s v="DK2_Medium"/>
    <x v="3"/>
    <s v="GNR_ENG_NGAS_BP_E-39"/>
    <x v="0"/>
    <x v="0"/>
    <n v="12.5111111111111"/>
    <n v="4566.5555555555602"/>
    <n v="16439.599999999999"/>
  </r>
  <r>
    <x v="0"/>
    <x v="0"/>
    <x v="0"/>
    <x v="0"/>
    <x v="1"/>
    <s v="DK2_Medium"/>
    <x v="3"/>
    <s v="GNR_ENG_NGAS_BP_E-39"/>
    <x v="0"/>
    <x v="1"/>
    <n v="12.5111111111111"/>
    <n v="4566.5555555555602"/>
    <n v="16439.599999999999"/>
  </r>
  <r>
    <x v="0"/>
    <x v="0"/>
    <x v="0"/>
    <x v="0"/>
    <x v="1"/>
    <s v="DK2_Medium"/>
    <x v="3"/>
    <s v="GNR_ENG_NGAS_BP_E-39"/>
    <x v="0"/>
    <x v="2"/>
    <n v="12.5111111111111"/>
    <n v="4566.5555555555602"/>
    <n v="16439.599999999999"/>
  </r>
  <r>
    <x v="0"/>
    <x v="0"/>
    <x v="0"/>
    <x v="0"/>
    <x v="1"/>
    <s v="DK2_Medium"/>
    <x v="3"/>
    <s v="GNR_ENG_NGAS_BP_E-39"/>
    <x v="0"/>
    <x v="3"/>
    <n v="12.5111111111111"/>
    <n v="4566.5555555555602"/>
    <n v="16439.599999999999"/>
  </r>
  <r>
    <x v="0"/>
    <x v="0"/>
    <x v="0"/>
    <x v="0"/>
    <x v="1"/>
    <s v="DK2_Medium"/>
    <x v="3"/>
    <s v="GNR_ENG_NGAS_BP_E-39"/>
    <x v="0"/>
    <x v="12"/>
    <n v="12.5111111111111"/>
    <n v="4566.5555555555602"/>
    <n v="16439.599999999999"/>
  </r>
  <r>
    <x v="0"/>
    <x v="0"/>
    <x v="0"/>
    <x v="0"/>
    <x v="1"/>
    <s v="DK2_Medium"/>
    <x v="3"/>
    <s v="GNR_ENG_NGAS_BP_E-39"/>
    <x v="0"/>
    <x v="13"/>
    <n v="12.5111111111111"/>
    <n v="4566.5555555555602"/>
    <n v="16439.599999999999"/>
  </r>
  <r>
    <x v="0"/>
    <x v="0"/>
    <x v="0"/>
    <x v="0"/>
    <x v="1"/>
    <s v="DK2_Medium"/>
    <x v="3"/>
    <s v="GNR_ENG_NGAS_BP_E-39"/>
    <x v="0"/>
    <x v="14"/>
    <n v="12.5111111111111"/>
    <n v="4566.5555555555602"/>
    <n v="16439.599999999999"/>
  </r>
  <r>
    <x v="0"/>
    <x v="0"/>
    <x v="0"/>
    <x v="0"/>
    <x v="1"/>
    <s v="DK2_Medium"/>
    <x v="3"/>
    <s v="GNR_ENG_NGAS_BP_E-39"/>
    <x v="0"/>
    <x v="15"/>
    <n v="12.5111111111111"/>
    <n v="4566.5555555555602"/>
    <n v="16439.599999999999"/>
  </r>
  <r>
    <x v="0"/>
    <x v="0"/>
    <x v="0"/>
    <x v="0"/>
    <x v="1"/>
    <s v="DK2_Medium"/>
    <x v="3"/>
    <s v="GNR_ENG_NGAS_BP_E-39"/>
    <x v="0"/>
    <x v="4"/>
    <n v="12.5111111111111"/>
    <n v="4566.5555555555602"/>
    <n v="16439.599999999999"/>
  </r>
  <r>
    <x v="0"/>
    <x v="0"/>
    <x v="0"/>
    <x v="0"/>
    <x v="1"/>
    <s v="DK2_Medium"/>
    <x v="3"/>
    <s v="GNR_ENG_NGAS_BP_E-39"/>
    <x v="0"/>
    <x v="16"/>
    <n v="12.5111111111111"/>
    <n v="4566.5555555555602"/>
    <n v="16439.599999999999"/>
  </r>
  <r>
    <x v="0"/>
    <x v="0"/>
    <x v="0"/>
    <x v="0"/>
    <x v="1"/>
    <s v="DK2_Medium"/>
    <x v="3"/>
    <s v="GNR_ENG_NGAS_BP_E-39"/>
    <x v="0"/>
    <x v="5"/>
    <n v="12.5111111111111"/>
    <n v="4566.5555555555602"/>
    <n v="16439.599999999999"/>
  </r>
  <r>
    <x v="0"/>
    <x v="0"/>
    <x v="0"/>
    <x v="0"/>
    <x v="1"/>
    <s v="DK2_Medium"/>
    <x v="3"/>
    <s v="GNR_ENG_NGAS_BP_E-39"/>
    <x v="0"/>
    <x v="17"/>
    <n v="12.5111111111111"/>
    <n v="4566.5555555555602"/>
    <n v="16439.599999999999"/>
  </r>
  <r>
    <x v="0"/>
    <x v="0"/>
    <x v="0"/>
    <x v="0"/>
    <x v="1"/>
    <s v="DK2_Medium"/>
    <x v="3"/>
    <s v="GNR_ENG_NGAS_BP_E-39"/>
    <x v="0"/>
    <x v="18"/>
    <n v="12.5111111111111"/>
    <n v="4566.5555555555602"/>
    <n v="16439.599999999999"/>
  </r>
  <r>
    <x v="0"/>
    <x v="0"/>
    <x v="0"/>
    <x v="0"/>
    <x v="1"/>
    <s v="DK2_Medium"/>
    <x v="3"/>
    <s v="GNR_ENG_NGAS_BP_E-39"/>
    <x v="0"/>
    <x v="19"/>
    <n v="12.5111111111111"/>
    <n v="4566.5555555555602"/>
    <n v="16439.599999999999"/>
  </r>
  <r>
    <x v="0"/>
    <x v="0"/>
    <x v="0"/>
    <x v="0"/>
    <x v="1"/>
    <s v="DK2_Medium"/>
    <x v="3"/>
    <s v="GNR_ENG_NGAS_BP_E-39"/>
    <x v="0"/>
    <x v="20"/>
    <n v="12.5111111111111"/>
    <n v="4566.5555555555602"/>
    <n v="16439.599999999999"/>
  </r>
  <r>
    <x v="0"/>
    <x v="0"/>
    <x v="0"/>
    <x v="0"/>
    <x v="1"/>
    <s v="DK2_Medium"/>
    <x v="3"/>
    <s v="GNR_ENG_NGAS_BP_E-39"/>
    <x v="0"/>
    <x v="21"/>
    <n v="12.5111111111111"/>
    <n v="4566.5555555555602"/>
    <n v="16439.599999999999"/>
  </r>
  <r>
    <x v="0"/>
    <x v="0"/>
    <x v="0"/>
    <x v="0"/>
    <x v="1"/>
    <s v="DK2_Medium"/>
    <x v="3"/>
    <s v="GNR_ENG_NGAS_BP_E-39"/>
    <x v="0"/>
    <x v="22"/>
    <n v="12.5111111111111"/>
    <n v="4566.5555555555602"/>
    <n v="16439.599999999999"/>
  </r>
  <r>
    <x v="0"/>
    <x v="0"/>
    <x v="0"/>
    <x v="0"/>
    <x v="1"/>
    <s v="DK2_Medium"/>
    <x v="3"/>
    <s v="GNR_ENG_NGAS_BP_E-39"/>
    <x v="0"/>
    <x v="23"/>
    <n v="12.5111111111111"/>
    <n v="4566.5555555555602"/>
    <n v="16439.599999999999"/>
  </r>
  <r>
    <x v="0"/>
    <x v="0"/>
    <x v="0"/>
    <x v="0"/>
    <x v="1"/>
    <s v="DK2_Medium"/>
    <x v="3"/>
    <s v="GNR_ENG_NGAS_BP_E-41"/>
    <x v="0"/>
    <x v="6"/>
    <n v="3.4444444444444402"/>
    <n v="1257.2222222222199"/>
    <n v="4526"/>
  </r>
  <r>
    <x v="0"/>
    <x v="0"/>
    <x v="0"/>
    <x v="0"/>
    <x v="1"/>
    <s v="DK2_Medium"/>
    <x v="3"/>
    <s v="GNR_ENG_NGAS_BP_E-41"/>
    <x v="0"/>
    <x v="7"/>
    <n v="3.4444444444444402"/>
    <n v="1257.2222222222199"/>
    <n v="4526"/>
  </r>
  <r>
    <x v="0"/>
    <x v="0"/>
    <x v="0"/>
    <x v="0"/>
    <x v="1"/>
    <s v="DK2_Medium"/>
    <x v="3"/>
    <s v="GNR_ENG_NGAS_BP_E-41"/>
    <x v="0"/>
    <x v="8"/>
    <n v="3.4444444444444402"/>
    <n v="1257.2222222222199"/>
    <n v="4526"/>
  </r>
  <r>
    <x v="0"/>
    <x v="0"/>
    <x v="0"/>
    <x v="0"/>
    <x v="1"/>
    <s v="DK2_Medium"/>
    <x v="3"/>
    <s v="GNR_ENG_NGAS_BP_E-41"/>
    <x v="0"/>
    <x v="9"/>
    <n v="3.4444444444444402"/>
    <n v="1257.2222222222199"/>
    <n v="4526"/>
  </r>
  <r>
    <x v="0"/>
    <x v="0"/>
    <x v="0"/>
    <x v="0"/>
    <x v="1"/>
    <s v="DK2_Medium"/>
    <x v="3"/>
    <s v="GNR_ENG_NGAS_BP_E-41"/>
    <x v="0"/>
    <x v="10"/>
    <n v="3.4444444444444402"/>
    <n v="1257.2222222222199"/>
    <n v="4526"/>
  </r>
  <r>
    <x v="0"/>
    <x v="0"/>
    <x v="0"/>
    <x v="0"/>
    <x v="1"/>
    <s v="DK2_Medium"/>
    <x v="3"/>
    <s v="GNR_ENG_NGAS_BP_E-41"/>
    <x v="0"/>
    <x v="11"/>
    <n v="3.4444444444444402"/>
    <n v="1257.2222222222199"/>
    <n v="4526"/>
  </r>
  <r>
    <x v="0"/>
    <x v="0"/>
    <x v="0"/>
    <x v="0"/>
    <x v="1"/>
    <s v="DK2_Medium"/>
    <x v="3"/>
    <s v="GNR_ENG_NGAS_BP_E-41"/>
    <x v="0"/>
    <x v="0"/>
    <n v="3.4444444444444402"/>
    <n v="1257.2222222222199"/>
    <n v="4526"/>
  </r>
  <r>
    <x v="0"/>
    <x v="0"/>
    <x v="0"/>
    <x v="0"/>
    <x v="1"/>
    <s v="DK2_Medium"/>
    <x v="3"/>
    <s v="GNR_ENG_NGAS_BP_E-41"/>
    <x v="0"/>
    <x v="1"/>
    <n v="3.4444444444444402"/>
    <n v="1257.2222222222199"/>
    <n v="4526"/>
  </r>
  <r>
    <x v="0"/>
    <x v="0"/>
    <x v="0"/>
    <x v="0"/>
    <x v="1"/>
    <s v="DK2_Medium"/>
    <x v="3"/>
    <s v="GNR_ENG_NGAS_BP_E-41"/>
    <x v="0"/>
    <x v="2"/>
    <n v="3.4444444444444402"/>
    <n v="1257.2222222222199"/>
    <n v="4526"/>
  </r>
  <r>
    <x v="0"/>
    <x v="0"/>
    <x v="0"/>
    <x v="0"/>
    <x v="1"/>
    <s v="DK2_Medium"/>
    <x v="3"/>
    <s v="GNR_ENG_NGAS_BP_E-41"/>
    <x v="0"/>
    <x v="3"/>
    <n v="3.4444444444444402"/>
    <n v="1257.2222222222199"/>
    <n v="4526"/>
  </r>
  <r>
    <x v="0"/>
    <x v="0"/>
    <x v="0"/>
    <x v="0"/>
    <x v="1"/>
    <s v="DK2_Medium"/>
    <x v="3"/>
    <s v="GNR_ENG_NGAS_BP_E-41"/>
    <x v="0"/>
    <x v="12"/>
    <n v="3.4444444444444402"/>
    <n v="1257.2222222222199"/>
    <n v="4526"/>
  </r>
  <r>
    <x v="0"/>
    <x v="0"/>
    <x v="0"/>
    <x v="0"/>
    <x v="1"/>
    <s v="DK2_Medium"/>
    <x v="3"/>
    <s v="GNR_ENG_NGAS_BP_E-41"/>
    <x v="0"/>
    <x v="13"/>
    <n v="3.4444444444444402"/>
    <n v="1257.2222222222199"/>
    <n v="4526"/>
  </r>
  <r>
    <x v="0"/>
    <x v="0"/>
    <x v="0"/>
    <x v="0"/>
    <x v="1"/>
    <s v="DK2_Medium"/>
    <x v="3"/>
    <s v="GNR_ENG_NGAS_BP_E-41"/>
    <x v="0"/>
    <x v="14"/>
    <n v="3.4444444444444402"/>
    <n v="1257.2222222222199"/>
    <n v="4526"/>
  </r>
  <r>
    <x v="0"/>
    <x v="0"/>
    <x v="0"/>
    <x v="0"/>
    <x v="1"/>
    <s v="DK2_Medium"/>
    <x v="3"/>
    <s v="GNR_ENG_NGAS_BP_E-41"/>
    <x v="0"/>
    <x v="15"/>
    <n v="3.4444444444444402"/>
    <n v="1257.2222222222199"/>
    <n v="4526"/>
  </r>
  <r>
    <x v="0"/>
    <x v="0"/>
    <x v="0"/>
    <x v="0"/>
    <x v="1"/>
    <s v="DK2_Medium"/>
    <x v="3"/>
    <s v="GNR_ENG_NGAS_BP_E-41"/>
    <x v="0"/>
    <x v="4"/>
    <n v="3.4444444444444402"/>
    <n v="1257.2222222222199"/>
    <n v="4526"/>
  </r>
  <r>
    <x v="0"/>
    <x v="0"/>
    <x v="0"/>
    <x v="0"/>
    <x v="1"/>
    <s v="DK2_Medium"/>
    <x v="3"/>
    <s v="GNR_ENG_NGAS_BP_E-41"/>
    <x v="0"/>
    <x v="16"/>
    <n v="3.4444444444444402"/>
    <n v="1257.2222222222199"/>
    <n v="4526"/>
  </r>
  <r>
    <x v="0"/>
    <x v="0"/>
    <x v="0"/>
    <x v="0"/>
    <x v="1"/>
    <s v="DK2_Medium"/>
    <x v="3"/>
    <s v="GNR_ENG_NGAS_BP_E-41"/>
    <x v="0"/>
    <x v="5"/>
    <n v="3.4444444444444402"/>
    <n v="1257.2222222222199"/>
    <n v="4526"/>
  </r>
  <r>
    <x v="0"/>
    <x v="0"/>
    <x v="0"/>
    <x v="0"/>
    <x v="1"/>
    <s v="DK2_Medium"/>
    <x v="3"/>
    <s v="GNR_ENG_NGAS_BP_E-41"/>
    <x v="0"/>
    <x v="17"/>
    <n v="3.4444444444444402"/>
    <n v="1257.2222222222199"/>
    <n v="4526"/>
  </r>
  <r>
    <x v="0"/>
    <x v="0"/>
    <x v="0"/>
    <x v="0"/>
    <x v="1"/>
    <s v="DK2_Medium"/>
    <x v="3"/>
    <s v="GNR_ENG_NGAS_BP_E-41"/>
    <x v="0"/>
    <x v="18"/>
    <n v="3.4444444444444402"/>
    <n v="1257.2222222222199"/>
    <n v="4526"/>
  </r>
  <r>
    <x v="0"/>
    <x v="0"/>
    <x v="0"/>
    <x v="0"/>
    <x v="1"/>
    <s v="DK2_Medium"/>
    <x v="3"/>
    <s v="GNR_ENG_NGAS_BP_E-41"/>
    <x v="0"/>
    <x v="19"/>
    <n v="3.4444444444444402"/>
    <n v="1257.2222222222199"/>
    <n v="4526"/>
  </r>
  <r>
    <x v="0"/>
    <x v="0"/>
    <x v="0"/>
    <x v="0"/>
    <x v="1"/>
    <s v="DK2_Medium"/>
    <x v="3"/>
    <s v="GNR_ENG_NGAS_BP_E-41"/>
    <x v="0"/>
    <x v="20"/>
    <n v="3.4444444444444402"/>
    <n v="1257.2222222222199"/>
    <n v="4526"/>
  </r>
  <r>
    <x v="0"/>
    <x v="0"/>
    <x v="0"/>
    <x v="0"/>
    <x v="1"/>
    <s v="DK2_Medium"/>
    <x v="3"/>
    <s v="GNR_ENG_NGAS_BP_E-41"/>
    <x v="0"/>
    <x v="21"/>
    <n v="3.4444444444444402"/>
    <n v="1257.2222222222199"/>
    <n v="4526"/>
  </r>
  <r>
    <x v="0"/>
    <x v="0"/>
    <x v="0"/>
    <x v="0"/>
    <x v="1"/>
    <s v="DK2_Medium"/>
    <x v="3"/>
    <s v="GNR_ENG_NGAS_BP_E-41"/>
    <x v="0"/>
    <x v="22"/>
    <n v="3.4444444444444402"/>
    <n v="1257.2222222222199"/>
    <n v="4526"/>
  </r>
  <r>
    <x v="0"/>
    <x v="0"/>
    <x v="0"/>
    <x v="0"/>
    <x v="1"/>
    <s v="DK2_Medium"/>
    <x v="3"/>
    <s v="GNR_ENG_NGAS_BP_E-41"/>
    <x v="0"/>
    <x v="23"/>
    <n v="3.4444444444444402"/>
    <n v="1257.2222222222199"/>
    <n v="4526"/>
  </r>
  <r>
    <x v="0"/>
    <x v="0"/>
    <x v="0"/>
    <x v="0"/>
    <x v="1"/>
    <s v="DK2_Medium"/>
    <x v="3"/>
    <s v="GNR_ENG_NGAS_BP_E-42"/>
    <x v="0"/>
    <x v="6"/>
    <n v="2.2222222222222201"/>
    <n v="811.11111111111097"/>
    <n v="2920"/>
  </r>
  <r>
    <x v="0"/>
    <x v="0"/>
    <x v="0"/>
    <x v="0"/>
    <x v="1"/>
    <s v="DK2_Medium"/>
    <x v="3"/>
    <s v="GNR_ENG_NGAS_BP_E-42"/>
    <x v="0"/>
    <x v="7"/>
    <n v="2.2222222222222201"/>
    <n v="811.11111111111097"/>
    <n v="2920"/>
  </r>
  <r>
    <x v="0"/>
    <x v="0"/>
    <x v="0"/>
    <x v="0"/>
    <x v="1"/>
    <s v="DK2_Medium"/>
    <x v="3"/>
    <s v="GNR_ENG_NGAS_BP_E-42"/>
    <x v="0"/>
    <x v="8"/>
    <n v="2.2222222222222201"/>
    <n v="811.11111111111097"/>
    <n v="2920"/>
  </r>
  <r>
    <x v="0"/>
    <x v="0"/>
    <x v="0"/>
    <x v="0"/>
    <x v="1"/>
    <s v="DK2_Medium"/>
    <x v="3"/>
    <s v="GNR_ENG_NGAS_BP_E-42"/>
    <x v="0"/>
    <x v="9"/>
    <n v="2.2222222222222201"/>
    <n v="811.11111111111097"/>
    <n v="2920"/>
  </r>
  <r>
    <x v="0"/>
    <x v="0"/>
    <x v="0"/>
    <x v="0"/>
    <x v="1"/>
    <s v="DK2_Medium"/>
    <x v="3"/>
    <s v="GNR_ENG_NGAS_BP_E-42"/>
    <x v="0"/>
    <x v="10"/>
    <n v="2.2222222222222201"/>
    <n v="811.11111111111097"/>
    <n v="2920"/>
  </r>
  <r>
    <x v="0"/>
    <x v="0"/>
    <x v="0"/>
    <x v="0"/>
    <x v="1"/>
    <s v="DK2_Medium"/>
    <x v="3"/>
    <s v="GNR_ENG_NGAS_BP_E-42"/>
    <x v="0"/>
    <x v="11"/>
    <n v="2.2222222222222201"/>
    <n v="811.11111111111097"/>
    <n v="2920"/>
  </r>
  <r>
    <x v="0"/>
    <x v="0"/>
    <x v="0"/>
    <x v="0"/>
    <x v="1"/>
    <s v="DK2_Medium"/>
    <x v="3"/>
    <s v="GNR_ENG_NGAS_BP_E-42"/>
    <x v="0"/>
    <x v="0"/>
    <n v="2.2222222222222201"/>
    <n v="811.11111111111097"/>
    <n v="2920"/>
  </r>
  <r>
    <x v="0"/>
    <x v="0"/>
    <x v="0"/>
    <x v="0"/>
    <x v="1"/>
    <s v="DK2_Medium"/>
    <x v="3"/>
    <s v="GNR_ENG_NGAS_BP_E-42"/>
    <x v="0"/>
    <x v="1"/>
    <n v="2.2222222222222201"/>
    <n v="811.11111111111097"/>
    <n v="2920"/>
  </r>
  <r>
    <x v="0"/>
    <x v="0"/>
    <x v="0"/>
    <x v="0"/>
    <x v="1"/>
    <s v="DK2_Medium"/>
    <x v="3"/>
    <s v="GNR_ENG_NGAS_BP_E-42"/>
    <x v="0"/>
    <x v="2"/>
    <n v="2.2222222222222201"/>
    <n v="811.11111111111097"/>
    <n v="2920"/>
  </r>
  <r>
    <x v="0"/>
    <x v="0"/>
    <x v="0"/>
    <x v="0"/>
    <x v="1"/>
    <s v="DK2_Medium"/>
    <x v="3"/>
    <s v="GNR_ENG_NGAS_BP_E-42"/>
    <x v="0"/>
    <x v="3"/>
    <n v="2.2222222222222201"/>
    <n v="811.11111111111097"/>
    <n v="2920"/>
  </r>
  <r>
    <x v="0"/>
    <x v="0"/>
    <x v="0"/>
    <x v="0"/>
    <x v="1"/>
    <s v="DK2_Medium"/>
    <x v="3"/>
    <s v="GNR_ENG_NGAS_BP_E-42"/>
    <x v="0"/>
    <x v="12"/>
    <n v="2.2222222222222201"/>
    <n v="811.11111111111097"/>
    <n v="2920"/>
  </r>
  <r>
    <x v="0"/>
    <x v="0"/>
    <x v="0"/>
    <x v="0"/>
    <x v="1"/>
    <s v="DK2_Medium"/>
    <x v="3"/>
    <s v="GNR_ENG_NGAS_BP_E-42"/>
    <x v="0"/>
    <x v="13"/>
    <n v="2.2222222222222201"/>
    <n v="811.11111111111097"/>
    <n v="2920"/>
  </r>
  <r>
    <x v="0"/>
    <x v="0"/>
    <x v="0"/>
    <x v="0"/>
    <x v="1"/>
    <s v="DK2_Medium"/>
    <x v="3"/>
    <s v="GNR_ENG_NGAS_BP_E-42"/>
    <x v="0"/>
    <x v="14"/>
    <n v="2.2222222222222201"/>
    <n v="811.11111111111097"/>
    <n v="2920"/>
  </r>
  <r>
    <x v="0"/>
    <x v="0"/>
    <x v="0"/>
    <x v="0"/>
    <x v="1"/>
    <s v="DK2_Medium"/>
    <x v="3"/>
    <s v="GNR_ENG_NGAS_BP_E-42"/>
    <x v="0"/>
    <x v="15"/>
    <n v="2.2222222222222201"/>
    <n v="811.11111111111097"/>
    <n v="2920"/>
  </r>
  <r>
    <x v="0"/>
    <x v="0"/>
    <x v="0"/>
    <x v="0"/>
    <x v="1"/>
    <s v="DK2_Medium"/>
    <x v="3"/>
    <s v="GNR_ENG_NGAS_BP_E-42"/>
    <x v="0"/>
    <x v="4"/>
    <n v="2.2222222222222201"/>
    <n v="811.11111111111097"/>
    <n v="2920"/>
  </r>
  <r>
    <x v="0"/>
    <x v="0"/>
    <x v="0"/>
    <x v="0"/>
    <x v="1"/>
    <s v="DK2_Medium"/>
    <x v="3"/>
    <s v="GNR_ENG_NGAS_BP_E-42"/>
    <x v="0"/>
    <x v="16"/>
    <n v="2.2222222222222201"/>
    <n v="811.11111111111097"/>
    <n v="2920"/>
  </r>
  <r>
    <x v="0"/>
    <x v="0"/>
    <x v="0"/>
    <x v="0"/>
    <x v="1"/>
    <s v="DK2_Medium"/>
    <x v="3"/>
    <s v="GNR_ENG_NGAS_BP_E-42"/>
    <x v="0"/>
    <x v="5"/>
    <n v="2.2222222222222201"/>
    <n v="811.11111111111097"/>
    <n v="2920"/>
  </r>
  <r>
    <x v="0"/>
    <x v="0"/>
    <x v="0"/>
    <x v="0"/>
    <x v="1"/>
    <s v="DK2_Medium"/>
    <x v="3"/>
    <s v="GNR_ENG_NGAS_BP_E-42"/>
    <x v="0"/>
    <x v="17"/>
    <n v="2.2222222222222201"/>
    <n v="811.11111111111097"/>
    <n v="2920"/>
  </r>
  <r>
    <x v="0"/>
    <x v="0"/>
    <x v="0"/>
    <x v="0"/>
    <x v="1"/>
    <s v="DK2_Medium"/>
    <x v="3"/>
    <s v="GNR_ENG_NGAS_BP_E-42"/>
    <x v="0"/>
    <x v="18"/>
    <n v="2.2222222222222201"/>
    <n v="811.11111111111097"/>
    <n v="2920"/>
  </r>
  <r>
    <x v="0"/>
    <x v="0"/>
    <x v="0"/>
    <x v="0"/>
    <x v="1"/>
    <s v="DK2_Medium"/>
    <x v="3"/>
    <s v="GNR_ENG_NGAS_BP_E-42"/>
    <x v="0"/>
    <x v="19"/>
    <n v="2.2222222222222201"/>
    <n v="811.11111111111097"/>
    <n v="2920"/>
  </r>
  <r>
    <x v="0"/>
    <x v="0"/>
    <x v="0"/>
    <x v="0"/>
    <x v="1"/>
    <s v="DK2_Medium"/>
    <x v="3"/>
    <s v="GNR_ENG_NGAS_BP_E-42"/>
    <x v="0"/>
    <x v="20"/>
    <n v="2.2222222222222201"/>
    <n v="811.11111111111097"/>
    <n v="2920"/>
  </r>
  <r>
    <x v="0"/>
    <x v="0"/>
    <x v="0"/>
    <x v="0"/>
    <x v="1"/>
    <s v="DK2_Medium"/>
    <x v="3"/>
    <s v="GNR_ENG_NGAS_BP_E-42"/>
    <x v="0"/>
    <x v="21"/>
    <n v="2.2222222222222201"/>
    <n v="811.11111111111097"/>
    <n v="2920"/>
  </r>
  <r>
    <x v="0"/>
    <x v="0"/>
    <x v="0"/>
    <x v="0"/>
    <x v="1"/>
    <s v="DK2_Medium"/>
    <x v="3"/>
    <s v="GNR_ENG_NGAS_BP_E-42"/>
    <x v="0"/>
    <x v="22"/>
    <n v="2.2222222222222201"/>
    <n v="811.11111111111097"/>
    <n v="2920"/>
  </r>
  <r>
    <x v="0"/>
    <x v="0"/>
    <x v="0"/>
    <x v="0"/>
    <x v="1"/>
    <s v="DK2_Medium"/>
    <x v="3"/>
    <s v="GNR_ENG_NGAS_BP_E-42"/>
    <x v="0"/>
    <x v="23"/>
    <n v="2.2222222222222201"/>
    <n v="811.11111111111097"/>
    <n v="2920"/>
  </r>
  <r>
    <x v="0"/>
    <x v="0"/>
    <x v="0"/>
    <x v="0"/>
    <x v="1"/>
    <s v="DK2_Medium"/>
    <x v="3"/>
    <s v="GNR_GT_NGAS_BP_E-42"/>
    <x v="0"/>
    <x v="6"/>
    <n v="62.105263157894697"/>
    <n v="22668.421052631598"/>
    <n v="81606.315789473694"/>
  </r>
  <r>
    <x v="0"/>
    <x v="0"/>
    <x v="0"/>
    <x v="0"/>
    <x v="1"/>
    <s v="DK2_Medium"/>
    <x v="3"/>
    <s v="GNR_GT_NGAS_BP_E-42"/>
    <x v="0"/>
    <x v="7"/>
    <n v="62.105263157894697"/>
    <n v="22668.421052631598"/>
    <n v="81606.315789473694"/>
  </r>
  <r>
    <x v="0"/>
    <x v="0"/>
    <x v="0"/>
    <x v="0"/>
    <x v="1"/>
    <s v="DK2_Medium"/>
    <x v="3"/>
    <s v="GNR_GT_NGAS_BP_E-42"/>
    <x v="0"/>
    <x v="8"/>
    <n v="62.105263157894697"/>
    <n v="22668.421052631598"/>
    <n v="81606.315789473694"/>
  </r>
  <r>
    <x v="0"/>
    <x v="0"/>
    <x v="0"/>
    <x v="0"/>
    <x v="1"/>
    <s v="DK2_Medium"/>
    <x v="3"/>
    <s v="GNR_GT_NGAS_BP_E-42"/>
    <x v="0"/>
    <x v="9"/>
    <n v="62.105263157894697"/>
    <n v="22668.421052631598"/>
    <n v="81606.315789473694"/>
  </r>
  <r>
    <x v="0"/>
    <x v="0"/>
    <x v="0"/>
    <x v="0"/>
    <x v="1"/>
    <s v="DK2_Medium"/>
    <x v="3"/>
    <s v="GNR_GT_NGAS_BP_E-42"/>
    <x v="0"/>
    <x v="10"/>
    <n v="62.105263157894697"/>
    <n v="22668.421052631598"/>
    <n v="81606.315789473694"/>
  </r>
  <r>
    <x v="0"/>
    <x v="0"/>
    <x v="0"/>
    <x v="0"/>
    <x v="1"/>
    <s v="DK2_Medium"/>
    <x v="3"/>
    <s v="GNR_GT_NGAS_BP_E-42"/>
    <x v="0"/>
    <x v="11"/>
    <n v="62.105263157894697"/>
    <n v="22668.421052631598"/>
    <n v="81606.315789473694"/>
  </r>
  <r>
    <x v="0"/>
    <x v="0"/>
    <x v="0"/>
    <x v="0"/>
    <x v="1"/>
    <s v="DK2_Medium"/>
    <x v="3"/>
    <s v="GNR_GT_NGAS_BP_E-42"/>
    <x v="0"/>
    <x v="0"/>
    <n v="62.105263157894697"/>
    <n v="22668.421052631598"/>
    <n v="81606.315789473694"/>
  </r>
  <r>
    <x v="0"/>
    <x v="0"/>
    <x v="0"/>
    <x v="0"/>
    <x v="1"/>
    <s v="DK2_Medium"/>
    <x v="3"/>
    <s v="GNR_GT_NGAS_BP_E-42"/>
    <x v="0"/>
    <x v="1"/>
    <n v="62.105263157894697"/>
    <n v="22668.421052631598"/>
    <n v="81606.315789473694"/>
  </r>
  <r>
    <x v="0"/>
    <x v="0"/>
    <x v="0"/>
    <x v="0"/>
    <x v="1"/>
    <s v="DK2_Medium"/>
    <x v="3"/>
    <s v="GNR_GT_NGAS_BP_E-42"/>
    <x v="0"/>
    <x v="2"/>
    <n v="62.105263157894697"/>
    <n v="22668.421052631598"/>
    <n v="81606.315789473694"/>
  </r>
  <r>
    <x v="0"/>
    <x v="0"/>
    <x v="0"/>
    <x v="0"/>
    <x v="1"/>
    <s v="DK2_Medium"/>
    <x v="3"/>
    <s v="GNR_GT_NGAS_BP_E-42"/>
    <x v="0"/>
    <x v="3"/>
    <n v="62.105263157894697"/>
    <n v="22668.421052631598"/>
    <n v="81606.315789473694"/>
  </r>
  <r>
    <x v="0"/>
    <x v="0"/>
    <x v="0"/>
    <x v="0"/>
    <x v="1"/>
    <s v="DK2_Medium"/>
    <x v="3"/>
    <s v="GNR_GT_NGAS_BP_E-42"/>
    <x v="0"/>
    <x v="12"/>
    <n v="62.105263157894697"/>
    <n v="22668.421052631598"/>
    <n v="81606.315789473694"/>
  </r>
  <r>
    <x v="0"/>
    <x v="0"/>
    <x v="0"/>
    <x v="0"/>
    <x v="1"/>
    <s v="DK2_Medium"/>
    <x v="3"/>
    <s v="GNR_GT_NGAS_BP_E-42"/>
    <x v="0"/>
    <x v="13"/>
    <n v="62.105263157894697"/>
    <n v="22668.421052631598"/>
    <n v="81606.315789473694"/>
  </r>
  <r>
    <x v="0"/>
    <x v="0"/>
    <x v="0"/>
    <x v="0"/>
    <x v="1"/>
    <s v="DK2_Medium"/>
    <x v="3"/>
    <s v="GNR_GT_NGAS_BP_E-42"/>
    <x v="0"/>
    <x v="14"/>
    <n v="62.105263157894697"/>
    <n v="22668.421052631598"/>
    <n v="81606.315789473694"/>
  </r>
  <r>
    <x v="0"/>
    <x v="0"/>
    <x v="0"/>
    <x v="0"/>
    <x v="1"/>
    <s v="DK2_Medium"/>
    <x v="3"/>
    <s v="GNR_GT_NGAS_BP_E-42"/>
    <x v="0"/>
    <x v="15"/>
    <n v="62.105263157894697"/>
    <n v="22668.421052631598"/>
    <n v="81606.315789473694"/>
  </r>
  <r>
    <x v="0"/>
    <x v="0"/>
    <x v="0"/>
    <x v="0"/>
    <x v="1"/>
    <s v="DK2_Medium"/>
    <x v="3"/>
    <s v="GNR_GT_NGAS_BP_E-42"/>
    <x v="0"/>
    <x v="4"/>
    <n v="62.105263157894697"/>
    <n v="22668.421052631598"/>
    <n v="81606.315789473694"/>
  </r>
  <r>
    <x v="0"/>
    <x v="0"/>
    <x v="0"/>
    <x v="0"/>
    <x v="1"/>
    <s v="DK2_Medium"/>
    <x v="3"/>
    <s v="GNR_GT_NGAS_BP_E-42"/>
    <x v="0"/>
    <x v="16"/>
    <n v="62.105263157894697"/>
    <n v="22668.421052631598"/>
    <n v="81606.315789473694"/>
  </r>
  <r>
    <x v="0"/>
    <x v="0"/>
    <x v="0"/>
    <x v="0"/>
    <x v="1"/>
    <s v="DK2_Medium"/>
    <x v="3"/>
    <s v="GNR_GT_NGAS_BP_E-42"/>
    <x v="0"/>
    <x v="5"/>
    <n v="62.105263157894697"/>
    <n v="22668.421052631598"/>
    <n v="81606.315789473694"/>
  </r>
  <r>
    <x v="0"/>
    <x v="0"/>
    <x v="0"/>
    <x v="0"/>
    <x v="1"/>
    <s v="DK2_Medium"/>
    <x v="3"/>
    <s v="GNR_GT_NGAS_BP_E-42"/>
    <x v="0"/>
    <x v="17"/>
    <n v="62.105263157894697"/>
    <n v="22668.421052631598"/>
    <n v="81606.315789473694"/>
  </r>
  <r>
    <x v="0"/>
    <x v="0"/>
    <x v="0"/>
    <x v="0"/>
    <x v="1"/>
    <s v="DK2_Medium"/>
    <x v="3"/>
    <s v="GNR_GT_NGAS_BP_E-42"/>
    <x v="0"/>
    <x v="18"/>
    <n v="62.105263157894697"/>
    <n v="22668.421052631598"/>
    <n v="81606.315789473694"/>
  </r>
  <r>
    <x v="0"/>
    <x v="0"/>
    <x v="0"/>
    <x v="0"/>
    <x v="1"/>
    <s v="DK2_Medium"/>
    <x v="3"/>
    <s v="GNR_GT_NGAS_BP_E-42"/>
    <x v="0"/>
    <x v="19"/>
    <n v="62.105263157894697"/>
    <n v="22668.421052631598"/>
    <n v="81606.315789473694"/>
  </r>
  <r>
    <x v="0"/>
    <x v="0"/>
    <x v="0"/>
    <x v="0"/>
    <x v="1"/>
    <s v="DK2_Medium"/>
    <x v="3"/>
    <s v="GNR_GT_NGAS_BP_E-42"/>
    <x v="0"/>
    <x v="20"/>
    <n v="62.105263157894697"/>
    <n v="22668.421052631598"/>
    <n v="81606.315789473694"/>
  </r>
  <r>
    <x v="0"/>
    <x v="0"/>
    <x v="0"/>
    <x v="0"/>
    <x v="1"/>
    <s v="DK2_Medium"/>
    <x v="3"/>
    <s v="GNR_GT_NGAS_BP_E-42"/>
    <x v="0"/>
    <x v="21"/>
    <n v="62.105263157894697"/>
    <n v="22668.421052631598"/>
    <n v="81606.315789473694"/>
  </r>
  <r>
    <x v="0"/>
    <x v="0"/>
    <x v="0"/>
    <x v="0"/>
    <x v="1"/>
    <s v="DK2_Medium"/>
    <x v="3"/>
    <s v="GNR_GT_NGAS_BP_E-42"/>
    <x v="0"/>
    <x v="22"/>
    <n v="62.105263157894697"/>
    <n v="22668.421052631598"/>
    <n v="81606.315789473694"/>
  </r>
  <r>
    <x v="0"/>
    <x v="0"/>
    <x v="0"/>
    <x v="0"/>
    <x v="1"/>
    <s v="DK2_Medium"/>
    <x v="3"/>
    <s v="GNR_GT_NGAS_BP_E-42"/>
    <x v="0"/>
    <x v="23"/>
    <n v="62.105263157894697"/>
    <n v="22668.421052631598"/>
    <n v="81606.315789473694"/>
  </r>
  <r>
    <x v="0"/>
    <x v="0"/>
    <x v="0"/>
    <x v="0"/>
    <x v="1"/>
    <s v="DK2_Medium"/>
    <x v="3"/>
    <s v="GNR_GT_NGAS_BP_E-44"/>
    <x v="0"/>
    <x v="6"/>
    <n v="81.052631578947398"/>
    <n v="29584.210526315801"/>
    <n v="106503.157894737"/>
  </r>
  <r>
    <x v="0"/>
    <x v="0"/>
    <x v="0"/>
    <x v="0"/>
    <x v="1"/>
    <s v="DK2_Medium"/>
    <x v="3"/>
    <s v="GNR_GT_NGAS_BP_E-44"/>
    <x v="0"/>
    <x v="7"/>
    <n v="81.052631578947398"/>
    <n v="29584.210526315801"/>
    <n v="106503.157894737"/>
  </r>
  <r>
    <x v="0"/>
    <x v="0"/>
    <x v="0"/>
    <x v="0"/>
    <x v="1"/>
    <s v="DK2_Medium"/>
    <x v="3"/>
    <s v="GNR_GT_NGAS_BP_E-44"/>
    <x v="0"/>
    <x v="8"/>
    <n v="81.052631578947398"/>
    <n v="29584.210526315801"/>
    <n v="106503.157894737"/>
  </r>
  <r>
    <x v="0"/>
    <x v="0"/>
    <x v="0"/>
    <x v="0"/>
    <x v="1"/>
    <s v="DK2_Medium"/>
    <x v="3"/>
    <s v="GNR_GT_NGAS_BP_E-44"/>
    <x v="0"/>
    <x v="9"/>
    <n v="81.052631578947398"/>
    <n v="29584.210526315801"/>
    <n v="106503.157894737"/>
  </r>
  <r>
    <x v="0"/>
    <x v="0"/>
    <x v="0"/>
    <x v="0"/>
    <x v="1"/>
    <s v="DK2_Medium"/>
    <x v="3"/>
    <s v="GNR_GT_NGAS_BP_E-44"/>
    <x v="0"/>
    <x v="10"/>
    <n v="81.052631578947398"/>
    <n v="29584.210526315801"/>
    <n v="106503.157894737"/>
  </r>
  <r>
    <x v="0"/>
    <x v="0"/>
    <x v="0"/>
    <x v="0"/>
    <x v="1"/>
    <s v="DK2_Medium"/>
    <x v="3"/>
    <s v="GNR_GT_NGAS_BP_E-44"/>
    <x v="0"/>
    <x v="11"/>
    <n v="81.052631578947398"/>
    <n v="29584.210526315801"/>
    <n v="106503.157894737"/>
  </r>
  <r>
    <x v="0"/>
    <x v="0"/>
    <x v="0"/>
    <x v="0"/>
    <x v="1"/>
    <s v="DK2_Medium"/>
    <x v="3"/>
    <s v="GNR_GT_NGAS_BP_E-44"/>
    <x v="0"/>
    <x v="0"/>
    <n v="81.052631578947398"/>
    <n v="29584.210526315801"/>
    <n v="106503.157894737"/>
  </r>
  <r>
    <x v="0"/>
    <x v="0"/>
    <x v="0"/>
    <x v="0"/>
    <x v="1"/>
    <s v="DK2_Medium"/>
    <x v="3"/>
    <s v="GNR_GT_NGAS_BP_E-44"/>
    <x v="0"/>
    <x v="1"/>
    <n v="81.052631578947398"/>
    <n v="29584.210526315801"/>
    <n v="106503.157894737"/>
  </r>
  <r>
    <x v="0"/>
    <x v="0"/>
    <x v="0"/>
    <x v="0"/>
    <x v="1"/>
    <s v="DK2_Medium"/>
    <x v="3"/>
    <s v="GNR_GT_NGAS_BP_E-44"/>
    <x v="0"/>
    <x v="2"/>
    <n v="81.052631578947398"/>
    <n v="29584.210526315801"/>
    <n v="106503.157894737"/>
  </r>
  <r>
    <x v="0"/>
    <x v="0"/>
    <x v="0"/>
    <x v="0"/>
    <x v="1"/>
    <s v="DK2_Medium"/>
    <x v="3"/>
    <s v="GNR_GT_NGAS_BP_E-44"/>
    <x v="0"/>
    <x v="3"/>
    <n v="81.052631578947398"/>
    <n v="29584.210526315801"/>
    <n v="106503.157894737"/>
  </r>
  <r>
    <x v="0"/>
    <x v="0"/>
    <x v="0"/>
    <x v="0"/>
    <x v="1"/>
    <s v="DK2_Medium"/>
    <x v="3"/>
    <s v="GNR_GT_NGAS_BP_E-44"/>
    <x v="0"/>
    <x v="12"/>
    <n v="81.052631578947398"/>
    <n v="29584.210526315801"/>
    <n v="106503.157894737"/>
  </r>
  <r>
    <x v="0"/>
    <x v="0"/>
    <x v="0"/>
    <x v="0"/>
    <x v="1"/>
    <s v="DK2_Medium"/>
    <x v="3"/>
    <s v="GNR_GT_NGAS_BP_E-44"/>
    <x v="0"/>
    <x v="13"/>
    <n v="81.052631578947398"/>
    <n v="29584.210526315801"/>
    <n v="106503.157894737"/>
  </r>
  <r>
    <x v="0"/>
    <x v="0"/>
    <x v="0"/>
    <x v="0"/>
    <x v="1"/>
    <s v="DK2_Medium"/>
    <x v="3"/>
    <s v="GNR_GT_NGAS_BP_E-44"/>
    <x v="0"/>
    <x v="14"/>
    <n v="81.052631578947398"/>
    <n v="29584.210526315801"/>
    <n v="106503.157894737"/>
  </r>
  <r>
    <x v="0"/>
    <x v="0"/>
    <x v="0"/>
    <x v="0"/>
    <x v="1"/>
    <s v="DK2_Medium"/>
    <x v="3"/>
    <s v="GNR_GT_NGAS_BP_E-44"/>
    <x v="0"/>
    <x v="15"/>
    <n v="81.052631578947398"/>
    <n v="29584.210526315801"/>
    <n v="106503.157894737"/>
  </r>
  <r>
    <x v="0"/>
    <x v="0"/>
    <x v="0"/>
    <x v="0"/>
    <x v="1"/>
    <s v="DK2_Medium"/>
    <x v="3"/>
    <s v="GNR_GT_NGAS_BP_E-44"/>
    <x v="0"/>
    <x v="4"/>
    <n v="81.052631578947398"/>
    <n v="29584.210526315801"/>
    <n v="106503.157894737"/>
  </r>
  <r>
    <x v="0"/>
    <x v="0"/>
    <x v="0"/>
    <x v="0"/>
    <x v="1"/>
    <s v="DK2_Medium"/>
    <x v="3"/>
    <s v="GNR_GT_NGAS_BP_E-44"/>
    <x v="0"/>
    <x v="16"/>
    <n v="81.052631578947398"/>
    <n v="29584.210526315801"/>
    <n v="106503.157894737"/>
  </r>
  <r>
    <x v="0"/>
    <x v="0"/>
    <x v="0"/>
    <x v="0"/>
    <x v="1"/>
    <s v="DK2_Medium"/>
    <x v="3"/>
    <s v="GNR_GT_NGAS_BP_E-44"/>
    <x v="0"/>
    <x v="5"/>
    <n v="81.052631578947398"/>
    <n v="29584.210526315801"/>
    <n v="106503.157894737"/>
  </r>
  <r>
    <x v="0"/>
    <x v="0"/>
    <x v="0"/>
    <x v="0"/>
    <x v="1"/>
    <s v="DK2_Medium"/>
    <x v="3"/>
    <s v="GNR_GT_NGAS_BP_E-44"/>
    <x v="0"/>
    <x v="17"/>
    <n v="81.052631578947398"/>
    <n v="29584.210526315801"/>
    <n v="106503.157894737"/>
  </r>
  <r>
    <x v="0"/>
    <x v="0"/>
    <x v="0"/>
    <x v="0"/>
    <x v="1"/>
    <s v="DK2_Medium"/>
    <x v="3"/>
    <s v="GNR_GT_NGAS_BP_E-44"/>
    <x v="0"/>
    <x v="18"/>
    <n v="81.052631578947398"/>
    <n v="29584.210526315801"/>
    <n v="106503.157894737"/>
  </r>
  <r>
    <x v="0"/>
    <x v="0"/>
    <x v="0"/>
    <x v="0"/>
    <x v="1"/>
    <s v="DK2_Medium"/>
    <x v="3"/>
    <s v="GNR_GT_NGAS_BP_E-44"/>
    <x v="0"/>
    <x v="19"/>
    <n v="81.052631578947398"/>
    <n v="29584.210526315801"/>
    <n v="106503.157894737"/>
  </r>
  <r>
    <x v="0"/>
    <x v="0"/>
    <x v="0"/>
    <x v="0"/>
    <x v="1"/>
    <s v="DK2_Medium"/>
    <x v="3"/>
    <s v="GNR_GT_NGAS_BP_E-44"/>
    <x v="0"/>
    <x v="20"/>
    <n v="81.052631578947398"/>
    <n v="29584.210526315801"/>
    <n v="106503.157894737"/>
  </r>
  <r>
    <x v="0"/>
    <x v="0"/>
    <x v="0"/>
    <x v="0"/>
    <x v="1"/>
    <s v="DK2_Medium"/>
    <x v="3"/>
    <s v="GNR_GT_NGAS_BP_E-44"/>
    <x v="0"/>
    <x v="21"/>
    <n v="81.052631578947398"/>
    <n v="29584.210526315801"/>
    <n v="106503.157894737"/>
  </r>
  <r>
    <x v="0"/>
    <x v="0"/>
    <x v="0"/>
    <x v="0"/>
    <x v="1"/>
    <s v="DK2_Medium"/>
    <x v="3"/>
    <s v="GNR_GT_NGAS_BP_E-44"/>
    <x v="0"/>
    <x v="22"/>
    <n v="81.052631578947398"/>
    <n v="29584.210526315801"/>
    <n v="106503.157894737"/>
  </r>
  <r>
    <x v="0"/>
    <x v="0"/>
    <x v="0"/>
    <x v="0"/>
    <x v="1"/>
    <s v="DK2_Medium"/>
    <x v="3"/>
    <s v="GNR_GT_NGAS_BP_E-44"/>
    <x v="0"/>
    <x v="23"/>
    <n v="81.052631578947398"/>
    <n v="29584.210526315801"/>
    <n v="106503.157894737"/>
  </r>
  <r>
    <x v="0"/>
    <x v="0"/>
    <x v="0"/>
    <x v="0"/>
    <x v="1"/>
    <s v="DK2_Medium"/>
    <x v="6"/>
    <s v="GNR_ST_WOODCHI_BP_E-27"/>
    <x v="0"/>
    <x v="0"/>
    <n v="0.97058823529411797"/>
    <n v="354.26470588235298"/>
    <n v="1275.35294117647"/>
  </r>
  <r>
    <x v="0"/>
    <x v="0"/>
    <x v="0"/>
    <x v="0"/>
    <x v="1"/>
    <s v="DK2_Medium"/>
    <x v="6"/>
    <s v="GNR_ST_WOODCHI_BP_E-27"/>
    <x v="0"/>
    <x v="1"/>
    <n v="0.97058823529411797"/>
    <n v="354.26470588235298"/>
    <n v="1275.35294117647"/>
  </r>
  <r>
    <x v="0"/>
    <x v="0"/>
    <x v="0"/>
    <x v="0"/>
    <x v="1"/>
    <s v="DK2_Medium"/>
    <x v="6"/>
    <s v="GNR_ST_WOODCHI_BP_E-27"/>
    <x v="0"/>
    <x v="2"/>
    <n v="0.97058823529411797"/>
    <n v="354.26470588235298"/>
    <n v="1275.35294117647"/>
  </r>
  <r>
    <x v="0"/>
    <x v="0"/>
    <x v="0"/>
    <x v="0"/>
    <x v="1"/>
    <s v="DK2_Medium"/>
    <x v="6"/>
    <s v="GNR_ST_WOODCHI_BP_E-27"/>
    <x v="0"/>
    <x v="3"/>
    <n v="0.97058823529411797"/>
    <n v="354.26470588235298"/>
    <n v="1275.35294117647"/>
  </r>
  <r>
    <x v="0"/>
    <x v="0"/>
    <x v="0"/>
    <x v="0"/>
    <x v="1"/>
    <s v="DK2_Medium"/>
    <x v="6"/>
    <s v="GNR_ST_WOODCHI_BP_E-27"/>
    <x v="0"/>
    <x v="12"/>
    <n v="0.97058823529411797"/>
    <n v="354.26470588235298"/>
    <n v="1275.35294117647"/>
  </r>
  <r>
    <x v="0"/>
    <x v="0"/>
    <x v="0"/>
    <x v="0"/>
    <x v="1"/>
    <s v="DK2_Medium"/>
    <x v="6"/>
    <s v="GNR_ST_WOODCHI_BP_E-27"/>
    <x v="0"/>
    <x v="4"/>
    <n v="0.97058823529411797"/>
    <n v="354.26470588235298"/>
    <n v="1275.35294117647"/>
  </r>
  <r>
    <x v="0"/>
    <x v="0"/>
    <x v="0"/>
    <x v="0"/>
    <x v="1"/>
    <s v="DK2_Medium"/>
    <x v="6"/>
    <s v="GNR_ST_WOODCHI_BP_E-27"/>
    <x v="0"/>
    <x v="16"/>
    <n v="0.97058823529411797"/>
    <n v="354.26470588235298"/>
    <n v="1275.35294117647"/>
  </r>
  <r>
    <x v="0"/>
    <x v="0"/>
    <x v="0"/>
    <x v="0"/>
    <x v="1"/>
    <s v="DK2_Medium"/>
    <x v="6"/>
    <s v="GNR_ST_WOODCHI_BP_E-27"/>
    <x v="0"/>
    <x v="5"/>
    <n v="0.97058823529411797"/>
    <n v="354.26470588235298"/>
    <n v="1275.35294117647"/>
  </r>
  <r>
    <x v="0"/>
    <x v="0"/>
    <x v="0"/>
    <x v="0"/>
    <x v="1"/>
    <s v="DK2_Medium"/>
    <x v="6"/>
    <s v="GNR_ST_WOODCHI_BP_E-27"/>
    <x v="0"/>
    <x v="17"/>
    <n v="0.97058823529411797"/>
    <n v="354.26470588235298"/>
    <n v="1275.35294117647"/>
  </r>
  <r>
    <x v="0"/>
    <x v="0"/>
    <x v="0"/>
    <x v="0"/>
    <x v="1"/>
    <s v="DK2_Medium"/>
    <x v="6"/>
    <s v="GNR_ST_WOODCHI_BP_E-27"/>
    <x v="0"/>
    <x v="18"/>
    <n v="0.97058823529411797"/>
    <n v="354.26470588235298"/>
    <n v="1275.35294117647"/>
  </r>
  <r>
    <x v="0"/>
    <x v="0"/>
    <x v="0"/>
    <x v="0"/>
    <x v="1"/>
    <s v="DK2_NoDH"/>
    <x v="3"/>
    <s v="GNR_ENG_NGAS_BP_E-33"/>
    <x v="0"/>
    <x v="0"/>
    <n v="1.7777777777777799"/>
    <n v="648.88888888888903"/>
    <n v="2336"/>
  </r>
  <r>
    <x v="0"/>
    <x v="0"/>
    <x v="0"/>
    <x v="0"/>
    <x v="1"/>
    <s v="DK2_NoDH"/>
    <x v="3"/>
    <s v="GNR_ENG_NGAS_BP_E-33"/>
    <x v="0"/>
    <x v="1"/>
    <n v="1.7777777777777799"/>
    <n v="648.88888888888903"/>
    <n v="2336"/>
  </r>
  <r>
    <x v="0"/>
    <x v="0"/>
    <x v="0"/>
    <x v="0"/>
    <x v="1"/>
    <s v="DK2_NoDH"/>
    <x v="3"/>
    <s v="GNR_ENG_NGAS_BP_E-33"/>
    <x v="0"/>
    <x v="2"/>
    <n v="1.7777777777777799"/>
    <n v="648.88888888888903"/>
    <n v="2336"/>
  </r>
  <r>
    <x v="0"/>
    <x v="0"/>
    <x v="0"/>
    <x v="0"/>
    <x v="1"/>
    <s v="DK2_NoDH"/>
    <x v="3"/>
    <s v="GNR_ENG_NGAS_BP_E-33"/>
    <x v="0"/>
    <x v="3"/>
    <n v="1.7777777777777799"/>
    <n v="648.88888888888903"/>
    <n v="2336"/>
  </r>
  <r>
    <x v="0"/>
    <x v="0"/>
    <x v="0"/>
    <x v="0"/>
    <x v="1"/>
    <s v="DK2_NoDH"/>
    <x v="3"/>
    <s v="GNR_ENG_NGAS_BP_E-33"/>
    <x v="0"/>
    <x v="12"/>
    <n v="1.7777777777777799"/>
    <n v="648.88888888888903"/>
    <n v="2336"/>
  </r>
  <r>
    <x v="0"/>
    <x v="0"/>
    <x v="0"/>
    <x v="0"/>
    <x v="1"/>
    <s v="DK2_NoDH"/>
    <x v="3"/>
    <s v="GNR_ENG_NGAS_BP_E-33"/>
    <x v="0"/>
    <x v="13"/>
    <n v="1.7777777777777799"/>
    <n v="648.88888888888903"/>
    <n v="2336"/>
  </r>
  <r>
    <x v="0"/>
    <x v="0"/>
    <x v="0"/>
    <x v="0"/>
    <x v="1"/>
    <s v="DK2_NoDH"/>
    <x v="3"/>
    <s v="GNR_ENG_NGAS_BP_E-33"/>
    <x v="0"/>
    <x v="14"/>
    <n v="1.7777777777777799"/>
    <n v="648.88888888888903"/>
    <n v="2336"/>
  </r>
  <r>
    <x v="0"/>
    <x v="0"/>
    <x v="0"/>
    <x v="0"/>
    <x v="1"/>
    <s v="DK2_NoDH"/>
    <x v="3"/>
    <s v="GNR_ENG_NGAS_BP_E-33"/>
    <x v="0"/>
    <x v="15"/>
    <n v="1.7777777777777799"/>
    <n v="648.88888888888903"/>
    <n v="2336"/>
  </r>
  <r>
    <x v="0"/>
    <x v="0"/>
    <x v="0"/>
    <x v="0"/>
    <x v="1"/>
    <s v="DK2_NoDH"/>
    <x v="3"/>
    <s v="GNR_ENG_NGAS_BP_E-33"/>
    <x v="0"/>
    <x v="4"/>
    <n v="1.7777777777777799"/>
    <n v="648.88888888888903"/>
    <n v="2336"/>
  </r>
  <r>
    <x v="0"/>
    <x v="0"/>
    <x v="0"/>
    <x v="0"/>
    <x v="1"/>
    <s v="DK2_NoDH"/>
    <x v="3"/>
    <s v="GNR_ENG_NGAS_BP_E-33"/>
    <x v="0"/>
    <x v="16"/>
    <n v="1.7777777777777799"/>
    <n v="648.88888888888903"/>
    <n v="2336"/>
  </r>
  <r>
    <x v="0"/>
    <x v="0"/>
    <x v="0"/>
    <x v="0"/>
    <x v="1"/>
    <s v="DK2_NoDH"/>
    <x v="3"/>
    <s v="GNR_ENG_NGAS_BP_E-33"/>
    <x v="0"/>
    <x v="5"/>
    <n v="1.7777777777777799"/>
    <n v="648.88888888888903"/>
    <n v="2336"/>
  </r>
  <r>
    <x v="0"/>
    <x v="0"/>
    <x v="0"/>
    <x v="0"/>
    <x v="1"/>
    <s v="DK2_NoDH"/>
    <x v="3"/>
    <s v="GNR_ENG_NGAS_BP_E-33"/>
    <x v="0"/>
    <x v="17"/>
    <n v="1.7777777777777799"/>
    <n v="648.88888888888903"/>
    <n v="2336"/>
  </r>
  <r>
    <x v="0"/>
    <x v="0"/>
    <x v="0"/>
    <x v="0"/>
    <x v="1"/>
    <s v="DK2_NoDH"/>
    <x v="3"/>
    <s v="GNR_ENG_NGAS_BP_E-33"/>
    <x v="0"/>
    <x v="18"/>
    <n v="1.7777777777777799"/>
    <n v="648.88888888888903"/>
    <n v="2336"/>
  </r>
  <r>
    <x v="0"/>
    <x v="0"/>
    <x v="0"/>
    <x v="0"/>
    <x v="1"/>
    <s v="DK2_NoDH"/>
    <x v="3"/>
    <s v="GNR_ENG_NGAS_BP_E-33"/>
    <x v="0"/>
    <x v="19"/>
    <n v="1.7777777777777799"/>
    <n v="648.88888888888903"/>
    <n v="2336"/>
  </r>
  <r>
    <x v="0"/>
    <x v="0"/>
    <x v="0"/>
    <x v="0"/>
    <x v="1"/>
    <s v="DK2_NoDH"/>
    <x v="3"/>
    <s v="GNR_ENG_NGAS_BP_E-34"/>
    <x v="0"/>
    <x v="11"/>
    <n v="7.0222222222222204"/>
    <n v="2563.1111111111099"/>
    <n v="9227.2000000000007"/>
  </r>
  <r>
    <x v="0"/>
    <x v="0"/>
    <x v="0"/>
    <x v="0"/>
    <x v="1"/>
    <s v="DK2_NoDH"/>
    <x v="3"/>
    <s v="GNR_ENG_NGAS_BP_E-34"/>
    <x v="0"/>
    <x v="0"/>
    <n v="7.0222222222222204"/>
    <n v="2563.1111111111099"/>
    <n v="9227.2000000000007"/>
  </r>
  <r>
    <x v="0"/>
    <x v="0"/>
    <x v="0"/>
    <x v="0"/>
    <x v="1"/>
    <s v="DK2_NoDH"/>
    <x v="3"/>
    <s v="GNR_ENG_NGAS_BP_E-34"/>
    <x v="0"/>
    <x v="1"/>
    <n v="7.0222222222222204"/>
    <n v="2563.1111111111099"/>
    <n v="9227.2000000000007"/>
  </r>
  <r>
    <x v="0"/>
    <x v="0"/>
    <x v="0"/>
    <x v="0"/>
    <x v="1"/>
    <s v="DK2_NoDH"/>
    <x v="3"/>
    <s v="GNR_ENG_NGAS_BP_E-34"/>
    <x v="0"/>
    <x v="2"/>
    <n v="7.0222222222222204"/>
    <n v="2563.1111111111099"/>
    <n v="9227.2000000000007"/>
  </r>
  <r>
    <x v="0"/>
    <x v="0"/>
    <x v="0"/>
    <x v="0"/>
    <x v="1"/>
    <s v="DK2_NoDH"/>
    <x v="3"/>
    <s v="GNR_ENG_NGAS_BP_E-34"/>
    <x v="0"/>
    <x v="3"/>
    <n v="7.0222222222222204"/>
    <n v="2563.1111111111099"/>
    <n v="9227.2000000000007"/>
  </r>
  <r>
    <x v="0"/>
    <x v="0"/>
    <x v="0"/>
    <x v="0"/>
    <x v="1"/>
    <s v="DK2_NoDH"/>
    <x v="3"/>
    <s v="GNR_ENG_NGAS_BP_E-34"/>
    <x v="0"/>
    <x v="12"/>
    <n v="7.0222222222222204"/>
    <n v="2563.1111111111099"/>
    <n v="9227.2000000000007"/>
  </r>
  <r>
    <x v="0"/>
    <x v="0"/>
    <x v="0"/>
    <x v="0"/>
    <x v="1"/>
    <s v="DK2_NoDH"/>
    <x v="3"/>
    <s v="GNR_ENG_NGAS_BP_E-34"/>
    <x v="0"/>
    <x v="13"/>
    <n v="7.0222222222222204"/>
    <n v="2563.1111111111099"/>
    <n v="9227.2000000000007"/>
  </r>
  <r>
    <x v="0"/>
    <x v="0"/>
    <x v="0"/>
    <x v="0"/>
    <x v="1"/>
    <s v="DK2_NoDH"/>
    <x v="3"/>
    <s v="GNR_ENG_NGAS_BP_E-34"/>
    <x v="0"/>
    <x v="14"/>
    <n v="7.0222222222222204"/>
    <n v="2563.1111111111099"/>
    <n v="9227.2000000000007"/>
  </r>
  <r>
    <x v="0"/>
    <x v="0"/>
    <x v="0"/>
    <x v="0"/>
    <x v="1"/>
    <s v="DK2_NoDH"/>
    <x v="3"/>
    <s v="GNR_ENG_NGAS_BP_E-34"/>
    <x v="0"/>
    <x v="15"/>
    <n v="7.0222222222222204"/>
    <n v="2563.1111111111099"/>
    <n v="9227.2000000000007"/>
  </r>
  <r>
    <x v="0"/>
    <x v="0"/>
    <x v="0"/>
    <x v="0"/>
    <x v="1"/>
    <s v="DK2_NoDH"/>
    <x v="3"/>
    <s v="GNR_ENG_NGAS_BP_E-34"/>
    <x v="0"/>
    <x v="4"/>
    <n v="7.0222222222222204"/>
    <n v="2563.1111111111099"/>
    <n v="9227.2000000000007"/>
  </r>
  <r>
    <x v="0"/>
    <x v="0"/>
    <x v="0"/>
    <x v="0"/>
    <x v="1"/>
    <s v="DK2_NoDH"/>
    <x v="3"/>
    <s v="GNR_ENG_NGAS_BP_E-34"/>
    <x v="0"/>
    <x v="16"/>
    <n v="7.0222222222222204"/>
    <n v="2563.1111111111099"/>
    <n v="9227.2000000000007"/>
  </r>
  <r>
    <x v="0"/>
    <x v="0"/>
    <x v="0"/>
    <x v="0"/>
    <x v="1"/>
    <s v="DK2_NoDH"/>
    <x v="3"/>
    <s v="GNR_ENG_NGAS_BP_E-34"/>
    <x v="0"/>
    <x v="5"/>
    <n v="7.0222222222222204"/>
    <n v="2563.1111111111099"/>
    <n v="9227.2000000000007"/>
  </r>
  <r>
    <x v="0"/>
    <x v="0"/>
    <x v="0"/>
    <x v="0"/>
    <x v="1"/>
    <s v="DK2_NoDH"/>
    <x v="3"/>
    <s v="GNR_ENG_NGAS_BP_E-34"/>
    <x v="0"/>
    <x v="17"/>
    <n v="7.0222222222222204"/>
    <n v="2563.1111111111099"/>
    <n v="9227.2000000000007"/>
  </r>
  <r>
    <x v="0"/>
    <x v="0"/>
    <x v="0"/>
    <x v="0"/>
    <x v="1"/>
    <s v="DK2_NoDH"/>
    <x v="3"/>
    <s v="GNR_ENG_NGAS_BP_E-34"/>
    <x v="0"/>
    <x v="18"/>
    <n v="7.0222222222222204"/>
    <n v="2563.1111111111099"/>
    <n v="9227.2000000000007"/>
  </r>
  <r>
    <x v="0"/>
    <x v="0"/>
    <x v="0"/>
    <x v="0"/>
    <x v="1"/>
    <s v="DK2_NoDH"/>
    <x v="3"/>
    <s v="GNR_ENG_NGAS_BP_E-34"/>
    <x v="0"/>
    <x v="19"/>
    <n v="7.0222222222222204"/>
    <n v="2563.1111111111099"/>
    <n v="9227.2000000000007"/>
  </r>
  <r>
    <x v="0"/>
    <x v="0"/>
    <x v="0"/>
    <x v="0"/>
    <x v="1"/>
    <s v="DK2_NoDH"/>
    <x v="3"/>
    <s v="GNR_ENG_NGAS_BP_E-34"/>
    <x v="0"/>
    <x v="20"/>
    <n v="7.0222222222222204"/>
    <n v="2563.1111111111099"/>
    <n v="9227.2000000000007"/>
  </r>
  <r>
    <x v="0"/>
    <x v="0"/>
    <x v="0"/>
    <x v="0"/>
    <x v="1"/>
    <s v="DK2_NoDH"/>
    <x v="3"/>
    <s v="GNR_ENG_NGAS_BP_E-35"/>
    <x v="0"/>
    <x v="10"/>
    <n v="5.8"/>
    <n v="2117"/>
    <n v="7621.2"/>
  </r>
  <r>
    <x v="0"/>
    <x v="0"/>
    <x v="0"/>
    <x v="0"/>
    <x v="1"/>
    <s v="DK2_NoDH"/>
    <x v="3"/>
    <s v="GNR_ENG_NGAS_BP_E-35"/>
    <x v="0"/>
    <x v="11"/>
    <n v="5.8"/>
    <n v="2117"/>
    <n v="7621.2"/>
  </r>
  <r>
    <x v="0"/>
    <x v="0"/>
    <x v="0"/>
    <x v="0"/>
    <x v="1"/>
    <s v="DK2_NoDH"/>
    <x v="3"/>
    <s v="GNR_ENG_NGAS_BP_E-35"/>
    <x v="0"/>
    <x v="0"/>
    <n v="5.8"/>
    <n v="2117"/>
    <n v="7621.2"/>
  </r>
  <r>
    <x v="0"/>
    <x v="0"/>
    <x v="0"/>
    <x v="0"/>
    <x v="1"/>
    <s v="DK2_NoDH"/>
    <x v="3"/>
    <s v="GNR_ENG_NGAS_BP_E-35"/>
    <x v="0"/>
    <x v="1"/>
    <n v="5.8"/>
    <n v="2117"/>
    <n v="7621.2"/>
  </r>
  <r>
    <x v="0"/>
    <x v="0"/>
    <x v="0"/>
    <x v="0"/>
    <x v="1"/>
    <s v="DK2_NoDH"/>
    <x v="3"/>
    <s v="GNR_ENG_NGAS_BP_E-35"/>
    <x v="0"/>
    <x v="2"/>
    <n v="5.8"/>
    <n v="2117"/>
    <n v="7621.2"/>
  </r>
  <r>
    <x v="0"/>
    <x v="0"/>
    <x v="0"/>
    <x v="0"/>
    <x v="1"/>
    <s v="DK2_NoDH"/>
    <x v="3"/>
    <s v="GNR_ENG_NGAS_BP_E-35"/>
    <x v="0"/>
    <x v="3"/>
    <n v="5.8"/>
    <n v="2117"/>
    <n v="7621.2"/>
  </r>
  <r>
    <x v="0"/>
    <x v="0"/>
    <x v="0"/>
    <x v="0"/>
    <x v="1"/>
    <s v="DK2_NoDH"/>
    <x v="3"/>
    <s v="GNR_ENG_NGAS_BP_E-35"/>
    <x v="0"/>
    <x v="12"/>
    <n v="5.8"/>
    <n v="2117"/>
    <n v="7621.2"/>
  </r>
  <r>
    <x v="0"/>
    <x v="0"/>
    <x v="0"/>
    <x v="0"/>
    <x v="1"/>
    <s v="DK2_NoDH"/>
    <x v="3"/>
    <s v="GNR_ENG_NGAS_BP_E-35"/>
    <x v="0"/>
    <x v="13"/>
    <n v="5.8"/>
    <n v="2117"/>
    <n v="7621.2"/>
  </r>
  <r>
    <x v="0"/>
    <x v="0"/>
    <x v="0"/>
    <x v="0"/>
    <x v="1"/>
    <s v="DK2_NoDH"/>
    <x v="3"/>
    <s v="GNR_ENG_NGAS_BP_E-35"/>
    <x v="0"/>
    <x v="14"/>
    <n v="5.8"/>
    <n v="2117"/>
    <n v="7621.2"/>
  </r>
  <r>
    <x v="0"/>
    <x v="0"/>
    <x v="0"/>
    <x v="0"/>
    <x v="1"/>
    <s v="DK2_NoDH"/>
    <x v="3"/>
    <s v="GNR_ENG_NGAS_BP_E-35"/>
    <x v="0"/>
    <x v="15"/>
    <n v="5.8"/>
    <n v="2117"/>
    <n v="7621.2"/>
  </r>
  <r>
    <x v="0"/>
    <x v="0"/>
    <x v="0"/>
    <x v="0"/>
    <x v="1"/>
    <s v="DK2_NoDH"/>
    <x v="3"/>
    <s v="GNR_ENG_NGAS_BP_E-35"/>
    <x v="0"/>
    <x v="4"/>
    <n v="5.8"/>
    <n v="2117"/>
    <n v="7621.2"/>
  </r>
  <r>
    <x v="0"/>
    <x v="0"/>
    <x v="0"/>
    <x v="0"/>
    <x v="1"/>
    <s v="DK2_NoDH"/>
    <x v="3"/>
    <s v="GNR_ENG_NGAS_BP_E-35"/>
    <x v="0"/>
    <x v="16"/>
    <n v="5.8"/>
    <n v="2117"/>
    <n v="7621.2"/>
  </r>
  <r>
    <x v="0"/>
    <x v="0"/>
    <x v="0"/>
    <x v="0"/>
    <x v="1"/>
    <s v="DK2_NoDH"/>
    <x v="3"/>
    <s v="GNR_ENG_NGAS_BP_E-35"/>
    <x v="0"/>
    <x v="5"/>
    <n v="5.8"/>
    <n v="2117"/>
    <n v="7621.2"/>
  </r>
  <r>
    <x v="0"/>
    <x v="0"/>
    <x v="0"/>
    <x v="0"/>
    <x v="1"/>
    <s v="DK2_NoDH"/>
    <x v="3"/>
    <s v="GNR_ENG_NGAS_BP_E-35"/>
    <x v="0"/>
    <x v="17"/>
    <n v="5.8"/>
    <n v="2117"/>
    <n v="7621.2"/>
  </r>
  <r>
    <x v="0"/>
    <x v="0"/>
    <x v="0"/>
    <x v="0"/>
    <x v="1"/>
    <s v="DK2_NoDH"/>
    <x v="3"/>
    <s v="GNR_ENG_NGAS_BP_E-35"/>
    <x v="0"/>
    <x v="18"/>
    <n v="5.8"/>
    <n v="2117"/>
    <n v="7621.2"/>
  </r>
  <r>
    <x v="0"/>
    <x v="0"/>
    <x v="0"/>
    <x v="0"/>
    <x v="1"/>
    <s v="DK2_NoDH"/>
    <x v="3"/>
    <s v="GNR_ENG_NGAS_BP_E-35"/>
    <x v="0"/>
    <x v="19"/>
    <n v="5.8"/>
    <n v="2117"/>
    <n v="7621.2"/>
  </r>
  <r>
    <x v="0"/>
    <x v="0"/>
    <x v="0"/>
    <x v="0"/>
    <x v="1"/>
    <s v="DK2_NoDH"/>
    <x v="3"/>
    <s v="GNR_ENG_NGAS_BP_E-35"/>
    <x v="0"/>
    <x v="20"/>
    <n v="5.8"/>
    <n v="2117"/>
    <n v="7621.2"/>
  </r>
  <r>
    <x v="0"/>
    <x v="0"/>
    <x v="0"/>
    <x v="0"/>
    <x v="1"/>
    <s v="DK2_NoDH"/>
    <x v="3"/>
    <s v="GNR_ENG_NGAS_BP_E-36"/>
    <x v="0"/>
    <x v="6"/>
    <n v="3.9222222222222198"/>
    <n v="1431.6111111111099"/>
    <n v="5153.8"/>
  </r>
  <r>
    <x v="0"/>
    <x v="0"/>
    <x v="0"/>
    <x v="0"/>
    <x v="1"/>
    <s v="DK2_NoDH"/>
    <x v="3"/>
    <s v="GNR_ENG_NGAS_BP_E-36"/>
    <x v="0"/>
    <x v="7"/>
    <n v="3.9222222222222198"/>
    <n v="1431.6111111111099"/>
    <n v="5153.8"/>
  </r>
  <r>
    <x v="0"/>
    <x v="0"/>
    <x v="0"/>
    <x v="0"/>
    <x v="1"/>
    <s v="DK2_NoDH"/>
    <x v="3"/>
    <s v="GNR_ENG_NGAS_BP_E-36"/>
    <x v="0"/>
    <x v="8"/>
    <n v="3.9222222222222198"/>
    <n v="1431.6111111111099"/>
    <n v="5153.8"/>
  </r>
  <r>
    <x v="0"/>
    <x v="0"/>
    <x v="0"/>
    <x v="0"/>
    <x v="1"/>
    <s v="DK2_NoDH"/>
    <x v="3"/>
    <s v="GNR_ENG_NGAS_BP_E-36"/>
    <x v="0"/>
    <x v="9"/>
    <n v="3.9222222222222198"/>
    <n v="1431.6111111111099"/>
    <n v="5153.8"/>
  </r>
  <r>
    <x v="0"/>
    <x v="0"/>
    <x v="0"/>
    <x v="0"/>
    <x v="1"/>
    <s v="DK2_NoDH"/>
    <x v="3"/>
    <s v="GNR_ENG_NGAS_BP_E-36"/>
    <x v="0"/>
    <x v="10"/>
    <n v="3.9222222222222198"/>
    <n v="1431.6111111111099"/>
    <n v="5153.8"/>
  </r>
  <r>
    <x v="0"/>
    <x v="0"/>
    <x v="0"/>
    <x v="0"/>
    <x v="1"/>
    <s v="DK2_NoDH"/>
    <x v="3"/>
    <s v="GNR_ENG_NGAS_BP_E-36"/>
    <x v="0"/>
    <x v="11"/>
    <n v="3.9222222222222198"/>
    <n v="1431.6111111111099"/>
    <n v="5153.8"/>
  </r>
  <r>
    <x v="0"/>
    <x v="0"/>
    <x v="0"/>
    <x v="0"/>
    <x v="1"/>
    <s v="DK2_NoDH"/>
    <x v="3"/>
    <s v="GNR_ENG_NGAS_BP_E-36"/>
    <x v="0"/>
    <x v="0"/>
    <n v="3.9222222222222198"/>
    <n v="1431.6111111111099"/>
    <n v="5153.8"/>
  </r>
  <r>
    <x v="0"/>
    <x v="0"/>
    <x v="0"/>
    <x v="0"/>
    <x v="1"/>
    <s v="DK2_NoDH"/>
    <x v="3"/>
    <s v="GNR_ENG_NGAS_BP_E-36"/>
    <x v="0"/>
    <x v="1"/>
    <n v="3.9222222222222198"/>
    <n v="1431.6111111111099"/>
    <n v="5153.8"/>
  </r>
  <r>
    <x v="0"/>
    <x v="0"/>
    <x v="0"/>
    <x v="0"/>
    <x v="1"/>
    <s v="DK2_NoDH"/>
    <x v="3"/>
    <s v="GNR_ENG_NGAS_BP_E-36"/>
    <x v="0"/>
    <x v="2"/>
    <n v="3.9222222222222198"/>
    <n v="1431.6111111111099"/>
    <n v="5153.8"/>
  </r>
  <r>
    <x v="0"/>
    <x v="0"/>
    <x v="0"/>
    <x v="0"/>
    <x v="1"/>
    <s v="DK2_NoDH"/>
    <x v="3"/>
    <s v="GNR_ENG_NGAS_BP_E-36"/>
    <x v="0"/>
    <x v="3"/>
    <n v="3.9222222222222198"/>
    <n v="1431.6111111111099"/>
    <n v="5153.8"/>
  </r>
  <r>
    <x v="0"/>
    <x v="0"/>
    <x v="0"/>
    <x v="0"/>
    <x v="1"/>
    <s v="DK2_NoDH"/>
    <x v="3"/>
    <s v="GNR_ENG_NGAS_BP_E-36"/>
    <x v="0"/>
    <x v="12"/>
    <n v="3.9222222222222198"/>
    <n v="1431.6111111111099"/>
    <n v="5153.8"/>
  </r>
  <r>
    <x v="0"/>
    <x v="0"/>
    <x v="0"/>
    <x v="0"/>
    <x v="1"/>
    <s v="DK2_NoDH"/>
    <x v="3"/>
    <s v="GNR_ENG_NGAS_BP_E-36"/>
    <x v="0"/>
    <x v="13"/>
    <n v="3.9222222222222198"/>
    <n v="1431.6111111111099"/>
    <n v="5153.8"/>
  </r>
  <r>
    <x v="0"/>
    <x v="0"/>
    <x v="0"/>
    <x v="0"/>
    <x v="1"/>
    <s v="DK2_NoDH"/>
    <x v="3"/>
    <s v="GNR_ENG_NGAS_BP_E-36"/>
    <x v="0"/>
    <x v="14"/>
    <n v="3.9222222222222198"/>
    <n v="1431.6111111111099"/>
    <n v="5153.8"/>
  </r>
  <r>
    <x v="0"/>
    <x v="0"/>
    <x v="0"/>
    <x v="0"/>
    <x v="1"/>
    <s v="DK2_NoDH"/>
    <x v="3"/>
    <s v="GNR_ENG_NGAS_BP_E-36"/>
    <x v="0"/>
    <x v="15"/>
    <n v="3.9222222222222198"/>
    <n v="1431.6111111111099"/>
    <n v="5153.8"/>
  </r>
  <r>
    <x v="0"/>
    <x v="0"/>
    <x v="0"/>
    <x v="0"/>
    <x v="1"/>
    <s v="DK2_NoDH"/>
    <x v="3"/>
    <s v="GNR_ENG_NGAS_BP_E-36"/>
    <x v="0"/>
    <x v="4"/>
    <n v="3.9222222222222198"/>
    <n v="1431.6111111111099"/>
    <n v="5153.8"/>
  </r>
  <r>
    <x v="0"/>
    <x v="0"/>
    <x v="0"/>
    <x v="0"/>
    <x v="1"/>
    <s v="DK2_NoDH"/>
    <x v="3"/>
    <s v="GNR_ENG_NGAS_BP_E-36"/>
    <x v="0"/>
    <x v="16"/>
    <n v="3.9222222222222198"/>
    <n v="1431.6111111111099"/>
    <n v="5153.8"/>
  </r>
  <r>
    <x v="0"/>
    <x v="0"/>
    <x v="0"/>
    <x v="0"/>
    <x v="1"/>
    <s v="DK2_NoDH"/>
    <x v="3"/>
    <s v="GNR_ENG_NGAS_BP_E-36"/>
    <x v="0"/>
    <x v="5"/>
    <n v="3.9222222222222198"/>
    <n v="1431.6111111111099"/>
    <n v="5153.8"/>
  </r>
  <r>
    <x v="0"/>
    <x v="0"/>
    <x v="0"/>
    <x v="0"/>
    <x v="1"/>
    <s v="DK2_NoDH"/>
    <x v="3"/>
    <s v="GNR_ENG_NGAS_BP_E-36"/>
    <x v="0"/>
    <x v="17"/>
    <n v="3.9222222222222198"/>
    <n v="1431.6111111111099"/>
    <n v="5153.8"/>
  </r>
  <r>
    <x v="0"/>
    <x v="0"/>
    <x v="0"/>
    <x v="0"/>
    <x v="1"/>
    <s v="DK2_NoDH"/>
    <x v="3"/>
    <s v="GNR_ENG_NGAS_BP_E-36"/>
    <x v="0"/>
    <x v="18"/>
    <n v="3.9222222222222198"/>
    <n v="1431.6111111111099"/>
    <n v="5153.8"/>
  </r>
  <r>
    <x v="0"/>
    <x v="0"/>
    <x v="0"/>
    <x v="0"/>
    <x v="1"/>
    <s v="DK2_NoDH"/>
    <x v="3"/>
    <s v="GNR_ENG_NGAS_BP_E-36"/>
    <x v="0"/>
    <x v="19"/>
    <n v="3.9222222222222198"/>
    <n v="1431.6111111111099"/>
    <n v="5153.8"/>
  </r>
  <r>
    <x v="0"/>
    <x v="0"/>
    <x v="0"/>
    <x v="0"/>
    <x v="1"/>
    <s v="DK2_NoDH"/>
    <x v="3"/>
    <s v="GNR_ENG_NGAS_BP_E-36"/>
    <x v="0"/>
    <x v="20"/>
    <n v="3.9222222222222198"/>
    <n v="1431.6111111111099"/>
    <n v="5153.8"/>
  </r>
  <r>
    <x v="0"/>
    <x v="0"/>
    <x v="0"/>
    <x v="0"/>
    <x v="1"/>
    <s v="DK2_NoDH"/>
    <x v="3"/>
    <s v="GNR_ENG_NGAS_BP_E-36"/>
    <x v="0"/>
    <x v="21"/>
    <n v="3.9222222222222198"/>
    <n v="1431.6111111111099"/>
    <n v="5153.8"/>
  </r>
  <r>
    <x v="0"/>
    <x v="0"/>
    <x v="0"/>
    <x v="0"/>
    <x v="1"/>
    <s v="DK2_NoDH"/>
    <x v="3"/>
    <s v="GNR_ENG_NGAS_BP_E-36"/>
    <x v="0"/>
    <x v="22"/>
    <n v="3.9222222222222198"/>
    <n v="1431.6111111111099"/>
    <n v="5153.8"/>
  </r>
  <r>
    <x v="0"/>
    <x v="0"/>
    <x v="0"/>
    <x v="0"/>
    <x v="1"/>
    <s v="DK2_NoDH"/>
    <x v="3"/>
    <s v="GNR_ENG_NGAS_BP_E-37"/>
    <x v="0"/>
    <x v="6"/>
    <n v="3.1333333333333302"/>
    <n v="1143.6666666666699"/>
    <n v="4117.2"/>
  </r>
  <r>
    <x v="0"/>
    <x v="0"/>
    <x v="0"/>
    <x v="0"/>
    <x v="1"/>
    <s v="DK2_NoDH"/>
    <x v="3"/>
    <s v="GNR_ENG_NGAS_BP_E-37"/>
    <x v="0"/>
    <x v="7"/>
    <n v="3.1333333333333302"/>
    <n v="1143.6666666666699"/>
    <n v="4117.2"/>
  </r>
  <r>
    <x v="0"/>
    <x v="0"/>
    <x v="0"/>
    <x v="0"/>
    <x v="1"/>
    <s v="DK2_NoDH"/>
    <x v="3"/>
    <s v="GNR_ENG_NGAS_BP_E-37"/>
    <x v="0"/>
    <x v="8"/>
    <n v="3.1333333333333302"/>
    <n v="1143.6666666666699"/>
    <n v="4117.2"/>
  </r>
  <r>
    <x v="0"/>
    <x v="0"/>
    <x v="0"/>
    <x v="0"/>
    <x v="1"/>
    <s v="DK2_NoDH"/>
    <x v="3"/>
    <s v="GNR_ENG_NGAS_BP_E-37"/>
    <x v="0"/>
    <x v="9"/>
    <n v="3.1333333333333302"/>
    <n v="1143.6666666666699"/>
    <n v="4117.2"/>
  </r>
  <r>
    <x v="0"/>
    <x v="0"/>
    <x v="0"/>
    <x v="0"/>
    <x v="1"/>
    <s v="DK2_NoDH"/>
    <x v="3"/>
    <s v="GNR_ENG_NGAS_BP_E-37"/>
    <x v="0"/>
    <x v="10"/>
    <n v="3.1333333333333302"/>
    <n v="1143.6666666666699"/>
    <n v="4117.2"/>
  </r>
  <r>
    <x v="0"/>
    <x v="0"/>
    <x v="0"/>
    <x v="0"/>
    <x v="1"/>
    <s v="DK2_NoDH"/>
    <x v="3"/>
    <s v="GNR_ENG_NGAS_BP_E-37"/>
    <x v="0"/>
    <x v="11"/>
    <n v="3.1333333333333302"/>
    <n v="1143.6666666666699"/>
    <n v="4117.2"/>
  </r>
  <r>
    <x v="0"/>
    <x v="0"/>
    <x v="0"/>
    <x v="0"/>
    <x v="1"/>
    <s v="DK2_NoDH"/>
    <x v="3"/>
    <s v="GNR_ENG_NGAS_BP_E-37"/>
    <x v="0"/>
    <x v="0"/>
    <n v="3.1333333333333302"/>
    <n v="1143.6666666666699"/>
    <n v="4117.2"/>
  </r>
  <r>
    <x v="0"/>
    <x v="0"/>
    <x v="0"/>
    <x v="0"/>
    <x v="1"/>
    <s v="DK2_NoDH"/>
    <x v="3"/>
    <s v="GNR_ENG_NGAS_BP_E-37"/>
    <x v="0"/>
    <x v="1"/>
    <n v="3.1333333333333302"/>
    <n v="1143.6666666666699"/>
    <n v="4117.2"/>
  </r>
  <r>
    <x v="0"/>
    <x v="0"/>
    <x v="0"/>
    <x v="0"/>
    <x v="1"/>
    <s v="DK2_NoDH"/>
    <x v="3"/>
    <s v="GNR_ENG_NGAS_BP_E-37"/>
    <x v="0"/>
    <x v="2"/>
    <n v="3.1333333333333302"/>
    <n v="1143.6666666666699"/>
    <n v="4117.2"/>
  </r>
  <r>
    <x v="0"/>
    <x v="0"/>
    <x v="0"/>
    <x v="0"/>
    <x v="1"/>
    <s v="DK2_NoDH"/>
    <x v="3"/>
    <s v="GNR_ENG_NGAS_BP_E-37"/>
    <x v="0"/>
    <x v="3"/>
    <n v="3.1333333333333302"/>
    <n v="1143.6666666666699"/>
    <n v="4117.2"/>
  </r>
  <r>
    <x v="0"/>
    <x v="0"/>
    <x v="0"/>
    <x v="0"/>
    <x v="1"/>
    <s v="DK2_NoDH"/>
    <x v="3"/>
    <s v="GNR_ENG_NGAS_BP_E-37"/>
    <x v="0"/>
    <x v="12"/>
    <n v="3.1333333333333302"/>
    <n v="1143.6666666666699"/>
    <n v="4117.2"/>
  </r>
  <r>
    <x v="0"/>
    <x v="0"/>
    <x v="0"/>
    <x v="0"/>
    <x v="1"/>
    <s v="DK2_NoDH"/>
    <x v="3"/>
    <s v="GNR_ENG_NGAS_BP_E-37"/>
    <x v="0"/>
    <x v="13"/>
    <n v="3.1333333333333302"/>
    <n v="1143.6666666666699"/>
    <n v="4117.2"/>
  </r>
  <r>
    <x v="0"/>
    <x v="0"/>
    <x v="0"/>
    <x v="0"/>
    <x v="1"/>
    <s v="DK2_NoDH"/>
    <x v="3"/>
    <s v="GNR_ENG_NGAS_BP_E-37"/>
    <x v="0"/>
    <x v="14"/>
    <n v="3.1333333333333302"/>
    <n v="1143.6666666666699"/>
    <n v="4117.2"/>
  </r>
  <r>
    <x v="0"/>
    <x v="0"/>
    <x v="0"/>
    <x v="0"/>
    <x v="1"/>
    <s v="DK2_NoDH"/>
    <x v="3"/>
    <s v="GNR_ENG_NGAS_BP_E-37"/>
    <x v="0"/>
    <x v="15"/>
    <n v="3.1333333333333302"/>
    <n v="1143.6666666666699"/>
    <n v="4117.2"/>
  </r>
  <r>
    <x v="0"/>
    <x v="0"/>
    <x v="0"/>
    <x v="0"/>
    <x v="1"/>
    <s v="DK2_NoDH"/>
    <x v="3"/>
    <s v="GNR_ENG_NGAS_BP_E-37"/>
    <x v="0"/>
    <x v="4"/>
    <n v="3.1333333333333302"/>
    <n v="1143.6666666666699"/>
    <n v="4117.2"/>
  </r>
  <r>
    <x v="0"/>
    <x v="0"/>
    <x v="0"/>
    <x v="0"/>
    <x v="1"/>
    <s v="DK2_NoDH"/>
    <x v="3"/>
    <s v="GNR_ENG_NGAS_BP_E-37"/>
    <x v="0"/>
    <x v="16"/>
    <n v="3.1333333333333302"/>
    <n v="1143.6666666666699"/>
    <n v="4117.2"/>
  </r>
  <r>
    <x v="0"/>
    <x v="0"/>
    <x v="0"/>
    <x v="0"/>
    <x v="1"/>
    <s v="DK2_NoDH"/>
    <x v="3"/>
    <s v="GNR_ENG_NGAS_BP_E-37"/>
    <x v="0"/>
    <x v="5"/>
    <n v="3.1333333333333302"/>
    <n v="1143.6666666666699"/>
    <n v="4117.2"/>
  </r>
  <r>
    <x v="0"/>
    <x v="0"/>
    <x v="0"/>
    <x v="0"/>
    <x v="1"/>
    <s v="DK2_NoDH"/>
    <x v="3"/>
    <s v="GNR_ENG_NGAS_BP_E-37"/>
    <x v="0"/>
    <x v="17"/>
    <n v="3.1333333333333302"/>
    <n v="1143.6666666666699"/>
    <n v="4117.2"/>
  </r>
  <r>
    <x v="0"/>
    <x v="0"/>
    <x v="0"/>
    <x v="0"/>
    <x v="1"/>
    <s v="DK2_NoDH"/>
    <x v="3"/>
    <s v="GNR_ENG_NGAS_BP_E-37"/>
    <x v="0"/>
    <x v="18"/>
    <n v="3.1333333333333302"/>
    <n v="1143.6666666666699"/>
    <n v="4117.2"/>
  </r>
  <r>
    <x v="0"/>
    <x v="0"/>
    <x v="0"/>
    <x v="0"/>
    <x v="1"/>
    <s v="DK2_NoDH"/>
    <x v="3"/>
    <s v="GNR_ENG_NGAS_BP_E-37"/>
    <x v="0"/>
    <x v="19"/>
    <n v="3.1333333333333302"/>
    <n v="1143.6666666666699"/>
    <n v="4117.2"/>
  </r>
  <r>
    <x v="0"/>
    <x v="0"/>
    <x v="0"/>
    <x v="0"/>
    <x v="1"/>
    <s v="DK2_NoDH"/>
    <x v="3"/>
    <s v="GNR_ENG_NGAS_BP_E-37"/>
    <x v="0"/>
    <x v="20"/>
    <n v="3.1333333333333302"/>
    <n v="1143.6666666666699"/>
    <n v="4117.2"/>
  </r>
  <r>
    <x v="0"/>
    <x v="0"/>
    <x v="0"/>
    <x v="0"/>
    <x v="1"/>
    <s v="DK2_NoDH"/>
    <x v="3"/>
    <s v="GNR_ENG_NGAS_BP_E-37"/>
    <x v="0"/>
    <x v="21"/>
    <n v="3.1333333333333302"/>
    <n v="1143.6666666666699"/>
    <n v="4117.2"/>
  </r>
  <r>
    <x v="0"/>
    <x v="0"/>
    <x v="0"/>
    <x v="0"/>
    <x v="1"/>
    <s v="DK2_NoDH"/>
    <x v="3"/>
    <s v="GNR_ENG_NGAS_BP_E-37"/>
    <x v="0"/>
    <x v="22"/>
    <n v="3.1333333333333302"/>
    <n v="1143.6666666666699"/>
    <n v="4117.2"/>
  </r>
  <r>
    <x v="0"/>
    <x v="0"/>
    <x v="0"/>
    <x v="0"/>
    <x v="1"/>
    <s v="DK2_NoDH"/>
    <x v="3"/>
    <s v="GNR_ENG_NGAS_BP_E-38"/>
    <x v="0"/>
    <x v="6"/>
    <n v="4.1777777777777798"/>
    <n v="1524.8888888888901"/>
    <n v="5489.6"/>
  </r>
  <r>
    <x v="0"/>
    <x v="0"/>
    <x v="0"/>
    <x v="0"/>
    <x v="1"/>
    <s v="DK2_NoDH"/>
    <x v="3"/>
    <s v="GNR_ENG_NGAS_BP_E-38"/>
    <x v="0"/>
    <x v="7"/>
    <n v="4.1777777777777798"/>
    <n v="1524.8888888888901"/>
    <n v="5489.6"/>
  </r>
  <r>
    <x v="0"/>
    <x v="0"/>
    <x v="0"/>
    <x v="0"/>
    <x v="1"/>
    <s v="DK2_NoDH"/>
    <x v="3"/>
    <s v="GNR_ENG_NGAS_BP_E-38"/>
    <x v="0"/>
    <x v="8"/>
    <n v="4.1777777777777798"/>
    <n v="1524.8888888888901"/>
    <n v="5489.6"/>
  </r>
  <r>
    <x v="0"/>
    <x v="0"/>
    <x v="0"/>
    <x v="0"/>
    <x v="1"/>
    <s v="DK2_NoDH"/>
    <x v="3"/>
    <s v="GNR_ENG_NGAS_BP_E-38"/>
    <x v="0"/>
    <x v="9"/>
    <n v="4.1777777777777798"/>
    <n v="1524.8888888888901"/>
    <n v="5489.6"/>
  </r>
  <r>
    <x v="0"/>
    <x v="0"/>
    <x v="0"/>
    <x v="0"/>
    <x v="1"/>
    <s v="DK2_NoDH"/>
    <x v="3"/>
    <s v="GNR_ENG_NGAS_BP_E-38"/>
    <x v="0"/>
    <x v="10"/>
    <n v="4.1777777777777798"/>
    <n v="1524.8888888888901"/>
    <n v="5489.6"/>
  </r>
  <r>
    <x v="0"/>
    <x v="0"/>
    <x v="0"/>
    <x v="0"/>
    <x v="1"/>
    <s v="DK2_NoDH"/>
    <x v="3"/>
    <s v="GNR_ENG_NGAS_BP_E-38"/>
    <x v="0"/>
    <x v="11"/>
    <n v="4.1777777777777798"/>
    <n v="1524.8888888888901"/>
    <n v="5489.6"/>
  </r>
  <r>
    <x v="0"/>
    <x v="0"/>
    <x v="0"/>
    <x v="0"/>
    <x v="1"/>
    <s v="DK2_NoDH"/>
    <x v="3"/>
    <s v="GNR_ENG_NGAS_BP_E-38"/>
    <x v="0"/>
    <x v="0"/>
    <n v="4.1777777777777798"/>
    <n v="1524.8888888888901"/>
    <n v="5489.6"/>
  </r>
  <r>
    <x v="0"/>
    <x v="0"/>
    <x v="0"/>
    <x v="0"/>
    <x v="1"/>
    <s v="DK2_NoDH"/>
    <x v="3"/>
    <s v="GNR_ENG_NGAS_BP_E-38"/>
    <x v="0"/>
    <x v="1"/>
    <n v="4.1777777777777798"/>
    <n v="1524.8888888888901"/>
    <n v="5489.6"/>
  </r>
  <r>
    <x v="0"/>
    <x v="0"/>
    <x v="0"/>
    <x v="0"/>
    <x v="1"/>
    <s v="DK2_NoDH"/>
    <x v="3"/>
    <s v="GNR_ENG_NGAS_BP_E-38"/>
    <x v="0"/>
    <x v="2"/>
    <n v="4.1777777777777798"/>
    <n v="1524.8888888888901"/>
    <n v="5489.6"/>
  </r>
  <r>
    <x v="0"/>
    <x v="0"/>
    <x v="0"/>
    <x v="0"/>
    <x v="1"/>
    <s v="DK2_NoDH"/>
    <x v="3"/>
    <s v="GNR_ENG_NGAS_BP_E-38"/>
    <x v="0"/>
    <x v="3"/>
    <n v="4.1777777777777798"/>
    <n v="1524.8888888888901"/>
    <n v="5489.6"/>
  </r>
  <r>
    <x v="0"/>
    <x v="0"/>
    <x v="0"/>
    <x v="0"/>
    <x v="1"/>
    <s v="DK2_NoDH"/>
    <x v="3"/>
    <s v="GNR_ENG_NGAS_BP_E-38"/>
    <x v="0"/>
    <x v="12"/>
    <n v="4.1777777777777798"/>
    <n v="1524.8888888888901"/>
    <n v="5489.6"/>
  </r>
  <r>
    <x v="0"/>
    <x v="0"/>
    <x v="0"/>
    <x v="0"/>
    <x v="1"/>
    <s v="DK2_NoDH"/>
    <x v="3"/>
    <s v="GNR_ENG_NGAS_BP_E-38"/>
    <x v="0"/>
    <x v="13"/>
    <n v="4.1777777777777798"/>
    <n v="1524.8888888888901"/>
    <n v="5489.6"/>
  </r>
  <r>
    <x v="0"/>
    <x v="0"/>
    <x v="0"/>
    <x v="0"/>
    <x v="1"/>
    <s v="DK2_NoDH"/>
    <x v="3"/>
    <s v="GNR_ENG_NGAS_BP_E-38"/>
    <x v="0"/>
    <x v="14"/>
    <n v="4.1777777777777798"/>
    <n v="1524.8888888888901"/>
    <n v="5489.6"/>
  </r>
  <r>
    <x v="0"/>
    <x v="0"/>
    <x v="0"/>
    <x v="0"/>
    <x v="1"/>
    <s v="DK2_NoDH"/>
    <x v="3"/>
    <s v="GNR_ENG_NGAS_BP_E-38"/>
    <x v="0"/>
    <x v="15"/>
    <n v="4.1777777777777798"/>
    <n v="1524.8888888888901"/>
    <n v="5489.6"/>
  </r>
  <r>
    <x v="0"/>
    <x v="0"/>
    <x v="0"/>
    <x v="0"/>
    <x v="1"/>
    <s v="DK2_NoDH"/>
    <x v="3"/>
    <s v="GNR_ENG_NGAS_BP_E-38"/>
    <x v="0"/>
    <x v="4"/>
    <n v="4.1777777777777798"/>
    <n v="1524.8888888888901"/>
    <n v="5489.6"/>
  </r>
  <r>
    <x v="0"/>
    <x v="0"/>
    <x v="0"/>
    <x v="0"/>
    <x v="1"/>
    <s v="DK2_NoDH"/>
    <x v="3"/>
    <s v="GNR_ENG_NGAS_BP_E-38"/>
    <x v="0"/>
    <x v="16"/>
    <n v="4.1777777777777798"/>
    <n v="1524.8888888888901"/>
    <n v="5489.6"/>
  </r>
  <r>
    <x v="0"/>
    <x v="0"/>
    <x v="0"/>
    <x v="0"/>
    <x v="1"/>
    <s v="DK2_NoDH"/>
    <x v="3"/>
    <s v="GNR_ENG_NGAS_BP_E-38"/>
    <x v="0"/>
    <x v="5"/>
    <n v="4.1777777777777798"/>
    <n v="1524.8888888888901"/>
    <n v="5489.6"/>
  </r>
  <r>
    <x v="0"/>
    <x v="0"/>
    <x v="0"/>
    <x v="0"/>
    <x v="1"/>
    <s v="DK2_NoDH"/>
    <x v="3"/>
    <s v="GNR_ENG_NGAS_BP_E-38"/>
    <x v="0"/>
    <x v="17"/>
    <n v="4.1777777777777798"/>
    <n v="1524.8888888888901"/>
    <n v="5489.6"/>
  </r>
  <r>
    <x v="0"/>
    <x v="0"/>
    <x v="0"/>
    <x v="0"/>
    <x v="1"/>
    <s v="DK2_NoDH"/>
    <x v="3"/>
    <s v="GNR_ENG_NGAS_BP_E-38"/>
    <x v="0"/>
    <x v="18"/>
    <n v="4.1777777777777798"/>
    <n v="1524.8888888888901"/>
    <n v="5489.6"/>
  </r>
  <r>
    <x v="0"/>
    <x v="0"/>
    <x v="0"/>
    <x v="0"/>
    <x v="1"/>
    <s v="DK2_NoDH"/>
    <x v="3"/>
    <s v="GNR_ENG_NGAS_BP_E-38"/>
    <x v="0"/>
    <x v="19"/>
    <n v="4.1777777777777798"/>
    <n v="1524.8888888888901"/>
    <n v="5489.6"/>
  </r>
  <r>
    <x v="0"/>
    <x v="0"/>
    <x v="0"/>
    <x v="0"/>
    <x v="1"/>
    <s v="DK2_NoDH"/>
    <x v="3"/>
    <s v="GNR_ENG_NGAS_BP_E-38"/>
    <x v="0"/>
    <x v="20"/>
    <n v="4.1777777777777798"/>
    <n v="1524.8888888888901"/>
    <n v="5489.6"/>
  </r>
  <r>
    <x v="0"/>
    <x v="0"/>
    <x v="0"/>
    <x v="0"/>
    <x v="1"/>
    <s v="DK2_NoDH"/>
    <x v="3"/>
    <s v="GNR_ENG_NGAS_BP_E-38"/>
    <x v="0"/>
    <x v="21"/>
    <n v="4.1777777777777798"/>
    <n v="1524.8888888888901"/>
    <n v="5489.6"/>
  </r>
  <r>
    <x v="0"/>
    <x v="0"/>
    <x v="0"/>
    <x v="0"/>
    <x v="1"/>
    <s v="DK2_NoDH"/>
    <x v="3"/>
    <s v="GNR_ENG_NGAS_BP_E-38"/>
    <x v="0"/>
    <x v="22"/>
    <n v="4.1777777777777798"/>
    <n v="1524.8888888888901"/>
    <n v="5489.6"/>
  </r>
  <r>
    <x v="0"/>
    <x v="0"/>
    <x v="0"/>
    <x v="0"/>
    <x v="1"/>
    <s v="DK2_NoDH"/>
    <x v="3"/>
    <s v="GNR_ENG_NGAS_BP_E-38"/>
    <x v="0"/>
    <x v="23"/>
    <n v="4.1777777777777798"/>
    <n v="1524.8888888888901"/>
    <n v="5489.6"/>
  </r>
  <r>
    <x v="0"/>
    <x v="0"/>
    <x v="0"/>
    <x v="0"/>
    <x v="1"/>
    <s v="DK2_NoDH"/>
    <x v="3"/>
    <s v="GNR_ENG_NGAS_BP_E-39"/>
    <x v="0"/>
    <x v="6"/>
    <n v="9.0555555555555607"/>
    <n v="3305.2777777777801"/>
    <n v="11899"/>
  </r>
  <r>
    <x v="0"/>
    <x v="0"/>
    <x v="0"/>
    <x v="0"/>
    <x v="1"/>
    <s v="DK2_NoDH"/>
    <x v="3"/>
    <s v="GNR_ENG_NGAS_BP_E-39"/>
    <x v="0"/>
    <x v="7"/>
    <n v="9.0555555555555607"/>
    <n v="3305.2777777777801"/>
    <n v="11899"/>
  </r>
  <r>
    <x v="0"/>
    <x v="0"/>
    <x v="0"/>
    <x v="0"/>
    <x v="1"/>
    <s v="DK2_NoDH"/>
    <x v="3"/>
    <s v="GNR_ENG_NGAS_BP_E-39"/>
    <x v="0"/>
    <x v="8"/>
    <n v="9.0555555555555607"/>
    <n v="3305.2777777777801"/>
    <n v="11899"/>
  </r>
  <r>
    <x v="0"/>
    <x v="0"/>
    <x v="0"/>
    <x v="0"/>
    <x v="1"/>
    <s v="DK2_NoDH"/>
    <x v="3"/>
    <s v="GNR_ENG_NGAS_BP_E-39"/>
    <x v="0"/>
    <x v="9"/>
    <n v="9.0555555555555607"/>
    <n v="3305.2777777777801"/>
    <n v="11899"/>
  </r>
  <r>
    <x v="0"/>
    <x v="0"/>
    <x v="0"/>
    <x v="0"/>
    <x v="1"/>
    <s v="DK2_NoDH"/>
    <x v="3"/>
    <s v="GNR_ENG_NGAS_BP_E-39"/>
    <x v="0"/>
    <x v="10"/>
    <n v="9.0555555555555607"/>
    <n v="3305.2777777777801"/>
    <n v="11899"/>
  </r>
  <r>
    <x v="0"/>
    <x v="0"/>
    <x v="0"/>
    <x v="0"/>
    <x v="1"/>
    <s v="DK2_NoDH"/>
    <x v="3"/>
    <s v="GNR_ENG_NGAS_BP_E-39"/>
    <x v="0"/>
    <x v="11"/>
    <n v="9.0555555555555607"/>
    <n v="3305.2777777777801"/>
    <n v="11899"/>
  </r>
  <r>
    <x v="0"/>
    <x v="0"/>
    <x v="0"/>
    <x v="0"/>
    <x v="1"/>
    <s v="DK2_NoDH"/>
    <x v="3"/>
    <s v="GNR_ENG_NGAS_BP_E-39"/>
    <x v="0"/>
    <x v="0"/>
    <n v="9.0555555555555607"/>
    <n v="3305.2777777777801"/>
    <n v="11899"/>
  </r>
  <r>
    <x v="0"/>
    <x v="0"/>
    <x v="0"/>
    <x v="0"/>
    <x v="1"/>
    <s v="DK2_NoDH"/>
    <x v="3"/>
    <s v="GNR_ENG_NGAS_BP_E-39"/>
    <x v="0"/>
    <x v="1"/>
    <n v="9.0555555555555607"/>
    <n v="3305.2777777777801"/>
    <n v="11899"/>
  </r>
  <r>
    <x v="0"/>
    <x v="0"/>
    <x v="0"/>
    <x v="0"/>
    <x v="1"/>
    <s v="DK2_NoDH"/>
    <x v="3"/>
    <s v="GNR_ENG_NGAS_BP_E-39"/>
    <x v="0"/>
    <x v="2"/>
    <n v="9.0555555555555607"/>
    <n v="3305.2777777777801"/>
    <n v="11899"/>
  </r>
  <r>
    <x v="0"/>
    <x v="0"/>
    <x v="0"/>
    <x v="0"/>
    <x v="1"/>
    <s v="DK2_NoDH"/>
    <x v="3"/>
    <s v="GNR_ENG_NGAS_BP_E-39"/>
    <x v="0"/>
    <x v="3"/>
    <n v="9.0555555555555607"/>
    <n v="3305.2777777777801"/>
    <n v="11899"/>
  </r>
  <r>
    <x v="0"/>
    <x v="0"/>
    <x v="0"/>
    <x v="0"/>
    <x v="1"/>
    <s v="DK2_NoDH"/>
    <x v="3"/>
    <s v="GNR_ENG_NGAS_BP_E-39"/>
    <x v="0"/>
    <x v="12"/>
    <n v="9.0555555555555607"/>
    <n v="3305.2777777777801"/>
    <n v="11899"/>
  </r>
  <r>
    <x v="0"/>
    <x v="0"/>
    <x v="0"/>
    <x v="0"/>
    <x v="1"/>
    <s v="DK2_NoDH"/>
    <x v="3"/>
    <s v="GNR_ENG_NGAS_BP_E-39"/>
    <x v="0"/>
    <x v="13"/>
    <n v="9.0555555555555607"/>
    <n v="3305.2777777777801"/>
    <n v="11899"/>
  </r>
  <r>
    <x v="0"/>
    <x v="0"/>
    <x v="0"/>
    <x v="0"/>
    <x v="1"/>
    <s v="DK2_NoDH"/>
    <x v="3"/>
    <s v="GNR_ENG_NGAS_BP_E-39"/>
    <x v="0"/>
    <x v="14"/>
    <n v="9.0555555555555607"/>
    <n v="3305.2777777777801"/>
    <n v="11899"/>
  </r>
  <r>
    <x v="0"/>
    <x v="0"/>
    <x v="0"/>
    <x v="0"/>
    <x v="1"/>
    <s v="DK2_NoDH"/>
    <x v="3"/>
    <s v="GNR_ENG_NGAS_BP_E-39"/>
    <x v="0"/>
    <x v="15"/>
    <n v="9.0555555555555607"/>
    <n v="3305.2777777777801"/>
    <n v="11899"/>
  </r>
  <r>
    <x v="0"/>
    <x v="0"/>
    <x v="0"/>
    <x v="0"/>
    <x v="1"/>
    <s v="DK2_NoDH"/>
    <x v="3"/>
    <s v="GNR_ENG_NGAS_BP_E-39"/>
    <x v="0"/>
    <x v="4"/>
    <n v="9.0555555555555607"/>
    <n v="3305.2777777777801"/>
    <n v="11899"/>
  </r>
  <r>
    <x v="0"/>
    <x v="0"/>
    <x v="0"/>
    <x v="0"/>
    <x v="1"/>
    <s v="DK2_NoDH"/>
    <x v="3"/>
    <s v="GNR_ENG_NGAS_BP_E-39"/>
    <x v="0"/>
    <x v="16"/>
    <n v="9.0555555555555607"/>
    <n v="3305.2777777777801"/>
    <n v="11899"/>
  </r>
  <r>
    <x v="0"/>
    <x v="0"/>
    <x v="0"/>
    <x v="0"/>
    <x v="1"/>
    <s v="DK2_NoDH"/>
    <x v="3"/>
    <s v="GNR_ENG_NGAS_BP_E-39"/>
    <x v="0"/>
    <x v="5"/>
    <n v="9.0555555555555607"/>
    <n v="3305.2777777777801"/>
    <n v="11899"/>
  </r>
  <r>
    <x v="0"/>
    <x v="0"/>
    <x v="0"/>
    <x v="0"/>
    <x v="1"/>
    <s v="DK2_NoDH"/>
    <x v="3"/>
    <s v="GNR_ENG_NGAS_BP_E-39"/>
    <x v="0"/>
    <x v="17"/>
    <n v="9.0555555555555607"/>
    <n v="3305.2777777777801"/>
    <n v="11899"/>
  </r>
  <r>
    <x v="0"/>
    <x v="0"/>
    <x v="0"/>
    <x v="0"/>
    <x v="1"/>
    <s v="DK2_NoDH"/>
    <x v="3"/>
    <s v="GNR_ENG_NGAS_BP_E-39"/>
    <x v="0"/>
    <x v="18"/>
    <n v="9.0555555555555607"/>
    <n v="3305.2777777777801"/>
    <n v="11899"/>
  </r>
  <r>
    <x v="0"/>
    <x v="0"/>
    <x v="0"/>
    <x v="0"/>
    <x v="1"/>
    <s v="DK2_NoDH"/>
    <x v="3"/>
    <s v="GNR_ENG_NGAS_BP_E-39"/>
    <x v="0"/>
    <x v="19"/>
    <n v="9.0555555555555607"/>
    <n v="3305.2777777777801"/>
    <n v="11899"/>
  </r>
  <r>
    <x v="0"/>
    <x v="0"/>
    <x v="0"/>
    <x v="0"/>
    <x v="1"/>
    <s v="DK2_NoDH"/>
    <x v="3"/>
    <s v="GNR_ENG_NGAS_BP_E-39"/>
    <x v="0"/>
    <x v="20"/>
    <n v="9.0555555555555607"/>
    <n v="3305.2777777777801"/>
    <n v="11899"/>
  </r>
  <r>
    <x v="0"/>
    <x v="0"/>
    <x v="0"/>
    <x v="0"/>
    <x v="1"/>
    <s v="DK2_NoDH"/>
    <x v="3"/>
    <s v="GNR_ENG_NGAS_BP_E-39"/>
    <x v="0"/>
    <x v="21"/>
    <n v="9.0555555555555607"/>
    <n v="3305.2777777777801"/>
    <n v="11899"/>
  </r>
  <r>
    <x v="0"/>
    <x v="0"/>
    <x v="0"/>
    <x v="0"/>
    <x v="1"/>
    <s v="DK2_NoDH"/>
    <x v="3"/>
    <s v="GNR_ENG_NGAS_BP_E-39"/>
    <x v="0"/>
    <x v="22"/>
    <n v="9.0555555555555607"/>
    <n v="3305.2777777777801"/>
    <n v="11899"/>
  </r>
  <r>
    <x v="0"/>
    <x v="0"/>
    <x v="0"/>
    <x v="0"/>
    <x v="1"/>
    <s v="DK2_NoDH"/>
    <x v="3"/>
    <s v="GNR_ENG_NGAS_BP_E-39"/>
    <x v="0"/>
    <x v="23"/>
    <n v="9.0555555555555607"/>
    <n v="3305.2777777777801"/>
    <n v="11899"/>
  </r>
  <r>
    <x v="0"/>
    <x v="0"/>
    <x v="0"/>
    <x v="0"/>
    <x v="1"/>
    <s v="DK2_NoDH"/>
    <x v="3"/>
    <s v="GNR_ENG_NGAS_BP_E-40"/>
    <x v="0"/>
    <x v="6"/>
    <n v="8.9222222222222207"/>
    <n v="3256.6111111111099"/>
    <n v="11723.8"/>
  </r>
  <r>
    <x v="0"/>
    <x v="0"/>
    <x v="0"/>
    <x v="0"/>
    <x v="1"/>
    <s v="DK2_NoDH"/>
    <x v="3"/>
    <s v="GNR_ENG_NGAS_BP_E-40"/>
    <x v="0"/>
    <x v="7"/>
    <n v="8.9222222222222207"/>
    <n v="3256.6111111111099"/>
    <n v="11723.8"/>
  </r>
  <r>
    <x v="0"/>
    <x v="0"/>
    <x v="0"/>
    <x v="0"/>
    <x v="1"/>
    <s v="DK2_NoDH"/>
    <x v="3"/>
    <s v="GNR_ENG_NGAS_BP_E-40"/>
    <x v="0"/>
    <x v="8"/>
    <n v="8.9222222222222207"/>
    <n v="3256.6111111111099"/>
    <n v="11723.8"/>
  </r>
  <r>
    <x v="0"/>
    <x v="0"/>
    <x v="0"/>
    <x v="0"/>
    <x v="1"/>
    <s v="DK2_NoDH"/>
    <x v="3"/>
    <s v="GNR_ENG_NGAS_BP_E-40"/>
    <x v="0"/>
    <x v="9"/>
    <n v="8.9222222222222207"/>
    <n v="3256.6111111111099"/>
    <n v="11723.8"/>
  </r>
  <r>
    <x v="0"/>
    <x v="0"/>
    <x v="0"/>
    <x v="0"/>
    <x v="1"/>
    <s v="DK2_NoDH"/>
    <x v="3"/>
    <s v="GNR_ENG_NGAS_BP_E-40"/>
    <x v="0"/>
    <x v="10"/>
    <n v="8.9222222222222207"/>
    <n v="3256.6111111111099"/>
    <n v="11723.8"/>
  </r>
  <r>
    <x v="0"/>
    <x v="0"/>
    <x v="0"/>
    <x v="0"/>
    <x v="1"/>
    <s v="DK2_NoDH"/>
    <x v="3"/>
    <s v="GNR_ENG_NGAS_BP_E-40"/>
    <x v="0"/>
    <x v="11"/>
    <n v="8.9222222222222207"/>
    <n v="3256.6111111111099"/>
    <n v="11723.8"/>
  </r>
  <r>
    <x v="0"/>
    <x v="0"/>
    <x v="0"/>
    <x v="0"/>
    <x v="1"/>
    <s v="DK2_NoDH"/>
    <x v="3"/>
    <s v="GNR_ENG_NGAS_BP_E-40"/>
    <x v="0"/>
    <x v="0"/>
    <n v="8.9222222222222207"/>
    <n v="3256.6111111111099"/>
    <n v="11723.8"/>
  </r>
  <r>
    <x v="0"/>
    <x v="0"/>
    <x v="0"/>
    <x v="0"/>
    <x v="1"/>
    <s v="DK2_NoDH"/>
    <x v="3"/>
    <s v="GNR_ENG_NGAS_BP_E-40"/>
    <x v="0"/>
    <x v="1"/>
    <n v="8.9222222222222207"/>
    <n v="3256.6111111111099"/>
    <n v="11723.8"/>
  </r>
  <r>
    <x v="0"/>
    <x v="0"/>
    <x v="0"/>
    <x v="0"/>
    <x v="1"/>
    <s v="DK2_NoDH"/>
    <x v="3"/>
    <s v="GNR_ENG_NGAS_BP_E-40"/>
    <x v="0"/>
    <x v="2"/>
    <n v="8.9222222222222207"/>
    <n v="3256.6111111111099"/>
    <n v="11723.8"/>
  </r>
  <r>
    <x v="0"/>
    <x v="0"/>
    <x v="0"/>
    <x v="0"/>
    <x v="1"/>
    <s v="DK2_NoDH"/>
    <x v="3"/>
    <s v="GNR_ENG_NGAS_BP_E-40"/>
    <x v="0"/>
    <x v="3"/>
    <n v="8.9222222222222207"/>
    <n v="3256.6111111111099"/>
    <n v="11723.8"/>
  </r>
  <r>
    <x v="0"/>
    <x v="0"/>
    <x v="0"/>
    <x v="0"/>
    <x v="1"/>
    <s v="DK2_NoDH"/>
    <x v="3"/>
    <s v="GNR_ENG_NGAS_BP_E-40"/>
    <x v="0"/>
    <x v="12"/>
    <n v="8.9222222222222207"/>
    <n v="3256.6111111111099"/>
    <n v="11723.8"/>
  </r>
  <r>
    <x v="0"/>
    <x v="0"/>
    <x v="0"/>
    <x v="0"/>
    <x v="1"/>
    <s v="DK2_NoDH"/>
    <x v="3"/>
    <s v="GNR_ENG_NGAS_BP_E-40"/>
    <x v="0"/>
    <x v="13"/>
    <n v="8.9222222222222207"/>
    <n v="3256.6111111111099"/>
    <n v="11723.8"/>
  </r>
  <r>
    <x v="0"/>
    <x v="0"/>
    <x v="0"/>
    <x v="0"/>
    <x v="1"/>
    <s v="DK2_NoDH"/>
    <x v="3"/>
    <s v="GNR_ENG_NGAS_BP_E-40"/>
    <x v="0"/>
    <x v="14"/>
    <n v="8.9222222222222207"/>
    <n v="3256.6111111111099"/>
    <n v="11723.8"/>
  </r>
  <r>
    <x v="0"/>
    <x v="0"/>
    <x v="0"/>
    <x v="0"/>
    <x v="1"/>
    <s v="DK2_NoDH"/>
    <x v="3"/>
    <s v="GNR_ENG_NGAS_BP_E-40"/>
    <x v="0"/>
    <x v="15"/>
    <n v="8.9222222222222207"/>
    <n v="3256.6111111111099"/>
    <n v="11723.8"/>
  </r>
  <r>
    <x v="0"/>
    <x v="0"/>
    <x v="0"/>
    <x v="0"/>
    <x v="1"/>
    <s v="DK2_NoDH"/>
    <x v="3"/>
    <s v="GNR_ENG_NGAS_BP_E-40"/>
    <x v="0"/>
    <x v="4"/>
    <n v="8.9222222222222207"/>
    <n v="3256.6111111111099"/>
    <n v="11723.8"/>
  </r>
  <r>
    <x v="0"/>
    <x v="0"/>
    <x v="0"/>
    <x v="0"/>
    <x v="1"/>
    <s v="DK2_NoDH"/>
    <x v="3"/>
    <s v="GNR_ENG_NGAS_BP_E-40"/>
    <x v="0"/>
    <x v="16"/>
    <n v="8.9222222222222207"/>
    <n v="3256.6111111111099"/>
    <n v="11723.8"/>
  </r>
  <r>
    <x v="0"/>
    <x v="0"/>
    <x v="0"/>
    <x v="0"/>
    <x v="1"/>
    <s v="DK2_NoDH"/>
    <x v="3"/>
    <s v="GNR_ENG_NGAS_BP_E-40"/>
    <x v="0"/>
    <x v="5"/>
    <n v="8.9222222222222207"/>
    <n v="3256.6111111111099"/>
    <n v="11723.8"/>
  </r>
  <r>
    <x v="0"/>
    <x v="0"/>
    <x v="0"/>
    <x v="0"/>
    <x v="1"/>
    <s v="DK2_NoDH"/>
    <x v="3"/>
    <s v="GNR_ENG_NGAS_BP_E-40"/>
    <x v="0"/>
    <x v="17"/>
    <n v="8.9222222222222207"/>
    <n v="3256.6111111111099"/>
    <n v="11723.8"/>
  </r>
  <r>
    <x v="0"/>
    <x v="0"/>
    <x v="0"/>
    <x v="0"/>
    <x v="1"/>
    <s v="DK2_NoDH"/>
    <x v="3"/>
    <s v="GNR_ENG_NGAS_BP_E-40"/>
    <x v="0"/>
    <x v="18"/>
    <n v="8.9222222222222207"/>
    <n v="3256.6111111111099"/>
    <n v="11723.8"/>
  </r>
  <r>
    <x v="0"/>
    <x v="0"/>
    <x v="0"/>
    <x v="0"/>
    <x v="1"/>
    <s v="DK2_NoDH"/>
    <x v="3"/>
    <s v="GNR_ENG_NGAS_BP_E-40"/>
    <x v="0"/>
    <x v="19"/>
    <n v="8.9222222222222207"/>
    <n v="3256.6111111111099"/>
    <n v="11723.8"/>
  </r>
  <r>
    <x v="0"/>
    <x v="0"/>
    <x v="0"/>
    <x v="0"/>
    <x v="1"/>
    <s v="DK2_NoDH"/>
    <x v="3"/>
    <s v="GNR_ENG_NGAS_BP_E-40"/>
    <x v="0"/>
    <x v="20"/>
    <n v="8.9222222222222207"/>
    <n v="3256.6111111111099"/>
    <n v="11723.8"/>
  </r>
  <r>
    <x v="0"/>
    <x v="0"/>
    <x v="0"/>
    <x v="0"/>
    <x v="1"/>
    <s v="DK2_NoDH"/>
    <x v="3"/>
    <s v="GNR_ENG_NGAS_BP_E-40"/>
    <x v="0"/>
    <x v="21"/>
    <n v="8.9222222222222207"/>
    <n v="3256.6111111111099"/>
    <n v="11723.8"/>
  </r>
  <r>
    <x v="0"/>
    <x v="0"/>
    <x v="0"/>
    <x v="0"/>
    <x v="1"/>
    <s v="DK2_NoDH"/>
    <x v="3"/>
    <s v="GNR_ENG_NGAS_BP_E-40"/>
    <x v="0"/>
    <x v="22"/>
    <n v="8.9222222222222207"/>
    <n v="3256.6111111111099"/>
    <n v="11723.8"/>
  </r>
  <r>
    <x v="0"/>
    <x v="0"/>
    <x v="0"/>
    <x v="0"/>
    <x v="1"/>
    <s v="DK2_NoDH"/>
    <x v="3"/>
    <s v="GNR_ENG_NGAS_BP_E-40"/>
    <x v="0"/>
    <x v="23"/>
    <n v="8.9222222222222207"/>
    <n v="3256.6111111111099"/>
    <n v="11723.8"/>
  </r>
  <r>
    <x v="0"/>
    <x v="0"/>
    <x v="0"/>
    <x v="0"/>
    <x v="1"/>
    <s v="DK2_NoDH"/>
    <x v="3"/>
    <s v="GNR_ENG_NGAS_BP_E-41"/>
    <x v="0"/>
    <x v="6"/>
    <n v="18.288888888888899"/>
    <n v="6675.4444444444498"/>
    <n v="24031.599999999999"/>
  </r>
  <r>
    <x v="0"/>
    <x v="0"/>
    <x v="0"/>
    <x v="0"/>
    <x v="1"/>
    <s v="DK2_NoDH"/>
    <x v="3"/>
    <s v="GNR_ENG_NGAS_BP_E-41"/>
    <x v="0"/>
    <x v="7"/>
    <n v="18.288888888888899"/>
    <n v="6675.4444444444498"/>
    <n v="24031.599999999999"/>
  </r>
  <r>
    <x v="0"/>
    <x v="0"/>
    <x v="0"/>
    <x v="0"/>
    <x v="1"/>
    <s v="DK2_NoDH"/>
    <x v="3"/>
    <s v="GNR_ENG_NGAS_BP_E-41"/>
    <x v="0"/>
    <x v="8"/>
    <n v="18.288888888888899"/>
    <n v="6675.4444444444498"/>
    <n v="24031.599999999999"/>
  </r>
  <r>
    <x v="0"/>
    <x v="0"/>
    <x v="0"/>
    <x v="0"/>
    <x v="1"/>
    <s v="DK2_NoDH"/>
    <x v="3"/>
    <s v="GNR_ENG_NGAS_BP_E-41"/>
    <x v="0"/>
    <x v="9"/>
    <n v="18.288888888888899"/>
    <n v="6675.4444444444498"/>
    <n v="24031.599999999999"/>
  </r>
  <r>
    <x v="0"/>
    <x v="0"/>
    <x v="0"/>
    <x v="0"/>
    <x v="1"/>
    <s v="DK2_NoDH"/>
    <x v="3"/>
    <s v="GNR_ENG_NGAS_BP_E-41"/>
    <x v="0"/>
    <x v="10"/>
    <n v="18.288888888888899"/>
    <n v="6675.4444444444498"/>
    <n v="24031.599999999999"/>
  </r>
  <r>
    <x v="0"/>
    <x v="0"/>
    <x v="0"/>
    <x v="0"/>
    <x v="1"/>
    <s v="DK2_NoDH"/>
    <x v="3"/>
    <s v="GNR_ENG_NGAS_BP_E-41"/>
    <x v="0"/>
    <x v="11"/>
    <n v="18.288888888888899"/>
    <n v="6675.4444444444498"/>
    <n v="24031.599999999999"/>
  </r>
  <r>
    <x v="0"/>
    <x v="0"/>
    <x v="0"/>
    <x v="0"/>
    <x v="1"/>
    <s v="DK2_NoDH"/>
    <x v="3"/>
    <s v="GNR_ENG_NGAS_BP_E-41"/>
    <x v="0"/>
    <x v="0"/>
    <n v="18.288888888888899"/>
    <n v="6675.4444444444498"/>
    <n v="24031.599999999999"/>
  </r>
  <r>
    <x v="0"/>
    <x v="0"/>
    <x v="0"/>
    <x v="0"/>
    <x v="1"/>
    <s v="DK2_NoDH"/>
    <x v="3"/>
    <s v="GNR_ENG_NGAS_BP_E-41"/>
    <x v="0"/>
    <x v="1"/>
    <n v="18.288888888888899"/>
    <n v="6675.4444444444498"/>
    <n v="24031.599999999999"/>
  </r>
  <r>
    <x v="0"/>
    <x v="0"/>
    <x v="0"/>
    <x v="0"/>
    <x v="1"/>
    <s v="DK2_NoDH"/>
    <x v="3"/>
    <s v="GNR_ENG_NGAS_BP_E-41"/>
    <x v="0"/>
    <x v="2"/>
    <n v="18.288888888888899"/>
    <n v="6675.4444444444498"/>
    <n v="24031.599999999999"/>
  </r>
  <r>
    <x v="0"/>
    <x v="0"/>
    <x v="0"/>
    <x v="0"/>
    <x v="1"/>
    <s v="DK2_NoDH"/>
    <x v="3"/>
    <s v="GNR_ENG_NGAS_BP_E-41"/>
    <x v="0"/>
    <x v="3"/>
    <n v="18.288888888888899"/>
    <n v="6675.4444444444498"/>
    <n v="24031.599999999999"/>
  </r>
  <r>
    <x v="0"/>
    <x v="0"/>
    <x v="0"/>
    <x v="0"/>
    <x v="1"/>
    <s v="DK2_NoDH"/>
    <x v="3"/>
    <s v="GNR_ENG_NGAS_BP_E-41"/>
    <x v="0"/>
    <x v="12"/>
    <n v="18.288888888888899"/>
    <n v="6675.4444444444498"/>
    <n v="24031.599999999999"/>
  </r>
  <r>
    <x v="0"/>
    <x v="0"/>
    <x v="0"/>
    <x v="0"/>
    <x v="1"/>
    <s v="DK2_NoDH"/>
    <x v="3"/>
    <s v="GNR_ENG_NGAS_BP_E-41"/>
    <x v="0"/>
    <x v="13"/>
    <n v="18.288888888888899"/>
    <n v="6675.4444444444498"/>
    <n v="24031.599999999999"/>
  </r>
  <r>
    <x v="0"/>
    <x v="0"/>
    <x v="0"/>
    <x v="0"/>
    <x v="1"/>
    <s v="DK2_NoDH"/>
    <x v="3"/>
    <s v="GNR_ENG_NGAS_BP_E-41"/>
    <x v="0"/>
    <x v="14"/>
    <n v="18.288888888888899"/>
    <n v="6675.4444444444498"/>
    <n v="24031.599999999999"/>
  </r>
  <r>
    <x v="0"/>
    <x v="0"/>
    <x v="0"/>
    <x v="0"/>
    <x v="1"/>
    <s v="DK2_NoDH"/>
    <x v="3"/>
    <s v="GNR_ENG_NGAS_BP_E-41"/>
    <x v="0"/>
    <x v="15"/>
    <n v="18.288888888888899"/>
    <n v="6675.4444444444498"/>
    <n v="24031.599999999999"/>
  </r>
  <r>
    <x v="0"/>
    <x v="0"/>
    <x v="0"/>
    <x v="0"/>
    <x v="1"/>
    <s v="DK2_NoDH"/>
    <x v="3"/>
    <s v="GNR_ENG_NGAS_BP_E-41"/>
    <x v="0"/>
    <x v="4"/>
    <n v="18.288888888888899"/>
    <n v="6675.4444444444498"/>
    <n v="24031.599999999999"/>
  </r>
  <r>
    <x v="0"/>
    <x v="0"/>
    <x v="0"/>
    <x v="0"/>
    <x v="1"/>
    <s v="DK2_NoDH"/>
    <x v="3"/>
    <s v="GNR_ENG_NGAS_BP_E-41"/>
    <x v="0"/>
    <x v="16"/>
    <n v="18.288888888888899"/>
    <n v="6675.4444444444498"/>
    <n v="24031.599999999999"/>
  </r>
  <r>
    <x v="0"/>
    <x v="0"/>
    <x v="0"/>
    <x v="0"/>
    <x v="1"/>
    <s v="DK2_NoDH"/>
    <x v="3"/>
    <s v="GNR_ENG_NGAS_BP_E-41"/>
    <x v="0"/>
    <x v="5"/>
    <n v="18.288888888888899"/>
    <n v="6675.4444444444498"/>
    <n v="24031.599999999999"/>
  </r>
  <r>
    <x v="0"/>
    <x v="0"/>
    <x v="0"/>
    <x v="0"/>
    <x v="1"/>
    <s v="DK2_NoDH"/>
    <x v="3"/>
    <s v="GNR_ENG_NGAS_BP_E-41"/>
    <x v="0"/>
    <x v="17"/>
    <n v="18.288888888888899"/>
    <n v="6675.4444444444498"/>
    <n v="24031.599999999999"/>
  </r>
  <r>
    <x v="0"/>
    <x v="0"/>
    <x v="0"/>
    <x v="0"/>
    <x v="1"/>
    <s v="DK2_NoDH"/>
    <x v="3"/>
    <s v="GNR_ENG_NGAS_BP_E-41"/>
    <x v="0"/>
    <x v="18"/>
    <n v="18.288888888888899"/>
    <n v="6675.4444444444498"/>
    <n v="24031.599999999999"/>
  </r>
  <r>
    <x v="0"/>
    <x v="0"/>
    <x v="0"/>
    <x v="0"/>
    <x v="1"/>
    <s v="DK2_NoDH"/>
    <x v="3"/>
    <s v="GNR_ENG_NGAS_BP_E-41"/>
    <x v="0"/>
    <x v="19"/>
    <n v="18.288888888888899"/>
    <n v="6675.4444444444498"/>
    <n v="24031.599999999999"/>
  </r>
  <r>
    <x v="0"/>
    <x v="0"/>
    <x v="0"/>
    <x v="0"/>
    <x v="1"/>
    <s v="DK2_NoDH"/>
    <x v="3"/>
    <s v="GNR_ENG_NGAS_BP_E-41"/>
    <x v="0"/>
    <x v="20"/>
    <n v="18.288888888888899"/>
    <n v="6675.4444444444498"/>
    <n v="24031.599999999999"/>
  </r>
  <r>
    <x v="0"/>
    <x v="0"/>
    <x v="0"/>
    <x v="0"/>
    <x v="1"/>
    <s v="DK2_NoDH"/>
    <x v="3"/>
    <s v="GNR_ENG_NGAS_BP_E-41"/>
    <x v="0"/>
    <x v="21"/>
    <n v="18.288888888888899"/>
    <n v="6675.4444444444498"/>
    <n v="24031.599999999999"/>
  </r>
  <r>
    <x v="0"/>
    <x v="0"/>
    <x v="0"/>
    <x v="0"/>
    <x v="1"/>
    <s v="DK2_NoDH"/>
    <x v="3"/>
    <s v="GNR_ENG_NGAS_BP_E-41"/>
    <x v="0"/>
    <x v="22"/>
    <n v="18.288888888888899"/>
    <n v="6675.4444444444498"/>
    <n v="24031.599999999999"/>
  </r>
  <r>
    <x v="0"/>
    <x v="0"/>
    <x v="0"/>
    <x v="0"/>
    <x v="1"/>
    <s v="DK2_NoDH"/>
    <x v="3"/>
    <s v="GNR_ENG_NGAS_BP_E-41"/>
    <x v="0"/>
    <x v="23"/>
    <n v="18.288888888888899"/>
    <n v="6675.4444444444498"/>
    <n v="24031.599999999999"/>
  </r>
  <r>
    <x v="0"/>
    <x v="0"/>
    <x v="0"/>
    <x v="0"/>
    <x v="1"/>
    <s v="DK2_NoDH"/>
    <x v="3"/>
    <s v="GNR_ENG_NGAS_BP_E-46"/>
    <x v="0"/>
    <x v="6"/>
    <n v="10.4888888888889"/>
    <n v="3828.4444444444398"/>
    <n v="13782.4"/>
  </r>
  <r>
    <x v="0"/>
    <x v="0"/>
    <x v="0"/>
    <x v="0"/>
    <x v="1"/>
    <s v="DK2_NoDH"/>
    <x v="3"/>
    <s v="GNR_ENG_NGAS_BP_E-46"/>
    <x v="0"/>
    <x v="7"/>
    <n v="10.4888888888889"/>
    <n v="3828.4444444444398"/>
    <n v="13782.4"/>
  </r>
  <r>
    <x v="0"/>
    <x v="0"/>
    <x v="0"/>
    <x v="0"/>
    <x v="1"/>
    <s v="DK2_NoDH"/>
    <x v="3"/>
    <s v="GNR_ENG_NGAS_BP_E-46"/>
    <x v="0"/>
    <x v="8"/>
    <n v="10.4888888888889"/>
    <n v="3828.4444444444398"/>
    <n v="13782.4"/>
  </r>
  <r>
    <x v="0"/>
    <x v="0"/>
    <x v="0"/>
    <x v="0"/>
    <x v="1"/>
    <s v="DK2_NoDH"/>
    <x v="3"/>
    <s v="GNR_ENG_NGAS_BP_E-46"/>
    <x v="0"/>
    <x v="9"/>
    <n v="10.4888888888889"/>
    <n v="3828.4444444444398"/>
    <n v="13782.4"/>
  </r>
  <r>
    <x v="0"/>
    <x v="0"/>
    <x v="0"/>
    <x v="0"/>
    <x v="1"/>
    <s v="DK2_NoDH"/>
    <x v="3"/>
    <s v="GNR_ENG_NGAS_BP_E-46"/>
    <x v="0"/>
    <x v="10"/>
    <n v="10.4888888888889"/>
    <n v="3828.4444444444398"/>
    <n v="13782.4"/>
  </r>
  <r>
    <x v="0"/>
    <x v="0"/>
    <x v="0"/>
    <x v="0"/>
    <x v="1"/>
    <s v="DK2_NoDH"/>
    <x v="3"/>
    <s v="GNR_ENG_NGAS_BP_E-46"/>
    <x v="0"/>
    <x v="11"/>
    <n v="10.4888888888889"/>
    <n v="3828.4444444444398"/>
    <n v="13782.4"/>
  </r>
  <r>
    <x v="0"/>
    <x v="0"/>
    <x v="0"/>
    <x v="0"/>
    <x v="1"/>
    <s v="DK2_NoDH"/>
    <x v="3"/>
    <s v="GNR_ENG_NGAS_BP_E-46"/>
    <x v="0"/>
    <x v="0"/>
    <n v="10.4888888888889"/>
    <n v="3828.4444444444398"/>
    <n v="13782.4"/>
  </r>
  <r>
    <x v="0"/>
    <x v="0"/>
    <x v="0"/>
    <x v="0"/>
    <x v="1"/>
    <s v="DK2_NoDH"/>
    <x v="3"/>
    <s v="GNR_ENG_NGAS_BP_E-46"/>
    <x v="0"/>
    <x v="1"/>
    <n v="10.4888888888889"/>
    <n v="3828.4444444444398"/>
    <n v="13782.4"/>
  </r>
  <r>
    <x v="0"/>
    <x v="0"/>
    <x v="0"/>
    <x v="0"/>
    <x v="1"/>
    <s v="DK2_NoDH"/>
    <x v="3"/>
    <s v="GNR_ENG_NGAS_BP_E-46"/>
    <x v="0"/>
    <x v="2"/>
    <n v="10.4888888888889"/>
    <n v="3828.4444444444398"/>
    <n v="13782.4"/>
  </r>
  <r>
    <x v="0"/>
    <x v="0"/>
    <x v="0"/>
    <x v="0"/>
    <x v="1"/>
    <s v="DK2_NoDH"/>
    <x v="3"/>
    <s v="GNR_ENG_NGAS_BP_E-46"/>
    <x v="0"/>
    <x v="3"/>
    <n v="10.4888888888889"/>
    <n v="3828.4444444444398"/>
    <n v="13782.4"/>
  </r>
  <r>
    <x v="0"/>
    <x v="0"/>
    <x v="0"/>
    <x v="0"/>
    <x v="1"/>
    <s v="DK2_NoDH"/>
    <x v="3"/>
    <s v="GNR_ENG_NGAS_BP_E-46"/>
    <x v="0"/>
    <x v="12"/>
    <n v="10.4888888888889"/>
    <n v="3828.4444444444398"/>
    <n v="13782.4"/>
  </r>
  <r>
    <x v="0"/>
    <x v="0"/>
    <x v="0"/>
    <x v="0"/>
    <x v="1"/>
    <s v="DK2_NoDH"/>
    <x v="3"/>
    <s v="GNR_ENG_NGAS_BP_E-46"/>
    <x v="0"/>
    <x v="13"/>
    <n v="10.4888888888889"/>
    <n v="3828.4444444444398"/>
    <n v="13782.4"/>
  </r>
  <r>
    <x v="0"/>
    <x v="0"/>
    <x v="0"/>
    <x v="0"/>
    <x v="1"/>
    <s v="DK2_NoDH"/>
    <x v="3"/>
    <s v="GNR_ENG_NGAS_BP_E-46"/>
    <x v="0"/>
    <x v="14"/>
    <n v="10.4888888888889"/>
    <n v="3828.4444444444398"/>
    <n v="13782.4"/>
  </r>
  <r>
    <x v="0"/>
    <x v="0"/>
    <x v="0"/>
    <x v="0"/>
    <x v="1"/>
    <s v="DK2_NoDH"/>
    <x v="3"/>
    <s v="GNR_ENG_NGAS_BP_E-46"/>
    <x v="0"/>
    <x v="15"/>
    <n v="10.4888888888889"/>
    <n v="3828.4444444444398"/>
    <n v="13782.4"/>
  </r>
  <r>
    <x v="0"/>
    <x v="0"/>
    <x v="0"/>
    <x v="0"/>
    <x v="1"/>
    <s v="DK2_NoDH"/>
    <x v="3"/>
    <s v="GNR_ENG_NGAS_BP_E-46"/>
    <x v="0"/>
    <x v="4"/>
    <n v="10.4888888888889"/>
    <n v="3828.4444444444398"/>
    <n v="13782.4"/>
  </r>
  <r>
    <x v="0"/>
    <x v="0"/>
    <x v="0"/>
    <x v="0"/>
    <x v="1"/>
    <s v="DK2_NoDH"/>
    <x v="3"/>
    <s v="GNR_ENG_NGAS_BP_E-46"/>
    <x v="0"/>
    <x v="16"/>
    <n v="10.4888888888889"/>
    <n v="3828.4444444444398"/>
    <n v="13782.4"/>
  </r>
  <r>
    <x v="0"/>
    <x v="0"/>
    <x v="0"/>
    <x v="0"/>
    <x v="1"/>
    <s v="DK2_NoDH"/>
    <x v="3"/>
    <s v="GNR_ENG_NGAS_BP_E-46"/>
    <x v="0"/>
    <x v="5"/>
    <n v="10.4888888888889"/>
    <n v="3828.4444444444398"/>
    <n v="13782.4"/>
  </r>
  <r>
    <x v="0"/>
    <x v="0"/>
    <x v="0"/>
    <x v="0"/>
    <x v="1"/>
    <s v="DK2_NoDH"/>
    <x v="3"/>
    <s v="GNR_ENG_NGAS_BP_E-46"/>
    <x v="0"/>
    <x v="17"/>
    <n v="10.4888888888889"/>
    <n v="3828.4444444444398"/>
    <n v="13782.4"/>
  </r>
  <r>
    <x v="0"/>
    <x v="0"/>
    <x v="0"/>
    <x v="0"/>
    <x v="1"/>
    <s v="DK2_NoDH"/>
    <x v="3"/>
    <s v="GNR_ENG_NGAS_BP_E-46"/>
    <x v="0"/>
    <x v="18"/>
    <n v="10.4888888888889"/>
    <n v="3828.4444444444398"/>
    <n v="13782.4"/>
  </r>
  <r>
    <x v="0"/>
    <x v="0"/>
    <x v="0"/>
    <x v="0"/>
    <x v="1"/>
    <s v="DK2_NoDH"/>
    <x v="3"/>
    <s v="GNR_ENG_NGAS_BP_E-46"/>
    <x v="0"/>
    <x v="19"/>
    <n v="10.4888888888889"/>
    <n v="3828.4444444444398"/>
    <n v="13782.4"/>
  </r>
  <r>
    <x v="0"/>
    <x v="0"/>
    <x v="0"/>
    <x v="0"/>
    <x v="1"/>
    <s v="DK2_NoDH"/>
    <x v="3"/>
    <s v="GNR_ENG_NGAS_BP_E-46"/>
    <x v="0"/>
    <x v="20"/>
    <n v="10.4888888888889"/>
    <n v="3828.4444444444398"/>
    <n v="13782.4"/>
  </r>
  <r>
    <x v="0"/>
    <x v="0"/>
    <x v="0"/>
    <x v="0"/>
    <x v="1"/>
    <s v="DK2_NoDH"/>
    <x v="3"/>
    <s v="GNR_ENG_NGAS_BP_E-46"/>
    <x v="0"/>
    <x v="21"/>
    <n v="10.4888888888889"/>
    <n v="3828.4444444444398"/>
    <n v="13782.4"/>
  </r>
  <r>
    <x v="0"/>
    <x v="0"/>
    <x v="0"/>
    <x v="0"/>
    <x v="1"/>
    <s v="DK2_NoDH"/>
    <x v="3"/>
    <s v="GNR_ENG_NGAS_BP_E-46"/>
    <x v="0"/>
    <x v="22"/>
    <n v="10.4888888888889"/>
    <n v="3828.4444444444398"/>
    <n v="13782.4"/>
  </r>
  <r>
    <x v="0"/>
    <x v="0"/>
    <x v="0"/>
    <x v="0"/>
    <x v="1"/>
    <s v="DK2_NoDH"/>
    <x v="3"/>
    <s v="GNR_ENG_NGAS_BP_E-46"/>
    <x v="0"/>
    <x v="23"/>
    <n v="10.4888888888889"/>
    <n v="3828.4444444444398"/>
    <n v="13782.4"/>
  </r>
  <r>
    <x v="0"/>
    <x v="0"/>
    <x v="0"/>
    <x v="0"/>
    <x v="1"/>
    <s v="DK2_NoDH"/>
    <x v="3"/>
    <s v="GNR_GT_NGAS_BP_E-28"/>
    <x v="0"/>
    <x v="0"/>
    <n v="5.1578947368421098"/>
    <n v="1882.6315789473699"/>
    <n v="6777.4736842105303"/>
  </r>
  <r>
    <x v="0"/>
    <x v="0"/>
    <x v="0"/>
    <x v="0"/>
    <x v="1"/>
    <s v="DK2_NoDH"/>
    <x v="3"/>
    <s v="GNR_GT_NGAS_BP_E-28"/>
    <x v="0"/>
    <x v="1"/>
    <n v="5.1578947368421098"/>
    <n v="1882.6315789473699"/>
    <n v="6777.4736842105303"/>
  </r>
  <r>
    <x v="0"/>
    <x v="0"/>
    <x v="0"/>
    <x v="0"/>
    <x v="1"/>
    <s v="DK2_NoDH"/>
    <x v="3"/>
    <s v="GNR_GT_NGAS_BP_E-28"/>
    <x v="0"/>
    <x v="2"/>
    <n v="5.1578947368421098"/>
    <n v="1882.6315789473699"/>
    <n v="6777.4736842105303"/>
  </r>
  <r>
    <x v="0"/>
    <x v="0"/>
    <x v="0"/>
    <x v="0"/>
    <x v="1"/>
    <s v="DK2_NoDH"/>
    <x v="3"/>
    <s v="GNR_GT_NGAS_BP_E-28"/>
    <x v="0"/>
    <x v="3"/>
    <n v="5.1578947368421098"/>
    <n v="1882.6315789473699"/>
    <n v="6777.4736842105303"/>
  </r>
  <r>
    <x v="0"/>
    <x v="0"/>
    <x v="0"/>
    <x v="0"/>
    <x v="1"/>
    <s v="DK2_NoDH"/>
    <x v="3"/>
    <s v="GNR_GT_NGAS_BP_E-28"/>
    <x v="0"/>
    <x v="12"/>
    <n v="5.1578947368421098"/>
    <n v="1882.6315789473699"/>
    <n v="6777.4736842105303"/>
  </r>
  <r>
    <x v="0"/>
    <x v="0"/>
    <x v="0"/>
    <x v="0"/>
    <x v="1"/>
    <s v="DK2_NoDH"/>
    <x v="3"/>
    <s v="GNR_GT_NGAS_BP_E-28"/>
    <x v="0"/>
    <x v="4"/>
    <n v="5.1578947368421098"/>
    <n v="1882.6315789473699"/>
    <n v="6777.4736842105303"/>
  </r>
  <r>
    <x v="0"/>
    <x v="0"/>
    <x v="0"/>
    <x v="0"/>
    <x v="1"/>
    <s v="DK2_NoDH"/>
    <x v="3"/>
    <s v="GNR_GT_NGAS_BP_E-28"/>
    <x v="0"/>
    <x v="16"/>
    <n v="5.1578947368421098"/>
    <n v="1882.6315789473699"/>
    <n v="6777.4736842105303"/>
  </r>
  <r>
    <x v="0"/>
    <x v="0"/>
    <x v="0"/>
    <x v="0"/>
    <x v="1"/>
    <s v="DK2_NoDH"/>
    <x v="3"/>
    <s v="GNR_GT_NGAS_BP_E-28"/>
    <x v="0"/>
    <x v="5"/>
    <n v="5.1578947368421098"/>
    <n v="1882.6315789473699"/>
    <n v="6777.4736842105303"/>
  </r>
  <r>
    <x v="0"/>
    <x v="0"/>
    <x v="0"/>
    <x v="0"/>
    <x v="1"/>
    <s v="DK2_NoDH"/>
    <x v="3"/>
    <s v="GNR_GT_NGAS_BP_E-28"/>
    <x v="0"/>
    <x v="17"/>
    <n v="5.1578947368421098"/>
    <n v="1882.6315789473699"/>
    <n v="6777.4736842105303"/>
  </r>
  <r>
    <x v="0"/>
    <x v="0"/>
    <x v="0"/>
    <x v="0"/>
    <x v="1"/>
    <s v="DK2_NoDH"/>
    <x v="3"/>
    <s v="GNR_GT_NGAS_BP_E-28"/>
    <x v="0"/>
    <x v="18"/>
    <n v="5.1578947368421098"/>
    <n v="1882.6315789473699"/>
    <n v="6777.4736842105303"/>
  </r>
  <r>
    <x v="0"/>
    <x v="0"/>
    <x v="0"/>
    <x v="0"/>
    <x v="1"/>
    <s v="DK2_NoDH"/>
    <x v="3"/>
    <s v="GNR_ST_NGAS_BP_E-39"/>
    <x v="0"/>
    <x v="6"/>
    <n v="8.4142857142857093"/>
    <n v="3071.2142857142899"/>
    <n v="11056.3714285714"/>
  </r>
  <r>
    <x v="0"/>
    <x v="0"/>
    <x v="0"/>
    <x v="0"/>
    <x v="1"/>
    <s v="DK2_NoDH"/>
    <x v="3"/>
    <s v="GNR_ST_NGAS_BP_E-39"/>
    <x v="0"/>
    <x v="7"/>
    <n v="8.4142857142857093"/>
    <n v="3071.2142857142899"/>
    <n v="11056.3714285714"/>
  </r>
  <r>
    <x v="0"/>
    <x v="0"/>
    <x v="0"/>
    <x v="0"/>
    <x v="1"/>
    <s v="DK2_NoDH"/>
    <x v="3"/>
    <s v="GNR_ST_NGAS_BP_E-39"/>
    <x v="0"/>
    <x v="8"/>
    <n v="8.4142857142857093"/>
    <n v="3071.2142857142899"/>
    <n v="11056.3714285714"/>
  </r>
  <r>
    <x v="0"/>
    <x v="0"/>
    <x v="0"/>
    <x v="0"/>
    <x v="1"/>
    <s v="DK2_NoDH"/>
    <x v="3"/>
    <s v="GNR_ST_NGAS_BP_E-39"/>
    <x v="0"/>
    <x v="9"/>
    <n v="8.4142857142857093"/>
    <n v="3071.2142857142899"/>
    <n v="11056.3714285714"/>
  </r>
  <r>
    <x v="0"/>
    <x v="0"/>
    <x v="0"/>
    <x v="0"/>
    <x v="1"/>
    <s v="DK2_NoDH"/>
    <x v="3"/>
    <s v="GNR_ST_NGAS_BP_E-39"/>
    <x v="0"/>
    <x v="10"/>
    <n v="8.4142857142857093"/>
    <n v="3071.2142857142899"/>
    <n v="11056.3714285714"/>
  </r>
  <r>
    <x v="0"/>
    <x v="0"/>
    <x v="0"/>
    <x v="0"/>
    <x v="1"/>
    <s v="DK2_NoDH"/>
    <x v="3"/>
    <s v="GNR_ST_NGAS_BP_E-39"/>
    <x v="0"/>
    <x v="11"/>
    <n v="8.4142857142857093"/>
    <n v="3071.2142857142899"/>
    <n v="11056.3714285714"/>
  </r>
  <r>
    <x v="0"/>
    <x v="0"/>
    <x v="0"/>
    <x v="0"/>
    <x v="1"/>
    <s v="DK2_NoDH"/>
    <x v="3"/>
    <s v="GNR_ST_NGAS_BP_E-39"/>
    <x v="0"/>
    <x v="0"/>
    <n v="8.4142857142857093"/>
    <n v="3071.2142857142899"/>
    <n v="11056.3714285714"/>
  </r>
  <r>
    <x v="0"/>
    <x v="0"/>
    <x v="0"/>
    <x v="0"/>
    <x v="1"/>
    <s v="DK2_NoDH"/>
    <x v="3"/>
    <s v="GNR_ST_NGAS_BP_E-39"/>
    <x v="0"/>
    <x v="1"/>
    <n v="8.4142857142857093"/>
    <n v="3071.2142857142899"/>
    <n v="11056.3714285714"/>
  </r>
  <r>
    <x v="0"/>
    <x v="0"/>
    <x v="0"/>
    <x v="0"/>
    <x v="1"/>
    <s v="DK2_NoDH"/>
    <x v="3"/>
    <s v="GNR_ST_NGAS_BP_E-39"/>
    <x v="0"/>
    <x v="2"/>
    <n v="8.4142857142857093"/>
    <n v="3071.2142857142899"/>
    <n v="11056.3714285714"/>
  </r>
  <r>
    <x v="0"/>
    <x v="0"/>
    <x v="0"/>
    <x v="0"/>
    <x v="1"/>
    <s v="DK2_NoDH"/>
    <x v="3"/>
    <s v="GNR_ST_NGAS_BP_E-39"/>
    <x v="0"/>
    <x v="3"/>
    <n v="8.4142857142857093"/>
    <n v="3071.2142857142899"/>
    <n v="11056.3714285714"/>
  </r>
  <r>
    <x v="0"/>
    <x v="0"/>
    <x v="0"/>
    <x v="0"/>
    <x v="1"/>
    <s v="DK2_NoDH"/>
    <x v="3"/>
    <s v="GNR_ST_NGAS_BP_E-39"/>
    <x v="0"/>
    <x v="12"/>
    <n v="8.4142857142857093"/>
    <n v="3071.2142857142899"/>
    <n v="11056.3714285714"/>
  </r>
  <r>
    <x v="0"/>
    <x v="0"/>
    <x v="0"/>
    <x v="0"/>
    <x v="1"/>
    <s v="DK2_NoDH"/>
    <x v="3"/>
    <s v="GNR_ST_NGAS_BP_E-39"/>
    <x v="0"/>
    <x v="13"/>
    <n v="8.4142857142857093"/>
    <n v="3071.2142857142899"/>
    <n v="11056.3714285714"/>
  </r>
  <r>
    <x v="0"/>
    <x v="0"/>
    <x v="0"/>
    <x v="0"/>
    <x v="1"/>
    <s v="DK2_NoDH"/>
    <x v="3"/>
    <s v="GNR_ST_NGAS_BP_E-39"/>
    <x v="0"/>
    <x v="14"/>
    <n v="8.4142857142857093"/>
    <n v="3071.2142857142899"/>
    <n v="11056.3714285714"/>
  </r>
  <r>
    <x v="0"/>
    <x v="0"/>
    <x v="0"/>
    <x v="0"/>
    <x v="1"/>
    <s v="DK2_NoDH"/>
    <x v="3"/>
    <s v="GNR_ST_NGAS_BP_E-39"/>
    <x v="0"/>
    <x v="15"/>
    <n v="8.4142857142857093"/>
    <n v="3071.2142857142899"/>
    <n v="11056.3714285714"/>
  </r>
  <r>
    <x v="0"/>
    <x v="0"/>
    <x v="0"/>
    <x v="0"/>
    <x v="1"/>
    <s v="DK2_NoDH"/>
    <x v="3"/>
    <s v="GNR_ST_NGAS_BP_E-39"/>
    <x v="0"/>
    <x v="4"/>
    <n v="8.4142857142857093"/>
    <n v="3071.2142857142899"/>
    <n v="11056.3714285714"/>
  </r>
  <r>
    <x v="0"/>
    <x v="0"/>
    <x v="0"/>
    <x v="0"/>
    <x v="1"/>
    <s v="DK2_NoDH"/>
    <x v="3"/>
    <s v="GNR_ST_NGAS_BP_E-39"/>
    <x v="0"/>
    <x v="16"/>
    <n v="8.4142857142857093"/>
    <n v="3071.2142857142899"/>
    <n v="11056.3714285714"/>
  </r>
  <r>
    <x v="0"/>
    <x v="0"/>
    <x v="0"/>
    <x v="0"/>
    <x v="1"/>
    <s v="DK2_NoDH"/>
    <x v="3"/>
    <s v="GNR_ST_NGAS_BP_E-39"/>
    <x v="0"/>
    <x v="5"/>
    <n v="8.4142857142857093"/>
    <n v="3071.2142857142899"/>
    <n v="11056.3714285714"/>
  </r>
  <r>
    <x v="0"/>
    <x v="0"/>
    <x v="0"/>
    <x v="0"/>
    <x v="1"/>
    <s v="DK2_NoDH"/>
    <x v="3"/>
    <s v="GNR_ST_NGAS_BP_E-39"/>
    <x v="0"/>
    <x v="17"/>
    <n v="8.4142857142857093"/>
    <n v="3071.2142857142899"/>
    <n v="11056.3714285714"/>
  </r>
  <r>
    <x v="0"/>
    <x v="0"/>
    <x v="0"/>
    <x v="0"/>
    <x v="1"/>
    <s v="DK2_NoDH"/>
    <x v="3"/>
    <s v="GNR_ST_NGAS_BP_E-39"/>
    <x v="0"/>
    <x v="18"/>
    <n v="8.4142857142857093"/>
    <n v="3071.2142857142899"/>
    <n v="11056.3714285714"/>
  </r>
  <r>
    <x v="0"/>
    <x v="0"/>
    <x v="0"/>
    <x v="0"/>
    <x v="1"/>
    <s v="DK2_NoDH"/>
    <x v="3"/>
    <s v="GNR_ST_NGAS_BP_E-39"/>
    <x v="0"/>
    <x v="19"/>
    <n v="8.4142857142857093"/>
    <n v="3071.2142857142899"/>
    <n v="11056.3714285714"/>
  </r>
  <r>
    <x v="0"/>
    <x v="0"/>
    <x v="0"/>
    <x v="0"/>
    <x v="1"/>
    <s v="DK2_NoDH"/>
    <x v="3"/>
    <s v="GNR_ST_NGAS_BP_E-39"/>
    <x v="0"/>
    <x v="20"/>
    <n v="8.4142857142857093"/>
    <n v="3071.2142857142899"/>
    <n v="11056.3714285714"/>
  </r>
  <r>
    <x v="0"/>
    <x v="0"/>
    <x v="0"/>
    <x v="0"/>
    <x v="1"/>
    <s v="DK2_NoDH"/>
    <x v="3"/>
    <s v="GNR_ST_NGAS_BP_E-39"/>
    <x v="0"/>
    <x v="21"/>
    <n v="8.4142857142857093"/>
    <n v="3071.2142857142899"/>
    <n v="11056.3714285714"/>
  </r>
  <r>
    <x v="0"/>
    <x v="0"/>
    <x v="0"/>
    <x v="0"/>
    <x v="1"/>
    <s v="DK2_NoDH"/>
    <x v="3"/>
    <s v="GNR_ST_NGAS_BP_E-39"/>
    <x v="0"/>
    <x v="22"/>
    <n v="8.4142857142857093"/>
    <n v="3071.2142857142899"/>
    <n v="11056.3714285714"/>
  </r>
  <r>
    <x v="0"/>
    <x v="0"/>
    <x v="0"/>
    <x v="0"/>
    <x v="1"/>
    <s v="DK2_NoDH"/>
    <x v="3"/>
    <s v="GNR_ST_NGAS_BP_E-39"/>
    <x v="0"/>
    <x v="23"/>
    <n v="8.4142857142857093"/>
    <n v="3071.2142857142899"/>
    <n v="11056.3714285714"/>
  </r>
  <r>
    <x v="0"/>
    <x v="0"/>
    <x v="0"/>
    <x v="0"/>
    <x v="1"/>
    <s v="DK2_Rural"/>
    <x v="9"/>
    <s v="GNR_ENG_BGAS_BP_E-39"/>
    <x v="0"/>
    <x v="1"/>
    <n v="1.23170731707317"/>
    <n v="449.57317073170702"/>
    <n v="1618.46341463415"/>
  </r>
  <r>
    <x v="0"/>
    <x v="0"/>
    <x v="0"/>
    <x v="0"/>
    <x v="1"/>
    <s v="DK2_Rural"/>
    <x v="9"/>
    <s v="GNR_ENG_BGAS_BP_E-39"/>
    <x v="0"/>
    <x v="2"/>
    <n v="1.23170731707317"/>
    <n v="449.57317073170702"/>
    <n v="1618.46341463415"/>
  </r>
  <r>
    <x v="0"/>
    <x v="0"/>
    <x v="0"/>
    <x v="0"/>
    <x v="1"/>
    <s v="DK2_Rural"/>
    <x v="9"/>
    <s v="GNR_ENG_BGAS_BP_E-39"/>
    <x v="0"/>
    <x v="3"/>
    <n v="1.23170731707317"/>
    <n v="449.57317073170702"/>
    <n v="1618.46341463415"/>
  </r>
  <r>
    <x v="0"/>
    <x v="0"/>
    <x v="0"/>
    <x v="0"/>
    <x v="1"/>
    <s v="DK2_Rural"/>
    <x v="9"/>
    <s v="GNR_ENG_BGAS_BP_E-40"/>
    <x v="0"/>
    <x v="1"/>
    <n v="0.64634146341463405"/>
    <n v="235.914634146341"/>
    <n v="849.292682926829"/>
  </r>
  <r>
    <x v="0"/>
    <x v="0"/>
    <x v="0"/>
    <x v="0"/>
    <x v="1"/>
    <s v="DK2_Rural"/>
    <x v="9"/>
    <s v="GNR_ENG_BGAS_BP_E-40"/>
    <x v="0"/>
    <x v="2"/>
    <n v="0.64634146341463405"/>
    <n v="235.914634146341"/>
    <n v="849.292682926829"/>
  </r>
  <r>
    <x v="0"/>
    <x v="0"/>
    <x v="0"/>
    <x v="0"/>
    <x v="1"/>
    <s v="DK2_Rural"/>
    <x v="9"/>
    <s v="GNR_ENG_BGAS_BP_E-40"/>
    <x v="0"/>
    <x v="3"/>
    <n v="0.64634146341463405"/>
    <n v="235.914634146341"/>
    <n v="849.292682926829"/>
  </r>
  <r>
    <x v="0"/>
    <x v="0"/>
    <x v="0"/>
    <x v="0"/>
    <x v="1"/>
    <s v="DK2_Rural"/>
    <x v="9"/>
    <s v="GNR_ENG_BGAS_BP_E-40"/>
    <x v="0"/>
    <x v="12"/>
    <n v="0.64634146341463405"/>
    <n v="235.914634146341"/>
    <n v="849.292682926829"/>
  </r>
  <r>
    <x v="0"/>
    <x v="0"/>
    <x v="0"/>
    <x v="0"/>
    <x v="1"/>
    <s v="DK2_Rural"/>
    <x v="9"/>
    <s v="GNR_ENG_BGAS_BP_E-40"/>
    <x v="0"/>
    <x v="17"/>
    <n v="0.64634146341463405"/>
    <n v="235.914634146341"/>
    <n v="849.292682926829"/>
  </r>
  <r>
    <x v="0"/>
    <x v="0"/>
    <x v="0"/>
    <x v="0"/>
    <x v="1"/>
    <s v="DK2_Rural"/>
    <x v="9"/>
    <s v="GNR_ENG_BGAS_BP_E-41"/>
    <x v="0"/>
    <x v="0"/>
    <n v="2.4390243902439002"/>
    <n v="890.24390243902405"/>
    <n v="3204.8780487804902"/>
  </r>
  <r>
    <x v="0"/>
    <x v="0"/>
    <x v="0"/>
    <x v="0"/>
    <x v="1"/>
    <s v="DK2_Rural"/>
    <x v="9"/>
    <s v="GNR_ENG_BGAS_BP_E-41"/>
    <x v="0"/>
    <x v="1"/>
    <n v="2.4390243902439002"/>
    <n v="890.24390243902405"/>
    <n v="3204.8780487804902"/>
  </r>
  <r>
    <x v="0"/>
    <x v="0"/>
    <x v="0"/>
    <x v="0"/>
    <x v="1"/>
    <s v="DK2_Rural"/>
    <x v="9"/>
    <s v="GNR_ENG_BGAS_BP_E-41"/>
    <x v="0"/>
    <x v="2"/>
    <n v="2.4390243902439002"/>
    <n v="890.24390243902405"/>
    <n v="3204.8780487804902"/>
  </r>
  <r>
    <x v="0"/>
    <x v="0"/>
    <x v="0"/>
    <x v="0"/>
    <x v="1"/>
    <s v="DK2_Rural"/>
    <x v="9"/>
    <s v="GNR_ENG_BGAS_BP_E-41"/>
    <x v="0"/>
    <x v="3"/>
    <n v="2.4390243902439002"/>
    <n v="890.24390243902405"/>
    <n v="3204.8780487804902"/>
  </r>
  <r>
    <x v="0"/>
    <x v="0"/>
    <x v="0"/>
    <x v="0"/>
    <x v="1"/>
    <s v="DK2_Rural"/>
    <x v="9"/>
    <s v="GNR_ENG_BGAS_BP_E-41"/>
    <x v="0"/>
    <x v="12"/>
    <n v="2.4390243902439002"/>
    <n v="890.24390243902405"/>
    <n v="3204.8780487804902"/>
  </r>
  <r>
    <x v="0"/>
    <x v="0"/>
    <x v="0"/>
    <x v="0"/>
    <x v="1"/>
    <s v="DK2_Rural"/>
    <x v="9"/>
    <s v="GNR_ENG_BGAS_BP_E-41"/>
    <x v="0"/>
    <x v="4"/>
    <n v="2.4390243902439002"/>
    <n v="890.24390243902405"/>
    <n v="3204.8780487804902"/>
  </r>
  <r>
    <x v="0"/>
    <x v="0"/>
    <x v="0"/>
    <x v="0"/>
    <x v="1"/>
    <s v="DK2_Rural"/>
    <x v="9"/>
    <s v="GNR_ENG_BGAS_BP_E-41"/>
    <x v="0"/>
    <x v="16"/>
    <n v="2.4390243902439002"/>
    <n v="890.24390243902405"/>
    <n v="3204.8780487804902"/>
  </r>
  <r>
    <x v="0"/>
    <x v="0"/>
    <x v="0"/>
    <x v="0"/>
    <x v="1"/>
    <s v="DK2_Rural"/>
    <x v="9"/>
    <s v="GNR_ENG_BGAS_BP_E-41"/>
    <x v="0"/>
    <x v="5"/>
    <n v="2.4390243902439002"/>
    <n v="890.24390243902405"/>
    <n v="3204.8780487804902"/>
  </r>
  <r>
    <x v="0"/>
    <x v="0"/>
    <x v="0"/>
    <x v="0"/>
    <x v="1"/>
    <s v="DK2_Rural"/>
    <x v="9"/>
    <s v="GNR_ENG_BGAS_BP_E-41"/>
    <x v="0"/>
    <x v="17"/>
    <n v="2.4390243902439002"/>
    <n v="890.24390243902405"/>
    <n v="3204.8780487804902"/>
  </r>
  <r>
    <x v="0"/>
    <x v="0"/>
    <x v="0"/>
    <x v="0"/>
    <x v="1"/>
    <s v="DK2_Rural"/>
    <x v="9"/>
    <s v="GNR_ENG_BGAS_BP_E-42"/>
    <x v="0"/>
    <x v="0"/>
    <n v="6.9926829268292696"/>
    <n v="2552.3292682926799"/>
    <n v="9188.3853658536591"/>
  </r>
  <r>
    <x v="0"/>
    <x v="0"/>
    <x v="0"/>
    <x v="0"/>
    <x v="1"/>
    <s v="DK2_Rural"/>
    <x v="9"/>
    <s v="GNR_ENG_BGAS_BP_E-42"/>
    <x v="0"/>
    <x v="1"/>
    <n v="6.9926829268292696"/>
    <n v="2552.3292682926799"/>
    <n v="9188.3853658536591"/>
  </r>
  <r>
    <x v="0"/>
    <x v="0"/>
    <x v="0"/>
    <x v="0"/>
    <x v="1"/>
    <s v="DK2_Rural"/>
    <x v="9"/>
    <s v="GNR_ENG_BGAS_BP_E-42"/>
    <x v="0"/>
    <x v="2"/>
    <n v="6.9926829268292696"/>
    <n v="2552.3292682926799"/>
    <n v="9188.3853658536591"/>
  </r>
  <r>
    <x v="0"/>
    <x v="0"/>
    <x v="0"/>
    <x v="0"/>
    <x v="1"/>
    <s v="DK2_Rural"/>
    <x v="9"/>
    <s v="GNR_ENG_BGAS_BP_E-42"/>
    <x v="0"/>
    <x v="3"/>
    <n v="6.9926829268292696"/>
    <n v="2552.3292682926799"/>
    <n v="9188.3853658536591"/>
  </r>
  <r>
    <x v="0"/>
    <x v="0"/>
    <x v="0"/>
    <x v="0"/>
    <x v="1"/>
    <s v="DK2_Rural"/>
    <x v="9"/>
    <s v="GNR_ENG_BGAS_BP_E-42"/>
    <x v="0"/>
    <x v="12"/>
    <n v="6.9926829268292696"/>
    <n v="2552.3292682926799"/>
    <n v="9188.3853658536591"/>
  </r>
  <r>
    <x v="0"/>
    <x v="0"/>
    <x v="0"/>
    <x v="0"/>
    <x v="1"/>
    <s v="DK2_Rural"/>
    <x v="9"/>
    <s v="GNR_ENG_BGAS_BP_E-42"/>
    <x v="0"/>
    <x v="4"/>
    <n v="6.9926829268292696"/>
    <n v="2552.3292682926799"/>
    <n v="9188.3853658536591"/>
  </r>
  <r>
    <x v="0"/>
    <x v="0"/>
    <x v="0"/>
    <x v="0"/>
    <x v="1"/>
    <s v="DK2_Rural"/>
    <x v="9"/>
    <s v="GNR_ENG_BGAS_BP_E-42"/>
    <x v="0"/>
    <x v="16"/>
    <n v="6.9926829268292696"/>
    <n v="2552.3292682926799"/>
    <n v="9188.3853658536591"/>
  </r>
  <r>
    <x v="0"/>
    <x v="0"/>
    <x v="0"/>
    <x v="0"/>
    <x v="1"/>
    <s v="DK2_Rural"/>
    <x v="9"/>
    <s v="GNR_ENG_BGAS_BP_E-42"/>
    <x v="0"/>
    <x v="5"/>
    <n v="6.9926829268292696"/>
    <n v="2552.3292682926799"/>
    <n v="9188.3853658536591"/>
  </r>
  <r>
    <x v="0"/>
    <x v="0"/>
    <x v="0"/>
    <x v="0"/>
    <x v="1"/>
    <s v="DK2_Rural"/>
    <x v="9"/>
    <s v="GNR_ENG_BGAS_BP_E-42"/>
    <x v="0"/>
    <x v="17"/>
    <n v="6.9926829268292696"/>
    <n v="2552.3292682926799"/>
    <n v="9188.3853658536591"/>
  </r>
  <r>
    <x v="0"/>
    <x v="0"/>
    <x v="0"/>
    <x v="0"/>
    <x v="1"/>
    <s v="DK2_Rural"/>
    <x v="0"/>
    <s v="GNR_ST_COAL_BP_E-35"/>
    <x v="0"/>
    <x v="1"/>
    <n v="49.3333333333333"/>
    <n v="18006.666666666701"/>
    <n v="64824"/>
  </r>
  <r>
    <x v="0"/>
    <x v="0"/>
    <x v="0"/>
    <x v="0"/>
    <x v="1"/>
    <s v="DK2_Rural"/>
    <x v="0"/>
    <s v="GNR_ST_COAL_BP_E-35"/>
    <x v="0"/>
    <x v="2"/>
    <n v="49.3333333333333"/>
    <n v="18006.666666666701"/>
    <n v="64824"/>
  </r>
  <r>
    <x v="0"/>
    <x v="0"/>
    <x v="0"/>
    <x v="0"/>
    <x v="1"/>
    <s v="DK2_Rural"/>
    <x v="0"/>
    <s v="GNR_ST_COAL_BP_E-35"/>
    <x v="0"/>
    <x v="3"/>
    <n v="49.3333333333333"/>
    <n v="18006.666666666701"/>
    <n v="64824"/>
  </r>
  <r>
    <x v="0"/>
    <x v="0"/>
    <x v="0"/>
    <x v="0"/>
    <x v="1"/>
    <s v="DK2_Rural"/>
    <x v="1"/>
    <s v="GNR_HS_HEAT-E-100"/>
    <x v="0"/>
    <x v="12"/>
    <n v="69.046155485749694"/>
    <n v="25201.846752298599"/>
    <n v="90726.648308275006"/>
  </r>
  <r>
    <x v="0"/>
    <x v="0"/>
    <x v="0"/>
    <x v="0"/>
    <x v="1"/>
    <s v="DK2_Rural"/>
    <x v="1"/>
    <s v="GNR_HS_HEAT-E-100"/>
    <x v="0"/>
    <x v="13"/>
    <n v="77.887396736581707"/>
    <n v="28428.8998088523"/>
    <n v="102344.03931186799"/>
  </r>
  <r>
    <x v="0"/>
    <x v="0"/>
    <x v="0"/>
    <x v="0"/>
    <x v="1"/>
    <s v="DK2_Rural"/>
    <x v="1"/>
    <s v="GNR_HS_HEAT-E-100"/>
    <x v="0"/>
    <x v="14"/>
    <n v="22.4417054409458"/>
    <n v="8191.2224859452299"/>
    <n v="29488.4009494028"/>
  </r>
  <r>
    <x v="0"/>
    <x v="0"/>
    <x v="0"/>
    <x v="0"/>
    <x v="1"/>
    <s v="DK2_Rural"/>
    <x v="1"/>
    <s v="GNR_HS_HEAT-E-100"/>
    <x v="0"/>
    <x v="15"/>
    <n v="17.0822061457709"/>
    <n v="6235.0052432063703"/>
    <n v="22446.018875542901"/>
  </r>
  <r>
    <x v="0"/>
    <x v="0"/>
    <x v="0"/>
    <x v="0"/>
    <x v="1"/>
    <s v="DK2_Rural"/>
    <x v="1"/>
    <s v="GNR_HS_HEAT-E-100"/>
    <x v="0"/>
    <x v="4"/>
    <n v="9.8492677703079394"/>
    <n v="3594.9827361624002"/>
    <n v="12941.9378501846"/>
  </r>
  <r>
    <x v="0"/>
    <x v="0"/>
    <x v="0"/>
    <x v="0"/>
    <x v="1"/>
    <s v="DK2_Rural"/>
    <x v="1"/>
    <s v="GNR_HS_HEAT-E-100"/>
    <x v="0"/>
    <x v="16"/>
    <n v="11.9106136530676"/>
    <n v="4347.37398336966"/>
    <n v="15650.546340130801"/>
  </r>
  <r>
    <x v="0"/>
    <x v="0"/>
    <x v="0"/>
    <x v="0"/>
    <x v="1"/>
    <s v="DK2_Rural"/>
    <x v="1"/>
    <s v="GNR_HS_HEAT-E-100"/>
    <x v="0"/>
    <x v="5"/>
    <n v="13.147421182723299"/>
    <n v="4798.80873169401"/>
    <n v="17275.711434098401"/>
  </r>
  <r>
    <x v="0"/>
    <x v="0"/>
    <x v="0"/>
    <x v="0"/>
    <x v="1"/>
    <s v="DK2_Rural"/>
    <x v="1"/>
    <s v="GNR_HS_HEAT-E-100"/>
    <x v="0"/>
    <x v="17"/>
    <n v="16.2115023082759"/>
    <n v="5917.19834252072"/>
    <n v="21301.914033074601"/>
  </r>
  <r>
    <x v="0"/>
    <x v="0"/>
    <x v="0"/>
    <x v="0"/>
    <x v="1"/>
    <s v="DK2_Rural"/>
    <x v="1"/>
    <s v="GNR_HS_HEAT-E-100"/>
    <x v="0"/>
    <x v="18"/>
    <n v="25.739858853361198"/>
    <n v="9395.0484814768297"/>
    <n v="33822.174533316604"/>
  </r>
  <r>
    <x v="0"/>
    <x v="0"/>
    <x v="0"/>
    <x v="0"/>
    <x v="1"/>
    <s v="DK2_Rural"/>
    <x v="1"/>
    <s v="GNR_HS_HEAT-E-100"/>
    <x v="0"/>
    <x v="19"/>
    <n v="20.105513440484899"/>
    <n v="7338.5124057770099"/>
    <n v="26418.644660797199"/>
  </r>
  <r>
    <x v="0"/>
    <x v="0"/>
    <x v="0"/>
    <x v="0"/>
    <x v="1"/>
    <s v="DK2_Rural"/>
    <x v="1"/>
    <s v="GNR_HS_HEAT-E-100"/>
    <x v="0"/>
    <x v="20"/>
    <n v="9.5239379089856708"/>
    <n v="3476.23733677977"/>
    <n v="12514.4544124072"/>
  </r>
  <r>
    <x v="0"/>
    <x v="0"/>
    <x v="0"/>
    <x v="0"/>
    <x v="1"/>
    <s v="DK2_Rural"/>
    <x v="1"/>
    <s v="GNR_HS_HEAT-E-100"/>
    <x v="0"/>
    <x v="21"/>
    <n v="3.4529339507246899"/>
    <n v="1260.32089201451"/>
    <n v="4537.1552112522404"/>
  </r>
  <r>
    <x v="0"/>
    <x v="0"/>
    <x v="0"/>
    <x v="0"/>
    <x v="1"/>
    <s v="DK2_Rural"/>
    <x v="2"/>
    <s v="GNR_BO_MSW_E-105"/>
    <x v="0"/>
    <x v="6"/>
    <n v="7"/>
    <n v="2555"/>
    <n v="9198"/>
  </r>
  <r>
    <x v="0"/>
    <x v="0"/>
    <x v="0"/>
    <x v="0"/>
    <x v="1"/>
    <s v="DK2_Rural"/>
    <x v="2"/>
    <s v="GNR_BO_MSW_E-105"/>
    <x v="0"/>
    <x v="7"/>
    <n v="7"/>
    <n v="2555"/>
    <n v="9198"/>
  </r>
  <r>
    <x v="0"/>
    <x v="0"/>
    <x v="0"/>
    <x v="0"/>
    <x v="1"/>
    <s v="DK2_Rural"/>
    <x v="2"/>
    <s v="GNR_BO_MSW_E-105"/>
    <x v="0"/>
    <x v="8"/>
    <n v="7"/>
    <n v="2555"/>
    <n v="9198"/>
  </r>
  <r>
    <x v="0"/>
    <x v="0"/>
    <x v="0"/>
    <x v="0"/>
    <x v="1"/>
    <s v="DK2_Rural"/>
    <x v="2"/>
    <s v="GNR_BO_MSW_E-105"/>
    <x v="0"/>
    <x v="9"/>
    <n v="7"/>
    <n v="2555"/>
    <n v="9198"/>
  </r>
  <r>
    <x v="0"/>
    <x v="0"/>
    <x v="0"/>
    <x v="0"/>
    <x v="1"/>
    <s v="DK2_Rural"/>
    <x v="2"/>
    <s v="GNR_BO_MSW_E-105"/>
    <x v="0"/>
    <x v="10"/>
    <n v="7"/>
    <n v="2555"/>
    <n v="9198"/>
  </r>
  <r>
    <x v="0"/>
    <x v="0"/>
    <x v="0"/>
    <x v="0"/>
    <x v="1"/>
    <s v="DK2_Rural"/>
    <x v="2"/>
    <s v="GNR_BO_MSW_E-105"/>
    <x v="0"/>
    <x v="11"/>
    <n v="7"/>
    <n v="2555"/>
    <n v="9198"/>
  </r>
  <r>
    <x v="0"/>
    <x v="0"/>
    <x v="0"/>
    <x v="0"/>
    <x v="1"/>
    <s v="DK2_Rural"/>
    <x v="2"/>
    <s v="GNR_BO_MSW_E-105"/>
    <x v="0"/>
    <x v="0"/>
    <n v="7"/>
    <n v="2555"/>
    <n v="9198"/>
  </r>
  <r>
    <x v="0"/>
    <x v="0"/>
    <x v="0"/>
    <x v="0"/>
    <x v="1"/>
    <s v="DK2_Rural"/>
    <x v="2"/>
    <s v="GNR_BO_MSW_E-105"/>
    <x v="0"/>
    <x v="1"/>
    <n v="7"/>
    <n v="2555"/>
    <n v="9198"/>
  </r>
  <r>
    <x v="0"/>
    <x v="0"/>
    <x v="0"/>
    <x v="0"/>
    <x v="1"/>
    <s v="DK2_Rural"/>
    <x v="2"/>
    <s v="GNR_BO_MSW_E-105"/>
    <x v="0"/>
    <x v="2"/>
    <n v="7"/>
    <n v="2555"/>
    <n v="9198"/>
  </r>
  <r>
    <x v="0"/>
    <x v="0"/>
    <x v="0"/>
    <x v="0"/>
    <x v="1"/>
    <s v="DK2_Rural"/>
    <x v="2"/>
    <s v="GNR_BO_MSW_E-105"/>
    <x v="0"/>
    <x v="3"/>
    <n v="7"/>
    <n v="2555"/>
    <n v="9198"/>
  </r>
  <r>
    <x v="0"/>
    <x v="0"/>
    <x v="0"/>
    <x v="0"/>
    <x v="1"/>
    <s v="DK2_Rural"/>
    <x v="2"/>
    <s v="GNR_BO_MSW_E-105"/>
    <x v="0"/>
    <x v="12"/>
    <n v="7"/>
    <n v="2555"/>
    <n v="9198"/>
  </r>
  <r>
    <x v="0"/>
    <x v="0"/>
    <x v="0"/>
    <x v="0"/>
    <x v="1"/>
    <s v="DK2_Rural"/>
    <x v="2"/>
    <s v="GNR_BO_MSW_E-105"/>
    <x v="0"/>
    <x v="13"/>
    <n v="7"/>
    <n v="2555"/>
    <n v="9198"/>
  </r>
  <r>
    <x v="0"/>
    <x v="0"/>
    <x v="0"/>
    <x v="0"/>
    <x v="1"/>
    <s v="DK2_Rural"/>
    <x v="2"/>
    <s v="GNR_BO_MSW_E-105"/>
    <x v="0"/>
    <x v="14"/>
    <n v="7"/>
    <n v="2555"/>
    <n v="9198"/>
  </r>
  <r>
    <x v="0"/>
    <x v="0"/>
    <x v="0"/>
    <x v="0"/>
    <x v="1"/>
    <s v="DK2_Rural"/>
    <x v="2"/>
    <s v="GNR_BO_MSW_E-105"/>
    <x v="0"/>
    <x v="15"/>
    <n v="7"/>
    <n v="2555"/>
    <n v="9198"/>
  </r>
  <r>
    <x v="0"/>
    <x v="0"/>
    <x v="0"/>
    <x v="0"/>
    <x v="1"/>
    <s v="DK2_Rural"/>
    <x v="2"/>
    <s v="GNR_BO_MSW_E-105"/>
    <x v="0"/>
    <x v="4"/>
    <n v="7"/>
    <n v="2555"/>
    <n v="9198"/>
  </r>
  <r>
    <x v="0"/>
    <x v="0"/>
    <x v="0"/>
    <x v="0"/>
    <x v="1"/>
    <s v="DK2_Rural"/>
    <x v="2"/>
    <s v="GNR_BO_MSW_E-105"/>
    <x v="0"/>
    <x v="16"/>
    <n v="7"/>
    <n v="2555"/>
    <n v="9198"/>
  </r>
  <r>
    <x v="0"/>
    <x v="0"/>
    <x v="0"/>
    <x v="0"/>
    <x v="1"/>
    <s v="DK2_Rural"/>
    <x v="2"/>
    <s v="GNR_BO_MSW_E-105"/>
    <x v="0"/>
    <x v="5"/>
    <n v="7"/>
    <n v="2555"/>
    <n v="9198"/>
  </r>
  <r>
    <x v="0"/>
    <x v="0"/>
    <x v="0"/>
    <x v="0"/>
    <x v="1"/>
    <s v="DK2_Rural"/>
    <x v="2"/>
    <s v="GNR_BO_MSW_E-105"/>
    <x v="0"/>
    <x v="17"/>
    <n v="7"/>
    <n v="2555"/>
    <n v="9198"/>
  </r>
  <r>
    <x v="0"/>
    <x v="0"/>
    <x v="0"/>
    <x v="0"/>
    <x v="1"/>
    <s v="DK2_Rural"/>
    <x v="2"/>
    <s v="GNR_BO_MSW_E-105"/>
    <x v="0"/>
    <x v="18"/>
    <n v="7"/>
    <n v="2555"/>
    <n v="9198"/>
  </r>
  <r>
    <x v="0"/>
    <x v="0"/>
    <x v="0"/>
    <x v="0"/>
    <x v="1"/>
    <s v="DK2_Rural"/>
    <x v="2"/>
    <s v="GNR_BO_MSW_E-105"/>
    <x v="0"/>
    <x v="19"/>
    <n v="7"/>
    <n v="2555"/>
    <n v="9198"/>
  </r>
  <r>
    <x v="0"/>
    <x v="0"/>
    <x v="0"/>
    <x v="0"/>
    <x v="1"/>
    <s v="DK2_Rural"/>
    <x v="2"/>
    <s v="GNR_BO_MSW_E-105"/>
    <x v="0"/>
    <x v="20"/>
    <n v="7"/>
    <n v="2555"/>
    <n v="9198"/>
  </r>
  <r>
    <x v="0"/>
    <x v="0"/>
    <x v="0"/>
    <x v="0"/>
    <x v="1"/>
    <s v="DK2_Rural"/>
    <x v="2"/>
    <s v="GNR_BO_MSW_E-105"/>
    <x v="0"/>
    <x v="21"/>
    <n v="7"/>
    <n v="2555"/>
    <n v="9198"/>
  </r>
  <r>
    <x v="0"/>
    <x v="0"/>
    <x v="0"/>
    <x v="0"/>
    <x v="1"/>
    <s v="DK2_Rural"/>
    <x v="2"/>
    <s v="GNR_BO_MSW_E-105"/>
    <x v="0"/>
    <x v="22"/>
    <n v="7"/>
    <n v="2555"/>
    <n v="9198"/>
  </r>
  <r>
    <x v="0"/>
    <x v="0"/>
    <x v="0"/>
    <x v="0"/>
    <x v="1"/>
    <s v="DK2_Rural"/>
    <x v="2"/>
    <s v="GNR_BO_MSW_E-105"/>
    <x v="0"/>
    <x v="23"/>
    <n v="7"/>
    <n v="2555"/>
    <n v="9198"/>
  </r>
  <r>
    <x v="0"/>
    <x v="0"/>
    <x v="0"/>
    <x v="0"/>
    <x v="1"/>
    <s v="DK2_Rural"/>
    <x v="3"/>
    <s v="GNR_ENG_NGAS_BP_E-33"/>
    <x v="0"/>
    <x v="6"/>
    <n v="7.6333333333333302"/>
    <n v="2786.1666666666702"/>
    <n v="10030.200000000001"/>
  </r>
  <r>
    <x v="0"/>
    <x v="0"/>
    <x v="0"/>
    <x v="0"/>
    <x v="1"/>
    <s v="DK2_Rural"/>
    <x v="3"/>
    <s v="GNR_ENG_NGAS_BP_E-33"/>
    <x v="0"/>
    <x v="7"/>
    <n v="7.6333333333333302"/>
    <n v="2786.1666666666702"/>
    <n v="10030.200000000001"/>
  </r>
  <r>
    <x v="0"/>
    <x v="0"/>
    <x v="0"/>
    <x v="0"/>
    <x v="1"/>
    <s v="DK2_Rural"/>
    <x v="3"/>
    <s v="GNR_ENG_NGAS_BP_E-33"/>
    <x v="0"/>
    <x v="8"/>
    <n v="7.6333333333333302"/>
    <n v="2786.1666666666702"/>
    <n v="10030.200000000001"/>
  </r>
  <r>
    <x v="0"/>
    <x v="0"/>
    <x v="0"/>
    <x v="0"/>
    <x v="1"/>
    <s v="DK2_Rural"/>
    <x v="3"/>
    <s v="GNR_ENG_NGAS_BP_E-33"/>
    <x v="0"/>
    <x v="9"/>
    <n v="7.6333333333333302"/>
    <n v="2786.1666666666702"/>
    <n v="10030.200000000001"/>
  </r>
  <r>
    <x v="0"/>
    <x v="0"/>
    <x v="0"/>
    <x v="0"/>
    <x v="1"/>
    <s v="DK2_Rural"/>
    <x v="3"/>
    <s v="GNR_ENG_NGAS_BP_E-33"/>
    <x v="0"/>
    <x v="10"/>
    <n v="7.6333333333333302"/>
    <n v="2786.1666666666702"/>
    <n v="10030.200000000001"/>
  </r>
  <r>
    <x v="0"/>
    <x v="0"/>
    <x v="0"/>
    <x v="0"/>
    <x v="1"/>
    <s v="DK2_Rural"/>
    <x v="3"/>
    <s v="GNR_ENG_NGAS_BP_E-33"/>
    <x v="0"/>
    <x v="11"/>
    <n v="7.6333333333333302"/>
    <n v="2786.1666666666702"/>
    <n v="10030.200000000001"/>
  </r>
  <r>
    <x v="0"/>
    <x v="0"/>
    <x v="0"/>
    <x v="0"/>
    <x v="1"/>
    <s v="DK2_Rural"/>
    <x v="3"/>
    <s v="GNR_ENG_NGAS_BP_E-33"/>
    <x v="0"/>
    <x v="0"/>
    <n v="7.6333333333333302"/>
    <n v="2786.1666666666702"/>
    <n v="10030.200000000001"/>
  </r>
  <r>
    <x v="0"/>
    <x v="0"/>
    <x v="0"/>
    <x v="0"/>
    <x v="1"/>
    <s v="DK2_Rural"/>
    <x v="3"/>
    <s v="GNR_ENG_NGAS_BP_E-33"/>
    <x v="0"/>
    <x v="1"/>
    <n v="7.6333333333333302"/>
    <n v="2786.1666666666702"/>
    <n v="10030.200000000001"/>
  </r>
  <r>
    <x v="0"/>
    <x v="0"/>
    <x v="0"/>
    <x v="0"/>
    <x v="1"/>
    <s v="DK2_Rural"/>
    <x v="3"/>
    <s v="GNR_ENG_NGAS_BP_E-33"/>
    <x v="0"/>
    <x v="2"/>
    <n v="7.6333333333333302"/>
    <n v="2786.1666666666702"/>
    <n v="10030.200000000001"/>
  </r>
  <r>
    <x v="0"/>
    <x v="0"/>
    <x v="0"/>
    <x v="0"/>
    <x v="1"/>
    <s v="DK2_Rural"/>
    <x v="3"/>
    <s v="GNR_ENG_NGAS_BP_E-33"/>
    <x v="0"/>
    <x v="3"/>
    <n v="7.6333333333333302"/>
    <n v="2786.1666666666702"/>
    <n v="10030.200000000001"/>
  </r>
  <r>
    <x v="0"/>
    <x v="0"/>
    <x v="0"/>
    <x v="0"/>
    <x v="1"/>
    <s v="DK2_Rural"/>
    <x v="3"/>
    <s v="GNR_ENG_NGAS_BP_E-33"/>
    <x v="0"/>
    <x v="12"/>
    <n v="7.6333333333333302"/>
    <n v="2786.1666666666702"/>
    <n v="10030.200000000001"/>
  </r>
  <r>
    <x v="0"/>
    <x v="0"/>
    <x v="0"/>
    <x v="0"/>
    <x v="1"/>
    <s v="DK2_Rural"/>
    <x v="3"/>
    <s v="GNR_ENG_NGAS_BP_E-33"/>
    <x v="0"/>
    <x v="13"/>
    <n v="7.6333333333333302"/>
    <n v="2786.1666666666702"/>
    <n v="10030.200000000001"/>
  </r>
  <r>
    <x v="0"/>
    <x v="0"/>
    <x v="0"/>
    <x v="0"/>
    <x v="1"/>
    <s v="DK2_Rural"/>
    <x v="3"/>
    <s v="GNR_ENG_NGAS_BP_E-33"/>
    <x v="0"/>
    <x v="14"/>
    <n v="7.6333333333333302"/>
    <n v="2786.1666666666702"/>
    <n v="10030.200000000001"/>
  </r>
  <r>
    <x v="0"/>
    <x v="0"/>
    <x v="0"/>
    <x v="0"/>
    <x v="1"/>
    <s v="DK2_Rural"/>
    <x v="3"/>
    <s v="GNR_ENG_NGAS_BP_E-33"/>
    <x v="0"/>
    <x v="15"/>
    <n v="7.6333333333333302"/>
    <n v="2786.1666666666702"/>
    <n v="10030.200000000001"/>
  </r>
  <r>
    <x v="0"/>
    <x v="0"/>
    <x v="0"/>
    <x v="0"/>
    <x v="1"/>
    <s v="DK2_Rural"/>
    <x v="3"/>
    <s v="GNR_ENG_NGAS_BP_E-33"/>
    <x v="0"/>
    <x v="4"/>
    <n v="7.6333333333333302"/>
    <n v="2786.1666666666702"/>
    <n v="10030.200000000001"/>
  </r>
  <r>
    <x v="0"/>
    <x v="0"/>
    <x v="0"/>
    <x v="0"/>
    <x v="1"/>
    <s v="DK2_Rural"/>
    <x v="3"/>
    <s v="GNR_ENG_NGAS_BP_E-33"/>
    <x v="0"/>
    <x v="16"/>
    <n v="7.6333333333333302"/>
    <n v="2786.1666666666702"/>
    <n v="10030.200000000001"/>
  </r>
  <r>
    <x v="0"/>
    <x v="0"/>
    <x v="0"/>
    <x v="0"/>
    <x v="1"/>
    <s v="DK2_Rural"/>
    <x v="3"/>
    <s v="GNR_ENG_NGAS_BP_E-33"/>
    <x v="0"/>
    <x v="5"/>
    <n v="7.6333333333333302"/>
    <n v="2786.1666666666702"/>
    <n v="10030.200000000001"/>
  </r>
  <r>
    <x v="0"/>
    <x v="0"/>
    <x v="0"/>
    <x v="0"/>
    <x v="1"/>
    <s v="DK2_Rural"/>
    <x v="3"/>
    <s v="GNR_ENG_NGAS_BP_E-33"/>
    <x v="0"/>
    <x v="17"/>
    <n v="7.6333333333333302"/>
    <n v="2786.1666666666702"/>
    <n v="10030.200000000001"/>
  </r>
  <r>
    <x v="0"/>
    <x v="0"/>
    <x v="0"/>
    <x v="0"/>
    <x v="1"/>
    <s v="DK2_Rural"/>
    <x v="3"/>
    <s v="GNR_ENG_NGAS_BP_E-33"/>
    <x v="0"/>
    <x v="18"/>
    <n v="7.6333333333333302"/>
    <n v="2786.1666666666702"/>
    <n v="10030.200000000001"/>
  </r>
  <r>
    <x v="0"/>
    <x v="0"/>
    <x v="0"/>
    <x v="0"/>
    <x v="1"/>
    <s v="DK2_Rural"/>
    <x v="3"/>
    <s v="GNR_ENG_NGAS_BP_E-33"/>
    <x v="0"/>
    <x v="19"/>
    <n v="7.6333333333333302"/>
    <n v="2786.1666666666702"/>
    <n v="10030.200000000001"/>
  </r>
  <r>
    <x v="0"/>
    <x v="0"/>
    <x v="0"/>
    <x v="0"/>
    <x v="1"/>
    <s v="DK2_Rural"/>
    <x v="3"/>
    <s v="GNR_ENG_NGAS_BP_E-33"/>
    <x v="0"/>
    <x v="20"/>
    <n v="7.6333333333333302"/>
    <n v="2786.1666666666702"/>
    <n v="10030.200000000001"/>
  </r>
  <r>
    <x v="0"/>
    <x v="0"/>
    <x v="0"/>
    <x v="0"/>
    <x v="1"/>
    <s v="DK2_Rural"/>
    <x v="3"/>
    <s v="GNR_ENG_NGAS_BP_E-33"/>
    <x v="0"/>
    <x v="21"/>
    <n v="7.6333333333333302"/>
    <n v="2786.1666666666702"/>
    <n v="10030.200000000001"/>
  </r>
  <r>
    <x v="0"/>
    <x v="0"/>
    <x v="0"/>
    <x v="0"/>
    <x v="1"/>
    <s v="DK2_Rural"/>
    <x v="3"/>
    <s v="GNR_ENG_NGAS_BP_E-33"/>
    <x v="0"/>
    <x v="22"/>
    <n v="7.6333333333333302"/>
    <n v="2786.1666666666702"/>
    <n v="10030.200000000001"/>
  </r>
  <r>
    <x v="0"/>
    <x v="0"/>
    <x v="0"/>
    <x v="0"/>
    <x v="1"/>
    <s v="DK2_Rural"/>
    <x v="3"/>
    <s v="GNR_ENG_NGAS_BP_E-33"/>
    <x v="0"/>
    <x v="23"/>
    <n v="7.6333333333333302"/>
    <n v="2786.1666666666702"/>
    <n v="10030.200000000001"/>
  </r>
  <r>
    <x v="0"/>
    <x v="0"/>
    <x v="0"/>
    <x v="0"/>
    <x v="1"/>
    <s v="DK2_Rural"/>
    <x v="3"/>
    <s v="GNR_ENG_NGAS_BP_E-34"/>
    <x v="0"/>
    <x v="6"/>
    <n v="4.4111111111111097"/>
    <n v="1610.05555555556"/>
    <n v="5796.2"/>
  </r>
  <r>
    <x v="0"/>
    <x v="0"/>
    <x v="0"/>
    <x v="0"/>
    <x v="1"/>
    <s v="DK2_Rural"/>
    <x v="3"/>
    <s v="GNR_ENG_NGAS_BP_E-34"/>
    <x v="0"/>
    <x v="7"/>
    <n v="4.4111111111111097"/>
    <n v="1610.05555555556"/>
    <n v="5796.2"/>
  </r>
  <r>
    <x v="0"/>
    <x v="0"/>
    <x v="0"/>
    <x v="0"/>
    <x v="1"/>
    <s v="DK2_Rural"/>
    <x v="3"/>
    <s v="GNR_ENG_NGAS_BP_E-34"/>
    <x v="0"/>
    <x v="8"/>
    <n v="4.4111111111111097"/>
    <n v="1610.05555555556"/>
    <n v="5796.2"/>
  </r>
  <r>
    <x v="0"/>
    <x v="0"/>
    <x v="0"/>
    <x v="0"/>
    <x v="1"/>
    <s v="DK2_Rural"/>
    <x v="3"/>
    <s v="GNR_ENG_NGAS_BP_E-34"/>
    <x v="0"/>
    <x v="9"/>
    <n v="4.4111111111111097"/>
    <n v="1610.05555555556"/>
    <n v="5796.2"/>
  </r>
  <r>
    <x v="0"/>
    <x v="0"/>
    <x v="0"/>
    <x v="0"/>
    <x v="1"/>
    <s v="DK2_Rural"/>
    <x v="3"/>
    <s v="GNR_ENG_NGAS_BP_E-34"/>
    <x v="0"/>
    <x v="10"/>
    <n v="4.4111111111111097"/>
    <n v="1610.05555555556"/>
    <n v="5796.2"/>
  </r>
  <r>
    <x v="0"/>
    <x v="0"/>
    <x v="0"/>
    <x v="0"/>
    <x v="1"/>
    <s v="DK2_Rural"/>
    <x v="3"/>
    <s v="GNR_ENG_NGAS_BP_E-34"/>
    <x v="0"/>
    <x v="11"/>
    <n v="4.4111111111111097"/>
    <n v="1610.05555555556"/>
    <n v="5796.2"/>
  </r>
  <r>
    <x v="0"/>
    <x v="0"/>
    <x v="0"/>
    <x v="0"/>
    <x v="1"/>
    <s v="DK2_Rural"/>
    <x v="3"/>
    <s v="GNR_ENG_NGAS_BP_E-34"/>
    <x v="0"/>
    <x v="0"/>
    <n v="4.4111111111111097"/>
    <n v="1610.05555555556"/>
    <n v="5796.2"/>
  </r>
  <r>
    <x v="0"/>
    <x v="0"/>
    <x v="0"/>
    <x v="0"/>
    <x v="1"/>
    <s v="DK2_Rural"/>
    <x v="3"/>
    <s v="GNR_ENG_NGAS_BP_E-34"/>
    <x v="0"/>
    <x v="1"/>
    <n v="4.4111111111111097"/>
    <n v="1610.05555555556"/>
    <n v="5796.2"/>
  </r>
  <r>
    <x v="0"/>
    <x v="0"/>
    <x v="0"/>
    <x v="0"/>
    <x v="1"/>
    <s v="DK2_Rural"/>
    <x v="3"/>
    <s v="GNR_ENG_NGAS_BP_E-34"/>
    <x v="0"/>
    <x v="2"/>
    <n v="4.4111111111111097"/>
    <n v="1610.05555555556"/>
    <n v="5796.2"/>
  </r>
  <r>
    <x v="0"/>
    <x v="0"/>
    <x v="0"/>
    <x v="0"/>
    <x v="1"/>
    <s v="DK2_Rural"/>
    <x v="3"/>
    <s v="GNR_ENG_NGAS_BP_E-34"/>
    <x v="0"/>
    <x v="3"/>
    <n v="4.4111111111111097"/>
    <n v="1610.05555555556"/>
    <n v="5796.2"/>
  </r>
  <r>
    <x v="0"/>
    <x v="0"/>
    <x v="0"/>
    <x v="0"/>
    <x v="1"/>
    <s v="DK2_Rural"/>
    <x v="3"/>
    <s v="GNR_ENG_NGAS_BP_E-34"/>
    <x v="0"/>
    <x v="12"/>
    <n v="4.4111111111111097"/>
    <n v="1610.05555555556"/>
    <n v="5796.2"/>
  </r>
  <r>
    <x v="0"/>
    <x v="0"/>
    <x v="0"/>
    <x v="0"/>
    <x v="1"/>
    <s v="DK2_Rural"/>
    <x v="3"/>
    <s v="GNR_ENG_NGAS_BP_E-34"/>
    <x v="0"/>
    <x v="13"/>
    <n v="4.4111111111111097"/>
    <n v="1610.05555555556"/>
    <n v="5796.2"/>
  </r>
  <r>
    <x v="0"/>
    <x v="0"/>
    <x v="0"/>
    <x v="0"/>
    <x v="1"/>
    <s v="DK2_Rural"/>
    <x v="3"/>
    <s v="GNR_ENG_NGAS_BP_E-34"/>
    <x v="0"/>
    <x v="14"/>
    <n v="4.4111111111111097"/>
    <n v="1610.05555555556"/>
    <n v="5796.2"/>
  </r>
  <r>
    <x v="0"/>
    <x v="0"/>
    <x v="0"/>
    <x v="0"/>
    <x v="1"/>
    <s v="DK2_Rural"/>
    <x v="3"/>
    <s v="GNR_ENG_NGAS_BP_E-34"/>
    <x v="0"/>
    <x v="15"/>
    <n v="4.4111111111111097"/>
    <n v="1610.05555555556"/>
    <n v="5796.2"/>
  </r>
  <r>
    <x v="0"/>
    <x v="0"/>
    <x v="0"/>
    <x v="0"/>
    <x v="1"/>
    <s v="DK2_Rural"/>
    <x v="3"/>
    <s v="GNR_ENG_NGAS_BP_E-34"/>
    <x v="0"/>
    <x v="4"/>
    <n v="4.4111111111111097"/>
    <n v="1610.05555555556"/>
    <n v="5796.2"/>
  </r>
  <r>
    <x v="0"/>
    <x v="0"/>
    <x v="0"/>
    <x v="0"/>
    <x v="1"/>
    <s v="DK2_Rural"/>
    <x v="3"/>
    <s v="GNR_ENG_NGAS_BP_E-34"/>
    <x v="0"/>
    <x v="16"/>
    <n v="4.4111111111111097"/>
    <n v="1610.05555555556"/>
    <n v="5796.2"/>
  </r>
  <r>
    <x v="0"/>
    <x v="0"/>
    <x v="0"/>
    <x v="0"/>
    <x v="1"/>
    <s v="DK2_Rural"/>
    <x v="3"/>
    <s v="GNR_ENG_NGAS_BP_E-34"/>
    <x v="0"/>
    <x v="5"/>
    <n v="4.4111111111111097"/>
    <n v="1610.05555555556"/>
    <n v="5796.2"/>
  </r>
  <r>
    <x v="0"/>
    <x v="0"/>
    <x v="0"/>
    <x v="0"/>
    <x v="1"/>
    <s v="DK2_Rural"/>
    <x v="3"/>
    <s v="GNR_ENG_NGAS_BP_E-34"/>
    <x v="0"/>
    <x v="17"/>
    <n v="4.4111111111111097"/>
    <n v="1610.05555555556"/>
    <n v="5796.2"/>
  </r>
  <r>
    <x v="0"/>
    <x v="0"/>
    <x v="0"/>
    <x v="0"/>
    <x v="1"/>
    <s v="DK2_Rural"/>
    <x v="3"/>
    <s v="GNR_ENG_NGAS_BP_E-34"/>
    <x v="0"/>
    <x v="18"/>
    <n v="4.4111111111111097"/>
    <n v="1610.05555555556"/>
    <n v="5796.2"/>
  </r>
  <r>
    <x v="0"/>
    <x v="0"/>
    <x v="0"/>
    <x v="0"/>
    <x v="1"/>
    <s v="DK2_Rural"/>
    <x v="3"/>
    <s v="GNR_ENG_NGAS_BP_E-34"/>
    <x v="0"/>
    <x v="19"/>
    <n v="4.4111111111111097"/>
    <n v="1610.05555555556"/>
    <n v="5796.2"/>
  </r>
  <r>
    <x v="0"/>
    <x v="0"/>
    <x v="0"/>
    <x v="0"/>
    <x v="1"/>
    <s v="DK2_Rural"/>
    <x v="3"/>
    <s v="GNR_ENG_NGAS_BP_E-34"/>
    <x v="0"/>
    <x v="20"/>
    <n v="4.4111111111111097"/>
    <n v="1610.05555555556"/>
    <n v="5796.2"/>
  </r>
  <r>
    <x v="0"/>
    <x v="0"/>
    <x v="0"/>
    <x v="0"/>
    <x v="1"/>
    <s v="DK2_Rural"/>
    <x v="3"/>
    <s v="GNR_ENG_NGAS_BP_E-34"/>
    <x v="0"/>
    <x v="21"/>
    <n v="4.4111111111111097"/>
    <n v="1610.05555555556"/>
    <n v="5796.2"/>
  </r>
  <r>
    <x v="0"/>
    <x v="0"/>
    <x v="0"/>
    <x v="0"/>
    <x v="1"/>
    <s v="DK2_Rural"/>
    <x v="3"/>
    <s v="GNR_ENG_NGAS_BP_E-34"/>
    <x v="0"/>
    <x v="22"/>
    <n v="4.4111111111111097"/>
    <n v="1610.05555555556"/>
    <n v="5796.2"/>
  </r>
  <r>
    <x v="0"/>
    <x v="0"/>
    <x v="0"/>
    <x v="0"/>
    <x v="1"/>
    <s v="DK2_Rural"/>
    <x v="3"/>
    <s v="GNR_ENG_NGAS_BP_E-34"/>
    <x v="0"/>
    <x v="23"/>
    <n v="4.4111111111111097"/>
    <n v="1610.05555555556"/>
    <n v="5796.2"/>
  </r>
  <r>
    <x v="0"/>
    <x v="0"/>
    <x v="0"/>
    <x v="0"/>
    <x v="1"/>
    <s v="DK2_Rural"/>
    <x v="3"/>
    <s v="GNR_ENG_NGAS_BP_E-35"/>
    <x v="0"/>
    <x v="6"/>
    <n v="8.1"/>
    <n v="2956.5"/>
    <n v="10643.4"/>
  </r>
  <r>
    <x v="0"/>
    <x v="0"/>
    <x v="0"/>
    <x v="0"/>
    <x v="1"/>
    <s v="DK2_Rural"/>
    <x v="3"/>
    <s v="GNR_ENG_NGAS_BP_E-35"/>
    <x v="0"/>
    <x v="7"/>
    <n v="8.1"/>
    <n v="2956.5"/>
    <n v="10643.4"/>
  </r>
  <r>
    <x v="0"/>
    <x v="0"/>
    <x v="0"/>
    <x v="0"/>
    <x v="1"/>
    <s v="DK2_Rural"/>
    <x v="3"/>
    <s v="GNR_ENG_NGAS_BP_E-35"/>
    <x v="0"/>
    <x v="8"/>
    <n v="8.1"/>
    <n v="2956.5"/>
    <n v="10643.4"/>
  </r>
  <r>
    <x v="0"/>
    <x v="0"/>
    <x v="0"/>
    <x v="0"/>
    <x v="1"/>
    <s v="DK2_Rural"/>
    <x v="3"/>
    <s v="GNR_ENG_NGAS_BP_E-35"/>
    <x v="0"/>
    <x v="9"/>
    <n v="8.1"/>
    <n v="2956.5"/>
    <n v="10643.4"/>
  </r>
  <r>
    <x v="0"/>
    <x v="0"/>
    <x v="0"/>
    <x v="0"/>
    <x v="1"/>
    <s v="DK2_Rural"/>
    <x v="3"/>
    <s v="GNR_ENG_NGAS_BP_E-35"/>
    <x v="0"/>
    <x v="10"/>
    <n v="8.1"/>
    <n v="2956.5"/>
    <n v="10643.4"/>
  </r>
  <r>
    <x v="0"/>
    <x v="0"/>
    <x v="0"/>
    <x v="0"/>
    <x v="1"/>
    <s v="DK2_Rural"/>
    <x v="3"/>
    <s v="GNR_ENG_NGAS_BP_E-35"/>
    <x v="0"/>
    <x v="11"/>
    <n v="8.1"/>
    <n v="2956.5"/>
    <n v="10643.4"/>
  </r>
  <r>
    <x v="0"/>
    <x v="0"/>
    <x v="0"/>
    <x v="0"/>
    <x v="1"/>
    <s v="DK2_Rural"/>
    <x v="3"/>
    <s v="GNR_ENG_NGAS_BP_E-35"/>
    <x v="0"/>
    <x v="0"/>
    <n v="8.1"/>
    <n v="2956.5"/>
    <n v="10643.4"/>
  </r>
  <r>
    <x v="0"/>
    <x v="0"/>
    <x v="0"/>
    <x v="0"/>
    <x v="1"/>
    <s v="DK2_Rural"/>
    <x v="3"/>
    <s v="GNR_ENG_NGAS_BP_E-35"/>
    <x v="0"/>
    <x v="1"/>
    <n v="8.1"/>
    <n v="2956.5"/>
    <n v="10643.4"/>
  </r>
  <r>
    <x v="0"/>
    <x v="0"/>
    <x v="0"/>
    <x v="0"/>
    <x v="1"/>
    <s v="DK2_Rural"/>
    <x v="3"/>
    <s v="GNR_ENG_NGAS_BP_E-35"/>
    <x v="0"/>
    <x v="2"/>
    <n v="8.1"/>
    <n v="2956.5"/>
    <n v="10643.4"/>
  </r>
  <r>
    <x v="0"/>
    <x v="0"/>
    <x v="0"/>
    <x v="0"/>
    <x v="1"/>
    <s v="DK2_Rural"/>
    <x v="3"/>
    <s v="GNR_ENG_NGAS_BP_E-35"/>
    <x v="0"/>
    <x v="3"/>
    <n v="8.1"/>
    <n v="2956.5"/>
    <n v="10643.4"/>
  </r>
  <r>
    <x v="0"/>
    <x v="0"/>
    <x v="0"/>
    <x v="0"/>
    <x v="1"/>
    <s v="DK2_Rural"/>
    <x v="3"/>
    <s v="GNR_ENG_NGAS_BP_E-35"/>
    <x v="0"/>
    <x v="12"/>
    <n v="8.1"/>
    <n v="2956.5"/>
    <n v="10643.4"/>
  </r>
  <r>
    <x v="0"/>
    <x v="0"/>
    <x v="0"/>
    <x v="0"/>
    <x v="1"/>
    <s v="DK2_Rural"/>
    <x v="3"/>
    <s v="GNR_ENG_NGAS_BP_E-35"/>
    <x v="0"/>
    <x v="13"/>
    <n v="8.1"/>
    <n v="2956.5"/>
    <n v="10643.4"/>
  </r>
  <r>
    <x v="0"/>
    <x v="0"/>
    <x v="0"/>
    <x v="0"/>
    <x v="1"/>
    <s v="DK2_Rural"/>
    <x v="3"/>
    <s v="GNR_ENG_NGAS_BP_E-35"/>
    <x v="0"/>
    <x v="14"/>
    <n v="8.1"/>
    <n v="2956.5"/>
    <n v="10643.4"/>
  </r>
  <r>
    <x v="0"/>
    <x v="0"/>
    <x v="0"/>
    <x v="0"/>
    <x v="1"/>
    <s v="DK2_Rural"/>
    <x v="3"/>
    <s v="GNR_ENG_NGAS_BP_E-35"/>
    <x v="0"/>
    <x v="15"/>
    <n v="8.1"/>
    <n v="2956.5"/>
    <n v="10643.4"/>
  </r>
  <r>
    <x v="0"/>
    <x v="0"/>
    <x v="0"/>
    <x v="0"/>
    <x v="1"/>
    <s v="DK2_Rural"/>
    <x v="3"/>
    <s v="GNR_ENG_NGAS_BP_E-35"/>
    <x v="0"/>
    <x v="4"/>
    <n v="8.1"/>
    <n v="2956.5"/>
    <n v="10643.4"/>
  </r>
  <r>
    <x v="0"/>
    <x v="0"/>
    <x v="0"/>
    <x v="0"/>
    <x v="1"/>
    <s v="DK2_Rural"/>
    <x v="3"/>
    <s v="GNR_ENG_NGAS_BP_E-35"/>
    <x v="0"/>
    <x v="16"/>
    <n v="8.1"/>
    <n v="2956.5"/>
    <n v="10643.4"/>
  </r>
  <r>
    <x v="0"/>
    <x v="0"/>
    <x v="0"/>
    <x v="0"/>
    <x v="1"/>
    <s v="DK2_Rural"/>
    <x v="3"/>
    <s v="GNR_ENG_NGAS_BP_E-35"/>
    <x v="0"/>
    <x v="5"/>
    <n v="8.1"/>
    <n v="2956.5"/>
    <n v="10643.4"/>
  </r>
  <r>
    <x v="0"/>
    <x v="0"/>
    <x v="0"/>
    <x v="0"/>
    <x v="1"/>
    <s v="DK2_Rural"/>
    <x v="3"/>
    <s v="GNR_ENG_NGAS_BP_E-35"/>
    <x v="0"/>
    <x v="17"/>
    <n v="8.1"/>
    <n v="2956.5"/>
    <n v="10643.4"/>
  </r>
  <r>
    <x v="0"/>
    <x v="0"/>
    <x v="0"/>
    <x v="0"/>
    <x v="1"/>
    <s v="DK2_Rural"/>
    <x v="3"/>
    <s v="GNR_ENG_NGAS_BP_E-35"/>
    <x v="0"/>
    <x v="18"/>
    <n v="8.1"/>
    <n v="2956.5"/>
    <n v="10643.4"/>
  </r>
  <r>
    <x v="0"/>
    <x v="0"/>
    <x v="0"/>
    <x v="0"/>
    <x v="1"/>
    <s v="DK2_Rural"/>
    <x v="3"/>
    <s v="GNR_ENG_NGAS_BP_E-35"/>
    <x v="0"/>
    <x v="19"/>
    <n v="8.1"/>
    <n v="2956.5"/>
    <n v="10643.4"/>
  </r>
  <r>
    <x v="0"/>
    <x v="0"/>
    <x v="0"/>
    <x v="0"/>
    <x v="1"/>
    <s v="DK2_Rural"/>
    <x v="3"/>
    <s v="GNR_ENG_NGAS_BP_E-35"/>
    <x v="0"/>
    <x v="20"/>
    <n v="8.1"/>
    <n v="2956.5"/>
    <n v="10643.4"/>
  </r>
  <r>
    <x v="0"/>
    <x v="0"/>
    <x v="0"/>
    <x v="0"/>
    <x v="1"/>
    <s v="DK2_Rural"/>
    <x v="3"/>
    <s v="GNR_ENG_NGAS_BP_E-35"/>
    <x v="0"/>
    <x v="21"/>
    <n v="8.1"/>
    <n v="2956.5"/>
    <n v="10643.4"/>
  </r>
  <r>
    <x v="0"/>
    <x v="0"/>
    <x v="0"/>
    <x v="0"/>
    <x v="1"/>
    <s v="DK2_Rural"/>
    <x v="3"/>
    <s v="GNR_ENG_NGAS_BP_E-35"/>
    <x v="0"/>
    <x v="22"/>
    <n v="8.1"/>
    <n v="2956.5"/>
    <n v="10643.4"/>
  </r>
  <r>
    <x v="0"/>
    <x v="0"/>
    <x v="0"/>
    <x v="0"/>
    <x v="1"/>
    <s v="DK2_Rural"/>
    <x v="3"/>
    <s v="GNR_ENG_NGAS_BP_E-35"/>
    <x v="0"/>
    <x v="23"/>
    <n v="8.1"/>
    <n v="2956.5"/>
    <n v="10643.4"/>
  </r>
  <r>
    <x v="0"/>
    <x v="0"/>
    <x v="0"/>
    <x v="0"/>
    <x v="1"/>
    <s v="DK2_Rural"/>
    <x v="3"/>
    <s v="GNR_ENG_NGAS_BP_E-36"/>
    <x v="0"/>
    <x v="6"/>
    <n v="1.4611111111111099"/>
    <n v="533.305555555556"/>
    <n v="1919.9"/>
  </r>
  <r>
    <x v="0"/>
    <x v="0"/>
    <x v="0"/>
    <x v="0"/>
    <x v="1"/>
    <s v="DK2_Rural"/>
    <x v="3"/>
    <s v="GNR_ENG_NGAS_BP_E-36"/>
    <x v="0"/>
    <x v="7"/>
    <n v="1.4611111111111099"/>
    <n v="533.305555555556"/>
    <n v="1919.9"/>
  </r>
  <r>
    <x v="0"/>
    <x v="0"/>
    <x v="0"/>
    <x v="0"/>
    <x v="1"/>
    <s v="DK2_Rural"/>
    <x v="3"/>
    <s v="GNR_ENG_NGAS_BP_E-36"/>
    <x v="0"/>
    <x v="8"/>
    <n v="1.4611111111111099"/>
    <n v="533.305555555556"/>
    <n v="1919.9"/>
  </r>
  <r>
    <x v="0"/>
    <x v="0"/>
    <x v="0"/>
    <x v="0"/>
    <x v="1"/>
    <s v="DK2_Rural"/>
    <x v="3"/>
    <s v="GNR_ENG_NGAS_BP_E-36"/>
    <x v="0"/>
    <x v="9"/>
    <n v="1.4611111111111099"/>
    <n v="533.305555555556"/>
    <n v="1919.9"/>
  </r>
  <r>
    <x v="0"/>
    <x v="0"/>
    <x v="0"/>
    <x v="0"/>
    <x v="1"/>
    <s v="DK2_Rural"/>
    <x v="3"/>
    <s v="GNR_ENG_NGAS_BP_E-36"/>
    <x v="0"/>
    <x v="10"/>
    <n v="1.4611111111111099"/>
    <n v="533.305555555556"/>
    <n v="1919.9"/>
  </r>
  <r>
    <x v="0"/>
    <x v="0"/>
    <x v="0"/>
    <x v="0"/>
    <x v="1"/>
    <s v="DK2_Rural"/>
    <x v="3"/>
    <s v="GNR_ENG_NGAS_BP_E-36"/>
    <x v="0"/>
    <x v="11"/>
    <n v="1.4611111111111099"/>
    <n v="533.305555555556"/>
    <n v="1919.9"/>
  </r>
  <r>
    <x v="0"/>
    <x v="0"/>
    <x v="0"/>
    <x v="0"/>
    <x v="1"/>
    <s v="DK2_Rural"/>
    <x v="3"/>
    <s v="GNR_ENG_NGAS_BP_E-36"/>
    <x v="0"/>
    <x v="0"/>
    <n v="1.4611111111111099"/>
    <n v="533.305555555556"/>
    <n v="1919.9"/>
  </r>
  <r>
    <x v="0"/>
    <x v="0"/>
    <x v="0"/>
    <x v="0"/>
    <x v="1"/>
    <s v="DK2_Rural"/>
    <x v="3"/>
    <s v="GNR_ENG_NGAS_BP_E-36"/>
    <x v="0"/>
    <x v="1"/>
    <n v="1.4611111111111099"/>
    <n v="533.305555555556"/>
    <n v="1919.9"/>
  </r>
  <r>
    <x v="0"/>
    <x v="0"/>
    <x v="0"/>
    <x v="0"/>
    <x v="1"/>
    <s v="DK2_Rural"/>
    <x v="3"/>
    <s v="GNR_ENG_NGAS_BP_E-36"/>
    <x v="0"/>
    <x v="2"/>
    <n v="1.4611111111111099"/>
    <n v="533.305555555556"/>
    <n v="1919.9"/>
  </r>
  <r>
    <x v="0"/>
    <x v="0"/>
    <x v="0"/>
    <x v="0"/>
    <x v="1"/>
    <s v="DK2_Rural"/>
    <x v="3"/>
    <s v="GNR_ENG_NGAS_BP_E-36"/>
    <x v="0"/>
    <x v="3"/>
    <n v="1.4611111111111099"/>
    <n v="533.305555555556"/>
    <n v="1919.9"/>
  </r>
  <r>
    <x v="0"/>
    <x v="0"/>
    <x v="0"/>
    <x v="0"/>
    <x v="1"/>
    <s v="DK2_Rural"/>
    <x v="3"/>
    <s v="GNR_ENG_NGAS_BP_E-36"/>
    <x v="0"/>
    <x v="12"/>
    <n v="1.4611111111111099"/>
    <n v="533.305555555556"/>
    <n v="1919.9"/>
  </r>
  <r>
    <x v="0"/>
    <x v="0"/>
    <x v="0"/>
    <x v="0"/>
    <x v="1"/>
    <s v="DK2_Rural"/>
    <x v="3"/>
    <s v="GNR_ENG_NGAS_BP_E-36"/>
    <x v="0"/>
    <x v="13"/>
    <n v="1.4611111111111099"/>
    <n v="533.305555555556"/>
    <n v="1919.9"/>
  </r>
  <r>
    <x v="0"/>
    <x v="0"/>
    <x v="0"/>
    <x v="0"/>
    <x v="1"/>
    <s v="DK2_Rural"/>
    <x v="3"/>
    <s v="GNR_ENG_NGAS_BP_E-36"/>
    <x v="0"/>
    <x v="14"/>
    <n v="1.4611111111111099"/>
    <n v="533.305555555556"/>
    <n v="1919.9"/>
  </r>
  <r>
    <x v="0"/>
    <x v="0"/>
    <x v="0"/>
    <x v="0"/>
    <x v="1"/>
    <s v="DK2_Rural"/>
    <x v="3"/>
    <s v="GNR_ENG_NGAS_BP_E-36"/>
    <x v="0"/>
    <x v="15"/>
    <n v="1.4611111111111099"/>
    <n v="533.305555555556"/>
    <n v="1919.9"/>
  </r>
  <r>
    <x v="0"/>
    <x v="0"/>
    <x v="0"/>
    <x v="0"/>
    <x v="1"/>
    <s v="DK2_Rural"/>
    <x v="3"/>
    <s v="GNR_ENG_NGAS_BP_E-36"/>
    <x v="0"/>
    <x v="4"/>
    <n v="1.4611111111111099"/>
    <n v="533.305555555556"/>
    <n v="1919.9"/>
  </r>
  <r>
    <x v="0"/>
    <x v="0"/>
    <x v="0"/>
    <x v="0"/>
    <x v="1"/>
    <s v="DK2_Rural"/>
    <x v="3"/>
    <s v="GNR_ENG_NGAS_BP_E-36"/>
    <x v="0"/>
    <x v="16"/>
    <n v="1.4611111111111099"/>
    <n v="533.305555555556"/>
    <n v="1919.9"/>
  </r>
  <r>
    <x v="0"/>
    <x v="0"/>
    <x v="0"/>
    <x v="0"/>
    <x v="1"/>
    <s v="DK2_Rural"/>
    <x v="3"/>
    <s v="GNR_ENG_NGAS_BP_E-36"/>
    <x v="0"/>
    <x v="5"/>
    <n v="1.4611111111111099"/>
    <n v="533.305555555556"/>
    <n v="1919.9"/>
  </r>
  <r>
    <x v="0"/>
    <x v="0"/>
    <x v="0"/>
    <x v="0"/>
    <x v="1"/>
    <s v="DK2_Rural"/>
    <x v="3"/>
    <s v="GNR_ENG_NGAS_BP_E-36"/>
    <x v="0"/>
    <x v="17"/>
    <n v="1.4611111111111099"/>
    <n v="533.305555555556"/>
    <n v="1919.9"/>
  </r>
  <r>
    <x v="0"/>
    <x v="0"/>
    <x v="0"/>
    <x v="0"/>
    <x v="1"/>
    <s v="DK2_Rural"/>
    <x v="3"/>
    <s v="GNR_ENG_NGAS_BP_E-36"/>
    <x v="0"/>
    <x v="18"/>
    <n v="1.4611111111111099"/>
    <n v="533.305555555556"/>
    <n v="1919.9"/>
  </r>
  <r>
    <x v="0"/>
    <x v="0"/>
    <x v="0"/>
    <x v="0"/>
    <x v="1"/>
    <s v="DK2_Rural"/>
    <x v="3"/>
    <s v="GNR_ENG_NGAS_BP_E-36"/>
    <x v="0"/>
    <x v="19"/>
    <n v="1.4611111111111099"/>
    <n v="533.305555555556"/>
    <n v="1919.9"/>
  </r>
  <r>
    <x v="0"/>
    <x v="0"/>
    <x v="0"/>
    <x v="0"/>
    <x v="1"/>
    <s v="DK2_Rural"/>
    <x v="3"/>
    <s v="GNR_ENG_NGAS_BP_E-36"/>
    <x v="0"/>
    <x v="20"/>
    <n v="1.4611111111111099"/>
    <n v="533.305555555556"/>
    <n v="1919.9"/>
  </r>
  <r>
    <x v="0"/>
    <x v="0"/>
    <x v="0"/>
    <x v="0"/>
    <x v="1"/>
    <s v="DK2_Rural"/>
    <x v="3"/>
    <s v="GNR_ENG_NGAS_BP_E-36"/>
    <x v="0"/>
    <x v="21"/>
    <n v="1.4611111111111099"/>
    <n v="533.305555555556"/>
    <n v="1919.9"/>
  </r>
  <r>
    <x v="0"/>
    <x v="0"/>
    <x v="0"/>
    <x v="0"/>
    <x v="1"/>
    <s v="DK2_Rural"/>
    <x v="3"/>
    <s v="GNR_ENG_NGAS_BP_E-36"/>
    <x v="0"/>
    <x v="22"/>
    <n v="1.4611111111111099"/>
    <n v="533.305555555556"/>
    <n v="1919.9"/>
  </r>
  <r>
    <x v="0"/>
    <x v="0"/>
    <x v="0"/>
    <x v="0"/>
    <x v="1"/>
    <s v="DK2_Rural"/>
    <x v="3"/>
    <s v="GNR_ENG_NGAS_BP_E-36"/>
    <x v="0"/>
    <x v="23"/>
    <n v="1.4611111111111099"/>
    <n v="533.305555555556"/>
    <n v="1919.9"/>
  </r>
  <r>
    <x v="0"/>
    <x v="0"/>
    <x v="0"/>
    <x v="0"/>
    <x v="1"/>
    <s v="DK2_Rural"/>
    <x v="3"/>
    <s v="GNR_ENG_NGAS_BP_E-37"/>
    <x v="0"/>
    <x v="6"/>
    <n v="2.0111111111111102"/>
    <n v="734.055555555556"/>
    <n v="2642.6"/>
  </r>
  <r>
    <x v="0"/>
    <x v="0"/>
    <x v="0"/>
    <x v="0"/>
    <x v="1"/>
    <s v="DK2_Rural"/>
    <x v="3"/>
    <s v="GNR_ENG_NGAS_BP_E-37"/>
    <x v="0"/>
    <x v="7"/>
    <n v="2.0111111111111102"/>
    <n v="734.055555555556"/>
    <n v="2642.6"/>
  </r>
  <r>
    <x v="0"/>
    <x v="0"/>
    <x v="0"/>
    <x v="0"/>
    <x v="1"/>
    <s v="DK2_Rural"/>
    <x v="3"/>
    <s v="GNR_ENG_NGAS_BP_E-37"/>
    <x v="0"/>
    <x v="8"/>
    <n v="2.0111111111111102"/>
    <n v="734.055555555556"/>
    <n v="2642.6"/>
  </r>
  <r>
    <x v="0"/>
    <x v="0"/>
    <x v="0"/>
    <x v="0"/>
    <x v="1"/>
    <s v="DK2_Rural"/>
    <x v="3"/>
    <s v="GNR_ENG_NGAS_BP_E-37"/>
    <x v="0"/>
    <x v="9"/>
    <n v="2.0111111111111102"/>
    <n v="734.055555555556"/>
    <n v="2642.6"/>
  </r>
  <r>
    <x v="0"/>
    <x v="0"/>
    <x v="0"/>
    <x v="0"/>
    <x v="1"/>
    <s v="DK2_Rural"/>
    <x v="3"/>
    <s v="GNR_ENG_NGAS_BP_E-37"/>
    <x v="0"/>
    <x v="10"/>
    <n v="2.0111111111111102"/>
    <n v="734.055555555556"/>
    <n v="2642.6"/>
  </r>
  <r>
    <x v="0"/>
    <x v="0"/>
    <x v="0"/>
    <x v="0"/>
    <x v="1"/>
    <s v="DK2_Rural"/>
    <x v="3"/>
    <s v="GNR_ENG_NGAS_BP_E-37"/>
    <x v="0"/>
    <x v="11"/>
    <n v="2.0111111111111102"/>
    <n v="734.055555555556"/>
    <n v="2642.6"/>
  </r>
  <r>
    <x v="0"/>
    <x v="0"/>
    <x v="0"/>
    <x v="0"/>
    <x v="1"/>
    <s v="DK2_Rural"/>
    <x v="3"/>
    <s v="GNR_ENG_NGAS_BP_E-37"/>
    <x v="0"/>
    <x v="0"/>
    <n v="2.0111111111111102"/>
    <n v="734.055555555556"/>
    <n v="2642.6"/>
  </r>
  <r>
    <x v="0"/>
    <x v="0"/>
    <x v="0"/>
    <x v="0"/>
    <x v="1"/>
    <s v="DK2_Rural"/>
    <x v="3"/>
    <s v="GNR_ENG_NGAS_BP_E-37"/>
    <x v="0"/>
    <x v="1"/>
    <n v="2.0111111111111102"/>
    <n v="734.055555555556"/>
    <n v="2642.6"/>
  </r>
  <r>
    <x v="0"/>
    <x v="0"/>
    <x v="0"/>
    <x v="0"/>
    <x v="1"/>
    <s v="DK2_Rural"/>
    <x v="3"/>
    <s v="GNR_ENG_NGAS_BP_E-37"/>
    <x v="0"/>
    <x v="2"/>
    <n v="2.0111111111111102"/>
    <n v="734.055555555556"/>
    <n v="2642.6"/>
  </r>
  <r>
    <x v="0"/>
    <x v="0"/>
    <x v="0"/>
    <x v="0"/>
    <x v="1"/>
    <s v="DK2_Rural"/>
    <x v="3"/>
    <s v="GNR_ENG_NGAS_BP_E-37"/>
    <x v="0"/>
    <x v="3"/>
    <n v="2.0111111111111102"/>
    <n v="734.055555555556"/>
    <n v="2642.6"/>
  </r>
  <r>
    <x v="0"/>
    <x v="0"/>
    <x v="0"/>
    <x v="0"/>
    <x v="1"/>
    <s v="DK2_Rural"/>
    <x v="3"/>
    <s v="GNR_ENG_NGAS_BP_E-37"/>
    <x v="0"/>
    <x v="12"/>
    <n v="2.0111111111111102"/>
    <n v="734.055555555556"/>
    <n v="2642.6"/>
  </r>
  <r>
    <x v="0"/>
    <x v="0"/>
    <x v="0"/>
    <x v="0"/>
    <x v="1"/>
    <s v="DK2_Rural"/>
    <x v="3"/>
    <s v="GNR_ENG_NGAS_BP_E-37"/>
    <x v="0"/>
    <x v="13"/>
    <n v="2.0111111111111102"/>
    <n v="734.055555555556"/>
    <n v="2642.6"/>
  </r>
  <r>
    <x v="0"/>
    <x v="0"/>
    <x v="0"/>
    <x v="0"/>
    <x v="1"/>
    <s v="DK2_Rural"/>
    <x v="3"/>
    <s v="GNR_ENG_NGAS_BP_E-37"/>
    <x v="0"/>
    <x v="14"/>
    <n v="2.0111111111111102"/>
    <n v="734.055555555556"/>
    <n v="2642.6"/>
  </r>
  <r>
    <x v="0"/>
    <x v="0"/>
    <x v="0"/>
    <x v="0"/>
    <x v="1"/>
    <s v="DK2_Rural"/>
    <x v="3"/>
    <s v="GNR_ENG_NGAS_BP_E-37"/>
    <x v="0"/>
    <x v="15"/>
    <n v="2.0111111111111102"/>
    <n v="734.055555555556"/>
    <n v="2642.6"/>
  </r>
  <r>
    <x v="0"/>
    <x v="0"/>
    <x v="0"/>
    <x v="0"/>
    <x v="1"/>
    <s v="DK2_Rural"/>
    <x v="3"/>
    <s v="GNR_ENG_NGAS_BP_E-37"/>
    <x v="0"/>
    <x v="4"/>
    <n v="2.0111111111111102"/>
    <n v="734.055555555556"/>
    <n v="2642.6"/>
  </r>
  <r>
    <x v="0"/>
    <x v="0"/>
    <x v="0"/>
    <x v="0"/>
    <x v="1"/>
    <s v="DK2_Rural"/>
    <x v="3"/>
    <s v="GNR_ENG_NGAS_BP_E-37"/>
    <x v="0"/>
    <x v="16"/>
    <n v="2.0111111111111102"/>
    <n v="734.055555555556"/>
    <n v="2642.6"/>
  </r>
  <r>
    <x v="0"/>
    <x v="0"/>
    <x v="0"/>
    <x v="0"/>
    <x v="1"/>
    <s v="DK2_Rural"/>
    <x v="3"/>
    <s v="GNR_ENG_NGAS_BP_E-37"/>
    <x v="0"/>
    <x v="5"/>
    <n v="2.0111111111111102"/>
    <n v="734.055555555556"/>
    <n v="2642.6"/>
  </r>
  <r>
    <x v="0"/>
    <x v="0"/>
    <x v="0"/>
    <x v="0"/>
    <x v="1"/>
    <s v="DK2_Rural"/>
    <x v="3"/>
    <s v="GNR_ENG_NGAS_BP_E-37"/>
    <x v="0"/>
    <x v="17"/>
    <n v="2.0111111111111102"/>
    <n v="734.055555555556"/>
    <n v="2642.6"/>
  </r>
  <r>
    <x v="0"/>
    <x v="0"/>
    <x v="0"/>
    <x v="0"/>
    <x v="1"/>
    <s v="DK2_Rural"/>
    <x v="3"/>
    <s v="GNR_ENG_NGAS_BP_E-37"/>
    <x v="0"/>
    <x v="18"/>
    <n v="2.0111111111111102"/>
    <n v="734.055555555556"/>
    <n v="2642.6"/>
  </r>
  <r>
    <x v="0"/>
    <x v="0"/>
    <x v="0"/>
    <x v="0"/>
    <x v="1"/>
    <s v="DK2_Rural"/>
    <x v="3"/>
    <s v="GNR_ENG_NGAS_BP_E-37"/>
    <x v="0"/>
    <x v="19"/>
    <n v="2.0111111111111102"/>
    <n v="734.055555555556"/>
    <n v="2642.6"/>
  </r>
  <r>
    <x v="0"/>
    <x v="0"/>
    <x v="0"/>
    <x v="0"/>
    <x v="1"/>
    <s v="DK2_Rural"/>
    <x v="3"/>
    <s v="GNR_ENG_NGAS_BP_E-37"/>
    <x v="0"/>
    <x v="20"/>
    <n v="2.0111111111111102"/>
    <n v="734.055555555556"/>
    <n v="2642.6"/>
  </r>
  <r>
    <x v="0"/>
    <x v="0"/>
    <x v="0"/>
    <x v="0"/>
    <x v="1"/>
    <s v="DK2_Rural"/>
    <x v="3"/>
    <s v="GNR_ENG_NGAS_BP_E-37"/>
    <x v="0"/>
    <x v="21"/>
    <n v="2.0111111111111102"/>
    <n v="734.055555555556"/>
    <n v="2642.6"/>
  </r>
  <r>
    <x v="0"/>
    <x v="0"/>
    <x v="0"/>
    <x v="0"/>
    <x v="1"/>
    <s v="DK2_Rural"/>
    <x v="3"/>
    <s v="GNR_ENG_NGAS_BP_E-37"/>
    <x v="0"/>
    <x v="22"/>
    <n v="2.0111111111111102"/>
    <n v="734.055555555556"/>
    <n v="2642.6"/>
  </r>
  <r>
    <x v="0"/>
    <x v="0"/>
    <x v="0"/>
    <x v="0"/>
    <x v="1"/>
    <s v="DK2_Rural"/>
    <x v="3"/>
    <s v="GNR_ENG_NGAS_BP_E-37"/>
    <x v="0"/>
    <x v="23"/>
    <n v="2.0111111111111102"/>
    <n v="734.055555555556"/>
    <n v="2642.6"/>
  </r>
  <r>
    <x v="0"/>
    <x v="0"/>
    <x v="0"/>
    <x v="0"/>
    <x v="1"/>
    <s v="DK2_Rural"/>
    <x v="3"/>
    <s v="GNR_ENG_NGAS_BP_E-38"/>
    <x v="0"/>
    <x v="6"/>
    <n v="3.5388888888888901"/>
    <n v="1291.69444444444"/>
    <n v="4650.1000000000004"/>
  </r>
  <r>
    <x v="0"/>
    <x v="0"/>
    <x v="0"/>
    <x v="0"/>
    <x v="1"/>
    <s v="DK2_Rural"/>
    <x v="3"/>
    <s v="GNR_ENG_NGAS_BP_E-38"/>
    <x v="0"/>
    <x v="7"/>
    <n v="3.5388888888888901"/>
    <n v="1291.69444444444"/>
    <n v="4650.1000000000004"/>
  </r>
  <r>
    <x v="0"/>
    <x v="0"/>
    <x v="0"/>
    <x v="0"/>
    <x v="1"/>
    <s v="DK2_Rural"/>
    <x v="3"/>
    <s v="GNR_ENG_NGAS_BP_E-38"/>
    <x v="0"/>
    <x v="8"/>
    <n v="3.5388888888888901"/>
    <n v="1291.69444444444"/>
    <n v="4650.1000000000004"/>
  </r>
  <r>
    <x v="0"/>
    <x v="0"/>
    <x v="0"/>
    <x v="0"/>
    <x v="1"/>
    <s v="DK2_Rural"/>
    <x v="3"/>
    <s v="GNR_ENG_NGAS_BP_E-38"/>
    <x v="0"/>
    <x v="9"/>
    <n v="3.5388888888888901"/>
    <n v="1291.69444444444"/>
    <n v="4650.1000000000004"/>
  </r>
  <r>
    <x v="0"/>
    <x v="0"/>
    <x v="0"/>
    <x v="0"/>
    <x v="1"/>
    <s v="DK2_Rural"/>
    <x v="3"/>
    <s v="GNR_ENG_NGAS_BP_E-38"/>
    <x v="0"/>
    <x v="10"/>
    <n v="3.5388888888888901"/>
    <n v="1291.69444444444"/>
    <n v="4650.1000000000004"/>
  </r>
  <r>
    <x v="0"/>
    <x v="0"/>
    <x v="0"/>
    <x v="0"/>
    <x v="1"/>
    <s v="DK2_Rural"/>
    <x v="3"/>
    <s v="GNR_ENG_NGAS_BP_E-38"/>
    <x v="0"/>
    <x v="11"/>
    <n v="3.5388888888888901"/>
    <n v="1291.69444444444"/>
    <n v="4650.1000000000004"/>
  </r>
  <r>
    <x v="0"/>
    <x v="0"/>
    <x v="0"/>
    <x v="0"/>
    <x v="1"/>
    <s v="DK2_Rural"/>
    <x v="3"/>
    <s v="GNR_ENG_NGAS_BP_E-38"/>
    <x v="0"/>
    <x v="0"/>
    <n v="3.5388888888888901"/>
    <n v="1291.69444444444"/>
    <n v="4650.1000000000004"/>
  </r>
  <r>
    <x v="0"/>
    <x v="0"/>
    <x v="0"/>
    <x v="0"/>
    <x v="1"/>
    <s v="DK2_Rural"/>
    <x v="3"/>
    <s v="GNR_ENG_NGAS_BP_E-38"/>
    <x v="0"/>
    <x v="1"/>
    <n v="3.5388888888888901"/>
    <n v="1291.69444444444"/>
    <n v="4650.1000000000004"/>
  </r>
  <r>
    <x v="0"/>
    <x v="0"/>
    <x v="0"/>
    <x v="0"/>
    <x v="1"/>
    <s v="DK2_Rural"/>
    <x v="3"/>
    <s v="GNR_ENG_NGAS_BP_E-38"/>
    <x v="0"/>
    <x v="2"/>
    <n v="3.5388888888888901"/>
    <n v="1291.69444444444"/>
    <n v="4650.1000000000004"/>
  </r>
  <r>
    <x v="0"/>
    <x v="0"/>
    <x v="0"/>
    <x v="0"/>
    <x v="1"/>
    <s v="DK2_Rural"/>
    <x v="3"/>
    <s v="GNR_ENG_NGAS_BP_E-38"/>
    <x v="0"/>
    <x v="3"/>
    <n v="3.5388888888888901"/>
    <n v="1291.69444444444"/>
    <n v="4650.1000000000004"/>
  </r>
  <r>
    <x v="0"/>
    <x v="0"/>
    <x v="0"/>
    <x v="0"/>
    <x v="1"/>
    <s v="DK2_Rural"/>
    <x v="3"/>
    <s v="GNR_ENG_NGAS_BP_E-38"/>
    <x v="0"/>
    <x v="12"/>
    <n v="3.5388888888888901"/>
    <n v="1291.69444444444"/>
    <n v="4650.1000000000004"/>
  </r>
  <r>
    <x v="0"/>
    <x v="0"/>
    <x v="0"/>
    <x v="0"/>
    <x v="1"/>
    <s v="DK2_Rural"/>
    <x v="3"/>
    <s v="GNR_ENG_NGAS_BP_E-38"/>
    <x v="0"/>
    <x v="13"/>
    <n v="3.5388888888888901"/>
    <n v="1291.69444444444"/>
    <n v="4650.1000000000004"/>
  </r>
  <r>
    <x v="0"/>
    <x v="0"/>
    <x v="0"/>
    <x v="0"/>
    <x v="1"/>
    <s v="DK2_Rural"/>
    <x v="3"/>
    <s v="GNR_ENG_NGAS_BP_E-38"/>
    <x v="0"/>
    <x v="14"/>
    <n v="3.5388888888888901"/>
    <n v="1291.69444444444"/>
    <n v="4650.1000000000004"/>
  </r>
  <r>
    <x v="0"/>
    <x v="0"/>
    <x v="0"/>
    <x v="0"/>
    <x v="1"/>
    <s v="DK2_Rural"/>
    <x v="3"/>
    <s v="GNR_ENG_NGAS_BP_E-38"/>
    <x v="0"/>
    <x v="15"/>
    <n v="3.5388888888888901"/>
    <n v="1291.69444444444"/>
    <n v="4650.1000000000004"/>
  </r>
  <r>
    <x v="0"/>
    <x v="0"/>
    <x v="0"/>
    <x v="0"/>
    <x v="1"/>
    <s v="DK2_Rural"/>
    <x v="3"/>
    <s v="GNR_ENG_NGAS_BP_E-38"/>
    <x v="0"/>
    <x v="4"/>
    <n v="3.5388888888888901"/>
    <n v="1291.69444444444"/>
    <n v="4650.1000000000004"/>
  </r>
  <r>
    <x v="0"/>
    <x v="0"/>
    <x v="0"/>
    <x v="0"/>
    <x v="1"/>
    <s v="DK2_Rural"/>
    <x v="3"/>
    <s v="GNR_ENG_NGAS_BP_E-38"/>
    <x v="0"/>
    <x v="16"/>
    <n v="3.5388888888888901"/>
    <n v="1291.69444444444"/>
    <n v="4650.1000000000004"/>
  </r>
  <r>
    <x v="0"/>
    <x v="0"/>
    <x v="0"/>
    <x v="0"/>
    <x v="1"/>
    <s v="DK2_Rural"/>
    <x v="3"/>
    <s v="GNR_ENG_NGAS_BP_E-38"/>
    <x v="0"/>
    <x v="5"/>
    <n v="3.5388888888888901"/>
    <n v="1291.69444444444"/>
    <n v="4650.1000000000004"/>
  </r>
  <r>
    <x v="0"/>
    <x v="0"/>
    <x v="0"/>
    <x v="0"/>
    <x v="1"/>
    <s v="DK2_Rural"/>
    <x v="3"/>
    <s v="GNR_ENG_NGAS_BP_E-38"/>
    <x v="0"/>
    <x v="17"/>
    <n v="3.5388888888888901"/>
    <n v="1291.69444444444"/>
    <n v="4650.1000000000004"/>
  </r>
  <r>
    <x v="0"/>
    <x v="0"/>
    <x v="0"/>
    <x v="0"/>
    <x v="1"/>
    <s v="DK2_Rural"/>
    <x v="3"/>
    <s v="GNR_ENG_NGAS_BP_E-38"/>
    <x v="0"/>
    <x v="18"/>
    <n v="3.5388888888888901"/>
    <n v="1291.69444444444"/>
    <n v="4650.1000000000004"/>
  </r>
  <r>
    <x v="0"/>
    <x v="0"/>
    <x v="0"/>
    <x v="0"/>
    <x v="1"/>
    <s v="DK2_Rural"/>
    <x v="3"/>
    <s v="GNR_ENG_NGAS_BP_E-38"/>
    <x v="0"/>
    <x v="19"/>
    <n v="3.5388888888888901"/>
    <n v="1291.69444444444"/>
    <n v="4650.1000000000004"/>
  </r>
  <r>
    <x v="0"/>
    <x v="0"/>
    <x v="0"/>
    <x v="0"/>
    <x v="1"/>
    <s v="DK2_Rural"/>
    <x v="3"/>
    <s v="GNR_ENG_NGAS_BP_E-38"/>
    <x v="0"/>
    <x v="20"/>
    <n v="3.5388888888888901"/>
    <n v="1291.69444444444"/>
    <n v="4650.1000000000004"/>
  </r>
  <r>
    <x v="0"/>
    <x v="0"/>
    <x v="0"/>
    <x v="0"/>
    <x v="1"/>
    <s v="DK2_Rural"/>
    <x v="3"/>
    <s v="GNR_ENG_NGAS_BP_E-38"/>
    <x v="0"/>
    <x v="21"/>
    <n v="3.5388888888888901"/>
    <n v="1291.69444444444"/>
    <n v="4650.1000000000004"/>
  </r>
  <r>
    <x v="0"/>
    <x v="0"/>
    <x v="0"/>
    <x v="0"/>
    <x v="1"/>
    <s v="DK2_Rural"/>
    <x v="3"/>
    <s v="GNR_ENG_NGAS_BP_E-38"/>
    <x v="0"/>
    <x v="22"/>
    <n v="3.5388888888888901"/>
    <n v="1291.69444444444"/>
    <n v="4650.1000000000004"/>
  </r>
  <r>
    <x v="0"/>
    <x v="0"/>
    <x v="0"/>
    <x v="0"/>
    <x v="1"/>
    <s v="DK2_Rural"/>
    <x v="3"/>
    <s v="GNR_ENG_NGAS_BP_E-38"/>
    <x v="0"/>
    <x v="23"/>
    <n v="3.5388888888888901"/>
    <n v="1291.69444444444"/>
    <n v="4650.1000000000004"/>
  </r>
  <r>
    <x v="0"/>
    <x v="0"/>
    <x v="0"/>
    <x v="0"/>
    <x v="1"/>
    <s v="DK2_Rural"/>
    <x v="3"/>
    <s v="GNR_ENG_NGAS_BP_E-39"/>
    <x v="0"/>
    <x v="6"/>
    <n v="29"/>
    <n v="10585"/>
    <n v="38106"/>
  </r>
  <r>
    <x v="0"/>
    <x v="0"/>
    <x v="0"/>
    <x v="0"/>
    <x v="1"/>
    <s v="DK2_Rural"/>
    <x v="3"/>
    <s v="GNR_ENG_NGAS_BP_E-39"/>
    <x v="0"/>
    <x v="7"/>
    <n v="29"/>
    <n v="10585"/>
    <n v="38106"/>
  </r>
  <r>
    <x v="0"/>
    <x v="0"/>
    <x v="0"/>
    <x v="0"/>
    <x v="1"/>
    <s v="DK2_Rural"/>
    <x v="3"/>
    <s v="GNR_ENG_NGAS_BP_E-39"/>
    <x v="0"/>
    <x v="8"/>
    <n v="29"/>
    <n v="10585"/>
    <n v="38106"/>
  </r>
  <r>
    <x v="0"/>
    <x v="0"/>
    <x v="0"/>
    <x v="0"/>
    <x v="1"/>
    <s v="DK2_Rural"/>
    <x v="3"/>
    <s v="GNR_ENG_NGAS_BP_E-39"/>
    <x v="0"/>
    <x v="9"/>
    <n v="29"/>
    <n v="10585"/>
    <n v="38106"/>
  </r>
  <r>
    <x v="0"/>
    <x v="0"/>
    <x v="0"/>
    <x v="0"/>
    <x v="1"/>
    <s v="DK2_Rural"/>
    <x v="3"/>
    <s v="GNR_ENG_NGAS_BP_E-39"/>
    <x v="0"/>
    <x v="10"/>
    <n v="29"/>
    <n v="10585"/>
    <n v="38106"/>
  </r>
  <r>
    <x v="0"/>
    <x v="0"/>
    <x v="0"/>
    <x v="0"/>
    <x v="1"/>
    <s v="DK2_Rural"/>
    <x v="3"/>
    <s v="GNR_ENG_NGAS_BP_E-39"/>
    <x v="0"/>
    <x v="11"/>
    <n v="29"/>
    <n v="10585"/>
    <n v="38106"/>
  </r>
  <r>
    <x v="0"/>
    <x v="0"/>
    <x v="0"/>
    <x v="0"/>
    <x v="1"/>
    <s v="DK2_Rural"/>
    <x v="3"/>
    <s v="GNR_ENG_NGAS_BP_E-39"/>
    <x v="0"/>
    <x v="0"/>
    <n v="29"/>
    <n v="10585"/>
    <n v="38106"/>
  </r>
  <r>
    <x v="0"/>
    <x v="0"/>
    <x v="0"/>
    <x v="0"/>
    <x v="1"/>
    <s v="DK2_Rural"/>
    <x v="3"/>
    <s v="GNR_ENG_NGAS_BP_E-39"/>
    <x v="0"/>
    <x v="1"/>
    <n v="29"/>
    <n v="10585"/>
    <n v="38106"/>
  </r>
  <r>
    <x v="0"/>
    <x v="0"/>
    <x v="0"/>
    <x v="0"/>
    <x v="1"/>
    <s v="DK2_Rural"/>
    <x v="3"/>
    <s v="GNR_ENG_NGAS_BP_E-39"/>
    <x v="0"/>
    <x v="2"/>
    <n v="29"/>
    <n v="10585"/>
    <n v="38106"/>
  </r>
  <r>
    <x v="0"/>
    <x v="0"/>
    <x v="0"/>
    <x v="0"/>
    <x v="1"/>
    <s v="DK2_Rural"/>
    <x v="3"/>
    <s v="GNR_ENG_NGAS_BP_E-39"/>
    <x v="0"/>
    <x v="3"/>
    <n v="29"/>
    <n v="10585"/>
    <n v="38106"/>
  </r>
  <r>
    <x v="0"/>
    <x v="0"/>
    <x v="0"/>
    <x v="0"/>
    <x v="1"/>
    <s v="DK2_Rural"/>
    <x v="3"/>
    <s v="GNR_ENG_NGAS_BP_E-39"/>
    <x v="0"/>
    <x v="12"/>
    <n v="29"/>
    <n v="10585"/>
    <n v="38106"/>
  </r>
  <r>
    <x v="0"/>
    <x v="0"/>
    <x v="0"/>
    <x v="0"/>
    <x v="1"/>
    <s v="DK2_Rural"/>
    <x v="3"/>
    <s v="GNR_ENG_NGAS_BP_E-39"/>
    <x v="0"/>
    <x v="13"/>
    <n v="29"/>
    <n v="10585"/>
    <n v="38106"/>
  </r>
  <r>
    <x v="0"/>
    <x v="0"/>
    <x v="0"/>
    <x v="0"/>
    <x v="1"/>
    <s v="DK2_Rural"/>
    <x v="3"/>
    <s v="GNR_ENG_NGAS_BP_E-39"/>
    <x v="0"/>
    <x v="14"/>
    <n v="29"/>
    <n v="10585"/>
    <n v="38106"/>
  </r>
  <r>
    <x v="0"/>
    <x v="0"/>
    <x v="0"/>
    <x v="0"/>
    <x v="1"/>
    <s v="DK2_Rural"/>
    <x v="3"/>
    <s v="GNR_ENG_NGAS_BP_E-39"/>
    <x v="0"/>
    <x v="15"/>
    <n v="29"/>
    <n v="10585"/>
    <n v="38106"/>
  </r>
  <r>
    <x v="0"/>
    <x v="0"/>
    <x v="0"/>
    <x v="0"/>
    <x v="1"/>
    <s v="DK2_Rural"/>
    <x v="3"/>
    <s v="GNR_ENG_NGAS_BP_E-39"/>
    <x v="0"/>
    <x v="4"/>
    <n v="29"/>
    <n v="10585"/>
    <n v="38106"/>
  </r>
  <r>
    <x v="0"/>
    <x v="0"/>
    <x v="0"/>
    <x v="0"/>
    <x v="1"/>
    <s v="DK2_Rural"/>
    <x v="3"/>
    <s v="GNR_ENG_NGAS_BP_E-39"/>
    <x v="0"/>
    <x v="16"/>
    <n v="29"/>
    <n v="10585"/>
    <n v="38106"/>
  </r>
  <r>
    <x v="0"/>
    <x v="0"/>
    <x v="0"/>
    <x v="0"/>
    <x v="1"/>
    <s v="DK2_Rural"/>
    <x v="3"/>
    <s v="GNR_ENG_NGAS_BP_E-39"/>
    <x v="0"/>
    <x v="5"/>
    <n v="29"/>
    <n v="10585"/>
    <n v="38106"/>
  </r>
  <r>
    <x v="0"/>
    <x v="0"/>
    <x v="0"/>
    <x v="0"/>
    <x v="1"/>
    <s v="DK2_Rural"/>
    <x v="3"/>
    <s v="GNR_ENG_NGAS_BP_E-39"/>
    <x v="0"/>
    <x v="17"/>
    <n v="29"/>
    <n v="10585"/>
    <n v="38106"/>
  </r>
  <r>
    <x v="0"/>
    <x v="0"/>
    <x v="0"/>
    <x v="0"/>
    <x v="1"/>
    <s v="DK2_Rural"/>
    <x v="3"/>
    <s v="GNR_ENG_NGAS_BP_E-39"/>
    <x v="0"/>
    <x v="18"/>
    <n v="29"/>
    <n v="10585"/>
    <n v="38106"/>
  </r>
  <r>
    <x v="0"/>
    <x v="0"/>
    <x v="0"/>
    <x v="0"/>
    <x v="1"/>
    <s v="DK2_Rural"/>
    <x v="3"/>
    <s v="GNR_ENG_NGAS_BP_E-39"/>
    <x v="0"/>
    <x v="19"/>
    <n v="29"/>
    <n v="10585"/>
    <n v="38106"/>
  </r>
  <r>
    <x v="0"/>
    <x v="0"/>
    <x v="0"/>
    <x v="0"/>
    <x v="1"/>
    <s v="DK2_Rural"/>
    <x v="3"/>
    <s v="GNR_ENG_NGAS_BP_E-39"/>
    <x v="0"/>
    <x v="20"/>
    <n v="29"/>
    <n v="10585"/>
    <n v="38106"/>
  </r>
  <r>
    <x v="0"/>
    <x v="0"/>
    <x v="0"/>
    <x v="0"/>
    <x v="1"/>
    <s v="DK2_Rural"/>
    <x v="3"/>
    <s v="GNR_ENG_NGAS_BP_E-39"/>
    <x v="0"/>
    <x v="21"/>
    <n v="29"/>
    <n v="10585"/>
    <n v="38106"/>
  </r>
  <r>
    <x v="0"/>
    <x v="0"/>
    <x v="0"/>
    <x v="0"/>
    <x v="1"/>
    <s v="DK2_Rural"/>
    <x v="3"/>
    <s v="GNR_ENG_NGAS_BP_E-39"/>
    <x v="0"/>
    <x v="22"/>
    <n v="29"/>
    <n v="10585"/>
    <n v="38106"/>
  </r>
  <r>
    <x v="0"/>
    <x v="0"/>
    <x v="0"/>
    <x v="0"/>
    <x v="1"/>
    <s v="DK2_Rural"/>
    <x v="3"/>
    <s v="GNR_ENG_NGAS_BP_E-39"/>
    <x v="0"/>
    <x v="23"/>
    <n v="29"/>
    <n v="10585"/>
    <n v="38106"/>
  </r>
  <r>
    <x v="0"/>
    <x v="0"/>
    <x v="0"/>
    <x v="0"/>
    <x v="1"/>
    <s v="DK2_Rural"/>
    <x v="3"/>
    <s v="GNR_ENG_NGAS_BP_E-40"/>
    <x v="0"/>
    <x v="6"/>
    <n v="29.2222222222222"/>
    <n v="10666.1111111111"/>
    <n v="38398"/>
  </r>
  <r>
    <x v="0"/>
    <x v="0"/>
    <x v="0"/>
    <x v="0"/>
    <x v="1"/>
    <s v="DK2_Rural"/>
    <x v="3"/>
    <s v="GNR_ENG_NGAS_BP_E-40"/>
    <x v="0"/>
    <x v="7"/>
    <n v="29.2222222222222"/>
    <n v="10666.1111111111"/>
    <n v="38398"/>
  </r>
  <r>
    <x v="0"/>
    <x v="0"/>
    <x v="0"/>
    <x v="0"/>
    <x v="1"/>
    <s v="DK2_Rural"/>
    <x v="3"/>
    <s v="GNR_ENG_NGAS_BP_E-40"/>
    <x v="0"/>
    <x v="8"/>
    <n v="29.2222222222222"/>
    <n v="10666.1111111111"/>
    <n v="38398"/>
  </r>
  <r>
    <x v="0"/>
    <x v="0"/>
    <x v="0"/>
    <x v="0"/>
    <x v="1"/>
    <s v="DK2_Rural"/>
    <x v="3"/>
    <s v="GNR_ENG_NGAS_BP_E-40"/>
    <x v="0"/>
    <x v="9"/>
    <n v="29.2222222222222"/>
    <n v="10666.1111111111"/>
    <n v="38398"/>
  </r>
  <r>
    <x v="0"/>
    <x v="0"/>
    <x v="0"/>
    <x v="0"/>
    <x v="1"/>
    <s v="DK2_Rural"/>
    <x v="3"/>
    <s v="GNR_ENG_NGAS_BP_E-40"/>
    <x v="0"/>
    <x v="10"/>
    <n v="29.2222222222222"/>
    <n v="10666.1111111111"/>
    <n v="38398"/>
  </r>
  <r>
    <x v="0"/>
    <x v="0"/>
    <x v="0"/>
    <x v="0"/>
    <x v="1"/>
    <s v="DK2_Rural"/>
    <x v="3"/>
    <s v="GNR_ENG_NGAS_BP_E-40"/>
    <x v="0"/>
    <x v="11"/>
    <n v="29.2222222222222"/>
    <n v="10666.1111111111"/>
    <n v="38398"/>
  </r>
  <r>
    <x v="0"/>
    <x v="0"/>
    <x v="0"/>
    <x v="0"/>
    <x v="1"/>
    <s v="DK2_Rural"/>
    <x v="3"/>
    <s v="GNR_ENG_NGAS_BP_E-40"/>
    <x v="0"/>
    <x v="0"/>
    <n v="29.2222222222222"/>
    <n v="10666.1111111111"/>
    <n v="38398"/>
  </r>
  <r>
    <x v="0"/>
    <x v="0"/>
    <x v="0"/>
    <x v="0"/>
    <x v="1"/>
    <s v="DK2_Rural"/>
    <x v="3"/>
    <s v="GNR_ENG_NGAS_BP_E-40"/>
    <x v="0"/>
    <x v="1"/>
    <n v="29.2222222222222"/>
    <n v="10666.1111111111"/>
    <n v="38398"/>
  </r>
  <r>
    <x v="0"/>
    <x v="0"/>
    <x v="0"/>
    <x v="0"/>
    <x v="1"/>
    <s v="DK2_Rural"/>
    <x v="3"/>
    <s v="GNR_ENG_NGAS_BP_E-40"/>
    <x v="0"/>
    <x v="2"/>
    <n v="29.2222222222222"/>
    <n v="10666.1111111111"/>
    <n v="38398"/>
  </r>
  <r>
    <x v="0"/>
    <x v="0"/>
    <x v="0"/>
    <x v="0"/>
    <x v="1"/>
    <s v="DK2_Rural"/>
    <x v="3"/>
    <s v="GNR_ENG_NGAS_BP_E-40"/>
    <x v="0"/>
    <x v="3"/>
    <n v="29.2222222222222"/>
    <n v="10666.1111111111"/>
    <n v="38398"/>
  </r>
  <r>
    <x v="0"/>
    <x v="0"/>
    <x v="0"/>
    <x v="0"/>
    <x v="1"/>
    <s v="DK2_Rural"/>
    <x v="3"/>
    <s v="GNR_ENG_NGAS_BP_E-40"/>
    <x v="0"/>
    <x v="12"/>
    <n v="29.2222222222222"/>
    <n v="10666.1111111111"/>
    <n v="38398"/>
  </r>
  <r>
    <x v="0"/>
    <x v="0"/>
    <x v="0"/>
    <x v="0"/>
    <x v="1"/>
    <s v="DK2_Rural"/>
    <x v="3"/>
    <s v="GNR_ENG_NGAS_BP_E-40"/>
    <x v="0"/>
    <x v="13"/>
    <n v="29.2222222222222"/>
    <n v="10666.1111111111"/>
    <n v="38398"/>
  </r>
  <r>
    <x v="0"/>
    <x v="0"/>
    <x v="0"/>
    <x v="0"/>
    <x v="1"/>
    <s v="DK2_Rural"/>
    <x v="3"/>
    <s v="GNR_ENG_NGAS_BP_E-40"/>
    <x v="0"/>
    <x v="14"/>
    <n v="29.2222222222222"/>
    <n v="10666.1111111111"/>
    <n v="38398"/>
  </r>
  <r>
    <x v="0"/>
    <x v="0"/>
    <x v="0"/>
    <x v="0"/>
    <x v="1"/>
    <s v="DK2_Rural"/>
    <x v="3"/>
    <s v="GNR_ENG_NGAS_BP_E-40"/>
    <x v="0"/>
    <x v="15"/>
    <n v="29.2222222222222"/>
    <n v="10666.1111111111"/>
    <n v="38398"/>
  </r>
  <r>
    <x v="0"/>
    <x v="0"/>
    <x v="0"/>
    <x v="0"/>
    <x v="1"/>
    <s v="DK2_Rural"/>
    <x v="3"/>
    <s v="GNR_ENG_NGAS_BP_E-40"/>
    <x v="0"/>
    <x v="4"/>
    <n v="29.2222222222222"/>
    <n v="10666.1111111111"/>
    <n v="38398"/>
  </r>
  <r>
    <x v="0"/>
    <x v="0"/>
    <x v="0"/>
    <x v="0"/>
    <x v="1"/>
    <s v="DK2_Rural"/>
    <x v="3"/>
    <s v="GNR_ENG_NGAS_BP_E-40"/>
    <x v="0"/>
    <x v="16"/>
    <n v="29.2222222222222"/>
    <n v="10666.1111111111"/>
    <n v="38398"/>
  </r>
  <r>
    <x v="0"/>
    <x v="0"/>
    <x v="0"/>
    <x v="0"/>
    <x v="1"/>
    <s v="DK2_Rural"/>
    <x v="3"/>
    <s v="GNR_ENG_NGAS_BP_E-40"/>
    <x v="0"/>
    <x v="5"/>
    <n v="29.2222222222222"/>
    <n v="10666.1111111111"/>
    <n v="38398"/>
  </r>
  <r>
    <x v="0"/>
    <x v="0"/>
    <x v="0"/>
    <x v="0"/>
    <x v="1"/>
    <s v="DK2_Rural"/>
    <x v="3"/>
    <s v="GNR_ENG_NGAS_BP_E-40"/>
    <x v="0"/>
    <x v="17"/>
    <n v="29.2222222222222"/>
    <n v="10666.1111111111"/>
    <n v="38398"/>
  </r>
  <r>
    <x v="0"/>
    <x v="0"/>
    <x v="0"/>
    <x v="0"/>
    <x v="1"/>
    <s v="DK2_Rural"/>
    <x v="3"/>
    <s v="GNR_ENG_NGAS_BP_E-40"/>
    <x v="0"/>
    <x v="18"/>
    <n v="29.2222222222222"/>
    <n v="10666.1111111111"/>
    <n v="38398"/>
  </r>
  <r>
    <x v="0"/>
    <x v="0"/>
    <x v="0"/>
    <x v="0"/>
    <x v="1"/>
    <s v="DK2_Rural"/>
    <x v="3"/>
    <s v="GNR_ENG_NGAS_BP_E-40"/>
    <x v="0"/>
    <x v="19"/>
    <n v="29.2222222222222"/>
    <n v="10666.1111111111"/>
    <n v="38398"/>
  </r>
  <r>
    <x v="0"/>
    <x v="0"/>
    <x v="0"/>
    <x v="0"/>
    <x v="1"/>
    <s v="DK2_Rural"/>
    <x v="3"/>
    <s v="GNR_ENG_NGAS_BP_E-40"/>
    <x v="0"/>
    <x v="20"/>
    <n v="29.2222222222222"/>
    <n v="10666.1111111111"/>
    <n v="38398"/>
  </r>
  <r>
    <x v="0"/>
    <x v="0"/>
    <x v="0"/>
    <x v="0"/>
    <x v="1"/>
    <s v="DK2_Rural"/>
    <x v="3"/>
    <s v="GNR_ENG_NGAS_BP_E-40"/>
    <x v="0"/>
    <x v="21"/>
    <n v="29.2222222222222"/>
    <n v="10666.1111111111"/>
    <n v="38398"/>
  </r>
  <r>
    <x v="0"/>
    <x v="0"/>
    <x v="0"/>
    <x v="0"/>
    <x v="1"/>
    <s v="DK2_Rural"/>
    <x v="3"/>
    <s v="GNR_ENG_NGAS_BP_E-40"/>
    <x v="0"/>
    <x v="22"/>
    <n v="29.2222222222222"/>
    <n v="10666.1111111111"/>
    <n v="38398"/>
  </r>
  <r>
    <x v="0"/>
    <x v="0"/>
    <x v="0"/>
    <x v="0"/>
    <x v="1"/>
    <s v="DK2_Rural"/>
    <x v="3"/>
    <s v="GNR_ENG_NGAS_BP_E-40"/>
    <x v="0"/>
    <x v="23"/>
    <n v="29.2222222222222"/>
    <n v="10666.1111111111"/>
    <n v="38398"/>
  </r>
  <r>
    <x v="0"/>
    <x v="0"/>
    <x v="0"/>
    <x v="0"/>
    <x v="1"/>
    <s v="DK2_Rural"/>
    <x v="3"/>
    <s v="GNR_ENG_NGAS_BP_E-41"/>
    <x v="0"/>
    <x v="6"/>
    <n v="6.04"/>
    <n v="2204.6"/>
    <n v="7936.56"/>
  </r>
  <r>
    <x v="0"/>
    <x v="0"/>
    <x v="0"/>
    <x v="0"/>
    <x v="1"/>
    <s v="DK2_Rural"/>
    <x v="3"/>
    <s v="GNR_ENG_NGAS_BP_E-41"/>
    <x v="0"/>
    <x v="7"/>
    <n v="6.04"/>
    <n v="2204.6"/>
    <n v="7936.56"/>
  </r>
  <r>
    <x v="0"/>
    <x v="0"/>
    <x v="0"/>
    <x v="0"/>
    <x v="1"/>
    <s v="DK2_Rural"/>
    <x v="3"/>
    <s v="GNR_ENG_NGAS_BP_E-41"/>
    <x v="0"/>
    <x v="8"/>
    <n v="6.04"/>
    <n v="2204.6"/>
    <n v="7936.56"/>
  </r>
  <r>
    <x v="0"/>
    <x v="0"/>
    <x v="0"/>
    <x v="0"/>
    <x v="1"/>
    <s v="DK2_Rural"/>
    <x v="3"/>
    <s v="GNR_ENG_NGAS_BP_E-41"/>
    <x v="0"/>
    <x v="9"/>
    <n v="6.04"/>
    <n v="2204.6"/>
    <n v="7936.56"/>
  </r>
  <r>
    <x v="0"/>
    <x v="0"/>
    <x v="0"/>
    <x v="0"/>
    <x v="1"/>
    <s v="DK2_Rural"/>
    <x v="3"/>
    <s v="GNR_ENG_NGAS_BP_E-41"/>
    <x v="0"/>
    <x v="10"/>
    <n v="6.04"/>
    <n v="2204.6"/>
    <n v="7936.56"/>
  </r>
  <r>
    <x v="0"/>
    <x v="0"/>
    <x v="0"/>
    <x v="0"/>
    <x v="1"/>
    <s v="DK2_Rural"/>
    <x v="3"/>
    <s v="GNR_ENG_NGAS_BP_E-41"/>
    <x v="0"/>
    <x v="11"/>
    <n v="6.04"/>
    <n v="2204.6"/>
    <n v="7936.56"/>
  </r>
  <r>
    <x v="0"/>
    <x v="0"/>
    <x v="0"/>
    <x v="0"/>
    <x v="1"/>
    <s v="DK2_Rural"/>
    <x v="3"/>
    <s v="GNR_ENG_NGAS_BP_E-41"/>
    <x v="0"/>
    <x v="0"/>
    <n v="6.04"/>
    <n v="2204.6"/>
    <n v="7936.56"/>
  </r>
  <r>
    <x v="0"/>
    <x v="0"/>
    <x v="0"/>
    <x v="0"/>
    <x v="1"/>
    <s v="DK2_Rural"/>
    <x v="3"/>
    <s v="GNR_ENG_NGAS_BP_E-41"/>
    <x v="0"/>
    <x v="1"/>
    <n v="6.04"/>
    <n v="2204.6"/>
    <n v="7936.56"/>
  </r>
  <r>
    <x v="0"/>
    <x v="0"/>
    <x v="0"/>
    <x v="0"/>
    <x v="1"/>
    <s v="DK2_Rural"/>
    <x v="3"/>
    <s v="GNR_ENG_NGAS_BP_E-41"/>
    <x v="0"/>
    <x v="2"/>
    <n v="6.04"/>
    <n v="2204.6"/>
    <n v="7936.56"/>
  </r>
  <r>
    <x v="0"/>
    <x v="0"/>
    <x v="0"/>
    <x v="0"/>
    <x v="1"/>
    <s v="DK2_Rural"/>
    <x v="3"/>
    <s v="GNR_ENG_NGAS_BP_E-41"/>
    <x v="0"/>
    <x v="3"/>
    <n v="6.04"/>
    <n v="2204.6"/>
    <n v="7936.56"/>
  </r>
  <r>
    <x v="0"/>
    <x v="0"/>
    <x v="0"/>
    <x v="0"/>
    <x v="1"/>
    <s v="DK2_Rural"/>
    <x v="3"/>
    <s v="GNR_ENG_NGAS_BP_E-41"/>
    <x v="0"/>
    <x v="12"/>
    <n v="6.04"/>
    <n v="2204.6"/>
    <n v="7936.56"/>
  </r>
  <r>
    <x v="0"/>
    <x v="0"/>
    <x v="0"/>
    <x v="0"/>
    <x v="1"/>
    <s v="DK2_Rural"/>
    <x v="3"/>
    <s v="GNR_ENG_NGAS_BP_E-41"/>
    <x v="0"/>
    <x v="13"/>
    <n v="6.04"/>
    <n v="2204.6"/>
    <n v="7936.56"/>
  </r>
  <r>
    <x v="0"/>
    <x v="0"/>
    <x v="0"/>
    <x v="0"/>
    <x v="1"/>
    <s v="DK2_Rural"/>
    <x v="3"/>
    <s v="GNR_ENG_NGAS_BP_E-41"/>
    <x v="0"/>
    <x v="14"/>
    <n v="6.04"/>
    <n v="2204.6"/>
    <n v="7936.56"/>
  </r>
  <r>
    <x v="0"/>
    <x v="0"/>
    <x v="0"/>
    <x v="0"/>
    <x v="1"/>
    <s v="DK2_Rural"/>
    <x v="3"/>
    <s v="GNR_ENG_NGAS_BP_E-41"/>
    <x v="0"/>
    <x v="15"/>
    <n v="6.04"/>
    <n v="2204.6"/>
    <n v="7936.56"/>
  </r>
  <r>
    <x v="0"/>
    <x v="0"/>
    <x v="0"/>
    <x v="0"/>
    <x v="1"/>
    <s v="DK2_Rural"/>
    <x v="3"/>
    <s v="GNR_ENG_NGAS_BP_E-41"/>
    <x v="0"/>
    <x v="4"/>
    <n v="6.04"/>
    <n v="2204.6"/>
    <n v="7936.56"/>
  </r>
  <r>
    <x v="0"/>
    <x v="0"/>
    <x v="0"/>
    <x v="0"/>
    <x v="1"/>
    <s v="DK2_Rural"/>
    <x v="3"/>
    <s v="GNR_ENG_NGAS_BP_E-41"/>
    <x v="0"/>
    <x v="16"/>
    <n v="6.04"/>
    <n v="2204.6"/>
    <n v="7936.56"/>
  </r>
  <r>
    <x v="0"/>
    <x v="0"/>
    <x v="0"/>
    <x v="0"/>
    <x v="1"/>
    <s v="DK2_Rural"/>
    <x v="3"/>
    <s v="GNR_ENG_NGAS_BP_E-41"/>
    <x v="0"/>
    <x v="5"/>
    <n v="6.04"/>
    <n v="2204.6"/>
    <n v="7936.56"/>
  </r>
  <r>
    <x v="0"/>
    <x v="0"/>
    <x v="0"/>
    <x v="0"/>
    <x v="1"/>
    <s v="DK2_Rural"/>
    <x v="3"/>
    <s v="GNR_ENG_NGAS_BP_E-41"/>
    <x v="0"/>
    <x v="17"/>
    <n v="6.04"/>
    <n v="2204.6"/>
    <n v="7936.56"/>
  </r>
  <r>
    <x v="0"/>
    <x v="0"/>
    <x v="0"/>
    <x v="0"/>
    <x v="1"/>
    <s v="DK2_Rural"/>
    <x v="3"/>
    <s v="GNR_ENG_NGAS_BP_E-41"/>
    <x v="0"/>
    <x v="18"/>
    <n v="6.04"/>
    <n v="2204.6"/>
    <n v="7936.56"/>
  </r>
  <r>
    <x v="0"/>
    <x v="0"/>
    <x v="0"/>
    <x v="0"/>
    <x v="1"/>
    <s v="DK2_Rural"/>
    <x v="3"/>
    <s v="GNR_ENG_NGAS_BP_E-41"/>
    <x v="0"/>
    <x v="19"/>
    <n v="6.04"/>
    <n v="2204.6"/>
    <n v="7936.56"/>
  </r>
  <r>
    <x v="0"/>
    <x v="0"/>
    <x v="0"/>
    <x v="0"/>
    <x v="1"/>
    <s v="DK2_Rural"/>
    <x v="3"/>
    <s v="GNR_ENG_NGAS_BP_E-41"/>
    <x v="0"/>
    <x v="20"/>
    <n v="6.04"/>
    <n v="2204.6"/>
    <n v="7936.56"/>
  </r>
  <r>
    <x v="0"/>
    <x v="0"/>
    <x v="0"/>
    <x v="0"/>
    <x v="1"/>
    <s v="DK2_Rural"/>
    <x v="3"/>
    <s v="GNR_ENG_NGAS_BP_E-41"/>
    <x v="0"/>
    <x v="21"/>
    <n v="6.04"/>
    <n v="2204.6"/>
    <n v="7936.56"/>
  </r>
  <r>
    <x v="0"/>
    <x v="0"/>
    <x v="0"/>
    <x v="0"/>
    <x v="1"/>
    <s v="DK2_Rural"/>
    <x v="3"/>
    <s v="GNR_ENG_NGAS_BP_E-41"/>
    <x v="0"/>
    <x v="22"/>
    <n v="6.04"/>
    <n v="2204.6"/>
    <n v="7936.56"/>
  </r>
  <r>
    <x v="0"/>
    <x v="0"/>
    <x v="0"/>
    <x v="0"/>
    <x v="1"/>
    <s v="DK2_Rural"/>
    <x v="3"/>
    <s v="GNR_ENG_NGAS_BP_E-41"/>
    <x v="0"/>
    <x v="23"/>
    <n v="6.04"/>
    <n v="2204.6"/>
    <n v="7936.56"/>
  </r>
  <r>
    <x v="0"/>
    <x v="0"/>
    <x v="0"/>
    <x v="0"/>
    <x v="1"/>
    <s v="DK2_Rural"/>
    <x v="3"/>
    <s v="GNR_ENG_NGAS_BP_E-42"/>
    <x v="0"/>
    <x v="6"/>
    <n v="1.68888888888889"/>
    <n v="616.444444444444"/>
    <n v="2219.1999999999998"/>
  </r>
  <r>
    <x v="0"/>
    <x v="0"/>
    <x v="0"/>
    <x v="0"/>
    <x v="1"/>
    <s v="DK2_Rural"/>
    <x v="3"/>
    <s v="GNR_ENG_NGAS_BP_E-42"/>
    <x v="0"/>
    <x v="7"/>
    <n v="1.68888888888889"/>
    <n v="616.444444444444"/>
    <n v="2219.1999999999998"/>
  </r>
  <r>
    <x v="0"/>
    <x v="0"/>
    <x v="0"/>
    <x v="0"/>
    <x v="1"/>
    <s v="DK2_Rural"/>
    <x v="3"/>
    <s v="GNR_ENG_NGAS_BP_E-42"/>
    <x v="0"/>
    <x v="8"/>
    <n v="1.68888888888889"/>
    <n v="616.444444444444"/>
    <n v="2219.1999999999998"/>
  </r>
  <r>
    <x v="0"/>
    <x v="0"/>
    <x v="0"/>
    <x v="0"/>
    <x v="1"/>
    <s v="DK2_Rural"/>
    <x v="3"/>
    <s v="GNR_ENG_NGAS_BP_E-42"/>
    <x v="0"/>
    <x v="9"/>
    <n v="1.68888888888889"/>
    <n v="616.444444444444"/>
    <n v="2219.1999999999998"/>
  </r>
  <r>
    <x v="0"/>
    <x v="0"/>
    <x v="0"/>
    <x v="0"/>
    <x v="1"/>
    <s v="DK2_Rural"/>
    <x v="3"/>
    <s v="GNR_ENG_NGAS_BP_E-42"/>
    <x v="0"/>
    <x v="10"/>
    <n v="1.68888888888889"/>
    <n v="616.444444444444"/>
    <n v="2219.1999999999998"/>
  </r>
  <r>
    <x v="0"/>
    <x v="0"/>
    <x v="0"/>
    <x v="0"/>
    <x v="1"/>
    <s v="DK2_Rural"/>
    <x v="3"/>
    <s v="GNR_ENG_NGAS_BP_E-42"/>
    <x v="0"/>
    <x v="11"/>
    <n v="1.68888888888889"/>
    <n v="616.444444444444"/>
    <n v="2219.1999999999998"/>
  </r>
  <r>
    <x v="0"/>
    <x v="0"/>
    <x v="0"/>
    <x v="0"/>
    <x v="1"/>
    <s v="DK2_Rural"/>
    <x v="3"/>
    <s v="GNR_ENG_NGAS_BP_E-42"/>
    <x v="0"/>
    <x v="0"/>
    <n v="1.68888888888889"/>
    <n v="616.444444444444"/>
    <n v="2219.1999999999998"/>
  </r>
  <r>
    <x v="0"/>
    <x v="0"/>
    <x v="0"/>
    <x v="0"/>
    <x v="1"/>
    <s v="DK2_Rural"/>
    <x v="3"/>
    <s v="GNR_ENG_NGAS_BP_E-42"/>
    <x v="0"/>
    <x v="1"/>
    <n v="1.68888888888889"/>
    <n v="616.444444444444"/>
    <n v="2219.1999999999998"/>
  </r>
  <r>
    <x v="0"/>
    <x v="0"/>
    <x v="0"/>
    <x v="0"/>
    <x v="1"/>
    <s v="DK2_Rural"/>
    <x v="3"/>
    <s v="GNR_ENG_NGAS_BP_E-42"/>
    <x v="0"/>
    <x v="2"/>
    <n v="1.68888888888889"/>
    <n v="616.444444444444"/>
    <n v="2219.1999999999998"/>
  </r>
  <r>
    <x v="0"/>
    <x v="0"/>
    <x v="0"/>
    <x v="0"/>
    <x v="1"/>
    <s v="DK2_Rural"/>
    <x v="3"/>
    <s v="GNR_ENG_NGAS_BP_E-42"/>
    <x v="0"/>
    <x v="3"/>
    <n v="1.68888888888889"/>
    <n v="616.444444444444"/>
    <n v="2219.1999999999998"/>
  </r>
  <r>
    <x v="0"/>
    <x v="0"/>
    <x v="0"/>
    <x v="0"/>
    <x v="1"/>
    <s v="DK2_Rural"/>
    <x v="3"/>
    <s v="GNR_ENG_NGAS_BP_E-42"/>
    <x v="0"/>
    <x v="12"/>
    <n v="1.68888888888889"/>
    <n v="616.444444444444"/>
    <n v="2219.1999999999998"/>
  </r>
  <r>
    <x v="0"/>
    <x v="0"/>
    <x v="0"/>
    <x v="0"/>
    <x v="1"/>
    <s v="DK2_Rural"/>
    <x v="3"/>
    <s v="GNR_ENG_NGAS_BP_E-42"/>
    <x v="0"/>
    <x v="13"/>
    <n v="1.68888888888889"/>
    <n v="616.444444444444"/>
    <n v="2219.1999999999998"/>
  </r>
  <r>
    <x v="0"/>
    <x v="0"/>
    <x v="0"/>
    <x v="0"/>
    <x v="1"/>
    <s v="DK2_Rural"/>
    <x v="3"/>
    <s v="GNR_ENG_NGAS_BP_E-42"/>
    <x v="0"/>
    <x v="14"/>
    <n v="1.68888888888889"/>
    <n v="616.444444444444"/>
    <n v="2219.1999999999998"/>
  </r>
  <r>
    <x v="0"/>
    <x v="0"/>
    <x v="0"/>
    <x v="0"/>
    <x v="1"/>
    <s v="DK2_Rural"/>
    <x v="3"/>
    <s v="GNR_ENG_NGAS_BP_E-42"/>
    <x v="0"/>
    <x v="15"/>
    <n v="1.68888888888889"/>
    <n v="616.444444444444"/>
    <n v="2219.1999999999998"/>
  </r>
  <r>
    <x v="0"/>
    <x v="0"/>
    <x v="0"/>
    <x v="0"/>
    <x v="1"/>
    <s v="DK2_Rural"/>
    <x v="3"/>
    <s v="GNR_ENG_NGAS_BP_E-42"/>
    <x v="0"/>
    <x v="4"/>
    <n v="1.68888888888889"/>
    <n v="616.444444444444"/>
    <n v="2219.1999999999998"/>
  </r>
  <r>
    <x v="0"/>
    <x v="0"/>
    <x v="0"/>
    <x v="0"/>
    <x v="1"/>
    <s v="DK2_Rural"/>
    <x v="3"/>
    <s v="GNR_ENG_NGAS_BP_E-42"/>
    <x v="0"/>
    <x v="16"/>
    <n v="1.68888888888889"/>
    <n v="616.444444444444"/>
    <n v="2219.1999999999998"/>
  </r>
  <r>
    <x v="0"/>
    <x v="0"/>
    <x v="0"/>
    <x v="0"/>
    <x v="1"/>
    <s v="DK2_Rural"/>
    <x v="3"/>
    <s v="GNR_ENG_NGAS_BP_E-42"/>
    <x v="0"/>
    <x v="5"/>
    <n v="1.68888888888889"/>
    <n v="616.444444444444"/>
    <n v="2219.1999999999998"/>
  </r>
  <r>
    <x v="0"/>
    <x v="0"/>
    <x v="0"/>
    <x v="0"/>
    <x v="1"/>
    <s v="DK2_Rural"/>
    <x v="3"/>
    <s v="GNR_ENG_NGAS_BP_E-42"/>
    <x v="0"/>
    <x v="17"/>
    <n v="1.68888888888889"/>
    <n v="616.444444444444"/>
    <n v="2219.1999999999998"/>
  </r>
  <r>
    <x v="0"/>
    <x v="0"/>
    <x v="0"/>
    <x v="0"/>
    <x v="1"/>
    <s v="DK2_Rural"/>
    <x v="3"/>
    <s v="GNR_ENG_NGAS_BP_E-42"/>
    <x v="0"/>
    <x v="18"/>
    <n v="1.68888888888889"/>
    <n v="616.444444444444"/>
    <n v="2219.1999999999998"/>
  </r>
  <r>
    <x v="0"/>
    <x v="0"/>
    <x v="0"/>
    <x v="0"/>
    <x v="1"/>
    <s v="DK2_Rural"/>
    <x v="3"/>
    <s v="GNR_ENG_NGAS_BP_E-42"/>
    <x v="0"/>
    <x v="19"/>
    <n v="1.68888888888889"/>
    <n v="616.444444444444"/>
    <n v="2219.1999999999998"/>
  </r>
  <r>
    <x v="0"/>
    <x v="0"/>
    <x v="0"/>
    <x v="0"/>
    <x v="1"/>
    <s v="DK2_Rural"/>
    <x v="3"/>
    <s v="GNR_ENG_NGAS_BP_E-42"/>
    <x v="0"/>
    <x v="20"/>
    <n v="1.68888888888889"/>
    <n v="616.444444444444"/>
    <n v="2219.1999999999998"/>
  </r>
  <r>
    <x v="0"/>
    <x v="0"/>
    <x v="0"/>
    <x v="0"/>
    <x v="1"/>
    <s v="DK2_Rural"/>
    <x v="3"/>
    <s v="GNR_ENG_NGAS_BP_E-42"/>
    <x v="0"/>
    <x v="21"/>
    <n v="1.68888888888889"/>
    <n v="616.444444444444"/>
    <n v="2219.1999999999998"/>
  </r>
  <r>
    <x v="0"/>
    <x v="0"/>
    <x v="0"/>
    <x v="0"/>
    <x v="1"/>
    <s v="DK2_Rural"/>
    <x v="3"/>
    <s v="GNR_ENG_NGAS_BP_E-42"/>
    <x v="0"/>
    <x v="22"/>
    <n v="1.68888888888889"/>
    <n v="616.444444444444"/>
    <n v="2219.1999999999998"/>
  </r>
  <r>
    <x v="0"/>
    <x v="0"/>
    <x v="0"/>
    <x v="0"/>
    <x v="1"/>
    <s v="DK2_Rural"/>
    <x v="3"/>
    <s v="GNR_ENG_NGAS_BP_E-42"/>
    <x v="0"/>
    <x v="23"/>
    <n v="1.68888888888889"/>
    <n v="616.444444444444"/>
    <n v="2219.1999999999998"/>
  </r>
  <r>
    <x v="0"/>
    <x v="0"/>
    <x v="0"/>
    <x v="0"/>
    <x v="1"/>
    <s v="DK2_Rural"/>
    <x v="3"/>
    <s v="GNR_ENG_NGAS_BP_E-43"/>
    <x v="0"/>
    <x v="6"/>
    <n v="2.7522222222222199"/>
    <n v="1004.56111111111"/>
    <n v="3616.42"/>
  </r>
  <r>
    <x v="0"/>
    <x v="0"/>
    <x v="0"/>
    <x v="0"/>
    <x v="1"/>
    <s v="DK2_Rural"/>
    <x v="3"/>
    <s v="GNR_ENG_NGAS_BP_E-43"/>
    <x v="0"/>
    <x v="7"/>
    <n v="2.7522222222222199"/>
    <n v="1004.56111111111"/>
    <n v="3616.42"/>
  </r>
  <r>
    <x v="0"/>
    <x v="0"/>
    <x v="0"/>
    <x v="0"/>
    <x v="1"/>
    <s v="DK2_Rural"/>
    <x v="3"/>
    <s v="GNR_ENG_NGAS_BP_E-43"/>
    <x v="0"/>
    <x v="8"/>
    <n v="2.7522222222222199"/>
    <n v="1004.56111111111"/>
    <n v="3616.42"/>
  </r>
  <r>
    <x v="0"/>
    <x v="0"/>
    <x v="0"/>
    <x v="0"/>
    <x v="1"/>
    <s v="DK2_Rural"/>
    <x v="3"/>
    <s v="GNR_ENG_NGAS_BP_E-43"/>
    <x v="0"/>
    <x v="9"/>
    <n v="2.7522222222222199"/>
    <n v="1004.56111111111"/>
    <n v="3616.42"/>
  </r>
  <r>
    <x v="0"/>
    <x v="0"/>
    <x v="0"/>
    <x v="0"/>
    <x v="1"/>
    <s v="DK2_Rural"/>
    <x v="3"/>
    <s v="GNR_ENG_NGAS_BP_E-43"/>
    <x v="0"/>
    <x v="10"/>
    <n v="2.7522222222222199"/>
    <n v="1004.56111111111"/>
    <n v="3616.42"/>
  </r>
  <r>
    <x v="0"/>
    <x v="0"/>
    <x v="0"/>
    <x v="0"/>
    <x v="1"/>
    <s v="DK2_Rural"/>
    <x v="3"/>
    <s v="GNR_ENG_NGAS_BP_E-43"/>
    <x v="0"/>
    <x v="11"/>
    <n v="2.7522222222222199"/>
    <n v="1004.56111111111"/>
    <n v="3616.42"/>
  </r>
  <r>
    <x v="0"/>
    <x v="0"/>
    <x v="0"/>
    <x v="0"/>
    <x v="1"/>
    <s v="DK2_Rural"/>
    <x v="3"/>
    <s v="GNR_ENG_NGAS_BP_E-43"/>
    <x v="0"/>
    <x v="0"/>
    <n v="2.7522222222222199"/>
    <n v="1004.56111111111"/>
    <n v="3616.42"/>
  </r>
  <r>
    <x v="0"/>
    <x v="0"/>
    <x v="0"/>
    <x v="0"/>
    <x v="1"/>
    <s v="DK2_Rural"/>
    <x v="3"/>
    <s v="GNR_ENG_NGAS_BP_E-43"/>
    <x v="0"/>
    <x v="1"/>
    <n v="2.7522222222222199"/>
    <n v="1004.56111111111"/>
    <n v="3616.42"/>
  </r>
  <r>
    <x v="0"/>
    <x v="0"/>
    <x v="0"/>
    <x v="0"/>
    <x v="1"/>
    <s v="DK2_Rural"/>
    <x v="3"/>
    <s v="GNR_ENG_NGAS_BP_E-43"/>
    <x v="0"/>
    <x v="2"/>
    <n v="2.7522222222222199"/>
    <n v="1004.56111111111"/>
    <n v="3616.42"/>
  </r>
  <r>
    <x v="0"/>
    <x v="0"/>
    <x v="0"/>
    <x v="0"/>
    <x v="1"/>
    <s v="DK2_Rural"/>
    <x v="3"/>
    <s v="GNR_ENG_NGAS_BP_E-43"/>
    <x v="0"/>
    <x v="3"/>
    <n v="2.7522222222222199"/>
    <n v="1004.56111111111"/>
    <n v="3616.42"/>
  </r>
  <r>
    <x v="0"/>
    <x v="0"/>
    <x v="0"/>
    <x v="0"/>
    <x v="1"/>
    <s v="DK2_Rural"/>
    <x v="3"/>
    <s v="GNR_ENG_NGAS_BP_E-43"/>
    <x v="0"/>
    <x v="12"/>
    <n v="2.7522222222222199"/>
    <n v="1004.56111111111"/>
    <n v="3616.42"/>
  </r>
  <r>
    <x v="0"/>
    <x v="0"/>
    <x v="0"/>
    <x v="0"/>
    <x v="1"/>
    <s v="DK2_Rural"/>
    <x v="3"/>
    <s v="GNR_ENG_NGAS_BP_E-43"/>
    <x v="0"/>
    <x v="13"/>
    <n v="2.7522222222222199"/>
    <n v="1004.56111111111"/>
    <n v="3616.42"/>
  </r>
  <r>
    <x v="0"/>
    <x v="0"/>
    <x v="0"/>
    <x v="0"/>
    <x v="1"/>
    <s v="DK2_Rural"/>
    <x v="3"/>
    <s v="GNR_ENG_NGAS_BP_E-43"/>
    <x v="0"/>
    <x v="14"/>
    <n v="2.7522222222222199"/>
    <n v="1004.56111111111"/>
    <n v="3616.42"/>
  </r>
  <r>
    <x v="0"/>
    <x v="0"/>
    <x v="0"/>
    <x v="0"/>
    <x v="1"/>
    <s v="DK2_Rural"/>
    <x v="3"/>
    <s v="GNR_ENG_NGAS_BP_E-43"/>
    <x v="0"/>
    <x v="15"/>
    <n v="2.7522222222222199"/>
    <n v="1004.56111111111"/>
    <n v="3616.42"/>
  </r>
  <r>
    <x v="0"/>
    <x v="0"/>
    <x v="0"/>
    <x v="0"/>
    <x v="1"/>
    <s v="DK2_Rural"/>
    <x v="3"/>
    <s v="GNR_ENG_NGAS_BP_E-43"/>
    <x v="0"/>
    <x v="4"/>
    <n v="2.7522222222222199"/>
    <n v="1004.56111111111"/>
    <n v="3616.42"/>
  </r>
  <r>
    <x v="0"/>
    <x v="0"/>
    <x v="0"/>
    <x v="0"/>
    <x v="1"/>
    <s v="DK2_Rural"/>
    <x v="3"/>
    <s v="GNR_ENG_NGAS_BP_E-43"/>
    <x v="0"/>
    <x v="16"/>
    <n v="2.7522222222222199"/>
    <n v="1004.56111111111"/>
    <n v="3616.42"/>
  </r>
  <r>
    <x v="0"/>
    <x v="0"/>
    <x v="0"/>
    <x v="0"/>
    <x v="1"/>
    <s v="DK2_Rural"/>
    <x v="3"/>
    <s v="GNR_ENG_NGAS_BP_E-43"/>
    <x v="0"/>
    <x v="5"/>
    <n v="2.7522222222222199"/>
    <n v="1004.56111111111"/>
    <n v="3616.42"/>
  </r>
  <r>
    <x v="0"/>
    <x v="0"/>
    <x v="0"/>
    <x v="0"/>
    <x v="1"/>
    <s v="DK2_Rural"/>
    <x v="3"/>
    <s v="GNR_ENG_NGAS_BP_E-43"/>
    <x v="0"/>
    <x v="17"/>
    <n v="2.7522222222222199"/>
    <n v="1004.56111111111"/>
    <n v="3616.42"/>
  </r>
  <r>
    <x v="0"/>
    <x v="0"/>
    <x v="0"/>
    <x v="0"/>
    <x v="1"/>
    <s v="DK2_Rural"/>
    <x v="3"/>
    <s v="GNR_ENG_NGAS_BP_E-43"/>
    <x v="0"/>
    <x v="18"/>
    <n v="2.7522222222222199"/>
    <n v="1004.56111111111"/>
    <n v="3616.42"/>
  </r>
  <r>
    <x v="0"/>
    <x v="0"/>
    <x v="0"/>
    <x v="0"/>
    <x v="1"/>
    <s v="DK2_Rural"/>
    <x v="3"/>
    <s v="GNR_ENG_NGAS_BP_E-43"/>
    <x v="0"/>
    <x v="19"/>
    <n v="2.7522222222222199"/>
    <n v="1004.56111111111"/>
    <n v="3616.42"/>
  </r>
  <r>
    <x v="0"/>
    <x v="0"/>
    <x v="0"/>
    <x v="0"/>
    <x v="1"/>
    <s v="DK2_Rural"/>
    <x v="3"/>
    <s v="GNR_ENG_NGAS_BP_E-43"/>
    <x v="0"/>
    <x v="20"/>
    <n v="2.7522222222222199"/>
    <n v="1004.56111111111"/>
    <n v="3616.42"/>
  </r>
  <r>
    <x v="0"/>
    <x v="0"/>
    <x v="0"/>
    <x v="0"/>
    <x v="1"/>
    <s v="DK2_Rural"/>
    <x v="3"/>
    <s v="GNR_ENG_NGAS_BP_E-43"/>
    <x v="0"/>
    <x v="21"/>
    <n v="2.7522222222222199"/>
    <n v="1004.56111111111"/>
    <n v="3616.42"/>
  </r>
  <r>
    <x v="0"/>
    <x v="0"/>
    <x v="0"/>
    <x v="0"/>
    <x v="1"/>
    <s v="DK2_Rural"/>
    <x v="3"/>
    <s v="GNR_ENG_NGAS_BP_E-43"/>
    <x v="0"/>
    <x v="22"/>
    <n v="2.7522222222222199"/>
    <n v="1004.56111111111"/>
    <n v="3616.42"/>
  </r>
  <r>
    <x v="0"/>
    <x v="0"/>
    <x v="0"/>
    <x v="0"/>
    <x v="1"/>
    <s v="DK2_Rural"/>
    <x v="3"/>
    <s v="GNR_ENG_NGAS_BP_E-43"/>
    <x v="0"/>
    <x v="23"/>
    <n v="2.7522222222222199"/>
    <n v="1004.56111111111"/>
    <n v="3616.42"/>
  </r>
  <r>
    <x v="0"/>
    <x v="0"/>
    <x v="0"/>
    <x v="0"/>
    <x v="1"/>
    <s v="DK2_Rural"/>
    <x v="3"/>
    <s v="GNR_ENG_NGAS_BP_E-45"/>
    <x v="0"/>
    <x v="6"/>
    <n v="0.55555555555555602"/>
    <n v="202.777777777778"/>
    <n v="730"/>
  </r>
  <r>
    <x v="0"/>
    <x v="0"/>
    <x v="0"/>
    <x v="0"/>
    <x v="1"/>
    <s v="DK2_Rural"/>
    <x v="3"/>
    <s v="GNR_ENG_NGAS_BP_E-45"/>
    <x v="0"/>
    <x v="7"/>
    <n v="0.55555555555555602"/>
    <n v="202.777777777778"/>
    <n v="730"/>
  </r>
  <r>
    <x v="0"/>
    <x v="0"/>
    <x v="0"/>
    <x v="0"/>
    <x v="1"/>
    <s v="DK2_Rural"/>
    <x v="3"/>
    <s v="GNR_ENG_NGAS_BP_E-45"/>
    <x v="0"/>
    <x v="8"/>
    <n v="0.55555555555555602"/>
    <n v="202.777777777778"/>
    <n v="730"/>
  </r>
  <r>
    <x v="0"/>
    <x v="0"/>
    <x v="0"/>
    <x v="0"/>
    <x v="1"/>
    <s v="DK2_Rural"/>
    <x v="3"/>
    <s v="GNR_ENG_NGAS_BP_E-45"/>
    <x v="0"/>
    <x v="9"/>
    <n v="0.55555555555555602"/>
    <n v="202.777777777778"/>
    <n v="730"/>
  </r>
  <r>
    <x v="0"/>
    <x v="0"/>
    <x v="0"/>
    <x v="0"/>
    <x v="1"/>
    <s v="DK2_Rural"/>
    <x v="3"/>
    <s v="GNR_ENG_NGAS_BP_E-45"/>
    <x v="0"/>
    <x v="10"/>
    <n v="0.55555555555555602"/>
    <n v="202.777777777778"/>
    <n v="730"/>
  </r>
  <r>
    <x v="0"/>
    <x v="0"/>
    <x v="0"/>
    <x v="0"/>
    <x v="1"/>
    <s v="DK2_Rural"/>
    <x v="3"/>
    <s v="GNR_ENG_NGAS_BP_E-45"/>
    <x v="0"/>
    <x v="11"/>
    <n v="0.55555555555555602"/>
    <n v="202.777777777778"/>
    <n v="730"/>
  </r>
  <r>
    <x v="0"/>
    <x v="0"/>
    <x v="0"/>
    <x v="0"/>
    <x v="1"/>
    <s v="DK2_Rural"/>
    <x v="3"/>
    <s v="GNR_ENG_NGAS_BP_E-45"/>
    <x v="0"/>
    <x v="0"/>
    <n v="0.55555555555555602"/>
    <n v="202.777777777778"/>
    <n v="730"/>
  </r>
  <r>
    <x v="0"/>
    <x v="0"/>
    <x v="0"/>
    <x v="0"/>
    <x v="1"/>
    <s v="DK2_Rural"/>
    <x v="3"/>
    <s v="GNR_ENG_NGAS_BP_E-45"/>
    <x v="0"/>
    <x v="1"/>
    <n v="0.55555555555555602"/>
    <n v="202.777777777778"/>
    <n v="730"/>
  </r>
  <r>
    <x v="0"/>
    <x v="0"/>
    <x v="0"/>
    <x v="0"/>
    <x v="1"/>
    <s v="DK2_Rural"/>
    <x v="3"/>
    <s v="GNR_ENG_NGAS_BP_E-45"/>
    <x v="0"/>
    <x v="2"/>
    <n v="0.55555555555555602"/>
    <n v="202.777777777778"/>
    <n v="730"/>
  </r>
  <r>
    <x v="0"/>
    <x v="0"/>
    <x v="0"/>
    <x v="0"/>
    <x v="1"/>
    <s v="DK2_Rural"/>
    <x v="3"/>
    <s v="GNR_ENG_NGAS_BP_E-45"/>
    <x v="0"/>
    <x v="3"/>
    <n v="0.55555555555555602"/>
    <n v="202.777777777778"/>
    <n v="730"/>
  </r>
  <r>
    <x v="0"/>
    <x v="0"/>
    <x v="0"/>
    <x v="0"/>
    <x v="1"/>
    <s v="DK2_Rural"/>
    <x v="3"/>
    <s v="GNR_ENG_NGAS_BP_E-45"/>
    <x v="0"/>
    <x v="12"/>
    <n v="0.55555555555555602"/>
    <n v="202.777777777778"/>
    <n v="730"/>
  </r>
  <r>
    <x v="0"/>
    <x v="0"/>
    <x v="0"/>
    <x v="0"/>
    <x v="1"/>
    <s v="DK2_Rural"/>
    <x v="3"/>
    <s v="GNR_ENG_NGAS_BP_E-45"/>
    <x v="0"/>
    <x v="13"/>
    <n v="0.55555555555555602"/>
    <n v="202.777777777778"/>
    <n v="730"/>
  </r>
  <r>
    <x v="0"/>
    <x v="0"/>
    <x v="0"/>
    <x v="0"/>
    <x v="1"/>
    <s v="DK2_Rural"/>
    <x v="3"/>
    <s v="GNR_ENG_NGAS_BP_E-45"/>
    <x v="0"/>
    <x v="14"/>
    <n v="0.55555555555555602"/>
    <n v="202.777777777778"/>
    <n v="730"/>
  </r>
  <r>
    <x v="0"/>
    <x v="0"/>
    <x v="0"/>
    <x v="0"/>
    <x v="1"/>
    <s v="DK2_Rural"/>
    <x v="3"/>
    <s v="GNR_ENG_NGAS_BP_E-45"/>
    <x v="0"/>
    <x v="15"/>
    <n v="0.55555555555555602"/>
    <n v="202.777777777778"/>
    <n v="730"/>
  </r>
  <r>
    <x v="0"/>
    <x v="0"/>
    <x v="0"/>
    <x v="0"/>
    <x v="1"/>
    <s v="DK2_Rural"/>
    <x v="3"/>
    <s v="GNR_ENG_NGAS_BP_E-45"/>
    <x v="0"/>
    <x v="4"/>
    <n v="0.55555555555555602"/>
    <n v="202.777777777778"/>
    <n v="730"/>
  </r>
  <r>
    <x v="0"/>
    <x v="0"/>
    <x v="0"/>
    <x v="0"/>
    <x v="1"/>
    <s v="DK2_Rural"/>
    <x v="3"/>
    <s v="GNR_ENG_NGAS_BP_E-45"/>
    <x v="0"/>
    <x v="16"/>
    <n v="0.55555555555555602"/>
    <n v="202.777777777778"/>
    <n v="730"/>
  </r>
  <r>
    <x v="0"/>
    <x v="0"/>
    <x v="0"/>
    <x v="0"/>
    <x v="1"/>
    <s v="DK2_Rural"/>
    <x v="3"/>
    <s v="GNR_ENG_NGAS_BP_E-45"/>
    <x v="0"/>
    <x v="5"/>
    <n v="0.55555555555555602"/>
    <n v="202.777777777778"/>
    <n v="730"/>
  </r>
  <r>
    <x v="0"/>
    <x v="0"/>
    <x v="0"/>
    <x v="0"/>
    <x v="1"/>
    <s v="DK2_Rural"/>
    <x v="3"/>
    <s v="GNR_ENG_NGAS_BP_E-45"/>
    <x v="0"/>
    <x v="17"/>
    <n v="0.55555555555555602"/>
    <n v="202.777777777778"/>
    <n v="730"/>
  </r>
  <r>
    <x v="0"/>
    <x v="0"/>
    <x v="0"/>
    <x v="0"/>
    <x v="1"/>
    <s v="DK2_Rural"/>
    <x v="3"/>
    <s v="GNR_ENG_NGAS_BP_E-45"/>
    <x v="0"/>
    <x v="18"/>
    <n v="0.55555555555555602"/>
    <n v="202.777777777778"/>
    <n v="730"/>
  </r>
  <r>
    <x v="0"/>
    <x v="0"/>
    <x v="0"/>
    <x v="0"/>
    <x v="1"/>
    <s v="DK2_Rural"/>
    <x v="3"/>
    <s v="GNR_ENG_NGAS_BP_E-45"/>
    <x v="0"/>
    <x v="19"/>
    <n v="0.55555555555555602"/>
    <n v="202.777777777778"/>
    <n v="730"/>
  </r>
  <r>
    <x v="0"/>
    <x v="0"/>
    <x v="0"/>
    <x v="0"/>
    <x v="1"/>
    <s v="DK2_Rural"/>
    <x v="3"/>
    <s v="GNR_ENG_NGAS_BP_E-45"/>
    <x v="0"/>
    <x v="20"/>
    <n v="0.55555555555555602"/>
    <n v="202.777777777778"/>
    <n v="730"/>
  </r>
  <r>
    <x v="0"/>
    <x v="0"/>
    <x v="0"/>
    <x v="0"/>
    <x v="1"/>
    <s v="DK2_Rural"/>
    <x v="3"/>
    <s v="GNR_ENG_NGAS_BP_E-45"/>
    <x v="0"/>
    <x v="21"/>
    <n v="0.55555555555555602"/>
    <n v="202.777777777778"/>
    <n v="730"/>
  </r>
  <r>
    <x v="0"/>
    <x v="0"/>
    <x v="0"/>
    <x v="0"/>
    <x v="1"/>
    <s v="DK2_Rural"/>
    <x v="3"/>
    <s v="GNR_ENG_NGAS_BP_E-45"/>
    <x v="0"/>
    <x v="22"/>
    <n v="0.55555555555555602"/>
    <n v="202.777777777778"/>
    <n v="730"/>
  </r>
  <r>
    <x v="0"/>
    <x v="0"/>
    <x v="0"/>
    <x v="0"/>
    <x v="1"/>
    <s v="DK2_Rural"/>
    <x v="3"/>
    <s v="GNR_ENG_NGAS_BP_E-45"/>
    <x v="0"/>
    <x v="23"/>
    <n v="0.55555555555555602"/>
    <n v="202.777777777778"/>
    <n v="730"/>
  </r>
  <r>
    <x v="0"/>
    <x v="0"/>
    <x v="0"/>
    <x v="0"/>
    <x v="1"/>
    <s v="DK2_Rural"/>
    <x v="3"/>
    <s v="GNR_ENG_NGAS_BP_E-46"/>
    <x v="0"/>
    <x v="6"/>
    <n v="0.61111111111111105"/>
    <n v="223.055555555556"/>
    <n v="803"/>
  </r>
  <r>
    <x v="0"/>
    <x v="0"/>
    <x v="0"/>
    <x v="0"/>
    <x v="1"/>
    <s v="DK2_Rural"/>
    <x v="3"/>
    <s v="GNR_ENG_NGAS_BP_E-46"/>
    <x v="0"/>
    <x v="7"/>
    <n v="0.61111111111111105"/>
    <n v="223.055555555556"/>
    <n v="803"/>
  </r>
  <r>
    <x v="0"/>
    <x v="0"/>
    <x v="0"/>
    <x v="0"/>
    <x v="1"/>
    <s v="DK2_Rural"/>
    <x v="3"/>
    <s v="GNR_ENG_NGAS_BP_E-46"/>
    <x v="0"/>
    <x v="8"/>
    <n v="0.61111111111111105"/>
    <n v="223.055555555556"/>
    <n v="803"/>
  </r>
  <r>
    <x v="0"/>
    <x v="0"/>
    <x v="0"/>
    <x v="0"/>
    <x v="1"/>
    <s v="DK2_Rural"/>
    <x v="3"/>
    <s v="GNR_ENG_NGAS_BP_E-46"/>
    <x v="0"/>
    <x v="9"/>
    <n v="0.61111111111111105"/>
    <n v="223.055555555556"/>
    <n v="803"/>
  </r>
  <r>
    <x v="0"/>
    <x v="0"/>
    <x v="0"/>
    <x v="0"/>
    <x v="1"/>
    <s v="DK2_Rural"/>
    <x v="3"/>
    <s v="GNR_ENG_NGAS_BP_E-46"/>
    <x v="0"/>
    <x v="10"/>
    <n v="0.61111111111111105"/>
    <n v="223.055555555556"/>
    <n v="803"/>
  </r>
  <r>
    <x v="0"/>
    <x v="0"/>
    <x v="0"/>
    <x v="0"/>
    <x v="1"/>
    <s v="DK2_Rural"/>
    <x v="3"/>
    <s v="GNR_ENG_NGAS_BP_E-46"/>
    <x v="0"/>
    <x v="11"/>
    <n v="0.61111111111111105"/>
    <n v="223.055555555556"/>
    <n v="803"/>
  </r>
  <r>
    <x v="0"/>
    <x v="0"/>
    <x v="0"/>
    <x v="0"/>
    <x v="1"/>
    <s v="DK2_Rural"/>
    <x v="3"/>
    <s v="GNR_ENG_NGAS_BP_E-46"/>
    <x v="0"/>
    <x v="0"/>
    <n v="0.61111111111111105"/>
    <n v="223.055555555556"/>
    <n v="803"/>
  </r>
  <r>
    <x v="0"/>
    <x v="0"/>
    <x v="0"/>
    <x v="0"/>
    <x v="1"/>
    <s v="DK2_Rural"/>
    <x v="3"/>
    <s v="GNR_ENG_NGAS_BP_E-46"/>
    <x v="0"/>
    <x v="1"/>
    <n v="0.61111111111111105"/>
    <n v="223.055555555556"/>
    <n v="803"/>
  </r>
  <r>
    <x v="0"/>
    <x v="0"/>
    <x v="0"/>
    <x v="0"/>
    <x v="1"/>
    <s v="DK2_Rural"/>
    <x v="3"/>
    <s v="GNR_ENG_NGAS_BP_E-46"/>
    <x v="0"/>
    <x v="2"/>
    <n v="0.61111111111111105"/>
    <n v="223.055555555556"/>
    <n v="803"/>
  </r>
  <r>
    <x v="0"/>
    <x v="0"/>
    <x v="0"/>
    <x v="0"/>
    <x v="1"/>
    <s v="DK2_Rural"/>
    <x v="3"/>
    <s v="GNR_ENG_NGAS_BP_E-46"/>
    <x v="0"/>
    <x v="3"/>
    <n v="0.61111111111111105"/>
    <n v="223.055555555556"/>
    <n v="803"/>
  </r>
  <r>
    <x v="0"/>
    <x v="0"/>
    <x v="0"/>
    <x v="0"/>
    <x v="1"/>
    <s v="DK2_Rural"/>
    <x v="3"/>
    <s v="GNR_ENG_NGAS_BP_E-46"/>
    <x v="0"/>
    <x v="12"/>
    <n v="0.61111111111111105"/>
    <n v="223.055555555556"/>
    <n v="803"/>
  </r>
  <r>
    <x v="0"/>
    <x v="0"/>
    <x v="0"/>
    <x v="0"/>
    <x v="1"/>
    <s v="DK2_Rural"/>
    <x v="3"/>
    <s v="GNR_ENG_NGAS_BP_E-46"/>
    <x v="0"/>
    <x v="13"/>
    <n v="0.61111111111111105"/>
    <n v="223.055555555556"/>
    <n v="803"/>
  </r>
  <r>
    <x v="0"/>
    <x v="0"/>
    <x v="0"/>
    <x v="0"/>
    <x v="1"/>
    <s v="DK2_Rural"/>
    <x v="3"/>
    <s v="GNR_ENG_NGAS_BP_E-46"/>
    <x v="0"/>
    <x v="14"/>
    <n v="0.61111111111111105"/>
    <n v="223.055555555556"/>
    <n v="803"/>
  </r>
  <r>
    <x v="0"/>
    <x v="0"/>
    <x v="0"/>
    <x v="0"/>
    <x v="1"/>
    <s v="DK2_Rural"/>
    <x v="3"/>
    <s v="GNR_ENG_NGAS_BP_E-46"/>
    <x v="0"/>
    <x v="15"/>
    <n v="0.61111111111111105"/>
    <n v="223.055555555556"/>
    <n v="803"/>
  </r>
  <r>
    <x v="0"/>
    <x v="0"/>
    <x v="0"/>
    <x v="0"/>
    <x v="1"/>
    <s v="DK2_Rural"/>
    <x v="3"/>
    <s v="GNR_ENG_NGAS_BP_E-46"/>
    <x v="0"/>
    <x v="4"/>
    <n v="0.61111111111111105"/>
    <n v="223.055555555556"/>
    <n v="803"/>
  </r>
  <r>
    <x v="0"/>
    <x v="0"/>
    <x v="0"/>
    <x v="0"/>
    <x v="1"/>
    <s v="DK2_Rural"/>
    <x v="3"/>
    <s v="GNR_ENG_NGAS_BP_E-46"/>
    <x v="0"/>
    <x v="16"/>
    <n v="0.61111111111111105"/>
    <n v="223.055555555556"/>
    <n v="803"/>
  </r>
  <r>
    <x v="0"/>
    <x v="0"/>
    <x v="0"/>
    <x v="0"/>
    <x v="1"/>
    <s v="DK2_Rural"/>
    <x v="3"/>
    <s v="GNR_ENG_NGAS_BP_E-46"/>
    <x v="0"/>
    <x v="5"/>
    <n v="0.61111111111111105"/>
    <n v="223.055555555556"/>
    <n v="803"/>
  </r>
  <r>
    <x v="0"/>
    <x v="0"/>
    <x v="0"/>
    <x v="0"/>
    <x v="1"/>
    <s v="DK2_Rural"/>
    <x v="3"/>
    <s v="GNR_ENG_NGAS_BP_E-46"/>
    <x v="0"/>
    <x v="17"/>
    <n v="0.61111111111111105"/>
    <n v="223.055555555556"/>
    <n v="803"/>
  </r>
  <r>
    <x v="0"/>
    <x v="0"/>
    <x v="0"/>
    <x v="0"/>
    <x v="1"/>
    <s v="DK2_Rural"/>
    <x v="3"/>
    <s v="GNR_ENG_NGAS_BP_E-46"/>
    <x v="0"/>
    <x v="18"/>
    <n v="0.61111111111111105"/>
    <n v="223.055555555556"/>
    <n v="803"/>
  </r>
  <r>
    <x v="0"/>
    <x v="0"/>
    <x v="0"/>
    <x v="0"/>
    <x v="1"/>
    <s v="DK2_Rural"/>
    <x v="3"/>
    <s v="GNR_ENG_NGAS_BP_E-46"/>
    <x v="0"/>
    <x v="19"/>
    <n v="0.61111111111111105"/>
    <n v="223.055555555556"/>
    <n v="803"/>
  </r>
  <r>
    <x v="0"/>
    <x v="0"/>
    <x v="0"/>
    <x v="0"/>
    <x v="1"/>
    <s v="DK2_Rural"/>
    <x v="3"/>
    <s v="GNR_ENG_NGAS_BP_E-46"/>
    <x v="0"/>
    <x v="20"/>
    <n v="0.61111111111111105"/>
    <n v="223.055555555556"/>
    <n v="803"/>
  </r>
  <r>
    <x v="0"/>
    <x v="0"/>
    <x v="0"/>
    <x v="0"/>
    <x v="1"/>
    <s v="DK2_Rural"/>
    <x v="3"/>
    <s v="GNR_ENG_NGAS_BP_E-46"/>
    <x v="0"/>
    <x v="21"/>
    <n v="0.61111111111111105"/>
    <n v="223.055555555556"/>
    <n v="803"/>
  </r>
  <r>
    <x v="0"/>
    <x v="0"/>
    <x v="0"/>
    <x v="0"/>
    <x v="1"/>
    <s v="DK2_Rural"/>
    <x v="3"/>
    <s v="GNR_ENG_NGAS_BP_E-46"/>
    <x v="0"/>
    <x v="22"/>
    <n v="0.61111111111111105"/>
    <n v="223.055555555556"/>
    <n v="803"/>
  </r>
  <r>
    <x v="0"/>
    <x v="0"/>
    <x v="0"/>
    <x v="0"/>
    <x v="1"/>
    <s v="DK2_Rural"/>
    <x v="3"/>
    <s v="GNR_ENG_NGAS_BP_E-46"/>
    <x v="0"/>
    <x v="23"/>
    <n v="0.61111111111111105"/>
    <n v="223.055555555556"/>
    <n v="803"/>
  </r>
  <r>
    <x v="0"/>
    <x v="0"/>
    <x v="0"/>
    <x v="0"/>
    <x v="1"/>
    <s v="DK2_Rural"/>
    <x v="4"/>
    <s v="GNR_BO_STRW_E-102"/>
    <x v="0"/>
    <x v="7"/>
    <n v="1.3742305885064099"/>
    <n v="501.59416480483998"/>
    <n v="1805.7389932974199"/>
  </r>
  <r>
    <x v="0"/>
    <x v="0"/>
    <x v="0"/>
    <x v="0"/>
    <x v="1"/>
    <s v="DK2_Rural"/>
    <x v="4"/>
    <s v="GNR_BO_STRW_E-102"/>
    <x v="0"/>
    <x v="9"/>
    <n v="2.0613458827596101"/>
    <n v="752.39124720725897"/>
    <n v="2708.6084899461298"/>
  </r>
  <r>
    <x v="0"/>
    <x v="0"/>
    <x v="0"/>
    <x v="0"/>
    <x v="1"/>
    <s v="DK2_Rural"/>
    <x v="4"/>
    <s v="GNR_BO_STRW_E-102"/>
    <x v="0"/>
    <x v="10"/>
    <n v="3.5729995301166499"/>
    <n v="1304.14482849258"/>
    <n v="4694.9213825732804"/>
  </r>
  <r>
    <x v="0"/>
    <x v="0"/>
    <x v="0"/>
    <x v="0"/>
    <x v="1"/>
    <s v="DK2_Rural"/>
    <x v="4"/>
    <s v="GNR_BO_STRW_E-102"/>
    <x v="0"/>
    <x v="0"/>
    <n v="27.915887058569702"/>
    <n v="10189.2987763779"/>
    <n v="36681.475594960597"/>
  </r>
  <r>
    <x v="0"/>
    <x v="0"/>
    <x v="0"/>
    <x v="0"/>
    <x v="1"/>
    <s v="DK2_Rural"/>
    <x v="4"/>
    <s v="GNR_BO_STRW_E-102"/>
    <x v="0"/>
    <x v="1"/>
    <n v="12.571923304765599"/>
    <n v="4588.7520062394597"/>
    <n v="16519.5072224621"/>
  </r>
  <r>
    <x v="0"/>
    <x v="0"/>
    <x v="0"/>
    <x v="0"/>
    <x v="1"/>
    <s v="DK2_Rural"/>
    <x v="4"/>
    <s v="GNR_BO_STRW_E-102"/>
    <x v="0"/>
    <x v="2"/>
    <n v="17.9314225999406"/>
    <n v="6544.9692489783101"/>
    <n v="23561.8892963219"/>
  </r>
  <r>
    <x v="0"/>
    <x v="0"/>
    <x v="0"/>
    <x v="0"/>
    <x v="1"/>
    <s v="DK2_Rural"/>
    <x v="4"/>
    <s v="GNR_BO_STRW_E-102"/>
    <x v="0"/>
    <x v="3"/>
    <n v="17.2443073056874"/>
    <n v="6294.1721665758996"/>
    <n v="22659.019799673199"/>
  </r>
  <r>
    <x v="0"/>
    <x v="0"/>
    <x v="0"/>
    <x v="0"/>
    <x v="1"/>
    <s v="DK2_Rural"/>
    <x v="4"/>
    <s v="GNR_BO_STRW_E-102"/>
    <x v="0"/>
    <x v="14"/>
    <n v="47.75"/>
    <n v="17428.75"/>
    <n v="62743.5"/>
  </r>
  <r>
    <x v="0"/>
    <x v="0"/>
    <x v="0"/>
    <x v="0"/>
    <x v="1"/>
    <s v="DK2_Rural"/>
    <x v="4"/>
    <s v="GNR_BO_STRW_E-102"/>
    <x v="0"/>
    <x v="15"/>
    <n v="47.75"/>
    <n v="17428.75"/>
    <n v="62743.5"/>
  </r>
  <r>
    <x v="0"/>
    <x v="0"/>
    <x v="0"/>
    <x v="0"/>
    <x v="1"/>
    <s v="DK2_Rural"/>
    <x v="4"/>
    <s v="GNR_BO_STRW_E-102"/>
    <x v="0"/>
    <x v="4"/>
    <n v="47.75"/>
    <n v="17428.75"/>
    <n v="62743.5"/>
  </r>
  <r>
    <x v="0"/>
    <x v="0"/>
    <x v="0"/>
    <x v="0"/>
    <x v="1"/>
    <s v="DK2_Rural"/>
    <x v="4"/>
    <s v="GNR_BO_STRW_E-102"/>
    <x v="0"/>
    <x v="16"/>
    <n v="47.75"/>
    <n v="17428.75"/>
    <n v="62743.5"/>
  </r>
  <r>
    <x v="0"/>
    <x v="0"/>
    <x v="0"/>
    <x v="0"/>
    <x v="1"/>
    <s v="DK2_Rural"/>
    <x v="4"/>
    <s v="GNR_BO_STRW_E-102"/>
    <x v="0"/>
    <x v="5"/>
    <n v="47.75"/>
    <n v="17428.75"/>
    <n v="62743.5"/>
  </r>
  <r>
    <x v="0"/>
    <x v="0"/>
    <x v="0"/>
    <x v="0"/>
    <x v="1"/>
    <s v="DK2_Rural"/>
    <x v="4"/>
    <s v="GNR_BO_STRW_E-102"/>
    <x v="0"/>
    <x v="17"/>
    <n v="47.75"/>
    <n v="17428.75"/>
    <n v="62743.5"/>
  </r>
  <r>
    <x v="0"/>
    <x v="0"/>
    <x v="0"/>
    <x v="0"/>
    <x v="1"/>
    <s v="DK2_Rural"/>
    <x v="4"/>
    <s v="GNR_BO_STRW_E-102"/>
    <x v="0"/>
    <x v="18"/>
    <n v="47.75"/>
    <n v="17428.75"/>
    <n v="62743.5"/>
  </r>
  <r>
    <x v="0"/>
    <x v="0"/>
    <x v="0"/>
    <x v="0"/>
    <x v="1"/>
    <s v="DK2_Rural"/>
    <x v="4"/>
    <s v="GNR_BO_STRW_E-102"/>
    <x v="0"/>
    <x v="19"/>
    <n v="47.75"/>
    <n v="17428.75"/>
    <n v="62743.5"/>
  </r>
  <r>
    <x v="0"/>
    <x v="0"/>
    <x v="0"/>
    <x v="0"/>
    <x v="1"/>
    <s v="DK2_Rural"/>
    <x v="4"/>
    <s v="GNR_BO_STRW_E-102"/>
    <x v="0"/>
    <x v="20"/>
    <n v="47.75"/>
    <n v="17428.75"/>
    <n v="62743.5"/>
  </r>
  <r>
    <x v="0"/>
    <x v="0"/>
    <x v="0"/>
    <x v="0"/>
    <x v="1"/>
    <s v="DK2_Rural"/>
    <x v="4"/>
    <s v="GNR_BO_STRW_E-102"/>
    <x v="0"/>
    <x v="21"/>
    <n v="2.9744721835241599"/>
    <n v="1085.68234698632"/>
    <n v="3908.4564491507399"/>
  </r>
  <r>
    <x v="0"/>
    <x v="0"/>
    <x v="0"/>
    <x v="0"/>
    <x v="1"/>
    <s v="DK2_Rural"/>
    <x v="4"/>
    <s v="GNR_ST_STRW_BP_E-24"/>
    <x v="0"/>
    <x v="6"/>
    <n v="11.2446355509146"/>
    <n v="4104.2919760838204"/>
    <n v="14775.4511139018"/>
  </r>
  <r>
    <x v="0"/>
    <x v="0"/>
    <x v="0"/>
    <x v="0"/>
    <x v="1"/>
    <s v="DK2_Rural"/>
    <x v="4"/>
    <s v="GNR_ST_STRW_BP_E-24"/>
    <x v="0"/>
    <x v="7"/>
    <n v="11.2446355509146"/>
    <n v="4104.2919760838204"/>
    <n v="14775.4511139018"/>
  </r>
  <r>
    <x v="0"/>
    <x v="0"/>
    <x v="0"/>
    <x v="0"/>
    <x v="1"/>
    <s v="DK2_Rural"/>
    <x v="4"/>
    <s v="GNR_ST_STRW_BP_E-24"/>
    <x v="0"/>
    <x v="8"/>
    <n v="11.2446355509146"/>
    <n v="4104.2919760838204"/>
    <n v="14775.4511139018"/>
  </r>
  <r>
    <x v="0"/>
    <x v="0"/>
    <x v="0"/>
    <x v="0"/>
    <x v="1"/>
    <s v="DK2_Rural"/>
    <x v="4"/>
    <s v="GNR_ST_STRW_BP_E-24"/>
    <x v="0"/>
    <x v="9"/>
    <n v="11.2446355509146"/>
    <n v="4104.2919760838204"/>
    <n v="14775.4511139018"/>
  </r>
  <r>
    <x v="0"/>
    <x v="0"/>
    <x v="0"/>
    <x v="0"/>
    <x v="1"/>
    <s v="DK2_Rural"/>
    <x v="4"/>
    <s v="GNR_ST_STRW_BP_E-24"/>
    <x v="0"/>
    <x v="10"/>
    <n v="11.2446355509146"/>
    <n v="4104.2919760838204"/>
    <n v="14775.4511139018"/>
  </r>
  <r>
    <x v="0"/>
    <x v="0"/>
    <x v="0"/>
    <x v="0"/>
    <x v="1"/>
    <s v="DK2_Rural"/>
    <x v="4"/>
    <s v="GNR_ST_STRW_BP_E-24"/>
    <x v="0"/>
    <x v="11"/>
    <n v="11.2446355509146"/>
    <n v="4104.2919760838204"/>
    <n v="14775.4511139018"/>
  </r>
  <r>
    <x v="0"/>
    <x v="0"/>
    <x v="0"/>
    <x v="0"/>
    <x v="1"/>
    <s v="DK2_Rural"/>
    <x v="4"/>
    <s v="GNR_ST_STRW_BP_E-24"/>
    <x v="0"/>
    <x v="0"/>
    <n v="11.2446355509146"/>
    <n v="4104.2919760838204"/>
    <n v="14775.4511139018"/>
  </r>
  <r>
    <x v="0"/>
    <x v="0"/>
    <x v="0"/>
    <x v="0"/>
    <x v="1"/>
    <s v="DK2_Rural"/>
    <x v="4"/>
    <s v="GNR_ST_STRW_BP_E-24"/>
    <x v="0"/>
    <x v="1"/>
    <n v="11.2446355509146"/>
    <n v="4104.2919760838204"/>
    <n v="14775.4511139018"/>
  </r>
  <r>
    <x v="0"/>
    <x v="0"/>
    <x v="0"/>
    <x v="0"/>
    <x v="1"/>
    <s v="DK2_Rural"/>
    <x v="4"/>
    <s v="GNR_ST_STRW_BP_E-24"/>
    <x v="0"/>
    <x v="2"/>
    <n v="11.2446355509146"/>
    <n v="4104.2919760838204"/>
    <n v="14775.4511139018"/>
  </r>
  <r>
    <x v="0"/>
    <x v="0"/>
    <x v="0"/>
    <x v="0"/>
    <x v="1"/>
    <s v="DK2_Rural"/>
    <x v="4"/>
    <s v="GNR_ST_STRW_BP_E-24"/>
    <x v="0"/>
    <x v="3"/>
    <n v="11.2446355509146"/>
    <n v="4104.2919760838204"/>
    <n v="14775.4511139018"/>
  </r>
  <r>
    <x v="0"/>
    <x v="0"/>
    <x v="0"/>
    <x v="0"/>
    <x v="1"/>
    <s v="DK2_Rural"/>
    <x v="4"/>
    <s v="GNR_ST_STRW_BP_E-24"/>
    <x v="0"/>
    <x v="12"/>
    <n v="11.2446355509146"/>
    <n v="4104.2919760838204"/>
    <n v="14775.4511139018"/>
  </r>
  <r>
    <x v="0"/>
    <x v="0"/>
    <x v="0"/>
    <x v="0"/>
    <x v="1"/>
    <s v="DK2_Rural"/>
    <x v="4"/>
    <s v="GNR_ST_STRW_BP_E-24"/>
    <x v="0"/>
    <x v="13"/>
    <n v="11.2446355509146"/>
    <n v="4104.2919760838204"/>
    <n v="14775.4511139018"/>
  </r>
  <r>
    <x v="0"/>
    <x v="0"/>
    <x v="0"/>
    <x v="0"/>
    <x v="1"/>
    <s v="DK2_Rural"/>
    <x v="4"/>
    <s v="GNR_ST_STRW_BP_E-24"/>
    <x v="0"/>
    <x v="14"/>
    <n v="11.2446355509146"/>
    <n v="4104.2919760838204"/>
    <n v="14775.4511139018"/>
  </r>
  <r>
    <x v="0"/>
    <x v="0"/>
    <x v="0"/>
    <x v="0"/>
    <x v="1"/>
    <s v="DK2_Rural"/>
    <x v="4"/>
    <s v="GNR_ST_STRW_BP_E-24"/>
    <x v="0"/>
    <x v="15"/>
    <n v="11.2446355509146"/>
    <n v="4104.2919760838204"/>
    <n v="14775.4511139018"/>
  </r>
  <r>
    <x v="0"/>
    <x v="0"/>
    <x v="0"/>
    <x v="0"/>
    <x v="1"/>
    <s v="DK2_Rural"/>
    <x v="4"/>
    <s v="GNR_ST_STRW_BP_E-24"/>
    <x v="0"/>
    <x v="4"/>
    <n v="11.2446355509146"/>
    <n v="4104.2919760838204"/>
    <n v="14775.4511139018"/>
  </r>
  <r>
    <x v="0"/>
    <x v="0"/>
    <x v="0"/>
    <x v="0"/>
    <x v="1"/>
    <s v="DK2_Rural"/>
    <x v="4"/>
    <s v="GNR_ST_STRW_BP_E-24"/>
    <x v="0"/>
    <x v="16"/>
    <n v="11.2446355509146"/>
    <n v="4104.2919760838204"/>
    <n v="14775.4511139018"/>
  </r>
  <r>
    <x v="0"/>
    <x v="0"/>
    <x v="0"/>
    <x v="0"/>
    <x v="1"/>
    <s v="DK2_Rural"/>
    <x v="4"/>
    <s v="GNR_ST_STRW_BP_E-24"/>
    <x v="0"/>
    <x v="5"/>
    <n v="11.2446355509146"/>
    <n v="4104.2919760838204"/>
    <n v="14775.4511139018"/>
  </r>
  <r>
    <x v="0"/>
    <x v="0"/>
    <x v="0"/>
    <x v="0"/>
    <x v="1"/>
    <s v="DK2_Rural"/>
    <x v="4"/>
    <s v="GNR_ST_STRW_BP_E-24"/>
    <x v="0"/>
    <x v="17"/>
    <n v="11.2446355509146"/>
    <n v="4104.2919760838204"/>
    <n v="14775.4511139018"/>
  </r>
  <r>
    <x v="0"/>
    <x v="0"/>
    <x v="0"/>
    <x v="0"/>
    <x v="1"/>
    <s v="DK2_Rural"/>
    <x v="4"/>
    <s v="GNR_ST_STRW_BP_E-24"/>
    <x v="0"/>
    <x v="18"/>
    <n v="11.2446355509146"/>
    <n v="4104.2919760838204"/>
    <n v="14775.4511139018"/>
  </r>
  <r>
    <x v="0"/>
    <x v="0"/>
    <x v="0"/>
    <x v="0"/>
    <x v="1"/>
    <s v="DK2_Rural"/>
    <x v="4"/>
    <s v="GNR_ST_STRW_BP_E-24"/>
    <x v="0"/>
    <x v="19"/>
    <n v="11.2446355509146"/>
    <n v="4104.2919760838204"/>
    <n v="14775.4511139018"/>
  </r>
  <r>
    <x v="0"/>
    <x v="0"/>
    <x v="0"/>
    <x v="0"/>
    <x v="1"/>
    <s v="DK2_Rural"/>
    <x v="4"/>
    <s v="GNR_ST_STRW_BP_E-24"/>
    <x v="0"/>
    <x v="20"/>
    <n v="11.2446355509146"/>
    <n v="4104.2919760838204"/>
    <n v="14775.4511139018"/>
  </r>
  <r>
    <x v="0"/>
    <x v="0"/>
    <x v="0"/>
    <x v="0"/>
    <x v="1"/>
    <s v="DK2_Rural"/>
    <x v="4"/>
    <s v="GNR_ST_STRW_BP_E-24"/>
    <x v="0"/>
    <x v="21"/>
    <n v="11.2446355509146"/>
    <n v="4104.2919760838204"/>
    <n v="14775.4511139018"/>
  </r>
  <r>
    <x v="0"/>
    <x v="0"/>
    <x v="0"/>
    <x v="0"/>
    <x v="1"/>
    <s v="DK2_Rural"/>
    <x v="4"/>
    <s v="GNR_ST_STRW_BP_E-24"/>
    <x v="0"/>
    <x v="22"/>
    <n v="11.2446355509146"/>
    <n v="4104.2919760838204"/>
    <n v="14775.4511139018"/>
  </r>
  <r>
    <x v="0"/>
    <x v="0"/>
    <x v="0"/>
    <x v="0"/>
    <x v="1"/>
    <s v="DK2_Rural"/>
    <x v="4"/>
    <s v="GNR_ST_STRW_BP_E-24"/>
    <x v="0"/>
    <x v="23"/>
    <n v="11.2446355509146"/>
    <n v="4104.2919760838204"/>
    <n v="14775.4511139018"/>
  </r>
  <r>
    <x v="0"/>
    <x v="0"/>
    <x v="0"/>
    <x v="0"/>
    <x v="1"/>
    <s v="DK2_Rural"/>
    <x v="4"/>
    <s v="GNR_ST_STRW_BP_E-27"/>
    <x v="0"/>
    <x v="6"/>
    <n v="22.444292559625499"/>
    <n v="8192.1667842633105"/>
    <n v="29491.800423347901"/>
  </r>
  <r>
    <x v="0"/>
    <x v="0"/>
    <x v="0"/>
    <x v="0"/>
    <x v="1"/>
    <s v="DK2_Rural"/>
    <x v="4"/>
    <s v="GNR_ST_STRW_BP_E-27"/>
    <x v="0"/>
    <x v="7"/>
    <n v="22.444292559625499"/>
    <n v="8192.1667842633105"/>
    <n v="29491.800423347901"/>
  </r>
  <r>
    <x v="0"/>
    <x v="0"/>
    <x v="0"/>
    <x v="0"/>
    <x v="1"/>
    <s v="DK2_Rural"/>
    <x v="4"/>
    <s v="GNR_ST_STRW_BP_E-27"/>
    <x v="0"/>
    <x v="8"/>
    <n v="22.444292559625499"/>
    <n v="8192.1667842633105"/>
    <n v="29491.800423347901"/>
  </r>
  <r>
    <x v="0"/>
    <x v="0"/>
    <x v="0"/>
    <x v="0"/>
    <x v="1"/>
    <s v="DK2_Rural"/>
    <x v="4"/>
    <s v="GNR_ST_STRW_BP_E-27"/>
    <x v="0"/>
    <x v="9"/>
    <n v="22.444292559625499"/>
    <n v="8192.1667842633105"/>
    <n v="29491.800423347901"/>
  </r>
  <r>
    <x v="0"/>
    <x v="0"/>
    <x v="0"/>
    <x v="0"/>
    <x v="1"/>
    <s v="DK2_Rural"/>
    <x v="4"/>
    <s v="GNR_ST_STRW_BP_E-27"/>
    <x v="0"/>
    <x v="10"/>
    <n v="22.444292559625499"/>
    <n v="8192.1667842633105"/>
    <n v="29491.800423347901"/>
  </r>
  <r>
    <x v="0"/>
    <x v="0"/>
    <x v="0"/>
    <x v="0"/>
    <x v="1"/>
    <s v="DK2_Rural"/>
    <x v="4"/>
    <s v="GNR_ST_STRW_BP_E-27"/>
    <x v="0"/>
    <x v="11"/>
    <n v="22.444292559625499"/>
    <n v="8192.1667842633105"/>
    <n v="29491.800423347901"/>
  </r>
  <r>
    <x v="0"/>
    <x v="0"/>
    <x v="0"/>
    <x v="0"/>
    <x v="1"/>
    <s v="DK2_Rural"/>
    <x v="4"/>
    <s v="GNR_ST_STRW_BP_E-27"/>
    <x v="0"/>
    <x v="0"/>
    <n v="22.444292559625499"/>
    <n v="8192.1667842633105"/>
    <n v="29491.800423347901"/>
  </r>
  <r>
    <x v="0"/>
    <x v="0"/>
    <x v="0"/>
    <x v="0"/>
    <x v="1"/>
    <s v="DK2_Rural"/>
    <x v="4"/>
    <s v="GNR_ST_STRW_BP_E-27"/>
    <x v="0"/>
    <x v="1"/>
    <n v="22.444292559625499"/>
    <n v="8192.1667842633105"/>
    <n v="29491.800423347901"/>
  </r>
  <r>
    <x v="0"/>
    <x v="0"/>
    <x v="0"/>
    <x v="0"/>
    <x v="1"/>
    <s v="DK2_Rural"/>
    <x v="4"/>
    <s v="GNR_ST_STRW_BP_E-27"/>
    <x v="0"/>
    <x v="2"/>
    <n v="22.444292559625499"/>
    <n v="8192.1667842633105"/>
    <n v="29491.800423347901"/>
  </r>
  <r>
    <x v="0"/>
    <x v="0"/>
    <x v="0"/>
    <x v="0"/>
    <x v="1"/>
    <s v="DK2_Rural"/>
    <x v="4"/>
    <s v="GNR_ST_STRW_BP_E-27"/>
    <x v="0"/>
    <x v="3"/>
    <n v="22.444292559625499"/>
    <n v="8192.1667842633105"/>
    <n v="29491.800423347901"/>
  </r>
  <r>
    <x v="0"/>
    <x v="0"/>
    <x v="0"/>
    <x v="0"/>
    <x v="1"/>
    <s v="DK2_Rural"/>
    <x v="4"/>
    <s v="GNR_ST_STRW_BP_E-27"/>
    <x v="0"/>
    <x v="12"/>
    <n v="22.444292559625499"/>
    <n v="8192.1667842633105"/>
    <n v="29491.800423347901"/>
  </r>
  <r>
    <x v="0"/>
    <x v="0"/>
    <x v="0"/>
    <x v="0"/>
    <x v="1"/>
    <s v="DK2_Rural"/>
    <x v="4"/>
    <s v="GNR_ST_STRW_BP_E-27"/>
    <x v="0"/>
    <x v="13"/>
    <n v="22.444292559625499"/>
    <n v="8192.1667842633105"/>
    <n v="29491.800423347901"/>
  </r>
  <r>
    <x v="0"/>
    <x v="0"/>
    <x v="0"/>
    <x v="0"/>
    <x v="1"/>
    <s v="DK2_Rural"/>
    <x v="4"/>
    <s v="GNR_ST_STRW_BP_E-27"/>
    <x v="0"/>
    <x v="14"/>
    <n v="22.444292559625499"/>
    <n v="8192.1667842633105"/>
    <n v="29491.800423347901"/>
  </r>
  <r>
    <x v="0"/>
    <x v="0"/>
    <x v="0"/>
    <x v="0"/>
    <x v="1"/>
    <s v="DK2_Rural"/>
    <x v="4"/>
    <s v="GNR_ST_STRW_BP_E-27"/>
    <x v="0"/>
    <x v="15"/>
    <n v="22.444292559625499"/>
    <n v="8192.1667842633105"/>
    <n v="29491.800423347901"/>
  </r>
  <r>
    <x v="0"/>
    <x v="0"/>
    <x v="0"/>
    <x v="0"/>
    <x v="1"/>
    <s v="DK2_Rural"/>
    <x v="4"/>
    <s v="GNR_ST_STRW_BP_E-27"/>
    <x v="0"/>
    <x v="4"/>
    <n v="22.444292559625499"/>
    <n v="8192.1667842633105"/>
    <n v="29491.800423347901"/>
  </r>
  <r>
    <x v="0"/>
    <x v="0"/>
    <x v="0"/>
    <x v="0"/>
    <x v="1"/>
    <s v="DK2_Rural"/>
    <x v="4"/>
    <s v="GNR_ST_STRW_BP_E-27"/>
    <x v="0"/>
    <x v="16"/>
    <n v="22.444292559625499"/>
    <n v="8192.1667842633105"/>
    <n v="29491.800423347901"/>
  </r>
  <r>
    <x v="0"/>
    <x v="0"/>
    <x v="0"/>
    <x v="0"/>
    <x v="1"/>
    <s v="DK2_Rural"/>
    <x v="4"/>
    <s v="GNR_ST_STRW_BP_E-27"/>
    <x v="0"/>
    <x v="5"/>
    <n v="22.444292559625499"/>
    <n v="8192.1667842633105"/>
    <n v="29491.800423347901"/>
  </r>
  <r>
    <x v="0"/>
    <x v="0"/>
    <x v="0"/>
    <x v="0"/>
    <x v="1"/>
    <s v="DK2_Rural"/>
    <x v="4"/>
    <s v="GNR_ST_STRW_BP_E-27"/>
    <x v="0"/>
    <x v="17"/>
    <n v="22.444292559625499"/>
    <n v="8192.1667842633105"/>
    <n v="29491.800423347901"/>
  </r>
  <r>
    <x v="0"/>
    <x v="0"/>
    <x v="0"/>
    <x v="0"/>
    <x v="1"/>
    <s v="DK2_Rural"/>
    <x v="4"/>
    <s v="GNR_ST_STRW_BP_E-27"/>
    <x v="0"/>
    <x v="18"/>
    <n v="22.444292559625499"/>
    <n v="8192.1667842633105"/>
    <n v="29491.800423347901"/>
  </r>
  <r>
    <x v="0"/>
    <x v="0"/>
    <x v="0"/>
    <x v="0"/>
    <x v="1"/>
    <s v="DK2_Rural"/>
    <x v="4"/>
    <s v="GNR_ST_STRW_BP_E-27"/>
    <x v="0"/>
    <x v="19"/>
    <n v="22.444292559625499"/>
    <n v="8192.1667842633105"/>
    <n v="29491.800423347901"/>
  </r>
  <r>
    <x v="0"/>
    <x v="0"/>
    <x v="0"/>
    <x v="0"/>
    <x v="1"/>
    <s v="DK2_Rural"/>
    <x v="4"/>
    <s v="GNR_ST_STRW_BP_E-27"/>
    <x v="0"/>
    <x v="20"/>
    <n v="22.444292559625499"/>
    <n v="8192.1667842633105"/>
    <n v="29491.800423347901"/>
  </r>
  <r>
    <x v="0"/>
    <x v="0"/>
    <x v="0"/>
    <x v="0"/>
    <x v="1"/>
    <s v="DK2_Rural"/>
    <x v="4"/>
    <s v="GNR_ST_STRW_BP_E-27"/>
    <x v="0"/>
    <x v="21"/>
    <n v="22.444292559625499"/>
    <n v="8192.1667842633105"/>
    <n v="29491.800423347901"/>
  </r>
  <r>
    <x v="0"/>
    <x v="0"/>
    <x v="0"/>
    <x v="0"/>
    <x v="1"/>
    <s v="DK2_Rural"/>
    <x v="4"/>
    <s v="GNR_ST_STRW_BP_E-27"/>
    <x v="0"/>
    <x v="22"/>
    <n v="22.444292559625499"/>
    <n v="8192.1667842633105"/>
    <n v="29491.800423347901"/>
  </r>
  <r>
    <x v="0"/>
    <x v="0"/>
    <x v="0"/>
    <x v="0"/>
    <x v="1"/>
    <s v="DK2_Rural"/>
    <x v="4"/>
    <s v="GNR_ST_STRW_BP_E-27"/>
    <x v="0"/>
    <x v="23"/>
    <n v="22.444292559625499"/>
    <n v="8192.1667842633105"/>
    <n v="29491.800423347901"/>
  </r>
  <r>
    <x v="0"/>
    <x v="0"/>
    <x v="0"/>
    <x v="0"/>
    <x v="1"/>
    <s v="DK2_Rural"/>
    <x v="4"/>
    <s v="GNR_ST_STRW_BP_E-28"/>
    <x v="0"/>
    <x v="6"/>
    <n v="25.862661767103599"/>
    <n v="9439.8715449928004"/>
    <n v="33983.537561974103"/>
  </r>
  <r>
    <x v="0"/>
    <x v="0"/>
    <x v="0"/>
    <x v="0"/>
    <x v="1"/>
    <s v="DK2_Rural"/>
    <x v="4"/>
    <s v="GNR_ST_STRW_BP_E-28"/>
    <x v="0"/>
    <x v="7"/>
    <n v="25.862661767103599"/>
    <n v="9439.8715449928004"/>
    <n v="33983.537561974103"/>
  </r>
  <r>
    <x v="0"/>
    <x v="0"/>
    <x v="0"/>
    <x v="0"/>
    <x v="1"/>
    <s v="DK2_Rural"/>
    <x v="4"/>
    <s v="GNR_ST_STRW_BP_E-28"/>
    <x v="0"/>
    <x v="8"/>
    <n v="25.862661767103599"/>
    <n v="9439.8715449928004"/>
    <n v="33983.537561974103"/>
  </r>
  <r>
    <x v="0"/>
    <x v="0"/>
    <x v="0"/>
    <x v="0"/>
    <x v="1"/>
    <s v="DK2_Rural"/>
    <x v="4"/>
    <s v="GNR_ST_STRW_BP_E-28"/>
    <x v="0"/>
    <x v="9"/>
    <n v="25.862661767103599"/>
    <n v="9439.8715449928004"/>
    <n v="33983.537561974103"/>
  </r>
  <r>
    <x v="0"/>
    <x v="0"/>
    <x v="0"/>
    <x v="0"/>
    <x v="1"/>
    <s v="DK2_Rural"/>
    <x v="4"/>
    <s v="GNR_ST_STRW_BP_E-28"/>
    <x v="0"/>
    <x v="10"/>
    <n v="25.862661767103599"/>
    <n v="9439.8715449928004"/>
    <n v="33983.537561974103"/>
  </r>
  <r>
    <x v="0"/>
    <x v="0"/>
    <x v="0"/>
    <x v="0"/>
    <x v="1"/>
    <s v="DK2_Rural"/>
    <x v="4"/>
    <s v="GNR_ST_STRW_BP_E-28"/>
    <x v="0"/>
    <x v="11"/>
    <n v="25.862661767103599"/>
    <n v="9439.8715449928004"/>
    <n v="33983.537561974103"/>
  </r>
  <r>
    <x v="0"/>
    <x v="0"/>
    <x v="0"/>
    <x v="0"/>
    <x v="1"/>
    <s v="DK2_Rural"/>
    <x v="4"/>
    <s v="GNR_ST_STRW_BP_E-28"/>
    <x v="0"/>
    <x v="0"/>
    <n v="25.862661767103599"/>
    <n v="9439.8715449928004"/>
    <n v="33983.537561974103"/>
  </r>
  <r>
    <x v="0"/>
    <x v="0"/>
    <x v="0"/>
    <x v="0"/>
    <x v="1"/>
    <s v="DK2_Rural"/>
    <x v="4"/>
    <s v="GNR_ST_STRW_BP_E-28"/>
    <x v="0"/>
    <x v="1"/>
    <n v="25.862661767103599"/>
    <n v="9439.8715449928004"/>
    <n v="33983.537561974103"/>
  </r>
  <r>
    <x v="0"/>
    <x v="0"/>
    <x v="0"/>
    <x v="0"/>
    <x v="1"/>
    <s v="DK2_Rural"/>
    <x v="4"/>
    <s v="GNR_ST_STRW_BP_E-28"/>
    <x v="0"/>
    <x v="2"/>
    <n v="25.862661767103599"/>
    <n v="9439.8715449928004"/>
    <n v="33983.537561974103"/>
  </r>
  <r>
    <x v="0"/>
    <x v="0"/>
    <x v="0"/>
    <x v="0"/>
    <x v="1"/>
    <s v="DK2_Rural"/>
    <x v="4"/>
    <s v="GNR_ST_STRW_BP_E-28"/>
    <x v="0"/>
    <x v="3"/>
    <n v="25.862661767103599"/>
    <n v="9439.8715449928004"/>
    <n v="33983.537561974103"/>
  </r>
  <r>
    <x v="0"/>
    <x v="0"/>
    <x v="0"/>
    <x v="0"/>
    <x v="1"/>
    <s v="DK2_Rural"/>
    <x v="4"/>
    <s v="GNR_ST_STRW_BP_E-28"/>
    <x v="0"/>
    <x v="12"/>
    <n v="25.862661767103599"/>
    <n v="9439.8715449928004"/>
    <n v="33983.537561974103"/>
  </r>
  <r>
    <x v="0"/>
    <x v="0"/>
    <x v="0"/>
    <x v="0"/>
    <x v="1"/>
    <s v="DK2_Rural"/>
    <x v="4"/>
    <s v="GNR_ST_STRW_BP_E-28"/>
    <x v="0"/>
    <x v="13"/>
    <n v="25.862661767103599"/>
    <n v="9439.8715449928004"/>
    <n v="33983.537561974103"/>
  </r>
  <r>
    <x v="0"/>
    <x v="0"/>
    <x v="0"/>
    <x v="0"/>
    <x v="1"/>
    <s v="DK2_Rural"/>
    <x v="4"/>
    <s v="GNR_ST_STRW_BP_E-28"/>
    <x v="0"/>
    <x v="14"/>
    <n v="25.862661767103599"/>
    <n v="9439.8715449928004"/>
    <n v="33983.537561974103"/>
  </r>
  <r>
    <x v="0"/>
    <x v="0"/>
    <x v="0"/>
    <x v="0"/>
    <x v="1"/>
    <s v="DK2_Rural"/>
    <x v="4"/>
    <s v="GNR_ST_STRW_BP_E-28"/>
    <x v="0"/>
    <x v="15"/>
    <n v="25.862661767103599"/>
    <n v="9439.8715449928004"/>
    <n v="33983.537561974103"/>
  </r>
  <r>
    <x v="0"/>
    <x v="0"/>
    <x v="0"/>
    <x v="0"/>
    <x v="1"/>
    <s v="DK2_Rural"/>
    <x v="4"/>
    <s v="GNR_ST_STRW_BP_E-28"/>
    <x v="0"/>
    <x v="4"/>
    <n v="25.862661767103599"/>
    <n v="9439.8715449928004"/>
    <n v="33983.537561974103"/>
  </r>
  <r>
    <x v="0"/>
    <x v="0"/>
    <x v="0"/>
    <x v="0"/>
    <x v="1"/>
    <s v="DK2_Rural"/>
    <x v="4"/>
    <s v="GNR_ST_STRW_BP_E-28"/>
    <x v="0"/>
    <x v="16"/>
    <n v="25.862661767103599"/>
    <n v="9439.8715449928004"/>
    <n v="33983.537561974103"/>
  </r>
  <r>
    <x v="0"/>
    <x v="0"/>
    <x v="0"/>
    <x v="0"/>
    <x v="1"/>
    <s v="DK2_Rural"/>
    <x v="4"/>
    <s v="GNR_ST_STRW_BP_E-28"/>
    <x v="0"/>
    <x v="5"/>
    <n v="25.862661767103599"/>
    <n v="9439.8715449928004"/>
    <n v="33983.537561974103"/>
  </r>
  <r>
    <x v="0"/>
    <x v="0"/>
    <x v="0"/>
    <x v="0"/>
    <x v="1"/>
    <s v="DK2_Rural"/>
    <x v="4"/>
    <s v="GNR_ST_STRW_BP_E-28"/>
    <x v="0"/>
    <x v="17"/>
    <n v="25.862661767103599"/>
    <n v="9439.8715449928004"/>
    <n v="33983.537561974103"/>
  </r>
  <r>
    <x v="0"/>
    <x v="0"/>
    <x v="0"/>
    <x v="0"/>
    <x v="1"/>
    <s v="DK2_Rural"/>
    <x v="4"/>
    <s v="GNR_ST_STRW_BP_E-28"/>
    <x v="0"/>
    <x v="18"/>
    <n v="25.862661767103599"/>
    <n v="9439.8715449928004"/>
    <n v="33983.537561974103"/>
  </r>
  <r>
    <x v="0"/>
    <x v="0"/>
    <x v="0"/>
    <x v="0"/>
    <x v="1"/>
    <s v="DK2_Rural"/>
    <x v="4"/>
    <s v="GNR_ST_STRW_BP_E-28"/>
    <x v="0"/>
    <x v="19"/>
    <n v="25.862661767103599"/>
    <n v="9439.8715449928004"/>
    <n v="33983.537561974103"/>
  </r>
  <r>
    <x v="0"/>
    <x v="0"/>
    <x v="0"/>
    <x v="0"/>
    <x v="1"/>
    <s v="DK2_Rural"/>
    <x v="4"/>
    <s v="GNR_ST_STRW_BP_E-28"/>
    <x v="0"/>
    <x v="20"/>
    <n v="25.862661767103599"/>
    <n v="9439.8715449928004"/>
    <n v="33983.537561974103"/>
  </r>
  <r>
    <x v="0"/>
    <x v="0"/>
    <x v="0"/>
    <x v="0"/>
    <x v="1"/>
    <s v="DK2_Rural"/>
    <x v="4"/>
    <s v="GNR_ST_STRW_BP_E-28"/>
    <x v="0"/>
    <x v="21"/>
    <n v="25.862661767103599"/>
    <n v="9439.8715449928004"/>
    <n v="33983.537561974103"/>
  </r>
  <r>
    <x v="0"/>
    <x v="0"/>
    <x v="0"/>
    <x v="0"/>
    <x v="1"/>
    <s v="DK2_Rural"/>
    <x v="4"/>
    <s v="GNR_ST_STRW_BP_E-28"/>
    <x v="0"/>
    <x v="22"/>
    <n v="25.862661767103599"/>
    <n v="9439.8715449928004"/>
    <n v="33983.537561974103"/>
  </r>
  <r>
    <x v="0"/>
    <x v="0"/>
    <x v="0"/>
    <x v="0"/>
    <x v="1"/>
    <s v="DK2_Rural"/>
    <x v="4"/>
    <s v="GNR_ST_STRW_BP_E-28"/>
    <x v="0"/>
    <x v="23"/>
    <n v="25.862661767103599"/>
    <n v="9439.8715449928004"/>
    <n v="33983.537561974103"/>
  </r>
  <r>
    <x v="0"/>
    <x v="0"/>
    <x v="0"/>
    <x v="0"/>
    <x v="1"/>
    <s v="DK2_Rural"/>
    <x v="5"/>
    <s v="GNR_EH_HEAT"/>
    <x v="0"/>
    <x v="6"/>
    <n v="16.5"/>
    <n v="6022.5"/>
    <n v="21681"/>
  </r>
  <r>
    <x v="0"/>
    <x v="0"/>
    <x v="0"/>
    <x v="0"/>
    <x v="1"/>
    <s v="DK2_Rural"/>
    <x v="5"/>
    <s v="GNR_EH_HEAT"/>
    <x v="0"/>
    <x v="7"/>
    <n v="16.5"/>
    <n v="6022.5"/>
    <n v="21681"/>
  </r>
  <r>
    <x v="0"/>
    <x v="0"/>
    <x v="0"/>
    <x v="0"/>
    <x v="1"/>
    <s v="DK2_Rural"/>
    <x v="5"/>
    <s v="GNR_EH_HEAT"/>
    <x v="0"/>
    <x v="8"/>
    <n v="16.5"/>
    <n v="6022.5"/>
    <n v="21681"/>
  </r>
  <r>
    <x v="0"/>
    <x v="0"/>
    <x v="0"/>
    <x v="0"/>
    <x v="1"/>
    <s v="DK2_Rural"/>
    <x v="5"/>
    <s v="GNR_EH_HEAT"/>
    <x v="0"/>
    <x v="9"/>
    <n v="16.5"/>
    <n v="6022.5"/>
    <n v="21681"/>
  </r>
  <r>
    <x v="0"/>
    <x v="0"/>
    <x v="0"/>
    <x v="0"/>
    <x v="1"/>
    <s v="DK2_Rural"/>
    <x v="5"/>
    <s v="GNR_EH_HEAT"/>
    <x v="0"/>
    <x v="10"/>
    <n v="16.5"/>
    <n v="6022.5"/>
    <n v="21681"/>
  </r>
  <r>
    <x v="0"/>
    <x v="0"/>
    <x v="0"/>
    <x v="0"/>
    <x v="1"/>
    <s v="DK2_Rural"/>
    <x v="5"/>
    <s v="GNR_EH_HEAT"/>
    <x v="0"/>
    <x v="11"/>
    <n v="16.5"/>
    <n v="6022.5"/>
    <n v="21681"/>
  </r>
  <r>
    <x v="0"/>
    <x v="0"/>
    <x v="0"/>
    <x v="0"/>
    <x v="1"/>
    <s v="DK2_Rural"/>
    <x v="5"/>
    <s v="GNR_EH_HEAT"/>
    <x v="0"/>
    <x v="0"/>
    <n v="16.5"/>
    <n v="6022.5"/>
    <n v="21681"/>
  </r>
  <r>
    <x v="0"/>
    <x v="0"/>
    <x v="0"/>
    <x v="0"/>
    <x v="1"/>
    <s v="DK2_Rural"/>
    <x v="5"/>
    <s v="GNR_EH_HEAT"/>
    <x v="0"/>
    <x v="1"/>
    <n v="16.5"/>
    <n v="6022.5"/>
    <n v="21681"/>
  </r>
  <r>
    <x v="0"/>
    <x v="0"/>
    <x v="0"/>
    <x v="0"/>
    <x v="1"/>
    <s v="DK2_Rural"/>
    <x v="5"/>
    <s v="GNR_EH_HEAT"/>
    <x v="0"/>
    <x v="2"/>
    <n v="16.5"/>
    <n v="6022.5"/>
    <n v="21681"/>
  </r>
  <r>
    <x v="0"/>
    <x v="0"/>
    <x v="0"/>
    <x v="0"/>
    <x v="1"/>
    <s v="DK2_Rural"/>
    <x v="5"/>
    <s v="GNR_EH_HEAT"/>
    <x v="0"/>
    <x v="3"/>
    <n v="16.5"/>
    <n v="6022.5"/>
    <n v="21681"/>
  </r>
  <r>
    <x v="0"/>
    <x v="0"/>
    <x v="0"/>
    <x v="0"/>
    <x v="1"/>
    <s v="DK2_Rural"/>
    <x v="5"/>
    <s v="GNR_EH_HEAT"/>
    <x v="0"/>
    <x v="12"/>
    <n v="16.5"/>
    <n v="6022.5"/>
    <n v="21681"/>
  </r>
  <r>
    <x v="0"/>
    <x v="0"/>
    <x v="0"/>
    <x v="0"/>
    <x v="1"/>
    <s v="DK2_Rural"/>
    <x v="5"/>
    <s v="GNR_EH_HEAT"/>
    <x v="0"/>
    <x v="13"/>
    <n v="16.5"/>
    <n v="6022.5"/>
    <n v="21681"/>
  </r>
  <r>
    <x v="0"/>
    <x v="0"/>
    <x v="0"/>
    <x v="0"/>
    <x v="1"/>
    <s v="DK2_Rural"/>
    <x v="5"/>
    <s v="GNR_EH_HEAT"/>
    <x v="0"/>
    <x v="14"/>
    <n v="16.5"/>
    <n v="6022.5"/>
    <n v="21681"/>
  </r>
  <r>
    <x v="0"/>
    <x v="0"/>
    <x v="0"/>
    <x v="0"/>
    <x v="1"/>
    <s v="DK2_Rural"/>
    <x v="5"/>
    <s v="GNR_EH_HEAT"/>
    <x v="0"/>
    <x v="15"/>
    <n v="16.5"/>
    <n v="6022.5"/>
    <n v="21681"/>
  </r>
  <r>
    <x v="0"/>
    <x v="0"/>
    <x v="0"/>
    <x v="0"/>
    <x v="1"/>
    <s v="DK2_Rural"/>
    <x v="5"/>
    <s v="GNR_EH_HEAT"/>
    <x v="0"/>
    <x v="4"/>
    <n v="16.5"/>
    <n v="6022.5"/>
    <n v="21681"/>
  </r>
  <r>
    <x v="0"/>
    <x v="0"/>
    <x v="0"/>
    <x v="0"/>
    <x v="1"/>
    <s v="DK2_Rural"/>
    <x v="5"/>
    <s v="GNR_EH_HEAT"/>
    <x v="0"/>
    <x v="16"/>
    <n v="16.5"/>
    <n v="6022.5"/>
    <n v="21681"/>
  </r>
  <r>
    <x v="0"/>
    <x v="0"/>
    <x v="0"/>
    <x v="0"/>
    <x v="1"/>
    <s v="DK2_Rural"/>
    <x v="5"/>
    <s v="GNR_EH_HEAT"/>
    <x v="0"/>
    <x v="5"/>
    <n v="16.5"/>
    <n v="6022.5"/>
    <n v="21681"/>
  </r>
  <r>
    <x v="0"/>
    <x v="0"/>
    <x v="0"/>
    <x v="0"/>
    <x v="1"/>
    <s v="DK2_Rural"/>
    <x v="5"/>
    <s v="GNR_EH_HEAT"/>
    <x v="0"/>
    <x v="17"/>
    <n v="16.5"/>
    <n v="6022.5"/>
    <n v="21681"/>
  </r>
  <r>
    <x v="0"/>
    <x v="0"/>
    <x v="0"/>
    <x v="0"/>
    <x v="1"/>
    <s v="DK2_Rural"/>
    <x v="5"/>
    <s v="GNR_EH_HEAT"/>
    <x v="0"/>
    <x v="18"/>
    <n v="16.5"/>
    <n v="6022.5"/>
    <n v="21681"/>
  </r>
  <r>
    <x v="0"/>
    <x v="0"/>
    <x v="0"/>
    <x v="0"/>
    <x v="1"/>
    <s v="DK2_Rural"/>
    <x v="5"/>
    <s v="GNR_EH_HEAT"/>
    <x v="0"/>
    <x v="19"/>
    <n v="16.5"/>
    <n v="6022.5"/>
    <n v="21681"/>
  </r>
  <r>
    <x v="0"/>
    <x v="0"/>
    <x v="0"/>
    <x v="0"/>
    <x v="1"/>
    <s v="DK2_Rural"/>
    <x v="5"/>
    <s v="GNR_EH_HEAT"/>
    <x v="0"/>
    <x v="20"/>
    <n v="16.5"/>
    <n v="6022.5"/>
    <n v="21681"/>
  </r>
  <r>
    <x v="0"/>
    <x v="0"/>
    <x v="0"/>
    <x v="0"/>
    <x v="1"/>
    <s v="DK2_Rural"/>
    <x v="5"/>
    <s v="GNR_EH_HEAT"/>
    <x v="0"/>
    <x v="21"/>
    <n v="16.5"/>
    <n v="6022.5"/>
    <n v="21681"/>
  </r>
  <r>
    <x v="0"/>
    <x v="0"/>
    <x v="0"/>
    <x v="0"/>
    <x v="1"/>
    <s v="DK2_Rural"/>
    <x v="5"/>
    <s v="GNR_EH_HEAT"/>
    <x v="0"/>
    <x v="22"/>
    <n v="16.5"/>
    <n v="6022.5"/>
    <n v="21681"/>
  </r>
  <r>
    <x v="0"/>
    <x v="0"/>
    <x v="0"/>
    <x v="0"/>
    <x v="1"/>
    <s v="DK2_Rural"/>
    <x v="5"/>
    <s v="GNR_EH_HEAT"/>
    <x v="0"/>
    <x v="23"/>
    <n v="16.5"/>
    <n v="6022.5"/>
    <n v="21681"/>
  </r>
  <r>
    <x v="0"/>
    <x v="0"/>
    <x v="0"/>
    <x v="0"/>
    <x v="1"/>
    <s v="DK2_Rural"/>
    <x v="8"/>
    <s v="GNR_BO_WOODWST_E-100"/>
    <x v="0"/>
    <x v="6"/>
    <n v="6.3"/>
    <n v="2299.5"/>
    <n v="8278.2000000000007"/>
  </r>
  <r>
    <x v="0"/>
    <x v="0"/>
    <x v="0"/>
    <x v="0"/>
    <x v="1"/>
    <s v="DK2_Rural"/>
    <x v="8"/>
    <s v="GNR_BO_WOODWST_E-100"/>
    <x v="0"/>
    <x v="7"/>
    <n v="6.3"/>
    <n v="2299.5"/>
    <n v="8278.2000000000007"/>
  </r>
  <r>
    <x v="0"/>
    <x v="0"/>
    <x v="0"/>
    <x v="0"/>
    <x v="1"/>
    <s v="DK2_Rural"/>
    <x v="8"/>
    <s v="GNR_BO_WOODWST_E-100"/>
    <x v="0"/>
    <x v="8"/>
    <n v="6.3"/>
    <n v="2299.5"/>
    <n v="8278.2000000000007"/>
  </r>
  <r>
    <x v="0"/>
    <x v="0"/>
    <x v="0"/>
    <x v="0"/>
    <x v="1"/>
    <s v="DK2_Rural"/>
    <x v="8"/>
    <s v="GNR_BO_WOODWST_E-100"/>
    <x v="0"/>
    <x v="9"/>
    <n v="6.3"/>
    <n v="2299.5"/>
    <n v="8278.2000000000007"/>
  </r>
  <r>
    <x v="0"/>
    <x v="0"/>
    <x v="0"/>
    <x v="0"/>
    <x v="1"/>
    <s v="DK2_Rural"/>
    <x v="8"/>
    <s v="GNR_BO_WOODWST_E-100"/>
    <x v="0"/>
    <x v="10"/>
    <n v="6.3"/>
    <n v="2299.5"/>
    <n v="8278.2000000000007"/>
  </r>
  <r>
    <x v="0"/>
    <x v="0"/>
    <x v="0"/>
    <x v="0"/>
    <x v="1"/>
    <s v="DK2_Rural"/>
    <x v="8"/>
    <s v="GNR_BO_WOODWST_E-100"/>
    <x v="0"/>
    <x v="11"/>
    <n v="6.3"/>
    <n v="2299.5"/>
    <n v="8278.2000000000007"/>
  </r>
  <r>
    <x v="0"/>
    <x v="0"/>
    <x v="0"/>
    <x v="0"/>
    <x v="1"/>
    <s v="DK2_Rural"/>
    <x v="8"/>
    <s v="GNR_BO_WOODWST_E-100"/>
    <x v="0"/>
    <x v="0"/>
    <n v="6.3"/>
    <n v="2299.5"/>
    <n v="8278.2000000000007"/>
  </r>
  <r>
    <x v="0"/>
    <x v="0"/>
    <x v="0"/>
    <x v="0"/>
    <x v="1"/>
    <s v="DK2_Rural"/>
    <x v="8"/>
    <s v="GNR_BO_WOODWST_E-100"/>
    <x v="0"/>
    <x v="1"/>
    <n v="6.3"/>
    <n v="2299.5"/>
    <n v="8278.2000000000007"/>
  </r>
  <r>
    <x v="0"/>
    <x v="0"/>
    <x v="0"/>
    <x v="0"/>
    <x v="1"/>
    <s v="DK2_Rural"/>
    <x v="8"/>
    <s v="GNR_BO_WOODWST_E-100"/>
    <x v="0"/>
    <x v="2"/>
    <n v="6.3"/>
    <n v="2299.5"/>
    <n v="8278.2000000000007"/>
  </r>
  <r>
    <x v="0"/>
    <x v="0"/>
    <x v="0"/>
    <x v="0"/>
    <x v="1"/>
    <s v="DK2_Rural"/>
    <x v="8"/>
    <s v="GNR_BO_WOODWST_E-100"/>
    <x v="0"/>
    <x v="3"/>
    <n v="6.3"/>
    <n v="2299.5"/>
    <n v="8278.2000000000007"/>
  </r>
  <r>
    <x v="0"/>
    <x v="0"/>
    <x v="0"/>
    <x v="0"/>
    <x v="1"/>
    <s v="DK2_Rural"/>
    <x v="8"/>
    <s v="GNR_BO_WOODWST_E-100"/>
    <x v="0"/>
    <x v="12"/>
    <n v="6.3"/>
    <n v="2299.5"/>
    <n v="8278.2000000000007"/>
  </r>
  <r>
    <x v="0"/>
    <x v="0"/>
    <x v="0"/>
    <x v="0"/>
    <x v="1"/>
    <s v="DK2_Rural"/>
    <x v="8"/>
    <s v="GNR_BO_WOODWST_E-100"/>
    <x v="0"/>
    <x v="13"/>
    <n v="6.3"/>
    <n v="2299.5"/>
    <n v="8278.2000000000007"/>
  </r>
  <r>
    <x v="0"/>
    <x v="0"/>
    <x v="0"/>
    <x v="0"/>
    <x v="1"/>
    <s v="DK2_Rural"/>
    <x v="8"/>
    <s v="GNR_BO_WOODWST_E-100"/>
    <x v="0"/>
    <x v="14"/>
    <n v="6.3"/>
    <n v="2299.5"/>
    <n v="8278.2000000000007"/>
  </r>
  <r>
    <x v="0"/>
    <x v="0"/>
    <x v="0"/>
    <x v="0"/>
    <x v="1"/>
    <s v="DK2_Rural"/>
    <x v="8"/>
    <s v="GNR_BO_WOODWST_E-100"/>
    <x v="0"/>
    <x v="15"/>
    <n v="6.3"/>
    <n v="2299.5"/>
    <n v="8278.2000000000007"/>
  </r>
  <r>
    <x v="0"/>
    <x v="0"/>
    <x v="0"/>
    <x v="0"/>
    <x v="1"/>
    <s v="DK2_Rural"/>
    <x v="8"/>
    <s v="GNR_BO_WOODWST_E-100"/>
    <x v="0"/>
    <x v="4"/>
    <n v="6.3"/>
    <n v="2299.5"/>
    <n v="8278.2000000000007"/>
  </r>
  <r>
    <x v="0"/>
    <x v="0"/>
    <x v="0"/>
    <x v="0"/>
    <x v="1"/>
    <s v="DK2_Rural"/>
    <x v="8"/>
    <s v="GNR_BO_WOODWST_E-100"/>
    <x v="0"/>
    <x v="16"/>
    <n v="6.3"/>
    <n v="2299.5"/>
    <n v="8278.2000000000007"/>
  </r>
  <r>
    <x v="0"/>
    <x v="0"/>
    <x v="0"/>
    <x v="0"/>
    <x v="1"/>
    <s v="DK2_Rural"/>
    <x v="8"/>
    <s v="GNR_BO_WOODWST_E-100"/>
    <x v="0"/>
    <x v="5"/>
    <n v="6.3"/>
    <n v="2299.5"/>
    <n v="8278.2000000000007"/>
  </r>
  <r>
    <x v="0"/>
    <x v="0"/>
    <x v="0"/>
    <x v="0"/>
    <x v="1"/>
    <s v="DK2_Rural"/>
    <x v="8"/>
    <s v="GNR_BO_WOODWST_E-100"/>
    <x v="0"/>
    <x v="17"/>
    <n v="6.3"/>
    <n v="2299.5"/>
    <n v="8278.2000000000007"/>
  </r>
  <r>
    <x v="0"/>
    <x v="0"/>
    <x v="0"/>
    <x v="0"/>
    <x v="1"/>
    <s v="DK2_Rural"/>
    <x v="8"/>
    <s v="GNR_BO_WOODWST_E-100"/>
    <x v="0"/>
    <x v="18"/>
    <n v="6.3"/>
    <n v="2299.5"/>
    <n v="8278.2000000000007"/>
  </r>
  <r>
    <x v="0"/>
    <x v="0"/>
    <x v="0"/>
    <x v="0"/>
    <x v="1"/>
    <s v="DK2_Rural"/>
    <x v="8"/>
    <s v="GNR_BO_WOODWST_E-100"/>
    <x v="0"/>
    <x v="19"/>
    <n v="6.3"/>
    <n v="2299.5"/>
    <n v="8278.2000000000007"/>
  </r>
  <r>
    <x v="0"/>
    <x v="0"/>
    <x v="0"/>
    <x v="0"/>
    <x v="1"/>
    <s v="DK2_Rural"/>
    <x v="8"/>
    <s v="GNR_BO_WOODWST_E-100"/>
    <x v="0"/>
    <x v="20"/>
    <n v="6.3"/>
    <n v="2299.5"/>
    <n v="8278.2000000000007"/>
  </r>
  <r>
    <x v="0"/>
    <x v="0"/>
    <x v="0"/>
    <x v="0"/>
    <x v="1"/>
    <s v="DK2_Rural"/>
    <x v="8"/>
    <s v="GNR_BO_WOODWST_E-100"/>
    <x v="0"/>
    <x v="21"/>
    <n v="6.3"/>
    <n v="2299.5"/>
    <n v="8278.2000000000007"/>
  </r>
  <r>
    <x v="0"/>
    <x v="0"/>
    <x v="0"/>
    <x v="0"/>
    <x v="1"/>
    <s v="DK2_Rural"/>
    <x v="8"/>
    <s v="GNR_BO_WOODWST_E-100"/>
    <x v="0"/>
    <x v="22"/>
    <n v="6.3"/>
    <n v="2299.5"/>
    <n v="8278.2000000000007"/>
  </r>
  <r>
    <x v="0"/>
    <x v="0"/>
    <x v="0"/>
    <x v="0"/>
    <x v="1"/>
    <s v="DK2_Rural"/>
    <x v="8"/>
    <s v="GNR_BO_WOODWST_E-100"/>
    <x v="0"/>
    <x v="23"/>
    <n v="6.3"/>
    <n v="2299.5"/>
    <n v="8278.2000000000007"/>
  </r>
  <r>
    <x v="0"/>
    <x v="0"/>
    <x v="0"/>
    <x v="0"/>
    <x v="1"/>
    <s v="DK2_Small"/>
    <x v="1"/>
    <s v="GNR_HS_HEAT_WTR-TANK_LS_E-95_Y-2010"/>
    <x v="0"/>
    <x v="6"/>
    <n v="474.01835703653899"/>
    <n v="173016.70031833701"/>
    <n v="622860.12114601303"/>
  </r>
  <r>
    <x v="0"/>
    <x v="0"/>
    <x v="0"/>
    <x v="0"/>
    <x v="1"/>
    <s v="DK2_Small"/>
    <x v="1"/>
    <s v="GNR_HS_HEAT_WTR-TANK_LS_E-95_Y-2010"/>
    <x v="0"/>
    <x v="7"/>
    <n v="473.89695437170701"/>
    <n v="172972.38834567301"/>
    <n v="622700.59804442199"/>
  </r>
  <r>
    <x v="0"/>
    <x v="0"/>
    <x v="0"/>
    <x v="0"/>
    <x v="1"/>
    <s v="DK2_Small"/>
    <x v="1"/>
    <s v="GNR_HS_HEAT_WTR-TANK_LS_E-95_Y-2010"/>
    <x v="0"/>
    <x v="8"/>
    <n v="473.786588312768"/>
    <n v="172932.10473416001"/>
    <n v="622555.57704297698"/>
  </r>
  <r>
    <x v="0"/>
    <x v="0"/>
    <x v="0"/>
    <x v="0"/>
    <x v="1"/>
    <s v="DK2_Small"/>
    <x v="1"/>
    <s v="GNR_HS_HEAT_WTR-TANK_LS_E-95_Y-2010"/>
    <x v="0"/>
    <x v="9"/>
    <n v="473.952137401176"/>
    <n v="172992.530151429"/>
    <n v="622773.10854514502"/>
  </r>
  <r>
    <x v="0"/>
    <x v="0"/>
    <x v="0"/>
    <x v="0"/>
    <x v="1"/>
    <s v="DK2_Small"/>
    <x v="1"/>
    <s v="GNR_HS_HEAT_WTR-TANK_LS_E-95_Y-2010"/>
    <x v="0"/>
    <x v="10"/>
    <n v="474.073540066009"/>
    <n v="173036.842124093"/>
    <n v="622932.63164673501"/>
  </r>
  <r>
    <x v="0"/>
    <x v="0"/>
    <x v="0"/>
    <x v="0"/>
    <x v="1"/>
    <s v="DK2_Small"/>
    <x v="1"/>
    <s v="GNR_HS_HEAT_WTR-TANK_LS_E-95_Y-2010"/>
    <x v="0"/>
    <x v="11"/>
    <n v="476.00494609743902"/>
    <n v="173741.80532556499"/>
    <n v="625470.49917203397"/>
  </r>
  <r>
    <x v="0"/>
    <x v="0"/>
    <x v="0"/>
    <x v="0"/>
    <x v="1"/>
    <s v="DK2_Small"/>
    <x v="1"/>
    <s v="GNR_HS_HEAT_WTR-TANK_LS_E-95_Y-2010"/>
    <x v="0"/>
    <x v="0"/>
    <n v="480.83897947896099"/>
    <n v="175506.22750982101"/>
    <n v="631822.41903535405"/>
  </r>
  <r>
    <x v="0"/>
    <x v="0"/>
    <x v="0"/>
    <x v="0"/>
    <x v="1"/>
    <s v="DK2_Small"/>
    <x v="1"/>
    <s v="GNR_HS_HEAT_WTR-TANK_LS_E-95_Y-2010"/>
    <x v="0"/>
    <x v="1"/>
    <n v="483.71953361726497"/>
    <n v="176557.62977030201"/>
    <n v="635607.46717308601"/>
  </r>
  <r>
    <x v="0"/>
    <x v="0"/>
    <x v="0"/>
    <x v="0"/>
    <x v="1"/>
    <s v="DK2_Small"/>
    <x v="1"/>
    <s v="GNR_HS_HEAT_WTR-TANK_LS_E-95_Y-2010"/>
    <x v="0"/>
    <x v="2"/>
    <n v="484.14996124712599"/>
    <n v="176714.735855201"/>
    <n v="636173.049078724"/>
  </r>
  <r>
    <x v="0"/>
    <x v="0"/>
    <x v="0"/>
    <x v="0"/>
    <x v="1"/>
    <s v="DK2_Small"/>
    <x v="1"/>
    <s v="GNR_HS_HEAT_WTR-TANK_LS_E-95_Y-2010"/>
    <x v="0"/>
    <x v="3"/>
    <n v="484.09477821765699"/>
    <n v="176694.594049445"/>
    <n v="636100.53857800097"/>
  </r>
  <r>
    <x v="0"/>
    <x v="0"/>
    <x v="0"/>
    <x v="0"/>
    <x v="1"/>
    <s v="DK2_Small"/>
    <x v="1"/>
    <s v="GNR_HS_HEAT_WTR-TANK_LS_E-95_Y-2010"/>
    <x v="0"/>
    <x v="12"/>
    <n v="484.19410767070201"/>
    <n v="176730.849299806"/>
    <n v="636231.05747930205"/>
  </r>
  <r>
    <x v="0"/>
    <x v="0"/>
    <x v="0"/>
    <x v="0"/>
    <x v="1"/>
    <s v="DK2_Small"/>
    <x v="1"/>
    <s v="GNR_HS_HEAT_WTR-TANK_LS_E-95_Y-2010"/>
    <x v="0"/>
    <x v="13"/>
    <n v="484.09477821765699"/>
    <n v="176694.594049445"/>
    <n v="636100.53857800097"/>
  </r>
  <r>
    <x v="0"/>
    <x v="0"/>
    <x v="0"/>
    <x v="0"/>
    <x v="1"/>
    <s v="DK2_Small"/>
    <x v="1"/>
    <s v="GNR_HS_HEAT_WTR-TANK_LS_E-95_Y-2010"/>
    <x v="0"/>
    <x v="14"/>
    <n v="483.47672828759897"/>
    <n v="176469.00582497401"/>
    <n v="635288.42096990498"/>
  </r>
  <r>
    <x v="0"/>
    <x v="0"/>
    <x v="0"/>
    <x v="0"/>
    <x v="1"/>
    <s v="DK2_Small"/>
    <x v="1"/>
    <s v="GNR_HS_HEAT_WTR-TANK_LS_E-95_Y-2010"/>
    <x v="0"/>
    <x v="15"/>
    <n v="483.04630065773802"/>
    <n v="176311.899740074"/>
    <n v="634722.839064267"/>
  </r>
  <r>
    <x v="0"/>
    <x v="0"/>
    <x v="0"/>
    <x v="0"/>
    <x v="1"/>
    <s v="DK2_Small"/>
    <x v="1"/>
    <s v="GNR_HS_HEAT_WTR-TANK_LS_E-95_Y-2010"/>
    <x v="0"/>
    <x v="4"/>
    <n v="483.22288635204001"/>
    <n v="176376.35351849499"/>
    <n v="634954.87266658002"/>
  </r>
  <r>
    <x v="0"/>
    <x v="0"/>
    <x v="0"/>
    <x v="0"/>
    <x v="1"/>
    <s v="DK2_Small"/>
    <x v="1"/>
    <s v="GNR_HS_HEAT_WTR-TANK_LS_E-95_Y-2010"/>
    <x v="0"/>
    <x v="16"/>
    <n v="483.38843544044801"/>
    <n v="176436.77893576401"/>
    <n v="635172.404168749"/>
  </r>
  <r>
    <x v="0"/>
    <x v="0"/>
    <x v="0"/>
    <x v="0"/>
    <x v="1"/>
    <s v="DK2_Small"/>
    <x v="1"/>
    <s v="GNR_HS_HEAT_WTR-TANK_LS_E-95_Y-2010"/>
    <x v="0"/>
    <x v="5"/>
    <n v="483.48776489349302"/>
    <n v="176473.03418612501"/>
    <n v="635302.92307004996"/>
  </r>
  <r>
    <x v="0"/>
    <x v="0"/>
    <x v="0"/>
    <x v="0"/>
    <x v="1"/>
    <s v="DK2_Small"/>
    <x v="1"/>
    <s v="GNR_HS_HEAT_WTR-TANK_LS_E-95_Y-2010"/>
    <x v="0"/>
    <x v="17"/>
    <n v="483.78575325262801"/>
    <n v="176581.799937209"/>
    <n v="635694.47977395297"/>
  </r>
  <r>
    <x v="0"/>
    <x v="0"/>
    <x v="0"/>
    <x v="0"/>
    <x v="1"/>
    <s v="DK2_Small"/>
    <x v="1"/>
    <s v="GNR_HS_HEAT_WTR-TANK_LS_E-95_Y-2010"/>
    <x v="0"/>
    <x v="18"/>
    <n v="483.74160682905301"/>
    <n v="176565.686492604"/>
    <n v="635636.47137337504"/>
  </r>
  <r>
    <x v="0"/>
    <x v="0"/>
    <x v="0"/>
    <x v="0"/>
    <x v="1"/>
    <s v="DK2_Small"/>
    <x v="1"/>
    <s v="GNR_HS_HEAT_WTR-TANK_LS_E-95_Y-2010"/>
    <x v="0"/>
    <x v="19"/>
    <n v="483.28910598740299"/>
    <n v="176400.523685402"/>
    <n v="635041.88526744803"/>
  </r>
  <r>
    <x v="0"/>
    <x v="0"/>
    <x v="0"/>
    <x v="0"/>
    <x v="1"/>
    <s v="DK2_Small"/>
    <x v="1"/>
    <s v="GNR_HS_HEAT_WTR-TANK_LS_E-95_Y-2010"/>
    <x v="0"/>
    <x v="20"/>
    <n v="482.43928733357399"/>
    <n v="176090.339876755"/>
    <n v="633925.22355631599"/>
  </r>
  <r>
    <x v="0"/>
    <x v="0"/>
    <x v="0"/>
    <x v="0"/>
    <x v="1"/>
    <s v="DK2_Small"/>
    <x v="1"/>
    <s v="GNR_HS_HEAT_WTR-TANK_LS_E-95_Y-2010"/>
    <x v="0"/>
    <x v="21"/>
    <n v="478.355743152836"/>
    <n v="174599.84625078499"/>
    <n v="628559.44650282699"/>
  </r>
  <r>
    <x v="0"/>
    <x v="0"/>
    <x v="0"/>
    <x v="0"/>
    <x v="1"/>
    <s v="DK2_Small"/>
    <x v="1"/>
    <s v="GNR_HS_HEAT_WTR-TANK_LS_E-95_Y-2010"/>
    <x v="0"/>
    <x v="22"/>
    <n v="477.207936139872"/>
    <n v="174180.896691053"/>
    <n v="627051.22808779206"/>
  </r>
  <r>
    <x v="0"/>
    <x v="0"/>
    <x v="0"/>
    <x v="0"/>
    <x v="1"/>
    <s v="DK2_Small"/>
    <x v="1"/>
    <s v="GNR_HS_HEAT_WTR-TANK_LS_E-95_Y-2010"/>
    <x v="0"/>
    <x v="23"/>
    <n v="476.53470318034499"/>
    <n v="173935.16666082601"/>
    <n v="626166.59997897397"/>
  </r>
  <r>
    <x v="0"/>
    <x v="0"/>
    <x v="0"/>
    <x v="0"/>
    <x v="1"/>
    <s v="DK2_Small"/>
    <x v="3"/>
    <s v="GNR_ENG_NGAS_BP_E-46"/>
    <x v="0"/>
    <x v="6"/>
    <n v="42.7777777777778"/>
    <n v="15613.8888888889"/>
    <n v="56210"/>
  </r>
  <r>
    <x v="0"/>
    <x v="0"/>
    <x v="0"/>
    <x v="0"/>
    <x v="1"/>
    <s v="DK2_Small"/>
    <x v="3"/>
    <s v="GNR_ENG_NGAS_BP_E-46"/>
    <x v="0"/>
    <x v="7"/>
    <n v="42.7777777777778"/>
    <n v="15613.8888888889"/>
    <n v="56210"/>
  </r>
  <r>
    <x v="0"/>
    <x v="0"/>
    <x v="0"/>
    <x v="0"/>
    <x v="1"/>
    <s v="DK2_Small"/>
    <x v="3"/>
    <s v="GNR_ENG_NGAS_BP_E-46"/>
    <x v="0"/>
    <x v="8"/>
    <n v="42.7777777777778"/>
    <n v="15613.8888888889"/>
    <n v="56210"/>
  </r>
  <r>
    <x v="0"/>
    <x v="0"/>
    <x v="0"/>
    <x v="0"/>
    <x v="1"/>
    <s v="DK2_Small"/>
    <x v="3"/>
    <s v="GNR_ENG_NGAS_BP_E-46"/>
    <x v="0"/>
    <x v="9"/>
    <n v="42.7777777777778"/>
    <n v="15613.8888888889"/>
    <n v="56210"/>
  </r>
  <r>
    <x v="0"/>
    <x v="0"/>
    <x v="0"/>
    <x v="0"/>
    <x v="1"/>
    <s v="DK2_Small"/>
    <x v="3"/>
    <s v="GNR_ENG_NGAS_BP_E-46"/>
    <x v="0"/>
    <x v="10"/>
    <n v="42.7777777777778"/>
    <n v="15613.8888888889"/>
    <n v="56210"/>
  </r>
  <r>
    <x v="0"/>
    <x v="0"/>
    <x v="0"/>
    <x v="0"/>
    <x v="1"/>
    <s v="DK2_Small"/>
    <x v="3"/>
    <s v="GNR_ENG_NGAS_BP_E-46"/>
    <x v="0"/>
    <x v="11"/>
    <n v="42.7777777777778"/>
    <n v="15613.8888888889"/>
    <n v="56210"/>
  </r>
  <r>
    <x v="0"/>
    <x v="0"/>
    <x v="0"/>
    <x v="0"/>
    <x v="1"/>
    <s v="DK2_Small"/>
    <x v="3"/>
    <s v="GNR_ENG_NGAS_BP_E-46"/>
    <x v="0"/>
    <x v="0"/>
    <n v="42.7777777777778"/>
    <n v="15613.8888888889"/>
    <n v="56210"/>
  </r>
  <r>
    <x v="0"/>
    <x v="0"/>
    <x v="0"/>
    <x v="0"/>
    <x v="1"/>
    <s v="DK2_Small"/>
    <x v="3"/>
    <s v="GNR_ENG_NGAS_BP_E-46"/>
    <x v="0"/>
    <x v="1"/>
    <n v="42.7777777777778"/>
    <n v="15613.8888888889"/>
    <n v="56210"/>
  </r>
  <r>
    <x v="0"/>
    <x v="0"/>
    <x v="0"/>
    <x v="0"/>
    <x v="1"/>
    <s v="DK2_Small"/>
    <x v="3"/>
    <s v="GNR_ENG_NGAS_BP_E-46"/>
    <x v="0"/>
    <x v="2"/>
    <n v="42.7777777777778"/>
    <n v="15613.8888888889"/>
    <n v="56210"/>
  </r>
  <r>
    <x v="0"/>
    <x v="0"/>
    <x v="0"/>
    <x v="0"/>
    <x v="1"/>
    <s v="DK2_Small"/>
    <x v="3"/>
    <s v="GNR_ENG_NGAS_BP_E-46"/>
    <x v="0"/>
    <x v="3"/>
    <n v="42.7777777777778"/>
    <n v="15613.8888888889"/>
    <n v="56210"/>
  </r>
  <r>
    <x v="0"/>
    <x v="0"/>
    <x v="0"/>
    <x v="0"/>
    <x v="1"/>
    <s v="DK2_Small"/>
    <x v="3"/>
    <s v="GNR_ENG_NGAS_BP_E-46"/>
    <x v="0"/>
    <x v="12"/>
    <n v="42.7777777777778"/>
    <n v="15613.8888888889"/>
    <n v="56210"/>
  </r>
  <r>
    <x v="0"/>
    <x v="0"/>
    <x v="0"/>
    <x v="0"/>
    <x v="1"/>
    <s v="DK2_Small"/>
    <x v="3"/>
    <s v="GNR_ENG_NGAS_BP_E-46"/>
    <x v="0"/>
    <x v="13"/>
    <n v="42.7777777777778"/>
    <n v="15613.8888888889"/>
    <n v="56210"/>
  </r>
  <r>
    <x v="0"/>
    <x v="0"/>
    <x v="0"/>
    <x v="0"/>
    <x v="1"/>
    <s v="DK2_Small"/>
    <x v="3"/>
    <s v="GNR_ENG_NGAS_BP_E-46"/>
    <x v="0"/>
    <x v="14"/>
    <n v="42.7777777777778"/>
    <n v="15613.8888888889"/>
    <n v="56210"/>
  </r>
  <r>
    <x v="0"/>
    <x v="0"/>
    <x v="0"/>
    <x v="0"/>
    <x v="1"/>
    <s v="DK2_Small"/>
    <x v="3"/>
    <s v="GNR_ENG_NGAS_BP_E-46"/>
    <x v="0"/>
    <x v="15"/>
    <n v="42.7777777777778"/>
    <n v="15613.8888888889"/>
    <n v="56210"/>
  </r>
  <r>
    <x v="0"/>
    <x v="0"/>
    <x v="0"/>
    <x v="0"/>
    <x v="1"/>
    <s v="DK2_Small"/>
    <x v="3"/>
    <s v="GNR_ENG_NGAS_BP_E-46"/>
    <x v="0"/>
    <x v="4"/>
    <n v="42.7777777777778"/>
    <n v="15613.8888888889"/>
    <n v="56210"/>
  </r>
  <r>
    <x v="0"/>
    <x v="0"/>
    <x v="0"/>
    <x v="0"/>
    <x v="1"/>
    <s v="DK2_Small"/>
    <x v="3"/>
    <s v="GNR_ENG_NGAS_BP_E-46"/>
    <x v="0"/>
    <x v="16"/>
    <n v="42.7777777777778"/>
    <n v="15613.8888888889"/>
    <n v="56210"/>
  </r>
  <r>
    <x v="0"/>
    <x v="0"/>
    <x v="0"/>
    <x v="0"/>
    <x v="1"/>
    <s v="DK2_Small"/>
    <x v="3"/>
    <s v="GNR_ENG_NGAS_BP_E-46"/>
    <x v="0"/>
    <x v="5"/>
    <n v="42.7777777777778"/>
    <n v="15613.8888888889"/>
    <n v="56210"/>
  </r>
  <r>
    <x v="0"/>
    <x v="0"/>
    <x v="0"/>
    <x v="0"/>
    <x v="1"/>
    <s v="DK2_Small"/>
    <x v="3"/>
    <s v="GNR_ENG_NGAS_BP_E-46"/>
    <x v="0"/>
    <x v="17"/>
    <n v="42.7777777777778"/>
    <n v="15613.8888888889"/>
    <n v="56210"/>
  </r>
  <r>
    <x v="0"/>
    <x v="0"/>
    <x v="0"/>
    <x v="0"/>
    <x v="1"/>
    <s v="DK2_Small"/>
    <x v="3"/>
    <s v="GNR_ENG_NGAS_BP_E-46"/>
    <x v="0"/>
    <x v="18"/>
    <n v="42.7777777777778"/>
    <n v="15613.8888888889"/>
    <n v="56210"/>
  </r>
  <r>
    <x v="0"/>
    <x v="0"/>
    <x v="0"/>
    <x v="0"/>
    <x v="1"/>
    <s v="DK2_Small"/>
    <x v="3"/>
    <s v="GNR_ENG_NGAS_BP_E-46"/>
    <x v="0"/>
    <x v="19"/>
    <n v="42.7777777777778"/>
    <n v="15613.8888888889"/>
    <n v="56210"/>
  </r>
  <r>
    <x v="0"/>
    <x v="0"/>
    <x v="0"/>
    <x v="0"/>
    <x v="1"/>
    <s v="DK2_Small"/>
    <x v="3"/>
    <s v="GNR_ENG_NGAS_BP_E-46"/>
    <x v="0"/>
    <x v="20"/>
    <n v="42.7777777777778"/>
    <n v="15613.8888888889"/>
    <n v="56210"/>
  </r>
  <r>
    <x v="0"/>
    <x v="0"/>
    <x v="0"/>
    <x v="0"/>
    <x v="1"/>
    <s v="DK2_Small"/>
    <x v="3"/>
    <s v="GNR_ENG_NGAS_BP_E-46"/>
    <x v="0"/>
    <x v="21"/>
    <n v="42.7777777777778"/>
    <n v="15613.8888888889"/>
    <n v="56210"/>
  </r>
  <r>
    <x v="0"/>
    <x v="0"/>
    <x v="0"/>
    <x v="0"/>
    <x v="1"/>
    <s v="DK2_Small"/>
    <x v="3"/>
    <s v="GNR_ENG_NGAS_BP_E-46"/>
    <x v="0"/>
    <x v="22"/>
    <n v="42.7777777777778"/>
    <n v="15613.8888888889"/>
    <n v="56210"/>
  </r>
  <r>
    <x v="0"/>
    <x v="0"/>
    <x v="0"/>
    <x v="0"/>
    <x v="1"/>
    <s v="DK2_Small"/>
    <x v="3"/>
    <s v="GNR_ENG_NGAS_BP_E-46"/>
    <x v="0"/>
    <x v="23"/>
    <n v="42.7777777777778"/>
    <n v="15613.8888888889"/>
    <n v="56210"/>
  </r>
  <r>
    <x v="0"/>
    <x v="0"/>
    <x v="0"/>
    <x v="1"/>
    <x v="2"/>
    <s v="EE_Industry"/>
    <x v="1"/>
    <s v="GNR_HS_HEAT_WTR-TANK_LS_E-95_Y-2010"/>
    <x v="0"/>
    <x v="6"/>
    <n v="1529.9318746204599"/>
    <n v="558425.13423646905"/>
    <n v="2010330.4832512899"/>
  </r>
  <r>
    <x v="0"/>
    <x v="0"/>
    <x v="0"/>
    <x v="1"/>
    <x v="2"/>
    <s v="EE_Industry"/>
    <x v="1"/>
    <s v="GNR_HS_HEAT_WTR-TANK_LS_E-95_Y-2010"/>
    <x v="0"/>
    <x v="7"/>
    <n v="1530.2635339523099"/>
    <n v="558546.18989259505"/>
    <n v="2010766.28361334"/>
  </r>
  <r>
    <x v="0"/>
    <x v="0"/>
    <x v="0"/>
    <x v="1"/>
    <x v="2"/>
    <s v="EE_Industry"/>
    <x v="1"/>
    <s v="GNR_HS_HEAT_WTR-TANK_LS_E-95_Y-2010"/>
    <x v="0"/>
    <x v="8"/>
    <n v="1530.3671774935201"/>
    <n v="558584.01978513401"/>
    <n v="2010902.4712264801"/>
  </r>
  <r>
    <x v="0"/>
    <x v="0"/>
    <x v="0"/>
    <x v="1"/>
    <x v="2"/>
    <s v="EE_Industry"/>
    <x v="1"/>
    <s v="GNR_HS_HEAT_WTR-TANK_LS_E-95_Y-2010"/>
    <x v="0"/>
    <x v="9"/>
    <n v="1530.05624686991"/>
    <n v="558470.53010751598"/>
    <n v="2010493.90838706"/>
  </r>
  <r>
    <x v="0"/>
    <x v="0"/>
    <x v="0"/>
    <x v="1"/>
    <x v="2"/>
    <s v="EE_Industry"/>
    <x v="1"/>
    <s v="GNR_HS_HEAT_WTR-TANK_LS_E-95_Y-2010"/>
    <x v="0"/>
    <x v="10"/>
    <n v="1529.3721994979601"/>
    <n v="558220.852816756"/>
    <n v="2009595.0701403201"/>
  </r>
  <r>
    <x v="0"/>
    <x v="0"/>
    <x v="0"/>
    <x v="1"/>
    <x v="2"/>
    <s v="EE_Industry"/>
    <x v="1"/>
    <s v="GNR_HS_HEAT_WTR-TANK_LS_E-95_Y-2010"/>
    <x v="0"/>
    <x v="11"/>
    <n v="1528.3772215024101"/>
    <n v="557857.68584837799"/>
    <n v="2008287.6690541599"/>
  </r>
  <r>
    <x v="0"/>
    <x v="0"/>
    <x v="0"/>
    <x v="1"/>
    <x v="2"/>
    <s v="EE_Industry"/>
    <x v="1"/>
    <s v="GNR_HS_HEAT_WTR-TANK_LS_E-95_Y-2010"/>
    <x v="0"/>
    <x v="0"/>
    <n v="1527.1127702997201"/>
    <n v="557396.16115939699"/>
    <n v="2006626.1801738299"/>
  </r>
  <r>
    <x v="0"/>
    <x v="0"/>
    <x v="0"/>
    <x v="1"/>
    <x v="2"/>
    <s v="EE_Industry"/>
    <x v="1"/>
    <s v="GNR_HS_HEAT_WTR-TANK_LS_E-95_Y-2010"/>
    <x v="0"/>
    <x v="1"/>
    <n v="1465.5580571815999"/>
    <n v="534928.69087128504"/>
    <n v="1925743.2871366299"/>
  </r>
  <r>
    <x v="0"/>
    <x v="0"/>
    <x v="0"/>
    <x v="1"/>
    <x v="2"/>
    <s v="EE_Industry"/>
    <x v="1"/>
    <s v="GNR_HS_HEAT_WTR-TANK_LS_E-95_Y-2010"/>
    <x v="0"/>
    <x v="2"/>
    <n v="1464.21069114595"/>
    <n v="534436.90226827306"/>
    <n v="1923972.8481657801"/>
  </r>
  <r>
    <x v="0"/>
    <x v="0"/>
    <x v="0"/>
    <x v="1"/>
    <x v="2"/>
    <s v="EE_Industry"/>
    <x v="1"/>
    <s v="GNR_HS_HEAT_WTR-TANK_LS_E-95_Y-2010"/>
    <x v="0"/>
    <x v="3"/>
    <n v="1462.98769735975"/>
    <n v="533990.509536308"/>
    <n v="1922365.8343307099"/>
  </r>
  <r>
    <x v="0"/>
    <x v="0"/>
    <x v="0"/>
    <x v="1"/>
    <x v="2"/>
    <s v="EE_Industry"/>
    <x v="1"/>
    <s v="GNR_HS_HEAT_WTR-TANK_LS_E-95_Y-2010"/>
    <x v="0"/>
    <x v="12"/>
    <n v="1461.88907582299"/>
    <n v="533589.51267539104"/>
    <n v="1920922.24563141"/>
  </r>
  <r>
    <x v="0"/>
    <x v="0"/>
    <x v="0"/>
    <x v="1"/>
    <x v="2"/>
    <s v="EE_Industry"/>
    <x v="1"/>
    <s v="GNR_HS_HEAT_WTR-TANK_LS_E-95_Y-2010"/>
    <x v="0"/>
    <x v="13"/>
    <n v="1460.9770126603901"/>
    <n v="533256.60962104402"/>
    <n v="1919723.7946357599"/>
  </r>
  <r>
    <x v="0"/>
    <x v="0"/>
    <x v="0"/>
    <x v="1"/>
    <x v="2"/>
    <s v="EE_Industry"/>
    <x v="1"/>
    <s v="GNR_HS_HEAT_WTR-TANK_LS_E-95_Y-2010"/>
    <x v="0"/>
    <x v="14"/>
    <n v="1490.59638181376"/>
    <n v="544067.67936202197"/>
    <n v="1958643.6457032801"/>
  </r>
  <r>
    <x v="0"/>
    <x v="0"/>
    <x v="0"/>
    <x v="1"/>
    <x v="2"/>
    <s v="EE_Industry"/>
    <x v="1"/>
    <s v="GNR_HS_HEAT_WTR-TANK_LS_E-95_Y-2010"/>
    <x v="0"/>
    <x v="15"/>
    <n v="1519.54679179184"/>
    <n v="554634.57900402194"/>
    <n v="1996684.4844144799"/>
  </r>
  <r>
    <x v="0"/>
    <x v="0"/>
    <x v="0"/>
    <x v="1"/>
    <x v="2"/>
    <s v="EE_Industry"/>
    <x v="1"/>
    <s v="GNR_HS_HEAT_WTR-TANK_LS_E-95_Y-2010"/>
    <x v="0"/>
    <x v="4"/>
    <n v="1459.15288633521"/>
    <n v="532590.80351235101"/>
    <n v="1917326.8926444601"/>
  </r>
  <r>
    <x v="0"/>
    <x v="0"/>
    <x v="0"/>
    <x v="1"/>
    <x v="2"/>
    <s v="EE_Industry"/>
    <x v="1"/>
    <s v="GNR_HS_HEAT_WTR-TANK_LS_E-95_Y-2010"/>
    <x v="0"/>
    <x v="16"/>
    <n v="1458.86268441984"/>
    <n v="532484.87981324096"/>
    <n v="1916945.5673276701"/>
  </r>
  <r>
    <x v="0"/>
    <x v="0"/>
    <x v="0"/>
    <x v="1"/>
    <x v="2"/>
    <s v="EE_Industry"/>
    <x v="1"/>
    <s v="GNR_HS_HEAT_WTR-TANK_LS_E-95_Y-2010"/>
    <x v="0"/>
    <x v="5"/>
    <n v="1458.6139399209501"/>
    <n v="532394.08807114605"/>
    <n v="1916618.7170561301"/>
  </r>
  <r>
    <x v="0"/>
    <x v="0"/>
    <x v="0"/>
    <x v="1"/>
    <x v="2"/>
    <s v="EE_Industry"/>
    <x v="1"/>
    <s v="GNR_HS_HEAT_WTR-TANK_LS_E-95_Y-2010"/>
    <x v="0"/>
    <x v="17"/>
    <n v="1458.3859241303001"/>
    <n v="532310.862307559"/>
    <n v="1916319.1043072101"/>
  </r>
  <r>
    <x v="0"/>
    <x v="0"/>
    <x v="0"/>
    <x v="1"/>
    <x v="2"/>
    <s v="EE_Industry"/>
    <x v="1"/>
    <s v="GNR_HS_HEAT_WTR-TANK_LS_E-95_Y-2010"/>
    <x v="0"/>
    <x v="18"/>
    <n v="1518.13723963147"/>
    <n v="554120.09246548696"/>
    <n v="1994832.33287575"/>
  </r>
  <r>
    <x v="0"/>
    <x v="0"/>
    <x v="0"/>
    <x v="1"/>
    <x v="2"/>
    <s v="EE_Industry"/>
    <x v="1"/>
    <s v="GNR_HS_HEAT_WTR-TANK_LS_E-95_Y-2010"/>
    <x v="0"/>
    <x v="19"/>
    <n v="1517.8470377161"/>
    <n v="554014.16876637703"/>
    <n v="1994451.00755896"/>
  </r>
  <r>
    <x v="0"/>
    <x v="0"/>
    <x v="0"/>
    <x v="1"/>
    <x v="2"/>
    <s v="EE_Industry"/>
    <x v="1"/>
    <s v="GNR_HS_HEAT_WTR-TANK_LS_E-95_Y-2010"/>
    <x v="0"/>
    <x v="20"/>
    <n v="1517.5982932172101"/>
    <n v="553923.377024282"/>
    <n v="1994124.15728742"/>
  </r>
  <r>
    <x v="0"/>
    <x v="0"/>
    <x v="0"/>
    <x v="1"/>
    <x v="2"/>
    <s v="EE_Industry"/>
    <x v="1"/>
    <s v="GNR_HS_HEAT_WTR-TANK_LS_E-95_Y-2010"/>
    <x v="0"/>
    <x v="21"/>
    <n v="1517.34954871832"/>
    <n v="553832.58528218803"/>
    <n v="1993797.30701588"/>
  </r>
  <r>
    <x v="0"/>
    <x v="0"/>
    <x v="0"/>
    <x v="1"/>
    <x v="2"/>
    <s v="EE_Industry"/>
    <x v="1"/>
    <s v="GNR_HS_HEAT_WTR-TANK_LS_E-95_Y-2010"/>
    <x v="0"/>
    <x v="22"/>
    <n v="1517.1629903441601"/>
    <n v="553764.49147561705"/>
    <n v="1993552.1693122201"/>
  </r>
  <r>
    <x v="0"/>
    <x v="0"/>
    <x v="0"/>
    <x v="1"/>
    <x v="2"/>
    <s v="EE_Industry"/>
    <x v="1"/>
    <s v="GNR_HS_HEAT_WTR-TANK_LS_E-95_Y-2010"/>
    <x v="0"/>
    <x v="23"/>
    <n v="1517.1008042194301"/>
    <n v="553741.793540093"/>
    <n v="1993470.45674433"/>
  </r>
  <r>
    <x v="0"/>
    <x v="0"/>
    <x v="0"/>
    <x v="1"/>
    <x v="2"/>
    <s v="EE_Industry"/>
    <x v="10"/>
    <s v="IMAVERE_ST_WOOD_BP"/>
    <x v="0"/>
    <x v="1"/>
    <n v="30.000030000030002"/>
    <n v="10950.010950010999"/>
    <n v="39420.0394200394"/>
  </r>
  <r>
    <x v="0"/>
    <x v="0"/>
    <x v="0"/>
    <x v="1"/>
    <x v="2"/>
    <s v="EE_Industry"/>
    <x v="10"/>
    <s v="IMAVERE_ST_WOOD_BP"/>
    <x v="0"/>
    <x v="2"/>
    <n v="30.000030000030002"/>
    <n v="10950.010950010999"/>
    <n v="39420.0394200394"/>
  </r>
  <r>
    <x v="0"/>
    <x v="0"/>
    <x v="0"/>
    <x v="1"/>
    <x v="2"/>
    <s v="EE_Industry"/>
    <x v="10"/>
    <s v="IMAVERE_ST_WOOD_BP"/>
    <x v="0"/>
    <x v="3"/>
    <n v="30.000030000030002"/>
    <n v="10950.010950010999"/>
    <n v="39420.0394200394"/>
  </r>
  <r>
    <x v="0"/>
    <x v="0"/>
    <x v="0"/>
    <x v="1"/>
    <x v="2"/>
    <s v="EE_Industry"/>
    <x v="10"/>
    <s v="IMAVERE_ST_WOOD_BP"/>
    <x v="0"/>
    <x v="12"/>
    <n v="30.000030000030002"/>
    <n v="10950.010950010999"/>
    <n v="39420.0394200394"/>
  </r>
  <r>
    <x v="0"/>
    <x v="0"/>
    <x v="0"/>
    <x v="1"/>
    <x v="2"/>
    <s v="EE_Industry"/>
    <x v="10"/>
    <s v="IMAVERE_ST_WOOD_BP"/>
    <x v="0"/>
    <x v="13"/>
    <n v="30.000030000030002"/>
    <n v="10950.010950010999"/>
    <n v="39420.0394200394"/>
  </r>
  <r>
    <x v="0"/>
    <x v="0"/>
    <x v="0"/>
    <x v="1"/>
    <x v="2"/>
    <s v="EE_Industry"/>
    <x v="10"/>
    <s v="IMAVERE_ST_WOOD_BP"/>
    <x v="0"/>
    <x v="14"/>
    <n v="29.592999933547901"/>
    <n v="10801.444975745"/>
    <n v="38885.2019126819"/>
  </r>
  <r>
    <x v="0"/>
    <x v="0"/>
    <x v="0"/>
    <x v="1"/>
    <x v="2"/>
    <s v="EE_Industry"/>
    <x v="10"/>
    <s v="IMAVERE_ST_WOOD_BP"/>
    <x v="0"/>
    <x v="4"/>
    <n v="30.000030000030002"/>
    <n v="10950.010950010999"/>
    <n v="39420.0394200394"/>
  </r>
  <r>
    <x v="0"/>
    <x v="0"/>
    <x v="0"/>
    <x v="1"/>
    <x v="2"/>
    <s v="EE_Industry"/>
    <x v="10"/>
    <s v="IMAVERE_ST_WOOD_BP"/>
    <x v="0"/>
    <x v="16"/>
    <n v="30.000030000030002"/>
    <n v="10950.010950010999"/>
    <n v="39420.0394200394"/>
  </r>
  <r>
    <x v="0"/>
    <x v="0"/>
    <x v="0"/>
    <x v="1"/>
    <x v="2"/>
    <s v="EE_Industry"/>
    <x v="10"/>
    <s v="IMAVERE_ST_WOOD_BP"/>
    <x v="0"/>
    <x v="5"/>
    <n v="30.000030000030002"/>
    <n v="10950.010950010999"/>
    <n v="39420.0394200394"/>
  </r>
  <r>
    <x v="0"/>
    <x v="0"/>
    <x v="0"/>
    <x v="1"/>
    <x v="2"/>
    <s v="EE_Industry"/>
    <x v="10"/>
    <s v="IMAVERE_ST_WOOD_BP"/>
    <x v="0"/>
    <x v="17"/>
    <n v="30.000030000030002"/>
    <n v="10950.010950010999"/>
    <n v="39420.0394200394"/>
  </r>
  <r>
    <x v="0"/>
    <x v="0"/>
    <x v="0"/>
    <x v="1"/>
    <x v="2"/>
    <s v="EE_Industry"/>
    <x v="10"/>
    <s v="OSULA_ST_WOOD_BP"/>
    <x v="0"/>
    <x v="1"/>
    <n v="30.000030000030002"/>
    <n v="10950.010950010999"/>
    <n v="39420.0394200394"/>
  </r>
  <r>
    <x v="0"/>
    <x v="0"/>
    <x v="0"/>
    <x v="1"/>
    <x v="2"/>
    <s v="EE_Industry"/>
    <x v="10"/>
    <s v="OSULA_ST_WOOD_BP"/>
    <x v="0"/>
    <x v="2"/>
    <n v="30.000030000030002"/>
    <n v="10950.010950010999"/>
    <n v="39420.0394200394"/>
  </r>
  <r>
    <x v="0"/>
    <x v="0"/>
    <x v="0"/>
    <x v="1"/>
    <x v="2"/>
    <s v="EE_Industry"/>
    <x v="10"/>
    <s v="OSULA_ST_WOOD_BP"/>
    <x v="0"/>
    <x v="3"/>
    <n v="30.000030000030002"/>
    <n v="10950.010950010999"/>
    <n v="39420.0394200394"/>
  </r>
  <r>
    <x v="0"/>
    <x v="0"/>
    <x v="0"/>
    <x v="1"/>
    <x v="2"/>
    <s v="EE_Industry"/>
    <x v="10"/>
    <s v="OSULA_ST_WOOD_BP"/>
    <x v="0"/>
    <x v="12"/>
    <n v="30.000030000030002"/>
    <n v="10950.010950010999"/>
    <n v="39420.0394200394"/>
  </r>
  <r>
    <x v="0"/>
    <x v="0"/>
    <x v="0"/>
    <x v="1"/>
    <x v="2"/>
    <s v="EE_Industry"/>
    <x v="10"/>
    <s v="OSULA_ST_WOOD_BP"/>
    <x v="0"/>
    <x v="13"/>
    <n v="30.000030000030002"/>
    <n v="10950.010950010999"/>
    <n v="39420.0394200394"/>
  </r>
  <r>
    <x v="0"/>
    <x v="0"/>
    <x v="0"/>
    <x v="1"/>
    <x v="2"/>
    <s v="EE_Industry"/>
    <x v="10"/>
    <s v="OSULA_ST_WOOD_BP"/>
    <x v="0"/>
    <x v="4"/>
    <n v="30.000030000030002"/>
    <n v="10950.010950010999"/>
    <n v="39420.0394200394"/>
  </r>
  <r>
    <x v="0"/>
    <x v="0"/>
    <x v="0"/>
    <x v="1"/>
    <x v="2"/>
    <s v="EE_Industry"/>
    <x v="10"/>
    <s v="OSULA_ST_WOOD_BP"/>
    <x v="0"/>
    <x v="16"/>
    <n v="30.000030000030002"/>
    <n v="10950.010950010999"/>
    <n v="39420.0394200394"/>
  </r>
  <r>
    <x v="0"/>
    <x v="0"/>
    <x v="0"/>
    <x v="1"/>
    <x v="2"/>
    <s v="EE_Industry"/>
    <x v="10"/>
    <s v="OSULA_ST_WOOD_BP"/>
    <x v="0"/>
    <x v="5"/>
    <n v="30.000030000030002"/>
    <n v="10950.010950010999"/>
    <n v="39420.0394200394"/>
  </r>
  <r>
    <x v="0"/>
    <x v="0"/>
    <x v="0"/>
    <x v="1"/>
    <x v="2"/>
    <s v="EE_Industry"/>
    <x v="10"/>
    <s v="OSULA_ST_WOOD_BP"/>
    <x v="0"/>
    <x v="17"/>
    <n v="30.000030000030002"/>
    <n v="10950.010950010999"/>
    <n v="39420.0394200394"/>
  </r>
  <r>
    <x v="0"/>
    <x v="0"/>
    <x v="0"/>
    <x v="1"/>
    <x v="2"/>
    <s v="EE_Industry"/>
    <x v="8"/>
    <s v="GNR_ST_WOODWST_BP_E-53"/>
    <x v="0"/>
    <x v="6"/>
    <n v="100"/>
    <n v="36500"/>
    <n v="131400"/>
  </r>
  <r>
    <x v="0"/>
    <x v="0"/>
    <x v="0"/>
    <x v="1"/>
    <x v="2"/>
    <s v="EE_Industry"/>
    <x v="8"/>
    <s v="GNR_ST_WOODWST_BP_E-53"/>
    <x v="0"/>
    <x v="7"/>
    <n v="100"/>
    <n v="36500"/>
    <n v="131400"/>
  </r>
  <r>
    <x v="0"/>
    <x v="0"/>
    <x v="0"/>
    <x v="1"/>
    <x v="2"/>
    <s v="EE_Industry"/>
    <x v="8"/>
    <s v="GNR_ST_WOODWST_BP_E-53"/>
    <x v="0"/>
    <x v="8"/>
    <n v="100"/>
    <n v="36500"/>
    <n v="131400"/>
  </r>
  <r>
    <x v="0"/>
    <x v="0"/>
    <x v="0"/>
    <x v="1"/>
    <x v="2"/>
    <s v="EE_Industry"/>
    <x v="8"/>
    <s v="GNR_ST_WOODWST_BP_E-53"/>
    <x v="0"/>
    <x v="9"/>
    <n v="100"/>
    <n v="36500"/>
    <n v="131400"/>
  </r>
  <r>
    <x v="0"/>
    <x v="0"/>
    <x v="0"/>
    <x v="1"/>
    <x v="2"/>
    <s v="EE_Industry"/>
    <x v="8"/>
    <s v="GNR_ST_WOODWST_BP_E-53"/>
    <x v="0"/>
    <x v="10"/>
    <n v="100"/>
    <n v="36500"/>
    <n v="131400"/>
  </r>
  <r>
    <x v="0"/>
    <x v="0"/>
    <x v="0"/>
    <x v="1"/>
    <x v="2"/>
    <s v="EE_Industry"/>
    <x v="8"/>
    <s v="GNR_ST_WOODWST_BP_E-53"/>
    <x v="0"/>
    <x v="11"/>
    <n v="100"/>
    <n v="36500"/>
    <n v="131400"/>
  </r>
  <r>
    <x v="0"/>
    <x v="0"/>
    <x v="0"/>
    <x v="1"/>
    <x v="2"/>
    <s v="EE_Industry"/>
    <x v="8"/>
    <s v="GNR_ST_WOODWST_BP_E-53"/>
    <x v="0"/>
    <x v="0"/>
    <n v="100"/>
    <n v="36500"/>
    <n v="131400"/>
  </r>
  <r>
    <x v="0"/>
    <x v="0"/>
    <x v="0"/>
    <x v="1"/>
    <x v="2"/>
    <s v="EE_Industry"/>
    <x v="8"/>
    <s v="GNR_ST_WOODWST_BP_E-53"/>
    <x v="0"/>
    <x v="1"/>
    <n v="100"/>
    <n v="36500"/>
    <n v="131400"/>
  </r>
  <r>
    <x v="0"/>
    <x v="0"/>
    <x v="0"/>
    <x v="1"/>
    <x v="2"/>
    <s v="EE_Industry"/>
    <x v="8"/>
    <s v="GNR_ST_WOODWST_BP_E-53"/>
    <x v="0"/>
    <x v="2"/>
    <n v="100"/>
    <n v="36500"/>
    <n v="131400"/>
  </r>
  <r>
    <x v="0"/>
    <x v="0"/>
    <x v="0"/>
    <x v="1"/>
    <x v="2"/>
    <s v="EE_Industry"/>
    <x v="8"/>
    <s v="GNR_ST_WOODWST_BP_E-53"/>
    <x v="0"/>
    <x v="3"/>
    <n v="100"/>
    <n v="36500"/>
    <n v="131400"/>
  </r>
  <r>
    <x v="0"/>
    <x v="0"/>
    <x v="0"/>
    <x v="1"/>
    <x v="2"/>
    <s v="EE_Industry"/>
    <x v="8"/>
    <s v="GNR_ST_WOODWST_BP_E-53"/>
    <x v="0"/>
    <x v="12"/>
    <n v="100"/>
    <n v="36500"/>
    <n v="131400"/>
  </r>
  <r>
    <x v="0"/>
    <x v="0"/>
    <x v="0"/>
    <x v="1"/>
    <x v="2"/>
    <s v="EE_Industry"/>
    <x v="8"/>
    <s v="GNR_ST_WOODWST_BP_E-53"/>
    <x v="0"/>
    <x v="13"/>
    <n v="100"/>
    <n v="36500"/>
    <n v="131400"/>
  </r>
  <r>
    <x v="0"/>
    <x v="0"/>
    <x v="0"/>
    <x v="1"/>
    <x v="2"/>
    <s v="EE_Industry"/>
    <x v="8"/>
    <s v="GNR_ST_WOODWST_BP_E-53"/>
    <x v="0"/>
    <x v="14"/>
    <n v="100"/>
    <n v="36500"/>
    <n v="131400"/>
  </r>
  <r>
    <x v="0"/>
    <x v="0"/>
    <x v="0"/>
    <x v="1"/>
    <x v="2"/>
    <s v="EE_Industry"/>
    <x v="8"/>
    <s v="GNR_ST_WOODWST_BP_E-53"/>
    <x v="0"/>
    <x v="15"/>
    <n v="100"/>
    <n v="36500"/>
    <n v="131400"/>
  </r>
  <r>
    <x v="0"/>
    <x v="0"/>
    <x v="0"/>
    <x v="1"/>
    <x v="2"/>
    <s v="EE_Industry"/>
    <x v="8"/>
    <s v="GNR_ST_WOODWST_BP_E-53"/>
    <x v="0"/>
    <x v="4"/>
    <n v="100"/>
    <n v="36500"/>
    <n v="131400"/>
  </r>
  <r>
    <x v="0"/>
    <x v="0"/>
    <x v="0"/>
    <x v="1"/>
    <x v="2"/>
    <s v="EE_Industry"/>
    <x v="8"/>
    <s v="GNR_ST_WOODWST_BP_E-53"/>
    <x v="0"/>
    <x v="16"/>
    <n v="100"/>
    <n v="36500"/>
    <n v="131400"/>
  </r>
  <r>
    <x v="0"/>
    <x v="0"/>
    <x v="0"/>
    <x v="1"/>
    <x v="2"/>
    <s v="EE_Industry"/>
    <x v="8"/>
    <s v="GNR_ST_WOODWST_BP_E-53"/>
    <x v="0"/>
    <x v="5"/>
    <n v="100"/>
    <n v="36500"/>
    <n v="131400"/>
  </r>
  <r>
    <x v="0"/>
    <x v="0"/>
    <x v="0"/>
    <x v="1"/>
    <x v="2"/>
    <s v="EE_Industry"/>
    <x v="8"/>
    <s v="GNR_ST_WOODWST_BP_E-53"/>
    <x v="0"/>
    <x v="17"/>
    <n v="100"/>
    <n v="36500"/>
    <n v="131400"/>
  </r>
  <r>
    <x v="0"/>
    <x v="0"/>
    <x v="0"/>
    <x v="1"/>
    <x v="2"/>
    <s v="EE_Industry"/>
    <x v="8"/>
    <s v="GNR_ST_WOODWST_BP_E-53"/>
    <x v="0"/>
    <x v="18"/>
    <n v="100"/>
    <n v="36500"/>
    <n v="131400"/>
  </r>
  <r>
    <x v="0"/>
    <x v="0"/>
    <x v="0"/>
    <x v="1"/>
    <x v="2"/>
    <s v="EE_Industry"/>
    <x v="8"/>
    <s v="GNR_ST_WOODWST_BP_E-53"/>
    <x v="0"/>
    <x v="19"/>
    <n v="100"/>
    <n v="36500"/>
    <n v="131400"/>
  </r>
  <r>
    <x v="0"/>
    <x v="0"/>
    <x v="0"/>
    <x v="1"/>
    <x v="2"/>
    <s v="EE_Industry"/>
    <x v="8"/>
    <s v="GNR_ST_WOODWST_BP_E-53"/>
    <x v="0"/>
    <x v="20"/>
    <n v="100"/>
    <n v="36500"/>
    <n v="131400"/>
  </r>
  <r>
    <x v="0"/>
    <x v="0"/>
    <x v="0"/>
    <x v="1"/>
    <x v="2"/>
    <s v="EE_Industry"/>
    <x v="8"/>
    <s v="GNR_ST_WOODWST_BP_E-53"/>
    <x v="0"/>
    <x v="21"/>
    <n v="100"/>
    <n v="36500"/>
    <n v="131400"/>
  </r>
  <r>
    <x v="0"/>
    <x v="0"/>
    <x v="0"/>
    <x v="1"/>
    <x v="2"/>
    <s v="EE_Industry"/>
    <x v="8"/>
    <s v="GNR_ST_WOODWST_BP_E-53"/>
    <x v="0"/>
    <x v="22"/>
    <n v="100"/>
    <n v="36500"/>
    <n v="131400"/>
  </r>
  <r>
    <x v="0"/>
    <x v="0"/>
    <x v="0"/>
    <x v="1"/>
    <x v="2"/>
    <s v="EE_Industry"/>
    <x v="8"/>
    <s v="GNR_ST_WOODWST_BP_E-53"/>
    <x v="0"/>
    <x v="23"/>
    <n v="100"/>
    <n v="36500"/>
    <n v="131400"/>
  </r>
  <r>
    <x v="0"/>
    <x v="0"/>
    <x v="0"/>
    <x v="1"/>
    <x v="2"/>
    <s v="EE_Kohtla_Jarve"/>
    <x v="3"/>
    <s v="GNR_BO_NGAS_HO_E-85"/>
    <x v="0"/>
    <x v="6"/>
    <n v="26.6952663171175"/>
    <n v="9743.7722057478804"/>
    <n v="35077.579940692398"/>
  </r>
  <r>
    <x v="0"/>
    <x v="0"/>
    <x v="0"/>
    <x v="1"/>
    <x v="2"/>
    <s v="EE_Kohtla_Jarve"/>
    <x v="3"/>
    <s v="GNR_BO_NGAS_HO_E-85"/>
    <x v="0"/>
    <x v="7"/>
    <n v="26.977634851053299"/>
    <n v="9846.8367206344592"/>
    <n v="35448.612194284098"/>
  </r>
  <r>
    <x v="0"/>
    <x v="0"/>
    <x v="0"/>
    <x v="1"/>
    <x v="2"/>
    <s v="EE_Kohtla_Jarve"/>
    <x v="3"/>
    <s v="GNR_BO_NGAS_HO_E-85"/>
    <x v="0"/>
    <x v="8"/>
    <n v="27.065875017908301"/>
    <n v="9879.0443815365197"/>
    <n v="35564.559773531502"/>
  </r>
  <r>
    <x v="0"/>
    <x v="0"/>
    <x v="0"/>
    <x v="1"/>
    <x v="2"/>
    <s v="EE_Kohtla_Jarve"/>
    <x v="3"/>
    <s v="GNR_BO_NGAS_HO_E-85"/>
    <x v="0"/>
    <x v="9"/>
    <n v="26.801154517343399"/>
    <n v="9782.4213988303309"/>
    <n v="35216.717035789203"/>
  </r>
  <r>
    <x v="0"/>
    <x v="0"/>
    <x v="0"/>
    <x v="1"/>
    <x v="2"/>
    <s v="EE_Kohtla_Jarve"/>
    <x v="3"/>
    <s v="GNR_BO_NGAS_HO_E-85"/>
    <x v="0"/>
    <x v="10"/>
    <n v="26.218769416100699"/>
    <n v="9569.8508368767598"/>
    <n v="34451.4630127563"/>
  </r>
  <r>
    <x v="0"/>
    <x v="0"/>
    <x v="0"/>
    <x v="1"/>
    <x v="2"/>
    <s v="EE_Kohtla_Jarve"/>
    <x v="3"/>
    <s v="GNR_BO_NGAS_HO_E-85"/>
    <x v="0"/>
    <x v="11"/>
    <n v="25.3716638142932"/>
    <n v="9260.6572922170199"/>
    <n v="33338.366251981301"/>
  </r>
  <r>
    <x v="0"/>
    <x v="0"/>
    <x v="0"/>
    <x v="1"/>
    <x v="2"/>
    <s v="EE_Kohtla_Jarve"/>
    <x v="3"/>
    <s v="GNR_BO_NGAS_HO_E-85"/>
    <x v="0"/>
    <x v="0"/>
    <n v="24.295133778662802"/>
    <n v="8867.7238292119291"/>
    <n v="31923.805785162898"/>
  </r>
  <r>
    <x v="0"/>
    <x v="0"/>
    <x v="0"/>
    <x v="1"/>
    <x v="2"/>
    <s v="EE_Kohtla_Jarve"/>
    <x v="3"/>
    <s v="GNR_BO_NGAS_HO_E-85"/>
    <x v="0"/>
    <x v="1"/>
    <n v="22.971531275838501"/>
    <n v="8384.6089156810594"/>
    <n v="30184.592096451801"/>
  </r>
  <r>
    <x v="0"/>
    <x v="0"/>
    <x v="0"/>
    <x v="1"/>
    <x v="2"/>
    <s v="EE_Kohtla_Jarve"/>
    <x v="3"/>
    <s v="GNR_BO_NGAS_HO_E-85"/>
    <x v="0"/>
    <x v="2"/>
    <n v="21.8244091067242"/>
    <n v="7965.9093239543299"/>
    <n v="28677.273566235599"/>
  </r>
  <r>
    <x v="0"/>
    <x v="0"/>
    <x v="0"/>
    <x v="1"/>
    <x v="2"/>
    <s v="EE_Kohtla_Jarve"/>
    <x v="3"/>
    <s v="GNR_BO_NGAS_HO_E-85"/>
    <x v="0"/>
    <x v="3"/>
    <n v="20.783175137835698"/>
    <n v="7585.8589253100399"/>
    <n v="27309.092131116198"/>
  </r>
  <r>
    <x v="0"/>
    <x v="0"/>
    <x v="0"/>
    <x v="1"/>
    <x v="2"/>
    <s v="EE_Kohtla_Jarve"/>
    <x v="3"/>
    <s v="GNR_BO_NGAS_HO_E-85"/>
    <x v="0"/>
    <x v="12"/>
    <n v="19.847829369173301"/>
    <n v="7244.4577197482404"/>
    <n v="26080.047791093701"/>
  </r>
  <r>
    <x v="0"/>
    <x v="0"/>
    <x v="0"/>
    <x v="1"/>
    <x v="2"/>
    <s v="EE_Kohtla_Jarve"/>
    <x v="3"/>
    <s v="GNR_BO_NGAS_HO_E-85"/>
    <x v="0"/>
    <x v="13"/>
    <n v="19.071315900849701"/>
    <n v="6961.0303038101501"/>
    <n v="25059.709093716501"/>
  </r>
  <r>
    <x v="0"/>
    <x v="0"/>
    <x v="0"/>
    <x v="1"/>
    <x v="2"/>
    <s v="EE_Kohtla_Jarve"/>
    <x v="3"/>
    <s v="GNR_BO_NGAS_HO_E-85"/>
    <x v="0"/>
    <x v="14"/>
    <n v="18.400690632752099"/>
    <n v="6716.2520809545103"/>
    <n v="24178.507491436201"/>
  </r>
  <r>
    <x v="0"/>
    <x v="0"/>
    <x v="0"/>
    <x v="1"/>
    <x v="2"/>
    <s v="EE_Kohtla_Jarve"/>
    <x v="3"/>
    <s v="GNR_BO_NGAS_HO_E-85"/>
    <x v="0"/>
    <x v="15"/>
    <n v="17.853601598251402"/>
    <n v="6516.56458336176"/>
    <n v="23459.632500102402"/>
  </r>
  <r>
    <x v="0"/>
    <x v="0"/>
    <x v="0"/>
    <x v="1"/>
    <x v="2"/>
    <s v="EE_Kohtla_Jarve"/>
    <x v="3"/>
    <s v="GNR_BO_NGAS_HO_E-85"/>
    <x v="0"/>
    <x v="4"/>
    <n v="17.518288964202601"/>
    <n v="6394.1754719339297"/>
    <n v="23019.031698962201"/>
  </r>
  <r>
    <x v="0"/>
    <x v="0"/>
    <x v="0"/>
    <x v="1"/>
    <x v="2"/>
    <s v="EE_Kohtla_Jarve"/>
    <x v="3"/>
    <s v="GNR_BO_NGAS_HO_E-85"/>
    <x v="0"/>
    <x v="16"/>
    <n v="17.271216497008702"/>
    <n v="6303.9940214081898"/>
    <n v="22694.378477069498"/>
  </r>
  <r>
    <x v="0"/>
    <x v="0"/>
    <x v="0"/>
    <x v="1"/>
    <x v="2"/>
    <s v="EE_Kohtla_Jarve"/>
    <x v="3"/>
    <s v="GNR_BO_NGAS_HO_E-85"/>
    <x v="0"/>
    <x v="5"/>
    <n v="17.059440096556798"/>
    <n v="6226.6956352432298"/>
    <n v="22416.104286875601"/>
  </r>
  <r>
    <x v="0"/>
    <x v="0"/>
    <x v="0"/>
    <x v="1"/>
    <x v="2"/>
    <s v="EE_Kohtla_Jarve"/>
    <x v="3"/>
    <s v="GNR_BO_NGAS_HO_E-85"/>
    <x v="0"/>
    <x v="17"/>
    <n v="16.865311729475899"/>
    <n v="6155.8387812587098"/>
    <n v="22161.019612531301"/>
  </r>
  <r>
    <x v="0"/>
    <x v="0"/>
    <x v="0"/>
    <x v="1"/>
    <x v="2"/>
    <s v="EE_Kohtla_Jarve"/>
    <x v="3"/>
    <s v="GNR_BO_NGAS_HO_E-85"/>
    <x v="0"/>
    <x v="18"/>
    <n v="16.653535329023999"/>
    <n v="6078.5403950937798"/>
    <n v="21882.745422337601"/>
  </r>
  <r>
    <x v="0"/>
    <x v="0"/>
    <x v="0"/>
    <x v="1"/>
    <x v="2"/>
    <s v="EE_Kohtla_Jarve"/>
    <x v="3"/>
    <s v="GNR_BO_NGAS_HO_E-85"/>
    <x v="0"/>
    <x v="19"/>
    <n v="16.4064628618302"/>
    <n v="5988.35894456803"/>
    <n v="21558.092200444898"/>
  </r>
  <r>
    <x v="0"/>
    <x v="0"/>
    <x v="0"/>
    <x v="1"/>
    <x v="2"/>
    <s v="EE_Kohtla_Jarve"/>
    <x v="3"/>
    <s v="GNR_BO_NGAS_HO_E-85"/>
    <x v="0"/>
    <x v="20"/>
    <n v="16.1946864613783"/>
    <n v="5911.06055840307"/>
    <n v="21279.818010251001"/>
  </r>
  <r>
    <x v="0"/>
    <x v="0"/>
    <x v="0"/>
    <x v="1"/>
    <x v="2"/>
    <s v="EE_Kohtla_Jarve"/>
    <x v="3"/>
    <s v="GNR_BO_NGAS_HO_E-85"/>
    <x v="0"/>
    <x v="21"/>
    <n v="15.9829100609264"/>
    <n v="5833.76217223814"/>
    <n v="21001.543820057301"/>
  </r>
  <r>
    <x v="0"/>
    <x v="0"/>
    <x v="0"/>
    <x v="1"/>
    <x v="2"/>
    <s v="EE_Kohtla_Jarve"/>
    <x v="3"/>
    <s v="GNR_BO_NGAS_HO_E-85"/>
    <x v="0"/>
    <x v="22"/>
    <n v="15.8240777605875"/>
    <n v="5775.7883826144498"/>
    <n v="20792.838177411999"/>
  </r>
  <r>
    <x v="0"/>
    <x v="0"/>
    <x v="0"/>
    <x v="1"/>
    <x v="2"/>
    <s v="EE_Kohtla_Jarve"/>
    <x v="3"/>
    <s v="GNR_BO_NGAS_HO_E-85"/>
    <x v="0"/>
    <x v="23"/>
    <n v="15.771133660474501"/>
    <n v="5756.4637860732"/>
    <n v="20723.269629863498"/>
  </r>
  <r>
    <x v="0"/>
    <x v="0"/>
    <x v="0"/>
    <x v="1"/>
    <x v="2"/>
    <s v="EE_Kohtla_Jarve"/>
    <x v="3"/>
    <s v="GNR_ENG_NGAS_EXT_E-44"/>
    <x v="0"/>
    <x v="6"/>
    <n v="17.7777777777778"/>
    <n v="6488.8888888888896"/>
    <n v="23360"/>
  </r>
  <r>
    <x v="0"/>
    <x v="0"/>
    <x v="0"/>
    <x v="1"/>
    <x v="2"/>
    <s v="EE_Kohtla_Jarve"/>
    <x v="3"/>
    <s v="GNR_ENG_NGAS_EXT_E-44"/>
    <x v="0"/>
    <x v="7"/>
    <n v="17.7777777777778"/>
    <n v="6488.8888888888896"/>
    <n v="23360"/>
  </r>
  <r>
    <x v="0"/>
    <x v="0"/>
    <x v="0"/>
    <x v="1"/>
    <x v="2"/>
    <s v="EE_Kohtla_Jarve"/>
    <x v="3"/>
    <s v="GNR_ENG_NGAS_EXT_E-44"/>
    <x v="0"/>
    <x v="8"/>
    <n v="17.7777777777778"/>
    <n v="6488.8888888888896"/>
    <n v="23360"/>
  </r>
  <r>
    <x v="0"/>
    <x v="0"/>
    <x v="0"/>
    <x v="1"/>
    <x v="2"/>
    <s v="EE_Kohtla_Jarve"/>
    <x v="3"/>
    <s v="GNR_ENG_NGAS_EXT_E-44"/>
    <x v="0"/>
    <x v="9"/>
    <n v="17.7777777777778"/>
    <n v="6488.8888888888896"/>
    <n v="23360"/>
  </r>
  <r>
    <x v="0"/>
    <x v="0"/>
    <x v="0"/>
    <x v="1"/>
    <x v="2"/>
    <s v="EE_Kohtla_Jarve"/>
    <x v="3"/>
    <s v="GNR_ENG_NGAS_EXT_E-44"/>
    <x v="0"/>
    <x v="10"/>
    <n v="17.7777777777778"/>
    <n v="6488.8888888888896"/>
    <n v="23360"/>
  </r>
  <r>
    <x v="0"/>
    <x v="0"/>
    <x v="0"/>
    <x v="1"/>
    <x v="2"/>
    <s v="EE_Kohtla_Jarve"/>
    <x v="3"/>
    <s v="GNR_ENG_NGAS_EXT_E-44"/>
    <x v="0"/>
    <x v="11"/>
    <n v="17.7777777777778"/>
    <n v="6488.8888888888896"/>
    <n v="23360"/>
  </r>
  <r>
    <x v="0"/>
    <x v="0"/>
    <x v="0"/>
    <x v="1"/>
    <x v="2"/>
    <s v="EE_Kohtla_Jarve"/>
    <x v="3"/>
    <s v="GNR_ENG_NGAS_EXT_E-44"/>
    <x v="0"/>
    <x v="0"/>
    <n v="17.7777777777778"/>
    <n v="6488.8888888888896"/>
    <n v="23360"/>
  </r>
  <r>
    <x v="0"/>
    <x v="0"/>
    <x v="0"/>
    <x v="1"/>
    <x v="2"/>
    <s v="EE_Kohtla_Jarve"/>
    <x v="3"/>
    <s v="GNR_ENG_NGAS_EXT_E-44"/>
    <x v="0"/>
    <x v="1"/>
    <n v="17.7777777777778"/>
    <n v="6488.8888888888896"/>
    <n v="23360"/>
  </r>
  <r>
    <x v="0"/>
    <x v="0"/>
    <x v="0"/>
    <x v="1"/>
    <x v="2"/>
    <s v="EE_Kohtla_Jarve"/>
    <x v="3"/>
    <s v="GNR_ENG_NGAS_EXT_E-44"/>
    <x v="0"/>
    <x v="2"/>
    <n v="17.7777777777778"/>
    <n v="6488.8888888888896"/>
    <n v="23360"/>
  </r>
  <r>
    <x v="0"/>
    <x v="0"/>
    <x v="0"/>
    <x v="1"/>
    <x v="2"/>
    <s v="EE_Kohtla_Jarve"/>
    <x v="3"/>
    <s v="GNR_ENG_NGAS_EXT_E-44"/>
    <x v="0"/>
    <x v="3"/>
    <n v="17.7777777777778"/>
    <n v="6488.8888888888896"/>
    <n v="23360"/>
  </r>
  <r>
    <x v="0"/>
    <x v="0"/>
    <x v="0"/>
    <x v="1"/>
    <x v="2"/>
    <s v="EE_Kohtla_Jarve"/>
    <x v="3"/>
    <s v="GNR_ENG_NGAS_EXT_E-44"/>
    <x v="0"/>
    <x v="12"/>
    <n v="17.7777777777778"/>
    <n v="6488.8888888888896"/>
    <n v="23360"/>
  </r>
  <r>
    <x v="0"/>
    <x v="0"/>
    <x v="0"/>
    <x v="1"/>
    <x v="2"/>
    <s v="EE_Kohtla_Jarve"/>
    <x v="3"/>
    <s v="GNR_ENG_NGAS_EXT_E-44"/>
    <x v="0"/>
    <x v="13"/>
    <n v="17.7777777777778"/>
    <n v="6488.8888888888896"/>
    <n v="23360"/>
  </r>
  <r>
    <x v="0"/>
    <x v="0"/>
    <x v="0"/>
    <x v="1"/>
    <x v="2"/>
    <s v="EE_Kohtla_Jarve"/>
    <x v="3"/>
    <s v="GNR_ENG_NGAS_EXT_E-44"/>
    <x v="0"/>
    <x v="14"/>
    <n v="17.7777777777778"/>
    <n v="6488.8888888888896"/>
    <n v="23360"/>
  </r>
  <r>
    <x v="0"/>
    <x v="0"/>
    <x v="0"/>
    <x v="1"/>
    <x v="2"/>
    <s v="EE_Kohtla_Jarve"/>
    <x v="3"/>
    <s v="GNR_ENG_NGAS_EXT_E-44"/>
    <x v="0"/>
    <x v="15"/>
    <n v="17.7777777777778"/>
    <n v="6488.8888888888896"/>
    <n v="23360"/>
  </r>
  <r>
    <x v="0"/>
    <x v="0"/>
    <x v="0"/>
    <x v="1"/>
    <x v="2"/>
    <s v="EE_Kohtla_Jarve"/>
    <x v="3"/>
    <s v="GNR_ENG_NGAS_EXT_E-44"/>
    <x v="0"/>
    <x v="4"/>
    <n v="17.7777777777778"/>
    <n v="6488.8888888888896"/>
    <n v="23360"/>
  </r>
  <r>
    <x v="0"/>
    <x v="0"/>
    <x v="0"/>
    <x v="1"/>
    <x v="2"/>
    <s v="EE_Kohtla_Jarve"/>
    <x v="3"/>
    <s v="GNR_ENG_NGAS_EXT_E-44"/>
    <x v="0"/>
    <x v="16"/>
    <n v="17.7777777777778"/>
    <n v="6488.8888888888896"/>
    <n v="23360"/>
  </r>
  <r>
    <x v="0"/>
    <x v="0"/>
    <x v="0"/>
    <x v="1"/>
    <x v="2"/>
    <s v="EE_Kohtla_Jarve"/>
    <x v="3"/>
    <s v="GNR_ENG_NGAS_EXT_E-44"/>
    <x v="0"/>
    <x v="5"/>
    <n v="17.7777777777778"/>
    <n v="6488.8888888888896"/>
    <n v="23360"/>
  </r>
  <r>
    <x v="0"/>
    <x v="0"/>
    <x v="0"/>
    <x v="1"/>
    <x v="2"/>
    <s v="EE_Kohtla_Jarve"/>
    <x v="3"/>
    <s v="GNR_ENG_NGAS_EXT_E-44"/>
    <x v="0"/>
    <x v="17"/>
    <n v="17.7777777777778"/>
    <n v="6488.8888888888896"/>
    <n v="23360"/>
  </r>
  <r>
    <x v="0"/>
    <x v="0"/>
    <x v="0"/>
    <x v="1"/>
    <x v="2"/>
    <s v="EE_Kohtla_Jarve"/>
    <x v="3"/>
    <s v="GNR_ENG_NGAS_EXT_E-44"/>
    <x v="0"/>
    <x v="18"/>
    <n v="17.7777777777778"/>
    <n v="6488.8888888888896"/>
    <n v="23360"/>
  </r>
  <r>
    <x v="0"/>
    <x v="0"/>
    <x v="0"/>
    <x v="1"/>
    <x v="2"/>
    <s v="EE_Kohtla_Jarve"/>
    <x v="3"/>
    <s v="GNR_ENG_NGAS_EXT_E-44"/>
    <x v="0"/>
    <x v="19"/>
    <n v="17.7777777777778"/>
    <n v="6488.8888888888896"/>
    <n v="23360"/>
  </r>
  <r>
    <x v="0"/>
    <x v="0"/>
    <x v="0"/>
    <x v="1"/>
    <x v="2"/>
    <s v="EE_Kohtla_Jarve"/>
    <x v="3"/>
    <s v="GNR_ENG_NGAS_EXT_E-44"/>
    <x v="0"/>
    <x v="20"/>
    <n v="17.7777777777778"/>
    <n v="6488.8888888888896"/>
    <n v="23360"/>
  </r>
  <r>
    <x v="0"/>
    <x v="0"/>
    <x v="0"/>
    <x v="1"/>
    <x v="2"/>
    <s v="EE_Kohtla_Jarve"/>
    <x v="3"/>
    <s v="GNR_ENG_NGAS_EXT_E-44"/>
    <x v="0"/>
    <x v="21"/>
    <n v="17.7777777777778"/>
    <n v="6488.8888888888896"/>
    <n v="23360"/>
  </r>
  <r>
    <x v="0"/>
    <x v="0"/>
    <x v="0"/>
    <x v="1"/>
    <x v="2"/>
    <s v="EE_Kohtla_Jarve"/>
    <x v="3"/>
    <s v="GNR_ENG_NGAS_EXT_E-44"/>
    <x v="0"/>
    <x v="22"/>
    <n v="17.7777777777778"/>
    <n v="6488.8888888888896"/>
    <n v="23360"/>
  </r>
  <r>
    <x v="0"/>
    <x v="0"/>
    <x v="0"/>
    <x v="1"/>
    <x v="2"/>
    <s v="EE_Kohtla_Jarve"/>
    <x v="3"/>
    <s v="GNR_ENG_NGAS_EXT_E-44"/>
    <x v="0"/>
    <x v="23"/>
    <n v="17.7777777777778"/>
    <n v="6488.8888888888896"/>
    <n v="23360"/>
  </r>
  <r>
    <x v="0"/>
    <x v="0"/>
    <x v="0"/>
    <x v="1"/>
    <x v="2"/>
    <s v="EE_Narva"/>
    <x v="11"/>
    <s v="GNR_BO_FUELOIL_HO_E-85"/>
    <x v="0"/>
    <x v="8"/>
    <n v="51.498862152450897"/>
    <n v="18797.084685644601"/>
    <n v="67669.504868320495"/>
  </r>
  <r>
    <x v="0"/>
    <x v="0"/>
    <x v="0"/>
    <x v="1"/>
    <x v="2"/>
    <s v="EE_Narva"/>
    <x v="11"/>
    <s v="GNR_BO_FUELOIL_HO_E-85"/>
    <x v="0"/>
    <x v="9"/>
    <n v="57.16"/>
    <n v="20863.400000000001"/>
    <n v="75108.240000000005"/>
  </r>
  <r>
    <x v="0"/>
    <x v="0"/>
    <x v="0"/>
    <x v="1"/>
    <x v="2"/>
    <s v="EE_Narva"/>
    <x v="11"/>
    <s v="GNR_BO_FUELOIL_HO_E-85"/>
    <x v="0"/>
    <x v="11"/>
    <n v="57.16"/>
    <n v="20863.400000000001"/>
    <n v="75108.240000000005"/>
  </r>
  <r>
    <x v="0"/>
    <x v="0"/>
    <x v="0"/>
    <x v="1"/>
    <x v="2"/>
    <s v="EE_Narva"/>
    <x v="11"/>
    <s v="GNR_BO_FUELOIL_HO_E-85"/>
    <x v="0"/>
    <x v="0"/>
    <n v="57.16"/>
    <n v="20863.400000000001"/>
    <n v="75108.240000000005"/>
  </r>
  <r>
    <x v="0"/>
    <x v="0"/>
    <x v="0"/>
    <x v="1"/>
    <x v="2"/>
    <s v="EE_Narva"/>
    <x v="1"/>
    <s v="GNR_HS_HEAT_WTR-TANK_LS_E-95_Y-2010"/>
    <x v="0"/>
    <x v="6"/>
    <n v="65.8955151667423"/>
    <n v="24051.863035860901"/>
    <n v="86586.706929099397"/>
  </r>
  <r>
    <x v="0"/>
    <x v="0"/>
    <x v="0"/>
    <x v="1"/>
    <x v="2"/>
    <s v="EE_Narva"/>
    <x v="1"/>
    <s v="GNR_HS_HEAT_WTR-TANK_LS_E-95_Y-2010"/>
    <x v="0"/>
    <x v="7"/>
    <n v="66.313899390023295"/>
    <n v="24204.5732773585"/>
    <n v="87136.4637984906"/>
  </r>
  <r>
    <x v="0"/>
    <x v="0"/>
    <x v="0"/>
    <x v="1"/>
    <x v="2"/>
    <s v="EE_Narva"/>
    <x v="1"/>
    <s v="GNR_HS_HEAT_WTR-TANK_LS_E-95_Y-2010"/>
    <x v="0"/>
    <x v="8"/>
    <n v="14.945782307347701"/>
    <n v="5455.2105421818897"/>
    <n v="19638.757951854801"/>
  </r>
  <r>
    <x v="0"/>
    <x v="0"/>
    <x v="0"/>
    <x v="1"/>
    <x v="2"/>
    <s v="EE_Narva"/>
    <x v="1"/>
    <s v="GNR_HS_HEAT_WTR-TANK_LS_E-95_Y-2010"/>
    <x v="0"/>
    <x v="9"/>
    <n v="8.8924092504726993"/>
    <n v="3245.7293764225301"/>
    <n v="11684.6257551211"/>
  </r>
  <r>
    <x v="0"/>
    <x v="0"/>
    <x v="0"/>
    <x v="1"/>
    <x v="2"/>
    <s v="EE_Narva"/>
    <x v="1"/>
    <s v="GNR_HS_HEAT_WTR-TANK_LS_E-95_Y-2010"/>
    <x v="0"/>
    <x v="10"/>
    <n v="65.189491789955795"/>
    <n v="23794.164503333901"/>
    <n v="85658.992212002006"/>
  </r>
  <r>
    <x v="0"/>
    <x v="0"/>
    <x v="0"/>
    <x v="1"/>
    <x v="2"/>
    <s v="EE_Narva"/>
    <x v="1"/>
    <s v="GNR_HS_HEAT_WTR-TANK_LS_E-95_Y-2010"/>
    <x v="0"/>
    <x v="11"/>
    <n v="6.7743391201131198"/>
    <n v="2472.6337788412902"/>
    <n v="8901.4816038286408"/>
  </r>
  <r>
    <x v="0"/>
    <x v="0"/>
    <x v="0"/>
    <x v="1"/>
    <x v="2"/>
    <s v="EE_Narva"/>
    <x v="1"/>
    <s v="GNR_HS_HEAT_WTR-TANK_LS_E-95_Y-2010"/>
    <x v="0"/>
    <x v="0"/>
    <n v="5.1792492688546696"/>
    <n v="1890.42598313195"/>
    <n v="6805.5335392750303"/>
  </r>
  <r>
    <x v="0"/>
    <x v="0"/>
    <x v="0"/>
    <x v="1"/>
    <x v="2"/>
    <s v="EE_Narva"/>
    <x v="1"/>
    <s v="GNR_HS_HEAT_WTR-TANK_LS_E-95_Y-2010"/>
    <x v="0"/>
    <x v="15"/>
    <n v="52.794859175258999"/>
    <n v="19270.123598969501"/>
    <n v="69372.444956290303"/>
  </r>
  <r>
    <x v="0"/>
    <x v="0"/>
    <x v="0"/>
    <x v="1"/>
    <x v="2"/>
    <s v="EE_Narva"/>
    <x v="1"/>
    <s v="GNR_HS_HEAT_WTR-TANK_LS_E-95_Y-2010"/>
    <x v="0"/>
    <x v="19"/>
    <n v="50.650640030944402"/>
    <n v="18487.483611294701"/>
    <n v="66554.941000660896"/>
  </r>
  <r>
    <x v="0"/>
    <x v="0"/>
    <x v="0"/>
    <x v="1"/>
    <x v="2"/>
    <s v="EE_Narva"/>
    <x v="1"/>
    <s v="GNR_HS_HEAT_WTR-TANK_LS_E-95_Y-2010"/>
    <x v="0"/>
    <x v="20"/>
    <n v="50.336851863483801"/>
    <n v="18372.950930171599"/>
    <n v="66142.623348617693"/>
  </r>
  <r>
    <x v="0"/>
    <x v="0"/>
    <x v="0"/>
    <x v="1"/>
    <x v="2"/>
    <s v="EE_Narva"/>
    <x v="1"/>
    <s v="GNR_HS_HEAT_WTR-TANK_LS_E-95_Y-2010"/>
    <x v="0"/>
    <x v="21"/>
    <n v="50.023063696023101"/>
    <n v="18258.418249048402"/>
    <n v="65730.305696574302"/>
  </r>
  <r>
    <x v="0"/>
    <x v="0"/>
    <x v="0"/>
    <x v="1"/>
    <x v="2"/>
    <s v="EE_Narva"/>
    <x v="1"/>
    <s v="GNR_HS_HEAT_WTR-TANK_LS_E-95_Y-2010"/>
    <x v="0"/>
    <x v="22"/>
    <n v="49.787722570427498"/>
    <n v="18172.518738206101"/>
    <n v="65421.067457541802"/>
  </r>
  <r>
    <x v="0"/>
    <x v="0"/>
    <x v="0"/>
    <x v="1"/>
    <x v="2"/>
    <s v="EE_Narva"/>
    <x v="1"/>
    <s v="GNR_HS_HEAT_WTR-TANK_LS_E-95_Y-2010"/>
    <x v="0"/>
    <x v="23"/>
    <n v="49.709275528562401"/>
    <n v="18143.885567925299"/>
    <n v="65317.988044530997"/>
  </r>
  <r>
    <x v="0"/>
    <x v="0"/>
    <x v="0"/>
    <x v="1"/>
    <x v="2"/>
    <s v="EE_Narva"/>
    <x v="12"/>
    <s v="NARVA-11_ST_SHALE_EXT"/>
    <x v="0"/>
    <x v="1"/>
    <n v="179.89525975571399"/>
    <n v="65661.769810835496"/>
    <n v="236382.371319008"/>
  </r>
  <r>
    <x v="0"/>
    <x v="0"/>
    <x v="0"/>
    <x v="1"/>
    <x v="2"/>
    <s v="EE_Narva"/>
    <x v="12"/>
    <s v="NARVA-11_ST_SHALE_EXT"/>
    <x v="0"/>
    <x v="2"/>
    <n v="182.857142857143"/>
    <n v="66742.857142857203"/>
    <n v="240274.285714286"/>
  </r>
  <r>
    <x v="0"/>
    <x v="0"/>
    <x v="0"/>
    <x v="1"/>
    <x v="2"/>
    <s v="EE_Narva"/>
    <x v="12"/>
    <s v="NARVA-11_ST_SHALE_EXT"/>
    <x v="0"/>
    <x v="3"/>
    <n v="182.857142857143"/>
    <n v="66742.857142857203"/>
    <n v="240274.285714286"/>
  </r>
  <r>
    <x v="0"/>
    <x v="0"/>
    <x v="0"/>
    <x v="1"/>
    <x v="2"/>
    <s v="EE_Narva"/>
    <x v="12"/>
    <s v="NARVA-11_ST_SHALE_EXT"/>
    <x v="0"/>
    <x v="12"/>
    <n v="182.857142857143"/>
    <n v="66742.857142857101"/>
    <n v="240274.285714286"/>
  </r>
  <r>
    <x v="0"/>
    <x v="0"/>
    <x v="0"/>
    <x v="1"/>
    <x v="2"/>
    <s v="EE_Narva"/>
    <x v="12"/>
    <s v="NARVA-11_ST_SHALE_EXT"/>
    <x v="0"/>
    <x v="13"/>
    <n v="54.599141138157897"/>
    <n v="19928.686515427598"/>
    <n v="71743.271455539507"/>
  </r>
  <r>
    <x v="0"/>
    <x v="0"/>
    <x v="0"/>
    <x v="1"/>
    <x v="2"/>
    <s v="EE_Narva"/>
    <x v="12"/>
    <s v="NARVA-11_ST_SHALE_EXT"/>
    <x v="0"/>
    <x v="14"/>
    <n v="53.605478607865798"/>
    <n v="19565.999691870999"/>
    <n v="70437.598890735695"/>
  </r>
  <r>
    <x v="0"/>
    <x v="0"/>
    <x v="0"/>
    <x v="1"/>
    <x v="2"/>
    <s v="EE_Narva"/>
    <x v="12"/>
    <s v="NARVA-11_ST_SHALE_EXT"/>
    <x v="0"/>
    <x v="4"/>
    <n v="52.2980279101129"/>
    <n v="19088.780187191202"/>
    <n v="68719.608673888404"/>
  </r>
  <r>
    <x v="0"/>
    <x v="0"/>
    <x v="0"/>
    <x v="1"/>
    <x v="2"/>
    <s v="EE_Narva"/>
    <x v="12"/>
    <s v="NARVA-11_ST_SHALE_EXT"/>
    <x v="0"/>
    <x v="16"/>
    <n v="51.931941714742102"/>
    <n v="18955.158725880901"/>
    <n v="68238.571413171201"/>
  </r>
  <r>
    <x v="0"/>
    <x v="0"/>
    <x v="0"/>
    <x v="1"/>
    <x v="2"/>
    <s v="EE_Narva"/>
    <x v="12"/>
    <s v="NARVA-11_ST_SHALE_EXT"/>
    <x v="0"/>
    <x v="5"/>
    <n v="64.477228635695099"/>
    <n v="23534.188452028699"/>
    <n v="84723.078427303306"/>
  </r>
  <r>
    <x v="0"/>
    <x v="0"/>
    <x v="0"/>
    <x v="1"/>
    <x v="2"/>
    <s v="EE_Narva"/>
    <x v="12"/>
    <s v="NARVA-11_ST_SHALE_EXT"/>
    <x v="0"/>
    <x v="17"/>
    <n v="106.676082820844"/>
    <n v="38936.770229608097"/>
    <n v="140172.37282658901"/>
  </r>
  <r>
    <x v="0"/>
    <x v="0"/>
    <x v="0"/>
    <x v="1"/>
    <x v="2"/>
    <s v="EE_Narva"/>
    <x v="12"/>
    <s v="NARVA-11_ST_SHALE_EXT"/>
    <x v="0"/>
    <x v="18"/>
    <n v="51.0167262263152"/>
    <n v="18621.105072605002"/>
    <n v="67035.978261378201"/>
  </r>
  <r>
    <x v="0"/>
    <x v="0"/>
    <x v="0"/>
    <x v="1"/>
    <x v="2"/>
    <s v="EE_Parnu"/>
    <x v="1"/>
    <s v="GNR_HS_HEAT_WTR-TANK_LS_E-95_Y-2010"/>
    <x v="0"/>
    <x v="6"/>
    <n v="206.08790972623899"/>
    <n v="75222.0870500772"/>
    <n v="270799.51338027802"/>
  </r>
  <r>
    <x v="0"/>
    <x v="0"/>
    <x v="0"/>
    <x v="1"/>
    <x v="2"/>
    <s v="EE_Parnu"/>
    <x v="1"/>
    <s v="GNR_HS_HEAT_WTR-TANK_LS_E-95_Y-2010"/>
    <x v="0"/>
    <x v="7"/>
    <n v="206.08790972623899"/>
    <n v="75222.0870500772"/>
    <n v="270799.51338027802"/>
  </r>
  <r>
    <x v="0"/>
    <x v="0"/>
    <x v="0"/>
    <x v="1"/>
    <x v="2"/>
    <s v="EE_Parnu"/>
    <x v="1"/>
    <s v="GNR_HS_HEAT_WTR-TANK_LS_E-95_Y-2010"/>
    <x v="0"/>
    <x v="8"/>
    <n v="206.08790972623899"/>
    <n v="75222.0870500772"/>
    <n v="270799.51338027802"/>
  </r>
  <r>
    <x v="0"/>
    <x v="0"/>
    <x v="0"/>
    <x v="1"/>
    <x v="2"/>
    <s v="EE_Parnu"/>
    <x v="1"/>
    <s v="GNR_HS_HEAT_WTR-TANK_LS_E-95_Y-2010"/>
    <x v="0"/>
    <x v="9"/>
    <n v="206.08790972623899"/>
    <n v="75222.0870500772"/>
    <n v="270799.51338027802"/>
  </r>
  <r>
    <x v="0"/>
    <x v="0"/>
    <x v="0"/>
    <x v="1"/>
    <x v="2"/>
    <s v="EE_Parnu"/>
    <x v="1"/>
    <s v="GNR_HS_HEAT_WTR-TANK_LS_E-95_Y-2010"/>
    <x v="0"/>
    <x v="10"/>
    <n v="206.08790972623899"/>
    <n v="75222.0870500772"/>
    <n v="270799.51338027802"/>
  </r>
  <r>
    <x v="0"/>
    <x v="0"/>
    <x v="0"/>
    <x v="1"/>
    <x v="2"/>
    <s v="EE_Parnu"/>
    <x v="1"/>
    <s v="GNR_HS_HEAT_WTR-TANK_LS_E-95_Y-2010"/>
    <x v="0"/>
    <x v="11"/>
    <n v="195.783514239927"/>
    <n v="71460.982697573403"/>
    <n v="257259.53771126401"/>
  </r>
  <r>
    <x v="0"/>
    <x v="0"/>
    <x v="0"/>
    <x v="1"/>
    <x v="2"/>
    <s v="EE_Parnu"/>
    <x v="1"/>
    <s v="GNR_HS_HEAT_WTR-TANK_LS_E-95_Y-2010"/>
    <x v="0"/>
    <x v="0"/>
    <n v="182.93781437811199"/>
    <n v="66772.302248010994"/>
    <n v="240380.28809284"/>
  </r>
  <r>
    <x v="0"/>
    <x v="0"/>
    <x v="0"/>
    <x v="1"/>
    <x v="2"/>
    <s v="EE_Parnu"/>
    <x v="1"/>
    <s v="GNR_HS_HEAT_WTR-TANK_LS_E-95_Y-2010"/>
    <x v="0"/>
    <x v="1"/>
    <n v="182.15604195064799"/>
    <n v="66486.955311986603"/>
    <n v="239353.039123152"/>
  </r>
  <r>
    <x v="0"/>
    <x v="0"/>
    <x v="0"/>
    <x v="1"/>
    <x v="2"/>
    <s v="EE_Parnu"/>
    <x v="1"/>
    <s v="GNR_HS_HEAT_WTR-TANK_LS_E-95_Y-2010"/>
    <x v="0"/>
    <x v="2"/>
    <n v="181.47850584684599"/>
    <n v="66239.654634098799"/>
    <n v="238462.75668275601"/>
  </r>
  <r>
    <x v="0"/>
    <x v="0"/>
    <x v="0"/>
    <x v="1"/>
    <x v="2"/>
    <s v="EE_Parnu"/>
    <x v="1"/>
    <s v="GNR_HS_HEAT_WTR-TANK_LS_E-95_Y-2010"/>
    <x v="0"/>
    <x v="3"/>
    <n v="180.86351153724101"/>
    <n v="66015.181711092999"/>
    <n v="237654.65415993499"/>
  </r>
  <r>
    <x v="0"/>
    <x v="0"/>
    <x v="0"/>
    <x v="1"/>
    <x v="2"/>
    <s v="EE_Parnu"/>
    <x v="1"/>
    <s v="GNR_HS_HEAT_WTR-TANK_LS_E-95_Y-2010"/>
    <x v="0"/>
    <x v="12"/>
    <n v="180.31105902183299"/>
    <n v="65813.536542969101"/>
    <n v="236928.731554689"/>
  </r>
  <r>
    <x v="0"/>
    <x v="0"/>
    <x v="0"/>
    <x v="1"/>
    <x v="2"/>
    <s v="EE_Parnu"/>
    <x v="1"/>
    <s v="GNR_HS_HEAT_WTR-TANK_LS_E-95_Y-2010"/>
    <x v="0"/>
    <x v="13"/>
    <n v="179.85241919772099"/>
    <n v="65646.133007168202"/>
    <n v="236326.07882580499"/>
  </r>
  <r>
    <x v="0"/>
    <x v="0"/>
    <x v="0"/>
    <x v="1"/>
    <x v="2"/>
    <s v="EE_Parnu"/>
    <x v="1"/>
    <s v="GNR_HS_HEAT_WTR-TANK_LS_E-95_Y-2010"/>
    <x v="0"/>
    <x v="14"/>
    <n v="179.45632116780601"/>
    <n v="65501.557226249097"/>
    <n v="235805.606014497"/>
  </r>
  <r>
    <x v="0"/>
    <x v="0"/>
    <x v="0"/>
    <x v="1"/>
    <x v="2"/>
    <s v="EE_Parnu"/>
    <x v="1"/>
    <s v="GNR_HS_HEAT_WTR-TANK_LS_E-95_Y-2010"/>
    <x v="0"/>
    <x v="15"/>
    <n v="179.133188564454"/>
    <n v="65383.613826025801"/>
    <n v="235381.00977369299"/>
  </r>
  <r>
    <x v="0"/>
    <x v="0"/>
    <x v="0"/>
    <x v="1"/>
    <x v="2"/>
    <s v="EE_Parnu"/>
    <x v="1"/>
    <s v="GNR_HS_HEAT_WTR-TANK_LS_E-95_Y-2010"/>
    <x v="0"/>
    <x v="4"/>
    <n v="178.93513954949699"/>
    <n v="65311.325935566201"/>
    <n v="235120.773368038"/>
  </r>
  <r>
    <x v="0"/>
    <x v="0"/>
    <x v="0"/>
    <x v="1"/>
    <x v="2"/>
    <s v="EE_Parnu"/>
    <x v="1"/>
    <s v="GNR_HS_HEAT_WTR-TANK_LS_E-95_Y-2010"/>
    <x v="0"/>
    <x v="16"/>
    <n v="178.78920869637"/>
    <n v="65258.061174175004"/>
    <n v="234929.02022703001"/>
  </r>
  <r>
    <x v="0"/>
    <x v="0"/>
    <x v="0"/>
    <x v="1"/>
    <x v="2"/>
    <s v="EE_Parnu"/>
    <x v="1"/>
    <s v="GNR_HS_HEAT_WTR-TANK_LS_E-95_Y-2010"/>
    <x v="0"/>
    <x v="5"/>
    <n v="178.66412510797599"/>
    <n v="65212.405664411097"/>
    <n v="234764.66039188"/>
  </r>
  <r>
    <x v="0"/>
    <x v="0"/>
    <x v="0"/>
    <x v="1"/>
    <x v="2"/>
    <s v="EE_Parnu"/>
    <x v="1"/>
    <s v="GNR_HS_HEAT_WTR-TANK_LS_E-95_Y-2010"/>
    <x v="0"/>
    <x v="17"/>
    <n v="178.549465151948"/>
    <n v="65170.554780460901"/>
    <n v="234613.99720965899"/>
  </r>
  <r>
    <x v="0"/>
    <x v="0"/>
    <x v="0"/>
    <x v="1"/>
    <x v="2"/>
    <s v="EE_Parnu"/>
    <x v="1"/>
    <s v="GNR_HS_HEAT_WTR-TANK_LS_E-95_Y-2010"/>
    <x v="0"/>
    <x v="18"/>
    <n v="178.424381563553"/>
    <n v="65124.899270697002"/>
    <n v="234449.63737450901"/>
  </r>
  <r>
    <x v="0"/>
    <x v="0"/>
    <x v="0"/>
    <x v="1"/>
    <x v="2"/>
    <s v="EE_Parnu"/>
    <x v="1"/>
    <s v="GNR_HS_HEAT_WTR-TANK_LS_E-95_Y-2010"/>
    <x v="0"/>
    <x v="19"/>
    <n v="178.27845071042699"/>
    <n v="65071.634509305797"/>
    <n v="234257.88423350101"/>
  </r>
  <r>
    <x v="0"/>
    <x v="0"/>
    <x v="0"/>
    <x v="1"/>
    <x v="2"/>
    <s v="EE_Parnu"/>
    <x v="1"/>
    <s v="GNR_HS_HEAT_WTR-TANK_LS_E-95_Y-2010"/>
    <x v="0"/>
    <x v="20"/>
    <n v="206.08790972623899"/>
    <n v="75222.0870500772"/>
    <n v="270799.51338027802"/>
  </r>
  <r>
    <x v="0"/>
    <x v="0"/>
    <x v="0"/>
    <x v="1"/>
    <x v="2"/>
    <s v="EE_Parnu"/>
    <x v="1"/>
    <s v="GNR_HS_HEAT_WTR-TANK_LS_E-95_Y-2010"/>
    <x v="0"/>
    <x v="21"/>
    <n v="185.47911875361501"/>
    <n v="67699.878345069505"/>
    <n v="243719.56204225001"/>
  </r>
  <r>
    <x v="0"/>
    <x v="0"/>
    <x v="0"/>
    <x v="1"/>
    <x v="2"/>
    <s v="EE_Parnu"/>
    <x v="1"/>
    <s v="GNR_HS_HEAT_WTR-TANK_LS_E-95_Y-2010"/>
    <x v="0"/>
    <x v="22"/>
    <n v="206.08790972623899"/>
    <n v="75222.0870500772"/>
    <n v="270799.51338027802"/>
  </r>
  <r>
    <x v="0"/>
    <x v="0"/>
    <x v="0"/>
    <x v="1"/>
    <x v="2"/>
    <s v="EE_Parnu"/>
    <x v="1"/>
    <s v="GNR_HS_HEAT_WTR-TANK_LS_E-95_Y-2010"/>
    <x v="0"/>
    <x v="23"/>
    <n v="206.08790972623899"/>
    <n v="75222.0870500772"/>
    <n v="270799.51338027802"/>
  </r>
  <r>
    <x v="0"/>
    <x v="0"/>
    <x v="0"/>
    <x v="1"/>
    <x v="2"/>
    <s v="EE_Parnu"/>
    <x v="10"/>
    <s v="PARNU-1_ST_WOOD_BP"/>
    <x v="0"/>
    <x v="10"/>
    <n v="12.2098370742466"/>
    <n v="4456.5905321"/>
    <n v="16043.72591556"/>
  </r>
  <r>
    <x v="0"/>
    <x v="0"/>
    <x v="0"/>
    <x v="1"/>
    <x v="2"/>
    <s v="EE_Parnu"/>
    <x v="10"/>
    <s v="PARNU-1_ST_WOOD_BP"/>
    <x v="0"/>
    <x v="11"/>
    <n v="35.790176621638899"/>
    <n v="13063.414466898201"/>
    <n v="47028.292080833497"/>
  </r>
  <r>
    <x v="0"/>
    <x v="0"/>
    <x v="0"/>
    <x v="1"/>
    <x v="2"/>
    <s v="EE_Parnu"/>
    <x v="10"/>
    <s v="PARNU-1_ST_WOOD_BP"/>
    <x v="0"/>
    <x v="0"/>
    <n v="48.000034909116302"/>
    <n v="17520.012741827399"/>
    <n v="63072.045870578797"/>
  </r>
  <r>
    <x v="0"/>
    <x v="0"/>
    <x v="0"/>
    <x v="1"/>
    <x v="2"/>
    <s v="EE_Parnu"/>
    <x v="10"/>
    <s v="PARNU-1_ST_WOOD_BP"/>
    <x v="0"/>
    <x v="1"/>
    <n v="48.000034909116302"/>
    <n v="17520.012741827399"/>
    <n v="63072.045870578797"/>
  </r>
  <r>
    <x v="0"/>
    <x v="0"/>
    <x v="0"/>
    <x v="1"/>
    <x v="2"/>
    <s v="EE_Parnu"/>
    <x v="10"/>
    <s v="PARNU-1_ST_WOOD_BP"/>
    <x v="0"/>
    <x v="2"/>
    <n v="48.000034909116302"/>
    <n v="17520.012741827399"/>
    <n v="63072.045870578797"/>
  </r>
  <r>
    <x v="0"/>
    <x v="0"/>
    <x v="0"/>
    <x v="1"/>
    <x v="2"/>
    <s v="EE_Parnu"/>
    <x v="10"/>
    <s v="PARNU-1_ST_WOOD_BP"/>
    <x v="0"/>
    <x v="3"/>
    <n v="48.000034909116302"/>
    <n v="17520.012741827399"/>
    <n v="63072.045870578797"/>
  </r>
  <r>
    <x v="0"/>
    <x v="0"/>
    <x v="0"/>
    <x v="1"/>
    <x v="2"/>
    <s v="EE_Parnu"/>
    <x v="10"/>
    <s v="PARNU-1_ST_WOOD_BP"/>
    <x v="0"/>
    <x v="12"/>
    <n v="48.000034909116302"/>
    <n v="17520.012741827399"/>
    <n v="63072.045870578797"/>
  </r>
  <r>
    <x v="0"/>
    <x v="0"/>
    <x v="0"/>
    <x v="1"/>
    <x v="2"/>
    <s v="EE_Parnu"/>
    <x v="10"/>
    <s v="PARNU-1_ST_WOOD_BP"/>
    <x v="0"/>
    <x v="13"/>
    <n v="48.000034909116302"/>
    <n v="17520.012741827399"/>
    <n v="63072.045870578797"/>
  </r>
  <r>
    <x v="0"/>
    <x v="0"/>
    <x v="0"/>
    <x v="1"/>
    <x v="2"/>
    <s v="EE_Parnu"/>
    <x v="10"/>
    <s v="PARNU-1_ST_WOOD_BP"/>
    <x v="0"/>
    <x v="14"/>
    <n v="48.000034909116302"/>
    <n v="17520.012741827399"/>
    <n v="63072.045870578797"/>
  </r>
  <r>
    <x v="0"/>
    <x v="0"/>
    <x v="0"/>
    <x v="1"/>
    <x v="2"/>
    <s v="EE_Parnu"/>
    <x v="10"/>
    <s v="PARNU-1_ST_WOOD_BP"/>
    <x v="0"/>
    <x v="15"/>
    <n v="48.000034909116302"/>
    <n v="17520.012741827399"/>
    <n v="63072.045870578797"/>
  </r>
  <r>
    <x v="0"/>
    <x v="0"/>
    <x v="0"/>
    <x v="1"/>
    <x v="2"/>
    <s v="EE_Parnu"/>
    <x v="10"/>
    <s v="PARNU-1_ST_WOOD_BP"/>
    <x v="0"/>
    <x v="4"/>
    <n v="48.000034909116302"/>
    <n v="17520.012741827399"/>
    <n v="63072.045870578797"/>
  </r>
  <r>
    <x v="0"/>
    <x v="0"/>
    <x v="0"/>
    <x v="1"/>
    <x v="2"/>
    <s v="EE_Parnu"/>
    <x v="10"/>
    <s v="PARNU-1_ST_WOOD_BP"/>
    <x v="0"/>
    <x v="16"/>
    <n v="48.000034909116302"/>
    <n v="17520.012741827399"/>
    <n v="63072.045870578797"/>
  </r>
  <r>
    <x v="0"/>
    <x v="0"/>
    <x v="0"/>
    <x v="1"/>
    <x v="2"/>
    <s v="EE_Parnu"/>
    <x v="10"/>
    <s v="PARNU-1_ST_WOOD_BP"/>
    <x v="0"/>
    <x v="5"/>
    <n v="48.000034909116302"/>
    <n v="17520.012741827399"/>
    <n v="63072.045870578797"/>
  </r>
  <r>
    <x v="0"/>
    <x v="0"/>
    <x v="0"/>
    <x v="1"/>
    <x v="2"/>
    <s v="EE_Parnu"/>
    <x v="10"/>
    <s v="PARNU-1_ST_WOOD_BP"/>
    <x v="0"/>
    <x v="17"/>
    <n v="48.000034909116302"/>
    <n v="17520.012741827399"/>
    <n v="63072.045870578797"/>
  </r>
  <r>
    <x v="0"/>
    <x v="0"/>
    <x v="0"/>
    <x v="1"/>
    <x v="2"/>
    <s v="EE_Parnu"/>
    <x v="10"/>
    <s v="PARNU-1_ST_WOOD_BP"/>
    <x v="0"/>
    <x v="18"/>
    <n v="48.000034909116302"/>
    <n v="17520.012741827399"/>
    <n v="63072.045870578797"/>
  </r>
  <r>
    <x v="0"/>
    <x v="0"/>
    <x v="0"/>
    <x v="1"/>
    <x v="2"/>
    <s v="EE_Parnu"/>
    <x v="10"/>
    <s v="PARNU-1_ST_WOOD_BP"/>
    <x v="0"/>
    <x v="19"/>
    <n v="48.000034909116302"/>
    <n v="17520.012741827399"/>
    <n v="63072.045870578797"/>
  </r>
  <r>
    <x v="0"/>
    <x v="0"/>
    <x v="0"/>
    <x v="1"/>
    <x v="2"/>
    <s v="EE_Parnu"/>
    <x v="10"/>
    <s v="PARNU-1_ST_WOOD_BP"/>
    <x v="0"/>
    <x v="20"/>
    <n v="20.0654923049098"/>
    <n v="7323.9046912920903"/>
    <n v="26366.056888651499"/>
  </r>
  <r>
    <x v="0"/>
    <x v="0"/>
    <x v="0"/>
    <x v="1"/>
    <x v="2"/>
    <s v="EE_Parnu"/>
    <x v="10"/>
    <s v="PARNU-1_ST_WOOD_BP"/>
    <x v="0"/>
    <x v="21"/>
    <n v="40.5491996891394"/>
    <n v="14800.4578865359"/>
    <n v="53281.648391529197"/>
  </r>
  <r>
    <x v="0"/>
    <x v="0"/>
    <x v="0"/>
    <x v="1"/>
    <x v="2"/>
    <s v="EE_Rural"/>
    <x v="3"/>
    <s v="GNR_ENG_NGAS_EXT_E-44"/>
    <x v="0"/>
    <x v="6"/>
    <n v="1.3333333333333299"/>
    <n v="486.66666666666703"/>
    <n v="1752"/>
  </r>
  <r>
    <x v="0"/>
    <x v="0"/>
    <x v="0"/>
    <x v="1"/>
    <x v="2"/>
    <s v="EE_Rural"/>
    <x v="3"/>
    <s v="GNR_ENG_NGAS_EXT_E-44"/>
    <x v="0"/>
    <x v="7"/>
    <n v="1.3333333333333299"/>
    <n v="486.66666666666703"/>
    <n v="1752"/>
  </r>
  <r>
    <x v="0"/>
    <x v="0"/>
    <x v="0"/>
    <x v="1"/>
    <x v="2"/>
    <s v="EE_Rural"/>
    <x v="3"/>
    <s v="GNR_ENG_NGAS_EXT_E-44"/>
    <x v="0"/>
    <x v="8"/>
    <n v="1.3333333333333299"/>
    <n v="486.66666666666703"/>
    <n v="1752"/>
  </r>
  <r>
    <x v="0"/>
    <x v="0"/>
    <x v="0"/>
    <x v="1"/>
    <x v="2"/>
    <s v="EE_Rural"/>
    <x v="3"/>
    <s v="GNR_ENG_NGAS_EXT_E-44"/>
    <x v="0"/>
    <x v="9"/>
    <n v="1.3333333333333299"/>
    <n v="486.66666666666703"/>
    <n v="1752"/>
  </r>
  <r>
    <x v="0"/>
    <x v="0"/>
    <x v="0"/>
    <x v="1"/>
    <x v="2"/>
    <s v="EE_Rural"/>
    <x v="3"/>
    <s v="GNR_ENG_NGAS_EXT_E-44"/>
    <x v="0"/>
    <x v="10"/>
    <n v="1.3333333333333299"/>
    <n v="486.66666666666703"/>
    <n v="1752"/>
  </r>
  <r>
    <x v="0"/>
    <x v="0"/>
    <x v="0"/>
    <x v="1"/>
    <x v="2"/>
    <s v="EE_Rural"/>
    <x v="3"/>
    <s v="GNR_ENG_NGAS_EXT_E-44"/>
    <x v="0"/>
    <x v="11"/>
    <n v="1.3333333333333299"/>
    <n v="486.66666666666703"/>
    <n v="1752"/>
  </r>
  <r>
    <x v="0"/>
    <x v="0"/>
    <x v="0"/>
    <x v="1"/>
    <x v="2"/>
    <s v="EE_Rural"/>
    <x v="3"/>
    <s v="GNR_ENG_NGAS_EXT_E-44"/>
    <x v="0"/>
    <x v="0"/>
    <n v="1.3333333333333299"/>
    <n v="486.66666666666703"/>
    <n v="1752"/>
  </r>
  <r>
    <x v="0"/>
    <x v="0"/>
    <x v="0"/>
    <x v="1"/>
    <x v="2"/>
    <s v="EE_Rural"/>
    <x v="3"/>
    <s v="GNR_ENG_NGAS_EXT_E-44"/>
    <x v="0"/>
    <x v="1"/>
    <n v="1.3333333333333299"/>
    <n v="486.66666666666703"/>
    <n v="1752"/>
  </r>
  <r>
    <x v="0"/>
    <x v="0"/>
    <x v="0"/>
    <x v="1"/>
    <x v="2"/>
    <s v="EE_Rural"/>
    <x v="3"/>
    <s v="GNR_ENG_NGAS_EXT_E-44"/>
    <x v="0"/>
    <x v="2"/>
    <n v="1.3333333333333299"/>
    <n v="486.66666666666703"/>
    <n v="1752"/>
  </r>
  <r>
    <x v="0"/>
    <x v="0"/>
    <x v="0"/>
    <x v="1"/>
    <x v="2"/>
    <s v="EE_Rural"/>
    <x v="3"/>
    <s v="GNR_ENG_NGAS_EXT_E-44"/>
    <x v="0"/>
    <x v="3"/>
    <n v="1.3333333333333299"/>
    <n v="486.66666666666703"/>
    <n v="1752"/>
  </r>
  <r>
    <x v="0"/>
    <x v="0"/>
    <x v="0"/>
    <x v="1"/>
    <x v="2"/>
    <s v="EE_Rural"/>
    <x v="3"/>
    <s v="GNR_ENG_NGAS_EXT_E-44"/>
    <x v="0"/>
    <x v="12"/>
    <n v="1.3333333333333299"/>
    <n v="486.66666666666703"/>
    <n v="1752"/>
  </r>
  <r>
    <x v="0"/>
    <x v="0"/>
    <x v="0"/>
    <x v="1"/>
    <x v="2"/>
    <s v="EE_Rural"/>
    <x v="3"/>
    <s v="GNR_ENG_NGAS_EXT_E-44"/>
    <x v="0"/>
    <x v="13"/>
    <n v="1.3333333333333299"/>
    <n v="486.66666666666703"/>
    <n v="1752"/>
  </r>
  <r>
    <x v="0"/>
    <x v="0"/>
    <x v="0"/>
    <x v="1"/>
    <x v="2"/>
    <s v="EE_Rural"/>
    <x v="3"/>
    <s v="GNR_ENG_NGAS_EXT_E-44"/>
    <x v="0"/>
    <x v="14"/>
    <n v="1.3333333333333299"/>
    <n v="486.66666666666703"/>
    <n v="1752"/>
  </r>
  <r>
    <x v="0"/>
    <x v="0"/>
    <x v="0"/>
    <x v="1"/>
    <x v="2"/>
    <s v="EE_Rural"/>
    <x v="3"/>
    <s v="GNR_ENG_NGAS_EXT_E-44"/>
    <x v="0"/>
    <x v="15"/>
    <n v="1.3333333333333299"/>
    <n v="486.66666666666703"/>
    <n v="1752"/>
  </r>
  <r>
    <x v="0"/>
    <x v="0"/>
    <x v="0"/>
    <x v="1"/>
    <x v="2"/>
    <s v="EE_Rural"/>
    <x v="3"/>
    <s v="GNR_ENG_NGAS_EXT_E-44"/>
    <x v="0"/>
    <x v="4"/>
    <n v="1.3333333333333299"/>
    <n v="486.66666666666703"/>
    <n v="1752"/>
  </r>
  <r>
    <x v="0"/>
    <x v="0"/>
    <x v="0"/>
    <x v="1"/>
    <x v="2"/>
    <s v="EE_Rural"/>
    <x v="3"/>
    <s v="GNR_ENG_NGAS_EXT_E-44"/>
    <x v="0"/>
    <x v="16"/>
    <n v="1.3333333333333299"/>
    <n v="486.66666666666703"/>
    <n v="1752"/>
  </r>
  <r>
    <x v="0"/>
    <x v="0"/>
    <x v="0"/>
    <x v="1"/>
    <x v="2"/>
    <s v="EE_Rural"/>
    <x v="3"/>
    <s v="GNR_ENG_NGAS_EXT_E-44"/>
    <x v="0"/>
    <x v="5"/>
    <n v="1.3333333333333299"/>
    <n v="486.66666666666703"/>
    <n v="1752"/>
  </r>
  <r>
    <x v="0"/>
    <x v="0"/>
    <x v="0"/>
    <x v="1"/>
    <x v="2"/>
    <s v="EE_Rural"/>
    <x v="3"/>
    <s v="GNR_ENG_NGAS_EXT_E-44"/>
    <x v="0"/>
    <x v="17"/>
    <n v="1.3333333333333299"/>
    <n v="486.66666666666703"/>
    <n v="1752"/>
  </r>
  <r>
    <x v="0"/>
    <x v="0"/>
    <x v="0"/>
    <x v="1"/>
    <x v="2"/>
    <s v="EE_Rural"/>
    <x v="3"/>
    <s v="GNR_ENG_NGAS_EXT_E-44"/>
    <x v="0"/>
    <x v="18"/>
    <n v="1.3333333333333299"/>
    <n v="486.66666666666703"/>
    <n v="1752"/>
  </r>
  <r>
    <x v="0"/>
    <x v="0"/>
    <x v="0"/>
    <x v="1"/>
    <x v="2"/>
    <s v="EE_Rural"/>
    <x v="3"/>
    <s v="GNR_ENG_NGAS_EXT_E-44"/>
    <x v="0"/>
    <x v="19"/>
    <n v="1.3333333333333299"/>
    <n v="486.66666666666703"/>
    <n v="1752"/>
  </r>
  <r>
    <x v="0"/>
    <x v="0"/>
    <x v="0"/>
    <x v="1"/>
    <x v="2"/>
    <s v="EE_Rural"/>
    <x v="3"/>
    <s v="GNR_ENG_NGAS_EXT_E-44"/>
    <x v="0"/>
    <x v="20"/>
    <n v="1.3333333333333299"/>
    <n v="486.66666666666703"/>
    <n v="1752"/>
  </r>
  <r>
    <x v="0"/>
    <x v="0"/>
    <x v="0"/>
    <x v="1"/>
    <x v="2"/>
    <s v="EE_Rural"/>
    <x v="3"/>
    <s v="GNR_ENG_NGAS_EXT_E-44"/>
    <x v="0"/>
    <x v="21"/>
    <n v="1.3333333333333299"/>
    <n v="486.66666666666703"/>
    <n v="1752"/>
  </r>
  <r>
    <x v="0"/>
    <x v="0"/>
    <x v="0"/>
    <x v="1"/>
    <x v="2"/>
    <s v="EE_Rural"/>
    <x v="3"/>
    <s v="GNR_ENG_NGAS_EXT_E-44"/>
    <x v="0"/>
    <x v="22"/>
    <n v="1.3333333333333299"/>
    <n v="486.66666666666703"/>
    <n v="1752"/>
  </r>
  <r>
    <x v="0"/>
    <x v="0"/>
    <x v="0"/>
    <x v="1"/>
    <x v="2"/>
    <s v="EE_Rural"/>
    <x v="3"/>
    <s v="GNR_ENG_NGAS_EXT_E-44"/>
    <x v="0"/>
    <x v="23"/>
    <n v="1.3333333333333299"/>
    <n v="486.66666666666703"/>
    <n v="1752"/>
  </r>
  <r>
    <x v="0"/>
    <x v="0"/>
    <x v="0"/>
    <x v="1"/>
    <x v="2"/>
    <s v="EE_Rural"/>
    <x v="8"/>
    <s v="EBAVERE_ST_WOODWST_BP"/>
    <x v="0"/>
    <x v="6"/>
    <n v="26.315789473684202"/>
    <n v="9605.2631578947403"/>
    <n v="34578.947368421097"/>
  </r>
  <r>
    <x v="0"/>
    <x v="0"/>
    <x v="0"/>
    <x v="1"/>
    <x v="2"/>
    <s v="EE_Rural"/>
    <x v="8"/>
    <s v="EBAVERE_ST_WOODWST_BP"/>
    <x v="0"/>
    <x v="7"/>
    <n v="26.315789473684202"/>
    <n v="9605.2631578947403"/>
    <n v="34578.947368421097"/>
  </r>
  <r>
    <x v="0"/>
    <x v="0"/>
    <x v="0"/>
    <x v="1"/>
    <x v="2"/>
    <s v="EE_Rural"/>
    <x v="8"/>
    <s v="EBAVERE_ST_WOODWST_BP"/>
    <x v="0"/>
    <x v="8"/>
    <n v="26.315789473684202"/>
    <n v="9605.2631578947403"/>
    <n v="34578.947368421097"/>
  </r>
  <r>
    <x v="0"/>
    <x v="0"/>
    <x v="0"/>
    <x v="1"/>
    <x v="2"/>
    <s v="EE_Rural"/>
    <x v="8"/>
    <s v="EBAVERE_ST_WOODWST_BP"/>
    <x v="0"/>
    <x v="9"/>
    <n v="26.315789473684202"/>
    <n v="9605.2631578947403"/>
    <n v="34578.947368421097"/>
  </r>
  <r>
    <x v="0"/>
    <x v="0"/>
    <x v="0"/>
    <x v="1"/>
    <x v="2"/>
    <s v="EE_Rural"/>
    <x v="8"/>
    <s v="EBAVERE_ST_WOODWST_BP"/>
    <x v="0"/>
    <x v="10"/>
    <n v="26.315789473684202"/>
    <n v="9605.2631578947403"/>
    <n v="34578.947368421097"/>
  </r>
  <r>
    <x v="0"/>
    <x v="0"/>
    <x v="0"/>
    <x v="1"/>
    <x v="2"/>
    <s v="EE_Rural"/>
    <x v="8"/>
    <s v="EBAVERE_ST_WOODWST_BP"/>
    <x v="0"/>
    <x v="11"/>
    <n v="26.315789473684202"/>
    <n v="9605.2631578947403"/>
    <n v="34578.947368421097"/>
  </r>
  <r>
    <x v="0"/>
    <x v="0"/>
    <x v="0"/>
    <x v="1"/>
    <x v="2"/>
    <s v="EE_Rural"/>
    <x v="8"/>
    <s v="EBAVERE_ST_WOODWST_BP"/>
    <x v="0"/>
    <x v="0"/>
    <n v="26.315789473684202"/>
    <n v="9605.2631578947403"/>
    <n v="34578.947368421097"/>
  </r>
  <r>
    <x v="0"/>
    <x v="0"/>
    <x v="0"/>
    <x v="1"/>
    <x v="2"/>
    <s v="EE_Rural"/>
    <x v="8"/>
    <s v="EBAVERE_ST_WOODWST_BP"/>
    <x v="0"/>
    <x v="1"/>
    <n v="26.315789473684202"/>
    <n v="9605.2631578947403"/>
    <n v="34578.947368421097"/>
  </r>
  <r>
    <x v="0"/>
    <x v="0"/>
    <x v="0"/>
    <x v="1"/>
    <x v="2"/>
    <s v="EE_Rural"/>
    <x v="8"/>
    <s v="EBAVERE_ST_WOODWST_BP"/>
    <x v="0"/>
    <x v="2"/>
    <n v="26.315789473684202"/>
    <n v="9605.2631578947403"/>
    <n v="34578.947368421097"/>
  </r>
  <r>
    <x v="0"/>
    <x v="0"/>
    <x v="0"/>
    <x v="1"/>
    <x v="2"/>
    <s v="EE_Rural"/>
    <x v="8"/>
    <s v="EBAVERE_ST_WOODWST_BP"/>
    <x v="0"/>
    <x v="3"/>
    <n v="26.315789473684202"/>
    <n v="9605.2631578947403"/>
    <n v="34578.947368421097"/>
  </r>
  <r>
    <x v="0"/>
    <x v="0"/>
    <x v="0"/>
    <x v="1"/>
    <x v="2"/>
    <s v="EE_Rural"/>
    <x v="8"/>
    <s v="EBAVERE_ST_WOODWST_BP"/>
    <x v="0"/>
    <x v="12"/>
    <n v="26.315789473684202"/>
    <n v="9605.2631578947403"/>
    <n v="34578.947368421097"/>
  </r>
  <r>
    <x v="0"/>
    <x v="0"/>
    <x v="0"/>
    <x v="1"/>
    <x v="2"/>
    <s v="EE_Rural"/>
    <x v="8"/>
    <s v="EBAVERE_ST_WOODWST_BP"/>
    <x v="0"/>
    <x v="13"/>
    <n v="26.315789473684202"/>
    <n v="9605.2631578947403"/>
    <n v="34578.947368421097"/>
  </r>
  <r>
    <x v="0"/>
    <x v="0"/>
    <x v="0"/>
    <x v="1"/>
    <x v="2"/>
    <s v="EE_Rural"/>
    <x v="8"/>
    <s v="EBAVERE_ST_WOODWST_BP"/>
    <x v="0"/>
    <x v="14"/>
    <n v="26.315789473684202"/>
    <n v="9605.2631578947403"/>
    <n v="34578.947368421097"/>
  </r>
  <r>
    <x v="0"/>
    <x v="0"/>
    <x v="0"/>
    <x v="1"/>
    <x v="2"/>
    <s v="EE_Rural"/>
    <x v="8"/>
    <s v="EBAVERE_ST_WOODWST_BP"/>
    <x v="0"/>
    <x v="15"/>
    <n v="26.315789473684202"/>
    <n v="9605.2631578947403"/>
    <n v="34578.947368421097"/>
  </r>
  <r>
    <x v="0"/>
    <x v="0"/>
    <x v="0"/>
    <x v="1"/>
    <x v="2"/>
    <s v="EE_Rural"/>
    <x v="8"/>
    <s v="EBAVERE_ST_WOODWST_BP"/>
    <x v="0"/>
    <x v="4"/>
    <n v="26.315789473684202"/>
    <n v="9605.2631578947403"/>
    <n v="34578.947368421097"/>
  </r>
  <r>
    <x v="0"/>
    <x v="0"/>
    <x v="0"/>
    <x v="1"/>
    <x v="2"/>
    <s v="EE_Rural"/>
    <x v="8"/>
    <s v="EBAVERE_ST_WOODWST_BP"/>
    <x v="0"/>
    <x v="16"/>
    <n v="26.315789473684202"/>
    <n v="9605.2631578947403"/>
    <n v="34578.947368421097"/>
  </r>
  <r>
    <x v="0"/>
    <x v="0"/>
    <x v="0"/>
    <x v="1"/>
    <x v="2"/>
    <s v="EE_Rural"/>
    <x v="8"/>
    <s v="EBAVERE_ST_WOODWST_BP"/>
    <x v="0"/>
    <x v="5"/>
    <n v="26.315789473684202"/>
    <n v="9605.2631578947403"/>
    <n v="34578.947368421097"/>
  </r>
  <r>
    <x v="0"/>
    <x v="0"/>
    <x v="0"/>
    <x v="1"/>
    <x v="2"/>
    <s v="EE_Rural"/>
    <x v="8"/>
    <s v="EBAVERE_ST_WOODWST_BP"/>
    <x v="0"/>
    <x v="17"/>
    <n v="26.315789473684202"/>
    <n v="9605.2631578947403"/>
    <n v="34578.947368421097"/>
  </r>
  <r>
    <x v="0"/>
    <x v="0"/>
    <x v="0"/>
    <x v="1"/>
    <x v="2"/>
    <s v="EE_Rural"/>
    <x v="8"/>
    <s v="EBAVERE_ST_WOODWST_BP"/>
    <x v="0"/>
    <x v="18"/>
    <n v="26.315789473684202"/>
    <n v="9605.2631578947403"/>
    <n v="34578.947368421097"/>
  </r>
  <r>
    <x v="0"/>
    <x v="0"/>
    <x v="0"/>
    <x v="1"/>
    <x v="2"/>
    <s v="EE_Rural"/>
    <x v="8"/>
    <s v="EBAVERE_ST_WOODWST_BP"/>
    <x v="0"/>
    <x v="19"/>
    <n v="26.315789473684202"/>
    <n v="9605.2631578947403"/>
    <n v="34578.947368421097"/>
  </r>
  <r>
    <x v="0"/>
    <x v="0"/>
    <x v="0"/>
    <x v="1"/>
    <x v="2"/>
    <s v="EE_Rural"/>
    <x v="8"/>
    <s v="EBAVERE_ST_WOODWST_BP"/>
    <x v="0"/>
    <x v="20"/>
    <n v="26.315789473684202"/>
    <n v="9605.2631578947403"/>
    <n v="34578.947368421097"/>
  </r>
  <r>
    <x v="0"/>
    <x v="0"/>
    <x v="0"/>
    <x v="1"/>
    <x v="2"/>
    <s v="EE_Rural"/>
    <x v="8"/>
    <s v="EBAVERE_ST_WOODWST_BP"/>
    <x v="0"/>
    <x v="21"/>
    <n v="26.315789473684202"/>
    <n v="9605.2631578947403"/>
    <n v="34578.947368421097"/>
  </r>
  <r>
    <x v="0"/>
    <x v="0"/>
    <x v="0"/>
    <x v="1"/>
    <x v="2"/>
    <s v="EE_Rural"/>
    <x v="8"/>
    <s v="EBAVERE_ST_WOODWST_BP"/>
    <x v="0"/>
    <x v="22"/>
    <n v="26.315789473684202"/>
    <n v="9605.2631578947403"/>
    <n v="34578.947368421097"/>
  </r>
  <r>
    <x v="0"/>
    <x v="0"/>
    <x v="0"/>
    <x v="1"/>
    <x v="2"/>
    <s v="EE_Rural"/>
    <x v="8"/>
    <s v="EBAVERE_ST_WOODWST_BP"/>
    <x v="0"/>
    <x v="23"/>
    <n v="26.315789473684202"/>
    <n v="9605.2631578947403"/>
    <n v="34578.947368421097"/>
  </r>
  <r>
    <x v="0"/>
    <x v="0"/>
    <x v="0"/>
    <x v="1"/>
    <x v="2"/>
    <s v="EE_Sillamae"/>
    <x v="3"/>
    <s v="GNR_ENG_NGAS_EXT_E-44"/>
    <x v="0"/>
    <x v="6"/>
    <n v="11.1111111111111"/>
    <n v="4055.5555555555602"/>
    <n v="14600"/>
  </r>
  <r>
    <x v="0"/>
    <x v="0"/>
    <x v="0"/>
    <x v="1"/>
    <x v="2"/>
    <s v="EE_Sillamae"/>
    <x v="3"/>
    <s v="GNR_ENG_NGAS_EXT_E-44"/>
    <x v="0"/>
    <x v="7"/>
    <n v="11.1111111111111"/>
    <n v="4055.5555555555602"/>
    <n v="14600"/>
  </r>
  <r>
    <x v="0"/>
    <x v="0"/>
    <x v="0"/>
    <x v="1"/>
    <x v="2"/>
    <s v="EE_Sillamae"/>
    <x v="3"/>
    <s v="GNR_ENG_NGAS_EXT_E-44"/>
    <x v="0"/>
    <x v="8"/>
    <n v="11.1111111111111"/>
    <n v="4055.5555555555602"/>
    <n v="14600"/>
  </r>
  <r>
    <x v="0"/>
    <x v="0"/>
    <x v="0"/>
    <x v="1"/>
    <x v="2"/>
    <s v="EE_Sillamae"/>
    <x v="3"/>
    <s v="GNR_ENG_NGAS_EXT_E-44"/>
    <x v="0"/>
    <x v="9"/>
    <n v="11.1111111111111"/>
    <n v="4055.5555555555602"/>
    <n v="14600"/>
  </r>
  <r>
    <x v="0"/>
    <x v="0"/>
    <x v="0"/>
    <x v="1"/>
    <x v="2"/>
    <s v="EE_Sillamae"/>
    <x v="3"/>
    <s v="GNR_ENG_NGAS_EXT_E-44"/>
    <x v="0"/>
    <x v="10"/>
    <n v="11.1111111111111"/>
    <n v="4055.5555555555602"/>
    <n v="14600"/>
  </r>
  <r>
    <x v="0"/>
    <x v="0"/>
    <x v="0"/>
    <x v="1"/>
    <x v="2"/>
    <s v="EE_Sillamae"/>
    <x v="3"/>
    <s v="GNR_ENG_NGAS_EXT_E-44"/>
    <x v="0"/>
    <x v="11"/>
    <n v="11.1111111111111"/>
    <n v="4055.5555555555602"/>
    <n v="14600"/>
  </r>
  <r>
    <x v="0"/>
    <x v="0"/>
    <x v="0"/>
    <x v="1"/>
    <x v="2"/>
    <s v="EE_Sillamae"/>
    <x v="3"/>
    <s v="GNR_ENG_NGAS_EXT_E-44"/>
    <x v="0"/>
    <x v="0"/>
    <n v="11.1111111111111"/>
    <n v="4055.5555555555602"/>
    <n v="14600"/>
  </r>
  <r>
    <x v="0"/>
    <x v="0"/>
    <x v="0"/>
    <x v="1"/>
    <x v="2"/>
    <s v="EE_Sillamae"/>
    <x v="3"/>
    <s v="GNR_ENG_NGAS_EXT_E-44"/>
    <x v="0"/>
    <x v="1"/>
    <n v="11.1111111111111"/>
    <n v="4055.5555555555602"/>
    <n v="14600"/>
  </r>
  <r>
    <x v="0"/>
    <x v="0"/>
    <x v="0"/>
    <x v="1"/>
    <x v="2"/>
    <s v="EE_Sillamae"/>
    <x v="3"/>
    <s v="GNR_ENG_NGAS_EXT_E-44"/>
    <x v="0"/>
    <x v="2"/>
    <n v="11.1111111111111"/>
    <n v="4055.5555555555602"/>
    <n v="14600"/>
  </r>
  <r>
    <x v="0"/>
    <x v="0"/>
    <x v="0"/>
    <x v="1"/>
    <x v="2"/>
    <s v="EE_Sillamae"/>
    <x v="3"/>
    <s v="GNR_ENG_NGAS_EXT_E-44"/>
    <x v="0"/>
    <x v="3"/>
    <n v="11.1111111111111"/>
    <n v="4055.5555555555602"/>
    <n v="14600"/>
  </r>
  <r>
    <x v="0"/>
    <x v="0"/>
    <x v="0"/>
    <x v="1"/>
    <x v="2"/>
    <s v="EE_Sillamae"/>
    <x v="3"/>
    <s v="GNR_ENG_NGAS_EXT_E-44"/>
    <x v="0"/>
    <x v="12"/>
    <n v="11.1111111111111"/>
    <n v="4055.5555555555602"/>
    <n v="14600"/>
  </r>
  <r>
    <x v="0"/>
    <x v="0"/>
    <x v="0"/>
    <x v="1"/>
    <x v="2"/>
    <s v="EE_Sillamae"/>
    <x v="3"/>
    <s v="GNR_ENG_NGAS_EXT_E-44"/>
    <x v="0"/>
    <x v="13"/>
    <n v="11.1111111111111"/>
    <n v="4055.5555555555602"/>
    <n v="14600"/>
  </r>
  <r>
    <x v="0"/>
    <x v="0"/>
    <x v="0"/>
    <x v="1"/>
    <x v="2"/>
    <s v="EE_Sillamae"/>
    <x v="3"/>
    <s v="GNR_ENG_NGAS_EXT_E-44"/>
    <x v="0"/>
    <x v="14"/>
    <n v="11.1111111111111"/>
    <n v="4055.5555555555602"/>
    <n v="14600"/>
  </r>
  <r>
    <x v="0"/>
    <x v="0"/>
    <x v="0"/>
    <x v="1"/>
    <x v="2"/>
    <s v="EE_Sillamae"/>
    <x v="3"/>
    <s v="GNR_ENG_NGAS_EXT_E-44"/>
    <x v="0"/>
    <x v="15"/>
    <n v="11.1111111111111"/>
    <n v="4055.5555555555602"/>
    <n v="14600"/>
  </r>
  <r>
    <x v="0"/>
    <x v="0"/>
    <x v="0"/>
    <x v="1"/>
    <x v="2"/>
    <s v="EE_Sillamae"/>
    <x v="3"/>
    <s v="GNR_ENG_NGAS_EXT_E-44"/>
    <x v="0"/>
    <x v="4"/>
    <n v="11.1111111111111"/>
    <n v="4055.5555555555602"/>
    <n v="14600"/>
  </r>
  <r>
    <x v="0"/>
    <x v="0"/>
    <x v="0"/>
    <x v="1"/>
    <x v="2"/>
    <s v="EE_Sillamae"/>
    <x v="3"/>
    <s v="GNR_ENG_NGAS_EXT_E-44"/>
    <x v="0"/>
    <x v="16"/>
    <n v="11.1111111111111"/>
    <n v="4055.5555555555602"/>
    <n v="14600"/>
  </r>
  <r>
    <x v="0"/>
    <x v="0"/>
    <x v="0"/>
    <x v="1"/>
    <x v="2"/>
    <s v="EE_Sillamae"/>
    <x v="3"/>
    <s v="GNR_ENG_NGAS_EXT_E-44"/>
    <x v="0"/>
    <x v="5"/>
    <n v="11.1111111111111"/>
    <n v="4055.5555555555602"/>
    <n v="14600"/>
  </r>
  <r>
    <x v="0"/>
    <x v="0"/>
    <x v="0"/>
    <x v="1"/>
    <x v="2"/>
    <s v="EE_Sillamae"/>
    <x v="3"/>
    <s v="GNR_ENG_NGAS_EXT_E-44"/>
    <x v="0"/>
    <x v="17"/>
    <n v="11.1111111111111"/>
    <n v="4055.5555555555602"/>
    <n v="14600"/>
  </r>
  <r>
    <x v="0"/>
    <x v="0"/>
    <x v="0"/>
    <x v="1"/>
    <x v="2"/>
    <s v="EE_Sillamae"/>
    <x v="3"/>
    <s v="GNR_ENG_NGAS_EXT_E-44"/>
    <x v="0"/>
    <x v="18"/>
    <n v="11.1111111111111"/>
    <n v="4055.5555555555602"/>
    <n v="14600"/>
  </r>
  <r>
    <x v="0"/>
    <x v="0"/>
    <x v="0"/>
    <x v="1"/>
    <x v="2"/>
    <s v="EE_Sillamae"/>
    <x v="3"/>
    <s v="GNR_ENG_NGAS_EXT_E-44"/>
    <x v="0"/>
    <x v="19"/>
    <n v="11.1111111111111"/>
    <n v="4055.5555555555602"/>
    <n v="14600"/>
  </r>
  <r>
    <x v="0"/>
    <x v="0"/>
    <x v="0"/>
    <x v="1"/>
    <x v="2"/>
    <s v="EE_Sillamae"/>
    <x v="3"/>
    <s v="GNR_ENG_NGAS_EXT_E-44"/>
    <x v="0"/>
    <x v="20"/>
    <n v="11.1111111111111"/>
    <n v="4055.5555555555602"/>
    <n v="14600"/>
  </r>
  <r>
    <x v="0"/>
    <x v="0"/>
    <x v="0"/>
    <x v="1"/>
    <x v="2"/>
    <s v="EE_Sillamae"/>
    <x v="3"/>
    <s v="GNR_ENG_NGAS_EXT_E-44"/>
    <x v="0"/>
    <x v="21"/>
    <n v="11.1111111111111"/>
    <n v="4055.5555555555602"/>
    <n v="14600"/>
  </r>
  <r>
    <x v="0"/>
    <x v="0"/>
    <x v="0"/>
    <x v="1"/>
    <x v="2"/>
    <s v="EE_Sillamae"/>
    <x v="3"/>
    <s v="GNR_ENG_NGAS_EXT_E-44"/>
    <x v="0"/>
    <x v="22"/>
    <n v="11.1111111111111"/>
    <n v="4055.5555555555602"/>
    <n v="14600"/>
  </r>
  <r>
    <x v="0"/>
    <x v="0"/>
    <x v="0"/>
    <x v="1"/>
    <x v="2"/>
    <s v="EE_Sillamae"/>
    <x v="3"/>
    <s v="GNR_ENG_NGAS_EXT_E-44"/>
    <x v="0"/>
    <x v="23"/>
    <n v="11.1111111111111"/>
    <n v="4055.5555555555602"/>
    <n v="14600"/>
  </r>
  <r>
    <x v="0"/>
    <x v="0"/>
    <x v="0"/>
    <x v="1"/>
    <x v="2"/>
    <s v="EE_Tallinn"/>
    <x v="1"/>
    <s v="GNR_HS_HEAT_WTR-TANK_LS_E-95_Y-2010"/>
    <x v="0"/>
    <x v="6"/>
    <n v="129.665318380158"/>
    <n v="47327.841208757804"/>
    <n v="170380.228351528"/>
  </r>
  <r>
    <x v="0"/>
    <x v="0"/>
    <x v="0"/>
    <x v="1"/>
    <x v="2"/>
    <s v="EE_Tallinn"/>
    <x v="1"/>
    <s v="GNR_HS_HEAT_WTR-TANK_LS_E-95_Y-2010"/>
    <x v="0"/>
    <x v="7"/>
    <n v="28.205991557773999"/>
    <n v="10295.1869185875"/>
    <n v="37062.672906915002"/>
  </r>
  <r>
    <x v="0"/>
    <x v="0"/>
    <x v="0"/>
    <x v="1"/>
    <x v="2"/>
    <s v="EE_Tallinn"/>
    <x v="1"/>
    <s v="GNR_HS_HEAT_WTR-TANK_LS_E-95_Y-2010"/>
    <x v="0"/>
    <x v="8"/>
    <n v="72.229989723263202"/>
    <n v="26363.946248991098"/>
    <n v="94910.206496367799"/>
  </r>
  <r>
    <x v="0"/>
    <x v="0"/>
    <x v="0"/>
    <x v="1"/>
    <x v="2"/>
    <s v="EE_Tallinn"/>
    <x v="1"/>
    <s v="GNR_HS_HEAT_WTR-TANK_LS_E-95_Y-2010"/>
    <x v="0"/>
    <x v="9"/>
    <n v="87.545337513383402"/>
    <n v="31954.0481923849"/>
    <n v="115034.573492586"/>
  </r>
  <r>
    <x v="0"/>
    <x v="0"/>
    <x v="0"/>
    <x v="1"/>
    <x v="2"/>
    <s v="EE_Tallinn"/>
    <x v="1"/>
    <s v="GNR_HS_HEAT_WTR-TANK_LS_E-95_Y-2010"/>
    <x v="0"/>
    <x v="10"/>
    <n v="23.6031446191109"/>
    <n v="8615.1477859754705"/>
    <n v="31014.532029511702"/>
  </r>
  <r>
    <x v="0"/>
    <x v="0"/>
    <x v="0"/>
    <x v="1"/>
    <x v="2"/>
    <s v="EE_Tallinn"/>
    <x v="1"/>
    <s v="GNR_HS_HEAT_WTR-TANK_LS_E-95_Y-2010"/>
    <x v="0"/>
    <x v="11"/>
    <n v="18.465082920138201"/>
    <n v="6739.7552658504501"/>
    <n v="24263.118957061601"/>
  </r>
  <r>
    <x v="0"/>
    <x v="0"/>
    <x v="0"/>
    <x v="1"/>
    <x v="2"/>
    <s v="EE_Tallinn"/>
    <x v="1"/>
    <s v="GNR_HS_HEAT_WTR-TANK_LS_E-95_Y-2010"/>
    <x v="0"/>
    <x v="15"/>
    <n v="26.945497123006799"/>
    <n v="9835.1064498974993"/>
    <n v="35406.383219631003"/>
  </r>
  <r>
    <x v="0"/>
    <x v="0"/>
    <x v="0"/>
    <x v="1"/>
    <x v="2"/>
    <s v="EE_Tallinn"/>
    <x v="1"/>
    <s v="GNR_HS_HEAT_WTR-TANK_LS_E-95_Y-2010"/>
    <x v="0"/>
    <x v="22"/>
    <n v="71.143081148753296"/>
    <n v="25967.224619295001"/>
    <n v="93482.008629461896"/>
  </r>
  <r>
    <x v="0"/>
    <x v="0"/>
    <x v="0"/>
    <x v="1"/>
    <x v="2"/>
    <s v="EE_Tallinn"/>
    <x v="1"/>
    <s v="GNR_HS_HEAT_WTR-TANK_LS_E-95_Y-2010"/>
    <x v="0"/>
    <x v="23"/>
    <n v="70.821952292567403"/>
    <n v="25850.012586787099"/>
    <n v="93060.045312433605"/>
  </r>
  <r>
    <x v="0"/>
    <x v="0"/>
    <x v="0"/>
    <x v="1"/>
    <x v="2"/>
    <s v="EE_Tallinn"/>
    <x v="2"/>
    <s v="IRU_ST_MSW_BP"/>
    <x v="0"/>
    <x v="6"/>
    <n v="34"/>
    <n v="12410"/>
    <n v="44676"/>
  </r>
  <r>
    <x v="0"/>
    <x v="0"/>
    <x v="0"/>
    <x v="1"/>
    <x v="2"/>
    <s v="EE_Tallinn"/>
    <x v="2"/>
    <s v="IRU_ST_MSW_BP"/>
    <x v="0"/>
    <x v="7"/>
    <n v="34"/>
    <n v="12410"/>
    <n v="44676"/>
  </r>
  <r>
    <x v="0"/>
    <x v="0"/>
    <x v="0"/>
    <x v="1"/>
    <x v="2"/>
    <s v="EE_Tallinn"/>
    <x v="2"/>
    <s v="IRU_ST_MSW_BP"/>
    <x v="0"/>
    <x v="8"/>
    <n v="34"/>
    <n v="12410"/>
    <n v="44676"/>
  </r>
  <r>
    <x v="0"/>
    <x v="0"/>
    <x v="0"/>
    <x v="1"/>
    <x v="2"/>
    <s v="EE_Tallinn"/>
    <x v="2"/>
    <s v="IRU_ST_MSW_BP"/>
    <x v="0"/>
    <x v="9"/>
    <n v="34"/>
    <n v="12410"/>
    <n v="44676"/>
  </r>
  <r>
    <x v="0"/>
    <x v="0"/>
    <x v="0"/>
    <x v="1"/>
    <x v="2"/>
    <s v="EE_Tallinn"/>
    <x v="2"/>
    <s v="IRU_ST_MSW_BP"/>
    <x v="0"/>
    <x v="10"/>
    <n v="34"/>
    <n v="12410"/>
    <n v="44676"/>
  </r>
  <r>
    <x v="0"/>
    <x v="0"/>
    <x v="0"/>
    <x v="1"/>
    <x v="2"/>
    <s v="EE_Tallinn"/>
    <x v="2"/>
    <s v="IRU_ST_MSW_BP"/>
    <x v="0"/>
    <x v="11"/>
    <n v="34"/>
    <n v="12410"/>
    <n v="44676"/>
  </r>
  <r>
    <x v="0"/>
    <x v="0"/>
    <x v="0"/>
    <x v="1"/>
    <x v="2"/>
    <s v="EE_Tallinn"/>
    <x v="2"/>
    <s v="IRU_ST_MSW_BP"/>
    <x v="0"/>
    <x v="0"/>
    <n v="34"/>
    <n v="12410"/>
    <n v="44676"/>
  </r>
  <r>
    <x v="0"/>
    <x v="0"/>
    <x v="0"/>
    <x v="1"/>
    <x v="2"/>
    <s v="EE_Tallinn"/>
    <x v="2"/>
    <s v="IRU_ST_MSW_BP"/>
    <x v="0"/>
    <x v="1"/>
    <n v="34"/>
    <n v="12410"/>
    <n v="44676"/>
  </r>
  <r>
    <x v="0"/>
    <x v="0"/>
    <x v="0"/>
    <x v="1"/>
    <x v="2"/>
    <s v="EE_Tallinn"/>
    <x v="2"/>
    <s v="IRU_ST_MSW_BP"/>
    <x v="0"/>
    <x v="2"/>
    <n v="34"/>
    <n v="12410"/>
    <n v="44676"/>
  </r>
  <r>
    <x v="0"/>
    <x v="0"/>
    <x v="0"/>
    <x v="1"/>
    <x v="2"/>
    <s v="EE_Tallinn"/>
    <x v="2"/>
    <s v="IRU_ST_MSW_BP"/>
    <x v="0"/>
    <x v="3"/>
    <n v="34"/>
    <n v="12410"/>
    <n v="44676"/>
  </r>
  <r>
    <x v="0"/>
    <x v="0"/>
    <x v="0"/>
    <x v="1"/>
    <x v="2"/>
    <s v="EE_Tallinn"/>
    <x v="2"/>
    <s v="IRU_ST_MSW_BP"/>
    <x v="0"/>
    <x v="12"/>
    <n v="34"/>
    <n v="12410"/>
    <n v="44676"/>
  </r>
  <r>
    <x v="0"/>
    <x v="0"/>
    <x v="0"/>
    <x v="1"/>
    <x v="2"/>
    <s v="EE_Tallinn"/>
    <x v="2"/>
    <s v="IRU_ST_MSW_BP"/>
    <x v="0"/>
    <x v="13"/>
    <n v="34"/>
    <n v="12410"/>
    <n v="44676"/>
  </r>
  <r>
    <x v="0"/>
    <x v="0"/>
    <x v="0"/>
    <x v="1"/>
    <x v="2"/>
    <s v="EE_Tallinn"/>
    <x v="2"/>
    <s v="IRU_ST_MSW_BP"/>
    <x v="0"/>
    <x v="14"/>
    <n v="34"/>
    <n v="12410"/>
    <n v="44676"/>
  </r>
  <r>
    <x v="0"/>
    <x v="0"/>
    <x v="0"/>
    <x v="1"/>
    <x v="2"/>
    <s v="EE_Tallinn"/>
    <x v="2"/>
    <s v="IRU_ST_MSW_BP"/>
    <x v="0"/>
    <x v="15"/>
    <n v="34"/>
    <n v="12410"/>
    <n v="44676"/>
  </r>
  <r>
    <x v="0"/>
    <x v="0"/>
    <x v="0"/>
    <x v="1"/>
    <x v="2"/>
    <s v="EE_Tallinn"/>
    <x v="2"/>
    <s v="IRU_ST_MSW_BP"/>
    <x v="0"/>
    <x v="4"/>
    <n v="34"/>
    <n v="12410"/>
    <n v="44676"/>
  </r>
  <r>
    <x v="0"/>
    <x v="0"/>
    <x v="0"/>
    <x v="1"/>
    <x v="2"/>
    <s v="EE_Tallinn"/>
    <x v="2"/>
    <s v="IRU_ST_MSW_BP"/>
    <x v="0"/>
    <x v="16"/>
    <n v="34"/>
    <n v="12410"/>
    <n v="44676"/>
  </r>
  <r>
    <x v="0"/>
    <x v="0"/>
    <x v="0"/>
    <x v="1"/>
    <x v="2"/>
    <s v="EE_Tallinn"/>
    <x v="2"/>
    <s v="IRU_ST_MSW_BP"/>
    <x v="0"/>
    <x v="5"/>
    <n v="34"/>
    <n v="12410"/>
    <n v="44676"/>
  </r>
  <r>
    <x v="0"/>
    <x v="0"/>
    <x v="0"/>
    <x v="1"/>
    <x v="2"/>
    <s v="EE_Tallinn"/>
    <x v="2"/>
    <s v="IRU_ST_MSW_BP"/>
    <x v="0"/>
    <x v="17"/>
    <n v="34"/>
    <n v="12410"/>
    <n v="44676"/>
  </r>
  <r>
    <x v="0"/>
    <x v="0"/>
    <x v="0"/>
    <x v="1"/>
    <x v="2"/>
    <s v="EE_Tallinn"/>
    <x v="2"/>
    <s v="IRU_ST_MSW_BP"/>
    <x v="0"/>
    <x v="18"/>
    <n v="34"/>
    <n v="12410"/>
    <n v="44676"/>
  </r>
  <r>
    <x v="0"/>
    <x v="0"/>
    <x v="0"/>
    <x v="1"/>
    <x v="2"/>
    <s v="EE_Tallinn"/>
    <x v="2"/>
    <s v="IRU_ST_MSW_BP"/>
    <x v="0"/>
    <x v="19"/>
    <n v="34"/>
    <n v="12410"/>
    <n v="44676"/>
  </r>
  <r>
    <x v="0"/>
    <x v="0"/>
    <x v="0"/>
    <x v="1"/>
    <x v="2"/>
    <s v="EE_Tallinn"/>
    <x v="2"/>
    <s v="IRU_ST_MSW_BP"/>
    <x v="0"/>
    <x v="20"/>
    <n v="34"/>
    <n v="12410"/>
    <n v="44676"/>
  </r>
  <r>
    <x v="0"/>
    <x v="0"/>
    <x v="0"/>
    <x v="1"/>
    <x v="2"/>
    <s v="EE_Tallinn"/>
    <x v="2"/>
    <s v="IRU_ST_MSW_BP"/>
    <x v="0"/>
    <x v="21"/>
    <n v="34"/>
    <n v="12410"/>
    <n v="44676"/>
  </r>
  <r>
    <x v="0"/>
    <x v="0"/>
    <x v="0"/>
    <x v="1"/>
    <x v="2"/>
    <s v="EE_Tallinn"/>
    <x v="2"/>
    <s v="IRU_ST_MSW_BP"/>
    <x v="0"/>
    <x v="22"/>
    <n v="34"/>
    <n v="12410"/>
    <n v="44676"/>
  </r>
  <r>
    <x v="0"/>
    <x v="0"/>
    <x v="0"/>
    <x v="1"/>
    <x v="2"/>
    <s v="EE_Tallinn"/>
    <x v="2"/>
    <s v="IRU_ST_MSW_BP"/>
    <x v="0"/>
    <x v="23"/>
    <n v="34"/>
    <n v="12410"/>
    <n v="44676"/>
  </r>
  <r>
    <x v="0"/>
    <x v="0"/>
    <x v="0"/>
    <x v="1"/>
    <x v="2"/>
    <s v="EE_Tallinn"/>
    <x v="3"/>
    <s v="GNR_ENG_NGAS_EXT_E-44"/>
    <x v="0"/>
    <x v="6"/>
    <n v="1.6666666666666701"/>
    <n v="608.33333333333303"/>
    <n v="2190"/>
  </r>
  <r>
    <x v="0"/>
    <x v="0"/>
    <x v="0"/>
    <x v="1"/>
    <x v="2"/>
    <s v="EE_Tallinn"/>
    <x v="3"/>
    <s v="GNR_ENG_NGAS_EXT_E-44"/>
    <x v="0"/>
    <x v="7"/>
    <n v="1.6666666666666701"/>
    <n v="608.33333333333303"/>
    <n v="2190"/>
  </r>
  <r>
    <x v="0"/>
    <x v="0"/>
    <x v="0"/>
    <x v="1"/>
    <x v="2"/>
    <s v="EE_Tallinn"/>
    <x v="3"/>
    <s v="GNR_ENG_NGAS_EXT_E-44"/>
    <x v="0"/>
    <x v="8"/>
    <n v="1.6666666666666701"/>
    <n v="608.33333333333303"/>
    <n v="2190"/>
  </r>
  <r>
    <x v="0"/>
    <x v="0"/>
    <x v="0"/>
    <x v="1"/>
    <x v="2"/>
    <s v="EE_Tallinn"/>
    <x v="3"/>
    <s v="GNR_ENG_NGAS_EXT_E-44"/>
    <x v="0"/>
    <x v="9"/>
    <n v="1.6666666666666701"/>
    <n v="608.33333333333303"/>
    <n v="2190"/>
  </r>
  <r>
    <x v="0"/>
    <x v="0"/>
    <x v="0"/>
    <x v="1"/>
    <x v="2"/>
    <s v="EE_Tallinn"/>
    <x v="3"/>
    <s v="GNR_ENG_NGAS_EXT_E-44"/>
    <x v="0"/>
    <x v="10"/>
    <n v="1.6666666666666701"/>
    <n v="608.33333333333303"/>
    <n v="2190"/>
  </r>
  <r>
    <x v="0"/>
    <x v="0"/>
    <x v="0"/>
    <x v="1"/>
    <x v="2"/>
    <s v="EE_Tallinn"/>
    <x v="3"/>
    <s v="GNR_ENG_NGAS_EXT_E-44"/>
    <x v="0"/>
    <x v="11"/>
    <n v="1.6666666666666701"/>
    <n v="608.33333333333303"/>
    <n v="2190"/>
  </r>
  <r>
    <x v="0"/>
    <x v="0"/>
    <x v="0"/>
    <x v="1"/>
    <x v="2"/>
    <s v="EE_Tallinn"/>
    <x v="3"/>
    <s v="GNR_ENG_NGAS_EXT_E-44"/>
    <x v="0"/>
    <x v="0"/>
    <n v="1.6666666666666701"/>
    <n v="608.33333333333303"/>
    <n v="2190"/>
  </r>
  <r>
    <x v="0"/>
    <x v="0"/>
    <x v="0"/>
    <x v="1"/>
    <x v="2"/>
    <s v="EE_Tallinn"/>
    <x v="3"/>
    <s v="GNR_ENG_NGAS_EXT_E-44"/>
    <x v="0"/>
    <x v="1"/>
    <n v="1.6666666666666701"/>
    <n v="608.33333333333303"/>
    <n v="2190"/>
  </r>
  <r>
    <x v="0"/>
    <x v="0"/>
    <x v="0"/>
    <x v="1"/>
    <x v="2"/>
    <s v="EE_Tallinn"/>
    <x v="3"/>
    <s v="GNR_ENG_NGAS_EXT_E-44"/>
    <x v="0"/>
    <x v="2"/>
    <n v="1.6666666666666701"/>
    <n v="608.33333333333303"/>
    <n v="2190"/>
  </r>
  <r>
    <x v="0"/>
    <x v="0"/>
    <x v="0"/>
    <x v="1"/>
    <x v="2"/>
    <s v="EE_Tallinn"/>
    <x v="3"/>
    <s v="GNR_ENG_NGAS_EXT_E-44"/>
    <x v="0"/>
    <x v="3"/>
    <n v="1.6666666666666701"/>
    <n v="608.33333333333303"/>
    <n v="2190"/>
  </r>
  <r>
    <x v="0"/>
    <x v="0"/>
    <x v="0"/>
    <x v="1"/>
    <x v="2"/>
    <s v="EE_Tallinn"/>
    <x v="3"/>
    <s v="GNR_ENG_NGAS_EXT_E-44"/>
    <x v="0"/>
    <x v="12"/>
    <n v="1.6666666666666701"/>
    <n v="608.33333333333303"/>
    <n v="2190"/>
  </r>
  <r>
    <x v="0"/>
    <x v="0"/>
    <x v="0"/>
    <x v="1"/>
    <x v="2"/>
    <s v="EE_Tallinn"/>
    <x v="3"/>
    <s v="GNR_ENG_NGAS_EXT_E-44"/>
    <x v="0"/>
    <x v="13"/>
    <n v="1.6666666666666701"/>
    <n v="608.33333333333303"/>
    <n v="2190"/>
  </r>
  <r>
    <x v="0"/>
    <x v="0"/>
    <x v="0"/>
    <x v="1"/>
    <x v="2"/>
    <s v="EE_Tallinn"/>
    <x v="3"/>
    <s v="GNR_ENG_NGAS_EXT_E-44"/>
    <x v="0"/>
    <x v="14"/>
    <n v="1.6666666666666701"/>
    <n v="608.33333333333303"/>
    <n v="2190"/>
  </r>
  <r>
    <x v="0"/>
    <x v="0"/>
    <x v="0"/>
    <x v="1"/>
    <x v="2"/>
    <s v="EE_Tallinn"/>
    <x v="3"/>
    <s v="GNR_ENG_NGAS_EXT_E-44"/>
    <x v="0"/>
    <x v="15"/>
    <n v="1.6666666666666701"/>
    <n v="608.33333333333303"/>
    <n v="2190"/>
  </r>
  <r>
    <x v="0"/>
    <x v="0"/>
    <x v="0"/>
    <x v="1"/>
    <x v="2"/>
    <s v="EE_Tallinn"/>
    <x v="3"/>
    <s v="GNR_ENG_NGAS_EXT_E-44"/>
    <x v="0"/>
    <x v="4"/>
    <n v="1.6666666666666701"/>
    <n v="608.33333333333303"/>
    <n v="2190"/>
  </r>
  <r>
    <x v="0"/>
    <x v="0"/>
    <x v="0"/>
    <x v="1"/>
    <x v="2"/>
    <s v="EE_Tallinn"/>
    <x v="3"/>
    <s v="GNR_ENG_NGAS_EXT_E-44"/>
    <x v="0"/>
    <x v="16"/>
    <n v="1.6666666666666701"/>
    <n v="608.33333333333303"/>
    <n v="2190"/>
  </r>
  <r>
    <x v="0"/>
    <x v="0"/>
    <x v="0"/>
    <x v="1"/>
    <x v="2"/>
    <s v="EE_Tallinn"/>
    <x v="3"/>
    <s v="GNR_ENG_NGAS_EXT_E-44"/>
    <x v="0"/>
    <x v="5"/>
    <n v="1.6666666666666701"/>
    <n v="608.33333333333303"/>
    <n v="2190"/>
  </r>
  <r>
    <x v="0"/>
    <x v="0"/>
    <x v="0"/>
    <x v="1"/>
    <x v="2"/>
    <s v="EE_Tallinn"/>
    <x v="3"/>
    <s v="GNR_ENG_NGAS_EXT_E-44"/>
    <x v="0"/>
    <x v="17"/>
    <n v="1.6666666666666701"/>
    <n v="608.33333333333303"/>
    <n v="2190"/>
  </r>
  <r>
    <x v="0"/>
    <x v="0"/>
    <x v="0"/>
    <x v="1"/>
    <x v="2"/>
    <s v="EE_Tallinn"/>
    <x v="3"/>
    <s v="GNR_ENG_NGAS_EXT_E-44"/>
    <x v="0"/>
    <x v="18"/>
    <n v="1.6666666666666701"/>
    <n v="608.33333333333303"/>
    <n v="2190"/>
  </r>
  <r>
    <x v="0"/>
    <x v="0"/>
    <x v="0"/>
    <x v="1"/>
    <x v="2"/>
    <s v="EE_Tallinn"/>
    <x v="3"/>
    <s v="GNR_ENG_NGAS_EXT_E-44"/>
    <x v="0"/>
    <x v="19"/>
    <n v="1.6666666666666701"/>
    <n v="608.33333333333303"/>
    <n v="2190"/>
  </r>
  <r>
    <x v="0"/>
    <x v="0"/>
    <x v="0"/>
    <x v="1"/>
    <x v="2"/>
    <s v="EE_Tallinn"/>
    <x v="3"/>
    <s v="GNR_ENG_NGAS_EXT_E-44"/>
    <x v="0"/>
    <x v="20"/>
    <n v="1.6666666666666701"/>
    <n v="608.33333333333303"/>
    <n v="2190"/>
  </r>
  <r>
    <x v="0"/>
    <x v="0"/>
    <x v="0"/>
    <x v="1"/>
    <x v="2"/>
    <s v="EE_Tallinn"/>
    <x v="3"/>
    <s v="GNR_ENG_NGAS_EXT_E-44"/>
    <x v="0"/>
    <x v="21"/>
    <n v="1.6666666666666701"/>
    <n v="608.33333333333303"/>
    <n v="2190"/>
  </r>
  <r>
    <x v="0"/>
    <x v="0"/>
    <x v="0"/>
    <x v="1"/>
    <x v="2"/>
    <s v="EE_Tallinn"/>
    <x v="3"/>
    <s v="GNR_ENG_NGAS_EXT_E-44"/>
    <x v="0"/>
    <x v="22"/>
    <n v="1.6666666666666701"/>
    <n v="608.33333333333303"/>
    <n v="2190"/>
  </r>
  <r>
    <x v="0"/>
    <x v="0"/>
    <x v="0"/>
    <x v="1"/>
    <x v="2"/>
    <s v="EE_Tallinn"/>
    <x v="3"/>
    <s v="GNR_ENG_NGAS_EXT_E-44"/>
    <x v="0"/>
    <x v="23"/>
    <n v="1.6666666666666701"/>
    <n v="608.33333333333303"/>
    <n v="2190"/>
  </r>
  <r>
    <x v="0"/>
    <x v="0"/>
    <x v="0"/>
    <x v="1"/>
    <x v="2"/>
    <s v="EE_Tallinn"/>
    <x v="3"/>
    <s v="IRU_ST_NGAS_BP"/>
    <x v="0"/>
    <x v="6"/>
    <n v="7.4162212387423896"/>
    <n v="2706.9207521409699"/>
    <n v="9744.9147077074995"/>
  </r>
  <r>
    <x v="0"/>
    <x v="0"/>
    <x v="0"/>
    <x v="1"/>
    <x v="2"/>
    <s v="EE_Tallinn"/>
    <x v="3"/>
    <s v="IRU_ST_NGAS_BP"/>
    <x v="0"/>
    <x v="7"/>
    <n v="110.58823529411799"/>
    <n v="40364.705882352901"/>
    <n v="145312.94117647101"/>
  </r>
  <r>
    <x v="0"/>
    <x v="0"/>
    <x v="0"/>
    <x v="1"/>
    <x v="2"/>
    <s v="EE_Tallinn"/>
    <x v="3"/>
    <s v="IRU_ST_NGAS_BP"/>
    <x v="0"/>
    <x v="8"/>
    <n v="67.099451888938006"/>
    <n v="24491.299939462398"/>
    <n v="88168.679782064602"/>
  </r>
  <r>
    <x v="0"/>
    <x v="0"/>
    <x v="0"/>
    <x v="1"/>
    <x v="2"/>
    <s v="EE_Tallinn"/>
    <x v="3"/>
    <s v="IRU_ST_NGAS_BP"/>
    <x v="0"/>
    <x v="9"/>
    <n v="50.178459817889099"/>
    <n v="18315.137833529501"/>
    <n v="65934.4962007063"/>
  </r>
  <r>
    <x v="0"/>
    <x v="0"/>
    <x v="0"/>
    <x v="1"/>
    <x v="2"/>
    <s v="EE_Tallinn"/>
    <x v="3"/>
    <s v="IRU_ST_NGAS_BP"/>
    <x v="0"/>
    <x v="10"/>
    <n v="110.58823529411799"/>
    <n v="40364.705882352901"/>
    <n v="145312.94117647101"/>
  </r>
  <r>
    <x v="0"/>
    <x v="0"/>
    <x v="0"/>
    <x v="1"/>
    <x v="2"/>
    <s v="EE_Tallinn"/>
    <x v="3"/>
    <s v="IRU_ST_NGAS_BP"/>
    <x v="0"/>
    <x v="11"/>
    <n v="110.58823529411799"/>
    <n v="40364.705882352901"/>
    <n v="145312.94117647101"/>
  </r>
  <r>
    <x v="0"/>
    <x v="0"/>
    <x v="0"/>
    <x v="1"/>
    <x v="2"/>
    <s v="EE_Tallinn"/>
    <x v="3"/>
    <s v="IRU_ST_NGAS_BP"/>
    <x v="0"/>
    <x v="0"/>
    <n v="110.58823529411799"/>
    <n v="40364.705882352901"/>
    <n v="145312.94117647101"/>
  </r>
  <r>
    <x v="0"/>
    <x v="0"/>
    <x v="0"/>
    <x v="1"/>
    <x v="2"/>
    <s v="EE_Tallinn"/>
    <x v="3"/>
    <s v="IRU_ST_NGAS_BP"/>
    <x v="0"/>
    <x v="1"/>
    <n v="110.58823529411799"/>
    <n v="40364.705882352901"/>
    <n v="145312.94117647101"/>
  </r>
  <r>
    <x v="0"/>
    <x v="0"/>
    <x v="0"/>
    <x v="1"/>
    <x v="2"/>
    <s v="EE_Tallinn"/>
    <x v="3"/>
    <s v="IRU_ST_NGAS_BP"/>
    <x v="0"/>
    <x v="2"/>
    <n v="110.58823529411799"/>
    <n v="40364.705882352901"/>
    <n v="145312.94117647101"/>
  </r>
  <r>
    <x v="0"/>
    <x v="0"/>
    <x v="0"/>
    <x v="1"/>
    <x v="2"/>
    <s v="EE_Tallinn"/>
    <x v="3"/>
    <s v="IRU_ST_NGAS_BP"/>
    <x v="0"/>
    <x v="3"/>
    <n v="110.58823529411799"/>
    <n v="40364.705882352901"/>
    <n v="145312.94117647101"/>
  </r>
  <r>
    <x v="0"/>
    <x v="0"/>
    <x v="0"/>
    <x v="1"/>
    <x v="2"/>
    <s v="EE_Tallinn"/>
    <x v="3"/>
    <s v="IRU_ST_NGAS_BP"/>
    <x v="0"/>
    <x v="12"/>
    <n v="110.58823529411799"/>
    <n v="40364.705882352901"/>
    <n v="145312.94117647101"/>
  </r>
  <r>
    <x v="0"/>
    <x v="0"/>
    <x v="0"/>
    <x v="1"/>
    <x v="2"/>
    <s v="EE_Tallinn"/>
    <x v="3"/>
    <s v="IRU_ST_NGAS_BP"/>
    <x v="0"/>
    <x v="13"/>
    <n v="110.58823529411799"/>
    <n v="40364.705882352901"/>
    <n v="145312.94117647101"/>
  </r>
  <r>
    <x v="0"/>
    <x v="0"/>
    <x v="0"/>
    <x v="1"/>
    <x v="2"/>
    <s v="EE_Tallinn"/>
    <x v="3"/>
    <s v="IRU_ST_NGAS_BP"/>
    <x v="0"/>
    <x v="14"/>
    <n v="110.58823529411799"/>
    <n v="40364.705882352901"/>
    <n v="145312.94117647101"/>
  </r>
  <r>
    <x v="0"/>
    <x v="0"/>
    <x v="0"/>
    <x v="1"/>
    <x v="2"/>
    <s v="EE_Tallinn"/>
    <x v="3"/>
    <s v="IRU_ST_NGAS_BP"/>
    <x v="0"/>
    <x v="15"/>
    <n v="110.58823529411799"/>
    <n v="40364.705882352901"/>
    <n v="145312.94117647101"/>
  </r>
  <r>
    <x v="0"/>
    <x v="0"/>
    <x v="0"/>
    <x v="1"/>
    <x v="2"/>
    <s v="EE_Tallinn"/>
    <x v="3"/>
    <s v="IRU_ST_NGAS_BP"/>
    <x v="0"/>
    <x v="4"/>
    <n v="110.58823529411799"/>
    <n v="40364.705882352901"/>
    <n v="145312.94117647101"/>
  </r>
  <r>
    <x v="0"/>
    <x v="0"/>
    <x v="0"/>
    <x v="1"/>
    <x v="2"/>
    <s v="EE_Tallinn"/>
    <x v="3"/>
    <s v="IRU_ST_NGAS_BP"/>
    <x v="0"/>
    <x v="16"/>
    <n v="110.58823529411799"/>
    <n v="40364.705882352901"/>
    <n v="145312.94117647101"/>
  </r>
  <r>
    <x v="0"/>
    <x v="0"/>
    <x v="0"/>
    <x v="1"/>
    <x v="2"/>
    <s v="EE_Tallinn"/>
    <x v="3"/>
    <s v="IRU_ST_NGAS_BP"/>
    <x v="0"/>
    <x v="5"/>
    <n v="110.58823529411799"/>
    <n v="40364.705882352901"/>
    <n v="145312.94117647101"/>
  </r>
  <r>
    <x v="0"/>
    <x v="0"/>
    <x v="0"/>
    <x v="1"/>
    <x v="2"/>
    <s v="EE_Tallinn"/>
    <x v="3"/>
    <s v="IRU_ST_NGAS_BP"/>
    <x v="0"/>
    <x v="17"/>
    <n v="110.58823529411799"/>
    <n v="40364.705882352901"/>
    <n v="145312.94117647101"/>
  </r>
  <r>
    <x v="0"/>
    <x v="0"/>
    <x v="0"/>
    <x v="1"/>
    <x v="2"/>
    <s v="EE_Tallinn"/>
    <x v="3"/>
    <s v="IRU_ST_NGAS_BP"/>
    <x v="0"/>
    <x v="18"/>
    <n v="110.58823529411799"/>
    <n v="40364.705882352901"/>
    <n v="145312.94117647101"/>
  </r>
  <r>
    <x v="0"/>
    <x v="0"/>
    <x v="0"/>
    <x v="1"/>
    <x v="2"/>
    <s v="EE_Tallinn"/>
    <x v="3"/>
    <s v="IRU_ST_NGAS_BP"/>
    <x v="0"/>
    <x v="19"/>
    <n v="110.58823529411799"/>
    <n v="40364.705882352901"/>
    <n v="145312.94117647101"/>
  </r>
  <r>
    <x v="0"/>
    <x v="0"/>
    <x v="0"/>
    <x v="1"/>
    <x v="2"/>
    <s v="EE_Tallinn"/>
    <x v="3"/>
    <s v="IRU_ST_NGAS_BP"/>
    <x v="0"/>
    <x v="20"/>
    <n v="73.390983142053798"/>
    <n v="26787.7088468496"/>
    <n v="96435.751848658707"/>
  </r>
  <r>
    <x v="0"/>
    <x v="0"/>
    <x v="0"/>
    <x v="1"/>
    <x v="2"/>
    <s v="EE_Tallinn"/>
    <x v="3"/>
    <s v="IRU_ST_NGAS_BP"/>
    <x v="0"/>
    <x v="21"/>
    <n v="72.106467717310906"/>
    <n v="26318.860716818501"/>
    <n v="94747.898580546607"/>
  </r>
  <r>
    <x v="0"/>
    <x v="0"/>
    <x v="0"/>
    <x v="1"/>
    <x v="2"/>
    <s v="EE_Tallinn"/>
    <x v="10"/>
    <s v="MUSTAMAE_ST_WOOD_BP"/>
    <x v="0"/>
    <x v="0"/>
    <n v="11.935462844361099"/>
    <n v="4356.4439381918201"/>
    <n v="15683.1981774905"/>
  </r>
  <r>
    <x v="0"/>
    <x v="0"/>
    <x v="0"/>
    <x v="1"/>
    <x v="2"/>
    <s v="EE_Tallinn"/>
    <x v="10"/>
    <s v="MUSTAMAE_ST_WOOD_BP"/>
    <x v="0"/>
    <x v="1"/>
    <n v="33.000033000033"/>
    <n v="12045.012045011999"/>
    <n v="43362.043362043398"/>
  </r>
  <r>
    <x v="0"/>
    <x v="0"/>
    <x v="0"/>
    <x v="1"/>
    <x v="2"/>
    <s v="EE_Tallinn"/>
    <x v="10"/>
    <s v="MUSTAMAE_ST_WOOD_BP"/>
    <x v="0"/>
    <x v="2"/>
    <n v="33.000033000033"/>
    <n v="12045.012045011999"/>
    <n v="43362.043362043398"/>
  </r>
  <r>
    <x v="0"/>
    <x v="0"/>
    <x v="0"/>
    <x v="1"/>
    <x v="2"/>
    <s v="EE_Tallinn"/>
    <x v="10"/>
    <s v="MUSTAMAE_ST_WOOD_BP"/>
    <x v="0"/>
    <x v="3"/>
    <n v="33.000033000033"/>
    <n v="12045.012045011999"/>
    <n v="43362.043362043398"/>
  </r>
  <r>
    <x v="0"/>
    <x v="0"/>
    <x v="0"/>
    <x v="1"/>
    <x v="2"/>
    <s v="EE_Tallinn"/>
    <x v="10"/>
    <s v="MUSTAMAE_ST_WOOD_BP"/>
    <x v="0"/>
    <x v="12"/>
    <n v="33.000033000033"/>
    <n v="12045.012045011999"/>
    <n v="43362.043362043398"/>
  </r>
  <r>
    <x v="0"/>
    <x v="0"/>
    <x v="0"/>
    <x v="1"/>
    <x v="2"/>
    <s v="EE_Tallinn"/>
    <x v="10"/>
    <s v="MUSTAMAE_ST_WOOD_BP"/>
    <x v="0"/>
    <x v="13"/>
    <n v="33.000033000033"/>
    <n v="12045.012045011999"/>
    <n v="43362.043362043398"/>
  </r>
  <r>
    <x v="0"/>
    <x v="0"/>
    <x v="0"/>
    <x v="1"/>
    <x v="2"/>
    <s v="EE_Tallinn"/>
    <x v="10"/>
    <s v="MUSTAMAE_ST_WOOD_BP"/>
    <x v="0"/>
    <x v="14"/>
    <n v="33.000033000033"/>
    <n v="12045.012045011999"/>
    <n v="43362.043362043398"/>
  </r>
  <r>
    <x v="0"/>
    <x v="0"/>
    <x v="0"/>
    <x v="1"/>
    <x v="2"/>
    <s v="EE_Tallinn"/>
    <x v="10"/>
    <s v="MUSTAMAE_ST_WOOD_BP"/>
    <x v="0"/>
    <x v="4"/>
    <n v="33.000033000033"/>
    <n v="12045.012045011999"/>
    <n v="43362.043362043398"/>
  </r>
  <r>
    <x v="0"/>
    <x v="0"/>
    <x v="0"/>
    <x v="1"/>
    <x v="2"/>
    <s v="EE_Tallinn"/>
    <x v="10"/>
    <s v="MUSTAMAE_ST_WOOD_BP"/>
    <x v="0"/>
    <x v="16"/>
    <n v="33.000033000033"/>
    <n v="12045.012045011999"/>
    <n v="43362.043362043398"/>
  </r>
  <r>
    <x v="0"/>
    <x v="0"/>
    <x v="0"/>
    <x v="1"/>
    <x v="2"/>
    <s v="EE_Tallinn"/>
    <x v="10"/>
    <s v="MUSTAMAE_ST_WOOD_BP"/>
    <x v="0"/>
    <x v="5"/>
    <n v="33.000033000033"/>
    <n v="12045.012045011999"/>
    <n v="43362.043362043398"/>
  </r>
  <r>
    <x v="0"/>
    <x v="0"/>
    <x v="0"/>
    <x v="1"/>
    <x v="2"/>
    <s v="EE_Tallinn"/>
    <x v="10"/>
    <s v="MUSTAMAE_ST_WOOD_BP"/>
    <x v="0"/>
    <x v="17"/>
    <n v="33.000033000033"/>
    <n v="12045.012045011999"/>
    <n v="43362.043362043398"/>
  </r>
  <r>
    <x v="0"/>
    <x v="0"/>
    <x v="0"/>
    <x v="1"/>
    <x v="2"/>
    <s v="EE_Tallinn"/>
    <x v="10"/>
    <s v="VAO-1_ST_WOOD_BP"/>
    <x v="0"/>
    <x v="6"/>
    <n v="42.000006720001103"/>
    <n v="15330.0024528004"/>
    <n v="55188.008830081402"/>
  </r>
  <r>
    <x v="0"/>
    <x v="0"/>
    <x v="0"/>
    <x v="1"/>
    <x v="2"/>
    <s v="EE_Tallinn"/>
    <x v="10"/>
    <s v="VAO-1_ST_WOOD_BP"/>
    <x v="0"/>
    <x v="7"/>
    <n v="42.000006720001103"/>
    <n v="15330.0024528004"/>
    <n v="55188.008830081402"/>
  </r>
  <r>
    <x v="0"/>
    <x v="0"/>
    <x v="0"/>
    <x v="1"/>
    <x v="2"/>
    <s v="EE_Tallinn"/>
    <x v="10"/>
    <s v="VAO-1_ST_WOOD_BP"/>
    <x v="0"/>
    <x v="8"/>
    <n v="42.000006720001103"/>
    <n v="15330.0024528004"/>
    <n v="55188.008830081402"/>
  </r>
  <r>
    <x v="0"/>
    <x v="0"/>
    <x v="0"/>
    <x v="1"/>
    <x v="2"/>
    <s v="EE_Tallinn"/>
    <x v="10"/>
    <s v="VAO-1_ST_WOOD_BP"/>
    <x v="0"/>
    <x v="9"/>
    <n v="42.000006720001103"/>
    <n v="15330.0024528004"/>
    <n v="55188.008830081402"/>
  </r>
  <r>
    <x v="0"/>
    <x v="0"/>
    <x v="0"/>
    <x v="1"/>
    <x v="2"/>
    <s v="EE_Tallinn"/>
    <x v="10"/>
    <s v="VAO-1_ST_WOOD_BP"/>
    <x v="0"/>
    <x v="10"/>
    <n v="42.000006720001103"/>
    <n v="15330.0024528004"/>
    <n v="55188.008830081402"/>
  </r>
  <r>
    <x v="0"/>
    <x v="0"/>
    <x v="0"/>
    <x v="1"/>
    <x v="2"/>
    <s v="EE_Tallinn"/>
    <x v="10"/>
    <s v="VAO-1_ST_WOOD_BP"/>
    <x v="0"/>
    <x v="11"/>
    <n v="42.000006720001103"/>
    <n v="15330.0024528004"/>
    <n v="55188.008830081402"/>
  </r>
  <r>
    <x v="0"/>
    <x v="0"/>
    <x v="0"/>
    <x v="1"/>
    <x v="2"/>
    <s v="EE_Tallinn"/>
    <x v="10"/>
    <s v="VAO-1_ST_WOOD_BP"/>
    <x v="0"/>
    <x v="0"/>
    <n v="42.000006720001103"/>
    <n v="15330.0024528004"/>
    <n v="55188.008830081402"/>
  </r>
  <r>
    <x v="0"/>
    <x v="0"/>
    <x v="0"/>
    <x v="1"/>
    <x v="2"/>
    <s v="EE_Tallinn"/>
    <x v="10"/>
    <s v="VAO-1_ST_WOOD_BP"/>
    <x v="0"/>
    <x v="1"/>
    <n v="42.000006720001103"/>
    <n v="15330.0024528004"/>
    <n v="55188.008830081402"/>
  </r>
  <r>
    <x v="0"/>
    <x v="0"/>
    <x v="0"/>
    <x v="1"/>
    <x v="2"/>
    <s v="EE_Tallinn"/>
    <x v="10"/>
    <s v="VAO-1_ST_WOOD_BP"/>
    <x v="0"/>
    <x v="2"/>
    <n v="42.000006720001103"/>
    <n v="15330.0024528004"/>
    <n v="55188.008830081402"/>
  </r>
  <r>
    <x v="0"/>
    <x v="0"/>
    <x v="0"/>
    <x v="1"/>
    <x v="2"/>
    <s v="EE_Tallinn"/>
    <x v="10"/>
    <s v="VAO-1_ST_WOOD_BP"/>
    <x v="0"/>
    <x v="3"/>
    <n v="42.000006720001103"/>
    <n v="15330.0024528004"/>
    <n v="55188.008830081402"/>
  </r>
  <r>
    <x v="0"/>
    <x v="0"/>
    <x v="0"/>
    <x v="1"/>
    <x v="2"/>
    <s v="EE_Tallinn"/>
    <x v="10"/>
    <s v="VAO-1_ST_WOOD_BP"/>
    <x v="0"/>
    <x v="12"/>
    <n v="42.000006720001103"/>
    <n v="15330.0024528004"/>
    <n v="55188.008830081402"/>
  </r>
  <r>
    <x v="0"/>
    <x v="0"/>
    <x v="0"/>
    <x v="1"/>
    <x v="2"/>
    <s v="EE_Tallinn"/>
    <x v="10"/>
    <s v="VAO-1_ST_WOOD_BP"/>
    <x v="0"/>
    <x v="13"/>
    <n v="42.000006720001103"/>
    <n v="15330.0024528004"/>
    <n v="55188.008830081402"/>
  </r>
  <r>
    <x v="0"/>
    <x v="0"/>
    <x v="0"/>
    <x v="1"/>
    <x v="2"/>
    <s v="EE_Tallinn"/>
    <x v="10"/>
    <s v="VAO-1_ST_WOOD_BP"/>
    <x v="0"/>
    <x v="14"/>
    <n v="42.000006720001103"/>
    <n v="15330.0024528004"/>
    <n v="55188.008830081402"/>
  </r>
  <r>
    <x v="0"/>
    <x v="0"/>
    <x v="0"/>
    <x v="1"/>
    <x v="2"/>
    <s v="EE_Tallinn"/>
    <x v="10"/>
    <s v="VAO-1_ST_WOOD_BP"/>
    <x v="0"/>
    <x v="15"/>
    <n v="42.000006720001103"/>
    <n v="15330.0024528004"/>
    <n v="55188.008830081402"/>
  </r>
  <r>
    <x v="0"/>
    <x v="0"/>
    <x v="0"/>
    <x v="1"/>
    <x v="2"/>
    <s v="EE_Tallinn"/>
    <x v="10"/>
    <s v="VAO-1_ST_WOOD_BP"/>
    <x v="0"/>
    <x v="4"/>
    <n v="42.000006720001103"/>
    <n v="15330.0024528004"/>
    <n v="55188.008830081402"/>
  </r>
  <r>
    <x v="0"/>
    <x v="0"/>
    <x v="0"/>
    <x v="1"/>
    <x v="2"/>
    <s v="EE_Tallinn"/>
    <x v="10"/>
    <s v="VAO-1_ST_WOOD_BP"/>
    <x v="0"/>
    <x v="16"/>
    <n v="42.000006720001103"/>
    <n v="15330.0024528004"/>
    <n v="55188.008830081402"/>
  </r>
  <r>
    <x v="0"/>
    <x v="0"/>
    <x v="0"/>
    <x v="1"/>
    <x v="2"/>
    <s v="EE_Tallinn"/>
    <x v="10"/>
    <s v="VAO-1_ST_WOOD_BP"/>
    <x v="0"/>
    <x v="5"/>
    <n v="42.000006720001103"/>
    <n v="15330.0024528004"/>
    <n v="55188.008830081402"/>
  </r>
  <r>
    <x v="0"/>
    <x v="0"/>
    <x v="0"/>
    <x v="1"/>
    <x v="2"/>
    <s v="EE_Tallinn"/>
    <x v="10"/>
    <s v="VAO-1_ST_WOOD_BP"/>
    <x v="0"/>
    <x v="17"/>
    <n v="42.000006720001103"/>
    <n v="15330.0024528004"/>
    <n v="55188.008830081402"/>
  </r>
  <r>
    <x v="0"/>
    <x v="0"/>
    <x v="0"/>
    <x v="1"/>
    <x v="2"/>
    <s v="EE_Tallinn"/>
    <x v="10"/>
    <s v="VAO-1_ST_WOOD_BP"/>
    <x v="0"/>
    <x v="18"/>
    <n v="42.000006720001103"/>
    <n v="15330.0024528004"/>
    <n v="55188.008830081402"/>
  </r>
  <r>
    <x v="0"/>
    <x v="0"/>
    <x v="0"/>
    <x v="1"/>
    <x v="2"/>
    <s v="EE_Tallinn"/>
    <x v="10"/>
    <s v="VAO-1_ST_WOOD_BP"/>
    <x v="0"/>
    <x v="19"/>
    <n v="42.000006720001103"/>
    <n v="15330.0024528004"/>
    <n v="55188.008830081402"/>
  </r>
  <r>
    <x v="0"/>
    <x v="0"/>
    <x v="0"/>
    <x v="1"/>
    <x v="2"/>
    <s v="EE_Tallinn"/>
    <x v="10"/>
    <s v="VAO-1_ST_WOOD_BP"/>
    <x v="0"/>
    <x v="20"/>
    <n v="42.000006720001103"/>
    <n v="15330.0024528004"/>
    <n v="55188.008830081402"/>
  </r>
  <r>
    <x v="0"/>
    <x v="0"/>
    <x v="0"/>
    <x v="1"/>
    <x v="2"/>
    <s v="EE_Tallinn"/>
    <x v="10"/>
    <s v="VAO-1_ST_WOOD_BP"/>
    <x v="0"/>
    <x v="21"/>
    <n v="42.000006720001103"/>
    <n v="15330.0024528004"/>
    <n v="55188.008830081402"/>
  </r>
  <r>
    <x v="0"/>
    <x v="0"/>
    <x v="0"/>
    <x v="1"/>
    <x v="2"/>
    <s v="EE_Tallinn"/>
    <x v="10"/>
    <s v="VAO-1_ST_WOOD_BP"/>
    <x v="0"/>
    <x v="22"/>
    <n v="42.000006720001103"/>
    <n v="15330.0024528004"/>
    <n v="55188.008830081402"/>
  </r>
  <r>
    <x v="0"/>
    <x v="0"/>
    <x v="0"/>
    <x v="1"/>
    <x v="2"/>
    <s v="EE_Tallinn"/>
    <x v="10"/>
    <s v="VAO-1_ST_WOOD_BP"/>
    <x v="0"/>
    <x v="23"/>
    <n v="42.000006720001103"/>
    <n v="15330.0024528004"/>
    <n v="55188.008830081402"/>
  </r>
  <r>
    <x v="0"/>
    <x v="0"/>
    <x v="0"/>
    <x v="1"/>
    <x v="2"/>
    <s v="EE_Tallinn"/>
    <x v="10"/>
    <s v="VAO-2_ST_WOOD_BP"/>
    <x v="0"/>
    <x v="6"/>
    <n v="55.000026190488697"/>
    <n v="20075.0095595284"/>
    <n v="72270.034414302107"/>
  </r>
  <r>
    <x v="0"/>
    <x v="0"/>
    <x v="0"/>
    <x v="1"/>
    <x v="2"/>
    <s v="EE_Tallinn"/>
    <x v="10"/>
    <s v="VAO-2_ST_WOOD_BP"/>
    <x v="0"/>
    <x v="7"/>
    <n v="55.000026190488697"/>
    <n v="20075.0095595284"/>
    <n v="72270.034414302107"/>
  </r>
  <r>
    <x v="0"/>
    <x v="0"/>
    <x v="0"/>
    <x v="1"/>
    <x v="2"/>
    <s v="EE_Tallinn"/>
    <x v="10"/>
    <s v="VAO-2_ST_WOOD_BP"/>
    <x v="0"/>
    <x v="8"/>
    <n v="55.000026190488697"/>
    <n v="20075.0095595284"/>
    <n v="72270.034414302107"/>
  </r>
  <r>
    <x v="0"/>
    <x v="0"/>
    <x v="0"/>
    <x v="1"/>
    <x v="2"/>
    <s v="EE_Tallinn"/>
    <x v="10"/>
    <s v="VAO-2_ST_WOOD_BP"/>
    <x v="0"/>
    <x v="9"/>
    <n v="55.000026190488697"/>
    <n v="20075.0095595284"/>
    <n v="72270.034414302107"/>
  </r>
  <r>
    <x v="0"/>
    <x v="0"/>
    <x v="0"/>
    <x v="1"/>
    <x v="2"/>
    <s v="EE_Tallinn"/>
    <x v="10"/>
    <s v="VAO-2_ST_WOOD_BP"/>
    <x v="0"/>
    <x v="10"/>
    <n v="55.000026190488697"/>
    <n v="20075.0095595284"/>
    <n v="72270.034414302107"/>
  </r>
  <r>
    <x v="0"/>
    <x v="0"/>
    <x v="0"/>
    <x v="1"/>
    <x v="2"/>
    <s v="EE_Tallinn"/>
    <x v="10"/>
    <s v="VAO-2_ST_WOOD_BP"/>
    <x v="0"/>
    <x v="11"/>
    <n v="55.000026190488697"/>
    <n v="20075.0095595284"/>
    <n v="72270.034414302107"/>
  </r>
  <r>
    <x v="0"/>
    <x v="0"/>
    <x v="0"/>
    <x v="1"/>
    <x v="2"/>
    <s v="EE_Tallinn"/>
    <x v="10"/>
    <s v="VAO-2_ST_WOOD_BP"/>
    <x v="0"/>
    <x v="0"/>
    <n v="55.000026190488697"/>
    <n v="20075.0095595284"/>
    <n v="72270.034414302107"/>
  </r>
  <r>
    <x v="0"/>
    <x v="0"/>
    <x v="0"/>
    <x v="1"/>
    <x v="2"/>
    <s v="EE_Tallinn"/>
    <x v="10"/>
    <s v="VAO-2_ST_WOOD_BP"/>
    <x v="0"/>
    <x v="1"/>
    <n v="55.000026190488697"/>
    <n v="20075.0095595284"/>
    <n v="72270.034414302107"/>
  </r>
  <r>
    <x v="0"/>
    <x v="0"/>
    <x v="0"/>
    <x v="1"/>
    <x v="2"/>
    <s v="EE_Tallinn"/>
    <x v="10"/>
    <s v="VAO-2_ST_WOOD_BP"/>
    <x v="0"/>
    <x v="2"/>
    <n v="55.000026190488697"/>
    <n v="20075.0095595284"/>
    <n v="72270.034414302107"/>
  </r>
  <r>
    <x v="0"/>
    <x v="0"/>
    <x v="0"/>
    <x v="1"/>
    <x v="2"/>
    <s v="EE_Tallinn"/>
    <x v="10"/>
    <s v="VAO-2_ST_WOOD_BP"/>
    <x v="0"/>
    <x v="3"/>
    <n v="55.000026190488697"/>
    <n v="20075.0095595284"/>
    <n v="72270.034414302107"/>
  </r>
  <r>
    <x v="0"/>
    <x v="0"/>
    <x v="0"/>
    <x v="1"/>
    <x v="2"/>
    <s v="EE_Tallinn"/>
    <x v="10"/>
    <s v="VAO-2_ST_WOOD_BP"/>
    <x v="0"/>
    <x v="12"/>
    <n v="55.000026190488697"/>
    <n v="20075.0095595284"/>
    <n v="72270.034414302107"/>
  </r>
  <r>
    <x v="0"/>
    <x v="0"/>
    <x v="0"/>
    <x v="1"/>
    <x v="2"/>
    <s v="EE_Tallinn"/>
    <x v="10"/>
    <s v="VAO-2_ST_WOOD_BP"/>
    <x v="0"/>
    <x v="13"/>
    <n v="55.000026190488697"/>
    <n v="20075.0095595284"/>
    <n v="72270.034414302107"/>
  </r>
  <r>
    <x v="0"/>
    <x v="0"/>
    <x v="0"/>
    <x v="1"/>
    <x v="2"/>
    <s v="EE_Tallinn"/>
    <x v="10"/>
    <s v="VAO-2_ST_WOOD_BP"/>
    <x v="0"/>
    <x v="14"/>
    <n v="55.000026190488697"/>
    <n v="20075.0095595284"/>
    <n v="72270.034414302107"/>
  </r>
  <r>
    <x v="0"/>
    <x v="0"/>
    <x v="0"/>
    <x v="1"/>
    <x v="2"/>
    <s v="EE_Tallinn"/>
    <x v="10"/>
    <s v="VAO-2_ST_WOOD_BP"/>
    <x v="0"/>
    <x v="15"/>
    <n v="0.91931440923894303"/>
    <n v="335.549759372214"/>
    <n v="1207.9791337399699"/>
  </r>
  <r>
    <x v="0"/>
    <x v="0"/>
    <x v="0"/>
    <x v="1"/>
    <x v="2"/>
    <s v="EE_Tallinn"/>
    <x v="10"/>
    <s v="VAO-2_ST_WOOD_BP"/>
    <x v="0"/>
    <x v="4"/>
    <n v="55.000026190488697"/>
    <n v="20075.0095595284"/>
    <n v="72270.034414302107"/>
  </r>
  <r>
    <x v="0"/>
    <x v="0"/>
    <x v="0"/>
    <x v="1"/>
    <x v="2"/>
    <s v="EE_Tallinn"/>
    <x v="10"/>
    <s v="VAO-2_ST_WOOD_BP"/>
    <x v="0"/>
    <x v="16"/>
    <n v="55.000026190488697"/>
    <n v="20075.0095595284"/>
    <n v="72270.034414302107"/>
  </r>
  <r>
    <x v="0"/>
    <x v="0"/>
    <x v="0"/>
    <x v="1"/>
    <x v="2"/>
    <s v="EE_Tallinn"/>
    <x v="10"/>
    <s v="VAO-2_ST_WOOD_BP"/>
    <x v="0"/>
    <x v="5"/>
    <n v="55.000026190488697"/>
    <n v="20075.0095595284"/>
    <n v="72270.034414302107"/>
  </r>
  <r>
    <x v="0"/>
    <x v="0"/>
    <x v="0"/>
    <x v="1"/>
    <x v="2"/>
    <s v="EE_Tallinn"/>
    <x v="10"/>
    <s v="VAO-2_ST_WOOD_BP"/>
    <x v="0"/>
    <x v="17"/>
    <n v="55.000026190488697"/>
    <n v="20075.0095595284"/>
    <n v="72270.034414302107"/>
  </r>
  <r>
    <x v="0"/>
    <x v="0"/>
    <x v="0"/>
    <x v="1"/>
    <x v="2"/>
    <s v="EE_Tallinn"/>
    <x v="10"/>
    <s v="VAO-2_ST_WOOD_BP"/>
    <x v="0"/>
    <x v="18"/>
    <n v="55.000026190488697"/>
    <n v="20075.0095595284"/>
    <n v="72270.034414302107"/>
  </r>
  <r>
    <x v="0"/>
    <x v="0"/>
    <x v="0"/>
    <x v="1"/>
    <x v="2"/>
    <s v="EE_Tallinn"/>
    <x v="10"/>
    <s v="VAO-2_ST_WOOD_BP"/>
    <x v="0"/>
    <x v="19"/>
    <n v="19.0872894631683"/>
    <n v="6966.8606540564297"/>
    <n v="25080.698354603101"/>
  </r>
  <r>
    <x v="0"/>
    <x v="0"/>
    <x v="0"/>
    <x v="1"/>
    <x v="2"/>
    <s v="EE_Tallinn"/>
    <x v="10"/>
    <s v="VAO-2_ST_WOOD_BP"/>
    <x v="0"/>
    <x v="20"/>
    <n v="55.000026190488697"/>
    <n v="20075.0095595284"/>
    <n v="72270.034414302107"/>
  </r>
  <r>
    <x v="0"/>
    <x v="0"/>
    <x v="0"/>
    <x v="1"/>
    <x v="2"/>
    <s v="EE_Tallinn"/>
    <x v="10"/>
    <s v="VAO-2_ST_WOOD_BP"/>
    <x v="0"/>
    <x v="21"/>
    <n v="55.000026190488697"/>
    <n v="20075.0095595284"/>
    <n v="72270.034414302107"/>
  </r>
  <r>
    <x v="0"/>
    <x v="0"/>
    <x v="0"/>
    <x v="1"/>
    <x v="2"/>
    <s v="EE_Tallinn"/>
    <x v="10"/>
    <s v="VAO-2_ST_WOOD_BP"/>
    <x v="0"/>
    <x v="22"/>
    <n v="55.000026190488697"/>
    <n v="20075.0095595284"/>
    <n v="72270.034414302107"/>
  </r>
  <r>
    <x v="0"/>
    <x v="0"/>
    <x v="0"/>
    <x v="1"/>
    <x v="2"/>
    <s v="EE_Tallinn"/>
    <x v="10"/>
    <s v="VAO-2_ST_WOOD_BP"/>
    <x v="0"/>
    <x v="23"/>
    <n v="55.000026190488697"/>
    <n v="20075.0095595284"/>
    <n v="72270.034414302107"/>
  </r>
  <r>
    <x v="0"/>
    <x v="0"/>
    <x v="0"/>
    <x v="1"/>
    <x v="2"/>
    <s v="EE_Tartu"/>
    <x v="3"/>
    <s v="GNR_BO_NGAS_HO_E-85"/>
    <x v="0"/>
    <x v="6"/>
    <n v="20.875525094878601"/>
    <n v="7619.5666596307001"/>
    <n v="27430.439974670498"/>
  </r>
  <r>
    <x v="0"/>
    <x v="0"/>
    <x v="0"/>
    <x v="1"/>
    <x v="2"/>
    <s v="EE_Tartu"/>
    <x v="3"/>
    <s v="GNR_BO_NGAS_HO_E-85"/>
    <x v="0"/>
    <x v="7"/>
    <n v="21.3128302377613"/>
    <n v="7779.1830367828798"/>
    <n v="28005.0589324184"/>
  </r>
  <r>
    <x v="0"/>
    <x v="0"/>
    <x v="0"/>
    <x v="1"/>
    <x v="2"/>
    <s v="EE_Tartu"/>
    <x v="3"/>
    <s v="GNR_BO_NGAS_HO_E-85"/>
    <x v="0"/>
    <x v="8"/>
    <n v="21.449488094911999"/>
    <n v="7829.0631546428804"/>
    <n v="28184.627356714402"/>
  </r>
  <r>
    <x v="0"/>
    <x v="0"/>
    <x v="0"/>
    <x v="1"/>
    <x v="2"/>
    <s v="EE_Tartu"/>
    <x v="3"/>
    <s v="GNR_BO_NGAS_HO_E-85"/>
    <x v="0"/>
    <x v="9"/>
    <n v="21.0395145234593"/>
    <n v="7679.4228010626503"/>
    <n v="27645.922083825499"/>
  </r>
  <r>
    <x v="0"/>
    <x v="0"/>
    <x v="0"/>
    <x v="1"/>
    <x v="2"/>
    <s v="EE_Tartu"/>
    <x v="3"/>
    <s v="GNR_BO_NGAS_HO_E-85"/>
    <x v="0"/>
    <x v="10"/>
    <n v="20.1375726662646"/>
    <n v="7350.2140231865696"/>
    <n v="26460.770483471599"/>
  </r>
  <r>
    <x v="0"/>
    <x v="0"/>
    <x v="0"/>
    <x v="1"/>
    <x v="2"/>
    <s v="EE_Tartu"/>
    <x v="3"/>
    <s v="GNR_BO_NGAS_HO_E-85"/>
    <x v="0"/>
    <x v="11"/>
    <n v="18.825657237616898"/>
    <n v="6871.3648917301498"/>
    <n v="24736.913610228599"/>
  </r>
  <r>
    <x v="0"/>
    <x v="0"/>
    <x v="0"/>
    <x v="1"/>
    <x v="2"/>
    <s v="EE_Tartu"/>
    <x v="3"/>
    <s v="GNR_BO_NGAS_HO_E-85"/>
    <x v="0"/>
    <x v="0"/>
    <n v="17.158431380377301"/>
    <n v="6262.8274538377"/>
    <n v="22546.178833815698"/>
  </r>
  <r>
    <x v="0"/>
    <x v="0"/>
    <x v="0"/>
    <x v="1"/>
    <x v="2"/>
    <s v="EE_Tartu"/>
    <x v="3"/>
    <s v="GNR_BO_NGAS_HO_E-85"/>
    <x v="0"/>
    <x v="1"/>
    <n v="15.1085635231155"/>
    <n v="5514.6256859371497"/>
    <n v="19852.652469373701"/>
  </r>
  <r>
    <x v="0"/>
    <x v="0"/>
    <x v="0"/>
    <x v="1"/>
    <x v="2"/>
    <s v="EE_Tartu"/>
    <x v="3"/>
    <s v="GNR_BO_NGAS_HO_E-85"/>
    <x v="0"/>
    <x v="2"/>
    <n v="13.332011380155301"/>
    <n v="4866.1841537566997"/>
    <n v="17518.262953524099"/>
  </r>
  <r>
    <x v="0"/>
    <x v="0"/>
    <x v="0"/>
    <x v="1"/>
    <x v="2"/>
    <s v="EE_Tartu"/>
    <x v="3"/>
    <s v="GNR_BO_NGAS_HO_E-85"/>
    <x v="0"/>
    <x v="3"/>
    <n v="11.719448665776101"/>
    <n v="4277.59876300827"/>
    <n v="15399.3555468298"/>
  </r>
  <r>
    <x v="0"/>
    <x v="0"/>
    <x v="0"/>
    <x v="1"/>
    <x v="2"/>
    <s v="EE_Tartu"/>
    <x v="3"/>
    <s v="GNR_BO_NGAS_HO_E-85"/>
    <x v="0"/>
    <x v="12"/>
    <n v="10.270875379977801"/>
    <n v="3748.86951369191"/>
    <n v="13495.930249290899"/>
  </r>
  <r>
    <x v="0"/>
    <x v="0"/>
    <x v="0"/>
    <x v="1"/>
    <x v="2"/>
    <s v="EE_Tartu"/>
    <x v="3"/>
    <s v="GNR_BO_NGAS_HO_E-85"/>
    <x v="0"/>
    <x v="13"/>
    <n v="9.0682862370508595"/>
    <n v="3309.9244765235599"/>
    <n v="11915.728115484801"/>
  </r>
  <r>
    <x v="0"/>
    <x v="0"/>
    <x v="0"/>
    <x v="1"/>
    <x v="2"/>
    <s v="EE_Tartu"/>
    <x v="3"/>
    <s v="GNR_BO_NGAS_HO_E-85"/>
    <x v="0"/>
    <x v="14"/>
    <n v="8.0296865227049103"/>
    <n v="2930.8355807872899"/>
    <n v="10551.008090834301"/>
  </r>
  <r>
    <x v="0"/>
    <x v="0"/>
    <x v="0"/>
    <x v="1"/>
    <x v="2"/>
    <s v="EE_Tartu"/>
    <x v="3"/>
    <s v="GNR_BO_NGAS_HO_E-85"/>
    <x v="0"/>
    <x v="15"/>
    <n v="7.1824078083701099"/>
    <n v="2621.5788500550898"/>
    <n v="9437.68386019832"/>
  </r>
  <r>
    <x v="0"/>
    <x v="0"/>
    <x v="0"/>
    <x v="1"/>
    <x v="2"/>
    <s v="EE_Tartu"/>
    <x v="3"/>
    <s v="GNR_BO_NGAS_HO_E-85"/>
    <x v="0"/>
    <x v="4"/>
    <n v="6.6631079511971301"/>
    <n v="2432.03440218695"/>
    <n v="8755.3238478730309"/>
  </r>
  <r>
    <x v="0"/>
    <x v="0"/>
    <x v="0"/>
    <x v="1"/>
    <x v="2"/>
    <s v="EE_Tartu"/>
    <x v="3"/>
    <s v="GNR_BO_NGAS_HO_E-85"/>
    <x v="0"/>
    <x v="16"/>
    <n v="6.2804659511749001"/>
    <n v="2292.37007217884"/>
    <n v="8252.5322598438106"/>
  </r>
  <r>
    <x v="0"/>
    <x v="0"/>
    <x v="0"/>
    <x v="1"/>
    <x v="2"/>
    <s v="EE_Tartu"/>
    <x v="3"/>
    <s v="GNR_BO_NGAS_HO_E-85"/>
    <x v="0"/>
    <x v="5"/>
    <n v="5.9524870940130103"/>
    <n v="2172.6577893147501"/>
    <n v="7821.5680415330899"/>
  </r>
  <r>
    <x v="0"/>
    <x v="0"/>
    <x v="0"/>
    <x v="1"/>
    <x v="2"/>
    <s v="EE_Tartu"/>
    <x v="3"/>
    <s v="GNR_BO_NGAS_HO_E-85"/>
    <x v="0"/>
    <x v="17"/>
    <n v="5.6518398082813199"/>
    <n v="2062.9215300226801"/>
    <n v="7426.5175080816598"/>
  </r>
  <r>
    <x v="0"/>
    <x v="0"/>
    <x v="0"/>
    <x v="1"/>
    <x v="2"/>
    <s v="EE_Tartu"/>
    <x v="3"/>
    <s v="GNR_BO_NGAS_HO_E-85"/>
    <x v="0"/>
    <x v="18"/>
    <n v="5.3238609511194301"/>
    <n v="1943.20924715859"/>
    <n v="6995.55328977093"/>
  </r>
  <r>
    <x v="0"/>
    <x v="0"/>
    <x v="0"/>
    <x v="1"/>
    <x v="2"/>
    <s v="EE_Tartu"/>
    <x v="3"/>
    <s v="GNR_BO_NGAS_HO_E-85"/>
    <x v="0"/>
    <x v="19"/>
    <n v="4.9412189510972597"/>
    <n v="1803.5449171504999"/>
    <n v="6492.7617017417897"/>
  </r>
  <r>
    <x v="0"/>
    <x v="0"/>
    <x v="0"/>
    <x v="1"/>
    <x v="2"/>
    <s v="EE_Tartu"/>
    <x v="3"/>
    <s v="GNR_BO_NGAS_HO_E-85"/>
    <x v="0"/>
    <x v="20"/>
    <n v="4.6132400939353699"/>
    <n v="1683.83263428641"/>
    <n v="6061.7974834310698"/>
  </r>
  <r>
    <x v="0"/>
    <x v="0"/>
    <x v="0"/>
    <x v="1"/>
    <x v="2"/>
    <s v="EE_Tartu"/>
    <x v="3"/>
    <s v="GNR_BO_NGAS_HO_E-85"/>
    <x v="0"/>
    <x v="21"/>
    <n v="4.2852612367734704"/>
    <n v="1564.12035142232"/>
    <n v="5630.83326512034"/>
  </r>
  <r>
    <x v="0"/>
    <x v="0"/>
    <x v="0"/>
    <x v="1"/>
    <x v="2"/>
    <s v="EE_Tartu"/>
    <x v="3"/>
    <s v="GNR_BO_NGAS_HO_E-85"/>
    <x v="0"/>
    <x v="22"/>
    <n v="4.0392770939020597"/>
    <n v="1474.3361392742499"/>
    <n v="5307.6101013873003"/>
  </r>
  <r>
    <x v="0"/>
    <x v="0"/>
    <x v="0"/>
    <x v="1"/>
    <x v="2"/>
    <s v="EE_Tartu"/>
    <x v="3"/>
    <s v="GNR_BO_NGAS_HO_E-85"/>
    <x v="0"/>
    <x v="23"/>
    <n v="3.9572823796115801"/>
    <n v="1444.4080685582301"/>
    <n v="5199.8690468096202"/>
  </r>
  <r>
    <x v="0"/>
    <x v="0"/>
    <x v="0"/>
    <x v="1"/>
    <x v="2"/>
    <s v="EE_Tartu"/>
    <x v="10"/>
    <s v="TARTU-1_ST_WOOD_BP"/>
    <x v="0"/>
    <x v="6"/>
    <n v="48.000034909116302"/>
    <n v="17520.012741827399"/>
    <n v="63072.045870578797"/>
  </r>
  <r>
    <x v="0"/>
    <x v="0"/>
    <x v="0"/>
    <x v="1"/>
    <x v="2"/>
    <s v="EE_Tartu"/>
    <x v="10"/>
    <s v="TARTU-1_ST_WOOD_BP"/>
    <x v="0"/>
    <x v="7"/>
    <n v="48.000034909116302"/>
    <n v="17520.012741827399"/>
    <n v="63072.045870578797"/>
  </r>
  <r>
    <x v="0"/>
    <x v="0"/>
    <x v="0"/>
    <x v="1"/>
    <x v="2"/>
    <s v="EE_Tartu"/>
    <x v="10"/>
    <s v="TARTU-1_ST_WOOD_BP"/>
    <x v="0"/>
    <x v="8"/>
    <n v="48.000034909116302"/>
    <n v="17520.012741827399"/>
    <n v="63072.045870578797"/>
  </r>
  <r>
    <x v="0"/>
    <x v="0"/>
    <x v="0"/>
    <x v="1"/>
    <x v="2"/>
    <s v="EE_Tartu"/>
    <x v="10"/>
    <s v="TARTU-1_ST_WOOD_BP"/>
    <x v="0"/>
    <x v="9"/>
    <n v="48.000034909116302"/>
    <n v="17520.012741827399"/>
    <n v="63072.045870578797"/>
  </r>
  <r>
    <x v="0"/>
    <x v="0"/>
    <x v="0"/>
    <x v="1"/>
    <x v="2"/>
    <s v="EE_Tartu"/>
    <x v="10"/>
    <s v="TARTU-1_ST_WOOD_BP"/>
    <x v="0"/>
    <x v="10"/>
    <n v="48.000034909116302"/>
    <n v="17520.012741827399"/>
    <n v="63072.045870578797"/>
  </r>
  <r>
    <x v="0"/>
    <x v="0"/>
    <x v="0"/>
    <x v="1"/>
    <x v="2"/>
    <s v="EE_Tartu"/>
    <x v="10"/>
    <s v="TARTU-1_ST_WOOD_BP"/>
    <x v="0"/>
    <x v="11"/>
    <n v="48.000034909116302"/>
    <n v="17520.012741827399"/>
    <n v="63072.045870578797"/>
  </r>
  <r>
    <x v="0"/>
    <x v="0"/>
    <x v="0"/>
    <x v="1"/>
    <x v="2"/>
    <s v="EE_Tartu"/>
    <x v="10"/>
    <s v="TARTU-1_ST_WOOD_BP"/>
    <x v="0"/>
    <x v="0"/>
    <n v="48.000034909116302"/>
    <n v="17520.012741827399"/>
    <n v="63072.045870578797"/>
  </r>
  <r>
    <x v="0"/>
    <x v="0"/>
    <x v="0"/>
    <x v="1"/>
    <x v="2"/>
    <s v="EE_Tartu"/>
    <x v="10"/>
    <s v="TARTU-1_ST_WOOD_BP"/>
    <x v="0"/>
    <x v="1"/>
    <n v="48.000034909116302"/>
    <n v="17520.012741827399"/>
    <n v="63072.045870578797"/>
  </r>
  <r>
    <x v="0"/>
    <x v="0"/>
    <x v="0"/>
    <x v="1"/>
    <x v="2"/>
    <s v="EE_Tartu"/>
    <x v="10"/>
    <s v="TARTU-1_ST_WOOD_BP"/>
    <x v="0"/>
    <x v="2"/>
    <n v="48.000034909116302"/>
    <n v="17520.012741827399"/>
    <n v="63072.045870578797"/>
  </r>
  <r>
    <x v="0"/>
    <x v="0"/>
    <x v="0"/>
    <x v="1"/>
    <x v="2"/>
    <s v="EE_Tartu"/>
    <x v="10"/>
    <s v="TARTU-1_ST_WOOD_BP"/>
    <x v="0"/>
    <x v="3"/>
    <n v="48.000034909116302"/>
    <n v="17520.012741827399"/>
    <n v="63072.045870578797"/>
  </r>
  <r>
    <x v="0"/>
    <x v="0"/>
    <x v="0"/>
    <x v="1"/>
    <x v="2"/>
    <s v="EE_Tartu"/>
    <x v="10"/>
    <s v="TARTU-1_ST_WOOD_BP"/>
    <x v="0"/>
    <x v="12"/>
    <n v="48.000034909116302"/>
    <n v="17520.012741827399"/>
    <n v="63072.045870578797"/>
  </r>
  <r>
    <x v="0"/>
    <x v="0"/>
    <x v="0"/>
    <x v="1"/>
    <x v="2"/>
    <s v="EE_Tartu"/>
    <x v="10"/>
    <s v="TARTU-1_ST_WOOD_BP"/>
    <x v="0"/>
    <x v="13"/>
    <n v="48.000034909116302"/>
    <n v="17520.012741827399"/>
    <n v="63072.045870578797"/>
  </r>
  <r>
    <x v="0"/>
    <x v="0"/>
    <x v="0"/>
    <x v="1"/>
    <x v="2"/>
    <s v="EE_Tartu"/>
    <x v="10"/>
    <s v="TARTU-1_ST_WOOD_BP"/>
    <x v="0"/>
    <x v="14"/>
    <n v="48.000034909116302"/>
    <n v="17520.012741827399"/>
    <n v="63072.045870578797"/>
  </r>
  <r>
    <x v="0"/>
    <x v="0"/>
    <x v="0"/>
    <x v="1"/>
    <x v="2"/>
    <s v="EE_Tartu"/>
    <x v="10"/>
    <s v="TARTU-1_ST_WOOD_BP"/>
    <x v="0"/>
    <x v="15"/>
    <n v="48.000034909116302"/>
    <n v="17520.012741827399"/>
    <n v="63072.045870578797"/>
  </r>
  <r>
    <x v="0"/>
    <x v="0"/>
    <x v="0"/>
    <x v="1"/>
    <x v="2"/>
    <s v="EE_Tartu"/>
    <x v="10"/>
    <s v="TARTU-1_ST_WOOD_BP"/>
    <x v="0"/>
    <x v="4"/>
    <n v="48.000034909116302"/>
    <n v="17520.012741827399"/>
    <n v="63072.045870578797"/>
  </r>
  <r>
    <x v="0"/>
    <x v="0"/>
    <x v="0"/>
    <x v="1"/>
    <x v="2"/>
    <s v="EE_Tartu"/>
    <x v="10"/>
    <s v="TARTU-1_ST_WOOD_BP"/>
    <x v="0"/>
    <x v="16"/>
    <n v="48.000034909116302"/>
    <n v="17520.012741827399"/>
    <n v="63072.045870578797"/>
  </r>
  <r>
    <x v="0"/>
    <x v="0"/>
    <x v="0"/>
    <x v="1"/>
    <x v="2"/>
    <s v="EE_Tartu"/>
    <x v="10"/>
    <s v="TARTU-1_ST_WOOD_BP"/>
    <x v="0"/>
    <x v="5"/>
    <n v="48.000034909116302"/>
    <n v="17520.012741827399"/>
    <n v="63072.045870578797"/>
  </r>
  <r>
    <x v="0"/>
    <x v="0"/>
    <x v="0"/>
    <x v="1"/>
    <x v="2"/>
    <s v="EE_Tartu"/>
    <x v="10"/>
    <s v="TARTU-1_ST_WOOD_BP"/>
    <x v="0"/>
    <x v="17"/>
    <n v="48.000034909116302"/>
    <n v="17520.012741827399"/>
    <n v="63072.045870578797"/>
  </r>
  <r>
    <x v="0"/>
    <x v="0"/>
    <x v="0"/>
    <x v="1"/>
    <x v="2"/>
    <s v="EE_Tartu"/>
    <x v="10"/>
    <s v="TARTU-1_ST_WOOD_BP"/>
    <x v="0"/>
    <x v="18"/>
    <n v="48.000034909116302"/>
    <n v="17520.012741827399"/>
    <n v="63072.045870578797"/>
  </r>
  <r>
    <x v="0"/>
    <x v="0"/>
    <x v="0"/>
    <x v="1"/>
    <x v="2"/>
    <s v="EE_Tartu"/>
    <x v="10"/>
    <s v="TARTU-1_ST_WOOD_BP"/>
    <x v="0"/>
    <x v="19"/>
    <n v="48.000034909116302"/>
    <n v="17520.012741827399"/>
    <n v="63072.045870578797"/>
  </r>
  <r>
    <x v="0"/>
    <x v="0"/>
    <x v="0"/>
    <x v="1"/>
    <x v="2"/>
    <s v="EE_Tartu"/>
    <x v="10"/>
    <s v="TARTU-1_ST_WOOD_BP"/>
    <x v="0"/>
    <x v="20"/>
    <n v="48.000034909116302"/>
    <n v="17520.012741827399"/>
    <n v="63072.045870578797"/>
  </r>
  <r>
    <x v="0"/>
    <x v="0"/>
    <x v="0"/>
    <x v="1"/>
    <x v="2"/>
    <s v="EE_Tartu"/>
    <x v="10"/>
    <s v="TARTU-1_ST_WOOD_BP"/>
    <x v="0"/>
    <x v="21"/>
    <n v="48.000034909116302"/>
    <n v="17520.012741827399"/>
    <n v="63072.045870578797"/>
  </r>
  <r>
    <x v="0"/>
    <x v="0"/>
    <x v="0"/>
    <x v="1"/>
    <x v="2"/>
    <s v="EE_Tartu"/>
    <x v="10"/>
    <s v="TARTU-1_ST_WOOD_BP"/>
    <x v="0"/>
    <x v="22"/>
    <n v="48.000034909116302"/>
    <n v="17520.012741827399"/>
    <n v="63072.045870578797"/>
  </r>
  <r>
    <x v="0"/>
    <x v="0"/>
    <x v="0"/>
    <x v="1"/>
    <x v="2"/>
    <s v="EE_Tartu"/>
    <x v="10"/>
    <s v="TARTU-1_ST_WOOD_BP"/>
    <x v="0"/>
    <x v="23"/>
    <n v="48.000034909116302"/>
    <n v="17520.012741827399"/>
    <n v="63072.045870578797"/>
  </r>
  <r>
    <x v="0"/>
    <x v="0"/>
    <x v="0"/>
    <x v="1"/>
    <x v="2"/>
    <s v="EE_Urban"/>
    <x v="3"/>
    <s v="GNR_ENG_NGAS_EXT_E-44"/>
    <x v="0"/>
    <x v="6"/>
    <n v="1"/>
    <n v="365"/>
    <n v="1314"/>
  </r>
  <r>
    <x v="0"/>
    <x v="0"/>
    <x v="0"/>
    <x v="1"/>
    <x v="2"/>
    <s v="EE_Urban"/>
    <x v="3"/>
    <s v="GNR_ENG_NGAS_EXT_E-44"/>
    <x v="0"/>
    <x v="7"/>
    <n v="1"/>
    <n v="365"/>
    <n v="1314"/>
  </r>
  <r>
    <x v="0"/>
    <x v="0"/>
    <x v="0"/>
    <x v="1"/>
    <x v="2"/>
    <s v="EE_Urban"/>
    <x v="3"/>
    <s v="GNR_ENG_NGAS_EXT_E-44"/>
    <x v="0"/>
    <x v="8"/>
    <n v="1"/>
    <n v="365"/>
    <n v="1314"/>
  </r>
  <r>
    <x v="0"/>
    <x v="0"/>
    <x v="0"/>
    <x v="1"/>
    <x v="2"/>
    <s v="EE_Urban"/>
    <x v="3"/>
    <s v="GNR_ENG_NGAS_EXT_E-44"/>
    <x v="0"/>
    <x v="9"/>
    <n v="1"/>
    <n v="365"/>
    <n v="1314"/>
  </r>
  <r>
    <x v="0"/>
    <x v="0"/>
    <x v="0"/>
    <x v="1"/>
    <x v="2"/>
    <s v="EE_Urban"/>
    <x v="3"/>
    <s v="GNR_ENG_NGAS_EXT_E-44"/>
    <x v="0"/>
    <x v="10"/>
    <n v="1"/>
    <n v="365"/>
    <n v="1314"/>
  </r>
  <r>
    <x v="0"/>
    <x v="0"/>
    <x v="0"/>
    <x v="1"/>
    <x v="2"/>
    <s v="EE_Urban"/>
    <x v="3"/>
    <s v="GNR_ENG_NGAS_EXT_E-44"/>
    <x v="0"/>
    <x v="11"/>
    <n v="1"/>
    <n v="365"/>
    <n v="1314"/>
  </r>
  <r>
    <x v="0"/>
    <x v="0"/>
    <x v="0"/>
    <x v="1"/>
    <x v="2"/>
    <s v="EE_Urban"/>
    <x v="3"/>
    <s v="GNR_ENG_NGAS_EXT_E-44"/>
    <x v="0"/>
    <x v="0"/>
    <n v="1"/>
    <n v="365"/>
    <n v="1314"/>
  </r>
  <r>
    <x v="0"/>
    <x v="0"/>
    <x v="0"/>
    <x v="1"/>
    <x v="2"/>
    <s v="EE_Urban"/>
    <x v="3"/>
    <s v="GNR_ENG_NGAS_EXT_E-44"/>
    <x v="0"/>
    <x v="1"/>
    <n v="1"/>
    <n v="365"/>
    <n v="1314"/>
  </r>
  <r>
    <x v="0"/>
    <x v="0"/>
    <x v="0"/>
    <x v="1"/>
    <x v="2"/>
    <s v="EE_Urban"/>
    <x v="3"/>
    <s v="GNR_ENG_NGAS_EXT_E-44"/>
    <x v="0"/>
    <x v="2"/>
    <n v="1"/>
    <n v="365"/>
    <n v="1314"/>
  </r>
  <r>
    <x v="0"/>
    <x v="0"/>
    <x v="0"/>
    <x v="1"/>
    <x v="2"/>
    <s v="EE_Urban"/>
    <x v="3"/>
    <s v="GNR_ENG_NGAS_EXT_E-44"/>
    <x v="0"/>
    <x v="3"/>
    <n v="1"/>
    <n v="365"/>
    <n v="1314"/>
  </r>
  <r>
    <x v="0"/>
    <x v="0"/>
    <x v="0"/>
    <x v="1"/>
    <x v="2"/>
    <s v="EE_Urban"/>
    <x v="3"/>
    <s v="GNR_ENG_NGAS_EXT_E-44"/>
    <x v="0"/>
    <x v="12"/>
    <n v="1"/>
    <n v="365"/>
    <n v="1314"/>
  </r>
  <r>
    <x v="0"/>
    <x v="0"/>
    <x v="0"/>
    <x v="1"/>
    <x v="2"/>
    <s v="EE_Urban"/>
    <x v="3"/>
    <s v="GNR_ENG_NGAS_EXT_E-44"/>
    <x v="0"/>
    <x v="13"/>
    <n v="1"/>
    <n v="365"/>
    <n v="1314"/>
  </r>
  <r>
    <x v="0"/>
    <x v="0"/>
    <x v="0"/>
    <x v="1"/>
    <x v="2"/>
    <s v="EE_Urban"/>
    <x v="3"/>
    <s v="GNR_ENG_NGAS_EXT_E-44"/>
    <x v="0"/>
    <x v="14"/>
    <n v="1"/>
    <n v="365"/>
    <n v="1314"/>
  </r>
  <r>
    <x v="0"/>
    <x v="0"/>
    <x v="0"/>
    <x v="1"/>
    <x v="2"/>
    <s v="EE_Urban"/>
    <x v="3"/>
    <s v="GNR_ENG_NGAS_EXT_E-44"/>
    <x v="0"/>
    <x v="15"/>
    <n v="1"/>
    <n v="365"/>
    <n v="1314"/>
  </r>
  <r>
    <x v="0"/>
    <x v="0"/>
    <x v="0"/>
    <x v="1"/>
    <x v="2"/>
    <s v="EE_Urban"/>
    <x v="3"/>
    <s v="GNR_ENG_NGAS_EXT_E-44"/>
    <x v="0"/>
    <x v="4"/>
    <n v="1"/>
    <n v="365"/>
    <n v="1314"/>
  </r>
  <r>
    <x v="0"/>
    <x v="0"/>
    <x v="0"/>
    <x v="1"/>
    <x v="2"/>
    <s v="EE_Urban"/>
    <x v="3"/>
    <s v="GNR_ENG_NGAS_EXT_E-44"/>
    <x v="0"/>
    <x v="16"/>
    <n v="1"/>
    <n v="365"/>
    <n v="1314"/>
  </r>
  <r>
    <x v="0"/>
    <x v="0"/>
    <x v="0"/>
    <x v="1"/>
    <x v="2"/>
    <s v="EE_Urban"/>
    <x v="3"/>
    <s v="GNR_ENG_NGAS_EXT_E-44"/>
    <x v="0"/>
    <x v="5"/>
    <n v="1"/>
    <n v="365"/>
    <n v="1314"/>
  </r>
  <r>
    <x v="0"/>
    <x v="0"/>
    <x v="0"/>
    <x v="1"/>
    <x v="2"/>
    <s v="EE_Urban"/>
    <x v="3"/>
    <s v="GNR_ENG_NGAS_EXT_E-44"/>
    <x v="0"/>
    <x v="17"/>
    <n v="1"/>
    <n v="365"/>
    <n v="1314"/>
  </r>
  <r>
    <x v="0"/>
    <x v="0"/>
    <x v="0"/>
    <x v="1"/>
    <x v="2"/>
    <s v="EE_Urban"/>
    <x v="3"/>
    <s v="GNR_ENG_NGAS_EXT_E-44"/>
    <x v="0"/>
    <x v="18"/>
    <n v="1"/>
    <n v="365"/>
    <n v="1314"/>
  </r>
  <r>
    <x v="0"/>
    <x v="0"/>
    <x v="0"/>
    <x v="1"/>
    <x v="2"/>
    <s v="EE_Urban"/>
    <x v="3"/>
    <s v="GNR_ENG_NGAS_EXT_E-44"/>
    <x v="0"/>
    <x v="19"/>
    <n v="1"/>
    <n v="365"/>
    <n v="1314"/>
  </r>
  <r>
    <x v="0"/>
    <x v="0"/>
    <x v="0"/>
    <x v="1"/>
    <x v="2"/>
    <s v="EE_Urban"/>
    <x v="3"/>
    <s v="GNR_ENG_NGAS_EXT_E-44"/>
    <x v="0"/>
    <x v="20"/>
    <n v="1"/>
    <n v="365"/>
    <n v="1314"/>
  </r>
  <r>
    <x v="0"/>
    <x v="0"/>
    <x v="0"/>
    <x v="1"/>
    <x v="2"/>
    <s v="EE_Urban"/>
    <x v="3"/>
    <s v="GNR_ENG_NGAS_EXT_E-44"/>
    <x v="0"/>
    <x v="21"/>
    <n v="1"/>
    <n v="365"/>
    <n v="1314"/>
  </r>
  <r>
    <x v="0"/>
    <x v="0"/>
    <x v="0"/>
    <x v="1"/>
    <x v="2"/>
    <s v="EE_Urban"/>
    <x v="3"/>
    <s v="GNR_ENG_NGAS_EXT_E-44"/>
    <x v="0"/>
    <x v="22"/>
    <n v="1"/>
    <n v="365"/>
    <n v="1314"/>
  </r>
  <r>
    <x v="0"/>
    <x v="0"/>
    <x v="0"/>
    <x v="1"/>
    <x v="2"/>
    <s v="EE_Urban"/>
    <x v="3"/>
    <s v="GNR_ENG_NGAS_EXT_E-44"/>
    <x v="0"/>
    <x v="23"/>
    <n v="1"/>
    <n v="365"/>
    <n v="1314"/>
  </r>
  <r>
    <x v="0"/>
    <x v="0"/>
    <x v="0"/>
    <x v="1"/>
    <x v="2"/>
    <s v="EE_Urban"/>
    <x v="10"/>
    <s v="GNR_ST_WOOD_BP_E-53"/>
    <x v="0"/>
    <x v="6"/>
    <n v="12"/>
    <n v="4380"/>
    <n v="15768"/>
  </r>
  <r>
    <x v="0"/>
    <x v="0"/>
    <x v="0"/>
    <x v="1"/>
    <x v="2"/>
    <s v="EE_Urban"/>
    <x v="10"/>
    <s v="GNR_ST_WOOD_BP_E-53"/>
    <x v="0"/>
    <x v="7"/>
    <n v="12"/>
    <n v="4380"/>
    <n v="15768"/>
  </r>
  <r>
    <x v="0"/>
    <x v="0"/>
    <x v="0"/>
    <x v="1"/>
    <x v="2"/>
    <s v="EE_Urban"/>
    <x v="10"/>
    <s v="GNR_ST_WOOD_BP_E-53"/>
    <x v="0"/>
    <x v="8"/>
    <n v="12"/>
    <n v="4380"/>
    <n v="15768"/>
  </r>
  <r>
    <x v="0"/>
    <x v="0"/>
    <x v="0"/>
    <x v="1"/>
    <x v="2"/>
    <s v="EE_Urban"/>
    <x v="10"/>
    <s v="GNR_ST_WOOD_BP_E-53"/>
    <x v="0"/>
    <x v="9"/>
    <n v="12"/>
    <n v="4380"/>
    <n v="15768"/>
  </r>
  <r>
    <x v="0"/>
    <x v="0"/>
    <x v="0"/>
    <x v="1"/>
    <x v="2"/>
    <s v="EE_Urban"/>
    <x v="10"/>
    <s v="GNR_ST_WOOD_BP_E-53"/>
    <x v="0"/>
    <x v="10"/>
    <n v="12"/>
    <n v="4380"/>
    <n v="15768"/>
  </r>
  <r>
    <x v="0"/>
    <x v="0"/>
    <x v="0"/>
    <x v="1"/>
    <x v="2"/>
    <s v="EE_Urban"/>
    <x v="10"/>
    <s v="GNR_ST_WOOD_BP_E-53"/>
    <x v="0"/>
    <x v="11"/>
    <n v="12"/>
    <n v="4380"/>
    <n v="15768"/>
  </r>
  <r>
    <x v="0"/>
    <x v="0"/>
    <x v="0"/>
    <x v="1"/>
    <x v="2"/>
    <s v="EE_Urban"/>
    <x v="10"/>
    <s v="GNR_ST_WOOD_BP_E-53"/>
    <x v="0"/>
    <x v="0"/>
    <n v="12"/>
    <n v="4380"/>
    <n v="15768"/>
  </r>
  <r>
    <x v="0"/>
    <x v="0"/>
    <x v="0"/>
    <x v="1"/>
    <x v="2"/>
    <s v="EE_Urban"/>
    <x v="10"/>
    <s v="GNR_ST_WOOD_BP_E-53"/>
    <x v="0"/>
    <x v="1"/>
    <n v="12"/>
    <n v="4380"/>
    <n v="15768"/>
  </r>
  <r>
    <x v="0"/>
    <x v="0"/>
    <x v="0"/>
    <x v="1"/>
    <x v="2"/>
    <s v="EE_Urban"/>
    <x v="10"/>
    <s v="GNR_ST_WOOD_BP_E-53"/>
    <x v="0"/>
    <x v="2"/>
    <n v="12"/>
    <n v="4380"/>
    <n v="15768"/>
  </r>
  <r>
    <x v="0"/>
    <x v="0"/>
    <x v="0"/>
    <x v="1"/>
    <x v="2"/>
    <s v="EE_Urban"/>
    <x v="10"/>
    <s v="GNR_ST_WOOD_BP_E-53"/>
    <x v="0"/>
    <x v="3"/>
    <n v="12"/>
    <n v="4380"/>
    <n v="15768"/>
  </r>
  <r>
    <x v="0"/>
    <x v="0"/>
    <x v="0"/>
    <x v="1"/>
    <x v="2"/>
    <s v="EE_Urban"/>
    <x v="10"/>
    <s v="GNR_ST_WOOD_BP_E-53"/>
    <x v="0"/>
    <x v="12"/>
    <n v="12"/>
    <n v="4380"/>
    <n v="15768"/>
  </r>
  <r>
    <x v="0"/>
    <x v="0"/>
    <x v="0"/>
    <x v="1"/>
    <x v="2"/>
    <s v="EE_Urban"/>
    <x v="10"/>
    <s v="GNR_ST_WOOD_BP_E-53"/>
    <x v="0"/>
    <x v="13"/>
    <n v="12"/>
    <n v="4380"/>
    <n v="15768"/>
  </r>
  <r>
    <x v="0"/>
    <x v="0"/>
    <x v="0"/>
    <x v="1"/>
    <x v="2"/>
    <s v="EE_Urban"/>
    <x v="10"/>
    <s v="GNR_ST_WOOD_BP_E-53"/>
    <x v="0"/>
    <x v="14"/>
    <n v="12"/>
    <n v="4380"/>
    <n v="15768"/>
  </r>
  <r>
    <x v="0"/>
    <x v="0"/>
    <x v="0"/>
    <x v="1"/>
    <x v="2"/>
    <s v="EE_Urban"/>
    <x v="10"/>
    <s v="GNR_ST_WOOD_BP_E-53"/>
    <x v="0"/>
    <x v="15"/>
    <n v="12"/>
    <n v="4380"/>
    <n v="15768"/>
  </r>
  <r>
    <x v="0"/>
    <x v="0"/>
    <x v="0"/>
    <x v="1"/>
    <x v="2"/>
    <s v="EE_Urban"/>
    <x v="10"/>
    <s v="GNR_ST_WOOD_BP_E-53"/>
    <x v="0"/>
    <x v="4"/>
    <n v="12"/>
    <n v="4380"/>
    <n v="15768"/>
  </r>
  <r>
    <x v="0"/>
    <x v="0"/>
    <x v="0"/>
    <x v="1"/>
    <x v="2"/>
    <s v="EE_Urban"/>
    <x v="10"/>
    <s v="GNR_ST_WOOD_BP_E-53"/>
    <x v="0"/>
    <x v="16"/>
    <n v="12"/>
    <n v="4380"/>
    <n v="15768"/>
  </r>
  <r>
    <x v="0"/>
    <x v="0"/>
    <x v="0"/>
    <x v="1"/>
    <x v="2"/>
    <s v="EE_Urban"/>
    <x v="10"/>
    <s v="GNR_ST_WOOD_BP_E-53"/>
    <x v="0"/>
    <x v="5"/>
    <n v="12"/>
    <n v="4380"/>
    <n v="15768"/>
  </r>
  <r>
    <x v="0"/>
    <x v="0"/>
    <x v="0"/>
    <x v="1"/>
    <x v="2"/>
    <s v="EE_Urban"/>
    <x v="10"/>
    <s v="GNR_ST_WOOD_BP_E-53"/>
    <x v="0"/>
    <x v="17"/>
    <n v="12"/>
    <n v="4380"/>
    <n v="15768"/>
  </r>
  <r>
    <x v="0"/>
    <x v="0"/>
    <x v="0"/>
    <x v="1"/>
    <x v="2"/>
    <s v="EE_Urban"/>
    <x v="10"/>
    <s v="GNR_ST_WOOD_BP_E-53"/>
    <x v="0"/>
    <x v="18"/>
    <n v="12"/>
    <n v="4380"/>
    <n v="15768"/>
  </r>
  <r>
    <x v="0"/>
    <x v="0"/>
    <x v="0"/>
    <x v="1"/>
    <x v="2"/>
    <s v="EE_Urban"/>
    <x v="10"/>
    <s v="GNR_ST_WOOD_BP_E-53"/>
    <x v="0"/>
    <x v="19"/>
    <n v="12"/>
    <n v="4380"/>
    <n v="15768"/>
  </r>
  <r>
    <x v="0"/>
    <x v="0"/>
    <x v="0"/>
    <x v="1"/>
    <x v="2"/>
    <s v="EE_Urban"/>
    <x v="10"/>
    <s v="GNR_ST_WOOD_BP_E-53"/>
    <x v="0"/>
    <x v="20"/>
    <n v="12"/>
    <n v="4380"/>
    <n v="15768"/>
  </r>
  <r>
    <x v="0"/>
    <x v="0"/>
    <x v="0"/>
    <x v="1"/>
    <x v="2"/>
    <s v="EE_Urban"/>
    <x v="10"/>
    <s v="GNR_ST_WOOD_BP_E-53"/>
    <x v="0"/>
    <x v="21"/>
    <n v="12"/>
    <n v="4380"/>
    <n v="15768"/>
  </r>
  <r>
    <x v="0"/>
    <x v="0"/>
    <x v="0"/>
    <x v="1"/>
    <x v="2"/>
    <s v="EE_Urban"/>
    <x v="10"/>
    <s v="GNR_ST_WOOD_BP_E-53"/>
    <x v="0"/>
    <x v="22"/>
    <n v="12"/>
    <n v="4380"/>
    <n v="15768"/>
  </r>
  <r>
    <x v="0"/>
    <x v="0"/>
    <x v="0"/>
    <x v="1"/>
    <x v="2"/>
    <s v="EE_Urban"/>
    <x v="10"/>
    <s v="GNR_ST_WOOD_BP_E-53"/>
    <x v="0"/>
    <x v="23"/>
    <n v="12"/>
    <n v="4380"/>
    <n v="15768"/>
  </r>
  <r>
    <x v="0"/>
    <x v="0"/>
    <x v="0"/>
    <x v="2"/>
    <x v="3"/>
    <s v="FIN_EL"/>
    <x v="1"/>
    <s v="GNR_HS_HEAT_WTR-TANK_LS_E-95_Y-2010"/>
    <x v="0"/>
    <x v="6"/>
    <n v="111.34498482445601"/>
    <n v="40640.919460926503"/>
    <n v="146307.310059335"/>
  </r>
  <r>
    <x v="0"/>
    <x v="0"/>
    <x v="0"/>
    <x v="2"/>
    <x v="3"/>
    <s v="FIN_EL"/>
    <x v="1"/>
    <s v="GNR_HS_HEAT_WTR-TANK_LS_E-95_Y-2010"/>
    <x v="0"/>
    <x v="7"/>
    <n v="108.510377600002"/>
    <n v="39606.287824000698"/>
    <n v="142582.63616640301"/>
  </r>
  <r>
    <x v="0"/>
    <x v="0"/>
    <x v="0"/>
    <x v="2"/>
    <x v="3"/>
    <s v="FIN_EL"/>
    <x v="1"/>
    <s v="GNR_HS_HEAT_WTR-TANK_LS_E-95_Y-2010"/>
    <x v="0"/>
    <x v="8"/>
    <n v="110.595146169166"/>
    <n v="40367.228351745602"/>
    <n v="145322.022066284"/>
  </r>
  <r>
    <x v="0"/>
    <x v="0"/>
    <x v="0"/>
    <x v="2"/>
    <x v="3"/>
    <s v="FIN_EL"/>
    <x v="1"/>
    <s v="GNR_HS_HEAT_WTR-TANK_LS_E-95_Y-2010"/>
    <x v="0"/>
    <x v="9"/>
    <n v="118.552763576007"/>
    <n v="43271.758705242602"/>
    <n v="155778.33133887299"/>
  </r>
  <r>
    <x v="0"/>
    <x v="0"/>
    <x v="0"/>
    <x v="2"/>
    <x v="3"/>
    <s v="FIN_EL"/>
    <x v="1"/>
    <s v="GNR_HS_HEAT_WTR-TANK_LS_E-95_Y-2010"/>
    <x v="0"/>
    <x v="10"/>
    <n v="136.30826763391201"/>
    <n v="49752.517686377803"/>
    <n v="179109.06367095999"/>
  </r>
  <r>
    <x v="0"/>
    <x v="0"/>
    <x v="0"/>
    <x v="2"/>
    <x v="3"/>
    <s v="FIN_EL"/>
    <x v="1"/>
    <s v="GNR_HS_HEAT_WTR-TANK_LS_E-95_Y-2010"/>
    <x v="0"/>
    <x v="11"/>
    <n v="3.53338939155236"/>
    <n v="1289.6871279166101"/>
    <n v="4642.8736604998003"/>
  </r>
  <r>
    <x v="0"/>
    <x v="0"/>
    <x v="0"/>
    <x v="2"/>
    <x v="3"/>
    <s v="FIN_EL"/>
    <x v="1"/>
    <s v="GNR_HS_HEAT_WTR-TANK_LS_E-95_Y-2010"/>
    <x v="0"/>
    <x v="1"/>
    <n v="0.95309914770598403"/>
    <n v="347.88118891268402"/>
    <n v="1252.3722800856599"/>
  </r>
  <r>
    <x v="0"/>
    <x v="0"/>
    <x v="0"/>
    <x v="2"/>
    <x v="3"/>
    <s v="FIN_EL"/>
    <x v="1"/>
    <s v="GNR_HS_HEAT_WTR-TANK_LS_E-95_Y-2010"/>
    <x v="0"/>
    <x v="2"/>
    <n v="8.2164949486219108"/>
    <n v="2999.0206562469998"/>
    <n v="10796.4743624892"/>
  </r>
  <r>
    <x v="0"/>
    <x v="0"/>
    <x v="0"/>
    <x v="2"/>
    <x v="3"/>
    <s v="FIN_EL"/>
    <x v="1"/>
    <s v="GNR_HS_HEAT_WTR-TANK_LS_E-95_Y-2010"/>
    <x v="0"/>
    <x v="3"/>
    <n v="11.299690980748"/>
    <n v="4124.3872079730099"/>
    <n v="14847.7939487028"/>
  </r>
  <r>
    <x v="0"/>
    <x v="0"/>
    <x v="0"/>
    <x v="2"/>
    <x v="3"/>
    <s v="FIN_EL"/>
    <x v="1"/>
    <s v="GNR_HS_HEAT_WTR-TANK_LS_E-95_Y-2010"/>
    <x v="0"/>
    <x v="15"/>
    <n v="1.7341858964174199"/>
    <n v="632.97785219235698"/>
    <n v="2278.72026789248"/>
  </r>
  <r>
    <x v="0"/>
    <x v="0"/>
    <x v="0"/>
    <x v="2"/>
    <x v="3"/>
    <s v="FIN_EL"/>
    <x v="1"/>
    <s v="GNR_HS_HEAT_WTR-TANK_LS_E-95_Y-2010"/>
    <x v="0"/>
    <x v="16"/>
    <n v="4.0927531275723403"/>
    <n v="1493.8548915639001"/>
    <n v="5377.8776096300498"/>
  </r>
  <r>
    <x v="0"/>
    <x v="0"/>
    <x v="0"/>
    <x v="2"/>
    <x v="3"/>
    <s v="FIN_EL"/>
    <x v="1"/>
    <s v="GNR_HS_HEAT_WTR-TANK_LS_E-95_Y-2010"/>
    <x v="0"/>
    <x v="20"/>
    <n v="56.493158067658698"/>
    <n v="20620.002694695399"/>
    <n v="74232.009700903596"/>
  </r>
  <r>
    <x v="0"/>
    <x v="0"/>
    <x v="0"/>
    <x v="2"/>
    <x v="3"/>
    <s v="FIN_EL"/>
    <x v="1"/>
    <s v="GNR_HS_HEAT_WTR-TANK_LS_E-95_Y-2010"/>
    <x v="0"/>
    <x v="21"/>
    <n v="50.717372644536198"/>
    <n v="18511.841015255701"/>
    <n v="66642.627654920594"/>
  </r>
  <r>
    <x v="0"/>
    <x v="0"/>
    <x v="0"/>
    <x v="2"/>
    <x v="3"/>
    <s v="FIN_EL"/>
    <x v="1"/>
    <s v="GNR_HS_HEAT_WTR-TANK_LS_E-95_Y-2010"/>
    <x v="0"/>
    <x v="22"/>
    <n v="31.284711457900698"/>
    <n v="11418.919682133799"/>
    <n v="41108.110855681502"/>
  </r>
  <r>
    <x v="0"/>
    <x v="0"/>
    <x v="0"/>
    <x v="2"/>
    <x v="3"/>
    <s v="FIN_EL"/>
    <x v="1"/>
    <s v="GNR_HS_HEAT_WTR-TANK_LS_E-95_Y-2010"/>
    <x v="0"/>
    <x v="23"/>
    <n v="13.5669181796925"/>
    <n v="4951.9251355877605"/>
    <n v="17826.930488115901"/>
  </r>
  <r>
    <x v="0"/>
    <x v="0"/>
    <x v="0"/>
    <x v="2"/>
    <x v="3"/>
    <s v="FIN_EL"/>
    <x v="3"/>
    <s v="GBPR_NATGAS_FINEL"/>
    <x v="0"/>
    <x v="6"/>
    <n v="118.88726207906301"/>
    <n v="43393.850658857998"/>
    <n v="156217.862371889"/>
  </r>
  <r>
    <x v="0"/>
    <x v="0"/>
    <x v="0"/>
    <x v="2"/>
    <x v="3"/>
    <s v="FIN_EL"/>
    <x v="3"/>
    <s v="GBPR_NATGAS_FINEL"/>
    <x v="0"/>
    <x v="7"/>
    <n v="118.88726207906301"/>
    <n v="43393.850658857998"/>
    <n v="156217.862371889"/>
  </r>
  <r>
    <x v="0"/>
    <x v="0"/>
    <x v="0"/>
    <x v="2"/>
    <x v="3"/>
    <s v="FIN_EL"/>
    <x v="3"/>
    <s v="GBPR_NATGAS_FINEL"/>
    <x v="0"/>
    <x v="8"/>
    <n v="118.88726207906301"/>
    <n v="43393.850658857998"/>
    <n v="156217.862371889"/>
  </r>
  <r>
    <x v="0"/>
    <x v="0"/>
    <x v="0"/>
    <x v="2"/>
    <x v="3"/>
    <s v="FIN_EL"/>
    <x v="3"/>
    <s v="GBPR_NATGAS_FINEL"/>
    <x v="0"/>
    <x v="9"/>
    <n v="118.88726207906301"/>
    <n v="43393.850658857998"/>
    <n v="156217.862371889"/>
  </r>
  <r>
    <x v="0"/>
    <x v="0"/>
    <x v="0"/>
    <x v="2"/>
    <x v="3"/>
    <s v="FIN_EL"/>
    <x v="3"/>
    <s v="GBPR_NATGAS_FINEL"/>
    <x v="0"/>
    <x v="10"/>
    <n v="118.88726207906301"/>
    <n v="43393.850658857998"/>
    <n v="156217.862371889"/>
  </r>
  <r>
    <x v="0"/>
    <x v="0"/>
    <x v="0"/>
    <x v="2"/>
    <x v="3"/>
    <s v="FIN_EL"/>
    <x v="3"/>
    <s v="GBPR_NATGAS_FINEL"/>
    <x v="0"/>
    <x v="11"/>
    <n v="118.88726207906301"/>
    <n v="43393.850658857998"/>
    <n v="156217.862371889"/>
  </r>
  <r>
    <x v="0"/>
    <x v="0"/>
    <x v="0"/>
    <x v="2"/>
    <x v="3"/>
    <s v="FIN_EL"/>
    <x v="3"/>
    <s v="GBPR_NATGAS_FINEL"/>
    <x v="0"/>
    <x v="0"/>
    <n v="118.88726207906301"/>
    <n v="43393.850658857998"/>
    <n v="156217.862371889"/>
  </r>
  <r>
    <x v="0"/>
    <x v="0"/>
    <x v="0"/>
    <x v="2"/>
    <x v="3"/>
    <s v="FIN_EL"/>
    <x v="3"/>
    <s v="GBPR_NATGAS_FINEL"/>
    <x v="0"/>
    <x v="1"/>
    <n v="118.88726207906301"/>
    <n v="43393.850658857998"/>
    <n v="156217.862371889"/>
  </r>
  <r>
    <x v="0"/>
    <x v="0"/>
    <x v="0"/>
    <x v="2"/>
    <x v="3"/>
    <s v="FIN_EL"/>
    <x v="3"/>
    <s v="GBPR_NATGAS_FINEL"/>
    <x v="0"/>
    <x v="2"/>
    <n v="118.88726207906301"/>
    <n v="43393.850658857998"/>
    <n v="156217.862371889"/>
  </r>
  <r>
    <x v="0"/>
    <x v="0"/>
    <x v="0"/>
    <x v="2"/>
    <x v="3"/>
    <s v="FIN_EL"/>
    <x v="3"/>
    <s v="GBPR_NATGAS_FINEL"/>
    <x v="0"/>
    <x v="3"/>
    <n v="118.88726207906301"/>
    <n v="43393.850658857998"/>
    <n v="156217.862371889"/>
  </r>
  <r>
    <x v="0"/>
    <x v="0"/>
    <x v="0"/>
    <x v="2"/>
    <x v="3"/>
    <s v="FIN_EL"/>
    <x v="3"/>
    <s v="GBPR_NATGAS_FINEL"/>
    <x v="0"/>
    <x v="12"/>
    <n v="118.88726207906301"/>
    <n v="43393.850658857998"/>
    <n v="156217.862371889"/>
  </r>
  <r>
    <x v="0"/>
    <x v="0"/>
    <x v="0"/>
    <x v="2"/>
    <x v="3"/>
    <s v="FIN_EL"/>
    <x v="3"/>
    <s v="GBPR_NATGAS_FINEL"/>
    <x v="0"/>
    <x v="13"/>
    <n v="118.88726207906301"/>
    <n v="43393.850658857998"/>
    <n v="156217.862371889"/>
  </r>
  <r>
    <x v="0"/>
    <x v="0"/>
    <x v="0"/>
    <x v="2"/>
    <x v="3"/>
    <s v="FIN_EL"/>
    <x v="3"/>
    <s v="GBPR_NATGAS_FINEL"/>
    <x v="0"/>
    <x v="14"/>
    <n v="118.88726207906301"/>
    <n v="43393.850658857998"/>
    <n v="156217.862371889"/>
  </r>
  <r>
    <x v="0"/>
    <x v="0"/>
    <x v="0"/>
    <x v="2"/>
    <x v="3"/>
    <s v="FIN_EL"/>
    <x v="3"/>
    <s v="GBPR_NATGAS_FINEL"/>
    <x v="0"/>
    <x v="15"/>
    <n v="118.88726207906301"/>
    <n v="43393.850658857998"/>
    <n v="156217.862371889"/>
  </r>
  <r>
    <x v="0"/>
    <x v="0"/>
    <x v="0"/>
    <x v="2"/>
    <x v="3"/>
    <s v="FIN_EL"/>
    <x v="3"/>
    <s v="GBPR_NATGAS_FINEL"/>
    <x v="0"/>
    <x v="4"/>
    <n v="118.88726207906301"/>
    <n v="43393.850658857998"/>
    <n v="156217.862371889"/>
  </r>
  <r>
    <x v="0"/>
    <x v="0"/>
    <x v="0"/>
    <x v="2"/>
    <x v="3"/>
    <s v="FIN_EL"/>
    <x v="3"/>
    <s v="GBPR_NATGAS_FINEL"/>
    <x v="0"/>
    <x v="16"/>
    <n v="118.88726207906301"/>
    <n v="43393.850658857998"/>
    <n v="156217.862371889"/>
  </r>
  <r>
    <x v="0"/>
    <x v="0"/>
    <x v="0"/>
    <x v="2"/>
    <x v="3"/>
    <s v="FIN_EL"/>
    <x v="3"/>
    <s v="GBPR_NATGAS_FINEL"/>
    <x v="0"/>
    <x v="5"/>
    <n v="118.88726207906301"/>
    <n v="43393.850658857998"/>
    <n v="156217.862371889"/>
  </r>
  <r>
    <x v="0"/>
    <x v="0"/>
    <x v="0"/>
    <x v="2"/>
    <x v="3"/>
    <s v="FIN_EL"/>
    <x v="3"/>
    <s v="GBPR_NATGAS_FINEL"/>
    <x v="0"/>
    <x v="17"/>
    <n v="118.88726207906301"/>
    <n v="43393.850658857998"/>
    <n v="156217.862371889"/>
  </r>
  <r>
    <x v="0"/>
    <x v="0"/>
    <x v="0"/>
    <x v="2"/>
    <x v="3"/>
    <s v="FIN_EL"/>
    <x v="3"/>
    <s v="GBPR_NATGAS_FINEL"/>
    <x v="0"/>
    <x v="18"/>
    <n v="118.88726207906301"/>
    <n v="43393.850658857998"/>
    <n v="156217.862371889"/>
  </r>
  <r>
    <x v="0"/>
    <x v="0"/>
    <x v="0"/>
    <x v="2"/>
    <x v="3"/>
    <s v="FIN_EL"/>
    <x v="3"/>
    <s v="GBPR_NATGAS_FINEL"/>
    <x v="0"/>
    <x v="19"/>
    <n v="118.88726207906301"/>
    <n v="43393.850658857998"/>
    <n v="156217.862371889"/>
  </r>
  <r>
    <x v="0"/>
    <x v="0"/>
    <x v="0"/>
    <x v="2"/>
    <x v="3"/>
    <s v="FIN_EL"/>
    <x v="3"/>
    <s v="GBPR_NATGAS_FINEL"/>
    <x v="0"/>
    <x v="20"/>
    <n v="118.88726207906301"/>
    <n v="43393.850658857998"/>
    <n v="156217.862371889"/>
  </r>
  <r>
    <x v="0"/>
    <x v="0"/>
    <x v="0"/>
    <x v="2"/>
    <x v="3"/>
    <s v="FIN_EL"/>
    <x v="3"/>
    <s v="GBPR_NATGAS_FINEL"/>
    <x v="0"/>
    <x v="21"/>
    <n v="118.88726207906301"/>
    <n v="43393.850658857998"/>
    <n v="156217.862371889"/>
  </r>
  <r>
    <x v="0"/>
    <x v="0"/>
    <x v="0"/>
    <x v="2"/>
    <x v="3"/>
    <s v="FIN_EL"/>
    <x v="3"/>
    <s v="GBPR_NATGAS_FINEL"/>
    <x v="0"/>
    <x v="22"/>
    <n v="118.88726207906301"/>
    <n v="43393.850658857998"/>
    <n v="156217.862371889"/>
  </r>
  <r>
    <x v="0"/>
    <x v="0"/>
    <x v="0"/>
    <x v="2"/>
    <x v="3"/>
    <s v="FIN_EL"/>
    <x v="3"/>
    <s v="GBPR_NATGAS_FINEL"/>
    <x v="0"/>
    <x v="23"/>
    <n v="118.88726207906301"/>
    <n v="43393.850658857998"/>
    <n v="156217.862371889"/>
  </r>
  <r>
    <x v="0"/>
    <x v="0"/>
    <x v="0"/>
    <x v="2"/>
    <x v="3"/>
    <s v="FIN_EL"/>
    <x v="6"/>
    <s v="GBPR_WOODCHIPS"/>
    <x v="0"/>
    <x v="0"/>
    <n v="61.856682030722197"/>
    <n v="22577.688941213601"/>
    <n v="81279.680188369006"/>
  </r>
  <r>
    <x v="0"/>
    <x v="0"/>
    <x v="0"/>
    <x v="2"/>
    <x v="3"/>
    <s v="FIN_EL"/>
    <x v="6"/>
    <s v="GBPR_WOODCHIPS"/>
    <x v="0"/>
    <x v="1"/>
    <n v="96.311475409836106"/>
    <n v="35153.688524590201"/>
    <n v="126553.278688525"/>
  </r>
  <r>
    <x v="0"/>
    <x v="0"/>
    <x v="0"/>
    <x v="2"/>
    <x v="3"/>
    <s v="FIN_EL"/>
    <x v="6"/>
    <s v="GBPR_WOODCHIPS"/>
    <x v="0"/>
    <x v="2"/>
    <n v="96.311475409836106"/>
    <n v="35153.688524590201"/>
    <n v="126553.278688525"/>
  </r>
  <r>
    <x v="0"/>
    <x v="0"/>
    <x v="0"/>
    <x v="2"/>
    <x v="3"/>
    <s v="FIN_EL"/>
    <x v="6"/>
    <s v="GBPR_WOODCHIPS"/>
    <x v="0"/>
    <x v="3"/>
    <n v="96.311475409836106"/>
    <n v="35153.688524590201"/>
    <n v="126553.278688525"/>
  </r>
  <r>
    <x v="0"/>
    <x v="0"/>
    <x v="0"/>
    <x v="2"/>
    <x v="3"/>
    <s v="FIN_EL"/>
    <x v="6"/>
    <s v="GBPR_WOODCHIPS"/>
    <x v="0"/>
    <x v="12"/>
    <n v="96.311475409836106"/>
    <n v="35153.688524590201"/>
    <n v="126553.278688525"/>
  </r>
  <r>
    <x v="0"/>
    <x v="0"/>
    <x v="0"/>
    <x v="2"/>
    <x v="3"/>
    <s v="FIN_EL"/>
    <x v="6"/>
    <s v="GBPR_WOODCHIPS"/>
    <x v="0"/>
    <x v="13"/>
    <n v="96.311475409836106"/>
    <n v="35153.688524590201"/>
    <n v="126553.278688525"/>
  </r>
  <r>
    <x v="0"/>
    <x v="0"/>
    <x v="0"/>
    <x v="2"/>
    <x v="3"/>
    <s v="FIN_EL"/>
    <x v="6"/>
    <s v="GBPR_WOODCHIPS"/>
    <x v="0"/>
    <x v="14"/>
    <n v="85.190415300030196"/>
    <n v="31094.501584510999"/>
    <n v="111940.20570424"/>
  </r>
  <r>
    <x v="0"/>
    <x v="0"/>
    <x v="0"/>
    <x v="2"/>
    <x v="3"/>
    <s v="FIN_EL"/>
    <x v="6"/>
    <s v="GBPR_WOODCHIPS"/>
    <x v="0"/>
    <x v="15"/>
    <n v="82.558402399740203"/>
    <n v="30133.816875905199"/>
    <n v="108481.740753259"/>
  </r>
  <r>
    <x v="0"/>
    <x v="0"/>
    <x v="0"/>
    <x v="2"/>
    <x v="3"/>
    <s v="FIN_EL"/>
    <x v="6"/>
    <s v="GBPR_WOODCHIPS"/>
    <x v="0"/>
    <x v="4"/>
    <n v="86.027189769938303"/>
    <n v="31399.924266027501"/>
    <n v="113039.727357699"/>
  </r>
  <r>
    <x v="0"/>
    <x v="0"/>
    <x v="0"/>
    <x v="2"/>
    <x v="3"/>
    <s v="FIN_EL"/>
    <x v="6"/>
    <s v="GBPR_WOODCHIPS"/>
    <x v="0"/>
    <x v="16"/>
    <n v="96.311475409836106"/>
    <n v="35153.688524590201"/>
    <n v="126553.278688525"/>
  </r>
  <r>
    <x v="0"/>
    <x v="0"/>
    <x v="0"/>
    <x v="2"/>
    <x v="3"/>
    <s v="FIN_EL"/>
    <x v="6"/>
    <s v="GBPR_WOODCHIPS"/>
    <x v="0"/>
    <x v="5"/>
    <n v="81.248165299507406"/>
    <n v="29655.580334320199"/>
    <n v="106760.089203553"/>
  </r>
  <r>
    <x v="0"/>
    <x v="0"/>
    <x v="0"/>
    <x v="2"/>
    <x v="3"/>
    <s v="FIN_EL"/>
    <x v="6"/>
    <s v="GBPR_WOODCHIPS"/>
    <x v="0"/>
    <x v="17"/>
    <n v="70.128510570818193"/>
    <n v="25596.906358348599"/>
    <n v="92148.862890055098"/>
  </r>
  <r>
    <x v="0"/>
    <x v="0"/>
    <x v="0"/>
    <x v="2"/>
    <x v="3"/>
    <s v="FIN_EL"/>
    <x v="6"/>
    <s v="GBPR_WOODCHIPS"/>
    <x v="0"/>
    <x v="18"/>
    <n v="72.342512379281501"/>
    <n v="26405.017018437698"/>
    <n v="95058.061266375793"/>
  </r>
  <r>
    <x v="0"/>
    <x v="0"/>
    <x v="0"/>
    <x v="2"/>
    <x v="3"/>
    <s v="FIN_EL"/>
    <x v="6"/>
    <s v="GBPR_WOODCHIPS"/>
    <x v="0"/>
    <x v="19"/>
    <n v="65.499718102630098"/>
    <n v="23907.397107460001"/>
    <n v="86066.629586855997"/>
  </r>
  <r>
    <x v="0"/>
    <x v="0"/>
    <x v="0"/>
    <x v="2"/>
    <x v="3"/>
    <s v="FIN_EL"/>
    <x v="8"/>
    <s v="GBPR_WOODWASTE_FINEL"/>
    <x v="0"/>
    <x v="6"/>
    <n v="200"/>
    <n v="73000"/>
    <n v="262800"/>
  </r>
  <r>
    <x v="0"/>
    <x v="0"/>
    <x v="0"/>
    <x v="2"/>
    <x v="3"/>
    <s v="FIN_EL"/>
    <x v="8"/>
    <s v="GBPR_WOODWASTE_FINEL"/>
    <x v="0"/>
    <x v="7"/>
    <n v="200"/>
    <n v="73000"/>
    <n v="262800"/>
  </r>
  <r>
    <x v="0"/>
    <x v="0"/>
    <x v="0"/>
    <x v="2"/>
    <x v="3"/>
    <s v="FIN_EL"/>
    <x v="8"/>
    <s v="GBPR_WOODWASTE_FINEL"/>
    <x v="0"/>
    <x v="8"/>
    <n v="200"/>
    <n v="73000"/>
    <n v="262800"/>
  </r>
  <r>
    <x v="0"/>
    <x v="0"/>
    <x v="0"/>
    <x v="2"/>
    <x v="3"/>
    <s v="FIN_EL"/>
    <x v="8"/>
    <s v="GBPR_WOODWASTE_FINEL"/>
    <x v="0"/>
    <x v="9"/>
    <n v="200"/>
    <n v="73000"/>
    <n v="262800"/>
  </r>
  <r>
    <x v="0"/>
    <x v="0"/>
    <x v="0"/>
    <x v="2"/>
    <x v="3"/>
    <s v="FIN_EL"/>
    <x v="8"/>
    <s v="GBPR_WOODWASTE_FINEL"/>
    <x v="0"/>
    <x v="10"/>
    <n v="200"/>
    <n v="73000"/>
    <n v="262800"/>
  </r>
  <r>
    <x v="0"/>
    <x v="0"/>
    <x v="0"/>
    <x v="2"/>
    <x v="3"/>
    <s v="FIN_EL"/>
    <x v="8"/>
    <s v="GBPR_WOODWASTE_FINEL"/>
    <x v="0"/>
    <x v="11"/>
    <n v="200"/>
    <n v="73000"/>
    <n v="262800"/>
  </r>
  <r>
    <x v="0"/>
    <x v="0"/>
    <x v="0"/>
    <x v="2"/>
    <x v="3"/>
    <s v="FIN_EL"/>
    <x v="8"/>
    <s v="GBPR_WOODWASTE_FINEL"/>
    <x v="0"/>
    <x v="0"/>
    <n v="200"/>
    <n v="73000"/>
    <n v="262800"/>
  </r>
  <r>
    <x v="0"/>
    <x v="0"/>
    <x v="0"/>
    <x v="2"/>
    <x v="3"/>
    <s v="FIN_EL"/>
    <x v="8"/>
    <s v="GBPR_WOODWASTE_FINEL"/>
    <x v="0"/>
    <x v="1"/>
    <n v="200"/>
    <n v="73000"/>
    <n v="262800"/>
  </r>
  <r>
    <x v="0"/>
    <x v="0"/>
    <x v="0"/>
    <x v="2"/>
    <x v="3"/>
    <s v="FIN_EL"/>
    <x v="8"/>
    <s v="GBPR_WOODWASTE_FINEL"/>
    <x v="0"/>
    <x v="2"/>
    <n v="200"/>
    <n v="73000"/>
    <n v="262800"/>
  </r>
  <r>
    <x v="0"/>
    <x v="0"/>
    <x v="0"/>
    <x v="2"/>
    <x v="3"/>
    <s v="FIN_EL"/>
    <x v="8"/>
    <s v="GBPR_WOODWASTE_FINEL"/>
    <x v="0"/>
    <x v="3"/>
    <n v="200"/>
    <n v="73000"/>
    <n v="262800"/>
  </r>
  <r>
    <x v="0"/>
    <x v="0"/>
    <x v="0"/>
    <x v="2"/>
    <x v="3"/>
    <s v="FIN_EL"/>
    <x v="8"/>
    <s v="GBPR_WOODWASTE_FINEL"/>
    <x v="0"/>
    <x v="12"/>
    <n v="200"/>
    <n v="73000"/>
    <n v="262800"/>
  </r>
  <r>
    <x v="0"/>
    <x v="0"/>
    <x v="0"/>
    <x v="2"/>
    <x v="3"/>
    <s v="FIN_EL"/>
    <x v="8"/>
    <s v="GBPR_WOODWASTE_FINEL"/>
    <x v="0"/>
    <x v="13"/>
    <n v="200"/>
    <n v="73000"/>
    <n v="262800"/>
  </r>
  <r>
    <x v="0"/>
    <x v="0"/>
    <x v="0"/>
    <x v="2"/>
    <x v="3"/>
    <s v="FIN_EL"/>
    <x v="8"/>
    <s v="GBPR_WOODWASTE_FINEL"/>
    <x v="0"/>
    <x v="14"/>
    <n v="200"/>
    <n v="73000"/>
    <n v="262800"/>
  </r>
  <r>
    <x v="0"/>
    <x v="0"/>
    <x v="0"/>
    <x v="2"/>
    <x v="3"/>
    <s v="FIN_EL"/>
    <x v="8"/>
    <s v="GBPR_WOODWASTE_FINEL"/>
    <x v="0"/>
    <x v="15"/>
    <n v="200"/>
    <n v="73000"/>
    <n v="262800"/>
  </r>
  <r>
    <x v="0"/>
    <x v="0"/>
    <x v="0"/>
    <x v="2"/>
    <x v="3"/>
    <s v="FIN_EL"/>
    <x v="8"/>
    <s v="GBPR_WOODWASTE_FINEL"/>
    <x v="0"/>
    <x v="4"/>
    <n v="200"/>
    <n v="73000"/>
    <n v="262800"/>
  </r>
  <r>
    <x v="0"/>
    <x v="0"/>
    <x v="0"/>
    <x v="2"/>
    <x v="3"/>
    <s v="FIN_EL"/>
    <x v="8"/>
    <s v="GBPR_WOODWASTE_FINEL"/>
    <x v="0"/>
    <x v="16"/>
    <n v="200"/>
    <n v="73000"/>
    <n v="262800"/>
  </r>
  <r>
    <x v="0"/>
    <x v="0"/>
    <x v="0"/>
    <x v="2"/>
    <x v="3"/>
    <s v="FIN_EL"/>
    <x v="8"/>
    <s v="GBPR_WOODWASTE_FINEL"/>
    <x v="0"/>
    <x v="5"/>
    <n v="200"/>
    <n v="73000"/>
    <n v="262800"/>
  </r>
  <r>
    <x v="0"/>
    <x v="0"/>
    <x v="0"/>
    <x v="2"/>
    <x v="3"/>
    <s v="FIN_EL"/>
    <x v="8"/>
    <s v="GBPR_WOODWASTE_FINEL"/>
    <x v="0"/>
    <x v="17"/>
    <n v="200"/>
    <n v="73000"/>
    <n v="262800"/>
  </r>
  <r>
    <x v="0"/>
    <x v="0"/>
    <x v="0"/>
    <x v="2"/>
    <x v="3"/>
    <s v="FIN_EL"/>
    <x v="8"/>
    <s v="GBPR_WOODWASTE_FINEL"/>
    <x v="0"/>
    <x v="18"/>
    <n v="200"/>
    <n v="73000"/>
    <n v="262800"/>
  </r>
  <r>
    <x v="0"/>
    <x v="0"/>
    <x v="0"/>
    <x v="2"/>
    <x v="3"/>
    <s v="FIN_EL"/>
    <x v="8"/>
    <s v="GBPR_WOODWASTE_FINEL"/>
    <x v="0"/>
    <x v="19"/>
    <n v="200"/>
    <n v="73000"/>
    <n v="262800"/>
  </r>
  <r>
    <x v="0"/>
    <x v="0"/>
    <x v="0"/>
    <x v="2"/>
    <x v="3"/>
    <s v="FIN_EL"/>
    <x v="8"/>
    <s v="GBPR_WOODWASTE_FINEL"/>
    <x v="0"/>
    <x v="20"/>
    <n v="200"/>
    <n v="73000"/>
    <n v="262800"/>
  </r>
  <r>
    <x v="0"/>
    <x v="0"/>
    <x v="0"/>
    <x v="2"/>
    <x v="3"/>
    <s v="FIN_EL"/>
    <x v="8"/>
    <s v="GBPR_WOODWASTE_FINEL"/>
    <x v="0"/>
    <x v="21"/>
    <n v="200"/>
    <n v="73000"/>
    <n v="262800"/>
  </r>
  <r>
    <x v="0"/>
    <x v="0"/>
    <x v="0"/>
    <x v="2"/>
    <x v="3"/>
    <s v="FIN_EL"/>
    <x v="8"/>
    <s v="GBPR_WOODWASTE_FINEL"/>
    <x v="0"/>
    <x v="22"/>
    <n v="200"/>
    <n v="73000"/>
    <n v="262800"/>
  </r>
  <r>
    <x v="0"/>
    <x v="0"/>
    <x v="0"/>
    <x v="2"/>
    <x v="3"/>
    <s v="FIN_EL"/>
    <x v="8"/>
    <s v="GBPR_WOODWASTE_FINEL"/>
    <x v="0"/>
    <x v="23"/>
    <n v="200"/>
    <n v="73000"/>
    <n v="262800"/>
  </r>
  <r>
    <x v="0"/>
    <x v="0"/>
    <x v="0"/>
    <x v="2"/>
    <x v="3"/>
    <s v="FIN_ESPOO"/>
    <x v="1"/>
    <s v="GNR_HS_HEAT_WTR-TANK_LS_E-95_Y-2010"/>
    <x v="0"/>
    <x v="15"/>
    <n v="21.389483370208801"/>
    <n v="7807.1614301262098"/>
    <n v="28105.7811484544"/>
  </r>
  <r>
    <x v="0"/>
    <x v="0"/>
    <x v="0"/>
    <x v="2"/>
    <x v="3"/>
    <s v="FIN_ESPOO"/>
    <x v="1"/>
    <s v="GNR_HS_HEAT_WTR-TANK_LS_E-95_Y-2010"/>
    <x v="0"/>
    <x v="5"/>
    <n v="49.124979352750799"/>
    <n v="17930.617463753999"/>
    <n v="64550.222869514502"/>
  </r>
  <r>
    <x v="0"/>
    <x v="0"/>
    <x v="0"/>
    <x v="2"/>
    <x v="3"/>
    <s v="FIN_ESPOO"/>
    <x v="3"/>
    <s v="GBPR_NATGAS_SUOMENOJA"/>
    <x v="0"/>
    <x v="6"/>
    <n v="80.327868852459005"/>
    <n v="29319.672131147501"/>
    <n v="105550.81967213099"/>
  </r>
  <r>
    <x v="0"/>
    <x v="0"/>
    <x v="0"/>
    <x v="2"/>
    <x v="3"/>
    <s v="FIN_ESPOO"/>
    <x v="3"/>
    <s v="GBPR_NATGAS_SUOMENOJA"/>
    <x v="0"/>
    <x v="7"/>
    <n v="80.327868852459005"/>
    <n v="29319.672131147501"/>
    <n v="105550.81967213099"/>
  </r>
  <r>
    <x v="0"/>
    <x v="0"/>
    <x v="0"/>
    <x v="2"/>
    <x v="3"/>
    <s v="FIN_ESPOO"/>
    <x v="3"/>
    <s v="GBPR_NATGAS_SUOMENOJA"/>
    <x v="0"/>
    <x v="8"/>
    <n v="80.327868852459005"/>
    <n v="29319.672131147501"/>
    <n v="105550.81967213099"/>
  </r>
  <r>
    <x v="0"/>
    <x v="0"/>
    <x v="0"/>
    <x v="2"/>
    <x v="3"/>
    <s v="FIN_ESPOO"/>
    <x v="3"/>
    <s v="GBPR_NATGAS_SUOMENOJA"/>
    <x v="0"/>
    <x v="9"/>
    <n v="80.327868852459005"/>
    <n v="29319.672131147501"/>
    <n v="105550.81967213099"/>
  </r>
  <r>
    <x v="0"/>
    <x v="0"/>
    <x v="0"/>
    <x v="2"/>
    <x v="3"/>
    <s v="FIN_ESPOO"/>
    <x v="3"/>
    <s v="GBPR_NATGAS_SUOMENOJA"/>
    <x v="0"/>
    <x v="10"/>
    <n v="80.327868852459005"/>
    <n v="29319.672131147501"/>
    <n v="105550.81967213099"/>
  </r>
  <r>
    <x v="0"/>
    <x v="0"/>
    <x v="0"/>
    <x v="2"/>
    <x v="3"/>
    <s v="FIN_ESPOO"/>
    <x v="3"/>
    <s v="GBPR_NATGAS_SUOMENOJA"/>
    <x v="0"/>
    <x v="11"/>
    <n v="80.327868852459005"/>
    <n v="29319.672131147501"/>
    <n v="105550.81967213099"/>
  </r>
  <r>
    <x v="0"/>
    <x v="0"/>
    <x v="0"/>
    <x v="2"/>
    <x v="3"/>
    <s v="FIN_ESPOO"/>
    <x v="3"/>
    <s v="GBPR_NATGAS_SUOMENOJA"/>
    <x v="0"/>
    <x v="0"/>
    <n v="80.327868852459005"/>
    <n v="29319.672131147501"/>
    <n v="105550.81967213099"/>
  </r>
  <r>
    <x v="0"/>
    <x v="0"/>
    <x v="0"/>
    <x v="2"/>
    <x v="3"/>
    <s v="FIN_ESPOO"/>
    <x v="3"/>
    <s v="GBPR_NATGAS_SUOMENOJA"/>
    <x v="0"/>
    <x v="1"/>
    <n v="80.327868852459005"/>
    <n v="29319.672131147501"/>
    <n v="105550.81967213099"/>
  </r>
  <r>
    <x v="0"/>
    <x v="0"/>
    <x v="0"/>
    <x v="2"/>
    <x v="3"/>
    <s v="FIN_ESPOO"/>
    <x v="3"/>
    <s v="GBPR_NATGAS_SUOMENOJA"/>
    <x v="0"/>
    <x v="2"/>
    <n v="80.327868852459005"/>
    <n v="29319.672131147501"/>
    <n v="105550.81967213099"/>
  </r>
  <r>
    <x v="0"/>
    <x v="0"/>
    <x v="0"/>
    <x v="2"/>
    <x v="3"/>
    <s v="FIN_ESPOO"/>
    <x v="3"/>
    <s v="GBPR_NATGAS_SUOMENOJA"/>
    <x v="0"/>
    <x v="3"/>
    <n v="80.327868852459005"/>
    <n v="29319.672131147501"/>
    <n v="105550.81967213099"/>
  </r>
  <r>
    <x v="0"/>
    <x v="0"/>
    <x v="0"/>
    <x v="2"/>
    <x v="3"/>
    <s v="FIN_ESPOO"/>
    <x v="3"/>
    <s v="GBPR_NATGAS_SUOMENOJA"/>
    <x v="0"/>
    <x v="12"/>
    <n v="80.327868852459005"/>
    <n v="29319.672131147501"/>
    <n v="105550.81967213099"/>
  </r>
  <r>
    <x v="0"/>
    <x v="0"/>
    <x v="0"/>
    <x v="2"/>
    <x v="3"/>
    <s v="FIN_ESPOO"/>
    <x v="3"/>
    <s v="GBPR_NATGAS_SUOMENOJA"/>
    <x v="0"/>
    <x v="13"/>
    <n v="80.327868852459005"/>
    <n v="29319.672131147501"/>
    <n v="105550.81967213099"/>
  </r>
  <r>
    <x v="0"/>
    <x v="0"/>
    <x v="0"/>
    <x v="2"/>
    <x v="3"/>
    <s v="FIN_ESPOO"/>
    <x v="3"/>
    <s v="GBPR_NATGAS_SUOMENOJA"/>
    <x v="0"/>
    <x v="14"/>
    <n v="80.327868852459005"/>
    <n v="29319.672131147501"/>
    <n v="105550.81967213099"/>
  </r>
  <r>
    <x v="0"/>
    <x v="0"/>
    <x v="0"/>
    <x v="2"/>
    <x v="3"/>
    <s v="FIN_ESPOO"/>
    <x v="3"/>
    <s v="GBPR_NATGAS_SUOMENOJA"/>
    <x v="0"/>
    <x v="15"/>
    <n v="80.327868852459005"/>
    <n v="29319.672131147501"/>
    <n v="105550.81967213099"/>
  </r>
  <r>
    <x v="0"/>
    <x v="0"/>
    <x v="0"/>
    <x v="2"/>
    <x v="3"/>
    <s v="FIN_ESPOO"/>
    <x v="3"/>
    <s v="GBPR_NATGAS_SUOMENOJA"/>
    <x v="0"/>
    <x v="4"/>
    <n v="80.327868852459005"/>
    <n v="29319.672131147501"/>
    <n v="105550.81967213099"/>
  </r>
  <r>
    <x v="0"/>
    <x v="0"/>
    <x v="0"/>
    <x v="2"/>
    <x v="3"/>
    <s v="FIN_ESPOO"/>
    <x v="3"/>
    <s v="GBPR_NATGAS_SUOMENOJA"/>
    <x v="0"/>
    <x v="16"/>
    <n v="80.327868852459005"/>
    <n v="29319.672131147501"/>
    <n v="105550.81967213099"/>
  </r>
  <r>
    <x v="0"/>
    <x v="0"/>
    <x v="0"/>
    <x v="2"/>
    <x v="3"/>
    <s v="FIN_ESPOO"/>
    <x v="3"/>
    <s v="GBPR_NATGAS_SUOMENOJA"/>
    <x v="0"/>
    <x v="5"/>
    <n v="80.327868852459005"/>
    <n v="29319.672131147501"/>
    <n v="105550.81967213099"/>
  </r>
  <r>
    <x v="0"/>
    <x v="0"/>
    <x v="0"/>
    <x v="2"/>
    <x v="3"/>
    <s v="FIN_ESPOO"/>
    <x v="3"/>
    <s v="GBPR_NATGAS_SUOMENOJA"/>
    <x v="0"/>
    <x v="17"/>
    <n v="80.327868852459005"/>
    <n v="29319.672131147501"/>
    <n v="105550.81967213099"/>
  </r>
  <r>
    <x v="0"/>
    <x v="0"/>
    <x v="0"/>
    <x v="2"/>
    <x v="3"/>
    <s v="FIN_ESPOO"/>
    <x v="3"/>
    <s v="GBPR_NATGAS_SUOMENOJA"/>
    <x v="0"/>
    <x v="18"/>
    <n v="80.327868852459005"/>
    <n v="29319.672131147501"/>
    <n v="105550.81967213099"/>
  </r>
  <r>
    <x v="0"/>
    <x v="0"/>
    <x v="0"/>
    <x v="2"/>
    <x v="3"/>
    <s v="FIN_ESPOO"/>
    <x v="3"/>
    <s v="GBPR_NATGAS_SUOMENOJA"/>
    <x v="0"/>
    <x v="19"/>
    <n v="80.327868852459005"/>
    <n v="29319.672131147501"/>
    <n v="105550.81967213099"/>
  </r>
  <r>
    <x v="0"/>
    <x v="0"/>
    <x v="0"/>
    <x v="2"/>
    <x v="3"/>
    <s v="FIN_ESPOO"/>
    <x v="3"/>
    <s v="GBPR_NATGAS_SUOMENOJA"/>
    <x v="0"/>
    <x v="20"/>
    <n v="80.327868852459005"/>
    <n v="29319.672131147501"/>
    <n v="105550.81967213099"/>
  </r>
  <r>
    <x v="0"/>
    <x v="0"/>
    <x v="0"/>
    <x v="2"/>
    <x v="3"/>
    <s v="FIN_ESPOO"/>
    <x v="3"/>
    <s v="GBPR_NATGAS_SUOMENOJA"/>
    <x v="0"/>
    <x v="21"/>
    <n v="80.327868852459005"/>
    <n v="29319.672131147501"/>
    <n v="105550.81967213099"/>
  </r>
  <r>
    <x v="0"/>
    <x v="0"/>
    <x v="0"/>
    <x v="2"/>
    <x v="3"/>
    <s v="FIN_ESPOO"/>
    <x v="3"/>
    <s v="GBPR_NATGAS_SUOMENOJA"/>
    <x v="0"/>
    <x v="22"/>
    <n v="80.327868852459005"/>
    <n v="29319.672131147501"/>
    <n v="105550.81967213099"/>
  </r>
  <r>
    <x v="0"/>
    <x v="0"/>
    <x v="0"/>
    <x v="2"/>
    <x v="3"/>
    <s v="FIN_ESPOO"/>
    <x v="3"/>
    <s v="GBPR_NATGAS_SUOMENOJA"/>
    <x v="0"/>
    <x v="23"/>
    <n v="80.327868852459005"/>
    <n v="29319.672131147501"/>
    <n v="105550.81967213099"/>
  </r>
  <r>
    <x v="0"/>
    <x v="0"/>
    <x v="0"/>
    <x v="2"/>
    <x v="3"/>
    <s v="FIN_ESPOO"/>
    <x v="3"/>
    <s v="GBPR_NATGAS_SUOMENOJA2"/>
    <x v="0"/>
    <x v="6"/>
    <n v="214.00000000000099"/>
    <n v="78110.000000000204"/>
    <n v="281196.00000000099"/>
  </r>
  <r>
    <x v="0"/>
    <x v="0"/>
    <x v="0"/>
    <x v="2"/>
    <x v="3"/>
    <s v="FIN_ESPOO"/>
    <x v="3"/>
    <s v="GBPR_NATGAS_SUOMENOJA2"/>
    <x v="0"/>
    <x v="7"/>
    <n v="214.00000000000099"/>
    <n v="78110.000000000204"/>
    <n v="281196.00000000099"/>
  </r>
  <r>
    <x v="0"/>
    <x v="0"/>
    <x v="0"/>
    <x v="2"/>
    <x v="3"/>
    <s v="FIN_ESPOO"/>
    <x v="3"/>
    <s v="GBPR_NATGAS_SUOMENOJA2"/>
    <x v="0"/>
    <x v="8"/>
    <n v="214.00000000000099"/>
    <n v="78110.000000000204"/>
    <n v="281196.00000000099"/>
  </r>
  <r>
    <x v="0"/>
    <x v="0"/>
    <x v="0"/>
    <x v="2"/>
    <x v="3"/>
    <s v="FIN_ESPOO"/>
    <x v="3"/>
    <s v="GBPR_NATGAS_SUOMENOJA2"/>
    <x v="0"/>
    <x v="9"/>
    <n v="214.00000000000099"/>
    <n v="78110.000000000204"/>
    <n v="281196.00000000099"/>
  </r>
  <r>
    <x v="0"/>
    <x v="0"/>
    <x v="0"/>
    <x v="2"/>
    <x v="3"/>
    <s v="FIN_ESPOO"/>
    <x v="3"/>
    <s v="GBPR_NATGAS_SUOMENOJA2"/>
    <x v="0"/>
    <x v="10"/>
    <n v="214.00000000000099"/>
    <n v="78110.000000000204"/>
    <n v="281196.00000000099"/>
  </r>
  <r>
    <x v="0"/>
    <x v="0"/>
    <x v="0"/>
    <x v="2"/>
    <x v="3"/>
    <s v="FIN_ESPOO"/>
    <x v="3"/>
    <s v="GBPR_NATGAS_SUOMENOJA2"/>
    <x v="0"/>
    <x v="11"/>
    <n v="214.00000000000099"/>
    <n v="78110.000000000204"/>
    <n v="281196.00000000099"/>
  </r>
  <r>
    <x v="0"/>
    <x v="0"/>
    <x v="0"/>
    <x v="2"/>
    <x v="3"/>
    <s v="FIN_ESPOO"/>
    <x v="3"/>
    <s v="GBPR_NATGAS_SUOMENOJA2"/>
    <x v="0"/>
    <x v="0"/>
    <n v="214.00000000000099"/>
    <n v="78110.000000000204"/>
    <n v="281196.00000000099"/>
  </r>
  <r>
    <x v="0"/>
    <x v="0"/>
    <x v="0"/>
    <x v="2"/>
    <x v="3"/>
    <s v="FIN_ESPOO"/>
    <x v="3"/>
    <s v="GBPR_NATGAS_SUOMENOJA2"/>
    <x v="0"/>
    <x v="1"/>
    <n v="214.00000000000099"/>
    <n v="78110.000000000204"/>
    <n v="281196.00000000099"/>
  </r>
  <r>
    <x v="0"/>
    <x v="0"/>
    <x v="0"/>
    <x v="2"/>
    <x v="3"/>
    <s v="FIN_ESPOO"/>
    <x v="3"/>
    <s v="GBPR_NATGAS_SUOMENOJA2"/>
    <x v="0"/>
    <x v="2"/>
    <n v="214.00000000000099"/>
    <n v="78110.000000000204"/>
    <n v="281196.00000000099"/>
  </r>
  <r>
    <x v="0"/>
    <x v="0"/>
    <x v="0"/>
    <x v="2"/>
    <x v="3"/>
    <s v="FIN_ESPOO"/>
    <x v="3"/>
    <s v="GBPR_NATGAS_SUOMENOJA2"/>
    <x v="0"/>
    <x v="3"/>
    <n v="214.00000000000099"/>
    <n v="78110.000000000204"/>
    <n v="281196.00000000099"/>
  </r>
  <r>
    <x v="0"/>
    <x v="0"/>
    <x v="0"/>
    <x v="2"/>
    <x v="3"/>
    <s v="FIN_ESPOO"/>
    <x v="3"/>
    <s v="GBPR_NATGAS_SUOMENOJA2"/>
    <x v="0"/>
    <x v="12"/>
    <n v="214.00000000000099"/>
    <n v="78110.000000000204"/>
    <n v="281196.00000000099"/>
  </r>
  <r>
    <x v="0"/>
    <x v="0"/>
    <x v="0"/>
    <x v="2"/>
    <x v="3"/>
    <s v="FIN_ESPOO"/>
    <x v="3"/>
    <s v="GBPR_NATGAS_SUOMENOJA2"/>
    <x v="0"/>
    <x v="13"/>
    <n v="214.00000000000099"/>
    <n v="78110.000000000204"/>
    <n v="281196.00000000099"/>
  </r>
  <r>
    <x v="0"/>
    <x v="0"/>
    <x v="0"/>
    <x v="2"/>
    <x v="3"/>
    <s v="FIN_ESPOO"/>
    <x v="3"/>
    <s v="GBPR_NATGAS_SUOMENOJA2"/>
    <x v="0"/>
    <x v="14"/>
    <n v="214.00000000000099"/>
    <n v="78110.000000000204"/>
    <n v="281196.00000000099"/>
  </r>
  <r>
    <x v="0"/>
    <x v="0"/>
    <x v="0"/>
    <x v="2"/>
    <x v="3"/>
    <s v="FIN_ESPOO"/>
    <x v="3"/>
    <s v="GBPR_NATGAS_SUOMENOJA2"/>
    <x v="0"/>
    <x v="15"/>
    <n v="214.00000000000099"/>
    <n v="78110.000000000204"/>
    <n v="281196.00000000099"/>
  </r>
  <r>
    <x v="0"/>
    <x v="0"/>
    <x v="0"/>
    <x v="2"/>
    <x v="3"/>
    <s v="FIN_ESPOO"/>
    <x v="3"/>
    <s v="GBPR_NATGAS_SUOMENOJA2"/>
    <x v="0"/>
    <x v="4"/>
    <n v="214.00000000000099"/>
    <n v="78110.000000000204"/>
    <n v="281196.00000000099"/>
  </r>
  <r>
    <x v="0"/>
    <x v="0"/>
    <x v="0"/>
    <x v="2"/>
    <x v="3"/>
    <s v="FIN_ESPOO"/>
    <x v="3"/>
    <s v="GBPR_NATGAS_SUOMENOJA2"/>
    <x v="0"/>
    <x v="16"/>
    <n v="214.00000000000099"/>
    <n v="78110.000000000204"/>
    <n v="281196.00000000099"/>
  </r>
  <r>
    <x v="0"/>
    <x v="0"/>
    <x v="0"/>
    <x v="2"/>
    <x v="3"/>
    <s v="FIN_ESPOO"/>
    <x v="3"/>
    <s v="GBPR_NATGAS_SUOMENOJA2"/>
    <x v="0"/>
    <x v="5"/>
    <n v="214.00000000000099"/>
    <n v="78110.000000000204"/>
    <n v="281196.00000000099"/>
  </r>
  <r>
    <x v="0"/>
    <x v="0"/>
    <x v="0"/>
    <x v="2"/>
    <x v="3"/>
    <s v="FIN_ESPOO"/>
    <x v="3"/>
    <s v="GBPR_NATGAS_SUOMENOJA2"/>
    <x v="0"/>
    <x v="17"/>
    <n v="214.00000000000099"/>
    <n v="78110.000000000204"/>
    <n v="281196.00000000099"/>
  </r>
  <r>
    <x v="0"/>
    <x v="0"/>
    <x v="0"/>
    <x v="2"/>
    <x v="3"/>
    <s v="FIN_ESPOO"/>
    <x v="3"/>
    <s v="GBPR_NATGAS_SUOMENOJA2"/>
    <x v="0"/>
    <x v="18"/>
    <n v="214.00000000000099"/>
    <n v="78110.000000000204"/>
    <n v="281196.00000000099"/>
  </r>
  <r>
    <x v="0"/>
    <x v="0"/>
    <x v="0"/>
    <x v="2"/>
    <x v="3"/>
    <s v="FIN_ESPOO"/>
    <x v="3"/>
    <s v="GBPR_NATGAS_SUOMENOJA2"/>
    <x v="0"/>
    <x v="19"/>
    <n v="214.00000000000099"/>
    <n v="78110.000000000204"/>
    <n v="281196.00000000099"/>
  </r>
  <r>
    <x v="0"/>
    <x v="0"/>
    <x v="0"/>
    <x v="2"/>
    <x v="3"/>
    <s v="FIN_ESPOO"/>
    <x v="3"/>
    <s v="GBPR_NATGAS_SUOMENOJA2"/>
    <x v="0"/>
    <x v="20"/>
    <n v="214.00000000000099"/>
    <n v="78110.000000000204"/>
    <n v="281196.00000000099"/>
  </r>
  <r>
    <x v="0"/>
    <x v="0"/>
    <x v="0"/>
    <x v="2"/>
    <x v="3"/>
    <s v="FIN_ESPOO"/>
    <x v="3"/>
    <s v="GBPR_NATGAS_SUOMENOJA2"/>
    <x v="0"/>
    <x v="21"/>
    <n v="214.00000000000099"/>
    <n v="78110.000000000204"/>
    <n v="281196.00000000099"/>
  </r>
  <r>
    <x v="0"/>
    <x v="0"/>
    <x v="0"/>
    <x v="2"/>
    <x v="3"/>
    <s v="FIN_ESPOO"/>
    <x v="3"/>
    <s v="GBPR_NATGAS_SUOMENOJA2"/>
    <x v="0"/>
    <x v="22"/>
    <n v="214.00000000000099"/>
    <n v="78110.000000000204"/>
    <n v="281196.00000000099"/>
  </r>
  <r>
    <x v="0"/>
    <x v="0"/>
    <x v="0"/>
    <x v="2"/>
    <x v="3"/>
    <s v="FIN_ESPOO"/>
    <x v="3"/>
    <s v="GBPR_NATGAS_SUOMENOJA2"/>
    <x v="0"/>
    <x v="23"/>
    <n v="214.00000000000099"/>
    <n v="78110.000000000204"/>
    <n v="281196.00000000099"/>
  </r>
  <r>
    <x v="0"/>
    <x v="0"/>
    <x v="0"/>
    <x v="2"/>
    <x v="3"/>
    <s v="FIN_ESPOO"/>
    <x v="3"/>
    <s v="GHOB_NATGAS"/>
    <x v="0"/>
    <x v="11"/>
    <n v="19.433633431663999"/>
    <n v="7093.2762025573502"/>
    <n v="25535.794329206401"/>
  </r>
  <r>
    <x v="0"/>
    <x v="0"/>
    <x v="0"/>
    <x v="2"/>
    <x v="3"/>
    <s v="FIN_ESPOO"/>
    <x v="3"/>
    <s v="GHOB_NATGAS"/>
    <x v="0"/>
    <x v="0"/>
    <n v="52.497694079816704"/>
    <n v="19161.658339133101"/>
    <n v="68981.970020879104"/>
  </r>
  <r>
    <x v="0"/>
    <x v="0"/>
    <x v="0"/>
    <x v="2"/>
    <x v="3"/>
    <s v="FIN_ESPOO"/>
    <x v="3"/>
    <s v="GHOB_NATGAS"/>
    <x v="0"/>
    <x v="1"/>
    <n v="78.465894014065"/>
    <n v="28640.0513151337"/>
    <n v="103104.18473448099"/>
  </r>
  <r>
    <x v="0"/>
    <x v="0"/>
    <x v="0"/>
    <x v="2"/>
    <x v="3"/>
    <s v="FIN_ESPOO"/>
    <x v="3"/>
    <s v="GHOB_NATGAS"/>
    <x v="0"/>
    <x v="2"/>
    <n v="76.347172209789406"/>
    <n v="27866.717856573101"/>
    <n v="100320.18428366299"/>
  </r>
  <r>
    <x v="0"/>
    <x v="0"/>
    <x v="0"/>
    <x v="2"/>
    <x v="3"/>
    <s v="FIN_ESPOO"/>
    <x v="3"/>
    <s v="GHOB_NATGAS"/>
    <x v="0"/>
    <x v="3"/>
    <n v="88.250274855903896"/>
    <n v="32211.350322404902"/>
    <n v="115960.86116065799"/>
  </r>
  <r>
    <x v="0"/>
    <x v="0"/>
    <x v="0"/>
    <x v="2"/>
    <x v="3"/>
    <s v="FIN_ESPOO"/>
    <x v="3"/>
    <s v="GHOB_NATGAS"/>
    <x v="0"/>
    <x v="12"/>
    <n v="55.896861559147403"/>
    <n v="20402.354469088801"/>
    <n v="73448.476088719704"/>
  </r>
  <r>
    <x v="0"/>
    <x v="0"/>
    <x v="0"/>
    <x v="2"/>
    <x v="3"/>
    <s v="FIN_ESPOO"/>
    <x v="3"/>
    <s v="GHOB_NATGAS"/>
    <x v="0"/>
    <x v="13"/>
    <n v="45.170308943842201"/>
    <n v="16487.162764502398"/>
    <n v="59353.785952208702"/>
  </r>
  <r>
    <x v="0"/>
    <x v="0"/>
    <x v="0"/>
    <x v="2"/>
    <x v="3"/>
    <s v="FIN_ESPOO"/>
    <x v="3"/>
    <s v="GHOB_NATGAS"/>
    <x v="0"/>
    <x v="14"/>
    <n v="57.093064483864602"/>
    <n v="20838.968536610599"/>
    <n v="75020.286731797998"/>
  </r>
  <r>
    <x v="0"/>
    <x v="0"/>
    <x v="0"/>
    <x v="2"/>
    <x v="3"/>
    <s v="FIN_ESPOO"/>
    <x v="3"/>
    <s v="GHOB_NATGAS"/>
    <x v="0"/>
    <x v="15"/>
    <n v="12.860169630028301"/>
    <n v="4693.9619149603404"/>
    <n v="16898.262893857202"/>
  </r>
  <r>
    <x v="0"/>
    <x v="0"/>
    <x v="0"/>
    <x v="2"/>
    <x v="3"/>
    <s v="FIN_ESPOO"/>
    <x v="3"/>
    <s v="GHOB_NATGAS"/>
    <x v="0"/>
    <x v="4"/>
    <n v="32.781859215475698"/>
    <n v="11965.3786136486"/>
    <n v="43075.363009134999"/>
  </r>
  <r>
    <x v="0"/>
    <x v="0"/>
    <x v="0"/>
    <x v="2"/>
    <x v="3"/>
    <s v="FIN_ESPOO"/>
    <x v="3"/>
    <s v="GHOB_NATGAS"/>
    <x v="0"/>
    <x v="16"/>
    <n v="35.2847871974013"/>
    <n v="12878.947327051501"/>
    <n v="46364.210377385301"/>
  </r>
  <r>
    <x v="0"/>
    <x v="0"/>
    <x v="0"/>
    <x v="2"/>
    <x v="3"/>
    <s v="FIN_ESPOO"/>
    <x v="3"/>
    <s v="GHOB_NATGAS"/>
    <x v="0"/>
    <x v="17"/>
    <n v="40.144953824328397"/>
    <n v="14652.908145879899"/>
    <n v="52750.469325167498"/>
  </r>
  <r>
    <x v="0"/>
    <x v="0"/>
    <x v="0"/>
    <x v="2"/>
    <x v="3"/>
    <s v="FIN_ESPOO"/>
    <x v="3"/>
    <s v="GHOB_NATGAS"/>
    <x v="0"/>
    <x v="18"/>
    <n v="36.362184916261398"/>
    <n v="13272.197494435401"/>
    <n v="47779.910979967499"/>
  </r>
  <r>
    <x v="0"/>
    <x v="0"/>
    <x v="0"/>
    <x v="2"/>
    <x v="3"/>
    <s v="FIN_ESPOO"/>
    <x v="3"/>
    <s v="GHOB_NATGAS"/>
    <x v="0"/>
    <x v="19"/>
    <n v="31.1185248601772"/>
    <n v="11358.261573964701"/>
    <n v="40889.741666272799"/>
  </r>
  <r>
    <x v="0"/>
    <x v="0"/>
    <x v="0"/>
    <x v="2"/>
    <x v="3"/>
    <s v="FIN_ESPOO"/>
    <x v="3"/>
    <s v="GHOB_NATGAS"/>
    <x v="0"/>
    <x v="20"/>
    <n v="24.558000532040801"/>
    <n v="8963.6701941948704"/>
    <n v="32269.212699101499"/>
  </r>
  <r>
    <x v="0"/>
    <x v="0"/>
    <x v="0"/>
    <x v="2"/>
    <x v="3"/>
    <s v="FIN_ESPOO"/>
    <x v="3"/>
    <s v="GHOB_NATGAS"/>
    <x v="0"/>
    <x v="22"/>
    <n v="2.6952730220909902"/>
    <n v="983.77465306321005"/>
    <n v="3541.5887510275602"/>
  </r>
  <r>
    <x v="0"/>
    <x v="0"/>
    <x v="0"/>
    <x v="2"/>
    <x v="3"/>
    <s v="FIN_ESPOO"/>
    <x v="13"/>
    <s v="GHOB_NATGAS_EXETS"/>
    <x v="0"/>
    <x v="0"/>
    <n v="20"/>
    <n v="7300"/>
    <n v="26280"/>
  </r>
  <r>
    <x v="0"/>
    <x v="0"/>
    <x v="0"/>
    <x v="2"/>
    <x v="3"/>
    <s v="FIN_ESPOO"/>
    <x v="13"/>
    <s v="GHOB_NATGAS_EXETS"/>
    <x v="0"/>
    <x v="1"/>
    <n v="20"/>
    <n v="7300"/>
    <n v="26280"/>
  </r>
  <r>
    <x v="0"/>
    <x v="0"/>
    <x v="0"/>
    <x v="2"/>
    <x v="3"/>
    <s v="FIN_ESPOO"/>
    <x v="13"/>
    <s v="GHOB_NATGAS_EXETS"/>
    <x v="0"/>
    <x v="2"/>
    <n v="20"/>
    <n v="7300"/>
    <n v="26280"/>
  </r>
  <r>
    <x v="0"/>
    <x v="0"/>
    <x v="0"/>
    <x v="2"/>
    <x v="3"/>
    <s v="FIN_ESPOO"/>
    <x v="13"/>
    <s v="GHOB_NATGAS_EXETS"/>
    <x v="0"/>
    <x v="12"/>
    <n v="20"/>
    <n v="7300"/>
    <n v="26280"/>
  </r>
  <r>
    <x v="0"/>
    <x v="0"/>
    <x v="0"/>
    <x v="2"/>
    <x v="3"/>
    <s v="FIN_ESPOO"/>
    <x v="13"/>
    <s v="GHOB_NATGAS_EXETS"/>
    <x v="0"/>
    <x v="13"/>
    <n v="20"/>
    <n v="7300"/>
    <n v="26280"/>
  </r>
  <r>
    <x v="0"/>
    <x v="0"/>
    <x v="0"/>
    <x v="2"/>
    <x v="3"/>
    <s v="FIN_ESPOO"/>
    <x v="13"/>
    <s v="GHOB_NATGAS_EXETS"/>
    <x v="0"/>
    <x v="15"/>
    <n v="20"/>
    <n v="7300"/>
    <n v="26280"/>
  </r>
  <r>
    <x v="0"/>
    <x v="0"/>
    <x v="0"/>
    <x v="2"/>
    <x v="3"/>
    <s v="FIN_ESPOO"/>
    <x v="13"/>
    <s v="GHOB_NATGAS_EXETS"/>
    <x v="0"/>
    <x v="4"/>
    <n v="20"/>
    <n v="7300"/>
    <n v="26280"/>
  </r>
  <r>
    <x v="0"/>
    <x v="0"/>
    <x v="0"/>
    <x v="2"/>
    <x v="3"/>
    <s v="FIN_ESPOO"/>
    <x v="13"/>
    <s v="GHOB_NATGAS_EXETS"/>
    <x v="0"/>
    <x v="16"/>
    <n v="20"/>
    <n v="7300"/>
    <n v="26280"/>
  </r>
  <r>
    <x v="0"/>
    <x v="0"/>
    <x v="0"/>
    <x v="2"/>
    <x v="3"/>
    <s v="FIN_ESPOO"/>
    <x v="13"/>
    <s v="GHOB_NATGAS_EXETS"/>
    <x v="0"/>
    <x v="21"/>
    <n v="15.709175537080201"/>
    <n v="5733.8490710342603"/>
    <n v="20641.856655723299"/>
  </r>
  <r>
    <x v="0"/>
    <x v="0"/>
    <x v="0"/>
    <x v="2"/>
    <x v="3"/>
    <s v="FIN_GAS"/>
    <x v="1"/>
    <s v="GNR_HS_HEAT_WTR-TANK_LS_E-95_Y-2010"/>
    <x v="0"/>
    <x v="12"/>
    <n v="43.5420679554881"/>
    <n v="15892.8548037532"/>
    <n v="57214.277293511397"/>
  </r>
  <r>
    <x v="0"/>
    <x v="0"/>
    <x v="0"/>
    <x v="2"/>
    <x v="3"/>
    <s v="FIN_GAS"/>
    <x v="1"/>
    <s v="GNR_HS_HEAT_WTR-TANK_LS_E-95_Y-2010"/>
    <x v="0"/>
    <x v="14"/>
    <n v="38.262734820451399"/>
    <n v="13965.8982094648"/>
    <n v="50277.2335540731"/>
  </r>
  <r>
    <x v="0"/>
    <x v="0"/>
    <x v="0"/>
    <x v="2"/>
    <x v="3"/>
    <s v="FIN_GAS"/>
    <x v="1"/>
    <s v="GNR_HS_HEAT_WTR-TANK_LS_E-95_Y-2010"/>
    <x v="0"/>
    <x v="4"/>
    <n v="12.256411267020299"/>
    <n v="4473.5901124624197"/>
    <n v="16104.9244048647"/>
  </r>
  <r>
    <x v="0"/>
    <x v="0"/>
    <x v="0"/>
    <x v="2"/>
    <x v="3"/>
    <s v="FIN_GAS"/>
    <x v="3"/>
    <s v="GBPR_NATGAS_GASAREA"/>
    <x v="0"/>
    <x v="6"/>
    <n v="111.320754716981"/>
    <n v="40632.075471698103"/>
    <n v="146275.47169811299"/>
  </r>
  <r>
    <x v="0"/>
    <x v="0"/>
    <x v="0"/>
    <x v="2"/>
    <x v="3"/>
    <s v="FIN_GAS"/>
    <x v="3"/>
    <s v="GBPR_NATGAS_GASAREA"/>
    <x v="0"/>
    <x v="7"/>
    <n v="111.320754716981"/>
    <n v="40632.075471698103"/>
    <n v="146275.47169811299"/>
  </r>
  <r>
    <x v="0"/>
    <x v="0"/>
    <x v="0"/>
    <x v="2"/>
    <x v="3"/>
    <s v="FIN_GAS"/>
    <x v="3"/>
    <s v="GBPR_NATGAS_GASAREA"/>
    <x v="0"/>
    <x v="8"/>
    <n v="111.320754716981"/>
    <n v="40632.075471698103"/>
    <n v="146275.47169811299"/>
  </r>
  <r>
    <x v="0"/>
    <x v="0"/>
    <x v="0"/>
    <x v="2"/>
    <x v="3"/>
    <s v="FIN_GAS"/>
    <x v="3"/>
    <s v="GBPR_NATGAS_GASAREA"/>
    <x v="0"/>
    <x v="9"/>
    <n v="111.320754716981"/>
    <n v="40632.075471698103"/>
    <n v="146275.47169811299"/>
  </r>
  <r>
    <x v="0"/>
    <x v="0"/>
    <x v="0"/>
    <x v="2"/>
    <x v="3"/>
    <s v="FIN_GAS"/>
    <x v="3"/>
    <s v="GBPR_NATGAS_GASAREA"/>
    <x v="0"/>
    <x v="10"/>
    <n v="111.320754716981"/>
    <n v="40632.075471698103"/>
    <n v="146275.47169811299"/>
  </r>
  <r>
    <x v="0"/>
    <x v="0"/>
    <x v="0"/>
    <x v="2"/>
    <x v="3"/>
    <s v="FIN_GAS"/>
    <x v="3"/>
    <s v="GBPR_NATGAS_GASAREA"/>
    <x v="0"/>
    <x v="11"/>
    <n v="111.320754716981"/>
    <n v="40632.075471698103"/>
    <n v="146275.47169811299"/>
  </r>
  <r>
    <x v="0"/>
    <x v="0"/>
    <x v="0"/>
    <x v="2"/>
    <x v="3"/>
    <s v="FIN_GAS"/>
    <x v="3"/>
    <s v="GBPR_NATGAS_GASAREA"/>
    <x v="0"/>
    <x v="0"/>
    <n v="111.320754716981"/>
    <n v="40632.075471698103"/>
    <n v="146275.47169811299"/>
  </r>
  <r>
    <x v="0"/>
    <x v="0"/>
    <x v="0"/>
    <x v="2"/>
    <x v="3"/>
    <s v="FIN_GAS"/>
    <x v="3"/>
    <s v="GBPR_NATGAS_GASAREA"/>
    <x v="0"/>
    <x v="1"/>
    <n v="111.320754716981"/>
    <n v="40632.075471698103"/>
    <n v="146275.47169811299"/>
  </r>
  <r>
    <x v="0"/>
    <x v="0"/>
    <x v="0"/>
    <x v="2"/>
    <x v="3"/>
    <s v="FIN_GAS"/>
    <x v="3"/>
    <s v="GBPR_NATGAS_GASAREA"/>
    <x v="0"/>
    <x v="2"/>
    <n v="111.320754716981"/>
    <n v="40632.075471698103"/>
    <n v="146275.47169811299"/>
  </r>
  <r>
    <x v="0"/>
    <x v="0"/>
    <x v="0"/>
    <x v="2"/>
    <x v="3"/>
    <s v="FIN_GAS"/>
    <x v="3"/>
    <s v="GBPR_NATGAS_GASAREA"/>
    <x v="0"/>
    <x v="3"/>
    <n v="111.320754716981"/>
    <n v="40632.075471698103"/>
    <n v="146275.47169811299"/>
  </r>
  <r>
    <x v="0"/>
    <x v="0"/>
    <x v="0"/>
    <x v="2"/>
    <x v="3"/>
    <s v="FIN_GAS"/>
    <x v="3"/>
    <s v="GBPR_NATGAS_GASAREA"/>
    <x v="0"/>
    <x v="12"/>
    <n v="111.320754716981"/>
    <n v="40632.075471698103"/>
    <n v="146275.47169811299"/>
  </r>
  <r>
    <x v="0"/>
    <x v="0"/>
    <x v="0"/>
    <x v="2"/>
    <x v="3"/>
    <s v="FIN_GAS"/>
    <x v="3"/>
    <s v="GBPR_NATGAS_GASAREA"/>
    <x v="0"/>
    <x v="13"/>
    <n v="111.320754716981"/>
    <n v="40632.075471698103"/>
    <n v="146275.47169811299"/>
  </r>
  <r>
    <x v="0"/>
    <x v="0"/>
    <x v="0"/>
    <x v="2"/>
    <x v="3"/>
    <s v="FIN_GAS"/>
    <x v="3"/>
    <s v="GBPR_NATGAS_GASAREA"/>
    <x v="0"/>
    <x v="14"/>
    <n v="111.320754716981"/>
    <n v="40632.075471698103"/>
    <n v="146275.47169811299"/>
  </r>
  <r>
    <x v="0"/>
    <x v="0"/>
    <x v="0"/>
    <x v="2"/>
    <x v="3"/>
    <s v="FIN_GAS"/>
    <x v="3"/>
    <s v="GBPR_NATGAS_GASAREA"/>
    <x v="0"/>
    <x v="15"/>
    <n v="111.320754716981"/>
    <n v="40632.075471698103"/>
    <n v="146275.47169811299"/>
  </r>
  <r>
    <x v="0"/>
    <x v="0"/>
    <x v="0"/>
    <x v="2"/>
    <x v="3"/>
    <s v="FIN_GAS"/>
    <x v="3"/>
    <s v="GBPR_NATGAS_GASAREA"/>
    <x v="0"/>
    <x v="4"/>
    <n v="111.320754716981"/>
    <n v="40632.075471698103"/>
    <n v="146275.47169811299"/>
  </r>
  <r>
    <x v="0"/>
    <x v="0"/>
    <x v="0"/>
    <x v="2"/>
    <x v="3"/>
    <s v="FIN_GAS"/>
    <x v="3"/>
    <s v="GBPR_NATGAS_GASAREA"/>
    <x v="0"/>
    <x v="16"/>
    <n v="111.320754716981"/>
    <n v="40632.075471698103"/>
    <n v="146275.47169811299"/>
  </r>
  <r>
    <x v="0"/>
    <x v="0"/>
    <x v="0"/>
    <x v="2"/>
    <x v="3"/>
    <s v="FIN_GAS"/>
    <x v="3"/>
    <s v="GBPR_NATGAS_GASAREA"/>
    <x v="0"/>
    <x v="5"/>
    <n v="111.320754716981"/>
    <n v="40632.075471698103"/>
    <n v="146275.47169811299"/>
  </r>
  <r>
    <x v="0"/>
    <x v="0"/>
    <x v="0"/>
    <x v="2"/>
    <x v="3"/>
    <s v="FIN_GAS"/>
    <x v="3"/>
    <s v="GBPR_NATGAS_GASAREA"/>
    <x v="0"/>
    <x v="17"/>
    <n v="111.320754716981"/>
    <n v="40632.075471698103"/>
    <n v="146275.47169811299"/>
  </r>
  <r>
    <x v="0"/>
    <x v="0"/>
    <x v="0"/>
    <x v="2"/>
    <x v="3"/>
    <s v="FIN_GAS"/>
    <x v="3"/>
    <s v="GBPR_NATGAS_GASAREA"/>
    <x v="0"/>
    <x v="18"/>
    <n v="111.320754716981"/>
    <n v="40632.075471698103"/>
    <n v="146275.47169811299"/>
  </r>
  <r>
    <x v="0"/>
    <x v="0"/>
    <x v="0"/>
    <x v="2"/>
    <x v="3"/>
    <s v="FIN_GAS"/>
    <x v="3"/>
    <s v="GBPR_NATGAS_GASAREA"/>
    <x v="0"/>
    <x v="19"/>
    <n v="111.320754716981"/>
    <n v="40632.075471698103"/>
    <n v="146275.47169811299"/>
  </r>
  <r>
    <x v="0"/>
    <x v="0"/>
    <x v="0"/>
    <x v="2"/>
    <x v="3"/>
    <s v="FIN_GAS"/>
    <x v="3"/>
    <s v="GBPR_NATGAS_GASAREA"/>
    <x v="0"/>
    <x v="20"/>
    <n v="111.320754716981"/>
    <n v="40632.075471698103"/>
    <n v="146275.47169811299"/>
  </r>
  <r>
    <x v="0"/>
    <x v="0"/>
    <x v="0"/>
    <x v="2"/>
    <x v="3"/>
    <s v="FIN_GAS"/>
    <x v="3"/>
    <s v="GBPR_NATGAS_GASAREA"/>
    <x v="0"/>
    <x v="21"/>
    <n v="111.320754716981"/>
    <n v="40632.075471698103"/>
    <n v="146275.47169811299"/>
  </r>
  <r>
    <x v="0"/>
    <x v="0"/>
    <x v="0"/>
    <x v="2"/>
    <x v="3"/>
    <s v="FIN_GAS"/>
    <x v="3"/>
    <s v="GBPR_NATGAS_GASAREA"/>
    <x v="0"/>
    <x v="22"/>
    <n v="111.320754716981"/>
    <n v="40632.075471698103"/>
    <n v="146275.47169811299"/>
  </r>
  <r>
    <x v="0"/>
    <x v="0"/>
    <x v="0"/>
    <x v="2"/>
    <x v="3"/>
    <s v="FIN_GAS"/>
    <x v="3"/>
    <s v="GBPR_NATGAS_GASAREA"/>
    <x v="0"/>
    <x v="23"/>
    <n v="111.320754716981"/>
    <n v="40632.075471698103"/>
    <n v="146275.47169811299"/>
  </r>
  <r>
    <x v="0"/>
    <x v="0"/>
    <x v="0"/>
    <x v="2"/>
    <x v="3"/>
    <s v="FIN_GAS"/>
    <x v="3"/>
    <s v="GEXT_NATGAS_NOKIA"/>
    <x v="0"/>
    <x v="6"/>
    <n v="40"/>
    <n v="14600"/>
    <n v="52560"/>
  </r>
  <r>
    <x v="0"/>
    <x v="0"/>
    <x v="0"/>
    <x v="2"/>
    <x v="3"/>
    <s v="FIN_GAS"/>
    <x v="3"/>
    <s v="GEXT_NATGAS_NOKIA"/>
    <x v="0"/>
    <x v="7"/>
    <n v="40"/>
    <n v="14600"/>
    <n v="52560"/>
  </r>
  <r>
    <x v="0"/>
    <x v="0"/>
    <x v="0"/>
    <x v="2"/>
    <x v="3"/>
    <s v="FIN_GAS"/>
    <x v="3"/>
    <s v="GEXT_NATGAS_NOKIA"/>
    <x v="0"/>
    <x v="8"/>
    <n v="40"/>
    <n v="14600"/>
    <n v="52560"/>
  </r>
  <r>
    <x v="0"/>
    <x v="0"/>
    <x v="0"/>
    <x v="2"/>
    <x v="3"/>
    <s v="FIN_GAS"/>
    <x v="3"/>
    <s v="GEXT_NATGAS_NOKIA"/>
    <x v="0"/>
    <x v="9"/>
    <n v="40"/>
    <n v="14600"/>
    <n v="52560"/>
  </r>
  <r>
    <x v="0"/>
    <x v="0"/>
    <x v="0"/>
    <x v="2"/>
    <x v="3"/>
    <s v="FIN_GAS"/>
    <x v="3"/>
    <s v="GEXT_NATGAS_NOKIA"/>
    <x v="0"/>
    <x v="10"/>
    <n v="40"/>
    <n v="14600"/>
    <n v="52560"/>
  </r>
  <r>
    <x v="0"/>
    <x v="0"/>
    <x v="0"/>
    <x v="2"/>
    <x v="3"/>
    <s v="FIN_GAS"/>
    <x v="3"/>
    <s v="GEXT_NATGAS_NOKIA"/>
    <x v="0"/>
    <x v="11"/>
    <n v="40"/>
    <n v="14600"/>
    <n v="52560"/>
  </r>
  <r>
    <x v="0"/>
    <x v="0"/>
    <x v="0"/>
    <x v="2"/>
    <x v="3"/>
    <s v="FIN_GAS"/>
    <x v="3"/>
    <s v="GEXT_NATGAS_NOKIA"/>
    <x v="0"/>
    <x v="0"/>
    <n v="40"/>
    <n v="14600"/>
    <n v="52560"/>
  </r>
  <r>
    <x v="0"/>
    <x v="0"/>
    <x v="0"/>
    <x v="2"/>
    <x v="3"/>
    <s v="FIN_GAS"/>
    <x v="3"/>
    <s v="GEXT_NATGAS_NOKIA"/>
    <x v="0"/>
    <x v="1"/>
    <n v="40"/>
    <n v="14600"/>
    <n v="52560"/>
  </r>
  <r>
    <x v="0"/>
    <x v="0"/>
    <x v="0"/>
    <x v="2"/>
    <x v="3"/>
    <s v="FIN_GAS"/>
    <x v="3"/>
    <s v="GEXT_NATGAS_NOKIA"/>
    <x v="0"/>
    <x v="2"/>
    <n v="40"/>
    <n v="14600"/>
    <n v="52560"/>
  </r>
  <r>
    <x v="0"/>
    <x v="0"/>
    <x v="0"/>
    <x v="2"/>
    <x v="3"/>
    <s v="FIN_GAS"/>
    <x v="3"/>
    <s v="GEXT_NATGAS_NOKIA"/>
    <x v="0"/>
    <x v="3"/>
    <n v="40"/>
    <n v="14600"/>
    <n v="52560"/>
  </r>
  <r>
    <x v="0"/>
    <x v="0"/>
    <x v="0"/>
    <x v="2"/>
    <x v="3"/>
    <s v="FIN_GAS"/>
    <x v="3"/>
    <s v="GEXT_NATGAS_NOKIA"/>
    <x v="0"/>
    <x v="12"/>
    <n v="40"/>
    <n v="14600"/>
    <n v="52560"/>
  </r>
  <r>
    <x v="0"/>
    <x v="0"/>
    <x v="0"/>
    <x v="2"/>
    <x v="3"/>
    <s v="FIN_GAS"/>
    <x v="3"/>
    <s v="GEXT_NATGAS_NOKIA"/>
    <x v="0"/>
    <x v="13"/>
    <n v="40"/>
    <n v="14600"/>
    <n v="52560"/>
  </r>
  <r>
    <x v="0"/>
    <x v="0"/>
    <x v="0"/>
    <x v="2"/>
    <x v="3"/>
    <s v="FIN_GAS"/>
    <x v="3"/>
    <s v="GEXT_NATGAS_NOKIA"/>
    <x v="0"/>
    <x v="14"/>
    <n v="40"/>
    <n v="14600"/>
    <n v="52560"/>
  </r>
  <r>
    <x v="0"/>
    <x v="0"/>
    <x v="0"/>
    <x v="2"/>
    <x v="3"/>
    <s v="FIN_GAS"/>
    <x v="3"/>
    <s v="GEXT_NATGAS_NOKIA"/>
    <x v="0"/>
    <x v="15"/>
    <n v="40"/>
    <n v="14600"/>
    <n v="52560"/>
  </r>
  <r>
    <x v="0"/>
    <x v="0"/>
    <x v="0"/>
    <x v="2"/>
    <x v="3"/>
    <s v="FIN_GAS"/>
    <x v="3"/>
    <s v="GEXT_NATGAS_NOKIA"/>
    <x v="0"/>
    <x v="4"/>
    <n v="40"/>
    <n v="14600"/>
    <n v="52560"/>
  </r>
  <r>
    <x v="0"/>
    <x v="0"/>
    <x v="0"/>
    <x v="2"/>
    <x v="3"/>
    <s v="FIN_GAS"/>
    <x v="3"/>
    <s v="GEXT_NATGAS_NOKIA"/>
    <x v="0"/>
    <x v="16"/>
    <n v="40"/>
    <n v="14600"/>
    <n v="52560"/>
  </r>
  <r>
    <x v="0"/>
    <x v="0"/>
    <x v="0"/>
    <x v="2"/>
    <x v="3"/>
    <s v="FIN_GAS"/>
    <x v="3"/>
    <s v="GEXT_NATGAS_NOKIA"/>
    <x v="0"/>
    <x v="5"/>
    <n v="40"/>
    <n v="14600"/>
    <n v="52560"/>
  </r>
  <r>
    <x v="0"/>
    <x v="0"/>
    <x v="0"/>
    <x v="2"/>
    <x v="3"/>
    <s v="FIN_GAS"/>
    <x v="3"/>
    <s v="GEXT_NATGAS_NOKIA"/>
    <x v="0"/>
    <x v="17"/>
    <n v="40"/>
    <n v="14600"/>
    <n v="52560"/>
  </r>
  <r>
    <x v="0"/>
    <x v="0"/>
    <x v="0"/>
    <x v="2"/>
    <x v="3"/>
    <s v="FIN_GAS"/>
    <x v="3"/>
    <s v="GEXT_NATGAS_NOKIA"/>
    <x v="0"/>
    <x v="18"/>
    <n v="40"/>
    <n v="14600"/>
    <n v="52560"/>
  </r>
  <r>
    <x v="0"/>
    <x v="0"/>
    <x v="0"/>
    <x v="2"/>
    <x v="3"/>
    <s v="FIN_GAS"/>
    <x v="3"/>
    <s v="GEXT_NATGAS_NOKIA"/>
    <x v="0"/>
    <x v="19"/>
    <n v="40"/>
    <n v="14600"/>
    <n v="52560"/>
  </r>
  <r>
    <x v="0"/>
    <x v="0"/>
    <x v="0"/>
    <x v="2"/>
    <x v="3"/>
    <s v="FIN_GAS"/>
    <x v="3"/>
    <s v="GEXT_NATGAS_NOKIA"/>
    <x v="0"/>
    <x v="20"/>
    <n v="40"/>
    <n v="14600"/>
    <n v="52560"/>
  </r>
  <r>
    <x v="0"/>
    <x v="0"/>
    <x v="0"/>
    <x v="2"/>
    <x v="3"/>
    <s v="FIN_GAS"/>
    <x v="3"/>
    <s v="GEXT_NATGAS_NOKIA"/>
    <x v="0"/>
    <x v="21"/>
    <n v="40"/>
    <n v="14600"/>
    <n v="52560"/>
  </r>
  <r>
    <x v="0"/>
    <x v="0"/>
    <x v="0"/>
    <x v="2"/>
    <x v="3"/>
    <s v="FIN_GAS"/>
    <x v="3"/>
    <s v="GEXT_NATGAS_NOKIA"/>
    <x v="0"/>
    <x v="22"/>
    <n v="40"/>
    <n v="14600"/>
    <n v="52560"/>
  </r>
  <r>
    <x v="0"/>
    <x v="0"/>
    <x v="0"/>
    <x v="2"/>
    <x v="3"/>
    <s v="FIN_GAS"/>
    <x v="3"/>
    <s v="GEXT_NATGAS_NOKIA"/>
    <x v="0"/>
    <x v="23"/>
    <n v="40"/>
    <n v="14600"/>
    <n v="52560"/>
  </r>
  <r>
    <x v="0"/>
    <x v="0"/>
    <x v="0"/>
    <x v="2"/>
    <x v="3"/>
    <s v="FIN_GAS"/>
    <x v="3"/>
    <s v="GHOB_NATGAS"/>
    <x v="0"/>
    <x v="11"/>
    <n v="1.2029664011174499"/>
    <n v="439.08273640786899"/>
    <n v="1580.69785106833"/>
  </r>
  <r>
    <x v="0"/>
    <x v="0"/>
    <x v="0"/>
    <x v="2"/>
    <x v="3"/>
    <s v="FIN_GAS"/>
    <x v="3"/>
    <s v="GHOB_NATGAS"/>
    <x v="0"/>
    <x v="0"/>
    <n v="28.205320197557501"/>
    <n v="10294.9418721085"/>
    <n v="37061.7907395906"/>
  </r>
  <r>
    <x v="0"/>
    <x v="0"/>
    <x v="0"/>
    <x v="2"/>
    <x v="3"/>
    <s v="FIN_GAS"/>
    <x v="3"/>
    <s v="GHOB_NATGAS"/>
    <x v="0"/>
    <x v="1"/>
    <n v="44.297365572639102"/>
    <n v="16168.538434013301"/>
    <n v="58206.738362447803"/>
  </r>
  <r>
    <x v="0"/>
    <x v="0"/>
    <x v="0"/>
    <x v="2"/>
    <x v="3"/>
    <s v="FIN_GAS"/>
    <x v="3"/>
    <s v="GHOB_NATGAS"/>
    <x v="0"/>
    <x v="2"/>
    <n v="48.332670545797399"/>
    <n v="17641.424749216101"/>
    <n v="63509.1290971778"/>
  </r>
  <r>
    <x v="0"/>
    <x v="0"/>
    <x v="0"/>
    <x v="2"/>
    <x v="3"/>
    <s v="FIN_GAS"/>
    <x v="3"/>
    <s v="GHOB_NATGAS"/>
    <x v="0"/>
    <x v="3"/>
    <n v="49.374025461481899"/>
    <n v="18021.519293440899"/>
    <n v="64877.469456387298"/>
  </r>
  <r>
    <x v="0"/>
    <x v="0"/>
    <x v="0"/>
    <x v="2"/>
    <x v="3"/>
    <s v="FIN_GAS"/>
    <x v="3"/>
    <s v="GHOB_NATGAS"/>
    <x v="0"/>
    <x v="13"/>
    <n v="39.661714812178602"/>
    <n v="14476.5259064452"/>
    <n v="52115.493263202603"/>
  </r>
  <r>
    <x v="0"/>
    <x v="0"/>
    <x v="0"/>
    <x v="2"/>
    <x v="3"/>
    <s v="FIN_GAS"/>
    <x v="3"/>
    <s v="GHOB_NATGAS"/>
    <x v="0"/>
    <x v="15"/>
    <n v="38.029207663757298"/>
    <n v="13880.660797271399"/>
    <n v="49970.378870177097"/>
  </r>
  <r>
    <x v="0"/>
    <x v="0"/>
    <x v="0"/>
    <x v="2"/>
    <x v="3"/>
    <s v="FIN_GAS"/>
    <x v="3"/>
    <s v="GHOB_NATGAS"/>
    <x v="0"/>
    <x v="4"/>
    <n v="26.7647010348681"/>
    <n v="9769.1158777268502"/>
    <n v="35168.817159816703"/>
  </r>
  <r>
    <x v="0"/>
    <x v="0"/>
    <x v="0"/>
    <x v="2"/>
    <x v="3"/>
    <s v="FIN_GAS"/>
    <x v="3"/>
    <s v="GHOB_NATGAS"/>
    <x v="0"/>
    <x v="16"/>
    <n v="44.662046084508603"/>
    <n v="16301.646820845601"/>
    <n v="58685.928555044302"/>
  </r>
  <r>
    <x v="0"/>
    <x v="0"/>
    <x v="0"/>
    <x v="2"/>
    <x v="3"/>
    <s v="FIN_GAS"/>
    <x v="3"/>
    <s v="GHOB_NATGAS"/>
    <x v="0"/>
    <x v="5"/>
    <n v="40.176960045030597"/>
    <n v="14664.5904164362"/>
    <n v="52792.525499170202"/>
  </r>
  <r>
    <x v="0"/>
    <x v="0"/>
    <x v="0"/>
    <x v="2"/>
    <x v="3"/>
    <s v="FIN_GAS"/>
    <x v="3"/>
    <s v="GHOB_NATGAS"/>
    <x v="0"/>
    <x v="17"/>
    <n v="36.056625582713401"/>
    <n v="13160.6683376904"/>
    <n v="47378.406015685498"/>
  </r>
  <r>
    <x v="0"/>
    <x v="0"/>
    <x v="0"/>
    <x v="2"/>
    <x v="3"/>
    <s v="FIN_GAS"/>
    <x v="3"/>
    <s v="GHOB_NATGAS"/>
    <x v="0"/>
    <x v="18"/>
    <n v="36.760812678445298"/>
    <n v="13417.6966276325"/>
    <n v="48303.707859477101"/>
  </r>
  <r>
    <x v="0"/>
    <x v="0"/>
    <x v="0"/>
    <x v="2"/>
    <x v="3"/>
    <s v="FIN_GAS"/>
    <x v="3"/>
    <s v="GHOB_NATGAS"/>
    <x v="0"/>
    <x v="19"/>
    <n v="33.7988091980584"/>
    <n v="12336.5653572913"/>
    <n v="44411.635286248697"/>
  </r>
  <r>
    <x v="0"/>
    <x v="0"/>
    <x v="0"/>
    <x v="2"/>
    <x v="3"/>
    <s v="FIN_GAS"/>
    <x v="3"/>
    <s v="GHOB_NATGAS"/>
    <x v="0"/>
    <x v="20"/>
    <n v="29.769960138184398"/>
    <n v="10866.035450437301"/>
    <n v="39117.727621574297"/>
  </r>
  <r>
    <x v="0"/>
    <x v="0"/>
    <x v="0"/>
    <x v="2"/>
    <x v="3"/>
    <s v="FIN_GAS"/>
    <x v="3"/>
    <s v="GHOB_NATGAS"/>
    <x v="0"/>
    <x v="21"/>
    <n v="26.141068362547198"/>
    <n v="9541.4899523297099"/>
    <n v="34349.363828387002"/>
  </r>
  <r>
    <x v="0"/>
    <x v="0"/>
    <x v="0"/>
    <x v="2"/>
    <x v="3"/>
    <s v="FIN_GAS"/>
    <x v="3"/>
    <s v="GHOB_NATGAS"/>
    <x v="0"/>
    <x v="22"/>
    <n v="17.031202646594998"/>
    <n v="6216.38896600719"/>
    <n v="22379.000277625899"/>
  </r>
  <r>
    <x v="0"/>
    <x v="0"/>
    <x v="0"/>
    <x v="2"/>
    <x v="3"/>
    <s v="FIN_GAS"/>
    <x v="3"/>
    <s v="GHOB_NATGAS"/>
    <x v="0"/>
    <x v="23"/>
    <n v="8.8089383879788095"/>
    <n v="3215.2625116122699"/>
    <n v="11574.9450418042"/>
  </r>
  <r>
    <x v="0"/>
    <x v="0"/>
    <x v="0"/>
    <x v="2"/>
    <x v="3"/>
    <s v="FIN_HELS"/>
    <x v="3"/>
    <s v="GBPR_NATGAS_MARTINLAAKSOGT"/>
    <x v="0"/>
    <x v="6"/>
    <n v="75.03234152652"/>
    <n v="27386.8046571798"/>
    <n v="98592.496765847303"/>
  </r>
  <r>
    <x v="0"/>
    <x v="0"/>
    <x v="0"/>
    <x v="2"/>
    <x v="3"/>
    <s v="FIN_HELS"/>
    <x v="3"/>
    <s v="GBPR_NATGAS_MARTINLAAKSOGT"/>
    <x v="0"/>
    <x v="7"/>
    <n v="75.03234152652"/>
    <n v="27386.8046571798"/>
    <n v="98592.496765847303"/>
  </r>
  <r>
    <x v="0"/>
    <x v="0"/>
    <x v="0"/>
    <x v="2"/>
    <x v="3"/>
    <s v="FIN_HELS"/>
    <x v="3"/>
    <s v="GBPR_NATGAS_MARTINLAAKSOGT"/>
    <x v="0"/>
    <x v="8"/>
    <n v="75.03234152652"/>
    <n v="27386.8046571798"/>
    <n v="98592.496765847303"/>
  </r>
  <r>
    <x v="0"/>
    <x v="0"/>
    <x v="0"/>
    <x v="2"/>
    <x v="3"/>
    <s v="FIN_HELS"/>
    <x v="3"/>
    <s v="GBPR_NATGAS_MARTINLAAKSOGT"/>
    <x v="0"/>
    <x v="9"/>
    <n v="75.03234152652"/>
    <n v="27386.8046571798"/>
    <n v="98592.496765847303"/>
  </r>
  <r>
    <x v="0"/>
    <x v="0"/>
    <x v="0"/>
    <x v="2"/>
    <x v="3"/>
    <s v="FIN_HELS"/>
    <x v="3"/>
    <s v="GBPR_NATGAS_MARTINLAAKSOGT"/>
    <x v="0"/>
    <x v="10"/>
    <n v="75.03234152652"/>
    <n v="27386.8046571798"/>
    <n v="98592.496765847303"/>
  </r>
  <r>
    <x v="0"/>
    <x v="0"/>
    <x v="0"/>
    <x v="2"/>
    <x v="3"/>
    <s v="FIN_HELS"/>
    <x v="3"/>
    <s v="GBPR_NATGAS_MARTINLAAKSOGT"/>
    <x v="0"/>
    <x v="11"/>
    <n v="75.03234152652"/>
    <n v="27386.8046571798"/>
    <n v="98592.496765847303"/>
  </r>
  <r>
    <x v="0"/>
    <x v="0"/>
    <x v="0"/>
    <x v="2"/>
    <x v="3"/>
    <s v="FIN_HELS"/>
    <x v="3"/>
    <s v="GBPR_NATGAS_MARTINLAAKSOGT"/>
    <x v="0"/>
    <x v="0"/>
    <n v="75.03234152652"/>
    <n v="27386.8046571798"/>
    <n v="98592.496765847303"/>
  </r>
  <r>
    <x v="0"/>
    <x v="0"/>
    <x v="0"/>
    <x v="2"/>
    <x v="3"/>
    <s v="FIN_HELS"/>
    <x v="3"/>
    <s v="GBPR_NATGAS_MARTINLAAKSOGT"/>
    <x v="0"/>
    <x v="1"/>
    <n v="75.03234152652"/>
    <n v="27386.8046571798"/>
    <n v="98592.496765847303"/>
  </r>
  <r>
    <x v="0"/>
    <x v="0"/>
    <x v="0"/>
    <x v="2"/>
    <x v="3"/>
    <s v="FIN_HELS"/>
    <x v="3"/>
    <s v="GBPR_NATGAS_MARTINLAAKSOGT"/>
    <x v="0"/>
    <x v="2"/>
    <n v="75.03234152652"/>
    <n v="27386.8046571798"/>
    <n v="98592.496765847303"/>
  </r>
  <r>
    <x v="0"/>
    <x v="0"/>
    <x v="0"/>
    <x v="2"/>
    <x v="3"/>
    <s v="FIN_HELS"/>
    <x v="3"/>
    <s v="GBPR_NATGAS_MARTINLAAKSOGT"/>
    <x v="0"/>
    <x v="3"/>
    <n v="75.03234152652"/>
    <n v="27386.8046571798"/>
    <n v="98592.496765847303"/>
  </r>
  <r>
    <x v="0"/>
    <x v="0"/>
    <x v="0"/>
    <x v="2"/>
    <x v="3"/>
    <s v="FIN_HELS"/>
    <x v="3"/>
    <s v="GBPR_NATGAS_MARTINLAAKSOGT"/>
    <x v="0"/>
    <x v="12"/>
    <n v="75.03234152652"/>
    <n v="27386.8046571798"/>
    <n v="98592.496765847303"/>
  </r>
  <r>
    <x v="0"/>
    <x v="0"/>
    <x v="0"/>
    <x v="2"/>
    <x v="3"/>
    <s v="FIN_HELS"/>
    <x v="3"/>
    <s v="GBPR_NATGAS_MARTINLAAKSOGT"/>
    <x v="0"/>
    <x v="13"/>
    <n v="75.03234152652"/>
    <n v="27386.8046571798"/>
    <n v="98592.496765847303"/>
  </r>
  <r>
    <x v="0"/>
    <x v="0"/>
    <x v="0"/>
    <x v="2"/>
    <x v="3"/>
    <s v="FIN_HELS"/>
    <x v="3"/>
    <s v="GBPR_NATGAS_MARTINLAAKSOGT"/>
    <x v="0"/>
    <x v="14"/>
    <n v="75.03234152652"/>
    <n v="27386.8046571798"/>
    <n v="98592.496765847303"/>
  </r>
  <r>
    <x v="0"/>
    <x v="0"/>
    <x v="0"/>
    <x v="2"/>
    <x v="3"/>
    <s v="FIN_HELS"/>
    <x v="3"/>
    <s v="GBPR_NATGAS_MARTINLAAKSOGT"/>
    <x v="0"/>
    <x v="15"/>
    <n v="75.03234152652"/>
    <n v="27386.8046571798"/>
    <n v="98592.496765847303"/>
  </r>
  <r>
    <x v="0"/>
    <x v="0"/>
    <x v="0"/>
    <x v="2"/>
    <x v="3"/>
    <s v="FIN_HELS"/>
    <x v="3"/>
    <s v="GBPR_NATGAS_MARTINLAAKSOGT"/>
    <x v="0"/>
    <x v="4"/>
    <n v="75.03234152652"/>
    <n v="27386.8046571798"/>
    <n v="98592.496765847303"/>
  </r>
  <r>
    <x v="0"/>
    <x v="0"/>
    <x v="0"/>
    <x v="2"/>
    <x v="3"/>
    <s v="FIN_HELS"/>
    <x v="3"/>
    <s v="GBPR_NATGAS_MARTINLAAKSOGT"/>
    <x v="0"/>
    <x v="16"/>
    <n v="75.03234152652"/>
    <n v="27386.8046571798"/>
    <n v="98592.496765847303"/>
  </r>
  <r>
    <x v="0"/>
    <x v="0"/>
    <x v="0"/>
    <x v="2"/>
    <x v="3"/>
    <s v="FIN_HELS"/>
    <x v="3"/>
    <s v="GBPR_NATGAS_MARTINLAAKSOGT"/>
    <x v="0"/>
    <x v="5"/>
    <n v="75.03234152652"/>
    <n v="27386.8046571798"/>
    <n v="98592.496765847303"/>
  </r>
  <r>
    <x v="0"/>
    <x v="0"/>
    <x v="0"/>
    <x v="2"/>
    <x v="3"/>
    <s v="FIN_HELS"/>
    <x v="3"/>
    <s v="GBPR_NATGAS_MARTINLAAKSOGT"/>
    <x v="0"/>
    <x v="17"/>
    <n v="75.03234152652"/>
    <n v="27386.8046571798"/>
    <n v="98592.496765847303"/>
  </r>
  <r>
    <x v="0"/>
    <x v="0"/>
    <x v="0"/>
    <x v="2"/>
    <x v="3"/>
    <s v="FIN_HELS"/>
    <x v="3"/>
    <s v="GBPR_NATGAS_MARTINLAAKSOGT"/>
    <x v="0"/>
    <x v="18"/>
    <n v="75.03234152652"/>
    <n v="27386.8046571798"/>
    <n v="98592.496765847303"/>
  </r>
  <r>
    <x v="0"/>
    <x v="0"/>
    <x v="0"/>
    <x v="2"/>
    <x v="3"/>
    <s v="FIN_HELS"/>
    <x v="3"/>
    <s v="GBPR_NATGAS_MARTINLAAKSOGT"/>
    <x v="0"/>
    <x v="19"/>
    <n v="75.03234152652"/>
    <n v="27386.8046571798"/>
    <n v="98592.496765847303"/>
  </r>
  <r>
    <x v="0"/>
    <x v="0"/>
    <x v="0"/>
    <x v="2"/>
    <x v="3"/>
    <s v="FIN_HELS"/>
    <x v="3"/>
    <s v="GBPR_NATGAS_MARTINLAAKSOGT"/>
    <x v="0"/>
    <x v="20"/>
    <n v="75.03234152652"/>
    <n v="27386.8046571798"/>
    <n v="98592.496765847303"/>
  </r>
  <r>
    <x v="0"/>
    <x v="0"/>
    <x v="0"/>
    <x v="2"/>
    <x v="3"/>
    <s v="FIN_HELS"/>
    <x v="3"/>
    <s v="GBPR_NATGAS_MARTINLAAKSOGT"/>
    <x v="0"/>
    <x v="21"/>
    <n v="75.03234152652"/>
    <n v="27386.8046571798"/>
    <n v="98592.496765847303"/>
  </r>
  <r>
    <x v="0"/>
    <x v="0"/>
    <x v="0"/>
    <x v="2"/>
    <x v="3"/>
    <s v="FIN_HELS"/>
    <x v="3"/>
    <s v="GBPR_NATGAS_MARTINLAAKSOGT"/>
    <x v="0"/>
    <x v="22"/>
    <n v="75.03234152652"/>
    <n v="27386.8046571798"/>
    <n v="98592.496765847303"/>
  </r>
  <r>
    <x v="0"/>
    <x v="0"/>
    <x v="0"/>
    <x v="2"/>
    <x v="3"/>
    <s v="FIN_HELS"/>
    <x v="3"/>
    <s v="GBPR_NATGAS_MARTINLAAKSOGT"/>
    <x v="0"/>
    <x v="23"/>
    <n v="75.03234152652"/>
    <n v="27386.8046571798"/>
    <n v="98592.496765847303"/>
  </r>
  <r>
    <x v="0"/>
    <x v="0"/>
    <x v="0"/>
    <x v="2"/>
    <x v="3"/>
    <s v="FIN_HELS"/>
    <x v="3"/>
    <s v="GBPR_NATGAS_VOUSAARI"/>
    <x v="0"/>
    <x v="6"/>
    <n v="160"/>
    <n v="58400"/>
    <n v="210240"/>
  </r>
  <r>
    <x v="0"/>
    <x v="0"/>
    <x v="0"/>
    <x v="2"/>
    <x v="3"/>
    <s v="FIN_HELS"/>
    <x v="3"/>
    <s v="GBPR_NATGAS_VOUSAARI"/>
    <x v="0"/>
    <x v="7"/>
    <n v="160"/>
    <n v="58400"/>
    <n v="210240"/>
  </r>
  <r>
    <x v="0"/>
    <x v="0"/>
    <x v="0"/>
    <x v="2"/>
    <x v="3"/>
    <s v="FIN_HELS"/>
    <x v="3"/>
    <s v="GBPR_NATGAS_VOUSAARI"/>
    <x v="0"/>
    <x v="8"/>
    <n v="160"/>
    <n v="58400"/>
    <n v="210240"/>
  </r>
  <r>
    <x v="0"/>
    <x v="0"/>
    <x v="0"/>
    <x v="2"/>
    <x v="3"/>
    <s v="FIN_HELS"/>
    <x v="3"/>
    <s v="GBPR_NATGAS_VOUSAARI"/>
    <x v="0"/>
    <x v="9"/>
    <n v="160"/>
    <n v="58400"/>
    <n v="210240"/>
  </r>
  <r>
    <x v="0"/>
    <x v="0"/>
    <x v="0"/>
    <x v="2"/>
    <x v="3"/>
    <s v="FIN_HELS"/>
    <x v="3"/>
    <s v="GBPR_NATGAS_VOUSAARI"/>
    <x v="0"/>
    <x v="10"/>
    <n v="160"/>
    <n v="58400"/>
    <n v="210240"/>
  </r>
  <r>
    <x v="0"/>
    <x v="0"/>
    <x v="0"/>
    <x v="2"/>
    <x v="3"/>
    <s v="FIN_HELS"/>
    <x v="3"/>
    <s v="GBPR_NATGAS_VOUSAARI"/>
    <x v="0"/>
    <x v="11"/>
    <n v="160"/>
    <n v="58400"/>
    <n v="210240"/>
  </r>
  <r>
    <x v="0"/>
    <x v="0"/>
    <x v="0"/>
    <x v="2"/>
    <x v="3"/>
    <s v="FIN_HELS"/>
    <x v="3"/>
    <s v="GBPR_NATGAS_VOUSAARI"/>
    <x v="0"/>
    <x v="0"/>
    <n v="160"/>
    <n v="58400"/>
    <n v="210240"/>
  </r>
  <r>
    <x v="0"/>
    <x v="0"/>
    <x v="0"/>
    <x v="2"/>
    <x v="3"/>
    <s v="FIN_HELS"/>
    <x v="3"/>
    <s v="GBPR_NATGAS_VOUSAARI"/>
    <x v="0"/>
    <x v="1"/>
    <n v="160"/>
    <n v="58400"/>
    <n v="210240"/>
  </r>
  <r>
    <x v="0"/>
    <x v="0"/>
    <x v="0"/>
    <x v="2"/>
    <x v="3"/>
    <s v="FIN_HELS"/>
    <x v="3"/>
    <s v="GBPR_NATGAS_VOUSAARI"/>
    <x v="0"/>
    <x v="2"/>
    <n v="160"/>
    <n v="58400"/>
    <n v="210240"/>
  </r>
  <r>
    <x v="0"/>
    <x v="0"/>
    <x v="0"/>
    <x v="2"/>
    <x v="3"/>
    <s v="FIN_HELS"/>
    <x v="3"/>
    <s v="GBPR_NATGAS_VOUSAARI"/>
    <x v="0"/>
    <x v="3"/>
    <n v="160"/>
    <n v="58400"/>
    <n v="210240"/>
  </r>
  <r>
    <x v="0"/>
    <x v="0"/>
    <x v="0"/>
    <x v="2"/>
    <x v="3"/>
    <s v="FIN_HELS"/>
    <x v="3"/>
    <s v="GBPR_NATGAS_VOUSAARI"/>
    <x v="0"/>
    <x v="12"/>
    <n v="160"/>
    <n v="58400"/>
    <n v="210240"/>
  </r>
  <r>
    <x v="0"/>
    <x v="0"/>
    <x v="0"/>
    <x v="2"/>
    <x v="3"/>
    <s v="FIN_HELS"/>
    <x v="3"/>
    <s v="GBPR_NATGAS_VOUSAARI"/>
    <x v="0"/>
    <x v="13"/>
    <n v="160"/>
    <n v="58400"/>
    <n v="210240"/>
  </r>
  <r>
    <x v="0"/>
    <x v="0"/>
    <x v="0"/>
    <x v="2"/>
    <x v="3"/>
    <s v="FIN_HELS"/>
    <x v="3"/>
    <s v="GBPR_NATGAS_VOUSAARI"/>
    <x v="0"/>
    <x v="14"/>
    <n v="160"/>
    <n v="58400"/>
    <n v="210240"/>
  </r>
  <r>
    <x v="0"/>
    <x v="0"/>
    <x v="0"/>
    <x v="2"/>
    <x v="3"/>
    <s v="FIN_HELS"/>
    <x v="3"/>
    <s v="GBPR_NATGAS_VOUSAARI"/>
    <x v="0"/>
    <x v="15"/>
    <n v="160"/>
    <n v="58400"/>
    <n v="210240"/>
  </r>
  <r>
    <x v="0"/>
    <x v="0"/>
    <x v="0"/>
    <x v="2"/>
    <x v="3"/>
    <s v="FIN_HELS"/>
    <x v="3"/>
    <s v="GBPR_NATGAS_VOUSAARI"/>
    <x v="0"/>
    <x v="4"/>
    <n v="160"/>
    <n v="58400"/>
    <n v="210240"/>
  </r>
  <r>
    <x v="0"/>
    <x v="0"/>
    <x v="0"/>
    <x v="2"/>
    <x v="3"/>
    <s v="FIN_HELS"/>
    <x v="3"/>
    <s v="GBPR_NATGAS_VOUSAARI"/>
    <x v="0"/>
    <x v="16"/>
    <n v="160"/>
    <n v="58400"/>
    <n v="210240"/>
  </r>
  <r>
    <x v="0"/>
    <x v="0"/>
    <x v="0"/>
    <x v="2"/>
    <x v="3"/>
    <s v="FIN_HELS"/>
    <x v="3"/>
    <s v="GBPR_NATGAS_VOUSAARI"/>
    <x v="0"/>
    <x v="5"/>
    <n v="160"/>
    <n v="58400"/>
    <n v="210240"/>
  </r>
  <r>
    <x v="0"/>
    <x v="0"/>
    <x v="0"/>
    <x v="2"/>
    <x v="3"/>
    <s v="FIN_HELS"/>
    <x v="3"/>
    <s v="GBPR_NATGAS_VOUSAARI"/>
    <x v="0"/>
    <x v="17"/>
    <n v="160"/>
    <n v="58400"/>
    <n v="210240"/>
  </r>
  <r>
    <x v="0"/>
    <x v="0"/>
    <x v="0"/>
    <x v="2"/>
    <x v="3"/>
    <s v="FIN_HELS"/>
    <x v="3"/>
    <s v="GBPR_NATGAS_VOUSAARI"/>
    <x v="0"/>
    <x v="18"/>
    <n v="160"/>
    <n v="58400"/>
    <n v="210240"/>
  </r>
  <r>
    <x v="0"/>
    <x v="0"/>
    <x v="0"/>
    <x v="2"/>
    <x v="3"/>
    <s v="FIN_HELS"/>
    <x v="3"/>
    <s v="GBPR_NATGAS_VOUSAARI"/>
    <x v="0"/>
    <x v="19"/>
    <n v="160"/>
    <n v="58400"/>
    <n v="210240"/>
  </r>
  <r>
    <x v="0"/>
    <x v="0"/>
    <x v="0"/>
    <x v="2"/>
    <x v="3"/>
    <s v="FIN_HELS"/>
    <x v="3"/>
    <s v="GBPR_NATGAS_VOUSAARI"/>
    <x v="0"/>
    <x v="20"/>
    <n v="160"/>
    <n v="58400"/>
    <n v="210240"/>
  </r>
  <r>
    <x v="0"/>
    <x v="0"/>
    <x v="0"/>
    <x v="2"/>
    <x v="3"/>
    <s v="FIN_HELS"/>
    <x v="3"/>
    <s v="GBPR_NATGAS_VOUSAARI"/>
    <x v="0"/>
    <x v="21"/>
    <n v="160"/>
    <n v="58400"/>
    <n v="210240"/>
  </r>
  <r>
    <x v="0"/>
    <x v="0"/>
    <x v="0"/>
    <x v="2"/>
    <x v="3"/>
    <s v="FIN_HELS"/>
    <x v="3"/>
    <s v="GBPR_NATGAS_VOUSAARI"/>
    <x v="0"/>
    <x v="22"/>
    <n v="160"/>
    <n v="58400"/>
    <n v="210240"/>
  </r>
  <r>
    <x v="0"/>
    <x v="0"/>
    <x v="0"/>
    <x v="2"/>
    <x v="3"/>
    <s v="FIN_HELS"/>
    <x v="3"/>
    <s v="GBPR_NATGAS_VOUSAARI"/>
    <x v="0"/>
    <x v="23"/>
    <n v="160"/>
    <n v="58400"/>
    <n v="210240"/>
  </r>
  <r>
    <x v="0"/>
    <x v="0"/>
    <x v="0"/>
    <x v="2"/>
    <x v="3"/>
    <s v="FIN_HELS"/>
    <x v="3"/>
    <s v="GEXT_NATGAS_VOUSAARI"/>
    <x v="0"/>
    <x v="6"/>
    <n v="432.780847145488"/>
    <n v="157965.009208103"/>
    <n v="568674.03314917104"/>
  </r>
  <r>
    <x v="0"/>
    <x v="0"/>
    <x v="0"/>
    <x v="2"/>
    <x v="3"/>
    <s v="FIN_HELS"/>
    <x v="3"/>
    <s v="GEXT_NATGAS_VOUSAARI"/>
    <x v="0"/>
    <x v="7"/>
    <n v="432.780847145488"/>
    <n v="157965.009208103"/>
    <n v="568674.03314917104"/>
  </r>
  <r>
    <x v="0"/>
    <x v="0"/>
    <x v="0"/>
    <x v="2"/>
    <x v="3"/>
    <s v="FIN_HELS"/>
    <x v="3"/>
    <s v="GEXT_NATGAS_VOUSAARI"/>
    <x v="0"/>
    <x v="8"/>
    <n v="432.780847145488"/>
    <n v="157965.009208103"/>
    <n v="568674.03314917104"/>
  </r>
  <r>
    <x v="0"/>
    <x v="0"/>
    <x v="0"/>
    <x v="2"/>
    <x v="3"/>
    <s v="FIN_HELS"/>
    <x v="3"/>
    <s v="GEXT_NATGAS_VOUSAARI"/>
    <x v="0"/>
    <x v="9"/>
    <n v="432.780847145488"/>
    <n v="157965.009208103"/>
    <n v="568674.03314917104"/>
  </r>
  <r>
    <x v="0"/>
    <x v="0"/>
    <x v="0"/>
    <x v="2"/>
    <x v="3"/>
    <s v="FIN_HELS"/>
    <x v="3"/>
    <s v="GEXT_NATGAS_VOUSAARI"/>
    <x v="0"/>
    <x v="10"/>
    <n v="432.780847145488"/>
    <n v="157965.009208103"/>
    <n v="568674.03314917104"/>
  </r>
  <r>
    <x v="0"/>
    <x v="0"/>
    <x v="0"/>
    <x v="2"/>
    <x v="3"/>
    <s v="FIN_HELS"/>
    <x v="3"/>
    <s v="GEXT_NATGAS_VOUSAARI"/>
    <x v="0"/>
    <x v="11"/>
    <n v="432.780847145488"/>
    <n v="157965.009208103"/>
    <n v="568674.03314917104"/>
  </r>
  <r>
    <x v="0"/>
    <x v="0"/>
    <x v="0"/>
    <x v="2"/>
    <x v="3"/>
    <s v="FIN_HELS"/>
    <x v="3"/>
    <s v="GEXT_NATGAS_VOUSAARI"/>
    <x v="0"/>
    <x v="0"/>
    <n v="432.780847145488"/>
    <n v="157965.009208103"/>
    <n v="568674.03314917104"/>
  </r>
  <r>
    <x v="0"/>
    <x v="0"/>
    <x v="0"/>
    <x v="2"/>
    <x v="3"/>
    <s v="FIN_HELS"/>
    <x v="3"/>
    <s v="GEXT_NATGAS_VOUSAARI"/>
    <x v="0"/>
    <x v="1"/>
    <n v="432.780847145488"/>
    <n v="157965.009208103"/>
    <n v="568674.03314917104"/>
  </r>
  <r>
    <x v="0"/>
    <x v="0"/>
    <x v="0"/>
    <x v="2"/>
    <x v="3"/>
    <s v="FIN_HELS"/>
    <x v="3"/>
    <s v="GEXT_NATGAS_VOUSAARI"/>
    <x v="0"/>
    <x v="2"/>
    <n v="432.780847145488"/>
    <n v="157965.009208103"/>
    <n v="568674.03314917104"/>
  </r>
  <r>
    <x v="0"/>
    <x v="0"/>
    <x v="0"/>
    <x v="2"/>
    <x v="3"/>
    <s v="FIN_HELS"/>
    <x v="3"/>
    <s v="GEXT_NATGAS_VOUSAARI"/>
    <x v="0"/>
    <x v="3"/>
    <n v="432.780847145488"/>
    <n v="157965.009208103"/>
    <n v="568674.03314917104"/>
  </r>
  <r>
    <x v="0"/>
    <x v="0"/>
    <x v="0"/>
    <x v="2"/>
    <x v="3"/>
    <s v="FIN_HELS"/>
    <x v="3"/>
    <s v="GEXT_NATGAS_VOUSAARI"/>
    <x v="0"/>
    <x v="12"/>
    <n v="432.780847145488"/>
    <n v="157965.009208103"/>
    <n v="568674.03314917104"/>
  </r>
  <r>
    <x v="0"/>
    <x v="0"/>
    <x v="0"/>
    <x v="2"/>
    <x v="3"/>
    <s v="FIN_HELS"/>
    <x v="3"/>
    <s v="GEXT_NATGAS_VOUSAARI"/>
    <x v="0"/>
    <x v="13"/>
    <n v="432.780847145488"/>
    <n v="157965.009208103"/>
    <n v="568674.03314917104"/>
  </r>
  <r>
    <x v="0"/>
    <x v="0"/>
    <x v="0"/>
    <x v="2"/>
    <x v="3"/>
    <s v="FIN_HELS"/>
    <x v="3"/>
    <s v="GEXT_NATGAS_VOUSAARI"/>
    <x v="0"/>
    <x v="14"/>
    <n v="432.780847145488"/>
    <n v="157965.009208103"/>
    <n v="568674.03314917104"/>
  </r>
  <r>
    <x v="0"/>
    <x v="0"/>
    <x v="0"/>
    <x v="2"/>
    <x v="3"/>
    <s v="FIN_HELS"/>
    <x v="3"/>
    <s v="GEXT_NATGAS_VOUSAARI"/>
    <x v="0"/>
    <x v="15"/>
    <n v="432.780847145488"/>
    <n v="157965.009208103"/>
    <n v="568674.03314917104"/>
  </r>
  <r>
    <x v="0"/>
    <x v="0"/>
    <x v="0"/>
    <x v="2"/>
    <x v="3"/>
    <s v="FIN_HELS"/>
    <x v="3"/>
    <s v="GEXT_NATGAS_VOUSAARI"/>
    <x v="0"/>
    <x v="4"/>
    <n v="432.780847145488"/>
    <n v="157965.009208103"/>
    <n v="568674.03314917104"/>
  </r>
  <r>
    <x v="0"/>
    <x v="0"/>
    <x v="0"/>
    <x v="2"/>
    <x v="3"/>
    <s v="FIN_HELS"/>
    <x v="3"/>
    <s v="GEXT_NATGAS_VOUSAARI"/>
    <x v="0"/>
    <x v="16"/>
    <n v="432.780847145488"/>
    <n v="157965.009208103"/>
    <n v="568674.03314917104"/>
  </r>
  <r>
    <x v="0"/>
    <x v="0"/>
    <x v="0"/>
    <x v="2"/>
    <x v="3"/>
    <s v="FIN_HELS"/>
    <x v="3"/>
    <s v="GEXT_NATGAS_VOUSAARI"/>
    <x v="0"/>
    <x v="5"/>
    <n v="432.780847145488"/>
    <n v="157965.009208103"/>
    <n v="568674.03314917104"/>
  </r>
  <r>
    <x v="0"/>
    <x v="0"/>
    <x v="0"/>
    <x v="2"/>
    <x v="3"/>
    <s v="FIN_HELS"/>
    <x v="3"/>
    <s v="GEXT_NATGAS_VOUSAARI"/>
    <x v="0"/>
    <x v="17"/>
    <n v="432.780847145488"/>
    <n v="157965.009208103"/>
    <n v="568674.03314917104"/>
  </r>
  <r>
    <x v="0"/>
    <x v="0"/>
    <x v="0"/>
    <x v="2"/>
    <x v="3"/>
    <s v="FIN_HELS"/>
    <x v="3"/>
    <s v="GEXT_NATGAS_VOUSAARI"/>
    <x v="0"/>
    <x v="18"/>
    <n v="432.780847145488"/>
    <n v="157965.009208103"/>
    <n v="568674.03314917104"/>
  </r>
  <r>
    <x v="0"/>
    <x v="0"/>
    <x v="0"/>
    <x v="2"/>
    <x v="3"/>
    <s v="FIN_HELS"/>
    <x v="3"/>
    <s v="GEXT_NATGAS_VOUSAARI"/>
    <x v="0"/>
    <x v="19"/>
    <n v="432.780847145488"/>
    <n v="157965.009208103"/>
    <n v="568674.03314917104"/>
  </r>
  <r>
    <x v="0"/>
    <x v="0"/>
    <x v="0"/>
    <x v="2"/>
    <x v="3"/>
    <s v="FIN_HELS"/>
    <x v="3"/>
    <s v="GEXT_NATGAS_VOUSAARI"/>
    <x v="0"/>
    <x v="20"/>
    <n v="432.780847145488"/>
    <n v="157965.009208103"/>
    <n v="568674.03314917104"/>
  </r>
  <r>
    <x v="0"/>
    <x v="0"/>
    <x v="0"/>
    <x v="2"/>
    <x v="3"/>
    <s v="FIN_HELS"/>
    <x v="3"/>
    <s v="GEXT_NATGAS_VOUSAARI"/>
    <x v="0"/>
    <x v="21"/>
    <n v="432.780847145488"/>
    <n v="157965.009208103"/>
    <n v="568674.03314917104"/>
  </r>
  <r>
    <x v="0"/>
    <x v="0"/>
    <x v="0"/>
    <x v="2"/>
    <x v="3"/>
    <s v="FIN_HELS"/>
    <x v="3"/>
    <s v="GEXT_NATGAS_VOUSAARI"/>
    <x v="0"/>
    <x v="22"/>
    <n v="432.780847145488"/>
    <n v="157965.009208103"/>
    <n v="568674.03314917104"/>
  </r>
  <r>
    <x v="0"/>
    <x v="0"/>
    <x v="0"/>
    <x v="2"/>
    <x v="3"/>
    <s v="FIN_HELS"/>
    <x v="3"/>
    <s v="GEXT_NATGAS_VOUSAARI"/>
    <x v="0"/>
    <x v="23"/>
    <n v="432.780847145488"/>
    <n v="157965.009208103"/>
    <n v="568674.03314917104"/>
  </r>
  <r>
    <x v="0"/>
    <x v="0"/>
    <x v="0"/>
    <x v="2"/>
    <x v="3"/>
    <s v="FIN_HELS"/>
    <x v="3"/>
    <s v="GHOB_NATGAS"/>
    <x v="0"/>
    <x v="6"/>
    <n v="430.14237039895397"/>
    <n v="157001.96519561799"/>
    <n v="565207.07470422599"/>
  </r>
  <r>
    <x v="0"/>
    <x v="0"/>
    <x v="0"/>
    <x v="2"/>
    <x v="3"/>
    <s v="FIN_HELS"/>
    <x v="3"/>
    <s v="GHOB_NATGAS"/>
    <x v="0"/>
    <x v="7"/>
    <n v="415.09757179821003"/>
    <n v="151510.61370634701"/>
    <n v="545438.20934284804"/>
  </r>
  <r>
    <x v="0"/>
    <x v="0"/>
    <x v="0"/>
    <x v="2"/>
    <x v="3"/>
    <s v="FIN_HELS"/>
    <x v="3"/>
    <s v="GHOB_NATGAS"/>
    <x v="0"/>
    <x v="8"/>
    <n v="416.94568143987402"/>
    <n v="152185.17372555399"/>
    <n v="547866.62541199406"/>
  </r>
  <r>
    <x v="0"/>
    <x v="0"/>
    <x v="0"/>
    <x v="2"/>
    <x v="3"/>
    <s v="FIN_HELS"/>
    <x v="3"/>
    <s v="GHOB_NATGAS"/>
    <x v="0"/>
    <x v="9"/>
    <n v="432.866980203163"/>
    <n v="157996.44777415501"/>
    <n v="568787.21198695595"/>
  </r>
  <r>
    <x v="0"/>
    <x v="0"/>
    <x v="0"/>
    <x v="2"/>
    <x v="3"/>
    <s v="FIN_HELS"/>
    <x v="3"/>
    <s v="GHOB_NATGAS"/>
    <x v="0"/>
    <x v="10"/>
    <n v="470.65239898761598"/>
    <n v="171788.12563048"/>
    <n v="618437.25226972799"/>
  </r>
  <r>
    <x v="0"/>
    <x v="0"/>
    <x v="0"/>
    <x v="2"/>
    <x v="3"/>
    <s v="FIN_HELS"/>
    <x v="3"/>
    <s v="GHOB_NATGAS"/>
    <x v="0"/>
    <x v="11"/>
    <n v="559.11801105274299"/>
    <n v="204078.07403425101"/>
    <n v="734681.06652330398"/>
  </r>
  <r>
    <x v="0"/>
    <x v="0"/>
    <x v="0"/>
    <x v="2"/>
    <x v="3"/>
    <s v="FIN_HELS"/>
    <x v="3"/>
    <s v="GHOB_NATGAS"/>
    <x v="0"/>
    <x v="0"/>
    <n v="768.15653707469403"/>
    <n v="280377.13603226299"/>
    <n v="1009357.6897161501"/>
  </r>
  <r>
    <x v="0"/>
    <x v="0"/>
    <x v="0"/>
    <x v="2"/>
    <x v="3"/>
    <s v="FIN_HELS"/>
    <x v="3"/>
    <s v="GHOB_NATGAS"/>
    <x v="0"/>
    <x v="1"/>
    <n v="871.15118588104895"/>
    <n v="317970.18284658302"/>
    <n v="1144692.6582477"/>
  </r>
  <r>
    <x v="0"/>
    <x v="0"/>
    <x v="0"/>
    <x v="2"/>
    <x v="3"/>
    <s v="FIN_HELS"/>
    <x v="3"/>
    <s v="GHOB_NATGAS"/>
    <x v="0"/>
    <x v="2"/>
    <n v="862.54018734516399"/>
    <n v="314827.16838098498"/>
    <n v="1133377.8061715499"/>
  </r>
  <r>
    <x v="0"/>
    <x v="0"/>
    <x v="0"/>
    <x v="2"/>
    <x v="3"/>
    <s v="FIN_HELS"/>
    <x v="3"/>
    <s v="GHOB_NATGAS"/>
    <x v="0"/>
    <x v="3"/>
    <n v="830.26849127818195"/>
    <n v="303047.99931653601"/>
    <n v="1090972.7975395301"/>
  </r>
  <r>
    <x v="0"/>
    <x v="0"/>
    <x v="0"/>
    <x v="2"/>
    <x v="3"/>
    <s v="FIN_HELS"/>
    <x v="3"/>
    <s v="GHOB_NATGAS"/>
    <x v="0"/>
    <x v="12"/>
    <n v="782.142295560344"/>
    <n v="285481.937879526"/>
    <n v="1027734.97636629"/>
  </r>
  <r>
    <x v="0"/>
    <x v="0"/>
    <x v="0"/>
    <x v="2"/>
    <x v="3"/>
    <s v="FIN_HELS"/>
    <x v="3"/>
    <s v="GHOB_NATGAS"/>
    <x v="0"/>
    <x v="13"/>
    <n v="742.25811222201196"/>
    <n v="270924.21096103499"/>
    <n v="975327.15945972397"/>
  </r>
  <r>
    <x v="0"/>
    <x v="0"/>
    <x v="0"/>
    <x v="2"/>
    <x v="3"/>
    <s v="FIN_HELS"/>
    <x v="3"/>
    <s v="GHOB_NATGAS"/>
    <x v="0"/>
    <x v="14"/>
    <n v="710.45719565648699"/>
    <n v="259316.87641461799"/>
    <n v="933540.75509262399"/>
  </r>
  <r>
    <x v="0"/>
    <x v="0"/>
    <x v="0"/>
    <x v="2"/>
    <x v="3"/>
    <s v="FIN_HELS"/>
    <x v="3"/>
    <s v="GHOB_NATGAS"/>
    <x v="0"/>
    <x v="15"/>
    <n v="699.52093749061999"/>
    <n v="255325.14218407599"/>
    <n v="919170.51186267403"/>
  </r>
  <r>
    <x v="0"/>
    <x v="0"/>
    <x v="0"/>
    <x v="2"/>
    <x v="3"/>
    <s v="FIN_HELS"/>
    <x v="3"/>
    <s v="GHOB_NATGAS"/>
    <x v="0"/>
    <x v="4"/>
    <n v="692.16465136212798"/>
    <n v="252640.097747177"/>
    <n v="909504.35188983602"/>
  </r>
  <r>
    <x v="0"/>
    <x v="0"/>
    <x v="0"/>
    <x v="2"/>
    <x v="3"/>
    <s v="FIN_HELS"/>
    <x v="3"/>
    <s v="GHOB_NATGAS"/>
    <x v="0"/>
    <x v="16"/>
    <n v="702.18104868923501"/>
    <n v="256296.082771571"/>
    <n v="922665.89797765506"/>
  </r>
  <r>
    <x v="0"/>
    <x v="0"/>
    <x v="0"/>
    <x v="2"/>
    <x v="3"/>
    <s v="FIN_HELS"/>
    <x v="3"/>
    <s v="GHOB_NATGAS"/>
    <x v="0"/>
    <x v="5"/>
    <n v="671.00069081509696"/>
    <n v="244915.25214751001"/>
    <n v="881694.907731037"/>
  </r>
  <r>
    <x v="0"/>
    <x v="0"/>
    <x v="0"/>
    <x v="2"/>
    <x v="3"/>
    <s v="FIN_HELS"/>
    <x v="3"/>
    <s v="GHOB_NATGAS"/>
    <x v="0"/>
    <x v="17"/>
    <n v="631.83803825583902"/>
    <n v="230620.883963381"/>
    <n v="830235.18226817297"/>
  </r>
  <r>
    <x v="0"/>
    <x v="0"/>
    <x v="0"/>
    <x v="2"/>
    <x v="3"/>
    <s v="FIN_HELS"/>
    <x v="3"/>
    <s v="GHOB_NATGAS"/>
    <x v="0"/>
    <x v="18"/>
    <n v="616.61870777554395"/>
    <n v="225065.828338074"/>
    <n v="810236.98201706505"/>
  </r>
  <r>
    <x v="0"/>
    <x v="0"/>
    <x v="0"/>
    <x v="2"/>
    <x v="3"/>
    <s v="FIN_HELS"/>
    <x v="3"/>
    <s v="GHOB_NATGAS"/>
    <x v="0"/>
    <x v="19"/>
    <n v="595.08372815192797"/>
    <n v="217205.56077545401"/>
    <n v="781940.01879163401"/>
  </r>
  <r>
    <x v="0"/>
    <x v="0"/>
    <x v="0"/>
    <x v="2"/>
    <x v="3"/>
    <s v="FIN_HELS"/>
    <x v="3"/>
    <s v="GHOB_NATGAS"/>
    <x v="0"/>
    <x v="20"/>
    <n v="569.29097734921402"/>
    <n v="207791.206732463"/>
    <n v="748048.34423686704"/>
  </r>
  <r>
    <x v="0"/>
    <x v="0"/>
    <x v="0"/>
    <x v="2"/>
    <x v="3"/>
    <s v="FIN_HELS"/>
    <x v="3"/>
    <s v="GHOB_NATGAS"/>
    <x v="0"/>
    <x v="21"/>
    <n v="536.15873074417505"/>
    <n v="195697.93672162399"/>
    <n v="704512.57219784602"/>
  </r>
  <r>
    <x v="0"/>
    <x v="0"/>
    <x v="0"/>
    <x v="2"/>
    <x v="3"/>
    <s v="FIN_HELS"/>
    <x v="3"/>
    <s v="GHOB_NATGAS"/>
    <x v="0"/>
    <x v="22"/>
    <n v="485.63707326957098"/>
    <n v="177257.53174339299"/>
    <n v="638127.11427621602"/>
  </r>
  <r>
    <x v="0"/>
    <x v="0"/>
    <x v="0"/>
    <x v="2"/>
    <x v="3"/>
    <s v="FIN_HELS"/>
    <x v="3"/>
    <s v="GHOB_NATGAS"/>
    <x v="0"/>
    <x v="23"/>
    <n v="425.249403316545"/>
    <n v="155216.03221053901"/>
    <n v="558777.71595793997"/>
  </r>
  <r>
    <x v="0"/>
    <x v="0"/>
    <x v="0"/>
    <x v="2"/>
    <x v="3"/>
    <s v="FIN_HP"/>
    <x v="9"/>
    <s v="GHOB_BIOGAS"/>
    <x v="0"/>
    <x v="6"/>
    <n v="4"/>
    <n v="1460"/>
    <n v="5256"/>
  </r>
  <r>
    <x v="0"/>
    <x v="0"/>
    <x v="0"/>
    <x v="2"/>
    <x v="3"/>
    <s v="FIN_HP"/>
    <x v="9"/>
    <s v="GHOB_BIOGAS"/>
    <x v="0"/>
    <x v="7"/>
    <n v="4"/>
    <n v="1460"/>
    <n v="5256"/>
  </r>
  <r>
    <x v="0"/>
    <x v="0"/>
    <x v="0"/>
    <x v="2"/>
    <x v="3"/>
    <s v="FIN_HP"/>
    <x v="9"/>
    <s v="GHOB_BIOGAS"/>
    <x v="0"/>
    <x v="8"/>
    <n v="4"/>
    <n v="1460"/>
    <n v="5256"/>
  </r>
  <r>
    <x v="0"/>
    <x v="0"/>
    <x v="0"/>
    <x v="2"/>
    <x v="3"/>
    <s v="FIN_HP"/>
    <x v="9"/>
    <s v="GHOB_BIOGAS"/>
    <x v="0"/>
    <x v="9"/>
    <n v="4"/>
    <n v="1460"/>
    <n v="5256"/>
  </r>
  <r>
    <x v="0"/>
    <x v="0"/>
    <x v="0"/>
    <x v="2"/>
    <x v="3"/>
    <s v="FIN_HP"/>
    <x v="9"/>
    <s v="GHOB_BIOGAS"/>
    <x v="0"/>
    <x v="10"/>
    <n v="4"/>
    <n v="1460"/>
    <n v="5256"/>
  </r>
  <r>
    <x v="0"/>
    <x v="0"/>
    <x v="0"/>
    <x v="2"/>
    <x v="3"/>
    <s v="FIN_HP"/>
    <x v="9"/>
    <s v="GHOB_BIOGAS"/>
    <x v="0"/>
    <x v="11"/>
    <n v="4"/>
    <n v="1460"/>
    <n v="5256"/>
  </r>
  <r>
    <x v="0"/>
    <x v="0"/>
    <x v="0"/>
    <x v="2"/>
    <x v="3"/>
    <s v="FIN_HP"/>
    <x v="9"/>
    <s v="GHOB_BIOGAS"/>
    <x v="0"/>
    <x v="0"/>
    <n v="4"/>
    <n v="1460"/>
    <n v="5256"/>
  </r>
  <r>
    <x v="0"/>
    <x v="0"/>
    <x v="0"/>
    <x v="2"/>
    <x v="3"/>
    <s v="FIN_HP"/>
    <x v="9"/>
    <s v="GHOB_BIOGAS"/>
    <x v="0"/>
    <x v="1"/>
    <n v="4"/>
    <n v="1460"/>
    <n v="5256"/>
  </r>
  <r>
    <x v="0"/>
    <x v="0"/>
    <x v="0"/>
    <x v="2"/>
    <x v="3"/>
    <s v="FIN_HP"/>
    <x v="9"/>
    <s v="GHOB_BIOGAS"/>
    <x v="0"/>
    <x v="2"/>
    <n v="4"/>
    <n v="1460"/>
    <n v="5256"/>
  </r>
  <r>
    <x v="0"/>
    <x v="0"/>
    <x v="0"/>
    <x v="2"/>
    <x v="3"/>
    <s v="FIN_HP"/>
    <x v="9"/>
    <s v="GHOB_BIOGAS"/>
    <x v="0"/>
    <x v="3"/>
    <n v="4"/>
    <n v="1460"/>
    <n v="5256"/>
  </r>
  <r>
    <x v="0"/>
    <x v="0"/>
    <x v="0"/>
    <x v="2"/>
    <x v="3"/>
    <s v="FIN_HP"/>
    <x v="9"/>
    <s v="GHOB_BIOGAS"/>
    <x v="0"/>
    <x v="12"/>
    <n v="4"/>
    <n v="1460"/>
    <n v="5256"/>
  </r>
  <r>
    <x v="0"/>
    <x v="0"/>
    <x v="0"/>
    <x v="2"/>
    <x v="3"/>
    <s v="FIN_HP"/>
    <x v="9"/>
    <s v="GHOB_BIOGAS"/>
    <x v="0"/>
    <x v="13"/>
    <n v="4"/>
    <n v="1460"/>
    <n v="5256"/>
  </r>
  <r>
    <x v="0"/>
    <x v="0"/>
    <x v="0"/>
    <x v="2"/>
    <x v="3"/>
    <s v="FIN_HP"/>
    <x v="9"/>
    <s v="GHOB_BIOGAS"/>
    <x v="0"/>
    <x v="14"/>
    <n v="4"/>
    <n v="1460"/>
    <n v="5256"/>
  </r>
  <r>
    <x v="0"/>
    <x v="0"/>
    <x v="0"/>
    <x v="2"/>
    <x v="3"/>
    <s v="FIN_HP"/>
    <x v="9"/>
    <s v="GHOB_BIOGAS"/>
    <x v="0"/>
    <x v="15"/>
    <n v="4"/>
    <n v="1460"/>
    <n v="5256"/>
  </r>
  <r>
    <x v="0"/>
    <x v="0"/>
    <x v="0"/>
    <x v="2"/>
    <x v="3"/>
    <s v="FIN_HP"/>
    <x v="9"/>
    <s v="GHOB_BIOGAS"/>
    <x v="0"/>
    <x v="4"/>
    <n v="4"/>
    <n v="1460"/>
    <n v="5256"/>
  </r>
  <r>
    <x v="0"/>
    <x v="0"/>
    <x v="0"/>
    <x v="2"/>
    <x v="3"/>
    <s v="FIN_HP"/>
    <x v="9"/>
    <s v="GHOB_BIOGAS"/>
    <x v="0"/>
    <x v="16"/>
    <n v="4"/>
    <n v="1460"/>
    <n v="5256"/>
  </r>
  <r>
    <x v="0"/>
    <x v="0"/>
    <x v="0"/>
    <x v="2"/>
    <x v="3"/>
    <s v="FIN_HP"/>
    <x v="9"/>
    <s v="GHOB_BIOGAS"/>
    <x v="0"/>
    <x v="5"/>
    <n v="4"/>
    <n v="1460"/>
    <n v="5256"/>
  </r>
  <r>
    <x v="0"/>
    <x v="0"/>
    <x v="0"/>
    <x v="2"/>
    <x v="3"/>
    <s v="FIN_HP"/>
    <x v="9"/>
    <s v="GHOB_BIOGAS"/>
    <x v="0"/>
    <x v="17"/>
    <n v="4"/>
    <n v="1460"/>
    <n v="5256"/>
  </r>
  <r>
    <x v="0"/>
    <x v="0"/>
    <x v="0"/>
    <x v="2"/>
    <x v="3"/>
    <s v="FIN_HP"/>
    <x v="9"/>
    <s v="GHOB_BIOGAS"/>
    <x v="0"/>
    <x v="18"/>
    <n v="4"/>
    <n v="1460"/>
    <n v="5256"/>
  </r>
  <r>
    <x v="0"/>
    <x v="0"/>
    <x v="0"/>
    <x v="2"/>
    <x v="3"/>
    <s v="FIN_HP"/>
    <x v="9"/>
    <s v="GHOB_BIOGAS"/>
    <x v="0"/>
    <x v="19"/>
    <n v="4"/>
    <n v="1460"/>
    <n v="5256"/>
  </r>
  <r>
    <x v="0"/>
    <x v="0"/>
    <x v="0"/>
    <x v="2"/>
    <x v="3"/>
    <s v="FIN_HP"/>
    <x v="9"/>
    <s v="GHOB_BIOGAS"/>
    <x v="0"/>
    <x v="20"/>
    <n v="4"/>
    <n v="1460"/>
    <n v="5256"/>
  </r>
  <r>
    <x v="0"/>
    <x v="0"/>
    <x v="0"/>
    <x v="2"/>
    <x v="3"/>
    <s v="FIN_HP"/>
    <x v="9"/>
    <s v="GHOB_BIOGAS"/>
    <x v="0"/>
    <x v="21"/>
    <n v="4"/>
    <n v="1460"/>
    <n v="5256"/>
  </r>
  <r>
    <x v="0"/>
    <x v="0"/>
    <x v="0"/>
    <x v="2"/>
    <x v="3"/>
    <s v="FIN_HP"/>
    <x v="9"/>
    <s v="GHOB_BIOGAS"/>
    <x v="0"/>
    <x v="22"/>
    <n v="4"/>
    <n v="1460"/>
    <n v="5256"/>
  </r>
  <r>
    <x v="0"/>
    <x v="0"/>
    <x v="0"/>
    <x v="2"/>
    <x v="3"/>
    <s v="FIN_HP"/>
    <x v="9"/>
    <s v="GHOB_BIOGAS"/>
    <x v="0"/>
    <x v="23"/>
    <n v="4"/>
    <n v="1460"/>
    <n v="5256"/>
  </r>
  <r>
    <x v="0"/>
    <x v="0"/>
    <x v="0"/>
    <x v="2"/>
    <x v="3"/>
    <s v="FIN_HP"/>
    <x v="0"/>
    <s v="GBPR_COAL_NAANTALI"/>
    <x v="0"/>
    <x v="6"/>
    <n v="64.276951229227194"/>
    <n v="23461.087198667901"/>
    <n v="84459.913915204495"/>
  </r>
  <r>
    <x v="0"/>
    <x v="0"/>
    <x v="0"/>
    <x v="2"/>
    <x v="3"/>
    <s v="FIN_HP"/>
    <x v="0"/>
    <s v="GBPR_COAL_NAANTALI"/>
    <x v="0"/>
    <x v="7"/>
    <n v="62.236381293229002"/>
    <n v="22716.2791720286"/>
    <n v="81778.605019302995"/>
  </r>
  <r>
    <x v="0"/>
    <x v="0"/>
    <x v="0"/>
    <x v="2"/>
    <x v="3"/>
    <s v="FIN_HP"/>
    <x v="0"/>
    <s v="GBPR_COAL_NAANTALI"/>
    <x v="0"/>
    <x v="8"/>
    <n v="67.225131153183298"/>
    <n v="24537.172870911902"/>
    <n v="88333.822335282806"/>
  </r>
  <r>
    <x v="0"/>
    <x v="0"/>
    <x v="0"/>
    <x v="2"/>
    <x v="3"/>
    <s v="FIN_HP"/>
    <x v="0"/>
    <s v="GBPR_COAL_NAANTALI"/>
    <x v="0"/>
    <x v="9"/>
    <n v="76.500575644034399"/>
    <n v="27922.710110072599"/>
    <n v="100521.756396261"/>
  </r>
  <r>
    <x v="0"/>
    <x v="0"/>
    <x v="0"/>
    <x v="2"/>
    <x v="3"/>
    <s v="FIN_HP"/>
    <x v="0"/>
    <s v="GBPR_COAL_NAANTALI"/>
    <x v="0"/>
    <x v="10"/>
    <n v="92.245789526390993"/>
    <n v="33669.713177132697"/>
    <n v="121210.967437678"/>
  </r>
  <r>
    <x v="0"/>
    <x v="0"/>
    <x v="0"/>
    <x v="2"/>
    <x v="3"/>
    <s v="FIN_HP"/>
    <x v="0"/>
    <s v="GBPR_COAL_NAANTALI"/>
    <x v="0"/>
    <x v="11"/>
    <n v="111.260004156942"/>
    <n v="40609.901517283797"/>
    <n v="146195.64546222199"/>
  </r>
  <r>
    <x v="0"/>
    <x v="0"/>
    <x v="0"/>
    <x v="2"/>
    <x v="3"/>
    <s v="FIN_HP"/>
    <x v="0"/>
    <s v="GBPR_COAL_NAANTALI"/>
    <x v="0"/>
    <x v="0"/>
    <n v="223.728456423594"/>
    <n v="81660.8865946117"/>
    <n v="293979.19174060202"/>
  </r>
  <r>
    <x v="0"/>
    <x v="0"/>
    <x v="0"/>
    <x v="2"/>
    <x v="3"/>
    <s v="FIN_HP"/>
    <x v="0"/>
    <s v="GBPR_COAL_NAANTALI"/>
    <x v="0"/>
    <x v="1"/>
    <n v="275.12967334614302"/>
    <n v="100422.33077134201"/>
    <n v="361520.39077683201"/>
  </r>
  <r>
    <x v="0"/>
    <x v="0"/>
    <x v="0"/>
    <x v="2"/>
    <x v="3"/>
    <s v="FIN_HP"/>
    <x v="0"/>
    <s v="GBPR_COAL_NAANTALI"/>
    <x v="0"/>
    <x v="2"/>
    <n v="275.12967334614302"/>
    <n v="100422.33077134201"/>
    <n v="361520.39077683201"/>
  </r>
  <r>
    <x v="0"/>
    <x v="0"/>
    <x v="0"/>
    <x v="2"/>
    <x v="3"/>
    <s v="FIN_HP"/>
    <x v="0"/>
    <s v="GBPR_COAL_NAANTALI"/>
    <x v="0"/>
    <x v="3"/>
    <n v="275.12967334614302"/>
    <n v="100422.33077134201"/>
    <n v="361520.39077683201"/>
  </r>
  <r>
    <x v="0"/>
    <x v="0"/>
    <x v="0"/>
    <x v="2"/>
    <x v="3"/>
    <s v="FIN_HP"/>
    <x v="0"/>
    <s v="GBPR_COAL_NAANTALI"/>
    <x v="0"/>
    <x v="12"/>
    <n v="258.95217209361198"/>
    <n v="94517.542814168395"/>
    <n v="340263.15413100598"/>
  </r>
  <r>
    <x v="0"/>
    <x v="0"/>
    <x v="0"/>
    <x v="2"/>
    <x v="3"/>
    <s v="FIN_HP"/>
    <x v="0"/>
    <s v="GBPR_COAL_NAANTALI"/>
    <x v="0"/>
    <x v="13"/>
    <n v="248.07233376044701"/>
    <n v="90546.401822563304"/>
    <n v="325967.04656122799"/>
  </r>
  <r>
    <x v="0"/>
    <x v="0"/>
    <x v="0"/>
    <x v="2"/>
    <x v="3"/>
    <s v="FIN_HP"/>
    <x v="0"/>
    <s v="GBPR_COAL_NAANTALI"/>
    <x v="0"/>
    <x v="14"/>
    <n v="156.981301608481"/>
    <n v="57298.175087095697"/>
    <n v="206273.430313544"/>
  </r>
  <r>
    <x v="0"/>
    <x v="0"/>
    <x v="0"/>
    <x v="2"/>
    <x v="3"/>
    <s v="FIN_HP"/>
    <x v="0"/>
    <s v="GBPR_COAL_NAANTALI"/>
    <x v="0"/>
    <x v="15"/>
    <n v="151.864461805156"/>
    <n v="55430.528558881902"/>
    <n v="199549.90281197499"/>
  </r>
  <r>
    <x v="0"/>
    <x v="0"/>
    <x v="0"/>
    <x v="2"/>
    <x v="3"/>
    <s v="FIN_HP"/>
    <x v="0"/>
    <s v="GBPR_COAL_NAANTALI"/>
    <x v="0"/>
    <x v="4"/>
    <n v="217.626565952991"/>
    <n v="79433.696572841698"/>
    <n v="285961.30766222998"/>
  </r>
  <r>
    <x v="0"/>
    <x v="0"/>
    <x v="0"/>
    <x v="2"/>
    <x v="3"/>
    <s v="FIN_HP"/>
    <x v="0"/>
    <s v="GBPR_COAL_NAANTALI"/>
    <x v="0"/>
    <x v="16"/>
    <n v="232.325751356686"/>
    <n v="84798.899245190303"/>
    <n v="305276.03728268499"/>
  </r>
  <r>
    <x v="0"/>
    <x v="0"/>
    <x v="0"/>
    <x v="2"/>
    <x v="3"/>
    <s v="FIN_HP"/>
    <x v="0"/>
    <s v="GBPR_COAL_NAANTALI"/>
    <x v="0"/>
    <x v="5"/>
    <n v="209.56662742152699"/>
    <n v="76491.819008857303"/>
    <n v="275370.54843188601"/>
  </r>
  <r>
    <x v="0"/>
    <x v="0"/>
    <x v="0"/>
    <x v="2"/>
    <x v="3"/>
    <s v="FIN_HP"/>
    <x v="0"/>
    <s v="GBPR_COAL_NAANTALI"/>
    <x v="0"/>
    <x v="17"/>
    <n v="115.947115306809"/>
    <n v="42320.697086985398"/>
    <n v="152354.509513147"/>
  </r>
  <r>
    <x v="0"/>
    <x v="0"/>
    <x v="0"/>
    <x v="2"/>
    <x v="3"/>
    <s v="FIN_HP"/>
    <x v="0"/>
    <s v="GBPR_COAL_NAANTALI"/>
    <x v="0"/>
    <x v="18"/>
    <n v="105.02092387332"/>
    <n v="38332.637213761598"/>
    <n v="137997.493969542"/>
  </r>
  <r>
    <x v="0"/>
    <x v="0"/>
    <x v="0"/>
    <x v="2"/>
    <x v="3"/>
    <s v="FIN_HP"/>
    <x v="0"/>
    <s v="GBPR_COAL_NAANTALI"/>
    <x v="0"/>
    <x v="19"/>
    <n v="91.684204312167793"/>
    <n v="33464.734573941198"/>
    <n v="120473.044466188"/>
  </r>
  <r>
    <x v="0"/>
    <x v="0"/>
    <x v="0"/>
    <x v="2"/>
    <x v="3"/>
    <s v="FIN_HP"/>
    <x v="0"/>
    <s v="GBPR_COAL_NAANTALI"/>
    <x v="0"/>
    <x v="20"/>
    <n v="80.045954118552899"/>
    <n v="29216.7732532718"/>
    <n v="105180.383711779"/>
  </r>
  <r>
    <x v="0"/>
    <x v="0"/>
    <x v="0"/>
    <x v="2"/>
    <x v="3"/>
    <s v="FIN_HP"/>
    <x v="0"/>
    <s v="GBPR_COAL_NAANTALI"/>
    <x v="0"/>
    <x v="21"/>
    <n v="71.921965512593303"/>
    <n v="26251.5174120966"/>
    <n v="94505.462683547594"/>
  </r>
  <r>
    <x v="0"/>
    <x v="0"/>
    <x v="0"/>
    <x v="2"/>
    <x v="3"/>
    <s v="FIN_HP"/>
    <x v="0"/>
    <s v="GBPR_COAL_NAANTALI"/>
    <x v="0"/>
    <x v="22"/>
    <n v="53.7849236763386"/>
    <n v="19631.497141863601"/>
    <n v="70673.3897107089"/>
  </r>
  <r>
    <x v="0"/>
    <x v="0"/>
    <x v="0"/>
    <x v="2"/>
    <x v="3"/>
    <s v="FIN_HP"/>
    <x v="0"/>
    <s v="GBPR_COAL_NAANTALI"/>
    <x v="0"/>
    <x v="23"/>
    <n v="29.8095651491961"/>
    <n v="10880.491279456601"/>
    <n v="39169.768606043697"/>
  </r>
  <r>
    <x v="0"/>
    <x v="0"/>
    <x v="0"/>
    <x v="2"/>
    <x v="3"/>
    <s v="FIN_HP"/>
    <x v="14"/>
    <s v="GETOH_ELECTRICBOILER"/>
    <x v="0"/>
    <x v="6"/>
    <n v="80"/>
    <n v="29200"/>
    <n v="105120"/>
  </r>
  <r>
    <x v="0"/>
    <x v="0"/>
    <x v="0"/>
    <x v="2"/>
    <x v="3"/>
    <s v="FIN_HP"/>
    <x v="14"/>
    <s v="GETOH_ELECTRICBOILER"/>
    <x v="0"/>
    <x v="7"/>
    <n v="80"/>
    <n v="29200"/>
    <n v="105120"/>
  </r>
  <r>
    <x v="0"/>
    <x v="0"/>
    <x v="0"/>
    <x v="2"/>
    <x v="3"/>
    <s v="FIN_HP"/>
    <x v="14"/>
    <s v="GETOH_ELECTRICBOILER"/>
    <x v="0"/>
    <x v="8"/>
    <n v="80"/>
    <n v="29200"/>
    <n v="105120"/>
  </r>
  <r>
    <x v="0"/>
    <x v="0"/>
    <x v="0"/>
    <x v="2"/>
    <x v="3"/>
    <s v="FIN_HP"/>
    <x v="14"/>
    <s v="GETOH_ELECTRICBOILER"/>
    <x v="0"/>
    <x v="9"/>
    <n v="80"/>
    <n v="29200"/>
    <n v="105120"/>
  </r>
  <r>
    <x v="0"/>
    <x v="0"/>
    <x v="0"/>
    <x v="2"/>
    <x v="3"/>
    <s v="FIN_HP"/>
    <x v="14"/>
    <s v="GETOH_ELECTRICBOILER"/>
    <x v="0"/>
    <x v="10"/>
    <n v="80"/>
    <n v="29200"/>
    <n v="105120"/>
  </r>
  <r>
    <x v="0"/>
    <x v="0"/>
    <x v="0"/>
    <x v="2"/>
    <x v="3"/>
    <s v="FIN_HP"/>
    <x v="14"/>
    <s v="GETOH_ELECTRICBOILER"/>
    <x v="0"/>
    <x v="11"/>
    <n v="80"/>
    <n v="29200"/>
    <n v="105120"/>
  </r>
  <r>
    <x v="0"/>
    <x v="0"/>
    <x v="0"/>
    <x v="2"/>
    <x v="3"/>
    <s v="FIN_HP"/>
    <x v="14"/>
    <s v="GETOH_ELECTRICBOILER"/>
    <x v="0"/>
    <x v="0"/>
    <n v="23.582628071954399"/>
    <n v="8607.6592462633398"/>
    <n v="30987.573286547999"/>
  </r>
  <r>
    <x v="0"/>
    <x v="0"/>
    <x v="0"/>
    <x v="2"/>
    <x v="3"/>
    <s v="FIN_HP"/>
    <x v="14"/>
    <s v="GETOH_ELECTRICBOILER"/>
    <x v="0"/>
    <x v="1"/>
    <n v="4.2287656384195298"/>
    <n v="1543.49945802313"/>
    <n v="5556.5980488832602"/>
  </r>
  <r>
    <x v="0"/>
    <x v="0"/>
    <x v="0"/>
    <x v="2"/>
    <x v="3"/>
    <s v="FIN_HP"/>
    <x v="14"/>
    <s v="GETOH_ELECTRICBOILER"/>
    <x v="0"/>
    <x v="2"/>
    <n v="4.0043439676794597"/>
    <n v="1461.5855482029999"/>
    <n v="5261.7079735308098"/>
  </r>
  <r>
    <x v="0"/>
    <x v="0"/>
    <x v="0"/>
    <x v="2"/>
    <x v="3"/>
    <s v="FIN_HP"/>
    <x v="14"/>
    <s v="GETOH_ELECTRICBOILER"/>
    <x v="0"/>
    <x v="14"/>
    <n v="80"/>
    <n v="29200"/>
    <n v="105120"/>
  </r>
  <r>
    <x v="0"/>
    <x v="0"/>
    <x v="0"/>
    <x v="2"/>
    <x v="3"/>
    <s v="FIN_HP"/>
    <x v="14"/>
    <s v="GETOH_ELECTRICBOILER"/>
    <x v="0"/>
    <x v="15"/>
    <n v="80"/>
    <n v="29200"/>
    <n v="105120"/>
  </r>
  <r>
    <x v="0"/>
    <x v="0"/>
    <x v="0"/>
    <x v="2"/>
    <x v="3"/>
    <s v="FIN_HP"/>
    <x v="14"/>
    <s v="GETOH_ELECTRICBOILER"/>
    <x v="0"/>
    <x v="4"/>
    <n v="9.7093957984793899"/>
    <n v="3543.9294664449799"/>
    <n v="12758.146079201901"/>
  </r>
  <r>
    <x v="0"/>
    <x v="0"/>
    <x v="0"/>
    <x v="2"/>
    <x v="3"/>
    <s v="FIN_HP"/>
    <x v="14"/>
    <s v="GETOH_ELECTRICBOILER"/>
    <x v="0"/>
    <x v="17"/>
    <n v="80"/>
    <n v="29200"/>
    <n v="105120"/>
  </r>
  <r>
    <x v="0"/>
    <x v="0"/>
    <x v="0"/>
    <x v="2"/>
    <x v="3"/>
    <s v="FIN_HP"/>
    <x v="14"/>
    <s v="GETOH_ELECTRICBOILER"/>
    <x v="0"/>
    <x v="18"/>
    <n v="80"/>
    <n v="29200"/>
    <n v="105120"/>
  </r>
  <r>
    <x v="0"/>
    <x v="0"/>
    <x v="0"/>
    <x v="2"/>
    <x v="3"/>
    <s v="FIN_HP"/>
    <x v="14"/>
    <s v="GETOH_ELECTRICBOILER"/>
    <x v="0"/>
    <x v="19"/>
    <n v="80"/>
    <n v="29200"/>
    <n v="105120"/>
  </r>
  <r>
    <x v="0"/>
    <x v="0"/>
    <x v="0"/>
    <x v="2"/>
    <x v="3"/>
    <s v="FIN_HP"/>
    <x v="14"/>
    <s v="GETOH_ELECTRICBOILER"/>
    <x v="0"/>
    <x v="20"/>
    <n v="80"/>
    <n v="29200"/>
    <n v="105120"/>
  </r>
  <r>
    <x v="0"/>
    <x v="0"/>
    <x v="0"/>
    <x v="2"/>
    <x v="3"/>
    <s v="FIN_HP"/>
    <x v="14"/>
    <s v="GETOH_ELECTRICBOILER"/>
    <x v="0"/>
    <x v="21"/>
    <n v="80"/>
    <n v="29200"/>
    <n v="105120"/>
  </r>
  <r>
    <x v="0"/>
    <x v="0"/>
    <x v="0"/>
    <x v="2"/>
    <x v="3"/>
    <s v="FIN_HP"/>
    <x v="14"/>
    <s v="GETOH_ELECTRICBOILER"/>
    <x v="0"/>
    <x v="22"/>
    <n v="80"/>
    <n v="29200"/>
    <n v="105120"/>
  </r>
  <r>
    <x v="0"/>
    <x v="0"/>
    <x v="0"/>
    <x v="2"/>
    <x v="3"/>
    <s v="FIN_HP"/>
    <x v="14"/>
    <s v="GETOH_ELECTRICBOILER"/>
    <x v="0"/>
    <x v="23"/>
    <n v="80"/>
    <n v="29200"/>
    <n v="105120"/>
  </r>
  <r>
    <x v="0"/>
    <x v="0"/>
    <x v="0"/>
    <x v="2"/>
    <x v="3"/>
    <s v="FIN_HP"/>
    <x v="14"/>
    <s v="GETOH_HEATPUMP"/>
    <x v="0"/>
    <x v="6"/>
    <n v="34.200000000000003"/>
    <n v="12483"/>
    <n v="44938.8"/>
  </r>
  <r>
    <x v="0"/>
    <x v="0"/>
    <x v="0"/>
    <x v="2"/>
    <x v="3"/>
    <s v="FIN_HP"/>
    <x v="14"/>
    <s v="GETOH_HEATPUMP"/>
    <x v="0"/>
    <x v="7"/>
    <n v="34.200000000000003"/>
    <n v="12483"/>
    <n v="44938.8"/>
  </r>
  <r>
    <x v="0"/>
    <x v="0"/>
    <x v="0"/>
    <x v="2"/>
    <x v="3"/>
    <s v="FIN_HP"/>
    <x v="14"/>
    <s v="GETOH_HEATPUMP"/>
    <x v="0"/>
    <x v="8"/>
    <n v="34.200000000000003"/>
    <n v="12483"/>
    <n v="44938.8"/>
  </r>
  <r>
    <x v="0"/>
    <x v="0"/>
    <x v="0"/>
    <x v="2"/>
    <x v="3"/>
    <s v="FIN_HP"/>
    <x v="14"/>
    <s v="GETOH_HEATPUMP"/>
    <x v="0"/>
    <x v="9"/>
    <n v="34.200000000000003"/>
    <n v="12483"/>
    <n v="44938.8"/>
  </r>
  <r>
    <x v="0"/>
    <x v="0"/>
    <x v="0"/>
    <x v="2"/>
    <x v="3"/>
    <s v="FIN_HP"/>
    <x v="14"/>
    <s v="GETOH_HEATPUMP"/>
    <x v="0"/>
    <x v="10"/>
    <n v="34.200000000000003"/>
    <n v="12483"/>
    <n v="44938.8"/>
  </r>
  <r>
    <x v="0"/>
    <x v="0"/>
    <x v="0"/>
    <x v="2"/>
    <x v="3"/>
    <s v="FIN_HP"/>
    <x v="14"/>
    <s v="GETOH_HEATPUMP"/>
    <x v="0"/>
    <x v="11"/>
    <n v="34.200000000000003"/>
    <n v="12483"/>
    <n v="44938.8"/>
  </r>
  <r>
    <x v="0"/>
    <x v="0"/>
    <x v="0"/>
    <x v="2"/>
    <x v="3"/>
    <s v="FIN_HP"/>
    <x v="14"/>
    <s v="GETOH_HEATPUMP"/>
    <x v="0"/>
    <x v="0"/>
    <n v="34.200000000000003"/>
    <n v="12483"/>
    <n v="44938.8"/>
  </r>
  <r>
    <x v="0"/>
    <x v="0"/>
    <x v="0"/>
    <x v="2"/>
    <x v="3"/>
    <s v="FIN_HP"/>
    <x v="14"/>
    <s v="GETOH_HEATPUMP"/>
    <x v="0"/>
    <x v="1"/>
    <n v="34.200000000000003"/>
    <n v="12483"/>
    <n v="44938.8"/>
  </r>
  <r>
    <x v="0"/>
    <x v="0"/>
    <x v="0"/>
    <x v="2"/>
    <x v="3"/>
    <s v="FIN_HP"/>
    <x v="14"/>
    <s v="GETOH_HEATPUMP"/>
    <x v="0"/>
    <x v="2"/>
    <n v="34.200000000000003"/>
    <n v="12483"/>
    <n v="44938.8"/>
  </r>
  <r>
    <x v="0"/>
    <x v="0"/>
    <x v="0"/>
    <x v="2"/>
    <x v="3"/>
    <s v="FIN_HP"/>
    <x v="14"/>
    <s v="GETOH_HEATPUMP"/>
    <x v="0"/>
    <x v="3"/>
    <n v="34.200000000000003"/>
    <n v="12483"/>
    <n v="44938.8"/>
  </r>
  <r>
    <x v="0"/>
    <x v="0"/>
    <x v="0"/>
    <x v="2"/>
    <x v="3"/>
    <s v="FIN_HP"/>
    <x v="14"/>
    <s v="GETOH_HEATPUMP"/>
    <x v="0"/>
    <x v="12"/>
    <n v="34.200000000000003"/>
    <n v="12483"/>
    <n v="44938.8"/>
  </r>
  <r>
    <x v="0"/>
    <x v="0"/>
    <x v="0"/>
    <x v="2"/>
    <x v="3"/>
    <s v="FIN_HP"/>
    <x v="14"/>
    <s v="GETOH_HEATPUMP"/>
    <x v="0"/>
    <x v="13"/>
    <n v="34.200000000000003"/>
    <n v="12483"/>
    <n v="44938.8"/>
  </r>
  <r>
    <x v="0"/>
    <x v="0"/>
    <x v="0"/>
    <x v="2"/>
    <x v="3"/>
    <s v="FIN_HP"/>
    <x v="14"/>
    <s v="GETOH_HEATPUMP"/>
    <x v="0"/>
    <x v="14"/>
    <n v="34.200000000000003"/>
    <n v="12483"/>
    <n v="44938.8"/>
  </r>
  <r>
    <x v="0"/>
    <x v="0"/>
    <x v="0"/>
    <x v="2"/>
    <x v="3"/>
    <s v="FIN_HP"/>
    <x v="14"/>
    <s v="GETOH_HEATPUMP"/>
    <x v="0"/>
    <x v="15"/>
    <n v="34.200000000000003"/>
    <n v="12483"/>
    <n v="44938.8"/>
  </r>
  <r>
    <x v="0"/>
    <x v="0"/>
    <x v="0"/>
    <x v="2"/>
    <x v="3"/>
    <s v="FIN_HP"/>
    <x v="14"/>
    <s v="GETOH_HEATPUMP"/>
    <x v="0"/>
    <x v="4"/>
    <n v="34.200000000000003"/>
    <n v="12483"/>
    <n v="44938.8"/>
  </r>
  <r>
    <x v="0"/>
    <x v="0"/>
    <x v="0"/>
    <x v="2"/>
    <x v="3"/>
    <s v="FIN_HP"/>
    <x v="14"/>
    <s v="GETOH_HEATPUMP"/>
    <x v="0"/>
    <x v="16"/>
    <n v="34.200000000000003"/>
    <n v="12483"/>
    <n v="44938.8"/>
  </r>
  <r>
    <x v="0"/>
    <x v="0"/>
    <x v="0"/>
    <x v="2"/>
    <x v="3"/>
    <s v="FIN_HP"/>
    <x v="14"/>
    <s v="GETOH_HEATPUMP"/>
    <x v="0"/>
    <x v="5"/>
    <n v="34.200000000000003"/>
    <n v="12483"/>
    <n v="44938.8"/>
  </r>
  <r>
    <x v="0"/>
    <x v="0"/>
    <x v="0"/>
    <x v="2"/>
    <x v="3"/>
    <s v="FIN_HP"/>
    <x v="14"/>
    <s v="GETOH_HEATPUMP"/>
    <x v="0"/>
    <x v="17"/>
    <n v="34.200000000000003"/>
    <n v="12483"/>
    <n v="44938.8"/>
  </r>
  <r>
    <x v="0"/>
    <x v="0"/>
    <x v="0"/>
    <x v="2"/>
    <x v="3"/>
    <s v="FIN_HP"/>
    <x v="14"/>
    <s v="GETOH_HEATPUMP"/>
    <x v="0"/>
    <x v="18"/>
    <n v="34.200000000000003"/>
    <n v="12483"/>
    <n v="44938.8"/>
  </r>
  <r>
    <x v="0"/>
    <x v="0"/>
    <x v="0"/>
    <x v="2"/>
    <x v="3"/>
    <s v="FIN_HP"/>
    <x v="14"/>
    <s v="GETOH_HEATPUMP"/>
    <x v="0"/>
    <x v="19"/>
    <n v="34.200000000000003"/>
    <n v="12483"/>
    <n v="44938.8"/>
  </r>
  <r>
    <x v="0"/>
    <x v="0"/>
    <x v="0"/>
    <x v="2"/>
    <x v="3"/>
    <s v="FIN_HP"/>
    <x v="14"/>
    <s v="GETOH_HEATPUMP"/>
    <x v="0"/>
    <x v="20"/>
    <n v="34.200000000000003"/>
    <n v="12483"/>
    <n v="44938.8"/>
  </r>
  <r>
    <x v="0"/>
    <x v="0"/>
    <x v="0"/>
    <x v="2"/>
    <x v="3"/>
    <s v="FIN_HP"/>
    <x v="14"/>
    <s v="GETOH_HEATPUMP"/>
    <x v="0"/>
    <x v="21"/>
    <n v="34.200000000000003"/>
    <n v="12483"/>
    <n v="44938.8"/>
  </r>
  <r>
    <x v="0"/>
    <x v="0"/>
    <x v="0"/>
    <x v="2"/>
    <x v="3"/>
    <s v="FIN_HP"/>
    <x v="14"/>
    <s v="GETOH_HEATPUMP"/>
    <x v="0"/>
    <x v="22"/>
    <n v="34.200000000000003"/>
    <n v="12483"/>
    <n v="44938.8"/>
  </r>
  <r>
    <x v="0"/>
    <x v="0"/>
    <x v="0"/>
    <x v="2"/>
    <x v="3"/>
    <s v="FIN_HP"/>
    <x v="14"/>
    <s v="GETOH_HEATPUMP"/>
    <x v="0"/>
    <x v="23"/>
    <n v="34.200000000000003"/>
    <n v="12483"/>
    <n v="44938.8"/>
  </r>
  <r>
    <x v="0"/>
    <x v="0"/>
    <x v="0"/>
    <x v="2"/>
    <x v="3"/>
    <s v="FIN_HP"/>
    <x v="15"/>
    <s v="GHOB_PEAT"/>
    <x v="0"/>
    <x v="6"/>
    <n v="4.6654761772693396"/>
    <n v="1702.8988047033099"/>
    <n v="6130.4356969319097"/>
  </r>
  <r>
    <x v="0"/>
    <x v="0"/>
    <x v="0"/>
    <x v="2"/>
    <x v="3"/>
    <s v="FIN_HP"/>
    <x v="15"/>
    <s v="GHOB_PEAT"/>
    <x v="0"/>
    <x v="7"/>
    <n v="4.6654761772693396"/>
    <n v="1702.8988047033099"/>
    <n v="6130.4356969319097"/>
  </r>
  <r>
    <x v="0"/>
    <x v="0"/>
    <x v="0"/>
    <x v="2"/>
    <x v="3"/>
    <s v="FIN_HP"/>
    <x v="15"/>
    <s v="GHOB_PEAT"/>
    <x v="0"/>
    <x v="8"/>
    <n v="4.6654761772693396"/>
    <n v="1702.8988047033099"/>
    <n v="6130.4356969319097"/>
  </r>
  <r>
    <x v="0"/>
    <x v="0"/>
    <x v="0"/>
    <x v="2"/>
    <x v="3"/>
    <s v="FIN_HP"/>
    <x v="15"/>
    <s v="GHOB_PEAT"/>
    <x v="0"/>
    <x v="9"/>
    <n v="4.6654761772693396"/>
    <n v="1702.8988047033099"/>
    <n v="6130.4356969319097"/>
  </r>
  <r>
    <x v="0"/>
    <x v="0"/>
    <x v="0"/>
    <x v="2"/>
    <x v="3"/>
    <s v="FIN_HP"/>
    <x v="15"/>
    <s v="GHOB_PEAT"/>
    <x v="0"/>
    <x v="10"/>
    <n v="4.6654761772693396"/>
    <n v="1702.8988047033099"/>
    <n v="6130.4356969319097"/>
  </r>
  <r>
    <x v="0"/>
    <x v="0"/>
    <x v="0"/>
    <x v="2"/>
    <x v="3"/>
    <s v="FIN_HP"/>
    <x v="15"/>
    <s v="GHOB_PEAT"/>
    <x v="0"/>
    <x v="11"/>
    <n v="4.6654761772693396"/>
    <n v="1702.8988047033099"/>
    <n v="6130.4356969319097"/>
  </r>
  <r>
    <x v="0"/>
    <x v="0"/>
    <x v="0"/>
    <x v="2"/>
    <x v="3"/>
    <s v="FIN_HP"/>
    <x v="15"/>
    <s v="GHOB_PEAT"/>
    <x v="0"/>
    <x v="0"/>
    <n v="4.6654761772693396"/>
    <n v="1702.8988047033099"/>
    <n v="6130.4356969319097"/>
  </r>
  <r>
    <x v="0"/>
    <x v="0"/>
    <x v="0"/>
    <x v="2"/>
    <x v="3"/>
    <s v="FIN_HP"/>
    <x v="15"/>
    <s v="GHOB_PEAT"/>
    <x v="0"/>
    <x v="1"/>
    <n v="4.6654761772693396"/>
    <n v="1702.8988047033099"/>
    <n v="6130.4356969319097"/>
  </r>
  <r>
    <x v="0"/>
    <x v="0"/>
    <x v="0"/>
    <x v="2"/>
    <x v="3"/>
    <s v="FIN_HP"/>
    <x v="15"/>
    <s v="GHOB_PEAT"/>
    <x v="0"/>
    <x v="2"/>
    <n v="4.6654761772693396"/>
    <n v="1702.8988047033099"/>
    <n v="6130.4356969319097"/>
  </r>
  <r>
    <x v="0"/>
    <x v="0"/>
    <x v="0"/>
    <x v="2"/>
    <x v="3"/>
    <s v="FIN_HP"/>
    <x v="15"/>
    <s v="GHOB_PEAT"/>
    <x v="0"/>
    <x v="3"/>
    <n v="3.5011609046893599"/>
    <n v="1277.9237302116201"/>
    <n v="4600.52542876182"/>
  </r>
  <r>
    <x v="0"/>
    <x v="0"/>
    <x v="0"/>
    <x v="2"/>
    <x v="3"/>
    <s v="FIN_HP"/>
    <x v="15"/>
    <s v="GHOB_PEAT"/>
    <x v="0"/>
    <x v="14"/>
    <n v="4.6654761772693396"/>
    <n v="1702.8988047033099"/>
    <n v="6130.4356969319097"/>
  </r>
  <r>
    <x v="0"/>
    <x v="0"/>
    <x v="0"/>
    <x v="2"/>
    <x v="3"/>
    <s v="FIN_HP"/>
    <x v="15"/>
    <s v="GHOB_PEAT"/>
    <x v="0"/>
    <x v="15"/>
    <n v="4.6654761772693396"/>
    <n v="1702.8988047033099"/>
    <n v="6130.4356969319097"/>
  </r>
  <r>
    <x v="0"/>
    <x v="0"/>
    <x v="0"/>
    <x v="2"/>
    <x v="3"/>
    <s v="FIN_HP"/>
    <x v="15"/>
    <s v="GHOB_PEAT"/>
    <x v="0"/>
    <x v="4"/>
    <n v="4.6654761772693396"/>
    <n v="1702.8988047033099"/>
    <n v="6130.4356969319097"/>
  </r>
  <r>
    <x v="0"/>
    <x v="0"/>
    <x v="0"/>
    <x v="2"/>
    <x v="3"/>
    <s v="FIN_HP"/>
    <x v="15"/>
    <s v="GHOB_PEAT"/>
    <x v="0"/>
    <x v="16"/>
    <n v="4.6654761772693396"/>
    <n v="1702.8988047033099"/>
    <n v="6130.4356969319097"/>
  </r>
  <r>
    <x v="0"/>
    <x v="0"/>
    <x v="0"/>
    <x v="2"/>
    <x v="3"/>
    <s v="FIN_HP"/>
    <x v="15"/>
    <s v="GHOB_PEAT"/>
    <x v="0"/>
    <x v="5"/>
    <n v="4.6654761772693396"/>
    <n v="1702.8988047033099"/>
    <n v="6130.4356969319097"/>
  </r>
  <r>
    <x v="0"/>
    <x v="0"/>
    <x v="0"/>
    <x v="2"/>
    <x v="3"/>
    <s v="FIN_HP"/>
    <x v="15"/>
    <s v="GHOB_PEAT"/>
    <x v="0"/>
    <x v="17"/>
    <n v="4.6654761772693396"/>
    <n v="1702.8988047033099"/>
    <n v="6130.4356969319097"/>
  </r>
  <r>
    <x v="0"/>
    <x v="0"/>
    <x v="0"/>
    <x v="2"/>
    <x v="3"/>
    <s v="FIN_HP"/>
    <x v="15"/>
    <s v="GHOB_PEAT"/>
    <x v="0"/>
    <x v="18"/>
    <n v="4.6654761772693396"/>
    <n v="1702.8988047033099"/>
    <n v="6130.4356969319097"/>
  </r>
  <r>
    <x v="0"/>
    <x v="0"/>
    <x v="0"/>
    <x v="2"/>
    <x v="3"/>
    <s v="FIN_HP"/>
    <x v="15"/>
    <s v="GHOB_PEAT"/>
    <x v="0"/>
    <x v="19"/>
    <n v="4.6654761772693396"/>
    <n v="1702.8988047033099"/>
    <n v="6130.4356969319097"/>
  </r>
  <r>
    <x v="0"/>
    <x v="0"/>
    <x v="0"/>
    <x v="2"/>
    <x v="3"/>
    <s v="FIN_HP"/>
    <x v="15"/>
    <s v="GHOB_PEAT"/>
    <x v="0"/>
    <x v="20"/>
    <n v="4.6654761772693396"/>
    <n v="1702.8988047033099"/>
    <n v="6130.4356969319097"/>
  </r>
  <r>
    <x v="0"/>
    <x v="0"/>
    <x v="0"/>
    <x v="2"/>
    <x v="3"/>
    <s v="FIN_HP"/>
    <x v="15"/>
    <s v="GHOB_PEAT"/>
    <x v="0"/>
    <x v="21"/>
    <n v="4.6654761772693396"/>
    <n v="1702.8988047033099"/>
    <n v="6130.4356969319097"/>
  </r>
  <r>
    <x v="0"/>
    <x v="0"/>
    <x v="0"/>
    <x v="2"/>
    <x v="3"/>
    <s v="FIN_HP"/>
    <x v="15"/>
    <s v="GHOB_PEAT"/>
    <x v="0"/>
    <x v="22"/>
    <n v="4.6654761772693396"/>
    <n v="1702.8988047033099"/>
    <n v="6130.4356969319097"/>
  </r>
  <r>
    <x v="0"/>
    <x v="0"/>
    <x v="0"/>
    <x v="2"/>
    <x v="3"/>
    <s v="FIN_HP"/>
    <x v="15"/>
    <s v="GHOB_PEAT"/>
    <x v="0"/>
    <x v="23"/>
    <n v="4.6654761772693396"/>
    <n v="1702.8988047033099"/>
    <n v="6130.4356969319097"/>
  </r>
  <r>
    <x v="0"/>
    <x v="0"/>
    <x v="0"/>
    <x v="2"/>
    <x v="3"/>
    <s v="FIN_HP"/>
    <x v="5"/>
    <s v="GHOB_WASTEHEAT"/>
    <x v="0"/>
    <x v="6"/>
    <n v="5.2655677655677398"/>
    <n v="1921.93223443223"/>
    <n v="6918.95604395602"/>
  </r>
  <r>
    <x v="0"/>
    <x v="0"/>
    <x v="0"/>
    <x v="2"/>
    <x v="3"/>
    <s v="FIN_HP"/>
    <x v="5"/>
    <s v="GHOB_WASTEHEAT"/>
    <x v="0"/>
    <x v="7"/>
    <n v="5.2655677655677398"/>
    <n v="1921.93223443223"/>
    <n v="6918.95604395602"/>
  </r>
  <r>
    <x v="0"/>
    <x v="0"/>
    <x v="0"/>
    <x v="2"/>
    <x v="3"/>
    <s v="FIN_HP"/>
    <x v="5"/>
    <s v="GHOB_WASTEHEAT"/>
    <x v="0"/>
    <x v="8"/>
    <n v="5.2655677655677398"/>
    <n v="1921.93223443223"/>
    <n v="6918.95604395602"/>
  </r>
  <r>
    <x v="0"/>
    <x v="0"/>
    <x v="0"/>
    <x v="2"/>
    <x v="3"/>
    <s v="FIN_HP"/>
    <x v="5"/>
    <s v="GHOB_WASTEHEAT"/>
    <x v="0"/>
    <x v="9"/>
    <n v="5.2655677655677398"/>
    <n v="1921.93223443223"/>
    <n v="6918.95604395602"/>
  </r>
  <r>
    <x v="0"/>
    <x v="0"/>
    <x v="0"/>
    <x v="2"/>
    <x v="3"/>
    <s v="FIN_HP"/>
    <x v="5"/>
    <s v="GHOB_WASTEHEAT"/>
    <x v="0"/>
    <x v="10"/>
    <n v="5.2655677655677398"/>
    <n v="1921.93223443223"/>
    <n v="6918.95604395602"/>
  </r>
  <r>
    <x v="0"/>
    <x v="0"/>
    <x v="0"/>
    <x v="2"/>
    <x v="3"/>
    <s v="FIN_HP"/>
    <x v="5"/>
    <s v="GHOB_WASTEHEAT"/>
    <x v="0"/>
    <x v="11"/>
    <n v="5.2655677655677398"/>
    <n v="1921.93223443223"/>
    <n v="6918.95604395602"/>
  </r>
  <r>
    <x v="0"/>
    <x v="0"/>
    <x v="0"/>
    <x v="2"/>
    <x v="3"/>
    <s v="FIN_HP"/>
    <x v="5"/>
    <s v="GHOB_WASTEHEAT"/>
    <x v="0"/>
    <x v="0"/>
    <n v="5.2655677655677398"/>
    <n v="1921.93223443223"/>
    <n v="6918.95604395602"/>
  </r>
  <r>
    <x v="0"/>
    <x v="0"/>
    <x v="0"/>
    <x v="2"/>
    <x v="3"/>
    <s v="FIN_HP"/>
    <x v="5"/>
    <s v="GHOB_WASTEHEAT"/>
    <x v="0"/>
    <x v="1"/>
    <n v="5.2655677655677398"/>
    <n v="1921.93223443223"/>
    <n v="6918.95604395602"/>
  </r>
  <r>
    <x v="0"/>
    <x v="0"/>
    <x v="0"/>
    <x v="2"/>
    <x v="3"/>
    <s v="FIN_HP"/>
    <x v="5"/>
    <s v="GHOB_WASTEHEAT"/>
    <x v="0"/>
    <x v="2"/>
    <n v="5.2655677655677398"/>
    <n v="1921.93223443223"/>
    <n v="6918.95604395602"/>
  </r>
  <r>
    <x v="0"/>
    <x v="0"/>
    <x v="0"/>
    <x v="2"/>
    <x v="3"/>
    <s v="FIN_HP"/>
    <x v="5"/>
    <s v="GHOB_WASTEHEAT"/>
    <x v="0"/>
    <x v="3"/>
    <n v="5.2655677655677398"/>
    <n v="1921.93223443223"/>
    <n v="6918.95604395602"/>
  </r>
  <r>
    <x v="0"/>
    <x v="0"/>
    <x v="0"/>
    <x v="2"/>
    <x v="3"/>
    <s v="FIN_HP"/>
    <x v="5"/>
    <s v="GHOB_WASTEHEAT"/>
    <x v="0"/>
    <x v="12"/>
    <n v="5.2655677655677398"/>
    <n v="1921.93223443223"/>
    <n v="6918.95604395602"/>
  </r>
  <r>
    <x v="0"/>
    <x v="0"/>
    <x v="0"/>
    <x v="2"/>
    <x v="3"/>
    <s v="FIN_HP"/>
    <x v="5"/>
    <s v="GHOB_WASTEHEAT"/>
    <x v="0"/>
    <x v="13"/>
    <n v="5.2655677655677398"/>
    <n v="1921.93223443223"/>
    <n v="6918.95604395602"/>
  </r>
  <r>
    <x v="0"/>
    <x v="0"/>
    <x v="0"/>
    <x v="2"/>
    <x v="3"/>
    <s v="FIN_HP"/>
    <x v="5"/>
    <s v="GHOB_WASTEHEAT"/>
    <x v="0"/>
    <x v="14"/>
    <n v="5.2655677655677398"/>
    <n v="1921.93223443223"/>
    <n v="6918.95604395602"/>
  </r>
  <r>
    <x v="0"/>
    <x v="0"/>
    <x v="0"/>
    <x v="2"/>
    <x v="3"/>
    <s v="FIN_HP"/>
    <x v="5"/>
    <s v="GHOB_WASTEHEAT"/>
    <x v="0"/>
    <x v="15"/>
    <n v="5.2655677655677398"/>
    <n v="1921.93223443223"/>
    <n v="6918.95604395602"/>
  </r>
  <r>
    <x v="0"/>
    <x v="0"/>
    <x v="0"/>
    <x v="2"/>
    <x v="3"/>
    <s v="FIN_HP"/>
    <x v="5"/>
    <s v="GHOB_WASTEHEAT"/>
    <x v="0"/>
    <x v="4"/>
    <n v="5.2655677655677398"/>
    <n v="1921.93223443223"/>
    <n v="6918.95604395602"/>
  </r>
  <r>
    <x v="0"/>
    <x v="0"/>
    <x v="0"/>
    <x v="2"/>
    <x v="3"/>
    <s v="FIN_HP"/>
    <x v="5"/>
    <s v="GHOB_WASTEHEAT"/>
    <x v="0"/>
    <x v="16"/>
    <n v="5.2655677655677398"/>
    <n v="1921.93223443223"/>
    <n v="6918.95604395602"/>
  </r>
  <r>
    <x v="0"/>
    <x v="0"/>
    <x v="0"/>
    <x v="2"/>
    <x v="3"/>
    <s v="FIN_HP"/>
    <x v="5"/>
    <s v="GHOB_WASTEHEAT"/>
    <x v="0"/>
    <x v="5"/>
    <n v="5.2655677655677398"/>
    <n v="1921.93223443223"/>
    <n v="6918.95604395602"/>
  </r>
  <r>
    <x v="0"/>
    <x v="0"/>
    <x v="0"/>
    <x v="2"/>
    <x v="3"/>
    <s v="FIN_HP"/>
    <x v="5"/>
    <s v="GHOB_WASTEHEAT"/>
    <x v="0"/>
    <x v="17"/>
    <n v="5.2655677655677398"/>
    <n v="1921.93223443223"/>
    <n v="6918.95604395602"/>
  </r>
  <r>
    <x v="0"/>
    <x v="0"/>
    <x v="0"/>
    <x v="2"/>
    <x v="3"/>
    <s v="FIN_HP"/>
    <x v="5"/>
    <s v="GHOB_WASTEHEAT"/>
    <x v="0"/>
    <x v="18"/>
    <n v="5.2655677655677398"/>
    <n v="1921.93223443223"/>
    <n v="6918.95604395602"/>
  </r>
  <r>
    <x v="0"/>
    <x v="0"/>
    <x v="0"/>
    <x v="2"/>
    <x v="3"/>
    <s v="FIN_HP"/>
    <x v="5"/>
    <s v="GHOB_WASTEHEAT"/>
    <x v="0"/>
    <x v="19"/>
    <n v="5.2655677655677398"/>
    <n v="1921.93223443223"/>
    <n v="6918.95604395602"/>
  </r>
  <r>
    <x v="0"/>
    <x v="0"/>
    <x v="0"/>
    <x v="2"/>
    <x v="3"/>
    <s v="FIN_HP"/>
    <x v="5"/>
    <s v="GHOB_WASTEHEAT"/>
    <x v="0"/>
    <x v="20"/>
    <n v="5.2655677655677398"/>
    <n v="1921.93223443223"/>
    <n v="6918.95604395602"/>
  </r>
  <r>
    <x v="0"/>
    <x v="0"/>
    <x v="0"/>
    <x v="2"/>
    <x v="3"/>
    <s v="FIN_HP"/>
    <x v="5"/>
    <s v="GHOB_WASTEHEAT"/>
    <x v="0"/>
    <x v="21"/>
    <n v="5.2655677655677398"/>
    <n v="1921.93223443223"/>
    <n v="6918.95604395602"/>
  </r>
  <r>
    <x v="0"/>
    <x v="0"/>
    <x v="0"/>
    <x v="2"/>
    <x v="3"/>
    <s v="FIN_HP"/>
    <x v="5"/>
    <s v="GHOB_WASTEHEAT"/>
    <x v="0"/>
    <x v="22"/>
    <n v="5.2655677655677398"/>
    <n v="1921.93223443223"/>
    <n v="6918.95604395602"/>
  </r>
  <r>
    <x v="0"/>
    <x v="0"/>
    <x v="0"/>
    <x v="2"/>
    <x v="3"/>
    <s v="FIN_HP"/>
    <x v="5"/>
    <s v="GHOB_WASTEHEAT"/>
    <x v="0"/>
    <x v="23"/>
    <n v="5.2655677655677398"/>
    <n v="1921.93223443223"/>
    <n v="6918.95604395602"/>
  </r>
  <r>
    <x v="0"/>
    <x v="0"/>
    <x v="0"/>
    <x v="2"/>
    <x v="3"/>
    <s v="FIN_HP"/>
    <x v="6"/>
    <s v="GHOB_WOODCHIPS"/>
    <x v="0"/>
    <x v="6"/>
    <n v="86.8"/>
    <n v="31682"/>
    <n v="114055.2"/>
  </r>
  <r>
    <x v="0"/>
    <x v="0"/>
    <x v="0"/>
    <x v="2"/>
    <x v="3"/>
    <s v="FIN_HP"/>
    <x v="6"/>
    <s v="GHOB_WOODCHIPS"/>
    <x v="0"/>
    <x v="7"/>
    <n v="86.8"/>
    <n v="31682"/>
    <n v="114055.2"/>
  </r>
  <r>
    <x v="0"/>
    <x v="0"/>
    <x v="0"/>
    <x v="2"/>
    <x v="3"/>
    <s v="FIN_HP"/>
    <x v="6"/>
    <s v="GHOB_WOODCHIPS"/>
    <x v="0"/>
    <x v="8"/>
    <n v="86.8"/>
    <n v="31682"/>
    <n v="114055.2"/>
  </r>
  <r>
    <x v="0"/>
    <x v="0"/>
    <x v="0"/>
    <x v="2"/>
    <x v="3"/>
    <s v="FIN_HP"/>
    <x v="6"/>
    <s v="GHOB_WOODCHIPS"/>
    <x v="0"/>
    <x v="9"/>
    <n v="86.8"/>
    <n v="31682"/>
    <n v="114055.2"/>
  </r>
  <r>
    <x v="0"/>
    <x v="0"/>
    <x v="0"/>
    <x v="2"/>
    <x v="3"/>
    <s v="FIN_HP"/>
    <x v="6"/>
    <s v="GHOB_WOODCHIPS"/>
    <x v="0"/>
    <x v="10"/>
    <n v="86.8"/>
    <n v="31682"/>
    <n v="114055.2"/>
  </r>
  <r>
    <x v="0"/>
    <x v="0"/>
    <x v="0"/>
    <x v="2"/>
    <x v="3"/>
    <s v="FIN_HP"/>
    <x v="6"/>
    <s v="GHOB_WOODCHIPS"/>
    <x v="0"/>
    <x v="11"/>
    <n v="86.8"/>
    <n v="31682"/>
    <n v="114055.2"/>
  </r>
  <r>
    <x v="0"/>
    <x v="0"/>
    <x v="0"/>
    <x v="2"/>
    <x v="3"/>
    <s v="FIN_HP"/>
    <x v="6"/>
    <s v="GHOB_WOODCHIPS"/>
    <x v="0"/>
    <x v="0"/>
    <n v="86.8"/>
    <n v="31682"/>
    <n v="114055.2"/>
  </r>
  <r>
    <x v="0"/>
    <x v="0"/>
    <x v="0"/>
    <x v="2"/>
    <x v="3"/>
    <s v="FIN_HP"/>
    <x v="6"/>
    <s v="GHOB_WOODCHIPS"/>
    <x v="0"/>
    <x v="1"/>
    <n v="86.8"/>
    <n v="31682"/>
    <n v="114055.2"/>
  </r>
  <r>
    <x v="0"/>
    <x v="0"/>
    <x v="0"/>
    <x v="2"/>
    <x v="3"/>
    <s v="FIN_HP"/>
    <x v="6"/>
    <s v="GHOB_WOODCHIPS"/>
    <x v="0"/>
    <x v="2"/>
    <n v="86.8"/>
    <n v="31682"/>
    <n v="114055.2"/>
  </r>
  <r>
    <x v="0"/>
    <x v="0"/>
    <x v="0"/>
    <x v="2"/>
    <x v="3"/>
    <s v="FIN_HP"/>
    <x v="6"/>
    <s v="GHOB_WOODCHIPS"/>
    <x v="0"/>
    <x v="3"/>
    <n v="86.8"/>
    <n v="31682"/>
    <n v="114055.2"/>
  </r>
  <r>
    <x v="0"/>
    <x v="0"/>
    <x v="0"/>
    <x v="2"/>
    <x v="3"/>
    <s v="FIN_HP"/>
    <x v="6"/>
    <s v="GHOB_WOODCHIPS"/>
    <x v="0"/>
    <x v="12"/>
    <n v="86.8"/>
    <n v="31682"/>
    <n v="114055.2"/>
  </r>
  <r>
    <x v="0"/>
    <x v="0"/>
    <x v="0"/>
    <x v="2"/>
    <x v="3"/>
    <s v="FIN_HP"/>
    <x v="6"/>
    <s v="GHOB_WOODCHIPS"/>
    <x v="0"/>
    <x v="13"/>
    <n v="86.8"/>
    <n v="31682"/>
    <n v="114055.2"/>
  </r>
  <r>
    <x v="0"/>
    <x v="0"/>
    <x v="0"/>
    <x v="2"/>
    <x v="3"/>
    <s v="FIN_HP"/>
    <x v="6"/>
    <s v="GHOB_WOODCHIPS"/>
    <x v="0"/>
    <x v="14"/>
    <n v="86.8"/>
    <n v="31682"/>
    <n v="114055.2"/>
  </r>
  <r>
    <x v="0"/>
    <x v="0"/>
    <x v="0"/>
    <x v="2"/>
    <x v="3"/>
    <s v="FIN_HP"/>
    <x v="6"/>
    <s v="GHOB_WOODCHIPS"/>
    <x v="0"/>
    <x v="15"/>
    <n v="86.8"/>
    <n v="31682"/>
    <n v="114055.2"/>
  </r>
  <r>
    <x v="0"/>
    <x v="0"/>
    <x v="0"/>
    <x v="2"/>
    <x v="3"/>
    <s v="FIN_HP"/>
    <x v="6"/>
    <s v="GHOB_WOODCHIPS"/>
    <x v="0"/>
    <x v="4"/>
    <n v="86.8"/>
    <n v="31682"/>
    <n v="114055.2"/>
  </r>
  <r>
    <x v="0"/>
    <x v="0"/>
    <x v="0"/>
    <x v="2"/>
    <x v="3"/>
    <s v="FIN_HP"/>
    <x v="6"/>
    <s v="GHOB_WOODCHIPS"/>
    <x v="0"/>
    <x v="16"/>
    <n v="86.8"/>
    <n v="31682"/>
    <n v="114055.2"/>
  </r>
  <r>
    <x v="0"/>
    <x v="0"/>
    <x v="0"/>
    <x v="2"/>
    <x v="3"/>
    <s v="FIN_HP"/>
    <x v="6"/>
    <s v="GHOB_WOODCHIPS"/>
    <x v="0"/>
    <x v="5"/>
    <n v="86.8"/>
    <n v="31682"/>
    <n v="114055.2"/>
  </r>
  <r>
    <x v="0"/>
    <x v="0"/>
    <x v="0"/>
    <x v="2"/>
    <x v="3"/>
    <s v="FIN_HP"/>
    <x v="6"/>
    <s v="GHOB_WOODCHIPS"/>
    <x v="0"/>
    <x v="17"/>
    <n v="86.8"/>
    <n v="31682"/>
    <n v="114055.2"/>
  </r>
  <r>
    <x v="0"/>
    <x v="0"/>
    <x v="0"/>
    <x v="2"/>
    <x v="3"/>
    <s v="FIN_HP"/>
    <x v="6"/>
    <s v="GHOB_WOODCHIPS"/>
    <x v="0"/>
    <x v="18"/>
    <n v="86.8"/>
    <n v="31682"/>
    <n v="114055.2"/>
  </r>
  <r>
    <x v="0"/>
    <x v="0"/>
    <x v="0"/>
    <x v="2"/>
    <x v="3"/>
    <s v="FIN_HP"/>
    <x v="6"/>
    <s v="GHOB_WOODCHIPS"/>
    <x v="0"/>
    <x v="19"/>
    <n v="86.8"/>
    <n v="31682"/>
    <n v="114055.2"/>
  </r>
  <r>
    <x v="0"/>
    <x v="0"/>
    <x v="0"/>
    <x v="2"/>
    <x v="3"/>
    <s v="FIN_HP"/>
    <x v="6"/>
    <s v="GHOB_WOODCHIPS"/>
    <x v="0"/>
    <x v="20"/>
    <n v="86.8"/>
    <n v="31682"/>
    <n v="114055.2"/>
  </r>
  <r>
    <x v="0"/>
    <x v="0"/>
    <x v="0"/>
    <x v="2"/>
    <x v="3"/>
    <s v="FIN_HP"/>
    <x v="6"/>
    <s v="GHOB_WOODCHIPS"/>
    <x v="0"/>
    <x v="21"/>
    <n v="86.8"/>
    <n v="31682"/>
    <n v="114055.2"/>
  </r>
  <r>
    <x v="0"/>
    <x v="0"/>
    <x v="0"/>
    <x v="2"/>
    <x v="3"/>
    <s v="FIN_HP"/>
    <x v="6"/>
    <s v="GHOB_WOODCHIPS"/>
    <x v="0"/>
    <x v="22"/>
    <n v="86.8"/>
    <n v="31682"/>
    <n v="114055.2"/>
  </r>
  <r>
    <x v="0"/>
    <x v="0"/>
    <x v="0"/>
    <x v="2"/>
    <x v="3"/>
    <s v="FIN_HP"/>
    <x v="6"/>
    <s v="GHOB_WOODCHIPS"/>
    <x v="0"/>
    <x v="23"/>
    <n v="86.8"/>
    <n v="31682"/>
    <n v="114055.2"/>
  </r>
  <r>
    <x v="0"/>
    <x v="0"/>
    <x v="0"/>
    <x v="2"/>
    <x v="3"/>
    <s v="FIN_HP"/>
    <x v="7"/>
    <s v="GHOB_WOODPELLETS"/>
    <x v="0"/>
    <x v="6"/>
    <n v="1.7"/>
    <n v="620.5"/>
    <n v="2233.8000000000002"/>
  </r>
  <r>
    <x v="0"/>
    <x v="0"/>
    <x v="0"/>
    <x v="2"/>
    <x v="3"/>
    <s v="FIN_HP"/>
    <x v="7"/>
    <s v="GHOB_WOODPELLETS"/>
    <x v="0"/>
    <x v="7"/>
    <n v="1.7"/>
    <n v="620.5"/>
    <n v="2233.8000000000002"/>
  </r>
  <r>
    <x v="0"/>
    <x v="0"/>
    <x v="0"/>
    <x v="2"/>
    <x v="3"/>
    <s v="FIN_HP"/>
    <x v="7"/>
    <s v="GHOB_WOODPELLETS"/>
    <x v="0"/>
    <x v="8"/>
    <n v="1.7"/>
    <n v="620.5"/>
    <n v="2233.8000000000002"/>
  </r>
  <r>
    <x v="0"/>
    <x v="0"/>
    <x v="0"/>
    <x v="2"/>
    <x v="3"/>
    <s v="FIN_HP"/>
    <x v="7"/>
    <s v="GHOB_WOODPELLETS"/>
    <x v="0"/>
    <x v="9"/>
    <n v="1.7"/>
    <n v="620.5"/>
    <n v="2233.8000000000002"/>
  </r>
  <r>
    <x v="0"/>
    <x v="0"/>
    <x v="0"/>
    <x v="2"/>
    <x v="3"/>
    <s v="FIN_HP"/>
    <x v="7"/>
    <s v="GHOB_WOODPELLETS"/>
    <x v="0"/>
    <x v="10"/>
    <n v="1.7"/>
    <n v="620.5"/>
    <n v="2233.8000000000002"/>
  </r>
  <r>
    <x v="0"/>
    <x v="0"/>
    <x v="0"/>
    <x v="2"/>
    <x v="3"/>
    <s v="FIN_HP"/>
    <x v="7"/>
    <s v="GHOB_WOODPELLETS"/>
    <x v="0"/>
    <x v="11"/>
    <n v="1.7"/>
    <n v="620.5"/>
    <n v="2233.8000000000002"/>
  </r>
  <r>
    <x v="0"/>
    <x v="0"/>
    <x v="0"/>
    <x v="2"/>
    <x v="3"/>
    <s v="FIN_HP"/>
    <x v="7"/>
    <s v="GHOB_WOODPELLETS"/>
    <x v="0"/>
    <x v="0"/>
    <n v="1.7"/>
    <n v="620.5"/>
    <n v="2233.8000000000002"/>
  </r>
  <r>
    <x v="0"/>
    <x v="0"/>
    <x v="0"/>
    <x v="2"/>
    <x v="3"/>
    <s v="FIN_HP"/>
    <x v="7"/>
    <s v="GHOB_WOODPELLETS"/>
    <x v="0"/>
    <x v="1"/>
    <n v="1.7"/>
    <n v="620.5"/>
    <n v="2233.8000000000002"/>
  </r>
  <r>
    <x v="0"/>
    <x v="0"/>
    <x v="0"/>
    <x v="2"/>
    <x v="3"/>
    <s v="FIN_HP"/>
    <x v="7"/>
    <s v="GHOB_WOODPELLETS"/>
    <x v="0"/>
    <x v="2"/>
    <n v="1.7"/>
    <n v="620.5"/>
    <n v="2233.8000000000002"/>
  </r>
  <r>
    <x v="0"/>
    <x v="0"/>
    <x v="0"/>
    <x v="2"/>
    <x v="3"/>
    <s v="FIN_HP"/>
    <x v="7"/>
    <s v="GHOB_WOODPELLETS"/>
    <x v="0"/>
    <x v="3"/>
    <n v="1.7"/>
    <n v="620.5"/>
    <n v="2233.8000000000002"/>
  </r>
  <r>
    <x v="0"/>
    <x v="0"/>
    <x v="0"/>
    <x v="2"/>
    <x v="3"/>
    <s v="FIN_HP"/>
    <x v="7"/>
    <s v="GHOB_WOODPELLETS"/>
    <x v="0"/>
    <x v="12"/>
    <n v="1.7"/>
    <n v="620.5"/>
    <n v="2233.8000000000002"/>
  </r>
  <r>
    <x v="0"/>
    <x v="0"/>
    <x v="0"/>
    <x v="2"/>
    <x v="3"/>
    <s v="FIN_HP"/>
    <x v="7"/>
    <s v="GHOB_WOODPELLETS"/>
    <x v="0"/>
    <x v="13"/>
    <n v="1.7"/>
    <n v="620.5"/>
    <n v="2233.8000000000002"/>
  </r>
  <r>
    <x v="0"/>
    <x v="0"/>
    <x v="0"/>
    <x v="2"/>
    <x v="3"/>
    <s v="FIN_HP"/>
    <x v="7"/>
    <s v="GHOB_WOODPELLETS"/>
    <x v="0"/>
    <x v="14"/>
    <n v="1.7"/>
    <n v="620.5"/>
    <n v="2233.8000000000002"/>
  </r>
  <r>
    <x v="0"/>
    <x v="0"/>
    <x v="0"/>
    <x v="2"/>
    <x v="3"/>
    <s v="FIN_HP"/>
    <x v="7"/>
    <s v="GHOB_WOODPELLETS"/>
    <x v="0"/>
    <x v="15"/>
    <n v="1.7"/>
    <n v="620.5"/>
    <n v="2233.8000000000002"/>
  </r>
  <r>
    <x v="0"/>
    <x v="0"/>
    <x v="0"/>
    <x v="2"/>
    <x v="3"/>
    <s v="FIN_HP"/>
    <x v="7"/>
    <s v="GHOB_WOODPELLETS"/>
    <x v="0"/>
    <x v="4"/>
    <n v="1.7"/>
    <n v="620.5"/>
    <n v="2233.8000000000002"/>
  </r>
  <r>
    <x v="0"/>
    <x v="0"/>
    <x v="0"/>
    <x v="2"/>
    <x v="3"/>
    <s v="FIN_HP"/>
    <x v="7"/>
    <s v="GHOB_WOODPELLETS"/>
    <x v="0"/>
    <x v="16"/>
    <n v="1.7"/>
    <n v="620.5"/>
    <n v="2233.8000000000002"/>
  </r>
  <r>
    <x v="0"/>
    <x v="0"/>
    <x v="0"/>
    <x v="2"/>
    <x v="3"/>
    <s v="FIN_HP"/>
    <x v="7"/>
    <s v="GHOB_WOODPELLETS"/>
    <x v="0"/>
    <x v="5"/>
    <n v="1.7"/>
    <n v="620.5"/>
    <n v="2233.8000000000002"/>
  </r>
  <r>
    <x v="0"/>
    <x v="0"/>
    <x v="0"/>
    <x v="2"/>
    <x v="3"/>
    <s v="FIN_HP"/>
    <x v="7"/>
    <s v="GHOB_WOODPELLETS"/>
    <x v="0"/>
    <x v="17"/>
    <n v="1.7"/>
    <n v="620.5"/>
    <n v="2233.8000000000002"/>
  </r>
  <r>
    <x v="0"/>
    <x v="0"/>
    <x v="0"/>
    <x v="2"/>
    <x v="3"/>
    <s v="FIN_HP"/>
    <x v="7"/>
    <s v="GHOB_WOODPELLETS"/>
    <x v="0"/>
    <x v="18"/>
    <n v="1.7"/>
    <n v="620.5"/>
    <n v="2233.8000000000002"/>
  </r>
  <r>
    <x v="0"/>
    <x v="0"/>
    <x v="0"/>
    <x v="2"/>
    <x v="3"/>
    <s v="FIN_HP"/>
    <x v="7"/>
    <s v="GHOB_WOODPELLETS"/>
    <x v="0"/>
    <x v="19"/>
    <n v="1.7"/>
    <n v="620.5"/>
    <n v="2233.8000000000002"/>
  </r>
  <r>
    <x v="0"/>
    <x v="0"/>
    <x v="0"/>
    <x v="2"/>
    <x v="3"/>
    <s v="FIN_HP"/>
    <x v="7"/>
    <s v="GHOB_WOODPELLETS"/>
    <x v="0"/>
    <x v="20"/>
    <n v="1.7"/>
    <n v="620.5"/>
    <n v="2233.8000000000002"/>
  </r>
  <r>
    <x v="0"/>
    <x v="0"/>
    <x v="0"/>
    <x v="2"/>
    <x v="3"/>
    <s v="FIN_HP"/>
    <x v="7"/>
    <s v="GHOB_WOODPELLETS"/>
    <x v="0"/>
    <x v="21"/>
    <n v="1.7"/>
    <n v="620.5"/>
    <n v="2233.8000000000002"/>
  </r>
  <r>
    <x v="0"/>
    <x v="0"/>
    <x v="0"/>
    <x v="2"/>
    <x v="3"/>
    <s v="FIN_HP"/>
    <x v="7"/>
    <s v="GHOB_WOODPELLETS"/>
    <x v="0"/>
    <x v="22"/>
    <n v="1.7"/>
    <n v="620.5"/>
    <n v="2233.8000000000002"/>
  </r>
  <r>
    <x v="0"/>
    <x v="0"/>
    <x v="0"/>
    <x v="2"/>
    <x v="3"/>
    <s v="FIN_HP"/>
    <x v="7"/>
    <s v="GHOB_WOODPELLETS"/>
    <x v="0"/>
    <x v="23"/>
    <n v="1.7"/>
    <n v="620.5"/>
    <n v="2233.8000000000002"/>
  </r>
  <r>
    <x v="0"/>
    <x v="0"/>
    <x v="0"/>
    <x v="2"/>
    <x v="3"/>
    <s v="FIN_HP"/>
    <x v="8"/>
    <s v="GHOB_WOODWASTE"/>
    <x v="0"/>
    <x v="6"/>
    <n v="29.5"/>
    <n v="10767.5"/>
    <n v="38763"/>
  </r>
  <r>
    <x v="0"/>
    <x v="0"/>
    <x v="0"/>
    <x v="2"/>
    <x v="3"/>
    <s v="FIN_HP"/>
    <x v="8"/>
    <s v="GHOB_WOODWASTE"/>
    <x v="0"/>
    <x v="7"/>
    <n v="29.5"/>
    <n v="10767.5"/>
    <n v="38763"/>
  </r>
  <r>
    <x v="0"/>
    <x v="0"/>
    <x v="0"/>
    <x v="2"/>
    <x v="3"/>
    <s v="FIN_HP"/>
    <x v="8"/>
    <s v="GHOB_WOODWASTE"/>
    <x v="0"/>
    <x v="8"/>
    <n v="29.5"/>
    <n v="10767.5"/>
    <n v="38763"/>
  </r>
  <r>
    <x v="0"/>
    <x v="0"/>
    <x v="0"/>
    <x v="2"/>
    <x v="3"/>
    <s v="FIN_HP"/>
    <x v="8"/>
    <s v="GHOB_WOODWASTE"/>
    <x v="0"/>
    <x v="9"/>
    <n v="29.5"/>
    <n v="10767.5"/>
    <n v="38763"/>
  </r>
  <r>
    <x v="0"/>
    <x v="0"/>
    <x v="0"/>
    <x v="2"/>
    <x v="3"/>
    <s v="FIN_HP"/>
    <x v="8"/>
    <s v="GHOB_WOODWASTE"/>
    <x v="0"/>
    <x v="10"/>
    <n v="29.5"/>
    <n v="10767.5"/>
    <n v="38763"/>
  </r>
  <r>
    <x v="0"/>
    <x v="0"/>
    <x v="0"/>
    <x v="2"/>
    <x v="3"/>
    <s v="FIN_HP"/>
    <x v="8"/>
    <s v="GHOB_WOODWASTE"/>
    <x v="0"/>
    <x v="11"/>
    <n v="29.5"/>
    <n v="10767.5"/>
    <n v="38763"/>
  </r>
  <r>
    <x v="0"/>
    <x v="0"/>
    <x v="0"/>
    <x v="2"/>
    <x v="3"/>
    <s v="FIN_HP"/>
    <x v="8"/>
    <s v="GHOB_WOODWASTE"/>
    <x v="0"/>
    <x v="0"/>
    <n v="29.5"/>
    <n v="10767.5"/>
    <n v="38763"/>
  </r>
  <r>
    <x v="0"/>
    <x v="0"/>
    <x v="0"/>
    <x v="2"/>
    <x v="3"/>
    <s v="FIN_HP"/>
    <x v="8"/>
    <s v="GHOB_WOODWASTE"/>
    <x v="0"/>
    <x v="1"/>
    <n v="29.5"/>
    <n v="10767.5"/>
    <n v="38763"/>
  </r>
  <r>
    <x v="0"/>
    <x v="0"/>
    <x v="0"/>
    <x v="2"/>
    <x v="3"/>
    <s v="FIN_HP"/>
    <x v="8"/>
    <s v="GHOB_WOODWASTE"/>
    <x v="0"/>
    <x v="2"/>
    <n v="29.5"/>
    <n v="10767.5"/>
    <n v="38763"/>
  </r>
  <r>
    <x v="0"/>
    <x v="0"/>
    <x v="0"/>
    <x v="2"/>
    <x v="3"/>
    <s v="FIN_HP"/>
    <x v="8"/>
    <s v="GHOB_WOODWASTE"/>
    <x v="0"/>
    <x v="3"/>
    <n v="29.5"/>
    <n v="10767.5"/>
    <n v="38763"/>
  </r>
  <r>
    <x v="0"/>
    <x v="0"/>
    <x v="0"/>
    <x v="2"/>
    <x v="3"/>
    <s v="FIN_HP"/>
    <x v="8"/>
    <s v="GHOB_WOODWASTE"/>
    <x v="0"/>
    <x v="12"/>
    <n v="29.5"/>
    <n v="10767.5"/>
    <n v="38763"/>
  </r>
  <r>
    <x v="0"/>
    <x v="0"/>
    <x v="0"/>
    <x v="2"/>
    <x v="3"/>
    <s v="FIN_HP"/>
    <x v="8"/>
    <s v="GHOB_WOODWASTE"/>
    <x v="0"/>
    <x v="13"/>
    <n v="29.5"/>
    <n v="10767.5"/>
    <n v="38763"/>
  </r>
  <r>
    <x v="0"/>
    <x v="0"/>
    <x v="0"/>
    <x v="2"/>
    <x v="3"/>
    <s v="FIN_HP"/>
    <x v="8"/>
    <s v="GHOB_WOODWASTE"/>
    <x v="0"/>
    <x v="14"/>
    <n v="29.5"/>
    <n v="10767.5"/>
    <n v="38763"/>
  </r>
  <r>
    <x v="0"/>
    <x v="0"/>
    <x v="0"/>
    <x v="2"/>
    <x v="3"/>
    <s v="FIN_HP"/>
    <x v="8"/>
    <s v="GHOB_WOODWASTE"/>
    <x v="0"/>
    <x v="15"/>
    <n v="29.5"/>
    <n v="10767.5"/>
    <n v="38763"/>
  </r>
  <r>
    <x v="0"/>
    <x v="0"/>
    <x v="0"/>
    <x v="2"/>
    <x v="3"/>
    <s v="FIN_HP"/>
    <x v="8"/>
    <s v="GHOB_WOODWASTE"/>
    <x v="0"/>
    <x v="4"/>
    <n v="29.5"/>
    <n v="10767.5"/>
    <n v="38763"/>
  </r>
  <r>
    <x v="0"/>
    <x v="0"/>
    <x v="0"/>
    <x v="2"/>
    <x v="3"/>
    <s v="FIN_HP"/>
    <x v="8"/>
    <s v="GHOB_WOODWASTE"/>
    <x v="0"/>
    <x v="16"/>
    <n v="29.5"/>
    <n v="10767.5"/>
    <n v="38763"/>
  </r>
  <r>
    <x v="0"/>
    <x v="0"/>
    <x v="0"/>
    <x v="2"/>
    <x v="3"/>
    <s v="FIN_HP"/>
    <x v="8"/>
    <s v="GHOB_WOODWASTE"/>
    <x v="0"/>
    <x v="5"/>
    <n v="29.5"/>
    <n v="10767.5"/>
    <n v="38763"/>
  </r>
  <r>
    <x v="0"/>
    <x v="0"/>
    <x v="0"/>
    <x v="2"/>
    <x v="3"/>
    <s v="FIN_HP"/>
    <x v="8"/>
    <s v="GHOB_WOODWASTE"/>
    <x v="0"/>
    <x v="17"/>
    <n v="29.5"/>
    <n v="10767.5"/>
    <n v="38763"/>
  </r>
  <r>
    <x v="0"/>
    <x v="0"/>
    <x v="0"/>
    <x v="2"/>
    <x v="3"/>
    <s v="FIN_HP"/>
    <x v="8"/>
    <s v="GHOB_WOODWASTE"/>
    <x v="0"/>
    <x v="18"/>
    <n v="29.5"/>
    <n v="10767.5"/>
    <n v="38763"/>
  </r>
  <r>
    <x v="0"/>
    <x v="0"/>
    <x v="0"/>
    <x v="2"/>
    <x v="3"/>
    <s v="FIN_HP"/>
    <x v="8"/>
    <s v="GHOB_WOODWASTE"/>
    <x v="0"/>
    <x v="19"/>
    <n v="29.5"/>
    <n v="10767.5"/>
    <n v="38763"/>
  </r>
  <r>
    <x v="0"/>
    <x v="0"/>
    <x v="0"/>
    <x v="2"/>
    <x v="3"/>
    <s v="FIN_HP"/>
    <x v="8"/>
    <s v="GHOB_WOODWASTE"/>
    <x v="0"/>
    <x v="20"/>
    <n v="29.5"/>
    <n v="10767.5"/>
    <n v="38763"/>
  </r>
  <r>
    <x v="0"/>
    <x v="0"/>
    <x v="0"/>
    <x v="2"/>
    <x v="3"/>
    <s v="FIN_HP"/>
    <x v="8"/>
    <s v="GHOB_WOODWASTE"/>
    <x v="0"/>
    <x v="21"/>
    <n v="29.5"/>
    <n v="10767.5"/>
    <n v="38763"/>
  </r>
  <r>
    <x v="0"/>
    <x v="0"/>
    <x v="0"/>
    <x v="2"/>
    <x v="3"/>
    <s v="FIN_HP"/>
    <x v="8"/>
    <s v="GHOB_WOODWASTE"/>
    <x v="0"/>
    <x v="22"/>
    <n v="29.5"/>
    <n v="10767.5"/>
    <n v="38763"/>
  </r>
  <r>
    <x v="0"/>
    <x v="0"/>
    <x v="0"/>
    <x v="2"/>
    <x v="3"/>
    <s v="FIN_HP"/>
    <x v="8"/>
    <s v="GHOB_WOODWASTE"/>
    <x v="0"/>
    <x v="23"/>
    <n v="29.5"/>
    <n v="10767.5"/>
    <n v="38763"/>
  </r>
  <r>
    <x v="0"/>
    <x v="0"/>
    <x v="0"/>
    <x v="2"/>
    <x v="3"/>
    <s v="FIN_OTHER"/>
    <x v="1"/>
    <s v="GNR_HS_HEAT_WTR-TANK_LS_E-95_Y-2010"/>
    <x v="0"/>
    <x v="0"/>
    <n v="103.396053694991"/>
    <n v="37739.559598671804"/>
    <n v="135862.414555219"/>
  </r>
  <r>
    <x v="0"/>
    <x v="0"/>
    <x v="0"/>
    <x v="2"/>
    <x v="3"/>
    <s v="FIN_OTHER"/>
    <x v="1"/>
    <s v="GNR_HS_HEAT_WTR-TANK_LS_E-95_Y-2010"/>
    <x v="0"/>
    <x v="1"/>
    <n v="320.61188063473298"/>
    <n v="117023.33643167801"/>
    <n v="421284.01115403901"/>
  </r>
  <r>
    <x v="0"/>
    <x v="0"/>
    <x v="0"/>
    <x v="2"/>
    <x v="3"/>
    <s v="FIN_OTHER"/>
    <x v="1"/>
    <s v="GNR_HS_HEAT_WTR-TANK_LS_E-95_Y-2010"/>
    <x v="0"/>
    <x v="2"/>
    <n v="324.09214247230199"/>
    <n v="118293.63200239"/>
    <n v="425857.07520860498"/>
  </r>
  <r>
    <x v="0"/>
    <x v="0"/>
    <x v="0"/>
    <x v="2"/>
    <x v="3"/>
    <s v="FIN_OTHER"/>
    <x v="1"/>
    <s v="GNR_HS_HEAT_WTR-TANK_LS_E-95_Y-2010"/>
    <x v="0"/>
    <x v="3"/>
    <n v="267.06875153402302"/>
    <n v="97480.094309918495"/>
    <n v="350928.33951570699"/>
  </r>
  <r>
    <x v="0"/>
    <x v="0"/>
    <x v="0"/>
    <x v="2"/>
    <x v="3"/>
    <s v="FIN_OTHER"/>
    <x v="1"/>
    <s v="GNR_HS_HEAT_WTR-TANK_LS_E-95_Y-2010"/>
    <x v="0"/>
    <x v="12"/>
    <n v="174.81690324822199"/>
    <n v="63808.1696856009"/>
    <n v="229709.41086816299"/>
  </r>
  <r>
    <x v="0"/>
    <x v="0"/>
    <x v="0"/>
    <x v="2"/>
    <x v="3"/>
    <s v="FIN_OTHER"/>
    <x v="1"/>
    <s v="GNR_HS_HEAT_WTR-TANK_LS_E-95_Y-2010"/>
    <x v="0"/>
    <x v="13"/>
    <n v="108.167839192854"/>
    <n v="39481.261305391599"/>
    <n v="142132.54069940999"/>
  </r>
  <r>
    <x v="0"/>
    <x v="0"/>
    <x v="0"/>
    <x v="2"/>
    <x v="3"/>
    <s v="FIN_OTHER"/>
    <x v="1"/>
    <s v="GNR_HS_HEAT_WTR-TANK_LS_E-95_Y-2010"/>
    <x v="0"/>
    <x v="14"/>
    <n v="46.990965186727102"/>
    <n v="17151.702293155398"/>
    <n v="61746.128255359399"/>
  </r>
  <r>
    <x v="0"/>
    <x v="0"/>
    <x v="0"/>
    <x v="2"/>
    <x v="3"/>
    <s v="FIN_OTHER"/>
    <x v="1"/>
    <s v="GNR_HS_HEAT_WTR-TANK_LS_E-95_Y-2010"/>
    <x v="0"/>
    <x v="15"/>
    <n v="26.418241044075"/>
    <n v="9642.65798108737"/>
    <n v="34713.5687319145"/>
  </r>
  <r>
    <x v="0"/>
    <x v="0"/>
    <x v="0"/>
    <x v="2"/>
    <x v="3"/>
    <s v="FIN_OTHER"/>
    <x v="1"/>
    <s v="GNR_HS_HEAT_WTR-TANK_LS_E-95_Y-2010"/>
    <x v="0"/>
    <x v="4"/>
    <n v="1.8533259711226699"/>
    <n v="676.46397945977503"/>
    <n v="2435.2703260551898"/>
  </r>
  <r>
    <x v="0"/>
    <x v="0"/>
    <x v="0"/>
    <x v="2"/>
    <x v="3"/>
    <s v="FIN_OTHER"/>
    <x v="1"/>
    <s v="GNR_HS_HEAT_WTR-TANK_LS_E-95_Y-2010"/>
    <x v="0"/>
    <x v="16"/>
    <n v="9.9578882213596707"/>
    <n v="3634.6292007962802"/>
    <n v="13084.6651228666"/>
  </r>
  <r>
    <x v="0"/>
    <x v="0"/>
    <x v="0"/>
    <x v="2"/>
    <x v="3"/>
    <s v="FIN_OTHER"/>
    <x v="3"/>
    <s v="GBPR_NATGAS_100"/>
    <x v="0"/>
    <x v="6"/>
    <n v="198.6"/>
    <n v="72489"/>
    <n v="260960.4"/>
  </r>
  <r>
    <x v="0"/>
    <x v="0"/>
    <x v="0"/>
    <x v="2"/>
    <x v="3"/>
    <s v="FIN_OTHER"/>
    <x v="3"/>
    <s v="GBPR_NATGAS_100"/>
    <x v="0"/>
    <x v="7"/>
    <n v="198.6"/>
    <n v="72489"/>
    <n v="260960.4"/>
  </r>
  <r>
    <x v="0"/>
    <x v="0"/>
    <x v="0"/>
    <x v="2"/>
    <x v="3"/>
    <s v="FIN_OTHER"/>
    <x v="3"/>
    <s v="GBPR_NATGAS_100"/>
    <x v="0"/>
    <x v="8"/>
    <n v="198.6"/>
    <n v="72489"/>
    <n v="260960.4"/>
  </r>
  <r>
    <x v="0"/>
    <x v="0"/>
    <x v="0"/>
    <x v="2"/>
    <x v="3"/>
    <s v="FIN_OTHER"/>
    <x v="3"/>
    <s v="GBPR_NATGAS_100"/>
    <x v="0"/>
    <x v="9"/>
    <n v="198.6"/>
    <n v="72489"/>
    <n v="260960.4"/>
  </r>
  <r>
    <x v="0"/>
    <x v="0"/>
    <x v="0"/>
    <x v="2"/>
    <x v="3"/>
    <s v="FIN_OTHER"/>
    <x v="3"/>
    <s v="GBPR_NATGAS_100"/>
    <x v="0"/>
    <x v="10"/>
    <n v="198.6"/>
    <n v="72489"/>
    <n v="260960.4"/>
  </r>
  <r>
    <x v="0"/>
    <x v="0"/>
    <x v="0"/>
    <x v="2"/>
    <x v="3"/>
    <s v="FIN_OTHER"/>
    <x v="3"/>
    <s v="GBPR_NATGAS_100"/>
    <x v="0"/>
    <x v="11"/>
    <n v="198.6"/>
    <n v="72489"/>
    <n v="260960.4"/>
  </r>
  <r>
    <x v="0"/>
    <x v="0"/>
    <x v="0"/>
    <x v="2"/>
    <x v="3"/>
    <s v="FIN_OTHER"/>
    <x v="3"/>
    <s v="GBPR_NATGAS_100"/>
    <x v="0"/>
    <x v="0"/>
    <n v="198.6"/>
    <n v="72489"/>
    <n v="260960.4"/>
  </r>
  <r>
    <x v="0"/>
    <x v="0"/>
    <x v="0"/>
    <x v="2"/>
    <x v="3"/>
    <s v="FIN_OTHER"/>
    <x v="3"/>
    <s v="GBPR_NATGAS_100"/>
    <x v="0"/>
    <x v="1"/>
    <n v="198.6"/>
    <n v="72489"/>
    <n v="260960.4"/>
  </r>
  <r>
    <x v="0"/>
    <x v="0"/>
    <x v="0"/>
    <x v="2"/>
    <x v="3"/>
    <s v="FIN_OTHER"/>
    <x v="3"/>
    <s v="GBPR_NATGAS_100"/>
    <x v="0"/>
    <x v="2"/>
    <n v="198.6"/>
    <n v="72489"/>
    <n v="260960.4"/>
  </r>
  <r>
    <x v="0"/>
    <x v="0"/>
    <x v="0"/>
    <x v="2"/>
    <x v="3"/>
    <s v="FIN_OTHER"/>
    <x v="3"/>
    <s v="GBPR_NATGAS_100"/>
    <x v="0"/>
    <x v="3"/>
    <n v="198.6"/>
    <n v="72489"/>
    <n v="260960.4"/>
  </r>
  <r>
    <x v="0"/>
    <x v="0"/>
    <x v="0"/>
    <x v="2"/>
    <x v="3"/>
    <s v="FIN_OTHER"/>
    <x v="3"/>
    <s v="GBPR_NATGAS_100"/>
    <x v="0"/>
    <x v="12"/>
    <n v="198.6"/>
    <n v="72489"/>
    <n v="260960.4"/>
  </r>
  <r>
    <x v="0"/>
    <x v="0"/>
    <x v="0"/>
    <x v="2"/>
    <x v="3"/>
    <s v="FIN_OTHER"/>
    <x v="3"/>
    <s v="GBPR_NATGAS_100"/>
    <x v="0"/>
    <x v="13"/>
    <n v="198.6"/>
    <n v="72489"/>
    <n v="260960.4"/>
  </r>
  <r>
    <x v="0"/>
    <x v="0"/>
    <x v="0"/>
    <x v="2"/>
    <x v="3"/>
    <s v="FIN_OTHER"/>
    <x v="3"/>
    <s v="GBPR_NATGAS_100"/>
    <x v="0"/>
    <x v="14"/>
    <n v="198.6"/>
    <n v="72489"/>
    <n v="260960.4"/>
  </r>
  <r>
    <x v="0"/>
    <x v="0"/>
    <x v="0"/>
    <x v="2"/>
    <x v="3"/>
    <s v="FIN_OTHER"/>
    <x v="3"/>
    <s v="GBPR_NATGAS_100"/>
    <x v="0"/>
    <x v="15"/>
    <n v="198.6"/>
    <n v="72489"/>
    <n v="260960.4"/>
  </r>
  <r>
    <x v="0"/>
    <x v="0"/>
    <x v="0"/>
    <x v="2"/>
    <x v="3"/>
    <s v="FIN_OTHER"/>
    <x v="3"/>
    <s v="GBPR_NATGAS_100"/>
    <x v="0"/>
    <x v="4"/>
    <n v="198.6"/>
    <n v="72489"/>
    <n v="260960.4"/>
  </r>
  <r>
    <x v="0"/>
    <x v="0"/>
    <x v="0"/>
    <x v="2"/>
    <x v="3"/>
    <s v="FIN_OTHER"/>
    <x v="3"/>
    <s v="GBPR_NATGAS_100"/>
    <x v="0"/>
    <x v="16"/>
    <n v="198.6"/>
    <n v="72489"/>
    <n v="260960.4"/>
  </r>
  <r>
    <x v="0"/>
    <x v="0"/>
    <x v="0"/>
    <x v="2"/>
    <x v="3"/>
    <s v="FIN_OTHER"/>
    <x v="3"/>
    <s v="GBPR_NATGAS_100"/>
    <x v="0"/>
    <x v="5"/>
    <n v="198.6"/>
    <n v="72489"/>
    <n v="260960.4"/>
  </r>
  <r>
    <x v="0"/>
    <x v="0"/>
    <x v="0"/>
    <x v="2"/>
    <x v="3"/>
    <s v="FIN_OTHER"/>
    <x v="3"/>
    <s v="GBPR_NATGAS_100"/>
    <x v="0"/>
    <x v="17"/>
    <n v="198.6"/>
    <n v="72489"/>
    <n v="260960.4"/>
  </r>
  <r>
    <x v="0"/>
    <x v="0"/>
    <x v="0"/>
    <x v="2"/>
    <x v="3"/>
    <s v="FIN_OTHER"/>
    <x v="3"/>
    <s v="GBPR_NATGAS_100"/>
    <x v="0"/>
    <x v="18"/>
    <n v="198.6"/>
    <n v="72489"/>
    <n v="260960.4"/>
  </r>
  <r>
    <x v="0"/>
    <x v="0"/>
    <x v="0"/>
    <x v="2"/>
    <x v="3"/>
    <s v="FIN_OTHER"/>
    <x v="3"/>
    <s v="GBPR_NATGAS_100"/>
    <x v="0"/>
    <x v="19"/>
    <n v="198.6"/>
    <n v="72489"/>
    <n v="260960.4"/>
  </r>
  <r>
    <x v="0"/>
    <x v="0"/>
    <x v="0"/>
    <x v="2"/>
    <x v="3"/>
    <s v="FIN_OTHER"/>
    <x v="3"/>
    <s v="GBPR_NATGAS_100"/>
    <x v="0"/>
    <x v="20"/>
    <n v="198.6"/>
    <n v="72489"/>
    <n v="260960.4"/>
  </r>
  <r>
    <x v="0"/>
    <x v="0"/>
    <x v="0"/>
    <x v="2"/>
    <x v="3"/>
    <s v="FIN_OTHER"/>
    <x v="3"/>
    <s v="GBPR_NATGAS_100"/>
    <x v="0"/>
    <x v="21"/>
    <n v="198.6"/>
    <n v="72489"/>
    <n v="260960.4"/>
  </r>
  <r>
    <x v="0"/>
    <x v="0"/>
    <x v="0"/>
    <x v="2"/>
    <x v="3"/>
    <s v="FIN_OTHER"/>
    <x v="3"/>
    <s v="GBPR_NATGAS_100"/>
    <x v="0"/>
    <x v="22"/>
    <n v="198.6"/>
    <n v="72489"/>
    <n v="260960.4"/>
  </r>
  <r>
    <x v="0"/>
    <x v="0"/>
    <x v="0"/>
    <x v="2"/>
    <x v="3"/>
    <s v="FIN_OTHER"/>
    <x v="3"/>
    <s v="GBPR_NATGAS_100"/>
    <x v="0"/>
    <x v="23"/>
    <n v="198.6"/>
    <n v="72489"/>
    <n v="260960.4"/>
  </r>
  <r>
    <x v="0"/>
    <x v="0"/>
    <x v="0"/>
    <x v="2"/>
    <x v="3"/>
    <s v="FIN_OTHER"/>
    <x v="3"/>
    <s v="GHOB_NATGAS"/>
    <x v="0"/>
    <x v="7"/>
    <n v="371.12093110074102"/>
    <n v="135459.139851771"/>
    <n v="487652.90346637397"/>
  </r>
  <r>
    <x v="0"/>
    <x v="0"/>
    <x v="0"/>
    <x v="2"/>
    <x v="3"/>
    <s v="FIN_OTHER"/>
    <x v="3"/>
    <s v="GHOB_NATGAS"/>
    <x v="0"/>
    <x v="10"/>
    <n v="371.12093110074102"/>
    <n v="135459.139851771"/>
    <n v="487652.90346637397"/>
  </r>
  <r>
    <x v="0"/>
    <x v="0"/>
    <x v="0"/>
    <x v="2"/>
    <x v="3"/>
    <s v="FIN_OTHER"/>
    <x v="3"/>
    <s v="GHOB_NATGAS"/>
    <x v="0"/>
    <x v="11"/>
    <n v="146.663168131546"/>
    <n v="53532.056368014302"/>
    <n v="192715.40292485201"/>
  </r>
  <r>
    <x v="0"/>
    <x v="0"/>
    <x v="0"/>
    <x v="2"/>
    <x v="3"/>
    <s v="FIN_OTHER"/>
    <x v="3"/>
    <s v="GHOB_NATGAS"/>
    <x v="0"/>
    <x v="0"/>
    <n v="371.12093110074102"/>
    <n v="135459.139851771"/>
    <n v="487652.90346637397"/>
  </r>
  <r>
    <x v="0"/>
    <x v="0"/>
    <x v="0"/>
    <x v="2"/>
    <x v="3"/>
    <s v="FIN_OTHER"/>
    <x v="3"/>
    <s v="GHOB_NATGAS"/>
    <x v="0"/>
    <x v="1"/>
    <n v="371.12093110074102"/>
    <n v="135459.139851771"/>
    <n v="487652.90346637397"/>
  </r>
  <r>
    <x v="0"/>
    <x v="0"/>
    <x v="0"/>
    <x v="2"/>
    <x v="3"/>
    <s v="FIN_OTHER"/>
    <x v="3"/>
    <s v="GHOB_NATGAS"/>
    <x v="0"/>
    <x v="2"/>
    <n v="371.12093110074102"/>
    <n v="135459.139851771"/>
    <n v="487652.90346637397"/>
  </r>
  <r>
    <x v="0"/>
    <x v="0"/>
    <x v="0"/>
    <x v="2"/>
    <x v="3"/>
    <s v="FIN_OTHER"/>
    <x v="3"/>
    <s v="GHOB_NATGAS"/>
    <x v="0"/>
    <x v="3"/>
    <n v="371.12093110074102"/>
    <n v="135459.139851771"/>
    <n v="487652.90346637397"/>
  </r>
  <r>
    <x v="0"/>
    <x v="0"/>
    <x v="0"/>
    <x v="2"/>
    <x v="3"/>
    <s v="FIN_OTHER"/>
    <x v="3"/>
    <s v="GHOB_NATGAS"/>
    <x v="0"/>
    <x v="12"/>
    <n v="371.12093110074102"/>
    <n v="135459.139851771"/>
    <n v="487652.90346637397"/>
  </r>
  <r>
    <x v="0"/>
    <x v="0"/>
    <x v="0"/>
    <x v="2"/>
    <x v="3"/>
    <s v="FIN_OTHER"/>
    <x v="3"/>
    <s v="GHOB_NATGAS"/>
    <x v="0"/>
    <x v="13"/>
    <n v="371.12093110074102"/>
    <n v="135459.139851771"/>
    <n v="487652.90346637397"/>
  </r>
  <r>
    <x v="0"/>
    <x v="0"/>
    <x v="0"/>
    <x v="2"/>
    <x v="3"/>
    <s v="FIN_OTHER"/>
    <x v="3"/>
    <s v="GHOB_NATGAS"/>
    <x v="0"/>
    <x v="14"/>
    <n v="371.12093110074102"/>
    <n v="135459.139851771"/>
    <n v="487652.90346637397"/>
  </r>
  <r>
    <x v="0"/>
    <x v="0"/>
    <x v="0"/>
    <x v="2"/>
    <x v="3"/>
    <s v="FIN_OTHER"/>
    <x v="3"/>
    <s v="GHOB_NATGAS"/>
    <x v="0"/>
    <x v="15"/>
    <n v="371.12093110074102"/>
    <n v="135459.139851771"/>
    <n v="487652.90346637397"/>
  </r>
  <r>
    <x v="0"/>
    <x v="0"/>
    <x v="0"/>
    <x v="2"/>
    <x v="3"/>
    <s v="FIN_OTHER"/>
    <x v="3"/>
    <s v="GHOB_NATGAS"/>
    <x v="0"/>
    <x v="4"/>
    <n v="371.12093110074102"/>
    <n v="135459.139851771"/>
    <n v="487652.90346637397"/>
  </r>
  <r>
    <x v="0"/>
    <x v="0"/>
    <x v="0"/>
    <x v="2"/>
    <x v="3"/>
    <s v="FIN_OTHER"/>
    <x v="3"/>
    <s v="GHOB_NATGAS"/>
    <x v="0"/>
    <x v="16"/>
    <n v="371.12093110074102"/>
    <n v="135459.139851771"/>
    <n v="487652.90346637397"/>
  </r>
  <r>
    <x v="0"/>
    <x v="0"/>
    <x v="0"/>
    <x v="2"/>
    <x v="3"/>
    <s v="FIN_OTHER"/>
    <x v="3"/>
    <s v="GHOB_NATGAS"/>
    <x v="0"/>
    <x v="5"/>
    <n v="334.10564079470902"/>
    <n v="121948.55889006901"/>
    <n v="439014.81200424797"/>
  </r>
  <r>
    <x v="0"/>
    <x v="0"/>
    <x v="0"/>
    <x v="2"/>
    <x v="3"/>
    <s v="FIN_OTHER"/>
    <x v="3"/>
    <s v="GHOB_NATGAS"/>
    <x v="0"/>
    <x v="17"/>
    <n v="234.77426959937699"/>
    <n v="85692.608403772494"/>
    <n v="308493.39025358099"/>
  </r>
  <r>
    <x v="0"/>
    <x v="0"/>
    <x v="0"/>
    <x v="2"/>
    <x v="3"/>
    <s v="FIN_OTHER"/>
    <x v="3"/>
    <s v="GHOB_NATGAS"/>
    <x v="0"/>
    <x v="18"/>
    <n v="199.21739917729499"/>
    <n v="72714.350699712595"/>
    <n v="261771.66251896499"/>
  </r>
  <r>
    <x v="0"/>
    <x v="0"/>
    <x v="0"/>
    <x v="2"/>
    <x v="3"/>
    <s v="FIN_OTHER"/>
    <x v="3"/>
    <s v="GHOB_NATGAS"/>
    <x v="0"/>
    <x v="19"/>
    <n v="152.27824107455399"/>
    <n v="55581.557992212198"/>
    <n v="200093.60877196401"/>
  </r>
  <r>
    <x v="0"/>
    <x v="0"/>
    <x v="0"/>
    <x v="2"/>
    <x v="3"/>
    <s v="FIN_OTHER"/>
    <x v="3"/>
    <s v="GHOB_NATGAS"/>
    <x v="0"/>
    <x v="20"/>
    <n v="102.05646475217701"/>
    <n v="37250.609634544402"/>
    <n v="134102.19468436"/>
  </r>
  <r>
    <x v="0"/>
    <x v="0"/>
    <x v="0"/>
    <x v="2"/>
    <x v="3"/>
    <s v="FIN_OTHER"/>
    <x v="3"/>
    <s v="GHOB_NATGAS"/>
    <x v="0"/>
    <x v="21"/>
    <n v="36.963626624237499"/>
    <n v="13491.7237178467"/>
    <n v="48570.205384248002"/>
  </r>
  <r>
    <x v="0"/>
    <x v="0"/>
    <x v="0"/>
    <x v="2"/>
    <x v="3"/>
    <s v="FIN_OTHER"/>
    <x v="3"/>
    <s v="GHOB_NATGAS"/>
    <x v="0"/>
    <x v="23"/>
    <n v="371.12093110074102"/>
    <n v="135459.139851771"/>
    <n v="487652.90346637397"/>
  </r>
  <r>
    <x v="0"/>
    <x v="0"/>
    <x v="0"/>
    <x v="2"/>
    <x v="3"/>
    <s v="FIN_OTHER"/>
    <x v="13"/>
    <s v="GHOB_NATGAS_EXETS"/>
    <x v="0"/>
    <x v="6"/>
    <n v="73.454973655735699"/>
    <n v="26811.065384343499"/>
    <n v="96519.835383636702"/>
  </r>
  <r>
    <x v="0"/>
    <x v="0"/>
    <x v="0"/>
    <x v="2"/>
    <x v="3"/>
    <s v="FIN_OTHER"/>
    <x v="13"/>
    <s v="GHOB_NATGAS_EXETS"/>
    <x v="0"/>
    <x v="7"/>
    <n v="145"/>
    <n v="52925"/>
    <n v="190530"/>
  </r>
  <r>
    <x v="0"/>
    <x v="0"/>
    <x v="0"/>
    <x v="2"/>
    <x v="3"/>
    <s v="FIN_OTHER"/>
    <x v="13"/>
    <s v="GHOB_NATGAS_EXETS"/>
    <x v="0"/>
    <x v="8"/>
    <n v="14.223450922207901"/>
    <n v="5191.5595866058902"/>
    <n v="18689.614511781201"/>
  </r>
  <r>
    <x v="0"/>
    <x v="0"/>
    <x v="0"/>
    <x v="2"/>
    <x v="3"/>
    <s v="FIN_OTHER"/>
    <x v="13"/>
    <s v="GHOB_NATGAS_EXETS"/>
    <x v="0"/>
    <x v="9"/>
    <n v="54.459078601015001"/>
    <n v="19877.563689370501"/>
    <n v="71559.2292817337"/>
  </r>
  <r>
    <x v="0"/>
    <x v="0"/>
    <x v="0"/>
    <x v="2"/>
    <x v="3"/>
    <s v="FIN_OTHER"/>
    <x v="13"/>
    <s v="GHOB_NATGAS_EXETS"/>
    <x v="0"/>
    <x v="10"/>
    <n v="145"/>
    <n v="52925"/>
    <n v="190530"/>
  </r>
  <r>
    <x v="0"/>
    <x v="0"/>
    <x v="0"/>
    <x v="2"/>
    <x v="3"/>
    <s v="FIN_OTHER"/>
    <x v="13"/>
    <s v="GHOB_NATGAS_EXETS"/>
    <x v="0"/>
    <x v="11"/>
    <n v="145"/>
    <n v="52925"/>
    <n v="190530"/>
  </r>
  <r>
    <x v="0"/>
    <x v="0"/>
    <x v="0"/>
    <x v="2"/>
    <x v="3"/>
    <s v="FIN_OTHER"/>
    <x v="13"/>
    <s v="GHOB_NATGAS_EXETS"/>
    <x v="0"/>
    <x v="0"/>
    <n v="145"/>
    <n v="52925"/>
    <n v="190530"/>
  </r>
  <r>
    <x v="0"/>
    <x v="0"/>
    <x v="0"/>
    <x v="2"/>
    <x v="3"/>
    <s v="FIN_OTHER"/>
    <x v="13"/>
    <s v="GHOB_NATGAS_EXETS"/>
    <x v="0"/>
    <x v="1"/>
    <n v="145"/>
    <n v="52925"/>
    <n v="190530"/>
  </r>
  <r>
    <x v="0"/>
    <x v="0"/>
    <x v="0"/>
    <x v="2"/>
    <x v="3"/>
    <s v="FIN_OTHER"/>
    <x v="13"/>
    <s v="GHOB_NATGAS_EXETS"/>
    <x v="0"/>
    <x v="2"/>
    <n v="145"/>
    <n v="52925"/>
    <n v="190530"/>
  </r>
  <r>
    <x v="0"/>
    <x v="0"/>
    <x v="0"/>
    <x v="2"/>
    <x v="3"/>
    <s v="FIN_OTHER"/>
    <x v="13"/>
    <s v="GHOB_NATGAS_EXETS"/>
    <x v="0"/>
    <x v="3"/>
    <n v="145"/>
    <n v="52925"/>
    <n v="190530"/>
  </r>
  <r>
    <x v="0"/>
    <x v="0"/>
    <x v="0"/>
    <x v="2"/>
    <x v="3"/>
    <s v="FIN_OTHER"/>
    <x v="13"/>
    <s v="GHOB_NATGAS_EXETS"/>
    <x v="0"/>
    <x v="12"/>
    <n v="145"/>
    <n v="52925"/>
    <n v="190530"/>
  </r>
  <r>
    <x v="0"/>
    <x v="0"/>
    <x v="0"/>
    <x v="2"/>
    <x v="3"/>
    <s v="FIN_OTHER"/>
    <x v="13"/>
    <s v="GHOB_NATGAS_EXETS"/>
    <x v="0"/>
    <x v="13"/>
    <n v="145"/>
    <n v="52925"/>
    <n v="190530"/>
  </r>
  <r>
    <x v="0"/>
    <x v="0"/>
    <x v="0"/>
    <x v="2"/>
    <x v="3"/>
    <s v="FIN_OTHER"/>
    <x v="13"/>
    <s v="GHOB_NATGAS_EXETS"/>
    <x v="0"/>
    <x v="14"/>
    <n v="145"/>
    <n v="52925"/>
    <n v="190530"/>
  </r>
  <r>
    <x v="0"/>
    <x v="0"/>
    <x v="0"/>
    <x v="2"/>
    <x v="3"/>
    <s v="FIN_OTHER"/>
    <x v="13"/>
    <s v="GHOB_NATGAS_EXETS"/>
    <x v="0"/>
    <x v="15"/>
    <n v="145"/>
    <n v="52925"/>
    <n v="190530"/>
  </r>
  <r>
    <x v="0"/>
    <x v="0"/>
    <x v="0"/>
    <x v="2"/>
    <x v="3"/>
    <s v="FIN_OTHER"/>
    <x v="13"/>
    <s v="GHOB_NATGAS_EXETS"/>
    <x v="0"/>
    <x v="4"/>
    <n v="145"/>
    <n v="52925"/>
    <n v="190530"/>
  </r>
  <r>
    <x v="0"/>
    <x v="0"/>
    <x v="0"/>
    <x v="2"/>
    <x v="3"/>
    <s v="FIN_OTHER"/>
    <x v="13"/>
    <s v="GHOB_NATGAS_EXETS"/>
    <x v="0"/>
    <x v="16"/>
    <n v="145"/>
    <n v="52925"/>
    <n v="190530"/>
  </r>
  <r>
    <x v="0"/>
    <x v="0"/>
    <x v="0"/>
    <x v="2"/>
    <x v="3"/>
    <s v="FIN_OTHER"/>
    <x v="13"/>
    <s v="GHOB_NATGAS_EXETS"/>
    <x v="0"/>
    <x v="5"/>
    <n v="145"/>
    <n v="52925"/>
    <n v="190530"/>
  </r>
  <r>
    <x v="0"/>
    <x v="0"/>
    <x v="0"/>
    <x v="2"/>
    <x v="3"/>
    <s v="FIN_OTHER"/>
    <x v="13"/>
    <s v="GHOB_NATGAS_EXETS"/>
    <x v="0"/>
    <x v="17"/>
    <n v="145"/>
    <n v="52925"/>
    <n v="190530"/>
  </r>
  <r>
    <x v="0"/>
    <x v="0"/>
    <x v="0"/>
    <x v="2"/>
    <x v="3"/>
    <s v="FIN_OTHER"/>
    <x v="13"/>
    <s v="GHOB_NATGAS_EXETS"/>
    <x v="0"/>
    <x v="18"/>
    <n v="145"/>
    <n v="52925"/>
    <n v="190530"/>
  </r>
  <r>
    <x v="0"/>
    <x v="0"/>
    <x v="0"/>
    <x v="2"/>
    <x v="3"/>
    <s v="FIN_OTHER"/>
    <x v="13"/>
    <s v="GHOB_NATGAS_EXETS"/>
    <x v="0"/>
    <x v="19"/>
    <n v="145"/>
    <n v="52925"/>
    <n v="190530"/>
  </r>
  <r>
    <x v="0"/>
    <x v="0"/>
    <x v="0"/>
    <x v="2"/>
    <x v="3"/>
    <s v="FIN_OTHER"/>
    <x v="13"/>
    <s v="GHOB_NATGAS_EXETS"/>
    <x v="0"/>
    <x v="20"/>
    <n v="145"/>
    <n v="52925"/>
    <n v="190530"/>
  </r>
  <r>
    <x v="0"/>
    <x v="0"/>
    <x v="0"/>
    <x v="2"/>
    <x v="3"/>
    <s v="FIN_OTHER"/>
    <x v="13"/>
    <s v="GHOB_NATGAS_EXETS"/>
    <x v="0"/>
    <x v="21"/>
    <n v="145"/>
    <n v="52925"/>
    <n v="190530"/>
  </r>
  <r>
    <x v="0"/>
    <x v="0"/>
    <x v="0"/>
    <x v="2"/>
    <x v="3"/>
    <s v="FIN_OTHER"/>
    <x v="13"/>
    <s v="GHOB_NATGAS_EXETS"/>
    <x v="0"/>
    <x v="22"/>
    <n v="90.211246443728996"/>
    <n v="32927.104951961097"/>
    <n v="118537.57782706"/>
  </r>
  <r>
    <x v="0"/>
    <x v="0"/>
    <x v="0"/>
    <x v="2"/>
    <x v="3"/>
    <s v="FIN_OTHER"/>
    <x v="13"/>
    <s v="GHOB_NATGAS_EXETS"/>
    <x v="0"/>
    <x v="23"/>
    <n v="145"/>
    <n v="52925"/>
    <n v="190530"/>
  </r>
  <r>
    <x v="0"/>
    <x v="0"/>
    <x v="0"/>
    <x v="2"/>
    <x v="3"/>
    <s v="FIN_OTHER"/>
    <x v="5"/>
    <s v="GHOB_WASTEHEAT"/>
    <x v="0"/>
    <x v="6"/>
    <n v="214.86950549450501"/>
    <n v="78427.369505494207"/>
    <n v="282338.530219779"/>
  </r>
  <r>
    <x v="0"/>
    <x v="0"/>
    <x v="0"/>
    <x v="2"/>
    <x v="3"/>
    <s v="FIN_OTHER"/>
    <x v="5"/>
    <s v="GHOB_WASTEHEAT"/>
    <x v="0"/>
    <x v="7"/>
    <n v="214.86950549450501"/>
    <n v="78427.369505494207"/>
    <n v="282338.530219779"/>
  </r>
  <r>
    <x v="0"/>
    <x v="0"/>
    <x v="0"/>
    <x v="2"/>
    <x v="3"/>
    <s v="FIN_OTHER"/>
    <x v="5"/>
    <s v="GHOB_WASTEHEAT"/>
    <x v="0"/>
    <x v="8"/>
    <n v="214.86950549450501"/>
    <n v="78427.369505494207"/>
    <n v="282338.530219779"/>
  </r>
  <r>
    <x v="0"/>
    <x v="0"/>
    <x v="0"/>
    <x v="2"/>
    <x v="3"/>
    <s v="FIN_OTHER"/>
    <x v="5"/>
    <s v="GHOB_WASTEHEAT"/>
    <x v="0"/>
    <x v="9"/>
    <n v="214.86950549450501"/>
    <n v="78427.369505494207"/>
    <n v="282338.530219779"/>
  </r>
  <r>
    <x v="0"/>
    <x v="0"/>
    <x v="0"/>
    <x v="2"/>
    <x v="3"/>
    <s v="FIN_OTHER"/>
    <x v="5"/>
    <s v="GHOB_WASTEHEAT"/>
    <x v="0"/>
    <x v="10"/>
    <n v="214.86950549450501"/>
    <n v="78427.369505494207"/>
    <n v="282338.530219779"/>
  </r>
  <r>
    <x v="0"/>
    <x v="0"/>
    <x v="0"/>
    <x v="2"/>
    <x v="3"/>
    <s v="FIN_OTHER"/>
    <x v="5"/>
    <s v="GHOB_WASTEHEAT"/>
    <x v="0"/>
    <x v="11"/>
    <n v="214.86950549450501"/>
    <n v="78427.369505494207"/>
    <n v="282338.530219779"/>
  </r>
  <r>
    <x v="0"/>
    <x v="0"/>
    <x v="0"/>
    <x v="2"/>
    <x v="3"/>
    <s v="FIN_OTHER"/>
    <x v="5"/>
    <s v="GHOB_WASTEHEAT"/>
    <x v="0"/>
    <x v="0"/>
    <n v="214.86950549450501"/>
    <n v="78427.369505494207"/>
    <n v="282338.530219779"/>
  </r>
  <r>
    <x v="0"/>
    <x v="0"/>
    <x v="0"/>
    <x v="2"/>
    <x v="3"/>
    <s v="FIN_OTHER"/>
    <x v="5"/>
    <s v="GHOB_WASTEHEAT"/>
    <x v="0"/>
    <x v="1"/>
    <n v="214.86950549450501"/>
    <n v="78427.369505494207"/>
    <n v="282338.530219779"/>
  </r>
  <r>
    <x v="0"/>
    <x v="0"/>
    <x v="0"/>
    <x v="2"/>
    <x v="3"/>
    <s v="FIN_OTHER"/>
    <x v="5"/>
    <s v="GHOB_WASTEHEAT"/>
    <x v="0"/>
    <x v="2"/>
    <n v="214.86950549450501"/>
    <n v="78427.369505494207"/>
    <n v="282338.530219779"/>
  </r>
  <r>
    <x v="0"/>
    <x v="0"/>
    <x v="0"/>
    <x v="2"/>
    <x v="3"/>
    <s v="FIN_OTHER"/>
    <x v="5"/>
    <s v="GHOB_WASTEHEAT"/>
    <x v="0"/>
    <x v="3"/>
    <n v="214.86950549450501"/>
    <n v="78427.369505494207"/>
    <n v="282338.530219779"/>
  </r>
  <r>
    <x v="0"/>
    <x v="0"/>
    <x v="0"/>
    <x v="2"/>
    <x v="3"/>
    <s v="FIN_OTHER"/>
    <x v="5"/>
    <s v="GHOB_WASTEHEAT"/>
    <x v="0"/>
    <x v="12"/>
    <n v="214.86950549450501"/>
    <n v="78427.369505494207"/>
    <n v="282338.530219779"/>
  </r>
  <r>
    <x v="0"/>
    <x v="0"/>
    <x v="0"/>
    <x v="2"/>
    <x v="3"/>
    <s v="FIN_OTHER"/>
    <x v="5"/>
    <s v="GHOB_WASTEHEAT"/>
    <x v="0"/>
    <x v="13"/>
    <n v="214.86950549450501"/>
    <n v="78427.369505494207"/>
    <n v="282338.530219779"/>
  </r>
  <r>
    <x v="0"/>
    <x v="0"/>
    <x v="0"/>
    <x v="2"/>
    <x v="3"/>
    <s v="FIN_OTHER"/>
    <x v="5"/>
    <s v="GHOB_WASTEHEAT"/>
    <x v="0"/>
    <x v="14"/>
    <n v="214.86950549450501"/>
    <n v="78427.369505494207"/>
    <n v="282338.530219779"/>
  </r>
  <r>
    <x v="0"/>
    <x v="0"/>
    <x v="0"/>
    <x v="2"/>
    <x v="3"/>
    <s v="FIN_OTHER"/>
    <x v="5"/>
    <s v="GHOB_WASTEHEAT"/>
    <x v="0"/>
    <x v="15"/>
    <n v="214.86950549450501"/>
    <n v="78427.369505494207"/>
    <n v="282338.530219779"/>
  </r>
  <r>
    <x v="0"/>
    <x v="0"/>
    <x v="0"/>
    <x v="2"/>
    <x v="3"/>
    <s v="FIN_OTHER"/>
    <x v="5"/>
    <s v="GHOB_WASTEHEAT"/>
    <x v="0"/>
    <x v="4"/>
    <n v="214.86950549450501"/>
    <n v="78427.369505494207"/>
    <n v="282338.530219779"/>
  </r>
  <r>
    <x v="0"/>
    <x v="0"/>
    <x v="0"/>
    <x v="2"/>
    <x v="3"/>
    <s v="FIN_OTHER"/>
    <x v="5"/>
    <s v="GHOB_WASTEHEAT"/>
    <x v="0"/>
    <x v="16"/>
    <n v="214.86950549450501"/>
    <n v="78427.369505494207"/>
    <n v="282338.530219779"/>
  </r>
  <r>
    <x v="0"/>
    <x v="0"/>
    <x v="0"/>
    <x v="2"/>
    <x v="3"/>
    <s v="FIN_OTHER"/>
    <x v="5"/>
    <s v="GHOB_WASTEHEAT"/>
    <x v="0"/>
    <x v="5"/>
    <n v="214.86950549450501"/>
    <n v="78427.369505494207"/>
    <n v="282338.530219779"/>
  </r>
  <r>
    <x v="0"/>
    <x v="0"/>
    <x v="0"/>
    <x v="2"/>
    <x v="3"/>
    <s v="FIN_OTHER"/>
    <x v="5"/>
    <s v="GHOB_WASTEHEAT"/>
    <x v="0"/>
    <x v="17"/>
    <n v="214.86950549450501"/>
    <n v="78427.369505494207"/>
    <n v="282338.530219779"/>
  </r>
  <r>
    <x v="0"/>
    <x v="0"/>
    <x v="0"/>
    <x v="2"/>
    <x v="3"/>
    <s v="FIN_OTHER"/>
    <x v="5"/>
    <s v="GHOB_WASTEHEAT"/>
    <x v="0"/>
    <x v="18"/>
    <n v="214.86950549450501"/>
    <n v="78427.369505494207"/>
    <n v="282338.530219779"/>
  </r>
  <r>
    <x v="0"/>
    <x v="0"/>
    <x v="0"/>
    <x v="2"/>
    <x v="3"/>
    <s v="FIN_OTHER"/>
    <x v="5"/>
    <s v="GHOB_WASTEHEAT"/>
    <x v="0"/>
    <x v="19"/>
    <n v="214.86950549450501"/>
    <n v="78427.369505494207"/>
    <n v="282338.530219779"/>
  </r>
  <r>
    <x v="0"/>
    <x v="0"/>
    <x v="0"/>
    <x v="2"/>
    <x v="3"/>
    <s v="FIN_OTHER"/>
    <x v="5"/>
    <s v="GHOB_WASTEHEAT"/>
    <x v="0"/>
    <x v="20"/>
    <n v="214.86950549450501"/>
    <n v="78427.369505494207"/>
    <n v="282338.530219779"/>
  </r>
  <r>
    <x v="0"/>
    <x v="0"/>
    <x v="0"/>
    <x v="2"/>
    <x v="3"/>
    <s v="FIN_OTHER"/>
    <x v="5"/>
    <s v="GHOB_WASTEHEAT"/>
    <x v="0"/>
    <x v="21"/>
    <n v="214.86950549450501"/>
    <n v="78427.369505494207"/>
    <n v="282338.530219779"/>
  </r>
  <r>
    <x v="0"/>
    <x v="0"/>
    <x v="0"/>
    <x v="2"/>
    <x v="3"/>
    <s v="FIN_OTHER"/>
    <x v="5"/>
    <s v="GHOB_WASTEHEAT"/>
    <x v="0"/>
    <x v="22"/>
    <n v="214.86950549450501"/>
    <n v="78427.369505494207"/>
    <n v="282338.530219779"/>
  </r>
  <r>
    <x v="0"/>
    <x v="0"/>
    <x v="0"/>
    <x v="2"/>
    <x v="3"/>
    <s v="FIN_OTHER"/>
    <x v="5"/>
    <s v="GHOB_WASTEHEAT"/>
    <x v="0"/>
    <x v="23"/>
    <n v="214.86950549450501"/>
    <n v="78427.369505494207"/>
    <n v="282338.530219779"/>
  </r>
  <r>
    <x v="0"/>
    <x v="0"/>
    <x v="0"/>
    <x v="2"/>
    <x v="3"/>
    <s v="FIN_OTHER"/>
    <x v="6"/>
    <s v="GBPR_WOODCHIPS_FINOTHER"/>
    <x v="0"/>
    <x v="6"/>
    <n v="536.04060913705598"/>
    <n v="195654.822335025"/>
    <n v="704357.36040609097"/>
  </r>
  <r>
    <x v="0"/>
    <x v="0"/>
    <x v="0"/>
    <x v="2"/>
    <x v="3"/>
    <s v="FIN_OTHER"/>
    <x v="6"/>
    <s v="GBPR_WOODCHIPS_FINOTHER"/>
    <x v="0"/>
    <x v="7"/>
    <n v="536.04060913705598"/>
    <n v="195654.822335025"/>
    <n v="704357.36040609097"/>
  </r>
  <r>
    <x v="0"/>
    <x v="0"/>
    <x v="0"/>
    <x v="2"/>
    <x v="3"/>
    <s v="FIN_OTHER"/>
    <x v="6"/>
    <s v="GBPR_WOODCHIPS_FINOTHER"/>
    <x v="0"/>
    <x v="8"/>
    <n v="536.04060913705598"/>
    <n v="195654.822335025"/>
    <n v="704357.36040609097"/>
  </r>
  <r>
    <x v="0"/>
    <x v="0"/>
    <x v="0"/>
    <x v="2"/>
    <x v="3"/>
    <s v="FIN_OTHER"/>
    <x v="6"/>
    <s v="GBPR_WOODCHIPS_FINOTHER"/>
    <x v="0"/>
    <x v="9"/>
    <n v="536.04060913705598"/>
    <n v="195654.822335025"/>
    <n v="704357.36040609097"/>
  </r>
  <r>
    <x v="0"/>
    <x v="0"/>
    <x v="0"/>
    <x v="2"/>
    <x v="3"/>
    <s v="FIN_OTHER"/>
    <x v="6"/>
    <s v="GBPR_WOODCHIPS_FINOTHER"/>
    <x v="0"/>
    <x v="10"/>
    <n v="536.04060913705598"/>
    <n v="195654.822335025"/>
    <n v="704357.36040609097"/>
  </r>
  <r>
    <x v="0"/>
    <x v="0"/>
    <x v="0"/>
    <x v="2"/>
    <x v="3"/>
    <s v="FIN_OTHER"/>
    <x v="6"/>
    <s v="GBPR_WOODCHIPS_FINOTHER"/>
    <x v="0"/>
    <x v="11"/>
    <n v="536.04060913705598"/>
    <n v="195654.822335025"/>
    <n v="704357.36040609097"/>
  </r>
  <r>
    <x v="0"/>
    <x v="0"/>
    <x v="0"/>
    <x v="2"/>
    <x v="3"/>
    <s v="FIN_OTHER"/>
    <x v="6"/>
    <s v="GBPR_WOODCHIPS_FINOTHER"/>
    <x v="0"/>
    <x v="0"/>
    <n v="536.04060913705598"/>
    <n v="195654.822335025"/>
    <n v="704357.36040609097"/>
  </r>
  <r>
    <x v="0"/>
    <x v="0"/>
    <x v="0"/>
    <x v="2"/>
    <x v="3"/>
    <s v="FIN_OTHER"/>
    <x v="6"/>
    <s v="GBPR_WOODCHIPS_FINOTHER"/>
    <x v="0"/>
    <x v="1"/>
    <n v="536.04060913705598"/>
    <n v="195654.822335025"/>
    <n v="704357.36040609097"/>
  </r>
  <r>
    <x v="0"/>
    <x v="0"/>
    <x v="0"/>
    <x v="2"/>
    <x v="3"/>
    <s v="FIN_OTHER"/>
    <x v="6"/>
    <s v="GBPR_WOODCHIPS_FINOTHER"/>
    <x v="0"/>
    <x v="2"/>
    <n v="536.04060913705598"/>
    <n v="195654.822335025"/>
    <n v="704357.36040609097"/>
  </r>
  <r>
    <x v="0"/>
    <x v="0"/>
    <x v="0"/>
    <x v="2"/>
    <x v="3"/>
    <s v="FIN_OTHER"/>
    <x v="6"/>
    <s v="GBPR_WOODCHIPS_FINOTHER"/>
    <x v="0"/>
    <x v="3"/>
    <n v="536.04060913705598"/>
    <n v="195654.822335025"/>
    <n v="704357.36040609097"/>
  </r>
  <r>
    <x v="0"/>
    <x v="0"/>
    <x v="0"/>
    <x v="2"/>
    <x v="3"/>
    <s v="FIN_OTHER"/>
    <x v="6"/>
    <s v="GBPR_WOODCHIPS_FINOTHER"/>
    <x v="0"/>
    <x v="12"/>
    <n v="536.04060913705598"/>
    <n v="195654.822335025"/>
    <n v="704357.36040609097"/>
  </r>
  <r>
    <x v="0"/>
    <x v="0"/>
    <x v="0"/>
    <x v="2"/>
    <x v="3"/>
    <s v="FIN_OTHER"/>
    <x v="6"/>
    <s v="GBPR_WOODCHIPS_FINOTHER"/>
    <x v="0"/>
    <x v="13"/>
    <n v="536.04060913705598"/>
    <n v="195654.822335025"/>
    <n v="704357.36040609097"/>
  </r>
  <r>
    <x v="0"/>
    <x v="0"/>
    <x v="0"/>
    <x v="2"/>
    <x v="3"/>
    <s v="FIN_OTHER"/>
    <x v="6"/>
    <s v="GBPR_WOODCHIPS_FINOTHER"/>
    <x v="0"/>
    <x v="14"/>
    <n v="536.04060913705598"/>
    <n v="195654.822335025"/>
    <n v="704357.36040609097"/>
  </r>
  <r>
    <x v="0"/>
    <x v="0"/>
    <x v="0"/>
    <x v="2"/>
    <x v="3"/>
    <s v="FIN_OTHER"/>
    <x v="6"/>
    <s v="GBPR_WOODCHIPS_FINOTHER"/>
    <x v="0"/>
    <x v="15"/>
    <n v="536.04060913705598"/>
    <n v="195654.822335025"/>
    <n v="704357.36040609097"/>
  </r>
  <r>
    <x v="0"/>
    <x v="0"/>
    <x v="0"/>
    <x v="2"/>
    <x v="3"/>
    <s v="FIN_OTHER"/>
    <x v="6"/>
    <s v="GBPR_WOODCHIPS_FINOTHER"/>
    <x v="0"/>
    <x v="4"/>
    <n v="536.04060913705598"/>
    <n v="195654.822335025"/>
    <n v="704357.36040609097"/>
  </r>
  <r>
    <x v="0"/>
    <x v="0"/>
    <x v="0"/>
    <x v="2"/>
    <x v="3"/>
    <s v="FIN_OTHER"/>
    <x v="6"/>
    <s v="GBPR_WOODCHIPS_FINOTHER"/>
    <x v="0"/>
    <x v="16"/>
    <n v="536.04060913705598"/>
    <n v="195654.822335025"/>
    <n v="704357.36040609097"/>
  </r>
  <r>
    <x v="0"/>
    <x v="0"/>
    <x v="0"/>
    <x v="2"/>
    <x v="3"/>
    <s v="FIN_OTHER"/>
    <x v="6"/>
    <s v="GBPR_WOODCHIPS_FINOTHER"/>
    <x v="0"/>
    <x v="5"/>
    <n v="536.04060913705598"/>
    <n v="195654.822335025"/>
    <n v="704357.36040609097"/>
  </r>
  <r>
    <x v="0"/>
    <x v="0"/>
    <x v="0"/>
    <x v="2"/>
    <x v="3"/>
    <s v="FIN_OTHER"/>
    <x v="6"/>
    <s v="GBPR_WOODCHIPS_FINOTHER"/>
    <x v="0"/>
    <x v="17"/>
    <n v="536.04060913705598"/>
    <n v="195654.822335025"/>
    <n v="704357.36040609097"/>
  </r>
  <r>
    <x v="0"/>
    <x v="0"/>
    <x v="0"/>
    <x v="2"/>
    <x v="3"/>
    <s v="FIN_OTHER"/>
    <x v="6"/>
    <s v="GBPR_WOODCHIPS_FINOTHER"/>
    <x v="0"/>
    <x v="18"/>
    <n v="536.04060913705598"/>
    <n v="195654.822335025"/>
    <n v="704357.36040609097"/>
  </r>
  <r>
    <x v="0"/>
    <x v="0"/>
    <x v="0"/>
    <x v="2"/>
    <x v="3"/>
    <s v="FIN_OTHER"/>
    <x v="6"/>
    <s v="GBPR_WOODCHIPS_FINOTHER"/>
    <x v="0"/>
    <x v="19"/>
    <n v="536.04060913705598"/>
    <n v="195654.822335025"/>
    <n v="704357.36040609097"/>
  </r>
  <r>
    <x v="0"/>
    <x v="0"/>
    <x v="0"/>
    <x v="2"/>
    <x v="3"/>
    <s v="FIN_OTHER"/>
    <x v="6"/>
    <s v="GBPR_WOODCHIPS_FINOTHER"/>
    <x v="0"/>
    <x v="20"/>
    <n v="536.04060913705598"/>
    <n v="195654.822335025"/>
    <n v="704357.36040609097"/>
  </r>
  <r>
    <x v="0"/>
    <x v="0"/>
    <x v="0"/>
    <x v="2"/>
    <x v="3"/>
    <s v="FIN_OTHER"/>
    <x v="6"/>
    <s v="GBPR_WOODCHIPS_FINOTHER"/>
    <x v="0"/>
    <x v="21"/>
    <n v="536.04060913705598"/>
    <n v="195654.822335025"/>
    <n v="704357.36040609097"/>
  </r>
  <r>
    <x v="0"/>
    <x v="0"/>
    <x v="0"/>
    <x v="2"/>
    <x v="3"/>
    <s v="FIN_OTHER"/>
    <x v="6"/>
    <s v="GBPR_WOODCHIPS_FINOTHER"/>
    <x v="0"/>
    <x v="22"/>
    <n v="536.04060913705598"/>
    <n v="195654.822335025"/>
    <n v="704357.36040609097"/>
  </r>
  <r>
    <x v="0"/>
    <x v="0"/>
    <x v="0"/>
    <x v="2"/>
    <x v="3"/>
    <s v="FIN_OTHER"/>
    <x v="6"/>
    <s v="GBPR_WOODCHIPS_FINOTHER"/>
    <x v="0"/>
    <x v="23"/>
    <n v="536.04060913705598"/>
    <n v="195654.822335025"/>
    <n v="704357.36040609097"/>
  </r>
  <r>
    <x v="0"/>
    <x v="0"/>
    <x v="0"/>
    <x v="2"/>
    <x v="3"/>
    <s v="FIN_OTHER"/>
    <x v="6"/>
    <s v="GHOB_WOODCHIPS"/>
    <x v="0"/>
    <x v="6"/>
    <n v="524.79999999999995"/>
    <n v="191552"/>
    <n v="689587.19999999995"/>
  </r>
  <r>
    <x v="0"/>
    <x v="0"/>
    <x v="0"/>
    <x v="2"/>
    <x v="3"/>
    <s v="FIN_OTHER"/>
    <x v="6"/>
    <s v="GHOB_WOODCHIPS"/>
    <x v="0"/>
    <x v="7"/>
    <n v="524.79999999999995"/>
    <n v="191552"/>
    <n v="689587.19999999995"/>
  </r>
  <r>
    <x v="0"/>
    <x v="0"/>
    <x v="0"/>
    <x v="2"/>
    <x v="3"/>
    <s v="FIN_OTHER"/>
    <x v="6"/>
    <s v="GHOB_WOODCHIPS"/>
    <x v="0"/>
    <x v="8"/>
    <n v="524.79999999999995"/>
    <n v="191552"/>
    <n v="689587.19999999995"/>
  </r>
  <r>
    <x v="0"/>
    <x v="0"/>
    <x v="0"/>
    <x v="2"/>
    <x v="3"/>
    <s v="FIN_OTHER"/>
    <x v="6"/>
    <s v="GHOB_WOODCHIPS"/>
    <x v="0"/>
    <x v="9"/>
    <n v="524.79999999999995"/>
    <n v="191552"/>
    <n v="689587.19999999995"/>
  </r>
  <r>
    <x v="0"/>
    <x v="0"/>
    <x v="0"/>
    <x v="2"/>
    <x v="3"/>
    <s v="FIN_OTHER"/>
    <x v="6"/>
    <s v="GHOB_WOODCHIPS"/>
    <x v="0"/>
    <x v="10"/>
    <n v="524.79999999999995"/>
    <n v="191552"/>
    <n v="689587.19999999995"/>
  </r>
  <r>
    <x v="0"/>
    <x v="0"/>
    <x v="0"/>
    <x v="2"/>
    <x v="3"/>
    <s v="FIN_OTHER"/>
    <x v="6"/>
    <s v="GHOB_WOODCHIPS"/>
    <x v="0"/>
    <x v="11"/>
    <n v="524.79999999999995"/>
    <n v="191552"/>
    <n v="689587.19999999995"/>
  </r>
  <r>
    <x v="0"/>
    <x v="0"/>
    <x v="0"/>
    <x v="2"/>
    <x v="3"/>
    <s v="FIN_OTHER"/>
    <x v="6"/>
    <s v="GHOB_WOODCHIPS"/>
    <x v="0"/>
    <x v="0"/>
    <n v="524.79999999999995"/>
    <n v="191552"/>
    <n v="689587.19999999995"/>
  </r>
  <r>
    <x v="0"/>
    <x v="0"/>
    <x v="0"/>
    <x v="2"/>
    <x v="3"/>
    <s v="FIN_OTHER"/>
    <x v="6"/>
    <s v="GHOB_WOODCHIPS"/>
    <x v="0"/>
    <x v="1"/>
    <n v="524.79999999999995"/>
    <n v="191552"/>
    <n v="689587.19999999995"/>
  </r>
  <r>
    <x v="0"/>
    <x v="0"/>
    <x v="0"/>
    <x v="2"/>
    <x v="3"/>
    <s v="FIN_OTHER"/>
    <x v="6"/>
    <s v="GHOB_WOODCHIPS"/>
    <x v="0"/>
    <x v="2"/>
    <n v="524.79999999999995"/>
    <n v="191552"/>
    <n v="689587.19999999995"/>
  </r>
  <r>
    <x v="0"/>
    <x v="0"/>
    <x v="0"/>
    <x v="2"/>
    <x v="3"/>
    <s v="FIN_OTHER"/>
    <x v="6"/>
    <s v="GHOB_WOODCHIPS"/>
    <x v="0"/>
    <x v="3"/>
    <n v="524.79999999999995"/>
    <n v="191552"/>
    <n v="689587.19999999995"/>
  </r>
  <r>
    <x v="0"/>
    <x v="0"/>
    <x v="0"/>
    <x v="2"/>
    <x v="3"/>
    <s v="FIN_OTHER"/>
    <x v="6"/>
    <s v="GHOB_WOODCHIPS"/>
    <x v="0"/>
    <x v="12"/>
    <n v="524.79999999999995"/>
    <n v="191552"/>
    <n v="689587.19999999995"/>
  </r>
  <r>
    <x v="0"/>
    <x v="0"/>
    <x v="0"/>
    <x v="2"/>
    <x v="3"/>
    <s v="FIN_OTHER"/>
    <x v="6"/>
    <s v="GHOB_WOODCHIPS"/>
    <x v="0"/>
    <x v="13"/>
    <n v="524.79999999999995"/>
    <n v="191552"/>
    <n v="689587.19999999995"/>
  </r>
  <r>
    <x v="0"/>
    <x v="0"/>
    <x v="0"/>
    <x v="2"/>
    <x v="3"/>
    <s v="FIN_OTHER"/>
    <x v="6"/>
    <s v="GHOB_WOODCHIPS"/>
    <x v="0"/>
    <x v="14"/>
    <n v="524.79999999999995"/>
    <n v="191552"/>
    <n v="689587.19999999995"/>
  </r>
  <r>
    <x v="0"/>
    <x v="0"/>
    <x v="0"/>
    <x v="2"/>
    <x v="3"/>
    <s v="FIN_OTHER"/>
    <x v="6"/>
    <s v="GHOB_WOODCHIPS"/>
    <x v="0"/>
    <x v="15"/>
    <n v="524.79999999999995"/>
    <n v="191552"/>
    <n v="689587.19999999995"/>
  </r>
  <r>
    <x v="0"/>
    <x v="0"/>
    <x v="0"/>
    <x v="2"/>
    <x v="3"/>
    <s v="FIN_OTHER"/>
    <x v="6"/>
    <s v="GHOB_WOODCHIPS"/>
    <x v="0"/>
    <x v="4"/>
    <n v="524.79999999999995"/>
    <n v="191552"/>
    <n v="689587.19999999995"/>
  </r>
  <r>
    <x v="0"/>
    <x v="0"/>
    <x v="0"/>
    <x v="2"/>
    <x v="3"/>
    <s v="FIN_OTHER"/>
    <x v="6"/>
    <s v="GHOB_WOODCHIPS"/>
    <x v="0"/>
    <x v="16"/>
    <n v="524.79999999999995"/>
    <n v="191552"/>
    <n v="689587.19999999995"/>
  </r>
  <r>
    <x v="0"/>
    <x v="0"/>
    <x v="0"/>
    <x v="2"/>
    <x v="3"/>
    <s v="FIN_OTHER"/>
    <x v="6"/>
    <s v="GHOB_WOODCHIPS"/>
    <x v="0"/>
    <x v="5"/>
    <n v="524.79999999999995"/>
    <n v="191552"/>
    <n v="689587.19999999995"/>
  </r>
  <r>
    <x v="0"/>
    <x v="0"/>
    <x v="0"/>
    <x v="2"/>
    <x v="3"/>
    <s v="FIN_OTHER"/>
    <x v="6"/>
    <s v="GHOB_WOODCHIPS"/>
    <x v="0"/>
    <x v="17"/>
    <n v="524.79999999999995"/>
    <n v="191552"/>
    <n v="689587.19999999995"/>
  </r>
  <r>
    <x v="0"/>
    <x v="0"/>
    <x v="0"/>
    <x v="2"/>
    <x v="3"/>
    <s v="FIN_OTHER"/>
    <x v="6"/>
    <s v="GHOB_WOODCHIPS"/>
    <x v="0"/>
    <x v="18"/>
    <n v="524.79999999999995"/>
    <n v="191552"/>
    <n v="689587.19999999995"/>
  </r>
  <r>
    <x v="0"/>
    <x v="0"/>
    <x v="0"/>
    <x v="2"/>
    <x v="3"/>
    <s v="FIN_OTHER"/>
    <x v="6"/>
    <s v="GHOB_WOODCHIPS"/>
    <x v="0"/>
    <x v="19"/>
    <n v="524.79999999999995"/>
    <n v="191552"/>
    <n v="689587.19999999995"/>
  </r>
  <r>
    <x v="0"/>
    <x v="0"/>
    <x v="0"/>
    <x v="2"/>
    <x v="3"/>
    <s v="FIN_OTHER"/>
    <x v="6"/>
    <s v="GHOB_WOODCHIPS"/>
    <x v="0"/>
    <x v="20"/>
    <n v="524.79999999999995"/>
    <n v="191552"/>
    <n v="689587.19999999995"/>
  </r>
  <r>
    <x v="0"/>
    <x v="0"/>
    <x v="0"/>
    <x v="2"/>
    <x v="3"/>
    <s v="FIN_OTHER"/>
    <x v="6"/>
    <s v="GHOB_WOODCHIPS"/>
    <x v="0"/>
    <x v="21"/>
    <n v="524.79999999999995"/>
    <n v="191552"/>
    <n v="689587.19999999995"/>
  </r>
  <r>
    <x v="0"/>
    <x v="0"/>
    <x v="0"/>
    <x v="2"/>
    <x v="3"/>
    <s v="FIN_OTHER"/>
    <x v="6"/>
    <s v="GHOB_WOODCHIPS"/>
    <x v="0"/>
    <x v="22"/>
    <n v="524.79999999999995"/>
    <n v="191552"/>
    <n v="689587.19999999995"/>
  </r>
  <r>
    <x v="0"/>
    <x v="0"/>
    <x v="0"/>
    <x v="2"/>
    <x v="3"/>
    <s v="FIN_OTHER"/>
    <x v="6"/>
    <s v="GHOB_WOODCHIPS"/>
    <x v="0"/>
    <x v="23"/>
    <n v="524.79999999999995"/>
    <n v="191552"/>
    <n v="689587.19999999995"/>
  </r>
  <r>
    <x v="0"/>
    <x v="0"/>
    <x v="0"/>
    <x v="2"/>
    <x v="3"/>
    <s v="FIN_OTHER"/>
    <x v="7"/>
    <s v="GBPR_WOODPELLETS"/>
    <x v="0"/>
    <x v="6"/>
    <n v="2.2540983606557399"/>
    <n v="822.74590163934397"/>
    <n v="2961.8852459016398"/>
  </r>
  <r>
    <x v="0"/>
    <x v="0"/>
    <x v="0"/>
    <x v="2"/>
    <x v="3"/>
    <s v="FIN_OTHER"/>
    <x v="7"/>
    <s v="GBPR_WOODPELLETS"/>
    <x v="0"/>
    <x v="7"/>
    <n v="2.2540983606557399"/>
    <n v="822.74590163934397"/>
    <n v="2961.8852459016398"/>
  </r>
  <r>
    <x v="0"/>
    <x v="0"/>
    <x v="0"/>
    <x v="2"/>
    <x v="3"/>
    <s v="FIN_OTHER"/>
    <x v="7"/>
    <s v="GBPR_WOODPELLETS"/>
    <x v="0"/>
    <x v="8"/>
    <n v="2.2540983606557399"/>
    <n v="822.74590163934397"/>
    <n v="2961.8852459016398"/>
  </r>
  <r>
    <x v="0"/>
    <x v="0"/>
    <x v="0"/>
    <x v="2"/>
    <x v="3"/>
    <s v="FIN_OTHER"/>
    <x v="7"/>
    <s v="GBPR_WOODPELLETS"/>
    <x v="0"/>
    <x v="9"/>
    <n v="2.2540983606557399"/>
    <n v="822.74590163934397"/>
    <n v="2961.8852459016398"/>
  </r>
  <r>
    <x v="0"/>
    <x v="0"/>
    <x v="0"/>
    <x v="2"/>
    <x v="3"/>
    <s v="FIN_OTHER"/>
    <x v="7"/>
    <s v="GBPR_WOODPELLETS"/>
    <x v="0"/>
    <x v="10"/>
    <n v="2.2540983606557399"/>
    <n v="822.74590163934397"/>
    <n v="2961.8852459016398"/>
  </r>
  <r>
    <x v="0"/>
    <x v="0"/>
    <x v="0"/>
    <x v="2"/>
    <x v="3"/>
    <s v="FIN_OTHER"/>
    <x v="7"/>
    <s v="GBPR_WOODPELLETS"/>
    <x v="0"/>
    <x v="11"/>
    <n v="2.2540983606557399"/>
    <n v="822.74590163934397"/>
    <n v="2961.8852459016398"/>
  </r>
  <r>
    <x v="0"/>
    <x v="0"/>
    <x v="0"/>
    <x v="2"/>
    <x v="3"/>
    <s v="FIN_OTHER"/>
    <x v="7"/>
    <s v="GBPR_WOODPELLETS"/>
    <x v="0"/>
    <x v="0"/>
    <n v="2.2540983606557399"/>
    <n v="822.74590163934397"/>
    <n v="2961.8852459016398"/>
  </r>
  <r>
    <x v="0"/>
    <x v="0"/>
    <x v="0"/>
    <x v="2"/>
    <x v="3"/>
    <s v="FIN_OTHER"/>
    <x v="7"/>
    <s v="GBPR_WOODPELLETS"/>
    <x v="0"/>
    <x v="1"/>
    <n v="2.2540983606557399"/>
    <n v="822.74590163934397"/>
    <n v="2961.8852459016398"/>
  </r>
  <r>
    <x v="0"/>
    <x v="0"/>
    <x v="0"/>
    <x v="2"/>
    <x v="3"/>
    <s v="FIN_OTHER"/>
    <x v="7"/>
    <s v="GBPR_WOODPELLETS"/>
    <x v="0"/>
    <x v="2"/>
    <n v="2.2540983606557399"/>
    <n v="822.74590163934397"/>
    <n v="2961.8852459016398"/>
  </r>
  <r>
    <x v="0"/>
    <x v="0"/>
    <x v="0"/>
    <x v="2"/>
    <x v="3"/>
    <s v="FIN_OTHER"/>
    <x v="7"/>
    <s v="GBPR_WOODPELLETS"/>
    <x v="0"/>
    <x v="3"/>
    <n v="2.2540983606557399"/>
    <n v="822.74590163934397"/>
    <n v="2961.8852459016398"/>
  </r>
  <r>
    <x v="0"/>
    <x v="0"/>
    <x v="0"/>
    <x v="2"/>
    <x v="3"/>
    <s v="FIN_OTHER"/>
    <x v="7"/>
    <s v="GBPR_WOODPELLETS"/>
    <x v="0"/>
    <x v="12"/>
    <n v="2.2540983606557399"/>
    <n v="822.74590163934397"/>
    <n v="2961.8852459016398"/>
  </r>
  <r>
    <x v="0"/>
    <x v="0"/>
    <x v="0"/>
    <x v="2"/>
    <x v="3"/>
    <s v="FIN_OTHER"/>
    <x v="7"/>
    <s v="GBPR_WOODPELLETS"/>
    <x v="0"/>
    <x v="13"/>
    <n v="2.2540983606557399"/>
    <n v="822.74590163934397"/>
    <n v="2961.8852459016398"/>
  </r>
  <r>
    <x v="0"/>
    <x v="0"/>
    <x v="0"/>
    <x v="2"/>
    <x v="3"/>
    <s v="FIN_OTHER"/>
    <x v="7"/>
    <s v="GBPR_WOODPELLETS"/>
    <x v="0"/>
    <x v="14"/>
    <n v="2.2540983606557399"/>
    <n v="822.74590163934397"/>
    <n v="2961.8852459016398"/>
  </r>
  <r>
    <x v="0"/>
    <x v="0"/>
    <x v="0"/>
    <x v="2"/>
    <x v="3"/>
    <s v="FIN_OTHER"/>
    <x v="7"/>
    <s v="GBPR_WOODPELLETS"/>
    <x v="0"/>
    <x v="15"/>
    <n v="2.2540983606557399"/>
    <n v="822.74590163934397"/>
    <n v="2961.8852459016398"/>
  </r>
  <r>
    <x v="0"/>
    <x v="0"/>
    <x v="0"/>
    <x v="2"/>
    <x v="3"/>
    <s v="FIN_OTHER"/>
    <x v="7"/>
    <s v="GBPR_WOODPELLETS"/>
    <x v="0"/>
    <x v="4"/>
    <n v="2.2540983606557399"/>
    <n v="822.74590163934397"/>
    <n v="2961.8852459016398"/>
  </r>
  <r>
    <x v="0"/>
    <x v="0"/>
    <x v="0"/>
    <x v="2"/>
    <x v="3"/>
    <s v="FIN_OTHER"/>
    <x v="7"/>
    <s v="GBPR_WOODPELLETS"/>
    <x v="0"/>
    <x v="16"/>
    <n v="2.2540983606557399"/>
    <n v="822.74590163934397"/>
    <n v="2961.8852459016398"/>
  </r>
  <r>
    <x v="0"/>
    <x v="0"/>
    <x v="0"/>
    <x v="2"/>
    <x v="3"/>
    <s v="FIN_OTHER"/>
    <x v="7"/>
    <s v="GBPR_WOODPELLETS"/>
    <x v="0"/>
    <x v="5"/>
    <n v="2.2540983606557399"/>
    <n v="822.74590163934397"/>
    <n v="2961.8852459016398"/>
  </r>
  <r>
    <x v="0"/>
    <x v="0"/>
    <x v="0"/>
    <x v="2"/>
    <x v="3"/>
    <s v="FIN_OTHER"/>
    <x v="7"/>
    <s v="GBPR_WOODPELLETS"/>
    <x v="0"/>
    <x v="17"/>
    <n v="2.2540983606557399"/>
    <n v="822.74590163934397"/>
    <n v="2961.8852459016398"/>
  </r>
  <r>
    <x v="0"/>
    <x v="0"/>
    <x v="0"/>
    <x v="2"/>
    <x v="3"/>
    <s v="FIN_OTHER"/>
    <x v="7"/>
    <s v="GBPR_WOODPELLETS"/>
    <x v="0"/>
    <x v="18"/>
    <n v="2.2540983606557399"/>
    <n v="822.74590163934397"/>
    <n v="2961.8852459016398"/>
  </r>
  <r>
    <x v="0"/>
    <x v="0"/>
    <x v="0"/>
    <x v="2"/>
    <x v="3"/>
    <s v="FIN_OTHER"/>
    <x v="7"/>
    <s v="GBPR_WOODPELLETS"/>
    <x v="0"/>
    <x v="19"/>
    <n v="2.2540983606557399"/>
    <n v="822.74590163934397"/>
    <n v="2961.8852459016398"/>
  </r>
  <r>
    <x v="0"/>
    <x v="0"/>
    <x v="0"/>
    <x v="2"/>
    <x v="3"/>
    <s v="FIN_OTHER"/>
    <x v="7"/>
    <s v="GBPR_WOODPELLETS"/>
    <x v="0"/>
    <x v="20"/>
    <n v="2.2540983606557399"/>
    <n v="822.74590163934397"/>
    <n v="2961.8852459016398"/>
  </r>
  <r>
    <x v="0"/>
    <x v="0"/>
    <x v="0"/>
    <x v="2"/>
    <x v="3"/>
    <s v="FIN_OTHER"/>
    <x v="7"/>
    <s v="GBPR_WOODPELLETS"/>
    <x v="0"/>
    <x v="21"/>
    <n v="2.2540983606557399"/>
    <n v="822.74590163934397"/>
    <n v="2961.8852459016398"/>
  </r>
  <r>
    <x v="0"/>
    <x v="0"/>
    <x v="0"/>
    <x v="2"/>
    <x v="3"/>
    <s v="FIN_OTHER"/>
    <x v="7"/>
    <s v="GBPR_WOODPELLETS"/>
    <x v="0"/>
    <x v="22"/>
    <n v="2.2540983606557399"/>
    <n v="822.74590163934397"/>
    <n v="2961.8852459016398"/>
  </r>
  <r>
    <x v="0"/>
    <x v="0"/>
    <x v="0"/>
    <x v="2"/>
    <x v="3"/>
    <s v="FIN_OTHER"/>
    <x v="7"/>
    <s v="GBPR_WOODPELLETS"/>
    <x v="0"/>
    <x v="23"/>
    <n v="2.2540983606557399"/>
    <n v="822.74590163934397"/>
    <n v="2961.8852459016398"/>
  </r>
  <r>
    <x v="0"/>
    <x v="0"/>
    <x v="0"/>
    <x v="2"/>
    <x v="3"/>
    <s v="FIN_OTHER"/>
    <x v="7"/>
    <s v="GHOB_WOODPELLETS"/>
    <x v="0"/>
    <x v="0"/>
    <n v="57.4"/>
    <n v="20951"/>
    <n v="75423.600000000006"/>
  </r>
  <r>
    <x v="0"/>
    <x v="0"/>
    <x v="0"/>
    <x v="2"/>
    <x v="3"/>
    <s v="FIN_OTHER"/>
    <x v="7"/>
    <s v="GHOB_WOODPELLETS"/>
    <x v="0"/>
    <x v="1"/>
    <n v="57.4"/>
    <n v="20951"/>
    <n v="75423.600000000006"/>
  </r>
  <r>
    <x v="0"/>
    <x v="0"/>
    <x v="0"/>
    <x v="2"/>
    <x v="3"/>
    <s v="FIN_OTHER"/>
    <x v="7"/>
    <s v="GHOB_WOODPELLETS"/>
    <x v="0"/>
    <x v="2"/>
    <n v="57.4"/>
    <n v="20951"/>
    <n v="75423.600000000006"/>
  </r>
  <r>
    <x v="0"/>
    <x v="0"/>
    <x v="0"/>
    <x v="2"/>
    <x v="3"/>
    <s v="FIN_OTHER"/>
    <x v="7"/>
    <s v="GHOB_WOODPELLETS"/>
    <x v="0"/>
    <x v="3"/>
    <n v="57.4"/>
    <n v="20951"/>
    <n v="75423.600000000006"/>
  </r>
  <r>
    <x v="0"/>
    <x v="0"/>
    <x v="0"/>
    <x v="2"/>
    <x v="3"/>
    <s v="FIN_OTHER"/>
    <x v="7"/>
    <s v="GHOB_WOODPELLETS"/>
    <x v="0"/>
    <x v="12"/>
    <n v="57.4"/>
    <n v="20951"/>
    <n v="75423.600000000006"/>
  </r>
  <r>
    <x v="0"/>
    <x v="0"/>
    <x v="0"/>
    <x v="2"/>
    <x v="3"/>
    <s v="FIN_OTHER"/>
    <x v="7"/>
    <s v="GHOB_WOODPELLETS"/>
    <x v="0"/>
    <x v="13"/>
    <n v="57.4"/>
    <n v="20951"/>
    <n v="75423.600000000006"/>
  </r>
  <r>
    <x v="0"/>
    <x v="0"/>
    <x v="0"/>
    <x v="2"/>
    <x v="3"/>
    <s v="FIN_OTHER"/>
    <x v="7"/>
    <s v="GHOB_WOODPELLETS"/>
    <x v="0"/>
    <x v="14"/>
    <n v="57.4"/>
    <n v="20951"/>
    <n v="75423.600000000006"/>
  </r>
  <r>
    <x v="0"/>
    <x v="0"/>
    <x v="0"/>
    <x v="2"/>
    <x v="3"/>
    <s v="FIN_OTHER"/>
    <x v="7"/>
    <s v="GHOB_WOODPELLETS"/>
    <x v="0"/>
    <x v="15"/>
    <n v="57.4"/>
    <n v="20951"/>
    <n v="75423.600000000006"/>
  </r>
  <r>
    <x v="0"/>
    <x v="0"/>
    <x v="0"/>
    <x v="2"/>
    <x v="3"/>
    <s v="FIN_OTHER"/>
    <x v="7"/>
    <s v="GHOB_WOODPELLETS"/>
    <x v="0"/>
    <x v="4"/>
    <n v="57.4"/>
    <n v="20951"/>
    <n v="75423.600000000006"/>
  </r>
  <r>
    <x v="0"/>
    <x v="0"/>
    <x v="0"/>
    <x v="2"/>
    <x v="3"/>
    <s v="FIN_OTHER"/>
    <x v="7"/>
    <s v="GHOB_WOODPELLETS"/>
    <x v="0"/>
    <x v="16"/>
    <n v="57.4"/>
    <n v="20951"/>
    <n v="75423.600000000006"/>
  </r>
  <r>
    <x v="0"/>
    <x v="0"/>
    <x v="0"/>
    <x v="2"/>
    <x v="3"/>
    <s v="FIN_OTHER"/>
    <x v="8"/>
    <s v="GBPR_WOODWASTE_FINOTHER"/>
    <x v="0"/>
    <x v="6"/>
    <n v="304.938271604938"/>
    <n v="111302.46913580201"/>
    <n v="400688.88888888899"/>
  </r>
  <r>
    <x v="0"/>
    <x v="0"/>
    <x v="0"/>
    <x v="2"/>
    <x v="3"/>
    <s v="FIN_OTHER"/>
    <x v="8"/>
    <s v="GBPR_WOODWASTE_FINOTHER"/>
    <x v="0"/>
    <x v="7"/>
    <n v="304.938271604938"/>
    <n v="111302.46913580201"/>
    <n v="400688.88888888899"/>
  </r>
  <r>
    <x v="0"/>
    <x v="0"/>
    <x v="0"/>
    <x v="2"/>
    <x v="3"/>
    <s v="FIN_OTHER"/>
    <x v="8"/>
    <s v="GBPR_WOODWASTE_FINOTHER"/>
    <x v="0"/>
    <x v="8"/>
    <n v="304.938271604938"/>
    <n v="111302.46913580201"/>
    <n v="400688.88888888899"/>
  </r>
  <r>
    <x v="0"/>
    <x v="0"/>
    <x v="0"/>
    <x v="2"/>
    <x v="3"/>
    <s v="FIN_OTHER"/>
    <x v="8"/>
    <s v="GBPR_WOODWASTE_FINOTHER"/>
    <x v="0"/>
    <x v="9"/>
    <n v="304.938271604938"/>
    <n v="111302.46913580201"/>
    <n v="400688.88888888899"/>
  </r>
  <r>
    <x v="0"/>
    <x v="0"/>
    <x v="0"/>
    <x v="2"/>
    <x v="3"/>
    <s v="FIN_OTHER"/>
    <x v="8"/>
    <s v="GBPR_WOODWASTE_FINOTHER"/>
    <x v="0"/>
    <x v="10"/>
    <n v="304.938271604938"/>
    <n v="111302.46913580201"/>
    <n v="400688.88888888899"/>
  </r>
  <r>
    <x v="0"/>
    <x v="0"/>
    <x v="0"/>
    <x v="2"/>
    <x v="3"/>
    <s v="FIN_OTHER"/>
    <x v="8"/>
    <s v="GBPR_WOODWASTE_FINOTHER"/>
    <x v="0"/>
    <x v="11"/>
    <n v="304.938271604938"/>
    <n v="111302.46913580201"/>
    <n v="400688.88888888899"/>
  </r>
  <r>
    <x v="0"/>
    <x v="0"/>
    <x v="0"/>
    <x v="2"/>
    <x v="3"/>
    <s v="FIN_OTHER"/>
    <x v="8"/>
    <s v="GBPR_WOODWASTE_FINOTHER"/>
    <x v="0"/>
    <x v="0"/>
    <n v="304.938271604938"/>
    <n v="111302.46913580201"/>
    <n v="400688.88888888899"/>
  </r>
  <r>
    <x v="0"/>
    <x v="0"/>
    <x v="0"/>
    <x v="2"/>
    <x v="3"/>
    <s v="FIN_OTHER"/>
    <x v="8"/>
    <s v="GBPR_WOODWASTE_FINOTHER"/>
    <x v="0"/>
    <x v="1"/>
    <n v="304.938271604938"/>
    <n v="111302.46913580201"/>
    <n v="400688.88888888899"/>
  </r>
  <r>
    <x v="0"/>
    <x v="0"/>
    <x v="0"/>
    <x v="2"/>
    <x v="3"/>
    <s v="FIN_OTHER"/>
    <x v="8"/>
    <s v="GBPR_WOODWASTE_FINOTHER"/>
    <x v="0"/>
    <x v="2"/>
    <n v="304.938271604938"/>
    <n v="111302.46913580201"/>
    <n v="400688.88888888899"/>
  </r>
  <r>
    <x v="0"/>
    <x v="0"/>
    <x v="0"/>
    <x v="2"/>
    <x v="3"/>
    <s v="FIN_OTHER"/>
    <x v="8"/>
    <s v="GBPR_WOODWASTE_FINOTHER"/>
    <x v="0"/>
    <x v="3"/>
    <n v="304.938271604938"/>
    <n v="111302.46913580201"/>
    <n v="400688.88888888899"/>
  </r>
  <r>
    <x v="0"/>
    <x v="0"/>
    <x v="0"/>
    <x v="2"/>
    <x v="3"/>
    <s v="FIN_OTHER"/>
    <x v="8"/>
    <s v="GBPR_WOODWASTE_FINOTHER"/>
    <x v="0"/>
    <x v="12"/>
    <n v="304.938271604938"/>
    <n v="111302.46913580201"/>
    <n v="400688.88888888899"/>
  </r>
  <r>
    <x v="0"/>
    <x v="0"/>
    <x v="0"/>
    <x v="2"/>
    <x v="3"/>
    <s v="FIN_OTHER"/>
    <x v="8"/>
    <s v="GBPR_WOODWASTE_FINOTHER"/>
    <x v="0"/>
    <x v="13"/>
    <n v="304.938271604938"/>
    <n v="111302.46913580201"/>
    <n v="400688.88888888899"/>
  </r>
  <r>
    <x v="0"/>
    <x v="0"/>
    <x v="0"/>
    <x v="2"/>
    <x v="3"/>
    <s v="FIN_OTHER"/>
    <x v="8"/>
    <s v="GBPR_WOODWASTE_FINOTHER"/>
    <x v="0"/>
    <x v="14"/>
    <n v="304.938271604938"/>
    <n v="111302.46913580201"/>
    <n v="400688.88888888899"/>
  </r>
  <r>
    <x v="0"/>
    <x v="0"/>
    <x v="0"/>
    <x v="2"/>
    <x v="3"/>
    <s v="FIN_OTHER"/>
    <x v="8"/>
    <s v="GBPR_WOODWASTE_FINOTHER"/>
    <x v="0"/>
    <x v="15"/>
    <n v="304.938271604938"/>
    <n v="111302.46913580201"/>
    <n v="400688.88888888899"/>
  </r>
  <r>
    <x v="0"/>
    <x v="0"/>
    <x v="0"/>
    <x v="2"/>
    <x v="3"/>
    <s v="FIN_OTHER"/>
    <x v="8"/>
    <s v="GBPR_WOODWASTE_FINOTHER"/>
    <x v="0"/>
    <x v="4"/>
    <n v="304.938271604938"/>
    <n v="111302.46913580201"/>
    <n v="400688.88888888899"/>
  </r>
  <r>
    <x v="0"/>
    <x v="0"/>
    <x v="0"/>
    <x v="2"/>
    <x v="3"/>
    <s v="FIN_OTHER"/>
    <x v="8"/>
    <s v="GBPR_WOODWASTE_FINOTHER"/>
    <x v="0"/>
    <x v="16"/>
    <n v="304.938271604938"/>
    <n v="111302.46913580201"/>
    <n v="400688.88888888899"/>
  </r>
  <r>
    <x v="0"/>
    <x v="0"/>
    <x v="0"/>
    <x v="2"/>
    <x v="3"/>
    <s v="FIN_OTHER"/>
    <x v="8"/>
    <s v="GBPR_WOODWASTE_FINOTHER"/>
    <x v="0"/>
    <x v="5"/>
    <n v="304.938271604938"/>
    <n v="111302.46913580201"/>
    <n v="400688.88888888899"/>
  </r>
  <r>
    <x v="0"/>
    <x v="0"/>
    <x v="0"/>
    <x v="2"/>
    <x v="3"/>
    <s v="FIN_OTHER"/>
    <x v="8"/>
    <s v="GBPR_WOODWASTE_FINOTHER"/>
    <x v="0"/>
    <x v="17"/>
    <n v="304.938271604938"/>
    <n v="111302.46913580201"/>
    <n v="400688.88888888899"/>
  </r>
  <r>
    <x v="0"/>
    <x v="0"/>
    <x v="0"/>
    <x v="2"/>
    <x v="3"/>
    <s v="FIN_OTHER"/>
    <x v="8"/>
    <s v="GBPR_WOODWASTE_FINOTHER"/>
    <x v="0"/>
    <x v="18"/>
    <n v="304.938271604938"/>
    <n v="111302.46913580201"/>
    <n v="400688.88888888899"/>
  </r>
  <r>
    <x v="0"/>
    <x v="0"/>
    <x v="0"/>
    <x v="2"/>
    <x v="3"/>
    <s v="FIN_OTHER"/>
    <x v="8"/>
    <s v="GBPR_WOODWASTE_FINOTHER"/>
    <x v="0"/>
    <x v="19"/>
    <n v="304.938271604938"/>
    <n v="111302.46913580201"/>
    <n v="400688.88888888899"/>
  </r>
  <r>
    <x v="0"/>
    <x v="0"/>
    <x v="0"/>
    <x v="2"/>
    <x v="3"/>
    <s v="FIN_OTHER"/>
    <x v="8"/>
    <s v="GBPR_WOODWASTE_FINOTHER"/>
    <x v="0"/>
    <x v="20"/>
    <n v="304.938271604938"/>
    <n v="111302.46913580201"/>
    <n v="400688.88888888899"/>
  </r>
  <r>
    <x v="0"/>
    <x v="0"/>
    <x v="0"/>
    <x v="2"/>
    <x v="3"/>
    <s v="FIN_OTHER"/>
    <x v="8"/>
    <s v="GBPR_WOODWASTE_FINOTHER"/>
    <x v="0"/>
    <x v="21"/>
    <n v="304.938271604938"/>
    <n v="111302.46913580201"/>
    <n v="400688.88888888899"/>
  </r>
  <r>
    <x v="0"/>
    <x v="0"/>
    <x v="0"/>
    <x v="2"/>
    <x v="3"/>
    <s v="FIN_OTHER"/>
    <x v="8"/>
    <s v="GBPR_WOODWASTE_FINOTHER"/>
    <x v="0"/>
    <x v="22"/>
    <n v="304.938271604938"/>
    <n v="111302.46913580201"/>
    <n v="400688.88888888899"/>
  </r>
  <r>
    <x v="0"/>
    <x v="0"/>
    <x v="0"/>
    <x v="2"/>
    <x v="3"/>
    <s v="FIN_OTHER"/>
    <x v="8"/>
    <s v="GBPR_WOODWASTE_FINOTHER"/>
    <x v="0"/>
    <x v="23"/>
    <n v="304.938271604938"/>
    <n v="111302.46913580201"/>
    <n v="400688.88888888899"/>
  </r>
  <r>
    <x v="0"/>
    <x v="0"/>
    <x v="0"/>
    <x v="2"/>
    <x v="3"/>
    <s v="FIN_OTHER"/>
    <x v="8"/>
    <s v="GHOB_WOODWASTE"/>
    <x v="0"/>
    <x v="6"/>
    <n v="166.8"/>
    <n v="60882"/>
    <n v="219175.2"/>
  </r>
  <r>
    <x v="0"/>
    <x v="0"/>
    <x v="0"/>
    <x v="2"/>
    <x v="3"/>
    <s v="FIN_OTHER"/>
    <x v="8"/>
    <s v="GHOB_WOODWASTE"/>
    <x v="0"/>
    <x v="7"/>
    <n v="166.8"/>
    <n v="60882"/>
    <n v="219175.2"/>
  </r>
  <r>
    <x v="0"/>
    <x v="0"/>
    <x v="0"/>
    <x v="2"/>
    <x v="3"/>
    <s v="FIN_OTHER"/>
    <x v="8"/>
    <s v="GHOB_WOODWASTE"/>
    <x v="0"/>
    <x v="8"/>
    <n v="166.8"/>
    <n v="60882"/>
    <n v="219175.2"/>
  </r>
  <r>
    <x v="0"/>
    <x v="0"/>
    <x v="0"/>
    <x v="2"/>
    <x v="3"/>
    <s v="FIN_OTHER"/>
    <x v="8"/>
    <s v="GHOB_WOODWASTE"/>
    <x v="0"/>
    <x v="9"/>
    <n v="166.8"/>
    <n v="60882"/>
    <n v="219175.2"/>
  </r>
  <r>
    <x v="0"/>
    <x v="0"/>
    <x v="0"/>
    <x v="2"/>
    <x v="3"/>
    <s v="FIN_OTHER"/>
    <x v="8"/>
    <s v="GHOB_WOODWASTE"/>
    <x v="0"/>
    <x v="10"/>
    <n v="166.8"/>
    <n v="60882"/>
    <n v="219175.2"/>
  </r>
  <r>
    <x v="0"/>
    <x v="0"/>
    <x v="0"/>
    <x v="2"/>
    <x v="3"/>
    <s v="FIN_OTHER"/>
    <x v="8"/>
    <s v="GHOB_WOODWASTE"/>
    <x v="0"/>
    <x v="11"/>
    <n v="166.8"/>
    <n v="60882"/>
    <n v="219175.2"/>
  </r>
  <r>
    <x v="0"/>
    <x v="0"/>
    <x v="0"/>
    <x v="2"/>
    <x v="3"/>
    <s v="FIN_OTHER"/>
    <x v="8"/>
    <s v="GHOB_WOODWASTE"/>
    <x v="0"/>
    <x v="0"/>
    <n v="166.8"/>
    <n v="60882"/>
    <n v="219175.2"/>
  </r>
  <r>
    <x v="0"/>
    <x v="0"/>
    <x v="0"/>
    <x v="2"/>
    <x v="3"/>
    <s v="FIN_OTHER"/>
    <x v="8"/>
    <s v="GHOB_WOODWASTE"/>
    <x v="0"/>
    <x v="1"/>
    <n v="166.8"/>
    <n v="60882"/>
    <n v="219175.2"/>
  </r>
  <r>
    <x v="0"/>
    <x v="0"/>
    <x v="0"/>
    <x v="2"/>
    <x v="3"/>
    <s v="FIN_OTHER"/>
    <x v="8"/>
    <s v="GHOB_WOODWASTE"/>
    <x v="0"/>
    <x v="2"/>
    <n v="166.8"/>
    <n v="60882"/>
    <n v="219175.2"/>
  </r>
  <r>
    <x v="0"/>
    <x v="0"/>
    <x v="0"/>
    <x v="2"/>
    <x v="3"/>
    <s v="FIN_OTHER"/>
    <x v="8"/>
    <s v="GHOB_WOODWASTE"/>
    <x v="0"/>
    <x v="3"/>
    <n v="166.8"/>
    <n v="60882"/>
    <n v="219175.2"/>
  </r>
  <r>
    <x v="0"/>
    <x v="0"/>
    <x v="0"/>
    <x v="2"/>
    <x v="3"/>
    <s v="FIN_OTHER"/>
    <x v="8"/>
    <s v="GHOB_WOODWASTE"/>
    <x v="0"/>
    <x v="12"/>
    <n v="166.8"/>
    <n v="60882"/>
    <n v="219175.2"/>
  </r>
  <r>
    <x v="0"/>
    <x v="0"/>
    <x v="0"/>
    <x v="2"/>
    <x v="3"/>
    <s v="FIN_OTHER"/>
    <x v="8"/>
    <s v="GHOB_WOODWASTE"/>
    <x v="0"/>
    <x v="13"/>
    <n v="166.8"/>
    <n v="60882"/>
    <n v="219175.2"/>
  </r>
  <r>
    <x v="0"/>
    <x v="0"/>
    <x v="0"/>
    <x v="2"/>
    <x v="3"/>
    <s v="FIN_OTHER"/>
    <x v="8"/>
    <s v="GHOB_WOODWASTE"/>
    <x v="0"/>
    <x v="14"/>
    <n v="166.8"/>
    <n v="60882"/>
    <n v="219175.2"/>
  </r>
  <r>
    <x v="0"/>
    <x v="0"/>
    <x v="0"/>
    <x v="2"/>
    <x v="3"/>
    <s v="FIN_OTHER"/>
    <x v="8"/>
    <s v="GHOB_WOODWASTE"/>
    <x v="0"/>
    <x v="15"/>
    <n v="166.8"/>
    <n v="60882"/>
    <n v="219175.2"/>
  </r>
  <r>
    <x v="0"/>
    <x v="0"/>
    <x v="0"/>
    <x v="2"/>
    <x v="3"/>
    <s v="FIN_OTHER"/>
    <x v="8"/>
    <s v="GHOB_WOODWASTE"/>
    <x v="0"/>
    <x v="4"/>
    <n v="166.8"/>
    <n v="60882"/>
    <n v="219175.2"/>
  </r>
  <r>
    <x v="0"/>
    <x v="0"/>
    <x v="0"/>
    <x v="2"/>
    <x v="3"/>
    <s v="FIN_OTHER"/>
    <x v="8"/>
    <s v="GHOB_WOODWASTE"/>
    <x v="0"/>
    <x v="16"/>
    <n v="166.8"/>
    <n v="60882"/>
    <n v="219175.2"/>
  </r>
  <r>
    <x v="0"/>
    <x v="0"/>
    <x v="0"/>
    <x v="2"/>
    <x v="3"/>
    <s v="FIN_OTHER"/>
    <x v="8"/>
    <s v="GHOB_WOODWASTE"/>
    <x v="0"/>
    <x v="5"/>
    <n v="166.8"/>
    <n v="60882"/>
    <n v="219175.2"/>
  </r>
  <r>
    <x v="0"/>
    <x v="0"/>
    <x v="0"/>
    <x v="2"/>
    <x v="3"/>
    <s v="FIN_OTHER"/>
    <x v="8"/>
    <s v="GHOB_WOODWASTE"/>
    <x v="0"/>
    <x v="17"/>
    <n v="166.8"/>
    <n v="60882"/>
    <n v="219175.2"/>
  </r>
  <r>
    <x v="0"/>
    <x v="0"/>
    <x v="0"/>
    <x v="2"/>
    <x v="3"/>
    <s v="FIN_OTHER"/>
    <x v="8"/>
    <s v="GHOB_WOODWASTE"/>
    <x v="0"/>
    <x v="18"/>
    <n v="166.8"/>
    <n v="60882"/>
    <n v="219175.2"/>
  </r>
  <r>
    <x v="0"/>
    <x v="0"/>
    <x v="0"/>
    <x v="2"/>
    <x v="3"/>
    <s v="FIN_OTHER"/>
    <x v="8"/>
    <s v="GHOB_WOODWASTE"/>
    <x v="0"/>
    <x v="19"/>
    <n v="166.8"/>
    <n v="60882"/>
    <n v="219175.2"/>
  </r>
  <r>
    <x v="0"/>
    <x v="0"/>
    <x v="0"/>
    <x v="2"/>
    <x v="3"/>
    <s v="FIN_OTHER"/>
    <x v="8"/>
    <s v="GHOB_WOODWASTE"/>
    <x v="0"/>
    <x v="20"/>
    <n v="166.8"/>
    <n v="60882"/>
    <n v="219175.2"/>
  </r>
  <r>
    <x v="0"/>
    <x v="0"/>
    <x v="0"/>
    <x v="2"/>
    <x v="3"/>
    <s v="FIN_OTHER"/>
    <x v="8"/>
    <s v="GHOB_WOODWASTE"/>
    <x v="0"/>
    <x v="21"/>
    <n v="166.8"/>
    <n v="60882"/>
    <n v="219175.2"/>
  </r>
  <r>
    <x v="0"/>
    <x v="0"/>
    <x v="0"/>
    <x v="2"/>
    <x v="3"/>
    <s v="FIN_OTHER"/>
    <x v="8"/>
    <s v="GHOB_WOODWASTE"/>
    <x v="0"/>
    <x v="22"/>
    <n v="166.8"/>
    <n v="60882"/>
    <n v="219175.2"/>
  </r>
  <r>
    <x v="0"/>
    <x v="0"/>
    <x v="0"/>
    <x v="2"/>
    <x v="3"/>
    <s v="FIN_OTHER"/>
    <x v="8"/>
    <s v="GHOB_WOODWASTE"/>
    <x v="0"/>
    <x v="23"/>
    <n v="166.8"/>
    <n v="60882"/>
    <n v="219175.2"/>
  </r>
  <r>
    <x v="0"/>
    <x v="0"/>
    <x v="0"/>
    <x v="2"/>
    <x v="3"/>
    <s v="FIN_TAMP"/>
    <x v="3"/>
    <s v="GEXT_NATGAS_TAMPERE"/>
    <x v="0"/>
    <x v="6"/>
    <n v="249.4508625128"/>
    <n v="91049.564817171995"/>
    <n v="327778.43334181898"/>
  </r>
  <r>
    <x v="0"/>
    <x v="0"/>
    <x v="0"/>
    <x v="2"/>
    <x v="3"/>
    <s v="FIN_TAMP"/>
    <x v="3"/>
    <s v="GEXT_NATGAS_TAMPERE"/>
    <x v="0"/>
    <x v="7"/>
    <n v="246.73858255495"/>
    <n v="90059.582632556907"/>
    <n v="324214.497477205"/>
  </r>
  <r>
    <x v="0"/>
    <x v="0"/>
    <x v="0"/>
    <x v="2"/>
    <x v="3"/>
    <s v="FIN_TAMP"/>
    <x v="3"/>
    <s v="GEXT_NATGAS_TAMPERE"/>
    <x v="0"/>
    <x v="8"/>
    <n v="248.40320041047701"/>
    <n v="90667.168149824007"/>
    <n v="326401.80533936602"/>
  </r>
  <r>
    <x v="0"/>
    <x v="0"/>
    <x v="0"/>
    <x v="2"/>
    <x v="3"/>
    <s v="FIN_TAMP"/>
    <x v="3"/>
    <s v="GEXT_NATGAS_TAMPERE"/>
    <x v="0"/>
    <x v="9"/>
    <n v="254.88079506431799"/>
    <n v="93031.490198475905"/>
    <n v="334913.36471451301"/>
  </r>
  <r>
    <x v="0"/>
    <x v="0"/>
    <x v="0"/>
    <x v="2"/>
    <x v="3"/>
    <s v="FIN_TAMP"/>
    <x v="3"/>
    <s v="GEXT_NATGAS_TAMPERE"/>
    <x v="0"/>
    <x v="10"/>
    <n v="269.99259146028697"/>
    <n v="98547.295883004801"/>
    <n v="354770.26517881698"/>
  </r>
  <r>
    <x v="0"/>
    <x v="0"/>
    <x v="0"/>
    <x v="2"/>
    <x v="3"/>
    <s v="FIN_TAMP"/>
    <x v="3"/>
    <s v="GEXT_NATGAS_TAMPERE"/>
    <x v="0"/>
    <x v="11"/>
    <n v="295.03040112437901"/>
    <n v="107686.09641039799"/>
    <n v="387669.94707743399"/>
  </r>
  <r>
    <x v="0"/>
    <x v="0"/>
    <x v="0"/>
    <x v="2"/>
    <x v="3"/>
    <s v="FIN_TAMP"/>
    <x v="3"/>
    <s v="GEXT_NATGAS_TAMPERE"/>
    <x v="0"/>
    <x v="0"/>
    <n v="347.77170587327799"/>
    <n v="126936.672643746"/>
    <n v="456972.02151748701"/>
  </r>
  <r>
    <x v="0"/>
    <x v="0"/>
    <x v="0"/>
    <x v="2"/>
    <x v="3"/>
    <s v="FIN_TAMP"/>
    <x v="3"/>
    <s v="GEXT_NATGAS_TAMPERE"/>
    <x v="0"/>
    <x v="1"/>
    <n v="378.64361627698298"/>
    <n v="138204.91994109901"/>
    <n v="497537.71178795502"/>
  </r>
  <r>
    <x v="0"/>
    <x v="0"/>
    <x v="0"/>
    <x v="2"/>
    <x v="3"/>
    <s v="FIN_TAMP"/>
    <x v="3"/>
    <s v="GEXT_NATGAS_TAMPERE"/>
    <x v="0"/>
    <x v="2"/>
    <n v="384.78447709880299"/>
    <n v="140446.33414106301"/>
    <n v="505606.80290782702"/>
  </r>
  <r>
    <x v="0"/>
    <x v="0"/>
    <x v="0"/>
    <x v="2"/>
    <x v="3"/>
    <s v="FIN_TAMP"/>
    <x v="3"/>
    <s v="GEXT_NATGAS_TAMPERE"/>
    <x v="0"/>
    <x v="3"/>
    <n v="387.018865007356"/>
    <n v="141261.885727685"/>
    <n v="508542.78861966502"/>
  </r>
  <r>
    <x v="0"/>
    <x v="0"/>
    <x v="0"/>
    <x v="2"/>
    <x v="3"/>
    <s v="FIN_TAMP"/>
    <x v="3"/>
    <s v="GEXT_NATGAS_TAMPERE"/>
    <x v="0"/>
    <x v="12"/>
    <n v="375.70167691435699"/>
    <n v="137131.11207373999"/>
    <n v="493672.00346546498"/>
  </r>
  <r>
    <x v="0"/>
    <x v="0"/>
    <x v="0"/>
    <x v="2"/>
    <x v="3"/>
    <s v="FIN_TAMP"/>
    <x v="3"/>
    <s v="GEXT_NATGAS_TAMPERE"/>
    <x v="0"/>
    <x v="13"/>
    <n v="369.003462689554"/>
    <n v="134686.26388168699"/>
    <n v="484870.54997407401"/>
  </r>
  <r>
    <x v="0"/>
    <x v="0"/>
    <x v="0"/>
    <x v="2"/>
    <x v="3"/>
    <s v="FIN_TAMP"/>
    <x v="3"/>
    <s v="GEXT_NATGAS_TAMPERE"/>
    <x v="0"/>
    <x v="14"/>
    <n v="366.33109067394099"/>
    <n v="133710.84809598801"/>
    <n v="481359.05314555799"/>
  </r>
  <r>
    <x v="0"/>
    <x v="0"/>
    <x v="0"/>
    <x v="2"/>
    <x v="3"/>
    <s v="FIN_TAMP"/>
    <x v="3"/>
    <s v="GEXT_NATGAS_TAMPERE"/>
    <x v="0"/>
    <x v="15"/>
    <n v="365.68258243701001"/>
    <n v="133474.142589508"/>
    <n v="480506.91332223098"/>
  </r>
  <r>
    <x v="0"/>
    <x v="0"/>
    <x v="0"/>
    <x v="2"/>
    <x v="3"/>
    <s v="FIN_TAMP"/>
    <x v="3"/>
    <s v="GEXT_NATGAS_TAMPERE"/>
    <x v="0"/>
    <x v="4"/>
    <n v="367.63536037529798"/>
    <n v="134186.906536984"/>
    <n v="483072.86353314098"/>
  </r>
  <r>
    <x v="0"/>
    <x v="0"/>
    <x v="0"/>
    <x v="2"/>
    <x v="3"/>
    <s v="FIN_TAMP"/>
    <x v="3"/>
    <s v="GEXT_NATGAS_TAMPERE"/>
    <x v="0"/>
    <x v="16"/>
    <n v="380.213682942692"/>
    <n v="138777.994274083"/>
    <n v="499600.77938669798"/>
  </r>
  <r>
    <x v="0"/>
    <x v="0"/>
    <x v="0"/>
    <x v="2"/>
    <x v="3"/>
    <s v="FIN_TAMP"/>
    <x v="3"/>
    <s v="GEXT_NATGAS_TAMPERE"/>
    <x v="0"/>
    <x v="5"/>
    <n v="367.36971727981802"/>
    <n v="134089.94680713399"/>
    <n v="482723.80850568099"/>
  </r>
  <r>
    <x v="0"/>
    <x v="0"/>
    <x v="0"/>
    <x v="2"/>
    <x v="3"/>
    <s v="FIN_TAMP"/>
    <x v="3"/>
    <s v="GEXT_NATGAS_TAMPERE"/>
    <x v="0"/>
    <x v="17"/>
    <n v="358.69343421338198"/>
    <n v="130923.103487885"/>
    <n v="471323.172556384"/>
  </r>
  <r>
    <x v="0"/>
    <x v="0"/>
    <x v="0"/>
    <x v="2"/>
    <x v="3"/>
    <s v="FIN_TAMP"/>
    <x v="3"/>
    <s v="GEXT_NATGAS_TAMPERE"/>
    <x v="0"/>
    <x v="18"/>
    <n v="360.61770549540898"/>
    <n v="131625.46250582399"/>
    <n v="473851.66502096801"/>
  </r>
  <r>
    <x v="0"/>
    <x v="0"/>
    <x v="0"/>
    <x v="2"/>
    <x v="3"/>
    <s v="FIN_TAMP"/>
    <x v="3"/>
    <s v="GEXT_NATGAS_TAMPERE"/>
    <x v="0"/>
    <x v="19"/>
    <n v="354.88076200792301"/>
    <n v="129531.47813289201"/>
    <n v="466313.32127841102"/>
  </r>
  <r>
    <x v="0"/>
    <x v="0"/>
    <x v="0"/>
    <x v="2"/>
    <x v="3"/>
    <s v="FIN_TAMP"/>
    <x v="3"/>
    <s v="GEXT_NATGAS_TAMPERE"/>
    <x v="0"/>
    <x v="20"/>
    <n v="346.970826719196"/>
    <n v="126644.351752506"/>
    <n v="455919.66630902298"/>
  </r>
  <r>
    <x v="0"/>
    <x v="0"/>
    <x v="0"/>
    <x v="2"/>
    <x v="3"/>
    <s v="FIN_TAMP"/>
    <x v="3"/>
    <s v="GEXT_NATGAS_TAMPERE"/>
    <x v="0"/>
    <x v="21"/>
    <n v="341.50436489545802"/>
    <n v="124649.093186842"/>
    <n v="448736.73547263199"/>
  </r>
  <r>
    <x v="0"/>
    <x v="0"/>
    <x v="0"/>
    <x v="2"/>
    <x v="3"/>
    <s v="FIN_TAMP"/>
    <x v="3"/>
    <s v="GEXT_NATGAS_TAMPERE"/>
    <x v="0"/>
    <x v="22"/>
    <n v="323.83458744838401"/>
    <n v="118199.62441865999"/>
    <n v="425518.647907176"/>
  </r>
  <r>
    <x v="0"/>
    <x v="0"/>
    <x v="0"/>
    <x v="2"/>
    <x v="3"/>
    <s v="FIN_TAMP"/>
    <x v="3"/>
    <s v="GEXT_NATGAS_TAMPERE"/>
    <x v="0"/>
    <x v="23"/>
    <n v="307.30592249655098"/>
    <n v="112166.661711241"/>
    <n v="403799.982160468"/>
  </r>
  <r>
    <x v="0"/>
    <x v="0"/>
    <x v="0"/>
    <x v="2"/>
    <x v="3"/>
    <s v="FinA"/>
    <x v="3"/>
    <s v="GBPR_NATGAS_IND"/>
    <x v="0"/>
    <x v="6"/>
    <n v="335.45454545454498"/>
    <n v="122440.909090909"/>
    <n v="440787.272727273"/>
  </r>
  <r>
    <x v="0"/>
    <x v="0"/>
    <x v="0"/>
    <x v="2"/>
    <x v="3"/>
    <s v="FinA"/>
    <x v="3"/>
    <s v="GBPR_NATGAS_IND"/>
    <x v="0"/>
    <x v="7"/>
    <n v="335.45454545454498"/>
    <n v="122440.909090909"/>
    <n v="440787.272727273"/>
  </r>
  <r>
    <x v="0"/>
    <x v="0"/>
    <x v="0"/>
    <x v="2"/>
    <x v="3"/>
    <s v="FinA"/>
    <x v="3"/>
    <s v="GBPR_NATGAS_IND"/>
    <x v="0"/>
    <x v="8"/>
    <n v="335.45454545454498"/>
    <n v="122440.909090909"/>
    <n v="440787.272727273"/>
  </r>
  <r>
    <x v="0"/>
    <x v="0"/>
    <x v="0"/>
    <x v="2"/>
    <x v="3"/>
    <s v="FinA"/>
    <x v="3"/>
    <s v="GBPR_NATGAS_IND"/>
    <x v="0"/>
    <x v="9"/>
    <n v="335.45454545454498"/>
    <n v="122440.909090909"/>
    <n v="440787.272727273"/>
  </r>
  <r>
    <x v="0"/>
    <x v="0"/>
    <x v="0"/>
    <x v="2"/>
    <x v="3"/>
    <s v="FinA"/>
    <x v="3"/>
    <s v="GBPR_NATGAS_IND"/>
    <x v="0"/>
    <x v="10"/>
    <n v="335.45454545454498"/>
    <n v="122440.909090909"/>
    <n v="440787.272727273"/>
  </r>
  <r>
    <x v="0"/>
    <x v="0"/>
    <x v="0"/>
    <x v="2"/>
    <x v="3"/>
    <s v="FinA"/>
    <x v="3"/>
    <s v="GBPR_NATGAS_IND"/>
    <x v="0"/>
    <x v="11"/>
    <n v="335.45454545454498"/>
    <n v="122440.909090909"/>
    <n v="440787.272727273"/>
  </r>
  <r>
    <x v="0"/>
    <x v="0"/>
    <x v="0"/>
    <x v="2"/>
    <x v="3"/>
    <s v="FinA"/>
    <x v="3"/>
    <s v="GBPR_NATGAS_IND"/>
    <x v="0"/>
    <x v="0"/>
    <n v="335.45454545454498"/>
    <n v="122440.909090909"/>
    <n v="440787.272727273"/>
  </r>
  <r>
    <x v="0"/>
    <x v="0"/>
    <x v="0"/>
    <x v="2"/>
    <x v="3"/>
    <s v="FinA"/>
    <x v="3"/>
    <s v="GBPR_NATGAS_IND"/>
    <x v="0"/>
    <x v="1"/>
    <n v="335.45454545454498"/>
    <n v="122440.909090909"/>
    <n v="440787.272727273"/>
  </r>
  <r>
    <x v="0"/>
    <x v="0"/>
    <x v="0"/>
    <x v="2"/>
    <x v="3"/>
    <s v="FinA"/>
    <x v="3"/>
    <s v="GBPR_NATGAS_IND"/>
    <x v="0"/>
    <x v="2"/>
    <n v="335.45454545454498"/>
    <n v="122440.909090909"/>
    <n v="440787.272727273"/>
  </r>
  <r>
    <x v="0"/>
    <x v="0"/>
    <x v="0"/>
    <x v="2"/>
    <x v="3"/>
    <s v="FinA"/>
    <x v="3"/>
    <s v="GBPR_NATGAS_IND"/>
    <x v="0"/>
    <x v="3"/>
    <n v="335.45454545454498"/>
    <n v="122440.909090909"/>
    <n v="440787.272727273"/>
  </r>
  <r>
    <x v="0"/>
    <x v="0"/>
    <x v="0"/>
    <x v="2"/>
    <x v="3"/>
    <s v="FinA"/>
    <x v="3"/>
    <s v="GBPR_NATGAS_IND"/>
    <x v="0"/>
    <x v="12"/>
    <n v="335.45454545454498"/>
    <n v="122440.909090909"/>
    <n v="440787.272727273"/>
  </r>
  <r>
    <x v="0"/>
    <x v="0"/>
    <x v="0"/>
    <x v="2"/>
    <x v="3"/>
    <s v="FinA"/>
    <x v="3"/>
    <s v="GBPR_NATGAS_IND"/>
    <x v="0"/>
    <x v="13"/>
    <n v="335.45454545454498"/>
    <n v="122440.909090909"/>
    <n v="440787.272727273"/>
  </r>
  <r>
    <x v="0"/>
    <x v="0"/>
    <x v="0"/>
    <x v="2"/>
    <x v="3"/>
    <s v="FinA"/>
    <x v="3"/>
    <s v="GBPR_NATGAS_IND"/>
    <x v="0"/>
    <x v="14"/>
    <n v="335.45454545454498"/>
    <n v="122440.909090909"/>
    <n v="440787.272727273"/>
  </r>
  <r>
    <x v="0"/>
    <x v="0"/>
    <x v="0"/>
    <x v="2"/>
    <x v="3"/>
    <s v="FinA"/>
    <x v="3"/>
    <s v="GBPR_NATGAS_IND"/>
    <x v="0"/>
    <x v="15"/>
    <n v="335.45454545454498"/>
    <n v="122440.909090909"/>
    <n v="440787.272727273"/>
  </r>
  <r>
    <x v="0"/>
    <x v="0"/>
    <x v="0"/>
    <x v="2"/>
    <x v="3"/>
    <s v="FinA"/>
    <x v="3"/>
    <s v="GBPR_NATGAS_IND"/>
    <x v="0"/>
    <x v="4"/>
    <n v="335.45454545454498"/>
    <n v="122440.909090909"/>
    <n v="440787.272727273"/>
  </r>
  <r>
    <x v="0"/>
    <x v="0"/>
    <x v="0"/>
    <x v="2"/>
    <x v="3"/>
    <s v="FinA"/>
    <x v="3"/>
    <s v="GBPR_NATGAS_IND"/>
    <x v="0"/>
    <x v="16"/>
    <n v="335.45454545454498"/>
    <n v="122440.909090909"/>
    <n v="440787.272727273"/>
  </r>
  <r>
    <x v="0"/>
    <x v="0"/>
    <x v="0"/>
    <x v="2"/>
    <x v="3"/>
    <s v="FinA"/>
    <x v="3"/>
    <s v="GBPR_NATGAS_IND"/>
    <x v="0"/>
    <x v="5"/>
    <n v="335.45454545454498"/>
    <n v="122440.909090909"/>
    <n v="440787.272727273"/>
  </r>
  <r>
    <x v="0"/>
    <x v="0"/>
    <x v="0"/>
    <x v="2"/>
    <x v="3"/>
    <s v="FinA"/>
    <x v="3"/>
    <s v="GBPR_NATGAS_IND"/>
    <x v="0"/>
    <x v="17"/>
    <n v="335.45454545454498"/>
    <n v="122440.909090909"/>
    <n v="440787.272727273"/>
  </r>
  <r>
    <x v="0"/>
    <x v="0"/>
    <x v="0"/>
    <x v="2"/>
    <x v="3"/>
    <s v="FinA"/>
    <x v="3"/>
    <s v="GBPR_NATGAS_IND"/>
    <x v="0"/>
    <x v="18"/>
    <n v="335.45454545454498"/>
    <n v="122440.909090909"/>
    <n v="440787.272727273"/>
  </r>
  <r>
    <x v="0"/>
    <x v="0"/>
    <x v="0"/>
    <x v="2"/>
    <x v="3"/>
    <s v="FinA"/>
    <x v="3"/>
    <s v="GBPR_NATGAS_IND"/>
    <x v="0"/>
    <x v="19"/>
    <n v="335.45454545454498"/>
    <n v="122440.909090909"/>
    <n v="440787.272727273"/>
  </r>
  <r>
    <x v="0"/>
    <x v="0"/>
    <x v="0"/>
    <x v="2"/>
    <x v="3"/>
    <s v="FinA"/>
    <x v="3"/>
    <s v="GBPR_NATGAS_IND"/>
    <x v="0"/>
    <x v="20"/>
    <n v="335.45454545454498"/>
    <n v="122440.909090909"/>
    <n v="440787.272727273"/>
  </r>
  <r>
    <x v="0"/>
    <x v="0"/>
    <x v="0"/>
    <x v="2"/>
    <x v="3"/>
    <s v="FinA"/>
    <x v="3"/>
    <s v="GBPR_NATGAS_IND"/>
    <x v="0"/>
    <x v="21"/>
    <n v="335.45454545454498"/>
    <n v="122440.909090909"/>
    <n v="440787.272727273"/>
  </r>
  <r>
    <x v="0"/>
    <x v="0"/>
    <x v="0"/>
    <x v="2"/>
    <x v="3"/>
    <s v="FinA"/>
    <x v="3"/>
    <s v="GBPR_NATGAS_IND"/>
    <x v="0"/>
    <x v="22"/>
    <n v="335.45454545454498"/>
    <n v="122440.909090909"/>
    <n v="440787.272727273"/>
  </r>
  <r>
    <x v="0"/>
    <x v="0"/>
    <x v="0"/>
    <x v="2"/>
    <x v="3"/>
    <s v="FinA"/>
    <x v="3"/>
    <s v="GBPR_NATGAS_IND"/>
    <x v="0"/>
    <x v="23"/>
    <n v="335.45454545454498"/>
    <n v="122440.909090909"/>
    <n v="440787.272727273"/>
  </r>
  <r>
    <x v="0"/>
    <x v="0"/>
    <x v="0"/>
    <x v="2"/>
    <x v="3"/>
    <s v="FinA"/>
    <x v="10"/>
    <s v="GBPR_IND_BIO"/>
    <x v="0"/>
    <x v="0"/>
    <n v="681.81818181818198"/>
    <n v="248863.636363636"/>
    <n v="895909.09090909106"/>
  </r>
  <r>
    <x v="0"/>
    <x v="0"/>
    <x v="0"/>
    <x v="2"/>
    <x v="3"/>
    <s v="FinA"/>
    <x v="10"/>
    <s v="GBPR_IND_BIO"/>
    <x v="0"/>
    <x v="1"/>
    <n v="681.81818181818198"/>
    <n v="248863.636363636"/>
    <n v="895909.09090909106"/>
  </r>
  <r>
    <x v="0"/>
    <x v="0"/>
    <x v="0"/>
    <x v="2"/>
    <x v="3"/>
    <s v="FinA"/>
    <x v="10"/>
    <s v="GBPR_IND_BIO"/>
    <x v="0"/>
    <x v="2"/>
    <n v="681.81818181818198"/>
    <n v="248863.636363636"/>
    <n v="895909.09090909106"/>
  </r>
  <r>
    <x v="0"/>
    <x v="0"/>
    <x v="0"/>
    <x v="2"/>
    <x v="3"/>
    <s v="FinA"/>
    <x v="10"/>
    <s v="GBPR_IND_BIO"/>
    <x v="0"/>
    <x v="3"/>
    <n v="681.81818181818198"/>
    <n v="248863.636363636"/>
    <n v="895909.09090909106"/>
  </r>
  <r>
    <x v="0"/>
    <x v="0"/>
    <x v="0"/>
    <x v="2"/>
    <x v="3"/>
    <s v="FinA"/>
    <x v="10"/>
    <s v="GBPR_IND_BIO"/>
    <x v="0"/>
    <x v="12"/>
    <n v="681.81818181818198"/>
    <n v="248863.636363636"/>
    <n v="895909.09090909106"/>
  </r>
  <r>
    <x v="0"/>
    <x v="0"/>
    <x v="0"/>
    <x v="2"/>
    <x v="3"/>
    <s v="FinA"/>
    <x v="10"/>
    <s v="GBPR_IND_BIO"/>
    <x v="0"/>
    <x v="13"/>
    <n v="681.81818181818198"/>
    <n v="248863.636363636"/>
    <n v="895909.09090909106"/>
  </r>
  <r>
    <x v="0"/>
    <x v="0"/>
    <x v="0"/>
    <x v="2"/>
    <x v="3"/>
    <s v="FinA"/>
    <x v="10"/>
    <s v="GBPR_IND_BIO"/>
    <x v="0"/>
    <x v="14"/>
    <n v="681.81818181818198"/>
    <n v="248863.636363636"/>
    <n v="895909.09090909106"/>
  </r>
  <r>
    <x v="0"/>
    <x v="0"/>
    <x v="0"/>
    <x v="2"/>
    <x v="3"/>
    <s v="FinA"/>
    <x v="10"/>
    <s v="GBPR_IND_BIO"/>
    <x v="0"/>
    <x v="15"/>
    <n v="681.81818181818198"/>
    <n v="248863.636363636"/>
    <n v="895909.09090909106"/>
  </r>
  <r>
    <x v="0"/>
    <x v="0"/>
    <x v="0"/>
    <x v="2"/>
    <x v="3"/>
    <s v="FinA"/>
    <x v="10"/>
    <s v="GBPR_IND_BIO"/>
    <x v="0"/>
    <x v="4"/>
    <n v="681.81818181818198"/>
    <n v="248863.636363636"/>
    <n v="895909.09090909106"/>
  </r>
  <r>
    <x v="0"/>
    <x v="0"/>
    <x v="0"/>
    <x v="2"/>
    <x v="3"/>
    <s v="FinA"/>
    <x v="10"/>
    <s v="GBPR_IND_BIO"/>
    <x v="0"/>
    <x v="16"/>
    <n v="681.81818181818198"/>
    <n v="248863.636363636"/>
    <n v="895909.09090909106"/>
  </r>
  <r>
    <x v="0"/>
    <x v="0"/>
    <x v="0"/>
    <x v="2"/>
    <x v="3"/>
    <s v="FinA"/>
    <x v="10"/>
    <s v="GBPR_IND_BIO"/>
    <x v="0"/>
    <x v="5"/>
    <n v="681.81818181818198"/>
    <n v="248863.636363636"/>
    <n v="895909.09090909106"/>
  </r>
  <r>
    <x v="0"/>
    <x v="0"/>
    <x v="0"/>
    <x v="2"/>
    <x v="3"/>
    <s v="FinA"/>
    <x v="10"/>
    <s v="GBPR_IND_BIO"/>
    <x v="0"/>
    <x v="17"/>
    <n v="681.81818181818198"/>
    <n v="248863.636363636"/>
    <n v="895909.09090909106"/>
  </r>
  <r>
    <x v="0"/>
    <x v="0"/>
    <x v="0"/>
    <x v="2"/>
    <x v="3"/>
    <s v="FinA"/>
    <x v="10"/>
    <s v="GBPR_IND_BIO"/>
    <x v="0"/>
    <x v="18"/>
    <n v="681.81818181818198"/>
    <n v="248863.636363636"/>
    <n v="895909.09090909106"/>
  </r>
  <r>
    <x v="0"/>
    <x v="0"/>
    <x v="0"/>
    <x v="2"/>
    <x v="3"/>
    <s v="FinA"/>
    <x v="10"/>
    <s v="GBPR_IND_BIO"/>
    <x v="0"/>
    <x v="19"/>
    <n v="681.81818181818198"/>
    <n v="248863.636363636"/>
    <n v="895909.09090909106"/>
  </r>
  <r>
    <x v="0"/>
    <x v="0"/>
    <x v="0"/>
    <x v="2"/>
    <x v="3"/>
    <s v="FinA"/>
    <x v="10"/>
    <s v="GBPR_WOOD_IND"/>
    <x v="0"/>
    <x v="6"/>
    <n v="941.28825688326503"/>
    <n v="343570.213762392"/>
    <n v="1236852.7695446101"/>
  </r>
  <r>
    <x v="0"/>
    <x v="0"/>
    <x v="0"/>
    <x v="2"/>
    <x v="3"/>
    <s v="FinA"/>
    <x v="10"/>
    <s v="GBPR_WOOD_IND"/>
    <x v="0"/>
    <x v="7"/>
    <n v="205.37613779648899"/>
    <n v="74962.290295718602"/>
    <n v="269864.24506458698"/>
  </r>
  <r>
    <x v="0"/>
    <x v="0"/>
    <x v="0"/>
    <x v="2"/>
    <x v="3"/>
    <s v="FinA"/>
    <x v="10"/>
    <s v="GBPR_WOOD_IND"/>
    <x v="0"/>
    <x v="8"/>
    <n v="96.563728643188"/>
    <n v="35245.760954763602"/>
    <n v="126884.73943714899"/>
  </r>
  <r>
    <x v="0"/>
    <x v="0"/>
    <x v="0"/>
    <x v="2"/>
    <x v="3"/>
    <s v="FinA"/>
    <x v="10"/>
    <s v="GBPR_WOOD_IND"/>
    <x v="0"/>
    <x v="9"/>
    <n v="319.82206869739201"/>
    <n v="116735.055074548"/>
    <n v="420246.19826837402"/>
  </r>
  <r>
    <x v="0"/>
    <x v="0"/>
    <x v="0"/>
    <x v="2"/>
    <x v="3"/>
    <s v="FinA"/>
    <x v="10"/>
    <s v="GBPR_WOOD_IND"/>
    <x v="0"/>
    <x v="10"/>
    <n v="1519.6521091296199"/>
    <n v="554673.01983231097"/>
    <n v="1996822.8713963199"/>
  </r>
  <r>
    <x v="0"/>
    <x v="0"/>
    <x v="0"/>
    <x v="2"/>
    <x v="3"/>
    <s v="FinA"/>
    <x v="10"/>
    <s v="GBPR_WOOD_IND"/>
    <x v="0"/>
    <x v="11"/>
    <n v="2495.9459459459499"/>
    <n v="911020.27027026995"/>
    <n v="3279672.97297297"/>
  </r>
  <r>
    <x v="0"/>
    <x v="0"/>
    <x v="0"/>
    <x v="2"/>
    <x v="3"/>
    <s v="FinA"/>
    <x v="10"/>
    <s v="GBPR_WOOD_IND"/>
    <x v="0"/>
    <x v="0"/>
    <n v="2495.9459459459499"/>
    <n v="911020.27027026995"/>
    <n v="3279672.97297297"/>
  </r>
  <r>
    <x v="0"/>
    <x v="0"/>
    <x v="0"/>
    <x v="2"/>
    <x v="3"/>
    <s v="FinA"/>
    <x v="10"/>
    <s v="GBPR_WOOD_IND"/>
    <x v="0"/>
    <x v="1"/>
    <n v="2495.9459459459499"/>
    <n v="911020.27027026995"/>
    <n v="3279672.97297297"/>
  </r>
  <r>
    <x v="0"/>
    <x v="0"/>
    <x v="0"/>
    <x v="2"/>
    <x v="3"/>
    <s v="FinA"/>
    <x v="10"/>
    <s v="GBPR_WOOD_IND"/>
    <x v="0"/>
    <x v="2"/>
    <n v="2495.9459459459499"/>
    <n v="911020.27027026995"/>
    <n v="3279672.97297297"/>
  </r>
  <r>
    <x v="0"/>
    <x v="0"/>
    <x v="0"/>
    <x v="2"/>
    <x v="3"/>
    <s v="FinA"/>
    <x v="10"/>
    <s v="GBPR_WOOD_IND"/>
    <x v="0"/>
    <x v="3"/>
    <n v="2495.9459459459499"/>
    <n v="911020.27027026995"/>
    <n v="3279672.97297297"/>
  </r>
  <r>
    <x v="0"/>
    <x v="0"/>
    <x v="0"/>
    <x v="2"/>
    <x v="3"/>
    <s v="FinA"/>
    <x v="10"/>
    <s v="GBPR_WOOD_IND"/>
    <x v="0"/>
    <x v="12"/>
    <n v="2495.9459459459499"/>
    <n v="911020.27027026995"/>
    <n v="3279672.97297297"/>
  </r>
  <r>
    <x v="0"/>
    <x v="0"/>
    <x v="0"/>
    <x v="2"/>
    <x v="3"/>
    <s v="FinA"/>
    <x v="10"/>
    <s v="GBPR_WOOD_IND"/>
    <x v="0"/>
    <x v="13"/>
    <n v="2495.9459459459499"/>
    <n v="911020.27027026995"/>
    <n v="3279672.97297297"/>
  </r>
  <r>
    <x v="0"/>
    <x v="0"/>
    <x v="0"/>
    <x v="2"/>
    <x v="3"/>
    <s v="FinA"/>
    <x v="10"/>
    <s v="GBPR_WOOD_IND"/>
    <x v="0"/>
    <x v="14"/>
    <n v="2495.9459459459499"/>
    <n v="911020.27027026995"/>
    <n v="3279672.97297297"/>
  </r>
  <r>
    <x v="0"/>
    <x v="0"/>
    <x v="0"/>
    <x v="2"/>
    <x v="3"/>
    <s v="FinA"/>
    <x v="10"/>
    <s v="GBPR_WOOD_IND"/>
    <x v="0"/>
    <x v="15"/>
    <n v="2495.9459459459499"/>
    <n v="911020.27027026995"/>
    <n v="3279672.97297297"/>
  </r>
  <r>
    <x v="0"/>
    <x v="0"/>
    <x v="0"/>
    <x v="2"/>
    <x v="3"/>
    <s v="FinA"/>
    <x v="10"/>
    <s v="GBPR_WOOD_IND"/>
    <x v="0"/>
    <x v="4"/>
    <n v="2495.9459459459499"/>
    <n v="911020.27027026995"/>
    <n v="3279672.97297297"/>
  </r>
  <r>
    <x v="0"/>
    <x v="0"/>
    <x v="0"/>
    <x v="2"/>
    <x v="3"/>
    <s v="FinA"/>
    <x v="10"/>
    <s v="GBPR_WOOD_IND"/>
    <x v="0"/>
    <x v="16"/>
    <n v="2495.9459459459499"/>
    <n v="911020.27027026995"/>
    <n v="3279672.97297297"/>
  </r>
  <r>
    <x v="0"/>
    <x v="0"/>
    <x v="0"/>
    <x v="2"/>
    <x v="3"/>
    <s v="FinA"/>
    <x v="10"/>
    <s v="GBPR_WOOD_IND"/>
    <x v="0"/>
    <x v="5"/>
    <n v="2495.9459459459499"/>
    <n v="911020.27027026995"/>
    <n v="3279672.97297297"/>
  </r>
  <r>
    <x v="0"/>
    <x v="0"/>
    <x v="0"/>
    <x v="2"/>
    <x v="3"/>
    <s v="FinA"/>
    <x v="10"/>
    <s v="GBPR_WOOD_IND"/>
    <x v="0"/>
    <x v="17"/>
    <n v="2495.9459459459499"/>
    <n v="911020.27027026995"/>
    <n v="3279672.97297297"/>
  </r>
  <r>
    <x v="0"/>
    <x v="0"/>
    <x v="0"/>
    <x v="2"/>
    <x v="3"/>
    <s v="FinA"/>
    <x v="10"/>
    <s v="GBPR_WOOD_IND"/>
    <x v="0"/>
    <x v="18"/>
    <n v="2495.9459459459499"/>
    <n v="911020.27027026995"/>
    <n v="3279672.97297297"/>
  </r>
  <r>
    <x v="0"/>
    <x v="0"/>
    <x v="0"/>
    <x v="2"/>
    <x v="3"/>
    <s v="FinA"/>
    <x v="10"/>
    <s v="GBPR_WOOD_IND"/>
    <x v="0"/>
    <x v="19"/>
    <n v="2495.9459459459499"/>
    <n v="911020.27027026995"/>
    <n v="3279672.97297297"/>
  </r>
  <r>
    <x v="0"/>
    <x v="0"/>
    <x v="0"/>
    <x v="2"/>
    <x v="3"/>
    <s v="FinA"/>
    <x v="10"/>
    <s v="GBPR_WOOD_IND"/>
    <x v="0"/>
    <x v="20"/>
    <n v="2495.9459459459499"/>
    <n v="911020.27027026995"/>
    <n v="3279672.97297297"/>
  </r>
  <r>
    <x v="0"/>
    <x v="0"/>
    <x v="0"/>
    <x v="2"/>
    <x v="3"/>
    <s v="FinA"/>
    <x v="10"/>
    <s v="GBPR_WOOD_IND"/>
    <x v="0"/>
    <x v="21"/>
    <n v="2495.9459459459499"/>
    <n v="911020.27027026995"/>
    <n v="3279672.97297297"/>
  </r>
  <r>
    <x v="0"/>
    <x v="0"/>
    <x v="0"/>
    <x v="2"/>
    <x v="3"/>
    <s v="FinA"/>
    <x v="10"/>
    <s v="GBPR_WOOD_IND"/>
    <x v="0"/>
    <x v="22"/>
    <n v="1902.2434039479699"/>
    <n v="694318.84244101006"/>
    <n v="2499547.8327876399"/>
  </r>
  <r>
    <x v="0"/>
    <x v="0"/>
    <x v="0"/>
    <x v="2"/>
    <x v="3"/>
    <s v="FinA"/>
    <x v="10"/>
    <s v="GBPR_WOOD_IND"/>
    <x v="0"/>
    <x v="23"/>
    <n v="1178.4903079451201"/>
    <n v="430148.96239996998"/>
    <n v="1548536.2646398901"/>
  </r>
  <r>
    <x v="0"/>
    <x v="0"/>
    <x v="0"/>
    <x v="3"/>
    <x v="4"/>
    <s v="DE4-E_A"/>
    <x v="9"/>
    <s v="GNR_ENG_BGAS_BP_E-45"/>
    <x v="0"/>
    <x v="0"/>
    <n v="3.1341463414634099"/>
    <n v="1143.96341463415"/>
    <n v="4118.2682926829302"/>
  </r>
  <r>
    <x v="0"/>
    <x v="0"/>
    <x v="0"/>
    <x v="3"/>
    <x v="4"/>
    <s v="DE4-E_A"/>
    <x v="9"/>
    <s v="GNR_ENG_BGAS_BP_E-45"/>
    <x v="0"/>
    <x v="1"/>
    <n v="3.1341463414634099"/>
    <n v="1143.96341463415"/>
    <n v="4118.2682926829302"/>
  </r>
  <r>
    <x v="0"/>
    <x v="0"/>
    <x v="0"/>
    <x v="3"/>
    <x v="4"/>
    <s v="DE4-E_A"/>
    <x v="9"/>
    <s v="GNR_ENG_BGAS_BP_E-45"/>
    <x v="0"/>
    <x v="2"/>
    <n v="3.1341463414634099"/>
    <n v="1143.96341463415"/>
    <n v="4118.2682926829302"/>
  </r>
  <r>
    <x v="0"/>
    <x v="0"/>
    <x v="0"/>
    <x v="3"/>
    <x v="4"/>
    <s v="DE4-E_A"/>
    <x v="9"/>
    <s v="GNR_ENG_BGAS_BP_E-45"/>
    <x v="0"/>
    <x v="3"/>
    <n v="3.1341463414634099"/>
    <n v="1143.96341463415"/>
    <n v="4118.2682926829302"/>
  </r>
  <r>
    <x v="0"/>
    <x v="0"/>
    <x v="0"/>
    <x v="3"/>
    <x v="4"/>
    <s v="DE4-E_A"/>
    <x v="9"/>
    <s v="GNR_ENG_BGAS_BP_E-45"/>
    <x v="0"/>
    <x v="12"/>
    <n v="3.1341463414634099"/>
    <n v="1143.96341463415"/>
    <n v="4118.2682926829302"/>
  </r>
  <r>
    <x v="0"/>
    <x v="0"/>
    <x v="0"/>
    <x v="3"/>
    <x v="4"/>
    <s v="DE4-E_A"/>
    <x v="9"/>
    <s v="GNR_ENG_BGAS_BP_E-45"/>
    <x v="0"/>
    <x v="4"/>
    <n v="3.1341463414634099"/>
    <n v="1143.96341463415"/>
    <n v="4118.2682926829302"/>
  </r>
  <r>
    <x v="0"/>
    <x v="0"/>
    <x v="0"/>
    <x v="3"/>
    <x v="4"/>
    <s v="DE4-E_A"/>
    <x v="9"/>
    <s v="GNR_ENG_BGAS_BP_E-45"/>
    <x v="0"/>
    <x v="16"/>
    <n v="3.1341463414634099"/>
    <n v="1143.96341463415"/>
    <n v="4118.2682926829302"/>
  </r>
  <r>
    <x v="0"/>
    <x v="0"/>
    <x v="0"/>
    <x v="3"/>
    <x v="4"/>
    <s v="DE4-E_A"/>
    <x v="9"/>
    <s v="GNR_ENG_BGAS_BP_E-45"/>
    <x v="0"/>
    <x v="5"/>
    <n v="3.1341463414634099"/>
    <n v="1143.96341463415"/>
    <n v="4118.2682926829302"/>
  </r>
  <r>
    <x v="0"/>
    <x v="0"/>
    <x v="0"/>
    <x v="3"/>
    <x v="4"/>
    <s v="DE4-E_A"/>
    <x v="9"/>
    <s v="GNR_ENG_BGAS_BP_E-45"/>
    <x v="0"/>
    <x v="17"/>
    <n v="3.1341463414634099"/>
    <n v="1143.96341463415"/>
    <n v="4118.2682926829302"/>
  </r>
  <r>
    <x v="0"/>
    <x v="0"/>
    <x v="0"/>
    <x v="3"/>
    <x v="4"/>
    <s v="DE4-E_A"/>
    <x v="9"/>
    <s v="GNR_ENG_BGAS_BP_E-45"/>
    <x v="0"/>
    <x v="18"/>
    <n v="3.1341463414634099"/>
    <n v="1143.96341463415"/>
    <n v="4118.2682926829302"/>
  </r>
  <r>
    <x v="0"/>
    <x v="0"/>
    <x v="0"/>
    <x v="3"/>
    <x v="4"/>
    <s v="DE4-E_A"/>
    <x v="9"/>
    <s v="GNR_ENG_BGAS_BP_E-45"/>
    <x v="0"/>
    <x v="19"/>
    <n v="3.1341463414634099"/>
    <n v="1143.96341463415"/>
    <n v="4118.2682926829302"/>
  </r>
  <r>
    <x v="0"/>
    <x v="0"/>
    <x v="0"/>
    <x v="3"/>
    <x v="4"/>
    <s v="DE4-E_A"/>
    <x v="9"/>
    <s v="GNR_ST_BGAS_BP_E-38"/>
    <x v="0"/>
    <x v="0"/>
    <n v="329.142857142857"/>
    <n v="120137.142857143"/>
    <n v="432493.71428571403"/>
  </r>
  <r>
    <x v="0"/>
    <x v="0"/>
    <x v="0"/>
    <x v="3"/>
    <x v="4"/>
    <s v="DE4-E_A"/>
    <x v="9"/>
    <s v="GNR_ST_BGAS_BP_E-38"/>
    <x v="0"/>
    <x v="1"/>
    <n v="329.142857142857"/>
    <n v="120137.142857143"/>
    <n v="432493.71428571403"/>
  </r>
  <r>
    <x v="0"/>
    <x v="0"/>
    <x v="0"/>
    <x v="3"/>
    <x v="4"/>
    <s v="DE4-E_A"/>
    <x v="9"/>
    <s v="GNR_ST_BGAS_BP_E-38"/>
    <x v="0"/>
    <x v="2"/>
    <n v="329.142857142857"/>
    <n v="120137.142857143"/>
    <n v="432493.71428571403"/>
  </r>
  <r>
    <x v="0"/>
    <x v="0"/>
    <x v="0"/>
    <x v="3"/>
    <x v="4"/>
    <s v="DE4-E_A"/>
    <x v="9"/>
    <s v="GNR_ST_BGAS_BP_E-38"/>
    <x v="0"/>
    <x v="3"/>
    <n v="329.142857142857"/>
    <n v="120137.142857143"/>
    <n v="432493.71428571403"/>
  </r>
  <r>
    <x v="0"/>
    <x v="0"/>
    <x v="0"/>
    <x v="3"/>
    <x v="4"/>
    <s v="DE4-E_A"/>
    <x v="9"/>
    <s v="GNR_ST_BGAS_BP_E-38"/>
    <x v="0"/>
    <x v="12"/>
    <n v="329.142857142857"/>
    <n v="120137.142857143"/>
    <n v="432493.71428571403"/>
  </r>
  <r>
    <x v="0"/>
    <x v="0"/>
    <x v="0"/>
    <x v="3"/>
    <x v="4"/>
    <s v="DE4-E_A"/>
    <x v="9"/>
    <s v="GNR_ST_BGAS_BP_E-38"/>
    <x v="0"/>
    <x v="4"/>
    <n v="329.142857142857"/>
    <n v="120137.142857143"/>
    <n v="432493.71428571403"/>
  </r>
  <r>
    <x v="0"/>
    <x v="0"/>
    <x v="0"/>
    <x v="3"/>
    <x v="4"/>
    <s v="DE4-E_A"/>
    <x v="9"/>
    <s v="GNR_ST_BGAS_BP_E-38"/>
    <x v="0"/>
    <x v="16"/>
    <n v="329.142857142857"/>
    <n v="120137.142857143"/>
    <n v="432493.71428571403"/>
  </r>
  <r>
    <x v="0"/>
    <x v="0"/>
    <x v="0"/>
    <x v="3"/>
    <x v="4"/>
    <s v="DE4-E_A"/>
    <x v="9"/>
    <s v="GNR_ST_BGAS_BP_E-38"/>
    <x v="0"/>
    <x v="5"/>
    <n v="329.142857142857"/>
    <n v="120137.142857143"/>
    <n v="432493.71428571403"/>
  </r>
  <r>
    <x v="0"/>
    <x v="0"/>
    <x v="0"/>
    <x v="3"/>
    <x v="4"/>
    <s v="DE4-E_A"/>
    <x v="9"/>
    <s v="GNR_ST_BGAS_BP_E-38"/>
    <x v="0"/>
    <x v="17"/>
    <n v="329.142857142857"/>
    <n v="120137.142857143"/>
    <n v="432493.71428571403"/>
  </r>
  <r>
    <x v="0"/>
    <x v="0"/>
    <x v="0"/>
    <x v="3"/>
    <x v="4"/>
    <s v="DE4-E_A"/>
    <x v="9"/>
    <s v="GNR_ST_BGAS_BP_E-38"/>
    <x v="0"/>
    <x v="18"/>
    <n v="329.142857142857"/>
    <n v="120137.142857143"/>
    <n v="432493.71428571403"/>
  </r>
  <r>
    <x v="0"/>
    <x v="0"/>
    <x v="0"/>
    <x v="3"/>
    <x v="4"/>
    <s v="DE4-E_A"/>
    <x v="9"/>
    <s v="GNR_ST_BGAS_BP_E-38"/>
    <x v="0"/>
    <x v="19"/>
    <n v="329.142857142857"/>
    <n v="120137.142857143"/>
    <n v="432493.71428571403"/>
  </r>
  <r>
    <x v="0"/>
    <x v="0"/>
    <x v="0"/>
    <x v="3"/>
    <x v="4"/>
    <s v="DE4-E_A"/>
    <x v="1"/>
    <s v="GNR_HS_HEAT_WTR-TANK_LS_E-95_Y-2010"/>
    <x v="0"/>
    <x v="1"/>
    <n v="322.56497144768798"/>
    <n v="117736.214578406"/>
    <n v="423850.37248226203"/>
  </r>
  <r>
    <x v="0"/>
    <x v="0"/>
    <x v="0"/>
    <x v="3"/>
    <x v="4"/>
    <s v="DE4-E_A"/>
    <x v="1"/>
    <s v="GNR_HS_HEAT_WTR-TANK_LS_E-95_Y-2010"/>
    <x v="0"/>
    <x v="2"/>
    <n v="434.51171079924899"/>
    <n v="158596.77444172601"/>
    <n v="570948.387990213"/>
  </r>
  <r>
    <x v="0"/>
    <x v="0"/>
    <x v="0"/>
    <x v="3"/>
    <x v="4"/>
    <s v="DE4-E_A"/>
    <x v="1"/>
    <s v="GNR_HS_HEAT_WTR-TANK_LS_E-95_Y-2010"/>
    <x v="0"/>
    <x v="3"/>
    <n v="420.15956472853702"/>
    <n v="153358.24112591601"/>
    <n v="552089.66805329698"/>
  </r>
  <r>
    <x v="0"/>
    <x v="0"/>
    <x v="0"/>
    <x v="3"/>
    <x v="4"/>
    <s v="DE4-E_A"/>
    <x v="1"/>
    <s v="GNR_HS_HEAT_WTR-TANK_LS_E-95_Y-2010"/>
    <x v="0"/>
    <x v="12"/>
    <n v="445.99342765582099"/>
    <n v="162787.60109437499"/>
    <n v="586035.36393974803"/>
  </r>
  <r>
    <x v="0"/>
    <x v="0"/>
    <x v="0"/>
    <x v="3"/>
    <x v="4"/>
    <s v="DE4-E_A"/>
    <x v="1"/>
    <s v="GNR_HS_HEAT_WTR-TANK_LS_E-95_Y-2010"/>
    <x v="0"/>
    <x v="13"/>
    <n v="752.43656821285799"/>
    <n v="274639.34739769303"/>
    <n v="988701.65063169505"/>
  </r>
  <r>
    <x v="0"/>
    <x v="0"/>
    <x v="0"/>
    <x v="3"/>
    <x v="4"/>
    <s v="DE4-E_A"/>
    <x v="1"/>
    <s v="GNR_HS_HEAT_WTR-TANK_LS_E-95_Y-2010"/>
    <x v="0"/>
    <x v="14"/>
    <n v="591.69253222087195"/>
    <n v="215967.774260618"/>
    <n v="777483.98733822606"/>
  </r>
  <r>
    <x v="0"/>
    <x v="0"/>
    <x v="0"/>
    <x v="3"/>
    <x v="4"/>
    <s v="DE4-E_A"/>
    <x v="1"/>
    <s v="GNR_HS_HEAT_WTR-TANK_LS_E-95_Y-2010"/>
    <x v="0"/>
    <x v="15"/>
    <n v="479.74579286931203"/>
    <n v="175107.21439729899"/>
    <n v="630385.97183027503"/>
  </r>
  <r>
    <x v="0"/>
    <x v="0"/>
    <x v="0"/>
    <x v="3"/>
    <x v="4"/>
    <s v="DE4-E_A"/>
    <x v="1"/>
    <s v="GNR_HS_HEAT_WTR-TANK_LS_E-95_Y-2010"/>
    <x v="0"/>
    <x v="4"/>
    <n v="193.39565681127101"/>
    <n v="70589.414736114006"/>
    <n v="254121.89305001"/>
  </r>
  <r>
    <x v="0"/>
    <x v="0"/>
    <x v="0"/>
    <x v="3"/>
    <x v="4"/>
    <s v="DE4-E_A"/>
    <x v="1"/>
    <s v="GNR_HS_HEAT_WTR-TANK_LS_E-95_Y-2010"/>
    <x v="0"/>
    <x v="16"/>
    <n v="236.45209502341001"/>
    <n v="86305.014683544796"/>
    <n v="310698.052860761"/>
  </r>
  <r>
    <x v="0"/>
    <x v="0"/>
    <x v="0"/>
    <x v="3"/>
    <x v="4"/>
    <s v="DE4-E_A"/>
    <x v="1"/>
    <s v="GNR_HS_HEAT_WTR-TANK_LS_E-95_Y-2010"/>
    <x v="0"/>
    <x v="5"/>
    <n v="262.28595795069401"/>
    <n v="95734.374652003098"/>
    <n v="344643.74874721101"/>
  </r>
  <r>
    <x v="0"/>
    <x v="0"/>
    <x v="0"/>
    <x v="3"/>
    <x v="4"/>
    <s v="DE4-E_A"/>
    <x v="1"/>
    <s v="GNR_HS_HEAT_WTR-TANK_LS_E-95_Y-2010"/>
    <x v="0"/>
    <x v="17"/>
    <n v="339.78754673254298"/>
    <n v="124022.45455737801"/>
    <n v="446480.83640656201"/>
  </r>
  <r>
    <x v="0"/>
    <x v="0"/>
    <x v="0"/>
    <x v="3"/>
    <x v="4"/>
    <s v="DE4-E_A"/>
    <x v="1"/>
    <s v="GNR_HS_HEAT_WTR-TANK_LS_E-95_Y-2010"/>
    <x v="0"/>
    <x v="18"/>
    <n v="328.30582987597302"/>
    <n v="119831.62790473"/>
    <n v="431393.86045702797"/>
  </r>
  <r>
    <x v="0"/>
    <x v="0"/>
    <x v="0"/>
    <x v="3"/>
    <x v="4"/>
    <s v="DE4-E_A"/>
    <x v="1"/>
    <s v="GNR_HS_HEAT_WTR-TANK_LS_E-95_Y-2010"/>
    <x v="0"/>
    <x v="19"/>
    <n v="210.618232096127"/>
    <n v="76875.654715086202"/>
    <n v="276752.35697431001"/>
  </r>
  <r>
    <x v="0"/>
    <x v="0"/>
    <x v="0"/>
    <x v="3"/>
    <x v="4"/>
    <s v="DE4-E_A"/>
    <x v="1"/>
    <s v="GNR_HS_HEAT_WTR-TANK_LS_E-95_Y-2010"/>
    <x v="0"/>
    <x v="20"/>
    <n v="321.87218609146902"/>
    <n v="117483.347923386"/>
    <n v="422940.05252418999"/>
  </r>
  <r>
    <x v="0"/>
    <x v="0"/>
    <x v="0"/>
    <x v="3"/>
    <x v="4"/>
    <s v="DE4-E_A"/>
    <x v="2"/>
    <s v="GNR_ST_MSW_BP_E-33"/>
    <x v="0"/>
    <x v="11"/>
    <n v="740.45782042610404"/>
    <n v="270267.10445552802"/>
    <n v="972961.576039901"/>
  </r>
  <r>
    <x v="0"/>
    <x v="0"/>
    <x v="0"/>
    <x v="3"/>
    <x v="4"/>
    <s v="DE4-E_A"/>
    <x v="2"/>
    <s v="GNR_ST_MSW_BP_E-33"/>
    <x v="0"/>
    <x v="0"/>
    <n v="1078.2365298815901"/>
    <n v="393556.33340677898"/>
    <n v="1416802.80026441"/>
  </r>
  <r>
    <x v="0"/>
    <x v="0"/>
    <x v="0"/>
    <x v="3"/>
    <x v="4"/>
    <s v="DE4-E_A"/>
    <x v="2"/>
    <s v="GNR_ST_MSW_BP_E-33"/>
    <x v="0"/>
    <x v="1"/>
    <n v="1078.2365298815901"/>
    <n v="393556.33340677898"/>
    <n v="1416802.80026441"/>
  </r>
  <r>
    <x v="0"/>
    <x v="0"/>
    <x v="0"/>
    <x v="3"/>
    <x v="4"/>
    <s v="DE4-E_A"/>
    <x v="2"/>
    <s v="GNR_ST_MSW_BP_E-33"/>
    <x v="0"/>
    <x v="2"/>
    <n v="1078.2365298815901"/>
    <n v="393556.33340677898"/>
    <n v="1416802.80026441"/>
  </r>
  <r>
    <x v="0"/>
    <x v="0"/>
    <x v="0"/>
    <x v="3"/>
    <x v="4"/>
    <s v="DE4-E_A"/>
    <x v="2"/>
    <s v="GNR_ST_MSW_BP_E-33"/>
    <x v="0"/>
    <x v="3"/>
    <n v="1078.2365298815901"/>
    <n v="393556.33340677898"/>
    <n v="1416802.80026441"/>
  </r>
  <r>
    <x v="0"/>
    <x v="0"/>
    <x v="0"/>
    <x v="3"/>
    <x v="4"/>
    <s v="DE4-E_A"/>
    <x v="2"/>
    <s v="GNR_ST_MSW_BP_E-33"/>
    <x v="0"/>
    <x v="12"/>
    <n v="1078.2365298815901"/>
    <n v="393556.33340677898"/>
    <n v="1416802.80026441"/>
  </r>
  <r>
    <x v="0"/>
    <x v="0"/>
    <x v="0"/>
    <x v="3"/>
    <x v="4"/>
    <s v="DE4-E_A"/>
    <x v="2"/>
    <s v="GNR_ST_MSW_BP_E-33"/>
    <x v="0"/>
    <x v="13"/>
    <n v="1078.2365298815901"/>
    <n v="393556.33340677898"/>
    <n v="1416802.80026441"/>
  </r>
  <r>
    <x v="0"/>
    <x v="0"/>
    <x v="0"/>
    <x v="3"/>
    <x v="4"/>
    <s v="DE4-E_A"/>
    <x v="2"/>
    <s v="GNR_ST_MSW_BP_E-33"/>
    <x v="0"/>
    <x v="14"/>
    <n v="1078.2365298815901"/>
    <n v="393556.33340677898"/>
    <n v="1416802.80026441"/>
  </r>
  <r>
    <x v="0"/>
    <x v="0"/>
    <x v="0"/>
    <x v="3"/>
    <x v="4"/>
    <s v="DE4-E_A"/>
    <x v="2"/>
    <s v="GNR_ST_MSW_BP_E-33"/>
    <x v="0"/>
    <x v="15"/>
    <n v="1078.2365298815901"/>
    <n v="393556.33340677898"/>
    <n v="1416802.80026441"/>
  </r>
  <r>
    <x v="0"/>
    <x v="0"/>
    <x v="0"/>
    <x v="3"/>
    <x v="4"/>
    <s v="DE4-E_A"/>
    <x v="2"/>
    <s v="GNR_ST_MSW_BP_E-33"/>
    <x v="0"/>
    <x v="4"/>
    <n v="1078.2365298815901"/>
    <n v="393556.33340677898"/>
    <n v="1416802.80026441"/>
  </r>
  <r>
    <x v="0"/>
    <x v="0"/>
    <x v="0"/>
    <x v="3"/>
    <x v="4"/>
    <s v="DE4-E_A"/>
    <x v="2"/>
    <s v="GNR_ST_MSW_BP_E-33"/>
    <x v="0"/>
    <x v="16"/>
    <n v="1078.2365298815901"/>
    <n v="393556.33340677898"/>
    <n v="1416802.80026441"/>
  </r>
  <r>
    <x v="0"/>
    <x v="0"/>
    <x v="0"/>
    <x v="3"/>
    <x v="4"/>
    <s v="DE4-E_A"/>
    <x v="2"/>
    <s v="GNR_ST_MSW_BP_E-33"/>
    <x v="0"/>
    <x v="5"/>
    <n v="1078.2365298815901"/>
    <n v="393556.33340677898"/>
    <n v="1416802.80026441"/>
  </r>
  <r>
    <x v="0"/>
    <x v="0"/>
    <x v="0"/>
    <x v="3"/>
    <x v="4"/>
    <s v="DE4-E_A"/>
    <x v="2"/>
    <s v="GNR_ST_MSW_BP_E-33"/>
    <x v="0"/>
    <x v="17"/>
    <n v="1078.2365298815901"/>
    <n v="393556.33340677898"/>
    <n v="1416802.80026441"/>
  </r>
  <r>
    <x v="0"/>
    <x v="0"/>
    <x v="0"/>
    <x v="3"/>
    <x v="4"/>
    <s v="DE4-E_A"/>
    <x v="2"/>
    <s v="GNR_ST_MSW_BP_E-33"/>
    <x v="0"/>
    <x v="18"/>
    <n v="1078.2365298815901"/>
    <n v="393556.33340677898"/>
    <n v="1416802.80026441"/>
  </r>
  <r>
    <x v="0"/>
    <x v="0"/>
    <x v="0"/>
    <x v="3"/>
    <x v="4"/>
    <s v="DE4-E_A"/>
    <x v="2"/>
    <s v="GNR_ST_MSW_BP_E-33"/>
    <x v="0"/>
    <x v="19"/>
    <n v="1078.2365298815901"/>
    <n v="393556.33340677898"/>
    <n v="1416802.80026441"/>
  </r>
  <r>
    <x v="0"/>
    <x v="0"/>
    <x v="0"/>
    <x v="3"/>
    <x v="4"/>
    <s v="DE4-E_A"/>
    <x v="2"/>
    <s v="GNR_ST_MSW_BP_E-33"/>
    <x v="0"/>
    <x v="20"/>
    <n v="1078.2365298815901"/>
    <n v="393556.33340677898"/>
    <n v="1416802.80026441"/>
  </r>
  <r>
    <x v="0"/>
    <x v="0"/>
    <x v="0"/>
    <x v="3"/>
    <x v="4"/>
    <s v="DE4-E_A"/>
    <x v="2"/>
    <s v="GNR_ST_MSW_BP_E-33"/>
    <x v="0"/>
    <x v="21"/>
    <n v="338.04990674029801"/>
    <n v="123388.215960209"/>
    <n v="444197.57745675102"/>
  </r>
  <r>
    <x v="0"/>
    <x v="0"/>
    <x v="0"/>
    <x v="3"/>
    <x v="4"/>
    <s v="DE4-E_A"/>
    <x v="2"/>
    <s v="GNR_ST_MSW_BP_E-33"/>
    <x v="0"/>
    <x v="22"/>
    <n v="39.525268469468799"/>
    <n v="14426.7229913561"/>
    <n v="51936.2027688819"/>
  </r>
  <r>
    <x v="0"/>
    <x v="0"/>
    <x v="0"/>
    <x v="3"/>
    <x v="4"/>
    <s v="DE4-E_A"/>
    <x v="3"/>
    <s v="GNR_CC_NGAS_BP_E-53"/>
    <x v="0"/>
    <x v="6"/>
    <n v="1666.5833333333301"/>
    <n v="608302.91666666698"/>
    <n v="2189890.5"/>
  </r>
  <r>
    <x v="0"/>
    <x v="0"/>
    <x v="0"/>
    <x v="3"/>
    <x v="4"/>
    <s v="DE4-E_A"/>
    <x v="3"/>
    <s v="GNR_CC_NGAS_BP_E-53"/>
    <x v="0"/>
    <x v="7"/>
    <n v="1666.5833333333301"/>
    <n v="608302.91666666698"/>
    <n v="2189890.5"/>
  </r>
  <r>
    <x v="0"/>
    <x v="0"/>
    <x v="0"/>
    <x v="3"/>
    <x v="4"/>
    <s v="DE4-E_A"/>
    <x v="3"/>
    <s v="GNR_CC_NGAS_BP_E-53"/>
    <x v="0"/>
    <x v="8"/>
    <n v="1666.5833333333301"/>
    <n v="608302.91666666698"/>
    <n v="2189890.5"/>
  </r>
  <r>
    <x v="0"/>
    <x v="0"/>
    <x v="0"/>
    <x v="3"/>
    <x v="4"/>
    <s v="DE4-E_A"/>
    <x v="3"/>
    <s v="GNR_CC_NGAS_BP_E-53"/>
    <x v="0"/>
    <x v="9"/>
    <n v="1666.5833333333301"/>
    <n v="608302.91666666698"/>
    <n v="2189890.5"/>
  </r>
  <r>
    <x v="0"/>
    <x v="0"/>
    <x v="0"/>
    <x v="3"/>
    <x v="4"/>
    <s v="DE4-E_A"/>
    <x v="3"/>
    <s v="GNR_CC_NGAS_BP_E-53"/>
    <x v="0"/>
    <x v="10"/>
    <n v="1666.5833333333301"/>
    <n v="608302.91666666698"/>
    <n v="2189890.5"/>
  </r>
  <r>
    <x v="0"/>
    <x v="0"/>
    <x v="0"/>
    <x v="3"/>
    <x v="4"/>
    <s v="DE4-E_A"/>
    <x v="3"/>
    <s v="GNR_CC_NGAS_BP_E-53"/>
    <x v="0"/>
    <x v="11"/>
    <n v="1666.5833333333301"/>
    <n v="608302.91666666698"/>
    <n v="2189890.5"/>
  </r>
  <r>
    <x v="0"/>
    <x v="0"/>
    <x v="0"/>
    <x v="3"/>
    <x v="4"/>
    <s v="DE4-E_A"/>
    <x v="3"/>
    <s v="GNR_CC_NGAS_BP_E-53"/>
    <x v="0"/>
    <x v="0"/>
    <n v="1666.5833333333301"/>
    <n v="608302.91666666698"/>
    <n v="2189890.5"/>
  </r>
  <r>
    <x v="0"/>
    <x v="0"/>
    <x v="0"/>
    <x v="3"/>
    <x v="4"/>
    <s v="DE4-E_A"/>
    <x v="3"/>
    <s v="GNR_CC_NGAS_BP_E-53"/>
    <x v="0"/>
    <x v="1"/>
    <n v="1666.5833333333301"/>
    <n v="608302.91666666698"/>
    <n v="2189890.5"/>
  </r>
  <r>
    <x v="0"/>
    <x v="0"/>
    <x v="0"/>
    <x v="3"/>
    <x v="4"/>
    <s v="DE4-E_A"/>
    <x v="3"/>
    <s v="GNR_CC_NGAS_BP_E-53"/>
    <x v="0"/>
    <x v="2"/>
    <n v="1666.5833333333301"/>
    <n v="608302.91666666698"/>
    <n v="2189890.5"/>
  </r>
  <r>
    <x v="0"/>
    <x v="0"/>
    <x v="0"/>
    <x v="3"/>
    <x v="4"/>
    <s v="DE4-E_A"/>
    <x v="3"/>
    <s v="GNR_CC_NGAS_BP_E-53"/>
    <x v="0"/>
    <x v="3"/>
    <n v="1666.5833333333301"/>
    <n v="608302.91666666698"/>
    <n v="2189890.5"/>
  </r>
  <r>
    <x v="0"/>
    <x v="0"/>
    <x v="0"/>
    <x v="3"/>
    <x v="4"/>
    <s v="DE4-E_A"/>
    <x v="3"/>
    <s v="GNR_CC_NGAS_BP_E-53"/>
    <x v="0"/>
    <x v="12"/>
    <n v="1666.5833333333301"/>
    <n v="608302.91666666698"/>
    <n v="2189890.5"/>
  </r>
  <r>
    <x v="0"/>
    <x v="0"/>
    <x v="0"/>
    <x v="3"/>
    <x v="4"/>
    <s v="DE4-E_A"/>
    <x v="3"/>
    <s v="GNR_CC_NGAS_BP_E-53"/>
    <x v="0"/>
    <x v="13"/>
    <n v="1666.5833333333301"/>
    <n v="608302.91666666698"/>
    <n v="2189890.5"/>
  </r>
  <r>
    <x v="0"/>
    <x v="0"/>
    <x v="0"/>
    <x v="3"/>
    <x v="4"/>
    <s v="DE4-E_A"/>
    <x v="3"/>
    <s v="GNR_CC_NGAS_BP_E-53"/>
    <x v="0"/>
    <x v="14"/>
    <n v="1666.5833333333301"/>
    <n v="608302.91666666698"/>
    <n v="2189890.5"/>
  </r>
  <r>
    <x v="0"/>
    <x v="0"/>
    <x v="0"/>
    <x v="3"/>
    <x v="4"/>
    <s v="DE4-E_A"/>
    <x v="3"/>
    <s v="GNR_CC_NGAS_BP_E-53"/>
    <x v="0"/>
    <x v="15"/>
    <n v="1666.5833333333301"/>
    <n v="608302.91666666698"/>
    <n v="2189890.5"/>
  </r>
  <r>
    <x v="0"/>
    <x v="0"/>
    <x v="0"/>
    <x v="3"/>
    <x v="4"/>
    <s v="DE4-E_A"/>
    <x v="3"/>
    <s v="GNR_CC_NGAS_BP_E-53"/>
    <x v="0"/>
    <x v="4"/>
    <n v="1666.5833333333301"/>
    <n v="608302.91666666698"/>
    <n v="2189890.5"/>
  </r>
  <r>
    <x v="0"/>
    <x v="0"/>
    <x v="0"/>
    <x v="3"/>
    <x v="4"/>
    <s v="DE4-E_A"/>
    <x v="3"/>
    <s v="GNR_CC_NGAS_BP_E-53"/>
    <x v="0"/>
    <x v="16"/>
    <n v="1666.5833333333301"/>
    <n v="608302.91666666698"/>
    <n v="2189890.5"/>
  </r>
  <r>
    <x v="0"/>
    <x v="0"/>
    <x v="0"/>
    <x v="3"/>
    <x v="4"/>
    <s v="DE4-E_A"/>
    <x v="3"/>
    <s v="GNR_CC_NGAS_BP_E-53"/>
    <x v="0"/>
    <x v="5"/>
    <n v="1666.5833333333301"/>
    <n v="608302.91666666698"/>
    <n v="2189890.5"/>
  </r>
  <r>
    <x v="0"/>
    <x v="0"/>
    <x v="0"/>
    <x v="3"/>
    <x v="4"/>
    <s v="DE4-E_A"/>
    <x v="3"/>
    <s v="GNR_CC_NGAS_BP_E-53"/>
    <x v="0"/>
    <x v="17"/>
    <n v="1666.5833333333301"/>
    <n v="608302.91666666698"/>
    <n v="2189890.5"/>
  </r>
  <r>
    <x v="0"/>
    <x v="0"/>
    <x v="0"/>
    <x v="3"/>
    <x v="4"/>
    <s v="DE4-E_A"/>
    <x v="3"/>
    <s v="GNR_CC_NGAS_BP_E-53"/>
    <x v="0"/>
    <x v="18"/>
    <n v="1666.5833333333301"/>
    <n v="608302.91666666698"/>
    <n v="2189890.5"/>
  </r>
  <r>
    <x v="0"/>
    <x v="0"/>
    <x v="0"/>
    <x v="3"/>
    <x v="4"/>
    <s v="DE4-E_A"/>
    <x v="3"/>
    <s v="GNR_CC_NGAS_BP_E-53"/>
    <x v="0"/>
    <x v="19"/>
    <n v="1666.5833333333301"/>
    <n v="608302.91666666698"/>
    <n v="2189890.5"/>
  </r>
  <r>
    <x v="0"/>
    <x v="0"/>
    <x v="0"/>
    <x v="3"/>
    <x v="4"/>
    <s v="DE4-E_A"/>
    <x v="3"/>
    <s v="GNR_CC_NGAS_BP_E-53"/>
    <x v="0"/>
    <x v="20"/>
    <n v="1666.5833333333301"/>
    <n v="608302.91666666698"/>
    <n v="2189890.5"/>
  </r>
  <r>
    <x v="0"/>
    <x v="0"/>
    <x v="0"/>
    <x v="3"/>
    <x v="4"/>
    <s v="DE4-E_A"/>
    <x v="3"/>
    <s v="GNR_CC_NGAS_BP_E-53"/>
    <x v="0"/>
    <x v="21"/>
    <n v="1666.5833333333301"/>
    <n v="608302.91666666698"/>
    <n v="2189890.5"/>
  </r>
  <r>
    <x v="0"/>
    <x v="0"/>
    <x v="0"/>
    <x v="3"/>
    <x v="4"/>
    <s v="DE4-E_A"/>
    <x v="3"/>
    <s v="GNR_CC_NGAS_BP_E-53"/>
    <x v="0"/>
    <x v="22"/>
    <n v="1666.5833333333301"/>
    <n v="608302.91666666698"/>
    <n v="2189890.5"/>
  </r>
  <r>
    <x v="0"/>
    <x v="0"/>
    <x v="0"/>
    <x v="3"/>
    <x v="4"/>
    <s v="DE4-E_A"/>
    <x v="3"/>
    <s v="GNR_CC_NGAS_BP_E-53"/>
    <x v="0"/>
    <x v="23"/>
    <n v="1666.5833333333301"/>
    <n v="608302.91666666698"/>
    <n v="2189890.5"/>
  </r>
  <r>
    <x v="0"/>
    <x v="0"/>
    <x v="0"/>
    <x v="3"/>
    <x v="4"/>
    <s v="DE4-E_A"/>
    <x v="3"/>
    <s v="GNR_GT_NGAS_BP_E-38"/>
    <x v="0"/>
    <x v="6"/>
    <n v="237.57894736842101"/>
    <n v="86716.315789473694"/>
    <n v="312178.73684210499"/>
  </r>
  <r>
    <x v="0"/>
    <x v="0"/>
    <x v="0"/>
    <x v="3"/>
    <x v="4"/>
    <s v="DE4-E_A"/>
    <x v="3"/>
    <s v="GNR_GT_NGAS_BP_E-38"/>
    <x v="0"/>
    <x v="7"/>
    <n v="237.57894736842101"/>
    <n v="86716.315789473694"/>
    <n v="312178.73684210499"/>
  </r>
  <r>
    <x v="0"/>
    <x v="0"/>
    <x v="0"/>
    <x v="3"/>
    <x v="4"/>
    <s v="DE4-E_A"/>
    <x v="3"/>
    <s v="GNR_GT_NGAS_BP_E-38"/>
    <x v="0"/>
    <x v="8"/>
    <n v="237.57894736842101"/>
    <n v="86716.315789473694"/>
    <n v="312178.73684210499"/>
  </r>
  <r>
    <x v="0"/>
    <x v="0"/>
    <x v="0"/>
    <x v="3"/>
    <x v="4"/>
    <s v="DE4-E_A"/>
    <x v="3"/>
    <s v="GNR_GT_NGAS_BP_E-38"/>
    <x v="0"/>
    <x v="9"/>
    <n v="237.57894736842101"/>
    <n v="86716.315789473694"/>
    <n v="312178.73684210499"/>
  </r>
  <r>
    <x v="0"/>
    <x v="0"/>
    <x v="0"/>
    <x v="3"/>
    <x v="4"/>
    <s v="DE4-E_A"/>
    <x v="3"/>
    <s v="GNR_GT_NGAS_BP_E-38"/>
    <x v="0"/>
    <x v="10"/>
    <n v="237.57894736842101"/>
    <n v="86716.315789473694"/>
    <n v="312178.73684210499"/>
  </r>
  <r>
    <x v="0"/>
    <x v="0"/>
    <x v="0"/>
    <x v="3"/>
    <x v="4"/>
    <s v="DE4-E_A"/>
    <x v="3"/>
    <s v="GNR_GT_NGAS_BP_E-38"/>
    <x v="0"/>
    <x v="11"/>
    <n v="237.57894736842101"/>
    <n v="86716.315789473694"/>
    <n v="312178.73684210499"/>
  </r>
  <r>
    <x v="0"/>
    <x v="0"/>
    <x v="0"/>
    <x v="3"/>
    <x v="4"/>
    <s v="DE4-E_A"/>
    <x v="3"/>
    <s v="GNR_GT_NGAS_BP_E-38"/>
    <x v="0"/>
    <x v="0"/>
    <n v="237.57894736842101"/>
    <n v="86716.315789473694"/>
    <n v="312178.73684210499"/>
  </r>
  <r>
    <x v="0"/>
    <x v="0"/>
    <x v="0"/>
    <x v="3"/>
    <x v="4"/>
    <s v="DE4-E_A"/>
    <x v="3"/>
    <s v="GNR_GT_NGAS_BP_E-38"/>
    <x v="0"/>
    <x v="1"/>
    <n v="237.57894736842101"/>
    <n v="86716.315789473694"/>
    <n v="312178.73684210499"/>
  </r>
  <r>
    <x v="0"/>
    <x v="0"/>
    <x v="0"/>
    <x v="3"/>
    <x v="4"/>
    <s v="DE4-E_A"/>
    <x v="3"/>
    <s v="GNR_GT_NGAS_BP_E-38"/>
    <x v="0"/>
    <x v="2"/>
    <n v="237.57894736842101"/>
    <n v="86716.315789473694"/>
    <n v="312178.73684210499"/>
  </r>
  <r>
    <x v="0"/>
    <x v="0"/>
    <x v="0"/>
    <x v="3"/>
    <x v="4"/>
    <s v="DE4-E_A"/>
    <x v="3"/>
    <s v="GNR_GT_NGAS_BP_E-38"/>
    <x v="0"/>
    <x v="3"/>
    <n v="237.57894736842101"/>
    <n v="86716.315789473694"/>
    <n v="312178.73684210499"/>
  </r>
  <r>
    <x v="0"/>
    <x v="0"/>
    <x v="0"/>
    <x v="3"/>
    <x v="4"/>
    <s v="DE4-E_A"/>
    <x v="3"/>
    <s v="GNR_GT_NGAS_BP_E-38"/>
    <x v="0"/>
    <x v="12"/>
    <n v="237.57894736842101"/>
    <n v="86716.315789473694"/>
    <n v="312178.73684210499"/>
  </r>
  <r>
    <x v="0"/>
    <x v="0"/>
    <x v="0"/>
    <x v="3"/>
    <x v="4"/>
    <s v="DE4-E_A"/>
    <x v="3"/>
    <s v="GNR_GT_NGAS_BP_E-38"/>
    <x v="0"/>
    <x v="13"/>
    <n v="237.57894736842101"/>
    <n v="86716.315789473694"/>
    <n v="312178.73684210499"/>
  </r>
  <r>
    <x v="0"/>
    <x v="0"/>
    <x v="0"/>
    <x v="3"/>
    <x v="4"/>
    <s v="DE4-E_A"/>
    <x v="3"/>
    <s v="GNR_GT_NGAS_BP_E-38"/>
    <x v="0"/>
    <x v="14"/>
    <n v="237.57894736842101"/>
    <n v="86716.315789473694"/>
    <n v="312178.73684210499"/>
  </r>
  <r>
    <x v="0"/>
    <x v="0"/>
    <x v="0"/>
    <x v="3"/>
    <x v="4"/>
    <s v="DE4-E_A"/>
    <x v="3"/>
    <s v="GNR_GT_NGAS_BP_E-38"/>
    <x v="0"/>
    <x v="15"/>
    <n v="237.57894736842101"/>
    <n v="86716.315789473694"/>
    <n v="312178.73684210499"/>
  </r>
  <r>
    <x v="0"/>
    <x v="0"/>
    <x v="0"/>
    <x v="3"/>
    <x v="4"/>
    <s v="DE4-E_A"/>
    <x v="3"/>
    <s v="GNR_GT_NGAS_BP_E-38"/>
    <x v="0"/>
    <x v="4"/>
    <n v="237.57894736842101"/>
    <n v="86716.315789473694"/>
    <n v="312178.73684210499"/>
  </r>
  <r>
    <x v="0"/>
    <x v="0"/>
    <x v="0"/>
    <x v="3"/>
    <x v="4"/>
    <s v="DE4-E_A"/>
    <x v="3"/>
    <s v="GNR_GT_NGAS_BP_E-38"/>
    <x v="0"/>
    <x v="16"/>
    <n v="237.57894736842101"/>
    <n v="86716.315789473694"/>
    <n v="312178.73684210499"/>
  </r>
  <r>
    <x v="0"/>
    <x v="0"/>
    <x v="0"/>
    <x v="3"/>
    <x v="4"/>
    <s v="DE4-E_A"/>
    <x v="3"/>
    <s v="GNR_GT_NGAS_BP_E-38"/>
    <x v="0"/>
    <x v="5"/>
    <n v="237.57894736842101"/>
    <n v="86716.315789473694"/>
    <n v="312178.73684210499"/>
  </r>
  <r>
    <x v="0"/>
    <x v="0"/>
    <x v="0"/>
    <x v="3"/>
    <x v="4"/>
    <s v="DE4-E_A"/>
    <x v="3"/>
    <s v="GNR_GT_NGAS_BP_E-38"/>
    <x v="0"/>
    <x v="17"/>
    <n v="237.57894736842101"/>
    <n v="86716.315789473694"/>
    <n v="312178.73684210499"/>
  </r>
  <r>
    <x v="0"/>
    <x v="0"/>
    <x v="0"/>
    <x v="3"/>
    <x v="4"/>
    <s v="DE4-E_A"/>
    <x v="3"/>
    <s v="GNR_GT_NGAS_BP_E-38"/>
    <x v="0"/>
    <x v="18"/>
    <n v="237.57894736842101"/>
    <n v="86716.315789473694"/>
    <n v="312178.73684210499"/>
  </r>
  <r>
    <x v="0"/>
    <x v="0"/>
    <x v="0"/>
    <x v="3"/>
    <x v="4"/>
    <s v="DE4-E_A"/>
    <x v="3"/>
    <s v="GNR_GT_NGAS_BP_E-38"/>
    <x v="0"/>
    <x v="19"/>
    <n v="237.57894736842101"/>
    <n v="86716.315789473694"/>
    <n v="312178.73684210499"/>
  </r>
  <r>
    <x v="0"/>
    <x v="0"/>
    <x v="0"/>
    <x v="3"/>
    <x v="4"/>
    <s v="DE4-E_A"/>
    <x v="3"/>
    <s v="GNR_GT_NGAS_BP_E-38"/>
    <x v="0"/>
    <x v="20"/>
    <n v="237.57894736842101"/>
    <n v="86716.315789473694"/>
    <n v="312178.73684210499"/>
  </r>
  <r>
    <x v="0"/>
    <x v="0"/>
    <x v="0"/>
    <x v="3"/>
    <x v="4"/>
    <s v="DE4-E_A"/>
    <x v="3"/>
    <s v="GNR_GT_NGAS_BP_E-38"/>
    <x v="0"/>
    <x v="21"/>
    <n v="237.57894736842101"/>
    <n v="86716.315789473694"/>
    <n v="312178.73684210499"/>
  </r>
  <r>
    <x v="0"/>
    <x v="0"/>
    <x v="0"/>
    <x v="3"/>
    <x v="4"/>
    <s v="DE4-E_A"/>
    <x v="3"/>
    <s v="GNR_GT_NGAS_BP_E-38"/>
    <x v="0"/>
    <x v="22"/>
    <n v="237.57894736842101"/>
    <n v="86716.315789473694"/>
    <n v="312178.73684210499"/>
  </r>
  <r>
    <x v="0"/>
    <x v="0"/>
    <x v="0"/>
    <x v="3"/>
    <x v="4"/>
    <s v="DE4-E_A"/>
    <x v="3"/>
    <s v="GNR_GT_NGAS_BP_E-38"/>
    <x v="0"/>
    <x v="23"/>
    <n v="237.57894736842101"/>
    <n v="86716.315789473694"/>
    <n v="312178.73684210499"/>
  </r>
  <r>
    <x v="0"/>
    <x v="0"/>
    <x v="0"/>
    <x v="3"/>
    <x v="4"/>
    <s v="DE4-E_A"/>
    <x v="3"/>
    <s v="GNR_ST_NGAS_BP_E-31"/>
    <x v="0"/>
    <x v="6"/>
    <n v="37.857142857142897"/>
    <n v="13817.857142857099"/>
    <n v="49744.285714285703"/>
  </r>
  <r>
    <x v="0"/>
    <x v="0"/>
    <x v="0"/>
    <x v="3"/>
    <x v="4"/>
    <s v="DE4-E_A"/>
    <x v="3"/>
    <s v="GNR_ST_NGAS_BP_E-31"/>
    <x v="0"/>
    <x v="7"/>
    <n v="37.857142857142897"/>
    <n v="13817.857142857099"/>
    <n v="49744.285714285703"/>
  </r>
  <r>
    <x v="0"/>
    <x v="0"/>
    <x v="0"/>
    <x v="3"/>
    <x v="4"/>
    <s v="DE4-E_A"/>
    <x v="3"/>
    <s v="GNR_ST_NGAS_BP_E-31"/>
    <x v="0"/>
    <x v="8"/>
    <n v="37.857142857142897"/>
    <n v="13817.857142857099"/>
    <n v="49744.285714285703"/>
  </r>
  <r>
    <x v="0"/>
    <x v="0"/>
    <x v="0"/>
    <x v="3"/>
    <x v="4"/>
    <s v="DE4-E_A"/>
    <x v="3"/>
    <s v="GNR_ST_NGAS_BP_E-31"/>
    <x v="0"/>
    <x v="9"/>
    <n v="37.857142857142897"/>
    <n v="13817.857142857099"/>
    <n v="49744.285714285703"/>
  </r>
  <r>
    <x v="0"/>
    <x v="0"/>
    <x v="0"/>
    <x v="3"/>
    <x v="4"/>
    <s v="DE4-E_A"/>
    <x v="3"/>
    <s v="GNR_ST_NGAS_BP_E-31"/>
    <x v="0"/>
    <x v="10"/>
    <n v="37.857142857142897"/>
    <n v="13817.857142857099"/>
    <n v="49744.285714285703"/>
  </r>
  <r>
    <x v="0"/>
    <x v="0"/>
    <x v="0"/>
    <x v="3"/>
    <x v="4"/>
    <s v="DE4-E_A"/>
    <x v="3"/>
    <s v="GNR_ST_NGAS_BP_E-31"/>
    <x v="0"/>
    <x v="11"/>
    <n v="37.857142857142897"/>
    <n v="13817.857142857099"/>
    <n v="49744.285714285703"/>
  </r>
  <r>
    <x v="0"/>
    <x v="0"/>
    <x v="0"/>
    <x v="3"/>
    <x v="4"/>
    <s v="DE4-E_A"/>
    <x v="3"/>
    <s v="GNR_ST_NGAS_BP_E-31"/>
    <x v="0"/>
    <x v="0"/>
    <n v="37.857142857142897"/>
    <n v="13817.857142857099"/>
    <n v="49744.285714285703"/>
  </r>
  <r>
    <x v="0"/>
    <x v="0"/>
    <x v="0"/>
    <x v="3"/>
    <x v="4"/>
    <s v="DE4-E_A"/>
    <x v="3"/>
    <s v="GNR_ST_NGAS_BP_E-31"/>
    <x v="0"/>
    <x v="1"/>
    <n v="37.857142857142897"/>
    <n v="13817.857142857099"/>
    <n v="49744.285714285703"/>
  </r>
  <r>
    <x v="0"/>
    <x v="0"/>
    <x v="0"/>
    <x v="3"/>
    <x v="4"/>
    <s v="DE4-E_A"/>
    <x v="3"/>
    <s v="GNR_ST_NGAS_BP_E-31"/>
    <x v="0"/>
    <x v="2"/>
    <n v="37.857142857142897"/>
    <n v="13817.857142857099"/>
    <n v="49744.285714285703"/>
  </r>
  <r>
    <x v="0"/>
    <x v="0"/>
    <x v="0"/>
    <x v="3"/>
    <x v="4"/>
    <s v="DE4-E_A"/>
    <x v="3"/>
    <s v="GNR_ST_NGAS_BP_E-31"/>
    <x v="0"/>
    <x v="3"/>
    <n v="37.857142857142897"/>
    <n v="13817.857142857099"/>
    <n v="49744.285714285703"/>
  </r>
  <r>
    <x v="0"/>
    <x v="0"/>
    <x v="0"/>
    <x v="3"/>
    <x v="4"/>
    <s v="DE4-E_A"/>
    <x v="3"/>
    <s v="GNR_ST_NGAS_BP_E-31"/>
    <x v="0"/>
    <x v="12"/>
    <n v="37.857142857142897"/>
    <n v="13817.857142857099"/>
    <n v="49744.285714285703"/>
  </r>
  <r>
    <x v="0"/>
    <x v="0"/>
    <x v="0"/>
    <x v="3"/>
    <x v="4"/>
    <s v="DE4-E_A"/>
    <x v="3"/>
    <s v="GNR_ST_NGAS_BP_E-31"/>
    <x v="0"/>
    <x v="13"/>
    <n v="37.857142857142897"/>
    <n v="13817.857142857099"/>
    <n v="49744.285714285703"/>
  </r>
  <r>
    <x v="0"/>
    <x v="0"/>
    <x v="0"/>
    <x v="3"/>
    <x v="4"/>
    <s v="DE4-E_A"/>
    <x v="3"/>
    <s v="GNR_ST_NGAS_BP_E-31"/>
    <x v="0"/>
    <x v="14"/>
    <n v="37.857142857142897"/>
    <n v="13817.857142857099"/>
    <n v="49744.285714285703"/>
  </r>
  <r>
    <x v="0"/>
    <x v="0"/>
    <x v="0"/>
    <x v="3"/>
    <x v="4"/>
    <s v="DE4-E_A"/>
    <x v="3"/>
    <s v="GNR_ST_NGAS_BP_E-31"/>
    <x v="0"/>
    <x v="15"/>
    <n v="37.857142857142897"/>
    <n v="13817.857142857099"/>
    <n v="49744.285714285703"/>
  </r>
  <r>
    <x v="0"/>
    <x v="0"/>
    <x v="0"/>
    <x v="3"/>
    <x v="4"/>
    <s v="DE4-E_A"/>
    <x v="3"/>
    <s v="GNR_ST_NGAS_BP_E-31"/>
    <x v="0"/>
    <x v="4"/>
    <n v="37.857142857142897"/>
    <n v="13817.857142857099"/>
    <n v="49744.285714285703"/>
  </r>
  <r>
    <x v="0"/>
    <x v="0"/>
    <x v="0"/>
    <x v="3"/>
    <x v="4"/>
    <s v="DE4-E_A"/>
    <x v="3"/>
    <s v="GNR_ST_NGAS_BP_E-31"/>
    <x v="0"/>
    <x v="16"/>
    <n v="37.857142857142897"/>
    <n v="13817.857142857099"/>
    <n v="49744.285714285703"/>
  </r>
  <r>
    <x v="0"/>
    <x v="0"/>
    <x v="0"/>
    <x v="3"/>
    <x v="4"/>
    <s v="DE4-E_A"/>
    <x v="3"/>
    <s v="GNR_ST_NGAS_BP_E-31"/>
    <x v="0"/>
    <x v="5"/>
    <n v="37.857142857142897"/>
    <n v="13817.857142857099"/>
    <n v="49744.285714285703"/>
  </r>
  <r>
    <x v="0"/>
    <x v="0"/>
    <x v="0"/>
    <x v="3"/>
    <x v="4"/>
    <s v="DE4-E_A"/>
    <x v="3"/>
    <s v="GNR_ST_NGAS_BP_E-31"/>
    <x v="0"/>
    <x v="17"/>
    <n v="37.857142857142897"/>
    <n v="13817.857142857099"/>
    <n v="49744.285714285703"/>
  </r>
  <r>
    <x v="0"/>
    <x v="0"/>
    <x v="0"/>
    <x v="3"/>
    <x v="4"/>
    <s v="DE4-E_A"/>
    <x v="3"/>
    <s v="GNR_ST_NGAS_BP_E-31"/>
    <x v="0"/>
    <x v="18"/>
    <n v="37.857142857142897"/>
    <n v="13817.857142857099"/>
    <n v="49744.285714285703"/>
  </r>
  <r>
    <x v="0"/>
    <x v="0"/>
    <x v="0"/>
    <x v="3"/>
    <x v="4"/>
    <s v="DE4-E_A"/>
    <x v="3"/>
    <s v="GNR_ST_NGAS_BP_E-31"/>
    <x v="0"/>
    <x v="19"/>
    <n v="37.857142857142897"/>
    <n v="13817.857142857099"/>
    <n v="49744.285714285703"/>
  </r>
  <r>
    <x v="0"/>
    <x v="0"/>
    <x v="0"/>
    <x v="3"/>
    <x v="4"/>
    <s v="DE4-E_A"/>
    <x v="3"/>
    <s v="GNR_ST_NGAS_BP_E-31"/>
    <x v="0"/>
    <x v="20"/>
    <n v="37.857142857142897"/>
    <n v="13817.857142857099"/>
    <n v="49744.285714285703"/>
  </r>
  <r>
    <x v="0"/>
    <x v="0"/>
    <x v="0"/>
    <x v="3"/>
    <x v="4"/>
    <s v="DE4-E_A"/>
    <x v="3"/>
    <s v="GNR_ST_NGAS_BP_E-31"/>
    <x v="0"/>
    <x v="21"/>
    <n v="37.857142857142897"/>
    <n v="13817.857142857099"/>
    <n v="49744.285714285703"/>
  </r>
  <r>
    <x v="0"/>
    <x v="0"/>
    <x v="0"/>
    <x v="3"/>
    <x v="4"/>
    <s v="DE4-E_A"/>
    <x v="3"/>
    <s v="GNR_ST_NGAS_BP_E-31"/>
    <x v="0"/>
    <x v="22"/>
    <n v="37.857142857142897"/>
    <n v="13817.857142857099"/>
    <n v="49744.285714285703"/>
  </r>
  <r>
    <x v="0"/>
    <x v="0"/>
    <x v="0"/>
    <x v="3"/>
    <x v="4"/>
    <s v="DE4-E_A"/>
    <x v="3"/>
    <s v="GNR_ST_NGAS_BP_E-31"/>
    <x v="0"/>
    <x v="23"/>
    <n v="37.857142857142897"/>
    <n v="13817.857142857099"/>
    <n v="49744.285714285703"/>
  </r>
  <r>
    <x v="0"/>
    <x v="0"/>
    <x v="0"/>
    <x v="3"/>
    <x v="4"/>
    <s v="DE4-E_A"/>
    <x v="3"/>
    <s v="GNR_ST_NGAS_BP_E-38"/>
    <x v="0"/>
    <x v="6"/>
    <n v="1747.1428571428601"/>
    <n v="637707.14285714296"/>
    <n v="2295745.7142857099"/>
  </r>
  <r>
    <x v="0"/>
    <x v="0"/>
    <x v="0"/>
    <x v="3"/>
    <x v="4"/>
    <s v="DE4-E_A"/>
    <x v="3"/>
    <s v="GNR_ST_NGAS_BP_E-38"/>
    <x v="0"/>
    <x v="7"/>
    <n v="1747.1428571428601"/>
    <n v="637707.14285714296"/>
    <n v="2295745.7142857099"/>
  </r>
  <r>
    <x v="0"/>
    <x v="0"/>
    <x v="0"/>
    <x v="3"/>
    <x v="4"/>
    <s v="DE4-E_A"/>
    <x v="3"/>
    <s v="GNR_ST_NGAS_BP_E-38"/>
    <x v="0"/>
    <x v="8"/>
    <n v="1747.1428571428601"/>
    <n v="637707.14285714296"/>
    <n v="2295745.7142857099"/>
  </r>
  <r>
    <x v="0"/>
    <x v="0"/>
    <x v="0"/>
    <x v="3"/>
    <x v="4"/>
    <s v="DE4-E_A"/>
    <x v="3"/>
    <s v="GNR_ST_NGAS_BP_E-38"/>
    <x v="0"/>
    <x v="9"/>
    <n v="1747.1428571428601"/>
    <n v="637707.14285714296"/>
    <n v="2295745.7142857099"/>
  </r>
  <r>
    <x v="0"/>
    <x v="0"/>
    <x v="0"/>
    <x v="3"/>
    <x v="4"/>
    <s v="DE4-E_A"/>
    <x v="3"/>
    <s v="GNR_ST_NGAS_BP_E-38"/>
    <x v="0"/>
    <x v="10"/>
    <n v="1747.1428571428601"/>
    <n v="637707.14285714296"/>
    <n v="2295745.7142857099"/>
  </r>
  <r>
    <x v="0"/>
    <x v="0"/>
    <x v="0"/>
    <x v="3"/>
    <x v="4"/>
    <s v="DE4-E_A"/>
    <x v="3"/>
    <s v="GNR_ST_NGAS_BP_E-38"/>
    <x v="0"/>
    <x v="11"/>
    <n v="1747.1428571428601"/>
    <n v="637707.14285714296"/>
    <n v="2295745.7142857099"/>
  </r>
  <r>
    <x v="0"/>
    <x v="0"/>
    <x v="0"/>
    <x v="3"/>
    <x v="4"/>
    <s v="DE4-E_A"/>
    <x v="3"/>
    <s v="GNR_ST_NGAS_BP_E-38"/>
    <x v="0"/>
    <x v="0"/>
    <n v="1747.1428571428601"/>
    <n v="637707.14285714296"/>
    <n v="2295745.7142857099"/>
  </r>
  <r>
    <x v="0"/>
    <x v="0"/>
    <x v="0"/>
    <x v="3"/>
    <x v="4"/>
    <s v="DE4-E_A"/>
    <x v="3"/>
    <s v="GNR_ST_NGAS_BP_E-38"/>
    <x v="0"/>
    <x v="1"/>
    <n v="1747.1428571428601"/>
    <n v="637707.14285714296"/>
    <n v="2295745.7142857099"/>
  </r>
  <r>
    <x v="0"/>
    <x v="0"/>
    <x v="0"/>
    <x v="3"/>
    <x v="4"/>
    <s v="DE4-E_A"/>
    <x v="3"/>
    <s v="GNR_ST_NGAS_BP_E-38"/>
    <x v="0"/>
    <x v="2"/>
    <n v="1747.1428571428601"/>
    <n v="637707.14285714296"/>
    <n v="2295745.7142857099"/>
  </r>
  <r>
    <x v="0"/>
    <x v="0"/>
    <x v="0"/>
    <x v="3"/>
    <x v="4"/>
    <s v="DE4-E_A"/>
    <x v="3"/>
    <s v="GNR_ST_NGAS_BP_E-38"/>
    <x v="0"/>
    <x v="3"/>
    <n v="1747.1428571428601"/>
    <n v="637707.14285714296"/>
    <n v="2295745.7142857099"/>
  </r>
  <r>
    <x v="0"/>
    <x v="0"/>
    <x v="0"/>
    <x v="3"/>
    <x v="4"/>
    <s v="DE4-E_A"/>
    <x v="3"/>
    <s v="GNR_ST_NGAS_BP_E-38"/>
    <x v="0"/>
    <x v="12"/>
    <n v="1747.1428571428601"/>
    <n v="637707.14285714296"/>
    <n v="2295745.7142857099"/>
  </r>
  <r>
    <x v="0"/>
    <x v="0"/>
    <x v="0"/>
    <x v="3"/>
    <x v="4"/>
    <s v="DE4-E_A"/>
    <x v="3"/>
    <s v="GNR_ST_NGAS_BP_E-38"/>
    <x v="0"/>
    <x v="13"/>
    <n v="1747.1428571428601"/>
    <n v="637707.14285714296"/>
    <n v="2295745.7142857099"/>
  </r>
  <r>
    <x v="0"/>
    <x v="0"/>
    <x v="0"/>
    <x v="3"/>
    <x v="4"/>
    <s v="DE4-E_A"/>
    <x v="3"/>
    <s v="GNR_ST_NGAS_BP_E-38"/>
    <x v="0"/>
    <x v="14"/>
    <n v="1747.1428571428601"/>
    <n v="637707.14285714296"/>
    <n v="2295745.7142857099"/>
  </r>
  <r>
    <x v="0"/>
    <x v="0"/>
    <x v="0"/>
    <x v="3"/>
    <x v="4"/>
    <s v="DE4-E_A"/>
    <x v="3"/>
    <s v="GNR_ST_NGAS_BP_E-38"/>
    <x v="0"/>
    <x v="15"/>
    <n v="1747.1428571428601"/>
    <n v="637707.14285714296"/>
    <n v="2295745.7142857099"/>
  </r>
  <r>
    <x v="0"/>
    <x v="0"/>
    <x v="0"/>
    <x v="3"/>
    <x v="4"/>
    <s v="DE4-E_A"/>
    <x v="3"/>
    <s v="GNR_ST_NGAS_BP_E-38"/>
    <x v="0"/>
    <x v="4"/>
    <n v="1747.1428571428601"/>
    <n v="637707.14285714296"/>
    <n v="2295745.7142857099"/>
  </r>
  <r>
    <x v="0"/>
    <x v="0"/>
    <x v="0"/>
    <x v="3"/>
    <x v="4"/>
    <s v="DE4-E_A"/>
    <x v="3"/>
    <s v="GNR_ST_NGAS_BP_E-38"/>
    <x v="0"/>
    <x v="16"/>
    <n v="1747.1428571428601"/>
    <n v="637707.14285714296"/>
    <n v="2295745.7142857099"/>
  </r>
  <r>
    <x v="0"/>
    <x v="0"/>
    <x v="0"/>
    <x v="3"/>
    <x v="4"/>
    <s v="DE4-E_A"/>
    <x v="3"/>
    <s v="GNR_ST_NGAS_BP_E-38"/>
    <x v="0"/>
    <x v="5"/>
    <n v="1747.1428571428601"/>
    <n v="637707.14285714296"/>
    <n v="2295745.7142857099"/>
  </r>
  <r>
    <x v="0"/>
    <x v="0"/>
    <x v="0"/>
    <x v="3"/>
    <x v="4"/>
    <s v="DE4-E_A"/>
    <x v="3"/>
    <s v="GNR_ST_NGAS_BP_E-38"/>
    <x v="0"/>
    <x v="17"/>
    <n v="1747.1428571428601"/>
    <n v="637707.14285714296"/>
    <n v="2295745.7142857099"/>
  </r>
  <r>
    <x v="0"/>
    <x v="0"/>
    <x v="0"/>
    <x v="3"/>
    <x v="4"/>
    <s v="DE4-E_A"/>
    <x v="3"/>
    <s v="GNR_ST_NGAS_BP_E-38"/>
    <x v="0"/>
    <x v="18"/>
    <n v="1747.1428571428601"/>
    <n v="637707.14285714296"/>
    <n v="2295745.7142857099"/>
  </r>
  <r>
    <x v="0"/>
    <x v="0"/>
    <x v="0"/>
    <x v="3"/>
    <x v="4"/>
    <s v="DE4-E_A"/>
    <x v="3"/>
    <s v="GNR_ST_NGAS_BP_E-38"/>
    <x v="0"/>
    <x v="19"/>
    <n v="1747.1428571428601"/>
    <n v="637707.14285714296"/>
    <n v="2295745.7142857099"/>
  </r>
  <r>
    <x v="0"/>
    <x v="0"/>
    <x v="0"/>
    <x v="3"/>
    <x v="4"/>
    <s v="DE4-E_A"/>
    <x v="3"/>
    <s v="GNR_ST_NGAS_BP_E-38"/>
    <x v="0"/>
    <x v="20"/>
    <n v="1747.1428571428601"/>
    <n v="637707.14285714296"/>
    <n v="2295745.7142857099"/>
  </r>
  <r>
    <x v="0"/>
    <x v="0"/>
    <x v="0"/>
    <x v="3"/>
    <x v="4"/>
    <s v="DE4-E_A"/>
    <x v="3"/>
    <s v="GNR_ST_NGAS_BP_E-38"/>
    <x v="0"/>
    <x v="21"/>
    <n v="1747.1428571428601"/>
    <n v="637707.14285714296"/>
    <n v="2295745.7142857099"/>
  </r>
  <r>
    <x v="0"/>
    <x v="0"/>
    <x v="0"/>
    <x v="3"/>
    <x v="4"/>
    <s v="DE4-E_A"/>
    <x v="3"/>
    <s v="GNR_ST_NGAS_BP_E-38"/>
    <x v="0"/>
    <x v="22"/>
    <n v="1747.1428571428601"/>
    <n v="637707.14285714296"/>
    <n v="2295745.7142857099"/>
  </r>
  <r>
    <x v="0"/>
    <x v="0"/>
    <x v="0"/>
    <x v="3"/>
    <x v="4"/>
    <s v="DE4-E_A"/>
    <x v="3"/>
    <s v="GNR_ST_NGAS_BP_E-38"/>
    <x v="0"/>
    <x v="23"/>
    <n v="1747.1428571428601"/>
    <n v="637707.14285714296"/>
    <n v="2295745.7142857099"/>
  </r>
  <r>
    <x v="0"/>
    <x v="0"/>
    <x v="0"/>
    <x v="3"/>
    <x v="5"/>
    <s v="DE4-N_A"/>
    <x v="9"/>
    <s v="GNR_BO_BGAS_E-80"/>
    <x v="0"/>
    <x v="6"/>
    <n v="0.2"/>
    <n v="73"/>
    <n v="262.8"/>
  </r>
  <r>
    <x v="0"/>
    <x v="0"/>
    <x v="0"/>
    <x v="3"/>
    <x v="5"/>
    <s v="DE4-N_A"/>
    <x v="9"/>
    <s v="GNR_BO_BGAS_E-80"/>
    <x v="0"/>
    <x v="7"/>
    <n v="0.2"/>
    <n v="73"/>
    <n v="262.8"/>
  </r>
  <r>
    <x v="0"/>
    <x v="0"/>
    <x v="0"/>
    <x v="3"/>
    <x v="5"/>
    <s v="DE4-N_A"/>
    <x v="9"/>
    <s v="GNR_BO_BGAS_E-80"/>
    <x v="0"/>
    <x v="8"/>
    <n v="0.2"/>
    <n v="73"/>
    <n v="262.8"/>
  </r>
  <r>
    <x v="0"/>
    <x v="0"/>
    <x v="0"/>
    <x v="3"/>
    <x v="5"/>
    <s v="DE4-N_A"/>
    <x v="9"/>
    <s v="GNR_BO_BGAS_E-80"/>
    <x v="0"/>
    <x v="9"/>
    <n v="0.2"/>
    <n v="73"/>
    <n v="262.8"/>
  </r>
  <r>
    <x v="0"/>
    <x v="0"/>
    <x v="0"/>
    <x v="3"/>
    <x v="5"/>
    <s v="DE4-N_A"/>
    <x v="9"/>
    <s v="GNR_BO_BGAS_E-80"/>
    <x v="0"/>
    <x v="10"/>
    <n v="0.2"/>
    <n v="73"/>
    <n v="262.8"/>
  </r>
  <r>
    <x v="0"/>
    <x v="0"/>
    <x v="0"/>
    <x v="3"/>
    <x v="5"/>
    <s v="DE4-N_A"/>
    <x v="9"/>
    <s v="GNR_BO_BGAS_E-80"/>
    <x v="0"/>
    <x v="11"/>
    <n v="0.2"/>
    <n v="73"/>
    <n v="262.8"/>
  </r>
  <r>
    <x v="0"/>
    <x v="0"/>
    <x v="0"/>
    <x v="3"/>
    <x v="5"/>
    <s v="DE4-N_A"/>
    <x v="9"/>
    <s v="GNR_BO_BGAS_E-80"/>
    <x v="0"/>
    <x v="0"/>
    <n v="0.2"/>
    <n v="73"/>
    <n v="262.8"/>
  </r>
  <r>
    <x v="0"/>
    <x v="0"/>
    <x v="0"/>
    <x v="3"/>
    <x v="5"/>
    <s v="DE4-N_A"/>
    <x v="9"/>
    <s v="GNR_BO_BGAS_E-80"/>
    <x v="0"/>
    <x v="1"/>
    <n v="0.2"/>
    <n v="73"/>
    <n v="262.8"/>
  </r>
  <r>
    <x v="0"/>
    <x v="0"/>
    <x v="0"/>
    <x v="3"/>
    <x v="5"/>
    <s v="DE4-N_A"/>
    <x v="9"/>
    <s v="GNR_BO_BGAS_E-80"/>
    <x v="0"/>
    <x v="2"/>
    <n v="0.2"/>
    <n v="73"/>
    <n v="262.8"/>
  </r>
  <r>
    <x v="0"/>
    <x v="0"/>
    <x v="0"/>
    <x v="3"/>
    <x v="5"/>
    <s v="DE4-N_A"/>
    <x v="9"/>
    <s v="GNR_BO_BGAS_E-80"/>
    <x v="0"/>
    <x v="3"/>
    <n v="0.2"/>
    <n v="73"/>
    <n v="262.8"/>
  </r>
  <r>
    <x v="0"/>
    <x v="0"/>
    <x v="0"/>
    <x v="3"/>
    <x v="5"/>
    <s v="DE4-N_A"/>
    <x v="9"/>
    <s v="GNR_BO_BGAS_E-80"/>
    <x v="0"/>
    <x v="12"/>
    <n v="0.2"/>
    <n v="73"/>
    <n v="262.8"/>
  </r>
  <r>
    <x v="0"/>
    <x v="0"/>
    <x v="0"/>
    <x v="3"/>
    <x v="5"/>
    <s v="DE4-N_A"/>
    <x v="9"/>
    <s v="GNR_BO_BGAS_E-80"/>
    <x v="0"/>
    <x v="13"/>
    <n v="0.2"/>
    <n v="73"/>
    <n v="262.8"/>
  </r>
  <r>
    <x v="0"/>
    <x v="0"/>
    <x v="0"/>
    <x v="3"/>
    <x v="5"/>
    <s v="DE4-N_A"/>
    <x v="9"/>
    <s v="GNR_BO_BGAS_E-80"/>
    <x v="0"/>
    <x v="14"/>
    <n v="0.2"/>
    <n v="73"/>
    <n v="262.8"/>
  </r>
  <r>
    <x v="0"/>
    <x v="0"/>
    <x v="0"/>
    <x v="3"/>
    <x v="5"/>
    <s v="DE4-N_A"/>
    <x v="9"/>
    <s v="GNR_BO_BGAS_E-80"/>
    <x v="0"/>
    <x v="15"/>
    <n v="0.2"/>
    <n v="73"/>
    <n v="262.8"/>
  </r>
  <r>
    <x v="0"/>
    <x v="0"/>
    <x v="0"/>
    <x v="3"/>
    <x v="5"/>
    <s v="DE4-N_A"/>
    <x v="9"/>
    <s v="GNR_BO_BGAS_E-80"/>
    <x v="0"/>
    <x v="4"/>
    <n v="0.2"/>
    <n v="73"/>
    <n v="262.8"/>
  </r>
  <r>
    <x v="0"/>
    <x v="0"/>
    <x v="0"/>
    <x v="3"/>
    <x v="5"/>
    <s v="DE4-N_A"/>
    <x v="9"/>
    <s v="GNR_BO_BGAS_E-80"/>
    <x v="0"/>
    <x v="16"/>
    <n v="0.2"/>
    <n v="73"/>
    <n v="262.8"/>
  </r>
  <r>
    <x v="0"/>
    <x v="0"/>
    <x v="0"/>
    <x v="3"/>
    <x v="5"/>
    <s v="DE4-N_A"/>
    <x v="9"/>
    <s v="GNR_BO_BGAS_E-80"/>
    <x v="0"/>
    <x v="5"/>
    <n v="0.2"/>
    <n v="73"/>
    <n v="262.8"/>
  </r>
  <r>
    <x v="0"/>
    <x v="0"/>
    <x v="0"/>
    <x v="3"/>
    <x v="5"/>
    <s v="DE4-N_A"/>
    <x v="9"/>
    <s v="GNR_BO_BGAS_E-80"/>
    <x v="0"/>
    <x v="17"/>
    <n v="0.2"/>
    <n v="73"/>
    <n v="262.8"/>
  </r>
  <r>
    <x v="0"/>
    <x v="0"/>
    <x v="0"/>
    <x v="3"/>
    <x v="5"/>
    <s v="DE4-N_A"/>
    <x v="9"/>
    <s v="GNR_BO_BGAS_E-80"/>
    <x v="0"/>
    <x v="18"/>
    <n v="0.2"/>
    <n v="73"/>
    <n v="262.8"/>
  </r>
  <r>
    <x v="0"/>
    <x v="0"/>
    <x v="0"/>
    <x v="3"/>
    <x v="5"/>
    <s v="DE4-N_A"/>
    <x v="9"/>
    <s v="GNR_BO_BGAS_E-80"/>
    <x v="0"/>
    <x v="19"/>
    <n v="0.2"/>
    <n v="73"/>
    <n v="262.8"/>
  </r>
  <r>
    <x v="0"/>
    <x v="0"/>
    <x v="0"/>
    <x v="3"/>
    <x v="5"/>
    <s v="DE4-N_A"/>
    <x v="9"/>
    <s v="GNR_BO_BGAS_E-80"/>
    <x v="0"/>
    <x v="20"/>
    <n v="0.2"/>
    <n v="73"/>
    <n v="262.8"/>
  </r>
  <r>
    <x v="0"/>
    <x v="0"/>
    <x v="0"/>
    <x v="3"/>
    <x v="5"/>
    <s v="DE4-N_A"/>
    <x v="9"/>
    <s v="GNR_BO_BGAS_E-80"/>
    <x v="0"/>
    <x v="21"/>
    <n v="0.2"/>
    <n v="73"/>
    <n v="262.8"/>
  </r>
  <r>
    <x v="0"/>
    <x v="0"/>
    <x v="0"/>
    <x v="3"/>
    <x v="5"/>
    <s v="DE4-N_A"/>
    <x v="9"/>
    <s v="GNR_BO_BGAS_E-80"/>
    <x v="0"/>
    <x v="22"/>
    <n v="0.2"/>
    <n v="73"/>
    <n v="262.8"/>
  </r>
  <r>
    <x v="0"/>
    <x v="0"/>
    <x v="0"/>
    <x v="3"/>
    <x v="5"/>
    <s v="DE4-N_A"/>
    <x v="9"/>
    <s v="GNR_BO_BGAS_E-80"/>
    <x v="0"/>
    <x v="23"/>
    <n v="0.2"/>
    <n v="73"/>
    <n v="262.8"/>
  </r>
  <r>
    <x v="0"/>
    <x v="0"/>
    <x v="0"/>
    <x v="3"/>
    <x v="5"/>
    <s v="DE4-N_A"/>
    <x v="9"/>
    <s v="GNR_ENG_BGAS_BP_E-45"/>
    <x v="0"/>
    <x v="6"/>
    <n v="0.58536585365853699"/>
    <n v="213.65853658536599"/>
    <n v="769.17073170731703"/>
  </r>
  <r>
    <x v="0"/>
    <x v="0"/>
    <x v="0"/>
    <x v="3"/>
    <x v="5"/>
    <s v="DE4-N_A"/>
    <x v="9"/>
    <s v="GNR_ENG_BGAS_BP_E-45"/>
    <x v="0"/>
    <x v="7"/>
    <n v="0.58536585365853699"/>
    <n v="213.65853658536599"/>
    <n v="769.17073170731703"/>
  </r>
  <r>
    <x v="0"/>
    <x v="0"/>
    <x v="0"/>
    <x v="3"/>
    <x v="5"/>
    <s v="DE4-N_A"/>
    <x v="9"/>
    <s v="GNR_ENG_BGAS_BP_E-45"/>
    <x v="0"/>
    <x v="8"/>
    <n v="0.58536585365853699"/>
    <n v="213.65853658536599"/>
    <n v="769.17073170731703"/>
  </r>
  <r>
    <x v="0"/>
    <x v="0"/>
    <x v="0"/>
    <x v="3"/>
    <x v="5"/>
    <s v="DE4-N_A"/>
    <x v="9"/>
    <s v="GNR_ENG_BGAS_BP_E-45"/>
    <x v="0"/>
    <x v="9"/>
    <n v="0.58536585365853699"/>
    <n v="213.65853658536599"/>
    <n v="769.17073170731703"/>
  </r>
  <r>
    <x v="0"/>
    <x v="0"/>
    <x v="0"/>
    <x v="3"/>
    <x v="5"/>
    <s v="DE4-N_A"/>
    <x v="9"/>
    <s v="GNR_ENG_BGAS_BP_E-45"/>
    <x v="0"/>
    <x v="10"/>
    <n v="0.58536585365853699"/>
    <n v="213.65853658536599"/>
    <n v="769.17073170731703"/>
  </r>
  <r>
    <x v="0"/>
    <x v="0"/>
    <x v="0"/>
    <x v="3"/>
    <x v="5"/>
    <s v="DE4-N_A"/>
    <x v="9"/>
    <s v="GNR_ENG_BGAS_BP_E-45"/>
    <x v="0"/>
    <x v="11"/>
    <n v="0.58536585365853699"/>
    <n v="213.65853658536599"/>
    <n v="769.17073170731703"/>
  </r>
  <r>
    <x v="0"/>
    <x v="0"/>
    <x v="0"/>
    <x v="3"/>
    <x v="5"/>
    <s v="DE4-N_A"/>
    <x v="9"/>
    <s v="GNR_ENG_BGAS_BP_E-45"/>
    <x v="0"/>
    <x v="0"/>
    <n v="0.58536585365853699"/>
    <n v="213.65853658536599"/>
    <n v="769.17073170731703"/>
  </r>
  <r>
    <x v="0"/>
    <x v="0"/>
    <x v="0"/>
    <x v="3"/>
    <x v="5"/>
    <s v="DE4-N_A"/>
    <x v="9"/>
    <s v="GNR_ENG_BGAS_BP_E-45"/>
    <x v="0"/>
    <x v="1"/>
    <n v="0.58536585365853699"/>
    <n v="213.65853658536599"/>
    <n v="769.17073170731703"/>
  </r>
  <r>
    <x v="0"/>
    <x v="0"/>
    <x v="0"/>
    <x v="3"/>
    <x v="5"/>
    <s v="DE4-N_A"/>
    <x v="9"/>
    <s v="GNR_ENG_BGAS_BP_E-45"/>
    <x v="0"/>
    <x v="2"/>
    <n v="0.58536585365853699"/>
    <n v="213.65853658536599"/>
    <n v="769.17073170731703"/>
  </r>
  <r>
    <x v="0"/>
    <x v="0"/>
    <x v="0"/>
    <x v="3"/>
    <x v="5"/>
    <s v="DE4-N_A"/>
    <x v="9"/>
    <s v="GNR_ENG_BGAS_BP_E-45"/>
    <x v="0"/>
    <x v="3"/>
    <n v="0.58536585365853699"/>
    <n v="213.65853658536599"/>
    <n v="769.17073170731703"/>
  </r>
  <r>
    <x v="0"/>
    <x v="0"/>
    <x v="0"/>
    <x v="3"/>
    <x v="5"/>
    <s v="DE4-N_A"/>
    <x v="9"/>
    <s v="GNR_ENG_BGAS_BP_E-45"/>
    <x v="0"/>
    <x v="12"/>
    <n v="0.58536585365853699"/>
    <n v="213.65853658536599"/>
    <n v="769.17073170731703"/>
  </r>
  <r>
    <x v="0"/>
    <x v="0"/>
    <x v="0"/>
    <x v="3"/>
    <x v="5"/>
    <s v="DE4-N_A"/>
    <x v="9"/>
    <s v="GNR_ENG_BGAS_BP_E-45"/>
    <x v="0"/>
    <x v="13"/>
    <n v="0.58536585365853699"/>
    <n v="213.65853658536599"/>
    <n v="769.17073170731703"/>
  </r>
  <r>
    <x v="0"/>
    <x v="0"/>
    <x v="0"/>
    <x v="3"/>
    <x v="5"/>
    <s v="DE4-N_A"/>
    <x v="9"/>
    <s v="GNR_ENG_BGAS_BP_E-45"/>
    <x v="0"/>
    <x v="14"/>
    <n v="0.58536585365853699"/>
    <n v="213.65853658536599"/>
    <n v="769.17073170731703"/>
  </r>
  <r>
    <x v="0"/>
    <x v="0"/>
    <x v="0"/>
    <x v="3"/>
    <x v="5"/>
    <s v="DE4-N_A"/>
    <x v="9"/>
    <s v="GNR_ENG_BGAS_BP_E-45"/>
    <x v="0"/>
    <x v="15"/>
    <n v="0.58536585365853699"/>
    <n v="213.65853658536599"/>
    <n v="769.17073170731703"/>
  </r>
  <r>
    <x v="0"/>
    <x v="0"/>
    <x v="0"/>
    <x v="3"/>
    <x v="5"/>
    <s v="DE4-N_A"/>
    <x v="9"/>
    <s v="GNR_ENG_BGAS_BP_E-45"/>
    <x v="0"/>
    <x v="4"/>
    <n v="0.58536585365853699"/>
    <n v="213.65853658536599"/>
    <n v="769.17073170731703"/>
  </r>
  <r>
    <x v="0"/>
    <x v="0"/>
    <x v="0"/>
    <x v="3"/>
    <x v="5"/>
    <s v="DE4-N_A"/>
    <x v="9"/>
    <s v="GNR_ENG_BGAS_BP_E-45"/>
    <x v="0"/>
    <x v="16"/>
    <n v="0.58536585365853699"/>
    <n v="213.65853658536599"/>
    <n v="769.17073170731703"/>
  </r>
  <r>
    <x v="0"/>
    <x v="0"/>
    <x v="0"/>
    <x v="3"/>
    <x v="5"/>
    <s v="DE4-N_A"/>
    <x v="9"/>
    <s v="GNR_ENG_BGAS_BP_E-45"/>
    <x v="0"/>
    <x v="5"/>
    <n v="0.58536585365853699"/>
    <n v="213.65853658536599"/>
    <n v="769.17073170731703"/>
  </r>
  <r>
    <x v="0"/>
    <x v="0"/>
    <x v="0"/>
    <x v="3"/>
    <x v="5"/>
    <s v="DE4-N_A"/>
    <x v="9"/>
    <s v="GNR_ENG_BGAS_BP_E-45"/>
    <x v="0"/>
    <x v="17"/>
    <n v="0.58536585365853699"/>
    <n v="213.65853658536599"/>
    <n v="769.17073170731703"/>
  </r>
  <r>
    <x v="0"/>
    <x v="0"/>
    <x v="0"/>
    <x v="3"/>
    <x v="5"/>
    <s v="DE4-N_A"/>
    <x v="9"/>
    <s v="GNR_ENG_BGAS_BP_E-45"/>
    <x v="0"/>
    <x v="18"/>
    <n v="0.58536585365853699"/>
    <n v="213.65853658536599"/>
    <n v="769.17073170731703"/>
  </r>
  <r>
    <x v="0"/>
    <x v="0"/>
    <x v="0"/>
    <x v="3"/>
    <x v="5"/>
    <s v="DE4-N_A"/>
    <x v="9"/>
    <s v="GNR_ENG_BGAS_BP_E-45"/>
    <x v="0"/>
    <x v="19"/>
    <n v="0.58536585365853699"/>
    <n v="213.65853658536599"/>
    <n v="769.17073170731703"/>
  </r>
  <r>
    <x v="0"/>
    <x v="0"/>
    <x v="0"/>
    <x v="3"/>
    <x v="5"/>
    <s v="DE4-N_A"/>
    <x v="9"/>
    <s v="GNR_ENG_BGAS_BP_E-45"/>
    <x v="0"/>
    <x v="20"/>
    <n v="0.58536585365853699"/>
    <n v="213.65853658536599"/>
    <n v="769.17073170731703"/>
  </r>
  <r>
    <x v="0"/>
    <x v="0"/>
    <x v="0"/>
    <x v="3"/>
    <x v="5"/>
    <s v="DE4-N_A"/>
    <x v="9"/>
    <s v="GNR_ENG_BGAS_BP_E-45"/>
    <x v="0"/>
    <x v="21"/>
    <n v="0.58536585365853699"/>
    <n v="213.65853658536599"/>
    <n v="769.17073170731703"/>
  </r>
  <r>
    <x v="0"/>
    <x v="0"/>
    <x v="0"/>
    <x v="3"/>
    <x v="5"/>
    <s v="DE4-N_A"/>
    <x v="9"/>
    <s v="GNR_ENG_BGAS_BP_E-45"/>
    <x v="0"/>
    <x v="22"/>
    <n v="0.58536585365853699"/>
    <n v="213.65853658536599"/>
    <n v="769.17073170731703"/>
  </r>
  <r>
    <x v="0"/>
    <x v="0"/>
    <x v="0"/>
    <x v="3"/>
    <x v="5"/>
    <s v="DE4-N_A"/>
    <x v="9"/>
    <s v="GNR_ENG_BGAS_BP_E-45"/>
    <x v="0"/>
    <x v="23"/>
    <n v="0.58536585365853699"/>
    <n v="213.65853658536599"/>
    <n v="769.17073170731703"/>
  </r>
  <r>
    <x v="0"/>
    <x v="0"/>
    <x v="0"/>
    <x v="3"/>
    <x v="5"/>
    <s v="DE4-N_A"/>
    <x v="9"/>
    <s v="GNR_ST_BGAS_BP_E-38"/>
    <x v="0"/>
    <x v="6"/>
    <n v="28.571428571428601"/>
    <n v="10428.5714285714"/>
    <n v="37542.857142857101"/>
  </r>
  <r>
    <x v="0"/>
    <x v="0"/>
    <x v="0"/>
    <x v="3"/>
    <x v="5"/>
    <s v="DE4-N_A"/>
    <x v="9"/>
    <s v="GNR_ST_BGAS_BP_E-38"/>
    <x v="0"/>
    <x v="7"/>
    <n v="28.571428571428601"/>
    <n v="10428.5714285714"/>
    <n v="37542.857142857101"/>
  </r>
  <r>
    <x v="0"/>
    <x v="0"/>
    <x v="0"/>
    <x v="3"/>
    <x v="5"/>
    <s v="DE4-N_A"/>
    <x v="9"/>
    <s v="GNR_ST_BGAS_BP_E-38"/>
    <x v="0"/>
    <x v="8"/>
    <n v="28.571428571428601"/>
    <n v="10428.5714285714"/>
    <n v="37542.857142857101"/>
  </r>
  <r>
    <x v="0"/>
    <x v="0"/>
    <x v="0"/>
    <x v="3"/>
    <x v="5"/>
    <s v="DE4-N_A"/>
    <x v="9"/>
    <s v="GNR_ST_BGAS_BP_E-38"/>
    <x v="0"/>
    <x v="9"/>
    <n v="28.571428571428601"/>
    <n v="10428.5714285714"/>
    <n v="37542.857142857101"/>
  </r>
  <r>
    <x v="0"/>
    <x v="0"/>
    <x v="0"/>
    <x v="3"/>
    <x v="5"/>
    <s v="DE4-N_A"/>
    <x v="9"/>
    <s v="GNR_ST_BGAS_BP_E-38"/>
    <x v="0"/>
    <x v="10"/>
    <n v="28.571428571428601"/>
    <n v="10428.5714285714"/>
    <n v="37542.857142857101"/>
  </r>
  <r>
    <x v="0"/>
    <x v="0"/>
    <x v="0"/>
    <x v="3"/>
    <x v="5"/>
    <s v="DE4-N_A"/>
    <x v="9"/>
    <s v="GNR_ST_BGAS_BP_E-38"/>
    <x v="0"/>
    <x v="11"/>
    <n v="28.571428571428601"/>
    <n v="10428.5714285714"/>
    <n v="37542.857142857101"/>
  </r>
  <r>
    <x v="0"/>
    <x v="0"/>
    <x v="0"/>
    <x v="3"/>
    <x v="5"/>
    <s v="DE4-N_A"/>
    <x v="9"/>
    <s v="GNR_ST_BGAS_BP_E-38"/>
    <x v="0"/>
    <x v="0"/>
    <n v="28.571428571428601"/>
    <n v="10428.5714285714"/>
    <n v="37542.857142857101"/>
  </r>
  <r>
    <x v="0"/>
    <x v="0"/>
    <x v="0"/>
    <x v="3"/>
    <x v="5"/>
    <s v="DE4-N_A"/>
    <x v="9"/>
    <s v="GNR_ST_BGAS_BP_E-38"/>
    <x v="0"/>
    <x v="1"/>
    <n v="28.571428571428601"/>
    <n v="10428.5714285714"/>
    <n v="37542.857142857101"/>
  </r>
  <r>
    <x v="0"/>
    <x v="0"/>
    <x v="0"/>
    <x v="3"/>
    <x v="5"/>
    <s v="DE4-N_A"/>
    <x v="9"/>
    <s v="GNR_ST_BGAS_BP_E-38"/>
    <x v="0"/>
    <x v="2"/>
    <n v="28.571428571428601"/>
    <n v="10428.5714285714"/>
    <n v="37542.857142857101"/>
  </r>
  <r>
    <x v="0"/>
    <x v="0"/>
    <x v="0"/>
    <x v="3"/>
    <x v="5"/>
    <s v="DE4-N_A"/>
    <x v="9"/>
    <s v="GNR_ST_BGAS_BP_E-38"/>
    <x v="0"/>
    <x v="3"/>
    <n v="28.571428571428601"/>
    <n v="10428.5714285714"/>
    <n v="37542.857142857101"/>
  </r>
  <r>
    <x v="0"/>
    <x v="0"/>
    <x v="0"/>
    <x v="3"/>
    <x v="5"/>
    <s v="DE4-N_A"/>
    <x v="9"/>
    <s v="GNR_ST_BGAS_BP_E-38"/>
    <x v="0"/>
    <x v="12"/>
    <n v="28.571428571428601"/>
    <n v="10428.5714285714"/>
    <n v="37542.857142857101"/>
  </r>
  <r>
    <x v="0"/>
    <x v="0"/>
    <x v="0"/>
    <x v="3"/>
    <x v="5"/>
    <s v="DE4-N_A"/>
    <x v="9"/>
    <s v="GNR_ST_BGAS_BP_E-38"/>
    <x v="0"/>
    <x v="13"/>
    <n v="28.571428571428601"/>
    <n v="10428.5714285714"/>
    <n v="37542.857142857101"/>
  </r>
  <r>
    <x v="0"/>
    <x v="0"/>
    <x v="0"/>
    <x v="3"/>
    <x v="5"/>
    <s v="DE4-N_A"/>
    <x v="9"/>
    <s v="GNR_ST_BGAS_BP_E-38"/>
    <x v="0"/>
    <x v="14"/>
    <n v="28.571428571428601"/>
    <n v="10428.5714285714"/>
    <n v="37542.857142857101"/>
  </r>
  <r>
    <x v="0"/>
    <x v="0"/>
    <x v="0"/>
    <x v="3"/>
    <x v="5"/>
    <s v="DE4-N_A"/>
    <x v="9"/>
    <s v="GNR_ST_BGAS_BP_E-38"/>
    <x v="0"/>
    <x v="15"/>
    <n v="28.571428571428601"/>
    <n v="10428.5714285714"/>
    <n v="37542.857142857101"/>
  </r>
  <r>
    <x v="0"/>
    <x v="0"/>
    <x v="0"/>
    <x v="3"/>
    <x v="5"/>
    <s v="DE4-N_A"/>
    <x v="9"/>
    <s v="GNR_ST_BGAS_BP_E-38"/>
    <x v="0"/>
    <x v="4"/>
    <n v="28.571428571428601"/>
    <n v="10428.5714285714"/>
    <n v="37542.857142857101"/>
  </r>
  <r>
    <x v="0"/>
    <x v="0"/>
    <x v="0"/>
    <x v="3"/>
    <x v="5"/>
    <s v="DE4-N_A"/>
    <x v="9"/>
    <s v="GNR_ST_BGAS_BP_E-38"/>
    <x v="0"/>
    <x v="16"/>
    <n v="28.571428571428601"/>
    <n v="10428.5714285714"/>
    <n v="37542.857142857101"/>
  </r>
  <r>
    <x v="0"/>
    <x v="0"/>
    <x v="0"/>
    <x v="3"/>
    <x v="5"/>
    <s v="DE4-N_A"/>
    <x v="9"/>
    <s v="GNR_ST_BGAS_BP_E-38"/>
    <x v="0"/>
    <x v="5"/>
    <n v="28.571428571428601"/>
    <n v="10428.5714285714"/>
    <n v="37542.857142857101"/>
  </r>
  <r>
    <x v="0"/>
    <x v="0"/>
    <x v="0"/>
    <x v="3"/>
    <x v="5"/>
    <s v="DE4-N_A"/>
    <x v="9"/>
    <s v="GNR_ST_BGAS_BP_E-38"/>
    <x v="0"/>
    <x v="17"/>
    <n v="28.571428571428601"/>
    <n v="10428.5714285714"/>
    <n v="37542.857142857101"/>
  </r>
  <r>
    <x v="0"/>
    <x v="0"/>
    <x v="0"/>
    <x v="3"/>
    <x v="5"/>
    <s v="DE4-N_A"/>
    <x v="9"/>
    <s v="GNR_ST_BGAS_BP_E-38"/>
    <x v="0"/>
    <x v="18"/>
    <n v="28.571428571428601"/>
    <n v="10428.5714285714"/>
    <n v="37542.857142857101"/>
  </r>
  <r>
    <x v="0"/>
    <x v="0"/>
    <x v="0"/>
    <x v="3"/>
    <x v="5"/>
    <s v="DE4-N_A"/>
    <x v="9"/>
    <s v="GNR_ST_BGAS_BP_E-38"/>
    <x v="0"/>
    <x v="19"/>
    <n v="28.571428571428601"/>
    <n v="10428.5714285714"/>
    <n v="37542.857142857101"/>
  </r>
  <r>
    <x v="0"/>
    <x v="0"/>
    <x v="0"/>
    <x v="3"/>
    <x v="5"/>
    <s v="DE4-N_A"/>
    <x v="9"/>
    <s v="GNR_ST_BGAS_BP_E-38"/>
    <x v="0"/>
    <x v="20"/>
    <n v="28.571428571428601"/>
    <n v="10428.5714285714"/>
    <n v="37542.857142857101"/>
  </r>
  <r>
    <x v="0"/>
    <x v="0"/>
    <x v="0"/>
    <x v="3"/>
    <x v="5"/>
    <s v="DE4-N_A"/>
    <x v="9"/>
    <s v="GNR_ST_BGAS_BP_E-38"/>
    <x v="0"/>
    <x v="21"/>
    <n v="28.571428571428601"/>
    <n v="10428.5714285714"/>
    <n v="37542.857142857101"/>
  </r>
  <r>
    <x v="0"/>
    <x v="0"/>
    <x v="0"/>
    <x v="3"/>
    <x v="5"/>
    <s v="DE4-N_A"/>
    <x v="9"/>
    <s v="GNR_ST_BGAS_BP_E-38"/>
    <x v="0"/>
    <x v="22"/>
    <n v="28.571428571428601"/>
    <n v="10428.5714285714"/>
    <n v="37542.857142857101"/>
  </r>
  <r>
    <x v="0"/>
    <x v="0"/>
    <x v="0"/>
    <x v="3"/>
    <x v="5"/>
    <s v="DE4-N_A"/>
    <x v="9"/>
    <s v="GNR_ST_BGAS_BP_E-38"/>
    <x v="0"/>
    <x v="23"/>
    <n v="28.571428571428601"/>
    <n v="10428.5714285714"/>
    <n v="37542.857142857101"/>
  </r>
  <r>
    <x v="0"/>
    <x v="0"/>
    <x v="0"/>
    <x v="3"/>
    <x v="5"/>
    <s v="DE4-N_A"/>
    <x v="0"/>
    <s v="GNR_ST_COAL_BP_E-40"/>
    <x v="0"/>
    <x v="1"/>
    <n v="7.0019835997373496"/>
    <n v="2555.7240139041301"/>
    <n v="9200.60645005488"/>
  </r>
  <r>
    <x v="0"/>
    <x v="0"/>
    <x v="0"/>
    <x v="3"/>
    <x v="5"/>
    <s v="DE4-N_A"/>
    <x v="0"/>
    <s v="GNR_ST_COAL_BP_E-40"/>
    <x v="0"/>
    <x v="2"/>
    <n v="1151.0006768431899"/>
    <n v="420115.24704776402"/>
    <n v="1512414.8893719499"/>
  </r>
  <r>
    <x v="0"/>
    <x v="0"/>
    <x v="0"/>
    <x v="3"/>
    <x v="5"/>
    <s v="DE4-N_A"/>
    <x v="14"/>
    <s v="GNR_BO_ELEC_E-80"/>
    <x v="0"/>
    <x v="6"/>
    <n v="14.69"/>
    <n v="5361.85"/>
    <n v="19302.66"/>
  </r>
  <r>
    <x v="0"/>
    <x v="0"/>
    <x v="0"/>
    <x v="3"/>
    <x v="5"/>
    <s v="DE4-N_A"/>
    <x v="14"/>
    <s v="GNR_BO_ELEC_E-80"/>
    <x v="0"/>
    <x v="7"/>
    <n v="14.69"/>
    <n v="5361.85"/>
    <n v="19302.66"/>
  </r>
  <r>
    <x v="0"/>
    <x v="0"/>
    <x v="0"/>
    <x v="3"/>
    <x v="5"/>
    <s v="DE4-N_A"/>
    <x v="14"/>
    <s v="GNR_BO_ELEC_E-80"/>
    <x v="0"/>
    <x v="8"/>
    <n v="14.69"/>
    <n v="5361.85"/>
    <n v="19302.66"/>
  </r>
  <r>
    <x v="0"/>
    <x v="0"/>
    <x v="0"/>
    <x v="3"/>
    <x v="5"/>
    <s v="DE4-N_A"/>
    <x v="14"/>
    <s v="GNR_BO_ELEC_E-80"/>
    <x v="0"/>
    <x v="9"/>
    <n v="14.69"/>
    <n v="5361.85"/>
    <n v="19302.66"/>
  </r>
  <r>
    <x v="0"/>
    <x v="0"/>
    <x v="0"/>
    <x v="3"/>
    <x v="5"/>
    <s v="DE4-N_A"/>
    <x v="14"/>
    <s v="GNR_BO_ELEC_E-80"/>
    <x v="0"/>
    <x v="10"/>
    <n v="14.69"/>
    <n v="5361.85"/>
    <n v="19302.66"/>
  </r>
  <r>
    <x v="0"/>
    <x v="0"/>
    <x v="0"/>
    <x v="3"/>
    <x v="5"/>
    <s v="DE4-N_A"/>
    <x v="14"/>
    <s v="GNR_BO_ELEC_E-80"/>
    <x v="0"/>
    <x v="11"/>
    <n v="14.69"/>
    <n v="5361.85"/>
    <n v="19302.66"/>
  </r>
  <r>
    <x v="0"/>
    <x v="0"/>
    <x v="0"/>
    <x v="3"/>
    <x v="5"/>
    <s v="DE4-N_A"/>
    <x v="14"/>
    <s v="GNR_BO_ELEC_E-80"/>
    <x v="0"/>
    <x v="0"/>
    <n v="14.69"/>
    <n v="5361.85"/>
    <n v="19302.66"/>
  </r>
  <r>
    <x v="0"/>
    <x v="0"/>
    <x v="0"/>
    <x v="3"/>
    <x v="5"/>
    <s v="DE4-N_A"/>
    <x v="14"/>
    <s v="GNR_BO_ELEC_E-80"/>
    <x v="0"/>
    <x v="1"/>
    <n v="14.69"/>
    <n v="5361.85"/>
    <n v="19302.66"/>
  </r>
  <r>
    <x v="0"/>
    <x v="0"/>
    <x v="0"/>
    <x v="3"/>
    <x v="5"/>
    <s v="DE4-N_A"/>
    <x v="14"/>
    <s v="GNR_BO_ELEC_E-80"/>
    <x v="0"/>
    <x v="2"/>
    <n v="14.69"/>
    <n v="5361.85"/>
    <n v="19302.66"/>
  </r>
  <r>
    <x v="0"/>
    <x v="0"/>
    <x v="0"/>
    <x v="3"/>
    <x v="5"/>
    <s v="DE4-N_A"/>
    <x v="14"/>
    <s v="GNR_BO_ELEC_E-80"/>
    <x v="0"/>
    <x v="3"/>
    <n v="14.69"/>
    <n v="5361.85"/>
    <n v="19302.66"/>
  </r>
  <r>
    <x v="0"/>
    <x v="0"/>
    <x v="0"/>
    <x v="3"/>
    <x v="5"/>
    <s v="DE4-N_A"/>
    <x v="14"/>
    <s v="GNR_BO_ELEC_E-80"/>
    <x v="0"/>
    <x v="12"/>
    <n v="14.69"/>
    <n v="5361.85"/>
    <n v="19302.66"/>
  </r>
  <r>
    <x v="0"/>
    <x v="0"/>
    <x v="0"/>
    <x v="3"/>
    <x v="5"/>
    <s v="DE4-N_A"/>
    <x v="14"/>
    <s v="GNR_BO_ELEC_E-80"/>
    <x v="0"/>
    <x v="13"/>
    <n v="14.69"/>
    <n v="5361.85"/>
    <n v="19302.66"/>
  </r>
  <r>
    <x v="0"/>
    <x v="0"/>
    <x v="0"/>
    <x v="3"/>
    <x v="5"/>
    <s v="DE4-N_A"/>
    <x v="14"/>
    <s v="GNR_BO_ELEC_E-80"/>
    <x v="0"/>
    <x v="14"/>
    <n v="14.69"/>
    <n v="5361.85"/>
    <n v="19302.66"/>
  </r>
  <r>
    <x v="0"/>
    <x v="0"/>
    <x v="0"/>
    <x v="3"/>
    <x v="5"/>
    <s v="DE4-N_A"/>
    <x v="14"/>
    <s v="GNR_BO_ELEC_E-80"/>
    <x v="0"/>
    <x v="15"/>
    <n v="14.69"/>
    <n v="5361.85"/>
    <n v="19302.66"/>
  </r>
  <r>
    <x v="0"/>
    <x v="0"/>
    <x v="0"/>
    <x v="3"/>
    <x v="5"/>
    <s v="DE4-N_A"/>
    <x v="14"/>
    <s v="GNR_BO_ELEC_E-80"/>
    <x v="0"/>
    <x v="4"/>
    <n v="14.69"/>
    <n v="5361.85"/>
    <n v="19302.66"/>
  </r>
  <r>
    <x v="0"/>
    <x v="0"/>
    <x v="0"/>
    <x v="3"/>
    <x v="5"/>
    <s v="DE4-N_A"/>
    <x v="14"/>
    <s v="GNR_BO_ELEC_E-80"/>
    <x v="0"/>
    <x v="16"/>
    <n v="14.69"/>
    <n v="5361.85"/>
    <n v="19302.66"/>
  </r>
  <r>
    <x v="0"/>
    <x v="0"/>
    <x v="0"/>
    <x v="3"/>
    <x v="5"/>
    <s v="DE4-N_A"/>
    <x v="14"/>
    <s v="GNR_BO_ELEC_E-80"/>
    <x v="0"/>
    <x v="5"/>
    <n v="14.69"/>
    <n v="5361.85"/>
    <n v="19302.66"/>
  </r>
  <r>
    <x v="0"/>
    <x v="0"/>
    <x v="0"/>
    <x v="3"/>
    <x v="5"/>
    <s v="DE4-N_A"/>
    <x v="14"/>
    <s v="GNR_BO_ELEC_E-80"/>
    <x v="0"/>
    <x v="17"/>
    <n v="14.69"/>
    <n v="5361.85"/>
    <n v="19302.66"/>
  </r>
  <r>
    <x v="0"/>
    <x v="0"/>
    <x v="0"/>
    <x v="3"/>
    <x v="5"/>
    <s v="DE4-N_A"/>
    <x v="14"/>
    <s v="GNR_BO_ELEC_E-80"/>
    <x v="0"/>
    <x v="18"/>
    <n v="14.69"/>
    <n v="5361.85"/>
    <n v="19302.66"/>
  </r>
  <r>
    <x v="0"/>
    <x v="0"/>
    <x v="0"/>
    <x v="3"/>
    <x v="5"/>
    <s v="DE4-N_A"/>
    <x v="14"/>
    <s v="GNR_BO_ELEC_E-80"/>
    <x v="0"/>
    <x v="19"/>
    <n v="14.69"/>
    <n v="5361.85"/>
    <n v="19302.66"/>
  </r>
  <r>
    <x v="0"/>
    <x v="0"/>
    <x v="0"/>
    <x v="3"/>
    <x v="5"/>
    <s v="DE4-N_A"/>
    <x v="14"/>
    <s v="GNR_BO_ELEC_E-80"/>
    <x v="0"/>
    <x v="20"/>
    <n v="14.69"/>
    <n v="5361.85"/>
    <n v="19302.66"/>
  </r>
  <r>
    <x v="0"/>
    <x v="0"/>
    <x v="0"/>
    <x v="3"/>
    <x v="5"/>
    <s v="DE4-N_A"/>
    <x v="14"/>
    <s v="GNR_BO_ELEC_E-80"/>
    <x v="0"/>
    <x v="21"/>
    <n v="14.69"/>
    <n v="5361.85"/>
    <n v="19302.66"/>
  </r>
  <r>
    <x v="0"/>
    <x v="0"/>
    <x v="0"/>
    <x v="3"/>
    <x v="5"/>
    <s v="DE4-N_A"/>
    <x v="14"/>
    <s v="GNR_BO_ELEC_E-80"/>
    <x v="0"/>
    <x v="22"/>
    <n v="14.69"/>
    <n v="5361.85"/>
    <n v="19302.66"/>
  </r>
  <r>
    <x v="0"/>
    <x v="0"/>
    <x v="0"/>
    <x v="3"/>
    <x v="5"/>
    <s v="DE4-N_A"/>
    <x v="14"/>
    <s v="GNR_BO_ELEC_E-80"/>
    <x v="0"/>
    <x v="23"/>
    <n v="14.69"/>
    <n v="5361.85"/>
    <n v="19302.66"/>
  </r>
  <r>
    <x v="0"/>
    <x v="0"/>
    <x v="0"/>
    <x v="3"/>
    <x v="5"/>
    <s v="DE4-N_A"/>
    <x v="11"/>
    <s v="GNR_ST_FUELOIL_BP_E-35"/>
    <x v="0"/>
    <x v="6"/>
    <n v="106.428571428571"/>
    <n v="38846.428571428602"/>
    <n v="139847.14285714299"/>
  </r>
  <r>
    <x v="0"/>
    <x v="0"/>
    <x v="0"/>
    <x v="3"/>
    <x v="5"/>
    <s v="DE4-N_A"/>
    <x v="11"/>
    <s v="GNR_ST_FUELOIL_BP_E-35"/>
    <x v="0"/>
    <x v="7"/>
    <n v="106.428571428571"/>
    <n v="38846.428571428602"/>
    <n v="139847.14285714299"/>
  </r>
  <r>
    <x v="0"/>
    <x v="0"/>
    <x v="0"/>
    <x v="3"/>
    <x v="5"/>
    <s v="DE4-N_A"/>
    <x v="11"/>
    <s v="GNR_ST_FUELOIL_BP_E-35"/>
    <x v="0"/>
    <x v="8"/>
    <n v="106.428571428571"/>
    <n v="38846.428571428602"/>
    <n v="139847.14285714299"/>
  </r>
  <r>
    <x v="0"/>
    <x v="0"/>
    <x v="0"/>
    <x v="3"/>
    <x v="5"/>
    <s v="DE4-N_A"/>
    <x v="11"/>
    <s v="GNR_ST_FUELOIL_BP_E-35"/>
    <x v="0"/>
    <x v="9"/>
    <n v="106.428571428571"/>
    <n v="38846.428571428602"/>
    <n v="139847.14285714299"/>
  </r>
  <r>
    <x v="0"/>
    <x v="0"/>
    <x v="0"/>
    <x v="3"/>
    <x v="5"/>
    <s v="DE4-N_A"/>
    <x v="11"/>
    <s v="GNR_ST_FUELOIL_BP_E-35"/>
    <x v="0"/>
    <x v="10"/>
    <n v="106.428571428571"/>
    <n v="38846.428571428602"/>
    <n v="139847.14285714299"/>
  </r>
  <r>
    <x v="0"/>
    <x v="0"/>
    <x v="0"/>
    <x v="3"/>
    <x v="5"/>
    <s v="DE4-N_A"/>
    <x v="11"/>
    <s v="GNR_ST_FUELOIL_BP_E-35"/>
    <x v="0"/>
    <x v="11"/>
    <n v="106.428571428571"/>
    <n v="38846.428571428602"/>
    <n v="139847.14285714299"/>
  </r>
  <r>
    <x v="0"/>
    <x v="0"/>
    <x v="0"/>
    <x v="3"/>
    <x v="5"/>
    <s v="DE4-N_A"/>
    <x v="11"/>
    <s v="GNR_ST_FUELOIL_BP_E-35"/>
    <x v="0"/>
    <x v="0"/>
    <n v="106.428571428571"/>
    <n v="38846.428571428602"/>
    <n v="139847.14285714299"/>
  </r>
  <r>
    <x v="0"/>
    <x v="0"/>
    <x v="0"/>
    <x v="3"/>
    <x v="5"/>
    <s v="DE4-N_A"/>
    <x v="11"/>
    <s v="GNR_ST_FUELOIL_BP_E-35"/>
    <x v="0"/>
    <x v="1"/>
    <n v="106.428571428571"/>
    <n v="38846.428571428602"/>
    <n v="139847.14285714299"/>
  </r>
  <r>
    <x v="0"/>
    <x v="0"/>
    <x v="0"/>
    <x v="3"/>
    <x v="5"/>
    <s v="DE4-N_A"/>
    <x v="11"/>
    <s v="GNR_ST_FUELOIL_BP_E-35"/>
    <x v="0"/>
    <x v="2"/>
    <n v="106.428571428571"/>
    <n v="38846.428571428602"/>
    <n v="139847.14285714299"/>
  </r>
  <r>
    <x v="0"/>
    <x v="0"/>
    <x v="0"/>
    <x v="3"/>
    <x v="5"/>
    <s v="DE4-N_A"/>
    <x v="11"/>
    <s v="GNR_ST_FUELOIL_BP_E-35"/>
    <x v="0"/>
    <x v="3"/>
    <n v="106.428571428571"/>
    <n v="38846.428571428602"/>
    <n v="139847.14285714299"/>
  </r>
  <r>
    <x v="0"/>
    <x v="0"/>
    <x v="0"/>
    <x v="3"/>
    <x v="5"/>
    <s v="DE4-N_A"/>
    <x v="11"/>
    <s v="GNR_ST_FUELOIL_BP_E-35"/>
    <x v="0"/>
    <x v="12"/>
    <n v="106.428571428571"/>
    <n v="38846.428571428602"/>
    <n v="139847.14285714299"/>
  </r>
  <r>
    <x v="0"/>
    <x v="0"/>
    <x v="0"/>
    <x v="3"/>
    <x v="5"/>
    <s v="DE4-N_A"/>
    <x v="11"/>
    <s v="GNR_ST_FUELOIL_BP_E-35"/>
    <x v="0"/>
    <x v="13"/>
    <n v="106.428571428571"/>
    <n v="38846.428571428602"/>
    <n v="139847.14285714299"/>
  </r>
  <r>
    <x v="0"/>
    <x v="0"/>
    <x v="0"/>
    <x v="3"/>
    <x v="5"/>
    <s v="DE4-N_A"/>
    <x v="11"/>
    <s v="GNR_ST_FUELOIL_BP_E-35"/>
    <x v="0"/>
    <x v="14"/>
    <n v="106.428571428571"/>
    <n v="38846.428571428602"/>
    <n v="139847.14285714299"/>
  </r>
  <r>
    <x v="0"/>
    <x v="0"/>
    <x v="0"/>
    <x v="3"/>
    <x v="5"/>
    <s v="DE4-N_A"/>
    <x v="11"/>
    <s v="GNR_ST_FUELOIL_BP_E-35"/>
    <x v="0"/>
    <x v="15"/>
    <n v="106.428571428571"/>
    <n v="38846.428571428602"/>
    <n v="139847.14285714299"/>
  </r>
  <r>
    <x v="0"/>
    <x v="0"/>
    <x v="0"/>
    <x v="3"/>
    <x v="5"/>
    <s v="DE4-N_A"/>
    <x v="11"/>
    <s v="GNR_ST_FUELOIL_BP_E-35"/>
    <x v="0"/>
    <x v="4"/>
    <n v="106.428571428571"/>
    <n v="38846.428571428602"/>
    <n v="139847.14285714299"/>
  </r>
  <r>
    <x v="0"/>
    <x v="0"/>
    <x v="0"/>
    <x v="3"/>
    <x v="5"/>
    <s v="DE4-N_A"/>
    <x v="11"/>
    <s v="GNR_ST_FUELOIL_BP_E-35"/>
    <x v="0"/>
    <x v="16"/>
    <n v="106.428571428571"/>
    <n v="38846.428571428602"/>
    <n v="139847.14285714299"/>
  </r>
  <r>
    <x v="0"/>
    <x v="0"/>
    <x v="0"/>
    <x v="3"/>
    <x v="5"/>
    <s v="DE4-N_A"/>
    <x v="11"/>
    <s v="GNR_ST_FUELOIL_BP_E-35"/>
    <x v="0"/>
    <x v="5"/>
    <n v="106.428571428571"/>
    <n v="38846.428571428602"/>
    <n v="139847.14285714299"/>
  </r>
  <r>
    <x v="0"/>
    <x v="0"/>
    <x v="0"/>
    <x v="3"/>
    <x v="5"/>
    <s v="DE4-N_A"/>
    <x v="11"/>
    <s v="GNR_ST_FUELOIL_BP_E-35"/>
    <x v="0"/>
    <x v="17"/>
    <n v="106.428571428571"/>
    <n v="38846.428571428602"/>
    <n v="139847.14285714299"/>
  </r>
  <r>
    <x v="0"/>
    <x v="0"/>
    <x v="0"/>
    <x v="3"/>
    <x v="5"/>
    <s v="DE4-N_A"/>
    <x v="11"/>
    <s v="GNR_ST_FUELOIL_BP_E-35"/>
    <x v="0"/>
    <x v="18"/>
    <n v="106.428571428571"/>
    <n v="38846.428571428602"/>
    <n v="139847.14285714299"/>
  </r>
  <r>
    <x v="0"/>
    <x v="0"/>
    <x v="0"/>
    <x v="3"/>
    <x v="5"/>
    <s v="DE4-N_A"/>
    <x v="11"/>
    <s v="GNR_ST_FUELOIL_BP_E-35"/>
    <x v="0"/>
    <x v="19"/>
    <n v="106.428571428571"/>
    <n v="38846.428571428602"/>
    <n v="139847.14285714299"/>
  </r>
  <r>
    <x v="0"/>
    <x v="0"/>
    <x v="0"/>
    <x v="3"/>
    <x v="5"/>
    <s v="DE4-N_A"/>
    <x v="11"/>
    <s v="GNR_ST_FUELOIL_BP_E-35"/>
    <x v="0"/>
    <x v="20"/>
    <n v="106.428571428571"/>
    <n v="38846.428571428602"/>
    <n v="139847.14285714299"/>
  </r>
  <r>
    <x v="0"/>
    <x v="0"/>
    <x v="0"/>
    <x v="3"/>
    <x v="5"/>
    <s v="DE4-N_A"/>
    <x v="11"/>
    <s v="GNR_ST_FUELOIL_BP_E-35"/>
    <x v="0"/>
    <x v="21"/>
    <n v="106.428571428571"/>
    <n v="38846.428571428602"/>
    <n v="139847.14285714299"/>
  </r>
  <r>
    <x v="0"/>
    <x v="0"/>
    <x v="0"/>
    <x v="3"/>
    <x v="5"/>
    <s v="DE4-N_A"/>
    <x v="11"/>
    <s v="GNR_ST_FUELOIL_BP_E-35"/>
    <x v="0"/>
    <x v="22"/>
    <n v="106.428571428571"/>
    <n v="38846.428571428602"/>
    <n v="139847.14285714299"/>
  </r>
  <r>
    <x v="0"/>
    <x v="0"/>
    <x v="0"/>
    <x v="3"/>
    <x v="5"/>
    <s v="DE4-N_A"/>
    <x v="11"/>
    <s v="GNR_ST_FUELOIL_BP_E-35"/>
    <x v="0"/>
    <x v="23"/>
    <n v="106.428571428571"/>
    <n v="38846.428571428602"/>
    <n v="139847.14285714299"/>
  </r>
  <r>
    <x v="0"/>
    <x v="0"/>
    <x v="0"/>
    <x v="3"/>
    <x v="5"/>
    <s v="DE4-N_A"/>
    <x v="11"/>
    <s v="GNR_ST_FUELOIL_BP_E-38"/>
    <x v="0"/>
    <x v="6"/>
    <n v="54.285714285714299"/>
    <n v="19814.285714285699"/>
    <n v="71331.428571428594"/>
  </r>
  <r>
    <x v="0"/>
    <x v="0"/>
    <x v="0"/>
    <x v="3"/>
    <x v="5"/>
    <s v="DE4-N_A"/>
    <x v="11"/>
    <s v="GNR_ST_FUELOIL_BP_E-38"/>
    <x v="0"/>
    <x v="7"/>
    <n v="54.285714285714299"/>
    <n v="19814.285714285699"/>
    <n v="71331.428571428594"/>
  </r>
  <r>
    <x v="0"/>
    <x v="0"/>
    <x v="0"/>
    <x v="3"/>
    <x v="5"/>
    <s v="DE4-N_A"/>
    <x v="11"/>
    <s v="GNR_ST_FUELOIL_BP_E-38"/>
    <x v="0"/>
    <x v="8"/>
    <n v="54.285714285714299"/>
    <n v="19814.285714285699"/>
    <n v="71331.428571428594"/>
  </r>
  <r>
    <x v="0"/>
    <x v="0"/>
    <x v="0"/>
    <x v="3"/>
    <x v="5"/>
    <s v="DE4-N_A"/>
    <x v="11"/>
    <s v="GNR_ST_FUELOIL_BP_E-38"/>
    <x v="0"/>
    <x v="9"/>
    <n v="54.285714285714299"/>
    <n v="19814.285714285699"/>
    <n v="71331.428571428594"/>
  </r>
  <r>
    <x v="0"/>
    <x v="0"/>
    <x v="0"/>
    <x v="3"/>
    <x v="5"/>
    <s v="DE4-N_A"/>
    <x v="11"/>
    <s v="GNR_ST_FUELOIL_BP_E-38"/>
    <x v="0"/>
    <x v="10"/>
    <n v="54.285714285714299"/>
    <n v="19814.285714285699"/>
    <n v="71331.428571428594"/>
  </r>
  <r>
    <x v="0"/>
    <x v="0"/>
    <x v="0"/>
    <x v="3"/>
    <x v="5"/>
    <s v="DE4-N_A"/>
    <x v="11"/>
    <s v="GNR_ST_FUELOIL_BP_E-38"/>
    <x v="0"/>
    <x v="11"/>
    <n v="54.285714285714299"/>
    <n v="19814.285714285699"/>
    <n v="71331.428571428594"/>
  </r>
  <r>
    <x v="0"/>
    <x v="0"/>
    <x v="0"/>
    <x v="3"/>
    <x v="5"/>
    <s v="DE4-N_A"/>
    <x v="11"/>
    <s v="GNR_ST_FUELOIL_BP_E-38"/>
    <x v="0"/>
    <x v="0"/>
    <n v="54.285714285714299"/>
    <n v="19814.285714285699"/>
    <n v="71331.428571428594"/>
  </r>
  <r>
    <x v="0"/>
    <x v="0"/>
    <x v="0"/>
    <x v="3"/>
    <x v="5"/>
    <s v="DE4-N_A"/>
    <x v="11"/>
    <s v="GNR_ST_FUELOIL_BP_E-38"/>
    <x v="0"/>
    <x v="1"/>
    <n v="54.285714285714299"/>
    <n v="19814.285714285699"/>
    <n v="71331.428571428594"/>
  </r>
  <r>
    <x v="0"/>
    <x v="0"/>
    <x v="0"/>
    <x v="3"/>
    <x v="5"/>
    <s v="DE4-N_A"/>
    <x v="11"/>
    <s v="GNR_ST_FUELOIL_BP_E-38"/>
    <x v="0"/>
    <x v="2"/>
    <n v="54.285714285714299"/>
    <n v="19814.285714285699"/>
    <n v="71331.428571428594"/>
  </r>
  <r>
    <x v="0"/>
    <x v="0"/>
    <x v="0"/>
    <x v="3"/>
    <x v="5"/>
    <s v="DE4-N_A"/>
    <x v="11"/>
    <s v="GNR_ST_FUELOIL_BP_E-38"/>
    <x v="0"/>
    <x v="3"/>
    <n v="54.285714285714299"/>
    <n v="19814.285714285699"/>
    <n v="71331.428571428594"/>
  </r>
  <r>
    <x v="0"/>
    <x v="0"/>
    <x v="0"/>
    <x v="3"/>
    <x v="5"/>
    <s v="DE4-N_A"/>
    <x v="11"/>
    <s v="GNR_ST_FUELOIL_BP_E-38"/>
    <x v="0"/>
    <x v="12"/>
    <n v="54.285714285714299"/>
    <n v="19814.285714285699"/>
    <n v="71331.428571428594"/>
  </r>
  <r>
    <x v="0"/>
    <x v="0"/>
    <x v="0"/>
    <x v="3"/>
    <x v="5"/>
    <s v="DE4-N_A"/>
    <x v="11"/>
    <s v="GNR_ST_FUELOIL_BP_E-38"/>
    <x v="0"/>
    <x v="13"/>
    <n v="54.285714285714299"/>
    <n v="19814.285714285699"/>
    <n v="71331.428571428594"/>
  </r>
  <r>
    <x v="0"/>
    <x v="0"/>
    <x v="0"/>
    <x v="3"/>
    <x v="5"/>
    <s v="DE4-N_A"/>
    <x v="11"/>
    <s v="GNR_ST_FUELOIL_BP_E-38"/>
    <x v="0"/>
    <x v="14"/>
    <n v="54.285714285714299"/>
    <n v="19814.285714285699"/>
    <n v="71331.428571428594"/>
  </r>
  <r>
    <x v="0"/>
    <x v="0"/>
    <x v="0"/>
    <x v="3"/>
    <x v="5"/>
    <s v="DE4-N_A"/>
    <x v="11"/>
    <s v="GNR_ST_FUELOIL_BP_E-38"/>
    <x v="0"/>
    <x v="15"/>
    <n v="54.285714285714299"/>
    <n v="19814.285714285699"/>
    <n v="71331.428571428594"/>
  </r>
  <r>
    <x v="0"/>
    <x v="0"/>
    <x v="0"/>
    <x v="3"/>
    <x v="5"/>
    <s v="DE4-N_A"/>
    <x v="11"/>
    <s v="GNR_ST_FUELOIL_BP_E-38"/>
    <x v="0"/>
    <x v="4"/>
    <n v="54.285714285714299"/>
    <n v="19814.285714285699"/>
    <n v="71331.428571428594"/>
  </r>
  <r>
    <x v="0"/>
    <x v="0"/>
    <x v="0"/>
    <x v="3"/>
    <x v="5"/>
    <s v="DE4-N_A"/>
    <x v="11"/>
    <s v="GNR_ST_FUELOIL_BP_E-38"/>
    <x v="0"/>
    <x v="16"/>
    <n v="54.285714285714299"/>
    <n v="19814.285714285699"/>
    <n v="71331.428571428594"/>
  </r>
  <r>
    <x v="0"/>
    <x v="0"/>
    <x v="0"/>
    <x v="3"/>
    <x v="5"/>
    <s v="DE4-N_A"/>
    <x v="11"/>
    <s v="GNR_ST_FUELOIL_BP_E-38"/>
    <x v="0"/>
    <x v="5"/>
    <n v="54.285714285714299"/>
    <n v="19814.285714285699"/>
    <n v="71331.428571428594"/>
  </r>
  <r>
    <x v="0"/>
    <x v="0"/>
    <x v="0"/>
    <x v="3"/>
    <x v="5"/>
    <s v="DE4-N_A"/>
    <x v="11"/>
    <s v="GNR_ST_FUELOIL_BP_E-38"/>
    <x v="0"/>
    <x v="17"/>
    <n v="54.285714285714299"/>
    <n v="19814.285714285699"/>
    <n v="71331.428571428594"/>
  </r>
  <r>
    <x v="0"/>
    <x v="0"/>
    <x v="0"/>
    <x v="3"/>
    <x v="5"/>
    <s v="DE4-N_A"/>
    <x v="11"/>
    <s v="GNR_ST_FUELOIL_BP_E-38"/>
    <x v="0"/>
    <x v="18"/>
    <n v="54.285714285714299"/>
    <n v="19814.285714285699"/>
    <n v="71331.428571428594"/>
  </r>
  <r>
    <x v="0"/>
    <x v="0"/>
    <x v="0"/>
    <x v="3"/>
    <x v="5"/>
    <s v="DE4-N_A"/>
    <x v="11"/>
    <s v="GNR_ST_FUELOIL_BP_E-38"/>
    <x v="0"/>
    <x v="19"/>
    <n v="54.285714285714299"/>
    <n v="19814.285714285699"/>
    <n v="71331.428571428594"/>
  </r>
  <r>
    <x v="0"/>
    <x v="0"/>
    <x v="0"/>
    <x v="3"/>
    <x v="5"/>
    <s v="DE4-N_A"/>
    <x v="11"/>
    <s v="GNR_ST_FUELOIL_BP_E-38"/>
    <x v="0"/>
    <x v="20"/>
    <n v="54.285714285714299"/>
    <n v="19814.285714285699"/>
    <n v="71331.428571428594"/>
  </r>
  <r>
    <x v="0"/>
    <x v="0"/>
    <x v="0"/>
    <x v="3"/>
    <x v="5"/>
    <s v="DE4-N_A"/>
    <x v="11"/>
    <s v="GNR_ST_FUELOIL_BP_E-38"/>
    <x v="0"/>
    <x v="21"/>
    <n v="54.285714285714299"/>
    <n v="19814.285714285699"/>
    <n v="71331.428571428594"/>
  </r>
  <r>
    <x v="0"/>
    <x v="0"/>
    <x v="0"/>
    <x v="3"/>
    <x v="5"/>
    <s v="DE4-N_A"/>
    <x v="11"/>
    <s v="GNR_ST_FUELOIL_BP_E-38"/>
    <x v="0"/>
    <x v="22"/>
    <n v="54.285714285714299"/>
    <n v="19814.285714285699"/>
    <n v="71331.428571428594"/>
  </r>
  <r>
    <x v="0"/>
    <x v="0"/>
    <x v="0"/>
    <x v="3"/>
    <x v="5"/>
    <s v="DE4-N_A"/>
    <x v="11"/>
    <s v="GNR_ST_FUELOIL_BP_E-38"/>
    <x v="0"/>
    <x v="23"/>
    <n v="54.285714285714299"/>
    <n v="19814.285714285699"/>
    <n v="71331.428571428594"/>
  </r>
  <r>
    <x v="0"/>
    <x v="0"/>
    <x v="0"/>
    <x v="3"/>
    <x v="5"/>
    <s v="DE4-N_A"/>
    <x v="2"/>
    <s v="GNR_BO_MSW_E-80"/>
    <x v="0"/>
    <x v="6"/>
    <n v="0.31"/>
    <n v="113.15"/>
    <n v="407.34"/>
  </r>
  <r>
    <x v="0"/>
    <x v="0"/>
    <x v="0"/>
    <x v="3"/>
    <x v="5"/>
    <s v="DE4-N_A"/>
    <x v="2"/>
    <s v="GNR_BO_MSW_E-80"/>
    <x v="0"/>
    <x v="7"/>
    <n v="0.31"/>
    <n v="113.15"/>
    <n v="407.34"/>
  </r>
  <r>
    <x v="0"/>
    <x v="0"/>
    <x v="0"/>
    <x v="3"/>
    <x v="5"/>
    <s v="DE4-N_A"/>
    <x v="2"/>
    <s v="GNR_BO_MSW_E-80"/>
    <x v="0"/>
    <x v="8"/>
    <n v="0.31"/>
    <n v="113.15"/>
    <n v="407.34"/>
  </r>
  <r>
    <x v="0"/>
    <x v="0"/>
    <x v="0"/>
    <x v="3"/>
    <x v="5"/>
    <s v="DE4-N_A"/>
    <x v="2"/>
    <s v="GNR_BO_MSW_E-80"/>
    <x v="0"/>
    <x v="9"/>
    <n v="0.31"/>
    <n v="113.15"/>
    <n v="407.34"/>
  </r>
  <r>
    <x v="0"/>
    <x v="0"/>
    <x v="0"/>
    <x v="3"/>
    <x v="5"/>
    <s v="DE4-N_A"/>
    <x v="2"/>
    <s v="GNR_BO_MSW_E-80"/>
    <x v="0"/>
    <x v="10"/>
    <n v="0.31"/>
    <n v="113.15"/>
    <n v="407.34"/>
  </r>
  <r>
    <x v="0"/>
    <x v="0"/>
    <x v="0"/>
    <x v="3"/>
    <x v="5"/>
    <s v="DE4-N_A"/>
    <x v="2"/>
    <s v="GNR_BO_MSW_E-80"/>
    <x v="0"/>
    <x v="11"/>
    <n v="0.31"/>
    <n v="113.15"/>
    <n v="407.34"/>
  </r>
  <r>
    <x v="0"/>
    <x v="0"/>
    <x v="0"/>
    <x v="3"/>
    <x v="5"/>
    <s v="DE4-N_A"/>
    <x v="2"/>
    <s v="GNR_BO_MSW_E-80"/>
    <x v="0"/>
    <x v="0"/>
    <n v="0.31"/>
    <n v="113.15"/>
    <n v="407.34"/>
  </r>
  <r>
    <x v="0"/>
    <x v="0"/>
    <x v="0"/>
    <x v="3"/>
    <x v="5"/>
    <s v="DE4-N_A"/>
    <x v="2"/>
    <s v="GNR_BO_MSW_E-80"/>
    <x v="0"/>
    <x v="1"/>
    <n v="0.31"/>
    <n v="113.15"/>
    <n v="407.34"/>
  </r>
  <r>
    <x v="0"/>
    <x v="0"/>
    <x v="0"/>
    <x v="3"/>
    <x v="5"/>
    <s v="DE4-N_A"/>
    <x v="2"/>
    <s v="GNR_BO_MSW_E-80"/>
    <x v="0"/>
    <x v="2"/>
    <n v="0.31"/>
    <n v="113.15"/>
    <n v="407.34"/>
  </r>
  <r>
    <x v="0"/>
    <x v="0"/>
    <x v="0"/>
    <x v="3"/>
    <x v="5"/>
    <s v="DE4-N_A"/>
    <x v="2"/>
    <s v="GNR_BO_MSW_E-80"/>
    <x v="0"/>
    <x v="3"/>
    <n v="0.31"/>
    <n v="113.15"/>
    <n v="407.34"/>
  </r>
  <r>
    <x v="0"/>
    <x v="0"/>
    <x v="0"/>
    <x v="3"/>
    <x v="5"/>
    <s v="DE4-N_A"/>
    <x v="2"/>
    <s v="GNR_BO_MSW_E-80"/>
    <x v="0"/>
    <x v="12"/>
    <n v="0.31"/>
    <n v="113.15"/>
    <n v="407.34"/>
  </r>
  <r>
    <x v="0"/>
    <x v="0"/>
    <x v="0"/>
    <x v="3"/>
    <x v="5"/>
    <s v="DE4-N_A"/>
    <x v="2"/>
    <s v="GNR_BO_MSW_E-80"/>
    <x v="0"/>
    <x v="13"/>
    <n v="0.31"/>
    <n v="113.15"/>
    <n v="407.34"/>
  </r>
  <r>
    <x v="0"/>
    <x v="0"/>
    <x v="0"/>
    <x v="3"/>
    <x v="5"/>
    <s v="DE4-N_A"/>
    <x v="2"/>
    <s v="GNR_BO_MSW_E-80"/>
    <x v="0"/>
    <x v="14"/>
    <n v="0.31"/>
    <n v="113.15"/>
    <n v="407.34"/>
  </r>
  <r>
    <x v="0"/>
    <x v="0"/>
    <x v="0"/>
    <x v="3"/>
    <x v="5"/>
    <s v="DE4-N_A"/>
    <x v="2"/>
    <s v="GNR_BO_MSW_E-80"/>
    <x v="0"/>
    <x v="15"/>
    <n v="0.31"/>
    <n v="113.15"/>
    <n v="407.34"/>
  </r>
  <r>
    <x v="0"/>
    <x v="0"/>
    <x v="0"/>
    <x v="3"/>
    <x v="5"/>
    <s v="DE4-N_A"/>
    <x v="2"/>
    <s v="GNR_BO_MSW_E-80"/>
    <x v="0"/>
    <x v="4"/>
    <n v="0.31"/>
    <n v="113.15"/>
    <n v="407.34"/>
  </r>
  <r>
    <x v="0"/>
    <x v="0"/>
    <x v="0"/>
    <x v="3"/>
    <x v="5"/>
    <s v="DE4-N_A"/>
    <x v="2"/>
    <s v="GNR_BO_MSW_E-80"/>
    <x v="0"/>
    <x v="16"/>
    <n v="0.31"/>
    <n v="113.15"/>
    <n v="407.34"/>
  </r>
  <r>
    <x v="0"/>
    <x v="0"/>
    <x v="0"/>
    <x v="3"/>
    <x v="5"/>
    <s v="DE4-N_A"/>
    <x v="2"/>
    <s v="GNR_BO_MSW_E-80"/>
    <x v="0"/>
    <x v="5"/>
    <n v="0.31"/>
    <n v="113.15"/>
    <n v="407.34"/>
  </r>
  <r>
    <x v="0"/>
    <x v="0"/>
    <x v="0"/>
    <x v="3"/>
    <x v="5"/>
    <s v="DE4-N_A"/>
    <x v="2"/>
    <s v="GNR_BO_MSW_E-80"/>
    <x v="0"/>
    <x v="17"/>
    <n v="0.31"/>
    <n v="113.15"/>
    <n v="407.34"/>
  </r>
  <r>
    <x v="0"/>
    <x v="0"/>
    <x v="0"/>
    <x v="3"/>
    <x v="5"/>
    <s v="DE4-N_A"/>
    <x v="2"/>
    <s v="GNR_BO_MSW_E-80"/>
    <x v="0"/>
    <x v="18"/>
    <n v="0.31"/>
    <n v="113.15"/>
    <n v="407.34"/>
  </r>
  <r>
    <x v="0"/>
    <x v="0"/>
    <x v="0"/>
    <x v="3"/>
    <x v="5"/>
    <s v="DE4-N_A"/>
    <x v="2"/>
    <s v="GNR_BO_MSW_E-80"/>
    <x v="0"/>
    <x v="19"/>
    <n v="0.31"/>
    <n v="113.15"/>
    <n v="407.34"/>
  </r>
  <r>
    <x v="0"/>
    <x v="0"/>
    <x v="0"/>
    <x v="3"/>
    <x v="5"/>
    <s v="DE4-N_A"/>
    <x v="2"/>
    <s v="GNR_BO_MSW_E-80"/>
    <x v="0"/>
    <x v="20"/>
    <n v="0.31"/>
    <n v="113.15"/>
    <n v="407.34"/>
  </r>
  <r>
    <x v="0"/>
    <x v="0"/>
    <x v="0"/>
    <x v="3"/>
    <x v="5"/>
    <s v="DE4-N_A"/>
    <x v="2"/>
    <s v="GNR_BO_MSW_E-80"/>
    <x v="0"/>
    <x v="21"/>
    <n v="0.31"/>
    <n v="113.15"/>
    <n v="407.34"/>
  </r>
  <r>
    <x v="0"/>
    <x v="0"/>
    <x v="0"/>
    <x v="3"/>
    <x v="5"/>
    <s v="DE4-N_A"/>
    <x v="2"/>
    <s v="GNR_BO_MSW_E-80"/>
    <x v="0"/>
    <x v="22"/>
    <n v="0.31"/>
    <n v="113.15"/>
    <n v="407.34"/>
  </r>
  <r>
    <x v="0"/>
    <x v="0"/>
    <x v="0"/>
    <x v="3"/>
    <x v="5"/>
    <s v="DE4-N_A"/>
    <x v="2"/>
    <s v="GNR_BO_MSW_E-80"/>
    <x v="0"/>
    <x v="23"/>
    <n v="0.31"/>
    <n v="113.15"/>
    <n v="407.34"/>
  </r>
  <r>
    <x v="0"/>
    <x v="0"/>
    <x v="0"/>
    <x v="3"/>
    <x v="5"/>
    <s v="DE4-N_A"/>
    <x v="2"/>
    <s v="GNR_ST_MSW_BP_E-33"/>
    <x v="0"/>
    <x v="6"/>
    <n v="138.625580825165"/>
    <n v="50598.337001185202"/>
    <n v="182154.01320426699"/>
  </r>
  <r>
    <x v="0"/>
    <x v="0"/>
    <x v="0"/>
    <x v="3"/>
    <x v="5"/>
    <s v="DE4-N_A"/>
    <x v="2"/>
    <s v="GNR_ST_MSW_BP_E-33"/>
    <x v="0"/>
    <x v="7"/>
    <n v="138.625580825165"/>
    <n v="50598.337001185202"/>
    <n v="182154.01320426699"/>
  </r>
  <r>
    <x v="0"/>
    <x v="0"/>
    <x v="0"/>
    <x v="3"/>
    <x v="5"/>
    <s v="DE4-N_A"/>
    <x v="2"/>
    <s v="GNR_ST_MSW_BP_E-33"/>
    <x v="0"/>
    <x v="8"/>
    <n v="138.625580825165"/>
    <n v="50598.337001185202"/>
    <n v="182154.01320426699"/>
  </r>
  <r>
    <x v="0"/>
    <x v="0"/>
    <x v="0"/>
    <x v="3"/>
    <x v="5"/>
    <s v="DE4-N_A"/>
    <x v="2"/>
    <s v="GNR_ST_MSW_BP_E-33"/>
    <x v="0"/>
    <x v="9"/>
    <n v="138.625580825165"/>
    <n v="50598.337001185202"/>
    <n v="182154.01320426699"/>
  </r>
  <r>
    <x v="0"/>
    <x v="0"/>
    <x v="0"/>
    <x v="3"/>
    <x v="5"/>
    <s v="DE4-N_A"/>
    <x v="2"/>
    <s v="GNR_ST_MSW_BP_E-33"/>
    <x v="0"/>
    <x v="10"/>
    <n v="138.625580825165"/>
    <n v="50598.337001185202"/>
    <n v="182154.01320426699"/>
  </r>
  <r>
    <x v="0"/>
    <x v="0"/>
    <x v="0"/>
    <x v="3"/>
    <x v="5"/>
    <s v="DE4-N_A"/>
    <x v="2"/>
    <s v="GNR_ST_MSW_BP_E-33"/>
    <x v="0"/>
    <x v="11"/>
    <n v="138.625580825165"/>
    <n v="50598.337001185202"/>
    <n v="182154.01320426699"/>
  </r>
  <r>
    <x v="0"/>
    <x v="0"/>
    <x v="0"/>
    <x v="3"/>
    <x v="5"/>
    <s v="DE4-N_A"/>
    <x v="2"/>
    <s v="GNR_ST_MSW_BP_E-33"/>
    <x v="0"/>
    <x v="0"/>
    <n v="138.625580825165"/>
    <n v="50598.337001185202"/>
    <n v="182154.01320426699"/>
  </r>
  <r>
    <x v="0"/>
    <x v="0"/>
    <x v="0"/>
    <x v="3"/>
    <x v="5"/>
    <s v="DE4-N_A"/>
    <x v="2"/>
    <s v="GNR_ST_MSW_BP_E-33"/>
    <x v="0"/>
    <x v="1"/>
    <n v="138.625580825165"/>
    <n v="50598.337001185202"/>
    <n v="182154.01320426699"/>
  </r>
  <r>
    <x v="0"/>
    <x v="0"/>
    <x v="0"/>
    <x v="3"/>
    <x v="5"/>
    <s v="DE4-N_A"/>
    <x v="2"/>
    <s v="GNR_ST_MSW_BP_E-33"/>
    <x v="0"/>
    <x v="2"/>
    <n v="138.625580825165"/>
    <n v="50598.337001185202"/>
    <n v="182154.01320426699"/>
  </r>
  <r>
    <x v="0"/>
    <x v="0"/>
    <x v="0"/>
    <x v="3"/>
    <x v="5"/>
    <s v="DE4-N_A"/>
    <x v="2"/>
    <s v="GNR_ST_MSW_BP_E-33"/>
    <x v="0"/>
    <x v="3"/>
    <n v="138.625580825165"/>
    <n v="50598.337001185202"/>
    <n v="182154.01320426699"/>
  </r>
  <r>
    <x v="0"/>
    <x v="0"/>
    <x v="0"/>
    <x v="3"/>
    <x v="5"/>
    <s v="DE4-N_A"/>
    <x v="2"/>
    <s v="GNR_ST_MSW_BP_E-33"/>
    <x v="0"/>
    <x v="12"/>
    <n v="138.625580825165"/>
    <n v="50598.337001185202"/>
    <n v="182154.01320426699"/>
  </r>
  <r>
    <x v="0"/>
    <x v="0"/>
    <x v="0"/>
    <x v="3"/>
    <x v="5"/>
    <s v="DE4-N_A"/>
    <x v="2"/>
    <s v="GNR_ST_MSW_BP_E-33"/>
    <x v="0"/>
    <x v="13"/>
    <n v="138.625580825165"/>
    <n v="50598.337001185202"/>
    <n v="182154.01320426699"/>
  </r>
  <r>
    <x v="0"/>
    <x v="0"/>
    <x v="0"/>
    <x v="3"/>
    <x v="5"/>
    <s v="DE4-N_A"/>
    <x v="2"/>
    <s v="GNR_ST_MSW_BP_E-33"/>
    <x v="0"/>
    <x v="14"/>
    <n v="138.625580825165"/>
    <n v="50598.337001185202"/>
    <n v="182154.01320426699"/>
  </r>
  <r>
    <x v="0"/>
    <x v="0"/>
    <x v="0"/>
    <x v="3"/>
    <x v="5"/>
    <s v="DE4-N_A"/>
    <x v="2"/>
    <s v="GNR_ST_MSW_BP_E-33"/>
    <x v="0"/>
    <x v="15"/>
    <n v="138.625580825165"/>
    <n v="50598.337001185202"/>
    <n v="182154.01320426699"/>
  </r>
  <r>
    <x v="0"/>
    <x v="0"/>
    <x v="0"/>
    <x v="3"/>
    <x v="5"/>
    <s v="DE4-N_A"/>
    <x v="2"/>
    <s v="GNR_ST_MSW_BP_E-33"/>
    <x v="0"/>
    <x v="4"/>
    <n v="138.625580825165"/>
    <n v="50598.337001185202"/>
    <n v="182154.01320426699"/>
  </r>
  <r>
    <x v="0"/>
    <x v="0"/>
    <x v="0"/>
    <x v="3"/>
    <x v="5"/>
    <s v="DE4-N_A"/>
    <x v="2"/>
    <s v="GNR_ST_MSW_BP_E-33"/>
    <x v="0"/>
    <x v="16"/>
    <n v="138.625580825165"/>
    <n v="50598.337001185202"/>
    <n v="182154.01320426699"/>
  </r>
  <r>
    <x v="0"/>
    <x v="0"/>
    <x v="0"/>
    <x v="3"/>
    <x v="5"/>
    <s v="DE4-N_A"/>
    <x v="2"/>
    <s v="GNR_ST_MSW_BP_E-33"/>
    <x v="0"/>
    <x v="5"/>
    <n v="138.625580825165"/>
    <n v="50598.337001185202"/>
    <n v="182154.01320426699"/>
  </r>
  <r>
    <x v="0"/>
    <x v="0"/>
    <x v="0"/>
    <x v="3"/>
    <x v="5"/>
    <s v="DE4-N_A"/>
    <x v="2"/>
    <s v="GNR_ST_MSW_BP_E-33"/>
    <x v="0"/>
    <x v="17"/>
    <n v="138.625580825165"/>
    <n v="50598.337001185202"/>
    <n v="182154.01320426699"/>
  </r>
  <r>
    <x v="0"/>
    <x v="0"/>
    <x v="0"/>
    <x v="3"/>
    <x v="5"/>
    <s v="DE4-N_A"/>
    <x v="2"/>
    <s v="GNR_ST_MSW_BP_E-33"/>
    <x v="0"/>
    <x v="18"/>
    <n v="138.625580825165"/>
    <n v="50598.337001185202"/>
    <n v="182154.01320426699"/>
  </r>
  <r>
    <x v="0"/>
    <x v="0"/>
    <x v="0"/>
    <x v="3"/>
    <x v="5"/>
    <s v="DE4-N_A"/>
    <x v="2"/>
    <s v="GNR_ST_MSW_BP_E-33"/>
    <x v="0"/>
    <x v="19"/>
    <n v="138.625580825165"/>
    <n v="50598.337001185202"/>
    <n v="182154.01320426699"/>
  </r>
  <r>
    <x v="0"/>
    <x v="0"/>
    <x v="0"/>
    <x v="3"/>
    <x v="5"/>
    <s v="DE4-N_A"/>
    <x v="2"/>
    <s v="GNR_ST_MSW_BP_E-33"/>
    <x v="0"/>
    <x v="20"/>
    <n v="138.625580825165"/>
    <n v="50598.337001185202"/>
    <n v="182154.01320426699"/>
  </r>
  <r>
    <x v="0"/>
    <x v="0"/>
    <x v="0"/>
    <x v="3"/>
    <x v="5"/>
    <s v="DE4-N_A"/>
    <x v="2"/>
    <s v="GNR_ST_MSW_BP_E-33"/>
    <x v="0"/>
    <x v="21"/>
    <n v="138.625580825165"/>
    <n v="50598.337001185202"/>
    <n v="182154.01320426699"/>
  </r>
  <r>
    <x v="0"/>
    <x v="0"/>
    <x v="0"/>
    <x v="3"/>
    <x v="5"/>
    <s v="DE4-N_A"/>
    <x v="2"/>
    <s v="GNR_ST_MSW_BP_E-33"/>
    <x v="0"/>
    <x v="22"/>
    <n v="138.625580825165"/>
    <n v="50598.337001185202"/>
    <n v="182154.01320426699"/>
  </r>
  <r>
    <x v="0"/>
    <x v="0"/>
    <x v="0"/>
    <x v="3"/>
    <x v="5"/>
    <s v="DE4-N_A"/>
    <x v="2"/>
    <s v="GNR_ST_MSW_BP_E-33"/>
    <x v="0"/>
    <x v="23"/>
    <n v="138.625580825165"/>
    <n v="50598.337001185202"/>
    <n v="182154.01320426699"/>
  </r>
  <r>
    <x v="0"/>
    <x v="0"/>
    <x v="0"/>
    <x v="3"/>
    <x v="5"/>
    <s v="DE4-N_A"/>
    <x v="3"/>
    <s v="GNR_CC_NGAS_BP_E-57"/>
    <x v="0"/>
    <x v="6"/>
    <n v="105.833333333333"/>
    <n v="38629.166666666701"/>
    <n v="139065"/>
  </r>
  <r>
    <x v="0"/>
    <x v="0"/>
    <x v="0"/>
    <x v="3"/>
    <x v="5"/>
    <s v="DE4-N_A"/>
    <x v="3"/>
    <s v="GNR_CC_NGAS_BP_E-57"/>
    <x v="0"/>
    <x v="7"/>
    <n v="105.833333333333"/>
    <n v="38629.166666666701"/>
    <n v="139065"/>
  </r>
  <r>
    <x v="0"/>
    <x v="0"/>
    <x v="0"/>
    <x v="3"/>
    <x v="5"/>
    <s v="DE4-N_A"/>
    <x v="3"/>
    <s v="GNR_CC_NGAS_BP_E-57"/>
    <x v="0"/>
    <x v="8"/>
    <n v="105.833333333333"/>
    <n v="38629.166666666701"/>
    <n v="139065"/>
  </r>
  <r>
    <x v="0"/>
    <x v="0"/>
    <x v="0"/>
    <x v="3"/>
    <x v="5"/>
    <s v="DE4-N_A"/>
    <x v="3"/>
    <s v="GNR_CC_NGAS_BP_E-57"/>
    <x v="0"/>
    <x v="9"/>
    <n v="105.833333333333"/>
    <n v="38629.166666666701"/>
    <n v="139065"/>
  </r>
  <r>
    <x v="0"/>
    <x v="0"/>
    <x v="0"/>
    <x v="3"/>
    <x v="5"/>
    <s v="DE4-N_A"/>
    <x v="3"/>
    <s v="GNR_CC_NGAS_BP_E-57"/>
    <x v="0"/>
    <x v="10"/>
    <n v="105.833333333333"/>
    <n v="38629.166666666701"/>
    <n v="139065"/>
  </r>
  <r>
    <x v="0"/>
    <x v="0"/>
    <x v="0"/>
    <x v="3"/>
    <x v="5"/>
    <s v="DE4-N_A"/>
    <x v="3"/>
    <s v="GNR_CC_NGAS_BP_E-57"/>
    <x v="0"/>
    <x v="11"/>
    <n v="105.833333333333"/>
    <n v="38629.166666666701"/>
    <n v="139065"/>
  </r>
  <r>
    <x v="0"/>
    <x v="0"/>
    <x v="0"/>
    <x v="3"/>
    <x v="5"/>
    <s v="DE4-N_A"/>
    <x v="3"/>
    <s v="GNR_CC_NGAS_BP_E-57"/>
    <x v="0"/>
    <x v="0"/>
    <n v="105.833333333333"/>
    <n v="38629.166666666701"/>
    <n v="139065"/>
  </r>
  <r>
    <x v="0"/>
    <x v="0"/>
    <x v="0"/>
    <x v="3"/>
    <x v="5"/>
    <s v="DE4-N_A"/>
    <x v="3"/>
    <s v="GNR_CC_NGAS_BP_E-57"/>
    <x v="0"/>
    <x v="1"/>
    <n v="105.833333333333"/>
    <n v="38629.166666666701"/>
    <n v="139065"/>
  </r>
  <r>
    <x v="0"/>
    <x v="0"/>
    <x v="0"/>
    <x v="3"/>
    <x v="5"/>
    <s v="DE4-N_A"/>
    <x v="3"/>
    <s v="GNR_CC_NGAS_BP_E-57"/>
    <x v="0"/>
    <x v="2"/>
    <n v="105.833333333333"/>
    <n v="38629.166666666701"/>
    <n v="139065"/>
  </r>
  <r>
    <x v="0"/>
    <x v="0"/>
    <x v="0"/>
    <x v="3"/>
    <x v="5"/>
    <s v="DE4-N_A"/>
    <x v="3"/>
    <s v="GNR_CC_NGAS_BP_E-57"/>
    <x v="0"/>
    <x v="3"/>
    <n v="105.833333333333"/>
    <n v="38629.166666666701"/>
    <n v="139065"/>
  </r>
  <r>
    <x v="0"/>
    <x v="0"/>
    <x v="0"/>
    <x v="3"/>
    <x v="5"/>
    <s v="DE4-N_A"/>
    <x v="3"/>
    <s v="GNR_CC_NGAS_BP_E-57"/>
    <x v="0"/>
    <x v="12"/>
    <n v="105.833333333333"/>
    <n v="38629.166666666701"/>
    <n v="139065"/>
  </r>
  <r>
    <x v="0"/>
    <x v="0"/>
    <x v="0"/>
    <x v="3"/>
    <x v="5"/>
    <s v="DE4-N_A"/>
    <x v="3"/>
    <s v="GNR_CC_NGAS_BP_E-57"/>
    <x v="0"/>
    <x v="13"/>
    <n v="105.833333333333"/>
    <n v="38629.166666666701"/>
    <n v="139065"/>
  </r>
  <r>
    <x v="0"/>
    <x v="0"/>
    <x v="0"/>
    <x v="3"/>
    <x v="5"/>
    <s v="DE4-N_A"/>
    <x v="3"/>
    <s v="GNR_CC_NGAS_BP_E-57"/>
    <x v="0"/>
    <x v="14"/>
    <n v="105.833333333333"/>
    <n v="38629.166666666701"/>
    <n v="139065"/>
  </r>
  <r>
    <x v="0"/>
    <x v="0"/>
    <x v="0"/>
    <x v="3"/>
    <x v="5"/>
    <s v="DE4-N_A"/>
    <x v="3"/>
    <s v="GNR_CC_NGAS_BP_E-57"/>
    <x v="0"/>
    <x v="15"/>
    <n v="105.833333333333"/>
    <n v="38629.166666666701"/>
    <n v="139065"/>
  </r>
  <r>
    <x v="0"/>
    <x v="0"/>
    <x v="0"/>
    <x v="3"/>
    <x v="5"/>
    <s v="DE4-N_A"/>
    <x v="3"/>
    <s v="GNR_CC_NGAS_BP_E-57"/>
    <x v="0"/>
    <x v="4"/>
    <n v="105.833333333333"/>
    <n v="38629.166666666701"/>
    <n v="139065"/>
  </r>
  <r>
    <x v="0"/>
    <x v="0"/>
    <x v="0"/>
    <x v="3"/>
    <x v="5"/>
    <s v="DE4-N_A"/>
    <x v="3"/>
    <s v="GNR_CC_NGAS_BP_E-57"/>
    <x v="0"/>
    <x v="16"/>
    <n v="105.833333333333"/>
    <n v="38629.166666666701"/>
    <n v="139065"/>
  </r>
  <r>
    <x v="0"/>
    <x v="0"/>
    <x v="0"/>
    <x v="3"/>
    <x v="5"/>
    <s v="DE4-N_A"/>
    <x v="3"/>
    <s v="GNR_CC_NGAS_BP_E-57"/>
    <x v="0"/>
    <x v="5"/>
    <n v="105.833333333333"/>
    <n v="38629.166666666701"/>
    <n v="139065"/>
  </r>
  <r>
    <x v="0"/>
    <x v="0"/>
    <x v="0"/>
    <x v="3"/>
    <x v="5"/>
    <s v="DE4-N_A"/>
    <x v="3"/>
    <s v="GNR_CC_NGAS_BP_E-57"/>
    <x v="0"/>
    <x v="17"/>
    <n v="105.833333333333"/>
    <n v="38629.166666666701"/>
    <n v="139065"/>
  </r>
  <r>
    <x v="0"/>
    <x v="0"/>
    <x v="0"/>
    <x v="3"/>
    <x v="5"/>
    <s v="DE4-N_A"/>
    <x v="3"/>
    <s v="GNR_CC_NGAS_BP_E-57"/>
    <x v="0"/>
    <x v="18"/>
    <n v="105.833333333333"/>
    <n v="38629.166666666701"/>
    <n v="139065"/>
  </r>
  <r>
    <x v="0"/>
    <x v="0"/>
    <x v="0"/>
    <x v="3"/>
    <x v="5"/>
    <s v="DE4-N_A"/>
    <x v="3"/>
    <s v="GNR_CC_NGAS_BP_E-57"/>
    <x v="0"/>
    <x v="19"/>
    <n v="105.833333333333"/>
    <n v="38629.166666666701"/>
    <n v="139065"/>
  </r>
  <r>
    <x v="0"/>
    <x v="0"/>
    <x v="0"/>
    <x v="3"/>
    <x v="5"/>
    <s v="DE4-N_A"/>
    <x v="3"/>
    <s v="GNR_CC_NGAS_BP_E-57"/>
    <x v="0"/>
    <x v="20"/>
    <n v="105.833333333333"/>
    <n v="38629.166666666701"/>
    <n v="139065"/>
  </r>
  <r>
    <x v="0"/>
    <x v="0"/>
    <x v="0"/>
    <x v="3"/>
    <x v="5"/>
    <s v="DE4-N_A"/>
    <x v="3"/>
    <s v="GNR_CC_NGAS_BP_E-57"/>
    <x v="0"/>
    <x v="21"/>
    <n v="105.833333333333"/>
    <n v="38629.166666666701"/>
    <n v="139065"/>
  </r>
  <r>
    <x v="0"/>
    <x v="0"/>
    <x v="0"/>
    <x v="3"/>
    <x v="5"/>
    <s v="DE4-N_A"/>
    <x v="3"/>
    <s v="GNR_CC_NGAS_BP_E-57"/>
    <x v="0"/>
    <x v="22"/>
    <n v="105.833333333333"/>
    <n v="38629.166666666701"/>
    <n v="139065"/>
  </r>
  <r>
    <x v="0"/>
    <x v="0"/>
    <x v="0"/>
    <x v="3"/>
    <x v="5"/>
    <s v="DE4-N_A"/>
    <x v="3"/>
    <s v="GNR_CC_NGAS_BP_E-57"/>
    <x v="0"/>
    <x v="23"/>
    <n v="105.833333333333"/>
    <n v="38629.166666666701"/>
    <n v="139065"/>
  </r>
  <r>
    <x v="0"/>
    <x v="0"/>
    <x v="0"/>
    <x v="3"/>
    <x v="5"/>
    <s v="DE4-N_A"/>
    <x v="3"/>
    <s v="GNR_ST_NGAS_BP_E-39"/>
    <x v="0"/>
    <x v="6"/>
    <n v="183.57142857142901"/>
    <n v="67003.571428571406"/>
    <n v="241212.85714285701"/>
  </r>
  <r>
    <x v="0"/>
    <x v="0"/>
    <x v="0"/>
    <x v="3"/>
    <x v="5"/>
    <s v="DE4-N_A"/>
    <x v="3"/>
    <s v="GNR_ST_NGAS_BP_E-39"/>
    <x v="0"/>
    <x v="7"/>
    <n v="183.57142857142901"/>
    <n v="67003.571428571406"/>
    <n v="241212.85714285701"/>
  </r>
  <r>
    <x v="0"/>
    <x v="0"/>
    <x v="0"/>
    <x v="3"/>
    <x v="5"/>
    <s v="DE4-N_A"/>
    <x v="3"/>
    <s v="GNR_ST_NGAS_BP_E-39"/>
    <x v="0"/>
    <x v="8"/>
    <n v="183.57142857142901"/>
    <n v="67003.571428571406"/>
    <n v="241212.85714285701"/>
  </r>
  <r>
    <x v="0"/>
    <x v="0"/>
    <x v="0"/>
    <x v="3"/>
    <x v="5"/>
    <s v="DE4-N_A"/>
    <x v="3"/>
    <s v="GNR_ST_NGAS_BP_E-39"/>
    <x v="0"/>
    <x v="9"/>
    <n v="183.57142857142901"/>
    <n v="67003.571428571406"/>
    <n v="241212.85714285701"/>
  </r>
  <r>
    <x v="0"/>
    <x v="0"/>
    <x v="0"/>
    <x v="3"/>
    <x v="5"/>
    <s v="DE4-N_A"/>
    <x v="3"/>
    <s v="GNR_ST_NGAS_BP_E-39"/>
    <x v="0"/>
    <x v="10"/>
    <n v="183.57142857142901"/>
    <n v="67003.571428571406"/>
    <n v="241212.85714285701"/>
  </r>
  <r>
    <x v="0"/>
    <x v="0"/>
    <x v="0"/>
    <x v="3"/>
    <x v="5"/>
    <s v="DE4-N_A"/>
    <x v="3"/>
    <s v="GNR_ST_NGAS_BP_E-39"/>
    <x v="0"/>
    <x v="11"/>
    <n v="183.57142857142901"/>
    <n v="67003.571428571406"/>
    <n v="241212.85714285701"/>
  </r>
  <r>
    <x v="0"/>
    <x v="0"/>
    <x v="0"/>
    <x v="3"/>
    <x v="5"/>
    <s v="DE4-N_A"/>
    <x v="3"/>
    <s v="GNR_ST_NGAS_BP_E-39"/>
    <x v="0"/>
    <x v="0"/>
    <n v="183.57142857142901"/>
    <n v="67003.571428571406"/>
    <n v="241212.85714285701"/>
  </r>
  <r>
    <x v="0"/>
    <x v="0"/>
    <x v="0"/>
    <x v="3"/>
    <x v="5"/>
    <s v="DE4-N_A"/>
    <x v="3"/>
    <s v="GNR_ST_NGAS_BP_E-39"/>
    <x v="0"/>
    <x v="1"/>
    <n v="183.57142857142901"/>
    <n v="67003.571428571406"/>
    <n v="241212.85714285701"/>
  </r>
  <r>
    <x v="0"/>
    <x v="0"/>
    <x v="0"/>
    <x v="3"/>
    <x v="5"/>
    <s v="DE4-N_A"/>
    <x v="3"/>
    <s v="GNR_ST_NGAS_BP_E-39"/>
    <x v="0"/>
    <x v="2"/>
    <n v="183.57142857142901"/>
    <n v="67003.571428571406"/>
    <n v="241212.85714285701"/>
  </r>
  <r>
    <x v="0"/>
    <x v="0"/>
    <x v="0"/>
    <x v="3"/>
    <x v="5"/>
    <s v="DE4-N_A"/>
    <x v="3"/>
    <s v="GNR_ST_NGAS_BP_E-39"/>
    <x v="0"/>
    <x v="3"/>
    <n v="183.57142857142901"/>
    <n v="67003.571428571406"/>
    <n v="241212.85714285701"/>
  </r>
  <r>
    <x v="0"/>
    <x v="0"/>
    <x v="0"/>
    <x v="3"/>
    <x v="5"/>
    <s v="DE4-N_A"/>
    <x v="3"/>
    <s v="GNR_ST_NGAS_BP_E-39"/>
    <x v="0"/>
    <x v="12"/>
    <n v="183.57142857142901"/>
    <n v="67003.571428571406"/>
    <n v="241212.85714285701"/>
  </r>
  <r>
    <x v="0"/>
    <x v="0"/>
    <x v="0"/>
    <x v="3"/>
    <x v="5"/>
    <s v="DE4-N_A"/>
    <x v="3"/>
    <s v="GNR_ST_NGAS_BP_E-39"/>
    <x v="0"/>
    <x v="13"/>
    <n v="183.57142857142901"/>
    <n v="67003.571428571406"/>
    <n v="241212.85714285701"/>
  </r>
  <r>
    <x v="0"/>
    <x v="0"/>
    <x v="0"/>
    <x v="3"/>
    <x v="5"/>
    <s v="DE4-N_A"/>
    <x v="3"/>
    <s v="GNR_ST_NGAS_BP_E-39"/>
    <x v="0"/>
    <x v="14"/>
    <n v="183.57142857142901"/>
    <n v="67003.571428571406"/>
    <n v="241212.85714285701"/>
  </r>
  <r>
    <x v="0"/>
    <x v="0"/>
    <x v="0"/>
    <x v="3"/>
    <x v="5"/>
    <s v="DE4-N_A"/>
    <x v="3"/>
    <s v="GNR_ST_NGAS_BP_E-39"/>
    <x v="0"/>
    <x v="15"/>
    <n v="183.57142857142901"/>
    <n v="67003.571428571406"/>
    <n v="241212.85714285701"/>
  </r>
  <r>
    <x v="0"/>
    <x v="0"/>
    <x v="0"/>
    <x v="3"/>
    <x v="5"/>
    <s v="DE4-N_A"/>
    <x v="3"/>
    <s v="GNR_ST_NGAS_BP_E-39"/>
    <x v="0"/>
    <x v="4"/>
    <n v="183.57142857142901"/>
    <n v="67003.571428571406"/>
    <n v="241212.85714285701"/>
  </r>
  <r>
    <x v="0"/>
    <x v="0"/>
    <x v="0"/>
    <x v="3"/>
    <x v="5"/>
    <s v="DE4-N_A"/>
    <x v="3"/>
    <s v="GNR_ST_NGAS_BP_E-39"/>
    <x v="0"/>
    <x v="16"/>
    <n v="183.57142857142901"/>
    <n v="67003.571428571406"/>
    <n v="241212.85714285701"/>
  </r>
  <r>
    <x v="0"/>
    <x v="0"/>
    <x v="0"/>
    <x v="3"/>
    <x v="5"/>
    <s v="DE4-N_A"/>
    <x v="3"/>
    <s v="GNR_ST_NGAS_BP_E-39"/>
    <x v="0"/>
    <x v="5"/>
    <n v="183.57142857142901"/>
    <n v="67003.571428571406"/>
    <n v="241212.85714285701"/>
  </r>
  <r>
    <x v="0"/>
    <x v="0"/>
    <x v="0"/>
    <x v="3"/>
    <x v="5"/>
    <s v="DE4-N_A"/>
    <x v="3"/>
    <s v="GNR_ST_NGAS_BP_E-39"/>
    <x v="0"/>
    <x v="17"/>
    <n v="183.57142857142901"/>
    <n v="67003.571428571406"/>
    <n v="241212.85714285701"/>
  </r>
  <r>
    <x v="0"/>
    <x v="0"/>
    <x v="0"/>
    <x v="3"/>
    <x v="5"/>
    <s v="DE4-N_A"/>
    <x v="3"/>
    <s v="GNR_ST_NGAS_BP_E-39"/>
    <x v="0"/>
    <x v="18"/>
    <n v="183.57142857142901"/>
    <n v="67003.571428571406"/>
    <n v="241212.85714285701"/>
  </r>
  <r>
    <x v="0"/>
    <x v="0"/>
    <x v="0"/>
    <x v="3"/>
    <x v="5"/>
    <s v="DE4-N_A"/>
    <x v="3"/>
    <s v="GNR_ST_NGAS_BP_E-39"/>
    <x v="0"/>
    <x v="19"/>
    <n v="183.57142857142901"/>
    <n v="67003.571428571406"/>
    <n v="241212.85714285701"/>
  </r>
  <r>
    <x v="0"/>
    <x v="0"/>
    <x v="0"/>
    <x v="3"/>
    <x v="5"/>
    <s v="DE4-N_A"/>
    <x v="3"/>
    <s v="GNR_ST_NGAS_BP_E-39"/>
    <x v="0"/>
    <x v="20"/>
    <n v="183.57142857142901"/>
    <n v="67003.571428571406"/>
    <n v="241212.85714285701"/>
  </r>
  <r>
    <x v="0"/>
    <x v="0"/>
    <x v="0"/>
    <x v="3"/>
    <x v="5"/>
    <s v="DE4-N_A"/>
    <x v="3"/>
    <s v="GNR_ST_NGAS_BP_E-39"/>
    <x v="0"/>
    <x v="21"/>
    <n v="183.57142857142901"/>
    <n v="67003.571428571406"/>
    <n v="241212.85714285701"/>
  </r>
  <r>
    <x v="0"/>
    <x v="0"/>
    <x v="0"/>
    <x v="3"/>
    <x v="5"/>
    <s v="DE4-N_A"/>
    <x v="3"/>
    <s v="GNR_ST_NGAS_BP_E-39"/>
    <x v="0"/>
    <x v="22"/>
    <n v="183.57142857142901"/>
    <n v="67003.571428571406"/>
    <n v="241212.85714285701"/>
  </r>
  <r>
    <x v="0"/>
    <x v="0"/>
    <x v="0"/>
    <x v="3"/>
    <x v="5"/>
    <s v="DE4-N_A"/>
    <x v="3"/>
    <s v="GNR_ST_NGAS_BP_E-39"/>
    <x v="0"/>
    <x v="23"/>
    <n v="183.57142857142901"/>
    <n v="67003.571428571406"/>
    <n v="241212.85714285701"/>
  </r>
  <r>
    <x v="0"/>
    <x v="0"/>
    <x v="0"/>
    <x v="3"/>
    <x v="6"/>
    <s v="DE4-S_A"/>
    <x v="9"/>
    <s v="GNR_ENG_BGAS_BP_E-45"/>
    <x v="0"/>
    <x v="1"/>
    <n v="57.756097560975597"/>
    <n v="21080.9756097561"/>
    <n v="75891.512195121904"/>
  </r>
  <r>
    <x v="0"/>
    <x v="0"/>
    <x v="0"/>
    <x v="3"/>
    <x v="6"/>
    <s v="DE4-S_A"/>
    <x v="9"/>
    <s v="GNR_ENG_BGAS_BP_E-45"/>
    <x v="0"/>
    <x v="2"/>
    <n v="57.756097560975597"/>
    <n v="21080.9756097561"/>
    <n v="75891.512195121904"/>
  </r>
  <r>
    <x v="0"/>
    <x v="0"/>
    <x v="0"/>
    <x v="3"/>
    <x v="6"/>
    <s v="DE4-S_A"/>
    <x v="1"/>
    <s v="GNR_HS_HEAT_WTR-TANK_LS_E-95_Y-2010"/>
    <x v="0"/>
    <x v="6"/>
    <n v="32530.581653333698"/>
    <n v="11873662.303466801"/>
    <n v="42745184.292480499"/>
  </r>
  <r>
    <x v="0"/>
    <x v="0"/>
    <x v="0"/>
    <x v="3"/>
    <x v="6"/>
    <s v="DE4-S_A"/>
    <x v="1"/>
    <s v="GNR_HS_HEAT_WTR-TANK_LS_E-95_Y-2010"/>
    <x v="0"/>
    <x v="7"/>
    <n v="32509.985999664699"/>
    <n v="11866144.889877601"/>
    <n v="42718121.603559501"/>
  </r>
  <r>
    <x v="0"/>
    <x v="0"/>
    <x v="0"/>
    <x v="3"/>
    <x v="6"/>
    <s v="DE4-S_A"/>
    <x v="1"/>
    <s v="GNR_HS_HEAT_WTR-TANK_LS_E-95_Y-2010"/>
    <x v="0"/>
    <x v="8"/>
    <n v="32491.262678147501"/>
    <n v="11859310.8775238"/>
    <n v="42693519.159085803"/>
  </r>
  <r>
    <x v="0"/>
    <x v="0"/>
    <x v="0"/>
    <x v="3"/>
    <x v="6"/>
    <s v="DE4-S_A"/>
    <x v="1"/>
    <s v="GNR_HS_HEAT_WTR-TANK_LS_E-95_Y-2010"/>
    <x v="0"/>
    <x v="9"/>
    <n v="32519.347660423398"/>
    <n v="11869561.896054501"/>
    <n v="42730422.825796299"/>
  </r>
  <r>
    <x v="0"/>
    <x v="0"/>
    <x v="0"/>
    <x v="3"/>
    <x v="6"/>
    <s v="DE4-S_A"/>
    <x v="1"/>
    <s v="GNR_HS_HEAT_WTR-TANK_LS_E-95_Y-2010"/>
    <x v="0"/>
    <x v="10"/>
    <n v="32539.943314092299"/>
    <n v="11877079.309643701"/>
    <n v="42757485.514717303"/>
  </r>
  <r>
    <x v="0"/>
    <x v="0"/>
    <x v="0"/>
    <x v="3"/>
    <x v="6"/>
    <s v="DE4-S_A"/>
    <x v="1"/>
    <s v="GNR_HS_HEAT_WTR-TANK_LS_E-95_Y-2010"/>
    <x v="0"/>
    <x v="11"/>
    <n v="32867.601440644001"/>
    <n v="11996674.525835101"/>
    <n v="43188028.293006197"/>
  </r>
  <r>
    <x v="0"/>
    <x v="0"/>
    <x v="0"/>
    <x v="3"/>
    <x v="6"/>
    <s v="DE4-S_A"/>
    <x v="1"/>
    <s v="GNR_HS_HEAT_WTR-TANK_LS_E-95_Y-2010"/>
    <x v="0"/>
    <x v="0"/>
    <n v="33415.261870467402"/>
    <n v="12196570.5827206"/>
    <n v="43907654.097794101"/>
  </r>
  <r>
    <x v="0"/>
    <x v="0"/>
    <x v="0"/>
    <x v="3"/>
    <x v="6"/>
    <s v="DE4-S_A"/>
    <x v="1"/>
    <s v="GNR_HS_HEAT_WTR-TANK_LS_E-95_Y-2010"/>
    <x v="0"/>
    <x v="1"/>
    <n v="32494.077884701801"/>
    <n v="11860338.427916201"/>
    <n v="42697218.340498202"/>
  </r>
  <r>
    <x v="0"/>
    <x v="0"/>
    <x v="0"/>
    <x v="3"/>
    <x v="6"/>
    <s v="DE4-S_A"/>
    <x v="1"/>
    <s v="GNR_HS_HEAT_WTR-TANK_LS_E-95_Y-2010"/>
    <x v="0"/>
    <x v="2"/>
    <n v="32567.098838619098"/>
    <n v="11886991.076096"/>
    <n v="42793167.8739454"/>
  </r>
  <r>
    <x v="0"/>
    <x v="0"/>
    <x v="0"/>
    <x v="3"/>
    <x v="6"/>
    <s v="DE4-S_A"/>
    <x v="1"/>
    <s v="GNR_HS_HEAT_WTR-TANK_LS_E-95_Y-2010"/>
    <x v="0"/>
    <x v="3"/>
    <n v="32615.493275421399"/>
    <n v="11904655.045528799"/>
    <n v="42856758.163903698"/>
  </r>
  <r>
    <x v="0"/>
    <x v="0"/>
    <x v="0"/>
    <x v="3"/>
    <x v="6"/>
    <s v="DE4-S_A"/>
    <x v="1"/>
    <s v="GNR_HS_HEAT_WTR-TANK_LS_E-95_Y-2010"/>
    <x v="0"/>
    <x v="12"/>
    <n v="33984.450844591403"/>
    <n v="12404324.558275901"/>
    <n v="44655568.409793101"/>
  </r>
  <r>
    <x v="0"/>
    <x v="0"/>
    <x v="0"/>
    <x v="3"/>
    <x v="6"/>
    <s v="DE4-S_A"/>
    <x v="1"/>
    <s v="GNR_HS_HEAT_WTR-TANK_LS_E-95_Y-2010"/>
    <x v="0"/>
    <x v="13"/>
    <n v="34051.810381541698"/>
    <n v="12428910.789262701"/>
    <n v="44744078.841345698"/>
  </r>
  <r>
    <x v="0"/>
    <x v="0"/>
    <x v="0"/>
    <x v="3"/>
    <x v="6"/>
    <s v="DE4-S_A"/>
    <x v="1"/>
    <s v="GNR_HS_HEAT_WTR-TANK_LS_E-95_Y-2010"/>
    <x v="0"/>
    <x v="14"/>
    <n v="33946.959781045101"/>
    <n v="12390640.3200815"/>
    <n v="44606305.152293302"/>
  </r>
  <r>
    <x v="0"/>
    <x v="0"/>
    <x v="0"/>
    <x v="3"/>
    <x v="6"/>
    <s v="DE4-S_A"/>
    <x v="1"/>
    <s v="GNR_HS_HEAT_WTR-TANK_LS_E-95_Y-2010"/>
    <x v="0"/>
    <x v="15"/>
    <n v="33873.938827127902"/>
    <n v="12363987.671901699"/>
    <n v="44510355.618846104"/>
  </r>
  <r>
    <x v="0"/>
    <x v="0"/>
    <x v="0"/>
    <x v="3"/>
    <x v="6"/>
    <s v="DE4-S_A"/>
    <x v="1"/>
    <s v="GNR_HS_HEAT_WTR-TANK_LS_E-95_Y-2010"/>
    <x v="0"/>
    <x v="4"/>
    <n v="33819.685615239701"/>
    <n v="12344185.2495625"/>
    <n v="44439066.898424998"/>
  </r>
  <r>
    <x v="0"/>
    <x v="0"/>
    <x v="0"/>
    <x v="3"/>
    <x v="6"/>
    <s v="DE4-S_A"/>
    <x v="1"/>
    <s v="GNR_HS_HEAT_WTR-TANK_LS_E-95_Y-2010"/>
    <x v="0"/>
    <x v="16"/>
    <n v="33847.770597515599"/>
    <n v="12354436.2680932"/>
    <n v="44475970.565135397"/>
  </r>
  <r>
    <x v="0"/>
    <x v="0"/>
    <x v="0"/>
    <x v="3"/>
    <x v="6"/>
    <s v="DE4-S_A"/>
    <x v="1"/>
    <s v="GNR_HS_HEAT_WTR-TANK_LS_E-95_Y-2010"/>
    <x v="0"/>
    <x v="5"/>
    <n v="32512.515007076599"/>
    <n v="11867067.977583"/>
    <n v="42721444.719298698"/>
  </r>
  <r>
    <x v="0"/>
    <x v="0"/>
    <x v="0"/>
    <x v="3"/>
    <x v="6"/>
    <s v="DE4-S_A"/>
    <x v="1"/>
    <s v="GNR_HS_HEAT_WTR-TANK_LS_E-95_Y-2010"/>
    <x v="0"/>
    <x v="17"/>
    <n v="32563.0679751731"/>
    <n v="11885519.8109382"/>
    <n v="42787871.319377497"/>
  </r>
  <r>
    <x v="0"/>
    <x v="0"/>
    <x v="0"/>
    <x v="3"/>
    <x v="6"/>
    <s v="DE4-S_A"/>
    <x v="1"/>
    <s v="GNR_HS_HEAT_WTR-TANK_LS_E-95_Y-2010"/>
    <x v="0"/>
    <x v="18"/>
    <n v="32555.578646566199"/>
    <n v="11882786.2059967"/>
    <n v="42778030.341588102"/>
  </r>
  <r>
    <x v="0"/>
    <x v="0"/>
    <x v="0"/>
    <x v="3"/>
    <x v="6"/>
    <s v="DE4-S_A"/>
    <x v="1"/>
    <s v="GNR_HS_HEAT_WTR-TANK_LS_E-95_Y-2010"/>
    <x v="0"/>
    <x v="19"/>
    <n v="32478.813028345601"/>
    <n v="11854766.755346101"/>
    <n v="42677160.319246098"/>
  </r>
  <r>
    <x v="0"/>
    <x v="0"/>
    <x v="0"/>
    <x v="3"/>
    <x v="6"/>
    <s v="DE4-S_A"/>
    <x v="1"/>
    <s v="GNR_HS_HEAT_WTR-TANK_LS_E-95_Y-2010"/>
    <x v="0"/>
    <x v="20"/>
    <n v="33770.960558783103"/>
    <n v="12326400.6039558"/>
    <n v="44375042.174240999"/>
  </r>
  <r>
    <x v="0"/>
    <x v="0"/>
    <x v="0"/>
    <x v="3"/>
    <x v="6"/>
    <s v="DE4-S_A"/>
    <x v="1"/>
    <s v="GNR_HS_HEAT_WTR-TANK_LS_E-95_Y-2010"/>
    <x v="0"/>
    <x v="21"/>
    <n v="33266.408188961097"/>
    <n v="12142238.988970799"/>
    <n v="43712060.360294901"/>
  </r>
  <r>
    <x v="0"/>
    <x v="0"/>
    <x v="0"/>
    <x v="3"/>
    <x v="6"/>
    <s v="DE4-S_A"/>
    <x v="1"/>
    <s v="GNR_HS_HEAT_WTR-TANK_LS_E-95_Y-2010"/>
    <x v="0"/>
    <x v="22"/>
    <n v="33071.685645181897"/>
    <n v="12071165.260491399"/>
    <n v="43456194.937769003"/>
  </r>
  <r>
    <x v="0"/>
    <x v="0"/>
    <x v="0"/>
    <x v="3"/>
    <x v="6"/>
    <s v="DE4-S_A"/>
    <x v="1"/>
    <s v="GNR_HS_HEAT_WTR-TANK_LS_E-95_Y-2010"/>
    <x v="0"/>
    <x v="23"/>
    <n v="32957.473383926699"/>
    <n v="12029477.7851333"/>
    <n v="43306120.026479699"/>
  </r>
  <r>
    <x v="0"/>
    <x v="0"/>
    <x v="0"/>
    <x v="3"/>
    <x v="6"/>
    <s v="DE4-S_A"/>
    <x v="2"/>
    <s v="GNR_ST_MSW_BP_E-33"/>
    <x v="0"/>
    <x v="1"/>
    <n v="1352.1065798044699"/>
    <n v="493518.90162863297"/>
    <n v="1776668.0458630801"/>
  </r>
  <r>
    <x v="0"/>
    <x v="0"/>
    <x v="0"/>
    <x v="3"/>
    <x v="6"/>
    <s v="DE4-S_A"/>
    <x v="2"/>
    <s v="GNR_ST_MSW_BP_E-33"/>
    <x v="0"/>
    <x v="2"/>
    <n v="1352.1065798044699"/>
    <n v="493518.90162863297"/>
    <n v="1776668.0458630801"/>
  </r>
  <r>
    <x v="0"/>
    <x v="0"/>
    <x v="0"/>
    <x v="3"/>
    <x v="6"/>
    <s v="DE4-S_A"/>
    <x v="2"/>
    <s v="GNR_ST_MSW_BP_E-33"/>
    <x v="0"/>
    <x v="3"/>
    <n v="1352.1065798044699"/>
    <n v="493518.90162863297"/>
    <n v="1776668.0458630801"/>
  </r>
  <r>
    <x v="0"/>
    <x v="0"/>
    <x v="0"/>
    <x v="3"/>
    <x v="6"/>
    <s v="DE4-S_A"/>
    <x v="2"/>
    <s v="GNR_ST_MSW_BP_E-33"/>
    <x v="0"/>
    <x v="5"/>
    <n v="1352.1065798044699"/>
    <n v="493518.90162863297"/>
    <n v="1776668.0458630801"/>
  </r>
  <r>
    <x v="0"/>
    <x v="0"/>
    <x v="0"/>
    <x v="3"/>
    <x v="6"/>
    <s v="DE4-S_A"/>
    <x v="2"/>
    <s v="GNR_ST_MSW_BP_E-33"/>
    <x v="0"/>
    <x v="17"/>
    <n v="1352.1065798044699"/>
    <n v="493518.90162863297"/>
    <n v="1776668.0458630801"/>
  </r>
  <r>
    <x v="0"/>
    <x v="0"/>
    <x v="0"/>
    <x v="3"/>
    <x v="6"/>
    <s v="DE4-S_A"/>
    <x v="2"/>
    <s v="GNR_ST_MSW_BP_E-33"/>
    <x v="0"/>
    <x v="18"/>
    <n v="1352.1065798044699"/>
    <n v="493518.90162863297"/>
    <n v="1776668.0458630801"/>
  </r>
  <r>
    <x v="0"/>
    <x v="0"/>
    <x v="0"/>
    <x v="3"/>
    <x v="6"/>
    <s v="DE4-S_A"/>
    <x v="2"/>
    <s v="GNR_ST_MSW_BP_E-33"/>
    <x v="0"/>
    <x v="19"/>
    <n v="1352.1065798044699"/>
    <n v="493518.90162863297"/>
    <n v="1776668.0458630801"/>
  </r>
  <r>
    <x v="0"/>
    <x v="0"/>
    <x v="0"/>
    <x v="3"/>
    <x v="6"/>
    <s v="DE4-S_A"/>
    <x v="3"/>
    <s v="GNR_CC_NGAS_BP_E-53"/>
    <x v="0"/>
    <x v="6"/>
    <n v="2706.5833333333298"/>
    <n v="987902.91666666698"/>
    <n v="3556450.5"/>
  </r>
  <r>
    <x v="0"/>
    <x v="0"/>
    <x v="0"/>
    <x v="3"/>
    <x v="6"/>
    <s v="DE4-S_A"/>
    <x v="3"/>
    <s v="GNR_CC_NGAS_BP_E-53"/>
    <x v="0"/>
    <x v="7"/>
    <n v="2706.5833333333298"/>
    <n v="987902.91666666698"/>
    <n v="3556450.5"/>
  </r>
  <r>
    <x v="0"/>
    <x v="0"/>
    <x v="0"/>
    <x v="3"/>
    <x v="6"/>
    <s v="DE4-S_A"/>
    <x v="3"/>
    <s v="GNR_CC_NGAS_BP_E-53"/>
    <x v="0"/>
    <x v="8"/>
    <n v="2706.5833333333298"/>
    <n v="987902.91666666698"/>
    <n v="3556450.5"/>
  </r>
  <r>
    <x v="0"/>
    <x v="0"/>
    <x v="0"/>
    <x v="3"/>
    <x v="6"/>
    <s v="DE4-S_A"/>
    <x v="3"/>
    <s v="GNR_CC_NGAS_BP_E-53"/>
    <x v="0"/>
    <x v="9"/>
    <n v="2706.5833333333298"/>
    <n v="987902.91666666698"/>
    <n v="3556450.5"/>
  </r>
  <r>
    <x v="0"/>
    <x v="0"/>
    <x v="0"/>
    <x v="3"/>
    <x v="6"/>
    <s v="DE4-S_A"/>
    <x v="3"/>
    <s v="GNR_CC_NGAS_BP_E-53"/>
    <x v="0"/>
    <x v="10"/>
    <n v="2706.5833333333298"/>
    <n v="987902.91666666698"/>
    <n v="3556450.5"/>
  </r>
  <r>
    <x v="0"/>
    <x v="0"/>
    <x v="0"/>
    <x v="3"/>
    <x v="6"/>
    <s v="DE4-S_A"/>
    <x v="3"/>
    <s v="GNR_CC_NGAS_BP_E-53"/>
    <x v="0"/>
    <x v="11"/>
    <n v="2706.5833333333298"/>
    <n v="987902.91666666698"/>
    <n v="3556450.5"/>
  </r>
  <r>
    <x v="0"/>
    <x v="0"/>
    <x v="0"/>
    <x v="3"/>
    <x v="6"/>
    <s v="DE4-S_A"/>
    <x v="3"/>
    <s v="GNR_CC_NGAS_BP_E-53"/>
    <x v="0"/>
    <x v="0"/>
    <n v="2706.5833333333298"/>
    <n v="987902.91666666698"/>
    <n v="3556450.5"/>
  </r>
  <r>
    <x v="0"/>
    <x v="0"/>
    <x v="0"/>
    <x v="3"/>
    <x v="6"/>
    <s v="DE4-S_A"/>
    <x v="3"/>
    <s v="GNR_CC_NGAS_BP_E-53"/>
    <x v="0"/>
    <x v="1"/>
    <n v="2706.5833333333298"/>
    <n v="987902.91666666698"/>
    <n v="3556450.5"/>
  </r>
  <r>
    <x v="0"/>
    <x v="0"/>
    <x v="0"/>
    <x v="3"/>
    <x v="6"/>
    <s v="DE4-S_A"/>
    <x v="3"/>
    <s v="GNR_CC_NGAS_BP_E-53"/>
    <x v="0"/>
    <x v="2"/>
    <n v="2706.5833333333298"/>
    <n v="987902.91666666698"/>
    <n v="3556450.5"/>
  </r>
  <r>
    <x v="0"/>
    <x v="0"/>
    <x v="0"/>
    <x v="3"/>
    <x v="6"/>
    <s v="DE4-S_A"/>
    <x v="3"/>
    <s v="GNR_CC_NGAS_BP_E-53"/>
    <x v="0"/>
    <x v="3"/>
    <n v="2706.5833333333298"/>
    <n v="987902.91666666698"/>
    <n v="3556450.5"/>
  </r>
  <r>
    <x v="0"/>
    <x v="0"/>
    <x v="0"/>
    <x v="3"/>
    <x v="6"/>
    <s v="DE4-S_A"/>
    <x v="3"/>
    <s v="GNR_CC_NGAS_BP_E-53"/>
    <x v="0"/>
    <x v="12"/>
    <n v="2706.5833333333298"/>
    <n v="987902.91666666698"/>
    <n v="3556450.5"/>
  </r>
  <r>
    <x v="0"/>
    <x v="0"/>
    <x v="0"/>
    <x v="3"/>
    <x v="6"/>
    <s v="DE4-S_A"/>
    <x v="3"/>
    <s v="GNR_CC_NGAS_BP_E-53"/>
    <x v="0"/>
    <x v="13"/>
    <n v="2706.5833333333298"/>
    <n v="987902.91666666698"/>
    <n v="3556450.5"/>
  </r>
  <r>
    <x v="0"/>
    <x v="0"/>
    <x v="0"/>
    <x v="3"/>
    <x v="6"/>
    <s v="DE4-S_A"/>
    <x v="3"/>
    <s v="GNR_CC_NGAS_BP_E-53"/>
    <x v="0"/>
    <x v="14"/>
    <n v="2706.5833333333298"/>
    <n v="987902.91666666698"/>
    <n v="3556450.5"/>
  </r>
  <r>
    <x v="0"/>
    <x v="0"/>
    <x v="0"/>
    <x v="3"/>
    <x v="6"/>
    <s v="DE4-S_A"/>
    <x v="3"/>
    <s v="GNR_CC_NGAS_BP_E-53"/>
    <x v="0"/>
    <x v="15"/>
    <n v="2706.5833333333298"/>
    <n v="987902.91666666698"/>
    <n v="3556450.5"/>
  </r>
  <r>
    <x v="0"/>
    <x v="0"/>
    <x v="0"/>
    <x v="3"/>
    <x v="6"/>
    <s v="DE4-S_A"/>
    <x v="3"/>
    <s v="GNR_CC_NGAS_BP_E-53"/>
    <x v="0"/>
    <x v="4"/>
    <n v="2706.5833333333298"/>
    <n v="987902.91666666698"/>
    <n v="3556450.5"/>
  </r>
  <r>
    <x v="0"/>
    <x v="0"/>
    <x v="0"/>
    <x v="3"/>
    <x v="6"/>
    <s v="DE4-S_A"/>
    <x v="3"/>
    <s v="GNR_CC_NGAS_BP_E-53"/>
    <x v="0"/>
    <x v="16"/>
    <n v="2706.5833333333298"/>
    <n v="987902.91666666698"/>
    <n v="3556450.5"/>
  </r>
  <r>
    <x v="0"/>
    <x v="0"/>
    <x v="0"/>
    <x v="3"/>
    <x v="6"/>
    <s v="DE4-S_A"/>
    <x v="3"/>
    <s v="GNR_CC_NGAS_BP_E-53"/>
    <x v="0"/>
    <x v="5"/>
    <n v="2706.5833333333298"/>
    <n v="987902.91666666698"/>
    <n v="3556450.5"/>
  </r>
  <r>
    <x v="0"/>
    <x v="0"/>
    <x v="0"/>
    <x v="3"/>
    <x v="6"/>
    <s v="DE4-S_A"/>
    <x v="3"/>
    <s v="GNR_CC_NGAS_BP_E-53"/>
    <x v="0"/>
    <x v="17"/>
    <n v="2706.5833333333298"/>
    <n v="987902.91666666698"/>
    <n v="3556450.5"/>
  </r>
  <r>
    <x v="0"/>
    <x v="0"/>
    <x v="0"/>
    <x v="3"/>
    <x v="6"/>
    <s v="DE4-S_A"/>
    <x v="3"/>
    <s v="GNR_CC_NGAS_BP_E-53"/>
    <x v="0"/>
    <x v="18"/>
    <n v="2706.5833333333298"/>
    <n v="987902.91666666698"/>
    <n v="3556450.5"/>
  </r>
  <r>
    <x v="0"/>
    <x v="0"/>
    <x v="0"/>
    <x v="3"/>
    <x v="6"/>
    <s v="DE4-S_A"/>
    <x v="3"/>
    <s v="GNR_CC_NGAS_BP_E-53"/>
    <x v="0"/>
    <x v="19"/>
    <n v="2706.5833333333298"/>
    <n v="987902.91666666698"/>
    <n v="3556450.5"/>
  </r>
  <r>
    <x v="0"/>
    <x v="0"/>
    <x v="0"/>
    <x v="3"/>
    <x v="6"/>
    <s v="DE4-S_A"/>
    <x v="3"/>
    <s v="GNR_CC_NGAS_BP_E-53"/>
    <x v="0"/>
    <x v="20"/>
    <n v="2706.5833333333298"/>
    <n v="987902.91666666698"/>
    <n v="3556450.5"/>
  </r>
  <r>
    <x v="0"/>
    <x v="0"/>
    <x v="0"/>
    <x v="3"/>
    <x v="6"/>
    <s v="DE4-S_A"/>
    <x v="3"/>
    <s v="GNR_CC_NGAS_BP_E-53"/>
    <x v="0"/>
    <x v="21"/>
    <n v="2706.5833333333298"/>
    <n v="987902.91666666698"/>
    <n v="3556450.5"/>
  </r>
  <r>
    <x v="0"/>
    <x v="0"/>
    <x v="0"/>
    <x v="3"/>
    <x v="6"/>
    <s v="DE4-S_A"/>
    <x v="3"/>
    <s v="GNR_CC_NGAS_BP_E-53"/>
    <x v="0"/>
    <x v="22"/>
    <n v="2706.5833333333298"/>
    <n v="987902.91666666698"/>
    <n v="3556450.5"/>
  </r>
  <r>
    <x v="0"/>
    <x v="0"/>
    <x v="0"/>
    <x v="3"/>
    <x v="6"/>
    <s v="DE4-S_A"/>
    <x v="3"/>
    <s v="GNR_CC_NGAS_BP_E-53"/>
    <x v="0"/>
    <x v="23"/>
    <n v="2706.5833333333298"/>
    <n v="987902.91666666698"/>
    <n v="3556450.5"/>
  </r>
  <r>
    <x v="0"/>
    <x v="0"/>
    <x v="0"/>
    <x v="3"/>
    <x v="6"/>
    <s v="DE4-S_A"/>
    <x v="3"/>
    <s v="GNR_ENG_NGAS_BP_E-46"/>
    <x v="0"/>
    <x v="6"/>
    <n v="36.7777777777778"/>
    <n v="13423.8888888889"/>
    <n v="48326"/>
  </r>
  <r>
    <x v="0"/>
    <x v="0"/>
    <x v="0"/>
    <x v="3"/>
    <x v="6"/>
    <s v="DE4-S_A"/>
    <x v="3"/>
    <s v="GNR_ENG_NGAS_BP_E-46"/>
    <x v="0"/>
    <x v="7"/>
    <n v="36.7777777777778"/>
    <n v="13423.8888888889"/>
    <n v="48326"/>
  </r>
  <r>
    <x v="0"/>
    <x v="0"/>
    <x v="0"/>
    <x v="3"/>
    <x v="6"/>
    <s v="DE4-S_A"/>
    <x v="3"/>
    <s v="GNR_ENG_NGAS_BP_E-46"/>
    <x v="0"/>
    <x v="8"/>
    <n v="36.7777777777778"/>
    <n v="13423.8888888889"/>
    <n v="48326"/>
  </r>
  <r>
    <x v="0"/>
    <x v="0"/>
    <x v="0"/>
    <x v="3"/>
    <x v="6"/>
    <s v="DE4-S_A"/>
    <x v="3"/>
    <s v="GNR_ENG_NGAS_BP_E-46"/>
    <x v="0"/>
    <x v="9"/>
    <n v="36.7777777777778"/>
    <n v="13423.8888888889"/>
    <n v="48326"/>
  </r>
  <r>
    <x v="0"/>
    <x v="0"/>
    <x v="0"/>
    <x v="3"/>
    <x v="6"/>
    <s v="DE4-S_A"/>
    <x v="3"/>
    <s v="GNR_ENG_NGAS_BP_E-46"/>
    <x v="0"/>
    <x v="10"/>
    <n v="36.7777777777778"/>
    <n v="13423.8888888889"/>
    <n v="48326"/>
  </r>
  <r>
    <x v="0"/>
    <x v="0"/>
    <x v="0"/>
    <x v="3"/>
    <x v="6"/>
    <s v="DE4-S_A"/>
    <x v="3"/>
    <s v="GNR_ENG_NGAS_BP_E-46"/>
    <x v="0"/>
    <x v="11"/>
    <n v="36.7777777777778"/>
    <n v="13423.8888888889"/>
    <n v="48326"/>
  </r>
  <r>
    <x v="0"/>
    <x v="0"/>
    <x v="0"/>
    <x v="3"/>
    <x v="6"/>
    <s v="DE4-S_A"/>
    <x v="3"/>
    <s v="GNR_ENG_NGAS_BP_E-46"/>
    <x v="0"/>
    <x v="0"/>
    <n v="36.7777777777778"/>
    <n v="13423.8888888889"/>
    <n v="48326"/>
  </r>
  <r>
    <x v="0"/>
    <x v="0"/>
    <x v="0"/>
    <x v="3"/>
    <x v="6"/>
    <s v="DE4-S_A"/>
    <x v="3"/>
    <s v="GNR_ENG_NGAS_BP_E-46"/>
    <x v="0"/>
    <x v="1"/>
    <n v="36.7777777777778"/>
    <n v="13423.8888888889"/>
    <n v="48326"/>
  </r>
  <r>
    <x v="0"/>
    <x v="0"/>
    <x v="0"/>
    <x v="3"/>
    <x v="6"/>
    <s v="DE4-S_A"/>
    <x v="3"/>
    <s v="GNR_ENG_NGAS_BP_E-46"/>
    <x v="0"/>
    <x v="2"/>
    <n v="36.7777777777778"/>
    <n v="13423.8888888889"/>
    <n v="48326"/>
  </r>
  <r>
    <x v="0"/>
    <x v="0"/>
    <x v="0"/>
    <x v="3"/>
    <x v="6"/>
    <s v="DE4-S_A"/>
    <x v="3"/>
    <s v="GNR_ENG_NGAS_BP_E-46"/>
    <x v="0"/>
    <x v="3"/>
    <n v="36.7777777777778"/>
    <n v="13423.8888888889"/>
    <n v="48326"/>
  </r>
  <r>
    <x v="0"/>
    <x v="0"/>
    <x v="0"/>
    <x v="3"/>
    <x v="6"/>
    <s v="DE4-S_A"/>
    <x v="3"/>
    <s v="GNR_ENG_NGAS_BP_E-46"/>
    <x v="0"/>
    <x v="12"/>
    <n v="36.7777777777778"/>
    <n v="13423.8888888889"/>
    <n v="48326"/>
  </r>
  <r>
    <x v="0"/>
    <x v="0"/>
    <x v="0"/>
    <x v="3"/>
    <x v="6"/>
    <s v="DE4-S_A"/>
    <x v="3"/>
    <s v="GNR_ENG_NGAS_BP_E-46"/>
    <x v="0"/>
    <x v="13"/>
    <n v="36.7777777777778"/>
    <n v="13423.8888888889"/>
    <n v="48326"/>
  </r>
  <r>
    <x v="0"/>
    <x v="0"/>
    <x v="0"/>
    <x v="3"/>
    <x v="6"/>
    <s v="DE4-S_A"/>
    <x v="3"/>
    <s v="GNR_ENG_NGAS_BP_E-46"/>
    <x v="0"/>
    <x v="14"/>
    <n v="36.7777777777778"/>
    <n v="13423.8888888889"/>
    <n v="48326"/>
  </r>
  <r>
    <x v="0"/>
    <x v="0"/>
    <x v="0"/>
    <x v="3"/>
    <x v="6"/>
    <s v="DE4-S_A"/>
    <x v="3"/>
    <s v="GNR_ENG_NGAS_BP_E-46"/>
    <x v="0"/>
    <x v="15"/>
    <n v="36.7777777777778"/>
    <n v="13423.8888888889"/>
    <n v="48326"/>
  </r>
  <r>
    <x v="0"/>
    <x v="0"/>
    <x v="0"/>
    <x v="3"/>
    <x v="6"/>
    <s v="DE4-S_A"/>
    <x v="3"/>
    <s v="GNR_ENG_NGAS_BP_E-46"/>
    <x v="0"/>
    <x v="4"/>
    <n v="36.7777777777778"/>
    <n v="13423.8888888889"/>
    <n v="48326"/>
  </r>
  <r>
    <x v="0"/>
    <x v="0"/>
    <x v="0"/>
    <x v="3"/>
    <x v="6"/>
    <s v="DE4-S_A"/>
    <x v="3"/>
    <s v="GNR_ENG_NGAS_BP_E-46"/>
    <x v="0"/>
    <x v="16"/>
    <n v="36.7777777777778"/>
    <n v="13423.8888888889"/>
    <n v="48326"/>
  </r>
  <r>
    <x v="0"/>
    <x v="0"/>
    <x v="0"/>
    <x v="3"/>
    <x v="6"/>
    <s v="DE4-S_A"/>
    <x v="3"/>
    <s v="GNR_ENG_NGAS_BP_E-46"/>
    <x v="0"/>
    <x v="5"/>
    <n v="36.7777777777778"/>
    <n v="13423.8888888889"/>
    <n v="48326"/>
  </r>
  <r>
    <x v="0"/>
    <x v="0"/>
    <x v="0"/>
    <x v="3"/>
    <x v="6"/>
    <s v="DE4-S_A"/>
    <x v="3"/>
    <s v="GNR_ENG_NGAS_BP_E-46"/>
    <x v="0"/>
    <x v="17"/>
    <n v="36.7777777777778"/>
    <n v="13423.8888888889"/>
    <n v="48326"/>
  </r>
  <r>
    <x v="0"/>
    <x v="0"/>
    <x v="0"/>
    <x v="3"/>
    <x v="6"/>
    <s v="DE4-S_A"/>
    <x v="3"/>
    <s v="GNR_ENG_NGAS_BP_E-46"/>
    <x v="0"/>
    <x v="18"/>
    <n v="36.7777777777778"/>
    <n v="13423.8888888889"/>
    <n v="48326"/>
  </r>
  <r>
    <x v="0"/>
    <x v="0"/>
    <x v="0"/>
    <x v="3"/>
    <x v="6"/>
    <s v="DE4-S_A"/>
    <x v="3"/>
    <s v="GNR_ENG_NGAS_BP_E-46"/>
    <x v="0"/>
    <x v="19"/>
    <n v="36.7777777777778"/>
    <n v="13423.8888888889"/>
    <n v="48326"/>
  </r>
  <r>
    <x v="0"/>
    <x v="0"/>
    <x v="0"/>
    <x v="3"/>
    <x v="6"/>
    <s v="DE4-S_A"/>
    <x v="3"/>
    <s v="GNR_ENG_NGAS_BP_E-46"/>
    <x v="0"/>
    <x v="20"/>
    <n v="36.7777777777778"/>
    <n v="13423.8888888889"/>
    <n v="48326"/>
  </r>
  <r>
    <x v="0"/>
    <x v="0"/>
    <x v="0"/>
    <x v="3"/>
    <x v="6"/>
    <s v="DE4-S_A"/>
    <x v="3"/>
    <s v="GNR_ENG_NGAS_BP_E-46"/>
    <x v="0"/>
    <x v="21"/>
    <n v="36.7777777777778"/>
    <n v="13423.8888888889"/>
    <n v="48326"/>
  </r>
  <r>
    <x v="0"/>
    <x v="0"/>
    <x v="0"/>
    <x v="3"/>
    <x v="6"/>
    <s v="DE4-S_A"/>
    <x v="3"/>
    <s v="GNR_ENG_NGAS_BP_E-46"/>
    <x v="0"/>
    <x v="22"/>
    <n v="36.7777777777778"/>
    <n v="13423.8888888889"/>
    <n v="48326"/>
  </r>
  <r>
    <x v="0"/>
    <x v="0"/>
    <x v="0"/>
    <x v="3"/>
    <x v="6"/>
    <s v="DE4-S_A"/>
    <x v="3"/>
    <s v="GNR_ENG_NGAS_BP_E-46"/>
    <x v="0"/>
    <x v="23"/>
    <n v="36.7777777777778"/>
    <n v="13423.8888888889"/>
    <n v="48326"/>
  </r>
  <r>
    <x v="0"/>
    <x v="0"/>
    <x v="0"/>
    <x v="3"/>
    <x v="6"/>
    <s v="DE4-S_A"/>
    <x v="3"/>
    <s v="GNR_GT_NGAS_BP_E-32"/>
    <x v="0"/>
    <x v="0"/>
    <n v="84.210526315789494"/>
    <n v="30736.8421052632"/>
    <n v="110652.631578947"/>
  </r>
  <r>
    <x v="0"/>
    <x v="0"/>
    <x v="0"/>
    <x v="3"/>
    <x v="6"/>
    <s v="DE4-S_A"/>
    <x v="3"/>
    <s v="GNR_GT_NGAS_BP_E-32"/>
    <x v="0"/>
    <x v="1"/>
    <n v="84.210526315789494"/>
    <n v="30736.8421052632"/>
    <n v="110652.631578947"/>
  </r>
  <r>
    <x v="0"/>
    <x v="0"/>
    <x v="0"/>
    <x v="3"/>
    <x v="6"/>
    <s v="DE4-S_A"/>
    <x v="3"/>
    <s v="GNR_GT_NGAS_BP_E-32"/>
    <x v="0"/>
    <x v="2"/>
    <n v="84.210526315789494"/>
    <n v="30736.8421052632"/>
    <n v="110652.631578947"/>
  </r>
  <r>
    <x v="0"/>
    <x v="0"/>
    <x v="0"/>
    <x v="3"/>
    <x v="6"/>
    <s v="DE4-S_A"/>
    <x v="3"/>
    <s v="GNR_GT_NGAS_BP_E-32"/>
    <x v="0"/>
    <x v="3"/>
    <n v="84.210526315789494"/>
    <n v="30736.8421052632"/>
    <n v="110652.631578947"/>
  </r>
  <r>
    <x v="0"/>
    <x v="0"/>
    <x v="0"/>
    <x v="3"/>
    <x v="6"/>
    <s v="DE4-S_A"/>
    <x v="3"/>
    <s v="GNR_GT_NGAS_BP_E-32"/>
    <x v="0"/>
    <x v="12"/>
    <n v="84.210526315789494"/>
    <n v="30736.8421052632"/>
    <n v="110652.631578947"/>
  </r>
  <r>
    <x v="0"/>
    <x v="0"/>
    <x v="0"/>
    <x v="3"/>
    <x v="6"/>
    <s v="DE4-S_A"/>
    <x v="3"/>
    <s v="GNR_GT_NGAS_BP_E-32"/>
    <x v="0"/>
    <x v="4"/>
    <n v="84.210526315789494"/>
    <n v="30736.8421052632"/>
    <n v="110652.631578947"/>
  </r>
  <r>
    <x v="0"/>
    <x v="0"/>
    <x v="0"/>
    <x v="3"/>
    <x v="6"/>
    <s v="DE4-S_A"/>
    <x v="3"/>
    <s v="GNR_GT_NGAS_BP_E-32"/>
    <x v="0"/>
    <x v="16"/>
    <n v="84.210526315789494"/>
    <n v="30736.8421052632"/>
    <n v="110652.631578947"/>
  </r>
  <r>
    <x v="0"/>
    <x v="0"/>
    <x v="0"/>
    <x v="3"/>
    <x v="6"/>
    <s v="DE4-S_A"/>
    <x v="3"/>
    <s v="GNR_GT_NGAS_BP_E-32"/>
    <x v="0"/>
    <x v="5"/>
    <n v="84.210526315789494"/>
    <n v="30736.8421052632"/>
    <n v="110652.631578947"/>
  </r>
  <r>
    <x v="0"/>
    <x v="0"/>
    <x v="0"/>
    <x v="3"/>
    <x v="6"/>
    <s v="DE4-S_A"/>
    <x v="3"/>
    <s v="GNR_GT_NGAS_BP_E-32"/>
    <x v="0"/>
    <x v="17"/>
    <n v="84.210526315789494"/>
    <n v="30736.8421052632"/>
    <n v="110652.631578947"/>
  </r>
  <r>
    <x v="0"/>
    <x v="0"/>
    <x v="0"/>
    <x v="3"/>
    <x v="6"/>
    <s v="DE4-S_A"/>
    <x v="3"/>
    <s v="GNR_GT_NGAS_BP_E-32"/>
    <x v="0"/>
    <x v="18"/>
    <n v="84.210526315789494"/>
    <n v="30736.8421052632"/>
    <n v="110652.631578947"/>
  </r>
  <r>
    <x v="0"/>
    <x v="0"/>
    <x v="0"/>
    <x v="3"/>
    <x v="6"/>
    <s v="DE4-S_A"/>
    <x v="3"/>
    <s v="GNR_GT_NGAS_BP_E-32"/>
    <x v="0"/>
    <x v="19"/>
    <n v="84.210526315789494"/>
    <n v="30736.8421052632"/>
    <n v="110652.631578947"/>
  </r>
  <r>
    <x v="0"/>
    <x v="0"/>
    <x v="0"/>
    <x v="3"/>
    <x v="6"/>
    <s v="DE4-S_A"/>
    <x v="3"/>
    <s v="GNR_GT_NGAS_BP_E-37"/>
    <x v="0"/>
    <x v="0"/>
    <n v="188.210526315789"/>
    <n v="68696.842105263204"/>
    <n v="247308.63157894701"/>
  </r>
  <r>
    <x v="0"/>
    <x v="0"/>
    <x v="0"/>
    <x v="3"/>
    <x v="6"/>
    <s v="DE4-S_A"/>
    <x v="3"/>
    <s v="GNR_GT_NGAS_BP_E-37"/>
    <x v="0"/>
    <x v="1"/>
    <n v="188.210526315789"/>
    <n v="68696.842105263204"/>
    <n v="247308.63157894701"/>
  </r>
  <r>
    <x v="0"/>
    <x v="0"/>
    <x v="0"/>
    <x v="3"/>
    <x v="6"/>
    <s v="DE4-S_A"/>
    <x v="3"/>
    <s v="GNR_GT_NGAS_BP_E-37"/>
    <x v="0"/>
    <x v="2"/>
    <n v="188.210526315789"/>
    <n v="68696.842105263204"/>
    <n v="247308.63157894701"/>
  </r>
  <r>
    <x v="0"/>
    <x v="0"/>
    <x v="0"/>
    <x v="3"/>
    <x v="6"/>
    <s v="DE4-S_A"/>
    <x v="3"/>
    <s v="GNR_GT_NGAS_BP_E-37"/>
    <x v="0"/>
    <x v="3"/>
    <n v="188.210526315789"/>
    <n v="68696.842105263204"/>
    <n v="247308.63157894701"/>
  </r>
  <r>
    <x v="0"/>
    <x v="0"/>
    <x v="0"/>
    <x v="3"/>
    <x v="6"/>
    <s v="DE4-S_A"/>
    <x v="3"/>
    <s v="GNR_GT_NGAS_BP_E-37"/>
    <x v="0"/>
    <x v="12"/>
    <n v="188.210526315789"/>
    <n v="68696.842105263204"/>
    <n v="247308.63157894701"/>
  </r>
  <r>
    <x v="0"/>
    <x v="0"/>
    <x v="0"/>
    <x v="3"/>
    <x v="6"/>
    <s v="DE4-S_A"/>
    <x v="3"/>
    <s v="GNR_GT_NGAS_BP_E-37"/>
    <x v="0"/>
    <x v="13"/>
    <n v="188.210526315789"/>
    <n v="68696.842105263204"/>
    <n v="247308.63157894701"/>
  </r>
  <r>
    <x v="0"/>
    <x v="0"/>
    <x v="0"/>
    <x v="3"/>
    <x v="6"/>
    <s v="DE4-S_A"/>
    <x v="3"/>
    <s v="GNR_GT_NGAS_BP_E-37"/>
    <x v="0"/>
    <x v="14"/>
    <n v="188.210526315789"/>
    <n v="68696.842105263204"/>
    <n v="247308.63157894701"/>
  </r>
  <r>
    <x v="0"/>
    <x v="0"/>
    <x v="0"/>
    <x v="3"/>
    <x v="6"/>
    <s v="DE4-S_A"/>
    <x v="3"/>
    <s v="GNR_GT_NGAS_BP_E-37"/>
    <x v="0"/>
    <x v="15"/>
    <n v="188.210526315789"/>
    <n v="68696.842105263204"/>
    <n v="247308.63157894701"/>
  </r>
  <r>
    <x v="0"/>
    <x v="0"/>
    <x v="0"/>
    <x v="3"/>
    <x v="6"/>
    <s v="DE4-S_A"/>
    <x v="3"/>
    <s v="GNR_GT_NGAS_BP_E-37"/>
    <x v="0"/>
    <x v="4"/>
    <n v="188.210526315789"/>
    <n v="68696.842105263204"/>
    <n v="247308.63157894701"/>
  </r>
  <r>
    <x v="0"/>
    <x v="0"/>
    <x v="0"/>
    <x v="3"/>
    <x v="6"/>
    <s v="DE4-S_A"/>
    <x v="3"/>
    <s v="GNR_GT_NGAS_BP_E-37"/>
    <x v="0"/>
    <x v="16"/>
    <n v="188.210526315789"/>
    <n v="68696.842105263204"/>
    <n v="247308.63157894701"/>
  </r>
  <r>
    <x v="0"/>
    <x v="0"/>
    <x v="0"/>
    <x v="3"/>
    <x v="6"/>
    <s v="DE4-S_A"/>
    <x v="3"/>
    <s v="GNR_GT_NGAS_BP_E-37"/>
    <x v="0"/>
    <x v="5"/>
    <n v="188.210526315789"/>
    <n v="68696.842105263204"/>
    <n v="247308.63157894701"/>
  </r>
  <r>
    <x v="0"/>
    <x v="0"/>
    <x v="0"/>
    <x v="3"/>
    <x v="6"/>
    <s v="DE4-S_A"/>
    <x v="3"/>
    <s v="GNR_GT_NGAS_BP_E-37"/>
    <x v="0"/>
    <x v="17"/>
    <n v="188.210526315789"/>
    <n v="68696.842105263204"/>
    <n v="247308.63157894701"/>
  </r>
  <r>
    <x v="0"/>
    <x v="0"/>
    <x v="0"/>
    <x v="3"/>
    <x v="6"/>
    <s v="DE4-S_A"/>
    <x v="3"/>
    <s v="GNR_GT_NGAS_BP_E-37"/>
    <x v="0"/>
    <x v="18"/>
    <n v="188.210526315789"/>
    <n v="68696.842105263204"/>
    <n v="247308.63157894701"/>
  </r>
  <r>
    <x v="0"/>
    <x v="0"/>
    <x v="0"/>
    <x v="3"/>
    <x v="6"/>
    <s v="DE4-S_A"/>
    <x v="3"/>
    <s v="GNR_GT_NGAS_BP_E-37"/>
    <x v="0"/>
    <x v="19"/>
    <n v="188.210526315789"/>
    <n v="68696.842105263204"/>
    <n v="247308.63157894701"/>
  </r>
  <r>
    <x v="0"/>
    <x v="0"/>
    <x v="0"/>
    <x v="3"/>
    <x v="6"/>
    <s v="DE4-S_A"/>
    <x v="3"/>
    <s v="GNR_GT_NGAS_BP_E-37"/>
    <x v="0"/>
    <x v="20"/>
    <n v="188.210526315789"/>
    <n v="68696.842105263204"/>
    <n v="247308.63157894701"/>
  </r>
  <r>
    <x v="0"/>
    <x v="0"/>
    <x v="0"/>
    <x v="3"/>
    <x v="6"/>
    <s v="DE4-S_A"/>
    <x v="3"/>
    <s v="GNR_ST_NGAS_BP_E-38"/>
    <x v="0"/>
    <x v="6"/>
    <n v="1408.8571428571399"/>
    <n v="514232.85714285698"/>
    <n v="1851238.2857142901"/>
  </r>
  <r>
    <x v="0"/>
    <x v="0"/>
    <x v="0"/>
    <x v="3"/>
    <x v="6"/>
    <s v="DE4-S_A"/>
    <x v="3"/>
    <s v="GNR_ST_NGAS_BP_E-38"/>
    <x v="0"/>
    <x v="7"/>
    <n v="1408.8571428571399"/>
    <n v="514232.85714285698"/>
    <n v="1851238.2857142901"/>
  </r>
  <r>
    <x v="0"/>
    <x v="0"/>
    <x v="0"/>
    <x v="3"/>
    <x v="6"/>
    <s v="DE4-S_A"/>
    <x v="3"/>
    <s v="GNR_ST_NGAS_BP_E-38"/>
    <x v="0"/>
    <x v="8"/>
    <n v="1408.8571428571399"/>
    <n v="514232.85714285698"/>
    <n v="1851238.2857142901"/>
  </r>
  <r>
    <x v="0"/>
    <x v="0"/>
    <x v="0"/>
    <x v="3"/>
    <x v="6"/>
    <s v="DE4-S_A"/>
    <x v="3"/>
    <s v="GNR_ST_NGAS_BP_E-38"/>
    <x v="0"/>
    <x v="9"/>
    <n v="1408.8571428571399"/>
    <n v="514232.85714285698"/>
    <n v="1851238.2857142901"/>
  </r>
  <r>
    <x v="0"/>
    <x v="0"/>
    <x v="0"/>
    <x v="3"/>
    <x v="6"/>
    <s v="DE4-S_A"/>
    <x v="3"/>
    <s v="GNR_ST_NGAS_BP_E-38"/>
    <x v="0"/>
    <x v="10"/>
    <n v="1408.8571428571399"/>
    <n v="514232.85714285698"/>
    <n v="1851238.2857142901"/>
  </r>
  <r>
    <x v="0"/>
    <x v="0"/>
    <x v="0"/>
    <x v="3"/>
    <x v="6"/>
    <s v="DE4-S_A"/>
    <x v="3"/>
    <s v="GNR_ST_NGAS_BP_E-38"/>
    <x v="0"/>
    <x v="11"/>
    <n v="1408.8571428571399"/>
    <n v="514232.85714285698"/>
    <n v="1851238.2857142901"/>
  </r>
  <r>
    <x v="0"/>
    <x v="0"/>
    <x v="0"/>
    <x v="3"/>
    <x v="6"/>
    <s v="DE4-S_A"/>
    <x v="3"/>
    <s v="GNR_ST_NGAS_BP_E-38"/>
    <x v="0"/>
    <x v="0"/>
    <n v="1408.8571428571399"/>
    <n v="514232.85714285698"/>
    <n v="1851238.2857142901"/>
  </r>
  <r>
    <x v="0"/>
    <x v="0"/>
    <x v="0"/>
    <x v="3"/>
    <x v="6"/>
    <s v="DE4-S_A"/>
    <x v="3"/>
    <s v="GNR_ST_NGAS_BP_E-38"/>
    <x v="0"/>
    <x v="1"/>
    <n v="1408.8571428571399"/>
    <n v="514232.85714285698"/>
    <n v="1851238.2857142901"/>
  </r>
  <r>
    <x v="0"/>
    <x v="0"/>
    <x v="0"/>
    <x v="3"/>
    <x v="6"/>
    <s v="DE4-S_A"/>
    <x v="3"/>
    <s v="GNR_ST_NGAS_BP_E-38"/>
    <x v="0"/>
    <x v="2"/>
    <n v="1408.8571428571399"/>
    <n v="514232.85714285698"/>
    <n v="1851238.2857142901"/>
  </r>
  <r>
    <x v="0"/>
    <x v="0"/>
    <x v="0"/>
    <x v="3"/>
    <x v="6"/>
    <s v="DE4-S_A"/>
    <x v="3"/>
    <s v="GNR_ST_NGAS_BP_E-38"/>
    <x v="0"/>
    <x v="3"/>
    <n v="1408.8571428571399"/>
    <n v="514232.85714285698"/>
    <n v="1851238.2857142901"/>
  </r>
  <r>
    <x v="0"/>
    <x v="0"/>
    <x v="0"/>
    <x v="3"/>
    <x v="6"/>
    <s v="DE4-S_A"/>
    <x v="3"/>
    <s v="GNR_ST_NGAS_BP_E-38"/>
    <x v="0"/>
    <x v="12"/>
    <n v="1408.8571428571399"/>
    <n v="514232.85714285698"/>
    <n v="1851238.2857142901"/>
  </r>
  <r>
    <x v="0"/>
    <x v="0"/>
    <x v="0"/>
    <x v="3"/>
    <x v="6"/>
    <s v="DE4-S_A"/>
    <x v="3"/>
    <s v="GNR_ST_NGAS_BP_E-38"/>
    <x v="0"/>
    <x v="13"/>
    <n v="1408.8571428571399"/>
    <n v="514232.85714285698"/>
    <n v="1851238.2857142901"/>
  </r>
  <r>
    <x v="0"/>
    <x v="0"/>
    <x v="0"/>
    <x v="3"/>
    <x v="6"/>
    <s v="DE4-S_A"/>
    <x v="3"/>
    <s v="GNR_ST_NGAS_BP_E-38"/>
    <x v="0"/>
    <x v="14"/>
    <n v="1408.8571428571399"/>
    <n v="514232.85714285698"/>
    <n v="1851238.2857142901"/>
  </r>
  <r>
    <x v="0"/>
    <x v="0"/>
    <x v="0"/>
    <x v="3"/>
    <x v="6"/>
    <s v="DE4-S_A"/>
    <x v="3"/>
    <s v="GNR_ST_NGAS_BP_E-38"/>
    <x v="0"/>
    <x v="15"/>
    <n v="1408.8571428571399"/>
    <n v="514232.85714285698"/>
    <n v="1851238.2857142901"/>
  </r>
  <r>
    <x v="0"/>
    <x v="0"/>
    <x v="0"/>
    <x v="3"/>
    <x v="6"/>
    <s v="DE4-S_A"/>
    <x v="3"/>
    <s v="GNR_ST_NGAS_BP_E-38"/>
    <x v="0"/>
    <x v="4"/>
    <n v="1408.8571428571399"/>
    <n v="514232.85714285698"/>
    <n v="1851238.2857142901"/>
  </r>
  <r>
    <x v="0"/>
    <x v="0"/>
    <x v="0"/>
    <x v="3"/>
    <x v="6"/>
    <s v="DE4-S_A"/>
    <x v="3"/>
    <s v="GNR_ST_NGAS_BP_E-38"/>
    <x v="0"/>
    <x v="16"/>
    <n v="1408.8571428571399"/>
    <n v="514232.85714285698"/>
    <n v="1851238.2857142901"/>
  </r>
  <r>
    <x v="0"/>
    <x v="0"/>
    <x v="0"/>
    <x v="3"/>
    <x v="6"/>
    <s v="DE4-S_A"/>
    <x v="3"/>
    <s v="GNR_ST_NGAS_BP_E-38"/>
    <x v="0"/>
    <x v="5"/>
    <n v="1408.8571428571399"/>
    <n v="514232.85714285698"/>
    <n v="1851238.2857142901"/>
  </r>
  <r>
    <x v="0"/>
    <x v="0"/>
    <x v="0"/>
    <x v="3"/>
    <x v="6"/>
    <s v="DE4-S_A"/>
    <x v="3"/>
    <s v="GNR_ST_NGAS_BP_E-38"/>
    <x v="0"/>
    <x v="17"/>
    <n v="1408.8571428571399"/>
    <n v="514232.85714285698"/>
    <n v="1851238.2857142901"/>
  </r>
  <r>
    <x v="0"/>
    <x v="0"/>
    <x v="0"/>
    <x v="3"/>
    <x v="6"/>
    <s v="DE4-S_A"/>
    <x v="3"/>
    <s v="GNR_ST_NGAS_BP_E-38"/>
    <x v="0"/>
    <x v="18"/>
    <n v="1408.8571428571399"/>
    <n v="514232.85714285698"/>
    <n v="1851238.2857142901"/>
  </r>
  <r>
    <x v="0"/>
    <x v="0"/>
    <x v="0"/>
    <x v="3"/>
    <x v="6"/>
    <s v="DE4-S_A"/>
    <x v="3"/>
    <s v="GNR_ST_NGAS_BP_E-38"/>
    <x v="0"/>
    <x v="19"/>
    <n v="1408.8571428571399"/>
    <n v="514232.85714285698"/>
    <n v="1851238.2857142901"/>
  </r>
  <r>
    <x v="0"/>
    <x v="0"/>
    <x v="0"/>
    <x v="3"/>
    <x v="6"/>
    <s v="DE4-S_A"/>
    <x v="3"/>
    <s v="GNR_ST_NGAS_BP_E-38"/>
    <x v="0"/>
    <x v="20"/>
    <n v="1408.8571428571399"/>
    <n v="514232.85714285698"/>
    <n v="1851238.2857142901"/>
  </r>
  <r>
    <x v="0"/>
    <x v="0"/>
    <x v="0"/>
    <x v="3"/>
    <x v="6"/>
    <s v="DE4-S_A"/>
    <x v="3"/>
    <s v="GNR_ST_NGAS_BP_E-38"/>
    <x v="0"/>
    <x v="21"/>
    <n v="1408.8571428571399"/>
    <n v="514232.85714285698"/>
    <n v="1851238.2857142901"/>
  </r>
  <r>
    <x v="0"/>
    <x v="0"/>
    <x v="0"/>
    <x v="3"/>
    <x v="6"/>
    <s v="DE4-S_A"/>
    <x v="3"/>
    <s v="GNR_ST_NGAS_BP_E-38"/>
    <x v="0"/>
    <x v="22"/>
    <n v="1408.8571428571399"/>
    <n v="514232.85714285698"/>
    <n v="1851238.2857142901"/>
  </r>
  <r>
    <x v="0"/>
    <x v="0"/>
    <x v="0"/>
    <x v="3"/>
    <x v="6"/>
    <s v="DE4-S_A"/>
    <x v="3"/>
    <s v="GNR_ST_NGAS_BP_E-38"/>
    <x v="0"/>
    <x v="23"/>
    <n v="1408.8571428571399"/>
    <n v="514232.85714285698"/>
    <n v="1851238.2857142901"/>
  </r>
  <r>
    <x v="0"/>
    <x v="0"/>
    <x v="0"/>
    <x v="3"/>
    <x v="7"/>
    <s v="DE4-W_A"/>
    <x v="9"/>
    <s v="GNR_ENG_BGAS_BP_E-45"/>
    <x v="0"/>
    <x v="1"/>
    <n v="21.451219512195099"/>
    <n v="7829.6951219512202"/>
    <n v="28186.902439024401"/>
  </r>
  <r>
    <x v="0"/>
    <x v="0"/>
    <x v="0"/>
    <x v="3"/>
    <x v="7"/>
    <s v="DE4-W_A"/>
    <x v="9"/>
    <s v="GNR_ENG_BGAS_BP_E-45"/>
    <x v="0"/>
    <x v="2"/>
    <n v="21.451219512195099"/>
    <n v="7829.6951219512202"/>
    <n v="28186.902439024401"/>
  </r>
  <r>
    <x v="0"/>
    <x v="0"/>
    <x v="0"/>
    <x v="3"/>
    <x v="7"/>
    <s v="DE4-W_A"/>
    <x v="9"/>
    <s v="GNR_ENG_BGAS_BP_E-45"/>
    <x v="0"/>
    <x v="3"/>
    <n v="21.451219512195099"/>
    <n v="7829.6951219512202"/>
    <n v="28186.902439024401"/>
  </r>
  <r>
    <x v="0"/>
    <x v="0"/>
    <x v="0"/>
    <x v="3"/>
    <x v="7"/>
    <s v="DE4-W_A"/>
    <x v="9"/>
    <s v="GNR_ST_BGAS_BP_E-38"/>
    <x v="0"/>
    <x v="1"/>
    <n v="191.857142857143"/>
    <n v="70027.857142857203"/>
    <n v="252100.285714286"/>
  </r>
  <r>
    <x v="0"/>
    <x v="0"/>
    <x v="0"/>
    <x v="3"/>
    <x v="7"/>
    <s v="DE4-W_A"/>
    <x v="9"/>
    <s v="GNR_ST_BGAS_BP_E-38"/>
    <x v="0"/>
    <x v="2"/>
    <n v="191.857142857143"/>
    <n v="70027.857142857203"/>
    <n v="252100.285714286"/>
  </r>
  <r>
    <x v="0"/>
    <x v="0"/>
    <x v="0"/>
    <x v="3"/>
    <x v="7"/>
    <s v="DE4-W_A"/>
    <x v="1"/>
    <s v="GNR_HS_HEAT_WTR-TANK_LS_E-95_Y-2010"/>
    <x v="0"/>
    <x v="6"/>
    <n v="90411.131195465699"/>
    <n v="33000062.886344999"/>
    <n v="118800226.39084201"/>
  </r>
  <r>
    <x v="0"/>
    <x v="0"/>
    <x v="0"/>
    <x v="3"/>
    <x v="7"/>
    <s v="DE4-W_A"/>
    <x v="1"/>
    <s v="GNR_HS_HEAT_WTR-TANK_LS_E-95_Y-2010"/>
    <x v="0"/>
    <x v="7"/>
    <n v="90381.909131471606"/>
    <n v="32989396.8329871"/>
    <n v="118761828.598754"/>
  </r>
  <r>
    <x v="0"/>
    <x v="0"/>
    <x v="0"/>
    <x v="3"/>
    <x v="7"/>
    <s v="DE4-W_A"/>
    <x v="1"/>
    <s v="GNR_HS_HEAT_WTR-TANK_LS_E-95_Y-2010"/>
    <x v="0"/>
    <x v="8"/>
    <n v="90355.343618749597"/>
    <n v="32979700.420843601"/>
    <n v="118726921.515037"/>
  </r>
  <r>
    <x v="0"/>
    <x v="0"/>
    <x v="0"/>
    <x v="3"/>
    <x v="7"/>
    <s v="DE4-W_A"/>
    <x v="1"/>
    <s v="GNR_HS_HEAT_WTR-TANK_LS_E-95_Y-2010"/>
    <x v="0"/>
    <x v="9"/>
    <n v="90395.191887832596"/>
    <n v="32994245.039058901"/>
    <n v="118779282.14061201"/>
  </r>
  <r>
    <x v="0"/>
    <x v="0"/>
    <x v="0"/>
    <x v="3"/>
    <x v="7"/>
    <s v="DE4-W_A"/>
    <x v="1"/>
    <s v="GNR_HS_HEAT_WTR-TANK_LS_E-95_Y-2010"/>
    <x v="0"/>
    <x v="10"/>
    <n v="90424.413951826704"/>
    <n v="33004911.092416801"/>
    <n v="118817679.93269999"/>
  </r>
  <r>
    <x v="0"/>
    <x v="0"/>
    <x v="0"/>
    <x v="3"/>
    <x v="7"/>
    <s v="DE4-W_A"/>
    <x v="1"/>
    <s v="GNR_HS_HEAT_WTR-TANK_LS_E-95_Y-2010"/>
    <x v="0"/>
    <x v="11"/>
    <n v="90889.310424461"/>
    <n v="33174598.304928299"/>
    <n v="119428553.897742"/>
  </r>
  <r>
    <x v="0"/>
    <x v="0"/>
    <x v="0"/>
    <x v="3"/>
    <x v="7"/>
    <s v="DE4-W_A"/>
    <x v="1"/>
    <s v="GNR_HS_HEAT_WTR-TANK_LS_E-95_Y-2010"/>
    <x v="0"/>
    <x v="0"/>
    <n v="89694.118681824199"/>
    <n v="32738353.318865798"/>
    <n v="117858071.947917"/>
  </r>
  <r>
    <x v="0"/>
    <x v="0"/>
    <x v="0"/>
    <x v="3"/>
    <x v="7"/>
    <s v="DE4-W_A"/>
    <x v="1"/>
    <s v="GNR_HS_HEAT_WTR-TANK_LS_E-95_Y-2010"/>
    <x v="0"/>
    <x v="1"/>
    <n v="90174.170201497895"/>
    <n v="32913572.123546701"/>
    <n v="118488859.644768"/>
  </r>
  <r>
    <x v="0"/>
    <x v="0"/>
    <x v="0"/>
    <x v="3"/>
    <x v="7"/>
    <s v="DE4-W_A"/>
    <x v="1"/>
    <s v="GNR_HS_HEAT_WTR-TANK_LS_E-95_Y-2010"/>
    <x v="0"/>
    <x v="2"/>
    <n v="90277.775701113496"/>
    <n v="32951388.130906399"/>
    <n v="118624997.271263"/>
  </r>
  <r>
    <x v="0"/>
    <x v="0"/>
    <x v="0"/>
    <x v="3"/>
    <x v="7"/>
    <s v="DE4-W_A"/>
    <x v="1"/>
    <s v="GNR_HS_HEAT_WTR-TANK_LS_E-95_Y-2010"/>
    <x v="0"/>
    <x v="3"/>
    <n v="90456.350087609695"/>
    <n v="33016567.781977501"/>
    <n v="118859644.015119"/>
  </r>
  <r>
    <x v="0"/>
    <x v="0"/>
    <x v="0"/>
    <x v="3"/>
    <x v="7"/>
    <s v="DE4-W_A"/>
    <x v="1"/>
    <s v="GNR_HS_HEAT_WTR-TANK_LS_E-95_Y-2010"/>
    <x v="0"/>
    <x v="12"/>
    <n v="90501.710268571696"/>
    <n v="33033124.248028699"/>
    <n v="118919247.29290301"/>
  </r>
  <r>
    <x v="0"/>
    <x v="0"/>
    <x v="0"/>
    <x v="3"/>
    <x v="7"/>
    <s v="DE4-W_A"/>
    <x v="1"/>
    <s v="GNR_HS_HEAT_WTR-TANK_LS_E-95_Y-2010"/>
    <x v="0"/>
    <x v="13"/>
    <n v="92545.276792694698"/>
    <n v="33779026.029333599"/>
    <n v="121604493.70560101"/>
  </r>
  <r>
    <x v="0"/>
    <x v="0"/>
    <x v="0"/>
    <x v="3"/>
    <x v="7"/>
    <s v="DE4-W_A"/>
    <x v="1"/>
    <s v="GNR_HS_HEAT_WTR-TANK_LS_E-95_Y-2010"/>
    <x v="0"/>
    <x v="14"/>
    <n v="92396.509921451696"/>
    <n v="33724726.121329904"/>
    <n v="121409014.036788"/>
  </r>
  <r>
    <x v="0"/>
    <x v="0"/>
    <x v="0"/>
    <x v="3"/>
    <x v="7"/>
    <s v="DE4-W_A"/>
    <x v="1"/>
    <s v="GNR_HS_HEAT_WTR-TANK_LS_E-95_Y-2010"/>
    <x v="0"/>
    <x v="15"/>
    <n v="92292.904421836094"/>
    <n v="33686910.113970198"/>
    <n v="121272876.410293"/>
  </r>
  <r>
    <x v="0"/>
    <x v="0"/>
    <x v="0"/>
    <x v="3"/>
    <x v="7"/>
    <s v="DE4-W_A"/>
    <x v="1"/>
    <s v="GNR_HS_HEAT_WTR-TANK_LS_E-95_Y-2010"/>
    <x v="0"/>
    <x v="4"/>
    <n v="92225.935557980702"/>
    <n v="33662466.478662997"/>
    <n v="121184879.32318699"/>
  </r>
  <r>
    <x v="0"/>
    <x v="0"/>
    <x v="0"/>
    <x v="3"/>
    <x v="7"/>
    <s v="DE4-W_A"/>
    <x v="1"/>
    <s v="GNR_HS_HEAT_WTR-TANK_LS_E-95_Y-2010"/>
    <x v="0"/>
    <x v="16"/>
    <n v="90307.782025701395"/>
    <n v="32962340.439381"/>
    <n v="118664425.581772"/>
  </r>
  <r>
    <x v="0"/>
    <x v="0"/>
    <x v="0"/>
    <x v="3"/>
    <x v="7"/>
    <s v="DE4-W_A"/>
    <x v="1"/>
    <s v="GNR_HS_HEAT_WTR-TANK_LS_E-95_Y-2010"/>
    <x v="0"/>
    <x v="5"/>
    <n v="90331.690987151102"/>
    <n v="32971067.210310198"/>
    <n v="118695841.95711701"/>
  </r>
  <r>
    <x v="0"/>
    <x v="0"/>
    <x v="0"/>
    <x v="3"/>
    <x v="7"/>
    <s v="DE4-W_A"/>
    <x v="1"/>
    <s v="GNR_HS_HEAT_WTR-TANK_LS_E-95_Y-2010"/>
    <x v="0"/>
    <x v="17"/>
    <n v="90403.417871500395"/>
    <n v="32997247.523097601"/>
    <n v="118790091.083152"/>
  </r>
  <r>
    <x v="0"/>
    <x v="0"/>
    <x v="0"/>
    <x v="3"/>
    <x v="7"/>
    <s v="DE4-W_A"/>
    <x v="1"/>
    <s v="GNR_HS_HEAT_WTR-TANK_LS_E-95_Y-2010"/>
    <x v="0"/>
    <x v="18"/>
    <n v="90392.791666411606"/>
    <n v="32993368.9582402"/>
    <n v="118776128.24966501"/>
  </r>
  <r>
    <x v="0"/>
    <x v="0"/>
    <x v="0"/>
    <x v="3"/>
    <x v="7"/>
    <s v="DE4-W_A"/>
    <x v="1"/>
    <s v="GNR_HS_HEAT_WTR-TANK_LS_E-95_Y-2010"/>
    <x v="0"/>
    <x v="19"/>
    <n v="90597.444819384298"/>
    <n v="33068067.3590753"/>
    <n v="119045042.492671"/>
  </r>
  <r>
    <x v="0"/>
    <x v="0"/>
    <x v="0"/>
    <x v="3"/>
    <x v="7"/>
    <s v="DE4-W_A"/>
    <x v="1"/>
    <s v="GNR_HS_HEAT_WTR-TANK_LS_E-95_Y-2010"/>
    <x v="0"/>
    <x v="20"/>
    <n v="92146.794101865293"/>
    <n v="33633579.847180903"/>
    <n v="121080887.44985101"/>
  </r>
  <r>
    <x v="0"/>
    <x v="0"/>
    <x v="0"/>
    <x v="3"/>
    <x v="7"/>
    <s v="DE4-W_A"/>
    <x v="1"/>
    <s v="GNR_HS_HEAT_WTR-TANK_LS_E-95_Y-2010"/>
    <x v="0"/>
    <x v="21"/>
    <n v="91455.155845438596"/>
    <n v="33381131.883585099"/>
    <n v="120172074.78090601"/>
  </r>
  <r>
    <x v="0"/>
    <x v="0"/>
    <x v="0"/>
    <x v="3"/>
    <x v="7"/>
    <s v="DE4-W_A"/>
    <x v="1"/>
    <s v="GNR_HS_HEAT_WTR-TANK_LS_E-95_Y-2010"/>
    <x v="0"/>
    <x v="22"/>
    <n v="91178.8745131303"/>
    <n v="33280289.1972926"/>
    <n v="119809041.11025301"/>
  </r>
  <r>
    <x v="0"/>
    <x v="0"/>
    <x v="0"/>
    <x v="3"/>
    <x v="7"/>
    <s v="DE4-W_A"/>
    <x v="1"/>
    <s v="GNR_HS_HEAT_WTR-TANK_LS_E-95_Y-2010"/>
    <x v="0"/>
    <x v="23"/>
    <n v="91016.824885526396"/>
    <n v="33221141.083217099"/>
    <n v="119596107.899582"/>
  </r>
  <r>
    <x v="0"/>
    <x v="0"/>
    <x v="0"/>
    <x v="3"/>
    <x v="7"/>
    <s v="DE4-W_A"/>
    <x v="2"/>
    <s v="GNR_ST_MSW_BP_E-33"/>
    <x v="0"/>
    <x v="0"/>
    <n v="1958.00180136227"/>
    <n v="714670.65749722801"/>
    <n v="2572814.36699002"/>
  </r>
  <r>
    <x v="0"/>
    <x v="0"/>
    <x v="0"/>
    <x v="3"/>
    <x v="7"/>
    <s v="DE4-W_A"/>
    <x v="2"/>
    <s v="GNR_ST_MSW_BP_E-33"/>
    <x v="0"/>
    <x v="1"/>
    <n v="1958.00180136227"/>
    <n v="714670.65749722801"/>
    <n v="2572814.36699002"/>
  </r>
  <r>
    <x v="0"/>
    <x v="0"/>
    <x v="0"/>
    <x v="3"/>
    <x v="7"/>
    <s v="DE4-W_A"/>
    <x v="2"/>
    <s v="GNR_ST_MSW_BP_E-33"/>
    <x v="0"/>
    <x v="2"/>
    <n v="1958.00180136227"/>
    <n v="714670.65749722801"/>
    <n v="2572814.36699002"/>
  </r>
  <r>
    <x v="0"/>
    <x v="0"/>
    <x v="0"/>
    <x v="3"/>
    <x v="7"/>
    <s v="DE4-W_A"/>
    <x v="2"/>
    <s v="GNR_ST_MSW_BP_E-33"/>
    <x v="0"/>
    <x v="3"/>
    <n v="1958.00180136227"/>
    <n v="714670.65749722801"/>
    <n v="2572814.36699002"/>
  </r>
  <r>
    <x v="0"/>
    <x v="0"/>
    <x v="0"/>
    <x v="3"/>
    <x v="7"/>
    <s v="DE4-W_A"/>
    <x v="2"/>
    <s v="GNR_ST_MSW_BP_E-33"/>
    <x v="0"/>
    <x v="12"/>
    <n v="1958.00180136227"/>
    <n v="714670.65749722801"/>
    <n v="2572814.36699002"/>
  </r>
  <r>
    <x v="0"/>
    <x v="0"/>
    <x v="0"/>
    <x v="3"/>
    <x v="7"/>
    <s v="DE4-W_A"/>
    <x v="2"/>
    <s v="GNR_ST_MSW_BP_E-33"/>
    <x v="0"/>
    <x v="16"/>
    <n v="1958.00180136227"/>
    <n v="714670.65749722801"/>
    <n v="2572814.36699002"/>
  </r>
  <r>
    <x v="0"/>
    <x v="0"/>
    <x v="0"/>
    <x v="3"/>
    <x v="7"/>
    <s v="DE4-W_A"/>
    <x v="2"/>
    <s v="GNR_ST_MSW_BP_E-33"/>
    <x v="0"/>
    <x v="5"/>
    <n v="1958.00180136227"/>
    <n v="714670.65749722801"/>
    <n v="2572814.36699002"/>
  </r>
  <r>
    <x v="0"/>
    <x v="0"/>
    <x v="0"/>
    <x v="3"/>
    <x v="7"/>
    <s v="DE4-W_A"/>
    <x v="2"/>
    <s v="GNR_ST_MSW_BP_E-33"/>
    <x v="0"/>
    <x v="17"/>
    <n v="1958.00180136227"/>
    <n v="714670.65749722801"/>
    <n v="2572814.36699002"/>
  </r>
  <r>
    <x v="0"/>
    <x v="0"/>
    <x v="0"/>
    <x v="3"/>
    <x v="7"/>
    <s v="DE4-W_A"/>
    <x v="2"/>
    <s v="GNR_ST_MSW_BP_E-33"/>
    <x v="0"/>
    <x v="18"/>
    <n v="1958.00180136227"/>
    <n v="714670.65749722801"/>
    <n v="2572814.36699002"/>
  </r>
  <r>
    <x v="0"/>
    <x v="0"/>
    <x v="0"/>
    <x v="3"/>
    <x v="7"/>
    <s v="DE4-W_A"/>
    <x v="2"/>
    <s v="GNR_ST_MSW_BP_E-33"/>
    <x v="0"/>
    <x v="19"/>
    <n v="1644.4300462296301"/>
    <n v="600216.96687381505"/>
    <n v="2160781.0807457301"/>
  </r>
  <r>
    <x v="0"/>
    <x v="0"/>
    <x v="0"/>
    <x v="3"/>
    <x v="7"/>
    <s v="DE4-W_A"/>
    <x v="3"/>
    <s v="GNR_CC_NGAS_BP_E-39"/>
    <x v="0"/>
    <x v="6"/>
    <n v="91.25"/>
    <n v="33306.25"/>
    <n v="119902.5"/>
  </r>
  <r>
    <x v="0"/>
    <x v="0"/>
    <x v="0"/>
    <x v="3"/>
    <x v="7"/>
    <s v="DE4-W_A"/>
    <x v="3"/>
    <s v="GNR_CC_NGAS_BP_E-39"/>
    <x v="0"/>
    <x v="7"/>
    <n v="91.25"/>
    <n v="33306.25"/>
    <n v="119902.5"/>
  </r>
  <r>
    <x v="0"/>
    <x v="0"/>
    <x v="0"/>
    <x v="3"/>
    <x v="7"/>
    <s v="DE4-W_A"/>
    <x v="3"/>
    <s v="GNR_CC_NGAS_BP_E-39"/>
    <x v="0"/>
    <x v="8"/>
    <n v="91.25"/>
    <n v="33306.25"/>
    <n v="119902.5"/>
  </r>
  <r>
    <x v="0"/>
    <x v="0"/>
    <x v="0"/>
    <x v="3"/>
    <x v="7"/>
    <s v="DE4-W_A"/>
    <x v="3"/>
    <s v="GNR_CC_NGAS_BP_E-39"/>
    <x v="0"/>
    <x v="9"/>
    <n v="91.25"/>
    <n v="33306.25"/>
    <n v="119902.5"/>
  </r>
  <r>
    <x v="0"/>
    <x v="0"/>
    <x v="0"/>
    <x v="3"/>
    <x v="7"/>
    <s v="DE4-W_A"/>
    <x v="3"/>
    <s v="GNR_CC_NGAS_BP_E-39"/>
    <x v="0"/>
    <x v="10"/>
    <n v="91.25"/>
    <n v="33306.25"/>
    <n v="119902.5"/>
  </r>
  <r>
    <x v="0"/>
    <x v="0"/>
    <x v="0"/>
    <x v="3"/>
    <x v="7"/>
    <s v="DE4-W_A"/>
    <x v="3"/>
    <s v="GNR_CC_NGAS_BP_E-39"/>
    <x v="0"/>
    <x v="11"/>
    <n v="91.25"/>
    <n v="33306.25"/>
    <n v="119902.5"/>
  </r>
  <r>
    <x v="0"/>
    <x v="0"/>
    <x v="0"/>
    <x v="3"/>
    <x v="7"/>
    <s v="DE4-W_A"/>
    <x v="3"/>
    <s v="GNR_CC_NGAS_BP_E-39"/>
    <x v="0"/>
    <x v="0"/>
    <n v="91.25"/>
    <n v="33306.25"/>
    <n v="119902.5"/>
  </r>
  <r>
    <x v="0"/>
    <x v="0"/>
    <x v="0"/>
    <x v="3"/>
    <x v="7"/>
    <s v="DE4-W_A"/>
    <x v="3"/>
    <s v="GNR_CC_NGAS_BP_E-39"/>
    <x v="0"/>
    <x v="1"/>
    <n v="91.25"/>
    <n v="33306.25"/>
    <n v="119902.5"/>
  </r>
  <r>
    <x v="0"/>
    <x v="0"/>
    <x v="0"/>
    <x v="3"/>
    <x v="7"/>
    <s v="DE4-W_A"/>
    <x v="3"/>
    <s v="GNR_CC_NGAS_BP_E-39"/>
    <x v="0"/>
    <x v="2"/>
    <n v="91.25"/>
    <n v="33306.25"/>
    <n v="119902.5"/>
  </r>
  <r>
    <x v="0"/>
    <x v="0"/>
    <x v="0"/>
    <x v="3"/>
    <x v="7"/>
    <s v="DE4-W_A"/>
    <x v="3"/>
    <s v="GNR_CC_NGAS_BP_E-39"/>
    <x v="0"/>
    <x v="3"/>
    <n v="91.25"/>
    <n v="33306.25"/>
    <n v="119902.5"/>
  </r>
  <r>
    <x v="0"/>
    <x v="0"/>
    <x v="0"/>
    <x v="3"/>
    <x v="7"/>
    <s v="DE4-W_A"/>
    <x v="3"/>
    <s v="GNR_CC_NGAS_BP_E-39"/>
    <x v="0"/>
    <x v="12"/>
    <n v="91.25"/>
    <n v="33306.25"/>
    <n v="119902.5"/>
  </r>
  <r>
    <x v="0"/>
    <x v="0"/>
    <x v="0"/>
    <x v="3"/>
    <x v="7"/>
    <s v="DE4-W_A"/>
    <x v="3"/>
    <s v="GNR_CC_NGAS_BP_E-39"/>
    <x v="0"/>
    <x v="13"/>
    <n v="91.25"/>
    <n v="33306.25"/>
    <n v="119902.5"/>
  </r>
  <r>
    <x v="0"/>
    <x v="0"/>
    <x v="0"/>
    <x v="3"/>
    <x v="7"/>
    <s v="DE4-W_A"/>
    <x v="3"/>
    <s v="GNR_CC_NGAS_BP_E-39"/>
    <x v="0"/>
    <x v="14"/>
    <n v="91.25"/>
    <n v="33306.25"/>
    <n v="119902.5"/>
  </r>
  <r>
    <x v="0"/>
    <x v="0"/>
    <x v="0"/>
    <x v="3"/>
    <x v="7"/>
    <s v="DE4-W_A"/>
    <x v="3"/>
    <s v="GNR_CC_NGAS_BP_E-39"/>
    <x v="0"/>
    <x v="15"/>
    <n v="91.25"/>
    <n v="33306.25"/>
    <n v="119902.5"/>
  </r>
  <r>
    <x v="0"/>
    <x v="0"/>
    <x v="0"/>
    <x v="3"/>
    <x v="7"/>
    <s v="DE4-W_A"/>
    <x v="3"/>
    <s v="GNR_CC_NGAS_BP_E-39"/>
    <x v="0"/>
    <x v="4"/>
    <n v="91.25"/>
    <n v="33306.25"/>
    <n v="119902.5"/>
  </r>
  <r>
    <x v="0"/>
    <x v="0"/>
    <x v="0"/>
    <x v="3"/>
    <x v="7"/>
    <s v="DE4-W_A"/>
    <x v="3"/>
    <s v="GNR_CC_NGAS_BP_E-39"/>
    <x v="0"/>
    <x v="16"/>
    <n v="91.25"/>
    <n v="33306.25"/>
    <n v="119902.5"/>
  </r>
  <r>
    <x v="0"/>
    <x v="0"/>
    <x v="0"/>
    <x v="3"/>
    <x v="7"/>
    <s v="DE4-W_A"/>
    <x v="3"/>
    <s v="GNR_CC_NGAS_BP_E-39"/>
    <x v="0"/>
    <x v="5"/>
    <n v="91.25"/>
    <n v="33306.25"/>
    <n v="119902.5"/>
  </r>
  <r>
    <x v="0"/>
    <x v="0"/>
    <x v="0"/>
    <x v="3"/>
    <x v="7"/>
    <s v="DE4-W_A"/>
    <x v="3"/>
    <s v="GNR_CC_NGAS_BP_E-39"/>
    <x v="0"/>
    <x v="17"/>
    <n v="91.25"/>
    <n v="33306.25"/>
    <n v="119902.5"/>
  </r>
  <r>
    <x v="0"/>
    <x v="0"/>
    <x v="0"/>
    <x v="3"/>
    <x v="7"/>
    <s v="DE4-W_A"/>
    <x v="3"/>
    <s v="GNR_CC_NGAS_BP_E-39"/>
    <x v="0"/>
    <x v="18"/>
    <n v="91.25"/>
    <n v="33306.25"/>
    <n v="119902.5"/>
  </r>
  <r>
    <x v="0"/>
    <x v="0"/>
    <x v="0"/>
    <x v="3"/>
    <x v="7"/>
    <s v="DE4-W_A"/>
    <x v="3"/>
    <s v="GNR_CC_NGAS_BP_E-39"/>
    <x v="0"/>
    <x v="19"/>
    <n v="91.25"/>
    <n v="33306.25"/>
    <n v="119902.5"/>
  </r>
  <r>
    <x v="0"/>
    <x v="0"/>
    <x v="0"/>
    <x v="3"/>
    <x v="7"/>
    <s v="DE4-W_A"/>
    <x v="3"/>
    <s v="GNR_CC_NGAS_BP_E-39"/>
    <x v="0"/>
    <x v="20"/>
    <n v="91.25"/>
    <n v="33306.25"/>
    <n v="119902.5"/>
  </r>
  <r>
    <x v="0"/>
    <x v="0"/>
    <x v="0"/>
    <x v="3"/>
    <x v="7"/>
    <s v="DE4-W_A"/>
    <x v="3"/>
    <s v="GNR_CC_NGAS_BP_E-39"/>
    <x v="0"/>
    <x v="21"/>
    <n v="91.25"/>
    <n v="33306.25"/>
    <n v="119902.5"/>
  </r>
  <r>
    <x v="0"/>
    <x v="0"/>
    <x v="0"/>
    <x v="3"/>
    <x v="7"/>
    <s v="DE4-W_A"/>
    <x v="3"/>
    <s v="GNR_CC_NGAS_BP_E-39"/>
    <x v="0"/>
    <x v="22"/>
    <n v="91.25"/>
    <n v="33306.25"/>
    <n v="119902.5"/>
  </r>
  <r>
    <x v="0"/>
    <x v="0"/>
    <x v="0"/>
    <x v="3"/>
    <x v="7"/>
    <s v="DE4-W_A"/>
    <x v="3"/>
    <s v="GNR_CC_NGAS_BP_E-39"/>
    <x v="0"/>
    <x v="23"/>
    <n v="91.25"/>
    <n v="33306.25"/>
    <n v="119902.5"/>
  </r>
  <r>
    <x v="0"/>
    <x v="0"/>
    <x v="0"/>
    <x v="3"/>
    <x v="7"/>
    <s v="DE4-W_A"/>
    <x v="3"/>
    <s v="GNR_CC_NGAS_BP_E-55"/>
    <x v="0"/>
    <x v="6"/>
    <n v="4517.6666666666697"/>
    <n v="1648948.33333333"/>
    <n v="5936214"/>
  </r>
  <r>
    <x v="0"/>
    <x v="0"/>
    <x v="0"/>
    <x v="3"/>
    <x v="7"/>
    <s v="DE4-W_A"/>
    <x v="3"/>
    <s v="GNR_CC_NGAS_BP_E-55"/>
    <x v="0"/>
    <x v="7"/>
    <n v="4517.6666666666697"/>
    <n v="1648948.33333333"/>
    <n v="5936214"/>
  </r>
  <r>
    <x v="0"/>
    <x v="0"/>
    <x v="0"/>
    <x v="3"/>
    <x v="7"/>
    <s v="DE4-W_A"/>
    <x v="3"/>
    <s v="GNR_CC_NGAS_BP_E-55"/>
    <x v="0"/>
    <x v="8"/>
    <n v="4517.6666666666697"/>
    <n v="1648948.33333333"/>
    <n v="5936214"/>
  </r>
  <r>
    <x v="0"/>
    <x v="0"/>
    <x v="0"/>
    <x v="3"/>
    <x v="7"/>
    <s v="DE4-W_A"/>
    <x v="3"/>
    <s v="GNR_CC_NGAS_BP_E-55"/>
    <x v="0"/>
    <x v="9"/>
    <n v="4517.6666666666697"/>
    <n v="1648948.33333333"/>
    <n v="5936214"/>
  </r>
  <r>
    <x v="0"/>
    <x v="0"/>
    <x v="0"/>
    <x v="3"/>
    <x v="7"/>
    <s v="DE4-W_A"/>
    <x v="3"/>
    <s v="GNR_CC_NGAS_BP_E-55"/>
    <x v="0"/>
    <x v="10"/>
    <n v="4517.6666666666697"/>
    <n v="1648948.33333333"/>
    <n v="5936214"/>
  </r>
  <r>
    <x v="0"/>
    <x v="0"/>
    <x v="0"/>
    <x v="3"/>
    <x v="7"/>
    <s v="DE4-W_A"/>
    <x v="3"/>
    <s v="GNR_CC_NGAS_BP_E-55"/>
    <x v="0"/>
    <x v="11"/>
    <n v="4517.6666666666697"/>
    <n v="1648948.33333333"/>
    <n v="5936214"/>
  </r>
  <r>
    <x v="0"/>
    <x v="0"/>
    <x v="0"/>
    <x v="3"/>
    <x v="7"/>
    <s v="DE4-W_A"/>
    <x v="3"/>
    <s v="GNR_CC_NGAS_BP_E-55"/>
    <x v="0"/>
    <x v="0"/>
    <n v="4517.6666666666697"/>
    <n v="1648948.33333333"/>
    <n v="5936214"/>
  </r>
  <r>
    <x v="0"/>
    <x v="0"/>
    <x v="0"/>
    <x v="3"/>
    <x v="7"/>
    <s v="DE4-W_A"/>
    <x v="3"/>
    <s v="GNR_CC_NGAS_BP_E-55"/>
    <x v="0"/>
    <x v="1"/>
    <n v="4517.6666666666697"/>
    <n v="1648948.33333333"/>
    <n v="5936214"/>
  </r>
  <r>
    <x v="0"/>
    <x v="0"/>
    <x v="0"/>
    <x v="3"/>
    <x v="7"/>
    <s v="DE4-W_A"/>
    <x v="3"/>
    <s v="GNR_CC_NGAS_BP_E-55"/>
    <x v="0"/>
    <x v="2"/>
    <n v="4517.6666666666697"/>
    <n v="1648948.33333333"/>
    <n v="5936214"/>
  </r>
  <r>
    <x v="0"/>
    <x v="0"/>
    <x v="0"/>
    <x v="3"/>
    <x v="7"/>
    <s v="DE4-W_A"/>
    <x v="3"/>
    <s v="GNR_CC_NGAS_BP_E-55"/>
    <x v="0"/>
    <x v="3"/>
    <n v="4517.6666666666697"/>
    <n v="1648948.33333333"/>
    <n v="5936214"/>
  </r>
  <r>
    <x v="0"/>
    <x v="0"/>
    <x v="0"/>
    <x v="3"/>
    <x v="7"/>
    <s v="DE4-W_A"/>
    <x v="3"/>
    <s v="GNR_CC_NGAS_BP_E-55"/>
    <x v="0"/>
    <x v="12"/>
    <n v="4517.6666666666697"/>
    <n v="1648948.33333333"/>
    <n v="5936214"/>
  </r>
  <r>
    <x v="0"/>
    <x v="0"/>
    <x v="0"/>
    <x v="3"/>
    <x v="7"/>
    <s v="DE4-W_A"/>
    <x v="3"/>
    <s v="GNR_CC_NGAS_BP_E-55"/>
    <x v="0"/>
    <x v="13"/>
    <n v="4517.6666666666697"/>
    <n v="1648948.33333333"/>
    <n v="5936214"/>
  </r>
  <r>
    <x v="0"/>
    <x v="0"/>
    <x v="0"/>
    <x v="3"/>
    <x v="7"/>
    <s v="DE4-W_A"/>
    <x v="3"/>
    <s v="GNR_CC_NGAS_BP_E-55"/>
    <x v="0"/>
    <x v="14"/>
    <n v="4517.6666666666697"/>
    <n v="1648948.33333333"/>
    <n v="5936214"/>
  </r>
  <r>
    <x v="0"/>
    <x v="0"/>
    <x v="0"/>
    <x v="3"/>
    <x v="7"/>
    <s v="DE4-W_A"/>
    <x v="3"/>
    <s v="GNR_CC_NGAS_BP_E-55"/>
    <x v="0"/>
    <x v="15"/>
    <n v="4517.6666666666697"/>
    <n v="1648948.33333333"/>
    <n v="5936214"/>
  </r>
  <r>
    <x v="0"/>
    <x v="0"/>
    <x v="0"/>
    <x v="3"/>
    <x v="7"/>
    <s v="DE4-W_A"/>
    <x v="3"/>
    <s v="GNR_CC_NGAS_BP_E-55"/>
    <x v="0"/>
    <x v="4"/>
    <n v="4517.6666666666697"/>
    <n v="1648948.33333333"/>
    <n v="5936214"/>
  </r>
  <r>
    <x v="0"/>
    <x v="0"/>
    <x v="0"/>
    <x v="3"/>
    <x v="7"/>
    <s v="DE4-W_A"/>
    <x v="3"/>
    <s v="GNR_CC_NGAS_BP_E-55"/>
    <x v="0"/>
    <x v="16"/>
    <n v="4517.6666666666697"/>
    <n v="1648948.33333333"/>
    <n v="5936214"/>
  </r>
  <r>
    <x v="0"/>
    <x v="0"/>
    <x v="0"/>
    <x v="3"/>
    <x v="7"/>
    <s v="DE4-W_A"/>
    <x v="3"/>
    <s v="GNR_CC_NGAS_BP_E-55"/>
    <x v="0"/>
    <x v="5"/>
    <n v="4517.6666666666697"/>
    <n v="1648948.33333333"/>
    <n v="5936214"/>
  </r>
  <r>
    <x v="0"/>
    <x v="0"/>
    <x v="0"/>
    <x v="3"/>
    <x v="7"/>
    <s v="DE4-W_A"/>
    <x v="3"/>
    <s v="GNR_CC_NGAS_BP_E-55"/>
    <x v="0"/>
    <x v="17"/>
    <n v="4517.6666666666697"/>
    <n v="1648948.33333333"/>
    <n v="5936214"/>
  </r>
  <r>
    <x v="0"/>
    <x v="0"/>
    <x v="0"/>
    <x v="3"/>
    <x v="7"/>
    <s v="DE4-W_A"/>
    <x v="3"/>
    <s v="GNR_CC_NGAS_BP_E-55"/>
    <x v="0"/>
    <x v="18"/>
    <n v="4517.6666666666697"/>
    <n v="1648948.33333333"/>
    <n v="5936214"/>
  </r>
  <r>
    <x v="0"/>
    <x v="0"/>
    <x v="0"/>
    <x v="3"/>
    <x v="7"/>
    <s v="DE4-W_A"/>
    <x v="3"/>
    <s v="GNR_CC_NGAS_BP_E-55"/>
    <x v="0"/>
    <x v="19"/>
    <n v="4517.6666666666697"/>
    <n v="1648948.33333333"/>
    <n v="5936214"/>
  </r>
  <r>
    <x v="0"/>
    <x v="0"/>
    <x v="0"/>
    <x v="3"/>
    <x v="7"/>
    <s v="DE4-W_A"/>
    <x v="3"/>
    <s v="GNR_CC_NGAS_BP_E-55"/>
    <x v="0"/>
    <x v="20"/>
    <n v="4517.6666666666697"/>
    <n v="1648948.33333333"/>
    <n v="5936214"/>
  </r>
  <r>
    <x v="0"/>
    <x v="0"/>
    <x v="0"/>
    <x v="3"/>
    <x v="7"/>
    <s v="DE4-W_A"/>
    <x v="3"/>
    <s v="GNR_CC_NGAS_BP_E-55"/>
    <x v="0"/>
    <x v="21"/>
    <n v="4517.6666666666697"/>
    <n v="1648948.33333333"/>
    <n v="5936214"/>
  </r>
  <r>
    <x v="0"/>
    <x v="0"/>
    <x v="0"/>
    <x v="3"/>
    <x v="7"/>
    <s v="DE4-W_A"/>
    <x v="3"/>
    <s v="GNR_CC_NGAS_BP_E-55"/>
    <x v="0"/>
    <x v="22"/>
    <n v="4517.6666666666697"/>
    <n v="1648948.33333333"/>
    <n v="5936214"/>
  </r>
  <r>
    <x v="0"/>
    <x v="0"/>
    <x v="0"/>
    <x v="3"/>
    <x v="7"/>
    <s v="DE4-W_A"/>
    <x v="3"/>
    <s v="GNR_CC_NGAS_BP_E-55"/>
    <x v="0"/>
    <x v="23"/>
    <n v="4517.6666666666697"/>
    <n v="1648948.33333333"/>
    <n v="5936214"/>
  </r>
  <r>
    <x v="0"/>
    <x v="0"/>
    <x v="0"/>
    <x v="3"/>
    <x v="7"/>
    <s v="DE4-W_A"/>
    <x v="3"/>
    <s v="GNR_GT_NGAS_BP_E-31"/>
    <x v="0"/>
    <x v="0"/>
    <n v="109.473684210526"/>
    <n v="39957.8947368421"/>
    <n v="143848.42105263201"/>
  </r>
  <r>
    <x v="0"/>
    <x v="0"/>
    <x v="0"/>
    <x v="3"/>
    <x v="7"/>
    <s v="DE4-W_A"/>
    <x v="3"/>
    <s v="GNR_GT_NGAS_BP_E-31"/>
    <x v="0"/>
    <x v="1"/>
    <n v="109.473684210526"/>
    <n v="39957.8947368421"/>
    <n v="143848.42105263201"/>
  </r>
  <r>
    <x v="0"/>
    <x v="0"/>
    <x v="0"/>
    <x v="3"/>
    <x v="7"/>
    <s v="DE4-W_A"/>
    <x v="3"/>
    <s v="GNR_GT_NGAS_BP_E-31"/>
    <x v="0"/>
    <x v="2"/>
    <n v="109.473684210526"/>
    <n v="39957.8947368421"/>
    <n v="143848.42105263201"/>
  </r>
  <r>
    <x v="0"/>
    <x v="0"/>
    <x v="0"/>
    <x v="3"/>
    <x v="7"/>
    <s v="DE4-W_A"/>
    <x v="3"/>
    <s v="GNR_GT_NGAS_BP_E-31"/>
    <x v="0"/>
    <x v="3"/>
    <n v="109.473684210526"/>
    <n v="39957.8947368421"/>
    <n v="143848.42105263201"/>
  </r>
  <r>
    <x v="0"/>
    <x v="0"/>
    <x v="0"/>
    <x v="3"/>
    <x v="7"/>
    <s v="DE4-W_A"/>
    <x v="3"/>
    <s v="GNR_GT_NGAS_BP_E-31"/>
    <x v="0"/>
    <x v="12"/>
    <n v="109.473684210526"/>
    <n v="39957.8947368421"/>
    <n v="143848.42105263201"/>
  </r>
  <r>
    <x v="0"/>
    <x v="0"/>
    <x v="0"/>
    <x v="3"/>
    <x v="7"/>
    <s v="DE4-W_A"/>
    <x v="3"/>
    <s v="GNR_GT_NGAS_BP_E-31"/>
    <x v="0"/>
    <x v="4"/>
    <n v="109.473684210526"/>
    <n v="39957.8947368421"/>
    <n v="143848.42105263201"/>
  </r>
  <r>
    <x v="0"/>
    <x v="0"/>
    <x v="0"/>
    <x v="3"/>
    <x v="7"/>
    <s v="DE4-W_A"/>
    <x v="3"/>
    <s v="GNR_GT_NGAS_BP_E-31"/>
    <x v="0"/>
    <x v="16"/>
    <n v="109.473684210526"/>
    <n v="39957.8947368421"/>
    <n v="143848.42105263201"/>
  </r>
  <r>
    <x v="0"/>
    <x v="0"/>
    <x v="0"/>
    <x v="3"/>
    <x v="7"/>
    <s v="DE4-W_A"/>
    <x v="3"/>
    <s v="GNR_GT_NGAS_BP_E-31"/>
    <x v="0"/>
    <x v="5"/>
    <n v="109.473684210526"/>
    <n v="39957.8947368421"/>
    <n v="143848.42105263201"/>
  </r>
  <r>
    <x v="0"/>
    <x v="0"/>
    <x v="0"/>
    <x v="3"/>
    <x v="7"/>
    <s v="DE4-W_A"/>
    <x v="3"/>
    <s v="GNR_GT_NGAS_BP_E-31"/>
    <x v="0"/>
    <x v="17"/>
    <n v="109.473684210526"/>
    <n v="39957.8947368421"/>
    <n v="143848.42105263201"/>
  </r>
  <r>
    <x v="0"/>
    <x v="0"/>
    <x v="0"/>
    <x v="3"/>
    <x v="7"/>
    <s v="DE4-W_A"/>
    <x v="3"/>
    <s v="GNR_GT_NGAS_BP_E-31"/>
    <x v="0"/>
    <x v="18"/>
    <n v="109.473684210526"/>
    <n v="39957.8947368421"/>
    <n v="143848.42105263201"/>
  </r>
  <r>
    <x v="0"/>
    <x v="0"/>
    <x v="0"/>
    <x v="3"/>
    <x v="7"/>
    <s v="DE4-W_A"/>
    <x v="3"/>
    <s v="GNR_GT_NGAS_BP_E-31"/>
    <x v="0"/>
    <x v="19"/>
    <n v="109.473684210526"/>
    <n v="39957.8947368421"/>
    <n v="143848.42105263201"/>
  </r>
  <r>
    <x v="0"/>
    <x v="0"/>
    <x v="0"/>
    <x v="3"/>
    <x v="7"/>
    <s v="DE4-W_A"/>
    <x v="3"/>
    <s v="GNR_GT_NGAS_BP_E-39"/>
    <x v="0"/>
    <x v="6"/>
    <n v="263.052631578947"/>
    <n v="96014.210526315801"/>
    <n v="345651.15789473703"/>
  </r>
  <r>
    <x v="0"/>
    <x v="0"/>
    <x v="0"/>
    <x v="3"/>
    <x v="7"/>
    <s v="DE4-W_A"/>
    <x v="3"/>
    <s v="GNR_GT_NGAS_BP_E-39"/>
    <x v="0"/>
    <x v="7"/>
    <n v="263.052631578947"/>
    <n v="96014.210526315801"/>
    <n v="345651.15789473703"/>
  </r>
  <r>
    <x v="0"/>
    <x v="0"/>
    <x v="0"/>
    <x v="3"/>
    <x v="7"/>
    <s v="DE4-W_A"/>
    <x v="3"/>
    <s v="GNR_GT_NGAS_BP_E-39"/>
    <x v="0"/>
    <x v="8"/>
    <n v="263.052631578947"/>
    <n v="96014.210526315801"/>
    <n v="345651.15789473703"/>
  </r>
  <r>
    <x v="0"/>
    <x v="0"/>
    <x v="0"/>
    <x v="3"/>
    <x v="7"/>
    <s v="DE4-W_A"/>
    <x v="3"/>
    <s v="GNR_GT_NGAS_BP_E-39"/>
    <x v="0"/>
    <x v="9"/>
    <n v="263.052631578947"/>
    <n v="96014.210526315801"/>
    <n v="345651.15789473703"/>
  </r>
  <r>
    <x v="0"/>
    <x v="0"/>
    <x v="0"/>
    <x v="3"/>
    <x v="7"/>
    <s v="DE4-W_A"/>
    <x v="3"/>
    <s v="GNR_GT_NGAS_BP_E-39"/>
    <x v="0"/>
    <x v="10"/>
    <n v="263.052631578947"/>
    <n v="96014.210526315801"/>
    <n v="345651.15789473703"/>
  </r>
  <r>
    <x v="0"/>
    <x v="0"/>
    <x v="0"/>
    <x v="3"/>
    <x v="7"/>
    <s v="DE4-W_A"/>
    <x v="3"/>
    <s v="GNR_GT_NGAS_BP_E-39"/>
    <x v="0"/>
    <x v="11"/>
    <n v="263.052631578947"/>
    <n v="96014.210526315801"/>
    <n v="345651.15789473703"/>
  </r>
  <r>
    <x v="0"/>
    <x v="0"/>
    <x v="0"/>
    <x v="3"/>
    <x v="7"/>
    <s v="DE4-W_A"/>
    <x v="3"/>
    <s v="GNR_GT_NGAS_BP_E-39"/>
    <x v="0"/>
    <x v="0"/>
    <n v="263.052631578947"/>
    <n v="96014.210526315801"/>
    <n v="345651.15789473703"/>
  </r>
  <r>
    <x v="0"/>
    <x v="0"/>
    <x v="0"/>
    <x v="3"/>
    <x v="7"/>
    <s v="DE4-W_A"/>
    <x v="3"/>
    <s v="GNR_GT_NGAS_BP_E-39"/>
    <x v="0"/>
    <x v="1"/>
    <n v="263.052631578947"/>
    <n v="96014.210526315801"/>
    <n v="345651.15789473703"/>
  </r>
  <r>
    <x v="0"/>
    <x v="0"/>
    <x v="0"/>
    <x v="3"/>
    <x v="7"/>
    <s v="DE4-W_A"/>
    <x v="3"/>
    <s v="GNR_GT_NGAS_BP_E-39"/>
    <x v="0"/>
    <x v="2"/>
    <n v="263.052631578947"/>
    <n v="96014.210526315801"/>
    <n v="345651.15789473703"/>
  </r>
  <r>
    <x v="0"/>
    <x v="0"/>
    <x v="0"/>
    <x v="3"/>
    <x v="7"/>
    <s v="DE4-W_A"/>
    <x v="3"/>
    <s v="GNR_GT_NGAS_BP_E-39"/>
    <x v="0"/>
    <x v="3"/>
    <n v="263.052631578947"/>
    <n v="96014.210526315801"/>
    <n v="345651.15789473703"/>
  </r>
  <r>
    <x v="0"/>
    <x v="0"/>
    <x v="0"/>
    <x v="3"/>
    <x v="7"/>
    <s v="DE4-W_A"/>
    <x v="3"/>
    <s v="GNR_GT_NGAS_BP_E-39"/>
    <x v="0"/>
    <x v="12"/>
    <n v="263.052631578947"/>
    <n v="96014.210526315801"/>
    <n v="345651.15789473703"/>
  </r>
  <r>
    <x v="0"/>
    <x v="0"/>
    <x v="0"/>
    <x v="3"/>
    <x v="7"/>
    <s v="DE4-W_A"/>
    <x v="3"/>
    <s v="GNR_GT_NGAS_BP_E-39"/>
    <x v="0"/>
    <x v="13"/>
    <n v="263.052631578947"/>
    <n v="96014.210526315801"/>
    <n v="345651.15789473703"/>
  </r>
  <r>
    <x v="0"/>
    <x v="0"/>
    <x v="0"/>
    <x v="3"/>
    <x v="7"/>
    <s v="DE4-W_A"/>
    <x v="3"/>
    <s v="GNR_GT_NGAS_BP_E-39"/>
    <x v="0"/>
    <x v="14"/>
    <n v="263.052631578947"/>
    <n v="96014.210526315801"/>
    <n v="345651.15789473703"/>
  </r>
  <r>
    <x v="0"/>
    <x v="0"/>
    <x v="0"/>
    <x v="3"/>
    <x v="7"/>
    <s v="DE4-W_A"/>
    <x v="3"/>
    <s v="GNR_GT_NGAS_BP_E-39"/>
    <x v="0"/>
    <x v="15"/>
    <n v="263.052631578947"/>
    <n v="96014.210526315801"/>
    <n v="345651.15789473703"/>
  </r>
  <r>
    <x v="0"/>
    <x v="0"/>
    <x v="0"/>
    <x v="3"/>
    <x v="7"/>
    <s v="DE4-W_A"/>
    <x v="3"/>
    <s v="GNR_GT_NGAS_BP_E-39"/>
    <x v="0"/>
    <x v="4"/>
    <n v="263.052631578947"/>
    <n v="96014.210526315801"/>
    <n v="345651.15789473703"/>
  </r>
  <r>
    <x v="0"/>
    <x v="0"/>
    <x v="0"/>
    <x v="3"/>
    <x v="7"/>
    <s v="DE4-W_A"/>
    <x v="3"/>
    <s v="GNR_GT_NGAS_BP_E-39"/>
    <x v="0"/>
    <x v="16"/>
    <n v="263.052631578947"/>
    <n v="96014.210526315801"/>
    <n v="345651.15789473703"/>
  </r>
  <r>
    <x v="0"/>
    <x v="0"/>
    <x v="0"/>
    <x v="3"/>
    <x v="7"/>
    <s v="DE4-W_A"/>
    <x v="3"/>
    <s v="GNR_GT_NGAS_BP_E-39"/>
    <x v="0"/>
    <x v="5"/>
    <n v="263.052631578947"/>
    <n v="96014.210526315801"/>
    <n v="345651.15789473703"/>
  </r>
  <r>
    <x v="0"/>
    <x v="0"/>
    <x v="0"/>
    <x v="3"/>
    <x v="7"/>
    <s v="DE4-W_A"/>
    <x v="3"/>
    <s v="GNR_GT_NGAS_BP_E-39"/>
    <x v="0"/>
    <x v="17"/>
    <n v="263.052631578947"/>
    <n v="96014.210526315801"/>
    <n v="345651.15789473703"/>
  </r>
  <r>
    <x v="0"/>
    <x v="0"/>
    <x v="0"/>
    <x v="3"/>
    <x v="7"/>
    <s v="DE4-W_A"/>
    <x v="3"/>
    <s v="GNR_GT_NGAS_BP_E-39"/>
    <x v="0"/>
    <x v="18"/>
    <n v="263.052631578947"/>
    <n v="96014.210526315801"/>
    <n v="345651.15789473703"/>
  </r>
  <r>
    <x v="0"/>
    <x v="0"/>
    <x v="0"/>
    <x v="3"/>
    <x v="7"/>
    <s v="DE4-W_A"/>
    <x v="3"/>
    <s v="GNR_GT_NGAS_BP_E-39"/>
    <x v="0"/>
    <x v="19"/>
    <n v="263.052631578947"/>
    <n v="96014.210526315801"/>
    <n v="345651.15789473703"/>
  </r>
  <r>
    <x v="0"/>
    <x v="0"/>
    <x v="0"/>
    <x v="3"/>
    <x v="7"/>
    <s v="DE4-W_A"/>
    <x v="3"/>
    <s v="GNR_GT_NGAS_BP_E-39"/>
    <x v="0"/>
    <x v="20"/>
    <n v="263.052631578947"/>
    <n v="96014.210526315801"/>
    <n v="345651.15789473703"/>
  </r>
  <r>
    <x v="0"/>
    <x v="0"/>
    <x v="0"/>
    <x v="3"/>
    <x v="7"/>
    <s v="DE4-W_A"/>
    <x v="3"/>
    <s v="GNR_GT_NGAS_BP_E-39"/>
    <x v="0"/>
    <x v="21"/>
    <n v="263.052631578947"/>
    <n v="96014.210526315801"/>
    <n v="345651.15789473703"/>
  </r>
  <r>
    <x v="0"/>
    <x v="0"/>
    <x v="0"/>
    <x v="3"/>
    <x v="7"/>
    <s v="DE4-W_A"/>
    <x v="3"/>
    <s v="GNR_GT_NGAS_BP_E-39"/>
    <x v="0"/>
    <x v="22"/>
    <n v="263.052631578947"/>
    <n v="96014.210526315801"/>
    <n v="345651.15789473703"/>
  </r>
  <r>
    <x v="0"/>
    <x v="0"/>
    <x v="0"/>
    <x v="3"/>
    <x v="7"/>
    <s v="DE4-W_A"/>
    <x v="3"/>
    <s v="GNR_GT_NGAS_BP_E-39"/>
    <x v="0"/>
    <x v="23"/>
    <n v="263.052631578947"/>
    <n v="96014.210526315801"/>
    <n v="345651.15789473703"/>
  </r>
  <r>
    <x v="0"/>
    <x v="0"/>
    <x v="0"/>
    <x v="3"/>
    <x v="7"/>
    <s v="DE4-W_A"/>
    <x v="3"/>
    <s v="GNR_ST_NGAS_BP_E-33"/>
    <x v="0"/>
    <x v="0"/>
    <n v="291.28571428571399"/>
    <n v="106319.285714286"/>
    <n v="382749.42857142899"/>
  </r>
  <r>
    <x v="0"/>
    <x v="0"/>
    <x v="0"/>
    <x v="3"/>
    <x v="7"/>
    <s v="DE4-W_A"/>
    <x v="3"/>
    <s v="GNR_ST_NGAS_BP_E-33"/>
    <x v="0"/>
    <x v="1"/>
    <n v="291.28571428571399"/>
    <n v="106319.285714286"/>
    <n v="382749.42857142899"/>
  </r>
  <r>
    <x v="0"/>
    <x v="0"/>
    <x v="0"/>
    <x v="3"/>
    <x v="7"/>
    <s v="DE4-W_A"/>
    <x v="3"/>
    <s v="GNR_ST_NGAS_BP_E-33"/>
    <x v="0"/>
    <x v="2"/>
    <n v="291.28571428571399"/>
    <n v="106319.285714286"/>
    <n v="382749.42857142899"/>
  </r>
  <r>
    <x v="0"/>
    <x v="0"/>
    <x v="0"/>
    <x v="3"/>
    <x v="7"/>
    <s v="DE4-W_A"/>
    <x v="3"/>
    <s v="GNR_ST_NGAS_BP_E-33"/>
    <x v="0"/>
    <x v="3"/>
    <n v="291.28571428571399"/>
    <n v="106319.285714286"/>
    <n v="382749.42857142899"/>
  </r>
  <r>
    <x v="0"/>
    <x v="0"/>
    <x v="0"/>
    <x v="3"/>
    <x v="7"/>
    <s v="DE4-W_A"/>
    <x v="3"/>
    <s v="GNR_ST_NGAS_BP_E-33"/>
    <x v="0"/>
    <x v="12"/>
    <n v="291.28571428571399"/>
    <n v="106319.285714286"/>
    <n v="382749.42857142899"/>
  </r>
  <r>
    <x v="0"/>
    <x v="0"/>
    <x v="0"/>
    <x v="3"/>
    <x v="7"/>
    <s v="DE4-W_A"/>
    <x v="3"/>
    <s v="GNR_ST_NGAS_BP_E-33"/>
    <x v="0"/>
    <x v="13"/>
    <n v="291.28571428571399"/>
    <n v="106319.285714286"/>
    <n v="382749.42857142899"/>
  </r>
  <r>
    <x v="0"/>
    <x v="0"/>
    <x v="0"/>
    <x v="3"/>
    <x v="7"/>
    <s v="DE4-W_A"/>
    <x v="3"/>
    <s v="GNR_ST_NGAS_BP_E-33"/>
    <x v="0"/>
    <x v="14"/>
    <n v="291.28571428571399"/>
    <n v="106319.285714286"/>
    <n v="382749.42857142899"/>
  </r>
  <r>
    <x v="0"/>
    <x v="0"/>
    <x v="0"/>
    <x v="3"/>
    <x v="7"/>
    <s v="DE4-W_A"/>
    <x v="3"/>
    <s v="GNR_ST_NGAS_BP_E-33"/>
    <x v="0"/>
    <x v="15"/>
    <n v="291.28571428571399"/>
    <n v="106319.285714286"/>
    <n v="382749.42857142899"/>
  </r>
  <r>
    <x v="0"/>
    <x v="0"/>
    <x v="0"/>
    <x v="3"/>
    <x v="7"/>
    <s v="DE4-W_A"/>
    <x v="3"/>
    <s v="GNR_ST_NGAS_BP_E-33"/>
    <x v="0"/>
    <x v="4"/>
    <n v="291.28571428571399"/>
    <n v="106319.285714286"/>
    <n v="382749.42857142899"/>
  </r>
  <r>
    <x v="0"/>
    <x v="0"/>
    <x v="0"/>
    <x v="3"/>
    <x v="7"/>
    <s v="DE4-W_A"/>
    <x v="3"/>
    <s v="GNR_ST_NGAS_BP_E-33"/>
    <x v="0"/>
    <x v="16"/>
    <n v="291.28571428571399"/>
    <n v="106319.285714286"/>
    <n v="382749.42857142899"/>
  </r>
  <r>
    <x v="0"/>
    <x v="0"/>
    <x v="0"/>
    <x v="3"/>
    <x v="7"/>
    <s v="DE4-W_A"/>
    <x v="3"/>
    <s v="GNR_ST_NGAS_BP_E-33"/>
    <x v="0"/>
    <x v="5"/>
    <n v="291.28571428571399"/>
    <n v="106319.285714286"/>
    <n v="382749.42857142899"/>
  </r>
  <r>
    <x v="0"/>
    <x v="0"/>
    <x v="0"/>
    <x v="3"/>
    <x v="7"/>
    <s v="DE4-W_A"/>
    <x v="3"/>
    <s v="GNR_ST_NGAS_BP_E-33"/>
    <x v="0"/>
    <x v="17"/>
    <n v="291.28571428571399"/>
    <n v="106319.285714286"/>
    <n v="382749.42857142899"/>
  </r>
  <r>
    <x v="0"/>
    <x v="0"/>
    <x v="0"/>
    <x v="3"/>
    <x v="7"/>
    <s v="DE4-W_A"/>
    <x v="3"/>
    <s v="GNR_ST_NGAS_BP_E-33"/>
    <x v="0"/>
    <x v="18"/>
    <n v="291.28571428571399"/>
    <n v="106319.285714286"/>
    <n v="382749.42857142899"/>
  </r>
  <r>
    <x v="0"/>
    <x v="0"/>
    <x v="0"/>
    <x v="3"/>
    <x v="7"/>
    <s v="DE4-W_A"/>
    <x v="3"/>
    <s v="GNR_ST_NGAS_BP_E-33"/>
    <x v="0"/>
    <x v="19"/>
    <n v="291.28571428571399"/>
    <n v="106319.285714286"/>
    <n v="382749.42857142899"/>
  </r>
  <r>
    <x v="0"/>
    <x v="0"/>
    <x v="0"/>
    <x v="3"/>
    <x v="7"/>
    <s v="DE4-W_A"/>
    <x v="3"/>
    <s v="GNR_ST_NGAS_BP_E-33"/>
    <x v="0"/>
    <x v="20"/>
    <n v="291.28571428571399"/>
    <n v="106319.285714286"/>
    <n v="382749.42857142899"/>
  </r>
  <r>
    <x v="0"/>
    <x v="0"/>
    <x v="0"/>
    <x v="3"/>
    <x v="7"/>
    <s v="DE4-W_A"/>
    <x v="3"/>
    <s v="GNR_ST_NGAS_BP_E-38"/>
    <x v="0"/>
    <x v="6"/>
    <n v="3069"/>
    <n v="1120185"/>
    <n v="4032666"/>
  </r>
  <r>
    <x v="0"/>
    <x v="0"/>
    <x v="0"/>
    <x v="3"/>
    <x v="7"/>
    <s v="DE4-W_A"/>
    <x v="3"/>
    <s v="GNR_ST_NGAS_BP_E-38"/>
    <x v="0"/>
    <x v="7"/>
    <n v="3069"/>
    <n v="1120185"/>
    <n v="4032666"/>
  </r>
  <r>
    <x v="0"/>
    <x v="0"/>
    <x v="0"/>
    <x v="3"/>
    <x v="7"/>
    <s v="DE4-W_A"/>
    <x v="3"/>
    <s v="GNR_ST_NGAS_BP_E-38"/>
    <x v="0"/>
    <x v="8"/>
    <n v="3069"/>
    <n v="1120185"/>
    <n v="4032666"/>
  </r>
  <r>
    <x v="0"/>
    <x v="0"/>
    <x v="0"/>
    <x v="3"/>
    <x v="7"/>
    <s v="DE4-W_A"/>
    <x v="3"/>
    <s v="GNR_ST_NGAS_BP_E-38"/>
    <x v="0"/>
    <x v="9"/>
    <n v="3069"/>
    <n v="1120185"/>
    <n v="4032666"/>
  </r>
  <r>
    <x v="0"/>
    <x v="0"/>
    <x v="0"/>
    <x v="3"/>
    <x v="7"/>
    <s v="DE4-W_A"/>
    <x v="3"/>
    <s v="GNR_ST_NGAS_BP_E-38"/>
    <x v="0"/>
    <x v="10"/>
    <n v="3069"/>
    <n v="1120185"/>
    <n v="4032666"/>
  </r>
  <r>
    <x v="0"/>
    <x v="0"/>
    <x v="0"/>
    <x v="3"/>
    <x v="7"/>
    <s v="DE4-W_A"/>
    <x v="3"/>
    <s v="GNR_ST_NGAS_BP_E-38"/>
    <x v="0"/>
    <x v="11"/>
    <n v="3069"/>
    <n v="1120185"/>
    <n v="4032666"/>
  </r>
  <r>
    <x v="0"/>
    <x v="0"/>
    <x v="0"/>
    <x v="3"/>
    <x v="7"/>
    <s v="DE4-W_A"/>
    <x v="3"/>
    <s v="GNR_ST_NGAS_BP_E-38"/>
    <x v="0"/>
    <x v="0"/>
    <n v="3069"/>
    <n v="1120185"/>
    <n v="4032666"/>
  </r>
  <r>
    <x v="0"/>
    <x v="0"/>
    <x v="0"/>
    <x v="3"/>
    <x v="7"/>
    <s v="DE4-W_A"/>
    <x v="3"/>
    <s v="GNR_ST_NGAS_BP_E-38"/>
    <x v="0"/>
    <x v="1"/>
    <n v="3069"/>
    <n v="1120185"/>
    <n v="4032666"/>
  </r>
  <r>
    <x v="0"/>
    <x v="0"/>
    <x v="0"/>
    <x v="3"/>
    <x v="7"/>
    <s v="DE4-W_A"/>
    <x v="3"/>
    <s v="GNR_ST_NGAS_BP_E-38"/>
    <x v="0"/>
    <x v="2"/>
    <n v="3069"/>
    <n v="1120185"/>
    <n v="4032666"/>
  </r>
  <r>
    <x v="0"/>
    <x v="0"/>
    <x v="0"/>
    <x v="3"/>
    <x v="7"/>
    <s v="DE4-W_A"/>
    <x v="3"/>
    <s v="GNR_ST_NGAS_BP_E-38"/>
    <x v="0"/>
    <x v="3"/>
    <n v="3069"/>
    <n v="1120185"/>
    <n v="4032666"/>
  </r>
  <r>
    <x v="0"/>
    <x v="0"/>
    <x v="0"/>
    <x v="3"/>
    <x v="7"/>
    <s v="DE4-W_A"/>
    <x v="3"/>
    <s v="GNR_ST_NGAS_BP_E-38"/>
    <x v="0"/>
    <x v="12"/>
    <n v="3069"/>
    <n v="1120185"/>
    <n v="4032666"/>
  </r>
  <r>
    <x v="0"/>
    <x v="0"/>
    <x v="0"/>
    <x v="3"/>
    <x v="7"/>
    <s v="DE4-W_A"/>
    <x v="3"/>
    <s v="GNR_ST_NGAS_BP_E-38"/>
    <x v="0"/>
    <x v="13"/>
    <n v="3069"/>
    <n v="1120185"/>
    <n v="4032666"/>
  </r>
  <r>
    <x v="0"/>
    <x v="0"/>
    <x v="0"/>
    <x v="3"/>
    <x v="7"/>
    <s v="DE4-W_A"/>
    <x v="3"/>
    <s v="GNR_ST_NGAS_BP_E-38"/>
    <x v="0"/>
    <x v="14"/>
    <n v="3069"/>
    <n v="1120185"/>
    <n v="4032666"/>
  </r>
  <r>
    <x v="0"/>
    <x v="0"/>
    <x v="0"/>
    <x v="3"/>
    <x v="7"/>
    <s v="DE4-W_A"/>
    <x v="3"/>
    <s v="GNR_ST_NGAS_BP_E-38"/>
    <x v="0"/>
    <x v="15"/>
    <n v="3069"/>
    <n v="1120185"/>
    <n v="4032666"/>
  </r>
  <r>
    <x v="0"/>
    <x v="0"/>
    <x v="0"/>
    <x v="3"/>
    <x v="7"/>
    <s v="DE4-W_A"/>
    <x v="3"/>
    <s v="GNR_ST_NGAS_BP_E-38"/>
    <x v="0"/>
    <x v="4"/>
    <n v="3069"/>
    <n v="1120185"/>
    <n v="4032666"/>
  </r>
  <r>
    <x v="0"/>
    <x v="0"/>
    <x v="0"/>
    <x v="3"/>
    <x v="7"/>
    <s v="DE4-W_A"/>
    <x v="3"/>
    <s v="GNR_ST_NGAS_BP_E-38"/>
    <x v="0"/>
    <x v="16"/>
    <n v="3069"/>
    <n v="1120185"/>
    <n v="4032666"/>
  </r>
  <r>
    <x v="0"/>
    <x v="0"/>
    <x v="0"/>
    <x v="3"/>
    <x v="7"/>
    <s v="DE4-W_A"/>
    <x v="3"/>
    <s v="GNR_ST_NGAS_BP_E-38"/>
    <x v="0"/>
    <x v="5"/>
    <n v="3069"/>
    <n v="1120185"/>
    <n v="4032666"/>
  </r>
  <r>
    <x v="0"/>
    <x v="0"/>
    <x v="0"/>
    <x v="3"/>
    <x v="7"/>
    <s v="DE4-W_A"/>
    <x v="3"/>
    <s v="GNR_ST_NGAS_BP_E-38"/>
    <x v="0"/>
    <x v="17"/>
    <n v="3069"/>
    <n v="1120185"/>
    <n v="4032666"/>
  </r>
  <r>
    <x v="0"/>
    <x v="0"/>
    <x v="0"/>
    <x v="3"/>
    <x v="7"/>
    <s v="DE4-W_A"/>
    <x v="3"/>
    <s v="GNR_ST_NGAS_BP_E-38"/>
    <x v="0"/>
    <x v="18"/>
    <n v="3069"/>
    <n v="1120185"/>
    <n v="4032666"/>
  </r>
  <r>
    <x v="0"/>
    <x v="0"/>
    <x v="0"/>
    <x v="3"/>
    <x v="7"/>
    <s v="DE4-W_A"/>
    <x v="3"/>
    <s v="GNR_ST_NGAS_BP_E-38"/>
    <x v="0"/>
    <x v="19"/>
    <n v="3069"/>
    <n v="1120185"/>
    <n v="4032666"/>
  </r>
  <r>
    <x v="0"/>
    <x v="0"/>
    <x v="0"/>
    <x v="3"/>
    <x v="7"/>
    <s v="DE4-W_A"/>
    <x v="3"/>
    <s v="GNR_ST_NGAS_BP_E-38"/>
    <x v="0"/>
    <x v="20"/>
    <n v="3069"/>
    <n v="1120185"/>
    <n v="4032666"/>
  </r>
  <r>
    <x v="0"/>
    <x v="0"/>
    <x v="0"/>
    <x v="3"/>
    <x v="7"/>
    <s v="DE4-W_A"/>
    <x v="3"/>
    <s v="GNR_ST_NGAS_BP_E-38"/>
    <x v="0"/>
    <x v="21"/>
    <n v="3069"/>
    <n v="1120185"/>
    <n v="4032666"/>
  </r>
  <r>
    <x v="0"/>
    <x v="0"/>
    <x v="0"/>
    <x v="3"/>
    <x v="7"/>
    <s v="DE4-W_A"/>
    <x v="3"/>
    <s v="GNR_ST_NGAS_BP_E-38"/>
    <x v="0"/>
    <x v="22"/>
    <n v="3069"/>
    <n v="1120185"/>
    <n v="4032666"/>
  </r>
  <r>
    <x v="0"/>
    <x v="0"/>
    <x v="0"/>
    <x v="3"/>
    <x v="7"/>
    <s v="DE4-W_A"/>
    <x v="3"/>
    <s v="GNR_ST_NGAS_BP_E-38"/>
    <x v="0"/>
    <x v="23"/>
    <n v="3069"/>
    <n v="1120185"/>
    <n v="4032666"/>
  </r>
  <r>
    <x v="0"/>
    <x v="0"/>
    <x v="0"/>
    <x v="4"/>
    <x v="8"/>
    <s v="LV_Other_DH"/>
    <x v="3"/>
    <s v="GNR_ST_NGAS_BP_E-28"/>
    <x v="0"/>
    <x v="0"/>
    <n v="235.470588235294"/>
    <n v="85946.764705882306"/>
    <n v="309408.35294117598"/>
  </r>
  <r>
    <x v="0"/>
    <x v="0"/>
    <x v="0"/>
    <x v="4"/>
    <x v="8"/>
    <s v="LV_Other_DH"/>
    <x v="3"/>
    <s v="GNR_ST_NGAS_BP_E-28"/>
    <x v="0"/>
    <x v="1"/>
    <n v="235.470588235294"/>
    <n v="85946.764705882306"/>
    <n v="309408.35294117598"/>
  </r>
  <r>
    <x v="0"/>
    <x v="0"/>
    <x v="0"/>
    <x v="4"/>
    <x v="8"/>
    <s v="LV_Other_DH"/>
    <x v="3"/>
    <s v="GNR_ST_NGAS_BP_E-28"/>
    <x v="0"/>
    <x v="2"/>
    <n v="235.470588235294"/>
    <n v="85946.764705882306"/>
    <n v="309408.35294117598"/>
  </r>
  <r>
    <x v="0"/>
    <x v="0"/>
    <x v="0"/>
    <x v="4"/>
    <x v="8"/>
    <s v="LV_Other_DH"/>
    <x v="3"/>
    <s v="GNR_ST_NGAS_BP_E-28"/>
    <x v="0"/>
    <x v="3"/>
    <n v="235.470588235294"/>
    <n v="85946.764705882306"/>
    <n v="309408.35294117598"/>
  </r>
  <r>
    <x v="0"/>
    <x v="0"/>
    <x v="0"/>
    <x v="4"/>
    <x v="8"/>
    <s v="LV_Other_DH"/>
    <x v="3"/>
    <s v="GNR_ST_NGAS_BP_E-28"/>
    <x v="0"/>
    <x v="12"/>
    <n v="235.470588235294"/>
    <n v="85946.764705882306"/>
    <n v="309408.35294117598"/>
  </r>
  <r>
    <x v="0"/>
    <x v="0"/>
    <x v="0"/>
    <x v="4"/>
    <x v="8"/>
    <s v="LV_Other_DH"/>
    <x v="3"/>
    <s v="GNR_ST_NGAS_BP_E-28"/>
    <x v="0"/>
    <x v="13"/>
    <n v="235.470588235294"/>
    <n v="85946.764705882306"/>
    <n v="309408.35294117598"/>
  </r>
  <r>
    <x v="0"/>
    <x v="0"/>
    <x v="0"/>
    <x v="4"/>
    <x v="8"/>
    <s v="LV_Other_DH"/>
    <x v="3"/>
    <s v="GNR_ST_NGAS_BP_E-28"/>
    <x v="0"/>
    <x v="14"/>
    <n v="235.470588235294"/>
    <n v="85946.764705882306"/>
    <n v="309408.35294117598"/>
  </r>
  <r>
    <x v="0"/>
    <x v="0"/>
    <x v="0"/>
    <x v="4"/>
    <x v="8"/>
    <s v="LV_Other_DH"/>
    <x v="3"/>
    <s v="GNR_ST_NGAS_BP_E-28"/>
    <x v="0"/>
    <x v="4"/>
    <n v="235.470588235294"/>
    <n v="85946.764705882306"/>
    <n v="309408.35294117598"/>
  </r>
  <r>
    <x v="0"/>
    <x v="0"/>
    <x v="0"/>
    <x v="4"/>
    <x v="8"/>
    <s v="LV_Other_DH"/>
    <x v="3"/>
    <s v="GNR_ST_NGAS_BP_E-28"/>
    <x v="0"/>
    <x v="16"/>
    <n v="235.470588235294"/>
    <n v="85946.764705882306"/>
    <n v="309408.35294117598"/>
  </r>
  <r>
    <x v="0"/>
    <x v="0"/>
    <x v="0"/>
    <x v="4"/>
    <x v="8"/>
    <s v="LV_Other_DH"/>
    <x v="3"/>
    <s v="GNR_ST_NGAS_BP_E-28"/>
    <x v="0"/>
    <x v="5"/>
    <n v="235.470588235294"/>
    <n v="85946.764705882306"/>
    <n v="309408.35294117598"/>
  </r>
  <r>
    <x v="0"/>
    <x v="0"/>
    <x v="0"/>
    <x v="4"/>
    <x v="8"/>
    <s v="LV_Other_DH"/>
    <x v="3"/>
    <s v="GNR_ST_NGAS_BP_E-28"/>
    <x v="0"/>
    <x v="17"/>
    <n v="235.470588235294"/>
    <n v="85946.764705882306"/>
    <n v="309408.35294117598"/>
  </r>
  <r>
    <x v="0"/>
    <x v="0"/>
    <x v="0"/>
    <x v="4"/>
    <x v="8"/>
    <s v="LV_Other_DH"/>
    <x v="3"/>
    <s v="GNR_ST_NGAS_BP_E-28"/>
    <x v="0"/>
    <x v="18"/>
    <n v="235.470588235294"/>
    <n v="85946.764705882306"/>
    <n v="309408.35294117598"/>
  </r>
  <r>
    <x v="0"/>
    <x v="0"/>
    <x v="0"/>
    <x v="4"/>
    <x v="8"/>
    <s v="LV_Other_DH"/>
    <x v="10"/>
    <s v="GNR_ST_WOOD_BP_E-30"/>
    <x v="0"/>
    <x v="6"/>
    <n v="105.88235294117599"/>
    <n v="38647.058823529398"/>
    <n v="139129.41176470599"/>
  </r>
  <r>
    <x v="0"/>
    <x v="0"/>
    <x v="0"/>
    <x v="4"/>
    <x v="8"/>
    <s v="LV_Other_DH"/>
    <x v="10"/>
    <s v="GNR_ST_WOOD_BP_E-30"/>
    <x v="0"/>
    <x v="7"/>
    <n v="105.88235294117599"/>
    <n v="38647.058823529398"/>
    <n v="139129.41176470599"/>
  </r>
  <r>
    <x v="0"/>
    <x v="0"/>
    <x v="0"/>
    <x v="4"/>
    <x v="8"/>
    <s v="LV_Other_DH"/>
    <x v="10"/>
    <s v="GNR_ST_WOOD_BP_E-30"/>
    <x v="0"/>
    <x v="8"/>
    <n v="105.88235294117599"/>
    <n v="38647.058823529398"/>
    <n v="139129.41176470599"/>
  </r>
  <r>
    <x v="0"/>
    <x v="0"/>
    <x v="0"/>
    <x v="4"/>
    <x v="8"/>
    <s v="LV_Other_DH"/>
    <x v="10"/>
    <s v="GNR_ST_WOOD_BP_E-30"/>
    <x v="0"/>
    <x v="9"/>
    <n v="105.88235294117599"/>
    <n v="38647.058823529398"/>
    <n v="139129.41176470599"/>
  </r>
  <r>
    <x v="0"/>
    <x v="0"/>
    <x v="0"/>
    <x v="4"/>
    <x v="8"/>
    <s v="LV_Other_DH"/>
    <x v="10"/>
    <s v="GNR_ST_WOOD_BP_E-30"/>
    <x v="0"/>
    <x v="10"/>
    <n v="105.88235294117599"/>
    <n v="38647.058823529398"/>
    <n v="139129.41176470599"/>
  </r>
  <r>
    <x v="0"/>
    <x v="0"/>
    <x v="0"/>
    <x v="4"/>
    <x v="8"/>
    <s v="LV_Other_DH"/>
    <x v="10"/>
    <s v="GNR_ST_WOOD_BP_E-30"/>
    <x v="0"/>
    <x v="11"/>
    <n v="105.88235294117599"/>
    <n v="38647.058823529398"/>
    <n v="139129.41176470599"/>
  </r>
  <r>
    <x v="0"/>
    <x v="0"/>
    <x v="0"/>
    <x v="4"/>
    <x v="8"/>
    <s v="LV_Other_DH"/>
    <x v="10"/>
    <s v="GNR_ST_WOOD_BP_E-30"/>
    <x v="0"/>
    <x v="0"/>
    <n v="105.88235294117599"/>
    <n v="38647.058823529398"/>
    <n v="139129.41176470599"/>
  </r>
  <r>
    <x v="0"/>
    <x v="0"/>
    <x v="0"/>
    <x v="4"/>
    <x v="8"/>
    <s v="LV_Other_DH"/>
    <x v="10"/>
    <s v="GNR_ST_WOOD_BP_E-30"/>
    <x v="0"/>
    <x v="1"/>
    <n v="105.88235294117599"/>
    <n v="38647.058823529398"/>
    <n v="139129.41176470599"/>
  </r>
  <r>
    <x v="0"/>
    <x v="0"/>
    <x v="0"/>
    <x v="4"/>
    <x v="8"/>
    <s v="LV_Other_DH"/>
    <x v="10"/>
    <s v="GNR_ST_WOOD_BP_E-30"/>
    <x v="0"/>
    <x v="2"/>
    <n v="105.88235294117599"/>
    <n v="38647.058823529398"/>
    <n v="139129.41176470599"/>
  </r>
  <r>
    <x v="0"/>
    <x v="0"/>
    <x v="0"/>
    <x v="4"/>
    <x v="8"/>
    <s v="LV_Other_DH"/>
    <x v="10"/>
    <s v="GNR_ST_WOOD_BP_E-30"/>
    <x v="0"/>
    <x v="3"/>
    <n v="105.88235294117599"/>
    <n v="38647.058823529398"/>
    <n v="139129.41176470599"/>
  </r>
  <r>
    <x v="0"/>
    <x v="0"/>
    <x v="0"/>
    <x v="4"/>
    <x v="8"/>
    <s v="LV_Other_DH"/>
    <x v="10"/>
    <s v="GNR_ST_WOOD_BP_E-30"/>
    <x v="0"/>
    <x v="12"/>
    <n v="105.88235294117599"/>
    <n v="38647.058823529398"/>
    <n v="139129.41176470599"/>
  </r>
  <r>
    <x v="0"/>
    <x v="0"/>
    <x v="0"/>
    <x v="4"/>
    <x v="8"/>
    <s v="LV_Other_DH"/>
    <x v="10"/>
    <s v="GNR_ST_WOOD_BP_E-30"/>
    <x v="0"/>
    <x v="13"/>
    <n v="105.88235294117599"/>
    <n v="38647.058823529398"/>
    <n v="139129.41176470599"/>
  </r>
  <r>
    <x v="0"/>
    <x v="0"/>
    <x v="0"/>
    <x v="4"/>
    <x v="8"/>
    <s v="LV_Other_DH"/>
    <x v="10"/>
    <s v="GNR_ST_WOOD_BP_E-30"/>
    <x v="0"/>
    <x v="14"/>
    <n v="105.88235294117599"/>
    <n v="38647.058823529398"/>
    <n v="139129.41176470599"/>
  </r>
  <r>
    <x v="0"/>
    <x v="0"/>
    <x v="0"/>
    <x v="4"/>
    <x v="8"/>
    <s v="LV_Other_DH"/>
    <x v="10"/>
    <s v="GNR_ST_WOOD_BP_E-30"/>
    <x v="0"/>
    <x v="15"/>
    <n v="105.88235294117599"/>
    <n v="38647.058823529398"/>
    <n v="139129.41176470599"/>
  </r>
  <r>
    <x v="0"/>
    <x v="0"/>
    <x v="0"/>
    <x v="4"/>
    <x v="8"/>
    <s v="LV_Other_DH"/>
    <x v="10"/>
    <s v="GNR_ST_WOOD_BP_E-30"/>
    <x v="0"/>
    <x v="4"/>
    <n v="105.88235294117599"/>
    <n v="38647.058823529398"/>
    <n v="139129.41176470599"/>
  </r>
  <r>
    <x v="0"/>
    <x v="0"/>
    <x v="0"/>
    <x v="4"/>
    <x v="8"/>
    <s v="LV_Other_DH"/>
    <x v="10"/>
    <s v="GNR_ST_WOOD_BP_E-30"/>
    <x v="0"/>
    <x v="16"/>
    <n v="105.88235294117599"/>
    <n v="38647.058823529398"/>
    <n v="139129.41176470599"/>
  </r>
  <r>
    <x v="0"/>
    <x v="0"/>
    <x v="0"/>
    <x v="4"/>
    <x v="8"/>
    <s v="LV_Other_DH"/>
    <x v="10"/>
    <s v="GNR_ST_WOOD_BP_E-30"/>
    <x v="0"/>
    <x v="5"/>
    <n v="105.88235294117599"/>
    <n v="38647.058823529398"/>
    <n v="139129.41176470599"/>
  </r>
  <r>
    <x v="0"/>
    <x v="0"/>
    <x v="0"/>
    <x v="4"/>
    <x v="8"/>
    <s v="LV_Other_DH"/>
    <x v="10"/>
    <s v="GNR_ST_WOOD_BP_E-30"/>
    <x v="0"/>
    <x v="17"/>
    <n v="105.88235294117599"/>
    <n v="38647.058823529398"/>
    <n v="139129.41176470599"/>
  </r>
  <r>
    <x v="0"/>
    <x v="0"/>
    <x v="0"/>
    <x v="4"/>
    <x v="8"/>
    <s v="LV_Other_DH"/>
    <x v="10"/>
    <s v="GNR_ST_WOOD_BP_E-30"/>
    <x v="0"/>
    <x v="18"/>
    <n v="105.88235294117599"/>
    <n v="38647.058823529398"/>
    <n v="139129.41176470599"/>
  </r>
  <r>
    <x v="0"/>
    <x v="0"/>
    <x v="0"/>
    <x v="4"/>
    <x v="8"/>
    <s v="LV_Other_DH"/>
    <x v="10"/>
    <s v="GNR_ST_WOOD_BP_E-30"/>
    <x v="0"/>
    <x v="19"/>
    <n v="105.88235294117599"/>
    <n v="38647.058823529398"/>
    <n v="139129.41176470599"/>
  </r>
  <r>
    <x v="0"/>
    <x v="0"/>
    <x v="0"/>
    <x v="4"/>
    <x v="8"/>
    <s v="LV_Other_DH"/>
    <x v="10"/>
    <s v="GNR_ST_WOOD_BP_E-30"/>
    <x v="0"/>
    <x v="20"/>
    <n v="105.88235294117599"/>
    <n v="38647.058823529398"/>
    <n v="139129.41176470599"/>
  </r>
  <r>
    <x v="0"/>
    <x v="0"/>
    <x v="0"/>
    <x v="4"/>
    <x v="8"/>
    <s v="LV_Other_DH"/>
    <x v="10"/>
    <s v="GNR_ST_WOOD_BP_E-30"/>
    <x v="0"/>
    <x v="21"/>
    <n v="105.88235294117599"/>
    <n v="38647.058823529398"/>
    <n v="139129.41176470599"/>
  </r>
  <r>
    <x v="0"/>
    <x v="0"/>
    <x v="0"/>
    <x v="4"/>
    <x v="8"/>
    <s v="LV_Other_DH"/>
    <x v="10"/>
    <s v="GNR_ST_WOOD_BP_E-30"/>
    <x v="0"/>
    <x v="22"/>
    <n v="105.88235294117599"/>
    <n v="38647.058823529398"/>
    <n v="139129.41176470599"/>
  </r>
  <r>
    <x v="0"/>
    <x v="0"/>
    <x v="0"/>
    <x v="4"/>
    <x v="8"/>
    <s v="LV_Other_DH"/>
    <x v="10"/>
    <s v="GNR_ST_WOOD_BP_E-30"/>
    <x v="0"/>
    <x v="23"/>
    <n v="105.88235294117599"/>
    <n v="38647.058823529398"/>
    <n v="139129.41176470599"/>
  </r>
  <r>
    <x v="0"/>
    <x v="0"/>
    <x v="0"/>
    <x v="4"/>
    <x v="8"/>
    <s v="LV_RigaR"/>
    <x v="3"/>
    <s v="GNR_ST_NGAS_BP_E-42"/>
    <x v="0"/>
    <x v="6"/>
    <n v="47.9"/>
    <n v="17483.5"/>
    <n v="62940.6"/>
  </r>
  <r>
    <x v="0"/>
    <x v="0"/>
    <x v="0"/>
    <x v="4"/>
    <x v="8"/>
    <s v="LV_RigaR"/>
    <x v="3"/>
    <s v="GNR_ST_NGAS_BP_E-42"/>
    <x v="0"/>
    <x v="7"/>
    <n v="47.9"/>
    <n v="17483.5"/>
    <n v="62940.6"/>
  </r>
  <r>
    <x v="0"/>
    <x v="0"/>
    <x v="0"/>
    <x v="4"/>
    <x v="8"/>
    <s v="LV_RigaR"/>
    <x v="3"/>
    <s v="GNR_ST_NGAS_BP_E-42"/>
    <x v="0"/>
    <x v="8"/>
    <n v="47.9"/>
    <n v="17483.5"/>
    <n v="62940.6"/>
  </r>
  <r>
    <x v="0"/>
    <x v="0"/>
    <x v="0"/>
    <x v="4"/>
    <x v="8"/>
    <s v="LV_RigaR"/>
    <x v="3"/>
    <s v="GNR_ST_NGAS_BP_E-42"/>
    <x v="0"/>
    <x v="9"/>
    <n v="47.9"/>
    <n v="17483.5"/>
    <n v="62940.6"/>
  </r>
  <r>
    <x v="0"/>
    <x v="0"/>
    <x v="0"/>
    <x v="4"/>
    <x v="8"/>
    <s v="LV_RigaR"/>
    <x v="3"/>
    <s v="GNR_ST_NGAS_BP_E-42"/>
    <x v="0"/>
    <x v="10"/>
    <n v="47.9"/>
    <n v="17483.5"/>
    <n v="62940.6"/>
  </r>
  <r>
    <x v="0"/>
    <x v="0"/>
    <x v="0"/>
    <x v="4"/>
    <x v="8"/>
    <s v="LV_RigaR"/>
    <x v="3"/>
    <s v="GNR_ST_NGAS_BP_E-42"/>
    <x v="0"/>
    <x v="11"/>
    <n v="47.9"/>
    <n v="17483.5"/>
    <n v="62940.6"/>
  </r>
  <r>
    <x v="0"/>
    <x v="0"/>
    <x v="0"/>
    <x v="4"/>
    <x v="8"/>
    <s v="LV_RigaR"/>
    <x v="3"/>
    <s v="GNR_ST_NGAS_BP_E-42"/>
    <x v="0"/>
    <x v="0"/>
    <n v="47.9"/>
    <n v="17483.5"/>
    <n v="62940.6"/>
  </r>
  <r>
    <x v="0"/>
    <x v="0"/>
    <x v="0"/>
    <x v="4"/>
    <x v="8"/>
    <s v="LV_RigaR"/>
    <x v="3"/>
    <s v="GNR_ST_NGAS_BP_E-42"/>
    <x v="0"/>
    <x v="1"/>
    <n v="47.9"/>
    <n v="17483.5"/>
    <n v="62940.6"/>
  </r>
  <r>
    <x v="0"/>
    <x v="0"/>
    <x v="0"/>
    <x v="4"/>
    <x v="8"/>
    <s v="LV_RigaR"/>
    <x v="3"/>
    <s v="GNR_ST_NGAS_BP_E-42"/>
    <x v="0"/>
    <x v="2"/>
    <n v="47.9"/>
    <n v="17483.5"/>
    <n v="62940.6"/>
  </r>
  <r>
    <x v="0"/>
    <x v="0"/>
    <x v="0"/>
    <x v="4"/>
    <x v="8"/>
    <s v="LV_RigaR"/>
    <x v="3"/>
    <s v="GNR_ST_NGAS_BP_E-42"/>
    <x v="0"/>
    <x v="3"/>
    <n v="47.9"/>
    <n v="17483.5"/>
    <n v="62940.6"/>
  </r>
  <r>
    <x v="0"/>
    <x v="0"/>
    <x v="0"/>
    <x v="4"/>
    <x v="8"/>
    <s v="LV_RigaR"/>
    <x v="3"/>
    <s v="GNR_ST_NGAS_BP_E-42"/>
    <x v="0"/>
    <x v="12"/>
    <n v="47.9"/>
    <n v="17483.5"/>
    <n v="62940.6"/>
  </r>
  <r>
    <x v="0"/>
    <x v="0"/>
    <x v="0"/>
    <x v="4"/>
    <x v="8"/>
    <s v="LV_RigaR"/>
    <x v="3"/>
    <s v="GNR_ST_NGAS_BP_E-42"/>
    <x v="0"/>
    <x v="13"/>
    <n v="47.9"/>
    <n v="17483.5"/>
    <n v="62940.6"/>
  </r>
  <r>
    <x v="0"/>
    <x v="0"/>
    <x v="0"/>
    <x v="4"/>
    <x v="8"/>
    <s v="LV_RigaR"/>
    <x v="3"/>
    <s v="GNR_ST_NGAS_BP_E-42"/>
    <x v="0"/>
    <x v="14"/>
    <n v="47.9"/>
    <n v="17483.5"/>
    <n v="62940.6"/>
  </r>
  <r>
    <x v="0"/>
    <x v="0"/>
    <x v="0"/>
    <x v="4"/>
    <x v="8"/>
    <s v="LV_RigaR"/>
    <x v="3"/>
    <s v="GNR_ST_NGAS_BP_E-42"/>
    <x v="0"/>
    <x v="15"/>
    <n v="47.9"/>
    <n v="17483.5"/>
    <n v="62940.6"/>
  </r>
  <r>
    <x v="0"/>
    <x v="0"/>
    <x v="0"/>
    <x v="4"/>
    <x v="8"/>
    <s v="LV_RigaR"/>
    <x v="3"/>
    <s v="GNR_ST_NGAS_BP_E-42"/>
    <x v="0"/>
    <x v="4"/>
    <n v="47.9"/>
    <n v="17483.5"/>
    <n v="62940.6"/>
  </r>
  <r>
    <x v="0"/>
    <x v="0"/>
    <x v="0"/>
    <x v="4"/>
    <x v="8"/>
    <s v="LV_RigaR"/>
    <x v="3"/>
    <s v="GNR_ST_NGAS_BP_E-42"/>
    <x v="0"/>
    <x v="16"/>
    <n v="47.9"/>
    <n v="17483.5"/>
    <n v="62940.6"/>
  </r>
  <r>
    <x v="0"/>
    <x v="0"/>
    <x v="0"/>
    <x v="4"/>
    <x v="8"/>
    <s v="LV_RigaR"/>
    <x v="3"/>
    <s v="GNR_ST_NGAS_BP_E-42"/>
    <x v="0"/>
    <x v="5"/>
    <n v="47.9"/>
    <n v="17483.5"/>
    <n v="62940.6"/>
  </r>
  <r>
    <x v="0"/>
    <x v="0"/>
    <x v="0"/>
    <x v="4"/>
    <x v="8"/>
    <s v="LV_RigaR"/>
    <x v="3"/>
    <s v="GNR_ST_NGAS_BP_E-42"/>
    <x v="0"/>
    <x v="17"/>
    <n v="47.9"/>
    <n v="17483.5"/>
    <n v="62940.6"/>
  </r>
  <r>
    <x v="0"/>
    <x v="0"/>
    <x v="0"/>
    <x v="4"/>
    <x v="8"/>
    <s v="LV_RigaR"/>
    <x v="3"/>
    <s v="GNR_ST_NGAS_BP_E-42"/>
    <x v="0"/>
    <x v="18"/>
    <n v="47.9"/>
    <n v="17483.5"/>
    <n v="62940.6"/>
  </r>
  <r>
    <x v="0"/>
    <x v="0"/>
    <x v="0"/>
    <x v="4"/>
    <x v="8"/>
    <s v="LV_RigaR"/>
    <x v="3"/>
    <s v="GNR_ST_NGAS_BP_E-42"/>
    <x v="0"/>
    <x v="19"/>
    <n v="47.9"/>
    <n v="17483.5"/>
    <n v="62940.6"/>
  </r>
  <r>
    <x v="0"/>
    <x v="0"/>
    <x v="0"/>
    <x v="4"/>
    <x v="8"/>
    <s v="LV_RigaR"/>
    <x v="3"/>
    <s v="GNR_ST_NGAS_BP_E-42"/>
    <x v="0"/>
    <x v="20"/>
    <n v="47.9"/>
    <n v="17483.5"/>
    <n v="62940.6"/>
  </r>
  <r>
    <x v="0"/>
    <x v="0"/>
    <x v="0"/>
    <x v="4"/>
    <x v="8"/>
    <s v="LV_RigaR"/>
    <x v="3"/>
    <s v="GNR_ST_NGAS_BP_E-42"/>
    <x v="0"/>
    <x v="21"/>
    <n v="47.9"/>
    <n v="17483.5"/>
    <n v="62940.6"/>
  </r>
  <r>
    <x v="0"/>
    <x v="0"/>
    <x v="0"/>
    <x v="4"/>
    <x v="8"/>
    <s v="LV_RigaR"/>
    <x v="3"/>
    <s v="GNR_ST_NGAS_BP_E-42"/>
    <x v="0"/>
    <x v="22"/>
    <n v="47.9"/>
    <n v="17483.5"/>
    <n v="62940.6"/>
  </r>
  <r>
    <x v="0"/>
    <x v="0"/>
    <x v="0"/>
    <x v="4"/>
    <x v="8"/>
    <s v="LV_RigaR"/>
    <x v="3"/>
    <s v="GNR_ST_NGAS_BP_E-42"/>
    <x v="0"/>
    <x v="23"/>
    <n v="47.9"/>
    <n v="17483.5"/>
    <n v="62940.6"/>
  </r>
  <r>
    <x v="0"/>
    <x v="0"/>
    <x v="0"/>
    <x v="4"/>
    <x v="8"/>
    <s v="LV_RigaR"/>
    <x v="3"/>
    <s v="RIGA-TEC2_CC_NGAS_BP"/>
    <x v="0"/>
    <x v="6"/>
    <n v="145.45454545454501"/>
    <n v="53090.909090909103"/>
    <n v="191127.272727273"/>
  </r>
  <r>
    <x v="0"/>
    <x v="0"/>
    <x v="0"/>
    <x v="4"/>
    <x v="8"/>
    <s v="LV_RigaR"/>
    <x v="3"/>
    <s v="RIGA-TEC2_CC_NGAS_BP"/>
    <x v="0"/>
    <x v="7"/>
    <n v="145.45454545454501"/>
    <n v="53090.909090909103"/>
    <n v="191127.272727273"/>
  </r>
  <r>
    <x v="0"/>
    <x v="0"/>
    <x v="0"/>
    <x v="4"/>
    <x v="8"/>
    <s v="LV_RigaR"/>
    <x v="3"/>
    <s v="RIGA-TEC2_CC_NGAS_BP"/>
    <x v="0"/>
    <x v="8"/>
    <n v="145.45454545454501"/>
    <n v="53090.909090909103"/>
    <n v="191127.272727273"/>
  </r>
  <r>
    <x v="0"/>
    <x v="0"/>
    <x v="0"/>
    <x v="4"/>
    <x v="8"/>
    <s v="LV_RigaR"/>
    <x v="3"/>
    <s v="RIGA-TEC2_CC_NGAS_BP"/>
    <x v="0"/>
    <x v="9"/>
    <n v="145.45454545454501"/>
    <n v="53090.909090909103"/>
    <n v="191127.272727273"/>
  </r>
  <r>
    <x v="0"/>
    <x v="0"/>
    <x v="0"/>
    <x v="4"/>
    <x v="8"/>
    <s v="LV_RigaR"/>
    <x v="3"/>
    <s v="RIGA-TEC2_CC_NGAS_BP"/>
    <x v="0"/>
    <x v="10"/>
    <n v="145.45454545454501"/>
    <n v="53090.909090909103"/>
    <n v="191127.272727273"/>
  </r>
  <r>
    <x v="0"/>
    <x v="0"/>
    <x v="0"/>
    <x v="4"/>
    <x v="8"/>
    <s v="LV_RigaR"/>
    <x v="3"/>
    <s v="RIGA-TEC2_CC_NGAS_BP"/>
    <x v="0"/>
    <x v="11"/>
    <n v="145.45454545454501"/>
    <n v="53090.909090909103"/>
    <n v="191127.272727273"/>
  </r>
  <r>
    <x v="0"/>
    <x v="0"/>
    <x v="0"/>
    <x v="4"/>
    <x v="8"/>
    <s v="LV_RigaR"/>
    <x v="3"/>
    <s v="RIGA-TEC2_CC_NGAS_BP"/>
    <x v="0"/>
    <x v="0"/>
    <n v="145.45454545454501"/>
    <n v="53090.909090909103"/>
    <n v="191127.272727273"/>
  </r>
  <r>
    <x v="0"/>
    <x v="0"/>
    <x v="0"/>
    <x v="4"/>
    <x v="8"/>
    <s v="LV_RigaR"/>
    <x v="3"/>
    <s v="RIGA-TEC2_CC_NGAS_BP"/>
    <x v="0"/>
    <x v="1"/>
    <n v="145.45454545454501"/>
    <n v="53090.909090909103"/>
    <n v="191127.272727273"/>
  </r>
  <r>
    <x v="0"/>
    <x v="0"/>
    <x v="0"/>
    <x v="4"/>
    <x v="8"/>
    <s v="LV_RigaR"/>
    <x v="3"/>
    <s v="RIGA-TEC2_CC_NGAS_BP"/>
    <x v="0"/>
    <x v="2"/>
    <n v="145.45454545454501"/>
    <n v="53090.909090909103"/>
    <n v="191127.272727273"/>
  </r>
  <r>
    <x v="0"/>
    <x v="0"/>
    <x v="0"/>
    <x v="4"/>
    <x v="8"/>
    <s v="LV_RigaR"/>
    <x v="3"/>
    <s v="RIGA-TEC2_CC_NGAS_BP"/>
    <x v="0"/>
    <x v="3"/>
    <n v="145.45454545454501"/>
    <n v="53090.909090909103"/>
    <n v="191127.272727273"/>
  </r>
  <r>
    <x v="0"/>
    <x v="0"/>
    <x v="0"/>
    <x v="4"/>
    <x v="8"/>
    <s v="LV_RigaR"/>
    <x v="3"/>
    <s v="RIGA-TEC2_CC_NGAS_BP"/>
    <x v="0"/>
    <x v="12"/>
    <n v="145.45454545454501"/>
    <n v="53090.909090909103"/>
    <n v="191127.272727273"/>
  </r>
  <r>
    <x v="0"/>
    <x v="0"/>
    <x v="0"/>
    <x v="4"/>
    <x v="8"/>
    <s v="LV_RigaR"/>
    <x v="3"/>
    <s v="RIGA-TEC2_CC_NGAS_BP"/>
    <x v="0"/>
    <x v="13"/>
    <n v="145.45454545454501"/>
    <n v="53090.909090909103"/>
    <n v="191127.272727273"/>
  </r>
  <r>
    <x v="0"/>
    <x v="0"/>
    <x v="0"/>
    <x v="4"/>
    <x v="8"/>
    <s v="LV_RigaR"/>
    <x v="3"/>
    <s v="RIGA-TEC2_CC_NGAS_BP"/>
    <x v="0"/>
    <x v="14"/>
    <n v="145.45454545454501"/>
    <n v="53090.909090909103"/>
    <n v="191127.272727273"/>
  </r>
  <r>
    <x v="0"/>
    <x v="0"/>
    <x v="0"/>
    <x v="4"/>
    <x v="8"/>
    <s v="LV_RigaR"/>
    <x v="3"/>
    <s v="RIGA-TEC2_CC_NGAS_BP"/>
    <x v="0"/>
    <x v="15"/>
    <n v="145.45454545454501"/>
    <n v="53090.909090909103"/>
    <n v="191127.272727273"/>
  </r>
  <r>
    <x v="0"/>
    <x v="0"/>
    <x v="0"/>
    <x v="4"/>
    <x v="8"/>
    <s v="LV_RigaR"/>
    <x v="3"/>
    <s v="RIGA-TEC2_CC_NGAS_BP"/>
    <x v="0"/>
    <x v="4"/>
    <n v="145.45454545454501"/>
    <n v="53090.909090909103"/>
    <n v="191127.272727273"/>
  </r>
  <r>
    <x v="0"/>
    <x v="0"/>
    <x v="0"/>
    <x v="4"/>
    <x v="8"/>
    <s v="LV_RigaR"/>
    <x v="3"/>
    <s v="RIGA-TEC2_CC_NGAS_BP"/>
    <x v="0"/>
    <x v="16"/>
    <n v="145.45454545454501"/>
    <n v="53090.909090909103"/>
    <n v="191127.272727273"/>
  </r>
  <r>
    <x v="0"/>
    <x v="0"/>
    <x v="0"/>
    <x v="4"/>
    <x v="8"/>
    <s v="LV_RigaR"/>
    <x v="3"/>
    <s v="RIGA-TEC2_CC_NGAS_BP"/>
    <x v="0"/>
    <x v="5"/>
    <n v="145.45454545454501"/>
    <n v="53090.909090909103"/>
    <n v="191127.272727273"/>
  </r>
  <r>
    <x v="0"/>
    <x v="0"/>
    <x v="0"/>
    <x v="4"/>
    <x v="8"/>
    <s v="LV_RigaR"/>
    <x v="3"/>
    <s v="RIGA-TEC2_CC_NGAS_BP"/>
    <x v="0"/>
    <x v="17"/>
    <n v="145.45454545454501"/>
    <n v="53090.909090909103"/>
    <n v="191127.272727273"/>
  </r>
  <r>
    <x v="0"/>
    <x v="0"/>
    <x v="0"/>
    <x v="4"/>
    <x v="8"/>
    <s v="LV_RigaR"/>
    <x v="3"/>
    <s v="RIGA-TEC2_CC_NGAS_BP"/>
    <x v="0"/>
    <x v="18"/>
    <n v="145.45454545454501"/>
    <n v="53090.909090909103"/>
    <n v="191127.272727273"/>
  </r>
  <r>
    <x v="0"/>
    <x v="0"/>
    <x v="0"/>
    <x v="4"/>
    <x v="8"/>
    <s v="LV_RigaR"/>
    <x v="3"/>
    <s v="RIGA-TEC2_CC_NGAS_BP"/>
    <x v="0"/>
    <x v="19"/>
    <n v="145.45454545454501"/>
    <n v="53090.909090909103"/>
    <n v="191127.272727273"/>
  </r>
  <r>
    <x v="0"/>
    <x v="0"/>
    <x v="0"/>
    <x v="4"/>
    <x v="8"/>
    <s v="LV_RigaR"/>
    <x v="3"/>
    <s v="RIGA-TEC2_CC_NGAS_BP"/>
    <x v="0"/>
    <x v="20"/>
    <n v="145.45454545454501"/>
    <n v="53090.909090909103"/>
    <n v="191127.272727273"/>
  </r>
  <r>
    <x v="0"/>
    <x v="0"/>
    <x v="0"/>
    <x v="4"/>
    <x v="8"/>
    <s v="LV_RigaR"/>
    <x v="3"/>
    <s v="RIGA-TEC2_CC_NGAS_BP"/>
    <x v="0"/>
    <x v="21"/>
    <n v="145.45454545454501"/>
    <n v="53090.909090909103"/>
    <n v="191127.272727273"/>
  </r>
  <r>
    <x v="0"/>
    <x v="0"/>
    <x v="0"/>
    <x v="4"/>
    <x v="8"/>
    <s v="LV_RigaR"/>
    <x v="3"/>
    <s v="RIGA-TEC2_CC_NGAS_BP"/>
    <x v="0"/>
    <x v="22"/>
    <n v="145.45454545454501"/>
    <n v="53090.909090909103"/>
    <n v="191127.272727273"/>
  </r>
  <r>
    <x v="0"/>
    <x v="0"/>
    <x v="0"/>
    <x v="4"/>
    <x v="8"/>
    <s v="LV_RigaR"/>
    <x v="3"/>
    <s v="RIGA-TEC2_CC_NGAS_BP"/>
    <x v="0"/>
    <x v="23"/>
    <n v="145.45454545454501"/>
    <n v="53090.909090909103"/>
    <n v="191127.272727273"/>
  </r>
  <r>
    <x v="0"/>
    <x v="0"/>
    <x v="0"/>
    <x v="5"/>
    <x v="9"/>
    <s v="LT_KauU"/>
    <x v="2"/>
    <s v="KAUNAS_ST_MSW_BP"/>
    <x v="0"/>
    <x v="6"/>
    <n v="68.000226667422197"/>
    <n v="24820.082733609099"/>
    <n v="89352.297840992804"/>
  </r>
  <r>
    <x v="0"/>
    <x v="0"/>
    <x v="0"/>
    <x v="5"/>
    <x v="9"/>
    <s v="LT_KauU"/>
    <x v="2"/>
    <s v="KAUNAS_ST_MSW_BP"/>
    <x v="0"/>
    <x v="7"/>
    <n v="68.000226667422197"/>
    <n v="24820.082733609099"/>
    <n v="89352.297840992804"/>
  </r>
  <r>
    <x v="0"/>
    <x v="0"/>
    <x v="0"/>
    <x v="5"/>
    <x v="9"/>
    <s v="LT_KauU"/>
    <x v="2"/>
    <s v="KAUNAS_ST_MSW_BP"/>
    <x v="0"/>
    <x v="8"/>
    <n v="68.000226667422197"/>
    <n v="24820.082733609099"/>
    <n v="89352.297840992804"/>
  </r>
  <r>
    <x v="0"/>
    <x v="0"/>
    <x v="0"/>
    <x v="5"/>
    <x v="9"/>
    <s v="LT_KauU"/>
    <x v="2"/>
    <s v="KAUNAS_ST_MSW_BP"/>
    <x v="0"/>
    <x v="9"/>
    <n v="68.000226667422197"/>
    <n v="24820.082733609099"/>
    <n v="89352.297840992804"/>
  </r>
  <r>
    <x v="0"/>
    <x v="0"/>
    <x v="0"/>
    <x v="5"/>
    <x v="9"/>
    <s v="LT_KauU"/>
    <x v="2"/>
    <s v="KAUNAS_ST_MSW_BP"/>
    <x v="0"/>
    <x v="10"/>
    <n v="68.000226667422197"/>
    <n v="24820.082733609099"/>
    <n v="89352.297840992804"/>
  </r>
  <r>
    <x v="0"/>
    <x v="0"/>
    <x v="0"/>
    <x v="5"/>
    <x v="9"/>
    <s v="LT_KauU"/>
    <x v="2"/>
    <s v="KAUNAS_ST_MSW_BP"/>
    <x v="0"/>
    <x v="11"/>
    <n v="68.000226667422197"/>
    <n v="24820.082733609099"/>
    <n v="89352.297840992804"/>
  </r>
  <r>
    <x v="0"/>
    <x v="0"/>
    <x v="0"/>
    <x v="5"/>
    <x v="9"/>
    <s v="LT_KauU"/>
    <x v="2"/>
    <s v="KAUNAS_ST_MSW_BP"/>
    <x v="0"/>
    <x v="0"/>
    <n v="68.000226667422197"/>
    <n v="24820.082733609099"/>
    <n v="89352.297840992804"/>
  </r>
  <r>
    <x v="0"/>
    <x v="0"/>
    <x v="0"/>
    <x v="5"/>
    <x v="9"/>
    <s v="LT_KauU"/>
    <x v="2"/>
    <s v="KAUNAS_ST_MSW_BP"/>
    <x v="0"/>
    <x v="1"/>
    <n v="68.000226667422197"/>
    <n v="24820.082733609099"/>
    <n v="89352.297840992804"/>
  </r>
  <r>
    <x v="0"/>
    <x v="0"/>
    <x v="0"/>
    <x v="5"/>
    <x v="9"/>
    <s v="LT_KauU"/>
    <x v="2"/>
    <s v="KAUNAS_ST_MSW_BP"/>
    <x v="0"/>
    <x v="2"/>
    <n v="68.000226667422197"/>
    <n v="24820.082733609099"/>
    <n v="89352.297840992804"/>
  </r>
  <r>
    <x v="0"/>
    <x v="0"/>
    <x v="0"/>
    <x v="5"/>
    <x v="9"/>
    <s v="LT_KauU"/>
    <x v="2"/>
    <s v="KAUNAS_ST_MSW_BP"/>
    <x v="0"/>
    <x v="3"/>
    <n v="68.000226667422197"/>
    <n v="24820.082733609099"/>
    <n v="89352.297840992804"/>
  </r>
  <r>
    <x v="0"/>
    <x v="0"/>
    <x v="0"/>
    <x v="5"/>
    <x v="9"/>
    <s v="LT_KauU"/>
    <x v="2"/>
    <s v="KAUNAS_ST_MSW_BP"/>
    <x v="0"/>
    <x v="12"/>
    <n v="68.000226667422197"/>
    <n v="24820.082733609099"/>
    <n v="89352.297840992804"/>
  </r>
  <r>
    <x v="0"/>
    <x v="0"/>
    <x v="0"/>
    <x v="5"/>
    <x v="9"/>
    <s v="LT_KauU"/>
    <x v="2"/>
    <s v="KAUNAS_ST_MSW_BP"/>
    <x v="0"/>
    <x v="13"/>
    <n v="68.000226667422197"/>
    <n v="24820.082733609099"/>
    <n v="89352.297840992804"/>
  </r>
  <r>
    <x v="0"/>
    <x v="0"/>
    <x v="0"/>
    <x v="5"/>
    <x v="9"/>
    <s v="LT_KauU"/>
    <x v="2"/>
    <s v="KAUNAS_ST_MSW_BP"/>
    <x v="0"/>
    <x v="14"/>
    <n v="68.000226667422197"/>
    <n v="24820.082733609099"/>
    <n v="89352.297840992804"/>
  </r>
  <r>
    <x v="0"/>
    <x v="0"/>
    <x v="0"/>
    <x v="5"/>
    <x v="9"/>
    <s v="LT_KauU"/>
    <x v="2"/>
    <s v="KAUNAS_ST_MSW_BP"/>
    <x v="0"/>
    <x v="15"/>
    <n v="68.000226667422197"/>
    <n v="24820.082733609099"/>
    <n v="89352.297840992804"/>
  </r>
  <r>
    <x v="0"/>
    <x v="0"/>
    <x v="0"/>
    <x v="5"/>
    <x v="9"/>
    <s v="LT_KauU"/>
    <x v="2"/>
    <s v="KAUNAS_ST_MSW_BP"/>
    <x v="0"/>
    <x v="4"/>
    <n v="68.000226667422197"/>
    <n v="24820.082733609099"/>
    <n v="89352.297840992804"/>
  </r>
  <r>
    <x v="0"/>
    <x v="0"/>
    <x v="0"/>
    <x v="5"/>
    <x v="9"/>
    <s v="LT_KauU"/>
    <x v="2"/>
    <s v="KAUNAS_ST_MSW_BP"/>
    <x v="0"/>
    <x v="16"/>
    <n v="68.000226667422197"/>
    <n v="24820.082733609099"/>
    <n v="89352.297840992804"/>
  </r>
  <r>
    <x v="0"/>
    <x v="0"/>
    <x v="0"/>
    <x v="5"/>
    <x v="9"/>
    <s v="LT_KauU"/>
    <x v="2"/>
    <s v="KAUNAS_ST_MSW_BP"/>
    <x v="0"/>
    <x v="5"/>
    <n v="68.000226667422197"/>
    <n v="24820.082733609099"/>
    <n v="89352.297840992804"/>
  </r>
  <r>
    <x v="0"/>
    <x v="0"/>
    <x v="0"/>
    <x v="5"/>
    <x v="9"/>
    <s v="LT_KauU"/>
    <x v="2"/>
    <s v="KAUNAS_ST_MSW_BP"/>
    <x v="0"/>
    <x v="17"/>
    <n v="68.000226667422197"/>
    <n v="24820.082733609099"/>
    <n v="89352.297840992804"/>
  </r>
  <r>
    <x v="0"/>
    <x v="0"/>
    <x v="0"/>
    <x v="5"/>
    <x v="9"/>
    <s v="LT_KauU"/>
    <x v="2"/>
    <s v="KAUNAS_ST_MSW_BP"/>
    <x v="0"/>
    <x v="18"/>
    <n v="68.000226667422197"/>
    <n v="24820.082733609099"/>
    <n v="89352.297840992804"/>
  </r>
  <r>
    <x v="0"/>
    <x v="0"/>
    <x v="0"/>
    <x v="5"/>
    <x v="9"/>
    <s v="LT_KauU"/>
    <x v="2"/>
    <s v="KAUNAS_ST_MSW_BP"/>
    <x v="0"/>
    <x v="19"/>
    <n v="68.000226667422197"/>
    <n v="24820.082733609099"/>
    <n v="89352.297840992804"/>
  </r>
  <r>
    <x v="0"/>
    <x v="0"/>
    <x v="0"/>
    <x v="5"/>
    <x v="9"/>
    <s v="LT_KauU"/>
    <x v="2"/>
    <s v="KAUNAS_ST_MSW_BP"/>
    <x v="0"/>
    <x v="20"/>
    <n v="68.000226667422197"/>
    <n v="24820.082733609099"/>
    <n v="89352.297840992804"/>
  </r>
  <r>
    <x v="0"/>
    <x v="0"/>
    <x v="0"/>
    <x v="5"/>
    <x v="9"/>
    <s v="LT_KauU"/>
    <x v="2"/>
    <s v="KAUNAS_ST_MSW_BP"/>
    <x v="0"/>
    <x v="21"/>
    <n v="68.000226667422197"/>
    <n v="24820.082733609099"/>
    <n v="89352.297840992804"/>
  </r>
  <r>
    <x v="0"/>
    <x v="0"/>
    <x v="0"/>
    <x v="5"/>
    <x v="9"/>
    <s v="LT_KauU"/>
    <x v="2"/>
    <s v="KAUNAS_ST_MSW_BP"/>
    <x v="0"/>
    <x v="22"/>
    <n v="68.000226667422197"/>
    <n v="24820.082733609099"/>
    <n v="89352.297840992804"/>
  </r>
  <r>
    <x v="0"/>
    <x v="0"/>
    <x v="0"/>
    <x v="5"/>
    <x v="9"/>
    <s v="LT_KauU"/>
    <x v="2"/>
    <s v="KAUNAS_ST_MSW_BP"/>
    <x v="0"/>
    <x v="23"/>
    <n v="68.000226667422197"/>
    <n v="24820.082733609099"/>
    <n v="89352.297840992804"/>
  </r>
  <r>
    <x v="0"/>
    <x v="0"/>
    <x v="0"/>
    <x v="5"/>
    <x v="9"/>
    <s v="LT_Other_DH"/>
    <x v="1"/>
    <s v="LIFOSA_ST_HEAT_BP"/>
    <x v="0"/>
    <x v="6"/>
    <n v="50"/>
    <n v="18250"/>
    <n v="65700"/>
  </r>
  <r>
    <x v="0"/>
    <x v="0"/>
    <x v="0"/>
    <x v="5"/>
    <x v="9"/>
    <s v="LT_Other_DH"/>
    <x v="1"/>
    <s v="LIFOSA_ST_HEAT_BP"/>
    <x v="0"/>
    <x v="7"/>
    <n v="50"/>
    <n v="18250"/>
    <n v="65700"/>
  </r>
  <r>
    <x v="0"/>
    <x v="0"/>
    <x v="0"/>
    <x v="5"/>
    <x v="9"/>
    <s v="LT_Other_DH"/>
    <x v="1"/>
    <s v="LIFOSA_ST_HEAT_BP"/>
    <x v="0"/>
    <x v="8"/>
    <n v="50"/>
    <n v="18250"/>
    <n v="65700"/>
  </r>
  <r>
    <x v="0"/>
    <x v="0"/>
    <x v="0"/>
    <x v="5"/>
    <x v="9"/>
    <s v="LT_Other_DH"/>
    <x v="1"/>
    <s v="LIFOSA_ST_HEAT_BP"/>
    <x v="0"/>
    <x v="9"/>
    <n v="50"/>
    <n v="18250"/>
    <n v="65700"/>
  </r>
  <r>
    <x v="0"/>
    <x v="0"/>
    <x v="0"/>
    <x v="5"/>
    <x v="9"/>
    <s v="LT_Other_DH"/>
    <x v="1"/>
    <s v="LIFOSA_ST_HEAT_BP"/>
    <x v="0"/>
    <x v="10"/>
    <n v="50"/>
    <n v="18250"/>
    <n v="65700"/>
  </r>
  <r>
    <x v="0"/>
    <x v="0"/>
    <x v="0"/>
    <x v="5"/>
    <x v="9"/>
    <s v="LT_Other_DH"/>
    <x v="1"/>
    <s v="LIFOSA_ST_HEAT_BP"/>
    <x v="0"/>
    <x v="11"/>
    <n v="50"/>
    <n v="18250"/>
    <n v="65700"/>
  </r>
  <r>
    <x v="0"/>
    <x v="0"/>
    <x v="0"/>
    <x v="5"/>
    <x v="9"/>
    <s v="LT_Other_DH"/>
    <x v="1"/>
    <s v="LIFOSA_ST_HEAT_BP"/>
    <x v="0"/>
    <x v="0"/>
    <n v="50"/>
    <n v="18250"/>
    <n v="65700"/>
  </r>
  <r>
    <x v="0"/>
    <x v="0"/>
    <x v="0"/>
    <x v="5"/>
    <x v="9"/>
    <s v="LT_Other_DH"/>
    <x v="1"/>
    <s v="LIFOSA_ST_HEAT_BP"/>
    <x v="0"/>
    <x v="1"/>
    <n v="50"/>
    <n v="18250"/>
    <n v="65700"/>
  </r>
  <r>
    <x v="0"/>
    <x v="0"/>
    <x v="0"/>
    <x v="5"/>
    <x v="9"/>
    <s v="LT_Other_DH"/>
    <x v="1"/>
    <s v="LIFOSA_ST_HEAT_BP"/>
    <x v="0"/>
    <x v="2"/>
    <n v="50"/>
    <n v="18250"/>
    <n v="65700"/>
  </r>
  <r>
    <x v="0"/>
    <x v="0"/>
    <x v="0"/>
    <x v="5"/>
    <x v="9"/>
    <s v="LT_Other_DH"/>
    <x v="1"/>
    <s v="LIFOSA_ST_HEAT_BP"/>
    <x v="0"/>
    <x v="3"/>
    <n v="50"/>
    <n v="18250"/>
    <n v="65700"/>
  </r>
  <r>
    <x v="0"/>
    <x v="0"/>
    <x v="0"/>
    <x v="5"/>
    <x v="9"/>
    <s v="LT_Other_DH"/>
    <x v="1"/>
    <s v="LIFOSA_ST_HEAT_BP"/>
    <x v="0"/>
    <x v="12"/>
    <n v="50"/>
    <n v="18250"/>
    <n v="65700"/>
  </r>
  <r>
    <x v="0"/>
    <x v="0"/>
    <x v="0"/>
    <x v="5"/>
    <x v="9"/>
    <s v="LT_Other_DH"/>
    <x v="1"/>
    <s v="LIFOSA_ST_HEAT_BP"/>
    <x v="0"/>
    <x v="13"/>
    <n v="50"/>
    <n v="18250"/>
    <n v="65700"/>
  </r>
  <r>
    <x v="0"/>
    <x v="0"/>
    <x v="0"/>
    <x v="5"/>
    <x v="9"/>
    <s v="LT_Other_DH"/>
    <x v="1"/>
    <s v="LIFOSA_ST_HEAT_BP"/>
    <x v="0"/>
    <x v="14"/>
    <n v="50"/>
    <n v="18250"/>
    <n v="65700"/>
  </r>
  <r>
    <x v="0"/>
    <x v="0"/>
    <x v="0"/>
    <x v="5"/>
    <x v="9"/>
    <s v="LT_Other_DH"/>
    <x v="1"/>
    <s v="LIFOSA_ST_HEAT_BP"/>
    <x v="0"/>
    <x v="15"/>
    <n v="50"/>
    <n v="18250"/>
    <n v="65700"/>
  </r>
  <r>
    <x v="0"/>
    <x v="0"/>
    <x v="0"/>
    <x v="5"/>
    <x v="9"/>
    <s v="LT_Other_DH"/>
    <x v="1"/>
    <s v="LIFOSA_ST_HEAT_BP"/>
    <x v="0"/>
    <x v="4"/>
    <n v="50"/>
    <n v="18250"/>
    <n v="65700"/>
  </r>
  <r>
    <x v="0"/>
    <x v="0"/>
    <x v="0"/>
    <x v="5"/>
    <x v="9"/>
    <s v="LT_Other_DH"/>
    <x v="1"/>
    <s v="LIFOSA_ST_HEAT_BP"/>
    <x v="0"/>
    <x v="16"/>
    <n v="50"/>
    <n v="18250"/>
    <n v="65700"/>
  </r>
  <r>
    <x v="0"/>
    <x v="0"/>
    <x v="0"/>
    <x v="5"/>
    <x v="9"/>
    <s v="LT_Other_DH"/>
    <x v="1"/>
    <s v="LIFOSA_ST_HEAT_BP"/>
    <x v="0"/>
    <x v="5"/>
    <n v="50"/>
    <n v="18250"/>
    <n v="65700"/>
  </r>
  <r>
    <x v="0"/>
    <x v="0"/>
    <x v="0"/>
    <x v="5"/>
    <x v="9"/>
    <s v="LT_Other_DH"/>
    <x v="1"/>
    <s v="LIFOSA_ST_HEAT_BP"/>
    <x v="0"/>
    <x v="17"/>
    <n v="50"/>
    <n v="18250"/>
    <n v="65700"/>
  </r>
  <r>
    <x v="0"/>
    <x v="0"/>
    <x v="0"/>
    <x v="5"/>
    <x v="9"/>
    <s v="LT_Other_DH"/>
    <x v="1"/>
    <s v="LIFOSA_ST_HEAT_BP"/>
    <x v="0"/>
    <x v="18"/>
    <n v="50"/>
    <n v="18250"/>
    <n v="65700"/>
  </r>
  <r>
    <x v="0"/>
    <x v="0"/>
    <x v="0"/>
    <x v="5"/>
    <x v="9"/>
    <s v="LT_Other_DH"/>
    <x v="1"/>
    <s v="LIFOSA_ST_HEAT_BP"/>
    <x v="0"/>
    <x v="19"/>
    <n v="50"/>
    <n v="18250"/>
    <n v="65700"/>
  </r>
  <r>
    <x v="0"/>
    <x v="0"/>
    <x v="0"/>
    <x v="5"/>
    <x v="9"/>
    <s v="LT_Other_DH"/>
    <x v="1"/>
    <s v="LIFOSA_ST_HEAT_BP"/>
    <x v="0"/>
    <x v="20"/>
    <n v="50"/>
    <n v="18250"/>
    <n v="65700"/>
  </r>
  <r>
    <x v="0"/>
    <x v="0"/>
    <x v="0"/>
    <x v="5"/>
    <x v="9"/>
    <s v="LT_Other_DH"/>
    <x v="1"/>
    <s v="LIFOSA_ST_HEAT_BP"/>
    <x v="0"/>
    <x v="21"/>
    <n v="50"/>
    <n v="18250"/>
    <n v="65700"/>
  </r>
  <r>
    <x v="0"/>
    <x v="0"/>
    <x v="0"/>
    <x v="5"/>
    <x v="9"/>
    <s v="LT_Other_DH"/>
    <x v="1"/>
    <s v="LIFOSA_ST_HEAT_BP"/>
    <x v="0"/>
    <x v="22"/>
    <n v="50"/>
    <n v="18250"/>
    <n v="65700"/>
  </r>
  <r>
    <x v="0"/>
    <x v="0"/>
    <x v="0"/>
    <x v="5"/>
    <x v="9"/>
    <s v="LT_Other_DH"/>
    <x v="1"/>
    <s v="LIFOSA_ST_HEAT_BP"/>
    <x v="0"/>
    <x v="23"/>
    <n v="50"/>
    <n v="18250"/>
    <n v="65700"/>
  </r>
  <r>
    <x v="0"/>
    <x v="0"/>
    <x v="0"/>
    <x v="5"/>
    <x v="9"/>
    <s v="LT_Other_DH"/>
    <x v="3"/>
    <s v="ALYTUS_ENG_NGAS_BP"/>
    <x v="0"/>
    <x v="2"/>
    <n v="30.6666666666667"/>
    <n v="11193.333333333299"/>
    <n v="40296"/>
  </r>
  <r>
    <x v="0"/>
    <x v="0"/>
    <x v="0"/>
    <x v="5"/>
    <x v="9"/>
    <s v="LT_Other_DH"/>
    <x v="3"/>
    <s v="ALYTUS_ENG_NGAS_BP"/>
    <x v="0"/>
    <x v="3"/>
    <n v="30.6666666666667"/>
    <n v="11193.333333333299"/>
    <n v="40296"/>
  </r>
  <r>
    <x v="0"/>
    <x v="0"/>
    <x v="0"/>
    <x v="5"/>
    <x v="9"/>
    <s v="LT_Other_DH"/>
    <x v="3"/>
    <s v="ALYTUS_ENG_NGAS_BP"/>
    <x v="0"/>
    <x v="12"/>
    <n v="30.6666666666667"/>
    <n v="11193.333333333299"/>
    <n v="40296"/>
  </r>
  <r>
    <x v="0"/>
    <x v="0"/>
    <x v="0"/>
    <x v="5"/>
    <x v="9"/>
    <s v="LT_Other_DH"/>
    <x v="8"/>
    <s v="EBAVERE_ST_WOODWST_BP"/>
    <x v="0"/>
    <x v="6"/>
    <n v="27.3684210526316"/>
    <n v="9989.4736842105303"/>
    <n v="35962.1052631579"/>
  </r>
  <r>
    <x v="0"/>
    <x v="0"/>
    <x v="0"/>
    <x v="5"/>
    <x v="9"/>
    <s v="LT_Other_DH"/>
    <x v="8"/>
    <s v="EBAVERE_ST_WOODWST_BP"/>
    <x v="0"/>
    <x v="7"/>
    <n v="27.3684210526316"/>
    <n v="9989.4736842105303"/>
    <n v="35962.1052631579"/>
  </r>
  <r>
    <x v="0"/>
    <x v="0"/>
    <x v="0"/>
    <x v="5"/>
    <x v="9"/>
    <s v="LT_Other_DH"/>
    <x v="8"/>
    <s v="EBAVERE_ST_WOODWST_BP"/>
    <x v="0"/>
    <x v="8"/>
    <n v="27.3684210526316"/>
    <n v="9989.4736842105303"/>
    <n v="35962.1052631579"/>
  </r>
  <r>
    <x v="0"/>
    <x v="0"/>
    <x v="0"/>
    <x v="5"/>
    <x v="9"/>
    <s v="LT_Other_DH"/>
    <x v="8"/>
    <s v="EBAVERE_ST_WOODWST_BP"/>
    <x v="0"/>
    <x v="9"/>
    <n v="27.3684210526316"/>
    <n v="9989.4736842105303"/>
    <n v="35962.1052631579"/>
  </r>
  <r>
    <x v="0"/>
    <x v="0"/>
    <x v="0"/>
    <x v="5"/>
    <x v="9"/>
    <s v="LT_Other_DH"/>
    <x v="8"/>
    <s v="EBAVERE_ST_WOODWST_BP"/>
    <x v="0"/>
    <x v="10"/>
    <n v="27.3684210526316"/>
    <n v="9989.4736842105303"/>
    <n v="35962.1052631579"/>
  </r>
  <r>
    <x v="0"/>
    <x v="0"/>
    <x v="0"/>
    <x v="5"/>
    <x v="9"/>
    <s v="LT_Other_DH"/>
    <x v="8"/>
    <s v="EBAVERE_ST_WOODWST_BP"/>
    <x v="0"/>
    <x v="11"/>
    <n v="27.3684210526316"/>
    <n v="9989.4736842105303"/>
    <n v="35962.1052631579"/>
  </r>
  <r>
    <x v="0"/>
    <x v="0"/>
    <x v="0"/>
    <x v="5"/>
    <x v="9"/>
    <s v="LT_Other_DH"/>
    <x v="8"/>
    <s v="EBAVERE_ST_WOODWST_BP"/>
    <x v="0"/>
    <x v="0"/>
    <n v="27.3684210526316"/>
    <n v="9989.4736842105303"/>
    <n v="35962.1052631579"/>
  </r>
  <r>
    <x v="0"/>
    <x v="0"/>
    <x v="0"/>
    <x v="5"/>
    <x v="9"/>
    <s v="LT_Other_DH"/>
    <x v="8"/>
    <s v="EBAVERE_ST_WOODWST_BP"/>
    <x v="0"/>
    <x v="1"/>
    <n v="27.3684210526316"/>
    <n v="9989.4736842105303"/>
    <n v="35962.1052631579"/>
  </r>
  <r>
    <x v="0"/>
    <x v="0"/>
    <x v="0"/>
    <x v="5"/>
    <x v="9"/>
    <s v="LT_Other_DH"/>
    <x v="8"/>
    <s v="EBAVERE_ST_WOODWST_BP"/>
    <x v="0"/>
    <x v="2"/>
    <n v="27.3684210526316"/>
    <n v="9989.4736842105303"/>
    <n v="35962.1052631579"/>
  </r>
  <r>
    <x v="0"/>
    <x v="0"/>
    <x v="0"/>
    <x v="5"/>
    <x v="9"/>
    <s v="LT_Other_DH"/>
    <x v="8"/>
    <s v="EBAVERE_ST_WOODWST_BP"/>
    <x v="0"/>
    <x v="3"/>
    <n v="27.3684210526316"/>
    <n v="9989.4736842105303"/>
    <n v="35962.1052631579"/>
  </r>
  <r>
    <x v="0"/>
    <x v="0"/>
    <x v="0"/>
    <x v="5"/>
    <x v="9"/>
    <s v="LT_Other_DH"/>
    <x v="8"/>
    <s v="EBAVERE_ST_WOODWST_BP"/>
    <x v="0"/>
    <x v="12"/>
    <n v="27.3684210526316"/>
    <n v="9989.4736842105303"/>
    <n v="35962.1052631579"/>
  </r>
  <r>
    <x v="0"/>
    <x v="0"/>
    <x v="0"/>
    <x v="5"/>
    <x v="9"/>
    <s v="LT_Other_DH"/>
    <x v="8"/>
    <s v="EBAVERE_ST_WOODWST_BP"/>
    <x v="0"/>
    <x v="13"/>
    <n v="27.3684210526316"/>
    <n v="9989.4736842105303"/>
    <n v="35962.1052631579"/>
  </r>
  <r>
    <x v="0"/>
    <x v="0"/>
    <x v="0"/>
    <x v="5"/>
    <x v="9"/>
    <s v="LT_Other_DH"/>
    <x v="8"/>
    <s v="EBAVERE_ST_WOODWST_BP"/>
    <x v="0"/>
    <x v="14"/>
    <n v="27.3684210526316"/>
    <n v="9989.4736842105303"/>
    <n v="35962.1052631579"/>
  </r>
  <r>
    <x v="0"/>
    <x v="0"/>
    <x v="0"/>
    <x v="5"/>
    <x v="9"/>
    <s v="LT_Other_DH"/>
    <x v="8"/>
    <s v="EBAVERE_ST_WOODWST_BP"/>
    <x v="0"/>
    <x v="15"/>
    <n v="27.3684210526316"/>
    <n v="9989.4736842105303"/>
    <n v="35962.1052631579"/>
  </r>
  <r>
    <x v="0"/>
    <x v="0"/>
    <x v="0"/>
    <x v="5"/>
    <x v="9"/>
    <s v="LT_Other_DH"/>
    <x v="8"/>
    <s v="EBAVERE_ST_WOODWST_BP"/>
    <x v="0"/>
    <x v="4"/>
    <n v="27.3684210526316"/>
    <n v="9989.4736842105303"/>
    <n v="35962.1052631579"/>
  </r>
  <r>
    <x v="0"/>
    <x v="0"/>
    <x v="0"/>
    <x v="5"/>
    <x v="9"/>
    <s v="LT_Other_DH"/>
    <x v="8"/>
    <s v="EBAVERE_ST_WOODWST_BP"/>
    <x v="0"/>
    <x v="16"/>
    <n v="27.3684210526316"/>
    <n v="9989.4736842105303"/>
    <n v="35962.1052631579"/>
  </r>
  <r>
    <x v="0"/>
    <x v="0"/>
    <x v="0"/>
    <x v="5"/>
    <x v="9"/>
    <s v="LT_Other_DH"/>
    <x v="8"/>
    <s v="EBAVERE_ST_WOODWST_BP"/>
    <x v="0"/>
    <x v="5"/>
    <n v="27.3684210526316"/>
    <n v="9989.4736842105303"/>
    <n v="35962.1052631579"/>
  </r>
  <r>
    <x v="0"/>
    <x v="0"/>
    <x v="0"/>
    <x v="5"/>
    <x v="9"/>
    <s v="LT_Other_DH"/>
    <x v="8"/>
    <s v="EBAVERE_ST_WOODWST_BP"/>
    <x v="0"/>
    <x v="17"/>
    <n v="27.3684210526316"/>
    <n v="9989.4736842105303"/>
    <n v="35962.1052631579"/>
  </r>
  <r>
    <x v="0"/>
    <x v="0"/>
    <x v="0"/>
    <x v="5"/>
    <x v="9"/>
    <s v="LT_Other_DH"/>
    <x v="8"/>
    <s v="EBAVERE_ST_WOODWST_BP"/>
    <x v="0"/>
    <x v="18"/>
    <n v="27.3684210526316"/>
    <n v="9989.4736842105303"/>
    <n v="35962.1052631579"/>
  </r>
  <r>
    <x v="0"/>
    <x v="0"/>
    <x v="0"/>
    <x v="5"/>
    <x v="9"/>
    <s v="LT_Other_DH"/>
    <x v="8"/>
    <s v="EBAVERE_ST_WOODWST_BP"/>
    <x v="0"/>
    <x v="19"/>
    <n v="27.3684210526316"/>
    <n v="9989.4736842105303"/>
    <n v="35962.1052631579"/>
  </r>
  <r>
    <x v="0"/>
    <x v="0"/>
    <x v="0"/>
    <x v="5"/>
    <x v="9"/>
    <s v="LT_Other_DH"/>
    <x v="8"/>
    <s v="EBAVERE_ST_WOODWST_BP"/>
    <x v="0"/>
    <x v="20"/>
    <n v="27.3684210526316"/>
    <n v="9989.4736842105303"/>
    <n v="35962.1052631579"/>
  </r>
  <r>
    <x v="0"/>
    <x v="0"/>
    <x v="0"/>
    <x v="5"/>
    <x v="9"/>
    <s v="LT_Other_DH"/>
    <x v="8"/>
    <s v="EBAVERE_ST_WOODWST_BP"/>
    <x v="0"/>
    <x v="21"/>
    <n v="27.3684210526316"/>
    <n v="9989.4736842105303"/>
    <n v="35962.1052631579"/>
  </r>
  <r>
    <x v="0"/>
    <x v="0"/>
    <x v="0"/>
    <x v="5"/>
    <x v="9"/>
    <s v="LT_Other_DH"/>
    <x v="8"/>
    <s v="EBAVERE_ST_WOODWST_BP"/>
    <x v="0"/>
    <x v="22"/>
    <n v="27.3684210526316"/>
    <n v="9989.4736842105303"/>
    <n v="35962.1052631579"/>
  </r>
  <r>
    <x v="0"/>
    <x v="0"/>
    <x v="0"/>
    <x v="5"/>
    <x v="9"/>
    <s v="LT_Other_DH"/>
    <x v="8"/>
    <s v="EBAVERE_ST_WOODWST_BP"/>
    <x v="0"/>
    <x v="23"/>
    <n v="27.3684210526316"/>
    <n v="9989.4736842105303"/>
    <n v="35962.1052631579"/>
  </r>
  <r>
    <x v="0"/>
    <x v="0"/>
    <x v="0"/>
    <x v="5"/>
    <x v="9"/>
    <s v="LT_Panevezys"/>
    <x v="3"/>
    <s v="GNR_CC_NGAS_BP_E-42"/>
    <x v="0"/>
    <x v="6"/>
    <n v="35"/>
    <n v="12775"/>
    <n v="45990"/>
  </r>
  <r>
    <x v="0"/>
    <x v="0"/>
    <x v="0"/>
    <x v="5"/>
    <x v="9"/>
    <s v="LT_Panevezys"/>
    <x v="3"/>
    <s v="GNR_CC_NGAS_BP_E-42"/>
    <x v="0"/>
    <x v="7"/>
    <n v="35"/>
    <n v="12775"/>
    <n v="45990"/>
  </r>
  <r>
    <x v="0"/>
    <x v="0"/>
    <x v="0"/>
    <x v="5"/>
    <x v="9"/>
    <s v="LT_Panevezys"/>
    <x v="3"/>
    <s v="GNR_CC_NGAS_BP_E-42"/>
    <x v="0"/>
    <x v="8"/>
    <n v="35"/>
    <n v="12775"/>
    <n v="45990"/>
  </r>
  <r>
    <x v="0"/>
    <x v="0"/>
    <x v="0"/>
    <x v="5"/>
    <x v="9"/>
    <s v="LT_Panevezys"/>
    <x v="3"/>
    <s v="GNR_CC_NGAS_BP_E-42"/>
    <x v="0"/>
    <x v="9"/>
    <n v="35"/>
    <n v="12775"/>
    <n v="45990"/>
  </r>
  <r>
    <x v="0"/>
    <x v="0"/>
    <x v="0"/>
    <x v="5"/>
    <x v="9"/>
    <s v="LT_Panevezys"/>
    <x v="3"/>
    <s v="GNR_CC_NGAS_BP_E-42"/>
    <x v="0"/>
    <x v="10"/>
    <n v="35"/>
    <n v="12775"/>
    <n v="45990"/>
  </r>
  <r>
    <x v="0"/>
    <x v="0"/>
    <x v="0"/>
    <x v="5"/>
    <x v="9"/>
    <s v="LT_Panevezys"/>
    <x v="3"/>
    <s v="GNR_CC_NGAS_BP_E-42"/>
    <x v="0"/>
    <x v="11"/>
    <n v="35"/>
    <n v="12775"/>
    <n v="45990"/>
  </r>
  <r>
    <x v="0"/>
    <x v="0"/>
    <x v="0"/>
    <x v="5"/>
    <x v="9"/>
    <s v="LT_Panevezys"/>
    <x v="3"/>
    <s v="GNR_CC_NGAS_BP_E-42"/>
    <x v="0"/>
    <x v="0"/>
    <n v="35"/>
    <n v="12775"/>
    <n v="45990"/>
  </r>
  <r>
    <x v="0"/>
    <x v="0"/>
    <x v="0"/>
    <x v="5"/>
    <x v="9"/>
    <s v="LT_Panevezys"/>
    <x v="3"/>
    <s v="GNR_CC_NGAS_BP_E-42"/>
    <x v="0"/>
    <x v="1"/>
    <n v="35"/>
    <n v="12775"/>
    <n v="45990"/>
  </r>
  <r>
    <x v="0"/>
    <x v="0"/>
    <x v="0"/>
    <x v="5"/>
    <x v="9"/>
    <s v="LT_Panevezys"/>
    <x v="3"/>
    <s v="GNR_CC_NGAS_BP_E-42"/>
    <x v="0"/>
    <x v="2"/>
    <n v="35"/>
    <n v="12775"/>
    <n v="45990"/>
  </r>
  <r>
    <x v="0"/>
    <x v="0"/>
    <x v="0"/>
    <x v="5"/>
    <x v="9"/>
    <s v="LT_Panevezys"/>
    <x v="3"/>
    <s v="GNR_CC_NGAS_BP_E-42"/>
    <x v="0"/>
    <x v="3"/>
    <n v="35"/>
    <n v="12775"/>
    <n v="45990"/>
  </r>
  <r>
    <x v="0"/>
    <x v="0"/>
    <x v="0"/>
    <x v="5"/>
    <x v="9"/>
    <s v="LT_Panevezys"/>
    <x v="3"/>
    <s v="GNR_CC_NGAS_BP_E-42"/>
    <x v="0"/>
    <x v="12"/>
    <n v="35"/>
    <n v="12775"/>
    <n v="45990"/>
  </r>
  <r>
    <x v="0"/>
    <x v="0"/>
    <x v="0"/>
    <x v="5"/>
    <x v="9"/>
    <s v="LT_Panevezys"/>
    <x v="3"/>
    <s v="GNR_CC_NGAS_BP_E-42"/>
    <x v="0"/>
    <x v="13"/>
    <n v="35"/>
    <n v="12775"/>
    <n v="45990"/>
  </r>
  <r>
    <x v="0"/>
    <x v="0"/>
    <x v="0"/>
    <x v="5"/>
    <x v="9"/>
    <s v="LT_Panevezys"/>
    <x v="3"/>
    <s v="GNR_CC_NGAS_BP_E-42"/>
    <x v="0"/>
    <x v="14"/>
    <n v="35"/>
    <n v="12775"/>
    <n v="45990"/>
  </r>
  <r>
    <x v="0"/>
    <x v="0"/>
    <x v="0"/>
    <x v="5"/>
    <x v="9"/>
    <s v="LT_Panevezys"/>
    <x v="3"/>
    <s v="GNR_CC_NGAS_BP_E-42"/>
    <x v="0"/>
    <x v="15"/>
    <n v="35"/>
    <n v="12775"/>
    <n v="45990"/>
  </r>
  <r>
    <x v="0"/>
    <x v="0"/>
    <x v="0"/>
    <x v="5"/>
    <x v="9"/>
    <s v="LT_Panevezys"/>
    <x v="3"/>
    <s v="GNR_CC_NGAS_BP_E-42"/>
    <x v="0"/>
    <x v="4"/>
    <n v="35"/>
    <n v="12775"/>
    <n v="45990"/>
  </r>
  <r>
    <x v="0"/>
    <x v="0"/>
    <x v="0"/>
    <x v="5"/>
    <x v="9"/>
    <s v="LT_Panevezys"/>
    <x v="3"/>
    <s v="GNR_CC_NGAS_BP_E-42"/>
    <x v="0"/>
    <x v="16"/>
    <n v="35"/>
    <n v="12775"/>
    <n v="45990"/>
  </r>
  <r>
    <x v="0"/>
    <x v="0"/>
    <x v="0"/>
    <x v="5"/>
    <x v="9"/>
    <s v="LT_Panevezys"/>
    <x v="3"/>
    <s v="GNR_CC_NGAS_BP_E-42"/>
    <x v="0"/>
    <x v="5"/>
    <n v="35"/>
    <n v="12775"/>
    <n v="45990"/>
  </r>
  <r>
    <x v="0"/>
    <x v="0"/>
    <x v="0"/>
    <x v="5"/>
    <x v="9"/>
    <s v="LT_Panevezys"/>
    <x v="3"/>
    <s v="GNR_CC_NGAS_BP_E-42"/>
    <x v="0"/>
    <x v="17"/>
    <n v="35"/>
    <n v="12775"/>
    <n v="45990"/>
  </r>
  <r>
    <x v="0"/>
    <x v="0"/>
    <x v="0"/>
    <x v="5"/>
    <x v="9"/>
    <s v="LT_Panevezys"/>
    <x v="3"/>
    <s v="GNR_CC_NGAS_BP_E-42"/>
    <x v="0"/>
    <x v="18"/>
    <n v="35"/>
    <n v="12775"/>
    <n v="45990"/>
  </r>
  <r>
    <x v="0"/>
    <x v="0"/>
    <x v="0"/>
    <x v="5"/>
    <x v="9"/>
    <s v="LT_Panevezys"/>
    <x v="3"/>
    <s v="GNR_CC_NGAS_BP_E-42"/>
    <x v="0"/>
    <x v="19"/>
    <n v="35"/>
    <n v="12775"/>
    <n v="45990"/>
  </r>
  <r>
    <x v="0"/>
    <x v="0"/>
    <x v="0"/>
    <x v="5"/>
    <x v="9"/>
    <s v="LT_Panevezys"/>
    <x v="3"/>
    <s v="GNR_CC_NGAS_BP_E-42"/>
    <x v="0"/>
    <x v="20"/>
    <n v="35"/>
    <n v="12775"/>
    <n v="45990"/>
  </r>
  <r>
    <x v="0"/>
    <x v="0"/>
    <x v="0"/>
    <x v="5"/>
    <x v="9"/>
    <s v="LT_Panevezys"/>
    <x v="3"/>
    <s v="GNR_CC_NGAS_BP_E-42"/>
    <x v="0"/>
    <x v="21"/>
    <n v="35"/>
    <n v="12775"/>
    <n v="45990"/>
  </r>
  <r>
    <x v="0"/>
    <x v="0"/>
    <x v="0"/>
    <x v="5"/>
    <x v="9"/>
    <s v="LT_Panevezys"/>
    <x v="3"/>
    <s v="GNR_CC_NGAS_BP_E-42"/>
    <x v="0"/>
    <x v="22"/>
    <n v="35"/>
    <n v="12775"/>
    <n v="45990"/>
  </r>
  <r>
    <x v="0"/>
    <x v="0"/>
    <x v="0"/>
    <x v="5"/>
    <x v="9"/>
    <s v="LT_Panevezys"/>
    <x v="3"/>
    <s v="GNR_CC_NGAS_BP_E-42"/>
    <x v="0"/>
    <x v="23"/>
    <n v="35"/>
    <n v="12775"/>
    <n v="45990"/>
  </r>
  <r>
    <x v="0"/>
    <x v="0"/>
    <x v="0"/>
    <x v="5"/>
    <x v="9"/>
    <s v="LT_SiaU"/>
    <x v="10"/>
    <s v="SIAULIAI_ST_WOOD_BP"/>
    <x v="0"/>
    <x v="0"/>
    <n v="37.241379310344797"/>
    <n v="13593.103448275901"/>
    <n v="48935.172413793101"/>
  </r>
  <r>
    <x v="0"/>
    <x v="0"/>
    <x v="0"/>
    <x v="5"/>
    <x v="9"/>
    <s v="LT_SiaU"/>
    <x v="10"/>
    <s v="SIAULIAI_ST_WOOD_BP"/>
    <x v="0"/>
    <x v="1"/>
    <n v="37.241379310344797"/>
    <n v="13593.103448275901"/>
    <n v="48935.172413793101"/>
  </r>
  <r>
    <x v="0"/>
    <x v="0"/>
    <x v="0"/>
    <x v="5"/>
    <x v="9"/>
    <s v="LT_SiaU"/>
    <x v="10"/>
    <s v="SIAULIAI_ST_WOOD_BP"/>
    <x v="0"/>
    <x v="2"/>
    <n v="37.241379310344797"/>
    <n v="13593.103448275901"/>
    <n v="48935.172413793101"/>
  </r>
  <r>
    <x v="0"/>
    <x v="0"/>
    <x v="0"/>
    <x v="5"/>
    <x v="9"/>
    <s v="LT_SiaU"/>
    <x v="10"/>
    <s v="SIAULIAI_ST_WOOD_BP"/>
    <x v="0"/>
    <x v="3"/>
    <n v="37.241379310344797"/>
    <n v="13593.103448275901"/>
    <n v="48935.172413793101"/>
  </r>
  <r>
    <x v="0"/>
    <x v="0"/>
    <x v="0"/>
    <x v="5"/>
    <x v="9"/>
    <s v="LT_SiaU"/>
    <x v="10"/>
    <s v="SIAULIAI_ST_WOOD_BP"/>
    <x v="0"/>
    <x v="12"/>
    <n v="37.241379310344797"/>
    <n v="13593.103448275901"/>
    <n v="48935.172413793101"/>
  </r>
  <r>
    <x v="0"/>
    <x v="0"/>
    <x v="0"/>
    <x v="5"/>
    <x v="9"/>
    <s v="LT_SiaU"/>
    <x v="10"/>
    <s v="SIAULIAI_ST_WOOD_BP"/>
    <x v="0"/>
    <x v="13"/>
    <n v="37.241379310344797"/>
    <n v="13593.103448275901"/>
    <n v="48935.172413793101"/>
  </r>
  <r>
    <x v="0"/>
    <x v="0"/>
    <x v="0"/>
    <x v="5"/>
    <x v="9"/>
    <s v="LT_SiaU"/>
    <x v="10"/>
    <s v="SIAULIAI_ST_WOOD_BP"/>
    <x v="0"/>
    <x v="14"/>
    <n v="37.241379310344797"/>
    <n v="13593.103448275901"/>
    <n v="48935.172413793101"/>
  </r>
  <r>
    <x v="0"/>
    <x v="0"/>
    <x v="0"/>
    <x v="5"/>
    <x v="9"/>
    <s v="LT_SiaU"/>
    <x v="10"/>
    <s v="SIAULIAI_ST_WOOD_BP"/>
    <x v="0"/>
    <x v="4"/>
    <n v="37.241379310344797"/>
    <n v="13593.103448275901"/>
    <n v="48935.172413793101"/>
  </r>
  <r>
    <x v="0"/>
    <x v="0"/>
    <x v="0"/>
    <x v="5"/>
    <x v="9"/>
    <s v="LT_SiaU"/>
    <x v="10"/>
    <s v="SIAULIAI_ST_WOOD_BP"/>
    <x v="0"/>
    <x v="16"/>
    <n v="37.241379310344797"/>
    <n v="13593.103448275901"/>
    <n v="48935.172413793101"/>
  </r>
  <r>
    <x v="0"/>
    <x v="0"/>
    <x v="0"/>
    <x v="5"/>
    <x v="9"/>
    <s v="LT_SiaU"/>
    <x v="10"/>
    <s v="SIAULIAI_ST_WOOD_BP"/>
    <x v="0"/>
    <x v="5"/>
    <n v="37.241379310344797"/>
    <n v="13593.103448275901"/>
    <n v="48935.172413793101"/>
  </r>
  <r>
    <x v="0"/>
    <x v="0"/>
    <x v="0"/>
    <x v="5"/>
    <x v="9"/>
    <s v="LT_SiaU"/>
    <x v="10"/>
    <s v="SIAULIAI_ST_WOOD_BP"/>
    <x v="0"/>
    <x v="17"/>
    <n v="37.241379310344797"/>
    <n v="13593.103448275901"/>
    <n v="48935.172413793101"/>
  </r>
  <r>
    <x v="0"/>
    <x v="0"/>
    <x v="0"/>
    <x v="5"/>
    <x v="9"/>
    <s v="LT_SiaU"/>
    <x v="10"/>
    <s v="SIAULIAI_ST_WOOD_BP"/>
    <x v="0"/>
    <x v="18"/>
    <n v="37.241379310344797"/>
    <n v="13593.103448275901"/>
    <n v="48935.172413793101"/>
  </r>
  <r>
    <x v="0"/>
    <x v="0"/>
    <x v="0"/>
    <x v="5"/>
    <x v="9"/>
    <s v="LT_VilU"/>
    <x v="2"/>
    <s v="VILNIUS_ST_MSW_BP"/>
    <x v="0"/>
    <x v="6"/>
    <n v="226.99795208369301"/>
    <n v="82854.252510548002"/>
    <n v="298275.309037973"/>
  </r>
  <r>
    <x v="0"/>
    <x v="0"/>
    <x v="0"/>
    <x v="5"/>
    <x v="9"/>
    <s v="LT_VilU"/>
    <x v="2"/>
    <s v="VILNIUS_ST_MSW_BP"/>
    <x v="0"/>
    <x v="7"/>
    <n v="226.99795208369301"/>
    <n v="82854.252510548002"/>
    <n v="298275.309037973"/>
  </r>
  <r>
    <x v="0"/>
    <x v="0"/>
    <x v="0"/>
    <x v="5"/>
    <x v="9"/>
    <s v="LT_VilU"/>
    <x v="2"/>
    <s v="VILNIUS_ST_MSW_BP"/>
    <x v="0"/>
    <x v="8"/>
    <n v="226.99795208369301"/>
    <n v="82854.252510548002"/>
    <n v="298275.309037973"/>
  </r>
  <r>
    <x v="0"/>
    <x v="0"/>
    <x v="0"/>
    <x v="5"/>
    <x v="9"/>
    <s v="LT_VilU"/>
    <x v="2"/>
    <s v="VILNIUS_ST_MSW_BP"/>
    <x v="0"/>
    <x v="9"/>
    <n v="226.99795208369301"/>
    <n v="82854.252510548002"/>
    <n v="298275.309037973"/>
  </r>
  <r>
    <x v="0"/>
    <x v="0"/>
    <x v="0"/>
    <x v="5"/>
    <x v="9"/>
    <s v="LT_VilU"/>
    <x v="2"/>
    <s v="VILNIUS_ST_MSW_BP"/>
    <x v="0"/>
    <x v="10"/>
    <n v="226.99795208369301"/>
    <n v="82854.252510548002"/>
    <n v="298275.309037973"/>
  </r>
  <r>
    <x v="0"/>
    <x v="0"/>
    <x v="0"/>
    <x v="5"/>
    <x v="9"/>
    <s v="LT_VilU"/>
    <x v="2"/>
    <s v="VILNIUS_ST_MSW_BP"/>
    <x v="0"/>
    <x v="11"/>
    <n v="226.99795208369301"/>
    <n v="82854.252510548002"/>
    <n v="298275.309037973"/>
  </r>
  <r>
    <x v="0"/>
    <x v="0"/>
    <x v="0"/>
    <x v="5"/>
    <x v="9"/>
    <s v="LT_VilU"/>
    <x v="2"/>
    <s v="VILNIUS_ST_MSW_BP"/>
    <x v="0"/>
    <x v="0"/>
    <n v="226.99795208369301"/>
    <n v="82854.252510548002"/>
    <n v="298275.309037973"/>
  </r>
  <r>
    <x v="0"/>
    <x v="0"/>
    <x v="0"/>
    <x v="5"/>
    <x v="9"/>
    <s v="LT_VilU"/>
    <x v="2"/>
    <s v="VILNIUS_ST_MSW_BP"/>
    <x v="0"/>
    <x v="1"/>
    <n v="226.99795208369301"/>
    <n v="82854.252510548002"/>
    <n v="298275.309037973"/>
  </r>
  <r>
    <x v="0"/>
    <x v="0"/>
    <x v="0"/>
    <x v="5"/>
    <x v="9"/>
    <s v="LT_VilU"/>
    <x v="2"/>
    <s v="VILNIUS_ST_MSW_BP"/>
    <x v="0"/>
    <x v="2"/>
    <n v="226.99795208369301"/>
    <n v="82854.252510548002"/>
    <n v="298275.309037973"/>
  </r>
  <r>
    <x v="0"/>
    <x v="0"/>
    <x v="0"/>
    <x v="5"/>
    <x v="9"/>
    <s v="LT_VilU"/>
    <x v="2"/>
    <s v="VILNIUS_ST_MSW_BP"/>
    <x v="0"/>
    <x v="3"/>
    <n v="226.99795208369301"/>
    <n v="82854.252510548002"/>
    <n v="298275.309037973"/>
  </r>
  <r>
    <x v="0"/>
    <x v="0"/>
    <x v="0"/>
    <x v="5"/>
    <x v="9"/>
    <s v="LT_VilU"/>
    <x v="2"/>
    <s v="VILNIUS_ST_MSW_BP"/>
    <x v="0"/>
    <x v="12"/>
    <n v="226.99795208369301"/>
    <n v="82854.252510548002"/>
    <n v="298275.309037973"/>
  </r>
  <r>
    <x v="0"/>
    <x v="0"/>
    <x v="0"/>
    <x v="5"/>
    <x v="9"/>
    <s v="LT_VilU"/>
    <x v="2"/>
    <s v="VILNIUS_ST_MSW_BP"/>
    <x v="0"/>
    <x v="13"/>
    <n v="226.99795208369301"/>
    <n v="82854.252510548002"/>
    <n v="298275.309037973"/>
  </r>
  <r>
    <x v="0"/>
    <x v="0"/>
    <x v="0"/>
    <x v="5"/>
    <x v="9"/>
    <s v="LT_VilU"/>
    <x v="2"/>
    <s v="VILNIUS_ST_MSW_BP"/>
    <x v="0"/>
    <x v="14"/>
    <n v="226.99795208369301"/>
    <n v="82854.252510548002"/>
    <n v="298275.309037973"/>
  </r>
  <r>
    <x v="0"/>
    <x v="0"/>
    <x v="0"/>
    <x v="5"/>
    <x v="9"/>
    <s v="LT_VilU"/>
    <x v="2"/>
    <s v="VILNIUS_ST_MSW_BP"/>
    <x v="0"/>
    <x v="15"/>
    <n v="226.99795208369301"/>
    <n v="82854.252510548002"/>
    <n v="298275.309037973"/>
  </r>
  <r>
    <x v="0"/>
    <x v="0"/>
    <x v="0"/>
    <x v="5"/>
    <x v="9"/>
    <s v="LT_VilU"/>
    <x v="2"/>
    <s v="VILNIUS_ST_MSW_BP"/>
    <x v="0"/>
    <x v="4"/>
    <n v="226.99795208369301"/>
    <n v="82854.252510548002"/>
    <n v="298275.309037973"/>
  </r>
  <r>
    <x v="0"/>
    <x v="0"/>
    <x v="0"/>
    <x v="5"/>
    <x v="9"/>
    <s v="LT_VilU"/>
    <x v="2"/>
    <s v="VILNIUS_ST_MSW_BP"/>
    <x v="0"/>
    <x v="16"/>
    <n v="226.99795208369301"/>
    <n v="82854.252510548002"/>
    <n v="298275.309037973"/>
  </r>
  <r>
    <x v="0"/>
    <x v="0"/>
    <x v="0"/>
    <x v="5"/>
    <x v="9"/>
    <s v="LT_VilU"/>
    <x v="2"/>
    <s v="VILNIUS_ST_MSW_BP"/>
    <x v="0"/>
    <x v="5"/>
    <n v="226.99795208369301"/>
    <n v="82854.252510548002"/>
    <n v="298275.309037973"/>
  </r>
  <r>
    <x v="0"/>
    <x v="0"/>
    <x v="0"/>
    <x v="5"/>
    <x v="9"/>
    <s v="LT_VilU"/>
    <x v="2"/>
    <s v="VILNIUS_ST_MSW_BP"/>
    <x v="0"/>
    <x v="17"/>
    <n v="226.99795208369301"/>
    <n v="82854.252510548002"/>
    <n v="298275.309037973"/>
  </r>
  <r>
    <x v="0"/>
    <x v="0"/>
    <x v="0"/>
    <x v="5"/>
    <x v="9"/>
    <s v="LT_VilU"/>
    <x v="2"/>
    <s v="VILNIUS_ST_MSW_BP"/>
    <x v="0"/>
    <x v="18"/>
    <n v="226.99795208369301"/>
    <n v="82854.252510548002"/>
    <n v="298275.309037973"/>
  </r>
  <r>
    <x v="0"/>
    <x v="0"/>
    <x v="0"/>
    <x v="5"/>
    <x v="9"/>
    <s v="LT_VilU"/>
    <x v="2"/>
    <s v="VILNIUS_ST_MSW_BP"/>
    <x v="0"/>
    <x v="19"/>
    <n v="226.99795208369301"/>
    <n v="82854.252510548002"/>
    <n v="298275.309037973"/>
  </r>
  <r>
    <x v="0"/>
    <x v="0"/>
    <x v="0"/>
    <x v="5"/>
    <x v="9"/>
    <s v="LT_VilU"/>
    <x v="2"/>
    <s v="VILNIUS_ST_MSW_BP"/>
    <x v="0"/>
    <x v="20"/>
    <n v="226.99795208369301"/>
    <n v="82854.252510548002"/>
    <n v="298275.309037973"/>
  </r>
  <r>
    <x v="0"/>
    <x v="0"/>
    <x v="0"/>
    <x v="5"/>
    <x v="9"/>
    <s v="LT_VilU"/>
    <x v="2"/>
    <s v="VILNIUS_ST_MSW_BP"/>
    <x v="0"/>
    <x v="21"/>
    <n v="226.99795208369301"/>
    <n v="82854.252510548002"/>
    <n v="298275.309037973"/>
  </r>
  <r>
    <x v="0"/>
    <x v="0"/>
    <x v="0"/>
    <x v="5"/>
    <x v="9"/>
    <s v="LT_VilU"/>
    <x v="2"/>
    <s v="VILNIUS_ST_MSW_BP"/>
    <x v="0"/>
    <x v="22"/>
    <n v="226.99795208369301"/>
    <n v="82854.252510548002"/>
    <n v="298275.309037973"/>
  </r>
  <r>
    <x v="0"/>
    <x v="0"/>
    <x v="0"/>
    <x v="5"/>
    <x v="9"/>
    <s v="LT_VilU"/>
    <x v="2"/>
    <s v="VILNIUS_ST_MSW_BP"/>
    <x v="0"/>
    <x v="23"/>
    <n v="226.99795208369301"/>
    <n v="82854.252510548002"/>
    <n v="298275.309037973"/>
  </r>
  <r>
    <x v="0"/>
    <x v="0"/>
    <x v="0"/>
    <x v="6"/>
    <x v="10"/>
    <s v="NO1_A1"/>
    <x v="1"/>
    <s v="GNR_HS_HEAT_WTR-TANK_LS_E-95_Y-2010"/>
    <x v="0"/>
    <x v="0"/>
    <n v="22.492259439400801"/>
    <n v="8209.6746953812799"/>
    <n v="29554.8289033726"/>
  </r>
  <r>
    <x v="0"/>
    <x v="0"/>
    <x v="0"/>
    <x v="6"/>
    <x v="10"/>
    <s v="NO1_A1"/>
    <x v="1"/>
    <s v="GNR_HS_HEAT_WTR-TANK_LS_E-95_Y-2010"/>
    <x v="0"/>
    <x v="1"/>
    <n v="38.225101111111101"/>
    <n v="13952.1619055555"/>
    <n v="50227.782859999999"/>
  </r>
  <r>
    <x v="0"/>
    <x v="0"/>
    <x v="0"/>
    <x v="6"/>
    <x v="10"/>
    <s v="NO1_A1"/>
    <x v="1"/>
    <s v="GNR_HS_HEAT_WTR-TANK_LS_E-95_Y-2010"/>
    <x v="0"/>
    <x v="2"/>
    <n v="37.7397320677075"/>
    <n v="13775.002204713201"/>
    <n v="49590.007936967697"/>
  </r>
  <r>
    <x v="0"/>
    <x v="0"/>
    <x v="0"/>
    <x v="6"/>
    <x v="10"/>
    <s v="NO1_A1"/>
    <x v="1"/>
    <s v="GNR_HS_HEAT_WTR-TANK_LS_E-95_Y-2010"/>
    <x v="0"/>
    <x v="3"/>
    <n v="32.671701489633797"/>
    <n v="11925.1710437163"/>
    <n v="42930.6157573788"/>
  </r>
  <r>
    <x v="0"/>
    <x v="0"/>
    <x v="0"/>
    <x v="6"/>
    <x v="10"/>
    <s v="NO1_A1"/>
    <x v="1"/>
    <s v="GNR_HS_HEAT_WTR-TANK_LS_E-95_Y-2010"/>
    <x v="0"/>
    <x v="12"/>
    <n v="23.850626090368198"/>
    <n v="8705.4785229844001"/>
    <n v="31339.722682743799"/>
  </r>
  <r>
    <x v="0"/>
    <x v="0"/>
    <x v="0"/>
    <x v="6"/>
    <x v="10"/>
    <s v="NO1_A1"/>
    <x v="1"/>
    <s v="GNR_HS_HEAT_WTR-TANK_LS_E-95_Y-2010"/>
    <x v="0"/>
    <x v="13"/>
    <n v="16.254085581025102"/>
    <n v="5932.7412370741404"/>
    <n v="21357.868453466901"/>
  </r>
  <r>
    <x v="0"/>
    <x v="0"/>
    <x v="0"/>
    <x v="6"/>
    <x v="10"/>
    <s v="NO1_A1"/>
    <x v="1"/>
    <s v="GNR_HS_HEAT_WTR-TANK_LS_E-95_Y-2010"/>
    <x v="0"/>
    <x v="14"/>
    <n v="10.151360247185201"/>
    <n v="3705.2464902226102"/>
    <n v="13338.8873648014"/>
  </r>
  <r>
    <x v="0"/>
    <x v="0"/>
    <x v="0"/>
    <x v="6"/>
    <x v="10"/>
    <s v="NO1_A1"/>
    <x v="1"/>
    <s v="GNR_HS_HEAT_WTR-TANK_LS_E-95_Y-2010"/>
    <x v="0"/>
    <x v="15"/>
    <n v="4.1763617479434298"/>
    <n v="1524.3720379993499"/>
    <n v="5487.7393367976701"/>
  </r>
  <r>
    <x v="0"/>
    <x v="0"/>
    <x v="0"/>
    <x v="6"/>
    <x v="10"/>
    <s v="NO1_A1"/>
    <x v="1"/>
    <s v="GNR_HS_HEAT_WTR-TANK_LS_E-95_Y-2010"/>
    <x v="0"/>
    <x v="4"/>
    <n v="0.49270639609936501"/>
    <n v="179.83783457626799"/>
    <n v="647.41620447456603"/>
  </r>
  <r>
    <x v="0"/>
    <x v="0"/>
    <x v="0"/>
    <x v="6"/>
    <x v="10"/>
    <s v="NO1_A1"/>
    <x v="16"/>
    <s v="GHOB_LNG"/>
    <x v="0"/>
    <x v="6"/>
    <n v="23"/>
    <n v="8395"/>
    <n v="30222"/>
  </r>
  <r>
    <x v="0"/>
    <x v="0"/>
    <x v="0"/>
    <x v="6"/>
    <x v="10"/>
    <s v="NO1_A1"/>
    <x v="16"/>
    <s v="GHOB_LNG"/>
    <x v="0"/>
    <x v="7"/>
    <n v="23"/>
    <n v="8395"/>
    <n v="30222"/>
  </r>
  <r>
    <x v="0"/>
    <x v="0"/>
    <x v="0"/>
    <x v="6"/>
    <x v="10"/>
    <s v="NO1_A1"/>
    <x v="16"/>
    <s v="GHOB_LNG"/>
    <x v="0"/>
    <x v="8"/>
    <n v="23"/>
    <n v="8395"/>
    <n v="30222"/>
  </r>
  <r>
    <x v="0"/>
    <x v="0"/>
    <x v="0"/>
    <x v="6"/>
    <x v="10"/>
    <s v="NO1_A1"/>
    <x v="16"/>
    <s v="GHOB_LNG"/>
    <x v="0"/>
    <x v="9"/>
    <n v="23"/>
    <n v="8395"/>
    <n v="30222"/>
  </r>
  <r>
    <x v="0"/>
    <x v="0"/>
    <x v="0"/>
    <x v="6"/>
    <x v="10"/>
    <s v="NO1_A1"/>
    <x v="16"/>
    <s v="GHOB_LNG"/>
    <x v="0"/>
    <x v="10"/>
    <n v="23"/>
    <n v="8395"/>
    <n v="30222"/>
  </r>
  <r>
    <x v="0"/>
    <x v="0"/>
    <x v="0"/>
    <x v="6"/>
    <x v="10"/>
    <s v="NO1_A1"/>
    <x v="16"/>
    <s v="GHOB_LNG"/>
    <x v="0"/>
    <x v="11"/>
    <n v="23"/>
    <n v="8395"/>
    <n v="30222"/>
  </r>
  <r>
    <x v="0"/>
    <x v="0"/>
    <x v="0"/>
    <x v="6"/>
    <x v="10"/>
    <s v="NO1_A1"/>
    <x v="16"/>
    <s v="GHOB_LNG"/>
    <x v="0"/>
    <x v="0"/>
    <n v="23"/>
    <n v="8395"/>
    <n v="30222"/>
  </r>
  <r>
    <x v="0"/>
    <x v="0"/>
    <x v="0"/>
    <x v="6"/>
    <x v="10"/>
    <s v="NO1_A1"/>
    <x v="16"/>
    <s v="GHOB_LNG"/>
    <x v="0"/>
    <x v="1"/>
    <n v="23"/>
    <n v="8395"/>
    <n v="30222"/>
  </r>
  <r>
    <x v="0"/>
    <x v="0"/>
    <x v="0"/>
    <x v="6"/>
    <x v="10"/>
    <s v="NO1_A1"/>
    <x v="16"/>
    <s v="GHOB_LNG"/>
    <x v="0"/>
    <x v="2"/>
    <n v="23"/>
    <n v="8395"/>
    <n v="30222"/>
  </r>
  <r>
    <x v="0"/>
    <x v="0"/>
    <x v="0"/>
    <x v="6"/>
    <x v="10"/>
    <s v="NO1_A1"/>
    <x v="16"/>
    <s v="GHOB_LNG"/>
    <x v="0"/>
    <x v="3"/>
    <n v="23"/>
    <n v="8395"/>
    <n v="30222"/>
  </r>
  <r>
    <x v="0"/>
    <x v="0"/>
    <x v="0"/>
    <x v="6"/>
    <x v="10"/>
    <s v="NO1_A1"/>
    <x v="16"/>
    <s v="GHOB_LNG"/>
    <x v="0"/>
    <x v="12"/>
    <n v="23"/>
    <n v="8395"/>
    <n v="30222"/>
  </r>
  <r>
    <x v="0"/>
    <x v="0"/>
    <x v="0"/>
    <x v="6"/>
    <x v="10"/>
    <s v="NO1_A1"/>
    <x v="16"/>
    <s v="GHOB_LNG"/>
    <x v="0"/>
    <x v="13"/>
    <n v="23"/>
    <n v="8395"/>
    <n v="30222"/>
  </r>
  <r>
    <x v="0"/>
    <x v="0"/>
    <x v="0"/>
    <x v="6"/>
    <x v="10"/>
    <s v="NO1_A1"/>
    <x v="16"/>
    <s v="GHOB_LNG"/>
    <x v="0"/>
    <x v="14"/>
    <n v="23"/>
    <n v="8395"/>
    <n v="30222"/>
  </r>
  <r>
    <x v="0"/>
    <x v="0"/>
    <x v="0"/>
    <x v="6"/>
    <x v="10"/>
    <s v="NO1_A1"/>
    <x v="16"/>
    <s v="GHOB_LNG"/>
    <x v="0"/>
    <x v="15"/>
    <n v="23"/>
    <n v="8395"/>
    <n v="30222"/>
  </r>
  <r>
    <x v="0"/>
    <x v="0"/>
    <x v="0"/>
    <x v="6"/>
    <x v="10"/>
    <s v="NO1_A1"/>
    <x v="16"/>
    <s v="GHOB_LNG"/>
    <x v="0"/>
    <x v="4"/>
    <n v="23"/>
    <n v="8395"/>
    <n v="30222"/>
  </r>
  <r>
    <x v="0"/>
    <x v="0"/>
    <x v="0"/>
    <x v="6"/>
    <x v="10"/>
    <s v="NO1_A1"/>
    <x v="16"/>
    <s v="GHOB_LNG"/>
    <x v="0"/>
    <x v="16"/>
    <n v="23"/>
    <n v="8395"/>
    <n v="30222"/>
  </r>
  <r>
    <x v="0"/>
    <x v="0"/>
    <x v="0"/>
    <x v="6"/>
    <x v="10"/>
    <s v="NO1_A1"/>
    <x v="16"/>
    <s v="GHOB_LNG"/>
    <x v="0"/>
    <x v="5"/>
    <n v="23"/>
    <n v="8395"/>
    <n v="30222"/>
  </r>
  <r>
    <x v="0"/>
    <x v="0"/>
    <x v="0"/>
    <x v="6"/>
    <x v="10"/>
    <s v="NO1_A1"/>
    <x v="16"/>
    <s v="GHOB_LNG"/>
    <x v="0"/>
    <x v="17"/>
    <n v="23"/>
    <n v="8395"/>
    <n v="30222"/>
  </r>
  <r>
    <x v="0"/>
    <x v="0"/>
    <x v="0"/>
    <x v="6"/>
    <x v="10"/>
    <s v="NO1_A1"/>
    <x v="16"/>
    <s v="GHOB_LNG"/>
    <x v="0"/>
    <x v="18"/>
    <n v="23"/>
    <n v="8395"/>
    <n v="30222"/>
  </r>
  <r>
    <x v="0"/>
    <x v="0"/>
    <x v="0"/>
    <x v="6"/>
    <x v="10"/>
    <s v="NO1_A1"/>
    <x v="16"/>
    <s v="GHOB_LNG"/>
    <x v="0"/>
    <x v="19"/>
    <n v="23"/>
    <n v="8395"/>
    <n v="30222"/>
  </r>
  <r>
    <x v="0"/>
    <x v="0"/>
    <x v="0"/>
    <x v="6"/>
    <x v="10"/>
    <s v="NO1_A1"/>
    <x v="16"/>
    <s v="GHOB_LNG"/>
    <x v="0"/>
    <x v="20"/>
    <n v="23"/>
    <n v="8395"/>
    <n v="30222"/>
  </r>
  <r>
    <x v="0"/>
    <x v="0"/>
    <x v="0"/>
    <x v="6"/>
    <x v="10"/>
    <s v="NO1_A1"/>
    <x v="16"/>
    <s v="GHOB_LNG"/>
    <x v="0"/>
    <x v="21"/>
    <n v="23"/>
    <n v="8395"/>
    <n v="30222"/>
  </r>
  <r>
    <x v="0"/>
    <x v="0"/>
    <x v="0"/>
    <x v="6"/>
    <x v="10"/>
    <s v="NO1_A1"/>
    <x v="16"/>
    <s v="GHOB_LNG"/>
    <x v="0"/>
    <x v="22"/>
    <n v="23"/>
    <n v="8395"/>
    <n v="30222"/>
  </r>
  <r>
    <x v="0"/>
    <x v="0"/>
    <x v="0"/>
    <x v="6"/>
    <x v="10"/>
    <s v="NO1_A1"/>
    <x v="16"/>
    <s v="GHOB_LNG"/>
    <x v="0"/>
    <x v="23"/>
    <n v="23"/>
    <n v="8395"/>
    <n v="30222"/>
  </r>
  <r>
    <x v="0"/>
    <x v="0"/>
    <x v="0"/>
    <x v="6"/>
    <x v="10"/>
    <s v="NO1_A1"/>
    <x v="16"/>
    <s v="GHOB_LPG"/>
    <x v="0"/>
    <x v="6"/>
    <n v="41.6"/>
    <n v="15184"/>
    <n v="54662.400000000001"/>
  </r>
  <r>
    <x v="0"/>
    <x v="0"/>
    <x v="0"/>
    <x v="6"/>
    <x v="10"/>
    <s v="NO1_A1"/>
    <x v="16"/>
    <s v="GHOB_LPG"/>
    <x v="0"/>
    <x v="7"/>
    <n v="41.6"/>
    <n v="15184"/>
    <n v="54662.400000000001"/>
  </r>
  <r>
    <x v="0"/>
    <x v="0"/>
    <x v="0"/>
    <x v="6"/>
    <x v="10"/>
    <s v="NO1_A1"/>
    <x v="16"/>
    <s v="GHOB_LPG"/>
    <x v="0"/>
    <x v="8"/>
    <n v="41.6"/>
    <n v="15184"/>
    <n v="54662.400000000001"/>
  </r>
  <r>
    <x v="0"/>
    <x v="0"/>
    <x v="0"/>
    <x v="6"/>
    <x v="10"/>
    <s v="NO1_A1"/>
    <x v="16"/>
    <s v="GHOB_LPG"/>
    <x v="0"/>
    <x v="9"/>
    <n v="41.6"/>
    <n v="15184"/>
    <n v="54662.400000000001"/>
  </r>
  <r>
    <x v="0"/>
    <x v="0"/>
    <x v="0"/>
    <x v="6"/>
    <x v="10"/>
    <s v="NO1_A1"/>
    <x v="16"/>
    <s v="GHOB_LPG"/>
    <x v="0"/>
    <x v="10"/>
    <n v="41.6"/>
    <n v="15184"/>
    <n v="54662.400000000001"/>
  </r>
  <r>
    <x v="0"/>
    <x v="0"/>
    <x v="0"/>
    <x v="6"/>
    <x v="10"/>
    <s v="NO1_A1"/>
    <x v="16"/>
    <s v="GHOB_LPG"/>
    <x v="0"/>
    <x v="11"/>
    <n v="41.6"/>
    <n v="15184"/>
    <n v="54662.400000000001"/>
  </r>
  <r>
    <x v="0"/>
    <x v="0"/>
    <x v="0"/>
    <x v="6"/>
    <x v="10"/>
    <s v="NO1_A1"/>
    <x v="16"/>
    <s v="GHOB_LPG"/>
    <x v="0"/>
    <x v="0"/>
    <n v="41.6"/>
    <n v="15184"/>
    <n v="54662.400000000001"/>
  </r>
  <r>
    <x v="0"/>
    <x v="0"/>
    <x v="0"/>
    <x v="6"/>
    <x v="10"/>
    <s v="NO1_A1"/>
    <x v="16"/>
    <s v="GHOB_LPG"/>
    <x v="0"/>
    <x v="1"/>
    <n v="41.6"/>
    <n v="15184"/>
    <n v="54662.400000000001"/>
  </r>
  <r>
    <x v="0"/>
    <x v="0"/>
    <x v="0"/>
    <x v="6"/>
    <x v="10"/>
    <s v="NO1_A1"/>
    <x v="16"/>
    <s v="GHOB_LPG"/>
    <x v="0"/>
    <x v="2"/>
    <n v="41.6"/>
    <n v="15184"/>
    <n v="54662.400000000001"/>
  </r>
  <r>
    <x v="0"/>
    <x v="0"/>
    <x v="0"/>
    <x v="6"/>
    <x v="10"/>
    <s v="NO1_A1"/>
    <x v="16"/>
    <s v="GHOB_LPG"/>
    <x v="0"/>
    <x v="3"/>
    <n v="41.6"/>
    <n v="15184"/>
    <n v="54662.400000000001"/>
  </r>
  <r>
    <x v="0"/>
    <x v="0"/>
    <x v="0"/>
    <x v="6"/>
    <x v="10"/>
    <s v="NO1_A1"/>
    <x v="16"/>
    <s v="GHOB_LPG"/>
    <x v="0"/>
    <x v="12"/>
    <n v="41.6"/>
    <n v="15184"/>
    <n v="54662.400000000001"/>
  </r>
  <r>
    <x v="0"/>
    <x v="0"/>
    <x v="0"/>
    <x v="6"/>
    <x v="10"/>
    <s v="NO1_A1"/>
    <x v="16"/>
    <s v="GHOB_LPG"/>
    <x v="0"/>
    <x v="13"/>
    <n v="41.6"/>
    <n v="15184"/>
    <n v="54662.400000000001"/>
  </r>
  <r>
    <x v="0"/>
    <x v="0"/>
    <x v="0"/>
    <x v="6"/>
    <x v="10"/>
    <s v="NO1_A1"/>
    <x v="16"/>
    <s v="GHOB_LPG"/>
    <x v="0"/>
    <x v="14"/>
    <n v="41.6"/>
    <n v="15184"/>
    <n v="54662.400000000001"/>
  </r>
  <r>
    <x v="0"/>
    <x v="0"/>
    <x v="0"/>
    <x v="6"/>
    <x v="10"/>
    <s v="NO1_A1"/>
    <x v="16"/>
    <s v="GHOB_LPG"/>
    <x v="0"/>
    <x v="15"/>
    <n v="41.6"/>
    <n v="15184"/>
    <n v="54662.400000000001"/>
  </r>
  <r>
    <x v="0"/>
    <x v="0"/>
    <x v="0"/>
    <x v="6"/>
    <x v="10"/>
    <s v="NO1_A1"/>
    <x v="16"/>
    <s v="GHOB_LPG"/>
    <x v="0"/>
    <x v="4"/>
    <n v="41.6"/>
    <n v="15184"/>
    <n v="54662.400000000001"/>
  </r>
  <r>
    <x v="0"/>
    <x v="0"/>
    <x v="0"/>
    <x v="6"/>
    <x v="10"/>
    <s v="NO1_A1"/>
    <x v="16"/>
    <s v="GHOB_LPG"/>
    <x v="0"/>
    <x v="16"/>
    <n v="41.6"/>
    <n v="15184"/>
    <n v="54662.400000000001"/>
  </r>
  <r>
    <x v="0"/>
    <x v="0"/>
    <x v="0"/>
    <x v="6"/>
    <x v="10"/>
    <s v="NO1_A1"/>
    <x v="16"/>
    <s v="GHOB_LPG"/>
    <x v="0"/>
    <x v="5"/>
    <n v="41.6"/>
    <n v="15184"/>
    <n v="54662.400000000001"/>
  </r>
  <r>
    <x v="0"/>
    <x v="0"/>
    <x v="0"/>
    <x v="6"/>
    <x v="10"/>
    <s v="NO1_A1"/>
    <x v="16"/>
    <s v="GHOB_LPG"/>
    <x v="0"/>
    <x v="17"/>
    <n v="41.6"/>
    <n v="15184"/>
    <n v="54662.400000000001"/>
  </r>
  <r>
    <x v="0"/>
    <x v="0"/>
    <x v="0"/>
    <x v="6"/>
    <x v="10"/>
    <s v="NO1_A1"/>
    <x v="16"/>
    <s v="GHOB_LPG"/>
    <x v="0"/>
    <x v="18"/>
    <n v="41.6"/>
    <n v="15184"/>
    <n v="54662.400000000001"/>
  </r>
  <r>
    <x v="0"/>
    <x v="0"/>
    <x v="0"/>
    <x v="6"/>
    <x v="10"/>
    <s v="NO1_A1"/>
    <x v="16"/>
    <s v="GHOB_LPG"/>
    <x v="0"/>
    <x v="19"/>
    <n v="41.6"/>
    <n v="15184"/>
    <n v="54662.400000000001"/>
  </r>
  <r>
    <x v="0"/>
    <x v="0"/>
    <x v="0"/>
    <x v="6"/>
    <x v="10"/>
    <s v="NO1_A1"/>
    <x v="16"/>
    <s v="GHOB_LPG"/>
    <x v="0"/>
    <x v="20"/>
    <n v="41.6"/>
    <n v="15184"/>
    <n v="54662.400000000001"/>
  </r>
  <r>
    <x v="0"/>
    <x v="0"/>
    <x v="0"/>
    <x v="6"/>
    <x v="10"/>
    <s v="NO1_A1"/>
    <x v="16"/>
    <s v="GHOB_LPG"/>
    <x v="0"/>
    <x v="21"/>
    <n v="41.6"/>
    <n v="15184"/>
    <n v="54662.400000000001"/>
  </r>
  <r>
    <x v="0"/>
    <x v="0"/>
    <x v="0"/>
    <x v="6"/>
    <x v="10"/>
    <s v="NO1_A1"/>
    <x v="16"/>
    <s v="GHOB_LPG"/>
    <x v="0"/>
    <x v="22"/>
    <n v="41.6"/>
    <n v="15184"/>
    <n v="54662.400000000001"/>
  </r>
  <r>
    <x v="0"/>
    <x v="0"/>
    <x v="0"/>
    <x v="6"/>
    <x v="10"/>
    <s v="NO1_A1"/>
    <x v="16"/>
    <s v="GHOB_LPG"/>
    <x v="0"/>
    <x v="23"/>
    <n v="41.6"/>
    <n v="15184"/>
    <n v="54662.400000000001"/>
  </r>
  <r>
    <x v="0"/>
    <x v="0"/>
    <x v="0"/>
    <x v="6"/>
    <x v="10"/>
    <s v="NO1_A1"/>
    <x v="2"/>
    <s v="GBPR_MUNIWASTE"/>
    <x v="0"/>
    <x v="6"/>
    <n v="26.451612903225801"/>
    <n v="9654.8387096774204"/>
    <n v="34757.419354838697"/>
  </r>
  <r>
    <x v="0"/>
    <x v="0"/>
    <x v="0"/>
    <x v="6"/>
    <x v="10"/>
    <s v="NO1_A1"/>
    <x v="2"/>
    <s v="GBPR_MUNIWASTE"/>
    <x v="0"/>
    <x v="7"/>
    <n v="26.451612903225801"/>
    <n v="9654.8387096774204"/>
    <n v="34757.419354838697"/>
  </r>
  <r>
    <x v="0"/>
    <x v="0"/>
    <x v="0"/>
    <x v="6"/>
    <x v="10"/>
    <s v="NO1_A1"/>
    <x v="2"/>
    <s v="GBPR_MUNIWASTE"/>
    <x v="0"/>
    <x v="8"/>
    <n v="26.451612903225801"/>
    <n v="9654.8387096774204"/>
    <n v="34757.419354838697"/>
  </r>
  <r>
    <x v="0"/>
    <x v="0"/>
    <x v="0"/>
    <x v="6"/>
    <x v="10"/>
    <s v="NO1_A1"/>
    <x v="2"/>
    <s v="GBPR_MUNIWASTE"/>
    <x v="0"/>
    <x v="9"/>
    <n v="26.451612903225801"/>
    <n v="9654.8387096774204"/>
    <n v="34757.419354838697"/>
  </r>
  <r>
    <x v="0"/>
    <x v="0"/>
    <x v="0"/>
    <x v="6"/>
    <x v="10"/>
    <s v="NO1_A1"/>
    <x v="2"/>
    <s v="GBPR_MUNIWASTE"/>
    <x v="0"/>
    <x v="10"/>
    <n v="26.451612903225801"/>
    <n v="9654.8387096774204"/>
    <n v="34757.419354838697"/>
  </r>
  <r>
    <x v="0"/>
    <x v="0"/>
    <x v="0"/>
    <x v="6"/>
    <x v="10"/>
    <s v="NO1_A1"/>
    <x v="2"/>
    <s v="GBPR_MUNIWASTE"/>
    <x v="0"/>
    <x v="11"/>
    <n v="26.451612903225801"/>
    <n v="9654.8387096774204"/>
    <n v="34757.419354838697"/>
  </r>
  <r>
    <x v="0"/>
    <x v="0"/>
    <x v="0"/>
    <x v="6"/>
    <x v="10"/>
    <s v="NO1_A1"/>
    <x v="2"/>
    <s v="GBPR_MUNIWASTE"/>
    <x v="0"/>
    <x v="0"/>
    <n v="26.451612903225801"/>
    <n v="9654.8387096774204"/>
    <n v="34757.419354838697"/>
  </r>
  <r>
    <x v="0"/>
    <x v="0"/>
    <x v="0"/>
    <x v="6"/>
    <x v="10"/>
    <s v="NO1_A1"/>
    <x v="2"/>
    <s v="GBPR_MUNIWASTE"/>
    <x v="0"/>
    <x v="1"/>
    <n v="26.451612903225801"/>
    <n v="9654.8387096774204"/>
    <n v="34757.419354838697"/>
  </r>
  <r>
    <x v="0"/>
    <x v="0"/>
    <x v="0"/>
    <x v="6"/>
    <x v="10"/>
    <s v="NO1_A1"/>
    <x v="2"/>
    <s v="GBPR_MUNIWASTE"/>
    <x v="0"/>
    <x v="2"/>
    <n v="26.451612903225801"/>
    <n v="9654.8387096774204"/>
    <n v="34757.419354838697"/>
  </r>
  <r>
    <x v="0"/>
    <x v="0"/>
    <x v="0"/>
    <x v="6"/>
    <x v="10"/>
    <s v="NO1_A1"/>
    <x v="2"/>
    <s v="GBPR_MUNIWASTE"/>
    <x v="0"/>
    <x v="3"/>
    <n v="26.451612903225801"/>
    <n v="9654.8387096774204"/>
    <n v="34757.419354838697"/>
  </r>
  <r>
    <x v="0"/>
    <x v="0"/>
    <x v="0"/>
    <x v="6"/>
    <x v="10"/>
    <s v="NO1_A1"/>
    <x v="2"/>
    <s v="GBPR_MUNIWASTE"/>
    <x v="0"/>
    <x v="12"/>
    <n v="26.451612903225801"/>
    <n v="9654.8387096774204"/>
    <n v="34757.419354838697"/>
  </r>
  <r>
    <x v="0"/>
    <x v="0"/>
    <x v="0"/>
    <x v="6"/>
    <x v="10"/>
    <s v="NO1_A1"/>
    <x v="2"/>
    <s v="GBPR_MUNIWASTE"/>
    <x v="0"/>
    <x v="13"/>
    <n v="26.451612903225801"/>
    <n v="9654.8387096774204"/>
    <n v="34757.419354838697"/>
  </r>
  <r>
    <x v="0"/>
    <x v="0"/>
    <x v="0"/>
    <x v="6"/>
    <x v="10"/>
    <s v="NO1_A1"/>
    <x v="2"/>
    <s v="GBPR_MUNIWASTE"/>
    <x v="0"/>
    <x v="14"/>
    <n v="26.451612903225801"/>
    <n v="9654.8387096774204"/>
    <n v="34757.419354838697"/>
  </r>
  <r>
    <x v="0"/>
    <x v="0"/>
    <x v="0"/>
    <x v="6"/>
    <x v="10"/>
    <s v="NO1_A1"/>
    <x v="2"/>
    <s v="GBPR_MUNIWASTE"/>
    <x v="0"/>
    <x v="15"/>
    <n v="26.451612903225801"/>
    <n v="9654.8387096774204"/>
    <n v="34757.419354838697"/>
  </r>
  <r>
    <x v="0"/>
    <x v="0"/>
    <x v="0"/>
    <x v="6"/>
    <x v="10"/>
    <s v="NO1_A1"/>
    <x v="2"/>
    <s v="GBPR_MUNIWASTE"/>
    <x v="0"/>
    <x v="4"/>
    <n v="26.451612903225801"/>
    <n v="9654.8387096774204"/>
    <n v="34757.419354838697"/>
  </r>
  <r>
    <x v="0"/>
    <x v="0"/>
    <x v="0"/>
    <x v="6"/>
    <x v="10"/>
    <s v="NO1_A1"/>
    <x v="2"/>
    <s v="GBPR_MUNIWASTE"/>
    <x v="0"/>
    <x v="16"/>
    <n v="26.451612903225801"/>
    <n v="9654.8387096774204"/>
    <n v="34757.419354838697"/>
  </r>
  <r>
    <x v="0"/>
    <x v="0"/>
    <x v="0"/>
    <x v="6"/>
    <x v="10"/>
    <s v="NO1_A1"/>
    <x v="2"/>
    <s v="GBPR_MUNIWASTE"/>
    <x v="0"/>
    <x v="5"/>
    <n v="26.451612903225801"/>
    <n v="9654.8387096774204"/>
    <n v="34757.419354838697"/>
  </r>
  <r>
    <x v="0"/>
    <x v="0"/>
    <x v="0"/>
    <x v="6"/>
    <x v="10"/>
    <s v="NO1_A1"/>
    <x v="2"/>
    <s v="GBPR_MUNIWASTE"/>
    <x v="0"/>
    <x v="17"/>
    <n v="26.451612903225801"/>
    <n v="9654.8387096774204"/>
    <n v="34757.419354838697"/>
  </r>
  <r>
    <x v="0"/>
    <x v="0"/>
    <x v="0"/>
    <x v="6"/>
    <x v="10"/>
    <s v="NO1_A1"/>
    <x v="2"/>
    <s v="GBPR_MUNIWASTE"/>
    <x v="0"/>
    <x v="18"/>
    <n v="26.451612903225801"/>
    <n v="9654.8387096774204"/>
    <n v="34757.419354838697"/>
  </r>
  <r>
    <x v="0"/>
    <x v="0"/>
    <x v="0"/>
    <x v="6"/>
    <x v="10"/>
    <s v="NO1_A1"/>
    <x v="2"/>
    <s v="GBPR_MUNIWASTE"/>
    <x v="0"/>
    <x v="19"/>
    <n v="26.451612903225801"/>
    <n v="9654.8387096774204"/>
    <n v="34757.419354838697"/>
  </r>
  <r>
    <x v="0"/>
    <x v="0"/>
    <x v="0"/>
    <x v="6"/>
    <x v="10"/>
    <s v="NO1_A1"/>
    <x v="2"/>
    <s v="GBPR_MUNIWASTE"/>
    <x v="0"/>
    <x v="20"/>
    <n v="26.451612903225801"/>
    <n v="9654.8387096774204"/>
    <n v="34757.419354838697"/>
  </r>
  <r>
    <x v="0"/>
    <x v="0"/>
    <x v="0"/>
    <x v="6"/>
    <x v="10"/>
    <s v="NO1_A1"/>
    <x v="2"/>
    <s v="GBPR_MUNIWASTE"/>
    <x v="0"/>
    <x v="21"/>
    <n v="26.451612903225801"/>
    <n v="9654.8387096774204"/>
    <n v="34757.419354838697"/>
  </r>
  <r>
    <x v="0"/>
    <x v="0"/>
    <x v="0"/>
    <x v="6"/>
    <x v="10"/>
    <s v="NO1_A1"/>
    <x v="2"/>
    <s v="GBPR_MUNIWASTE"/>
    <x v="0"/>
    <x v="22"/>
    <n v="26.451612903225801"/>
    <n v="9654.8387096774204"/>
    <n v="34757.419354838697"/>
  </r>
  <r>
    <x v="0"/>
    <x v="0"/>
    <x v="0"/>
    <x v="6"/>
    <x v="10"/>
    <s v="NO1_A1"/>
    <x v="2"/>
    <s v="GBPR_MUNIWASTE"/>
    <x v="0"/>
    <x v="23"/>
    <n v="26.451612903225801"/>
    <n v="9654.8387096774204"/>
    <n v="34757.419354838697"/>
  </r>
  <r>
    <x v="0"/>
    <x v="0"/>
    <x v="0"/>
    <x v="6"/>
    <x v="10"/>
    <s v="NO1_A1"/>
    <x v="2"/>
    <s v="GHOB_MUNIWASTE"/>
    <x v="0"/>
    <x v="6"/>
    <n v="7.444"/>
    <n v="2717.06"/>
    <n v="9781.4159999999993"/>
  </r>
  <r>
    <x v="0"/>
    <x v="0"/>
    <x v="0"/>
    <x v="6"/>
    <x v="10"/>
    <s v="NO1_A1"/>
    <x v="2"/>
    <s v="GHOB_MUNIWASTE"/>
    <x v="0"/>
    <x v="7"/>
    <n v="7.444"/>
    <n v="2717.06"/>
    <n v="9781.4159999999993"/>
  </r>
  <r>
    <x v="0"/>
    <x v="0"/>
    <x v="0"/>
    <x v="6"/>
    <x v="10"/>
    <s v="NO1_A1"/>
    <x v="2"/>
    <s v="GHOB_MUNIWASTE"/>
    <x v="0"/>
    <x v="8"/>
    <n v="7.444"/>
    <n v="2717.06"/>
    <n v="9781.4159999999993"/>
  </r>
  <r>
    <x v="0"/>
    <x v="0"/>
    <x v="0"/>
    <x v="6"/>
    <x v="10"/>
    <s v="NO1_A1"/>
    <x v="2"/>
    <s v="GHOB_MUNIWASTE"/>
    <x v="0"/>
    <x v="9"/>
    <n v="7.444"/>
    <n v="2717.06"/>
    <n v="9781.4159999999993"/>
  </r>
  <r>
    <x v="0"/>
    <x v="0"/>
    <x v="0"/>
    <x v="6"/>
    <x v="10"/>
    <s v="NO1_A1"/>
    <x v="2"/>
    <s v="GHOB_MUNIWASTE"/>
    <x v="0"/>
    <x v="10"/>
    <n v="7.444"/>
    <n v="2717.06"/>
    <n v="9781.4159999999993"/>
  </r>
  <r>
    <x v="0"/>
    <x v="0"/>
    <x v="0"/>
    <x v="6"/>
    <x v="10"/>
    <s v="NO1_A1"/>
    <x v="2"/>
    <s v="GHOB_MUNIWASTE"/>
    <x v="0"/>
    <x v="11"/>
    <n v="7.444"/>
    <n v="2717.06"/>
    <n v="9781.4159999999993"/>
  </r>
  <r>
    <x v="0"/>
    <x v="0"/>
    <x v="0"/>
    <x v="6"/>
    <x v="10"/>
    <s v="NO1_A1"/>
    <x v="2"/>
    <s v="GHOB_MUNIWASTE"/>
    <x v="0"/>
    <x v="0"/>
    <n v="7.444"/>
    <n v="2717.06"/>
    <n v="9781.4159999999993"/>
  </r>
  <r>
    <x v="0"/>
    <x v="0"/>
    <x v="0"/>
    <x v="6"/>
    <x v="10"/>
    <s v="NO1_A1"/>
    <x v="2"/>
    <s v="GHOB_MUNIWASTE"/>
    <x v="0"/>
    <x v="1"/>
    <n v="7.444"/>
    <n v="2717.06"/>
    <n v="9781.4159999999993"/>
  </r>
  <r>
    <x v="0"/>
    <x v="0"/>
    <x v="0"/>
    <x v="6"/>
    <x v="10"/>
    <s v="NO1_A1"/>
    <x v="2"/>
    <s v="GHOB_MUNIWASTE"/>
    <x v="0"/>
    <x v="2"/>
    <n v="7.444"/>
    <n v="2717.06"/>
    <n v="9781.4159999999993"/>
  </r>
  <r>
    <x v="0"/>
    <x v="0"/>
    <x v="0"/>
    <x v="6"/>
    <x v="10"/>
    <s v="NO1_A1"/>
    <x v="2"/>
    <s v="GHOB_MUNIWASTE"/>
    <x v="0"/>
    <x v="3"/>
    <n v="7.444"/>
    <n v="2717.06"/>
    <n v="9781.4159999999993"/>
  </r>
  <r>
    <x v="0"/>
    <x v="0"/>
    <x v="0"/>
    <x v="6"/>
    <x v="10"/>
    <s v="NO1_A1"/>
    <x v="2"/>
    <s v="GHOB_MUNIWASTE"/>
    <x v="0"/>
    <x v="12"/>
    <n v="7.444"/>
    <n v="2717.06"/>
    <n v="9781.4159999999993"/>
  </r>
  <r>
    <x v="0"/>
    <x v="0"/>
    <x v="0"/>
    <x v="6"/>
    <x v="10"/>
    <s v="NO1_A1"/>
    <x v="2"/>
    <s v="GHOB_MUNIWASTE"/>
    <x v="0"/>
    <x v="13"/>
    <n v="7.444"/>
    <n v="2717.06"/>
    <n v="9781.4159999999993"/>
  </r>
  <r>
    <x v="0"/>
    <x v="0"/>
    <x v="0"/>
    <x v="6"/>
    <x v="10"/>
    <s v="NO1_A1"/>
    <x v="2"/>
    <s v="GHOB_MUNIWASTE"/>
    <x v="0"/>
    <x v="14"/>
    <n v="7.444"/>
    <n v="2717.06"/>
    <n v="9781.4159999999993"/>
  </r>
  <r>
    <x v="0"/>
    <x v="0"/>
    <x v="0"/>
    <x v="6"/>
    <x v="10"/>
    <s v="NO1_A1"/>
    <x v="2"/>
    <s v="GHOB_MUNIWASTE"/>
    <x v="0"/>
    <x v="15"/>
    <n v="7.444"/>
    <n v="2717.06"/>
    <n v="9781.4159999999993"/>
  </r>
  <r>
    <x v="0"/>
    <x v="0"/>
    <x v="0"/>
    <x v="6"/>
    <x v="10"/>
    <s v="NO1_A1"/>
    <x v="2"/>
    <s v="GHOB_MUNIWASTE"/>
    <x v="0"/>
    <x v="4"/>
    <n v="7.444"/>
    <n v="2717.06"/>
    <n v="9781.4159999999993"/>
  </r>
  <r>
    <x v="0"/>
    <x v="0"/>
    <x v="0"/>
    <x v="6"/>
    <x v="10"/>
    <s v="NO1_A1"/>
    <x v="2"/>
    <s v="GHOB_MUNIWASTE"/>
    <x v="0"/>
    <x v="16"/>
    <n v="7.444"/>
    <n v="2717.06"/>
    <n v="9781.4159999999993"/>
  </r>
  <r>
    <x v="0"/>
    <x v="0"/>
    <x v="0"/>
    <x v="6"/>
    <x v="10"/>
    <s v="NO1_A1"/>
    <x v="2"/>
    <s v="GHOB_MUNIWASTE"/>
    <x v="0"/>
    <x v="5"/>
    <n v="7.444"/>
    <n v="2717.06"/>
    <n v="9781.4159999999993"/>
  </r>
  <r>
    <x v="0"/>
    <x v="0"/>
    <x v="0"/>
    <x v="6"/>
    <x v="10"/>
    <s v="NO1_A1"/>
    <x v="2"/>
    <s v="GHOB_MUNIWASTE"/>
    <x v="0"/>
    <x v="17"/>
    <n v="7.444"/>
    <n v="2717.06"/>
    <n v="9781.4159999999993"/>
  </r>
  <r>
    <x v="0"/>
    <x v="0"/>
    <x v="0"/>
    <x v="6"/>
    <x v="10"/>
    <s v="NO1_A1"/>
    <x v="2"/>
    <s v="GHOB_MUNIWASTE"/>
    <x v="0"/>
    <x v="18"/>
    <n v="7.444"/>
    <n v="2717.06"/>
    <n v="9781.4159999999993"/>
  </r>
  <r>
    <x v="0"/>
    <x v="0"/>
    <x v="0"/>
    <x v="6"/>
    <x v="10"/>
    <s v="NO1_A1"/>
    <x v="2"/>
    <s v="GHOB_MUNIWASTE"/>
    <x v="0"/>
    <x v="19"/>
    <n v="7.444"/>
    <n v="2717.06"/>
    <n v="9781.4159999999993"/>
  </r>
  <r>
    <x v="0"/>
    <x v="0"/>
    <x v="0"/>
    <x v="6"/>
    <x v="10"/>
    <s v="NO1_A1"/>
    <x v="2"/>
    <s v="GHOB_MUNIWASTE"/>
    <x v="0"/>
    <x v="20"/>
    <n v="7.444"/>
    <n v="2717.06"/>
    <n v="9781.4159999999993"/>
  </r>
  <r>
    <x v="0"/>
    <x v="0"/>
    <x v="0"/>
    <x v="6"/>
    <x v="10"/>
    <s v="NO1_A1"/>
    <x v="2"/>
    <s v="GHOB_MUNIWASTE"/>
    <x v="0"/>
    <x v="21"/>
    <n v="7.444"/>
    <n v="2717.06"/>
    <n v="9781.4159999999993"/>
  </r>
  <r>
    <x v="0"/>
    <x v="0"/>
    <x v="0"/>
    <x v="6"/>
    <x v="10"/>
    <s v="NO1_A1"/>
    <x v="2"/>
    <s v="GHOB_MUNIWASTE"/>
    <x v="0"/>
    <x v="22"/>
    <n v="7.444"/>
    <n v="2717.06"/>
    <n v="9781.4159999999993"/>
  </r>
  <r>
    <x v="0"/>
    <x v="0"/>
    <x v="0"/>
    <x v="6"/>
    <x v="10"/>
    <s v="NO1_A1"/>
    <x v="2"/>
    <s v="GHOB_MUNIWASTE"/>
    <x v="0"/>
    <x v="23"/>
    <n v="7.444"/>
    <n v="2717.06"/>
    <n v="9781.4159999999993"/>
  </r>
  <r>
    <x v="0"/>
    <x v="0"/>
    <x v="0"/>
    <x v="6"/>
    <x v="10"/>
    <s v="NO1_A1"/>
    <x v="5"/>
    <s v="GHOB_WASTEHEAT"/>
    <x v="0"/>
    <x v="6"/>
    <n v="2.9650869963369799"/>
    <n v="1082.2567536629999"/>
    <n v="3896.1243131868"/>
  </r>
  <r>
    <x v="0"/>
    <x v="0"/>
    <x v="0"/>
    <x v="6"/>
    <x v="10"/>
    <s v="NO1_A1"/>
    <x v="5"/>
    <s v="GHOB_WASTEHEAT"/>
    <x v="0"/>
    <x v="7"/>
    <n v="2.9650869963369799"/>
    <n v="1082.2567536629999"/>
    <n v="3896.1243131868"/>
  </r>
  <r>
    <x v="0"/>
    <x v="0"/>
    <x v="0"/>
    <x v="6"/>
    <x v="10"/>
    <s v="NO1_A1"/>
    <x v="5"/>
    <s v="GHOB_WASTEHEAT"/>
    <x v="0"/>
    <x v="8"/>
    <n v="2.9650869963369799"/>
    <n v="1082.2567536629999"/>
    <n v="3896.1243131868"/>
  </r>
  <r>
    <x v="0"/>
    <x v="0"/>
    <x v="0"/>
    <x v="6"/>
    <x v="10"/>
    <s v="NO1_A1"/>
    <x v="5"/>
    <s v="GHOB_WASTEHEAT"/>
    <x v="0"/>
    <x v="9"/>
    <n v="2.9650869963369799"/>
    <n v="1082.2567536629999"/>
    <n v="3896.1243131868"/>
  </r>
  <r>
    <x v="0"/>
    <x v="0"/>
    <x v="0"/>
    <x v="6"/>
    <x v="10"/>
    <s v="NO1_A1"/>
    <x v="5"/>
    <s v="GHOB_WASTEHEAT"/>
    <x v="0"/>
    <x v="10"/>
    <n v="2.9650869963369799"/>
    <n v="1082.2567536629999"/>
    <n v="3896.1243131868"/>
  </r>
  <r>
    <x v="0"/>
    <x v="0"/>
    <x v="0"/>
    <x v="6"/>
    <x v="10"/>
    <s v="NO1_A1"/>
    <x v="5"/>
    <s v="GHOB_WASTEHEAT"/>
    <x v="0"/>
    <x v="11"/>
    <n v="2.9650869963369799"/>
    <n v="1082.2567536629999"/>
    <n v="3896.1243131868"/>
  </r>
  <r>
    <x v="0"/>
    <x v="0"/>
    <x v="0"/>
    <x v="6"/>
    <x v="10"/>
    <s v="NO1_A1"/>
    <x v="5"/>
    <s v="GHOB_WASTEHEAT"/>
    <x v="0"/>
    <x v="0"/>
    <n v="2.9650869963369799"/>
    <n v="1082.2567536629999"/>
    <n v="3896.1243131868"/>
  </r>
  <r>
    <x v="0"/>
    <x v="0"/>
    <x v="0"/>
    <x v="6"/>
    <x v="10"/>
    <s v="NO1_A1"/>
    <x v="5"/>
    <s v="GHOB_WASTEHEAT"/>
    <x v="0"/>
    <x v="1"/>
    <n v="2.9650869963369799"/>
    <n v="1082.2567536629999"/>
    <n v="3896.1243131868"/>
  </r>
  <r>
    <x v="0"/>
    <x v="0"/>
    <x v="0"/>
    <x v="6"/>
    <x v="10"/>
    <s v="NO1_A1"/>
    <x v="5"/>
    <s v="GHOB_WASTEHEAT"/>
    <x v="0"/>
    <x v="2"/>
    <n v="2.9650869963369799"/>
    <n v="1082.2567536629999"/>
    <n v="3896.1243131868"/>
  </r>
  <r>
    <x v="0"/>
    <x v="0"/>
    <x v="0"/>
    <x v="6"/>
    <x v="10"/>
    <s v="NO1_A1"/>
    <x v="5"/>
    <s v="GHOB_WASTEHEAT"/>
    <x v="0"/>
    <x v="3"/>
    <n v="2.9650869963369799"/>
    <n v="1082.2567536629999"/>
    <n v="3896.1243131868"/>
  </r>
  <r>
    <x v="0"/>
    <x v="0"/>
    <x v="0"/>
    <x v="6"/>
    <x v="10"/>
    <s v="NO1_A1"/>
    <x v="5"/>
    <s v="GHOB_WASTEHEAT"/>
    <x v="0"/>
    <x v="12"/>
    <n v="2.9650869963369799"/>
    <n v="1082.2567536629999"/>
    <n v="3896.1243131868"/>
  </r>
  <r>
    <x v="0"/>
    <x v="0"/>
    <x v="0"/>
    <x v="6"/>
    <x v="10"/>
    <s v="NO1_A1"/>
    <x v="5"/>
    <s v="GHOB_WASTEHEAT"/>
    <x v="0"/>
    <x v="13"/>
    <n v="2.9650869963369799"/>
    <n v="1082.2567536629999"/>
    <n v="3896.1243131868"/>
  </r>
  <r>
    <x v="0"/>
    <x v="0"/>
    <x v="0"/>
    <x v="6"/>
    <x v="10"/>
    <s v="NO1_A1"/>
    <x v="5"/>
    <s v="GHOB_WASTEHEAT"/>
    <x v="0"/>
    <x v="14"/>
    <n v="2.9650869963369799"/>
    <n v="1082.2567536629999"/>
    <n v="3896.1243131868"/>
  </r>
  <r>
    <x v="0"/>
    <x v="0"/>
    <x v="0"/>
    <x v="6"/>
    <x v="10"/>
    <s v="NO1_A1"/>
    <x v="5"/>
    <s v="GHOB_WASTEHEAT"/>
    <x v="0"/>
    <x v="15"/>
    <n v="2.9650869963369799"/>
    <n v="1082.2567536629999"/>
    <n v="3896.1243131868"/>
  </r>
  <r>
    <x v="0"/>
    <x v="0"/>
    <x v="0"/>
    <x v="6"/>
    <x v="10"/>
    <s v="NO1_A1"/>
    <x v="5"/>
    <s v="GHOB_WASTEHEAT"/>
    <x v="0"/>
    <x v="4"/>
    <n v="2.9650869963369799"/>
    <n v="1082.2567536629999"/>
    <n v="3896.1243131868"/>
  </r>
  <r>
    <x v="0"/>
    <x v="0"/>
    <x v="0"/>
    <x v="6"/>
    <x v="10"/>
    <s v="NO1_A1"/>
    <x v="5"/>
    <s v="GHOB_WASTEHEAT"/>
    <x v="0"/>
    <x v="16"/>
    <n v="2.9650869963369799"/>
    <n v="1082.2567536629999"/>
    <n v="3896.1243131868"/>
  </r>
  <r>
    <x v="0"/>
    <x v="0"/>
    <x v="0"/>
    <x v="6"/>
    <x v="10"/>
    <s v="NO1_A1"/>
    <x v="5"/>
    <s v="GHOB_WASTEHEAT"/>
    <x v="0"/>
    <x v="5"/>
    <n v="2.9650869963369799"/>
    <n v="1082.2567536629999"/>
    <n v="3896.1243131868"/>
  </r>
  <r>
    <x v="0"/>
    <x v="0"/>
    <x v="0"/>
    <x v="6"/>
    <x v="10"/>
    <s v="NO1_A1"/>
    <x v="5"/>
    <s v="GHOB_WASTEHEAT"/>
    <x v="0"/>
    <x v="17"/>
    <n v="2.9650869963369799"/>
    <n v="1082.2567536629999"/>
    <n v="3896.1243131868"/>
  </r>
  <r>
    <x v="0"/>
    <x v="0"/>
    <x v="0"/>
    <x v="6"/>
    <x v="10"/>
    <s v="NO1_A1"/>
    <x v="5"/>
    <s v="GHOB_WASTEHEAT"/>
    <x v="0"/>
    <x v="18"/>
    <n v="2.9650869963369799"/>
    <n v="1082.2567536629999"/>
    <n v="3896.1243131868"/>
  </r>
  <r>
    <x v="0"/>
    <x v="0"/>
    <x v="0"/>
    <x v="6"/>
    <x v="10"/>
    <s v="NO1_A1"/>
    <x v="5"/>
    <s v="GHOB_WASTEHEAT"/>
    <x v="0"/>
    <x v="19"/>
    <n v="2.9650869963369799"/>
    <n v="1082.2567536629999"/>
    <n v="3896.1243131868"/>
  </r>
  <r>
    <x v="0"/>
    <x v="0"/>
    <x v="0"/>
    <x v="6"/>
    <x v="10"/>
    <s v="NO1_A1"/>
    <x v="5"/>
    <s v="GHOB_WASTEHEAT"/>
    <x v="0"/>
    <x v="20"/>
    <n v="2.9650869963369799"/>
    <n v="1082.2567536629999"/>
    <n v="3896.1243131868"/>
  </r>
  <r>
    <x v="0"/>
    <x v="0"/>
    <x v="0"/>
    <x v="6"/>
    <x v="10"/>
    <s v="NO1_A1"/>
    <x v="5"/>
    <s v="GHOB_WASTEHEAT"/>
    <x v="0"/>
    <x v="21"/>
    <n v="2.9650869963369799"/>
    <n v="1082.2567536629999"/>
    <n v="3896.1243131868"/>
  </r>
  <r>
    <x v="0"/>
    <x v="0"/>
    <x v="0"/>
    <x v="6"/>
    <x v="10"/>
    <s v="NO1_A1"/>
    <x v="5"/>
    <s v="GHOB_WASTEHEAT"/>
    <x v="0"/>
    <x v="22"/>
    <n v="2.9650869963369799"/>
    <n v="1082.2567536629999"/>
    <n v="3896.1243131868"/>
  </r>
  <r>
    <x v="0"/>
    <x v="0"/>
    <x v="0"/>
    <x v="6"/>
    <x v="10"/>
    <s v="NO1_A1"/>
    <x v="5"/>
    <s v="GHOB_WASTEHEAT"/>
    <x v="0"/>
    <x v="23"/>
    <n v="2.9650869963369799"/>
    <n v="1082.2567536629999"/>
    <n v="3896.1243131868"/>
  </r>
  <r>
    <x v="0"/>
    <x v="0"/>
    <x v="0"/>
    <x v="6"/>
    <x v="10"/>
    <s v="NO1_A1"/>
    <x v="8"/>
    <s v="GHOB_WOODWASTE"/>
    <x v="0"/>
    <x v="6"/>
    <n v="53"/>
    <n v="19345"/>
    <n v="69642"/>
  </r>
  <r>
    <x v="0"/>
    <x v="0"/>
    <x v="0"/>
    <x v="6"/>
    <x v="10"/>
    <s v="NO1_A1"/>
    <x v="8"/>
    <s v="GHOB_WOODWASTE"/>
    <x v="0"/>
    <x v="7"/>
    <n v="53"/>
    <n v="19345"/>
    <n v="69642"/>
  </r>
  <r>
    <x v="0"/>
    <x v="0"/>
    <x v="0"/>
    <x v="6"/>
    <x v="10"/>
    <s v="NO1_A1"/>
    <x v="8"/>
    <s v="GHOB_WOODWASTE"/>
    <x v="0"/>
    <x v="8"/>
    <n v="53"/>
    <n v="19345"/>
    <n v="69642"/>
  </r>
  <r>
    <x v="0"/>
    <x v="0"/>
    <x v="0"/>
    <x v="6"/>
    <x v="10"/>
    <s v="NO1_A1"/>
    <x v="8"/>
    <s v="GHOB_WOODWASTE"/>
    <x v="0"/>
    <x v="9"/>
    <n v="53"/>
    <n v="19345"/>
    <n v="69642"/>
  </r>
  <r>
    <x v="0"/>
    <x v="0"/>
    <x v="0"/>
    <x v="6"/>
    <x v="10"/>
    <s v="NO1_A1"/>
    <x v="8"/>
    <s v="GHOB_WOODWASTE"/>
    <x v="0"/>
    <x v="10"/>
    <n v="53"/>
    <n v="19345"/>
    <n v="69642"/>
  </r>
  <r>
    <x v="0"/>
    <x v="0"/>
    <x v="0"/>
    <x v="6"/>
    <x v="10"/>
    <s v="NO1_A1"/>
    <x v="8"/>
    <s v="GHOB_WOODWASTE"/>
    <x v="0"/>
    <x v="11"/>
    <n v="53"/>
    <n v="19345"/>
    <n v="69642"/>
  </r>
  <r>
    <x v="0"/>
    <x v="0"/>
    <x v="0"/>
    <x v="6"/>
    <x v="10"/>
    <s v="NO1_A1"/>
    <x v="8"/>
    <s v="GHOB_WOODWASTE"/>
    <x v="0"/>
    <x v="0"/>
    <n v="53"/>
    <n v="19345"/>
    <n v="69642"/>
  </r>
  <r>
    <x v="0"/>
    <x v="0"/>
    <x v="0"/>
    <x v="6"/>
    <x v="10"/>
    <s v="NO1_A1"/>
    <x v="8"/>
    <s v="GHOB_WOODWASTE"/>
    <x v="0"/>
    <x v="1"/>
    <n v="53"/>
    <n v="19345"/>
    <n v="69642"/>
  </r>
  <r>
    <x v="0"/>
    <x v="0"/>
    <x v="0"/>
    <x v="6"/>
    <x v="10"/>
    <s v="NO1_A1"/>
    <x v="8"/>
    <s v="GHOB_WOODWASTE"/>
    <x v="0"/>
    <x v="2"/>
    <n v="53"/>
    <n v="19345"/>
    <n v="69642"/>
  </r>
  <r>
    <x v="0"/>
    <x v="0"/>
    <x v="0"/>
    <x v="6"/>
    <x v="10"/>
    <s v="NO1_A1"/>
    <x v="8"/>
    <s v="GHOB_WOODWASTE"/>
    <x v="0"/>
    <x v="3"/>
    <n v="53"/>
    <n v="19345"/>
    <n v="69642"/>
  </r>
  <r>
    <x v="0"/>
    <x v="0"/>
    <x v="0"/>
    <x v="6"/>
    <x v="10"/>
    <s v="NO1_A1"/>
    <x v="8"/>
    <s v="GHOB_WOODWASTE"/>
    <x v="0"/>
    <x v="12"/>
    <n v="53"/>
    <n v="19345"/>
    <n v="69642"/>
  </r>
  <r>
    <x v="0"/>
    <x v="0"/>
    <x v="0"/>
    <x v="6"/>
    <x v="10"/>
    <s v="NO1_A1"/>
    <x v="8"/>
    <s v="GHOB_WOODWASTE"/>
    <x v="0"/>
    <x v="13"/>
    <n v="53"/>
    <n v="19345"/>
    <n v="69642"/>
  </r>
  <r>
    <x v="0"/>
    <x v="0"/>
    <x v="0"/>
    <x v="6"/>
    <x v="10"/>
    <s v="NO1_A1"/>
    <x v="8"/>
    <s v="GHOB_WOODWASTE"/>
    <x v="0"/>
    <x v="14"/>
    <n v="53"/>
    <n v="19345"/>
    <n v="69642"/>
  </r>
  <r>
    <x v="0"/>
    <x v="0"/>
    <x v="0"/>
    <x v="6"/>
    <x v="10"/>
    <s v="NO1_A1"/>
    <x v="8"/>
    <s v="GHOB_WOODWASTE"/>
    <x v="0"/>
    <x v="15"/>
    <n v="53"/>
    <n v="19345"/>
    <n v="69642"/>
  </r>
  <r>
    <x v="0"/>
    <x v="0"/>
    <x v="0"/>
    <x v="6"/>
    <x v="10"/>
    <s v="NO1_A1"/>
    <x v="8"/>
    <s v="GHOB_WOODWASTE"/>
    <x v="0"/>
    <x v="4"/>
    <n v="53"/>
    <n v="19345"/>
    <n v="69642"/>
  </r>
  <r>
    <x v="0"/>
    <x v="0"/>
    <x v="0"/>
    <x v="6"/>
    <x v="10"/>
    <s v="NO1_A1"/>
    <x v="8"/>
    <s v="GHOB_WOODWASTE"/>
    <x v="0"/>
    <x v="16"/>
    <n v="48.547564599734997"/>
    <n v="17719.861078903301"/>
    <n v="63791.499884051802"/>
  </r>
  <r>
    <x v="0"/>
    <x v="0"/>
    <x v="0"/>
    <x v="6"/>
    <x v="10"/>
    <s v="NO1_A1"/>
    <x v="8"/>
    <s v="GHOB_WOODWASTE"/>
    <x v="0"/>
    <x v="5"/>
    <n v="41.742043991991402"/>
    <n v="15235.8460570769"/>
    <n v="54849.045805476802"/>
  </r>
  <r>
    <x v="0"/>
    <x v="0"/>
    <x v="0"/>
    <x v="6"/>
    <x v="10"/>
    <s v="NO1_A1"/>
    <x v="8"/>
    <s v="GHOB_WOODWASTE"/>
    <x v="0"/>
    <x v="17"/>
    <n v="36.664713752778901"/>
    <n v="13382.620519764299"/>
    <n v="48177.433871151399"/>
  </r>
  <r>
    <x v="0"/>
    <x v="0"/>
    <x v="0"/>
    <x v="6"/>
    <x v="10"/>
    <s v="NO1_A1"/>
    <x v="8"/>
    <s v="GHOB_WOODWASTE"/>
    <x v="0"/>
    <x v="18"/>
    <n v="33.1568764281432"/>
    <n v="12102.2598962723"/>
    <n v="43568.135626580202"/>
  </r>
  <r>
    <x v="0"/>
    <x v="0"/>
    <x v="0"/>
    <x v="6"/>
    <x v="10"/>
    <s v="NO1_A1"/>
    <x v="8"/>
    <s v="GHOB_WOODWASTE"/>
    <x v="0"/>
    <x v="19"/>
    <n v="29.203777315627299"/>
    <n v="10659.378720204"/>
    <n v="38373.763392734298"/>
  </r>
  <r>
    <x v="0"/>
    <x v="0"/>
    <x v="0"/>
    <x v="6"/>
    <x v="10"/>
    <s v="NO1_A1"/>
    <x v="8"/>
    <s v="GHOB_WOODWASTE"/>
    <x v="0"/>
    <x v="20"/>
    <n v="53"/>
    <n v="19345"/>
    <n v="69642"/>
  </r>
  <r>
    <x v="0"/>
    <x v="0"/>
    <x v="0"/>
    <x v="6"/>
    <x v="10"/>
    <s v="NO1_A1"/>
    <x v="8"/>
    <s v="GHOB_WOODWASTE"/>
    <x v="0"/>
    <x v="21"/>
    <n v="47.519390556190103"/>
    <n v="17344.5775530094"/>
    <n v="62440.479190833903"/>
  </r>
  <r>
    <x v="0"/>
    <x v="0"/>
    <x v="0"/>
    <x v="6"/>
    <x v="10"/>
    <s v="NO1_A1"/>
    <x v="8"/>
    <s v="GHOB_WOODWASTE"/>
    <x v="0"/>
    <x v="22"/>
    <n v="14.6956686387341"/>
    <n v="5363.91905313794"/>
    <n v="19310.108591296601"/>
  </r>
  <r>
    <x v="0"/>
    <x v="0"/>
    <x v="0"/>
    <x v="6"/>
    <x v="10"/>
    <s v="NO1_A1"/>
    <x v="8"/>
    <s v="GHOB_WOODWASTE"/>
    <x v="0"/>
    <x v="23"/>
    <n v="53"/>
    <n v="19345"/>
    <n v="69642"/>
  </r>
  <r>
    <x v="0"/>
    <x v="0"/>
    <x v="0"/>
    <x v="6"/>
    <x v="10"/>
    <s v="NO1_A2"/>
    <x v="14"/>
    <s v="GETOH_HEATPUMP"/>
    <x v="0"/>
    <x v="11"/>
    <n v="9.4821335386618504"/>
    <n v="3460.9787416115701"/>
    <n v="12459.523469801699"/>
  </r>
  <r>
    <x v="0"/>
    <x v="0"/>
    <x v="0"/>
    <x v="6"/>
    <x v="10"/>
    <s v="NO1_A2"/>
    <x v="14"/>
    <s v="GETOH_HEATPUMP"/>
    <x v="0"/>
    <x v="0"/>
    <n v="30"/>
    <n v="10950"/>
    <n v="39420"/>
  </r>
  <r>
    <x v="0"/>
    <x v="0"/>
    <x v="0"/>
    <x v="6"/>
    <x v="10"/>
    <s v="NO1_A2"/>
    <x v="14"/>
    <s v="GETOH_HEATPUMP"/>
    <x v="0"/>
    <x v="1"/>
    <n v="0.995440354678372"/>
    <n v="363.33572945760602"/>
    <n v="1308.0086260473799"/>
  </r>
  <r>
    <x v="0"/>
    <x v="0"/>
    <x v="0"/>
    <x v="6"/>
    <x v="10"/>
    <s v="NO1_A2"/>
    <x v="14"/>
    <s v="GETOH_HEATPUMP"/>
    <x v="0"/>
    <x v="13"/>
    <n v="30"/>
    <n v="10950"/>
    <n v="39420"/>
  </r>
  <r>
    <x v="0"/>
    <x v="0"/>
    <x v="0"/>
    <x v="6"/>
    <x v="10"/>
    <s v="NO1_A2"/>
    <x v="14"/>
    <s v="GETOH_HEATPUMP"/>
    <x v="0"/>
    <x v="14"/>
    <n v="30"/>
    <n v="10950"/>
    <n v="39420"/>
  </r>
  <r>
    <x v="0"/>
    <x v="0"/>
    <x v="0"/>
    <x v="6"/>
    <x v="10"/>
    <s v="NO1_A2"/>
    <x v="14"/>
    <s v="GETOH_HEATPUMP"/>
    <x v="0"/>
    <x v="15"/>
    <n v="30"/>
    <n v="10950"/>
    <n v="39420"/>
  </r>
  <r>
    <x v="0"/>
    <x v="0"/>
    <x v="0"/>
    <x v="6"/>
    <x v="10"/>
    <s v="NO1_A2"/>
    <x v="14"/>
    <s v="GETOH_HEATPUMP"/>
    <x v="0"/>
    <x v="4"/>
    <n v="26.7857348515887"/>
    <n v="9776.7932208298898"/>
    <n v="35196.455594987601"/>
  </r>
  <r>
    <x v="0"/>
    <x v="0"/>
    <x v="0"/>
    <x v="6"/>
    <x v="10"/>
    <s v="NO1_A2"/>
    <x v="14"/>
    <s v="GETOH_HEATPUMP"/>
    <x v="0"/>
    <x v="16"/>
    <n v="21.7657011575869"/>
    <n v="7944.4809225192303"/>
    <n v="28600.131321069199"/>
  </r>
  <r>
    <x v="0"/>
    <x v="0"/>
    <x v="0"/>
    <x v="6"/>
    <x v="10"/>
    <s v="NO1_A2"/>
    <x v="14"/>
    <s v="GETOH_HEATPUMP"/>
    <x v="0"/>
    <x v="5"/>
    <n v="6.0591575701471596"/>
    <n v="2211.5925131037102"/>
    <n v="7961.7330471733603"/>
  </r>
  <r>
    <x v="0"/>
    <x v="0"/>
    <x v="0"/>
    <x v="6"/>
    <x v="10"/>
    <s v="NO1_A2"/>
    <x v="1"/>
    <s v="GNR_HS_HEAT_WTR-TANK_LS_E-95_Y-2010"/>
    <x v="0"/>
    <x v="0"/>
    <n v="11.6204114075319"/>
    <n v="4241.4501637491603"/>
    <n v="15269.220589496999"/>
  </r>
  <r>
    <x v="0"/>
    <x v="0"/>
    <x v="0"/>
    <x v="6"/>
    <x v="10"/>
    <s v="NO1_A2"/>
    <x v="1"/>
    <s v="GNR_HS_HEAT_WTR-TANK_LS_E-95_Y-2010"/>
    <x v="0"/>
    <x v="1"/>
    <n v="62.9678747180374"/>
    <n v="22983.274272083599"/>
    <n v="82739.787379501096"/>
  </r>
  <r>
    <x v="0"/>
    <x v="0"/>
    <x v="0"/>
    <x v="6"/>
    <x v="10"/>
    <s v="NO1_A2"/>
    <x v="1"/>
    <s v="GNR_HS_HEAT_WTR-TANK_LS_E-95_Y-2010"/>
    <x v="0"/>
    <x v="2"/>
    <n v="64.588962311347302"/>
    <n v="23574.971243641801"/>
    <n v="84869.896477110306"/>
  </r>
  <r>
    <x v="0"/>
    <x v="0"/>
    <x v="0"/>
    <x v="6"/>
    <x v="10"/>
    <s v="NO1_A2"/>
    <x v="1"/>
    <s v="GNR_HS_HEAT_WTR-TANK_LS_E-95_Y-2010"/>
    <x v="0"/>
    <x v="3"/>
    <n v="58.575415649543103"/>
    <n v="21380.0267120832"/>
    <n v="76968.096163499693"/>
  </r>
  <r>
    <x v="0"/>
    <x v="0"/>
    <x v="0"/>
    <x v="6"/>
    <x v="10"/>
    <s v="NO1_A2"/>
    <x v="1"/>
    <s v="GNR_HS_HEAT_WTR-TANK_LS_E-95_Y-2010"/>
    <x v="0"/>
    <x v="12"/>
    <n v="49.191785444505101"/>
    <n v="17955.001687244301"/>
    <n v="64638.006074079603"/>
  </r>
  <r>
    <x v="0"/>
    <x v="0"/>
    <x v="0"/>
    <x v="6"/>
    <x v="10"/>
    <s v="NO1_A2"/>
    <x v="1"/>
    <s v="GNR_HS_HEAT_WTR-TANK_LS_E-95_Y-2010"/>
    <x v="0"/>
    <x v="13"/>
    <n v="12.553505478354101"/>
    <n v="4582.0294995992599"/>
    <n v="16495.3061985573"/>
  </r>
  <r>
    <x v="0"/>
    <x v="0"/>
    <x v="0"/>
    <x v="6"/>
    <x v="10"/>
    <s v="NO1_A2"/>
    <x v="1"/>
    <s v="GNR_HS_HEAT_WTR-TANK_LS_E-95_Y-2010"/>
    <x v="0"/>
    <x v="14"/>
    <n v="6.43529443079861"/>
    <n v="2348.8824672414898"/>
    <n v="8455.9768820693807"/>
  </r>
  <r>
    <x v="0"/>
    <x v="0"/>
    <x v="0"/>
    <x v="6"/>
    <x v="10"/>
    <s v="NO1_A2"/>
    <x v="1"/>
    <s v="GNR_HS_HEAT_WTR-TANK_LS_E-95_Y-2010"/>
    <x v="0"/>
    <x v="15"/>
    <n v="2.2171424386613601"/>
    <n v="809.25699011139704"/>
    <n v="2913.3251644010302"/>
  </r>
  <r>
    <x v="0"/>
    <x v="0"/>
    <x v="0"/>
    <x v="6"/>
    <x v="10"/>
    <s v="NO1_A2"/>
    <x v="16"/>
    <s v="GHOB_LPG"/>
    <x v="0"/>
    <x v="6"/>
    <n v="100"/>
    <n v="36500"/>
    <n v="131400"/>
  </r>
  <r>
    <x v="0"/>
    <x v="0"/>
    <x v="0"/>
    <x v="6"/>
    <x v="10"/>
    <s v="NO1_A2"/>
    <x v="16"/>
    <s v="GHOB_LPG"/>
    <x v="0"/>
    <x v="7"/>
    <n v="100"/>
    <n v="36500"/>
    <n v="131400"/>
  </r>
  <r>
    <x v="0"/>
    <x v="0"/>
    <x v="0"/>
    <x v="6"/>
    <x v="10"/>
    <s v="NO1_A2"/>
    <x v="16"/>
    <s v="GHOB_LPG"/>
    <x v="0"/>
    <x v="8"/>
    <n v="100"/>
    <n v="36500"/>
    <n v="131400"/>
  </r>
  <r>
    <x v="0"/>
    <x v="0"/>
    <x v="0"/>
    <x v="6"/>
    <x v="10"/>
    <s v="NO1_A2"/>
    <x v="16"/>
    <s v="GHOB_LPG"/>
    <x v="0"/>
    <x v="9"/>
    <n v="100"/>
    <n v="36500"/>
    <n v="131400"/>
  </r>
  <r>
    <x v="0"/>
    <x v="0"/>
    <x v="0"/>
    <x v="6"/>
    <x v="10"/>
    <s v="NO1_A2"/>
    <x v="16"/>
    <s v="GHOB_LPG"/>
    <x v="0"/>
    <x v="10"/>
    <n v="100"/>
    <n v="36500"/>
    <n v="131400"/>
  </r>
  <r>
    <x v="0"/>
    <x v="0"/>
    <x v="0"/>
    <x v="6"/>
    <x v="10"/>
    <s v="NO1_A2"/>
    <x v="16"/>
    <s v="GHOB_LPG"/>
    <x v="0"/>
    <x v="11"/>
    <n v="100"/>
    <n v="36500"/>
    <n v="131400"/>
  </r>
  <r>
    <x v="0"/>
    <x v="0"/>
    <x v="0"/>
    <x v="6"/>
    <x v="10"/>
    <s v="NO1_A2"/>
    <x v="16"/>
    <s v="GHOB_LPG"/>
    <x v="0"/>
    <x v="0"/>
    <n v="100"/>
    <n v="36500"/>
    <n v="131400"/>
  </r>
  <r>
    <x v="0"/>
    <x v="0"/>
    <x v="0"/>
    <x v="6"/>
    <x v="10"/>
    <s v="NO1_A2"/>
    <x v="16"/>
    <s v="GHOB_LPG"/>
    <x v="0"/>
    <x v="1"/>
    <n v="100"/>
    <n v="36500"/>
    <n v="131400"/>
  </r>
  <r>
    <x v="0"/>
    <x v="0"/>
    <x v="0"/>
    <x v="6"/>
    <x v="10"/>
    <s v="NO1_A2"/>
    <x v="16"/>
    <s v="GHOB_LPG"/>
    <x v="0"/>
    <x v="2"/>
    <n v="100"/>
    <n v="36500"/>
    <n v="131400"/>
  </r>
  <r>
    <x v="0"/>
    <x v="0"/>
    <x v="0"/>
    <x v="6"/>
    <x v="10"/>
    <s v="NO1_A2"/>
    <x v="16"/>
    <s v="GHOB_LPG"/>
    <x v="0"/>
    <x v="3"/>
    <n v="100"/>
    <n v="36500"/>
    <n v="131400"/>
  </r>
  <r>
    <x v="0"/>
    <x v="0"/>
    <x v="0"/>
    <x v="6"/>
    <x v="10"/>
    <s v="NO1_A2"/>
    <x v="16"/>
    <s v="GHOB_LPG"/>
    <x v="0"/>
    <x v="12"/>
    <n v="100"/>
    <n v="36500"/>
    <n v="131400"/>
  </r>
  <r>
    <x v="0"/>
    <x v="0"/>
    <x v="0"/>
    <x v="6"/>
    <x v="10"/>
    <s v="NO1_A2"/>
    <x v="16"/>
    <s v="GHOB_LPG"/>
    <x v="0"/>
    <x v="13"/>
    <n v="100"/>
    <n v="36500"/>
    <n v="131400"/>
  </r>
  <r>
    <x v="0"/>
    <x v="0"/>
    <x v="0"/>
    <x v="6"/>
    <x v="10"/>
    <s v="NO1_A2"/>
    <x v="16"/>
    <s v="GHOB_LPG"/>
    <x v="0"/>
    <x v="14"/>
    <n v="100"/>
    <n v="36500"/>
    <n v="131400"/>
  </r>
  <r>
    <x v="0"/>
    <x v="0"/>
    <x v="0"/>
    <x v="6"/>
    <x v="10"/>
    <s v="NO1_A2"/>
    <x v="16"/>
    <s v="GHOB_LPG"/>
    <x v="0"/>
    <x v="15"/>
    <n v="100"/>
    <n v="36500"/>
    <n v="131400"/>
  </r>
  <r>
    <x v="0"/>
    <x v="0"/>
    <x v="0"/>
    <x v="6"/>
    <x v="10"/>
    <s v="NO1_A2"/>
    <x v="16"/>
    <s v="GHOB_LPG"/>
    <x v="0"/>
    <x v="4"/>
    <n v="100"/>
    <n v="36500"/>
    <n v="131400"/>
  </r>
  <r>
    <x v="0"/>
    <x v="0"/>
    <x v="0"/>
    <x v="6"/>
    <x v="10"/>
    <s v="NO1_A2"/>
    <x v="16"/>
    <s v="GHOB_LPG"/>
    <x v="0"/>
    <x v="16"/>
    <n v="100"/>
    <n v="36500"/>
    <n v="131400"/>
  </r>
  <r>
    <x v="0"/>
    <x v="0"/>
    <x v="0"/>
    <x v="6"/>
    <x v="10"/>
    <s v="NO1_A2"/>
    <x v="16"/>
    <s v="GHOB_LPG"/>
    <x v="0"/>
    <x v="5"/>
    <n v="100"/>
    <n v="36500"/>
    <n v="131400"/>
  </r>
  <r>
    <x v="0"/>
    <x v="0"/>
    <x v="0"/>
    <x v="6"/>
    <x v="10"/>
    <s v="NO1_A2"/>
    <x v="16"/>
    <s v="GHOB_LPG"/>
    <x v="0"/>
    <x v="17"/>
    <n v="100"/>
    <n v="36500"/>
    <n v="131400"/>
  </r>
  <r>
    <x v="0"/>
    <x v="0"/>
    <x v="0"/>
    <x v="6"/>
    <x v="10"/>
    <s v="NO1_A2"/>
    <x v="16"/>
    <s v="GHOB_LPG"/>
    <x v="0"/>
    <x v="18"/>
    <n v="100"/>
    <n v="36500"/>
    <n v="131400"/>
  </r>
  <r>
    <x v="0"/>
    <x v="0"/>
    <x v="0"/>
    <x v="6"/>
    <x v="10"/>
    <s v="NO1_A2"/>
    <x v="16"/>
    <s v="GHOB_LPG"/>
    <x v="0"/>
    <x v="19"/>
    <n v="100"/>
    <n v="36500"/>
    <n v="131400"/>
  </r>
  <r>
    <x v="0"/>
    <x v="0"/>
    <x v="0"/>
    <x v="6"/>
    <x v="10"/>
    <s v="NO1_A2"/>
    <x v="16"/>
    <s v="GHOB_LPG"/>
    <x v="0"/>
    <x v="20"/>
    <n v="100"/>
    <n v="36500"/>
    <n v="131400"/>
  </r>
  <r>
    <x v="0"/>
    <x v="0"/>
    <x v="0"/>
    <x v="6"/>
    <x v="10"/>
    <s v="NO1_A2"/>
    <x v="16"/>
    <s v="GHOB_LPG"/>
    <x v="0"/>
    <x v="21"/>
    <n v="100"/>
    <n v="36500"/>
    <n v="131400"/>
  </r>
  <r>
    <x v="0"/>
    <x v="0"/>
    <x v="0"/>
    <x v="6"/>
    <x v="10"/>
    <s v="NO1_A2"/>
    <x v="16"/>
    <s v="GHOB_LPG"/>
    <x v="0"/>
    <x v="22"/>
    <n v="100"/>
    <n v="36500"/>
    <n v="131400"/>
  </r>
  <r>
    <x v="0"/>
    <x v="0"/>
    <x v="0"/>
    <x v="6"/>
    <x v="10"/>
    <s v="NO1_A2"/>
    <x v="16"/>
    <s v="GHOB_LPG"/>
    <x v="0"/>
    <x v="23"/>
    <n v="100"/>
    <n v="36500"/>
    <n v="131400"/>
  </r>
  <r>
    <x v="0"/>
    <x v="0"/>
    <x v="0"/>
    <x v="6"/>
    <x v="10"/>
    <s v="NO1_A2"/>
    <x v="2"/>
    <s v="GBPR_MUNIWASTE"/>
    <x v="0"/>
    <x v="6"/>
    <n v="35.784946236558703"/>
    <n v="13061.505376343899"/>
    <n v="47021.419354838203"/>
  </r>
  <r>
    <x v="0"/>
    <x v="0"/>
    <x v="0"/>
    <x v="6"/>
    <x v="10"/>
    <s v="NO1_A2"/>
    <x v="2"/>
    <s v="GBPR_MUNIWASTE"/>
    <x v="0"/>
    <x v="7"/>
    <n v="35.784946236558703"/>
    <n v="13061.505376343899"/>
    <n v="47021.419354838203"/>
  </r>
  <r>
    <x v="0"/>
    <x v="0"/>
    <x v="0"/>
    <x v="6"/>
    <x v="10"/>
    <s v="NO1_A2"/>
    <x v="2"/>
    <s v="GBPR_MUNIWASTE"/>
    <x v="0"/>
    <x v="8"/>
    <n v="35.784946236558703"/>
    <n v="13061.505376343899"/>
    <n v="47021.419354838203"/>
  </r>
  <r>
    <x v="0"/>
    <x v="0"/>
    <x v="0"/>
    <x v="6"/>
    <x v="10"/>
    <s v="NO1_A2"/>
    <x v="2"/>
    <s v="GBPR_MUNIWASTE"/>
    <x v="0"/>
    <x v="9"/>
    <n v="35.784946236558703"/>
    <n v="13061.505376343899"/>
    <n v="47021.419354838203"/>
  </r>
  <r>
    <x v="0"/>
    <x v="0"/>
    <x v="0"/>
    <x v="6"/>
    <x v="10"/>
    <s v="NO1_A2"/>
    <x v="2"/>
    <s v="GBPR_MUNIWASTE"/>
    <x v="0"/>
    <x v="10"/>
    <n v="35.784946236558703"/>
    <n v="13061.505376343899"/>
    <n v="47021.419354838203"/>
  </r>
  <r>
    <x v="0"/>
    <x v="0"/>
    <x v="0"/>
    <x v="6"/>
    <x v="10"/>
    <s v="NO1_A2"/>
    <x v="2"/>
    <s v="GBPR_MUNIWASTE"/>
    <x v="0"/>
    <x v="11"/>
    <n v="35.784946236558703"/>
    <n v="13061.505376343899"/>
    <n v="47021.419354838203"/>
  </r>
  <r>
    <x v="0"/>
    <x v="0"/>
    <x v="0"/>
    <x v="6"/>
    <x v="10"/>
    <s v="NO1_A2"/>
    <x v="2"/>
    <s v="GBPR_MUNIWASTE"/>
    <x v="0"/>
    <x v="0"/>
    <n v="35.784946236558703"/>
    <n v="13061.505376343899"/>
    <n v="47021.419354838203"/>
  </r>
  <r>
    <x v="0"/>
    <x v="0"/>
    <x v="0"/>
    <x v="6"/>
    <x v="10"/>
    <s v="NO1_A2"/>
    <x v="2"/>
    <s v="GBPR_MUNIWASTE"/>
    <x v="0"/>
    <x v="1"/>
    <n v="35.784946236558703"/>
    <n v="13061.505376343899"/>
    <n v="47021.419354838203"/>
  </r>
  <r>
    <x v="0"/>
    <x v="0"/>
    <x v="0"/>
    <x v="6"/>
    <x v="10"/>
    <s v="NO1_A2"/>
    <x v="2"/>
    <s v="GBPR_MUNIWASTE"/>
    <x v="0"/>
    <x v="2"/>
    <n v="35.784946236558703"/>
    <n v="13061.505376343899"/>
    <n v="47021.419354838203"/>
  </r>
  <r>
    <x v="0"/>
    <x v="0"/>
    <x v="0"/>
    <x v="6"/>
    <x v="10"/>
    <s v="NO1_A2"/>
    <x v="2"/>
    <s v="GBPR_MUNIWASTE"/>
    <x v="0"/>
    <x v="3"/>
    <n v="35.784946236558703"/>
    <n v="13061.505376343899"/>
    <n v="47021.419354838203"/>
  </r>
  <r>
    <x v="0"/>
    <x v="0"/>
    <x v="0"/>
    <x v="6"/>
    <x v="10"/>
    <s v="NO1_A2"/>
    <x v="2"/>
    <s v="GBPR_MUNIWASTE"/>
    <x v="0"/>
    <x v="12"/>
    <n v="35.784946236558703"/>
    <n v="13061.505376343899"/>
    <n v="47021.419354838203"/>
  </r>
  <r>
    <x v="0"/>
    <x v="0"/>
    <x v="0"/>
    <x v="6"/>
    <x v="10"/>
    <s v="NO1_A2"/>
    <x v="2"/>
    <s v="GBPR_MUNIWASTE"/>
    <x v="0"/>
    <x v="13"/>
    <n v="35.784946236558703"/>
    <n v="13061.505376343899"/>
    <n v="47021.419354838203"/>
  </r>
  <r>
    <x v="0"/>
    <x v="0"/>
    <x v="0"/>
    <x v="6"/>
    <x v="10"/>
    <s v="NO1_A2"/>
    <x v="2"/>
    <s v="GBPR_MUNIWASTE"/>
    <x v="0"/>
    <x v="14"/>
    <n v="35.784946236558703"/>
    <n v="13061.505376343899"/>
    <n v="47021.419354838203"/>
  </r>
  <r>
    <x v="0"/>
    <x v="0"/>
    <x v="0"/>
    <x v="6"/>
    <x v="10"/>
    <s v="NO1_A2"/>
    <x v="2"/>
    <s v="GBPR_MUNIWASTE"/>
    <x v="0"/>
    <x v="15"/>
    <n v="35.784946236558703"/>
    <n v="13061.505376343899"/>
    <n v="47021.419354838203"/>
  </r>
  <r>
    <x v="0"/>
    <x v="0"/>
    <x v="0"/>
    <x v="6"/>
    <x v="10"/>
    <s v="NO1_A2"/>
    <x v="2"/>
    <s v="GBPR_MUNIWASTE"/>
    <x v="0"/>
    <x v="4"/>
    <n v="35.784946236558703"/>
    <n v="13061.505376343899"/>
    <n v="47021.419354838203"/>
  </r>
  <r>
    <x v="0"/>
    <x v="0"/>
    <x v="0"/>
    <x v="6"/>
    <x v="10"/>
    <s v="NO1_A2"/>
    <x v="2"/>
    <s v="GBPR_MUNIWASTE"/>
    <x v="0"/>
    <x v="16"/>
    <n v="35.784946236558703"/>
    <n v="13061.505376343899"/>
    <n v="47021.419354838203"/>
  </r>
  <r>
    <x v="0"/>
    <x v="0"/>
    <x v="0"/>
    <x v="6"/>
    <x v="10"/>
    <s v="NO1_A2"/>
    <x v="2"/>
    <s v="GBPR_MUNIWASTE"/>
    <x v="0"/>
    <x v="5"/>
    <n v="35.784946236558703"/>
    <n v="13061.505376343899"/>
    <n v="47021.419354838203"/>
  </r>
  <r>
    <x v="0"/>
    <x v="0"/>
    <x v="0"/>
    <x v="6"/>
    <x v="10"/>
    <s v="NO1_A2"/>
    <x v="2"/>
    <s v="GBPR_MUNIWASTE"/>
    <x v="0"/>
    <x v="17"/>
    <n v="35.784946236558703"/>
    <n v="13061.505376343899"/>
    <n v="47021.419354838203"/>
  </r>
  <r>
    <x v="0"/>
    <x v="0"/>
    <x v="0"/>
    <x v="6"/>
    <x v="10"/>
    <s v="NO1_A2"/>
    <x v="2"/>
    <s v="GBPR_MUNIWASTE"/>
    <x v="0"/>
    <x v="18"/>
    <n v="35.784946236558703"/>
    <n v="13061.505376343899"/>
    <n v="47021.419354838203"/>
  </r>
  <r>
    <x v="0"/>
    <x v="0"/>
    <x v="0"/>
    <x v="6"/>
    <x v="10"/>
    <s v="NO1_A2"/>
    <x v="2"/>
    <s v="GBPR_MUNIWASTE"/>
    <x v="0"/>
    <x v="19"/>
    <n v="35.784946236558703"/>
    <n v="13061.505376343899"/>
    <n v="47021.419354838203"/>
  </r>
  <r>
    <x v="0"/>
    <x v="0"/>
    <x v="0"/>
    <x v="6"/>
    <x v="10"/>
    <s v="NO1_A2"/>
    <x v="2"/>
    <s v="GBPR_MUNIWASTE"/>
    <x v="0"/>
    <x v="20"/>
    <n v="35.784946236558703"/>
    <n v="13061.505376343899"/>
    <n v="47021.419354838203"/>
  </r>
  <r>
    <x v="0"/>
    <x v="0"/>
    <x v="0"/>
    <x v="6"/>
    <x v="10"/>
    <s v="NO1_A2"/>
    <x v="2"/>
    <s v="GBPR_MUNIWASTE"/>
    <x v="0"/>
    <x v="21"/>
    <n v="35.784946236558703"/>
    <n v="13061.505376343899"/>
    <n v="47021.419354838203"/>
  </r>
  <r>
    <x v="0"/>
    <x v="0"/>
    <x v="0"/>
    <x v="6"/>
    <x v="10"/>
    <s v="NO1_A2"/>
    <x v="2"/>
    <s v="GBPR_MUNIWASTE"/>
    <x v="0"/>
    <x v="22"/>
    <n v="35.784946236558703"/>
    <n v="13061.505376343899"/>
    <n v="47021.419354838203"/>
  </r>
  <r>
    <x v="0"/>
    <x v="0"/>
    <x v="0"/>
    <x v="6"/>
    <x v="10"/>
    <s v="NO1_A2"/>
    <x v="2"/>
    <s v="GBPR_MUNIWASTE"/>
    <x v="0"/>
    <x v="23"/>
    <n v="35.784946236558703"/>
    <n v="13061.505376343899"/>
    <n v="47021.419354838203"/>
  </r>
  <r>
    <x v="0"/>
    <x v="0"/>
    <x v="0"/>
    <x v="6"/>
    <x v="10"/>
    <s v="NO1_A2"/>
    <x v="2"/>
    <s v="GHOB_MUNIWASTE"/>
    <x v="0"/>
    <x v="6"/>
    <n v="32"/>
    <n v="11680"/>
    <n v="42048"/>
  </r>
  <r>
    <x v="0"/>
    <x v="0"/>
    <x v="0"/>
    <x v="6"/>
    <x v="10"/>
    <s v="NO1_A2"/>
    <x v="2"/>
    <s v="GHOB_MUNIWASTE"/>
    <x v="0"/>
    <x v="7"/>
    <n v="32"/>
    <n v="11680"/>
    <n v="42048"/>
  </r>
  <r>
    <x v="0"/>
    <x v="0"/>
    <x v="0"/>
    <x v="6"/>
    <x v="10"/>
    <s v="NO1_A2"/>
    <x v="2"/>
    <s v="GHOB_MUNIWASTE"/>
    <x v="0"/>
    <x v="8"/>
    <n v="32"/>
    <n v="11680"/>
    <n v="42048"/>
  </r>
  <r>
    <x v="0"/>
    <x v="0"/>
    <x v="0"/>
    <x v="6"/>
    <x v="10"/>
    <s v="NO1_A2"/>
    <x v="2"/>
    <s v="GHOB_MUNIWASTE"/>
    <x v="0"/>
    <x v="9"/>
    <n v="32"/>
    <n v="11680"/>
    <n v="42048"/>
  </r>
  <r>
    <x v="0"/>
    <x v="0"/>
    <x v="0"/>
    <x v="6"/>
    <x v="10"/>
    <s v="NO1_A2"/>
    <x v="2"/>
    <s v="GHOB_MUNIWASTE"/>
    <x v="0"/>
    <x v="10"/>
    <n v="32"/>
    <n v="11680"/>
    <n v="42048"/>
  </r>
  <r>
    <x v="0"/>
    <x v="0"/>
    <x v="0"/>
    <x v="6"/>
    <x v="10"/>
    <s v="NO1_A2"/>
    <x v="2"/>
    <s v="GHOB_MUNIWASTE"/>
    <x v="0"/>
    <x v="11"/>
    <n v="32"/>
    <n v="11680"/>
    <n v="42048"/>
  </r>
  <r>
    <x v="0"/>
    <x v="0"/>
    <x v="0"/>
    <x v="6"/>
    <x v="10"/>
    <s v="NO1_A2"/>
    <x v="2"/>
    <s v="GHOB_MUNIWASTE"/>
    <x v="0"/>
    <x v="0"/>
    <n v="32"/>
    <n v="11680"/>
    <n v="42048"/>
  </r>
  <r>
    <x v="0"/>
    <x v="0"/>
    <x v="0"/>
    <x v="6"/>
    <x v="10"/>
    <s v="NO1_A2"/>
    <x v="2"/>
    <s v="GHOB_MUNIWASTE"/>
    <x v="0"/>
    <x v="1"/>
    <n v="32"/>
    <n v="11680"/>
    <n v="42048"/>
  </r>
  <r>
    <x v="0"/>
    <x v="0"/>
    <x v="0"/>
    <x v="6"/>
    <x v="10"/>
    <s v="NO1_A2"/>
    <x v="2"/>
    <s v="GHOB_MUNIWASTE"/>
    <x v="0"/>
    <x v="2"/>
    <n v="32"/>
    <n v="11680"/>
    <n v="42048"/>
  </r>
  <r>
    <x v="0"/>
    <x v="0"/>
    <x v="0"/>
    <x v="6"/>
    <x v="10"/>
    <s v="NO1_A2"/>
    <x v="2"/>
    <s v="GHOB_MUNIWASTE"/>
    <x v="0"/>
    <x v="3"/>
    <n v="32"/>
    <n v="11680"/>
    <n v="42048"/>
  </r>
  <r>
    <x v="0"/>
    <x v="0"/>
    <x v="0"/>
    <x v="6"/>
    <x v="10"/>
    <s v="NO1_A2"/>
    <x v="2"/>
    <s v="GHOB_MUNIWASTE"/>
    <x v="0"/>
    <x v="12"/>
    <n v="32"/>
    <n v="11680"/>
    <n v="42048"/>
  </r>
  <r>
    <x v="0"/>
    <x v="0"/>
    <x v="0"/>
    <x v="6"/>
    <x v="10"/>
    <s v="NO1_A2"/>
    <x v="2"/>
    <s v="GHOB_MUNIWASTE"/>
    <x v="0"/>
    <x v="13"/>
    <n v="32"/>
    <n v="11680"/>
    <n v="42048"/>
  </r>
  <r>
    <x v="0"/>
    <x v="0"/>
    <x v="0"/>
    <x v="6"/>
    <x v="10"/>
    <s v="NO1_A2"/>
    <x v="2"/>
    <s v="GHOB_MUNIWASTE"/>
    <x v="0"/>
    <x v="14"/>
    <n v="32"/>
    <n v="11680"/>
    <n v="42048"/>
  </r>
  <r>
    <x v="0"/>
    <x v="0"/>
    <x v="0"/>
    <x v="6"/>
    <x v="10"/>
    <s v="NO1_A2"/>
    <x v="2"/>
    <s v="GHOB_MUNIWASTE"/>
    <x v="0"/>
    <x v="15"/>
    <n v="32"/>
    <n v="11680"/>
    <n v="42048"/>
  </r>
  <r>
    <x v="0"/>
    <x v="0"/>
    <x v="0"/>
    <x v="6"/>
    <x v="10"/>
    <s v="NO1_A2"/>
    <x v="2"/>
    <s v="GHOB_MUNIWASTE"/>
    <x v="0"/>
    <x v="4"/>
    <n v="32"/>
    <n v="11680"/>
    <n v="42048"/>
  </r>
  <r>
    <x v="0"/>
    <x v="0"/>
    <x v="0"/>
    <x v="6"/>
    <x v="10"/>
    <s v="NO1_A2"/>
    <x v="2"/>
    <s v="GHOB_MUNIWASTE"/>
    <x v="0"/>
    <x v="16"/>
    <n v="32"/>
    <n v="11680"/>
    <n v="42048"/>
  </r>
  <r>
    <x v="0"/>
    <x v="0"/>
    <x v="0"/>
    <x v="6"/>
    <x v="10"/>
    <s v="NO1_A2"/>
    <x v="2"/>
    <s v="GHOB_MUNIWASTE"/>
    <x v="0"/>
    <x v="5"/>
    <n v="32"/>
    <n v="11680"/>
    <n v="42048"/>
  </r>
  <r>
    <x v="0"/>
    <x v="0"/>
    <x v="0"/>
    <x v="6"/>
    <x v="10"/>
    <s v="NO1_A2"/>
    <x v="2"/>
    <s v="GHOB_MUNIWASTE"/>
    <x v="0"/>
    <x v="17"/>
    <n v="32"/>
    <n v="11680"/>
    <n v="42048"/>
  </r>
  <r>
    <x v="0"/>
    <x v="0"/>
    <x v="0"/>
    <x v="6"/>
    <x v="10"/>
    <s v="NO1_A2"/>
    <x v="2"/>
    <s v="GHOB_MUNIWASTE"/>
    <x v="0"/>
    <x v="18"/>
    <n v="32"/>
    <n v="11680"/>
    <n v="42048"/>
  </r>
  <r>
    <x v="0"/>
    <x v="0"/>
    <x v="0"/>
    <x v="6"/>
    <x v="10"/>
    <s v="NO1_A2"/>
    <x v="2"/>
    <s v="GHOB_MUNIWASTE"/>
    <x v="0"/>
    <x v="19"/>
    <n v="32"/>
    <n v="11680"/>
    <n v="42048"/>
  </r>
  <r>
    <x v="0"/>
    <x v="0"/>
    <x v="0"/>
    <x v="6"/>
    <x v="10"/>
    <s v="NO1_A2"/>
    <x v="2"/>
    <s v="GHOB_MUNIWASTE"/>
    <x v="0"/>
    <x v="20"/>
    <n v="32"/>
    <n v="11680"/>
    <n v="42048"/>
  </r>
  <r>
    <x v="0"/>
    <x v="0"/>
    <x v="0"/>
    <x v="6"/>
    <x v="10"/>
    <s v="NO1_A2"/>
    <x v="2"/>
    <s v="GHOB_MUNIWASTE"/>
    <x v="0"/>
    <x v="21"/>
    <n v="32"/>
    <n v="11680"/>
    <n v="42048"/>
  </r>
  <r>
    <x v="0"/>
    <x v="0"/>
    <x v="0"/>
    <x v="6"/>
    <x v="10"/>
    <s v="NO1_A2"/>
    <x v="2"/>
    <s v="GHOB_MUNIWASTE"/>
    <x v="0"/>
    <x v="22"/>
    <n v="32"/>
    <n v="11680"/>
    <n v="42048"/>
  </r>
  <r>
    <x v="0"/>
    <x v="0"/>
    <x v="0"/>
    <x v="6"/>
    <x v="10"/>
    <s v="NO1_A2"/>
    <x v="2"/>
    <s v="GHOB_MUNIWASTE"/>
    <x v="0"/>
    <x v="23"/>
    <n v="32"/>
    <n v="11680"/>
    <n v="42048"/>
  </r>
  <r>
    <x v="0"/>
    <x v="0"/>
    <x v="0"/>
    <x v="6"/>
    <x v="10"/>
    <s v="NO1_A2"/>
    <x v="8"/>
    <s v="GHOB_WOODWASTE"/>
    <x v="0"/>
    <x v="6"/>
    <n v="16"/>
    <n v="5840"/>
    <n v="21024"/>
  </r>
  <r>
    <x v="0"/>
    <x v="0"/>
    <x v="0"/>
    <x v="6"/>
    <x v="10"/>
    <s v="NO1_A2"/>
    <x v="8"/>
    <s v="GHOB_WOODWASTE"/>
    <x v="0"/>
    <x v="7"/>
    <n v="16"/>
    <n v="5840"/>
    <n v="21024"/>
  </r>
  <r>
    <x v="0"/>
    <x v="0"/>
    <x v="0"/>
    <x v="6"/>
    <x v="10"/>
    <s v="NO1_A2"/>
    <x v="8"/>
    <s v="GHOB_WOODWASTE"/>
    <x v="0"/>
    <x v="8"/>
    <n v="16"/>
    <n v="5840"/>
    <n v="21024"/>
  </r>
  <r>
    <x v="0"/>
    <x v="0"/>
    <x v="0"/>
    <x v="6"/>
    <x v="10"/>
    <s v="NO1_A2"/>
    <x v="8"/>
    <s v="GHOB_WOODWASTE"/>
    <x v="0"/>
    <x v="9"/>
    <n v="16"/>
    <n v="5840"/>
    <n v="21024"/>
  </r>
  <r>
    <x v="0"/>
    <x v="0"/>
    <x v="0"/>
    <x v="6"/>
    <x v="10"/>
    <s v="NO1_A2"/>
    <x v="8"/>
    <s v="GHOB_WOODWASTE"/>
    <x v="0"/>
    <x v="10"/>
    <n v="16"/>
    <n v="5840"/>
    <n v="21024"/>
  </r>
  <r>
    <x v="0"/>
    <x v="0"/>
    <x v="0"/>
    <x v="6"/>
    <x v="10"/>
    <s v="NO1_A2"/>
    <x v="8"/>
    <s v="GHOB_WOODWASTE"/>
    <x v="0"/>
    <x v="11"/>
    <n v="16"/>
    <n v="5840"/>
    <n v="21024"/>
  </r>
  <r>
    <x v="0"/>
    <x v="0"/>
    <x v="0"/>
    <x v="6"/>
    <x v="10"/>
    <s v="NO1_A2"/>
    <x v="8"/>
    <s v="GHOB_WOODWASTE"/>
    <x v="0"/>
    <x v="0"/>
    <n v="16"/>
    <n v="5840"/>
    <n v="21024"/>
  </r>
  <r>
    <x v="0"/>
    <x v="0"/>
    <x v="0"/>
    <x v="6"/>
    <x v="10"/>
    <s v="NO1_A2"/>
    <x v="8"/>
    <s v="GHOB_WOODWASTE"/>
    <x v="0"/>
    <x v="1"/>
    <n v="16"/>
    <n v="5840"/>
    <n v="21024"/>
  </r>
  <r>
    <x v="0"/>
    <x v="0"/>
    <x v="0"/>
    <x v="6"/>
    <x v="10"/>
    <s v="NO1_A2"/>
    <x v="8"/>
    <s v="GHOB_WOODWASTE"/>
    <x v="0"/>
    <x v="2"/>
    <n v="16"/>
    <n v="5840"/>
    <n v="21024"/>
  </r>
  <r>
    <x v="0"/>
    <x v="0"/>
    <x v="0"/>
    <x v="6"/>
    <x v="10"/>
    <s v="NO1_A2"/>
    <x v="8"/>
    <s v="GHOB_WOODWASTE"/>
    <x v="0"/>
    <x v="3"/>
    <n v="16"/>
    <n v="5840"/>
    <n v="21024"/>
  </r>
  <r>
    <x v="0"/>
    <x v="0"/>
    <x v="0"/>
    <x v="6"/>
    <x v="10"/>
    <s v="NO1_A2"/>
    <x v="8"/>
    <s v="GHOB_WOODWASTE"/>
    <x v="0"/>
    <x v="12"/>
    <n v="16"/>
    <n v="5840"/>
    <n v="21024"/>
  </r>
  <r>
    <x v="0"/>
    <x v="0"/>
    <x v="0"/>
    <x v="6"/>
    <x v="10"/>
    <s v="NO1_A2"/>
    <x v="8"/>
    <s v="GHOB_WOODWASTE"/>
    <x v="0"/>
    <x v="13"/>
    <n v="16"/>
    <n v="5840"/>
    <n v="21024"/>
  </r>
  <r>
    <x v="0"/>
    <x v="0"/>
    <x v="0"/>
    <x v="6"/>
    <x v="10"/>
    <s v="NO1_A2"/>
    <x v="8"/>
    <s v="GHOB_WOODWASTE"/>
    <x v="0"/>
    <x v="14"/>
    <n v="16"/>
    <n v="5840"/>
    <n v="21024"/>
  </r>
  <r>
    <x v="0"/>
    <x v="0"/>
    <x v="0"/>
    <x v="6"/>
    <x v="10"/>
    <s v="NO1_A2"/>
    <x v="8"/>
    <s v="GHOB_WOODWASTE"/>
    <x v="0"/>
    <x v="15"/>
    <n v="16"/>
    <n v="5840"/>
    <n v="21024"/>
  </r>
  <r>
    <x v="0"/>
    <x v="0"/>
    <x v="0"/>
    <x v="6"/>
    <x v="10"/>
    <s v="NO1_A2"/>
    <x v="8"/>
    <s v="GHOB_WOODWASTE"/>
    <x v="0"/>
    <x v="4"/>
    <n v="16"/>
    <n v="5840"/>
    <n v="21024"/>
  </r>
  <r>
    <x v="0"/>
    <x v="0"/>
    <x v="0"/>
    <x v="6"/>
    <x v="10"/>
    <s v="NO1_A2"/>
    <x v="8"/>
    <s v="GHOB_WOODWASTE"/>
    <x v="0"/>
    <x v="16"/>
    <n v="16"/>
    <n v="5840"/>
    <n v="21024"/>
  </r>
  <r>
    <x v="0"/>
    <x v="0"/>
    <x v="0"/>
    <x v="6"/>
    <x v="10"/>
    <s v="NO1_A2"/>
    <x v="8"/>
    <s v="GHOB_WOODWASTE"/>
    <x v="0"/>
    <x v="5"/>
    <n v="16"/>
    <n v="5840"/>
    <n v="21024"/>
  </r>
  <r>
    <x v="0"/>
    <x v="0"/>
    <x v="0"/>
    <x v="6"/>
    <x v="10"/>
    <s v="NO1_A2"/>
    <x v="8"/>
    <s v="GHOB_WOODWASTE"/>
    <x v="0"/>
    <x v="17"/>
    <n v="16"/>
    <n v="5840"/>
    <n v="21024"/>
  </r>
  <r>
    <x v="0"/>
    <x v="0"/>
    <x v="0"/>
    <x v="6"/>
    <x v="10"/>
    <s v="NO1_A2"/>
    <x v="8"/>
    <s v="GHOB_WOODWASTE"/>
    <x v="0"/>
    <x v="18"/>
    <n v="16"/>
    <n v="5840"/>
    <n v="21024"/>
  </r>
  <r>
    <x v="0"/>
    <x v="0"/>
    <x v="0"/>
    <x v="6"/>
    <x v="10"/>
    <s v="NO1_A2"/>
    <x v="8"/>
    <s v="GHOB_WOODWASTE"/>
    <x v="0"/>
    <x v="19"/>
    <n v="16"/>
    <n v="5840"/>
    <n v="21024"/>
  </r>
  <r>
    <x v="0"/>
    <x v="0"/>
    <x v="0"/>
    <x v="6"/>
    <x v="10"/>
    <s v="NO1_A2"/>
    <x v="8"/>
    <s v="GHOB_WOODWASTE"/>
    <x v="0"/>
    <x v="20"/>
    <n v="16"/>
    <n v="5840"/>
    <n v="21024"/>
  </r>
  <r>
    <x v="0"/>
    <x v="0"/>
    <x v="0"/>
    <x v="6"/>
    <x v="10"/>
    <s v="NO1_A2"/>
    <x v="8"/>
    <s v="GHOB_WOODWASTE"/>
    <x v="0"/>
    <x v="21"/>
    <n v="16"/>
    <n v="5840"/>
    <n v="21024"/>
  </r>
  <r>
    <x v="0"/>
    <x v="0"/>
    <x v="0"/>
    <x v="6"/>
    <x v="10"/>
    <s v="NO1_A2"/>
    <x v="8"/>
    <s v="GHOB_WOODWASTE"/>
    <x v="0"/>
    <x v="22"/>
    <n v="16"/>
    <n v="5840"/>
    <n v="21024"/>
  </r>
  <r>
    <x v="0"/>
    <x v="0"/>
    <x v="0"/>
    <x v="6"/>
    <x v="10"/>
    <s v="NO1_A2"/>
    <x v="8"/>
    <s v="GHOB_WOODWASTE"/>
    <x v="0"/>
    <x v="23"/>
    <n v="16"/>
    <n v="5840"/>
    <n v="21024"/>
  </r>
  <r>
    <x v="0"/>
    <x v="0"/>
    <x v="0"/>
    <x v="6"/>
    <x v="11"/>
    <s v="NO2_A1"/>
    <x v="1"/>
    <s v="GNR_HS_HEAT_WTR-TANK_LS_E-95_Y-2010"/>
    <x v="0"/>
    <x v="4"/>
    <n v="0.29080843494360498"/>
    <n v="106.14507875441601"/>
    <n v="382.12228351589698"/>
  </r>
  <r>
    <x v="0"/>
    <x v="0"/>
    <x v="0"/>
    <x v="6"/>
    <x v="11"/>
    <s v="NO2_A1"/>
    <x v="1"/>
    <s v="GNR_HS_HEAT_WTR-TANK_LS_E-95_Y-2010"/>
    <x v="0"/>
    <x v="16"/>
    <n v="3.51473770709987"/>
    <n v="1282.87926309145"/>
    <n v="4618.36534712923"/>
  </r>
  <r>
    <x v="0"/>
    <x v="0"/>
    <x v="0"/>
    <x v="6"/>
    <x v="11"/>
    <s v="NO2_A1"/>
    <x v="1"/>
    <s v="GNR_HS_HEAT_WTR-TANK_LS_E-95_Y-2010"/>
    <x v="0"/>
    <x v="22"/>
    <n v="2.00238220198804"/>
    <n v="730.86950372563604"/>
    <n v="2631.1302134122898"/>
  </r>
  <r>
    <x v="0"/>
    <x v="0"/>
    <x v="0"/>
    <x v="6"/>
    <x v="11"/>
    <s v="NO2_A1"/>
    <x v="1"/>
    <s v="GNR_HS_HEAT_WTR-TANK_LS_E-95_Y-2010"/>
    <x v="0"/>
    <x v="23"/>
    <n v="0.87007329945823497"/>
    <n v="317.57675430225601"/>
    <n v="1143.27631548812"/>
  </r>
  <r>
    <x v="0"/>
    <x v="0"/>
    <x v="0"/>
    <x v="6"/>
    <x v="11"/>
    <s v="NO2_A1"/>
    <x v="16"/>
    <s v="GHOB_LNG"/>
    <x v="0"/>
    <x v="1"/>
    <n v="1.7109338413650701"/>
    <n v="624.49085209825"/>
    <n v="2248.1670675536998"/>
  </r>
  <r>
    <x v="0"/>
    <x v="0"/>
    <x v="0"/>
    <x v="6"/>
    <x v="11"/>
    <s v="NO2_A1"/>
    <x v="16"/>
    <s v="GHOB_LNG"/>
    <x v="0"/>
    <x v="2"/>
    <n v="2.6991094241138001"/>
    <n v="985.17493980153699"/>
    <n v="3546.6297832855298"/>
  </r>
  <r>
    <x v="0"/>
    <x v="0"/>
    <x v="0"/>
    <x v="6"/>
    <x v="11"/>
    <s v="NO2_A1"/>
    <x v="16"/>
    <s v="GHOB_LNG"/>
    <x v="0"/>
    <x v="3"/>
    <n v="1.33218219966673"/>
    <n v="486.24650287835499"/>
    <n v="1750.48741036208"/>
  </r>
  <r>
    <x v="0"/>
    <x v="0"/>
    <x v="0"/>
    <x v="6"/>
    <x v="11"/>
    <s v="NO2_A1"/>
    <x v="16"/>
    <s v="GHOB_LNG"/>
    <x v="0"/>
    <x v="5"/>
    <n v="3.2651448637930298"/>
    <n v="1191.7778752844599"/>
    <n v="4290.40035102405"/>
  </r>
  <r>
    <x v="0"/>
    <x v="0"/>
    <x v="0"/>
    <x v="6"/>
    <x v="11"/>
    <s v="NO2_A1"/>
    <x v="16"/>
    <s v="GHOB_LNG"/>
    <x v="0"/>
    <x v="17"/>
    <n v="0.56656462234958105"/>
    <n v="206.79608715759699"/>
    <n v="744.46591376735"/>
  </r>
  <r>
    <x v="0"/>
    <x v="0"/>
    <x v="0"/>
    <x v="6"/>
    <x v="11"/>
    <s v="NO2_A1"/>
    <x v="16"/>
    <s v="GHOB_LPG"/>
    <x v="0"/>
    <x v="11"/>
    <n v="2.6912796627234399"/>
    <n v="982.31707689405505"/>
    <n v="3536.3414768185999"/>
  </r>
  <r>
    <x v="0"/>
    <x v="0"/>
    <x v="0"/>
    <x v="6"/>
    <x v="11"/>
    <s v="NO2_A1"/>
    <x v="16"/>
    <s v="GHOB_LPG"/>
    <x v="0"/>
    <x v="0"/>
    <n v="9.5169921524676209"/>
    <n v="3473.7021356506798"/>
    <n v="12505.327688342501"/>
  </r>
  <r>
    <x v="0"/>
    <x v="0"/>
    <x v="0"/>
    <x v="6"/>
    <x v="11"/>
    <s v="NO2_A1"/>
    <x v="16"/>
    <s v="GHOB_LPG"/>
    <x v="0"/>
    <x v="1"/>
    <n v="14"/>
    <n v="5110"/>
    <n v="18396"/>
  </r>
  <r>
    <x v="0"/>
    <x v="0"/>
    <x v="0"/>
    <x v="6"/>
    <x v="11"/>
    <s v="NO2_A1"/>
    <x v="16"/>
    <s v="GHOB_LPG"/>
    <x v="0"/>
    <x v="2"/>
    <n v="14"/>
    <n v="5110"/>
    <n v="18396"/>
  </r>
  <r>
    <x v="0"/>
    <x v="0"/>
    <x v="0"/>
    <x v="6"/>
    <x v="11"/>
    <s v="NO2_A1"/>
    <x v="16"/>
    <s v="GHOB_LPG"/>
    <x v="0"/>
    <x v="3"/>
    <n v="14"/>
    <n v="5110"/>
    <n v="18396"/>
  </r>
  <r>
    <x v="0"/>
    <x v="0"/>
    <x v="0"/>
    <x v="6"/>
    <x v="11"/>
    <s v="NO2_A1"/>
    <x v="16"/>
    <s v="GHOB_LPG"/>
    <x v="0"/>
    <x v="12"/>
    <n v="13.4493599784059"/>
    <n v="4909.0163921181502"/>
    <n v="17672.4590116254"/>
  </r>
  <r>
    <x v="0"/>
    <x v="0"/>
    <x v="0"/>
    <x v="6"/>
    <x v="11"/>
    <s v="NO2_A1"/>
    <x v="16"/>
    <s v="GHOB_LPG"/>
    <x v="0"/>
    <x v="13"/>
    <n v="11.777433891431"/>
    <n v="4298.7633703723104"/>
    <n v="15475.5481333403"/>
  </r>
  <r>
    <x v="0"/>
    <x v="0"/>
    <x v="0"/>
    <x v="6"/>
    <x v="11"/>
    <s v="NO2_A1"/>
    <x v="16"/>
    <s v="GHOB_LPG"/>
    <x v="0"/>
    <x v="14"/>
    <n v="10.362867129194999"/>
    <n v="3782.44650215619"/>
    <n v="13616.8074077623"/>
  </r>
  <r>
    <x v="0"/>
    <x v="0"/>
    <x v="0"/>
    <x v="6"/>
    <x v="11"/>
    <s v="NO2_A1"/>
    <x v="16"/>
    <s v="GHOB_LPG"/>
    <x v="0"/>
    <x v="15"/>
    <n v="9.6762484490568408"/>
    <n v="3531.83068390575"/>
    <n v="12714.5904620607"/>
  </r>
  <r>
    <x v="0"/>
    <x v="0"/>
    <x v="0"/>
    <x v="6"/>
    <x v="11"/>
    <s v="NO2_A1"/>
    <x v="16"/>
    <s v="GHOB_LPG"/>
    <x v="0"/>
    <x v="4"/>
    <n v="8.0113472509835795"/>
    <n v="2924.1417466090102"/>
    <n v="10526.9102877924"/>
  </r>
  <r>
    <x v="0"/>
    <x v="0"/>
    <x v="0"/>
    <x v="6"/>
    <x v="11"/>
    <s v="NO2_A1"/>
    <x v="16"/>
    <s v="GHOB_LPG"/>
    <x v="0"/>
    <x v="16"/>
    <n v="2.8098214195514402"/>
    <n v="1025.5848181362801"/>
    <n v="3692.1053452905899"/>
  </r>
  <r>
    <x v="0"/>
    <x v="0"/>
    <x v="0"/>
    <x v="6"/>
    <x v="11"/>
    <s v="NO2_A1"/>
    <x v="2"/>
    <s v="GBPR_MUNIWASTE"/>
    <x v="0"/>
    <x v="6"/>
    <n v="34.838709677419402"/>
    <n v="12716.129032258101"/>
    <n v="45778.064516129001"/>
  </r>
  <r>
    <x v="0"/>
    <x v="0"/>
    <x v="0"/>
    <x v="6"/>
    <x v="11"/>
    <s v="NO2_A1"/>
    <x v="2"/>
    <s v="GBPR_MUNIWASTE"/>
    <x v="0"/>
    <x v="7"/>
    <n v="34.838709677419402"/>
    <n v="12716.129032258101"/>
    <n v="45778.064516129001"/>
  </r>
  <r>
    <x v="0"/>
    <x v="0"/>
    <x v="0"/>
    <x v="6"/>
    <x v="11"/>
    <s v="NO2_A1"/>
    <x v="2"/>
    <s v="GBPR_MUNIWASTE"/>
    <x v="0"/>
    <x v="8"/>
    <n v="34.838709677419402"/>
    <n v="12716.129032258101"/>
    <n v="45778.064516129001"/>
  </r>
  <r>
    <x v="0"/>
    <x v="0"/>
    <x v="0"/>
    <x v="6"/>
    <x v="11"/>
    <s v="NO2_A1"/>
    <x v="2"/>
    <s v="GBPR_MUNIWASTE"/>
    <x v="0"/>
    <x v="9"/>
    <n v="34.838709677419402"/>
    <n v="12716.129032258101"/>
    <n v="45778.064516129001"/>
  </r>
  <r>
    <x v="0"/>
    <x v="0"/>
    <x v="0"/>
    <x v="6"/>
    <x v="11"/>
    <s v="NO2_A1"/>
    <x v="2"/>
    <s v="GBPR_MUNIWASTE"/>
    <x v="0"/>
    <x v="10"/>
    <n v="34.838709677419402"/>
    <n v="12716.129032258101"/>
    <n v="45778.064516129001"/>
  </r>
  <r>
    <x v="0"/>
    <x v="0"/>
    <x v="0"/>
    <x v="6"/>
    <x v="11"/>
    <s v="NO2_A1"/>
    <x v="2"/>
    <s v="GBPR_MUNIWASTE"/>
    <x v="0"/>
    <x v="11"/>
    <n v="34.838709677419402"/>
    <n v="12716.129032258101"/>
    <n v="45778.064516129001"/>
  </r>
  <r>
    <x v="0"/>
    <x v="0"/>
    <x v="0"/>
    <x v="6"/>
    <x v="11"/>
    <s v="NO2_A1"/>
    <x v="2"/>
    <s v="GBPR_MUNIWASTE"/>
    <x v="0"/>
    <x v="0"/>
    <n v="34.838709677419402"/>
    <n v="12716.129032258101"/>
    <n v="45778.064516129001"/>
  </r>
  <r>
    <x v="0"/>
    <x v="0"/>
    <x v="0"/>
    <x v="6"/>
    <x v="11"/>
    <s v="NO2_A1"/>
    <x v="2"/>
    <s v="GBPR_MUNIWASTE"/>
    <x v="0"/>
    <x v="1"/>
    <n v="34.838709677419402"/>
    <n v="12716.129032258101"/>
    <n v="45778.064516129001"/>
  </r>
  <r>
    <x v="0"/>
    <x v="0"/>
    <x v="0"/>
    <x v="6"/>
    <x v="11"/>
    <s v="NO2_A1"/>
    <x v="2"/>
    <s v="GBPR_MUNIWASTE"/>
    <x v="0"/>
    <x v="2"/>
    <n v="34.838709677419402"/>
    <n v="12716.129032258101"/>
    <n v="45778.064516129001"/>
  </r>
  <r>
    <x v="0"/>
    <x v="0"/>
    <x v="0"/>
    <x v="6"/>
    <x v="11"/>
    <s v="NO2_A1"/>
    <x v="2"/>
    <s v="GBPR_MUNIWASTE"/>
    <x v="0"/>
    <x v="3"/>
    <n v="34.838709677419402"/>
    <n v="12716.129032258101"/>
    <n v="45778.064516129001"/>
  </r>
  <r>
    <x v="0"/>
    <x v="0"/>
    <x v="0"/>
    <x v="6"/>
    <x v="11"/>
    <s v="NO2_A1"/>
    <x v="2"/>
    <s v="GBPR_MUNIWASTE"/>
    <x v="0"/>
    <x v="12"/>
    <n v="34.838709677419402"/>
    <n v="12716.129032258101"/>
    <n v="45778.064516129001"/>
  </r>
  <r>
    <x v="0"/>
    <x v="0"/>
    <x v="0"/>
    <x v="6"/>
    <x v="11"/>
    <s v="NO2_A1"/>
    <x v="2"/>
    <s v="GBPR_MUNIWASTE"/>
    <x v="0"/>
    <x v="13"/>
    <n v="34.838709677419402"/>
    <n v="12716.129032258101"/>
    <n v="45778.064516129001"/>
  </r>
  <r>
    <x v="0"/>
    <x v="0"/>
    <x v="0"/>
    <x v="6"/>
    <x v="11"/>
    <s v="NO2_A1"/>
    <x v="2"/>
    <s v="GBPR_MUNIWASTE"/>
    <x v="0"/>
    <x v="14"/>
    <n v="34.838709677419402"/>
    <n v="12716.129032258101"/>
    <n v="45778.064516129001"/>
  </r>
  <r>
    <x v="0"/>
    <x v="0"/>
    <x v="0"/>
    <x v="6"/>
    <x v="11"/>
    <s v="NO2_A1"/>
    <x v="2"/>
    <s v="GBPR_MUNIWASTE"/>
    <x v="0"/>
    <x v="15"/>
    <n v="34.838709677419402"/>
    <n v="12716.129032258101"/>
    <n v="45778.064516129001"/>
  </r>
  <r>
    <x v="0"/>
    <x v="0"/>
    <x v="0"/>
    <x v="6"/>
    <x v="11"/>
    <s v="NO2_A1"/>
    <x v="2"/>
    <s v="GBPR_MUNIWASTE"/>
    <x v="0"/>
    <x v="4"/>
    <n v="34.838709677419402"/>
    <n v="12716.129032258101"/>
    <n v="45778.064516129001"/>
  </r>
  <r>
    <x v="0"/>
    <x v="0"/>
    <x v="0"/>
    <x v="6"/>
    <x v="11"/>
    <s v="NO2_A1"/>
    <x v="2"/>
    <s v="GBPR_MUNIWASTE"/>
    <x v="0"/>
    <x v="16"/>
    <n v="34.838709677419402"/>
    <n v="12716.129032258101"/>
    <n v="45778.064516129001"/>
  </r>
  <r>
    <x v="0"/>
    <x v="0"/>
    <x v="0"/>
    <x v="6"/>
    <x v="11"/>
    <s v="NO2_A1"/>
    <x v="2"/>
    <s v="GBPR_MUNIWASTE"/>
    <x v="0"/>
    <x v="5"/>
    <n v="34.838709677419402"/>
    <n v="12716.129032258101"/>
    <n v="45778.064516129001"/>
  </r>
  <r>
    <x v="0"/>
    <x v="0"/>
    <x v="0"/>
    <x v="6"/>
    <x v="11"/>
    <s v="NO2_A1"/>
    <x v="2"/>
    <s v="GBPR_MUNIWASTE"/>
    <x v="0"/>
    <x v="17"/>
    <n v="34.838709677419402"/>
    <n v="12716.129032258101"/>
    <n v="45778.064516129001"/>
  </r>
  <r>
    <x v="0"/>
    <x v="0"/>
    <x v="0"/>
    <x v="6"/>
    <x v="11"/>
    <s v="NO2_A1"/>
    <x v="2"/>
    <s v="GBPR_MUNIWASTE"/>
    <x v="0"/>
    <x v="18"/>
    <n v="34.838709677419402"/>
    <n v="12716.129032258101"/>
    <n v="45778.064516129001"/>
  </r>
  <r>
    <x v="0"/>
    <x v="0"/>
    <x v="0"/>
    <x v="6"/>
    <x v="11"/>
    <s v="NO2_A1"/>
    <x v="2"/>
    <s v="GBPR_MUNIWASTE"/>
    <x v="0"/>
    <x v="19"/>
    <n v="34.838709677419402"/>
    <n v="12716.129032258101"/>
    <n v="45778.064516129001"/>
  </r>
  <r>
    <x v="0"/>
    <x v="0"/>
    <x v="0"/>
    <x v="6"/>
    <x v="11"/>
    <s v="NO2_A1"/>
    <x v="2"/>
    <s v="GBPR_MUNIWASTE"/>
    <x v="0"/>
    <x v="20"/>
    <n v="34.838709677419402"/>
    <n v="12716.129032258101"/>
    <n v="45778.064516129001"/>
  </r>
  <r>
    <x v="0"/>
    <x v="0"/>
    <x v="0"/>
    <x v="6"/>
    <x v="11"/>
    <s v="NO2_A1"/>
    <x v="2"/>
    <s v="GBPR_MUNIWASTE"/>
    <x v="0"/>
    <x v="21"/>
    <n v="34.838709677419402"/>
    <n v="12716.129032258101"/>
    <n v="45778.064516129001"/>
  </r>
  <r>
    <x v="0"/>
    <x v="0"/>
    <x v="0"/>
    <x v="6"/>
    <x v="11"/>
    <s v="NO2_A1"/>
    <x v="2"/>
    <s v="GBPR_MUNIWASTE"/>
    <x v="0"/>
    <x v="22"/>
    <n v="34.838709677419402"/>
    <n v="12716.129032258101"/>
    <n v="45778.064516129001"/>
  </r>
  <r>
    <x v="0"/>
    <x v="0"/>
    <x v="0"/>
    <x v="6"/>
    <x v="11"/>
    <s v="NO2_A1"/>
    <x v="2"/>
    <s v="GBPR_MUNIWASTE"/>
    <x v="0"/>
    <x v="23"/>
    <n v="34.838709677419402"/>
    <n v="12716.129032258101"/>
    <n v="45778.064516129001"/>
  </r>
  <r>
    <x v="0"/>
    <x v="0"/>
    <x v="0"/>
    <x v="6"/>
    <x v="11"/>
    <s v="NO2_A1"/>
    <x v="5"/>
    <s v="GHOB_WASTEHEAT"/>
    <x v="0"/>
    <x v="6"/>
    <n v="2.1038652032386098"/>
    <n v="767.91079918209095"/>
    <n v="2764.4788770555301"/>
  </r>
  <r>
    <x v="0"/>
    <x v="0"/>
    <x v="0"/>
    <x v="6"/>
    <x v="11"/>
    <s v="NO2_A1"/>
    <x v="5"/>
    <s v="GHOB_WASTEHEAT"/>
    <x v="0"/>
    <x v="7"/>
    <n v="1.9994299829472599"/>
    <n v="729.791943775748"/>
    <n v="2627.2509975926901"/>
  </r>
  <r>
    <x v="0"/>
    <x v="0"/>
    <x v="0"/>
    <x v="6"/>
    <x v="11"/>
    <s v="NO2_A1"/>
    <x v="5"/>
    <s v="GHOB_WASTEHEAT"/>
    <x v="0"/>
    <x v="8"/>
    <n v="2.3278840909490399"/>
    <n v="849.67769319640001"/>
    <n v="3058.8396955070398"/>
  </r>
  <r>
    <x v="0"/>
    <x v="0"/>
    <x v="0"/>
    <x v="6"/>
    <x v="11"/>
    <s v="NO2_A1"/>
    <x v="5"/>
    <s v="GHOB_WASTEHEAT"/>
    <x v="0"/>
    <x v="9"/>
    <n v="3.2303621339266502"/>
    <n v="1179.08217888323"/>
    <n v="4244.6958439796099"/>
  </r>
  <r>
    <x v="0"/>
    <x v="0"/>
    <x v="0"/>
    <x v="6"/>
    <x v="11"/>
    <s v="NO2_A1"/>
    <x v="5"/>
    <s v="GHOB_WASTEHEAT"/>
    <x v="0"/>
    <x v="10"/>
    <n v="5.31347482832411"/>
    <n v="1939.4183123383"/>
    <n v="6981.9059244178798"/>
  </r>
  <r>
    <x v="0"/>
    <x v="0"/>
    <x v="0"/>
    <x v="6"/>
    <x v="11"/>
    <s v="NO2_A1"/>
    <x v="5"/>
    <s v="GHOB_WASTEHEAT"/>
    <x v="0"/>
    <x v="11"/>
    <n v="5.8693910256409998"/>
    <n v="2142.32772435897"/>
    <n v="7712.3798076922803"/>
  </r>
  <r>
    <x v="0"/>
    <x v="0"/>
    <x v="0"/>
    <x v="6"/>
    <x v="11"/>
    <s v="NO2_A1"/>
    <x v="5"/>
    <s v="GHOB_WASTEHEAT"/>
    <x v="0"/>
    <x v="0"/>
    <n v="5.8693910256409998"/>
    <n v="2142.32772435897"/>
    <n v="7712.3798076922803"/>
  </r>
  <r>
    <x v="0"/>
    <x v="0"/>
    <x v="0"/>
    <x v="6"/>
    <x v="11"/>
    <s v="NO2_A1"/>
    <x v="5"/>
    <s v="GHOB_WASTEHEAT"/>
    <x v="0"/>
    <x v="1"/>
    <n v="5.8693910256409998"/>
    <n v="2142.32772435897"/>
    <n v="7712.3798076922803"/>
  </r>
  <r>
    <x v="0"/>
    <x v="0"/>
    <x v="0"/>
    <x v="6"/>
    <x v="11"/>
    <s v="NO2_A1"/>
    <x v="5"/>
    <s v="GHOB_WASTEHEAT"/>
    <x v="0"/>
    <x v="2"/>
    <n v="5.8693910256409998"/>
    <n v="2142.32772435897"/>
    <n v="7712.3798076922803"/>
  </r>
  <r>
    <x v="0"/>
    <x v="0"/>
    <x v="0"/>
    <x v="6"/>
    <x v="11"/>
    <s v="NO2_A1"/>
    <x v="5"/>
    <s v="GHOB_WASTEHEAT"/>
    <x v="0"/>
    <x v="3"/>
    <n v="5.8693910256409998"/>
    <n v="2142.32772435897"/>
    <n v="7712.3798076922803"/>
  </r>
  <r>
    <x v="0"/>
    <x v="0"/>
    <x v="0"/>
    <x v="6"/>
    <x v="11"/>
    <s v="NO2_A1"/>
    <x v="5"/>
    <s v="GHOB_WASTEHEAT"/>
    <x v="0"/>
    <x v="12"/>
    <n v="5.8693910256409998"/>
    <n v="2142.32772435897"/>
    <n v="7712.3798076922803"/>
  </r>
  <r>
    <x v="0"/>
    <x v="0"/>
    <x v="0"/>
    <x v="6"/>
    <x v="11"/>
    <s v="NO2_A1"/>
    <x v="5"/>
    <s v="GHOB_WASTEHEAT"/>
    <x v="0"/>
    <x v="13"/>
    <n v="5.8693910256409998"/>
    <n v="2142.32772435897"/>
    <n v="7712.3798076922803"/>
  </r>
  <r>
    <x v="0"/>
    <x v="0"/>
    <x v="0"/>
    <x v="6"/>
    <x v="11"/>
    <s v="NO2_A1"/>
    <x v="5"/>
    <s v="GHOB_WASTEHEAT"/>
    <x v="0"/>
    <x v="14"/>
    <n v="5.8693910256409998"/>
    <n v="2142.32772435897"/>
    <n v="7712.3798076922803"/>
  </r>
  <r>
    <x v="0"/>
    <x v="0"/>
    <x v="0"/>
    <x v="6"/>
    <x v="11"/>
    <s v="NO2_A1"/>
    <x v="5"/>
    <s v="GHOB_WASTEHEAT"/>
    <x v="0"/>
    <x v="15"/>
    <n v="5.8693910256409998"/>
    <n v="2142.32772435897"/>
    <n v="7712.3798076922803"/>
  </r>
  <r>
    <x v="0"/>
    <x v="0"/>
    <x v="0"/>
    <x v="6"/>
    <x v="11"/>
    <s v="NO2_A1"/>
    <x v="5"/>
    <s v="GHOB_WASTEHEAT"/>
    <x v="0"/>
    <x v="4"/>
    <n v="5.8693910256409998"/>
    <n v="2142.32772435897"/>
    <n v="7712.3798076922803"/>
  </r>
  <r>
    <x v="0"/>
    <x v="0"/>
    <x v="0"/>
    <x v="6"/>
    <x v="11"/>
    <s v="NO2_A1"/>
    <x v="5"/>
    <s v="GHOB_WASTEHEAT"/>
    <x v="0"/>
    <x v="16"/>
    <n v="5.8693910256409998"/>
    <n v="2142.32772435897"/>
    <n v="7712.3798076922803"/>
  </r>
  <r>
    <x v="0"/>
    <x v="0"/>
    <x v="0"/>
    <x v="6"/>
    <x v="11"/>
    <s v="NO2_A1"/>
    <x v="5"/>
    <s v="GHOB_WASTEHEAT"/>
    <x v="0"/>
    <x v="5"/>
    <n v="5.8693910256409998"/>
    <n v="2142.32772435897"/>
    <n v="7712.3798076922803"/>
  </r>
  <r>
    <x v="0"/>
    <x v="0"/>
    <x v="0"/>
    <x v="6"/>
    <x v="11"/>
    <s v="NO2_A1"/>
    <x v="5"/>
    <s v="GHOB_WASTEHEAT"/>
    <x v="0"/>
    <x v="17"/>
    <n v="5.8693910256409998"/>
    <n v="2142.32772435897"/>
    <n v="7712.3798076922803"/>
  </r>
  <r>
    <x v="0"/>
    <x v="0"/>
    <x v="0"/>
    <x v="6"/>
    <x v="11"/>
    <s v="NO2_A1"/>
    <x v="5"/>
    <s v="GHOB_WASTEHEAT"/>
    <x v="0"/>
    <x v="18"/>
    <n v="5.3334396681759202"/>
    <n v="1946.7054788842099"/>
    <n v="7008.1397239831604"/>
  </r>
  <r>
    <x v="0"/>
    <x v="0"/>
    <x v="0"/>
    <x v="6"/>
    <x v="11"/>
    <s v="NO2_A1"/>
    <x v="5"/>
    <s v="GHOB_WASTEHEAT"/>
    <x v="0"/>
    <x v="19"/>
    <n v="3.9801805055357802"/>
    <n v="1452.7658845205599"/>
    <n v="5229.9571842740097"/>
  </r>
  <r>
    <x v="0"/>
    <x v="0"/>
    <x v="0"/>
    <x v="6"/>
    <x v="11"/>
    <s v="NO2_A1"/>
    <x v="5"/>
    <s v="GHOB_WASTEHEAT"/>
    <x v="0"/>
    <x v="20"/>
    <n v="2.5887560158767"/>
    <n v="944.89594579499703"/>
    <n v="3401.6254048619899"/>
  </r>
  <r>
    <x v="0"/>
    <x v="0"/>
    <x v="0"/>
    <x v="6"/>
    <x v="11"/>
    <s v="NO2_A1"/>
    <x v="5"/>
    <s v="GHOB_WASTEHEAT"/>
    <x v="0"/>
    <x v="21"/>
    <n v="0.184639769344912"/>
    <n v="67.393515810892893"/>
    <n v="242.61665691921399"/>
  </r>
  <r>
    <x v="0"/>
    <x v="0"/>
    <x v="0"/>
    <x v="6"/>
    <x v="12"/>
    <s v="NO3_A1"/>
    <x v="16"/>
    <s v="GHOB_LNG"/>
    <x v="0"/>
    <x v="1"/>
    <n v="3.1050312092362602"/>
    <n v="1133.3363913712301"/>
    <n v="4080.0110089364398"/>
  </r>
  <r>
    <x v="0"/>
    <x v="0"/>
    <x v="0"/>
    <x v="6"/>
    <x v="12"/>
    <s v="NO3_A1"/>
    <x v="16"/>
    <s v="GHOB_LNG"/>
    <x v="0"/>
    <x v="2"/>
    <n v="14"/>
    <n v="5110"/>
    <n v="18396"/>
  </r>
  <r>
    <x v="0"/>
    <x v="0"/>
    <x v="0"/>
    <x v="6"/>
    <x v="12"/>
    <s v="NO3_A1"/>
    <x v="16"/>
    <s v="GHOB_LNG"/>
    <x v="0"/>
    <x v="3"/>
    <n v="14"/>
    <n v="5110"/>
    <n v="18396"/>
  </r>
  <r>
    <x v="0"/>
    <x v="0"/>
    <x v="0"/>
    <x v="6"/>
    <x v="12"/>
    <s v="NO3_A1"/>
    <x v="16"/>
    <s v="GHOB_LNG"/>
    <x v="0"/>
    <x v="12"/>
    <n v="14"/>
    <n v="5110"/>
    <n v="18396"/>
  </r>
  <r>
    <x v="0"/>
    <x v="0"/>
    <x v="0"/>
    <x v="6"/>
    <x v="12"/>
    <s v="NO3_A1"/>
    <x v="16"/>
    <s v="GHOB_LNG"/>
    <x v="0"/>
    <x v="13"/>
    <n v="11.8940276874761"/>
    <n v="4341.3201059287703"/>
    <n v="15628.7523813436"/>
  </r>
  <r>
    <x v="0"/>
    <x v="0"/>
    <x v="0"/>
    <x v="6"/>
    <x v="12"/>
    <s v="NO3_A1"/>
    <x v="16"/>
    <s v="GHOB_LNG"/>
    <x v="0"/>
    <x v="4"/>
    <n v="8.9211447034750009"/>
    <n v="3256.2178167683801"/>
    <n v="11722.384140366201"/>
  </r>
  <r>
    <x v="0"/>
    <x v="0"/>
    <x v="0"/>
    <x v="6"/>
    <x v="12"/>
    <s v="NO3_A1"/>
    <x v="16"/>
    <s v="GHOB_LNG"/>
    <x v="0"/>
    <x v="16"/>
    <n v="7.04312237843207"/>
    <n v="2570.73966812771"/>
    <n v="9254.6628052597407"/>
  </r>
  <r>
    <x v="0"/>
    <x v="0"/>
    <x v="0"/>
    <x v="6"/>
    <x v="12"/>
    <s v="NO3_A1"/>
    <x v="16"/>
    <s v="GHOB_LNG"/>
    <x v="0"/>
    <x v="18"/>
    <n v="2.4250526454161898"/>
    <n v="885.14421557691105"/>
    <n v="3186.5191760768798"/>
  </r>
  <r>
    <x v="0"/>
    <x v="0"/>
    <x v="0"/>
    <x v="6"/>
    <x v="12"/>
    <s v="NO3_A1"/>
    <x v="16"/>
    <s v="GHOB_LPG"/>
    <x v="0"/>
    <x v="6"/>
    <n v="4.90687588774448"/>
    <n v="1791.00969902673"/>
    <n v="6447.6349164962403"/>
  </r>
  <r>
    <x v="0"/>
    <x v="0"/>
    <x v="0"/>
    <x v="6"/>
    <x v="12"/>
    <s v="NO3_A1"/>
    <x v="16"/>
    <s v="GHOB_LPG"/>
    <x v="0"/>
    <x v="7"/>
    <n v="4.8165017116358202"/>
    <n v="1758.0231247470799"/>
    <n v="6328.8832490894702"/>
  </r>
  <r>
    <x v="0"/>
    <x v="0"/>
    <x v="0"/>
    <x v="6"/>
    <x v="12"/>
    <s v="NO3_A1"/>
    <x v="16"/>
    <s v="GHOB_LPG"/>
    <x v="0"/>
    <x v="8"/>
    <n v="4.9480052926626801"/>
    <n v="1806.0219318218799"/>
    <n v="6501.6789545587599"/>
  </r>
  <r>
    <x v="0"/>
    <x v="0"/>
    <x v="0"/>
    <x v="6"/>
    <x v="12"/>
    <s v="NO3_A1"/>
    <x v="16"/>
    <s v="GHOB_LPG"/>
    <x v="0"/>
    <x v="9"/>
    <n v="5.3576427572649798"/>
    <n v="1955.53960640172"/>
    <n v="7039.9425830461896"/>
  </r>
  <r>
    <x v="0"/>
    <x v="0"/>
    <x v="0"/>
    <x v="6"/>
    <x v="12"/>
    <s v="NO3_A1"/>
    <x v="16"/>
    <s v="GHOB_LPG"/>
    <x v="0"/>
    <x v="10"/>
    <n v="6.2936811920004896"/>
    <n v="2297.1936350801798"/>
    <n v="8269.8970862886508"/>
  </r>
  <r>
    <x v="0"/>
    <x v="0"/>
    <x v="0"/>
    <x v="6"/>
    <x v="12"/>
    <s v="NO3_A1"/>
    <x v="16"/>
    <s v="GHOB_LPG"/>
    <x v="0"/>
    <x v="11"/>
    <n v="8.2397846461598192"/>
    <n v="3007.52139584834"/>
    <n v="10827.077025054001"/>
  </r>
  <r>
    <x v="0"/>
    <x v="0"/>
    <x v="0"/>
    <x v="6"/>
    <x v="12"/>
    <s v="NO3_A1"/>
    <x v="16"/>
    <s v="GHOB_LPG"/>
    <x v="0"/>
    <x v="0"/>
    <n v="13.000570826095201"/>
    <n v="4745.2083515247496"/>
    <n v="17082.750065489101"/>
  </r>
  <r>
    <x v="0"/>
    <x v="0"/>
    <x v="0"/>
    <x v="6"/>
    <x v="12"/>
    <s v="NO3_A1"/>
    <x v="16"/>
    <s v="GHOB_LPG"/>
    <x v="0"/>
    <x v="1"/>
    <n v="13.8"/>
    <n v="5037"/>
    <n v="18133.2"/>
  </r>
  <r>
    <x v="0"/>
    <x v="0"/>
    <x v="0"/>
    <x v="6"/>
    <x v="12"/>
    <s v="NO3_A1"/>
    <x v="16"/>
    <s v="GHOB_LPG"/>
    <x v="0"/>
    <x v="2"/>
    <n v="3.09103538966693"/>
    <n v="1128.22791722843"/>
    <n v="4061.6205020223501"/>
  </r>
  <r>
    <x v="0"/>
    <x v="0"/>
    <x v="0"/>
    <x v="6"/>
    <x v="12"/>
    <s v="NO3_A1"/>
    <x v="16"/>
    <s v="GHOB_LPG"/>
    <x v="0"/>
    <x v="3"/>
    <n v="1.79039778151236"/>
    <n v="653.495190252013"/>
    <n v="2352.58268490725"/>
  </r>
  <r>
    <x v="0"/>
    <x v="0"/>
    <x v="0"/>
    <x v="6"/>
    <x v="12"/>
    <s v="NO3_A1"/>
    <x v="16"/>
    <s v="GHOB_LPG"/>
    <x v="0"/>
    <x v="12"/>
    <n v="3.5749604822743898E-2"/>
    <n v="13.0486057603015"/>
    <n v="46.974980737085502"/>
  </r>
  <r>
    <x v="0"/>
    <x v="0"/>
    <x v="0"/>
    <x v="6"/>
    <x v="12"/>
    <s v="NO3_A1"/>
    <x v="16"/>
    <s v="GHOB_LPG"/>
    <x v="0"/>
    <x v="14"/>
    <n v="10.485928261419099"/>
    <n v="3827.3638154179698"/>
    <n v="13778.5097355047"/>
  </r>
  <r>
    <x v="0"/>
    <x v="0"/>
    <x v="0"/>
    <x v="6"/>
    <x v="12"/>
    <s v="NO3_A1"/>
    <x v="16"/>
    <s v="GHOB_LPG"/>
    <x v="0"/>
    <x v="15"/>
    <n v="9.8061545977557305"/>
    <n v="3579.2464281808402"/>
    <n v="12885.287141450999"/>
  </r>
  <r>
    <x v="0"/>
    <x v="0"/>
    <x v="0"/>
    <x v="6"/>
    <x v="12"/>
    <s v="NO3_A1"/>
    <x v="16"/>
    <s v="GHOB_LPG"/>
    <x v="0"/>
    <x v="5"/>
    <n v="4.7550946699596901"/>
    <n v="1735.60955453529"/>
    <n v="6248.1943963270396"/>
  </r>
  <r>
    <x v="0"/>
    <x v="0"/>
    <x v="0"/>
    <x v="6"/>
    <x v="12"/>
    <s v="NO3_A1"/>
    <x v="16"/>
    <s v="GHOB_LPG"/>
    <x v="0"/>
    <x v="17"/>
    <n v="3.1978103950583501"/>
    <n v="1167.2007941963"/>
    <n v="4201.9228591066703"/>
  </r>
  <r>
    <x v="0"/>
    <x v="0"/>
    <x v="0"/>
    <x v="6"/>
    <x v="12"/>
    <s v="NO3_A1"/>
    <x v="16"/>
    <s v="GHOB_LPG"/>
    <x v="0"/>
    <x v="19"/>
    <n v="1.9993064878313"/>
    <n v="729.746868058426"/>
    <n v="2627.0887250103401"/>
  </r>
  <r>
    <x v="0"/>
    <x v="0"/>
    <x v="0"/>
    <x v="6"/>
    <x v="12"/>
    <s v="NO3_A1"/>
    <x v="16"/>
    <s v="GHOB_LPG"/>
    <x v="0"/>
    <x v="20"/>
    <n v="1.13774525008595"/>
    <n v="415.27701628137299"/>
    <n v="1494.99725861294"/>
  </r>
  <r>
    <x v="0"/>
    <x v="0"/>
    <x v="0"/>
    <x v="6"/>
    <x v="12"/>
    <s v="NO3_A1"/>
    <x v="2"/>
    <s v="GBPR_MUNIWASTE"/>
    <x v="0"/>
    <x v="6"/>
    <n v="13.8387096774194"/>
    <n v="5051.1290322580699"/>
    <n v="18184.064516129001"/>
  </r>
  <r>
    <x v="0"/>
    <x v="0"/>
    <x v="0"/>
    <x v="6"/>
    <x v="12"/>
    <s v="NO3_A1"/>
    <x v="2"/>
    <s v="GBPR_MUNIWASTE"/>
    <x v="0"/>
    <x v="7"/>
    <n v="13.8387096774194"/>
    <n v="5051.1290322580699"/>
    <n v="18184.064516129001"/>
  </r>
  <r>
    <x v="0"/>
    <x v="0"/>
    <x v="0"/>
    <x v="6"/>
    <x v="12"/>
    <s v="NO3_A1"/>
    <x v="2"/>
    <s v="GBPR_MUNIWASTE"/>
    <x v="0"/>
    <x v="8"/>
    <n v="13.8387096774194"/>
    <n v="5051.1290322580699"/>
    <n v="18184.064516129001"/>
  </r>
  <r>
    <x v="0"/>
    <x v="0"/>
    <x v="0"/>
    <x v="6"/>
    <x v="12"/>
    <s v="NO3_A1"/>
    <x v="2"/>
    <s v="GBPR_MUNIWASTE"/>
    <x v="0"/>
    <x v="9"/>
    <n v="13.8387096774194"/>
    <n v="5051.1290322580699"/>
    <n v="18184.064516129001"/>
  </r>
  <r>
    <x v="0"/>
    <x v="0"/>
    <x v="0"/>
    <x v="6"/>
    <x v="12"/>
    <s v="NO3_A1"/>
    <x v="2"/>
    <s v="GBPR_MUNIWASTE"/>
    <x v="0"/>
    <x v="10"/>
    <n v="13.8387096774194"/>
    <n v="5051.1290322580699"/>
    <n v="18184.064516129001"/>
  </r>
  <r>
    <x v="0"/>
    <x v="0"/>
    <x v="0"/>
    <x v="6"/>
    <x v="12"/>
    <s v="NO3_A1"/>
    <x v="2"/>
    <s v="GBPR_MUNIWASTE"/>
    <x v="0"/>
    <x v="11"/>
    <n v="13.8387096774194"/>
    <n v="5051.1290322580699"/>
    <n v="18184.064516129001"/>
  </r>
  <r>
    <x v="0"/>
    <x v="0"/>
    <x v="0"/>
    <x v="6"/>
    <x v="12"/>
    <s v="NO3_A1"/>
    <x v="2"/>
    <s v="GBPR_MUNIWASTE"/>
    <x v="0"/>
    <x v="0"/>
    <n v="13.8387096774194"/>
    <n v="5051.1290322580699"/>
    <n v="18184.064516129001"/>
  </r>
  <r>
    <x v="0"/>
    <x v="0"/>
    <x v="0"/>
    <x v="6"/>
    <x v="12"/>
    <s v="NO3_A1"/>
    <x v="2"/>
    <s v="GBPR_MUNIWASTE"/>
    <x v="0"/>
    <x v="1"/>
    <n v="13.8387096774194"/>
    <n v="5051.1290322580699"/>
    <n v="18184.064516129001"/>
  </r>
  <r>
    <x v="0"/>
    <x v="0"/>
    <x v="0"/>
    <x v="6"/>
    <x v="12"/>
    <s v="NO3_A1"/>
    <x v="2"/>
    <s v="GBPR_MUNIWASTE"/>
    <x v="0"/>
    <x v="2"/>
    <n v="13.8387096774194"/>
    <n v="5051.1290322580699"/>
    <n v="18184.064516129001"/>
  </r>
  <r>
    <x v="0"/>
    <x v="0"/>
    <x v="0"/>
    <x v="6"/>
    <x v="12"/>
    <s v="NO3_A1"/>
    <x v="2"/>
    <s v="GBPR_MUNIWASTE"/>
    <x v="0"/>
    <x v="3"/>
    <n v="13.8387096774194"/>
    <n v="5051.1290322580699"/>
    <n v="18184.064516129001"/>
  </r>
  <r>
    <x v="0"/>
    <x v="0"/>
    <x v="0"/>
    <x v="6"/>
    <x v="12"/>
    <s v="NO3_A1"/>
    <x v="2"/>
    <s v="GBPR_MUNIWASTE"/>
    <x v="0"/>
    <x v="12"/>
    <n v="13.8387096774194"/>
    <n v="5051.1290322580699"/>
    <n v="18184.064516129001"/>
  </r>
  <r>
    <x v="0"/>
    <x v="0"/>
    <x v="0"/>
    <x v="6"/>
    <x v="12"/>
    <s v="NO3_A1"/>
    <x v="2"/>
    <s v="GBPR_MUNIWASTE"/>
    <x v="0"/>
    <x v="13"/>
    <n v="13.8387096774194"/>
    <n v="5051.1290322580699"/>
    <n v="18184.064516129001"/>
  </r>
  <r>
    <x v="0"/>
    <x v="0"/>
    <x v="0"/>
    <x v="6"/>
    <x v="12"/>
    <s v="NO3_A1"/>
    <x v="2"/>
    <s v="GBPR_MUNIWASTE"/>
    <x v="0"/>
    <x v="14"/>
    <n v="13.8387096774194"/>
    <n v="5051.1290322580699"/>
    <n v="18184.064516129001"/>
  </r>
  <r>
    <x v="0"/>
    <x v="0"/>
    <x v="0"/>
    <x v="6"/>
    <x v="12"/>
    <s v="NO3_A1"/>
    <x v="2"/>
    <s v="GBPR_MUNIWASTE"/>
    <x v="0"/>
    <x v="15"/>
    <n v="13.8387096774194"/>
    <n v="5051.1290322580699"/>
    <n v="18184.064516129001"/>
  </r>
  <r>
    <x v="0"/>
    <x v="0"/>
    <x v="0"/>
    <x v="6"/>
    <x v="12"/>
    <s v="NO3_A1"/>
    <x v="2"/>
    <s v="GBPR_MUNIWASTE"/>
    <x v="0"/>
    <x v="4"/>
    <n v="13.8387096774194"/>
    <n v="5051.1290322580699"/>
    <n v="18184.064516129001"/>
  </r>
  <r>
    <x v="0"/>
    <x v="0"/>
    <x v="0"/>
    <x v="6"/>
    <x v="12"/>
    <s v="NO3_A1"/>
    <x v="2"/>
    <s v="GBPR_MUNIWASTE"/>
    <x v="0"/>
    <x v="16"/>
    <n v="13.8387096774194"/>
    <n v="5051.1290322580699"/>
    <n v="18184.064516129001"/>
  </r>
  <r>
    <x v="0"/>
    <x v="0"/>
    <x v="0"/>
    <x v="6"/>
    <x v="12"/>
    <s v="NO3_A1"/>
    <x v="2"/>
    <s v="GBPR_MUNIWASTE"/>
    <x v="0"/>
    <x v="5"/>
    <n v="13.8387096774194"/>
    <n v="5051.1290322580699"/>
    <n v="18184.064516129001"/>
  </r>
  <r>
    <x v="0"/>
    <x v="0"/>
    <x v="0"/>
    <x v="6"/>
    <x v="12"/>
    <s v="NO3_A1"/>
    <x v="2"/>
    <s v="GBPR_MUNIWASTE"/>
    <x v="0"/>
    <x v="17"/>
    <n v="13.8387096774194"/>
    <n v="5051.1290322580699"/>
    <n v="18184.064516129001"/>
  </r>
  <r>
    <x v="0"/>
    <x v="0"/>
    <x v="0"/>
    <x v="6"/>
    <x v="12"/>
    <s v="NO3_A1"/>
    <x v="2"/>
    <s v="GBPR_MUNIWASTE"/>
    <x v="0"/>
    <x v="18"/>
    <n v="13.8387096774194"/>
    <n v="5051.1290322580699"/>
    <n v="18184.064516129001"/>
  </r>
  <r>
    <x v="0"/>
    <x v="0"/>
    <x v="0"/>
    <x v="6"/>
    <x v="12"/>
    <s v="NO3_A1"/>
    <x v="2"/>
    <s v="GBPR_MUNIWASTE"/>
    <x v="0"/>
    <x v="19"/>
    <n v="13.8387096774194"/>
    <n v="5051.1290322580699"/>
    <n v="18184.064516129001"/>
  </r>
  <r>
    <x v="0"/>
    <x v="0"/>
    <x v="0"/>
    <x v="6"/>
    <x v="12"/>
    <s v="NO3_A1"/>
    <x v="2"/>
    <s v="GBPR_MUNIWASTE"/>
    <x v="0"/>
    <x v="20"/>
    <n v="13.8387096774194"/>
    <n v="5051.1290322580699"/>
    <n v="18184.064516129001"/>
  </r>
  <r>
    <x v="0"/>
    <x v="0"/>
    <x v="0"/>
    <x v="6"/>
    <x v="12"/>
    <s v="NO3_A1"/>
    <x v="2"/>
    <s v="GBPR_MUNIWASTE"/>
    <x v="0"/>
    <x v="21"/>
    <n v="13.8387096774194"/>
    <n v="5051.1290322580699"/>
    <n v="18184.064516129001"/>
  </r>
  <r>
    <x v="0"/>
    <x v="0"/>
    <x v="0"/>
    <x v="6"/>
    <x v="12"/>
    <s v="NO3_A1"/>
    <x v="2"/>
    <s v="GBPR_MUNIWASTE"/>
    <x v="0"/>
    <x v="22"/>
    <n v="13.8387096774194"/>
    <n v="5051.1290322580699"/>
    <n v="18184.064516129001"/>
  </r>
  <r>
    <x v="0"/>
    <x v="0"/>
    <x v="0"/>
    <x v="6"/>
    <x v="12"/>
    <s v="NO3_A1"/>
    <x v="2"/>
    <s v="GBPR_MUNIWASTE"/>
    <x v="0"/>
    <x v="23"/>
    <n v="13.8387096774194"/>
    <n v="5051.1290322580699"/>
    <n v="18184.064516129001"/>
  </r>
  <r>
    <x v="0"/>
    <x v="0"/>
    <x v="0"/>
    <x v="6"/>
    <x v="12"/>
    <s v="NO3_A1"/>
    <x v="5"/>
    <s v="GHOB_WASTEHEAT"/>
    <x v="0"/>
    <x v="6"/>
    <n v="4.3039148351648198"/>
    <n v="1570.92891483516"/>
    <n v="5655.3440934065702"/>
  </r>
  <r>
    <x v="0"/>
    <x v="0"/>
    <x v="0"/>
    <x v="6"/>
    <x v="12"/>
    <s v="NO3_A1"/>
    <x v="5"/>
    <s v="GHOB_WASTEHEAT"/>
    <x v="0"/>
    <x v="7"/>
    <n v="4.3039148351648198"/>
    <n v="1570.92891483516"/>
    <n v="5655.3440934065702"/>
  </r>
  <r>
    <x v="0"/>
    <x v="0"/>
    <x v="0"/>
    <x v="6"/>
    <x v="12"/>
    <s v="NO3_A1"/>
    <x v="5"/>
    <s v="GHOB_WASTEHEAT"/>
    <x v="0"/>
    <x v="8"/>
    <n v="4.3039148351648198"/>
    <n v="1570.92891483516"/>
    <n v="5655.3440934065702"/>
  </r>
  <r>
    <x v="0"/>
    <x v="0"/>
    <x v="0"/>
    <x v="6"/>
    <x v="12"/>
    <s v="NO3_A1"/>
    <x v="5"/>
    <s v="GHOB_WASTEHEAT"/>
    <x v="0"/>
    <x v="9"/>
    <n v="4.3039148351648198"/>
    <n v="1570.92891483516"/>
    <n v="5655.3440934065702"/>
  </r>
  <r>
    <x v="0"/>
    <x v="0"/>
    <x v="0"/>
    <x v="6"/>
    <x v="12"/>
    <s v="NO3_A1"/>
    <x v="5"/>
    <s v="GHOB_WASTEHEAT"/>
    <x v="0"/>
    <x v="10"/>
    <n v="4.3039148351648198"/>
    <n v="1570.92891483516"/>
    <n v="5655.3440934065702"/>
  </r>
  <r>
    <x v="0"/>
    <x v="0"/>
    <x v="0"/>
    <x v="6"/>
    <x v="12"/>
    <s v="NO3_A1"/>
    <x v="5"/>
    <s v="GHOB_WASTEHEAT"/>
    <x v="0"/>
    <x v="11"/>
    <n v="4.3039148351648198"/>
    <n v="1570.92891483516"/>
    <n v="5655.3440934065702"/>
  </r>
  <r>
    <x v="0"/>
    <x v="0"/>
    <x v="0"/>
    <x v="6"/>
    <x v="12"/>
    <s v="NO3_A1"/>
    <x v="5"/>
    <s v="GHOB_WASTEHEAT"/>
    <x v="0"/>
    <x v="0"/>
    <n v="4.3039148351648198"/>
    <n v="1570.92891483516"/>
    <n v="5655.3440934065702"/>
  </r>
  <r>
    <x v="0"/>
    <x v="0"/>
    <x v="0"/>
    <x v="6"/>
    <x v="12"/>
    <s v="NO3_A1"/>
    <x v="5"/>
    <s v="GHOB_WASTEHEAT"/>
    <x v="0"/>
    <x v="1"/>
    <n v="4.3039148351648198"/>
    <n v="1570.92891483516"/>
    <n v="5655.3440934065702"/>
  </r>
  <r>
    <x v="0"/>
    <x v="0"/>
    <x v="0"/>
    <x v="6"/>
    <x v="12"/>
    <s v="NO3_A1"/>
    <x v="5"/>
    <s v="GHOB_WASTEHEAT"/>
    <x v="0"/>
    <x v="2"/>
    <n v="4.3039148351648198"/>
    <n v="1570.92891483516"/>
    <n v="5655.3440934065702"/>
  </r>
  <r>
    <x v="0"/>
    <x v="0"/>
    <x v="0"/>
    <x v="6"/>
    <x v="12"/>
    <s v="NO3_A1"/>
    <x v="5"/>
    <s v="GHOB_WASTEHEAT"/>
    <x v="0"/>
    <x v="3"/>
    <n v="4.3039148351648198"/>
    <n v="1570.92891483516"/>
    <n v="5655.3440934065702"/>
  </r>
  <r>
    <x v="0"/>
    <x v="0"/>
    <x v="0"/>
    <x v="6"/>
    <x v="12"/>
    <s v="NO3_A1"/>
    <x v="5"/>
    <s v="GHOB_WASTEHEAT"/>
    <x v="0"/>
    <x v="12"/>
    <n v="4.3039148351648198"/>
    <n v="1570.92891483516"/>
    <n v="5655.3440934065702"/>
  </r>
  <r>
    <x v="0"/>
    <x v="0"/>
    <x v="0"/>
    <x v="6"/>
    <x v="12"/>
    <s v="NO3_A1"/>
    <x v="5"/>
    <s v="GHOB_WASTEHEAT"/>
    <x v="0"/>
    <x v="13"/>
    <n v="4.3039148351648198"/>
    <n v="1570.92891483516"/>
    <n v="5655.3440934065702"/>
  </r>
  <r>
    <x v="0"/>
    <x v="0"/>
    <x v="0"/>
    <x v="6"/>
    <x v="12"/>
    <s v="NO3_A1"/>
    <x v="5"/>
    <s v="GHOB_WASTEHEAT"/>
    <x v="0"/>
    <x v="14"/>
    <n v="4.3039148351648198"/>
    <n v="1570.92891483516"/>
    <n v="5655.3440934065702"/>
  </r>
  <r>
    <x v="0"/>
    <x v="0"/>
    <x v="0"/>
    <x v="6"/>
    <x v="12"/>
    <s v="NO3_A1"/>
    <x v="5"/>
    <s v="GHOB_WASTEHEAT"/>
    <x v="0"/>
    <x v="15"/>
    <n v="4.3039148351648198"/>
    <n v="1570.92891483516"/>
    <n v="5655.3440934065702"/>
  </r>
  <r>
    <x v="0"/>
    <x v="0"/>
    <x v="0"/>
    <x v="6"/>
    <x v="12"/>
    <s v="NO3_A1"/>
    <x v="5"/>
    <s v="GHOB_WASTEHEAT"/>
    <x v="0"/>
    <x v="4"/>
    <n v="4.3039148351648198"/>
    <n v="1570.92891483516"/>
    <n v="5655.3440934065702"/>
  </r>
  <r>
    <x v="0"/>
    <x v="0"/>
    <x v="0"/>
    <x v="6"/>
    <x v="12"/>
    <s v="NO3_A1"/>
    <x v="5"/>
    <s v="GHOB_WASTEHEAT"/>
    <x v="0"/>
    <x v="16"/>
    <n v="4.3039148351648198"/>
    <n v="1570.92891483516"/>
    <n v="5655.3440934065702"/>
  </r>
  <r>
    <x v="0"/>
    <x v="0"/>
    <x v="0"/>
    <x v="6"/>
    <x v="12"/>
    <s v="NO3_A1"/>
    <x v="5"/>
    <s v="GHOB_WASTEHEAT"/>
    <x v="0"/>
    <x v="5"/>
    <n v="4.3039148351648198"/>
    <n v="1570.92891483516"/>
    <n v="5655.3440934065702"/>
  </r>
  <r>
    <x v="0"/>
    <x v="0"/>
    <x v="0"/>
    <x v="6"/>
    <x v="12"/>
    <s v="NO3_A1"/>
    <x v="5"/>
    <s v="GHOB_WASTEHEAT"/>
    <x v="0"/>
    <x v="17"/>
    <n v="4.3039148351648198"/>
    <n v="1570.92891483516"/>
    <n v="5655.3440934065702"/>
  </r>
  <r>
    <x v="0"/>
    <x v="0"/>
    <x v="0"/>
    <x v="6"/>
    <x v="12"/>
    <s v="NO3_A1"/>
    <x v="5"/>
    <s v="GHOB_WASTEHEAT"/>
    <x v="0"/>
    <x v="18"/>
    <n v="4.3039148351648198"/>
    <n v="1570.92891483516"/>
    <n v="5655.3440934065702"/>
  </r>
  <r>
    <x v="0"/>
    <x v="0"/>
    <x v="0"/>
    <x v="6"/>
    <x v="12"/>
    <s v="NO3_A1"/>
    <x v="5"/>
    <s v="GHOB_WASTEHEAT"/>
    <x v="0"/>
    <x v="19"/>
    <n v="4.3039148351648198"/>
    <n v="1570.92891483516"/>
    <n v="5655.3440934065702"/>
  </r>
  <r>
    <x v="0"/>
    <x v="0"/>
    <x v="0"/>
    <x v="6"/>
    <x v="12"/>
    <s v="NO3_A1"/>
    <x v="5"/>
    <s v="GHOB_WASTEHEAT"/>
    <x v="0"/>
    <x v="20"/>
    <n v="4.3039148351648198"/>
    <n v="1570.92891483516"/>
    <n v="5655.3440934065702"/>
  </r>
  <r>
    <x v="0"/>
    <x v="0"/>
    <x v="0"/>
    <x v="6"/>
    <x v="12"/>
    <s v="NO3_A1"/>
    <x v="5"/>
    <s v="GHOB_WASTEHEAT"/>
    <x v="0"/>
    <x v="21"/>
    <n v="4.2445122331950502"/>
    <n v="1549.24696511619"/>
    <n v="5577.2890744182996"/>
  </r>
  <r>
    <x v="0"/>
    <x v="0"/>
    <x v="0"/>
    <x v="6"/>
    <x v="12"/>
    <s v="NO3_A1"/>
    <x v="5"/>
    <s v="GHOB_WASTEHEAT"/>
    <x v="0"/>
    <x v="22"/>
    <n v="3.2794515382312999"/>
    <n v="1196.9998114544201"/>
    <n v="4309.1993212359203"/>
  </r>
  <r>
    <x v="0"/>
    <x v="0"/>
    <x v="0"/>
    <x v="6"/>
    <x v="12"/>
    <s v="NO3_A1"/>
    <x v="5"/>
    <s v="GHOB_WASTEHEAT"/>
    <x v="0"/>
    <x v="23"/>
    <n v="2.6812523440079699"/>
    <n v="978.65710556290901"/>
    <n v="3523.1655800264698"/>
  </r>
  <r>
    <x v="0"/>
    <x v="0"/>
    <x v="0"/>
    <x v="6"/>
    <x v="12"/>
    <s v="NO3_A2"/>
    <x v="16"/>
    <s v="GHOB_LNG"/>
    <x v="0"/>
    <x v="0"/>
    <n v="14.3786818267118"/>
    <n v="5248.2188667498103"/>
    <n v="18893.587920299298"/>
  </r>
  <r>
    <x v="0"/>
    <x v="0"/>
    <x v="0"/>
    <x v="6"/>
    <x v="12"/>
    <s v="NO3_A2"/>
    <x v="16"/>
    <s v="GHOB_LNG"/>
    <x v="0"/>
    <x v="1"/>
    <n v="23.817326831629401"/>
    <n v="8693.3242935447306"/>
    <n v="31295.967456761002"/>
  </r>
  <r>
    <x v="0"/>
    <x v="0"/>
    <x v="0"/>
    <x v="6"/>
    <x v="12"/>
    <s v="NO3_A2"/>
    <x v="16"/>
    <s v="GHOB_LNG"/>
    <x v="0"/>
    <x v="3"/>
    <n v="22.367649268389599"/>
    <n v="8164.1919829622102"/>
    <n v="29391.091138663902"/>
  </r>
  <r>
    <x v="0"/>
    <x v="0"/>
    <x v="0"/>
    <x v="6"/>
    <x v="12"/>
    <s v="NO3_A2"/>
    <x v="16"/>
    <s v="GHOB_LNG"/>
    <x v="0"/>
    <x v="4"/>
    <n v="8.4816386445560692"/>
    <n v="3095.7981052629698"/>
    <n v="11144.8731789467"/>
  </r>
  <r>
    <x v="0"/>
    <x v="0"/>
    <x v="0"/>
    <x v="6"/>
    <x v="12"/>
    <s v="NO3_A2"/>
    <x v="16"/>
    <s v="GHOB_LPG"/>
    <x v="0"/>
    <x v="11"/>
    <n v="4.2179292789623304"/>
    <n v="1539.5441868212499"/>
    <n v="5542.3590725565"/>
  </r>
  <r>
    <x v="0"/>
    <x v="0"/>
    <x v="0"/>
    <x v="6"/>
    <x v="12"/>
    <s v="NO3_A2"/>
    <x v="16"/>
    <s v="GHOB_LPG"/>
    <x v="0"/>
    <x v="2"/>
    <n v="25.452869285728401"/>
    <n v="9290.2972892908692"/>
    <n v="33445.070241447102"/>
  </r>
  <r>
    <x v="0"/>
    <x v="0"/>
    <x v="0"/>
    <x v="6"/>
    <x v="12"/>
    <s v="NO3_A2"/>
    <x v="16"/>
    <s v="GHOB_LPG"/>
    <x v="0"/>
    <x v="12"/>
    <n v="17.606078072735599"/>
    <n v="6426.2184965485103"/>
    <n v="23134.386587574601"/>
  </r>
  <r>
    <x v="0"/>
    <x v="0"/>
    <x v="0"/>
    <x v="6"/>
    <x v="12"/>
    <s v="NO3_A2"/>
    <x v="16"/>
    <s v="GHOB_LPG"/>
    <x v="0"/>
    <x v="13"/>
    <n v="13.3552910920196"/>
    <n v="4874.6812485871696"/>
    <n v="17548.852494913801"/>
  </r>
  <r>
    <x v="0"/>
    <x v="0"/>
    <x v="0"/>
    <x v="6"/>
    <x v="12"/>
    <s v="NO3_A2"/>
    <x v="16"/>
    <s v="GHOB_LPG"/>
    <x v="0"/>
    <x v="14"/>
    <n v="11.7753601290723"/>
    <n v="4298.0064471113901"/>
    <n v="15472.823209601"/>
  </r>
  <r>
    <x v="0"/>
    <x v="0"/>
    <x v="0"/>
    <x v="6"/>
    <x v="12"/>
    <s v="NO3_A2"/>
    <x v="16"/>
    <s v="GHOB_LPG"/>
    <x v="0"/>
    <x v="15"/>
    <n v="10.5661239463809"/>
    <n v="3856.6352404290201"/>
    <n v="13883.8868655445"/>
  </r>
  <r>
    <x v="0"/>
    <x v="0"/>
    <x v="0"/>
    <x v="6"/>
    <x v="12"/>
    <s v="NO3_A2"/>
    <x v="16"/>
    <s v="GHOB_LPG"/>
    <x v="0"/>
    <x v="16"/>
    <n v="5.5685162977091904"/>
    <n v="2032.50844866386"/>
    <n v="7317.0304151898799"/>
  </r>
  <r>
    <x v="0"/>
    <x v="0"/>
    <x v="0"/>
    <x v="6"/>
    <x v="12"/>
    <s v="NO3_A2"/>
    <x v="2"/>
    <s v="GHOB_MUNIWASTE"/>
    <x v="0"/>
    <x v="6"/>
    <n v="65.836728082854094"/>
    <n v="24030.405750241702"/>
    <n v="86509.460700870302"/>
  </r>
  <r>
    <x v="0"/>
    <x v="0"/>
    <x v="0"/>
    <x v="6"/>
    <x v="12"/>
    <s v="NO3_A2"/>
    <x v="2"/>
    <s v="GHOB_MUNIWASTE"/>
    <x v="0"/>
    <x v="7"/>
    <n v="65.754816633133501"/>
    <n v="24000.5080710937"/>
    <n v="86401.8290559374"/>
  </r>
  <r>
    <x v="0"/>
    <x v="0"/>
    <x v="0"/>
    <x v="6"/>
    <x v="12"/>
    <s v="NO3_A2"/>
    <x v="2"/>
    <s v="GHOB_MUNIWASTE"/>
    <x v="0"/>
    <x v="8"/>
    <n v="66.337098887173894"/>
    <n v="24213.041093818501"/>
    <n v="87166.947937746503"/>
  </r>
  <r>
    <x v="0"/>
    <x v="0"/>
    <x v="0"/>
    <x v="6"/>
    <x v="12"/>
    <s v="NO3_A2"/>
    <x v="2"/>
    <s v="GHOB_MUNIWASTE"/>
    <x v="0"/>
    <x v="9"/>
    <n v="66.315084266010501"/>
    <n v="24205.005757093801"/>
    <n v="87138.020725537805"/>
  </r>
  <r>
    <x v="0"/>
    <x v="0"/>
    <x v="0"/>
    <x v="6"/>
    <x v="12"/>
    <s v="NO3_A2"/>
    <x v="2"/>
    <s v="GHOB_MUNIWASTE"/>
    <x v="0"/>
    <x v="10"/>
    <n v="69.466691982321905"/>
    <n v="25355.342573547499"/>
    <n v="91279.233264770999"/>
  </r>
  <r>
    <x v="0"/>
    <x v="0"/>
    <x v="0"/>
    <x v="6"/>
    <x v="12"/>
    <s v="NO3_A2"/>
    <x v="2"/>
    <s v="GHOB_MUNIWASTE"/>
    <x v="0"/>
    <x v="11"/>
    <n v="70"/>
    <n v="25550"/>
    <n v="91980"/>
  </r>
  <r>
    <x v="0"/>
    <x v="0"/>
    <x v="0"/>
    <x v="6"/>
    <x v="12"/>
    <s v="NO3_A2"/>
    <x v="2"/>
    <s v="GHOB_MUNIWASTE"/>
    <x v="0"/>
    <x v="0"/>
    <n v="70"/>
    <n v="25550"/>
    <n v="91980"/>
  </r>
  <r>
    <x v="0"/>
    <x v="0"/>
    <x v="0"/>
    <x v="6"/>
    <x v="12"/>
    <s v="NO3_A2"/>
    <x v="2"/>
    <s v="GHOB_MUNIWASTE"/>
    <x v="0"/>
    <x v="1"/>
    <n v="70"/>
    <n v="25550"/>
    <n v="91980"/>
  </r>
  <r>
    <x v="0"/>
    <x v="0"/>
    <x v="0"/>
    <x v="6"/>
    <x v="12"/>
    <s v="NO3_A2"/>
    <x v="2"/>
    <s v="GHOB_MUNIWASTE"/>
    <x v="0"/>
    <x v="2"/>
    <n v="70"/>
    <n v="25550"/>
    <n v="91980"/>
  </r>
  <r>
    <x v="0"/>
    <x v="0"/>
    <x v="0"/>
    <x v="6"/>
    <x v="12"/>
    <s v="NO3_A2"/>
    <x v="2"/>
    <s v="GHOB_MUNIWASTE"/>
    <x v="0"/>
    <x v="3"/>
    <n v="70"/>
    <n v="25550"/>
    <n v="91980"/>
  </r>
  <r>
    <x v="0"/>
    <x v="0"/>
    <x v="0"/>
    <x v="6"/>
    <x v="12"/>
    <s v="NO3_A2"/>
    <x v="2"/>
    <s v="GHOB_MUNIWASTE"/>
    <x v="0"/>
    <x v="12"/>
    <n v="70"/>
    <n v="25550"/>
    <n v="91980"/>
  </r>
  <r>
    <x v="0"/>
    <x v="0"/>
    <x v="0"/>
    <x v="6"/>
    <x v="12"/>
    <s v="NO3_A2"/>
    <x v="2"/>
    <s v="GHOB_MUNIWASTE"/>
    <x v="0"/>
    <x v="13"/>
    <n v="70"/>
    <n v="25550"/>
    <n v="91980"/>
  </r>
  <r>
    <x v="0"/>
    <x v="0"/>
    <x v="0"/>
    <x v="6"/>
    <x v="12"/>
    <s v="NO3_A2"/>
    <x v="2"/>
    <s v="GHOB_MUNIWASTE"/>
    <x v="0"/>
    <x v="14"/>
    <n v="70"/>
    <n v="25550"/>
    <n v="91980"/>
  </r>
  <r>
    <x v="0"/>
    <x v="0"/>
    <x v="0"/>
    <x v="6"/>
    <x v="12"/>
    <s v="NO3_A2"/>
    <x v="2"/>
    <s v="GHOB_MUNIWASTE"/>
    <x v="0"/>
    <x v="15"/>
    <n v="70"/>
    <n v="25550"/>
    <n v="91980"/>
  </r>
  <r>
    <x v="0"/>
    <x v="0"/>
    <x v="0"/>
    <x v="6"/>
    <x v="12"/>
    <s v="NO3_A2"/>
    <x v="2"/>
    <s v="GHOB_MUNIWASTE"/>
    <x v="0"/>
    <x v="4"/>
    <n v="70"/>
    <n v="25550"/>
    <n v="91980"/>
  </r>
  <r>
    <x v="0"/>
    <x v="0"/>
    <x v="0"/>
    <x v="6"/>
    <x v="12"/>
    <s v="NO3_A2"/>
    <x v="2"/>
    <s v="GHOB_MUNIWASTE"/>
    <x v="0"/>
    <x v="16"/>
    <n v="70"/>
    <n v="25550"/>
    <n v="91980"/>
  </r>
  <r>
    <x v="0"/>
    <x v="0"/>
    <x v="0"/>
    <x v="6"/>
    <x v="12"/>
    <s v="NO3_A2"/>
    <x v="2"/>
    <s v="GHOB_MUNIWASTE"/>
    <x v="0"/>
    <x v="5"/>
    <n v="69.124669162514607"/>
    <n v="25230.504244317799"/>
    <n v="90829.815279544098"/>
  </r>
  <r>
    <x v="0"/>
    <x v="0"/>
    <x v="0"/>
    <x v="6"/>
    <x v="12"/>
    <s v="NO3_A2"/>
    <x v="2"/>
    <s v="GHOB_MUNIWASTE"/>
    <x v="0"/>
    <x v="17"/>
    <n v="63.791901092738598"/>
    <n v="23284.043898849599"/>
    <n v="83822.558035858499"/>
  </r>
  <r>
    <x v="0"/>
    <x v="0"/>
    <x v="0"/>
    <x v="6"/>
    <x v="12"/>
    <s v="NO3_A2"/>
    <x v="2"/>
    <s v="GHOB_MUNIWASTE"/>
    <x v="0"/>
    <x v="18"/>
    <n v="59.034510618002102"/>
    <n v="21547.5963755708"/>
    <n v="77571.346952054795"/>
  </r>
  <r>
    <x v="0"/>
    <x v="0"/>
    <x v="0"/>
    <x v="6"/>
    <x v="12"/>
    <s v="NO3_A2"/>
    <x v="2"/>
    <s v="GHOB_MUNIWASTE"/>
    <x v="0"/>
    <x v="19"/>
    <n v="56.220806437306997"/>
    <n v="20520.594349617098"/>
    <n v="73874.139658621396"/>
  </r>
  <r>
    <x v="0"/>
    <x v="0"/>
    <x v="0"/>
    <x v="6"/>
    <x v="12"/>
    <s v="NO3_A2"/>
    <x v="2"/>
    <s v="GHOB_MUNIWASTE"/>
    <x v="0"/>
    <x v="20"/>
    <n v="52.938778065487497"/>
    <n v="19322.653993902899"/>
    <n v="69561.554378050598"/>
  </r>
  <r>
    <x v="0"/>
    <x v="0"/>
    <x v="0"/>
    <x v="6"/>
    <x v="12"/>
    <s v="NO3_A2"/>
    <x v="2"/>
    <s v="GHOB_MUNIWASTE"/>
    <x v="0"/>
    <x v="21"/>
    <n v="49.716000609421499"/>
    <n v="18146.340222438801"/>
    <n v="65326.824800779897"/>
  </r>
  <r>
    <x v="0"/>
    <x v="0"/>
    <x v="0"/>
    <x v="6"/>
    <x v="12"/>
    <s v="NO3_A2"/>
    <x v="2"/>
    <s v="GHOB_MUNIWASTE"/>
    <x v="0"/>
    <x v="22"/>
    <n v="47.199656221504"/>
    <n v="17227.874520849"/>
    <n v="62020.348275056298"/>
  </r>
  <r>
    <x v="0"/>
    <x v="0"/>
    <x v="0"/>
    <x v="6"/>
    <x v="12"/>
    <s v="NO3_A2"/>
    <x v="2"/>
    <s v="GHOB_MUNIWASTE"/>
    <x v="0"/>
    <x v="23"/>
    <n v="45.431957651196903"/>
    <n v="16582.6645426869"/>
    <n v="59697.592353672699"/>
  </r>
  <r>
    <x v="0"/>
    <x v="0"/>
    <x v="0"/>
    <x v="6"/>
    <x v="13"/>
    <s v="NO4_A1"/>
    <x v="16"/>
    <s v="GHOB_LNG"/>
    <x v="0"/>
    <x v="0"/>
    <n v="1.6503992556059499"/>
    <n v="602.39572829617305"/>
    <n v="2168.62462186622"/>
  </r>
  <r>
    <x v="0"/>
    <x v="0"/>
    <x v="0"/>
    <x v="6"/>
    <x v="13"/>
    <s v="NO4_A1"/>
    <x v="16"/>
    <s v="GHOB_LNG"/>
    <x v="0"/>
    <x v="1"/>
    <n v="6.1417244357815699"/>
    <n v="2241.7294190602702"/>
    <n v="8070.2259086169797"/>
  </r>
  <r>
    <x v="0"/>
    <x v="0"/>
    <x v="0"/>
    <x v="6"/>
    <x v="13"/>
    <s v="NO4_A1"/>
    <x v="16"/>
    <s v="GHOB_LNG"/>
    <x v="0"/>
    <x v="2"/>
    <n v="10.274202642427399"/>
    <n v="3750.0839644860098"/>
    <n v="13500.3022721496"/>
  </r>
  <r>
    <x v="0"/>
    <x v="0"/>
    <x v="0"/>
    <x v="6"/>
    <x v="13"/>
    <s v="NO4_A1"/>
    <x v="16"/>
    <s v="GHOB_LNG"/>
    <x v="0"/>
    <x v="3"/>
    <n v="10.3702019044594"/>
    <n v="3785.1236951276901"/>
    <n v="13626.445302459701"/>
  </r>
  <r>
    <x v="0"/>
    <x v="0"/>
    <x v="0"/>
    <x v="6"/>
    <x v="13"/>
    <s v="NO4_A1"/>
    <x v="16"/>
    <s v="GHOB_LNG"/>
    <x v="0"/>
    <x v="12"/>
    <n v="7.5401025166950104"/>
    <n v="2752.1374185936802"/>
    <n v="9907.69470693724"/>
  </r>
  <r>
    <x v="0"/>
    <x v="0"/>
    <x v="0"/>
    <x v="6"/>
    <x v="13"/>
    <s v="NO4_A1"/>
    <x v="16"/>
    <s v="GHOB_LNG"/>
    <x v="0"/>
    <x v="13"/>
    <n v="6.1233425856130603"/>
    <n v="2235.0200437487701"/>
    <n v="8046.0721574955596"/>
  </r>
  <r>
    <x v="0"/>
    <x v="0"/>
    <x v="0"/>
    <x v="6"/>
    <x v="13"/>
    <s v="NO4_A1"/>
    <x v="16"/>
    <s v="GHOB_LNG"/>
    <x v="0"/>
    <x v="14"/>
    <n v="4.8774764635633998"/>
    <n v="1780.2789092006401"/>
    <n v="6409.0040731223098"/>
  </r>
  <r>
    <x v="0"/>
    <x v="0"/>
    <x v="0"/>
    <x v="6"/>
    <x v="13"/>
    <s v="NO4_A1"/>
    <x v="16"/>
    <s v="GHOB_LNG"/>
    <x v="0"/>
    <x v="15"/>
    <n v="4.3218628367001104"/>
    <n v="1577.47993539554"/>
    <n v="5678.9277674239402"/>
  </r>
  <r>
    <x v="0"/>
    <x v="0"/>
    <x v="0"/>
    <x v="6"/>
    <x v="13"/>
    <s v="NO4_A1"/>
    <x v="16"/>
    <s v="GHOB_LNG"/>
    <x v="0"/>
    <x v="4"/>
    <n v="5.7948943187616804"/>
    <n v="2115.13642634801"/>
    <n v="7614.4911348528503"/>
  </r>
  <r>
    <x v="0"/>
    <x v="0"/>
    <x v="0"/>
    <x v="6"/>
    <x v="13"/>
    <s v="NO4_A1"/>
    <x v="16"/>
    <s v="GHOB_LNG"/>
    <x v="0"/>
    <x v="16"/>
    <n v="4.4447922897531802"/>
    <n v="1622.3491857599099"/>
    <n v="5840.45706873568"/>
  </r>
  <r>
    <x v="0"/>
    <x v="0"/>
    <x v="0"/>
    <x v="6"/>
    <x v="13"/>
    <s v="NO4_A1"/>
    <x v="16"/>
    <s v="GHOB_LNG"/>
    <x v="0"/>
    <x v="17"/>
    <n v="0.32913286293256899"/>
    <n v="120.133494970388"/>
    <n v="432.48058189339503"/>
  </r>
  <r>
    <x v="0"/>
    <x v="0"/>
    <x v="0"/>
    <x v="6"/>
    <x v="13"/>
    <s v="NO4_A1"/>
    <x v="16"/>
    <s v="GHOB_LPG"/>
    <x v="0"/>
    <x v="0"/>
    <n v="2.15"/>
    <n v="784.75"/>
    <n v="2825.1"/>
  </r>
  <r>
    <x v="0"/>
    <x v="0"/>
    <x v="0"/>
    <x v="6"/>
    <x v="13"/>
    <s v="NO4_A1"/>
    <x v="16"/>
    <s v="GHOB_LPG"/>
    <x v="0"/>
    <x v="1"/>
    <n v="2.15"/>
    <n v="784.75"/>
    <n v="2825.1"/>
  </r>
  <r>
    <x v="0"/>
    <x v="0"/>
    <x v="0"/>
    <x v="6"/>
    <x v="13"/>
    <s v="NO4_A1"/>
    <x v="16"/>
    <s v="GHOB_LPG"/>
    <x v="0"/>
    <x v="12"/>
    <n v="2.15"/>
    <n v="784.75"/>
    <n v="2825.1"/>
  </r>
  <r>
    <x v="0"/>
    <x v="0"/>
    <x v="0"/>
    <x v="6"/>
    <x v="13"/>
    <s v="NO4_A1"/>
    <x v="16"/>
    <s v="GHOB_LPG"/>
    <x v="0"/>
    <x v="13"/>
    <n v="2.15"/>
    <n v="784.75"/>
    <n v="2825.1"/>
  </r>
  <r>
    <x v="0"/>
    <x v="0"/>
    <x v="0"/>
    <x v="6"/>
    <x v="13"/>
    <s v="NO4_A1"/>
    <x v="16"/>
    <s v="GHOB_LPG"/>
    <x v="0"/>
    <x v="14"/>
    <n v="2.15"/>
    <n v="784.75"/>
    <n v="2825.1"/>
  </r>
  <r>
    <x v="0"/>
    <x v="0"/>
    <x v="0"/>
    <x v="6"/>
    <x v="13"/>
    <s v="NO4_A1"/>
    <x v="16"/>
    <s v="GHOB_LPG"/>
    <x v="0"/>
    <x v="15"/>
    <n v="2.15"/>
    <n v="784.75"/>
    <n v="2825.1"/>
  </r>
  <r>
    <x v="0"/>
    <x v="0"/>
    <x v="0"/>
    <x v="6"/>
    <x v="13"/>
    <s v="NO4_A1"/>
    <x v="16"/>
    <s v="GHOB_LPG"/>
    <x v="0"/>
    <x v="5"/>
    <n v="2.0064129103270401"/>
    <n v="732.34071226936896"/>
    <n v="2636.4265641697302"/>
  </r>
  <r>
    <x v="0"/>
    <x v="0"/>
    <x v="0"/>
    <x v="6"/>
    <x v="13"/>
    <s v="NO4_A1"/>
    <x v="2"/>
    <s v="GBPR_MUNIWASTE"/>
    <x v="0"/>
    <x v="6"/>
    <n v="0.53651612903225798"/>
    <n v="195.82838709677401"/>
    <n v="704.98219354838704"/>
  </r>
  <r>
    <x v="0"/>
    <x v="0"/>
    <x v="0"/>
    <x v="6"/>
    <x v="13"/>
    <s v="NO4_A1"/>
    <x v="2"/>
    <s v="GBPR_MUNIWASTE"/>
    <x v="0"/>
    <x v="7"/>
    <n v="0.53651612903225798"/>
    <n v="195.82838709677401"/>
    <n v="704.98219354838704"/>
  </r>
  <r>
    <x v="0"/>
    <x v="0"/>
    <x v="0"/>
    <x v="6"/>
    <x v="13"/>
    <s v="NO4_A1"/>
    <x v="2"/>
    <s v="GBPR_MUNIWASTE"/>
    <x v="0"/>
    <x v="8"/>
    <n v="0.53651612903225798"/>
    <n v="195.82838709677401"/>
    <n v="704.98219354838704"/>
  </r>
  <r>
    <x v="0"/>
    <x v="0"/>
    <x v="0"/>
    <x v="6"/>
    <x v="13"/>
    <s v="NO4_A1"/>
    <x v="2"/>
    <s v="GBPR_MUNIWASTE"/>
    <x v="0"/>
    <x v="9"/>
    <n v="0.53651612903225798"/>
    <n v="195.82838709677401"/>
    <n v="704.98219354838704"/>
  </r>
  <r>
    <x v="0"/>
    <x v="0"/>
    <x v="0"/>
    <x v="6"/>
    <x v="13"/>
    <s v="NO4_A1"/>
    <x v="2"/>
    <s v="GBPR_MUNIWASTE"/>
    <x v="0"/>
    <x v="10"/>
    <n v="0.53651612903225798"/>
    <n v="195.82838709677401"/>
    <n v="704.98219354838704"/>
  </r>
  <r>
    <x v="0"/>
    <x v="0"/>
    <x v="0"/>
    <x v="6"/>
    <x v="13"/>
    <s v="NO4_A1"/>
    <x v="2"/>
    <s v="GBPR_MUNIWASTE"/>
    <x v="0"/>
    <x v="11"/>
    <n v="0.53651612903225798"/>
    <n v="195.82838709677401"/>
    <n v="704.98219354838704"/>
  </r>
  <r>
    <x v="0"/>
    <x v="0"/>
    <x v="0"/>
    <x v="6"/>
    <x v="13"/>
    <s v="NO4_A1"/>
    <x v="2"/>
    <s v="GBPR_MUNIWASTE"/>
    <x v="0"/>
    <x v="0"/>
    <n v="0.53651612903225798"/>
    <n v="195.82838709677401"/>
    <n v="704.98219354838704"/>
  </r>
  <r>
    <x v="0"/>
    <x v="0"/>
    <x v="0"/>
    <x v="6"/>
    <x v="13"/>
    <s v="NO4_A1"/>
    <x v="2"/>
    <s v="GBPR_MUNIWASTE"/>
    <x v="0"/>
    <x v="1"/>
    <n v="0.53651612903225798"/>
    <n v="195.82838709677401"/>
    <n v="704.98219354838704"/>
  </r>
  <r>
    <x v="0"/>
    <x v="0"/>
    <x v="0"/>
    <x v="6"/>
    <x v="13"/>
    <s v="NO4_A1"/>
    <x v="2"/>
    <s v="GBPR_MUNIWASTE"/>
    <x v="0"/>
    <x v="2"/>
    <n v="0.53651612903225798"/>
    <n v="195.82838709677401"/>
    <n v="704.98219354838704"/>
  </r>
  <r>
    <x v="0"/>
    <x v="0"/>
    <x v="0"/>
    <x v="6"/>
    <x v="13"/>
    <s v="NO4_A1"/>
    <x v="2"/>
    <s v="GBPR_MUNIWASTE"/>
    <x v="0"/>
    <x v="3"/>
    <n v="0.53651612903225798"/>
    <n v="195.82838709677401"/>
    <n v="704.98219354838704"/>
  </r>
  <r>
    <x v="0"/>
    <x v="0"/>
    <x v="0"/>
    <x v="6"/>
    <x v="13"/>
    <s v="NO4_A1"/>
    <x v="2"/>
    <s v="GBPR_MUNIWASTE"/>
    <x v="0"/>
    <x v="12"/>
    <n v="0.53651612903225798"/>
    <n v="195.82838709677401"/>
    <n v="704.98219354838704"/>
  </r>
  <r>
    <x v="0"/>
    <x v="0"/>
    <x v="0"/>
    <x v="6"/>
    <x v="13"/>
    <s v="NO4_A1"/>
    <x v="2"/>
    <s v="GBPR_MUNIWASTE"/>
    <x v="0"/>
    <x v="13"/>
    <n v="0.53651612903225798"/>
    <n v="195.82838709677401"/>
    <n v="704.98219354838704"/>
  </r>
  <r>
    <x v="0"/>
    <x v="0"/>
    <x v="0"/>
    <x v="6"/>
    <x v="13"/>
    <s v="NO4_A1"/>
    <x v="2"/>
    <s v="GBPR_MUNIWASTE"/>
    <x v="0"/>
    <x v="14"/>
    <n v="0.53651612903225798"/>
    <n v="195.82838709677401"/>
    <n v="704.98219354838704"/>
  </r>
  <r>
    <x v="0"/>
    <x v="0"/>
    <x v="0"/>
    <x v="6"/>
    <x v="13"/>
    <s v="NO4_A1"/>
    <x v="2"/>
    <s v="GBPR_MUNIWASTE"/>
    <x v="0"/>
    <x v="15"/>
    <n v="0.53651612903225798"/>
    <n v="195.82838709677401"/>
    <n v="704.98219354838704"/>
  </r>
  <r>
    <x v="0"/>
    <x v="0"/>
    <x v="0"/>
    <x v="6"/>
    <x v="13"/>
    <s v="NO4_A1"/>
    <x v="2"/>
    <s v="GBPR_MUNIWASTE"/>
    <x v="0"/>
    <x v="4"/>
    <n v="0.53651612903225798"/>
    <n v="195.82838709677401"/>
    <n v="704.98219354838704"/>
  </r>
  <r>
    <x v="0"/>
    <x v="0"/>
    <x v="0"/>
    <x v="6"/>
    <x v="13"/>
    <s v="NO4_A1"/>
    <x v="2"/>
    <s v="GBPR_MUNIWASTE"/>
    <x v="0"/>
    <x v="16"/>
    <n v="0.53651612903225798"/>
    <n v="195.82838709677401"/>
    <n v="704.98219354838704"/>
  </r>
  <r>
    <x v="0"/>
    <x v="0"/>
    <x v="0"/>
    <x v="6"/>
    <x v="13"/>
    <s v="NO4_A1"/>
    <x v="2"/>
    <s v="GBPR_MUNIWASTE"/>
    <x v="0"/>
    <x v="5"/>
    <n v="0.53651612903225798"/>
    <n v="195.82838709677401"/>
    <n v="704.98219354838704"/>
  </r>
  <r>
    <x v="0"/>
    <x v="0"/>
    <x v="0"/>
    <x v="6"/>
    <x v="13"/>
    <s v="NO4_A1"/>
    <x v="2"/>
    <s v="GBPR_MUNIWASTE"/>
    <x v="0"/>
    <x v="17"/>
    <n v="0.53651612903225798"/>
    <n v="195.82838709677401"/>
    <n v="704.98219354838704"/>
  </r>
  <r>
    <x v="0"/>
    <x v="0"/>
    <x v="0"/>
    <x v="6"/>
    <x v="13"/>
    <s v="NO4_A1"/>
    <x v="2"/>
    <s v="GBPR_MUNIWASTE"/>
    <x v="0"/>
    <x v="18"/>
    <n v="0.53651612903225798"/>
    <n v="195.82838709677401"/>
    <n v="704.98219354838704"/>
  </r>
  <r>
    <x v="0"/>
    <x v="0"/>
    <x v="0"/>
    <x v="6"/>
    <x v="13"/>
    <s v="NO4_A1"/>
    <x v="2"/>
    <s v="GBPR_MUNIWASTE"/>
    <x v="0"/>
    <x v="19"/>
    <n v="0.53651612903225798"/>
    <n v="195.82838709677401"/>
    <n v="704.98219354838704"/>
  </r>
  <r>
    <x v="0"/>
    <x v="0"/>
    <x v="0"/>
    <x v="6"/>
    <x v="13"/>
    <s v="NO4_A1"/>
    <x v="2"/>
    <s v="GBPR_MUNIWASTE"/>
    <x v="0"/>
    <x v="20"/>
    <n v="0.53651612903225798"/>
    <n v="195.82838709677401"/>
    <n v="704.98219354838704"/>
  </r>
  <r>
    <x v="0"/>
    <x v="0"/>
    <x v="0"/>
    <x v="6"/>
    <x v="13"/>
    <s v="NO4_A1"/>
    <x v="2"/>
    <s v="GBPR_MUNIWASTE"/>
    <x v="0"/>
    <x v="21"/>
    <n v="0.53651612903225798"/>
    <n v="195.82838709677401"/>
    <n v="704.98219354838704"/>
  </r>
  <r>
    <x v="0"/>
    <x v="0"/>
    <x v="0"/>
    <x v="6"/>
    <x v="13"/>
    <s v="NO4_A1"/>
    <x v="2"/>
    <s v="GBPR_MUNIWASTE"/>
    <x v="0"/>
    <x v="22"/>
    <n v="0.53651612903225798"/>
    <n v="195.82838709677401"/>
    <n v="704.98219354838704"/>
  </r>
  <r>
    <x v="0"/>
    <x v="0"/>
    <x v="0"/>
    <x v="6"/>
    <x v="13"/>
    <s v="NO4_A1"/>
    <x v="2"/>
    <s v="GBPR_MUNIWASTE"/>
    <x v="0"/>
    <x v="23"/>
    <n v="0.53651612903225798"/>
    <n v="195.82838709677401"/>
    <n v="704.98219354838704"/>
  </r>
  <r>
    <x v="0"/>
    <x v="0"/>
    <x v="0"/>
    <x v="6"/>
    <x v="13"/>
    <s v="NO4_A1"/>
    <x v="2"/>
    <s v="GHOB_MUNIWASTE"/>
    <x v="0"/>
    <x v="6"/>
    <n v="12.0215251422379"/>
    <n v="4387.8566769168301"/>
    <n v="15796.284036900601"/>
  </r>
  <r>
    <x v="0"/>
    <x v="0"/>
    <x v="0"/>
    <x v="6"/>
    <x v="13"/>
    <s v="NO4_A1"/>
    <x v="2"/>
    <s v="GHOB_MUNIWASTE"/>
    <x v="0"/>
    <x v="7"/>
    <n v="11.808743391077799"/>
    <n v="4310.1913377434003"/>
    <n v="15516.688815876299"/>
  </r>
  <r>
    <x v="0"/>
    <x v="0"/>
    <x v="0"/>
    <x v="6"/>
    <x v="13"/>
    <s v="NO4_A1"/>
    <x v="2"/>
    <s v="GHOB_MUNIWASTE"/>
    <x v="0"/>
    <x v="8"/>
    <n v="12.069171590768001"/>
    <n v="4405.2476306302997"/>
    <n v="15858.8914702691"/>
  </r>
  <r>
    <x v="0"/>
    <x v="0"/>
    <x v="0"/>
    <x v="6"/>
    <x v="13"/>
    <s v="NO4_A1"/>
    <x v="2"/>
    <s v="GHOB_MUNIWASTE"/>
    <x v="0"/>
    <x v="9"/>
    <n v="12.2860063656502"/>
    <n v="4484.3923234623198"/>
    <n v="16143.8123644643"/>
  </r>
  <r>
    <x v="0"/>
    <x v="0"/>
    <x v="0"/>
    <x v="6"/>
    <x v="13"/>
    <s v="NO4_A1"/>
    <x v="2"/>
    <s v="GHOB_MUNIWASTE"/>
    <x v="0"/>
    <x v="10"/>
    <n v="13.2950196968768"/>
    <n v="4852.6821893600199"/>
    <n v="17469.655881696101"/>
  </r>
  <r>
    <x v="0"/>
    <x v="0"/>
    <x v="0"/>
    <x v="6"/>
    <x v="13"/>
    <s v="NO4_A1"/>
    <x v="2"/>
    <s v="GHOB_MUNIWASTE"/>
    <x v="0"/>
    <x v="11"/>
    <n v="15.4732347626292"/>
    <n v="5647.7306883596402"/>
    <n v="20331.8304780947"/>
  </r>
  <r>
    <x v="0"/>
    <x v="0"/>
    <x v="0"/>
    <x v="6"/>
    <x v="13"/>
    <s v="NO4_A1"/>
    <x v="2"/>
    <s v="GHOB_MUNIWASTE"/>
    <x v="0"/>
    <x v="0"/>
    <n v="16"/>
    <n v="5840"/>
    <n v="21024"/>
  </r>
  <r>
    <x v="0"/>
    <x v="0"/>
    <x v="0"/>
    <x v="6"/>
    <x v="13"/>
    <s v="NO4_A1"/>
    <x v="2"/>
    <s v="GHOB_MUNIWASTE"/>
    <x v="0"/>
    <x v="1"/>
    <n v="16"/>
    <n v="5840"/>
    <n v="21024"/>
  </r>
  <r>
    <x v="0"/>
    <x v="0"/>
    <x v="0"/>
    <x v="6"/>
    <x v="13"/>
    <s v="NO4_A1"/>
    <x v="2"/>
    <s v="GHOB_MUNIWASTE"/>
    <x v="0"/>
    <x v="2"/>
    <n v="16"/>
    <n v="5840"/>
    <n v="21024"/>
  </r>
  <r>
    <x v="0"/>
    <x v="0"/>
    <x v="0"/>
    <x v="6"/>
    <x v="13"/>
    <s v="NO4_A1"/>
    <x v="2"/>
    <s v="GHOB_MUNIWASTE"/>
    <x v="0"/>
    <x v="3"/>
    <n v="16"/>
    <n v="5840"/>
    <n v="21024"/>
  </r>
  <r>
    <x v="0"/>
    <x v="0"/>
    <x v="0"/>
    <x v="6"/>
    <x v="13"/>
    <s v="NO4_A1"/>
    <x v="2"/>
    <s v="GHOB_MUNIWASTE"/>
    <x v="0"/>
    <x v="12"/>
    <n v="16"/>
    <n v="5840"/>
    <n v="21024"/>
  </r>
  <r>
    <x v="0"/>
    <x v="0"/>
    <x v="0"/>
    <x v="6"/>
    <x v="13"/>
    <s v="NO4_A1"/>
    <x v="2"/>
    <s v="GHOB_MUNIWASTE"/>
    <x v="0"/>
    <x v="13"/>
    <n v="16"/>
    <n v="5840"/>
    <n v="21024"/>
  </r>
  <r>
    <x v="0"/>
    <x v="0"/>
    <x v="0"/>
    <x v="6"/>
    <x v="13"/>
    <s v="NO4_A1"/>
    <x v="2"/>
    <s v="GHOB_MUNIWASTE"/>
    <x v="0"/>
    <x v="14"/>
    <n v="16"/>
    <n v="5840"/>
    <n v="21024"/>
  </r>
  <r>
    <x v="0"/>
    <x v="0"/>
    <x v="0"/>
    <x v="6"/>
    <x v="13"/>
    <s v="NO4_A1"/>
    <x v="2"/>
    <s v="GHOB_MUNIWASTE"/>
    <x v="0"/>
    <x v="15"/>
    <n v="16"/>
    <n v="5840"/>
    <n v="21024"/>
  </r>
  <r>
    <x v="0"/>
    <x v="0"/>
    <x v="0"/>
    <x v="6"/>
    <x v="13"/>
    <s v="NO4_A1"/>
    <x v="2"/>
    <s v="GHOB_MUNIWASTE"/>
    <x v="0"/>
    <x v="4"/>
    <n v="16"/>
    <n v="5840"/>
    <n v="21024"/>
  </r>
  <r>
    <x v="0"/>
    <x v="0"/>
    <x v="0"/>
    <x v="6"/>
    <x v="13"/>
    <s v="NO4_A1"/>
    <x v="2"/>
    <s v="GHOB_MUNIWASTE"/>
    <x v="0"/>
    <x v="16"/>
    <n v="16"/>
    <n v="5840"/>
    <n v="21024"/>
  </r>
  <r>
    <x v="0"/>
    <x v="0"/>
    <x v="0"/>
    <x v="6"/>
    <x v="13"/>
    <s v="NO4_A1"/>
    <x v="2"/>
    <s v="GHOB_MUNIWASTE"/>
    <x v="0"/>
    <x v="5"/>
    <n v="16"/>
    <n v="5840"/>
    <n v="21024"/>
  </r>
  <r>
    <x v="0"/>
    <x v="0"/>
    <x v="0"/>
    <x v="6"/>
    <x v="13"/>
    <s v="NO4_A1"/>
    <x v="2"/>
    <s v="GHOB_MUNIWASTE"/>
    <x v="0"/>
    <x v="17"/>
    <n v="16"/>
    <n v="5840"/>
    <n v="21024"/>
  </r>
  <r>
    <x v="0"/>
    <x v="0"/>
    <x v="0"/>
    <x v="6"/>
    <x v="13"/>
    <s v="NO4_A1"/>
    <x v="2"/>
    <s v="GHOB_MUNIWASTE"/>
    <x v="0"/>
    <x v="18"/>
    <n v="15.243342288072199"/>
    <n v="5563.81993514635"/>
    <n v="20029.751766526901"/>
  </r>
  <r>
    <x v="0"/>
    <x v="0"/>
    <x v="0"/>
    <x v="6"/>
    <x v="13"/>
    <s v="NO4_A1"/>
    <x v="2"/>
    <s v="GHOB_MUNIWASTE"/>
    <x v="0"/>
    <x v="19"/>
    <n v="14.1437399291272"/>
    <n v="5162.4650741314299"/>
    <n v="18584.874266873201"/>
  </r>
  <r>
    <x v="0"/>
    <x v="0"/>
    <x v="0"/>
    <x v="6"/>
    <x v="13"/>
    <s v="NO4_A1"/>
    <x v="2"/>
    <s v="GHOB_MUNIWASTE"/>
    <x v="0"/>
    <x v="20"/>
    <n v="13.0022016174639"/>
    <n v="4745.8035903743303"/>
    <n v="17084.892925347602"/>
  </r>
  <r>
    <x v="0"/>
    <x v="0"/>
    <x v="0"/>
    <x v="6"/>
    <x v="13"/>
    <s v="NO4_A1"/>
    <x v="2"/>
    <s v="GHOB_MUNIWASTE"/>
    <x v="0"/>
    <x v="21"/>
    <n v="11.759264931632901"/>
    <n v="4292.1317000460103"/>
    <n v="15451.6741201656"/>
  </r>
  <r>
    <x v="0"/>
    <x v="0"/>
    <x v="0"/>
    <x v="6"/>
    <x v="13"/>
    <s v="NO4_A1"/>
    <x v="2"/>
    <s v="GHOB_MUNIWASTE"/>
    <x v="0"/>
    <x v="22"/>
    <n v="10.408919754315599"/>
    <n v="3799.2557103251802"/>
    <n v="13677.3205571707"/>
  </r>
  <r>
    <x v="0"/>
    <x v="0"/>
    <x v="0"/>
    <x v="6"/>
    <x v="13"/>
    <s v="NO4_A1"/>
    <x v="2"/>
    <s v="GHOB_MUNIWASTE"/>
    <x v="0"/>
    <x v="23"/>
    <n v="9.6678698092194093"/>
    <n v="3528.7724803650799"/>
    <n v="12703.580929314299"/>
  </r>
  <r>
    <x v="0"/>
    <x v="0"/>
    <x v="0"/>
    <x v="6"/>
    <x v="13"/>
    <s v="NO4_A1"/>
    <x v="5"/>
    <s v="GHOB_WASTEHEAT"/>
    <x v="0"/>
    <x v="6"/>
    <n v="10.0441849816849"/>
    <n v="3666.1275183150001"/>
    <n v="13198.059065934"/>
  </r>
  <r>
    <x v="0"/>
    <x v="0"/>
    <x v="0"/>
    <x v="6"/>
    <x v="13"/>
    <s v="NO4_A1"/>
    <x v="5"/>
    <s v="GHOB_WASTEHEAT"/>
    <x v="0"/>
    <x v="7"/>
    <n v="10.0441849816849"/>
    <n v="3666.1275183150001"/>
    <n v="13198.059065934"/>
  </r>
  <r>
    <x v="0"/>
    <x v="0"/>
    <x v="0"/>
    <x v="6"/>
    <x v="13"/>
    <s v="NO4_A1"/>
    <x v="5"/>
    <s v="GHOB_WASTEHEAT"/>
    <x v="0"/>
    <x v="8"/>
    <n v="10.0441849816849"/>
    <n v="3666.1275183150001"/>
    <n v="13198.059065934"/>
  </r>
  <r>
    <x v="0"/>
    <x v="0"/>
    <x v="0"/>
    <x v="6"/>
    <x v="13"/>
    <s v="NO4_A1"/>
    <x v="5"/>
    <s v="GHOB_WASTEHEAT"/>
    <x v="0"/>
    <x v="9"/>
    <n v="10.0441849816849"/>
    <n v="3666.1275183150001"/>
    <n v="13198.059065934"/>
  </r>
  <r>
    <x v="0"/>
    <x v="0"/>
    <x v="0"/>
    <x v="6"/>
    <x v="13"/>
    <s v="NO4_A1"/>
    <x v="5"/>
    <s v="GHOB_WASTEHEAT"/>
    <x v="0"/>
    <x v="10"/>
    <n v="10.0441849816849"/>
    <n v="3666.1275183150001"/>
    <n v="13198.059065934"/>
  </r>
  <r>
    <x v="0"/>
    <x v="0"/>
    <x v="0"/>
    <x v="6"/>
    <x v="13"/>
    <s v="NO4_A1"/>
    <x v="5"/>
    <s v="GHOB_WASTEHEAT"/>
    <x v="0"/>
    <x v="11"/>
    <n v="10.0441849816849"/>
    <n v="3666.1275183150001"/>
    <n v="13198.059065934"/>
  </r>
  <r>
    <x v="0"/>
    <x v="0"/>
    <x v="0"/>
    <x v="6"/>
    <x v="13"/>
    <s v="NO4_A1"/>
    <x v="5"/>
    <s v="GHOB_WASTEHEAT"/>
    <x v="0"/>
    <x v="0"/>
    <n v="10.0441849816849"/>
    <n v="3666.1275183150001"/>
    <n v="13198.059065934"/>
  </r>
  <r>
    <x v="0"/>
    <x v="0"/>
    <x v="0"/>
    <x v="6"/>
    <x v="13"/>
    <s v="NO4_A1"/>
    <x v="5"/>
    <s v="GHOB_WASTEHEAT"/>
    <x v="0"/>
    <x v="1"/>
    <n v="10.0441849816849"/>
    <n v="3666.1275183150001"/>
    <n v="13198.059065934"/>
  </r>
  <r>
    <x v="0"/>
    <x v="0"/>
    <x v="0"/>
    <x v="6"/>
    <x v="13"/>
    <s v="NO4_A1"/>
    <x v="5"/>
    <s v="GHOB_WASTEHEAT"/>
    <x v="0"/>
    <x v="2"/>
    <n v="10.0441849816849"/>
    <n v="3666.1275183150001"/>
    <n v="13198.059065934"/>
  </r>
  <r>
    <x v="0"/>
    <x v="0"/>
    <x v="0"/>
    <x v="6"/>
    <x v="13"/>
    <s v="NO4_A1"/>
    <x v="5"/>
    <s v="GHOB_WASTEHEAT"/>
    <x v="0"/>
    <x v="3"/>
    <n v="10.0441849816849"/>
    <n v="3666.1275183150001"/>
    <n v="13198.059065934"/>
  </r>
  <r>
    <x v="0"/>
    <x v="0"/>
    <x v="0"/>
    <x v="6"/>
    <x v="13"/>
    <s v="NO4_A1"/>
    <x v="5"/>
    <s v="GHOB_WASTEHEAT"/>
    <x v="0"/>
    <x v="12"/>
    <n v="10.0441849816849"/>
    <n v="3666.1275183150001"/>
    <n v="13198.059065934"/>
  </r>
  <r>
    <x v="0"/>
    <x v="0"/>
    <x v="0"/>
    <x v="6"/>
    <x v="13"/>
    <s v="NO4_A1"/>
    <x v="5"/>
    <s v="GHOB_WASTEHEAT"/>
    <x v="0"/>
    <x v="13"/>
    <n v="10.0441849816849"/>
    <n v="3666.1275183150001"/>
    <n v="13198.059065934"/>
  </r>
  <r>
    <x v="0"/>
    <x v="0"/>
    <x v="0"/>
    <x v="6"/>
    <x v="13"/>
    <s v="NO4_A1"/>
    <x v="5"/>
    <s v="GHOB_WASTEHEAT"/>
    <x v="0"/>
    <x v="14"/>
    <n v="10.0441849816849"/>
    <n v="3666.1275183150001"/>
    <n v="13198.059065934"/>
  </r>
  <r>
    <x v="0"/>
    <x v="0"/>
    <x v="0"/>
    <x v="6"/>
    <x v="13"/>
    <s v="NO4_A1"/>
    <x v="5"/>
    <s v="GHOB_WASTEHEAT"/>
    <x v="0"/>
    <x v="15"/>
    <n v="10.0441849816849"/>
    <n v="3666.1275183150001"/>
    <n v="13198.059065934"/>
  </r>
  <r>
    <x v="0"/>
    <x v="0"/>
    <x v="0"/>
    <x v="6"/>
    <x v="13"/>
    <s v="NO4_A1"/>
    <x v="5"/>
    <s v="GHOB_WASTEHEAT"/>
    <x v="0"/>
    <x v="4"/>
    <n v="10.0441849816849"/>
    <n v="3666.1275183150001"/>
    <n v="13198.059065934"/>
  </r>
  <r>
    <x v="0"/>
    <x v="0"/>
    <x v="0"/>
    <x v="6"/>
    <x v="13"/>
    <s v="NO4_A1"/>
    <x v="5"/>
    <s v="GHOB_WASTEHEAT"/>
    <x v="0"/>
    <x v="16"/>
    <n v="10.0441849816849"/>
    <n v="3666.1275183150001"/>
    <n v="13198.059065934"/>
  </r>
  <r>
    <x v="0"/>
    <x v="0"/>
    <x v="0"/>
    <x v="6"/>
    <x v="13"/>
    <s v="NO4_A1"/>
    <x v="5"/>
    <s v="GHOB_WASTEHEAT"/>
    <x v="0"/>
    <x v="5"/>
    <n v="10.0441849816849"/>
    <n v="3666.1275183150001"/>
    <n v="13198.059065934"/>
  </r>
  <r>
    <x v="0"/>
    <x v="0"/>
    <x v="0"/>
    <x v="6"/>
    <x v="13"/>
    <s v="NO4_A1"/>
    <x v="5"/>
    <s v="GHOB_WASTEHEAT"/>
    <x v="0"/>
    <x v="17"/>
    <n v="10.0441849816849"/>
    <n v="3666.1275183150001"/>
    <n v="13198.059065934"/>
  </r>
  <r>
    <x v="0"/>
    <x v="0"/>
    <x v="0"/>
    <x v="6"/>
    <x v="13"/>
    <s v="NO4_A1"/>
    <x v="5"/>
    <s v="GHOB_WASTEHEAT"/>
    <x v="0"/>
    <x v="18"/>
    <n v="10.0441849816849"/>
    <n v="3666.1275183150001"/>
    <n v="13198.059065934"/>
  </r>
  <r>
    <x v="0"/>
    <x v="0"/>
    <x v="0"/>
    <x v="6"/>
    <x v="13"/>
    <s v="NO4_A1"/>
    <x v="5"/>
    <s v="GHOB_WASTEHEAT"/>
    <x v="0"/>
    <x v="19"/>
    <n v="10.0441849816849"/>
    <n v="3666.1275183150001"/>
    <n v="13198.059065934"/>
  </r>
  <r>
    <x v="0"/>
    <x v="0"/>
    <x v="0"/>
    <x v="6"/>
    <x v="13"/>
    <s v="NO4_A1"/>
    <x v="5"/>
    <s v="GHOB_WASTEHEAT"/>
    <x v="0"/>
    <x v="20"/>
    <n v="10.0441849816849"/>
    <n v="3666.1275183150001"/>
    <n v="13198.059065934"/>
  </r>
  <r>
    <x v="0"/>
    <x v="0"/>
    <x v="0"/>
    <x v="6"/>
    <x v="13"/>
    <s v="NO4_A1"/>
    <x v="5"/>
    <s v="GHOB_WASTEHEAT"/>
    <x v="0"/>
    <x v="21"/>
    <n v="10.0441849816849"/>
    <n v="3666.1275183150001"/>
    <n v="13198.059065934"/>
  </r>
  <r>
    <x v="0"/>
    <x v="0"/>
    <x v="0"/>
    <x v="6"/>
    <x v="13"/>
    <s v="NO4_A1"/>
    <x v="5"/>
    <s v="GHOB_WASTEHEAT"/>
    <x v="0"/>
    <x v="22"/>
    <n v="10.0441849816849"/>
    <n v="3666.1275183150001"/>
    <n v="13198.059065934"/>
  </r>
  <r>
    <x v="0"/>
    <x v="0"/>
    <x v="0"/>
    <x v="6"/>
    <x v="13"/>
    <s v="NO4_A1"/>
    <x v="5"/>
    <s v="GHOB_WASTEHEAT"/>
    <x v="0"/>
    <x v="23"/>
    <n v="10.0441849816849"/>
    <n v="3666.1275183150001"/>
    <n v="13198.059065934"/>
  </r>
  <r>
    <x v="0"/>
    <x v="0"/>
    <x v="0"/>
    <x v="6"/>
    <x v="14"/>
    <s v="NO5_A1"/>
    <x v="16"/>
    <s v="GHOB_LPG"/>
    <x v="0"/>
    <x v="6"/>
    <n v="3.1678105738039801"/>
    <n v="1156.2508594384501"/>
    <n v="4162.5030939784201"/>
  </r>
  <r>
    <x v="0"/>
    <x v="0"/>
    <x v="0"/>
    <x v="6"/>
    <x v="14"/>
    <s v="NO5_A1"/>
    <x v="16"/>
    <s v="GHOB_LPG"/>
    <x v="0"/>
    <x v="7"/>
    <n v="3.0849853872847102"/>
    <n v="1126.0196663589199"/>
    <n v="4053.6707988921098"/>
  </r>
  <r>
    <x v="0"/>
    <x v="0"/>
    <x v="0"/>
    <x v="6"/>
    <x v="14"/>
    <s v="NO5_A1"/>
    <x v="16"/>
    <s v="GHOB_LPG"/>
    <x v="0"/>
    <x v="8"/>
    <n v="3.3020205108980201"/>
    <n v="1205.2374864777801"/>
    <n v="4338.8549513199996"/>
  </r>
  <r>
    <x v="0"/>
    <x v="0"/>
    <x v="0"/>
    <x v="6"/>
    <x v="14"/>
    <s v="NO5_A1"/>
    <x v="16"/>
    <s v="GHOB_LPG"/>
    <x v="0"/>
    <x v="9"/>
    <n v="3.6853421706606602"/>
    <n v="1345.1498922911401"/>
    <n v="4842.5396122481097"/>
  </r>
  <r>
    <x v="0"/>
    <x v="0"/>
    <x v="0"/>
    <x v="6"/>
    <x v="14"/>
    <s v="NO5_A1"/>
    <x v="16"/>
    <s v="GHOB_LPG"/>
    <x v="0"/>
    <x v="10"/>
    <n v="5.5118605742745999"/>
    <n v="2011.82910961023"/>
    <n v="7242.5847945968198"/>
  </r>
  <r>
    <x v="0"/>
    <x v="0"/>
    <x v="0"/>
    <x v="6"/>
    <x v="14"/>
    <s v="NO5_A1"/>
    <x v="16"/>
    <s v="GHOB_LPG"/>
    <x v="0"/>
    <x v="11"/>
    <n v="9.2407793242854392"/>
    <n v="3372.88445336419"/>
    <n v="12142.3840321111"/>
  </r>
  <r>
    <x v="0"/>
    <x v="0"/>
    <x v="0"/>
    <x v="6"/>
    <x v="14"/>
    <s v="NO5_A1"/>
    <x v="16"/>
    <s v="GHOB_LPG"/>
    <x v="0"/>
    <x v="0"/>
    <n v="14.1824970408765"/>
    <n v="5176.6114199199401"/>
    <n v="18635.8011117118"/>
  </r>
  <r>
    <x v="0"/>
    <x v="0"/>
    <x v="0"/>
    <x v="6"/>
    <x v="14"/>
    <s v="NO5_A1"/>
    <x v="16"/>
    <s v="GHOB_LPG"/>
    <x v="0"/>
    <x v="1"/>
    <n v="18.953337198540702"/>
    <n v="6917.9680774673598"/>
    <n v="24904.6850788825"/>
  </r>
  <r>
    <x v="0"/>
    <x v="0"/>
    <x v="0"/>
    <x v="6"/>
    <x v="14"/>
    <s v="NO5_A1"/>
    <x v="16"/>
    <s v="GHOB_LPG"/>
    <x v="0"/>
    <x v="2"/>
    <n v="19.163680611421899"/>
    <n v="6994.7434231690104"/>
    <n v="25181.076323408401"/>
  </r>
  <r>
    <x v="0"/>
    <x v="0"/>
    <x v="0"/>
    <x v="6"/>
    <x v="14"/>
    <s v="NO5_A1"/>
    <x v="16"/>
    <s v="GHOB_LPG"/>
    <x v="0"/>
    <x v="3"/>
    <n v="17.860407746510798"/>
    <n v="6519.0488274764502"/>
    <n v="23468.575778915201"/>
  </r>
  <r>
    <x v="0"/>
    <x v="0"/>
    <x v="0"/>
    <x v="6"/>
    <x v="14"/>
    <s v="NO5_A1"/>
    <x v="16"/>
    <s v="GHOB_LPG"/>
    <x v="0"/>
    <x v="12"/>
    <n v="16.361602196331599"/>
    <n v="5971.9848016610404"/>
    <n v="21499.145285979801"/>
  </r>
  <r>
    <x v="0"/>
    <x v="0"/>
    <x v="0"/>
    <x v="6"/>
    <x v="14"/>
    <s v="NO5_A1"/>
    <x v="16"/>
    <s v="GHOB_LPG"/>
    <x v="0"/>
    <x v="13"/>
    <n v="14.517386443380399"/>
    <n v="5298.8460518338497"/>
    <n v="19075.845786601902"/>
  </r>
  <r>
    <x v="0"/>
    <x v="0"/>
    <x v="0"/>
    <x v="6"/>
    <x v="14"/>
    <s v="NO5_A1"/>
    <x v="16"/>
    <s v="GHOB_LPG"/>
    <x v="0"/>
    <x v="14"/>
    <n v="12.9460697873065"/>
    <n v="4725.3154723668704"/>
    <n v="17011.135700520699"/>
  </r>
  <r>
    <x v="0"/>
    <x v="0"/>
    <x v="0"/>
    <x v="6"/>
    <x v="14"/>
    <s v="NO5_A1"/>
    <x v="16"/>
    <s v="GHOB_LPG"/>
    <x v="0"/>
    <x v="15"/>
    <n v="11.4831159105947"/>
    <n v="4191.33730736707"/>
    <n v="15088.814306521501"/>
  </r>
  <r>
    <x v="0"/>
    <x v="0"/>
    <x v="0"/>
    <x v="6"/>
    <x v="14"/>
    <s v="NO5_A1"/>
    <x v="16"/>
    <s v="GHOB_LPG"/>
    <x v="0"/>
    <x v="4"/>
    <n v="10.4404087971999"/>
    <n v="3810.7492109779701"/>
    <n v="13718.6971595207"/>
  </r>
  <r>
    <x v="0"/>
    <x v="0"/>
    <x v="0"/>
    <x v="6"/>
    <x v="14"/>
    <s v="NO5_A1"/>
    <x v="16"/>
    <s v="GHOB_LPG"/>
    <x v="0"/>
    <x v="16"/>
    <n v="8.2294538232291998"/>
    <n v="3003.7506454786599"/>
    <n v="10813.5023237232"/>
  </r>
  <r>
    <x v="0"/>
    <x v="0"/>
    <x v="0"/>
    <x v="6"/>
    <x v="14"/>
    <s v="NO5_A1"/>
    <x v="16"/>
    <s v="GHOB_LPG"/>
    <x v="0"/>
    <x v="5"/>
    <n v="6.7826594205541904"/>
    <n v="2475.67068850228"/>
    <n v="8912.4144786082106"/>
  </r>
  <r>
    <x v="0"/>
    <x v="0"/>
    <x v="0"/>
    <x v="6"/>
    <x v="14"/>
    <s v="NO5_A1"/>
    <x v="16"/>
    <s v="GHOB_LPG"/>
    <x v="0"/>
    <x v="17"/>
    <n v="5.4709889704802697"/>
    <n v="1996.9109742252999"/>
    <n v="7188.8795072110797"/>
  </r>
  <r>
    <x v="0"/>
    <x v="0"/>
    <x v="0"/>
    <x v="6"/>
    <x v="14"/>
    <s v="NO5_A1"/>
    <x v="16"/>
    <s v="GHOB_LPG"/>
    <x v="0"/>
    <x v="18"/>
    <n v="4.5420136736157097"/>
    <n v="1657.8349908697301"/>
    <n v="5968.2059671310399"/>
  </r>
  <r>
    <x v="0"/>
    <x v="0"/>
    <x v="0"/>
    <x v="6"/>
    <x v="14"/>
    <s v="NO5_A1"/>
    <x v="16"/>
    <s v="GHOB_LPG"/>
    <x v="0"/>
    <x v="19"/>
    <n v="4.4149996358643104"/>
    <n v="1611.4748670904701"/>
    <n v="5801.3095215257099"/>
  </r>
  <r>
    <x v="0"/>
    <x v="0"/>
    <x v="0"/>
    <x v="6"/>
    <x v="14"/>
    <s v="NO5_A1"/>
    <x v="16"/>
    <s v="GHOB_LPG"/>
    <x v="0"/>
    <x v="20"/>
    <n v="3.89854222911337"/>
    <n v="1422.9679136263801"/>
    <n v="5122.6844890549701"/>
  </r>
  <r>
    <x v="0"/>
    <x v="0"/>
    <x v="0"/>
    <x v="6"/>
    <x v="14"/>
    <s v="NO5_A1"/>
    <x v="16"/>
    <s v="GHOB_LPG"/>
    <x v="0"/>
    <x v="21"/>
    <n v="2.3910807920505199"/>
    <n v="872.74448909844"/>
    <n v="3141.8801607543801"/>
  </r>
  <r>
    <x v="0"/>
    <x v="0"/>
    <x v="0"/>
    <x v="6"/>
    <x v="14"/>
    <s v="NO5_A1"/>
    <x v="16"/>
    <s v="GHOB_LPG"/>
    <x v="0"/>
    <x v="22"/>
    <n v="1.40239450840167"/>
    <n v="511.87399556661097"/>
    <n v="1842.7463840398"/>
  </r>
  <r>
    <x v="0"/>
    <x v="0"/>
    <x v="0"/>
    <x v="6"/>
    <x v="14"/>
    <s v="NO5_A1"/>
    <x v="16"/>
    <s v="GHOB_LPG"/>
    <x v="0"/>
    <x v="23"/>
    <n v="0.96240889514949002"/>
    <n v="351.27924672956402"/>
    <n v="1264.60528822643"/>
  </r>
  <r>
    <x v="0"/>
    <x v="0"/>
    <x v="0"/>
    <x v="6"/>
    <x v="14"/>
    <s v="NO5_A1"/>
    <x v="2"/>
    <s v="GBPR_MUNIWASTE"/>
    <x v="0"/>
    <x v="6"/>
    <n v="25.806451612903199"/>
    <n v="9419.3548387096798"/>
    <n v="33909.677419354797"/>
  </r>
  <r>
    <x v="0"/>
    <x v="0"/>
    <x v="0"/>
    <x v="6"/>
    <x v="14"/>
    <s v="NO5_A1"/>
    <x v="2"/>
    <s v="GBPR_MUNIWASTE"/>
    <x v="0"/>
    <x v="7"/>
    <n v="25.806451612903199"/>
    <n v="9419.3548387096798"/>
    <n v="33909.677419354797"/>
  </r>
  <r>
    <x v="0"/>
    <x v="0"/>
    <x v="0"/>
    <x v="6"/>
    <x v="14"/>
    <s v="NO5_A1"/>
    <x v="2"/>
    <s v="GBPR_MUNIWASTE"/>
    <x v="0"/>
    <x v="8"/>
    <n v="25.806451612903199"/>
    <n v="9419.3548387096798"/>
    <n v="33909.677419354797"/>
  </r>
  <r>
    <x v="0"/>
    <x v="0"/>
    <x v="0"/>
    <x v="6"/>
    <x v="14"/>
    <s v="NO5_A1"/>
    <x v="2"/>
    <s v="GBPR_MUNIWASTE"/>
    <x v="0"/>
    <x v="9"/>
    <n v="25.806451612903199"/>
    <n v="9419.3548387096798"/>
    <n v="33909.677419354797"/>
  </r>
  <r>
    <x v="0"/>
    <x v="0"/>
    <x v="0"/>
    <x v="6"/>
    <x v="14"/>
    <s v="NO5_A1"/>
    <x v="2"/>
    <s v="GBPR_MUNIWASTE"/>
    <x v="0"/>
    <x v="10"/>
    <n v="25.806451612903199"/>
    <n v="9419.3548387096798"/>
    <n v="33909.677419354797"/>
  </r>
  <r>
    <x v="0"/>
    <x v="0"/>
    <x v="0"/>
    <x v="6"/>
    <x v="14"/>
    <s v="NO5_A1"/>
    <x v="2"/>
    <s v="GBPR_MUNIWASTE"/>
    <x v="0"/>
    <x v="11"/>
    <n v="25.806451612903199"/>
    <n v="9419.3548387096798"/>
    <n v="33909.677419354797"/>
  </r>
  <r>
    <x v="0"/>
    <x v="0"/>
    <x v="0"/>
    <x v="6"/>
    <x v="14"/>
    <s v="NO5_A1"/>
    <x v="2"/>
    <s v="GBPR_MUNIWASTE"/>
    <x v="0"/>
    <x v="0"/>
    <n v="25.806451612903199"/>
    <n v="9419.3548387096798"/>
    <n v="33909.677419354797"/>
  </r>
  <r>
    <x v="0"/>
    <x v="0"/>
    <x v="0"/>
    <x v="6"/>
    <x v="14"/>
    <s v="NO5_A1"/>
    <x v="2"/>
    <s v="GBPR_MUNIWASTE"/>
    <x v="0"/>
    <x v="1"/>
    <n v="25.806451612903199"/>
    <n v="9419.3548387096798"/>
    <n v="33909.677419354797"/>
  </r>
  <r>
    <x v="0"/>
    <x v="0"/>
    <x v="0"/>
    <x v="6"/>
    <x v="14"/>
    <s v="NO5_A1"/>
    <x v="2"/>
    <s v="GBPR_MUNIWASTE"/>
    <x v="0"/>
    <x v="2"/>
    <n v="25.806451612903199"/>
    <n v="9419.3548387096798"/>
    <n v="33909.677419354797"/>
  </r>
  <r>
    <x v="0"/>
    <x v="0"/>
    <x v="0"/>
    <x v="6"/>
    <x v="14"/>
    <s v="NO5_A1"/>
    <x v="2"/>
    <s v="GBPR_MUNIWASTE"/>
    <x v="0"/>
    <x v="3"/>
    <n v="25.806451612903199"/>
    <n v="9419.3548387096798"/>
    <n v="33909.677419354797"/>
  </r>
  <r>
    <x v="0"/>
    <x v="0"/>
    <x v="0"/>
    <x v="6"/>
    <x v="14"/>
    <s v="NO5_A1"/>
    <x v="2"/>
    <s v="GBPR_MUNIWASTE"/>
    <x v="0"/>
    <x v="12"/>
    <n v="25.806451612903199"/>
    <n v="9419.3548387096798"/>
    <n v="33909.677419354797"/>
  </r>
  <r>
    <x v="0"/>
    <x v="0"/>
    <x v="0"/>
    <x v="6"/>
    <x v="14"/>
    <s v="NO5_A1"/>
    <x v="2"/>
    <s v="GBPR_MUNIWASTE"/>
    <x v="0"/>
    <x v="13"/>
    <n v="25.806451612903199"/>
    <n v="9419.3548387096798"/>
    <n v="33909.677419354797"/>
  </r>
  <r>
    <x v="0"/>
    <x v="0"/>
    <x v="0"/>
    <x v="6"/>
    <x v="14"/>
    <s v="NO5_A1"/>
    <x v="2"/>
    <s v="GBPR_MUNIWASTE"/>
    <x v="0"/>
    <x v="14"/>
    <n v="25.806451612903199"/>
    <n v="9419.3548387096798"/>
    <n v="33909.677419354797"/>
  </r>
  <r>
    <x v="0"/>
    <x v="0"/>
    <x v="0"/>
    <x v="6"/>
    <x v="14"/>
    <s v="NO5_A1"/>
    <x v="2"/>
    <s v="GBPR_MUNIWASTE"/>
    <x v="0"/>
    <x v="15"/>
    <n v="25.806451612903199"/>
    <n v="9419.3548387096798"/>
    <n v="33909.677419354797"/>
  </r>
  <r>
    <x v="0"/>
    <x v="0"/>
    <x v="0"/>
    <x v="6"/>
    <x v="14"/>
    <s v="NO5_A1"/>
    <x v="2"/>
    <s v="GBPR_MUNIWASTE"/>
    <x v="0"/>
    <x v="4"/>
    <n v="25.806451612903199"/>
    <n v="9419.3548387096798"/>
    <n v="33909.677419354797"/>
  </r>
  <r>
    <x v="0"/>
    <x v="0"/>
    <x v="0"/>
    <x v="6"/>
    <x v="14"/>
    <s v="NO5_A1"/>
    <x v="2"/>
    <s v="GBPR_MUNIWASTE"/>
    <x v="0"/>
    <x v="16"/>
    <n v="25.806451612903199"/>
    <n v="9419.3548387096798"/>
    <n v="33909.677419354797"/>
  </r>
  <r>
    <x v="0"/>
    <x v="0"/>
    <x v="0"/>
    <x v="6"/>
    <x v="14"/>
    <s v="NO5_A1"/>
    <x v="2"/>
    <s v="GBPR_MUNIWASTE"/>
    <x v="0"/>
    <x v="5"/>
    <n v="25.806451612903199"/>
    <n v="9419.3548387096798"/>
    <n v="33909.677419354797"/>
  </r>
  <r>
    <x v="0"/>
    <x v="0"/>
    <x v="0"/>
    <x v="6"/>
    <x v="14"/>
    <s v="NO5_A1"/>
    <x v="2"/>
    <s v="GBPR_MUNIWASTE"/>
    <x v="0"/>
    <x v="17"/>
    <n v="25.806451612903199"/>
    <n v="9419.3548387096798"/>
    <n v="33909.677419354797"/>
  </r>
  <r>
    <x v="0"/>
    <x v="0"/>
    <x v="0"/>
    <x v="6"/>
    <x v="14"/>
    <s v="NO5_A1"/>
    <x v="2"/>
    <s v="GBPR_MUNIWASTE"/>
    <x v="0"/>
    <x v="18"/>
    <n v="25.806451612903199"/>
    <n v="9419.3548387096798"/>
    <n v="33909.677419354797"/>
  </r>
  <r>
    <x v="0"/>
    <x v="0"/>
    <x v="0"/>
    <x v="6"/>
    <x v="14"/>
    <s v="NO5_A1"/>
    <x v="2"/>
    <s v="GBPR_MUNIWASTE"/>
    <x v="0"/>
    <x v="19"/>
    <n v="25.806451612903199"/>
    <n v="9419.3548387096798"/>
    <n v="33909.677419354797"/>
  </r>
  <r>
    <x v="0"/>
    <x v="0"/>
    <x v="0"/>
    <x v="6"/>
    <x v="14"/>
    <s v="NO5_A1"/>
    <x v="2"/>
    <s v="GBPR_MUNIWASTE"/>
    <x v="0"/>
    <x v="20"/>
    <n v="25.806451612903199"/>
    <n v="9419.3548387096798"/>
    <n v="33909.677419354797"/>
  </r>
  <r>
    <x v="0"/>
    <x v="0"/>
    <x v="0"/>
    <x v="6"/>
    <x v="14"/>
    <s v="NO5_A1"/>
    <x v="2"/>
    <s v="GBPR_MUNIWASTE"/>
    <x v="0"/>
    <x v="21"/>
    <n v="25.806451612903199"/>
    <n v="9419.3548387096798"/>
    <n v="33909.677419354797"/>
  </r>
  <r>
    <x v="0"/>
    <x v="0"/>
    <x v="0"/>
    <x v="6"/>
    <x v="14"/>
    <s v="NO5_A1"/>
    <x v="2"/>
    <s v="GBPR_MUNIWASTE"/>
    <x v="0"/>
    <x v="22"/>
    <n v="25.806451612903199"/>
    <n v="9419.3548387096798"/>
    <n v="33909.677419354797"/>
  </r>
  <r>
    <x v="0"/>
    <x v="0"/>
    <x v="0"/>
    <x v="6"/>
    <x v="14"/>
    <s v="NO5_A1"/>
    <x v="2"/>
    <s v="GBPR_MUNIWASTE"/>
    <x v="0"/>
    <x v="23"/>
    <n v="25.806451612903199"/>
    <n v="9419.3548387096798"/>
    <n v="33909.677419354797"/>
  </r>
  <r>
    <x v="0"/>
    <x v="0"/>
    <x v="0"/>
    <x v="7"/>
    <x v="15"/>
    <s v="PL_A"/>
    <x v="0"/>
    <s v="KATO_ST_COAL_BP"/>
    <x v="0"/>
    <x v="5"/>
    <n v="175.71428571428601"/>
    <n v="64135.714285714297"/>
    <n v="230888.57142857101"/>
  </r>
  <r>
    <x v="0"/>
    <x v="0"/>
    <x v="0"/>
    <x v="7"/>
    <x v="15"/>
    <s v="PL_A"/>
    <x v="0"/>
    <s v="SIER-1_ST_COAL_BP"/>
    <x v="0"/>
    <x v="1"/>
    <n v="255.53582639520599"/>
    <n v="93270.576634250101"/>
    <n v="335774.07588329999"/>
  </r>
  <r>
    <x v="0"/>
    <x v="0"/>
    <x v="0"/>
    <x v="7"/>
    <x v="15"/>
    <s v="PL_A"/>
    <x v="0"/>
    <s v="SIER-1_ST_COAL_BP"/>
    <x v="0"/>
    <x v="2"/>
    <n v="623"/>
    <n v="227395"/>
    <n v="818622"/>
  </r>
  <r>
    <x v="0"/>
    <x v="0"/>
    <x v="0"/>
    <x v="7"/>
    <x v="15"/>
    <s v="PL_A"/>
    <x v="0"/>
    <s v="SIER-1_ST_COAL_BP"/>
    <x v="0"/>
    <x v="16"/>
    <n v="109.11215548039399"/>
    <n v="39825.936750343797"/>
    <n v="143373.37230123801"/>
  </r>
  <r>
    <x v="0"/>
    <x v="0"/>
    <x v="0"/>
    <x v="7"/>
    <x v="15"/>
    <s v="PL_A"/>
    <x v="0"/>
    <s v="SIER-1_ST_COAL_BP"/>
    <x v="0"/>
    <x v="5"/>
    <n v="623"/>
    <n v="227395"/>
    <n v="818622"/>
  </r>
  <r>
    <x v="0"/>
    <x v="0"/>
    <x v="0"/>
    <x v="7"/>
    <x v="15"/>
    <s v="PL_A"/>
    <x v="0"/>
    <s v="SIER-1_ST_COAL_BP"/>
    <x v="0"/>
    <x v="17"/>
    <n v="623"/>
    <n v="227395"/>
    <n v="818622"/>
  </r>
  <r>
    <x v="0"/>
    <x v="0"/>
    <x v="0"/>
    <x v="7"/>
    <x v="15"/>
    <s v="PL_A"/>
    <x v="0"/>
    <s v="SIER-1_ST_COAL_BP"/>
    <x v="0"/>
    <x v="18"/>
    <n v="623"/>
    <n v="227395"/>
    <n v="818622"/>
  </r>
  <r>
    <x v="0"/>
    <x v="0"/>
    <x v="0"/>
    <x v="7"/>
    <x v="15"/>
    <s v="PL_A"/>
    <x v="0"/>
    <s v="ZIEL-2_ST_COAL_BP"/>
    <x v="0"/>
    <x v="1"/>
    <n v="11"/>
    <n v="4015"/>
    <n v="14454"/>
  </r>
  <r>
    <x v="0"/>
    <x v="0"/>
    <x v="0"/>
    <x v="7"/>
    <x v="15"/>
    <s v="PL_A"/>
    <x v="0"/>
    <s v="ZIEL-2_ST_COAL_BP"/>
    <x v="0"/>
    <x v="2"/>
    <n v="11"/>
    <n v="4015"/>
    <n v="14454"/>
  </r>
  <r>
    <x v="0"/>
    <x v="0"/>
    <x v="0"/>
    <x v="7"/>
    <x v="15"/>
    <s v="PL_A"/>
    <x v="0"/>
    <s v="ZIEL-2_ST_COAL_BP"/>
    <x v="0"/>
    <x v="5"/>
    <n v="11"/>
    <n v="4015"/>
    <n v="14454"/>
  </r>
  <r>
    <x v="0"/>
    <x v="0"/>
    <x v="0"/>
    <x v="7"/>
    <x v="15"/>
    <s v="PL_A"/>
    <x v="0"/>
    <s v="ZIEL-2_ST_COAL_BP"/>
    <x v="0"/>
    <x v="17"/>
    <n v="11"/>
    <n v="4015"/>
    <n v="14454"/>
  </r>
  <r>
    <x v="0"/>
    <x v="0"/>
    <x v="0"/>
    <x v="7"/>
    <x v="15"/>
    <s v="PL_A"/>
    <x v="0"/>
    <s v="ZIEL-2_ST_COAL_BP"/>
    <x v="0"/>
    <x v="18"/>
    <n v="11"/>
    <n v="4015"/>
    <n v="14454"/>
  </r>
  <r>
    <x v="0"/>
    <x v="0"/>
    <x v="0"/>
    <x v="7"/>
    <x v="15"/>
    <s v="PL_A"/>
    <x v="0"/>
    <s v="ZIEL-4_ST_COAL_BP"/>
    <x v="0"/>
    <x v="2"/>
    <n v="60"/>
    <n v="21900"/>
    <n v="78840"/>
  </r>
  <r>
    <x v="0"/>
    <x v="0"/>
    <x v="0"/>
    <x v="7"/>
    <x v="15"/>
    <s v="PL_A"/>
    <x v="0"/>
    <s v="ZIEL-4_ST_COAL_BP"/>
    <x v="0"/>
    <x v="5"/>
    <n v="60"/>
    <n v="21900"/>
    <n v="78840"/>
  </r>
  <r>
    <x v="0"/>
    <x v="0"/>
    <x v="0"/>
    <x v="7"/>
    <x v="15"/>
    <s v="PL_A"/>
    <x v="0"/>
    <s v="ZIEL-4_ST_COAL_BP"/>
    <x v="0"/>
    <x v="17"/>
    <n v="60"/>
    <n v="21900"/>
    <n v="78840"/>
  </r>
  <r>
    <x v="0"/>
    <x v="0"/>
    <x v="0"/>
    <x v="7"/>
    <x v="15"/>
    <s v="PL_A"/>
    <x v="0"/>
    <s v="ZIEL-4_ST_COAL_BP"/>
    <x v="0"/>
    <x v="18"/>
    <n v="14.545495951195299"/>
    <n v="5309.1060221862999"/>
    <n v="19112.781679870699"/>
  </r>
  <r>
    <x v="0"/>
    <x v="0"/>
    <x v="0"/>
    <x v="7"/>
    <x v="15"/>
    <s v="PL_A"/>
    <x v="2"/>
    <s v="GNR_ST_MSW_BP_E-15"/>
    <x v="0"/>
    <x v="6"/>
    <n v="170"/>
    <n v="62050"/>
    <n v="223380"/>
  </r>
  <r>
    <x v="0"/>
    <x v="0"/>
    <x v="0"/>
    <x v="7"/>
    <x v="15"/>
    <s v="PL_A"/>
    <x v="2"/>
    <s v="GNR_ST_MSW_BP_E-15"/>
    <x v="0"/>
    <x v="7"/>
    <n v="170"/>
    <n v="62050"/>
    <n v="223380"/>
  </r>
  <r>
    <x v="0"/>
    <x v="0"/>
    <x v="0"/>
    <x v="7"/>
    <x v="15"/>
    <s v="PL_A"/>
    <x v="2"/>
    <s v="GNR_ST_MSW_BP_E-15"/>
    <x v="0"/>
    <x v="8"/>
    <n v="170"/>
    <n v="62050"/>
    <n v="223380"/>
  </r>
  <r>
    <x v="0"/>
    <x v="0"/>
    <x v="0"/>
    <x v="7"/>
    <x v="15"/>
    <s v="PL_A"/>
    <x v="2"/>
    <s v="GNR_ST_MSW_BP_E-15"/>
    <x v="0"/>
    <x v="9"/>
    <n v="170"/>
    <n v="62050"/>
    <n v="223380"/>
  </r>
  <r>
    <x v="0"/>
    <x v="0"/>
    <x v="0"/>
    <x v="7"/>
    <x v="15"/>
    <s v="PL_A"/>
    <x v="2"/>
    <s v="GNR_ST_MSW_BP_E-15"/>
    <x v="0"/>
    <x v="10"/>
    <n v="170"/>
    <n v="62050"/>
    <n v="223380"/>
  </r>
  <r>
    <x v="0"/>
    <x v="0"/>
    <x v="0"/>
    <x v="7"/>
    <x v="15"/>
    <s v="PL_A"/>
    <x v="2"/>
    <s v="GNR_ST_MSW_BP_E-15"/>
    <x v="0"/>
    <x v="11"/>
    <n v="170"/>
    <n v="62050"/>
    <n v="223380"/>
  </r>
  <r>
    <x v="0"/>
    <x v="0"/>
    <x v="0"/>
    <x v="7"/>
    <x v="15"/>
    <s v="PL_A"/>
    <x v="2"/>
    <s v="GNR_ST_MSW_BP_E-15"/>
    <x v="0"/>
    <x v="0"/>
    <n v="170"/>
    <n v="62050"/>
    <n v="223380"/>
  </r>
  <r>
    <x v="0"/>
    <x v="0"/>
    <x v="0"/>
    <x v="7"/>
    <x v="15"/>
    <s v="PL_A"/>
    <x v="2"/>
    <s v="GNR_ST_MSW_BP_E-15"/>
    <x v="0"/>
    <x v="1"/>
    <n v="170"/>
    <n v="62050"/>
    <n v="223380"/>
  </r>
  <r>
    <x v="0"/>
    <x v="0"/>
    <x v="0"/>
    <x v="7"/>
    <x v="15"/>
    <s v="PL_A"/>
    <x v="2"/>
    <s v="GNR_ST_MSW_BP_E-15"/>
    <x v="0"/>
    <x v="2"/>
    <n v="170"/>
    <n v="62050"/>
    <n v="223380"/>
  </r>
  <r>
    <x v="0"/>
    <x v="0"/>
    <x v="0"/>
    <x v="7"/>
    <x v="15"/>
    <s v="PL_A"/>
    <x v="2"/>
    <s v="GNR_ST_MSW_BP_E-15"/>
    <x v="0"/>
    <x v="3"/>
    <n v="170"/>
    <n v="62050"/>
    <n v="223380"/>
  </r>
  <r>
    <x v="0"/>
    <x v="0"/>
    <x v="0"/>
    <x v="7"/>
    <x v="15"/>
    <s v="PL_A"/>
    <x v="2"/>
    <s v="GNR_ST_MSW_BP_E-15"/>
    <x v="0"/>
    <x v="12"/>
    <n v="170"/>
    <n v="62050"/>
    <n v="223380"/>
  </r>
  <r>
    <x v="0"/>
    <x v="0"/>
    <x v="0"/>
    <x v="7"/>
    <x v="15"/>
    <s v="PL_A"/>
    <x v="2"/>
    <s v="GNR_ST_MSW_BP_E-15"/>
    <x v="0"/>
    <x v="13"/>
    <n v="170"/>
    <n v="62050"/>
    <n v="223380"/>
  </r>
  <r>
    <x v="0"/>
    <x v="0"/>
    <x v="0"/>
    <x v="7"/>
    <x v="15"/>
    <s v="PL_A"/>
    <x v="2"/>
    <s v="GNR_ST_MSW_BP_E-15"/>
    <x v="0"/>
    <x v="14"/>
    <n v="170"/>
    <n v="62050"/>
    <n v="223380"/>
  </r>
  <r>
    <x v="0"/>
    <x v="0"/>
    <x v="0"/>
    <x v="7"/>
    <x v="15"/>
    <s v="PL_A"/>
    <x v="2"/>
    <s v="GNR_ST_MSW_BP_E-15"/>
    <x v="0"/>
    <x v="15"/>
    <n v="170"/>
    <n v="62050"/>
    <n v="223380"/>
  </r>
  <r>
    <x v="0"/>
    <x v="0"/>
    <x v="0"/>
    <x v="7"/>
    <x v="15"/>
    <s v="PL_A"/>
    <x v="2"/>
    <s v="GNR_ST_MSW_BP_E-15"/>
    <x v="0"/>
    <x v="4"/>
    <n v="170"/>
    <n v="62050"/>
    <n v="223380"/>
  </r>
  <r>
    <x v="0"/>
    <x v="0"/>
    <x v="0"/>
    <x v="7"/>
    <x v="15"/>
    <s v="PL_A"/>
    <x v="2"/>
    <s v="GNR_ST_MSW_BP_E-15"/>
    <x v="0"/>
    <x v="16"/>
    <n v="170"/>
    <n v="62050"/>
    <n v="223380"/>
  </r>
  <r>
    <x v="0"/>
    <x v="0"/>
    <x v="0"/>
    <x v="7"/>
    <x v="15"/>
    <s v="PL_A"/>
    <x v="2"/>
    <s v="GNR_ST_MSW_BP_E-15"/>
    <x v="0"/>
    <x v="5"/>
    <n v="170"/>
    <n v="62050"/>
    <n v="223380"/>
  </r>
  <r>
    <x v="0"/>
    <x v="0"/>
    <x v="0"/>
    <x v="7"/>
    <x v="15"/>
    <s v="PL_A"/>
    <x v="2"/>
    <s v="GNR_ST_MSW_BP_E-15"/>
    <x v="0"/>
    <x v="17"/>
    <n v="170"/>
    <n v="62050"/>
    <n v="223380"/>
  </r>
  <r>
    <x v="0"/>
    <x v="0"/>
    <x v="0"/>
    <x v="7"/>
    <x v="15"/>
    <s v="PL_A"/>
    <x v="2"/>
    <s v="GNR_ST_MSW_BP_E-15"/>
    <x v="0"/>
    <x v="18"/>
    <n v="170"/>
    <n v="62050"/>
    <n v="223380"/>
  </r>
  <r>
    <x v="0"/>
    <x v="0"/>
    <x v="0"/>
    <x v="7"/>
    <x v="15"/>
    <s v="PL_A"/>
    <x v="2"/>
    <s v="GNR_ST_MSW_BP_E-15"/>
    <x v="0"/>
    <x v="19"/>
    <n v="170"/>
    <n v="62050"/>
    <n v="223380"/>
  </r>
  <r>
    <x v="0"/>
    <x v="0"/>
    <x v="0"/>
    <x v="7"/>
    <x v="15"/>
    <s v="PL_A"/>
    <x v="2"/>
    <s v="GNR_ST_MSW_BP_E-15"/>
    <x v="0"/>
    <x v="20"/>
    <n v="170"/>
    <n v="62050"/>
    <n v="223380"/>
  </r>
  <r>
    <x v="0"/>
    <x v="0"/>
    <x v="0"/>
    <x v="7"/>
    <x v="15"/>
    <s v="PL_A"/>
    <x v="2"/>
    <s v="GNR_ST_MSW_BP_E-15"/>
    <x v="0"/>
    <x v="21"/>
    <n v="170"/>
    <n v="62050"/>
    <n v="223380"/>
  </r>
  <r>
    <x v="0"/>
    <x v="0"/>
    <x v="0"/>
    <x v="7"/>
    <x v="15"/>
    <s v="PL_A"/>
    <x v="2"/>
    <s v="GNR_ST_MSW_BP_E-15"/>
    <x v="0"/>
    <x v="22"/>
    <n v="170"/>
    <n v="62050"/>
    <n v="223380"/>
  </r>
  <r>
    <x v="0"/>
    <x v="0"/>
    <x v="0"/>
    <x v="7"/>
    <x v="15"/>
    <s v="PL_A"/>
    <x v="2"/>
    <s v="GNR_ST_MSW_BP_E-15"/>
    <x v="0"/>
    <x v="23"/>
    <n v="170"/>
    <n v="62050"/>
    <n v="223380"/>
  </r>
  <r>
    <x v="0"/>
    <x v="0"/>
    <x v="0"/>
    <x v="7"/>
    <x v="15"/>
    <s v="PL_A"/>
    <x v="3"/>
    <s v="GNR_ST_NGAS_BP_E-15"/>
    <x v="0"/>
    <x v="6"/>
    <n v="710"/>
    <n v="259150"/>
    <n v="932940"/>
  </r>
  <r>
    <x v="0"/>
    <x v="0"/>
    <x v="0"/>
    <x v="7"/>
    <x v="15"/>
    <s v="PL_A"/>
    <x v="3"/>
    <s v="GNR_ST_NGAS_BP_E-15"/>
    <x v="0"/>
    <x v="7"/>
    <n v="710"/>
    <n v="259150"/>
    <n v="932940"/>
  </r>
  <r>
    <x v="0"/>
    <x v="0"/>
    <x v="0"/>
    <x v="7"/>
    <x v="15"/>
    <s v="PL_A"/>
    <x v="3"/>
    <s v="GNR_ST_NGAS_BP_E-15"/>
    <x v="0"/>
    <x v="8"/>
    <n v="710"/>
    <n v="259150"/>
    <n v="932940"/>
  </r>
  <r>
    <x v="0"/>
    <x v="0"/>
    <x v="0"/>
    <x v="7"/>
    <x v="15"/>
    <s v="PL_A"/>
    <x v="3"/>
    <s v="GNR_ST_NGAS_BP_E-15"/>
    <x v="0"/>
    <x v="9"/>
    <n v="710"/>
    <n v="259150"/>
    <n v="932940"/>
  </r>
  <r>
    <x v="0"/>
    <x v="0"/>
    <x v="0"/>
    <x v="7"/>
    <x v="15"/>
    <s v="PL_A"/>
    <x v="3"/>
    <s v="GNR_ST_NGAS_BP_E-15"/>
    <x v="0"/>
    <x v="10"/>
    <n v="710"/>
    <n v="259150"/>
    <n v="932940"/>
  </r>
  <r>
    <x v="0"/>
    <x v="0"/>
    <x v="0"/>
    <x v="7"/>
    <x v="15"/>
    <s v="PL_A"/>
    <x v="3"/>
    <s v="GNR_ST_NGAS_BP_E-15"/>
    <x v="0"/>
    <x v="11"/>
    <n v="710"/>
    <n v="259150"/>
    <n v="932940"/>
  </r>
  <r>
    <x v="0"/>
    <x v="0"/>
    <x v="0"/>
    <x v="7"/>
    <x v="15"/>
    <s v="PL_A"/>
    <x v="3"/>
    <s v="GNR_ST_NGAS_BP_E-15"/>
    <x v="0"/>
    <x v="0"/>
    <n v="710"/>
    <n v="259150"/>
    <n v="932940"/>
  </r>
  <r>
    <x v="0"/>
    <x v="0"/>
    <x v="0"/>
    <x v="7"/>
    <x v="15"/>
    <s v="PL_A"/>
    <x v="3"/>
    <s v="GNR_ST_NGAS_BP_E-15"/>
    <x v="0"/>
    <x v="1"/>
    <n v="710"/>
    <n v="259150"/>
    <n v="932940"/>
  </r>
  <r>
    <x v="0"/>
    <x v="0"/>
    <x v="0"/>
    <x v="7"/>
    <x v="15"/>
    <s v="PL_A"/>
    <x v="3"/>
    <s v="GNR_ST_NGAS_BP_E-15"/>
    <x v="0"/>
    <x v="2"/>
    <n v="710"/>
    <n v="259150"/>
    <n v="932940"/>
  </r>
  <r>
    <x v="0"/>
    <x v="0"/>
    <x v="0"/>
    <x v="7"/>
    <x v="15"/>
    <s v="PL_A"/>
    <x v="3"/>
    <s v="GNR_ST_NGAS_BP_E-15"/>
    <x v="0"/>
    <x v="3"/>
    <n v="710"/>
    <n v="259150"/>
    <n v="932940"/>
  </r>
  <r>
    <x v="0"/>
    <x v="0"/>
    <x v="0"/>
    <x v="7"/>
    <x v="15"/>
    <s v="PL_A"/>
    <x v="3"/>
    <s v="GNR_ST_NGAS_BP_E-15"/>
    <x v="0"/>
    <x v="12"/>
    <n v="710"/>
    <n v="259150"/>
    <n v="932940"/>
  </r>
  <r>
    <x v="0"/>
    <x v="0"/>
    <x v="0"/>
    <x v="7"/>
    <x v="15"/>
    <s v="PL_A"/>
    <x v="3"/>
    <s v="GNR_ST_NGAS_BP_E-15"/>
    <x v="0"/>
    <x v="13"/>
    <n v="710"/>
    <n v="259150"/>
    <n v="932940"/>
  </r>
  <r>
    <x v="0"/>
    <x v="0"/>
    <x v="0"/>
    <x v="7"/>
    <x v="15"/>
    <s v="PL_A"/>
    <x v="3"/>
    <s v="GNR_ST_NGAS_BP_E-15"/>
    <x v="0"/>
    <x v="14"/>
    <n v="710"/>
    <n v="259150"/>
    <n v="932940"/>
  </r>
  <r>
    <x v="0"/>
    <x v="0"/>
    <x v="0"/>
    <x v="7"/>
    <x v="15"/>
    <s v="PL_A"/>
    <x v="3"/>
    <s v="GNR_ST_NGAS_BP_E-15"/>
    <x v="0"/>
    <x v="15"/>
    <n v="710"/>
    <n v="259150"/>
    <n v="932940"/>
  </r>
  <r>
    <x v="0"/>
    <x v="0"/>
    <x v="0"/>
    <x v="7"/>
    <x v="15"/>
    <s v="PL_A"/>
    <x v="3"/>
    <s v="GNR_ST_NGAS_BP_E-15"/>
    <x v="0"/>
    <x v="4"/>
    <n v="710"/>
    <n v="259150"/>
    <n v="932940"/>
  </r>
  <r>
    <x v="0"/>
    <x v="0"/>
    <x v="0"/>
    <x v="7"/>
    <x v="15"/>
    <s v="PL_A"/>
    <x v="3"/>
    <s v="GNR_ST_NGAS_BP_E-15"/>
    <x v="0"/>
    <x v="16"/>
    <n v="710"/>
    <n v="259150"/>
    <n v="932940"/>
  </r>
  <r>
    <x v="0"/>
    <x v="0"/>
    <x v="0"/>
    <x v="7"/>
    <x v="15"/>
    <s v="PL_A"/>
    <x v="3"/>
    <s v="GNR_ST_NGAS_BP_E-15"/>
    <x v="0"/>
    <x v="5"/>
    <n v="710"/>
    <n v="259150"/>
    <n v="932940"/>
  </r>
  <r>
    <x v="0"/>
    <x v="0"/>
    <x v="0"/>
    <x v="7"/>
    <x v="15"/>
    <s v="PL_A"/>
    <x v="3"/>
    <s v="GNR_ST_NGAS_BP_E-15"/>
    <x v="0"/>
    <x v="17"/>
    <n v="710"/>
    <n v="259150"/>
    <n v="932940"/>
  </r>
  <r>
    <x v="0"/>
    <x v="0"/>
    <x v="0"/>
    <x v="7"/>
    <x v="15"/>
    <s v="PL_A"/>
    <x v="3"/>
    <s v="GNR_ST_NGAS_BP_E-15"/>
    <x v="0"/>
    <x v="18"/>
    <n v="710"/>
    <n v="259150"/>
    <n v="932940"/>
  </r>
  <r>
    <x v="0"/>
    <x v="0"/>
    <x v="0"/>
    <x v="7"/>
    <x v="15"/>
    <s v="PL_A"/>
    <x v="3"/>
    <s v="GNR_ST_NGAS_BP_E-15"/>
    <x v="0"/>
    <x v="19"/>
    <n v="710"/>
    <n v="259150"/>
    <n v="932940"/>
  </r>
  <r>
    <x v="0"/>
    <x v="0"/>
    <x v="0"/>
    <x v="7"/>
    <x v="15"/>
    <s v="PL_A"/>
    <x v="3"/>
    <s v="GNR_ST_NGAS_BP_E-15"/>
    <x v="0"/>
    <x v="20"/>
    <n v="710"/>
    <n v="259150"/>
    <n v="932940"/>
  </r>
  <r>
    <x v="0"/>
    <x v="0"/>
    <x v="0"/>
    <x v="7"/>
    <x v="15"/>
    <s v="PL_A"/>
    <x v="3"/>
    <s v="GNR_ST_NGAS_BP_E-15"/>
    <x v="0"/>
    <x v="21"/>
    <n v="710"/>
    <n v="259150"/>
    <n v="932940"/>
  </r>
  <r>
    <x v="0"/>
    <x v="0"/>
    <x v="0"/>
    <x v="7"/>
    <x v="15"/>
    <s v="PL_A"/>
    <x v="3"/>
    <s v="GNR_ST_NGAS_BP_E-15"/>
    <x v="0"/>
    <x v="22"/>
    <n v="710"/>
    <n v="259150"/>
    <n v="932940"/>
  </r>
  <r>
    <x v="0"/>
    <x v="0"/>
    <x v="0"/>
    <x v="7"/>
    <x v="15"/>
    <s v="PL_A"/>
    <x v="3"/>
    <s v="GNR_ST_NGAS_BP_E-15"/>
    <x v="0"/>
    <x v="23"/>
    <n v="710"/>
    <n v="259150"/>
    <n v="932940"/>
  </r>
  <r>
    <x v="0"/>
    <x v="0"/>
    <x v="0"/>
    <x v="7"/>
    <x v="15"/>
    <s v="PL_A"/>
    <x v="3"/>
    <s v="GORZ-4_ST_NGAS_BP"/>
    <x v="0"/>
    <x v="6"/>
    <n v="104"/>
    <n v="37960"/>
    <n v="136656"/>
  </r>
  <r>
    <x v="0"/>
    <x v="0"/>
    <x v="0"/>
    <x v="7"/>
    <x v="15"/>
    <s v="PL_A"/>
    <x v="3"/>
    <s v="GORZ-4_ST_NGAS_BP"/>
    <x v="0"/>
    <x v="7"/>
    <n v="104"/>
    <n v="37960"/>
    <n v="136656"/>
  </r>
  <r>
    <x v="0"/>
    <x v="0"/>
    <x v="0"/>
    <x v="7"/>
    <x v="15"/>
    <s v="PL_A"/>
    <x v="3"/>
    <s v="GORZ-4_ST_NGAS_BP"/>
    <x v="0"/>
    <x v="8"/>
    <n v="104"/>
    <n v="37960"/>
    <n v="136656"/>
  </r>
  <r>
    <x v="0"/>
    <x v="0"/>
    <x v="0"/>
    <x v="7"/>
    <x v="15"/>
    <s v="PL_A"/>
    <x v="3"/>
    <s v="GORZ-4_ST_NGAS_BP"/>
    <x v="0"/>
    <x v="9"/>
    <n v="104"/>
    <n v="37960"/>
    <n v="136656"/>
  </r>
  <r>
    <x v="0"/>
    <x v="0"/>
    <x v="0"/>
    <x v="7"/>
    <x v="15"/>
    <s v="PL_A"/>
    <x v="3"/>
    <s v="GORZ-4_ST_NGAS_BP"/>
    <x v="0"/>
    <x v="10"/>
    <n v="104"/>
    <n v="37960"/>
    <n v="136656"/>
  </r>
  <r>
    <x v="0"/>
    <x v="0"/>
    <x v="0"/>
    <x v="7"/>
    <x v="15"/>
    <s v="PL_A"/>
    <x v="3"/>
    <s v="GORZ-4_ST_NGAS_BP"/>
    <x v="0"/>
    <x v="11"/>
    <n v="104"/>
    <n v="37960"/>
    <n v="136656"/>
  </r>
  <r>
    <x v="0"/>
    <x v="0"/>
    <x v="0"/>
    <x v="7"/>
    <x v="15"/>
    <s v="PL_A"/>
    <x v="3"/>
    <s v="GORZ-4_ST_NGAS_BP"/>
    <x v="0"/>
    <x v="0"/>
    <n v="104"/>
    <n v="37960"/>
    <n v="136656"/>
  </r>
  <r>
    <x v="0"/>
    <x v="0"/>
    <x v="0"/>
    <x v="7"/>
    <x v="15"/>
    <s v="PL_A"/>
    <x v="3"/>
    <s v="GORZ-4_ST_NGAS_BP"/>
    <x v="0"/>
    <x v="1"/>
    <n v="104"/>
    <n v="37960"/>
    <n v="136656"/>
  </r>
  <r>
    <x v="0"/>
    <x v="0"/>
    <x v="0"/>
    <x v="7"/>
    <x v="15"/>
    <s v="PL_A"/>
    <x v="3"/>
    <s v="GORZ-4_ST_NGAS_BP"/>
    <x v="0"/>
    <x v="2"/>
    <n v="104"/>
    <n v="37960"/>
    <n v="136656"/>
  </r>
  <r>
    <x v="0"/>
    <x v="0"/>
    <x v="0"/>
    <x v="7"/>
    <x v="15"/>
    <s v="PL_A"/>
    <x v="3"/>
    <s v="GORZ-4_ST_NGAS_BP"/>
    <x v="0"/>
    <x v="3"/>
    <n v="104"/>
    <n v="37960"/>
    <n v="136656"/>
  </r>
  <r>
    <x v="0"/>
    <x v="0"/>
    <x v="0"/>
    <x v="7"/>
    <x v="15"/>
    <s v="PL_A"/>
    <x v="3"/>
    <s v="GORZ-4_ST_NGAS_BP"/>
    <x v="0"/>
    <x v="12"/>
    <n v="104"/>
    <n v="37960"/>
    <n v="136656"/>
  </r>
  <r>
    <x v="0"/>
    <x v="0"/>
    <x v="0"/>
    <x v="7"/>
    <x v="15"/>
    <s v="PL_A"/>
    <x v="3"/>
    <s v="GORZ-4_ST_NGAS_BP"/>
    <x v="0"/>
    <x v="13"/>
    <n v="104"/>
    <n v="37960"/>
    <n v="136656"/>
  </r>
  <r>
    <x v="0"/>
    <x v="0"/>
    <x v="0"/>
    <x v="7"/>
    <x v="15"/>
    <s v="PL_A"/>
    <x v="3"/>
    <s v="GORZ-4_ST_NGAS_BP"/>
    <x v="0"/>
    <x v="14"/>
    <n v="104"/>
    <n v="37960"/>
    <n v="136656"/>
  </r>
  <r>
    <x v="0"/>
    <x v="0"/>
    <x v="0"/>
    <x v="7"/>
    <x v="15"/>
    <s v="PL_A"/>
    <x v="3"/>
    <s v="GORZ-4_ST_NGAS_BP"/>
    <x v="0"/>
    <x v="15"/>
    <n v="104"/>
    <n v="37960"/>
    <n v="136656"/>
  </r>
  <r>
    <x v="0"/>
    <x v="0"/>
    <x v="0"/>
    <x v="7"/>
    <x v="15"/>
    <s v="PL_A"/>
    <x v="3"/>
    <s v="GORZ-4_ST_NGAS_BP"/>
    <x v="0"/>
    <x v="4"/>
    <n v="104"/>
    <n v="37960"/>
    <n v="136656"/>
  </r>
  <r>
    <x v="0"/>
    <x v="0"/>
    <x v="0"/>
    <x v="7"/>
    <x v="15"/>
    <s v="PL_A"/>
    <x v="3"/>
    <s v="GORZ-4_ST_NGAS_BP"/>
    <x v="0"/>
    <x v="16"/>
    <n v="104"/>
    <n v="37960"/>
    <n v="136656"/>
  </r>
  <r>
    <x v="0"/>
    <x v="0"/>
    <x v="0"/>
    <x v="7"/>
    <x v="15"/>
    <s v="PL_A"/>
    <x v="3"/>
    <s v="GORZ-4_ST_NGAS_BP"/>
    <x v="0"/>
    <x v="5"/>
    <n v="104"/>
    <n v="37960"/>
    <n v="136656"/>
  </r>
  <r>
    <x v="0"/>
    <x v="0"/>
    <x v="0"/>
    <x v="7"/>
    <x v="15"/>
    <s v="PL_A"/>
    <x v="3"/>
    <s v="GORZ-4_ST_NGAS_BP"/>
    <x v="0"/>
    <x v="17"/>
    <n v="104"/>
    <n v="37960"/>
    <n v="136656"/>
  </r>
  <r>
    <x v="0"/>
    <x v="0"/>
    <x v="0"/>
    <x v="7"/>
    <x v="15"/>
    <s v="PL_A"/>
    <x v="3"/>
    <s v="GORZ-4_ST_NGAS_BP"/>
    <x v="0"/>
    <x v="18"/>
    <n v="104"/>
    <n v="37960"/>
    <n v="136656"/>
  </r>
  <r>
    <x v="0"/>
    <x v="0"/>
    <x v="0"/>
    <x v="7"/>
    <x v="15"/>
    <s v="PL_A"/>
    <x v="3"/>
    <s v="GORZ-4_ST_NGAS_BP"/>
    <x v="0"/>
    <x v="19"/>
    <n v="104"/>
    <n v="37960"/>
    <n v="136656"/>
  </r>
  <r>
    <x v="0"/>
    <x v="0"/>
    <x v="0"/>
    <x v="7"/>
    <x v="15"/>
    <s v="PL_A"/>
    <x v="3"/>
    <s v="GORZ-4_ST_NGAS_BP"/>
    <x v="0"/>
    <x v="20"/>
    <n v="104"/>
    <n v="37960"/>
    <n v="136656"/>
  </r>
  <r>
    <x v="0"/>
    <x v="0"/>
    <x v="0"/>
    <x v="7"/>
    <x v="15"/>
    <s v="PL_A"/>
    <x v="3"/>
    <s v="GORZ-4_ST_NGAS_BP"/>
    <x v="0"/>
    <x v="21"/>
    <n v="104"/>
    <n v="37960"/>
    <n v="136656"/>
  </r>
  <r>
    <x v="0"/>
    <x v="0"/>
    <x v="0"/>
    <x v="7"/>
    <x v="15"/>
    <s v="PL_A"/>
    <x v="3"/>
    <s v="GORZ-4_ST_NGAS_BP"/>
    <x v="0"/>
    <x v="22"/>
    <n v="104"/>
    <n v="37960"/>
    <n v="136656"/>
  </r>
  <r>
    <x v="0"/>
    <x v="0"/>
    <x v="0"/>
    <x v="7"/>
    <x v="15"/>
    <s v="PL_A"/>
    <x v="3"/>
    <s v="GORZ-4_ST_NGAS_BP"/>
    <x v="0"/>
    <x v="23"/>
    <n v="104"/>
    <n v="37960"/>
    <n v="136656"/>
  </r>
  <r>
    <x v="0"/>
    <x v="0"/>
    <x v="0"/>
    <x v="7"/>
    <x v="15"/>
    <s v="PL_A"/>
    <x v="3"/>
    <s v="NOWA-1_ST_NGAS_BP"/>
    <x v="0"/>
    <x v="6"/>
    <n v="127"/>
    <n v="46355"/>
    <n v="166878"/>
  </r>
  <r>
    <x v="0"/>
    <x v="0"/>
    <x v="0"/>
    <x v="7"/>
    <x v="15"/>
    <s v="PL_A"/>
    <x v="3"/>
    <s v="NOWA-1_ST_NGAS_BP"/>
    <x v="0"/>
    <x v="7"/>
    <n v="127"/>
    <n v="46355"/>
    <n v="166878"/>
  </r>
  <r>
    <x v="0"/>
    <x v="0"/>
    <x v="0"/>
    <x v="7"/>
    <x v="15"/>
    <s v="PL_A"/>
    <x v="3"/>
    <s v="NOWA-1_ST_NGAS_BP"/>
    <x v="0"/>
    <x v="8"/>
    <n v="127"/>
    <n v="46355"/>
    <n v="166878"/>
  </r>
  <r>
    <x v="0"/>
    <x v="0"/>
    <x v="0"/>
    <x v="7"/>
    <x v="15"/>
    <s v="PL_A"/>
    <x v="3"/>
    <s v="NOWA-1_ST_NGAS_BP"/>
    <x v="0"/>
    <x v="9"/>
    <n v="127"/>
    <n v="46355"/>
    <n v="166878"/>
  </r>
  <r>
    <x v="0"/>
    <x v="0"/>
    <x v="0"/>
    <x v="7"/>
    <x v="15"/>
    <s v="PL_A"/>
    <x v="3"/>
    <s v="NOWA-1_ST_NGAS_BP"/>
    <x v="0"/>
    <x v="10"/>
    <n v="127"/>
    <n v="46355"/>
    <n v="166878"/>
  </r>
  <r>
    <x v="0"/>
    <x v="0"/>
    <x v="0"/>
    <x v="7"/>
    <x v="15"/>
    <s v="PL_A"/>
    <x v="3"/>
    <s v="NOWA-1_ST_NGAS_BP"/>
    <x v="0"/>
    <x v="11"/>
    <n v="127"/>
    <n v="46355"/>
    <n v="166878"/>
  </r>
  <r>
    <x v="0"/>
    <x v="0"/>
    <x v="0"/>
    <x v="7"/>
    <x v="15"/>
    <s v="PL_A"/>
    <x v="3"/>
    <s v="NOWA-1_ST_NGAS_BP"/>
    <x v="0"/>
    <x v="0"/>
    <n v="127"/>
    <n v="46355"/>
    <n v="166878"/>
  </r>
  <r>
    <x v="0"/>
    <x v="0"/>
    <x v="0"/>
    <x v="7"/>
    <x v="15"/>
    <s v="PL_A"/>
    <x v="3"/>
    <s v="NOWA-1_ST_NGAS_BP"/>
    <x v="0"/>
    <x v="1"/>
    <n v="127"/>
    <n v="46355"/>
    <n v="166878"/>
  </r>
  <r>
    <x v="0"/>
    <x v="0"/>
    <x v="0"/>
    <x v="7"/>
    <x v="15"/>
    <s v="PL_A"/>
    <x v="3"/>
    <s v="NOWA-1_ST_NGAS_BP"/>
    <x v="0"/>
    <x v="2"/>
    <n v="127"/>
    <n v="46355"/>
    <n v="166878"/>
  </r>
  <r>
    <x v="0"/>
    <x v="0"/>
    <x v="0"/>
    <x v="7"/>
    <x v="15"/>
    <s v="PL_A"/>
    <x v="3"/>
    <s v="NOWA-1_ST_NGAS_BP"/>
    <x v="0"/>
    <x v="3"/>
    <n v="127"/>
    <n v="46355"/>
    <n v="166878"/>
  </r>
  <r>
    <x v="0"/>
    <x v="0"/>
    <x v="0"/>
    <x v="7"/>
    <x v="15"/>
    <s v="PL_A"/>
    <x v="3"/>
    <s v="NOWA-1_ST_NGAS_BP"/>
    <x v="0"/>
    <x v="12"/>
    <n v="127"/>
    <n v="46355"/>
    <n v="166878"/>
  </r>
  <r>
    <x v="0"/>
    <x v="0"/>
    <x v="0"/>
    <x v="7"/>
    <x v="15"/>
    <s v="PL_A"/>
    <x v="3"/>
    <s v="NOWA-1_ST_NGAS_BP"/>
    <x v="0"/>
    <x v="13"/>
    <n v="127"/>
    <n v="46355"/>
    <n v="166878"/>
  </r>
  <r>
    <x v="0"/>
    <x v="0"/>
    <x v="0"/>
    <x v="7"/>
    <x v="15"/>
    <s v="PL_A"/>
    <x v="3"/>
    <s v="NOWA-1_ST_NGAS_BP"/>
    <x v="0"/>
    <x v="14"/>
    <n v="127"/>
    <n v="46355"/>
    <n v="166878"/>
  </r>
  <r>
    <x v="0"/>
    <x v="0"/>
    <x v="0"/>
    <x v="7"/>
    <x v="15"/>
    <s v="PL_A"/>
    <x v="3"/>
    <s v="NOWA-1_ST_NGAS_BP"/>
    <x v="0"/>
    <x v="15"/>
    <n v="127"/>
    <n v="46355"/>
    <n v="166878"/>
  </r>
  <r>
    <x v="0"/>
    <x v="0"/>
    <x v="0"/>
    <x v="7"/>
    <x v="15"/>
    <s v="PL_A"/>
    <x v="3"/>
    <s v="NOWA-1_ST_NGAS_BP"/>
    <x v="0"/>
    <x v="4"/>
    <n v="127"/>
    <n v="46355"/>
    <n v="166878"/>
  </r>
  <r>
    <x v="0"/>
    <x v="0"/>
    <x v="0"/>
    <x v="7"/>
    <x v="15"/>
    <s v="PL_A"/>
    <x v="3"/>
    <s v="NOWA-1_ST_NGAS_BP"/>
    <x v="0"/>
    <x v="16"/>
    <n v="127"/>
    <n v="46355"/>
    <n v="166878"/>
  </r>
  <r>
    <x v="0"/>
    <x v="0"/>
    <x v="0"/>
    <x v="7"/>
    <x v="15"/>
    <s v="PL_A"/>
    <x v="3"/>
    <s v="NOWA-1_ST_NGAS_BP"/>
    <x v="0"/>
    <x v="5"/>
    <n v="127"/>
    <n v="46355"/>
    <n v="166878"/>
  </r>
  <r>
    <x v="0"/>
    <x v="0"/>
    <x v="0"/>
    <x v="7"/>
    <x v="15"/>
    <s v="PL_A"/>
    <x v="3"/>
    <s v="NOWA-1_ST_NGAS_BP"/>
    <x v="0"/>
    <x v="17"/>
    <n v="127"/>
    <n v="46355"/>
    <n v="166878"/>
  </r>
  <r>
    <x v="0"/>
    <x v="0"/>
    <x v="0"/>
    <x v="7"/>
    <x v="15"/>
    <s v="PL_A"/>
    <x v="3"/>
    <s v="NOWA-1_ST_NGAS_BP"/>
    <x v="0"/>
    <x v="18"/>
    <n v="127"/>
    <n v="46355"/>
    <n v="166878"/>
  </r>
  <r>
    <x v="0"/>
    <x v="0"/>
    <x v="0"/>
    <x v="7"/>
    <x v="15"/>
    <s v="PL_A"/>
    <x v="3"/>
    <s v="NOWA-1_ST_NGAS_BP"/>
    <x v="0"/>
    <x v="19"/>
    <n v="127"/>
    <n v="46355"/>
    <n v="166878"/>
  </r>
  <r>
    <x v="0"/>
    <x v="0"/>
    <x v="0"/>
    <x v="7"/>
    <x v="15"/>
    <s v="PL_A"/>
    <x v="3"/>
    <s v="NOWA-1_ST_NGAS_BP"/>
    <x v="0"/>
    <x v="20"/>
    <n v="127"/>
    <n v="46355"/>
    <n v="166878"/>
  </r>
  <r>
    <x v="0"/>
    <x v="0"/>
    <x v="0"/>
    <x v="7"/>
    <x v="15"/>
    <s v="PL_A"/>
    <x v="3"/>
    <s v="NOWA-1_ST_NGAS_BP"/>
    <x v="0"/>
    <x v="21"/>
    <n v="127"/>
    <n v="46355"/>
    <n v="166878"/>
  </r>
  <r>
    <x v="0"/>
    <x v="0"/>
    <x v="0"/>
    <x v="7"/>
    <x v="15"/>
    <s v="PL_A"/>
    <x v="3"/>
    <s v="NOWA-1_ST_NGAS_BP"/>
    <x v="0"/>
    <x v="22"/>
    <n v="127"/>
    <n v="46355"/>
    <n v="166878"/>
  </r>
  <r>
    <x v="0"/>
    <x v="0"/>
    <x v="0"/>
    <x v="7"/>
    <x v="15"/>
    <s v="PL_A"/>
    <x v="3"/>
    <s v="NOWA-1_ST_NGAS_BP"/>
    <x v="0"/>
    <x v="23"/>
    <n v="127"/>
    <n v="46355"/>
    <n v="166878"/>
  </r>
  <r>
    <x v="0"/>
    <x v="0"/>
    <x v="0"/>
    <x v="7"/>
    <x v="15"/>
    <s v="PL_A"/>
    <x v="3"/>
    <s v="RZES-2_ST_NGAS_BP"/>
    <x v="0"/>
    <x v="6"/>
    <n v="32"/>
    <n v="11680"/>
    <n v="42048"/>
  </r>
  <r>
    <x v="0"/>
    <x v="0"/>
    <x v="0"/>
    <x v="7"/>
    <x v="15"/>
    <s v="PL_A"/>
    <x v="3"/>
    <s v="RZES-2_ST_NGAS_BP"/>
    <x v="0"/>
    <x v="7"/>
    <n v="32"/>
    <n v="11680"/>
    <n v="42048"/>
  </r>
  <r>
    <x v="0"/>
    <x v="0"/>
    <x v="0"/>
    <x v="7"/>
    <x v="15"/>
    <s v="PL_A"/>
    <x v="3"/>
    <s v="RZES-2_ST_NGAS_BP"/>
    <x v="0"/>
    <x v="8"/>
    <n v="32"/>
    <n v="11680"/>
    <n v="42048"/>
  </r>
  <r>
    <x v="0"/>
    <x v="0"/>
    <x v="0"/>
    <x v="7"/>
    <x v="15"/>
    <s v="PL_A"/>
    <x v="3"/>
    <s v="RZES-2_ST_NGAS_BP"/>
    <x v="0"/>
    <x v="9"/>
    <n v="32"/>
    <n v="11680"/>
    <n v="42048"/>
  </r>
  <r>
    <x v="0"/>
    <x v="0"/>
    <x v="0"/>
    <x v="7"/>
    <x v="15"/>
    <s v="PL_A"/>
    <x v="3"/>
    <s v="RZES-2_ST_NGAS_BP"/>
    <x v="0"/>
    <x v="10"/>
    <n v="32"/>
    <n v="11680"/>
    <n v="42048"/>
  </r>
  <r>
    <x v="0"/>
    <x v="0"/>
    <x v="0"/>
    <x v="7"/>
    <x v="15"/>
    <s v="PL_A"/>
    <x v="3"/>
    <s v="RZES-2_ST_NGAS_BP"/>
    <x v="0"/>
    <x v="11"/>
    <n v="32"/>
    <n v="11680"/>
    <n v="42048"/>
  </r>
  <r>
    <x v="0"/>
    <x v="0"/>
    <x v="0"/>
    <x v="7"/>
    <x v="15"/>
    <s v="PL_A"/>
    <x v="3"/>
    <s v="RZES-2_ST_NGAS_BP"/>
    <x v="0"/>
    <x v="0"/>
    <n v="32"/>
    <n v="11680"/>
    <n v="42048"/>
  </r>
  <r>
    <x v="0"/>
    <x v="0"/>
    <x v="0"/>
    <x v="7"/>
    <x v="15"/>
    <s v="PL_A"/>
    <x v="3"/>
    <s v="RZES-2_ST_NGAS_BP"/>
    <x v="0"/>
    <x v="1"/>
    <n v="32"/>
    <n v="11680"/>
    <n v="42048"/>
  </r>
  <r>
    <x v="0"/>
    <x v="0"/>
    <x v="0"/>
    <x v="7"/>
    <x v="15"/>
    <s v="PL_A"/>
    <x v="3"/>
    <s v="RZES-2_ST_NGAS_BP"/>
    <x v="0"/>
    <x v="2"/>
    <n v="32"/>
    <n v="11680"/>
    <n v="42048"/>
  </r>
  <r>
    <x v="0"/>
    <x v="0"/>
    <x v="0"/>
    <x v="7"/>
    <x v="15"/>
    <s v="PL_A"/>
    <x v="3"/>
    <s v="RZES-2_ST_NGAS_BP"/>
    <x v="0"/>
    <x v="3"/>
    <n v="32"/>
    <n v="11680"/>
    <n v="42048"/>
  </r>
  <r>
    <x v="0"/>
    <x v="0"/>
    <x v="0"/>
    <x v="7"/>
    <x v="15"/>
    <s v="PL_A"/>
    <x v="3"/>
    <s v="RZES-2_ST_NGAS_BP"/>
    <x v="0"/>
    <x v="12"/>
    <n v="32"/>
    <n v="11680"/>
    <n v="42048"/>
  </r>
  <r>
    <x v="0"/>
    <x v="0"/>
    <x v="0"/>
    <x v="7"/>
    <x v="15"/>
    <s v="PL_A"/>
    <x v="3"/>
    <s v="RZES-2_ST_NGAS_BP"/>
    <x v="0"/>
    <x v="13"/>
    <n v="32"/>
    <n v="11680"/>
    <n v="42048"/>
  </r>
  <r>
    <x v="0"/>
    <x v="0"/>
    <x v="0"/>
    <x v="7"/>
    <x v="15"/>
    <s v="PL_A"/>
    <x v="3"/>
    <s v="RZES-2_ST_NGAS_BP"/>
    <x v="0"/>
    <x v="14"/>
    <n v="32"/>
    <n v="11680"/>
    <n v="42048"/>
  </r>
  <r>
    <x v="0"/>
    <x v="0"/>
    <x v="0"/>
    <x v="7"/>
    <x v="15"/>
    <s v="PL_A"/>
    <x v="3"/>
    <s v="RZES-2_ST_NGAS_BP"/>
    <x v="0"/>
    <x v="15"/>
    <n v="32"/>
    <n v="11680"/>
    <n v="42048"/>
  </r>
  <r>
    <x v="0"/>
    <x v="0"/>
    <x v="0"/>
    <x v="7"/>
    <x v="15"/>
    <s v="PL_A"/>
    <x v="3"/>
    <s v="RZES-2_ST_NGAS_BP"/>
    <x v="0"/>
    <x v="4"/>
    <n v="32"/>
    <n v="11680"/>
    <n v="42048"/>
  </r>
  <r>
    <x v="0"/>
    <x v="0"/>
    <x v="0"/>
    <x v="7"/>
    <x v="15"/>
    <s v="PL_A"/>
    <x v="3"/>
    <s v="RZES-2_ST_NGAS_BP"/>
    <x v="0"/>
    <x v="16"/>
    <n v="32"/>
    <n v="11680"/>
    <n v="42048"/>
  </r>
  <r>
    <x v="0"/>
    <x v="0"/>
    <x v="0"/>
    <x v="7"/>
    <x v="15"/>
    <s v="PL_A"/>
    <x v="3"/>
    <s v="RZES-2_ST_NGAS_BP"/>
    <x v="0"/>
    <x v="5"/>
    <n v="32"/>
    <n v="11680"/>
    <n v="42048"/>
  </r>
  <r>
    <x v="0"/>
    <x v="0"/>
    <x v="0"/>
    <x v="7"/>
    <x v="15"/>
    <s v="PL_A"/>
    <x v="3"/>
    <s v="RZES-2_ST_NGAS_BP"/>
    <x v="0"/>
    <x v="17"/>
    <n v="32"/>
    <n v="11680"/>
    <n v="42048"/>
  </r>
  <r>
    <x v="0"/>
    <x v="0"/>
    <x v="0"/>
    <x v="7"/>
    <x v="15"/>
    <s v="PL_A"/>
    <x v="3"/>
    <s v="RZES-2_ST_NGAS_BP"/>
    <x v="0"/>
    <x v="18"/>
    <n v="32"/>
    <n v="11680"/>
    <n v="42048"/>
  </r>
  <r>
    <x v="0"/>
    <x v="0"/>
    <x v="0"/>
    <x v="7"/>
    <x v="15"/>
    <s v="PL_A"/>
    <x v="3"/>
    <s v="RZES-2_ST_NGAS_BP"/>
    <x v="0"/>
    <x v="19"/>
    <n v="32"/>
    <n v="11680"/>
    <n v="42048"/>
  </r>
  <r>
    <x v="0"/>
    <x v="0"/>
    <x v="0"/>
    <x v="7"/>
    <x v="15"/>
    <s v="PL_A"/>
    <x v="3"/>
    <s v="RZES-2_ST_NGAS_BP"/>
    <x v="0"/>
    <x v="20"/>
    <n v="32"/>
    <n v="11680"/>
    <n v="42048"/>
  </r>
  <r>
    <x v="0"/>
    <x v="0"/>
    <x v="0"/>
    <x v="7"/>
    <x v="15"/>
    <s v="PL_A"/>
    <x v="3"/>
    <s v="RZES-2_ST_NGAS_BP"/>
    <x v="0"/>
    <x v="21"/>
    <n v="32"/>
    <n v="11680"/>
    <n v="42048"/>
  </r>
  <r>
    <x v="0"/>
    <x v="0"/>
    <x v="0"/>
    <x v="7"/>
    <x v="15"/>
    <s v="PL_A"/>
    <x v="3"/>
    <s v="RZES-2_ST_NGAS_BP"/>
    <x v="0"/>
    <x v="22"/>
    <n v="32"/>
    <n v="11680"/>
    <n v="42048"/>
  </r>
  <r>
    <x v="0"/>
    <x v="0"/>
    <x v="0"/>
    <x v="7"/>
    <x v="15"/>
    <s v="PL_A"/>
    <x v="3"/>
    <s v="RZES-2_ST_NGAS_BP"/>
    <x v="0"/>
    <x v="23"/>
    <n v="32"/>
    <n v="11680"/>
    <n v="42048"/>
  </r>
  <r>
    <x v="0"/>
    <x v="0"/>
    <x v="0"/>
    <x v="7"/>
    <x v="15"/>
    <s v="PL_A"/>
    <x v="3"/>
    <s v="ZIEL-1_ST_NGAS_BP"/>
    <x v="0"/>
    <x v="6"/>
    <n v="10"/>
    <n v="3650"/>
    <n v="13140"/>
  </r>
  <r>
    <x v="0"/>
    <x v="0"/>
    <x v="0"/>
    <x v="7"/>
    <x v="15"/>
    <s v="PL_A"/>
    <x v="3"/>
    <s v="ZIEL-1_ST_NGAS_BP"/>
    <x v="0"/>
    <x v="7"/>
    <n v="10"/>
    <n v="3650"/>
    <n v="13140"/>
  </r>
  <r>
    <x v="0"/>
    <x v="0"/>
    <x v="0"/>
    <x v="7"/>
    <x v="15"/>
    <s v="PL_A"/>
    <x v="3"/>
    <s v="ZIEL-1_ST_NGAS_BP"/>
    <x v="0"/>
    <x v="8"/>
    <n v="10"/>
    <n v="3650"/>
    <n v="13140"/>
  </r>
  <r>
    <x v="0"/>
    <x v="0"/>
    <x v="0"/>
    <x v="7"/>
    <x v="15"/>
    <s v="PL_A"/>
    <x v="3"/>
    <s v="ZIEL-1_ST_NGAS_BP"/>
    <x v="0"/>
    <x v="9"/>
    <n v="10"/>
    <n v="3650"/>
    <n v="13140"/>
  </r>
  <r>
    <x v="0"/>
    <x v="0"/>
    <x v="0"/>
    <x v="7"/>
    <x v="15"/>
    <s v="PL_A"/>
    <x v="3"/>
    <s v="ZIEL-1_ST_NGAS_BP"/>
    <x v="0"/>
    <x v="10"/>
    <n v="10"/>
    <n v="3650"/>
    <n v="13140"/>
  </r>
  <r>
    <x v="0"/>
    <x v="0"/>
    <x v="0"/>
    <x v="7"/>
    <x v="15"/>
    <s v="PL_A"/>
    <x v="3"/>
    <s v="ZIEL-1_ST_NGAS_BP"/>
    <x v="0"/>
    <x v="11"/>
    <n v="10"/>
    <n v="3650"/>
    <n v="13140"/>
  </r>
  <r>
    <x v="0"/>
    <x v="0"/>
    <x v="0"/>
    <x v="7"/>
    <x v="15"/>
    <s v="PL_A"/>
    <x v="3"/>
    <s v="ZIEL-1_ST_NGAS_BP"/>
    <x v="0"/>
    <x v="0"/>
    <n v="10"/>
    <n v="3650"/>
    <n v="13140"/>
  </r>
  <r>
    <x v="0"/>
    <x v="0"/>
    <x v="0"/>
    <x v="7"/>
    <x v="15"/>
    <s v="PL_A"/>
    <x v="3"/>
    <s v="ZIEL-1_ST_NGAS_BP"/>
    <x v="0"/>
    <x v="1"/>
    <n v="10"/>
    <n v="3650"/>
    <n v="13140"/>
  </r>
  <r>
    <x v="0"/>
    <x v="0"/>
    <x v="0"/>
    <x v="7"/>
    <x v="15"/>
    <s v="PL_A"/>
    <x v="3"/>
    <s v="ZIEL-1_ST_NGAS_BP"/>
    <x v="0"/>
    <x v="2"/>
    <n v="10"/>
    <n v="3650"/>
    <n v="13140"/>
  </r>
  <r>
    <x v="0"/>
    <x v="0"/>
    <x v="0"/>
    <x v="7"/>
    <x v="15"/>
    <s v="PL_A"/>
    <x v="3"/>
    <s v="ZIEL-1_ST_NGAS_BP"/>
    <x v="0"/>
    <x v="3"/>
    <n v="10"/>
    <n v="3650"/>
    <n v="13140"/>
  </r>
  <r>
    <x v="0"/>
    <x v="0"/>
    <x v="0"/>
    <x v="7"/>
    <x v="15"/>
    <s v="PL_A"/>
    <x v="3"/>
    <s v="ZIEL-1_ST_NGAS_BP"/>
    <x v="0"/>
    <x v="12"/>
    <n v="10"/>
    <n v="3650"/>
    <n v="13140"/>
  </r>
  <r>
    <x v="0"/>
    <x v="0"/>
    <x v="0"/>
    <x v="7"/>
    <x v="15"/>
    <s v="PL_A"/>
    <x v="3"/>
    <s v="ZIEL-1_ST_NGAS_BP"/>
    <x v="0"/>
    <x v="13"/>
    <n v="10"/>
    <n v="3650"/>
    <n v="13140"/>
  </r>
  <r>
    <x v="0"/>
    <x v="0"/>
    <x v="0"/>
    <x v="7"/>
    <x v="15"/>
    <s v="PL_A"/>
    <x v="3"/>
    <s v="ZIEL-1_ST_NGAS_BP"/>
    <x v="0"/>
    <x v="14"/>
    <n v="10"/>
    <n v="3650"/>
    <n v="13140"/>
  </r>
  <r>
    <x v="0"/>
    <x v="0"/>
    <x v="0"/>
    <x v="7"/>
    <x v="15"/>
    <s v="PL_A"/>
    <x v="3"/>
    <s v="ZIEL-1_ST_NGAS_BP"/>
    <x v="0"/>
    <x v="15"/>
    <n v="10"/>
    <n v="3650"/>
    <n v="13140"/>
  </r>
  <r>
    <x v="0"/>
    <x v="0"/>
    <x v="0"/>
    <x v="7"/>
    <x v="15"/>
    <s v="PL_A"/>
    <x v="3"/>
    <s v="ZIEL-1_ST_NGAS_BP"/>
    <x v="0"/>
    <x v="4"/>
    <n v="10"/>
    <n v="3650"/>
    <n v="13140"/>
  </r>
  <r>
    <x v="0"/>
    <x v="0"/>
    <x v="0"/>
    <x v="7"/>
    <x v="15"/>
    <s v="PL_A"/>
    <x v="3"/>
    <s v="ZIEL-1_ST_NGAS_BP"/>
    <x v="0"/>
    <x v="16"/>
    <n v="10"/>
    <n v="3650"/>
    <n v="13140"/>
  </r>
  <r>
    <x v="0"/>
    <x v="0"/>
    <x v="0"/>
    <x v="7"/>
    <x v="15"/>
    <s v="PL_A"/>
    <x v="3"/>
    <s v="ZIEL-1_ST_NGAS_BP"/>
    <x v="0"/>
    <x v="5"/>
    <n v="10"/>
    <n v="3650"/>
    <n v="13140"/>
  </r>
  <r>
    <x v="0"/>
    <x v="0"/>
    <x v="0"/>
    <x v="7"/>
    <x v="15"/>
    <s v="PL_A"/>
    <x v="3"/>
    <s v="ZIEL-1_ST_NGAS_BP"/>
    <x v="0"/>
    <x v="17"/>
    <n v="10"/>
    <n v="3650"/>
    <n v="13140"/>
  </r>
  <r>
    <x v="0"/>
    <x v="0"/>
    <x v="0"/>
    <x v="7"/>
    <x v="15"/>
    <s v="PL_A"/>
    <x v="3"/>
    <s v="ZIEL-1_ST_NGAS_BP"/>
    <x v="0"/>
    <x v="18"/>
    <n v="10"/>
    <n v="3650"/>
    <n v="13140"/>
  </r>
  <r>
    <x v="0"/>
    <x v="0"/>
    <x v="0"/>
    <x v="7"/>
    <x v="15"/>
    <s v="PL_A"/>
    <x v="3"/>
    <s v="ZIEL-1_ST_NGAS_BP"/>
    <x v="0"/>
    <x v="19"/>
    <n v="10"/>
    <n v="3650"/>
    <n v="13140"/>
  </r>
  <r>
    <x v="0"/>
    <x v="0"/>
    <x v="0"/>
    <x v="7"/>
    <x v="15"/>
    <s v="PL_A"/>
    <x v="3"/>
    <s v="ZIEL-1_ST_NGAS_BP"/>
    <x v="0"/>
    <x v="20"/>
    <n v="10"/>
    <n v="3650"/>
    <n v="13140"/>
  </r>
  <r>
    <x v="0"/>
    <x v="0"/>
    <x v="0"/>
    <x v="7"/>
    <x v="15"/>
    <s v="PL_A"/>
    <x v="3"/>
    <s v="ZIEL-1_ST_NGAS_BP"/>
    <x v="0"/>
    <x v="21"/>
    <n v="10"/>
    <n v="3650"/>
    <n v="13140"/>
  </r>
  <r>
    <x v="0"/>
    <x v="0"/>
    <x v="0"/>
    <x v="7"/>
    <x v="15"/>
    <s v="PL_A"/>
    <x v="3"/>
    <s v="ZIEL-1_ST_NGAS_BP"/>
    <x v="0"/>
    <x v="22"/>
    <n v="10"/>
    <n v="3650"/>
    <n v="13140"/>
  </r>
  <r>
    <x v="0"/>
    <x v="0"/>
    <x v="0"/>
    <x v="7"/>
    <x v="15"/>
    <s v="PL_A"/>
    <x v="3"/>
    <s v="ZIEL-1_ST_NGAS_BP"/>
    <x v="0"/>
    <x v="23"/>
    <n v="10"/>
    <n v="3650"/>
    <n v="13140"/>
  </r>
  <r>
    <x v="0"/>
    <x v="0"/>
    <x v="0"/>
    <x v="7"/>
    <x v="15"/>
    <s v="PL_A"/>
    <x v="3"/>
    <s v="ZIEL-3_ST_NGAS_BP"/>
    <x v="0"/>
    <x v="6"/>
    <n v="120"/>
    <n v="43800"/>
    <n v="157680"/>
  </r>
  <r>
    <x v="0"/>
    <x v="0"/>
    <x v="0"/>
    <x v="7"/>
    <x v="15"/>
    <s v="PL_A"/>
    <x v="3"/>
    <s v="ZIEL-3_ST_NGAS_BP"/>
    <x v="0"/>
    <x v="7"/>
    <n v="120"/>
    <n v="43800"/>
    <n v="157680"/>
  </r>
  <r>
    <x v="0"/>
    <x v="0"/>
    <x v="0"/>
    <x v="7"/>
    <x v="15"/>
    <s v="PL_A"/>
    <x v="3"/>
    <s v="ZIEL-3_ST_NGAS_BP"/>
    <x v="0"/>
    <x v="8"/>
    <n v="120"/>
    <n v="43800"/>
    <n v="157680"/>
  </r>
  <r>
    <x v="0"/>
    <x v="0"/>
    <x v="0"/>
    <x v="7"/>
    <x v="15"/>
    <s v="PL_A"/>
    <x v="3"/>
    <s v="ZIEL-3_ST_NGAS_BP"/>
    <x v="0"/>
    <x v="9"/>
    <n v="120"/>
    <n v="43800"/>
    <n v="157680"/>
  </r>
  <r>
    <x v="0"/>
    <x v="0"/>
    <x v="0"/>
    <x v="7"/>
    <x v="15"/>
    <s v="PL_A"/>
    <x v="3"/>
    <s v="ZIEL-3_ST_NGAS_BP"/>
    <x v="0"/>
    <x v="10"/>
    <n v="120"/>
    <n v="43800"/>
    <n v="157680"/>
  </r>
  <r>
    <x v="0"/>
    <x v="0"/>
    <x v="0"/>
    <x v="7"/>
    <x v="15"/>
    <s v="PL_A"/>
    <x v="3"/>
    <s v="ZIEL-3_ST_NGAS_BP"/>
    <x v="0"/>
    <x v="11"/>
    <n v="120"/>
    <n v="43800"/>
    <n v="157680"/>
  </r>
  <r>
    <x v="0"/>
    <x v="0"/>
    <x v="0"/>
    <x v="7"/>
    <x v="15"/>
    <s v="PL_A"/>
    <x v="3"/>
    <s v="ZIEL-3_ST_NGAS_BP"/>
    <x v="0"/>
    <x v="0"/>
    <n v="120"/>
    <n v="43800"/>
    <n v="157680"/>
  </r>
  <r>
    <x v="0"/>
    <x v="0"/>
    <x v="0"/>
    <x v="7"/>
    <x v="15"/>
    <s v="PL_A"/>
    <x v="3"/>
    <s v="ZIEL-3_ST_NGAS_BP"/>
    <x v="0"/>
    <x v="1"/>
    <n v="120"/>
    <n v="43800"/>
    <n v="157680"/>
  </r>
  <r>
    <x v="0"/>
    <x v="0"/>
    <x v="0"/>
    <x v="7"/>
    <x v="15"/>
    <s v="PL_A"/>
    <x v="3"/>
    <s v="ZIEL-3_ST_NGAS_BP"/>
    <x v="0"/>
    <x v="2"/>
    <n v="120"/>
    <n v="43800"/>
    <n v="157680"/>
  </r>
  <r>
    <x v="0"/>
    <x v="0"/>
    <x v="0"/>
    <x v="7"/>
    <x v="15"/>
    <s v="PL_A"/>
    <x v="3"/>
    <s v="ZIEL-3_ST_NGAS_BP"/>
    <x v="0"/>
    <x v="3"/>
    <n v="120"/>
    <n v="43800"/>
    <n v="157680"/>
  </r>
  <r>
    <x v="0"/>
    <x v="0"/>
    <x v="0"/>
    <x v="7"/>
    <x v="15"/>
    <s v="PL_A"/>
    <x v="3"/>
    <s v="ZIEL-3_ST_NGAS_BP"/>
    <x v="0"/>
    <x v="12"/>
    <n v="120"/>
    <n v="43800"/>
    <n v="157680"/>
  </r>
  <r>
    <x v="0"/>
    <x v="0"/>
    <x v="0"/>
    <x v="7"/>
    <x v="15"/>
    <s v="PL_A"/>
    <x v="3"/>
    <s v="ZIEL-3_ST_NGAS_BP"/>
    <x v="0"/>
    <x v="13"/>
    <n v="120"/>
    <n v="43800"/>
    <n v="157680"/>
  </r>
  <r>
    <x v="0"/>
    <x v="0"/>
    <x v="0"/>
    <x v="7"/>
    <x v="15"/>
    <s v="PL_A"/>
    <x v="3"/>
    <s v="ZIEL-3_ST_NGAS_BP"/>
    <x v="0"/>
    <x v="14"/>
    <n v="120"/>
    <n v="43800"/>
    <n v="157680"/>
  </r>
  <r>
    <x v="0"/>
    <x v="0"/>
    <x v="0"/>
    <x v="7"/>
    <x v="15"/>
    <s v="PL_A"/>
    <x v="3"/>
    <s v="ZIEL-3_ST_NGAS_BP"/>
    <x v="0"/>
    <x v="15"/>
    <n v="120"/>
    <n v="43800"/>
    <n v="157680"/>
  </r>
  <r>
    <x v="0"/>
    <x v="0"/>
    <x v="0"/>
    <x v="7"/>
    <x v="15"/>
    <s v="PL_A"/>
    <x v="3"/>
    <s v="ZIEL-3_ST_NGAS_BP"/>
    <x v="0"/>
    <x v="4"/>
    <n v="120"/>
    <n v="43800"/>
    <n v="157680"/>
  </r>
  <r>
    <x v="0"/>
    <x v="0"/>
    <x v="0"/>
    <x v="7"/>
    <x v="15"/>
    <s v="PL_A"/>
    <x v="3"/>
    <s v="ZIEL-3_ST_NGAS_BP"/>
    <x v="0"/>
    <x v="16"/>
    <n v="120"/>
    <n v="43800"/>
    <n v="157680"/>
  </r>
  <r>
    <x v="0"/>
    <x v="0"/>
    <x v="0"/>
    <x v="7"/>
    <x v="15"/>
    <s v="PL_A"/>
    <x v="3"/>
    <s v="ZIEL-3_ST_NGAS_BP"/>
    <x v="0"/>
    <x v="5"/>
    <n v="120"/>
    <n v="43800"/>
    <n v="157680"/>
  </r>
  <r>
    <x v="0"/>
    <x v="0"/>
    <x v="0"/>
    <x v="7"/>
    <x v="15"/>
    <s v="PL_A"/>
    <x v="3"/>
    <s v="ZIEL-3_ST_NGAS_BP"/>
    <x v="0"/>
    <x v="17"/>
    <n v="120"/>
    <n v="43800"/>
    <n v="157680"/>
  </r>
  <r>
    <x v="0"/>
    <x v="0"/>
    <x v="0"/>
    <x v="7"/>
    <x v="15"/>
    <s v="PL_A"/>
    <x v="3"/>
    <s v="ZIEL-3_ST_NGAS_BP"/>
    <x v="0"/>
    <x v="18"/>
    <n v="120"/>
    <n v="43800"/>
    <n v="157680"/>
  </r>
  <r>
    <x v="0"/>
    <x v="0"/>
    <x v="0"/>
    <x v="7"/>
    <x v="15"/>
    <s v="PL_A"/>
    <x v="3"/>
    <s v="ZIEL-3_ST_NGAS_BP"/>
    <x v="0"/>
    <x v="19"/>
    <n v="120"/>
    <n v="43800"/>
    <n v="157680"/>
  </r>
  <r>
    <x v="0"/>
    <x v="0"/>
    <x v="0"/>
    <x v="7"/>
    <x v="15"/>
    <s v="PL_A"/>
    <x v="3"/>
    <s v="ZIEL-3_ST_NGAS_BP"/>
    <x v="0"/>
    <x v="20"/>
    <n v="120"/>
    <n v="43800"/>
    <n v="157680"/>
  </r>
  <r>
    <x v="0"/>
    <x v="0"/>
    <x v="0"/>
    <x v="7"/>
    <x v="15"/>
    <s v="PL_A"/>
    <x v="3"/>
    <s v="ZIEL-3_ST_NGAS_BP"/>
    <x v="0"/>
    <x v="21"/>
    <n v="120"/>
    <n v="43800"/>
    <n v="157680"/>
  </r>
  <r>
    <x v="0"/>
    <x v="0"/>
    <x v="0"/>
    <x v="7"/>
    <x v="15"/>
    <s v="PL_A"/>
    <x v="3"/>
    <s v="ZIEL-3_ST_NGAS_BP"/>
    <x v="0"/>
    <x v="22"/>
    <n v="120"/>
    <n v="43800"/>
    <n v="157680"/>
  </r>
  <r>
    <x v="0"/>
    <x v="0"/>
    <x v="0"/>
    <x v="7"/>
    <x v="15"/>
    <s v="PL_A"/>
    <x v="3"/>
    <s v="ZIEL-3_ST_NGAS_BP"/>
    <x v="0"/>
    <x v="23"/>
    <n v="120"/>
    <n v="43800"/>
    <n v="157680"/>
  </r>
  <r>
    <x v="0"/>
    <x v="0"/>
    <x v="0"/>
    <x v="7"/>
    <x v="15"/>
    <s v="PL_A"/>
    <x v="4"/>
    <s v="BIAL-1_ST_STRAW_BP"/>
    <x v="0"/>
    <x v="6"/>
    <n v="320"/>
    <n v="116800"/>
    <n v="420480"/>
  </r>
  <r>
    <x v="0"/>
    <x v="0"/>
    <x v="0"/>
    <x v="7"/>
    <x v="15"/>
    <s v="PL_A"/>
    <x v="4"/>
    <s v="BIAL-1_ST_STRAW_BP"/>
    <x v="0"/>
    <x v="7"/>
    <n v="320"/>
    <n v="116800"/>
    <n v="420480"/>
  </r>
  <r>
    <x v="0"/>
    <x v="0"/>
    <x v="0"/>
    <x v="7"/>
    <x v="15"/>
    <s v="PL_A"/>
    <x v="4"/>
    <s v="BIAL-1_ST_STRAW_BP"/>
    <x v="0"/>
    <x v="8"/>
    <n v="320"/>
    <n v="116800"/>
    <n v="420480"/>
  </r>
  <r>
    <x v="0"/>
    <x v="0"/>
    <x v="0"/>
    <x v="7"/>
    <x v="15"/>
    <s v="PL_A"/>
    <x v="4"/>
    <s v="BIAL-1_ST_STRAW_BP"/>
    <x v="0"/>
    <x v="9"/>
    <n v="320"/>
    <n v="116800"/>
    <n v="420480"/>
  </r>
  <r>
    <x v="0"/>
    <x v="0"/>
    <x v="0"/>
    <x v="7"/>
    <x v="15"/>
    <s v="PL_A"/>
    <x v="4"/>
    <s v="BIAL-1_ST_STRAW_BP"/>
    <x v="0"/>
    <x v="10"/>
    <n v="320"/>
    <n v="116800"/>
    <n v="420480"/>
  </r>
  <r>
    <x v="0"/>
    <x v="0"/>
    <x v="0"/>
    <x v="7"/>
    <x v="15"/>
    <s v="PL_A"/>
    <x v="4"/>
    <s v="BIAL-1_ST_STRAW_BP"/>
    <x v="0"/>
    <x v="11"/>
    <n v="320"/>
    <n v="116800"/>
    <n v="420480"/>
  </r>
  <r>
    <x v="0"/>
    <x v="0"/>
    <x v="0"/>
    <x v="7"/>
    <x v="15"/>
    <s v="PL_A"/>
    <x v="4"/>
    <s v="BIAL-1_ST_STRAW_BP"/>
    <x v="0"/>
    <x v="0"/>
    <n v="320"/>
    <n v="116800"/>
    <n v="420480"/>
  </r>
  <r>
    <x v="0"/>
    <x v="0"/>
    <x v="0"/>
    <x v="7"/>
    <x v="15"/>
    <s v="PL_A"/>
    <x v="4"/>
    <s v="BIAL-1_ST_STRAW_BP"/>
    <x v="0"/>
    <x v="1"/>
    <n v="320"/>
    <n v="116800"/>
    <n v="420480"/>
  </r>
  <r>
    <x v="0"/>
    <x v="0"/>
    <x v="0"/>
    <x v="7"/>
    <x v="15"/>
    <s v="PL_A"/>
    <x v="4"/>
    <s v="BIAL-1_ST_STRAW_BP"/>
    <x v="0"/>
    <x v="2"/>
    <n v="320"/>
    <n v="116800"/>
    <n v="420480"/>
  </r>
  <r>
    <x v="0"/>
    <x v="0"/>
    <x v="0"/>
    <x v="7"/>
    <x v="15"/>
    <s v="PL_A"/>
    <x v="4"/>
    <s v="BIAL-1_ST_STRAW_BP"/>
    <x v="0"/>
    <x v="3"/>
    <n v="320"/>
    <n v="116800"/>
    <n v="420480"/>
  </r>
  <r>
    <x v="0"/>
    <x v="0"/>
    <x v="0"/>
    <x v="7"/>
    <x v="15"/>
    <s v="PL_A"/>
    <x v="4"/>
    <s v="BIAL-1_ST_STRAW_BP"/>
    <x v="0"/>
    <x v="12"/>
    <n v="320"/>
    <n v="116800"/>
    <n v="420480"/>
  </r>
  <r>
    <x v="0"/>
    <x v="0"/>
    <x v="0"/>
    <x v="7"/>
    <x v="15"/>
    <s v="PL_A"/>
    <x v="4"/>
    <s v="BIAL-1_ST_STRAW_BP"/>
    <x v="0"/>
    <x v="13"/>
    <n v="320"/>
    <n v="116800"/>
    <n v="420480"/>
  </r>
  <r>
    <x v="0"/>
    <x v="0"/>
    <x v="0"/>
    <x v="7"/>
    <x v="15"/>
    <s v="PL_A"/>
    <x v="4"/>
    <s v="BIAL-1_ST_STRAW_BP"/>
    <x v="0"/>
    <x v="14"/>
    <n v="320"/>
    <n v="116800"/>
    <n v="420480"/>
  </r>
  <r>
    <x v="0"/>
    <x v="0"/>
    <x v="0"/>
    <x v="7"/>
    <x v="15"/>
    <s v="PL_A"/>
    <x v="4"/>
    <s v="BIAL-1_ST_STRAW_BP"/>
    <x v="0"/>
    <x v="15"/>
    <n v="320"/>
    <n v="116800"/>
    <n v="420480"/>
  </r>
  <r>
    <x v="0"/>
    <x v="0"/>
    <x v="0"/>
    <x v="7"/>
    <x v="15"/>
    <s v="PL_A"/>
    <x v="4"/>
    <s v="BIAL-1_ST_STRAW_BP"/>
    <x v="0"/>
    <x v="4"/>
    <n v="320"/>
    <n v="116800"/>
    <n v="420480"/>
  </r>
  <r>
    <x v="0"/>
    <x v="0"/>
    <x v="0"/>
    <x v="7"/>
    <x v="15"/>
    <s v="PL_A"/>
    <x v="4"/>
    <s v="BIAL-1_ST_STRAW_BP"/>
    <x v="0"/>
    <x v="16"/>
    <n v="320"/>
    <n v="116800"/>
    <n v="420480"/>
  </r>
  <r>
    <x v="0"/>
    <x v="0"/>
    <x v="0"/>
    <x v="7"/>
    <x v="15"/>
    <s v="PL_A"/>
    <x v="4"/>
    <s v="BIAL-1_ST_STRAW_BP"/>
    <x v="0"/>
    <x v="5"/>
    <n v="320"/>
    <n v="116800"/>
    <n v="420480"/>
  </r>
  <r>
    <x v="0"/>
    <x v="0"/>
    <x v="0"/>
    <x v="7"/>
    <x v="15"/>
    <s v="PL_A"/>
    <x v="4"/>
    <s v="BIAL-1_ST_STRAW_BP"/>
    <x v="0"/>
    <x v="17"/>
    <n v="320"/>
    <n v="116800"/>
    <n v="420480"/>
  </r>
  <r>
    <x v="0"/>
    <x v="0"/>
    <x v="0"/>
    <x v="7"/>
    <x v="15"/>
    <s v="PL_A"/>
    <x v="4"/>
    <s v="BIAL-1_ST_STRAW_BP"/>
    <x v="0"/>
    <x v="18"/>
    <n v="320"/>
    <n v="116800"/>
    <n v="420480"/>
  </r>
  <r>
    <x v="0"/>
    <x v="0"/>
    <x v="0"/>
    <x v="7"/>
    <x v="15"/>
    <s v="PL_A"/>
    <x v="4"/>
    <s v="BIAL-1_ST_STRAW_BP"/>
    <x v="0"/>
    <x v="19"/>
    <n v="320"/>
    <n v="116800"/>
    <n v="420480"/>
  </r>
  <r>
    <x v="0"/>
    <x v="0"/>
    <x v="0"/>
    <x v="7"/>
    <x v="15"/>
    <s v="PL_A"/>
    <x v="4"/>
    <s v="BIAL-1_ST_STRAW_BP"/>
    <x v="0"/>
    <x v="20"/>
    <n v="320"/>
    <n v="116800"/>
    <n v="420480"/>
  </r>
  <r>
    <x v="0"/>
    <x v="0"/>
    <x v="0"/>
    <x v="7"/>
    <x v="15"/>
    <s v="PL_A"/>
    <x v="4"/>
    <s v="BIAL-1_ST_STRAW_BP"/>
    <x v="0"/>
    <x v="21"/>
    <n v="320"/>
    <n v="116800"/>
    <n v="420480"/>
  </r>
  <r>
    <x v="0"/>
    <x v="0"/>
    <x v="0"/>
    <x v="7"/>
    <x v="15"/>
    <s v="PL_A"/>
    <x v="4"/>
    <s v="BIAL-1_ST_STRAW_BP"/>
    <x v="0"/>
    <x v="22"/>
    <n v="320"/>
    <n v="116800"/>
    <n v="420480"/>
  </r>
  <r>
    <x v="0"/>
    <x v="0"/>
    <x v="0"/>
    <x v="7"/>
    <x v="15"/>
    <s v="PL_A"/>
    <x v="4"/>
    <s v="BIAL-1_ST_STRAW_BP"/>
    <x v="0"/>
    <x v="23"/>
    <n v="320"/>
    <n v="116800"/>
    <n v="420480"/>
  </r>
  <r>
    <x v="0"/>
    <x v="0"/>
    <x v="0"/>
    <x v="7"/>
    <x v="15"/>
    <s v="PL_A"/>
    <x v="4"/>
    <s v="GNR_BO_STRAW_HO_E-100"/>
    <x v="0"/>
    <x v="6"/>
    <n v="4120.93625817869"/>
    <n v="1504141.7342352199"/>
    <n v="5414910.2432468003"/>
  </r>
  <r>
    <x v="0"/>
    <x v="0"/>
    <x v="0"/>
    <x v="7"/>
    <x v="15"/>
    <s v="PL_A"/>
    <x v="4"/>
    <s v="GNR_BO_STRAW_HO_E-100"/>
    <x v="0"/>
    <x v="7"/>
    <n v="4172.6144859473497"/>
    <n v="1523004.28737078"/>
    <n v="5482815.4345348198"/>
  </r>
  <r>
    <x v="0"/>
    <x v="0"/>
    <x v="0"/>
    <x v="7"/>
    <x v="15"/>
    <s v="PL_A"/>
    <x v="4"/>
    <s v="GNR_BO_STRAW_HO_E-100"/>
    <x v="0"/>
    <x v="8"/>
    <n v="4188.7639321250499"/>
    <n v="1528898.8352256401"/>
    <n v="5504035.8068123199"/>
  </r>
  <r>
    <x v="0"/>
    <x v="0"/>
    <x v="0"/>
    <x v="7"/>
    <x v="15"/>
    <s v="PL_A"/>
    <x v="4"/>
    <s v="GNR_BO_STRAW_HO_E-100"/>
    <x v="0"/>
    <x v="9"/>
    <n v="4140.3155935919403"/>
    <n v="1511215.1916610601"/>
    <n v="5440374.6899798103"/>
  </r>
  <r>
    <x v="0"/>
    <x v="0"/>
    <x v="0"/>
    <x v="7"/>
    <x v="15"/>
    <s v="PL_A"/>
    <x v="4"/>
    <s v="GNR_BO_STRAW_HO_E-100"/>
    <x v="0"/>
    <x v="10"/>
    <n v="4033.7292488190801"/>
    <n v="1472311.1758189599"/>
    <n v="5300320.2329482697"/>
  </r>
  <r>
    <x v="0"/>
    <x v="0"/>
    <x v="0"/>
    <x v="7"/>
    <x v="15"/>
    <s v="PL_A"/>
    <x v="4"/>
    <s v="GNR_BO_STRAW_HO_E-100"/>
    <x v="0"/>
    <x v="11"/>
    <n v="3878.6945655130999"/>
    <n v="1415723.51641228"/>
    <n v="5096604.6590842204"/>
  </r>
  <r>
    <x v="0"/>
    <x v="0"/>
    <x v="0"/>
    <x v="7"/>
    <x v="15"/>
    <s v="PL_A"/>
    <x v="4"/>
    <s v="GNR_BO_STRAW_HO_E-100"/>
    <x v="0"/>
    <x v="0"/>
    <n v="3881.67132214512"/>
    <n v="1416810.0325829701"/>
    <n v="5100516.1172986897"/>
  </r>
  <r>
    <x v="0"/>
    <x v="0"/>
    <x v="0"/>
    <x v="7"/>
    <x v="15"/>
    <s v="PL_A"/>
    <x v="4"/>
    <s v="GNR_BO_STRAW_HO_E-100"/>
    <x v="0"/>
    <x v="1"/>
    <n v="5188.2784184689399"/>
    <n v="1893721.62274116"/>
    <n v="6817397.8418681901"/>
  </r>
  <r>
    <x v="0"/>
    <x v="0"/>
    <x v="0"/>
    <x v="7"/>
    <x v="15"/>
    <s v="PL_A"/>
    <x v="4"/>
    <s v="GNR_BO_STRAW_HO_E-100"/>
    <x v="0"/>
    <x v="2"/>
    <n v="4550.8714445539899"/>
    <n v="1661068.07726221"/>
    <n v="5979845.0781439403"/>
  </r>
  <r>
    <x v="0"/>
    <x v="0"/>
    <x v="0"/>
    <x v="7"/>
    <x v="15"/>
    <s v="PL_A"/>
    <x v="4"/>
    <s v="GNR_BO_STRAW_HO_E-100"/>
    <x v="0"/>
    <x v="3"/>
    <n v="5054.3079796570601"/>
    <n v="1844822.41257483"/>
    <n v="6641360.68526938"/>
  </r>
  <r>
    <x v="0"/>
    <x v="0"/>
    <x v="0"/>
    <x v="7"/>
    <x v="15"/>
    <s v="PL_A"/>
    <x v="4"/>
    <s v="GNR_BO_STRAW_HO_E-100"/>
    <x v="0"/>
    <x v="12"/>
    <n v="4588.6523799831302"/>
    <n v="1674858.11869384"/>
    <n v="6029489.2272978397"/>
  </r>
  <r>
    <x v="0"/>
    <x v="0"/>
    <x v="0"/>
    <x v="7"/>
    <x v="15"/>
    <s v="PL_A"/>
    <x v="4"/>
    <s v="GNR_BO_STRAW_HO_E-100"/>
    <x v="0"/>
    <x v="13"/>
    <n v="2994.4832370690901"/>
    <n v="1092986.3815302199"/>
    <n v="3934750.9735087799"/>
  </r>
  <r>
    <x v="0"/>
    <x v="0"/>
    <x v="0"/>
    <x v="7"/>
    <x v="15"/>
    <s v="PL_A"/>
    <x v="4"/>
    <s v="GNR_BO_STRAW_HO_E-100"/>
    <x v="0"/>
    <x v="14"/>
    <n v="2882.0405482676501"/>
    <n v="1051944.8001176901"/>
    <n v="3787001.2804236901"/>
  </r>
  <r>
    <x v="0"/>
    <x v="0"/>
    <x v="0"/>
    <x v="7"/>
    <x v="15"/>
    <s v="PL_A"/>
    <x v="4"/>
    <s v="GNR_BO_STRAW_HO_E-100"/>
    <x v="0"/>
    <x v="15"/>
    <n v="2502.7617511726398"/>
    <n v="913508.03917801403"/>
    <n v="3288628.9410408498"/>
  </r>
  <r>
    <x v="0"/>
    <x v="0"/>
    <x v="0"/>
    <x v="7"/>
    <x v="15"/>
    <s v="PL_A"/>
    <x v="4"/>
    <s v="GNR_BO_STRAW_HO_E-100"/>
    <x v="0"/>
    <x v="4"/>
    <n v="2641.3938556973799"/>
    <n v="964108.757329543"/>
    <n v="3470791.5263863602"/>
  </r>
  <r>
    <x v="0"/>
    <x v="0"/>
    <x v="0"/>
    <x v="7"/>
    <x v="15"/>
    <s v="PL_A"/>
    <x v="4"/>
    <s v="GNR_BO_STRAW_HO_E-100"/>
    <x v="0"/>
    <x v="16"/>
    <n v="4302.44786630402"/>
    <n v="1570393.47120097"/>
    <n v="5653416.4963234803"/>
  </r>
  <r>
    <x v="0"/>
    <x v="0"/>
    <x v="0"/>
    <x v="7"/>
    <x v="15"/>
    <s v="PL_A"/>
    <x v="4"/>
    <s v="GNR_BO_STRAW_HO_E-100"/>
    <x v="0"/>
    <x v="5"/>
    <n v="3503.0870652436301"/>
    <n v="1278626.77881392"/>
    <n v="4603056.4037301196"/>
  </r>
  <r>
    <x v="0"/>
    <x v="0"/>
    <x v="0"/>
    <x v="7"/>
    <x v="15"/>
    <s v="PL_A"/>
    <x v="4"/>
    <s v="GNR_BO_STRAW_HO_E-100"/>
    <x v="0"/>
    <x v="17"/>
    <n v="3643.27256936698"/>
    <n v="1329794.4878189501"/>
    <n v="4787260.1561482102"/>
  </r>
  <r>
    <x v="0"/>
    <x v="0"/>
    <x v="0"/>
    <x v="7"/>
    <x v="15"/>
    <s v="PL_A"/>
    <x v="4"/>
    <s v="GNR_BO_STRAW_HO_E-100"/>
    <x v="0"/>
    <x v="18"/>
    <n v="3649.9684025892798"/>
    <n v="1332238.4669450901"/>
    <n v="4796058.4810023103"/>
  </r>
  <r>
    <x v="0"/>
    <x v="0"/>
    <x v="0"/>
    <x v="7"/>
    <x v="15"/>
    <s v="PL_A"/>
    <x v="4"/>
    <s v="GNR_BO_STRAW_HO_E-100"/>
    <x v="0"/>
    <x v="19"/>
    <n v="2437.9108338583001"/>
    <n v="889837.45435827796"/>
    <n v="3203414.8356897999"/>
  </r>
  <r>
    <x v="0"/>
    <x v="0"/>
    <x v="0"/>
    <x v="7"/>
    <x v="15"/>
    <s v="PL_A"/>
    <x v="4"/>
    <s v="GNR_BO_STRAW_HO_E-100"/>
    <x v="0"/>
    <x v="20"/>
    <n v="2199.1521630317902"/>
    <n v="802690.53950660501"/>
    <n v="2889685.9422237799"/>
  </r>
  <r>
    <x v="0"/>
    <x v="0"/>
    <x v="0"/>
    <x v="7"/>
    <x v="15"/>
    <s v="PL_A"/>
    <x v="4"/>
    <s v="GNR_BO_STRAW_HO_E-100"/>
    <x v="0"/>
    <x v="21"/>
    <n v="2160.3934922053099"/>
    <n v="788543.624654938"/>
    <n v="2838757.0487577799"/>
  </r>
  <r>
    <x v="0"/>
    <x v="0"/>
    <x v="0"/>
    <x v="7"/>
    <x v="15"/>
    <s v="PL_A"/>
    <x v="4"/>
    <s v="GNR_BO_STRAW_HO_E-100"/>
    <x v="0"/>
    <x v="22"/>
    <n v="2131.3244890854298"/>
    <n v="777933.43851618306"/>
    <n v="2800560.3786582602"/>
  </r>
  <r>
    <x v="0"/>
    <x v="0"/>
    <x v="0"/>
    <x v="7"/>
    <x v="15"/>
    <s v="PL_A"/>
    <x v="4"/>
    <s v="GNR_BO_STRAW_HO_E-100"/>
    <x v="0"/>
    <x v="23"/>
    <n v="2121.6348213788101"/>
    <n v="774396.70980326505"/>
    <n v="2787828.1552917501"/>
  </r>
  <r>
    <x v="0"/>
    <x v="0"/>
    <x v="0"/>
    <x v="7"/>
    <x v="15"/>
    <s v="PL_A"/>
    <x v="4"/>
    <s v="GNR_ST_STRAW_BP_E-15"/>
    <x v="0"/>
    <x v="6"/>
    <n v="410"/>
    <n v="149650"/>
    <n v="538740"/>
  </r>
  <r>
    <x v="0"/>
    <x v="0"/>
    <x v="0"/>
    <x v="7"/>
    <x v="15"/>
    <s v="PL_A"/>
    <x v="4"/>
    <s v="GNR_ST_STRAW_BP_E-15"/>
    <x v="0"/>
    <x v="7"/>
    <n v="410"/>
    <n v="149650"/>
    <n v="538740"/>
  </r>
  <r>
    <x v="0"/>
    <x v="0"/>
    <x v="0"/>
    <x v="7"/>
    <x v="15"/>
    <s v="PL_A"/>
    <x v="4"/>
    <s v="GNR_ST_STRAW_BP_E-15"/>
    <x v="0"/>
    <x v="8"/>
    <n v="410"/>
    <n v="149650"/>
    <n v="538740"/>
  </r>
  <r>
    <x v="0"/>
    <x v="0"/>
    <x v="0"/>
    <x v="7"/>
    <x v="15"/>
    <s v="PL_A"/>
    <x v="4"/>
    <s v="GNR_ST_STRAW_BP_E-15"/>
    <x v="0"/>
    <x v="9"/>
    <n v="410"/>
    <n v="149650"/>
    <n v="538740"/>
  </r>
  <r>
    <x v="0"/>
    <x v="0"/>
    <x v="0"/>
    <x v="7"/>
    <x v="15"/>
    <s v="PL_A"/>
    <x v="4"/>
    <s v="GNR_ST_STRAW_BP_E-15"/>
    <x v="0"/>
    <x v="10"/>
    <n v="410"/>
    <n v="149650"/>
    <n v="538740"/>
  </r>
  <r>
    <x v="0"/>
    <x v="0"/>
    <x v="0"/>
    <x v="7"/>
    <x v="15"/>
    <s v="PL_A"/>
    <x v="4"/>
    <s v="GNR_ST_STRAW_BP_E-15"/>
    <x v="0"/>
    <x v="11"/>
    <n v="410"/>
    <n v="149650"/>
    <n v="538740"/>
  </r>
  <r>
    <x v="0"/>
    <x v="0"/>
    <x v="0"/>
    <x v="7"/>
    <x v="15"/>
    <s v="PL_A"/>
    <x v="4"/>
    <s v="GNR_ST_STRAW_BP_E-15"/>
    <x v="0"/>
    <x v="0"/>
    <n v="410"/>
    <n v="149650"/>
    <n v="538740"/>
  </r>
  <r>
    <x v="0"/>
    <x v="0"/>
    <x v="0"/>
    <x v="7"/>
    <x v="15"/>
    <s v="PL_A"/>
    <x v="4"/>
    <s v="GNR_ST_STRAW_BP_E-15"/>
    <x v="0"/>
    <x v="1"/>
    <n v="410"/>
    <n v="149650"/>
    <n v="538740"/>
  </r>
  <r>
    <x v="0"/>
    <x v="0"/>
    <x v="0"/>
    <x v="7"/>
    <x v="15"/>
    <s v="PL_A"/>
    <x v="4"/>
    <s v="GNR_ST_STRAW_BP_E-15"/>
    <x v="0"/>
    <x v="2"/>
    <n v="410"/>
    <n v="149650"/>
    <n v="538740"/>
  </r>
  <r>
    <x v="0"/>
    <x v="0"/>
    <x v="0"/>
    <x v="7"/>
    <x v="15"/>
    <s v="PL_A"/>
    <x v="4"/>
    <s v="GNR_ST_STRAW_BP_E-15"/>
    <x v="0"/>
    <x v="3"/>
    <n v="410"/>
    <n v="149650"/>
    <n v="538740"/>
  </r>
  <r>
    <x v="0"/>
    <x v="0"/>
    <x v="0"/>
    <x v="7"/>
    <x v="15"/>
    <s v="PL_A"/>
    <x v="4"/>
    <s v="GNR_ST_STRAW_BP_E-15"/>
    <x v="0"/>
    <x v="12"/>
    <n v="410"/>
    <n v="149650"/>
    <n v="538740"/>
  </r>
  <r>
    <x v="0"/>
    <x v="0"/>
    <x v="0"/>
    <x v="7"/>
    <x v="15"/>
    <s v="PL_A"/>
    <x v="4"/>
    <s v="GNR_ST_STRAW_BP_E-15"/>
    <x v="0"/>
    <x v="13"/>
    <n v="410"/>
    <n v="149650"/>
    <n v="538740"/>
  </r>
  <r>
    <x v="0"/>
    <x v="0"/>
    <x v="0"/>
    <x v="7"/>
    <x v="15"/>
    <s v="PL_A"/>
    <x v="4"/>
    <s v="GNR_ST_STRAW_BP_E-15"/>
    <x v="0"/>
    <x v="14"/>
    <n v="410"/>
    <n v="149650"/>
    <n v="538740"/>
  </r>
  <r>
    <x v="0"/>
    <x v="0"/>
    <x v="0"/>
    <x v="7"/>
    <x v="15"/>
    <s v="PL_A"/>
    <x v="4"/>
    <s v="GNR_ST_STRAW_BP_E-15"/>
    <x v="0"/>
    <x v="15"/>
    <n v="410"/>
    <n v="149650"/>
    <n v="538740"/>
  </r>
  <r>
    <x v="0"/>
    <x v="0"/>
    <x v="0"/>
    <x v="7"/>
    <x v="15"/>
    <s v="PL_A"/>
    <x v="4"/>
    <s v="GNR_ST_STRAW_BP_E-15"/>
    <x v="0"/>
    <x v="4"/>
    <n v="410"/>
    <n v="149650"/>
    <n v="538740"/>
  </r>
  <r>
    <x v="0"/>
    <x v="0"/>
    <x v="0"/>
    <x v="7"/>
    <x v="15"/>
    <s v="PL_A"/>
    <x v="4"/>
    <s v="GNR_ST_STRAW_BP_E-15"/>
    <x v="0"/>
    <x v="16"/>
    <n v="410"/>
    <n v="149650"/>
    <n v="538740"/>
  </r>
  <r>
    <x v="0"/>
    <x v="0"/>
    <x v="0"/>
    <x v="7"/>
    <x v="15"/>
    <s v="PL_A"/>
    <x v="4"/>
    <s v="GNR_ST_STRAW_BP_E-15"/>
    <x v="0"/>
    <x v="5"/>
    <n v="410"/>
    <n v="149650"/>
    <n v="538740"/>
  </r>
  <r>
    <x v="0"/>
    <x v="0"/>
    <x v="0"/>
    <x v="7"/>
    <x v="15"/>
    <s v="PL_A"/>
    <x v="4"/>
    <s v="GNR_ST_STRAW_BP_E-15"/>
    <x v="0"/>
    <x v="17"/>
    <n v="410"/>
    <n v="149650"/>
    <n v="538740"/>
  </r>
  <r>
    <x v="0"/>
    <x v="0"/>
    <x v="0"/>
    <x v="7"/>
    <x v="15"/>
    <s v="PL_A"/>
    <x v="4"/>
    <s v="GNR_ST_STRAW_BP_E-15"/>
    <x v="0"/>
    <x v="18"/>
    <n v="410"/>
    <n v="149650"/>
    <n v="538740"/>
  </r>
  <r>
    <x v="0"/>
    <x v="0"/>
    <x v="0"/>
    <x v="7"/>
    <x v="15"/>
    <s v="PL_A"/>
    <x v="4"/>
    <s v="GNR_ST_STRAW_BP_E-15"/>
    <x v="0"/>
    <x v="19"/>
    <n v="410"/>
    <n v="149650"/>
    <n v="538740"/>
  </r>
  <r>
    <x v="0"/>
    <x v="0"/>
    <x v="0"/>
    <x v="7"/>
    <x v="15"/>
    <s v="PL_A"/>
    <x v="4"/>
    <s v="GNR_ST_STRAW_BP_E-15"/>
    <x v="0"/>
    <x v="20"/>
    <n v="410"/>
    <n v="149650"/>
    <n v="538740"/>
  </r>
  <r>
    <x v="0"/>
    <x v="0"/>
    <x v="0"/>
    <x v="7"/>
    <x v="15"/>
    <s v="PL_A"/>
    <x v="4"/>
    <s v="GNR_ST_STRAW_BP_E-15"/>
    <x v="0"/>
    <x v="21"/>
    <n v="410"/>
    <n v="149650"/>
    <n v="538740"/>
  </r>
  <r>
    <x v="0"/>
    <x v="0"/>
    <x v="0"/>
    <x v="7"/>
    <x v="15"/>
    <s v="PL_A"/>
    <x v="4"/>
    <s v="GNR_ST_STRAW_BP_E-15"/>
    <x v="0"/>
    <x v="22"/>
    <n v="410"/>
    <n v="149650"/>
    <n v="538740"/>
  </r>
  <r>
    <x v="0"/>
    <x v="0"/>
    <x v="0"/>
    <x v="7"/>
    <x v="15"/>
    <s v="PL_A"/>
    <x v="4"/>
    <s v="GNR_ST_STRAW_BP_E-15"/>
    <x v="0"/>
    <x v="23"/>
    <n v="410"/>
    <n v="149650"/>
    <n v="538740"/>
  </r>
  <r>
    <x v="0"/>
    <x v="0"/>
    <x v="0"/>
    <x v="7"/>
    <x v="15"/>
    <s v="PL_A"/>
    <x v="4"/>
    <s v="LODZ-3_ST_STRAW_EXT"/>
    <x v="0"/>
    <x v="6"/>
    <n v="200"/>
    <n v="73000"/>
    <n v="262800"/>
  </r>
  <r>
    <x v="0"/>
    <x v="0"/>
    <x v="0"/>
    <x v="7"/>
    <x v="15"/>
    <s v="PL_A"/>
    <x v="4"/>
    <s v="LODZ-3_ST_STRAW_EXT"/>
    <x v="0"/>
    <x v="7"/>
    <n v="200"/>
    <n v="73000"/>
    <n v="262800"/>
  </r>
  <r>
    <x v="0"/>
    <x v="0"/>
    <x v="0"/>
    <x v="7"/>
    <x v="15"/>
    <s v="PL_A"/>
    <x v="4"/>
    <s v="LODZ-3_ST_STRAW_EXT"/>
    <x v="0"/>
    <x v="8"/>
    <n v="200"/>
    <n v="73000"/>
    <n v="262800"/>
  </r>
  <r>
    <x v="0"/>
    <x v="0"/>
    <x v="0"/>
    <x v="7"/>
    <x v="15"/>
    <s v="PL_A"/>
    <x v="4"/>
    <s v="LODZ-3_ST_STRAW_EXT"/>
    <x v="0"/>
    <x v="9"/>
    <n v="200"/>
    <n v="73000"/>
    <n v="262800"/>
  </r>
  <r>
    <x v="0"/>
    <x v="0"/>
    <x v="0"/>
    <x v="7"/>
    <x v="15"/>
    <s v="PL_A"/>
    <x v="4"/>
    <s v="LODZ-3_ST_STRAW_EXT"/>
    <x v="0"/>
    <x v="10"/>
    <n v="200"/>
    <n v="73000"/>
    <n v="262800"/>
  </r>
  <r>
    <x v="0"/>
    <x v="0"/>
    <x v="0"/>
    <x v="7"/>
    <x v="15"/>
    <s v="PL_A"/>
    <x v="4"/>
    <s v="LODZ-3_ST_STRAW_EXT"/>
    <x v="0"/>
    <x v="11"/>
    <n v="200"/>
    <n v="73000"/>
    <n v="262800"/>
  </r>
  <r>
    <x v="0"/>
    <x v="0"/>
    <x v="0"/>
    <x v="7"/>
    <x v="15"/>
    <s v="PL_A"/>
    <x v="4"/>
    <s v="LODZ-3_ST_STRAW_EXT"/>
    <x v="0"/>
    <x v="15"/>
    <n v="200"/>
    <n v="73000"/>
    <n v="262800"/>
  </r>
  <r>
    <x v="0"/>
    <x v="0"/>
    <x v="0"/>
    <x v="7"/>
    <x v="15"/>
    <s v="PL_A"/>
    <x v="4"/>
    <s v="LODZ-3_ST_STRAW_EXT"/>
    <x v="0"/>
    <x v="20"/>
    <n v="200"/>
    <n v="73000"/>
    <n v="262800"/>
  </r>
  <r>
    <x v="0"/>
    <x v="0"/>
    <x v="0"/>
    <x v="7"/>
    <x v="15"/>
    <s v="PL_A"/>
    <x v="4"/>
    <s v="LODZ-3_ST_STRAW_EXT"/>
    <x v="0"/>
    <x v="21"/>
    <n v="200"/>
    <n v="73000"/>
    <n v="262800"/>
  </r>
  <r>
    <x v="0"/>
    <x v="0"/>
    <x v="0"/>
    <x v="7"/>
    <x v="15"/>
    <s v="PL_A"/>
    <x v="4"/>
    <s v="LODZ-3_ST_STRAW_EXT"/>
    <x v="0"/>
    <x v="22"/>
    <n v="200"/>
    <n v="73000"/>
    <n v="262800"/>
  </r>
  <r>
    <x v="0"/>
    <x v="0"/>
    <x v="0"/>
    <x v="7"/>
    <x v="15"/>
    <s v="PL_A"/>
    <x v="4"/>
    <s v="LODZ-3_ST_STRAW_EXT"/>
    <x v="0"/>
    <x v="23"/>
    <n v="200"/>
    <n v="73000"/>
    <n v="262800"/>
  </r>
  <r>
    <x v="0"/>
    <x v="0"/>
    <x v="0"/>
    <x v="7"/>
    <x v="15"/>
    <s v="PL_A"/>
    <x v="10"/>
    <s v="GNR_ST_WOOD_EXT_E-45"/>
    <x v="0"/>
    <x v="6"/>
    <n v="1815.38461538462"/>
    <n v="662615.38461538497"/>
    <n v="2385415.3846153799"/>
  </r>
  <r>
    <x v="0"/>
    <x v="0"/>
    <x v="0"/>
    <x v="7"/>
    <x v="15"/>
    <s v="PL_A"/>
    <x v="10"/>
    <s v="GNR_ST_WOOD_EXT_E-45"/>
    <x v="0"/>
    <x v="7"/>
    <n v="1815.38461538462"/>
    <n v="662615.38461538497"/>
    <n v="2385415.3846153799"/>
  </r>
  <r>
    <x v="0"/>
    <x v="0"/>
    <x v="0"/>
    <x v="7"/>
    <x v="15"/>
    <s v="PL_A"/>
    <x v="10"/>
    <s v="GNR_ST_WOOD_EXT_E-45"/>
    <x v="0"/>
    <x v="8"/>
    <n v="1815.38461538462"/>
    <n v="662615.38461538497"/>
    <n v="2385415.3846153799"/>
  </r>
  <r>
    <x v="0"/>
    <x v="0"/>
    <x v="0"/>
    <x v="7"/>
    <x v="15"/>
    <s v="PL_A"/>
    <x v="10"/>
    <s v="GNR_ST_WOOD_EXT_E-45"/>
    <x v="0"/>
    <x v="9"/>
    <n v="1815.38461538462"/>
    <n v="662615.38461538497"/>
    <n v="2385415.3846153799"/>
  </r>
  <r>
    <x v="0"/>
    <x v="0"/>
    <x v="0"/>
    <x v="7"/>
    <x v="15"/>
    <s v="PL_A"/>
    <x v="10"/>
    <s v="GNR_ST_WOOD_EXT_E-45"/>
    <x v="0"/>
    <x v="10"/>
    <n v="1815.38461538462"/>
    <n v="662615.38461538497"/>
    <n v="2385415.3846153799"/>
  </r>
  <r>
    <x v="0"/>
    <x v="0"/>
    <x v="0"/>
    <x v="7"/>
    <x v="15"/>
    <s v="PL_A"/>
    <x v="10"/>
    <s v="GNR_ST_WOOD_EXT_E-45"/>
    <x v="0"/>
    <x v="11"/>
    <n v="1815.38461538462"/>
    <n v="662615.38461538497"/>
    <n v="2385415.3846153799"/>
  </r>
  <r>
    <x v="0"/>
    <x v="0"/>
    <x v="0"/>
    <x v="7"/>
    <x v="15"/>
    <s v="PL_A"/>
    <x v="10"/>
    <s v="GNR_ST_WOOD_EXT_E-45"/>
    <x v="0"/>
    <x v="0"/>
    <n v="1815.38461538462"/>
    <n v="662615.38461538497"/>
    <n v="2385415.3846153799"/>
  </r>
  <r>
    <x v="0"/>
    <x v="0"/>
    <x v="0"/>
    <x v="7"/>
    <x v="15"/>
    <s v="PL_A"/>
    <x v="10"/>
    <s v="GNR_ST_WOOD_EXT_E-45"/>
    <x v="0"/>
    <x v="12"/>
    <n v="294.47147019025601"/>
    <n v="107482.086619443"/>
    <n v="386935.51182999602"/>
  </r>
  <r>
    <x v="0"/>
    <x v="0"/>
    <x v="0"/>
    <x v="7"/>
    <x v="15"/>
    <s v="PL_A"/>
    <x v="10"/>
    <s v="GNR_ST_WOOD_EXT_E-45"/>
    <x v="0"/>
    <x v="13"/>
    <n v="1746.5254867404999"/>
    <n v="637481.80266028305"/>
    <n v="2294934.4895770201"/>
  </r>
  <r>
    <x v="0"/>
    <x v="0"/>
    <x v="0"/>
    <x v="7"/>
    <x v="15"/>
    <s v="PL_A"/>
    <x v="10"/>
    <s v="GNR_ST_WOOD_EXT_E-45"/>
    <x v="0"/>
    <x v="14"/>
    <n v="1736.2323845914"/>
    <n v="633724.82037585997"/>
    <n v="2281409.3533530999"/>
  </r>
  <r>
    <x v="0"/>
    <x v="0"/>
    <x v="0"/>
    <x v="7"/>
    <x v="15"/>
    <s v="PL_A"/>
    <x v="10"/>
    <s v="GNR_ST_WOOD_EXT_E-45"/>
    <x v="0"/>
    <x v="15"/>
    <n v="1815.38461538462"/>
    <n v="662615.38461538497"/>
    <n v="2385415.3846153799"/>
  </r>
  <r>
    <x v="0"/>
    <x v="0"/>
    <x v="0"/>
    <x v="7"/>
    <x v="15"/>
    <s v="PL_A"/>
    <x v="10"/>
    <s v="GNR_ST_WOOD_EXT_E-45"/>
    <x v="0"/>
    <x v="4"/>
    <n v="1815.38461538462"/>
    <n v="662615.38461538497"/>
    <n v="2385415.3846153799"/>
  </r>
  <r>
    <x v="0"/>
    <x v="0"/>
    <x v="0"/>
    <x v="7"/>
    <x v="15"/>
    <s v="PL_A"/>
    <x v="10"/>
    <s v="GNR_ST_WOOD_EXT_E-45"/>
    <x v="0"/>
    <x v="19"/>
    <n v="1815.38461538462"/>
    <n v="662615.38461538497"/>
    <n v="2385415.3846153799"/>
  </r>
  <r>
    <x v="0"/>
    <x v="0"/>
    <x v="0"/>
    <x v="7"/>
    <x v="15"/>
    <s v="PL_A"/>
    <x v="10"/>
    <s v="GNR_ST_WOOD_EXT_E-45"/>
    <x v="0"/>
    <x v="20"/>
    <n v="1815.38461538462"/>
    <n v="662615.38461538497"/>
    <n v="2385415.3846153799"/>
  </r>
  <r>
    <x v="0"/>
    <x v="0"/>
    <x v="0"/>
    <x v="7"/>
    <x v="15"/>
    <s v="PL_A"/>
    <x v="10"/>
    <s v="GNR_ST_WOOD_EXT_E-45"/>
    <x v="0"/>
    <x v="21"/>
    <n v="1815.38461538462"/>
    <n v="662615.38461538497"/>
    <n v="2385415.3846153799"/>
  </r>
  <r>
    <x v="0"/>
    <x v="0"/>
    <x v="0"/>
    <x v="7"/>
    <x v="15"/>
    <s v="PL_A"/>
    <x v="10"/>
    <s v="GNR_ST_WOOD_EXT_E-45"/>
    <x v="0"/>
    <x v="22"/>
    <n v="1815.38461538462"/>
    <n v="662615.38461538497"/>
    <n v="2385415.3846153799"/>
  </r>
  <r>
    <x v="0"/>
    <x v="0"/>
    <x v="0"/>
    <x v="7"/>
    <x v="15"/>
    <s v="PL_A"/>
    <x v="10"/>
    <s v="GNR_ST_WOOD_EXT_E-45"/>
    <x v="0"/>
    <x v="23"/>
    <n v="1815.38461538462"/>
    <n v="662615.38461538497"/>
    <n v="2385415.3846153799"/>
  </r>
  <r>
    <x v="0"/>
    <x v="0"/>
    <x v="0"/>
    <x v="8"/>
    <x v="16"/>
    <s v="SE1_EL"/>
    <x v="2"/>
    <s v="GBPR_MUNIWASTE"/>
    <x v="0"/>
    <x v="6"/>
    <n v="12.6927469932977"/>
    <n v="4632.8526525536399"/>
    <n v="16678.269549193101"/>
  </r>
  <r>
    <x v="0"/>
    <x v="0"/>
    <x v="0"/>
    <x v="8"/>
    <x v="16"/>
    <s v="SE1_EL"/>
    <x v="2"/>
    <s v="GBPR_MUNIWASTE"/>
    <x v="0"/>
    <x v="7"/>
    <n v="12.6927469932977"/>
    <n v="4632.8526525536399"/>
    <n v="16678.269549193101"/>
  </r>
  <r>
    <x v="0"/>
    <x v="0"/>
    <x v="0"/>
    <x v="8"/>
    <x v="16"/>
    <s v="SE1_EL"/>
    <x v="2"/>
    <s v="GBPR_MUNIWASTE"/>
    <x v="0"/>
    <x v="8"/>
    <n v="12.6927469932977"/>
    <n v="4632.8526525536399"/>
    <n v="16678.269549193101"/>
  </r>
  <r>
    <x v="0"/>
    <x v="0"/>
    <x v="0"/>
    <x v="8"/>
    <x v="16"/>
    <s v="SE1_EL"/>
    <x v="2"/>
    <s v="GBPR_MUNIWASTE"/>
    <x v="0"/>
    <x v="9"/>
    <n v="12.6927469932977"/>
    <n v="4632.8526525536399"/>
    <n v="16678.269549193101"/>
  </r>
  <r>
    <x v="0"/>
    <x v="0"/>
    <x v="0"/>
    <x v="8"/>
    <x v="16"/>
    <s v="SE1_EL"/>
    <x v="2"/>
    <s v="GBPR_MUNIWASTE"/>
    <x v="0"/>
    <x v="10"/>
    <n v="12.6927469932977"/>
    <n v="4632.8526525536399"/>
    <n v="16678.269549193101"/>
  </r>
  <r>
    <x v="0"/>
    <x v="0"/>
    <x v="0"/>
    <x v="8"/>
    <x v="16"/>
    <s v="SE1_EL"/>
    <x v="2"/>
    <s v="GBPR_MUNIWASTE"/>
    <x v="0"/>
    <x v="11"/>
    <n v="12.6927469932977"/>
    <n v="4632.8526525536399"/>
    <n v="16678.269549193101"/>
  </r>
  <r>
    <x v="0"/>
    <x v="0"/>
    <x v="0"/>
    <x v="8"/>
    <x v="16"/>
    <s v="SE1_EL"/>
    <x v="2"/>
    <s v="GBPR_MUNIWASTE"/>
    <x v="0"/>
    <x v="0"/>
    <n v="12.6927469932977"/>
    <n v="4632.8526525536399"/>
    <n v="16678.269549193101"/>
  </r>
  <r>
    <x v="0"/>
    <x v="0"/>
    <x v="0"/>
    <x v="8"/>
    <x v="16"/>
    <s v="SE1_EL"/>
    <x v="2"/>
    <s v="GBPR_MUNIWASTE"/>
    <x v="0"/>
    <x v="1"/>
    <n v="12.6927469932977"/>
    <n v="4632.8526525536399"/>
    <n v="16678.269549193101"/>
  </r>
  <r>
    <x v="0"/>
    <x v="0"/>
    <x v="0"/>
    <x v="8"/>
    <x v="16"/>
    <s v="SE1_EL"/>
    <x v="2"/>
    <s v="GBPR_MUNIWASTE"/>
    <x v="0"/>
    <x v="2"/>
    <n v="12.6927469932977"/>
    <n v="4632.8526525536399"/>
    <n v="16678.269549193101"/>
  </r>
  <r>
    <x v="0"/>
    <x v="0"/>
    <x v="0"/>
    <x v="8"/>
    <x v="16"/>
    <s v="SE1_EL"/>
    <x v="2"/>
    <s v="GBPR_MUNIWASTE"/>
    <x v="0"/>
    <x v="3"/>
    <n v="12.6927469932977"/>
    <n v="4632.8526525536399"/>
    <n v="16678.269549193101"/>
  </r>
  <r>
    <x v="0"/>
    <x v="0"/>
    <x v="0"/>
    <x v="8"/>
    <x v="16"/>
    <s v="SE1_EL"/>
    <x v="2"/>
    <s v="GBPR_MUNIWASTE"/>
    <x v="0"/>
    <x v="12"/>
    <n v="12.6927469932977"/>
    <n v="4632.8526525536399"/>
    <n v="16678.269549193101"/>
  </r>
  <r>
    <x v="0"/>
    <x v="0"/>
    <x v="0"/>
    <x v="8"/>
    <x v="16"/>
    <s v="SE1_EL"/>
    <x v="2"/>
    <s v="GBPR_MUNIWASTE"/>
    <x v="0"/>
    <x v="13"/>
    <n v="12.6927469932977"/>
    <n v="4632.8526525536399"/>
    <n v="16678.269549193101"/>
  </r>
  <r>
    <x v="0"/>
    <x v="0"/>
    <x v="0"/>
    <x v="8"/>
    <x v="16"/>
    <s v="SE1_EL"/>
    <x v="2"/>
    <s v="GBPR_MUNIWASTE"/>
    <x v="0"/>
    <x v="14"/>
    <n v="12.6927469932977"/>
    <n v="4632.8526525536399"/>
    <n v="16678.269549193101"/>
  </r>
  <r>
    <x v="0"/>
    <x v="0"/>
    <x v="0"/>
    <x v="8"/>
    <x v="16"/>
    <s v="SE1_EL"/>
    <x v="2"/>
    <s v="GBPR_MUNIWASTE"/>
    <x v="0"/>
    <x v="15"/>
    <n v="12.6927469932977"/>
    <n v="4632.8526525536399"/>
    <n v="16678.269549193101"/>
  </r>
  <r>
    <x v="0"/>
    <x v="0"/>
    <x v="0"/>
    <x v="8"/>
    <x v="16"/>
    <s v="SE1_EL"/>
    <x v="2"/>
    <s v="GBPR_MUNIWASTE"/>
    <x v="0"/>
    <x v="4"/>
    <n v="12.6927469932977"/>
    <n v="4632.8526525536399"/>
    <n v="16678.269549193101"/>
  </r>
  <r>
    <x v="0"/>
    <x v="0"/>
    <x v="0"/>
    <x v="8"/>
    <x v="16"/>
    <s v="SE1_EL"/>
    <x v="2"/>
    <s v="GBPR_MUNIWASTE"/>
    <x v="0"/>
    <x v="16"/>
    <n v="12.6927469932977"/>
    <n v="4632.8526525536399"/>
    <n v="16678.269549193101"/>
  </r>
  <r>
    <x v="0"/>
    <x v="0"/>
    <x v="0"/>
    <x v="8"/>
    <x v="16"/>
    <s v="SE1_EL"/>
    <x v="2"/>
    <s v="GBPR_MUNIWASTE"/>
    <x v="0"/>
    <x v="5"/>
    <n v="12.6927469932977"/>
    <n v="4632.8526525536399"/>
    <n v="16678.269549193101"/>
  </r>
  <r>
    <x v="0"/>
    <x v="0"/>
    <x v="0"/>
    <x v="8"/>
    <x v="16"/>
    <s v="SE1_EL"/>
    <x v="2"/>
    <s v="GBPR_MUNIWASTE"/>
    <x v="0"/>
    <x v="17"/>
    <n v="12.6927469932977"/>
    <n v="4632.8526525536399"/>
    <n v="16678.269549193101"/>
  </r>
  <r>
    <x v="0"/>
    <x v="0"/>
    <x v="0"/>
    <x v="8"/>
    <x v="16"/>
    <s v="SE1_EL"/>
    <x v="2"/>
    <s v="GBPR_MUNIWASTE"/>
    <x v="0"/>
    <x v="18"/>
    <n v="12.6927469932977"/>
    <n v="4632.8526525536399"/>
    <n v="16678.269549193101"/>
  </r>
  <r>
    <x v="0"/>
    <x v="0"/>
    <x v="0"/>
    <x v="8"/>
    <x v="16"/>
    <s v="SE1_EL"/>
    <x v="2"/>
    <s v="GBPR_MUNIWASTE"/>
    <x v="0"/>
    <x v="19"/>
    <n v="12.6927469932977"/>
    <n v="4632.8526525536399"/>
    <n v="16678.269549193101"/>
  </r>
  <r>
    <x v="0"/>
    <x v="0"/>
    <x v="0"/>
    <x v="8"/>
    <x v="16"/>
    <s v="SE1_EL"/>
    <x v="2"/>
    <s v="GBPR_MUNIWASTE"/>
    <x v="0"/>
    <x v="20"/>
    <n v="12.6927469932977"/>
    <n v="4632.8526525536399"/>
    <n v="16678.269549193101"/>
  </r>
  <r>
    <x v="0"/>
    <x v="0"/>
    <x v="0"/>
    <x v="8"/>
    <x v="16"/>
    <s v="SE1_EL"/>
    <x v="2"/>
    <s v="GBPR_MUNIWASTE"/>
    <x v="0"/>
    <x v="21"/>
    <n v="12.6927469932977"/>
    <n v="4632.8526525536399"/>
    <n v="16678.269549193101"/>
  </r>
  <r>
    <x v="0"/>
    <x v="0"/>
    <x v="0"/>
    <x v="8"/>
    <x v="16"/>
    <s v="SE1_EL"/>
    <x v="2"/>
    <s v="GBPR_MUNIWASTE"/>
    <x v="0"/>
    <x v="22"/>
    <n v="12.6927469932977"/>
    <n v="4632.8526525536399"/>
    <n v="16678.269549193101"/>
  </r>
  <r>
    <x v="0"/>
    <x v="0"/>
    <x v="0"/>
    <x v="8"/>
    <x v="16"/>
    <s v="SE1_EL"/>
    <x v="2"/>
    <s v="GBPR_MUNIWASTE"/>
    <x v="0"/>
    <x v="23"/>
    <n v="12.6927469932977"/>
    <n v="4632.8526525536399"/>
    <n v="16678.269549193101"/>
  </r>
  <r>
    <x v="0"/>
    <x v="0"/>
    <x v="0"/>
    <x v="8"/>
    <x v="16"/>
    <s v="SE1_EL"/>
    <x v="5"/>
    <s v="GHOB_WASTEHEAT"/>
    <x v="0"/>
    <x v="6"/>
    <n v="77.398301831615001"/>
    <n v="28250.380168539501"/>
    <n v="101701.36860674201"/>
  </r>
  <r>
    <x v="0"/>
    <x v="0"/>
    <x v="0"/>
    <x v="8"/>
    <x v="16"/>
    <s v="SE1_EL"/>
    <x v="5"/>
    <s v="GHOB_WASTEHEAT"/>
    <x v="0"/>
    <x v="7"/>
    <n v="77.259988549216601"/>
    <n v="28199.895820464099"/>
    <n v="101519.62495367099"/>
  </r>
  <r>
    <x v="0"/>
    <x v="0"/>
    <x v="0"/>
    <x v="8"/>
    <x v="16"/>
    <s v="SE1_EL"/>
    <x v="5"/>
    <s v="GHOB_WASTEHEAT"/>
    <x v="0"/>
    <x v="8"/>
    <n v="79.035769759004594"/>
    <n v="28848.055962036698"/>
    <n v="103853.001463332"/>
  </r>
  <r>
    <x v="0"/>
    <x v="0"/>
    <x v="0"/>
    <x v="8"/>
    <x v="16"/>
    <s v="SE1_EL"/>
    <x v="5"/>
    <s v="GHOB_WASTEHEAT"/>
    <x v="0"/>
    <x v="9"/>
    <n v="83.196854170364006"/>
    <n v="30366.851772182901"/>
    <n v="109320.666379858"/>
  </r>
  <r>
    <x v="0"/>
    <x v="0"/>
    <x v="0"/>
    <x v="8"/>
    <x v="16"/>
    <s v="SE1_EL"/>
    <x v="5"/>
    <s v="GHOB_WASTEHEAT"/>
    <x v="0"/>
    <x v="10"/>
    <n v="90.7925536274427"/>
    <n v="33139.282074016599"/>
    <n v="119301.41546646001"/>
  </r>
  <r>
    <x v="0"/>
    <x v="0"/>
    <x v="0"/>
    <x v="8"/>
    <x v="16"/>
    <s v="SE1_EL"/>
    <x v="5"/>
    <s v="GHOB_WASTEHEAT"/>
    <x v="0"/>
    <x v="11"/>
    <n v="99.805817228440802"/>
    <n v="36429.123288380899"/>
    <n v="131144.84383817099"/>
  </r>
  <r>
    <x v="0"/>
    <x v="0"/>
    <x v="0"/>
    <x v="8"/>
    <x v="16"/>
    <s v="SE1_EL"/>
    <x v="5"/>
    <s v="GHOB_WASTEHEAT"/>
    <x v="0"/>
    <x v="0"/>
    <n v="120.990725464489"/>
    <n v="44161.614794538596"/>
    <n v="158981.813260339"/>
  </r>
  <r>
    <x v="0"/>
    <x v="0"/>
    <x v="0"/>
    <x v="8"/>
    <x v="16"/>
    <s v="SE1_EL"/>
    <x v="5"/>
    <s v="GHOB_WASTEHEAT"/>
    <x v="0"/>
    <x v="1"/>
    <n v="134.71813085565299"/>
    <n v="49172.117762313297"/>
    <n v="177019.62394432799"/>
  </r>
  <r>
    <x v="0"/>
    <x v="0"/>
    <x v="0"/>
    <x v="8"/>
    <x v="16"/>
    <s v="SE1_EL"/>
    <x v="5"/>
    <s v="GHOB_WASTEHEAT"/>
    <x v="0"/>
    <x v="2"/>
    <n v="137.127380595369"/>
    <n v="50051.493917309497"/>
    <n v="180185.37810231399"/>
  </r>
  <r>
    <x v="0"/>
    <x v="0"/>
    <x v="0"/>
    <x v="8"/>
    <x v="16"/>
    <s v="SE1_EL"/>
    <x v="5"/>
    <s v="GHOB_WASTEHEAT"/>
    <x v="0"/>
    <x v="3"/>
    <n v="140.90771666967501"/>
    <n v="51431.316584431501"/>
    <n v="185152.739703953"/>
  </r>
  <r>
    <x v="0"/>
    <x v="0"/>
    <x v="0"/>
    <x v="8"/>
    <x v="16"/>
    <s v="SE1_EL"/>
    <x v="5"/>
    <s v="GHOB_WASTEHEAT"/>
    <x v="0"/>
    <x v="12"/>
    <n v="135.633515841861"/>
    <n v="49506.2332822791"/>
    <n v="178222.43981620501"/>
  </r>
  <r>
    <x v="0"/>
    <x v="0"/>
    <x v="0"/>
    <x v="8"/>
    <x v="16"/>
    <s v="SE1_EL"/>
    <x v="5"/>
    <s v="GHOB_WASTEHEAT"/>
    <x v="0"/>
    <x v="13"/>
    <n v="133.51655856039699"/>
    <n v="48733.543874545001"/>
    <n v="175440.75794836201"/>
  </r>
  <r>
    <x v="0"/>
    <x v="0"/>
    <x v="0"/>
    <x v="8"/>
    <x v="16"/>
    <s v="SE1_EL"/>
    <x v="5"/>
    <s v="GHOB_WASTEHEAT"/>
    <x v="0"/>
    <x v="14"/>
    <n v="133.73051420897201"/>
    <n v="48811.637686274997"/>
    <n v="175721.89567058999"/>
  </r>
  <r>
    <x v="0"/>
    <x v="0"/>
    <x v="0"/>
    <x v="8"/>
    <x v="16"/>
    <s v="SE1_EL"/>
    <x v="5"/>
    <s v="GHOB_WASTEHEAT"/>
    <x v="0"/>
    <x v="15"/>
    <n v="132.68058468359399"/>
    <n v="48428.413409511799"/>
    <n v="174342.28827424199"/>
  </r>
  <r>
    <x v="0"/>
    <x v="0"/>
    <x v="0"/>
    <x v="8"/>
    <x v="16"/>
    <s v="SE1_EL"/>
    <x v="5"/>
    <s v="GHOB_WASTEHEAT"/>
    <x v="0"/>
    <x v="4"/>
    <n v="132.03808783372301"/>
    <n v="48193.902059309003"/>
    <n v="173498.04741351301"/>
  </r>
  <r>
    <x v="0"/>
    <x v="0"/>
    <x v="0"/>
    <x v="8"/>
    <x v="16"/>
    <s v="SE1_EL"/>
    <x v="5"/>
    <s v="GHOB_WASTEHEAT"/>
    <x v="0"/>
    <x v="16"/>
    <n v="138.344738961074"/>
    <n v="50495.829720792201"/>
    <n v="181784.98699485199"/>
  </r>
  <r>
    <x v="0"/>
    <x v="0"/>
    <x v="0"/>
    <x v="8"/>
    <x v="16"/>
    <s v="SE1_EL"/>
    <x v="5"/>
    <s v="GHOB_WASTEHEAT"/>
    <x v="0"/>
    <x v="5"/>
    <n v="127.682416985424"/>
    <n v="46604.0821996796"/>
    <n v="167774.69591884699"/>
  </r>
  <r>
    <x v="0"/>
    <x v="0"/>
    <x v="0"/>
    <x v="8"/>
    <x v="16"/>
    <s v="SE1_EL"/>
    <x v="5"/>
    <s v="GHOB_WASTEHEAT"/>
    <x v="0"/>
    <x v="17"/>
    <n v="122.50268433641099"/>
    <n v="44713.479782790098"/>
    <n v="160968.52721804401"/>
  </r>
  <r>
    <x v="0"/>
    <x v="0"/>
    <x v="0"/>
    <x v="8"/>
    <x v="16"/>
    <s v="SE1_EL"/>
    <x v="5"/>
    <s v="GHOB_WASTEHEAT"/>
    <x v="0"/>
    <x v="18"/>
    <n v="119.944734437256"/>
    <n v="43779.828069598603"/>
    <n v="157607.38105055501"/>
  </r>
  <r>
    <x v="0"/>
    <x v="0"/>
    <x v="0"/>
    <x v="8"/>
    <x v="16"/>
    <s v="SE1_EL"/>
    <x v="5"/>
    <s v="GHOB_WASTEHEAT"/>
    <x v="0"/>
    <x v="19"/>
    <n v="115.335355395484"/>
    <n v="42097.404719351602"/>
    <n v="151550.65698966599"/>
  </r>
  <r>
    <x v="0"/>
    <x v="0"/>
    <x v="0"/>
    <x v="8"/>
    <x v="16"/>
    <s v="SE1_EL"/>
    <x v="5"/>
    <s v="GHOB_WASTEHEAT"/>
    <x v="0"/>
    <x v="20"/>
    <n v="110.592959140782"/>
    <n v="40366.430086385597"/>
    <n v="145319.14831098801"/>
  </r>
  <r>
    <x v="0"/>
    <x v="0"/>
    <x v="0"/>
    <x v="8"/>
    <x v="16"/>
    <s v="SE1_EL"/>
    <x v="5"/>
    <s v="GHOB_WASTEHEAT"/>
    <x v="0"/>
    <x v="21"/>
    <n v="108.50833114762401"/>
    <n v="39605.540868882701"/>
    <n v="142579.947127978"/>
  </r>
  <r>
    <x v="0"/>
    <x v="0"/>
    <x v="0"/>
    <x v="8"/>
    <x v="16"/>
    <s v="SE1_EL"/>
    <x v="5"/>
    <s v="GHOB_WASTEHEAT"/>
    <x v="0"/>
    <x v="22"/>
    <n v="100.875935029841"/>
    <n v="36819.716285891998"/>
    <n v="132550.97862921099"/>
  </r>
  <r>
    <x v="0"/>
    <x v="0"/>
    <x v="0"/>
    <x v="8"/>
    <x v="16"/>
    <s v="SE1_EL"/>
    <x v="5"/>
    <s v="GHOB_WASTEHEAT"/>
    <x v="0"/>
    <x v="23"/>
    <n v="92.651105293109595"/>
    <n v="33817.653431985003"/>
    <n v="121743.55235514601"/>
  </r>
  <r>
    <x v="0"/>
    <x v="0"/>
    <x v="0"/>
    <x v="8"/>
    <x v="16"/>
    <s v="SE1_EL"/>
    <x v="8"/>
    <s v="GBPR_WOODWASTE_25"/>
    <x v="0"/>
    <x v="6"/>
    <n v="9.0092133238837597"/>
    <n v="3288.3628632175701"/>
    <n v="11838.106307583301"/>
  </r>
  <r>
    <x v="0"/>
    <x v="0"/>
    <x v="0"/>
    <x v="8"/>
    <x v="16"/>
    <s v="SE1_EL"/>
    <x v="8"/>
    <s v="GBPR_WOODWASTE_25"/>
    <x v="0"/>
    <x v="7"/>
    <n v="9.0092133238837597"/>
    <n v="3288.3628632175701"/>
    <n v="11838.106307583301"/>
  </r>
  <r>
    <x v="0"/>
    <x v="0"/>
    <x v="0"/>
    <x v="8"/>
    <x v="16"/>
    <s v="SE1_EL"/>
    <x v="8"/>
    <s v="GBPR_WOODWASTE_25"/>
    <x v="0"/>
    <x v="8"/>
    <n v="9.0092133238837597"/>
    <n v="3288.3628632175701"/>
    <n v="11838.106307583301"/>
  </r>
  <r>
    <x v="0"/>
    <x v="0"/>
    <x v="0"/>
    <x v="8"/>
    <x v="16"/>
    <s v="SE1_EL"/>
    <x v="8"/>
    <s v="GBPR_WOODWASTE_25"/>
    <x v="0"/>
    <x v="9"/>
    <n v="9.0092133238837597"/>
    <n v="3288.3628632175701"/>
    <n v="11838.106307583301"/>
  </r>
  <r>
    <x v="0"/>
    <x v="0"/>
    <x v="0"/>
    <x v="8"/>
    <x v="16"/>
    <s v="SE1_EL"/>
    <x v="8"/>
    <s v="GBPR_WOODWASTE_25"/>
    <x v="0"/>
    <x v="10"/>
    <n v="9.0092133238837597"/>
    <n v="3288.3628632175701"/>
    <n v="11838.106307583301"/>
  </r>
  <r>
    <x v="0"/>
    <x v="0"/>
    <x v="0"/>
    <x v="8"/>
    <x v="16"/>
    <s v="SE1_EL"/>
    <x v="8"/>
    <s v="GBPR_WOODWASTE_25"/>
    <x v="0"/>
    <x v="11"/>
    <n v="9.0092133238837597"/>
    <n v="3288.3628632175701"/>
    <n v="11838.106307583301"/>
  </r>
  <r>
    <x v="0"/>
    <x v="0"/>
    <x v="0"/>
    <x v="8"/>
    <x v="16"/>
    <s v="SE1_EL"/>
    <x v="8"/>
    <s v="GBPR_WOODWASTE_25"/>
    <x v="0"/>
    <x v="0"/>
    <n v="9.0092133238837597"/>
    <n v="3288.3628632175701"/>
    <n v="11838.106307583301"/>
  </r>
  <r>
    <x v="0"/>
    <x v="0"/>
    <x v="0"/>
    <x v="8"/>
    <x v="16"/>
    <s v="SE1_EL"/>
    <x v="8"/>
    <s v="GBPR_WOODWASTE_25"/>
    <x v="0"/>
    <x v="1"/>
    <n v="9.0092133238837597"/>
    <n v="3288.3628632175701"/>
    <n v="11838.106307583301"/>
  </r>
  <r>
    <x v="0"/>
    <x v="0"/>
    <x v="0"/>
    <x v="8"/>
    <x v="16"/>
    <s v="SE1_EL"/>
    <x v="8"/>
    <s v="GBPR_WOODWASTE_25"/>
    <x v="0"/>
    <x v="2"/>
    <n v="9.0092133238837597"/>
    <n v="3288.3628632175701"/>
    <n v="11838.106307583301"/>
  </r>
  <r>
    <x v="0"/>
    <x v="0"/>
    <x v="0"/>
    <x v="8"/>
    <x v="16"/>
    <s v="SE1_EL"/>
    <x v="8"/>
    <s v="GBPR_WOODWASTE_25"/>
    <x v="0"/>
    <x v="3"/>
    <n v="9.0092133238837597"/>
    <n v="3288.3628632175701"/>
    <n v="11838.106307583301"/>
  </r>
  <r>
    <x v="0"/>
    <x v="0"/>
    <x v="0"/>
    <x v="8"/>
    <x v="16"/>
    <s v="SE1_EL"/>
    <x v="8"/>
    <s v="GBPR_WOODWASTE_25"/>
    <x v="0"/>
    <x v="12"/>
    <n v="9.0092133238837597"/>
    <n v="3288.3628632175701"/>
    <n v="11838.106307583301"/>
  </r>
  <r>
    <x v="0"/>
    <x v="0"/>
    <x v="0"/>
    <x v="8"/>
    <x v="16"/>
    <s v="SE1_EL"/>
    <x v="8"/>
    <s v="GBPR_WOODWASTE_25"/>
    <x v="0"/>
    <x v="13"/>
    <n v="9.0092133238837597"/>
    <n v="3288.3628632175701"/>
    <n v="11838.106307583301"/>
  </r>
  <r>
    <x v="0"/>
    <x v="0"/>
    <x v="0"/>
    <x v="8"/>
    <x v="16"/>
    <s v="SE1_EL"/>
    <x v="8"/>
    <s v="GBPR_WOODWASTE_25"/>
    <x v="0"/>
    <x v="14"/>
    <n v="9.0092133238837597"/>
    <n v="3288.3628632175701"/>
    <n v="11838.106307583301"/>
  </r>
  <r>
    <x v="0"/>
    <x v="0"/>
    <x v="0"/>
    <x v="8"/>
    <x v="16"/>
    <s v="SE1_EL"/>
    <x v="8"/>
    <s v="GBPR_WOODWASTE_25"/>
    <x v="0"/>
    <x v="15"/>
    <n v="9.0092133238837597"/>
    <n v="3288.3628632175701"/>
    <n v="11838.106307583301"/>
  </r>
  <r>
    <x v="0"/>
    <x v="0"/>
    <x v="0"/>
    <x v="8"/>
    <x v="16"/>
    <s v="SE1_EL"/>
    <x v="8"/>
    <s v="GBPR_WOODWASTE_25"/>
    <x v="0"/>
    <x v="4"/>
    <n v="9.0092133238837597"/>
    <n v="3288.3628632175701"/>
    <n v="11838.106307583301"/>
  </r>
  <r>
    <x v="0"/>
    <x v="0"/>
    <x v="0"/>
    <x v="8"/>
    <x v="16"/>
    <s v="SE1_EL"/>
    <x v="8"/>
    <s v="GBPR_WOODWASTE_25"/>
    <x v="0"/>
    <x v="16"/>
    <n v="9.0092133238837597"/>
    <n v="3288.3628632175701"/>
    <n v="11838.106307583301"/>
  </r>
  <r>
    <x v="0"/>
    <x v="0"/>
    <x v="0"/>
    <x v="8"/>
    <x v="16"/>
    <s v="SE1_EL"/>
    <x v="8"/>
    <s v="GBPR_WOODWASTE_25"/>
    <x v="0"/>
    <x v="5"/>
    <n v="9.0092133238837597"/>
    <n v="3288.3628632175701"/>
    <n v="11838.106307583301"/>
  </r>
  <r>
    <x v="0"/>
    <x v="0"/>
    <x v="0"/>
    <x v="8"/>
    <x v="16"/>
    <s v="SE1_EL"/>
    <x v="8"/>
    <s v="GBPR_WOODWASTE_25"/>
    <x v="0"/>
    <x v="17"/>
    <n v="9.0092133238837597"/>
    <n v="3288.3628632175701"/>
    <n v="11838.106307583301"/>
  </r>
  <r>
    <x v="0"/>
    <x v="0"/>
    <x v="0"/>
    <x v="8"/>
    <x v="16"/>
    <s v="SE1_EL"/>
    <x v="8"/>
    <s v="GBPR_WOODWASTE_25"/>
    <x v="0"/>
    <x v="18"/>
    <n v="9.0092133238837597"/>
    <n v="3288.3628632175701"/>
    <n v="11838.106307583301"/>
  </r>
  <r>
    <x v="0"/>
    <x v="0"/>
    <x v="0"/>
    <x v="8"/>
    <x v="16"/>
    <s v="SE1_EL"/>
    <x v="8"/>
    <s v="GBPR_WOODWASTE_25"/>
    <x v="0"/>
    <x v="19"/>
    <n v="9.0092133238837597"/>
    <n v="3288.3628632175701"/>
    <n v="11838.106307583301"/>
  </r>
  <r>
    <x v="0"/>
    <x v="0"/>
    <x v="0"/>
    <x v="8"/>
    <x v="16"/>
    <s v="SE1_EL"/>
    <x v="8"/>
    <s v="GBPR_WOODWASTE_25"/>
    <x v="0"/>
    <x v="20"/>
    <n v="9.0092133238837597"/>
    <n v="3288.3628632175701"/>
    <n v="11838.106307583301"/>
  </r>
  <r>
    <x v="0"/>
    <x v="0"/>
    <x v="0"/>
    <x v="8"/>
    <x v="16"/>
    <s v="SE1_EL"/>
    <x v="8"/>
    <s v="GBPR_WOODWASTE_25"/>
    <x v="0"/>
    <x v="21"/>
    <n v="9.0092133238837597"/>
    <n v="3288.3628632175701"/>
    <n v="11838.106307583301"/>
  </r>
  <r>
    <x v="0"/>
    <x v="0"/>
    <x v="0"/>
    <x v="8"/>
    <x v="16"/>
    <s v="SE1_EL"/>
    <x v="8"/>
    <s v="GBPR_WOODWASTE_25"/>
    <x v="0"/>
    <x v="22"/>
    <n v="9.0092133238837597"/>
    <n v="3288.3628632175701"/>
    <n v="11838.106307583301"/>
  </r>
  <r>
    <x v="0"/>
    <x v="0"/>
    <x v="0"/>
    <x v="8"/>
    <x v="16"/>
    <s v="SE1_EL"/>
    <x v="8"/>
    <s v="GBPR_WOODWASTE_25"/>
    <x v="0"/>
    <x v="23"/>
    <n v="9.0092133238837597"/>
    <n v="3288.3628632175701"/>
    <n v="11838.106307583301"/>
  </r>
  <r>
    <x v="0"/>
    <x v="0"/>
    <x v="0"/>
    <x v="8"/>
    <x v="16"/>
    <s v="SE1_OTHER"/>
    <x v="1"/>
    <s v="GNR_HS_HEAT_WTR-TANK_LS_E-95_Y-2010"/>
    <x v="0"/>
    <x v="0"/>
    <n v="16.539515114394199"/>
    <n v="6036.9230167538999"/>
    <n v="21732.922860314"/>
  </r>
  <r>
    <x v="0"/>
    <x v="0"/>
    <x v="0"/>
    <x v="8"/>
    <x v="16"/>
    <s v="SE1_OTHER"/>
    <x v="1"/>
    <s v="GNR_HS_HEAT_WTR-TANK_LS_E-95_Y-2010"/>
    <x v="0"/>
    <x v="1"/>
    <n v="17.637970639354101"/>
    <n v="6437.8592833642297"/>
    <n v="23176.2934201112"/>
  </r>
  <r>
    <x v="0"/>
    <x v="0"/>
    <x v="0"/>
    <x v="8"/>
    <x v="16"/>
    <s v="SE1_OTHER"/>
    <x v="1"/>
    <s v="GNR_HS_HEAT_WTR-TANK_LS_E-95_Y-2010"/>
    <x v="0"/>
    <x v="2"/>
    <n v="18.4568357696898"/>
    <n v="6736.7450559367799"/>
    <n v="24252.2822013724"/>
  </r>
  <r>
    <x v="0"/>
    <x v="0"/>
    <x v="0"/>
    <x v="8"/>
    <x v="16"/>
    <s v="SE1_OTHER"/>
    <x v="1"/>
    <s v="GNR_HS_HEAT_WTR-TANK_LS_E-95_Y-2010"/>
    <x v="0"/>
    <x v="3"/>
    <n v="14.6423318401646"/>
    <n v="5344.4511216600904"/>
    <n v="19240.024037976302"/>
  </r>
  <r>
    <x v="0"/>
    <x v="0"/>
    <x v="0"/>
    <x v="8"/>
    <x v="16"/>
    <s v="SE1_OTHER"/>
    <x v="1"/>
    <s v="GNR_HS_HEAT_WTR-TANK_LS_E-95_Y-2010"/>
    <x v="0"/>
    <x v="12"/>
    <n v="9.37659157220914"/>
    <n v="3422.4559238563302"/>
    <n v="12320.8413258828"/>
  </r>
  <r>
    <x v="0"/>
    <x v="0"/>
    <x v="0"/>
    <x v="8"/>
    <x v="16"/>
    <s v="SE1_OTHER"/>
    <x v="1"/>
    <s v="GNR_HS_HEAT_WTR-TANK_LS_E-95_Y-2010"/>
    <x v="0"/>
    <x v="13"/>
    <n v="6.1806185512754004"/>
    <n v="2255.9257712155199"/>
    <n v="8121.3327763758798"/>
  </r>
  <r>
    <x v="0"/>
    <x v="0"/>
    <x v="0"/>
    <x v="8"/>
    <x v="16"/>
    <s v="SE1_OTHER"/>
    <x v="1"/>
    <s v="GNR_HS_HEAT_WTR-TANK_LS_E-95_Y-2010"/>
    <x v="0"/>
    <x v="14"/>
    <n v="6.2719897863964"/>
    <n v="2289.27627203468"/>
    <n v="8241.3945793248604"/>
  </r>
  <r>
    <x v="0"/>
    <x v="0"/>
    <x v="0"/>
    <x v="8"/>
    <x v="16"/>
    <s v="SE1_OTHER"/>
    <x v="1"/>
    <s v="GNR_HS_HEAT_WTR-TANK_LS_E-95_Y-2010"/>
    <x v="0"/>
    <x v="15"/>
    <n v="13.4333450821327"/>
    <n v="4903.17095497844"/>
    <n v="17651.415437922398"/>
  </r>
  <r>
    <x v="0"/>
    <x v="0"/>
    <x v="0"/>
    <x v="8"/>
    <x v="16"/>
    <s v="SE1_OTHER"/>
    <x v="1"/>
    <s v="GNR_HS_HEAT_WTR-TANK_LS_E-95_Y-2010"/>
    <x v="0"/>
    <x v="4"/>
    <n v="11.4079552250095"/>
    <n v="4163.9036571284496"/>
    <n v="14990.053165662401"/>
  </r>
  <r>
    <x v="0"/>
    <x v="0"/>
    <x v="0"/>
    <x v="8"/>
    <x v="16"/>
    <s v="SE1_OTHER"/>
    <x v="3"/>
    <s v="GBPR_NATGAS"/>
    <x v="0"/>
    <x v="0"/>
    <n v="3.43839541547278"/>
    <n v="1255.01432664756"/>
    <n v="4518.0515759312302"/>
  </r>
  <r>
    <x v="0"/>
    <x v="0"/>
    <x v="0"/>
    <x v="8"/>
    <x v="16"/>
    <s v="SE1_OTHER"/>
    <x v="3"/>
    <s v="GBPR_NATGAS"/>
    <x v="0"/>
    <x v="1"/>
    <n v="3.43839541547278"/>
    <n v="1255.01432664756"/>
    <n v="4518.0515759312302"/>
  </r>
  <r>
    <x v="0"/>
    <x v="0"/>
    <x v="0"/>
    <x v="8"/>
    <x v="16"/>
    <s v="SE1_OTHER"/>
    <x v="3"/>
    <s v="GBPR_NATGAS"/>
    <x v="0"/>
    <x v="2"/>
    <n v="3.43839541547278"/>
    <n v="1255.01432664756"/>
    <n v="4518.0515759312302"/>
  </r>
  <r>
    <x v="0"/>
    <x v="0"/>
    <x v="0"/>
    <x v="8"/>
    <x v="16"/>
    <s v="SE1_OTHER"/>
    <x v="3"/>
    <s v="GBPR_NATGAS"/>
    <x v="0"/>
    <x v="3"/>
    <n v="3.43839541547278"/>
    <n v="1255.01432664756"/>
    <n v="4518.0515759312302"/>
  </r>
  <r>
    <x v="0"/>
    <x v="0"/>
    <x v="0"/>
    <x v="8"/>
    <x v="16"/>
    <s v="SE1_OTHER"/>
    <x v="3"/>
    <s v="GBPR_NATGAS"/>
    <x v="0"/>
    <x v="12"/>
    <n v="3.43839541547278"/>
    <n v="1255.01432664756"/>
    <n v="4518.0515759312302"/>
  </r>
  <r>
    <x v="0"/>
    <x v="0"/>
    <x v="0"/>
    <x v="8"/>
    <x v="16"/>
    <s v="SE1_OTHER"/>
    <x v="3"/>
    <s v="GBPR_NATGAS"/>
    <x v="0"/>
    <x v="13"/>
    <n v="3.43839541547278"/>
    <n v="1255.01432664756"/>
    <n v="4518.0515759312302"/>
  </r>
  <r>
    <x v="0"/>
    <x v="0"/>
    <x v="0"/>
    <x v="8"/>
    <x v="16"/>
    <s v="SE1_OTHER"/>
    <x v="3"/>
    <s v="GBPR_NATGAS"/>
    <x v="0"/>
    <x v="14"/>
    <n v="3.43839541547278"/>
    <n v="1255.01432664756"/>
    <n v="4518.0515759312302"/>
  </r>
  <r>
    <x v="0"/>
    <x v="0"/>
    <x v="0"/>
    <x v="8"/>
    <x v="16"/>
    <s v="SE1_OTHER"/>
    <x v="3"/>
    <s v="GBPR_NATGAS"/>
    <x v="0"/>
    <x v="15"/>
    <n v="3.43839541547278"/>
    <n v="1255.01432664756"/>
    <n v="4518.0515759312302"/>
  </r>
  <r>
    <x v="0"/>
    <x v="0"/>
    <x v="0"/>
    <x v="8"/>
    <x v="16"/>
    <s v="SE1_OTHER"/>
    <x v="3"/>
    <s v="GBPR_NATGAS"/>
    <x v="0"/>
    <x v="4"/>
    <n v="3.43839541547278"/>
    <n v="1255.01432664756"/>
    <n v="4518.0515759312302"/>
  </r>
  <r>
    <x v="0"/>
    <x v="0"/>
    <x v="0"/>
    <x v="8"/>
    <x v="16"/>
    <s v="SE1_OTHER"/>
    <x v="3"/>
    <s v="GBPR_NATGAS"/>
    <x v="0"/>
    <x v="16"/>
    <n v="3.43839541547278"/>
    <n v="1255.01432664756"/>
    <n v="4518.0515759312302"/>
  </r>
  <r>
    <x v="0"/>
    <x v="0"/>
    <x v="0"/>
    <x v="8"/>
    <x v="16"/>
    <s v="SE1_OTHER"/>
    <x v="3"/>
    <s v="GBPR_NATGAS"/>
    <x v="0"/>
    <x v="5"/>
    <n v="3.43839541547278"/>
    <n v="1255.01432664756"/>
    <n v="4518.0515759312302"/>
  </r>
  <r>
    <x v="0"/>
    <x v="0"/>
    <x v="0"/>
    <x v="8"/>
    <x v="16"/>
    <s v="SE1_OTHER"/>
    <x v="3"/>
    <s v="GBPR_NATGAS"/>
    <x v="0"/>
    <x v="17"/>
    <n v="1.6527445031478201"/>
    <n v="603.25174364895497"/>
    <n v="2171.7062771362398"/>
  </r>
  <r>
    <x v="0"/>
    <x v="0"/>
    <x v="0"/>
    <x v="8"/>
    <x v="16"/>
    <s v="SE1_OTHER"/>
    <x v="5"/>
    <s v="GHOB_WASTEHEAT"/>
    <x v="0"/>
    <x v="6"/>
    <n v="35.828754578754399"/>
    <n v="13077.495421245399"/>
    <n v="47078.983516483298"/>
  </r>
  <r>
    <x v="0"/>
    <x v="0"/>
    <x v="0"/>
    <x v="8"/>
    <x v="16"/>
    <s v="SE1_OTHER"/>
    <x v="5"/>
    <s v="GHOB_WASTEHEAT"/>
    <x v="0"/>
    <x v="7"/>
    <n v="35.828754578754399"/>
    <n v="13077.495421245399"/>
    <n v="47078.983516483298"/>
  </r>
  <r>
    <x v="0"/>
    <x v="0"/>
    <x v="0"/>
    <x v="8"/>
    <x v="16"/>
    <s v="SE1_OTHER"/>
    <x v="5"/>
    <s v="GHOB_WASTEHEAT"/>
    <x v="0"/>
    <x v="8"/>
    <n v="35.828754578754399"/>
    <n v="13077.495421245399"/>
    <n v="47078.983516483298"/>
  </r>
  <r>
    <x v="0"/>
    <x v="0"/>
    <x v="0"/>
    <x v="8"/>
    <x v="16"/>
    <s v="SE1_OTHER"/>
    <x v="5"/>
    <s v="GHOB_WASTEHEAT"/>
    <x v="0"/>
    <x v="9"/>
    <n v="35.828754578754399"/>
    <n v="13077.495421245399"/>
    <n v="47078.983516483298"/>
  </r>
  <r>
    <x v="0"/>
    <x v="0"/>
    <x v="0"/>
    <x v="8"/>
    <x v="16"/>
    <s v="SE1_OTHER"/>
    <x v="5"/>
    <s v="GHOB_WASTEHEAT"/>
    <x v="0"/>
    <x v="10"/>
    <n v="35.828754578754399"/>
    <n v="13077.495421245399"/>
    <n v="47078.983516483298"/>
  </r>
  <r>
    <x v="0"/>
    <x v="0"/>
    <x v="0"/>
    <x v="8"/>
    <x v="16"/>
    <s v="SE1_OTHER"/>
    <x v="5"/>
    <s v="GHOB_WASTEHEAT"/>
    <x v="0"/>
    <x v="11"/>
    <n v="35.828754578754399"/>
    <n v="13077.495421245399"/>
    <n v="47078.983516483298"/>
  </r>
  <r>
    <x v="0"/>
    <x v="0"/>
    <x v="0"/>
    <x v="8"/>
    <x v="16"/>
    <s v="SE1_OTHER"/>
    <x v="5"/>
    <s v="GHOB_WASTEHEAT"/>
    <x v="0"/>
    <x v="0"/>
    <n v="35.828754578754399"/>
    <n v="13077.495421245399"/>
    <n v="47078.983516483298"/>
  </r>
  <r>
    <x v="0"/>
    <x v="0"/>
    <x v="0"/>
    <x v="8"/>
    <x v="16"/>
    <s v="SE1_OTHER"/>
    <x v="5"/>
    <s v="GHOB_WASTEHEAT"/>
    <x v="0"/>
    <x v="1"/>
    <n v="35.828754578754399"/>
    <n v="13077.495421245399"/>
    <n v="47078.983516483298"/>
  </r>
  <r>
    <x v="0"/>
    <x v="0"/>
    <x v="0"/>
    <x v="8"/>
    <x v="16"/>
    <s v="SE1_OTHER"/>
    <x v="5"/>
    <s v="GHOB_WASTEHEAT"/>
    <x v="0"/>
    <x v="2"/>
    <n v="35.828754578754399"/>
    <n v="13077.495421245399"/>
    <n v="47078.983516483298"/>
  </r>
  <r>
    <x v="0"/>
    <x v="0"/>
    <x v="0"/>
    <x v="8"/>
    <x v="16"/>
    <s v="SE1_OTHER"/>
    <x v="5"/>
    <s v="GHOB_WASTEHEAT"/>
    <x v="0"/>
    <x v="3"/>
    <n v="35.828754578754399"/>
    <n v="13077.495421245399"/>
    <n v="47078.983516483298"/>
  </r>
  <r>
    <x v="0"/>
    <x v="0"/>
    <x v="0"/>
    <x v="8"/>
    <x v="16"/>
    <s v="SE1_OTHER"/>
    <x v="5"/>
    <s v="GHOB_WASTEHEAT"/>
    <x v="0"/>
    <x v="12"/>
    <n v="35.828754578754399"/>
    <n v="13077.495421245399"/>
    <n v="47078.983516483298"/>
  </r>
  <r>
    <x v="0"/>
    <x v="0"/>
    <x v="0"/>
    <x v="8"/>
    <x v="16"/>
    <s v="SE1_OTHER"/>
    <x v="5"/>
    <s v="GHOB_WASTEHEAT"/>
    <x v="0"/>
    <x v="13"/>
    <n v="35.828754578754399"/>
    <n v="13077.495421245399"/>
    <n v="47078.983516483298"/>
  </r>
  <r>
    <x v="0"/>
    <x v="0"/>
    <x v="0"/>
    <x v="8"/>
    <x v="16"/>
    <s v="SE1_OTHER"/>
    <x v="5"/>
    <s v="GHOB_WASTEHEAT"/>
    <x v="0"/>
    <x v="14"/>
    <n v="35.828754578754399"/>
    <n v="13077.495421245399"/>
    <n v="47078.983516483298"/>
  </r>
  <r>
    <x v="0"/>
    <x v="0"/>
    <x v="0"/>
    <x v="8"/>
    <x v="16"/>
    <s v="SE1_OTHER"/>
    <x v="5"/>
    <s v="GHOB_WASTEHEAT"/>
    <x v="0"/>
    <x v="15"/>
    <n v="35.828754578754399"/>
    <n v="13077.495421245399"/>
    <n v="47078.983516483298"/>
  </r>
  <r>
    <x v="0"/>
    <x v="0"/>
    <x v="0"/>
    <x v="8"/>
    <x v="16"/>
    <s v="SE1_OTHER"/>
    <x v="5"/>
    <s v="GHOB_WASTEHEAT"/>
    <x v="0"/>
    <x v="4"/>
    <n v="35.828754578754399"/>
    <n v="13077.495421245399"/>
    <n v="47078.983516483298"/>
  </r>
  <r>
    <x v="0"/>
    <x v="0"/>
    <x v="0"/>
    <x v="8"/>
    <x v="16"/>
    <s v="SE1_OTHER"/>
    <x v="5"/>
    <s v="GHOB_WASTEHEAT"/>
    <x v="0"/>
    <x v="16"/>
    <n v="35.828754578754399"/>
    <n v="13077.495421245399"/>
    <n v="47078.983516483298"/>
  </r>
  <r>
    <x v="0"/>
    <x v="0"/>
    <x v="0"/>
    <x v="8"/>
    <x v="16"/>
    <s v="SE1_OTHER"/>
    <x v="5"/>
    <s v="GHOB_WASTEHEAT"/>
    <x v="0"/>
    <x v="5"/>
    <n v="35.828754578754399"/>
    <n v="13077.495421245399"/>
    <n v="47078.983516483298"/>
  </r>
  <r>
    <x v="0"/>
    <x v="0"/>
    <x v="0"/>
    <x v="8"/>
    <x v="16"/>
    <s v="SE1_OTHER"/>
    <x v="5"/>
    <s v="GHOB_WASTEHEAT"/>
    <x v="0"/>
    <x v="17"/>
    <n v="35.828754578754399"/>
    <n v="13077.495421245399"/>
    <n v="47078.983516483298"/>
  </r>
  <r>
    <x v="0"/>
    <x v="0"/>
    <x v="0"/>
    <x v="8"/>
    <x v="16"/>
    <s v="SE1_OTHER"/>
    <x v="5"/>
    <s v="GHOB_WASTEHEAT"/>
    <x v="0"/>
    <x v="18"/>
    <n v="35.828754578754399"/>
    <n v="13077.495421245399"/>
    <n v="47078.983516483298"/>
  </r>
  <r>
    <x v="0"/>
    <x v="0"/>
    <x v="0"/>
    <x v="8"/>
    <x v="16"/>
    <s v="SE1_OTHER"/>
    <x v="5"/>
    <s v="GHOB_WASTEHEAT"/>
    <x v="0"/>
    <x v="19"/>
    <n v="35.828754578754399"/>
    <n v="13077.495421245399"/>
    <n v="47078.983516483298"/>
  </r>
  <r>
    <x v="0"/>
    <x v="0"/>
    <x v="0"/>
    <x v="8"/>
    <x v="16"/>
    <s v="SE1_OTHER"/>
    <x v="5"/>
    <s v="GHOB_WASTEHEAT"/>
    <x v="0"/>
    <x v="20"/>
    <n v="35.828754578754399"/>
    <n v="13077.495421245399"/>
    <n v="47078.983516483298"/>
  </r>
  <r>
    <x v="0"/>
    <x v="0"/>
    <x v="0"/>
    <x v="8"/>
    <x v="16"/>
    <s v="SE1_OTHER"/>
    <x v="5"/>
    <s v="GHOB_WASTEHEAT"/>
    <x v="0"/>
    <x v="21"/>
    <n v="35.828754578754399"/>
    <n v="13077.495421245399"/>
    <n v="47078.983516483298"/>
  </r>
  <r>
    <x v="0"/>
    <x v="0"/>
    <x v="0"/>
    <x v="8"/>
    <x v="16"/>
    <s v="SE1_OTHER"/>
    <x v="5"/>
    <s v="GHOB_WASTEHEAT"/>
    <x v="0"/>
    <x v="22"/>
    <n v="35.828754578754399"/>
    <n v="13077.495421245399"/>
    <n v="47078.983516483298"/>
  </r>
  <r>
    <x v="0"/>
    <x v="0"/>
    <x v="0"/>
    <x v="8"/>
    <x v="16"/>
    <s v="SE1_OTHER"/>
    <x v="5"/>
    <s v="GHOB_WASTEHEAT"/>
    <x v="0"/>
    <x v="23"/>
    <n v="35.828754578754399"/>
    <n v="13077.495421245399"/>
    <n v="47078.983516483298"/>
  </r>
  <r>
    <x v="0"/>
    <x v="0"/>
    <x v="0"/>
    <x v="8"/>
    <x v="16"/>
    <s v="SE1_OTHER"/>
    <x v="6"/>
    <s v="GBPR_WOODCHIPS_25"/>
    <x v="0"/>
    <x v="1"/>
    <n v="11.5401751313485"/>
    <n v="4212.1639229422099"/>
    <n v="15163.790122591899"/>
  </r>
  <r>
    <x v="0"/>
    <x v="0"/>
    <x v="0"/>
    <x v="8"/>
    <x v="16"/>
    <s v="SE1_OTHER"/>
    <x v="6"/>
    <s v="GBPR_WOODCHIPS_25"/>
    <x v="0"/>
    <x v="2"/>
    <n v="11.5401751313485"/>
    <n v="4212.1639229422099"/>
    <n v="15163.790122591899"/>
  </r>
  <r>
    <x v="0"/>
    <x v="0"/>
    <x v="0"/>
    <x v="8"/>
    <x v="16"/>
    <s v="SE1_OTHER"/>
    <x v="6"/>
    <s v="GBPR_WOODCHIPS_25"/>
    <x v="0"/>
    <x v="3"/>
    <n v="11.5401751313485"/>
    <n v="4212.1639229422099"/>
    <n v="15163.790122591899"/>
  </r>
  <r>
    <x v="0"/>
    <x v="0"/>
    <x v="0"/>
    <x v="8"/>
    <x v="16"/>
    <s v="SE1_OTHER"/>
    <x v="6"/>
    <s v="GBPR_WOODCHIPS_25"/>
    <x v="0"/>
    <x v="12"/>
    <n v="11.5401751313485"/>
    <n v="4212.1639229422099"/>
    <n v="15163.790122591899"/>
  </r>
  <r>
    <x v="0"/>
    <x v="0"/>
    <x v="0"/>
    <x v="8"/>
    <x v="16"/>
    <s v="SE1_OTHER"/>
    <x v="6"/>
    <s v="GBPR_WOODCHIPS_25"/>
    <x v="0"/>
    <x v="13"/>
    <n v="11.5401751313485"/>
    <n v="4212.1639229422099"/>
    <n v="15163.790122591899"/>
  </r>
  <r>
    <x v="0"/>
    <x v="0"/>
    <x v="0"/>
    <x v="8"/>
    <x v="16"/>
    <s v="SE1_OTHER"/>
    <x v="6"/>
    <s v="GBPR_WOODCHIPS_25"/>
    <x v="0"/>
    <x v="14"/>
    <n v="8.1393955452703803"/>
    <n v="2970.8793740236902"/>
    <n v="10695.1657464853"/>
  </r>
  <r>
    <x v="0"/>
    <x v="0"/>
    <x v="0"/>
    <x v="8"/>
    <x v="16"/>
    <s v="SE1_OTHER"/>
    <x v="6"/>
    <s v="GBPR_WOODCHIPS_25"/>
    <x v="0"/>
    <x v="16"/>
    <n v="9.4772003703491503"/>
    <n v="3459.1781351774398"/>
    <n v="12453.0412866388"/>
  </r>
  <r>
    <x v="0"/>
    <x v="0"/>
    <x v="0"/>
    <x v="8"/>
    <x v="16"/>
    <s v="SE1_OTHER"/>
    <x v="6"/>
    <s v="GBPR_WOODCHIPS_25"/>
    <x v="0"/>
    <x v="5"/>
    <n v="3.6805983409426299"/>
    <n v="1343.4183944440599"/>
    <n v="4836.3062199986098"/>
  </r>
  <r>
    <x v="0"/>
    <x v="0"/>
    <x v="0"/>
    <x v="8"/>
    <x v="16"/>
    <s v="SE1_OTHER"/>
    <x v="8"/>
    <s v="GBPR_WOODWASTE"/>
    <x v="0"/>
    <x v="6"/>
    <n v="57.580172834543902"/>
    <n v="21016.763084608501"/>
    <n v="75660.347104590706"/>
  </r>
  <r>
    <x v="0"/>
    <x v="0"/>
    <x v="0"/>
    <x v="8"/>
    <x v="16"/>
    <s v="SE1_OTHER"/>
    <x v="8"/>
    <s v="GBPR_WOODWASTE"/>
    <x v="0"/>
    <x v="7"/>
    <n v="57.580172834543902"/>
    <n v="21016.763084608501"/>
    <n v="75660.347104590706"/>
  </r>
  <r>
    <x v="0"/>
    <x v="0"/>
    <x v="0"/>
    <x v="8"/>
    <x v="16"/>
    <s v="SE1_OTHER"/>
    <x v="8"/>
    <s v="GBPR_WOODWASTE"/>
    <x v="0"/>
    <x v="8"/>
    <n v="57.580172834543902"/>
    <n v="21016.763084608501"/>
    <n v="75660.347104590706"/>
  </r>
  <r>
    <x v="0"/>
    <x v="0"/>
    <x v="0"/>
    <x v="8"/>
    <x v="16"/>
    <s v="SE1_OTHER"/>
    <x v="8"/>
    <s v="GBPR_WOODWASTE"/>
    <x v="0"/>
    <x v="9"/>
    <n v="57.580172834543902"/>
    <n v="21016.763084608501"/>
    <n v="75660.347104590706"/>
  </r>
  <r>
    <x v="0"/>
    <x v="0"/>
    <x v="0"/>
    <x v="8"/>
    <x v="16"/>
    <s v="SE1_OTHER"/>
    <x v="8"/>
    <s v="GBPR_WOODWASTE"/>
    <x v="0"/>
    <x v="10"/>
    <n v="57.580172834543902"/>
    <n v="21016.763084608501"/>
    <n v="75660.347104590706"/>
  </r>
  <r>
    <x v="0"/>
    <x v="0"/>
    <x v="0"/>
    <x v="8"/>
    <x v="16"/>
    <s v="SE1_OTHER"/>
    <x v="8"/>
    <s v="GBPR_WOODWASTE"/>
    <x v="0"/>
    <x v="11"/>
    <n v="57.580172834543902"/>
    <n v="21016.763084608501"/>
    <n v="75660.347104590706"/>
  </r>
  <r>
    <x v="0"/>
    <x v="0"/>
    <x v="0"/>
    <x v="8"/>
    <x v="16"/>
    <s v="SE1_OTHER"/>
    <x v="8"/>
    <s v="GBPR_WOODWASTE"/>
    <x v="0"/>
    <x v="0"/>
    <n v="57.580172834543902"/>
    <n v="21016.763084608501"/>
    <n v="75660.347104590706"/>
  </r>
  <r>
    <x v="0"/>
    <x v="0"/>
    <x v="0"/>
    <x v="8"/>
    <x v="16"/>
    <s v="SE1_OTHER"/>
    <x v="8"/>
    <s v="GBPR_WOODWASTE"/>
    <x v="0"/>
    <x v="1"/>
    <n v="57.580172834543902"/>
    <n v="21016.763084608501"/>
    <n v="75660.347104590706"/>
  </r>
  <r>
    <x v="0"/>
    <x v="0"/>
    <x v="0"/>
    <x v="8"/>
    <x v="16"/>
    <s v="SE1_OTHER"/>
    <x v="8"/>
    <s v="GBPR_WOODWASTE"/>
    <x v="0"/>
    <x v="2"/>
    <n v="57.580172834543902"/>
    <n v="21016.763084608501"/>
    <n v="75660.347104590706"/>
  </r>
  <r>
    <x v="0"/>
    <x v="0"/>
    <x v="0"/>
    <x v="8"/>
    <x v="16"/>
    <s v="SE1_OTHER"/>
    <x v="8"/>
    <s v="GBPR_WOODWASTE"/>
    <x v="0"/>
    <x v="3"/>
    <n v="57.580172834543902"/>
    <n v="21016.763084608501"/>
    <n v="75660.347104590706"/>
  </r>
  <r>
    <x v="0"/>
    <x v="0"/>
    <x v="0"/>
    <x v="8"/>
    <x v="16"/>
    <s v="SE1_OTHER"/>
    <x v="8"/>
    <s v="GBPR_WOODWASTE"/>
    <x v="0"/>
    <x v="12"/>
    <n v="57.580172834543902"/>
    <n v="21016.763084608501"/>
    <n v="75660.347104590706"/>
  </r>
  <r>
    <x v="0"/>
    <x v="0"/>
    <x v="0"/>
    <x v="8"/>
    <x v="16"/>
    <s v="SE1_OTHER"/>
    <x v="8"/>
    <s v="GBPR_WOODWASTE"/>
    <x v="0"/>
    <x v="13"/>
    <n v="57.580172834543902"/>
    <n v="21016.763084608501"/>
    <n v="75660.347104590706"/>
  </r>
  <r>
    <x v="0"/>
    <x v="0"/>
    <x v="0"/>
    <x v="8"/>
    <x v="16"/>
    <s v="SE1_OTHER"/>
    <x v="8"/>
    <s v="GBPR_WOODWASTE"/>
    <x v="0"/>
    <x v="14"/>
    <n v="57.580172834543902"/>
    <n v="21016.763084608501"/>
    <n v="75660.347104590706"/>
  </r>
  <r>
    <x v="0"/>
    <x v="0"/>
    <x v="0"/>
    <x v="8"/>
    <x v="16"/>
    <s v="SE1_OTHER"/>
    <x v="8"/>
    <s v="GBPR_WOODWASTE"/>
    <x v="0"/>
    <x v="15"/>
    <n v="57.580172834543902"/>
    <n v="21016.763084608501"/>
    <n v="75660.347104590706"/>
  </r>
  <r>
    <x v="0"/>
    <x v="0"/>
    <x v="0"/>
    <x v="8"/>
    <x v="16"/>
    <s v="SE1_OTHER"/>
    <x v="8"/>
    <s v="GBPR_WOODWASTE"/>
    <x v="0"/>
    <x v="4"/>
    <n v="57.580172834543902"/>
    <n v="21016.763084608501"/>
    <n v="75660.347104590706"/>
  </r>
  <r>
    <x v="0"/>
    <x v="0"/>
    <x v="0"/>
    <x v="8"/>
    <x v="16"/>
    <s v="SE1_OTHER"/>
    <x v="8"/>
    <s v="GBPR_WOODWASTE"/>
    <x v="0"/>
    <x v="16"/>
    <n v="57.580172834543902"/>
    <n v="21016.763084608501"/>
    <n v="75660.347104590706"/>
  </r>
  <r>
    <x v="0"/>
    <x v="0"/>
    <x v="0"/>
    <x v="8"/>
    <x v="16"/>
    <s v="SE1_OTHER"/>
    <x v="8"/>
    <s v="GBPR_WOODWASTE"/>
    <x v="0"/>
    <x v="5"/>
    <n v="57.580172834543902"/>
    <n v="21016.763084608501"/>
    <n v="75660.347104590706"/>
  </r>
  <r>
    <x v="0"/>
    <x v="0"/>
    <x v="0"/>
    <x v="8"/>
    <x v="16"/>
    <s v="SE1_OTHER"/>
    <x v="8"/>
    <s v="GBPR_WOODWASTE"/>
    <x v="0"/>
    <x v="17"/>
    <n v="57.580172834543902"/>
    <n v="21016.763084608501"/>
    <n v="75660.347104590706"/>
  </r>
  <r>
    <x v="0"/>
    <x v="0"/>
    <x v="0"/>
    <x v="8"/>
    <x v="16"/>
    <s v="SE1_OTHER"/>
    <x v="8"/>
    <s v="GBPR_WOODWASTE"/>
    <x v="0"/>
    <x v="18"/>
    <n v="57.580172834543902"/>
    <n v="21016.763084608501"/>
    <n v="75660.347104590706"/>
  </r>
  <r>
    <x v="0"/>
    <x v="0"/>
    <x v="0"/>
    <x v="8"/>
    <x v="16"/>
    <s v="SE1_OTHER"/>
    <x v="8"/>
    <s v="GBPR_WOODWASTE"/>
    <x v="0"/>
    <x v="19"/>
    <n v="57.580172834543902"/>
    <n v="21016.763084608501"/>
    <n v="75660.347104590706"/>
  </r>
  <r>
    <x v="0"/>
    <x v="0"/>
    <x v="0"/>
    <x v="8"/>
    <x v="16"/>
    <s v="SE1_OTHER"/>
    <x v="8"/>
    <s v="GBPR_WOODWASTE"/>
    <x v="0"/>
    <x v="20"/>
    <n v="57.580172834543902"/>
    <n v="21016.763084608501"/>
    <n v="75660.347104590706"/>
  </r>
  <r>
    <x v="0"/>
    <x v="0"/>
    <x v="0"/>
    <x v="8"/>
    <x v="16"/>
    <s v="SE1_OTHER"/>
    <x v="8"/>
    <s v="GBPR_WOODWASTE"/>
    <x v="0"/>
    <x v="21"/>
    <n v="57.580172834543902"/>
    <n v="21016.763084608501"/>
    <n v="75660.347104590706"/>
  </r>
  <r>
    <x v="0"/>
    <x v="0"/>
    <x v="0"/>
    <x v="8"/>
    <x v="16"/>
    <s v="SE1_OTHER"/>
    <x v="8"/>
    <s v="GBPR_WOODWASTE"/>
    <x v="0"/>
    <x v="22"/>
    <n v="57.580172834543902"/>
    <n v="21016.763084608501"/>
    <n v="75660.347104590706"/>
  </r>
  <r>
    <x v="0"/>
    <x v="0"/>
    <x v="0"/>
    <x v="8"/>
    <x v="16"/>
    <s v="SE1_OTHER"/>
    <x v="8"/>
    <s v="GBPR_WOODWASTE"/>
    <x v="0"/>
    <x v="23"/>
    <n v="57.580172834543902"/>
    <n v="21016.763084608501"/>
    <n v="75660.347104590706"/>
  </r>
  <r>
    <x v="0"/>
    <x v="0"/>
    <x v="0"/>
    <x v="8"/>
    <x v="16"/>
    <s v="SE1_OTHER"/>
    <x v="8"/>
    <s v="GHOB_WOODWASTE"/>
    <x v="0"/>
    <x v="6"/>
    <n v="26.6956707530648"/>
    <n v="9743.9198248686498"/>
    <n v="35078.111369527098"/>
  </r>
  <r>
    <x v="0"/>
    <x v="0"/>
    <x v="0"/>
    <x v="8"/>
    <x v="16"/>
    <s v="SE1_OTHER"/>
    <x v="8"/>
    <s v="GHOB_WOODWASTE"/>
    <x v="0"/>
    <x v="7"/>
    <n v="26.6956707530648"/>
    <n v="9743.9198248686498"/>
    <n v="35078.111369527098"/>
  </r>
  <r>
    <x v="0"/>
    <x v="0"/>
    <x v="0"/>
    <x v="8"/>
    <x v="16"/>
    <s v="SE1_OTHER"/>
    <x v="8"/>
    <s v="GHOB_WOODWASTE"/>
    <x v="0"/>
    <x v="8"/>
    <n v="26.6956707530648"/>
    <n v="9743.9198248686498"/>
    <n v="35078.111369527098"/>
  </r>
  <r>
    <x v="0"/>
    <x v="0"/>
    <x v="0"/>
    <x v="8"/>
    <x v="16"/>
    <s v="SE1_OTHER"/>
    <x v="8"/>
    <s v="GHOB_WOODWASTE"/>
    <x v="0"/>
    <x v="9"/>
    <n v="26.6956707530648"/>
    <n v="9743.9198248686498"/>
    <n v="35078.111369527098"/>
  </r>
  <r>
    <x v="0"/>
    <x v="0"/>
    <x v="0"/>
    <x v="8"/>
    <x v="16"/>
    <s v="SE1_OTHER"/>
    <x v="8"/>
    <s v="GHOB_WOODWASTE"/>
    <x v="0"/>
    <x v="10"/>
    <n v="26.6956707530648"/>
    <n v="9743.9198248686498"/>
    <n v="35078.111369527098"/>
  </r>
  <r>
    <x v="0"/>
    <x v="0"/>
    <x v="0"/>
    <x v="8"/>
    <x v="16"/>
    <s v="SE1_OTHER"/>
    <x v="8"/>
    <s v="GHOB_WOODWASTE"/>
    <x v="0"/>
    <x v="11"/>
    <n v="26.6956707530648"/>
    <n v="9743.9198248686498"/>
    <n v="35078.111369527098"/>
  </r>
  <r>
    <x v="0"/>
    <x v="0"/>
    <x v="0"/>
    <x v="8"/>
    <x v="16"/>
    <s v="SE1_OTHER"/>
    <x v="8"/>
    <s v="GHOB_WOODWASTE"/>
    <x v="0"/>
    <x v="0"/>
    <n v="26.6956707530648"/>
    <n v="9743.9198248686498"/>
    <n v="35078.111369527098"/>
  </r>
  <r>
    <x v="0"/>
    <x v="0"/>
    <x v="0"/>
    <x v="8"/>
    <x v="16"/>
    <s v="SE1_OTHER"/>
    <x v="8"/>
    <s v="GHOB_WOODWASTE"/>
    <x v="0"/>
    <x v="1"/>
    <n v="26.6956707530648"/>
    <n v="9743.9198248686498"/>
    <n v="35078.111369527098"/>
  </r>
  <r>
    <x v="0"/>
    <x v="0"/>
    <x v="0"/>
    <x v="8"/>
    <x v="16"/>
    <s v="SE1_OTHER"/>
    <x v="8"/>
    <s v="GHOB_WOODWASTE"/>
    <x v="0"/>
    <x v="2"/>
    <n v="26.6956707530648"/>
    <n v="9743.9198248686498"/>
    <n v="35078.111369527098"/>
  </r>
  <r>
    <x v="0"/>
    <x v="0"/>
    <x v="0"/>
    <x v="8"/>
    <x v="16"/>
    <s v="SE1_OTHER"/>
    <x v="8"/>
    <s v="GHOB_WOODWASTE"/>
    <x v="0"/>
    <x v="3"/>
    <n v="26.6956707530648"/>
    <n v="9743.9198248686498"/>
    <n v="35078.111369527098"/>
  </r>
  <r>
    <x v="0"/>
    <x v="0"/>
    <x v="0"/>
    <x v="8"/>
    <x v="16"/>
    <s v="SE1_OTHER"/>
    <x v="8"/>
    <s v="GHOB_WOODWASTE"/>
    <x v="0"/>
    <x v="12"/>
    <n v="26.6956707530648"/>
    <n v="9743.9198248686498"/>
    <n v="35078.111369527098"/>
  </r>
  <r>
    <x v="0"/>
    <x v="0"/>
    <x v="0"/>
    <x v="8"/>
    <x v="16"/>
    <s v="SE1_OTHER"/>
    <x v="8"/>
    <s v="GHOB_WOODWASTE"/>
    <x v="0"/>
    <x v="13"/>
    <n v="26.6956707530648"/>
    <n v="9743.9198248686498"/>
    <n v="35078.111369527098"/>
  </r>
  <r>
    <x v="0"/>
    <x v="0"/>
    <x v="0"/>
    <x v="8"/>
    <x v="16"/>
    <s v="SE1_OTHER"/>
    <x v="8"/>
    <s v="GHOB_WOODWASTE"/>
    <x v="0"/>
    <x v="14"/>
    <n v="26.6956707530648"/>
    <n v="9743.9198248686498"/>
    <n v="35078.111369527098"/>
  </r>
  <r>
    <x v="0"/>
    <x v="0"/>
    <x v="0"/>
    <x v="8"/>
    <x v="16"/>
    <s v="SE1_OTHER"/>
    <x v="8"/>
    <s v="GHOB_WOODWASTE"/>
    <x v="0"/>
    <x v="15"/>
    <n v="26.6956707530648"/>
    <n v="9743.9198248686498"/>
    <n v="35078.111369527098"/>
  </r>
  <r>
    <x v="0"/>
    <x v="0"/>
    <x v="0"/>
    <x v="8"/>
    <x v="16"/>
    <s v="SE1_OTHER"/>
    <x v="8"/>
    <s v="GHOB_WOODWASTE"/>
    <x v="0"/>
    <x v="4"/>
    <n v="26.6956707530648"/>
    <n v="9743.9198248686498"/>
    <n v="35078.111369527098"/>
  </r>
  <r>
    <x v="0"/>
    <x v="0"/>
    <x v="0"/>
    <x v="8"/>
    <x v="16"/>
    <s v="SE1_OTHER"/>
    <x v="8"/>
    <s v="GHOB_WOODWASTE"/>
    <x v="0"/>
    <x v="16"/>
    <n v="26.6956707530648"/>
    <n v="9743.9198248686498"/>
    <n v="35078.111369527098"/>
  </r>
  <r>
    <x v="0"/>
    <x v="0"/>
    <x v="0"/>
    <x v="8"/>
    <x v="16"/>
    <s v="SE1_OTHER"/>
    <x v="8"/>
    <s v="GHOB_WOODWASTE"/>
    <x v="0"/>
    <x v="5"/>
    <n v="26.6956707530648"/>
    <n v="9743.9198248686498"/>
    <n v="35078.111369527098"/>
  </r>
  <r>
    <x v="0"/>
    <x v="0"/>
    <x v="0"/>
    <x v="8"/>
    <x v="16"/>
    <s v="SE1_OTHER"/>
    <x v="8"/>
    <s v="GHOB_WOODWASTE"/>
    <x v="0"/>
    <x v="17"/>
    <n v="26.6956707530648"/>
    <n v="9743.9198248686498"/>
    <n v="35078.111369527098"/>
  </r>
  <r>
    <x v="0"/>
    <x v="0"/>
    <x v="0"/>
    <x v="8"/>
    <x v="16"/>
    <s v="SE1_OTHER"/>
    <x v="8"/>
    <s v="GHOB_WOODWASTE"/>
    <x v="0"/>
    <x v="18"/>
    <n v="26.6956707530648"/>
    <n v="9743.9198248686498"/>
    <n v="35078.111369527098"/>
  </r>
  <r>
    <x v="0"/>
    <x v="0"/>
    <x v="0"/>
    <x v="8"/>
    <x v="16"/>
    <s v="SE1_OTHER"/>
    <x v="8"/>
    <s v="GHOB_WOODWASTE"/>
    <x v="0"/>
    <x v="19"/>
    <n v="26.6956707530648"/>
    <n v="9743.9198248686498"/>
    <n v="35078.111369527098"/>
  </r>
  <r>
    <x v="0"/>
    <x v="0"/>
    <x v="0"/>
    <x v="8"/>
    <x v="16"/>
    <s v="SE1_OTHER"/>
    <x v="8"/>
    <s v="GHOB_WOODWASTE"/>
    <x v="0"/>
    <x v="20"/>
    <n v="26.6956707530648"/>
    <n v="9743.9198248686498"/>
    <n v="35078.111369527098"/>
  </r>
  <r>
    <x v="0"/>
    <x v="0"/>
    <x v="0"/>
    <x v="8"/>
    <x v="16"/>
    <s v="SE1_OTHER"/>
    <x v="8"/>
    <s v="GHOB_WOODWASTE"/>
    <x v="0"/>
    <x v="21"/>
    <n v="26.6956707530648"/>
    <n v="9743.9198248686498"/>
    <n v="35078.111369527098"/>
  </r>
  <r>
    <x v="0"/>
    <x v="0"/>
    <x v="0"/>
    <x v="8"/>
    <x v="16"/>
    <s v="SE1_OTHER"/>
    <x v="8"/>
    <s v="GHOB_WOODWASTE"/>
    <x v="0"/>
    <x v="22"/>
    <n v="26.6956707530648"/>
    <n v="9743.9198248686498"/>
    <n v="35078.111369527098"/>
  </r>
  <r>
    <x v="0"/>
    <x v="0"/>
    <x v="0"/>
    <x v="8"/>
    <x v="16"/>
    <s v="SE1_OTHER"/>
    <x v="8"/>
    <s v="GHOB_WOODWASTE"/>
    <x v="0"/>
    <x v="23"/>
    <n v="26.6956707530648"/>
    <n v="9743.9198248686498"/>
    <n v="35078.111369527098"/>
  </r>
  <r>
    <x v="0"/>
    <x v="0"/>
    <x v="0"/>
    <x v="8"/>
    <x v="17"/>
    <s v="SE2A"/>
    <x v="10"/>
    <s v="GBPR_IND_BIO"/>
    <x v="0"/>
    <x v="0"/>
    <n v="828.86363636363603"/>
    <n v="302535.227272727"/>
    <n v="1089126.81818182"/>
  </r>
  <r>
    <x v="0"/>
    <x v="0"/>
    <x v="0"/>
    <x v="8"/>
    <x v="17"/>
    <s v="SE2A"/>
    <x v="10"/>
    <s v="GBPR_IND_BIO"/>
    <x v="0"/>
    <x v="1"/>
    <n v="828.86363636363603"/>
    <n v="302535.227272727"/>
    <n v="1089126.81818182"/>
  </r>
  <r>
    <x v="0"/>
    <x v="0"/>
    <x v="0"/>
    <x v="8"/>
    <x v="17"/>
    <s v="SE2A"/>
    <x v="10"/>
    <s v="GBPR_IND_BIO"/>
    <x v="0"/>
    <x v="2"/>
    <n v="828.86363636363603"/>
    <n v="302535.227272727"/>
    <n v="1089126.81818182"/>
  </r>
  <r>
    <x v="0"/>
    <x v="0"/>
    <x v="0"/>
    <x v="8"/>
    <x v="17"/>
    <s v="SE2A"/>
    <x v="10"/>
    <s v="GBPR_IND_BIO"/>
    <x v="0"/>
    <x v="3"/>
    <n v="828.86363636363603"/>
    <n v="302535.227272727"/>
    <n v="1089126.81818182"/>
  </r>
  <r>
    <x v="0"/>
    <x v="0"/>
    <x v="0"/>
    <x v="8"/>
    <x v="17"/>
    <s v="SE2A"/>
    <x v="10"/>
    <s v="GBPR_IND_BIO"/>
    <x v="0"/>
    <x v="12"/>
    <n v="828.86363636363603"/>
    <n v="302535.227272727"/>
    <n v="1089126.81818182"/>
  </r>
  <r>
    <x v="0"/>
    <x v="0"/>
    <x v="0"/>
    <x v="8"/>
    <x v="17"/>
    <s v="SE2A"/>
    <x v="10"/>
    <s v="GBPR_IND_BIO"/>
    <x v="0"/>
    <x v="13"/>
    <n v="828.86363636363603"/>
    <n v="302535.227272727"/>
    <n v="1089126.81818182"/>
  </r>
  <r>
    <x v="0"/>
    <x v="0"/>
    <x v="0"/>
    <x v="8"/>
    <x v="17"/>
    <s v="SE2A"/>
    <x v="10"/>
    <s v="GBPR_IND_BIO"/>
    <x v="0"/>
    <x v="14"/>
    <n v="828.86363636363603"/>
    <n v="302535.227272727"/>
    <n v="1089126.81818182"/>
  </r>
  <r>
    <x v="0"/>
    <x v="0"/>
    <x v="0"/>
    <x v="8"/>
    <x v="17"/>
    <s v="SE2A"/>
    <x v="10"/>
    <s v="GBPR_IND_BIO"/>
    <x v="0"/>
    <x v="15"/>
    <n v="828.86363636363603"/>
    <n v="302535.227272727"/>
    <n v="1089126.81818182"/>
  </r>
  <r>
    <x v="0"/>
    <x v="0"/>
    <x v="0"/>
    <x v="8"/>
    <x v="17"/>
    <s v="SE2A"/>
    <x v="10"/>
    <s v="GBPR_IND_BIO"/>
    <x v="0"/>
    <x v="4"/>
    <n v="828.86363636363603"/>
    <n v="302535.227272727"/>
    <n v="1089126.81818182"/>
  </r>
  <r>
    <x v="0"/>
    <x v="0"/>
    <x v="0"/>
    <x v="8"/>
    <x v="17"/>
    <s v="SE2A"/>
    <x v="10"/>
    <s v="GBPR_IND_BIO"/>
    <x v="0"/>
    <x v="16"/>
    <n v="828.86363636363603"/>
    <n v="302535.227272727"/>
    <n v="1089126.81818182"/>
  </r>
  <r>
    <x v="0"/>
    <x v="0"/>
    <x v="0"/>
    <x v="8"/>
    <x v="17"/>
    <s v="SE2A"/>
    <x v="10"/>
    <s v="GBPR_IND_BIO"/>
    <x v="0"/>
    <x v="5"/>
    <n v="828.86363636363603"/>
    <n v="302535.227272727"/>
    <n v="1089126.81818182"/>
  </r>
  <r>
    <x v="0"/>
    <x v="0"/>
    <x v="0"/>
    <x v="8"/>
    <x v="17"/>
    <s v="SE2A"/>
    <x v="10"/>
    <s v="GBPR_IND_BIO"/>
    <x v="0"/>
    <x v="17"/>
    <n v="828.86363636363603"/>
    <n v="302535.227272727"/>
    <n v="1089126.81818182"/>
  </r>
  <r>
    <x v="0"/>
    <x v="0"/>
    <x v="0"/>
    <x v="8"/>
    <x v="17"/>
    <s v="SE2A"/>
    <x v="10"/>
    <s v="GBPR_IND_BIO"/>
    <x v="0"/>
    <x v="18"/>
    <n v="828.86363636363603"/>
    <n v="302535.227272727"/>
    <n v="1089126.81818182"/>
  </r>
  <r>
    <x v="0"/>
    <x v="0"/>
    <x v="0"/>
    <x v="8"/>
    <x v="17"/>
    <s v="SE2A"/>
    <x v="10"/>
    <s v="GBPR_IND_BIO"/>
    <x v="0"/>
    <x v="19"/>
    <n v="828.86363636363603"/>
    <n v="302535.227272727"/>
    <n v="1089126.81818182"/>
  </r>
  <r>
    <x v="0"/>
    <x v="0"/>
    <x v="0"/>
    <x v="8"/>
    <x v="17"/>
    <s v="SE2_EL"/>
    <x v="1"/>
    <s v="GNR_HS_HEAT_WTR-TANK_LS_E-95_Y-2010"/>
    <x v="0"/>
    <x v="6"/>
    <n v="1237.3363144965101"/>
    <n v="451627.75479122699"/>
    <n v="1625859.91724842"/>
  </r>
  <r>
    <x v="0"/>
    <x v="0"/>
    <x v="0"/>
    <x v="8"/>
    <x v="17"/>
    <s v="SE2_EL"/>
    <x v="1"/>
    <s v="GNR_HS_HEAT_WTR-TANK_LS_E-95_Y-2010"/>
    <x v="0"/>
    <x v="7"/>
    <n v="1236.62852901724"/>
    <n v="451369.41309129301"/>
    <n v="1624929.88712866"/>
  </r>
  <r>
    <x v="0"/>
    <x v="0"/>
    <x v="0"/>
    <x v="8"/>
    <x v="17"/>
    <s v="SE2_EL"/>
    <x v="1"/>
    <s v="GNR_HS_HEAT_WTR-TANK_LS_E-95_Y-2010"/>
    <x v="0"/>
    <x v="8"/>
    <n v="1240.09073693551"/>
    <n v="452633.11898146197"/>
    <n v="1629479.2283332699"/>
  </r>
  <r>
    <x v="0"/>
    <x v="0"/>
    <x v="0"/>
    <x v="8"/>
    <x v="17"/>
    <s v="SE2_EL"/>
    <x v="1"/>
    <s v="GNR_HS_HEAT_WTR-TANK_LS_E-95_Y-2010"/>
    <x v="0"/>
    <x v="9"/>
    <n v="1253.31825073607"/>
    <n v="457461.16151866701"/>
    <n v="1646860.1814671999"/>
  </r>
  <r>
    <x v="0"/>
    <x v="0"/>
    <x v="0"/>
    <x v="8"/>
    <x v="17"/>
    <s v="SE2_EL"/>
    <x v="1"/>
    <s v="GNR_HS_HEAT_WTR-TANK_LS_E-95_Y-2010"/>
    <x v="0"/>
    <x v="10"/>
    <n v="1271.7363337925301"/>
    <n v="464183.76183427498"/>
    <n v="1671061.5426033901"/>
  </r>
  <r>
    <x v="0"/>
    <x v="0"/>
    <x v="0"/>
    <x v="8"/>
    <x v="17"/>
    <s v="SE2_EL"/>
    <x v="1"/>
    <s v="GNR_HS_HEAT_WTR-TANK_LS_E-95_Y-2010"/>
    <x v="0"/>
    <x v="11"/>
    <n v="1286.1747070972499"/>
    <n v="469453.768090497"/>
    <n v="1690033.56512579"/>
  </r>
  <r>
    <x v="0"/>
    <x v="0"/>
    <x v="0"/>
    <x v="8"/>
    <x v="17"/>
    <s v="SE2_EL"/>
    <x v="1"/>
    <s v="GNR_HS_HEAT_WTR-TANK_LS_E-95_Y-2010"/>
    <x v="0"/>
    <x v="0"/>
    <n v="1333.3663564846499"/>
    <n v="486678.720116899"/>
    <n v="1752043.39242083"/>
  </r>
  <r>
    <x v="0"/>
    <x v="0"/>
    <x v="0"/>
    <x v="8"/>
    <x v="17"/>
    <s v="SE2_EL"/>
    <x v="1"/>
    <s v="GNR_HS_HEAT_WTR-TANK_LS_E-95_Y-2010"/>
    <x v="0"/>
    <x v="1"/>
    <n v="1359.4467018888699"/>
    <n v="496198.04618943698"/>
    <n v="1786312.96628197"/>
  </r>
  <r>
    <x v="0"/>
    <x v="0"/>
    <x v="0"/>
    <x v="8"/>
    <x v="17"/>
    <s v="SE2_EL"/>
    <x v="1"/>
    <s v="GNR_HS_HEAT_WTR-TANK_LS_E-95_Y-2010"/>
    <x v="0"/>
    <x v="2"/>
    <n v="1355.07088954818"/>
    <n v="494600.87468508701"/>
    <n v="1780563.14886631"/>
  </r>
  <r>
    <x v="0"/>
    <x v="0"/>
    <x v="0"/>
    <x v="8"/>
    <x v="17"/>
    <s v="SE2_EL"/>
    <x v="1"/>
    <s v="GNR_HS_HEAT_WTR-TANK_LS_E-95_Y-2010"/>
    <x v="0"/>
    <x v="3"/>
    <n v="1356.0086757276999"/>
    <n v="494943.16664061003"/>
    <n v="1781795.3999061999"/>
  </r>
  <r>
    <x v="0"/>
    <x v="0"/>
    <x v="0"/>
    <x v="8"/>
    <x v="17"/>
    <s v="SE2_EL"/>
    <x v="1"/>
    <s v="GNR_HS_HEAT_WTR-TANK_LS_E-95_Y-2010"/>
    <x v="0"/>
    <x v="12"/>
    <n v="1340.52926171538"/>
    <n v="489293.18052611302"/>
    <n v="1761455.4498940101"/>
  </r>
  <r>
    <x v="0"/>
    <x v="0"/>
    <x v="0"/>
    <x v="8"/>
    <x v="17"/>
    <s v="SE2_EL"/>
    <x v="1"/>
    <s v="GNR_HS_HEAT_WTR-TANK_LS_E-95_Y-2010"/>
    <x v="0"/>
    <x v="13"/>
    <n v="1334.42146951022"/>
    <n v="487063.836371232"/>
    <n v="1753429.81093643"/>
  </r>
  <r>
    <x v="0"/>
    <x v="0"/>
    <x v="0"/>
    <x v="8"/>
    <x v="17"/>
    <s v="SE2_EL"/>
    <x v="1"/>
    <s v="GNR_HS_HEAT_WTR-TANK_LS_E-95_Y-2010"/>
    <x v="0"/>
    <x v="14"/>
    <n v="1332.9453006977701"/>
    <n v="486525.03475468699"/>
    <n v="1751490.12511687"/>
  </r>
  <r>
    <x v="0"/>
    <x v="0"/>
    <x v="0"/>
    <x v="8"/>
    <x v="17"/>
    <s v="SE2_EL"/>
    <x v="1"/>
    <s v="GNR_HS_HEAT_WTR-TANK_LS_E-95_Y-2010"/>
    <x v="0"/>
    <x v="15"/>
    <n v="1332.0423594072599"/>
    <n v="486195.461183651"/>
    <n v="1750303.66026114"/>
  </r>
  <r>
    <x v="0"/>
    <x v="0"/>
    <x v="0"/>
    <x v="8"/>
    <x v="17"/>
    <s v="SE2_EL"/>
    <x v="1"/>
    <s v="GNR_HS_HEAT_WTR-TANK_LS_E-95_Y-2010"/>
    <x v="0"/>
    <x v="4"/>
    <n v="1328.8995495612801"/>
    <n v="485048.33558986802"/>
    <n v="1746174.0081235301"/>
  </r>
  <r>
    <x v="0"/>
    <x v="0"/>
    <x v="0"/>
    <x v="8"/>
    <x v="17"/>
    <s v="SE2_EL"/>
    <x v="1"/>
    <s v="GNR_HS_HEAT_WTR-TANK_LS_E-95_Y-2010"/>
    <x v="0"/>
    <x v="16"/>
    <n v="1334.3651770466499"/>
    <n v="487043.28962202801"/>
    <n v="1753355.8426393"/>
  </r>
  <r>
    <x v="0"/>
    <x v="0"/>
    <x v="0"/>
    <x v="8"/>
    <x v="17"/>
    <s v="SE2_EL"/>
    <x v="1"/>
    <s v="GNR_HS_HEAT_WTR-TANK_LS_E-95_Y-2010"/>
    <x v="0"/>
    <x v="5"/>
    <n v="1305.2893044054899"/>
    <n v="476430.59610800399"/>
    <n v="1715150.1459888101"/>
  </r>
  <r>
    <x v="0"/>
    <x v="0"/>
    <x v="0"/>
    <x v="8"/>
    <x v="17"/>
    <s v="SE2_EL"/>
    <x v="1"/>
    <s v="GNR_HS_HEAT_WTR-TANK_LS_E-95_Y-2010"/>
    <x v="0"/>
    <x v="17"/>
    <n v="1289.0981229481799"/>
    <n v="470520.81487608602"/>
    <n v="1693874.9335539101"/>
  </r>
  <r>
    <x v="0"/>
    <x v="0"/>
    <x v="0"/>
    <x v="8"/>
    <x v="17"/>
    <s v="SE2_EL"/>
    <x v="1"/>
    <s v="GNR_HS_HEAT_WTR-TANK_LS_E-95_Y-2010"/>
    <x v="0"/>
    <x v="18"/>
    <n v="1277.87895058193"/>
    <n v="466425.81696240598"/>
    <n v="1679132.94106466"/>
  </r>
  <r>
    <x v="0"/>
    <x v="0"/>
    <x v="0"/>
    <x v="8"/>
    <x v="17"/>
    <s v="SE2_EL"/>
    <x v="1"/>
    <s v="GNR_HS_HEAT_WTR-TANK_LS_E-95_Y-2010"/>
    <x v="0"/>
    <x v="19"/>
    <n v="1265.22593236749"/>
    <n v="461807.46531413298"/>
    <n v="1662506.8751308799"/>
  </r>
  <r>
    <x v="0"/>
    <x v="0"/>
    <x v="0"/>
    <x v="8"/>
    <x v="17"/>
    <s v="SE2_EL"/>
    <x v="1"/>
    <s v="GNR_HS_HEAT_WTR-TANK_LS_E-95_Y-2010"/>
    <x v="0"/>
    <x v="20"/>
    <n v="1254.18043952363"/>
    <n v="457775.860426125"/>
    <n v="1647993.09753405"/>
  </r>
  <r>
    <x v="0"/>
    <x v="0"/>
    <x v="0"/>
    <x v="8"/>
    <x v="17"/>
    <s v="SE2_EL"/>
    <x v="1"/>
    <s v="GNR_HS_HEAT_WTR-TANK_LS_E-95_Y-2010"/>
    <x v="0"/>
    <x v="21"/>
    <n v="1246.89658567172"/>
    <n v="455117.253770179"/>
    <n v="1638422.1135726499"/>
  </r>
  <r>
    <x v="0"/>
    <x v="0"/>
    <x v="0"/>
    <x v="8"/>
    <x v="17"/>
    <s v="SE2_EL"/>
    <x v="1"/>
    <s v="GNR_HS_HEAT_WTR-TANK_LS_E-95_Y-2010"/>
    <x v="0"/>
    <x v="22"/>
    <n v="1232.2403712627899"/>
    <n v="449767.73551091901"/>
    <n v="1619163.8478393101"/>
  </r>
  <r>
    <x v="0"/>
    <x v="0"/>
    <x v="0"/>
    <x v="8"/>
    <x v="17"/>
    <s v="SE2_EL"/>
    <x v="1"/>
    <s v="GNR_HS_HEAT_WTR-TANK_LS_E-95_Y-2010"/>
    <x v="0"/>
    <x v="23"/>
    <n v="1213.5694008841699"/>
    <n v="442952.83132272097"/>
    <n v="1594630.19276179"/>
  </r>
  <r>
    <x v="0"/>
    <x v="0"/>
    <x v="0"/>
    <x v="8"/>
    <x v="17"/>
    <s v="SE2_EL"/>
    <x v="2"/>
    <s v="GBPR_MUNIWASTE_24"/>
    <x v="0"/>
    <x v="6"/>
    <n v="173.85783130338501"/>
    <n v="63458.1084257357"/>
    <n v="228449.19033264901"/>
  </r>
  <r>
    <x v="0"/>
    <x v="0"/>
    <x v="0"/>
    <x v="8"/>
    <x v="17"/>
    <s v="SE2_EL"/>
    <x v="2"/>
    <s v="GBPR_MUNIWASTE_24"/>
    <x v="0"/>
    <x v="7"/>
    <n v="173.85783130338501"/>
    <n v="63458.1084257357"/>
    <n v="228449.19033264901"/>
  </r>
  <r>
    <x v="0"/>
    <x v="0"/>
    <x v="0"/>
    <x v="8"/>
    <x v="17"/>
    <s v="SE2_EL"/>
    <x v="2"/>
    <s v="GBPR_MUNIWASTE_24"/>
    <x v="0"/>
    <x v="8"/>
    <n v="173.85783130338501"/>
    <n v="63458.1084257357"/>
    <n v="228449.19033264901"/>
  </r>
  <r>
    <x v="0"/>
    <x v="0"/>
    <x v="0"/>
    <x v="8"/>
    <x v="17"/>
    <s v="SE2_EL"/>
    <x v="2"/>
    <s v="GBPR_MUNIWASTE_24"/>
    <x v="0"/>
    <x v="9"/>
    <n v="173.85783130338501"/>
    <n v="63458.1084257357"/>
    <n v="228449.19033264901"/>
  </r>
  <r>
    <x v="0"/>
    <x v="0"/>
    <x v="0"/>
    <x v="8"/>
    <x v="17"/>
    <s v="SE2_EL"/>
    <x v="2"/>
    <s v="GBPR_MUNIWASTE_24"/>
    <x v="0"/>
    <x v="10"/>
    <n v="173.85783130338501"/>
    <n v="63458.1084257357"/>
    <n v="228449.19033264901"/>
  </r>
  <r>
    <x v="0"/>
    <x v="0"/>
    <x v="0"/>
    <x v="8"/>
    <x v="17"/>
    <s v="SE2_EL"/>
    <x v="2"/>
    <s v="GBPR_MUNIWASTE_24"/>
    <x v="0"/>
    <x v="11"/>
    <n v="173.85783130338501"/>
    <n v="63458.1084257357"/>
    <n v="228449.19033264901"/>
  </r>
  <r>
    <x v="0"/>
    <x v="0"/>
    <x v="0"/>
    <x v="8"/>
    <x v="17"/>
    <s v="SE2_EL"/>
    <x v="2"/>
    <s v="GBPR_MUNIWASTE_24"/>
    <x v="0"/>
    <x v="0"/>
    <n v="173.85783130338501"/>
    <n v="63458.1084257357"/>
    <n v="228449.19033264901"/>
  </r>
  <r>
    <x v="0"/>
    <x v="0"/>
    <x v="0"/>
    <x v="8"/>
    <x v="17"/>
    <s v="SE2_EL"/>
    <x v="2"/>
    <s v="GBPR_MUNIWASTE_24"/>
    <x v="0"/>
    <x v="1"/>
    <n v="173.85783130338501"/>
    <n v="63458.1084257357"/>
    <n v="228449.19033264901"/>
  </r>
  <r>
    <x v="0"/>
    <x v="0"/>
    <x v="0"/>
    <x v="8"/>
    <x v="17"/>
    <s v="SE2_EL"/>
    <x v="2"/>
    <s v="GBPR_MUNIWASTE_24"/>
    <x v="0"/>
    <x v="2"/>
    <n v="173.85783130338501"/>
    <n v="63458.1084257357"/>
    <n v="228449.19033264901"/>
  </r>
  <r>
    <x v="0"/>
    <x v="0"/>
    <x v="0"/>
    <x v="8"/>
    <x v="17"/>
    <s v="SE2_EL"/>
    <x v="2"/>
    <s v="GBPR_MUNIWASTE_24"/>
    <x v="0"/>
    <x v="3"/>
    <n v="173.85783130338501"/>
    <n v="63458.1084257357"/>
    <n v="228449.19033264901"/>
  </r>
  <r>
    <x v="0"/>
    <x v="0"/>
    <x v="0"/>
    <x v="8"/>
    <x v="17"/>
    <s v="SE2_EL"/>
    <x v="2"/>
    <s v="GBPR_MUNIWASTE_24"/>
    <x v="0"/>
    <x v="12"/>
    <n v="173.85783130338501"/>
    <n v="63458.1084257357"/>
    <n v="228449.19033264901"/>
  </r>
  <r>
    <x v="0"/>
    <x v="0"/>
    <x v="0"/>
    <x v="8"/>
    <x v="17"/>
    <s v="SE2_EL"/>
    <x v="2"/>
    <s v="GBPR_MUNIWASTE_24"/>
    <x v="0"/>
    <x v="13"/>
    <n v="173.85783130338501"/>
    <n v="63458.1084257357"/>
    <n v="228449.19033264901"/>
  </r>
  <r>
    <x v="0"/>
    <x v="0"/>
    <x v="0"/>
    <x v="8"/>
    <x v="17"/>
    <s v="SE2_EL"/>
    <x v="2"/>
    <s v="GBPR_MUNIWASTE_24"/>
    <x v="0"/>
    <x v="14"/>
    <n v="173.85783130338501"/>
    <n v="63458.1084257357"/>
    <n v="228449.19033264901"/>
  </r>
  <r>
    <x v="0"/>
    <x v="0"/>
    <x v="0"/>
    <x v="8"/>
    <x v="17"/>
    <s v="SE2_EL"/>
    <x v="2"/>
    <s v="GBPR_MUNIWASTE_24"/>
    <x v="0"/>
    <x v="15"/>
    <n v="173.85783130338501"/>
    <n v="63458.1084257357"/>
    <n v="228449.19033264901"/>
  </r>
  <r>
    <x v="0"/>
    <x v="0"/>
    <x v="0"/>
    <x v="8"/>
    <x v="17"/>
    <s v="SE2_EL"/>
    <x v="2"/>
    <s v="GBPR_MUNIWASTE_24"/>
    <x v="0"/>
    <x v="4"/>
    <n v="173.85783130338501"/>
    <n v="63458.1084257357"/>
    <n v="228449.19033264901"/>
  </r>
  <r>
    <x v="0"/>
    <x v="0"/>
    <x v="0"/>
    <x v="8"/>
    <x v="17"/>
    <s v="SE2_EL"/>
    <x v="2"/>
    <s v="GBPR_MUNIWASTE_24"/>
    <x v="0"/>
    <x v="16"/>
    <n v="173.85783130338501"/>
    <n v="63458.1084257357"/>
    <n v="228449.19033264901"/>
  </r>
  <r>
    <x v="0"/>
    <x v="0"/>
    <x v="0"/>
    <x v="8"/>
    <x v="17"/>
    <s v="SE2_EL"/>
    <x v="2"/>
    <s v="GBPR_MUNIWASTE_24"/>
    <x v="0"/>
    <x v="5"/>
    <n v="173.85783130338501"/>
    <n v="63458.1084257357"/>
    <n v="228449.19033264901"/>
  </r>
  <r>
    <x v="0"/>
    <x v="0"/>
    <x v="0"/>
    <x v="8"/>
    <x v="17"/>
    <s v="SE2_EL"/>
    <x v="2"/>
    <s v="GBPR_MUNIWASTE_24"/>
    <x v="0"/>
    <x v="17"/>
    <n v="173.85783130338501"/>
    <n v="63458.1084257357"/>
    <n v="228449.19033264901"/>
  </r>
  <r>
    <x v="0"/>
    <x v="0"/>
    <x v="0"/>
    <x v="8"/>
    <x v="17"/>
    <s v="SE2_EL"/>
    <x v="2"/>
    <s v="GBPR_MUNIWASTE_24"/>
    <x v="0"/>
    <x v="18"/>
    <n v="173.85783130338501"/>
    <n v="63458.1084257357"/>
    <n v="228449.19033264901"/>
  </r>
  <r>
    <x v="0"/>
    <x v="0"/>
    <x v="0"/>
    <x v="8"/>
    <x v="17"/>
    <s v="SE2_EL"/>
    <x v="2"/>
    <s v="GBPR_MUNIWASTE_24"/>
    <x v="0"/>
    <x v="19"/>
    <n v="173.85783130338501"/>
    <n v="63458.1084257357"/>
    <n v="228449.19033264901"/>
  </r>
  <r>
    <x v="0"/>
    <x v="0"/>
    <x v="0"/>
    <x v="8"/>
    <x v="17"/>
    <s v="SE2_EL"/>
    <x v="2"/>
    <s v="GBPR_MUNIWASTE_24"/>
    <x v="0"/>
    <x v="20"/>
    <n v="173.85783130338501"/>
    <n v="63458.1084257357"/>
    <n v="228449.19033264901"/>
  </r>
  <r>
    <x v="0"/>
    <x v="0"/>
    <x v="0"/>
    <x v="8"/>
    <x v="17"/>
    <s v="SE2_EL"/>
    <x v="2"/>
    <s v="GBPR_MUNIWASTE_24"/>
    <x v="0"/>
    <x v="21"/>
    <n v="173.85783130338501"/>
    <n v="63458.1084257357"/>
    <n v="228449.19033264901"/>
  </r>
  <r>
    <x v="0"/>
    <x v="0"/>
    <x v="0"/>
    <x v="8"/>
    <x v="17"/>
    <s v="SE2_EL"/>
    <x v="2"/>
    <s v="GBPR_MUNIWASTE_24"/>
    <x v="0"/>
    <x v="22"/>
    <n v="173.85783130338501"/>
    <n v="63458.1084257357"/>
    <n v="228449.19033264901"/>
  </r>
  <r>
    <x v="0"/>
    <x v="0"/>
    <x v="0"/>
    <x v="8"/>
    <x v="17"/>
    <s v="SE2_EL"/>
    <x v="2"/>
    <s v="GBPR_MUNIWASTE_24"/>
    <x v="0"/>
    <x v="23"/>
    <n v="173.85783130338501"/>
    <n v="63458.1084257357"/>
    <n v="228449.19033264901"/>
  </r>
  <r>
    <x v="0"/>
    <x v="0"/>
    <x v="0"/>
    <x v="8"/>
    <x v="17"/>
    <s v="SE2_EL"/>
    <x v="8"/>
    <s v="GBPR_WOODWASTE_25"/>
    <x v="0"/>
    <x v="6"/>
    <n v="185.02039687660499"/>
    <n v="67532.444859960699"/>
    <n v="243116.80149585899"/>
  </r>
  <r>
    <x v="0"/>
    <x v="0"/>
    <x v="0"/>
    <x v="8"/>
    <x v="17"/>
    <s v="SE2_EL"/>
    <x v="8"/>
    <s v="GBPR_WOODWASTE_25"/>
    <x v="0"/>
    <x v="7"/>
    <n v="185.02039687660499"/>
    <n v="67532.444859960699"/>
    <n v="243116.80149585899"/>
  </r>
  <r>
    <x v="0"/>
    <x v="0"/>
    <x v="0"/>
    <x v="8"/>
    <x v="17"/>
    <s v="SE2_EL"/>
    <x v="8"/>
    <s v="GBPR_WOODWASTE_25"/>
    <x v="0"/>
    <x v="8"/>
    <n v="185.02039687660499"/>
    <n v="67532.444859960699"/>
    <n v="243116.80149585899"/>
  </r>
  <r>
    <x v="0"/>
    <x v="0"/>
    <x v="0"/>
    <x v="8"/>
    <x v="17"/>
    <s v="SE2_EL"/>
    <x v="8"/>
    <s v="GBPR_WOODWASTE_25"/>
    <x v="0"/>
    <x v="9"/>
    <n v="185.02039687660499"/>
    <n v="67532.444859960699"/>
    <n v="243116.80149585899"/>
  </r>
  <r>
    <x v="0"/>
    <x v="0"/>
    <x v="0"/>
    <x v="8"/>
    <x v="17"/>
    <s v="SE2_EL"/>
    <x v="8"/>
    <s v="GBPR_WOODWASTE_25"/>
    <x v="0"/>
    <x v="10"/>
    <n v="185.02039687660499"/>
    <n v="67532.444859960699"/>
    <n v="243116.80149585899"/>
  </r>
  <r>
    <x v="0"/>
    <x v="0"/>
    <x v="0"/>
    <x v="8"/>
    <x v="17"/>
    <s v="SE2_EL"/>
    <x v="8"/>
    <s v="GBPR_WOODWASTE_25"/>
    <x v="0"/>
    <x v="11"/>
    <n v="185.02039687660499"/>
    <n v="67532.444859960699"/>
    <n v="243116.80149585899"/>
  </r>
  <r>
    <x v="0"/>
    <x v="0"/>
    <x v="0"/>
    <x v="8"/>
    <x v="17"/>
    <s v="SE2_EL"/>
    <x v="8"/>
    <s v="GBPR_WOODWASTE_25"/>
    <x v="0"/>
    <x v="0"/>
    <n v="185.02039687660499"/>
    <n v="67532.444859960699"/>
    <n v="243116.80149585899"/>
  </r>
  <r>
    <x v="0"/>
    <x v="0"/>
    <x v="0"/>
    <x v="8"/>
    <x v="17"/>
    <s v="SE2_EL"/>
    <x v="8"/>
    <s v="GBPR_WOODWASTE_25"/>
    <x v="0"/>
    <x v="1"/>
    <n v="185.02039687660499"/>
    <n v="67532.444859960699"/>
    <n v="243116.80149585899"/>
  </r>
  <r>
    <x v="0"/>
    <x v="0"/>
    <x v="0"/>
    <x v="8"/>
    <x v="17"/>
    <s v="SE2_EL"/>
    <x v="8"/>
    <s v="GBPR_WOODWASTE_25"/>
    <x v="0"/>
    <x v="2"/>
    <n v="185.02039687660499"/>
    <n v="67532.444859960699"/>
    <n v="243116.80149585899"/>
  </r>
  <r>
    <x v="0"/>
    <x v="0"/>
    <x v="0"/>
    <x v="8"/>
    <x v="17"/>
    <s v="SE2_EL"/>
    <x v="8"/>
    <s v="GBPR_WOODWASTE_25"/>
    <x v="0"/>
    <x v="3"/>
    <n v="185.02039687660499"/>
    <n v="67532.444859960699"/>
    <n v="243116.80149585899"/>
  </r>
  <r>
    <x v="0"/>
    <x v="0"/>
    <x v="0"/>
    <x v="8"/>
    <x v="17"/>
    <s v="SE2_EL"/>
    <x v="8"/>
    <s v="GBPR_WOODWASTE_25"/>
    <x v="0"/>
    <x v="12"/>
    <n v="185.02039687660499"/>
    <n v="67532.444859960699"/>
    <n v="243116.80149585899"/>
  </r>
  <r>
    <x v="0"/>
    <x v="0"/>
    <x v="0"/>
    <x v="8"/>
    <x v="17"/>
    <s v="SE2_EL"/>
    <x v="8"/>
    <s v="GBPR_WOODWASTE_25"/>
    <x v="0"/>
    <x v="13"/>
    <n v="185.02039687660499"/>
    <n v="67532.444859960699"/>
    <n v="243116.80149585899"/>
  </r>
  <r>
    <x v="0"/>
    <x v="0"/>
    <x v="0"/>
    <x v="8"/>
    <x v="17"/>
    <s v="SE2_EL"/>
    <x v="8"/>
    <s v="GBPR_WOODWASTE_25"/>
    <x v="0"/>
    <x v="14"/>
    <n v="185.02039687660499"/>
    <n v="67532.444859960699"/>
    <n v="243116.80149585899"/>
  </r>
  <r>
    <x v="0"/>
    <x v="0"/>
    <x v="0"/>
    <x v="8"/>
    <x v="17"/>
    <s v="SE2_EL"/>
    <x v="8"/>
    <s v="GBPR_WOODWASTE_25"/>
    <x v="0"/>
    <x v="15"/>
    <n v="185.02039687660499"/>
    <n v="67532.444859960699"/>
    <n v="243116.80149585899"/>
  </r>
  <r>
    <x v="0"/>
    <x v="0"/>
    <x v="0"/>
    <x v="8"/>
    <x v="17"/>
    <s v="SE2_EL"/>
    <x v="8"/>
    <s v="GBPR_WOODWASTE_25"/>
    <x v="0"/>
    <x v="4"/>
    <n v="185.02039687660499"/>
    <n v="67532.444859960699"/>
    <n v="243116.80149585899"/>
  </r>
  <r>
    <x v="0"/>
    <x v="0"/>
    <x v="0"/>
    <x v="8"/>
    <x v="17"/>
    <s v="SE2_EL"/>
    <x v="8"/>
    <s v="GBPR_WOODWASTE_25"/>
    <x v="0"/>
    <x v="16"/>
    <n v="185.02039687660499"/>
    <n v="67532.444859960699"/>
    <n v="243116.80149585899"/>
  </r>
  <r>
    <x v="0"/>
    <x v="0"/>
    <x v="0"/>
    <x v="8"/>
    <x v="17"/>
    <s v="SE2_EL"/>
    <x v="8"/>
    <s v="GBPR_WOODWASTE_25"/>
    <x v="0"/>
    <x v="5"/>
    <n v="185.02039687660499"/>
    <n v="67532.444859960699"/>
    <n v="243116.80149585899"/>
  </r>
  <r>
    <x v="0"/>
    <x v="0"/>
    <x v="0"/>
    <x v="8"/>
    <x v="17"/>
    <s v="SE2_EL"/>
    <x v="8"/>
    <s v="GBPR_WOODWASTE_25"/>
    <x v="0"/>
    <x v="17"/>
    <n v="185.02039687660499"/>
    <n v="67532.444859960699"/>
    <n v="243116.80149585899"/>
  </r>
  <r>
    <x v="0"/>
    <x v="0"/>
    <x v="0"/>
    <x v="8"/>
    <x v="17"/>
    <s v="SE2_EL"/>
    <x v="8"/>
    <s v="GBPR_WOODWASTE_25"/>
    <x v="0"/>
    <x v="18"/>
    <n v="185.02039687660499"/>
    <n v="67532.444859960699"/>
    <n v="243116.80149585899"/>
  </r>
  <r>
    <x v="0"/>
    <x v="0"/>
    <x v="0"/>
    <x v="8"/>
    <x v="17"/>
    <s v="SE2_EL"/>
    <x v="8"/>
    <s v="GBPR_WOODWASTE_25"/>
    <x v="0"/>
    <x v="19"/>
    <n v="185.02039687660499"/>
    <n v="67532.444859960699"/>
    <n v="243116.80149585899"/>
  </r>
  <r>
    <x v="0"/>
    <x v="0"/>
    <x v="0"/>
    <x v="8"/>
    <x v="17"/>
    <s v="SE2_EL"/>
    <x v="8"/>
    <s v="GBPR_WOODWASTE_25"/>
    <x v="0"/>
    <x v="20"/>
    <n v="185.02039687660499"/>
    <n v="67532.444859960699"/>
    <n v="243116.80149585899"/>
  </r>
  <r>
    <x v="0"/>
    <x v="0"/>
    <x v="0"/>
    <x v="8"/>
    <x v="17"/>
    <s v="SE2_EL"/>
    <x v="8"/>
    <s v="GBPR_WOODWASTE_25"/>
    <x v="0"/>
    <x v="21"/>
    <n v="185.02039687660499"/>
    <n v="67532.444859960699"/>
    <n v="243116.80149585899"/>
  </r>
  <r>
    <x v="0"/>
    <x v="0"/>
    <x v="0"/>
    <x v="8"/>
    <x v="17"/>
    <s v="SE2_EL"/>
    <x v="8"/>
    <s v="GBPR_WOODWASTE_25"/>
    <x v="0"/>
    <x v="22"/>
    <n v="185.02039687660499"/>
    <n v="67532.444859960699"/>
    <n v="243116.80149585899"/>
  </r>
  <r>
    <x v="0"/>
    <x v="0"/>
    <x v="0"/>
    <x v="8"/>
    <x v="17"/>
    <s v="SE2_EL"/>
    <x v="8"/>
    <s v="GBPR_WOODWASTE_25"/>
    <x v="0"/>
    <x v="23"/>
    <n v="185.02039687660499"/>
    <n v="67532.444859960699"/>
    <n v="243116.80149585899"/>
  </r>
  <r>
    <x v="0"/>
    <x v="0"/>
    <x v="0"/>
    <x v="8"/>
    <x v="17"/>
    <s v="SE2_OTHER"/>
    <x v="2"/>
    <s v="GBPR_MUNIWASTE_24"/>
    <x v="0"/>
    <x v="6"/>
    <n v="13.1783135275753"/>
    <n v="4810.0844375650004"/>
    <n v="17316.303975234001"/>
  </r>
  <r>
    <x v="0"/>
    <x v="0"/>
    <x v="0"/>
    <x v="8"/>
    <x v="17"/>
    <s v="SE2_OTHER"/>
    <x v="2"/>
    <s v="GBPR_MUNIWASTE_24"/>
    <x v="0"/>
    <x v="7"/>
    <n v="13.1783135275753"/>
    <n v="4810.0844375650004"/>
    <n v="17316.303975234001"/>
  </r>
  <r>
    <x v="0"/>
    <x v="0"/>
    <x v="0"/>
    <x v="8"/>
    <x v="17"/>
    <s v="SE2_OTHER"/>
    <x v="2"/>
    <s v="GBPR_MUNIWASTE_24"/>
    <x v="0"/>
    <x v="8"/>
    <n v="13.1783135275753"/>
    <n v="4810.0844375650004"/>
    <n v="17316.303975234001"/>
  </r>
  <r>
    <x v="0"/>
    <x v="0"/>
    <x v="0"/>
    <x v="8"/>
    <x v="17"/>
    <s v="SE2_OTHER"/>
    <x v="2"/>
    <s v="GBPR_MUNIWASTE_24"/>
    <x v="0"/>
    <x v="9"/>
    <n v="13.1783135275753"/>
    <n v="4810.0844375650004"/>
    <n v="17316.303975234001"/>
  </r>
  <r>
    <x v="0"/>
    <x v="0"/>
    <x v="0"/>
    <x v="8"/>
    <x v="17"/>
    <s v="SE2_OTHER"/>
    <x v="2"/>
    <s v="GBPR_MUNIWASTE_24"/>
    <x v="0"/>
    <x v="10"/>
    <n v="13.1783135275753"/>
    <n v="4810.0844375650004"/>
    <n v="17316.303975234001"/>
  </r>
  <r>
    <x v="0"/>
    <x v="0"/>
    <x v="0"/>
    <x v="8"/>
    <x v="17"/>
    <s v="SE2_OTHER"/>
    <x v="2"/>
    <s v="GBPR_MUNIWASTE_24"/>
    <x v="0"/>
    <x v="11"/>
    <n v="13.1783135275753"/>
    <n v="4810.0844375650004"/>
    <n v="17316.303975234001"/>
  </r>
  <r>
    <x v="0"/>
    <x v="0"/>
    <x v="0"/>
    <x v="8"/>
    <x v="17"/>
    <s v="SE2_OTHER"/>
    <x v="2"/>
    <s v="GBPR_MUNIWASTE_24"/>
    <x v="0"/>
    <x v="0"/>
    <n v="13.1783135275753"/>
    <n v="4810.0844375650004"/>
    <n v="17316.303975234001"/>
  </r>
  <r>
    <x v="0"/>
    <x v="0"/>
    <x v="0"/>
    <x v="8"/>
    <x v="17"/>
    <s v="SE2_OTHER"/>
    <x v="2"/>
    <s v="GBPR_MUNIWASTE_24"/>
    <x v="0"/>
    <x v="1"/>
    <n v="13.1783135275753"/>
    <n v="4810.0844375650004"/>
    <n v="17316.303975234001"/>
  </r>
  <r>
    <x v="0"/>
    <x v="0"/>
    <x v="0"/>
    <x v="8"/>
    <x v="17"/>
    <s v="SE2_OTHER"/>
    <x v="2"/>
    <s v="GBPR_MUNIWASTE_24"/>
    <x v="0"/>
    <x v="2"/>
    <n v="13.1783135275753"/>
    <n v="4810.0844375650004"/>
    <n v="17316.303975234001"/>
  </r>
  <r>
    <x v="0"/>
    <x v="0"/>
    <x v="0"/>
    <x v="8"/>
    <x v="17"/>
    <s v="SE2_OTHER"/>
    <x v="2"/>
    <s v="GBPR_MUNIWASTE_24"/>
    <x v="0"/>
    <x v="3"/>
    <n v="13.1783135275753"/>
    <n v="4810.0844375650004"/>
    <n v="17316.303975234001"/>
  </r>
  <r>
    <x v="0"/>
    <x v="0"/>
    <x v="0"/>
    <x v="8"/>
    <x v="17"/>
    <s v="SE2_OTHER"/>
    <x v="2"/>
    <s v="GBPR_MUNIWASTE_24"/>
    <x v="0"/>
    <x v="12"/>
    <n v="13.1783135275753"/>
    <n v="4810.0844375650004"/>
    <n v="17316.303975234001"/>
  </r>
  <r>
    <x v="0"/>
    <x v="0"/>
    <x v="0"/>
    <x v="8"/>
    <x v="17"/>
    <s v="SE2_OTHER"/>
    <x v="2"/>
    <s v="GBPR_MUNIWASTE_24"/>
    <x v="0"/>
    <x v="13"/>
    <n v="13.1783135275753"/>
    <n v="4810.0844375650004"/>
    <n v="17316.303975234001"/>
  </r>
  <r>
    <x v="0"/>
    <x v="0"/>
    <x v="0"/>
    <x v="8"/>
    <x v="17"/>
    <s v="SE2_OTHER"/>
    <x v="2"/>
    <s v="GBPR_MUNIWASTE_24"/>
    <x v="0"/>
    <x v="14"/>
    <n v="13.1783135275753"/>
    <n v="4810.0844375650004"/>
    <n v="17316.303975234001"/>
  </r>
  <r>
    <x v="0"/>
    <x v="0"/>
    <x v="0"/>
    <x v="8"/>
    <x v="17"/>
    <s v="SE2_OTHER"/>
    <x v="2"/>
    <s v="GBPR_MUNIWASTE_24"/>
    <x v="0"/>
    <x v="15"/>
    <n v="13.1783135275753"/>
    <n v="4810.0844375650004"/>
    <n v="17316.303975234001"/>
  </r>
  <r>
    <x v="0"/>
    <x v="0"/>
    <x v="0"/>
    <x v="8"/>
    <x v="17"/>
    <s v="SE2_OTHER"/>
    <x v="2"/>
    <s v="GBPR_MUNIWASTE_24"/>
    <x v="0"/>
    <x v="4"/>
    <n v="13.1783135275753"/>
    <n v="4810.0844375650004"/>
    <n v="17316.303975234001"/>
  </r>
  <r>
    <x v="0"/>
    <x v="0"/>
    <x v="0"/>
    <x v="8"/>
    <x v="17"/>
    <s v="SE2_OTHER"/>
    <x v="2"/>
    <s v="GBPR_MUNIWASTE_24"/>
    <x v="0"/>
    <x v="16"/>
    <n v="13.1783135275753"/>
    <n v="4810.0844375650004"/>
    <n v="17316.303975234001"/>
  </r>
  <r>
    <x v="0"/>
    <x v="0"/>
    <x v="0"/>
    <x v="8"/>
    <x v="17"/>
    <s v="SE2_OTHER"/>
    <x v="2"/>
    <s v="GBPR_MUNIWASTE_24"/>
    <x v="0"/>
    <x v="5"/>
    <n v="13.1783135275753"/>
    <n v="4810.0844375650004"/>
    <n v="17316.303975234001"/>
  </r>
  <r>
    <x v="0"/>
    <x v="0"/>
    <x v="0"/>
    <x v="8"/>
    <x v="17"/>
    <s v="SE2_OTHER"/>
    <x v="2"/>
    <s v="GBPR_MUNIWASTE_24"/>
    <x v="0"/>
    <x v="17"/>
    <n v="13.1783135275753"/>
    <n v="4810.0844375650004"/>
    <n v="17316.303975234001"/>
  </r>
  <r>
    <x v="0"/>
    <x v="0"/>
    <x v="0"/>
    <x v="8"/>
    <x v="17"/>
    <s v="SE2_OTHER"/>
    <x v="2"/>
    <s v="GBPR_MUNIWASTE_24"/>
    <x v="0"/>
    <x v="18"/>
    <n v="13.1783135275753"/>
    <n v="4810.0844375650004"/>
    <n v="17316.303975234001"/>
  </r>
  <r>
    <x v="0"/>
    <x v="0"/>
    <x v="0"/>
    <x v="8"/>
    <x v="17"/>
    <s v="SE2_OTHER"/>
    <x v="2"/>
    <s v="GBPR_MUNIWASTE_24"/>
    <x v="0"/>
    <x v="19"/>
    <n v="13.1783135275753"/>
    <n v="4810.0844375650004"/>
    <n v="17316.303975234001"/>
  </r>
  <r>
    <x v="0"/>
    <x v="0"/>
    <x v="0"/>
    <x v="8"/>
    <x v="17"/>
    <s v="SE2_OTHER"/>
    <x v="2"/>
    <s v="GBPR_MUNIWASTE_24"/>
    <x v="0"/>
    <x v="20"/>
    <n v="13.1783135275753"/>
    <n v="4810.0844375650004"/>
    <n v="17316.303975234001"/>
  </r>
  <r>
    <x v="0"/>
    <x v="0"/>
    <x v="0"/>
    <x v="8"/>
    <x v="17"/>
    <s v="SE2_OTHER"/>
    <x v="2"/>
    <s v="GBPR_MUNIWASTE_24"/>
    <x v="0"/>
    <x v="21"/>
    <n v="13.1783135275753"/>
    <n v="4810.0844375650004"/>
    <n v="17316.303975234001"/>
  </r>
  <r>
    <x v="0"/>
    <x v="0"/>
    <x v="0"/>
    <x v="8"/>
    <x v="17"/>
    <s v="SE2_OTHER"/>
    <x v="2"/>
    <s v="GBPR_MUNIWASTE_24"/>
    <x v="0"/>
    <x v="22"/>
    <n v="13.1783135275753"/>
    <n v="4810.0844375650004"/>
    <n v="17316.303975234001"/>
  </r>
  <r>
    <x v="0"/>
    <x v="0"/>
    <x v="0"/>
    <x v="8"/>
    <x v="17"/>
    <s v="SE2_OTHER"/>
    <x v="2"/>
    <s v="GBPR_MUNIWASTE_24"/>
    <x v="0"/>
    <x v="23"/>
    <n v="13.1783135275753"/>
    <n v="4810.0844375650004"/>
    <n v="17316.303975234001"/>
  </r>
  <r>
    <x v="0"/>
    <x v="0"/>
    <x v="0"/>
    <x v="8"/>
    <x v="17"/>
    <s v="SE2_OTHER"/>
    <x v="5"/>
    <s v="GHOB_WASTEHEAT"/>
    <x v="0"/>
    <x v="6"/>
    <n v="16.031295787545702"/>
    <n v="5851.4229624541904"/>
    <n v="21065.1226648351"/>
  </r>
  <r>
    <x v="0"/>
    <x v="0"/>
    <x v="0"/>
    <x v="8"/>
    <x v="17"/>
    <s v="SE2_OTHER"/>
    <x v="5"/>
    <s v="GHOB_WASTEHEAT"/>
    <x v="0"/>
    <x v="7"/>
    <n v="16.031295787545702"/>
    <n v="5851.4229624541904"/>
    <n v="21065.1226648351"/>
  </r>
  <r>
    <x v="0"/>
    <x v="0"/>
    <x v="0"/>
    <x v="8"/>
    <x v="17"/>
    <s v="SE2_OTHER"/>
    <x v="5"/>
    <s v="GHOB_WASTEHEAT"/>
    <x v="0"/>
    <x v="8"/>
    <n v="16.031295787545702"/>
    <n v="5851.4229624541904"/>
    <n v="21065.1226648351"/>
  </r>
  <r>
    <x v="0"/>
    <x v="0"/>
    <x v="0"/>
    <x v="8"/>
    <x v="17"/>
    <s v="SE2_OTHER"/>
    <x v="5"/>
    <s v="GHOB_WASTEHEAT"/>
    <x v="0"/>
    <x v="9"/>
    <n v="16.031295787545702"/>
    <n v="5851.4229624541904"/>
    <n v="21065.1226648351"/>
  </r>
  <r>
    <x v="0"/>
    <x v="0"/>
    <x v="0"/>
    <x v="8"/>
    <x v="17"/>
    <s v="SE2_OTHER"/>
    <x v="5"/>
    <s v="GHOB_WASTEHEAT"/>
    <x v="0"/>
    <x v="10"/>
    <n v="16.031295787545702"/>
    <n v="5851.4229624541904"/>
    <n v="21065.1226648351"/>
  </r>
  <r>
    <x v="0"/>
    <x v="0"/>
    <x v="0"/>
    <x v="8"/>
    <x v="17"/>
    <s v="SE2_OTHER"/>
    <x v="5"/>
    <s v="GHOB_WASTEHEAT"/>
    <x v="0"/>
    <x v="11"/>
    <n v="16.031295787545702"/>
    <n v="5851.4229624541904"/>
    <n v="21065.1226648351"/>
  </r>
  <r>
    <x v="0"/>
    <x v="0"/>
    <x v="0"/>
    <x v="8"/>
    <x v="17"/>
    <s v="SE2_OTHER"/>
    <x v="5"/>
    <s v="GHOB_WASTEHEAT"/>
    <x v="0"/>
    <x v="0"/>
    <n v="16.031295787545702"/>
    <n v="5851.4229624541904"/>
    <n v="21065.1226648351"/>
  </r>
  <r>
    <x v="0"/>
    <x v="0"/>
    <x v="0"/>
    <x v="8"/>
    <x v="17"/>
    <s v="SE2_OTHER"/>
    <x v="5"/>
    <s v="GHOB_WASTEHEAT"/>
    <x v="0"/>
    <x v="1"/>
    <n v="16.031295787545702"/>
    <n v="5851.4229624541904"/>
    <n v="21065.1226648351"/>
  </r>
  <r>
    <x v="0"/>
    <x v="0"/>
    <x v="0"/>
    <x v="8"/>
    <x v="17"/>
    <s v="SE2_OTHER"/>
    <x v="5"/>
    <s v="GHOB_WASTEHEAT"/>
    <x v="0"/>
    <x v="2"/>
    <n v="16.031295787545702"/>
    <n v="5851.4229624541904"/>
    <n v="21065.1226648351"/>
  </r>
  <r>
    <x v="0"/>
    <x v="0"/>
    <x v="0"/>
    <x v="8"/>
    <x v="17"/>
    <s v="SE2_OTHER"/>
    <x v="5"/>
    <s v="GHOB_WASTEHEAT"/>
    <x v="0"/>
    <x v="3"/>
    <n v="16.031295787545702"/>
    <n v="5851.4229624541904"/>
    <n v="21065.1226648351"/>
  </r>
  <r>
    <x v="0"/>
    <x v="0"/>
    <x v="0"/>
    <x v="8"/>
    <x v="17"/>
    <s v="SE2_OTHER"/>
    <x v="5"/>
    <s v="GHOB_WASTEHEAT"/>
    <x v="0"/>
    <x v="12"/>
    <n v="16.031295787545702"/>
    <n v="5851.4229624541904"/>
    <n v="21065.1226648351"/>
  </r>
  <r>
    <x v="0"/>
    <x v="0"/>
    <x v="0"/>
    <x v="8"/>
    <x v="17"/>
    <s v="SE2_OTHER"/>
    <x v="5"/>
    <s v="GHOB_WASTEHEAT"/>
    <x v="0"/>
    <x v="13"/>
    <n v="16.031295787545702"/>
    <n v="5851.4229624541904"/>
    <n v="21065.1226648351"/>
  </r>
  <r>
    <x v="0"/>
    <x v="0"/>
    <x v="0"/>
    <x v="8"/>
    <x v="17"/>
    <s v="SE2_OTHER"/>
    <x v="5"/>
    <s v="GHOB_WASTEHEAT"/>
    <x v="0"/>
    <x v="14"/>
    <n v="16.031295787545702"/>
    <n v="5851.4229624541904"/>
    <n v="21065.1226648351"/>
  </r>
  <r>
    <x v="0"/>
    <x v="0"/>
    <x v="0"/>
    <x v="8"/>
    <x v="17"/>
    <s v="SE2_OTHER"/>
    <x v="5"/>
    <s v="GHOB_WASTEHEAT"/>
    <x v="0"/>
    <x v="15"/>
    <n v="16.031295787545702"/>
    <n v="5851.4229624541904"/>
    <n v="21065.1226648351"/>
  </r>
  <r>
    <x v="0"/>
    <x v="0"/>
    <x v="0"/>
    <x v="8"/>
    <x v="17"/>
    <s v="SE2_OTHER"/>
    <x v="5"/>
    <s v="GHOB_WASTEHEAT"/>
    <x v="0"/>
    <x v="4"/>
    <n v="16.031295787545702"/>
    <n v="5851.4229624541904"/>
    <n v="21065.1226648351"/>
  </r>
  <r>
    <x v="0"/>
    <x v="0"/>
    <x v="0"/>
    <x v="8"/>
    <x v="17"/>
    <s v="SE2_OTHER"/>
    <x v="5"/>
    <s v="GHOB_WASTEHEAT"/>
    <x v="0"/>
    <x v="16"/>
    <n v="16.031295787545702"/>
    <n v="5851.4229624541904"/>
    <n v="21065.1226648351"/>
  </r>
  <r>
    <x v="0"/>
    <x v="0"/>
    <x v="0"/>
    <x v="8"/>
    <x v="17"/>
    <s v="SE2_OTHER"/>
    <x v="5"/>
    <s v="GHOB_WASTEHEAT"/>
    <x v="0"/>
    <x v="5"/>
    <n v="16.031295787545702"/>
    <n v="5851.4229624541904"/>
    <n v="21065.1226648351"/>
  </r>
  <r>
    <x v="0"/>
    <x v="0"/>
    <x v="0"/>
    <x v="8"/>
    <x v="17"/>
    <s v="SE2_OTHER"/>
    <x v="5"/>
    <s v="GHOB_WASTEHEAT"/>
    <x v="0"/>
    <x v="17"/>
    <n v="16.031295787545702"/>
    <n v="5851.4229624541904"/>
    <n v="21065.1226648351"/>
  </r>
  <r>
    <x v="0"/>
    <x v="0"/>
    <x v="0"/>
    <x v="8"/>
    <x v="17"/>
    <s v="SE2_OTHER"/>
    <x v="5"/>
    <s v="GHOB_WASTEHEAT"/>
    <x v="0"/>
    <x v="18"/>
    <n v="16.031295787545702"/>
    <n v="5851.4229624541904"/>
    <n v="21065.1226648351"/>
  </r>
  <r>
    <x v="0"/>
    <x v="0"/>
    <x v="0"/>
    <x v="8"/>
    <x v="17"/>
    <s v="SE2_OTHER"/>
    <x v="5"/>
    <s v="GHOB_WASTEHEAT"/>
    <x v="0"/>
    <x v="19"/>
    <n v="16.031295787545702"/>
    <n v="5851.4229624541904"/>
    <n v="21065.1226648351"/>
  </r>
  <r>
    <x v="0"/>
    <x v="0"/>
    <x v="0"/>
    <x v="8"/>
    <x v="17"/>
    <s v="SE2_OTHER"/>
    <x v="5"/>
    <s v="GHOB_WASTEHEAT"/>
    <x v="0"/>
    <x v="20"/>
    <n v="16.031295787545702"/>
    <n v="5851.4229624541904"/>
    <n v="21065.1226648351"/>
  </r>
  <r>
    <x v="0"/>
    <x v="0"/>
    <x v="0"/>
    <x v="8"/>
    <x v="17"/>
    <s v="SE2_OTHER"/>
    <x v="5"/>
    <s v="GHOB_WASTEHEAT"/>
    <x v="0"/>
    <x v="21"/>
    <n v="16.031295787545702"/>
    <n v="5851.4229624541904"/>
    <n v="21065.1226648351"/>
  </r>
  <r>
    <x v="0"/>
    <x v="0"/>
    <x v="0"/>
    <x v="8"/>
    <x v="17"/>
    <s v="SE2_OTHER"/>
    <x v="5"/>
    <s v="GHOB_WASTEHEAT"/>
    <x v="0"/>
    <x v="22"/>
    <n v="16.031295787545702"/>
    <n v="5851.4229624541904"/>
    <n v="21065.1226648351"/>
  </r>
  <r>
    <x v="0"/>
    <x v="0"/>
    <x v="0"/>
    <x v="8"/>
    <x v="17"/>
    <s v="SE2_OTHER"/>
    <x v="5"/>
    <s v="GHOB_WASTEHEAT"/>
    <x v="0"/>
    <x v="23"/>
    <n v="16.031295787545702"/>
    <n v="5851.4229624541904"/>
    <n v="21065.1226648351"/>
  </r>
  <r>
    <x v="0"/>
    <x v="0"/>
    <x v="0"/>
    <x v="8"/>
    <x v="17"/>
    <s v="SE2_OTHER"/>
    <x v="8"/>
    <s v="GBPR_WOODWASTE_36"/>
    <x v="0"/>
    <x v="6"/>
    <n v="121.046998448051"/>
    <n v="44182.154433538599"/>
    <n v="159055.75596073901"/>
  </r>
  <r>
    <x v="0"/>
    <x v="0"/>
    <x v="0"/>
    <x v="8"/>
    <x v="17"/>
    <s v="SE2_OTHER"/>
    <x v="8"/>
    <s v="GBPR_WOODWASTE_36"/>
    <x v="0"/>
    <x v="7"/>
    <n v="121.046998448051"/>
    <n v="44182.154433538599"/>
    <n v="159055.75596073901"/>
  </r>
  <r>
    <x v="0"/>
    <x v="0"/>
    <x v="0"/>
    <x v="8"/>
    <x v="17"/>
    <s v="SE2_OTHER"/>
    <x v="8"/>
    <s v="GBPR_WOODWASTE_36"/>
    <x v="0"/>
    <x v="8"/>
    <n v="121.046998448051"/>
    <n v="44182.154433538599"/>
    <n v="159055.75596073901"/>
  </r>
  <r>
    <x v="0"/>
    <x v="0"/>
    <x v="0"/>
    <x v="8"/>
    <x v="17"/>
    <s v="SE2_OTHER"/>
    <x v="8"/>
    <s v="GBPR_WOODWASTE_36"/>
    <x v="0"/>
    <x v="9"/>
    <n v="121.046998448051"/>
    <n v="44182.154433538599"/>
    <n v="159055.75596073901"/>
  </r>
  <r>
    <x v="0"/>
    <x v="0"/>
    <x v="0"/>
    <x v="8"/>
    <x v="17"/>
    <s v="SE2_OTHER"/>
    <x v="8"/>
    <s v="GBPR_WOODWASTE_36"/>
    <x v="0"/>
    <x v="10"/>
    <n v="121.046998448051"/>
    <n v="44182.154433538599"/>
    <n v="159055.75596073901"/>
  </r>
  <r>
    <x v="0"/>
    <x v="0"/>
    <x v="0"/>
    <x v="8"/>
    <x v="17"/>
    <s v="SE2_OTHER"/>
    <x v="8"/>
    <s v="GBPR_WOODWASTE_36"/>
    <x v="0"/>
    <x v="11"/>
    <n v="121.046998448051"/>
    <n v="44182.154433538599"/>
    <n v="159055.75596073901"/>
  </r>
  <r>
    <x v="0"/>
    <x v="0"/>
    <x v="0"/>
    <x v="8"/>
    <x v="17"/>
    <s v="SE2_OTHER"/>
    <x v="8"/>
    <s v="GBPR_WOODWASTE_36"/>
    <x v="0"/>
    <x v="0"/>
    <n v="121.046998448051"/>
    <n v="44182.154433538599"/>
    <n v="159055.75596073901"/>
  </r>
  <r>
    <x v="0"/>
    <x v="0"/>
    <x v="0"/>
    <x v="8"/>
    <x v="17"/>
    <s v="SE2_OTHER"/>
    <x v="8"/>
    <s v="GBPR_WOODWASTE_36"/>
    <x v="0"/>
    <x v="1"/>
    <n v="121.046998448051"/>
    <n v="44182.154433538599"/>
    <n v="159055.75596073901"/>
  </r>
  <r>
    <x v="0"/>
    <x v="0"/>
    <x v="0"/>
    <x v="8"/>
    <x v="17"/>
    <s v="SE2_OTHER"/>
    <x v="8"/>
    <s v="GBPR_WOODWASTE_36"/>
    <x v="0"/>
    <x v="2"/>
    <n v="121.046998448051"/>
    <n v="44182.154433538599"/>
    <n v="159055.75596073901"/>
  </r>
  <r>
    <x v="0"/>
    <x v="0"/>
    <x v="0"/>
    <x v="8"/>
    <x v="17"/>
    <s v="SE2_OTHER"/>
    <x v="8"/>
    <s v="GBPR_WOODWASTE_36"/>
    <x v="0"/>
    <x v="3"/>
    <n v="121.046998448051"/>
    <n v="44182.154433538599"/>
    <n v="159055.75596073901"/>
  </r>
  <r>
    <x v="0"/>
    <x v="0"/>
    <x v="0"/>
    <x v="8"/>
    <x v="17"/>
    <s v="SE2_OTHER"/>
    <x v="8"/>
    <s v="GBPR_WOODWASTE_36"/>
    <x v="0"/>
    <x v="12"/>
    <n v="121.046998448051"/>
    <n v="44182.154433538599"/>
    <n v="159055.75596073901"/>
  </r>
  <r>
    <x v="0"/>
    <x v="0"/>
    <x v="0"/>
    <x v="8"/>
    <x v="17"/>
    <s v="SE2_OTHER"/>
    <x v="8"/>
    <s v="GBPR_WOODWASTE_36"/>
    <x v="0"/>
    <x v="13"/>
    <n v="121.046998448051"/>
    <n v="44182.154433538599"/>
    <n v="159055.75596073901"/>
  </r>
  <r>
    <x v="0"/>
    <x v="0"/>
    <x v="0"/>
    <x v="8"/>
    <x v="17"/>
    <s v="SE2_OTHER"/>
    <x v="8"/>
    <s v="GBPR_WOODWASTE_36"/>
    <x v="0"/>
    <x v="14"/>
    <n v="121.046998448051"/>
    <n v="44182.154433538599"/>
    <n v="159055.75596073901"/>
  </r>
  <r>
    <x v="0"/>
    <x v="0"/>
    <x v="0"/>
    <x v="8"/>
    <x v="17"/>
    <s v="SE2_OTHER"/>
    <x v="8"/>
    <s v="GBPR_WOODWASTE_36"/>
    <x v="0"/>
    <x v="15"/>
    <n v="121.046998448051"/>
    <n v="44182.154433538599"/>
    <n v="159055.75596073901"/>
  </r>
  <r>
    <x v="0"/>
    <x v="0"/>
    <x v="0"/>
    <x v="8"/>
    <x v="17"/>
    <s v="SE2_OTHER"/>
    <x v="8"/>
    <s v="GBPR_WOODWASTE_36"/>
    <x v="0"/>
    <x v="4"/>
    <n v="121.046998448051"/>
    <n v="44182.154433538599"/>
    <n v="159055.75596073901"/>
  </r>
  <r>
    <x v="0"/>
    <x v="0"/>
    <x v="0"/>
    <x v="8"/>
    <x v="17"/>
    <s v="SE2_OTHER"/>
    <x v="8"/>
    <s v="GBPR_WOODWASTE_36"/>
    <x v="0"/>
    <x v="16"/>
    <n v="121.046998448051"/>
    <n v="44182.154433538599"/>
    <n v="159055.75596073901"/>
  </r>
  <r>
    <x v="0"/>
    <x v="0"/>
    <x v="0"/>
    <x v="8"/>
    <x v="17"/>
    <s v="SE2_OTHER"/>
    <x v="8"/>
    <s v="GBPR_WOODWASTE_36"/>
    <x v="0"/>
    <x v="5"/>
    <n v="121.046998448051"/>
    <n v="44182.154433538599"/>
    <n v="159055.75596073901"/>
  </r>
  <r>
    <x v="0"/>
    <x v="0"/>
    <x v="0"/>
    <x v="8"/>
    <x v="17"/>
    <s v="SE2_OTHER"/>
    <x v="8"/>
    <s v="GBPR_WOODWASTE_36"/>
    <x v="0"/>
    <x v="17"/>
    <n v="121.046998448051"/>
    <n v="44182.154433538599"/>
    <n v="159055.75596073901"/>
  </r>
  <r>
    <x v="0"/>
    <x v="0"/>
    <x v="0"/>
    <x v="8"/>
    <x v="17"/>
    <s v="SE2_OTHER"/>
    <x v="8"/>
    <s v="GBPR_WOODWASTE_36"/>
    <x v="0"/>
    <x v="18"/>
    <n v="121.046998448051"/>
    <n v="44182.154433538599"/>
    <n v="159055.75596073901"/>
  </r>
  <r>
    <x v="0"/>
    <x v="0"/>
    <x v="0"/>
    <x v="8"/>
    <x v="17"/>
    <s v="SE2_OTHER"/>
    <x v="8"/>
    <s v="GBPR_WOODWASTE_36"/>
    <x v="0"/>
    <x v="19"/>
    <n v="121.046998448051"/>
    <n v="44182.154433538599"/>
    <n v="159055.75596073901"/>
  </r>
  <r>
    <x v="0"/>
    <x v="0"/>
    <x v="0"/>
    <x v="8"/>
    <x v="17"/>
    <s v="SE2_OTHER"/>
    <x v="8"/>
    <s v="GBPR_WOODWASTE_36"/>
    <x v="0"/>
    <x v="20"/>
    <n v="121.046998448051"/>
    <n v="44182.154433538599"/>
    <n v="159055.75596073901"/>
  </r>
  <r>
    <x v="0"/>
    <x v="0"/>
    <x v="0"/>
    <x v="8"/>
    <x v="17"/>
    <s v="SE2_OTHER"/>
    <x v="8"/>
    <s v="GBPR_WOODWASTE_36"/>
    <x v="0"/>
    <x v="21"/>
    <n v="121.046998448051"/>
    <n v="44182.154433538599"/>
    <n v="159055.75596073901"/>
  </r>
  <r>
    <x v="0"/>
    <x v="0"/>
    <x v="0"/>
    <x v="8"/>
    <x v="17"/>
    <s v="SE2_OTHER"/>
    <x v="8"/>
    <s v="GBPR_WOODWASTE_36"/>
    <x v="0"/>
    <x v="22"/>
    <n v="121.046998448051"/>
    <n v="44182.154433538599"/>
    <n v="159055.75596073901"/>
  </r>
  <r>
    <x v="0"/>
    <x v="0"/>
    <x v="0"/>
    <x v="8"/>
    <x v="17"/>
    <s v="SE2_OTHER"/>
    <x v="8"/>
    <s v="GBPR_WOODWASTE_36"/>
    <x v="0"/>
    <x v="23"/>
    <n v="121.046998448051"/>
    <n v="44182.154433538599"/>
    <n v="159055.75596073901"/>
  </r>
  <r>
    <x v="0"/>
    <x v="0"/>
    <x v="0"/>
    <x v="8"/>
    <x v="17"/>
    <s v="SE2_OTHER"/>
    <x v="8"/>
    <s v="GHOB_WOODWASTE"/>
    <x v="0"/>
    <x v="6"/>
    <n v="13.3390631853126"/>
    <n v="4868.7580626391"/>
    <n v="17527.5290255008"/>
  </r>
  <r>
    <x v="0"/>
    <x v="0"/>
    <x v="0"/>
    <x v="8"/>
    <x v="17"/>
    <s v="SE2_OTHER"/>
    <x v="8"/>
    <s v="GHOB_WOODWASTE"/>
    <x v="0"/>
    <x v="7"/>
    <n v="11.8632617935149"/>
    <n v="4330.0905546329504"/>
    <n v="15588.325996678601"/>
  </r>
  <r>
    <x v="0"/>
    <x v="0"/>
    <x v="0"/>
    <x v="8"/>
    <x v="17"/>
    <s v="SE2_OTHER"/>
    <x v="8"/>
    <s v="GHOB_WOODWASTE"/>
    <x v="0"/>
    <x v="8"/>
    <n v="14.004294620731001"/>
    <n v="5111.5675365668303"/>
    <n v="18401.643131640601"/>
  </r>
  <r>
    <x v="0"/>
    <x v="0"/>
    <x v="0"/>
    <x v="8"/>
    <x v="17"/>
    <s v="SE2_OTHER"/>
    <x v="8"/>
    <s v="GHOB_WOODWASTE"/>
    <x v="0"/>
    <x v="9"/>
    <n v="18.908089419712201"/>
    <n v="6901.4526381949699"/>
    <n v="24845.229497501899"/>
  </r>
  <r>
    <x v="0"/>
    <x v="0"/>
    <x v="0"/>
    <x v="8"/>
    <x v="17"/>
    <s v="SE2_OTHER"/>
    <x v="8"/>
    <s v="GHOB_WOODWASTE"/>
    <x v="0"/>
    <x v="10"/>
    <n v="25.108468028895"/>
    <n v="9164.5908305466692"/>
    <n v="32992.526989967999"/>
  </r>
  <r>
    <x v="0"/>
    <x v="0"/>
    <x v="0"/>
    <x v="8"/>
    <x v="17"/>
    <s v="SE2_OTHER"/>
    <x v="8"/>
    <s v="GHOB_WOODWASTE"/>
    <x v="0"/>
    <x v="11"/>
    <n v="36.691213693951902"/>
    <n v="13392.2929982924"/>
    <n v="48212.254793852801"/>
  </r>
  <r>
    <x v="0"/>
    <x v="0"/>
    <x v="0"/>
    <x v="8"/>
    <x v="17"/>
    <s v="SE2_OTHER"/>
    <x v="8"/>
    <s v="GHOB_WOODWASTE"/>
    <x v="0"/>
    <x v="0"/>
    <n v="67.185529945773595"/>
    <n v="24522.718430207398"/>
    <n v="88281.786348746493"/>
  </r>
  <r>
    <x v="0"/>
    <x v="0"/>
    <x v="0"/>
    <x v="8"/>
    <x v="17"/>
    <s v="SE2_OTHER"/>
    <x v="8"/>
    <s v="GHOB_WOODWASTE"/>
    <x v="0"/>
    <x v="1"/>
    <n v="82.987764166750793"/>
    <n v="30290.533920864"/>
    <n v="109045.922115111"/>
  </r>
  <r>
    <x v="0"/>
    <x v="0"/>
    <x v="0"/>
    <x v="8"/>
    <x v="17"/>
    <s v="SE2_OTHER"/>
    <x v="8"/>
    <s v="GHOB_WOODWASTE"/>
    <x v="0"/>
    <x v="2"/>
    <n v="84.007808641950206"/>
    <n v="30662.8501543118"/>
    <n v="110386.260555523"/>
  </r>
  <r>
    <x v="0"/>
    <x v="0"/>
    <x v="0"/>
    <x v="8"/>
    <x v="17"/>
    <s v="SE2_OTHER"/>
    <x v="8"/>
    <s v="GHOB_WOODWASTE"/>
    <x v="0"/>
    <x v="3"/>
    <n v="87.125461023719396"/>
    <n v="31800.7932736576"/>
    <n v="114482.855785167"/>
  </r>
  <r>
    <x v="0"/>
    <x v="0"/>
    <x v="0"/>
    <x v="8"/>
    <x v="17"/>
    <s v="SE2_OTHER"/>
    <x v="8"/>
    <s v="GHOB_WOODWASTE"/>
    <x v="0"/>
    <x v="12"/>
    <n v="83.747375614237697"/>
    <n v="30567.792099196799"/>
    <n v="110044.051557108"/>
  </r>
  <r>
    <x v="0"/>
    <x v="0"/>
    <x v="0"/>
    <x v="8"/>
    <x v="17"/>
    <s v="SE2_OTHER"/>
    <x v="8"/>
    <s v="GHOB_WOODWASTE"/>
    <x v="0"/>
    <x v="13"/>
    <n v="83.2633824399704"/>
    <n v="30391.134590589201"/>
    <n v="109408.08452612101"/>
  </r>
  <r>
    <x v="0"/>
    <x v="0"/>
    <x v="0"/>
    <x v="8"/>
    <x v="17"/>
    <s v="SE2_OTHER"/>
    <x v="8"/>
    <s v="GHOB_WOODWASTE"/>
    <x v="0"/>
    <x v="14"/>
    <n v="82.446957554402402"/>
    <n v="30093.1395073569"/>
    <n v="108335.302226485"/>
  </r>
  <r>
    <x v="0"/>
    <x v="0"/>
    <x v="0"/>
    <x v="8"/>
    <x v="17"/>
    <s v="SE2_OTHER"/>
    <x v="8"/>
    <s v="GHOB_WOODWASTE"/>
    <x v="0"/>
    <x v="15"/>
    <n v="81.657952557067105"/>
    <n v="29805.152683329499"/>
    <n v="107298.54965998601"/>
  </r>
  <r>
    <x v="0"/>
    <x v="0"/>
    <x v="0"/>
    <x v="8"/>
    <x v="17"/>
    <s v="SE2_OTHER"/>
    <x v="8"/>
    <s v="GHOB_WOODWASTE"/>
    <x v="0"/>
    <x v="4"/>
    <n v="79.310135910057397"/>
    <n v="28948.199607170998"/>
    <n v="104213.51858581501"/>
  </r>
  <r>
    <x v="0"/>
    <x v="0"/>
    <x v="0"/>
    <x v="8"/>
    <x v="17"/>
    <s v="SE2_OTHER"/>
    <x v="8"/>
    <s v="GHOB_WOODWASTE"/>
    <x v="0"/>
    <x v="16"/>
    <n v="78.9161993012696"/>
    <n v="28804.4127449634"/>
    <n v="103695.885881868"/>
  </r>
  <r>
    <x v="0"/>
    <x v="0"/>
    <x v="0"/>
    <x v="8"/>
    <x v="17"/>
    <s v="SE2_OTHER"/>
    <x v="8"/>
    <s v="GHOB_WOODWASTE"/>
    <x v="0"/>
    <x v="5"/>
    <n v="68.446261997045994"/>
    <n v="24982.885628921798"/>
    <n v="89938.388264118403"/>
  </r>
  <r>
    <x v="0"/>
    <x v="0"/>
    <x v="0"/>
    <x v="8"/>
    <x v="17"/>
    <s v="SE2_OTHER"/>
    <x v="8"/>
    <s v="GHOB_WOODWASTE"/>
    <x v="0"/>
    <x v="17"/>
    <n v="60.424404536365799"/>
    <n v="22054.907655773499"/>
    <n v="79397.667560784699"/>
  </r>
  <r>
    <x v="0"/>
    <x v="0"/>
    <x v="0"/>
    <x v="8"/>
    <x v="17"/>
    <s v="SE2_OTHER"/>
    <x v="8"/>
    <s v="GHOB_WOODWASTE"/>
    <x v="0"/>
    <x v="18"/>
    <n v="53.455194218882497"/>
    <n v="19511.145889892101"/>
    <n v="70240.125203611606"/>
  </r>
  <r>
    <x v="0"/>
    <x v="0"/>
    <x v="0"/>
    <x v="8"/>
    <x v="17"/>
    <s v="SE2_OTHER"/>
    <x v="8"/>
    <s v="GHOB_WOODWASTE"/>
    <x v="0"/>
    <x v="19"/>
    <n v="46.995506303797001"/>
    <n v="17153.359800885901"/>
    <n v="61752.095283189301"/>
  </r>
  <r>
    <x v="0"/>
    <x v="0"/>
    <x v="0"/>
    <x v="8"/>
    <x v="17"/>
    <s v="SE2_OTHER"/>
    <x v="8"/>
    <s v="GHOB_WOODWASTE"/>
    <x v="0"/>
    <x v="20"/>
    <n v="40.0598405353633"/>
    <n v="14621.841795407599"/>
    <n v="52638.6304634673"/>
  </r>
  <r>
    <x v="0"/>
    <x v="0"/>
    <x v="0"/>
    <x v="8"/>
    <x v="17"/>
    <s v="SE2_OTHER"/>
    <x v="8"/>
    <s v="GHOB_WOODWASTE"/>
    <x v="0"/>
    <x v="21"/>
    <n v="35.129044190215602"/>
    <n v="12822.1011294287"/>
    <n v="46159.564065943297"/>
  </r>
  <r>
    <x v="0"/>
    <x v="0"/>
    <x v="0"/>
    <x v="8"/>
    <x v="17"/>
    <s v="SE2_OTHER"/>
    <x v="8"/>
    <s v="GHOB_WOODWASTE"/>
    <x v="0"/>
    <x v="22"/>
    <n v="27.1463630265274"/>
    <n v="9908.4225046824795"/>
    <n v="35670.321016856898"/>
  </r>
  <r>
    <x v="0"/>
    <x v="0"/>
    <x v="0"/>
    <x v="8"/>
    <x v="17"/>
    <s v="SE2_OTHER"/>
    <x v="8"/>
    <s v="GHOB_WOODWASTE"/>
    <x v="0"/>
    <x v="23"/>
    <n v="20.893073855068"/>
    <n v="7625.9719570998304"/>
    <n v="27453.499045559402"/>
  </r>
  <r>
    <x v="0"/>
    <x v="0"/>
    <x v="0"/>
    <x v="8"/>
    <x v="18"/>
    <s v="SE3A"/>
    <x v="10"/>
    <s v="GBPR_IND_BIO"/>
    <x v="0"/>
    <x v="10"/>
    <n v="11.5403893528268"/>
    <n v="4212.2421137818001"/>
    <n v="15164.071609614501"/>
  </r>
  <r>
    <x v="0"/>
    <x v="0"/>
    <x v="0"/>
    <x v="8"/>
    <x v="18"/>
    <s v="SE3A"/>
    <x v="10"/>
    <s v="GBPR_IND_BIO"/>
    <x v="0"/>
    <x v="11"/>
    <n v="1290.45454545455"/>
    <n v="471015.909090909"/>
    <n v="1695657.2727272699"/>
  </r>
  <r>
    <x v="0"/>
    <x v="0"/>
    <x v="0"/>
    <x v="8"/>
    <x v="18"/>
    <s v="SE3A"/>
    <x v="10"/>
    <s v="GBPR_IND_BIO"/>
    <x v="0"/>
    <x v="0"/>
    <n v="1290.45454545455"/>
    <n v="471015.909090909"/>
    <n v="1695657.2727272699"/>
  </r>
  <r>
    <x v="0"/>
    <x v="0"/>
    <x v="0"/>
    <x v="8"/>
    <x v="18"/>
    <s v="SE3A"/>
    <x v="10"/>
    <s v="GBPR_IND_BIO"/>
    <x v="0"/>
    <x v="1"/>
    <n v="1290.45454545455"/>
    <n v="471015.909090909"/>
    <n v="1695657.2727272699"/>
  </r>
  <r>
    <x v="0"/>
    <x v="0"/>
    <x v="0"/>
    <x v="8"/>
    <x v="18"/>
    <s v="SE3A"/>
    <x v="10"/>
    <s v="GBPR_IND_BIO"/>
    <x v="0"/>
    <x v="2"/>
    <n v="1290.45454545455"/>
    <n v="471015.909090909"/>
    <n v="1695657.2727272699"/>
  </r>
  <r>
    <x v="0"/>
    <x v="0"/>
    <x v="0"/>
    <x v="8"/>
    <x v="18"/>
    <s v="SE3A"/>
    <x v="10"/>
    <s v="GBPR_IND_BIO"/>
    <x v="0"/>
    <x v="3"/>
    <n v="1290.45454545455"/>
    <n v="471015.909090909"/>
    <n v="1695657.2727272699"/>
  </r>
  <r>
    <x v="0"/>
    <x v="0"/>
    <x v="0"/>
    <x v="8"/>
    <x v="18"/>
    <s v="SE3A"/>
    <x v="10"/>
    <s v="GBPR_IND_BIO"/>
    <x v="0"/>
    <x v="12"/>
    <n v="1290.45454545455"/>
    <n v="471015.909090909"/>
    <n v="1695657.2727272699"/>
  </r>
  <r>
    <x v="0"/>
    <x v="0"/>
    <x v="0"/>
    <x v="8"/>
    <x v="18"/>
    <s v="SE3A"/>
    <x v="10"/>
    <s v="GBPR_IND_BIO"/>
    <x v="0"/>
    <x v="13"/>
    <n v="1290.45454545455"/>
    <n v="471015.909090909"/>
    <n v="1695657.2727272699"/>
  </r>
  <r>
    <x v="0"/>
    <x v="0"/>
    <x v="0"/>
    <x v="8"/>
    <x v="18"/>
    <s v="SE3A"/>
    <x v="10"/>
    <s v="GBPR_IND_BIO"/>
    <x v="0"/>
    <x v="14"/>
    <n v="1290.45454545455"/>
    <n v="471015.909090909"/>
    <n v="1695657.2727272699"/>
  </r>
  <r>
    <x v="0"/>
    <x v="0"/>
    <x v="0"/>
    <x v="8"/>
    <x v="18"/>
    <s v="SE3A"/>
    <x v="10"/>
    <s v="GBPR_IND_BIO"/>
    <x v="0"/>
    <x v="15"/>
    <n v="1290.45454545455"/>
    <n v="471015.909090909"/>
    <n v="1695657.2727272699"/>
  </r>
  <r>
    <x v="0"/>
    <x v="0"/>
    <x v="0"/>
    <x v="8"/>
    <x v="18"/>
    <s v="SE3A"/>
    <x v="10"/>
    <s v="GBPR_IND_BIO"/>
    <x v="0"/>
    <x v="4"/>
    <n v="1290.45454545455"/>
    <n v="471015.909090909"/>
    <n v="1695657.2727272699"/>
  </r>
  <r>
    <x v="0"/>
    <x v="0"/>
    <x v="0"/>
    <x v="8"/>
    <x v="18"/>
    <s v="SE3A"/>
    <x v="10"/>
    <s v="GBPR_IND_BIO"/>
    <x v="0"/>
    <x v="16"/>
    <n v="1290.45454545455"/>
    <n v="471015.909090909"/>
    <n v="1695657.2727272699"/>
  </r>
  <r>
    <x v="0"/>
    <x v="0"/>
    <x v="0"/>
    <x v="8"/>
    <x v="18"/>
    <s v="SE3A"/>
    <x v="10"/>
    <s v="GBPR_IND_BIO"/>
    <x v="0"/>
    <x v="5"/>
    <n v="1290.45454545455"/>
    <n v="471015.909090909"/>
    <n v="1695657.2727272699"/>
  </r>
  <r>
    <x v="0"/>
    <x v="0"/>
    <x v="0"/>
    <x v="8"/>
    <x v="18"/>
    <s v="SE3A"/>
    <x v="10"/>
    <s v="GBPR_IND_BIO"/>
    <x v="0"/>
    <x v="17"/>
    <n v="1290.45454545455"/>
    <n v="471015.909090909"/>
    <n v="1695657.2727272699"/>
  </r>
  <r>
    <x v="0"/>
    <x v="0"/>
    <x v="0"/>
    <x v="8"/>
    <x v="18"/>
    <s v="SE3A"/>
    <x v="10"/>
    <s v="GBPR_IND_BIO"/>
    <x v="0"/>
    <x v="18"/>
    <n v="1290.45454545455"/>
    <n v="471015.909090909"/>
    <n v="1695657.2727272699"/>
  </r>
  <r>
    <x v="0"/>
    <x v="0"/>
    <x v="0"/>
    <x v="8"/>
    <x v="18"/>
    <s v="SE3A"/>
    <x v="10"/>
    <s v="GBPR_IND_BIO"/>
    <x v="0"/>
    <x v="19"/>
    <n v="1290.45454545455"/>
    <n v="471015.909090909"/>
    <n v="1695657.2727272699"/>
  </r>
  <r>
    <x v="0"/>
    <x v="0"/>
    <x v="0"/>
    <x v="8"/>
    <x v="18"/>
    <s v="SE3A"/>
    <x v="10"/>
    <s v="GBPR_IND_BIO"/>
    <x v="0"/>
    <x v="20"/>
    <n v="1290.45454545455"/>
    <n v="471015.909090909"/>
    <n v="1695657.2727272699"/>
  </r>
  <r>
    <x v="0"/>
    <x v="0"/>
    <x v="0"/>
    <x v="8"/>
    <x v="18"/>
    <s v="SE3_EL"/>
    <x v="0"/>
    <s v="GEXT_COAL_LINK"/>
    <x v="0"/>
    <x v="0"/>
    <n v="2.11438784504612"/>
    <n v="771.75156344183301"/>
    <n v="2778.3056283905998"/>
  </r>
  <r>
    <x v="0"/>
    <x v="0"/>
    <x v="0"/>
    <x v="8"/>
    <x v="18"/>
    <s v="SE3_EL"/>
    <x v="0"/>
    <s v="GEXT_COAL_LINK"/>
    <x v="0"/>
    <x v="1"/>
    <n v="37.533841753110501"/>
    <n v="13699.8522398853"/>
    <n v="49319.468063587199"/>
  </r>
  <r>
    <x v="0"/>
    <x v="0"/>
    <x v="0"/>
    <x v="8"/>
    <x v="18"/>
    <s v="SE3_EL"/>
    <x v="0"/>
    <s v="GEXT_COAL_LINK"/>
    <x v="0"/>
    <x v="3"/>
    <n v="22.400029600392099"/>
    <n v="8176.0108041431104"/>
    <n v="29433.638894915199"/>
  </r>
  <r>
    <x v="0"/>
    <x v="0"/>
    <x v="0"/>
    <x v="8"/>
    <x v="18"/>
    <s v="SE3_EL"/>
    <x v="0"/>
    <s v="GEXT_COAL_LINK"/>
    <x v="0"/>
    <x v="12"/>
    <n v="37.533841753110501"/>
    <n v="13699.8522398853"/>
    <n v="49319.468063587199"/>
  </r>
  <r>
    <x v="0"/>
    <x v="0"/>
    <x v="0"/>
    <x v="8"/>
    <x v="18"/>
    <s v="SE3_EL"/>
    <x v="0"/>
    <s v="GEXT_COAL_LINK"/>
    <x v="0"/>
    <x v="13"/>
    <n v="37.533841753110501"/>
    <n v="13699.8522398853"/>
    <n v="49319.468063587199"/>
  </r>
  <r>
    <x v="0"/>
    <x v="0"/>
    <x v="0"/>
    <x v="8"/>
    <x v="18"/>
    <s v="SE3_EL"/>
    <x v="0"/>
    <s v="GEXT_COAL_LINK"/>
    <x v="0"/>
    <x v="14"/>
    <n v="37.533841753110501"/>
    <n v="13699.8522398853"/>
    <n v="49319.468063587199"/>
  </r>
  <r>
    <x v="0"/>
    <x v="0"/>
    <x v="0"/>
    <x v="8"/>
    <x v="18"/>
    <s v="SE3_EL"/>
    <x v="0"/>
    <s v="GEXT_COAL_LINK"/>
    <x v="0"/>
    <x v="15"/>
    <n v="37.533841753110501"/>
    <n v="13699.8522398853"/>
    <n v="49319.468063587199"/>
  </r>
  <r>
    <x v="0"/>
    <x v="0"/>
    <x v="0"/>
    <x v="8"/>
    <x v="18"/>
    <s v="SE3_EL"/>
    <x v="0"/>
    <s v="GEXT_COAL_LINK"/>
    <x v="0"/>
    <x v="4"/>
    <n v="37.533841753110501"/>
    <n v="13699.8522398853"/>
    <n v="49319.468063587199"/>
  </r>
  <r>
    <x v="0"/>
    <x v="0"/>
    <x v="0"/>
    <x v="8"/>
    <x v="18"/>
    <s v="SE3_EL"/>
    <x v="0"/>
    <s v="GEXT_COAL_LINK"/>
    <x v="0"/>
    <x v="16"/>
    <n v="26.639544932818598"/>
    <n v="9723.4339004787907"/>
    <n v="35004.362041723602"/>
  </r>
  <r>
    <x v="0"/>
    <x v="0"/>
    <x v="0"/>
    <x v="8"/>
    <x v="18"/>
    <s v="SE3_EL"/>
    <x v="1"/>
    <s v="GNR_HS_HEAT_WTR-TANK_LS_E-95_Y-2010"/>
    <x v="0"/>
    <x v="0"/>
    <n v="135.966990907601"/>
    <n v="49627.951681274302"/>
    <n v="178660.62605258799"/>
  </r>
  <r>
    <x v="0"/>
    <x v="0"/>
    <x v="0"/>
    <x v="8"/>
    <x v="18"/>
    <s v="SE3_EL"/>
    <x v="1"/>
    <s v="GNR_HS_HEAT_WTR-TANK_LS_E-95_Y-2010"/>
    <x v="0"/>
    <x v="1"/>
    <n v="217.853452897914"/>
    <n v="79516.510307738601"/>
    <n v="286259.437107859"/>
  </r>
  <r>
    <x v="0"/>
    <x v="0"/>
    <x v="0"/>
    <x v="8"/>
    <x v="18"/>
    <s v="SE3_EL"/>
    <x v="1"/>
    <s v="GNR_HS_HEAT_WTR-TANK_LS_E-95_Y-2010"/>
    <x v="0"/>
    <x v="2"/>
    <n v="267.46466934366998"/>
    <n v="97624.604310439507"/>
    <n v="351448.57551758201"/>
  </r>
  <r>
    <x v="0"/>
    <x v="0"/>
    <x v="0"/>
    <x v="8"/>
    <x v="18"/>
    <s v="SE3_EL"/>
    <x v="1"/>
    <s v="GNR_HS_HEAT_WTR-TANK_LS_E-95_Y-2010"/>
    <x v="0"/>
    <x v="3"/>
    <n v="226.87559564254099"/>
    <n v="82809.592409527497"/>
    <n v="298114.53267429897"/>
  </r>
  <r>
    <x v="0"/>
    <x v="0"/>
    <x v="0"/>
    <x v="8"/>
    <x v="18"/>
    <s v="SE3_EL"/>
    <x v="1"/>
    <s v="GNR_HS_HEAT_WTR-TANK_LS_E-95_Y-2010"/>
    <x v="0"/>
    <x v="12"/>
    <n v="151.839859050276"/>
    <n v="55421.5485533506"/>
    <n v="199517.57479206199"/>
  </r>
  <r>
    <x v="0"/>
    <x v="0"/>
    <x v="0"/>
    <x v="8"/>
    <x v="18"/>
    <s v="SE3_EL"/>
    <x v="1"/>
    <s v="GNR_HS_HEAT_WTR-TANK_LS_E-95_Y-2010"/>
    <x v="0"/>
    <x v="13"/>
    <n v="99.836404233087194"/>
    <n v="36440.287545076797"/>
    <n v="131185.035162277"/>
  </r>
  <r>
    <x v="0"/>
    <x v="0"/>
    <x v="0"/>
    <x v="8"/>
    <x v="18"/>
    <s v="SE3_EL"/>
    <x v="1"/>
    <s v="GNR_HS_HEAT_WTR-TANK_LS_E-95_Y-2010"/>
    <x v="0"/>
    <x v="14"/>
    <n v="61.156327566250397"/>
    <n v="22322.059561681399"/>
    <n v="80359.414422053"/>
  </r>
  <r>
    <x v="0"/>
    <x v="0"/>
    <x v="0"/>
    <x v="8"/>
    <x v="18"/>
    <s v="SE3_EL"/>
    <x v="1"/>
    <s v="GNR_HS_HEAT_WTR-TANK_LS_E-95_Y-2010"/>
    <x v="0"/>
    <x v="15"/>
    <n v="28.830038763057701"/>
    <n v="10522.964148515999"/>
    <n v="37882.670934657799"/>
  </r>
  <r>
    <x v="0"/>
    <x v="0"/>
    <x v="0"/>
    <x v="8"/>
    <x v="18"/>
    <s v="SE3_EL"/>
    <x v="1"/>
    <s v="GNR_HS_HEAT_WTR-TANK_LS_E-95_Y-2010"/>
    <x v="0"/>
    <x v="4"/>
    <n v="1.61231628717812"/>
    <n v="588.49544482001295"/>
    <n v="2118.5836013520502"/>
  </r>
  <r>
    <x v="0"/>
    <x v="0"/>
    <x v="0"/>
    <x v="8"/>
    <x v="18"/>
    <s v="SE3_EL"/>
    <x v="2"/>
    <s v="GBPR_MUNIWASTE_24"/>
    <x v="0"/>
    <x v="6"/>
    <n v="192.59186990200499"/>
    <n v="70296.032514232007"/>
    <n v="253065.717051235"/>
  </r>
  <r>
    <x v="0"/>
    <x v="0"/>
    <x v="0"/>
    <x v="8"/>
    <x v="18"/>
    <s v="SE3_EL"/>
    <x v="2"/>
    <s v="GBPR_MUNIWASTE_24"/>
    <x v="0"/>
    <x v="7"/>
    <n v="192.59186990200499"/>
    <n v="70296.032514232007"/>
    <n v="253065.717051235"/>
  </r>
  <r>
    <x v="0"/>
    <x v="0"/>
    <x v="0"/>
    <x v="8"/>
    <x v="18"/>
    <s v="SE3_EL"/>
    <x v="2"/>
    <s v="GBPR_MUNIWASTE_24"/>
    <x v="0"/>
    <x v="8"/>
    <n v="192.59186990200499"/>
    <n v="70296.032514232007"/>
    <n v="253065.717051235"/>
  </r>
  <r>
    <x v="0"/>
    <x v="0"/>
    <x v="0"/>
    <x v="8"/>
    <x v="18"/>
    <s v="SE3_EL"/>
    <x v="2"/>
    <s v="GBPR_MUNIWASTE_24"/>
    <x v="0"/>
    <x v="9"/>
    <n v="192.59186990200499"/>
    <n v="70296.032514232007"/>
    <n v="253065.717051235"/>
  </r>
  <r>
    <x v="0"/>
    <x v="0"/>
    <x v="0"/>
    <x v="8"/>
    <x v="18"/>
    <s v="SE3_EL"/>
    <x v="2"/>
    <s v="GBPR_MUNIWASTE_24"/>
    <x v="0"/>
    <x v="10"/>
    <n v="192.59186990200499"/>
    <n v="70296.032514232007"/>
    <n v="253065.717051235"/>
  </r>
  <r>
    <x v="0"/>
    <x v="0"/>
    <x v="0"/>
    <x v="8"/>
    <x v="18"/>
    <s v="SE3_EL"/>
    <x v="2"/>
    <s v="GBPR_MUNIWASTE_24"/>
    <x v="0"/>
    <x v="11"/>
    <n v="192.59186990200499"/>
    <n v="70296.032514232007"/>
    <n v="253065.717051235"/>
  </r>
  <r>
    <x v="0"/>
    <x v="0"/>
    <x v="0"/>
    <x v="8"/>
    <x v="18"/>
    <s v="SE3_EL"/>
    <x v="2"/>
    <s v="GBPR_MUNIWASTE_24"/>
    <x v="0"/>
    <x v="0"/>
    <n v="192.59186990200499"/>
    <n v="70296.032514232007"/>
    <n v="253065.717051235"/>
  </r>
  <r>
    <x v="0"/>
    <x v="0"/>
    <x v="0"/>
    <x v="8"/>
    <x v="18"/>
    <s v="SE3_EL"/>
    <x v="2"/>
    <s v="GBPR_MUNIWASTE_24"/>
    <x v="0"/>
    <x v="1"/>
    <n v="192.59186990200499"/>
    <n v="70296.032514232007"/>
    <n v="253065.717051235"/>
  </r>
  <r>
    <x v="0"/>
    <x v="0"/>
    <x v="0"/>
    <x v="8"/>
    <x v="18"/>
    <s v="SE3_EL"/>
    <x v="2"/>
    <s v="GBPR_MUNIWASTE_24"/>
    <x v="0"/>
    <x v="2"/>
    <n v="192.59186990200499"/>
    <n v="70296.032514232007"/>
    <n v="253065.717051235"/>
  </r>
  <r>
    <x v="0"/>
    <x v="0"/>
    <x v="0"/>
    <x v="8"/>
    <x v="18"/>
    <s v="SE3_EL"/>
    <x v="2"/>
    <s v="GBPR_MUNIWASTE_24"/>
    <x v="0"/>
    <x v="3"/>
    <n v="192.59186990200499"/>
    <n v="70296.032514232007"/>
    <n v="253065.717051235"/>
  </r>
  <r>
    <x v="0"/>
    <x v="0"/>
    <x v="0"/>
    <x v="8"/>
    <x v="18"/>
    <s v="SE3_EL"/>
    <x v="2"/>
    <s v="GBPR_MUNIWASTE_24"/>
    <x v="0"/>
    <x v="12"/>
    <n v="192.59186990200499"/>
    <n v="70296.032514232007"/>
    <n v="253065.717051235"/>
  </r>
  <r>
    <x v="0"/>
    <x v="0"/>
    <x v="0"/>
    <x v="8"/>
    <x v="18"/>
    <s v="SE3_EL"/>
    <x v="2"/>
    <s v="GBPR_MUNIWASTE_24"/>
    <x v="0"/>
    <x v="13"/>
    <n v="192.59186990200499"/>
    <n v="70296.032514232007"/>
    <n v="253065.717051235"/>
  </r>
  <r>
    <x v="0"/>
    <x v="0"/>
    <x v="0"/>
    <x v="8"/>
    <x v="18"/>
    <s v="SE3_EL"/>
    <x v="2"/>
    <s v="GBPR_MUNIWASTE_24"/>
    <x v="0"/>
    <x v="14"/>
    <n v="192.59186990200499"/>
    <n v="70296.032514232007"/>
    <n v="253065.717051235"/>
  </r>
  <r>
    <x v="0"/>
    <x v="0"/>
    <x v="0"/>
    <x v="8"/>
    <x v="18"/>
    <s v="SE3_EL"/>
    <x v="2"/>
    <s v="GBPR_MUNIWASTE_24"/>
    <x v="0"/>
    <x v="15"/>
    <n v="192.59186990200499"/>
    <n v="70296.032514232007"/>
    <n v="253065.717051235"/>
  </r>
  <r>
    <x v="0"/>
    <x v="0"/>
    <x v="0"/>
    <x v="8"/>
    <x v="18"/>
    <s v="SE3_EL"/>
    <x v="2"/>
    <s v="GBPR_MUNIWASTE_24"/>
    <x v="0"/>
    <x v="4"/>
    <n v="192.59186990200499"/>
    <n v="70296.032514232007"/>
    <n v="253065.717051235"/>
  </r>
  <r>
    <x v="0"/>
    <x v="0"/>
    <x v="0"/>
    <x v="8"/>
    <x v="18"/>
    <s v="SE3_EL"/>
    <x v="2"/>
    <s v="GBPR_MUNIWASTE_24"/>
    <x v="0"/>
    <x v="16"/>
    <n v="192.59186990200499"/>
    <n v="70296.032514232007"/>
    <n v="253065.717051235"/>
  </r>
  <r>
    <x v="0"/>
    <x v="0"/>
    <x v="0"/>
    <x v="8"/>
    <x v="18"/>
    <s v="SE3_EL"/>
    <x v="2"/>
    <s v="GBPR_MUNIWASTE_24"/>
    <x v="0"/>
    <x v="5"/>
    <n v="192.59186990200499"/>
    <n v="70296.032514232007"/>
    <n v="253065.717051235"/>
  </r>
  <r>
    <x v="0"/>
    <x v="0"/>
    <x v="0"/>
    <x v="8"/>
    <x v="18"/>
    <s v="SE3_EL"/>
    <x v="2"/>
    <s v="GBPR_MUNIWASTE_24"/>
    <x v="0"/>
    <x v="17"/>
    <n v="192.59186990200499"/>
    <n v="70296.032514232007"/>
    <n v="253065.717051235"/>
  </r>
  <r>
    <x v="0"/>
    <x v="0"/>
    <x v="0"/>
    <x v="8"/>
    <x v="18"/>
    <s v="SE3_EL"/>
    <x v="2"/>
    <s v="GBPR_MUNIWASTE_24"/>
    <x v="0"/>
    <x v="18"/>
    <n v="192.59186990200499"/>
    <n v="70296.032514232007"/>
    <n v="253065.717051235"/>
  </r>
  <r>
    <x v="0"/>
    <x v="0"/>
    <x v="0"/>
    <x v="8"/>
    <x v="18"/>
    <s v="SE3_EL"/>
    <x v="2"/>
    <s v="GBPR_MUNIWASTE_24"/>
    <x v="0"/>
    <x v="19"/>
    <n v="192.59186990200499"/>
    <n v="70296.032514232007"/>
    <n v="253065.717051235"/>
  </r>
  <r>
    <x v="0"/>
    <x v="0"/>
    <x v="0"/>
    <x v="8"/>
    <x v="18"/>
    <s v="SE3_EL"/>
    <x v="2"/>
    <s v="GBPR_MUNIWASTE_24"/>
    <x v="0"/>
    <x v="20"/>
    <n v="192.59186990200499"/>
    <n v="70296.032514232007"/>
    <n v="253065.717051235"/>
  </r>
  <r>
    <x v="0"/>
    <x v="0"/>
    <x v="0"/>
    <x v="8"/>
    <x v="18"/>
    <s v="SE3_EL"/>
    <x v="2"/>
    <s v="GBPR_MUNIWASTE_24"/>
    <x v="0"/>
    <x v="21"/>
    <n v="192.59186990200499"/>
    <n v="70296.032514232007"/>
    <n v="253065.717051235"/>
  </r>
  <r>
    <x v="0"/>
    <x v="0"/>
    <x v="0"/>
    <x v="8"/>
    <x v="18"/>
    <s v="SE3_EL"/>
    <x v="2"/>
    <s v="GBPR_MUNIWASTE_24"/>
    <x v="0"/>
    <x v="22"/>
    <n v="192.59186990200499"/>
    <n v="70296.032514232007"/>
    <n v="253065.717051235"/>
  </r>
  <r>
    <x v="0"/>
    <x v="0"/>
    <x v="0"/>
    <x v="8"/>
    <x v="18"/>
    <s v="SE3_EL"/>
    <x v="2"/>
    <s v="GBPR_MUNIWASTE_24"/>
    <x v="0"/>
    <x v="23"/>
    <n v="192.59186990200499"/>
    <n v="70296.032514232007"/>
    <n v="253065.717051235"/>
  </r>
  <r>
    <x v="0"/>
    <x v="0"/>
    <x v="0"/>
    <x v="8"/>
    <x v="18"/>
    <s v="SE3_EL"/>
    <x v="2"/>
    <s v="GBPR_MUNIWASTE_LINK"/>
    <x v="0"/>
    <x v="6"/>
    <n v="188.28514910205899"/>
    <n v="68724.079422251394"/>
    <n v="247406.685920105"/>
  </r>
  <r>
    <x v="0"/>
    <x v="0"/>
    <x v="0"/>
    <x v="8"/>
    <x v="18"/>
    <s v="SE3_EL"/>
    <x v="2"/>
    <s v="GBPR_MUNIWASTE_LINK"/>
    <x v="0"/>
    <x v="7"/>
    <n v="188.28514910205899"/>
    <n v="68724.079422251394"/>
    <n v="247406.685920105"/>
  </r>
  <r>
    <x v="0"/>
    <x v="0"/>
    <x v="0"/>
    <x v="8"/>
    <x v="18"/>
    <s v="SE3_EL"/>
    <x v="2"/>
    <s v="GBPR_MUNIWASTE_LINK"/>
    <x v="0"/>
    <x v="8"/>
    <n v="188.28514910205899"/>
    <n v="68724.079422251394"/>
    <n v="247406.685920105"/>
  </r>
  <r>
    <x v="0"/>
    <x v="0"/>
    <x v="0"/>
    <x v="8"/>
    <x v="18"/>
    <s v="SE3_EL"/>
    <x v="2"/>
    <s v="GBPR_MUNIWASTE_LINK"/>
    <x v="0"/>
    <x v="9"/>
    <n v="188.28514910205899"/>
    <n v="68724.079422251394"/>
    <n v="247406.685920105"/>
  </r>
  <r>
    <x v="0"/>
    <x v="0"/>
    <x v="0"/>
    <x v="8"/>
    <x v="18"/>
    <s v="SE3_EL"/>
    <x v="2"/>
    <s v="GBPR_MUNIWASTE_LINK"/>
    <x v="0"/>
    <x v="10"/>
    <n v="188.28514910205899"/>
    <n v="68724.079422251394"/>
    <n v="247406.685920105"/>
  </r>
  <r>
    <x v="0"/>
    <x v="0"/>
    <x v="0"/>
    <x v="8"/>
    <x v="18"/>
    <s v="SE3_EL"/>
    <x v="2"/>
    <s v="GBPR_MUNIWASTE_LINK"/>
    <x v="0"/>
    <x v="11"/>
    <n v="188.28514910205899"/>
    <n v="68724.079422251394"/>
    <n v="247406.685920105"/>
  </r>
  <r>
    <x v="0"/>
    <x v="0"/>
    <x v="0"/>
    <x v="8"/>
    <x v="18"/>
    <s v="SE3_EL"/>
    <x v="2"/>
    <s v="GBPR_MUNIWASTE_LINK"/>
    <x v="0"/>
    <x v="0"/>
    <n v="188.28514910205899"/>
    <n v="68724.079422251394"/>
    <n v="247406.685920105"/>
  </r>
  <r>
    <x v="0"/>
    <x v="0"/>
    <x v="0"/>
    <x v="8"/>
    <x v="18"/>
    <s v="SE3_EL"/>
    <x v="2"/>
    <s v="GBPR_MUNIWASTE_LINK"/>
    <x v="0"/>
    <x v="1"/>
    <n v="188.28514910205899"/>
    <n v="68724.079422251394"/>
    <n v="247406.685920105"/>
  </r>
  <r>
    <x v="0"/>
    <x v="0"/>
    <x v="0"/>
    <x v="8"/>
    <x v="18"/>
    <s v="SE3_EL"/>
    <x v="2"/>
    <s v="GBPR_MUNIWASTE_LINK"/>
    <x v="0"/>
    <x v="2"/>
    <n v="188.28514910205899"/>
    <n v="68724.079422251394"/>
    <n v="247406.685920105"/>
  </r>
  <r>
    <x v="0"/>
    <x v="0"/>
    <x v="0"/>
    <x v="8"/>
    <x v="18"/>
    <s v="SE3_EL"/>
    <x v="2"/>
    <s v="GBPR_MUNIWASTE_LINK"/>
    <x v="0"/>
    <x v="3"/>
    <n v="188.28514910205899"/>
    <n v="68724.079422251394"/>
    <n v="247406.685920105"/>
  </r>
  <r>
    <x v="0"/>
    <x v="0"/>
    <x v="0"/>
    <x v="8"/>
    <x v="18"/>
    <s v="SE3_EL"/>
    <x v="2"/>
    <s v="GBPR_MUNIWASTE_LINK"/>
    <x v="0"/>
    <x v="12"/>
    <n v="188.28514910205899"/>
    <n v="68724.079422251394"/>
    <n v="247406.685920105"/>
  </r>
  <r>
    <x v="0"/>
    <x v="0"/>
    <x v="0"/>
    <x v="8"/>
    <x v="18"/>
    <s v="SE3_EL"/>
    <x v="2"/>
    <s v="GBPR_MUNIWASTE_LINK"/>
    <x v="0"/>
    <x v="13"/>
    <n v="188.28514910205899"/>
    <n v="68724.079422251394"/>
    <n v="247406.685920105"/>
  </r>
  <r>
    <x v="0"/>
    <x v="0"/>
    <x v="0"/>
    <x v="8"/>
    <x v="18"/>
    <s v="SE3_EL"/>
    <x v="2"/>
    <s v="GBPR_MUNIWASTE_LINK"/>
    <x v="0"/>
    <x v="14"/>
    <n v="188.28514910205899"/>
    <n v="68724.079422251394"/>
    <n v="247406.685920105"/>
  </r>
  <r>
    <x v="0"/>
    <x v="0"/>
    <x v="0"/>
    <x v="8"/>
    <x v="18"/>
    <s v="SE3_EL"/>
    <x v="2"/>
    <s v="GBPR_MUNIWASTE_LINK"/>
    <x v="0"/>
    <x v="15"/>
    <n v="188.28514910205899"/>
    <n v="68724.079422251394"/>
    <n v="247406.685920105"/>
  </r>
  <r>
    <x v="0"/>
    <x v="0"/>
    <x v="0"/>
    <x v="8"/>
    <x v="18"/>
    <s v="SE3_EL"/>
    <x v="2"/>
    <s v="GBPR_MUNIWASTE_LINK"/>
    <x v="0"/>
    <x v="4"/>
    <n v="188.28514910205899"/>
    <n v="68724.079422251394"/>
    <n v="247406.685920105"/>
  </r>
  <r>
    <x v="0"/>
    <x v="0"/>
    <x v="0"/>
    <x v="8"/>
    <x v="18"/>
    <s v="SE3_EL"/>
    <x v="2"/>
    <s v="GBPR_MUNIWASTE_LINK"/>
    <x v="0"/>
    <x v="16"/>
    <n v="188.28514910205899"/>
    <n v="68724.079422251394"/>
    <n v="247406.685920105"/>
  </r>
  <r>
    <x v="0"/>
    <x v="0"/>
    <x v="0"/>
    <x v="8"/>
    <x v="18"/>
    <s v="SE3_EL"/>
    <x v="2"/>
    <s v="GBPR_MUNIWASTE_LINK"/>
    <x v="0"/>
    <x v="5"/>
    <n v="188.28514910205899"/>
    <n v="68724.079422251394"/>
    <n v="247406.685920105"/>
  </r>
  <r>
    <x v="0"/>
    <x v="0"/>
    <x v="0"/>
    <x v="8"/>
    <x v="18"/>
    <s v="SE3_EL"/>
    <x v="2"/>
    <s v="GBPR_MUNIWASTE_LINK"/>
    <x v="0"/>
    <x v="17"/>
    <n v="188.28514910205899"/>
    <n v="68724.079422251394"/>
    <n v="247406.685920105"/>
  </r>
  <r>
    <x v="0"/>
    <x v="0"/>
    <x v="0"/>
    <x v="8"/>
    <x v="18"/>
    <s v="SE3_EL"/>
    <x v="2"/>
    <s v="GBPR_MUNIWASTE_LINK"/>
    <x v="0"/>
    <x v="18"/>
    <n v="188.28514910205899"/>
    <n v="68724.079422251394"/>
    <n v="247406.685920105"/>
  </r>
  <r>
    <x v="0"/>
    <x v="0"/>
    <x v="0"/>
    <x v="8"/>
    <x v="18"/>
    <s v="SE3_EL"/>
    <x v="2"/>
    <s v="GBPR_MUNIWASTE_LINK"/>
    <x v="0"/>
    <x v="19"/>
    <n v="188.28514910205899"/>
    <n v="68724.079422251394"/>
    <n v="247406.685920105"/>
  </r>
  <r>
    <x v="0"/>
    <x v="0"/>
    <x v="0"/>
    <x v="8"/>
    <x v="18"/>
    <s v="SE3_EL"/>
    <x v="2"/>
    <s v="GBPR_MUNIWASTE_LINK"/>
    <x v="0"/>
    <x v="20"/>
    <n v="188.28514910205899"/>
    <n v="68724.079422251394"/>
    <n v="247406.685920105"/>
  </r>
  <r>
    <x v="0"/>
    <x v="0"/>
    <x v="0"/>
    <x v="8"/>
    <x v="18"/>
    <s v="SE3_EL"/>
    <x v="2"/>
    <s v="GBPR_MUNIWASTE_LINK"/>
    <x v="0"/>
    <x v="21"/>
    <n v="188.28514910205899"/>
    <n v="68724.079422251394"/>
    <n v="247406.685920105"/>
  </r>
  <r>
    <x v="0"/>
    <x v="0"/>
    <x v="0"/>
    <x v="8"/>
    <x v="18"/>
    <s v="SE3_EL"/>
    <x v="2"/>
    <s v="GBPR_MUNIWASTE_LINK"/>
    <x v="0"/>
    <x v="22"/>
    <n v="188.28514910205899"/>
    <n v="68724.079422251394"/>
    <n v="247406.685920105"/>
  </r>
  <r>
    <x v="0"/>
    <x v="0"/>
    <x v="0"/>
    <x v="8"/>
    <x v="18"/>
    <s v="SE3_EL"/>
    <x v="2"/>
    <s v="GBPR_MUNIWASTE_LINK"/>
    <x v="0"/>
    <x v="23"/>
    <n v="188.28514910205899"/>
    <n v="68724.079422251394"/>
    <n v="247406.685920105"/>
  </r>
  <r>
    <x v="0"/>
    <x v="0"/>
    <x v="0"/>
    <x v="8"/>
    <x v="18"/>
    <s v="SE3_EL"/>
    <x v="2"/>
    <s v="GHOB_MUNIWASTE"/>
    <x v="0"/>
    <x v="6"/>
    <n v="177.805177716998"/>
    <n v="64898.889866704398"/>
    <n v="233636.003520136"/>
  </r>
  <r>
    <x v="0"/>
    <x v="0"/>
    <x v="0"/>
    <x v="8"/>
    <x v="18"/>
    <s v="SE3_EL"/>
    <x v="2"/>
    <s v="GHOB_MUNIWASTE"/>
    <x v="0"/>
    <x v="7"/>
    <n v="177.805177716998"/>
    <n v="64898.889866704398"/>
    <n v="233636.003520136"/>
  </r>
  <r>
    <x v="0"/>
    <x v="0"/>
    <x v="0"/>
    <x v="8"/>
    <x v="18"/>
    <s v="SE3_EL"/>
    <x v="2"/>
    <s v="GHOB_MUNIWASTE"/>
    <x v="0"/>
    <x v="8"/>
    <n v="177.805177716998"/>
    <n v="64898.889866704398"/>
    <n v="233636.003520136"/>
  </r>
  <r>
    <x v="0"/>
    <x v="0"/>
    <x v="0"/>
    <x v="8"/>
    <x v="18"/>
    <s v="SE3_EL"/>
    <x v="2"/>
    <s v="GHOB_MUNIWASTE"/>
    <x v="0"/>
    <x v="9"/>
    <n v="177.805177716998"/>
    <n v="64898.889866704398"/>
    <n v="233636.003520136"/>
  </r>
  <r>
    <x v="0"/>
    <x v="0"/>
    <x v="0"/>
    <x v="8"/>
    <x v="18"/>
    <s v="SE3_EL"/>
    <x v="2"/>
    <s v="GHOB_MUNIWASTE"/>
    <x v="0"/>
    <x v="10"/>
    <n v="177.805177716998"/>
    <n v="64898.889866704398"/>
    <n v="233636.003520136"/>
  </r>
  <r>
    <x v="0"/>
    <x v="0"/>
    <x v="0"/>
    <x v="8"/>
    <x v="18"/>
    <s v="SE3_EL"/>
    <x v="2"/>
    <s v="GHOB_MUNIWASTE"/>
    <x v="0"/>
    <x v="11"/>
    <n v="177.805177716998"/>
    <n v="64898.889866704398"/>
    <n v="233636.003520136"/>
  </r>
  <r>
    <x v="0"/>
    <x v="0"/>
    <x v="0"/>
    <x v="8"/>
    <x v="18"/>
    <s v="SE3_EL"/>
    <x v="2"/>
    <s v="GHOB_MUNIWASTE"/>
    <x v="0"/>
    <x v="0"/>
    <n v="177.805177716998"/>
    <n v="64898.889866704398"/>
    <n v="233636.003520136"/>
  </r>
  <r>
    <x v="0"/>
    <x v="0"/>
    <x v="0"/>
    <x v="8"/>
    <x v="18"/>
    <s v="SE3_EL"/>
    <x v="2"/>
    <s v="GHOB_MUNIWASTE"/>
    <x v="0"/>
    <x v="1"/>
    <n v="177.805177716998"/>
    <n v="64898.889866704398"/>
    <n v="233636.003520136"/>
  </r>
  <r>
    <x v="0"/>
    <x v="0"/>
    <x v="0"/>
    <x v="8"/>
    <x v="18"/>
    <s v="SE3_EL"/>
    <x v="2"/>
    <s v="GHOB_MUNIWASTE"/>
    <x v="0"/>
    <x v="2"/>
    <n v="177.805177716998"/>
    <n v="64898.889866704398"/>
    <n v="233636.003520136"/>
  </r>
  <r>
    <x v="0"/>
    <x v="0"/>
    <x v="0"/>
    <x v="8"/>
    <x v="18"/>
    <s v="SE3_EL"/>
    <x v="2"/>
    <s v="GHOB_MUNIWASTE"/>
    <x v="0"/>
    <x v="3"/>
    <n v="177.805177716998"/>
    <n v="64898.889866704398"/>
    <n v="233636.003520136"/>
  </r>
  <r>
    <x v="0"/>
    <x v="0"/>
    <x v="0"/>
    <x v="8"/>
    <x v="18"/>
    <s v="SE3_EL"/>
    <x v="2"/>
    <s v="GHOB_MUNIWASTE"/>
    <x v="0"/>
    <x v="12"/>
    <n v="177.805177716998"/>
    <n v="64898.889866704398"/>
    <n v="233636.003520136"/>
  </r>
  <r>
    <x v="0"/>
    <x v="0"/>
    <x v="0"/>
    <x v="8"/>
    <x v="18"/>
    <s v="SE3_EL"/>
    <x v="2"/>
    <s v="GHOB_MUNIWASTE"/>
    <x v="0"/>
    <x v="13"/>
    <n v="177.805177716998"/>
    <n v="64898.889866704398"/>
    <n v="233636.003520136"/>
  </r>
  <r>
    <x v="0"/>
    <x v="0"/>
    <x v="0"/>
    <x v="8"/>
    <x v="18"/>
    <s v="SE3_EL"/>
    <x v="2"/>
    <s v="GHOB_MUNIWASTE"/>
    <x v="0"/>
    <x v="14"/>
    <n v="177.805177716998"/>
    <n v="64898.889866704398"/>
    <n v="233636.003520136"/>
  </r>
  <r>
    <x v="0"/>
    <x v="0"/>
    <x v="0"/>
    <x v="8"/>
    <x v="18"/>
    <s v="SE3_EL"/>
    <x v="2"/>
    <s v="GHOB_MUNIWASTE"/>
    <x v="0"/>
    <x v="15"/>
    <n v="177.805177716998"/>
    <n v="64898.889866704398"/>
    <n v="233636.003520136"/>
  </r>
  <r>
    <x v="0"/>
    <x v="0"/>
    <x v="0"/>
    <x v="8"/>
    <x v="18"/>
    <s v="SE3_EL"/>
    <x v="2"/>
    <s v="GHOB_MUNIWASTE"/>
    <x v="0"/>
    <x v="4"/>
    <n v="177.805177716998"/>
    <n v="64898.889866704398"/>
    <n v="233636.003520136"/>
  </r>
  <r>
    <x v="0"/>
    <x v="0"/>
    <x v="0"/>
    <x v="8"/>
    <x v="18"/>
    <s v="SE3_EL"/>
    <x v="2"/>
    <s v="GHOB_MUNIWASTE"/>
    <x v="0"/>
    <x v="16"/>
    <n v="177.805177716998"/>
    <n v="64898.889866704398"/>
    <n v="233636.003520136"/>
  </r>
  <r>
    <x v="0"/>
    <x v="0"/>
    <x v="0"/>
    <x v="8"/>
    <x v="18"/>
    <s v="SE3_EL"/>
    <x v="2"/>
    <s v="GHOB_MUNIWASTE"/>
    <x v="0"/>
    <x v="5"/>
    <n v="177.805177716998"/>
    <n v="64898.889866704398"/>
    <n v="233636.003520136"/>
  </r>
  <r>
    <x v="0"/>
    <x v="0"/>
    <x v="0"/>
    <x v="8"/>
    <x v="18"/>
    <s v="SE3_EL"/>
    <x v="2"/>
    <s v="GHOB_MUNIWASTE"/>
    <x v="0"/>
    <x v="17"/>
    <n v="177.805177716998"/>
    <n v="64898.889866704398"/>
    <n v="233636.003520136"/>
  </r>
  <r>
    <x v="0"/>
    <x v="0"/>
    <x v="0"/>
    <x v="8"/>
    <x v="18"/>
    <s v="SE3_EL"/>
    <x v="2"/>
    <s v="GHOB_MUNIWASTE"/>
    <x v="0"/>
    <x v="18"/>
    <n v="177.805177716998"/>
    <n v="64898.889866704398"/>
    <n v="233636.003520136"/>
  </r>
  <r>
    <x v="0"/>
    <x v="0"/>
    <x v="0"/>
    <x v="8"/>
    <x v="18"/>
    <s v="SE3_EL"/>
    <x v="2"/>
    <s v="GHOB_MUNIWASTE"/>
    <x v="0"/>
    <x v="19"/>
    <n v="177.805177716998"/>
    <n v="64898.889866704398"/>
    <n v="233636.003520136"/>
  </r>
  <r>
    <x v="0"/>
    <x v="0"/>
    <x v="0"/>
    <x v="8"/>
    <x v="18"/>
    <s v="SE3_EL"/>
    <x v="2"/>
    <s v="GHOB_MUNIWASTE"/>
    <x v="0"/>
    <x v="20"/>
    <n v="177.805177716998"/>
    <n v="64898.889866704398"/>
    <n v="233636.003520136"/>
  </r>
  <r>
    <x v="0"/>
    <x v="0"/>
    <x v="0"/>
    <x v="8"/>
    <x v="18"/>
    <s v="SE3_EL"/>
    <x v="2"/>
    <s v="GHOB_MUNIWASTE"/>
    <x v="0"/>
    <x v="21"/>
    <n v="177.805177716998"/>
    <n v="64898.889866704398"/>
    <n v="233636.003520136"/>
  </r>
  <r>
    <x v="0"/>
    <x v="0"/>
    <x v="0"/>
    <x v="8"/>
    <x v="18"/>
    <s v="SE3_EL"/>
    <x v="2"/>
    <s v="GHOB_MUNIWASTE"/>
    <x v="0"/>
    <x v="22"/>
    <n v="177.805177716998"/>
    <n v="64898.889866704398"/>
    <n v="233636.003520136"/>
  </r>
  <r>
    <x v="0"/>
    <x v="0"/>
    <x v="0"/>
    <x v="8"/>
    <x v="18"/>
    <s v="SE3_EL"/>
    <x v="2"/>
    <s v="GHOB_MUNIWASTE"/>
    <x v="0"/>
    <x v="23"/>
    <n v="177.805177716998"/>
    <n v="64898.889866704398"/>
    <n v="233636.003520136"/>
  </r>
  <r>
    <x v="0"/>
    <x v="0"/>
    <x v="0"/>
    <x v="8"/>
    <x v="18"/>
    <s v="SE3_EL"/>
    <x v="3"/>
    <s v="GBPR_NATGAS"/>
    <x v="0"/>
    <x v="11"/>
    <n v="10.412358166189099"/>
    <n v="3800.5107306590298"/>
    <n v="13681.8386303725"/>
  </r>
  <r>
    <x v="0"/>
    <x v="0"/>
    <x v="0"/>
    <x v="8"/>
    <x v="18"/>
    <s v="SE3_EL"/>
    <x v="3"/>
    <s v="GBPR_NATGAS"/>
    <x v="0"/>
    <x v="0"/>
    <n v="10.412358166189099"/>
    <n v="3800.5107306590298"/>
    <n v="13681.8386303725"/>
  </r>
  <r>
    <x v="0"/>
    <x v="0"/>
    <x v="0"/>
    <x v="8"/>
    <x v="18"/>
    <s v="SE3_EL"/>
    <x v="3"/>
    <s v="GBPR_NATGAS"/>
    <x v="0"/>
    <x v="1"/>
    <n v="10.412358166189099"/>
    <n v="3800.5107306590298"/>
    <n v="13681.8386303725"/>
  </r>
  <r>
    <x v="0"/>
    <x v="0"/>
    <x v="0"/>
    <x v="8"/>
    <x v="18"/>
    <s v="SE3_EL"/>
    <x v="3"/>
    <s v="GBPR_NATGAS"/>
    <x v="0"/>
    <x v="2"/>
    <n v="10.412358166189099"/>
    <n v="3800.5107306590298"/>
    <n v="13681.8386303725"/>
  </r>
  <r>
    <x v="0"/>
    <x v="0"/>
    <x v="0"/>
    <x v="8"/>
    <x v="18"/>
    <s v="SE3_EL"/>
    <x v="3"/>
    <s v="GBPR_NATGAS"/>
    <x v="0"/>
    <x v="3"/>
    <n v="10.412358166189099"/>
    <n v="3800.5107306590298"/>
    <n v="13681.8386303725"/>
  </r>
  <r>
    <x v="0"/>
    <x v="0"/>
    <x v="0"/>
    <x v="8"/>
    <x v="18"/>
    <s v="SE3_EL"/>
    <x v="3"/>
    <s v="GBPR_NATGAS"/>
    <x v="0"/>
    <x v="12"/>
    <n v="10.412358166189099"/>
    <n v="3800.5107306590298"/>
    <n v="13681.8386303725"/>
  </r>
  <r>
    <x v="0"/>
    <x v="0"/>
    <x v="0"/>
    <x v="8"/>
    <x v="18"/>
    <s v="SE3_EL"/>
    <x v="3"/>
    <s v="GBPR_NATGAS"/>
    <x v="0"/>
    <x v="13"/>
    <n v="10.412358166189099"/>
    <n v="3800.5107306590298"/>
    <n v="13681.8386303725"/>
  </r>
  <r>
    <x v="0"/>
    <x v="0"/>
    <x v="0"/>
    <x v="8"/>
    <x v="18"/>
    <s v="SE3_EL"/>
    <x v="3"/>
    <s v="GBPR_NATGAS"/>
    <x v="0"/>
    <x v="14"/>
    <n v="10.412358166189099"/>
    <n v="3800.5107306590298"/>
    <n v="13681.8386303725"/>
  </r>
  <r>
    <x v="0"/>
    <x v="0"/>
    <x v="0"/>
    <x v="8"/>
    <x v="18"/>
    <s v="SE3_EL"/>
    <x v="3"/>
    <s v="GBPR_NATGAS"/>
    <x v="0"/>
    <x v="15"/>
    <n v="10.412358166189099"/>
    <n v="3800.5107306590298"/>
    <n v="13681.8386303725"/>
  </r>
  <r>
    <x v="0"/>
    <x v="0"/>
    <x v="0"/>
    <x v="8"/>
    <x v="18"/>
    <s v="SE3_EL"/>
    <x v="3"/>
    <s v="GBPR_NATGAS"/>
    <x v="0"/>
    <x v="4"/>
    <n v="10.412358166189099"/>
    <n v="3800.5107306590298"/>
    <n v="13681.8386303725"/>
  </r>
  <r>
    <x v="0"/>
    <x v="0"/>
    <x v="0"/>
    <x v="8"/>
    <x v="18"/>
    <s v="SE3_EL"/>
    <x v="3"/>
    <s v="GBPR_NATGAS"/>
    <x v="0"/>
    <x v="16"/>
    <n v="10.412358166189099"/>
    <n v="3800.5107306590298"/>
    <n v="13681.8386303725"/>
  </r>
  <r>
    <x v="0"/>
    <x v="0"/>
    <x v="0"/>
    <x v="8"/>
    <x v="18"/>
    <s v="SE3_EL"/>
    <x v="3"/>
    <s v="GBPR_NATGAS"/>
    <x v="0"/>
    <x v="5"/>
    <n v="10.412358166189099"/>
    <n v="3800.5107306590298"/>
    <n v="13681.8386303725"/>
  </r>
  <r>
    <x v="0"/>
    <x v="0"/>
    <x v="0"/>
    <x v="8"/>
    <x v="18"/>
    <s v="SE3_EL"/>
    <x v="3"/>
    <s v="GBPR_NATGAS"/>
    <x v="0"/>
    <x v="17"/>
    <n v="10.412358166189099"/>
    <n v="3800.5107306590298"/>
    <n v="13681.8386303725"/>
  </r>
  <r>
    <x v="0"/>
    <x v="0"/>
    <x v="0"/>
    <x v="8"/>
    <x v="18"/>
    <s v="SE3_EL"/>
    <x v="17"/>
    <s v="GBPR_RECYCLEDWOOD_SE3EL"/>
    <x v="0"/>
    <x v="6"/>
    <n v="136.85232592368899"/>
    <n v="49951.098962146702"/>
    <n v="179823.956263728"/>
  </r>
  <r>
    <x v="0"/>
    <x v="0"/>
    <x v="0"/>
    <x v="8"/>
    <x v="18"/>
    <s v="SE3_EL"/>
    <x v="17"/>
    <s v="GBPR_RECYCLEDWOOD_SE3EL"/>
    <x v="0"/>
    <x v="7"/>
    <n v="136.85232592368899"/>
    <n v="49951.098962146702"/>
    <n v="179823.956263728"/>
  </r>
  <r>
    <x v="0"/>
    <x v="0"/>
    <x v="0"/>
    <x v="8"/>
    <x v="18"/>
    <s v="SE3_EL"/>
    <x v="17"/>
    <s v="GBPR_RECYCLEDWOOD_SE3EL"/>
    <x v="0"/>
    <x v="8"/>
    <n v="136.85232592368899"/>
    <n v="49951.098962146702"/>
    <n v="179823.956263728"/>
  </r>
  <r>
    <x v="0"/>
    <x v="0"/>
    <x v="0"/>
    <x v="8"/>
    <x v="18"/>
    <s v="SE3_EL"/>
    <x v="17"/>
    <s v="GBPR_RECYCLEDWOOD_SE3EL"/>
    <x v="0"/>
    <x v="9"/>
    <n v="136.85232592368899"/>
    <n v="49951.098962146702"/>
    <n v="179823.956263728"/>
  </r>
  <r>
    <x v="0"/>
    <x v="0"/>
    <x v="0"/>
    <x v="8"/>
    <x v="18"/>
    <s v="SE3_EL"/>
    <x v="17"/>
    <s v="GBPR_RECYCLEDWOOD_SE3EL"/>
    <x v="0"/>
    <x v="10"/>
    <n v="136.85232592368899"/>
    <n v="49951.098962146702"/>
    <n v="179823.956263728"/>
  </r>
  <r>
    <x v="0"/>
    <x v="0"/>
    <x v="0"/>
    <x v="8"/>
    <x v="18"/>
    <s v="SE3_EL"/>
    <x v="17"/>
    <s v="GBPR_RECYCLEDWOOD_SE3EL"/>
    <x v="0"/>
    <x v="11"/>
    <n v="136.85232592368899"/>
    <n v="49951.098962146702"/>
    <n v="179823.956263728"/>
  </r>
  <r>
    <x v="0"/>
    <x v="0"/>
    <x v="0"/>
    <x v="8"/>
    <x v="18"/>
    <s v="SE3_EL"/>
    <x v="17"/>
    <s v="GBPR_RECYCLEDWOOD_SE3EL"/>
    <x v="0"/>
    <x v="0"/>
    <n v="136.85232592368899"/>
    <n v="49951.098962146702"/>
    <n v="179823.956263728"/>
  </r>
  <r>
    <x v="0"/>
    <x v="0"/>
    <x v="0"/>
    <x v="8"/>
    <x v="18"/>
    <s v="SE3_EL"/>
    <x v="17"/>
    <s v="GBPR_RECYCLEDWOOD_SE3EL"/>
    <x v="0"/>
    <x v="1"/>
    <n v="136.85232592368899"/>
    <n v="49951.098962146702"/>
    <n v="179823.956263728"/>
  </r>
  <r>
    <x v="0"/>
    <x v="0"/>
    <x v="0"/>
    <x v="8"/>
    <x v="18"/>
    <s v="SE3_EL"/>
    <x v="17"/>
    <s v="GBPR_RECYCLEDWOOD_SE3EL"/>
    <x v="0"/>
    <x v="2"/>
    <n v="136.85232592368899"/>
    <n v="49951.098962146702"/>
    <n v="179823.956263728"/>
  </r>
  <r>
    <x v="0"/>
    <x v="0"/>
    <x v="0"/>
    <x v="8"/>
    <x v="18"/>
    <s v="SE3_EL"/>
    <x v="17"/>
    <s v="GBPR_RECYCLEDWOOD_SE3EL"/>
    <x v="0"/>
    <x v="3"/>
    <n v="136.85232592368899"/>
    <n v="49951.098962146702"/>
    <n v="179823.956263728"/>
  </r>
  <r>
    <x v="0"/>
    <x v="0"/>
    <x v="0"/>
    <x v="8"/>
    <x v="18"/>
    <s v="SE3_EL"/>
    <x v="17"/>
    <s v="GBPR_RECYCLEDWOOD_SE3EL"/>
    <x v="0"/>
    <x v="12"/>
    <n v="136.85232592368899"/>
    <n v="49951.098962146702"/>
    <n v="179823.956263728"/>
  </r>
  <r>
    <x v="0"/>
    <x v="0"/>
    <x v="0"/>
    <x v="8"/>
    <x v="18"/>
    <s v="SE3_EL"/>
    <x v="17"/>
    <s v="GBPR_RECYCLEDWOOD_SE3EL"/>
    <x v="0"/>
    <x v="13"/>
    <n v="136.85232592368899"/>
    <n v="49951.098962146702"/>
    <n v="179823.956263728"/>
  </r>
  <r>
    <x v="0"/>
    <x v="0"/>
    <x v="0"/>
    <x v="8"/>
    <x v="18"/>
    <s v="SE3_EL"/>
    <x v="17"/>
    <s v="GBPR_RECYCLEDWOOD_SE3EL"/>
    <x v="0"/>
    <x v="14"/>
    <n v="136.85232592368899"/>
    <n v="49951.098962146702"/>
    <n v="179823.956263728"/>
  </r>
  <r>
    <x v="0"/>
    <x v="0"/>
    <x v="0"/>
    <x v="8"/>
    <x v="18"/>
    <s v="SE3_EL"/>
    <x v="17"/>
    <s v="GBPR_RECYCLEDWOOD_SE3EL"/>
    <x v="0"/>
    <x v="15"/>
    <n v="136.85232592368899"/>
    <n v="49951.098962146702"/>
    <n v="179823.956263728"/>
  </r>
  <r>
    <x v="0"/>
    <x v="0"/>
    <x v="0"/>
    <x v="8"/>
    <x v="18"/>
    <s v="SE3_EL"/>
    <x v="17"/>
    <s v="GBPR_RECYCLEDWOOD_SE3EL"/>
    <x v="0"/>
    <x v="4"/>
    <n v="136.85232592368899"/>
    <n v="49951.098962146702"/>
    <n v="179823.956263728"/>
  </r>
  <r>
    <x v="0"/>
    <x v="0"/>
    <x v="0"/>
    <x v="8"/>
    <x v="18"/>
    <s v="SE3_EL"/>
    <x v="17"/>
    <s v="GBPR_RECYCLEDWOOD_SE3EL"/>
    <x v="0"/>
    <x v="16"/>
    <n v="136.85232592368899"/>
    <n v="49951.098962146702"/>
    <n v="179823.956263728"/>
  </r>
  <r>
    <x v="0"/>
    <x v="0"/>
    <x v="0"/>
    <x v="8"/>
    <x v="18"/>
    <s v="SE3_EL"/>
    <x v="17"/>
    <s v="GBPR_RECYCLEDWOOD_SE3EL"/>
    <x v="0"/>
    <x v="5"/>
    <n v="136.85232592368899"/>
    <n v="49951.098962146702"/>
    <n v="179823.956263728"/>
  </r>
  <r>
    <x v="0"/>
    <x v="0"/>
    <x v="0"/>
    <x v="8"/>
    <x v="18"/>
    <s v="SE3_EL"/>
    <x v="17"/>
    <s v="GBPR_RECYCLEDWOOD_SE3EL"/>
    <x v="0"/>
    <x v="17"/>
    <n v="136.85232592368899"/>
    <n v="49951.098962146702"/>
    <n v="179823.956263728"/>
  </r>
  <r>
    <x v="0"/>
    <x v="0"/>
    <x v="0"/>
    <x v="8"/>
    <x v="18"/>
    <s v="SE3_EL"/>
    <x v="17"/>
    <s v="GBPR_RECYCLEDWOOD_SE3EL"/>
    <x v="0"/>
    <x v="18"/>
    <n v="136.85232592368899"/>
    <n v="49951.098962146702"/>
    <n v="179823.956263728"/>
  </r>
  <r>
    <x v="0"/>
    <x v="0"/>
    <x v="0"/>
    <x v="8"/>
    <x v="18"/>
    <s v="SE3_EL"/>
    <x v="17"/>
    <s v="GBPR_RECYCLEDWOOD_SE3EL"/>
    <x v="0"/>
    <x v="19"/>
    <n v="136.85232592368899"/>
    <n v="49951.098962146702"/>
    <n v="179823.956263728"/>
  </r>
  <r>
    <x v="0"/>
    <x v="0"/>
    <x v="0"/>
    <x v="8"/>
    <x v="18"/>
    <s v="SE3_EL"/>
    <x v="17"/>
    <s v="GBPR_RECYCLEDWOOD_SE3EL"/>
    <x v="0"/>
    <x v="20"/>
    <n v="136.85232592368899"/>
    <n v="49951.098962146702"/>
    <n v="179823.956263728"/>
  </r>
  <r>
    <x v="0"/>
    <x v="0"/>
    <x v="0"/>
    <x v="8"/>
    <x v="18"/>
    <s v="SE3_EL"/>
    <x v="17"/>
    <s v="GBPR_RECYCLEDWOOD_SE3EL"/>
    <x v="0"/>
    <x v="21"/>
    <n v="136.85232592368899"/>
    <n v="49951.098962146702"/>
    <n v="179823.956263728"/>
  </r>
  <r>
    <x v="0"/>
    <x v="0"/>
    <x v="0"/>
    <x v="8"/>
    <x v="18"/>
    <s v="SE3_EL"/>
    <x v="17"/>
    <s v="GBPR_RECYCLEDWOOD_SE3EL"/>
    <x v="0"/>
    <x v="22"/>
    <n v="136.85232592368899"/>
    <n v="49951.098962146702"/>
    <n v="179823.956263728"/>
  </r>
  <r>
    <x v="0"/>
    <x v="0"/>
    <x v="0"/>
    <x v="8"/>
    <x v="18"/>
    <s v="SE3_EL"/>
    <x v="17"/>
    <s v="GBPR_RECYCLEDWOOD_SE3EL"/>
    <x v="0"/>
    <x v="23"/>
    <n v="136.85232592368899"/>
    <n v="49951.098962146702"/>
    <n v="179823.956263728"/>
  </r>
  <r>
    <x v="0"/>
    <x v="0"/>
    <x v="0"/>
    <x v="8"/>
    <x v="18"/>
    <s v="SE3_EL"/>
    <x v="17"/>
    <s v="GHOB_RECYCLEDWOOD"/>
    <x v="0"/>
    <x v="11"/>
    <n v="46.465744024963797"/>
    <n v="16959.996569111801"/>
    <n v="61055.987648802402"/>
  </r>
  <r>
    <x v="0"/>
    <x v="0"/>
    <x v="0"/>
    <x v="8"/>
    <x v="18"/>
    <s v="SE3_EL"/>
    <x v="17"/>
    <s v="GHOB_RECYCLEDWOOD"/>
    <x v="0"/>
    <x v="0"/>
    <n v="106.782683012259"/>
    <n v="38975.679299474599"/>
    <n v="140312.445478109"/>
  </r>
  <r>
    <x v="0"/>
    <x v="0"/>
    <x v="0"/>
    <x v="8"/>
    <x v="18"/>
    <s v="SE3_EL"/>
    <x v="17"/>
    <s v="GHOB_RECYCLEDWOOD"/>
    <x v="0"/>
    <x v="1"/>
    <n v="106.782683012259"/>
    <n v="38975.679299474599"/>
    <n v="140312.445478109"/>
  </r>
  <r>
    <x v="0"/>
    <x v="0"/>
    <x v="0"/>
    <x v="8"/>
    <x v="18"/>
    <s v="SE3_EL"/>
    <x v="17"/>
    <s v="GHOB_RECYCLEDWOOD"/>
    <x v="0"/>
    <x v="2"/>
    <n v="106.782683012259"/>
    <n v="38975.679299474599"/>
    <n v="140312.445478109"/>
  </r>
  <r>
    <x v="0"/>
    <x v="0"/>
    <x v="0"/>
    <x v="8"/>
    <x v="18"/>
    <s v="SE3_EL"/>
    <x v="17"/>
    <s v="GHOB_RECYCLEDWOOD"/>
    <x v="0"/>
    <x v="3"/>
    <n v="106.782683012259"/>
    <n v="38975.679299474599"/>
    <n v="140312.445478109"/>
  </r>
  <r>
    <x v="0"/>
    <x v="0"/>
    <x v="0"/>
    <x v="8"/>
    <x v="18"/>
    <s v="SE3_EL"/>
    <x v="17"/>
    <s v="GHOB_RECYCLEDWOOD"/>
    <x v="0"/>
    <x v="12"/>
    <n v="106.782683012259"/>
    <n v="38975.679299474599"/>
    <n v="140312.445478109"/>
  </r>
  <r>
    <x v="0"/>
    <x v="0"/>
    <x v="0"/>
    <x v="8"/>
    <x v="18"/>
    <s v="SE3_EL"/>
    <x v="17"/>
    <s v="GHOB_RECYCLEDWOOD"/>
    <x v="0"/>
    <x v="13"/>
    <n v="106.782683012259"/>
    <n v="38975.679299474599"/>
    <n v="140312.445478109"/>
  </r>
  <r>
    <x v="0"/>
    <x v="0"/>
    <x v="0"/>
    <x v="8"/>
    <x v="18"/>
    <s v="SE3_EL"/>
    <x v="17"/>
    <s v="GHOB_RECYCLEDWOOD"/>
    <x v="0"/>
    <x v="14"/>
    <n v="106.782683012259"/>
    <n v="38975.679299474599"/>
    <n v="140312.445478109"/>
  </r>
  <r>
    <x v="0"/>
    <x v="0"/>
    <x v="0"/>
    <x v="8"/>
    <x v="18"/>
    <s v="SE3_EL"/>
    <x v="17"/>
    <s v="GHOB_RECYCLEDWOOD"/>
    <x v="0"/>
    <x v="15"/>
    <n v="106.782683012259"/>
    <n v="38975.679299474599"/>
    <n v="140312.445478109"/>
  </r>
  <r>
    <x v="0"/>
    <x v="0"/>
    <x v="0"/>
    <x v="8"/>
    <x v="18"/>
    <s v="SE3_EL"/>
    <x v="17"/>
    <s v="GHOB_RECYCLEDWOOD"/>
    <x v="0"/>
    <x v="4"/>
    <n v="106.782683012259"/>
    <n v="38975.679299474599"/>
    <n v="140312.445478109"/>
  </r>
  <r>
    <x v="0"/>
    <x v="0"/>
    <x v="0"/>
    <x v="8"/>
    <x v="18"/>
    <s v="SE3_EL"/>
    <x v="17"/>
    <s v="GHOB_RECYCLEDWOOD"/>
    <x v="0"/>
    <x v="16"/>
    <n v="106.782683012259"/>
    <n v="38975.679299474599"/>
    <n v="140312.445478109"/>
  </r>
  <r>
    <x v="0"/>
    <x v="0"/>
    <x v="0"/>
    <x v="8"/>
    <x v="18"/>
    <s v="SE3_EL"/>
    <x v="17"/>
    <s v="GHOB_RECYCLEDWOOD"/>
    <x v="0"/>
    <x v="5"/>
    <n v="79.586097089388502"/>
    <n v="29048.9254376268"/>
    <n v="104576.13157545601"/>
  </r>
  <r>
    <x v="0"/>
    <x v="0"/>
    <x v="0"/>
    <x v="8"/>
    <x v="18"/>
    <s v="SE3_EL"/>
    <x v="17"/>
    <s v="GHOB_RECYCLEDWOOD"/>
    <x v="0"/>
    <x v="17"/>
    <n v="26.905413510096501"/>
    <n v="9820.4759311852195"/>
    <n v="35353.713352266801"/>
  </r>
  <r>
    <x v="0"/>
    <x v="0"/>
    <x v="0"/>
    <x v="8"/>
    <x v="18"/>
    <s v="SE3_EL"/>
    <x v="5"/>
    <s v="GHOB_WASTEHEAT"/>
    <x v="0"/>
    <x v="6"/>
    <n v="27.2206959706959"/>
    <n v="9935.5540293039903"/>
    <n v="35767.994505494396"/>
  </r>
  <r>
    <x v="0"/>
    <x v="0"/>
    <x v="0"/>
    <x v="8"/>
    <x v="18"/>
    <s v="SE3_EL"/>
    <x v="5"/>
    <s v="GHOB_WASTEHEAT"/>
    <x v="0"/>
    <x v="7"/>
    <n v="27.2206959706959"/>
    <n v="9935.5540293039903"/>
    <n v="35767.994505494396"/>
  </r>
  <r>
    <x v="0"/>
    <x v="0"/>
    <x v="0"/>
    <x v="8"/>
    <x v="18"/>
    <s v="SE3_EL"/>
    <x v="5"/>
    <s v="GHOB_WASTEHEAT"/>
    <x v="0"/>
    <x v="8"/>
    <n v="27.2206959706959"/>
    <n v="9935.5540293039903"/>
    <n v="35767.994505494396"/>
  </r>
  <r>
    <x v="0"/>
    <x v="0"/>
    <x v="0"/>
    <x v="8"/>
    <x v="18"/>
    <s v="SE3_EL"/>
    <x v="5"/>
    <s v="GHOB_WASTEHEAT"/>
    <x v="0"/>
    <x v="9"/>
    <n v="27.2206959706959"/>
    <n v="9935.5540293039903"/>
    <n v="35767.994505494396"/>
  </r>
  <r>
    <x v="0"/>
    <x v="0"/>
    <x v="0"/>
    <x v="8"/>
    <x v="18"/>
    <s v="SE3_EL"/>
    <x v="5"/>
    <s v="GHOB_WASTEHEAT"/>
    <x v="0"/>
    <x v="10"/>
    <n v="27.2206959706959"/>
    <n v="9935.5540293039903"/>
    <n v="35767.994505494396"/>
  </r>
  <r>
    <x v="0"/>
    <x v="0"/>
    <x v="0"/>
    <x v="8"/>
    <x v="18"/>
    <s v="SE3_EL"/>
    <x v="5"/>
    <s v="GHOB_WASTEHEAT"/>
    <x v="0"/>
    <x v="11"/>
    <n v="27.2206959706959"/>
    <n v="9935.5540293039903"/>
    <n v="35767.994505494396"/>
  </r>
  <r>
    <x v="0"/>
    <x v="0"/>
    <x v="0"/>
    <x v="8"/>
    <x v="18"/>
    <s v="SE3_EL"/>
    <x v="5"/>
    <s v="GHOB_WASTEHEAT"/>
    <x v="0"/>
    <x v="0"/>
    <n v="27.2206959706959"/>
    <n v="9935.5540293039903"/>
    <n v="35767.994505494396"/>
  </r>
  <r>
    <x v="0"/>
    <x v="0"/>
    <x v="0"/>
    <x v="8"/>
    <x v="18"/>
    <s v="SE3_EL"/>
    <x v="5"/>
    <s v="GHOB_WASTEHEAT"/>
    <x v="0"/>
    <x v="1"/>
    <n v="27.2206959706959"/>
    <n v="9935.5540293039903"/>
    <n v="35767.994505494396"/>
  </r>
  <r>
    <x v="0"/>
    <x v="0"/>
    <x v="0"/>
    <x v="8"/>
    <x v="18"/>
    <s v="SE3_EL"/>
    <x v="5"/>
    <s v="GHOB_WASTEHEAT"/>
    <x v="0"/>
    <x v="2"/>
    <n v="27.2206959706959"/>
    <n v="9935.5540293039903"/>
    <n v="35767.994505494396"/>
  </r>
  <r>
    <x v="0"/>
    <x v="0"/>
    <x v="0"/>
    <x v="8"/>
    <x v="18"/>
    <s v="SE3_EL"/>
    <x v="5"/>
    <s v="GHOB_WASTEHEAT"/>
    <x v="0"/>
    <x v="3"/>
    <n v="27.2206959706959"/>
    <n v="9935.5540293039903"/>
    <n v="35767.994505494396"/>
  </r>
  <r>
    <x v="0"/>
    <x v="0"/>
    <x v="0"/>
    <x v="8"/>
    <x v="18"/>
    <s v="SE3_EL"/>
    <x v="5"/>
    <s v="GHOB_WASTEHEAT"/>
    <x v="0"/>
    <x v="12"/>
    <n v="27.2206959706959"/>
    <n v="9935.5540293039903"/>
    <n v="35767.994505494396"/>
  </r>
  <r>
    <x v="0"/>
    <x v="0"/>
    <x v="0"/>
    <x v="8"/>
    <x v="18"/>
    <s v="SE3_EL"/>
    <x v="5"/>
    <s v="GHOB_WASTEHEAT"/>
    <x v="0"/>
    <x v="13"/>
    <n v="27.2206959706959"/>
    <n v="9935.5540293039903"/>
    <n v="35767.994505494396"/>
  </r>
  <r>
    <x v="0"/>
    <x v="0"/>
    <x v="0"/>
    <x v="8"/>
    <x v="18"/>
    <s v="SE3_EL"/>
    <x v="5"/>
    <s v="GHOB_WASTEHEAT"/>
    <x v="0"/>
    <x v="14"/>
    <n v="27.2206959706959"/>
    <n v="9935.5540293039903"/>
    <n v="35767.994505494396"/>
  </r>
  <r>
    <x v="0"/>
    <x v="0"/>
    <x v="0"/>
    <x v="8"/>
    <x v="18"/>
    <s v="SE3_EL"/>
    <x v="5"/>
    <s v="GHOB_WASTEHEAT"/>
    <x v="0"/>
    <x v="15"/>
    <n v="27.2206959706959"/>
    <n v="9935.5540293039903"/>
    <n v="35767.994505494396"/>
  </r>
  <r>
    <x v="0"/>
    <x v="0"/>
    <x v="0"/>
    <x v="8"/>
    <x v="18"/>
    <s v="SE3_EL"/>
    <x v="5"/>
    <s v="GHOB_WASTEHEAT"/>
    <x v="0"/>
    <x v="4"/>
    <n v="27.2206959706959"/>
    <n v="9935.5540293039903"/>
    <n v="35767.994505494396"/>
  </r>
  <r>
    <x v="0"/>
    <x v="0"/>
    <x v="0"/>
    <x v="8"/>
    <x v="18"/>
    <s v="SE3_EL"/>
    <x v="5"/>
    <s v="GHOB_WASTEHEAT"/>
    <x v="0"/>
    <x v="16"/>
    <n v="27.2206959706959"/>
    <n v="9935.5540293039903"/>
    <n v="35767.994505494396"/>
  </r>
  <r>
    <x v="0"/>
    <x v="0"/>
    <x v="0"/>
    <x v="8"/>
    <x v="18"/>
    <s v="SE3_EL"/>
    <x v="5"/>
    <s v="GHOB_WASTEHEAT"/>
    <x v="0"/>
    <x v="5"/>
    <n v="27.2206959706959"/>
    <n v="9935.5540293039903"/>
    <n v="35767.994505494396"/>
  </r>
  <r>
    <x v="0"/>
    <x v="0"/>
    <x v="0"/>
    <x v="8"/>
    <x v="18"/>
    <s v="SE3_EL"/>
    <x v="5"/>
    <s v="GHOB_WASTEHEAT"/>
    <x v="0"/>
    <x v="17"/>
    <n v="27.2206959706959"/>
    <n v="9935.5540293039903"/>
    <n v="35767.994505494396"/>
  </r>
  <r>
    <x v="0"/>
    <x v="0"/>
    <x v="0"/>
    <x v="8"/>
    <x v="18"/>
    <s v="SE3_EL"/>
    <x v="5"/>
    <s v="GHOB_WASTEHEAT"/>
    <x v="0"/>
    <x v="18"/>
    <n v="27.2206959706959"/>
    <n v="9935.5540293039903"/>
    <n v="35767.994505494396"/>
  </r>
  <r>
    <x v="0"/>
    <x v="0"/>
    <x v="0"/>
    <x v="8"/>
    <x v="18"/>
    <s v="SE3_EL"/>
    <x v="5"/>
    <s v="GHOB_WASTEHEAT"/>
    <x v="0"/>
    <x v="19"/>
    <n v="27.2206959706959"/>
    <n v="9935.5540293039903"/>
    <n v="35767.994505494396"/>
  </r>
  <r>
    <x v="0"/>
    <x v="0"/>
    <x v="0"/>
    <x v="8"/>
    <x v="18"/>
    <s v="SE3_EL"/>
    <x v="5"/>
    <s v="GHOB_WASTEHEAT"/>
    <x v="0"/>
    <x v="20"/>
    <n v="27.2206959706959"/>
    <n v="9935.5540293039903"/>
    <n v="35767.994505494396"/>
  </r>
  <r>
    <x v="0"/>
    <x v="0"/>
    <x v="0"/>
    <x v="8"/>
    <x v="18"/>
    <s v="SE3_EL"/>
    <x v="5"/>
    <s v="GHOB_WASTEHEAT"/>
    <x v="0"/>
    <x v="21"/>
    <n v="27.2206959706959"/>
    <n v="9935.5540293039903"/>
    <n v="35767.994505494396"/>
  </r>
  <r>
    <x v="0"/>
    <x v="0"/>
    <x v="0"/>
    <x v="8"/>
    <x v="18"/>
    <s v="SE3_EL"/>
    <x v="5"/>
    <s v="GHOB_WASTEHEAT"/>
    <x v="0"/>
    <x v="22"/>
    <n v="27.2206959706959"/>
    <n v="9935.5540293039903"/>
    <n v="35767.994505494396"/>
  </r>
  <r>
    <x v="0"/>
    <x v="0"/>
    <x v="0"/>
    <x v="8"/>
    <x v="18"/>
    <s v="SE3_EL"/>
    <x v="5"/>
    <s v="GHOB_WASTEHEAT"/>
    <x v="0"/>
    <x v="23"/>
    <n v="27.2206959706959"/>
    <n v="9935.5540293039903"/>
    <n v="35767.994505494396"/>
  </r>
  <r>
    <x v="0"/>
    <x v="0"/>
    <x v="0"/>
    <x v="8"/>
    <x v="18"/>
    <s v="SE3_EL"/>
    <x v="8"/>
    <s v="GBPR_WOODWASTE_25"/>
    <x v="0"/>
    <x v="6"/>
    <n v="216.33019964973701"/>
    <n v="78960.522872154106"/>
    <n v="284257.88233975501"/>
  </r>
  <r>
    <x v="0"/>
    <x v="0"/>
    <x v="0"/>
    <x v="8"/>
    <x v="18"/>
    <s v="SE3_EL"/>
    <x v="8"/>
    <s v="GBPR_WOODWASTE_25"/>
    <x v="0"/>
    <x v="7"/>
    <n v="216.33019964973701"/>
    <n v="78960.522872154106"/>
    <n v="284257.88233975501"/>
  </r>
  <r>
    <x v="0"/>
    <x v="0"/>
    <x v="0"/>
    <x v="8"/>
    <x v="18"/>
    <s v="SE3_EL"/>
    <x v="8"/>
    <s v="GBPR_WOODWASTE_25"/>
    <x v="0"/>
    <x v="8"/>
    <n v="216.33019964973701"/>
    <n v="78960.522872154106"/>
    <n v="284257.88233975501"/>
  </r>
  <r>
    <x v="0"/>
    <x v="0"/>
    <x v="0"/>
    <x v="8"/>
    <x v="18"/>
    <s v="SE3_EL"/>
    <x v="8"/>
    <s v="GBPR_WOODWASTE_25"/>
    <x v="0"/>
    <x v="9"/>
    <n v="216.33019964973701"/>
    <n v="78960.522872154106"/>
    <n v="284257.88233975501"/>
  </r>
  <r>
    <x v="0"/>
    <x v="0"/>
    <x v="0"/>
    <x v="8"/>
    <x v="18"/>
    <s v="SE3_EL"/>
    <x v="8"/>
    <s v="GBPR_WOODWASTE_25"/>
    <x v="0"/>
    <x v="10"/>
    <n v="216.33019964973701"/>
    <n v="78960.522872154106"/>
    <n v="284257.88233975501"/>
  </r>
  <r>
    <x v="0"/>
    <x v="0"/>
    <x v="0"/>
    <x v="8"/>
    <x v="18"/>
    <s v="SE3_EL"/>
    <x v="8"/>
    <s v="GBPR_WOODWASTE_25"/>
    <x v="0"/>
    <x v="11"/>
    <n v="216.33019964973701"/>
    <n v="78960.522872154106"/>
    <n v="284257.88233975501"/>
  </r>
  <r>
    <x v="0"/>
    <x v="0"/>
    <x v="0"/>
    <x v="8"/>
    <x v="18"/>
    <s v="SE3_EL"/>
    <x v="8"/>
    <s v="GBPR_WOODWASTE_25"/>
    <x v="0"/>
    <x v="0"/>
    <n v="216.33019964973701"/>
    <n v="78960.522872154106"/>
    <n v="284257.88233975501"/>
  </r>
  <r>
    <x v="0"/>
    <x v="0"/>
    <x v="0"/>
    <x v="8"/>
    <x v="18"/>
    <s v="SE3_EL"/>
    <x v="8"/>
    <s v="GBPR_WOODWASTE_25"/>
    <x v="0"/>
    <x v="1"/>
    <n v="216.33019964973701"/>
    <n v="78960.522872154106"/>
    <n v="284257.88233975501"/>
  </r>
  <r>
    <x v="0"/>
    <x v="0"/>
    <x v="0"/>
    <x v="8"/>
    <x v="18"/>
    <s v="SE3_EL"/>
    <x v="8"/>
    <s v="GBPR_WOODWASTE_25"/>
    <x v="0"/>
    <x v="2"/>
    <n v="216.33019964973701"/>
    <n v="78960.522872154106"/>
    <n v="284257.88233975501"/>
  </r>
  <r>
    <x v="0"/>
    <x v="0"/>
    <x v="0"/>
    <x v="8"/>
    <x v="18"/>
    <s v="SE3_EL"/>
    <x v="8"/>
    <s v="GBPR_WOODWASTE_25"/>
    <x v="0"/>
    <x v="3"/>
    <n v="216.33019964973701"/>
    <n v="78960.522872154106"/>
    <n v="284257.88233975501"/>
  </r>
  <r>
    <x v="0"/>
    <x v="0"/>
    <x v="0"/>
    <x v="8"/>
    <x v="18"/>
    <s v="SE3_EL"/>
    <x v="8"/>
    <s v="GBPR_WOODWASTE_25"/>
    <x v="0"/>
    <x v="12"/>
    <n v="216.33019964973701"/>
    <n v="78960.522872154106"/>
    <n v="284257.88233975501"/>
  </r>
  <r>
    <x v="0"/>
    <x v="0"/>
    <x v="0"/>
    <x v="8"/>
    <x v="18"/>
    <s v="SE3_EL"/>
    <x v="8"/>
    <s v="GBPR_WOODWASTE_25"/>
    <x v="0"/>
    <x v="13"/>
    <n v="216.33019964973701"/>
    <n v="78960.522872154106"/>
    <n v="284257.88233975501"/>
  </r>
  <r>
    <x v="0"/>
    <x v="0"/>
    <x v="0"/>
    <x v="8"/>
    <x v="18"/>
    <s v="SE3_EL"/>
    <x v="8"/>
    <s v="GBPR_WOODWASTE_25"/>
    <x v="0"/>
    <x v="14"/>
    <n v="216.33019964973701"/>
    <n v="78960.522872154106"/>
    <n v="284257.88233975501"/>
  </r>
  <r>
    <x v="0"/>
    <x v="0"/>
    <x v="0"/>
    <x v="8"/>
    <x v="18"/>
    <s v="SE3_EL"/>
    <x v="8"/>
    <s v="GBPR_WOODWASTE_25"/>
    <x v="0"/>
    <x v="15"/>
    <n v="216.33019964973701"/>
    <n v="78960.522872154106"/>
    <n v="284257.88233975501"/>
  </r>
  <r>
    <x v="0"/>
    <x v="0"/>
    <x v="0"/>
    <x v="8"/>
    <x v="18"/>
    <s v="SE3_EL"/>
    <x v="8"/>
    <s v="GBPR_WOODWASTE_25"/>
    <x v="0"/>
    <x v="4"/>
    <n v="216.33019964973701"/>
    <n v="78960.522872154106"/>
    <n v="284257.88233975501"/>
  </r>
  <r>
    <x v="0"/>
    <x v="0"/>
    <x v="0"/>
    <x v="8"/>
    <x v="18"/>
    <s v="SE3_EL"/>
    <x v="8"/>
    <s v="GBPR_WOODWASTE_25"/>
    <x v="0"/>
    <x v="16"/>
    <n v="216.33019964973701"/>
    <n v="78960.522872154106"/>
    <n v="284257.88233975501"/>
  </r>
  <r>
    <x v="0"/>
    <x v="0"/>
    <x v="0"/>
    <x v="8"/>
    <x v="18"/>
    <s v="SE3_EL"/>
    <x v="8"/>
    <s v="GBPR_WOODWASTE_25"/>
    <x v="0"/>
    <x v="5"/>
    <n v="216.33019964973701"/>
    <n v="78960.522872154106"/>
    <n v="284257.88233975501"/>
  </r>
  <r>
    <x v="0"/>
    <x v="0"/>
    <x v="0"/>
    <x v="8"/>
    <x v="18"/>
    <s v="SE3_EL"/>
    <x v="8"/>
    <s v="GBPR_WOODWASTE_25"/>
    <x v="0"/>
    <x v="17"/>
    <n v="216.33019964973701"/>
    <n v="78960.522872154106"/>
    <n v="284257.88233975501"/>
  </r>
  <r>
    <x v="0"/>
    <x v="0"/>
    <x v="0"/>
    <x v="8"/>
    <x v="18"/>
    <s v="SE3_EL"/>
    <x v="8"/>
    <s v="GBPR_WOODWASTE_25"/>
    <x v="0"/>
    <x v="18"/>
    <n v="216.33019964973701"/>
    <n v="78960.522872154106"/>
    <n v="284257.88233975501"/>
  </r>
  <r>
    <x v="0"/>
    <x v="0"/>
    <x v="0"/>
    <x v="8"/>
    <x v="18"/>
    <s v="SE3_EL"/>
    <x v="8"/>
    <s v="GBPR_WOODWASTE_25"/>
    <x v="0"/>
    <x v="19"/>
    <n v="216.33019964973701"/>
    <n v="78960.522872154106"/>
    <n v="284257.88233975501"/>
  </r>
  <r>
    <x v="0"/>
    <x v="0"/>
    <x v="0"/>
    <x v="8"/>
    <x v="18"/>
    <s v="SE3_EL"/>
    <x v="8"/>
    <s v="GBPR_WOODWASTE_25"/>
    <x v="0"/>
    <x v="20"/>
    <n v="216.33019964973701"/>
    <n v="78960.522872154106"/>
    <n v="284257.88233975501"/>
  </r>
  <r>
    <x v="0"/>
    <x v="0"/>
    <x v="0"/>
    <x v="8"/>
    <x v="18"/>
    <s v="SE3_EL"/>
    <x v="8"/>
    <s v="GBPR_WOODWASTE_25"/>
    <x v="0"/>
    <x v="21"/>
    <n v="216.33019964973701"/>
    <n v="78960.522872154106"/>
    <n v="284257.88233975501"/>
  </r>
  <r>
    <x v="0"/>
    <x v="0"/>
    <x v="0"/>
    <x v="8"/>
    <x v="18"/>
    <s v="SE3_EL"/>
    <x v="8"/>
    <s v="GBPR_WOODWASTE_25"/>
    <x v="0"/>
    <x v="22"/>
    <n v="216.33019964973701"/>
    <n v="78960.522872154106"/>
    <n v="284257.88233975501"/>
  </r>
  <r>
    <x v="0"/>
    <x v="0"/>
    <x v="0"/>
    <x v="8"/>
    <x v="18"/>
    <s v="SE3_EL"/>
    <x v="8"/>
    <s v="GBPR_WOODWASTE_25"/>
    <x v="0"/>
    <x v="23"/>
    <n v="216.33019964973701"/>
    <n v="78960.522872154106"/>
    <n v="284257.88233975501"/>
  </r>
  <r>
    <x v="0"/>
    <x v="0"/>
    <x v="0"/>
    <x v="8"/>
    <x v="18"/>
    <s v="SE3_EL"/>
    <x v="8"/>
    <s v="GBPR_WOODWASTE_ABY"/>
    <x v="0"/>
    <x v="6"/>
    <n v="90.398038528896294"/>
    <n v="32995.284063047096"/>
    <n v="118783.02262697001"/>
  </r>
  <r>
    <x v="0"/>
    <x v="0"/>
    <x v="0"/>
    <x v="8"/>
    <x v="18"/>
    <s v="SE3_EL"/>
    <x v="8"/>
    <s v="GBPR_WOODWASTE_ABY"/>
    <x v="0"/>
    <x v="7"/>
    <n v="90.398038528896294"/>
    <n v="32995.284063047096"/>
    <n v="118783.02262697001"/>
  </r>
  <r>
    <x v="0"/>
    <x v="0"/>
    <x v="0"/>
    <x v="8"/>
    <x v="18"/>
    <s v="SE3_EL"/>
    <x v="8"/>
    <s v="GBPR_WOODWASTE_ABY"/>
    <x v="0"/>
    <x v="8"/>
    <n v="90.398038528896294"/>
    <n v="32995.284063047096"/>
    <n v="118783.02262697001"/>
  </r>
  <r>
    <x v="0"/>
    <x v="0"/>
    <x v="0"/>
    <x v="8"/>
    <x v="18"/>
    <s v="SE3_EL"/>
    <x v="8"/>
    <s v="GBPR_WOODWASTE_ABY"/>
    <x v="0"/>
    <x v="9"/>
    <n v="90.398038528896294"/>
    <n v="32995.284063047096"/>
    <n v="118783.02262697001"/>
  </r>
  <r>
    <x v="0"/>
    <x v="0"/>
    <x v="0"/>
    <x v="8"/>
    <x v="18"/>
    <s v="SE3_EL"/>
    <x v="8"/>
    <s v="GBPR_WOODWASTE_ABY"/>
    <x v="0"/>
    <x v="10"/>
    <n v="90.398038528896294"/>
    <n v="32995.284063047096"/>
    <n v="118783.02262697001"/>
  </r>
  <r>
    <x v="0"/>
    <x v="0"/>
    <x v="0"/>
    <x v="8"/>
    <x v="18"/>
    <s v="SE3_EL"/>
    <x v="8"/>
    <s v="GBPR_WOODWASTE_ABY"/>
    <x v="0"/>
    <x v="11"/>
    <n v="90.398038528896294"/>
    <n v="32995.284063047096"/>
    <n v="118783.02262697001"/>
  </r>
  <r>
    <x v="0"/>
    <x v="0"/>
    <x v="0"/>
    <x v="8"/>
    <x v="18"/>
    <s v="SE3_EL"/>
    <x v="8"/>
    <s v="GBPR_WOODWASTE_ABY"/>
    <x v="0"/>
    <x v="0"/>
    <n v="90.398038528896294"/>
    <n v="32995.284063047096"/>
    <n v="118783.02262697001"/>
  </r>
  <r>
    <x v="0"/>
    <x v="0"/>
    <x v="0"/>
    <x v="8"/>
    <x v="18"/>
    <s v="SE3_EL"/>
    <x v="8"/>
    <s v="GBPR_WOODWASTE_ABY"/>
    <x v="0"/>
    <x v="1"/>
    <n v="90.398038528896294"/>
    <n v="32995.284063047096"/>
    <n v="118783.02262697001"/>
  </r>
  <r>
    <x v="0"/>
    <x v="0"/>
    <x v="0"/>
    <x v="8"/>
    <x v="18"/>
    <s v="SE3_EL"/>
    <x v="8"/>
    <s v="GBPR_WOODWASTE_ABY"/>
    <x v="0"/>
    <x v="2"/>
    <n v="90.398038528896294"/>
    <n v="32995.284063047096"/>
    <n v="118783.02262697001"/>
  </r>
  <r>
    <x v="0"/>
    <x v="0"/>
    <x v="0"/>
    <x v="8"/>
    <x v="18"/>
    <s v="SE3_EL"/>
    <x v="8"/>
    <s v="GBPR_WOODWASTE_ABY"/>
    <x v="0"/>
    <x v="3"/>
    <n v="90.398038528896294"/>
    <n v="32995.284063047096"/>
    <n v="118783.02262697001"/>
  </r>
  <r>
    <x v="0"/>
    <x v="0"/>
    <x v="0"/>
    <x v="8"/>
    <x v="18"/>
    <s v="SE3_EL"/>
    <x v="8"/>
    <s v="GBPR_WOODWASTE_ABY"/>
    <x v="0"/>
    <x v="12"/>
    <n v="90.398038528896294"/>
    <n v="32995.284063047096"/>
    <n v="118783.02262697001"/>
  </r>
  <r>
    <x v="0"/>
    <x v="0"/>
    <x v="0"/>
    <x v="8"/>
    <x v="18"/>
    <s v="SE3_EL"/>
    <x v="8"/>
    <s v="GBPR_WOODWASTE_ABY"/>
    <x v="0"/>
    <x v="13"/>
    <n v="90.398038528896294"/>
    <n v="32995.284063047096"/>
    <n v="118783.02262697001"/>
  </r>
  <r>
    <x v="0"/>
    <x v="0"/>
    <x v="0"/>
    <x v="8"/>
    <x v="18"/>
    <s v="SE3_EL"/>
    <x v="8"/>
    <s v="GBPR_WOODWASTE_ABY"/>
    <x v="0"/>
    <x v="14"/>
    <n v="90.398038528896294"/>
    <n v="32995.284063047096"/>
    <n v="118783.02262697001"/>
  </r>
  <r>
    <x v="0"/>
    <x v="0"/>
    <x v="0"/>
    <x v="8"/>
    <x v="18"/>
    <s v="SE3_EL"/>
    <x v="8"/>
    <s v="GBPR_WOODWASTE_ABY"/>
    <x v="0"/>
    <x v="15"/>
    <n v="90.398038528896294"/>
    <n v="32995.284063047096"/>
    <n v="118783.02262697001"/>
  </r>
  <r>
    <x v="0"/>
    <x v="0"/>
    <x v="0"/>
    <x v="8"/>
    <x v="18"/>
    <s v="SE3_EL"/>
    <x v="8"/>
    <s v="GBPR_WOODWASTE_ABY"/>
    <x v="0"/>
    <x v="4"/>
    <n v="90.398038528896294"/>
    <n v="32995.284063047096"/>
    <n v="118783.02262697001"/>
  </r>
  <r>
    <x v="0"/>
    <x v="0"/>
    <x v="0"/>
    <x v="8"/>
    <x v="18"/>
    <s v="SE3_EL"/>
    <x v="8"/>
    <s v="GBPR_WOODWASTE_ABY"/>
    <x v="0"/>
    <x v="16"/>
    <n v="90.398038528896294"/>
    <n v="32995.284063047096"/>
    <n v="118783.02262697001"/>
  </r>
  <r>
    <x v="0"/>
    <x v="0"/>
    <x v="0"/>
    <x v="8"/>
    <x v="18"/>
    <s v="SE3_EL"/>
    <x v="8"/>
    <s v="GBPR_WOODWASTE_ABY"/>
    <x v="0"/>
    <x v="5"/>
    <n v="90.398038528896294"/>
    <n v="32995.284063047096"/>
    <n v="118783.02262697001"/>
  </r>
  <r>
    <x v="0"/>
    <x v="0"/>
    <x v="0"/>
    <x v="8"/>
    <x v="18"/>
    <s v="SE3_EL"/>
    <x v="8"/>
    <s v="GBPR_WOODWASTE_ABY"/>
    <x v="0"/>
    <x v="17"/>
    <n v="90.398038528896294"/>
    <n v="32995.284063047096"/>
    <n v="118783.02262697001"/>
  </r>
  <r>
    <x v="0"/>
    <x v="0"/>
    <x v="0"/>
    <x v="8"/>
    <x v="18"/>
    <s v="SE3_EL"/>
    <x v="8"/>
    <s v="GBPR_WOODWASTE_ABY"/>
    <x v="0"/>
    <x v="18"/>
    <n v="90.398038528896294"/>
    <n v="32995.284063047096"/>
    <n v="118783.02262697001"/>
  </r>
  <r>
    <x v="0"/>
    <x v="0"/>
    <x v="0"/>
    <x v="8"/>
    <x v="18"/>
    <s v="SE3_EL"/>
    <x v="8"/>
    <s v="GBPR_WOODWASTE_ABY"/>
    <x v="0"/>
    <x v="19"/>
    <n v="90.398038528896294"/>
    <n v="32995.284063047096"/>
    <n v="118783.02262697001"/>
  </r>
  <r>
    <x v="0"/>
    <x v="0"/>
    <x v="0"/>
    <x v="8"/>
    <x v="18"/>
    <s v="SE3_EL"/>
    <x v="8"/>
    <s v="GBPR_WOODWASTE_ABY"/>
    <x v="0"/>
    <x v="20"/>
    <n v="90.398038528896294"/>
    <n v="32995.284063047096"/>
    <n v="118783.02262697001"/>
  </r>
  <r>
    <x v="0"/>
    <x v="0"/>
    <x v="0"/>
    <x v="8"/>
    <x v="18"/>
    <s v="SE3_EL"/>
    <x v="8"/>
    <s v="GBPR_WOODWASTE_ABY"/>
    <x v="0"/>
    <x v="21"/>
    <n v="90.398038528896294"/>
    <n v="32995.284063047096"/>
    <n v="118783.02262697001"/>
  </r>
  <r>
    <x v="0"/>
    <x v="0"/>
    <x v="0"/>
    <x v="8"/>
    <x v="18"/>
    <s v="SE3_EL"/>
    <x v="8"/>
    <s v="GBPR_WOODWASTE_ABY"/>
    <x v="0"/>
    <x v="22"/>
    <n v="90.398038528896294"/>
    <n v="32995.284063047096"/>
    <n v="118783.02262697001"/>
  </r>
  <r>
    <x v="0"/>
    <x v="0"/>
    <x v="0"/>
    <x v="8"/>
    <x v="18"/>
    <s v="SE3_EL"/>
    <x v="8"/>
    <s v="GBPR_WOODWASTE_ABY"/>
    <x v="0"/>
    <x v="23"/>
    <n v="90.398038528896294"/>
    <n v="32995.284063047096"/>
    <n v="118783.02262697001"/>
  </r>
  <r>
    <x v="0"/>
    <x v="0"/>
    <x v="0"/>
    <x v="8"/>
    <x v="18"/>
    <s v="SE3_EL"/>
    <x v="8"/>
    <s v="GHOB_WOODWASTE"/>
    <x v="0"/>
    <x v="6"/>
    <n v="57.099073555166399"/>
    <n v="20841.1618476357"/>
    <n v="75028.182651488605"/>
  </r>
  <r>
    <x v="0"/>
    <x v="0"/>
    <x v="0"/>
    <x v="8"/>
    <x v="18"/>
    <s v="SE3_EL"/>
    <x v="8"/>
    <s v="GHOB_WOODWASTE"/>
    <x v="0"/>
    <x v="7"/>
    <n v="57.099073555166399"/>
    <n v="20841.1618476357"/>
    <n v="75028.182651488605"/>
  </r>
  <r>
    <x v="0"/>
    <x v="0"/>
    <x v="0"/>
    <x v="8"/>
    <x v="18"/>
    <s v="SE3_EL"/>
    <x v="8"/>
    <s v="GHOB_WOODWASTE"/>
    <x v="0"/>
    <x v="8"/>
    <n v="57.099073555166399"/>
    <n v="20841.1618476357"/>
    <n v="75028.182651488605"/>
  </r>
  <r>
    <x v="0"/>
    <x v="0"/>
    <x v="0"/>
    <x v="8"/>
    <x v="18"/>
    <s v="SE3_EL"/>
    <x v="8"/>
    <s v="GHOB_WOODWASTE"/>
    <x v="0"/>
    <x v="9"/>
    <n v="57.099073555166399"/>
    <n v="20841.1618476357"/>
    <n v="75028.182651488605"/>
  </r>
  <r>
    <x v="0"/>
    <x v="0"/>
    <x v="0"/>
    <x v="8"/>
    <x v="18"/>
    <s v="SE3_EL"/>
    <x v="8"/>
    <s v="GHOB_WOODWASTE"/>
    <x v="0"/>
    <x v="10"/>
    <n v="57.099073555166399"/>
    <n v="20841.1618476357"/>
    <n v="75028.182651488605"/>
  </r>
  <r>
    <x v="0"/>
    <x v="0"/>
    <x v="0"/>
    <x v="8"/>
    <x v="18"/>
    <s v="SE3_EL"/>
    <x v="8"/>
    <s v="GHOB_WOODWASTE"/>
    <x v="0"/>
    <x v="11"/>
    <n v="57.099073555166399"/>
    <n v="20841.1618476357"/>
    <n v="75028.182651488605"/>
  </r>
  <r>
    <x v="0"/>
    <x v="0"/>
    <x v="0"/>
    <x v="8"/>
    <x v="18"/>
    <s v="SE3_EL"/>
    <x v="8"/>
    <s v="GHOB_WOODWASTE"/>
    <x v="0"/>
    <x v="0"/>
    <n v="57.099073555166399"/>
    <n v="20841.1618476357"/>
    <n v="75028.182651488605"/>
  </r>
  <r>
    <x v="0"/>
    <x v="0"/>
    <x v="0"/>
    <x v="8"/>
    <x v="18"/>
    <s v="SE3_EL"/>
    <x v="8"/>
    <s v="GHOB_WOODWASTE"/>
    <x v="0"/>
    <x v="1"/>
    <n v="57.099073555166399"/>
    <n v="20841.1618476357"/>
    <n v="75028.182651488605"/>
  </r>
  <r>
    <x v="0"/>
    <x v="0"/>
    <x v="0"/>
    <x v="8"/>
    <x v="18"/>
    <s v="SE3_EL"/>
    <x v="8"/>
    <s v="GHOB_WOODWASTE"/>
    <x v="0"/>
    <x v="2"/>
    <n v="57.099073555166399"/>
    <n v="20841.1618476357"/>
    <n v="75028.182651488605"/>
  </r>
  <r>
    <x v="0"/>
    <x v="0"/>
    <x v="0"/>
    <x v="8"/>
    <x v="18"/>
    <s v="SE3_EL"/>
    <x v="8"/>
    <s v="GHOB_WOODWASTE"/>
    <x v="0"/>
    <x v="3"/>
    <n v="57.099073555166399"/>
    <n v="20841.1618476357"/>
    <n v="75028.182651488605"/>
  </r>
  <r>
    <x v="0"/>
    <x v="0"/>
    <x v="0"/>
    <x v="8"/>
    <x v="18"/>
    <s v="SE3_EL"/>
    <x v="8"/>
    <s v="GHOB_WOODWASTE"/>
    <x v="0"/>
    <x v="12"/>
    <n v="57.099073555166399"/>
    <n v="20841.1618476357"/>
    <n v="75028.182651488605"/>
  </r>
  <r>
    <x v="0"/>
    <x v="0"/>
    <x v="0"/>
    <x v="8"/>
    <x v="18"/>
    <s v="SE3_EL"/>
    <x v="8"/>
    <s v="GHOB_WOODWASTE"/>
    <x v="0"/>
    <x v="13"/>
    <n v="57.099073555166399"/>
    <n v="20841.1618476357"/>
    <n v="75028.182651488605"/>
  </r>
  <r>
    <x v="0"/>
    <x v="0"/>
    <x v="0"/>
    <x v="8"/>
    <x v="18"/>
    <s v="SE3_EL"/>
    <x v="8"/>
    <s v="GHOB_WOODWASTE"/>
    <x v="0"/>
    <x v="14"/>
    <n v="57.099073555166399"/>
    <n v="20841.1618476357"/>
    <n v="75028.182651488605"/>
  </r>
  <r>
    <x v="0"/>
    <x v="0"/>
    <x v="0"/>
    <x v="8"/>
    <x v="18"/>
    <s v="SE3_EL"/>
    <x v="8"/>
    <s v="GHOB_WOODWASTE"/>
    <x v="0"/>
    <x v="15"/>
    <n v="57.099073555166399"/>
    <n v="20841.1618476357"/>
    <n v="75028.182651488605"/>
  </r>
  <r>
    <x v="0"/>
    <x v="0"/>
    <x v="0"/>
    <x v="8"/>
    <x v="18"/>
    <s v="SE3_EL"/>
    <x v="8"/>
    <s v="GHOB_WOODWASTE"/>
    <x v="0"/>
    <x v="4"/>
    <n v="57.099073555166399"/>
    <n v="20841.1618476357"/>
    <n v="75028.182651488605"/>
  </r>
  <r>
    <x v="0"/>
    <x v="0"/>
    <x v="0"/>
    <x v="8"/>
    <x v="18"/>
    <s v="SE3_EL"/>
    <x v="8"/>
    <s v="GHOB_WOODWASTE"/>
    <x v="0"/>
    <x v="16"/>
    <n v="57.099073555166399"/>
    <n v="20841.1618476357"/>
    <n v="75028.182651488605"/>
  </r>
  <r>
    <x v="0"/>
    <x v="0"/>
    <x v="0"/>
    <x v="8"/>
    <x v="18"/>
    <s v="SE3_EL"/>
    <x v="8"/>
    <s v="GHOB_WOODWASTE"/>
    <x v="0"/>
    <x v="5"/>
    <n v="57.099073555166399"/>
    <n v="20841.1618476357"/>
    <n v="75028.182651488605"/>
  </r>
  <r>
    <x v="0"/>
    <x v="0"/>
    <x v="0"/>
    <x v="8"/>
    <x v="18"/>
    <s v="SE3_EL"/>
    <x v="8"/>
    <s v="GHOB_WOODWASTE"/>
    <x v="0"/>
    <x v="17"/>
    <n v="57.099073555166399"/>
    <n v="20841.1618476357"/>
    <n v="75028.182651488605"/>
  </r>
  <r>
    <x v="0"/>
    <x v="0"/>
    <x v="0"/>
    <x v="8"/>
    <x v="18"/>
    <s v="SE3_EL"/>
    <x v="8"/>
    <s v="GHOB_WOODWASTE"/>
    <x v="0"/>
    <x v="18"/>
    <n v="57.099073555166399"/>
    <n v="20841.1618476357"/>
    <n v="75028.182651488605"/>
  </r>
  <r>
    <x v="0"/>
    <x v="0"/>
    <x v="0"/>
    <x v="8"/>
    <x v="18"/>
    <s v="SE3_EL"/>
    <x v="8"/>
    <s v="GHOB_WOODWASTE"/>
    <x v="0"/>
    <x v="19"/>
    <n v="57.099073555166399"/>
    <n v="20841.1618476357"/>
    <n v="75028.182651488605"/>
  </r>
  <r>
    <x v="0"/>
    <x v="0"/>
    <x v="0"/>
    <x v="8"/>
    <x v="18"/>
    <s v="SE3_EL"/>
    <x v="8"/>
    <s v="GHOB_WOODWASTE"/>
    <x v="0"/>
    <x v="20"/>
    <n v="57.099073555166399"/>
    <n v="20841.1618476357"/>
    <n v="75028.182651488605"/>
  </r>
  <r>
    <x v="0"/>
    <x v="0"/>
    <x v="0"/>
    <x v="8"/>
    <x v="18"/>
    <s v="SE3_EL"/>
    <x v="8"/>
    <s v="GHOB_WOODWASTE"/>
    <x v="0"/>
    <x v="21"/>
    <n v="57.099073555166399"/>
    <n v="20841.1618476357"/>
    <n v="75028.182651488605"/>
  </r>
  <r>
    <x v="0"/>
    <x v="0"/>
    <x v="0"/>
    <x v="8"/>
    <x v="18"/>
    <s v="SE3_EL"/>
    <x v="8"/>
    <s v="GHOB_WOODWASTE"/>
    <x v="0"/>
    <x v="22"/>
    <n v="57.099073555166399"/>
    <n v="20841.1618476357"/>
    <n v="75028.182651488605"/>
  </r>
  <r>
    <x v="0"/>
    <x v="0"/>
    <x v="0"/>
    <x v="8"/>
    <x v="18"/>
    <s v="SE3_EL"/>
    <x v="8"/>
    <s v="GHOB_WOODWASTE"/>
    <x v="0"/>
    <x v="23"/>
    <n v="57.099073555166399"/>
    <n v="20841.1618476357"/>
    <n v="75028.182651488605"/>
  </r>
  <r>
    <x v="0"/>
    <x v="0"/>
    <x v="0"/>
    <x v="8"/>
    <x v="18"/>
    <s v="SE3_GOT"/>
    <x v="1"/>
    <s v="GNR_HS_HEAT_WTR-TANK_LS_E-95_Y-2010"/>
    <x v="0"/>
    <x v="6"/>
    <n v="871.26110673772496"/>
    <n v="318010.30395927001"/>
    <n v="1144837.0942533701"/>
  </r>
  <r>
    <x v="0"/>
    <x v="0"/>
    <x v="0"/>
    <x v="8"/>
    <x v="18"/>
    <s v="SE3_GOT"/>
    <x v="1"/>
    <s v="GNR_HS_HEAT_WTR-TANK_LS_E-95_Y-2010"/>
    <x v="0"/>
    <x v="7"/>
    <n v="870.29064926119395"/>
    <n v="317656.086980336"/>
    <n v="1143561.91312921"/>
  </r>
  <r>
    <x v="0"/>
    <x v="0"/>
    <x v="0"/>
    <x v="8"/>
    <x v="18"/>
    <s v="SE3_GOT"/>
    <x v="1"/>
    <s v="GNR_HS_HEAT_WTR-TANK_LS_E-95_Y-2010"/>
    <x v="0"/>
    <x v="8"/>
    <n v="871.75329446807496"/>
    <n v="318189.95248084702"/>
    <n v="1145483.8289310499"/>
  </r>
  <r>
    <x v="0"/>
    <x v="0"/>
    <x v="0"/>
    <x v="8"/>
    <x v="18"/>
    <s v="SE3_GOT"/>
    <x v="1"/>
    <s v="GNR_HS_HEAT_WTR-TANK_LS_E-95_Y-2010"/>
    <x v="0"/>
    <x v="9"/>
    <n v="885.32947295963004"/>
    <n v="323145.25763026503"/>
    <n v="1163322.9274689499"/>
  </r>
  <r>
    <x v="0"/>
    <x v="0"/>
    <x v="0"/>
    <x v="8"/>
    <x v="18"/>
    <s v="SE3_GOT"/>
    <x v="1"/>
    <s v="GNR_HS_HEAT_WTR-TANK_LS_E-95_Y-2010"/>
    <x v="0"/>
    <x v="10"/>
    <n v="829.73806922050403"/>
    <n v="302854.395265484"/>
    <n v="1090275.8229557399"/>
  </r>
  <r>
    <x v="0"/>
    <x v="0"/>
    <x v="0"/>
    <x v="8"/>
    <x v="18"/>
    <s v="SE3_GOT"/>
    <x v="1"/>
    <s v="GNR_HS_HEAT_WTR-TANK_LS_E-95_Y-2010"/>
    <x v="0"/>
    <x v="11"/>
    <n v="877.41468649145702"/>
    <n v="320256.36056938203"/>
    <n v="1152922.8980497699"/>
  </r>
  <r>
    <x v="0"/>
    <x v="0"/>
    <x v="0"/>
    <x v="8"/>
    <x v="18"/>
    <s v="SE3_GOT"/>
    <x v="1"/>
    <s v="GNR_HS_HEAT_WTR-TANK_LS_E-95_Y-2010"/>
    <x v="0"/>
    <x v="0"/>
    <n v="951.18498649400397"/>
    <n v="347182.52007031097"/>
    <n v="1249857.0722531199"/>
  </r>
  <r>
    <x v="0"/>
    <x v="0"/>
    <x v="0"/>
    <x v="8"/>
    <x v="18"/>
    <s v="SE3_GOT"/>
    <x v="1"/>
    <s v="GNR_HS_HEAT_WTR-TANK_LS_E-95_Y-2010"/>
    <x v="0"/>
    <x v="1"/>
    <n v="951.18498649400397"/>
    <n v="347182.52007031097"/>
    <n v="1249857.0722531199"/>
  </r>
  <r>
    <x v="0"/>
    <x v="0"/>
    <x v="0"/>
    <x v="8"/>
    <x v="18"/>
    <s v="SE3_GOT"/>
    <x v="1"/>
    <s v="GNR_HS_HEAT_WTR-TANK_LS_E-95_Y-2010"/>
    <x v="0"/>
    <x v="2"/>
    <n v="951.18498649400397"/>
    <n v="347182.52007031097"/>
    <n v="1249857.0722531199"/>
  </r>
  <r>
    <x v="0"/>
    <x v="0"/>
    <x v="0"/>
    <x v="8"/>
    <x v="18"/>
    <s v="SE3_GOT"/>
    <x v="1"/>
    <s v="GNR_HS_HEAT_WTR-TANK_LS_E-95_Y-2010"/>
    <x v="0"/>
    <x v="3"/>
    <n v="951.18498649400397"/>
    <n v="347182.52007031097"/>
    <n v="1249857.0722531199"/>
  </r>
  <r>
    <x v="0"/>
    <x v="0"/>
    <x v="0"/>
    <x v="8"/>
    <x v="18"/>
    <s v="SE3_GOT"/>
    <x v="1"/>
    <s v="GNR_HS_HEAT_WTR-TANK_LS_E-95_Y-2010"/>
    <x v="0"/>
    <x v="12"/>
    <n v="951.18498649400397"/>
    <n v="347182.52007031097"/>
    <n v="1249857.0722531199"/>
  </r>
  <r>
    <x v="0"/>
    <x v="0"/>
    <x v="0"/>
    <x v="8"/>
    <x v="18"/>
    <s v="SE3_GOT"/>
    <x v="1"/>
    <s v="GNR_HS_HEAT_WTR-TANK_LS_E-95_Y-2010"/>
    <x v="0"/>
    <x v="13"/>
    <n v="944.62988725712603"/>
    <n v="344789.90884885099"/>
    <n v="1241243.6718558599"/>
  </r>
  <r>
    <x v="0"/>
    <x v="0"/>
    <x v="0"/>
    <x v="8"/>
    <x v="18"/>
    <s v="SE3_GOT"/>
    <x v="1"/>
    <s v="GNR_HS_HEAT_WTR-TANK_LS_E-95_Y-2010"/>
    <x v="0"/>
    <x v="14"/>
    <n v="927.58338240088494"/>
    <n v="338567.93457632302"/>
    <n v="1218844.5644747601"/>
  </r>
  <r>
    <x v="0"/>
    <x v="0"/>
    <x v="0"/>
    <x v="8"/>
    <x v="18"/>
    <s v="SE3_GOT"/>
    <x v="1"/>
    <s v="GNR_HS_HEAT_WTR-TANK_LS_E-95_Y-2010"/>
    <x v="0"/>
    <x v="15"/>
    <n v="925.77288532678597"/>
    <n v="337907.103144277"/>
    <n v="1216465.5713194001"/>
  </r>
  <r>
    <x v="0"/>
    <x v="0"/>
    <x v="0"/>
    <x v="8"/>
    <x v="18"/>
    <s v="SE3_GOT"/>
    <x v="1"/>
    <s v="GNR_HS_HEAT_WTR-TANK_LS_E-95_Y-2010"/>
    <x v="0"/>
    <x v="4"/>
    <n v="917.49454856630405"/>
    <n v="334885.51022670098"/>
    <n v="1205587.83681612"/>
  </r>
  <r>
    <x v="0"/>
    <x v="0"/>
    <x v="0"/>
    <x v="8"/>
    <x v="18"/>
    <s v="SE3_GOT"/>
    <x v="1"/>
    <s v="GNR_HS_HEAT_WTR-TANK_LS_E-95_Y-2010"/>
    <x v="0"/>
    <x v="16"/>
    <n v="912.23298868193399"/>
    <n v="332965.04086890601"/>
    <n v="1198674.14712806"/>
  </r>
  <r>
    <x v="0"/>
    <x v="0"/>
    <x v="0"/>
    <x v="8"/>
    <x v="18"/>
    <s v="SE3_GOT"/>
    <x v="1"/>
    <s v="GNR_HS_HEAT_WTR-TANK_LS_E-95_Y-2010"/>
    <x v="0"/>
    <x v="5"/>
    <n v="902.81241171722104"/>
    <n v="329526.53027678601"/>
    <n v="1186295.5089964301"/>
  </r>
  <r>
    <x v="0"/>
    <x v="0"/>
    <x v="0"/>
    <x v="8"/>
    <x v="18"/>
    <s v="SE3_GOT"/>
    <x v="1"/>
    <s v="GNR_HS_HEAT_WTR-TANK_LS_E-95_Y-2010"/>
    <x v="0"/>
    <x v="17"/>
    <n v="881.47385728599295"/>
    <n v="321737.95790938701"/>
    <n v="1158256.6484737899"/>
  </r>
  <r>
    <x v="0"/>
    <x v="0"/>
    <x v="0"/>
    <x v="8"/>
    <x v="18"/>
    <s v="SE3_GOT"/>
    <x v="1"/>
    <s v="GNR_HS_HEAT_WTR-TANK_LS_E-95_Y-2010"/>
    <x v="0"/>
    <x v="18"/>
    <n v="863.81084071714599"/>
    <n v="315290.95686175802"/>
    <n v="1135047.44470233"/>
  </r>
  <r>
    <x v="0"/>
    <x v="0"/>
    <x v="0"/>
    <x v="8"/>
    <x v="18"/>
    <s v="SE3_GOT"/>
    <x v="1"/>
    <s v="GNR_HS_HEAT_WTR-TANK_LS_E-95_Y-2010"/>
    <x v="0"/>
    <x v="19"/>
    <n v="850.02493705395705"/>
    <n v="310259.10202469397"/>
    <n v="1116932.7672889"/>
  </r>
  <r>
    <x v="0"/>
    <x v="0"/>
    <x v="0"/>
    <x v="8"/>
    <x v="18"/>
    <s v="SE3_GOT"/>
    <x v="1"/>
    <s v="GNR_HS_HEAT_WTR-TANK_LS_E-95_Y-2010"/>
    <x v="0"/>
    <x v="20"/>
    <n v="837.66959689773"/>
    <n v="305749.40286767198"/>
    <n v="1100697.85032362"/>
  </r>
  <r>
    <x v="0"/>
    <x v="0"/>
    <x v="0"/>
    <x v="8"/>
    <x v="18"/>
    <s v="SE3_GOT"/>
    <x v="1"/>
    <s v="GNR_HS_HEAT_WTR-TANK_LS_E-95_Y-2010"/>
    <x v="0"/>
    <x v="21"/>
    <n v="898.68065850037794"/>
    <n v="328018.44035263802"/>
    <n v="1180866.3852695001"/>
  </r>
  <r>
    <x v="0"/>
    <x v="0"/>
    <x v="0"/>
    <x v="8"/>
    <x v="18"/>
    <s v="SE3_GOT"/>
    <x v="1"/>
    <s v="GNR_HS_HEAT_WTR-TANK_LS_E-95_Y-2010"/>
    <x v="0"/>
    <x v="22"/>
    <n v="882.80485236735399"/>
    <n v="322223.771114084"/>
    <n v="1160005.5760107001"/>
  </r>
  <r>
    <x v="0"/>
    <x v="0"/>
    <x v="0"/>
    <x v="8"/>
    <x v="18"/>
    <s v="SE3_GOT"/>
    <x v="1"/>
    <s v="GNR_HS_HEAT_WTR-TANK_LS_E-95_Y-2010"/>
    <x v="0"/>
    <x v="23"/>
    <n v="851.787127604288"/>
    <n v="310902.30157556501"/>
    <n v="1119248.2856720299"/>
  </r>
  <r>
    <x v="0"/>
    <x v="0"/>
    <x v="0"/>
    <x v="8"/>
    <x v="18"/>
    <s v="SE3_GOT"/>
    <x v="2"/>
    <s v="GBPR_MUNIWASTE_24"/>
    <x v="0"/>
    <x v="6"/>
    <n v="169.166666666667"/>
    <n v="61745.833333333299"/>
    <n v="222285"/>
  </r>
  <r>
    <x v="0"/>
    <x v="0"/>
    <x v="0"/>
    <x v="8"/>
    <x v="18"/>
    <s v="SE3_GOT"/>
    <x v="2"/>
    <s v="GBPR_MUNIWASTE_24"/>
    <x v="0"/>
    <x v="7"/>
    <n v="169.166666666667"/>
    <n v="61745.833333333299"/>
    <n v="222285"/>
  </r>
  <r>
    <x v="0"/>
    <x v="0"/>
    <x v="0"/>
    <x v="8"/>
    <x v="18"/>
    <s v="SE3_GOT"/>
    <x v="2"/>
    <s v="GBPR_MUNIWASTE_24"/>
    <x v="0"/>
    <x v="8"/>
    <n v="169.166666666667"/>
    <n v="61745.833333333299"/>
    <n v="222285"/>
  </r>
  <r>
    <x v="0"/>
    <x v="0"/>
    <x v="0"/>
    <x v="8"/>
    <x v="18"/>
    <s v="SE3_GOT"/>
    <x v="2"/>
    <s v="GBPR_MUNIWASTE_24"/>
    <x v="0"/>
    <x v="9"/>
    <n v="169.166666666667"/>
    <n v="61745.833333333299"/>
    <n v="222285"/>
  </r>
  <r>
    <x v="0"/>
    <x v="0"/>
    <x v="0"/>
    <x v="8"/>
    <x v="18"/>
    <s v="SE3_GOT"/>
    <x v="2"/>
    <s v="GBPR_MUNIWASTE_24"/>
    <x v="0"/>
    <x v="10"/>
    <n v="169.166666666667"/>
    <n v="61745.833333333299"/>
    <n v="222285"/>
  </r>
  <r>
    <x v="0"/>
    <x v="0"/>
    <x v="0"/>
    <x v="8"/>
    <x v="18"/>
    <s v="SE3_GOT"/>
    <x v="2"/>
    <s v="GBPR_MUNIWASTE_24"/>
    <x v="0"/>
    <x v="11"/>
    <n v="169.166666666667"/>
    <n v="61745.833333333299"/>
    <n v="222285"/>
  </r>
  <r>
    <x v="0"/>
    <x v="0"/>
    <x v="0"/>
    <x v="8"/>
    <x v="18"/>
    <s v="SE3_GOT"/>
    <x v="2"/>
    <s v="GBPR_MUNIWASTE_24"/>
    <x v="0"/>
    <x v="0"/>
    <n v="169.166666666667"/>
    <n v="61745.833333333299"/>
    <n v="222285"/>
  </r>
  <r>
    <x v="0"/>
    <x v="0"/>
    <x v="0"/>
    <x v="8"/>
    <x v="18"/>
    <s v="SE3_GOT"/>
    <x v="2"/>
    <s v="GBPR_MUNIWASTE_24"/>
    <x v="0"/>
    <x v="1"/>
    <n v="169.166666666667"/>
    <n v="61745.833333333299"/>
    <n v="222285"/>
  </r>
  <r>
    <x v="0"/>
    <x v="0"/>
    <x v="0"/>
    <x v="8"/>
    <x v="18"/>
    <s v="SE3_GOT"/>
    <x v="2"/>
    <s v="GBPR_MUNIWASTE_24"/>
    <x v="0"/>
    <x v="2"/>
    <n v="169.166666666667"/>
    <n v="61745.833333333299"/>
    <n v="222285"/>
  </r>
  <r>
    <x v="0"/>
    <x v="0"/>
    <x v="0"/>
    <x v="8"/>
    <x v="18"/>
    <s v="SE3_GOT"/>
    <x v="2"/>
    <s v="GBPR_MUNIWASTE_24"/>
    <x v="0"/>
    <x v="3"/>
    <n v="169.166666666667"/>
    <n v="61745.833333333299"/>
    <n v="222285"/>
  </r>
  <r>
    <x v="0"/>
    <x v="0"/>
    <x v="0"/>
    <x v="8"/>
    <x v="18"/>
    <s v="SE3_GOT"/>
    <x v="2"/>
    <s v="GBPR_MUNIWASTE_24"/>
    <x v="0"/>
    <x v="12"/>
    <n v="169.166666666667"/>
    <n v="61745.833333333299"/>
    <n v="222285"/>
  </r>
  <r>
    <x v="0"/>
    <x v="0"/>
    <x v="0"/>
    <x v="8"/>
    <x v="18"/>
    <s v="SE3_GOT"/>
    <x v="2"/>
    <s v="GBPR_MUNIWASTE_24"/>
    <x v="0"/>
    <x v="13"/>
    <n v="169.166666666667"/>
    <n v="61745.833333333299"/>
    <n v="222285"/>
  </r>
  <r>
    <x v="0"/>
    <x v="0"/>
    <x v="0"/>
    <x v="8"/>
    <x v="18"/>
    <s v="SE3_GOT"/>
    <x v="2"/>
    <s v="GBPR_MUNIWASTE_24"/>
    <x v="0"/>
    <x v="14"/>
    <n v="169.166666666667"/>
    <n v="61745.833333333299"/>
    <n v="222285"/>
  </r>
  <r>
    <x v="0"/>
    <x v="0"/>
    <x v="0"/>
    <x v="8"/>
    <x v="18"/>
    <s v="SE3_GOT"/>
    <x v="2"/>
    <s v="GBPR_MUNIWASTE_24"/>
    <x v="0"/>
    <x v="15"/>
    <n v="169.166666666667"/>
    <n v="61745.833333333299"/>
    <n v="222285"/>
  </r>
  <r>
    <x v="0"/>
    <x v="0"/>
    <x v="0"/>
    <x v="8"/>
    <x v="18"/>
    <s v="SE3_GOT"/>
    <x v="2"/>
    <s v="GBPR_MUNIWASTE_24"/>
    <x v="0"/>
    <x v="4"/>
    <n v="169.166666666667"/>
    <n v="61745.833333333299"/>
    <n v="222285"/>
  </r>
  <r>
    <x v="0"/>
    <x v="0"/>
    <x v="0"/>
    <x v="8"/>
    <x v="18"/>
    <s v="SE3_GOT"/>
    <x v="2"/>
    <s v="GBPR_MUNIWASTE_24"/>
    <x v="0"/>
    <x v="16"/>
    <n v="169.166666666667"/>
    <n v="61745.833333333299"/>
    <n v="222285"/>
  </r>
  <r>
    <x v="0"/>
    <x v="0"/>
    <x v="0"/>
    <x v="8"/>
    <x v="18"/>
    <s v="SE3_GOT"/>
    <x v="2"/>
    <s v="GBPR_MUNIWASTE_24"/>
    <x v="0"/>
    <x v="5"/>
    <n v="169.166666666667"/>
    <n v="61745.833333333299"/>
    <n v="222285"/>
  </r>
  <r>
    <x v="0"/>
    <x v="0"/>
    <x v="0"/>
    <x v="8"/>
    <x v="18"/>
    <s v="SE3_GOT"/>
    <x v="2"/>
    <s v="GBPR_MUNIWASTE_24"/>
    <x v="0"/>
    <x v="17"/>
    <n v="169.166666666667"/>
    <n v="61745.833333333299"/>
    <n v="222285"/>
  </r>
  <r>
    <x v="0"/>
    <x v="0"/>
    <x v="0"/>
    <x v="8"/>
    <x v="18"/>
    <s v="SE3_GOT"/>
    <x v="2"/>
    <s v="GBPR_MUNIWASTE_24"/>
    <x v="0"/>
    <x v="18"/>
    <n v="169.166666666667"/>
    <n v="61745.833333333299"/>
    <n v="222285"/>
  </r>
  <r>
    <x v="0"/>
    <x v="0"/>
    <x v="0"/>
    <x v="8"/>
    <x v="18"/>
    <s v="SE3_GOT"/>
    <x v="2"/>
    <s v="GBPR_MUNIWASTE_24"/>
    <x v="0"/>
    <x v="19"/>
    <n v="169.166666666667"/>
    <n v="61745.833333333299"/>
    <n v="222285"/>
  </r>
  <r>
    <x v="0"/>
    <x v="0"/>
    <x v="0"/>
    <x v="8"/>
    <x v="18"/>
    <s v="SE3_GOT"/>
    <x v="2"/>
    <s v="GBPR_MUNIWASTE_24"/>
    <x v="0"/>
    <x v="20"/>
    <n v="169.166666666667"/>
    <n v="61745.833333333299"/>
    <n v="222285"/>
  </r>
  <r>
    <x v="0"/>
    <x v="0"/>
    <x v="0"/>
    <x v="8"/>
    <x v="18"/>
    <s v="SE3_GOT"/>
    <x v="2"/>
    <s v="GBPR_MUNIWASTE_24"/>
    <x v="0"/>
    <x v="21"/>
    <n v="169.166666666667"/>
    <n v="61745.833333333299"/>
    <n v="222285"/>
  </r>
  <r>
    <x v="0"/>
    <x v="0"/>
    <x v="0"/>
    <x v="8"/>
    <x v="18"/>
    <s v="SE3_GOT"/>
    <x v="2"/>
    <s v="GBPR_MUNIWASTE_24"/>
    <x v="0"/>
    <x v="22"/>
    <n v="169.166666666667"/>
    <n v="61745.833333333299"/>
    <n v="222285"/>
  </r>
  <r>
    <x v="0"/>
    <x v="0"/>
    <x v="0"/>
    <x v="8"/>
    <x v="18"/>
    <s v="SE3_GOT"/>
    <x v="2"/>
    <s v="GBPR_MUNIWASTE_24"/>
    <x v="0"/>
    <x v="23"/>
    <n v="169.166666666667"/>
    <n v="61745.833333333299"/>
    <n v="222285"/>
  </r>
  <r>
    <x v="0"/>
    <x v="0"/>
    <x v="0"/>
    <x v="8"/>
    <x v="18"/>
    <s v="SE3_GOT"/>
    <x v="3"/>
    <s v="GBPR_NATGAS_RYA"/>
    <x v="0"/>
    <x v="6"/>
    <n v="290"/>
    <n v="105850"/>
    <n v="381060"/>
  </r>
  <r>
    <x v="0"/>
    <x v="0"/>
    <x v="0"/>
    <x v="8"/>
    <x v="18"/>
    <s v="SE3_GOT"/>
    <x v="3"/>
    <s v="GBPR_NATGAS_RYA"/>
    <x v="0"/>
    <x v="7"/>
    <n v="290"/>
    <n v="105850"/>
    <n v="381060"/>
  </r>
  <r>
    <x v="0"/>
    <x v="0"/>
    <x v="0"/>
    <x v="8"/>
    <x v="18"/>
    <s v="SE3_GOT"/>
    <x v="3"/>
    <s v="GBPR_NATGAS_RYA"/>
    <x v="0"/>
    <x v="8"/>
    <n v="290"/>
    <n v="105850"/>
    <n v="381060"/>
  </r>
  <r>
    <x v="0"/>
    <x v="0"/>
    <x v="0"/>
    <x v="8"/>
    <x v="18"/>
    <s v="SE3_GOT"/>
    <x v="3"/>
    <s v="GBPR_NATGAS_RYA"/>
    <x v="0"/>
    <x v="9"/>
    <n v="290"/>
    <n v="105850"/>
    <n v="381060"/>
  </r>
  <r>
    <x v="0"/>
    <x v="0"/>
    <x v="0"/>
    <x v="8"/>
    <x v="18"/>
    <s v="SE3_GOT"/>
    <x v="3"/>
    <s v="GBPR_NATGAS_RYA"/>
    <x v="0"/>
    <x v="10"/>
    <n v="290"/>
    <n v="105850"/>
    <n v="381060"/>
  </r>
  <r>
    <x v="0"/>
    <x v="0"/>
    <x v="0"/>
    <x v="8"/>
    <x v="18"/>
    <s v="SE3_GOT"/>
    <x v="3"/>
    <s v="GBPR_NATGAS_RYA"/>
    <x v="0"/>
    <x v="11"/>
    <n v="290"/>
    <n v="105850"/>
    <n v="381060"/>
  </r>
  <r>
    <x v="0"/>
    <x v="0"/>
    <x v="0"/>
    <x v="8"/>
    <x v="18"/>
    <s v="SE3_GOT"/>
    <x v="3"/>
    <s v="GBPR_NATGAS_RYA"/>
    <x v="0"/>
    <x v="0"/>
    <n v="290"/>
    <n v="105850"/>
    <n v="381060"/>
  </r>
  <r>
    <x v="0"/>
    <x v="0"/>
    <x v="0"/>
    <x v="8"/>
    <x v="18"/>
    <s v="SE3_GOT"/>
    <x v="3"/>
    <s v="GBPR_NATGAS_RYA"/>
    <x v="0"/>
    <x v="1"/>
    <n v="290"/>
    <n v="105850"/>
    <n v="381060"/>
  </r>
  <r>
    <x v="0"/>
    <x v="0"/>
    <x v="0"/>
    <x v="8"/>
    <x v="18"/>
    <s v="SE3_GOT"/>
    <x v="3"/>
    <s v="GBPR_NATGAS_RYA"/>
    <x v="0"/>
    <x v="2"/>
    <n v="290"/>
    <n v="105850"/>
    <n v="381060"/>
  </r>
  <r>
    <x v="0"/>
    <x v="0"/>
    <x v="0"/>
    <x v="8"/>
    <x v="18"/>
    <s v="SE3_GOT"/>
    <x v="3"/>
    <s v="GBPR_NATGAS_RYA"/>
    <x v="0"/>
    <x v="3"/>
    <n v="290"/>
    <n v="105850"/>
    <n v="381060"/>
  </r>
  <r>
    <x v="0"/>
    <x v="0"/>
    <x v="0"/>
    <x v="8"/>
    <x v="18"/>
    <s v="SE3_GOT"/>
    <x v="3"/>
    <s v="GBPR_NATGAS_RYA"/>
    <x v="0"/>
    <x v="12"/>
    <n v="290"/>
    <n v="105850"/>
    <n v="381060"/>
  </r>
  <r>
    <x v="0"/>
    <x v="0"/>
    <x v="0"/>
    <x v="8"/>
    <x v="18"/>
    <s v="SE3_GOT"/>
    <x v="3"/>
    <s v="GBPR_NATGAS_RYA"/>
    <x v="0"/>
    <x v="13"/>
    <n v="290"/>
    <n v="105850"/>
    <n v="381060"/>
  </r>
  <r>
    <x v="0"/>
    <x v="0"/>
    <x v="0"/>
    <x v="8"/>
    <x v="18"/>
    <s v="SE3_GOT"/>
    <x v="3"/>
    <s v="GBPR_NATGAS_RYA"/>
    <x v="0"/>
    <x v="14"/>
    <n v="290"/>
    <n v="105850"/>
    <n v="381060"/>
  </r>
  <r>
    <x v="0"/>
    <x v="0"/>
    <x v="0"/>
    <x v="8"/>
    <x v="18"/>
    <s v="SE3_GOT"/>
    <x v="3"/>
    <s v="GBPR_NATGAS_RYA"/>
    <x v="0"/>
    <x v="15"/>
    <n v="290"/>
    <n v="105850"/>
    <n v="381060"/>
  </r>
  <r>
    <x v="0"/>
    <x v="0"/>
    <x v="0"/>
    <x v="8"/>
    <x v="18"/>
    <s v="SE3_GOT"/>
    <x v="3"/>
    <s v="GBPR_NATGAS_RYA"/>
    <x v="0"/>
    <x v="4"/>
    <n v="290"/>
    <n v="105850"/>
    <n v="381060"/>
  </r>
  <r>
    <x v="0"/>
    <x v="0"/>
    <x v="0"/>
    <x v="8"/>
    <x v="18"/>
    <s v="SE3_GOT"/>
    <x v="3"/>
    <s v="GBPR_NATGAS_RYA"/>
    <x v="0"/>
    <x v="16"/>
    <n v="290"/>
    <n v="105850"/>
    <n v="381060"/>
  </r>
  <r>
    <x v="0"/>
    <x v="0"/>
    <x v="0"/>
    <x v="8"/>
    <x v="18"/>
    <s v="SE3_GOT"/>
    <x v="3"/>
    <s v="GBPR_NATGAS_RYA"/>
    <x v="0"/>
    <x v="5"/>
    <n v="290"/>
    <n v="105850"/>
    <n v="381060"/>
  </r>
  <r>
    <x v="0"/>
    <x v="0"/>
    <x v="0"/>
    <x v="8"/>
    <x v="18"/>
    <s v="SE3_GOT"/>
    <x v="3"/>
    <s v="GBPR_NATGAS_RYA"/>
    <x v="0"/>
    <x v="17"/>
    <n v="290"/>
    <n v="105850"/>
    <n v="381060"/>
  </r>
  <r>
    <x v="0"/>
    <x v="0"/>
    <x v="0"/>
    <x v="8"/>
    <x v="18"/>
    <s v="SE3_GOT"/>
    <x v="3"/>
    <s v="GBPR_NATGAS_RYA"/>
    <x v="0"/>
    <x v="18"/>
    <n v="290"/>
    <n v="105850"/>
    <n v="381060"/>
  </r>
  <r>
    <x v="0"/>
    <x v="0"/>
    <x v="0"/>
    <x v="8"/>
    <x v="18"/>
    <s v="SE3_GOT"/>
    <x v="3"/>
    <s v="GBPR_NATGAS_RYA"/>
    <x v="0"/>
    <x v="19"/>
    <n v="290"/>
    <n v="105850"/>
    <n v="381060"/>
  </r>
  <r>
    <x v="0"/>
    <x v="0"/>
    <x v="0"/>
    <x v="8"/>
    <x v="18"/>
    <s v="SE3_GOT"/>
    <x v="3"/>
    <s v="GBPR_NATGAS_RYA"/>
    <x v="0"/>
    <x v="20"/>
    <n v="290"/>
    <n v="105850"/>
    <n v="381060"/>
  </r>
  <r>
    <x v="0"/>
    <x v="0"/>
    <x v="0"/>
    <x v="8"/>
    <x v="18"/>
    <s v="SE3_GOT"/>
    <x v="3"/>
    <s v="GBPR_NATGAS_RYA"/>
    <x v="0"/>
    <x v="21"/>
    <n v="290"/>
    <n v="105850"/>
    <n v="381060"/>
  </r>
  <r>
    <x v="0"/>
    <x v="0"/>
    <x v="0"/>
    <x v="8"/>
    <x v="18"/>
    <s v="SE3_GOT"/>
    <x v="3"/>
    <s v="GBPR_NATGAS_RYA"/>
    <x v="0"/>
    <x v="22"/>
    <n v="290"/>
    <n v="105850"/>
    <n v="381060"/>
  </r>
  <r>
    <x v="0"/>
    <x v="0"/>
    <x v="0"/>
    <x v="8"/>
    <x v="18"/>
    <s v="SE3_GOT"/>
    <x v="3"/>
    <s v="GBPR_NATGAS_RYA"/>
    <x v="0"/>
    <x v="23"/>
    <n v="290"/>
    <n v="105850"/>
    <n v="381060"/>
  </r>
  <r>
    <x v="0"/>
    <x v="0"/>
    <x v="0"/>
    <x v="8"/>
    <x v="18"/>
    <s v="SE3_GOT"/>
    <x v="8"/>
    <s v="GBPR_WOODWASTE_GOT"/>
    <x v="0"/>
    <x v="10"/>
    <n v="78.512319588487799"/>
    <n v="28656.996649797999"/>
    <n v="103165.187939273"/>
  </r>
  <r>
    <x v="0"/>
    <x v="0"/>
    <x v="0"/>
    <x v="8"/>
    <x v="18"/>
    <s v="SE3_GOT"/>
    <x v="8"/>
    <s v="GBPR_WOODWASTE_GOT"/>
    <x v="0"/>
    <x v="11"/>
    <n v="78.512319588487799"/>
    <n v="28656.996649797999"/>
    <n v="103165.187939273"/>
  </r>
  <r>
    <x v="0"/>
    <x v="0"/>
    <x v="0"/>
    <x v="8"/>
    <x v="18"/>
    <s v="SE3_GOT"/>
    <x v="8"/>
    <s v="GBPR_WOODWASTE_GOT"/>
    <x v="0"/>
    <x v="0"/>
    <n v="78.512319588487799"/>
    <n v="28656.996649797999"/>
    <n v="103165.187939273"/>
  </r>
  <r>
    <x v="0"/>
    <x v="0"/>
    <x v="0"/>
    <x v="8"/>
    <x v="18"/>
    <s v="SE3_GOT"/>
    <x v="8"/>
    <s v="GBPR_WOODWASTE_GOT"/>
    <x v="0"/>
    <x v="1"/>
    <n v="78.512319588487799"/>
    <n v="28656.996649797999"/>
    <n v="103165.187939273"/>
  </r>
  <r>
    <x v="0"/>
    <x v="0"/>
    <x v="0"/>
    <x v="8"/>
    <x v="18"/>
    <s v="SE3_GOT"/>
    <x v="8"/>
    <s v="GBPR_WOODWASTE_GOT"/>
    <x v="0"/>
    <x v="2"/>
    <n v="78.512319588487799"/>
    <n v="28656.996649797999"/>
    <n v="103165.187939273"/>
  </r>
  <r>
    <x v="0"/>
    <x v="0"/>
    <x v="0"/>
    <x v="8"/>
    <x v="18"/>
    <s v="SE3_GOT"/>
    <x v="8"/>
    <s v="GBPR_WOODWASTE_GOT"/>
    <x v="0"/>
    <x v="3"/>
    <n v="78.512319588487799"/>
    <n v="28656.996649797999"/>
    <n v="103165.187939273"/>
  </r>
  <r>
    <x v="0"/>
    <x v="0"/>
    <x v="0"/>
    <x v="8"/>
    <x v="18"/>
    <s v="SE3_GOT"/>
    <x v="8"/>
    <s v="GBPR_WOODWASTE_GOT"/>
    <x v="0"/>
    <x v="12"/>
    <n v="78.512319588487799"/>
    <n v="28656.996649797999"/>
    <n v="103165.187939273"/>
  </r>
  <r>
    <x v="0"/>
    <x v="0"/>
    <x v="0"/>
    <x v="8"/>
    <x v="18"/>
    <s v="SE3_GOT"/>
    <x v="8"/>
    <s v="GBPR_WOODWASTE_GOT"/>
    <x v="0"/>
    <x v="13"/>
    <n v="78.512319588487799"/>
    <n v="28656.996649797999"/>
    <n v="103165.187939273"/>
  </r>
  <r>
    <x v="0"/>
    <x v="0"/>
    <x v="0"/>
    <x v="8"/>
    <x v="18"/>
    <s v="SE3_GOT"/>
    <x v="8"/>
    <s v="GBPR_WOODWASTE_GOT"/>
    <x v="0"/>
    <x v="14"/>
    <n v="78.512319588487799"/>
    <n v="28656.996649797999"/>
    <n v="103165.187939273"/>
  </r>
  <r>
    <x v="0"/>
    <x v="0"/>
    <x v="0"/>
    <x v="8"/>
    <x v="18"/>
    <s v="SE3_GOT"/>
    <x v="8"/>
    <s v="GBPR_WOODWASTE_GOT"/>
    <x v="0"/>
    <x v="15"/>
    <n v="78.512319588487799"/>
    <n v="28656.996649797999"/>
    <n v="103165.187939273"/>
  </r>
  <r>
    <x v="0"/>
    <x v="0"/>
    <x v="0"/>
    <x v="8"/>
    <x v="18"/>
    <s v="SE3_GOT"/>
    <x v="8"/>
    <s v="GBPR_WOODWASTE_GOT"/>
    <x v="0"/>
    <x v="4"/>
    <n v="78.512319588487799"/>
    <n v="28656.996649797999"/>
    <n v="103165.187939273"/>
  </r>
  <r>
    <x v="0"/>
    <x v="0"/>
    <x v="0"/>
    <x v="8"/>
    <x v="18"/>
    <s v="SE3_GOT"/>
    <x v="8"/>
    <s v="GBPR_WOODWASTE_GOT"/>
    <x v="0"/>
    <x v="16"/>
    <n v="78.512319588487799"/>
    <n v="28656.996649797999"/>
    <n v="103165.187939273"/>
  </r>
  <r>
    <x v="0"/>
    <x v="0"/>
    <x v="0"/>
    <x v="8"/>
    <x v="18"/>
    <s v="SE3_GOT"/>
    <x v="8"/>
    <s v="GBPR_WOODWASTE_GOT"/>
    <x v="0"/>
    <x v="5"/>
    <n v="78.512319588487799"/>
    <n v="28656.996649797999"/>
    <n v="103165.187939273"/>
  </r>
  <r>
    <x v="0"/>
    <x v="0"/>
    <x v="0"/>
    <x v="8"/>
    <x v="18"/>
    <s v="SE3_GOT"/>
    <x v="8"/>
    <s v="GBPR_WOODWASTE_GOT"/>
    <x v="0"/>
    <x v="17"/>
    <n v="78.512319588487799"/>
    <n v="28656.996649797999"/>
    <n v="103165.187939273"/>
  </r>
  <r>
    <x v="0"/>
    <x v="0"/>
    <x v="0"/>
    <x v="8"/>
    <x v="18"/>
    <s v="SE3_GOT"/>
    <x v="8"/>
    <s v="GBPR_WOODWASTE_GOT"/>
    <x v="0"/>
    <x v="18"/>
    <n v="78.512319588487799"/>
    <n v="28656.996649797999"/>
    <n v="103165.187939273"/>
  </r>
  <r>
    <x v="0"/>
    <x v="0"/>
    <x v="0"/>
    <x v="8"/>
    <x v="18"/>
    <s v="SE3_GOT"/>
    <x v="8"/>
    <s v="GBPR_WOODWASTE_GOT"/>
    <x v="0"/>
    <x v="19"/>
    <n v="78.512319588487799"/>
    <n v="28656.996649797999"/>
    <n v="103165.187939273"/>
  </r>
  <r>
    <x v="0"/>
    <x v="0"/>
    <x v="0"/>
    <x v="8"/>
    <x v="18"/>
    <s v="SE3_GOT"/>
    <x v="8"/>
    <s v="GBPR_WOODWASTE_GOT"/>
    <x v="0"/>
    <x v="20"/>
    <n v="78.512319588487799"/>
    <n v="28656.996649797999"/>
    <n v="103165.187939273"/>
  </r>
  <r>
    <x v="0"/>
    <x v="0"/>
    <x v="0"/>
    <x v="8"/>
    <x v="18"/>
    <s v="SE3_HP"/>
    <x v="2"/>
    <s v="GBPR_MUNIWASTE_24"/>
    <x v="0"/>
    <x v="6"/>
    <n v="138.20408399727"/>
    <n v="50444.490659003503"/>
    <n v="181600.16637241299"/>
  </r>
  <r>
    <x v="0"/>
    <x v="0"/>
    <x v="0"/>
    <x v="8"/>
    <x v="18"/>
    <s v="SE3_HP"/>
    <x v="2"/>
    <s v="GBPR_MUNIWASTE_24"/>
    <x v="0"/>
    <x v="7"/>
    <n v="138.20408399727"/>
    <n v="50444.490659003503"/>
    <n v="181600.16637241299"/>
  </r>
  <r>
    <x v="0"/>
    <x v="0"/>
    <x v="0"/>
    <x v="8"/>
    <x v="18"/>
    <s v="SE3_HP"/>
    <x v="2"/>
    <s v="GBPR_MUNIWASTE_24"/>
    <x v="0"/>
    <x v="8"/>
    <n v="138.20408399727"/>
    <n v="50444.490659003503"/>
    <n v="181600.16637241299"/>
  </r>
  <r>
    <x v="0"/>
    <x v="0"/>
    <x v="0"/>
    <x v="8"/>
    <x v="18"/>
    <s v="SE3_HP"/>
    <x v="2"/>
    <s v="GBPR_MUNIWASTE_24"/>
    <x v="0"/>
    <x v="9"/>
    <n v="138.20408399727"/>
    <n v="50444.490659003503"/>
    <n v="181600.16637241299"/>
  </r>
  <r>
    <x v="0"/>
    <x v="0"/>
    <x v="0"/>
    <x v="8"/>
    <x v="18"/>
    <s v="SE3_HP"/>
    <x v="2"/>
    <s v="GBPR_MUNIWASTE_24"/>
    <x v="0"/>
    <x v="10"/>
    <n v="138.20408399727"/>
    <n v="50444.490659003503"/>
    <n v="181600.16637241299"/>
  </r>
  <r>
    <x v="0"/>
    <x v="0"/>
    <x v="0"/>
    <x v="8"/>
    <x v="18"/>
    <s v="SE3_HP"/>
    <x v="2"/>
    <s v="GBPR_MUNIWASTE_24"/>
    <x v="0"/>
    <x v="11"/>
    <n v="138.20408399727"/>
    <n v="50444.490659003503"/>
    <n v="181600.16637241299"/>
  </r>
  <r>
    <x v="0"/>
    <x v="0"/>
    <x v="0"/>
    <x v="8"/>
    <x v="18"/>
    <s v="SE3_HP"/>
    <x v="2"/>
    <s v="GBPR_MUNIWASTE_24"/>
    <x v="0"/>
    <x v="0"/>
    <n v="138.20408399727"/>
    <n v="50444.490659003503"/>
    <n v="181600.16637241299"/>
  </r>
  <r>
    <x v="0"/>
    <x v="0"/>
    <x v="0"/>
    <x v="8"/>
    <x v="18"/>
    <s v="SE3_HP"/>
    <x v="2"/>
    <s v="GBPR_MUNIWASTE_24"/>
    <x v="0"/>
    <x v="1"/>
    <n v="138.20408399727"/>
    <n v="50444.490659003503"/>
    <n v="181600.16637241299"/>
  </r>
  <r>
    <x v="0"/>
    <x v="0"/>
    <x v="0"/>
    <x v="8"/>
    <x v="18"/>
    <s v="SE3_HP"/>
    <x v="2"/>
    <s v="GBPR_MUNIWASTE_24"/>
    <x v="0"/>
    <x v="2"/>
    <n v="138.20408399727"/>
    <n v="50444.490659003503"/>
    <n v="181600.16637241299"/>
  </r>
  <r>
    <x v="0"/>
    <x v="0"/>
    <x v="0"/>
    <x v="8"/>
    <x v="18"/>
    <s v="SE3_HP"/>
    <x v="2"/>
    <s v="GBPR_MUNIWASTE_24"/>
    <x v="0"/>
    <x v="3"/>
    <n v="138.20408399727"/>
    <n v="50444.490659003503"/>
    <n v="181600.16637241299"/>
  </r>
  <r>
    <x v="0"/>
    <x v="0"/>
    <x v="0"/>
    <x v="8"/>
    <x v="18"/>
    <s v="SE3_HP"/>
    <x v="2"/>
    <s v="GBPR_MUNIWASTE_24"/>
    <x v="0"/>
    <x v="12"/>
    <n v="138.20408399727"/>
    <n v="50444.490659003503"/>
    <n v="181600.16637241299"/>
  </r>
  <r>
    <x v="0"/>
    <x v="0"/>
    <x v="0"/>
    <x v="8"/>
    <x v="18"/>
    <s v="SE3_HP"/>
    <x v="2"/>
    <s v="GBPR_MUNIWASTE_24"/>
    <x v="0"/>
    <x v="13"/>
    <n v="138.20408399727"/>
    <n v="50444.490659003503"/>
    <n v="181600.16637241299"/>
  </r>
  <r>
    <x v="0"/>
    <x v="0"/>
    <x v="0"/>
    <x v="8"/>
    <x v="18"/>
    <s v="SE3_HP"/>
    <x v="2"/>
    <s v="GBPR_MUNIWASTE_24"/>
    <x v="0"/>
    <x v="14"/>
    <n v="138.20408399727"/>
    <n v="50444.490659003503"/>
    <n v="181600.16637241299"/>
  </r>
  <r>
    <x v="0"/>
    <x v="0"/>
    <x v="0"/>
    <x v="8"/>
    <x v="18"/>
    <s v="SE3_HP"/>
    <x v="2"/>
    <s v="GBPR_MUNIWASTE_24"/>
    <x v="0"/>
    <x v="15"/>
    <n v="138.20408399727"/>
    <n v="50444.490659003503"/>
    <n v="181600.16637241299"/>
  </r>
  <r>
    <x v="0"/>
    <x v="0"/>
    <x v="0"/>
    <x v="8"/>
    <x v="18"/>
    <s v="SE3_HP"/>
    <x v="2"/>
    <s v="GBPR_MUNIWASTE_24"/>
    <x v="0"/>
    <x v="4"/>
    <n v="138.20408399727"/>
    <n v="50444.490659003503"/>
    <n v="181600.16637241299"/>
  </r>
  <r>
    <x v="0"/>
    <x v="0"/>
    <x v="0"/>
    <x v="8"/>
    <x v="18"/>
    <s v="SE3_HP"/>
    <x v="2"/>
    <s v="GBPR_MUNIWASTE_24"/>
    <x v="0"/>
    <x v="16"/>
    <n v="138.20408399727"/>
    <n v="50444.490659003503"/>
    <n v="181600.16637241299"/>
  </r>
  <r>
    <x v="0"/>
    <x v="0"/>
    <x v="0"/>
    <x v="8"/>
    <x v="18"/>
    <s v="SE3_HP"/>
    <x v="2"/>
    <s v="GBPR_MUNIWASTE_24"/>
    <x v="0"/>
    <x v="5"/>
    <n v="138.20408399727"/>
    <n v="50444.490659003503"/>
    <n v="181600.16637241299"/>
  </r>
  <r>
    <x v="0"/>
    <x v="0"/>
    <x v="0"/>
    <x v="8"/>
    <x v="18"/>
    <s v="SE3_HP"/>
    <x v="2"/>
    <s v="GBPR_MUNIWASTE_24"/>
    <x v="0"/>
    <x v="17"/>
    <n v="138.20408399727"/>
    <n v="50444.490659003503"/>
    <n v="181600.16637241299"/>
  </r>
  <r>
    <x v="0"/>
    <x v="0"/>
    <x v="0"/>
    <x v="8"/>
    <x v="18"/>
    <s v="SE3_HP"/>
    <x v="2"/>
    <s v="GBPR_MUNIWASTE_24"/>
    <x v="0"/>
    <x v="18"/>
    <n v="138.20408399727"/>
    <n v="50444.490659003503"/>
    <n v="181600.16637241299"/>
  </r>
  <r>
    <x v="0"/>
    <x v="0"/>
    <x v="0"/>
    <x v="8"/>
    <x v="18"/>
    <s v="SE3_HP"/>
    <x v="2"/>
    <s v="GBPR_MUNIWASTE_24"/>
    <x v="0"/>
    <x v="19"/>
    <n v="138.20408399727"/>
    <n v="50444.490659003503"/>
    <n v="181600.16637241299"/>
  </r>
  <r>
    <x v="0"/>
    <x v="0"/>
    <x v="0"/>
    <x v="8"/>
    <x v="18"/>
    <s v="SE3_HP"/>
    <x v="2"/>
    <s v="GBPR_MUNIWASTE_24"/>
    <x v="0"/>
    <x v="20"/>
    <n v="138.20408399727"/>
    <n v="50444.490659003503"/>
    <n v="181600.16637241299"/>
  </r>
  <r>
    <x v="0"/>
    <x v="0"/>
    <x v="0"/>
    <x v="8"/>
    <x v="18"/>
    <s v="SE3_HP"/>
    <x v="2"/>
    <s v="GBPR_MUNIWASTE_24"/>
    <x v="0"/>
    <x v="21"/>
    <n v="138.20408399727"/>
    <n v="50444.490659003503"/>
    <n v="181600.16637241299"/>
  </r>
  <r>
    <x v="0"/>
    <x v="0"/>
    <x v="0"/>
    <x v="8"/>
    <x v="18"/>
    <s v="SE3_HP"/>
    <x v="2"/>
    <s v="GBPR_MUNIWASTE_24"/>
    <x v="0"/>
    <x v="22"/>
    <n v="138.20408399727"/>
    <n v="50444.490659003503"/>
    <n v="181600.16637241299"/>
  </r>
  <r>
    <x v="0"/>
    <x v="0"/>
    <x v="0"/>
    <x v="8"/>
    <x v="18"/>
    <s v="SE3_HP"/>
    <x v="2"/>
    <s v="GBPR_MUNIWASTE_24"/>
    <x v="0"/>
    <x v="23"/>
    <n v="138.20408399727"/>
    <n v="50444.490659003503"/>
    <n v="181600.16637241299"/>
  </r>
  <r>
    <x v="0"/>
    <x v="0"/>
    <x v="0"/>
    <x v="8"/>
    <x v="18"/>
    <s v="SE3_HP"/>
    <x v="5"/>
    <s v="GHOB_WASTEHEAT"/>
    <x v="0"/>
    <x v="6"/>
    <n v="3.4340659340659201E-3"/>
    <n v="1.2534340659340599"/>
    <n v="4.51236263736262"/>
  </r>
  <r>
    <x v="0"/>
    <x v="0"/>
    <x v="0"/>
    <x v="8"/>
    <x v="18"/>
    <s v="SE3_HP"/>
    <x v="5"/>
    <s v="GHOB_WASTEHEAT"/>
    <x v="0"/>
    <x v="7"/>
    <n v="3.4340659340659201E-3"/>
    <n v="1.2534340659340599"/>
    <n v="4.51236263736262"/>
  </r>
  <r>
    <x v="0"/>
    <x v="0"/>
    <x v="0"/>
    <x v="8"/>
    <x v="18"/>
    <s v="SE3_HP"/>
    <x v="5"/>
    <s v="GHOB_WASTEHEAT"/>
    <x v="0"/>
    <x v="8"/>
    <n v="3.4340659340659201E-3"/>
    <n v="1.2534340659340599"/>
    <n v="4.51236263736262"/>
  </r>
  <r>
    <x v="0"/>
    <x v="0"/>
    <x v="0"/>
    <x v="8"/>
    <x v="18"/>
    <s v="SE3_HP"/>
    <x v="5"/>
    <s v="GHOB_WASTEHEAT"/>
    <x v="0"/>
    <x v="9"/>
    <n v="3.4340659340659201E-3"/>
    <n v="1.2534340659340599"/>
    <n v="4.51236263736262"/>
  </r>
  <r>
    <x v="0"/>
    <x v="0"/>
    <x v="0"/>
    <x v="8"/>
    <x v="18"/>
    <s v="SE3_HP"/>
    <x v="5"/>
    <s v="GHOB_WASTEHEAT"/>
    <x v="0"/>
    <x v="10"/>
    <n v="3.4340659340659201E-3"/>
    <n v="1.2534340659340599"/>
    <n v="4.51236263736262"/>
  </r>
  <r>
    <x v="0"/>
    <x v="0"/>
    <x v="0"/>
    <x v="8"/>
    <x v="18"/>
    <s v="SE3_HP"/>
    <x v="5"/>
    <s v="GHOB_WASTEHEAT"/>
    <x v="0"/>
    <x v="11"/>
    <n v="3.4340659340659201E-3"/>
    <n v="1.2534340659340599"/>
    <n v="4.51236263736262"/>
  </r>
  <r>
    <x v="0"/>
    <x v="0"/>
    <x v="0"/>
    <x v="8"/>
    <x v="18"/>
    <s v="SE3_HP"/>
    <x v="5"/>
    <s v="GHOB_WASTEHEAT"/>
    <x v="0"/>
    <x v="0"/>
    <n v="3.4340659340659201E-3"/>
    <n v="1.2534340659340599"/>
    <n v="4.51236263736262"/>
  </r>
  <r>
    <x v="0"/>
    <x v="0"/>
    <x v="0"/>
    <x v="8"/>
    <x v="18"/>
    <s v="SE3_HP"/>
    <x v="5"/>
    <s v="GHOB_WASTEHEAT"/>
    <x v="0"/>
    <x v="1"/>
    <n v="3.4340659340659201E-3"/>
    <n v="1.2534340659340599"/>
    <n v="4.51236263736262"/>
  </r>
  <r>
    <x v="0"/>
    <x v="0"/>
    <x v="0"/>
    <x v="8"/>
    <x v="18"/>
    <s v="SE3_HP"/>
    <x v="5"/>
    <s v="GHOB_WASTEHEAT"/>
    <x v="0"/>
    <x v="2"/>
    <n v="3.4340659340659201E-3"/>
    <n v="1.2534340659340599"/>
    <n v="4.51236263736262"/>
  </r>
  <r>
    <x v="0"/>
    <x v="0"/>
    <x v="0"/>
    <x v="8"/>
    <x v="18"/>
    <s v="SE3_HP"/>
    <x v="5"/>
    <s v="GHOB_WASTEHEAT"/>
    <x v="0"/>
    <x v="3"/>
    <n v="3.4340659340659201E-3"/>
    <n v="1.2534340659340599"/>
    <n v="4.51236263736262"/>
  </r>
  <r>
    <x v="0"/>
    <x v="0"/>
    <x v="0"/>
    <x v="8"/>
    <x v="18"/>
    <s v="SE3_HP"/>
    <x v="5"/>
    <s v="GHOB_WASTEHEAT"/>
    <x v="0"/>
    <x v="12"/>
    <n v="3.4340659340659201E-3"/>
    <n v="1.2534340659340599"/>
    <n v="4.51236263736262"/>
  </r>
  <r>
    <x v="0"/>
    <x v="0"/>
    <x v="0"/>
    <x v="8"/>
    <x v="18"/>
    <s v="SE3_HP"/>
    <x v="5"/>
    <s v="GHOB_WASTEHEAT"/>
    <x v="0"/>
    <x v="13"/>
    <n v="3.4340659340659201E-3"/>
    <n v="1.2534340659340599"/>
    <n v="4.51236263736262"/>
  </r>
  <r>
    <x v="0"/>
    <x v="0"/>
    <x v="0"/>
    <x v="8"/>
    <x v="18"/>
    <s v="SE3_HP"/>
    <x v="5"/>
    <s v="GHOB_WASTEHEAT"/>
    <x v="0"/>
    <x v="14"/>
    <n v="3.4340659340659201E-3"/>
    <n v="1.2534340659340599"/>
    <n v="4.51236263736262"/>
  </r>
  <r>
    <x v="0"/>
    <x v="0"/>
    <x v="0"/>
    <x v="8"/>
    <x v="18"/>
    <s v="SE3_HP"/>
    <x v="5"/>
    <s v="GHOB_WASTEHEAT"/>
    <x v="0"/>
    <x v="15"/>
    <n v="3.4340659340659201E-3"/>
    <n v="1.2534340659340599"/>
    <n v="4.51236263736262"/>
  </r>
  <r>
    <x v="0"/>
    <x v="0"/>
    <x v="0"/>
    <x v="8"/>
    <x v="18"/>
    <s v="SE3_HP"/>
    <x v="5"/>
    <s v="GHOB_WASTEHEAT"/>
    <x v="0"/>
    <x v="4"/>
    <n v="3.4340659340659201E-3"/>
    <n v="1.2534340659340599"/>
    <n v="4.51236263736262"/>
  </r>
  <r>
    <x v="0"/>
    <x v="0"/>
    <x v="0"/>
    <x v="8"/>
    <x v="18"/>
    <s v="SE3_HP"/>
    <x v="5"/>
    <s v="GHOB_WASTEHEAT"/>
    <x v="0"/>
    <x v="16"/>
    <n v="3.4340659340659201E-3"/>
    <n v="1.2534340659340599"/>
    <n v="4.51236263736262"/>
  </r>
  <r>
    <x v="0"/>
    <x v="0"/>
    <x v="0"/>
    <x v="8"/>
    <x v="18"/>
    <s v="SE3_HP"/>
    <x v="5"/>
    <s v="GHOB_WASTEHEAT"/>
    <x v="0"/>
    <x v="5"/>
    <n v="3.4340659340659201E-3"/>
    <n v="1.2534340659340599"/>
    <n v="4.51236263736262"/>
  </r>
  <r>
    <x v="0"/>
    <x v="0"/>
    <x v="0"/>
    <x v="8"/>
    <x v="18"/>
    <s v="SE3_HP"/>
    <x v="5"/>
    <s v="GHOB_WASTEHEAT"/>
    <x v="0"/>
    <x v="17"/>
    <n v="3.4340659340659201E-3"/>
    <n v="1.2534340659340599"/>
    <n v="4.51236263736262"/>
  </r>
  <r>
    <x v="0"/>
    <x v="0"/>
    <x v="0"/>
    <x v="8"/>
    <x v="18"/>
    <s v="SE3_HP"/>
    <x v="5"/>
    <s v="GHOB_WASTEHEAT"/>
    <x v="0"/>
    <x v="18"/>
    <n v="3.4340659340659201E-3"/>
    <n v="1.2534340659340599"/>
    <n v="4.51236263736262"/>
  </r>
  <r>
    <x v="0"/>
    <x v="0"/>
    <x v="0"/>
    <x v="8"/>
    <x v="18"/>
    <s v="SE3_HP"/>
    <x v="5"/>
    <s v="GHOB_WASTEHEAT"/>
    <x v="0"/>
    <x v="19"/>
    <n v="3.4340659340659201E-3"/>
    <n v="1.2534340659340599"/>
    <n v="4.51236263736262"/>
  </r>
  <r>
    <x v="0"/>
    <x v="0"/>
    <x v="0"/>
    <x v="8"/>
    <x v="18"/>
    <s v="SE3_HP"/>
    <x v="5"/>
    <s v="GHOB_WASTEHEAT"/>
    <x v="0"/>
    <x v="20"/>
    <n v="3.4340659340659201E-3"/>
    <n v="1.2534340659340599"/>
    <n v="4.51236263736262"/>
  </r>
  <r>
    <x v="0"/>
    <x v="0"/>
    <x v="0"/>
    <x v="8"/>
    <x v="18"/>
    <s v="SE3_HP"/>
    <x v="5"/>
    <s v="GHOB_WASTEHEAT"/>
    <x v="0"/>
    <x v="21"/>
    <n v="3.4340659340659201E-3"/>
    <n v="1.2534340659340599"/>
    <n v="4.51236263736262"/>
  </r>
  <r>
    <x v="0"/>
    <x v="0"/>
    <x v="0"/>
    <x v="8"/>
    <x v="18"/>
    <s v="SE3_HP"/>
    <x v="5"/>
    <s v="GHOB_WASTEHEAT"/>
    <x v="0"/>
    <x v="22"/>
    <n v="3.4340659340659201E-3"/>
    <n v="1.2534340659340599"/>
    <n v="4.51236263736262"/>
  </r>
  <r>
    <x v="0"/>
    <x v="0"/>
    <x v="0"/>
    <x v="8"/>
    <x v="18"/>
    <s v="SE3_HP"/>
    <x v="5"/>
    <s v="GHOB_WASTEHEAT"/>
    <x v="0"/>
    <x v="23"/>
    <n v="3.4340659340659201E-3"/>
    <n v="1.2534340659340599"/>
    <n v="4.51236263736262"/>
  </r>
  <r>
    <x v="0"/>
    <x v="0"/>
    <x v="0"/>
    <x v="8"/>
    <x v="18"/>
    <s v="SE3_HP"/>
    <x v="8"/>
    <s v="GBPR_WOODWASTE_36"/>
    <x v="0"/>
    <x v="6"/>
    <n v="68.870402802101594"/>
    <n v="25137.697022767101"/>
    <n v="90495.709281961506"/>
  </r>
  <r>
    <x v="0"/>
    <x v="0"/>
    <x v="0"/>
    <x v="8"/>
    <x v="18"/>
    <s v="SE3_HP"/>
    <x v="8"/>
    <s v="GBPR_WOODWASTE_36"/>
    <x v="0"/>
    <x v="7"/>
    <n v="68.870402802101594"/>
    <n v="25137.697022767101"/>
    <n v="90495.709281961506"/>
  </r>
  <r>
    <x v="0"/>
    <x v="0"/>
    <x v="0"/>
    <x v="8"/>
    <x v="18"/>
    <s v="SE3_HP"/>
    <x v="8"/>
    <s v="GBPR_WOODWASTE_36"/>
    <x v="0"/>
    <x v="8"/>
    <n v="68.870402802101594"/>
    <n v="25137.697022767101"/>
    <n v="90495.709281961506"/>
  </r>
  <r>
    <x v="0"/>
    <x v="0"/>
    <x v="0"/>
    <x v="8"/>
    <x v="18"/>
    <s v="SE3_HP"/>
    <x v="8"/>
    <s v="GBPR_WOODWASTE_36"/>
    <x v="0"/>
    <x v="9"/>
    <n v="68.870402802101594"/>
    <n v="25137.697022767101"/>
    <n v="90495.709281961506"/>
  </r>
  <r>
    <x v="0"/>
    <x v="0"/>
    <x v="0"/>
    <x v="8"/>
    <x v="18"/>
    <s v="SE3_HP"/>
    <x v="8"/>
    <s v="GBPR_WOODWASTE_36"/>
    <x v="0"/>
    <x v="10"/>
    <n v="68.870402802101594"/>
    <n v="25137.697022767101"/>
    <n v="90495.709281961506"/>
  </r>
  <r>
    <x v="0"/>
    <x v="0"/>
    <x v="0"/>
    <x v="8"/>
    <x v="18"/>
    <s v="SE3_HP"/>
    <x v="8"/>
    <s v="GBPR_WOODWASTE_36"/>
    <x v="0"/>
    <x v="11"/>
    <n v="68.870402802101594"/>
    <n v="25137.697022767101"/>
    <n v="90495.709281961506"/>
  </r>
  <r>
    <x v="0"/>
    <x v="0"/>
    <x v="0"/>
    <x v="8"/>
    <x v="18"/>
    <s v="SE3_HP"/>
    <x v="8"/>
    <s v="GBPR_WOODWASTE_36"/>
    <x v="0"/>
    <x v="0"/>
    <n v="68.870402802101594"/>
    <n v="25137.697022767101"/>
    <n v="90495.709281961506"/>
  </r>
  <r>
    <x v="0"/>
    <x v="0"/>
    <x v="0"/>
    <x v="8"/>
    <x v="18"/>
    <s v="SE3_HP"/>
    <x v="8"/>
    <s v="GBPR_WOODWASTE_36"/>
    <x v="0"/>
    <x v="1"/>
    <n v="68.870402802101594"/>
    <n v="25137.697022767101"/>
    <n v="90495.709281961506"/>
  </r>
  <r>
    <x v="0"/>
    <x v="0"/>
    <x v="0"/>
    <x v="8"/>
    <x v="18"/>
    <s v="SE3_HP"/>
    <x v="8"/>
    <s v="GBPR_WOODWASTE_36"/>
    <x v="0"/>
    <x v="2"/>
    <n v="68.870402802101594"/>
    <n v="25137.697022767101"/>
    <n v="90495.709281961506"/>
  </r>
  <r>
    <x v="0"/>
    <x v="0"/>
    <x v="0"/>
    <x v="8"/>
    <x v="18"/>
    <s v="SE3_HP"/>
    <x v="8"/>
    <s v="GBPR_WOODWASTE_36"/>
    <x v="0"/>
    <x v="3"/>
    <n v="68.870402802101594"/>
    <n v="25137.697022767101"/>
    <n v="90495.709281961506"/>
  </r>
  <r>
    <x v="0"/>
    <x v="0"/>
    <x v="0"/>
    <x v="8"/>
    <x v="18"/>
    <s v="SE3_HP"/>
    <x v="8"/>
    <s v="GBPR_WOODWASTE_36"/>
    <x v="0"/>
    <x v="12"/>
    <n v="68.870402802101594"/>
    <n v="25137.697022767101"/>
    <n v="90495.709281961506"/>
  </r>
  <r>
    <x v="0"/>
    <x v="0"/>
    <x v="0"/>
    <x v="8"/>
    <x v="18"/>
    <s v="SE3_HP"/>
    <x v="8"/>
    <s v="GBPR_WOODWASTE_36"/>
    <x v="0"/>
    <x v="13"/>
    <n v="68.870402802101594"/>
    <n v="25137.697022767101"/>
    <n v="90495.709281961506"/>
  </r>
  <r>
    <x v="0"/>
    <x v="0"/>
    <x v="0"/>
    <x v="8"/>
    <x v="18"/>
    <s v="SE3_HP"/>
    <x v="8"/>
    <s v="GBPR_WOODWASTE_36"/>
    <x v="0"/>
    <x v="14"/>
    <n v="68.870402802101594"/>
    <n v="25137.697022767101"/>
    <n v="90495.709281961506"/>
  </r>
  <r>
    <x v="0"/>
    <x v="0"/>
    <x v="0"/>
    <x v="8"/>
    <x v="18"/>
    <s v="SE3_HP"/>
    <x v="8"/>
    <s v="GBPR_WOODWASTE_36"/>
    <x v="0"/>
    <x v="15"/>
    <n v="68.870402802101594"/>
    <n v="25137.697022767101"/>
    <n v="90495.709281961506"/>
  </r>
  <r>
    <x v="0"/>
    <x v="0"/>
    <x v="0"/>
    <x v="8"/>
    <x v="18"/>
    <s v="SE3_HP"/>
    <x v="8"/>
    <s v="GBPR_WOODWASTE_36"/>
    <x v="0"/>
    <x v="4"/>
    <n v="68.870402802101594"/>
    <n v="25137.697022767101"/>
    <n v="90495.709281961506"/>
  </r>
  <r>
    <x v="0"/>
    <x v="0"/>
    <x v="0"/>
    <x v="8"/>
    <x v="18"/>
    <s v="SE3_HP"/>
    <x v="8"/>
    <s v="GBPR_WOODWASTE_36"/>
    <x v="0"/>
    <x v="16"/>
    <n v="68.870402802101594"/>
    <n v="25137.697022767101"/>
    <n v="90495.709281961506"/>
  </r>
  <r>
    <x v="0"/>
    <x v="0"/>
    <x v="0"/>
    <x v="8"/>
    <x v="18"/>
    <s v="SE3_HP"/>
    <x v="8"/>
    <s v="GBPR_WOODWASTE_36"/>
    <x v="0"/>
    <x v="5"/>
    <n v="68.870402802101594"/>
    <n v="25137.697022767101"/>
    <n v="90495.709281961506"/>
  </r>
  <r>
    <x v="0"/>
    <x v="0"/>
    <x v="0"/>
    <x v="8"/>
    <x v="18"/>
    <s v="SE3_HP"/>
    <x v="8"/>
    <s v="GBPR_WOODWASTE_36"/>
    <x v="0"/>
    <x v="17"/>
    <n v="68.870402802101594"/>
    <n v="25137.697022767101"/>
    <n v="90495.709281961506"/>
  </r>
  <r>
    <x v="0"/>
    <x v="0"/>
    <x v="0"/>
    <x v="8"/>
    <x v="18"/>
    <s v="SE3_HP"/>
    <x v="8"/>
    <s v="GBPR_WOODWASTE_36"/>
    <x v="0"/>
    <x v="18"/>
    <n v="68.870402802101594"/>
    <n v="25137.697022767101"/>
    <n v="90495.709281961506"/>
  </r>
  <r>
    <x v="0"/>
    <x v="0"/>
    <x v="0"/>
    <x v="8"/>
    <x v="18"/>
    <s v="SE3_HP"/>
    <x v="8"/>
    <s v="GBPR_WOODWASTE_36"/>
    <x v="0"/>
    <x v="19"/>
    <n v="68.870402802101594"/>
    <n v="25137.697022767101"/>
    <n v="90495.709281961506"/>
  </r>
  <r>
    <x v="0"/>
    <x v="0"/>
    <x v="0"/>
    <x v="8"/>
    <x v="18"/>
    <s v="SE3_HP"/>
    <x v="8"/>
    <s v="GBPR_WOODWASTE_36"/>
    <x v="0"/>
    <x v="20"/>
    <n v="68.870402802101594"/>
    <n v="25137.697022767101"/>
    <n v="90495.709281961506"/>
  </r>
  <r>
    <x v="0"/>
    <x v="0"/>
    <x v="0"/>
    <x v="8"/>
    <x v="18"/>
    <s v="SE3_HP"/>
    <x v="8"/>
    <s v="GBPR_WOODWASTE_36"/>
    <x v="0"/>
    <x v="21"/>
    <n v="68.870402802101594"/>
    <n v="25137.697022767101"/>
    <n v="90495.709281961506"/>
  </r>
  <r>
    <x v="0"/>
    <x v="0"/>
    <x v="0"/>
    <x v="8"/>
    <x v="18"/>
    <s v="SE3_HP"/>
    <x v="8"/>
    <s v="GBPR_WOODWASTE_36"/>
    <x v="0"/>
    <x v="22"/>
    <n v="68.870402802101594"/>
    <n v="25137.697022767101"/>
    <n v="90495.709281961506"/>
  </r>
  <r>
    <x v="0"/>
    <x v="0"/>
    <x v="0"/>
    <x v="8"/>
    <x v="18"/>
    <s v="SE3_HP"/>
    <x v="8"/>
    <s v="GBPR_WOODWASTE_36"/>
    <x v="0"/>
    <x v="23"/>
    <n v="68.870402802101594"/>
    <n v="25137.697022767101"/>
    <n v="90495.709281961506"/>
  </r>
  <r>
    <x v="0"/>
    <x v="0"/>
    <x v="0"/>
    <x v="8"/>
    <x v="18"/>
    <s v="SE3_HP"/>
    <x v="8"/>
    <s v="GEXT_WOODWASTE"/>
    <x v="0"/>
    <x v="6"/>
    <n v="124.36065666101899"/>
    <n v="45391.639681271801"/>
    <n v="163409.90285257899"/>
  </r>
  <r>
    <x v="0"/>
    <x v="0"/>
    <x v="0"/>
    <x v="8"/>
    <x v="18"/>
    <s v="SE3_HP"/>
    <x v="8"/>
    <s v="GEXT_WOODWASTE"/>
    <x v="0"/>
    <x v="7"/>
    <n v="121.509572568321"/>
    <n v="44350.993987437199"/>
    <n v="159663.57835477401"/>
  </r>
  <r>
    <x v="0"/>
    <x v="0"/>
    <x v="0"/>
    <x v="8"/>
    <x v="18"/>
    <s v="SE3_HP"/>
    <x v="8"/>
    <s v="GEXT_WOODWASTE"/>
    <x v="0"/>
    <x v="8"/>
    <n v="121.60831838080099"/>
    <n v="44387.036208992497"/>
    <n v="159793.33035237301"/>
  </r>
  <r>
    <x v="0"/>
    <x v="0"/>
    <x v="0"/>
    <x v="8"/>
    <x v="18"/>
    <s v="SE3_HP"/>
    <x v="8"/>
    <s v="GEXT_WOODWASTE"/>
    <x v="0"/>
    <x v="9"/>
    <n v="127.780365958619"/>
    <n v="46639.8335748959"/>
    <n v="167903.40086962501"/>
  </r>
  <r>
    <x v="0"/>
    <x v="0"/>
    <x v="0"/>
    <x v="8"/>
    <x v="18"/>
    <s v="SE3_HP"/>
    <x v="8"/>
    <s v="GEXT_WOODWASTE"/>
    <x v="0"/>
    <x v="10"/>
    <n v="146.47835231879"/>
    <n v="53464.598596358497"/>
    <n v="192472.554946891"/>
  </r>
  <r>
    <x v="0"/>
    <x v="0"/>
    <x v="0"/>
    <x v="8"/>
    <x v="18"/>
    <s v="SE3_HP"/>
    <x v="8"/>
    <s v="GEXT_WOODWASTE"/>
    <x v="0"/>
    <x v="11"/>
    <n v="184.766233919629"/>
    <n v="67439.675380664499"/>
    <n v="242782.831370392"/>
  </r>
  <r>
    <x v="0"/>
    <x v="0"/>
    <x v="0"/>
    <x v="8"/>
    <x v="18"/>
    <s v="SE3_HP"/>
    <x v="8"/>
    <s v="GEXT_WOODWASTE"/>
    <x v="0"/>
    <x v="0"/>
    <n v="261.68305864390601"/>
    <n v="95514.316405025602"/>
    <n v="343851.53905809199"/>
  </r>
  <r>
    <x v="0"/>
    <x v="0"/>
    <x v="0"/>
    <x v="8"/>
    <x v="18"/>
    <s v="SE3_HP"/>
    <x v="8"/>
    <s v="GEXT_WOODWASTE"/>
    <x v="0"/>
    <x v="1"/>
    <n v="302.19177802575302"/>
    <n v="110299.9989794"/>
    <n v="397079.99632584001"/>
  </r>
  <r>
    <x v="0"/>
    <x v="0"/>
    <x v="0"/>
    <x v="8"/>
    <x v="18"/>
    <s v="SE3_HP"/>
    <x v="8"/>
    <s v="GEXT_WOODWASTE"/>
    <x v="0"/>
    <x v="2"/>
    <n v="304.51558558140698"/>
    <n v="111148.188737214"/>
    <n v="400133.47945396899"/>
  </r>
  <r>
    <x v="0"/>
    <x v="0"/>
    <x v="0"/>
    <x v="8"/>
    <x v="18"/>
    <s v="SE3_HP"/>
    <x v="8"/>
    <s v="GEXT_WOODWASTE"/>
    <x v="0"/>
    <x v="3"/>
    <n v="299.01082333061498"/>
    <n v="109138.95051567401"/>
    <n v="392900.22185642802"/>
  </r>
  <r>
    <x v="0"/>
    <x v="0"/>
    <x v="0"/>
    <x v="8"/>
    <x v="18"/>
    <s v="SE3_HP"/>
    <x v="8"/>
    <s v="GEXT_WOODWASTE"/>
    <x v="0"/>
    <x v="12"/>
    <n v="286.20450875338798"/>
    <n v="104464.645694987"/>
    <n v="376072.72450195201"/>
  </r>
  <r>
    <x v="0"/>
    <x v="0"/>
    <x v="0"/>
    <x v="8"/>
    <x v="18"/>
    <s v="SE3_HP"/>
    <x v="8"/>
    <s v="GEXT_WOODWASTE"/>
    <x v="0"/>
    <x v="13"/>
    <n v="278.83195332257702"/>
    <n v="101773.662962741"/>
    <n v="366385.186665866"/>
  </r>
  <r>
    <x v="0"/>
    <x v="0"/>
    <x v="0"/>
    <x v="8"/>
    <x v="18"/>
    <s v="SE3_HP"/>
    <x v="8"/>
    <s v="GEXT_WOODWASTE"/>
    <x v="0"/>
    <x v="14"/>
    <n v="276.48976717151902"/>
    <n v="100918.765017604"/>
    <n v="363307.55406337598"/>
  </r>
  <r>
    <x v="0"/>
    <x v="0"/>
    <x v="0"/>
    <x v="8"/>
    <x v="18"/>
    <s v="SE3_HP"/>
    <x v="8"/>
    <s v="GEXT_WOODWASTE"/>
    <x v="0"/>
    <x v="15"/>
    <n v="277.68528036372101"/>
    <n v="101355.127332758"/>
    <n v="364878.45839793002"/>
  </r>
  <r>
    <x v="0"/>
    <x v="0"/>
    <x v="0"/>
    <x v="8"/>
    <x v="18"/>
    <s v="SE3_HP"/>
    <x v="8"/>
    <s v="GEXT_WOODWASTE"/>
    <x v="0"/>
    <x v="4"/>
    <n v="275.37080259105198"/>
    <n v="100510.342945734"/>
    <n v="361837.23460464203"/>
  </r>
  <r>
    <x v="0"/>
    <x v="0"/>
    <x v="0"/>
    <x v="8"/>
    <x v="18"/>
    <s v="SE3_HP"/>
    <x v="8"/>
    <s v="GEXT_WOODWASTE"/>
    <x v="0"/>
    <x v="16"/>
    <n v="280.58758048559702"/>
    <n v="102414.466877243"/>
    <n v="368692.08075807401"/>
  </r>
  <r>
    <x v="0"/>
    <x v="0"/>
    <x v="0"/>
    <x v="8"/>
    <x v="18"/>
    <s v="SE3_HP"/>
    <x v="8"/>
    <s v="GEXT_WOODWASTE"/>
    <x v="0"/>
    <x v="5"/>
    <n v="264.81517120508403"/>
    <n v="96657.537489855604"/>
    <n v="347967.13496348"/>
  </r>
  <r>
    <x v="0"/>
    <x v="0"/>
    <x v="0"/>
    <x v="8"/>
    <x v="18"/>
    <s v="SE3_HP"/>
    <x v="8"/>
    <s v="GEXT_WOODWASTE"/>
    <x v="0"/>
    <x v="17"/>
    <n v="248.73837903556799"/>
    <n v="90789.508347982293"/>
    <n v="326842.23005273601"/>
  </r>
  <r>
    <x v="0"/>
    <x v="0"/>
    <x v="0"/>
    <x v="8"/>
    <x v="18"/>
    <s v="SE3_HP"/>
    <x v="8"/>
    <s v="GEXT_WOODWASTE"/>
    <x v="0"/>
    <x v="18"/>
    <n v="239.34407529955001"/>
    <n v="87360.587484335803"/>
    <n v="314498.11494360899"/>
  </r>
  <r>
    <x v="0"/>
    <x v="0"/>
    <x v="0"/>
    <x v="8"/>
    <x v="18"/>
    <s v="SE3_HP"/>
    <x v="8"/>
    <s v="GEXT_WOODWASTE"/>
    <x v="0"/>
    <x v="19"/>
    <n v="224.14121271819201"/>
    <n v="81811.542642140193"/>
    <n v="294521.55351170502"/>
  </r>
  <r>
    <x v="0"/>
    <x v="0"/>
    <x v="0"/>
    <x v="8"/>
    <x v="18"/>
    <s v="SE3_HP"/>
    <x v="8"/>
    <s v="GEXT_WOODWASTE"/>
    <x v="0"/>
    <x v="20"/>
    <n v="207.114079947731"/>
    <n v="75596.639180921804"/>
    <n v="272147.90105131798"/>
  </r>
  <r>
    <x v="0"/>
    <x v="0"/>
    <x v="0"/>
    <x v="8"/>
    <x v="18"/>
    <s v="SE3_HP"/>
    <x v="8"/>
    <s v="GEXT_WOODWASTE"/>
    <x v="0"/>
    <x v="21"/>
    <n v="192.562714457277"/>
    <n v="70285.390776906206"/>
    <n v="253027.40679686199"/>
  </r>
  <r>
    <x v="0"/>
    <x v="0"/>
    <x v="0"/>
    <x v="8"/>
    <x v="18"/>
    <s v="SE3_HP"/>
    <x v="8"/>
    <s v="GEXT_WOODWASTE"/>
    <x v="0"/>
    <x v="22"/>
    <n v="170.02343481243"/>
    <n v="62058.553706537103"/>
    <n v="223410.79334353399"/>
  </r>
  <r>
    <x v="0"/>
    <x v="0"/>
    <x v="0"/>
    <x v="8"/>
    <x v="18"/>
    <s v="SE3_HP"/>
    <x v="8"/>
    <s v="GEXT_WOODWASTE"/>
    <x v="0"/>
    <x v="23"/>
    <n v="134.62794060812101"/>
    <n v="49139.198321964301"/>
    <n v="176901.11395907099"/>
  </r>
  <r>
    <x v="0"/>
    <x v="0"/>
    <x v="0"/>
    <x v="8"/>
    <x v="18"/>
    <s v="SE3_HP"/>
    <x v="8"/>
    <s v="GHOB_WOODWASTE"/>
    <x v="0"/>
    <x v="6"/>
    <n v="17.4016224168126"/>
    <n v="6351.5921821366001"/>
    <n v="22865.7318556918"/>
  </r>
  <r>
    <x v="0"/>
    <x v="0"/>
    <x v="0"/>
    <x v="8"/>
    <x v="18"/>
    <s v="SE3_HP"/>
    <x v="8"/>
    <s v="GHOB_WOODWASTE"/>
    <x v="0"/>
    <x v="7"/>
    <n v="17.4016224168126"/>
    <n v="6351.5921821366001"/>
    <n v="22865.7318556918"/>
  </r>
  <r>
    <x v="0"/>
    <x v="0"/>
    <x v="0"/>
    <x v="8"/>
    <x v="18"/>
    <s v="SE3_HP"/>
    <x v="8"/>
    <s v="GHOB_WOODWASTE"/>
    <x v="0"/>
    <x v="8"/>
    <n v="17.4016224168126"/>
    <n v="6351.5921821366001"/>
    <n v="22865.7318556918"/>
  </r>
  <r>
    <x v="0"/>
    <x v="0"/>
    <x v="0"/>
    <x v="8"/>
    <x v="18"/>
    <s v="SE3_HP"/>
    <x v="8"/>
    <s v="GHOB_WOODWASTE"/>
    <x v="0"/>
    <x v="9"/>
    <n v="17.4016224168126"/>
    <n v="6351.5921821366001"/>
    <n v="22865.7318556918"/>
  </r>
  <r>
    <x v="0"/>
    <x v="0"/>
    <x v="0"/>
    <x v="8"/>
    <x v="18"/>
    <s v="SE3_HP"/>
    <x v="8"/>
    <s v="GHOB_WOODWASTE"/>
    <x v="0"/>
    <x v="10"/>
    <n v="17.4016224168126"/>
    <n v="6351.5921821366001"/>
    <n v="22865.7318556918"/>
  </r>
  <r>
    <x v="0"/>
    <x v="0"/>
    <x v="0"/>
    <x v="8"/>
    <x v="18"/>
    <s v="SE3_HP"/>
    <x v="8"/>
    <s v="GHOB_WOODWASTE"/>
    <x v="0"/>
    <x v="11"/>
    <n v="17.4016224168126"/>
    <n v="6351.5921821366001"/>
    <n v="22865.7318556918"/>
  </r>
  <r>
    <x v="0"/>
    <x v="0"/>
    <x v="0"/>
    <x v="8"/>
    <x v="18"/>
    <s v="SE3_HP"/>
    <x v="8"/>
    <s v="GHOB_WOODWASTE"/>
    <x v="0"/>
    <x v="0"/>
    <n v="17.4016224168126"/>
    <n v="6351.5921821366001"/>
    <n v="22865.7318556918"/>
  </r>
  <r>
    <x v="0"/>
    <x v="0"/>
    <x v="0"/>
    <x v="8"/>
    <x v="18"/>
    <s v="SE3_HP"/>
    <x v="8"/>
    <s v="GHOB_WOODWASTE"/>
    <x v="0"/>
    <x v="1"/>
    <n v="17.4016224168126"/>
    <n v="6351.5921821366001"/>
    <n v="22865.7318556918"/>
  </r>
  <r>
    <x v="0"/>
    <x v="0"/>
    <x v="0"/>
    <x v="8"/>
    <x v="18"/>
    <s v="SE3_HP"/>
    <x v="8"/>
    <s v="GHOB_WOODWASTE"/>
    <x v="0"/>
    <x v="2"/>
    <n v="17.4016224168126"/>
    <n v="6351.5921821366001"/>
    <n v="22865.7318556918"/>
  </r>
  <r>
    <x v="0"/>
    <x v="0"/>
    <x v="0"/>
    <x v="8"/>
    <x v="18"/>
    <s v="SE3_HP"/>
    <x v="8"/>
    <s v="GHOB_WOODWASTE"/>
    <x v="0"/>
    <x v="3"/>
    <n v="17.4016224168126"/>
    <n v="6351.5921821366001"/>
    <n v="22865.7318556918"/>
  </r>
  <r>
    <x v="0"/>
    <x v="0"/>
    <x v="0"/>
    <x v="8"/>
    <x v="18"/>
    <s v="SE3_HP"/>
    <x v="8"/>
    <s v="GHOB_WOODWASTE"/>
    <x v="0"/>
    <x v="12"/>
    <n v="17.4016224168126"/>
    <n v="6351.5921821366001"/>
    <n v="22865.7318556918"/>
  </r>
  <r>
    <x v="0"/>
    <x v="0"/>
    <x v="0"/>
    <x v="8"/>
    <x v="18"/>
    <s v="SE3_HP"/>
    <x v="8"/>
    <s v="GHOB_WOODWASTE"/>
    <x v="0"/>
    <x v="13"/>
    <n v="17.4016224168126"/>
    <n v="6351.5921821366001"/>
    <n v="22865.7318556918"/>
  </r>
  <r>
    <x v="0"/>
    <x v="0"/>
    <x v="0"/>
    <x v="8"/>
    <x v="18"/>
    <s v="SE3_HP"/>
    <x v="8"/>
    <s v="GHOB_WOODWASTE"/>
    <x v="0"/>
    <x v="14"/>
    <n v="17.4016224168126"/>
    <n v="6351.5921821366001"/>
    <n v="22865.7318556918"/>
  </r>
  <r>
    <x v="0"/>
    <x v="0"/>
    <x v="0"/>
    <x v="8"/>
    <x v="18"/>
    <s v="SE3_HP"/>
    <x v="8"/>
    <s v="GHOB_WOODWASTE"/>
    <x v="0"/>
    <x v="15"/>
    <n v="17.4016224168126"/>
    <n v="6351.5921821366001"/>
    <n v="22865.7318556918"/>
  </r>
  <r>
    <x v="0"/>
    <x v="0"/>
    <x v="0"/>
    <x v="8"/>
    <x v="18"/>
    <s v="SE3_HP"/>
    <x v="8"/>
    <s v="GHOB_WOODWASTE"/>
    <x v="0"/>
    <x v="4"/>
    <n v="17.4016224168126"/>
    <n v="6351.5921821366001"/>
    <n v="22865.7318556918"/>
  </r>
  <r>
    <x v="0"/>
    <x v="0"/>
    <x v="0"/>
    <x v="8"/>
    <x v="18"/>
    <s v="SE3_HP"/>
    <x v="8"/>
    <s v="GHOB_WOODWASTE"/>
    <x v="0"/>
    <x v="16"/>
    <n v="17.4016224168126"/>
    <n v="6351.5921821366001"/>
    <n v="22865.7318556918"/>
  </r>
  <r>
    <x v="0"/>
    <x v="0"/>
    <x v="0"/>
    <x v="8"/>
    <x v="18"/>
    <s v="SE3_HP"/>
    <x v="8"/>
    <s v="GHOB_WOODWASTE"/>
    <x v="0"/>
    <x v="5"/>
    <n v="17.4016224168126"/>
    <n v="6351.5921821366001"/>
    <n v="22865.7318556918"/>
  </r>
  <r>
    <x v="0"/>
    <x v="0"/>
    <x v="0"/>
    <x v="8"/>
    <x v="18"/>
    <s v="SE3_HP"/>
    <x v="8"/>
    <s v="GHOB_WOODWASTE"/>
    <x v="0"/>
    <x v="17"/>
    <n v="17.4016224168126"/>
    <n v="6351.5921821366001"/>
    <n v="22865.7318556918"/>
  </r>
  <r>
    <x v="0"/>
    <x v="0"/>
    <x v="0"/>
    <x v="8"/>
    <x v="18"/>
    <s v="SE3_HP"/>
    <x v="8"/>
    <s v="GHOB_WOODWASTE"/>
    <x v="0"/>
    <x v="18"/>
    <n v="17.4016224168126"/>
    <n v="6351.5921821366001"/>
    <n v="22865.7318556918"/>
  </r>
  <r>
    <x v="0"/>
    <x v="0"/>
    <x v="0"/>
    <x v="8"/>
    <x v="18"/>
    <s v="SE3_HP"/>
    <x v="8"/>
    <s v="GHOB_WOODWASTE"/>
    <x v="0"/>
    <x v="19"/>
    <n v="17.4016224168126"/>
    <n v="6351.5921821366001"/>
    <n v="22865.7318556918"/>
  </r>
  <r>
    <x v="0"/>
    <x v="0"/>
    <x v="0"/>
    <x v="8"/>
    <x v="18"/>
    <s v="SE3_HP"/>
    <x v="8"/>
    <s v="GHOB_WOODWASTE"/>
    <x v="0"/>
    <x v="20"/>
    <n v="17.4016224168126"/>
    <n v="6351.5921821366001"/>
    <n v="22865.7318556918"/>
  </r>
  <r>
    <x v="0"/>
    <x v="0"/>
    <x v="0"/>
    <x v="8"/>
    <x v="18"/>
    <s v="SE3_HP"/>
    <x v="8"/>
    <s v="GHOB_WOODWASTE"/>
    <x v="0"/>
    <x v="21"/>
    <n v="17.4016224168126"/>
    <n v="6351.5921821366001"/>
    <n v="22865.7318556918"/>
  </r>
  <r>
    <x v="0"/>
    <x v="0"/>
    <x v="0"/>
    <x v="8"/>
    <x v="18"/>
    <s v="SE3_HP"/>
    <x v="8"/>
    <s v="GHOB_WOODWASTE"/>
    <x v="0"/>
    <x v="22"/>
    <n v="17.4016224168126"/>
    <n v="6351.5921821366001"/>
    <n v="22865.7318556918"/>
  </r>
  <r>
    <x v="0"/>
    <x v="0"/>
    <x v="0"/>
    <x v="8"/>
    <x v="18"/>
    <s v="SE3_HP"/>
    <x v="8"/>
    <s v="GHOB_WOODWASTE"/>
    <x v="0"/>
    <x v="23"/>
    <n v="17.4016224168126"/>
    <n v="6351.5921821366001"/>
    <n v="22865.7318556918"/>
  </r>
  <r>
    <x v="0"/>
    <x v="0"/>
    <x v="0"/>
    <x v="8"/>
    <x v="18"/>
    <s v="SE3_OTHER"/>
    <x v="1"/>
    <s v="GNR_HS_HEAT_WTR-TANK_LS_E-95_Y-2010"/>
    <x v="0"/>
    <x v="1"/>
    <n v="125.282208101205"/>
    <n v="45728.005956939996"/>
    <n v="164620.821444984"/>
  </r>
  <r>
    <x v="0"/>
    <x v="0"/>
    <x v="0"/>
    <x v="8"/>
    <x v="18"/>
    <s v="SE3_OTHER"/>
    <x v="1"/>
    <s v="GNR_HS_HEAT_WTR-TANK_LS_E-95_Y-2010"/>
    <x v="0"/>
    <x v="2"/>
    <n v="137.118299258284"/>
    <n v="50048.179229273497"/>
    <n v="180173.44522538499"/>
  </r>
  <r>
    <x v="0"/>
    <x v="0"/>
    <x v="0"/>
    <x v="8"/>
    <x v="18"/>
    <s v="SE3_OTHER"/>
    <x v="1"/>
    <s v="GNR_HS_HEAT_WTR-TANK_LS_E-95_Y-2010"/>
    <x v="0"/>
    <x v="3"/>
    <n v="115.69442981073"/>
    <n v="42228.466880916501"/>
    <n v="152022.48077129899"/>
  </r>
  <r>
    <x v="0"/>
    <x v="0"/>
    <x v="0"/>
    <x v="8"/>
    <x v="18"/>
    <s v="SE3_OTHER"/>
    <x v="1"/>
    <s v="GNR_HS_HEAT_WTR-TANK_LS_E-95_Y-2010"/>
    <x v="0"/>
    <x v="12"/>
    <n v="43.903605024064802"/>
    <n v="16024.815833783599"/>
    <n v="57689.337001621097"/>
  </r>
  <r>
    <x v="0"/>
    <x v="0"/>
    <x v="0"/>
    <x v="8"/>
    <x v="18"/>
    <s v="SE3_OTHER"/>
    <x v="1"/>
    <s v="GNR_HS_HEAT_WTR-TANK_LS_E-95_Y-2010"/>
    <x v="0"/>
    <x v="14"/>
    <n v="13.325437848842901"/>
    <n v="4863.7848148276398"/>
    <n v="17509.625333379499"/>
  </r>
  <r>
    <x v="0"/>
    <x v="0"/>
    <x v="0"/>
    <x v="8"/>
    <x v="18"/>
    <s v="SE3_OTHER"/>
    <x v="2"/>
    <s v="GBPR_MUNIWASTE_24"/>
    <x v="0"/>
    <x v="6"/>
    <n v="120.48960927447"/>
    <n v="43978.707385181697"/>
    <n v="158323.34658665399"/>
  </r>
  <r>
    <x v="0"/>
    <x v="0"/>
    <x v="0"/>
    <x v="8"/>
    <x v="18"/>
    <s v="SE3_OTHER"/>
    <x v="2"/>
    <s v="GBPR_MUNIWASTE_24"/>
    <x v="0"/>
    <x v="7"/>
    <n v="120.48960927447"/>
    <n v="43978.707385181697"/>
    <n v="158323.34658665399"/>
  </r>
  <r>
    <x v="0"/>
    <x v="0"/>
    <x v="0"/>
    <x v="8"/>
    <x v="18"/>
    <s v="SE3_OTHER"/>
    <x v="2"/>
    <s v="GBPR_MUNIWASTE_24"/>
    <x v="0"/>
    <x v="8"/>
    <n v="120.48960927447"/>
    <n v="43978.707385181697"/>
    <n v="158323.34658665399"/>
  </r>
  <r>
    <x v="0"/>
    <x v="0"/>
    <x v="0"/>
    <x v="8"/>
    <x v="18"/>
    <s v="SE3_OTHER"/>
    <x v="2"/>
    <s v="GBPR_MUNIWASTE_24"/>
    <x v="0"/>
    <x v="9"/>
    <n v="120.48960927447"/>
    <n v="43978.707385181697"/>
    <n v="158323.34658665399"/>
  </r>
  <r>
    <x v="0"/>
    <x v="0"/>
    <x v="0"/>
    <x v="8"/>
    <x v="18"/>
    <s v="SE3_OTHER"/>
    <x v="2"/>
    <s v="GBPR_MUNIWASTE_24"/>
    <x v="0"/>
    <x v="10"/>
    <n v="120.48960927447"/>
    <n v="43978.707385181697"/>
    <n v="158323.34658665399"/>
  </r>
  <r>
    <x v="0"/>
    <x v="0"/>
    <x v="0"/>
    <x v="8"/>
    <x v="18"/>
    <s v="SE3_OTHER"/>
    <x v="2"/>
    <s v="GBPR_MUNIWASTE_24"/>
    <x v="0"/>
    <x v="11"/>
    <n v="120.48960927447"/>
    <n v="43978.707385181697"/>
    <n v="158323.34658665399"/>
  </r>
  <r>
    <x v="0"/>
    <x v="0"/>
    <x v="0"/>
    <x v="8"/>
    <x v="18"/>
    <s v="SE3_OTHER"/>
    <x v="2"/>
    <s v="GBPR_MUNIWASTE_24"/>
    <x v="0"/>
    <x v="0"/>
    <n v="120.48960927447"/>
    <n v="43978.707385181697"/>
    <n v="158323.34658665399"/>
  </r>
  <r>
    <x v="0"/>
    <x v="0"/>
    <x v="0"/>
    <x v="8"/>
    <x v="18"/>
    <s v="SE3_OTHER"/>
    <x v="2"/>
    <s v="GBPR_MUNIWASTE_24"/>
    <x v="0"/>
    <x v="1"/>
    <n v="120.48960927447"/>
    <n v="43978.707385181697"/>
    <n v="158323.34658665399"/>
  </r>
  <r>
    <x v="0"/>
    <x v="0"/>
    <x v="0"/>
    <x v="8"/>
    <x v="18"/>
    <s v="SE3_OTHER"/>
    <x v="2"/>
    <s v="GBPR_MUNIWASTE_24"/>
    <x v="0"/>
    <x v="2"/>
    <n v="120.48960927447"/>
    <n v="43978.707385181697"/>
    <n v="158323.34658665399"/>
  </r>
  <r>
    <x v="0"/>
    <x v="0"/>
    <x v="0"/>
    <x v="8"/>
    <x v="18"/>
    <s v="SE3_OTHER"/>
    <x v="2"/>
    <s v="GBPR_MUNIWASTE_24"/>
    <x v="0"/>
    <x v="3"/>
    <n v="120.48960927447"/>
    <n v="43978.707385181697"/>
    <n v="158323.34658665399"/>
  </r>
  <r>
    <x v="0"/>
    <x v="0"/>
    <x v="0"/>
    <x v="8"/>
    <x v="18"/>
    <s v="SE3_OTHER"/>
    <x v="2"/>
    <s v="GBPR_MUNIWASTE_24"/>
    <x v="0"/>
    <x v="12"/>
    <n v="120.48960927447"/>
    <n v="43978.707385181697"/>
    <n v="158323.34658665399"/>
  </r>
  <r>
    <x v="0"/>
    <x v="0"/>
    <x v="0"/>
    <x v="8"/>
    <x v="18"/>
    <s v="SE3_OTHER"/>
    <x v="2"/>
    <s v="GBPR_MUNIWASTE_24"/>
    <x v="0"/>
    <x v="13"/>
    <n v="120.48960927447"/>
    <n v="43978.707385181697"/>
    <n v="158323.34658665399"/>
  </r>
  <r>
    <x v="0"/>
    <x v="0"/>
    <x v="0"/>
    <x v="8"/>
    <x v="18"/>
    <s v="SE3_OTHER"/>
    <x v="2"/>
    <s v="GBPR_MUNIWASTE_24"/>
    <x v="0"/>
    <x v="14"/>
    <n v="120.48960927447"/>
    <n v="43978.707385181697"/>
    <n v="158323.34658665399"/>
  </r>
  <r>
    <x v="0"/>
    <x v="0"/>
    <x v="0"/>
    <x v="8"/>
    <x v="18"/>
    <s v="SE3_OTHER"/>
    <x v="2"/>
    <s v="GBPR_MUNIWASTE_24"/>
    <x v="0"/>
    <x v="15"/>
    <n v="120.48960927447"/>
    <n v="43978.707385181697"/>
    <n v="158323.34658665399"/>
  </r>
  <r>
    <x v="0"/>
    <x v="0"/>
    <x v="0"/>
    <x v="8"/>
    <x v="18"/>
    <s v="SE3_OTHER"/>
    <x v="2"/>
    <s v="GBPR_MUNIWASTE_24"/>
    <x v="0"/>
    <x v="4"/>
    <n v="120.48960927447"/>
    <n v="43978.707385181697"/>
    <n v="158323.34658665399"/>
  </r>
  <r>
    <x v="0"/>
    <x v="0"/>
    <x v="0"/>
    <x v="8"/>
    <x v="18"/>
    <s v="SE3_OTHER"/>
    <x v="2"/>
    <s v="GBPR_MUNIWASTE_24"/>
    <x v="0"/>
    <x v="16"/>
    <n v="120.48960927447"/>
    <n v="43978.707385181697"/>
    <n v="158323.34658665399"/>
  </r>
  <r>
    <x v="0"/>
    <x v="0"/>
    <x v="0"/>
    <x v="8"/>
    <x v="18"/>
    <s v="SE3_OTHER"/>
    <x v="2"/>
    <s v="GBPR_MUNIWASTE_24"/>
    <x v="0"/>
    <x v="5"/>
    <n v="120.48960927447"/>
    <n v="43978.707385181697"/>
    <n v="158323.34658665399"/>
  </r>
  <r>
    <x v="0"/>
    <x v="0"/>
    <x v="0"/>
    <x v="8"/>
    <x v="18"/>
    <s v="SE3_OTHER"/>
    <x v="2"/>
    <s v="GBPR_MUNIWASTE_24"/>
    <x v="0"/>
    <x v="17"/>
    <n v="120.48960927447"/>
    <n v="43978.707385181697"/>
    <n v="158323.34658665399"/>
  </r>
  <r>
    <x v="0"/>
    <x v="0"/>
    <x v="0"/>
    <x v="8"/>
    <x v="18"/>
    <s v="SE3_OTHER"/>
    <x v="2"/>
    <s v="GBPR_MUNIWASTE_24"/>
    <x v="0"/>
    <x v="18"/>
    <n v="120.48960927447"/>
    <n v="43978.707385181697"/>
    <n v="158323.34658665399"/>
  </r>
  <r>
    <x v="0"/>
    <x v="0"/>
    <x v="0"/>
    <x v="8"/>
    <x v="18"/>
    <s v="SE3_OTHER"/>
    <x v="2"/>
    <s v="GBPR_MUNIWASTE_24"/>
    <x v="0"/>
    <x v="19"/>
    <n v="120.48960927447"/>
    <n v="43978.707385181697"/>
    <n v="158323.34658665399"/>
  </r>
  <r>
    <x v="0"/>
    <x v="0"/>
    <x v="0"/>
    <x v="8"/>
    <x v="18"/>
    <s v="SE3_OTHER"/>
    <x v="2"/>
    <s v="GBPR_MUNIWASTE_24"/>
    <x v="0"/>
    <x v="20"/>
    <n v="120.48960927447"/>
    <n v="43978.707385181697"/>
    <n v="158323.34658665399"/>
  </r>
  <r>
    <x v="0"/>
    <x v="0"/>
    <x v="0"/>
    <x v="8"/>
    <x v="18"/>
    <s v="SE3_OTHER"/>
    <x v="2"/>
    <s v="GBPR_MUNIWASTE_24"/>
    <x v="0"/>
    <x v="21"/>
    <n v="120.48960927447"/>
    <n v="43978.707385181697"/>
    <n v="158323.34658665399"/>
  </r>
  <r>
    <x v="0"/>
    <x v="0"/>
    <x v="0"/>
    <x v="8"/>
    <x v="18"/>
    <s v="SE3_OTHER"/>
    <x v="2"/>
    <s v="GBPR_MUNIWASTE_24"/>
    <x v="0"/>
    <x v="22"/>
    <n v="120.48960927447"/>
    <n v="43978.707385181697"/>
    <n v="158323.34658665399"/>
  </r>
  <r>
    <x v="0"/>
    <x v="0"/>
    <x v="0"/>
    <x v="8"/>
    <x v="18"/>
    <s v="SE3_OTHER"/>
    <x v="2"/>
    <s v="GBPR_MUNIWASTE_24"/>
    <x v="0"/>
    <x v="23"/>
    <n v="120.48960927447"/>
    <n v="43978.707385181697"/>
    <n v="158323.34658665399"/>
  </r>
  <r>
    <x v="0"/>
    <x v="0"/>
    <x v="0"/>
    <x v="8"/>
    <x v="18"/>
    <s v="SE3_OTHER"/>
    <x v="2"/>
    <s v="GHOB_MUNIWASTE"/>
    <x v="0"/>
    <x v="6"/>
    <n v="118.900503206948"/>
    <n v="43398.683670535902"/>
    <n v="156235.26121392901"/>
  </r>
  <r>
    <x v="0"/>
    <x v="0"/>
    <x v="0"/>
    <x v="8"/>
    <x v="18"/>
    <s v="SE3_OTHER"/>
    <x v="2"/>
    <s v="GHOB_MUNIWASTE"/>
    <x v="0"/>
    <x v="7"/>
    <n v="118.900503206948"/>
    <n v="43398.683670535902"/>
    <n v="156235.26121392901"/>
  </r>
  <r>
    <x v="0"/>
    <x v="0"/>
    <x v="0"/>
    <x v="8"/>
    <x v="18"/>
    <s v="SE3_OTHER"/>
    <x v="2"/>
    <s v="GHOB_MUNIWASTE"/>
    <x v="0"/>
    <x v="8"/>
    <n v="118.900503206948"/>
    <n v="43398.683670535902"/>
    <n v="156235.26121392901"/>
  </r>
  <r>
    <x v="0"/>
    <x v="0"/>
    <x v="0"/>
    <x v="8"/>
    <x v="18"/>
    <s v="SE3_OTHER"/>
    <x v="2"/>
    <s v="GHOB_MUNIWASTE"/>
    <x v="0"/>
    <x v="9"/>
    <n v="118.900503206948"/>
    <n v="43398.683670535902"/>
    <n v="156235.26121392901"/>
  </r>
  <r>
    <x v="0"/>
    <x v="0"/>
    <x v="0"/>
    <x v="8"/>
    <x v="18"/>
    <s v="SE3_OTHER"/>
    <x v="2"/>
    <s v="GHOB_MUNIWASTE"/>
    <x v="0"/>
    <x v="10"/>
    <n v="118.900503206948"/>
    <n v="43398.683670535902"/>
    <n v="156235.26121392901"/>
  </r>
  <r>
    <x v="0"/>
    <x v="0"/>
    <x v="0"/>
    <x v="8"/>
    <x v="18"/>
    <s v="SE3_OTHER"/>
    <x v="2"/>
    <s v="GHOB_MUNIWASTE"/>
    <x v="0"/>
    <x v="11"/>
    <n v="118.900503206948"/>
    <n v="43398.683670535902"/>
    <n v="156235.26121392901"/>
  </r>
  <r>
    <x v="0"/>
    <x v="0"/>
    <x v="0"/>
    <x v="8"/>
    <x v="18"/>
    <s v="SE3_OTHER"/>
    <x v="2"/>
    <s v="GHOB_MUNIWASTE"/>
    <x v="0"/>
    <x v="0"/>
    <n v="118.900503206948"/>
    <n v="43398.683670535902"/>
    <n v="156235.26121392901"/>
  </r>
  <r>
    <x v="0"/>
    <x v="0"/>
    <x v="0"/>
    <x v="8"/>
    <x v="18"/>
    <s v="SE3_OTHER"/>
    <x v="2"/>
    <s v="GHOB_MUNIWASTE"/>
    <x v="0"/>
    <x v="1"/>
    <n v="118.900503206948"/>
    <n v="43398.683670535902"/>
    <n v="156235.26121392901"/>
  </r>
  <r>
    <x v="0"/>
    <x v="0"/>
    <x v="0"/>
    <x v="8"/>
    <x v="18"/>
    <s v="SE3_OTHER"/>
    <x v="2"/>
    <s v="GHOB_MUNIWASTE"/>
    <x v="0"/>
    <x v="2"/>
    <n v="118.900503206948"/>
    <n v="43398.683670535902"/>
    <n v="156235.26121392901"/>
  </r>
  <r>
    <x v="0"/>
    <x v="0"/>
    <x v="0"/>
    <x v="8"/>
    <x v="18"/>
    <s v="SE3_OTHER"/>
    <x v="2"/>
    <s v="GHOB_MUNIWASTE"/>
    <x v="0"/>
    <x v="3"/>
    <n v="118.900503206948"/>
    <n v="43398.683670535902"/>
    <n v="156235.26121392901"/>
  </r>
  <r>
    <x v="0"/>
    <x v="0"/>
    <x v="0"/>
    <x v="8"/>
    <x v="18"/>
    <s v="SE3_OTHER"/>
    <x v="2"/>
    <s v="GHOB_MUNIWASTE"/>
    <x v="0"/>
    <x v="12"/>
    <n v="118.900503206948"/>
    <n v="43398.683670535902"/>
    <n v="156235.26121392901"/>
  </r>
  <r>
    <x v="0"/>
    <x v="0"/>
    <x v="0"/>
    <x v="8"/>
    <x v="18"/>
    <s v="SE3_OTHER"/>
    <x v="2"/>
    <s v="GHOB_MUNIWASTE"/>
    <x v="0"/>
    <x v="13"/>
    <n v="118.900503206948"/>
    <n v="43398.683670535902"/>
    <n v="156235.26121392901"/>
  </r>
  <r>
    <x v="0"/>
    <x v="0"/>
    <x v="0"/>
    <x v="8"/>
    <x v="18"/>
    <s v="SE3_OTHER"/>
    <x v="2"/>
    <s v="GHOB_MUNIWASTE"/>
    <x v="0"/>
    <x v="14"/>
    <n v="118.900503206948"/>
    <n v="43398.683670535902"/>
    <n v="156235.26121392901"/>
  </r>
  <r>
    <x v="0"/>
    <x v="0"/>
    <x v="0"/>
    <x v="8"/>
    <x v="18"/>
    <s v="SE3_OTHER"/>
    <x v="2"/>
    <s v="GHOB_MUNIWASTE"/>
    <x v="0"/>
    <x v="15"/>
    <n v="118.900503206948"/>
    <n v="43398.683670535902"/>
    <n v="156235.26121392901"/>
  </r>
  <r>
    <x v="0"/>
    <x v="0"/>
    <x v="0"/>
    <x v="8"/>
    <x v="18"/>
    <s v="SE3_OTHER"/>
    <x v="2"/>
    <s v="GHOB_MUNIWASTE"/>
    <x v="0"/>
    <x v="4"/>
    <n v="118.900503206948"/>
    <n v="43398.683670535902"/>
    <n v="156235.26121392901"/>
  </r>
  <r>
    <x v="0"/>
    <x v="0"/>
    <x v="0"/>
    <x v="8"/>
    <x v="18"/>
    <s v="SE3_OTHER"/>
    <x v="2"/>
    <s v="GHOB_MUNIWASTE"/>
    <x v="0"/>
    <x v="16"/>
    <n v="118.900503206948"/>
    <n v="43398.683670535902"/>
    <n v="156235.26121392901"/>
  </r>
  <r>
    <x v="0"/>
    <x v="0"/>
    <x v="0"/>
    <x v="8"/>
    <x v="18"/>
    <s v="SE3_OTHER"/>
    <x v="2"/>
    <s v="GHOB_MUNIWASTE"/>
    <x v="0"/>
    <x v="5"/>
    <n v="118.900503206948"/>
    <n v="43398.683670535902"/>
    <n v="156235.26121392901"/>
  </r>
  <r>
    <x v="0"/>
    <x v="0"/>
    <x v="0"/>
    <x v="8"/>
    <x v="18"/>
    <s v="SE3_OTHER"/>
    <x v="2"/>
    <s v="GHOB_MUNIWASTE"/>
    <x v="0"/>
    <x v="17"/>
    <n v="118.900503206948"/>
    <n v="43398.683670535902"/>
    <n v="156235.26121392901"/>
  </r>
  <r>
    <x v="0"/>
    <x v="0"/>
    <x v="0"/>
    <x v="8"/>
    <x v="18"/>
    <s v="SE3_OTHER"/>
    <x v="2"/>
    <s v="GHOB_MUNIWASTE"/>
    <x v="0"/>
    <x v="18"/>
    <n v="118.900503206948"/>
    <n v="43398.683670535902"/>
    <n v="156235.26121392901"/>
  </r>
  <r>
    <x v="0"/>
    <x v="0"/>
    <x v="0"/>
    <x v="8"/>
    <x v="18"/>
    <s v="SE3_OTHER"/>
    <x v="2"/>
    <s v="GHOB_MUNIWASTE"/>
    <x v="0"/>
    <x v="19"/>
    <n v="118.900503206948"/>
    <n v="43398.683670535902"/>
    <n v="156235.26121392901"/>
  </r>
  <r>
    <x v="0"/>
    <x v="0"/>
    <x v="0"/>
    <x v="8"/>
    <x v="18"/>
    <s v="SE3_OTHER"/>
    <x v="2"/>
    <s v="GHOB_MUNIWASTE"/>
    <x v="0"/>
    <x v="20"/>
    <n v="118.900503206948"/>
    <n v="43398.683670535902"/>
    <n v="156235.26121392901"/>
  </r>
  <r>
    <x v="0"/>
    <x v="0"/>
    <x v="0"/>
    <x v="8"/>
    <x v="18"/>
    <s v="SE3_OTHER"/>
    <x v="2"/>
    <s v="GHOB_MUNIWASTE"/>
    <x v="0"/>
    <x v="21"/>
    <n v="118.900503206948"/>
    <n v="43398.683670535902"/>
    <n v="156235.26121392901"/>
  </r>
  <r>
    <x v="0"/>
    <x v="0"/>
    <x v="0"/>
    <x v="8"/>
    <x v="18"/>
    <s v="SE3_OTHER"/>
    <x v="2"/>
    <s v="GHOB_MUNIWASTE"/>
    <x v="0"/>
    <x v="22"/>
    <n v="118.900503206948"/>
    <n v="43398.683670535902"/>
    <n v="156235.26121392901"/>
  </r>
  <r>
    <x v="0"/>
    <x v="0"/>
    <x v="0"/>
    <x v="8"/>
    <x v="18"/>
    <s v="SE3_OTHER"/>
    <x v="2"/>
    <s v="GHOB_MUNIWASTE"/>
    <x v="0"/>
    <x v="23"/>
    <n v="118.900503206948"/>
    <n v="43398.683670535902"/>
    <n v="156235.26121392901"/>
  </r>
  <r>
    <x v="0"/>
    <x v="0"/>
    <x v="0"/>
    <x v="8"/>
    <x v="18"/>
    <s v="SE3_OTHER"/>
    <x v="17"/>
    <s v="GBPR_RECYCLEDWOOD_SE3OTHER"/>
    <x v="0"/>
    <x v="6"/>
    <n v="124.642377910889"/>
    <n v="45494.467937474597"/>
    <n v="163780.08457490901"/>
  </r>
  <r>
    <x v="0"/>
    <x v="0"/>
    <x v="0"/>
    <x v="8"/>
    <x v="18"/>
    <s v="SE3_OTHER"/>
    <x v="17"/>
    <s v="GBPR_RECYCLEDWOOD_SE3OTHER"/>
    <x v="0"/>
    <x v="7"/>
    <n v="124.642377910889"/>
    <n v="45494.467937474597"/>
    <n v="163780.08457490901"/>
  </r>
  <r>
    <x v="0"/>
    <x v="0"/>
    <x v="0"/>
    <x v="8"/>
    <x v="18"/>
    <s v="SE3_OTHER"/>
    <x v="17"/>
    <s v="GBPR_RECYCLEDWOOD_SE3OTHER"/>
    <x v="0"/>
    <x v="8"/>
    <n v="124.642377910889"/>
    <n v="45494.467937474597"/>
    <n v="163780.08457490901"/>
  </r>
  <r>
    <x v="0"/>
    <x v="0"/>
    <x v="0"/>
    <x v="8"/>
    <x v="18"/>
    <s v="SE3_OTHER"/>
    <x v="17"/>
    <s v="GBPR_RECYCLEDWOOD_SE3OTHER"/>
    <x v="0"/>
    <x v="9"/>
    <n v="124.642377910889"/>
    <n v="45494.467937474597"/>
    <n v="163780.08457490901"/>
  </r>
  <r>
    <x v="0"/>
    <x v="0"/>
    <x v="0"/>
    <x v="8"/>
    <x v="18"/>
    <s v="SE3_OTHER"/>
    <x v="17"/>
    <s v="GBPR_RECYCLEDWOOD_SE3OTHER"/>
    <x v="0"/>
    <x v="10"/>
    <n v="124.642377910889"/>
    <n v="45494.467937474597"/>
    <n v="163780.08457490901"/>
  </r>
  <r>
    <x v="0"/>
    <x v="0"/>
    <x v="0"/>
    <x v="8"/>
    <x v="18"/>
    <s v="SE3_OTHER"/>
    <x v="17"/>
    <s v="GBPR_RECYCLEDWOOD_SE3OTHER"/>
    <x v="0"/>
    <x v="11"/>
    <n v="124.642377910889"/>
    <n v="45494.467937474597"/>
    <n v="163780.08457490901"/>
  </r>
  <r>
    <x v="0"/>
    <x v="0"/>
    <x v="0"/>
    <x v="8"/>
    <x v="18"/>
    <s v="SE3_OTHER"/>
    <x v="17"/>
    <s v="GBPR_RECYCLEDWOOD_SE3OTHER"/>
    <x v="0"/>
    <x v="0"/>
    <n v="124.642377910889"/>
    <n v="45494.467937474597"/>
    <n v="163780.08457490901"/>
  </r>
  <r>
    <x v="0"/>
    <x v="0"/>
    <x v="0"/>
    <x v="8"/>
    <x v="18"/>
    <s v="SE3_OTHER"/>
    <x v="17"/>
    <s v="GBPR_RECYCLEDWOOD_SE3OTHER"/>
    <x v="0"/>
    <x v="1"/>
    <n v="124.642377910889"/>
    <n v="45494.467937474597"/>
    <n v="163780.08457490901"/>
  </r>
  <r>
    <x v="0"/>
    <x v="0"/>
    <x v="0"/>
    <x v="8"/>
    <x v="18"/>
    <s v="SE3_OTHER"/>
    <x v="17"/>
    <s v="GBPR_RECYCLEDWOOD_SE3OTHER"/>
    <x v="0"/>
    <x v="2"/>
    <n v="124.642377910889"/>
    <n v="45494.467937474597"/>
    <n v="163780.08457490901"/>
  </r>
  <r>
    <x v="0"/>
    <x v="0"/>
    <x v="0"/>
    <x v="8"/>
    <x v="18"/>
    <s v="SE3_OTHER"/>
    <x v="17"/>
    <s v="GBPR_RECYCLEDWOOD_SE3OTHER"/>
    <x v="0"/>
    <x v="3"/>
    <n v="124.642377910889"/>
    <n v="45494.467937474597"/>
    <n v="163780.08457490901"/>
  </r>
  <r>
    <x v="0"/>
    <x v="0"/>
    <x v="0"/>
    <x v="8"/>
    <x v="18"/>
    <s v="SE3_OTHER"/>
    <x v="17"/>
    <s v="GBPR_RECYCLEDWOOD_SE3OTHER"/>
    <x v="0"/>
    <x v="12"/>
    <n v="124.642377910889"/>
    <n v="45494.467937474597"/>
    <n v="163780.08457490901"/>
  </r>
  <r>
    <x v="0"/>
    <x v="0"/>
    <x v="0"/>
    <x v="8"/>
    <x v="18"/>
    <s v="SE3_OTHER"/>
    <x v="17"/>
    <s v="GBPR_RECYCLEDWOOD_SE3OTHER"/>
    <x v="0"/>
    <x v="13"/>
    <n v="124.642377910889"/>
    <n v="45494.467937474597"/>
    <n v="163780.08457490901"/>
  </r>
  <r>
    <x v="0"/>
    <x v="0"/>
    <x v="0"/>
    <x v="8"/>
    <x v="18"/>
    <s v="SE3_OTHER"/>
    <x v="17"/>
    <s v="GBPR_RECYCLEDWOOD_SE3OTHER"/>
    <x v="0"/>
    <x v="14"/>
    <n v="124.642377910889"/>
    <n v="45494.467937474597"/>
    <n v="163780.08457490901"/>
  </r>
  <r>
    <x v="0"/>
    <x v="0"/>
    <x v="0"/>
    <x v="8"/>
    <x v="18"/>
    <s v="SE3_OTHER"/>
    <x v="17"/>
    <s v="GBPR_RECYCLEDWOOD_SE3OTHER"/>
    <x v="0"/>
    <x v="15"/>
    <n v="124.642377910889"/>
    <n v="45494.467937474597"/>
    <n v="163780.08457490901"/>
  </r>
  <r>
    <x v="0"/>
    <x v="0"/>
    <x v="0"/>
    <x v="8"/>
    <x v="18"/>
    <s v="SE3_OTHER"/>
    <x v="17"/>
    <s v="GBPR_RECYCLEDWOOD_SE3OTHER"/>
    <x v="0"/>
    <x v="4"/>
    <n v="124.642377910889"/>
    <n v="45494.467937474597"/>
    <n v="163780.08457490901"/>
  </r>
  <r>
    <x v="0"/>
    <x v="0"/>
    <x v="0"/>
    <x v="8"/>
    <x v="18"/>
    <s v="SE3_OTHER"/>
    <x v="17"/>
    <s v="GBPR_RECYCLEDWOOD_SE3OTHER"/>
    <x v="0"/>
    <x v="16"/>
    <n v="124.642377910889"/>
    <n v="45494.467937474597"/>
    <n v="163780.08457490901"/>
  </r>
  <r>
    <x v="0"/>
    <x v="0"/>
    <x v="0"/>
    <x v="8"/>
    <x v="18"/>
    <s v="SE3_OTHER"/>
    <x v="17"/>
    <s v="GBPR_RECYCLEDWOOD_SE3OTHER"/>
    <x v="0"/>
    <x v="5"/>
    <n v="124.642377910889"/>
    <n v="45494.467937474597"/>
    <n v="163780.08457490901"/>
  </r>
  <r>
    <x v="0"/>
    <x v="0"/>
    <x v="0"/>
    <x v="8"/>
    <x v="18"/>
    <s v="SE3_OTHER"/>
    <x v="17"/>
    <s v="GBPR_RECYCLEDWOOD_SE3OTHER"/>
    <x v="0"/>
    <x v="17"/>
    <n v="124.642377910889"/>
    <n v="45494.467937474597"/>
    <n v="163780.08457490901"/>
  </r>
  <r>
    <x v="0"/>
    <x v="0"/>
    <x v="0"/>
    <x v="8"/>
    <x v="18"/>
    <s v="SE3_OTHER"/>
    <x v="17"/>
    <s v="GBPR_RECYCLEDWOOD_SE3OTHER"/>
    <x v="0"/>
    <x v="18"/>
    <n v="124.642377910889"/>
    <n v="45494.467937474597"/>
    <n v="163780.08457490901"/>
  </r>
  <r>
    <x v="0"/>
    <x v="0"/>
    <x v="0"/>
    <x v="8"/>
    <x v="18"/>
    <s v="SE3_OTHER"/>
    <x v="17"/>
    <s v="GBPR_RECYCLEDWOOD_SE3OTHER"/>
    <x v="0"/>
    <x v="19"/>
    <n v="124.642377910889"/>
    <n v="45494.467937474597"/>
    <n v="163780.08457490901"/>
  </r>
  <r>
    <x v="0"/>
    <x v="0"/>
    <x v="0"/>
    <x v="8"/>
    <x v="18"/>
    <s v="SE3_OTHER"/>
    <x v="17"/>
    <s v="GBPR_RECYCLEDWOOD_SE3OTHER"/>
    <x v="0"/>
    <x v="20"/>
    <n v="124.642377910889"/>
    <n v="45494.467937474597"/>
    <n v="163780.08457490901"/>
  </r>
  <r>
    <x v="0"/>
    <x v="0"/>
    <x v="0"/>
    <x v="8"/>
    <x v="18"/>
    <s v="SE3_OTHER"/>
    <x v="17"/>
    <s v="GBPR_RECYCLEDWOOD_SE3OTHER"/>
    <x v="0"/>
    <x v="21"/>
    <n v="124.642377910889"/>
    <n v="45494.467937474597"/>
    <n v="163780.08457490901"/>
  </r>
  <r>
    <x v="0"/>
    <x v="0"/>
    <x v="0"/>
    <x v="8"/>
    <x v="18"/>
    <s v="SE3_OTHER"/>
    <x v="17"/>
    <s v="GBPR_RECYCLEDWOOD_SE3OTHER"/>
    <x v="0"/>
    <x v="22"/>
    <n v="124.642377910889"/>
    <n v="45494.467937474597"/>
    <n v="163780.08457490901"/>
  </r>
  <r>
    <x v="0"/>
    <x v="0"/>
    <x v="0"/>
    <x v="8"/>
    <x v="18"/>
    <s v="SE3_OTHER"/>
    <x v="17"/>
    <s v="GBPR_RECYCLEDWOOD_SE3OTHER"/>
    <x v="0"/>
    <x v="23"/>
    <n v="124.642377910889"/>
    <n v="45494.467937474597"/>
    <n v="163780.08457490901"/>
  </r>
  <r>
    <x v="0"/>
    <x v="0"/>
    <x v="0"/>
    <x v="8"/>
    <x v="18"/>
    <s v="SE3_OTHER"/>
    <x v="5"/>
    <s v="GHOB_WASTEHEAT"/>
    <x v="0"/>
    <x v="6"/>
    <n v="135.051739926739"/>
    <n v="49293.885073259902"/>
    <n v="177457.98626373601"/>
  </r>
  <r>
    <x v="0"/>
    <x v="0"/>
    <x v="0"/>
    <x v="8"/>
    <x v="18"/>
    <s v="SE3_OTHER"/>
    <x v="5"/>
    <s v="GHOB_WASTEHEAT"/>
    <x v="0"/>
    <x v="7"/>
    <n v="135.051739926739"/>
    <n v="49293.885073259902"/>
    <n v="177457.98626373601"/>
  </r>
  <r>
    <x v="0"/>
    <x v="0"/>
    <x v="0"/>
    <x v="8"/>
    <x v="18"/>
    <s v="SE3_OTHER"/>
    <x v="5"/>
    <s v="GHOB_WASTEHEAT"/>
    <x v="0"/>
    <x v="8"/>
    <n v="135.051739926739"/>
    <n v="49293.885073259902"/>
    <n v="177457.98626373601"/>
  </r>
  <r>
    <x v="0"/>
    <x v="0"/>
    <x v="0"/>
    <x v="8"/>
    <x v="18"/>
    <s v="SE3_OTHER"/>
    <x v="5"/>
    <s v="GHOB_WASTEHEAT"/>
    <x v="0"/>
    <x v="9"/>
    <n v="135.051739926739"/>
    <n v="49293.885073259902"/>
    <n v="177457.98626373601"/>
  </r>
  <r>
    <x v="0"/>
    <x v="0"/>
    <x v="0"/>
    <x v="8"/>
    <x v="18"/>
    <s v="SE3_OTHER"/>
    <x v="5"/>
    <s v="GHOB_WASTEHEAT"/>
    <x v="0"/>
    <x v="10"/>
    <n v="135.051739926739"/>
    <n v="49293.885073259902"/>
    <n v="177457.98626373601"/>
  </r>
  <r>
    <x v="0"/>
    <x v="0"/>
    <x v="0"/>
    <x v="8"/>
    <x v="18"/>
    <s v="SE3_OTHER"/>
    <x v="5"/>
    <s v="GHOB_WASTEHEAT"/>
    <x v="0"/>
    <x v="11"/>
    <n v="135.051739926739"/>
    <n v="49293.885073259902"/>
    <n v="177457.98626373601"/>
  </r>
  <r>
    <x v="0"/>
    <x v="0"/>
    <x v="0"/>
    <x v="8"/>
    <x v="18"/>
    <s v="SE3_OTHER"/>
    <x v="5"/>
    <s v="GHOB_WASTEHEAT"/>
    <x v="0"/>
    <x v="0"/>
    <n v="135.051739926739"/>
    <n v="49293.885073259902"/>
    <n v="177457.98626373601"/>
  </r>
  <r>
    <x v="0"/>
    <x v="0"/>
    <x v="0"/>
    <x v="8"/>
    <x v="18"/>
    <s v="SE3_OTHER"/>
    <x v="5"/>
    <s v="GHOB_WASTEHEAT"/>
    <x v="0"/>
    <x v="1"/>
    <n v="135.051739926739"/>
    <n v="49293.885073259902"/>
    <n v="177457.98626373601"/>
  </r>
  <r>
    <x v="0"/>
    <x v="0"/>
    <x v="0"/>
    <x v="8"/>
    <x v="18"/>
    <s v="SE3_OTHER"/>
    <x v="5"/>
    <s v="GHOB_WASTEHEAT"/>
    <x v="0"/>
    <x v="2"/>
    <n v="135.051739926739"/>
    <n v="49293.885073259902"/>
    <n v="177457.98626373601"/>
  </r>
  <r>
    <x v="0"/>
    <x v="0"/>
    <x v="0"/>
    <x v="8"/>
    <x v="18"/>
    <s v="SE3_OTHER"/>
    <x v="5"/>
    <s v="GHOB_WASTEHEAT"/>
    <x v="0"/>
    <x v="3"/>
    <n v="135.051739926739"/>
    <n v="49293.885073259902"/>
    <n v="177457.98626373601"/>
  </r>
  <r>
    <x v="0"/>
    <x v="0"/>
    <x v="0"/>
    <x v="8"/>
    <x v="18"/>
    <s v="SE3_OTHER"/>
    <x v="5"/>
    <s v="GHOB_WASTEHEAT"/>
    <x v="0"/>
    <x v="12"/>
    <n v="135.051739926739"/>
    <n v="49293.885073259902"/>
    <n v="177457.98626373601"/>
  </r>
  <r>
    <x v="0"/>
    <x v="0"/>
    <x v="0"/>
    <x v="8"/>
    <x v="18"/>
    <s v="SE3_OTHER"/>
    <x v="5"/>
    <s v="GHOB_WASTEHEAT"/>
    <x v="0"/>
    <x v="13"/>
    <n v="135.051739926739"/>
    <n v="49293.885073259902"/>
    <n v="177457.98626373601"/>
  </r>
  <r>
    <x v="0"/>
    <x v="0"/>
    <x v="0"/>
    <x v="8"/>
    <x v="18"/>
    <s v="SE3_OTHER"/>
    <x v="5"/>
    <s v="GHOB_WASTEHEAT"/>
    <x v="0"/>
    <x v="14"/>
    <n v="135.051739926739"/>
    <n v="49293.885073259902"/>
    <n v="177457.98626373601"/>
  </r>
  <r>
    <x v="0"/>
    <x v="0"/>
    <x v="0"/>
    <x v="8"/>
    <x v="18"/>
    <s v="SE3_OTHER"/>
    <x v="5"/>
    <s v="GHOB_WASTEHEAT"/>
    <x v="0"/>
    <x v="15"/>
    <n v="135.051739926739"/>
    <n v="49293.885073259902"/>
    <n v="177457.98626373601"/>
  </r>
  <r>
    <x v="0"/>
    <x v="0"/>
    <x v="0"/>
    <x v="8"/>
    <x v="18"/>
    <s v="SE3_OTHER"/>
    <x v="5"/>
    <s v="GHOB_WASTEHEAT"/>
    <x v="0"/>
    <x v="4"/>
    <n v="135.051739926739"/>
    <n v="49293.885073259902"/>
    <n v="177457.98626373601"/>
  </r>
  <r>
    <x v="0"/>
    <x v="0"/>
    <x v="0"/>
    <x v="8"/>
    <x v="18"/>
    <s v="SE3_OTHER"/>
    <x v="5"/>
    <s v="GHOB_WASTEHEAT"/>
    <x v="0"/>
    <x v="16"/>
    <n v="135.051739926739"/>
    <n v="49293.885073259902"/>
    <n v="177457.98626373601"/>
  </r>
  <r>
    <x v="0"/>
    <x v="0"/>
    <x v="0"/>
    <x v="8"/>
    <x v="18"/>
    <s v="SE3_OTHER"/>
    <x v="5"/>
    <s v="GHOB_WASTEHEAT"/>
    <x v="0"/>
    <x v="5"/>
    <n v="135.051739926739"/>
    <n v="49293.885073259902"/>
    <n v="177457.98626373601"/>
  </r>
  <r>
    <x v="0"/>
    <x v="0"/>
    <x v="0"/>
    <x v="8"/>
    <x v="18"/>
    <s v="SE3_OTHER"/>
    <x v="5"/>
    <s v="GHOB_WASTEHEAT"/>
    <x v="0"/>
    <x v="17"/>
    <n v="135.051739926739"/>
    <n v="49293.885073259902"/>
    <n v="177457.98626373601"/>
  </r>
  <r>
    <x v="0"/>
    <x v="0"/>
    <x v="0"/>
    <x v="8"/>
    <x v="18"/>
    <s v="SE3_OTHER"/>
    <x v="5"/>
    <s v="GHOB_WASTEHEAT"/>
    <x v="0"/>
    <x v="18"/>
    <n v="135.051739926739"/>
    <n v="49293.885073259902"/>
    <n v="177457.98626373601"/>
  </r>
  <r>
    <x v="0"/>
    <x v="0"/>
    <x v="0"/>
    <x v="8"/>
    <x v="18"/>
    <s v="SE3_OTHER"/>
    <x v="5"/>
    <s v="GHOB_WASTEHEAT"/>
    <x v="0"/>
    <x v="19"/>
    <n v="135.051739926739"/>
    <n v="49293.885073259902"/>
    <n v="177457.98626373601"/>
  </r>
  <r>
    <x v="0"/>
    <x v="0"/>
    <x v="0"/>
    <x v="8"/>
    <x v="18"/>
    <s v="SE3_OTHER"/>
    <x v="5"/>
    <s v="GHOB_WASTEHEAT"/>
    <x v="0"/>
    <x v="20"/>
    <n v="135.051739926739"/>
    <n v="49293.885073259902"/>
    <n v="177457.98626373601"/>
  </r>
  <r>
    <x v="0"/>
    <x v="0"/>
    <x v="0"/>
    <x v="8"/>
    <x v="18"/>
    <s v="SE3_OTHER"/>
    <x v="5"/>
    <s v="GHOB_WASTEHEAT"/>
    <x v="0"/>
    <x v="21"/>
    <n v="135.051739926739"/>
    <n v="49293.885073259902"/>
    <n v="177457.98626373601"/>
  </r>
  <r>
    <x v="0"/>
    <x v="0"/>
    <x v="0"/>
    <x v="8"/>
    <x v="18"/>
    <s v="SE3_OTHER"/>
    <x v="5"/>
    <s v="GHOB_WASTEHEAT"/>
    <x v="0"/>
    <x v="22"/>
    <n v="135.051739926739"/>
    <n v="49293.885073259902"/>
    <n v="177457.98626373601"/>
  </r>
  <r>
    <x v="0"/>
    <x v="0"/>
    <x v="0"/>
    <x v="8"/>
    <x v="18"/>
    <s v="SE3_OTHER"/>
    <x v="5"/>
    <s v="GHOB_WASTEHEAT"/>
    <x v="0"/>
    <x v="23"/>
    <n v="135.051739926739"/>
    <n v="49293.885073259902"/>
    <n v="177457.98626373601"/>
  </r>
  <r>
    <x v="0"/>
    <x v="0"/>
    <x v="0"/>
    <x v="8"/>
    <x v="18"/>
    <s v="SE3_OTHER"/>
    <x v="6"/>
    <s v="GBPR_WOODCHIPS_37"/>
    <x v="0"/>
    <x v="0"/>
    <n v="85.319935024729702"/>
    <n v="31141.7762840264"/>
    <n v="112110.39462249501"/>
  </r>
  <r>
    <x v="0"/>
    <x v="0"/>
    <x v="0"/>
    <x v="8"/>
    <x v="18"/>
    <s v="SE3_OTHER"/>
    <x v="6"/>
    <s v="GBPR_WOODCHIPS_37"/>
    <x v="0"/>
    <x v="1"/>
    <n v="102.146144743693"/>
    <n v="37283.342831447902"/>
    <n v="134220.03419321199"/>
  </r>
  <r>
    <x v="0"/>
    <x v="0"/>
    <x v="0"/>
    <x v="8"/>
    <x v="18"/>
    <s v="SE3_OTHER"/>
    <x v="6"/>
    <s v="GBPR_WOODCHIPS_37"/>
    <x v="0"/>
    <x v="2"/>
    <n v="102.146144743693"/>
    <n v="37283.342831447902"/>
    <n v="134220.03419321199"/>
  </r>
  <r>
    <x v="0"/>
    <x v="0"/>
    <x v="0"/>
    <x v="8"/>
    <x v="18"/>
    <s v="SE3_OTHER"/>
    <x v="6"/>
    <s v="GBPR_WOODCHIPS_37"/>
    <x v="0"/>
    <x v="3"/>
    <n v="102.146144743693"/>
    <n v="37283.342831447902"/>
    <n v="134220.03419321199"/>
  </r>
  <r>
    <x v="0"/>
    <x v="0"/>
    <x v="0"/>
    <x v="8"/>
    <x v="18"/>
    <s v="SE3_OTHER"/>
    <x v="6"/>
    <s v="GBPR_WOODCHIPS_37"/>
    <x v="0"/>
    <x v="12"/>
    <n v="102.146144743693"/>
    <n v="37283.342831447902"/>
    <n v="134220.03419321199"/>
  </r>
  <r>
    <x v="0"/>
    <x v="0"/>
    <x v="0"/>
    <x v="8"/>
    <x v="18"/>
    <s v="SE3_OTHER"/>
    <x v="6"/>
    <s v="GBPR_WOODCHIPS_37"/>
    <x v="0"/>
    <x v="13"/>
    <n v="102.146144743693"/>
    <n v="37283.342831447902"/>
    <n v="134220.03419321199"/>
  </r>
  <r>
    <x v="0"/>
    <x v="0"/>
    <x v="0"/>
    <x v="8"/>
    <x v="18"/>
    <s v="SE3_OTHER"/>
    <x v="6"/>
    <s v="GBPR_WOODCHIPS_37"/>
    <x v="0"/>
    <x v="14"/>
    <n v="28.432021222983199"/>
    <n v="10377.6877463889"/>
    <n v="37359.675886999903"/>
  </r>
  <r>
    <x v="0"/>
    <x v="0"/>
    <x v="0"/>
    <x v="8"/>
    <x v="18"/>
    <s v="SE3_OTHER"/>
    <x v="6"/>
    <s v="GBPR_WOODCHIPS_37"/>
    <x v="0"/>
    <x v="15"/>
    <n v="4.2551195711727097"/>
    <n v="1553.11864347804"/>
    <n v="5591.2271165209404"/>
  </r>
  <r>
    <x v="0"/>
    <x v="0"/>
    <x v="0"/>
    <x v="8"/>
    <x v="18"/>
    <s v="SE3_OTHER"/>
    <x v="8"/>
    <s v="GBPR_WOODWASTE_25"/>
    <x v="0"/>
    <x v="6"/>
    <n v="597.44325120840597"/>
    <n v="218066.786691068"/>
    <n v="785040.43208784598"/>
  </r>
  <r>
    <x v="0"/>
    <x v="0"/>
    <x v="0"/>
    <x v="8"/>
    <x v="18"/>
    <s v="SE3_OTHER"/>
    <x v="8"/>
    <s v="GBPR_WOODWASTE_25"/>
    <x v="0"/>
    <x v="7"/>
    <n v="597.44325120840597"/>
    <n v="218066.786691068"/>
    <n v="785040.43208784598"/>
  </r>
  <r>
    <x v="0"/>
    <x v="0"/>
    <x v="0"/>
    <x v="8"/>
    <x v="18"/>
    <s v="SE3_OTHER"/>
    <x v="8"/>
    <s v="GBPR_WOODWASTE_25"/>
    <x v="0"/>
    <x v="8"/>
    <n v="597.44325120840597"/>
    <n v="218066.786691068"/>
    <n v="785040.43208784598"/>
  </r>
  <r>
    <x v="0"/>
    <x v="0"/>
    <x v="0"/>
    <x v="8"/>
    <x v="18"/>
    <s v="SE3_OTHER"/>
    <x v="8"/>
    <s v="GBPR_WOODWASTE_25"/>
    <x v="0"/>
    <x v="9"/>
    <n v="597.44325120840597"/>
    <n v="218066.786691068"/>
    <n v="785040.43208784598"/>
  </r>
  <r>
    <x v="0"/>
    <x v="0"/>
    <x v="0"/>
    <x v="8"/>
    <x v="18"/>
    <s v="SE3_OTHER"/>
    <x v="8"/>
    <s v="GBPR_WOODWASTE_25"/>
    <x v="0"/>
    <x v="10"/>
    <n v="597.44325120840597"/>
    <n v="218066.786691068"/>
    <n v="785040.43208784598"/>
  </r>
  <r>
    <x v="0"/>
    <x v="0"/>
    <x v="0"/>
    <x v="8"/>
    <x v="18"/>
    <s v="SE3_OTHER"/>
    <x v="8"/>
    <s v="GBPR_WOODWASTE_25"/>
    <x v="0"/>
    <x v="11"/>
    <n v="597.44325120840597"/>
    <n v="218066.786691068"/>
    <n v="785040.43208784598"/>
  </r>
  <r>
    <x v="0"/>
    <x v="0"/>
    <x v="0"/>
    <x v="8"/>
    <x v="18"/>
    <s v="SE3_OTHER"/>
    <x v="8"/>
    <s v="GBPR_WOODWASTE_25"/>
    <x v="0"/>
    <x v="0"/>
    <n v="597.44325120840597"/>
    <n v="218066.786691068"/>
    <n v="785040.43208784598"/>
  </r>
  <r>
    <x v="0"/>
    <x v="0"/>
    <x v="0"/>
    <x v="8"/>
    <x v="18"/>
    <s v="SE3_OTHER"/>
    <x v="8"/>
    <s v="GBPR_WOODWASTE_25"/>
    <x v="0"/>
    <x v="1"/>
    <n v="597.44325120840597"/>
    <n v="218066.786691068"/>
    <n v="785040.43208784598"/>
  </r>
  <r>
    <x v="0"/>
    <x v="0"/>
    <x v="0"/>
    <x v="8"/>
    <x v="18"/>
    <s v="SE3_OTHER"/>
    <x v="8"/>
    <s v="GBPR_WOODWASTE_25"/>
    <x v="0"/>
    <x v="2"/>
    <n v="597.44325120840597"/>
    <n v="218066.786691068"/>
    <n v="785040.43208784598"/>
  </r>
  <r>
    <x v="0"/>
    <x v="0"/>
    <x v="0"/>
    <x v="8"/>
    <x v="18"/>
    <s v="SE3_OTHER"/>
    <x v="8"/>
    <s v="GBPR_WOODWASTE_25"/>
    <x v="0"/>
    <x v="3"/>
    <n v="597.44325120840597"/>
    <n v="218066.786691068"/>
    <n v="785040.43208784598"/>
  </r>
  <r>
    <x v="0"/>
    <x v="0"/>
    <x v="0"/>
    <x v="8"/>
    <x v="18"/>
    <s v="SE3_OTHER"/>
    <x v="8"/>
    <s v="GBPR_WOODWASTE_25"/>
    <x v="0"/>
    <x v="12"/>
    <n v="597.44325120840597"/>
    <n v="218066.786691068"/>
    <n v="785040.43208784598"/>
  </r>
  <r>
    <x v="0"/>
    <x v="0"/>
    <x v="0"/>
    <x v="8"/>
    <x v="18"/>
    <s v="SE3_OTHER"/>
    <x v="8"/>
    <s v="GBPR_WOODWASTE_25"/>
    <x v="0"/>
    <x v="13"/>
    <n v="597.44325120840597"/>
    <n v="218066.786691068"/>
    <n v="785040.43208784598"/>
  </r>
  <r>
    <x v="0"/>
    <x v="0"/>
    <x v="0"/>
    <x v="8"/>
    <x v="18"/>
    <s v="SE3_OTHER"/>
    <x v="8"/>
    <s v="GBPR_WOODWASTE_25"/>
    <x v="0"/>
    <x v="14"/>
    <n v="597.44325120840597"/>
    <n v="218066.786691068"/>
    <n v="785040.43208784598"/>
  </r>
  <r>
    <x v="0"/>
    <x v="0"/>
    <x v="0"/>
    <x v="8"/>
    <x v="18"/>
    <s v="SE3_OTHER"/>
    <x v="8"/>
    <s v="GBPR_WOODWASTE_25"/>
    <x v="0"/>
    <x v="15"/>
    <n v="597.44325120840597"/>
    <n v="218066.786691068"/>
    <n v="785040.43208784598"/>
  </r>
  <r>
    <x v="0"/>
    <x v="0"/>
    <x v="0"/>
    <x v="8"/>
    <x v="18"/>
    <s v="SE3_OTHER"/>
    <x v="8"/>
    <s v="GBPR_WOODWASTE_25"/>
    <x v="0"/>
    <x v="4"/>
    <n v="597.44325120840597"/>
    <n v="218066.786691068"/>
    <n v="785040.43208784598"/>
  </r>
  <r>
    <x v="0"/>
    <x v="0"/>
    <x v="0"/>
    <x v="8"/>
    <x v="18"/>
    <s v="SE3_OTHER"/>
    <x v="8"/>
    <s v="GBPR_WOODWASTE_25"/>
    <x v="0"/>
    <x v="16"/>
    <n v="597.44325120840597"/>
    <n v="218066.786691068"/>
    <n v="785040.43208784598"/>
  </r>
  <r>
    <x v="0"/>
    <x v="0"/>
    <x v="0"/>
    <x v="8"/>
    <x v="18"/>
    <s v="SE3_OTHER"/>
    <x v="8"/>
    <s v="GBPR_WOODWASTE_25"/>
    <x v="0"/>
    <x v="5"/>
    <n v="597.44325120840597"/>
    <n v="218066.786691068"/>
    <n v="785040.43208784598"/>
  </r>
  <r>
    <x v="0"/>
    <x v="0"/>
    <x v="0"/>
    <x v="8"/>
    <x v="18"/>
    <s v="SE3_OTHER"/>
    <x v="8"/>
    <s v="GBPR_WOODWASTE_25"/>
    <x v="0"/>
    <x v="17"/>
    <n v="597.44325120840597"/>
    <n v="218066.786691068"/>
    <n v="785040.43208784598"/>
  </r>
  <r>
    <x v="0"/>
    <x v="0"/>
    <x v="0"/>
    <x v="8"/>
    <x v="18"/>
    <s v="SE3_OTHER"/>
    <x v="8"/>
    <s v="GBPR_WOODWASTE_25"/>
    <x v="0"/>
    <x v="18"/>
    <n v="597.44325120840597"/>
    <n v="218066.786691068"/>
    <n v="785040.43208784598"/>
  </r>
  <r>
    <x v="0"/>
    <x v="0"/>
    <x v="0"/>
    <x v="8"/>
    <x v="18"/>
    <s v="SE3_OTHER"/>
    <x v="8"/>
    <s v="GBPR_WOODWASTE_25"/>
    <x v="0"/>
    <x v="19"/>
    <n v="597.44325120840597"/>
    <n v="218066.786691068"/>
    <n v="785040.43208784598"/>
  </r>
  <r>
    <x v="0"/>
    <x v="0"/>
    <x v="0"/>
    <x v="8"/>
    <x v="18"/>
    <s v="SE3_OTHER"/>
    <x v="8"/>
    <s v="GBPR_WOODWASTE_25"/>
    <x v="0"/>
    <x v="20"/>
    <n v="597.44325120840597"/>
    <n v="218066.786691068"/>
    <n v="785040.43208784598"/>
  </r>
  <r>
    <x v="0"/>
    <x v="0"/>
    <x v="0"/>
    <x v="8"/>
    <x v="18"/>
    <s v="SE3_OTHER"/>
    <x v="8"/>
    <s v="GBPR_WOODWASTE_25"/>
    <x v="0"/>
    <x v="21"/>
    <n v="597.44325120840597"/>
    <n v="218066.786691068"/>
    <n v="785040.43208784598"/>
  </r>
  <r>
    <x v="0"/>
    <x v="0"/>
    <x v="0"/>
    <x v="8"/>
    <x v="18"/>
    <s v="SE3_OTHER"/>
    <x v="8"/>
    <s v="GBPR_WOODWASTE_25"/>
    <x v="0"/>
    <x v="22"/>
    <n v="597.44325120840597"/>
    <n v="218066.786691068"/>
    <n v="785040.43208784598"/>
  </r>
  <r>
    <x v="0"/>
    <x v="0"/>
    <x v="0"/>
    <x v="8"/>
    <x v="18"/>
    <s v="SE3_OTHER"/>
    <x v="8"/>
    <s v="GBPR_WOODWASTE_25"/>
    <x v="0"/>
    <x v="23"/>
    <n v="597.44325120840597"/>
    <n v="218066.786691068"/>
    <n v="785040.43208784598"/>
  </r>
  <r>
    <x v="0"/>
    <x v="0"/>
    <x v="0"/>
    <x v="8"/>
    <x v="18"/>
    <s v="SE3_OTHER"/>
    <x v="8"/>
    <s v="GHOB_WOODWASTE"/>
    <x v="0"/>
    <x v="8"/>
    <n v="257.40688535586901"/>
    <n v="93953.513154892105"/>
    <n v="338232.64735761198"/>
  </r>
  <r>
    <x v="0"/>
    <x v="0"/>
    <x v="0"/>
    <x v="8"/>
    <x v="18"/>
    <s v="SE3_OTHER"/>
    <x v="8"/>
    <s v="GHOB_WOODWASTE"/>
    <x v="0"/>
    <x v="9"/>
    <n v="29.880573208687998"/>
    <n v="10906.409221171099"/>
    <n v="39263.073196216101"/>
  </r>
  <r>
    <x v="0"/>
    <x v="0"/>
    <x v="0"/>
    <x v="8"/>
    <x v="18"/>
    <s v="SE3_OTHER"/>
    <x v="8"/>
    <s v="GHOB_WOODWASTE"/>
    <x v="0"/>
    <x v="10"/>
    <n v="121.426207443702"/>
    <n v="44320.565716951402"/>
    <n v="159554.03658102499"/>
  </r>
  <r>
    <x v="0"/>
    <x v="0"/>
    <x v="0"/>
    <x v="8"/>
    <x v="18"/>
    <s v="SE3_OTHER"/>
    <x v="8"/>
    <s v="GHOB_WOODWASTE"/>
    <x v="0"/>
    <x v="11"/>
    <n v="247.948580379806"/>
    <n v="90501.231838628999"/>
    <n v="325804.43461906502"/>
  </r>
  <r>
    <x v="0"/>
    <x v="0"/>
    <x v="0"/>
    <x v="8"/>
    <x v="18"/>
    <s v="SE3_OTHER"/>
    <x v="8"/>
    <s v="GHOB_WOODWASTE"/>
    <x v="0"/>
    <x v="0"/>
    <n v="398.43782963222401"/>
    <n v="145429.807815762"/>
    <n v="523547.30813674198"/>
  </r>
  <r>
    <x v="0"/>
    <x v="0"/>
    <x v="0"/>
    <x v="8"/>
    <x v="18"/>
    <s v="SE3_OTHER"/>
    <x v="8"/>
    <s v="GHOB_WOODWASTE"/>
    <x v="0"/>
    <x v="1"/>
    <n v="398.43782963222401"/>
    <n v="145429.807815762"/>
    <n v="523547.30813674198"/>
  </r>
  <r>
    <x v="0"/>
    <x v="0"/>
    <x v="0"/>
    <x v="8"/>
    <x v="18"/>
    <s v="SE3_OTHER"/>
    <x v="8"/>
    <s v="GHOB_WOODWASTE"/>
    <x v="0"/>
    <x v="2"/>
    <n v="398.43782963222401"/>
    <n v="145429.807815762"/>
    <n v="523547.30813674198"/>
  </r>
  <r>
    <x v="0"/>
    <x v="0"/>
    <x v="0"/>
    <x v="8"/>
    <x v="18"/>
    <s v="SE3_OTHER"/>
    <x v="8"/>
    <s v="GHOB_WOODWASTE"/>
    <x v="0"/>
    <x v="3"/>
    <n v="398.43782963222401"/>
    <n v="145429.807815762"/>
    <n v="523547.30813674198"/>
  </r>
  <r>
    <x v="0"/>
    <x v="0"/>
    <x v="0"/>
    <x v="8"/>
    <x v="18"/>
    <s v="SE3_OTHER"/>
    <x v="8"/>
    <s v="GHOB_WOODWASTE"/>
    <x v="0"/>
    <x v="12"/>
    <n v="398.43782963222401"/>
    <n v="145429.807815762"/>
    <n v="523547.30813674198"/>
  </r>
  <r>
    <x v="0"/>
    <x v="0"/>
    <x v="0"/>
    <x v="8"/>
    <x v="18"/>
    <s v="SE3_OTHER"/>
    <x v="8"/>
    <s v="GHOB_WOODWASTE"/>
    <x v="0"/>
    <x v="13"/>
    <n v="398.43782963222401"/>
    <n v="145429.807815762"/>
    <n v="523547.30813674198"/>
  </r>
  <r>
    <x v="0"/>
    <x v="0"/>
    <x v="0"/>
    <x v="8"/>
    <x v="18"/>
    <s v="SE3_OTHER"/>
    <x v="8"/>
    <s v="GHOB_WOODWASTE"/>
    <x v="0"/>
    <x v="14"/>
    <n v="398.43782963222401"/>
    <n v="145429.807815762"/>
    <n v="523547.30813674198"/>
  </r>
  <r>
    <x v="0"/>
    <x v="0"/>
    <x v="0"/>
    <x v="8"/>
    <x v="18"/>
    <s v="SE3_OTHER"/>
    <x v="8"/>
    <s v="GHOB_WOODWASTE"/>
    <x v="0"/>
    <x v="15"/>
    <n v="398.43782963222401"/>
    <n v="145429.807815762"/>
    <n v="523547.30813674198"/>
  </r>
  <r>
    <x v="0"/>
    <x v="0"/>
    <x v="0"/>
    <x v="8"/>
    <x v="18"/>
    <s v="SE3_OTHER"/>
    <x v="8"/>
    <s v="GHOB_WOODWASTE"/>
    <x v="0"/>
    <x v="4"/>
    <n v="367.02671784764601"/>
    <n v="133964.75201439101"/>
    <n v="482273.107251807"/>
  </r>
  <r>
    <x v="0"/>
    <x v="0"/>
    <x v="0"/>
    <x v="8"/>
    <x v="18"/>
    <s v="SE3_OTHER"/>
    <x v="8"/>
    <s v="GHOB_WOODWASTE"/>
    <x v="0"/>
    <x v="16"/>
    <n v="352.91488400436299"/>
    <n v="128813.932661592"/>
    <n v="463730.15758173302"/>
  </r>
  <r>
    <x v="0"/>
    <x v="0"/>
    <x v="0"/>
    <x v="8"/>
    <x v="18"/>
    <s v="SE3_OTHER"/>
    <x v="8"/>
    <s v="GHOB_WOODWASTE"/>
    <x v="0"/>
    <x v="5"/>
    <n v="278.20100729630599"/>
    <n v="101543.36766315201"/>
    <n v="365556.123587346"/>
  </r>
  <r>
    <x v="0"/>
    <x v="0"/>
    <x v="0"/>
    <x v="8"/>
    <x v="18"/>
    <s v="SE3_OTHER"/>
    <x v="8"/>
    <s v="GHOB_WOODWASTE"/>
    <x v="0"/>
    <x v="17"/>
    <n v="210.19524295654099"/>
    <n v="76721.263679137497"/>
    <n v="276196.549244895"/>
  </r>
  <r>
    <x v="0"/>
    <x v="0"/>
    <x v="0"/>
    <x v="8"/>
    <x v="18"/>
    <s v="SE3_OTHER"/>
    <x v="8"/>
    <s v="GHOB_WOODWASTE"/>
    <x v="0"/>
    <x v="18"/>
    <n v="160.18517174377101"/>
    <n v="58467.587686476298"/>
    <n v="210483.31567131501"/>
  </r>
  <r>
    <x v="0"/>
    <x v="0"/>
    <x v="0"/>
    <x v="8"/>
    <x v="18"/>
    <s v="SE3_OTHER"/>
    <x v="8"/>
    <s v="GHOB_WOODWASTE"/>
    <x v="0"/>
    <x v="19"/>
    <n v="115.808163840958"/>
    <n v="42269.979801949703"/>
    <n v="152171.927287019"/>
  </r>
  <r>
    <x v="0"/>
    <x v="0"/>
    <x v="0"/>
    <x v="8"/>
    <x v="18"/>
    <s v="SE3_OTHER"/>
    <x v="8"/>
    <s v="GHOB_WOODWASTE"/>
    <x v="0"/>
    <x v="20"/>
    <n v="80.780121117430895"/>
    <n v="29484.744207862299"/>
    <n v="106145.07914830399"/>
  </r>
  <r>
    <x v="0"/>
    <x v="0"/>
    <x v="0"/>
    <x v="8"/>
    <x v="18"/>
    <s v="SE3_OTHER"/>
    <x v="8"/>
    <s v="GHOB_WOODWASTE"/>
    <x v="0"/>
    <x v="21"/>
    <n v="44.690294768746803"/>
    <n v="16311.957590592599"/>
    <n v="58723.047326133303"/>
  </r>
  <r>
    <x v="0"/>
    <x v="0"/>
    <x v="0"/>
    <x v="8"/>
    <x v="18"/>
    <s v="SE3_STO"/>
    <x v="0"/>
    <s v="GBPR_COAL_VARTAN"/>
    <x v="0"/>
    <x v="6"/>
    <n v="197.38412089750199"/>
    <n v="72045.204127588106"/>
    <n v="259362.73485931699"/>
  </r>
  <r>
    <x v="0"/>
    <x v="0"/>
    <x v="0"/>
    <x v="8"/>
    <x v="18"/>
    <s v="SE3_STO"/>
    <x v="0"/>
    <s v="GBPR_COAL_VARTAN"/>
    <x v="0"/>
    <x v="7"/>
    <n v="197.38412089750199"/>
    <n v="72045.204127588106"/>
    <n v="259362.73485931699"/>
  </r>
  <r>
    <x v="0"/>
    <x v="0"/>
    <x v="0"/>
    <x v="8"/>
    <x v="18"/>
    <s v="SE3_STO"/>
    <x v="0"/>
    <s v="GBPR_COAL_VARTAN"/>
    <x v="0"/>
    <x v="8"/>
    <n v="197.38412089750199"/>
    <n v="72045.204127588106"/>
    <n v="259362.73485931699"/>
  </r>
  <r>
    <x v="0"/>
    <x v="0"/>
    <x v="0"/>
    <x v="8"/>
    <x v="18"/>
    <s v="SE3_STO"/>
    <x v="0"/>
    <s v="GBPR_COAL_VARTAN"/>
    <x v="0"/>
    <x v="9"/>
    <n v="197.38412089750199"/>
    <n v="72045.204127588106"/>
    <n v="259362.73485931699"/>
  </r>
  <r>
    <x v="0"/>
    <x v="0"/>
    <x v="0"/>
    <x v="8"/>
    <x v="18"/>
    <s v="SE3_STO"/>
    <x v="0"/>
    <s v="GBPR_COAL_VARTAN"/>
    <x v="0"/>
    <x v="10"/>
    <n v="197.38412089750199"/>
    <n v="72045.204127588106"/>
    <n v="259362.73485931699"/>
  </r>
  <r>
    <x v="0"/>
    <x v="0"/>
    <x v="0"/>
    <x v="8"/>
    <x v="18"/>
    <s v="SE3_STO"/>
    <x v="0"/>
    <s v="GBPR_COAL_VARTAN"/>
    <x v="0"/>
    <x v="11"/>
    <n v="197.38412089750199"/>
    <n v="72045.204127588106"/>
    <n v="259362.73485931699"/>
  </r>
  <r>
    <x v="0"/>
    <x v="0"/>
    <x v="0"/>
    <x v="8"/>
    <x v="18"/>
    <s v="SE3_STO"/>
    <x v="0"/>
    <s v="GBPR_COAL_VARTAN"/>
    <x v="0"/>
    <x v="0"/>
    <n v="197.38412089750199"/>
    <n v="72045.204127588106"/>
    <n v="259362.73485931699"/>
  </r>
  <r>
    <x v="0"/>
    <x v="0"/>
    <x v="0"/>
    <x v="8"/>
    <x v="18"/>
    <s v="SE3_STO"/>
    <x v="0"/>
    <s v="GBPR_COAL_VARTAN"/>
    <x v="0"/>
    <x v="1"/>
    <n v="197.38412089750199"/>
    <n v="72045.204127588106"/>
    <n v="259362.73485931699"/>
  </r>
  <r>
    <x v="0"/>
    <x v="0"/>
    <x v="0"/>
    <x v="8"/>
    <x v="18"/>
    <s v="SE3_STO"/>
    <x v="0"/>
    <s v="GBPR_COAL_VARTAN"/>
    <x v="0"/>
    <x v="2"/>
    <n v="197.38412089750199"/>
    <n v="72045.204127588106"/>
    <n v="259362.73485931699"/>
  </r>
  <r>
    <x v="0"/>
    <x v="0"/>
    <x v="0"/>
    <x v="8"/>
    <x v="18"/>
    <s v="SE3_STO"/>
    <x v="0"/>
    <s v="GBPR_COAL_VARTAN"/>
    <x v="0"/>
    <x v="3"/>
    <n v="197.38412089750199"/>
    <n v="72045.204127588106"/>
    <n v="259362.73485931699"/>
  </r>
  <r>
    <x v="0"/>
    <x v="0"/>
    <x v="0"/>
    <x v="8"/>
    <x v="18"/>
    <s v="SE3_STO"/>
    <x v="0"/>
    <s v="GBPR_COAL_VARTAN"/>
    <x v="0"/>
    <x v="12"/>
    <n v="197.38412089750199"/>
    <n v="72045.204127588106"/>
    <n v="259362.73485931699"/>
  </r>
  <r>
    <x v="0"/>
    <x v="0"/>
    <x v="0"/>
    <x v="8"/>
    <x v="18"/>
    <s v="SE3_STO"/>
    <x v="0"/>
    <s v="GBPR_COAL_VARTAN"/>
    <x v="0"/>
    <x v="13"/>
    <n v="197.38412089750199"/>
    <n v="72045.204127588106"/>
    <n v="259362.73485931699"/>
  </r>
  <r>
    <x v="0"/>
    <x v="0"/>
    <x v="0"/>
    <x v="8"/>
    <x v="18"/>
    <s v="SE3_STO"/>
    <x v="0"/>
    <s v="GBPR_COAL_VARTAN"/>
    <x v="0"/>
    <x v="14"/>
    <n v="197.38412089750199"/>
    <n v="72045.204127588106"/>
    <n v="259362.73485931699"/>
  </r>
  <r>
    <x v="0"/>
    <x v="0"/>
    <x v="0"/>
    <x v="8"/>
    <x v="18"/>
    <s v="SE3_STO"/>
    <x v="0"/>
    <s v="GBPR_COAL_VARTAN"/>
    <x v="0"/>
    <x v="15"/>
    <n v="197.38412089750199"/>
    <n v="72045.204127588106"/>
    <n v="259362.73485931699"/>
  </r>
  <r>
    <x v="0"/>
    <x v="0"/>
    <x v="0"/>
    <x v="8"/>
    <x v="18"/>
    <s v="SE3_STO"/>
    <x v="0"/>
    <s v="GBPR_COAL_VARTAN"/>
    <x v="0"/>
    <x v="4"/>
    <n v="197.38412089750199"/>
    <n v="72045.204127588106"/>
    <n v="259362.73485931699"/>
  </r>
  <r>
    <x v="0"/>
    <x v="0"/>
    <x v="0"/>
    <x v="8"/>
    <x v="18"/>
    <s v="SE3_STO"/>
    <x v="0"/>
    <s v="GBPR_COAL_VARTAN"/>
    <x v="0"/>
    <x v="16"/>
    <n v="197.38412089750199"/>
    <n v="72045.204127588106"/>
    <n v="259362.73485931699"/>
  </r>
  <r>
    <x v="0"/>
    <x v="0"/>
    <x v="0"/>
    <x v="8"/>
    <x v="18"/>
    <s v="SE3_STO"/>
    <x v="0"/>
    <s v="GBPR_COAL_VARTAN"/>
    <x v="0"/>
    <x v="5"/>
    <n v="197.38412089750199"/>
    <n v="72045.204127588106"/>
    <n v="259362.73485931699"/>
  </r>
  <r>
    <x v="0"/>
    <x v="0"/>
    <x v="0"/>
    <x v="8"/>
    <x v="18"/>
    <s v="SE3_STO"/>
    <x v="0"/>
    <s v="GBPR_COAL_VARTAN"/>
    <x v="0"/>
    <x v="17"/>
    <n v="197.38412089750199"/>
    <n v="72045.204127588106"/>
    <n v="259362.73485931699"/>
  </r>
  <r>
    <x v="0"/>
    <x v="0"/>
    <x v="0"/>
    <x v="8"/>
    <x v="18"/>
    <s v="SE3_STO"/>
    <x v="0"/>
    <s v="GBPR_COAL_VARTAN"/>
    <x v="0"/>
    <x v="18"/>
    <n v="197.38412089750199"/>
    <n v="72045.204127588106"/>
    <n v="259362.73485931699"/>
  </r>
  <r>
    <x v="0"/>
    <x v="0"/>
    <x v="0"/>
    <x v="8"/>
    <x v="18"/>
    <s v="SE3_STO"/>
    <x v="0"/>
    <s v="GBPR_COAL_VARTAN"/>
    <x v="0"/>
    <x v="19"/>
    <n v="197.38412089750199"/>
    <n v="72045.204127588106"/>
    <n v="259362.73485931699"/>
  </r>
  <r>
    <x v="0"/>
    <x v="0"/>
    <x v="0"/>
    <x v="8"/>
    <x v="18"/>
    <s v="SE3_STO"/>
    <x v="0"/>
    <s v="GBPR_COAL_VARTAN"/>
    <x v="0"/>
    <x v="20"/>
    <n v="197.38412089750199"/>
    <n v="72045.204127588106"/>
    <n v="259362.73485931699"/>
  </r>
  <r>
    <x v="0"/>
    <x v="0"/>
    <x v="0"/>
    <x v="8"/>
    <x v="18"/>
    <s v="SE3_STO"/>
    <x v="0"/>
    <s v="GBPR_COAL_VARTAN"/>
    <x v="0"/>
    <x v="21"/>
    <n v="197.38412089750199"/>
    <n v="72045.204127588106"/>
    <n v="259362.73485931699"/>
  </r>
  <r>
    <x v="0"/>
    <x v="0"/>
    <x v="0"/>
    <x v="8"/>
    <x v="18"/>
    <s v="SE3_STO"/>
    <x v="0"/>
    <s v="GBPR_COAL_VARTAN"/>
    <x v="0"/>
    <x v="22"/>
    <n v="197.38412089750199"/>
    <n v="72045.204127588106"/>
    <n v="259362.73485931699"/>
  </r>
  <r>
    <x v="0"/>
    <x v="0"/>
    <x v="0"/>
    <x v="8"/>
    <x v="18"/>
    <s v="SE3_STO"/>
    <x v="0"/>
    <s v="GBPR_COAL_VARTAN"/>
    <x v="0"/>
    <x v="23"/>
    <n v="197.38412089750199"/>
    <n v="72045.204127588106"/>
    <n v="259362.73485931699"/>
  </r>
  <r>
    <x v="0"/>
    <x v="0"/>
    <x v="0"/>
    <x v="8"/>
    <x v="18"/>
    <s v="SE3_STO"/>
    <x v="14"/>
    <s v="GETOH_HEATPUMP33"/>
    <x v="0"/>
    <x v="11"/>
    <n v="53.632694265418898"/>
    <n v="19575.933406877899"/>
    <n v="70473.3602647605"/>
  </r>
  <r>
    <x v="0"/>
    <x v="0"/>
    <x v="0"/>
    <x v="8"/>
    <x v="18"/>
    <s v="SE3_STO"/>
    <x v="14"/>
    <s v="GETOH_HEATPUMP33"/>
    <x v="0"/>
    <x v="0"/>
    <n v="2.8469420278900102"/>
    <n v="1039.13384017985"/>
    <n v="3740.8818246474698"/>
  </r>
  <r>
    <x v="0"/>
    <x v="0"/>
    <x v="0"/>
    <x v="8"/>
    <x v="18"/>
    <s v="SE3_STO"/>
    <x v="14"/>
    <s v="GETOH_HEATPUMP33"/>
    <x v="0"/>
    <x v="1"/>
    <n v="6.3978477449993498"/>
    <n v="2335.2144269247601"/>
    <n v="8406.7719369291499"/>
  </r>
  <r>
    <x v="0"/>
    <x v="0"/>
    <x v="0"/>
    <x v="8"/>
    <x v="18"/>
    <s v="SE3_STO"/>
    <x v="14"/>
    <s v="GETOH_HEATPUMP33"/>
    <x v="0"/>
    <x v="13"/>
    <n v="18.0915590841023"/>
    <n v="6603.4190656973497"/>
    <n v="23772.308636510399"/>
  </r>
  <r>
    <x v="0"/>
    <x v="0"/>
    <x v="0"/>
    <x v="8"/>
    <x v="18"/>
    <s v="SE3_STO"/>
    <x v="14"/>
    <s v="GETOH_HEATPUMP33"/>
    <x v="0"/>
    <x v="14"/>
    <n v="13.695726908486501"/>
    <n v="4998.9403215975599"/>
    <n v="17996.185157751199"/>
  </r>
  <r>
    <x v="0"/>
    <x v="0"/>
    <x v="0"/>
    <x v="8"/>
    <x v="18"/>
    <s v="SE3_STO"/>
    <x v="14"/>
    <s v="GETOH_HEATPUMP33"/>
    <x v="0"/>
    <x v="15"/>
    <n v="16.828522815047801"/>
    <n v="6142.4108274924502"/>
    <n v="22112.678978972799"/>
  </r>
  <r>
    <x v="0"/>
    <x v="0"/>
    <x v="0"/>
    <x v="8"/>
    <x v="18"/>
    <s v="SE3_STO"/>
    <x v="14"/>
    <s v="GETOH_HEATPUMP33"/>
    <x v="0"/>
    <x v="4"/>
    <n v="17.228718903177"/>
    <n v="6288.4823996595997"/>
    <n v="22638.5366387746"/>
  </r>
  <r>
    <x v="0"/>
    <x v="0"/>
    <x v="0"/>
    <x v="8"/>
    <x v="18"/>
    <s v="SE3_STO"/>
    <x v="14"/>
    <s v="GETOH_HEATPUMP33"/>
    <x v="0"/>
    <x v="16"/>
    <n v="28.468640764311001"/>
    <n v="10391.0538789735"/>
    <n v="37407.793964304597"/>
  </r>
  <r>
    <x v="0"/>
    <x v="0"/>
    <x v="0"/>
    <x v="8"/>
    <x v="18"/>
    <s v="SE3_STO"/>
    <x v="14"/>
    <s v="GETOH_HEATPUMP33"/>
    <x v="0"/>
    <x v="5"/>
    <n v="22.403625169382199"/>
    <n v="8177.3231868245002"/>
    <n v="29438.363472568199"/>
  </r>
  <r>
    <x v="0"/>
    <x v="0"/>
    <x v="0"/>
    <x v="8"/>
    <x v="18"/>
    <s v="SE3_STO"/>
    <x v="14"/>
    <s v="GETOH_HEATPUMP33"/>
    <x v="0"/>
    <x v="17"/>
    <n v="2.8419718411007602"/>
    <n v="1037.3197220017801"/>
    <n v="3734.3509992064"/>
  </r>
  <r>
    <x v="0"/>
    <x v="0"/>
    <x v="0"/>
    <x v="8"/>
    <x v="18"/>
    <s v="SE3_STO"/>
    <x v="14"/>
    <s v="GETOH_HEATPUMP33"/>
    <x v="0"/>
    <x v="20"/>
    <n v="127.470223661463"/>
    <n v="46526.631636434002"/>
    <n v="167495.87389116199"/>
  </r>
  <r>
    <x v="0"/>
    <x v="0"/>
    <x v="0"/>
    <x v="8"/>
    <x v="18"/>
    <s v="SE3_STO"/>
    <x v="14"/>
    <s v="GETOH_HEATPUMP33"/>
    <x v="0"/>
    <x v="21"/>
    <n v="99.500329062668598"/>
    <n v="36317.620107873998"/>
    <n v="130743.43238834701"/>
  </r>
  <r>
    <x v="0"/>
    <x v="0"/>
    <x v="0"/>
    <x v="8"/>
    <x v="18"/>
    <s v="SE3_STO"/>
    <x v="14"/>
    <s v="GETOH_HEATPUMP33"/>
    <x v="0"/>
    <x v="22"/>
    <n v="54.496799195870302"/>
    <n v="19891.3317064927"/>
    <n v="71608.794143373598"/>
  </r>
  <r>
    <x v="0"/>
    <x v="0"/>
    <x v="0"/>
    <x v="8"/>
    <x v="18"/>
    <s v="SE3_STO"/>
    <x v="1"/>
    <s v="GNR_HS_HEAT_WTR-TANK_LS_E-95_Y-2010"/>
    <x v="0"/>
    <x v="1"/>
    <n v="65.678854002879703"/>
    <n v="23972.781711051099"/>
    <n v="86302.014159783997"/>
  </r>
  <r>
    <x v="0"/>
    <x v="0"/>
    <x v="0"/>
    <x v="8"/>
    <x v="18"/>
    <s v="SE3_STO"/>
    <x v="1"/>
    <s v="GNR_HS_HEAT_WTR-TANK_LS_E-95_Y-2010"/>
    <x v="0"/>
    <x v="2"/>
    <n v="72.4651115697027"/>
    <n v="26449.765722941502"/>
    <n v="95219.156602589297"/>
  </r>
  <r>
    <x v="0"/>
    <x v="0"/>
    <x v="0"/>
    <x v="8"/>
    <x v="18"/>
    <s v="SE3_STO"/>
    <x v="1"/>
    <s v="GNR_HS_HEAT_WTR-TANK_LS_E-95_Y-2010"/>
    <x v="0"/>
    <x v="3"/>
    <n v="61.316315259816498"/>
    <n v="22380.455069832999"/>
    <n v="80569.638251398894"/>
  </r>
  <r>
    <x v="0"/>
    <x v="0"/>
    <x v="0"/>
    <x v="8"/>
    <x v="18"/>
    <s v="SE3_STO"/>
    <x v="1"/>
    <s v="GNR_HS_HEAT_WTR-TANK_LS_E-95_Y-2010"/>
    <x v="0"/>
    <x v="12"/>
    <n v="37.764075481368799"/>
    <n v="13783.887550699599"/>
    <n v="49621.9951825186"/>
  </r>
  <r>
    <x v="0"/>
    <x v="0"/>
    <x v="0"/>
    <x v="8"/>
    <x v="18"/>
    <s v="SE3_STO"/>
    <x v="2"/>
    <s v="GBPR_MUNIWASTE_HOGDALEN"/>
    <x v="0"/>
    <x v="6"/>
    <n v="119.49986243319501"/>
    <n v="43617.449788116202"/>
    <n v="157022.81923721801"/>
  </r>
  <r>
    <x v="0"/>
    <x v="0"/>
    <x v="0"/>
    <x v="8"/>
    <x v="18"/>
    <s v="SE3_STO"/>
    <x v="2"/>
    <s v="GBPR_MUNIWASTE_HOGDALEN"/>
    <x v="0"/>
    <x v="7"/>
    <n v="119.49986243319501"/>
    <n v="43617.449788116202"/>
    <n v="157022.81923721801"/>
  </r>
  <r>
    <x v="0"/>
    <x v="0"/>
    <x v="0"/>
    <x v="8"/>
    <x v="18"/>
    <s v="SE3_STO"/>
    <x v="2"/>
    <s v="GBPR_MUNIWASTE_HOGDALEN"/>
    <x v="0"/>
    <x v="8"/>
    <n v="119.49986243319501"/>
    <n v="43617.449788116202"/>
    <n v="157022.81923721801"/>
  </r>
  <r>
    <x v="0"/>
    <x v="0"/>
    <x v="0"/>
    <x v="8"/>
    <x v="18"/>
    <s v="SE3_STO"/>
    <x v="2"/>
    <s v="GBPR_MUNIWASTE_HOGDALEN"/>
    <x v="0"/>
    <x v="9"/>
    <n v="119.49986243319501"/>
    <n v="43617.449788116202"/>
    <n v="157022.81923721801"/>
  </r>
  <r>
    <x v="0"/>
    <x v="0"/>
    <x v="0"/>
    <x v="8"/>
    <x v="18"/>
    <s v="SE3_STO"/>
    <x v="2"/>
    <s v="GBPR_MUNIWASTE_HOGDALEN"/>
    <x v="0"/>
    <x v="10"/>
    <n v="119.49986243319501"/>
    <n v="43617.449788116202"/>
    <n v="157022.81923721801"/>
  </r>
  <r>
    <x v="0"/>
    <x v="0"/>
    <x v="0"/>
    <x v="8"/>
    <x v="18"/>
    <s v="SE3_STO"/>
    <x v="2"/>
    <s v="GBPR_MUNIWASTE_HOGDALEN"/>
    <x v="0"/>
    <x v="11"/>
    <n v="119.49986243319501"/>
    <n v="43617.449788116202"/>
    <n v="157022.81923721801"/>
  </r>
  <r>
    <x v="0"/>
    <x v="0"/>
    <x v="0"/>
    <x v="8"/>
    <x v="18"/>
    <s v="SE3_STO"/>
    <x v="2"/>
    <s v="GBPR_MUNIWASTE_HOGDALEN"/>
    <x v="0"/>
    <x v="0"/>
    <n v="119.49986243319501"/>
    <n v="43617.449788116202"/>
    <n v="157022.81923721801"/>
  </r>
  <r>
    <x v="0"/>
    <x v="0"/>
    <x v="0"/>
    <x v="8"/>
    <x v="18"/>
    <s v="SE3_STO"/>
    <x v="2"/>
    <s v="GBPR_MUNIWASTE_HOGDALEN"/>
    <x v="0"/>
    <x v="1"/>
    <n v="119.49986243319501"/>
    <n v="43617.449788116202"/>
    <n v="157022.81923721801"/>
  </r>
  <r>
    <x v="0"/>
    <x v="0"/>
    <x v="0"/>
    <x v="8"/>
    <x v="18"/>
    <s v="SE3_STO"/>
    <x v="2"/>
    <s v="GBPR_MUNIWASTE_HOGDALEN"/>
    <x v="0"/>
    <x v="2"/>
    <n v="119.49986243319501"/>
    <n v="43617.449788116202"/>
    <n v="157022.81923721801"/>
  </r>
  <r>
    <x v="0"/>
    <x v="0"/>
    <x v="0"/>
    <x v="8"/>
    <x v="18"/>
    <s v="SE3_STO"/>
    <x v="2"/>
    <s v="GBPR_MUNIWASTE_HOGDALEN"/>
    <x v="0"/>
    <x v="3"/>
    <n v="119.49986243319501"/>
    <n v="43617.449788116202"/>
    <n v="157022.81923721801"/>
  </r>
  <r>
    <x v="0"/>
    <x v="0"/>
    <x v="0"/>
    <x v="8"/>
    <x v="18"/>
    <s v="SE3_STO"/>
    <x v="2"/>
    <s v="GBPR_MUNIWASTE_HOGDALEN"/>
    <x v="0"/>
    <x v="12"/>
    <n v="119.49986243319501"/>
    <n v="43617.449788116202"/>
    <n v="157022.81923721801"/>
  </r>
  <r>
    <x v="0"/>
    <x v="0"/>
    <x v="0"/>
    <x v="8"/>
    <x v="18"/>
    <s v="SE3_STO"/>
    <x v="2"/>
    <s v="GBPR_MUNIWASTE_HOGDALEN"/>
    <x v="0"/>
    <x v="13"/>
    <n v="119.49986243319501"/>
    <n v="43617.449788116202"/>
    <n v="157022.81923721801"/>
  </r>
  <r>
    <x v="0"/>
    <x v="0"/>
    <x v="0"/>
    <x v="8"/>
    <x v="18"/>
    <s v="SE3_STO"/>
    <x v="2"/>
    <s v="GBPR_MUNIWASTE_HOGDALEN"/>
    <x v="0"/>
    <x v="14"/>
    <n v="119.49986243319501"/>
    <n v="43617.449788116202"/>
    <n v="157022.81923721801"/>
  </r>
  <r>
    <x v="0"/>
    <x v="0"/>
    <x v="0"/>
    <x v="8"/>
    <x v="18"/>
    <s v="SE3_STO"/>
    <x v="2"/>
    <s v="GBPR_MUNIWASTE_HOGDALEN"/>
    <x v="0"/>
    <x v="15"/>
    <n v="119.49986243319501"/>
    <n v="43617.449788116202"/>
    <n v="157022.81923721801"/>
  </r>
  <r>
    <x v="0"/>
    <x v="0"/>
    <x v="0"/>
    <x v="8"/>
    <x v="18"/>
    <s v="SE3_STO"/>
    <x v="2"/>
    <s v="GBPR_MUNIWASTE_HOGDALEN"/>
    <x v="0"/>
    <x v="4"/>
    <n v="119.49986243319501"/>
    <n v="43617.449788116202"/>
    <n v="157022.81923721801"/>
  </r>
  <r>
    <x v="0"/>
    <x v="0"/>
    <x v="0"/>
    <x v="8"/>
    <x v="18"/>
    <s v="SE3_STO"/>
    <x v="2"/>
    <s v="GBPR_MUNIWASTE_HOGDALEN"/>
    <x v="0"/>
    <x v="16"/>
    <n v="119.49986243319501"/>
    <n v="43617.449788116202"/>
    <n v="157022.81923721801"/>
  </r>
  <r>
    <x v="0"/>
    <x v="0"/>
    <x v="0"/>
    <x v="8"/>
    <x v="18"/>
    <s v="SE3_STO"/>
    <x v="2"/>
    <s v="GBPR_MUNIWASTE_HOGDALEN"/>
    <x v="0"/>
    <x v="5"/>
    <n v="119.49986243319501"/>
    <n v="43617.449788116202"/>
    <n v="157022.81923721801"/>
  </r>
  <r>
    <x v="0"/>
    <x v="0"/>
    <x v="0"/>
    <x v="8"/>
    <x v="18"/>
    <s v="SE3_STO"/>
    <x v="2"/>
    <s v="GBPR_MUNIWASTE_HOGDALEN"/>
    <x v="0"/>
    <x v="17"/>
    <n v="119.49986243319501"/>
    <n v="43617.449788116202"/>
    <n v="157022.81923721801"/>
  </r>
  <r>
    <x v="0"/>
    <x v="0"/>
    <x v="0"/>
    <x v="8"/>
    <x v="18"/>
    <s v="SE3_STO"/>
    <x v="2"/>
    <s v="GBPR_MUNIWASTE_HOGDALEN"/>
    <x v="0"/>
    <x v="18"/>
    <n v="119.49986243319501"/>
    <n v="43617.449788116202"/>
    <n v="157022.81923721801"/>
  </r>
  <r>
    <x v="0"/>
    <x v="0"/>
    <x v="0"/>
    <x v="8"/>
    <x v="18"/>
    <s v="SE3_STO"/>
    <x v="2"/>
    <s v="GBPR_MUNIWASTE_HOGDALEN"/>
    <x v="0"/>
    <x v="19"/>
    <n v="119.49986243319501"/>
    <n v="43617.449788116202"/>
    <n v="157022.81923721801"/>
  </r>
  <r>
    <x v="0"/>
    <x v="0"/>
    <x v="0"/>
    <x v="8"/>
    <x v="18"/>
    <s v="SE3_STO"/>
    <x v="2"/>
    <s v="GBPR_MUNIWASTE_HOGDALEN"/>
    <x v="0"/>
    <x v="20"/>
    <n v="119.49986243319501"/>
    <n v="43617.449788116202"/>
    <n v="157022.81923721801"/>
  </r>
  <r>
    <x v="0"/>
    <x v="0"/>
    <x v="0"/>
    <x v="8"/>
    <x v="18"/>
    <s v="SE3_STO"/>
    <x v="2"/>
    <s v="GBPR_MUNIWASTE_HOGDALEN"/>
    <x v="0"/>
    <x v="21"/>
    <n v="119.49986243319501"/>
    <n v="43617.449788116202"/>
    <n v="157022.81923721801"/>
  </r>
  <r>
    <x v="0"/>
    <x v="0"/>
    <x v="0"/>
    <x v="8"/>
    <x v="18"/>
    <s v="SE3_STO"/>
    <x v="2"/>
    <s v="GBPR_MUNIWASTE_HOGDALEN"/>
    <x v="0"/>
    <x v="22"/>
    <n v="119.49986243319501"/>
    <n v="43617.449788116202"/>
    <n v="157022.81923721801"/>
  </r>
  <r>
    <x v="0"/>
    <x v="0"/>
    <x v="0"/>
    <x v="8"/>
    <x v="18"/>
    <s v="SE3_STO"/>
    <x v="2"/>
    <s v="GBPR_MUNIWASTE_HOGDALEN"/>
    <x v="0"/>
    <x v="23"/>
    <n v="119.49986243319501"/>
    <n v="43617.449788116202"/>
    <n v="157022.81923721801"/>
  </r>
  <r>
    <x v="0"/>
    <x v="0"/>
    <x v="0"/>
    <x v="8"/>
    <x v="18"/>
    <s v="SE3_STO"/>
    <x v="2"/>
    <s v="GHOB_MUNIWASTE"/>
    <x v="0"/>
    <x v="6"/>
    <n v="113.670600851088"/>
    <n v="41489.769310647098"/>
    <n v="149363.16951832999"/>
  </r>
  <r>
    <x v="0"/>
    <x v="0"/>
    <x v="0"/>
    <x v="8"/>
    <x v="18"/>
    <s v="SE3_STO"/>
    <x v="2"/>
    <s v="GHOB_MUNIWASTE"/>
    <x v="0"/>
    <x v="7"/>
    <n v="113.670600851088"/>
    <n v="41489.769310647098"/>
    <n v="149363.16951832999"/>
  </r>
  <r>
    <x v="0"/>
    <x v="0"/>
    <x v="0"/>
    <x v="8"/>
    <x v="18"/>
    <s v="SE3_STO"/>
    <x v="2"/>
    <s v="GHOB_MUNIWASTE"/>
    <x v="0"/>
    <x v="8"/>
    <n v="113.670600851088"/>
    <n v="41489.769310647098"/>
    <n v="149363.16951832999"/>
  </r>
  <r>
    <x v="0"/>
    <x v="0"/>
    <x v="0"/>
    <x v="8"/>
    <x v="18"/>
    <s v="SE3_STO"/>
    <x v="2"/>
    <s v="GHOB_MUNIWASTE"/>
    <x v="0"/>
    <x v="9"/>
    <n v="113.670600851088"/>
    <n v="41489.769310647098"/>
    <n v="149363.16951832999"/>
  </r>
  <r>
    <x v="0"/>
    <x v="0"/>
    <x v="0"/>
    <x v="8"/>
    <x v="18"/>
    <s v="SE3_STO"/>
    <x v="2"/>
    <s v="GHOB_MUNIWASTE"/>
    <x v="0"/>
    <x v="10"/>
    <n v="113.670600851088"/>
    <n v="41489.769310647098"/>
    <n v="149363.16951832999"/>
  </r>
  <r>
    <x v="0"/>
    <x v="0"/>
    <x v="0"/>
    <x v="8"/>
    <x v="18"/>
    <s v="SE3_STO"/>
    <x v="2"/>
    <s v="GHOB_MUNIWASTE"/>
    <x v="0"/>
    <x v="11"/>
    <n v="113.670600851088"/>
    <n v="41489.769310647098"/>
    <n v="149363.16951832999"/>
  </r>
  <r>
    <x v="0"/>
    <x v="0"/>
    <x v="0"/>
    <x v="8"/>
    <x v="18"/>
    <s v="SE3_STO"/>
    <x v="2"/>
    <s v="GHOB_MUNIWASTE"/>
    <x v="0"/>
    <x v="0"/>
    <n v="113.670600851088"/>
    <n v="41489.769310647098"/>
    <n v="149363.16951832999"/>
  </r>
  <r>
    <x v="0"/>
    <x v="0"/>
    <x v="0"/>
    <x v="8"/>
    <x v="18"/>
    <s v="SE3_STO"/>
    <x v="2"/>
    <s v="GHOB_MUNIWASTE"/>
    <x v="0"/>
    <x v="1"/>
    <n v="113.670600851088"/>
    <n v="41489.769310647098"/>
    <n v="149363.16951832999"/>
  </r>
  <r>
    <x v="0"/>
    <x v="0"/>
    <x v="0"/>
    <x v="8"/>
    <x v="18"/>
    <s v="SE3_STO"/>
    <x v="2"/>
    <s v="GHOB_MUNIWASTE"/>
    <x v="0"/>
    <x v="2"/>
    <n v="113.670600851088"/>
    <n v="41489.769310647098"/>
    <n v="149363.16951832999"/>
  </r>
  <r>
    <x v="0"/>
    <x v="0"/>
    <x v="0"/>
    <x v="8"/>
    <x v="18"/>
    <s v="SE3_STO"/>
    <x v="2"/>
    <s v="GHOB_MUNIWASTE"/>
    <x v="0"/>
    <x v="3"/>
    <n v="113.670600851088"/>
    <n v="41489.769310647098"/>
    <n v="149363.16951832999"/>
  </r>
  <r>
    <x v="0"/>
    <x v="0"/>
    <x v="0"/>
    <x v="8"/>
    <x v="18"/>
    <s v="SE3_STO"/>
    <x v="2"/>
    <s v="GHOB_MUNIWASTE"/>
    <x v="0"/>
    <x v="12"/>
    <n v="113.670600851088"/>
    <n v="41489.769310647098"/>
    <n v="149363.16951832999"/>
  </r>
  <r>
    <x v="0"/>
    <x v="0"/>
    <x v="0"/>
    <x v="8"/>
    <x v="18"/>
    <s v="SE3_STO"/>
    <x v="2"/>
    <s v="GHOB_MUNIWASTE"/>
    <x v="0"/>
    <x v="13"/>
    <n v="113.670600851088"/>
    <n v="41489.769310647098"/>
    <n v="149363.16951832999"/>
  </r>
  <r>
    <x v="0"/>
    <x v="0"/>
    <x v="0"/>
    <x v="8"/>
    <x v="18"/>
    <s v="SE3_STO"/>
    <x v="2"/>
    <s v="GHOB_MUNIWASTE"/>
    <x v="0"/>
    <x v="14"/>
    <n v="113.670600851088"/>
    <n v="41489.769310647098"/>
    <n v="149363.16951832999"/>
  </r>
  <r>
    <x v="0"/>
    <x v="0"/>
    <x v="0"/>
    <x v="8"/>
    <x v="18"/>
    <s v="SE3_STO"/>
    <x v="2"/>
    <s v="GHOB_MUNIWASTE"/>
    <x v="0"/>
    <x v="15"/>
    <n v="113.670600851088"/>
    <n v="41489.769310647098"/>
    <n v="149363.16951832999"/>
  </r>
  <r>
    <x v="0"/>
    <x v="0"/>
    <x v="0"/>
    <x v="8"/>
    <x v="18"/>
    <s v="SE3_STO"/>
    <x v="2"/>
    <s v="GHOB_MUNIWASTE"/>
    <x v="0"/>
    <x v="4"/>
    <n v="113.670600851088"/>
    <n v="41489.769310647098"/>
    <n v="149363.16951832999"/>
  </r>
  <r>
    <x v="0"/>
    <x v="0"/>
    <x v="0"/>
    <x v="8"/>
    <x v="18"/>
    <s v="SE3_STO"/>
    <x v="2"/>
    <s v="GHOB_MUNIWASTE"/>
    <x v="0"/>
    <x v="16"/>
    <n v="113.670600851088"/>
    <n v="41489.769310647098"/>
    <n v="149363.16951832999"/>
  </r>
  <r>
    <x v="0"/>
    <x v="0"/>
    <x v="0"/>
    <x v="8"/>
    <x v="18"/>
    <s v="SE3_STO"/>
    <x v="2"/>
    <s v="GHOB_MUNIWASTE"/>
    <x v="0"/>
    <x v="5"/>
    <n v="113.670600851088"/>
    <n v="41489.769310647098"/>
    <n v="149363.16951832999"/>
  </r>
  <r>
    <x v="0"/>
    <x v="0"/>
    <x v="0"/>
    <x v="8"/>
    <x v="18"/>
    <s v="SE3_STO"/>
    <x v="2"/>
    <s v="GHOB_MUNIWASTE"/>
    <x v="0"/>
    <x v="17"/>
    <n v="113.670600851088"/>
    <n v="41489.769310647098"/>
    <n v="149363.16951832999"/>
  </r>
  <r>
    <x v="0"/>
    <x v="0"/>
    <x v="0"/>
    <x v="8"/>
    <x v="18"/>
    <s v="SE3_STO"/>
    <x v="2"/>
    <s v="GHOB_MUNIWASTE"/>
    <x v="0"/>
    <x v="18"/>
    <n v="113.670600851088"/>
    <n v="41489.769310647098"/>
    <n v="149363.16951832999"/>
  </r>
  <r>
    <x v="0"/>
    <x v="0"/>
    <x v="0"/>
    <x v="8"/>
    <x v="18"/>
    <s v="SE3_STO"/>
    <x v="2"/>
    <s v="GHOB_MUNIWASTE"/>
    <x v="0"/>
    <x v="19"/>
    <n v="113.670600851088"/>
    <n v="41489.769310647098"/>
    <n v="149363.16951832999"/>
  </r>
  <r>
    <x v="0"/>
    <x v="0"/>
    <x v="0"/>
    <x v="8"/>
    <x v="18"/>
    <s v="SE3_STO"/>
    <x v="2"/>
    <s v="GHOB_MUNIWASTE"/>
    <x v="0"/>
    <x v="20"/>
    <n v="113.670600851088"/>
    <n v="41489.769310647098"/>
    <n v="149363.16951832999"/>
  </r>
  <r>
    <x v="0"/>
    <x v="0"/>
    <x v="0"/>
    <x v="8"/>
    <x v="18"/>
    <s v="SE3_STO"/>
    <x v="2"/>
    <s v="GHOB_MUNIWASTE"/>
    <x v="0"/>
    <x v="21"/>
    <n v="113.670600851088"/>
    <n v="41489.769310647098"/>
    <n v="149363.16951832999"/>
  </r>
  <r>
    <x v="0"/>
    <x v="0"/>
    <x v="0"/>
    <x v="8"/>
    <x v="18"/>
    <s v="SE3_STO"/>
    <x v="2"/>
    <s v="GHOB_MUNIWASTE"/>
    <x v="0"/>
    <x v="22"/>
    <n v="113.670600851088"/>
    <n v="41489.769310647098"/>
    <n v="149363.16951832999"/>
  </r>
  <r>
    <x v="0"/>
    <x v="0"/>
    <x v="0"/>
    <x v="8"/>
    <x v="18"/>
    <s v="SE3_STO"/>
    <x v="2"/>
    <s v="GHOB_MUNIWASTE"/>
    <x v="0"/>
    <x v="23"/>
    <n v="113.670600851088"/>
    <n v="41489.769310647098"/>
    <n v="149363.16951832999"/>
  </r>
  <r>
    <x v="0"/>
    <x v="0"/>
    <x v="0"/>
    <x v="8"/>
    <x v="18"/>
    <s v="SE3_STO"/>
    <x v="7"/>
    <s v="GBPR_WOODPELLETS_HASSELBY"/>
    <x v="0"/>
    <x v="0"/>
    <n v="197.36842105263199"/>
    <n v="72039.473684210505"/>
    <n v="259342.10526315801"/>
  </r>
  <r>
    <x v="0"/>
    <x v="0"/>
    <x v="0"/>
    <x v="8"/>
    <x v="18"/>
    <s v="SE3_STO"/>
    <x v="7"/>
    <s v="GBPR_WOODPELLETS_HASSELBY"/>
    <x v="0"/>
    <x v="1"/>
    <n v="197.36842105263199"/>
    <n v="72039.473684210505"/>
    <n v="259342.10526315801"/>
  </r>
  <r>
    <x v="0"/>
    <x v="0"/>
    <x v="0"/>
    <x v="8"/>
    <x v="18"/>
    <s v="SE3_STO"/>
    <x v="7"/>
    <s v="GBPR_WOODPELLETS_HASSELBY"/>
    <x v="0"/>
    <x v="2"/>
    <n v="197.36842105263199"/>
    <n v="72039.473684210505"/>
    <n v="259342.10526315801"/>
  </r>
  <r>
    <x v="0"/>
    <x v="0"/>
    <x v="0"/>
    <x v="8"/>
    <x v="18"/>
    <s v="SE3_STO"/>
    <x v="7"/>
    <s v="GBPR_WOODPELLETS_HASSELBY"/>
    <x v="0"/>
    <x v="3"/>
    <n v="197.36842105263199"/>
    <n v="72039.473684210505"/>
    <n v="259342.10526315801"/>
  </r>
  <r>
    <x v="0"/>
    <x v="0"/>
    <x v="0"/>
    <x v="8"/>
    <x v="18"/>
    <s v="SE3_STO"/>
    <x v="7"/>
    <s v="GBPR_WOODPELLETS_HASSELBY"/>
    <x v="0"/>
    <x v="12"/>
    <n v="197.36842105263199"/>
    <n v="72039.473684210505"/>
    <n v="259342.10526315801"/>
  </r>
  <r>
    <x v="0"/>
    <x v="0"/>
    <x v="0"/>
    <x v="8"/>
    <x v="18"/>
    <s v="SE3_STO"/>
    <x v="7"/>
    <s v="GBPR_WOODPELLETS_HASSELBY"/>
    <x v="0"/>
    <x v="13"/>
    <n v="197.36842105263199"/>
    <n v="72039.473684210505"/>
    <n v="259342.10526315801"/>
  </r>
  <r>
    <x v="0"/>
    <x v="0"/>
    <x v="0"/>
    <x v="8"/>
    <x v="18"/>
    <s v="SE3_STO"/>
    <x v="7"/>
    <s v="GBPR_WOODPELLETS_HASSELBY"/>
    <x v="0"/>
    <x v="14"/>
    <n v="197.36842105263199"/>
    <n v="72039.473684210505"/>
    <n v="259342.10526315801"/>
  </r>
  <r>
    <x v="0"/>
    <x v="0"/>
    <x v="0"/>
    <x v="8"/>
    <x v="18"/>
    <s v="SE3_STO"/>
    <x v="7"/>
    <s v="GBPR_WOODPELLETS_HASSELBY"/>
    <x v="0"/>
    <x v="15"/>
    <n v="197.36842105263199"/>
    <n v="72039.473684210505"/>
    <n v="259342.10526315801"/>
  </r>
  <r>
    <x v="0"/>
    <x v="0"/>
    <x v="0"/>
    <x v="8"/>
    <x v="18"/>
    <s v="SE3_STO"/>
    <x v="7"/>
    <s v="GBPR_WOODPELLETS_HASSELBY"/>
    <x v="0"/>
    <x v="4"/>
    <n v="197.36842105263199"/>
    <n v="72039.473684210505"/>
    <n v="259342.10526315801"/>
  </r>
  <r>
    <x v="0"/>
    <x v="0"/>
    <x v="0"/>
    <x v="8"/>
    <x v="18"/>
    <s v="SE3_STO"/>
    <x v="7"/>
    <s v="GBPR_WOODPELLETS_HASSELBY"/>
    <x v="0"/>
    <x v="16"/>
    <n v="197.36842105263199"/>
    <n v="72039.473684210505"/>
    <n v="259342.10526315801"/>
  </r>
  <r>
    <x v="0"/>
    <x v="0"/>
    <x v="0"/>
    <x v="8"/>
    <x v="18"/>
    <s v="SE3_STO"/>
    <x v="7"/>
    <s v="GBPR_WOODPELLETS_HASSELBY"/>
    <x v="0"/>
    <x v="5"/>
    <n v="197.36842105263199"/>
    <n v="72039.473684210505"/>
    <n v="259342.10526315801"/>
  </r>
  <r>
    <x v="0"/>
    <x v="0"/>
    <x v="0"/>
    <x v="8"/>
    <x v="18"/>
    <s v="SE3_STO"/>
    <x v="7"/>
    <s v="GBPR_WOODPELLETS_HASSELBY"/>
    <x v="0"/>
    <x v="17"/>
    <n v="197.36842105263199"/>
    <n v="72039.473684210505"/>
    <n v="259342.10526315801"/>
  </r>
  <r>
    <x v="0"/>
    <x v="0"/>
    <x v="0"/>
    <x v="8"/>
    <x v="18"/>
    <s v="SE3_STO"/>
    <x v="7"/>
    <s v="GBPR_WOODPELLETS_HASSELBY"/>
    <x v="0"/>
    <x v="18"/>
    <n v="184.73690309548499"/>
    <n v="67428.969629851897"/>
    <n v="242744.29066746699"/>
  </r>
  <r>
    <x v="0"/>
    <x v="0"/>
    <x v="0"/>
    <x v="8"/>
    <x v="18"/>
    <s v="SE3_STO"/>
    <x v="7"/>
    <s v="GBPR_WOODPELLETS_HASSELBY"/>
    <x v="0"/>
    <x v="19"/>
    <n v="160.80563571663501"/>
    <n v="58694.057036571598"/>
    <n v="211298.60533165801"/>
  </r>
  <r>
    <x v="0"/>
    <x v="0"/>
    <x v="0"/>
    <x v="8"/>
    <x v="18"/>
    <s v="SE3_STO"/>
    <x v="8"/>
    <s v="GBPR_WOODWASTE"/>
    <x v="0"/>
    <x v="6"/>
    <n v="198.143535930637"/>
    <n v="72322.390614682299"/>
    <n v="260360.60621285599"/>
  </r>
  <r>
    <x v="0"/>
    <x v="0"/>
    <x v="0"/>
    <x v="8"/>
    <x v="18"/>
    <s v="SE3_STO"/>
    <x v="8"/>
    <s v="GBPR_WOODWASTE"/>
    <x v="0"/>
    <x v="7"/>
    <n v="198.143535930637"/>
    <n v="72322.390614682299"/>
    <n v="260360.60621285599"/>
  </r>
  <r>
    <x v="0"/>
    <x v="0"/>
    <x v="0"/>
    <x v="8"/>
    <x v="18"/>
    <s v="SE3_STO"/>
    <x v="8"/>
    <s v="GBPR_WOODWASTE"/>
    <x v="0"/>
    <x v="8"/>
    <n v="198.143535930637"/>
    <n v="72322.390614682299"/>
    <n v="260360.60621285599"/>
  </r>
  <r>
    <x v="0"/>
    <x v="0"/>
    <x v="0"/>
    <x v="8"/>
    <x v="18"/>
    <s v="SE3_STO"/>
    <x v="8"/>
    <s v="GBPR_WOODWASTE"/>
    <x v="0"/>
    <x v="9"/>
    <n v="198.143535930637"/>
    <n v="72322.390614682299"/>
    <n v="260360.60621285599"/>
  </r>
  <r>
    <x v="0"/>
    <x v="0"/>
    <x v="0"/>
    <x v="8"/>
    <x v="18"/>
    <s v="SE3_STO"/>
    <x v="8"/>
    <s v="GBPR_WOODWASTE"/>
    <x v="0"/>
    <x v="10"/>
    <n v="198.143535930637"/>
    <n v="72322.390614682299"/>
    <n v="260360.60621285599"/>
  </r>
  <r>
    <x v="0"/>
    <x v="0"/>
    <x v="0"/>
    <x v="8"/>
    <x v="18"/>
    <s v="SE3_STO"/>
    <x v="8"/>
    <s v="GBPR_WOODWASTE"/>
    <x v="0"/>
    <x v="11"/>
    <n v="198.143535930637"/>
    <n v="72322.390614682299"/>
    <n v="260360.60621285599"/>
  </r>
  <r>
    <x v="0"/>
    <x v="0"/>
    <x v="0"/>
    <x v="8"/>
    <x v="18"/>
    <s v="SE3_STO"/>
    <x v="8"/>
    <s v="GBPR_WOODWASTE"/>
    <x v="0"/>
    <x v="0"/>
    <n v="198.143535930637"/>
    <n v="72322.390614682299"/>
    <n v="260360.60621285599"/>
  </r>
  <r>
    <x v="0"/>
    <x v="0"/>
    <x v="0"/>
    <x v="8"/>
    <x v="18"/>
    <s v="SE3_STO"/>
    <x v="8"/>
    <s v="GBPR_WOODWASTE"/>
    <x v="0"/>
    <x v="1"/>
    <n v="198.143535930637"/>
    <n v="72322.390614682299"/>
    <n v="260360.60621285599"/>
  </r>
  <r>
    <x v="0"/>
    <x v="0"/>
    <x v="0"/>
    <x v="8"/>
    <x v="18"/>
    <s v="SE3_STO"/>
    <x v="8"/>
    <s v="GBPR_WOODWASTE"/>
    <x v="0"/>
    <x v="2"/>
    <n v="198.143535930637"/>
    <n v="72322.390614682299"/>
    <n v="260360.60621285599"/>
  </r>
  <r>
    <x v="0"/>
    <x v="0"/>
    <x v="0"/>
    <x v="8"/>
    <x v="18"/>
    <s v="SE3_STO"/>
    <x v="8"/>
    <s v="GBPR_WOODWASTE"/>
    <x v="0"/>
    <x v="3"/>
    <n v="198.143535930637"/>
    <n v="72322.390614682299"/>
    <n v="260360.60621285599"/>
  </r>
  <r>
    <x v="0"/>
    <x v="0"/>
    <x v="0"/>
    <x v="8"/>
    <x v="18"/>
    <s v="SE3_STO"/>
    <x v="8"/>
    <s v="GBPR_WOODWASTE"/>
    <x v="0"/>
    <x v="12"/>
    <n v="198.143535930637"/>
    <n v="72322.390614682299"/>
    <n v="260360.60621285599"/>
  </r>
  <r>
    <x v="0"/>
    <x v="0"/>
    <x v="0"/>
    <x v="8"/>
    <x v="18"/>
    <s v="SE3_STO"/>
    <x v="8"/>
    <s v="GBPR_WOODWASTE"/>
    <x v="0"/>
    <x v="13"/>
    <n v="198.143535930637"/>
    <n v="72322.390614682299"/>
    <n v="260360.60621285599"/>
  </r>
  <r>
    <x v="0"/>
    <x v="0"/>
    <x v="0"/>
    <x v="8"/>
    <x v="18"/>
    <s v="SE3_STO"/>
    <x v="8"/>
    <s v="GBPR_WOODWASTE"/>
    <x v="0"/>
    <x v="14"/>
    <n v="198.143535930637"/>
    <n v="72322.390614682299"/>
    <n v="260360.60621285599"/>
  </r>
  <r>
    <x v="0"/>
    <x v="0"/>
    <x v="0"/>
    <x v="8"/>
    <x v="18"/>
    <s v="SE3_STO"/>
    <x v="8"/>
    <s v="GBPR_WOODWASTE"/>
    <x v="0"/>
    <x v="15"/>
    <n v="198.143535930637"/>
    <n v="72322.390614682299"/>
    <n v="260360.60621285599"/>
  </r>
  <r>
    <x v="0"/>
    <x v="0"/>
    <x v="0"/>
    <x v="8"/>
    <x v="18"/>
    <s v="SE3_STO"/>
    <x v="8"/>
    <s v="GBPR_WOODWASTE"/>
    <x v="0"/>
    <x v="4"/>
    <n v="198.143535930637"/>
    <n v="72322.390614682299"/>
    <n v="260360.60621285599"/>
  </r>
  <r>
    <x v="0"/>
    <x v="0"/>
    <x v="0"/>
    <x v="8"/>
    <x v="18"/>
    <s v="SE3_STO"/>
    <x v="8"/>
    <s v="GBPR_WOODWASTE"/>
    <x v="0"/>
    <x v="16"/>
    <n v="198.143535930637"/>
    <n v="72322.390614682299"/>
    <n v="260360.60621285599"/>
  </r>
  <r>
    <x v="0"/>
    <x v="0"/>
    <x v="0"/>
    <x v="8"/>
    <x v="18"/>
    <s v="SE3_STO"/>
    <x v="8"/>
    <s v="GBPR_WOODWASTE"/>
    <x v="0"/>
    <x v="5"/>
    <n v="198.143535930637"/>
    <n v="72322.390614682299"/>
    <n v="260360.60621285599"/>
  </r>
  <r>
    <x v="0"/>
    <x v="0"/>
    <x v="0"/>
    <x v="8"/>
    <x v="18"/>
    <s v="SE3_STO"/>
    <x v="8"/>
    <s v="GBPR_WOODWASTE"/>
    <x v="0"/>
    <x v="17"/>
    <n v="198.143535930637"/>
    <n v="72322.390614682299"/>
    <n v="260360.60621285599"/>
  </r>
  <r>
    <x v="0"/>
    <x v="0"/>
    <x v="0"/>
    <x v="8"/>
    <x v="18"/>
    <s v="SE3_STO"/>
    <x v="8"/>
    <s v="GBPR_WOODWASTE"/>
    <x v="0"/>
    <x v="18"/>
    <n v="198.143535930637"/>
    <n v="72322.390614682299"/>
    <n v="260360.60621285599"/>
  </r>
  <r>
    <x v="0"/>
    <x v="0"/>
    <x v="0"/>
    <x v="8"/>
    <x v="18"/>
    <s v="SE3_STO"/>
    <x v="8"/>
    <s v="GBPR_WOODWASTE"/>
    <x v="0"/>
    <x v="19"/>
    <n v="198.143535930637"/>
    <n v="72322.390614682299"/>
    <n v="260360.60621285599"/>
  </r>
  <r>
    <x v="0"/>
    <x v="0"/>
    <x v="0"/>
    <x v="8"/>
    <x v="18"/>
    <s v="SE3_STO"/>
    <x v="8"/>
    <s v="GBPR_WOODWASTE"/>
    <x v="0"/>
    <x v="20"/>
    <n v="198.143535930637"/>
    <n v="72322.390614682299"/>
    <n v="260360.60621285599"/>
  </r>
  <r>
    <x v="0"/>
    <x v="0"/>
    <x v="0"/>
    <x v="8"/>
    <x v="18"/>
    <s v="SE3_STO"/>
    <x v="8"/>
    <s v="GBPR_WOODWASTE"/>
    <x v="0"/>
    <x v="21"/>
    <n v="198.143535930637"/>
    <n v="72322.390614682299"/>
    <n v="260360.60621285599"/>
  </r>
  <r>
    <x v="0"/>
    <x v="0"/>
    <x v="0"/>
    <x v="8"/>
    <x v="18"/>
    <s v="SE3_STO"/>
    <x v="8"/>
    <s v="GBPR_WOODWASTE"/>
    <x v="0"/>
    <x v="22"/>
    <n v="198.143535930637"/>
    <n v="72322.390614682299"/>
    <n v="260360.60621285599"/>
  </r>
  <r>
    <x v="0"/>
    <x v="0"/>
    <x v="0"/>
    <x v="8"/>
    <x v="18"/>
    <s v="SE3_STO"/>
    <x v="8"/>
    <s v="GBPR_WOODWASTE"/>
    <x v="0"/>
    <x v="23"/>
    <n v="198.143535930637"/>
    <n v="72322.390614682299"/>
    <n v="260360.60621285599"/>
  </r>
  <r>
    <x v="0"/>
    <x v="0"/>
    <x v="0"/>
    <x v="8"/>
    <x v="18"/>
    <s v="SE3_STO"/>
    <x v="8"/>
    <s v="GBPR_WOODWASTE_BRISTA"/>
    <x v="0"/>
    <x v="6"/>
    <n v="122.385290770653"/>
    <n v="44670.631131288399"/>
    <n v="160814.27207263801"/>
  </r>
  <r>
    <x v="0"/>
    <x v="0"/>
    <x v="0"/>
    <x v="8"/>
    <x v="18"/>
    <s v="SE3_STO"/>
    <x v="8"/>
    <s v="GBPR_WOODWASTE_BRISTA"/>
    <x v="0"/>
    <x v="7"/>
    <n v="122.385290770653"/>
    <n v="44670.631131288399"/>
    <n v="160814.27207263801"/>
  </r>
  <r>
    <x v="0"/>
    <x v="0"/>
    <x v="0"/>
    <x v="8"/>
    <x v="18"/>
    <s v="SE3_STO"/>
    <x v="8"/>
    <s v="GBPR_WOODWASTE_BRISTA"/>
    <x v="0"/>
    <x v="8"/>
    <n v="122.385290770653"/>
    <n v="44670.631131288399"/>
    <n v="160814.27207263801"/>
  </r>
  <r>
    <x v="0"/>
    <x v="0"/>
    <x v="0"/>
    <x v="8"/>
    <x v="18"/>
    <s v="SE3_STO"/>
    <x v="8"/>
    <s v="GBPR_WOODWASTE_BRISTA"/>
    <x v="0"/>
    <x v="9"/>
    <n v="122.385290770653"/>
    <n v="44670.631131288399"/>
    <n v="160814.27207263801"/>
  </r>
  <r>
    <x v="0"/>
    <x v="0"/>
    <x v="0"/>
    <x v="8"/>
    <x v="18"/>
    <s v="SE3_STO"/>
    <x v="8"/>
    <s v="GBPR_WOODWASTE_BRISTA"/>
    <x v="0"/>
    <x v="10"/>
    <n v="122.385290770653"/>
    <n v="44670.631131288399"/>
    <n v="160814.27207263801"/>
  </r>
  <r>
    <x v="0"/>
    <x v="0"/>
    <x v="0"/>
    <x v="8"/>
    <x v="18"/>
    <s v="SE3_STO"/>
    <x v="8"/>
    <s v="GBPR_WOODWASTE_BRISTA"/>
    <x v="0"/>
    <x v="11"/>
    <n v="122.385290770653"/>
    <n v="44670.631131288399"/>
    <n v="160814.27207263801"/>
  </r>
  <r>
    <x v="0"/>
    <x v="0"/>
    <x v="0"/>
    <x v="8"/>
    <x v="18"/>
    <s v="SE3_STO"/>
    <x v="8"/>
    <s v="GBPR_WOODWASTE_BRISTA"/>
    <x v="0"/>
    <x v="0"/>
    <n v="122.385290770653"/>
    <n v="44670.631131288399"/>
    <n v="160814.27207263801"/>
  </r>
  <r>
    <x v="0"/>
    <x v="0"/>
    <x v="0"/>
    <x v="8"/>
    <x v="18"/>
    <s v="SE3_STO"/>
    <x v="8"/>
    <s v="GBPR_WOODWASTE_BRISTA"/>
    <x v="0"/>
    <x v="1"/>
    <n v="122.385290770653"/>
    <n v="44670.631131288399"/>
    <n v="160814.27207263801"/>
  </r>
  <r>
    <x v="0"/>
    <x v="0"/>
    <x v="0"/>
    <x v="8"/>
    <x v="18"/>
    <s v="SE3_STO"/>
    <x v="8"/>
    <s v="GBPR_WOODWASTE_BRISTA"/>
    <x v="0"/>
    <x v="2"/>
    <n v="122.385290770653"/>
    <n v="44670.631131288399"/>
    <n v="160814.27207263801"/>
  </r>
  <r>
    <x v="0"/>
    <x v="0"/>
    <x v="0"/>
    <x v="8"/>
    <x v="18"/>
    <s v="SE3_STO"/>
    <x v="8"/>
    <s v="GBPR_WOODWASTE_BRISTA"/>
    <x v="0"/>
    <x v="3"/>
    <n v="122.385290770653"/>
    <n v="44670.631131288399"/>
    <n v="160814.27207263801"/>
  </r>
  <r>
    <x v="0"/>
    <x v="0"/>
    <x v="0"/>
    <x v="8"/>
    <x v="18"/>
    <s v="SE3_STO"/>
    <x v="8"/>
    <s v="GBPR_WOODWASTE_BRISTA"/>
    <x v="0"/>
    <x v="12"/>
    <n v="122.385290770653"/>
    <n v="44670.631131288399"/>
    <n v="160814.27207263801"/>
  </r>
  <r>
    <x v="0"/>
    <x v="0"/>
    <x v="0"/>
    <x v="8"/>
    <x v="18"/>
    <s v="SE3_STO"/>
    <x v="8"/>
    <s v="GBPR_WOODWASTE_BRISTA"/>
    <x v="0"/>
    <x v="13"/>
    <n v="122.385290770653"/>
    <n v="44670.631131288399"/>
    <n v="160814.27207263801"/>
  </r>
  <r>
    <x v="0"/>
    <x v="0"/>
    <x v="0"/>
    <x v="8"/>
    <x v="18"/>
    <s v="SE3_STO"/>
    <x v="8"/>
    <s v="GBPR_WOODWASTE_BRISTA"/>
    <x v="0"/>
    <x v="14"/>
    <n v="122.385290770653"/>
    <n v="44670.631131288399"/>
    <n v="160814.27207263801"/>
  </r>
  <r>
    <x v="0"/>
    <x v="0"/>
    <x v="0"/>
    <x v="8"/>
    <x v="18"/>
    <s v="SE3_STO"/>
    <x v="8"/>
    <s v="GBPR_WOODWASTE_BRISTA"/>
    <x v="0"/>
    <x v="15"/>
    <n v="122.385290770653"/>
    <n v="44670.631131288399"/>
    <n v="160814.27207263801"/>
  </r>
  <r>
    <x v="0"/>
    <x v="0"/>
    <x v="0"/>
    <x v="8"/>
    <x v="18"/>
    <s v="SE3_STO"/>
    <x v="8"/>
    <s v="GBPR_WOODWASTE_BRISTA"/>
    <x v="0"/>
    <x v="4"/>
    <n v="122.385290770653"/>
    <n v="44670.631131288399"/>
    <n v="160814.27207263801"/>
  </r>
  <r>
    <x v="0"/>
    <x v="0"/>
    <x v="0"/>
    <x v="8"/>
    <x v="18"/>
    <s v="SE3_STO"/>
    <x v="8"/>
    <s v="GBPR_WOODWASTE_BRISTA"/>
    <x v="0"/>
    <x v="16"/>
    <n v="122.385290770653"/>
    <n v="44670.631131288399"/>
    <n v="160814.27207263801"/>
  </r>
  <r>
    <x v="0"/>
    <x v="0"/>
    <x v="0"/>
    <x v="8"/>
    <x v="18"/>
    <s v="SE3_STO"/>
    <x v="8"/>
    <s v="GBPR_WOODWASTE_BRISTA"/>
    <x v="0"/>
    <x v="5"/>
    <n v="122.385290770653"/>
    <n v="44670.631131288399"/>
    <n v="160814.27207263801"/>
  </r>
  <r>
    <x v="0"/>
    <x v="0"/>
    <x v="0"/>
    <x v="8"/>
    <x v="18"/>
    <s v="SE3_STO"/>
    <x v="8"/>
    <s v="GBPR_WOODWASTE_BRISTA"/>
    <x v="0"/>
    <x v="17"/>
    <n v="122.385290770653"/>
    <n v="44670.631131288399"/>
    <n v="160814.27207263801"/>
  </r>
  <r>
    <x v="0"/>
    <x v="0"/>
    <x v="0"/>
    <x v="8"/>
    <x v="18"/>
    <s v="SE3_STO"/>
    <x v="8"/>
    <s v="GBPR_WOODWASTE_BRISTA"/>
    <x v="0"/>
    <x v="18"/>
    <n v="122.385290770653"/>
    <n v="44670.631131288399"/>
    <n v="160814.27207263801"/>
  </r>
  <r>
    <x v="0"/>
    <x v="0"/>
    <x v="0"/>
    <x v="8"/>
    <x v="18"/>
    <s v="SE3_STO"/>
    <x v="8"/>
    <s v="GBPR_WOODWASTE_BRISTA"/>
    <x v="0"/>
    <x v="19"/>
    <n v="122.385290770653"/>
    <n v="44670.631131288399"/>
    <n v="160814.27207263801"/>
  </r>
  <r>
    <x v="0"/>
    <x v="0"/>
    <x v="0"/>
    <x v="8"/>
    <x v="18"/>
    <s v="SE3_STO"/>
    <x v="8"/>
    <s v="GBPR_WOODWASTE_BRISTA"/>
    <x v="0"/>
    <x v="20"/>
    <n v="122.385290770653"/>
    <n v="44670.631131288399"/>
    <n v="160814.27207263801"/>
  </r>
  <r>
    <x v="0"/>
    <x v="0"/>
    <x v="0"/>
    <x v="8"/>
    <x v="18"/>
    <s v="SE3_STO"/>
    <x v="8"/>
    <s v="GBPR_WOODWASTE_BRISTA"/>
    <x v="0"/>
    <x v="21"/>
    <n v="122.385290770653"/>
    <n v="44670.631131288399"/>
    <n v="160814.27207263801"/>
  </r>
  <r>
    <x v="0"/>
    <x v="0"/>
    <x v="0"/>
    <x v="8"/>
    <x v="18"/>
    <s v="SE3_STO"/>
    <x v="8"/>
    <s v="GBPR_WOODWASTE_BRISTA"/>
    <x v="0"/>
    <x v="22"/>
    <n v="122.385290770653"/>
    <n v="44670.631131288399"/>
    <n v="160814.27207263801"/>
  </r>
  <r>
    <x v="0"/>
    <x v="0"/>
    <x v="0"/>
    <x v="8"/>
    <x v="18"/>
    <s v="SE3_STO"/>
    <x v="8"/>
    <s v="GBPR_WOODWASTE_BRISTA"/>
    <x v="0"/>
    <x v="23"/>
    <n v="122.385290770653"/>
    <n v="44670.631131288399"/>
    <n v="160814.27207263801"/>
  </r>
  <r>
    <x v="0"/>
    <x v="0"/>
    <x v="0"/>
    <x v="8"/>
    <x v="19"/>
    <s v="SE4A"/>
    <x v="10"/>
    <s v="GBPR_IND_BIO"/>
    <x v="0"/>
    <x v="6"/>
    <n v="588.40909090909099"/>
    <n v="214769.318181818"/>
    <n v="773169.54545454495"/>
  </r>
  <r>
    <x v="0"/>
    <x v="0"/>
    <x v="0"/>
    <x v="8"/>
    <x v="19"/>
    <s v="SE4A"/>
    <x v="10"/>
    <s v="GBPR_IND_BIO"/>
    <x v="0"/>
    <x v="7"/>
    <n v="588.40909090909099"/>
    <n v="214769.318181818"/>
    <n v="773169.54545454495"/>
  </r>
  <r>
    <x v="0"/>
    <x v="0"/>
    <x v="0"/>
    <x v="8"/>
    <x v="19"/>
    <s v="SE4A"/>
    <x v="10"/>
    <s v="GBPR_IND_BIO"/>
    <x v="0"/>
    <x v="8"/>
    <n v="588.40909090909099"/>
    <n v="214769.318181818"/>
    <n v="773169.54545454495"/>
  </r>
  <r>
    <x v="0"/>
    <x v="0"/>
    <x v="0"/>
    <x v="8"/>
    <x v="19"/>
    <s v="SE4A"/>
    <x v="10"/>
    <s v="GBPR_IND_BIO"/>
    <x v="0"/>
    <x v="9"/>
    <n v="588.40909090909099"/>
    <n v="214769.318181818"/>
    <n v="773169.54545454495"/>
  </r>
  <r>
    <x v="0"/>
    <x v="0"/>
    <x v="0"/>
    <x v="8"/>
    <x v="19"/>
    <s v="SE4A"/>
    <x v="10"/>
    <s v="GBPR_IND_BIO"/>
    <x v="0"/>
    <x v="10"/>
    <n v="588.40909090909099"/>
    <n v="214769.318181818"/>
    <n v="773169.54545454495"/>
  </r>
  <r>
    <x v="0"/>
    <x v="0"/>
    <x v="0"/>
    <x v="8"/>
    <x v="19"/>
    <s v="SE4A"/>
    <x v="10"/>
    <s v="GBPR_IND_BIO"/>
    <x v="0"/>
    <x v="11"/>
    <n v="588.40909090909099"/>
    <n v="214769.318181818"/>
    <n v="773169.54545454495"/>
  </r>
  <r>
    <x v="0"/>
    <x v="0"/>
    <x v="0"/>
    <x v="8"/>
    <x v="19"/>
    <s v="SE4A"/>
    <x v="10"/>
    <s v="GBPR_IND_BIO"/>
    <x v="0"/>
    <x v="0"/>
    <n v="588.40909090909099"/>
    <n v="214769.318181818"/>
    <n v="773169.54545454495"/>
  </r>
  <r>
    <x v="0"/>
    <x v="0"/>
    <x v="0"/>
    <x v="8"/>
    <x v="19"/>
    <s v="SE4A"/>
    <x v="10"/>
    <s v="GBPR_IND_BIO"/>
    <x v="0"/>
    <x v="1"/>
    <n v="588.40909090909099"/>
    <n v="214769.318181818"/>
    <n v="773169.54545454495"/>
  </r>
  <r>
    <x v="0"/>
    <x v="0"/>
    <x v="0"/>
    <x v="8"/>
    <x v="19"/>
    <s v="SE4A"/>
    <x v="10"/>
    <s v="GBPR_IND_BIO"/>
    <x v="0"/>
    <x v="2"/>
    <n v="588.40909090909099"/>
    <n v="214769.318181818"/>
    <n v="773169.54545454495"/>
  </r>
  <r>
    <x v="0"/>
    <x v="0"/>
    <x v="0"/>
    <x v="8"/>
    <x v="19"/>
    <s v="SE4A"/>
    <x v="10"/>
    <s v="GBPR_IND_BIO"/>
    <x v="0"/>
    <x v="3"/>
    <n v="588.40909090909099"/>
    <n v="214769.318181818"/>
    <n v="773169.54545454495"/>
  </r>
  <r>
    <x v="0"/>
    <x v="0"/>
    <x v="0"/>
    <x v="8"/>
    <x v="19"/>
    <s v="SE4A"/>
    <x v="10"/>
    <s v="GBPR_IND_BIO"/>
    <x v="0"/>
    <x v="12"/>
    <n v="588.40909090909099"/>
    <n v="214769.318181818"/>
    <n v="773169.54545454495"/>
  </r>
  <r>
    <x v="0"/>
    <x v="0"/>
    <x v="0"/>
    <x v="8"/>
    <x v="19"/>
    <s v="SE4A"/>
    <x v="10"/>
    <s v="GBPR_IND_BIO"/>
    <x v="0"/>
    <x v="13"/>
    <n v="588.40909090909099"/>
    <n v="214769.318181818"/>
    <n v="773169.54545454495"/>
  </r>
  <r>
    <x v="0"/>
    <x v="0"/>
    <x v="0"/>
    <x v="8"/>
    <x v="19"/>
    <s v="SE4A"/>
    <x v="10"/>
    <s v="GBPR_IND_BIO"/>
    <x v="0"/>
    <x v="14"/>
    <n v="588.40909090909099"/>
    <n v="214769.318181818"/>
    <n v="773169.54545454495"/>
  </r>
  <r>
    <x v="0"/>
    <x v="0"/>
    <x v="0"/>
    <x v="8"/>
    <x v="19"/>
    <s v="SE4A"/>
    <x v="10"/>
    <s v="GBPR_IND_BIO"/>
    <x v="0"/>
    <x v="15"/>
    <n v="588.40909090909099"/>
    <n v="214769.318181818"/>
    <n v="773169.54545454495"/>
  </r>
  <r>
    <x v="0"/>
    <x v="0"/>
    <x v="0"/>
    <x v="8"/>
    <x v="19"/>
    <s v="SE4A"/>
    <x v="10"/>
    <s v="GBPR_IND_BIO"/>
    <x v="0"/>
    <x v="4"/>
    <n v="588.40909090909099"/>
    <n v="214769.318181818"/>
    <n v="773169.54545454495"/>
  </r>
  <r>
    <x v="0"/>
    <x v="0"/>
    <x v="0"/>
    <x v="8"/>
    <x v="19"/>
    <s v="SE4A"/>
    <x v="10"/>
    <s v="GBPR_IND_BIO"/>
    <x v="0"/>
    <x v="16"/>
    <n v="588.40909090909099"/>
    <n v="214769.318181818"/>
    <n v="773169.54545454495"/>
  </r>
  <r>
    <x v="0"/>
    <x v="0"/>
    <x v="0"/>
    <x v="8"/>
    <x v="19"/>
    <s v="SE4A"/>
    <x v="10"/>
    <s v="GBPR_IND_BIO"/>
    <x v="0"/>
    <x v="5"/>
    <n v="588.40909090909099"/>
    <n v="214769.318181818"/>
    <n v="773169.54545454495"/>
  </r>
  <r>
    <x v="0"/>
    <x v="0"/>
    <x v="0"/>
    <x v="8"/>
    <x v="19"/>
    <s v="SE4A"/>
    <x v="10"/>
    <s v="GBPR_IND_BIO"/>
    <x v="0"/>
    <x v="17"/>
    <n v="588.40909090909099"/>
    <n v="214769.318181818"/>
    <n v="773169.54545454495"/>
  </r>
  <r>
    <x v="0"/>
    <x v="0"/>
    <x v="0"/>
    <x v="8"/>
    <x v="19"/>
    <s v="SE4A"/>
    <x v="10"/>
    <s v="GBPR_IND_BIO"/>
    <x v="0"/>
    <x v="18"/>
    <n v="588.40909090909099"/>
    <n v="214769.318181818"/>
    <n v="773169.54545454495"/>
  </r>
  <r>
    <x v="0"/>
    <x v="0"/>
    <x v="0"/>
    <x v="8"/>
    <x v="19"/>
    <s v="SE4A"/>
    <x v="10"/>
    <s v="GBPR_IND_BIO"/>
    <x v="0"/>
    <x v="19"/>
    <n v="588.40909090909099"/>
    <n v="214769.318181818"/>
    <n v="773169.54545454495"/>
  </r>
  <r>
    <x v="0"/>
    <x v="0"/>
    <x v="0"/>
    <x v="8"/>
    <x v="19"/>
    <s v="SE4A"/>
    <x v="10"/>
    <s v="GBPR_IND_BIO"/>
    <x v="0"/>
    <x v="20"/>
    <n v="588.40909090909099"/>
    <n v="214769.318181818"/>
    <n v="773169.54545454495"/>
  </r>
  <r>
    <x v="0"/>
    <x v="0"/>
    <x v="0"/>
    <x v="8"/>
    <x v="19"/>
    <s v="SE4A"/>
    <x v="10"/>
    <s v="GBPR_IND_BIO"/>
    <x v="0"/>
    <x v="21"/>
    <n v="588.40909090909099"/>
    <n v="214769.318181818"/>
    <n v="773169.54545454495"/>
  </r>
  <r>
    <x v="0"/>
    <x v="0"/>
    <x v="0"/>
    <x v="8"/>
    <x v="19"/>
    <s v="SE4A"/>
    <x v="10"/>
    <s v="GBPR_IND_BIO"/>
    <x v="0"/>
    <x v="22"/>
    <n v="588.40909090909099"/>
    <n v="214769.318181818"/>
    <n v="773169.54545454495"/>
  </r>
  <r>
    <x v="0"/>
    <x v="0"/>
    <x v="0"/>
    <x v="8"/>
    <x v="19"/>
    <s v="SE4_EL"/>
    <x v="14"/>
    <s v="GETOH_HEATPUMP1"/>
    <x v="0"/>
    <x v="11"/>
    <n v="0.44190186542447402"/>
    <n v="161.29418087993301"/>
    <n v="580.659051167759"/>
  </r>
  <r>
    <x v="0"/>
    <x v="0"/>
    <x v="0"/>
    <x v="8"/>
    <x v="19"/>
    <s v="SE4_EL"/>
    <x v="1"/>
    <s v="GNR_HS_HEAT_WTR-TANK_LS_E-95_Y-2010"/>
    <x v="0"/>
    <x v="0"/>
    <n v="23.079171546747499"/>
    <n v="8423.8976145628494"/>
    <n v="30326.031412426299"/>
  </r>
  <r>
    <x v="0"/>
    <x v="0"/>
    <x v="0"/>
    <x v="8"/>
    <x v="19"/>
    <s v="SE4_EL"/>
    <x v="1"/>
    <s v="GNR_HS_HEAT_WTR-TANK_LS_E-95_Y-2010"/>
    <x v="0"/>
    <x v="1"/>
    <n v="35.523519167485702"/>
    <n v="12966.0844961323"/>
    <n v="46677.904186076099"/>
  </r>
  <r>
    <x v="0"/>
    <x v="0"/>
    <x v="0"/>
    <x v="8"/>
    <x v="19"/>
    <s v="SE4_EL"/>
    <x v="1"/>
    <s v="GNR_HS_HEAT_WTR-TANK_LS_E-95_Y-2010"/>
    <x v="0"/>
    <x v="2"/>
    <n v="34.9423201001064"/>
    <n v="12753.9468365388"/>
    <n v="45914.208611539798"/>
  </r>
  <r>
    <x v="0"/>
    <x v="0"/>
    <x v="0"/>
    <x v="8"/>
    <x v="19"/>
    <s v="SE4_EL"/>
    <x v="1"/>
    <s v="GNR_HS_HEAT_WTR-TANK_LS_E-95_Y-2010"/>
    <x v="0"/>
    <x v="3"/>
    <n v="29.8410797692149"/>
    <n v="10891.9941157635"/>
    <n v="39211.178816748397"/>
  </r>
  <r>
    <x v="0"/>
    <x v="0"/>
    <x v="0"/>
    <x v="8"/>
    <x v="19"/>
    <s v="SE4_EL"/>
    <x v="1"/>
    <s v="GNR_HS_HEAT_WTR-TANK_LS_E-95_Y-2010"/>
    <x v="0"/>
    <x v="13"/>
    <n v="15.844500935403101"/>
    <n v="5783.2428414221504"/>
    <n v="20819.674229119701"/>
  </r>
  <r>
    <x v="0"/>
    <x v="0"/>
    <x v="0"/>
    <x v="8"/>
    <x v="19"/>
    <s v="SE4_EL"/>
    <x v="1"/>
    <s v="GNR_HS_HEAT_WTR-TANK_LS_E-95_Y-2010"/>
    <x v="0"/>
    <x v="14"/>
    <n v="12.1160637919634"/>
    <n v="4422.3632840666296"/>
    <n v="15920.5078226399"/>
  </r>
  <r>
    <x v="0"/>
    <x v="0"/>
    <x v="0"/>
    <x v="8"/>
    <x v="19"/>
    <s v="SE4_EL"/>
    <x v="1"/>
    <s v="GNR_HS_HEAT_WTR-TANK_LS_E-95_Y-2010"/>
    <x v="0"/>
    <x v="15"/>
    <n v="9.6943715622220292"/>
    <n v="3538.44562021104"/>
    <n v="12738.4042327598"/>
  </r>
  <r>
    <x v="0"/>
    <x v="0"/>
    <x v="0"/>
    <x v="8"/>
    <x v="19"/>
    <s v="SE4_EL"/>
    <x v="1"/>
    <s v="GNR_HS_HEAT_WTR-TANK_LS_E-95_Y-2010"/>
    <x v="0"/>
    <x v="4"/>
    <n v="8.0223020678476402"/>
    <n v="2928.1402547643902"/>
    <n v="10541.3049171518"/>
  </r>
  <r>
    <x v="0"/>
    <x v="0"/>
    <x v="0"/>
    <x v="8"/>
    <x v="19"/>
    <s v="SE4_EL"/>
    <x v="1"/>
    <s v="GNR_HS_HEAT_WTR-TANK_LS_E-95_Y-2010"/>
    <x v="0"/>
    <x v="16"/>
    <n v="8.0263007529350894"/>
    <n v="2929.5997748213099"/>
    <n v="10546.5591893567"/>
  </r>
  <r>
    <x v="0"/>
    <x v="0"/>
    <x v="0"/>
    <x v="8"/>
    <x v="19"/>
    <s v="SE4_EL"/>
    <x v="1"/>
    <s v="GNR_HS_HEAT_WTR-TANK_LS_E-95_Y-2010"/>
    <x v="0"/>
    <x v="5"/>
    <n v="4.7499261280140601"/>
    <n v="1733.72303672513"/>
    <n v="6241.4029322104698"/>
  </r>
  <r>
    <x v="0"/>
    <x v="0"/>
    <x v="0"/>
    <x v="8"/>
    <x v="19"/>
    <s v="SE4_EL"/>
    <x v="3"/>
    <s v="GHOB_NATGAS"/>
    <x v="0"/>
    <x v="12"/>
    <n v="23.188733465543699"/>
    <n v="8463.8877149234504"/>
    <n v="30469.9957737244"/>
  </r>
  <r>
    <x v="0"/>
    <x v="0"/>
    <x v="0"/>
    <x v="8"/>
    <x v="19"/>
    <s v="SE4_EL"/>
    <x v="3"/>
    <s v="GHOB_NATGAS"/>
    <x v="0"/>
    <x v="13"/>
    <n v="0.99956114612151903"/>
    <n v="364.83981833435502"/>
    <n v="1313.4233460036801"/>
  </r>
  <r>
    <x v="0"/>
    <x v="0"/>
    <x v="0"/>
    <x v="8"/>
    <x v="19"/>
    <s v="SE4_EL"/>
    <x v="17"/>
    <s v="GBPR_RECYCLEDWOOD"/>
    <x v="0"/>
    <x v="6"/>
    <n v="49.2739836602289"/>
    <n v="17985.0040359835"/>
    <n v="64746.014529540698"/>
  </r>
  <r>
    <x v="0"/>
    <x v="0"/>
    <x v="0"/>
    <x v="8"/>
    <x v="19"/>
    <s v="SE4_EL"/>
    <x v="17"/>
    <s v="GBPR_RECYCLEDWOOD"/>
    <x v="0"/>
    <x v="7"/>
    <n v="49.2739836602289"/>
    <n v="17985.0040359835"/>
    <n v="64746.014529540698"/>
  </r>
  <r>
    <x v="0"/>
    <x v="0"/>
    <x v="0"/>
    <x v="8"/>
    <x v="19"/>
    <s v="SE4_EL"/>
    <x v="17"/>
    <s v="GBPR_RECYCLEDWOOD"/>
    <x v="0"/>
    <x v="8"/>
    <n v="49.2739836602289"/>
    <n v="17985.0040359835"/>
    <n v="64746.014529540698"/>
  </r>
  <r>
    <x v="0"/>
    <x v="0"/>
    <x v="0"/>
    <x v="8"/>
    <x v="19"/>
    <s v="SE4_EL"/>
    <x v="17"/>
    <s v="GBPR_RECYCLEDWOOD"/>
    <x v="0"/>
    <x v="9"/>
    <n v="49.2739836602289"/>
    <n v="17985.0040359835"/>
    <n v="64746.014529540698"/>
  </r>
  <r>
    <x v="0"/>
    <x v="0"/>
    <x v="0"/>
    <x v="8"/>
    <x v="19"/>
    <s v="SE4_EL"/>
    <x v="17"/>
    <s v="GBPR_RECYCLEDWOOD"/>
    <x v="0"/>
    <x v="10"/>
    <n v="49.2739836602289"/>
    <n v="17985.0040359835"/>
    <n v="64746.014529540698"/>
  </r>
  <r>
    <x v="0"/>
    <x v="0"/>
    <x v="0"/>
    <x v="8"/>
    <x v="19"/>
    <s v="SE4_EL"/>
    <x v="17"/>
    <s v="GBPR_RECYCLEDWOOD"/>
    <x v="0"/>
    <x v="11"/>
    <n v="49.2739836602289"/>
    <n v="17985.0040359835"/>
    <n v="64746.014529540698"/>
  </r>
  <r>
    <x v="0"/>
    <x v="0"/>
    <x v="0"/>
    <x v="8"/>
    <x v="19"/>
    <s v="SE4_EL"/>
    <x v="17"/>
    <s v="GBPR_RECYCLEDWOOD"/>
    <x v="0"/>
    <x v="0"/>
    <n v="49.2739836602289"/>
    <n v="17985.0040359835"/>
    <n v="64746.014529540698"/>
  </r>
  <r>
    <x v="0"/>
    <x v="0"/>
    <x v="0"/>
    <x v="8"/>
    <x v="19"/>
    <s v="SE4_EL"/>
    <x v="17"/>
    <s v="GBPR_RECYCLEDWOOD"/>
    <x v="0"/>
    <x v="1"/>
    <n v="49.2739836602289"/>
    <n v="17985.0040359835"/>
    <n v="64746.014529540698"/>
  </r>
  <r>
    <x v="0"/>
    <x v="0"/>
    <x v="0"/>
    <x v="8"/>
    <x v="19"/>
    <s v="SE4_EL"/>
    <x v="17"/>
    <s v="GBPR_RECYCLEDWOOD"/>
    <x v="0"/>
    <x v="2"/>
    <n v="49.2739836602289"/>
    <n v="17985.0040359835"/>
    <n v="64746.014529540698"/>
  </r>
  <r>
    <x v="0"/>
    <x v="0"/>
    <x v="0"/>
    <x v="8"/>
    <x v="19"/>
    <s v="SE4_EL"/>
    <x v="17"/>
    <s v="GBPR_RECYCLEDWOOD"/>
    <x v="0"/>
    <x v="3"/>
    <n v="49.2739836602289"/>
    <n v="17985.0040359835"/>
    <n v="64746.014529540698"/>
  </r>
  <r>
    <x v="0"/>
    <x v="0"/>
    <x v="0"/>
    <x v="8"/>
    <x v="19"/>
    <s v="SE4_EL"/>
    <x v="17"/>
    <s v="GBPR_RECYCLEDWOOD"/>
    <x v="0"/>
    <x v="12"/>
    <n v="49.2739836602289"/>
    <n v="17985.0040359835"/>
    <n v="64746.014529540698"/>
  </r>
  <r>
    <x v="0"/>
    <x v="0"/>
    <x v="0"/>
    <x v="8"/>
    <x v="19"/>
    <s v="SE4_EL"/>
    <x v="17"/>
    <s v="GBPR_RECYCLEDWOOD"/>
    <x v="0"/>
    <x v="13"/>
    <n v="49.2739836602289"/>
    <n v="17985.0040359835"/>
    <n v="64746.014529540698"/>
  </r>
  <r>
    <x v="0"/>
    <x v="0"/>
    <x v="0"/>
    <x v="8"/>
    <x v="19"/>
    <s v="SE4_EL"/>
    <x v="17"/>
    <s v="GBPR_RECYCLEDWOOD"/>
    <x v="0"/>
    <x v="14"/>
    <n v="49.2739836602289"/>
    <n v="17985.0040359835"/>
    <n v="64746.014529540698"/>
  </r>
  <r>
    <x v="0"/>
    <x v="0"/>
    <x v="0"/>
    <x v="8"/>
    <x v="19"/>
    <s v="SE4_EL"/>
    <x v="17"/>
    <s v="GBPR_RECYCLEDWOOD"/>
    <x v="0"/>
    <x v="15"/>
    <n v="49.2739836602289"/>
    <n v="17985.0040359835"/>
    <n v="64746.014529540698"/>
  </r>
  <r>
    <x v="0"/>
    <x v="0"/>
    <x v="0"/>
    <x v="8"/>
    <x v="19"/>
    <s v="SE4_EL"/>
    <x v="17"/>
    <s v="GBPR_RECYCLEDWOOD"/>
    <x v="0"/>
    <x v="4"/>
    <n v="49.2739836602289"/>
    <n v="17985.0040359835"/>
    <n v="64746.014529540698"/>
  </r>
  <r>
    <x v="0"/>
    <x v="0"/>
    <x v="0"/>
    <x v="8"/>
    <x v="19"/>
    <s v="SE4_EL"/>
    <x v="17"/>
    <s v="GBPR_RECYCLEDWOOD"/>
    <x v="0"/>
    <x v="16"/>
    <n v="49.2739836602289"/>
    <n v="17985.0040359835"/>
    <n v="64746.014529540698"/>
  </r>
  <r>
    <x v="0"/>
    <x v="0"/>
    <x v="0"/>
    <x v="8"/>
    <x v="19"/>
    <s v="SE4_EL"/>
    <x v="17"/>
    <s v="GBPR_RECYCLEDWOOD"/>
    <x v="0"/>
    <x v="5"/>
    <n v="49.2739836602289"/>
    <n v="17985.0040359835"/>
    <n v="64746.014529540698"/>
  </r>
  <r>
    <x v="0"/>
    <x v="0"/>
    <x v="0"/>
    <x v="8"/>
    <x v="19"/>
    <s v="SE4_EL"/>
    <x v="17"/>
    <s v="GBPR_RECYCLEDWOOD"/>
    <x v="0"/>
    <x v="17"/>
    <n v="49.2739836602289"/>
    <n v="17985.0040359835"/>
    <n v="64746.014529540698"/>
  </r>
  <r>
    <x v="0"/>
    <x v="0"/>
    <x v="0"/>
    <x v="8"/>
    <x v="19"/>
    <s v="SE4_EL"/>
    <x v="17"/>
    <s v="GBPR_RECYCLEDWOOD"/>
    <x v="0"/>
    <x v="18"/>
    <n v="49.2739836602289"/>
    <n v="17985.0040359835"/>
    <n v="64746.014529540698"/>
  </r>
  <r>
    <x v="0"/>
    <x v="0"/>
    <x v="0"/>
    <x v="8"/>
    <x v="19"/>
    <s v="SE4_EL"/>
    <x v="17"/>
    <s v="GBPR_RECYCLEDWOOD"/>
    <x v="0"/>
    <x v="19"/>
    <n v="49.2739836602289"/>
    <n v="17985.0040359835"/>
    <n v="64746.014529540698"/>
  </r>
  <r>
    <x v="0"/>
    <x v="0"/>
    <x v="0"/>
    <x v="8"/>
    <x v="19"/>
    <s v="SE4_EL"/>
    <x v="17"/>
    <s v="GBPR_RECYCLEDWOOD"/>
    <x v="0"/>
    <x v="20"/>
    <n v="49.2739836602289"/>
    <n v="17985.0040359835"/>
    <n v="64746.014529540698"/>
  </r>
  <r>
    <x v="0"/>
    <x v="0"/>
    <x v="0"/>
    <x v="8"/>
    <x v="19"/>
    <s v="SE4_EL"/>
    <x v="17"/>
    <s v="GBPR_RECYCLEDWOOD"/>
    <x v="0"/>
    <x v="21"/>
    <n v="49.2739836602289"/>
    <n v="17985.0040359835"/>
    <n v="64746.014529540698"/>
  </r>
  <r>
    <x v="0"/>
    <x v="0"/>
    <x v="0"/>
    <x v="8"/>
    <x v="19"/>
    <s v="SE4_EL"/>
    <x v="17"/>
    <s v="GBPR_RECYCLEDWOOD"/>
    <x v="0"/>
    <x v="22"/>
    <n v="49.2739836602289"/>
    <n v="17985.0040359835"/>
    <n v="64746.014529540698"/>
  </r>
  <r>
    <x v="0"/>
    <x v="0"/>
    <x v="0"/>
    <x v="8"/>
    <x v="19"/>
    <s v="SE4_EL"/>
    <x v="17"/>
    <s v="GBPR_RECYCLEDWOOD"/>
    <x v="0"/>
    <x v="23"/>
    <n v="49.2739836602289"/>
    <n v="17985.0040359835"/>
    <n v="64746.014529540698"/>
  </r>
  <r>
    <x v="0"/>
    <x v="0"/>
    <x v="0"/>
    <x v="8"/>
    <x v="19"/>
    <s v="SE4_EL"/>
    <x v="17"/>
    <s v="GBPR_RECYCLEDWOOD_SE4EL"/>
    <x v="0"/>
    <x v="6"/>
    <n v="7.4955144427247999"/>
    <n v="2735.8627715945499"/>
    <n v="9849.1059777403898"/>
  </r>
  <r>
    <x v="0"/>
    <x v="0"/>
    <x v="0"/>
    <x v="8"/>
    <x v="19"/>
    <s v="SE4_EL"/>
    <x v="17"/>
    <s v="GBPR_RECYCLEDWOOD_SE4EL"/>
    <x v="0"/>
    <x v="7"/>
    <n v="7.4955144427247999"/>
    <n v="2735.8627715945499"/>
    <n v="9849.1059777403898"/>
  </r>
  <r>
    <x v="0"/>
    <x v="0"/>
    <x v="0"/>
    <x v="8"/>
    <x v="19"/>
    <s v="SE4_EL"/>
    <x v="17"/>
    <s v="GBPR_RECYCLEDWOOD_SE4EL"/>
    <x v="0"/>
    <x v="8"/>
    <n v="7.4955144427247999"/>
    <n v="2735.8627715945499"/>
    <n v="9849.1059777403898"/>
  </r>
  <r>
    <x v="0"/>
    <x v="0"/>
    <x v="0"/>
    <x v="8"/>
    <x v="19"/>
    <s v="SE4_EL"/>
    <x v="17"/>
    <s v="GBPR_RECYCLEDWOOD_SE4EL"/>
    <x v="0"/>
    <x v="9"/>
    <n v="7.4955144427247999"/>
    <n v="2735.8627715945499"/>
    <n v="9849.1059777403898"/>
  </r>
  <r>
    <x v="0"/>
    <x v="0"/>
    <x v="0"/>
    <x v="8"/>
    <x v="19"/>
    <s v="SE4_EL"/>
    <x v="17"/>
    <s v="GBPR_RECYCLEDWOOD_SE4EL"/>
    <x v="0"/>
    <x v="10"/>
    <n v="7.4955144427247999"/>
    <n v="2735.8627715945499"/>
    <n v="9849.1059777403898"/>
  </r>
  <r>
    <x v="0"/>
    <x v="0"/>
    <x v="0"/>
    <x v="8"/>
    <x v="19"/>
    <s v="SE4_EL"/>
    <x v="17"/>
    <s v="GBPR_RECYCLEDWOOD_SE4EL"/>
    <x v="0"/>
    <x v="11"/>
    <n v="7.4955144427247999"/>
    <n v="2735.8627715945499"/>
    <n v="9849.1059777403898"/>
  </r>
  <r>
    <x v="0"/>
    <x v="0"/>
    <x v="0"/>
    <x v="8"/>
    <x v="19"/>
    <s v="SE4_EL"/>
    <x v="17"/>
    <s v="GBPR_RECYCLEDWOOD_SE4EL"/>
    <x v="0"/>
    <x v="0"/>
    <n v="7.4955144427247999"/>
    <n v="2735.8627715945499"/>
    <n v="9849.1059777403898"/>
  </r>
  <r>
    <x v="0"/>
    <x v="0"/>
    <x v="0"/>
    <x v="8"/>
    <x v="19"/>
    <s v="SE4_EL"/>
    <x v="17"/>
    <s v="GBPR_RECYCLEDWOOD_SE4EL"/>
    <x v="0"/>
    <x v="1"/>
    <n v="7.4955144427247999"/>
    <n v="2735.8627715945499"/>
    <n v="9849.1059777403898"/>
  </r>
  <r>
    <x v="0"/>
    <x v="0"/>
    <x v="0"/>
    <x v="8"/>
    <x v="19"/>
    <s v="SE4_EL"/>
    <x v="17"/>
    <s v="GBPR_RECYCLEDWOOD_SE4EL"/>
    <x v="0"/>
    <x v="2"/>
    <n v="7.4955144427247999"/>
    <n v="2735.8627715945499"/>
    <n v="9849.1059777403898"/>
  </r>
  <r>
    <x v="0"/>
    <x v="0"/>
    <x v="0"/>
    <x v="8"/>
    <x v="19"/>
    <s v="SE4_EL"/>
    <x v="17"/>
    <s v="GBPR_RECYCLEDWOOD_SE4EL"/>
    <x v="0"/>
    <x v="3"/>
    <n v="7.4955144427247999"/>
    <n v="2735.8627715945499"/>
    <n v="9849.1059777403898"/>
  </r>
  <r>
    <x v="0"/>
    <x v="0"/>
    <x v="0"/>
    <x v="8"/>
    <x v="19"/>
    <s v="SE4_EL"/>
    <x v="17"/>
    <s v="GBPR_RECYCLEDWOOD_SE4EL"/>
    <x v="0"/>
    <x v="12"/>
    <n v="7.4955144427247999"/>
    <n v="2735.8627715945499"/>
    <n v="9849.1059777403898"/>
  </r>
  <r>
    <x v="0"/>
    <x v="0"/>
    <x v="0"/>
    <x v="8"/>
    <x v="19"/>
    <s v="SE4_EL"/>
    <x v="17"/>
    <s v="GBPR_RECYCLEDWOOD_SE4EL"/>
    <x v="0"/>
    <x v="13"/>
    <n v="7.4955144427247999"/>
    <n v="2735.8627715945499"/>
    <n v="9849.1059777403898"/>
  </r>
  <r>
    <x v="0"/>
    <x v="0"/>
    <x v="0"/>
    <x v="8"/>
    <x v="19"/>
    <s v="SE4_EL"/>
    <x v="17"/>
    <s v="GBPR_RECYCLEDWOOD_SE4EL"/>
    <x v="0"/>
    <x v="14"/>
    <n v="7.4955144427247999"/>
    <n v="2735.8627715945499"/>
    <n v="9849.1059777403898"/>
  </r>
  <r>
    <x v="0"/>
    <x v="0"/>
    <x v="0"/>
    <x v="8"/>
    <x v="19"/>
    <s v="SE4_EL"/>
    <x v="17"/>
    <s v="GBPR_RECYCLEDWOOD_SE4EL"/>
    <x v="0"/>
    <x v="15"/>
    <n v="7.4955144427247999"/>
    <n v="2735.8627715945499"/>
    <n v="9849.1059777403898"/>
  </r>
  <r>
    <x v="0"/>
    <x v="0"/>
    <x v="0"/>
    <x v="8"/>
    <x v="19"/>
    <s v="SE4_EL"/>
    <x v="17"/>
    <s v="GBPR_RECYCLEDWOOD_SE4EL"/>
    <x v="0"/>
    <x v="4"/>
    <n v="7.4955144427247999"/>
    <n v="2735.8627715945499"/>
    <n v="9849.1059777403898"/>
  </r>
  <r>
    <x v="0"/>
    <x v="0"/>
    <x v="0"/>
    <x v="8"/>
    <x v="19"/>
    <s v="SE4_EL"/>
    <x v="17"/>
    <s v="GBPR_RECYCLEDWOOD_SE4EL"/>
    <x v="0"/>
    <x v="16"/>
    <n v="7.4955144427247999"/>
    <n v="2735.8627715945499"/>
    <n v="9849.1059777403898"/>
  </r>
  <r>
    <x v="0"/>
    <x v="0"/>
    <x v="0"/>
    <x v="8"/>
    <x v="19"/>
    <s v="SE4_EL"/>
    <x v="17"/>
    <s v="GBPR_RECYCLEDWOOD_SE4EL"/>
    <x v="0"/>
    <x v="5"/>
    <n v="7.4955144427247999"/>
    <n v="2735.8627715945499"/>
    <n v="9849.1059777403898"/>
  </r>
  <r>
    <x v="0"/>
    <x v="0"/>
    <x v="0"/>
    <x v="8"/>
    <x v="19"/>
    <s v="SE4_EL"/>
    <x v="17"/>
    <s v="GBPR_RECYCLEDWOOD_SE4EL"/>
    <x v="0"/>
    <x v="17"/>
    <n v="7.4955144427247999"/>
    <n v="2735.8627715945499"/>
    <n v="9849.1059777403898"/>
  </r>
  <r>
    <x v="0"/>
    <x v="0"/>
    <x v="0"/>
    <x v="8"/>
    <x v="19"/>
    <s v="SE4_EL"/>
    <x v="17"/>
    <s v="GBPR_RECYCLEDWOOD_SE4EL"/>
    <x v="0"/>
    <x v="18"/>
    <n v="7.4955144427247999"/>
    <n v="2735.8627715945499"/>
    <n v="9849.1059777403898"/>
  </r>
  <r>
    <x v="0"/>
    <x v="0"/>
    <x v="0"/>
    <x v="8"/>
    <x v="19"/>
    <s v="SE4_EL"/>
    <x v="17"/>
    <s v="GBPR_RECYCLEDWOOD_SE4EL"/>
    <x v="0"/>
    <x v="19"/>
    <n v="7.4955144427247999"/>
    <n v="2735.8627715945499"/>
    <n v="9849.1059777403898"/>
  </r>
  <r>
    <x v="0"/>
    <x v="0"/>
    <x v="0"/>
    <x v="8"/>
    <x v="19"/>
    <s v="SE4_EL"/>
    <x v="17"/>
    <s v="GBPR_RECYCLEDWOOD_SE4EL"/>
    <x v="0"/>
    <x v="20"/>
    <n v="7.4955144427247999"/>
    <n v="2735.8627715945499"/>
    <n v="9849.1059777403898"/>
  </r>
  <r>
    <x v="0"/>
    <x v="0"/>
    <x v="0"/>
    <x v="8"/>
    <x v="19"/>
    <s v="SE4_EL"/>
    <x v="17"/>
    <s v="GBPR_RECYCLEDWOOD_SE4EL"/>
    <x v="0"/>
    <x v="21"/>
    <n v="7.4955144427247999"/>
    <n v="2735.8627715945499"/>
    <n v="9849.1059777403898"/>
  </r>
  <r>
    <x v="0"/>
    <x v="0"/>
    <x v="0"/>
    <x v="8"/>
    <x v="19"/>
    <s v="SE4_EL"/>
    <x v="17"/>
    <s v="GBPR_RECYCLEDWOOD_SE4EL"/>
    <x v="0"/>
    <x v="22"/>
    <n v="7.4955144427247999"/>
    <n v="2735.8627715945499"/>
    <n v="9849.1059777403898"/>
  </r>
  <r>
    <x v="0"/>
    <x v="0"/>
    <x v="0"/>
    <x v="8"/>
    <x v="19"/>
    <s v="SE4_EL"/>
    <x v="17"/>
    <s v="GBPR_RECYCLEDWOOD_SE4EL"/>
    <x v="0"/>
    <x v="23"/>
    <n v="7.4955144427247999"/>
    <n v="2735.8627715945499"/>
    <n v="9849.1059777403898"/>
  </r>
  <r>
    <x v="0"/>
    <x v="0"/>
    <x v="0"/>
    <x v="8"/>
    <x v="19"/>
    <s v="SE4_EL"/>
    <x v="17"/>
    <s v="GHOB_RECYCLEDWOOD"/>
    <x v="0"/>
    <x v="6"/>
    <n v="3.9549141856392298"/>
    <n v="1443.54367775832"/>
    <n v="5196.7572399299497"/>
  </r>
  <r>
    <x v="0"/>
    <x v="0"/>
    <x v="0"/>
    <x v="8"/>
    <x v="19"/>
    <s v="SE4_EL"/>
    <x v="17"/>
    <s v="GHOB_RECYCLEDWOOD"/>
    <x v="0"/>
    <x v="7"/>
    <n v="3.9549141856392298"/>
    <n v="1443.54367775832"/>
    <n v="5196.7572399299497"/>
  </r>
  <r>
    <x v="0"/>
    <x v="0"/>
    <x v="0"/>
    <x v="8"/>
    <x v="19"/>
    <s v="SE4_EL"/>
    <x v="17"/>
    <s v="GHOB_RECYCLEDWOOD"/>
    <x v="0"/>
    <x v="8"/>
    <n v="3.9549141856392298"/>
    <n v="1443.54367775832"/>
    <n v="5196.7572399299497"/>
  </r>
  <r>
    <x v="0"/>
    <x v="0"/>
    <x v="0"/>
    <x v="8"/>
    <x v="19"/>
    <s v="SE4_EL"/>
    <x v="17"/>
    <s v="GHOB_RECYCLEDWOOD"/>
    <x v="0"/>
    <x v="9"/>
    <n v="3.9549141856392298"/>
    <n v="1443.54367775832"/>
    <n v="5196.7572399299497"/>
  </r>
  <r>
    <x v="0"/>
    <x v="0"/>
    <x v="0"/>
    <x v="8"/>
    <x v="19"/>
    <s v="SE4_EL"/>
    <x v="17"/>
    <s v="GHOB_RECYCLEDWOOD"/>
    <x v="0"/>
    <x v="10"/>
    <n v="3.9549141856392298"/>
    <n v="1443.54367775832"/>
    <n v="5196.7572399299497"/>
  </r>
  <r>
    <x v="0"/>
    <x v="0"/>
    <x v="0"/>
    <x v="8"/>
    <x v="19"/>
    <s v="SE4_EL"/>
    <x v="17"/>
    <s v="GHOB_RECYCLEDWOOD"/>
    <x v="0"/>
    <x v="11"/>
    <n v="3.9549141856392298"/>
    <n v="1443.54367775832"/>
    <n v="5196.7572399299497"/>
  </r>
  <r>
    <x v="0"/>
    <x v="0"/>
    <x v="0"/>
    <x v="8"/>
    <x v="19"/>
    <s v="SE4_EL"/>
    <x v="17"/>
    <s v="GHOB_RECYCLEDWOOD"/>
    <x v="0"/>
    <x v="0"/>
    <n v="3.9549141856392298"/>
    <n v="1443.54367775832"/>
    <n v="5196.7572399299497"/>
  </r>
  <r>
    <x v="0"/>
    <x v="0"/>
    <x v="0"/>
    <x v="8"/>
    <x v="19"/>
    <s v="SE4_EL"/>
    <x v="17"/>
    <s v="GHOB_RECYCLEDWOOD"/>
    <x v="0"/>
    <x v="1"/>
    <n v="3.9549141856392298"/>
    <n v="1443.54367775832"/>
    <n v="5196.7572399299497"/>
  </r>
  <r>
    <x v="0"/>
    <x v="0"/>
    <x v="0"/>
    <x v="8"/>
    <x v="19"/>
    <s v="SE4_EL"/>
    <x v="17"/>
    <s v="GHOB_RECYCLEDWOOD"/>
    <x v="0"/>
    <x v="2"/>
    <n v="3.9549141856392298"/>
    <n v="1443.54367775832"/>
    <n v="5196.7572399299497"/>
  </r>
  <r>
    <x v="0"/>
    <x v="0"/>
    <x v="0"/>
    <x v="8"/>
    <x v="19"/>
    <s v="SE4_EL"/>
    <x v="17"/>
    <s v="GHOB_RECYCLEDWOOD"/>
    <x v="0"/>
    <x v="3"/>
    <n v="3.9549141856392298"/>
    <n v="1443.54367775832"/>
    <n v="5196.7572399299497"/>
  </r>
  <r>
    <x v="0"/>
    <x v="0"/>
    <x v="0"/>
    <x v="8"/>
    <x v="19"/>
    <s v="SE4_EL"/>
    <x v="17"/>
    <s v="GHOB_RECYCLEDWOOD"/>
    <x v="0"/>
    <x v="12"/>
    <n v="3.9549141856392298"/>
    <n v="1443.54367775832"/>
    <n v="5196.7572399299497"/>
  </r>
  <r>
    <x v="0"/>
    <x v="0"/>
    <x v="0"/>
    <x v="8"/>
    <x v="19"/>
    <s v="SE4_EL"/>
    <x v="17"/>
    <s v="GHOB_RECYCLEDWOOD"/>
    <x v="0"/>
    <x v="13"/>
    <n v="3.9549141856392298"/>
    <n v="1443.54367775832"/>
    <n v="5196.7572399299497"/>
  </r>
  <r>
    <x v="0"/>
    <x v="0"/>
    <x v="0"/>
    <x v="8"/>
    <x v="19"/>
    <s v="SE4_EL"/>
    <x v="17"/>
    <s v="GHOB_RECYCLEDWOOD"/>
    <x v="0"/>
    <x v="14"/>
    <n v="3.9549141856392298"/>
    <n v="1443.54367775832"/>
    <n v="5196.7572399299497"/>
  </r>
  <r>
    <x v="0"/>
    <x v="0"/>
    <x v="0"/>
    <x v="8"/>
    <x v="19"/>
    <s v="SE4_EL"/>
    <x v="17"/>
    <s v="GHOB_RECYCLEDWOOD"/>
    <x v="0"/>
    <x v="15"/>
    <n v="3.9549141856392298"/>
    <n v="1443.54367775832"/>
    <n v="5196.7572399299497"/>
  </r>
  <r>
    <x v="0"/>
    <x v="0"/>
    <x v="0"/>
    <x v="8"/>
    <x v="19"/>
    <s v="SE4_EL"/>
    <x v="17"/>
    <s v="GHOB_RECYCLEDWOOD"/>
    <x v="0"/>
    <x v="4"/>
    <n v="3.9549141856392298"/>
    <n v="1443.54367775832"/>
    <n v="5196.7572399299497"/>
  </r>
  <r>
    <x v="0"/>
    <x v="0"/>
    <x v="0"/>
    <x v="8"/>
    <x v="19"/>
    <s v="SE4_EL"/>
    <x v="17"/>
    <s v="GHOB_RECYCLEDWOOD"/>
    <x v="0"/>
    <x v="16"/>
    <n v="3.9549141856392298"/>
    <n v="1443.54367775832"/>
    <n v="5196.7572399299497"/>
  </r>
  <r>
    <x v="0"/>
    <x v="0"/>
    <x v="0"/>
    <x v="8"/>
    <x v="19"/>
    <s v="SE4_EL"/>
    <x v="17"/>
    <s v="GHOB_RECYCLEDWOOD"/>
    <x v="0"/>
    <x v="5"/>
    <n v="3.9549141856392298"/>
    <n v="1443.54367775832"/>
    <n v="5196.7572399299497"/>
  </r>
  <r>
    <x v="0"/>
    <x v="0"/>
    <x v="0"/>
    <x v="8"/>
    <x v="19"/>
    <s v="SE4_EL"/>
    <x v="17"/>
    <s v="GHOB_RECYCLEDWOOD"/>
    <x v="0"/>
    <x v="17"/>
    <n v="3.9549141856392298"/>
    <n v="1443.54367775832"/>
    <n v="5196.7572399299497"/>
  </r>
  <r>
    <x v="0"/>
    <x v="0"/>
    <x v="0"/>
    <x v="8"/>
    <x v="19"/>
    <s v="SE4_EL"/>
    <x v="17"/>
    <s v="GHOB_RECYCLEDWOOD"/>
    <x v="0"/>
    <x v="18"/>
    <n v="3.9549141856392298"/>
    <n v="1443.54367775832"/>
    <n v="5196.7572399299497"/>
  </r>
  <r>
    <x v="0"/>
    <x v="0"/>
    <x v="0"/>
    <x v="8"/>
    <x v="19"/>
    <s v="SE4_EL"/>
    <x v="17"/>
    <s v="GHOB_RECYCLEDWOOD"/>
    <x v="0"/>
    <x v="19"/>
    <n v="3.9549141856392298"/>
    <n v="1443.54367775832"/>
    <n v="5196.7572399299497"/>
  </r>
  <r>
    <x v="0"/>
    <x v="0"/>
    <x v="0"/>
    <x v="8"/>
    <x v="19"/>
    <s v="SE4_EL"/>
    <x v="17"/>
    <s v="GHOB_RECYCLEDWOOD"/>
    <x v="0"/>
    <x v="20"/>
    <n v="3.9549141856392298"/>
    <n v="1443.54367775832"/>
    <n v="5196.7572399299497"/>
  </r>
  <r>
    <x v="0"/>
    <x v="0"/>
    <x v="0"/>
    <x v="8"/>
    <x v="19"/>
    <s v="SE4_EL"/>
    <x v="17"/>
    <s v="GHOB_RECYCLEDWOOD"/>
    <x v="0"/>
    <x v="21"/>
    <n v="3.9549141856392298"/>
    <n v="1443.54367775832"/>
    <n v="5196.7572399299497"/>
  </r>
  <r>
    <x v="0"/>
    <x v="0"/>
    <x v="0"/>
    <x v="8"/>
    <x v="19"/>
    <s v="SE4_EL"/>
    <x v="17"/>
    <s v="GHOB_RECYCLEDWOOD"/>
    <x v="0"/>
    <x v="22"/>
    <n v="3.9549141856392298"/>
    <n v="1443.54367775832"/>
    <n v="5196.7572399299497"/>
  </r>
  <r>
    <x v="0"/>
    <x v="0"/>
    <x v="0"/>
    <x v="8"/>
    <x v="19"/>
    <s v="SE4_EL"/>
    <x v="17"/>
    <s v="GHOB_RECYCLEDWOOD"/>
    <x v="0"/>
    <x v="23"/>
    <n v="3.9549141856392298"/>
    <n v="1443.54367775832"/>
    <n v="5196.7572399299497"/>
  </r>
  <r>
    <x v="0"/>
    <x v="0"/>
    <x v="0"/>
    <x v="8"/>
    <x v="19"/>
    <s v="SE4_EL"/>
    <x v="4"/>
    <s v="GHOB_STRAW"/>
    <x v="0"/>
    <x v="6"/>
    <n v="2.5"/>
    <n v="912.5"/>
    <n v="3285"/>
  </r>
  <r>
    <x v="0"/>
    <x v="0"/>
    <x v="0"/>
    <x v="8"/>
    <x v="19"/>
    <s v="SE4_EL"/>
    <x v="4"/>
    <s v="GHOB_STRAW"/>
    <x v="0"/>
    <x v="7"/>
    <n v="2.5"/>
    <n v="912.5"/>
    <n v="3285"/>
  </r>
  <r>
    <x v="0"/>
    <x v="0"/>
    <x v="0"/>
    <x v="8"/>
    <x v="19"/>
    <s v="SE4_EL"/>
    <x v="4"/>
    <s v="GHOB_STRAW"/>
    <x v="0"/>
    <x v="8"/>
    <n v="2.5"/>
    <n v="912.5"/>
    <n v="3285"/>
  </r>
  <r>
    <x v="0"/>
    <x v="0"/>
    <x v="0"/>
    <x v="8"/>
    <x v="19"/>
    <s v="SE4_EL"/>
    <x v="4"/>
    <s v="GHOB_STRAW"/>
    <x v="0"/>
    <x v="9"/>
    <n v="2.5"/>
    <n v="912.5"/>
    <n v="3285"/>
  </r>
  <r>
    <x v="0"/>
    <x v="0"/>
    <x v="0"/>
    <x v="8"/>
    <x v="19"/>
    <s v="SE4_EL"/>
    <x v="4"/>
    <s v="GHOB_STRAW"/>
    <x v="0"/>
    <x v="10"/>
    <n v="2.5"/>
    <n v="912.5"/>
    <n v="3285"/>
  </r>
  <r>
    <x v="0"/>
    <x v="0"/>
    <x v="0"/>
    <x v="8"/>
    <x v="19"/>
    <s v="SE4_EL"/>
    <x v="4"/>
    <s v="GHOB_STRAW"/>
    <x v="0"/>
    <x v="11"/>
    <n v="2.5"/>
    <n v="912.5"/>
    <n v="3285"/>
  </r>
  <r>
    <x v="0"/>
    <x v="0"/>
    <x v="0"/>
    <x v="8"/>
    <x v="19"/>
    <s v="SE4_EL"/>
    <x v="4"/>
    <s v="GHOB_STRAW"/>
    <x v="0"/>
    <x v="0"/>
    <n v="2.5"/>
    <n v="912.5"/>
    <n v="3285"/>
  </r>
  <r>
    <x v="0"/>
    <x v="0"/>
    <x v="0"/>
    <x v="8"/>
    <x v="19"/>
    <s v="SE4_EL"/>
    <x v="4"/>
    <s v="GHOB_STRAW"/>
    <x v="0"/>
    <x v="1"/>
    <n v="2.5"/>
    <n v="912.5"/>
    <n v="3285"/>
  </r>
  <r>
    <x v="0"/>
    <x v="0"/>
    <x v="0"/>
    <x v="8"/>
    <x v="19"/>
    <s v="SE4_EL"/>
    <x v="4"/>
    <s v="GHOB_STRAW"/>
    <x v="0"/>
    <x v="2"/>
    <n v="2.5"/>
    <n v="912.5"/>
    <n v="3285"/>
  </r>
  <r>
    <x v="0"/>
    <x v="0"/>
    <x v="0"/>
    <x v="8"/>
    <x v="19"/>
    <s v="SE4_EL"/>
    <x v="4"/>
    <s v="GHOB_STRAW"/>
    <x v="0"/>
    <x v="3"/>
    <n v="2.5"/>
    <n v="912.5"/>
    <n v="3285"/>
  </r>
  <r>
    <x v="0"/>
    <x v="0"/>
    <x v="0"/>
    <x v="8"/>
    <x v="19"/>
    <s v="SE4_EL"/>
    <x v="4"/>
    <s v="GHOB_STRAW"/>
    <x v="0"/>
    <x v="12"/>
    <n v="2.5"/>
    <n v="912.5"/>
    <n v="3285"/>
  </r>
  <r>
    <x v="0"/>
    <x v="0"/>
    <x v="0"/>
    <x v="8"/>
    <x v="19"/>
    <s v="SE4_EL"/>
    <x v="4"/>
    <s v="GHOB_STRAW"/>
    <x v="0"/>
    <x v="13"/>
    <n v="2.5"/>
    <n v="912.5"/>
    <n v="3285"/>
  </r>
  <r>
    <x v="0"/>
    <x v="0"/>
    <x v="0"/>
    <x v="8"/>
    <x v="19"/>
    <s v="SE4_EL"/>
    <x v="4"/>
    <s v="GHOB_STRAW"/>
    <x v="0"/>
    <x v="14"/>
    <n v="2.5"/>
    <n v="912.5"/>
    <n v="3285"/>
  </r>
  <r>
    <x v="0"/>
    <x v="0"/>
    <x v="0"/>
    <x v="8"/>
    <x v="19"/>
    <s v="SE4_EL"/>
    <x v="4"/>
    <s v="GHOB_STRAW"/>
    <x v="0"/>
    <x v="15"/>
    <n v="2.5"/>
    <n v="912.5"/>
    <n v="3285"/>
  </r>
  <r>
    <x v="0"/>
    <x v="0"/>
    <x v="0"/>
    <x v="8"/>
    <x v="19"/>
    <s v="SE4_EL"/>
    <x v="4"/>
    <s v="GHOB_STRAW"/>
    <x v="0"/>
    <x v="4"/>
    <n v="2.5"/>
    <n v="912.5"/>
    <n v="3285"/>
  </r>
  <r>
    <x v="0"/>
    <x v="0"/>
    <x v="0"/>
    <x v="8"/>
    <x v="19"/>
    <s v="SE4_EL"/>
    <x v="4"/>
    <s v="GHOB_STRAW"/>
    <x v="0"/>
    <x v="16"/>
    <n v="2.5"/>
    <n v="912.5"/>
    <n v="3285"/>
  </r>
  <r>
    <x v="0"/>
    <x v="0"/>
    <x v="0"/>
    <x v="8"/>
    <x v="19"/>
    <s v="SE4_EL"/>
    <x v="4"/>
    <s v="GHOB_STRAW"/>
    <x v="0"/>
    <x v="5"/>
    <n v="2.5"/>
    <n v="912.5"/>
    <n v="3285"/>
  </r>
  <r>
    <x v="0"/>
    <x v="0"/>
    <x v="0"/>
    <x v="8"/>
    <x v="19"/>
    <s v="SE4_EL"/>
    <x v="4"/>
    <s v="GHOB_STRAW"/>
    <x v="0"/>
    <x v="17"/>
    <n v="2.5"/>
    <n v="912.5"/>
    <n v="3285"/>
  </r>
  <r>
    <x v="0"/>
    <x v="0"/>
    <x v="0"/>
    <x v="8"/>
    <x v="19"/>
    <s v="SE4_EL"/>
    <x v="4"/>
    <s v="GHOB_STRAW"/>
    <x v="0"/>
    <x v="18"/>
    <n v="2.5"/>
    <n v="912.5"/>
    <n v="3285"/>
  </r>
  <r>
    <x v="0"/>
    <x v="0"/>
    <x v="0"/>
    <x v="8"/>
    <x v="19"/>
    <s v="SE4_EL"/>
    <x v="4"/>
    <s v="GHOB_STRAW"/>
    <x v="0"/>
    <x v="19"/>
    <n v="2.5"/>
    <n v="912.5"/>
    <n v="3285"/>
  </r>
  <r>
    <x v="0"/>
    <x v="0"/>
    <x v="0"/>
    <x v="8"/>
    <x v="19"/>
    <s v="SE4_EL"/>
    <x v="4"/>
    <s v="GHOB_STRAW"/>
    <x v="0"/>
    <x v="20"/>
    <n v="2.5"/>
    <n v="912.5"/>
    <n v="3285"/>
  </r>
  <r>
    <x v="0"/>
    <x v="0"/>
    <x v="0"/>
    <x v="8"/>
    <x v="19"/>
    <s v="SE4_EL"/>
    <x v="4"/>
    <s v="GHOB_STRAW"/>
    <x v="0"/>
    <x v="21"/>
    <n v="2.5"/>
    <n v="912.5"/>
    <n v="3285"/>
  </r>
  <r>
    <x v="0"/>
    <x v="0"/>
    <x v="0"/>
    <x v="8"/>
    <x v="19"/>
    <s v="SE4_EL"/>
    <x v="4"/>
    <s v="GHOB_STRAW"/>
    <x v="0"/>
    <x v="22"/>
    <n v="2.5"/>
    <n v="912.5"/>
    <n v="3285"/>
  </r>
  <r>
    <x v="0"/>
    <x v="0"/>
    <x v="0"/>
    <x v="8"/>
    <x v="19"/>
    <s v="SE4_EL"/>
    <x v="4"/>
    <s v="GHOB_STRAW"/>
    <x v="0"/>
    <x v="23"/>
    <n v="2.5"/>
    <n v="912.5"/>
    <n v="3285"/>
  </r>
  <r>
    <x v="0"/>
    <x v="0"/>
    <x v="0"/>
    <x v="8"/>
    <x v="19"/>
    <s v="SE4_EL"/>
    <x v="5"/>
    <s v="GHOB_WASTEHEAT"/>
    <x v="0"/>
    <x v="6"/>
    <n v="10.4166666666666"/>
    <n v="3802.0833333333198"/>
    <n v="13687.4999999999"/>
  </r>
  <r>
    <x v="0"/>
    <x v="0"/>
    <x v="0"/>
    <x v="8"/>
    <x v="19"/>
    <s v="SE4_EL"/>
    <x v="5"/>
    <s v="GHOB_WASTEHEAT"/>
    <x v="0"/>
    <x v="7"/>
    <n v="10.4166666666666"/>
    <n v="3802.0833333333198"/>
    <n v="13687.4999999999"/>
  </r>
  <r>
    <x v="0"/>
    <x v="0"/>
    <x v="0"/>
    <x v="8"/>
    <x v="19"/>
    <s v="SE4_EL"/>
    <x v="5"/>
    <s v="GHOB_WASTEHEAT"/>
    <x v="0"/>
    <x v="8"/>
    <n v="10.4166666666666"/>
    <n v="3802.0833333333198"/>
    <n v="13687.4999999999"/>
  </r>
  <r>
    <x v="0"/>
    <x v="0"/>
    <x v="0"/>
    <x v="8"/>
    <x v="19"/>
    <s v="SE4_EL"/>
    <x v="5"/>
    <s v="GHOB_WASTEHEAT"/>
    <x v="0"/>
    <x v="9"/>
    <n v="10.4166666666666"/>
    <n v="3802.0833333333198"/>
    <n v="13687.4999999999"/>
  </r>
  <r>
    <x v="0"/>
    <x v="0"/>
    <x v="0"/>
    <x v="8"/>
    <x v="19"/>
    <s v="SE4_EL"/>
    <x v="5"/>
    <s v="GHOB_WASTEHEAT"/>
    <x v="0"/>
    <x v="10"/>
    <n v="10.4166666666666"/>
    <n v="3802.0833333333198"/>
    <n v="13687.4999999999"/>
  </r>
  <r>
    <x v="0"/>
    <x v="0"/>
    <x v="0"/>
    <x v="8"/>
    <x v="19"/>
    <s v="SE4_EL"/>
    <x v="5"/>
    <s v="GHOB_WASTEHEAT"/>
    <x v="0"/>
    <x v="11"/>
    <n v="10.4166666666666"/>
    <n v="3802.0833333333198"/>
    <n v="13687.4999999999"/>
  </r>
  <r>
    <x v="0"/>
    <x v="0"/>
    <x v="0"/>
    <x v="8"/>
    <x v="19"/>
    <s v="SE4_EL"/>
    <x v="5"/>
    <s v="GHOB_WASTEHEAT"/>
    <x v="0"/>
    <x v="0"/>
    <n v="10.4166666666666"/>
    <n v="3802.0833333333198"/>
    <n v="13687.4999999999"/>
  </r>
  <r>
    <x v="0"/>
    <x v="0"/>
    <x v="0"/>
    <x v="8"/>
    <x v="19"/>
    <s v="SE4_EL"/>
    <x v="5"/>
    <s v="GHOB_WASTEHEAT"/>
    <x v="0"/>
    <x v="1"/>
    <n v="10.4166666666666"/>
    <n v="3802.0833333333198"/>
    <n v="13687.4999999999"/>
  </r>
  <r>
    <x v="0"/>
    <x v="0"/>
    <x v="0"/>
    <x v="8"/>
    <x v="19"/>
    <s v="SE4_EL"/>
    <x v="5"/>
    <s v="GHOB_WASTEHEAT"/>
    <x v="0"/>
    <x v="2"/>
    <n v="10.4166666666666"/>
    <n v="3802.0833333333198"/>
    <n v="13687.4999999999"/>
  </r>
  <r>
    <x v="0"/>
    <x v="0"/>
    <x v="0"/>
    <x v="8"/>
    <x v="19"/>
    <s v="SE4_EL"/>
    <x v="5"/>
    <s v="GHOB_WASTEHEAT"/>
    <x v="0"/>
    <x v="3"/>
    <n v="10.4166666666666"/>
    <n v="3802.0833333333198"/>
    <n v="13687.4999999999"/>
  </r>
  <r>
    <x v="0"/>
    <x v="0"/>
    <x v="0"/>
    <x v="8"/>
    <x v="19"/>
    <s v="SE4_EL"/>
    <x v="5"/>
    <s v="GHOB_WASTEHEAT"/>
    <x v="0"/>
    <x v="12"/>
    <n v="10.4166666666666"/>
    <n v="3802.0833333333198"/>
    <n v="13687.4999999999"/>
  </r>
  <r>
    <x v="0"/>
    <x v="0"/>
    <x v="0"/>
    <x v="8"/>
    <x v="19"/>
    <s v="SE4_EL"/>
    <x v="5"/>
    <s v="GHOB_WASTEHEAT"/>
    <x v="0"/>
    <x v="13"/>
    <n v="10.4166666666666"/>
    <n v="3802.0833333333198"/>
    <n v="13687.4999999999"/>
  </r>
  <r>
    <x v="0"/>
    <x v="0"/>
    <x v="0"/>
    <x v="8"/>
    <x v="19"/>
    <s v="SE4_EL"/>
    <x v="5"/>
    <s v="GHOB_WASTEHEAT"/>
    <x v="0"/>
    <x v="14"/>
    <n v="10.4166666666666"/>
    <n v="3802.0833333333198"/>
    <n v="13687.4999999999"/>
  </r>
  <r>
    <x v="0"/>
    <x v="0"/>
    <x v="0"/>
    <x v="8"/>
    <x v="19"/>
    <s v="SE4_EL"/>
    <x v="5"/>
    <s v="GHOB_WASTEHEAT"/>
    <x v="0"/>
    <x v="15"/>
    <n v="10.4166666666666"/>
    <n v="3802.0833333333198"/>
    <n v="13687.4999999999"/>
  </r>
  <r>
    <x v="0"/>
    <x v="0"/>
    <x v="0"/>
    <x v="8"/>
    <x v="19"/>
    <s v="SE4_EL"/>
    <x v="5"/>
    <s v="GHOB_WASTEHEAT"/>
    <x v="0"/>
    <x v="4"/>
    <n v="10.4166666666666"/>
    <n v="3802.0833333333198"/>
    <n v="13687.4999999999"/>
  </r>
  <r>
    <x v="0"/>
    <x v="0"/>
    <x v="0"/>
    <x v="8"/>
    <x v="19"/>
    <s v="SE4_EL"/>
    <x v="5"/>
    <s v="GHOB_WASTEHEAT"/>
    <x v="0"/>
    <x v="16"/>
    <n v="10.4166666666666"/>
    <n v="3802.0833333333198"/>
    <n v="13687.4999999999"/>
  </r>
  <r>
    <x v="0"/>
    <x v="0"/>
    <x v="0"/>
    <x v="8"/>
    <x v="19"/>
    <s v="SE4_EL"/>
    <x v="5"/>
    <s v="GHOB_WASTEHEAT"/>
    <x v="0"/>
    <x v="5"/>
    <n v="10.4166666666666"/>
    <n v="3802.0833333333198"/>
    <n v="13687.4999999999"/>
  </r>
  <r>
    <x v="0"/>
    <x v="0"/>
    <x v="0"/>
    <x v="8"/>
    <x v="19"/>
    <s v="SE4_EL"/>
    <x v="5"/>
    <s v="GHOB_WASTEHEAT"/>
    <x v="0"/>
    <x v="17"/>
    <n v="10.4166666666666"/>
    <n v="3802.0833333333198"/>
    <n v="13687.4999999999"/>
  </r>
  <r>
    <x v="0"/>
    <x v="0"/>
    <x v="0"/>
    <x v="8"/>
    <x v="19"/>
    <s v="SE4_EL"/>
    <x v="5"/>
    <s v="GHOB_WASTEHEAT"/>
    <x v="0"/>
    <x v="18"/>
    <n v="10.4166666666666"/>
    <n v="3802.0833333333198"/>
    <n v="13687.4999999999"/>
  </r>
  <r>
    <x v="0"/>
    <x v="0"/>
    <x v="0"/>
    <x v="8"/>
    <x v="19"/>
    <s v="SE4_EL"/>
    <x v="5"/>
    <s v="GHOB_WASTEHEAT"/>
    <x v="0"/>
    <x v="19"/>
    <n v="10.4166666666666"/>
    <n v="3802.0833333333198"/>
    <n v="13687.4999999999"/>
  </r>
  <r>
    <x v="0"/>
    <x v="0"/>
    <x v="0"/>
    <x v="8"/>
    <x v="19"/>
    <s v="SE4_EL"/>
    <x v="5"/>
    <s v="GHOB_WASTEHEAT"/>
    <x v="0"/>
    <x v="20"/>
    <n v="10.4166666666666"/>
    <n v="3802.0833333333198"/>
    <n v="13687.4999999999"/>
  </r>
  <r>
    <x v="0"/>
    <x v="0"/>
    <x v="0"/>
    <x v="8"/>
    <x v="19"/>
    <s v="SE4_EL"/>
    <x v="5"/>
    <s v="GHOB_WASTEHEAT"/>
    <x v="0"/>
    <x v="21"/>
    <n v="10.4166666666666"/>
    <n v="3802.0833333333198"/>
    <n v="13687.4999999999"/>
  </r>
  <r>
    <x v="0"/>
    <x v="0"/>
    <x v="0"/>
    <x v="8"/>
    <x v="19"/>
    <s v="SE4_EL"/>
    <x v="5"/>
    <s v="GHOB_WASTEHEAT"/>
    <x v="0"/>
    <x v="22"/>
    <n v="10.4166666666666"/>
    <n v="3802.0833333333198"/>
    <n v="13687.4999999999"/>
  </r>
  <r>
    <x v="0"/>
    <x v="0"/>
    <x v="0"/>
    <x v="8"/>
    <x v="19"/>
    <s v="SE4_EL"/>
    <x v="5"/>
    <s v="GHOB_WASTEHEAT"/>
    <x v="0"/>
    <x v="23"/>
    <n v="10.4166666666666"/>
    <n v="3802.0833333333198"/>
    <n v="13687.4999999999"/>
  </r>
  <r>
    <x v="0"/>
    <x v="0"/>
    <x v="0"/>
    <x v="8"/>
    <x v="19"/>
    <s v="SE4_EL"/>
    <x v="8"/>
    <s v="GHOB_WOODWASTE"/>
    <x v="0"/>
    <x v="6"/>
    <n v="55.121616462346701"/>
    <n v="20119.3900087566"/>
    <n v="72429.804031523599"/>
  </r>
  <r>
    <x v="0"/>
    <x v="0"/>
    <x v="0"/>
    <x v="8"/>
    <x v="19"/>
    <s v="SE4_EL"/>
    <x v="8"/>
    <s v="GHOB_WOODWASTE"/>
    <x v="0"/>
    <x v="7"/>
    <n v="55.121616462346701"/>
    <n v="20119.3900087566"/>
    <n v="72429.804031523599"/>
  </r>
  <r>
    <x v="0"/>
    <x v="0"/>
    <x v="0"/>
    <x v="8"/>
    <x v="19"/>
    <s v="SE4_EL"/>
    <x v="8"/>
    <s v="GHOB_WOODWASTE"/>
    <x v="0"/>
    <x v="8"/>
    <n v="55.121616462346701"/>
    <n v="20119.3900087566"/>
    <n v="72429.804031523599"/>
  </r>
  <r>
    <x v="0"/>
    <x v="0"/>
    <x v="0"/>
    <x v="8"/>
    <x v="19"/>
    <s v="SE4_EL"/>
    <x v="8"/>
    <s v="GHOB_WOODWASTE"/>
    <x v="0"/>
    <x v="9"/>
    <n v="55.121616462346701"/>
    <n v="20119.3900087566"/>
    <n v="72429.804031523599"/>
  </r>
  <r>
    <x v="0"/>
    <x v="0"/>
    <x v="0"/>
    <x v="8"/>
    <x v="19"/>
    <s v="SE4_EL"/>
    <x v="8"/>
    <s v="GHOB_WOODWASTE"/>
    <x v="0"/>
    <x v="10"/>
    <n v="55.121616462346701"/>
    <n v="20119.3900087566"/>
    <n v="72429.804031523599"/>
  </r>
  <r>
    <x v="0"/>
    <x v="0"/>
    <x v="0"/>
    <x v="8"/>
    <x v="19"/>
    <s v="SE4_EL"/>
    <x v="8"/>
    <s v="GHOB_WOODWASTE"/>
    <x v="0"/>
    <x v="11"/>
    <n v="55.121616462346701"/>
    <n v="20119.3900087566"/>
    <n v="72429.804031523599"/>
  </r>
  <r>
    <x v="0"/>
    <x v="0"/>
    <x v="0"/>
    <x v="8"/>
    <x v="19"/>
    <s v="SE4_EL"/>
    <x v="8"/>
    <s v="GHOB_WOODWASTE"/>
    <x v="0"/>
    <x v="0"/>
    <n v="55.121616462346701"/>
    <n v="20119.3900087566"/>
    <n v="72429.804031523599"/>
  </r>
  <r>
    <x v="0"/>
    <x v="0"/>
    <x v="0"/>
    <x v="8"/>
    <x v="19"/>
    <s v="SE4_EL"/>
    <x v="8"/>
    <s v="GHOB_WOODWASTE"/>
    <x v="0"/>
    <x v="1"/>
    <n v="55.121616462346701"/>
    <n v="20119.3900087566"/>
    <n v="72429.804031523599"/>
  </r>
  <r>
    <x v="0"/>
    <x v="0"/>
    <x v="0"/>
    <x v="8"/>
    <x v="19"/>
    <s v="SE4_EL"/>
    <x v="8"/>
    <s v="GHOB_WOODWASTE"/>
    <x v="0"/>
    <x v="2"/>
    <n v="55.121616462346701"/>
    <n v="20119.3900087566"/>
    <n v="72429.804031523599"/>
  </r>
  <r>
    <x v="0"/>
    <x v="0"/>
    <x v="0"/>
    <x v="8"/>
    <x v="19"/>
    <s v="SE4_EL"/>
    <x v="8"/>
    <s v="GHOB_WOODWASTE"/>
    <x v="0"/>
    <x v="3"/>
    <n v="55.121616462346701"/>
    <n v="20119.3900087566"/>
    <n v="72429.804031523599"/>
  </r>
  <r>
    <x v="0"/>
    <x v="0"/>
    <x v="0"/>
    <x v="8"/>
    <x v="19"/>
    <s v="SE4_EL"/>
    <x v="8"/>
    <s v="GHOB_WOODWASTE"/>
    <x v="0"/>
    <x v="12"/>
    <n v="55.121616462346701"/>
    <n v="20119.3900087566"/>
    <n v="72429.804031523599"/>
  </r>
  <r>
    <x v="0"/>
    <x v="0"/>
    <x v="0"/>
    <x v="8"/>
    <x v="19"/>
    <s v="SE4_EL"/>
    <x v="8"/>
    <s v="GHOB_WOODWASTE"/>
    <x v="0"/>
    <x v="13"/>
    <n v="55.121616462346701"/>
    <n v="20119.3900087566"/>
    <n v="72429.804031523599"/>
  </r>
  <r>
    <x v="0"/>
    <x v="0"/>
    <x v="0"/>
    <x v="8"/>
    <x v="19"/>
    <s v="SE4_EL"/>
    <x v="8"/>
    <s v="GHOB_WOODWASTE"/>
    <x v="0"/>
    <x v="14"/>
    <n v="55.121616462346701"/>
    <n v="20119.3900087566"/>
    <n v="72429.804031523599"/>
  </r>
  <r>
    <x v="0"/>
    <x v="0"/>
    <x v="0"/>
    <x v="8"/>
    <x v="19"/>
    <s v="SE4_EL"/>
    <x v="8"/>
    <s v="GHOB_WOODWASTE"/>
    <x v="0"/>
    <x v="15"/>
    <n v="55.121616462346701"/>
    <n v="20119.3900087566"/>
    <n v="72429.804031523599"/>
  </r>
  <r>
    <x v="0"/>
    <x v="0"/>
    <x v="0"/>
    <x v="8"/>
    <x v="19"/>
    <s v="SE4_EL"/>
    <x v="8"/>
    <s v="GHOB_WOODWASTE"/>
    <x v="0"/>
    <x v="4"/>
    <n v="55.121616462346701"/>
    <n v="20119.3900087566"/>
    <n v="72429.804031523599"/>
  </r>
  <r>
    <x v="0"/>
    <x v="0"/>
    <x v="0"/>
    <x v="8"/>
    <x v="19"/>
    <s v="SE4_EL"/>
    <x v="8"/>
    <s v="GHOB_WOODWASTE"/>
    <x v="0"/>
    <x v="16"/>
    <n v="55.121616462346701"/>
    <n v="20119.3900087566"/>
    <n v="72429.804031523599"/>
  </r>
  <r>
    <x v="0"/>
    <x v="0"/>
    <x v="0"/>
    <x v="8"/>
    <x v="19"/>
    <s v="SE4_EL"/>
    <x v="8"/>
    <s v="GHOB_WOODWASTE"/>
    <x v="0"/>
    <x v="5"/>
    <n v="55.121616462346701"/>
    <n v="20119.3900087566"/>
    <n v="72429.804031523599"/>
  </r>
  <r>
    <x v="0"/>
    <x v="0"/>
    <x v="0"/>
    <x v="8"/>
    <x v="19"/>
    <s v="SE4_EL"/>
    <x v="8"/>
    <s v="GHOB_WOODWASTE"/>
    <x v="0"/>
    <x v="17"/>
    <n v="55.121616462346701"/>
    <n v="20119.3900087566"/>
    <n v="72429.804031523599"/>
  </r>
  <r>
    <x v="0"/>
    <x v="0"/>
    <x v="0"/>
    <x v="8"/>
    <x v="19"/>
    <s v="SE4_EL"/>
    <x v="8"/>
    <s v="GHOB_WOODWASTE"/>
    <x v="0"/>
    <x v="18"/>
    <n v="55.121616462346701"/>
    <n v="20119.3900087566"/>
    <n v="72429.804031523599"/>
  </r>
  <r>
    <x v="0"/>
    <x v="0"/>
    <x v="0"/>
    <x v="8"/>
    <x v="19"/>
    <s v="SE4_EL"/>
    <x v="8"/>
    <s v="GHOB_WOODWASTE"/>
    <x v="0"/>
    <x v="19"/>
    <n v="55.121616462346701"/>
    <n v="20119.3900087566"/>
    <n v="72429.804031523599"/>
  </r>
  <r>
    <x v="0"/>
    <x v="0"/>
    <x v="0"/>
    <x v="8"/>
    <x v="19"/>
    <s v="SE4_EL"/>
    <x v="8"/>
    <s v="GHOB_WOODWASTE"/>
    <x v="0"/>
    <x v="20"/>
    <n v="55.121616462346701"/>
    <n v="20119.3900087566"/>
    <n v="72429.804031523599"/>
  </r>
  <r>
    <x v="0"/>
    <x v="0"/>
    <x v="0"/>
    <x v="8"/>
    <x v="19"/>
    <s v="SE4_EL"/>
    <x v="8"/>
    <s v="GHOB_WOODWASTE"/>
    <x v="0"/>
    <x v="21"/>
    <n v="55.121616462346701"/>
    <n v="20119.3900087566"/>
    <n v="72429.804031523599"/>
  </r>
  <r>
    <x v="0"/>
    <x v="0"/>
    <x v="0"/>
    <x v="8"/>
    <x v="19"/>
    <s v="SE4_EL"/>
    <x v="8"/>
    <s v="GHOB_WOODWASTE"/>
    <x v="0"/>
    <x v="22"/>
    <n v="55.121616462346701"/>
    <n v="20119.3900087566"/>
    <n v="72429.804031523599"/>
  </r>
  <r>
    <x v="0"/>
    <x v="0"/>
    <x v="0"/>
    <x v="8"/>
    <x v="19"/>
    <s v="SE4_EL"/>
    <x v="8"/>
    <s v="GHOB_WOODWASTE"/>
    <x v="0"/>
    <x v="23"/>
    <n v="55.121616462346701"/>
    <n v="20119.3900087566"/>
    <n v="72429.804031523599"/>
  </r>
  <r>
    <x v="0"/>
    <x v="0"/>
    <x v="0"/>
    <x v="8"/>
    <x v="19"/>
    <s v="SE4_HP"/>
    <x v="1"/>
    <s v="GNR_HS_HEAT_WTR-TANK_LS_E-95_Y-2010"/>
    <x v="0"/>
    <x v="6"/>
    <n v="23.200722614774399"/>
    <n v="8468.2637543926503"/>
    <n v="30485.749515813601"/>
  </r>
  <r>
    <x v="0"/>
    <x v="0"/>
    <x v="0"/>
    <x v="8"/>
    <x v="19"/>
    <s v="SE4_HP"/>
    <x v="1"/>
    <s v="GNR_HS_HEAT_WTR-TANK_LS_E-95_Y-2010"/>
    <x v="0"/>
    <x v="7"/>
    <n v="22.499894178704299"/>
    <n v="8212.4613752270507"/>
    <n v="29564.860950817401"/>
  </r>
  <r>
    <x v="0"/>
    <x v="0"/>
    <x v="0"/>
    <x v="8"/>
    <x v="19"/>
    <s v="SE4_HP"/>
    <x v="1"/>
    <s v="GNR_HS_HEAT_WTR-TANK_LS_E-95_Y-2010"/>
    <x v="0"/>
    <x v="8"/>
    <n v="22.030350392513999"/>
    <n v="8041.0778932676103"/>
    <n v="28947.8804157634"/>
  </r>
  <r>
    <x v="0"/>
    <x v="0"/>
    <x v="0"/>
    <x v="8"/>
    <x v="19"/>
    <s v="SE4_HP"/>
    <x v="1"/>
    <s v="GNR_HS_HEAT_WTR-TANK_LS_E-95_Y-2010"/>
    <x v="0"/>
    <x v="9"/>
    <n v="23.6945009476803"/>
    <n v="8648.4928459033199"/>
    <n v="31134.574245251999"/>
  </r>
  <r>
    <x v="0"/>
    <x v="0"/>
    <x v="0"/>
    <x v="8"/>
    <x v="19"/>
    <s v="SE4_HP"/>
    <x v="1"/>
    <s v="GNR_HS_HEAT_WTR-TANK_LS_E-95_Y-2010"/>
    <x v="0"/>
    <x v="10"/>
    <n v="27.637532300704802"/>
    <n v="10087.6992897572"/>
    <n v="36315.717443126101"/>
  </r>
  <r>
    <x v="0"/>
    <x v="0"/>
    <x v="0"/>
    <x v="8"/>
    <x v="19"/>
    <s v="SE4_HP"/>
    <x v="1"/>
    <s v="GNR_HS_HEAT_WTR-TANK_LS_E-95_Y-2010"/>
    <x v="0"/>
    <x v="11"/>
    <n v="38.555830203818502"/>
    <n v="14072.8780243937"/>
    <n v="50662.3608878175"/>
  </r>
  <r>
    <x v="0"/>
    <x v="0"/>
    <x v="0"/>
    <x v="8"/>
    <x v="19"/>
    <s v="SE4_HP"/>
    <x v="1"/>
    <s v="GNR_HS_HEAT_WTR-TANK_LS_E-95_Y-2010"/>
    <x v="0"/>
    <x v="0"/>
    <n v="28.2826091399386"/>
    <n v="10323.152336077599"/>
    <n v="37163.348409879298"/>
  </r>
  <r>
    <x v="0"/>
    <x v="0"/>
    <x v="0"/>
    <x v="8"/>
    <x v="19"/>
    <s v="SE4_HP"/>
    <x v="1"/>
    <s v="GNR_HS_HEAT_WTR-TANK_LS_E-95_Y-2010"/>
    <x v="0"/>
    <x v="1"/>
    <n v="248.161448091772"/>
    <n v="90578.928553496895"/>
    <n v="326084.14279258897"/>
  </r>
  <r>
    <x v="0"/>
    <x v="0"/>
    <x v="0"/>
    <x v="8"/>
    <x v="19"/>
    <s v="SE4_HP"/>
    <x v="1"/>
    <s v="GNR_HS_HEAT_WTR-TANK_LS_E-95_Y-2010"/>
    <x v="0"/>
    <x v="2"/>
    <n v="246.51273718970501"/>
    <n v="89977.149074242407"/>
    <n v="323917.73666727298"/>
  </r>
  <r>
    <x v="0"/>
    <x v="0"/>
    <x v="0"/>
    <x v="8"/>
    <x v="19"/>
    <s v="SE4_HP"/>
    <x v="1"/>
    <s v="GNR_HS_HEAT_WTR-TANK_LS_E-95_Y-2010"/>
    <x v="0"/>
    <x v="3"/>
    <n v="242.573539545762"/>
    <n v="88539.341934203199"/>
    <n v="318741.63096313202"/>
  </r>
  <r>
    <x v="0"/>
    <x v="0"/>
    <x v="0"/>
    <x v="8"/>
    <x v="19"/>
    <s v="SE4_HP"/>
    <x v="1"/>
    <s v="GNR_HS_HEAT_WTR-TANK_LS_E-95_Y-2010"/>
    <x v="0"/>
    <x v="12"/>
    <n v="239.204338047307"/>
    <n v="87309.583387267005"/>
    <n v="314314.50019416102"/>
  </r>
  <r>
    <x v="0"/>
    <x v="0"/>
    <x v="0"/>
    <x v="8"/>
    <x v="19"/>
    <s v="SE4_HP"/>
    <x v="1"/>
    <s v="GNR_HS_HEAT_WTR-TANK_LS_E-95_Y-2010"/>
    <x v="0"/>
    <x v="13"/>
    <n v="318.8804535365"/>
    <n v="116391.365540823"/>
    <n v="419008.91594696097"/>
  </r>
  <r>
    <x v="0"/>
    <x v="0"/>
    <x v="0"/>
    <x v="8"/>
    <x v="19"/>
    <s v="SE4_HP"/>
    <x v="1"/>
    <s v="GNR_HS_HEAT_WTR-TANK_LS_E-95_Y-2010"/>
    <x v="0"/>
    <x v="14"/>
    <n v="318.8804535365"/>
    <n v="116391.365540823"/>
    <n v="419008.91594696097"/>
  </r>
  <r>
    <x v="0"/>
    <x v="0"/>
    <x v="0"/>
    <x v="8"/>
    <x v="19"/>
    <s v="SE4_HP"/>
    <x v="1"/>
    <s v="GNR_HS_HEAT_WTR-TANK_LS_E-95_Y-2010"/>
    <x v="0"/>
    <x v="15"/>
    <n v="318.8804535365"/>
    <n v="116391.365540823"/>
    <n v="419008.91594696097"/>
  </r>
  <r>
    <x v="0"/>
    <x v="0"/>
    <x v="0"/>
    <x v="8"/>
    <x v="19"/>
    <s v="SE4_HP"/>
    <x v="1"/>
    <s v="GNR_HS_HEAT_WTR-TANK_LS_E-95_Y-2010"/>
    <x v="0"/>
    <x v="4"/>
    <n v="227.21581095654099"/>
    <n v="82933.770999137603"/>
    <n v="298561.57559689501"/>
  </r>
  <r>
    <x v="0"/>
    <x v="0"/>
    <x v="0"/>
    <x v="8"/>
    <x v="19"/>
    <s v="SE4_HP"/>
    <x v="1"/>
    <s v="GNR_HS_HEAT_WTR-TANK_LS_E-95_Y-2010"/>
    <x v="0"/>
    <x v="16"/>
    <n v="227.21224028639901"/>
    <n v="82932.467704535797"/>
    <n v="298556.88373632898"/>
  </r>
  <r>
    <x v="0"/>
    <x v="0"/>
    <x v="0"/>
    <x v="8"/>
    <x v="19"/>
    <s v="SE4_HP"/>
    <x v="1"/>
    <s v="GNR_HS_HEAT_WTR-TANK_LS_E-95_Y-2010"/>
    <x v="0"/>
    <x v="5"/>
    <n v="226.550889581424"/>
    <n v="82691.074697219796"/>
    <n v="297687.868909991"/>
  </r>
  <r>
    <x v="0"/>
    <x v="0"/>
    <x v="0"/>
    <x v="8"/>
    <x v="19"/>
    <s v="SE4_HP"/>
    <x v="1"/>
    <s v="GNR_HS_HEAT_WTR-TANK_LS_E-95_Y-2010"/>
    <x v="0"/>
    <x v="17"/>
    <n v="221.38486986902601"/>
    <n v="80805.477502194306"/>
    <n v="290899.71900789998"/>
  </r>
  <r>
    <x v="0"/>
    <x v="0"/>
    <x v="0"/>
    <x v="8"/>
    <x v="19"/>
    <s v="SE4_HP"/>
    <x v="1"/>
    <s v="GNR_HS_HEAT_WTR-TANK_LS_E-95_Y-2010"/>
    <x v="0"/>
    <x v="18"/>
    <n v="40.177074107504502"/>
    <n v="14664.632049239101"/>
    <n v="52792.675377260901"/>
  </r>
  <r>
    <x v="0"/>
    <x v="0"/>
    <x v="0"/>
    <x v="8"/>
    <x v="19"/>
    <s v="SE4_HP"/>
    <x v="1"/>
    <s v="GNR_HS_HEAT_WTR-TANK_LS_E-95_Y-2010"/>
    <x v="0"/>
    <x v="19"/>
    <n v="36.509252854289301"/>
    <n v="13325.877291815599"/>
    <n v="47973.1582505361"/>
  </r>
  <r>
    <x v="0"/>
    <x v="0"/>
    <x v="0"/>
    <x v="8"/>
    <x v="19"/>
    <s v="SE4_HP"/>
    <x v="1"/>
    <s v="GNR_HS_HEAT_WTR-TANK_LS_E-95_Y-2010"/>
    <x v="0"/>
    <x v="20"/>
    <n v="31.915902094061099"/>
    <n v="11649.304264332301"/>
    <n v="41937.495351596197"/>
  </r>
  <r>
    <x v="0"/>
    <x v="0"/>
    <x v="0"/>
    <x v="8"/>
    <x v="19"/>
    <s v="SE4_HP"/>
    <x v="1"/>
    <s v="GNR_HS_HEAT_WTR-TANK_LS_E-95_Y-2010"/>
    <x v="0"/>
    <x v="21"/>
    <n v="24.968253538069501"/>
    <n v="9113.4125413953807"/>
    <n v="32808.285149023402"/>
  </r>
  <r>
    <x v="0"/>
    <x v="0"/>
    <x v="0"/>
    <x v="8"/>
    <x v="19"/>
    <s v="SE4_HP"/>
    <x v="1"/>
    <s v="GNR_HS_HEAT_WTR-TANK_LS_E-95_Y-2010"/>
    <x v="0"/>
    <x v="22"/>
    <n v="19.402884673623198"/>
    <n v="7082.0529058724696"/>
    <n v="25495.390461140902"/>
  </r>
  <r>
    <x v="0"/>
    <x v="0"/>
    <x v="0"/>
    <x v="8"/>
    <x v="19"/>
    <s v="SE4_HP"/>
    <x v="1"/>
    <s v="GNR_HS_HEAT_WTR-TANK_LS_E-95_Y-2010"/>
    <x v="0"/>
    <x v="23"/>
    <n v="6.3897278519198197"/>
    <n v="2332.2506659507299"/>
    <n v="8396.1023974226391"/>
  </r>
  <r>
    <x v="0"/>
    <x v="0"/>
    <x v="0"/>
    <x v="8"/>
    <x v="19"/>
    <s v="SE4_HP"/>
    <x v="2"/>
    <s v="GBPR_MUNIWASTE_65"/>
    <x v="0"/>
    <x v="6"/>
    <n v="28.571428571428601"/>
    <n v="10428.5714285714"/>
    <n v="37542.857142857101"/>
  </r>
  <r>
    <x v="0"/>
    <x v="0"/>
    <x v="0"/>
    <x v="8"/>
    <x v="19"/>
    <s v="SE4_HP"/>
    <x v="2"/>
    <s v="GBPR_MUNIWASTE_65"/>
    <x v="0"/>
    <x v="7"/>
    <n v="28.571428571428601"/>
    <n v="10428.5714285714"/>
    <n v="37542.857142857101"/>
  </r>
  <r>
    <x v="0"/>
    <x v="0"/>
    <x v="0"/>
    <x v="8"/>
    <x v="19"/>
    <s v="SE4_HP"/>
    <x v="2"/>
    <s v="GBPR_MUNIWASTE_65"/>
    <x v="0"/>
    <x v="8"/>
    <n v="28.571428571428601"/>
    <n v="10428.5714285714"/>
    <n v="37542.857142857101"/>
  </r>
  <r>
    <x v="0"/>
    <x v="0"/>
    <x v="0"/>
    <x v="8"/>
    <x v="19"/>
    <s v="SE4_HP"/>
    <x v="2"/>
    <s v="GBPR_MUNIWASTE_65"/>
    <x v="0"/>
    <x v="9"/>
    <n v="28.571428571428601"/>
    <n v="10428.5714285714"/>
    <n v="37542.857142857101"/>
  </r>
  <r>
    <x v="0"/>
    <x v="0"/>
    <x v="0"/>
    <x v="8"/>
    <x v="19"/>
    <s v="SE4_HP"/>
    <x v="2"/>
    <s v="GBPR_MUNIWASTE_65"/>
    <x v="0"/>
    <x v="10"/>
    <n v="28.571428571428601"/>
    <n v="10428.5714285714"/>
    <n v="37542.857142857101"/>
  </r>
  <r>
    <x v="0"/>
    <x v="0"/>
    <x v="0"/>
    <x v="8"/>
    <x v="19"/>
    <s v="SE4_HP"/>
    <x v="2"/>
    <s v="GBPR_MUNIWASTE_65"/>
    <x v="0"/>
    <x v="11"/>
    <n v="28.571428571428601"/>
    <n v="10428.5714285714"/>
    <n v="37542.857142857101"/>
  </r>
  <r>
    <x v="0"/>
    <x v="0"/>
    <x v="0"/>
    <x v="8"/>
    <x v="19"/>
    <s v="SE4_HP"/>
    <x v="2"/>
    <s v="GBPR_MUNIWASTE_65"/>
    <x v="0"/>
    <x v="0"/>
    <n v="28.571428571428601"/>
    <n v="10428.5714285714"/>
    <n v="37542.857142857101"/>
  </r>
  <r>
    <x v="0"/>
    <x v="0"/>
    <x v="0"/>
    <x v="8"/>
    <x v="19"/>
    <s v="SE4_HP"/>
    <x v="2"/>
    <s v="GBPR_MUNIWASTE_65"/>
    <x v="0"/>
    <x v="1"/>
    <n v="28.571428571428601"/>
    <n v="10428.5714285714"/>
    <n v="37542.857142857101"/>
  </r>
  <r>
    <x v="0"/>
    <x v="0"/>
    <x v="0"/>
    <x v="8"/>
    <x v="19"/>
    <s v="SE4_HP"/>
    <x v="2"/>
    <s v="GBPR_MUNIWASTE_65"/>
    <x v="0"/>
    <x v="2"/>
    <n v="28.571428571428601"/>
    <n v="10428.5714285714"/>
    <n v="37542.857142857101"/>
  </r>
  <r>
    <x v="0"/>
    <x v="0"/>
    <x v="0"/>
    <x v="8"/>
    <x v="19"/>
    <s v="SE4_HP"/>
    <x v="2"/>
    <s v="GBPR_MUNIWASTE_65"/>
    <x v="0"/>
    <x v="3"/>
    <n v="28.571428571428601"/>
    <n v="10428.5714285714"/>
    <n v="37542.857142857101"/>
  </r>
  <r>
    <x v="0"/>
    <x v="0"/>
    <x v="0"/>
    <x v="8"/>
    <x v="19"/>
    <s v="SE4_HP"/>
    <x v="2"/>
    <s v="GBPR_MUNIWASTE_65"/>
    <x v="0"/>
    <x v="12"/>
    <n v="28.571428571428601"/>
    <n v="10428.5714285714"/>
    <n v="37542.857142857101"/>
  </r>
  <r>
    <x v="0"/>
    <x v="0"/>
    <x v="0"/>
    <x v="8"/>
    <x v="19"/>
    <s v="SE4_HP"/>
    <x v="2"/>
    <s v="GBPR_MUNIWASTE_65"/>
    <x v="0"/>
    <x v="13"/>
    <n v="28.571428571428601"/>
    <n v="10428.5714285714"/>
    <n v="37542.857142857101"/>
  </r>
  <r>
    <x v="0"/>
    <x v="0"/>
    <x v="0"/>
    <x v="8"/>
    <x v="19"/>
    <s v="SE4_HP"/>
    <x v="2"/>
    <s v="GBPR_MUNIWASTE_65"/>
    <x v="0"/>
    <x v="14"/>
    <n v="28.571428571428601"/>
    <n v="10428.5714285714"/>
    <n v="37542.857142857101"/>
  </r>
  <r>
    <x v="0"/>
    <x v="0"/>
    <x v="0"/>
    <x v="8"/>
    <x v="19"/>
    <s v="SE4_HP"/>
    <x v="2"/>
    <s v="GBPR_MUNIWASTE_65"/>
    <x v="0"/>
    <x v="15"/>
    <n v="28.571428571428601"/>
    <n v="10428.5714285714"/>
    <n v="37542.857142857101"/>
  </r>
  <r>
    <x v="0"/>
    <x v="0"/>
    <x v="0"/>
    <x v="8"/>
    <x v="19"/>
    <s v="SE4_HP"/>
    <x v="2"/>
    <s v="GBPR_MUNIWASTE_65"/>
    <x v="0"/>
    <x v="4"/>
    <n v="28.571428571428601"/>
    <n v="10428.5714285714"/>
    <n v="37542.857142857101"/>
  </r>
  <r>
    <x v="0"/>
    <x v="0"/>
    <x v="0"/>
    <x v="8"/>
    <x v="19"/>
    <s v="SE4_HP"/>
    <x v="2"/>
    <s v="GBPR_MUNIWASTE_65"/>
    <x v="0"/>
    <x v="16"/>
    <n v="28.571428571428601"/>
    <n v="10428.5714285714"/>
    <n v="37542.857142857101"/>
  </r>
  <r>
    <x v="0"/>
    <x v="0"/>
    <x v="0"/>
    <x v="8"/>
    <x v="19"/>
    <s v="SE4_HP"/>
    <x v="2"/>
    <s v="GBPR_MUNIWASTE_65"/>
    <x v="0"/>
    <x v="5"/>
    <n v="28.571428571428601"/>
    <n v="10428.5714285714"/>
    <n v="37542.857142857101"/>
  </r>
  <r>
    <x v="0"/>
    <x v="0"/>
    <x v="0"/>
    <x v="8"/>
    <x v="19"/>
    <s v="SE4_HP"/>
    <x v="2"/>
    <s v="GBPR_MUNIWASTE_65"/>
    <x v="0"/>
    <x v="17"/>
    <n v="28.571428571428601"/>
    <n v="10428.5714285714"/>
    <n v="37542.857142857101"/>
  </r>
  <r>
    <x v="0"/>
    <x v="0"/>
    <x v="0"/>
    <x v="8"/>
    <x v="19"/>
    <s v="SE4_HP"/>
    <x v="2"/>
    <s v="GBPR_MUNIWASTE_65"/>
    <x v="0"/>
    <x v="18"/>
    <n v="28.571428571428601"/>
    <n v="10428.5714285714"/>
    <n v="37542.857142857101"/>
  </r>
  <r>
    <x v="0"/>
    <x v="0"/>
    <x v="0"/>
    <x v="8"/>
    <x v="19"/>
    <s v="SE4_HP"/>
    <x v="2"/>
    <s v="GBPR_MUNIWASTE_65"/>
    <x v="0"/>
    <x v="19"/>
    <n v="28.571428571428601"/>
    <n v="10428.5714285714"/>
    <n v="37542.857142857101"/>
  </r>
  <r>
    <x v="0"/>
    <x v="0"/>
    <x v="0"/>
    <x v="8"/>
    <x v="19"/>
    <s v="SE4_HP"/>
    <x v="2"/>
    <s v="GBPR_MUNIWASTE_65"/>
    <x v="0"/>
    <x v="20"/>
    <n v="28.571428571428601"/>
    <n v="10428.5714285714"/>
    <n v="37542.857142857101"/>
  </r>
  <r>
    <x v="0"/>
    <x v="0"/>
    <x v="0"/>
    <x v="8"/>
    <x v="19"/>
    <s v="SE4_HP"/>
    <x v="2"/>
    <s v="GBPR_MUNIWASTE_65"/>
    <x v="0"/>
    <x v="21"/>
    <n v="28.571428571428601"/>
    <n v="10428.5714285714"/>
    <n v="37542.857142857101"/>
  </r>
  <r>
    <x v="0"/>
    <x v="0"/>
    <x v="0"/>
    <x v="8"/>
    <x v="19"/>
    <s v="SE4_HP"/>
    <x v="2"/>
    <s v="GBPR_MUNIWASTE_65"/>
    <x v="0"/>
    <x v="22"/>
    <n v="28.571428571428601"/>
    <n v="10428.5714285714"/>
    <n v="37542.857142857101"/>
  </r>
  <r>
    <x v="0"/>
    <x v="0"/>
    <x v="0"/>
    <x v="8"/>
    <x v="19"/>
    <s v="SE4_HP"/>
    <x v="2"/>
    <s v="GBPR_MUNIWASTE_65"/>
    <x v="0"/>
    <x v="23"/>
    <n v="28.571428571428601"/>
    <n v="10428.5714285714"/>
    <n v="37542.857142857101"/>
  </r>
  <r>
    <x v="0"/>
    <x v="0"/>
    <x v="0"/>
    <x v="8"/>
    <x v="19"/>
    <s v="SE4_HP"/>
    <x v="3"/>
    <s v="GBPR_NATGAS_100"/>
    <x v="0"/>
    <x v="6"/>
    <n v="54"/>
    <n v="19710"/>
    <n v="70956"/>
  </r>
  <r>
    <x v="0"/>
    <x v="0"/>
    <x v="0"/>
    <x v="8"/>
    <x v="19"/>
    <s v="SE4_HP"/>
    <x v="3"/>
    <s v="GBPR_NATGAS_100"/>
    <x v="0"/>
    <x v="7"/>
    <n v="54"/>
    <n v="19710"/>
    <n v="70956"/>
  </r>
  <r>
    <x v="0"/>
    <x v="0"/>
    <x v="0"/>
    <x v="8"/>
    <x v="19"/>
    <s v="SE4_HP"/>
    <x v="3"/>
    <s v="GBPR_NATGAS_100"/>
    <x v="0"/>
    <x v="8"/>
    <n v="54"/>
    <n v="19710"/>
    <n v="70956"/>
  </r>
  <r>
    <x v="0"/>
    <x v="0"/>
    <x v="0"/>
    <x v="8"/>
    <x v="19"/>
    <s v="SE4_HP"/>
    <x v="3"/>
    <s v="GBPR_NATGAS_100"/>
    <x v="0"/>
    <x v="9"/>
    <n v="54"/>
    <n v="19710"/>
    <n v="70956"/>
  </r>
  <r>
    <x v="0"/>
    <x v="0"/>
    <x v="0"/>
    <x v="8"/>
    <x v="19"/>
    <s v="SE4_HP"/>
    <x v="3"/>
    <s v="GBPR_NATGAS_100"/>
    <x v="0"/>
    <x v="10"/>
    <n v="54"/>
    <n v="19710"/>
    <n v="70956"/>
  </r>
  <r>
    <x v="0"/>
    <x v="0"/>
    <x v="0"/>
    <x v="8"/>
    <x v="19"/>
    <s v="SE4_HP"/>
    <x v="3"/>
    <s v="GBPR_NATGAS_100"/>
    <x v="0"/>
    <x v="11"/>
    <n v="54"/>
    <n v="19710"/>
    <n v="70956"/>
  </r>
  <r>
    <x v="0"/>
    <x v="0"/>
    <x v="0"/>
    <x v="8"/>
    <x v="19"/>
    <s v="SE4_HP"/>
    <x v="3"/>
    <s v="GBPR_NATGAS_100"/>
    <x v="0"/>
    <x v="0"/>
    <n v="54"/>
    <n v="19710"/>
    <n v="70956"/>
  </r>
  <r>
    <x v="0"/>
    <x v="0"/>
    <x v="0"/>
    <x v="8"/>
    <x v="19"/>
    <s v="SE4_HP"/>
    <x v="3"/>
    <s v="GBPR_NATGAS_100"/>
    <x v="0"/>
    <x v="1"/>
    <n v="54"/>
    <n v="19710"/>
    <n v="70956"/>
  </r>
  <r>
    <x v="0"/>
    <x v="0"/>
    <x v="0"/>
    <x v="8"/>
    <x v="19"/>
    <s v="SE4_HP"/>
    <x v="3"/>
    <s v="GBPR_NATGAS_100"/>
    <x v="0"/>
    <x v="2"/>
    <n v="54"/>
    <n v="19710"/>
    <n v="70956"/>
  </r>
  <r>
    <x v="0"/>
    <x v="0"/>
    <x v="0"/>
    <x v="8"/>
    <x v="19"/>
    <s v="SE4_HP"/>
    <x v="3"/>
    <s v="GBPR_NATGAS_100"/>
    <x v="0"/>
    <x v="3"/>
    <n v="54"/>
    <n v="19710"/>
    <n v="70956"/>
  </r>
  <r>
    <x v="0"/>
    <x v="0"/>
    <x v="0"/>
    <x v="8"/>
    <x v="19"/>
    <s v="SE4_HP"/>
    <x v="3"/>
    <s v="GBPR_NATGAS_100"/>
    <x v="0"/>
    <x v="12"/>
    <n v="54"/>
    <n v="19710"/>
    <n v="70956"/>
  </r>
  <r>
    <x v="0"/>
    <x v="0"/>
    <x v="0"/>
    <x v="8"/>
    <x v="19"/>
    <s v="SE4_HP"/>
    <x v="3"/>
    <s v="GBPR_NATGAS_100"/>
    <x v="0"/>
    <x v="13"/>
    <n v="54"/>
    <n v="19710"/>
    <n v="70956"/>
  </r>
  <r>
    <x v="0"/>
    <x v="0"/>
    <x v="0"/>
    <x v="8"/>
    <x v="19"/>
    <s v="SE4_HP"/>
    <x v="3"/>
    <s v="GBPR_NATGAS_100"/>
    <x v="0"/>
    <x v="14"/>
    <n v="54"/>
    <n v="19710"/>
    <n v="70956"/>
  </r>
  <r>
    <x v="0"/>
    <x v="0"/>
    <x v="0"/>
    <x v="8"/>
    <x v="19"/>
    <s v="SE4_HP"/>
    <x v="3"/>
    <s v="GBPR_NATGAS_100"/>
    <x v="0"/>
    <x v="15"/>
    <n v="54"/>
    <n v="19710"/>
    <n v="70956"/>
  </r>
  <r>
    <x v="0"/>
    <x v="0"/>
    <x v="0"/>
    <x v="8"/>
    <x v="19"/>
    <s v="SE4_HP"/>
    <x v="3"/>
    <s v="GBPR_NATGAS_100"/>
    <x v="0"/>
    <x v="4"/>
    <n v="54"/>
    <n v="19710"/>
    <n v="70956"/>
  </r>
  <r>
    <x v="0"/>
    <x v="0"/>
    <x v="0"/>
    <x v="8"/>
    <x v="19"/>
    <s v="SE4_HP"/>
    <x v="3"/>
    <s v="GBPR_NATGAS_100"/>
    <x v="0"/>
    <x v="16"/>
    <n v="54"/>
    <n v="19710"/>
    <n v="70956"/>
  </r>
  <r>
    <x v="0"/>
    <x v="0"/>
    <x v="0"/>
    <x v="8"/>
    <x v="19"/>
    <s v="SE4_HP"/>
    <x v="3"/>
    <s v="GBPR_NATGAS_100"/>
    <x v="0"/>
    <x v="5"/>
    <n v="54"/>
    <n v="19710"/>
    <n v="70956"/>
  </r>
  <r>
    <x v="0"/>
    <x v="0"/>
    <x v="0"/>
    <x v="8"/>
    <x v="19"/>
    <s v="SE4_HP"/>
    <x v="3"/>
    <s v="GBPR_NATGAS_100"/>
    <x v="0"/>
    <x v="17"/>
    <n v="54"/>
    <n v="19710"/>
    <n v="70956"/>
  </r>
  <r>
    <x v="0"/>
    <x v="0"/>
    <x v="0"/>
    <x v="8"/>
    <x v="19"/>
    <s v="SE4_HP"/>
    <x v="3"/>
    <s v="GBPR_NATGAS_100"/>
    <x v="0"/>
    <x v="18"/>
    <n v="54"/>
    <n v="19710"/>
    <n v="70956"/>
  </r>
  <r>
    <x v="0"/>
    <x v="0"/>
    <x v="0"/>
    <x v="8"/>
    <x v="19"/>
    <s v="SE4_HP"/>
    <x v="3"/>
    <s v="GBPR_NATGAS_100"/>
    <x v="0"/>
    <x v="19"/>
    <n v="54"/>
    <n v="19710"/>
    <n v="70956"/>
  </r>
  <r>
    <x v="0"/>
    <x v="0"/>
    <x v="0"/>
    <x v="8"/>
    <x v="19"/>
    <s v="SE4_HP"/>
    <x v="3"/>
    <s v="GBPR_NATGAS_100"/>
    <x v="0"/>
    <x v="20"/>
    <n v="54"/>
    <n v="19710"/>
    <n v="70956"/>
  </r>
  <r>
    <x v="0"/>
    <x v="0"/>
    <x v="0"/>
    <x v="8"/>
    <x v="19"/>
    <s v="SE4_HP"/>
    <x v="3"/>
    <s v="GBPR_NATGAS_100"/>
    <x v="0"/>
    <x v="21"/>
    <n v="54"/>
    <n v="19710"/>
    <n v="70956"/>
  </r>
  <r>
    <x v="0"/>
    <x v="0"/>
    <x v="0"/>
    <x v="8"/>
    <x v="19"/>
    <s v="SE4_HP"/>
    <x v="3"/>
    <s v="GBPR_NATGAS_100"/>
    <x v="0"/>
    <x v="22"/>
    <n v="54"/>
    <n v="19710"/>
    <n v="70956"/>
  </r>
  <r>
    <x v="0"/>
    <x v="0"/>
    <x v="0"/>
    <x v="8"/>
    <x v="19"/>
    <s v="SE4_HP"/>
    <x v="3"/>
    <s v="GBPR_NATGAS_100"/>
    <x v="0"/>
    <x v="23"/>
    <n v="54"/>
    <n v="19710"/>
    <n v="70956"/>
  </r>
  <r>
    <x v="0"/>
    <x v="0"/>
    <x v="0"/>
    <x v="8"/>
    <x v="19"/>
    <s v="SE4_HP"/>
    <x v="7"/>
    <s v="GBPR_WOODPELLETS"/>
    <x v="0"/>
    <x v="0"/>
    <n v="33.300746584355103"/>
    <n v="12154.7725032896"/>
    <n v="43757.1810118426"/>
  </r>
  <r>
    <x v="0"/>
    <x v="0"/>
    <x v="0"/>
    <x v="8"/>
    <x v="19"/>
    <s v="SE4_HP"/>
    <x v="7"/>
    <s v="GBPR_WOODPELLETS"/>
    <x v="0"/>
    <x v="1"/>
    <n v="141.393442622951"/>
    <n v="51608.606557377003"/>
    <n v="185790.98360655701"/>
  </r>
  <r>
    <x v="0"/>
    <x v="0"/>
    <x v="0"/>
    <x v="8"/>
    <x v="19"/>
    <s v="SE4_HP"/>
    <x v="7"/>
    <s v="GBPR_WOODPELLETS"/>
    <x v="0"/>
    <x v="2"/>
    <n v="141.393442622951"/>
    <n v="51608.606557377003"/>
    <n v="185790.98360655701"/>
  </r>
  <r>
    <x v="0"/>
    <x v="0"/>
    <x v="0"/>
    <x v="8"/>
    <x v="19"/>
    <s v="SE4_HP"/>
    <x v="7"/>
    <s v="GBPR_WOODPELLETS"/>
    <x v="0"/>
    <x v="3"/>
    <n v="141.393442622951"/>
    <n v="51608.606557377003"/>
    <n v="185790.98360655701"/>
  </r>
  <r>
    <x v="0"/>
    <x v="0"/>
    <x v="0"/>
    <x v="8"/>
    <x v="19"/>
    <s v="SE4_HP"/>
    <x v="7"/>
    <s v="GBPR_WOODPELLETS"/>
    <x v="0"/>
    <x v="12"/>
    <n v="141.393442622951"/>
    <n v="51608.606557377003"/>
    <n v="185790.98360655701"/>
  </r>
  <r>
    <x v="0"/>
    <x v="0"/>
    <x v="0"/>
    <x v="8"/>
    <x v="19"/>
    <s v="SE4_HP"/>
    <x v="7"/>
    <s v="GBPR_WOODPELLETS"/>
    <x v="0"/>
    <x v="4"/>
    <n v="141.393442622951"/>
    <n v="51608.606557377003"/>
    <n v="185790.98360655701"/>
  </r>
  <r>
    <x v="0"/>
    <x v="0"/>
    <x v="0"/>
    <x v="8"/>
    <x v="19"/>
    <s v="SE4_HP"/>
    <x v="7"/>
    <s v="GBPR_WOODPELLETS"/>
    <x v="0"/>
    <x v="16"/>
    <n v="141.393442622951"/>
    <n v="51608.606557377003"/>
    <n v="185790.98360655701"/>
  </r>
  <r>
    <x v="0"/>
    <x v="0"/>
    <x v="0"/>
    <x v="8"/>
    <x v="19"/>
    <s v="SE4_HP"/>
    <x v="7"/>
    <s v="GBPR_WOODPELLETS"/>
    <x v="0"/>
    <x v="5"/>
    <n v="141.393442622951"/>
    <n v="51608.606557377003"/>
    <n v="185790.98360655701"/>
  </r>
  <r>
    <x v="0"/>
    <x v="0"/>
    <x v="0"/>
    <x v="8"/>
    <x v="19"/>
    <s v="SE4_HP"/>
    <x v="7"/>
    <s v="GBPR_WOODPELLETS"/>
    <x v="0"/>
    <x v="17"/>
    <n v="141.393442622951"/>
    <n v="51608.606557377003"/>
    <n v="185790.98360655701"/>
  </r>
  <r>
    <x v="0"/>
    <x v="0"/>
    <x v="0"/>
    <x v="8"/>
    <x v="19"/>
    <s v="SE4_MAL"/>
    <x v="1"/>
    <s v="GNR_HS_HEAT_WTR-TANK_LS_E-95_Y-2010"/>
    <x v="0"/>
    <x v="6"/>
    <n v="45.958857920580002"/>
    <n v="16774.9831410117"/>
    <n v="60389.939307642097"/>
  </r>
  <r>
    <x v="0"/>
    <x v="0"/>
    <x v="0"/>
    <x v="8"/>
    <x v="19"/>
    <s v="SE4_MAL"/>
    <x v="1"/>
    <s v="GNR_HS_HEAT_WTR-TANK_LS_E-95_Y-2010"/>
    <x v="0"/>
    <x v="7"/>
    <n v="44.6689163088245"/>
    <n v="16304.154452721001"/>
    <n v="58694.956029795503"/>
  </r>
  <r>
    <x v="0"/>
    <x v="0"/>
    <x v="0"/>
    <x v="8"/>
    <x v="19"/>
    <s v="SE4_MAL"/>
    <x v="1"/>
    <s v="GNR_HS_HEAT_WTR-TANK_LS_E-95_Y-2010"/>
    <x v="0"/>
    <x v="8"/>
    <n v="91.964973844595804"/>
    <n v="33567.215453277502"/>
    <n v="120841.975631799"/>
  </r>
  <r>
    <x v="0"/>
    <x v="0"/>
    <x v="0"/>
    <x v="8"/>
    <x v="19"/>
    <s v="SE4_MAL"/>
    <x v="1"/>
    <s v="GNR_HS_HEAT_WTR-TANK_LS_E-95_Y-2010"/>
    <x v="0"/>
    <x v="9"/>
    <n v="44.425120195999497"/>
    <n v="16215.1688715398"/>
    <n v="58374.607937543296"/>
  </r>
  <r>
    <x v="0"/>
    <x v="0"/>
    <x v="0"/>
    <x v="8"/>
    <x v="19"/>
    <s v="SE4_MAL"/>
    <x v="1"/>
    <s v="GNR_HS_HEAT_WTR-TANK_LS_E-95_Y-2010"/>
    <x v="0"/>
    <x v="10"/>
    <n v="48.766608395030403"/>
    <n v="17799.812064186099"/>
    <n v="64079.323431069999"/>
  </r>
  <r>
    <x v="0"/>
    <x v="0"/>
    <x v="0"/>
    <x v="8"/>
    <x v="19"/>
    <s v="SE4_MAL"/>
    <x v="1"/>
    <s v="GNR_HS_HEAT_WTR-TANK_LS_E-95_Y-2010"/>
    <x v="0"/>
    <x v="11"/>
    <n v="70.724086143561905"/>
    <n v="25814.291442400099"/>
    <n v="92931.449192640299"/>
  </r>
  <r>
    <x v="0"/>
    <x v="0"/>
    <x v="0"/>
    <x v="8"/>
    <x v="19"/>
    <s v="SE4_MAL"/>
    <x v="1"/>
    <s v="GNR_HS_HEAT_WTR-TANK_LS_E-95_Y-2010"/>
    <x v="0"/>
    <x v="0"/>
    <n v="437.25744312446398"/>
    <n v="159598.96674042899"/>
    <n v="574556.28026554501"/>
  </r>
  <r>
    <x v="0"/>
    <x v="0"/>
    <x v="0"/>
    <x v="8"/>
    <x v="19"/>
    <s v="SE4_MAL"/>
    <x v="1"/>
    <s v="GNR_HS_HEAT_WTR-TANK_LS_E-95_Y-2010"/>
    <x v="0"/>
    <x v="1"/>
    <n v="453.71753052704298"/>
    <n v="165606.898642371"/>
    <n v="596184.835112534"/>
  </r>
  <r>
    <x v="0"/>
    <x v="0"/>
    <x v="0"/>
    <x v="8"/>
    <x v="19"/>
    <s v="SE4_MAL"/>
    <x v="1"/>
    <s v="GNR_HS_HEAT_WTR-TANK_LS_E-95_Y-2010"/>
    <x v="0"/>
    <x v="12"/>
    <n v="436.06761274498803"/>
    <n v="159164.67865192101"/>
    <n v="572992.84314691403"/>
  </r>
  <r>
    <x v="0"/>
    <x v="0"/>
    <x v="0"/>
    <x v="8"/>
    <x v="19"/>
    <s v="SE4_MAL"/>
    <x v="1"/>
    <s v="GNR_HS_HEAT_WTR-TANK_LS_E-95_Y-2010"/>
    <x v="0"/>
    <x v="13"/>
    <n v="303.72718964839498"/>
    <n v="110860.424221664"/>
    <n v="399097.52719799097"/>
  </r>
  <r>
    <x v="0"/>
    <x v="0"/>
    <x v="0"/>
    <x v="8"/>
    <x v="19"/>
    <s v="SE4_MAL"/>
    <x v="1"/>
    <s v="GNR_HS_HEAT_WTR-TANK_LS_E-95_Y-2010"/>
    <x v="0"/>
    <x v="14"/>
    <n v="563.37071037539101"/>
    <n v="205630.309287018"/>
    <n v="740269.11343326396"/>
  </r>
  <r>
    <x v="0"/>
    <x v="0"/>
    <x v="0"/>
    <x v="8"/>
    <x v="19"/>
    <s v="SE4_MAL"/>
    <x v="1"/>
    <s v="GNR_HS_HEAT_WTR-TANK_LS_E-95_Y-2010"/>
    <x v="0"/>
    <x v="15"/>
    <n v="153.73743439809201"/>
    <n v="56114.163555303698"/>
    <n v="202010.988799093"/>
  </r>
  <r>
    <x v="0"/>
    <x v="0"/>
    <x v="0"/>
    <x v="8"/>
    <x v="19"/>
    <s v="SE4_MAL"/>
    <x v="1"/>
    <s v="GNR_HS_HEAT_WTR-TANK_LS_E-95_Y-2010"/>
    <x v="0"/>
    <x v="4"/>
    <n v="414.24833652000302"/>
    <n v="151200.64282980101"/>
    <n v="544322.31418728305"/>
  </r>
  <r>
    <x v="0"/>
    <x v="0"/>
    <x v="0"/>
    <x v="8"/>
    <x v="19"/>
    <s v="SE4_MAL"/>
    <x v="1"/>
    <s v="GNR_HS_HEAT_WTR-TANK_LS_E-95_Y-2010"/>
    <x v="0"/>
    <x v="16"/>
    <n v="416.92859683325702"/>
    <n v="152178.937844139"/>
    <n v="547844.176238899"/>
  </r>
  <r>
    <x v="0"/>
    <x v="0"/>
    <x v="0"/>
    <x v="8"/>
    <x v="19"/>
    <s v="SE4_MAL"/>
    <x v="1"/>
    <s v="GNR_HS_HEAT_WTR-TANK_LS_E-95_Y-2010"/>
    <x v="0"/>
    <x v="5"/>
    <n v="417.39053860828"/>
    <n v="152347.546592022"/>
    <n v="548451.16773127904"/>
  </r>
  <r>
    <x v="0"/>
    <x v="0"/>
    <x v="0"/>
    <x v="8"/>
    <x v="19"/>
    <s v="SE4_MAL"/>
    <x v="1"/>
    <s v="GNR_HS_HEAT_WTR-TANK_LS_E-95_Y-2010"/>
    <x v="0"/>
    <x v="17"/>
    <n v="411.60560078625201"/>
    <n v="150236.04428698201"/>
    <n v="540849.75943313504"/>
  </r>
  <r>
    <x v="0"/>
    <x v="0"/>
    <x v="0"/>
    <x v="8"/>
    <x v="19"/>
    <s v="SE4_MAL"/>
    <x v="1"/>
    <s v="GNR_HS_HEAT_WTR-TANK_LS_E-95_Y-2010"/>
    <x v="0"/>
    <x v="18"/>
    <n v="405.85395293160701"/>
    <n v="148136.69282003699"/>
    <n v="533292.09415213205"/>
  </r>
  <r>
    <x v="0"/>
    <x v="0"/>
    <x v="0"/>
    <x v="8"/>
    <x v="19"/>
    <s v="SE4_MAL"/>
    <x v="1"/>
    <s v="GNR_HS_HEAT_WTR-TANK_LS_E-95_Y-2010"/>
    <x v="0"/>
    <x v="20"/>
    <n v="67.822463336326706"/>
    <n v="24755.199117759199"/>
    <n v="89118.716823933297"/>
  </r>
  <r>
    <x v="0"/>
    <x v="0"/>
    <x v="0"/>
    <x v="8"/>
    <x v="19"/>
    <s v="SE4_MAL"/>
    <x v="1"/>
    <s v="GNR_HS_HEAT_WTR-TANK_LS_E-95_Y-2010"/>
    <x v="0"/>
    <x v="21"/>
    <n v="54.626388780272698"/>
    <n v="19938.631904799498"/>
    <n v="71779.074857278305"/>
  </r>
  <r>
    <x v="0"/>
    <x v="0"/>
    <x v="0"/>
    <x v="8"/>
    <x v="19"/>
    <s v="SE4_MAL"/>
    <x v="1"/>
    <s v="GNR_HS_HEAT_WTR-TANK_LS_E-95_Y-2010"/>
    <x v="0"/>
    <x v="22"/>
    <n v="75.224381952512402"/>
    <n v="27456.899412667"/>
    <n v="98844.837885601301"/>
  </r>
  <r>
    <x v="0"/>
    <x v="0"/>
    <x v="0"/>
    <x v="8"/>
    <x v="19"/>
    <s v="SE4_MAL"/>
    <x v="1"/>
    <s v="GNR_HS_HEAT_WTR-TANK_LS_E-95_Y-2010"/>
    <x v="0"/>
    <x v="23"/>
    <n v="65.802051726007306"/>
    <n v="24017.748879992701"/>
    <n v="86463.8959679736"/>
  </r>
  <r>
    <x v="0"/>
    <x v="0"/>
    <x v="0"/>
    <x v="8"/>
    <x v="19"/>
    <s v="SE4_MAL"/>
    <x v="2"/>
    <s v="GBPR_MUNIWASTE_24"/>
    <x v="0"/>
    <x v="6"/>
    <n v="105.54643063947999"/>
    <n v="38524.447183410302"/>
    <n v="138688.009860277"/>
  </r>
  <r>
    <x v="0"/>
    <x v="0"/>
    <x v="0"/>
    <x v="8"/>
    <x v="19"/>
    <s v="SE4_MAL"/>
    <x v="2"/>
    <s v="GBPR_MUNIWASTE_24"/>
    <x v="0"/>
    <x v="7"/>
    <n v="105.54643063947999"/>
    <n v="38524.447183410302"/>
    <n v="138688.009860277"/>
  </r>
  <r>
    <x v="0"/>
    <x v="0"/>
    <x v="0"/>
    <x v="8"/>
    <x v="19"/>
    <s v="SE4_MAL"/>
    <x v="2"/>
    <s v="GBPR_MUNIWASTE_24"/>
    <x v="0"/>
    <x v="8"/>
    <n v="105.54643063947999"/>
    <n v="38524.447183410302"/>
    <n v="138688.009860277"/>
  </r>
  <r>
    <x v="0"/>
    <x v="0"/>
    <x v="0"/>
    <x v="8"/>
    <x v="19"/>
    <s v="SE4_MAL"/>
    <x v="2"/>
    <s v="GBPR_MUNIWASTE_24"/>
    <x v="0"/>
    <x v="9"/>
    <n v="105.54643063947999"/>
    <n v="38524.447183410302"/>
    <n v="138688.009860277"/>
  </r>
  <r>
    <x v="0"/>
    <x v="0"/>
    <x v="0"/>
    <x v="8"/>
    <x v="19"/>
    <s v="SE4_MAL"/>
    <x v="2"/>
    <s v="GBPR_MUNIWASTE_24"/>
    <x v="0"/>
    <x v="10"/>
    <n v="105.54643063947999"/>
    <n v="38524.447183410302"/>
    <n v="138688.009860277"/>
  </r>
  <r>
    <x v="0"/>
    <x v="0"/>
    <x v="0"/>
    <x v="8"/>
    <x v="19"/>
    <s v="SE4_MAL"/>
    <x v="2"/>
    <s v="GBPR_MUNIWASTE_24"/>
    <x v="0"/>
    <x v="11"/>
    <n v="105.54643063947999"/>
    <n v="38524.447183410302"/>
    <n v="138688.009860277"/>
  </r>
  <r>
    <x v="0"/>
    <x v="0"/>
    <x v="0"/>
    <x v="8"/>
    <x v="19"/>
    <s v="SE4_MAL"/>
    <x v="2"/>
    <s v="GBPR_MUNIWASTE_24"/>
    <x v="0"/>
    <x v="0"/>
    <n v="105.54643063947999"/>
    <n v="38524.447183410302"/>
    <n v="138688.009860277"/>
  </r>
  <r>
    <x v="0"/>
    <x v="0"/>
    <x v="0"/>
    <x v="8"/>
    <x v="19"/>
    <s v="SE4_MAL"/>
    <x v="2"/>
    <s v="GBPR_MUNIWASTE_24"/>
    <x v="0"/>
    <x v="1"/>
    <n v="105.54643063947999"/>
    <n v="38524.447183410302"/>
    <n v="138688.009860277"/>
  </r>
  <r>
    <x v="0"/>
    <x v="0"/>
    <x v="0"/>
    <x v="8"/>
    <x v="19"/>
    <s v="SE4_MAL"/>
    <x v="2"/>
    <s v="GBPR_MUNIWASTE_24"/>
    <x v="0"/>
    <x v="2"/>
    <n v="105.54643063947999"/>
    <n v="38524.447183410302"/>
    <n v="138688.009860277"/>
  </r>
  <r>
    <x v="0"/>
    <x v="0"/>
    <x v="0"/>
    <x v="8"/>
    <x v="19"/>
    <s v="SE4_MAL"/>
    <x v="2"/>
    <s v="GBPR_MUNIWASTE_24"/>
    <x v="0"/>
    <x v="3"/>
    <n v="105.54643063947999"/>
    <n v="38524.447183410302"/>
    <n v="138688.009860277"/>
  </r>
  <r>
    <x v="0"/>
    <x v="0"/>
    <x v="0"/>
    <x v="8"/>
    <x v="19"/>
    <s v="SE4_MAL"/>
    <x v="2"/>
    <s v="GBPR_MUNIWASTE_24"/>
    <x v="0"/>
    <x v="12"/>
    <n v="105.54643063947999"/>
    <n v="38524.447183410302"/>
    <n v="138688.009860277"/>
  </r>
  <r>
    <x v="0"/>
    <x v="0"/>
    <x v="0"/>
    <x v="8"/>
    <x v="19"/>
    <s v="SE4_MAL"/>
    <x v="2"/>
    <s v="GBPR_MUNIWASTE_24"/>
    <x v="0"/>
    <x v="13"/>
    <n v="105.54643063947999"/>
    <n v="38524.447183410302"/>
    <n v="138688.009860277"/>
  </r>
  <r>
    <x v="0"/>
    <x v="0"/>
    <x v="0"/>
    <x v="8"/>
    <x v="19"/>
    <s v="SE4_MAL"/>
    <x v="2"/>
    <s v="GBPR_MUNIWASTE_24"/>
    <x v="0"/>
    <x v="14"/>
    <n v="105.54643063947999"/>
    <n v="38524.447183410302"/>
    <n v="138688.009860277"/>
  </r>
  <r>
    <x v="0"/>
    <x v="0"/>
    <x v="0"/>
    <x v="8"/>
    <x v="19"/>
    <s v="SE4_MAL"/>
    <x v="2"/>
    <s v="GBPR_MUNIWASTE_24"/>
    <x v="0"/>
    <x v="15"/>
    <n v="105.54643063947999"/>
    <n v="38524.447183410302"/>
    <n v="138688.009860277"/>
  </r>
  <r>
    <x v="0"/>
    <x v="0"/>
    <x v="0"/>
    <x v="8"/>
    <x v="19"/>
    <s v="SE4_MAL"/>
    <x v="2"/>
    <s v="GBPR_MUNIWASTE_24"/>
    <x v="0"/>
    <x v="4"/>
    <n v="105.54643063947999"/>
    <n v="38524.447183410302"/>
    <n v="138688.009860277"/>
  </r>
  <r>
    <x v="0"/>
    <x v="0"/>
    <x v="0"/>
    <x v="8"/>
    <x v="19"/>
    <s v="SE4_MAL"/>
    <x v="2"/>
    <s v="GBPR_MUNIWASTE_24"/>
    <x v="0"/>
    <x v="16"/>
    <n v="105.54643063947999"/>
    <n v="38524.447183410302"/>
    <n v="138688.009860277"/>
  </r>
  <r>
    <x v="0"/>
    <x v="0"/>
    <x v="0"/>
    <x v="8"/>
    <x v="19"/>
    <s v="SE4_MAL"/>
    <x v="2"/>
    <s v="GBPR_MUNIWASTE_24"/>
    <x v="0"/>
    <x v="5"/>
    <n v="105.54643063947999"/>
    <n v="38524.447183410302"/>
    <n v="138688.009860277"/>
  </r>
  <r>
    <x v="0"/>
    <x v="0"/>
    <x v="0"/>
    <x v="8"/>
    <x v="19"/>
    <s v="SE4_MAL"/>
    <x v="2"/>
    <s v="GBPR_MUNIWASTE_24"/>
    <x v="0"/>
    <x v="17"/>
    <n v="105.54643063947999"/>
    <n v="38524.447183410302"/>
    <n v="138688.009860277"/>
  </r>
  <r>
    <x v="0"/>
    <x v="0"/>
    <x v="0"/>
    <x v="8"/>
    <x v="19"/>
    <s v="SE4_MAL"/>
    <x v="2"/>
    <s v="GBPR_MUNIWASTE_24"/>
    <x v="0"/>
    <x v="18"/>
    <n v="105.54643063947999"/>
    <n v="38524.447183410302"/>
    <n v="138688.009860277"/>
  </r>
  <r>
    <x v="0"/>
    <x v="0"/>
    <x v="0"/>
    <x v="8"/>
    <x v="19"/>
    <s v="SE4_MAL"/>
    <x v="2"/>
    <s v="GBPR_MUNIWASTE_24"/>
    <x v="0"/>
    <x v="19"/>
    <n v="105.54643063947999"/>
    <n v="38524.447183410302"/>
    <n v="138688.009860277"/>
  </r>
  <r>
    <x v="0"/>
    <x v="0"/>
    <x v="0"/>
    <x v="8"/>
    <x v="19"/>
    <s v="SE4_MAL"/>
    <x v="2"/>
    <s v="GBPR_MUNIWASTE_24"/>
    <x v="0"/>
    <x v="20"/>
    <n v="105.54643063947999"/>
    <n v="38524.447183410302"/>
    <n v="138688.009860277"/>
  </r>
  <r>
    <x v="0"/>
    <x v="0"/>
    <x v="0"/>
    <x v="8"/>
    <x v="19"/>
    <s v="SE4_MAL"/>
    <x v="2"/>
    <s v="GBPR_MUNIWASTE_24"/>
    <x v="0"/>
    <x v="21"/>
    <n v="105.54643063947999"/>
    <n v="38524.447183410302"/>
    <n v="138688.009860277"/>
  </r>
  <r>
    <x v="0"/>
    <x v="0"/>
    <x v="0"/>
    <x v="8"/>
    <x v="19"/>
    <s v="SE4_MAL"/>
    <x v="2"/>
    <s v="GBPR_MUNIWASTE_24"/>
    <x v="0"/>
    <x v="22"/>
    <n v="105.54643063947999"/>
    <n v="38524.447183410302"/>
    <n v="138688.009860277"/>
  </r>
  <r>
    <x v="0"/>
    <x v="0"/>
    <x v="0"/>
    <x v="8"/>
    <x v="19"/>
    <s v="SE4_MAL"/>
    <x v="2"/>
    <s v="GBPR_MUNIWASTE_24"/>
    <x v="0"/>
    <x v="23"/>
    <n v="105.54643063947999"/>
    <n v="38524.447183410302"/>
    <n v="138688.009860277"/>
  </r>
  <r>
    <x v="0"/>
    <x v="0"/>
    <x v="0"/>
    <x v="8"/>
    <x v="19"/>
    <s v="SE4_MAL"/>
    <x v="2"/>
    <s v="GHOB_MUNIWASTE"/>
    <x v="0"/>
    <x v="6"/>
    <n v="48.715971793323398"/>
    <n v="17781.329704562999"/>
    <n v="64012.786936427001"/>
  </r>
  <r>
    <x v="0"/>
    <x v="0"/>
    <x v="0"/>
    <x v="8"/>
    <x v="19"/>
    <s v="SE4_MAL"/>
    <x v="2"/>
    <s v="GHOB_MUNIWASTE"/>
    <x v="0"/>
    <x v="7"/>
    <n v="48.715971793323398"/>
    <n v="17781.329704562999"/>
    <n v="64012.786936427001"/>
  </r>
  <r>
    <x v="0"/>
    <x v="0"/>
    <x v="0"/>
    <x v="8"/>
    <x v="19"/>
    <s v="SE4_MAL"/>
    <x v="2"/>
    <s v="GHOB_MUNIWASTE"/>
    <x v="0"/>
    <x v="9"/>
    <n v="48.715971793323398"/>
    <n v="17781.329704562999"/>
    <n v="64012.786936427001"/>
  </r>
  <r>
    <x v="0"/>
    <x v="0"/>
    <x v="0"/>
    <x v="8"/>
    <x v="19"/>
    <s v="SE4_MAL"/>
    <x v="2"/>
    <s v="GHOB_MUNIWASTE"/>
    <x v="0"/>
    <x v="10"/>
    <n v="48.715971793323398"/>
    <n v="17781.329704562999"/>
    <n v="64012.786936427001"/>
  </r>
  <r>
    <x v="0"/>
    <x v="0"/>
    <x v="0"/>
    <x v="8"/>
    <x v="19"/>
    <s v="SE4_MAL"/>
    <x v="2"/>
    <s v="GHOB_MUNIWASTE"/>
    <x v="0"/>
    <x v="11"/>
    <n v="48.715971793323398"/>
    <n v="17781.329704562999"/>
    <n v="64012.786936427001"/>
  </r>
  <r>
    <x v="0"/>
    <x v="0"/>
    <x v="0"/>
    <x v="8"/>
    <x v="19"/>
    <s v="SE4_MAL"/>
    <x v="2"/>
    <s v="GHOB_MUNIWASTE"/>
    <x v="0"/>
    <x v="20"/>
    <n v="48.715971793323398"/>
    <n v="17781.329704562999"/>
    <n v="64012.786936427001"/>
  </r>
  <r>
    <x v="0"/>
    <x v="0"/>
    <x v="0"/>
    <x v="8"/>
    <x v="19"/>
    <s v="SE4_MAL"/>
    <x v="2"/>
    <s v="GHOB_MUNIWASTE"/>
    <x v="0"/>
    <x v="21"/>
    <n v="48.715971793323398"/>
    <n v="17781.329704562999"/>
    <n v="64012.786936427001"/>
  </r>
  <r>
    <x v="0"/>
    <x v="0"/>
    <x v="0"/>
    <x v="8"/>
    <x v="19"/>
    <s v="SE4_MAL"/>
    <x v="2"/>
    <s v="GHOB_MUNIWASTE"/>
    <x v="0"/>
    <x v="22"/>
    <n v="16.1446871615621"/>
    <n v="5892.8108139701599"/>
    <n v="21214.1189302926"/>
  </r>
  <r>
    <x v="0"/>
    <x v="0"/>
    <x v="0"/>
    <x v="8"/>
    <x v="19"/>
    <s v="SE4_MAL"/>
    <x v="3"/>
    <s v="GBPR_NATGAS_MAL"/>
    <x v="0"/>
    <x v="0"/>
    <n v="302.32558139534899"/>
    <n v="110348.837209302"/>
    <n v="397255.81395348802"/>
  </r>
  <r>
    <x v="0"/>
    <x v="0"/>
    <x v="0"/>
    <x v="8"/>
    <x v="19"/>
    <s v="SE4_MAL"/>
    <x v="3"/>
    <s v="GBPR_NATGAS_MAL"/>
    <x v="0"/>
    <x v="1"/>
    <n v="302.32558139534899"/>
    <n v="110348.837209302"/>
    <n v="397255.81395348802"/>
  </r>
  <r>
    <x v="0"/>
    <x v="0"/>
    <x v="0"/>
    <x v="8"/>
    <x v="19"/>
    <s v="SE4_MAL"/>
    <x v="3"/>
    <s v="GBPR_NATGAS_MAL"/>
    <x v="0"/>
    <x v="2"/>
    <n v="302.32558139534899"/>
    <n v="110348.837209302"/>
    <n v="397255.81395348802"/>
  </r>
  <r>
    <x v="0"/>
    <x v="0"/>
    <x v="0"/>
    <x v="8"/>
    <x v="19"/>
    <s v="SE4_MAL"/>
    <x v="3"/>
    <s v="GBPR_NATGAS_MAL"/>
    <x v="0"/>
    <x v="3"/>
    <n v="302.32558139534899"/>
    <n v="110348.837209302"/>
    <n v="397255.81395348802"/>
  </r>
  <r>
    <x v="0"/>
    <x v="0"/>
    <x v="0"/>
    <x v="8"/>
    <x v="19"/>
    <s v="SE4_MAL"/>
    <x v="3"/>
    <s v="GBPR_NATGAS_MAL"/>
    <x v="0"/>
    <x v="12"/>
    <n v="302.32558139534899"/>
    <n v="110348.837209302"/>
    <n v="397255.81395348802"/>
  </r>
  <r>
    <x v="0"/>
    <x v="0"/>
    <x v="0"/>
    <x v="8"/>
    <x v="19"/>
    <s v="SE4_MAL"/>
    <x v="3"/>
    <s v="GBPR_NATGAS_MAL"/>
    <x v="0"/>
    <x v="4"/>
    <n v="302.32558139534899"/>
    <n v="110348.837209302"/>
    <n v="397255.81395348802"/>
  </r>
  <r>
    <x v="0"/>
    <x v="0"/>
    <x v="0"/>
    <x v="8"/>
    <x v="19"/>
    <s v="SE4_MAL"/>
    <x v="3"/>
    <s v="GBPR_NATGAS_MAL"/>
    <x v="0"/>
    <x v="16"/>
    <n v="302.32558139534899"/>
    <n v="110348.837209302"/>
    <n v="397255.81395348802"/>
  </r>
  <r>
    <x v="0"/>
    <x v="0"/>
    <x v="0"/>
    <x v="8"/>
    <x v="19"/>
    <s v="SE4_MAL"/>
    <x v="3"/>
    <s v="GBPR_NATGAS_MAL"/>
    <x v="0"/>
    <x v="5"/>
    <n v="302.32558139534899"/>
    <n v="110348.837209302"/>
    <n v="397255.81395348802"/>
  </r>
  <r>
    <x v="0"/>
    <x v="0"/>
    <x v="0"/>
    <x v="8"/>
    <x v="19"/>
    <s v="SE4_MAL"/>
    <x v="3"/>
    <s v="GBPR_NATGAS_MAL"/>
    <x v="0"/>
    <x v="17"/>
    <n v="302.32558139534899"/>
    <n v="110348.837209302"/>
    <n v="397255.81395348802"/>
  </r>
  <r>
    <x v="0"/>
    <x v="0"/>
    <x v="0"/>
    <x v="8"/>
    <x v="19"/>
    <s v="SE4_MAL"/>
    <x v="3"/>
    <s v="GBPR_NATGAS_MAL"/>
    <x v="0"/>
    <x v="18"/>
    <n v="302.32558139534899"/>
    <n v="110348.837209302"/>
    <n v="397255.81395348802"/>
  </r>
  <r>
    <x v="0"/>
    <x v="0"/>
    <x v="0"/>
    <x v="8"/>
    <x v="19"/>
    <s v="SE4_MAL"/>
    <x v="3"/>
    <s v="GBPR_NATGAS_MAL"/>
    <x v="0"/>
    <x v="19"/>
    <n v="138.930680250655"/>
    <n v="50709.698291489003"/>
    <n v="182554.91384935999"/>
  </r>
  <r>
    <x v="0"/>
    <x v="0"/>
    <x v="0"/>
    <x v="8"/>
    <x v="19"/>
    <s v="SE4_MAL"/>
    <x v="5"/>
    <s v="GHOB_WASTEHEAT"/>
    <x v="0"/>
    <x v="6"/>
    <n v="12.362637362637299"/>
    <n v="4512.3626373626203"/>
    <n v="16244.5054945054"/>
  </r>
  <r>
    <x v="0"/>
    <x v="0"/>
    <x v="0"/>
    <x v="8"/>
    <x v="19"/>
    <s v="SE4_MAL"/>
    <x v="5"/>
    <s v="GHOB_WASTEHEAT"/>
    <x v="0"/>
    <x v="7"/>
    <n v="12.362637362637299"/>
    <n v="4512.3626373626203"/>
    <n v="16244.5054945054"/>
  </r>
  <r>
    <x v="0"/>
    <x v="0"/>
    <x v="0"/>
    <x v="8"/>
    <x v="19"/>
    <s v="SE4_MAL"/>
    <x v="5"/>
    <s v="GHOB_WASTEHEAT"/>
    <x v="0"/>
    <x v="8"/>
    <n v="12.362637362637299"/>
    <n v="4512.3626373626203"/>
    <n v="16244.5054945054"/>
  </r>
  <r>
    <x v="0"/>
    <x v="0"/>
    <x v="0"/>
    <x v="8"/>
    <x v="19"/>
    <s v="SE4_MAL"/>
    <x v="5"/>
    <s v="GHOB_WASTEHEAT"/>
    <x v="0"/>
    <x v="9"/>
    <n v="12.362637362637299"/>
    <n v="4512.3626373626203"/>
    <n v="16244.5054945054"/>
  </r>
  <r>
    <x v="0"/>
    <x v="0"/>
    <x v="0"/>
    <x v="8"/>
    <x v="19"/>
    <s v="SE4_MAL"/>
    <x v="5"/>
    <s v="GHOB_WASTEHEAT"/>
    <x v="0"/>
    <x v="10"/>
    <n v="12.362637362637299"/>
    <n v="4512.3626373626203"/>
    <n v="16244.5054945054"/>
  </r>
  <r>
    <x v="0"/>
    <x v="0"/>
    <x v="0"/>
    <x v="8"/>
    <x v="19"/>
    <s v="SE4_MAL"/>
    <x v="5"/>
    <s v="GHOB_WASTEHEAT"/>
    <x v="0"/>
    <x v="11"/>
    <n v="12.362637362637299"/>
    <n v="4512.3626373626203"/>
    <n v="16244.5054945054"/>
  </r>
  <r>
    <x v="0"/>
    <x v="0"/>
    <x v="0"/>
    <x v="8"/>
    <x v="19"/>
    <s v="SE4_MAL"/>
    <x v="5"/>
    <s v="GHOB_WASTEHEAT"/>
    <x v="0"/>
    <x v="20"/>
    <n v="12.362637362637299"/>
    <n v="4512.3626373626203"/>
    <n v="16244.5054945054"/>
  </r>
  <r>
    <x v="0"/>
    <x v="0"/>
    <x v="0"/>
    <x v="8"/>
    <x v="19"/>
    <s v="SE4_MAL"/>
    <x v="5"/>
    <s v="GHOB_WASTEHEAT"/>
    <x v="0"/>
    <x v="21"/>
    <n v="12.362637362637299"/>
    <n v="4512.3626373626203"/>
    <n v="16244.5054945054"/>
  </r>
  <r>
    <x v="0"/>
    <x v="0"/>
    <x v="0"/>
    <x v="8"/>
    <x v="19"/>
    <s v="SE4_MAL"/>
    <x v="5"/>
    <s v="GHOB_WASTEHEAT"/>
    <x v="0"/>
    <x v="22"/>
    <n v="12.362637362637299"/>
    <n v="4512.3626373626203"/>
    <n v="16244.5054945054"/>
  </r>
  <r>
    <x v="0"/>
    <x v="0"/>
    <x v="0"/>
    <x v="8"/>
    <x v="19"/>
    <s v="SE4_MAL"/>
    <x v="5"/>
    <s v="GHOB_WASTEHEAT"/>
    <x v="0"/>
    <x v="23"/>
    <n v="12.362637362637299"/>
    <n v="4512.3626373626203"/>
    <n v="16244.5054945054"/>
  </r>
  <r>
    <x v="0"/>
    <x v="0"/>
    <x v="0"/>
    <x v="8"/>
    <x v="19"/>
    <s v="SE4_OTHER"/>
    <x v="1"/>
    <s v="GNR_HS_HEAT_WTR-TANK_LS_E-95_Y-2010"/>
    <x v="0"/>
    <x v="0"/>
    <n v="4.5440671642398298"/>
    <n v="1658.5845149475399"/>
    <n v="5970.9042538111398"/>
  </r>
  <r>
    <x v="0"/>
    <x v="0"/>
    <x v="0"/>
    <x v="8"/>
    <x v="19"/>
    <s v="SE4_OTHER"/>
    <x v="1"/>
    <s v="GNR_HS_HEAT_WTR-TANK_LS_E-95_Y-2010"/>
    <x v="0"/>
    <x v="12"/>
    <n v="0.37597487221929499"/>
    <n v="137.23082836004301"/>
    <n v="494.03098209615399"/>
  </r>
  <r>
    <x v="0"/>
    <x v="0"/>
    <x v="0"/>
    <x v="8"/>
    <x v="19"/>
    <s v="SE4_OTHER"/>
    <x v="1"/>
    <s v="GNR_HS_HEAT_WTR-TANK_LS_E-95_Y-2010"/>
    <x v="0"/>
    <x v="13"/>
    <n v="4.5440671642398298"/>
    <n v="1658.5845149475399"/>
    <n v="5970.9042538111398"/>
  </r>
  <r>
    <x v="0"/>
    <x v="0"/>
    <x v="0"/>
    <x v="8"/>
    <x v="19"/>
    <s v="SE4_OTHER"/>
    <x v="2"/>
    <s v="GBPR_MUNIWASTE_19"/>
    <x v="0"/>
    <x v="6"/>
    <n v="60.738665158852299"/>
    <n v="22169.612782981101"/>
    <n v="79810.606018731996"/>
  </r>
  <r>
    <x v="0"/>
    <x v="0"/>
    <x v="0"/>
    <x v="8"/>
    <x v="19"/>
    <s v="SE4_OTHER"/>
    <x v="2"/>
    <s v="GBPR_MUNIWASTE_19"/>
    <x v="0"/>
    <x v="7"/>
    <n v="60.738665158852299"/>
    <n v="22169.612782981101"/>
    <n v="79810.606018731996"/>
  </r>
  <r>
    <x v="0"/>
    <x v="0"/>
    <x v="0"/>
    <x v="8"/>
    <x v="19"/>
    <s v="SE4_OTHER"/>
    <x v="2"/>
    <s v="GBPR_MUNIWASTE_19"/>
    <x v="0"/>
    <x v="8"/>
    <n v="60.738665158852299"/>
    <n v="22169.612782981101"/>
    <n v="79810.606018731996"/>
  </r>
  <r>
    <x v="0"/>
    <x v="0"/>
    <x v="0"/>
    <x v="8"/>
    <x v="19"/>
    <s v="SE4_OTHER"/>
    <x v="2"/>
    <s v="GBPR_MUNIWASTE_19"/>
    <x v="0"/>
    <x v="9"/>
    <n v="60.738665158852299"/>
    <n v="22169.612782981101"/>
    <n v="79810.606018731996"/>
  </r>
  <r>
    <x v="0"/>
    <x v="0"/>
    <x v="0"/>
    <x v="8"/>
    <x v="19"/>
    <s v="SE4_OTHER"/>
    <x v="2"/>
    <s v="GBPR_MUNIWASTE_19"/>
    <x v="0"/>
    <x v="10"/>
    <n v="60.738665158852299"/>
    <n v="22169.612782981101"/>
    <n v="79810.606018731996"/>
  </r>
  <r>
    <x v="0"/>
    <x v="0"/>
    <x v="0"/>
    <x v="8"/>
    <x v="19"/>
    <s v="SE4_OTHER"/>
    <x v="2"/>
    <s v="GBPR_MUNIWASTE_19"/>
    <x v="0"/>
    <x v="11"/>
    <n v="60.738665158852299"/>
    <n v="22169.612782981101"/>
    <n v="79810.606018731996"/>
  </r>
  <r>
    <x v="0"/>
    <x v="0"/>
    <x v="0"/>
    <x v="8"/>
    <x v="19"/>
    <s v="SE4_OTHER"/>
    <x v="2"/>
    <s v="GBPR_MUNIWASTE_19"/>
    <x v="0"/>
    <x v="0"/>
    <n v="60.738665158852299"/>
    <n v="22169.612782981101"/>
    <n v="79810.606018731996"/>
  </r>
  <r>
    <x v="0"/>
    <x v="0"/>
    <x v="0"/>
    <x v="8"/>
    <x v="19"/>
    <s v="SE4_OTHER"/>
    <x v="2"/>
    <s v="GBPR_MUNIWASTE_19"/>
    <x v="0"/>
    <x v="1"/>
    <n v="60.738665158852299"/>
    <n v="22169.612782981101"/>
    <n v="79810.606018731996"/>
  </r>
  <r>
    <x v="0"/>
    <x v="0"/>
    <x v="0"/>
    <x v="8"/>
    <x v="19"/>
    <s v="SE4_OTHER"/>
    <x v="2"/>
    <s v="GBPR_MUNIWASTE_19"/>
    <x v="0"/>
    <x v="2"/>
    <n v="60.738665158852299"/>
    <n v="22169.612782981101"/>
    <n v="79810.606018731996"/>
  </r>
  <r>
    <x v="0"/>
    <x v="0"/>
    <x v="0"/>
    <x v="8"/>
    <x v="19"/>
    <s v="SE4_OTHER"/>
    <x v="2"/>
    <s v="GBPR_MUNIWASTE_19"/>
    <x v="0"/>
    <x v="3"/>
    <n v="60.738665158852299"/>
    <n v="22169.612782981101"/>
    <n v="79810.606018731996"/>
  </r>
  <r>
    <x v="0"/>
    <x v="0"/>
    <x v="0"/>
    <x v="8"/>
    <x v="19"/>
    <s v="SE4_OTHER"/>
    <x v="2"/>
    <s v="GBPR_MUNIWASTE_19"/>
    <x v="0"/>
    <x v="12"/>
    <n v="60.738665158852299"/>
    <n v="22169.612782981101"/>
    <n v="79810.606018731996"/>
  </r>
  <r>
    <x v="0"/>
    <x v="0"/>
    <x v="0"/>
    <x v="8"/>
    <x v="19"/>
    <s v="SE4_OTHER"/>
    <x v="2"/>
    <s v="GBPR_MUNIWASTE_19"/>
    <x v="0"/>
    <x v="13"/>
    <n v="60.738665158852299"/>
    <n v="22169.612782981101"/>
    <n v="79810.606018731996"/>
  </r>
  <r>
    <x v="0"/>
    <x v="0"/>
    <x v="0"/>
    <x v="8"/>
    <x v="19"/>
    <s v="SE4_OTHER"/>
    <x v="2"/>
    <s v="GBPR_MUNIWASTE_19"/>
    <x v="0"/>
    <x v="14"/>
    <n v="60.738665158852299"/>
    <n v="22169.612782981101"/>
    <n v="79810.606018731996"/>
  </r>
  <r>
    <x v="0"/>
    <x v="0"/>
    <x v="0"/>
    <x v="8"/>
    <x v="19"/>
    <s v="SE4_OTHER"/>
    <x v="2"/>
    <s v="GBPR_MUNIWASTE_19"/>
    <x v="0"/>
    <x v="15"/>
    <n v="60.738665158852299"/>
    <n v="22169.612782981101"/>
    <n v="79810.606018731996"/>
  </r>
  <r>
    <x v="0"/>
    <x v="0"/>
    <x v="0"/>
    <x v="8"/>
    <x v="19"/>
    <s v="SE4_OTHER"/>
    <x v="2"/>
    <s v="GBPR_MUNIWASTE_19"/>
    <x v="0"/>
    <x v="4"/>
    <n v="60.738665158852299"/>
    <n v="22169.612782981101"/>
    <n v="79810.606018731996"/>
  </r>
  <r>
    <x v="0"/>
    <x v="0"/>
    <x v="0"/>
    <x v="8"/>
    <x v="19"/>
    <s v="SE4_OTHER"/>
    <x v="2"/>
    <s v="GBPR_MUNIWASTE_19"/>
    <x v="0"/>
    <x v="16"/>
    <n v="60.738665158852299"/>
    <n v="22169.612782981101"/>
    <n v="79810.606018731996"/>
  </r>
  <r>
    <x v="0"/>
    <x v="0"/>
    <x v="0"/>
    <x v="8"/>
    <x v="19"/>
    <s v="SE4_OTHER"/>
    <x v="2"/>
    <s v="GBPR_MUNIWASTE_19"/>
    <x v="0"/>
    <x v="5"/>
    <n v="60.738665158852299"/>
    <n v="22169.612782981101"/>
    <n v="79810.606018731996"/>
  </r>
  <r>
    <x v="0"/>
    <x v="0"/>
    <x v="0"/>
    <x v="8"/>
    <x v="19"/>
    <s v="SE4_OTHER"/>
    <x v="2"/>
    <s v="GBPR_MUNIWASTE_19"/>
    <x v="0"/>
    <x v="17"/>
    <n v="60.738665158852299"/>
    <n v="22169.612782981101"/>
    <n v="79810.606018731996"/>
  </r>
  <r>
    <x v="0"/>
    <x v="0"/>
    <x v="0"/>
    <x v="8"/>
    <x v="19"/>
    <s v="SE4_OTHER"/>
    <x v="2"/>
    <s v="GBPR_MUNIWASTE_19"/>
    <x v="0"/>
    <x v="18"/>
    <n v="60.738665158852299"/>
    <n v="22169.612782981101"/>
    <n v="79810.606018731996"/>
  </r>
  <r>
    <x v="0"/>
    <x v="0"/>
    <x v="0"/>
    <x v="8"/>
    <x v="19"/>
    <s v="SE4_OTHER"/>
    <x v="2"/>
    <s v="GBPR_MUNIWASTE_19"/>
    <x v="0"/>
    <x v="19"/>
    <n v="60.738665158852299"/>
    <n v="22169.612782981101"/>
    <n v="79810.606018731996"/>
  </r>
  <r>
    <x v="0"/>
    <x v="0"/>
    <x v="0"/>
    <x v="8"/>
    <x v="19"/>
    <s v="SE4_OTHER"/>
    <x v="2"/>
    <s v="GBPR_MUNIWASTE_19"/>
    <x v="0"/>
    <x v="20"/>
    <n v="60.738665158852299"/>
    <n v="22169.612782981101"/>
    <n v="79810.606018731996"/>
  </r>
  <r>
    <x v="0"/>
    <x v="0"/>
    <x v="0"/>
    <x v="8"/>
    <x v="19"/>
    <s v="SE4_OTHER"/>
    <x v="2"/>
    <s v="GBPR_MUNIWASTE_19"/>
    <x v="0"/>
    <x v="21"/>
    <n v="60.738665158852299"/>
    <n v="22169.612782981101"/>
    <n v="79810.606018731996"/>
  </r>
  <r>
    <x v="0"/>
    <x v="0"/>
    <x v="0"/>
    <x v="8"/>
    <x v="19"/>
    <s v="SE4_OTHER"/>
    <x v="2"/>
    <s v="GBPR_MUNIWASTE_19"/>
    <x v="0"/>
    <x v="22"/>
    <n v="60.738665158852299"/>
    <n v="22169.612782981101"/>
    <n v="79810.606018731996"/>
  </r>
  <r>
    <x v="0"/>
    <x v="0"/>
    <x v="0"/>
    <x v="8"/>
    <x v="19"/>
    <s v="SE4_OTHER"/>
    <x v="2"/>
    <s v="GBPR_MUNIWASTE_19"/>
    <x v="0"/>
    <x v="23"/>
    <n v="60.738665158852299"/>
    <n v="22169.612782981101"/>
    <n v="79810.606018731996"/>
  </r>
  <r>
    <x v="0"/>
    <x v="0"/>
    <x v="0"/>
    <x v="8"/>
    <x v="19"/>
    <s v="SE4_OTHER"/>
    <x v="2"/>
    <s v="GHOB_MUNIWASTE"/>
    <x v="0"/>
    <x v="6"/>
    <n v="13.1573720485134"/>
    <n v="4802.4407977073997"/>
    <n v="17288.786871746699"/>
  </r>
  <r>
    <x v="0"/>
    <x v="0"/>
    <x v="0"/>
    <x v="8"/>
    <x v="19"/>
    <s v="SE4_OTHER"/>
    <x v="2"/>
    <s v="GHOB_MUNIWASTE"/>
    <x v="0"/>
    <x v="7"/>
    <n v="13.1573720485134"/>
    <n v="4802.4407977073997"/>
    <n v="17288.786871746699"/>
  </r>
  <r>
    <x v="0"/>
    <x v="0"/>
    <x v="0"/>
    <x v="8"/>
    <x v="19"/>
    <s v="SE4_OTHER"/>
    <x v="2"/>
    <s v="GHOB_MUNIWASTE"/>
    <x v="0"/>
    <x v="8"/>
    <n v="13.1573720485134"/>
    <n v="4802.4407977073997"/>
    <n v="17288.786871746699"/>
  </r>
  <r>
    <x v="0"/>
    <x v="0"/>
    <x v="0"/>
    <x v="8"/>
    <x v="19"/>
    <s v="SE4_OTHER"/>
    <x v="2"/>
    <s v="GHOB_MUNIWASTE"/>
    <x v="0"/>
    <x v="9"/>
    <n v="13.1573720485134"/>
    <n v="4802.4407977073997"/>
    <n v="17288.786871746699"/>
  </r>
  <r>
    <x v="0"/>
    <x v="0"/>
    <x v="0"/>
    <x v="8"/>
    <x v="19"/>
    <s v="SE4_OTHER"/>
    <x v="2"/>
    <s v="GHOB_MUNIWASTE"/>
    <x v="0"/>
    <x v="10"/>
    <n v="13.1573720485134"/>
    <n v="4802.4407977073997"/>
    <n v="17288.786871746699"/>
  </r>
  <r>
    <x v="0"/>
    <x v="0"/>
    <x v="0"/>
    <x v="8"/>
    <x v="19"/>
    <s v="SE4_OTHER"/>
    <x v="2"/>
    <s v="GHOB_MUNIWASTE"/>
    <x v="0"/>
    <x v="11"/>
    <n v="13.1573720485134"/>
    <n v="4802.4407977073997"/>
    <n v="17288.786871746699"/>
  </r>
  <r>
    <x v="0"/>
    <x v="0"/>
    <x v="0"/>
    <x v="8"/>
    <x v="19"/>
    <s v="SE4_OTHER"/>
    <x v="2"/>
    <s v="GHOB_MUNIWASTE"/>
    <x v="0"/>
    <x v="0"/>
    <n v="13.1573720485134"/>
    <n v="4802.4407977073997"/>
    <n v="17288.786871746699"/>
  </r>
  <r>
    <x v="0"/>
    <x v="0"/>
    <x v="0"/>
    <x v="8"/>
    <x v="19"/>
    <s v="SE4_OTHER"/>
    <x v="2"/>
    <s v="GHOB_MUNIWASTE"/>
    <x v="0"/>
    <x v="1"/>
    <n v="13.1573720485134"/>
    <n v="4802.4407977073997"/>
    <n v="17288.786871746699"/>
  </r>
  <r>
    <x v="0"/>
    <x v="0"/>
    <x v="0"/>
    <x v="8"/>
    <x v="19"/>
    <s v="SE4_OTHER"/>
    <x v="2"/>
    <s v="GHOB_MUNIWASTE"/>
    <x v="0"/>
    <x v="2"/>
    <n v="13.1573720485134"/>
    <n v="4802.4407977073997"/>
    <n v="17288.786871746699"/>
  </r>
  <r>
    <x v="0"/>
    <x v="0"/>
    <x v="0"/>
    <x v="8"/>
    <x v="19"/>
    <s v="SE4_OTHER"/>
    <x v="2"/>
    <s v="GHOB_MUNIWASTE"/>
    <x v="0"/>
    <x v="3"/>
    <n v="13.1573720485134"/>
    <n v="4802.4407977073997"/>
    <n v="17288.786871746699"/>
  </r>
  <r>
    <x v="0"/>
    <x v="0"/>
    <x v="0"/>
    <x v="8"/>
    <x v="19"/>
    <s v="SE4_OTHER"/>
    <x v="2"/>
    <s v="GHOB_MUNIWASTE"/>
    <x v="0"/>
    <x v="12"/>
    <n v="13.1573720485134"/>
    <n v="4802.4407977073997"/>
    <n v="17288.786871746699"/>
  </r>
  <r>
    <x v="0"/>
    <x v="0"/>
    <x v="0"/>
    <x v="8"/>
    <x v="19"/>
    <s v="SE4_OTHER"/>
    <x v="2"/>
    <s v="GHOB_MUNIWASTE"/>
    <x v="0"/>
    <x v="13"/>
    <n v="13.1573720485134"/>
    <n v="4802.4407977073997"/>
    <n v="17288.786871746699"/>
  </r>
  <r>
    <x v="0"/>
    <x v="0"/>
    <x v="0"/>
    <x v="8"/>
    <x v="19"/>
    <s v="SE4_OTHER"/>
    <x v="2"/>
    <s v="GHOB_MUNIWASTE"/>
    <x v="0"/>
    <x v="14"/>
    <n v="13.1573720485134"/>
    <n v="4802.4407977073997"/>
    <n v="17288.786871746699"/>
  </r>
  <r>
    <x v="0"/>
    <x v="0"/>
    <x v="0"/>
    <x v="8"/>
    <x v="19"/>
    <s v="SE4_OTHER"/>
    <x v="2"/>
    <s v="GHOB_MUNIWASTE"/>
    <x v="0"/>
    <x v="15"/>
    <n v="13.1573720485134"/>
    <n v="4802.4407977073997"/>
    <n v="17288.786871746699"/>
  </r>
  <r>
    <x v="0"/>
    <x v="0"/>
    <x v="0"/>
    <x v="8"/>
    <x v="19"/>
    <s v="SE4_OTHER"/>
    <x v="2"/>
    <s v="GHOB_MUNIWASTE"/>
    <x v="0"/>
    <x v="4"/>
    <n v="13.1573720485134"/>
    <n v="4802.4407977073997"/>
    <n v="17288.786871746699"/>
  </r>
  <r>
    <x v="0"/>
    <x v="0"/>
    <x v="0"/>
    <x v="8"/>
    <x v="19"/>
    <s v="SE4_OTHER"/>
    <x v="2"/>
    <s v="GHOB_MUNIWASTE"/>
    <x v="0"/>
    <x v="16"/>
    <n v="13.1573720485134"/>
    <n v="4802.4407977073997"/>
    <n v="17288.786871746699"/>
  </r>
  <r>
    <x v="0"/>
    <x v="0"/>
    <x v="0"/>
    <x v="8"/>
    <x v="19"/>
    <s v="SE4_OTHER"/>
    <x v="2"/>
    <s v="GHOB_MUNIWASTE"/>
    <x v="0"/>
    <x v="5"/>
    <n v="13.1573720485134"/>
    <n v="4802.4407977073997"/>
    <n v="17288.786871746699"/>
  </r>
  <r>
    <x v="0"/>
    <x v="0"/>
    <x v="0"/>
    <x v="8"/>
    <x v="19"/>
    <s v="SE4_OTHER"/>
    <x v="2"/>
    <s v="GHOB_MUNIWASTE"/>
    <x v="0"/>
    <x v="17"/>
    <n v="13.1573720485134"/>
    <n v="4802.4407977073997"/>
    <n v="17288.786871746699"/>
  </r>
  <r>
    <x v="0"/>
    <x v="0"/>
    <x v="0"/>
    <x v="8"/>
    <x v="19"/>
    <s v="SE4_OTHER"/>
    <x v="2"/>
    <s v="GHOB_MUNIWASTE"/>
    <x v="0"/>
    <x v="18"/>
    <n v="13.1573720485134"/>
    <n v="4802.4407977073997"/>
    <n v="17288.786871746699"/>
  </r>
  <r>
    <x v="0"/>
    <x v="0"/>
    <x v="0"/>
    <x v="8"/>
    <x v="19"/>
    <s v="SE4_OTHER"/>
    <x v="2"/>
    <s v="GHOB_MUNIWASTE"/>
    <x v="0"/>
    <x v="19"/>
    <n v="13.1573720485134"/>
    <n v="4802.4407977073997"/>
    <n v="17288.786871746699"/>
  </r>
  <r>
    <x v="0"/>
    <x v="0"/>
    <x v="0"/>
    <x v="8"/>
    <x v="19"/>
    <s v="SE4_OTHER"/>
    <x v="2"/>
    <s v="GHOB_MUNIWASTE"/>
    <x v="0"/>
    <x v="20"/>
    <n v="13.1573720485134"/>
    <n v="4802.4407977073997"/>
    <n v="17288.786871746699"/>
  </r>
  <r>
    <x v="0"/>
    <x v="0"/>
    <x v="0"/>
    <x v="8"/>
    <x v="19"/>
    <s v="SE4_OTHER"/>
    <x v="2"/>
    <s v="GHOB_MUNIWASTE"/>
    <x v="0"/>
    <x v="21"/>
    <n v="13.1573720485134"/>
    <n v="4802.4407977073997"/>
    <n v="17288.786871746699"/>
  </r>
  <r>
    <x v="0"/>
    <x v="0"/>
    <x v="0"/>
    <x v="8"/>
    <x v="19"/>
    <s v="SE4_OTHER"/>
    <x v="2"/>
    <s v="GHOB_MUNIWASTE"/>
    <x v="0"/>
    <x v="22"/>
    <n v="13.1573720485134"/>
    <n v="4802.4407977073997"/>
    <n v="17288.786871746699"/>
  </r>
  <r>
    <x v="0"/>
    <x v="0"/>
    <x v="0"/>
    <x v="8"/>
    <x v="19"/>
    <s v="SE4_OTHER"/>
    <x v="2"/>
    <s v="GHOB_MUNIWASTE"/>
    <x v="0"/>
    <x v="23"/>
    <n v="13.1573720485134"/>
    <n v="4802.4407977073997"/>
    <n v="17288.786871746699"/>
  </r>
  <r>
    <x v="0"/>
    <x v="0"/>
    <x v="0"/>
    <x v="8"/>
    <x v="19"/>
    <s v="SE4_OTHER"/>
    <x v="5"/>
    <s v="GHOB_WASTEHEAT"/>
    <x v="0"/>
    <x v="6"/>
    <n v="54.953067765567503"/>
    <n v="20057.869734432199"/>
    <n v="72208.331043955797"/>
  </r>
  <r>
    <x v="0"/>
    <x v="0"/>
    <x v="0"/>
    <x v="8"/>
    <x v="19"/>
    <s v="SE4_OTHER"/>
    <x v="5"/>
    <s v="GHOB_WASTEHEAT"/>
    <x v="0"/>
    <x v="7"/>
    <n v="54.953067765567503"/>
    <n v="20057.869734432199"/>
    <n v="72208.331043955797"/>
  </r>
  <r>
    <x v="0"/>
    <x v="0"/>
    <x v="0"/>
    <x v="8"/>
    <x v="19"/>
    <s v="SE4_OTHER"/>
    <x v="5"/>
    <s v="GHOB_WASTEHEAT"/>
    <x v="0"/>
    <x v="8"/>
    <n v="54.953067765567503"/>
    <n v="20057.869734432199"/>
    <n v="72208.331043955797"/>
  </r>
  <r>
    <x v="0"/>
    <x v="0"/>
    <x v="0"/>
    <x v="8"/>
    <x v="19"/>
    <s v="SE4_OTHER"/>
    <x v="5"/>
    <s v="GHOB_WASTEHEAT"/>
    <x v="0"/>
    <x v="9"/>
    <n v="54.953067765567503"/>
    <n v="20057.869734432199"/>
    <n v="72208.331043955797"/>
  </r>
  <r>
    <x v="0"/>
    <x v="0"/>
    <x v="0"/>
    <x v="8"/>
    <x v="19"/>
    <s v="SE4_OTHER"/>
    <x v="5"/>
    <s v="GHOB_WASTEHEAT"/>
    <x v="0"/>
    <x v="10"/>
    <n v="54.953067765567503"/>
    <n v="20057.869734432199"/>
    <n v="72208.331043955797"/>
  </r>
  <r>
    <x v="0"/>
    <x v="0"/>
    <x v="0"/>
    <x v="8"/>
    <x v="19"/>
    <s v="SE4_OTHER"/>
    <x v="5"/>
    <s v="GHOB_WASTEHEAT"/>
    <x v="0"/>
    <x v="11"/>
    <n v="54.953067765567503"/>
    <n v="20057.869734432199"/>
    <n v="72208.331043955797"/>
  </r>
  <r>
    <x v="0"/>
    <x v="0"/>
    <x v="0"/>
    <x v="8"/>
    <x v="19"/>
    <s v="SE4_OTHER"/>
    <x v="5"/>
    <s v="GHOB_WASTEHEAT"/>
    <x v="0"/>
    <x v="0"/>
    <n v="54.953067765567503"/>
    <n v="20057.869734432199"/>
    <n v="72208.331043955797"/>
  </r>
  <r>
    <x v="0"/>
    <x v="0"/>
    <x v="0"/>
    <x v="8"/>
    <x v="19"/>
    <s v="SE4_OTHER"/>
    <x v="5"/>
    <s v="GHOB_WASTEHEAT"/>
    <x v="0"/>
    <x v="1"/>
    <n v="54.953067765567503"/>
    <n v="20057.869734432199"/>
    <n v="72208.331043955797"/>
  </r>
  <r>
    <x v="0"/>
    <x v="0"/>
    <x v="0"/>
    <x v="8"/>
    <x v="19"/>
    <s v="SE4_OTHER"/>
    <x v="5"/>
    <s v="GHOB_WASTEHEAT"/>
    <x v="0"/>
    <x v="2"/>
    <n v="54.953067765567503"/>
    <n v="20057.869734432199"/>
    <n v="72208.331043955797"/>
  </r>
  <r>
    <x v="0"/>
    <x v="0"/>
    <x v="0"/>
    <x v="8"/>
    <x v="19"/>
    <s v="SE4_OTHER"/>
    <x v="5"/>
    <s v="GHOB_WASTEHEAT"/>
    <x v="0"/>
    <x v="3"/>
    <n v="54.953067765567503"/>
    <n v="20057.869734432199"/>
    <n v="72208.331043955797"/>
  </r>
  <r>
    <x v="0"/>
    <x v="0"/>
    <x v="0"/>
    <x v="8"/>
    <x v="19"/>
    <s v="SE4_OTHER"/>
    <x v="5"/>
    <s v="GHOB_WASTEHEAT"/>
    <x v="0"/>
    <x v="12"/>
    <n v="54.953067765567503"/>
    <n v="20057.869734432199"/>
    <n v="72208.331043955797"/>
  </r>
  <r>
    <x v="0"/>
    <x v="0"/>
    <x v="0"/>
    <x v="8"/>
    <x v="19"/>
    <s v="SE4_OTHER"/>
    <x v="5"/>
    <s v="GHOB_WASTEHEAT"/>
    <x v="0"/>
    <x v="13"/>
    <n v="54.953067765567503"/>
    <n v="20057.869734432199"/>
    <n v="72208.331043955797"/>
  </r>
  <r>
    <x v="0"/>
    <x v="0"/>
    <x v="0"/>
    <x v="8"/>
    <x v="19"/>
    <s v="SE4_OTHER"/>
    <x v="5"/>
    <s v="GHOB_WASTEHEAT"/>
    <x v="0"/>
    <x v="14"/>
    <n v="54.953067765567503"/>
    <n v="20057.869734432199"/>
    <n v="72208.331043955797"/>
  </r>
  <r>
    <x v="0"/>
    <x v="0"/>
    <x v="0"/>
    <x v="8"/>
    <x v="19"/>
    <s v="SE4_OTHER"/>
    <x v="5"/>
    <s v="GHOB_WASTEHEAT"/>
    <x v="0"/>
    <x v="15"/>
    <n v="54.953067765567503"/>
    <n v="20057.869734432199"/>
    <n v="72208.331043955797"/>
  </r>
  <r>
    <x v="0"/>
    <x v="0"/>
    <x v="0"/>
    <x v="8"/>
    <x v="19"/>
    <s v="SE4_OTHER"/>
    <x v="5"/>
    <s v="GHOB_WASTEHEAT"/>
    <x v="0"/>
    <x v="4"/>
    <n v="54.953067765567503"/>
    <n v="20057.869734432199"/>
    <n v="72208.331043955797"/>
  </r>
  <r>
    <x v="0"/>
    <x v="0"/>
    <x v="0"/>
    <x v="8"/>
    <x v="19"/>
    <s v="SE4_OTHER"/>
    <x v="5"/>
    <s v="GHOB_WASTEHEAT"/>
    <x v="0"/>
    <x v="16"/>
    <n v="54.953067765567503"/>
    <n v="20057.869734432199"/>
    <n v="72208.331043955797"/>
  </r>
  <r>
    <x v="0"/>
    <x v="0"/>
    <x v="0"/>
    <x v="8"/>
    <x v="19"/>
    <s v="SE4_OTHER"/>
    <x v="5"/>
    <s v="GHOB_WASTEHEAT"/>
    <x v="0"/>
    <x v="5"/>
    <n v="54.953067765567503"/>
    <n v="20057.869734432199"/>
    <n v="72208.331043955797"/>
  </r>
  <r>
    <x v="0"/>
    <x v="0"/>
    <x v="0"/>
    <x v="8"/>
    <x v="19"/>
    <s v="SE4_OTHER"/>
    <x v="5"/>
    <s v="GHOB_WASTEHEAT"/>
    <x v="0"/>
    <x v="17"/>
    <n v="54.953067765567503"/>
    <n v="20057.869734432199"/>
    <n v="72208.331043955797"/>
  </r>
  <r>
    <x v="0"/>
    <x v="0"/>
    <x v="0"/>
    <x v="8"/>
    <x v="19"/>
    <s v="SE4_OTHER"/>
    <x v="5"/>
    <s v="GHOB_WASTEHEAT"/>
    <x v="0"/>
    <x v="18"/>
    <n v="54.953067765567503"/>
    <n v="20057.869734432199"/>
    <n v="72208.331043955797"/>
  </r>
  <r>
    <x v="0"/>
    <x v="0"/>
    <x v="0"/>
    <x v="8"/>
    <x v="19"/>
    <s v="SE4_OTHER"/>
    <x v="5"/>
    <s v="GHOB_WASTEHEAT"/>
    <x v="0"/>
    <x v="19"/>
    <n v="54.953067765567503"/>
    <n v="20057.869734432199"/>
    <n v="72208.331043955797"/>
  </r>
  <r>
    <x v="0"/>
    <x v="0"/>
    <x v="0"/>
    <x v="8"/>
    <x v="19"/>
    <s v="SE4_OTHER"/>
    <x v="5"/>
    <s v="GHOB_WASTEHEAT"/>
    <x v="0"/>
    <x v="20"/>
    <n v="54.953067765567503"/>
    <n v="20057.869734432199"/>
    <n v="72208.331043955797"/>
  </r>
  <r>
    <x v="0"/>
    <x v="0"/>
    <x v="0"/>
    <x v="8"/>
    <x v="19"/>
    <s v="SE4_OTHER"/>
    <x v="5"/>
    <s v="GHOB_WASTEHEAT"/>
    <x v="0"/>
    <x v="21"/>
    <n v="54.953067765567503"/>
    <n v="20057.869734432199"/>
    <n v="72208.331043955797"/>
  </r>
  <r>
    <x v="0"/>
    <x v="0"/>
    <x v="0"/>
    <x v="8"/>
    <x v="19"/>
    <s v="SE4_OTHER"/>
    <x v="5"/>
    <s v="GHOB_WASTEHEAT"/>
    <x v="0"/>
    <x v="22"/>
    <n v="54.953067765567503"/>
    <n v="20057.869734432199"/>
    <n v="72208.331043955797"/>
  </r>
  <r>
    <x v="0"/>
    <x v="0"/>
    <x v="0"/>
    <x v="8"/>
    <x v="19"/>
    <s v="SE4_OTHER"/>
    <x v="5"/>
    <s v="GHOB_WASTEHEAT"/>
    <x v="0"/>
    <x v="23"/>
    <n v="54.953067765567503"/>
    <n v="20057.869734432199"/>
    <n v="72208.331043955797"/>
  </r>
  <r>
    <x v="0"/>
    <x v="0"/>
    <x v="0"/>
    <x v="8"/>
    <x v="19"/>
    <s v="SE4_OTHER"/>
    <x v="6"/>
    <s v="GBPR_WOODCHIPS"/>
    <x v="0"/>
    <x v="6"/>
    <n v="61.090407969911801"/>
    <n v="22297.998909017799"/>
    <n v="80272.796072464203"/>
  </r>
  <r>
    <x v="0"/>
    <x v="0"/>
    <x v="0"/>
    <x v="8"/>
    <x v="19"/>
    <s v="SE4_OTHER"/>
    <x v="6"/>
    <s v="GBPR_WOODCHIPS"/>
    <x v="0"/>
    <x v="7"/>
    <n v="61.090407969911801"/>
    <n v="22297.998909017799"/>
    <n v="80272.796072464203"/>
  </r>
  <r>
    <x v="0"/>
    <x v="0"/>
    <x v="0"/>
    <x v="8"/>
    <x v="19"/>
    <s v="SE4_OTHER"/>
    <x v="6"/>
    <s v="GBPR_WOODCHIPS"/>
    <x v="0"/>
    <x v="8"/>
    <n v="61.090407969911801"/>
    <n v="22297.998909017799"/>
    <n v="80272.796072464203"/>
  </r>
  <r>
    <x v="0"/>
    <x v="0"/>
    <x v="0"/>
    <x v="8"/>
    <x v="19"/>
    <s v="SE4_OTHER"/>
    <x v="6"/>
    <s v="GBPR_WOODCHIPS"/>
    <x v="0"/>
    <x v="9"/>
    <n v="61.090407969911801"/>
    <n v="22297.998909017799"/>
    <n v="80272.796072464203"/>
  </r>
  <r>
    <x v="0"/>
    <x v="0"/>
    <x v="0"/>
    <x v="8"/>
    <x v="19"/>
    <s v="SE4_OTHER"/>
    <x v="6"/>
    <s v="GBPR_WOODCHIPS"/>
    <x v="0"/>
    <x v="10"/>
    <n v="61.090407969911801"/>
    <n v="22297.998909017799"/>
    <n v="80272.796072464203"/>
  </r>
  <r>
    <x v="0"/>
    <x v="0"/>
    <x v="0"/>
    <x v="8"/>
    <x v="19"/>
    <s v="SE4_OTHER"/>
    <x v="6"/>
    <s v="GBPR_WOODCHIPS"/>
    <x v="0"/>
    <x v="11"/>
    <n v="61.090407969911801"/>
    <n v="22297.998909017799"/>
    <n v="80272.796072464203"/>
  </r>
  <r>
    <x v="0"/>
    <x v="0"/>
    <x v="0"/>
    <x v="8"/>
    <x v="19"/>
    <s v="SE4_OTHER"/>
    <x v="6"/>
    <s v="GBPR_WOODCHIPS"/>
    <x v="0"/>
    <x v="0"/>
    <n v="61.090407969911801"/>
    <n v="22297.998909017799"/>
    <n v="80272.796072464203"/>
  </r>
  <r>
    <x v="0"/>
    <x v="0"/>
    <x v="0"/>
    <x v="8"/>
    <x v="19"/>
    <s v="SE4_OTHER"/>
    <x v="6"/>
    <s v="GBPR_WOODCHIPS"/>
    <x v="0"/>
    <x v="1"/>
    <n v="61.090407969911801"/>
    <n v="22297.998909017799"/>
    <n v="80272.796072464203"/>
  </r>
  <r>
    <x v="0"/>
    <x v="0"/>
    <x v="0"/>
    <x v="8"/>
    <x v="19"/>
    <s v="SE4_OTHER"/>
    <x v="6"/>
    <s v="GBPR_WOODCHIPS"/>
    <x v="0"/>
    <x v="2"/>
    <n v="61.090407969911801"/>
    <n v="22297.998909017799"/>
    <n v="80272.796072464203"/>
  </r>
  <r>
    <x v="0"/>
    <x v="0"/>
    <x v="0"/>
    <x v="8"/>
    <x v="19"/>
    <s v="SE4_OTHER"/>
    <x v="6"/>
    <s v="GBPR_WOODCHIPS"/>
    <x v="0"/>
    <x v="3"/>
    <n v="61.090407969911801"/>
    <n v="22297.998909017799"/>
    <n v="80272.796072464203"/>
  </r>
  <r>
    <x v="0"/>
    <x v="0"/>
    <x v="0"/>
    <x v="8"/>
    <x v="19"/>
    <s v="SE4_OTHER"/>
    <x v="6"/>
    <s v="GBPR_WOODCHIPS"/>
    <x v="0"/>
    <x v="12"/>
    <n v="61.090407969911801"/>
    <n v="22297.998909017799"/>
    <n v="80272.796072464203"/>
  </r>
  <r>
    <x v="0"/>
    <x v="0"/>
    <x v="0"/>
    <x v="8"/>
    <x v="19"/>
    <s v="SE4_OTHER"/>
    <x v="6"/>
    <s v="GBPR_WOODCHIPS"/>
    <x v="0"/>
    <x v="13"/>
    <n v="61.090407969911801"/>
    <n v="22297.998909017799"/>
    <n v="80272.796072464203"/>
  </r>
  <r>
    <x v="0"/>
    <x v="0"/>
    <x v="0"/>
    <x v="8"/>
    <x v="19"/>
    <s v="SE4_OTHER"/>
    <x v="6"/>
    <s v="GBPR_WOODCHIPS"/>
    <x v="0"/>
    <x v="14"/>
    <n v="61.090407969911801"/>
    <n v="22297.998909017799"/>
    <n v="80272.796072464203"/>
  </r>
  <r>
    <x v="0"/>
    <x v="0"/>
    <x v="0"/>
    <x v="8"/>
    <x v="19"/>
    <s v="SE4_OTHER"/>
    <x v="6"/>
    <s v="GBPR_WOODCHIPS"/>
    <x v="0"/>
    <x v="15"/>
    <n v="61.090407969911801"/>
    <n v="22297.998909017799"/>
    <n v="80272.796072464203"/>
  </r>
  <r>
    <x v="0"/>
    <x v="0"/>
    <x v="0"/>
    <x v="8"/>
    <x v="19"/>
    <s v="SE4_OTHER"/>
    <x v="6"/>
    <s v="GBPR_WOODCHIPS"/>
    <x v="0"/>
    <x v="4"/>
    <n v="61.090407969911801"/>
    <n v="22297.998909017799"/>
    <n v="80272.796072464203"/>
  </r>
  <r>
    <x v="0"/>
    <x v="0"/>
    <x v="0"/>
    <x v="8"/>
    <x v="19"/>
    <s v="SE4_OTHER"/>
    <x v="6"/>
    <s v="GBPR_WOODCHIPS"/>
    <x v="0"/>
    <x v="16"/>
    <n v="61.090407969911801"/>
    <n v="22297.998909017799"/>
    <n v="80272.796072464203"/>
  </r>
  <r>
    <x v="0"/>
    <x v="0"/>
    <x v="0"/>
    <x v="8"/>
    <x v="19"/>
    <s v="SE4_OTHER"/>
    <x v="6"/>
    <s v="GBPR_WOODCHIPS"/>
    <x v="0"/>
    <x v="5"/>
    <n v="61.090407969911801"/>
    <n v="22297.998909017799"/>
    <n v="80272.796072464203"/>
  </r>
  <r>
    <x v="0"/>
    <x v="0"/>
    <x v="0"/>
    <x v="8"/>
    <x v="19"/>
    <s v="SE4_OTHER"/>
    <x v="6"/>
    <s v="GBPR_WOODCHIPS"/>
    <x v="0"/>
    <x v="17"/>
    <n v="61.090407969911801"/>
    <n v="22297.998909017799"/>
    <n v="80272.796072464203"/>
  </r>
  <r>
    <x v="0"/>
    <x v="0"/>
    <x v="0"/>
    <x v="8"/>
    <x v="19"/>
    <s v="SE4_OTHER"/>
    <x v="6"/>
    <s v="GBPR_WOODCHIPS"/>
    <x v="0"/>
    <x v="18"/>
    <n v="61.090407969911801"/>
    <n v="22297.998909017799"/>
    <n v="80272.796072464203"/>
  </r>
  <r>
    <x v="0"/>
    <x v="0"/>
    <x v="0"/>
    <x v="8"/>
    <x v="19"/>
    <s v="SE4_OTHER"/>
    <x v="6"/>
    <s v="GBPR_WOODCHIPS"/>
    <x v="0"/>
    <x v="19"/>
    <n v="61.090407969911801"/>
    <n v="22297.998909017799"/>
    <n v="80272.796072464203"/>
  </r>
  <r>
    <x v="0"/>
    <x v="0"/>
    <x v="0"/>
    <x v="8"/>
    <x v="19"/>
    <s v="SE4_OTHER"/>
    <x v="6"/>
    <s v="GBPR_WOODCHIPS"/>
    <x v="0"/>
    <x v="20"/>
    <n v="61.090407969911801"/>
    <n v="22297.998909017799"/>
    <n v="80272.796072464203"/>
  </r>
  <r>
    <x v="0"/>
    <x v="0"/>
    <x v="0"/>
    <x v="8"/>
    <x v="19"/>
    <s v="SE4_OTHER"/>
    <x v="6"/>
    <s v="GBPR_WOODCHIPS"/>
    <x v="0"/>
    <x v="21"/>
    <n v="61.090407969911801"/>
    <n v="22297.998909017799"/>
    <n v="80272.796072464203"/>
  </r>
  <r>
    <x v="0"/>
    <x v="0"/>
    <x v="0"/>
    <x v="8"/>
    <x v="19"/>
    <s v="SE4_OTHER"/>
    <x v="6"/>
    <s v="GBPR_WOODCHIPS"/>
    <x v="0"/>
    <x v="22"/>
    <n v="61.090407969911801"/>
    <n v="22297.998909017799"/>
    <n v="80272.796072464203"/>
  </r>
  <r>
    <x v="0"/>
    <x v="0"/>
    <x v="0"/>
    <x v="8"/>
    <x v="19"/>
    <s v="SE4_OTHER"/>
    <x v="6"/>
    <s v="GBPR_WOODCHIPS"/>
    <x v="0"/>
    <x v="23"/>
    <n v="57.435941644705103"/>
    <n v="20964.118700317402"/>
    <n v="75470.827321142497"/>
  </r>
  <r>
    <x v="0"/>
    <x v="0"/>
    <x v="0"/>
    <x v="8"/>
    <x v="19"/>
    <s v="SE4_OTHER"/>
    <x v="6"/>
    <s v="GBPR_WOODCHIPS_25"/>
    <x v="0"/>
    <x v="0"/>
    <n v="8.2277815649402992"/>
    <n v="3003.14027120321"/>
    <n v="10811.304976331599"/>
  </r>
  <r>
    <x v="0"/>
    <x v="0"/>
    <x v="0"/>
    <x v="8"/>
    <x v="19"/>
    <s v="SE4_OTHER"/>
    <x v="6"/>
    <s v="GBPR_WOODCHIPS_25"/>
    <x v="0"/>
    <x v="1"/>
    <n v="92.217835376532307"/>
    <n v="33659.509912434303"/>
    <n v="121174.235684763"/>
  </r>
  <r>
    <x v="0"/>
    <x v="0"/>
    <x v="0"/>
    <x v="8"/>
    <x v="19"/>
    <s v="SE4_OTHER"/>
    <x v="6"/>
    <s v="GBPR_WOODCHIPS_25"/>
    <x v="0"/>
    <x v="2"/>
    <n v="92.217835376532307"/>
    <n v="33659.509912434303"/>
    <n v="121174.235684763"/>
  </r>
  <r>
    <x v="0"/>
    <x v="0"/>
    <x v="0"/>
    <x v="8"/>
    <x v="19"/>
    <s v="SE4_OTHER"/>
    <x v="6"/>
    <s v="GBPR_WOODCHIPS_25"/>
    <x v="0"/>
    <x v="3"/>
    <n v="92.217835376532307"/>
    <n v="33659.509912434303"/>
    <n v="121174.235684763"/>
  </r>
  <r>
    <x v="0"/>
    <x v="0"/>
    <x v="0"/>
    <x v="8"/>
    <x v="19"/>
    <s v="SE4_OTHER"/>
    <x v="6"/>
    <s v="GBPR_WOODCHIPS_25"/>
    <x v="0"/>
    <x v="12"/>
    <n v="27.9089273337243"/>
    <n v="10186.7584768094"/>
    <n v="36672.330516513801"/>
  </r>
  <r>
    <x v="0"/>
    <x v="0"/>
    <x v="0"/>
    <x v="8"/>
    <x v="19"/>
    <s v="SE4_OTHER"/>
    <x v="8"/>
    <s v="GBPR_WOODWASTE_36"/>
    <x v="0"/>
    <x v="6"/>
    <n v="194.306363105663"/>
    <n v="70921.822533566898"/>
    <n v="255318.56112084101"/>
  </r>
  <r>
    <x v="0"/>
    <x v="0"/>
    <x v="0"/>
    <x v="8"/>
    <x v="19"/>
    <s v="SE4_OTHER"/>
    <x v="8"/>
    <s v="GBPR_WOODWASTE_36"/>
    <x v="0"/>
    <x v="7"/>
    <n v="194.306363105663"/>
    <n v="70921.822533566898"/>
    <n v="255318.56112084101"/>
  </r>
  <r>
    <x v="0"/>
    <x v="0"/>
    <x v="0"/>
    <x v="8"/>
    <x v="19"/>
    <s v="SE4_OTHER"/>
    <x v="8"/>
    <s v="GBPR_WOODWASTE_36"/>
    <x v="0"/>
    <x v="8"/>
    <n v="194.306363105663"/>
    <n v="70921.822533566898"/>
    <n v="255318.56112084101"/>
  </r>
  <r>
    <x v="0"/>
    <x v="0"/>
    <x v="0"/>
    <x v="8"/>
    <x v="19"/>
    <s v="SE4_OTHER"/>
    <x v="8"/>
    <s v="GBPR_WOODWASTE_36"/>
    <x v="0"/>
    <x v="9"/>
    <n v="194.306363105663"/>
    <n v="70921.822533566898"/>
    <n v="255318.56112084101"/>
  </r>
  <r>
    <x v="0"/>
    <x v="0"/>
    <x v="0"/>
    <x v="8"/>
    <x v="19"/>
    <s v="SE4_OTHER"/>
    <x v="8"/>
    <s v="GBPR_WOODWASTE_36"/>
    <x v="0"/>
    <x v="10"/>
    <n v="194.306363105663"/>
    <n v="70921.822533566898"/>
    <n v="255318.56112084101"/>
  </r>
  <r>
    <x v="0"/>
    <x v="0"/>
    <x v="0"/>
    <x v="8"/>
    <x v="19"/>
    <s v="SE4_OTHER"/>
    <x v="8"/>
    <s v="GBPR_WOODWASTE_36"/>
    <x v="0"/>
    <x v="11"/>
    <n v="194.306363105663"/>
    <n v="70921.822533566898"/>
    <n v="255318.56112084101"/>
  </r>
  <r>
    <x v="0"/>
    <x v="0"/>
    <x v="0"/>
    <x v="8"/>
    <x v="19"/>
    <s v="SE4_OTHER"/>
    <x v="8"/>
    <s v="GBPR_WOODWASTE_36"/>
    <x v="0"/>
    <x v="0"/>
    <n v="194.306363105663"/>
    <n v="70921.822533566898"/>
    <n v="255318.56112084101"/>
  </r>
  <r>
    <x v="0"/>
    <x v="0"/>
    <x v="0"/>
    <x v="8"/>
    <x v="19"/>
    <s v="SE4_OTHER"/>
    <x v="8"/>
    <s v="GBPR_WOODWASTE_36"/>
    <x v="0"/>
    <x v="1"/>
    <n v="194.306363105663"/>
    <n v="70921.822533566898"/>
    <n v="255318.56112084101"/>
  </r>
  <r>
    <x v="0"/>
    <x v="0"/>
    <x v="0"/>
    <x v="8"/>
    <x v="19"/>
    <s v="SE4_OTHER"/>
    <x v="8"/>
    <s v="GBPR_WOODWASTE_36"/>
    <x v="0"/>
    <x v="2"/>
    <n v="194.306363105663"/>
    <n v="70921.822533566898"/>
    <n v="255318.56112084101"/>
  </r>
  <r>
    <x v="0"/>
    <x v="0"/>
    <x v="0"/>
    <x v="8"/>
    <x v="19"/>
    <s v="SE4_OTHER"/>
    <x v="8"/>
    <s v="GBPR_WOODWASTE_36"/>
    <x v="0"/>
    <x v="3"/>
    <n v="194.306363105663"/>
    <n v="70921.822533566898"/>
    <n v="255318.56112084101"/>
  </r>
  <r>
    <x v="0"/>
    <x v="0"/>
    <x v="0"/>
    <x v="8"/>
    <x v="19"/>
    <s v="SE4_OTHER"/>
    <x v="8"/>
    <s v="GBPR_WOODWASTE_36"/>
    <x v="0"/>
    <x v="12"/>
    <n v="194.306363105663"/>
    <n v="70921.822533566898"/>
    <n v="255318.56112084101"/>
  </r>
  <r>
    <x v="0"/>
    <x v="0"/>
    <x v="0"/>
    <x v="8"/>
    <x v="19"/>
    <s v="SE4_OTHER"/>
    <x v="8"/>
    <s v="GBPR_WOODWASTE_36"/>
    <x v="0"/>
    <x v="13"/>
    <n v="194.306363105663"/>
    <n v="70921.822533566898"/>
    <n v="255318.56112084101"/>
  </r>
  <r>
    <x v="0"/>
    <x v="0"/>
    <x v="0"/>
    <x v="8"/>
    <x v="19"/>
    <s v="SE4_OTHER"/>
    <x v="8"/>
    <s v="GBPR_WOODWASTE_36"/>
    <x v="0"/>
    <x v="14"/>
    <n v="194.306363105663"/>
    <n v="70921.822533566898"/>
    <n v="255318.56112084101"/>
  </r>
  <r>
    <x v="0"/>
    <x v="0"/>
    <x v="0"/>
    <x v="8"/>
    <x v="19"/>
    <s v="SE4_OTHER"/>
    <x v="8"/>
    <s v="GBPR_WOODWASTE_36"/>
    <x v="0"/>
    <x v="15"/>
    <n v="194.306363105663"/>
    <n v="70921.822533566898"/>
    <n v="255318.56112084101"/>
  </r>
  <r>
    <x v="0"/>
    <x v="0"/>
    <x v="0"/>
    <x v="8"/>
    <x v="19"/>
    <s v="SE4_OTHER"/>
    <x v="8"/>
    <s v="GBPR_WOODWASTE_36"/>
    <x v="0"/>
    <x v="4"/>
    <n v="194.306363105663"/>
    <n v="70921.822533566898"/>
    <n v="255318.56112084101"/>
  </r>
  <r>
    <x v="0"/>
    <x v="0"/>
    <x v="0"/>
    <x v="8"/>
    <x v="19"/>
    <s v="SE4_OTHER"/>
    <x v="8"/>
    <s v="GBPR_WOODWASTE_36"/>
    <x v="0"/>
    <x v="16"/>
    <n v="194.306363105663"/>
    <n v="70921.822533566898"/>
    <n v="255318.56112084101"/>
  </r>
  <r>
    <x v="0"/>
    <x v="0"/>
    <x v="0"/>
    <x v="8"/>
    <x v="19"/>
    <s v="SE4_OTHER"/>
    <x v="8"/>
    <s v="GBPR_WOODWASTE_36"/>
    <x v="0"/>
    <x v="5"/>
    <n v="194.306363105663"/>
    <n v="70921.822533566898"/>
    <n v="255318.56112084101"/>
  </r>
  <r>
    <x v="0"/>
    <x v="0"/>
    <x v="0"/>
    <x v="8"/>
    <x v="19"/>
    <s v="SE4_OTHER"/>
    <x v="8"/>
    <s v="GBPR_WOODWASTE_36"/>
    <x v="0"/>
    <x v="17"/>
    <n v="194.306363105663"/>
    <n v="70921.822533566898"/>
    <n v="255318.56112084101"/>
  </r>
  <r>
    <x v="0"/>
    <x v="0"/>
    <x v="0"/>
    <x v="8"/>
    <x v="19"/>
    <s v="SE4_OTHER"/>
    <x v="8"/>
    <s v="GBPR_WOODWASTE_36"/>
    <x v="0"/>
    <x v="18"/>
    <n v="194.306363105663"/>
    <n v="70921.822533566898"/>
    <n v="255318.56112084101"/>
  </r>
  <r>
    <x v="0"/>
    <x v="0"/>
    <x v="0"/>
    <x v="8"/>
    <x v="19"/>
    <s v="SE4_OTHER"/>
    <x v="8"/>
    <s v="GBPR_WOODWASTE_36"/>
    <x v="0"/>
    <x v="19"/>
    <n v="194.306363105663"/>
    <n v="70921.822533566898"/>
    <n v="255318.56112084101"/>
  </r>
  <r>
    <x v="0"/>
    <x v="0"/>
    <x v="0"/>
    <x v="8"/>
    <x v="19"/>
    <s v="SE4_OTHER"/>
    <x v="8"/>
    <s v="GBPR_WOODWASTE_36"/>
    <x v="0"/>
    <x v="20"/>
    <n v="194.306363105663"/>
    <n v="70921.822533566898"/>
    <n v="255318.56112084101"/>
  </r>
  <r>
    <x v="0"/>
    <x v="0"/>
    <x v="0"/>
    <x v="8"/>
    <x v="19"/>
    <s v="SE4_OTHER"/>
    <x v="8"/>
    <s v="GBPR_WOODWASTE_36"/>
    <x v="0"/>
    <x v="21"/>
    <n v="194.306363105663"/>
    <n v="70921.822533566898"/>
    <n v="255318.56112084101"/>
  </r>
  <r>
    <x v="0"/>
    <x v="0"/>
    <x v="0"/>
    <x v="8"/>
    <x v="19"/>
    <s v="SE4_OTHER"/>
    <x v="8"/>
    <s v="GBPR_WOODWASTE_36"/>
    <x v="0"/>
    <x v="22"/>
    <n v="194.306363105663"/>
    <n v="70921.822533566898"/>
    <n v="255318.56112084101"/>
  </r>
  <r>
    <x v="0"/>
    <x v="0"/>
    <x v="0"/>
    <x v="8"/>
    <x v="19"/>
    <s v="SE4_OTHER"/>
    <x v="8"/>
    <s v="GBPR_WOODWASTE_36"/>
    <x v="0"/>
    <x v="23"/>
    <n v="194.306363105663"/>
    <n v="70921.822533566898"/>
    <n v="255318.56112084101"/>
  </r>
  <r>
    <x v="0"/>
    <x v="0"/>
    <x v="0"/>
    <x v="8"/>
    <x v="19"/>
    <s v="SE4_OTHER"/>
    <x v="8"/>
    <s v="GHOB_WOODWASTE"/>
    <x v="0"/>
    <x v="6"/>
    <n v="78.086589740519003"/>
    <n v="28501.6052552894"/>
    <n v="102605.778919042"/>
  </r>
  <r>
    <x v="0"/>
    <x v="0"/>
    <x v="0"/>
    <x v="8"/>
    <x v="19"/>
    <s v="SE4_OTHER"/>
    <x v="8"/>
    <s v="GHOB_WOODWASTE"/>
    <x v="0"/>
    <x v="7"/>
    <n v="75.301150069558503"/>
    <n v="27484.9197753888"/>
    <n v="98945.711191399794"/>
  </r>
  <r>
    <x v="0"/>
    <x v="0"/>
    <x v="0"/>
    <x v="8"/>
    <x v="19"/>
    <s v="SE4_OTHER"/>
    <x v="8"/>
    <s v="GHOB_WOODWASTE"/>
    <x v="0"/>
    <x v="8"/>
    <n v="74.966913177975002"/>
    <n v="27362.923309960901"/>
    <n v="98506.523915859099"/>
  </r>
  <r>
    <x v="0"/>
    <x v="0"/>
    <x v="0"/>
    <x v="8"/>
    <x v="19"/>
    <s v="SE4_OTHER"/>
    <x v="8"/>
    <s v="GHOB_WOODWASTE"/>
    <x v="0"/>
    <x v="9"/>
    <n v="87.157015525477703"/>
    <n v="31812.3106667994"/>
    <n v="114524.31840047801"/>
  </r>
  <r>
    <x v="0"/>
    <x v="0"/>
    <x v="0"/>
    <x v="8"/>
    <x v="19"/>
    <s v="SE4_OTHER"/>
    <x v="8"/>
    <s v="GHOB_WOODWASTE"/>
    <x v="0"/>
    <x v="10"/>
    <n v="111.68899796638"/>
    <n v="40766.484257728502"/>
    <n v="146759.34332782301"/>
  </r>
  <r>
    <x v="0"/>
    <x v="0"/>
    <x v="0"/>
    <x v="8"/>
    <x v="19"/>
    <s v="SE4_OTHER"/>
    <x v="8"/>
    <s v="GHOB_WOODWASTE"/>
    <x v="0"/>
    <x v="11"/>
    <n v="159.958213592378"/>
    <n v="58384.747961218098"/>
    <n v="210185.09266038501"/>
  </r>
  <r>
    <x v="0"/>
    <x v="0"/>
    <x v="0"/>
    <x v="8"/>
    <x v="19"/>
    <s v="SE4_OTHER"/>
    <x v="8"/>
    <s v="GHOB_WOODWASTE"/>
    <x v="0"/>
    <x v="0"/>
    <n v="248.89263698774101"/>
    <n v="90845.812500525397"/>
    <n v="327044.92500189098"/>
  </r>
  <r>
    <x v="0"/>
    <x v="0"/>
    <x v="0"/>
    <x v="8"/>
    <x v="19"/>
    <s v="SE4_OTHER"/>
    <x v="8"/>
    <s v="GHOB_WOODWASTE"/>
    <x v="0"/>
    <x v="1"/>
    <n v="218.814555890322"/>
    <n v="79867.312899967597"/>
    <n v="287522.32643988298"/>
  </r>
  <r>
    <x v="0"/>
    <x v="0"/>
    <x v="0"/>
    <x v="8"/>
    <x v="19"/>
    <s v="SE4_OTHER"/>
    <x v="8"/>
    <s v="GHOB_WOODWASTE"/>
    <x v="0"/>
    <x v="2"/>
    <n v="220.76212427716999"/>
    <n v="80578.175361166999"/>
    <n v="290081.43130020099"/>
  </r>
  <r>
    <x v="0"/>
    <x v="0"/>
    <x v="0"/>
    <x v="8"/>
    <x v="19"/>
    <s v="SE4_OTHER"/>
    <x v="8"/>
    <s v="GHOB_WOODWASTE"/>
    <x v="0"/>
    <x v="3"/>
    <n v="206.18536088912401"/>
    <n v="75257.656724530098"/>
    <n v="270927.564208308"/>
  </r>
  <r>
    <x v="0"/>
    <x v="0"/>
    <x v="0"/>
    <x v="8"/>
    <x v="19"/>
    <s v="SE4_OTHER"/>
    <x v="8"/>
    <s v="GHOB_WOODWASTE"/>
    <x v="0"/>
    <x v="12"/>
    <n v="248.89263698774101"/>
    <n v="90845.812500525397"/>
    <n v="327044.92500189098"/>
  </r>
  <r>
    <x v="0"/>
    <x v="0"/>
    <x v="0"/>
    <x v="8"/>
    <x v="19"/>
    <s v="SE4_OTHER"/>
    <x v="8"/>
    <s v="GHOB_WOODWASTE"/>
    <x v="0"/>
    <x v="13"/>
    <n v="248.89263698774101"/>
    <n v="90845.812500525397"/>
    <n v="327044.92500189098"/>
  </r>
  <r>
    <x v="0"/>
    <x v="0"/>
    <x v="0"/>
    <x v="8"/>
    <x v="19"/>
    <s v="SE4_OTHER"/>
    <x v="8"/>
    <s v="GHOB_WOODWASTE"/>
    <x v="0"/>
    <x v="14"/>
    <n v="229.56491952322301"/>
    <n v="83791.195625976397"/>
    <n v="301648.30425351497"/>
  </r>
  <r>
    <x v="0"/>
    <x v="0"/>
    <x v="0"/>
    <x v="8"/>
    <x v="19"/>
    <s v="SE4_OTHER"/>
    <x v="8"/>
    <s v="GHOB_WOODWASTE"/>
    <x v="0"/>
    <x v="15"/>
    <n v="227.794241250878"/>
    <n v="83144.898056570295"/>
    <n v="299321.63300365303"/>
  </r>
  <r>
    <x v="0"/>
    <x v="0"/>
    <x v="0"/>
    <x v="8"/>
    <x v="19"/>
    <s v="SE4_OTHER"/>
    <x v="8"/>
    <s v="GHOB_WOODWASTE"/>
    <x v="0"/>
    <x v="4"/>
    <n v="216.86026285542499"/>
    <n v="79153.995942230205"/>
    <n v="284954.38539202901"/>
  </r>
  <r>
    <x v="0"/>
    <x v="0"/>
    <x v="0"/>
    <x v="8"/>
    <x v="19"/>
    <s v="SE4_OTHER"/>
    <x v="8"/>
    <s v="GHOB_WOODWASTE"/>
    <x v="0"/>
    <x v="16"/>
    <n v="209.066240634379"/>
    <n v="76309.177831548193"/>
    <n v="274713.04019357398"/>
  </r>
  <r>
    <x v="0"/>
    <x v="0"/>
    <x v="0"/>
    <x v="8"/>
    <x v="19"/>
    <s v="SE4_OTHER"/>
    <x v="8"/>
    <s v="GHOB_WOODWASTE"/>
    <x v="0"/>
    <x v="5"/>
    <n v="196.70311511789399"/>
    <n v="71796.637018031295"/>
    <n v="258467.893264913"/>
  </r>
  <r>
    <x v="0"/>
    <x v="0"/>
    <x v="0"/>
    <x v="8"/>
    <x v="19"/>
    <s v="SE4_OTHER"/>
    <x v="8"/>
    <s v="GHOB_WOODWASTE"/>
    <x v="0"/>
    <x v="17"/>
    <n v="162.24805579859901"/>
    <n v="59220.540366488502"/>
    <n v="213193.94531935899"/>
  </r>
  <r>
    <x v="0"/>
    <x v="0"/>
    <x v="0"/>
    <x v="8"/>
    <x v="19"/>
    <s v="SE4_OTHER"/>
    <x v="8"/>
    <s v="GHOB_WOODWASTE"/>
    <x v="0"/>
    <x v="18"/>
    <n v="140.16264508522599"/>
    <n v="51159.3654561074"/>
    <n v="184173.71564198699"/>
  </r>
  <r>
    <x v="0"/>
    <x v="0"/>
    <x v="0"/>
    <x v="8"/>
    <x v="19"/>
    <s v="SE4_OTHER"/>
    <x v="8"/>
    <s v="GHOB_WOODWASTE"/>
    <x v="0"/>
    <x v="19"/>
    <n v="121.223936362609"/>
    <n v="44246.736772352102"/>
    <n v="159288.25238046801"/>
  </r>
  <r>
    <x v="0"/>
    <x v="0"/>
    <x v="0"/>
    <x v="8"/>
    <x v="19"/>
    <s v="SE4_OTHER"/>
    <x v="8"/>
    <s v="GHOB_WOODWASTE"/>
    <x v="0"/>
    <x v="20"/>
    <n v="100.427862952844"/>
    <n v="36656.169977788202"/>
    <n v="131962.21192003801"/>
  </r>
  <r>
    <x v="0"/>
    <x v="0"/>
    <x v="0"/>
    <x v="8"/>
    <x v="19"/>
    <s v="SE4_OTHER"/>
    <x v="8"/>
    <s v="GHOB_WOODWASTE"/>
    <x v="0"/>
    <x v="21"/>
    <n v="65.766444325518293"/>
    <n v="24004.7521788142"/>
    <n v="86417.107843731093"/>
  </r>
  <r>
    <x v="0"/>
    <x v="0"/>
    <x v="0"/>
    <x v="8"/>
    <x v="19"/>
    <s v="SE4_OTHER"/>
    <x v="8"/>
    <s v="GHOB_WOODWASTE"/>
    <x v="0"/>
    <x v="22"/>
    <n v="42.639301692545999"/>
    <n v="15563.345117779299"/>
    <n v="56028.042424005398"/>
  </r>
</pivotCacheRecords>
</file>

<file path=xl/pivotCache/pivotCacheRecords10.xml><?xml version="1.0" encoding="utf-8"?>
<pivotCacheRecords xmlns="http://schemas.openxmlformats.org/spreadsheetml/2006/main" xmlns:r="http://schemas.openxmlformats.org/officeDocument/2006/relationships" count="1224">
  <r>
    <x v="0"/>
    <x v="0"/>
    <x v="0"/>
    <x v="0"/>
    <x v="0"/>
    <s v="DK1_Large"/>
    <x v="0"/>
    <x v="0"/>
    <n v="5155.4576729141099"/>
    <n v="18559.6476224908"/>
  </r>
  <r>
    <x v="0"/>
    <x v="0"/>
    <x v="0"/>
    <x v="0"/>
    <x v="0"/>
    <s v="DK1_Large"/>
    <x v="0"/>
    <x v="1"/>
    <n v="5621.3252597802903"/>
    <n v="20236.770935208999"/>
  </r>
  <r>
    <x v="0"/>
    <x v="0"/>
    <x v="0"/>
    <x v="0"/>
    <x v="0"/>
    <s v="DK1_Large"/>
    <x v="0"/>
    <x v="2"/>
    <n v="7122.0046120338902"/>
    <n v="25639.216603321998"/>
  </r>
  <r>
    <x v="0"/>
    <x v="0"/>
    <x v="0"/>
    <x v="0"/>
    <x v="0"/>
    <s v="DK1_Large"/>
    <x v="0"/>
    <x v="3"/>
    <n v="8622.6839642874893"/>
    <n v="31041.662271435001"/>
  </r>
  <r>
    <x v="0"/>
    <x v="0"/>
    <x v="0"/>
    <x v="0"/>
    <x v="0"/>
    <s v="DK1_Large"/>
    <x v="0"/>
    <x v="4"/>
    <n v="10123.363316541099"/>
    <n v="36444.107939547903"/>
  </r>
  <r>
    <x v="0"/>
    <x v="0"/>
    <x v="0"/>
    <x v="0"/>
    <x v="0"/>
    <s v="DK1_Large"/>
    <x v="0"/>
    <x v="5"/>
    <n v="10123.363316541099"/>
    <n v="36444.107939547903"/>
  </r>
  <r>
    <x v="0"/>
    <x v="0"/>
    <x v="0"/>
    <x v="0"/>
    <x v="0"/>
    <s v="DK1_Large"/>
    <x v="0"/>
    <x v="6"/>
    <n v="10123.363316541099"/>
    <n v="36444.107939547903"/>
  </r>
  <r>
    <x v="0"/>
    <x v="0"/>
    <x v="0"/>
    <x v="0"/>
    <x v="0"/>
    <s v="DK1_Large"/>
    <x v="0"/>
    <x v="7"/>
    <n v="7752.7367582109"/>
    <n v="27909.852329559199"/>
  </r>
  <r>
    <x v="0"/>
    <x v="0"/>
    <x v="0"/>
    <x v="0"/>
    <x v="0"/>
    <s v="DK1_Large"/>
    <x v="0"/>
    <x v="8"/>
    <n v="5382.6142635345104"/>
    <n v="19377.411348724199"/>
  </r>
  <r>
    <x v="0"/>
    <x v="0"/>
    <x v="0"/>
    <x v="0"/>
    <x v="0"/>
    <s v="DK1_Large"/>
    <x v="0"/>
    <x v="9"/>
    <n v="2583.9054750925602"/>
    <n v="9302.0597103332293"/>
  </r>
  <r>
    <x v="0"/>
    <x v="0"/>
    <x v="0"/>
    <x v="0"/>
    <x v="0"/>
    <s v="DK1_Large"/>
    <x v="0"/>
    <x v="10"/>
    <n v="0"/>
    <n v="0"/>
  </r>
  <r>
    <x v="0"/>
    <x v="0"/>
    <x v="0"/>
    <x v="0"/>
    <x v="0"/>
    <s v="DK1_Large"/>
    <x v="0"/>
    <x v="11"/>
    <n v="0"/>
    <n v="0"/>
  </r>
  <r>
    <x v="0"/>
    <x v="0"/>
    <x v="0"/>
    <x v="0"/>
    <x v="0"/>
    <s v="DK1_Large"/>
    <x v="0"/>
    <x v="12"/>
    <n v="0"/>
    <n v="0"/>
  </r>
  <r>
    <x v="0"/>
    <x v="0"/>
    <x v="0"/>
    <x v="0"/>
    <x v="0"/>
    <s v="DK1_Large"/>
    <x v="0"/>
    <x v="13"/>
    <n v="0"/>
    <n v="0"/>
  </r>
  <r>
    <x v="0"/>
    <x v="0"/>
    <x v="0"/>
    <x v="0"/>
    <x v="0"/>
    <s v="DK1_Large"/>
    <x v="0"/>
    <x v="14"/>
    <n v="806.29292349043499"/>
    <n v="2902.6545245655698"/>
  </r>
  <r>
    <x v="0"/>
    <x v="0"/>
    <x v="0"/>
    <x v="0"/>
    <x v="0"/>
    <s v="DK1_Large"/>
    <x v="0"/>
    <x v="15"/>
    <n v="9.8969133941385508"/>
    <n v="35.628888218898801"/>
  </r>
  <r>
    <x v="0"/>
    <x v="0"/>
    <x v="0"/>
    <x v="0"/>
    <x v="0"/>
    <s v="DK1_Large"/>
    <x v="0"/>
    <x v="16"/>
    <n v="676.31791191289199"/>
    <n v="2434.74448288641"/>
  </r>
  <r>
    <x v="0"/>
    <x v="0"/>
    <x v="0"/>
    <x v="0"/>
    <x v="0"/>
    <s v="DK1_Large"/>
    <x v="0"/>
    <x v="17"/>
    <n v="0"/>
    <n v="0"/>
  </r>
  <r>
    <x v="0"/>
    <x v="0"/>
    <x v="0"/>
    <x v="0"/>
    <x v="0"/>
    <s v="DK1_Large"/>
    <x v="0"/>
    <x v="18"/>
    <n v="0"/>
    <n v="0"/>
  </r>
  <r>
    <x v="0"/>
    <x v="0"/>
    <x v="0"/>
    <x v="0"/>
    <x v="0"/>
    <s v="DK1_Large"/>
    <x v="0"/>
    <x v="19"/>
    <n v="0"/>
    <n v="0"/>
  </r>
  <r>
    <x v="0"/>
    <x v="0"/>
    <x v="0"/>
    <x v="0"/>
    <x v="0"/>
    <s v="DK1_Large"/>
    <x v="0"/>
    <x v="20"/>
    <n v="526.54907354705199"/>
    <n v="1895.5766647693899"/>
  </r>
  <r>
    <x v="0"/>
    <x v="0"/>
    <x v="0"/>
    <x v="0"/>
    <x v="0"/>
    <s v="DK1_Large"/>
    <x v="0"/>
    <x v="21"/>
    <n v="1262.90603455164"/>
    <n v="4546.4617243859202"/>
  </r>
  <r>
    <x v="0"/>
    <x v="0"/>
    <x v="0"/>
    <x v="0"/>
    <x v="0"/>
    <s v="DK1_Large"/>
    <x v="0"/>
    <x v="22"/>
    <n v="2284.00227139146"/>
    <n v="8222.4081770092707"/>
  </r>
  <r>
    <x v="0"/>
    <x v="0"/>
    <x v="0"/>
    <x v="0"/>
    <x v="0"/>
    <s v="DK1_Large"/>
    <x v="0"/>
    <x v="23"/>
    <n v="3654.77832066051"/>
    <n v="13157.201954377801"/>
  </r>
  <r>
    <x v="0"/>
    <x v="0"/>
    <x v="0"/>
    <x v="0"/>
    <x v="0"/>
    <s v="DK1_MedSmall"/>
    <x v="0"/>
    <x v="0"/>
    <n v="612.63423529810404"/>
    <n v="2205.4832470731699"/>
  </r>
  <r>
    <x v="0"/>
    <x v="0"/>
    <x v="0"/>
    <x v="0"/>
    <x v="0"/>
    <s v="DK1_MedSmall"/>
    <x v="0"/>
    <x v="1"/>
    <n v="1100.57901106291"/>
    <n v="3962.0844398264799"/>
  </r>
  <r>
    <x v="0"/>
    <x v="0"/>
    <x v="0"/>
    <x v="0"/>
    <x v="0"/>
    <s v="DK1_MedSmall"/>
    <x v="0"/>
    <x v="2"/>
    <n v="1598.8130187089901"/>
    <n v="5755.7268673523804"/>
  </r>
  <r>
    <x v="0"/>
    <x v="0"/>
    <x v="0"/>
    <x v="0"/>
    <x v="0"/>
    <s v="DK1_MedSmall"/>
    <x v="0"/>
    <x v="3"/>
    <n v="2106.4008735198699"/>
    <n v="7583.0431446715302"/>
  </r>
  <r>
    <x v="0"/>
    <x v="0"/>
    <x v="0"/>
    <x v="0"/>
    <x v="0"/>
    <s v="DK1_MedSmall"/>
    <x v="0"/>
    <x v="4"/>
    <n v="2599.9579575835601"/>
    <n v="9359.8486473007997"/>
  </r>
  <r>
    <x v="0"/>
    <x v="0"/>
    <x v="0"/>
    <x v="0"/>
    <x v="0"/>
    <s v="DK1_MedSmall"/>
    <x v="0"/>
    <x v="5"/>
    <n v="3083.2258097659701"/>
    <n v="11099.612915157501"/>
  </r>
  <r>
    <x v="0"/>
    <x v="0"/>
    <x v="0"/>
    <x v="0"/>
    <x v="0"/>
    <s v="DK1_MedSmall"/>
    <x v="0"/>
    <x v="6"/>
    <n v="3402.8013365644701"/>
    <n v="12250.084811632099"/>
  </r>
  <r>
    <x v="0"/>
    <x v="0"/>
    <x v="0"/>
    <x v="0"/>
    <x v="0"/>
    <s v="DK1_MedSmall"/>
    <x v="0"/>
    <x v="7"/>
    <n v="3387.9947036988101"/>
    <n v="12196.7809333157"/>
  </r>
  <r>
    <x v="0"/>
    <x v="0"/>
    <x v="0"/>
    <x v="0"/>
    <x v="0"/>
    <s v="DK1_MedSmall"/>
    <x v="0"/>
    <x v="8"/>
    <n v="3129.0526598320098"/>
    <n v="11264.589575395201"/>
  </r>
  <r>
    <x v="0"/>
    <x v="0"/>
    <x v="0"/>
    <x v="0"/>
    <x v="0"/>
    <s v="DK1_MedSmall"/>
    <x v="0"/>
    <x v="9"/>
    <n v="2833.6306120224999"/>
    <n v="10201.070203281"/>
  </r>
  <r>
    <x v="0"/>
    <x v="0"/>
    <x v="0"/>
    <x v="0"/>
    <x v="0"/>
    <s v="DK1_MedSmall"/>
    <x v="0"/>
    <x v="10"/>
    <n v="2542.8854877954"/>
    <n v="9154.3877560634301"/>
  </r>
  <r>
    <x v="0"/>
    <x v="0"/>
    <x v="0"/>
    <x v="0"/>
    <x v="0"/>
    <s v="DK1_MedSmall"/>
    <x v="0"/>
    <x v="11"/>
    <n v="2316.2881014560198"/>
    <n v="8338.6371652416692"/>
  </r>
  <r>
    <x v="0"/>
    <x v="0"/>
    <x v="0"/>
    <x v="0"/>
    <x v="0"/>
    <s v="DK1_MedSmall"/>
    <x v="0"/>
    <x v="12"/>
    <n v="2025.5429772289201"/>
    <n v="7291.9547180240997"/>
  </r>
  <r>
    <x v="0"/>
    <x v="0"/>
    <x v="0"/>
    <x v="0"/>
    <x v="0"/>
    <s v="DK1_MedSmall"/>
    <x v="0"/>
    <x v="13"/>
    <n v="1787.17939712466"/>
    <n v="6433.8458296487797"/>
  </r>
  <r>
    <x v="0"/>
    <x v="0"/>
    <x v="0"/>
    <x v="0"/>
    <x v="0"/>
    <s v="DK1_MedSmall"/>
    <x v="0"/>
    <x v="14"/>
    <n v="1585.2958209631099"/>
    <n v="5707.06495546719"/>
  </r>
  <r>
    <x v="0"/>
    <x v="0"/>
    <x v="0"/>
    <x v="0"/>
    <x v="0"/>
    <s v="DK1_MedSmall"/>
    <x v="0"/>
    <x v="15"/>
    <n v="1368.44608933788"/>
    <n v="4926.4059216163696"/>
  </r>
  <r>
    <x v="0"/>
    <x v="0"/>
    <x v="0"/>
    <x v="0"/>
    <x v="0"/>
    <s v="DK1_MedSmall"/>
    <x v="0"/>
    <x v="16"/>
    <n v="1137.5655869654599"/>
    <n v="4095.2361130756599"/>
  </r>
  <r>
    <x v="0"/>
    <x v="0"/>
    <x v="0"/>
    <x v="0"/>
    <x v="0"/>
    <s v="DK1_MedSmall"/>
    <x v="0"/>
    <x v="17"/>
    <n v="898.26662214472799"/>
    <n v="3233.7598397210199"/>
  </r>
  <r>
    <x v="0"/>
    <x v="0"/>
    <x v="0"/>
    <x v="0"/>
    <x v="0"/>
    <s v="DK1_MedSmall"/>
    <x v="0"/>
    <x v="18"/>
    <n v="633.71226997904898"/>
    <n v="2281.3641719245802"/>
  </r>
  <r>
    <x v="0"/>
    <x v="0"/>
    <x v="0"/>
    <x v="0"/>
    <x v="0"/>
    <s v="DK1_MedSmall"/>
    <x v="0"/>
    <x v="19"/>
    <n v="372.89945667928703"/>
    <n v="1342.4380440454299"/>
  </r>
  <r>
    <x v="0"/>
    <x v="0"/>
    <x v="0"/>
    <x v="0"/>
    <x v="0"/>
    <s v="DK1_MedSmall"/>
    <x v="0"/>
    <x v="20"/>
    <n v="150.43741675518399"/>
    <n v="541.57470031866205"/>
  </r>
  <r>
    <x v="0"/>
    <x v="0"/>
    <x v="0"/>
    <x v="0"/>
    <x v="0"/>
    <s v="DK1_MedSmall"/>
    <x v="0"/>
    <x v="21"/>
    <n v="0"/>
    <n v="0"/>
  </r>
  <r>
    <x v="0"/>
    <x v="0"/>
    <x v="0"/>
    <x v="0"/>
    <x v="0"/>
    <s v="DK1_MedSmall"/>
    <x v="0"/>
    <x v="22"/>
    <n v="120.338582188375"/>
    <n v="433.21889587815099"/>
  </r>
  <r>
    <x v="0"/>
    <x v="0"/>
    <x v="0"/>
    <x v="0"/>
    <x v="0"/>
    <s v="DK1_MedSmall"/>
    <x v="0"/>
    <x v="23"/>
    <n v="337.95717489061599"/>
    <n v="1216.6458296062201"/>
  </r>
  <r>
    <x v="0"/>
    <x v="0"/>
    <x v="0"/>
    <x v="0"/>
    <x v="0"/>
    <s v="DK1_Medium"/>
    <x v="0"/>
    <x v="0"/>
    <n v="0"/>
    <n v="0"/>
  </r>
  <r>
    <x v="0"/>
    <x v="0"/>
    <x v="0"/>
    <x v="0"/>
    <x v="0"/>
    <s v="DK1_Medium"/>
    <x v="0"/>
    <x v="1"/>
    <n v="7.7435882655945996"/>
    <n v="27.8769177561405"/>
  </r>
  <r>
    <x v="0"/>
    <x v="0"/>
    <x v="0"/>
    <x v="0"/>
    <x v="0"/>
    <s v="DK1_Medium"/>
    <x v="0"/>
    <x v="2"/>
    <n v="37.183727680132101"/>
    <n v="133.86141964847499"/>
  </r>
  <r>
    <x v="0"/>
    <x v="0"/>
    <x v="0"/>
    <x v="0"/>
    <x v="0"/>
    <s v="DK1_Medium"/>
    <x v="0"/>
    <x v="3"/>
    <n v="156.54031219510799"/>
    <n v="563.54512390238699"/>
  </r>
  <r>
    <x v="0"/>
    <x v="0"/>
    <x v="0"/>
    <x v="0"/>
    <x v="0"/>
    <s v="DK1_Medium"/>
    <x v="0"/>
    <x v="4"/>
    <n v="192.88051936536999"/>
    <n v="694.36986971533395"/>
  </r>
  <r>
    <x v="0"/>
    <x v="0"/>
    <x v="0"/>
    <x v="0"/>
    <x v="0"/>
    <s v="DK1_Medium"/>
    <x v="0"/>
    <x v="5"/>
    <n v="260.95434661920802"/>
    <n v="939.43564782914802"/>
  </r>
  <r>
    <x v="0"/>
    <x v="0"/>
    <x v="0"/>
    <x v="0"/>
    <x v="0"/>
    <s v="DK1_Medium"/>
    <x v="0"/>
    <x v="6"/>
    <n v="0"/>
    <n v="0"/>
  </r>
  <r>
    <x v="0"/>
    <x v="0"/>
    <x v="0"/>
    <x v="0"/>
    <x v="0"/>
    <s v="DK1_Medium"/>
    <x v="0"/>
    <x v="7"/>
    <n v="1940.5513382240099"/>
    <n v="6985.9848176064497"/>
  </r>
  <r>
    <x v="0"/>
    <x v="0"/>
    <x v="0"/>
    <x v="0"/>
    <x v="0"/>
    <s v="DK1_Medium"/>
    <x v="0"/>
    <x v="8"/>
    <n v="3881.1026764480298"/>
    <n v="13971.969635212899"/>
  </r>
  <r>
    <x v="0"/>
    <x v="0"/>
    <x v="0"/>
    <x v="0"/>
    <x v="0"/>
    <s v="DK1_Medium"/>
    <x v="0"/>
    <x v="9"/>
    <n v="5821.6540146720399"/>
    <n v="20957.9544528193"/>
  </r>
  <r>
    <x v="0"/>
    <x v="0"/>
    <x v="0"/>
    <x v="0"/>
    <x v="0"/>
    <s v="DK1_Medium"/>
    <x v="0"/>
    <x v="10"/>
    <n v="7019.0339335059098"/>
    <n v="25268.522160621302"/>
  </r>
  <r>
    <x v="0"/>
    <x v="0"/>
    <x v="0"/>
    <x v="0"/>
    <x v="0"/>
    <s v="DK1_Medium"/>
    <x v="0"/>
    <x v="11"/>
    <n v="7067.69686767449"/>
    <n v="25443.708723628199"/>
  </r>
  <r>
    <x v="0"/>
    <x v="0"/>
    <x v="0"/>
    <x v="0"/>
    <x v="0"/>
    <s v="DK1_Medium"/>
    <x v="0"/>
    <x v="12"/>
    <n v="7067.69686767449"/>
    <n v="25443.708723628199"/>
  </r>
  <r>
    <x v="0"/>
    <x v="0"/>
    <x v="0"/>
    <x v="0"/>
    <x v="0"/>
    <s v="DK1_Medium"/>
    <x v="0"/>
    <x v="13"/>
    <n v="5476.5658544223097"/>
    <n v="19715.637075920298"/>
  </r>
  <r>
    <x v="0"/>
    <x v="0"/>
    <x v="0"/>
    <x v="0"/>
    <x v="0"/>
    <s v="DK1_Medium"/>
    <x v="0"/>
    <x v="14"/>
    <n v="3983.6588528075399"/>
    <n v="14341.1718701071"/>
  </r>
  <r>
    <x v="0"/>
    <x v="0"/>
    <x v="0"/>
    <x v="0"/>
    <x v="0"/>
    <s v="DK1_Medium"/>
    <x v="0"/>
    <x v="15"/>
    <n v="4304.1829483542397"/>
    <n v="15495.0586140753"/>
  </r>
  <r>
    <x v="0"/>
    <x v="0"/>
    <x v="0"/>
    <x v="0"/>
    <x v="0"/>
    <s v="DK1_Medium"/>
    <x v="0"/>
    <x v="16"/>
    <n v="4304.1829483542397"/>
    <n v="15495.0586140753"/>
  </r>
  <r>
    <x v="0"/>
    <x v="0"/>
    <x v="0"/>
    <x v="0"/>
    <x v="0"/>
    <s v="DK1_Medium"/>
    <x v="0"/>
    <x v="17"/>
    <n v="4577.3691141214304"/>
    <n v="16478.528810837201"/>
  </r>
  <r>
    <x v="0"/>
    <x v="0"/>
    <x v="0"/>
    <x v="0"/>
    <x v="0"/>
    <s v="DK1_Medium"/>
    <x v="0"/>
    <x v="18"/>
    <n v="4577.3691141214304"/>
    <n v="16478.528810837201"/>
  </r>
  <r>
    <x v="0"/>
    <x v="0"/>
    <x v="0"/>
    <x v="0"/>
    <x v="0"/>
    <s v="DK1_Medium"/>
    <x v="0"/>
    <x v="19"/>
    <n v="4577.3691141214304"/>
    <n v="16478.528810837201"/>
  </r>
  <r>
    <x v="0"/>
    <x v="0"/>
    <x v="0"/>
    <x v="0"/>
    <x v="0"/>
    <s v="DK1_Medium"/>
    <x v="0"/>
    <x v="20"/>
    <n v="2998.4774677964101"/>
    <n v="10794.5188840671"/>
  </r>
  <r>
    <x v="0"/>
    <x v="0"/>
    <x v="0"/>
    <x v="0"/>
    <x v="0"/>
    <s v="DK1_Medium"/>
    <x v="0"/>
    <x v="21"/>
    <n v="1571.46167951399"/>
    <n v="5657.2620462503701"/>
  </r>
  <r>
    <x v="0"/>
    <x v="0"/>
    <x v="0"/>
    <x v="0"/>
    <x v="0"/>
    <s v="DK1_Medium"/>
    <x v="0"/>
    <x v="22"/>
    <n v="874.23897533238198"/>
    <n v="3147.26031119658"/>
  </r>
  <r>
    <x v="0"/>
    <x v="0"/>
    <x v="0"/>
    <x v="0"/>
    <x v="0"/>
    <s v="DK1_Medium"/>
    <x v="0"/>
    <x v="23"/>
    <n v="382.14730019532601"/>
    <n v="1375.7302807031699"/>
  </r>
  <r>
    <x v="0"/>
    <x v="0"/>
    <x v="0"/>
    <x v="0"/>
    <x v="0"/>
    <s v="DK1_Rural"/>
    <x v="0"/>
    <x v="0"/>
    <n v="0"/>
    <n v="0"/>
  </r>
  <r>
    <x v="0"/>
    <x v="0"/>
    <x v="0"/>
    <x v="0"/>
    <x v="0"/>
    <s v="DK1_Rural"/>
    <x v="0"/>
    <x v="1"/>
    <n v="1221.75117113749"/>
    <n v="4398.3042160949599"/>
  </r>
  <r>
    <x v="0"/>
    <x v="0"/>
    <x v="0"/>
    <x v="0"/>
    <x v="0"/>
    <s v="DK1_Rural"/>
    <x v="0"/>
    <x v="2"/>
    <n v="2443.50234227498"/>
    <n v="8796.6084321899307"/>
  </r>
  <r>
    <x v="0"/>
    <x v="0"/>
    <x v="0"/>
    <x v="0"/>
    <x v="0"/>
    <s v="DK1_Rural"/>
    <x v="0"/>
    <x v="3"/>
    <n v="3665.2535134124701"/>
    <n v="13194.912648284901"/>
  </r>
  <r>
    <x v="0"/>
    <x v="0"/>
    <x v="0"/>
    <x v="0"/>
    <x v="0"/>
    <s v="DK1_Rural"/>
    <x v="0"/>
    <x v="4"/>
    <n v="4887.0046845499601"/>
    <n v="17593.216864379901"/>
  </r>
  <r>
    <x v="0"/>
    <x v="0"/>
    <x v="0"/>
    <x v="0"/>
    <x v="0"/>
    <s v="DK1_Rural"/>
    <x v="0"/>
    <x v="5"/>
    <n v="6108.7558556874501"/>
    <n v="21991.521080474799"/>
  </r>
  <r>
    <x v="0"/>
    <x v="0"/>
    <x v="0"/>
    <x v="0"/>
    <x v="0"/>
    <s v="DK1_Rural"/>
    <x v="0"/>
    <x v="6"/>
    <n v="7227.0228339327796"/>
    <n v="26017.282202158"/>
  </r>
  <r>
    <x v="0"/>
    <x v="0"/>
    <x v="0"/>
    <x v="0"/>
    <x v="0"/>
    <s v="DK1_Rural"/>
    <x v="0"/>
    <x v="7"/>
    <n v="7430.6016087484804"/>
    <n v="26750.165791494499"/>
  </r>
  <r>
    <x v="0"/>
    <x v="0"/>
    <x v="0"/>
    <x v="0"/>
    <x v="0"/>
    <s v="DK1_Rural"/>
    <x v="0"/>
    <x v="8"/>
    <n v="7430.6016087484804"/>
    <n v="26750.165791494499"/>
  </r>
  <r>
    <x v="0"/>
    <x v="0"/>
    <x v="0"/>
    <x v="0"/>
    <x v="0"/>
    <s v="DK1_Rural"/>
    <x v="0"/>
    <x v="9"/>
    <n v="6886.9871604210302"/>
    <n v="24793.153777515701"/>
  </r>
  <r>
    <x v="0"/>
    <x v="0"/>
    <x v="0"/>
    <x v="0"/>
    <x v="0"/>
    <s v="DK1_Rural"/>
    <x v="0"/>
    <x v="10"/>
    <n v="6886.9871604210302"/>
    <n v="24793.153777515701"/>
  </r>
  <r>
    <x v="0"/>
    <x v="0"/>
    <x v="0"/>
    <x v="0"/>
    <x v="0"/>
    <s v="DK1_Rural"/>
    <x v="0"/>
    <x v="11"/>
    <n v="6214.3411019438499"/>
    <n v="22371.627966997901"/>
  </r>
  <r>
    <x v="0"/>
    <x v="0"/>
    <x v="0"/>
    <x v="0"/>
    <x v="0"/>
    <s v="DK1_Rural"/>
    <x v="0"/>
    <x v="12"/>
    <n v="5423.8634962717397"/>
    <n v="19525.908586578302"/>
  </r>
  <r>
    <x v="0"/>
    <x v="0"/>
    <x v="0"/>
    <x v="0"/>
    <x v="0"/>
    <s v="DK1_Rural"/>
    <x v="0"/>
    <x v="13"/>
    <n v="5393.1081705161096"/>
    <n v="19415.189413857999"/>
  </r>
  <r>
    <x v="0"/>
    <x v="0"/>
    <x v="0"/>
    <x v="0"/>
    <x v="0"/>
    <s v="DK1_Rural"/>
    <x v="0"/>
    <x v="14"/>
    <n v="4855.3628151144203"/>
    <n v="17479.306134411901"/>
  </r>
  <r>
    <x v="0"/>
    <x v="0"/>
    <x v="0"/>
    <x v="0"/>
    <x v="0"/>
    <s v="DK1_Rural"/>
    <x v="0"/>
    <x v="15"/>
    <n v="4275.0520280882401"/>
    <n v="15390.187301117699"/>
  </r>
  <r>
    <x v="0"/>
    <x v="0"/>
    <x v="0"/>
    <x v="0"/>
    <x v="0"/>
    <s v="DK1_Rural"/>
    <x v="0"/>
    <x v="16"/>
    <n v="4265.57941814487"/>
    <n v="15356.085905321501"/>
  </r>
  <r>
    <x v="0"/>
    <x v="0"/>
    <x v="0"/>
    <x v="0"/>
    <x v="0"/>
    <s v="DK1_Rural"/>
    <x v="0"/>
    <x v="17"/>
    <n v="3621.4204836819399"/>
    <n v="13037.113741255"/>
  </r>
  <r>
    <x v="0"/>
    <x v="0"/>
    <x v="0"/>
    <x v="0"/>
    <x v="0"/>
    <s v="DK1_Rural"/>
    <x v="0"/>
    <x v="18"/>
    <n v="2905.4323833526901"/>
    <n v="10459.5565800697"/>
  </r>
  <r>
    <x v="0"/>
    <x v="0"/>
    <x v="0"/>
    <x v="0"/>
    <x v="0"/>
    <s v="DK1_Rural"/>
    <x v="0"/>
    <x v="19"/>
    <n v="2200.0856409295602"/>
    <n v="7920.3083073464104"/>
  </r>
  <r>
    <x v="0"/>
    <x v="0"/>
    <x v="0"/>
    <x v="0"/>
    <x v="0"/>
    <s v="DK1_Rural"/>
    <x v="0"/>
    <x v="20"/>
    <n v="1213.4655948219699"/>
    <n v="4368.4761413590804"/>
  </r>
  <r>
    <x v="0"/>
    <x v="0"/>
    <x v="0"/>
    <x v="0"/>
    <x v="0"/>
    <s v="DK1_Rural"/>
    <x v="0"/>
    <x v="21"/>
    <n v="1042.43495763802"/>
    <n v="3752.7658474968698"/>
  </r>
  <r>
    <x v="0"/>
    <x v="0"/>
    <x v="0"/>
    <x v="0"/>
    <x v="0"/>
    <s v="DK1_Rural"/>
    <x v="0"/>
    <x v="22"/>
    <n v="441.90866608672002"/>
    <n v="1590.8711979121899"/>
  </r>
  <r>
    <x v="0"/>
    <x v="0"/>
    <x v="0"/>
    <x v="0"/>
    <x v="0"/>
    <s v="DK1_Rural"/>
    <x v="0"/>
    <x v="23"/>
    <n v="728.80094932539498"/>
    <n v="2623.6834175714198"/>
  </r>
  <r>
    <x v="0"/>
    <x v="0"/>
    <x v="0"/>
    <x v="0"/>
    <x v="0"/>
    <s v="DK1_Small"/>
    <x v="0"/>
    <x v="0"/>
    <n v="0"/>
    <n v="0"/>
  </r>
  <r>
    <x v="0"/>
    <x v="0"/>
    <x v="0"/>
    <x v="0"/>
    <x v="0"/>
    <s v="DK1_Small"/>
    <x v="0"/>
    <x v="1"/>
    <n v="48.347268647227303"/>
    <n v="174.050167130018"/>
  </r>
  <r>
    <x v="0"/>
    <x v="0"/>
    <x v="0"/>
    <x v="0"/>
    <x v="0"/>
    <s v="DK1_Small"/>
    <x v="0"/>
    <x v="2"/>
    <n v="99.224608465234098"/>
    <n v="357.20859047484299"/>
  </r>
  <r>
    <x v="0"/>
    <x v="0"/>
    <x v="0"/>
    <x v="0"/>
    <x v="0"/>
    <s v="DK1_Small"/>
    <x v="0"/>
    <x v="3"/>
    <n v="150.101948283241"/>
    <n v="540.36701381966702"/>
  </r>
  <r>
    <x v="0"/>
    <x v="0"/>
    <x v="0"/>
    <x v="0"/>
    <x v="0"/>
    <s v="DK1_Small"/>
    <x v="0"/>
    <x v="4"/>
    <n v="199.829255750893"/>
    <n v="719.38532070321605"/>
  </r>
  <r>
    <x v="0"/>
    <x v="0"/>
    <x v="0"/>
    <x v="0"/>
    <x v="0"/>
    <s v="DK1_Small"/>
    <x v="0"/>
    <x v="5"/>
    <n v="250.70659556890001"/>
    <n v="902.54374404804003"/>
  </r>
  <r>
    <x v="0"/>
    <x v="0"/>
    <x v="0"/>
    <x v="0"/>
    <x v="0"/>
    <s v="DK1_Small"/>
    <x v="0"/>
    <x v="6"/>
    <n v="257.65269960337099"/>
    <n v="927.54971857213604"/>
  </r>
  <r>
    <x v="0"/>
    <x v="0"/>
    <x v="0"/>
    <x v="0"/>
    <x v="0"/>
    <s v="DK1_Small"/>
    <x v="0"/>
    <x v="7"/>
    <n v="278.25348837855603"/>
    <n v="1001.7125581628"/>
  </r>
  <r>
    <x v="0"/>
    <x v="0"/>
    <x v="0"/>
    <x v="0"/>
    <x v="0"/>
    <s v="DK1_Small"/>
    <x v="0"/>
    <x v="8"/>
    <n v="238.822588465244"/>
    <n v="859.76131847488"/>
  </r>
  <r>
    <x v="0"/>
    <x v="0"/>
    <x v="0"/>
    <x v="0"/>
    <x v="0"/>
    <s v="DK1_Small"/>
    <x v="0"/>
    <x v="9"/>
    <n v="238.822588465244"/>
    <n v="859.76131847488"/>
  </r>
  <r>
    <x v="0"/>
    <x v="0"/>
    <x v="0"/>
    <x v="0"/>
    <x v="0"/>
    <s v="DK1_Small"/>
    <x v="0"/>
    <x v="10"/>
    <n v="238.822588465244"/>
    <n v="859.76131847488"/>
  </r>
  <r>
    <x v="0"/>
    <x v="0"/>
    <x v="0"/>
    <x v="0"/>
    <x v="0"/>
    <s v="DK1_Small"/>
    <x v="0"/>
    <x v="11"/>
    <n v="189.50141033888599"/>
    <n v="682.20507721998797"/>
  </r>
  <r>
    <x v="0"/>
    <x v="0"/>
    <x v="0"/>
    <x v="0"/>
    <x v="0"/>
    <s v="DK1_Small"/>
    <x v="0"/>
    <x v="12"/>
    <n v="188.751429749095"/>
    <n v="679.50514709674201"/>
  </r>
  <r>
    <x v="0"/>
    <x v="0"/>
    <x v="0"/>
    <x v="0"/>
    <x v="0"/>
    <s v="DK1_Small"/>
    <x v="0"/>
    <x v="13"/>
    <n v="188.751429749095"/>
    <n v="679.50514709674201"/>
  </r>
  <r>
    <x v="0"/>
    <x v="0"/>
    <x v="0"/>
    <x v="0"/>
    <x v="0"/>
    <s v="DK1_Small"/>
    <x v="0"/>
    <x v="14"/>
    <n v="239.62876956710201"/>
    <n v="862.663570441567"/>
  </r>
  <r>
    <x v="0"/>
    <x v="0"/>
    <x v="0"/>
    <x v="0"/>
    <x v="0"/>
    <s v="DK1_Small"/>
    <x v="0"/>
    <x v="15"/>
    <n v="239.62876956710201"/>
    <n v="862.663570441567"/>
  </r>
  <r>
    <x v="0"/>
    <x v="0"/>
    <x v="0"/>
    <x v="0"/>
    <x v="0"/>
    <s v="DK1_Small"/>
    <x v="0"/>
    <x v="16"/>
    <n v="239.62876956710201"/>
    <n v="862.663570441567"/>
  </r>
  <r>
    <x v="0"/>
    <x v="0"/>
    <x v="0"/>
    <x v="0"/>
    <x v="0"/>
    <s v="DK1_Small"/>
    <x v="0"/>
    <x v="17"/>
    <n v="136.440203492715"/>
    <n v="491.184732573774"/>
  </r>
  <r>
    <x v="0"/>
    <x v="0"/>
    <x v="0"/>
    <x v="0"/>
    <x v="0"/>
    <s v="DK1_Small"/>
    <x v="0"/>
    <x v="18"/>
    <n v="136.440203492715"/>
    <n v="491.184732573774"/>
  </r>
  <r>
    <x v="0"/>
    <x v="0"/>
    <x v="0"/>
    <x v="0"/>
    <x v="0"/>
    <s v="DK1_Small"/>
    <x v="0"/>
    <x v="19"/>
    <n v="187.31754331072199"/>
    <n v="674.343155918599"/>
  </r>
  <r>
    <x v="0"/>
    <x v="0"/>
    <x v="0"/>
    <x v="0"/>
    <x v="0"/>
    <s v="DK1_Small"/>
    <x v="0"/>
    <x v="20"/>
    <n v="187.31754331072199"/>
    <n v="674.343155918599"/>
  </r>
  <r>
    <x v="0"/>
    <x v="0"/>
    <x v="0"/>
    <x v="0"/>
    <x v="0"/>
    <s v="DK1_Small"/>
    <x v="0"/>
    <x v="21"/>
    <n v="60.169875293877098"/>
    <n v="216.611551057958"/>
  </r>
  <r>
    <x v="0"/>
    <x v="0"/>
    <x v="0"/>
    <x v="0"/>
    <x v="0"/>
    <s v="DK1_Small"/>
    <x v="0"/>
    <x v="22"/>
    <n v="18.124601203253501"/>
    <n v="65.248564331712501"/>
  </r>
  <r>
    <x v="0"/>
    <x v="0"/>
    <x v="0"/>
    <x v="0"/>
    <x v="0"/>
    <s v="DK1_Small"/>
    <x v="0"/>
    <x v="23"/>
    <n v="0"/>
    <n v="0"/>
  </r>
  <r>
    <x v="0"/>
    <x v="0"/>
    <x v="0"/>
    <x v="0"/>
    <x v="1"/>
    <s v="DK2_Large"/>
    <x v="0"/>
    <x v="0"/>
    <n v="8172.4041231841202"/>
    <n v="29420.654843462798"/>
  </r>
  <r>
    <x v="0"/>
    <x v="0"/>
    <x v="0"/>
    <x v="0"/>
    <x v="1"/>
    <s v="DK2_Large"/>
    <x v="0"/>
    <x v="1"/>
    <n v="10864.0542078447"/>
    <n v="39110.5951482409"/>
  </r>
  <r>
    <x v="0"/>
    <x v="0"/>
    <x v="0"/>
    <x v="0"/>
    <x v="1"/>
    <s v="DK2_Large"/>
    <x v="0"/>
    <x v="2"/>
    <n v="13489.231892447"/>
    <n v="48561.234812809402"/>
  </r>
  <r>
    <x v="0"/>
    <x v="0"/>
    <x v="0"/>
    <x v="0"/>
    <x v="1"/>
    <s v="DK2_Large"/>
    <x v="0"/>
    <x v="3"/>
    <n v="16047.9371769912"/>
    <n v="57772.573837168202"/>
  </r>
  <r>
    <x v="0"/>
    <x v="0"/>
    <x v="0"/>
    <x v="0"/>
    <x v="1"/>
    <s v="DK2_Large"/>
    <x v="0"/>
    <x v="4"/>
    <n v="18540.1700614771"/>
    <n v="66744.612221317497"/>
  </r>
  <r>
    <x v="0"/>
    <x v="0"/>
    <x v="0"/>
    <x v="0"/>
    <x v="1"/>
    <s v="DK2_Large"/>
    <x v="0"/>
    <x v="5"/>
    <n v="20832.985745788301"/>
    <n v="74998.748684837905"/>
  </r>
  <r>
    <x v="0"/>
    <x v="0"/>
    <x v="0"/>
    <x v="0"/>
    <x v="1"/>
    <s v="DK2_Large"/>
    <x v="0"/>
    <x v="6"/>
    <n v="20832.985745788301"/>
    <n v="74998.748684837905"/>
  </r>
  <r>
    <x v="0"/>
    <x v="0"/>
    <x v="0"/>
    <x v="0"/>
    <x v="1"/>
    <s v="DK2_Large"/>
    <x v="0"/>
    <x v="7"/>
    <n v="17955.590040259001"/>
    <n v="64640.124144932401"/>
  </r>
  <r>
    <x v="0"/>
    <x v="0"/>
    <x v="0"/>
    <x v="0"/>
    <x v="1"/>
    <s v="DK2_Large"/>
    <x v="0"/>
    <x v="8"/>
    <n v="14798.3105450108"/>
    <n v="53273.917962038999"/>
  </r>
  <r>
    <x v="0"/>
    <x v="0"/>
    <x v="0"/>
    <x v="0"/>
    <x v="1"/>
    <s v="DK2_Large"/>
    <x v="0"/>
    <x v="9"/>
    <n v="11571.060102333"/>
    <n v="41655.816368398599"/>
  </r>
  <r>
    <x v="0"/>
    <x v="0"/>
    <x v="0"/>
    <x v="0"/>
    <x v="1"/>
    <s v="DK2_Large"/>
    <x v="0"/>
    <x v="10"/>
    <n v="8553.7225019442194"/>
    <n v="30793.4010069992"/>
  </r>
  <r>
    <x v="0"/>
    <x v="0"/>
    <x v="0"/>
    <x v="0"/>
    <x v="1"/>
    <s v="DK2_Large"/>
    <x v="0"/>
    <x v="11"/>
    <n v="5752.1286561304196"/>
    <n v="20707.663162069501"/>
  </r>
  <r>
    <x v="0"/>
    <x v="0"/>
    <x v="0"/>
    <x v="0"/>
    <x v="1"/>
    <s v="DK2_Large"/>
    <x v="0"/>
    <x v="12"/>
    <n v="7507.6257733043303"/>
    <n v="27027.452783895598"/>
  </r>
  <r>
    <x v="0"/>
    <x v="0"/>
    <x v="0"/>
    <x v="0"/>
    <x v="1"/>
    <s v="DK2_Large"/>
    <x v="0"/>
    <x v="13"/>
    <n v="9396.0676905946893"/>
    <n v="33825.843686140899"/>
  </r>
  <r>
    <x v="0"/>
    <x v="0"/>
    <x v="0"/>
    <x v="0"/>
    <x v="1"/>
    <s v="DK2_Large"/>
    <x v="0"/>
    <x v="14"/>
    <n v="11218.037207826799"/>
    <n v="40384.9339481766"/>
  </r>
  <r>
    <x v="0"/>
    <x v="0"/>
    <x v="0"/>
    <x v="0"/>
    <x v="1"/>
    <s v="DK2_Large"/>
    <x v="0"/>
    <x v="15"/>
    <n v="8556.3852568724396"/>
    <n v="30802.986924740799"/>
  </r>
  <r>
    <x v="0"/>
    <x v="0"/>
    <x v="0"/>
    <x v="0"/>
    <x v="1"/>
    <s v="DK2_Large"/>
    <x v="0"/>
    <x v="16"/>
    <n v="5824.7623584883504"/>
    <n v="20969.144490558101"/>
  </r>
  <r>
    <x v="0"/>
    <x v="0"/>
    <x v="0"/>
    <x v="0"/>
    <x v="1"/>
    <s v="DK2_Large"/>
    <x v="0"/>
    <x v="17"/>
    <n v="2947.36665295903"/>
    <n v="10610.5199506525"/>
  </r>
  <r>
    <x v="0"/>
    <x v="0"/>
    <x v="0"/>
    <x v="0"/>
    <x v="1"/>
    <s v="DK2_Large"/>
    <x v="0"/>
    <x v="18"/>
    <n v="0"/>
    <n v="0"/>
  </r>
  <r>
    <x v="0"/>
    <x v="0"/>
    <x v="0"/>
    <x v="0"/>
    <x v="1"/>
    <s v="DK2_Large"/>
    <x v="0"/>
    <x v="19"/>
    <n v="0"/>
    <n v="0"/>
  </r>
  <r>
    <x v="0"/>
    <x v="0"/>
    <x v="0"/>
    <x v="0"/>
    <x v="1"/>
    <s v="DK2_Large"/>
    <x v="0"/>
    <x v="20"/>
    <n v="0"/>
    <n v="0"/>
  </r>
  <r>
    <x v="0"/>
    <x v="0"/>
    <x v="0"/>
    <x v="0"/>
    <x v="1"/>
    <s v="DK2_Large"/>
    <x v="0"/>
    <x v="21"/>
    <n v="1166.5516368055"/>
    <n v="4199.5858924998101"/>
  </r>
  <r>
    <x v="0"/>
    <x v="0"/>
    <x v="0"/>
    <x v="0"/>
    <x v="1"/>
    <s v="DK2_Large"/>
    <x v="0"/>
    <x v="22"/>
    <n v="3187.9383542123101"/>
    <n v="11476.5780751643"/>
  </r>
  <r>
    <x v="0"/>
    <x v="0"/>
    <x v="0"/>
    <x v="0"/>
    <x v="1"/>
    <s v="DK2_Large"/>
    <x v="0"/>
    <x v="23"/>
    <n v="5547.2264385817698"/>
    <n v="19970.015178894399"/>
  </r>
  <r>
    <x v="0"/>
    <x v="0"/>
    <x v="0"/>
    <x v="0"/>
    <x v="1"/>
    <s v="DK2_MedSmall"/>
    <x v="0"/>
    <x v="0"/>
    <n v="643.25366541870699"/>
    <n v="2315.7131955073401"/>
  </r>
  <r>
    <x v="0"/>
    <x v="0"/>
    <x v="0"/>
    <x v="0"/>
    <x v="1"/>
    <s v="DK2_MedSmall"/>
    <x v="0"/>
    <x v="1"/>
    <n v="479.30777587944101"/>
    <n v="1725.50799316599"/>
  </r>
  <r>
    <x v="0"/>
    <x v="0"/>
    <x v="0"/>
    <x v="0"/>
    <x v="1"/>
    <s v="DK2_MedSmall"/>
    <x v="0"/>
    <x v="2"/>
    <n v="318.98896055390998"/>
    <n v="1148.36025799408"/>
  </r>
  <r>
    <x v="0"/>
    <x v="0"/>
    <x v="0"/>
    <x v="0"/>
    <x v="1"/>
    <s v="DK2_MedSmall"/>
    <x v="0"/>
    <x v="3"/>
    <n v="161.96748542268301"/>
    <n v="583.08294752166"/>
  </r>
  <r>
    <x v="0"/>
    <x v="0"/>
    <x v="0"/>
    <x v="0"/>
    <x v="1"/>
    <s v="DK2_MedSmall"/>
    <x v="0"/>
    <x v="4"/>
    <n v="0"/>
    <n v="0"/>
  </r>
  <r>
    <x v="0"/>
    <x v="0"/>
    <x v="0"/>
    <x v="0"/>
    <x v="1"/>
    <s v="DK2_MedSmall"/>
    <x v="0"/>
    <x v="5"/>
    <n v="0"/>
    <n v="0"/>
  </r>
  <r>
    <x v="0"/>
    <x v="0"/>
    <x v="0"/>
    <x v="0"/>
    <x v="1"/>
    <s v="DK2_MedSmall"/>
    <x v="0"/>
    <x v="6"/>
    <n v="0"/>
    <n v="0"/>
  </r>
  <r>
    <x v="0"/>
    <x v="0"/>
    <x v="0"/>
    <x v="0"/>
    <x v="1"/>
    <s v="DK2_MedSmall"/>
    <x v="0"/>
    <x v="7"/>
    <n v="236.56474122108401"/>
    <n v="851.633068395902"/>
  </r>
  <r>
    <x v="0"/>
    <x v="0"/>
    <x v="0"/>
    <x v="0"/>
    <x v="1"/>
    <s v="DK2_MedSmall"/>
    <x v="0"/>
    <x v="8"/>
    <n v="387.06890337082501"/>
    <n v="1393.4480521349701"/>
  </r>
  <r>
    <x v="0"/>
    <x v="0"/>
    <x v="0"/>
    <x v="0"/>
    <x v="1"/>
    <s v="DK2_MedSmall"/>
    <x v="0"/>
    <x v="9"/>
    <n v="524.71343876277899"/>
    <n v="1888.9683795460101"/>
  </r>
  <r>
    <x v="0"/>
    <x v="0"/>
    <x v="0"/>
    <x v="0"/>
    <x v="1"/>
    <s v="DK2_MedSmall"/>
    <x v="0"/>
    <x v="10"/>
    <n v="664.00664425188597"/>
    <n v="2390.4239193067901"/>
  </r>
  <r>
    <x v="0"/>
    <x v="0"/>
    <x v="0"/>
    <x v="0"/>
    <x v="1"/>
    <s v="DK2_MedSmall"/>
    <x v="0"/>
    <x v="11"/>
    <n v="800.332243566118"/>
    <n v="2881.19607683803"/>
  </r>
  <r>
    <x v="0"/>
    <x v="0"/>
    <x v="0"/>
    <x v="0"/>
    <x v="1"/>
    <s v="DK2_MedSmall"/>
    <x v="0"/>
    <x v="12"/>
    <n v="939.62544905522498"/>
    <n v="3382.6516165988101"/>
  </r>
  <r>
    <x v="0"/>
    <x v="0"/>
    <x v="0"/>
    <x v="0"/>
    <x v="1"/>
    <s v="DK2_MedSmall"/>
    <x v="0"/>
    <x v="13"/>
    <n v="515.79720313102098"/>
    <n v="1856.8699312716799"/>
  </r>
  <r>
    <x v="0"/>
    <x v="0"/>
    <x v="0"/>
    <x v="0"/>
    <x v="1"/>
    <s v="DK2_MedSmall"/>
    <x v="0"/>
    <x v="14"/>
    <n v="268.71779936805501"/>
    <n v="967.38407772499795"/>
  </r>
  <r>
    <x v="0"/>
    <x v="0"/>
    <x v="0"/>
    <x v="0"/>
    <x v="1"/>
    <s v="DK2_MedSmall"/>
    <x v="0"/>
    <x v="15"/>
    <n v="434.05999239216601"/>
    <n v="1562.6159726118001"/>
  </r>
  <r>
    <x v="0"/>
    <x v="0"/>
    <x v="0"/>
    <x v="0"/>
    <x v="1"/>
    <s v="DK2_MedSmall"/>
    <x v="0"/>
    <x v="16"/>
    <n v="594.45617512481999"/>
    <n v="2140.04223044935"/>
  </r>
  <r>
    <x v="0"/>
    <x v="0"/>
    <x v="0"/>
    <x v="0"/>
    <x v="1"/>
    <s v="DK2_MedSmall"/>
    <x v="0"/>
    <x v="17"/>
    <n v="751.88475168260004"/>
    <n v="2706.7851060573598"/>
  </r>
  <r>
    <x v="0"/>
    <x v="0"/>
    <x v="0"/>
    <x v="0"/>
    <x v="1"/>
    <s v="DK2_MedSmall"/>
    <x v="0"/>
    <x v="18"/>
    <n v="900.41050971575896"/>
    <n v="3241.4778349767298"/>
  </r>
  <r>
    <x v="0"/>
    <x v="0"/>
    <x v="0"/>
    <x v="0"/>
    <x v="1"/>
    <s v="DK2_MedSmall"/>
    <x v="0"/>
    <x v="19"/>
    <n v="1050.2552038266399"/>
    <n v="3780.9187337758999"/>
  </r>
  <r>
    <x v="0"/>
    <x v="0"/>
    <x v="0"/>
    <x v="0"/>
    <x v="1"/>
    <s v="DK2_MedSmall"/>
    <x v="0"/>
    <x v="20"/>
    <n v="1213.61899273417"/>
    <n v="4369.0283738429998"/>
  </r>
  <r>
    <x v="0"/>
    <x v="0"/>
    <x v="0"/>
    <x v="0"/>
    <x v="1"/>
    <s v="DK2_MedSmall"/>
    <x v="0"/>
    <x v="21"/>
    <n v="1213.61899273417"/>
    <n v="4369.0283738429998"/>
  </r>
  <r>
    <x v="0"/>
    <x v="0"/>
    <x v="0"/>
    <x v="0"/>
    <x v="1"/>
    <s v="DK2_MedSmall"/>
    <x v="0"/>
    <x v="22"/>
    <n v="1141.6179325427699"/>
    <n v="4109.8245571539801"/>
  </r>
  <r>
    <x v="0"/>
    <x v="0"/>
    <x v="0"/>
    <x v="0"/>
    <x v="1"/>
    <s v="DK2_MedSmall"/>
    <x v="0"/>
    <x v="23"/>
    <n v="882.37891138811096"/>
    <n v="3176.5640809972001"/>
  </r>
  <r>
    <x v="0"/>
    <x v="0"/>
    <x v="0"/>
    <x v="0"/>
    <x v="1"/>
    <s v="DK2_Medium"/>
    <x v="0"/>
    <x v="0"/>
    <n v="52.430730300961599"/>
    <n v="188.750629083462"/>
  </r>
  <r>
    <x v="0"/>
    <x v="0"/>
    <x v="0"/>
    <x v="0"/>
    <x v="1"/>
    <s v="DK2_Medium"/>
    <x v="0"/>
    <x v="1"/>
    <n v="154.93391205958301"/>
    <n v="557.76208341449797"/>
  </r>
  <r>
    <x v="0"/>
    <x v="0"/>
    <x v="0"/>
    <x v="0"/>
    <x v="1"/>
    <s v="DK2_Medium"/>
    <x v="0"/>
    <x v="2"/>
    <n v="289.67138252586898"/>
    <n v="1042.8169770931299"/>
  </r>
  <r>
    <x v="0"/>
    <x v="0"/>
    <x v="0"/>
    <x v="0"/>
    <x v="1"/>
    <s v="DK2_Medium"/>
    <x v="0"/>
    <x v="3"/>
    <n v="428.70675815317702"/>
    <n v="1543.3443293514399"/>
  </r>
  <r>
    <x v="0"/>
    <x v="0"/>
    <x v="0"/>
    <x v="0"/>
    <x v="1"/>
    <s v="DK2_Medium"/>
    <x v="0"/>
    <x v="4"/>
    <n v="580.63584926355099"/>
    <n v="2090.2890573487798"/>
  </r>
  <r>
    <x v="0"/>
    <x v="0"/>
    <x v="0"/>
    <x v="0"/>
    <x v="1"/>
    <s v="DK2_Medium"/>
    <x v="0"/>
    <x v="5"/>
    <n v="711.07541456881495"/>
    <n v="2559.8714924477299"/>
  </r>
  <r>
    <x v="0"/>
    <x v="0"/>
    <x v="0"/>
    <x v="0"/>
    <x v="1"/>
    <s v="DK2_Medium"/>
    <x v="0"/>
    <x v="6"/>
    <n v="690.58721808678604"/>
    <n v="2486.1139851124299"/>
  </r>
  <r>
    <x v="0"/>
    <x v="0"/>
    <x v="0"/>
    <x v="0"/>
    <x v="1"/>
    <s v="DK2_Medium"/>
    <x v="0"/>
    <x v="7"/>
    <n v="842.51630919716001"/>
    <n v="3033.05871310978"/>
  </r>
  <r>
    <x v="0"/>
    <x v="0"/>
    <x v="0"/>
    <x v="0"/>
    <x v="1"/>
    <s v="DK2_Medium"/>
    <x v="0"/>
    <x v="8"/>
    <n v="955.00273498318995"/>
    <n v="3438.0098459394899"/>
  </r>
  <r>
    <x v="0"/>
    <x v="0"/>
    <x v="0"/>
    <x v="0"/>
    <x v="1"/>
    <s v="DK2_Medium"/>
    <x v="0"/>
    <x v="9"/>
    <n v="1033.10591948104"/>
    <n v="3719.1813101317598"/>
  </r>
  <r>
    <x v="0"/>
    <x v="0"/>
    <x v="0"/>
    <x v="0"/>
    <x v="1"/>
    <s v="DK2_Medium"/>
    <x v="0"/>
    <x v="10"/>
    <n v="1102.6132936568499"/>
    <n v="3969.4078571646801"/>
  </r>
  <r>
    <x v="0"/>
    <x v="0"/>
    <x v="0"/>
    <x v="0"/>
    <x v="1"/>
    <s v="DK2_Medium"/>
    <x v="0"/>
    <x v="11"/>
    <n v="1154.9290471885799"/>
    <n v="4157.7445698788697"/>
  </r>
  <r>
    <x v="0"/>
    <x v="0"/>
    <x v="0"/>
    <x v="0"/>
    <x v="1"/>
    <s v="DK2_Medium"/>
    <x v="0"/>
    <x v="12"/>
    <n v="827.84823347693396"/>
    <n v="2980.2536405169599"/>
  </r>
  <r>
    <x v="0"/>
    <x v="0"/>
    <x v="0"/>
    <x v="0"/>
    <x v="1"/>
    <s v="DK2_Medium"/>
    <x v="0"/>
    <x v="13"/>
    <n v="529.34848908608899"/>
    <n v="1905.6545607099199"/>
  </r>
  <r>
    <x v="0"/>
    <x v="0"/>
    <x v="0"/>
    <x v="0"/>
    <x v="1"/>
    <s v="DK2_Medium"/>
    <x v="0"/>
    <x v="14"/>
    <n v="279.84486353089397"/>
    <n v="1007.44150871122"/>
  </r>
  <r>
    <x v="0"/>
    <x v="0"/>
    <x v="0"/>
    <x v="0"/>
    <x v="1"/>
    <s v="DK2_Medium"/>
    <x v="0"/>
    <x v="15"/>
    <n v="405.22500479998899"/>
    <n v="1458.81001727996"/>
  </r>
  <r>
    <x v="0"/>
    <x v="0"/>
    <x v="0"/>
    <x v="0"/>
    <x v="1"/>
    <s v="DK2_Medium"/>
    <x v="0"/>
    <x v="16"/>
    <n v="519.86038316653003"/>
    <n v="1871.49737939951"/>
  </r>
  <r>
    <x v="0"/>
    <x v="0"/>
    <x v="0"/>
    <x v="0"/>
    <x v="1"/>
    <s v="DK2_Medium"/>
    <x v="0"/>
    <x v="17"/>
    <n v="621.60204605000501"/>
    <n v="2237.7673657800201"/>
  </r>
  <r>
    <x v="0"/>
    <x v="0"/>
    <x v="0"/>
    <x v="0"/>
    <x v="1"/>
    <s v="DK2_Medium"/>
    <x v="0"/>
    <x v="18"/>
    <n v="684.66256248428203"/>
    <n v="2464.78522494342"/>
  </r>
  <r>
    <x v="0"/>
    <x v="0"/>
    <x v="0"/>
    <x v="0"/>
    <x v="1"/>
    <s v="DK2_Medium"/>
    <x v="0"/>
    <x v="19"/>
    <n v="711.97091995635003"/>
    <n v="2563.0953118428602"/>
  </r>
  <r>
    <x v="0"/>
    <x v="0"/>
    <x v="0"/>
    <x v="0"/>
    <x v="1"/>
    <s v="DK2_Medium"/>
    <x v="0"/>
    <x v="20"/>
    <n v="399.18064090510597"/>
    <n v="1437.0503072583799"/>
  </r>
  <r>
    <x v="0"/>
    <x v="0"/>
    <x v="0"/>
    <x v="0"/>
    <x v="1"/>
    <s v="DK2_Medium"/>
    <x v="0"/>
    <x v="21"/>
    <n v="101.047771021057"/>
    <n v="363.77197567580498"/>
  </r>
  <r>
    <x v="0"/>
    <x v="0"/>
    <x v="0"/>
    <x v="0"/>
    <x v="1"/>
    <s v="DK2_Medium"/>
    <x v="0"/>
    <x v="22"/>
    <n v="0"/>
    <n v="0"/>
  </r>
  <r>
    <x v="0"/>
    <x v="0"/>
    <x v="0"/>
    <x v="0"/>
    <x v="1"/>
    <s v="DK2_Medium"/>
    <x v="0"/>
    <x v="23"/>
    <n v="3.65136305511533"/>
    <n v="13.1449069984152"/>
  </r>
  <r>
    <x v="0"/>
    <x v="0"/>
    <x v="0"/>
    <x v="0"/>
    <x v="1"/>
    <s v="DK2_Rural"/>
    <x v="0"/>
    <x v="0"/>
    <n v="169.24762606247"/>
    <n v="609.29145382489401"/>
  </r>
  <r>
    <x v="0"/>
    <x v="0"/>
    <x v="0"/>
    <x v="0"/>
    <x v="1"/>
    <s v="DK2_Rural"/>
    <x v="0"/>
    <x v="1"/>
    <n v="503.22161525149397"/>
    <n v="1811.5978149053799"/>
  </r>
  <r>
    <x v="0"/>
    <x v="0"/>
    <x v="0"/>
    <x v="0"/>
    <x v="1"/>
    <s v="DK2_Rural"/>
    <x v="0"/>
    <x v="2"/>
    <n v="857.45229186532902"/>
    <n v="3086.8282507151798"/>
  </r>
  <r>
    <x v="0"/>
    <x v="0"/>
    <x v="0"/>
    <x v="0"/>
    <x v="1"/>
    <s v="DK2_Rural"/>
    <x v="0"/>
    <x v="3"/>
    <n v="1211.6829684791601"/>
    <n v="4362.0586865249898"/>
  </r>
  <r>
    <x v="0"/>
    <x v="0"/>
    <x v="0"/>
    <x v="0"/>
    <x v="1"/>
    <s v="DK2_Rural"/>
    <x v="0"/>
    <x v="4"/>
    <n v="1565.913645093"/>
    <n v="5637.2891223347897"/>
  </r>
  <r>
    <x v="0"/>
    <x v="0"/>
    <x v="0"/>
    <x v="0"/>
    <x v="1"/>
    <s v="DK2_Rural"/>
    <x v="0"/>
    <x v="5"/>
    <n v="1920.1443217068299"/>
    <n v="6912.5195581445996"/>
  </r>
  <r>
    <x v="0"/>
    <x v="0"/>
    <x v="0"/>
    <x v="0"/>
    <x v="1"/>
    <s v="DK2_Rural"/>
    <x v="0"/>
    <x v="6"/>
    <n v="2080.4895615403402"/>
    <n v="7489.7624215452097"/>
  </r>
  <r>
    <x v="0"/>
    <x v="0"/>
    <x v="0"/>
    <x v="0"/>
    <x v="1"/>
    <s v="DK2_Rural"/>
    <x v="0"/>
    <x v="7"/>
    <n v="2080.4895615403402"/>
    <n v="7489.7624215452097"/>
  </r>
  <r>
    <x v="0"/>
    <x v="0"/>
    <x v="0"/>
    <x v="0"/>
    <x v="1"/>
    <s v="DK2_Rural"/>
    <x v="0"/>
    <x v="8"/>
    <n v="2080.4895615403402"/>
    <n v="7489.7624215452097"/>
  </r>
  <r>
    <x v="0"/>
    <x v="0"/>
    <x v="0"/>
    <x v="0"/>
    <x v="1"/>
    <s v="DK2_Rural"/>
    <x v="0"/>
    <x v="9"/>
    <n v="2080.4895615403402"/>
    <n v="7489.7624215452097"/>
  </r>
  <r>
    <x v="0"/>
    <x v="0"/>
    <x v="0"/>
    <x v="0"/>
    <x v="1"/>
    <s v="DK2_Rural"/>
    <x v="0"/>
    <x v="10"/>
    <n v="2080.4895615403402"/>
    <n v="7489.7624215452097"/>
  </r>
  <r>
    <x v="0"/>
    <x v="0"/>
    <x v="0"/>
    <x v="0"/>
    <x v="1"/>
    <s v="DK2_Rural"/>
    <x v="0"/>
    <x v="11"/>
    <n v="1595.8386624576699"/>
    <n v="5745.0191848476097"/>
  </r>
  <r>
    <x v="0"/>
    <x v="0"/>
    <x v="0"/>
    <x v="0"/>
    <x v="1"/>
    <s v="DK2_Rural"/>
    <x v="0"/>
    <x v="12"/>
    <n v="1049.12905074897"/>
    <n v="3776.8645826963002"/>
  </r>
  <r>
    <x v="0"/>
    <x v="0"/>
    <x v="0"/>
    <x v="0"/>
    <x v="1"/>
    <s v="DK2_Rural"/>
    <x v="0"/>
    <x v="13"/>
    <n v="891.60554140387103"/>
    <n v="3209.7799490539301"/>
  </r>
  <r>
    <x v="0"/>
    <x v="0"/>
    <x v="0"/>
    <x v="0"/>
    <x v="1"/>
    <s v="DK2_Rural"/>
    <x v="0"/>
    <x v="14"/>
    <n v="771.70159441913302"/>
    <n v="2778.12573990888"/>
  </r>
  <r>
    <x v="0"/>
    <x v="0"/>
    <x v="0"/>
    <x v="0"/>
    <x v="1"/>
    <s v="DK2_Rural"/>
    <x v="0"/>
    <x v="15"/>
    <n v="702.56731103139396"/>
    <n v="2529.2423197130202"/>
  </r>
  <r>
    <x v="0"/>
    <x v="0"/>
    <x v="0"/>
    <x v="0"/>
    <x v="1"/>
    <s v="DK2_Rural"/>
    <x v="0"/>
    <x v="16"/>
    <n v="618.96396519736197"/>
    <n v="2228.2702747105"/>
  </r>
  <r>
    <x v="0"/>
    <x v="0"/>
    <x v="0"/>
    <x v="0"/>
    <x v="1"/>
    <s v="DK2_Rural"/>
    <x v="0"/>
    <x v="17"/>
    <n v="526.67918189555496"/>
    <n v="1896.0450548240001"/>
  </r>
  <r>
    <x v="0"/>
    <x v="0"/>
    <x v="0"/>
    <x v="0"/>
    <x v="1"/>
    <s v="DK2_Rural"/>
    <x v="0"/>
    <x v="18"/>
    <n v="412.88690607784798"/>
    <n v="1486.3928618802499"/>
  </r>
  <r>
    <x v="0"/>
    <x v="0"/>
    <x v="0"/>
    <x v="0"/>
    <x v="1"/>
    <s v="DK2_Rural"/>
    <x v="0"/>
    <x v="19"/>
    <n v="232.21289681867901"/>
    <n v="835.96642854724303"/>
  </r>
  <r>
    <x v="0"/>
    <x v="0"/>
    <x v="0"/>
    <x v="0"/>
    <x v="1"/>
    <s v="DK2_Rural"/>
    <x v="0"/>
    <x v="20"/>
    <n v="91.087658246043901"/>
    <n v="327.91556968575799"/>
  </r>
  <r>
    <x v="0"/>
    <x v="0"/>
    <x v="0"/>
    <x v="0"/>
    <x v="1"/>
    <s v="DK2_Rural"/>
    <x v="0"/>
    <x v="21"/>
    <n v="24.236940231048301"/>
    <n v="87.252984831774"/>
  </r>
  <r>
    <x v="0"/>
    <x v="0"/>
    <x v="0"/>
    <x v="0"/>
    <x v="1"/>
    <s v="DK2_Rural"/>
    <x v="0"/>
    <x v="22"/>
    <n v="0"/>
    <n v="0"/>
  </r>
  <r>
    <x v="0"/>
    <x v="0"/>
    <x v="0"/>
    <x v="0"/>
    <x v="1"/>
    <s v="DK2_Rural"/>
    <x v="0"/>
    <x v="23"/>
    <n v="55.203386057105398"/>
    <n v="198.732189805579"/>
  </r>
  <r>
    <x v="0"/>
    <x v="0"/>
    <x v="0"/>
    <x v="0"/>
    <x v="1"/>
    <s v="DK2_Small"/>
    <x v="0"/>
    <x v="0"/>
    <n v="66.510770526379503"/>
    <n v="239.438773894966"/>
  </r>
  <r>
    <x v="0"/>
    <x v="0"/>
    <x v="0"/>
    <x v="0"/>
    <x v="1"/>
    <s v="DK2_Small"/>
    <x v="0"/>
    <x v="1"/>
    <n v="113.41657829734601"/>
    <n v="408.299681870445"/>
  </r>
  <r>
    <x v="0"/>
    <x v="0"/>
    <x v="0"/>
    <x v="0"/>
    <x v="1"/>
    <s v="DK2_Small"/>
    <x v="0"/>
    <x v="2"/>
    <n v="161.21938956353401"/>
    <n v="580.38980242872299"/>
  </r>
  <r>
    <x v="0"/>
    <x v="0"/>
    <x v="0"/>
    <x v="0"/>
    <x v="1"/>
    <s v="DK2_Small"/>
    <x v="0"/>
    <x v="3"/>
    <n v="209.83765855265099"/>
    <n v="755.41557078954395"/>
  </r>
  <r>
    <x v="0"/>
    <x v="0"/>
    <x v="0"/>
    <x v="0"/>
    <x v="1"/>
    <s v="DK2_Small"/>
    <x v="0"/>
    <x v="4"/>
    <n v="257.23274095737497"/>
    <n v="926.03786744654997"/>
  </r>
  <r>
    <x v="0"/>
    <x v="0"/>
    <x v="0"/>
    <x v="0"/>
    <x v="1"/>
    <s v="DK2_Small"/>
    <x v="0"/>
    <x v="5"/>
    <n v="303.73081986687703"/>
    <n v="1093.4309515207599"/>
  </r>
  <r>
    <x v="0"/>
    <x v="0"/>
    <x v="0"/>
    <x v="0"/>
    <x v="1"/>
    <s v="DK2_Small"/>
    <x v="0"/>
    <x v="6"/>
    <n v="335.958388625125"/>
    <n v="1209.45019905045"/>
  </r>
  <r>
    <x v="0"/>
    <x v="0"/>
    <x v="0"/>
    <x v="0"/>
    <x v="1"/>
    <s v="DK2_Small"/>
    <x v="0"/>
    <x v="7"/>
    <n v="332.46890911909202"/>
    <n v="1196.8880728287299"/>
  </r>
  <r>
    <x v="0"/>
    <x v="0"/>
    <x v="0"/>
    <x v="0"/>
    <x v="1"/>
    <s v="DK2_Small"/>
    <x v="0"/>
    <x v="8"/>
    <n v="307.695983044618"/>
    <n v="1107.7055389606301"/>
  </r>
  <r>
    <x v="0"/>
    <x v="0"/>
    <x v="0"/>
    <x v="0"/>
    <x v="1"/>
    <s v="DK2_Small"/>
    <x v="0"/>
    <x v="9"/>
    <n v="279.74277185072202"/>
    <n v="1007.0739786626"/>
  </r>
  <r>
    <x v="0"/>
    <x v="0"/>
    <x v="0"/>
    <x v="0"/>
    <x v="1"/>
    <s v="DK2_Small"/>
    <x v="0"/>
    <x v="10"/>
    <n v="252.19728951828901"/>
    <n v="907.91024226584204"/>
  </r>
  <r>
    <x v="0"/>
    <x v="0"/>
    <x v="0"/>
    <x v="0"/>
    <x v="1"/>
    <s v="DK2_Small"/>
    <x v="0"/>
    <x v="11"/>
    <n v="223.91789523522101"/>
    <n v="806.10442284679698"/>
  </r>
  <r>
    <x v="0"/>
    <x v="0"/>
    <x v="0"/>
    <x v="0"/>
    <x v="1"/>
    <s v="DK2_Small"/>
    <x v="0"/>
    <x v="12"/>
    <n v="196.37241290278899"/>
    <n v="706.94068645004097"/>
  </r>
  <r>
    <x v="0"/>
    <x v="0"/>
    <x v="0"/>
    <x v="0"/>
    <x v="1"/>
    <s v="DK2_Small"/>
    <x v="0"/>
    <x v="13"/>
    <n v="173.393493818758"/>
    <n v="624.21657774752896"/>
  </r>
  <r>
    <x v="0"/>
    <x v="0"/>
    <x v="0"/>
    <x v="0"/>
    <x v="1"/>
    <s v="DK2_Small"/>
    <x v="0"/>
    <x v="14"/>
    <n v="153.59485985414901"/>
    <n v="552.94149547493805"/>
  </r>
  <r>
    <x v="0"/>
    <x v="0"/>
    <x v="0"/>
    <x v="0"/>
    <x v="1"/>
    <s v="DK2_Small"/>
    <x v="0"/>
    <x v="15"/>
    <n v="132.491493532855"/>
    <n v="476.96937671827698"/>
  </r>
  <r>
    <x v="0"/>
    <x v="0"/>
    <x v="0"/>
    <x v="0"/>
    <x v="1"/>
    <s v="DK2_Small"/>
    <x v="0"/>
    <x v="16"/>
    <n v="110.164940627167"/>
    <n v="396.59378625780198"/>
  </r>
  <r>
    <x v="0"/>
    <x v="0"/>
    <x v="0"/>
    <x v="0"/>
    <x v="1"/>
    <s v="DK2_Small"/>
    <x v="0"/>
    <x v="17"/>
    <n v="87.104475770843194"/>
    <n v="313.57611277503599"/>
  </r>
  <r>
    <x v="0"/>
    <x v="0"/>
    <x v="0"/>
    <x v="0"/>
    <x v="1"/>
    <s v="DK2_Small"/>
    <x v="0"/>
    <x v="18"/>
    <n v="61.842275062611897"/>
    <n v="222.63219022540301"/>
  </r>
  <r>
    <x v="0"/>
    <x v="0"/>
    <x v="0"/>
    <x v="0"/>
    <x v="1"/>
    <s v="DK2_Small"/>
    <x v="0"/>
    <x v="19"/>
    <n v="36.906257443551603"/>
    <n v="132.862526796786"/>
  </r>
  <r>
    <x v="0"/>
    <x v="0"/>
    <x v="0"/>
    <x v="0"/>
    <x v="1"/>
    <s v="DK2_Small"/>
    <x v="0"/>
    <x v="20"/>
    <n v="15.313616488500401"/>
    <n v="55.129019358601496"/>
  </r>
  <r>
    <x v="0"/>
    <x v="0"/>
    <x v="0"/>
    <x v="0"/>
    <x v="1"/>
    <s v="DK2_Small"/>
    <x v="0"/>
    <x v="21"/>
    <n v="0"/>
    <n v="0"/>
  </r>
  <r>
    <x v="0"/>
    <x v="0"/>
    <x v="0"/>
    <x v="0"/>
    <x v="1"/>
    <s v="DK2_Small"/>
    <x v="0"/>
    <x v="22"/>
    <n v="14.858319259864899"/>
    <n v="53.489949335513501"/>
  </r>
  <r>
    <x v="0"/>
    <x v="0"/>
    <x v="0"/>
    <x v="0"/>
    <x v="1"/>
    <s v="DK2_Small"/>
    <x v="0"/>
    <x v="23"/>
    <n v="38.197398838189201"/>
    <n v="137.51063581748099"/>
  </r>
  <r>
    <x v="0"/>
    <x v="0"/>
    <x v="0"/>
    <x v="1"/>
    <x v="2"/>
    <s v="EE_A"/>
    <x v="0"/>
    <x v="0"/>
    <n v="0"/>
    <n v="0"/>
  </r>
  <r>
    <x v="0"/>
    <x v="0"/>
    <x v="0"/>
    <x v="1"/>
    <x v="2"/>
    <s v="EE_A"/>
    <x v="0"/>
    <x v="1"/>
    <n v="0"/>
    <n v="0"/>
  </r>
  <r>
    <x v="0"/>
    <x v="0"/>
    <x v="0"/>
    <x v="1"/>
    <x v="2"/>
    <s v="EE_A"/>
    <x v="0"/>
    <x v="2"/>
    <n v="0"/>
    <n v="0"/>
  </r>
  <r>
    <x v="0"/>
    <x v="0"/>
    <x v="0"/>
    <x v="1"/>
    <x v="2"/>
    <s v="EE_A"/>
    <x v="0"/>
    <x v="3"/>
    <n v="0"/>
    <n v="0"/>
  </r>
  <r>
    <x v="0"/>
    <x v="0"/>
    <x v="0"/>
    <x v="1"/>
    <x v="2"/>
    <s v="EE_A"/>
    <x v="0"/>
    <x v="4"/>
    <n v="0"/>
    <n v="0"/>
  </r>
  <r>
    <x v="0"/>
    <x v="0"/>
    <x v="0"/>
    <x v="1"/>
    <x v="2"/>
    <s v="EE_A"/>
    <x v="0"/>
    <x v="5"/>
    <n v="0"/>
    <n v="0"/>
  </r>
  <r>
    <x v="0"/>
    <x v="0"/>
    <x v="0"/>
    <x v="1"/>
    <x v="2"/>
    <s v="EE_A"/>
    <x v="0"/>
    <x v="6"/>
    <n v="0"/>
    <n v="0"/>
  </r>
  <r>
    <x v="0"/>
    <x v="0"/>
    <x v="0"/>
    <x v="1"/>
    <x v="2"/>
    <s v="EE_A"/>
    <x v="0"/>
    <x v="7"/>
    <n v="0"/>
    <n v="0"/>
  </r>
  <r>
    <x v="0"/>
    <x v="0"/>
    <x v="0"/>
    <x v="1"/>
    <x v="2"/>
    <s v="EE_A"/>
    <x v="0"/>
    <x v="8"/>
    <n v="0"/>
    <n v="0"/>
  </r>
  <r>
    <x v="0"/>
    <x v="0"/>
    <x v="0"/>
    <x v="1"/>
    <x v="2"/>
    <s v="EE_A"/>
    <x v="0"/>
    <x v="9"/>
    <n v="0"/>
    <n v="0"/>
  </r>
  <r>
    <x v="0"/>
    <x v="0"/>
    <x v="0"/>
    <x v="1"/>
    <x v="2"/>
    <s v="EE_A"/>
    <x v="0"/>
    <x v="10"/>
    <n v="0"/>
    <n v="0"/>
  </r>
  <r>
    <x v="0"/>
    <x v="0"/>
    <x v="0"/>
    <x v="1"/>
    <x v="2"/>
    <s v="EE_A"/>
    <x v="0"/>
    <x v="11"/>
    <n v="0"/>
    <n v="0"/>
  </r>
  <r>
    <x v="0"/>
    <x v="0"/>
    <x v="0"/>
    <x v="1"/>
    <x v="2"/>
    <s v="EE_A"/>
    <x v="0"/>
    <x v="12"/>
    <n v="0"/>
    <n v="0"/>
  </r>
  <r>
    <x v="0"/>
    <x v="0"/>
    <x v="0"/>
    <x v="1"/>
    <x v="2"/>
    <s v="EE_A"/>
    <x v="0"/>
    <x v="13"/>
    <n v="0"/>
    <n v="0"/>
  </r>
  <r>
    <x v="0"/>
    <x v="0"/>
    <x v="0"/>
    <x v="1"/>
    <x v="2"/>
    <s v="EE_A"/>
    <x v="0"/>
    <x v="14"/>
    <n v="0"/>
    <n v="0"/>
  </r>
  <r>
    <x v="0"/>
    <x v="0"/>
    <x v="0"/>
    <x v="1"/>
    <x v="2"/>
    <s v="EE_A"/>
    <x v="0"/>
    <x v="15"/>
    <n v="0"/>
    <n v="0"/>
  </r>
  <r>
    <x v="0"/>
    <x v="0"/>
    <x v="0"/>
    <x v="1"/>
    <x v="2"/>
    <s v="EE_A"/>
    <x v="0"/>
    <x v="16"/>
    <n v="0"/>
    <n v="0"/>
  </r>
  <r>
    <x v="0"/>
    <x v="0"/>
    <x v="0"/>
    <x v="1"/>
    <x v="2"/>
    <s v="EE_A"/>
    <x v="0"/>
    <x v="17"/>
    <n v="0"/>
    <n v="0"/>
  </r>
  <r>
    <x v="0"/>
    <x v="0"/>
    <x v="0"/>
    <x v="1"/>
    <x v="2"/>
    <s v="EE_A"/>
    <x v="0"/>
    <x v="18"/>
    <n v="0"/>
    <n v="0"/>
  </r>
  <r>
    <x v="0"/>
    <x v="0"/>
    <x v="0"/>
    <x v="1"/>
    <x v="2"/>
    <s v="EE_A"/>
    <x v="0"/>
    <x v="19"/>
    <n v="0"/>
    <n v="0"/>
  </r>
  <r>
    <x v="0"/>
    <x v="0"/>
    <x v="0"/>
    <x v="1"/>
    <x v="2"/>
    <s v="EE_A"/>
    <x v="0"/>
    <x v="20"/>
    <n v="0"/>
    <n v="0"/>
  </r>
  <r>
    <x v="0"/>
    <x v="0"/>
    <x v="0"/>
    <x v="1"/>
    <x v="2"/>
    <s v="EE_A"/>
    <x v="0"/>
    <x v="21"/>
    <n v="0"/>
    <n v="0"/>
  </r>
  <r>
    <x v="0"/>
    <x v="0"/>
    <x v="0"/>
    <x v="1"/>
    <x v="2"/>
    <s v="EE_A"/>
    <x v="0"/>
    <x v="22"/>
    <n v="0"/>
    <n v="0"/>
  </r>
  <r>
    <x v="0"/>
    <x v="0"/>
    <x v="0"/>
    <x v="1"/>
    <x v="2"/>
    <s v="EE_A"/>
    <x v="0"/>
    <x v="23"/>
    <n v="0"/>
    <n v="0"/>
  </r>
  <r>
    <x v="0"/>
    <x v="0"/>
    <x v="0"/>
    <x v="1"/>
    <x v="2"/>
    <s v="EE_Industry"/>
    <x v="0"/>
    <x v="0"/>
    <n v="1579.7388463304401"/>
    <n v="5687.0598467895697"/>
  </r>
  <r>
    <x v="0"/>
    <x v="0"/>
    <x v="0"/>
    <x v="1"/>
    <x v="2"/>
    <s v="EE_Industry"/>
    <x v="0"/>
    <x v="1"/>
    <n v="1349.7953390494699"/>
    <n v="4859.2632205780801"/>
  </r>
  <r>
    <x v="0"/>
    <x v="0"/>
    <x v="0"/>
    <x v="1"/>
    <x v="2"/>
    <s v="EE_Industry"/>
    <x v="0"/>
    <x v="2"/>
    <n v="1117.40131241372"/>
    <n v="4022.6447246893799"/>
  </r>
  <r>
    <x v="0"/>
    <x v="0"/>
    <x v="0"/>
    <x v="1"/>
    <x v="2"/>
    <s v="EE_Industry"/>
    <x v="0"/>
    <x v="3"/>
    <n v="884.24149847960098"/>
    <n v="3183.2693945265701"/>
  </r>
  <r>
    <x v="0"/>
    <x v="0"/>
    <x v="0"/>
    <x v="1"/>
    <x v="2"/>
    <s v="EE_Industry"/>
    <x v="0"/>
    <x v="4"/>
    <n v="653.37904644058995"/>
    <n v="2352.1645671861202"/>
  </r>
  <r>
    <x v="0"/>
    <x v="0"/>
    <x v="0"/>
    <x v="1"/>
    <x v="2"/>
    <s v="EE_Industry"/>
    <x v="0"/>
    <x v="5"/>
    <n v="427.57079057080801"/>
    <n v="1539.2548460549101"/>
  </r>
  <r>
    <x v="0"/>
    <x v="0"/>
    <x v="0"/>
    <x v="1"/>
    <x v="2"/>
    <s v="EE_Industry"/>
    <x v="0"/>
    <x v="6"/>
    <n v="209.11409276535801"/>
    <n v="752.81073395528801"/>
  </r>
  <r>
    <x v="0"/>
    <x v="0"/>
    <x v="0"/>
    <x v="1"/>
    <x v="2"/>
    <s v="EE_Industry"/>
    <x v="0"/>
    <x v="7"/>
    <n v="0"/>
    <n v="0"/>
  </r>
  <r>
    <x v="0"/>
    <x v="0"/>
    <x v="0"/>
    <x v="1"/>
    <x v="2"/>
    <s v="EE_Industry"/>
    <x v="0"/>
    <x v="8"/>
    <n v="245.69299808712501"/>
    <n v="884.49479311364803"/>
  </r>
  <r>
    <x v="0"/>
    <x v="0"/>
    <x v="0"/>
    <x v="1"/>
    <x v="2"/>
    <s v="EE_Industry"/>
    <x v="0"/>
    <x v="9"/>
    <n v="501.34123105303303"/>
    <n v="1804.8284317909199"/>
  </r>
  <r>
    <x v="0"/>
    <x v="0"/>
    <x v="0"/>
    <x v="1"/>
    <x v="2"/>
    <s v="EE_Industry"/>
    <x v="0"/>
    <x v="10"/>
    <n v="766.025754139686"/>
    <n v="2757.6927149028702"/>
  </r>
  <r>
    <x v="0"/>
    <x v="0"/>
    <x v="0"/>
    <x v="1"/>
    <x v="2"/>
    <s v="EE_Industry"/>
    <x v="0"/>
    <x v="11"/>
    <n v="1038.8276225890399"/>
    <n v="3739.7794413205402"/>
  </r>
  <r>
    <x v="0"/>
    <x v="0"/>
    <x v="0"/>
    <x v="1"/>
    <x v="2"/>
    <s v="EE_Industry"/>
    <x v="0"/>
    <x v="12"/>
    <n v="1318.3684192640301"/>
    <n v="4746.1263093505104"/>
  </r>
  <r>
    <x v="0"/>
    <x v="0"/>
    <x v="0"/>
    <x v="1"/>
    <x v="2"/>
    <s v="EE_Industry"/>
    <x v="0"/>
    <x v="13"/>
    <n v="1379.0616503321901"/>
    <n v="4964.62194119588"/>
  </r>
  <r>
    <x v="0"/>
    <x v="0"/>
    <x v="0"/>
    <x v="1"/>
    <x v="2"/>
    <s v="EE_Industry"/>
    <x v="0"/>
    <x v="14"/>
    <n v="1225.8500303477001"/>
    <n v="4413.06010925172"/>
  </r>
  <r>
    <x v="0"/>
    <x v="0"/>
    <x v="0"/>
    <x v="1"/>
    <x v="2"/>
    <s v="EE_Industry"/>
    <x v="0"/>
    <x v="15"/>
    <n v="1518.8686834739699"/>
    <n v="5467.9272605062997"/>
  </r>
  <r>
    <x v="0"/>
    <x v="0"/>
    <x v="0"/>
    <x v="1"/>
    <x v="2"/>
    <s v="EE_Industry"/>
    <x v="0"/>
    <x v="16"/>
    <n v="1814.03154103567"/>
    <n v="6530.5135477284302"/>
  </r>
  <r>
    <x v="0"/>
    <x v="0"/>
    <x v="0"/>
    <x v="1"/>
    <x v="2"/>
    <s v="EE_Industry"/>
    <x v="0"/>
    <x v="17"/>
    <n v="2111.0322881134598"/>
    <n v="7599.7162372084604"/>
  </r>
  <r>
    <x v="0"/>
    <x v="0"/>
    <x v="0"/>
    <x v="1"/>
    <x v="2"/>
    <s v="EE_Industry"/>
    <x v="0"/>
    <x v="18"/>
    <n v="2409.71776724766"/>
    <n v="8674.9839620915609"/>
  </r>
  <r>
    <x v="0"/>
    <x v="0"/>
    <x v="0"/>
    <x v="1"/>
    <x v="2"/>
    <s v="EE_Industry"/>
    <x v="0"/>
    <x v="19"/>
    <n v="2266.9208545209699"/>
    <n v="8160.9150762754998"/>
  </r>
  <r>
    <x v="0"/>
    <x v="0"/>
    <x v="0"/>
    <x v="1"/>
    <x v="2"/>
    <s v="EE_Industry"/>
    <x v="0"/>
    <x v="20"/>
    <n v="2126.2681462297201"/>
    <n v="7654.5653264269904"/>
  </r>
  <r>
    <x v="0"/>
    <x v="0"/>
    <x v="0"/>
    <x v="1"/>
    <x v="2"/>
    <s v="EE_Industry"/>
    <x v="0"/>
    <x v="21"/>
    <n v="1987.4533274545499"/>
    <n v="7154.8319788363897"/>
  </r>
  <r>
    <x v="0"/>
    <x v="0"/>
    <x v="0"/>
    <x v="1"/>
    <x v="2"/>
    <s v="EE_Industry"/>
    <x v="0"/>
    <x v="22"/>
    <n v="1850.47639819547"/>
    <n v="6661.7150335036804"/>
  </r>
  <r>
    <x v="0"/>
    <x v="0"/>
    <x v="0"/>
    <x v="1"/>
    <x v="2"/>
    <s v="EE_Industry"/>
    <x v="0"/>
    <x v="23"/>
    <n v="1714.8778860734401"/>
    <n v="6173.5603898644003"/>
  </r>
  <r>
    <x v="0"/>
    <x v="0"/>
    <x v="0"/>
    <x v="1"/>
    <x v="2"/>
    <s v="EE_Kohtla_Jarve"/>
    <x v="0"/>
    <x v="0"/>
    <n v="0"/>
    <n v="0"/>
  </r>
  <r>
    <x v="0"/>
    <x v="0"/>
    <x v="0"/>
    <x v="1"/>
    <x v="2"/>
    <s v="EE_Kohtla_Jarve"/>
    <x v="0"/>
    <x v="1"/>
    <n v="0"/>
    <n v="0"/>
  </r>
  <r>
    <x v="0"/>
    <x v="0"/>
    <x v="0"/>
    <x v="1"/>
    <x v="2"/>
    <s v="EE_Kohtla_Jarve"/>
    <x v="0"/>
    <x v="2"/>
    <n v="0"/>
    <n v="0"/>
  </r>
  <r>
    <x v="0"/>
    <x v="0"/>
    <x v="0"/>
    <x v="1"/>
    <x v="2"/>
    <s v="EE_Kohtla_Jarve"/>
    <x v="0"/>
    <x v="3"/>
    <n v="0"/>
    <n v="0"/>
  </r>
  <r>
    <x v="0"/>
    <x v="0"/>
    <x v="0"/>
    <x v="1"/>
    <x v="2"/>
    <s v="EE_Kohtla_Jarve"/>
    <x v="0"/>
    <x v="4"/>
    <n v="0"/>
    <n v="0"/>
  </r>
  <r>
    <x v="0"/>
    <x v="0"/>
    <x v="0"/>
    <x v="1"/>
    <x v="2"/>
    <s v="EE_Kohtla_Jarve"/>
    <x v="0"/>
    <x v="5"/>
    <n v="0"/>
    <n v="0"/>
  </r>
  <r>
    <x v="0"/>
    <x v="0"/>
    <x v="0"/>
    <x v="1"/>
    <x v="2"/>
    <s v="EE_Kohtla_Jarve"/>
    <x v="0"/>
    <x v="6"/>
    <n v="0"/>
    <n v="0"/>
  </r>
  <r>
    <x v="0"/>
    <x v="0"/>
    <x v="0"/>
    <x v="1"/>
    <x v="2"/>
    <s v="EE_Kohtla_Jarve"/>
    <x v="0"/>
    <x v="7"/>
    <n v="0"/>
    <n v="0"/>
  </r>
  <r>
    <x v="0"/>
    <x v="0"/>
    <x v="0"/>
    <x v="1"/>
    <x v="2"/>
    <s v="EE_Kohtla_Jarve"/>
    <x v="0"/>
    <x v="8"/>
    <n v="0"/>
    <n v="0"/>
  </r>
  <r>
    <x v="0"/>
    <x v="0"/>
    <x v="0"/>
    <x v="1"/>
    <x v="2"/>
    <s v="EE_Kohtla_Jarve"/>
    <x v="0"/>
    <x v="9"/>
    <n v="0"/>
    <n v="0"/>
  </r>
  <r>
    <x v="0"/>
    <x v="0"/>
    <x v="0"/>
    <x v="1"/>
    <x v="2"/>
    <s v="EE_Kohtla_Jarve"/>
    <x v="0"/>
    <x v="10"/>
    <n v="0"/>
    <n v="0"/>
  </r>
  <r>
    <x v="0"/>
    <x v="0"/>
    <x v="0"/>
    <x v="1"/>
    <x v="2"/>
    <s v="EE_Kohtla_Jarve"/>
    <x v="0"/>
    <x v="11"/>
    <n v="0"/>
    <n v="0"/>
  </r>
  <r>
    <x v="0"/>
    <x v="0"/>
    <x v="0"/>
    <x v="1"/>
    <x v="2"/>
    <s v="EE_Kohtla_Jarve"/>
    <x v="0"/>
    <x v="12"/>
    <n v="0"/>
    <n v="0"/>
  </r>
  <r>
    <x v="0"/>
    <x v="0"/>
    <x v="0"/>
    <x v="1"/>
    <x v="2"/>
    <s v="EE_Kohtla_Jarve"/>
    <x v="0"/>
    <x v="13"/>
    <n v="0"/>
    <n v="0"/>
  </r>
  <r>
    <x v="0"/>
    <x v="0"/>
    <x v="0"/>
    <x v="1"/>
    <x v="2"/>
    <s v="EE_Kohtla_Jarve"/>
    <x v="0"/>
    <x v="14"/>
    <n v="0"/>
    <n v="0"/>
  </r>
  <r>
    <x v="0"/>
    <x v="0"/>
    <x v="0"/>
    <x v="1"/>
    <x v="2"/>
    <s v="EE_Kohtla_Jarve"/>
    <x v="0"/>
    <x v="15"/>
    <n v="0"/>
    <n v="0"/>
  </r>
  <r>
    <x v="0"/>
    <x v="0"/>
    <x v="0"/>
    <x v="1"/>
    <x v="2"/>
    <s v="EE_Kohtla_Jarve"/>
    <x v="0"/>
    <x v="16"/>
    <n v="0"/>
    <n v="0"/>
  </r>
  <r>
    <x v="0"/>
    <x v="0"/>
    <x v="0"/>
    <x v="1"/>
    <x v="2"/>
    <s v="EE_Kohtla_Jarve"/>
    <x v="0"/>
    <x v="17"/>
    <n v="0"/>
    <n v="0"/>
  </r>
  <r>
    <x v="0"/>
    <x v="0"/>
    <x v="0"/>
    <x v="1"/>
    <x v="2"/>
    <s v="EE_Kohtla_Jarve"/>
    <x v="0"/>
    <x v="18"/>
    <n v="0"/>
    <n v="0"/>
  </r>
  <r>
    <x v="0"/>
    <x v="0"/>
    <x v="0"/>
    <x v="1"/>
    <x v="2"/>
    <s v="EE_Kohtla_Jarve"/>
    <x v="0"/>
    <x v="19"/>
    <n v="0"/>
    <n v="0"/>
  </r>
  <r>
    <x v="0"/>
    <x v="0"/>
    <x v="0"/>
    <x v="1"/>
    <x v="2"/>
    <s v="EE_Kohtla_Jarve"/>
    <x v="0"/>
    <x v="20"/>
    <n v="0"/>
    <n v="0"/>
  </r>
  <r>
    <x v="0"/>
    <x v="0"/>
    <x v="0"/>
    <x v="1"/>
    <x v="2"/>
    <s v="EE_Kohtla_Jarve"/>
    <x v="0"/>
    <x v="21"/>
    <n v="0"/>
    <n v="0"/>
  </r>
  <r>
    <x v="0"/>
    <x v="0"/>
    <x v="0"/>
    <x v="1"/>
    <x v="2"/>
    <s v="EE_Kohtla_Jarve"/>
    <x v="0"/>
    <x v="22"/>
    <n v="0"/>
    <n v="0"/>
  </r>
  <r>
    <x v="0"/>
    <x v="0"/>
    <x v="0"/>
    <x v="1"/>
    <x v="2"/>
    <s v="EE_Kohtla_Jarve"/>
    <x v="0"/>
    <x v="23"/>
    <n v="0"/>
    <n v="0"/>
  </r>
  <r>
    <x v="0"/>
    <x v="0"/>
    <x v="0"/>
    <x v="1"/>
    <x v="2"/>
    <s v="EE_Narva"/>
    <x v="0"/>
    <x v="0"/>
    <n v="1722.9676213994101"/>
    <n v="6202.6834370378901"/>
  </r>
  <r>
    <x v="0"/>
    <x v="0"/>
    <x v="0"/>
    <x v="1"/>
    <x v="2"/>
    <s v="EE_Narva"/>
    <x v="0"/>
    <x v="1"/>
    <n v="1236.0878028597199"/>
    <n v="4449.9160902949798"/>
  </r>
  <r>
    <x v="0"/>
    <x v="0"/>
    <x v="0"/>
    <x v="1"/>
    <x v="2"/>
    <s v="EE_Narva"/>
    <x v="0"/>
    <x v="2"/>
    <n v="746.11668388484895"/>
    <n v="2686.02006198546"/>
  </r>
  <r>
    <x v="0"/>
    <x v="0"/>
    <x v="0"/>
    <x v="1"/>
    <x v="2"/>
    <s v="EE_Narva"/>
    <x v="0"/>
    <x v="3"/>
    <n v="635.687320682787"/>
    <n v="2288.4743544580301"/>
  </r>
  <r>
    <x v="0"/>
    <x v="0"/>
    <x v="0"/>
    <x v="1"/>
    <x v="2"/>
    <s v="EE_Narva"/>
    <x v="0"/>
    <x v="4"/>
    <n v="569.98429686856502"/>
    <n v="2051.9434687268299"/>
  </r>
  <r>
    <x v="0"/>
    <x v="0"/>
    <x v="0"/>
    <x v="1"/>
    <x v="2"/>
    <s v="EE_Narva"/>
    <x v="0"/>
    <x v="5"/>
    <n v="88.321047813223501"/>
    <n v="317.95577212760497"/>
  </r>
  <r>
    <x v="0"/>
    <x v="0"/>
    <x v="0"/>
    <x v="1"/>
    <x v="2"/>
    <s v="EE_Narva"/>
    <x v="0"/>
    <x v="6"/>
    <n v="38.267732452063797"/>
    <n v="137.76383682743"/>
  </r>
  <r>
    <x v="0"/>
    <x v="0"/>
    <x v="0"/>
    <x v="1"/>
    <x v="2"/>
    <s v="EE_Narva"/>
    <x v="0"/>
    <x v="7"/>
    <n v="0"/>
    <n v="0"/>
  </r>
  <r>
    <x v="0"/>
    <x v="0"/>
    <x v="0"/>
    <x v="1"/>
    <x v="2"/>
    <s v="EE_Narva"/>
    <x v="0"/>
    <x v="8"/>
    <n v="838.91871316775496"/>
    <n v="3020.1073674039199"/>
  </r>
  <r>
    <x v="0"/>
    <x v="0"/>
    <x v="0"/>
    <x v="1"/>
    <x v="2"/>
    <s v="EE_Narva"/>
    <x v="0"/>
    <x v="9"/>
    <n v="1710.55805495292"/>
    <n v="6158.0089978305105"/>
  </r>
  <r>
    <x v="0"/>
    <x v="0"/>
    <x v="0"/>
    <x v="1"/>
    <x v="2"/>
    <s v="EE_Narva"/>
    <x v="0"/>
    <x v="10"/>
    <n v="2593.02660857505"/>
    <n v="9334.8957908701796"/>
  </r>
  <r>
    <x v="0"/>
    <x v="0"/>
    <x v="0"/>
    <x v="1"/>
    <x v="2"/>
    <s v="EE_Narva"/>
    <x v="0"/>
    <x v="11"/>
    <n v="3485.22309825411"/>
    <n v="12546.8031537148"/>
  </r>
  <r>
    <x v="0"/>
    <x v="0"/>
    <x v="0"/>
    <x v="1"/>
    <x v="2"/>
    <s v="EE_Narva"/>
    <x v="0"/>
    <x v="12"/>
    <n v="3485.22309825411"/>
    <n v="12546.8031537148"/>
  </r>
  <r>
    <x v="0"/>
    <x v="0"/>
    <x v="0"/>
    <x v="1"/>
    <x v="2"/>
    <s v="EE_Narva"/>
    <x v="0"/>
    <x v="13"/>
    <n v="3485.22309825411"/>
    <n v="12546.8031537148"/>
  </r>
  <r>
    <x v="0"/>
    <x v="0"/>
    <x v="0"/>
    <x v="1"/>
    <x v="2"/>
    <s v="EE_Narva"/>
    <x v="0"/>
    <x v="14"/>
    <n v="3095.1396245907599"/>
    <n v="11142.502648526701"/>
  </r>
  <r>
    <x v="0"/>
    <x v="0"/>
    <x v="0"/>
    <x v="1"/>
    <x v="2"/>
    <s v="EE_Narva"/>
    <x v="0"/>
    <x v="15"/>
    <n v="3095.1396245907599"/>
    <n v="11142.502648526701"/>
  </r>
  <r>
    <x v="0"/>
    <x v="0"/>
    <x v="0"/>
    <x v="1"/>
    <x v="2"/>
    <s v="EE_Narva"/>
    <x v="0"/>
    <x v="16"/>
    <n v="3095.1396245907599"/>
    <n v="11142.502648526701"/>
  </r>
  <r>
    <x v="0"/>
    <x v="0"/>
    <x v="0"/>
    <x v="1"/>
    <x v="2"/>
    <s v="EE_Narva"/>
    <x v="0"/>
    <x v="17"/>
    <n v="3185.4004401152001"/>
    <n v="11467.441584414701"/>
  </r>
  <r>
    <x v="0"/>
    <x v="0"/>
    <x v="0"/>
    <x v="1"/>
    <x v="2"/>
    <s v="EE_Narva"/>
    <x v="0"/>
    <x v="18"/>
    <n v="3573.8837569590501"/>
    <n v="12865.981525052601"/>
  </r>
  <r>
    <x v="0"/>
    <x v="0"/>
    <x v="0"/>
    <x v="1"/>
    <x v="2"/>
    <s v="EE_Narva"/>
    <x v="0"/>
    <x v="19"/>
    <n v="3573.8837569590501"/>
    <n v="12865.981525052601"/>
  </r>
  <r>
    <x v="0"/>
    <x v="0"/>
    <x v="0"/>
    <x v="1"/>
    <x v="2"/>
    <s v="EE_Narva"/>
    <x v="0"/>
    <x v="20"/>
    <n v="3199.6431980259599"/>
    <n v="11518.715512893399"/>
  </r>
  <r>
    <x v="0"/>
    <x v="0"/>
    <x v="0"/>
    <x v="1"/>
    <x v="2"/>
    <s v="EE_Narva"/>
    <x v="0"/>
    <x v="21"/>
    <n v="2827.7211144192502"/>
    <n v="10179.7960119093"/>
  </r>
  <r>
    <x v="0"/>
    <x v="0"/>
    <x v="0"/>
    <x v="1"/>
    <x v="2"/>
    <s v="EE_Narva"/>
    <x v="0"/>
    <x v="22"/>
    <n v="2458.1175061389099"/>
    <n v="8849.22302210009"/>
  </r>
  <r>
    <x v="0"/>
    <x v="0"/>
    <x v="0"/>
    <x v="1"/>
    <x v="2"/>
    <s v="EE_Narva"/>
    <x v="0"/>
    <x v="23"/>
    <n v="2090.2527543533702"/>
    <n v="7524.9099156721204"/>
  </r>
  <r>
    <x v="0"/>
    <x v="0"/>
    <x v="0"/>
    <x v="1"/>
    <x v="2"/>
    <s v="EE_Parnu"/>
    <x v="0"/>
    <x v="0"/>
    <n v="1218.03566920811"/>
    <n v="4384.92840914921"/>
  </r>
  <r>
    <x v="0"/>
    <x v="0"/>
    <x v="0"/>
    <x v="1"/>
    <x v="2"/>
    <s v="EE_Parnu"/>
    <x v="0"/>
    <x v="1"/>
    <n v="957.52193337002404"/>
    <n v="3447.0789601320898"/>
  </r>
  <r>
    <x v="0"/>
    <x v="0"/>
    <x v="0"/>
    <x v="1"/>
    <x v="2"/>
    <s v="EE_Parnu"/>
    <x v="0"/>
    <x v="2"/>
    <n v="695.83754343542398"/>
    <n v="2505.0151563675299"/>
  </r>
  <r>
    <x v="0"/>
    <x v="0"/>
    <x v="0"/>
    <x v="1"/>
    <x v="2"/>
    <s v="EE_Parnu"/>
    <x v="0"/>
    <x v="3"/>
    <n v="433.78732409566402"/>
    <n v="1561.63436674439"/>
  </r>
  <r>
    <x v="0"/>
    <x v="0"/>
    <x v="0"/>
    <x v="1"/>
    <x v="2"/>
    <s v="EE_Parnu"/>
    <x v="0"/>
    <x v="4"/>
    <n v="172.83459297138299"/>
    <n v="622.20453469697804"/>
  </r>
  <r>
    <x v="0"/>
    <x v="0"/>
    <x v="0"/>
    <x v="1"/>
    <x v="2"/>
    <s v="EE_Parnu"/>
    <x v="0"/>
    <x v="5"/>
    <n v="0"/>
    <n v="0"/>
  </r>
  <r>
    <x v="0"/>
    <x v="0"/>
    <x v="0"/>
    <x v="1"/>
    <x v="2"/>
    <s v="EE_Parnu"/>
    <x v="0"/>
    <x v="6"/>
    <n v="0"/>
    <n v="0"/>
  </r>
  <r>
    <x v="0"/>
    <x v="0"/>
    <x v="0"/>
    <x v="1"/>
    <x v="2"/>
    <s v="EE_Parnu"/>
    <x v="0"/>
    <x v="7"/>
    <n v="94.912559707740897"/>
    <n v="341.685214947867"/>
  </r>
  <r>
    <x v="0"/>
    <x v="0"/>
    <x v="0"/>
    <x v="1"/>
    <x v="2"/>
    <s v="EE_Parnu"/>
    <x v="0"/>
    <x v="8"/>
    <n v="195.60137318115699"/>
    <n v="704.16494345216404"/>
  </r>
  <r>
    <x v="0"/>
    <x v="0"/>
    <x v="0"/>
    <x v="1"/>
    <x v="2"/>
    <s v="EE_Parnu"/>
    <x v="0"/>
    <x v="9"/>
    <n v="301.29627325149198"/>
    <n v="1084.6665837053699"/>
  </r>
  <r>
    <x v="0"/>
    <x v="0"/>
    <x v="0"/>
    <x v="1"/>
    <x v="2"/>
    <s v="EE_Parnu"/>
    <x v="0"/>
    <x v="10"/>
    <n v="411.53515961749099"/>
    <n v="1481.52657462297"/>
  </r>
  <r>
    <x v="0"/>
    <x v="0"/>
    <x v="0"/>
    <x v="1"/>
    <x v="2"/>
    <s v="EE_Parnu"/>
    <x v="0"/>
    <x v="11"/>
    <n v="525.85593197790104"/>
    <n v="1893.0813551204401"/>
  </r>
  <r>
    <x v="0"/>
    <x v="0"/>
    <x v="0"/>
    <x v="1"/>
    <x v="2"/>
    <s v="EE_Parnu"/>
    <x v="0"/>
    <x v="12"/>
    <n v="643.56543988084104"/>
    <n v="2316.8355835710299"/>
  </r>
  <r>
    <x v="0"/>
    <x v="0"/>
    <x v="0"/>
    <x v="1"/>
    <x v="2"/>
    <s v="EE_Parnu"/>
    <x v="0"/>
    <x v="13"/>
    <n v="764.20158302505604"/>
    <n v="2751.1256988902001"/>
  </r>
  <r>
    <x v="0"/>
    <x v="0"/>
    <x v="0"/>
    <x v="1"/>
    <x v="2"/>
    <s v="EE_Parnu"/>
    <x v="0"/>
    <x v="14"/>
    <n v="887.22524439241704"/>
    <n v="3194.0108798126998"/>
  </r>
  <r>
    <x v="0"/>
    <x v="0"/>
    <x v="0"/>
    <x v="1"/>
    <x v="2"/>
    <s v="EE_Parnu"/>
    <x v="0"/>
    <x v="15"/>
    <n v="1011.71222338042"/>
    <n v="3642.1640041695"/>
  </r>
  <r>
    <x v="0"/>
    <x v="0"/>
    <x v="0"/>
    <x v="1"/>
    <x v="2"/>
    <s v="EE_Parnu"/>
    <x v="0"/>
    <x v="16"/>
    <n v="1137.27743640467"/>
    <n v="4094.1987710568301"/>
  </r>
  <r>
    <x v="0"/>
    <x v="0"/>
    <x v="0"/>
    <x v="1"/>
    <x v="2"/>
    <s v="EE_Parnu"/>
    <x v="0"/>
    <x v="17"/>
    <n v="1263.7668500314401"/>
    <n v="4549.5606601131904"/>
  </r>
  <r>
    <x v="0"/>
    <x v="0"/>
    <x v="0"/>
    <x v="1"/>
    <x v="2"/>
    <s v="EE_Parnu"/>
    <x v="0"/>
    <x v="18"/>
    <n v="1391.10344754384"/>
    <n v="5007.9724111578198"/>
  </r>
  <r>
    <x v="0"/>
    <x v="0"/>
    <x v="0"/>
    <x v="1"/>
    <x v="2"/>
    <s v="EE_Parnu"/>
    <x v="0"/>
    <x v="19"/>
    <n v="1519.36424565875"/>
    <n v="5469.7112843714904"/>
  </r>
  <r>
    <x v="0"/>
    <x v="0"/>
    <x v="0"/>
    <x v="1"/>
    <x v="2"/>
    <s v="EE_Parnu"/>
    <x v="0"/>
    <x v="20"/>
    <n v="1648.7032778099101"/>
    <n v="5935.3318001156804"/>
  </r>
  <r>
    <x v="0"/>
    <x v="0"/>
    <x v="0"/>
    <x v="1"/>
    <x v="2"/>
    <s v="EE_Parnu"/>
    <x v="0"/>
    <x v="21"/>
    <n v="1572.56756217218"/>
    <n v="5661.2432238198598"/>
  </r>
  <r>
    <x v="0"/>
    <x v="0"/>
    <x v="0"/>
    <x v="1"/>
    <x v="2"/>
    <s v="EE_Parnu"/>
    <x v="0"/>
    <x v="22"/>
    <n v="1648.7032778099101"/>
    <n v="5935.3318001156804"/>
  </r>
  <r>
    <x v="0"/>
    <x v="0"/>
    <x v="0"/>
    <x v="1"/>
    <x v="2"/>
    <s v="EE_Parnu"/>
    <x v="0"/>
    <x v="23"/>
    <n v="1433.25972468747"/>
    <n v="5159.7350088748799"/>
  </r>
  <r>
    <x v="0"/>
    <x v="0"/>
    <x v="0"/>
    <x v="1"/>
    <x v="2"/>
    <s v="EE_Tallinn"/>
    <x v="0"/>
    <x v="0"/>
    <n v="2657.8122595252498"/>
    <n v="9568.1241342908907"/>
  </r>
  <r>
    <x v="0"/>
    <x v="0"/>
    <x v="0"/>
    <x v="1"/>
    <x v="2"/>
    <s v="EE_Tallinn"/>
    <x v="0"/>
    <x v="1"/>
    <n v="1699.7587937609201"/>
    <n v="6119.1316575393103"/>
  </r>
  <r>
    <x v="0"/>
    <x v="0"/>
    <x v="0"/>
    <x v="1"/>
    <x v="2"/>
    <s v="EE_Tallinn"/>
    <x v="0"/>
    <x v="2"/>
    <n v="1491.35420026725"/>
    <n v="5368.8751209620796"/>
  </r>
  <r>
    <x v="0"/>
    <x v="0"/>
    <x v="0"/>
    <x v="1"/>
    <x v="2"/>
    <s v="EE_Tallinn"/>
    <x v="0"/>
    <x v="3"/>
    <n v="957.67107781803304"/>
    <n v="3447.6158801449201"/>
  </r>
  <r>
    <x v="0"/>
    <x v="0"/>
    <x v="0"/>
    <x v="1"/>
    <x v="2"/>
    <s v="EE_Tallinn"/>
    <x v="0"/>
    <x v="4"/>
    <n v="310.82799700052499"/>
    <n v="1118.98078920189"/>
  </r>
  <r>
    <x v="0"/>
    <x v="0"/>
    <x v="0"/>
    <x v="1"/>
    <x v="2"/>
    <s v="EE_Tallinn"/>
    <x v="0"/>
    <x v="5"/>
    <n v="136.432292830981"/>
    <n v="491.15625419153099"/>
  </r>
  <r>
    <x v="0"/>
    <x v="0"/>
    <x v="0"/>
    <x v="1"/>
    <x v="2"/>
    <s v="EE_Tallinn"/>
    <x v="0"/>
    <x v="6"/>
    <n v="0"/>
    <n v="0"/>
  </r>
  <r>
    <x v="0"/>
    <x v="0"/>
    <x v="0"/>
    <x v="1"/>
    <x v="2"/>
    <s v="EE_Tallinn"/>
    <x v="0"/>
    <x v="7"/>
    <n v="0"/>
    <n v="0"/>
  </r>
  <r>
    <x v="0"/>
    <x v="0"/>
    <x v="0"/>
    <x v="1"/>
    <x v="2"/>
    <s v="EE_Tallinn"/>
    <x v="0"/>
    <x v="8"/>
    <n v="204.209017682992"/>
    <n v="735.15246365877204"/>
  </r>
  <r>
    <x v="0"/>
    <x v="0"/>
    <x v="0"/>
    <x v="1"/>
    <x v="2"/>
    <s v="EE_Tallinn"/>
    <x v="0"/>
    <x v="9"/>
    <n v="457.25638224423801"/>
    <n v="1646.1229760792601"/>
  </r>
  <r>
    <x v="0"/>
    <x v="0"/>
    <x v="0"/>
    <x v="1"/>
    <x v="2"/>
    <s v="EE_Tallinn"/>
    <x v="0"/>
    <x v="10"/>
    <n v="754.633938587285"/>
    <n v="2716.68217891423"/>
  </r>
  <r>
    <x v="0"/>
    <x v="0"/>
    <x v="0"/>
    <x v="1"/>
    <x v="2"/>
    <s v="EE_Tallinn"/>
    <x v="0"/>
    <x v="11"/>
    <n v="1091.8335316156799"/>
    <n v="3930.60071381645"/>
  </r>
  <r>
    <x v="0"/>
    <x v="0"/>
    <x v="0"/>
    <x v="1"/>
    <x v="2"/>
    <s v="EE_Tallinn"/>
    <x v="0"/>
    <x v="12"/>
    <n v="1462.0929286847399"/>
    <n v="5263.5345432650502"/>
  </r>
  <r>
    <x v="0"/>
    <x v="0"/>
    <x v="0"/>
    <x v="1"/>
    <x v="2"/>
    <s v="EE_Tallinn"/>
    <x v="0"/>
    <x v="13"/>
    <n v="1860.903974698"/>
    <n v="6699.2543089128103"/>
  </r>
  <r>
    <x v="0"/>
    <x v="0"/>
    <x v="0"/>
    <x v="1"/>
    <x v="2"/>
    <s v="EE_Tallinn"/>
    <x v="0"/>
    <x v="14"/>
    <n v="1661.8127510158699"/>
    <n v="5982.5259036571197"/>
  </r>
  <r>
    <x v="0"/>
    <x v="0"/>
    <x v="0"/>
    <x v="1"/>
    <x v="2"/>
    <s v="EE_Tallinn"/>
    <x v="0"/>
    <x v="15"/>
    <n v="2098.1917561662499"/>
    <n v="7553.4903221984996"/>
  </r>
  <r>
    <x v="0"/>
    <x v="0"/>
    <x v="0"/>
    <x v="1"/>
    <x v="2"/>
    <s v="EE_Tallinn"/>
    <x v="0"/>
    <x v="16"/>
    <n v="2545.08978987503"/>
    <n v="9162.3232435501104"/>
  </r>
  <r>
    <x v="0"/>
    <x v="0"/>
    <x v="0"/>
    <x v="1"/>
    <x v="2"/>
    <s v="EE_Tallinn"/>
    <x v="0"/>
    <x v="17"/>
    <n v="3001.0041337767202"/>
    <n v="10803.614881596201"/>
  </r>
  <r>
    <x v="0"/>
    <x v="0"/>
    <x v="0"/>
    <x v="1"/>
    <x v="2"/>
    <s v="EE_Tallinn"/>
    <x v="0"/>
    <x v="18"/>
    <n v="3465.1834286885701"/>
    <n v="12474.6603432789"/>
  </r>
  <r>
    <x v="0"/>
    <x v="0"/>
    <x v="0"/>
    <x v="1"/>
    <x v="2"/>
    <s v="EE_Tallinn"/>
    <x v="0"/>
    <x v="19"/>
    <n v="3706.7441867738698"/>
    <n v="13344.2790723859"/>
  </r>
  <r>
    <x v="0"/>
    <x v="0"/>
    <x v="0"/>
    <x v="1"/>
    <x v="2"/>
    <s v="EE_Tallinn"/>
    <x v="0"/>
    <x v="20"/>
    <n v="3706.7441867738698"/>
    <n v="13344.2790723859"/>
  </r>
  <r>
    <x v="0"/>
    <x v="0"/>
    <x v="0"/>
    <x v="1"/>
    <x v="2"/>
    <s v="EE_Tallinn"/>
    <x v="0"/>
    <x v="21"/>
    <n v="3706.7441867738698"/>
    <n v="13344.2790723859"/>
  </r>
  <r>
    <x v="0"/>
    <x v="0"/>
    <x v="0"/>
    <x v="1"/>
    <x v="2"/>
    <s v="EE_Tallinn"/>
    <x v="0"/>
    <x v="22"/>
    <n v="3706.7441867738698"/>
    <n v="13344.2790723859"/>
  </r>
  <r>
    <x v="0"/>
    <x v="0"/>
    <x v="0"/>
    <x v="1"/>
    <x v="2"/>
    <s v="EE_Tallinn"/>
    <x v="0"/>
    <x v="23"/>
    <n v="3181.09186654523"/>
    <n v="11451.930719562801"/>
  </r>
  <r>
    <x v="0"/>
    <x v="0"/>
    <x v="0"/>
    <x v="1"/>
    <x v="2"/>
    <s v="EE_Tartu"/>
    <x v="0"/>
    <x v="0"/>
    <n v="0"/>
    <n v="0"/>
  </r>
  <r>
    <x v="0"/>
    <x v="0"/>
    <x v="0"/>
    <x v="1"/>
    <x v="2"/>
    <s v="EE_Tartu"/>
    <x v="0"/>
    <x v="1"/>
    <n v="0"/>
    <n v="0"/>
  </r>
  <r>
    <x v="0"/>
    <x v="0"/>
    <x v="0"/>
    <x v="1"/>
    <x v="2"/>
    <s v="EE_Tartu"/>
    <x v="0"/>
    <x v="2"/>
    <n v="0"/>
    <n v="0"/>
  </r>
  <r>
    <x v="0"/>
    <x v="0"/>
    <x v="0"/>
    <x v="1"/>
    <x v="2"/>
    <s v="EE_Tartu"/>
    <x v="0"/>
    <x v="3"/>
    <n v="0"/>
    <n v="0"/>
  </r>
  <r>
    <x v="0"/>
    <x v="0"/>
    <x v="0"/>
    <x v="1"/>
    <x v="2"/>
    <s v="EE_Tartu"/>
    <x v="0"/>
    <x v="4"/>
    <n v="0"/>
    <n v="0"/>
  </r>
  <r>
    <x v="0"/>
    <x v="0"/>
    <x v="0"/>
    <x v="1"/>
    <x v="2"/>
    <s v="EE_Tartu"/>
    <x v="0"/>
    <x v="5"/>
    <n v="0"/>
    <n v="0"/>
  </r>
  <r>
    <x v="0"/>
    <x v="0"/>
    <x v="0"/>
    <x v="1"/>
    <x v="2"/>
    <s v="EE_Tartu"/>
    <x v="0"/>
    <x v="6"/>
    <n v="0"/>
    <n v="0"/>
  </r>
  <r>
    <x v="0"/>
    <x v="0"/>
    <x v="0"/>
    <x v="1"/>
    <x v="2"/>
    <s v="EE_Tartu"/>
    <x v="0"/>
    <x v="7"/>
    <n v="0"/>
    <n v="0"/>
  </r>
  <r>
    <x v="0"/>
    <x v="0"/>
    <x v="0"/>
    <x v="1"/>
    <x v="2"/>
    <s v="EE_Tartu"/>
    <x v="0"/>
    <x v="8"/>
    <n v="0"/>
    <n v="0"/>
  </r>
  <r>
    <x v="0"/>
    <x v="0"/>
    <x v="0"/>
    <x v="1"/>
    <x v="2"/>
    <s v="EE_Tartu"/>
    <x v="0"/>
    <x v="9"/>
    <n v="0"/>
    <n v="0"/>
  </r>
  <r>
    <x v="0"/>
    <x v="0"/>
    <x v="0"/>
    <x v="1"/>
    <x v="2"/>
    <s v="EE_Tartu"/>
    <x v="0"/>
    <x v="10"/>
    <n v="0"/>
    <n v="0"/>
  </r>
  <r>
    <x v="0"/>
    <x v="0"/>
    <x v="0"/>
    <x v="1"/>
    <x v="2"/>
    <s v="EE_Tartu"/>
    <x v="0"/>
    <x v="11"/>
    <n v="0"/>
    <n v="0"/>
  </r>
  <r>
    <x v="0"/>
    <x v="0"/>
    <x v="0"/>
    <x v="1"/>
    <x v="2"/>
    <s v="EE_Tartu"/>
    <x v="0"/>
    <x v="12"/>
    <n v="0"/>
    <n v="0"/>
  </r>
  <r>
    <x v="0"/>
    <x v="0"/>
    <x v="0"/>
    <x v="1"/>
    <x v="2"/>
    <s v="EE_Tartu"/>
    <x v="0"/>
    <x v="13"/>
    <n v="0"/>
    <n v="0"/>
  </r>
  <r>
    <x v="0"/>
    <x v="0"/>
    <x v="0"/>
    <x v="1"/>
    <x v="2"/>
    <s v="EE_Tartu"/>
    <x v="0"/>
    <x v="14"/>
    <n v="0"/>
    <n v="0"/>
  </r>
  <r>
    <x v="0"/>
    <x v="0"/>
    <x v="0"/>
    <x v="1"/>
    <x v="2"/>
    <s v="EE_Tartu"/>
    <x v="0"/>
    <x v="15"/>
    <n v="0"/>
    <n v="0"/>
  </r>
  <r>
    <x v="0"/>
    <x v="0"/>
    <x v="0"/>
    <x v="1"/>
    <x v="2"/>
    <s v="EE_Tartu"/>
    <x v="0"/>
    <x v="16"/>
    <n v="0"/>
    <n v="0"/>
  </r>
  <r>
    <x v="0"/>
    <x v="0"/>
    <x v="0"/>
    <x v="1"/>
    <x v="2"/>
    <s v="EE_Tartu"/>
    <x v="0"/>
    <x v="17"/>
    <n v="0"/>
    <n v="0"/>
  </r>
  <r>
    <x v="0"/>
    <x v="0"/>
    <x v="0"/>
    <x v="1"/>
    <x v="2"/>
    <s v="EE_Tartu"/>
    <x v="0"/>
    <x v="18"/>
    <n v="0"/>
    <n v="0"/>
  </r>
  <r>
    <x v="0"/>
    <x v="0"/>
    <x v="0"/>
    <x v="1"/>
    <x v="2"/>
    <s v="EE_Tartu"/>
    <x v="0"/>
    <x v="19"/>
    <n v="0"/>
    <n v="0"/>
  </r>
  <r>
    <x v="0"/>
    <x v="0"/>
    <x v="0"/>
    <x v="1"/>
    <x v="2"/>
    <s v="EE_Tartu"/>
    <x v="0"/>
    <x v="20"/>
    <n v="0"/>
    <n v="0"/>
  </r>
  <r>
    <x v="0"/>
    <x v="0"/>
    <x v="0"/>
    <x v="1"/>
    <x v="2"/>
    <s v="EE_Tartu"/>
    <x v="0"/>
    <x v="21"/>
    <n v="0"/>
    <n v="0"/>
  </r>
  <r>
    <x v="0"/>
    <x v="0"/>
    <x v="0"/>
    <x v="1"/>
    <x v="2"/>
    <s v="EE_Tartu"/>
    <x v="0"/>
    <x v="22"/>
    <n v="0"/>
    <n v="0"/>
  </r>
  <r>
    <x v="0"/>
    <x v="0"/>
    <x v="0"/>
    <x v="1"/>
    <x v="2"/>
    <s v="EE_Tartu"/>
    <x v="0"/>
    <x v="23"/>
    <n v="0"/>
    <n v="0"/>
  </r>
  <r>
    <x v="0"/>
    <x v="0"/>
    <x v="0"/>
    <x v="2"/>
    <x v="3"/>
    <s v="FIN_EL"/>
    <x v="0"/>
    <x v="0"/>
    <n v="0"/>
    <n v="0"/>
  </r>
  <r>
    <x v="0"/>
    <x v="0"/>
    <x v="0"/>
    <x v="2"/>
    <x v="3"/>
    <s v="FIN_EL"/>
    <x v="0"/>
    <x v="1"/>
    <n v="297.61070920430001"/>
    <n v="1071.3985531354799"/>
  </r>
  <r>
    <x v="0"/>
    <x v="0"/>
    <x v="0"/>
    <x v="2"/>
    <x v="3"/>
    <s v="FIN_EL"/>
    <x v="0"/>
    <x v="2"/>
    <n v="616.165378670255"/>
    <n v="2218.1953632129198"/>
  </r>
  <r>
    <x v="0"/>
    <x v="0"/>
    <x v="0"/>
    <x v="2"/>
    <x v="3"/>
    <s v="FIN_EL"/>
    <x v="0"/>
    <x v="3"/>
    <n v="919.31639372841801"/>
    <n v="3309.5390174223098"/>
  </r>
  <r>
    <x v="0"/>
    <x v="0"/>
    <x v="0"/>
    <x v="2"/>
    <x v="3"/>
    <s v="FIN_EL"/>
    <x v="0"/>
    <x v="4"/>
    <n v="1163.6712477846199"/>
    <n v="4189.2164920246296"/>
  </r>
  <r>
    <x v="0"/>
    <x v="0"/>
    <x v="0"/>
    <x v="2"/>
    <x v="3"/>
    <s v="FIN_EL"/>
    <x v="0"/>
    <x v="5"/>
    <n v="1276.8366487814001"/>
    <n v="4596.6119356130503"/>
  </r>
  <r>
    <x v="0"/>
    <x v="0"/>
    <x v="0"/>
    <x v="2"/>
    <x v="3"/>
    <s v="FIN_EL"/>
    <x v="0"/>
    <x v="6"/>
    <n v="1250.7296219005"/>
    <n v="4502.6266388417898"/>
  </r>
  <r>
    <x v="0"/>
    <x v="0"/>
    <x v="0"/>
    <x v="2"/>
    <x v="3"/>
    <s v="FIN_EL"/>
    <x v="0"/>
    <x v="7"/>
    <n v="1250.7296219005"/>
    <n v="4502.6266388417898"/>
  </r>
  <r>
    <x v="0"/>
    <x v="0"/>
    <x v="0"/>
    <x v="2"/>
    <x v="3"/>
    <s v="FIN_EL"/>
    <x v="0"/>
    <x v="8"/>
    <n v="1243.68749257028"/>
    <n v="4477.2749732530201"/>
  </r>
  <r>
    <x v="0"/>
    <x v="0"/>
    <x v="0"/>
    <x v="2"/>
    <x v="3"/>
    <s v="FIN_EL"/>
    <x v="0"/>
    <x v="9"/>
    <n v="1182.97857240334"/>
    <n v="4258.7228606520202"/>
  </r>
  <r>
    <x v="0"/>
    <x v="0"/>
    <x v="0"/>
    <x v="2"/>
    <x v="3"/>
    <s v="FIN_EL"/>
    <x v="0"/>
    <x v="10"/>
    <n v="1099.4889528087399"/>
    <n v="3958.1602301114799"/>
  </r>
  <r>
    <x v="0"/>
    <x v="0"/>
    <x v="0"/>
    <x v="2"/>
    <x v="3"/>
    <s v="FIN_EL"/>
    <x v="0"/>
    <x v="11"/>
    <n v="1110.14249252286"/>
    <n v="3996.5129730823101"/>
  </r>
  <r>
    <x v="0"/>
    <x v="0"/>
    <x v="0"/>
    <x v="2"/>
    <x v="3"/>
    <s v="FIN_EL"/>
    <x v="0"/>
    <x v="12"/>
    <n v="1166.5894994216401"/>
    <n v="4199.7221979179003"/>
  </r>
  <r>
    <x v="0"/>
    <x v="0"/>
    <x v="0"/>
    <x v="2"/>
    <x v="3"/>
    <s v="FIN_EL"/>
    <x v="0"/>
    <x v="13"/>
    <n v="1166.5894994216401"/>
    <n v="4199.7221979179003"/>
  </r>
  <r>
    <x v="0"/>
    <x v="0"/>
    <x v="0"/>
    <x v="2"/>
    <x v="3"/>
    <s v="FIN_EL"/>
    <x v="0"/>
    <x v="14"/>
    <n v="1153.77618257564"/>
    <n v="4153.5942572722997"/>
  </r>
  <r>
    <x v="0"/>
    <x v="0"/>
    <x v="0"/>
    <x v="2"/>
    <x v="3"/>
    <s v="FIN_EL"/>
    <x v="0"/>
    <x v="15"/>
    <n v="1153.77618257564"/>
    <n v="4153.5942572722997"/>
  </r>
  <r>
    <x v="0"/>
    <x v="0"/>
    <x v="0"/>
    <x v="2"/>
    <x v="3"/>
    <s v="FIN_EL"/>
    <x v="0"/>
    <x v="16"/>
    <n v="1123.53620501362"/>
    <n v="4044.7303380490198"/>
  </r>
  <r>
    <x v="0"/>
    <x v="0"/>
    <x v="0"/>
    <x v="2"/>
    <x v="3"/>
    <s v="FIN_EL"/>
    <x v="0"/>
    <x v="17"/>
    <n v="1123.53620501362"/>
    <n v="4044.7303380490198"/>
  </r>
  <r>
    <x v="0"/>
    <x v="0"/>
    <x v="0"/>
    <x v="2"/>
    <x v="3"/>
    <s v="FIN_EL"/>
    <x v="0"/>
    <x v="18"/>
    <n v="1123.53620501362"/>
    <n v="4044.7303380490198"/>
  </r>
  <r>
    <x v="0"/>
    <x v="0"/>
    <x v="0"/>
    <x v="2"/>
    <x v="3"/>
    <s v="FIN_EL"/>
    <x v="0"/>
    <x v="19"/>
    <n v="1123.53620501362"/>
    <n v="4044.7303380490198"/>
  </r>
  <r>
    <x v="0"/>
    <x v="0"/>
    <x v="0"/>
    <x v="2"/>
    <x v="3"/>
    <s v="FIN_EL"/>
    <x v="0"/>
    <x v="20"/>
    <n v="1123.53620501362"/>
    <n v="4044.7303380490198"/>
  </r>
  <r>
    <x v="0"/>
    <x v="0"/>
    <x v="0"/>
    <x v="2"/>
    <x v="3"/>
    <s v="FIN_EL"/>
    <x v="0"/>
    <x v="21"/>
    <n v="706.12724358253502"/>
    <n v="2542.0580768971299"/>
  </r>
  <r>
    <x v="0"/>
    <x v="0"/>
    <x v="0"/>
    <x v="2"/>
    <x v="3"/>
    <s v="FIN_EL"/>
    <x v="0"/>
    <x v="22"/>
    <n v="331.39361979193399"/>
    <n v="1193.0170312509599"/>
  </r>
  <r>
    <x v="0"/>
    <x v="0"/>
    <x v="0"/>
    <x v="2"/>
    <x v="3"/>
    <s v="FIN_EL"/>
    <x v="0"/>
    <x v="23"/>
    <n v="100.241399505825"/>
    <n v="360.86903822097003"/>
  </r>
  <r>
    <x v="0"/>
    <x v="0"/>
    <x v="0"/>
    <x v="2"/>
    <x v="3"/>
    <s v="FIN_ESPOO"/>
    <x v="0"/>
    <x v="0"/>
    <n v="88.501320717288394"/>
    <n v="318.604754582238"/>
  </r>
  <r>
    <x v="0"/>
    <x v="0"/>
    <x v="0"/>
    <x v="2"/>
    <x v="3"/>
    <s v="FIN_ESPOO"/>
    <x v="0"/>
    <x v="1"/>
    <n v="176.859958477649"/>
    <n v="636.695850519538"/>
  </r>
  <r>
    <x v="0"/>
    <x v="0"/>
    <x v="0"/>
    <x v="2"/>
    <x v="3"/>
    <s v="FIN_ESPOO"/>
    <x v="0"/>
    <x v="2"/>
    <n v="292.54708510039399"/>
    <n v="1053.16950636142"/>
  </r>
  <r>
    <x v="0"/>
    <x v="0"/>
    <x v="0"/>
    <x v="2"/>
    <x v="3"/>
    <s v="FIN_ESPOO"/>
    <x v="0"/>
    <x v="3"/>
    <n v="406.14666669152399"/>
    <n v="1462.1280000894899"/>
  </r>
  <r>
    <x v="0"/>
    <x v="0"/>
    <x v="0"/>
    <x v="2"/>
    <x v="3"/>
    <s v="FIN_ESPOO"/>
    <x v="0"/>
    <x v="4"/>
    <n v="494.90384987625401"/>
    <n v="1781.6538595545101"/>
  </r>
  <r>
    <x v="0"/>
    <x v="0"/>
    <x v="0"/>
    <x v="2"/>
    <x v="3"/>
    <s v="FIN_ESPOO"/>
    <x v="0"/>
    <x v="5"/>
    <n v="521.00766991660396"/>
    <n v="1875.6276116997699"/>
  </r>
  <r>
    <x v="0"/>
    <x v="0"/>
    <x v="0"/>
    <x v="2"/>
    <x v="3"/>
    <s v="FIN_ESPOO"/>
    <x v="0"/>
    <x v="6"/>
    <n v="521.00766991660396"/>
    <n v="1875.6276116997699"/>
  </r>
  <r>
    <x v="0"/>
    <x v="0"/>
    <x v="0"/>
    <x v="2"/>
    <x v="3"/>
    <s v="FIN_ESPOO"/>
    <x v="0"/>
    <x v="7"/>
    <n v="521.00766991660396"/>
    <n v="1875.6276116997699"/>
  </r>
  <r>
    <x v="0"/>
    <x v="0"/>
    <x v="0"/>
    <x v="2"/>
    <x v="3"/>
    <s v="FIN_ESPOO"/>
    <x v="0"/>
    <x v="8"/>
    <n v="521.00766991660396"/>
    <n v="1875.6276116997699"/>
  </r>
  <r>
    <x v="0"/>
    <x v="0"/>
    <x v="0"/>
    <x v="2"/>
    <x v="3"/>
    <s v="FIN_ESPOO"/>
    <x v="0"/>
    <x v="9"/>
    <n v="521.00766991660396"/>
    <n v="1875.6276116997699"/>
  </r>
  <r>
    <x v="0"/>
    <x v="0"/>
    <x v="0"/>
    <x v="2"/>
    <x v="3"/>
    <s v="FIN_ESPOO"/>
    <x v="0"/>
    <x v="10"/>
    <n v="521.00766991660396"/>
    <n v="1875.6276116997699"/>
  </r>
  <r>
    <x v="0"/>
    <x v="0"/>
    <x v="0"/>
    <x v="2"/>
    <x v="3"/>
    <s v="FIN_ESPOO"/>
    <x v="0"/>
    <x v="11"/>
    <n v="521.00766991660396"/>
    <n v="1875.6276116997699"/>
  </r>
  <r>
    <x v="0"/>
    <x v="0"/>
    <x v="0"/>
    <x v="2"/>
    <x v="3"/>
    <s v="FIN_ESPOO"/>
    <x v="0"/>
    <x v="12"/>
    <n v="521.00766991660396"/>
    <n v="1875.6276116997699"/>
  </r>
  <r>
    <x v="0"/>
    <x v="0"/>
    <x v="0"/>
    <x v="2"/>
    <x v="3"/>
    <s v="FIN_ESPOO"/>
    <x v="0"/>
    <x v="13"/>
    <n v="521.00766991660396"/>
    <n v="1875.6276116997699"/>
  </r>
  <r>
    <x v="0"/>
    <x v="0"/>
    <x v="0"/>
    <x v="2"/>
    <x v="3"/>
    <s v="FIN_ESPOO"/>
    <x v="0"/>
    <x v="14"/>
    <n v="362.96796485331998"/>
    <n v="1306.68467347195"/>
  </r>
  <r>
    <x v="0"/>
    <x v="0"/>
    <x v="0"/>
    <x v="2"/>
    <x v="3"/>
    <s v="FIN_ESPOO"/>
    <x v="0"/>
    <x v="15"/>
    <n v="362.96796485331998"/>
    <n v="1306.68467347195"/>
  </r>
  <r>
    <x v="0"/>
    <x v="0"/>
    <x v="0"/>
    <x v="2"/>
    <x v="3"/>
    <s v="FIN_ESPOO"/>
    <x v="0"/>
    <x v="16"/>
    <n v="362.96796485331998"/>
    <n v="1306.68467347195"/>
  </r>
  <r>
    <x v="0"/>
    <x v="0"/>
    <x v="0"/>
    <x v="2"/>
    <x v="3"/>
    <s v="FIN_ESPOO"/>
    <x v="0"/>
    <x v="17"/>
    <n v="0"/>
    <n v="0"/>
  </r>
  <r>
    <x v="0"/>
    <x v="0"/>
    <x v="0"/>
    <x v="2"/>
    <x v="3"/>
    <s v="FIN_ESPOO"/>
    <x v="0"/>
    <x v="18"/>
    <n v="0"/>
    <n v="0"/>
  </r>
  <r>
    <x v="0"/>
    <x v="0"/>
    <x v="0"/>
    <x v="2"/>
    <x v="3"/>
    <s v="FIN_ESPOO"/>
    <x v="0"/>
    <x v="19"/>
    <n v="0"/>
    <n v="0"/>
  </r>
  <r>
    <x v="0"/>
    <x v="0"/>
    <x v="0"/>
    <x v="2"/>
    <x v="3"/>
    <s v="FIN_ESPOO"/>
    <x v="0"/>
    <x v="20"/>
    <n v="0"/>
    <n v="0"/>
  </r>
  <r>
    <x v="0"/>
    <x v="0"/>
    <x v="0"/>
    <x v="2"/>
    <x v="3"/>
    <s v="FIN_ESPOO"/>
    <x v="0"/>
    <x v="21"/>
    <n v="0"/>
    <n v="0"/>
  </r>
  <r>
    <x v="0"/>
    <x v="0"/>
    <x v="0"/>
    <x v="2"/>
    <x v="3"/>
    <s v="FIN_ESPOO"/>
    <x v="0"/>
    <x v="22"/>
    <n v="0"/>
    <n v="0"/>
  </r>
  <r>
    <x v="0"/>
    <x v="0"/>
    <x v="0"/>
    <x v="2"/>
    <x v="3"/>
    <s v="FIN_ESPOO"/>
    <x v="0"/>
    <x v="23"/>
    <n v="0"/>
    <n v="0"/>
  </r>
  <r>
    <x v="0"/>
    <x v="0"/>
    <x v="0"/>
    <x v="2"/>
    <x v="3"/>
    <s v="FIN_GAS"/>
    <x v="0"/>
    <x v="0"/>
    <n v="0"/>
    <n v="0"/>
  </r>
  <r>
    <x v="0"/>
    <x v="0"/>
    <x v="0"/>
    <x v="2"/>
    <x v="3"/>
    <s v="FIN_GAS"/>
    <x v="0"/>
    <x v="1"/>
    <n v="152.96410906260101"/>
    <n v="550.67079262536299"/>
  </r>
  <r>
    <x v="0"/>
    <x v="0"/>
    <x v="0"/>
    <x v="2"/>
    <x v="3"/>
    <s v="FIN_GAS"/>
    <x v="0"/>
    <x v="2"/>
    <n v="315.85784767104599"/>
    <n v="1137.0882516157701"/>
  </r>
  <r>
    <x v="0"/>
    <x v="0"/>
    <x v="0"/>
    <x v="2"/>
    <x v="3"/>
    <s v="FIN_GAS"/>
    <x v="0"/>
    <x v="3"/>
    <n v="473.09062660126102"/>
    <n v="1703.12625576454"/>
  </r>
  <r>
    <x v="0"/>
    <x v="0"/>
    <x v="0"/>
    <x v="2"/>
    <x v="3"/>
    <s v="FIN_GAS"/>
    <x v="0"/>
    <x v="4"/>
    <n v="609.45818811089998"/>
    <n v="2194.0494771992398"/>
  </r>
  <r>
    <x v="0"/>
    <x v="0"/>
    <x v="0"/>
    <x v="2"/>
    <x v="3"/>
    <s v="FIN_GAS"/>
    <x v="0"/>
    <x v="5"/>
    <n v="694.986702948995"/>
    <n v="2501.9521306163801"/>
  </r>
  <r>
    <x v="0"/>
    <x v="0"/>
    <x v="0"/>
    <x v="2"/>
    <x v="3"/>
    <s v="FIN_GAS"/>
    <x v="0"/>
    <x v="6"/>
    <n v="694.986702948995"/>
    <n v="2501.9521306163801"/>
  </r>
  <r>
    <x v="0"/>
    <x v="0"/>
    <x v="0"/>
    <x v="2"/>
    <x v="3"/>
    <s v="FIN_GAS"/>
    <x v="0"/>
    <x v="7"/>
    <n v="694.986702948995"/>
    <n v="2501.9521306163801"/>
  </r>
  <r>
    <x v="0"/>
    <x v="0"/>
    <x v="0"/>
    <x v="2"/>
    <x v="3"/>
    <s v="FIN_GAS"/>
    <x v="0"/>
    <x v="8"/>
    <n v="694.986702948995"/>
    <n v="2501.9521306163801"/>
  </r>
  <r>
    <x v="0"/>
    <x v="0"/>
    <x v="0"/>
    <x v="2"/>
    <x v="3"/>
    <s v="FIN_GAS"/>
    <x v="0"/>
    <x v="9"/>
    <n v="694.986702948995"/>
    <n v="2501.9521306163801"/>
  </r>
  <r>
    <x v="0"/>
    <x v="0"/>
    <x v="0"/>
    <x v="2"/>
    <x v="3"/>
    <s v="FIN_GAS"/>
    <x v="0"/>
    <x v="10"/>
    <n v="694.986702948995"/>
    <n v="2501.9521306163801"/>
  </r>
  <r>
    <x v="0"/>
    <x v="0"/>
    <x v="0"/>
    <x v="2"/>
    <x v="3"/>
    <s v="FIN_GAS"/>
    <x v="0"/>
    <x v="11"/>
    <n v="373.26899437099502"/>
    <n v="1343.7683797355801"/>
  </r>
  <r>
    <x v="0"/>
    <x v="0"/>
    <x v="0"/>
    <x v="2"/>
    <x v="3"/>
    <s v="FIN_GAS"/>
    <x v="0"/>
    <x v="12"/>
    <n v="373.26899437099502"/>
    <n v="1343.7683797355801"/>
  </r>
  <r>
    <x v="0"/>
    <x v="0"/>
    <x v="0"/>
    <x v="2"/>
    <x v="3"/>
    <s v="FIN_GAS"/>
    <x v="0"/>
    <x v="13"/>
    <n v="90.558504300858701"/>
    <n v="326.01061548309099"/>
  </r>
  <r>
    <x v="0"/>
    <x v="0"/>
    <x v="0"/>
    <x v="2"/>
    <x v="3"/>
    <s v="FIN_GAS"/>
    <x v="0"/>
    <x v="14"/>
    <n v="90.558504300858701"/>
    <n v="326.01061548309099"/>
  </r>
  <r>
    <x v="0"/>
    <x v="0"/>
    <x v="0"/>
    <x v="2"/>
    <x v="3"/>
    <s v="FIN_GAS"/>
    <x v="0"/>
    <x v="15"/>
    <n v="0"/>
    <n v="0"/>
  </r>
  <r>
    <x v="0"/>
    <x v="0"/>
    <x v="0"/>
    <x v="2"/>
    <x v="3"/>
    <s v="FIN_GAS"/>
    <x v="0"/>
    <x v="16"/>
    <n v="0"/>
    <n v="0"/>
  </r>
  <r>
    <x v="0"/>
    <x v="0"/>
    <x v="0"/>
    <x v="2"/>
    <x v="3"/>
    <s v="FIN_GAS"/>
    <x v="0"/>
    <x v="17"/>
    <n v="0"/>
    <n v="0"/>
  </r>
  <r>
    <x v="0"/>
    <x v="0"/>
    <x v="0"/>
    <x v="2"/>
    <x v="3"/>
    <s v="FIN_GAS"/>
    <x v="0"/>
    <x v="18"/>
    <n v="0"/>
    <n v="0"/>
  </r>
  <r>
    <x v="0"/>
    <x v="0"/>
    <x v="0"/>
    <x v="2"/>
    <x v="3"/>
    <s v="FIN_GAS"/>
    <x v="0"/>
    <x v="19"/>
    <n v="0"/>
    <n v="0"/>
  </r>
  <r>
    <x v="0"/>
    <x v="0"/>
    <x v="0"/>
    <x v="2"/>
    <x v="3"/>
    <s v="FIN_GAS"/>
    <x v="0"/>
    <x v="20"/>
    <n v="0"/>
    <n v="0"/>
  </r>
  <r>
    <x v="0"/>
    <x v="0"/>
    <x v="0"/>
    <x v="2"/>
    <x v="3"/>
    <s v="FIN_GAS"/>
    <x v="0"/>
    <x v="21"/>
    <n v="0"/>
    <n v="0"/>
  </r>
  <r>
    <x v="0"/>
    <x v="0"/>
    <x v="0"/>
    <x v="2"/>
    <x v="3"/>
    <s v="FIN_GAS"/>
    <x v="0"/>
    <x v="22"/>
    <n v="0"/>
    <n v="0"/>
  </r>
  <r>
    <x v="0"/>
    <x v="0"/>
    <x v="0"/>
    <x v="2"/>
    <x v="3"/>
    <s v="FIN_GAS"/>
    <x v="0"/>
    <x v="23"/>
    <n v="0"/>
    <n v="0"/>
  </r>
  <r>
    <x v="0"/>
    <x v="0"/>
    <x v="0"/>
    <x v="2"/>
    <x v="3"/>
    <s v="FIN_HELS"/>
    <x v="0"/>
    <x v="0"/>
    <n v="0"/>
    <n v="0"/>
  </r>
  <r>
    <x v="0"/>
    <x v="0"/>
    <x v="0"/>
    <x v="2"/>
    <x v="3"/>
    <s v="FIN_HELS"/>
    <x v="0"/>
    <x v="1"/>
    <n v="0"/>
    <n v="0"/>
  </r>
  <r>
    <x v="0"/>
    <x v="0"/>
    <x v="0"/>
    <x v="2"/>
    <x v="3"/>
    <s v="FIN_HELS"/>
    <x v="0"/>
    <x v="2"/>
    <n v="0"/>
    <n v="0"/>
  </r>
  <r>
    <x v="0"/>
    <x v="0"/>
    <x v="0"/>
    <x v="2"/>
    <x v="3"/>
    <s v="FIN_HELS"/>
    <x v="0"/>
    <x v="3"/>
    <n v="0"/>
    <n v="0"/>
  </r>
  <r>
    <x v="0"/>
    <x v="0"/>
    <x v="0"/>
    <x v="2"/>
    <x v="3"/>
    <s v="FIN_HELS"/>
    <x v="0"/>
    <x v="4"/>
    <n v="0"/>
    <n v="0"/>
  </r>
  <r>
    <x v="0"/>
    <x v="0"/>
    <x v="0"/>
    <x v="2"/>
    <x v="3"/>
    <s v="FIN_HELS"/>
    <x v="0"/>
    <x v="5"/>
    <n v="0"/>
    <n v="0"/>
  </r>
  <r>
    <x v="0"/>
    <x v="0"/>
    <x v="0"/>
    <x v="2"/>
    <x v="3"/>
    <s v="FIN_HELS"/>
    <x v="0"/>
    <x v="6"/>
    <n v="0"/>
    <n v="0"/>
  </r>
  <r>
    <x v="0"/>
    <x v="0"/>
    <x v="0"/>
    <x v="2"/>
    <x v="3"/>
    <s v="FIN_HELS"/>
    <x v="0"/>
    <x v="7"/>
    <n v="0"/>
    <n v="0"/>
  </r>
  <r>
    <x v="0"/>
    <x v="0"/>
    <x v="0"/>
    <x v="2"/>
    <x v="3"/>
    <s v="FIN_HELS"/>
    <x v="0"/>
    <x v="8"/>
    <n v="0"/>
    <n v="0"/>
  </r>
  <r>
    <x v="0"/>
    <x v="0"/>
    <x v="0"/>
    <x v="2"/>
    <x v="3"/>
    <s v="FIN_HELS"/>
    <x v="0"/>
    <x v="9"/>
    <n v="0"/>
    <n v="0"/>
  </r>
  <r>
    <x v="0"/>
    <x v="0"/>
    <x v="0"/>
    <x v="2"/>
    <x v="3"/>
    <s v="FIN_HELS"/>
    <x v="0"/>
    <x v="10"/>
    <n v="0"/>
    <n v="0"/>
  </r>
  <r>
    <x v="0"/>
    <x v="0"/>
    <x v="0"/>
    <x v="2"/>
    <x v="3"/>
    <s v="FIN_HELS"/>
    <x v="0"/>
    <x v="11"/>
    <n v="0"/>
    <n v="0"/>
  </r>
  <r>
    <x v="0"/>
    <x v="0"/>
    <x v="0"/>
    <x v="2"/>
    <x v="3"/>
    <s v="FIN_HELS"/>
    <x v="0"/>
    <x v="12"/>
    <n v="0"/>
    <n v="0"/>
  </r>
  <r>
    <x v="0"/>
    <x v="0"/>
    <x v="0"/>
    <x v="2"/>
    <x v="3"/>
    <s v="FIN_HELS"/>
    <x v="0"/>
    <x v="13"/>
    <n v="0"/>
    <n v="0"/>
  </r>
  <r>
    <x v="0"/>
    <x v="0"/>
    <x v="0"/>
    <x v="2"/>
    <x v="3"/>
    <s v="FIN_HELS"/>
    <x v="0"/>
    <x v="14"/>
    <n v="0"/>
    <n v="0"/>
  </r>
  <r>
    <x v="0"/>
    <x v="0"/>
    <x v="0"/>
    <x v="2"/>
    <x v="3"/>
    <s v="FIN_HELS"/>
    <x v="0"/>
    <x v="15"/>
    <n v="0"/>
    <n v="0"/>
  </r>
  <r>
    <x v="0"/>
    <x v="0"/>
    <x v="0"/>
    <x v="2"/>
    <x v="3"/>
    <s v="FIN_HELS"/>
    <x v="0"/>
    <x v="16"/>
    <n v="0"/>
    <n v="0"/>
  </r>
  <r>
    <x v="0"/>
    <x v="0"/>
    <x v="0"/>
    <x v="2"/>
    <x v="3"/>
    <s v="FIN_HELS"/>
    <x v="0"/>
    <x v="17"/>
    <n v="0"/>
    <n v="0"/>
  </r>
  <r>
    <x v="0"/>
    <x v="0"/>
    <x v="0"/>
    <x v="2"/>
    <x v="3"/>
    <s v="FIN_HELS"/>
    <x v="0"/>
    <x v="18"/>
    <n v="0"/>
    <n v="0"/>
  </r>
  <r>
    <x v="0"/>
    <x v="0"/>
    <x v="0"/>
    <x v="2"/>
    <x v="3"/>
    <s v="FIN_HELS"/>
    <x v="0"/>
    <x v="19"/>
    <n v="0"/>
    <n v="0"/>
  </r>
  <r>
    <x v="0"/>
    <x v="0"/>
    <x v="0"/>
    <x v="2"/>
    <x v="3"/>
    <s v="FIN_HELS"/>
    <x v="0"/>
    <x v="20"/>
    <n v="0"/>
    <n v="0"/>
  </r>
  <r>
    <x v="0"/>
    <x v="0"/>
    <x v="0"/>
    <x v="2"/>
    <x v="3"/>
    <s v="FIN_HELS"/>
    <x v="0"/>
    <x v="21"/>
    <n v="0"/>
    <n v="0"/>
  </r>
  <r>
    <x v="0"/>
    <x v="0"/>
    <x v="0"/>
    <x v="2"/>
    <x v="3"/>
    <s v="FIN_HELS"/>
    <x v="0"/>
    <x v="22"/>
    <n v="0"/>
    <n v="0"/>
  </r>
  <r>
    <x v="0"/>
    <x v="0"/>
    <x v="0"/>
    <x v="2"/>
    <x v="3"/>
    <s v="FIN_HELS"/>
    <x v="0"/>
    <x v="23"/>
    <n v="0"/>
    <n v="0"/>
  </r>
  <r>
    <x v="0"/>
    <x v="0"/>
    <x v="0"/>
    <x v="2"/>
    <x v="3"/>
    <s v="FIN_HP"/>
    <x v="0"/>
    <x v="0"/>
    <n v="0"/>
    <n v="0"/>
  </r>
  <r>
    <x v="0"/>
    <x v="0"/>
    <x v="0"/>
    <x v="2"/>
    <x v="3"/>
    <s v="FIN_HP"/>
    <x v="0"/>
    <x v="1"/>
    <n v="0"/>
    <n v="0"/>
  </r>
  <r>
    <x v="0"/>
    <x v="0"/>
    <x v="0"/>
    <x v="2"/>
    <x v="3"/>
    <s v="FIN_HP"/>
    <x v="0"/>
    <x v="2"/>
    <n v="0"/>
    <n v="0"/>
  </r>
  <r>
    <x v="0"/>
    <x v="0"/>
    <x v="0"/>
    <x v="2"/>
    <x v="3"/>
    <s v="FIN_HP"/>
    <x v="0"/>
    <x v="3"/>
    <n v="0"/>
    <n v="0"/>
  </r>
  <r>
    <x v="0"/>
    <x v="0"/>
    <x v="0"/>
    <x v="2"/>
    <x v="3"/>
    <s v="FIN_HP"/>
    <x v="0"/>
    <x v="4"/>
    <n v="0"/>
    <n v="0"/>
  </r>
  <r>
    <x v="0"/>
    <x v="0"/>
    <x v="0"/>
    <x v="2"/>
    <x v="3"/>
    <s v="FIN_HP"/>
    <x v="0"/>
    <x v="5"/>
    <n v="0"/>
    <n v="0"/>
  </r>
  <r>
    <x v="0"/>
    <x v="0"/>
    <x v="0"/>
    <x v="2"/>
    <x v="3"/>
    <s v="FIN_HP"/>
    <x v="0"/>
    <x v="6"/>
    <n v="0"/>
    <n v="0"/>
  </r>
  <r>
    <x v="0"/>
    <x v="0"/>
    <x v="0"/>
    <x v="2"/>
    <x v="3"/>
    <s v="FIN_HP"/>
    <x v="0"/>
    <x v="7"/>
    <n v="0"/>
    <n v="0"/>
  </r>
  <r>
    <x v="0"/>
    <x v="0"/>
    <x v="0"/>
    <x v="2"/>
    <x v="3"/>
    <s v="FIN_HP"/>
    <x v="0"/>
    <x v="8"/>
    <n v="0"/>
    <n v="0"/>
  </r>
  <r>
    <x v="0"/>
    <x v="0"/>
    <x v="0"/>
    <x v="2"/>
    <x v="3"/>
    <s v="FIN_HP"/>
    <x v="0"/>
    <x v="9"/>
    <n v="0"/>
    <n v="0"/>
  </r>
  <r>
    <x v="0"/>
    <x v="0"/>
    <x v="0"/>
    <x v="2"/>
    <x v="3"/>
    <s v="FIN_HP"/>
    <x v="0"/>
    <x v="10"/>
    <n v="0"/>
    <n v="0"/>
  </r>
  <r>
    <x v="0"/>
    <x v="0"/>
    <x v="0"/>
    <x v="2"/>
    <x v="3"/>
    <s v="FIN_HP"/>
    <x v="0"/>
    <x v="11"/>
    <n v="0"/>
    <n v="0"/>
  </r>
  <r>
    <x v="0"/>
    <x v="0"/>
    <x v="0"/>
    <x v="2"/>
    <x v="3"/>
    <s v="FIN_HP"/>
    <x v="0"/>
    <x v="12"/>
    <n v="0"/>
    <n v="0"/>
  </r>
  <r>
    <x v="0"/>
    <x v="0"/>
    <x v="0"/>
    <x v="2"/>
    <x v="3"/>
    <s v="FIN_HP"/>
    <x v="0"/>
    <x v="13"/>
    <n v="0"/>
    <n v="0"/>
  </r>
  <r>
    <x v="0"/>
    <x v="0"/>
    <x v="0"/>
    <x v="2"/>
    <x v="3"/>
    <s v="FIN_HP"/>
    <x v="0"/>
    <x v="14"/>
    <n v="0"/>
    <n v="0"/>
  </r>
  <r>
    <x v="0"/>
    <x v="0"/>
    <x v="0"/>
    <x v="2"/>
    <x v="3"/>
    <s v="FIN_HP"/>
    <x v="0"/>
    <x v="15"/>
    <n v="0"/>
    <n v="0"/>
  </r>
  <r>
    <x v="0"/>
    <x v="0"/>
    <x v="0"/>
    <x v="2"/>
    <x v="3"/>
    <s v="FIN_HP"/>
    <x v="0"/>
    <x v="16"/>
    <n v="0"/>
    <n v="0"/>
  </r>
  <r>
    <x v="0"/>
    <x v="0"/>
    <x v="0"/>
    <x v="2"/>
    <x v="3"/>
    <s v="FIN_HP"/>
    <x v="0"/>
    <x v="17"/>
    <n v="0"/>
    <n v="0"/>
  </r>
  <r>
    <x v="0"/>
    <x v="0"/>
    <x v="0"/>
    <x v="2"/>
    <x v="3"/>
    <s v="FIN_HP"/>
    <x v="0"/>
    <x v="18"/>
    <n v="0"/>
    <n v="0"/>
  </r>
  <r>
    <x v="0"/>
    <x v="0"/>
    <x v="0"/>
    <x v="2"/>
    <x v="3"/>
    <s v="FIN_HP"/>
    <x v="0"/>
    <x v="19"/>
    <n v="0"/>
    <n v="0"/>
  </r>
  <r>
    <x v="0"/>
    <x v="0"/>
    <x v="0"/>
    <x v="2"/>
    <x v="3"/>
    <s v="FIN_HP"/>
    <x v="0"/>
    <x v="20"/>
    <n v="0"/>
    <n v="0"/>
  </r>
  <r>
    <x v="0"/>
    <x v="0"/>
    <x v="0"/>
    <x v="2"/>
    <x v="3"/>
    <s v="FIN_HP"/>
    <x v="0"/>
    <x v="21"/>
    <n v="0"/>
    <n v="0"/>
  </r>
  <r>
    <x v="0"/>
    <x v="0"/>
    <x v="0"/>
    <x v="2"/>
    <x v="3"/>
    <s v="FIN_HP"/>
    <x v="0"/>
    <x v="22"/>
    <n v="0"/>
    <n v="0"/>
  </r>
  <r>
    <x v="0"/>
    <x v="0"/>
    <x v="0"/>
    <x v="2"/>
    <x v="3"/>
    <s v="FIN_HP"/>
    <x v="0"/>
    <x v="23"/>
    <n v="0"/>
    <n v="0"/>
  </r>
  <r>
    <x v="0"/>
    <x v="0"/>
    <x v="0"/>
    <x v="2"/>
    <x v="3"/>
    <s v="FIN_OTHER"/>
    <x v="0"/>
    <x v="0"/>
    <n v="3682.7333369541202"/>
    <n v="13257.8400130348"/>
  </r>
  <r>
    <x v="0"/>
    <x v="0"/>
    <x v="0"/>
    <x v="2"/>
    <x v="3"/>
    <s v="FIN_OTHER"/>
    <x v="0"/>
    <x v="1"/>
    <n v="3977.7454953371298"/>
    <n v="14319.8837832137"/>
  </r>
  <r>
    <x v="0"/>
    <x v="0"/>
    <x v="0"/>
    <x v="2"/>
    <x v="3"/>
    <s v="FIN_OTHER"/>
    <x v="0"/>
    <x v="2"/>
    <n v="7557.8340823360304"/>
    <n v="27208.202696409699"/>
  </r>
  <r>
    <x v="0"/>
    <x v="0"/>
    <x v="0"/>
    <x v="2"/>
    <x v="3"/>
    <s v="FIN_OTHER"/>
    <x v="0"/>
    <x v="3"/>
    <n v="7557.8340823360304"/>
    <n v="27208.202696409699"/>
  </r>
  <r>
    <x v="0"/>
    <x v="0"/>
    <x v="0"/>
    <x v="2"/>
    <x v="3"/>
    <s v="FIN_OTHER"/>
    <x v="0"/>
    <x v="4"/>
    <n v="7557.8340823360304"/>
    <n v="27208.202696409699"/>
  </r>
  <r>
    <x v="0"/>
    <x v="0"/>
    <x v="0"/>
    <x v="2"/>
    <x v="3"/>
    <s v="FIN_OTHER"/>
    <x v="0"/>
    <x v="5"/>
    <n v="10221.2855625131"/>
    <n v="36796.628025047299"/>
  </r>
  <r>
    <x v="0"/>
    <x v="0"/>
    <x v="0"/>
    <x v="2"/>
    <x v="3"/>
    <s v="FIN_OTHER"/>
    <x v="0"/>
    <x v="6"/>
    <n v="10221.2855625131"/>
    <n v="36796.628025047299"/>
  </r>
  <r>
    <x v="0"/>
    <x v="0"/>
    <x v="0"/>
    <x v="2"/>
    <x v="3"/>
    <s v="FIN_OTHER"/>
    <x v="0"/>
    <x v="7"/>
    <n v="9457.3268661837592"/>
    <n v="34046.376718261497"/>
  </r>
  <r>
    <x v="0"/>
    <x v="0"/>
    <x v="0"/>
    <x v="2"/>
    <x v="3"/>
    <s v="FIN_OTHER"/>
    <x v="0"/>
    <x v="8"/>
    <n v="7088.4334161498"/>
    <n v="25518.360298139301"/>
  </r>
  <r>
    <x v="0"/>
    <x v="0"/>
    <x v="0"/>
    <x v="2"/>
    <x v="3"/>
    <s v="FIN_OTHER"/>
    <x v="0"/>
    <x v="9"/>
    <n v="4693.8254808787397"/>
    <n v="16897.771731163499"/>
  </r>
  <r>
    <x v="0"/>
    <x v="0"/>
    <x v="0"/>
    <x v="2"/>
    <x v="3"/>
    <s v="FIN_OTHER"/>
    <x v="0"/>
    <x v="10"/>
    <n v="2720.5442195443602"/>
    <n v="9793.9591903596902"/>
  </r>
  <r>
    <x v="0"/>
    <x v="0"/>
    <x v="0"/>
    <x v="2"/>
    <x v="3"/>
    <s v="FIN_OTHER"/>
    <x v="0"/>
    <x v="11"/>
    <n v="1428.88086558483"/>
    <n v="5143.9711161053701"/>
  </r>
  <r>
    <x v="0"/>
    <x v="0"/>
    <x v="0"/>
    <x v="2"/>
    <x v="3"/>
    <s v="FIN_OTHER"/>
    <x v="0"/>
    <x v="12"/>
    <n v="629.66504968621098"/>
    <n v="2266.7941788703602"/>
  </r>
  <r>
    <x v="0"/>
    <x v="0"/>
    <x v="0"/>
    <x v="2"/>
    <x v="3"/>
    <s v="FIN_OTHER"/>
    <x v="0"/>
    <x v="13"/>
    <n v="282.46459840776203"/>
    <n v="1016.87255426794"/>
  </r>
  <r>
    <x v="0"/>
    <x v="0"/>
    <x v="0"/>
    <x v="2"/>
    <x v="3"/>
    <s v="FIN_OTHER"/>
    <x v="0"/>
    <x v="14"/>
    <n v="87.269092717733898"/>
    <n v="314.16873378384201"/>
  </r>
  <r>
    <x v="0"/>
    <x v="0"/>
    <x v="0"/>
    <x v="2"/>
    <x v="3"/>
    <s v="FIN_OTHER"/>
    <x v="0"/>
    <x v="15"/>
    <n v="73.575489894661501"/>
    <n v="264.871763620781"/>
  </r>
  <r>
    <x v="0"/>
    <x v="0"/>
    <x v="0"/>
    <x v="2"/>
    <x v="3"/>
    <s v="FIN_OTHER"/>
    <x v="0"/>
    <x v="16"/>
    <n v="0"/>
    <n v="0"/>
  </r>
  <r>
    <x v="0"/>
    <x v="0"/>
    <x v="0"/>
    <x v="2"/>
    <x v="3"/>
    <s v="FIN_OTHER"/>
    <x v="0"/>
    <x v="17"/>
    <n v="0"/>
    <n v="0"/>
  </r>
  <r>
    <x v="0"/>
    <x v="0"/>
    <x v="0"/>
    <x v="2"/>
    <x v="3"/>
    <s v="FIN_OTHER"/>
    <x v="0"/>
    <x v="18"/>
    <n v="0"/>
    <n v="0"/>
  </r>
  <r>
    <x v="0"/>
    <x v="0"/>
    <x v="0"/>
    <x v="2"/>
    <x v="3"/>
    <s v="FIN_OTHER"/>
    <x v="0"/>
    <x v="19"/>
    <n v="0"/>
    <n v="0"/>
  </r>
  <r>
    <x v="0"/>
    <x v="0"/>
    <x v="0"/>
    <x v="2"/>
    <x v="3"/>
    <s v="FIN_OTHER"/>
    <x v="0"/>
    <x v="20"/>
    <n v="0"/>
    <n v="0"/>
  </r>
  <r>
    <x v="0"/>
    <x v="0"/>
    <x v="0"/>
    <x v="2"/>
    <x v="3"/>
    <s v="FIN_OTHER"/>
    <x v="0"/>
    <x v="21"/>
    <n v="0"/>
    <n v="0"/>
  </r>
  <r>
    <x v="0"/>
    <x v="0"/>
    <x v="0"/>
    <x v="2"/>
    <x v="3"/>
    <s v="FIN_OTHER"/>
    <x v="0"/>
    <x v="22"/>
    <n v="0"/>
    <n v="0"/>
  </r>
  <r>
    <x v="0"/>
    <x v="0"/>
    <x v="0"/>
    <x v="2"/>
    <x v="3"/>
    <s v="FIN_OTHER"/>
    <x v="0"/>
    <x v="23"/>
    <n v="0"/>
    <n v="0"/>
  </r>
  <r>
    <x v="0"/>
    <x v="0"/>
    <x v="0"/>
    <x v="2"/>
    <x v="3"/>
    <s v="FIN_TAMP"/>
    <x v="0"/>
    <x v="0"/>
    <n v="0"/>
    <n v="0"/>
  </r>
  <r>
    <x v="0"/>
    <x v="0"/>
    <x v="0"/>
    <x v="2"/>
    <x v="3"/>
    <s v="FIN_TAMP"/>
    <x v="0"/>
    <x v="1"/>
    <n v="0"/>
    <n v="0"/>
  </r>
  <r>
    <x v="0"/>
    <x v="0"/>
    <x v="0"/>
    <x v="2"/>
    <x v="3"/>
    <s v="FIN_TAMP"/>
    <x v="0"/>
    <x v="2"/>
    <n v="0"/>
    <n v="0"/>
  </r>
  <r>
    <x v="0"/>
    <x v="0"/>
    <x v="0"/>
    <x v="2"/>
    <x v="3"/>
    <s v="FIN_TAMP"/>
    <x v="0"/>
    <x v="3"/>
    <n v="0"/>
    <n v="0"/>
  </r>
  <r>
    <x v="0"/>
    <x v="0"/>
    <x v="0"/>
    <x v="2"/>
    <x v="3"/>
    <s v="FIN_TAMP"/>
    <x v="0"/>
    <x v="4"/>
    <n v="0"/>
    <n v="0"/>
  </r>
  <r>
    <x v="0"/>
    <x v="0"/>
    <x v="0"/>
    <x v="2"/>
    <x v="3"/>
    <s v="FIN_TAMP"/>
    <x v="0"/>
    <x v="5"/>
    <n v="0"/>
    <n v="0"/>
  </r>
  <r>
    <x v="0"/>
    <x v="0"/>
    <x v="0"/>
    <x v="2"/>
    <x v="3"/>
    <s v="FIN_TAMP"/>
    <x v="0"/>
    <x v="6"/>
    <n v="0"/>
    <n v="0"/>
  </r>
  <r>
    <x v="0"/>
    <x v="0"/>
    <x v="0"/>
    <x v="2"/>
    <x v="3"/>
    <s v="FIN_TAMP"/>
    <x v="0"/>
    <x v="7"/>
    <n v="0"/>
    <n v="0"/>
  </r>
  <r>
    <x v="0"/>
    <x v="0"/>
    <x v="0"/>
    <x v="2"/>
    <x v="3"/>
    <s v="FIN_TAMP"/>
    <x v="0"/>
    <x v="8"/>
    <n v="0"/>
    <n v="0"/>
  </r>
  <r>
    <x v="0"/>
    <x v="0"/>
    <x v="0"/>
    <x v="2"/>
    <x v="3"/>
    <s v="FIN_TAMP"/>
    <x v="0"/>
    <x v="9"/>
    <n v="0"/>
    <n v="0"/>
  </r>
  <r>
    <x v="0"/>
    <x v="0"/>
    <x v="0"/>
    <x v="2"/>
    <x v="3"/>
    <s v="FIN_TAMP"/>
    <x v="0"/>
    <x v="10"/>
    <n v="0"/>
    <n v="0"/>
  </r>
  <r>
    <x v="0"/>
    <x v="0"/>
    <x v="0"/>
    <x v="2"/>
    <x v="3"/>
    <s v="FIN_TAMP"/>
    <x v="0"/>
    <x v="11"/>
    <n v="0"/>
    <n v="0"/>
  </r>
  <r>
    <x v="0"/>
    <x v="0"/>
    <x v="0"/>
    <x v="2"/>
    <x v="3"/>
    <s v="FIN_TAMP"/>
    <x v="0"/>
    <x v="12"/>
    <n v="0"/>
    <n v="0"/>
  </r>
  <r>
    <x v="0"/>
    <x v="0"/>
    <x v="0"/>
    <x v="2"/>
    <x v="3"/>
    <s v="FIN_TAMP"/>
    <x v="0"/>
    <x v="13"/>
    <n v="0"/>
    <n v="0"/>
  </r>
  <r>
    <x v="0"/>
    <x v="0"/>
    <x v="0"/>
    <x v="2"/>
    <x v="3"/>
    <s v="FIN_TAMP"/>
    <x v="0"/>
    <x v="14"/>
    <n v="0"/>
    <n v="0"/>
  </r>
  <r>
    <x v="0"/>
    <x v="0"/>
    <x v="0"/>
    <x v="2"/>
    <x v="3"/>
    <s v="FIN_TAMP"/>
    <x v="0"/>
    <x v="15"/>
    <n v="0"/>
    <n v="0"/>
  </r>
  <r>
    <x v="0"/>
    <x v="0"/>
    <x v="0"/>
    <x v="2"/>
    <x v="3"/>
    <s v="FIN_TAMP"/>
    <x v="0"/>
    <x v="16"/>
    <n v="0"/>
    <n v="0"/>
  </r>
  <r>
    <x v="0"/>
    <x v="0"/>
    <x v="0"/>
    <x v="2"/>
    <x v="3"/>
    <s v="FIN_TAMP"/>
    <x v="0"/>
    <x v="17"/>
    <n v="0"/>
    <n v="0"/>
  </r>
  <r>
    <x v="0"/>
    <x v="0"/>
    <x v="0"/>
    <x v="2"/>
    <x v="3"/>
    <s v="FIN_TAMP"/>
    <x v="0"/>
    <x v="18"/>
    <n v="0"/>
    <n v="0"/>
  </r>
  <r>
    <x v="0"/>
    <x v="0"/>
    <x v="0"/>
    <x v="2"/>
    <x v="3"/>
    <s v="FIN_TAMP"/>
    <x v="0"/>
    <x v="19"/>
    <n v="0"/>
    <n v="0"/>
  </r>
  <r>
    <x v="0"/>
    <x v="0"/>
    <x v="0"/>
    <x v="2"/>
    <x v="3"/>
    <s v="FIN_TAMP"/>
    <x v="0"/>
    <x v="20"/>
    <n v="0"/>
    <n v="0"/>
  </r>
  <r>
    <x v="0"/>
    <x v="0"/>
    <x v="0"/>
    <x v="2"/>
    <x v="3"/>
    <s v="FIN_TAMP"/>
    <x v="0"/>
    <x v="21"/>
    <n v="0"/>
    <n v="0"/>
  </r>
  <r>
    <x v="0"/>
    <x v="0"/>
    <x v="0"/>
    <x v="2"/>
    <x v="3"/>
    <s v="FIN_TAMP"/>
    <x v="0"/>
    <x v="22"/>
    <n v="0"/>
    <n v="0"/>
  </r>
  <r>
    <x v="0"/>
    <x v="0"/>
    <x v="0"/>
    <x v="2"/>
    <x v="3"/>
    <s v="FIN_TAMP"/>
    <x v="0"/>
    <x v="23"/>
    <n v="0"/>
    <n v="0"/>
  </r>
  <r>
    <x v="0"/>
    <x v="0"/>
    <x v="0"/>
    <x v="3"/>
    <x v="4"/>
    <s v="DE4-E_A"/>
    <x v="0"/>
    <x v="0"/>
    <n v="951.60352810632298"/>
    <n v="3425.7727011827601"/>
  </r>
  <r>
    <x v="0"/>
    <x v="0"/>
    <x v="0"/>
    <x v="3"/>
    <x v="4"/>
    <s v="DE4-E_A"/>
    <x v="0"/>
    <x v="1"/>
    <n v="6496.9978100770004"/>
    <n v="23389.192116277201"/>
  </r>
  <r>
    <x v="0"/>
    <x v="0"/>
    <x v="0"/>
    <x v="3"/>
    <x v="4"/>
    <s v="DE4-E_A"/>
    <x v="0"/>
    <x v="2"/>
    <n v="12264.0223477166"/>
    <n v="44150.4804517796"/>
  </r>
  <r>
    <x v="0"/>
    <x v="0"/>
    <x v="0"/>
    <x v="3"/>
    <x v="4"/>
    <s v="DE4-E_A"/>
    <x v="0"/>
    <x v="3"/>
    <n v="18232.528935964201"/>
    <n v="65637.104169471204"/>
  </r>
  <r>
    <x v="0"/>
    <x v="0"/>
    <x v="0"/>
    <x v="3"/>
    <x v="4"/>
    <s v="DE4-E_A"/>
    <x v="0"/>
    <x v="4"/>
    <n v="23898.812448299701"/>
    <n v="86035.724813879104"/>
  </r>
  <r>
    <x v="0"/>
    <x v="0"/>
    <x v="0"/>
    <x v="3"/>
    <x v="4"/>
    <s v="DE4-E_A"/>
    <x v="0"/>
    <x v="5"/>
    <n v="29343.465704966398"/>
    <n v="105636.476537879"/>
  </r>
  <r>
    <x v="0"/>
    <x v="0"/>
    <x v="0"/>
    <x v="3"/>
    <x v="4"/>
    <s v="DE4-E_A"/>
    <x v="0"/>
    <x v="6"/>
    <n v="36459.627392444003"/>
    <n v="131254.658612798"/>
  </r>
  <r>
    <x v="0"/>
    <x v="0"/>
    <x v="0"/>
    <x v="3"/>
    <x v="4"/>
    <s v="DE4-E_A"/>
    <x v="0"/>
    <x v="7"/>
    <n v="39454.1509406533"/>
    <n v="142034.94338635201"/>
  </r>
  <r>
    <x v="0"/>
    <x v="0"/>
    <x v="0"/>
    <x v="3"/>
    <x v="4"/>
    <s v="DE4-E_A"/>
    <x v="0"/>
    <x v="8"/>
    <n v="37070.826758904201"/>
    <n v="133454.976332055"/>
  </r>
  <r>
    <x v="0"/>
    <x v="0"/>
    <x v="0"/>
    <x v="3"/>
    <x v="4"/>
    <s v="DE4-E_A"/>
    <x v="0"/>
    <x v="9"/>
    <n v="33860.365737816697"/>
    <n v="121897.31665614"/>
  </r>
  <r>
    <x v="0"/>
    <x v="0"/>
    <x v="0"/>
    <x v="3"/>
    <x v="4"/>
    <s v="DE4-E_A"/>
    <x v="0"/>
    <x v="10"/>
    <n v="30755.9479012597"/>
    <n v="110721.412444535"/>
  </r>
  <r>
    <x v="0"/>
    <x v="0"/>
    <x v="0"/>
    <x v="3"/>
    <x v="4"/>
    <s v="DE4-E_A"/>
    <x v="0"/>
    <x v="11"/>
    <n v="27460.652332547601"/>
    <n v="98858.348397171503"/>
  </r>
  <r>
    <x v="0"/>
    <x v="0"/>
    <x v="0"/>
    <x v="3"/>
    <x v="4"/>
    <s v="DE4-E_A"/>
    <x v="0"/>
    <x v="12"/>
    <n v="21901.1513730802"/>
    <n v="78844.144943088599"/>
  </r>
  <r>
    <x v="0"/>
    <x v="0"/>
    <x v="0"/>
    <x v="3"/>
    <x v="4"/>
    <s v="DE4-E_A"/>
    <x v="0"/>
    <x v="13"/>
    <n v="17529.3340803551"/>
    <n v="63105.602689278297"/>
  </r>
  <r>
    <x v="0"/>
    <x v="0"/>
    <x v="0"/>
    <x v="3"/>
    <x v="4"/>
    <s v="DE4-E_A"/>
    <x v="0"/>
    <x v="14"/>
    <n v="13984.6536269685"/>
    <n v="50344.753057086498"/>
  </r>
  <r>
    <x v="0"/>
    <x v="0"/>
    <x v="0"/>
    <x v="3"/>
    <x v="4"/>
    <s v="DE4-E_A"/>
    <x v="0"/>
    <x v="15"/>
    <n v="12555.7181059945"/>
    <n v="45200.585181580202"/>
  </r>
  <r>
    <x v="0"/>
    <x v="0"/>
    <x v="0"/>
    <x v="3"/>
    <x v="4"/>
    <s v="DE4-E_A"/>
    <x v="0"/>
    <x v="16"/>
    <n v="10808.653031428799"/>
    <n v="38911.1509131438"/>
  </r>
  <r>
    <x v="0"/>
    <x v="0"/>
    <x v="0"/>
    <x v="3"/>
    <x v="4"/>
    <s v="DE4-E_A"/>
    <x v="0"/>
    <x v="17"/>
    <n v="8870.7102247081093"/>
    <n v="31934.556808949201"/>
  </r>
  <r>
    <x v="0"/>
    <x v="0"/>
    <x v="0"/>
    <x v="3"/>
    <x v="4"/>
    <s v="DE4-E_A"/>
    <x v="0"/>
    <x v="18"/>
    <n v="6360.1342215223103"/>
    <n v="22896.483197480298"/>
  </r>
  <r>
    <x v="0"/>
    <x v="0"/>
    <x v="0"/>
    <x v="3"/>
    <x v="4"/>
    <s v="DE4-E_A"/>
    <x v="0"/>
    <x v="19"/>
    <n v="3934.3927659609799"/>
    <n v="14163.813957459501"/>
  </r>
  <r>
    <x v="0"/>
    <x v="0"/>
    <x v="0"/>
    <x v="3"/>
    <x v="4"/>
    <s v="DE4-E_A"/>
    <x v="0"/>
    <x v="20"/>
    <n v="2378.2054235503201"/>
    <n v="8561.5395247811703"/>
  </r>
  <r>
    <x v="0"/>
    <x v="0"/>
    <x v="0"/>
    <x v="3"/>
    <x v="4"/>
    <s v="DE4-E_A"/>
    <x v="0"/>
    <x v="21"/>
    <n v="0"/>
    <n v="0"/>
  </r>
  <r>
    <x v="0"/>
    <x v="0"/>
    <x v="0"/>
    <x v="3"/>
    <x v="4"/>
    <s v="DE4-E_A"/>
    <x v="0"/>
    <x v="22"/>
    <n v="0"/>
    <n v="0"/>
  </r>
  <r>
    <x v="0"/>
    <x v="0"/>
    <x v="0"/>
    <x v="3"/>
    <x v="4"/>
    <s v="DE4-E_A"/>
    <x v="0"/>
    <x v="23"/>
    <n v="0"/>
    <n v="0"/>
  </r>
  <r>
    <x v="0"/>
    <x v="0"/>
    <x v="0"/>
    <x v="3"/>
    <x v="5"/>
    <s v="DE4-N_A"/>
    <x v="0"/>
    <x v="0"/>
    <n v="0"/>
    <n v="0"/>
  </r>
  <r>
    <x v="0"/>
    <x v="0"/>
    <x v="0"/>
    <x v="3"/>
    <x v="5"/>
    <s v="DE4-N_A"/>
    <x v="0"/>
    <x v="1"/>
    <n v="0"/>
    <n v="0"/>
  </r>
  <r>
    <x v="0"/>
    <x v="0"/>
    <x v="0"/>
    <x v="3"/>
    <x v="5"/>
    <s v="DE4-N_A"/>
    <x v="0"/>
    <x v="2"/>
    <n v="0"/>
    <n v="0"/>
  </r>
  <r>
    <x v="0"/>
    <x v="0"/>
    <x v="0"/>
    <x v="3"/>
    <x v="5"/>
    <s v="DE4-N_A"/>
    <x v="0"/>
    <x v="3"/>
    <n v="0"/>
    <n v="0"/>
  </r>
  <r>
    <x v="0"/>
    <x v="0"/>
    <x v="0"/>
    <x v="3"/>
    <x v="5"/>
    <s v="DE4-N_A"/>
    <x v="0"/>
    <x v="4"/>
    <n v="0"/>
    <n v="0"/>
  </r>
  <r>
    <x v="0"/>
    <x v="0"/>
    <x v="0"/>
    <x v="3"/>
    <x v="5"/>
    <s v="DE4-N_A"/>
    <x v="0"/>
    <x v="5"/>
    <n v="0"/>
    <n v="0"/>
  </r>
  <r>
    <x v="0"/>
    <x v="0"/>
    <x v="0"/>
    <x v="3"/>
    <x v="5"/>
    <s v="DE4-N_A"/>
    <x v="0"/>
    <x v="6"/>
    <n v="0"/>
    <n v="0"/>
  </r>
  <r>
    <x v="0"/>
    <x v="0"/>
    <x v="0"/>
    <x v="3"/>
    <x v="5"/>
    <s v="DE4-N_A"/>
    <x v="0"/>
    <x v="7"/>
    <n v="0"/>
    <n v="0"/>
  </r>
  <r>
    <x v="0"/>
    <x v="0"/>
    <x v="0"/>
    <x v="3"/>
    <x v="5"/>
    <s v="DE4-N_A"/>
    <x v="0"/>
    <x v="8"/>
    <n v="0"/>
    <n v="0"/>
  </r>
  <r>
    <x v="0"/>
    <x v="0"/>
    <x v="0"/>
    <x v="3"/>
    <x v="5"/>
    <s v="DE4-N_A"/>
    <x v="0"/>
    <x v="9"/>
    <n v="0"/>
    <n v="0"/>
  </r>
  <r>
    <x v="0"/>
    <x v="0"/>
    <x v="0"/>
    <x v="3"/>
    <x v="5"/>
    <s v="DE4-N_A"/>
    <x v="0"/>
    <x v="10"/>
    <n v="0"/>
    <n v="0"/>
  </r>
  <r>
    <x v="0"/>
    <x v="0"/>
    <x v="0"/>
    <x v="3"/>
    <x v="5"/>
    <s v="DE4-N_A"/>
    <x v="0"/>
    <x v="11"/>
    <n v="0"/>
    <n v="0"/>
  </r>
  <r>
    <x v="0"/>
    <x v="0"/>
    <x v="0"/>
    <x v="3"/>
    <x v="5"/>
    <s v="DE4-N_A"/>
    <x v="0"/>
    <x v="12"/>
    <n v="0"/>
    <n v="0"/>
  </r>
  <r>
    <x v="0"/>
    <x v="0"/>
    <x v="0"/>
    <x v="3"/>
    <x v="5"/>
    <s v="DE4-N_A"/>
    <x v="0"/>
    <x v="13"/>
    <n v="0"/>
    <n v="0"/>
  </r>
  <r>
    <x v="0"/>
    <x v="0"/>
    <x v="0"/>
    <x v="3"/>
    <x v="5"/>
    <s v="DE4-N_A"/>
    <x v="0"/>
    <x v="14"/>
    <n v="0"/>
    <n v="0"/>
  </r>
  <r>
    <x v="0"/>
    <x v="0"/>
    <x v="0"/>
    <x v="3"/>
    <x v="5"/>
    <s v="DE4-N_A"/>
    <x v="0"/>
    <x v="15"/>
    <n v="0"/>
    <n v="0"/>
  </r>
  <r>
    <x v="0"/>
    <x v="0"/>
    <x v="0"/>
    <x v="3"/>
    <x v="5"/>
    <s v="DE4-N_A"/>
    <x v="0"/>
    <x v="16"/>
    <n v="0"/>
    <n v="0"/>
  </r>
  <r>
    <x v="0"/>
    <x v="0"/>
    <x v="0"/>
    <x v="3"/>
    <x v="5"/>
    <s v="DE4-N_A"/>
    <x v="0"/>
    <x v="17"/>
    <n v="0"/>
    <n v="0"/>
  </r>
  <r>
    <x v="0"/>
    <x v="0"/>
    <x v="0"/>
    <x v="3"/>
    <x v="5"/>
    <s v="DE4-N_A"/>
    <x v="0"/>
    <x v="18"/>
    <n v="0"/>
    <n v="0"/>
  </r>
  <r>
    <x v="0"/>
    <x v="0"/>
    <x v="0"/>
    <x v="3"/>
    <x v="5"/>
    <s v="DE4-N_A"/>
    <x v="0"/>
    <x v="19"/>
    <n v="0"/>
    <n v="0"/>
  </r>
  <r>
    <x v="0"/>
    <x v="0"/>
    <x v="0"/>
    <x v="3"/>
    <x v="5"/>
    <s v="DE4-N_A"/>
    <x v="0"/>
    <x v="20"/>
    <n v="0"/>
    <n v="0"/>
  </r>
  <r>
    <x v="0"/>
    <x v="0"/>
    <x v="0"/>
    <x v="3"/>
    <x v="5"/>
    <s v="DE4-N_A"/>
    <x v="0"/>
    <x v="21"/>
    <n v="0"/>
    <n v="0"/>
  </r>
  <r>
    <x v="0"/>
    <x v="0"/>
    <x v="0"/>
    <x v="3"/>
    <x v="5"/>
    <s v="DE4-N_A"/>
    <x v="0"/>
    <x v="22"/>
    <n v="0"/>
    <n v="0"/>
  </r>
  <r>
    <x v="0"/>
    <x v="0"/>
    <x v="0"/>
    <x v="3"/>
    <x v="5"/>
    <s v="DE4-N_A"/>
    <x v="0"/>
    <x v="23"/>
    <n v="0"/>
    <n v="0"/>
  </r>
  <r>
    <x v="0"/>
    <x v="0"/>
    <x v="0"/>
    <x v="3"/>
    <x v="6"/>
    <s v="DE4-S_A"/>
    <x v="0"/>
    <x v="0"/>
    <n v="9167.5237180161294"/>
    <n v="33003.085384858103"/>
  </r>
  <r>
    <x v="0"/>
    <x v="0"/>
    <x v="0"/>
    <x v="3"/>
    <x v="6"/>
    <s v="DE4-S_A"/>
    <x v="0"/>
    <x v="1"/>
    <n v="13021.270257365401"/>
    <n v="46876.572926515299"/>
  </r>
  <r>
    <x v="0"/>
    <x v="0"/>
    <x v="0"/>
    <x v="3"/>
    <x v="6"/>
    <s v="DE4-S_A"/>
    <x v="0"/>
    <x v="2"/>
    <n v="17027.1911608679"/>
    <n v="61297.888179124297"/>
  </r>
  <r>
    <x v="0"/>
    <x v="0"/>
    <x v="0"/>
    <x v="3"/>
    <x v="6"/>
    <s v="DE4-S_A"/>
    <x v="0"/>
    <x v="3"/>
    <n v="21171.452395418801"/>
    <n v="76217.228623507603"/>
  </r>
  <r>
    <x v="0"/>
    <x v="0"/>
    <x v="0"/>
    <x v="3"/>
    <x v="6"/>
    <s v="DE4-S_A"/>
    <x v="0"/>
    <x v="4"/>
    <n v="25108.203133397099"/>
    <n v="90389.531280229596"/>
  </r>
  <r>
    <x v="0"/>
    <x v="0"/>
    <x v="0"/>
    <x v="3"/>
    <x v="6"/>
    <s v="DE4-S_A"/>
    <x v="0"/>
    <x v="5"/>
    <n v="28892.779507222102"/>
    <n v="104014.006226"/>
  </r>
  <r>
    <x v="0"/>
    <x v="0"/>
    <x v="0"/>
    <x v="3"/>
    <x v="6"/>
    <s v="DE4-S_A"/>
    <x v="0"/>
    <x v="6"/>
    <n v="30256.400087699902"/>
    <n v="108923.04031572001"/>
  </r>
  <r>
    <x v="0"/>
    <x v="0"/>
    <x v="0"/>
    <x v="3"/>
    <x v="6"/>
    <s v="DE4-S_A"/>
    <x v="0"/>
    <x v="7"/>
    <n v="27573.5417838549"/>
    <n v="99264.750421877805"/>
  </r>
  <r>
    <x v="0"/>
    <x v="0"/>
    <x v="0"/>
    <x v="3"/>
    <x v="6"/>
    <s v="DE4-S_A"/>
    <x v="0"/>
    <x v="8"/>
    <n v="31697.002403176601"/>
    <n v="114109.208651436"/>
  </r>
  <r>
    <x v="0"/>
    <x v="0"/>
    <x v="0"/>
    <x v="3"/>
    <x v="6"/>
    <s v="DE4-S_A"/>
    <x v="0"/>
    <x v="9"/>
    <n v="35280.935731409503"/>
    <n v="127011.368633074"/>
  </r>
  <r>
    <x v="0"/>
    <x v="0"/>
    <x v="0"/>
    <x v="3"/>
    <x v="6"/>
    <s v="DE4-S_A"/>
    <x v="0"/>
    <x v="10"/>
    <n v="38507.298828207902"/>
    <n v="138626.275781548"/>
  </r>
  <r>
    <x v="0"/>
    <x v="0"/>
    <x v="0"/>
    <x v="3"/>
    <x v="6"/>
    <s v="DE4-S_A"/>
    <x v="0"/>
    <x v="11"/>
    <n v="31618.894460491301"/>
    <n v="113828.020057769"/>
  </r>
  <r>
    <x v="0"/>
    <x v="0"/>
    <x v="0"/>
    <x v="3"/>
    <x v="6"/>
    <s v="DE4-S_A"/>
    <x v="0"/>
    <x v="12"/>
    <n v="24232.793109235201"/>
    <n v="87238.055193246502"/>
  </r>
  <r>
    <x v="0"/>
    <x v="0"/>
    <x v="0"/>
    <x v="3"/>
    <x v="6"/>
    <s v="DE4-S_A"/>
    <x v="0"/>
    <x v="13"/>
    <n v="17621.397611850101"/>
    <n v="63437.031402660301"/>
  </r>
  <r>
    <x v="0"/>
    <x v="0"/>
    <x v="0"/>
    <x v="3"/>
    <x v="6"/>
    <s v="DE4-S_A"/>
    <x v="0"/>
    <x v="14"/>
    <n v="11549.5294055539"/>
    <n v="41578.305859993903"/>
  </r>
  <r>
    <x v="0"/>
    <x v="0"/>
    <x v="0"/>
    <x v="3"/>
    <x v="6"/>
    <s v="DE4-S_A"/>
    <x v="0"/>
    <x v="15"/>
    <n v="5878.5199510632401"/>
    <n v="21162.671823827699"/>
  </r>
  <r>
    <x v="0"/>
    <x v="0"/>
    <x v="0"/>
    <x v="3"/>
    <x v="6"/>
    <s v="DE4-S_A"/>
    <x v="0"/>
    <x v="16"/>
    <n v="0"/>
    <n v="0"/>
  </r>
  <r>
    <x v="0"/>
    <x v="0"/>
    <x v="0"/>
    <x v="3"/>
    <x v="6"/>
    <s v="DE4-S_A"/>
    <x v="0"/>
    <x v="17"/>
    <n v="3987.2349175647"/>
    <n v="14354.0457032329"/>
  </r>
  <r>
    <x v="0"/>
    <x v="0"/>
    <x v="0"/>
    <x v="3"/>
    <x v="6"/>
    <s v="DE4-S_A"/>
    <x v="0"/>
    <x v="18"/>
    <n v="7600.9509412986799"/>
    <n v="27363.423388675299"/>
  </r>
  <r>
    <x v="0"/>
    <x v="0"/>
    <x v="0"/>
    <x v="3"/>
    <x v="6"/>
    <s v="DE4-S_A"/>
    <x v="0"/>
    <x v="19"/>
    <n v="11270.003097452"/>
    <n v="40572.011150827297"/>
  </r>
  <r>
    <x v="0"/>
    <x v="0"/>
    <x v="0"/>
    <x v="3"/>
    <x v="6"/>
    <s v="DE4-S_A"/>
    <x v="0"/>
    <x v="20"/>
    <n v="15506.2506109039"/>
    <n v="55822.502199253897"/>
  </r>
  <r>
    <x v="0"/>
    <x v="0"/>
    <x v="0"/>
    <x v="3"/>
    <x v="6"/>
    <s v="DE4-S_A"/>
    <x v="0"/>
    <x v="21"/>
    <n v="10195.254225373899"/>
    <n v="36702.915211346197"/>
  </r>
  <r>
    <x v="0"/>
    <x v="0"/>
    <x v="0"/>
    <x v="3"/>
    <x v="6"/>
    <s v="DE4-S_A"/>
    <x v="0"/>
    <x v="22"/>
    <n v="8612.2257545205903"/>
    <n v="31004.012716274101"/>
  </r>
  <r>
    <x v="0"/>
    <x v="0"/>
    <x v="0"/>
    <x v="3"/>
    <x v="6"/>
    <s v="DE4-S_A"/>
    <x v="0"/>
    <x v="23"/>
    <n v="8467.9367265707406"/>
    <n v="30484.572215654702"/>
  </r>
  <r>
    <x v="0"/>
    <x v="0"/>
    <x v="0"/>
    <x v="3"/>
    <x v="7"/>
    <s v="DE4-W_A"/>
    <x v="0"/>
    <x v="0"/>
    <n v="1027.27546230901"/>
    <n v="3698.19166431245"/>
  </r>
  <r>
    <x v="0"/>
    <x v="0"/>
    <x v="0"/>
    <x v="3"/>
    <x v="7"/>
    <s v="DE4-W_A"/>
    <x v="0"/>
    <x v="1"/>
    <n v="4532.4822371921"/>
    <n v="16316.936053891601"/>
  </r>
  <r>
    <x v="0"/>
    <x v="0"/>
    <x v="0"/>
    <x v="3"/>
    <x v="7"/>
    <s v="DE4-W_A"/>
    <x v="0"/>
    <x v="2"/>
    <n v="8253.6010233680699"/>
    <n v="29712.963684125101"/>
  </r>
  <r>
    <x v="0"/>
    <x v="0"/>
    <x v="0"/>
    <x v="3"/>
    <x v="7"/>
    <s v="DE4-W_A"/>
    <x v="0"/>
    <x v="3"/>
    <n v="12171.003456173799"/>
    <n v="43815.612442225698"/>
  </r>
  <r>
    <x v="0"/>
    <x v="0"/>
    <x v="0"/>
    <x v="3"/>
    <x v="7"/>
    <s v="DE4-W_A"/>
    <x v="0"/>
    <x v="4"/>
    <n v="15793.9804190347"/>
    <n v="56858.329508524999"/>
  </r>
  <r>
    <x v="0"/>
    <x v="0"/>
    <x v="0"/>
    <x v="3"/>
    <x v="7"/>
    <s v="DE4-W_A"/>
    <x v="0"/>
    <x v="5"/>
    <n v="19201.0453706029"/>
    <n v="69123.763334170304"/>
  </r>
  <r>
    <x v="0"/>
    <x v="0"/>
    <x v="0"/>
    <x v="3"/>
    <x v="7"/>
    <s v="DE4-W_A"/>
    <x v="0"/>
    <x v="6"/>
    <n v="19173.1465061487"/>
    <n v="69023.327422135495"/>
  </r>
  <r>
    <x v="0"/>
    <x v="0"/>
    <x v="0"/>
    <x v="3"/>
    <x v="7"/>
    <s v="DE4-W_A"/>
    <x v="0"/>
    <x v="7"/>
    <n v="27976.117804901802"/>
    <n v="100714.024097646"/>
  </r>
  <r>
    <x v="0"/>
    <x v="0"/>
    <x v="0"/>
    <x v="3"/>
    <x v="7"/>
    <s v="DE4-W_A"/>
    <x v="0"/>
    <x v="8"/>
    <n v="33232.149737644497"/>
    <n v="119635.73905552"/>
  </r>
  <r>
    <x v="0"/>
    <x v="0"/>
    <x v="0"/>
    <x v="3"/>
    <x v="7"/>
    <s v="DE4-W_A"/>
    <x v="0"/>
    <x v="9"/>
    <n v="37722.675448530703"/>
    <n v="135801.63161471099"/>
  </r>
  <r>
    <x v="0"/>
    <x v="0"/>
    <x v="0"/>
    <x v="3"/>
    <x v="7"/>
    <s v="DE4-W_A"/>
    <x v="0"/>
    <x v="10"/>
    <n v="40893.775024374401"/>
    <n v="147217.59008774799"/>
  </r>
  <r>
    <x v="0"/>
    <x v="0"/>
    <x v="0"/>
    <x v="3"/>
    <x v="7"/>
    <s v="DE4-W_A"/>
    <x v="0"/>
    <x v="11"/>
    <n v="43729.7234655801"/>
    <n v="157427.004476089"/>
  </r>
  <r>
    <x v="0"/>
    <x v="0"/>
    <x v="0"/>
    <x v="3"/>
    <x v="7"/>
    <s v="DE4-W_A"/>
    <x v="0"/>
    <x v="12"/>
    <n v="31466.4455645813"/>
    <n v="113279.204032493"/>
  </r>
  <r>
    <x v="0"/>
    <x v="0"/>
    <x v="0"/>
    <x v="3"/>
    <x v="7"/>
    <s v="DE4-W_A"/>
    <x v="0"/>
    <x v="13"/>
    <n v="20302.356084709601"/>
    <n v="73088.481904954693"/>
  </r>
  <r>
    <x v="0"/>
    <x v="0"/>
    <x v="0"/>
    <x v="3"/>
    <x v="7"/>
    <s v="DE4-W_A"/>
    <x v="0"/>
    <x v="14"/>
    <n v="9903.7728266951199"/>
    <n v="35653.582176102398"/>
  </r>
  <r>
    <x v="0"/>
    <x v="0"/>
    <x v="0"/>
    <x v="3"/>
    <x v="7"/>
    <s v="DE4-W_A"/>
    <x v="0"/>
    <x v="15"/>
    <n v="0"/>
    <n v="0"/>
  </r>
  <r>
    <x v="0"/>
    <x v="0"/>
    <x v="0"/>
    <x v="3"/>
    <x v="7"/>
    <s v="DE4-W_A"/>
    <x v="0"/>
    <x v="16"/>
    <n v="4268.81906160363"/>
    <n v="15367.7486217731"/>
  </r>
  <r>
    <x v="0"/>
    <x v="0"/>
    <x v="0"/>
    <x v="3"/>
    <x v="7"/>
    <s v="DE4-W_A"/>
    <x v="0"/>
    <x v="17"/>
    <n v="8360.9828412403604"/>
    <n v="30099.538228465299"/>
  </r>
  <r>
    <x v="0"/>
    <x v="0"/>
    <x v="0"/>
    <x v="3"/>
    <x v="7"/>
    <s v="DE4-W_A"/>
    <x v="0"/>
    <x v="18"/>
    <n v="11923.180774976599"/>
    <n v="42923.450789915798"/>
  </r>
  <r>
    <x v="0"/>
    <x v="0"/>
    <x v="0"/>
    <x v="3"/>
    <x v="7"/>
    <s v="DE4-W_A"/>
    <x v="0"/>
    <x v="19"/>
    <n v="15563.8921673648"/>
    <n v="56030.0118025134"/>
  </r>
  <r>
    <x v="0"/>
    <x v="0"/>
    <x v="0"/>
    <x v="3"/>
    <x v="7"/>
    <s v="DE4-W_A"/>
    <x v="0"/>
    <x v="20"/>
    <n v="17692.4901825261"/>
    <n v="63692.964657093798"/>
  </r>
  <r>
    <x v="0"/>
    <x v="0"/>
    <x v="0"/>
    <x v="3"/>
    <x v="7"/>
    <s v="DE4-W_A"/>
    <x v="0"/>
    <x v="21"/>
    <n v="8373.4669809748902"/>
    <n v="30144.481131509601"/>
  </r>
  <r>
    <x v="0"/>
    <x v="0"/>
    <x v="0"/>
    <x v="3"/>
    <x v="7"/>
    <s v="DE4-W_A"/>
    <x v="0"/>
    <x v="22"/>
    <n v="4164.7264433051496"/>
    <n v="14993.015195898501"/>
  </r>
  <r>
    <x v="0"/>
    <x v="0"/>
    <x v="0"/>
    <x v="3"/>
    <x v="7"/>
    <s v="DE4-W_A"/>
    <x v="0"/>
    <x v="23"/>
    <n v="1997.3358305858001"/>
    <n v="7190.4089901088701"/>
  </r>
  <r>
    <x v="0"/>
    <x v="0"/>
    <x v="0"/>
    <x v="4"/>
    <x v="8"/>
    <s v="LV_A"/>
    <x v="0"/>
    <x v="0"/>
    <n v="0"/>
    <n v="0"/>
  </r>
  <r>
    <x v="0"/>
    <x v="0"/>
    <x v="0"/>
    <x v="4"/>
    <x v="8"/>
    <s v="LV_A"/>
    <x v="0"/>
    <x v="1"/>
    <n v="0"/>
    <n v="0"/>
  </r>
  <r>
    <x v="0"/>
    <x v="0"/>
    <x v="0"/>
    <x v="4"/>
    <x v="8"/>
    <s v="LV_A"/>
    <x v="0"/>
    <x v="2"/>
    <n v="0"/>
    <n v="0"/>
  </r>
  <r>
    <x v="0"/>
    <x v="0"/>
    <x v="0"/>
    <x v="4"/>
    <x v="8"/>
    <s v="LV_A"/>
    <x v="0"/>
    <x v="3"/>
    <n v="0"/>
    <n v="0"/>
  </r>
  <r>
    <x v="0"/>
    <x v="0"/>
    <x v="0"/>
    <x v="4"/>
    <x v="8"/>
    <s v="LV_A"/>
    <x v="0"/>
    <x v="4"/>
    <n v="0"/>
    <n v="0"/>
  </r>
  <r>
    <x v="0"/>
    <x v="0"/>
    <x v="0"/>
    <x v="4"/>
    <x v="8"/>
    <s v="LV_A"/>
    <x v="0"/>
    <x v="5"/>
    <n v="0"/>
    <n v="0"/>
  </r>
  <r>
    <x v="0"/>
    <x v="0"/>
    <x v="0"/>
    <x v="4"/>
    <x v="8"/>
    <s v="LV_A"/>
    <x v="0"/>
    <x v="6"/>
    <n v="0"/>
    <n v="0"/>
  </r>
  <r>
    <x v="0"/>
    <x v="0"/>
    <x v="0"/>
    <x v="4"/>
    <x v="8"/>
    <s v="LV_A"/>
    <x v="0"/>
    <x v="7"/>
    <n v="0"/>
    <n v="0"/>
  </r>
  <r>
    <x v="0"/>
    <x v="0"/>
    <x v="0"/>
    <x v="4"/>
    <x v="8"/>
    <s v="LV_A"/>
    <x v="0"/>
    <x v="8"/>
    <n v="0"/>
    <n v="0"/>
  </r>
  <r>
    <x v="0"/>
    <x v="0"/>
    <x v="0"/>
    <x v="4"/>
    <x v="8"/>
    <s v="LV_A"/>
    <x v="0"/>
    <x v="9"/>
    <n v="0"/>
    <n v="0"/>
  </r>
  <r>
    <x v="0"/>
    <x v="0"/>
    <x v="0"/>
    <x v="4"/>
    <x v="8"/>
    <s v="LV_A"/>
    <x v="0"/>
    <x v="10"/>
    <n v="0"/>
    <n v="0"/>
  </r>
  <r>
    <x v="0"/>
    <x v="0"/>
    <x v="0"/>
    <x v="4"/>
    <x v="8"/>
    <s v="LV_A"/>
    <x v="0"/>
    <x v="11"/>
    <n v="0"/>
    <n v="0"/>
  </r>
  <r>
    <x v="0"/>
    <x v="0"/>
    <x v="0"/>
    <x v="4"/>
    <x v="8"/>
    <s v="LV_A"/>
    <x v="0"/>
    <x v="12"/>
    <n v="0"/>
    <n v="0"/>
  </r>
  <r>
    <x v="0"/>
    <x v="0"/>
    <x v="0"/>
    <x v="4"/>
    <x v="8"/>
    <s v="LV_A"/>
    <x v="0"/>
    <x v="13"/>
    <n v="0"/>
    <n v="0"/>
  </r>
  <r>
    <x v="0"/>
    <x v="0"/>
    <x v="0"/>
    <x v="4"/>
    <x v="8"/>
    <s v="LV_A"/>
    <x v="0"/>
    <x v="14"/>
    <n v="0"/>
    <n v="0"/>
  </r>
  <r>
    <x v="0"/>
    <x v="0"/>
    <x v="0"/>
    <x v="4"/>
    <x v="8"/>
    <s v="LV_A"/>
    <x v="0"/>
    <x v="15"/>
    <n v="0"/>
    <n v="0"/>
  </r>
  <r>
    <x v="0"/>
    <x v="0"/>
    <x v="0"/>
    <x v="4"/>
    <x v="8"/>
    <s v="LV_A"/>
    <x v="0"/>
    <x v="16"/>
    <n v="0"/>
    <n v="0"/>
  </r>
  <r>
    <x v="0"/>
    <x v="0"/>
    <x v="0"/>
    <x v="4"/>
    <x v="8"/>
    <s v="LV_A"/>
    <x v="0"/>
    <x v="17"/>
    <n v="0"/>
    <n v="0"/>
  </r>
  <r>
    <x v="0"/>
    <x v="0"/>
    <x v="0"/>
    <x v="4"/>
    <x v="8"/>
    <s v="LV_A"/>
    <x v="0"/>
    <x v="18"/>
    <n v="0"/>
    <n v="0"/>
  </r>
  <r>
    <x v="0"/>
    <x v="0"/>
    <x v="0"/>
    <x v="4"/>
    <x v="8"/>
    <s v="LV_A"/>
    <x v="0"/>
    <x v="19"/>
    <n v="0"/>
    <n v="0"/>
  </r>
  <r>
    <x v="0"/>
    <x v="0"/>
    <x v="0"/>
    <x v="4"/>
    <x v="8"/>
    <s v="LV_A"/>
    <x v="0"/>
    <x v="20"/>
    <n v="0"/>
    <n v="0"/>
  </r>
  <r>
    <x v="0"/>
    <x v="0"/>
    <x v="0"/>
    <x v="4"/>
    <x v="8"/>
    <s v="LV_A"/>
    <x v="0"/>
    <x v="21"/>
    <n v="0"/>
    <n v="0"/>
  </r>
  <r>
    <x v="0"/>
    <x v="0"/>
    <x v="0"/>
    <x v="4"/>
    <x v="8"/>
    <s v="LV_A"/>
    <x v="0"/>
    <x v="22"/>
    <n v="0"/>
    <n v="0"/>
  </r>
  <r>
    <x v="0"/>
    <x v="0"/>
    <x v="0"/>
    <x v="4"/>
    <x v="8"/>
    <s v="LV_A"/>
    <x v="0"/>
    <x v="23"/>
    <n v="0"/>
    <n v="0"/>
  </r>
  <r>
    <x v="0"/>
    <x v="0"/>
    <x v="0"/>
    <x v="5"/>
    <x v="9"/>
    <s v="LT_A"/>
    <x v="0"/>
    <x v="0"/>
    <n v="0"/>
    <n v="0"/>
  </r>
  <r>
    <x v="0"/>
    <x v="0"/>
    <x v="0"/>
    <x v="5"/>
    <x v="9"/>
    <s v="LT_A"/>
    <x v="0"/>
    <x v="1"/>
    <n v="0"/>
    <n v="0"/>
  </r>
  <r>
    <x v="0"/>
    <x v="0"/>
    <x v="0"/>
    <x v="5"/>
    <x v="9"/>
    <s v="LT_A"/>
    <x v="0"/>
    <x v="2"/>
    <n v="0"/>
    <n v="0"/>
  </r>
  <r>
    <x v="0"/>
    <x v="0"/>
    <x v="0"/>
    <x v="5"/>
    <x v="9"/>
    <s v="LT_A"/>
    <x v="0"/>
    <x v="3"/>
    <n v="0"/>
    <n v="0"/>
  </r>
  <r>
    <x v="0"/>
    <x v="0"/>
    <x v="0"/>
    <x v="5"/>
    <x v="9"/>
    <s v="LT_A"/>
    <x v="0"/>
    <x v="4"/>
    <n v="0"/>
    <n v="0"/>
  </r>
  <r>
    <x v="0"/>
    <x v="0"/>
    <x v="0"/>
    <x v="5"/>
    <x v="9"/>
    <s v="LT_A"/>
    <x v="0"/>
    <x v="5"/>
    <n v="0"/>
    <n v="0"/>
  </r>
  <r>
    <x v="0"/>
    <x v="0"/>
    <x v="0"/>
    <x v="5"/>
    <x v="9"/>
    <s v="LT_A"/>
    <x v="0"/>
    <x v="6"/>
    <n v="0"/>
    <n v="0"/>
  </r>
  <r>
    <x v="0"/>
    <x v="0"/>
    <x v="0"/>
    <x v="5"/>
    <x v="9"/>
    <s v="LT_A"/>
    <x v="0"/>
    <x v="7"/>
    <n v="0"/>
    <n v="0"/>
  </r>
  <r>
    <x v="0"/>
    <x v="0"/>
    <x v="0"/>
    <x v="5"/>
    <x v="9"/>
    <s v="LT_A"/>
    <x v="0"/>
    <x v="8"/>
    <n v="0"/>
    <n v="0"/>
  </r>
  <r>
    <x v="0"/>
    <x v="0"/>
    <x v="0"/>
    <x v="5"/>
    <x v="9"/>
    <s v="LT_A"/>
    <x v="0"/>
    <x v="9"/>
    <n v="0"/>
    <n v="0"/>
  </r>
  <r>
    <x v="0"/>
    <x v="0"/>
    <x v="0"/>
    <x v="5"/>
    <x v="9"/>
    <s v="LT_A"/>
    <x v="0"/>
    <x v="10"/>
    <n v="0"/>
    <n v="0"/>
  </r>
  <r>
    <x v="0"/>
    <x v="0"/>
    <x v="0"/>
    <x v="5"/>
    <x v="9"/>
    <s v="LT_A"/>
    <x v="0"/>
    <x v="11"/>
    <n v="0"/>
    <n v="0"/>
  </r>
  <r>
    <x v="0"/>
    <x v="0"/>
    <x v="0"/>
    <x v="5"/>
    <x v="9"/>
    <s v="LT_A"/>
    <x v="0"/>
    <x v="12"/>
    <n v="0"/>
    <n v="0"/>
  </r>
  <r>
    <x v="0"/>
    <x v="0"/>
    <x v="0"/>
    <x v="5"/>
    <x v="9"/>
    <s v="LT_A"/>
    <x v="0"/>
    <x v="13"/>
    <n v="0"/>
    <n v="0"/>
  </r>
  <r>
    <x v="0"/>
    <x v="0"/>
    <x v="0"/>
    <x v="5"/>
    <x v="9"/>
    <s v="LT_A"/>
    <x v="0"/>
    <x v="14"/>
    <n v="0"/>
    <n v="0"/>
  </r>
  <r>
    <x v="0"/>
    <x v="0"/>
    <x v="0"/>
    <x v="5"/>
    <x v="9"/>
    <s v="LT_A"/>
    <x v="0"/>
    <x v="15"/>
    <n v="0"/>
    <n v="0"/>
  </r>
  <r>
    <x v="0"/>
    <x v="0"/>
    <x v="0"/>
    <x v="5"/>
    <x v="9"/>
    <s v="LT_A"/>
    <x v="0"/>
    <x v="16"/>
    <n v="0"/>
    <n v="0"/>
  </r>
  <r>
    <x v="0"/>
    <x v="0"/>
    <x v="0"/>
    <x v="5"/>
    <x v="9"/>
    <s v="LT_A"/>
    <x v="0"/>
    <x v="17"/>
    <n v="0"/>
    <n v="0"/>
  </r>
  <r>
    <x v="0"/>
    <x v="0"/>
    <x v="0"/>
    <x v="5"/>
    <x v="9"/>
    <s v="LT_A"/>
    <x v="0"/>
    <x v="18"/>
    <n v="0"/>
    <n v="0"/>
  </r>
  <r>
    <x v="0"/>
    <x v="0"/>
    <x v="0"/>
    <x v="5"/>
    <x v="9"/>
    <s v="LT_A"/>
    <x v="0"/>
    <x v="19"/>
    <n v="0"/>
    <n v="0"/>
  </r>
  <r>
    <x v="0"/>
    <x v="0"/>
    <x v="0"/>
    <x v="5"/>
    <x v="9"/>
    <s v="LT_A"/>
    <x v="0"/>
    <x v="20"/>
    <n v="0"/>
    <n v="0"/>
  </r>
  <r>
    <x v="0"/>
    <x v="0"/>
    <x v="0"/>
    <x v="5"/>
    <x v="9"/>
    <s v="LT_A"/>
    <x v="0"/>
    <x v="21"/>
    <n v="0"/>
    <n v="0"/>
  </r>
  <r>
    <x v="0"/>
    <x v="0"/>
    <x v="0"/>
    <x v="5"/>
    <x v="9"/>
    <s v="LT_A"/>
    <x v="0"/>
    <x v="22"/>
    <n v="0"/>
    <n v="0"/>
  </r>
  <r>
    <x v="0"/>
    <x v="0"/>
    <x v="0"/>
    <x v="5"/>
    <x v="9"/>
    <s v="LT_A"/>
    <x v="0"/>
    <x v="23"/>
    <n v="0"/>
    <n v="0"/>
  </r>
  <r>
    <x v="0"/>
    <x v="0"/>
    <x v="0"/>
    <x v="6"/>
    <x v="10"/>
    <s v="NO1_A1"/>
    <x v="0"/>
    <x v="0"/>
    <n v="668.71202762323503"/>
    <n v="2407.3632994436498"/>
  </r>
  <r>
    <x v="0"/>
    <x v="0"/>
    <x v="0"/>
    <x v="6"/>
    <x v="10"/>
    <s v="NO1_A1"/>
    <x v="0"/>
    <x v="1"/>
    <n v="834.01169381683701"/>
    <n v="3002.4420977406098"/>
  </r>
  <r>
    <x v="0"/>
    <x v="0"/>
    <x v="0"/>
    <x v="6"/>
    <x v="10"/>
    <s v="NO1_A1"/>
    <x v="0"/>
    <x v="2"/>
    <n v="1000.7975997988"/>
    <n v="3602.8713592756799"/>
  </r>
  <r>
    <x v="0"/>
    <x v="0"/>
    <x v="0"/>
    <x v="6"/>
    <x v="10"/>
    <s v="NO1_A1"/>
    <x v="0"/>
    <x v="3"/>
    <n v="1152.32722835136"/>
    <n v="4148.3780220649096"/>
  </r>
  <r>
    <x v="0"/>
    <x v="0"/>
    <x v="0"/>
    <x v="6"/>
    <x v="10"/>
    <s v="NO1_A1"/>
    <x v="0"/>
    <x v="4"/>
    <n v="1284.54643699548"/>
    <n v="4624.3671731837203"/>
  </r>
  <r>
    <x v="0"/>
    <x v="0"/>
    <x v="0"/>
    <x v="6"/>
    <x v="10"/>
    <s v="NO1_A1"/>
    <x v="0"/>
    <x v="5"/>
    <n v="1369.0504163355799"/>
    <n v="4928.5814988081002"/>
  </r>
  <r>
    <x v="0"/>
    <x v="0"/>
    <x v="0"/>
    <x v="6"/>
    <x v="10"/>
    <s v="NO1_A1"/>
    <x v="0"/>
    <x v="6"/>
    <n v="1374.68999943772"/>
    <n v="4948.8839979757804"/>
  </r>
  <r>
    <x v="0"/>
    <x v="0"/>
    <x v="0"/>
    <x v="6"/>
    <x v="10"/>
    <s v="NO1_A1"/>
    <x v="0"/>
    <x v="7"/>
    <n v="1208.50225256765"/>
    <n v="4350.6081092435397"/>
  </r>
  <r>
    <x v="0"/>
    <x v="0"/>
    <x v="0"/>
    <x v="6"/>
    <x v="10"/>
    <s v="NO1_A1"/>
    <x v="0"/>
    <x v="8"/>
    <n v="926.069825329683"/>
    <n v="3333.85137118686"/>
  </r>
  <r>
    <x v="0"/>
    <x v="0"/>
    <x v="0"/>
    <x v="6"/>
    <x v="10"/>
    <s v="NO1_A1"/>
    <x v="0"/>
    <x v="9"/>
    <n v="647.22362685370604"/>
    <n v="2330.0050566733398"/>
  </r>
  <r>
    <x v="0"/>
    <x v="0"/>
    <x v="0"/>
    <x v="6"/>
    <x v="10"/>
    <s v="NO1_A1"/>
    <x v="0"/>
    <x v="10"/>
    <n v="405.82340329669597"/>
    <n v="1460.9642518681001"/>
  </r>
  <r>
    <x v="0"/>
    <x v="0"/>
    <x v="0"/>
    <x v="6"/>
    <x v="10"/>
    <s v="NO1_A1"/>
    <x v="0"/>
    <x v="11"/>
    <n v="229.59914169782101"/>
    <n v="826.55691011215697"/>
  </r>
  <r>
    <x v="0"/>
    <x v="0"/>
    <x v="0"/>
    <x v="6"/>
    <x v="10"/>
    <s v="NO1_A1"/>
    <x v="0"/>
    <x v="12"/>
    <n v="109.503165238831"/>
    <n v="394.21139485979"/>
  </r>
  <r>
    <x v="0"/>
    <x v="0"/>
    <x v="0"/>
    <x v="6"/>
    <x v="10"/>
    <s v="NO1_A1"/>
    <x v="0"/>
    <x v="13"/>
    <n v="34.498175558210903"/>
    <n v="124.193432009559"/>
  </r>
  <r>
    <x v="0"/>
    <x v="0"/>
    <x v="0"/>
    <x v="6"/>
    <x v="10"/>
    <s v="NO1_A1"/>
    <x v="0"/>
    <x v="14"/>
    <n v="3.6404419954710199"/>
    <n v="13.105591183695701"/>
  </r>
  <r>
    <x v="0"/>
    <x v="0"/>
    <x v="0"/>
    <x v="6"/>
    <x v="10"/>
    <s v="NO1_A1"/>
    <x v="0"/>
    <x v="15"/>
    <n v="0"/>
    <n v="0"/>
  </r>
  <r>
    <x v="0"/>
    <x v="0"/>
    <x v="0"/>
    <x v="6"/>
    <x v="10"/>
    <s v="NO1_A1"/>
    <x v="0"/>
    <x v="16"/>
    <n v="0"/>
    <n v="0"/>
  </r>
  <r>
    <x v="0"/>
    <x v="0"/>
    <x v="0"/>
    <x v="6"/>
    <x v="10"/>
    <s v="NO1_A1"/>
    <x v="0"/>
    <x v="17"/>
    <n v="0"/>
    <n v="0"/>
  </r>
  <r>
    <x v="0"/>
    <x v="0"/>
    <x v="0"/>
    <x v="6"/>
    <x v="10"/>
    <s v="NO1_A1"/>
    <x v="0"/>
    <x v="18"/>
    <n v="0"/>
    <n v="0"/>
  </r>
  <r>
    <x v="0"/>
    <x v="0"/>
    <x v="0"/>
    <x v="6"/>
    <x v="10"/>
    <s v="NO1_A1"/>
    <x v="0"/>
    <x v="19"/>
    <n v="0"/>
    <n v="0"/>
  </r>
  <r>
    <x v="0"/>
    <x v="0"/>
    <x v="0"/>
    <x v="6"/>
    <x v="10"/>
    <s v="NO1_A1"/>
    <x v="0"/>
    <x v="20"/>
    <n v="0"/>
    <n v="0"/>
  </r>
  <r>
    <x v="0"/>
    <x v="0"/>
    <x v="0"/>
    <x v="6"/>
    <x v="10"/>
    <s v="NO1_A1"/>
    <x v="0"/>
    <x v="21"/>
    <n v="206.62835428235601"/>
    <n v="743.86207541648105"/>
  </r>
  <r>
    <x v="0"/>
    <x v="0"/>
    <x v="0"/>
    <x v="6"/>
    <x v="10"/>
    <s v="NO1_A1"/>
    <x v="0"/>
    <x v="22"/>
    <n v="403.12609004272798"/>
    <n v="1451.25392415382"/>
  </r>
  <r>
    <x v="0"/>
    <x v="0"/>
    <x v="0"/>
    <x v="6"/>
    <x v="10"/>
    <s v="NO1_A1"/>
    <x v="0"/>
    <x v="23"/>
    <n v="403.12609004272798"/>
    <n v="1451.25392415382"/>
  </r>
  <r>
    <x v="0"/>
    <x v="0"/>
    <x v="0"/>
    <x v="6"/>
    <x v="10"/>
    <s v="NO1_A2"/>
    <x v="0"/>
    <x v="0"/>
    <n v="1295.5639187500101"/>
    <n v="4664.0301075000398"/>
  </r>
  <r>
    <x v="0"/>
    <x v="0"/>
    <x v="0"/>
    <x v="6"/>
    <x v="10"/>
    <s v="NO1_A2"/>
    <x v="0"/>
    <x v="1"/>
    <n v="1488.70362583876"/>
    <n v="5359.3330530195499"/>
  </r>
  <r>
    <x v="0"/>
    <x v="0"/>
    <x v="0"/>
    <x v="6"/>
    <x v="10"/>
    <s v="NO1_A2"/>
    <x v="0"/>
    <x v="2"/>
    <n v="1673.91111257488"/>
    <n v="6026.0800052695804"/>
  </r>
  <r>
    <x v="0"/>
    <x v="0"/>
    <x v="0"/>
    <x v="6"/>
    <x v="10"/>
    <s v="NO1_A2"/>
    <x v="0"/>
    <x v="3"/>
    <n v="1845.03866447937"/>
    <n v="6642.13919212574"/>
  </r>
  <r>
    <x v="0"/>
    <x v="0"/>
    <x v="0"/>
    <x v="6"/>
    <x v="10"/>
    <s v="NO1_A2"/>
    <x v="0"/>
    <x v="4"/>
    <n v="1958.77772013653"/>
    <n v="7051.59979249153"/>
  </r>
  <r>
    <x v="0"/>
    <x v="0"/>
    <x v="0"/>
    <x v="6"/>
    <x v="10"/>
    <s v="NO1_A2"/>
    <x v="0"/>
    <x v="5"/>
    <n v="1981.27313837559"/>
    <n v="7132.5832981521298"/>
  </r>
  <r>
    <x v="0"/>
    <x v="0"/>
    <x v="0"/>
    <x v="6"/>
    <x v="10"/>
    <s v="NO1_A2"/>
    <x v="0"/>
    <x v="6"/>
    <n v="1981.27313837559"/>
    <n v="7132.5832981521298"/>
  </r>
  <r>
    <x v="0"/>
    <x v="0"/>
    <x v="0"/>
    <x v="6"/>
    <x v="10"/>
    <s v="NO1_A2"/>
    <x v="0"/>
    <x v="7"/>
    <n v="1895.4138233199401"/>
    <n v="6823.4897639517903"/>
  </r>
  <r>
    <x v="0"/>
    <x v="0"/>
    <x v="0"/>
    <x v="6"/>
    <x v="10"/>
    <s v="NO1_A2"/>
    <x v="0"/>
    <x v="8"/>
    <n v="1430.1653562737099"/>
    <n v="5148.5952825853701"/>
  </r>
  <r>
    <x v="0"/>
    <x v="0"/>
    <x v="0"/>
    <x v="6"/>
    <x v="10"/>
    <s v="NO1_A2"/>
    <x v="0"/>
    <x v="9"/>
    <n v="952.93921773845602"/>
    <n v="3430.58118385844"/>
  </r>
  <r>
    <x v="0"/>
    <x v="0"/>
    <x v="0"/>
    <x v="6"/>
    <x v="10"/>
    <s v="NO1_A2"/>
    <x v="0"/>
    <x v="10"/>
    <n v="520.14515474081998"/>
    <n v="1872.52255706695"/>
  </r>
  <r>
    <x v="0"/>
    <x v="0"/>
    <x v="0"/>
    <x v="6"/>
    <x v="10"/>
    <s v="NO1_A2"/>
    <x v="0"/>
    <x v="11"/>
    <n v="156.683582124537"/>
    <n v="564.06089564833496"/>
  </r>
  <r>
    <x v="0"/>
    <x v="0"/>
    <x v="0"/>
    <x v="6"/>
    <x v="10"/>
    <s v="NO1_A2"/>
    <x v="0"/>
    <x v="12"/>
    <n v="63.929948529410801"/>
    <n v="230.147814705879"/>
  </r>
  <r>
    <x v="0"/>
    <x v="0"/>
    <x v="0"/>
    <x v="6"/>
    <x v="10"/>
    <s v="NO1_A2"/>
    <x v="0"/>
    <x v="13"/>
    <n v="16.381720447599101"/>
    <n v="58.974193611356903"/>
  </r>
  <r>
    <x v="0"/>
    <x v="0"/>
    <x v="0"/>
    <x v="6"/>
    <x v="10"/>
    <s v="NO1_A2"/>
    <x v="0"/>
    <x v="14"/>
    <n v="0"/>
    <n v="0"/>
  </r>
  <r>
    <x v="0"/>
    <x v="0"/>
    <x v="0"/>
    <x v="6"/>
    <x v="10"/>
    <s v="NO1_A2"/>
    <x v="0"/>
    <x v="15"/>
    <n v="0"/>
    <n v="0"/>
  </r>
  <r>
    <x v="0"/>
    <x v="0"/>
    <x v="0"/>
    <x v="6"/>
    <x v="10"/>
    <s v="NO1_A2"/>
    <x v="0"/>
    <x v="16"/>
    <n v="0"/>
    <n v="0"/>
  </r>
  <r>
    <x v="0"/>
    <x v="0"/>
    <x v="0"/>
    <x v="6"/>
    <x v="10"/>
    <s v="NO1_A2"/>
    <x v="0"/>
    <x v="17"/>
    <n v="0"/>
    <n v="0"/>
  </r>
  <r>
    <x v="0"/>
    <x v="0"/>
    <x v="0"/>
    <x v="6"/>
    <x v="10"/>
    <s v="NO1_A2"/>
    <x v="0"/>
    <x v="18"/>
    <n v="42.992651605840898"/>
    <n v="154.773545781027"/>
  </r>
  <r>
    <x v="0"/>
    <x v="0"/>
    <x v="0"/>
    <x v="6"/>
    <x v="10"/>
    <s v="NO1_A2"/>
    <x v="0"/>
    <x v="19"/>
    <n v="140.35000896340901"/>
    <n v="505.26003226827402"/>
  </r>
  <r>
    <x v="0"/>
    <x v="0"/>
    <x v="0"/>
    <x v="6"/>
    <x v="10"/>
    <s v="NO1_A2"/>
    <x v="0"/>
    <x v="20"/>
    <n v="291.16278075630902"/>
    <n v="1048.1860107227101"/>
  </r>
  <r>
    <x v="0"/>
    <x v="0"/>
    <x v="0"/>
    <x v="6"/>
    <x v="10"/>
    <s v="NO1_A2"/>
    <x v="0"/>
    <x v="21"/>
    <n v="482.36621992406901"/>
    <n v="1736.51839172665"/>
  </r>
  <r>
    <x v="0"/>
    <x v="0"/>
    <x v="0"/>
    <x v="6"/>
    <x v="10"/>
    <s v="NO1_A2"/>
    <x v="0"/>
    <x v="22"/>
    <n v="715.76572708573599"/>
    <n v="2576.7566175086499"/>
  </r>
  <r>
    <x v="0"/>
    <x v="0"/>
    <x v="0"/>
    <x v="6"/>
    <x v="10"/>
    <s v="NO1_A2"/>
    <x v="0"/>
    <x v="23"/>
    <n v="993.85522451246095"/>
    <n v="3577.87880824486"/>
  </r>
  <r>
    <x v="0"/>
    <x v="0"/>
    <x v="0"/>
    <x v="6"/>
    <x v="11"/>
    <s v="NO2_A1"/>
    <x v="0"/>
    <x v="0"/>
    <n v="28.117901656798999"/>
    <n v="101.224445964476"/>
  </r>
  <r>
    <x v="0"/>
    <x v="0"/>
    <x v="0"/>
    <x v="6"/>
    <x v="11"/>
    <s v="NO2_A1"/>
    <x v="0"/>
    <x v="1"/>
    <n v="28.117901656798999"/>
    <n v="101.224445964476"/>
  </r>
  <r>
    <x v="0"/>
    <x v="0"/>
    <x v="0"/>
    <x v="6"/>
    <x v="11"/>
    <s v="NO2_A1"/>
    <x v="0"/>
    <x v="2"/>
    <n v="28.117901656798999"/>
    <n v="101.224445964476"/>
  </r>
  <r>
    <x v="0"/>
    <x v="0"/>
    <x v="0"/>
    <x v="6"/>
    <x v="11"/>
    <s v="NO2_A1"/>
    <x v="0"/>
    <x v="3"/>
    <n v="28.117901656798999"/>
    <n v="101.224445964476"/>
  </r>
  <r>
    <x v="0"/>
    <x v="0"/>
    <x v="0"/>
    <x v="6"/>
    <x v="11"/>
    <s v="NO2_A1"/>
    <x v="0"/>
    <x v="4"/>
    <n v="28.117901656798999"/>
    <n v="101.224445964476"/>
  </r>
  <r>
    <x v="0"/>
    <x v="0"/>
    <x v="0"/>
    <x v="6"/>
    <x v="11"/>
    <s v="NO2_A1"/>
    <x v="0"/>
    <x v="5"/>
    <n v="28.117901656798999"/>
    <n v="101.224445964476"/>
  </r>
  <r>
    <x v="0"/>
    <x v="0"/>
    <x v="0"/>
    <x v="6"/>
    <x v="11"/>
    <s v="NO2_A1"/>
    <x v="0"/>
    <x v="6"/>
    <n v="28.117901656798999"/>
    <n v="101.224445964476"/>
  </r>
  <r>
    <x v="0"/>
    <x v="0"/>
    <x v="0"/>
    <x v="6"/>
    <x v="11"/>
    <s v="NO2_A1"/>
    <x v="0"/>
    <x v="7"/>
    <n v="28.117901656798999"/>
    <n v="101.224445964476"/>
  </r>
  <r>
    <x v="0"/>
    <x v="0"/>
    <x v="0"/>
    <x v="6"/>
    <x v="11"/>
    <s v="NO2_A1"/>
    <x v="0"/>
    <x v="8"/>
    <n v="28.117901656798999"/>
    <n v="101.224445964476"/>
  </r>
  <r>
    <x v="0"/>
    <x v="0"/>
    <x v="0"/>
    <x v="6"/>
    <x v="11"/>
    <s v="NO2_A1"/>
    <x v="0"/>
    <x v="9"/>
    <n v="28.117901656798999"/>
    <n v="101.224445964476"/>
  </r>
  <r>
    <x v="0"/>
    <x v="0"/>
    <x v="0"/>
    <x v="6"/>
    <x v="11"/>
    <s v="NO2_A1"/>
    <x v="0"/>
    <x v="10"/>
    <n v="28.117901656798999"/>
    <n v="101.224445964476"/>
  </r>
  <r>
    <x v="0"/>
    <x v="0"/>
    <x v="0"/>
    <x v="6"/>
    <x v="11"/>
    <s v="NO2_A1"/>
    <x v="0"/>
    <x v="11"/>
    <n v="28.117901656798999"/>
    <n v="101.224445964476"/>
  </r>
  <r>
    <x v="0"/>
    <x v="0"/>
    <x v="0"/>
    <x v="6"/>
    <x v="11"/>
    <s v="NO2_A1"/>
    <x v="0"/>
    <x v="12"/>
    <n v="28.117901656798999"/>
    <n v="101.224445964476"/>
  </r>
  <r>
    <x v="0"/>
    <x v="0"/>
    <x v="0"/>
    <x v="6"/>
    <x v="11"/>
    <s v="NO2_A1"/>
    <x v="0"/>
    <x v="13"/>
    <n v="28.117901656798999"/>
    <n v="101.224445964476"/>
  </r>
  <r>
    <x v="0"/>
    <x v="0"/>
    <x v="0"/>
    <x v="6"/>
    <x v="11"/>
    <s v="NO2_A1"/>
    <x v="0"/>
    <x v="14"/>
    <n v="28.117901656798999"/>
    <n v="101.224445964476"/>
  </r>
  <r>
    <x v="0"/>
    <x v="0"/>
    <x v="0"/>
    <x v="6"/>
    <x v="11"/>
    <s v="NO2_A1"/>
    <x v="0"/>
    <x v="15"/>
    <n v="25.969215852053701"/>
    <n v="93.4891770673933"/>
  </r>
  <r>
    <x v="0"/>
    <x v="0"/>
    <x v="0"/>
    <x v="6"/>
    <x v="11"/>
    <s v="NO2_A1"/>
    <x v="0"/>
    <x v="16"/>
    <n v="0"/>
    <n v="0"/>
  </r>
  <r>
    <x v="0"/>
    <x v="0"/>
    <x v="0"/>
    <x v="6"/>
    <x v="11"/>
    <s v="NO2_A1"/>
    <x v="0"/>
    <x v="17"/>
    <n v="0"/>
    <n v="0"/>
  </r>
  <r>
    <x v="0"/>
    <x v="0"/>
    <x v="0"/>
    <x v="6"/>
    <x v="11"/>
    <s v="NO2_A1"/>
    <x v="0"/>
    <x v="18"/>
    <n v="0"/>
    <n v="0"/>
  </r>
  <r>
    <x v="0"/>
    <x v="0"/>
    <x v="0"/>
    <x v="6"/>
    <x v="11"/>
    <s v="NO2_A1"/>
    <x v="0"/>
    <x v="19"/>
    <n v="0"/>
    <n v="0"/>
  </r>
  <r>
    <x v="0"/>
    <x v="0"/>
    <x v="0"/>
    <x v="6"/>
    <x v="11"/>
    <s v="NO2_A1"/>
    <x v="0"/>
    <x v="20"/>
    <n v="0"/>
    <n v="0"/>
  </r>
  <r>
    <x v="0"/>
    <x v="0"/>
    <x v="0"/>
    <x v="6"/>
    <x v="11"/>
    <s v="NO2_A1"/>
    <x v="0"/>
    <x v="21"/>
    <n v="0"/>
    <n v="0"/>
  </r>
  <r>
    <x v="0"/>
    <x v="0"/>
    <x v="0"/>
    <x v="6"/>
    <x v="11"/>
    <s v="NO2_A1"/>
    <x v="0"/>
    <x v="22"/>
    <n v="0"/>
    <n v="0"/>
  </r>
  <r>
    <x v="0"/>
    <x v="0"/>
    <x v="0"/>
    <x v="6"/>
    <x v="11"/>
    <s v="NO2_A1"/>
    <x v="0"/>
    <x v="23"/>
    <n v="9.8758258342357195"/>
    <n v="35.552973003248603"/>
  </r>
  <r>
    <x v="0"/>
    <x v="0"/>
    <x v="0"/>
    <x v="6"/>
    <x v="12"/>
    <s v="NO3_A1"/>
    <x v="0"/>
    <x v="0"/>
    <n v="0"/>
    <n v="0"/>
  </r>
  <r>
    <x v="0"/>
    <x v="0"/>
    <x v="0"/>
    <x v="6"/>
    <x v="12"/>
    <s v="NO3_A1"/>
    <x v="0"/>
    <x v="1"/>
    <n v="0"/>
    <n v="0"/>
  </r>
  <r>
    <x v="0"/>
    <x v="0"/>
    <x v="0"/>
    <x v="6"/>
    <x v="12"/>
    <s v="NO3_A1"/>
    <x v="0"/>
    <x v="2"/>
    <n v="0"/>
    <n v="0"/>
  </r>
  <r>
    <x v="0"/>
    <x v="0"/>
    <x v="0"/>
    <x v="6"/>
    <x v="12"/>
    <s v="NO3_A1"/>
    <x v="0"/>
    <x v="3"/>
    <n v="0"/>
    <n v="0"/>
  </r>
  <r>
    <x v="0"/>
    <x v="0"/>
    <x v="0"/>
    <x v="6"/>
    <x v="12"/>
    <s v="NO3_A1"/>
    <x v="0"/>
    <x v="4"/>
    <n v="0"/>
    <n v="0"/>
  </r>
  <r>
    <x v="0"/>
    <x v="0"/>
    <x v="0"/>
    <x v="6"/>
    <x v="12"/>
    <s v="NO3_A1"/>
    <x v="0"/>
    <x v="5"/>
    <n v="0"/>
    <n v="0"/>
  </r>
  <r>
    <x v="0"/>
    <x v="0"/>
    <x v="0"/>
    <x v="6"/>
    <x v="12"/>
    <s v="NO3_A1"/>
    <x v="0"/>
    <x v="6"/>
    <n v="0"/>
    <n v="0"/>
  </r>
  <r>
    <x v="0"/>
    <x v="0"/>
    <x v="0"/>
    <x v="6"/>
    <x v="12"/>
    <s v="NO3_A1"/>
    <x v="0"/>
    <x v="7"/>
    <n v="0"/>
    <n v="0"/>
  </r>
  <r>
    <x v="0"/>
    <x v="0"/>
    <x v="0"/>
    <x v="6"/>
    <x v="12"/>
    <s v="NO3_A1"/>
    <x v="0"/>
    <x v="8"/>
    <n v="0"/>
    <n v="0"/>
  </r>
  <r>
    <x v="0"/>
    <x v="0"/>
    <x v="0"/>
    <x v="6"/>
    <x v="12"/>
    <s v="NO3_A1"/>
    <x v="0"/>
    <x v="9"/>
    <n v="0"/>
    <n v="0"/>
  </r>
  <r>
    <x v="0"/>
    <x v="0"/>
    <x v="0"/>
    <x v="6"/>
    <x v="12"/>
    <s v="NO3_A1"/>
    <x v="0"/>
    <x v="10"/>
    <n v="0"/>
    <n v="0"/>
  </r>
  <r>
    <x v="0"/>
    <x v="0"/>
    <x v="0"/>
    <x v="6"/>
    <x v="12"/>
    <s v="NO3_A1"/>
    <x v="0"/>
    <x v="11"/>
    <n v="0"/>
    <n v="0"/>
  </r>
  <r>
    <x v="0"/>
    <x v="0"/>
    <x v="0"/>
    <x v="6"/>
    <x v="12"/>
    <s v="NO3_A1"/>
    <x v="0"/>
    <x v="12"/>
    <n v="0"/>
    <n v="0"/>
  </r>
  <r>
    <x v="0"/>
    <x v="0"/>
    <x v="0"/>
    <x v="6"/>
    <x v="12"/>
    <s v="NO3_A1"/>
    <x v="0"/>
    <x v="13"/>
    <n v="0"/>
    <n v="0"/>
  </r>
  <r>
    <x v="0"/>
    <x v="0"/>
    <x v="0"/>
    <x v="6"/>
    <x v="12"/>
    <s v="NO3_A1"/>
    <x v="0"/>
    <x v="14"/>
    <n v="0"/>
    <n v="0"/>
  </r>
  <r>
    <x v="0"/>
    <x v="0"/>
    <x v="0"/>
    <x v="6"/>
    <x v="12"/>
    <s v="NO3_A1"/>
    <x v="0"/>
    <x v="15"/>
    <n v="0"/>
    <n v="0"/>
  </r>
  <r>
    <x v="0"/>
    <x v="0"/>
    <x v="0"/>
    <x v="6"/>
    <x v="12"/>
    <s v="NO3_A1"/>
    <x v="0"/>
    <x v="16"/>
    <n v="0"/>
    <n v="0"/>
  </r>
  <r>
    <x v="0"/>
    <x v="0"/>
    <x v="0"/>
    <x v="6"/>
    <x v="12"/>
    <s v="NO3_A1"/>
    <x v="0"/>
    <x v="17"/>
    <n v="0"/>
    <n v="0"/>
  </r>
  <r>
    <x v="0"/>
    <x v="0"/>
    <x v="0"/>
    <x v="6"/>
    <x v="12"/>
    <s v="NO3_A1"/>
    <x v="0"/>
    <x v="18"/>
    <n v="0"/>
    <n v="0"/>
  </r>
  <r>
    <x v="0"/>
    <x v="0"/>
    <x v="0"/>
    <x v="6"/>
    <x v="12"/>
    <s v="NO3_A1"/>
    <x v="0"/>
    <x v="19"/>
    <n v="0"/>
    <n v="0"/>
  </r>
  <r>
    <x v="0"/>
    <x v="0"/>
    <x v="0"/>
    <x v="6"/>
    <x v="12"/>
    <s v="NO3_A1"/>
    <x v="0"/>
    <x v="20"/>
    <n v="0"/>
    <n v="0"/>
  </r>
  <r>
    <x v="0"/>
    <x v="0"/>
    <x v="0"/>
    <x v="6"/>
    <x v="12"/>
    <s v="NO3_A1"/>
    <x v="0"/>
    <x v="21"/>
    <n v="0"/>
    <n v="0"/>
  </r>
  <r>
    <x v="0"/>
    <x v="0"/>
    <x v="0"/>
    <x v="6"/>
    <x v="12"/>
    <s v="NO3_A1"/>
    <x v="0"/>
    <x v="22"/>
    <n v="0"/>
    <n v="0"/>
  </r>
  <r>
    <x v="0"/>
    <x v="0"/>
    <x v="0"/>
    <x v="6"/>
    <x v="12"/>
    <s v="NO3_A1"/>
    <x v="0"/>
    <x v="23"/>
    <n v="0"/>
    <n v="0"/>
  </r>
  <r>
    <x v="0"/>
    <x v="0"/>
    <x v="0"/>
    <x v="6"/>
    <x v="12"/>
    <s v="NO3_A2"/>
    <x v="0"/>
    <x v="0"/>
    <n v="0"/>
    <n v="0"/>
  </r>
  <r>
    <x v="0"/>
    <x v="0"/>
    <x v="0"/>
    <x v="6"/>
    <x v="12"/>
    <s v="NO3_A2"/>
    <x v="0"/>
    <x v="1"/>
    <n v="0"/>
    <n v="0"/>
  </r>
  <r>
    <x v="0"/>
    <x v="0"/>
    <x v="0"/>
    <x v="6"/>
    <x v="12"/>
    <s v="NO3_A2"/>
    <x v="0"/>
    <x v="2"/>
    <n v="0"/>
    <n v="0"/>
  </r>
  <r>
    <x v="0"/>
    <x v="0"/>
    <x v="0"/>
    <x v="6"/>
    <x v="12"/>
    <s v="NO3_A2"/>
    <x v="0"/>
    <x v="3"/>
    <n v="0"/>
    <n v="0"/>
  </r>
  <r>
    <x v="0"/>
    <x v="0"/>
    <x v="0"/>
    <x v="6"/>
    <x v="12"/>
    <s v="NO3_A2"/>
    <x v="0"/>
    <x v="4"/>
    <n v="0"/>
    <n v="0"/>
  </r>
  <r>
    <x v="0"/>
    <x v="0"/>
    <x v="0"/>
    <x v="6"/>
    <x v="12"/>
    <s v="NO3_A2"/>
    <x v="0"/>
    <x v="5"/>
    <n v="0"/>
    <n v="0"/>
  </r>
  <r>
    <x v="0"/>
    <x v="0"/>
    <x v="0"/>
    <x v="6"/>
    <x v="12"/>
    <s v="NO3_A2"/>
    <x v="0"/>
    <x v="6"/>
    <n v="0"/>
    <n v="0"/>
  </r>
  <r>
    <x v="0"/>
    <x v="0"/>
    <x v="0"/>
    <x v="6"/>
    <x v="12"/>
    <s v="NO3_A2"/>
    <x v="0"/>
    <x v="7"/>
    <n v="0"/>
    <n v="0"/>
  </r>
  <r>
    <x v="0"/>
    <x v="0"/>
    <x v="0"/>
    <x v="6"/>
    <x v="12"/>
    <s v="NO3_A2"/>
    <x v="0"/>
    <x v="8"/>
    <n v="0"/>
    <n v="0"/>
  </r>
  <r>
    <x v="0"/>
    <x v="0"/>
    <x v="0"/>
    <x v="6"/>
    <x v="12"/>
    <s v="NO3_A2"/>
    <x v="0"/>
    <x v="9"/>
    <n v="0"/>
    <n v="0"/>
  </r>
  <r>
    <x v="0"/>
    <x v="0"/>
    <x v="0"/>
    <x v="6"/>
    <x v="12"/>
    <s v="NO3_A2"/>
    <x v="0"/>
    <x v="10"/>
    <n v="0"/>
    <n v="0"/>
  </r>
  <r>
    <x v="0"/>
    <x v="0"/>
    <x v="0"/>
    <x v="6"/>
    <x v="12"/>
    <s v="NO3_A2"/>
    <x v="0"/>
    <x v="11"/>
    <n v="0"/>
    <n v="0"/>
  </r>
  <r>
    <x v="0"/>
    <x v="0"/>
    <x v="0"/>
    <x v="6"/>
    <x v="12"/>
    <s v="NO3_A2"/>
    <x v="0"/>
    <x v="12"/>
    <n v="0"/>
    <n v="0"/>
  </r>
  <r>
    <x v="0"/>
    <x v="0"/>
    <x v="0"/>
    <x v="6"/>
    <x v="12"/>
    <s v="NO3_A2"/>
    <x v="0"/>
    <x v="13"/>
    <n v="0"/>
    <n v="0"/>
  </r>
  <r>
    <x v="0"/>
    <x v="0"/>
    <x v="0"/>
    <x v="6"/>
    <x v="12"/>
    <s v="NO3_A2"/>
    <x v="0"/>
    <x v="14"/>
    <n v="0"/>
    <n v="0"/>
  </r>
  <r>
    <x v="0"/>
    <x v="0"/>
    <x v="0"/>
    <x v="6"/>
    <x v="12"/>
    <s v="NO3_A2"/>
    <x v="0"/>
    <x v="15"/>
    <n v="0"/>
    <n v="0"/>
  </r>
  <r>
    <x v="0"/>
    <x v="0"/>
    <x v="0"/>
    <x v="6"/>
    <x v="12"/>
    <s v="NO3_A2"/>
    <x v="0"/>
    <x v="16"/>
    <n v="0"/>
    <n v="0"/>
  </r>
  <r>
    <x v="0"/>
    <x v="0"/>
    <x v="0"/>
    <x v="6"/>
    <x v="12"/>
    <s v="NO3_A2"/>
    <x v="0"/>
    <x v="17"/>
    <n v="0"/>
    <n v="0"/>
  </r>
  <r>
    <x v="0"/>
    <x v="0"/>
    <x v="0"/>
    <x v="6"/>
    <x v="12"/>
    <s v="NO3_A2"/>
    <x v="0"/>
    <x v="18"/>
    <n v="0"/>
    <n v="0"/>
  </r>
  <r>
    <x v="0"/>
    <x v="0"/>
    <x v="0"/>
    <x v="6"/>
    <x v="12"/>
    <s v="NO3_A2"/>
    <x v="0"/>
    <x v="19"/>
    <n v="0"/>
    <n v="0"/>
  </r>
  <r>
    <x v="0"/>
    <x v="0"/>
    <x v="0"/>
    <x v="6"/>
    <x v="12"/>
    <s v="NO3_A2"/>
    <x v="0"/>
    <x v="20"/>
    <n v="0"/>
    <n v="0"/>
  </r>
  <r>
    <x v="0"/>
    <x v="0"/>
    <x v="0"/>
    <x v="6"/>
    <x v="12"/>
    <s v="NO3_A2"/>
    <x v="0"/>
    <x v="21"/>
    <n v="0"/>
    <n v="0"/>
  </r>
  <r>
    <x v="0"/>
    <x v="0"/>
    <x v="0"/>
    <x v="6"/>
    <x v="12"/>
    <s v="NO3_A2"/>
    <x v="0"/>
    <x v="22"/>
    <n v="0"/>
    <n v="0"/>
  </r>
  <r>
    <x v="0"/>
    <x v="0"/>
    <x v="0"/>
    <x v="6"/>
    <x v="12"/>
    <s v="NO3_A2"/>
    <x v="0"/>
    <x v="23"/>
    <n v="0"/>
    <n v="0"/>
  </r>
  <r>
    <x v="0"/>
    <x v="0"/>
    <x v="0"/>
    <x v="6"/>
    <x v="13"/>
    <s v="NO4_A1"/>
    <x v="0"/>
    <x v="0"/>
    <n v="0"/>
    <n v="0"/>
  </r>
  <r>
    <x v="0"/>
    <x v="0"/>
    <x v="0"/>
    <x v="6"/>
    <x v="13"/>
    <s v="NO4_A1"/>
    <x v="0"/>
    <x v="1"/>
    <n v="0"/>
    <n v="0"/>
  </r>
  <r>
    <x v="0"/>
    <x v="0"/>
    <x v="0"/>
    <x v="6"/>
    <x v="13"/>
    <s v="NO4_A1"/>
    <x v="0"/>
    <x v="2"/>
    <n v="0"/>
    <n v="0"/>
  </r>
  <r>
    <x v="0"/>
    <x v="0"/>
    <x v="0"/>
    <x v="6"/>
    <x v="13"/>
    <s v="NO4_A1"/>
    <x v="0"/>
    <x v="3"/>
    <n v="0"/>
    <n v="0"/>
  </r>
  <r>
    <x v="0"/>
    <x v="0"/>
    <x v="0"/>
    <x v="6"/>
    <x v="13"/>
    <s v="NO4_A1"/>
    <x v="0"/>
    <x v="4"/>
    <n v="0"/>
    <n v="0"/>
  </r>
  <r>
    <x v="0"/>
    <x v="0"/>
    <x v="0"/>
    <x v="6"/>
    <x v="13"/>
    <s v="NO4_A1"/>
    <x v="0"/>
    <x v="5"/>
    <n v="0"/>
    <n v="0"/>
  </r>
  <r>
    <x v="0"/>
    <x v="0"/>
    <x v="0"/>
    <x v="6"/>
    <x v="13"/>
    <s v="NO4_A1"/>
    <x v="0"/>
    <x v="6"/>
    <n v="0"/>
    <n v="0"/>
  </r>
  <r>
    <x v="0"/>
    <x v="0"/>
    <x v="0"/>
    <x v="6"/>
    <x v="13"/>
    <s v="NO4_A1"/>
    <x v="0"/>
    <x v="7"/>
    <n v="0"/>
    <n v="0"/>
  </r>
  <r>
    <x v="0"/>
    <x v="0"/>
    <x v="0"/>
    <x v="6"/>
    <x v="13"/>
    <s v="NO4_A1"/>
    <x v="0"/>
    <x v="8"/>
    <n v="0"/>
    <n v="0"/>
  </r>
  <r>
    <x v="0"/>
    <x v="0"/>
    <x v="0"/>
    <x v="6"/>
    <x v="13"/>
    <s v="NO4_A1"/>
    <x v="0"/>
    <x v="9"/>
    <n v="0"/>
    <n v="0"/>
  </r>
  <r>
    <x v="0"/>
    <x v="0"/>
    <x v="0"/>
    <x v="6"/>
    <x v="13"/>
    <s v="NO4_A1"/>
    <x v="0"/>
    <x v="10"/>
    <n v="0"/>
    <n v="0"/>
  </r>
  <r>
    <x v="0"/>
    <x v="0"/>
    <x v="0"/>
    <x v="6"/>
    <x v="13"/>
    <s v="NO4_A1"/>
    <x v="0"/>
    <x v="11"/>
    <n v="0"/>
    <n v="0"/>
  </r>
  <r>
    <x v="0"/>
    <x v="0"/>
    <x v="0"/>
    <x v="6"/>
    <x v="13"/>
    <s v="NO4_A1"/>
    <x v="0"/>
    <x v="12"/>
    <n v="0"/>
    <n v="0"/>
  </r>
  <r>
    <x v="0"/>
    <x v="0"/>
    <x v="0"/>
    <x v="6"/>
    <x v="13"/>
    <s v="NO4_A1"/>
    <x v="0"/>
    <x v="13"/>
    <n v="0"/>
    <n v="0"/>
  </r>
  <r>
    <x v="0"/>
    <x v="0"/>
    <x v="0"/>
    <x v="6"/>
    <x v="13"/>
    <s v="NO4_A1"/>
    <x v="0"/>
    <x v="14"/>
    <n v="0"/>
    <n v="0"/>
  </r>
  <r>
    <x v="0"/>
    <x v="0"/>
    <x v="0"/>
    <x v="6"/>
    <x v="13"/>
    <s v="NO4_A1"/>
    <x v="0"/>
    <x v="15"/>
    <n v="0"/>
    <n v="0"/>
  </r>
  <r>
    <x v="0"/>
    <x v="0"/>
    <x v="0"/>
    <x v="6"/>
    <x v="13"/>
    <s v="NO4_A1"/>
    <x v="0"/>
    <x v="16"/>
    <n v="0"/>
    <n v="0"/>
  </r>
  <r>
    <x v="0"/>
    <x v="0"/>
    <x v="0"/>
    <x v="6"/>
    <x v="13"/>
    <s v="NO4_A1"/>
    <x v="0"/>
    <x v="17"/>
    <n v="0"/>
    <n v="0"/>
  </r>
  <r>
    <x v="0"/>
    <x v="0"/>
    <x v="0"/>
    <x v="6"/>
    <x v="13"/>
    <s v="NO4_A1"/>
    <x v="0"/>
    <x v="18"/>
    <n v="0"/>
    <n v="0"/>
  </r>
  <r>
    <x v="0"/>
    <x v="0"/>
    <x v="0"/>
    <x v="6"/>
    <x v="13"/>
    <s v="NO4_A1"/>
    <x v="0"/>
    <x v="19"/>
    <n v="0"/>
    <n v="0"/>
  </r>
  <r>
    <x v="0"/>
    <x v="0"/>
    <x v="0"/>
    <x v="6"/>
    <x v="13"/>
    <s v="NO4_A1"/>
    <x v="0"/>
    <x v="20"/>
    <n v="0"/>
    <n v="0"/>
  </r>
  <r>
    <x v="0"/>
    <x v="0"/>
    <x v="0"/>
    <x v="6"/>
    <x v="13"/>
    <s v="NO4_A1"/>
    <x v="0"/>
    <x v="21"/>
    <n v="0"/>
    <n v="0"/>
  </r>
  <r>
    <x v="0"/>
    <x v="0"/>
    <x v="0"/>
    <x v="6"/>
    <x v="13"/>
    <s v="NO4_A1"/>
    <x v="0"/>
    <x v="22"/>
    <n v="0"/>
    <n v="0"/>
  </r>
  <r>
    <x v="0"/>
    <x v="0"/>
    <x v="0"/>
    <x v="6"/>
    <x v="13"/>
    <s v="NO4_A1"/>
    <x v="0"/>
    <x v="23"/>
    <n v="0"/>
    <n v="0"/>
  </r>
  <r>
    <x v="0"/>
    <x v="0"/>
    <x v="0"/>
    <x v="6"/>
    <x v="14"/>
    <s v="NO5_A1"/>
    <x v="0"/>
    <x v="0"/>
    <n v="0"/>
    <n v="0"/>
  </r>
  <r>
    <x v="0"/>
    <x v="0"/>
    <x v="0"/>
    <x v="6"/>
    <x v="14"/>
    <s v="NO5_A1"/>
    <x v="0"/>
    <x v="1"/>
    <n v="0"/>
    <n v="0"/>
  </r>
  <r>
    <x v="0"/>
    <x v="0"/>
    <x v="0"/>
    <x v="6"/>
    <x v="14"/>
    <s v="NO5_A1"/>
    <x v="0"/>
    <x v="2"/>
    <n v="0"/>
    <n v="0"/>
  </r>
  <r>
    <x v="0"/>
    <x v="0"/>
    <x v="0"/>
    <x v="6"/>
    <x v="14"/>
    <s v="NO5_A1"/>
    <x v="0"/>
    <x v="3"/>
    <n v="0"/>
    <n v="0"/>
  </r>
  <r>
    <x v="0"/>
    <x v="0"/>
    <x v="0"/>
    <x v="6"/>
    <x v="14"/>
    <s v="NO5_A1"/>
    <x v="0"/>
    <x v="4"/>
    <n v="0"/>
    <n v="0"/>
  </r>
  <r>
    <x v="0"/>
    <x v="0"/>
    <x v="0"/>
    <x v="6"/>
    <x v="14"/>
    <s v="NO5_A1"/>
    <x v="0"/>
    <x v="5"/>
    <n v="0"/>
    <n v="0"/>
  </r>
  <r>
    <x v="0"/>
    <x v="0"/>
    <x v="0"/>
    <x v="6"/>
    <x v="14"/>
    <s v="NO5_A1"/>
    <x v="0"/>
    <x v="6"/>
    <n v="0"/>
    <n v="0"/>
  </r>
  <r>
    <x v="0"/>
    <x v="0"/>
    <x v="0"/>
    <x v="6"/>
    <x v="14"/>
    <s v="NO5_A1"/>
    <x v="0"/>
    <x v="7"/>
    <n v="0"/>
    <n v="0"/>
  </r>
  <r>
    <x v="0"/>
    <x v="0"/>
    <x v="0"/>
    <x v="6"/>
    <x v="14"/>
    <s v="NO5_A1"/>
    <x v="0"/>
    <x v="8"/>
    <n v="0"/>
    <n v="0"/>
  </r>
  <r>
    <x v="0"/>
    <x v="0"/>
    <x v="0"/>
    <x v="6"/>
    <x v="14"/>
    <s v="NO5_A1"/>
    <x v="0"/>
    <x v="9"/>
    <n v="0"/>
    <n v="0"/>
  </r>
  <r>
    <x v="0"/>
    <x v="0"/>
    <x v="0"/>
    <x v="6"/>
    <x v="14"/>
    <s v="NO5_A1"/>
    <x v="0"/>
    <x v="10"/>
    <n v="0"/>
    <n v="0"/>
  </r>
  <r>
    <x v="0"/>
    <x v="0"/>
    <x v="0"/>
    <x v="6"/>
    <x v="14"/>
    <s v="NO5_A1"/>
    <x v="0"/>
    <x v="11"/>
    <n v="0"/>
    <n v="0"/>
  </r>
  <r>
    <x v="0"/>
    <x v="0"/>
    <x v="0"/>
    <x v="6"/>
    <x v="14"/>
    <s v="NO5_A1"/>
    <x v="0"/>
    <x v="12"/>
    <n v="0"/>
    <n v="0"/>
  </r>
  <r>
    <x v="0"/>
    <x v="0"/>
    <x v="0"/>
    <x v="6"/>
    <x v="14"/>
    <s v="NO5_A1"/>
    <x v="0"/>
    <x v="13"/>
    <n v="0"/>
    <n v="0"/>
  </r>
  <r>
    <x v="0"/>
    <x v="0"/>
    <x v="0"/>
    <x v="6"/>
    <x v="14"/>
    <s v="NO5_A1"/>
    <x v="0"/>
    <x v="14"/>
    <n v="0"/>
    <n v="0"/>
  </r>
  <r>
    <x v="0"/>
    <x v="0"/>
    <x v="0"/>
    <x v="6"/>
    <x v="14"/>
    <s v="NO5_A1"/>
    <x v="0"/>
    <x v="15"/>
    <n v="0"/>
    <n v="0"/>
  </r>
  <r>
    <x v="0"/>
    <x v="0"/>
    <x v="0"/>
    <x v="6"/>
    <x v="14"/>
    <s v="NO5_A1"/>
    <x v="0"/>
    <x v="16"/>
    <n v="0"/>
    <n v="0"/>
  </r>
  <r>
    <x v="0"/>
    <x v="0"/>
    <x v="0"/>
    <x v="6"/>
    <x v="14"/>
    <s v="NO5_A1"/>
    <x v="0"/>
    <x v="17"/>
    <n v="0"/>
    <n v="0"/>
  </r>
  <r>
    <x v="0"/>
    <x v="0"/>
    <x v="0"/>
    <x v="6"/>
    <x v="14"/>
    <s v="NO5_A1"/>
    <x v="0"/>
    <x v="18"/>
    <n v="0"/>
    <n v="0"/>
  </r>
  <r>
    <x v="0"/>
    <x v="0"/>
    <x v="0"/>
    <x v="6"/>
    <x v="14"/>
    <s v="NO5_A1"/>
    <x v="0"/>
    <x v="19"/>
    <n v="0"/>
    <n v="0"/>
  </r>
  <r>
    <x v="0"/>
    <x v="0"/>
    <x v="0"/>
    <x v="6"/>
    <x v="14"/>
    <s v="NO5_A1"/>
    <x v="0"/>
    <x v="20"/>
    <n v="0"/>
    <n v="0"/>
  </r>
  <r>
    <x v="0"/>
    <x v="0"/>
    <x v="0"/>
    <x v="6"/>
    <x v="14"/>
    <s v="NO5_A1"/>
    <x v="0"/>
    <x v="21"/>
    <n v="0"/>
    <n v="0"/>
  </r>
  <r>
    <x v="0"/>
    <x v="0"/>
    <x v="0"/>
    <x v="6"/>
    <x v="14"/>
    <s v="NO5_A1"/>
    <x v="0"/>
    <x v="22"/>
    <n v="0"/>
    <n v="0"/>
  </r>
  <r>
    <x v="0"/>
    <x v="0"/>
    <x v="0"/>
    <x v="6"/>
    <x v="14"/>
    <s v="NO5_A1"/>
    <x v="0"/>
    <x v="23"/>
    <n v="0"/>
    <n v="0"/>
  </r>
  <r>
    <x v="0"/>
    <x v="0"/>
    <x v="0"/>
    <x v="7"/>
    <x v="15"/>
    <s v="PL_A"/>
    <x v="0"/>
    <x v="0"/>
    <n v="0"/>
    <n v="0"/>
  </r>
  <r>
    <x v="0"/>
    <x v="0"/>
    <x v="0"/>
    <x v="7"/>
    <x v="15"/>
    <s v="PL_A"/>
    <x v="0"/>
    <x v="1"/>
    <n v="0"/>
    <n v="0"/>
  </r>
  <r>
    <x v="0"/>
    <x v="0"/>
    <x v="0"/>
    <x v="7"/>
    <x v="15"/>
    <s v="PL_A"/>
    <x v="0"/>
    <x v="2"/>
    <n v="0"/>
    <n v="0"/>
  </r>
  <r>
    <x v="0"/>
    <x v="0"/>
    <x v="0"/>
    <x v="7"/>
    <x v="15"/>
    <s v="PL_A"/>
    <x v="0"/>
    <x v="3"/>
    <n v="0"/>
    <n v="0"/>
  </r>
  <r>
    <x v="0"/>
    <x v="0"/>
    <x v="0"/>
    <x v="7"/>
    <x v="15"/>
    <s v="PL_A"/>
    <x v="0"/>
    <x v="4"/>
    <n v="0"/>
    <n v="0"/>
  </r>
  <r>
    <x v="0"/>
    <x v="0"/>
    <x v="0"/>
    <x v="7"/>
    <x v="15"/>
    <s v="PL_A"/>
    <x v="0"/>
    <x v="5"/>
    <n v="0"/>
    <n v="0"/>
  </r>
  <r>
    <x v="0"/>
    <x v="0"/>
    <x v="0"/>
    <x v="7"/>
    <x v="15"/>
    <s v="PL_A"/>
    <x v="0"/>
    <x v="6"/>
    <n v="0"/>
    <n v="0"/>
  </r>
  <r>
    <x v="0"/>
    <x v="0"/>
    <x v="0"/>
    <x v="7"/>
    <x v="15"/>
    <s v="PL_A"/>
    <x v="0"/>
    <x v="7"/>
    <n v="0"/>
    <n v="0"/>
  </r>
  <r>
    <x v="0"/>
    <x v="0"/>
    <x v="0"/>
    <x v="7"/>
    <x v="15"/>
    <s v="PL_A"/>
    <x v="0"/>
    <x v="8"/>
    <n v="0"/>
    <n v="0"/>
  </r>
  <r>
    <x v="0"/>
    <x v="0"/>
    <x v="0"/>
    <x v="7"/>
    <x v="15"/>
    <s v="PL_A"/>
    <x v="0"/>
    <x v="9"/>
    <n v="0"/>
    <n v="0"/>
  </r>
  <r>
    <x v="0"/>
    <x v="0"/>
    <x v="0"/>
    <x v="7"/>
    <x v="15"/>
    <s v="PL_A"/>
    <x v="0"/>
    <x v="10"/>
    <n v="0"/>
    <n v="0"/>
  </r>
  <r>
    <x v="0"/>
    <x v="0"/>
    <x v="0"/>
    <x v="7"/>
    <x v="15"/>
    <s v="PL_A"/>
    <x v="0"/>
    <x v="11"/>
    <n v="0"/>
    <n v="0"/>
  </r>
  <r>
    <x v="0"/>
    <x v="0"/>
    <x v="0"/>
    <x v="7"/>
    <x v="15"/>
    <s v="PL_A"/>
    <x v="0"/>
    <x v="12"/>
    <n v="0"/>
    <n v="0"/>
  </r>
  <r>
    <x v="0"/>
    <x v="0"/>
    <x v="0"/>
    <x v="7"/>
    <x v="15"/>
    <s v="PL_A"/>
    <x v="0"/>
    <x v="13"/>
    <n v="0"/>
    <n v="0"/>
  </r>
  <r>
    <x v="0"/>
    <x v="0"/>
    <x v="0"/>
    <x v="7"/>
    <x v="15"/>
    <s v="PL_A"/>
    <x v="0"/>
    <x v="14"/>
    <n v="0"/>
    <n v="0"/>
  </r>
  <r>
    <x v="0"/>
    <x v="0"/>
    <x v="0"/>
    <x v="7"/>
    <x v="15"/>
    <s v="PL_A"/>
    <x v="0"/>
    <x v="15"/>
    <n v="0"/>
    <n v="0"/>
  </r>
  <r>
    <x v="0"/>
    <x v="0"/>
    <x v="0"/>
    <x v="7"/>
    <x v="15"/>
    <s v="PL_A"/>
    <x v="0"/>
    <x v="16"/>
    <n v="0"/>
    <n v="0"/>
  </r>
  <r>
    <x v="0"/>
    <x v="0"/>
    <x v="0"/>
    <x v="7"/>
    <x v="15"/>
    <s v="PL_A"/>
    <x v="0"/>
    <x v="17"/>
    <n v="0"/>
    <n v="0"/>
  </r>
  <r>
    <x v="0"/>
    <x v="0"/>
    <x v="0"/>
    <x v="7"/>
    <x v="15"/>
    <s v="PL_A"/>
    <x v="0"/>
    <x v="18"/>
    <n v="0"/>
    <n v="0"/>
  </r>
  <r>
    <x v="0"/>
    <x v="0"/>
    <x v="0"/>
    <x v="7"/>
    <x v="15"/>
    <s v="PL_A"/>
    <x v="0"/>
    <x v="19"/>
    <n v="0"/>
    <n v="0"/>
  </r>
  <r>
    <x v="0"/>
    <x v="0"/>
    <x v="0"/>
    <x v="7"/>
    <x v="15"/>
    <s v="PL_A"/>
    <x v="0"/>
    <x v="20"/>
    <n v="0"/>
    <n v="0"/>
  </r>
  <r>
    <x v="0"/>
    <x v="0"/>
    <x v="0"/>
    <x v="7"/>
    <x v="15"/>
    <s v="PL_A"/>
    <x v="0"/>
    <x v="21"/>
    <n v="0"/>
    <n v="0"/>
  </r>
  <r>
    <x v="0"/>
    <x v="0"/>
    <x v="0"/>
    <x v="7"/>
    <x v="15"/>
    <s v="PL_A"/>
    <x v="0"/>
    <x v="22"/>
    <n v="0"/>
    <n v="0"/>
  </r>
  <r>
    <x v="0"/>
    <x v="0"/>
    <x v="0"/>
    <x v="7"/>
    <x v="15"/>
    <s v="PL_A"/>
    <x v="0"/>
    <x v="23"/>
    <n v="0"/>
    <n v="0"/>
  </r>
  <r>
    <x v="0"/>
    <x v="0"/>
    <x v="0"/>
    <x v="8"/>
    <x v="16"/>
    <s v="SE1_EL"/>
    <x v="0"/>
    <x v="0"/>
    <n v="0"/>
    <n v="0"/>
  </r>
  <r>
    <x v="0"/>
    <x v="0"/>
    <x v="0"/>
    <x v="8"/>
    <x v="16"/>
    <s v="SE1_EL"/>
    <x v="0"/>
    <x v="1"/>
    <n v="0"/>
    <n v="0"/>
  </r>
  <r>
    <x v="0"/>
    <x v="0"/>
    <x v="0"/>
    <x v="8"/>
    <x v="16"/>
    <s v="SE1_EL"/>
    <x v="0"/>
    <x v="2"/>
    <n v="0"/>
    <n v="0"/>
  </r>
  <r>
    <x v="0"/>
    <x v="0"/>
    <x v="0"/>
    <x v="8"/>
    <x v="16"/>
    <s v="SE1_EL"/>
    <x v="0"/>
    <x v="3"/>
    <n v="0"/>
    <n v="0"/>
  </r>
  <r>
    <x v="0"/>
    <x v="0"/>
    <x v="0"/>
    <x v="8"/>
    <x v="16"/>
    <s v="SE1_EL"/>
    <x v="0"/>
    <x v="4"/>
    <n v="0"/>
    <n v="0"/>
  </r>
  <r>
    <x v="0"/>
    <x v="0"/>
    <x v="0"/>
    <x v="8"/>
    <x v="16"/>
    <s v="SE1_EL"/>
    <x v="0"/>
    <x v="5"/>
    <n v="0"/>
    <n v="0"/>
  </r>
  <r>
    <x v="0"/>
    <x v="0"/>
    <x v="0"/>
    <x v="8"/>
    <x v="16"/>
    <s v="SE1_EL"/>
    <x v="0"/>
    <x v="6"/>
    <n v="0"/>
    <n v="0"/>
  </r>
  <r>
    <x v="0"/>
    <x v="0"/>
    <x v="0"/>
    <x v="8"/>
    <x v="16"/>
    <s v="SE1_EL"/>
    <x v="0"/>
    <x v="7"/>
    <n v="0"/>
    <n v="0"/>
  </r>
  <r>
    <x v="0"/>
    <x v="0"/>
    <x v="0"/>
    <x v="8"/>
    <x v="16"/>
    <s v="SE1_EL"/>
    <x v="0"/>
    <x v="8"/>
    <n v="0"/>
    <n v="0"/>
  </r>
  <r>
    <x v="0"/>
    <x v="0"/>
    <x v="0"/>
    <x v="8"/>
    <x v="16"/>
    <s v="SE1_EL"/>
    <x v="0"/>
    <x v="9"/>
    <n v="0"/>
    <n v="0"/>
  </r>
  <r>
    <x v="0"/>
    <x v="0"/>
    <x v="0"/>
    <x v="8"/>
    <x v="16"/>
    <s v="SE1_EL"/>
    <x v="0"/>
    <x v="10"/>
    <n v="0"/>
    <n v="0"/>
  </r>
  <r>
    <x v="0"/>
    <x v="0"/>
    <x v="0"/>
    <x v="8"/>
    <x v="16"/>
    <s v="SE1_EL"/>
    <x v="0"/>
    <x v="11"/>
    <n v="0"/>
    <n v="0"/>
  </r>
  <r>
    <x v="0"/>
    <x v="0"/>
    <x v="0"/>
    <x v="8"/>
    <x v="16"/>
    <s v="SE1_EL"/>
    <x v="0"/>
    <x v="12"/>
    <n v="0"/>
    <n v="0"/>
  </r>
  <r>
    <x v="0"/>
    <x v="0"/>
    <x v="0"/>
    <x v="8"/>
    <x v="16"/>
    <s v="SE1_EL"/>
    <x v="0"/>
    <x v="13"/>
    <n v="0"/>
    <n v="0"/>
  </r>
  <r>
    <x v="0"/>
    <x v="0"/>
    <x v="0"/>
    <x v="8"/>
    <x v="16"/>
    <s v="SE1_EL"/>
    <x v="0"/>
    <x v="14"/>
    <n v="0"/>
    <n v="0"/>
  </r>
  <r>
    <x v="0"/>
    <x v="0"/>
    <x v="0"/>
    <x v="8"/>
    <x v="16"/>
    <s v="SE1_EL"/>
    <x v="0"/>
    <x v="15"/>
    <n v="0"/>
    <n v="0"/>
  </r>
  <r>
    <x v="0"/>
    <x v="0"/>
    <x v="0"/>
    <x v="8"/>
    <x v="16"/>
    <s v="SE1_EL"/>
    <x v="0"/>
    <x v="16"/>
    <n v="0"/>
    <n v="0"/>
  </r>
  <r>
    <x v="0"/>
    <x v="0"/>
    <x v="0"/>
    <x v="8"/>
    <x v="16"/>
    <s v="SE1_EL"/>
    <x v="0"/>
    <x v="17"/>
    <n v="0"/>
    <n v="0"/>
  </r>
  <r>
    <x v="0"/>
    <x v="0"/>
    <x v="0"/>
    <x v="8"/>
    <x v="16"/>
    <s v="SE1_EL"/>
    <x v="0"/>
    <x v="18"/>
    <n v="0"/>
    <n v="0"/>
  </r>
  <r>
    <x v="0"/>
    <x v="0"/>
    <x v="0"/>
    <x v="8"/>
    <x v="16"/>
    <s v="SE1_EL"/>
    <x v="0"/>
    <x v="19"/>
    <n v="0"/>
    <n v="0"/>
  </r>
  <r>
    <x v="0"/>
    <x v="0"/>
    <x v="0"/>
    <x v="8"/>
    <x v="16"/>
    <s v="SE1_EL"/>
    <x v="0"/>
    <x v="20"/>
    <n v="0"/>
    <n v="0"/>
  </r>
  <r>
    <x v="0"/>
    <x v="0"/>
    <x v="0"/>
    <x v="8"/>
    <x v="16"/>
    <s v="SE1_EL"/>
    <x v="0"/>
    <x v="21"/>
    <n v="0"/>
    <n v="0"/>
  </r>
  <r>
    <x v="0"/>
    <x v="0"/>
    <x v="0"/>
    <x v="8"/>
    <x v="16"/>
    <s v="SE1_EL"/>
    <x v="0"/>
    <x v="22"/>
    <n v="0"/>
    <n v="0"/>
  </r>
  <r>
    <x v="0"/>
    <x v="0"/>
    <x v="0"/>
    <x v="8"/>
    <x v="16"/>
    <s v="SE1_EL"/>
    <x v="0"/>
    <x v="23"/>
    <n v="0"/>
    <n v="0"/>
  </r>
  <r>
    <x v="0"/>
    <x v="0"/>
    <x v="0"/>
    <x v="8"/>
    <x v="16"/>
    <s v="SE1_OTHER"/>
    <x v="0"/>
    <x v="0"/>
    <n v="383.61816928731901"/>
    <n v="1381.02540943435"/>
  </r>
  <r>
    <x v="0"/>
    <x v="0"/>
    <x v="0"/>
    <x v="8"/>
    <x v="16"/>
    <s v="SE1_OTHER"/>
    <x v="0"/>
    <x v="1"/>
    <n v="471.87636933006797"/>
    <n v="1698.75492958825"/>
  </r>
  <r>
    <x v="0"/>
    <x v="0"/>
    <x v="0"/>
    <x v="8"/>
    <x v="16"/>
    <s v="SE1_OTHER"/>
    <x v="0"/>
    <x v="2"/>
    <n v="575.33928680815802"/>
    <n v="2071.2214325093701"/>
  </r>
  <r>
    <x v="0"/>
    <x v="0"/>
    <x v="0"/>
    <x v="8"/>
    <x v="16"/>
    <s v="SE1_OTHER"/>
    <x v="0"/>
    <x v="3"/>
    <n v="676.918611582121"/>
    <n v="2436.9070016956398"/>
  </r>
  <r>
    <x v="0"/>
    <x v="0"/>
    <x v="0"/>
    <x v="8"/>
    <x v="16"/>
    <s v="SE1_OTHER"/>
    <x v="0"/>
    <x v="4"/>
    <n v="768.086940715168"/>
    <n v="2765.1129865746002"/>
  </r>
  <r>
    <x v="0"/>
    <x v="0"/>
    <x v="0"/>
    <x v="8"/>
    <x v="16"/>
    <s v="SE1_OTHER"/>
    <x v="0"/>
    <x v="5"/>
    <n v="834.21525779468504"/>
    <n v="3003.1749280608701"/>
  </r>
  <r>
    <x v="0"/>
    <x v="0"/>
    <x v="0"/>
    <x v="8"/>
    <x v="16"/>
    <s v="SE1_OTHER"/>
    <x v="0"/>
    <x v="6"/>
    <n v="841.91722787304502"/>
    <n v="3030.90202034296"/>
  </r>
  <r>
    <x v="0"/>
    <x v="0"/>
    <x v="0"/>
    <x v="8"/>
    <x v="16"/>
    <s v="SE1_OTHER"/>
    <x v="0"/>
    <x v="7"/>
    <n v="719.71230850555798"/>
    <n v="2590.9643106200101"/>
  </r>
  <r>
    <x v="0"/>
    <x v="0"/>
    <x v="0"/>
    <x v="8"/>
    <x v="16"/>
    <s v="SE1_OTHER"/>
    <x v="0"/>
    <x v="8"/>
    <n v="589.39127038077504"/>
    <n v="2121.8085733707899"/>
  </r>
  <r>
    <x v="0"/>
    <x v="0"/>
    <x v="0"/>
    <x v="8"/>
    <x v="16"/>
    <s v="SE1_OTHER"/>
    <x v="0"/>
    <x v="9"/>
    <n v="453.019912973148"/>
    <n v="1630.8716867033299"/>
  </r>
  <r>
    <x v="0"/>
    <x v="0"/>
    <x v="0"/>
    <x v="8"/>
    <x v="16"/>
    <s v="SE1_OTHER"/>
    <x v="0"/>
    <x v="10"/>
    <n v="344.83264330391597"/>
    <n v="1241.3975158941"/>
  </r>
  <r>
    <x v="0"/>
    <x v="0"/>
    <x v="0"/>
    <x v="8"/>
    <x v="16"/>
    <s v="SE1_OTHER"/>
    <x v="0"/>
    <x v="11"/>
    <n v="275.55215901532603"/>
    <n v="991.98777245517294"/>
  </r>
  <r>
    <x v="0"/>
    <x v="0"/>
    <x v="0"/>
    <x v="8"/>
    <x v="16"/>
    <s v="SE1_OTHER"/>
    <x v="0"/>
    <x v="12"/>
    <n v="229.88564542796701"/>
    <n v="827.58832354068204"/>
  </r>
  <r>
    <x v="0"/>
    <x v="0"/>
    <x v="0"/>
    <x v="8"/>
    <x v="16"/>
    <s v="SE1_OTHER"/>
    <x v="0"/>
    <x v="13"/>
    <n v="183.544020487994"/>
    <n v="660.75847375677802"/>
  </r>
  <r>
    <x v="0"/>
    <x v="0"/>
    <x v="0"/>
    <x v="8"/>
    <x v="16"/>
    <s v="SE1_OTHER"/>
    <x v="0"/>
    <x v="14"/>
    <n v="84.289547715150903"/>
    <n v="303.44237177454301"/>
  </r>
  <r>
    <x v="0"/>
    <x v="0"/>
    <x v="0"/>
    <x v="8"/>
    <x v="16"/>
    <s v="SE1_OTHER"/>
    <x v="0"/>
    <x v="15"/>
    <n v="0"/>
    <n v="0"/>
  </r>
  <r>
    <x v="0"/>
    <x v="0"/>
    <x v="0"/>
    <x v="8"/>
    <x v="16"/>
    <s v="SE1_OTHER"/>
    <x v="0"/>
    <x v="16"/>
    <n v="0"/>
    <n v="0"/>
  </r>
  <r>
    <x v="0"/>
    <x v="0"/>
    <x v="0"/>
    <x v="8"/>
    <x v="16"/>
    <s v="SE1_OTHER"/>
    <x v="0"/>
    <x v="17"/>
    <n v="0"/>
    <n v="0"/>
  </r>
  <r>
    <x v="0"/>
    <x v="0"/>
    <x v="0"/>
    <x v="8"/>
    <x v="16"/>
    <s v="SE1_OTHER"/>
    <x v="0"/>
    <x v="18"/>
    <n v="0"/>
    <n v="0"/>
  </r>
  <r>
    <x v="0"/>
    <x v="0"/>
    <x v="0"/>
    <x v="8"/>
    <x v="16"/>
    <s v="SE1_OTHER"/>
    <x v="0"/>
    <x v="19"/>
    <n v="6.6389917891299302"/>
    <n v="23.9003704408677"/>
  </r>
  <r>
    <x v="0"/>
    <x v="0"/>
    <x v="0"/>
    <x v="8"/>
    <x v="16"/>
    <s v="SE1_OTHER"/>
    <x v="0"/>
    <x v="20"/>
    <n v="34.392036015285498"/>
    <n v="123.811329655028"/>
  </r>
  <r>
    <x v="0"/>
    <x v="0"/>
    <x v="0"/>
    <x v="8"/>
    <x v="16"/>
    <s v="SE1_OTHER"/>
    <x v="0"/>
    <x v="21"/>
    <n v="84.641159188156607"/>
    <n v="304.70817307736399"/>
  </r>
  <r>
    <x v="0"/>
    <x v="0"/>
    <x v="0"/>
    <x v="8"/>
    <x v="16"/>
    <s v="SE1_OTHER"/>
    <x v="0"/>
    <x v="22"/>
    <n v="154.10898680004601"/>
    <n v="554.79235248016596"/>
  </r>
  <r>
    <x v="0"/>
    <x v="0"/>
    <x v="0"/>
    <x v="8"/>
    <x v="16"/>
    <s v="SE1_OTHER"/>
    <x v="0"/>
    <x v="23"/>
    <n v="252.74092691937199"/>
    <n v="909.86733690974097"/>
  </r>
  <r>
    <x v="0"/>
    <x v="0"/>
    <x v="0"/>
    <x v="8"/>
    <x v="17"/>
    <s v="SE2_EL"/>
    <x v="0"/>
    <x v="0"/>
    <n v="1976.2098613036501"/>
    <n v="7114.3555006931301"/>
  </r>
  <r>
    <x v="0"/>
    <x v="0"/>
    <x v="0"/>
    <x v="8"/>
    <x v="17"/>
    <s v="SE2_EL"/>
    <x v="0"/>
    <x v="1"/>
    <n v="2382.7982412700399"/>
    <n v="8578.0736685721495"/>
  </r>
  <r>
    <x v="0"/>
    <x v="0"/>
    <x v="0"/>
    <x v="8"/>
    <x v="17"/>
    <s v="SE2_EL"/>
    <x v="0"/>
    <x v="2"/>
    <n v="2794.6162103039201"/>
    <n v="10060.618357094099"/>
  </r>
  <r>
    <x v="0"/>
    <x v="0"/>
    <x v="0"/>
    <x v="8"/>
    <x v="17"/>
    <s v="SE2_EL"/>
    <x v="0"/>
    <x v="3"/>
    <n v="3180.85308844369"/>
    <n v="11451.0711183973"/>
  </r>
  <r>
    <x v="0"/>
    <x v="0"/>
    <x v="0"/>
    <x v="8"/>
    <x v="17"/>
    <s v="SE2_EL"/>
    <x v="0"/>
    <x v="4"/>
    <n v="3469.3563119841701"/>
    <n v="12489.682723143"/>
  </r>
  <r>
    <x v="0"/>
    <x v="0"/>
    <x v="0"/>
    <x v="8"/>
    <x v="17"/>
    <s v="SE2_EL"/>
    <x v="0"/>
    <x v="5"/>
    <n v="3621.77450889291"/>
    <n v="13038.3882320145"/>
  </r>
  <r>
    <x v="0"/>
    <x v="0"/>
    <x v="0"/>
    <x v="8"/>
    <x v="17"/>
    <s v="SE2_EL"/>
    <x v="0"/>
    <x v="6"/>
    <n v="3667.51241721416"/>
    <n v="13203.044701971001"/>
  </r>
  <r>
    <x v="0"/>
    <x v="0"/>
    <x v="0"/>
    <x v="8"/>
    <x v="17"/>
    <s v="SE2_EL"/>
    <x v="0"/>
    <x v="7"/>
    <n v="3364.5670861345702"/>
    <n v="12112.4415100845"/>
  </r>
  <r>
    <x v="0"/>
    <x v="0"/>
    <x v="0"/>
    <x v="8"/>
    <x v="17"/>
    <s v="SE2_EL"/>
    <x v="0"/>
    <x v="8"/>
    <n v="2868.9228467040102"/>
    <n v="10328.122248134499"/>
  </r>
  <r>
    <x v="0"/>
    <x v="0"/>
    <x v="0"/>
    <x v="8"/>
    <x v="17"/>
    <s v="SE2_EL"/>
    <x v="0"/>
    <x v="9"/>
    <n v="2405.6100142441001"/>
    <n v="8660.19605127875"/>
  </r>
  <r>
    <x v="0"/>
    <x v="0"/>
    <x v="0"/>
    <x v="8"/>
    <x v="17"/>
    <s v="SE2_EL"/>
    <x v="0"/>
    <x v="10"/>
    <n v="1935.3681948302701"/>
    <n v="6967.3255013889602"/>
  </r>
  <r>
    <x v="0"/>
    <x v="0"/>
    <x v="0"/>
    <x v="8"/>
    <x v="17"/>
    <s v="SE2_EL"/>
    <x v="0"/>
    <x v="11"/>
    <n v="1579.4985639690201"/>
    <n v="5686.1948302884603"/>
  </r>
  <r>
    <x v="0"/>
    <x v="0"/>
    <x v="0"/>
    <x v="8"/>
    <x v="17"/>
    <s v="SE2_EL"/>
    <x v="0"/>
    <x v="12"/>
    <n v="1268.7573572956401"/>
    <n v="4567.5264862642898"/>
  </r>
  <r>
    <x v="0"/>
    <x v="0"/>
    <x v="0"/>
    <x v="8"/>
    <x v="17"/>
    <s v="SE2_EL"/>
    <x v="0"/>
    <x v="13"/>
    <n v="968.92306593692399"/>
    <n v="3488.12303737293"/>
  </r>
  <r>
    <x v="0"/>
    <x v="0"/>
    <x v="0"/>
    <x v="8"/>
    <x v="17"/>
    <s v="SE2_EL"/>
    <x v="0"/>
    <x v="14"/>
    <n v="675.76030435627399"/>
    <n v="2432.7370956825898"/>
  </r>
  <r>
    <x v="0"/>
    <x v="0"/>
    <x v="0"/>
    <x v="8"/>
    <x v="17"/>
    <s v="SE2_EL"/>
    <x v="0"/>
    <x v="15"/>
    <n v="405.81870864166899"/>
    <n v="1460.94735111001"/>
  </r>
  <r>
    <x v="0"/>
    <x v="0"/>
    <x v="0"/>
    <x v="8"/>
    <x v="17"/>
    <s v="SE2_EL"/>
    <x v="0"/>
    <x v="16"/>
    <n v="95.493428065519794"/>
    <n v="343.77634103587098"/>
  </r>
  <r>
    <x v="0"/>
    <x v="0"/>
    <x v="0"/>
    <x v="8"/>
    <x v="17"/>
    <s v="SE2_EL"/>
    <x v="0"/>
    <x v="17"/>
    <n v="0"/>
    <n v="0"/>
  </r>
  <r>
    <x v="0"/>
    <x v="0"/>
    <x v="0"/>
    <x v="8"/>
    <x v="17"/>
    <s v="SE2_EL"/>
    <x v="0"/>
    <x v="18"/>
    <n v="24.1377709611534"/>
    <n v="86.895975460152101"/>
  </r>
  <r>
    <x v="0"/>
    <x v="0"/>
    <x v="0"/>
    <x v="8"/>
    <x v="17"/>
    <s v="SE2_EL"/>
    <x v="0"/>
    <x v="19"/>
    <n v="131.17023653121399"/>
    <n v="472.21285151236998"/>
  </r>
  <r>
    <x v="0"/>
    <x v="0"/>
    <x v="0"/>
    <x v="8"/>
    <x v="17"/>
    <s v="SE2_EL"/>
    <x v="0"/>
    <x v="20"/>
    <n v="331.691601863882"/>
    <n v="1194.08976670998"/>
  </r>
  <r>
    <x v="0"/>
    <x v="0"/>
    <x v="0"/>
    <x v="8"/>
    <x v="17"/>
    <s v="SE2_EL"/>
    <x v="0"/>
    <x v="21"/>
    <n v="613.82440217648195"/>
    <n v="2209.76784783534"/>
  </r>
  <r>
    <x v="0"/>
    <x v="0"/>
    <x v="0"/>
    <x v="8"/>
    <x v="17"/>
    <s v="SE2_EL"/>
    <x v="0"/>
    <x v="22"/>
    <n v="949.77515098999902"/>
    <n v="3419.1905435640001"/>
  </r>
  <r>
    <x v="0"/>
    <x v="0"/>
    <x v="0"/>
    <x v="8"/>
    <x v="17"/>
    <s v="SE2_EL"/>
    <x v="0"/>
    <x v="23"/>
    <n v="1394.0157431083801"/>
    <n v="5018.4566751901702"/>
  </r>
  <r>
    <x v="0"/>
    <x v="0"/>
    <x v="0"/>
    <x v="8"/>
    <x v="17"/>
    <s v="SE2_OTHER"/>
    <x v="0"/>
    <x v="0"/>
    <n v="0"/>
    <n v="0"/>
  </r>
  <r>
    <x v="0"/>
    <x v="0"/>
    <x v="0"/>
    <x v="8"/>
    <x v="17"/>
    <s v="SE2_OTHER"/>
    <x v="0"/>
    <x v="1"/>
    <n v="0"/>
    <n v="0"/>
  </r>
  <r>
    <x v="0"/>
    <x v="0"/>
    <x v="0"/>
    <x v="8"/>
    <x v="17"/>
    <s v="SE2_OTHER"/>
    <x v="0"/>
    <x v="2"/>
    <n v="0"/>
    <n v="0"/>
  </r>
  <r>
    <x v="0"/>
    <x v="0"/>
    <x v="0"/>
    <x v="8"/>
    <x v="17"/>
    <s v="SE2_OTHER"/>
    <x v="0"/>
    <x v="3"/>
    <n v="0"/>
    <n v="0"/>
  </r>
  <r>
    <x v="0"/>
    <x v="0"/>
    <x v="0"/>
    <x v="8"/>
    <x v="17"/>
    <s v="SE2_OTHER"/>
    <x v="0"/>
    <x v="4"/>
    <n v="0"/>
    <n v="0"/>
  </r>
  <r>
    <x v="0"/>
    <x v="0"/>
    <x v="0"/>
    <x v="8"/>
    <x v="17"/>
    <s v="SE2_OTHER"/>
    <x v="0"/>
    <x v="5"/>
    <n v="0"/>
    <n v="0"/>
  </r>
  <r>
    <x v="0"/>
    <x v="0"/>
    <x v="0"/>
    <x v="8"/>
    <x v="17"/>
    <s v="SE2_OTHER"/>
    <x v="0"/>
    <x v="6"/>
    <n v="0"/>
    <n v="0"/>
  </r>
  <r>
    <x v="0"/>
    <x v="0"/>
    <x v="0"/>
    <x v="8"/>
    <x v="17"/>
    <s v="SE2_OTHER"/>
    <x v="0"/>
    <x v="7"/>
    <n v="0"/>
    <n v="0"/>
  </r>
  <r>
    <x v="0"/>
    <x v="0"/>
    <x v="0"/>
    <x v="8"/>
    <x v="17"/>
    <s v="SE2_OTHER"/>
    <x v="0"/>
    <x v="8"/>
    <n v="0"/>
    <n v="0"/>
  </r>
  <r>
    <x v="0"/>
    <x v="0"/>
    <x v="0"/>
    <x v="8"/>
    <x v="17"/>
    <s v="SE2_OTHER"/>
    <x v="0"/>
    <x v="9"/>
    <n v="0"/>
    <n v="0"/>
  </r>
  <r>
    <x v="0"/>
    <x v="0"/>
    <x v="0"/>
    <x v="8"/>
    <x v="17"/>
    <s v="SE2_OTHER"/>
    <x v="0"/>
    <x v="10"/>
    <n v="0"/>
    <n v="0"/>
  </r>
  <r>
    <x v="0"/>
    <x v="0"/>
    <x v="0"/>
    <x v="8"/>
    <x v="17"/>
    <s v="SE2_OTHER"/>
    <x v="0"/>
    <x v="11"/>
    <n v="0"/>
    <n v="0"/>
  </r>
  <r>
    <x v="0"/>
    <x v="0"/>
    <x v="0"/>
    <x v="8"/>
    <x v="17"/>
    <s v="SE2_OTHER"/>
    <x v="0"/>
    <x v="12"/>
    <n v="0"/>
    <n v="0"/>
  </r>
  <r>
    <x v="0"/>
    <x v="0"/>
    <x v="0"/>
    <x v="8"/>
    <x v="17"/>
    <s v="SE2_OTHER"/>
    <x v="0"/>
    <x v="13"/>
    <n v="0"/>
    <n v="0"/>
  </r>
  <r>
    <x v="0"/>
    <x v="0"/>
    <x v="0"/>
    <x v="8"/>
    <x v="17"/>
    <s v="SE2_OTHER"/>
    <x v="0"/>
    <x v="14"/>
    <n v="0"/>
    <n v="0"/>
  </r>
  <r>
    <x v="0"/>
    <x v="0"/>
    <x v="0"/>
    <x v="8"/>
    <x v="17"/>
    <s v="SE2_OTHER"/>
    <x v="0"/>
    <x v="15"/>
    <n v="0"/>
    <n v="0"/>
  </r>
  <r>
    <x v="0"/>
    <x v="0"/>
    <x v="0"/>
    <x v="8"/>
    <x v="17"/>
    <s v="SE2_OTHER"/>
    <x v="0"/>
    <x v="16"/>
    <n v="0"/>
    <n v="0"/>
  </r>
  <r>
    <x v="0"/>
    <x v="0"/>
    <x v="0"/>
    <x v="8"/>
    <x v="17"/>
    <s v="SE2_OTHER"/>
    <x v="0"/>
    <x v="17"/>
    <n v="0"/>
    <n v="0"/>
  </r>
  <r>
    <x v="0"/>
    <x v="0"/>
    <x v="0"/>
    <x v="8"/>
    <x v="17"/>
    <s v="SE2_OTHER"/>
    <x v="0"/>
    <x v="18"/>
    <n v="0"/>
    <n v="0"/>
  </r>
  <r>
    <x v="0"/>
    <x v="0"/>
    <x v="0"/>
    <x v="8"/>
    <x v="17"/>
    <s v="SE2_OTHER"/>
    <x v="0"/>
    <x v="19"/>
    <n v="0"/>
    <n v="0"/>
  </r>
  <r>
    <x v="0"/>
    <x v="0"/>
    <x v="0"/>
    <x v="8"/>
    <x v="17"/>
    <s v="SE2_OTHER"/>
    <x v="0"/>
    <x v="20"/>
    <n v="0"/>
    <n v="0"/>
  </r>
  <r>
    <x v="0"/>
    <x v="0"/>
    <x v="0"/>
    <x v="8"/>
    <x v="17"/>
    <s v="SE2_OTHER"/>
    <x v="0"/>
    <x v="21"/>
    <n v="0"/>
    <n v="0"/>
  </r>
  <r>
    <x v="0"/>
    <x v="0"/>
    <x v="0"/>
    <x v="8"/>
    <x v="17"/>
    <s v="SE2_OTHER"/>
    <x v="0"/>
    <x v="22"/>
    <n v="0"/>
    <n v="0"/>
  </r>
  <r>
    <x v="0"/>
    <x v="0"/>
    <x v="0"/>
    <x v="8"/>
    <x v="17"/>
    <s v="SE2_OTHER"/>
    <x v="0"/>
    <x v="23"/>
    <n v="0"/>
    <n v="0"/>
  </r>
  <r>
    <x v="0"/>
    <x v="0"/>
    <x v="0"/>
    <x v="8"/>
    <x v="18"/>
    <s v="SE3_EL"/>
    <x v="0"/>
    <x v="0"/>
    <n v="4026.4096265216999"/>
    <n v="14495.0746554781"/>
  </r>
  <r>
    <x v="0"/>
    <x v="0"/>
    <x v="0"/>
    <x v="8"/>
    <x v="18"/>
    <s v="SE3_EL"/>
    <x v="0"/>
    <x v="1"/>
    <n v="5274.8235142780004"/>
    <n v="18989.3646514008"/>
  </r>
  <r>
    <x v="0"/>
    <x v="0"/>
    <x v="0"/>
    <x v="8"/>
    <x v="18"/>
    <s v="SE3_EL"/>
    <x v="0"/>
    <x v="2"/>
    <n v="6458.1598968055596"/>
    <n v="23249.375628500002"/>
  </r>
  <r>
    <x v="0"/>
    <x v="0"/>
    <x v="0"/>
    <x v="8"/>
    <x v="18"/>
    <s v="SE3_EL"/>
    <x v="0"/>
    <x v="3"/>
    <n v="7573.6171855349403"/>
    <n v="27265.0218679258"/>
  </r>
  <r>
    <x v="0"/>
    <x v="0"/>
    <x v="0"/>
    <x v="8"/>
    <x v="18"/>
    <s v="SE3_EL"/>
    <x v="0"/>
    <x v="4"/>
    <n v="8434.7442941057507"/>
    <n v="30365.079458780699"/>
  </r>
  <r>
    <x v="0"/>
    <x v="0"/>
    <x v="0"/>
    <x v="8"/>
    <x v="18"/>
    <s v="SE3_EL"/>
    <x v="0"/>
    <x v="5"/>
    <n v="8803.1176915470605"/>
    <n v="31691.2236895694"/>
  </r>
  <r>
    <x v="0"/>
    <x v="0"/>
    <x v="0"/>
    <x v="8"/>
    <x v="18"/>
    <s v="SE3_EL"/>
    <x v="0"/>
    <x v="6"/>
    <n v="8803.1176915470605"/>
    <n v="31691.2236895694"/>
  </r>
  <r>
    <x v="0"/>
    <x v="0"/>
    <x v="0"/>
    <x v="8"/>
    <x v="18"/>
    <s v="SE3_EL"/>
    <x v="0"/>
    <x v="7"/>
    <n v="7798.50328504353"/>
    <n v="28074.611826156699"/>
  </r>
  <r>
    <x v="0"/>
    <x v="0"/>
    <x v="0"/>
    <x v="8"/>
    <x v="18"/>
    <s v="SE3_EL"/>
    <x v="0"/>
    <x v="8"/>
    <n v="6188.8573273969996"/>
    <n v="22279.886378629199"/>
  </r>
  <r>
    <x v="0"/>
    <x v="0"/>
    <x v="0"/>
    <x v="8"/>
    <x v="18"/>
    <s v="SE3_EL"/>
    <x v="0"/>
    <x v="9"/>
    <n v="4212.6507624083497"/>
    <n v="15165.5427446701"/>
  </r>
  <r>
    <x v="0"/>
    <x v="0"/>
    <x v="0"/>
    <x v="8"/>
    <x v="18"/>
    <s v="SE3_EL"/>
    <x v="0"/>
    <x v="10"/>
    <n v="2536.34322375395"/>
    <n v="9130.8356055141994"/>
  </r>
  <r>
    <x v="0"/>
    <x v="0"/>
    <x v="0"/>
    <x v="8"/>
    <x v="18"/>
    <s v="SE3_EL"/>
    <x v="0"/>
    <x v="11"/>
    <n v="1414.4495283419899"/>
    <n v="5092.0183020311597"/>
  </r>
  <r>
    <x v="0"/>
    <x v="0"/>
    <x v="0"/>
    <x v="8"/>
    <x v="18"/>
    <s v="SE3_EL"/>
    <x v="0"/>
    <x v="12"/>
    <n v="676.791885729098"/>
    <n v="2436.4507886247502"/>
  </r>
  <r>
    <x v="0"/>
    <x v="0"/>
    <x v="0"/>
    <x v="8"/>
    <x v="18"/>
    <s v="SE3_EL"/>
    <x v="0"/>
    <x v="13"/>
    <n v="224.92833184890799"/>
    <n v="809.74199465607001"/>
  </r>
  <r>
    <x v="0"/>
    <x v="0"/>
    <x v="0"/>
    <x v="8"/>
    <x v="18"/>
    <s v="SE3_EL"/>
    <x v="0"/>
    <x v="14"/>
    <n v="11.912863255465799"/>
    <n v="42.886307719677099"/>
  </r>
  <r>
    <x v="0"/>
    <x v="0"/>
    <x v="0"/>
    <x v="8"/>
    <x v="18"/>
    <s v="SE3_EL"/>
    <x v="0"/>
    <x v="15"/>
    <n v="0"/>
    <n v="0"/>
  </r>
  <r>
    <x v="0"/>
    <x v="0"/>
    <x v="0"/>
    <x v="8"/>
    <x v="18"/>
    <s v="SE3_EL"/>
    <x v="0"/>
    <x v="16"/>
    <n v="0"/>
    <n v="0"/>
  </r>
  <r>
    <x v="0"/>
    <x v="0"/>
    <x v="0"/>
    <x v="8"/>
    <x v="18"/>
    <s v="SE3_EL"/>
    <x v="0"/>
    <x v="17"/>
    <n v="0"/>
    <n v="0"/>
  </r>
  <r>
    <x v="0"/>
    <x v="0"/>
    <x v="0"/>
    <x v="8"/>
    <x v="18"/>
    <s v="SE3_EL"/>
    <x v="0"/>
    <x v="18"/>
    <n v="0"/>
    <n v="0"/>
  </r>
  <r>
    <x v="0"/>
    <x v="0"/>
    <x v="0"/>
    <x v="8"/>
    <x v="18"/>
    <s v="SE3_EL"/>
    <x v="0"/>
    <x v="19"/>
    <n v="27.316970449769901"/>
    <n v="98.341093619171701"/>
  </r>
  <r>
    <x v="0"/>
    <x v="0"/>
    <x v="0"/>
    <x v="8"/>
    <x v="18"/>
    <s v="SE3_EL"/>
    <x v="0"/>
    <x v="20"/>
    <n v="301.91152130331898"/>
    <n v="1086.88147669195"/>
  </r>
  <r>
    <x v="0"/>
    <x v="0"/>
    <x v="0"/>
    <x v="8"/>
    <x v="18"/>
    <s v="SE3_EL"/>
    <x v="0"/>
    <x v="21"/>
    <n v="788.07526353708397"/>
    <n v="2837.0709487334998"/>
  </r>
  <r>
    <x v="0"/>
    <x v="0"/>
    <x v="0"/>
    <x v="8"/>
    <x v="18"/>
    <s v="SE3_EL"/>
    <x v="0"/>
    <x v="22"/>
    <n v="1500.8368828386599"/>
    <n v="5403.0127782191803"/>
  </r>
  <r>
    <x v="0"/>
    <x v="0"/>
    <x v="0"/>
    <x v="8"/>
    <x v="18"/>
    <s v="SE3_EL"/>
    <x v="0"/>
    <x v="23"/>
    <n v="2543.3907429610999"/>
    <n v="9156.2066746599794"/>
  </r>
  <r>
    <x v="0"/>
    <x v="0"/>
    <x v="0"/>
    <x v="8"/>
    <x v="18"/>
    <s v="SE3_GOT"/>
    <x v="0"/>
    <x v="0"/>
    <n v="1920.6212459874901"/>
    <n v="6914.2364855549504"/>
  </r>
  <r>
    <x v="0"/>
    <x v="0"/>
    <x v="0"/>
    <x v="8"/>
    <x v="18"/>
    <s v="SE3_GOT"/>
    <x v="0"/>
    <x v="1"/>
    <n v="2159.75262468235"/>
    <n v="7775.1094488564604"/>
  </r>
  <r>
    <x v="0"/>
    <x v="0"/>
    <x v="0"/>
    <x v="8"/>
    <x v="18"/>
    <s v="SE3_GOT"/>
    <x v="0"/>
    <x v="2"/>
    <n v="2406.0543875661501"/>
    <n v="8661.7957952381494"/>
  </r>
  <r>
    <x v="0"/>
    <x v="0"/>
    <x v="0"/>
    <x v="8"/>
    <x v="18"/>
    <s v="SE3_GOT"/>
    <x v="0"/>
    <x v="3"/>
    <n v="2641.5491565124798"/>
    <n v="9509.5769634449098"/>
  </r>
  <r>
    <x v="0"/>
    <x v="0"/>
    <x v="0"/>
    <x v="8"/>
    <x v="18"/>
    <s v="SE3_GOT"/>
    <x v="0"/>
    <x v="4"/>
    <n v="2776.7341046203901"/>
    <n v="9996.2427766333894"/>
  </r>
  <r>
    <x v="0"/>
    <x v="0"/>
    <x v="0"/>
    <x v="8"/>
    <x v="18"/>
    <s v="SE3_GOT"/>
    <x v="0"/>
    <x v="5"/>
    <n v="3322.6652544445101"/>
    <n v="11961.5949160002"/>
  </r>
  <r>
    <x v="0"/>
    <x v="0"/>
    <x v="0"/>
    <x v="8"/>
    <x v="18"/>
    <s v="SE3_GOT"/>
    <x v="0"/>
    <x v="6"/>
    <n v="3516.3299001411501"/>
    <n v="12658.787640508101"/>
  </r>
  <r>
    <x v="0"/>
    <x v="0"/>
    <x v="0"/>
    <x v="8"/>
    <x v="18"/>
    <s v="SE3_GOT"/>
    <x v="0"/>
    <x v="7"/>
    <n v="3089.6210947925701"/>
    <n v="11122.6359412533"/>
  </r>
  <r>
    <x v="0"/>
    <x v="0"/>
    <x v="0"/>
    <x v="8"/>
    <x v="18"/>
    <s v="SE3_GOT"/>
    <x v="0"/>
    <x v="8"/>
    <n v="2399.1284742128"/>
    <n v="8636.8625071660608"/>
  </r>
  <r>
    <x v="0"/>
    <x v="0"/>
    <x v="0"/>
    <x v="8"/>
    <x v="18"/>
    <s v="SE3_GOT"/>
    <x v="0"/>
    <x v="9"/>
    <n v="1751.9565361664199"/>
    <n v="6307.0435301991201"/>
  </r>
  <r>
    <x v="0"/>
    <x v="0"/>
    <x v="0"/>
    <x v="8"/>
    <x v="18"/>
    <s v="SE3_GOT"/>
    <x v="0"/>
    <x v="10"/>
    <n v="1225.3442695148799"/>
    <n v="4411.2393702535701"/>
  </r>
  <r>
    <x v="0"/>
    <x v="0"/>
    <x v="0"/>
    <x v="8"/>
    <x v="18"/>
    <s v="SE3_GOT"/>
    <x v="0"/>
    <x v="11"/>
    <n v="809.68678807852802"/>
    <n v="2914.8724370826999"/>
  </r>
  <r>
    <x v="0"/>
    <x v="0"/>
    <x v="0"/>
    <x v="8"/>
    <x v="18"/>
    <s v="SE3_GOT"/>
    <x v="0"/>
    <x v="12"/>
    <n v="506.72090180210398"/>
    <n v="1824.1952464875701"/>
  </r>
  <r>
    <x v="0"/>
    <x v="0"/>
    <x v="0"/>
    <x v="8"/>
    <x v="18"/>
    <s v="SE3_GOT"/>
    <x v="0"/>
    <x v="13"/>
    <n v="329.7059117307"/>
    <n v="1186.9412822305201"/>
  </r>
  <r>
    <x v="0"/>
    <x v="0"/>
    <x v="0"/>
    <x v="8"/>
    <x v="18"/>
    <s v="SE3_GOT"/>
    <x v="0"/>
    <x v="14"/>
    <n v="166.06807615415701"/>
    <n v="597.84507415496603"/>
  </r>
  <r>
    <x v="0"/>
    <x v="0"/>
    <x v="0"/>
    <x v="8"/>
    <x v="18"/>
    <s v="SE3_GOT"/>
    <x v="0"/>
    <x v="15"/>
    <n v="63.596089111540103"/>
    <n v="228.94592080154399"/>
  </r>
  <r>
    <x v="0"/>
    <x v="0"/>
    <x v="0"/>
    <x v="8"/>
    <x v="18"/>
    <s v="SE3_GOT"/>
    <x v="0"/>
    <x v="16"/>
    <n v="0"/>
    <n v="0"/>
  </r>
  <r>
    <x v="0"/>
    <x v="0"/>
    <x v="0"/>
    <x v="8"/>
    <x v="18"/>
    <s v="SE3_GOT"/>
    <x v="0"/>
    <x v="17"/>
    <n v="6.0093884617390403"/>
    <n v="21.633798462260501"/>
  </r>
  <r>
    <x v="0"/>
    <x v="0"/>
    <x v="0"/>
    <x v="8"/>
    <x v="18"/>
    <s v="SE3_GOT"/>
    <x v="0"/>
    <x v="18"/>
    <n v="169.68218517041299"/>
    <n v="610.85586661348498"/>
  </r>
  <r>
    <x v="0"/>
    <x v="0"/>
    <x v="0"/>
    <x v="8"/>
    <x v="18"/>
    <s v="SE3_GOT"/>
    <x v="0"/>
    <x v="19"/>
    <n v="463.86107596064801"/>
    <n v="1669.8998734583299"/>
  </r>
  <r>
    <x v="0"/>
    <x v="0"/>
    <x v="0"/>
    <x v="8"/>
    <x v="18"/>
    <s v="SE3_GOT"/>
    <x v="0"/>
    <x v="20"/>
    <n v="859.89937640804396"/>
    <n v="3095.6377550689599"/>
  </r>
  <r>
    <x v="0"/>
    <x v="0"/>
    <x v="0"/>
    <x v="8"/>
    <x v="18"/>
    <s v="SE3_GOT"/>
    <x v="0"/>
    <x v="21"/>
    <n v="1347.22713347533"/>
    <n v="4850.0176805112096"/>
  </r>
  <r>
    <x v="0"/>
    <x v="0"/>
    <x v="0"/>
    <x v="8"/>
    <x v="18"/>
    <s v="SE3_GOT"/>
    <x v="0"/>
    <x v="22"/>
    <n v="1383.7646580534299"/>
    <n v="4981.5527689923501"/>
  </r>
  <r>
    <x v="0"/>
    <x v="0"/>
    <x v="0"/>
    <x v="8"/>
    <x v="18"/>
    <s v="SE3_GOT"/>
    <x v="0"/>
    <x v="23"/>
    <n v="1537.6031793633799"/>
    <n v="5535.3714457081796"/>
  </r>
  <r>
    <x v="0"/>
    <x v="0"/>
    <x v="0"/>
    <x v="8"/>
    <x v="18"/>
    <s v="SE3_HP"/>
    <x v="0"/>
    <x v="0"/>
    <n v="0"/>
    <n v="0"/>
  </r>
  <r>
    <x v="0"/>
    <x v="0"/>
    <x v="0"/>
    <x v="8"/>
    <x v="18"/>
    <s v="SE3_HP"/>
    <x v="0"/>
    <x v="1"/>
    <n v="0"/>
    <n v="0"/>
  </r>
  <r>
    <x v="0"/>
    <x v="0"/>
    <x v="0"/>
    <x v="8"/>
    <x v="18"/>
    <s v="SE3_HP"/>
    <x v="0"/>
    <x v="2"/>
    <n v="0"/>
    <n v="0"/>
  </r>
  <r>
    <x v="0"/>
    <x v="0"/>
    <x v="0"/>
    <x v="8"/>
    <x v="18"/>
    <s v="SE3_HP"/>
    <x v="0"/>
    <x v="3"/>
    <n v="0"/>
    <n v="0"/>
  </r>
  <r>
    <x v="0"/>
    <x v="0"/>
    <x v="0"/>
    <x v="8"/>
    <x v="18"/>
    <s v="SE3_HP"/>
    <x v="0"/>
    <x v="4"/>
    <n v="0"/>
    <n v="0"/>
  </r>
  <r>
    <x v="0"/>
    <x v="0"/>
    <x v="0"/>
    <x v="8"/>
    <x v="18"/>
    <s v="SE3_HP"/>
    <x v="0"/>
    <x v="5"/>
    <n v="0"/>
    <n v="0"/>
  </r>
  <r>
    <x v="0"/>
    <x v="0"/>
    <x v="0"/>
    <x v="8"/>
    <x v="18"/>
    <s v="SE3_HP"/>
    <x v="0"/>
    <x v="6"/>
    <n v="0"/>
    <n v="0"/>
  </r>
  <r>
    <x v="0"/>
    <x v="0"/>
    <x v="0"/>
    <x v="8"/>
    <x v="18"/>
    <s v="SE3_HP"/>
    <x v="0"/>
    <x v="7"/>
    <n v="0"/>
    <n v="0"/>
  </r>
  <r>
    <x v="0"/>
    <x v="0"/>
    <x v="0"/>
    <x v="8"/>
    <x v="18"/>
    <s v="SE3_HP"/>
    <x v="0"/>
    <x v="8"/>
    <n v="0"/>
    <n v="0"/>
  </r>
  <r>
    <x v="0"/>
    <x v="0"/>
    <x v="0"/>
    <x v="8"/>
    <x v="18"/>
    <s v="SE3_HP"/>
    <x v="0"/>
    <x v="9"/>
    <n v="0"/>
    <n v="0"/>
  </r>
  <r>
    <x v="0"/>
    <x v="0"/>
    <x v="0"/>
    <x v="8"/>
    <x v="18"/>
    <s v="SE3_HP"/>
    <x v="0"/>
    <x v="10"/>
    <n v="0"/>
    <n v="0"/>
  </r>
  <r>
    <x v="0"/>
    <x v="0"/>
    <x v="0"/>
    <x v="8"/>
    <x v="18"/>
    <s v="SE3_HP"/>
    <x v="0"/>
    <x v="11"/>
    <n v="0"/>
    <n v="0"/>
  </r>
  <r>
    <x v="0"/>
    <x v="0"/>
    <x v="0"/>
    <x v="8"/>
    <x v="18"/>
    <s v="SE3_HP"/>
    <x v="0"/>
    <x v="12"/>
    <n v="0"/>
    <n v="0"/>
  </r>
  <r>
    <x v="0"/>
    <x v="0"/>
    <x v="0"/>
    <x v="8"/>
    <x v="18"/>
    <s v="SE3_HP"/>
    <x v="0"/>
    <x v="13"/>
    <n v="0"/>
    <n v="0"/>
  </r>
  <r>
    <x v="0"/>
    <x v="0"/>
    <x v="0"/>
    <x v="8"/>
    <x v="18"/>
    <s v="SE3_HP"/>
    <x v="0"/>
    <x v="14"/>
    <n v="0"/>
    <n v="0"/>
  </r>
  <r>
    <x v="0"/>
    <x v="0"/>
    <x v="0"/>
    <x v="8"/>
    <x v="18"/>
    <s v="SE3_HP"/>
    <x v="0"/>
    <x v="15"/>
    <n v="0"/>
    <n v="0"/>
  </r>
  <r>
    <x v="0"/>
    <x v="0"/>
    <x v="0"/>
    <x v="8"/>
    <x v="18"/>
    <s v="SE3_HP"/>
    <x v="0"/>
    <x v="16"/>
    <n v="0"/>
    <n v="0"/>
  </r>
  <r>
    <x v="0"/>
    <x v="0"/>
    <x v="0"/>
    <x v="8"/>
    <x v="18"/>
    <s v="SE3_HP"/>
    <x v="0"/>
    <x v="17"/>
    <n v="0"/>
    <n v="0"/>
  </r>
  <r>
    <x v="0"/>
    <x v="0"/>
    <x v="0"/>
    <x v="8"/>
    <x v="18"/>
    <s v="SE3_HP"/>
    <x v="0"/>
    <x v="18"/>
    <n v="0"/>
    <n v="0"/>
  </r>
  <r>
    <x v="0"/>
    <x v="0"/>
    <x v="0"/>
    <x v="8"/>
    <x v="18"/>
    <s v="SE3_HP"/>
    <x v="0"/>
    <x v="19"/>
    <n v="0"/>
    <n v="0"/>
  </r>
  <r>
    <x v="0"/>
    <x v="0"/>
    <x v="0"/>
    <x v="8"/>
    <x v="18"/>
    <s v="SE3_HP"/>
    <x v="0"/>
    <x v="20"/>
    <n v="0"/>
    <n v="0"/>
  </r>
  <r>
    <x v="0"/>
    <x v="0"/>
    <x v="0"/>
    <x v="8"/>
    <x v="18"/>
    <s v="SE3_HP"/>
    <x v="0"/>
    <x v="21"/>
    <n v="0"/>
    <n v="0"/>
  </r>
  <r>
    <x v="0"/>
    <x v="0"/>
    <x v="0"/>
    <x v="8"/>
    <x v="18"/>
    <s v="SE3_HP"/>
    <x v="0"/>
    <x v="22"/>
    <n v="0"/>
    <n v="0"/>
  </r>
  <r>
    <x v="0"/>
    <x v="0"/>
    <x v="0"/>
    <x v="8"/>
    <x v="18"/>
    <s v="SE3_HP"/>
    <x v="0"/>
    <x v="23"/>
    <n v="0"/>
    <n v="0"/>
  </r>
  <r>
    <x v="0"/>
    <x v="0"/>
    <x v="0"/>
    <x v="8"/>
    <x v="18"/>
    <s v="SE3_OTHER"/>
    <x v="0"/>
    <x v="0"/>
    <n v="654.59073246789103"/>
    <n v="2356.52663688441"/>
  </r>
  <r>
    <x v="0"/>
    <x v="0"/>
    <x v="0"/>
    <x v="8"/>
    <x v="18"/>
    <s v="SE3_OTHER"/>
    <x v="0"/>
    <x v="1"/>
    <n v="955.24929080290303"/>
    <n v="3438.8974468904498"/>
  </r>
  <r>
    <x v="0"/>
    <x v="0"/>
    <x v="0"/>
    <x v="8"/>
    <x v="18"/>
    <s v="SE3_OTHER"/>
    <x v="0"/>
    <x v="2"/>
    <n v="1174.1865392197101"/>
    <n v="4227.0715411909696"/>
  </r>
  <r>
    <x v="0"/>
    <x v="0"/>
    <x v="0"/>
    <x v="8"/>
    <x v="18"/>
    <s v="SE3_OTHER"/>
    <x v="0"/>
    <x v="3"/>
    <n v="3118.0054230954202"/>
    <n v="11224.8195231435"/>
  </r>
  <r>
    <x v="0"/>
    <x v="0"/>
    <x v="0"/>
    <x v="8"/>
    <x v="18"/>
    <s v="SE3_OTHER"/>
    <x v="0"/>
    <x v="4"/>
    <n v="3118.0054230954202"/>
    <n v="11224.8195231435"/>
  </r>
  <r>
    <x v="0"/>
    <x v="0"/>
    <x v="0"/>
    <x v="8"/>
    <x v="18"/>
    <s v="SE3_OTHER"/>
    <x v="0"/>
    <x v="5"/>
    <n v="3118.0054230954202"/>
    <n v="11224.8195231435"/>
  </r>
  <r>
    <x v="0"/>
    <x v="0"/>
    <x v="0"/>
    <x v="8"/>
    <x v="18"/>
    <s v="SE3_OTHER"/>
    <x v="0"/>
    <x v="6"/>
    <n v="3118.0054230954202"/>
    <n v="11224.8195231435"/>
  </r>
  <r>
    <x v="0"/>
    <x v="0"/>
    <x v="0"/>
    <x v="8"/>
    <x v="18"/>
    <s v="SE3_OTHER"/>
    <x v="0"/>
    <x v="7"/>
    <n v="3118.0054230954202"/>
    <n v="11224.8195231435"/>
  </r>
  <r>
    <x v="0"/>
    <x v="0"/>
    <x v="0"/>
    <x v="8"/>
    <x v="18"/>
    <s v="SE3_OTHER"/>
    <x v="0"/>
    <x v="8"/>
    <n v="2192.3372863152499"/>
    <n v="7892.4142307349202"/>
  </r>
  <r>
    <x v="0"/>
    <x v="0"/>
    <x v="0"/>
    <x v="8"/>
    <x v="18"/>
    <s v="SE3_OTHER"/>
    <x v="0"/>
    <x v="9"/>
    <n v="1179.21624928543"/>
    <n v="4245.1784974275397"/>
  </r>
  <r>
    <x v="0"/>
    <x v="0"/>
    <x v="0"/>
    <x v="8"/>
    <x v="18"/>
    <s v="SE3_OTHER"/>
    <x v="0"/>
    <x v="10"/>
    <n v="324.388984489547"/>
    <n v="1167.80034416237"/>
  </r>
  <r>
    <x v="0"/>
    <x v="0"/>
    <x v="0"/>
    <x v="8"/>
    <x v="18"/>
    <s v="SE3_OTHER"/>
    <x v="0"/>
    <x v="11"/>
    <n v="0"/>
    <n v="0"/>
  </r>
  <r>
    <x v="0"/>
    <x v="0"/>
    <x v="0"/>
    <x v="8"/>
    <x v="18"/>
    <s v="SE3_OTHER"/>
    <x v="0"/>
    <x v="12"/>
    <n v="98.457182486389499"/>
    <n v="354.44585695100199"/>
  </r>
  <r>
    <x v="0"/>
    <x v="0"/>
    <x v="0"/>
    <x v="8"/>
    <x v="18"/>
    <s v="SE3_OTHER"/>
    <x v="0"/>
    <x v="13"/>
    <n v="0"/>
    <n v="0"/>
  </r>
  <r>
    <x v="0"/>
    <x v="0"/>
    <x v="0"/>
    <x v="8"/>
    <x v="18"/>
    <s v="SE3_OTHER"/>
    <x v="0"/>
    <x v="14"/>
    <n v="0"/>
    <n v="0"/>
  </r>
  <r>
    <x v="0"/>
    <x v="0"/>
    <x v="0"/>
    <x v="8"/>
    <x v="18"/>
    <s v="SE3_OTHER"/>
    <x v="0"/>
    <x v="15"/>
    <n v="0"/>
    <n v="0"/>
  </r>
  <r>
    <x v="0"/>
    <x v="0"/>
    <x v="0"/>
    <x v="8"/>
    <x v="18"/>
    <s v="SE3_OTHER"/>
    <x v="0"/>
    <x v="16"/>
    <n v="0"/>
    <n v="0"/>
  </r>
  <r>
    <x v="0"/>
    <x v="0"/>
    <x v="0"/>
    <x v="8"/>
    <x v="18"/>
    <s v="SE3_OTHER"/>
    <x v="0"/>
    <x v="17"/>
    <n v="0"/>
    <n v="0"/>
  </r>
  <r>
    <x v="0"/>
    <x v="0"/>
    <x v="0"/>
    <x v="8"/>
    <x v="18"/>
    <s v="SE3_OTHER"/>
    <x v="0"/>
    <x v="18"/>
    <n v="0"/>
    <n v="0"/>
  </r>
  <r>
    <x v="0"/>
    <x v="0"/>
    <x v="0"/>
    <x v="8"/>
    <x v="18"/>
    <s v="SE3_OTHER"/>
    <x v="0"/>
    <x v="19"/>
    <n v="0"/>
    <n v="0"/>
  </r>
  <r>
    <x v="0"/>
    <x v="0"/>
    <x v="0"/>
    <x v="8"/>
    <x v="18"/>
    <s v="SE3_OTHER"/>
    <x v="0"/>
    <x v="20"/>
    <n v="0"/>
    <n v="0"/>
  </r>
  <r>
    <x v="0"/>
    <x v="0"/>
    <x v="0"/>
    <x v="8"/>
    <x v="18"/>
    <s v="SE3_OTHER"/>
    <x v="0"/>
    <x v="21"/>
    <n v="0"/>
    <n v="0"/>
  </r>
  <r>
    <x v="0"/>
    <x v="0"/>
    <x v="0"/>
    <x v="8"/>
    <x v="18"/>
    <s v="SE3_OTHER"/>
    <x v="0"/>
    <x v="22"/>
    <n v="0"/>
    <n v="0"/>
  </r>
  <r>
    <x v="0"/>
    <x v="0"/>
    <x v="0"/>
    <x v="8"/>
    <x v="18"/>
    <s v="SE3_OTHER"/>
    <x v="0"/>
    <x v="23"/>
    <n v="67.820749471202504"/>
    <n v="244.15469809632901"/>
  </r>
  <r>
    <x v="0"/>
    <x v="0"/>
    <x v="0"/>
    <x v="8"/>
    <x v="18"/>
    <s v="SE3_STO"/>
    <x v="0"/>
    <x v="0"/>
    <n v="141.13373660825599"/>
    <n v="508.08145178972097"/>
  </r>
  <r>
    <x v="0"/>
    <x v="0"/>
    <x v="0"/>
    <x v="8"/>
    <x v="18"/>
    <s v="SE3_STO"/>
    <x v="0"/>
    <x v="1"/>
    <n v="471.94467387920997"/>
    <n v="1699.0008259651599"/>
  </r>
  <r>
    <x v="0"/>
    <x v="0"/>
    <x v="0"/>
    <x v="8"/>
    <x v="18"/>
    <s v="SE3_STO"/>
    <x v="0"/>
    <x v="2"/>
    <n v="849.14835179640397"/>
    <n v="3056.9340664670599"/>
  </r>
  <r>
    <x v="0"/>
    <x v="0"/>
    <x v="0"/>
    <x v="8"/>
    <x v="18"/>
    <s v="SE3_STO"/>
    <x v="0"/>
    <x v="3"/>
    <n v="1238.64832400654"/>
    <n v="4459.1339664235302"/>
  </r>
  <r>
    <x v="0"/>
    <x v="0"/>
    <x v="0"/>
    <x v="8"/>
    <x v="18"/>
    <s v="SE3_STO"/>
    <x v="0"/>
    <x v="4"/>
    <n v="1589.2073488333101"/>
    <n v="5721.1464557999197"/>
  </r>
  <r>
    <x v="0"/>
    <x v="0"/>
    <x v="0"/>
    <x v="8"/>
    <x v="18"/>
    <s v="SE3_STO"/>
    <x v="0"/>
    <x v="5"/>
    <n v="1752.77105373533"/>
    <n v="6309.97579344718"/>
  </r>
  <r>
    <x v="0"/>
    <x v="0"/>
    <x v="0"/>
    <x v="8"/>
    <x v="18"/>
    <s v="SE3_STO"/>
    <x v="0"/>
    <x v="6"/>
    <n v="1752.77105373533"/>
    <n v="6309.97579344718"/>
  </r>
  <r>
    <x v="0"/>
    <x v="0"/>
    <x v="0"/>
    <x v="8"/>
    <x v="18"/>
    <s v="SE3_STO"/>
    <x v="0"/>
    <x v="7"/>
    <n v="1752.77105373533"/>
    <n v="6309.97579344718"/>
  </r>
  <r>
    <x v="0"/>
    <x v="0"/>
    <x v="0"/>
    <x v="8"/>
    <x v="18"/>
    <s v="SE3_STO"/>
    <x v="0"/>
    <x v="8"/>
    <n v="1267.49207173025"/>
    <n v="4562.9714582288798"/>
  </r>
  <r>
    <x v="0"/>
    <x v="0"/>
    <x v="0"/>
    <x v="8"/>
    <x v="18"/>
    <s v="SE3_STO"/>
    <x v="0"/>
    <x v="9"/>
    <n v="732.07171296624801"/>
    <n v="2635.4581666784902"/>
  </r>
  <r>
    <x v="0"/>
    <x v="0"/>
    <x v="0"/>
    <x v="8"/>
    <x v="18"/>
    <s v="SE3_STO"/>
    <x v="0"/>
    <x v="10"/>
    <n v="279.02606377934399"/>
    <n v="1004.49382960564"/>
  </r>
  <r>
    <x v="0"/>
    <x v="0"/>
    <x v="0"/>
    <x v="8"/>
    <x v="18"/>
    <s v="SE3_STO"/>
    <x v="0"/>
    <x v="11"/>
    <n v="0"/>
    <n v="0"/>
  </r>
  <r>
    <x v="0"/>
    <x v="0"/>
    <x v="0"/>
    <x v="8"/>
    <x v="18"/>
    <s v="SE3_STO"/>
    <x v="0"/>
    <x v="12"/>
    <n v="0"/>
    <n v="0"/>
  </r>
  <r>
    <x v="0"/>
    <x v="0"/>
    <x v="0"/>
    <x v="8"/>
    <x v="18"/>
    <s v="SE3_STO"/>
    <x v="0"/>
    <x v="13"/>
    <n v="0"/>
    <n v="0"/>
  </r>
  <r>
    <x v="0"/>
    <x v="0"/>
    <x v="0"/>
    <x v="8"/>
    <x v="18"/>
    <s v="SE3_STO"/>
    <x v="0"/>
    <x v="14"/>
    <n v="0"/>
    <n v="0"/>
  </r>
  <r>
    <x v="0"/>
    <x v="0"/>
    <x v="0"/>
    <x v="8"/>
    <x v="18"/>
    <s v="SE3_STO"/>
    <x v="0"/>
    <x v="15"/>
    <n v="0"/>
    <n v="0"/>
  </r>
  <r>
    <x v="0"/>
    <x v="0"/>
    <x v="0"/>
    <x v="8"/>
    <x v="18"/>
    <s v="SE3_STO"/>
    <x v="0"/>
    <x v="16"/>
    <n v="0"/>
    <n v="0"/>
  </r>
  <r>
    <x v="0"/>
    <x v="0"/>
    <x v="0"/>
    <x v="8"/>
    <x v="18"/>
    <s v="SE3_STO"/>
    <x v="0"/>
    <x v="17"/>
    <n v="0"/>
    <n v="0"/>
  </r>
  <r>
    <x v="0"/>
    <x v="0"/>
    <x v="0"/>
    <x v="8"/>
    <x v="18"/>
    <s v="SE3_STO"/>
    <x v="0"/>
    <x v="18"/>
    <n v="0"/>
    <n v="0"/>
  </r>
  <r>
    <x v="0"/>
    <x v="0"/>
    <x v="0"/>
    <x v="8"/>
    <x v="18"/>
    <s v="SE3_STO"/>
    <x v="0"/>
    <x v="19"/>
    <n v="0"/>
    <n v="0"/>
  </r>
  <r>
    <x v="0"/>
    <x v="0"/>
    <x v="0"/>
    <x v="8"/>
    <x v="18"/>
    <s v="SE3_STO"/>
    <x v="0"/>
    <x v="20"/>
    <n v="0"/>
    <n v="0"/>
  </r>
  <r>
    <x v="0"/>
    <x v="0"/>
    <x v="0"/>
    <x v="8"/>
    <x v="18"/>
    <s v="SE3_STO"/>
    <x v="0"/>
    <x v="21"/>
    <n v="0"/>
    <n v="0"/>
  </r>
  <r>
    <x v="0"/>
    <x v="0"/>
    <x v="0"/>
    <x v="8"/>
    <x v="18"/>
    <s v="SE3_STO"/>
    <x v="0"/>
    <x v="22"/>
    <n v="0"/>
    <n v="0"/>
  </r>
  <r>
    <x v="0"/>
    <x v="0"/>
    <x v="0"/>
    <x v="8"/>
    <x v="18"/>
    <s v="SE3_STO"/>
    <x v="0"/>
    <x v="23"/>
    <n v="0"/>
    <n v="0"/>
  </r>
  <r>
    <x v="0"/>
    <x v="0"/>
    <x v="0"/>
    <x v="8"/>
    <x v="19"/>
    <s v="SE4_EL"/>
    <x v="0"/>
    <x v="0"/>
    <n v="700.41215410839197"/>
    <n v="2521.4837547902098"/>
  </r>
  <r>
    <x v="0"/>
    <x v="0"/>
    <x v="0"/>
    <x v="8"/>
    <x v="19"/>
    <s v="SE4_EL"/>
    <x v="0"/>
    <x v="1"/>
    <n v="850.40058365445202"/>
    <n v="3061.4421011560298"/>
  </r>
  <r>
    <x v="0"/>
    <x v="0"/>
    <x v="0"/>
    <x v="8"/>
    <x v="19"/>
    <s v="SE4_EL"/>
    <x v="0"/>
    <x v="2"/>
    <n v="1001.1432893424"/>
    <n v="3604.1158416326298"/>
  </r>
  <r>
    <x v="0"/>
    <x v="0"/>
    <x v="0"/>
    <x v="8"/>
    <x v="19"/>
    <s v="SE4_EL"/>
    <x v="0"/>
    <x v="3"/>
    <n v="1145.2197156399"/>
    <n v="4122.7909763036496"/>
  </r>
  <r>
    <x v="0"/>
    <x v="0"/>
    <x v="0"/>
    <x v="8"/>
    <x v="19"/>
    <s v="SE4_EL"/>
    <x v="0"/>
    <x v="4"/>
    <n v="1268.7078231437699"/>
    <n v="4567.3481633175898"/>
  </r>
  <r>
    <x v="0"/>
    <x v="0"/>
    <x v="0"/>
    <x v="8"/>
    <x v="19"/>
    <s v="SE4_EL"/>
    <x v="0"/>
    <x v="5"/>
    <n v="1343.55137398802"/>
    <n v="4836.78494635686"/>
  </r>
  <r>
    <x v="0"/>
    <x v="0"/>
    <x v="0"/>
    <x v="8"/>
    <x v="19"/>
    <s v="SE4_EL"/>
    <x v="0"/>
    <x v="6"/>
    <n v="1343.55137398802"/>
    <n v="4836.78494635686"/>
  </r>
  <r>
    <x v="0"/>
    <x v="0"/>
    <x v="0"/>
    <x v="8"/>
    <x v="19"/>
    <s v="SE4_EL"/>
    <x v="0"/>
    <x v="7"/>
    <n v="1173.02713077824"/>
    <n v="4222.8976708016698"/>
  </r>
  <r>
    <x v="0"/>
    <x v="0"/>
    <x v="0"/>
    <x v="8"/>
    <x v="19"/>
    <s v="SE4_EL"/>
    <x v="0"/>
    <x v="8"/>
    <n v="910.55578470269097"/>
    <n v="3278.0008249296902"/>
  </r>
  <r>
    <x v="0"/>
    <x v="0"/>
    <x v="0"/>
    <x v="8"/>
    <x v="19"/>
    <s v="SE4_EL"/>
    <x v="0"/>
    <x v="9"/>
    <n v="652.37872323429303"/>
    <n v="2348.5634036434599"/>
  </r>
  <r>
    <x v="0"/>
    <x v="0"/>
    <x v="0"/>
    <x v="8"/>
    <x v="19"/>
    <s v="SE4_EL"/>
    <x v="0"/>
    <x v="10"/>
    <n v="431.89301238887901"/>
    <n v="1554.81484459997"/>
  </r>
  <r>
    <x v="0"/>
    <x v="0"/>
    <x v="0"/>
    <x v="8"/>
    <x v="19"/>
    <s v="SE4_EL"/>
    <x v="0"/>
    <x v="11"/>
    <n v="431.89301238887901"/>
    <n v="1554.81484459997"/>
  </r>
  <r>
    <x v="0"/>
    <x v="0"/>
    <x v="0"/>
    <x v="8"/>
    <x v="19"/>
    <s v="SE4_EL"/>
    <x v="0"/>
    <x v="12"/>
    <n v="314.82331924268198"/>
    <n v="1133.36394927366"/>
  </r>
  <r>
    <x v="0"/>
    <x v="0"/>
    <x v="0"/>
    <x v="8"/>
    <x v="19"/>
    <s v="SE4_EL"/>
    <x v="0"/>
    <x v="13"/>
    <n v="225.30179527372201"/>
    <n v="811.08646298539895"/>
  </r>
  <r>
    <x v="0"/>
    <x v="0"/>
    <x v="0"/>
    <x v="8"/>
    <x v="19"/>
    <s v="SE4_EL"/>
    <x v="0"/>
    <x v="14"/>
    <n v="153.67334142329599"/>
    <n v="553.22402912386599"/>
  </r>
  <r>
    <x v="0"/>
    <x v="0"/>
    <x v="0"/>
    <x v="8"/>
    <x v="19"/>
    <s v="SE4_EL"/>
    <x v="0"/>
    <x v="15"/>
    <n v="94.399247197296305"/>
    <n v="339.83728991026697"/>
  </r>
  <r>
    <x v="0"/>
    <x v="0"/>
    <x v="0"/>
    <x v="8"/>
    <x v="19"/>
    <s v="SE4_EL"/>
    <x v="0"/>
    <x v="16"/>
    <n v="35.095608030873102"/>
    <n v="126.34418891114299"/>
  </r>
  <r>
    <x v="0"/>
    <x v="0"/>
    <x v="0"/>
    <x v="8"/>
    <x v="19"/>
    <s v="SE4_EL"/>
    <x v="0"/>
    <x v="17"/>
    <n v="0"/>
    <n v="0"/>
  </r>
  <r>
    <x v="0"/>
    <x v="0"/>
    <x v="0"/>
    <x v="8"/>
    <x v="19"/>
    <s v="SE4_EL"/>
    <x v="0"/>
    <x v="18"/>
    <n v="2.3780279676947398"/>
    <n v="8.5609006837010604"/>
  </r>
  <r>
    <x v="0"/>
    <x v="0"/>
    <x v="0"/>
    <x v="8"/>
    <x v="19"/>
    <s v="SE4_EL"/>
    <x v="0"/>
    <x v="19"/>
    <n v="27.9942751016948"/>
    <n v="100.779390366101"/>
  </r>
  <r>
    <x v="0"/>
    <x v="0"/>
    <x v="0"/>
    <x v="8"/>
    <x v="19"/>
    <s v="SE4_EL"/>
    <x v="0"/>
    <x v="20"/>
    <n v="83.461449800491806"/>
    <n v="300.46121928177001"/>
  </r>
  <r>
    <x v="0"/>
    <x v="0"/>
    <x v="0"/>
    <x v="8"/>
    <x v="19"/>
    <s v="SE4_EL"/>
    <x v="0"/>
    <x v="21"/>
    <n v="175.69876201249599"/>
    <n v="632.51554324498704"/>
  </r>
  <r>
    <x v="0"/>
    <x v="0"/>
    <x v="0"/>
    <x v="8"/>
    <x v="19"/>
    <s v="SE4_EL"/>
    <x v="0"/>
    <x v="22"/>
    <n v="303.44634224049003"/>
    <n v="1092.40683206576"/>
  </r>
  <r>
    <x v="0"/>
    <x v="0"/>
    <x v="0"/>
    <x v="8"/>
    <x v="19"/>
    <s v="SE4_EL"/>
    <x v="0"/>
    <x v="23"/>
    <n v="467.90069298649701"/>
    <n v="1684.4424947513901"/>
  </r>
  <r>
    <x v="0"/>
    <x v="0"/>
    <x v="0"/>
    <x v="8"/>
    <x v="19"/>
    <s v="SE4_HP"/>
    <x v="0"/>
    <x v="0"/>
    <n v="1373.56326961577"/>
    <n v="4944.8277706167901"/>
  </r>
  <r>
    <x v="0"/>
    <x v="0"/>
    <x v="0"/>
    <x v="8"/>
    <x v="19"/>
    <s v="SE4_HP"/>
    <x v="0"/>
    <x v="1"/>
    <n v="1202.14092640944"/>
    <n v="4327.7073350740002"/>
  </r>
  <r>
    <x v="0"/>
    <x v="0"/>
    <x v="0"/>
    <x v="8"/>
    <x v="19"/>
    <s v="SE4_HP"/>
    <x v="0"/>
    <x v="2"/>
    <n v="1035.8967690161801"/>
    <n v="3729.2283684582599"/>
  </r>
  <r>
    <x v="0"/>
    <x v="0"/>
    <x v="0"/>
    <x v="8"/>
    <x v="19"/>
    <s v="SE4_HP"/>
    <x v="0"/>
    <x v="3"/>
    <n v="873.12191287716405"/>
    <n v="3143.2388863577899"/>
  </r>
  <r>
    <x v="0"/>
    <x v="0"/>
    <x v="0"/>
    <x v="8"/>
    <x v="19"/>
    <s v="SE4_HP"/>
    <x v="0"/>
    <x v="4"/>
    <n v="698.051207494506"/>
    <n v="2512.9843469802199"/>
  </r>
  <r>
    <x v="0"/>
    <x v="0"/>
    <x v="0"/>
    <x v="8"/>
    <x v="19"/>
    <s v="SE4_HP"/>
    <x v="0"/>
    <x v="5"/>
    <n v="493.84676843059401"/>
    <n v="1777.8483663501399"/>
  </r>
  <r>
    <x v="0"/>
    <x v="0"/>
    <x v="0"/>
    <x v="8"/>
    <x v="19"/>
    <s v="SE4_HP"/>
    <x v="0"/>
    <x v="6"/>
    <n v="208.9706950623"/>
    <n v="752.29450222427897"/>
  </r>
  <r>
    <x v="0"/>
    <x v="0"/>
    <x v="0"/>
    <x v="8"/>
    <x v="19"/>
    <s v="SE4_HP"/>
    <x v="0"/>
    <x v="7"/>
    <n v="0"/>
    <n v="0"/>
  </r>
  <r>
    <x v="0"/>
    <x v="0"/>
    <x v="0"/>
    <x v="8"/>
    <x v="19"/>
    <s v="SE4_HP"/>
    <x v="0"/>
    <x v="8"/>
    <n v="404.71394150373499"/>
    <n v="1456.97018941345"/>
  </r>
  <r>
    <x v="0"/>
    <x v="0"/>
    <x v="0"/>
    <x v="8"/>
    <x v="19"/>
    <s v="SE4_HP"/>
    <x v="0"/>
    <x v="9"/>
    <n v="821.609653842581"/>
    <n v="2957.7947538332901"/>
  </r>
  <r>
    <x v="0"/>
    <x v="0"/>
    <x v="0"/>
    <x v="8"/>
    <x v="19"/>
    <s v="SE4_HP"/>
    <x v="0"/>
    <x v="10"/>
    <n v="1267.61077387453"/>
    <n v="4563.3987859483004"/>
  </r>
  <r>
    <x v="0"/>
    <x v="0"/>
    <x v="0"/>
    <x v="8"/>
    <x v="19"/>
    <s v="SE4_HP"/>
    <x v="0"/>
    <x v="11"/>
    <n v="1738.50579161773"/>
    <n v="6258.6208498238402"/>
  </r>
  <r>
    <x v="0"/>
    <x v="0"/>
    <x v="0"/>
    <x v="8"/>
    <x v="19"/>
    <s v="SE4_HP"/>
    <x v="0"/>
    <x v="12"/>
    <n v="1222.26537920541"/>
    <n v="4400.1553651394797"/>
  </r>
  <r>
    <x v="0"/>
    <x v="0"/>
    <x v="0"/>
    <x v="8"/>
    <x v="19"/>
    <s v="SE4_HP"/>
    <x v="0"/>
    <x v="13"/>
    <n v="741.81521635854403"/>
    <n v="2670.5347788907602"/>
  </r>
  <r>
    <x v="0"/>
    <x v="0"/>
    <x v="0"/>
    <x v="8"/>
    <x v="19"/>
    <s v="SE4_HP"/>
    <x v="0"/>
    <x v="14"/>
    <n v="265.12463736005401"/>
    <n v="954.44869449619296"/>
  </r>
  <r>
    <x v="0"/>
    <x v="0"/>
    <x v="0"/>
    <x v="8"/>
    <x v="19"/>
    <s v="SE4_HP"/>
    <x v="0"/>
    <x v="15"/>
    <n v="824.59885324353195"/>
    <n v="2968.55587167672"/>
  </r>
  <r>
    <x v="0"/>
    <x v="0"/>
    <x v="0"/>
    <x v="8"/>
    <x v="19"/>
    <s v="SE4_HP"/>
    <x v="0"/>
    <x v="16"/>
    <n v="1384.0994516088299"/>
    <n v="4982.7580257917798"/>
  </r>
  <r>
    <x v="0"/>
    <x v="0"/>
    <x v="0"/>
    <x v="8"/>
    <x v="19"/>
    <s v="SE4_HP"/>
    <x v="0"/>
    <x v="17"/>
    <n v="1948.4865480979299"/>
    <n v="7014.5515731525502"/>
  </r>
  <r>
    <x v="0"/>
    <x v="0"/>
    <x v="0"/>
    <x v="8"/>
    <x v="19"/>
    <s v="SE4_HP"/>
    <x v="0"/>
    <x v="18"/>
    <n v="2551.043628292"/>
    <n v="9183.7570618512"/>
  </r>
  <r>
    <x v="0"/>
    <x v="0"/>
    <x v="0"/>
    <x v="8"/>
    <x v="19"/>
    <s v="SE4_HP"/>
    <x v="0"/>
    <x v="19"/>
    <n v="2254.1887285098301"/>
    <n v="8115.0794226353901"/>
  </r>
  <r>
    <x v="0"/>
    <x v="0"/>
    <x v="0"/>
    <x v="8"/>
    <x v="19"/>
    <s v="SE4_HP"/>
    <x v="0"/>
    <x v="20"/>
    <n v="1984.4341274609301"/>
    <n v="7143.9628588593596"/>
  </r>
  <r>
    <x v="0"/>
    <x v="0"/>
    <x v="0"/>
    <x v="8"/>
    <x v="19"/>
    <s v="SE4_HP"/>
    <x v="0"/>
    <x v="21"/>
    <n v="1748.61825166473"/>
    <n v="6295.02570599304"/>
  </r>
  <r>
    <x v="0"/>
    <x v="0"/>
    <x v="0"/>
    <x v="8"/>
    <x v="19"/>
    <s v="SE4_HP"/>
    <x v="0"/>
    <x v="22"/>
    <n v="1564.13621641381"/>
    <n v="5630.8903790897302"/>
  </r>
  <r>
    <x v="0"/>
    <x v="0"/>
    <x v="0"/>
    <x v="8"/>
    <x v="19"/>
    <s v="SE4_HP"/>
    <x v="0"/>
    <x v="23"/>
    <n v="1420.7748215581"/>
    <n v="5114.7893576091501"/>
  </r>
  <r>
    <x v="0"/>
    <x v="0"/>
    <x v="0"/>
    <x v="8"/>
    <x v="19"/>
    <s v="SE4_MAL"/>
    <x v="0"/>
    <x v="0"/>
    <n v="2560.2353324926298"/>
    <n v="9216.8471969734801"/>
  </r>
  <r>
    <x v="0"/>
    <x v="0"/>
    <x v="0"/>
    <x v="8"/>
    <x v="19"/>
    <s v="SE4_MAL"/>
    <x v="0"/>
    <x v="1"/>
    <n v="2220.6607749822801"/>
    <n v="7994.3787899361896"/>
  </r>
  <r>
    <x v="0"/>
    <x v="0"/>
    <x v="0"/>
    <x v="8"/>
    <x v="19"/>
    <s v="SE4_MAL"/>
    <x v="0"/>
    <x v="2"/>
    <n v="1890.61716257902"/>
    <n v="6806.2217852844597"/>
  </r>
  <r>
    <x v="0"/>
    <x v="0"/>
    <x v="0"/>
    <x v="8"/>
    <x v="19"/>
    <s v="SE4_MAL"/>
    <x v="0"/>
    <x v="3"/>
    <n v="1211.11887405113"/>
    <n v="4360.0279465840804"/>
  </r>
  <r>
    <x v="0"/>
    <x v="0"/>
    <x v="0"/>
    <x v="8"/>
    <x v="19"/>
    <s v="SE4_MAL"/>
    <x v="0"/>
    <x v="4"/>
    <n v="882.87658920214994"/>
    <n v="3178.3557211277398"/>
  </r>
  <r>
    <x v="0"/>
    <x v="0"/>
    <x v="0"/>
    <x v="8"/>
    <x v="19"/>
    <s v="SE4_MAL"/>
    <x v="0"/>
    <x v="5"/>
    <n v="522.55650693117605"/>
    <n v="1881.2034249522301"/>
  </r>
  <r>
    <x v="0"/>
    <x v="0"/>
    <x v="0"/>
    <x v="8"/>
    <x v="19"/>
    <s v="SE4_MAL"/>
    <x v="0"/>
    <x v="6"/>
    <n v="0"/>
    <n v="0"/>
  </r>
  <r>
    <x v="0"/>
    <x v="0"/>
    <x v="0"/>
    <x v="8"/>
    <x v="19"/>
    <s v="SE4_MAL"/>
    <x v="0"/>
    <x v="7"/>
    <n v="723.68071016675503"/>
    <n v="2605.2505566003201"/>
  </r>
  <r>
    <x v="0"/>
    <x v="0"/>
    <x v="0"/>
    <x v="8"/>
    <x v="19"/>
    <s v="SE4_MAL"/>
    <x v="0"/>
    <x v="8"/>
    <n v="1325.74336563834"/>
    <n v="4772.6761162980201"/>
  </r>
  <r>
    <x v="0"/>
    <x v="0"/>
    <x v="0"/>
    <x v="8"/>
    <x v="19"/>
    <s v="SE4_MAL"/>
    <x v="0"/>
    <x v="9"/>
    <n v="2128.4813263189199"/>
    <n v="7662.5327747480997"/>
  </r>
  <r>
    <x v="0"/>
    <x v="0"/>
    <x v="0"/>
    <x v="8"/>
    <x v="19"/>
    <s v="SE4_MAL"/>
    <x v="0"/>
    <x v="10"/>
    <n v="2973.5330159294399"/>
    <n v="10704.718857346001"/>
  </r>
  <r>
    <x v="0"/>
    <x v="0"/>
    <x v="0"/>
    <x v="8"/>
    <x v="19"/>
    <s v="SE4_MAL"/>
    <x v="0"/>
    <x v="11"/>
    <n v="3706.0049829486002"/>
    <n v="13341.617938615"/>
  </r>
  <r>
    <x v="0"/>
    <x v="0"/>
    <x v="0"/>
    <x v="8"/>
    <x v="19"/>
    <s v="SE4_MAL"/>
    <x v="0"/>
    <x v="12"/>
    <n v="2434.78868818202"/>
    <n v="8765.23927745529"/>
  </r>
  <r>
    <x v="0"/>
    <x v="0"/>
    <x v="0"/>
    <x v="8"/>
    <x v="19"/>
    <s v="SE4_MAL"/>
    <x v="0"/>
    <x v="13"/>
    <n v="1135.9142420102"/>
    <n v="4089.2912712367101"/>
  </r>
  <r>
    <x v="0"/>
    <x v="0"/>
    <x v="0"/>
    <x v="8"/>
    <x v="19"/>
    <s v="SE4_MAL"/>
    <x v="0"/>
    <x v="14"/>
    <n v="0"/>
    <n v="0"/>
  </r>
  <r>
    <x v="0"/>
    <x v="0"/>
    <x v="0"/>
    <x v="8"/>
    <x v="19"/>
    <s v="SE4_MAL"/>
    <x v="0"/>
    <x v="15"/>
    <n v="893.68726706206496"/>
    <n v="3217.2741614234301"/>
  </r>
  <r>
    <x v="0"/>
    <x v="0"/>
    <x v="0"/>
    <x v="8"/>
    <x v="19"/>
    <s v="SE4_MAL"/>
    <x v="0"/>
    <x v="16"/>
    <n v="1767.5709913237699"/>
    <n v="6363.2555687655704"/>
  </r>
  <r>
    <x v="0"/>
    <x v="0"/>
    <x v="0"/>
    <x v="8"/>
    <x v="19"/>
    <s v="SE4_MAL"/>
    <x v="0"/>
    <x v="17"/>
    <n v="2638.0415830372299"/>
    <n v="9496.9496989340205"/>
  </r>
  <r>
    <x v="0"/>
    <x v="0"/>
    <x v="0"/>
    <x v="8"/>
    <x v="19"/>
    <s v="SE4_MAL"/>
    <x v="0"/>
    <x v="18"/>
    <n v="3551.2551363911798"/>
    <n v="12784.518491008201"/>
  </r>
  <r>
    <x v="0"/>
    <x v="0"/>
    <x v="0"/>
    <x v="8"/>
    <x v="19"/>
    <s v="SE4_MAL"/>
    <x v="0"/>
    <x v="19"/>
    <n v="4506.9656830031299"/>
    <n v="16225.0764588113"/>
  </r>
  <r>
    <x v="0"/>
    <x v="0"/>
    <x v="0"/>
    <x v="8"/>
    <x v="19"/>
    <s v="SE4_MAL"/>
    <x v="0"/>
    <x v="20"/>
    <n v="4506.9656830031299"/>
    <n v="16225.0764588113"/>
  </r>
  <r>
    <x v="0"/>
    <x v="0"/>
    <x v="0"/>
    <x v="8"/>
    <x v="19"/>
    <s v="SE4_MAL"/>
    <x v="0"/>
    <x v="21"/>
    <n v="4005.8482919553699"/>
    <n v="14421.0538510393"/>
  </r>
  <r>
    <x v="0"/>
    <x v="0"/>
    <x v="0"/>
    <x v="8"/>
    <x v="19"/>
    <s v="SE4_MAL"/>
    <x v="0"/>
    <x v="22"/>
    <n v="3602.2322614938398"/>
    <n v="12968.036141377799"/>
  </r>
  <r>
    <x v="0"/>
    <x v="0"/>
    <x v="0"/>
    <x v="8"/>
    <x v="19"/>
    <s v="SE4_MAL"/>
    <x v="0"/>
    <x v="23"/>
    <n v="3046.4245810754801"/>
    <n v="10967.128491871699"/>
  </r>
  <r>
    <x v="0"/>
    <x v="0"/>
    <x v="0"/>
    <x v="8"/>
    <x v="19"/>
    <s v="SE4_OTHER"/>
    <x v="0"/>
    <x v="0"/>
    <n v="36.352537313918702"/>
    <n v="130.86913433010699"/>
  </r>
  <r>
    <x v="0"/>
    <x v="0"/>
    <x v="0"/>
    <x v="8"/>
    <x v="19"/>
    <s v="SE4_OTHER"/>
    <x v="0"/>
    <x v="1"/>
    <n v="36.352537313918702"/>
    <n v="130.86913433010699"/>
  </r>
  <r>
    <x v="0"/>
    <x v="0"/>
    <x v="0"/>
    <x v="8"/>
    <x v="19"/>
    <s v="SE4_OTHER"/>
    <x v="0"/>
    <x v="2"/>
    <n v="36.352537313918702"/>
    <n v="130.86913433010699"/>
  </r>
  <r>
    <x v="0"/>
    <x v="0"/>
    <x v="0"/>
    <x v="8"/>
    <x v="19"/>
    <s v="SE4_OTHER"/>
    <x v="0"/>
    <x v="3"/>
    <n v="36.352537313918702"/>
    <n v="130.86913433010699"/>
  </r>
  <r>
    <x v="0"/>
    <x v="0"/>
    <x v="0"/>
    <x v="8"/>
    <x v="19"/>
    <s v="SE4_OTHER"/>
    <x v="0"/>
    <x v="4"/>
    <n v="36.352537313918702"/>
    <n v="130.86913433010699"/>
  </r>
  <r>
    <x v="0"/>
    <x v="0"/>
    <x v="0"/>
    <x v="8"/>
    <x v="19"/>
    <s v="SE4_OTHER"/>
    <x v="0"/>
    <x v="5"/>
    <n v="36.352537313918702"/>
    <n v="130.86913433010699"/>
  </r>
  <r>
    <x v="0"/>
    <x v="0"/>
    <x v="0"/>
    <x v="8"/>
    <x v="19"/>
    <s v="SE4_OTHER"/>
    <x v="0"/>
    <x v="6"/>
    <n v="36.352537313918702"/>
    <n v="130.86913433010699"/>
  </r>
  <r>
    <x v="0"/>
    <x v="0"/>
    <x v="0"/>
    <x v="8"/>
    <x v="19"/>
    <s v="SE4_OTHER"/>
    <x v="0"/>
    <x v="7"/>
    <n v="2.7779519910939898"/>
    <n v="10.000627167938299"/>
  </r>
  <r>
    <x v="0"/>
    <x v="0"/>
    <x v="0"/>
    <x v="8"/>
    <x v="19"/>
    <s v="SE4_OTHER"/>
    <x v="0"/>
    <x v="8"/>
    <n v="2.7779519910939898"/>
    <n v="10.000627167938299"/>
  </r>
  <r>
    <x v="0"/>
    <x v="0"/>
    <x v="0"/>
    <x v="8"/>
    <x v="19"/>
    <s v="SE4_OTHER"/>
    <x v="0"/>
    <x v="9"/>
    <n v="4.4566812572352204"/>
    <n v="16.044052526046801"/>
  </r>
  <r>
    <x v="0"/>
    <x v="0"/>
    <x v="0"/>
    <x v="8"/>
    <x v="19"/>
    <s v="SE4_OTHER"/>
    <x v="0"/>
    <x v="10"/>
    <n v="36.352537313918702"/>
    <n v="130.86913433010699"/>
  </r>
  <r>
    <x v="0"/>
    <x v="0"/>
    <x v="0"/>
    <x v="8"/>
    <x v="19"/>
    <s v="SE4_OTHER"/>
    <x v="0"/>
    <x v="11"/>
    <n v="33.574585322824703"/>
    <n v="120.868507162169"/>
  </r>
  <r>
    <x v="0"/>
    <x v="0"/>
    <x v="0"/>
    <x v="8"/>
    <x v="19"/>
    <s v="SE4_OTHER"/>
    <x v="0"/>
    <x v="12"/>
    <n v="0"/>
    <n v="0"/>
  </r>
  <r>
    <x v="0"/>
    <x v="0"/>
    <x v="0"/>
    <x v="8"/>
    <x v="19"/>
    <s v="SE4_OTHER"/>
    <x v="0"/>
    <x v="13"/>
    <n v="0"/>
    <n v="0"/>
  </r>
  <r>
    <x v="0"/>
    <x v="0"/>
    <x v="0"/>
    <x v="8"/>
    <x v="19"/>
    <s v="SE4_OTHER"/>
    <x v="0"/>
    <x v="14"/>
    <n v="0"/>
    <n v="0"/>
  </r>
  <r>
    <x v="0"/>
    <x v="0"/>
    <x v="0"/>
    <x v="8"/>
    <x v="19"/>
    <s v="SE4_OTHER"/>
    <x v="0"/>
    <x v="15"/>
    <n v="0"/>
    <n v="0"/>
  </r>
  <r>
    <x v="0"/>
    <x v="0"/>
    <x v="0"/>
    <x v="8"/>
    <x v="19"/>
    <s v="SE4_OTHER"/>
    <x v="0"/>
    <x v="16"/>
    <n v="0"/>
    <n v="0"/>
  </r>
  <r>
    <x v="0"/>
    <x v="0"/>
    <x v="0"/>
    <x v="8"/>
    <x v="19"/>
    <s v="SE4_OTHER"/>
    <x v="0"/>
    <x v="17"/>
    <n v="0"/>
    <n v="0"/>
  </r>
  <r>
    <x v="0"/>
    <x v="0"/>
    <x v="0"/>
    <x v="8"/>
    <x v="19"/>
    <s v="SE4_OTHER"/>
    <x v="0"/>
    <x v="18"/>
    <n v="0"/>
    <n v="0"/>
  </r>
  <r>
    <x v="0"/>
    <x v="0"/>
    <x v="0"/>
    <x v="8"/>
    <x v="19"/>
    <s v="SE4_OTHER"/>
    <x v="0"/>
    <x v="19"/>
    <n v="0"/>
    <n v="0"/>
  </r>
  <r>
    <x v="0"/>
    <x v="0"/>
    <x v="0"/>
    <x v="8"/>
    <x v="19"/>
    <s v="SE4_OTHER"/>
    <x v="0"/>
    <x v="20"/>
    <n v="0"/>
    <n v="0"/>
  </r>
  <r>
    <x v="0"/>
    <x v="0"/>
    <x v="0"/>
    <x v="8"/>
    <x v="19"/>
    <s v="SE4_OTHER"/>
    <x v="0"/>
    <x v="21"/>
    <n v="0"/>
    <n v="0"/>
  </r>
  <r>
    <x v="0"/>
    <x v="0"/>
    <x v="0"/>
    <x v="8"/>
    <x v="19"/>
    <s v="SE4_OTHER"/>
    <x v="0"/>
    <x v="22"/>
    <n v="0"/>
    <n v="0"/>
  </r>
  <r>
    <x v="0"/>
    <x v="0"/>
    <x v="0"/>
    <x v="8"/>
    <x v="19"/>
    <s v="SE4_OTHER"/>
    <x v="0"/>
    <x v="23"/>
    <n v="4.4566812572352204"/>
    <n v="16.044052526046801"/>
  </r>
</pivotCacheRecords>
</file>

<file path=xl/pivotCache/pivotCacheRecords11.xml><?xml version="1.0" encoding="utf-8"?>
<pivotCacheRecords xmlns="http://schemas.openxmlformats.org/spreadsheetml/2006/main" xmlns:r="http://schemas.openxmlformats.org/officeDocument/2006/relationships" count="11">
  <r>
    <x v="0"/>
    <x v="0"/>
    <x v="0"/>
    <x v="0"/>
    <x v="0"/>
    <x v="0"/>
    <x v="0"/>
    <x v="0"/>
  </r>
  <r>
    <x v="0"/>
    <x v="0"/>
    <x v="0"/>
    <x v="1"/>
    <x v="1"/>
    <x v="1"/>
    <x v="0"/>
    <x v="1"/>
  </r>
  <r>
    <x v="0"/>
    <x v="0"/>
    <x v="0"/>
    <x v="2"/>
    <x v="2"/>
    <x v="2"/>
    <x v="0"/>
    <x v="2"/>
  </r>
  <r>
    <x v="0"/>
    <x v="0"/>
    <x v="0"/>
    <x v="2"/>
    <x v="3"/>
    <x v="3"/>
    <x v="0"/>
    <x v="3"/>
  </r>
  <r>
    <x v="0"/>
    <x v="0"/>
    <x v="0"/>
    <x v="2"/>
    <x v="4"/>
    <x v="4"/>
    <x v="0"/>
    <x v="4"/>
  </r>
  <r>
    <x v="0"/>
    <x v="0"/>
    <x v="0"/>
    <x v="2"/>
    <x v="5"/>
    <x v="5"/>
    <x v="0"/>
    <x v="5"/>
  </r>
  <r>
    <x v="0"/>
    <x v="0"/>
    <x v="0"/>
    <x v="3"/>
    <x v="6"/>
    <x v="6"/>
    <x v="0"/>
    <x v="6"/>
  </r>
  <r>
    <x v="0"/>
    <x v="0"/>
    <x v="0"/>
    <x v="3"/>
    <x v="7"/>
    <x v="7"/>
    <x v="0"/>
    <x v="7"/>
  </r>
  <r>
    <x v="0"/>
    <x v="0"/>
    <x v="0"/>
    <x v="3"/>
    <x v="8"/>
    <x v="8"/>
    <x v="0"/>
    <x v="8"/>
  </r>
  <r>
    <x v="0"/>
    <x v="0"/>
    <x v="0"/>
    <x v="3"/>
    <x v="9"/>
    <x v="9"/>
    <x v="0"/>
    <x v="9"/>
  </r>
  <r>
    <x v="0"/>
    <x v="0"/>
    <x v="0"/>
    <x v="3"/>
    <x v="10"/>
    <x v="10"/>
    <x v="0"/>
    <x v="10"/>
  </r>
</pivotCacheRecords>
</file>

<file path=xl/pivotCache/pivotCacheRecords12.xml><?xml version="1.0" encoding="utf-8"?>
<pivotCacheRecords xmlns="http://schemas.openxmlformats.org/spreadsheetml/2006/main" xmlns:r="http://schemas.openxmlformats.org/officeDocument/2006/relationships" count="2208">
  <r>
    <x v="0"/>
    <x v="0"/>
    <x v="0"/>
    <x v="0"/>
    <x v="0"/>
    <x v="0"/>
    <x v="0"/>
    <n v="-0.79377019355078005"/>
  </r>
  <r>
    <x v="0"/>
    <x v="0"/>
    <x v="0"/>
    <x v="0"/>
    <x v="0"/>
    <x v="0"/>
    <x v="1"/>
    <n v="-0.94203308371260996"/>
  </r>
  <r>
    <x v="0"/>
    <x v="0"/>
    <x v="0"/>
    <x v="0"/>
    <x v="0"/>
    <x v="0"/>
    <x v="2"/>
    <n v="-0.69678422973160603"/>
  </r>
  <r>
    <x v="0"/>
    <x v="0"/>
    <x v="0"/>
    <x v="0"/>
    <x v="0"/>
    <x v="0"/>
    <x v="3"/>
    <n v="-0.70303655771886697"/>
  </r>
  <r>
    <x v="0"/>
    <x v="0"/>
    <x v="0"/>
    <x v="0"/>
    <x v="0"/>
    <x v="0"/>
    <x v="4"/>
    <n v="-0.51810835561138102"/>
  </r>
  <r>
    <x v="0"/>
    <x v="0"/>
    <x v="0"/>
    <x v="0"/>
    <x v="0"/>
    <x v="0"/>
    <x v="5"/>
    <n v="-0.53431901199154597"/>
  </r>
  <r>
    <x v="0"/>
    <x v="0"/>
    <x v="0"/>
    <x v="0"/>
    <x v="0"/>
    <x v="0"/>
    <x v="6"/>
    <n v="-2.7090000000000001"/>
  </r>
  <r>
    <x v="0"/>
    <x v="0"/>
    <x v="0"/>
    <x v="0"/>
    <x v="0"/>
    <x v="0"/>
    <x v="7"/>
    <n v="-2.7090000000000001"/>
  </r>
  <r>
    <x v="0"/>
    <x v="0"/>
    <x v="0"/>
    <x v="0"/>
    <x v="0"/>
    <x v="0"/>
    <x v="8"/>
    <n v="-2.7090000000000001"/>
  </r>
  <r>
    <x v="0"/>
    <x v="0"/>
    <x v="0"/>
    <x v="0"/>
    <x v="0"/>
    <x v="0"/>
    <x v="9"/>
    <n v="-2.7090000000000001"/>
  </r>
  <r>
    <x v="0"/>
    <x v="0"/>
    <x v="0"/>
    <x v="0"/>
    <x v="0"/>
    <x v="0"/>
    <x v="10"/>
    <n v="-2.2530492189847302"/>
  </r>
  <r>
    <x v="0"/>
    <x v="0"/>
    <x v="0"/>
    <x v="0"/>
    <x v="0"/>
    <x v="0"/>
    <x v="11"/>
    <n v="-1.5262390437645299"/>
  </r>
  <r>
    <x v="0"/>
    <x v="0"/>
    <x v="0"/>
    <x v="0"/>
    <x v="0"/>
    <x v="0"/>
    <x v="12"/>
    <n v="-0.90691381070145904"/>
  </r>
  <r>
    <x v="0"/>
    <x v="0"/>
    <x v="0"/>
    <x v="0"/>
    <x v="0"/>
    <x v="0"/>
    <x v="13"/>
    <n v="-0.98475949135585195"/>
  </r>
  <r>
    <x v="0"/>
    <x v="0"/>
    <x v="0"/>
    <x v="0"/>
    <x v="0"/>
    <x v="0"/>
    <x v="14"/>
    <n v="-2.7090000000000001"/>
  </r>
  <r>
    <x v="0"/>
    <x v="0"/>
    <x v="0"/>
    <x v="0"/>
    <x v="0"/>
    <x v="0"/>
    <x v="15"/>
    <n v="-2.7090000000000001"/>
  </r>
  <r>
    <x v="0"/>
    <x v="0"/>
    <x v="0"/>
    <x v="0"/>
    <x v="0"/>
    <x v="0"/>
    <x v="16"/>
    <n v="-2.7090000000000001"/>
  </r>
  <r>
    <x v="0"/>
    <x v="0"/>
    <x v="0"/>
    <x v="0"/>
    <x v="0"/>
    <x v="0"/>
    <x v="17"/>
    <n v="-2.7090000000000001"/>
  </r>
  <r>
    <x v="0"/>
    <x v="0"/>
    <x v="0"/>
    <x v="0"/>
    <x v="0"/>
    <x v="0"/>
    <x v="18"/>
    <n v="-2.7090000000000001"/>
  </r>
  <r>
    <x v="0"/>
    <x v="0"/>
    <x v="0"/>
    <x v="0"/>
    <x v="0"/>
    <x v="0"/>
    <x v="19"/>
    <n v="-2.7090000000000001"/>
  </r>
  <r>
    <x v="0"/>
    <x v="0"/>
    <x v="0"/>
    <x v="0"/>
    <x v="0"/>
    <x v="0"/>
    <x v="20"/>
    <n v="-2.7090000000000001"/>
  </r>
  <r>
    <x v="0"/>
    <x v="0"/>
    <x v="0"/>
    <x v="0"/>
    <x v="0"/>
    <x v="0"/>
    <x v="21"/>
    <n v="-2.7090000000000001"/>
  </r>
  <r>
    <x v="0"/>
    <x v="0"/>
    <x v="0"/>
    <x v="0"/>
    <x v="0"/>
    <x v="0"/>
    <x v="22"/>
    <n v="-2.7090000000000001"/>
  </r>
  <r>
    <x v="0"/>
    <x v="0"/>
    <x v="0"/>
    <x v="0"/>
    <x v="0"/>
    <x v="0"/>
    <x v="23"/>
    <n v="-2.7090000000000001"/>
  </r>
  <r>
    <x v="0"/>
    <x v="0"/>
    <x v="0"/>
    <x v="0"/>
    <x v="1"/>
    <x v="0"/>
    <x v="0"/>
    <n v="-2.7090000000000001"/>
  </r>
  <r>
    <x v="0"/>
    <x v="0"/>
    <x v="0"/>
    <x v="0"/>
    <x v="1"/>
    <x v="0"/>
    <x v="1"/>
    <n v="-2.7090000000000001"/>
  </r>
  <r>
    <x v="0"/>
    <x v="0"/>
    <x v="0"/>
    <x v="0"/>
    <x v="1"/>
    <x v="0"/>
    <x v="2"/>
    <n v="-2.7090000000000001"/>
  </r>
  <r>
    <x v="0"/>
    <x v="0"/>
    <x v="0"/>
    <x v="0"/>
    <x v="1"/>
    <x v="0"/>
    <x v="3"/>
    <n v="-2.7090000000000001"/>
  </r>
  <r>
    <x v="0"/>
    <x v="0"/>
    <x v="0"/>
    <x v="0"/>
    <x v="1"/>
    <x v="0"/>
    <x v="4"/>
    <n v="-2.7090000000000001"/>
  </r>
  <r>
    <x v="0"/>
    <x v="0"/>
    <x v="0"/>
    <x v="0"/>
    <x v="1"/>
    <x v="0"/>
    <x v="5"/>
    <n v="-2.7090000000000001"/>
  </r>
  <r>
    <x v="0"/>
    <x v="0"/>
    <x v="0"/>
    <x v="0"/>
    <x v="1"/>
    <x v="0"/>
    <x v="6"/>
    <n v="-2.7090000000000001"/>
  </r>
  <r>
    <x v="0"/>
    <x v="0"/>
    <x v="0"/>
    <x v="0"/>
    <x v="1"/>
    <x v="0"/>
    <x v="7"/>
    <n v="-2.7090000000000001"/>
  </r>
  <r>
    <x v="0"/>
    <x v="0"/>
    <x v="0"/>
    <x v="0"/>
    <x v="1"/>
    <x v="0"/>
    <x v="8"/>
    <n v="-2.7090000000000001"/>
  </r>
  <r>
    <x v="0"/>
    <x v="0"/>
    <x v="0"/>
    <x v="0"/>
    <x v="1"/>
    <x v="0"/>
    <x v="9"/>
    <n v="-2.7090000000000001"/>
  </r>
  <r>
    <x v="0"/>
    <x v="0"/>
    <x v="0"/>
    <x v="0"/>
    <x v="1"/>
    <x v="0"/>
    <x v="10"/>
    <n v="-2.7090000000000001"/>
  </r>
  <r>
    <x v="0"/>
    <x v="0"/>
    <x v="0"/>
    <x v="0"/>
    <x v="1"/>
    <x v="0"/>
    <x v="11"/>
    <n v="-2.7090000000000001"/>
  </r>
  <r>
    <x v="0"/>
    <x v="0"/>
    <x v="0"/>
    <x v="0"/>
    <x v="1"/>
    <x v="0"/>
    <x v="12"/>
    <n v="-2.7090000000000001"/>
  </r>
  <r>
    <x v="0"/>
    <x v="0"/>
    <x v="0"/>
    <x v="0"/>
    <x v="1"/>
    <x v="0"/>
    <x v="13"/>
    <n v="-2.7090000000000001"/>
  </r>
  <r>
    <x v="0"/>
    <x v="0"/>
    <x v="0"/>
    <x v="0"/>
    <x v="1"/>
    <x v="0"/>
    <x v="14"/>
    <n v="-2.7090000000000001"/>
  </r>
  <r>
    <x v="0"/>
    <x v="0"/>
    <x v="0"/>
    <x v="0"/>
    <x v="1"/>
    <x v="0"/>
    <x v="15"/>
    <n v="-2.7090000000000001"/>
  </r>
  <r>
    <x v="0"/>
    <x v="0"/>
    <x v="0"/>
    <x v="0"/>
    <x v="1"/>
    <x v="0"/>
    <x v="16"/>
    <n v="-2.7090000000000001"/>
  </r>
  <r>
    <x v="0"/>
    <x v="0"/>
    <x v="0"/>
    <x v="0"/>
    <x v="1"/>
    <x v="0"/>
    <x v="17"/>
    <n v="-2.7090000000000001"/>
  </r>
  <r>
    <x v="0"/>
    <x v="0"/>
    <x v="0"/>
    <x v="0"/>
    <x v="1"/>
    <x v="0"/>
    <x v="18"/>
    <n v="-2.7090000000000001"/>
  </r>
  <r>
    <x v="0"/>
    <x v="0"/>
    <x v="0"/>
    <x v="0"/>
    <x v="1"/>
    <x v="0"/>
    <x v="19"/>
    <n v="-2.7090000000000001"/>
  </r>
  <r>
    <x v="0"/>
    <x v="0"/>
    <x v="0"/>
    <x v="0"/>
    <x v="1"/>
    <x v="0"/>
    <x v="20"/>
    <n v="-2.5109387856518302"/>
  </r>
  <r>
    <x v="0"/>
    <x v="0"/>
    <x v="0"/>
    <x v="0"/>
    <x v="1"/>
    <x v="0"/>
    <x v="21"/>
    <n v="-2.7090000000000001"/>
  </r>
  <r>
    <x v="0"/>
    <x v="0"/>
    <x v="0"/>
    <x v="0"/>
    <x v="1"/>
    <x v="0"/>
    <x v="22"/>
    <n v="-2.7090000000000001"/>
  </r>
  <r>
    <x v="0"/>
    <x v="0"/>
    <x v="0"/>
    <x v="0"/>
    <x v="1"/>
    <x v="0"/>
    <x v="23"/>
    <n v="-2.7090000000000001"/>
  </r>
  <r>
    <x v="0"/>
    <x v="0"/>
    <x v="0"/>
    <x v="0"/>
    <x v="2"/>
    <x v="0"/>
    <x v="0"/>
    <n v="-5.4180000000000001"/>
  </r>
  <r>
    <x v="0"/>
    <x v="0"/>
    <x v="0"/>
    <x v="0"/>
    <x v="2"/>
    <x v="0"/>
    <x v="1"/>
    <n v="-5.4180000000000001"/>
  </r>
  <r>
    <x v="0"/>
    <x v="0"/>
    <x v="0"/>
    <x v="0"/>
    <x v="2"/>
    <x v="0"/>
    <x v="2"/>
    <n v="-5.4180000000000001"/>
  </r>
  <r>
    <x v="0"/>
    <x v="0"/>
    <x v="0"/>
    <x v="0"/>
    <x v="2"/>
    <x v="0"/>
    <x v="3"/>
    <n v="-5.4180000000000001"/>
  </r>
  <r>
    <x v="0"/>
    <x v="0"/>
    <x v="0"/>
    <x v="0"/>
    <x v="2"/>
    <x v="0"/>
    <x v="4"/>
    <n v="-5.4180000000000001"/>
  </r>
  <r>
    <x v="0"/>
    <x v="0"/>
    <x v="0"/>
    <x v="0"/>
    <x v="2"/>
    <x v="0"/>
    <x v="5"/>
    <n v="-5.4180000000000001"/>
  </r>
  <r>
    <x v="0"/>
    <x v="0"/>
    <x v="0"/>
    <x v="0"/>
    <x v="2"/>
    <x v="0"/>
    <x v="6"/>
    <n v="-2.3995171453255102"/>
  </r>
  <r>
    <x v="0"/>
    <x v="0"/>
    <x v="0"/>
    <x v="0"/>
    <x v="2"/>
    <x v="0"/>
    <x v="7"/>
    <n v="-1.4632447202679399"/>
  </r>
  <r>
    <x v="0"/>
    <x v="0"/>
    <x v="0"/>
    <x v="0"/>
    <x v="2"/>
    <x v="0"/>
    <x v="8"/>
    <n v="-2.8290807397494402"/>
  </r>
  <r>
    <x v="0"/>
    <x v="0"/>
    <x v="0"/>
    <x v="0"/>
    <x v="2"/>
    <x v="0"/>
    <x v="9"/>
    <n v="-2.6496284169177899"/>
  </r>
  <r>
    <x v="0"/>
    <x v="0"/>
    <x v="0"/>
    <x v="0"/>
    <x v="2"/>
    <x v="0"/>
    <x v="10"/>
    <n v="-3.91413667299146"/>
  </r>
  <r>
    <x v="0"/>
    <x v="0"/>
    <x v="0"/>
    <x v="0"/>
    <x v="2"/>
    <x v="0"/>
    <x v="11"/>
    <n v="-4.8035443333905103"/>
  </r>
  <r>
    <x v="0"/>
    <x v="0"/>
    <x v="0"/>
    <x v="0"/>
    <x v="2"/>
    <x v="0"/>
    <x v="12"/>
    <n v="-5.4180000000000001"/>
  </r>
  <r>
    <x v="0"/>
    <x v="0"/>
    <x v="0"/>
    <x v="0"/>
    <x v="2"/>
    <x v="0"/>
    <x v="13"/>
    <n v="-5.4124572597186198"/>
  </r>
  <r>
    <x v="0"/>
    <x v="0"/>
    <x v="0"/>
    <x v="0"/>
    <x v="2"/>
    <x v="0"/>
    <x v="14"/>
    <n v="-2.6581894023029302"/>
  </r>
  <r>
    <x v="0"/>
    <x v="0"/>
    <x v="0"/>
    <x v="0"/>
    <x v="2"/>
    <x v="0"/>
    <x v="15"/>
    <n v="-2.46044540579588"/>
  </r>
  <r>
    <x v="0"/>
    <x v="0"/>
    <x v="0"/>
    <x v="0"/>
    <x v="2"/>
    <x v="0"/>
    <x v="16"/>
    <n v="-0.49560358283589401"/>
  </r>
  <r>
    <x v="0"/>
    <x v="0"/>
    <x v="0"/>
    <x v="0"/>
    <x v="2"/>
    <x v="0"/>
    <x v="17"/>
    <n v="-0.79914659326191495"/>
  </r>
  <r>
    <x v="0"/>
    <x v="0"/>
    <x v="0"/>
    <x v="0"/>
    <x v="2"/>
    <x v="0"/>
    <x v="18"/>
    <n v="-2.2464533542924201"/>
  </r>
  <r>
    <x v="0"/>
    <x v="0"/>
    <x v="0"/>
    <x v="0"/>
    <x v="2"/>
    <x v="0"/>
    <x v="19"/>
    <n v="-1.10820557135035"/>
  </r>
  <r>
    <x v="0"/>
    <x v="0"/>
    <x v="0"/>
    <x v="0"/>
    <x v="2"/>
    <x v="0"/>
    <x v="20"/>
    <n v="-2.5968367439483702"/>
  </r>
  <r>
    <x v="0"/>
    <x v="0"/>
    <x v="0"/>
    <x v="0"/>
    <x v="2"/>
    <x v="0"/>
    <x v="21"/>
    <n v="-4.4805804277982304"/>
  </r>
  <r>
    <x v="0"/>
    <x v="0"/>
    <x v="0"/>
    <x v="0"/>
    <x v="2"/>
    <x v="0"/>
    <x v="22"/>
    <n v="-5.4180000000000001"/>
  </r>
  <r>
    <x v="0"/>
    <x v="0"/>
    <x v="0"/>
    <x v="0"/>
    <x v="2"/>
    <x v="0"/>
    <x v="23"/>
    <n v="-5.4180000000000001"/>
  </r>
  <r>
    <x v="0"/>
    <x v="0"/>
    <x v="0"/>
    <x v="0"/>
    <x v="3"/>
    <x v="0"/>
    <x v="0"/>
    <n v="-7.4360802184796099E-2"/>
  </r>
  <r>
    <x v="0"/>
    <x v="0"/>
    <x v="0"/>
    <x v="0"/>
    <x v="3"/>
    <x v="0"/>
    <x v="1"/>
    <n v="-0.279474323957702"/>
  </r>
  <r>
    <x v="0"/>
    <x v="0"/>
    <x v="0"/>
    <x v="0"/>
    <x v="3"/>
    <x v="0"/>
    <x v="2"/>
    <n v="0"/>
  </r>
  <r>
    <x v="0"/>
    <x v="0"/>
    <x v="0"/>
    <x v="0"/>
    <x v="3"/>
    <x v="0"/>
    <x v="3"/>
    <n v="0"/>
  </r>
  <r>
    <x v="0"/>
    <x v="0"/>
    <x v="0"/>
    <x v="0"/>
    <x v="3"/>
    <x v="0"/>
    <x v="4"/>
    <n v="0"/>
  </r>
  <r>
    <x v="0"/>
    <x v="0"/>
    <x v="0"/>
    <x v="0"/>
    <x v="3"/>
    <x v="0"/>
    <x v="5"/>
    <n v="-5.4404034337799799E-2"/>
  </r>
  <r>
    <x v="0"/>
    <x v="0"/>
    <x v="0"/>
    <x v="0"/>
    <x v="3"/>
    <x v="0"/>
    <x v="6"/>
    <n v="-0.52649999999999997"/>
  </r>
  <r>
    <x v="0"/>
    <x v="0"/>
    <x v="0"/>
    <x v="0"/>
    <x v="3"/>
    <x v="0"/>
    <x v="7"/>
    <n v="-0.52649999999999997"/>
  </r>
  <r>
    <x v="0"/>
    <x v="0"/>
    <x v="0"/>
    <x v="0"/>
    <x v="3"/>
    <x v="0"/>
    <x v="8"/>
    <n v="-0.52649999999999997"/>
  </r>
  <r>
    <x v="0"/>
    <x v="0"/>
    <x v="0"/>
    <x v="0"/>
    <x v="3"/>
    <x v="0"/>
    <x v="9"/>
    <n v="-0.52649999999999997"/>
  </r>
  <r>
    <x v="0"/>
    <x v="0"/>
    <x v="0"/>
    <x v="0"/>
    <x v="3"/>
    <x v="0"/>
    <x v="10"/>
    <n v="-0.30665828929551497"/>
  </r>
  <r>
    <x v="0"/>
    <x v="0"/>
    <x v="0"/>
    <x v="0"/>
    <x v="3"/>
    <x v="0"/>
    <x v="11"/>
    <n v="0"/>
  </r>
  <r>
    <x v="0"/>
    <x v="0"/>
    <x v="0"/>
    <x v="0"/>
    <x v="3"/>
    <x v="0"/>
    <x v="12"/>
    <n v="0"/>
  </r>
  <r>
    <x v="0"/>
    <x v="0"/>
    <x v="0"/>
    <x v="0"/>
    <x v="3"/>
    <x v="0"/>
    <x v="13"/>
    <n v="0"/>
  </r>
  <r>
    <x v="0"/>
    <x v="0"/>
    <x v="0"/>
    <x v="0"/>
    <x v="3"/>
    <x v="0"/>
    <x v="14"/>
    <n v="-0.25980863575868801"/>
  </r>
  <r>
    <x v="0"/>
    <x v="0"/>
    <x v="0"/>
    <x v="0"/>
    <x v="3"/>
    <x v="0"/>
    <x v="15"/>
    <n v="-0.52649999999999997"/>
  </r>
  <r>
    <x v="0"/>
    <x v="0"/>
    <x v="0"/>
    <x v="0"/>
    <x v="3"/>
    <x v="0"/>
    <x v="16"/>
    <n v="-0.52649999999999997"/>
  </r>
  <r>
    <x v="0"/>
    <x v="0"/>
    <x v="0"/>
    <x v="0"/>
    <x v="3"/>
    <x v="0"/>
    <x v="17"/>
    <n v="-0.49558524080069499"/>
  </r>
  <r>
    <x v="0"/>
    <x v="0"/>
    <x v="0"/>
    <x v="0"/>
    <x v="3"/>
    <x v="0"/>
    <x v="18"/>
    <n v="-0.52649999999999997"/>
  </r>
  <r>
    <x v="0"/>
    <x v="0"/>
    <x v="0"/>
    <x v="0"/>
    <x v="3"/>
    <x v="0"/>
    <x v="19"/>
    <n v="-0.52649999999999997"/>
  </r>
  <r>
    <x v="0"/>
    <x v="0"/>
    <x v="0"/>
    <x v="0"/>
    <x v="3"/>
    <x v="0"/>
    <x v="20"/>
    <n v="0"/>
  </r>
  <r>
    <x v="0"/>
    <x v="0"/>
    <x v="0"/>
    <x v="0"/>
    <x v="3"/>
    <x v="0"/>
    <x v="21"/>
    <n v="0"/>
  </r>
  <r>
    <x v="0"/>
    <x v="0"/>
    <x v="0"/>
    <x v="0"/>
    <x v="3"/>
    <x v="0"/>
    <x v="22"/>
    <n v="-4.7348205379200203E-2"/>
  </r>
  <r>
    <x v="0"/>
    <x v="0"/>
    <x v="0"/>
    <x v="0"/>
    <x v="3"/>
    <x v="0"/>
    <x v="23"/>
    <n v="-0.52649999999999997"/>
  </r>
  <r>
    <x v="0"/>
    <x v="0"/>
    <x v="0"/>
    <x v="0"/>
    <x v="4"/>
    <x v="0"/>
    <x v="0"/>
    <n v="9.8204423649880308"/>
  </r>
  <r>
    <x v="0"/>
    <x v="0"/>
    <x v="0"/>
    <x v="0"/>
    <x v="4"/>
    <x v="0"/>
    <x v="1"/>
    <n v="9.02166839777483"/>
  </r>
  <r>
    <x v="0"/>
    <x v="0"/>
    <x v="0"/>
    <x v="0"/>
    <x v="4"/>
    <x v="0"/>
    <x v="2"/>
    <n v="8.7653141347241306"/>
  </r>
  <r>
    <x v="0"/>
    <x v="0"/>
    <x v="0"/>
    <x v="0"/>
    <x v="4"/>
    <x v="0"/>
    <x v="3"/>
    <n v="9.2099101641459207"/>
  </r>
  <r>
    <x v="0"/>
    <x v="0"/>
    <x v="0"/>
    <x v="0"/>
    <x v="4"/>
    <x v="0"/>
    <x v="4"/>
    <n v="8.7466487445420196"/>
  </r>
  <r>
    <x v="0"/>
    <x v="0"/>
    <x v="0"/>
    <x v="0"/>
    <x v="4"/>
    <x v="0"/>
    <x v="5"/>
    <n v="8.23553830942401"/>
  </r>
  <r>
    <x v="0"/>
    <x v="0"/>
    <x v="0"/>
    <x v="0"/>
    <x v="4"/>
    <x v="0"/>
    <x v="6"/>
    <n v="10.9753854851598"/>
  </r>
  <r>
    <x v="0"/>
    <x v="0"/>
    <x v="0"/>
    <x v="0"/>
    <x v="4"/>
    <x v="0"/>
    <x v="7"/>
    <n v="10.965567282272801"/>
  </r>
  <r>
    <x v="0"/>
    <x v="0"/>
    <x v="0"/>
    <x v="0"/>
    <x v="4"/>
    <x v="0"/>
    <x v="8"/>
    <n v="10.940973389377801"/>
  </r>
  <r>
    <x v="0"/>
    <x v="0"/>
    <x v="0"/>
    <x v="0"/>
    <x v="4"/>
    <x v="0"/>
    <x v="9"/>
    <n v="11.631617670889099"/>
  </r>
  <r>
    <x v="0"/>
    <x v="0"/>
    <x v="0"/>
    <x v="0"/>
    <x v="4"/>
    <x v="0"/>
    <x v="10"/>
    <n v="11.7844663657702"/>
  </r>
  <r>
    <x v="0"/>
    <x v="0"/>
    <x v="0"/>
    <x v="0"/>
    <x v="4"/>
    <x v="0"/>
    <x v="11"/>
    <n v="11.7844663657702"/>
  </r>
  <r>
    <x v="0"/>
    <x v="0"/>
    <x v="0"/>
    <x v="0"/>
    <x v="4"/>
    <x v="0"/>
    <x v="12"/>
    <n v="11.7844663657702"/>
  </r>
  <r>
    <x v="0"/>
    <x v="0"/>
    <x v="0"/>
    <x v="0"/>
    <x v="4"/>
    <x v="0"/>
    <x v="13"/>
    <n v="11.7844663657702"/>
  </r>
  <r>
    <x v="0"/>
    <x v="0"/>
    <x v="0"/>
    <x v="0"/>
    <x v="4"/>
    <x v="0"/>
    <x v="14"/>
    <n v="11.7844663657702"/>
  </r>
  <r>
    <x v="0"/>
    <x v="0"/>
    <x v="0"/>
    <x v="0"/>
    <x v="4"/>
    <x v="0"/>
    <x v="15"/>
    <n v="11.7844663657702"/>
  </r>
  <r>
    <x v="0"/>
    <x v="0"/>
    <x v="0"/>
    <x v="0"/>
    <x v="4"/>
    <x v="0"/>
    <x v="16"/>
    <n v="11.7844663657702"/>
  </r>
  <r>
    <x v="0"/>
    <x v="0"/>
    <x v="0"/>
    <x v="0"/>
    <x v="4"/>
    <x v="0"/>
    <x v="17"/>
    <n v="11.7844663657702"/>
  </r>
  <r>
    <x v="0"/>
    <x v="0"/>
    <x v="0"/>
    <x v="0"/>
    <x v="4"/>
    <x v="0"/>
    <x v="18"/>
    <n v="11.7844663657702"/>
  </r>
  <r>
    <x v="0"/>
    <x v="0"/>
    <x v="0"/>
    <x v="0"/>
    <x v="4"/>
    <x v="0"/>
    <x v="19"/>
    <n v="11.7844663657702"/>
  </r>
  <r>
    <x v="0"/>
    <x v="0"/>
    <x v="0"/>
    <x v="0"/>
    <x v="4"/>
    <x v="0"/>
    <x v="20"/>
    <n v="11.7844663657702"/>
  </r>
  <r>
    <x v="0"/>
    <x v="0"/>
    <x v="0"/>
    <x v="0"/>
    <x v="4"/>
    <x v="0"/>
    <x v="21"/>
    <n v="11.7844663657702"/>
  </r>
  <r>
    <x v="0"/>
    <x v="0"/>
    <x v="0"/>
    <x v="0"/>
    <x v="4"/>
    <x v="0"/>
    <x v="22"/>
    <n v="9.8254990996047002"/>
  </r>
  <r>
    <x v="0"/>
    <x v="0"/>
    <x v="0"/>
    <x v="0"/>
    <x v="4"/>
    <x v="0"/>
    <x v="23"/>
    <n v="8.4353757092367996"/>
  </r>
  <r>
    <x v="0"/>
    <x v="0"/>
    <x v="0"/>
    <x v="1"/>
    <x v="5"/>
    <x v="0"/>
    <x v="0"/>
    <n v="0.79377019355078005"/>
  </r>
  <r>
    <x v="0"/>
    <x v="0"/>
    <x v="0"/>
    <x v="1"/>
    <x v="5"/>
    <x v="0"/>
    <x v="1"/>
    <n v="0.94203308371260996"/>
  </r>
  <r>
    <x v="0"/>
    <x v="0"/>
    <x v="0"/>
    <x v="1"/>
    <x v="5"/>
    <x v="0"/>
    <x v="2"/>
    <n v="0.69678422973160603"/>
  </r>
  <r>
    <x v="0"/>
    <x v="0"/>
    <x v="0"/>
    <x v="1"/>
    <x v="5"/>
    <x v="0"/>
    <x v="3"/>
    <n v="0.70303655771886697"/>
  </r>
  <r>
    <x v="0"/>
    <x v="0"/>
    <x v="0"/>
    <x v="1"/>
    <x v="5"/>
    <x v="0"/>
    <x v="4"/>
    <n v="0.51810835561138102"/>
  </r>
  <r>
    <x v="0"/>
    <x v="0"/>
    <x v="0"/>
    <x v="1"/>
    <x v="5"/>
    <x v="0"/>
    <x v="5"/>
    <n v="0.53431901199154597"/>
  </r>
  <r>
    <x v="0"/>
    <x v="0"/>
    <x v="0"/>
    <x v="1"/>
    <x v="5"/>
    <x v="0"/>
    <x v="6"/>
    <n v="2.7090000000000001"/>
  </r>
  <r>
    <x v="0"/>
    <x v="0"/>
    <x v="0"/>
    <x v="1"/>
    <x v="5"/>
    <x v="0"/>
    <x v="7"/>
    <n v="2.7090000000000001"/>
  </r>
  <r>
    <x v="0"/>
    <x v="0"/>
    <x v="0"/>
    <x v="1"/>
    <x v="5"/>
    <x v="0"/>
    <x v="8"/>
    <n v="2.7090000000000001"/>
  </r>
  <r>
    <x v="0"/>
    <x v="0"/>
    <x v="0"/>
    <x v="1"/>
    <x v="5"/>
    <x v="0"/>
    <x v="9"/>
    <n v="2.7090000000000001"/>
  </r>
  <r>
    <x v="0"/>
    <x v="0"/>
    <x v="0"/>
    <x v="1"/>
    <x v="5"/>
    <x v="0"/>
    <x v="10"/>
    <n v="2.2530492189847302"/>
  </r>
  <r>
    <x v="0"/>
    <x v="0"/>
    <x v="0"/>
    <x v="1"/>
    <x v="5"/>
    <x v="0"/>
    <x v="11"/>
    <n v="1.5262390437645299"/>
  </r>
  <r>
    <x v="0"/>
    <x v="0"/>
    <x v="0"/>
    <x v="1"/>
    <x v="5"/>
    <x v="0"/>
    <x v="12"/>
    <n v="0.90691381070145904"/>
  </r>
  <r>
    <x v="0"/>
    <x v="0"/>
    <x v="0"/>
    <x v="1"/>
    <x v="5"/>
    <x v="0"/>
    <x v="13"/>
    <n v="0.98475949135585195"/>
  </r>
  <r>
    <x v="0"/>
    <x v="0"/>
    <x v="0"/>
    <x v="1"/>
    <x v="5"/>
    <x v="0"/>
    <x v="14"/>
    <n v="2.7090000000000001"/>
  </r>
  <r>
    <x v="0"/>
    <x v="0"/>
    <x v="0"/>
    <x v="1"/>
    <x v="5"/>
    <x v="0"/>
    <x v="15"/>
    <n v="2.7090000000000001"/>
  </r>
  <r>
    <x v="0"/>
    <x v="0"/>
    <x v="0"/>
    <x v="1"/>
    <x v="5"/>
    <x v="0"/>
    <x v="16"/>
    <n v="2.7090000000000001"/>
  </r>
  <r>
    <x v="0"/>
    <x v="0"/>
    <x v="0"/>
    <x v="1"/>
    <x v="5"/>
    <x v="0"/>
    <x v="17"/>
    <n v="2.7090000000000001"/>
  </r>
  <r>
    <x v="0"/>
    <x v="0"/>
    <x v="0"/>
    <x v="1"/>
    <x v="5"/>
    <x v="0"/>
    <x v="18"/>
    <n v="2.7090000000000001"/>
  </r>
  <r>
    <x v="0"/>
    <x v="0"/>
    <x v="0"/>
    <x v="1"/>
    <x v="5"/>
    <x v="0"/>
    <x v="19"/>
    <n v="2.7090000000000001"/>
  </r>
  <r>
    <x v="0"/>
    <x v="0"/>
    <x v="0"/>
    <x v="1"/>
    <x v="5"/>
    <x v="0"/>
    <x v="20"/>
    <n v="2.7090000000000001"/>
  </r>
  <r>
    <x v="0"/>
    <x v="0"/>
    <x v="0"/>
    <x v="1"/>
    <x v="5"/>
    <x v="0"/>
    <x v="21"/>
    <n v="2.7090000000000001"/>
  </r>
  <r>
    <x v="0"/>
    <x v="0"/>
    <x v="0"/>
    <x v="1"/>
    <x v="5"/>
    <x v="0"/>
    <x v="22"/>
    <n v="2.7090000000000001"/>
  </r>
  <r>
    <x v="0"/>
    <x v="0"/>
    <x v="0"/>
    <x v="1"/>
    <x v="5"/>
    <x v="0"/>
    <x v="23"/>
    <n v="2.7090000000000001"/>
  </r>
  <r>
    <x v="0"/>
    <x v="0"/>
    <x v="0"/>
    <x v="1"/>
    <x v="2"/>
    <x v="0"/>
    <x v="0"/>
    <n v="0"/>
  </r>
  <r>
    <x v="0"/>
    <x v="0"/>
    <x v="0"/>
    <x v="1"/>
    <x v="2"/>
    <x v="0"/>
    <x v="1"/>
    <n v="0"/>
  </r>
  <r>
    <x v="0"/>
    <x v="0"/>
    <x v="0"/>
    <x v="1"/>
    <x v="2"/>
    <x v="0"/>
    <x v="2"/>
    <n v="0"/>
  </r>
  <r>
    <x v="0"/>
    <x v="0"/>
    <x v="0"/>
    <x v="1"/>
    <x v="2"/>
    <x v="0"/>
    <x v="3"/>
    <n v="0"/>
  </r>
  <r>
    <x v="0"/>
    <x v="0"/>
    <x v="0"/>
    <x v="1"/>
    <x v="2"/>
    <x v="0"/>
    <x v="4"/>
    <n v="0"/>
  </r>
  <r>
    <x v="0"/>
    <x v="0"/>
    <x v="0"/>
    <x v="1"/>
    <x v="2"/>
    <x v="0"/>
    <x v="5"/>
    <n v="0"/>
  </r>
  <r>
    <x v="0"/>
    <x v="0"/>
    <x v="0"/>
    <x v="1"/>
    <x v="2"/>
    <x v="0"/>
    <x v="6"/>
    <n v="0"/>
  </r>
  <r>
    <x v="0"/>
    <x v="0"/>
    <x v="0"/>
    <x v="1"/>
    <x v="2"/>
    <x v="0"/>
    <x v="7"/>
    <n v="0.53676073150586001"/>
  </r>
  <r>
    <x v="0"/>
    <x v="0"/>
    <x v="0"/>
    <x v="1"/>
    <x v="2"/>
    <x v="0"/>
    <x v="8"/>
    <n v="1.09046168277752"/>
  </r>
  <r>
    <x v="0"/>
    <x v="0"/>
    <x v="0"/>
    <x v="1"/>
    <x v="2"/>
    <x v="0"/>
    <x v="9"/>
    <n v="0.12777109058622799"/>
  </r>
  <r>
    <x v="0"/>
    <x v="0"/>
    <x v="0"/>
    <x v="1"/>
    <x v="2"/>
    <x v="0"/>
    <x v="10"/>
    <n v="0"/>
  </r>
  <r>
    <x v="0"/>
    <x v="0"/>
    <x v="0"/>
    <x v="1"/>
    <x v="2"/>
    <x v="0"/>
    <x v="11"/>
    <n v="0"/>
  </r>
  <r>
    <x v="0"/>
    <x v="0"/>
    <x v="0"/>
    <x v="1"/>
    <x v="2"/>
    <x v="0"/>
    <x v="12"/>
    <n v="0"/>
  </r>
  <r>
    <x v="0"/>
    <x v="0"/>
    <x v="0"/>
    <x v="1"/>
    <x v="2"/>
    <x v="0"/>
    <x v="13"/>
    <n v="0"/>
  </r>
  <r>
    <x v="0"/>
    <x v="0"/>
    <x v="0"/>
    <x v="1"/>
    <x v="2"/>
    <x v="0"/>
    <x v="14"/>
    <n v="0"/>
  </r>
  <r>
    <x v="0"/>
    <x v="0"/>
    <x v="0"/>
    <x v="1"/>
    <x v="2"/>
    <x v="0"/>
    <x v="15"/>
    <n v="8.3941514139053902E-2"/>
  </r>
  <r>
    <x v="0"/>
    <x v="0"/>
    <x v="0"/>
    <x v="1"/>
    <x v="2"/>
    <x v="0"/>
    <x v="16"/>
    <n v="2.9753281355585398E-3"/>
  </r>
  <r>
    <x v="0"/>
    <x v="0"/>
    <x v="0"/>
    <x v="1"/>
    <x v="2"/>
    <x v="0"/>
    <x v="17"/>
    <n v="0.61061900724186002"/>
  </r>
  <r>
    <x v="0"/>
    <x v="0"/>
    <x v="0"/>
    <x v="1"/>
    <x v="2"/>
    <x v="0"/>
    <x v="18"/>
    <n v="1.2688335906627"/>
  </r>
  <r>
    <x v="0"/>
    <x v="0"/>
    <x v="0"/>
    <x v="1"/>
    <x v="2"/>
    <x v="0"/>
    <x v="19"/>
    <n v="2.2235363752613599"/>
  </r>
  <r>
    <x v="0"/>
    <x v="0"/>
    <x v="0"/>
    <x v="1"/>
    <x v="2"/>
    <x v="0"/>
    <x v="20"/>
    <n v="1.368867547759"/>
  </r>
  <r>
    <x v="0"/>
    <x v="0"/>
    <x v="0"/>
    <x v="1"/>
    <x v="2"/>
    <x v="0"/>
    <x v="21"/>
    <n v="0"/>
  </r>
  <r>
    <x v="0"/>
    <x v="0"/>
    <x v="0"/>
    <x v="1"/>
    <x v="2"/>
    <x v="0"/>
    <x v="22"/>
    <n v="0"/>
  </r>
  <r>
    <x v="0"/>
    <x v="0"/>
    <x v="0"/>
    <x v="1"/>
    <x v="2"/>
    <x v="0"/>
    <x v="23"/>
    <n v="0.12049153186792599"/>
  </r>
  <r>
    <x v="0"/>
    <x v="0"/>
    <x v="0"/>
    <x v="1"/>
    <x v="6"/>
    <x v="0"/>
    <x v="0"/>
    <n v="0"/>
  </r>
  <r>
    <x v="0"/>
    <x v="0"/>
    <x v="0"/>
    <x v="1"/>
    <x v="6"/>
    <x v="0"/>
    <x v="1"/>
    <n v="0"/>
  </r>
  <r>
    <x v="0"/>
    <x v="0"/>
    <x v="0"/>
    <x v="1"/>
    <x v="6"/>
    <x v="0"/>
    <x v="2"/>
    <n v="0"/>
  </r>
  <r>
    <x v="0"/>
    <x v="0"/>
    <x v="0"/>
    <x v="1"/>
    <x v="6"/>
    <x v="0"/>
    <x v="3"/>
    <n v="0"/>
  </r>
  <r>
    <x v="0"/>
    <x v="0"/>
    <x v="0"/>
    <x v="1"/>
    <x v="6"/>
    <x v="0"/>
    <x v="4"/>
    <n v="0"/>
  </r>
  <r>
    <x v="0"/>
    <x v="0"/>
    <x v="0"/>
    <x v="1"/>
    <x v="6"/>
    <x v="0"/>
    <x v="5"/>
    <n v="-0.317720980238274"/>
  </r>
  <r>
    <x v="0"/>
    <x v="0"/>
    <x v="0"/>
    <x v="1"/>
    <x v="6"/>
    <x v="0"/>
    <x v="6"/>
    <n v="-1.6020000000000001"/>
  </r>
  <r>
    <x v="0"/>
    <x v="0"/>
    <x v="0"/>
    <x v="1"/>
    <x v="6"/>
    <x v="0"/>
    <x v="7"/>
    <n v="-1.6020000000000001"/>
  </r>
  <r>
    <x v="0"/>
    <x v="0"/>
    <x v="0"/>
    <x v="1"/>
    <x v="6"/>
    <x v="0"/>
    <x v="8"/>
    <n v="-1.6020000000000001"/>
  </r>
  <r>
    <x v="0"/>
    <x v="0"/>
    <x v="0"/>
    <x v="1"/>
    <x v="6"/>
    <x v="0"/>
    <x v="9"/>
    <n v="-1.6020000000000001"/>
  </r>
  <r>
    <x v="0"/>
    <x v="0"/>
    <x v="0"/>
    <x v="1"/>
    <x v="6"/>
    <x v="0"/>
    <x v="10"/>
    <n v="-1.6020000000000001"/>
  </r>
  <r>
    <x v="0"/>
    <x v="0"/>
    <x v="0"/>
    <x v="1"/>
    <x v="6"/>
    <x v="0"/>
    <x v="11"/>
    <n v="-1.2916540907732099"/>
  </r>
  <r>
    <x v="0"/>
    <x v="0"/>
    <x v="0"/>
    <x v="1"/>
    <x v="6"/>
    <x v="0"/>
    <x v="12"/>
    <n v="-0.19959721812494999"/>
  </r>
  <r>
    <x v="0"/>
    <x v="0"/>
    <x v="0"/>
    <x v="1"/>
    <x v="6"/>
    <x v="0"/>
    <x v="13"/>
    <n v="-0.212799377693592"/>
  </r>
  <r>
    <x v="0"/>
    <x v="0"/>
    <x v="0"/>
    <x v="1"/>
    <x v="6"/>
    <x v="0"/>
    <x v="14"/>
    <n v="-1.6020000000000001"/>
  </r>
  <r>
    <x v="0"/>
    <x v="0"/>
    <x v="0"/>
    <x v="1"/>
    <x v="6"/>
    <x v="0"/>
    <x v="15"/>
    <n v="-1.6020000000000001"/>
  </r>
  <r>
    <x v="0"/>
    <x v="0"/>
    <x v="0"/>
    <x v="1"/>
    <x v="6"/>
    <x v="0"/>
    <x v="16"/>
    <n v="-1.6020000000000001"/>
  </r>
  <r>
    <x v="0"/>
    <x v="0"/>
    <x v="0"/>
    <x v="1"/>
    <x v="6"/>
    <x v="0"/>
    <x v="17"/>
    <n v="-1.6020000000000001"/>
  </r>
  <r>
    <x v="0"/>
    <x v="0"/>
    <x v="0"/>
    <x v="1"/>
    <x v="6"/>
    <x v="0"/>
    <x v="18"/>
    <n v="-1.6020000000000001"/>
  </r>
  <r>
    <x v="0"/>
    <x v="0"/>
    <x v="0"/>
    <x v="1"/>
    <x v="6"/>
    <x v="0"/>
    <x v="19"/>
    <n v="-1.6020000000000001"/>
  </r>
  <r>
    <x v="0"/>
    <x v="0"/>
    <x v="0"/>
    <x v="1"/>
    <x v="6"/>
    <x v="0"/>
    <x v="20"/>
    <n v="-1.2528751231039199"/>
  </r>
  <r>
    <x v="0"/>
    <x v="0"/>
    <x v="0"/>
    <x v="1"/>
    <x v="6"/>
    <x v="0"/>
    <x v="21"/>
    <n v="-0.51772579026078902"/>
  </r>
  <r>
    <x v="0"/>
    <x v="0"/>
    <x v="0"/>
    <x v="1"/>
    <x v="6"/>
    <x v="0"/>
    <x v="22"/>
    <n v="-0.78889897168787704"/>
  </r>
  <r>
    <x v="0"/>
    <x v="0"/>
    <x v="0"/>
    <x v="1"/>
    <x v="6"/>
    <x v="0"/>
    <x v="23"/>
    <n v="-0.77794997340268501"/>
  </r>
  <r>
    <x v="0"/>
    <x v="0"/>
    <x v="0"/>
    <x v="1"/>
    <x v="3"/>
    <x v="0"/>
    <x v="0"/>
    <n v="0"/>
  </r>
  <r>
    <x v="0"/>
    <x v="0"/>
    <x v="0"/>
    <x v="1"/>
    <x v="3"/>
    <x v="0"/>
    <x v="1"/>
    <n v="0"/>
  </r>
  <r>
    <x v="0"/>
    <x v="0"/>
    <x v="0"/>
    <x v="1"/>
    <x v="3"/>
    <x v="0"/>
    <x v="2"/>
    <n v="0"/>
  </r>
  <r>
    <x v="0"/>
    <x v="0"/>
    <x v="0"/>
    <x v="1"/>
    <x v="3"/>
    <x v="0"/>
    <x v="3"/>
    <n v="0"/>
  </r>
  <r>
    <x v="0"/>
    <x v="0"/>
    <x v="0"/>
    <x v="1"/>
    <x v="3"/>
    <x v="0"/>
    <x v="4"/>
    <n v="0"/>
  </r>
  <r>
    <x v="0"/>
    <x v="0"/>
    <x v="0"/>
    <x v="1"/>
    <x v="3"/>
    <x v="0"/>
    <x v="5"/>
    <n v="0"/>
  </r>
  <r>
    <x v="0"/>
    <x v="0"/>
    <x v="0"/>
    <x v="1"/>
    <x v="3"/>
    <x v="0"/>
    <x v="6"/>
    <n v="0"/>
  </r>
  <r>
    <x v="0"/>
    <x v="0"/>
    <x v="0"/>
    <x v="1"/>
    <x v="3"/>
    <x v="0"/>
    <x v="7"/>
    <n v="0"/>
  </r>
  <r>
    <x v="0"/>
    <x v="0"/>
    <x v="0"/>
    <x v="1"/>
    <x v="3"/>
    <x v="0"/>
    <x v="8"/>
    <n v="0"/>
  </r>
  <r>
    <x v="0"/>
    <x v="0"/>
    <x v="0"/>
    <x v="1"/>
    <x v="3"/>
    <x v="0"/>
    <x v="9"/>
    <n v="0"/>
  </r>
  <r>
    <x v="0"/>
    <x v="0"/>
    <x v="0"/>
    <x v="1"/>
    <x v="3"/>
    <x v="0"/>
    <x v="10"/>
    <n v="0"/>
  </r>
  <r>
    <x v="0"/>
    <x v="0"/>
    <x v="0"/>
    <x v="1"/>
    <x v="3"/>
    <x v="0"/>
    <x v="11"/>
    <n v="0"/>
  </r>
  <r>
    <x v="0"/>
    <x v="0"/>
    <x v="0"/>
    <x v="1"/>
    <x v="3"/>
    <x v="0"/>
    <x v="12"/>
    <n v="0"/>
  </r>
  <r>
    <x v="0"/>
    <x v="0"/>
    <x v="0"/>
    <x v="1"/>
    <x v="3"/>
    <x v="0"/>
    <x v="13"/>
    <n v="0"/>
  </r>
  <r>
    <x v="0"/>
    <x v="0"/>
    <x v="0"/>
    <x v="1"/>
    <x v="3"/>
    <x v="0"/>
    <x v="14"/>
    <n v="0"/>
  </r>
  <r>
    <x v="0"/>
    <x v="0"/>
    <x v="0"/>
    <x v="1"/>
    <x v="3"/>
    <x v="0"/>
    <x v="15"/>
    <n v="0"/>
  </r>
  <r>
    <x v="0"/>
    <x v="0"/>
    <x v="0"/>
    <x v="1"/>
    <x v="3"/>
    <x v="0"/>
    <x v="16"/>
    <n v="0"/>
  </r>
  <r>
    <x v="0"/>
    <x v="0"/>
    <x v="0"/>
    <x v="1"/>
    <x v="3"/>
    <x v="0"/>
    <x v="17"/>
    <n v="0"/>
  </r>
  <r>
    <x v="0"/>
    <x v="0"/>
    <x v="0"/>
    <x v="1"/>
    <x v="3"/>
    <x v="0"/>
    <x v="18"/>
    <n v="0"/>
  </r>
  <r>
    <x v="0"/>
    <x v="0"/>
    <x v="0"/>
    <x v="1"/>
    <x v="3"/>
    <x v="0"/>
    <x v="19"/>
    <n v="0"/>
  </r>
  <r>
    <x v="0"/>
    <x v="0"/>
    <x v="0"/>
    <x v="1"/>
    <x v="3"/>
    <x v="0"/>
    <x v="20"/>
    <n v="0"/>
  </r>
  <r>
    <x v="0"/>
    <x v="0"/>
    <x v="0"/>
    <x v="1"/>
    <x v="3"/>
    <x v="0"/>
    <x v="21"/>
    <n v="0"/>
  </r>
  <r>
    <x v="0"/>
    <x v="0"/>
    <x v="0"/>
    <x v="1"/>
    <x v="3"/>
    <x v="0"/>
    <x v="22"/>
    <n v="0"/>
  </r>
  <r>
    <x v="0"/>
    <x v="0"/>
    <x v="0"/>
    <x v="1"/>
    <x v="3"/>
    <x v="0"/>
    <x v="23"/>
    <n v="0"/>
  </r>
  <r>
    <x v="0"/>
    <x v="0"/>
    <x v="0"/>
    <x v="1"/>
    <x v="7"/>
    <x v="0"/>
    <x v="0"/>
    <n v="0"/>
  </r>
  <r>
    <x v="0"/>
    <x v="0"/>
    <x v="0"/>
    <x v="1"/>
    <x v="7"/>
    <x v="0"/>
    <x v="1"/>
    <n v="0"/>
  </r>
  <r>
    <x v="0"/>
    <x v="0"/>
    <x v="0"/>
    <x v="1"/>
    <x v="7"/>
    <x v="0"/>
    <x v="2"/>
    <n v="0"/>
  </r>
  <r>
    <x v="0"/>
    <x v="0"/>
    <x v="0"/>
    <x v="1"/>
    <x v="7"/>
    <x v="0"/>
    <x v="3"/>
    <n v="0"/>
  </r>
  <r>
    <x v="0"/>
    <x v="0"/>
    <x v="0"/>
    <x v="1"/>
    <x v="7"/>
    <x v="0"/>
    <x v="4"/>
    <n v="0"/>
  </r>
  <r>
    <x v="0"/>
    <x v="0"/>
    <x v="0"/>
    <x v="1"/>
    <x v="7"/>
    <x v="0"/>
    <x v="5"/>
    <n v="0"/>
  </r>
  <r>
    <x v="0"/>
    <x v="0"/>
    <x v="0"/>
    <x v="1"/>
    <x v="7"/>
    <x v="0"/>
    <x v="6"/>
    <n v="0"/>
  </r>
  <r>
    <x v="0"/>
    <x v="0"/>
    <x v="0"/>
    <x v="1"/>
    <x v="7"/>
    <x v="0"/>
    <x v="7"/>
    <n v="0"/>
  </r>
  <r>
    <x v="0"/>
    <x v="0"/>
    <x v="0"/>
    <x v="1"/>
    <x v="7"/>
    <x v="0"/>
    <x v="8"/>
    <n v="0"/>
  </r>
  <r>
    <x v="0"/>
    <x v="0"/>
    <x v="0"/>
    <x v="1"/>
    <x v="7"/>
    <x v="0"/>
    <x v="9"/>
    <n v="0"/>
  </r>
  <r>
    <x v="0"/>
    <x v="0"/>
    <x v="0"/>
    <x v="1"/>
    <x v="7"/>
    <x v="0"/>
    <x v="10"/>
    <n v="0"/>
  </r>
  <r>
    <x v="0"/>
    <x v="0"/>
    <x v="0"/>
    <x v="1"/>
    <x v="7"/>
    <x v="0"/>
    <x v="11"/>
    <n v="0"/>
  </r>
  <r>
    <x v="0"/>
    <x v="0"/>
    <x v="0"/>
    <x v="1"/>
    <x v="7"/>
    <x v="0"/>
    <x v="12"/>
    <n v="0"/>
  </r>
  <r>
    <x v="0"/>
    <x v="0"/>
    <x v="0"/>
    <x v="1"/>
    <x v="7"/>
    <x v="0"/>
    <x v="13"/>
    <n v="0"/>
  </r>
  <r>
    <x v="0"/>
    <x v="0"/>
    <x v="0"/>
    <x v="1"/>
    <x v="7"/>
    <x v="0"/>
    <x v="14"/>
    <n v="0"/>
  </r>
  <r>
    <x v="0"/>
    <x v="0"/>
    <x v="0"/>
    <x v="1"/>
    <x v="7"/>
    <x v="0"/>
    <x v="15"/>
    <n v="0"/>
  </r>
  <r>
    <x v="0"/>
    <x v="0"/>
    <x v="0"/>
    <x v="1"/>
    <x v="7"/>
    <x v="0"/>
    <x v="16"/>
    <n v="0"/>
  </r>
  <r>
    <x v="0"/>
    <x v="0"/>
    <x v="0"/>
    <x v="1"/>
    <x v="7"/>
    <x v="0"/>
    <x v="17"/>
    <n v="0"/>
  </r>
  <r>
    <x v="0"/>
    <x v="0"/>
    <x v="0"/>
    <x v="1"/>
    <x v="7"/>
    <x v="0"/>
    <x v="18"/>
    <n v="0"/>
  </r>
  <r>
    <x v="0"/>
    <x v="0"/>
    <x v="0"/>
    <x v="1"/>
    <x v="7"/>
    <x v="0"/>
    <x v="19"/>
    <n v="0"/>
  </r>
  <r>
    <x v="0"/>
    <x v="0"/>
    <x v="0"/>
    <x v="1"/>
    <x v="7"/>
    <x v="0"/>
    <x v="20"/>
    <n v="0"/>
  </r>
  <r>
    <x v="0"/>
    <x v="0"/>
    <x v="0"/>
    <x v="1"/>
    <x v="7"/>
    <x v="0"/>
    <x v="21"/>
    <n v="0"/>
  </r>
  <r>
    <x v="0"/>
    <x v="0"/>
    <x v="0"/>
    <x v="1"/>
    <x v="7"/>
    <x v="0"/>
    <x v="22"/>
    <n v="0"/>
  </r>
  <r>
    <x v="0"/>
    <x v="0"/>
    <x v="0"/>
    <x v="1"/>
    <x v="7"/>
    <x v="0"/>
    <x v="23"/>
    <n v="0"/>
  </r>
  <r>
    <x v="0"/>
    <x v="0"/>
    <x v="0"/>
    <x v="1"/>
    <x v="8"/>
    <x v="0"/>
    <x v="0"/>
    <n v="0.54"/>
  </r>
  <r>
    <x v="0"/>
    <x v="0"/>
    <x v="0"/>
    <x v="1"/>
    <x v="8"/>
    <x v="0"/>
    <x v="1"/>
    <n v="0.54"/>
  </r>
  <r>
    <x v="0"/>
    <x v="0"/>
    <x v="0"/>
    <x v="1"/>
    <x v="8"/>
    <x v="0"/>
    <x v="2"/>
    <n v="0.54"/>
  </r>
  <r>
    <x v="0"/>
    <x v="0"/>
    <x v="0"/>
    <x v="1"/>
    <x v="8"/>
    <x v="0"/>
    <x v="3"/>
    <n v="0.54"/>
  </r>
  <r>
    <x v="0"/>
    <x v="0"/>
    <x v="0"/>
    <x v="1"/>
    <x v="8"/>
    <x v="0"/>
    <x v="4"/>
    <n v="0.54"/>
  </r>
  <r>
    <x v="0"/>
    <x v="0"/>
    <x v="0"/>
    <x v="1"/>
    <x v="8"/>
    <x v="0"/>
    <x v="5"/>
    <n v="0.54"/>
  </r>
  <r>
    <x v="0"/>
    <x v="0"/>
    <x v="0"/>
    <x v="1"/>
    <x v="8"/>
    <x v="0"/>
    <x v="6"/>
    <n v="-0.53118146193279003"/>
  </r>
  <r>
    <x v="0"/>
    <x v="0"/>
    <x v="0"/>
    <x v="1"/>
    <x v="8"/>
    <x v="0"/>
    <x v="7"/>
    <n v="-0.54900000000000004"/>
  </r>
  <r>
    <x v="0"/>
    <x v="0"/>
    <x v="0"/>
    <x v="1"/>
    <x v="8"/>
    <x v="0"/>
    <x v="8"/>
    <n v="-0.38920646939070602"/>
  </r>
  <r>
    <x v="0"/>
    <x v="0"/>
    <x v="0"/>
    <x v="1"/>
    <x v="8"/>
    <x v="0"/>
    <x v="9"/>
    <n v="0"/>
  </r>
  <r>
    <x v="0"/>
    <x v="0"/>
    <x v="0"/>
    <x v="1"/>
    <x v="8"/>
    <x v="0"/>
    <x v="10"/>
    <n v="0.54"/>
  </r>
  <r>
    <x v="0"/>
    <x v="0"/>
    <x v="0"/>
    <x v="1"/>
    <x v="8"/>
    <x v="0"/>
    <x v="11"/>
    <n v="0.54"/>
  </r>
  <r>
    <x v="0"/>
    <x v="0"/>
    <x v="0"/>
    <x v="1"/>
    <x v="8"/>
    <x v="0"/>
    <x v="12"/>
    <n v="0.54"/>
  </r>
  <r>
    <x v="0"/>
    <x v="0"/>
    <x v="0"/>
    <x v="1"/>
    <x v="8"/>
    <x v="0"/>
    <x v="13"/>
    <n v="0.54"/>
  </r>
  <r>
    <x v="0"/>
    <x v="0"/>
    <x v="0"/>
    <x v="1"/>
    <x v="8"/>
    <x v="0"/>
    <x v="14"/>
    <n v="0.30062350974955498"/>
  </r>
  <r>
    <x v="0"/>
    <x v="0"/>
    <x v="0"/>
    <x v="1"/>
    <x v="8"/>
    <x v="0"/>
    <x v="15"/>
    <n v="0.38158797286282697"/>
  </r>
  <r>
    <x v="0"/>
    <x v="0"/>
    <x v="0"/>
    <x v="1"/>
    <x v="8"/>
    <x v="0"/>
    <x v="16"/>
    <n v="0.41038935563974699"/>
  </r>
  <r>
    <x v="0"/>
    <x v="0"/>
    <x v="0"/>
    <x v="1"/>
    <x v="8"/>
    <x v="0"/>
    <x v="17"/>
    <n v="0.27598710470085502"/>
  </r>
  <r>
    <x v="0"/>
    <x v="0"/>
    <x v="0"/>
    <x v="1"/>
    <x v="8"/>
    <x v="0"/>
    <x v="18"/>
    <n v="-7.0044292297797003E-2"/>
  </r>
  <r>
    <x v="0"/>
    <x v="0"/>
    <x v="0"/>
    <x v="1"/>
    <x v="8"/>
    <x v="0"/>
    <x v="19"/>
    <n v="-0.54900000000000004"/>
  </r>
  <r>
    <x v="0"/>
    <x v="0"/>
    <x v="0"/>
    <x v="1"/>
    <x v="8"/>
    <x v="0"/>
    <x v="20"/>
    <n v="0.54"/>
  </r>
  <r>
    <x v="0"/>
    <x v="0"/>
    <x v="0"/>
    <x v="1"/>
    <x v="8"/>
    <x v="0"/>
    <x v="21"/>
    <n v="0.54"/>
  </r>
  <r>
    <x v="0"/>
    <x v="0"/>
    <x v="0"/>
    <x v="1"/>
    <x v="8"/>
    <x v="0"/>
    <x v="22"/>
    <n v="0.54"/>
  </r>
  <r>
    <x v="0"/>
    <x v="0"/>
    <x v="0"/>
    <x v="1"/>
    <x v="8"/>
    <x v="0"/>
    <x v="23"/>
    <n v="0.54"/>
  </r>
  <r>
    <x v="0"/>
    <x v="0"/>
    <x v="0"/>
    <x v="2"/>
    <x v="5"/>
    <x v="0"/>
    <x v="0"/>
    <n v="2.7090000000000001"/>
  </r>
  <r>
    <x v="0"/>
    <x v="0"/>
    <x v="0"/>
    <x v="2"/>
    <x v="5"/>
    <x v="0"/>
    <x v="1"/>
    <n v="2.7090000000000001"/>
  </r>
  <r>
    <x v="0"/>
    <x v="0"/>
    <x v="0"/>
    <x v="2"/>
    <x v="5"/>
    <x v="0"/>
    <x v="2"/>
    <n v="2.7090000000000001"/>
  </r>
  <r>
    <x v="0"/>
    <x v="0"/>
    <x v="0"/>
    <x v="2"/>
    <x v="5"/>
    <x v="0"/>
    <x v="3"/>
    <n v="2.7090000000000001"/>
  </r>
  <r>
    <x v="0"/>
    <x v="0"/>
    <x v="0"/>
    <x v="2"/>
    <x v="5"/>
    <x v="0"/>
    <x v="4"/>
    <n v="2.7090000000000001"/>
  </r>
  <r>
    <x v="0"/>
    <x v="0"/>
    <x v="0"/>
    <x v="2"/>
    <x v="5"/>
    <x v="0"/>
    <x v="5"/>
    <n v="2.7090000000000001"/>
  </r>
  <r>
    <x v="0"/>
    <x v="0"/>
    <x v="0"/>
    <x v="2"/>
    <x v="5"/>
    <x v="0"/>
    <x v="6"/>
    <n v="2.7090000000000001"/>
  </r>
  <r>
    <x v="0"/>
    <x v="0"/>
    <x v="0"/>
    <x v="2"/>
    <x v="5"/>
    <x v="0"/>
    <x v="7"/>
    <n v="2.7090000000000001"/>
  </r>
  <r>
    <x v="0"/>
    <x v="0"/>
    <x v="0"/>
    <x v="2"/>
    <x v="5"/>
    <x v="0"/>
    <x v="8"/>
    <n v="2.7090000000000001"/>
  </r>
  <r>
    <x v="0"/>
    <x v="0"/>
    <x v="0"/>
    <x v="2"/>
    <x v="5"/>
    <x v="0"/>
    <x v="9"/>
    <n v="2.7090000000000001"/>
  </r>
  <r>
    <x v="0"/>
    <x v="0"/>
    <x v="0"/>
    <x v="2"/>
    <x v="5"/>
    <x v="0"/>
    <x v="10"/>
    <n v="2.7090000000000001"/>
  </r>
  <r>
    <x v="0"/>
    <x v="0"/>
    <x v="0"/>
    <x v="2"/>
    <x v="5"/>
    <x v="0"/>
    <x v="11"/>
    <n v="2.7090000000000001"/>
  </r>
  <r>
    <x v="0"/>
    <x v="0"/>
    <x v="0"/>
    <x v="2"/>
    <x v="5"/>
    <x v="0"/>
    <x v="12"/>
    <n v="2.7090000000000001"/>
  </r>
  <r>
    <x v="0"/>
    <x v="0"/>
    <x v="0"/>
    <x v="2"/>
    <x v="5"/>
    <x v="0"/>
    <x v="13"/>
    <n v="2.7090000000000001"/>
  </r>
  <r>
    <x v="0"/>
    <x v="0"/>
    <x v="0"/>
    <x v="2"/>
    <x v="5"/>
    <x v="0"/>
    <x v="14"/>
    <n v="2.7090000000000001"/>
  </r>
  <r>
    <x v="0"/>
    <x v="0"/>
    <x v="0"/>
    <x v="2"/>
    <x v="5"/>
    <x v="0"/>
    <x v="15"/>
    <n v="2.7090000000000001"/>
  </r>
  <r>
    <x v="0"/>
    <x v="0"/>
    <x v="0"/>
    <x v="2"/>
    <x v="5"/>
    <x v="0"/>
    <x v="16"/>
    <n v="2.7090000000000001"/>
  </r>
  <r>
    <x v="0"/>
    <x v="0"/>
    <x v="0"/>
    <x v="2"/>
    <x v="5"/>
    <x v="0"/>
    <x v="17"/>
    <n v="2.7090000000000001"/>
  </r>
  <r>
    <x v="0"/>
    <x v="0"/>
    <x v="0"/>
    <x v="2"/>
    <x v="5"/>
    <x v="0"/>
    <x v="18"/>
    <n v="2.7090000000000001"/>
  </r>
  <r>
    <x v="0"/>
    <x v="0"/>
    <x v="0"/>
    <x v="2"/>
    <x v="5"/>
    <x v="0"/>
    <x v="19"/>
    <n v="2.7090000000000001"/>
  </r>
  <r>
    <x v="0"/>
    <x v="0"/>
    <x v="0"/>
    <x v="2"/>
    <x v="5"/>
    <x v="0"/>
    <x v="20"/>
    <n v="2.5109387856518302"/>
  </r>
  <r>
    <x v="0"/>
    <x v="0"/>
    <x v="0"/>
    <x v="2"/>
    <x v="5"/>
    <x v="0"/>
    <x v="21"/>
    <n v="2.7090000000000001"/>
  </r>
  <r>
    <x v="0"/>
    <x v="0"/>
    <x v="0"/>
    <x v="2"/>
    <x v="5"/>
    <x v="0"/>
    <x v="22"/>
    <n v="2.7090000000000001"/>
  </r>
  <r>
    <x v="0"/>
    <x v="0"/>
    <x v="0"/>
    <x v="2"/>
    <x v="5"/>
    <x v="0"/>
    <x v="23"/>
    <n v="2.7090000000000001"/>
  </r>
  <r>
    <x v="0"/>
    <x v="0"/>
    <x v="0"/>
    <x v="2"/>
    <x v="2"/>
    <x v="0"/>
    <x v="0"/>
    <n v="3.1958420251641999"/>
  </r>
  <r>
    <x v="0"/>
    <x v="0"/>
    <x v="0"/>
    <x v="2"/>
    <x v="2"/>
    <x v="0"/>
    <x v="1"/>
    <n v="0"/>
  </r>
  <r>
    <x v="0"/>
    <x v="0"/>
    <x v="0"/>
    <x v="2"/>
    <x v="2"/>
    <x v="0"/>
    <x v="2"/>
    <n v="1.50258594494735"/>
  </r>
  <r>
    <x v="0"/>
    <x v="0"/>
    <x v="0"/>
    <x v="2"/>
    <x v="2"/>
    <x v="0"/>
    <x v="3"/>
    <n v="1.87356781294743"/>
  </r>
  <r>
    <x v="0"/>
    <x v="0"/>
    <x v="0"/>
    <x v="2"/>
    <x v="2"/>
    <x v="0"/>
    <x v="4"/>
    <n v="5.17325484650432"/>
  </r>
  <r>
    <x v="0"/>
    <x v="0"/>
    <x v="0"/>
    <x v="2"/>
    <x v="2"/>
    <x v="0"/>
    <x v="5"/>
    <n v="3.9243331141792099"/>
  </r>
  <r>
    <x v="0"/>
    <x v="0"/>
    <x v="0"/>
    <x v="2"/>
    <x v="2"/>
    <x v="0"/>
    <x v="6"/>
    <n v="2.3473467740124301"/>
  </r>
  <r>
    <x v="0"/>
    <x v="0"/>
    <x v="0"/>
    <x v="2"/>
    <x v="2"/>
    <x v="0"/>
    <x v="7"/>
    <n v="2.4439156856753699"/>
  </r>
  <r>
    <x v="0"/>
    <x v="0"/>
    <x v="0"/>
    <x v="2"/>
    <x v="2"/>
    <x v="0"/>
    <x v="8"/>
    <n v="3.4599048411024"/>
  </r>
  <r>
    <x v="0"/>
    <x v="0"/>
    <x v="0"/>
    <x v="2"/>
    <x v="2"/>
    <x v="0"/>
    <x v="9"/>
    <n v="4.0501790308220302"/>
  </r>
  <r>
    <x v="0"/>
    <x v="0"/>
    <x v="0"/>
    <x v="2"/>
    <x v="2"/>
    <x v="0"/>
    <x v="10"/>
    <n v="5.06074023603479"/>
  </r>
  <r>
    <x v="0"/>
    <x v="0"/>
    <x v="0"/>
    <x v="2"/>
    <x v="2"/>
    <x v="0"/>
    <x v="11"/>
    <n v="6.8016124238606404"/>
  </r>
  <r>
    <x v="0"/>
    <x v="0"/>
    <x v="0"/>
    <x v="2"/>
    <x v="2"/>
    <x v="0"/>
    <x v="12"/>
    <n v="6.4108807964545598"/>
  </r>
  <r>
    <x v="0"/>
    <x v="0"/>
    <x v="0"/>
    <x v="2"/>
    <x v="2"/>
    <x v="0"/>
    <x v="13"/>
    <n v="6.9369610016587702"/>
  </r>
  <r>
    <x v="0"/>
    <x v="0"/>
    <x v="0"/>
    <x v="2"/>
    <x v="2"/>
    <x v="0"/>
    <x v="14"/>
    <n v="4.2291788644913098"/>
  </r>
  <r>
    <x v="0"/>
    <x v="0"/>
    <x v="0"/>
    <x v="2"/>
    <x v="2"/>
    <x v="0"/>
    <x v="15"/>
    <n v="2.3938316493404699"/>
  </r>
  <r>
    <x v="0"/>
    <x v="0"/>
    <x v="0"/>
    <x v="2"/>
    <x v="2"/>
    <x v="0"/>
    <x v="16"/>
    <n v="0"/>
  </r>
  <r>
    <x v="0"/>
    <x v="0"/>
    <x v="0"/>
    <x v="2"/>
    <x v="2"/>
    <x v="0"/>
    <x v="17"/>
    <n v="0"/>
  </r>
  <r>
    <x v="0"/>
    <x v="0"/>
    <x v="0"/>
    <x v="2"/>
    <x v="2"/>
    <x v="0"/>
    <x v="18"/>
    <n v="0"/>
  </r>
  <r>
    <x v="0"/>
    <x v="0"/>
    <x v="0"/>
    <x v="2"/>
    <x v="2"/>
    <x v="0"/>
    <x v="19"/>
    <n v="0"/>
  </r>
  <r>
    <x v="0"/>
    <x v="0"/>
    <x v="0"/>
    <x v="2"/>
    <x v="2"/>
    <x v="0"/>
    <x v="20"/>
    <n v="0"/>
  </r>
  <r>
    <x v="0"/>
    <x v="0"/>
    <x v="0"/>
    <x v="2"/>
    <x v="2"/>
    <x v="0"/>
    <x v="21"/>
    <n v="1.5265840774275801"/>
  </r>
  <r>
    <x v="0"/>
    <x v="0"/>
    <x v="0"/>
    <x v="2"/>
    <x v="2"/>
    <x v="0"/>
    <x v="22"/>
    <n v="1.87644347115107"/>
  </r>
  <r>
    <x v="0"/>
    <x v="0"/>
    <x v="0"/>
    <x v="2"/>
    <x v="2"/>
    <x v="0"/>
    <x v="23"/>
    <n v="0"/>
  </r>
  <r>
    <x v="0"/>
    <x v="0"/>
    <x v="0"/>
    <x v="2"/>
    <x v="9"/>
    <x v="0"/>
    <x v="0"/>
    <n v="-7.0106782678158703"/>
  </r>
  <r>
    <x v="0"/>
    <x v="0"/>
    <x v="0"/>
    <x v="2"/>
    <x v="9"/>
    <x v="0"/>
    <x v="1"/>
    <n v="-7.0106782678158703"/>
  </r>
  <r>
    <x v="0"/>
    <x v="0"/>
    <x v="0"/>
    <x v="2"/>
    <x v="9"/>
    <x v="0"/>
    <x v="2"/>
    <n v="-7.0106782678158703"/>
  </r>
  <r>
    <x v="0"/>
    <x v="0"/>
    <x v="0"/>
    <x v="2"/>
    <x v="9"/>
    <x v="0"/>
    <x v="3"/>
    <n v="-7.0106782678158703"/>
  </r>
  <r>
    <x v="0"/>
    <x v="0"/>
    <x v="0"/>
    <x v="2"/>
    <x v="9"/>
    <x v="0"/>
    <x v="4"/>
    <n v="-7.0106782678158703"/>
  </r>
  <r>
    <x v="0"/>
    <x v="0"/>
    <x v="0"/>
    <x v="2"/>
    <x v="9"/>
    <x v="0"/>
    <x v="5"/>
    <n v="-7.0106782678158703"/>
  </r>
  <r>
    <x v="0"/>
    <x v="0"/>
    <x v="0"/>
    <x v="2"/>
    <x v="9"/>
    <x v="0"/>
    <x v="6"/>
    <n v="-7.0106782678158703"/>
  </r>
  <r>
    <x v="0"/>
    <x v="0"/>
    <x v="0"/>
    <x v="2"/>
    <x v="9"/>
    <x v="0"/>
    <x v="7"/>
    <n v="-7.0106782678158703"/>
  </r>
  <r>
    <x v="0"/>
    <x v="0"/>
    <x v="0"/>
    <x v="2"/>
    <x v="9"/>
    <x v="0"/>
    <x v="8"/>
    <n v="-7.0106782678158703"/>
  </r>
  <r>
    <x v="0"/>
    <x v="0"/>
    <x v="0"/>
    <x v="2"/>
    <x v="9"/>
    <x v="0"/>
    <x v="9"/>
    <n v="-7.0106782678158703"/>
  </r>
  <r>
    <x v="0"/>
    <x v="0"/>
    <x v="0"/>
    <x v="2"/>
    <x v="9"/>
    <x v="0"/>
    <x v="10"/>
    <n v="-7.0106782678158703"/>
  </r>
  <r>
    <x v="0"/>
    <x v="0"/>
    <x v="0"/>
    <x v="2"/>
    <x v="9"/>
    <x v="0"/>
    <x v="11"/>
    <n v="-6.6380106186630297"/>
  </r>
  <r>
    <x v="0"/>
    <x v="0"/>
    <x v="0"/>
    <x v="2"/>
    <x v="9"/>
    <x v="0"/>
    <x v="12"/>
    <n v="-6.9541354358930301"/>
  </r>
  <r>
    <x v="0"/>
    <x v="0"/>
    <x v="0"/>
    <x v="2"/>
    <x v="9"/>
    <x v="0"/>
    <x v="13"/>
    <n v="-6.8593844792791998"/>
  </r>
  <r>
    <x v="0"/>
    <x v="0"/>
    <x v="0"/>
    <x v="2"/>
    <x v="9"/>
    <x v="0"/>
    <x v="14"/>
    <n v="-7.0106782678158703"/>
  </r>
  <r>
    <x v="0"/>
    <x v="0"/>
    <x v="0"/>
    <x v="2"/>
    <x v="9"/>
    <x v="0"/>
    <x v="15"/>
    <n v="-7.0106782678158703"/>
  </r>
  <r>
    <x v="0"/>
    <x v="0"/>
    <x v="0"/>
    <x v="2"/>
    <x v="9"/>
    <x v="0"/>
    <x v="16"/>
    <n v="-7.0106782678158703"/>
  </r>
  <r>
    <x v="0"/>
    <x v="0"/>
    <x v="0"/>
    <x v="2"/>
    <x v="9"/>
    <x v="0"/>
    <x v="17"/>
    <n v="-6.6619672537627697"/>
  </r>
  <r>
    <x v="0"/>
    <x v="0"/>
    <x v="0"/>
    <x v="2"/>
    <x v="9"/>
    <x v="0"/>
    <x v="18"/>
    <n v="-7.0106782678158703"/>
  </r>
  <r>
    <x v="0"/>
    <x v="0"/>
    <x v="0"/>
    <x v="2"/>
    <x v="9"/>
    <x v="0"/>
    <x v="19"/>
    <n v="-6.7202621210137501"/>
  </r>
  <r>
    <x v="0"/>
    <x v="0"/>
    <x v="0"/>
    <x v="2"/>
    <x v="9"/>
    <x v="0"/>
    <x v="20"/>
    <n v="-7.0106782678158703"/>
  </r>
  <r>
    <x v="0"/>
    <x v="0"/>
    <x v="0"/>
    <x v="2"/>
    <x v="9"/>
    <x v="0"/>
    <x v="21"/>
    <n v="-7.0106782678158703"/>
  </r>
  <r>
    <x v="0"/>
    <x v="0"/>
    <x v="0"/>
    <x v="2"/>
    <x v="9"/>
    <x v="0"/>
    <x v="22"/>
    <n v="-7.0106782678158703"/>
  </r>
  <r>
    <x v="0"/>
    <x v="0"/>
    <x v="0"/>
    <x v="2"/>
    <x v="9"/>
    <x v="0"/>
    <x v="23"/>
    <n v="-7.0106782678158703"/>
  </r>
  <r>
    <x v="0"/>
    <x v="0"/>
    <x v="0"/>
    <x v="3"/>
    <x v="5"/>
    <x v="0"/>
    <x v="0"/>
    <n v="5.4180000000000001"/>
  </r>
  <r>
    <x v="0"/>
    <x v="0"/>
    <x v="0"/>
    <x v="3"/>
    <x v="5"/>
    <x v="0"/>
    <x v="1"/>
    <n v="5.4180000000000001"/>
  </r>
  <r>
    <x v="0"/>
    <x v="0"/>
    <x v="0"/>
    <x v="3"/>
    <x v="5"/>
    <x v="0"/>
    <x v="2"/>
    <n v="5.4180000000000001"/>
  </r>
  <r>
    <x v="0"/>
    <x v="0"/>
    <x v="0"/>
    <x v="3"/>
    <x v="5"/>
    <x v="0"/>
    <x v="3"/>
    <n v="5.4180000000000001"/>
  </r>
  <r>
    <x v="0"/>
    <x v="0"/>
    <x v="0"/>
    <x v="3"/>
    <x v="5"/>
    <x v="0"/>
    <x v="4"/>
    <n v="5.4180000000000001"/>
  </r>
  <r>
    <x v="0"/>
    <x v="0"/>
    <x v="0"/>
    <x v="3"/>
    <x v="5"/>
    <x v="0"/>
    <x v="5"/>
    <n v="5.4180000000000001"/>
  </r>
  <r>
    <x v="0"/>
    <x v="0"/>
    <x v="0"/>
    <x v="3"/>
    <x v="5"/>
    <x v="0"/>
    <x v="6"/>
    <n v="2.3995171453255102"/>
  </r>
  <r>
    <x v="0"/>
    <x v="0"/>
    <x v="0"/>
    <x v="3"/>
    <x v="5"/>
    <x v="0"/>
    <x v="7"/>
    <n v="1.4632447202679399"/>
  </r>
  <r>
    <x v="0"/>
    <x v="0"/>
    <x v="0"/>
    <x v="3"/>
    <x v="5"/>
    <x v="0"/>
    <x v="8"/>
    <n v="2.8290807397494402"/>
  </r>
  <r>
    <x v="0"/>
    <x v="0"/>
    <x v="0"/>
    <x v="3"/>
    <x v="5"/>
    <x v="0"/>
    <x v="9"/>
    <n v="2.6496284169177899"/>
  </r>
  <r>
    <x v="0"/>
    <x v="0"/>
    <x v="0"/>
    <x v="3"/>
    <x v="5"/>
    <x v="0"/>
    <x v="10"/>
    <n v="3.91413667299146"/>
  </r>
  <r>
    <x v="0"/>
    <x v="0"/>
    <x v="0"/>
    <x v="3"/>
    <x v="5"/>
    <x v="0"/>
    <x v="11"/>
    <n v="4.8035443333905103"/>
  </r>
  <r>
    <x v="0"/>
    <x v="0"/>
    <x v="0"/>
    <x v="3"/>
    <x v="5"/>
    <x v="0"/>
    <x v="12"/>
    <n v="5.4180000000000001"/>
  </r>
  <r>
    <x v="0"/>
    <x v="0"/>
    <x v="0"/>
    <x v="3"/>
    <x v="5"/>
    <x v="0"/>
    <x v="13"/>
    <n v="5.4124572597186198"/>
  </r>
  <r>
    <x v="0"/>
    <x v="0"/>
    <x v="0"/>
    <x v="3"/>
    <x v="5"/>
    <x v="0"/>
    <x v="14"/>
    <n v="2.6581894023029302"/>
  </r>
  <r>
    <x v="0"/>
    <x v="0"/>
    <x v="0"/>
    <x v="3"/>
    <x v="5"/>
    <x v="0"/>
    <x v="15"/>
    <n v="2.46044540579588"/>
  </r>
  <r>
    <x v="0"/>
    <x v="0"/>
    <x v="0"/>
    <x v="3"/>
    <x v="5"/>
    <x v="0"/>
    <x v="16"/>
    <n v="0.49560358283589401"/>
  </r>
  <r>
    <x v="0"/>
    <x v="0"/>
    <x v="0"/>
    <x v="3"/>
    <x v="5"/>
    <x v="0"/>
    <x v="17"/>
    <n v="0.79914659326191495"/>
  </r>
  <r>
    <x v="0"/>
    <x v="0"/>
    <x v="0"/>
    <x v="3"/>
    <x v="5"/>
    <x v="0"/>
    <x v="18"/>
    <n v="2.2464533542924201"/>
  </r>
  <r>
    <x v="0"/>
    <x v="0"/>
    <x v="0"/>
    <x v="3"/>
    <x v="5"/>
    <x v="0"/>
    <x v="19"/>
    <n v="1.10820557135035"/>
  </r>
  <r>
    <x v="0"/>
    <x v="0"/>
    <x v="0"/>
    <x v="3"/>
    <x v="5"/>
    <x v="0"/>
    <x v="20"/>
    <n v="2.5968367439483702"/>
  </r>
  <r>
    <x v="0"/>
    <x v="0"/>
    <x v="0"/>
    <x v="3"/>
    <x v="5"/>
    <x v="0"/>
    <x v="21"/>
    <n v="4.4805804277982304"/>
  </r>
  <r>
    <x v="0"/>
    <x v="0"/>
    <x v="0"/>
    <x v="3"/>
    <x v="5"/>
    <x v="0"/>
    <x v="22"/>
    <n v="5.4180000000000001"/>
  </r>
  <r>
    <x v="0"/>
    <x v="0"/>
    <x v="0"/>
    <x v="3"/>
    <x v="5"/>
    <x v="0"/>
    <x v="23"/>
    <n v="5.4180000000000001"/>
  </r>
  <r>
    <x v="0"/>
    <x v="0"/>
    <x v="0"/>
    <x v="3"/>
    <x v="0"/>
    <x v="0"/>
    <x v="0"/>
    <n v="0"/>
  </r>
  <r>
    <x v="0"/>
    <x v="0"/>
    <x v="0"/>
    <x v="3"/>
    <x v="0"/>
    <x v="0"/>
    <x v="1"/>
    <n v="0"/>
  </r>
  <r>
    <x v="0"/>
    <x v="0"/>
    <x v="0"/>
    <x v="3"/>
    <x v="0"/>
    <x v="0"/>
    <x v="2"/>
    <n v="0"/>
  </r>
  <r>
    <x v="0"/>
    <x v="0"/>
    <x v="0"/>
    <x v="3"/>
    <x v="0"/>
    <x v="0"/>
    <x v="3"/>
    <n v="0"/>
  </r>
  <r>
    <x v="0"/>
    <x v="0"/>
    <x v="0"/>
    <x v="3"/>
    <x v="0"/>
    <x v="0"/>
    <x v="4"/>
    <n v="0"/>
  </r>
  <r>
    <x v="0"/>
    <x v="0"/>
    <x v="0"/>
    <x v="3"/>
    <x v="0"/>
    <x v="0"/>
    <x v="5"/>
    <n v="0"/>
  </r>
  <r>
    <x v="0"/>
    <x v="0"/>
    <x v="0"/>
    <x v="3"/>
    <x v="0"/>
    <x v="0"/>
    <x v="6"/>
    <n v="0"/>
  </r>
  <r>
    <x v="0"/>
    <x v="0"/>
    <x v="0"/>
    <x v="3"/>
    <x v="0"/>
    <x v="0"/>
    <x v="7"/>
    <n v="-0.53676073150586001"/>
  </r>
  <r>
    <x v="0"/>
    <x v="0"/>
    <x v="0"/>
    <x v="3"/>
    <x v="0"/>
    <x v="0"/>
    <x v="8"/>
    <n v="-1.09046168277752"/>
  </r>
  <r>
    <x v="0"/>
    <x v="0"/>
    <x v="0"/>
    <x v="3"/>
    <x v="0"/>
    <x v="0"/>
    <x v="9"/>
    <n v="-0.12777109058622799"/>
  </r>
  <r>
    <x v="0"/>
    <x v="0"/>
    <x v="0"/>
    <x v="3"/>
    <x v="0"/>
    <x v="0"/>
    <x v="10"/>
    <n v="0"/>
  </r>
  <r>
    <x v="0"/>
    <x v="0"/>
    <x v="0"/>
    <x v="3"/>
    <x v="0"/>
    <x v="0"/>
    <x v="11"/>
    <n v="0"/>
  </r>
  <r>
    <x v="0"/>
    <x v="0"/>
    <x v="0"/>
    <x v="3"/>
    <x v="0"/>
    <x v="0"/>
    <x v="12"/>
    <n v="0"/>
  </r>
  <r>
    <x v="0"/>
    <x v="0"/>
    <x v="0"/>
    <x v="3"/>
    <x v="0"/>
    <x v="0"/>
    <x v="13"/>
    <n v="0"/>
  </r>
  <r>
    <x v="0"/>
    <x v="0"/>
    <x v="0"/>
    <x v="3"/>
    <x v="0"/>
    <x v="0"/>
    <x v="14"/>
    <n v="0"/>
  </r>
  <r>
    <x v="0"/>
    <x v="0"/>
    <x v="0"/>
    <x v="3"/>
    <x v="0"/>
    <x v="0"/>
    <x v="15"/>
    <n v="-8.3941514139053902E-2"/>
  </r>
  <r>
    <x v="0"/>
    <x v="0"/>
    <x v="0"/>
    <x v="3"/>
    <x v="0"/>
    <x v="0"/>
    <x v="16"/>
    <n v="-2.9753281355585398E-3"/>
  </r>
  <r>
    <x v="0"/>
    <x v="0"/>
    <x v="0"/>
    <x v="3"/>
    <x v="0"/>
    <x v="0"/>
    <x v="17"/>
    <n v="-0.61061900724186002"/>
  </r>
  <r>
    <x v="0"/>
    <x v="0"/>
    <x v="0"/>
    <x v="3"/>
    <x v="0"/>
    <x v="0"/>
    <x v="18"/>
    <n v="-1.2688335906627"/>
  </r>
  <r>
    <x v="0"/>
    <x v="0"/>
    <x v="0"/>
    <x v="3"/>
    <x v="0"/>
    <x v="0"/>
    <x v="19"/>
    <n v="-2.2235363752613599"/>
  </r>
  <r>
    <x v="0"/>
    <x v="0"/>
    <x v="0"/>
    <x v="3"/>
    <x v="0"/>
    <x v="0"/>
    <x v="20"/>
    <n v="-1.368867547759"/>
  </r>
  <r>
    <x v="0"/>
    <x v="0"/>
    <x v="0"/>
    <x v="3"/>
    <x v="0"/>
    <x v="0"/>
    <x v="21"/>
    <n v="0"/>
  </r>
  <r>
    <x v="0"/>
    <x v="0"/>
    <x v="0"/>
    <x v="3"/>
    <x v="0"/>
    <x v="0"/>
    <x v="22"/>
    <n v="0"/>
  </r>
  <r>
    <x v="0"/>
    <x v="0"/>
    <x v="0"/>
    <x v="3"/>
    <x v="0"/>
    <x v="0"/>
    <x v="23"/>
    <n v="-0.12049153186792599"/>
  </r>
  <r>
    <x v="0"/>
    <x v="0"/>
    <x v="0"/>
    <x v="3"/>
    <x v="1"/>
    <x v="0"/>
    <x v="0"/>
    <n v="-3.1958420251641999"/>
  </r>
  <r>
    <x v="0"/>
    <x v="0"/>
    <x v="0"/>
    <x v="3"/>
    <x v="1"/>
    <x v="0"/>
    <x v="1"/>
    <n v="0"/>
  </r>
  <r>
    <x v="0"/>
    <x v="0"/>
    <x v="0"/>
    <x v="3"/>
    <x v="1"/>
    <x v="0"/>
    <x v="2"/>
    <n v="-1.50258594494735"/>
  </r>
  <r>
    <x v="0"/>
    <x v="0"/>
    <x v="0"/>
    <x v="3"/>
    <x v="1"/>
    <x v="0"/>
    <x v="3"/>
    <n v="-1.87356781294743"/>
  </r>
  <r>
    <x v="0"/>
    <x v="0"/>
    <x v="0"/>
    <x v="3"/>
    <x v="1"/>
    <x v="0"/>
    <x v="4"/>
    <n v="-5.17325484650432"/>
  </r>
  <r>
    <x v="0"/>
    <x v="0"/>
    <x v="0"/>
    <x v="3"/>
    <x v="1"/>
    <x v="0"/>
    <x v="5"/>
    <n v="-3.9243331141792099"/>
  </r>
  <r>
    <x v="0"/>
    <x v="0"/>
    <x v="0"/>
    <x v="3"/>
    <x v="1"/>
    <x v="0"/>
    <x v="6"/>
    <n v="-2.3473467740124301"/>
  </r>
  <r>
    <x v="0"/>
    <x v="0"/>
    <x v="0"/>
    <x v="3"/>
    <x v="1"/>
    <x v="0"/>
    <x v="7"/>
    <n v="-2.4439156856753699"/>
  </r>
  <r>
    <x v="0"/>
    <x v="0"/>
    <x v="0"/>
    <x v="3"/>
    <x v="1"/>
    <x v="0"/>
    <x v="8"/>
    <n v="-3.4599048411024"/>
  </r>
  <r>
    <x v="0"/>
    <x v="0"/>
    <x v="0"/>
    <x v="3"/>
    <x v="1"/>
    <x v="0"/>
    <x v="9"/>
    <n v="-4.0501790308220302"/>
  </r>
  <r>
    <x v="0"/>
    <x v="0"/>
    <x v="0"/>
    <x v="3"/>
    <x v="1"/>
    <x v="0"/>
    <x v="10"/>
    <n v="-5.06074023603479"/>
  </r>
  <r>
    <x v="0"/>
    <x v="0"/>
    <x v="0"/>
    <x v="3"/>
    <x v="1"/>
    <x v="0"/>
    <x v="11"/>
    <n v="-6.8016124238606404"/>
  </r>
  <r>
    <x v="0"/>
    <x v="0"/>
    <x v="0"/>
    <x v="3"/>
    <x v="1"/>
    <x v="0"/>
    <x v="12"/>
    <n v="-6.4108807964545598"/>
  </r>
  <r>
    <x v="0"/>
    <x v="0"/>
    <x v="0"/>
    <x v="3"/>
    <x v="1"/>
    <x v="0"/>
    <x v="13"/>
    <n v="-6.9369610016587702"/>
  </r>
  <r>
    <x v="0"/>
    <x v="0"/>
    <x v="0"/>
    <x v="3"/>
    <x v="1"/>
    <x v="0"/>
    <x v="14"/>
    <n v="-4.2291788644913098"/>
  </r>
  <r>
    <x v="0"/>
    <x v="0"/>
    <x v="0"/>
    <x v="3"/>
    <x v="1"/>
    <x v="0"/>
    <x v="15"/>
    <n v="-2.3938316493404699"/>
  </r>
  <r>
    <x v="0"/>
    <x v="0"/>
    <x v="0"/>
    <x v="3"/>
    <x v="1"/>
    <x v="0"/>
    <x v="16"/>
    <n v="0"/>
  </r>
  <r>
    <x v="0"/>
    <x v="0"/>
    <x v="0"/>
    <x v="3"/>
    <x v="1"/>
    <x v="0"/>
    <x v="17"/>
    <n v="0"/>
  </r>
  <r>
    <x v="0"/>
    <x v="0"/>
    <x v="0"/>
    <x v="3"/>
    <x v="1"/>
    <x v="0"/>
    <x v="18"/>
    <n v="0"/>
  </r>
  <r>
    <x v="0"/>
    <x v="0"/>
    <x v="0"/>
    <x v="3"/>
    <x v="1"/>
    <x v="0"/>
    <x v="19"/>
    <n v="0"/>
  </r>
  <r>
    <x v="0"/>
    <x v="0"/>
    <x v="0"/>
    <x v="3"/>
    <x v="1"/>
    <x v="0"/>
    <x v="20"/>
    <n v="0"/>
  </r>
  <r>
    <x v="0"/>
    <x v="0"/>
    <x v="0"/>
    <x v="3"/>
    <x v="1"/>
    <x v="0"/>
    <x v="21"/>
    <n v="-1.5265840774275801"/>
  </r>
  <r>
    <x v="0"/>
    <x v="0"/>
    <x v="0"/>
    <x v="3"/>
    <x v="1"/>
    <x v="0"/>
    <x v="22"/>
    <n v="-1.87644347115107"/>
  </r>
  <r>
    <x v="0"/>
    <x v="0"/>
    <x v="0"/>
    <x v="3"/>
    <x v="1"/>
    <x v="0"/>
    <x v="23"/>
    <n v="0"/>
  </r>
  <r>
    <x v="0"/>
    <x v="0"/>
    <x v="0"/>
    <x v="3"/>
    <x v="9"/>
    <x v="0"/>
    <x v="0"/>
    <n v="-2.79"/>
  </r>
  <r>
    <x v="0"/>
    <x v="0"/>
    <x v="0"/>
    <x v="3"/>
    <x v="9"/>
    <x v="0"/>
    <x v="1"/>
    <n v="-2.79"/>
  </r>
  <r>
    <x v="0"/>
    <x v="0"/>
    <x v="0"/>
    <x v="3"/>
    <x v="9"/>
    <x v="0"/>
    <x v="2"/>
    <n v="-2.79"/>
  </r>
  <r>
    <x v="0"/>
    <x v="0"/>
    <x v="0"/>
    <x v="3"/>
    <x v="9"/>
    <x v="0"/>
    <x v="3"/>
    <n v="-2.79"/>
  </r>
  <r>
    <x v="0"/>
    <x v="0"/>
    <x v="0"/>
    <x v="3"/>
    <x v="9"/>
    <x v="0"/>
    <x v="4"/>
    <n v="-2.79"/>
  </r>
  <r>
    <x v="0"/>
    <x v="0"/>
    <x v="0"/>
    <x v="3"/>
    <x v="9"/>
    <x v="0"/>
    <x v="5"/>
    <n v="-2.79"/>
  </r>
  <r>
    <x v="0"/>
    <x v="0"/>
    <x v="0"/>
    <x v="3"/>
    <x v="9"/>
    <x v="0"/>
    <x v="6"/>
    <n v="-2.79"/>
  </r>
  <r>
    <x v="0"/>
    <x v="0"/>
    <x v="0"/>
    <x v="3"/>
    <x v="9"/>
    <x v="0"/>
    <x v="7"/>
    <n v="-2.79"/>
  </r>
  <r>
    <x v="0"/>
    <x v="0"/>
    <x v="0"/>
    <x v="3"/>
    <x v="9"/>
    <x v="0"/>
    <x v="8"/>
    <n v="-2.79"/>
  </r>
  <r>
    <x v="0"/>
    <x v="0"/>
    <x v="0"/>
    <x v="3"/>
    <x v="9"/>
    <x v="0"/>
    <x v="9"/>
    <n v="-2.79"/>
  </r>
  <r>
    <x v="0"/>
    <x v="0"/>
    <x v="0"/>
    <x v="3"/>
    <x v="9"/>
    <x v="0"/>
    <x v="10"/>
    <n v="-2.79"/>
  </r>
  <r>
    <x v="0"/>
    <x v="0"/>
    <x v="0"/>
    <x v="3"/>
    <x v="9"/>
    <x v="0"/>
    <x v="11"/>
    <n v="-2.79"/>
  </r>
  <r>
    <x v="0"/>
    <x v="0"/>
    <x v="0"/>
    <x v="3"/>
    <x v="9"/>
    <x v="0"/>
    <x v="12"/>
    <n v="-2.79"/>
  </r>
  <r>
    <x v="0"/>
    <x v="0"/>
    <x v="0"/>
    <x v="3"/>
    <x v="9"/>
    <x v="0"/>
    <x v="13"/>
    <n v="-2.79"/>
  </r>
  <r>
    <x v="0"/>
    <x v="0"/>
    <x v="0"/>
    <x v="3"/>
    <x v="9"/>
    <x v="0"/>
    <x v="14"/>
    <n v="-2.79"/>
  </r>
  <r>
    <x v="0"/>
    <x v="0"/>
    <x v="0"/>
    <x v="3"/>
    <x v="9"/>
    <x v="0"/>
    <x v="15"/>
    <n v="-2.79"/>
  </r>
  <r>
    <x v="0"/>
    <x v="0"/>
    <x v="0"/>
    <x v="3"/>
    <x v="9"/>
    <x v="0"/>
    <x v="16"/>
    <n v="-2.79"/>
  </r>
  <r>
    <x v="0"/>
    <x v="0"/>
    <x v="0"/>
    <x v="3"/>
    <x v="9"/>
    <x v="0"/>
    <x v="17"/>
    <n v="-2.79"/>
  </r>
  <r>
    <x v="0"/>
    <x v="0"/>
    <x v="0"/>
    <x v="3"/>
    <x v="9"/>
    <x v="0"/>
    <x v="18"/>
    <n v="-2.79"/>
  </r>
  <r>
    <x v="0"/>
    <x v="0"/>
    <x v="0"/>
    <x v="3"/>
    <x v="9"/>
    <x v="0"/>
    <x v="19"/>
    <n v="-2.3967026608340598"/>
  </r>
  <r>
    <x v="0"/>
    <x v="0"/>
    <x v="0"/>
    <x v="3"/>
    <x v="9"/>
    <x v="0"/>
    <x v="20"/>
    <n v="-2.79"/>
  </r>
  <r>
    <x v="0"/>
    <x v="0"/>
    <x v="0"/>
    <x v="3"/>
    <x v="9"/>
    <x v="0"/>
    <x v="21"/>
    <n v="-2.79"/>
  </r>
  <r>
    <x v="0"/>
    <x v="0"/>
    <x v="0"/>
    <x v="3"/>
    <x v="9"/>
    <x v="0"/>
    <x v="22"/>
    <n v="-2.79"/>
  </r>
  <r>
    <x v="0"/>
    <x v="0"/>
    <x v="0"/>
    <x v="3"/>
    <x v="9"/>
    <x v="0"/>
    <x v="23"/>
    <n v="-2.79"/>
  </r>
  <r>
    <x v="0"/>
    <x v="0"/>
    <x v="0"/>
    <x v="4"/>
    <x v="0"/>
    <x v="0"/>
    <x v="0"/>
    <n v="0"/>
  </r>
  <r>
    <x v="0"/>
    <x v="0"/>
    <x v="0"/>
    <x v="4"/>
    <x v="0"/>
    <x v="0"/>
    <x v="1"/>
    <n v="0"/>
  </r>
  <r>
    <x v="0"/>
    <x v="0"/>
    <x v="0"/>
    <x v="4"/>
    <x v="0"/>
    <x v="0"/>
    <x v="2"/>
    <n v="0"/>
  </r>
  <r>
    <x v="0"/>
    <x v="0"/>
    <x v="0"/>
    <x v="4"/>
    <x v="0"/>
    <x v="0"/>
    <x v="3"/>
    <n v="0"/>
  </r>
  <r>
    <x v="0"/>
    <x v="0"/>
    <x v="0"/>
    <x v="4"/>
    <x v="0"/>
    <x v="0"/>
    <x v="4"/>
    <n v="0"/>
  </r>
  <r>
    <x v="0"/>
    <x v="0"/>
    <x v="0"/>
    <x v="4"/>
    <x v="0"/>
    <x v="0"/>
    <x v="5"/>
    <n v="0.317720980238274"/>
  </r>
  <r>
    <x v="0"/>
    <x v="0"/>
    <x v="0"/>
    <x v="4"/>
    <x v="0"/>
    <x v="0"/>
    <x v="6"/>
    <n v="1.6020000000000001"/>
  </r>
  <r>
    <x v="0"/>
    <x v="0"/>
    <x v="0"/>
    <x v="4"/>
    <x v="0"/>
    <x v="0"/>
    <x v="7"/>
    <n v="1.6020000000000001"/>
  </r>
  <r>
    <x v="0"/>
    <x v="0"/>
    <x v="0"/>
    <x v="4"/>
    <x v="0"/>
    <x v="0"/>
    <x v="8"/>
    <n v="1.6020000000000001"/>
  </r>
  <r>
    <x v="0"/>
    <x v="0"/>
    <x v="0"/>
    <x v="4"/>
    <x v="0"/>
    <x v="0"/>
    <x v="9"/>
    <n v="1.6020000000000001"/>
  </r>
  <r>
    <x v="0"/>
    <x v="0"/>
    <x v="0"/>
    <x v="4"/>
    <x v="0"/>
    <x v="0"/>
    <x v="10"/>
    <n v="1.6020000000000001"/>
  </r>
  <r>
    <x v="0"/>
    <x v="0"/>
    <x v="0"/>
    <x v="4"/>
    <x v="0"/>
    <x v="0"/>
    <x v="11"/>
    <n v="1.2916540907732099"/>
  </r>
  <r>
    <x v="0"/>
    <x v="0"/>
    <x v="0"/>
    <x v="4"/>
    <x v="0"/>
    <x v="0"/>
    <x v="12"/>
    <n v="0.19959721812494999"/>
  </r>
  <r>
    <x v="0"/>
    <x v="0"/>
    <x v="0"/>
    <x v="4"/>
    <x v="0"/>
    <x v="0"/>
    <x v="13"/>
    <n v="0.212799377693592"/>
  </r>
  <r>
    <x v="0"/>
    <x v="0"/>
    <x v="0"/>
    <x v="4"/>
    <x v="0"/>
    <x v="0"/>
    <x v="14"/>
    <n v="1.6020000000000001"/>
  </r>
  <r>
    <x v="0"/>
    <x v="0"/>
    <x v="0"/>
    <x v="4"/>
    <x v="0"/>
    <x v="0"/>
    <x v="15"/>
    <n v="1.6020000000000001"/>
  </r>
  <r>
    <x v="0"/>
    <x v="0"/>
    <x v="0"/>
    <x v="4"/>
    <x v="0"/>
    <x v="0"/>
    <x v="16"/>
    <n v="1.6020000000000001"/>
  </r>
  <r>
    <x v="0"/>
    <x v="0"/>
    <x v="0"/>
    <x v="4"/>
    <x v="0"/>
    <x v="0"/>
    <x v="17"/>
    <n v="1.6020000000000001"/>
  </r>
  <r>
    <x v="0"/>
    <x v="0"/>
    <x v="0"/>
    <x v="4"/>
    <x v="0"/>
    <x v="0"/>
    <x v="18"/>
    <n v="1.6020000000000001"/>
  </r>
  <r>
    <x v="0"/>
    <x v="0"/>
    <x v="0"/>
    <x v="4"/>
    <x v="0"/>
    <x v="0"/>
    <x v="19"/>
    <n v="1.6020000000000001"/>
  </r>
  <r>
    <x v="0"/>
    <x v="0"/>
    <x v="0"/>
    <x v="4"/>
    <x v="0"/>
    <x v="0"/>
    <x v="20"/>
    <n v="1.2528751231039199"/>
  </r>
  <r>
    <x v="0"/>
    <x v="0"/>
    <x v="0"/>
    <x v="4"/>
    <x v="0"/>
    <x v="0"/>
    <x v="21"/>
    <n v="0.51772579026078902"/>
  </r>
  <r>
    <x v="0"/>
    <x v="0"/>
    <x v="0"/>
    <x v="4"/>
    <x v="0"/>
    <x v="0"/>
    <x v="22"/>
    <n v="0.78889897168787704"/>
  </r>
  <r>
    <x v="0"/>
    <x v="0"/>
    <x v="0"/>
    <x v="4"/>
    <x v="0"/>
    <x v="0"/>
    <x v="23"/>
    <n v="0.77794997340268501"/>
  </r>
  <r>
    <x v="0"/>
    <x v="0"/>
    <x v="0"/>
    <x v="4"/>
    <x v="3"/>
    <x v="0"/>
    <x v="0"/>
    <n v="0"/>
  </r>
  <r>
    <x v="0"/>
    <x v="0"/>
    <x v="0"/>
    <x v="4"/>
    <x v="3"/>
    <x v="0"/>
    <x v="1"/>
    <n v="0.13363123702211099"/>
  </r>
  <r>
    <x v="0"/>
    <x v="0"/>
    <x v="0"/>
    <x v="4"/>
    <x v="3"/>
    <x v="0"/>
    <x v="2"/>
    <n v="0.150184752970628"/>
  </r>
  <r>
    <x v="0"/>
    <x v="0"/>
    <x v="0"/>
    <x v="4"/>
    <x v="3"/>
    <x v="0"/>
    <x v="3"/>
    <n v="0.181485767727327"/>
  </r>
  <r>
    <x v="0"/>
    <x v="0"/>
    <x v="0"/>
    <x v="4"/>
    <x v="3"/>
    <x v="0"/>
    <x v="4"/>
    <n v="0.284949999809256"/>
  </r>
  <r>
    <x v="0"/>
    <x v="0"/>
    <x v="0"/>
    <x v="4"/>
    <x v="3"/>
    <x v="0"/>
    <x v="5"/>
    <n v="0"/>
  </r>
  <r>
    <x v="0"/>
    <x v="0"/>
    <x v="0"/>
    <x v="4"/>
    <x v="3"/>
    <x v="0"/>
    <x v="6"/>
    <n v="0.54"/>
  </r>
  <r>
    <x v="0"/>
    <x v="0"/>
    <x v="0"/>
    <x v="4"/>
    <x v="3"/>
    <x v="0"/>
    <x v="7"/>
    <n v="0.54"/>
  </r>
  <r>
    <x v="0"/>
    <x v="0"/>
    <x v="0"/>
    <x v="4"/>
    <x v="3"/>
    <x v="0"/>
    <x v="8"/>
    <n v="0.54"/>
  </r>
  <r>
    <x v="0"/>
    <x v="0"/>
    <x v="0"/>
    <x v="4"/>
    <x v="3"/>
    <x v="0"/>
    <x v="9"/>
    <n v="0.54"/>
  </r>
  <r>
    <x v="0"/>
    <x v="0"/>
    <x v="0"/>
    <x v="4"/>
    <x v="3"/>
    <x v="0"/>
    <x v="10"/>
    <n v="0.54"/>
  </r>
  <r>
    <x v="0"/>
    <x v="0"/>
    <x v="0"/>
    <x v="4"/>
    <x v="3"/>
    <x v="0"/>
    <x v="11"/>
    <n v="0.54"/>
  </r>
  <r>
    <x v="0"/>
    <x v="0"/>
    <x v="0"/>
    <x v="4"/>
    <x v="3"/>
    <x v="0"/>
    <x v="12"/>
    <n v="0.54"/>
  </r>
  <r>
    <x v="0"/>
    <x v="0"/>
    <x v="0"/>
    <x v="4"/>
    <x v="3"/>
    <x v="0"/>
    <x v="13"/>
    <n v="0.54"/>
  </r>
  <r>
    <x v="0"/>
    <x v="0"/>
    <x v="0"/>
    <x v="4"/>
    <x v="3"/>
    <x v="0"/>
    <x v="14"/>
    <n v="0.54"/>
  </r>
  <r>
    <x v="0"/>
    <x v="0"/>
    <x v="0"/>
    <x v="4"/>
    <x v="3"/>
    <x v="0"/>
    <x v="15"/>
    <n v="0.54"/>
  </r>
  <r>
    <x v="0"/>
    <x v="0"/>
    <x v="0"/>
    <x v="4"/>
    <x v="3"/>
    <x v="0"/>
    <x v="16"/>
    <n v="0.54"/>
  </r>
  <r>
    <x v="0"/>
    <x v="0"/>
    <x v="0"/>
    <x v="4"/>
    <x v="3"/>
    <x v="0"/>
    <x v="17"/>
    <n v="0.54"/>
  </r>
  <r>
    <x v="0"/>
    <x v="0"/>
    <x v="0"/>
    <x v="4"/>
    <x v="3"/>
    <x v="0"/>
    <x v="18"/>
    <n v="0.54"/>
  </r>
  <r>
    <x v="0"/>
    <x v="0"/>
    <x v="0"/>
    <x v="4"/>
    <x v="3"/>
    <x v="0"/>
    <x v="19"/>
    <n v="0.54"/>
  </r>
  <r>
    <x v="0"/>
    <x v="0"/>
    <x v="0"/>
    <x v="4"/>
    <x v="3"/>
    <x v="0"/>
    <x v="20"/>
    <n v="0.54"/>
  </r>
  <r>
    <x v="0"/>
    <x v="0"/>
    <x v="0"/>
    <x v="4"/>
    <x v="3"/>
    <x v="0"/>
    <x v="21"/>
    <n v="0.54"/>
  </r>
  <r>
    <x v="0"/>
    <x v="0"/>
    <x v="0"/>
    <x v="4"/>
    <x v="3"/>
    <x v="0"/>
    <x v="22"/>
    <n v="0.54"/>
  </r>
  <r>
    <x v="0"/>
    <x v="0"/>
    <x v="0"/>
    <x v="4"/>
    <x v="3"/>
    <x v="0"/>
    <x v="23"/>
    <n v="0.54"/>
  </r>
  <r>
    <x v="0"/>
    <x v="0"/>
    <x v="0"/>
    <x v="4"/>
    <x v="9"/>
    <x v="0"/>
    <x v="0"/>
    <n v="0"/>
  </r>
  <r>
    <x v="0"/>
    <x v="0"/>
    <x v="0"/>
    <x v="4"/>
    <x v="9"/>
    <x v="0"/>
    <x v="1"/>
    <n v="0"/>
  </r>
  <r>
    <x v="0"/>
    <x v="0"/>
    <x v="0"/>
    <x v="4"/>
    <x v="9"/>
    <x v="0"/>
    <x v="2"/>
    <n v="0"/>
  </r>
  <r>
    <x v="0"/>
    <x v="0"/>
    <x v="0"/>
    <x v="4"/>
    <x v="9"/>
    <x v="0"/>
    <x v="3"/>
    <n v="0"/>
  </r>
  <r>
    <x v="0"/>
    <x v="0"/>
    <x v="0"/>
    <x v="4"/>
    <x v="9"/>
    <x v="0"/>
    <x v="4"/>
    <n v="0"/>
  </r>
  <r>
    <x v="0"/>
    <x v="0"/>
    <x v="0"/>
    <x v="4"/>
    <x v="9"/>
    <x v="0"/>
    <x v="5"/>
    <n v="0"/>
  </r>
  <r>
    <x v="0"/>
    <x v="0"/>
    <x v="0"/>
    <x v="4"/>
    <x v="9"/>
    <x v="0"/>
    <x v="6"/>
    <n v="0"/>
  </r>
  <r>
    <x v="0"/>
    <x v="0"/>
    <x v="0"/>
    <x v="4"/>
    <x v="9"/>
    <x v="0"/>
    <x v="7"/>
    <n v="0"/>
  </r>
  <r>
    <x v="0"/>
    <x v="0"/>
    <x v="0"/>
    <x v="4"/>
    <x v="9"/>
    <x v="0"/>
    <x v="8"/>
    <n v="0"/>
  </r>
  <r>
    <x v="0"/>
    <x v="0"/>
    <x v="0"/>
    <x v="4"/>
    <x v="9"/>
    <x v="0"/>
    <x v="9"/>
    <n v="0"/>
  </r>
  <r>
    <x v="0"/>
    <x v="0"/>
    <x v="0"/>
    <x v="4"/>
    <x v="9"/>
    <x v="0"/>
    <x v="10"/>
    <n v="0"/>
  </r>
  <r>
    <x v="0"/>
    <x v="0"/>
    <x v="0"/>
    <x v="4"/>
    <x v="9"/>
    <x v="0"/>
    <x v="11"/>
    <n v="0"/>
  </r>
  <r>
    <x v="0"/>
    <x v="0"/>
    <x v="0"/>
    <x v="4"/>
    <x v="9"/>
    <x v="0"/>
    <x v="12"/>
    <n v="0"/>
  </r>
  <r>
    <x v="0"/>
    <x v="0"/>
    <x v="0"/>
    <x v="4"/>
    <x v="9"/>
    <x v="0"/>
    <x v="13"/>
    <n v="0"/>
  </r>
  <r>
    <x v="0"/>
    <x v="0"/>
    <x v="0"/>
    <x v="4"/>
    <x v="9"/>
    <x v="0"/>
    <x v="14"/>
    <n v="0"/>
  </r>
  <r>
    <x v="0"/>
    <x v="0"/>
    <x v="0"/>
    <x v="4"/>
    <x v="9"/>
    <x v="0"/>
    <x v="15"/>
    <n v="0"/>
  </r>
  <r>
    <x v="0"/>
    <x v="0"/>
    <x v="0"/>
    <x v="4"/>
    <x v="9"/>
    <x v="0"/>
    <x v="16"/>
    <n v="0"/>
  </r>
  <r>
    <x v="0"/>
    <x v="0"/>
    <x v="0"/>
    <x v="4"/>
    <x v="9"/>
    <x v="0"/>
    <x v="17"/>
    <n v="0"/>
  </r>
  <r>
    <x v="0"/>
    <x v="0"/>
    <x v="0"/>
    <x v="4"/>
    <x v="9"/>
    <x v="0"/>
    <x v="18"/>
    <n v="0"/>
  </r>
  <r>
    <x v="0"/>
    <x v="0"/>
    <x v="0"/>
    <x v="4"/>
    <x v="9"/>
    <x v="0"/>
    <x v="19"/>
    <n v="0"/>
  </r>
  <r>
    <x v="0"/>
    <x v="0"/>
    <x v="0"/>
    <x v="4"/>
    <x v="9"/>
    <x v="0"/>
    <x v="20"/>
    <n v="0"/>
  </r>
  <r>
    <x v="0"/>
    <x v="0"/>
    <x v="0"/>
    <x v="4"/>
    <x v="9"/>
    <x v="0"/>
    <x v="21"/>
    <n v="0"/>
  </r>
  <r>
    <x v="0"/>
    <x v="0"/>
    <x v="0"/>
    <x v="4"/>
    <x v="9"/>
    <x v="0"/>
    <x v="22"/>
    <n v="0"/>
  </r>
  <r>
    <x v="0"/>
    <x v="0"/>
    <x v="0"/>
    <x v="4"/>
    <x v="9"/>
    <x v="0"/>
    <x v="23"/>
    <n v="0"/>
  </r>
  <r>
    <x v="0"/>
    <x v="0"/>
    <x v="0"/>
    <x v="4"/>
    <x v="7"/>
    <x v="0"/>
    <x v="0"/>
    <n v="0"/>
  </r>
  <r>
    <x v="0"/>
    <x v="0"/>
    <x v="0"/>
    <x v="4"/>
    <x v="7"/>
    <x v="0"/>
    <x v="1"/>
    <n v="0"/>
  </r>
  <r>
    <x v="0"/>
    <x v="0"/>
    <x v="0"/>
    <x v="4"/>
    <x v="7"/>
    <x v="0"/>
    <x v="2"/>
    <n v="0"/>
  </r>
  <r>
    <x v="0"/>
    <x v="0"/>
    <x v="0"/>
    <x v="4"/>
    <x v="7"/>
    <x v="0"/>
    <x v="3"/>
    <n v="0"/>
  </r>
  <r>
    <x v="0"/>
    <x v="0"/>
    <x v="0"/>
    <x v="4"/>
    <x v="7"/>
    <x v="0"/>
    <x v="4"/>
    <n v="0"/>
  </r>
  <r>
    <x v="0"/>
    <x v="0"/>
    <x v="0"/>
    <x v="4"/>
    <x v="7"/>
    <x v="0"/>
    <x v="5"/>
    <n v="-0.87545466922027004"/>
  </r>
  <r>
    <x v="0"/>
    <x v="0"/>
    <x v="0"/>
    <x v="4"/>
    <x v="7"/>
    <x v="0"/>
    <x v="6"/>
    <n v="-1.53"/>
  </r>
  <r>
    <x v="0"/>
    <x v="0"/>
    <x v="0"/>
    <x v="4"/>
    <x v="7"/>
    <x v="0"/>
    <x v="7"/>
    <n v="-1.53"/>
  </r>
  <r>
    <x v="0"/>
    <x v="0"/>
    <x v="0"/>
    <x v="4"/>
    <x v="7"/>
    <x v="0"/>
    <x v="8"/>
    <n v="-1.53"/>
  </r>
  <r>
    <x v="0"/>
    <x v="0"/>
    <x v="0"/>
    <x v="4"/>
    <x v="7"/>
    <x v="0"/>
    <x v="9"/>
    <n v="-1.53"/>
  </r>
  <r>
    <x v="0"/>
    <x v="0"/>
    <x v="0"/>
    <x v="4"/>
    <x v="7"/>
    <x v="0"/>
    <x v="10"/>
    <n v="-1.53"/>
  </r>
  <r>
    <x v="0"/>
    <x v="0"/>
    <x v="0"/>
    <x v="4"/>
    <x v="7"/>
    <x v="0"/>
    <x v="11"/>
    <n v="-1.50966712130214"/>
  </r>
  <r>
    <x v="0"/>
    <x v="0"/>
    <x v="0"/>
    <x v="4"/>
    <x v="7"/>
    <x v="0"/>
    <x v="12"/>
    <n v="-0.924839262450461"/>
  </r>
  <r>
    <x v="0"/>
    <x v="0"/>
    <x v="0"/>
    <x v="4"/>
    <x v="7"/>
    <x v="0"/>
    <x v="13"/>
    <n v="-0.47372110026400499"/>
  </r>
  <r>
    <x v="0"/>
    <x v="0"/>
    <x v="0"/>
    <x v="4"/>
    <x v="7"/>
    <x v="0"/>
    <x v="14"/>
    <n v="-1.21832023472659"/>
  </r>
  <r>
    <x v="0"/>
    <x v="0"/>
    <x v="0"/>
    <x v="4"/>
    <x v="7"/>
    <x v="0"/>
    <x v="15"/>
    <n v="-1.53"/>
  </r>
  <r>
    <x v="0"/>
    <x v="0"/>
    <x v="0"/>
    <x v="4"/>
    <x v="7"/>
    <x v="0"/>
    <x v="16"/>
    <n v="-0.70892172459908898"/>
  </r>
  <r>
    <x v="0"/>
    <x v="0"/>
    <x v="0"/>
    <x v="4"/>
    <x v="7"/>
    <x v="0"/>
    <x v="17"/>
    <n v="-0.32241463630386502"/>
  </r>
  <r>
    <x v="0"/>
    <x v="0"/>
    <x v="0"/>
    <x v="4"/>
    <x v="7"/>
    <x v="0"/>
    <x v="18"/>
    <n v="-0.170918619910917"/>
  </r>
  <r>
    <x v="0"/>
    <x v="0"/>
    <x v="0"/>
    <x v="4"/>
    <x v="7"/>
    <x v="0"/>
    <x v="19"/>
    <n v="8.6231305714471698E-2"/>
  </r>
  <r>
    <x v="0"/>
    <x v="0"/>
    <x v="0"/>
    <x v="4"/>
    <x v="7"/>
    <x v="0"/>
    <x v="20"/>
    <n v="0.59616915054310804"/>
  </r>
  <r>
    <x v="0"/>
    <x v="0"/>
    <x v="0"/>
    <x v="4"/>
    <x v="7"/>
    <x v="0"/>
    <x v="21"/>
    <n v="1.53"/>
  </r>
  <r>
    <x v="0"/>
    <x v="0"/>
    <x v="0"/>
    <x v="4"/>
    <x v="7"/>
    <x v="0"/>
    <x v="22"/>
    <n v="1.53"/>
  </r>
  <r>
    <x v="0"/>
    <x v="0"/>
    <x v="0"/>
    <x v="4"/>
    <x v="7"/>
    <x v="0"/>
    <x v="23"/>
    <n v="1.53"/>
  </r>
  <r>
    <x v="0"/>
    <x v="0"/>
    <x v="0"/>
    <x v="4"/>
    <x v="10"/>
    <x v="0"/>
    <x v="0"/>
    <n v="0.11480134772819001"/>
  </r>
  <r>
    <x v="0"/>
    <x v="0"/>
    <x v="0"/>
    <x v="4"/>
    <x v="10"/>
    <x v="0"/>
    <x v="1"/>
    <n v="0"/>
  </r>
  <r>
    <x v="0"/>
    <x v="0"/>
    <x v="0"/>
    <x v="4"/>
    <x v="10"/>
    <x v="0"/>
    <x v="2"/>
    <n v="0"/>
  </r>
  <r>
    <x v="0"/>
    <x v="0"/>
    <x v="0"/>
    <x v="4"/>
    <x v="10"/>
    <x v="0"/>
    <x v="3"/>
    <n v="0"/>
  </r>
  <r>
    <x v="0"/>
    <x v="0"/>
    <x v="0"/>
    <x v="4"/>
    <x v="10"/>
    <x v="0"/>
    <x v="4"/>
    <n v="0"/>
  </r>
  <r>
    <x v="0"/>
    <x v="0"/>
    <x v="0"/>
    <x v="4"/>
    <x v="10"/>
    <x v="0"/>
    <x v="5"/>
    <n v="0.66600000000000004"/>
  </r>
  <r>
    <x v="0"/>
    <x v="0"/>
    <x v="0"/>
    <x v="4"/>
    <x v="10"/>
    <x v="0"/>
    <x v="6"/>
    <n v="-0.61199999999999999"/>
  </r>
  <r>
    <x v="0"/>
    <x v="0"/>
    <x v="0"/>
    <x v="4"/>
    <x v="10"/>
    <x v="0"/>
    <x v="7"/>
    <n v="-0.61199999999999999"/>
  </r>
  <r>
    <x v="0"/>
    <x v="0"/>
    <x v="0"/>
    <x v="4"/>
    <x v="10"/>
    <x v="0"/>
    <x v="8"/>
    <n v="-0.61199999999999999"/>
  </r>
  <r>
    <x v="0"/>
    <x v="0"/>
    <x v="0"/>
    <x v="4"/>
    <x v="10"/>
    <x v="0"/>
    <x v="9"/>
    <n v="-0.61199999999999999"/>
  </r>
  <r>
    <x v="0"/>
    <x v="0"/>
    <x v="0"/>
    <x v="4"/>
    <x v="10"/>
    <x v="0"/>
    <x v="10"/>
    <n v="-0.47037088684638201"/>
  </r>
  <r>
    <x v="0"/>
    <x v="0"/>
    <x v="0"/>
    <x v="4"/>
    <x v="10"/>
    <x v="0"/>
    <x v="11"/>
    <n v="5.2938799822401301E-2"/>
  </r>
  <r>
    <x v="0"/>
    <x v="0"/>
    <x v="0"/>
    <x v="4"/>
    <x v="10"/>
    <x v="0"/>
    <x v="12"/>
    <n v="0.66600000000000004"/>
  </r>
  <r>
    <x v="0"/>
    <x v="0"/>
    <x v="0"/>
    <x v="4"/>
    <x v="10"/>
    <x v="0"/>
    <x v="13"/>
    <n v="0.39873566761280099"/>
  </r>
  <r>
    <x v="0"/>
    <x v="0"/>
    <x v="0"/>
    <x v="4"/>
    <x v="10"/>
    <x v="0"/>
    <x v="14"/>
    <n v="0"/>
  </r>
  <r>
    <x v="0"/>
    <x v="0"/>
    <x v="0"/>
    <x v="4"/>
    <x v="10"/>
    <x v="0"/>
    <x v="15"/>
    <n v="0.53658904349589198"/>
  </r>
  <r>
    <x v="0"/>
    <x v="0"/>
    <x v="0"/>
    <x v="4"/>
    <x v="10"/>
    <x v="0"/>
    <x v="16"/>
    <n v="0"/>
  </r>
  <r>
    <x v="0"/>
    <x v="0"/>
    <x v="0"/>
    <x v="4"/>
    <x v="10"/>
    <x v="0"/>
    <x v="17"/>
    <n v="0"/>
  </r>
  <r>
    <x v="0"/>
    <x v="0"/>
    <x v="0"/>
    <x v="4"/>
    <x v="10"/>
    <x v="0"/>
    <x v="18"/>
    <n v="0.66600000000000004"/>
  </r>
  <r>
    <x v="0"/>
    <x v="0"/>
    <x v="0"/>
    <x v="4"/>
    <x v="10"/>
    <x v="0"/>
    <x v="19"/>
    <n v="0.66600000000000004"/>
  </r>
  <r>
    <x v="0"/>
    <x v="0"/>
    <x v="0"/>
    <x v="4"/>
    <x v="10"/>
    <x v="0"/>
    <x v="20"/>
    <n v="0.66600000000000004"/>
  </r>
  <r>
    <x v="0"/>
    <x v="0"/>
    <x v="0"/>
    <x v="4"/>
    <x v="10"/>
    <x v="0"/>
    <x v="21"/>
    <n v="0.66600000000000004"/>
  </r>
  <r>
    <x v="0"/>
    <x v="0"/>
    <x v="0"/>
    <x v="4"/>
    <x v="10"/>
    <x v="0"/>
    <x v="22"/>
    <n v="0.66600000000000004"/>
  </r>
  <r>
    <x v="0"/>
    <x v="0"/>
    <x v="0"/>
    <x v="4"/>
    <x v="10"/>
    <x v="0"/>
    <x v="23"/>
    <n v="0.66600000000000004"/>
  </r>
  <r>
    <x v="0"/>
    <x v="0"/>
    <x v="0"/>
    <x v="4"/>
    <x v="11"/>
    <x v="0"/>
    <x v="0"/>
    <n v="-4.2128594142529299E-2"/>
  </r>
  <r>
    <x v="0"/>
    <x v="0"/>
    <x v="0"/>
    <x v="4"/>
    <x v="11"/>
    <x v="0"/>
    <x v="1"/>
    <n v="-4.2128594142529299E-2"/>
  </r>
  <r>
    <x v="0"/>
    <x v="0"/>
    <x v="0"/>
    <x v="4"/>
    <x v="11"/>
    <x v="0"/>
    <x v="2"/>
    <n v="-4.2128594142529299E-2"/>
  </r>
  <r>
    <x v="0"/>
    <x v="0"/>
    <x v="0"/>
    <x v="4"/>
    <x v="11"/>
    <x v="0"/>
    <x v="3"/>
    <n v="-4.2128594142529299E-2"/>
  </r>
  <r>
    <x v="0"/>
    <x v="0"/>
    <x v="0"/>
    <x v="4"/>
    <x v="11"/>
    <x v="0"/>
    <x v="4"/>
    <n v="-4.2128594142529299E-2"/>
  </r>
  <r>
    <x v="0"/>
    <x v="0"/>
    <x v="0"/>
    <x v="4"/>
    <x v="11"/>
    <x v="0"/>
    <x v="5"/>
    <n v="-4.2128594142529299E-2"/>
  </r>
  <r>
    <x v="0"/>
    <x v="0"/>
    <x v="0"/>
    <x v="4"/>
    <x v="11"/>
    <x v="0"/>
    <x v="6"/>
    <n v="-4.2128594142529299E-2"/>
  </r>
  <r>
    <x v="0"/>
    <x v="0"/>
    <x v="0"/>
    <x v="4"/>
    <x v="11"/>
    <x v="0"/>
    <x v="7"/>
    <n v="-4.2128594142529299E-2"/>
  </r>
  <r>
    <x v="0"/>
    <x v="0"/>
    <x v="0"/>
    <x v="4"/>
    <x v="11"/>
    <x v="0"/>
    <x v="8"/>
    <n v="-4.2128594142529299E-2"/>
  </r>
  <r>
    <x v="0"/>
    <x v="0"/>
    <x v="0"/>
    <x v="4"/>
    <x v="11"/>
    <x v="0"/>
    <x v="9"/>
    <n v="-4.2128594142529299E-2"/>
  </r>
  <r>
    <x v="0"/>
    <x v="0"/>
    <x v="0"/>
    <x v="4"/>
    <x v="11"/>
    <x v="0"/>
    <x v="10"/>
    <n v="-4.2128594142529299E-2"/>
  </r>
  <r>
    <x v="0"/>
    <x v="0"/>
    <x v="0"/>
    <x v="4"/>
    <x v="11"/>
    <x v="0"/>
    <x v="11"/>
    <n v="-4.2128594142529299E-2"/>
  </r>
  <r>
    <x v="0"/>
    <x v="0"/>
    <x v="0"/>
    <x v="4"/>
    <x v="11"/>
    <x v="0"/>
    <x v="12"/>
    <n v="-4.2128594142529299E-2"/>
  </r>
  <r>
    <x v="0"/>
    <x v="0"/>
    <x v="0"/>
    <x v="4"/>
    <x v="11"/>
    <x v="0"/>
    <x v="13"/>
    <n v="-4.2128594142529299E-2"/>
  </r>
  <r>
    <x v="0"/>
    <x v="0"/>
    <x v="0"/>
    <x v="4"/>
    <x v="11"/>
    <x v="0"/>
    <x v="14"/>
    <n v="-4.2128594142529299E-2"/>
  </r>
  <r>
    <x v="0"/>
    <x v="0"/>
    <x v="0"/>
    <x v="4"/>
    <x v="11"/>
    <x v="0"/>
    <x v="15"/>
    <n v="-4.2128594142529299E-2"/>
  </r>
  <r>
    <x v="0"/>
    <x v="0"/>
    <x v="0"/>
    <x v="4"/>
    <x v="11"/>
    <x v="0"/>
    <x v="16"/>
    <n v="4.2128594142529299E-2"/>
  </r>
  <r>
    <x v="0"/>
    <x v="0"/>
    <x v="0"/>
    <x v="4"/>
    <x v="11"/>
    <x v="0"/>
    <x v="17"/>
    <n v="4.2128594142529299E-2"/>
  </r>
  <r>
    <x v="0"/>
    <x v="0"/>
    <x v="0"/>
    <x v="4"/>
    <x v="11"/>
    <x v="0"/>
    <x v="18"/>
    <n v="4.2128594142529299E-2"/>
  </r>
  <r>
    <x v="0"/>
    <x v="0"/>
    <x v="0"/>
    <x v="4"/>
    <x v="11"/>
    <x v="0"/>
    <x v="19"/>
    <n v="4.2128594142529299E-2"/>
  </r>
  <r>
    <x v="0"/>
    <x v="0"/>
    <x v="0"/>
    <x v="4"/>
    <x v="11"/>
    <x v="0"/>
    <x v="20"/>
    <n v="0"/>
  </r>
  <r>
    <x v="0"/>
    <x v="0"/>
    <x v="0"/>
    <x v="4"/>
    <x v="11"/>
    <x v="0"/>
    <x v="21"/>
    <n v="-4.2128594142529299E-2"/>
  </r>
  <r>
    <x v="0"/>
    <x v="0"/>
    <x v="0"/>
    <x v="4"/>
    <x v="11"/>
    <x v="0"/>
    <x v="22"/>
    <n v="-4.2128594142529299E-2"/>
  </r>
  <r>
    <x v="0"/>
    <x v="0"/>
    <x v="0"/>
    <x v="4"/>
    <x v="11"/>
    <x v="0"/>
    <x v="23"/>
    <n v="-4.2128594142529299E-2"/>
  </r>
  <r>
    <x v="0"/>
    <x v="0"/>
    <x v="0"/>
    <x v="5"/>
    <x v="5"/>
    <x v="0"/>
    <x v="0"/>
    <n v="7.4360802184796099E-2"/>
  </r>
  <r>
    <x v="0"/>
    <x v="0"/>
    <x v="0"/>
    <x v="5"/>
    <x v="5"/>
    <x v="0"/>
    <x v="1"/>
    <n v="0.279474323957702"/>
  </r>
  <r>
    <x v="0"/>
    <x v="0"/>
    <x v="0"/>
    <x v="5"/>
    <x v="5"/>
    <x v="0"/>
    <x v="2"/>
    <n v="0"/>
  </r>
  <r>
    <x v="0"/>
    <x v="0"/>
    <x v="0"/>
    <x v="5"/>
    <x v="5"/>
    <x v="0"/>
    <x v="3"/>
    <n v="0"/>
  </r>
  <r>
    <x v="0"/>
    <x v="0"/>
    <x v="0"/>
    <x v="5"/>
    <x v="5"/>
    <x v="0"/>
    <x v="4"/>
    <n v="0"/>
  </r>
  <r>
    <x v="0"/>
    <x v="0"/>
    <x v="0"/>
    <x v="5"/>
    <x v="5"/>
    <x v="0"/>
    <x v="5"/>
    <n v="5.4404034337799799E-2"/>
  </r>
  <r>
    <x v="0"/>
    <x v="0"/>
    <x v="0"/>
    <x v="5"/>
    <x v="5"/>
    <x v="0"/>
    <x v="6"/>
    <n v="0.52649999999999997"/>
  </r>
  <r>
    <x v="0"/>
    <x v="0"/>
    <x v="0"/>
    <x v="5"/>
    <x v="5"/>
    <x v="0"/>
    <x v="7"/>
    <n v="0.52649999999999997"/>
  </r>
  <r>
    <x v="0"/>
    <x v="0"/>
    <x v="0"/>
    <x v="5"/>
    <x v="5"/>
    <x v="0"/>
    <x v="8"/>
    <n v="0.52649999999999997"/>
  </r>
  <r>
    <x v="0"/>
    <x v="0"/>
    <x v="0"/>
    <x v="5"/>
    <x v="5"/>
    <x v="0"/>
    <x v="9"/>
    <n v="0.52649999999999997"/>
  </r>
  <r>
    <x v="0"/>
    <x v="0"/>
    <x v="0"/>
    <x v="5"/>
    <x v="5"/>
    <x v="0"/>
    <x v="10"/>
    <n v="0.30665828929551497"/>
  </r>
  <r>
    <x v="0"/>
    <x v="0"/>
    <x v="0"/>
    <x v="5"/>
    <x v="5"/>
    <x v="0"/>
    <x v="11"/>
    <n v="0"/>
  </r>
  <r>
    <x v="0"/>
    <x v="0"/>
    <x v="0"/>
    <x v="5"/>
    <x v="5"/>
    <x v="0"/>
    <x v="12"/>
    <n v="0"/>
  </r>
  <r>
    <x v="0"/>
    <x v="0"/>
    <x v="0"/>
    <x v="5"/>
    <x v="5"/>
    <x v="0"/>
    <x v="13"/>
    <n v="0"/>
  </r>
  <r>
    <x v="0"/>
    <x v="0"/>
    <x v="0"/>
    <x v="5"/>
    <x v="5"/>
    <x v="0"/>
    <x v="14"/>
    <n v="0.25980863575868801"/>
  </r>
  <r>
    <x v="0"/>
    <x v="0"/>
    <x v="0"/>
    <x v="5"/>
    <x v="5"/>
    <x v="0"/>
    <x v="15"/>
    <n v="0.52649999999999997"/>
  </r>
  <r>
    <x v="0"/>
    <x v="0"/>
    <x v="0"/>
    <x v="5"/>
    <x v="5"/>
    <x v="0"/>
    <x v="16"/>
    <n v="0.52649999999999997"/>
  </r>
  <r>
    <x v="0"/>
    <x v="0"/>
    <x v="0"/>
    <x v="5"/>
    <x v="5"/>
    <x v="0"/>
    <x v="17"/>
    <n v="0.49558524080069499"/>
  </r>
  <r>
    <x v="0"/>
    <x v="0"/>
    <x v="0"/>
    <x v="5"/>
    <x v="5"/>
    <x v="0"/>
    <x v="18"/>
    <n v="0.52649999999999997"/>
  </r>
  <r>
    <x v="0"/>
    <x v="0"/>
    <x v="0"/>
    <x v="5"/>
    <x v="5"/>
    <x v="0"/>
    <x v="19"/>
    <n v="0.52649999999999997"/>
  </r>
  <r>
    <x v="0"/>
    <x v="0"/>
    <x v="0"/>
    <x v="5"/>
    <x v="5"/>
    <x v="0"/>
    <x v="20"/>
    <n v="0"/>
  </r>
  <r>
    <x v="0"/>
    <x v="0"/>
    <x v="0"/>
    <x v="5"/>
    <x v="5"/>
    <x v="0"/>
    <x v="21"/>
    <n v="0"/>
  </r>
  <r>
    <x v="0"/>
    <x v="0"/>
    <x v="0"/>
    <x v="5"/>
    <x v="5"/>
    <x v="0"/>
    <x v="22"/>
    <n v="4.7348205379200203E-2"/>
  </r>
  <r>
    <x v="0"/>
    <x v="0"/>
    <x v="0"/>
    <x v="5"/>
    <x v="5"/>
    <x v="0"/>
    <x v="23"/>
    <n v="0.52649999999999997"/>
  </r>
  <r>
    <x v="0"/>
    <x v="0"/>
    <x v="0"/>
    <x v="5"/>
    <x v="0"/>
    <x v="0"/>
    <x v="0"/>
    <n v="0"/>
  </r>
  <r>
    <x v="0"/>
    <x v="0"/>
    <x v="0"/>
    <x v="5"/>
    <x v="0"/>
    <x v="0"/>
    <x v="1"/>
    <n v="0"/>
  </r>
  <r>
    <x v="0"/>
    <x v="0"/>
    <x v="0"/>
    <x v="5"/>
    <x v="0"/>
    <x v="0"/>
    <x v="2"/>
    <n v="0"/>
  </r>
  <r>
    <x v="0"/>
    <x v="0"/>
    <x v="0"/>
    <x v="5"/>
    <x v="0"/>
    <x v="0"/>
    <x v="3"/>
    <n v="0"/>
  </r>
  <r>
    <x v="0"/>
    <x v="0"/>
    <x v="0"/>
    <x v="5"/>
    <x v="0"/>
    <x v="0"/>
    <x v="4"/>
    <n v="0"/>
  </r>
  <r>
    <x v="0"/>
    <x v="0"/>
    <x v="0"/>
    <x v="5"/>
    <x v="0"/>
    <x v="0"/>
    <x v="5"/>
    <n v="0"/>
  </r>
  <r>
    <x v="0"/>
    <x v="0"/>
    <x v="0"/>
    <x v="5"/>
    <x v="0"/>
    <x v="0"/>
    <x v="6"/>
    <n v="0"/>
  </r>
  <r>
    <x v="0"/>
    <x v="0"/>
    <x v="0"/>
    <x v="5"/>
    <x v="0"/>
    <x v="0"/>
    <x v="7"/>
    <n v="0"/>
  </r>
  <r>
    <x v="0"/>
    <x v="0"/>
    <x v="0"/>
    <x v="5"/>
    <x v="0"/>
    <x v="0"/>
    <x v="8"/>
    <n v="0"/>
  </r>
  <r>
    <x v="0"/>
    <x v="0"/>
    <x v="0"/>
    <x v="5"/>
    <x v="0"/>
    <x v="0"/>
    <x v="9"/>
    <n v="0"/>
  </r>
  <r>
    <x v="0"/>
    <x v="0"/>
    <x v="0"/>
    <x v="5"/>
    <x v="0"/>
    <x v="0"/>
    <x v="10"/>
    <n v="0"/>
  </r>
  <r>
    <x v="0"/>
    <x v="0"/>
    <x v="0"/>
    <x v="5"/>
    <x v="0"/>
    <x v="0"/>
    <x v="11"/>
    <n v="0"/>
  </r>
  <r>
    <x v="0"/>
    <x v="0"/>
    <x v="0"/>
    <x v="5"/>
    <x v="0"/>
    <x v="0"/>
    <x v="12"/>
    <n v="0"/>
  </r>
  <r>
    <x v="0"/>
    <x v="0"/>
    <x v="0"/>
    <x v="5"/>
    <x v="0"/>
    <x v="0"/>
    <x v="13"/>
    <n v="0"/>
  </r>
  <r>
    <x v="0"/>
    <x v="0"/>
    <x v="0"/>
    <x v="5"/>
    <x v="0"/>
    <x v="0"/>
    <x v="14"/>
    <n v="0"/>
  </r>
  <r>
    <x v="0"/>
    <x v="0"/>
    <x v="0"/>
    <x v="5"/>
    <x v="0"/>
    <x v="0"/>
    <x v="15"/>
    <n v="0"/>
  </r>
  <r>
    <x v="0"/>
    <x v="0"/>
    <x v="0"/>
    <x v="5"/>
    <x v="0"/>
    <x v="0"/>
    <x v="16"/>
    <n v="0"/>
  </r>
  <r>
    <x v="0"/>
    <x v="0"/>
    <x v="0"/>
    <x v="5"/>
    <x v="0"/>
    <x v="0"/>
    <x v="17"/>
    <n v="0"/>
  </r>
  <r>
    <x v="0"/>
    <x v="0"/>
    <x v="0"/>
    <x v="5"/>
    <x v="0"/>
    <x v="0"/>
    <x v="18"/>
    <n v="0"/>
  </r>
  <r>
    <x v="0"/>
    <x v="0"/>
    <x v="0"/>
    <x v="5"/>
    <x v="0"/>
    <x v="0"/>
    <x v="19"/>
    <n v="0"/>
  </r>
  <r>
    <x v="0"/>
    <x v="0"/>
    <x v="0"/>
    <x v="5"/>
    <x v="0"/>
    <x v="0"/>
    <x v="20"/>
    <n v="0"/>
  </r>
  <r>
    <x v="0"/>
    <x v="0"/>
    <x v="0"/>
    <x v="5"/>
    <x v="0"/>
    <x v="0"/>
    <x v="21"/>
    <n v="0"/>
  </r>
  <r>
    <x v="0"/>
    <x v="0"/>
    <x v="0"/>
    <x v="5"/>
    <x v="0"/>
    <x v="0"/>
    <x v="22"/>
    <n v="0"/>
  </r>
  <r>
    <x v="0"/>
    <x v="0"/>
    <x v="0"/>
    <x v="5"/>
    <x v="0"/>
    <x v="0"/>
    <x v="23"/>
    <n v="0"/>
  </r>
  <r>
    <x v="0"/>
    <x v="0"/>
    <x v="0"/>
    <x v="5"/>
    <x v="6"/>
    <x v="0"/>
    <x v="0"/>
    <n v="0"/>
  </r>
  <r>
    <x v="0"/>
    <x v="0"/>
    <x v="0"/>
    <x v="5"/>
    <x v="6"/>
    <x v="0"/>
    <x v="1"/>
    <n v="-0.13363123702211099"/>
  </r>
  <r>
    <x v="0"/>
    <x v="0"/>
    <x v="0"/>
    <x v="5"/>
    <x v="6"/>
    <x v="0"/>
    <x v="2"/>
    <n v="-0.150184752970628"/>
  </r>
  <r>
    <x v="0"/>
    <x v="0"/>
    <x v="0"/>
    <x v="5"/>
    <x v="6"/>
    <x v="0"/>
    <x v="3"/>
    <n v="-0.181485767727327"/>
  </r>
  <r>
    <x v="0"/>
    <x v="0"/>
    <x v="0"/>
    <x v="5"/>
    <x v="6"/>
    <x v="0"/>
    <x v="4"/>
    <n v="-0.284949999809256"/>
  </r>
  <r>
    <x v="0"/>
    <x v="0"/>
    <x v="0"/>
    <x v="5"/>
    <x v="6"/>
    <x v="0"/>
    <x v="5"/>
    <n v="0"/>
  </r>
  <r>
    <x v="0"/>
    <x v="0"/>
    <x v="0"/>
    <x v="5"/>
    <x v="6"/>
    <x v="0"/>
    <x v="6"/>
    <n v="-0.54"/>
  </r>
  <r>
    <x v="0"/>
    <x v="0"/>
    <x v="0"/>
    <x v="5"/>
    <x v="6"/>
    <x v="0"/>
    <x v="7"/>
    <n v="-0.54"/>
  </r>
  <r>
    <x v="0"/>
    <x v="0"/>
    <x v="0"/>
    <x v="5"/>
    <x v="6"/>
    <x v="0"/>
    <x v="8"/>
    <n v="-0.54"/>
  </r>
  <r>
    <x v="0"/>
    <x v="0"/>
    <x v="0"/>
    <x v="5"/>
    <x v="6"/>
    <x v="0"/>
    <x v="9"/>
    <n v="-0.54"/>
  </r>
  <r>
    <x v="0"/>
    <x v="0"/>
    <x v="0"/>
    <x v="5"/>
    <x v="6"/>
    <x v="0"/>
    <x v="10"/>
    <n v="-0.54"/>
  </r>
  <r>
    <x v="0"/>
    <x v="0"/>
    <x v="0"/>
    <x v="5"/>
    <x v="6"/>
    <x v="0"/>
    <x v="11"/>
    <n v="-0.54"/>
  </r>
  <r>
    <x v="0"/>
    <x v="0"/>
    <x v="0"/>
    <x v="5"/>
    <x v="6"/>
    <x v="0"/>
    <x v="12"/>
    <n v="-0.54"/>
  </r>
  <r>
    <x v="0"/>
    <x v="0"/>
    <x v="0"/>
    <x v="5"/>
    <x v="6"/>
    <x v="0"/>
    <x v="13"/>
    <n v="-0.54"/>
  </r>
  <r>
    <x v="0"/>
    <x v="0"/>
    <x v="0"/>
    <x v="5"/>
    <x v="6"/>
    <x v="0"/>
    <x v="14"/>
    <n v="-0.54"/>
  </r>
  <r>
    <x v="0"/>
    <x v="0"/>
    <x v="0"/>
    <x v="5"/>
    <x v="6"/>
    <x v="0"/>
    <x v="15"/>
    <n v="-0.54"/>
  </r>
  <r>
    <x v="0"/>
    <x v="0"/>
    <x v="0"/>
    <x v="5"/>
    <x v="6"/>
    <x v="0"/>
    <x v="16"/>
    <n v="-0.54"/>
  </r>
  <r>
    <x v="0"/>
    <x v="0"/>
    <x v="0"/>
    <x v="5"/>
    <x v="6"/>
    <x v="0"/>
    <x v="17"/>
    <n v="-0.54"/>
  </r>
  <r>
    <x v="0"/>
    <x v="0"/>
    <x v="0"/>
    <x v="5"/>
    <x v="6"/>
    <x v="0"/>
    <x v="18"/>
    <n v="-0.54"/>
  </r>
  <r>
    <x v="0"/>
    <x v="0"/>
    <x v="0"/>
    <x v="5"/>
    <x v="6"/>
    <x v="0"/>
    <x v="19"/>
    <n v="-0.54"/>
  </r>
  <r>
    <x v="0"/>
    <x v="0"/>
    <x v="0"/>
    <x v="5"/>
    <x v="6"/>
    <x v="0"/>
    <x v="20"/>
    <n v="-0.54"/>
  </r>
  <r>
    <x v="0"/>
    <x v="0"/>
    <x v="0"/>
    <x v="5"/>
    <x v="6"/>
    <x v="0"/>
    <x v="21"/>
    <n v="-0.54"/>
  </r>
  <r>
    <x v="0"/>
    <x v="0"/>
    <x v="0"/>
    <x v="5"/>
    <x v="6"/>
    <x v="0"/>
    <x v="22"/>
    <n v="-0.54"/>
  </r>
  <r>
    <x v="0"/>
    <x v="0"/>
    <x v="0"/>
    <x v="5"/>
    <x v="6"/>
    <x v="0"/>
    <x v="23"/>
    <n v="-0.54"/>
  </r>
  <r>
    <x v="0"/>
    <x v="0"/>
    <x v="0"/>
    <x v="5"/>
    <x v="8"/>
    <x v="0"/>
    <x v="0"/>
    <n v="0"/>
  </r>
  <r>
    <x v="0"/>
    <x v="0"/>
    <x v="0"/>
    <x v="5"/>
    <x v="8"/>
    <x v="0"/>
    <x v="1"/>
    <n v="0"/>
  </r>
  <r>
    <x v="0"/>
    <x v="0"/>
    <x v="0"/>
    <x v="5"/>
    <x v="8"/>
    <x v="0"/>
    <x v="2"/>
    <n v="0.314572009276118"/>
  </r>
  <r>
    <x v="0"/>
    <x v="0"/>
    <x v="0"/>
    <x v="5"/>
    <x v="8"/>
    <x v="0"/>
    <x v="3"/>
    <n v="0.33629209466305598"/>
  </r>
  <r>
    <x v="0"/>
    <x v="0"/>
    <x v="0"/>
    <x v="5"/>
    <x v="8"/>
    <x v="0"/>
    <x v="4"/>
    <n v="0.38716593380803599"/>
  </r>
  <r>
    <x v="0"/>
    <x v="0"/>
    <x v="0"/>
    <x v="5"/>
    <x v="8"/>
    <x v="0"/>
    <x v="5"/>
    <n v="0"/>
  </r>
  <r>
    <x v="0"/>
    <x v="0"/>
    <x v="0"/>
    <x v="5"/>
    <x v="8"/>
    <x v="0"/>
    <x v="6"/>
    <n v="-0.122613334227735"/>
  </r>
  <r>
    <x v="0"/>
    <x v="0"/>
    <x v="0"/>
    <x v="5"/>
    <x v="8"/>
    <x v="0"/>
    <x v="7"/>
    <n v="0.43750565910044698"/>
  </r>
  <r>
    <x v="0"/>
    <x v="0"/>
    <x v="0"/>
    <x v="5"/>
    <x v="8"/>
    <x v="0"/>
    <x v="8"/>
    <n v="0.66093157408007996"/>
  </r>
  <r>
    <x v="0"/>
    <x v="0"/>
    <x v="0"/>
    <x v="5"/>
    <x v="8"/>
    <x v="0"/>
    <x v="9"/>
    <n v="0.46081304647998"/>
  </r>
  <r>
    <x v="0"/>
    <x v="0"/>
    <x v="0"/>
    <x v="5"/>
    <x v="8"/>
    <x v="0"/>
    <x v="10"/>
    <n v="1.29090469303629E-2"/>
  </r>
  <r>
    <x v="0"/>
    <x v="0"/>
    <x v="0"/>
    <x v="5"/>
    <x v="8"/>
    <x v="0"/>
    <x v="11"/>
    <n v="0.34980981020145302"/>
  </r>
  <r>
    <x v="0"/>
    <x v="0"/>
    <x v="0"/>
    <x v="5"/>
    <x v="8"/>
    <x v="0"/>
    <x v="12"/>
    <n v="0.37003525462870102"/>
  </r>
  <r>
    <x v="0"/>
    <x v="0"/>
    <x v="0"/>
    <x v="5"/>
    <x v="8"/>
    <x v="0"/>
    <x v="13"/>
    <n v="0.36833139753863797"/>
  </r>
  <r>
    <x v="0"/>
    <x v="0"/>
    <x v="0"/>
    <x v="5"/>
    <x v="8"/>
    <x v="0"/>
    <x v="14"/>
    <n v="0.20796625521446299"/>
  </r>
  <r>
    <x v="0"/>
    <x v="0"/>
    <x v="0"/>
    <x v="5"/>
    <x v="8"/>
    <x v="0"/>
    <x v="15"/>
    <n v="4.8631742204695703E-2"/>
  </r>
  <r>
    <x v="0"/>
    <x v="0"/>
    <x v="0"/>
    <x v="5"/>
    <x v="8"/>
    <x v="0"/>
    <x v="16"/>
    <n v="1.8002631936596802E-2"/>
  </r>
  <r>
    <x v="0"/>
    <x v="0"/>
    <x v="0"/>
    <x v="5"/>
    <x v="8"/>
    <x v="0"/>
    <x v="17"/>
    <n v="0"/>
  </r>
  <r>
    <x v="0"/>
    <x v="0"/>
    <x v="0"/>
    <x v="5"/>
    <x v="8"/>
    <x v="0"/>
    <x v="18"/>
    <n v="6.01306047579915E-2"/>
  </r>
  <r>
    <x v="0"/>
    <x v="0"/>
    <x v="0"/>
    <x v="5"/>
    <x v="8"/>
    <x v="0"/>
    <x v="19"/>
    <n v="0.48236331229977703"/>
  </r>
  <r>
    <x v="0"/>
    <x v="0"/>
    <x v="0"/>
    <x v="5"/>
    <x v="8"/>
    <x v="0"/>
    <x v="20"/>
    <n v="1.26460545501129"/>
  </r>
  <r>
    <x v="0"/>
    <x v="0"/>
    <x v="0"/>
    <x v="5"/>
    <x v="8"/>
    <x v="0"/>
    <x v="21"/>
    <n v="1.4250833485102601"/>
  </r>
  <r>
    <x v="0"/>
    <x v="0"/>
    <x v="0"/>
    <x v="5"/>
    <x v="8"/>
    <x v="0"/>
    <x v="22"/>
    <n v="1.53"/>
  </r>
  <r>
    <x v="0"/>
    <x v="0"/>
    <x v="0"/>
    <x v="5"/>
    <x v="8"/>
    <x v="0"/>
    <x v="23"/>
    <n v="1.2214907324561799"/>
  </r>
  <r>
    <x v="0"/>
    <x v="0"/>
    <x v="0"/>
    <x v="6"/>
    <x v="12"/>
    <x v="0"/>
    <x v="0"/>
    <n v="-0.195406358124424"/>
  </r>
  <r>
    <x v="0"/>
    <x v="0"/>
    <x v="0"/>
    <x v="6"/>
    <x v="12"/>
    <x v="0"/>
    <x v="1"/>
    <n v="-3.3899147708765401E-3"/>
  </r>
  <r>
    <x v="0"/>
    <x v="0"/>
    <x v="0"/>
    <x v="6"/>
    <x v="12"/>
    <x v="0"/>
    <x v="2"/>
    <n v="0"/>
  </r>
  <r>
    <x v="0"/>
    <x v="0"/>
    <x v="0"/>
    <x v="6"/>
    <x v="12"/>
    <x v="0"/>
    <x v="3"/>
    <n v="0"/>
  </r>
  <r>
    <x v="0"/>
    <x v="0"/>
    <x v="0"/>
    <x v="6"/>
    <x v="12"/>
    <x v="0"/>
    <x v="4"/>
    <n v="-0.50589454236501696"/>
  </r>
  <r>
    <x v="0"/>
    <x v="0"/>
    <x v="0"/>
    <x v="6"/>
    <x v="12"/>
    <x v="0"/>
    <x v="5"/>
    <n v="-0.51707068463644001"/>
  </r>
  <r>
    <x v="0"/>
    <x v="0"/>
    <x v="0"/>
    <x v="6"/>
    <x v="12"/>
    <x v="0"/>
    <x v="6"/>
    <n v="-0.9"/>
  </r>
  <r>
    <x v="0"/>
    <x v="0"/>
    <x v="0"/>
    <x v="6"/>
    <x v="12"/>
    <x v="0"/>
    <x v="7"/>
    <n v="-0.9"/>
  </r>
  <r>
    <x v="0"/>
    <x v="0"/>
    <x v="0"/>
    <x v="6"/>
    <x v="12"/>
    <x v="0"/>
    <x v="8"/>
    <n v="-0.9"/>
  </r>
  <r>
    <x v="0"/>
    <x v="0"/>
    <x v="0"/>
    <x v="6"/>
    <x v="12"/>
    <x v="0"/>
    <x v="9"/>
    <n v="-0.9"/>
  </r>
  <r>
    <x v="0"/>
    <x v="0"/>
    <x v="0"/>
    <x v="6"/>
    <x v="12"/>
    <x v="0"/>
    <x v="10"/>
    <n v="-0.9"/>
  </r>
  <r>
    <x v="0"/>
    <x v="0"/>
    <x v="0"/>
    <x v="6"/>
    <x v="12"/>
    <x v="0"/>
    <x v="11"/>
    <n v="-0.9"/>
  </r>
  <r>
    <x v="0"/>
    <x v="0"/>
    <x v="0"/>
    <x v="6"/>
    <x v="12"/>
    <x v="0"/>
    <x v="12"/>
    <n v="-0.9"/>
  </r>
  <r>
    <x v="0"/>
    <x v="0"/>
    <x v="0"/>
    <x v="6"/>
    <x v="12"/>
    <x v="0"/>
    <x v="13"/>
    <n v="-0.9"/>
  </r>
  <r>
    <x v="0"/>
    <x v="0"/>
    <x v="0"/>
    <x v="6"/>
    <x v="12"/>
    <x v="0"/>
    <x v="14"/>
    <n v="-0.9"/>
  </r>
  <r>
    <x v="0"/>
    <x v="0"/>
    <x v="0"/>
    <x v="6"/>
    <x v="12"/>
    <x v="0"/>
    <x v="15"/>
    <n v="-0.9"/>
  </r>
  <r>
    <x v="0"/>
    <x v="0"/>
    <x v="0"/>
    <x v="6"/>
    <x v="12"/>
    <x v="0"/>
    <x v="16"/>
    <n v="-0.9"/>
  </r>
  <r>
    <x v="0"/>
    <x v="0"/>
    <x v="0"/>
    <x v="6"/>
    <x v="12"/>
    <x v="0"/>
    <x v="17"/>
    <n v="-0.9"/>
  </r>
  <r>
    <x v="0"/>
    <x v="0"/>
    <x v="0"/>
    <x v="6"/>
    <x v="12"/>
    <x v="0"/>
    <x v="18"/>
    <n v="-0.9"/>
  </r>
  <r>
    <x v="0"/>
    <x v="0"/>
    <x v="0"/>
    <x v="6"/>
    <x v="12"/>
    <x v="0"/>
    <x v="19"/>
    <n v="-0.9"/>
  </r>
  <r>
    <x v="0"/>
    <x v="0"/>
    <x v="0"/>
    <x v="6"/>
    <x v="12"/>
    <x v="0"/>
    <x v="20"/>
    <n v="-0.61705350029584205"/>
  </r>
  <r>
    <x v="0"/>
    <x v="0"/>
    <x v="0"/>
    <x v="6"/>
    <x v="12"/>
    <x v="0"/>
    <x v="21"/>
    <n v="-0.35461226256275502"/>
  </r>
  <r>
    <x v="0"/>
    <x v="0"/>
    <x v="0"/>
    <x v="6"/>
    <x v="12"/>
    <x v="0"/>
    <x v="22"/>
    <n v="-0.262727445688891"/>
  </r>
  <r>
    <x v="0"/>
    <x v="0"/>
    <x v="0"/>
    <x v="6"/>
    <x v="12"/>
    <x v="0"/>
    <x v="23"/>
    <n v="-6.1468243208320499E-2"/>
  </r>
  <r>
    <x v="0"/>
    <x v="0"/>
    <x v="0"/>
    <x v="6"/>
    <x v="13"/>
    <x v="0"/>
    <x v="0"/>
    <n v="-0.47107867779414803"/>
  </r>
  <r>
    <x v="0"/>
    <x v="0"/>
    <x v="0"/>
    <x v="6"/>
    <x v="13"/>
    <x v="0"/>
    <x v="1"/>
    <n v="-0.524646105245129"/>
  </r>
  <r>
    <x v="0"/>
    <x v="0"/>
    <x v="0"/>
    <x v="6"/>
    <x v="13"/>
    <x v="0"/>
    <x v="2"/>
    <n v="-0.54472945756127"/>
  </r>
  <r>
    <x v="0"/>
    <x v="0"/>
    <x v="0"/>
    <x v="6"/>
    <x v="13"/>
    <x v="0"/>
    <x v="3"/>
    <n v="-0.55505040227709401"/>
  </r>
  <r>
    <x v="0"/>
    <x v="0"/>
    <x v="0"/>
    <x v="6"/>
    <x v="13"/>
    <x v="0"/>
    <x v="4"/>
    <n v="0"/>
  </r>
  <r>
    <x v="0"/>
    <x v="0"/>
    <x v="0"/>
    <x v="6"/>
    <x v="13"/>
    <x v="0"/>
    <x v="5"/>
    <n v="0"/>
  </r>
  <r>
    <x v="0"/>
    <x v="0"/>
    <x v="0"/>
    <x v="6"/>
    <x v="13"/>
    <x v="0"/>
    <x v="6"/>
    <n v="0.33943603711541398"/>
  </r>
  <r>
    <x v="0"/>
    <x v="0"/>
    <x v="0"/>
    <x v="6"/>
    <x v="13"/>
    <x v="0"/>
    <x v="7"/>
    <n v="0.50769394370420695"/>
  </r>
  <r>
    <x v="0"/>
    <x v="0"/>
    <x v="0"/>
    <x v="6"/>
    <x v="13"/>
    <x v="0"/>
    <x v="8"/>
    <n v="0.45728005588607201"/>
  </r>
  <r>
    <x v="0"/>
    <x v="0"/>
    <x v="0"/>
    <x v="6"/>
    <x v="13"/>
    <x v="0"/>
    <x v="9"/>
    <n v="0.42277021732626402"/>
  </r>
  <r>
    <x v="0"/>
    <x v="0"/>
    <x v="0"/>
    <x v="6"/>
    <x v="13"/>
    <x v="0"/>
    <x v="10"/>
    <n v="0.39125201860196801"/>
  </r>
  <r>
    <x v="0"/>
    <x v="0"/>
    <x v="0"/>
    <x v="6"/>
    <x v="13"/>
    <x v="0"/>
    <x v="11"/>
    <n v="0.25505844883685003"/>
  </r>
  <r>
    <x v="0"/>
    <x v="0"/>
    <x v="0"/>
    <x v="6"/>
    <x v="13"/>
    <x v="0"/>
    <x v="12"/>
    <n v="0.234191612775321"/>
  </r>
  <r>
    <x v="0"/>
    <x v="0"/>
    <x v="0"/>
    <x v="6"/>
    <x v="13"/>
    <x v="0"/>
    <x v="13"/>
    <n v="0.150750411525404"/>
  </r>
  <r>
    <x v="0"/>
    <x v="0"/>
    <x v="0"/>
    <x v="6"/>
    <x v="13"/>
    <x v="0"/>
    <x v="14"/>
    <n v="0.28188363851564502"/>
  </r>
  <r>
    <x v="0"/>
    <x v="0"/>
    <x v="0"/>
    <x v="6"/>
    <x v="13"/>
    <x v="0"/>
    <x v="15"/>
    <n v="0.29617579281613599"/>
  </r>
  <r>
    <x v="0"/>
    <x v="0"/>
    <x v="0"/>
    <x v="6"/>
    <x v="13"/>
    <x v="0"/>
    <x v="16"/>
    <n v="0.25831993797400099"/>
  </r>
  <r>
    <x v="0"/>
    <x v="0"/>
    <x v="0"/>
    <x v="6"/>
    <x v="13"/>
    <x v="0"/>
    <x v="17"/>
    <n v="0.271187683971083"/>
  </r>
  <r>
    <x v="0"/>
    <x v="0"/>
    <x v="0"/>
    <x v="6"/>
    <x v="13"/>
    <x v="0"/>
    <x v="18"/>
    <n v="0.20770394038548701"/>
  </r>
  <r>
    <x v="0"/>
    <x v="0"/>
    <x v="0"/>
    <x v="6"/>
    <x v="13"/>
    <x v="0"/>
    <x v="19"/>
    <n v="0.238089824983722"/>
  </r>
  <r>
    <x v="0"/>
    <x v="0"/>
    <x v="0"/>
    <x v="6"/>
    <x v="13"/>
    <x v="0"/>
    <x v="20"/>
    <n v="0"/>
  </r>
  <r>
    <x v="0"/>
    <x v="0"/>
    <x v="0"/>
    <x v="6"/>
    <x v="13"/>
    <x v="0"/>
    <x v="21"/>
    <n v="-0.174853417194162"/>
  </r>
  <r>
    <x v="0"/>
    <x v="0"/>
    <x v="0"/>
    <x v="6"/>
    <x v="13"/>
    <x v="0"/>
    <x v="22"/>
    <n v="-0.27450538472598102"/>
  </r>
  <r>
    <x v="0"/>
    <x v="0"/>
    <x v="0"/>
    <x v="6"/>
    <x v="13"/>
    <x v="0"/>
    <x v="23"/>
    <n v="-0.39059248141123198"/>
  </r>
  <r>
    <x v="0"/>
    <x v="0"/>
    <x v="0"/>
    <x v="6"/>
    <x v="10"/>
    <x v="0"/>
    <x v="0"/>
    <n v="0"/>
  </r>
  <r>
    <x v="0"/>
    <x v="0"/>
    <x v="0"/>
    <x v="6"/>
    <x v="10"/>
    <x v="0"/>
    <x v="1"/>
    <n v="0"/>
  </r>
  <r>
    <x v="0"/>
    <x v="0"/>
    <x v="0"/>
    <x v="6"/>
    <x v="10"/>
    <x v="0"/>
    <x v="2"/>
    <n v="0"/>
  </r>
  <r>
    <x v="0"/>
    <x v="0"/>
    <x v="0"/>
    <x v="6"/>
    <x v="10"/>
    <x v="0"/>
    <x v="3"/>
    <n v="0"/>
  </r>
  <r>
    <x v="0"/>
    <x v="0"/>
    <x v="0"/>
    <x v="6"/>
    <x v="10"/>
    <x v="0"/>
    <x v="4"/>
    <n v="0"/>
  </r>
  <r>
    <x v="0"/>
    <x v="0"/>
    <x v="0"/>
    <x v="6"/>
    <x v="10"/>
    <x v="0"/>
    <x v="5"/>
    <n v="0"/>
  </r>
  <r>
    <x v="0"/>
    <x v="0"/>
    <x v="0"/>
    <x v="6"/>
    <x v="10"/>
    <x v="0"/>
    <x v="6"/>
    <n v="0"/>
  </r>
  <r>
    <x v="0"/>
    <x v="0"/>
    <x v="0"/>
    <x v="6"/>
    <x v="10"/>
    <x v="0"/>
    <x v="7"/>
    <n v="0"/>
  </r>
  <r>
    <x v="0"/>
    <x v="0"/>
    <x v="0"/>
    <x v="6"/>
    <x v="10"/>
    <x v="0"/>
    <x v="8"/>
    <n v="0"/>
  </r>
  <r>
    <x v="0"/>
    <x v="0"/>
    <x v="0"/>
    <x v="6"/>
    <x v="10"/>
    <x v="0"/>
    <x v="9"/>
    <n v="0"/>
  </r>
  <r>
    <x v="0"/>
    <x v="0"/>
    <x v="0"/>
    <x v="6"/>
    <x v="10"/>
    <x v="0"/>
    <x v="10"/>
    <n v="0"/>
  </r>
  <r>
    <x v="0"/>
    <x v="0"/>
    <x v="0"/>
    <x v="6"/>
    <x v="10"/>
    <x v="0"/>
    <x v="11"/>
    <n v="0"/>
  </r>
  <r>
    <x v="0"/>
    <x v="0"/>
    <x v="0"/>
    <x v="6"/>
    <x v="10"/>
    <x v="0"/>
    <x v="12"/>
    <n v="0"/>
  </r>
  <r>
    <x v="0"/>
    <x v="0"/>
    <x v="0"/>
    <x v="6"/>
    <x v="10"/>
    <x v="0"/>
    <x v="13"/>
    <n v="0"/>
  </r>
  <r>
    <x v="0"/>
    <x v="0"/>
    <x v="0"/>
    <x v="6"/>
    <x v="10"/>
    <x v="0"/>
    <x v="14"/>
    <n v="0"/>
  </r>
  <r>
    <x v="0"/>
    <x v="0"/>
    <x v="0"/>
    <x v="6"/>
    <x v="10"/>
    <x v="0"/>
    <x v="15"/>
    <n v="0"/>
  </r>
  <r>
    <x v="0"/>
    <x v="0"/>
    <x v="0"/>
    <x v="6"/>
    <x v="10"/>
    <x v="0"/>
    <x v="16"/>
    <n v="0"/>
  </r>
  <r>
    <x v="0"/>
    <x v="0"/>
    <x v="0"/>
    <x v="6"/>
    <x v="10"/>
    <x v="0"/>
    <x v="17"/>
    <n v="0"/>
  </r>
  <r>
    <x v="0"/>
    <x v="0"/>
    <x v="0"/>
    <x v="6"/>
    <x v="10"/>
    <x v="0"/>
    <x v="18"/>
    <n v="0"/>
  </r>
  <r>
    <x v="0"/>
    <x v="0"/>
    <x v="0"/>
    <x v="6"/>
    <x v="10"/>
    <x v="0"/>
    <x v="19"/>
    <n v="0"/>
  </r>
  <r>
    <x v="0"/>
    <x v="0"/>
    <x v="0"/>
    <x v="6"/>
    <x v="10"/>
    <x v="0"/>
    <x v="20"/>
    <n v="0"/>
  </r>
  <r>
    <x v="0"/>
    <x v="0"/>
    <x v="0"/>
    <x v="6"/>
    <x v="10"/>
    <x v="0"/>
    <x v="21"/>
    <n v="0"/>
  </r>
  <r>
    <x v="0"/>
    <x v="0"/>
    <x v="0"/>
    <x v="6"/>
    <x v="10"/>
    <x v="0"/>
    <x v="22"/>
    <n v="0"/>
  </r>
  <r>
    <x v="0"/>
    <x v="0"/>
    <x v="0"/>
    <x v="6"/>
    <x v="10"/>
    <x v="0"/>
    <x v="23"/>
    <n v="0"/>
  </r>
  <r>
    <x v="0"/>
    <x v="0"/>
    <x v="0"/>
    <x v="7"/>
    <x v="14"/>
    <x v="0"/>
    <x v="0"/>
    <n v="0.195406358124424"/>
  </r>
  <r>
    <x v="0"/>
    <x v="0"/>
    <x v="0"/>
    <x v="7"/>
    <x v="14"/>
    <x v="0"/>
    <x v="1"/>
    <n v="3.3899147708765401E-3"/>
  </r>
  <r>
    <x v="0"/>
    <x v="0"/>
    <x v="0"/>
    <x v="7"/>
    <x v="14"/>
    <x v="0"/>
    <x v="2"/>
    <n v="0"/>
  </r>
  <r>
    <x v="0"/>
    <x v="0"/>
    <x v="0"/>
    <x v="7"/>
    <x v="14"/>
    <x v="0"/>
    <x v="3"/>
    <n v="0"/>
  </r>
  <r>
    <x v="0"/>
    <x v="0"/>
    <x v="0"/>
    <x v="7"/>
    <x v="14"/>
    <x v="0"/>
    <x v="4"/>
    <n v="0.50589454236501696"/>
  </r>
  <r>
    <x v="0"/>
    <x v="0"/>
    <x v="0"/>
    <x v="7"/>
    <x v="14"/>
    <x v="0"/>
    <x v="5"/>
    <n v="0.51707068463644001"/>
  </r>
  <r>
    <x v="0"/>
    <x v="0"/>
    <x v="0"/>
    <x v="7"/>
    <x v="14"/>
    <x v="0"/>
    <x v="6"/>
    <n v="0.9"/>
  </r>
  <r>
    <x v="0"/>
    <x v="0"/>
    <x v="0"/>
    <x v="7"/>
    <x v="14"/>
    <x v="0"/>
    <x v="7"/>
    <n v="0.9"/>
  </r>
  <r>
    <x v="0"/>
    <x v="0"/>
    <x v="0"/>
    <x v="7"/>
    <x v="14"/>
    <x v="0"/>
    <x v="8"/>
    <n v="0.9"/>
  </r>
  <r>
    <x v="0"/>
    <x v="0"/>
    <x v="0"/>
    <x v="7"/>
    <x v="14"/>
    <x v="0"/>
    <x v="9"/>
    <n v="0.9"/>
  </r>
  <r>
    <x v="0"/>
    <x v="0"/>
    <x v="0"/>
    <x v="7"/>
    <x v="14"/>
    <x v="0"/>
    <x v="10"/>
    <n v="0.9"/>
  </r>
  <r>
    <x v="0"/>
    <x v="0"/>
    <x v="0"/>
    <x v="7"/>
    <x v="14"/>
    <x v="0"/>
    <x v="11"/>
    <n v="0.9"/>
  </r>
  <r>
    <x v="0"/>
    <x v="0"/>
    <x v="0"/>
    <x v="7"/>
    <x v="14"/>
    <x v="0"/>
    <x v="12"/>
    <n v="0.9"/>
  </r>
  <r>
    <x v="0"/>
    <x v="0"/>
    <x v="0"/>
    <x v="7"/>
    <x v="14"/>
    <x v="0"/>
    <x v="13"/>
    <n v="0.9"/>
  </r>
  <r>
    <x v="0"/>
    <x v="0"/>
    <x v="0"/>
    <x v="7"/>
    <x v="14"/>
    <x v="0"/>
    <x v="14"/>
    <n v="0.9"/>
  </r>
  <r>
    <x v="0"/>
    <x v="0"/>
    <x v="0"/>
    <x v="7"/>
    <x v="14"/>
    <x v="0"/>
    <x v="15"/>
    <n v="0.9"/>
  </r>
  <r>
    <x v="0"/>
    <x v="0"/>
    <x v="0"/>
    <x v="7"/>
    <x v="14"/>
    <x v="0"/>
    <x v="16"/>
    <n v="0.9"/>
  </r>
  <r>
    <x v="0"/>
    <x v="0"/>
    <x v="0"/>
    <x v="7"/>
    <x v="14"/>
    <x v="0"/>
    <x v="17"/>
    <n v="0.9"/>
  </r>
  <r>
    <x v="0"/>
    <x v="0"/>
    <x v="0"/>
    <x v="7"/>
    <x v="14"/>
    <x v="0"/>
    <x v="18"/>
    <n v="0.9"/>
  </r>
  <r>
    <x v="0"/>
    <x v="0"/>
    <x v="0"/>
    <x v="7"/>
    <x v="14"/>
    <x v="0"/>
    <x v="19"/>
    <n v="0.9"/>
  </r>
  <r>
    <x v="0"/>
    <x v="0"/>
    <x v="0"/>
    <x v="7"/>
    <x v="14"/>
    <x v="0"/>
    <x v="20"/>
    <n v="0.61705350029584205"/>
  </r>
  <r>
    <x v="0"/>
    <x v="0"/>
    <x v="0"/>
    <x v="7"/>
    <x v="14"/>
    <x v="0"/>
    <x v="21"/>
    <n v="0.35461226256275502"/>
  </r>
  <r>
    <x v="0"/>
    <x v="0"/>
    <x v="0"/>
    <x v="7"/>
    <x v="14"/>
    <x v="0"/>
    <x v="22"/>
    <n v="0.262727445688891"/>
  </r>
  <r>
    <x v="0"/>
    <x v="0"/>
    <x v="0"/>
    <x v="7"/>
    <x v="14"/>
    <x v="0"/>
    <x v="23"/>
    <n v="6.1468243208320499E-2"/>
  </r>
  <r>
    <x v="0"/>
    <x v="0"/>
    <x v="0"/>
    <x v="7"/>
    <x v="15"/>
    <x v="0"/>
    <x v="0"/>
    <n v="0"/>
  </r>
  <r>
    <x v="0"/>
    <x v="0"/>
    <x v="0"/>
    <x v="7"/>
    <x v="15"/>
    <x v="0"/>
    <x v="1"/>
    <n v="0"/>
  </r>
  <r>
    <x v="0"/>
    <x v="0"/>
    <x v="0"/>
    <x v="7"/>
    <x v="15"/>
    <x v="0"/>
    <x v="2"/>
    <n v="0"/>
  </r>
  <r>
    <x v="0"/>
    <x v="0"/>
    <x v="0"/>
    <x v="7"/>
    <x v="15"/>
    <x v="0"/>
    <x v="3"/>
    <n v="0"/>
  </r>
  <r>
    <x v="0"/>
    <x v="0"/>
    <x v="0"/>
    <x v="7"/>
    <x v="15"/>
    <x v="0"/>
    <x v="4"/>
    <n v="0"/>
  </r>
  <r>
    <x v="0"/>
    <x v="0"/>
    <x v="0"/>
    <x v="7"/>
    <x v="15"/>
    <x v="0"/>
    <x v="5"/>
    <n v="0"/>
  </r>
  <r>
    <x v="0"/>
    <x v="0"/>
    <x v="0"/>
    <x v="7"/>
    <x v="15"/>
    <x v="0"/>
    <x v="6"/>
    <n v="0"/>
  </r>
  <r>
    <x v="0"/>
    <x v="0"/>
    <x v="0"/>
    <x v="7"/>
    <x v="15"/>
    <x v="0"/>
    <x v="7"/>
    <n v="0"/>
  </r>
  <r>
    <x v="0"/>
    <x v="0"/>
    <x v="0"/>
    <x v="7"/>
    <x v="15"/>
    <x v="0"/>
    <x v="8"/>
    <n v="0"/>
  </r>
  <r>
    <x v="0"/>
    <x v="0"/>
    <x v="0"/>
    <x v="7"/>
    <x v="15"/>
    <x v="0"/>
    <x v="9"/>
    <n v="0"/>
  </r>
  <r>
    <x v="0"/>
    <x v="0"/>
    <x v="0"/>
    <x v="7"/>
    <x v="15"/>
    <x v="0"/>
    <x v="10"/>
    <n v="0"/>
  </r>
  <r>
    <x v="0"/>
    <x v="0"/>
    <x v="0"/>
    <x v="7"/>
    <x v="15"/>
    <x v="0"/>
    <x v="11"/>
    <n v="0"/>
  </r>
  <r>
    <x v="0"/>
    <x v="0"/>
    <x v="0"/>
    <x v="7"/>
    <x v="15"/>
    <x v="0"/>
    <x v="12"/>
    <n v="0"/>
  </r>
  <r>
    <x v="0"/>
    <x v="0"/>
    <x v="0"/>
    <x v="7"/>
    <x v="15"/>
    <x v="0"/>
    <x v="13"/>
    <n v="0"/>
  </r>
  <r>
    <x v="0"/>
    <x v="0"/>
    <x v="0"/>
    <x v="7"/>
    <x v="15"/>
    <x v="0"/>
    <x v="14"/>
    <n v="0"/>
  </r>
  <r>
    <x v="0"/>
    <x v="0"/>
    <x v="0"/>
    <x v="7"/>
    <x v="15"/>
    <x v="0"/>
    <x v="15"/>
    <n v="0"/>
  </r>
  <r>
    <x v="0"/>
    <x v="0"/>
    <x v="0"/>
    <x v="7"/>
    <x v="15"/>
    <x v="0"/>
    <x v="16"/>
    <n v="0"/>
  </r>
  <r>
    <x v="0"/>
    <x v="0"/>
    <x v="0"/>
    <x v="7"/>
    <x v="15"/>
    <x v="0"/>
    <x v="17"/>
    <n v="0"/>
  </r>
  <r>
    <x v="0"/>
    <x v="0"/>
    <x v="0"/>
    <x v="7"/>
    <x v="15"/>
    <x v="0"/>
    <x v="18"/>
    <n v="0"/>
  </r>
  <r>
    <x v="0"/>
    <x v="0"/>
    <x v="0"/>
    <x v="7"/>
    <x v="15"/>
    <x v="0"/>
    <x v="19"/>
    <n v="0"/>
  </r>
  <r>
    <x v="0"/>
    <x v="0"/>
    <x v="0"/>
    <x v="7"/>
    <x v="15"/>
    <x v="0"/>
    <x v="20"/>
    <n v="0"/>
  </r>
  <r>
    <x v="0"/>
    <x v="0"/>
    <x v="0"/>
    <x v="7"/>
    <x v="15"/>
    <x v="0"/>
    <x v="21"/>
    <n v="0"/>
  </r>
  <r>
    <x v="0"/>
    <x v="0"/>
    <x v="0"/>
    <x v="7"/>
    <x v="15"/>
    <x v="0"/>
    <x v="22"/>
    <n v="0"/>
  </r>
  <r>
    <x v="0"/>
    <x v="0"/>
    <x v="0"/>
    <x v="7"/>
    <x v="15"/>
    <x v="0"/>
    <x v="23"/>
    <n v="0"/>
  </r>
  <r>
    <x v="0"/>
    <x v="0"/>
    <x v="0"/>
    <x v="7"/>
    <x v="16"/>
    <x v="0"/>
    <x v="0"/>
    <n v="-0.50019919878837005"/>
  </r>
  <r>
    <x v="0"/>
    <x v="0"/>
    <x v="0"/>
    <x v="7"/>
    <x v="16"/>
    <x v="0"/>
    <x v="1"/>
    <n v="-0.533054512242918"/>
  </r>
  <r>
    <x v="0"/>
    <x v="0"/>
    <x v="0"/>
    <x v="7"/>
    <x v="16"/>
    <x v="0"/>
    <x v="2"/>
    <n v="-0.54266252930340697"/>
  </r>
  <r>
    <x v="0"/>
    <x v="0"/>
    <x v="0"/>
    <x v="7"/>
    <x v="16"/>
    <x v="0"/>
    <x v="3"/>
    <n v="-0.54929491820096898"/>
  </r>
  <r>
    <x v="0"/>
    <x v="0"/>
    <x v="0"/>
    <x v="7"/>
    <x v="16"/>
    <x v="0"/>
    <x v="4"/>
    <n v="-0.52831944621870397"/>
  </r>
  <r>
    <x v="0"/>
    <x v="0"/>
    <x v="0"/>
    <x v="7"/>
    <x v="16"/>
    <x v="0"/>
    <x v="5"/>
    <n v="-0.94877680654089802"/>
  </r>
  <r>
    <x v="0"/>
    <x v="0"/>
    <x v="0"/>
    <x v="7"/>
    <x v="16"/>
    <x v="0"/>
    <x v="6"/>
    <n v="-1.17"/>
  </r>
  <r>
    <x v="0"/>
    <x v="0"/>
    <x v="0"/>
    <x v="7"/>
    <x v="16"/>
    <x v="0"/>
    <x v="7"/>
    <n v="-0.61099981540500303"/>
  </r>
  <r>
    <x v="0"/>
    <x v="0"/>
    <x v="0"/>
    <x v="7"/>
    <x v="16"/>
    <x v="0"/>
    <x v="8"/>
    <n v="-1.17"/>
  </r>
  <r>
    <x v="0"/>
    <x v="0"/>
    <x v="0"/>
    <x v="7"/>
    <x v="16"/>
    <x v="0"/>
    <x v="9"/>
    <n v="-1.0858815593726701"/>
  </r>
  <r>
    <x v="0"/>
    <x v="0"/>
    <x v="0"/>
    <x v="7"/>
    <x v="16"/>
    <x v="0"/>
    <x v="10"/>
    <n v="-0.67802299388252996"/>
  </r>
  <r>
    <x v="0"/>
    <x v="0"/>
    <x v="0"/>
    <x v="7"/>
    <x v="16"/>
    <x v="0"/>
    <x v="11"/>
    <n v="-1.17"/>
  </r>
  <r>
    <x v="0"/>
    <x v="0"/>
    <x v="0"/>
    <x v="7"/>
    <x v="16"/>
    <x v="0"/>
    <x v="12"/>
    <n v="-1.17"/>
  </r>
  <r>
    <x v="0"/>
    <x v="0"/>
    <x v="0"/>
    <x v="7"/>
    <x v="16"/>
    <x v="0"/>
    <x v="13"/>
    <n v="-1.17"/>
  </r>
  <r>
    <x v="0"/>
    <x v="0"/>
    <x v="0"/>
    <x v="7"/>
    <x v="16"/>
    <x v="0"/>
    <x v="14"/>
    <n v="-0.61912734931721003"/>
  </r>
  <r>
    <x v="0"/>
    <x v="0"/>
    <x v="0"/>
    <x v="7"/>
    <x v="16"/>
    <x v="0"/>
    <x v="15"/>
    <n v="-0.63564956814037898"/>
  </r>
  <r>
    <x v="0"/>
    <x v="0"/>
    <x v="0"/>
    <x v="7"/>
    <x v="16"/>
    <x v="0"/>
    <x v="16"/>
    <n v="-1.17"/>
  </r>
  <r>
    <x v="0"/>
    <x v="0"/>
    <x v="0"/>
    <x v="7"/>
    <x v="16"/>
    <x v="0"/>
    <x v="17"/>
    <n v="-1.17"/>
  </r>
  <r>
    <x v="0"/>
    <x v="0"/>
    <x v="0"/>
    <x v="7"/>
    <x v="16"/>
    <x v="0"/>
    <x v="18"/>
    <n v="-1.17"/>
  </r>
  <r>
    <x v="0"/>
    <x v="0"/>
    <x v="0"/>
    <x v="7"/>
    <x v="16"/>
    <x v="0"/>
    <x v="19"/>
    <n v="-1.17"/>
  </r>
  <r>
    <x v="0"/>
    <x v="0"/>
    <x v="0"/>
    <x v="7"/>
    <x v="16"/>
    <x v="0"/>
    <x v="20"/>
    <n v="-0.88339974880835204"/>
  </r>
  <r>
    <x v="0"/>
    <x v="0"/>
    <x v="0"/>
    <x v="7"/>
    <x v="16"/>
    <x v="0"/>
    <x v="21"/>
    <n v="-0.77298351294967804"/>
  </r>
  <r>
    <x v="0"/>
    <x v="0"/>
    <x v="0"/>
    <x v="7"/>
    <x v="16"/>
    <x v="0"/>
    <x v="22"/>
    <n v="-0.75517005409871296"/>
  </r>
  <r>
    <x v="0"/>
    <x v="0"/>
    <x v="0"/>
    <x v="7"/>
    <x v="16"/>
    <x v="0"/>
    <x v="23"/>
    <n v="-0.72101788713026005"/>
  </r>
  <r>
    <x v="0"/>
    <x v="0"/>
    <x v="0"/>
    <x v="7"/>
    <x v="10"/>
    <x v="0"/>
    <x v="0"/>
    <n v="0"/>
  </r>
  <r>
    <x v="0"/>
    <x v="0"/>
    <x v="0"/>
    <x v="7"/>
    <x v="10"/>
    <x v="0"/>
    <x v="1"/>
    <n v="0"/>
  </r>
  <r>
    <x v="0"/>
    <x v="0"/>
    <x v="0"/>
    <x v="7"/>
    <x v="10"/>
    <x v="0"/>
    <x v="2"/>
    <n v="0"/>
  </r>
  <r>
    <x v="0"/>
    <x v="0"/>
    <x v="0"/>
    <x v="7"/>
    <x v="10"/>
    <x v="0"/>
    <x v="3"/>
    <n v="0"/>
  </r>
  <r>
    <x v="0"/>
    <x v="0"/>
    <x v="0"/>
    <x v="7"/>
    <x v="10"/>
    <x v="0"/>
    <x v="4"/>
    <n v="0"/>
  </r>
  <r>
    <x v="0"/>
    <x v="0"/>
    <x v="0"/>
    <x v="7"/>
    <x v="10"/>
    <x v="0"/>
    <x v="5"/>
    <n v="0.26196292387303"/>
  </r>
  <r>
    <x v="0"/>
    <x v="0"/>
    <x v="0"/>
    <x v="7"/>
    <x v="10"/>
    <x v="0"/>
    <x v="6"/>
    <n v="0.59875264817964802"/>
  </r>
  <r>
    <x v="0"/>
    <x v="0"/>
    <x v="0"/>
    <x v="7"/>
    <x v="10"/>
    <x v="0"/>
    <x v="7"/>
    <n v="0"/>
  </r>
  <r>
    <x v="0"/>
    <x v="0"/>
    <x v="0"/>
    <x v="7"/>
    <x v="10"/>
    <x v="0"/>
    <x v="8"/>
    <n v="0.65660212465046497"/>
  </r>
  <r>
    <x v="0"/>
    <x v="0"/>
    <x v="0"/>
    <x v="7"/>
    <x v="10"/>
    <x v="0"/>
    <x v="9"/>
    <n v="0.67904036295641201"/>
  </r>
  <r>
    <x v="0"/>
    <x v="0"/>
    <x v="0"/>
    <x v="7"/>
    <x v="10"/>
    <x v="0"/>
    <x v="10"/>
    <n v="0.23222296901508099"/>
  </r>
  <r>
    <x v="0"/>
    <x v="0"/>
    <x v="0"/>
    <x v="7"/>
    <x v="10"/>
    <x v="0"/>
    <x v="11"/>
    <n v="0.72704226112035997"/>
  </r>
  <r>
    <x v="0"/>
    <x v="0"/>
    <x v="0"/>
    <x v="7"/>
    <x v="10"/>
    <x v="0"/>
    <x v="12"/>
    <n v="0.56911692433358296"/>
  </r>
  <r>
    <x v="0"/>
    <x v="0"/>
    <x v="0"/>
    <x v="7"/>
    <x v="10"/>
    <x v="0"/>
    <x v="13"/>
    <n v="0.53732181288130798"/>
  </r>
  <r>
    <x v="0"/>
    <x v="0"/>
    <x v="0"/>
    <x v="7"/>
    <x v="10"/>
    <x v="0"/>
    <x v="14"/>
    <n v="0"/>
  </r>
  <r>
    <x v="0"/>
    <x v="0"/>
    <x v="0"/>
    <x v="7"/>
    <x v="10"/>
    <x v="0"/>
    <x v="15"/>
    <n v="0"/>
  </r>
  <r>
    <x v="0"/>
    <x v="0"/>
    <x v="0"/>
    <x v="7"/>
    <x v="10"/>
    <x v="0"/>
    <x v="16"/>
    <n v="0.55060918625466804"/>
  </r>
  <r>
    <x v="0"/>
    <x v="0"/>
    <x v="0"/>
    <x v="7"/>
    <x v="10"/>
    <x v="0"/>
    <x v="17"/>
    <n v="0.295294193445925"/>
  </r>
  <r>
    <x v="0"/>
    <x v="0"/>
    <x v="0"/>
    <x v="7"/>
    <x v="10"/>
    <x v="0"/>
    <x v="18"/>
    <n v="0.21967868292928799"/>
  </r>
  <r>
    <x v="0"/>
    <x v="0"/>
    <x v="0"/>
    <x v="7"/>
    <x v="10"/>
    <x v="0"/>
    <x v="19"/>
    <n v="0.240144234240107"/>
  </r>
  <r>
    <x v="0"/>
    <x v="0"/>
    <x v="0"/>
    <x v="7"/>
    <x v="10"/>
    <x v="0"/>
    <x v="20"/>
    <n v="0"/>
  </r>
  <r>
    <x v="0"/>
    <x v="0"/>
    <x v="0"/>
    <x v="7"/>
    <x v="10"/>
    <x v="0"/>
    <x v="21"/>
    <n v="0"/>
  </r>
  <r>
    <x v="0"/>
    <x v="0"/>
    <x v="0"/>
    <x v="7"/>
    <x v="10"/>
    <x v="0"/>
    <x v="22"/>
    <n v="0"/>
  </r>
  <r>
    <x v="0"/>
    <x v="0"/>
    <x v="0"/>
    <x v="7"/>
    <x v="10"/>
    <x v="0"/>
    <x v="23"/>
    <n v="0"/>
  </r>
  <r>
    <x v="0"/>
    <x v="0"/>
    <x v="0"/>
    <x v="8"/>
    <x v="13"/>
    <x v="0"/>
    <x v="0"/>
    <n v="0"/>
  </r>
  <r>
    <x v="0"/>
    <x v="0"/>
    <x v="0"/>
    <x v="8"/>
    <x v="13"/>
    <x v="0"/>
    <x v="1"/>
    <n v="0"/>
  </r>
  <r>
    <x v="0"/>
    <x v="0"/>
    <x v="0"/>
    <x v="8"/>
    <x v="13"/>
    <x v="0"/>
    <x v="2"/>
    <n v="0"/>
  </r>
  <r>
    <x v="0"/>
    <x v="0"/>
    <x v="0"/>
    <x v="8"/>
    <x v="13"/>
    <x v="0"/>
    <x v="3"/>
    <n v="0"/>
  </r>
  <r>
    <x v="0"/>
    <x v="0"/>
    <x v="0"/>
    <x v="8"/>
    <x v="13"/>
    <x v="0"/>
    <x v="4"/>
    <n v="-0.54539360012954796"/>
  </r>
  <r>
    <x v="0"/>
    <x v="0"/>
    <x v="0"/>
    <x v="8"/>
    <x v="13"/>
    <x v="0"/>
    <x v="5"/>
    <n v="-0.49708977350316802"/>
  </r>
  <r>
    <x v="0"/>
    <x v="0"/>
    <x v="0"/>
    <x v="8"/>
    <x v="13"/>
    <x v="0"/>
    <x v="6"/>
    <n v="-0.80937443161398803"/>
  </r>
  <r>
    <x v="0"/>
    <x v="0"/>
    <x v="0"/>
    <x v="8"/>
    <x v="13"/>
    <x v="0"/>
    <x v="7"/>
    <n v="-0.77823624705735595"/>
  </r>
  <r>
    <x v="0"/>
    <x v="0"/>
    <x v="0"/>
    <x v="8"/>
    <x v="13"/>
    <x v="0"/>
    <x v="8"/>
    <n v="-0.602348596787186"/>
  </r>
  <r>
    <x v="0"/>
    <x v="0"/>
    <x v="0"/>
    <x v="8"/>
    <x v="13"/>
    <x v="0"/>
    <x v="9"/>
    <n v="-0.532971835390047"/>
  </r>
  <r>
    <x v="0"/>
    <x v="0"/>
    <x v="0"/>
    <x v="8"/>
    <x v="13"/>
    <x v="0"/>
    <x v="10"/>
    <n v="-0.49153573105438603"/>
  </r>
  <r>
    <x v="0"/>
    <x v="0"/>
    <x v="0"/>
    <x v="8"/>
    <x v="13"/>
    <x v="0"/>
    <x v="11"/>
    <n v="-0.38432111914686501"/>
  </r>
  <r>
    <x v="0"/>
    <x v="0"/>
    <x v="0"/>
    <x v="8"/>
    <x v="13"/>
    <x v="0"/>
    <x v="12"/>
    <n v="-0.36913145141746001"/>
  </r>
  <r>
    <x v="0"/>
    <x v="0"/>
    <x v="0"/>
    <x v="8"/>
    <x v="13"/>
    <x v="0"/>
    <x v="13"/>
    <n v="-0.17491701061582399"/>
  </r>
  <r>
    <x v="0"/>
    <x v="0"/>
    <x v="0"/>
    <x v="8"/>
    <x v="13"/>
    <x v="0"/>
    <x v="14"/>
    <n v="-0.41678806992071299"/>
  </r>
  <r>
    <x v="0"/>
    <x v="0"/>
    <x v="0"/>
    <x v="8"/>
    <x v="13"/>
    <x v="0"/>
    <x v="15"/>
    <n v="-0.42742077754503799"/>
  </r>
  <r>
    <x v="0"/>
    <x v="0"/>
    <x v="0"/>
    <x v="8"/>
    <x v="13"/>
    <x v="0"/>
    <x v="16"/>
    <n v="-0.34869378182733202"/>
  </r>
  <r>
    <x v="0"/>
    <x v="0"/>
    <x v="0"/>
    <x v="8"/>
    <x v="13"/>
    <x v="0"/>
    <x v="17"/>
    <n v="-0.369470066872784"/>
  </r>
  <r>
    <x v="0"/>
    <x v="0"/>
    <x v="0"/>
    <x v="8"/>
    <x v="13"/>
    <x v="0"/>
    <x v="18"/>
    <n v="-0.34337504327157697"/>
  </r>
  <r>
    <x v="0"/>
    <x v="0"/>
    <x v="0"/>
    <x v="8"/>
    <x v="13"/>
    <x v="0"/>
    <x v="19"/>
    <n v="-0.30348211099495997"/>
  </r>
  <r>
    <x v="0"/>
    <x v="0"/>
    <x v="0"/>
    <x v="8"/>
    <x v="13"/>
    <x v="0"/>
    <x v="20"/>
    <n v="-0.11806018839155499"/>
  </r>
  <r>
    <x v="0"/>
    <x v="0"/>
    <x v="0"/>
    <x v="8"/>
    <x v="13"/>
    <x v="0"/>
    <x v="21"/>
    <n v="0"/>
  </r>
  <r>
    <x v="0"/>
    <x v="0"/>
    <x v="0"/>
    <x v="8"/>
    <x v="13"/>
    <x v="0"/>
    <x v="22"/>
    <n v="0"/>
  </r>
  <r>
    <x v="0"/>
    <x v="0"/>
    <x v="0"/>
    <x v="8"/>
    <x v="13"/>
    <x v="0"/>
    <x v="23"/>
    <n v="0"/>
  </r>
  <r>
    <x v="0"/>
    <x v="0"/>
    <x v="0"/>
    <x v="8"/>
    <x v="4"/>
    <x v="0"/>
    <x v="0"/>
    <n v="0.78825291774162498"/>
  </r>
  <r>
    <x v="0"/>
    <x v="0"/>
    <x v="0"/>
    <x v="8"/>
    <x v="4"/>
    <x v="0"/>
    <x v="1"/>
    <n v="0.897352310484831"/>
  </r>
  <r>
    <x v="0"/>
    <x v="0"/>
    <x v="0"/>
    <x v="8"/>
    <x v="4"/>
    <x v="0"/>
    <x v="2"/>
    <n v="0.94141165609633803"/>
  </r>
  <r>
    <x v="0"/>
    <x v="0"/>
    <x v="0"/>
    <x v="8"/>
    <x v="4"/>
    <x v="0"/>
    <x v="3"/>
    <n v="0.96090188275014199"/>
  </r>
  <r>
    <x v="0"/>
    <x v="0"/>
    <x v="0"/>
    <x v="8"/>
    <x v="4"/>
    <x v="0"/>
    <x v="4"/>
    <n v="1.4848310634408699"/>
  </r>
  <r>
    <x v="0"/>
    <x v="0"/>
    <x v="0"/>
    <x v="8"/>
    <x v="4"/>
    <x v="0"/>
    <x v="5"/>
    <n v="1.52916069046629"/>
  </r>
  <r>
    <x v="0"/>
    <x v="0"/>
    <x v="0"/>
    <x v="8"/>
    <x v="4"/>
    <x v="0"/>
    <x v="6"/>
    <n v="1.6036685318406001"/>
  </r>
  <r>
    <x v="0"/>
    <x v="0"/>
    <x v="0"/>
    <x v="8"/>
    <x v="4"/>
    <x v="0"/>
    <x v="7"/>
    <n v="1.6036685318406001"/>
  </r>
  <r>
    <x v="0"/>
    <x v="0"/>
    <x v="0"/>
    <x v="8"/>
    <x v="4"/>
    <x v="0"/>
    <x v="8"/>
    <n v="1.6036685318406001"/>
  </r>
  <r>
    <x v="0"/>
    <x v="0"/>
    <x v="0"/>
    <x v="8"/>
    <x v="4"/>
    <x v="0"/>
    <x v="9"/>
    <n v="1.6036685318406001"/>
  </r>
  <r>
    <x v="0"/>
    <x v="0"/>
    <x v="0"/>
    <x v="8"/>
    <x v="4"/>
    <x v="0"/>
    <x v="10"/>
    <n v="1.6036685318406001"/>
  </r>
  <r>
    <x v="0"/>
    <x v="0"/>
    <x v="0"/>
    <x v="8"/>
    <x v="4"/>
    <x v="0"/>
    <x v="11"/>
    <n v="1.6036685318406001"/>
  </r>
  <r>
    <x v="0"/>
    <x v="0"/>
    <x v="0"/>
    <x v="8"/>
    <x v="4"/>
    <x v="0"/>
    <x v="12"/>
    <n v="1.6036685318406001"/>
  </r>
  <r>
    <x v="0"/>
    <x v="0"/>
    <x v="0"/>
    <x v="8"/>
    <x v="4"/>
    <x v="0"/>
    <x v="13"/>
    <n v="1.3724922936066499"/>
  </r>
  <r>
    <x v="0"/>
    <x v="0"/>
    <x v="0"/>
    <x v="8"/>
    <x v="4"/>
    <x v="0"/>
    <x v="14"/>
    <n v="1.6036685318406001"/>
  </r>
  <r>
    <x v="0"/>
    <x v="0"/>
    <x v="0"/>
    <x v="8"/>
    <x v="4"/>
    <x v="0"/>
    <x v="15"/>
    <n v="1.6036685318406001"/>
  </r>
  <r>
    <x v="0"/>
    <x v="0"/>
    <x v="0"/>
    <x v="8"/>
    <x v="4"/>
    <x v="0"/>
    <x v="16"/>
    <n v="1.6036685318406001"/>
  </r>
  <r>
    <x v="0"/>
    <x v="0"/>
    <x v="0"/>
    <x v="8"/>
    <x v="4"/>
    <x v="0"/>
    <x v="17"/>
    <n v="1.6036685318406001"/>
  </r>
  <r>
    <x v="0"/>
    <x v="0"/>
    <x v="0"/>
    <x v="8"/>
    <x v="4"/>
    <x v="0"/>
    <x v="18"/>
    <n v="1.6036685318406001"/>
  </r>
  <r>
    <x v="0"/>
    <x v="0"/>
    <x v="0"/>
    <x v="8"/>
    <x v="4"/>
    <x v="0"/>
    <x v="19"/>
    <n v="1.6036685318406001"/>
  </r>
  <r>
    <x v="0"/>
    <x v="0"/>
    <x v="0"/>
    <x v="8"/>
    <x v="4"/>
    <x v="0"/>
    <x v="20"/>
    <n v="0.92490558527203504"/>
  </r>
  <r>
    <x v="0"/>
    <x v="0"/>
    <x v="0"/>
    <x v="8"/>
    <x v="4"/>
    <x v="0"/>
    <x v="21"/>
    <n v="0.77024255018754595"/>
  </r>
  <r>
    <x v="0"/>
    <x v="0"/>
    <x v="0"/>
    <x v="8"/>
    <x v="4"/>
    <x v="0"/>
    <x v="22"/>
    <n v="0.84815280527452896"/>
  </r>
  <r>
    <x v="0"/>
    <x v="0"/>
    <x v="0"/>
    <x v="8"/>
    <x v="4"/>
    <x v="0"/>
    <x v="23"/>
    <n v="0.86805831922841403"/>
  </r>
  <r>
    <x v="0"/>
    <x v="0"/>
    <x v="0"/>
    <x v="8"/>
    <x v="8"/>
    <x v="0"/>
    <x v="0"/>
    <n v="0"/>
  </r>
  <r>
    <x v="0"/>
    <x v="0"/>
    <x v="0"/>
    <x v="8"/>
    <x v="8"/>
    <x v="0"/>
    <x v="1"/>
    <n v="0"/>
  </r>
  <r>
    <x v="0"/>
    <x v="0"/>
    <x v="0"/>
    <x v="8"/>
    <x v="8"/>
    <x v="0"/>
    <x v="2"/>
    <n v="0"/>
  </r>
  <r>
    <x v="0"/>
    <x v="0"/>
    <x v="0"/>
    <x v="8"/>
    <x v="8"/>
    <x v="0"/>
    <x v="3"/>
    <n v="0"/>
  </r>
  <r>
    <x v="0"/>
    <x v="0"/>
    <x v="0"/>
    <x v="8"/>
    <x v="8"/>
    <x v="0"/>
    <x v="4"/>
    <n v="0"/>
  </r>
  <r>
    <x v="0"/>
    <x v="0"/>
    <x v="0"/>
    <x v="8"/>
    <x v="8"/>
    <x v="0"/>
    <x v="5"/>
    <n v="0"/>
  </r>
  <r>
    <x v="0"/>
    <x v="0"/>
    <x v="0"/>
    <x v="8"/>
    <x v="8"/>
    <x v="0"/>
    <x v="6"/>
    <n v="0.22447640608011901"/>
  </r>
  <r>
    <x v="0"/>
    <x v="0"/>
    <x v="0"/>
    <x v="8"/>
    <x v="8"/>
    <x v="0"/>
    <x v="7"/>
    <n v="0"/>
  </r>
  <r>
    <x v="0"/>
    <x v="0"/>
    <x v="0"/>
    <x v="8"/>
    <x v="8"/>
    <x v="0"/>
    <x v="8"/>
    <n v="-0.278541900083422"/>
  </r>
  <r>
    <x v="0"/>
    <x v="0"/>
    <x v="0"/>
    <x v="8"/>
    <x v="8"/>
    <x v="0"/>
    <x v="9"/>
    <n v="-0.53219144390830297"/>
  </r>
  <r>
    <x v="0"/>
    <x v="0"/>
    <x v="0"/>
    <x v="8"/>
    <x v="8"/>
    <x v="0"/>
    <x v="10"/>
    <n v="-0.54788926310972397"/>
  </r>
  <r>
    <x v="0"/>
    <x v="0"/>
    <x v="0"/>
    <x v="8"/>
    <x v="8"/>
    <x v="0"/>
    <x v="11"/>
    <n v="-0.63"/>
  </r>
  <r>
    <x v="0"/>
    <x v="0"/>
    <x v="0"/>
    <x v="8"/>
    <x v="8"/>
    <x v="0"/>
    <x v="12"/>
    <n v="-0.63"/>
  </r>
  <r>
    <x v="0"/>
    <x v="0"/>
    <x v="0"/>
    <x v="8"/>
    <x v="8"/>
    <x v="0"/>
    <x v="13"/>
    <n v="-0.63"/>
  </r>
  <r>
    <x v="0"/>
    <x v="0"/>
    <x v="0"/>
    <x v="8"/>
    <x v="8"/>
    <x v="0"/>
    <x v="14"/>
    <n v="-0.59158977314938999"/>
  </r>
  <r>
    <x v="0"/>
    <x v="0"/>
    <x v="0"/>
    <x v="8"/>
    <x v="8"/>
    <x v="0"/>
    <x v="15"/>
    <n v="-0.55468294988057398"/>
  </r>
  <r>
    <x v="0"/>
    <x v="0"/>
    <x v="0"/>
    <x v="8"/>
    <x v="8"/>
    <x v="0"/>
    <x v="16"/>
    <n v="-0.61478834727049303"/>
  </r>
  <r>
    <x v="0"/>
    <x v="0"/>
    <x v="0"/>
    <x v="8"/>
    <x v="8"/>
    <x v="0"/>
    <x v="17"/>
    <n v="-0.63"/>
  </r>
  <r>
    <x v="0"/>
    <x v="0"/>
    <x v="0"/>
    <x v="8"/>
    <x v="8"/>
    <x v="0"/>
    <x v="18"/>
    <n v="-0.63"/>
  </r>
  <r>
    <x v="0"/>
    <x v="0"/>
    <x v="0"/>
    <x v="8"/>
    <x v="8"/>
    <x v="0"/>
    <x v="19"/>
    <n v="-0.60980549194692302"/>
  </r>
  <r>
    <x v="0"/>
    <x v="0"/>
    <x v="0"/>
    <x v="8"/>
    <x v="8"/>
    <x v="0"/>
    <x v="20"/>
    <n v="0"/>
  </r>
  <r>
    <x v="0"/>
    <x v="0"/>
    <x v="0"/>
    <x v="8"/>
    <x v="8"/>
    <x v="0"/>
    <x v="21"/>
    <n v="0"/>
  </r>
  <r>
    <x v="0"/>
    <x v="0"/>
    <x v="0"/>
    <x v="8"/>
    <x v="8"/>
    <x v="0"/>
    <x v="22"/>
    <n v="0"/>
  </r>
  <r>
    <x v="0"/>
    <x v="0"/>
    <x v="0"/>
    <x v="8"/>
    <x v="8"/>
    <x v="0"/>
    <x v="23"/>
    <n v="0"/>
  </r>
  <r>
    <x v="0"/>
    <x v="0"/>
    <x v="0"/>
    <x v="9"/>
    <x v="14"/>
    <x v="0"/>
    <x v="0"/>
    <n v="0.47107867779414803"/>
  </r>
  <r>
    <x v="0"/>
    <x v="0"/>
    <x v="0"/>
    <x v="9"/>
    <x v="14"/>
    <x v="0"/>
    <x v="1"/>
    <n v="0.524646105245129"/>
  </r>
  <r>
    <x v="0"/>
    <x v="0"/>
    <x v="0"/>
    <x v="9"/>
    <x v="14"/>
    <x v="0"/>
    <x v="2"/>
    <n v="0.54472945756127"/>
  </r>
  <r>
    <x v="0"/>
    <x v="0"/>
    <x v="0"/>
    <x v="9"/>
    <x v="14"/>
    <x v="0"/>
    <x v="3"/>
    <n v="0.55505040227709401"/>
  </r>
  <r>
    <x v="0"/>
    <x v="0"/>
    <x v="0"/>
    <x v="9"/>
    <x v="14"/>
    <x v="0"/>
    <x v="4"/>
    <n v="0"/>
  </r>
  <r>
    <x v="0"/>
    <x v="0"/>
    <x v="0"/>
    <x v="9"/>
    <x v="14"/>
    <x v="0"/>
    <x v="5"/>
    <n v="0"/>
  </r>
  <r>
    <x v="0"/>
    <x v="0"/>
    <x v="0"/>
    <x v="9"/>
    <x v="14"/>
    <x v="0"/>
    <x v="6"/>
    <n v="-0.33943603711541398"/>
  </r>
  <r>
    <x v="0"/>
    <x v="0"/>
    <x v="0"/>
    <x v="9"/>
    <x v="14"/>
    <x v="0"/>
    <x v="7"/>
    <n v="-0.50769394370420695"/>
  </r>
  <r>
    <x v="0"/>
    <x v="0"/>
    <x v="0"/>
    <x v="9"/>
    <x v="14"/>
    <x v="0"/>
    <x v="8"/>
    <n v="-0.45728005588607201"/>
  </r>
  <r>
    <x v="0"/>
    <x v="0"/>
    <x v="0"/>
    <x v="9"/>
    <x v="14"/>
    <x v="0"/>
    <x v="9"/>
    <n v="-0.42277021732626402"/>
  </r>
  <r>
    <x v="0"/>
    <x v="0"/>
    <x v="0"/>
    <x v="9"/>
    <x v="14"/>
    <x v="0"/>
    <x v="10"/>
    <n v="-0.39125201860196801"/>
  </r>
  <r>
    <x v="0"/>
    <x v="0"/>
    <x v="0"/>
    <x v="9"/>
    <x v="14"/>
    <x v="0"/>
    <x v="11"/>
    <n v="-0.25505844883685003"/>
  </r>
  <r>
    <x v="0"/>
    <x v="0"/>
    <x v="0"/>
    <x v="9"/>
    <x v="14"/>
    <x v="0"/>
    <x v="12"/>
    <n v="-0.234191612775321"/>
  </r>
  <r>
    <x v="0"/>
    <x v="0"/>
    <x v="0"/>
    <x v="9"/>
    <x v="14"/>
    <x v="0"/>
    <x v="13"/>
    <n v="-0.150750411525404"/>
  </r>
  <r>
    <x v="0"/>
    <x v="0"/>
    <x v="0"/>
    <x v="9"/>
    <x v="14"/>
    <x v="0"/>
    <x v="14"/>
    <n v="-0.28188363851564502"/>
  </r>
  <r>
    <x v="0"/>
    <x v="0"/>
    <x v="0"/>
    <x v="9"/>
    <x v="14"/>
    <x v="0"/>
    <x v="15"/>
    <n v="-0.29617579281613599"/>
  </r>
  <r>
    <x v="0"/>
    <x v="0"/>
    <x v="0"/>
    <x v="9"/>
    <x v="14"/>
    <x v="0"/>
    <x v="16"/>
    <n v="-0.25831993797400099"/>
  </r>
  <r>
    <x v="0"/>
    <x v="0"/>
    <x v="0"/>
    <x v="9"/>
    <x v="14"/>
    <x v="0"/>
    <x v="17"/>
    <n v="-0.271187683971083"/>
  </r>
  <r>
    <x v="0"/>
    <x v="0"/>
    <x v="0"/>
    <x v="9"/>
    <x v="14"/>
    <x v="0"/>
    <x v="18"/>
    <n v="-0.20770394038548701"/>
  </r>
  <r>
    <x v="0"/>
    <x v="0"/>
    <x v="0"/>
    <x v="9"/>
    <x v="14"/>
    <x v="0"/>
    <x v="19"/>
    <n v="-0.238089824983722"/>
  </r>
  <r>
    <x v="0"/>
    <x v="0"/>
    <x v="0"/>
    <x v="9"/>
    <x v="14"/>
    <x v="0"/>
    <x v="20"/>
    <n v="0"/>
  </r>
  <r>
    <x v="0"/>
    <x v="0"/>
    <x v="0"/>
    <x v="9"/>
    <x v="14"/>
    <x v="0"/>
    <x v="21"/>
    <n v="0.174853417194162"/>
  </r>
  <r>
    <x v="0"/>
    <x v="0"/>
    <x v="0"/>
    <x v="9"/>
    <x v="14"/>
    <x v="0"/>
    <x v="22"/>
    <n v="0.27450538472598102"/>
  </r>
  <r>
    <x v="0"/>
    <x v="0"/>
    <x v="0"/>
    <x v="9"/>
    <x v="14"/>
    <x v="0"/>
    <x v="23"/>
    <n v="0.39059248141123198"/>
  </r>
  <r>
    <x v="0"/>
    <x v="0"/>
    <x v="0"/>
    <x v="9"/>
    <x v="17"/>
    <x v="0"/>
    <x v="0"/>
    <n v="0"/>
  </r>
  <r>
    <x v="0"/>
    <x v="0"/>
    <x v="0"/>
    <x v="9"/>
    <x v="17"/>
    <x v="0"/>
    <x v="1"/>
    <n v="0"/>
  </r>
  <r>
    <x v="0"/>
    <x v="0"/>
    <x v="0"/>
    <x v="9"/>
    <x v="17"/>
    <x v="0"/>
    <x v="2"/>
    <n v="0"/>
  </r>
  <r>
    <x v="0"/>
    <x v="0"/>
    <x v="0"/>
    <x v="9"/>
    <x v="17"/>
    <x v="0"/>
    <x v="3"/>
    <n v="0"/>
  </r>
  <r>
    <x v="0"/>
    <x v="0"/>
    <x v="0"/>
    <x v="9"/>
    <x v="17"/>
    <x v="0"/>
    <x v="4"/>
    <n v="0.54539360012954796"/>
  </r>
  <r>
    <x v="0"/>
    <x v="0"/>
    <x v="0"/>
    <x v="9"/>
    <x v="17"/>
    <x v="0"/>
    <x v="5"/>
    <n v="0.49708977350316802"/>
  </r>
  <r>
    <x v="0"/>
    <x v="0"/>
    <x v="0"/>
    <x v="9"/>
    <x v="17"/>
    <x v="0"/>
    <x v="6"/>
    <n v="0.80937443161398803"/>
  </r>
  <r>
    <x v="0"/>
    <x v="0"/>
    <x v="0"/>
    <x v="9"/>
    <x v="17"/>
    <x v="0"/>
    <x v="7"/>
    <n v="0.77823624705735595"/>
  </r>
  <r>
    <x v="0"/>
    <x v="0"/>
    <x v="0"/>
    <x v="9"/>
    <x v="17"/>
    <x v="0"/>
    <x v="8"/>
    <n v="0.602348596787186"/>
  </r>
  <r>
    <x v="0"/>
    <x v="0"/>
    <x v="0"/>
    <x v="9"/>
    <x v="17"/>
    <x v="0"/>
    <x v="9"/>
    <n v="0.532971835390047"/>
  </r>
  <r>
    <x v="0"/>
    <x v="0"/>
    <x v="0"/>
    <x v="9"/>
    <x v="17"/>
    <x v="0"/>
    <x v="10"/>
    <n v="0.49153573105438603"/>
  </r>
  <r>
    <x v="0"/>
    <x v="0"/>
    <x v="0"/>
    <x v="9"/>
    <x v="17"/>
    <x v="0"/>
    <x v="11"/>
    <n v="0.38432111914686501"/>
  </r>
  <r>
    <x v="0"/>
    <x v="0"/>
    <x v="0"/>
    <x v="9"/>
    <x v="17"/>
    <x v="0"/>
    <x v="12"/>
    <n v="0.36913145141746001"/>
  </r>
  <r>
    <x v="0"/>
    <x v="0"/>
    <x v="0"/>
    <x v="9"/>
    <x v="17"/>
    <x v="0"/>
    <x v="13"/>
    <n v="0.17491701061582399"/>
  </r>
  <r>
    <x v="0"/>
    <x v="0"/>
    <x v="0"/>
    <x v="9"/>
    <x v="17"/>
    <x v="0"/>
    <x v="14"/>
    <n v="0.41678806992071299"/>
  </r>
  <r>
    <x v="0"/>
    <x v="0"/>
    <x v="0"/>
    <x v="9"/>
    <x v="17"/>
    <x v="0"/>
    <x v="15"/>
    <n v="0.42742077754503799"/>
  </r>
  <r>
    <x v="0"/>
    <x v="0"/>
    <x v="0"/>
    <x v="9"/>
    <x v="17"/>
    <x v="0"/>
    <x v="16"/>
    <n v="0.34869378182733202"/>
  </r>
  <r>
    <x v="0"/>
    <x v="0"/>
    <x v="0"/>
    <x v="9"/>
    <x v="17"/>
    <x v="0"/>
    <x v="17"/>
    <n v="0.369470066872784"/>
  </r>
  <r>
    <x v="0"/>
    <x v="0"/>
    <x v="0"/>
    <x v="9"/>
    <x v="17"/>
    <x v="0"/>
    <x v="18"/>
    <n v="0.34337504327157697"/>
  </r>
  <r>
    <x v="0"/>
    <x v="0"/>
    <x v="0"/>
    <x v="9"/>
    <x v="17"/>
    <x v="0"/>
    <x v="19"/>
    <n v="0.30348211099495997"/>
  </r>
  <r>
    <x v="0"/>
    <x v="0"/>
    <x v="0"/>
    <x v="9"/>
    <x v="17"/>
    <x v="0"/>
    <x v="20"/>
    <n v="0.11806018839155499"/>
  </r>
  <r>
    <x v="0"/>
    <x v="0"/>
    <x v="0"/>
    <x v="9"/>
    <x v="17"/>
    <x v="0"/>
    <x v="21"/>
    <n v="0"/>
  </r>
  <r>
    <x v="0"/>
    <x v="0"/>
    <x v="0"/>
    <x v="9"/>
    <x v="17"/>
    <x v="0"/>
    <x v="22"/>
    <n v="0"/>
  </r>
  <r>
    <x v="0"/>
    <x v="0"/>
    <x v="0"/>
    <x v="9"/>
    <x v="17"/>
    <x v="0"/>
    <x v="23"/>
    <n v="0"/>
  </r>
  <r>
    <x v="0"/>
    <x v="0"/>
    <x v="0"/>
    <x v="9"/>
    <x v="10"/>
    <x v="0"/>
    <x v="0"/>
    <n v="0"/>
  </r>
  <r>
    <x v="0"/>
    <x v="0"/>
    <x v="0"/>
    <x v="9"/>
    <x v="10"/>
    <x v="0"/>
    <x v="1"/>
    <n v="0"/>
  </r>
  <r>
    <x v="0"/>
    <x v="0"/>
    <x v="0"/>
    <x v="9"/>
    <x v="10"/>
    <x v="0"/>
    <x v="2"/>
    <n v="0"/>
  </r>
  <r>
    <x v="0"/>
    <x v="0"/>
    <x v="0"/>
    <x v="9"/>
    <x v="10"/>
    <x v="0"/>
    <x v="3"/>
    <n v="0"/>
  </r>
  <r>
    <x v="0"/>
    <x v="0"/>
    <x v="0"/>
    <x v="9"/>
    <x v="10"/>
    <x v="0"/>
    <x v="4"/>
    <n v="0"/>
  </r>
  <r>
    <x v="0"/>
    <x v="0"/>
    <x v="0"/>
    <x v="9"/>
    <x v="10"/>
    <x v="0"/>
    <x v="5"/>
    <n v="0"/>
  </r>
  <r>
    <x v="0"/>
    <x v="0"/>
    <x v="0"/>
    <x v="9"/>
    <x v="10"/>
    <x v="0"/>
    <x v="6"/>
    <n v="0"/>
  </r>
  <r>
    <x v="0"/>
    <x v="0"/>
    <x v="0"/>
    <x v="9"/>
    <x v="10"/>
    <x v="0"/>
    <x v="7"/>
    <n v="0"/>
  </r>
  <r>
    <x v="0"/>
    <x v="0"/>
    <x v="0"/>
    <x v="9"/>
    <x v="10"/>
    <x v="0"/>
    <x v="8"/>
    <n v="0"/>
  </r>
  <r>
    <x v="0"/>
    <x v="0"/>
    <x v="0"/>
    <x v="9"/>
    <x v="10"/>
    <x v="0"/>
    <x v="9"/>
    <n v="0"/>
  </r>
  <r>
    <x v="0"/>
    <x v="0"/>
    <x v="0"/>
    <x v="9"/>
    <x v="10"/>
    <x v="0"/>
    <x v="10"/>
    <n v="0"/>
  </r>
  <r>
    <x v="0"/>
    <x v="0"/>
    <x v="0"/>
    <x v="9"/>
    <x v="10"/>
    <x v="0"/>
    <x v="11"/>
    <n v="0"/>
  </r>
  <r>
    <x v="0"/>
    <x v="0"/>
    <x v="0"/>
    <x v="9"/>
    <x v="10"/>
    <x v="0"/>
    <x v="12"/>
    <n v="0"/>
  </r>
  <r>
    <x v="0"/>
    <x v="0"/>
    <x v="0"/>
    <x v="9"/>
    <x v="10"/>
    <x v="0"/>
    <x v="13"/>
    <n v="0"/>
  </r>
  <r>
    <x v="0"/>
    <x v="0"/>
    <x v="0"/>
    <x v="9"/>
    <x v="10"/>
    <x v="0"/>
    <x v="14"/>
    <n v="0"/>
  </r>
  <r>
    <x v="0"/>
    <x v="0"/>
    <x v="0"/>
    <x v="9"/>
    <x v="10"/>
    <x v="0"/>
    <x v="15"/>
    <n v="0"/>
  </r>
  <r>
    <x v="0"/>
    <x v="0"/>
    <x v="0"/>
    <x v="9"/>
    <x v="10"/>
    <x v="0"/>
    <x v="16"/>
    <n v="0"/>
  </r>
  <r>
    <x v="0"/>
    <x v="0"/>
    <x v="0"/>
    <x v="9"/>
    <x v="10"/>
    <x v="0"/>
    <x v="17"/>
    <n v="0"/>
  </r>
  <r>
    <x v="0"/>
    <x v="0"/>
    <x v="0"/>
    <x v="9"/>
    <x v="10"/>
    <x v="0"/>
    <x v="18"/>
    <n v="0"/>
  </r>
  <r>
    <x v="0"/>
    <x v="0"/>
    <x v="0"/>
    <x v="9"/>
    <x v="10"/>
    <x v="0"/>
    <x v="19"/>
    <n v="0"/>
  </r>
  <r>
    <x v="0"/>
    <x v="0"/>
    <x v="0"/>
    <x v="9"/>
    <x v="10"/>
    <x v="0"/>
    <x v="20"/>
    <n v="0"/>
  </r>
  <r>
    <x v="0"/>
    <x v="0"/>
    <x v="0"/>
    <x v="9"/>
    <x v="10"/>
    <x v="0"/>
    <x v="21"/>
    <n v="0"/>
  </r>
  <r>
    <x v="0"/>
    <x v="0"/>
    <x v="0"/>
    <x v="9"/>
    <x v="10"/>
    <x v="0"/>
    <x v="22"/>
    <n v="0"/>
  </r>
  <r>
    <x v="0"/>
    <x v="0"/>
    <x v="0"/>
    <x v="9"/>
    <x v="10"/>
    <x v="0"/>
    <x v="23"/>
    <n v="0"/>
  </r>
  <r>
    <x v="0"/>
    <x v="0"/>
    <x v="0"/>
    <x v="10"/>
    <x v="1"/>
    <x v="0"/>
    <x v="0"/>
    <n v="7.0106782678158703"/>
  </r>
  <r>
    <x v="0"/>
    <x v="0"/>
    <x v="0"/>
    <x v="10"/>
    <x v="1"/>
    <x v="0"/>
    <x v="1"/>
    <n v="7.0106782678158703"/>
  </r>
  <r>
    <x v="0"/>
    <x v="0"/>
    <x v="0"/>
    <x v="10"/>
    <x v="1"/>
    <x v="0"/>
    <x v="2"/>
    <n v="7.0106782678158703"/>
  </r>
  <r>
    <x v="0"/>
    <x v="0"/>
    <x v="0"/>
    <x v="10"/>
    <x v="1"/>
    <x v="0"/>
    <x v="3"/>
    <n v="7.0106782678158703"/>
  </r>
  <r>
    <x v="0"/>
    <x v="0"/>
    <x v="0"/>
    <x v="10"/>
    <x v="1"/>
    <x v="0"/>
    <x v="4"/>
    <n v="7.0106782678158703"/>
  </r>
  <r>
    <x v="0"/>
    <x v="0"/>
    <x v="0"/>
    <x v="10"/>
    <x v="1"/>
    <x v="0"/>
    <x v="5"/>
    <n v="7.0106782678158703"/>
  </r>
  <r>
    <x v="0"/>
    <x v="0"/>
    <x v="0"/>
    <x v="10"/>
    <x v="1"/>
    <x v="0"/>
    <x v="6"/>
    <n v="7.0106782678158703"/>
  </r>
  <r>
    <x v="0"/>
    <x v="0"/>
    <x v="0"/>
    <x v="10"/>
    <x v="1"/>
    <x v="0"/>
    <x v="7"/>
    <n v="7.0106782678158703"/>
  </r>
  <r>
    <x v="0"/>
    <x v="0"/>
    <x v="0"/>
    <x v="10"/>
    <x v="1"/>
    <x v="0"/>
    <x v="8"/>
    <n v="7.0106782678158703"/>
  </r>
  <r>
    <x v="0"/>
    <x v="0"/>
    <x v="0"/>
    <x v="10"/>
    <x v="1"/>
    <x v="0"/>
    <x v="9"/>
    <n v="7.0106782678158703"/>
  </r>
  <r>
    <x v="0"/>
    <x v="0"/>
    <x v="0"/>
    <x v="10"/>
    <x v="1"/>
    <x v="0"/>
    <x v="10"/>
    <n v="7.0106782678158703"/>
  </r>
  <r>
    <x v="0"/>
    <x v="0"/>
    <x v="0"/>
    <x v="10"/>
    <x v="1"/>
    <x v="0"/>
    <x v="11"/>
    <n v="6.6380106186630297"/>
  </r>
  <r>
    <x v="0"/>
    <x v="0"/>
    <x v="0"/>
    <x v="10"/>
    <x v="1"/>
    <x v="0"/>
    <x v="12"/>
    <n v="6.9541354358930301"/>
  </r>
  <r>
    <x v="0"/>
    <x v="0"/>
    <x v="0"/>
    <x v="10"/>
    <x v="1"/>
    <x v="0"/>
    <x v="13"/>
    <n v="6.8593844792791998"/>
  </r>
  <r>
    <x v="0"/>
    <x v="0"/>
    <x v="0"/>
    <x v="10"/>
    <x v="1"/>
    <x v="0"/>
    <x v="14"/>
    <n v="7.0106782678158703"/>
  </r>
  <r>
    <x v="0"/>
    <x v="0"/>
    <x v="0"/>
    <x v="10"/>
    <x v="1"/>
    <x v="0"/>
    <x v="15"/>
    <n v="7.0106782678158703"/>
  </r>
  <r>
    <x v="0"/>
    <x v="0"/>
    <x v="0"/>
    <x v="10"/>
    <x v="1"/>
    <x v="0"/>
    <x v="16"/>
    <n v="7.0106782678158703"/>
  </r>
  <r>
    <x v="0"/>
    <x v="0"/>
    <x v="0"/>
    <x v="10"/>
    <x v="1"/>
    <x v="0"/>
    <x v="17"/>
    <n v="6.6619672537627697"/>
  </r>
  <r>
    <x v="0"/>
    <x v="0"/>
    <x v="0"/>
    <x v="10"/>
    <x v="1"/>
    <x v="0"/>
    <x v="18"/>
    <n v="7.0106782678158703"/>
  </r>
  <r>
    <x v="0"/>
    <x v="0"/>
    <x v="0"/>
    <x v="10"/>
    <x v="1"/>
    <x v="0"/>
    <x v="19"/>
    <n v="6.7202621210137501"/>
  </r>
  <r>
    <x v="0"/>
    <x v="0"/>
    <x v="0"/>
    <x v="10"/>
    <x v="1"/>
    <x v="0"/>
    <x v="20"/>
    <n v="7.0106782678158703"/>
  </r>
  <r>
    <x v="0"/>
    <x v="0"/>
    <x v="0"/>
    <x v="10"/>
    <x v="1"/>
    <x v="0"/>
    <x v="21"/>
    <n v="7.0106782678158703"/>
  </r>
  <r>
    <x v="0"/>
    <x v="0"/>
    <x v="0"/>
    <x v="10"/>
    <x v="1"/>
    <x v="0"/>
    <x v="22"/>
    <n v="7.0106782678158703"/>
  </r>
  <r>
    <x v="0"/>
    <x v="0"/>
    <x v="0"/>
    <x v="10"/>
    <x v="1"/>
    <x v="0"/>
    <x v="23"/>
    <n v="7.0106782678158703"/>
  </r>
  <r>
    <x v="0"/>
    <x v="0"/>
    <x v="0"/>
    <x v="10"/>
    <x v="2"/>
    <x v="0"/>
    <x v="0"/>
    <n v="2.79"/>
  </r>
  <r>
    <x v="0"/>
    <x v="0"/>
    <x v="0"/>
    <x v="10"/>
    <x v="2"/>
    <x v="0"/>
    <x v="1"/>
    <n v="2.79"/>
  </r>
  <r>
    <x v="0"/>
    <x v="0"/>
    <x v="0"/>
    <x v="10"/>
    <x v="2"/>
    <x v="0"/>
    <x v="2"/>
    <n v="2.79"/>
  </r>
  <r>
    <x v="0"/>
    <x v="0"/>
    <x v="0"/>
    <x v="10"/>
    <x v="2"/>
    <x v="0"/>
    <x v="3"/>
    <n v="2.79"/>
  </r>
  <r>
    <x v="0"/>
    <x v="0"/>
    <x v="0"/>
    <x v="10"/>
    <x v="2"/>
    <x v="0"/>
    <x v="4"/>
    <n v="2.79"/>
  </r>
  <r>
    <x v="0"/>
    <x v="0"/>
    <x v="0"/>
    <x v="10"/>
    <x v="2"/>
    <x v="0"/>
    <x v="5"/>
    <n v="2.79"/>
  </r>
  <r>
    <x v="0"/>
    <x v="0"/>
    <x v="0"/>
    <x v="10"/>
    <x v="2"/>
    <x v="0"/>
    <x v="6"/>
    <n v="2.79"/>
  </r>
  <r>
    <x v="0"/>
    <x v="0"/>
    <x v="0"/>
    <x v="10"/>
    <x v="2"/>
    <x v="0"/>
    <x v="7"/>
    <n v="2.79"/>
  </r>
  <r>
    <x v="0"/>
    <x v="0"/>
    <x v="0"/>
    <x v="10"/>
    <x v="2"/>
    <x v="0"/>
    <x v="8"/>
    <n v="2.79"/>
  </r>
  <r>
    <x v="0"/>
    <x v="0"/>
    <x v="0"/>
    <x v="10"/>
    <x v="2"/>
    <x v="0"/>
    <x v="9"/>
    <n v="2.79"/>
  </r>
  <r>
    <x v="0"/>
    <x v="0"/>
    <x v="0"/>
    <x v="10"/>
    <x v="2"/>
    <x v="0"/>
    <x v="10"/>
    <n v="2.79"/>
  </r>
  <r>
    <x v="0"/>
    <x v="0"/>
    <x v="0"/>
    <x v="10"/>
    <x v="2"/>
    <x v="0"/>
    <x v="11"/>
    <n v="2.79"/>
  </r>
  <r>
    <x v="0"/>
    <x v="0"/>
    <x v="0"/>
    <x v="10"/>
    <x v="2"/>
    <x v="0"/>
    <x v="12"/>
    <n v="2.79"/>
  </r>
  <r>
    <x v="0"/>
    <x v="0"/>
    <x v="0"/>
    <x v="10"/>
    <x v="2"/>
    <x v="0"/>
    <x v="13"/>
    <n v="2.79"/>
  </r>
  <r>
    <x v="0"/>
    <x v="0"/>
    <x v="0"/>
    <x v="10"/>
    <x v="2"/>
    <x v="0"/>
    <x v="14"/>
    <n v="2.79"/>
  </r>
  <r>
    <x v="0"/>
    <x v="0"/>
    <x v="0"/>
    <x v="10"/>
    <x v="2"/>
    <x v="0"/>
    <x v="15"/>
    <n v="2.79"/>
  </r>
  <r>
    <x v="0"/>
    <x v="0"/>
    <x v="0"/>
    <x v="10"/>
    <x v="2"/>
    <x v="0"/>
    <x v="16"/>
    <n v="2.79"/>
  </r>
  <r>
    <x v="0"/>
    <x v="0"/>
    <x v="0"/>
    <x v="10"/>
    <x v="2"/>
    <x v="0"/>
    <x v="17"/>
    <n v="2.79"/>
  </r>
  <r>
    <x v="0"/>
    <x v="0"/>
    <x v="0"/>
    <x v="10"/>
    <x v="2"/>
    <x v="0"/>
    <x v="18"/>
    <n v="2.79"/>
  </r>
  <r>
    <x v="0"/>
    <x v="0"/>
    <x v="0"/>
    <x v="10"/>
    <x v="2"/>
    <x v="0"/>
    <x v="19"/>
    <n v="2.3967026608340598"/>
  </r>
  <r>
    <x v="0"/>
    <x v="0"/>
    <x v="0"/>
    <x v="10"/>
    <x v="2"/>
    <x v="0"/>
    <x v="20"/>
    <n v="2.79"/>
  </r>
  <r>
    <x v="0"/>
    <x v="0"/>
    <x v="0"/>
    <x v="10"/>
    <x v="2"/>
    <x v="0"/>
    <x v="21"/>
    <n v="2.79"/>
  </r>
  <r>
    <x v="0"/>
    <x v="0"/>
    <x v="0"/>
    <x v="10"/>
    <x v="2"/>
    <x v="0"/>
    <x v="22"/>
    <n v="2.79"/>
  </r>
  <r>
    <x v="0"/>
    <x v="0"/>
    <x v="0"/>
    <x v="10"/>
    <x v="2"/>
    <x v="0"/>
    <x v="23"/>
    <n v="2.79"/>
  </r>
  <r>
    <x v="0"/>
    <x v="0"/>
    <x v="0"/>
    <x v="10"/>
    <x v="6"/>
    <x v="0"/>
    <x v="0"/>
    <n v="0"/>
  </r>
  <r>
    <x v="0"/>
    <x v="0"/>
    <x v="0"/>
    <x v="10"/>
    <x v="6"/>
    <x v="0"/>
    <x v="1"/>
    <n v="0"/>
  </r>
  <r>
    <x v="0"/>
    <x v="0"/>
    <x v="0"/>
    <x v="10"/>
    <x v="6"/>
    <x v="0"/>
    <x v="2"/>
    <n v="0"/>
  </r>
  <r>
    <x v="0"/>
    <x v="0"/>
    <x v="0"/>
    <x v="10"/>
    <x v="6"/>
    <x v="0"/>
    <x v="3"/>
    <n v="0"/>
  </r>
  <r>
    <x v="0"/>
    <x v="0"/>
    <x v="0"/>
    <x v="10"/>
    <x v="6"/>
    <x v="0"/>
    <x v="4"/>
    <n v="0"/>
  </r>
  <r>
    <x v="0"/>
    <x v="0"/>
    <x v="0"/>
    <x v="10"/>
    <x v="6"/>
    <x v="0"/>
    <x v="5"/>
    <n v="0"/>
  </r>
  <r>
    <x v="0"/>
    <x v="0"/>
    <x v="0"/>
    <x v="10"/>
    <x v="6"/>
    <x v="0"/>
    <x v="6"/>
    <n v="0"/>
  </r>
  <r>
    <x v="0"/>
    <x v="0"/>
    <x v="0"/>
    <x v="10"/>
    <x v="6"/>
    <x v="0"/>
    <x v="7"/>
    <n v="0"/>
  </r>
  <r>
    <x v="0"/>
    <x v="0"/>
    <x v="0"/>
    <x v="10"/>
    <x v="6"/>
    <x v="0"/>
    <x v="8"/>
    <n v="0"/>
  </r>
  <r>
    <x v="0"/>
    <x v="0"/>
    <x v="0"/>
    <x v="10"/>
    <x v="6"/>
    <x v="0"/>
    <x v="9"/>
    <n v="0"/>
  </r>
  <r>
    <x v="0"/>
    <x v="0"/>
    <x v="0"/>
    <x v="10"/>
    <x v="6"/>
    <x v="0"/>
    <x v="10"/>
    <n v="0"/>
  </r>
  <r>
    <x v="0"/>
    <x v="0"/>
    <x v="0"/>
    <x v="10"/>
    <x v="6"/>
    <x v="0"/>
    <x v="11"/>
    <n v="0"/>
  </r>
  <r>
    <x v="0"/>
    <x v="0"/>
    <x v="0"/>
    <x v="10"/>
    <x v="6"/>
    <x v="0"/>
    <x v="12"/>
    <n v="0"/>
  </r>
  <r>
    <x v="0"/>
    <x v="0"/>
    <x v="0"/>
    <x v="10"/>
    <x v="6"/>
    <x v="0"/>
    <x v="13"/>
    <n v="0"/>
  </r>
  <r>
    <x v="0"/>
    <x v="0"/>
    <x v="0"/>
    <x v="10"/>
    <x v="6"/>
    <x v="0"/>
    <x v="14"/>
    <n v="0"/>
  </r>
  <r>
    <x v="0"/>
    <x v="0"/>
    <x v="0"/>
    <x v="10"/>
    <x v="6"/>
    <x v="0"/>
    <x v="15"/>
    <n v="0"/>
  </r>
  <r>
    <x v="0"/>
    <x v="0"/>
    <x v="0"/>
    <x v="10"/>
    <x v="6"/>
    <x v="0"/>
    <x v="16"/>
    <n v="0"/>
  </r>
  <r>
    <x v="0"/>
    <x v="0"/>
    <x v="0"/>
    <x v="10"/>
    <x v="6"/>
    <x v="0"/>
    <x v="17"/>
    <n v="0"/>
  </r>
  <r>
    <x v="0"/>
    <x v="0"/>
    <x v="0"/>
    <x v="10"/>
    <x v="6"/>
    <x v="0"/>
    <x v="18"/>
    <n v="0"/>
  </r>
  <r>
    <x v="0"/>
    <x v="0"/>
    <x v="0"/>
    <x v="10"/>
    <x v="6"/>
    <x v="0"/>
    <x v="19"/>
    <n v="0"/>
  </r>
  <r>
    <x v="0"/>
    <x v="0"/>
    <x v="0"/>
    <x v="10"/>
    <x v="6"/>
    <x v="0"/>
    <x v="20"/>
    <n v="0"/>
  </r>
  <r>
    <x v="0"/>
    <x v="0"/>
    <x v="0"/>
    <x v="10"/>
    <x v="6"/>
    <x v="0"/>
    <x v="21"/>
    <n v="0"/>
  </r>
  <r>
    <x v="0"/>
    <x v="0"/>
    <x v="0"/>
    <x v="10"/>
    <x v="6"/>
    <x v="0"/>
    <x v="22"/>
    <n v="0"/>
  </r>
  <r>
    <x v="0"/>
    <x v="0"/>
    <x v="0"/>
    <x v="10"/>
    <x v="6"/>
    <x v="0"/>
    <x v="23"/>
    <n v="0"/>
  </r>
  <r>
    <x v="0"/>
    <x v="0"/>
    <x v="0"/>
    <x v="10"/>
    <x v="7"/>
    <x v="0"/>
    <x v="0"/>
    <n v="0.63"/>
  </r>
  <r>
    <x v="0"/>
    <x v="0"/>
    <x v="0"/>
    <x v="10"/>
    <x v="7"/>
    <x v="0"/>
    <x v="1"/>
    <n v="0.63"/>
  </r>
  <r>
    <x v="0"/>
    <x v="0"/>
    <x v="0"/>
    <x v="10"/>
    <x v="7"/>
    <x v="0"/>
    <x v="2"/>
    <n v="0.63"/>
  </r>
  <r>
    <x v="0"/>
    <x v="0"/>
    <x v="0"/>
    <x v="10"/>
    <x v="7"/>
    <x v="0"/>
    <x v="3"/>
    <n v="0.63"/>
  </r>
  <r>
    <x v="0"/>
    <x v="0"/>
    <x v="0"/>
    <x v="10"/>
    <x v="7"/>
    <x v="0"/>
    <x v="4"/>
    <n v="0.63"/>
  </r>
  <r>
    <x v="0"/>
    <x v="0"/>
    <x v="0"/>
    <x v="10"/>
    <x v="7"/>
    <x v="0"/>
    <x v="5"/>
    <n v="0.63"/>
  </r>
  <r>
    <x v="0"/>
    <x v="0"/>
    <x v="0"/>
    <x v="10"/>
    <x v="7"/>
    <x v="0"/>
    <x v="6"/>
    <n v="0.63"/>
  </r>
  <r>
    <x v="0"/>
    <x v="0"/>
    <x v="0"/>
    <x v="10"/>
    <x v="7"/>
    <x v="0"/>
    <x v="7"/>
    <n v="0.63"/>
  </r>
  <r>
    <x v="0"/>
    <x v="0"/>
    <x v="0"/>
    <x v="10"/>
    <x v="7"/>
    <x v="0"/>
    <x v="8"/>
    <n v="-0.39803520636150103"/>
  </r>
  <r>
    <x v="0"/>
    <x v="0"/>
    <x v="0"/>
    <x v="10"/>
    <x v="7"/>
    <x v="0"/>
    <x v="9"/>
    <n v="-0.63"/>
  </r>
  <r>
    <x v="0"/>
    <x v="0"/>
    <x v="0"/>
    <x v="10"/>
    <x v="7"/>
    <x v="0"/>
    <x v="10"/>
    <n v="-0.42047350404867001"/>
  </r>
  <r>
    <x v="0"/>
    <x v="0"/>
    <x v="0"/>
    <x v="10"/>
    <x v="7"/>
    <x v="0"/>
    <x v="11"/>
    <n v="0"/>
  </r>
  <r>
    <x v="0"/>
    <x v="0"/>
    <x v="0"/>
    <x v="10"/>
    <x v="7"/>
    <x v="0"/>
    <x v="12"/>
    <n v="0"/>
  </r>
  <r>
    <x v="0"/>
    <x v="0"/>
    <x v="0"/>
    <x v="10"/>
    <x v="7"/>
    <x v="0"/>
    <x v="13"/>
    <n v="0"/>
  </r>
  <r>
    <x v="0"/>
    <x v="0"/>
    <x v="0"/>
    <x v="10"/>
    <x v="7"/>
    <x v="0"/>
    <x v="14"/>
    <n v="-5.0487301797235004E-3"/>
  </r>
  <r>
    <x v="0"/>
    <x v="0"/>
    <x v="0"/>
    <x v="10"/>
    <x v="7"/>
    <x v="0"/>
    <x v="15"/>
    <n v="-6.3750509401719696E-2"/>
  </r>
  <r>
    <x v="0"/>
    <x v="0"/>
    <x v="0"/>
    <x v="10"/>
    <x v="7"/>
    <x v="0"/>
    <x v="16"/>
    <n v="-0.63"/>
  </r>
  <r>
    <x v="0"/>
    <x v="0"/>
    <x v="0"/>
    <x v="10"/>
    <x v="7"/>
    <x v="0"/>
    <x v="17"/>
    <n v="-0.63"/>
  </r>
  <r>
    <x v="0"/>
    <x v="0"/>
    <x v="0"/>
    <x v="10"/>
    <x v="7"/>
    <x v="0"/>
    <x v="18"/>
    <n v="-0.63"/>
  </r>
  <r>
    <x v="0"/>
    <x v="0"/>
    <x v="0"/>
    <x v="10"/>
    <x v="7"/>
    <x v="0"/>
    <x v="19"/>
    <n v="-0.63"/>
  </r>
  <r>
    <x v="0"/>
    <x v="0"/>
    <x v="0"/>
    <x v="10"/>
    <x v="7"/>
    <x v="0"/>
    <x v="20"/>
    <n v="0"/>
  </r>
  <r>
    <x v="0"/>
    <x v="0"/>
    <x v="0"/>
    <x v="10"/>
    <x v="7"/>
    <x v="0"/>
    <x v="21"/>
    <n v="0.63"/>
  </r>
  <r>
    <x v="0"/>
    <x v="0"/>
    <x v="0"/>
    <x v="10"/>
    <x v="7"/>
    <x v="0"/>
    <x v="22"/>
    <n v="0.63"/>
  </r>
  <r>
    <x v="0"/>
    <x v="0"/>
    <x v="0"/>
    <x v="10"/>
    <x v="7"/>
    <x v="0"/>
    <x v="23"/>
    <n v="0.63"/>
  </r>
  <r>
    <x v="0"/>
    <x v="0"/>
    <x v="0"/>
    <x v="10"/>
    <x v="11"/>
    <x v="0"/>
    <x v="0"/>
    <n v="-0.9"/>
  </r>
  <r>
    <x v="0"/>
    <x v="0"/>
    <x v="0"/>
    <x v="10"/>
    <x v="11"/>
    <x v="0"/>
    <x v="1"/>
    <n v="-0.9"/>
  </r>
  <r>
    <x v="0"/>
    <x v="0"/>
    <x v="0"/>
    <x v="10"/>
    <x v="11"/>
    <x v="0"/>
    <x v="2"/>
    <n v="-0.9"/>
  </r>
  <r>
    <x v="0"/>
    <x v="0"/>
    <x v="0"/>
    <x v="10"/>
    <x v="11"/>
    <x v="0"/>
    <x v="3"/>
    <n v="-0.9"/>
  </r>
  <r>
    <x v="0"/>
    <x v="0"/>
    <x v="0"/>
    <x v="10"/>
    <x v="11"/>
    <x v="0"/>
    <x v="4"/>
    <n v="-0.9"/>
  </r>
  <r>
    <x v="0"/>
    <x v="0"/>
    <x v="0"/>
    <x v="10"/>
    <x v="11"/>
    <x v="0"/>
    <x v="5"/>
    <n v="-0.9"/>
  </r>
  <r>
    <x v="0"/>
    <x v="0"/>
    <x v="0"/>
    <x v="10"/>
    <x v="11"/>
    <x v="0"/>
    <x v="6"/>
    <n v="-0.9"/>
  </r>
  <r>
    <x v="0"/>
    <x v="0"/>
    <x v="0"/>
    <x v="10"/>
    <x v="11"/>
    <x v="0"/>
    <x v="7"/>
    <n v="-0.9"/>
  </r>
  <r>
    <x v="0"/>
    <x v="0"/>
    <x v="0"/>
    <x v="10"/>
    <x v="11"/>
    <x v="0"/>
    <x v="8"/>
    <n v="-0.9"/>
  </r>
  <r>
    <x v="0"/>
    <x v="0"/>
    <x v="0"/>
    <x v="10"/>
    <x v="11"/>
    <x v="0"/>
    <x v="9"/>
    <n v="-0.9"/>
  </r>
  <r>
    <x v="0"/>
    <x v="0"/>
    <x v="0"/>
    <x v="10"/>
    <x v="11"/>
    <x v="0"/>
    <x v="10"/>
    <n v="-0.9"/>
  </r>
  <r>
    <x v="0"/>
    <x v="0"/>
    <x v="0"/>
    <x v="10"/>
    <x v="11"/>
    <x v="0"/>
    <x v="11"/>
    <n v="-0.9"/>
  </r>
  <r>
    <x v="0"/>
    <x v="0"/>
    <x v="0"/>
    <x v="10"/>
    <x v="11"/>
    <x v="0"/>
    <x v="12"/>
    <n v="-0.9"/>
  </r>
  <r>
    <x v="0"/>
    <x v="0"/>
    <x v="0"/>
    <x v="10"/>
    <x v="11"/>
    <x v="0"/>
    <x v="13"/>
    <n v="-0.9"/>
  </r>
  <r>
    <x v="0"/>
    <x v="0"/>
    <x v="0"/>
    <x v="10"/>
    <x v="11"/>
    <x v="0"/>
    <x v="14"/>
    <n v="-0.9"/>
  </r>
  <r>
    <x v="0"/>
    <x v="0"/>
    <x v="0"/>
    <x v="10"/>
    <x v="11"/>
    <x v="0"/>
    <x v="15"/>
    <n v="-0.9"/>
  </r>
  <r>
    <x v="0"/>
    <x v="0"/>
    <x v="0"/>
    <x v="10"/>
    <x v="11"/>
    <x v="0"/>
    <x v="16"/>
    <n v="0"/>
  </r>
  <r>
    <x v="0"/>
    <x v="0"/>
    <x v="0"/>
    <x v="10"/>
    <x v="11"/>
    <x v="0"/>
    <x v="17"/>
    <n v="0"/>
  </r>
  <r>
    <x v="0"/>
    <x v="0"/>
    <x v="0"/>
    <x v="10"/>
    <x v="11"/>
    <x v="0"/>
    <x v="18"/>
    <n v="0"/>
  </r>
  <r>
    <x v="0"/>
    <x v="0"/>
    <x v="0"/>
    <x v="10"/>
    <x v="11"/>
    <x v="0"/>
    <x v="19"/>
    <n v="0"/>
  </r>
  <r>
    <x v="0"/>
    <x v="0"/>
    <x v="0"/>
    <x v="10"/>
    <x v="11"/>
    <x v="0"/>
    <x v="20"/>
    <n v="-0.81475611508454904"/>
  </r>
  <r>
    <x v="0"/>
    <x v="0"/>
    <x v="0"/>
    <x v="10"/>
    <x v="11"/>
    <x v="0"/>
    <x v="21"/>
    <n v="-0.9"/>
  </r>
  <r>
    <x v="0"/>
    <x v="0"/>
    <x v="0"/>
    <x v="10"/>
    <x v="11"/>
    <x v="0"/>
    <x v="22"/>
    <n v="-0.9"/>
  </r>
  <r>
    <x v="0"/>
    <x v="0"/>
    <x v="0"/>
    <x v="10"/>
    <x v="11"/>
    <x v="0"/>
    <x v="23"/>
    <n v="-0.9"/>
  </r>
  <r>
    <x v="0"/>
    <x v="0"/>
    <x v="0"/>
    <x v="11"/>
    <x v="7"/>
    <x v="0"/>
    <x v="0"/>
    <n v="-2.0813633426132001"/>
  </r>
  <r>
    <x v="0"/>
    <x v="0"/>
    <x v="0"/>
    <x v="11"/>
    <x v="7"/>
    <x v="0"/>
    <x v="1"/>
    <n v="-2.1721785677532601"/>
  </r>
  <r>
    <x v="0"/>
    <x v="0"/>
    <x v="0"/>
    <x v="11"/>
    <x v="7"/>
    <x v="0"/>
    <x v="2"/>
    <n v="-2.1289722704966199"/>
  </r>
  <r>
    <x v="0"/>
    <x v="0"/>
    <x v="0"/>
    <x v="11"/>
    <x v="7"/>
    <x v="0"/>
    <x v="3"/>
    <n v="-2.0737889589026"/>
  </r>
  <r>
    <x v="0"/>
    <x v="0"/>
    <x v="0"/>
    <x v="11"/>
    <x v="7"/>
    <x v="0"/>
    <x v="4"/>
    <n v="-2.06259021785803"/>
  </r>
  <r>
    <x v="0"/>
    <x v="0"/>
    <x v="0"/>
    <x v="11"/>
    <x v="7"/>
    <x v="0"/>
    <x v="5"/>
    <n v="-1.8461753056129799"/>
  </r>
  <r>
    <x v="0"/>
    <x v="0"/>
    <x v="0"/>
    <x v="11"/>
    <x v="7"/>
    <x v="0"/>
    <x v="6"/>
    <n v="-2.7332954843358399"/>
  </r>
  <r>
    <x v="0"/>
    <x v="0"/>
    <x v="0"/>
    <x v="11"/>
    <x v="7"/>
    <x v="0"/>
    <x v="7"/>
    <n v="-2.8760000919345701"/>
  </r>
  <r>
    <x v="0"/>
    <x v="0"/>
    <x v="0"/>
    <x v="11"/>
    <x v="7"/>
    <x v="0"/>
    <x v="8"/>
    <n v="-2.1512425028291799"/>
  </r>
  <r>
    <x v="0"/>
    <x v="0"/>
    <x v="0"/>
    <x v="11"/>
    <x v="7"/>
    <x v="0"/>
    <x v="9"/>
    <n v="-1.92515975788347"/>
  </r>
  <r>
    <x v="0"/>
    <x v="0"/>
    <x v="0"/>
    <x v="11"/>
    <x v="7"/>
    <x v="0"/>
    <x v="10"/>
    <n v="-2.2085002123044499"/>
  </r>
  <r>
    <x v="0"/>
    <x v="0"/>
    <x v="0"/>
    <x v="11"/>
    <x v="7"/>
    <x v="0"/>
    <x v="11"/>
    <n v="-1.6681699561724299"/>
  </r>
  <r>
    <x v="0"/>
    <x v="0"/>
    <x v="0"/>
    <x v="11"/>
    <x v="7"/>
    <x v="0"/>
    <x v="12"/>
    <n v="-2.3280891009208"/>
  </r>
  <r>
    <x v="0"/>
    <x v="0"/>
    <x v="0"/>
    <x v="11"/>
    <x v="7"/>
    <x v="0"/>
    <x v="13"/>
    <n v="-2.5763814737297199"/>
  </r>
  <r>
    <x v="0"/>
    <x v="0"/>
    <x v="0"/>
    <x v="11"/>
    <x v="7"/>
    <x v="0"/>
    <x v="14"/>
    <n v="-2.1420941680912602"/>
  </r>
  <r>
    <x v="0"/>
    <x v="0"/>
    <x v="0"/>
    <x v="11"/>
    <x v="7"/>
    <x v="0"/>
    <x v="15"/>
    <n v="-1.80179293570445"/>
  </r>
  <r>
    <x v="0"/>
    <x v="0"/>
    <x v="0"/>
    <x v="11"/>
    <x v="7"/>
    <x v="0"/>
    <x v="16"/>
    <n v="-1.9980426041747199"/>
  </r>
  <r>
    <x v="0"/>
    <x v="0"/>
    <x v="0"/>
    <x v="11"/>
    <x v="7"/>
    <x v="0"/>
    <x v="17"/>
    <n v="-2.4999761732999102"/>
  </r>
  <r>
    <x v="0"/>
    <x v="0"/>
    <x v="0"/>
    <x v="11"/>
    <x v="7"/>
    <x v="0"/>
    <x v="18"/>
    <n v="-2.1766477216089002"/>
  </r>
  <r>
    <x v="0"/>
    <x v="0"/>
    <x v="0"/>
    <x v="11"/>
    <x v="7"/>
    <x v="0"/>
    <x v="19"/>
    <n v="-2.0975826245526799"/>
  </r>
  <r>
    <x v="0"/>
    <x v="0"/>
    <x v="0"/>
    <x v="11"/>
    <x v="7"/>
    <x v="0"/>
    <x v="20"/>
    <n v="-2.3621112044161299"/>
  </r>
  <r>
    <x v="0"/>
    <x v="0"/>
    <x v="0"/>
    <x v="11"/>
    <x v="7"/>
    <x v="0"/>
    <x v="21"/>
    <n v="-2.88"/>
  </r>
  <r>
    <x v="0"/>
    <x v="0"/>
    <x v="0"/>
    <x v="11"/>
    <x v="7"/>
    <x v="0"/>
    <x v="22"/>
    <n v="-2.72690012552399"/>
  </r>
  <r>
    <x v="0"/>
    <x v="0"/>
    <x v="0"/>
    <x v="11"/>
    <x v="7"/>
    <x v="0"/>
    <x v="23"/>
    <n v="-2.5344743657885598"/>
  </r>
  <r>
    <x v="0"/>
    <x v="0"/>
    <x v="0"/>
    <x v="11"/>
    <x v="18"/>
    <x v="0"/>
    <x v="0"/>
    <n v="-3.10507414083377E-2"/>
  </r>
  <r>
    <x v="0"/>
    <x v="0"/>
    <x v="0"/>
    <x v="11"/>
    <x v="18"/>
    <x v="0"/>
    <x v="1"/>
    <n v="-4.1323484739861999E-2"/>
  </r>
  <r>
    <x v="0"/>
    <x v="0"/>
    <x v="0"/>
    <x v="11"/>
    <x v="18"/>
    <x v="0"/>
    <x v="2"/>
    <n v="-7.8052158386223605E-2"/>
  </r>
  <r>
    <x v="0"/>
    <x v="0"/>
    <x v="0"/>
    <x v="11"/>
    <x v="18"/>
    <x v="0"/>
    <x v="3"/>
    <n v="-0.14562899348863301"/>
  </r>
  <r>
    <x v="0"/>
    <x v="0"/>
    <x v="0"/>
    <x v="11"/>
    <x v="18"/>
    <x v="0"/>
    <x v="4"/>
    <n v="-4.1996377631894601E-2"/>
  </r>
  <r>
    <x v="0"/>
    <x v="0"/>
    <x v="0"/>
    <x v="11"/>
    <x v="18"/>
    <x v="0"/>
    <x v="5"/>
    <n v="-0.43232503319586002"/>
  </r>
  <r>
    <x v="0"/>
    <x v="0"/>
    <x v="0"/>
    <x v="11"/>
    <x v="18"/>
    <x v="0"/>
    <x v="6"/>
    <n v="-1.08"/>
  </r>
  <r>
    <x v="0"/>
    <x v="0"/>
    <x v="0"/>
    <x v="11"/>
    <x v="18"/>
    <x v="0"/>
    <x v="7"/>
    <n v="-0.84097527863021004"/>
  </r>
  <r>
    <x v="0"/>
    <x v="0"/>
    <x v="0"/>
    <x v="11"/>
    <x v="18"/>
    <x v="0"/>
    <x v="8"/>
    <n v="-1.08"/>
  </r>
  <r>
    <x v="0"/>
    <x v="0"/>
    <x v="0"/>
    <x v="11"/>
    <x v="18"/>
    <x v="0"/>
    <x v="9"/>
    <n v="-0.80561667769313805"/>
  </r>
  <r>
    <x v="0"/>
    <x v="0"/>
    <x v="0"/>
    <x v="11"/>
    <x v="18"/>
    <x v="0"/>
    <x v="10"/>
    <n v="-0.82718072858061997"/>
  </r>
  <r>
    <x v="0"/>
    <x v="0"/>
    <x v="0"/>
    <x v="11"/>
    <x v="18"/>
    <x v="0"/>
    <x v="11"/>
    <n v="-1.08"/>
  </r>
  <r>
    <x v="0"/>
    <x v="0"/>
    <x v="0"/>
    <x v="11"/>
    <x v="18"/>
    <x v="0"/>
    <x v="12"/>
    <n v="-0.950436506722518"/>
  </r>
  <r>
    <x v="0"/>
    <x v="0"/>
    <x v="0"/>
    <x v="11"/>
    <x v="18"/>
    <x v="0"/>
    <x v="13"/>
    <n v="-0.30814543280594398"/>
  </r>
  <r>
    <x v="0"/>
    <x v="0"/>
    <x v="0"/>
    <x v="11"/>
    <x v="18"/>
    <x v="0"/>
    <x v="14"/>
    <n v="-1.08"/>
  </r>
  <r>
    <x v="0"/>
    <x v="0"/>
    <x v="0"/>
    <x v="11"/>
    <x v="18"/>
    <x v="0"/>
    <x v="15"/>
    <n v="-1.05606806023428"/>
  </r>
  <r>
    <x v="0"/>
    <x v="0"/>
    <x v="0"/>
    <x v="11"/>
    <x v="18"/>
    <x v="0"/>
    <x v="16"/>
    <n v="-1.08"/>
  </r>
  <r>
    <x v="0"/>
    <x v="0"/>
    <x v="0"/>
    <x v="11"/>
    <x v="18"/>
    <x v="0"/>
    <x v="17"/>
    <n v="-1.08"/>
  </r>
  <r>
    <x v="0"/>
    <x v="0"/>
    <x v="0"/>
    <x v="11"/>
    <x v="18"/>
    <x v="0"/>
    <x v="18"/>
    <n v="-0.62452896965236304"/>
  </r>
  <r>
    <x v="0"/>
    <x v="0"/>
    <x v="0"/>
    <x v="11"/>
    <x v="18"/>
    <x v="0"/>
    <x v="19"/>
    <n v="-0.97367927875446003"/>
  </r>
  <r>
    <x v="0"/>
    <x v="0"/>
    <x v="0"/>
    <x v="11"/>
    <x v="18"/>
    <x v="0"/>
    <x v="20"/>
    <n v="-0.38234438676196503"/>
  </r>
  <r>
    <x v="0"/>
    <x v="0"/>
    <x v="0"/>
    <x v="11"/>
    <x v="18"/>
    <x v="0"/>
    <x v="21"/>
    <n v="0"/>
  </r>
  <r>
    <x v="0"/>
    <x v="0"/>
    <x v="0"/>
    <x v="11"/>
    <x v="18"/>
    <x v="0"/>
    <x v="22"/>
    <n v="0"/>
  </r>
  <r>
    <x v="0"/>
    <x v="0"/>
    <x v="0"/>
    <x v="11"/>
    <x v="18"/>
    <x v="0"/>
    <x v="23"/>
    <n v="0"/>
  </r>
  <r>
    <x v="0"/>
    <x v="0"/>
    <x v="0"/>
    <x v="11"/>
    <x v="19"/>
    <x v="0"/>
    <x v="0"/>
    <n v="-0.16751969421662299"/>
  </r>
  <r>
    <x v="0"/>
    <x v="0"/>
    <x v="0"/>
    <x v="11"/>
    <x v="19"/>
    <x v="0"/>
    <x v="1"/>
    <n v="-0.16751969421662299"/>
  </r>
  <r>
    <x v="0"/>
    <x v="0"/>
    <x v="0"/>
    <x v="11"/>
    <x v="19"/>
    <x v="0"/>
    <x v="2"/>
    <n v="-0.16751969421662299"/>
  </r>
  <r>
    <x v="0"/>
    <x v="0"/>
    <x v="0"/>
    <x v="11"/>
    <x v="19"/>
    <x v="0"/>
    <x v="3"/>
    <n v="-0.16751969421662299"/>
  </r>
  <r>
    <x v="0"/>
    <x v="0"/>
    <x v="0"/>
    <x v="11"/>
    <x v="19"/>
    <x v="0"/>
    <x v="4"/>
    <n v="-0.16751969421662299"/>
  </r>
  <r>
    <x v="0"/>
    <x v="0"/>
    <x v="0"/>
    <x v="11"/>
    <x v="19"/>
    <x v="0"/>
    <x v="5"/>
    <n v="-0.16751969421662299"/>
  </r>
  <r>
    <x v="0"/>
    <x v="0"/>
    <x v="0"/>
    <x v="11"/>
    <x v="19"/>
    <x v="0"/>
    <x v="6"/>
    <n v="-0.16751969421662299"/>
  </r>
  <r>
    <x v="0"/>
    <x v="0"/>
    <x v="0"/>
    <x v="11"/>
    <x v="19"/>
    <x v="0"/>
    <x v="7"/>
    <n v="-0.16751969421662299"/>
  </r>
  <r>
    <x v="0"/>
    <x v="0"/>
    <x v="0"/>
    <x v="11"/>
    <x v="19"/>
    <x v="0"/>
    <x v="8"/>
    <n v="-0.16751969421662299"/>
  </r>
  <r>
    <x v="0"/>
    <x v="0"/>
    <x v="0"/>
    <x v="11"/>
    <x v="19"/>
    <x v="0"/>
    <x v="9"/>
    <n v="-0.16751969421662299"/>
  </r>
  <r>
    <x v="0"/>
    <x v="0"/>
    <x v="0"/>
    <x v="11"/>
    <x v="19"/>
    <x v="0"/>
    <x v="10"/>
    <n v="-0.16751969421662299"/>
  </r>
  <r>
    <x v="0"/>
    <x v="0"/>
    <x v="0"/>
    <x v="11"/>
    <x v="19"/>
    <x v="0"/>
    <x v="11"/>
    <n v="-0.16751969421662299"/>
  </r>
  <r>
    <x v="0"/>
    <x v="0"/>
    <x v="0"/>
    <x v="11"/>
    <x v="19"/>
    <x v="0"/>
    <x v="12"/>
    <n v="-0.16751969421662299"/>
  </r>
  <r>
    <x v="0"/>
    <x v="0"/>
    <x v="0"/>
    <x v="11"/>
    <x v="19"/>
    <x v="0"/>
    <x v="13"/>
    <n v="-0.16751969421662299"/>
  </r>
  <r>
    <x v="0"/>
    <x v="0"/>
    <x v="0"/>
    <x v="11"/>
    <x v="19"/>
    <x v="0"/>
    <x v="14"/>
    <n v="-0.16751969421662299"/>
  </r>
  <r>
    <x v="0"/>
    <x v="0"/>
    <x v="0"/>
    <x v="11"/>
    <x v="19"/>
    <x v="0"/>
    <x v="15"/>
    <n v="-0.16751969421662299"/>
  </r>
  <r>
    <x v="0"/>
    <x v="0"/>
    <x v="0"/>
    <x v="11"/>
    <x v="19"/>
    <x v="0"/>
    <x v="16"/>
    <n v="-0.16751969421662299"/>
  </r>
  <r>
    <x v="0"/>
    <x v="0"/>
    <x v="0"/>
    <x v="11"/>
    <x v="19"/>
    <x v="0"/>
    <x v="17"/>
    <n v="-0.16751969421662299"/>
  </r>
  <r>
    <x v="0"/>
    <x v="0"/>
    <x v="0"/>
    <x v="11"/>
    <x v="19"/>
    <x v="0"/>
    <x v="18"/>
    <n v="-0.16751969421662299"/>
  </r>
  <r>
    <x v="0"/>
    <x v="0"/>
    <x v="0"/>
    <x v="11"/>
    <x v="19"/>
    <x v="0"/>
    <x v="19"/>
    <n v="-0.16751969421662299"/>
  </r>
  <r>
    <x v="0"/>
    <x v="0"/>
    <x v="0"/>
    <x v="11"/>
    <x v="19"/>
    <x v="0"/>
    <x v="20"/>
    <n v="-0.16751969421662299"/>
  </r>
  <r>
    <x v="0"/>
    <x v="0"/>
    <x v="0"/>
    <x v="11"/>
    <x v="19"/>
    <x v="0"/>
    <x v="21"/>
    <n v="-0.16751969421662299"/>
  </r>
  <r>
    <x v="0"/>
    <x v="0"/>
    <x v="0"/>
    <x v="11"/>
    <x v="19"/>
    <x v="0"/>
    <x v="22"/>
    <n v="-0.16751969421662299"/>
  </r>
  <r>
    <x v="0"/>
    <x v="0"/>
    <x v="0"/>
    <x v="11"/>
    <x v="19"/>
    <x v="0"/>
    <x v="23"/>
    <n v="-0.16751969421662299"/>
  </r>
  <r>
    <x v="0"/>
    <x v="0"/>
    <x v="0"/>
    <x v="11"/>
    <x v="10"/>
    <x v="0"/>
    <x v="0"/>
    <n v="0"/>
  </r>
  <r>
    <x v="0"/>
    <x v="0"/>
    <x v="0"/>
    <x v="11"/>
    <x v="10"/>
    <x v="0"/>
    <x v="1"/>
    <n v="0"/>
  </r>
  <r>
    <x v="0"/>
    <x v="0"/>
    <x v="0"/>
    <x v="11"/>
    <x v="10"/>
    <x v="0"/>
    <x v="2"/>
    <n v="0"/>
  </r>
  <r>
    <x v="0"/>
    <x v="0"/>
    <x v="0"/>
    <x v="11"/>
    <x v="10"/>
    <x v="0"/>
    <x v="3"/>
    <n v="0"/>
  </r>
  <r>
    <x v="0"/>
    <x v="0"/>
    <x v="0"/>
    <x v="11"/>
    <x v="10"/>
    <x v="0"/>
    <x v="4"/>
    <n v="0"/>
  </r>
  <r>
    <x v="0"/>
    <x v="0"/>
    <x v="0"/>
    <x v="11"/>
    <x v="10"/>
    <x v="0"/>
    <x v="5"/>
    <n v="0"/>
  </r>
  <r>
    <x v="0"/>
    <x v="0"/>
    <x v="0"/>
    <x v="11"/>
    <x v="10"/>
    <x v="0"/>
    <x v="6"/>
    <n v="1.35155733385059"/>
  </r>
  <r>
    <x v="0"/>
    <x v="0"/>
    <x v="0"/>
    <x v="11"/>
    <x v="10"/>
    <x v="0"/>
    <x v="7"/>
    <n v="1.1219791130271"/>
  </r>
  <r>
    <x v="0"/>
    <x v="0"/>
    <x v="0"/>
    <x v="11"/>
    <x v="10"/>
    <x v="0"/>
    <x v="8"/>
    <n v="0.54328490814777297"/>
  </r>
  <r>
    <x v="0"/>
    <x v="0"/>
    <x v="0"/>
    <x v="11"/>
    <x v="10"/>
    <x v="0"/>
    <x v="9"/>
    <n v="0.13632617784821899"/>
  </r>
  <r>
    <x v="0"/>
    <x v="0"/>
    <x v="0"/>
    <x v="11"/>
    <x v="10"/>
    <x v="0"/>
    <x v="10"/>
    <n v="0.39905465238169602"/>
  </r>
  <r>
    <x v="0"/>
    <x v="0"/>
    <x v="0"/>
    <x v="11"/>
    <x v="10"/>
    <x v="0"/>
    <x v="11"/>
    <n v="0"/>
  </r>
  <r>
    <x v="0"/>
    <x v="0"/>
    <x v="0"/>
    <x v="11"/>
    <x v="10"/>
    <x v="0"/>
    <x v="12"/>
    <n v="0.36245328763456802"/>
  </r>
  <r>
    <x v="0"/>
    <x v="0"/>
    <x v="0"/>
    <x v="11"/>
    <x v="10"/>
    <x v="0"/>
    <x v="13"/>
    <n v="0"/>
  </r>
  <r>
    <x v="0"/>
    <x v="0"/>
    <x v="0"/>
    <x v="11"/>
    <x v="10"/>
    <x v="0"/>
    <x v="14"/>
    <n v="0.368642918313412"/>
  </r>
  <r>
    <x v="0"/>
    <x v="0"/>
    <x v="0"/>
    <x v="11"/>
    <x v="10"/>
    <x v="0"/>
    <x v="15"/>
    <n v="0"/>
  </r>
  <r>
    <x v="0"/>
    <x v="0"/>
    <x v="0"/>
    <x v="11"/>
    <x v="10"/>
    <x v="0"/>
    <x v="16"/>
    <n v="0.29239046140635999"/>
  </r>
  <r>
    <x v="0"/>
    <x v="0"/>
    <x v="0"/>
    <x v="11"/>
    <x v="10"/>
    <x v="0"/>
    <x v="17"/>
    <n v="0.83797640317236799"/>
  </r>
  <r>
    <x v="0"/>
    <x v="0"/>
    <x v="0"/>
    <x v="11"/>
    <x v="10"/>
    <x v="0"/>
    <x v="18"/>
    <n v="0"/>
  </r>
  <r>
    <x v="0"/>
    <x v="0"/>
    <x v="0"/>
    <x v="11"/>
    <x v="10"/>
    <x v="0"/>
    <x v="19"/>
    <n v="0.38746990036797302"/>
  </r>
  <r>
    <x v="0"/>
    <x v="0"/>
    <x v="0"/>
    <x v="11"/>
    <x v="10"/>
    <x v="0"/>
    <x v="20"/>
    <n v="0"/>
  </r>
  <r>
    <x v="0"/>
    <x v="0"/>
    <x v="0"/>
    <x v="11"/>
    <x v="10"/>
    <x v="0"/>
    <x v="21"/>
    <n v="0"/>
  </r>
  <r>
    <x v="0"/>
    <x v="0"/>
    <x v="0"/>
    <x v="11"/>
    <x v="10"/>
    <x v="0"/>
    <x v="22"/>
    <n v="0"/>
  </r>
  <r>
    <x v="0"/>
    <x v="0"/>
    <x v="0"/>
    <x v="11"/>
    <x v="10"/>
    <x v="0"/>
    <x v="23"/>
    <n v="0"/>
  </r>
  <r>
    <x v="0"/>
    <x v="0"/>
    <x v="0"/>
    <x v="12"/>
    <x v="0"/>
    <x v="0"/>
    <x v="0"/>
    <n v="0"/>
  </r>
  <r>
    <x v="0"/>
    <x v="0"/>
    <x v="0"/>
    <x v="12"/>
    <x v="0"/>
    <x v="0"/>
    <x v="1"/>
    <n v="0"/>
  </r>
  <r>
    <x v="0"/>
    <x v="0"/>
    <x v="0"/>
    <x v="12"/>
    <x v="0"/>
    <x v="0"/>
    <x v="2"/>
    <n v="0"/>
  </r>
  <r>
    <x v="0"/>
    <x v="0"/>
    <x v="0"/>
    <x v="12"/>
    <x v="0"/>
    <x v="0"/>
    <x v="3"/>
    <n v="0"/>
  </r>
  <r>
    <x v="0"/>
    <x v="0"/>
    <x v="0"/>
    <x v="12"/>
    <x v="0"/>
    <x v="0"/>
    <x v="4"/>
    <n v="0"/>
  </r>
  <r>
    <x v="0"/>
    <x v="0"/>
    <x v="0"/>
    <x v="12"/>
    <x v="0"/>
    <x v="0"/>
    <x v="5"/>
    <n v="0"/>
  </r>
  <r>
    <x v="0"/>
    <x v="0"/>
    <x v="0"/>
    <x v="12"/>
    <x v="0"/>
    <x v="0"/>
    <x v="6"/>
    <n v="0"/>
  </r>
  <r>
    <x v="0"/>
    <x v="0"/>
    <x v="0"/>
    <x v="12"/>
    <x v="0"/>
    <x v="0"/>
    <x v="7"/>
    <n v="0"/>
  </r>
  <r>
    <x v="0"/>
    <x v="0"/>
    <x v="0"/>
    <x v="12"/>
    <x v="0"/>
    <x v="0"/>
    <x v="8"/>
    <n v="0"/>
  </r>
  <r>
    <x v="0"/>
    <x v="0"/>
    <x v="0"/>
    <x v="12"/>
    <x v="0"/>
    <x v="0"/>
    <x v="9"/>
    <n v="0"/>
  </r>
  <r>
    <x v="0"/>
    <x v="0"/>
    <x v="0"/>
    <x v="12"/>
    <x v="0"/>
    <x v="0"/>
    <x v="10"/>
    <n v="0"/>
  </r>
  <r>
    <x v="0"/>
    <x v="0"/>
    <x v="0"/>
    <x v="12"/>
    <x v="0"/>
    <x v="0"/>
    <x v="11"/>
    <n v="0"/>
  </r>
  <r>
    <x v="0"/>
    <x v="0"/>
    <x v="0"/>
    <x v="12"/>
    <x v="0"/>
    <x v="0"/>
    <x v="12"/>
    <n v="0"/>
  </r>
  <r>
    <x v="0"/>
    <x v="0"/>
    <x v="0"/>
    <x v="12"/>
    <x v="0"/>
    <x v="0"/>
    <x v="13"/>
    <n v="0"/>
  </r>
  <r>
    <x v="0"/>
    <x v="0"/>
    <x v="0"/>
    <x v="12"/>
    <x v="0"/>
    <x v="0"/>
    <x v="14"/>
    <n v="0"/>
  </r>
  <r>
    <x v="0"/>
    <x v="0"/>
    <x v="0"/>
    <x v="12"/>
    <x v="0"/>
    <x v="0"/>
    <x v="15"/>
    <n v="0"/>
  </r>
  <r>
    <x v="0"/>
    <x v="0"/>
    <x v="0"/>
    <x v="12"/>
    <x v="0"/>
    <x v="0"/>
    <x v="16"/>
    <n v="0"/>
  </r>
  <r>
    <x v="0"/>
    <x v="0"/>
    <x v="0"/>
    <x v="12"/>
    <x v="0"/>
    <x v="0"/>
    <x v="17"/>
    <n v="0"/>
  </r>
  <r>
    <x v="0"/>
    <x v="0"/>
    <x v="0"/>
    <x v="12"/>
    <x v="0"/>
    <x v="0"/>
    <x v="18"/>
    <n v="0"/>
  </r>
  <r>
    <x v="0"/>
    <x v="0"/>
    <x v="0"/>
    <x v="12"/>
    <x v="0"/>
    <x v="0"/>
    <x v="19"/>
    <n v="0"/>
  </r>
  <r>
    <x v="0"/>
    <x v="0"/>
    <x v="0"/>
    <x v="12"/>
    <x v="0"/>
    <x v="0"/>
    <x v="20"/>
    <n v="0"/>
  </r>
  <r>
    <x v="0"/>
    <x v="0"/>
    <x v="0"/>
    <x v="12"/>
    <x v="0"/>
    <x v="0"/>
    <x v="21"/>
    <n v="0"/>
  </r>
  <r>
    <x v="0"/>
    <x v="0"/>
    <x v="0"/>
    <x v="12"/>
    <x v="0"/>
    <x v="0"/>
    <x v="22"/>
    <n v="0"/>
  </r>
  <r>
    <x v="0"/>
    <x v="0"/>
    <x v="0"/>
    <x v="12"/>
    <x v="0"/>
    <x v="0"/>
    <x v="23"/>
    <n v="0"/>
  </r>
  <r>
    <x v="0"/>
    <x v="0"/>
    <x v="0"/>
    <x v="12"/>
    <x v="6"/>
    <x v="0"/>
    <x v="0"/>
    <n v="0"/>
  </r>
  <r>
    <x v="0"/>
    <x v="0"/>
    <x v="0"/>
    <x v="12"/>
    <x v="6"/>
    <x v="0"/>
    <x v="1"/>
    <n v="0"/>
  </r>
  <r>
    <x v="0"/>
    <x v="0"/>
    <x v="0"/>
    <x v="12"/>
    <x v="6"/>
    <x v="0"/>
    <x v="2"/>
    <n v="0"/>
  </r>
  <r>
    <x v="0"/>
    <x v="0"/>
    <x v="0"/>
    <x v="12"/>
    <x v="6"/>
    <x v="0"/>
    <x v="3"/>
    <n v="0"/>
  </r>
  <r>
    <x v="0"/>
    <x v="0"/>
    <x v="0"/>
    <x v="12"/>
    <x v="6"/>
    <x v="0"/>
    <x v="4"/>
    <n v="0"/>
  </r>
  <r>
    <x v="0"/>
    <x v="0"/>
    <x v="0"/>
    <x v="12"/>
    <x v="6"/>
    <x v="0"/>
    <x v="5"/>
    <n v="0.87545466922027004"/>
  </r>
  <r>
    <x v="0"/>
    <x v="0"/>
    <x v="0"/>
    <x v="12"/>
    <x v="6"/>
    <x v="0"/>
    <x v="6"/>
    <n v="1.53"/>
  </r>
  <r>
    <x v="0"/>
    <x v="0"/>
    <x v="0"/>
    <x v="12"/>
    <x v="6"/>
    <x v="0"/>
    <x v="7"/>
    <n v="1.53"/>
  </r>
  <r>
    <x v="0"/>
    <x v="0"/>
    <x v="0"/>
    <x v="12"/>
    <x v="6"/>
    <x v="0"/>
    <x v="8"/>
    <n v="1.53"/>
  </r>
  <r>
    <x v="0"/>
    <x v="0"/>
    <x v="0"/>
    <x v="12"/>
    <x v="6"/>
    <x v="0"/>
    <x v="9"/>
    <n v="1.53"/>
  </r>
  <r>
    <x v="0"/>
    <x v="0"/>
    <x v="0"/>
    <x v="12"/>
    <x v="6"/>
    <x v="0"/>
    <x v="10"/>
    <n v="1.53"/>
  </r>
  <r>
    <x v="0"/>
    <x v="0"/>
    <x v="0"/>
    <x v="12"/>
    <x v="6"/>
    <x v="0"/>
    <x v="11"/>
    <n v="1.50966712130214"/>
  </r>
  <r>
    <x v="0"/>
    <x v="0"/>
    <x v="0"/>
    <x v="12"/>
    <x v="6"/>
    <x v="0"/>
    <x v="12"/>
    <n v="0.924839262450461"/>
  </r>
  <r>
    <x v="0"/>
    <x v="0"/>
    <x v="0"/>
    <x v="12"/>
    <x v="6"/>
    <x v="0"/>
    <x v="13"/>
    <n v="0.47372110026400499"/>
  </r>
  <r>
    <x v="0"/>
    <x v="0"/>
    <x v="0"/>
    <x v="12"/>
    <x v="6"/>
    <x v="0"/>
    <x v="14"/>
    <n v="1.21832023472659"/>
  </r>
  <r>
    <x v="0"/>
    <x v="0"/>
    <x v="0"/>
    <x v="12"/>
    <x v="6"/>
    <x v="0"/>
    <x v="15"/>
    <n v="1.53"/>
  </r>
  <r>
    <x v="0"/>
    <x v="0"/>
    <x v="0"/>
    <x v="12"/>
    <x v="6"/>
    <x v="0"/>
    <x v="16"/>
    <n v="0.70892172459908898"/>
  </r>
  <r>
    <x v="0"/>
    <x v="0"/>
    <x v="0"/>
    <x v="12"/>
    <x v="6"/>
    <x v="0"/>
    <x v="17"/>
    <n v="0.32241463630386502"/>
  </r>
  <r>
    <x v="0"/>
    <x v="0"/>
    <x v="0"/>
    <x v="12"/>
    <x v="6"/>
    <x v="0"/>
    <x v="18"/>
    <n v="0.170918619910917"/>
  </r>
  <r>
    <x v="0"/>
    <x v="0"/>
    <x v="0"/>
    <x v="12"/>
    <x v="6"/>
    <x v="0"/>
    <x v="19"/>
    <n v="-8.6231305714471698E-2"/>
  </r>
  <r>
    <x v="0"/>
    <x v="0"/>
    <x v="0"/>
    <x v="12"/>
    <x v="6"/>
    <x v="0"/>
    <x v="20"/>
    <n v="-0.59616915054310804"/>
  </r>
  <r>
    <x v="0"/>
    <x v="0"/>
    <x v="0"/>
    <x v="12"/>
    <x v="6"/>
    <x v="0"/>
    <x v="21"/>
    <n v="-1.53"/>
  </r>
  <r>
    <x v="0"/>
    <x v="0"/>
    <x v="0"/>
    <x v="12"/>
    <x v="6"/>
    <x v="0"/>
    <x v="22"/>
    <n v="-1.53"/>
  </r>
  <r>
    <x v="0"/>
    <x v="0"/>
    <x v="0"/>
    <x v="12"/>
    <x v="6"/>
    <x v="0"/>
    <x v="23"/>
    <n v="-1.53"/>
  </r>
  <r>
    <x v="0"/>
    <x v="0"/>
    <x v="0"/>
    <x v="12"/>
    <x v="9"/>
    <x v="0"/>
    <x v="0"/>
    <n v="-0.63"/>
  </r>
  <r>
    <x v="0"/>
    <x v="0"/>
    <x v="0"/>
    <x v="12"/>
    <x v="9"/>
    <x v="0"/>
    <x v="1"/>
    <n v="-0.63"/>
  </r>
  <r>
    <x v="0"/>
    <x v="0"/>
    <x v="0"/>
    <x v="12"/>
    <x v="9"/>
    <x v="0"/>
    <x v="2"/>
    <n v="-0.63"/>
  </r>
  <r>
    <x v="0"/>
    <x v="0"/>
    <x v="0"/>
    <x v="12"/>
    <x v="9"/>
    <x v="0"/>
    <x v="3"/>
    <n v="-0.63"/>
  </r>
  <r>
    <x v="0"/>
    <x v="0"/>
    <x v="0"/>
    <x v="12"/>
    <x v="9"/>
    <x v="0"/>
    <x v="4"/>
    <n v="-0.63"/>
  </r>
  <r>
    <x v="0"/>
    <x v="0"/>
    <x v="0"/>
    <x v="12"/>
    <x v="9"/>
    <x v="0"/>
    <x v="5"/>
    <n v="-0.63"/>
  </r>
  <r>
    <x v="0"/>
    <x v="0"/>
    <x v="0"/>
    <x v="12"/>
    <x v="9"/>
    <x v="0"/>
    <x v="6"/>
    <n v="-0.63"/>
  </r>
  <r>
    <x v="0"/>
    <x v="0"/>
    <x v="0"/>
    <x v="12"/>
    <x v="9"/>
    <x v="0"/>
    <x v="7"/>
    <n v="-0.63"/>
  </r>
  <r>
    <x v="0"/>
    <x v="0"/>
    <x v="0"/>
    <x v="12"/>
    <x v="9"/>
    <x v="0"/>
    <x v="8"/>
    <n v="0.39803520636150103"/>
  </r>
  <r>
    <x v="0"/>
    <x v="0"/>
    <x v="0"/>
    <x v="12"/>
    <x v="9"/>
    <x v="0"/>
    <x v="9"/>
    <n v="0.63"/>
  </r>
  <r>
    <x v="0"/>
    <x v="0"/>
    <x v="0"/>
    <x v="12"/>
    <x v="9"/>
    <x v="0"/>
    <x v="10"/>
    <n v="0.42047350404867001"/>
  </r>
  <r>
    <x v="0"/>
    <x v="0"/>
    <x v="0"/>
    <x v="12"/>
    <x v="9"/>
    <x v="0"/>
    <x v="11"/>
    <n v="0"/>
  </r>
  <r>
    <x v="0"/>
    <x v="0"/>
    <x v="0"/>
    <x v="12"/>
    <x v="9"/>
    <x v="0"/>
    <x v="12"/>
    <n v="0"/>
  </r>
  <r>
    <x v="0"/>
    <x v="0"/>
    <x v="0"/>
    <x v="12"/>
    <x v="9"/>
    <x v="0"/>
    <x v="13"/>
    <n v="0"/>
  </r>
  <r>
    <x v="0"/>
    <x v="0"/>
    <x v="0"/>
    <x v="12"/>
    <x v="9"/>
    <x v="0"/>
    <x v="14"/>
    <n v="5.0487301797235004E-3"/>
  </r>
  <r>
    <x v="0"/>
    <x v="0"/>
    <x v="0"/>
    <x v="12"/>
    <x v="9"/>
    <x v="0"/>
    <x v="15"/>
    <n v="6.3750509401719696E-2"/>
  </r>
  <r>
    <x v="0"/>
    <x v="0"/>
    <x v="0"/>
    <x v="12"/>
    <x v="9"/>
    <x v="0"/>
    <x v="16"/>
    <n v="0.63"/>
  </r>
  <r>
    <x v="0"/>
    <x v="0"/>
    <x v="0"/>
    <x v="12"/>
    <x v="9"/>
    <x v="0"/>
    <x v="17"/>
    <n v="0.63"/>
  </r>
  <r>
    <x v="0"/>
    <x v="0"/>
    <x v="0"/>
    <x v="12"/>
    <x v="9"/>
    <x v="0"/>
    <x v="18"/>
    <n v="0.63"/>
  </r>
  <r>
    <x v="0"/>
    <x v="0"/>
    <x v="0"/>
    <x v="12"/>
    <x v="9"/>
    <x v="0"/>
    <x v="19"/>
    <n v="0.63"/>
  </r>
  <r>
    <x v="0"/>
    <x v="0"/>
    <x v="0"/>
    <x v="12"/>
    <x v="9"/>
    <x v="0"/>
    <x v="20"/>
    <n v="0"/>
  </r>
  <r>
    <x v="0"/>
    <x v="0"/>
    <x v="0"/>
    <x v="12"/>
    <x v="9"/>
    <x v="0"/>
    <x v="21"/>
    <n v="-0.63"/>
  </r>
  <r>
    <x v="0"/>
    <x v="0"/>
    <x v="0"/>
    <x v="12"/>
    <x v="9"/>
    <x v="0"/>
    <x v="22"/>
    <n v="-0.63"/>
  </r>
  <r>
    <x v="0"/>
    <x v="0"/>
    <x v="0"/>
    <x v="12"/>
    <x v="9"/>
    <x v="0"/>
    <x v="23"/>
    <n v="-0.63"/>
  </r>
  <r>
    <x v="0"/>
    <x v="0"/>
    <x v="0"/>
    <x v="12"/>
    <x v="20"/>
    <x v="0"/>
    <x v="0"/>
    <n v="2.0813633426132001"/>
  </r>
  <r>
    <x v="0"/>
    <x v="0"/>
    <x v="0"/>
    <x v="12"/>
    <x v="20"/>
    <x v="0"/>
    <x v="1"/>
    <n v="2.1721785677532601"/>
  </r>
  <r>
    <x v="0"/>
    <x v="0"/>
    <x v="0"/>
    <x v="12"/>
    <x v="20"/>
    <x v="0"/>
    <x v="2"/>
    <n v="2.1289722704966199"/>
  </r>
  <r>
    <x v="0"/>
    <x v="0"/>
    <x v="0"/>
    <x v="12"/>
    <x v="20"/>
    <x v="0"/>
    <x v="3"/>
    <n v="2.0737889589026"/>
  </r>
  <r>
    <x v="0"/>
    <x v="0"/>
    <x v="0"/>
    <x v="12"/>
    <x v="20"/>
    <x v="0"/>
    <x v="4"/>
    <n v="2.06259021785803"/>
  </r>
  <r>
    <x v="0"/>
    <x v="0"/>
    <x v="0"/>
    <x v="12"/>
    <x v="20"/>
    <x v="0"/>
    <x v="5"/>
    <n v="1.8461753056129799"/>
  </r>
  <r>
    <x v="0"/>
    <x v="0"/>
    <x v="0"/>
    <x v="12"/>
    <x v="20"/>
    <x v="0"/>
    <x v="6"/>
    <n v="2.7332954843358399"/>
  </r>
  <r>
    <x v="0"/>
    <x v="0"/>
    <x v="0"/>
    <x v="12"/>
    <x v="20"/>
    <x v="0"/>
    <x v="7"/>
    <n v="2.8760000919345701"/>
  </r>
  <r>
    <x v="0"/>
    <x v="0"/>
    <x v="0"/>
    <x v="12"/>
    <x v="20"/>
    <x v="0"/>
    <x v="8"/>
    <n v="2.1512425028291799"/>
  </r>
  <r>
    <x v="0"/>
    <x v="0"/>
    <x v="0"/>
    <x v="12"/>
    <x v="20"/>
    <x v="0"/>
    <x v="9"/>
    <n v="1.92515975788347"/>
  </r>
  <r>
    <x v="0"/>
    <x v="0"/>
    <x v="0"/>
    <x v="12"/>
    <x v="20"/>
    <x v="0"/>
    <x v="10"/>
    <n v="2.2085002123044499"/>
  </r>
  <r>
    <x v="0"/>
    <x v="0"/>
    <x v="0"/>
    <x v="12"/>
    <x v="20"/>
    <x v="0"/>
    <x v="11"/>
    <n v="1.6681699561724299"/>
  </r>
  <r>
    <x v="0"/>
    <x v="0"/>
    <x v="0"/>
    <x v="12"/>
    <x v="20"/>
    <x v="0"/>
    <x v="12"/>
    <n v="2.3280891009208"/>
  </r>
  <r>
    <x v="0"/>
    <x v="0"/>
    <x v="0"/>
    <x v="12"/>
    <x v="20"/>
    <x v="0"/>
    <x v="13"/>
    <n v="2.5763814737297199"/>
  </r>
  <r>
    <x v="0"/>
    <x v="0"/>
    <x v="0"/>
    <x v="12"/>
    <x v="20"/>
    <x v="0"/>
    <x v="14"/>
    <n v="2.1420941680912602"/>
  </r>
  <r>
    <x v="0"/>
    <x v="0"/>
    <x v="0"/>
    <x v="12"/>
    <x v="20"/>
    <x v="0"/>
    <x v="15"/>
    <n v="1.80179293570445"/>
  </r>
  <r>
    <x v="0"/>
    <x v="0"/>
    <x v="0"/>
    <x v="12"/>
    <x v="20"/>
    <x v="0"/>
    <x v="16"/>
    <n v="1.9980426041747199"/>
  </r>
  <r>
    <x v="0"/>
    <x v="0"/>
    <x v="0"/>
    <x v="12"/>
    <x v="20"/>
    <x v="0"/>
    <x v="17"/>
    <n v="2.4999761732999102"/>
  </r>
  <r>
    <x v="0"/>
    <x v="0"/>
    <x v="0"/>
    <x v="12"/>
    <x v="20"/>
    <x v="0"/>
    <x v="18"/>
    <n v="2.1766477216089002"/>
  </r>
  <r>
    <x v="0"/>
    <x v="0"/>
    <x v="0"/>
    <x v="12"/>
    <x v="20"/>
    <x v="0"/>
    <x v="19"/>
    <n v="2.0975826245526799"/>
  </r>
  <r>
    <x v="0"/>
    <x v="0"/>
    <x v="0"/>
    <x v="12"/>
    <x v="20"/>
    <x v="0"/>
    <x v="20"/>
    <n v="2.3621112044161299"/>
  </r>
  <r>
    <x v="0"/>
    <x v="0"/>
    <x v="0"/>
    <x v="12"/>
    <x v="20"/>
    <x v="0"/>
    <x v="21"/>
    <n v="2.88"/>
  </r>
  <r>
    <x v="0"/>
    <x v="0"/>
    <x v="0"/>
    <x v="12"/>
    <x v="20"/>
    <x v="0"/>
    <x v="22"/>
    <n v="2.72690012552399"/>
  </r>
  <r>
    <x v="0"/>
    <x v="0"/>
    <x v="0"/>
    <x v="12"/>
    <x v="20"/>
    <x v="0"/>
    <x v="23"/>
    <n v="2.5344743657885598"/>
  </r>
  <r>
    <x v="0"/>
    <x v="0"/>
    <x v="0"/>
    <x v="12"/>
    <x v="19"/>
    <x v="0"/>
    <x v="0"/>
    <n v="-1.08"/>
  </r>
  <r>
    <x v="0"/>
    <x v="0"/>
    <x v="0"/>
    <x v="12"/>
    <x v="19"/>
    <x v="0"/>
    <x v="1"/>
    <n v="-1.08"/>
  </r>
  <r>
    <x v="0"/>
    <x v="0"/>
    <x v="0"/>
    <x v="12"/>
    <x v="19"/>
    <x v="0"/>
    <x v="2"/>
    <n v="-1.08"/>
  </r>
  <r>
    <x v="0"/>
    <x v="0"/>
    <x v="0"/>
    <x v="12"/>
    <x v="19"/>
    <x v="0"/>
    <x v="3"/>
    <n v="-1.08"/>
  </r>
  <r>
    <x v="0"/>
    <x v="0"/>
    <x v="0"/>
    <x v="12"/>
    <x v="19"/>
    <x v="0"/>
    <x v="4"/>
    <n v="-1.08"/>
  </r>
  <r>
    <x v="0"/>
    <x v="0"/>
    <x v="0"/>
    <x v="12"/>
    <x v="19"/>
    <x v="0"/>
    <x v="5"/>
    <n v="-1.08"/>
  </r>
  <r>
    <x v="0"/>
    <x v="0"/>
    <x v="0"/>
    <x v="12"/>
    <x v="19"/>
    <x v="0"/>
    <x v="6"/>
    <n v="-1.08"/>
  </r>
  <r>
    <x v="0"/>
    <x v="0"/>
    <x v="0"/>
    <x v="12"/>
    <x v="19"/>
    <x v="0"/>
    <x v="7"/>
    <n v="-1.08"/>
  </r>
  <r>
    <x v="0"/>
    <x v="0"/>
    <x v="0"/>
    <x v="12"/>
    <x v="19"/>
    <x v="0"/>
    <x v="8"/>
    <n v="-1.08"/>
  </r>
  <r>
    <x v="0"/>
    <x v="0"/>
    <x v="0"/>
    <x v="12"/>
    <x v="19"/>
    <x v="0"/>
    <x v="9"/>
    <n v="-1.08"/>
  </r>
  <r>
    <x v="0"/>
    <x v="0"/>
    <x v="0"/>
    <x v="12"/>
    <x v="19"/>
    <x v="0"/>
    <x v="10"/>
    <n v="-1.08"/>
  </r>
  <r>
    <x v="0"/>
    <x v="0"/>
    <x v="0"/>
    <x v="12"/>
    <x v="19"/>
    <x v="0"/>
    <x v="11"/>
    <n v="-1.08"/>
  </r>
  <r>
    <x v="0"/>
    <x v="0"/>
    <x v="0"/>
    <x v="12"/>
    <x v="19"/>
    <x v="0"/>
    <x v="12"/>
    <n v="-1.08"/>
  </r>
  <r>
    <x v="0"/>
    <x v="0"/>
    <x v="0"/>
    <x v="12"/>
    <x v="19"/>
    <x v="0"/>
    <x v="13"/>
    <n v="-1.08"/>
  </r>
  <r>
    <x v="0"/>
    <x v="0"/>
    <x v="0"/>
    <x v="12"/>
    <x v="19"/>
    <x v="0"/>
    <x v="14"/>
    <n v="-1.08"/>
  </r>
  <r>
    <x v="0"/>
    <x v="0"/>
    <x v="0"/>
    <x v="12"/>
    <x v="19"/>
    <x v="0"/>
    <x v="15"/>
    <n v="-1.08"/>
  </r>
  <r>
    <x v="0"/>
    <x v="0"/>
    <x v="0"/>
    <x v="12"/>
    <x v="19"/>
    <x v="0"/>
    <x v="16"/>
    <n v="-1.08"/>
  </r>
  <r>
    <x v="0"/>
    <x v="0"/>
    <x v="0"/>
    <x v="12"/>
    <x v="19"/>
    <x v="0"/>
    <x v="17"/>
    <n v="-1.08"/>
  </r>
  <r>
    <x v="0"/>
    <x v="0"/>
    <x v="0"/>
    <x v="12"/>
    <x v="19"/>
    <x v="0"/>
    <x v="18"/>
    <n v="-1.08"/>
  </r>
  <r>
    <x v="0"/>
    <x v="0"/>
    <x v="0"/>
    <x v="12"/>
    <x v="19"/>
    <x v="0"/>
    <x v="19"/>
    <n v="-1.08"/>
  </r>
  <r>
    <x v="0"/>
    <x v="0"/>
    <x v="0"/>
    <x v="12"/>
    <x v="19"/>
    <x v="0"/>
    <x v="20"/>
    <n v="-1.08"/>
  </r>
  <r>
    <x v="0"/>
    <x v="0"/>
    <x v="0"/>
    <x v="12"/>
    <x v="19"/>
    <x v="0"/>
    <x v="21"/>
    <n v="-1.08"/>
  </r>
  <r>
    <x v="0"/>
    <x v="0"/>
    <x v="0"/>
    <x v="12"/>
    <x v="19"/>
    <x v="0"/>
    <x v="22"/>
    <n v="-1.08"/>
  </r>
  <r>
    <x v="0"/>
    <x v="0"/>
    <x v="0"/>
    <x v="12"/>
    <x v="19"/>
    <x v="0"/>
    <x v="23"/>
    <n v="-1.08"/>
  </r>
  <r>
    <x v="0"/>
    <x v="0"/>
    <x v="0"/>
    <x v="12"/>
    <x v="11"/>
    <x v="0"/>
    <x v="0"/>
    <n v="0"/>
  </r>
  <r>
    <x v="0"/>
    <x v="0"/>
    <x v="0"/>
    <x v="12"/>
    <x v="11"/>
    <x v="0"/>
    <x v="1"/>
    <n v="0"/>
  </r>
  <r>
    <x v="0"/>
    <x v="0"/>
    <x v="0"/>
    <x v="12"/>
    <x v="11"/>
    <x v="0"/>
    <x v="2"/>
    <n v="0"/>
  </r>
  <r>
    <x v="0"/>
    <x v="0"/>
    <x v="0"/>
    <x v="12"/>
    <x v="11"/>
    <x v="0"/>
    <x v="3"/>
    <n v="0"/>
  </r>
  <r>
    <x v="0"/>
    <x v="0"/>
    <x v="0"/>
    <x v="12"/>
    <x v="11"/>
    <x v="0"/>
    <x v="4"/>
    <n v="0"/>
  </r>
  <r>
    <x v="0"/>
    <x v="0"/>
    <x v="0"/>
    <x v="12"/>
    <x v="11"/>
    <x v="0"/>
    <x v="5"/>
    <n v="0"/>
  </r>
  <r>
    <x v="0"/>
    <x v="0"/>
    <x v="0"/>
    <x v="12"/>
    <x v="11"/>
    <x v="0"/>
    <x v="6"/>
    <n v="0"/>
  </r>
  <r>
    <x v="0"/>
    <x v="0"/>
    <x v="0"/>
    <x v="12"/>
    <x v="11"/>
    <x v="0"/>
    <x v="7"/>
    <n v="0"/>
  </r>
  <r>
    <x v="0"/>
    <x v="0"/>
    <x v="0"/>
    <x v="12"/>
    <x v="11"/>
    <x v="0"/>
    <x v="8"/>
    <n v="0"/>
  </r>
  <r>
    <x v="0"/>
    <x v="0"/>
    <x v="0"/>
    <x v="12"/>
    <x v="11"/>
    <x v="0"/>
    <x v="9"/>
    <n v="0"/>
  </r>
  <r>
    <x v="0"/>
    <x v="0"/>
    <x v="0"/>
    <x v="12"/>
    <x v="11"/>
    <x v="0"/>
    <x v="10"/>
    <n v="0"/>
  </r>
  <r>
    <x v="0"/>
    <x v="0"/>
    <x v="0"/>
    <x v="12"/>
    <x v="11"/>
    <x v="0"/>
    <x v="11"/>
    <n v="0"/>
  </r>
  <r>
    <x v="0"/>
    <x v="0"/>
    <x v="0"/>
    <x v="12"/>
    <x v="11"/>
    <x v="0"/>
    <x v="12"/>
    <n v="0"/>
  </r>
  <r>
    <x v="0"/>
    <x v="0"/>
    <x v="0"/>
    <x v="12"/>
    <x v="11"/>
    <x v="0"/>
    <x v="13"/>
    <n v="0"/>
  </r>
  <r>
    <x v="0"/>
    <x v="0"/>
    <x v="0"/>
    <x v="12"/>
    <x v="11"/>
    <x v="0"/>
    <x v="14"/>
    <n v="0"/>
  </r>
  <r>
    <x v="0"/>
    <x v="0"/>
    <x v="0"/>
    <x v="12"/>
    <x v="11"/>
    <x v="0"/>
    <x v="15"/>
    <n v="0"/>
  </r>
  <r>
    <x v="0"/>
    <x v="0"/>
    <x v="0"/>
    <x v="12"/>
    <x v="11"/>
    <x v="0"/>
    <x v="16"/>
    <n v="0"/>
  </r>
  <r>
    <x v="0"/>
    <x v="0"/>
    <x v="0"/>
    <x v="12"/>
    <x v="11"/>
    <x v="0"/>
    <x v="17"/>
    <n v="0"/>
  </r>
  <r>
    <x v="0"/>
    <x v="0"/>
    <x v="0"/>
    <x v="12"/>
    <x v="11"/>
    <x v="0"/>
    <x v="18"/>
    <n v="0"/>
  </r>
  <r>
    <x v="0"/>
    <x v="0"/>
    <x v="0"/>
    <x v="12"/>
    <x v="11"/>
    <x v="0"/>
    <x v="19"/>
    <n v="0"/>
  </r>
  <r>
    <x v="0"/>
    <x v="0"/>
    <x v="0"/>
    <x v="12"/>
    <x v="11"/>
    <x v="0"/>
    <x v="20"/>
    <n v="0"/>
  </r>
  <r>
    <x v="0"/>
    <x v="0"/>
    <x v="0"/>
    <x v="12"/>
    <x v="11"/>
    <x v="0"/>
    <x v="21"/>
    <n v="0"/>
  </r>
  <r>
    <x v="0"/>
    <x v="0"/>
    <x v="0"/>
    <x v="12"/>
    <x v="11"/>
    <x v="0"/>
    <x v="22"/>
    <n v="0"/>
  </r>
  <r>
    <x v="0"/>
    <x v="0"/>
    <x v="0"/>
    <x v="12"/>
    <x v="11"/>
    <x v="0"/>
    <x v="23"/>
    <n v="0"/>
  </r>
  <r>
    <x v="0"/>
    <x v="0"/>
    <x v="0"/>
    <x v="13"/>
    <x v="20"/>
    <x v="0"/>
    <x v="0"/>
    <n v="3.10507414083377E-2"/>
  </r>
  <r>
    <x v="0"/>
    <x v="0"/>
    <x v="0"/>
    <x v="13"/>
    <x v="20"/>
    <x v="0"/>
    <x v="1"/>
    <n v="4.1323484739861999E-2"/>
  </r>
  <r>
    <x v="0"/>
    <x v="0"/>
    <x v="0"/>
    <x v="13"/>
    <x v="20"/>
    <x v="0"/>
    <x v="2"/>
    <n v="7.8052158386223605E-2"/>
  </r>
  <r>
    <x v="0"/>
    <x v="0"/>
    <x v="0"/>
    <x v="13"/>
    <x v="20"/>
    <x v="0"/>
    <x v="3"/>
    <n v="0.14562899348863301"/>
  </r>
  <r>
    <x v="0"/>
    <x v="0"/>
    <x v="0"/>
    <x v="13"/>
    <x v="20"/>
    <x v="0"/>
    <x v="4"/>
    <n v="4.1996377631894601E-2"/>
  </r>
  <r>
    <x v="0"/>
    <x v="0"/>
    <x v="0"/>
    <x v="13"/>
    <x v="20"/>
    <x v="0"/>
    <x v="5"/>
    <n v="0.43232503319586002"/>
  </r>
  <r>
    <x v="0"/>
    <x v="0"/>
    <x v="0"/>
    <x v="13"/>
    <x v="20"/>
    <x v="0"/>
    <x v="6"/>
    <n v="1.08"/>
  </r>
  <r>
    <x v="0"/>
    <x v="0"/>
    <x v="0"/>
    <x v="13"/>
    <x v="20"/>
    <x v="0"/>
    <x v="7"/>
    <n v="0.84097527863021004"/>
  </r>
  <r>
    <x v="0"/>
    <x v="0"/>
    <x v="0"/>
    <x v="13"/>
    <x v="20"/>
    <x v="0"/>
    <x v="8"/>
    <n v="1.08"/>
  </r>
  <r>
    <x v="0"/>
    <x v="0"/>
    <x v="0"/>
    <x v="13"/>
    <x v="20"/>
    <x v="0"/>
    <x v="9"/>
    <n v="0.80561667769313805"/>
  </r>
  <r>
    <x v="0"/>
    <x v="0"/>
    <x v="0"/>
    <x v="13"/>
    <x v="20"/>
    <x v="0"/>
    <x v="10"/>
    <n v="0.82718072858061997"/>
  </r>
  <r>
    <x v="0"/>
    <x v="0"/>
    <x v="0"/>
    <x v="13"/>
    <x v="20"/>
    <x v="0"/>
    <x v="11"/>
    <n v="1.08"/>
  </r>
  <r>
    <x v="0"/>
    <x v="0"/>
    <x v="0"/>
    <x v="13"/>
    <x v="20"/>
    <x v="0"/>
    <x v="12"/>
    <n v="0.950436506722518"/>
  </r>
  <r>
    <x v="0"/>
    <x v="0"/>
    <x v="0"/>
    <x v="13"/>
    <x v="20"/>
    <x v="0"/>
    <x v="13"/>
    <n v="0.30814543280594398"/>
  </r>
  <r>
    <x v="0"/>
    <x v="0"/>
    <x v="0"/>
    <x v="13"/>
    <x v="20"/>
    <x v="0"/>
    <x v="14"/>
    <n v="1.08"/>
  </r>
  <r>
    <x v="0"/>
    <x v="0"/>
    <x v="0"/>
    <x v="13"/>
    <x v="20"/>
    <x v="0"/>
    <x v="15"/>
    <n v="1.05606806023428"/>
  </r>
  <r>
    <x v="0"/>
    <x v="0"/>
    <x v="0"/>
    <x v="13"/>
    <x v="20"/>
    <x v="0"/>
    <x v="16"/>
    <n v="1.08"/>
  </r>
  <r>
    <x v="0"/>
    <x v="0"/>
    <x v="0"/>
    <x v="13"/>
    <x v="20"/>
    <x v="0"/>
    <x v="17"/>
    <n v="1.08"/>
  </r>
  <r>
    <x v="0"/>
    <x v="0"/>
    <x v="0"/>
    <x v="13"/>
    <x v="20"/>
    <x v="0"/>
    <x v="18"/>
    <n v="0.62452896965236304"/>
  </r>
  <r>
    <x v="0"/>
    <x v="0"/>
    <x v="0"/>
    <x v="13"/>
    <x v="20"/>
    <x v="0"/>
    <x v="19"/>
    <n v="0.97367927875446003"/>
  </r>
  <r>
    <x v="0"/>
    <x v="0"/>
    <x v="0"/>
    <x v="13"/>
    <x v="20"/>
    <x v="0"/>
    <x v="20"/>
    <n v="0.38234438676196503"/>
  </r>
  <r>
    <x v="0"/>
    <x v="0"/>
    <x v="0"/>
    <x v="13"/>
    <x v="20"/>
    <x v="0"/>
    <x v="21"/>
    <n v="0"/>
  </r>
  <r>
    <x v="0"/>
    <x v="0"/>
    <x v="0"/>
    <x v="13"/>
    <x v="20"/>
    <x v="0"/>
    <x v="22"/>
    <n v="0"/>
  </r>
  <r>
    <x v="0"/>
    <x v="0"/>
    <x v="0"/>
    <x v="13"/>
    <x v="20"/>
    <x v="0"/>
    <x v="23"/>
    <n v="0"/>
  </r>
  <r>
    <x v="0"/>
    <x v="0"/>
    <x v="0"/>
    <x v="13"/>
    <x v="15"/>
    <x v="0"/>
    <x v="0"/>
    <n v="-0.21704888095958699"/>
  </r>
  <r>
    <x v="0"/>
    <x v="0"/>
    <x v="0"/>
    <x v="13"/>
    <x v="15"/>
    <x v="0"/>
    <x v="1"/>
    <n v="-0.167714324367987"/>
  </r>
  <r>
    <x v="0"/>
    <x v="0"/>
    <x v="0"/>
    <x v="13"/>
    <x v="15"/>
    <x v="0"/>
    <x v="2"/>
    <n v="-0.17284853726754901"/>
  </r>
  <r>
    <x v="0"/>
    <x v="0"/>
    <x v="0"/>
    <x v="13"/>
    <x v="15"/>
    <x v="0"/>
    <x v="3"/>
    <n v="-0.21069229950861801"/>
  </r>
  <r>
    <x v="0"/>
    <x v="0"/>
    <x v="0"/>
    <x v="13"/>
    <x v="15"/>
    <x v="0"/>
    <x v="4"/>
    <n v="-0.12656005073422"/>
  </r>
  <r>
    <x v="0"/>
    <x v="0"/>
    <x v="0"/>
    <x v="13"/>
    <x v="15"/>
    <x v="0"/>
    <x v="5"/>
    <n v="-0.335092888950277"/>
  </r>
  <r>
    <x v="0"/>
    <x v="0"/>
    <x v="0"/>
    <x v="13"/>
    <x v="15"/>
    <x v="0"/>
    <x v="6"/>
    <n v="-0.9"/>
  </r>
  <r>
    <x v="0"/>
    <x v="0"/>
    <x v="0"/>
    <x v="13"/>
    <x v="15"/>
    <x v="0"/>
    <x v="7"/>
    <n v="-0.9"/>
  </r>
  <r>
    <x v="0"/>
    <x v="0"/>
    <x v="0"/>
    <x v="13"/>
    <x v="15"/>
    <x v="0"/>
    <x v="8"/>
    <n v="-0.9"/>
  </r>
  <r>
    <x v="0"/>
    <x v="0"/>
    <x v="0"/>
    <x v="13"/>
    <x v="15"/>
    <x v="0"/>
    <x v="9"/>
    <n v="-0.9"/>
  </r>
  <r>
    <x v="0"/>
    <x v="0"/>
    <x v="0"/>
    <x v="13"/>
    <x v="15"/>
    <x v="0"/>
    <x v="10"/>
    <n v="-0.88753454420197098"/>
  </r>
  <r>
    <x v="0"/>
    <x v="0"/>
    <x v="0"/>
    <x v="13"/>
    <x v="15"/>
    <x v="0"/>
    <x v="11"/>
    <n v="-0.9"/>
  </r>
  <r>
    <x v="0"/>
    <x v="0"/>
    <x v="0"/>
    <x v="13"/>
    <x v="15"/>
    <x v="0"/>
    <x v="12"/>
    <n v="-0.66774373899944095"/>
  </r>
  <r>
    <x v="0"/>
    <x v="0"/>
    <x v="0"/>
    <x v="13"/>
    <x v="15"/>
    <x v="0"/>
    <x v="13"/>
    <n v="-0.48366651891803603"/>
  </r>
  <r>
    <x v="0"/>
    <x v="0"/>
    <x v="0"/>
    <x v="13"/>
    <x v="15"/>
    <x v="0"/>
    <x v="14"/>
    <n v="-0.9"/>
  </r>
  <r>
    <x v="0"/>
    <x v="0"/>
    <x v="0"/>
    <x v="13"/>
    <x v="15"/>
    <x v="0"/>
    <x v="15"/>
    <n v="-0.69566360235195202"/>
  </r>
  <r>
    <x v="0"/>
    <x v="0"/>
    <x v="0"/>
    <x v="13"/>
    <x v="15"/>
    <x v="0"/>
    <x v="16"/>
    <n v="-0.88655065352799201"/>
  </r>
  <r>
    <x v="0"/>
    <x v="0"/>
    <x v="0"/>
    <x v="13"/>
    <x v="15"/>
    <x v="0"/>
    <x v="17"/>
    <n v="-0.88471924945033298"/>
  </r>
  <r>
    <x v="0"/>
    <x v="0"/>
    <x v="0"/>
    <x v="13"/>
    <x v="15"/>
    <x v="0"/>
    <x v="18"/>
    <n v="-0.55902693739220299"/>
  </r>
  <r>
    <x v="0"/>
    <x v="0"/>
    <x v="0"/>
    <x v="13"/>
    <x v="15"/>
    <x v="0"/>
    <x v="19"/>
    <n v="-0.55402227912350399"/>
  </r>
  <r>
    <x v="0"/>
    <x v="0"/>
    <x v="0"/>
    <x v="13"/>
    <x v="15"/>
    <x v="0"/>
    <x v="20"/>
    <n v="-0.18439710242302201"/>
  </r>
  <r>
    <x v="0"/>
    <x v="0"/>
    <x v="0"/>
    <x v="13"/>
    <x v="15"/>
    <x v="0"/>
    <x v="21"/>
    <n v="-0.33131953088278798"/>
  </r>
  <r>
    <x v="0"/>
    <x v="0"/>
    <x v="0"/>
    <x v="13"/>
    <x v="15"/>
    <x v="0"/>
    <x v="22"/>
    <n v="-0.241656489992357"/>
  </r>
  <r>
    <x v="0"/>
    <x v="0"/>
    <x v="0"/>
    <x v="13"/>
    <x v="15"/>
    <x v="0"/>
    <x v="23"/>
    <n v="-0.100041699119206"/>
  </r>
  <r>
    <x v="0"/>
    <x v="0"/>
    <x v="0"/>
    <x v="13"/>
    <x v="19"/>
    <x v="0"/>
    <x v="0"/>
    <n v="-0.9"/>
  </r>
  <r>
    <x v="0"/>
    <x v="0"/>
    <x v="0"/>
    <x v="13"/>
    <x v="19"/>
    <x v="0"/>
    <x v="1"/>
    <n v="-0.9"/>
  </r>
  <r>
    <x v="0"/>
    <x v="0"/>
    <x v="0"/>
    <x v="13"/>
    <x v="19"/>
    <x v="0"/>
    <x v="2"/>
    <n v="-0.9"/>
  </r>
  <r>
    <x v="0"/>
    <x v="0"/>
    <x v="0"/>
    <x v="13"/>
    <x v="19"/>
    <x v="0"/>
    <x v="3"/>
    <n v="-0.9"/>
  </r>
  <r>
    <x v="0"/>
    <x v="0"/>
    <x v="0"/>
    <x v="13"/>
    <x v="19"/>
    <x v="0"/>
    <x v="4"/>
    <n v="-0.9"/>
  </r>
  <r>
    <x v="0"/>
    <x v="0"/>
    <x v="0"/>
    <x v="13"/>
    <x v="19"/>
    <x v="0"/>
    <x v="5"/>
    <n v="-0.9"/>
  </r>
  <r>
    <x v="0"/>
    <x v="0"/>
    <x v="0"/>
    <x v="13"/>
    <x v="19"/>
    <x v="0"/>
    <x v="6"/>
    <n v="-0.9"/>
  </r>
  <r>
    <x v="0"/>
    <x v="0"/>
    <x v="0"/>
    <x v="13"/>
    <x v="19"/>
    <x v="0"/>
    <x v="7"/>
    <n v="-0.9"/>
  </r>
  <r>
    <x v="0"/>
    <x v="0"/>
    <x v="0"/>
    <x v="13"/>
    <x v="19"/>
    <x v="0"/>
    <x v="8"/>
    <n v="-0.9"/>
  </r>
  <r>
    <x v="0"/>
    <x v="0"/>
    <x v="0"/>
    <x v="13"/>
    <x v="19"/>
    <x v="0"/>
    <x v="9"/>
    <n v="-0.9"/>
  </r>
  <r>
    <x v="0"/>
    <x v="0"/>
    <x v="0"/>
    <x v="13"/>
    <x v="19"/>
    <x v="0"/>
    <x v="10"/>
    <n v="-0.9"/>
  </r>
  <r>
    <x v="0"/>
    <x v="0"/>
    <x v="0"/>
    <x v="13"/>
    <x v="19"/>
    <x v="0"/>
    <x v="11"/>
    <n v="-0.9"/>
  </r>
  <r>
    <x v="0"/>
    <x v="0"/>
    <x v="0"/>
    <x v="13"/>
    <x v="19"/>
    <x v="0"/>
    <x v="12"/>
    <n v="-0.9"/>
  </r>
  <r>
    <x v="0"/>
    <x v="0"/>
    <x v="0"/>
    <x v="13"/>
    <x v="19"/>
    <x v="0"/>
    <x v="13"/>
    <n v="-0.9"/>
  </r>
  <r>
    <x v="0"/>
    <x v="0"/>
    <x v="0"/>
    <x v="13"/>
    <x v="19"/>
    <x v="0"/>
    <x v="14"/>
    <n v="-0.9"/>
  </r>
  <r>
    <x v="0"/>
    <x v="0"/>
    <x v="0"/>
    <x v="13"/>
    <x v="19"/>
    <x v="0"/>
    <x v="15"/>
    <n v="-0.9"/>
  </r>
  <r>
    <x v="0"/>
    <x v="0"/>
    <x v="0"/>
    <x v="13"/>
    <x v="19"/>
    <x v="0"/>
    <x v="16"/>
    <n v="-0.9"/>
  </r>
  <r>
    <x v="0"/>
    <x v="0"/>
    <x v="0"/>
    <x v="13"/>
    <x v="19"/>
    <x v="0"/>
    <x v="17"/>
    <n v="-0.9"/>
  </r>
  <r>
    <x v="0"/>
    <x v="0"/>
    <x v="0"/>
    <x v="13"/>
    <x v="19"/>
    <x v="0"/>
    <x v="18"/>
    <n v="-0.9"/>
  </r>
  <r>
    <x v="0"/>
    <x v="0"/>
    <x v="0"/>
    <x v="13"/>
    <x v="19"/>
    <x v="0"/>
    <x v="19"/>
    <n v="-0.9"/>
  </r>
  <r>
    <x v="0"/>
    <x v="0"/>
    <x v="0"/>
    <x v="13"/>
    <x v="19"/>
    <x v="0"/>
    <x v="20"/>
    <n v="-0.9"/>
  </r>
  <r>
    <x v="0"/>
    <x v="0"/>
    <x v="0"/>
    <x v="13"/>
    <x v="19"/>
    <x v="0"/>
    <x v="21"/>
    <n v="-0.9"/>
  </r>
  <r>
    <x v="0"/>
    <x v="0"/>
    <x v="0"/>
    <x v="13"/>
    <x v="19"/>
    <x v="0"/>
    <x v="22"/>
    <n v="-0.9"/>
  </r>
  <r>
    <x v="0"/>
    <x v="0"/>
    <x v="0"/>
    <x v="13"/>
    <x v="19"/>
    <x v="0"/>
    <x v="23"/>
    <n v="-0.9"/>
  </r>
  <r>
    <x v="0"/>
    <x v="0"/>
    <x v="0"/>
    <x v="13"/>
    <x v="21"/>
    <x v="0"/>
    <x v="0"/>
    <n v="0"/>
  </r>
  <r>
    <x v="0"/>
    <x v="0"/>
    <x v="0"/>
    <x v="13"/>
    <x v="21"/>
    <x v="0"/>
    <x v="1"/>
    <n v="0"/>
  </r>
  <r>
    <x v="0"/>
    <x v="0"/>
    <x v="0"/>
    <x v="13"/>
    <x v="21"/>
    <x v="0"/>
    <x v="2"/>
    <n v="0"/>
  </r>
  <r>
    <x v="0"/>
    <x v="0"/>
    <x v="0"/>
    <x v="13"/>
    <x v="21"/>
    <x v="0"/>
    <x v="3"/>
    <n v="0"/>
  </r>
  <r>
    <x v="0"/>
    <x v="0"/>
    <x v="0"/>
    <x v="13"/>
    <x v="21"/>
    <x v="0"/>
    <x v="4"/>
    <n v="0"/>
  </r>
  <r>
    <x v="0"/>
    <x v="0"/>
    <x v="0"/>
    <x v="13"/>
    <x v="21"/>
    <x v="0"/>
    <x v="5"/>
    <n v="0"/>
  </r>
  <r>
    <x v="0"/>
    <x v="0"/>
    <x v="0"/>
    <x v="13"/>
    <x v="21"/>
    <x v="0"/>
    <x v="6"/>
    <n v="0.281413942286668"/>
  </r>
  <r>
    <x v="0"/>
    <x v="0"/>
    <x v="0"/>
    <x v="13"/>
    <x v="21"/>
    <x v="0"/>
    <x v="7"/>
    <n v="0.54"/>
  </r>
  <r>
    <x v="0"/>
    <x v="0"/>
    <x v="0"/>
    <x v="13"/>
    <x v="21"/>
    <x v="0"/>
    <x v="8"/>
    <n v="0.191582986670288"/>
  </r>
  <r>
    <x v="0"/>
    <x v="0"/>
    <x v="0"/>
    <x v="13"/>
    <x v="21"/>
    <x v="0"/>
    <x v="9"/>
    <n v="0.54"/>
  </r>
  <r>
    <x v="0"/>
    <x v="0"/>
    <x v="0"/>
    <x v="13"/>
    <x v="21"/>
    <x v="0"/>
    <x v="10"/>
    <n v="0.54"/>
  </r>
  <r>
    <x v="0"/>
    <x v="0"/>
    <x v="0"/>
    <x v="13"/>
    <x v="21"/>
    <x v="0"/>
    <x v="11"/>
    <n v="0.22434549486550501"/>
  </r>
  <r>
    <x v="0"/>
    <x v="0"/>
    <x v="0"/>
    <x v="13"/>
    <x v="21"/>
    <x v="0"/>
    <x v="12"/>
    <n v="0"/>
  </r>
  <r>
    <x v="0"/>
    <x v="0"/>
    <x v="0"/>
    <x v="13"/>
    <x v="21"/>
    <x v="0"/>
    <x v="13"/>
    <n v="0.54"/>
  </r>
  <r>
    <x v="0"/>
    <x v="0"/>
    <x v="0"/>
    <x v="13"/>
    <x v="21"/>
    <x v="0"/>
    <x v="14"/>
    <n v="0.193216549349534"/>
  </r>
  <r>
    <x v="0"/>
    <x v="0"/>
    <x v="0"/>
    <x v="13"/>
    <x v="21"/>
    <x v="0"/>
    <x v="15"/>
    <n v="0"/>
  </r>
  <r>
    <x v="0"/>
    <x v="0"/>
    <x v="0"/>
    <x v="13"/>
    <x v="21"/>
    <x v="0"/>
    <x v="16"/>
    <n v="0.17052522493338099"/>
  </r>
  <r>
    <x v="0"/>
    <x v="0"/>
    <x v="0"/>
    <x v="13"/>
    <x v="21"/>
    <x v="0"/>
    <x v="17"/>
    <n v="0.204359047389196"/>
  </r>
  <r>
    <x v="0"/>
    <x v="0"/>
    <x v="0"/>
    <x v="13"/>
    <x v="21"/>
    <x v="0"/>
    <x v="18"/>
    <n v="0.35906019719166199"/>
  </r>
  <r>
    <x v="0"/>
    <x v="0"/>
    <x v="0"/>
    <x v="13"/>
    <x v="21"/>
    <x v="0"/>
    <x v="19"/>
    <n v="0"/>
  </r>
  <r>
    <x v="0"/>
    <x v="0"/>
    <x v="0"/>
    <x v="13"/>
    <x v="21"/>
    <x v="0"/>
    <x v="20"/>
    <n v="0"/>
  </r>
  <r>
    <x v="0"/>
    <x v="0"/>
    <x v="0"/>
    <x v="13"/>
    <x v="21"/>
    <x v="0"/>
    <x v="21"/>
    <n v="0"/>
  </r>
  <r>
    <x v="0"/>
    <x v="0"/>
    <x v="0"/>
    <x v="13"/>
    <x v="21"/>
    <x v="0"/>
    <x v="22"/>
    <n v="0"/>
  </r>
  <r>
    <x v="0"/>
    <x v="0"/>
    <x v="0"/>
    <x v="13"/>
    <x v="21"/>
    <x v="0"/>
    <x v="23"/>
    <n v="-1.36944045279454E-2"/>
  </r>
  <r>
    <x v="0"/>
    <x v="0"/>
    <x v="0"/>
    <x v="14"/>
    <x v="12"/>
    <x v="0"/>
    <x v="0"/>
    <n v="0"/>
  </r>
  <r>
    <x v="0"/>
    <x v="0"/>
    <x v="0"/>
    <x v="14"/>
    <x v="12"/>
    <x v="0"/>
    <x v="1"/>
    <n v="0"/>
  </r>
  <r>
    <x v="0"/>
    <x v="0"/>
    <x v="0"/>
    <x v="14"/>
    <x v="12"/>
    <x v="0"/>
    <x v="2"/>
    <n v="0"/>
  </r>
  <r>
    <x v="0"/>
    <x v="0"/>
    <x v="0"/>
    <x v="14"/>
    <x v="12"/>
    <x v="0"/>
    <x v="3"/>
    <n v="0"/>
  </r>
  <r>
    <x v="0"/>
    <x v="0"/>
    <x v="0"/>
    <x v="14"/>
    <x v="12"/>
    <x v="0"/>
    <x v="4"/>
    <n v="0"/>
  </r>
  <r>
    <x v="0"/>
    <x v="0"/>
    <x v="0"/>
    <x v="14"/>
    <x v="12"/>
    <x v="0"/>
    <x v="5"/>
    <n v="0"/>
  </r>
  <r>
    <x v="0"/>
    <x v="0"/>
    <x v="0"/>
    <x v="14"/>
    <x v="12"/>
    <x v="0"/>
    <x v="6"/>
    <n v="0"/>
  </r>
  <r>
    <x v="0"/>
    <x v="0"/>
    <x v="0"/>
    <x v="14"/>
    <x v="12"/>
    <x v="0"/>
    <x v="7"/>
    <n v="0"/>
  </r>
  <r>
    <x v="0"/>
    <x v="0"/>
    <x v="0"/>
    <x v="14"/>
    <x v="12"/>
    <x v="0"/>
    <x v="8"/>
    <n v="0"/>
  </r>
  <r>
    <x v="0"/>
    <x v="0"/>
    <x v="0"/>
    <x v="14"/>
    <x v="12"/>
    <x v="0"/>
    <x v="9"/>
    <n v="0"/>
  </r>
  <r>
    <x v="0"/>
    <x v="0"/>
    <x v="0"/>
    <x v="14"/>
    <x v="12"/>
    <x v="0"/>
    <x v="10"/>
    <n v="0"/>
  </r>
  <r>
    <x v="0"/>
    <x v="0"/>
    <x v="0"/>
    <x v="14"/>
    <x v="12"/>
    <x v="0"/>
    <x v="11"/>
    <n v="0"/>
  </r>
  <r>
    <x v="0"/>
    <x v="0"/>
    <x v="0"/>
    <x v="14"/>
    <x v="12"/>
    <x v="0"/>
    <x v="12"/>
    <n v="0"/>
  </r>
  <r>
    <x v="0"/>
    <x v="0"/>
    <x v="0"/>
    <x v="14"/>
    <x v="12"/>
    <x v="0"/>
    <x v="13"/>
    <n v="0"/>
  </r>
  <r>
    <x v="0"/>
    <x v="0"/>
    <x v="0"/>
    <x v="14"/>
    <x v="12"/>
    <x v="0"/>
    <x v="14"/>
    <n v="0"/>
  </r>
  <r>
    <x v="0"/>
    <x v="0"/>
    <x v="0"/>
    <x v="14"/>
    <x v="12"/>
    <x v="0"/>
    <x v="15"/>
    <n v="0"/>
  </r>
  <r>
    <x v="0"/>
    <x v="0"/>
    <x v="0"/>
    <x v="14"/>
    <x v="12"/>
    <x v="0"/>
    <x v="16"/>
    <n v="0"/>
  </r>
  <r>
    <x v="0"/>
    <x v="0"/>
    <x v="0"/>
    <x v="14"/>
    <x v="12"/>
    <x v="0"/>
    <x v="17"/>
    <n v="0"/>
  </r>
  <r>
    <x v="0"/>
    <x v="0"/>
    <x v="0"/>
    <x v="14"/>
    <x v="12"/>
    <x v="0"/>
    <x v="18"/>
    <n v="0"/>
  </r>
  <r>
    <x v="0"/>
    <x v="0"/>
    <x v="0"/>
    <x v="14"/>
    <x v="12"/>
    <x v="0"/>
    <x v="19"/>
    <n v="0"/>
  </r>
  <r>
    <x v="0"/>
    <x v="0"/>
    <x v="0"/>
    <x v="14"/>
    <x v="12"/>
    <x v="0"/>
    <x v="20"/>
    <n v="0"/>
  </r>
  <r>
    <x v="0"/>
    <x v="0"/>
    <x v="0"/>
    <x v="14"/>
    <x v="12"/>
    <x v="0"/>
    <x v="21"/>
    <n v="0"/>
  </r>
  <r>
    <x v="0"/>
    <x v="0"/>
    <x v="0"/>
    <x v="14"/>
    <x v="12"/>
    <x v="0"/>
    <x v="22"/>
    <n v="0"/>
  </r>
  <r>
    <x v="0"/>
    <x v="0"/>
    <x v="0"/>
    <x v="14"/>
    <x v="12"/>
    <x v="0"/>
    <x v="23"/>
    <n v="0"/>
  </r>
  <r>
    <x v="0"/>
    <x v="0"/>
    <x v="0"/>
    <x v="14"/>
    <x v="18"/>
    <x v="0"/>
    <x v="0"/>
    <n v="0.21704888095958699"/>
  </r>
  <r>
    <x v="0"/>
    <x v="0"/>
    <x v="0"/>
    <x v="14"/>
    <x v="18"/>
    <x v="0"/>
    <x v="1"/>
    <n v="0.167714324367987"/>
  </r>
  <r>
    <x v="0"/>
    <x v="0"/>
    <x v="0"/>
    <x v="14"/>
    <x v="18"/>
    <x v="0"/>
    <x v="2"/>
    <n v="0.17284853726754901"/>
  </r>
  <r>
    <x v="0"/>
    <x v="0"/>
    <x v="0"/>
    <x v="14"/>
    <x v="18"/>
    <x v="0"/>
    <x v="3"/>
    <n v="0.21069229950861801"/>
  </r>
  <r>
    <x v="0"/>
    <x v="0"/>
    <x v="0"/>
    <x v="14"/>
    <x v="18"/>
    <x v="0"/>
    <x v="4"/>
    <n v="0.12656005073422"/>
  </r>
  <r>
    <x v="0"/>
    <x v="0"/>
    <x v="0"/>
    <x v="14"/>
    <x v="18"/>
    <x v="0"/>
    <x v="5"/>
    <n v="0.335092888950277"/>
  </r>
  <r>
    <x v="0"/>
    <x v="0"/>
    <x v="0"/>
    <x v="14"/>
    <x v="18"/>
    <x v="0"/>
    <x v="6"/>
    <n v="0.9"/>
  </r>
  <r>
    <x v="0"/>
    <x v="0"/>
    <x v="0"/>
    <x v="14"/>
    <x v="18"/>
    <x v="0"/>
    <x v="7"/>
    <n v="0.9"/>
  </r>
  <r>
    <x v="0"/>
    <x v="0"/>
    <x v="0"/>
    <x v="14"/>
    <x v="18"/>
    <x v="0"/>
    <x v="8"/>
    <n v="0.9"/>
  </r>
  <r>
    <x v="0"/>
    <x v="0"/>
    <x v="0"/>
    <x v="14"/>
    <x v="18"/>
    <x v="0"/>
    <x v="9"/>
    <n v="0.9"/>
  </r>
  <r>
    <x v="0"/>
    <x v="0"/>
    <x v="0"/>
    <x v="14"/>
    <x v="18"/>
    <x v="0"/>
    <x v="10"/>
    <n v="0.88753454420197098"/>
  </r>
  <r>
    <x v="0"/>
    <x v="0"/>
    <x v="0"/>
    <x v="14"/>
    <x v="18"/>
    <x v="0"/>
    <x v="11"/>
    <n v="0.9"/>
  </r>
  <r>
    <x v="0"/>
    <x v="0"/>
    <x v="0"/>
    <x v="14"/>
    <x v="18"/>
    <x v="0"/>
    <x v="12"/>
    <n v="0.66774373899944095"/>
  </r>
  <r>
    <x v="0"/>
    <x v="0"/>
    <x v="0"/>
    <x v="14"/>
    <x v="18"/>
    <x v="0"/>
    <x v="13"/>
    <n v="0.48366651891803603"/>
  </r>
  <r>
    <x v="0"/>
    <x v="0"/>
    <x v="0"/>
    <x v="14"/>
    <x v="18"/>
    <x v="0"/>
    <x v="14"/>
    <n v="0.9"/>
  </r>
  <r>
    <x v="0"/>
    <x v="0"/>
    <x v="0"/>
    <x v="14"/>
    <x v="18"/>
    <x v="0"/>
    <x v="15"/>
    <n v="0.69566360235195202"/>
  </r>
  <r>
    <x v="0"/>
    <x v="0"/>
    <x v="0"/>
    <x v="14"/>
    <x v="18"/>
    <x v="0"/>
    <x v="16"/>
    <n v="0.88655065352799201"/>
  </r>
  <r>
    <x v="0"/>
    <x v="0"/>
    <x v="0"/>
    <x v="14"/>
    <x v="18"/>
    <x v="0"/>
    <x v="17"/>
    <n v="0.88471924945033298"/>
  </r>
  <r>
    <x v="0"/>
    <x v="0"/>
    <x v="0"/>
    <x v="14"/>
    <x v="18"/>
    <x v="0"/>
    <x v="18"/>
    <n v="0.55902693739220299"/>
  </r>
  <r>
    <x v="0"/>
    <x v="0"/>
    <x v="0"/>
    <x v="14"/>
    <x v="18"/>
    <x v="0"/>
    <x v="19"/>
    <n v="0.55402227912350399"/>
  </r>
  <r>
    <x v="0"/>
    <x v="0"/>
    <x v="0"/>
    <x v="14"/>
    <x v="18"/>
    <x v="0"/>
    <x v="20"/>
    <n v="0.18439710242302201"/>
  </r>
  <r>
    <x v="0"/>
    <x v="0"/>
    <x v="0"/>
    <x v="14"/>
    <x v="18"/>
    <x v="0"/>
    <x v="21"/>
    <n v="0.33131953088278798"/>
  </r>
  <r>
    <x v="0"/>
    <x v="0"/>
    <x v="0"/>
    <x v="14"/>
    <x v="18"/>
    <x v="0"/>
    <x v="22"/>
    <n v="0.241656489992357"/>
  </r>
  <r>
    <x v="0"/>
    <x v="0"/>
    <x v="0"/>
    <x v="14"/>
    <x v="18"/>
    <x v="0"/>
    <x v="23"/>
    <n v="0.100041699119206"/>
  </r>
  <r>
    <x v="0"/>
    <x v="0"/>
    <x v="0"/>
    <x v="14"/>
    <x v="16"/>
    <x v="0"/>
    <x v="0"/>
    <n v="0"/>
  </r>
  <r>
    <x v="0"/>
    <x v="0"/>
    <x v="0"/>
    <x v="14"/>
    <x v="16"/>
    <x v="0"/>
    <x v="1"/>
    <n v="0"/>
  </r>
  <r>
    <x v="0"/>
    <x v="0"/>
    <x v="0"/>
    <x v="14"/>
    <x v="16"/>
    <x v="0"/>
    <x v="2"/>
    <n v="0"/>
  </r>
  <r>
    <x v="0"/>
    <x v="0"/>
    <x v="0"/>
    <x v="14"/>
    <x v="16"/>
    <x v="0"/>
    <x v="3"/>
    <n v="0"/>
  </r>
  <r>
    <x v="0"/>
    <x v="0"/>
    <x v="0"/>
    <x v="14"/>
    <x v="16"/>
    <x v="0"/>
    <x v="4"/>
    <n v="0"/>
  </r>
  <r>
    <x v="0"/>
    <x v="0"/>
    <x v="0"/>
    <x v="14"/>
    <x v="16"/>
    <x v="0"/>
    <x v="5"/>
    <n v="0"/>
  </r>
  <r>
    <x v="0"/>
    <x v="0"/>
    <x v="0"/>
    <x v="14"/>
    <x v="16"/>
    <x v="0"/>
    <x v="6"/>
    <n v="0"/>
  </r>
  <r>
    <x v="0"/>
    <x v="0"/>
    <x v="0"/>
    <x v="14"/>
    <x v="16"/>
    <x v="0"/>
    <x v="7"/>
    <n v="0"/>
  </r>
  <r>
    <x v="0"/>
    <x v="0"/>
    <x v="0"/>
    <x v="14"/>
    <x v="16"/>
    <x v="0"/>
    <x v="8"/>
    <n v="0"/>
  </r>
  <r>
    <x v="0"/>
    <x v="0"/>
    <x v="0"/>
    <x v="14"/>
    <x v="16"/>
    <x v="0"/>
    <x v="9"/>
    <n v="0"/>
  </r>
  <r>
    <x v="0"/>
    <x v="0"/>
    <x v="0"/>
    <x v="14"/>
    <x v="16"/>
    <x v="0"/>
    <x v="10"/>
    <n v="0"/>
  </r>
  <r>
    <x v="0"/>
    <x v="0"/>
    <x v="0"/>
    <x v="14"/>
    <x v="16"/>
    <x v="0"/>
    <x v="11"/>
    <n v="0"/>
  </r>
  <r>
    <x v="0"/>
    <x v="0"/>
    <x v="0"/>
    <x v="14"/>
    <x v="16"/>
    <x v="0"/>
    <x v="12"/>
    <n v="0"/>
  </r>
  <r>
    <x v="0"/>
    <x v="0"/>
    <x v="0"/>
    <x v="14"/>
    <x v="16"/>
    <x v="0"/>
    <x v="13"/>
    <n v="0"/>
  </r>
  <r>
    <x v="0"/>
    <x v="0"/>
    <x v="0"/>
    <x v="14"/>
    <x v="16"/>
    <x v="0"/>
    <x v="14"/>
    <n v="0"/>
  </r>
  <r>
    <x v="0"/>
    <x v="0"/>
    <x v="0"/>
    <x v="14"/>
    <x v="16"/>
    <x v="0"/>
    <x v="15"/>
    <n v="0"/>
  </r>
  <r>
    <x v="0"/>
    <x v="0"/>
    <x v="0"/>
    <x v="14"/>
    <x v="16"/>
    <x v="0"/>
    <x v="16"/>
    <n v="0"/>
  </r>
  <r>
    <x v="0"/>
    <x v="0"/>
    <x v="0"/>
    <x v="14"/>
    <x v="16"/>
    <x v="0"/>
    <x v="17"/>
    <n v="0"/>
  </r>
  <r>
    <x v="0"/>
    <x v="0"/>
    <x v="0"/>
    <x v="14"/>
    <x v="16"/>
    <x v="0"/>
    <x v="18"/>
    <n v="0"/>
  </r>
  <r>
    <x v="0"/>
    <x v="0"/>
    <x v="0"/>
    <x v="14"/>
    <x v="16"/>
    <x v="0"/>
    <x v="19"/>
    <n v="0"/>
  </r>
  <r>
    <x v="0"/>
    <x v="0"/>
    <x v="0"/>
    <x v="14"/>
    <x v="16"/>
    <x v="0"/>
    <x v="20"/>
    <n v="0"/>
  </r>
  <r>
    <x v="0"/>
    <x v="0"/>
    <x v="0"/>
    <x v="14"/>
    <x v="16"/>
    <x v="0"/>
    <x v="21"/>
    <n v="0"/>
  </r>
  <r>
    <x v="0"/>
    <x v="0"/>
    <x v="0"/>
    <x v="14"/>
    <x v="16"/>
    <x v="0"/>
    <x v="22"/>
    <n v="0"/>
  </r>
  <r>
    <x v="0"/>
    <x v="0"/>
    <x v="0"/>
    <x v="14"/>
    <x v="16"/>
    <x v="0"/>
    <x v="23"/>
    <n v="0"/>
  </r>
  <r>
    <x v="0"/>
    <x v="0"/>
    <x v="0"/>
    <x v="14"/>
    <x v="21"/>
    <x v="0"/>
    <x v="0"/>
    <n v="0"/>
  </r>
  <r>
    <x v="0"/>
    <x v="0"/>
    <x v="0"/>
    <x v="14"/>
    <x v="21"/>
    <x v="0"/>
    <x v="1"/>
    <n v="0"/>
  </r>
  <r>
    <x v="0"/>
    <x v="0"/>
    <x v="0"/>
    <x v="14"/>
    <x v="21"/>
    <x v="0"/>
    <x v="2"/>
    <n v="0"/>
  </r>
  <r>
    <x v="0"/>
    <x v="0"/>
    <x v="0"/>
    <x v="14"/>
    <x v="21"/>
    <x v="0"/>
    <x v="3"/>
    <n v="0"/>
  </r>
  <r>
    <x v="0"/>
    <x v="0"/>
    <x v="0"/>
    <x v="14"/>
    <x v="21"/>
    <x v="0"/>
    <x v="4"/>
    <n v="0.22500000000000001"/>
  </r>
  <r>
    <x v="0"/>
    <x v="0"/>
    <x v="0"/>
    <x v="14"/>
    <x v="21"/>
    <x v="0"/>
    <x v="5"/>
    <n v="0.22500000000000001"/>
  </r>
  <r>
    <x v="0"/>
    <x v="0"/>
    <x v="0"/>
    <x v="14"/>
    <x v="21"/>
    <x v="0"/>
    <x v="6"/>
    <n v="0.22500000000000001"/>
  </r>
  <r>
    <x v="0"/>
    <x v="0"/>
    <x v="0"/>
    <x v="14"/>
    <x v="21"/>
    <x v="0"/>
    <x v="7"/>
    <n v="0.22500000000000001"/>
  </r>
  <r>
    <x v="0"/>
    <x v="0"/>
    <x v="0"/>
    <x v="14"/>
    <x v="21"/>
    <x v="0"/>
    <x v="8"/>
    <n v="0.22500000000000001"/>
  </r>
  <r>
    <x v="0"/>
    <x v="0"/>
    <x v="0"/>
    <x v="14"/>
    <x v="21"/>
    <x v="0"/>
    <x v="9"/>
    <n v="0.22500000000000001"/>
  </r>
  <r>
    <x v="0"/>
    <x v="0"/>
    <x v="0"/>
    <x v="14"/>
    <x v="21"/>
    <x v="0"/>
    <x v="10"/>
    <n v="0.22500000000000001"/>
  </r>
  <r>
    <x v="0"/>
    <x v="0"/>
    <x v="0"/>
    <x v="14"/>
    <x v="21"/>
    <x v="0"/>
    <x v="11"/>
    <n v="0.22500000000000001"/>
  </r>
  <r>
    <x v="0"/>
    <x v="0"/>
    <x v="0"/>
    <x v="14"/>
    <x v="21"/>
    <x v="0"/>
    <x v="12"/>
    <n v="0.22500000000000001"/>
  </r>
  <r>
    <x v="0"/>
    <x v="0"/>
    <x v="0"/>
    <x v="14"/>
    <x v="21"/>
    <x v="0"/>
    <x v="13"/>
    <n v="0.22500000000000001"/>
  </r>
  <r>
    <x v="0"/>
    <x v="0"/>
    <x v="0"/>
    <x v="14"/>
    <x v="21"/>
    <x v="0"/>
    <x v="14"/>
    <n v="0.22500000000000001"/>
  </r>
  <r>
    <x v="0"/>
    <x v="0"/>
    <x v="0"/>
    <x v="14"/>
    <x v="21"/>
    <x v="0"/>
    <x v="15"/>
    <n v="0.22500000000000001"/>
  </r>
  <r>
    <x v="0"/>
    <x v="0"/>
    <x v="0"/>
    <x v="14"/>
    <x v="21"/>
    <x v="0"/>
    <x v="16"/>
    <n v="0.22500000000000001"/>
  </r>
  <r>
    <x v="0"/>
    <x v="0"/>
    <x v="0"/>
    <x v="14"/>
    <x v="21"/>
    <x v="0"/>
    <x v="17"/>
    <n v="0.22500000000000001"/>
  </r>
  <r>
    <x v="0"/>
    <x v="0"/>
    <x v="0"/>
    <x v="14"/>
    <x v="21"/>
    <x v="0"/>
    <x v="18"/>
    <n v="0.22500000000000001"/>
  </r>
  <r>
    <x v="0"/>
    <x v="0"/>
    <x v="0"/>
    <x v="14"/>
    <x v="21"/>
    <x v="0"/>
    <x v="19"/>
    <n v="0.22500000000000001"/>
  </r>
  <r>
    <x v="0"/>
    <x v="0"/>
    <x v="0"/>
    <x v="14"/>
    <x v="21"/>
    <x v="0"/>
    <x v="20"/>
    <n v="0.22500000000000001"/>
  </r>
  <r>
    <x v="0"/>
    <x v="0"/>
    <x v="0"/>
    <x v="14"/>
    <x v="21"/>
    <x v="0"/>
    <x v="21"/>
    <n v="0"/>
  </r>
  <r>
    <x v="0"/>
    <x v="0"/>
    <x v="0"/>
    <x v="14"/>
    <x v="21"/>
    <x v="0"/>
    <x v="22"/>
    <n v="0"/>
  </r>
  <r>
    <x v="0"/>
    <x v="0"/>
    <x v="0"/>
    <x v="14"/>
    <x v="21"/>
    <x v="0"/>
    <x v="23"/>
    <n v="0"/>
  </r>
  <r>
    <x v="0"/>
    <x v="0"/>
    <x v="0"/>
    <x v="15"/>
    <x v="20"/>
    <x v="0"/>
    <x v="0"/>
    <n v="0.16751969421662299"/>
  </r>
  <r>
    <x v="0"/>
    <x v="0"/>
    <x v="0"/>
    <x v="15"/>
    <x v="20"/>
    <x v="0"/>
    <x v="1"/>
    <n v="0.16751969421662299"/>
  </r>
  <r>
    <x v="0"/>
    <x v="0"/>
    <x v="0"/>
    <x v="15"/>
    <x v="20"/>
    <x v="0"/>
    <x v="2"/>
    <n v="0.16751969421662299"/>
  </r>
  <r>
    <x v="0"/>
    <x v="0"/>
    <x v="0"/>
    <x v="15"/>
    <x v="20"/>
    <x v="0"/>
    <x v="3"/>
    <n v="0.16751969421662299"/>
  </r>
  <r>
    <x v="0"/>
    <x v="0"/>
    <x v="0"/>
    <x v="15"/>
    <x v="20"/>
    <x v="0"/>
    <x v="4"/>
    <n v="0.16751969421662299"/>
  </r>
  <r>
    <x v="0"/>
    <x v="0"/>
    <x v="0"/>
    <x v="15"/>
    <x v="20"/>
    <x v="0"/>
    <x v="5"/>
    <n v="0.16751969421662299"/>
  </r>
  <r>
    <x v="0"/>
    <x v="0"/>
    <x v="0"/>
    <x v="15"/>
    <x v="20"/>
    <x v="0"/>
    <x v="6"/>
    <n v="0.16751969421662299"/>
  </r>
  <r>
    <x v="0"/>
    <x v="0"/>
    <x v="0"/>
    <x v="15"/>
    <x v="20"/>
    <x v="0"/>
    <x v="7"/>
    <n v="0.16751969421662299"/>
  </r>
  <r>
    <x v="0"/>
    <x v="0"/>
    <x v="0"/>
    <x v="15"/>
    <x v="20"/>
    <x v="0"/>
    <x v="8"/>
    <n v="0.16751969421662299"/>
  </r>
  <r>
    <x v="0"/>
    <x v="0"/>
    <x v="0"/>
    <x v="15"/>
    <x v="20"/>
    <x v="0"/>
    <x v="9"/>
    <n v="0.16751969421662299"/>
  </r>
  <r>
    <x v="0"/>
    <x v="0"/>
    <x v="0"/>
    <x v="15"/>
    <x v="20"/>
    <x v="0"/>
    <x v="10"/>
    <n v="0.16751969421662299"/>
  </r>
  <r>
    <x v="0"/>
    <x v="0"/>
    <x v="0"/>
    <x v="15"/>
    <x v="20"/>
    <x v="0"/>
    <x v="11"/>
    <n v="0.16751969421662299"/>
  </r>
  <r>
    <x v="0"/>
    <x v="0"/>
    <x v="0"/>
    <x v="15"/>
    <x v="20"/>
    <x v="0"/>
    <x v="12"/>
    <n v="0.16751969421662299"/>
  </r>
  <r>
    <x v="0"/>
    <x v="0"/>
    <x v="0"/>
    <x v="15"/>
    <x v="20"/>
    <x v="0"/>
    <x v="13"/>
    <n v="0.16751969421662299"/>
  </r>
  <r>
    <x v="0"/>
    <x v="0"/>
    <x v="0"/>
    <x v="15"/>
    <x v="20"/>
    <x v="0"/>
    <x v="14"/>
    <n v="0.16751969421662299"/>
  </r>
  <r>
    <x v="0"/>
    <x v="0"/>
    <x v="0"/>
    <x v="15"/>
    <x v="20"/>
    <x v="0"/>
    <x v="15"/>
    <n v="0.16751969421662299"/>
  </r>
  <r>
    <x v="0"/>
    <x v="0"/>
    <x v="0"/>
    <x v="15"/>
    <x v="20"/>
    <x v="0"/>
    <x v="16"/>
    <n v="0.16751969421662299"/>
  </r>
  <r>
    <x v="0"/>
    <x v="0"/>
    <x v="0"/>
    <x v="15"/>
    <x v="20"/>
    <x v="0"/>
    <x v="17"/>
    <n v="0.16751969421662299"/>
  </r>
  <r>
    <x v="0"/>
    <x v="0"/>
    <x v="0"/>
    <x v="15"/>
    <x v="20"/>
    <x v="0"/>
    <x v="18"/>
    <n v="0.16751969421662299"/>
  </r>
  <r>
    <x v="0"/>
    <x v="0"/>
    <x v="0"/>
    <x v="15"/>
    <x v="20"/>
    <x v="0"/>
    <x v="19"/>
    <n v="0.16751969421662299"/>
  </r>
  <r>
    <x v="0"/>
    <x v="0"/>
    <x v="0"/>
    <x v="15"/>
    <x v="20"/>
    <x v="0"/>
    <x v="20"/>
    <n v="0.16751969421662299"/>
  </r>
  <r>
    <x v="0"/>
    <x v="0"/>
    <x v="0"/>
    <x v="15"/>
    <x v="20"/>
    <x v="0"/>
    <x v="21"/>
    <n v="0.16751969421662299"/>
  </r>
  <r>
    <x v="0"/>
    <x v="0"/>
    <x v="0"/>
    <x v="15"/>
    <x v="20"/>
    <x v="0"/>
    <x v="22"/>
    <n v="0.16751969421662299"/>
  </r>
  <r>
    <x v="0"/>
    <x v="0"/>
    <x v="0"/>
    <x v="15"/>
    <x v="20"/>
    <x v="0"/>
    <x v="23"/>
    <n v="0.16751969421662299"/>
  </r>
  <r>
    <x v="0"/>
    <x v="0"/>
    <x v="0"/>
    <x v="15"/>
    <x v="7"/>
    <x v="0"/>
    <x v="0"/>
    <n v="1.08"/>
  </r>
  <r>
    <x v="0"/>
    <x v="0"/>
    <x v="0"/>
    <x v="15"/>
    <x v="7"/>
    <x v="0"/>
    <x v="1"/>
    <n v="1.08"/>
  </r>
  <r>
    <x v="0"/>
    <x v="0"/>
    <x v="0"/>
    <x v="15"/>
    <x v="7"/>
    <x v="0"/>
    <x v="2"/>
    <n v="1.08"/>
  </r>
  <r>
    <x v="0"/>
    <x v="0"/>
    <x v="0"/>
    <x v="15"/>
    <x v="7"/>
    <x v="0"/>
    <x v="3"/>
    <n v="1.08"/>
  </r>
  <r>
    <x v="0"/>
    <x v="0"/>
    <x v="0"/>
    <x v="15"/>
    <x v="7"/>
    <x v="0"/>
    <x v="4"/>
    <n v="1.08"/>
  </r>
  <r>
    <x v="0"/>
    <x v="0"/>
    <x v="0"/>
    <x v="15"/>
    <x v="7"/>
    <x v="0"/>
    <x v="5"/>
    <n v="1.08"/>
  </r>
  <r>
    <x v="0"/>
    <x v="0"/>
    <x v="0"/>
    <x v="15"/>
    <x v="7"/>
    <x v="0"/>
    <x v="6"/>
    <n v="1.08"/>
  </r>
  <r>
    <x v="0"/>
    <x v="0"/>
    <x v="0"/>
    <x v="15"/>
    <x v="7"/>
    <x v="0"/>
    <x v="7"/>
    <n v="1.08"/>
  </r>
  <r>
    <x v="0"/>
    <x v="0"/>
    <x v="0"/>
    <x v="15"/>
    <x v="7"/>
    <x v="0"/>
    <x v="8"/>
    <n v="1.08"/>
  </r>
  <r>
    <x v="0"/>
    <x v="0"/>
    <x v="0"/>
    <x v="15"/>
    <x v="7"/>
    <x v="0"/>
    <x v="9"/>
    <n v="1.08"/>
  </r>
  <r>
    <x v="0"/>
    <x v="0"/>
    <x v="0"/>
    <x v="15"/>
    <x v="7"/>
    <x v="0"/>
    <x v="10"/>
    <n v="1.08"/>
  </r>
  <r>
    <x v="0"/>
    <x v="0"/>
    <x v="0"/>
    <x v="15"/>
    <x v="7"/>
    <x v="0"/>
    <x v="11"/>
    <n v="1.08"/>
  </r>
  <r>
    <x v="0"/>
    <x v="0"/>
    <x v="0"/>
    <x v="15"/>
    <x v="7"/>
    <x v="0"/>
    <x v="12"/>
    <n v="1.08"/>
  </r>
  <r>
    <x v="0"/>
    <x v="0"/>
    <x v="0"/>
    <x v="15"/>
    <x v="7"/>
    <x v="0"/>
    <x v="13"/>
    <n v="1.08"/>
  </r>
  <r>
    <x v="0"/>
    <x v="0"/>
    <x v="0"/>
    <x v="15"/>
    <x v="7"/>
    <x v="0"/>
    <x v="14"/>
    <n v="1.08"/>
  </r>
  <r>
    <x v="0"/>
    <x v="0"/>
    <x v="0"/>
    <x v="15"/>
    <x v="7"/>
    <x v="0"/>
    <x v="15"/>
    <n v="1.08"/>
  </r>
  <r>
    <x v="0"/>
    <x v="0"/>
    <x v="0"/>
    <x v="15"/>
    <x v="7"/>
    <x v="0"/>
    <x v="16"/>
    <n v="1.08"/>
  </r>
  <r>
    <x v="0"/>
    <x v="0"/>
    <x v="0"/>
    <x v="15"/>
    <x v="7"/>
    <x v="0"/>
    <x v="17"/>
    <n v="1.08"/>
  </r>
  <r>
    <x v="0"/>
    <x v="0"/>
    <x v="0"/>
    <x v="15"/>
    <x v="7"/>
    <x v="0"/>
    <x v="18"/>
    <n v="1.08"/>
  </r>
  <r>
    <x v="0"/>
    <x v="0"/>
    <x v="0"/>
    <x v="15"/>
    <x v="7"/>
    <x v="0"/>
    <x v="19"/>
    <n v="1.08"/>
  </r>
  <r>
    <x v="0"/>
    <x v="0"/>
    <x v="0"/>
    <x v="15"/>
    <x v="7"/>
    <x v="0"/>
    <x v="20"/>
    <n v="1.08"/>
  </r>
  <r>
    <x v="0"/>
    <x v="0"/>
    <x v="0"/>
    <x v="15"/>
    <x v="7"/>
    <x v="0"/>
    <x v="21"/>
    <n v="1.08"/>
  </r>
  <r>
    <x v="0"/>
    <x v="0"/>
    <x v="0"/>
    <x v="15"/>
    <x v="7"/>
    <x v="0"/>
    <x v="22"/>
    <n v="1.08"/>
  </r>
  <r>
    <x v="0"/>
    <x v="0"/>
    <x v="0"/>
    <x v="15"/>
    <x v="7"/>
    <x v="0"/>
    <x v="23"/>
    <n v="1.08"/>
  </r>
  <r>
    <x v="0"/>
    <x v="0"/>
    <x v="0"/>
    <x v="15"/>
    <x v="18"/>
    <x v="0"/>
    <x v="0"/>
    <n v="0.9"/>
  </r>
  <r>
    <x v="0"/>
    <x v="0"/>
    <x v="0"/>
    <x v="15"/>
    <x v="18"/>
    <x v="0"/>
    <x v="1"/>
    <n v="0.9"/>
  </r>
  <r>
    <x v="0"/>
    <x v="0"/>
    <x v="0"/>
    <x v="15"/>
    <x v="18"/>
    <x v="0"/>
    <x v="2"/>
    <n v="0.9"/>
  </r>
  <r>
    <x v="0"/>
    <x v="0"/>
    <x v="0"/>
    <x v="15"/>
    <x v="18"/>
    <x v="0"/>
    <x v="3"/>
    <n v="0.9"/>
  </r>
  <r>
    <x v="0"/>
    <x v="0"/>
    <x v="0"/>
    <x v="15"/>
    <x v="18"/>
    <x v="0"/>
    <x v="4"/>
    <n v="0.9"/>
  </r>
  <r>
    <x v="0"/>
    <x v="0"/>
    <x v="0"/>
    <x v="15"/>
    <x v="18"/>
    <x v="0"/>
    <x v="5"/>
    <n v="0.9"/>
  </r>
  <r>
    <x v="0"/>
    <x v="0"/>
    <x v="0"/>
    <x v="15"/>
    <x v="18"/>
    <x v="0"/>
    <x v="6"/>
    <n v="0.9"/>
  </r>
  <r>
    <x v="0"/>
    <x v="0"/>
    <x v="0"/>
    <x v="15"/>
    <x v="18"/>
    <x v="0"/>
    <x v="7"/>
    <n v="0.9"/>
  </r>
  <r>
    <x v="0"/>
    <x v="0"/>
    <x v="0"/>
    <x v="15"/>
    <x v="18"/>
    <x v="0"/>
    <x v="8"/>
    <n v="0.9"/>
  </r>
  <r>
    <x v="0"/>
    <x v="0"/>
    <x v="0"/>
    <x v="15"/>
    <x v="18"/>
    <x v="0"/>
    <x v="9"/>
    <n v="0.9"/>
  </r>
  <r>
    <x v="0"/>
    <x v="0"/>
    <x v="0"/>
    <x v="15"/>
    <x v="18"/>
    <x v="0"/>
    <x v="10"/>
    <n v="0.9"/>
  </r>
  <r>
    <x v="0"/>
    <x v="0"/>
    <x v="0"/>
    <x v="15"/>
    <x v="18"/>
    <x v="0"/>
    <x v="11"/>
    <n v="0.9"/>
  </r>
  <r>
    <x v="0"/>
    <x v="0"/>
    <x v="0"/>
    <x v="15"/>
    <x v="18"/>
    <x v="0"/>
    <x v="12"/>
    <n v="0.9"/>
  </r>
  <r>
    <x v="0"/>
    <x v="0"/>
    <x v="0"/>
    <x v="15"/>
    <x v="18"/>
    <x v="0"/>
    <x v="13"/>
    <n v="0.9"/>
  </r>
  <r>
    <x v="0"/>
    <x v="0"/>
    <x v="0"/>
    <x v="15"/>
    <x v="18"/>
    <x v="0"/>
    <x v="14"/>
    <n v="0.9"/>
  </r>
  <r>
    <x v="0"/>
    <x v="0"/>
    <x v="0"/>
    <x v="15"/>
    <x v="18"/>
    <x v="0"/>
    <x v="15"/>
    <n v="0.9"/>
  </r>
  <r>
    <x v="0"/>
    <x v="0"/>
    <x v="0"/>
    <x v="15"/>
    <x v="18"/>
    <x v="0"/>
    <x v="16"/>
    <n v="0.9"/>
  </r>
  <r>
    <x v="0"/>
    <x v="0"/>
    <x v="0"/>
    <x v="15"/>
    <x v="18"/>
    <x v="0"/>
    <x v="17"/>
    <n v="0.9"/>
  </r>
  <r>
    <x v="0"/>
    <x v="0"/>
    <x v="0"/>
    <x v="15"/>
    <x v="18"/>
    <x v="0"/>
    <x v="18"/>
    <n v="0.9"/>
  </r>
  <r>
    <x v="0"/>
    <x v="0"/>
    <x v="0"/>
    <x v="15"/>
    <x v="18"/>
    <x v="0"/>
    <x v="19"/>
    <n v="0.9"/>
  </r>
  <r>
    <x v="0"/>
    <x v="0"/>
    <x v="0"/>
    <x v="15"/>
    <x v="18"/>
    <x v="0"/>
    <x v="20"/>
    <n v="0.9"/>
  </r>
  <r>
    <x v="0"/>
    <x v="0"/>
    <x v="0"/>
    <x v="15"/>
    <x v="18"/>
    <x v="0"/>
    <x v="21"/>
    <n v="0.9"/>
  </r>
  <r>
    <x v="0"/>
    <x v="0"/>
    <x v="0"/>
    <x v="15"/>
    <x v="18"/>
    <x v="0"/>
    <x v="22"/>
    <n v="0.9"/>
  </r>
  <r>
    <x v="0"/>
    <x v="0"/>
    <x v="0"/>
    <x v="15"/>
    <x v="18"/>
    <x v="0"/>
    <x v="23"/>
    <n v="0.9"/>
  </r>
  <r>
    <x v="0"/>
    <x v="0"/>
    <x v="0"/>
    <x v="16"/>
    <x v="5"/>
    <x v="0"/>
    <x v="0"/>
    <n v="-9.8204423649880308"/>
  </r>
  <r>
    <x v="0"/>
    <x v="0"/>
    <x v="0"/>
    <x v="16"/>
    <x v="5"/>
    <x v="0"/>
    <x v="1"/>
    <n v="-9.02166839777483"/>
  </r>
  <r>
    <x v="0"/>
    <x v="0"/>
    <x v="0"/>
    <x v="16"/>
    <x v="5"/>
    <x v="0"/>
    <x v="2"/>
    <n v="-8.7653141347241306"/>
  </r>
  <r>
    <x v="0"/>
    <x v="0"/>
    <x v="0"/>
    <x v="16"/>
    <x v="5"/>
    <x v="0"/>
    <x v="3"/>
    <n v="-9.2099101641459207"/>
  </r>
  <r>
    <x v="0"/>
    <x v="0"/>
    <x v="0"/>
    <x v="16"/>
    <x v="5"/>
    <x v="0"/>
    <x v="4"/>
    <n v="-8.7466487445420196"/>
  </r>
  <r>
    <x v="0"/>
    <x v="0"/>
    <x v="0"/>
    <x v="16"/>
    <x v="5"/>
    <x v="0"/>
    <x v="5"/>
    <n v="-8.23553830942401"/>
  </r>
  <r>
    <x v="0"/>
    <x v="0"/>
    <x v="0"/>
    <x v="16"/>
    <x v="5"/>
    <x v="0"/>
    <x v="6"/>
    <n v="-10.9753854851598"/>
  </r>
  <r>
    <x v="0"/>
    <x v="0"/>
    <x v="0"/>
    <x v="16"/>
    <x v="5"/>
    <x v="0"/>
    <x v="7"/>
    <n v="-10.965567282272801"/>
  </r>
  <r>
    <x v="0"/>
    <x v="0"/>
    <x v="0"/>
    <x v="16"/>
    <x v="5"/>
    <x v="0"/>
    <x v="8"/>
    <n v="-10.940973389377801"/>
  </r>
  <r>
    <x v="0"/>
    <x v="0"/>
    <x v="0"/>
    <x v="16"/>
    <x v="5"/>
    <x v="0"/>
    <x v="9"/>
    <n v="-11.631617670889099"/>
  </r>
  <r>
    <x v="0"/>
    <x v="0"/>
    <x v="0"/>
    <x v="16"/>
    <x v="5"/>
    <x v="0"/>
    <x v="10"/>
    <n v="-11.7844663657702"/>
  </r>
  <r>
    <x v="0"/>
    <x v="0"/>
    <x v="0"/>
    <x v="16"/>
    <x v="5"/>
    <x v="0"/>
    <x v="11"/>
    <n v="-11.7844663657702"/>
  </r>
  <r>
    <x v="0"/>
    <x v="0"/>
    <x v="0"/>
    <x v="16"/>
    <x v="5"/>
    <x v="0"/>
    <x v="12"/>
    <n v="-11.7844663657702"/>
  </r>
  <r>
    <x v="0"/>
    <x v="0"/>
    <x v="0"/>
    <x v="16"/>
    <x v="5"/>
    <x v="0"/>
    <x v="13"/>
    <n v="-11.7844663657702"/>
  </r>
  <r>
    <x v="0"/>
    <x v="0"/>
    <x v="0"/>
    <x v="16"/>
    <x v="5"/>
    <x v="0"/>
    <x v="14"/>
    <n v="-11.7844663657702"/>
  </r>
  <r>
    <x v="0"/>
    <x v="0"/>
    <x v="0"/>
    <x v="16"/>
    <x v="5"/>
    <x v="0"/>
    <x v="15"/>
    <n v="-11.7844663657702"/>
  </r>
  <r>
    <x v="0"/>
    <x v="0"/>
    <x v="0"/>
    <x v="16"/>
    <x v="5"/>
    <x v="0"/>
    <x v="16"/>
    <n v="-11.7844663657702"/>
  </r>
  <r>
    <x v="0"/>
    <x v="0"/>
    <x v="0"/>
    <x v="16"/>
    <x v="5"/>
    <x v="0"/>
    <x v="17"/>
    <n v="-11.7844663657702"/>
  </r>
  <r>
    <x v="0"/>
    <x v="0"/>
    <x v="0"/>
    <x v="16"/>
    <x v="5"/>
    <x v="0"/>
    <x v="18"/>
    <n v="-11.7844663657702"/>
  </r>
  <r>
    <x v="0"/>
    <x v="0"/>
    <x v="0"/>
    <x v="16"/>
    <x v="5"/>
    <x v="0"/>
    <x v="19"/>
    <n v="-11.7844663657702"/>
  </r>
  <r>
    <x v="0"/>
    <x v="0"/>
    <x v="0"/>
    <x v="16"/>
    <x v="5"/>
    <x v="0"/>
    <x v="20"/>
    <n v="-11.7844663657702"/>
  </r>
  <r>
    <x v="0"/>
    <x v="0"/>
    <x v="0"/>
    <x v="16"/>
    <x v="5"/>
    <x v="0"/>
    <x v="21"/>
    <n v="-11.7844663657702"/>
  </r>
  <r>
    <x v="0"/>
    <x v="0"/>
    <x v="0"/>
    <x v="16"/>
    <x v="5"/>
    <x v="0"/>
    <x v="22"/>
    <n v="-9.8254990996047002"/>
  </r>
  <r>
    <x v="0"/>
    <x v="0"/>
    <x v="0"/>
    <x v="16"/>
    <x v="5"/>
    <x v="0"/>
    <x v="23"/>
    <n v="-8.4353757092367996"/>
  </r>
  <r>
    <x v="0"/>
    <x v="0"/>
    <x v="0"/>
    <x v="16"/>
    <x v="17"/>
    <x v="0"/>
    <x v="0"/>
    <n v="-0.78825291774162498"/>
  </r>
  <r>
    <x v="0"/>
    <x v="0"/>
    <x v="0"/>
    <x v="16"/>
    <x v="17"/>
    <x v="0"/>
    <x v="1"/>
    <n v="-0.897352310484831"/>
  </r>
  <r>
    <x v="0"/>
    <x v="0"/>
    <x v="0"/>
    <x v="16"/>
    <x v="17"/>
    <x v="0"/>
    <x v="2"/>
    <n v="-0.94141165609633803"/>
  </r>
  <r>
    <x v="0"/>
    <x v="0"/>
    <x v="0"/>
    <x v="16"/>
    <x v="17"/>
    <x v="0"/>
    <x v="3"/>
    <n v="-0.96090188275014199"/>
  </r>
  <r>
    <x v="0"/>
    <x v="0"/>
    <x v="0"/>
    <x v="16"/>
    <x v="17"/>
    <x v="0"/>
    <x v="4"/>
    <n v="-1.4848310634408699"/>
  </r>
  <r>
    <x v="0"/>
    <x v="0"/>
    <x v="0"/>
    <x v="16"/>
    <x v="17"/>
    <x v="0"/>
    <x v="5"/>
    <n v="-1.52916069046629"/>
  </r>
  <r>
    <x v="0"/>
    <x v="0"/>
    <x v="0"/>
    <x v="16"/>
    <x v="17"/>
    <x v="0"/>
    <x v="6"/>
    <n v="-1.6036685318406001"/>
  </r>
  <r>
    <x v="0"/>
    <x v="0"/>
    <x v="0"/>
    <x v="16"/>
    <x v="17"/>
    <x v="0"/>
    <x v="7"/>
    <n v="-1.6036685318406001"/>
  </r>
  <r>
    <x v="0"/>
    <x v="0"/>
    <x v="0"/>
    <x v="16"/>
    <x v="17"/>
    <x v="0"/>
    <x v="8"/>
    <n v="-1.6036685318406001"/>
  </r>
  <r>
    <x v="0"/>
    <x v="0"/>
    <x v="0"/>
    <x v="16"/>
    <x v="17"/>
    <x v="0"/>
    <x v="9"/>
    <n v="-1.6036685318406001"/>
  </r>
  <r>
    <x v="0"/>
    <x v="0"/>
    <x v="0"/>
    <x v="16"/>
    <x v="17"/>
    <x v="0"/>
    <x v="10"/>
    <n v="-1.6036685318406001"/>
  </r>
  <r>
    <x v="0"/>
    <x v="0"/>
    <x v="0"/>
    <x v="16"/>
    <x v="17"/>
    <x v="0"/>
    <x v="11"/>
    <n v="-1.6036685318406001"/>
  </r>
  <r>
    <x v="0"/>
    <x v="0"/>
    <x v="0"/>
    <x v="16"/>
    <x v="17"/>
    <x v="0"/>
    <x v="12"/>
    <n v="-1.6036685318406001"/>
  </r>
  <r>
    <x v="0"/>
    <x v="0"/>
    <x v="0"/>
    <x v="16"/>
    <x v="17"/>
    <x v="0"/>
    <x v="13"/>
    <n v="-1.3724922936066499"/>
  </r>
  <r>
    <x v="0"/>
    <x v="0"/>
    <x v="0"/>
    <x v="16"/>
    <x v="17"/>
    <x v="0"/>
    <x v="14"/>
    <n v="-1.6036685318406001"/>
  </r>
  <r>
    <x v="0"/>
    <x v="0"/>
    <x v="0"/>
    <x v="16"/>
    <x v="17"/>
    <x v="0"/>
    <x v="15"/>
    <n v="-1.6036685318406001"/>
  </r>
  <r>
    <x v="0"/>
    <x v="0"/>
    <x v="0"/>
    <x v="16"/>
    <x v="17"/>
    <x v="0"/>
    <x v="16"/>
    <n v="-1.6036685318406001"/>
  </r>
  <r>
    <x v="0"/>
    <x v="0"/>
    <x v="0"/>
    <x v="16"/>
    <x v="17"/>
    <x v="0"/>
    <x v="17"/>
    <n v="-1.6036685318406001"/>
  </r>
  <r>
    <x v="0"/>
    <x v="0"/>
    <x v="0"/>
    <x v="16"/>
    <x v="17"/>
    <x v="0"/>
    <x v="18"/>
    <n v="-1.6036685318406001"/>
  </r>
  <r>
    <x v="0"/>
    <x v="0"/>
    <x v="0"/>
    <x v="16"/>
    <x v="17"/>
    <x v="0"/>
    <x v="19"/>
    <n v="-1.6036685318406001"/>
  </r>
  <r>
    <x v="0"/>
    <x v="0"/>
    <x v="0"/>
    <x v="16"/>
    <x v="17"/>
    <x v="0"/>
    <x v="20"/>
    <n v="-0.92490558527203504"/>
  </r>
  <r>
    <x v="0"/>
    <x v="0"/>
    <x v="0"/>
    <x v="16"/>
    <x v="17"/>
    <x v="0"/>
    <x v="21"/>
    <n v="-0.77024255018754595"/>
  </r>
  <r>
    <x v="0"/>
    <x v="0"/>
    <x v="0"/>
    <x v="16"/>
    <x v="17"/>
    <x v="0"/>
    <x v="22"/>
    <n v="-0.84815280527452896"/>
  </r>
  <r>
    <x v="0"/>
    <x v="0"/>
    <x v="0"/>
    <x v="16"/>
    <x v="17"/>
    <x v="0"/>
    <x v="23"/>
    <n v="-0.86805831922841403"/>
  </r>
  <r>
    <x v="0"/>
    <x v="0"/>
    <x v="0"/>
    <x v="16"/>
    <x v="8"/>
    <x v="0"/>
    <x v="0"/>
    <n v="-1.76363234315228"/>
  </r>
  <r>
    <x v="0"/>
    <x v="0"/>
    <x v="0"/>
    <x v="16"/>
    <x v="8"/>
    <x v="0"/>
    <x v="1"/>
    <n v="-2.08374605769027"/>
  </r>
  <r>
    <x v="0"/>
    <x v="0"/>
    <x v="0"/>
    <x v="16"/>
    <x v="8"/>
    <x v="0"/>
    <x v="2"/>
    <n v="-2.2325036261872402"/>
  </r>
  <r>
    <x v="0"/>
    <x v="0"/>
    <x v="0"/>
    <x v="16"/>
    <x v="8"/>
    <x v="0"/>
    <x v="3"/>
    <n v="-1.9770961797963"/>
  </r>
  <r>
    <x v="0"/>
    <x v="0"/>
    <x v="0"/>
    <x v="16"/>
    <x v="8"/>
    <x v="0"/>
    <x v="4"/>
    <n v="-2.5055543916064802"/>
  </r>
  <r>
    <x v="0"/>
    <x v="0"/>
    <x v="0"/>
    <x v="16"/>
    <x v="8"/>
    <x v="0"/>
    <x v="5"/>
    <n v="-4.6106298005847401"/>
  </r>
  <r>
    <x v="0"/>
    <x v="0"/>
    <x v="0"/>
    <x v="16"/>
    <x v="8"/>
    <x v="0"/>
    <x v="6"/>
    <n v="-4.9432738027502303"/>
  </r>
  <r>
    <x v="0"/>
    <x v="0"/>
    <x v="0"/>
    <x v="16"/>
    <x v="8"/>
    <x v="0"/>
    <x v="7"/>
    <n v="-4.9432738027502303"/>
  </r>
  <r>
    <x v="0"/>
    <x v="0"/>
    <x v="0"/>
    <x v="16"/>
    <x v="8"/>
    <x v="0"/>
    <x v="8"/>
    <n v="-4.9432738027502303"/>
  </r>
  <r>
    <x v="0"/>
    <x v="0"/>
    <x v="0"/>
    <x v="16"/>
    <x v="8"/>
    <x v="0"/>
    <x v="9"/>
    <n v="-4.9432738027502303"/>
  </r>
  <r>
    <x v="0"/>
    <x v="0"/>
    <x v="0"/>
    <x v="16"/>
    <x v="8"/>
    <x v="0"/>
    <x v="10"/>
    <n v="-4.9432738027502303"/>
  </r>
  <r>
    <x v="0"/>
    <x v="0"/>
    <x v="0"/>
    <x v="16"/>
    <x v="8"/>
    <x v="0"/>
    <x v="11"/>
    <n v="-4.9432738027502303"/>
  </r>
  <r>
    <x v="0"/>
    <x v="0"/>
    <x v="0"/>
    <x v="16"/>
    <x v="8"/>
    <x v="0"/>
    <x v="12"/>
    <n v="-4.9432738027502303"/>
  </r>
  <r>
    <x v="0"/>
    <x v="0"/>
    <x v="0"/>
    <x v="16"/>
    <x v="8"/>
    <x v="0"/>
    <x v="13"/>
    <n v="-4.9432738027502303"/>
  </r>
  <r>
    <x v="0"/>
    <x v="0"/>
    <x v="0"/>
    <x v="16"/>
    <x v="8"/>
    <x v="0"/>
    <x v="14"/>
    <n v="-4.9432738027502303"/>
  </r>
  <r>
    <x v="0"/>
    <x v="0"/>
    <x v="0"/>
    <x v="16"/>
    <x v="8"/>
    <x v="0"/>
    <x v="15"/>
    <n v="-4.9432738027502303"/>
  </r>
  <r>
    <x v="0"/>
    <x v="0"/>
    <x v="0"/>
    <x v="16"/>
    <x v="8"/>
    <x v="0"/>
    <x v="16"/>
    <n v="-4.9432738027502303"/>
  </r>
  <r>
    <x v="0"/>
    <x v="0"/>
    <x v="0"/>
    <x v="16"/>
    <x v="8"/>
    <x v="0"/>
    <x v="17"/>
    <n v="-4.9432738027502303"/>
  </r>
  <r>
    <x v="0"/>
    <x v="0"/>
    <x v="0"/>
    <x v="16"/>
    <x v="8"/>
    <x v="0"/>
    <x v="18"/>
    <n v="-4.9432738027502303"/>
  </r>
  <r>
    <x v="0"/>
    <x v="0"/>
    <x v="0"/>
    <x v="16"/>
    <x v="8"/>
    <x v="0"/>
    <x v="19"/>
    <n v="-4.9432738027502303"/>
  </r>
  <r>
    <x v="0"/>
    <x v="0"/>
    <x v="0"/>
    <x v="16"/>
    <x v="8"/>
    <x v="0"/>
    <x v="20"/>
    <n v="-4.8953920540805198"/>
  </r>
  <r>
    <x v="0"/>
    <x v="0"/>
    <x v="0"/>
    <x v="16"/>
    <x v="8"/>
    <x v="0"/>
    <x v="21"/>
    <n v="-2.6851914678448798"/>
  </r>
  <r>
    <x v="0"/>
    <x v="0"/>
    <x v="0"/>
    <x v="16"/>
    <x v="8"/>
    <x v="0"/>
    <x v="22"/>
    <n v="-3.3632033732890498"/>
  </r>
  <r>
    <x v="0"/>
    <x v="0"/>
    <x v="0"/>
    <x v="16"/>
    <x v="8"/>
    <x v="0"/>
    <x v="23"/>
    <n v="-3.2494216030696101"/>
  </r>
  <r>
    <x v="0"/>
    <x v="0"/>
    <x v="0"/>
    <x v="17"/>
    <x v="12"/>
    <x v="0"/>
    <x v="0"/>
    <n v="0.50019919878837005"/>
  </r>
  <r>
    <x v="0"/>
    <x v="0"/>
    <x v="0"/>
    <x v="17"/>
    <x v="12"/>
    <x v="0"/>
    <x v="1"/>
    <n v="0.533054512242918"/>
  </r>
  <r>
    <x v="0"/>
    <x v="0"/>
    <x v="0"/>
    <x v="17"/>
    <x v="12"/>
    <x v="0"/>
    <x v="2"/>
    <n v="0.54266252930340697"/>
  </r>
  <r>
    <x v="0"/>
    <x v="0"/>
    <x v="0"/>
    <x v="17"/>
    <x v="12"/>
    <x v="0"/>
    <x v="3"/>
    <n v="0.54929491820096898"/>
  </r>
  <r>
    <x v="0"/>
    <x v="0"/>
    <x v="0"/>
    <x v="17"/>
    <x v="12"/>
    <x v="0"/>
    <x v="4"/>
    <n v="0.52831944621870397"/>
  </r>
  <r>
    <x v="0"/>
    <x v="0"/>
    <x v="0"/>
    <x v="17"/>
    <x v="12"/>
    <x v="0"/>
    <x v="5"/>
    <n v="0.94877680654089802"/>
  </r>
  <r>
    <x v="0"/>
    <x v="0"/>
    <x v="0"/>
    <x v="17"/>
    <x v="12"/>
    <x v="0"/>
    <x v="6"/>
    <n v="1.17"/>
  </r>
  <r>
    <x v="0"/>
    <x v="0"/>
    <x v="0"/>
    <x v="17"/>
    <x v="12"/>
    <x v="0"/>
    <x v="7"/>
    <n v="0.61099981540500303"/>
  </r>
  <r>
    <x v="0"/>
    <x v="0"/>
    <x v="0"/>
    <x v="17"/>
    <x v="12"/>
    <x v="0"/>
    <x v="8"/>
    <n v="1.17"/>
  </r>
  <r>
    <x v="0"/>
    <x v="0"/>
    <x v="0"/>
    <x v="17"/>
    <x v="12"/>
    <x v="0"/>
    <x v="9"/>
    <n v="1.0858815593726701"/>
  </r>
  <r>
    <x v="0"/>
    <x v="0"/>
    <x v="0"/>
    <x v="17"/>
    <x v="12"/>
    <x v="0"/>
    <x v="10"/>
    <n v="0.67802299388252996"/>
  </r>
  <r>
    <x v="0"/>
    <x v="0"/>
    <x v="0"/>
    <x v="17"/>
    <x v="12"/>
    <x v="0"/>
    <x v="11"/>
    <n v="1.17"/>
  </r>
  <r>
    <x v="0"/>
    <x v="0"/>
    <x v="0"/>
    <x v="17"/>
    <x v="12"/>
    <x v="0"/>
    <x v="12"/>
    <n v="1.17"/>
  </r>
  <r>
    <x v="0"/>
    <x v="0"/>
    <x v="0"/>
    <x v="17"/>
    <x v="12"/>
    <x v="0"/>
    <x v="13"/>
    <n v="1.17"/>
  </r>
  <r>
    <x v="0"/>
    <x v="0"/>
    <x v="0"/>
    <x v="17"/>
    <x v="12"/>
    <x v="0"/>
    <x v="14"/>
    <n v="0.61912734931721003"/>
  </r>
  <r>
    <x v="0"/>
    <x v="0"/>
    <x v="0"/>
    <x v="17"/>
    <x v="12"/>
    <x v="0"/>
    <x v="15"/>
    <n v="0.63564956814037898"/>
  </r>
  <r>
    <x v="0"/>
    <x v="0"/>
    <x v="0"/>
    <x v="17"/>
    <x v="12"/>
    <x v="0"/>
    <x v="16"/>
    <n v="1.17"/>
  </r>
  <r>
    <x v="0"/>
    <x v="0"/>
    <x v="0"/>
    <x v="17"/>
    <x v="12"/>
    <x v="0"/>
    <x v="17"/>
    <n v="1.17"/>
  </r>
  <r>
    <x v="0"/>
    <x v="0"/>
    <x v="0"/>
    <x v="17"/>
    <x v="12"/>
    <x v="0"/>
    <x v="18"/>
    <n v="1.17"/>
  </r>
  <r>
    <x v="0"/>
    <x v="0"/>
    <x v="0"/>
    <x v="17"/>
    <x v="12"/>
    <x v="0"/>
    <x v="19"/>
    <n v="1.17"/>
  </r>
  <r>
    <x v="0"/>
    <x v="0"/>
    <x v="0"/>
    <x v="17"/>
    <x v="12"/>
    <x v="0"/>
    <x v="20"/>
    <n v="0.88339974880835204"/>
  </r>
  <r>
    <x v="0"/>
    <x v="0"/>
    <x v="0"/>
    <x v="17"/>
    <x v="12"/>
    <x v="0"/>
    <x v="21"/>
    <n v="0.77298351294967804"/>
  </r>
  <r>
    <x v="0"/>
    <x v="0"/>
    <x v="0"/>
    <x v="17"/>
    <x v="12"/>
    <x v="0"/>
    <x v="22"/>
    <n v="0.75517005409871296"/>
  </r>
  <r>
    <x v="0"/>
    <x v="0"/>
    <x v="0"/>
    <x v="17"/>
    <x v="12"/>
    <x v="0"/>
    <x v="23"/>
    <n v="0.72101788713026005"/>
  </r>
  <r>
    <x v="0"/>
    <x v="0"/>
    <x v="0"/>
    <x v="17"/>
    <x v="15"/>
    <x v="0"/>
    <x v="0"/>
    <n v="0"/>
  </r>
  <r>
    <x v="0"/>
    <x v="0"/>
    <x v="0"/>
    <x v="17"/>
    <x v="15"/>
    <x v="0"/>
    <x v="1"/>
    <n v="0"/>
  </r>
  <r>
    <x v="0"/>
    <x v="0"/>
    <x v="0"/>
    <x v="17"/>
    <x v="15"/>
    <x v="0"/>
    <x v="2"/>
    <n v="0"/>
  </r>
  <r>
    <x v="0"/>
    <x v="0"/>
    <x v="0"/>
    <x v="17"/>
    <x v="15"/>
    <x v="0"/>
    <x v="3"/>
    <n v="0"/>
  </r>
  <r>
    <x v="0"/>
    <x v="0"/>
    <x v="0"/>
    <x v="17"/>
    <x v="15"/>
    <x v="0"/>
    <x v="4"/>
    <n v="0"/>
  </r>
  <r>
    <x v="0"/>
    <x v="0"/>
    <x v="0"/>
    <x v="17"/>
    <x v="15"/>
    <x v="0"/>
    <x v="5"/>
    <n v="0"/>
  </r>
  <r>
    <x v="0"/>
    <x v="0"/>
    <x v="0"/>
    <x v="17"/>
    <x v="15"/>
    <x v="0"/>
    <x v="6"/>
    <n v="0"/>
  </r>
  <r>
    <x v="0"/>
    <x v="0"/>
    <x v="0"/>
    <x v="17"/>
    <x v="15"/>
    <x v="0"/>
    <x v="7"/>
    <n v="0"/>
  </r>
  <r>
    <x v="0"/>
    <x v="0"/>
    <x v="0"/>
    <x v="17"/>
    <x v="15"/>
    <x v="0"/>
    <x v="8"/>
    <n v="0"/>
  </r>
  <r>
    <x v="0"/>
    <x v="0"/>
    <x v="0"/>
    <x v="17"/>
    <x v="15"/>
    <x v="0"/>
    <x v="9"/>
    <n v="0"/>
  </r>
  <r>
    <x v="0"/>
    <x v="0"/>
    <x v="0"/>
    <x v="17"/>
    <x v="15"/>
    <x v="0"/>
    <x v="10"/>
    <n v="0"/>
  </r>
  <r>
    <x v="0"/>
    <x v="0"/>
    <x v="0"/>
    <x v="17"/>
    <x v="15"/>
    <x v="0"/>
    <x v="11"/>
    <n v="0"/>
  </r>
  <r>
    <x v="0"/>
    <x v="0"/>
    <x v="0"/>
    <x v="17"/>
    <x v="15"/>
    <x v="0"/>
    <x v="12"/>
    <n v="0"/>
  </r>
  <r>
    <x v="0"/>
    <x v="0"/>
    <x v="0"/>
    <x v="17"/>
    <x v="15"/>
    <x v="0"/>
    <x v="13"/>
    <n v="0"/>
  </r>
  <r>
    <x v="0"/>
    <x v="0"/>
    <x v="0"/>
    <x v="17"/>
    <x v="15"/>
    <x v="0"/>
    <x v="14"/>
    <n v="0"/>
  </r>
  <r>
    <x v="0"/>
    <x v="0"/>
    <x v="0"/>
    <x v="17"/>
    <x v="15"/>
    <x v="0"/>
    <x v="15"/>
    <n v="0"/>
  </r>
  <r>
    <x v="0"/>
    <x v="0"/>
    <x v="0"/>
    <x v="17"/>
    <x v="15"/>
    <x v="0"/>
    <x v="16"/>
    <n v="0"/>
  </r>
  <r>
    <x v="0"/>
    <x v="0"/>
    <x v="0"/>
    <x v="17"/>
    <x v="15"/>
    <x v="0"/>
    <x v="17"/>
    <n v="0"/>
  </r>
  <r>
    <x v="0"/>
    <x v="0"/>
    <x v="0"/>
    <x v="17"/>
    <x v="15"/>
    <x v="0"/>
    <x v="18"/>
    <n v="0"/>
  </r>
  <r>
    <x v="0"/>
    <x v="0"/>
    <x v="0"/>
    <x v="17"/>
    <x v="15"/>
    <x v="0"/>
    <x v="19"/>
    <n v="0"/>
  </r>
  <r>
    <x v="0"/>
    <x v="0"/>
    <x v="0"/>
    <x v="17"/>
    <x v="15"/>
    <x v="0"/>
    <x v="20"/>
    <n v="0"/>
  </r>
  <r>
    <x v="0"/>
    <x v="0"/>
    <x v="0"/>
    <x v="17"/>
    <x v="15"/>
    <x v="0"/>
    <x v="21"/>
    <n v="0"/>
  </r>
  <r>
    <x v="0"/>
    <x v="0"/>
    <x v="0"/>
    <x v="17"/>
    <x v="15"/>
    <x v="0"/>
    <x v="22"/>
    <n v="0"/>
  </r>
  <r>
    <x v="0"/>
    <x v="0"/>
    <x v="0"/>
    <x v="17"/>
    <x v="15"/>
    <x v="0"/>
    <x v="23"/>
    <n v="0"/>
  </r>
  <r>
    <x v="0"/>
    <x v="0"/>
    <x v="0"/>
    <x v="17"/>
    <x v="21"/>
    <x v="0"/>
    <x v="0"/>
    <n v="0"/>
  </r>
  <r>
    <x v="0"/>
    <x v="0"/>
    <x v="0"/>
    <x v="17"/>
    <x v="21"/>
    <x v="0"/>
    <x v="1"/>
    <n v="0"/>
  </r>
  <r>
    <x v="0"/>
    <x v="0"/>
    <x v="0"/>
    <x v="17"/>
    <x v="21"/>
    <x v="0"/>
    <x v="2"/>
    <n v="0"/>
  </r>
  <r>
    <x v="0"/>
    <x v="0"/>
    <x v="0"/>
    <x v="17"/>
    <x v="21"/>
    <x v="0"/>
    <x v="3"/>
    <n v="0"/>
  </r>
  <r>
    <x v="0"/>
    <x v="0"/>
    <x v="0"/>
    <x v="17"/>
    <x v="21"/>
    <x v="0"/>
    <x v="4"/>
    <n v="0"/>
  </r>
  <r>
    <x v="0"/>
    <x v="0"/>
    <x v="0"/>
    <x v="17"/>
    <x v="21"/>
    <x v="0"/>
    <x v="5"/>
    <n v="0"/>
  </r>
  <r>
    <x v="0"/>
    <x v="0"/>
    <x v="0"/>
    <x v="17"/>
    <x v="21"/>
    <x v="0"/>
    <x v="6"/>
    <n v="0.227979968667465"/>
  </r>
  <r>
    <x v="0"/>
    <x v="0"/>
    <x v="0"/>
    <x v="17"/>
    <x v="21"/>
    <x v="0"/>
    <x v="7"/>
    <n v="0.99975700196091799"/>
  </r>
  <r>
    <x v="0"/>
    <x v="0"/>
    <x v="0"/>
    <x v="17"/>
    <x v="21"/>
    <x v="0"/>
    <x v="8"/>
    <n v="0.68882096942664695"/>
  </r>
  <r>
    <x v="0"/>
    <x v="0"/>
    <x v="0"/>
    <x v="17"/>
    <x v="21"/>
    <x v="0"/>
    <x v="9"/>
    <n v="0.83568916201405596"/>
  </r>
  <r>
    <x v="0"/>
    <x v="0"/>
    <x v="0"/>
    <x v="17"/>
    <x v="21"/>
    <x v="0"/>
    <x v="10"/>
    <n v="0.98252135017744102"/>
  </r>
  <r>
    <x v="0"/>
    <x v="0"/>
    <x v="0"/>
    <x v="17"/>
    <x v="21"/>
    <x v="0"/>
    <x v="11"/>
    <n v="0.35291407198222702"/>
  </r>
  <r>
    <x v="0"/>
    <x v="0"/>
    <x v="0"/>
    <x v="17"/>
    <x v="21"/>
    <x v="0"/>
    <x v="12"/>
    <n v="0.116500651899497"/>
  </r>
  <r>
    <x v="0"/>
    <x v="0"/>
    <x v="0"/>
    <x v="17"/>
    <x v="21"/>
    <x v="0"/>
    <x v="13"/>
    <n v="0"/>
  </r>
  <r>
    <x v="0"/>
    <x v="0"/>
    <x v="0"/>
    <x v="17"/>
    <x v="21"/>
    <x v="0"/>
    <x v="14"/>
    <n v="0.81061938572969905"/>
  </r>
  <r>
    <x v="0"/>
    <x v="0"/>
    <x v="0"/>
    <x v="17"/>
    <x v="21"/>
    <x v="0"/>
    <x v="15"/>
    <n v="0.89847486404511101"/>
  </r>
  <r>
    <x v="0"/>
    <x v="0"/>
    <x v="0"/>
    <x v="17"/>
    <x v="21"/>
    <x v="0"/>
    <x v="16"/>
    <n v="0.45140645604436802"/>
  </r>
  <r>
    <x v="0"/>
    <x v="0"/>
    <x v="0"/>
    <x v="17"/>
    <x v="21"/>
    <x v="0"/>
    <x v="17"/>
    <n v="0.257675330242505"/>
  </r>
  <r>
    <x v="0"/>
    <x v="0"/>
    <x v="0"/>
    <x v="17"/>
    <x v="21"/>
    <x v="0"/>
    <x v="18"/>
    <n v="0.37596953415345602"/>
  </r>
  <r>
    <x v="0"/>
    <x v="0"/>
    <x v="0"/>
    <x v="17"/>
    <x v="21"/>
    <x v="0"/>
    <x v="19"/>
    <n v="0.209215306775523"/>
  </r>
  <r>
    <x v="0"/>
    <x v="0"/>
    <x v="0"/>
    <x v="17"/>
    <x v="21"/>
    <x v="0"/>
    <x v="20"/>
    <n v="0"/>
  </r>
  <r>
    <x v="0"/>
    <x v="0"/>
    <x v="0"/>
    <x v="17"/>
    <x v="21"/>
    <x v="0"/>
    <x v="21"/>
    <n v="0"/>
  </r>
  <r>
    <x v="0"/>
    <x v="0"/>
    <x v="0"/>
    <x v="17"/>
    <x v="21"/>
    <x v="0"/>
    <x v="22"/>
    <n v="0"/>
  </r>
  <r>
    <x v="0"/>
    <x v="0"/>
    <x v="0"/>
    <x v="17"/>
    <x v="21"/>
    <x v="0"/>
    <x v="23"/>
    <n v="0"/>
  </r>
  <r>
    <x v="0"/>
    <x v="0"/>
    <x v="0"/>
    <x v="18"/>
    <x v="18"/>
    <x v="0"/>
    <x v="0"/>
    <n v="0"/>
  </r>
  <r>
    <x v="0"/>
    <x v="0"/>
    <x v="0"/>
    <x v="18"/>
    <x v="18"/>
    <x v="0"/>
    <x v="1"/>
    <n v="0"/>
  </r>
  <r>
    <x v="0"/>
    <x v="0"/>
    <x v="0"/>
    <x v="18"/>
    <x v="18"/>
    <x v="0"/>
    <x v="2"/>
    <n v="0"/>
  </r>
  <r>
    <x v="0"/>
    <x v="0"/>
    <x v="0"/>
    <x v="18"/>
    <x v="18"/>
    <x v="0"/>
    <x v="3"/>
    <n v="0"/>
  </r>
  <r>
    <x v="0"/>
    <x v="0"/>
    <x v="0"/>
    <x v="18"/>
    <x v="18"/>
    <x v="0"/>
    <x v="4"/>
    <n v="0"/>
  </r>
  <r>
    <x v="0"/>
    <x v="0"/>
    <x v="0"/>
    <x v="18"/>
    <x v="18"/>
    <x v="0"/>
    <x v="5"/>
    <n v="0"/>
  </r>
  <r>
    <x v="0"/>
    <x v="0"/>
    <x v="0"/>
    <x v="18"/>
    <x v="18"/>
    <x v="0"/>
    <x v="6"/>
    <n v="-0.281413942286668"/>
  </r>
  <r>
    <x v="0"/>
    <x v="0"/>
    <x v="0"/>
    <x v="18"/>
    <x v="18"/>
    <x v="0"/>
    <x v="7"/>
    <n v="-0.54"/>
  </r>
  <r>
    <x v="0"/>
    <x v="0"/>
    <x v="0"/>
    <x v="18"/>
    <x v="18"/>
    <x v="0"/>
    <x v="8"/>
    <n v="-0.191582986670288"/>
  </r>
  <r>
    <x v="0"/>
    <x v="0"/>
    <x v="0"/>
    <x v="18"/>
    <x v="18"/>
    <x v="0"/>
    <x v="9"/>
    <n v="-0.54"/>
  </r>
  <r>
    <x v="0"/>
    <x v="0"/>
    <x v="0"/>
    <x v="18"/>
    <x v="18"/>
    <x v="0"/>
    <x v="10"/>
    <n v="-0.54"/>
  </r>
  <r>
    <x v="0"/>
    <x v="0"/>
    <x v="0"/>
    <x v="18"/>
    <x v="18"/>
    <x v="0"/>
    <x v="11"/>
    <n v="-0.22434549486550501"/>
  </r>
  <r>
    <x v="0"/>
    <x v="0"/>
    <x v="0"/>
    <x v="18"/>
    <x v="18"/>
    <x v="0"/>
    <x v="12"/>
    <n v="0"/>
  </r>
  <r>
    <x v="0"/>
    <x v="0"/>
    <x v="0"/>
    <x v="18"/>
    <x v="18"/>
    <x v="0"/>
    <x v="13"/>
    <n v="-0.54"/>
  </r>
  <r>
    <x v="0"/>
    <x v="0"/>
    <x v="0"/>
    <x v="18"/>
    <x v="18"/>
    <x v="0"/>
    <x v="14"/>
    <n v="-0.193216549349534"/>
  </r>
  <r>
    <x v="0"/>
    <x v="0"/>
    <x v="0"/>
    <x v="18"/>
    <x v="18"/>
    <x v="0"/>
    <x v="15"/>
    <n v="0"/>
  </r>
  <r>
    <x v="0"/>
    <x v="0"/>
    <x v="0"/>
    <x v="18"/>
    <x v="18"/>
    <x v="0"/>
    <x v="16"/>
    <n v="-0.17052522493338099"/>
  </r>
  <r>
    <x v="0"/>
    <x v="0"/>
    <x v="0"/>
    <x v="18"/>
    <x v="18"/>
    <x v="0"/>
    <x v="17"/>
    <n v="-0.204359047389196"/>
  </r>
  <r>
    <x v="0"/>
    <x v="0"/>
    <x v="0"/>
    <x v="18"/>
    <x v="18"/>
    <x v="0"/>
    <x v="18"/>
    <n v="-0.35906019719166199"/>
  </r>
  <r>
    <x v="0"/>
    <x v="0"/>
    <x v="0"/>
    <x v="18"/>
    <x v="18"/>
    <x v="0"/>
    <x v="19"/>
    <n v="0"/>
  </r>
  <r>
    <x v="0"/>
    <x v="0"/>
    <x v="0"/>
    <x v="18"/>
    <x v="18"/>
    <x v="0"/>
    <x v="20"/>
    <n v="0"/>
  </r>
  <r>
    <x v="0"/>
    <x v="0"/>
    <x v="0"/>
    <x v="18"/>
    <x v="18"/>
    <x v="0"/>
    <x v="21"/>
    <n v="0"/>
  </r>
  <r>
    <x v="0"/>
    <x v="0"/>
    <x v="0"/>
    <x v="18"/>
    <x v="18"/>
    <x v="0"/>
    <x v="22"/>
    <n v="0"/>
  </r>
  <r>
    <x v="0"/>
    <x v="0"/>
    <x v="0"/>
    <x v="18"/>
    <x v="18"/>
    <x v="0"/>
    <x v="23"/>
    <n v="1.36944045279454E-2"/>
  </r>
  <r>
    <x v="0"/>
    <x v="0"/>
    <x v="0"/>
    <x v="18"/>
    <x v="15"/>
    <x v="0"/>
    <x v="0"/>
    <n v="0"/>
  </r>
  <r>
    <x v="0"/>
    <x v="0"/>
    <x v="0"/>
    <x v="18"/>
    <x v="15"/>
    <x v="0"/>
    <x v="1"/>
    <n v="0"/>
  </r>
  <r>
    <x v="0"/>
    <x v="0"/>
    <x v="0"/>
    <x v="18"/>
    <x v="15"/>
    <x v="0"/>
    <x v="2"/>
    <n v="0"/>
  </r>
  <r>
    <x v="0"/>
    <x v="0"/>
    <x v="0"/>
    <x v="18"/>
    <x v="15"/>
    <x v="0"/>
    <x v="3"/>
    <n v="0"/>
  </r>
  <r>
    <x v="0"/>
    <x v="0"/>
    <x v="0"/>
    <x v="18"/>
    <x v="15"/>
    <x v="0"/>
    <x v="4"/>
    <n v="-0.22500000000000001"/>
  </r>
  <r>
    <x v="0"/>
    <x v="0"/>
    <x v="0"/>
    <x v="18"/>
    <x v="15"/>
    <x v="0"/>
    <x v="5"/>
    <n v="-0.22500000000000001"/>
  </r>
  <r>
    <x v="0"/>
    <x v="0"/>
    <x v="0"/>
    <x v="18"/>
    <x v="15"/>
    <x v="0"/>
    <x v="6"/>
    <n v="-0.22500000000000001"/>
  </r>
  <r>
    <x v="0"/>
    <x v="0"/>
    <x v="0"/>
    <x v="18"/>
    <x v="15"/>
    <x v="0"/>
    <x v="7"/>
    <n v="-0.22500000000000001"/>
  </r>
  <r>
    <x v="0"/>
    <x v="0"/>
    <x v="0"/>
    <x v="18"/>
    <x v="15"/>
    <x v="0"/>
    <x v="8"/>
    <n v="-0.22500000000000001"/>
  </r>
  <r>
    <x v="0"/>
    <x v="0"/>
    <x v="0"/>
    <x v="18"/>
    <x v="15"/>
    <x v="0"/>
    <x v="9"/>
    <n v="-0.22500000000000001"/>
  </r>
  <r>
    <x v="0"/>
    <x v="0"/>
    <x v="0"/>
    <x v="18"/>
    <x v="15"/>
    <x v="0"/>
    <x v="10"/>
    <n v="-0.22500000000000001"/>
  </r>
  <r>
    <x v="0"/>
    <x v="0"/>
    <x v="0"/>
    <x v="18"/>
    <x v="15"/>
    <x v="0"/>
    <x v="11"/>
    <n v="-0.22500000000000001"/>
  </r>
  <r>
    <x v="0"/>
    <x v="0"/>
    <x v="0"/>
    <x v="18"/>
    <x v="15"/>
    <x v="0"/>
    <x v="12"/>
    <n v="-0.22500000000000001"/>
  </r>
  <r>
    <x v="0"/>
    <x v="0"/>
    <x v="0"/>
    <x v="18"/>
    <x v="15"/>
    <x v="0"/>
    <x v="13"/>
    <n v="-0.22500000000000001"/>
  </r>
  <r>
    <x v="0"/>
    <x v="0"/>
    <x v="0"/>
    <x v="18"/>
    <x v="15"/>
    <x v="0"/>
    <x v="14"/>
    <n v="-0.22500000000000001"/>
  </r>
  <r>
    <x v="0"/>
    <x v="0"/>
    <x v="0"/>
    <x v="18"/>
    <x v="15"/>
    <x v="0"/>
    <x v="15"/>
    <n v="-0.22500000000000001"/>
  </r>
  <r>
    <x v="0"/>
    <x v="0"/>
    <x v="0"/>
    <x v="18"/>
    <x v="15"/>
    <x v="0"/>
    <x v="16"/>
    <n v="-0.22500000000000001"/>
  </r>
  <r>
    <x v="0"/>
    <x v="0"/>
    <x v="0"/>
    <x v="18"/>
    <x v="15"/>
    <x v="0"/>
    <x v="17"/>
    <n v="-0.22500000000000001"/>
  </r>
  <r>
    <x v="0"/>
    <x v="0"/>
    <x v="0"/>
    <x v="18"/>
    <x v="15"/>
    <x v="0"/>
    <x v="18"/>
    <n v="-0.22500000000000001"/>
  </r>
  <r>
    <x v="0"/>
    <x v="0"/>
    <x v="0"/>
    <x v="18"/>
    <x v="15"/>
    <x v="0"/>
    <x v="19"/>
    <n v="-0.22500000000000001"/>
  </r>
  <r>
    <x v="0"/>
    <x v="0"/>
    <x v="0"/>
    <x v="18"/>
    <x v="15"/>
    <x v="0"/>
    <x v="20"/>
    <n v="-0.22500000000000001"/>
  </r>
  <r>
    <x v="0"/>
    <x v="0"/>
    <x v="0"/>
    <x v="18"/>
    <x v="15"/>
    <x v="0"/>
    <x v="21"/>
    <n v="0"/>
  </r>
  <r>
    <x v="0"/>
    <x v="0"/>
    <x v="0"/>
    <x v="18"/>
    <x v="15"/>
    <x v="0"/>
    <x v="22"/>
    <n v="0"/>
  </r>
  <r>
    <x v="0"/>
    <x v="0"/>
    <x v="0"/>
    <x v="18"/>
    <x v="15"/>
    <x v="0"/>
    <x v="23"/>
    <n v="0"/>
  </r>
  <r>
    <x v="0"/>
    <x v="0"/>
    <x v="0"/>
    <x v="18"/>
    <x v="16"/>
    <x v="0"/>
    <x v="0"/>
    <n v="0"/>
  </r>
  <r>
    <x v="0"/>
    <x v="0"/>
    <x v="0"/>
    <x v="18"/>
    <x v="16"/>
    <x v="0"/>
    <x v="1"/>
    <n v="0"/>
  </r>
  <r>
    <x v="0"/>
    <x v="0"/>
    <x v="0"/>
    <x v="18"/>
    <x v="16"/>
    <x v="0"/>
    <x v="2"/>
    <n v="0"/>
  </r>
  <r>
    <x v="0"/>
    <x v="0"/>
    <x v="0"/>
    <x v="18"/>
    <x v="16"/>
    <x v="0"/>
    <x v="3"/>
    <n v="0"/>
  </r>
  <r>
    <x v="0"/>
    <x v="0"/>
    <x v="0"/>
    <x v="18"/>
    <x v="16"/>
    <x v="0"/>
    <x v="4"/>
    <n v="0"/>
  </r>
  <r>
    <x v="0"/>
    <x v="0"/>
    <x v="0"/>
    <x v="18"/>
    <x v="16"/>
    <x v="0"/>
    <x v="5"/>
    <n v="0"/>
  </r>
  <r>
    <x v="0"/>
    <x v="0"/>
    <x v="0"/>
    <x v="18"/>
    <x v="16"/>
    <x v="0"/>
    <x v="6"/>
    <n v="-0.227979968667465"/>
  </r>
  <r>
    <x v="0"/>
    <x v="0"/>
    <x v="0"/>
    <x v="18"/>
    <x v="16"/>
    <x v="0"/>
    <x v="7"/>
    <n v="-0.99975700196091799"/>
  </r>
  <r>
    <x v="0"/>
    <x v="0"/>
    <x v="0"/>
    <x v="18"/>
    <x v="16"/>
    <x v="0"/>
    <x v="8"/>
    <n v="-0.68882096942664695"/>
  </r>
  <r>
    <x v="0"/>
    <x v="0"/>
    <x v="0"/>
    <x v="18"/>
    <x v="16"/>
    <x v="0"/>
    <x v="9"/>
    <n v="-0.83568916201405596"/>
  </r>
  <r>
    <x v="0"/>
    <x v="0"/>
    <x v="0"/>
    <x v="18"/>
    <x v="16"/>
    <x v="0"/>
    <x v="10"/>
    <n v="-0.98252135017744102"/>
  </r>
  <r>
    <x v="0"/>
    <x v="0"/>
    <x v="0"/>
    <x v="18"/>
    <x v="16"/>
    <x v="0"/>
    <x v="11"/>
    <n v="-0.35291407198222702"/>
  </r>
  <r>
    <x v="0"/>
    <x v="0"/>
    <x v="0"/>
    <x v="18"/>
    <x v="16"/>
    <x v="0"/>
    <x v="12"/>
    <n v="-0.116500651899497"/>
  </r>
  <r>
    <x v="0"/>
    <x v="0"/>
    <x v="0"/>
    <x v="18"/>
    <x v="16"/>
    <x v="0"/>
    <x v="13"/>
    <n v="0"/>
  </r>
  <r>
    <x v="0"/>
    <x v="0"/>
    <x v="0"/>
    <x v="18"/>
    <x v="16"/>
    <x v="0"/>
    <x v="14"/>
    <n v="-0.81061938572969905"/>
  </r>
  <r>
    <x v="0"/>
    <x v="0"/>
    <x v="0"/>
    <x v="18"/>
    <x v="16"/>
    <x v="0"/>
    <x v="15"/>
    <n v="-0.89847486404511101"/>
  </r>
  <r>
    <x v="0"/>
    <x v="0"/>
    <x v="0"/>
    <x v="18"/>
    <x v="16"/>
    <x v="0"/>
    <x v="16"/>
    <n v="-0.45140645604436802"/>
  </r>
  <r>
    <x v="0"/>
    <x v="0"/>
    <x v="0"/>
    <x v="18"/>
    <x v="16"/>
    <x v="0"/>
    <x v="17"/>
    <n v="-0.257675330242505"/>
  </r>
  <r>
    <x v="0"/>
    <x v="0"/>
    <x v="0"/>
    <x v="18"/>
    <x v="16"/>
    <x v="0"/>
    <x v="18"/>
    <n v="-0.37596953415345602"/>
  </r>
  <r>
    <x v="0"/>
    <x v="0"/>
    <x v="0"/>
    <x v="18"/>
    <x v="16"/>
    <x v="0"/>
    <x v="19"/>
    <n v="-0.209215306775523"/>
  </r>
  <r>
    <x v="0"/>
    <x v="0"/>
    <x v="0"/>
    <x v="18"/>
    <x v="16"/>
    <x v="0"/>
    <x v="20"/>
    <n v="0"/>
  </r>
  <r>
    <x v="0"/>
    <x v="0"/>
    <x v="0"/>
    <x v="18"/>
    <x v="16"/>
    <x v="0"/>
    <x v="21"/>
    <n v="0"/>
  </r>
  <r>
    <x v="0"/>
    <x v="0"/>
    <x v="0"/>
    <x v="18"/>
    <x v="16"/>
    <x v="0"/>
    <x v="22"/>
    <n v="0"/>
  </r>
  <r>
    <x v="0"/>
    <x v="0"/>
    <x v="0"/>
    <x v="18"/>
    <x v="16"/>
    <x v="0"/>
    <x v="23"/>
    <n v="0"/>
  </r>
  <r>
    <x v="0"/>
    <x v="0"/>
    <x v="0"/>
    <x v="18"/>
    <x v="10"/>
    <x v="0"/>
    <x v="0"/>
    <n v="0.51666466477158501"/>
  </r>
  <r>
    <x v="0"/>
    <x v="0"/>
    <x v="0"/>
    <x v="18"/>
    <x v="10"/>
    <x v="0"/>
    <x v="1"/>
    <n v="0.90908626827398098"/>
  </r>
  <r>
    <x v="0"/>
    <x v="0"/>
    <x v="0"/>
    <x v="18"/>
    <x v="10"/>
    <x v="0"/>
    <x v="2"/>
    <n v="0.908546599533404"/>
  </r>
  <r>
    <x v="0"/>
    <x v="0"/>
    <x v="0"/>
    <x v="18"/>
    <x v="10"/>
    <x v="0"/>
    <x v="3"/>
    <n v="0.81450515844624805"/>
  </r>
  <r>
    <x v="0"/>
    <x v="0"/>
    <x v="0"/>
    <x v="18"/>
    <x v="10"/>
    <x v="0"/>
    <x v="4"/>
    <n v="1.5325597481712001"/>
  </r>
  <r>
    <x v="0"/>
    <x v="0"/>
    <x v="0"/>
    <x v="18"/>
    <x v="10"/>
    <x v="0"/>
    <x v="5"/>
    <n v="3.0302585770056099"/>
  </r>
  <r>
    <x v="0"/>
    <x v="0"/>
    <x v="0"/>
    <x v="18"/>
    <x v="10"/>
    <x v="0"/>
    <x v="6"/>
    <n v="4.6899025658729299"/>
  </r>
  <r>
    <x v="0"/>
    <x v="0"/>
    <x v="0"/>
    <x v="18"/>
    <x v="10"/>
    <x v="0"/>
    <x v="7"/>
    <n v="6.2401782161205803"/>
  </r>
  <r>
    <x v="0"/>
    <x v="0"/>
    <x v="0"/>
    <x v="18"/>
    <x v="10"/>
    <x v="0"/>
    <x v="8"/>
    <n v="6.21105413815269"/>
  </r>
  <r>
    <x v="0"/>
    <x v="0"/>
    <x v="0"/>
    <x v="18"/>
    <x v="10"/>
    <x v="0"/>
    <x v="9"/>
    <n v="6.57"/>
  </r>
  <r>
    <x v="0"/>
    <x v="0"/>
    <x v="0"/>
    <x v="18"/>
    <x v="10"/>
    <x v="0"/>
    <x v="10"/>
    <n v="6.57"/>
  </r>
  <r>
    <x v="0"/>
    <x v="0"/>
    <x v="0"/>
    <x v="18"/>
    <x v="10"/>
    <x v="0"/>
    <x v="11"/>
    <n v="5.9334135894213196"/>
  </r>
  <r>
    <x v="0"/>
    <x v="0"/>
    <x v="0"/>
    <x v="18"/>
    <x v="10"/>
    <x v="0"/>
    <x v="12"/>
    <n v="5.1549246960894699"/>
  </r>
  <r>
    <x v="0"/>
    <x v="0"/>
    <x v="0"/>
    <x v="18"/>
    <x v="10"/>
    <x v="0"/>
    <x v="13"/>
    <n v="5.5858060954906197"/>
  </r>
  <r>
    <x v="0"/>
    <x v="0"/>
    <x v="0"/>
    <x v="18"/>
    <x v="10"/>
    <x v="0"/>
    <x v="14"/>
    <n v="6.0804840659216799"/>
  </r>
  <r>
    <x v="0"/>
    <x v="0"/>
    <x v="0"/>
    <x v="18"/>
    <x v="10"/>
    <x v="0"/>
    <x v="15"/>
    <n v="6.0764982952716702"/>
  </r>
  <r>
    <x v="0"/>
    <x v="0"/>
    <x v="0"/>
    <x v="18"/>
    <x v="10"/>
    <x v="0"/>
    <x v="16"/>
    <n v="5.8860858616660101"/>
  </r>
  <r>
    <x v="0"/>
    <x v="0"/>
    <x v="0"/>
    <x v="18"/>
    <x v="10"/>
    <x v="0"/>
    <x v="17"/>
    <n v="5.5459949695892403"/>
  </r>
  <r>
    <x v="0"/>
    <x v="0"/>
    <x v="0"/>
    <x v="18"/>
    <x v="10"/>
    <x v="0"/>
    <x v="18"/>
    <n v="5.8334823392574098"/>
  </r>
  <r>
    <x v="0"/>
    <x v="0"/>
    <x v="0"/>
    <x v="18"/>
    <x v="10"/>
    <x v="0"/>
    <x v="19"/>
    <n v="5.3302465861992303"/>
  </r>
  <r>
    <x v="0"/>
    <x v="0"/>
    <x v="0"/>
    <x v="18"/>
    <x v="10"/>
    <x v="0"/>
    <x v="20"/>
    <n v="3.6117028372878099"/>
  </r>
  <r>
    <x v="0"/>
    <x v="0"/>
    <x v="0"/>
    <x v="18"/>
    <x v="10"/>
    <x v="0"/>
    <x v="21"/>
    <n v="1.47784046530682"/>
  </r>
  <r>
    <x v="0"/>
    <x v="0"/>
    <x v="0"/>
    <x v="18"/>
    <x v="10"/>
    <x v="0"/>
    <x v="22"/>
    <n v="1.3321043200334"/>
  </r>
  <r>
    <x v="0"/>
    <x v="0"/>
    <x v="0"/>
    <x v="18"/>
    <x v="10"/>
    <x v="0"/>
    <x v="23"/>
    <n v="0.68806898061356503"/>
  </r>
  <r>
    <x v="0"/>
    <x v="0"/>
    <x v="0"/>
    <x v="19"/>
    <x v="6"/>
    <x v="0"/>
    <x v="0"/>
    <n v="-0.11480134772819001"/>
  </r>
  <r>
    <x v="0"/>
    <x v="0"/>
    <x v="0"/>
    <x v="19"/>
    <x v="6"/>
    <x v="0"/>
    <x v="1"/>
    <n v="0"/>
  </r>
  <r>
    <x v="0"/>
    <x v="0"/>
    <x v="0"/>
    <x v="19"/>
    <x v="6"/>
    <x v="0"/>
    <x v="2"/>
    <n v="0"/>
  </r>
  <r>
    <x v="0"/>
    <x v="0"/>
    <x v="0"/>
    <x v="19"/>
    <x v="6"/>
    <x v="0"/>
    <x v="3"/>
    <n v="0"/>
  </r>
  <r>
    <x v="0"/>
    <x v="0"/>
    <x v="0"/>
    <x v="19"/>
    <x v="6"/>
    <x v="0"/>
    <x v="4"/>
    <n v="0"/>
  </r>
  <r>
    <x v="0"/>
    <x v="0"/>
    <x v="0"/>
    <x v="19"/>
    <x v="6"/>
    <x v="0"/>
    <x v="5"/>
    <n v="-0.66600000000000004"/>
  </r>
  <r>
    <x v="0"/>
    <x v="0"/>
    <x v="0"/>
    <x v="19"/>
    <x v="6"/>
    <x v="0"/>
    <x v="6"/>
    <n v="0.61199999999999999"/>
  </r>
  <r>
    <x v="0"/>
    <x v="0"/>
    <x v="0"/>
    <x v="19"/>
    <x v="6"/>
    <x v="0"/>
    <x v="7"/>
    <n v="0.61199999999999999"/>
  </r>
  <r>
    <x v="0"/>
    <x v="0"/>
    <x v="0"/>
    <x v="19"/>
    <x v="6"/>
    <x v="0"/>
    <x v="8"/>
    <n v="0.61199999999999999"/>
  </r>
  <r>
    <x v="0"/>
    <x v="0"/>
    <x v="0"/>
    <x v="19"/>
    <x v="6"/>
    <x v="0"/>
    <x v="9"/>
    <n v="0.61199999999999999"/>
  </r>
  <r>
    <x v="0"/>
    <x v="0"/>
    <x v="0"/>
    <x v="19"/>
    <x v="6"/>
    <x v="0"/>
    <x v="10"/>
    <n v="0.47037088684638201"/>
  </r>
  <r>
    <x v="0"/>
    <x v="0"/>
    <x v="0"/>
    <x v="19"/>
    <x v="6"/>
    <x v="0"/>
    <x v="11"/>
    <n v="-5.2938799822401301E-2"/>
  </r>
  <r>
    <x v="0"/>
    <x v="0"/>
    <x v="0"/>
    <x v="19"/>
    <x v="6"/>
    <x v="0"/>
    <x v="12"/>
    <n v="-0.66600000000000004"/>
  </r>
  <r>
    <x v="0"/>
    <x v="0"/>
    <x v="0"/>
    <x v="19"/>
    <x v="6"/>
    <x v="0"/>
    <x v="13"/>
    <n v="-0.39873566761280099"/>
  </r>
  <r>
    <x v="0"/>
    <x v="0"/>
    <x v="0"/>
    <x v="19"/>
    <x v="6"/>
    <x v="0"/>
    <x v="14"/>
    <n v="0"/>
  </r>
  <r>
    <x v="0"/>
    <x v="0"/>
    <x v="0"/>
    <x v="19"/>
    <x v="6"/>
    <x v="0"/>
    <x v="15"/>
    <n v="-0.53658904349589198"/>
  </r>
  <r>
    <x v="0"/>
    <x v="0"/>
    <x v="0"/>
    <x v="19"/>
    <x v="6"/>
    <x v="0"/>
    <x v="16"/>
    <n v="0"/>
  </r>
  <r>
    <x v="0"/>
    <x v="0"/>
    <x v="0"/>
    <x v="19"/>
    <x v="6"/>
    <x v="0"/>
    <x v="17"/>
    <n v="0"/>
  </r>
  <r>
    <x v="0"/>
    <x v="0"/>
    <x v="0"/>
    <x v="19"/>
    <x v="6"/>
    <x v="0"/>
    <x v="18"/>
    <n v="-0.66600000000000004"/>
  </r>
  <r>
    <x v="0"/>
    <x v="0"/>
    <x v="0"/>
    <x v="19"/>
    <x v="6"/>
    <x v="0"/>
    <x v="19"/>
    <n v="-0.66600000000000004"/>
  </r>
  <r>
    <x v="0"/>
    <x v="0"/>
    <x v="0"/>
    <x v="19"/>
    <x v="6"/>
    <x v="0"/>
    <x v="20"/>
    <n v="-0.66600000000000004"/>
  </r>
  <r>
    <x v="0"/>
    <x v="0"/>
    <x v="0"/>
    <x v="19"/>
    <x v="6"/>
    <x v="0"/>
    <x v="21"/>
    <n v="-0.66600000000000004"/>
  </r>
  <r>
    <x v="0"/>
    <x v="0"/>
    <x v="0"/>
    <x v="19"/>
    <x v="6"/>
    <x v="0"/>
    <x v="22"/>
    <n v="-0.66600000000000004"/>
  </r>
  <r>
    <x v="0"/>
    <x v="0"/>
    <x v="0"/>
    <x v="19"/>
    <x v="6"/>
    <x v="0"/>
    <x v="23"/>
    <n v="-0.66600000000000004"/>
  </r>
  <r>
    <x v="0"/>
    <x v="0"/>
    <x v="0"/>
    <x v="19"/>
    <x v="14"/>
    <x v="0"/>
    <x v="0"/>
    <n v="0"/>
  </r>
  <r>
    <x v="0"/>
    <x v="0"/>
    <x v="0"/>
    <x v="19"/>
    <x v="14"/>
    <x v="0"/>
    <x v="1"/>
    <n v="0"/>
  </r>
  <r>
    <x v="0"/>
    <x v="0"/>
    <x v="0"/>
    <x v="19"/>
    <x v="14"/>
    <x v="0"/>
    <x v="2"/>
    <n v="0"/>
  </r>
  <r>
    <x v="0"/>
    <x v="0"/>
    <x v="0"/>
    <x v="19"/>
    <x v="14"/>
    <x v="0"/>
    <x v="3"/>
    <n v="0"/>
  </r>
  <r>
    <x v="0"/>
    <x v="0"/>
    <x v="0"/>
    <x v="19"/>
    <x v="14"/>
    <x v="0"/>
    <x v="4"/>
    <n v="0"/>
  </r>
  <r>
    <x v="0"/>
    <x v="0"/>
    <x v="0"/>
    <x v="19"/>
    <x v="14"/>
    <x v="0"/>
    <x v="5"/>
    <n v="0"/>
  </r>
  <r>
    <x v="0"/>
    <x v="0"/>
    <x v="0"/>
    <x v="19"/>
    <x v="14"/>
    <x v="0"/>
    <x v="6"/>
    <n v="0"/>
  </r>
  <r>
    <x v="0"/>
    <x v="0"/>
    <x v="0"/>
    <x v="19"/>
    <x v="14"/>
    <x v="0"/>
    <x v="7"/>
    <n v="0"/>
  </r>
  <r>
    <x v="0"/>
    <x v="0"/>
    <x v="0"/>
    <x v="19"/>
    <x v="14"/>
    <x v="0"/>
    <x v="8"/>
    <n v="0"/>
  </r>
  <r>
    <x v="0"/>
    <x v="0"/>
    <x v="0"/>
    <x v="19"/>
    <x v="14"/>
    <x v="0"/>
    <x v="9"/>
    <n v="0"/>
  </r>
  <r>
    <x v="0"/>
    <x v="0"/>
    <x v="0"/>
    <x v="19"/>
    <x v="14"/>
    <x v="0"/>
    <x v="10"/>
    <n v="0"/>
  </r>
  <r>
    <x v="0"/>
    <x v="0"/>
    <x v="0"/>
    <x v="19"/>
    <x v="14"/>
    <x v="0"/>
    <x v="11"/>
    <n v="0"/>
  </r>
  <r>
    <x v="0"/>
    <x v="0"/>
    <x v="0"/>
    <x v="19"/>
    <x v="14"/>
    <x v="0"/>
    <x v="12"/>
    <n v="0"/>
  </r>
  <r>
    <x v="0"/>
    <x v="0"/>
    <x v="0"/>
    <x v="19"/>
    <x v="14"/>
    <x v="0"/>
    <x v="13"/>
    <n v="0"/>
  </r>
  <r>
    <x v="0"/>
    <x v="0"/>
    <x v="0"/>
    <x v="19"/>
    <x v="14"/>
    <x v="0"/>
    <x v="14"/>
    <n v="0"/>
  </r>
  <r>
    <x v="0"/>
    <x v="0"/>
    <x v="0"/>
    <x v="19"/>
    <x v="14"/>
    <x v="0"/>
    <x v="15"/>
    <n v="0"/>
  </r>
  <r>
    <x v="0"/>
    <x v="0"/>
    <x v="0"/>
    <x v="19"/>
    <x v="14"/>
    <x v="0"/>
    <x v="16"/>
    <n v="0"/>
  </r>
  <r>
    <x v="0"/>
    <x v="0"/>
    <x v="0"/>
    <x v="19"/>
    <x v="14"/>
    <x v="0"/>
    <x v="17"/>
    <n v="0"/>
  </r>
  <r>
    <x v="0"/>
    <x v="0"/>
    <x v="0"/>
    <x v="19"/>
    <x v="14"/>
    <x v="0"/>
    <x v="18"/>
    <n v="0"/>
  </r>
  <r>
    <x v="0"/>
    <x v="0"/>
    <x v="0"/>
    <x v="19"/>
    <x v="14"/>
    <x v="0"/>
    <x v="19"/>
    <n v="0"/>
  </r>
  <r>
    <x v="0"/>
    <x v="0"/>
    <x v="0"/>
    <x v="19"/>
    <x v="14"/>
    <x v="0"/>
    <x v="20"/>
    <n v="0"/>
  </r>
  <r>
    <x v="0"/>
    <x v="0"/>
    <x v="0"/>
    <x v="19"/>
    <x v="14"/>
    <x v="0"/>
    <x v="21"/>
    <n v="0"/>
  </r>
  <r>
    <x v="0"/>
    <x v="0"/>
    <x v="0"/>
    <x v="19"/>
    <x v="14"/>
    <x v="0"/>
    <x v="22"/>
    <n v="0"/>
  </r>
  <r>
    <x v="0"/>
    <x v="0"/>
    <x v="0"/>
    <x v="19"/>
    <x v="14"/>
    <x v="0"/>
    <x v="23"/>
    <n v="0"/>
  </r>
  <r>
    <x v="0"/>
    <x v="0"/>
    <x v="0"/>
    <x v="19"/>
    <x v="12"/>
    <x v="0"/>
    <x v="0"/>
    <n v="0"/>
  </r>
  <r>
    <x v="0"/>
    <x v="0"/>
    <x v="0"/>
    <x v="19"/>
    <x v="12"/>
    <x v="0"/>
    <x v="1"/>
    <n v="0"/>
  </r>
  <r>
    <x v="0"/>
    <x v="0"/>
    <x v="0"/>
    <x v="19"/>
    <x v="12"/>
    <x v="0"/>
    <x v="2"/>
    <n v="0"/>
  </r>
  <r>
    <x v="0"/>
    <x v="0"/>
    <x v="0"/>
    <x v="19"/>
    <x v="12"/>
    <x v="0"/>
    <x v="3"/>
    <n v="0"/>
  </r>
  <r>
    <x v="0"/>
    <x v="0"/>
    <x v="0"/>
    <x v="19"/>
    <x v="12"/>
    <x v="0"/>
    <x v="4"/>
    <n v="0"/>
  </r>
  <r>
    <x v="0"/>
    <x v="0"/>
    <x v="0"/>
    <x v="19"/>
    <x v="12"/>
    <x v="0"/>
    <x v="5"/>
    <n v="-0.26196292387303"/>
  </r>
  <r>
    <x v="0"/>
    <x v="0"/>
    <x v="0"/>
    <x v="19"/>
    <x v="12"/>
    <x v="0"/>
    <x v="6"/>
    <n v="-0.59875264817964802"/>
  </r>
  <r>
    <x v="0"/>
    <x v="0"/>
    <x v="0"/>
    <x v="19"/>
    <x v="12"/>
    <x v="0"/>
    <x v="7"/>
    <n v="0"/>
  </r>
  <r>
    <x v="0"/>
    <x v="0"/>
    <x v="0"/>
    <x v="19"/>
    <x v="12"/>
    <x v="0"/>
    <x v="8"/>
    <n v="-0.65660212465046497"/>
  </r>
  <r>
    <x v="0"/>
    <x v="0"/>
    <x v="0"/>
    <x v="19"/>
    <x v="12"/>
    <x v="0"/>
    <x v="9"/>
    <n v="-0.67904036295641201"/>
  </r>
  <r>
    <x v="0"/>
    <x v="0"/>
    <x v="0"/>
    <x v="19"/>
    <x v="12"/>
    <x v="0"/>
    <x v="10"/>
    <n v="-0.23222296901508099"/>
  </r>
  <r>
    <x v="0"/>
    <x v="0"/>
    <x v="0"/>
    <x v="19"/>
    <x v="12"/>
    <x v="0"/>
    <x v="11"/>
    <n v="-0.72704226112035997"/>
  </r>
  <r>
    <x v="0"/>
    <x v="0"/>
    <x v="0"/>
    <x v="19"/>
    <x v="12"/>
    <x v="0"/>
    <x v="12"/>
    <n v="-0.56911692433358296"/>
  </r>
  <r>
    <x v="0"/>
    <x v="0"/>
    <x v="0"/>
    <x v="19"/>
    <x v="12"/>
    <x v="0"/>
    <x v="13"/>
    <n v="-0.53732181288130798"/>
  </r>
  <r>
    <x v="0"/>
    <x v="0"/>
    <x v="0"/>
    <x v="19"/>
    <x v="12"/>
    <x v="0"/>
    <x v="14"/>
    <n v="0"/>
  </r>
  <r>
    <x v="0"/>
    <x v="0"/>
    <x v="0"/>
    <x v="19"/>
    <x v="12"/>
    <x v="0"/>
    <x v="15"/>
    <n v="0"/>
  </r>
  <r>
    <x v="0"/>
    <x v="0"/>
    <x v="0"/>
    <x v="19"/>
    <x v="12"/>
    <x v="0"/>
    <x v="16"/>
    <n v="-0.55060918625466804"/>
  </r>
  <r>
    <x v="0"/>
    <x v="0"/>
    <x v="0"/>
    <x v="19"/>
    <x v="12"/>
    <x v="0"/>
    <x v="17"/>
    <n v="-0.295294193445925"/>
  </r>
  <r>
    <x v="0"/>
    <x v="0"/>
    <x v="0"/>
    <x v="19"/>
    <x v="12"/>
    <x v="0"/>
    <x v="18"/>
    <n v="-0.21967868292928799"/>
  </r>
  <r>
    <x v="0"/>
    <x v="0"/>
    <x v="0"/>
    <x v="19"/>
    <x v="12"/>
    <x v="0"/>
    <x v="19"/>
    <n v="-0.240144234240107"/>
  </r>
  <r>
    <x v="0"/>
    <x v="0"/>
    <x v="0"/>
    <x v="19"/>
    <x v="12"/>
    <x v="0"/>
    <x v="20"/>
    <n v="0"/>
  </r>
  <r>
    <x v="0"/>
    <x v="0"/>
    <x v="0"/>
    <x v="19"/>
    <x v="12"/>
    <x v="0"/>
    <x v="21"/>
    <n v="0"/>
  </r>
  <r>
    <x v="0"/>
    <x v="0"/>
    <x v="0"/>
    <x v="19"/>
    <x v="12"/>
    <x v="0"/>
    <x v="22"/>
    <n v="0"/>
  </r>
  <r>
    <x v="0"/>
    <x v="0"/>
    <x v="0"/>
    <x v="19"/>
    <x v="12"/>
    <x v="0"/>
    <x v="23"/>
    <n v="0"/>
  </r>
  <r>
    <x v="0"/>
    <x v="0"/>
    <x v="0"/>
    <x v="19"/>
    <x v="13"/>
    <x v="0"/>
    <x v="0"/>
    <n v="0"/>
  </r>
  <r>
    <x v="0"/>
    <x v="0"/>
    <x v="0"/>
    <x v="19"/>
    <x v="13"/>
    <x v="0"/>
    <x v="1"/>
    <n v="0"/>
  </r>
  <r>
    <x v="0"/>
    <x v="0"/>
    <x v="0"/>
    <x v="19"/>
    <x v="13"/>
    <x v="0"/>
    <x v="2"/>
    <n v="0"/>
  </r>
  <r>
    <x v="0"/>
    <x v="0"/>
    <x v="0"/>
    <x v="19"/>
    <x v="13"/>
    <x v="0"/>
    <x v="3"/>
    <n v="0"/>
  </r>
  <r>
    <x v="0"/>
    <x v="0"/>
    <x v="0"/>
    <x v="19"/>
    <x v="13"/>
    <x v="0"/>
    <x v="4"/>
    <n v="0"/>
  </r>
  <r>
    <x v="0"/>
    <x v="0"/>
    <x v="0"/>
    <x v="19"/>
    <x v="13"/>
    <x v="0"/>
    <x v="5"/>
    <n v="0"/>
  </r>
  <r>
    <x v="0"/>
    <x v="0"/>
    <x v="0"/>
    <x v="19"/>
    <x v="13"/>
    <x v="0"/>
    <x v="6"/>
    <n v="0"/>
  </r>
  <r>
    <x v="0"/>
    <x v="0"/>
    <x v="0"/>
    <x v="19"/>
    <x v="13"/>
    <x v="0"/>
    <x v="7"/>
    <n v="0"/>
  </r>
  <r>
    <x v="0"/>
    <x v="0"/>
    <x v="0"/>
    <x v="19"/>
    <x v="13"/>
    <x v="0"/>
    <x v="8"/>
    <n v="0"/>
  </r>
  <r>
    <x v="0"/>
    <x v="0"/>
    <x v="0"/>
    <x v="19"/>
    <x v="13"/>
    <x v="0"/>
    <x v="9"/>
    <n v="0"/>
  </r>
  <r>
    <x v="0"/>
    <x v="0"/>
    <x v="0"/>
    <x v="19"/>
    <x v="13"/>
    <x v="0"/>
    <x v="10"/>
    <n v="0"/>
  </r>
  <r>
    <x v="0"/>
    <x v="0"/>
    <x v="0"/>
    <x v="19"/>
    <x v="13"/>
    <x v="0"/>
    <x v="11"/>
    <n v="0"/>
  </r>
  <r>
    <x v="0"/>
    <x v="0"/>
    <x v="0"/>
    <x v="19"/>
    <x v="13"/>
    <x v="0"/>
    <x v="12"/>
    <n v="0"/>
  </r>
  <r>
    <x v="0"/>
    <x v="0"/>
    <x v="0"/>
    <x v="19"/>
    <x v="13"/>
    <x v="0"/>
    <x v="13"/>
    <n v="0"/>
  </r>
  <r>
    <x v="0"/>
    <x v="0"/>
    <x v="0"/>
    <x v="19"/>
    <x v="13"/>
    <x v="0"/>
    <x v="14"/>
    <n v="0"/>
  </r>
  <r>
    <x v="0"/>
    <x v="0"/>
    <x v="0"/>
    <x v="19"/>
    <x v="13"/>
    <x v="0"/>
    <x v="15"/>
    <n v="0"/>
  </r>
  <r>
    <x v="0"/>
    <x v="0"/>
    <x v="0"/>
    <x v="19"/>
    <x v="13"/>
    <x v="0"/>
    <x v="16"/>
    <n v="0"/>
  </r>
  <r>
    <x v="0"/>
    <x v="0"/>
    <x v="0"/>
    <x v="19"/>
    <x v="13"/>
    <x v="0"/>
    <x v="17"/>
    <n v="0"/>
  </r>
  <r>
    <x v="0"/>
    <x v="0"/>
    <x v="0"/>
    <x v="19"/>
    <x v="13"/>
    <x v="0"/>
    <x v="18"/>
    <n v="0"/>
  </r>
  <r>
    <x v="0"/>
    <x v="0"/>
    <x v="0"/>
    <x v="19"/>
    <x v="13"/>
    <x v="0"/>
    <x v="19"/>
    <n v="0"/>
  </r>
  <r>
    <x v="0"/>
    <x v="0"/>
    <x v="0"/>
    <x v="19"/>
    <x v="13"/>
    <x v="0"/>
    <x v="20"/>
    <n v="0"/>
  </r>
  <r>
    <x v="0"/>
    <x v="0"/>
    <x v="0"/>
    <x v="19"/>
    <x v="13"/>
    <x v="0"/>
    <x v="21"/>
    <n v="0"/>
  </r>
  <r>
    <x v="0"/>
    <x v="0"/>
    <x v="0"/>
    <x v="19"/>
    <x v="13"/>
    <x v="0"/>
    <x v="22"/>
    <n v="0"/>
  </r>
  <r>
    <x v="0"/>
    <x v="0"/>
    <x v="0"/>
    <x v="19"/>
    <x v="13"/>
    <x v="0"/>
    <x v="23"/>
    <n v="0"/>
  </r>
  <r>
    <x v="0"/>
    <x v="0"/>
    <x v="0"/>
    <x v="19"/>
    <x v="20"/>
    <x v="0"/>
    <x v="0"/>
    <n v="0"/>
  </r>
  <r>
    <x v="0"/>
    <x v="0"/>
    <x v="0"/>
    <x v="19"/>
    <x v="20"/>
    <x v="0"/>
    <x v="1"/>
    <n v="0"/>
  </r>
  <r>
    <x v="0"/>
    <x v="0"/>
    <x v="0"/>
    <x v="19"/>
    <x v="20"/>
    <x v="0"/>
    <x v="2"/>
    <n v="0"/>
  </r>
  <r>
    <x v="0"/>
    <x v="0"/>
    <x v="0"/>
    <x v="19"/>
    <x v="20"/>
    <x v="0"/>
    <x v="3"/>
    <n v="0"/>
  </r>
  <r>
    <x v="0"/>
    <x v="0"/>
    <x v="0"/>
    <x v="19"/>
    <x v="20"/>
    <x v="0"/>
    <x v="4"/>
    <n v="0"/>
  </r>
  <r>
    <x v="0"/>
    <x v="0"/>
    <x v="0"/>
    <x v="19"/>
    <x v="20"/>
    <x v="0"/>
    <x v="5"/>
    <n v="0"/>
  </r>
  <r>
    <x v="0"/>
    <x v="0"/>
    <x v="0"/>
    <x v="19"/>
    <x v="20"/>
    <x v="0"/>
    <x v="6"/>
    <n v="-1.35155733385059"/>
  </r>
  <r>
    <x v="0"/>
    <x v="0"/>
    <x v="0"/>
    <x v="19"/>
    <x v="20"/>
    <x v="0"/>
    <x v="7"/>
    <n v="-1.1219791130271"/>
  </r>
  <r>
    <x v="0"/>
    <x v="0"/>
    <x v="0"/>
    <x v="19"/>
    <x v="20"/>
    <x v="0"/>
    <x v="8"/>
    <n v="-0.54328490814777297"/>
  </r>
  <r>
    <x v="0"/>
    <x v="0"/>
    <x v="0"/>
    <x v="19"/>
    <x v="20"/>
    <x v="0"/>
    <x v="9"/>
    <n v="-0.13632617784821899"/>
  </r>
  <r>
    <x v="0"/>
    <x v="0"/>
    <x v="0"/>
    <x v="19"/>
    <x v="20"/>
    <x v="0"/>
    <x v="10"/>
    <n v="-0.39905465238169602"/>
  </r>
  <r>
    <x v="0"/>
    <x v="0"/>
    <x v="0"/>
    <x v="19"/>
    <x v="20"/>
    <x v="0"/>
    <x v="11"/>
    <n v="0"/>
  </r>
  <r>
    <x v="0"/>
    <x v="0"/>
    <x v="0"/>
    <x v="19"/>
    <x v="20"/>
    <x v="0"/>
    <x v="12"/>
    <n v="-0.36245328763456802"/>
  </r>
  <r>
    <x v="0"/>
    <x v="0"/>
    <x v="0"/>
    <x v="19"/>
    <x v="20"/>
    <x v="0"/>
    <x v="13"/>
    <n v="0"/>
  </r>
  <r>
    <x v="0"/>
    <x v="0"/>
    <x v="0"/>
    <x v="19"/>
    <x v="20"/>
    <x v="0"/>
    <x v="14"/>
    <n v="-0.368642918313412"/>
  </r>
  <r>
    <x v="0"/>
    <x v="0"/>
    <x v="0"/>
    <x v="19"/>
    <x v="20"/>
    <x v="0"/>
    <x v="15"/>
    <n v="0"/>
  </r>
  <r>
    <x v="0"/>
    <x v="0"/>
    <x v="0"/>
    <x v="19"/>
    <x v="20"/>
    <x v="0"/>
    <x v="16"/>
    <n v="-0.29239046140635999"/>
  </r>
  <r>
    <x v="0"/>
    <x v="0"/>
    <x v="0"/>
    <x v="19"/>
    <x v="20"/>
    <x v="0"/>
    <x v="17"/>
    <n v="-0.83797640317236799"/>
  </r>
  <r>
    <x v="0"/>
    <x v="0"/>
    <x v="0"/>
    <x v="19"/>
    <x v="20"/>
    <x v="0"/>
    <x v="18"/>
    <n v="0"/>
  </r>
  <r>
    <x v="0"/>
    <x v="0"/>
    <x v="0"/>
    <x v="19"/>
    <x v="20"/>
    <x v="0"/>
    <x v="19"/>
    <n v="-0.38746990036797302"/>
  </r>
  <r>
    <x v="0"/>
    <x v="0"/>
    <x v="0"/>
    <x v="19"/>
    <x v="20"/>
    <x v="0"/>
    <x v="20"/>
    <n v="0"/>
  </r>
  <r>
    <x v="0"/>
    <x v="0"/>
    <x v="0"/>
    <x v="19"/>
    <x v="20"/>
    <x v="0"/>
    <x v="21"/>
    <n v="0"/>
  </r>
  <r>
    <x v="0"/>
    <x v="0"/>
    <x v="0"/>
    <x v="19"/>
    <x v="20"/>
    <x v="0"/>
    <x v="22"/>
    <n v="0"/>
  </r>
  <r>
    <x v="0"/>
    <x v="0"/>
    <x v="0"/>
    <x v="19"/>
    <x v="20"/>
    <x v="0"/>
    <x v="23"/>
    <n v="0"/>
  </r>
  <r>
    <x v="0"/>
    <x v="0"/>
    <x v="0"/>
    <x v="19"/>
    <x v="21"/>
    <x v="0"/>
    <x v="0"/>
    <n v="-0.51666466477158501"/>
  </r>
  <r>
    <x v="0"/>
    <x v="0"/>
    <x v="0"/>
    <x v="19"/>
    <x v="21"/>
    <x v="0"/>
    <x v="1"/>
    <n v="-0.90908626827398098"/>
  </r>
  <r>
    <x v="0"/>
    <x v="0"/>
    <x v="0"/>
    <x v="19"/>
    <x v="21"/>
    <x v="0"/>
    <x v="2"/>
    <n v="-0.908546599533404"/>
  </r>
  <r>
    <x v="0"/>
    <x v="0"/>
    <x v="0"/>
    <x v="19"/>
    <x v="21"/>
    <x v="0"/>
    <x v="3"/>
    <n v="-0.81450515844624805"/>
  </r>
  <r>
    <x v="0"/>
    <x v="0"/>
    <x v="0"/>
    <x v="19"/>
    <x v="21"/>
    <x v="0"/>
    <x v="4"/>
    <n v="-1.5325597481712001"/>
  </r>
  <r>
    <x v="0"/>
    <x v="0"/>
    <x v="0"/>
    <x v="19"/>
    <x v="21"/>
    <x v="0"/>
    <x v="5"/>
    <n v="-3.0302585770056099"/>
  </r>
  <r>
    <x v="0"/>
    <x v="0"/>
    <x v="0"/>
    <x v="19"/>
    <x v="21"/>
    <x v="0"/>
    <x v="6"/>
    <n v="-4.6899025658729299"/>
  </r>
  <r>
    <x v="0"/>
    <x v="0"/>
    <x v="0"/>
    <x v="19"/>
    <x v="21"/>
    <x v="0"/>
    <x v="7"/>
    <n v="-6.2401782161205803"/>
  </r>
  <r>
    <x v="0"/>
    <x v="0"/>
    <x v="0"/>
    <x v="19"/>
    <x v="21"/>
    <x v="0"/>
    <x v="8"/>
    <n v="-6.21105413815269"/>
  </r>
  <r>
    <x v="0"/>
    <x v="0"/>
    <x v="0"/>
    <x v="19"/>
    <x v="21"/>
    <x v="0"/>
    <x v="9"/>
    <n v="-6.57"/>
  </r>
  <r>
    <x v="0"/>
    <x v="0"/>
    <x v="0"/>
    <x v="19"/>
    <x v="21"/>
    <x v="0"/>
    <x v="10"/>
    <n v="-6.57"/>
  </r>
  <r>
    <x v="0"/>
    <x v="0"/>
    <x v="0"/>
    <x v="19"/>
    <x v="21"/>
    <x v="0"/>
    <x v="11"/>
    <n v="-5.9334135894213196"/>
  </r>
  <r>
    <x v="0"/>
    <x v="0"/>
    <x v="0"/>
    <x v="19"/>
    <x v="21"/>
    <x v="0"/>
    <x v="12"/>
    <n v="-5.1549246960894699"/>
  </r>
  <r>
    <x v="0"/>
    <x v="0"/>
    <x v="0"/>
    <x v="19"/>
    <x v="21"/>
    <x v="0"/>
    <x v="13"/>
    <n v="-5.5858060954906197"/>
  </r>
  <r>
    <x v="0"/>
    <x v="0"/>
    <x v="0"/>
    <x v="19"/>
    <x v="21"/>
    <x v="0"/>
    <x v="14"/>
    <n v="-6.0804840659216799"/>
  </r>
  <r>
    <x v="0"/>
    <x v="0"/>
    <x v="0"/>
    <x v="19"/>
    <x v="21"/>
    <x v="0"/>
    <x v="15"/>
    <n v="-6.0764982952716702"/>
  </r>
  <r>
    <x v="0"/>
    <x v="0"/>
    <x v="0"/>
    <x v="19"/>
    <x v="21"/>
    <x v="0"/>
    <x v="16"/>
    <n v="-5.8860858616660101"/>
  </r>
  <r>
    <x v="0"/>
    <x v="0"/>
    <x v="0"/>
    <x v="19"/>
    <x v="21"/>
    <x v="0"/>
    <x v="17"/>
    <n v="-5.5459949695892403"/>
  </r>
  <r>
    <x v="0"/>
    <x v="0"/>
    <x v="0"/>
    <x v="19"/>
    <x v="21"/>
    <x v="0"/>
    <x v="18"/>
    <n v="-5.8334823392574098"/>
  </r>
  <r>
    <x v="0"/>
    <x v="0"/>
    <x v="0"/>
    <x v="19"/>
    <x v="21"/>
    <x v="0"/>
    <x v="19"/>
    <n v="-5.3302465861992303"/>
  </r>
  <r>
    <x v="0"/>
    <x v="0"/>
    <x v="0"/>
    <x v="19"/>
    <x v="21"/>
    <x v="0"/>
    <x v="20"/>
    <n v="-3.6117028372878099"/>
  </r>
  <r>
    <x v="0"/>
    <x v="0"/>
    <x v="0"/>
    <x v="19"/>
    <x v="21"/>
    <x v="0"/>
    <x v="21"/>
    <n v="-1.47784046530682"/>
  </r>
  <r>
    <x v="0"/>
    <x v="0"/>
    <x v="0"/>
    <x v="19"/>
    <x v="21"/>
    <x v="0"/>
    <x v="22"/>
    <n v="-1.3321043200334"/>
  </r>
  <r>
    <x v="0"/>
    <x v="0"/>
    <x v="0"/>
    <x v="19"/>
    <x v="21"/>
    <x v="0"/>
    <x v="23"/>
    <n v="-0.68806898061356503"/>
  </r>
  <r>
    <x v="0"/>
    <x v="0"/>
    <x v="0"/>
    <x v="19"/>
    <x v="8"/>
    <x v="0"/>
    <x v="0"/>
    <n v="2.35464672855402"/>
  </r>
  <r>
    <x v="0"/>
    <x v="0"/>
    <x v="0"/>
    <x v="19"/>
    <x v="8"/>
    <x v="0"/>
    <x v="1"/>
    <n v="2.6431624469194999"/>
  </r>
  <r>
    <x v="0"/>
    <x v="0"/>
    <x v="0"/>
    <x v="19"/>
    <x v="8"/>
    <x v="0"/>
    <x v="2"/>
    <n v="2.4969582422137999"/>
  </r>
  <r>
    <x v="0"/>
    <x v="0"/>
    <x v="0"/>
    <x v="19"/>
    <x v="8"/>
    <x v="0"/>
    <x v="3"/>
    <n v="2.2190859095791802"/>
  </r>
  <r>
    <x v="0"/>
    <x v="0"/>
    <x v="0"/>
    <x v="19"/>
    <x v="8"/>
    <x v="0"/>
    <x v="4"/>
    <n v="2.79213584672988"/>
  </r>
  <r>
    <x v="0"/>
    <x v="0"/>
    <x v="0"/>
    <x v="19"/>
    <x v="8"/>
    <x v="0"/>
    <x v="5"/>
    <n v="5.5177408579590397"/>
  </r>
  <r>
    <x v="0"/>
    <x v="0"/>
    <x v="0"/>
    <x v="19"/>
    <x v="8"/>
    <x v="0"/>
    <x v="6"/>
    <n v="6.8883447382169898"/>
  </r>
  <r>
    <x v="0"/>
    <x v="0"/>
    <x v="0"/>
    <x v="19"/>
    <x v="8"/>
    <x v="0"/>
    <x v="7"/>
    <n v="6.8883447382169898"/>
  </r>
  <r>
    <x v="0"/>
    <x v="0"/>
    <x v="0"/>
    <x v="19"/>
    <x v="8"/>
    <x v="0"/>
    <x v="8"/>
    <n v="6.8883447382169898"/>
  </r>
  <r>
    <x v="0"/>
    <x v="0"/>
    <x v="0"/>
    <x v="19"/>
    <x v="8"/>
    <x v="0"/>
    <x v="9"/>
    <n v="6.8883447382169898"/>
  </r>
  <r>
    <x v="0"/>
    <x v="0"/>
    <x v="0"/>
    <x v="19"/>
    <x v="8"/>
    <x v="0"/>
    <x v="10"/>
    <n v="6.8883447382169898"/>
  </r>
  <r>
    <x v="0"/>
    <x v="0"/>
    <x v="0"/>
    <x v="19"/>
    <x v="8"/>
    <x v="0"/>
    <x v="11"/>
    <n v="6.8883447382169898"/>
  </r>
  <r>
    <x v="0"/>
    <x v="0"/>
    <x v="0"/>
    <x v="19"/>
    <x v="8"/>
    <x v="0"/>
    <x v="12"/>
    <n v="6.8883447382169898"/>
  </r>
  <r>
    <x v="0"/>
    <x v="0"/>
    <x v="0"/>
    <x v="19"/>
    <x v="8"/>
    <x v="0"/>
    <x v="13"/>
    <n v="6.8883447382169898"/>
  </r>
  <r>
    <x v="0"/>
    <x v="0"/>
    <x v="0"/>
    <x v="19"/>
    <x v="8"/>
    <x v="0"/>
    <x v="14"/>
    <n v="6.8883447382169898"/>
  </r>
  <r>
    <x v="0"/>
    <x v="0"/>
    <x v="0"/>
    <x v="19"/>
    <x v="8"/>
    <x v="0"/>
    <x v="15"/>
    <n v="6.8883447382169898"/>
  </r>
  <r>
    <x v="0"/>
    <x v="0"/>
    <x v="0"/>
    <x v="19"/>
    <x v="8"/>
    <x v="0"/>
    <x v="16"/>
    <n v="6.8883447382169898"/>
  </r>
  <r>
    <x v="0"/>
    <x v="0"/>
    <x v="0"/>
    <x v="19"/>
    <x v="8"/>
    <x v="0"/>
    <x v="17"/>
    <n v="6.8883447382169898"/>
  </r>
  <r>
    <x v="0"/>
    <x v="0"/>
    <x v="0"/>
    <x v="19"/>
    <x v="8"/>
    <x v="0"/>
    <x v="18"/>
    <n v="6.8883447382169898"/>
  </r>
  <r>
    <x v="0"/>
    <x v="0"/>
    <x v="0"/>
    <x v="19"/>
    <x v="8"/>
    <x v="0"/>
    <x v="19"/>
    <n v="6.8883447382169898"/>
  </r>
  <r>
    <x v="0"/>
    <x v="0"/>
    <x v="0"/>
    <x v="19"/>
    <x v="8"/>
    <x v="0"/>
    <x v="20"/>
    <n v="4.4756315412151402"/>
  </r>
  <r>
    <x v="0"/>
    <x v="0"/>
    <x v="0"/>
    <x v="19"/>
    <x v="8"/>
    <x v="0"/>
    <x v="21"/>
    <n v="1.89056165119015"/>
  </r>
  <r>
    <x v="0"/>
    <x v="0"/>
    <x v="0"/>
    <x v="19"/>
    <x v="8"/>
    <x v="0"/>
    <x v="22"/>
    <n v="2.1526917283272202"/>
  </r>
  <r>
    <x v="0"/>
    <x v="0"/>
    <x v="0"/>
    <x v="19"/>
    <x v="8"/>
    <x v="0"/>
    <x v="23"/>
    <n v="2.1845451154072699"/>
  </r>
  <r>
    <x v="0"/>
    <x v="0"/>
    <x v="0"/>
    <x v="20"/>
    <x v="0"/>
    <x v="0"/>
    <x v="0"/>
    <n v="-0.54"/>
  </r>
  <r>
    <x v="0"/>
    <x v="0"/>
    <x v="0"/>
    <x v="20"/>
    <x v="0"/>
    <x v="0"/>
    <x v="1"/>
    <n v="-0.54"/>
  </r>
  <r>
    <x v="0"/>
    <x v="0"/>
    <x v="0"/>
    <x v="20"/>
    <x v="0"/>
    <x v="0"/>
    <x v="2"/>
    <n v="-0.54"/>
  </r>
  <r>
    <x v="0"/>
    <x v="0"/>
    <x v="0"/>
    <x v="20"/>
    <x v="0"/>
    <x v="0"/>
    <x v="3"/>
    <n v="-0.54"/>
  </r>
  <r>
    <x v="0"/>
    <x v="0"/>
    <x v="0"/>
    <x v="20"/>
    <x v="0"/>
    <x v="0"/>
    <x v="4"/>
    <n v="-0.54"/>
  </r>
  <r>
    <x v="0"/>
    <x v="0"/>
    <x v="0"/>
    <x v="20"/>
    <x v="0"/>
    <x v="0"/>
    <x v="5"/>
    <n v="-0.54"/>
  </r>
  <r>
    <x v="0"/>
    <x v="0"/>
    <x v="0"/>
    <x v="20"/>
    <x v="0"/>
    <x v="0"/>
    <x v="6"/>
    <n v="0.53118146193279003"/>
  </r>
  <r>
    <x v="0"/>
    <x v="0"/>
    <x v="0"/>
    <x v="20"/>
    <x v="0"/>
    <x v="0"/>
    <x v="7"/>
    <n v="0.54900000000000004"/>
  </r>
  <r>
    <x v="0"/>
    <x v="0"/>
    <x v="0"/>
    <x v="20"/>
    <x v="0"/>
    <x v="0"/>
    <x v="8"/>
    <n v="0.38920646939070602"/>
  </r>
  <r>
    <x v="0"/>
    <x v="0"/>
    <x v="0"/>
    <x v="20"/>
    <x v="0"/>
    <x v="0"/>
    <x v="9"/>
    <n v="0"/>
  </r>
  <r>
    <x v="0"/>
    <x v="0"/>
    <x v="0"/>
    <x v="20"/>
    <x v="0"/>
    <x v="0"/>
    <x v="10"/>
    <n v="-0.54"/>
  </r>
  <r>
    <x v="0"/>
    <x v="0"/>
    <x v="0"/>
    <x v="20"/>
    <x v="0"/>
    <x v="0"/>
    <x v="11"/>
    <n v="-0.54"/>
  </r>
  <r>
    <x v="0"/>
    <x v="0"/>
    <x v="0"/>
    <x v="20"/>
    <x v="0"/>
    <x v="0"/>
    <x v="12"/>
    <n v="-0.54"/>
  </r>
  <r>
    <x v="0"/>
    <x v="0"/>
    <x v="0"/>
    <x v="20"/>
    <x v="0"/>
    <x v="0"/>
    <x v="13"/>
    <n v="-0.54"/>
  </r>
  <r>
    <x v="0"/>
    <x v="0"/>
    <x v="0"/>
    <x v="20"/>
    <x v="0"/>
    <x v="0"/>
    <x v="14"/>
    <n v="-0.30062350974955498"/>
  </r>
  <r>
    <x v="0"/>
    <x v="0"/>
    <x v="0"/>
    <x v="20"/>
    <x v="0"/>
    <x v="0"/>
    <x v="15"/>
    <n v="-0.38158797286282697"/>
  </r>
  <r>
    <x v="0"/>
    <x v="0"/>
    <x v="0"/>
    <x v="20"/>
    <x v="0"/>
    <x v="0"/>
    <x v="16"/>
    <n v="-0.41038935563974699"/>
  </r>
  <r>
    <x v="0"/>
    <x v="0"/>
    <x v="0"/>
    <x v="20"/>
    <x v="0"/>
    <x v="0"/>
    <x v="17"/>
    <n v="-0.27598710470085502"/>
  </r>
  <r>
    <x v="0"/>
    <x v="0"/>
    <x v="0"/>
    <x v="20"/>
    <x v="0"/>
    <x v="0"/>
    <x v="18"/>
    <n v="7.0044292297797003E-2"/>
  </r>
  <r>
    <x v="0"/>
    <x v="0"/>
    <x v="0"/>
    <x v="20"/>
    <x v="0"/>
    <x v="0"/>
    <x v="19"/>
    <n v="0.54900000000000004"/>
  </r>
  <r>
    <x v="0"/>
    <x v="0"/>
    <x v="0"/>
    <x v="20"/>
    <x v="0"/>
    <x v="0"/>
    <x v="20"/>
    <n v="-0.54"/>
  </r>
  <r>
    <x v="0"/>
    <x v="0"/>
    <x v="0"/>
    <x v="20"/>
    <x v="0"/>
    <x v="0"/>
    <x v="21"/>
    <n v="-0.54"/>
  </r>
  <r>
    <x v="0"/>
    <x v="0"/>
    <x v="0"/>
    <x v="20"/>
    <x v="0"/>
    <x v="0"/>
    <x v="22"/>
    <n v="-0.54"/>
  </r>
  <r>
    <x v="0"/>
    <x v="0"/>
    <x v="0"/>
    <x v="20"/>
    <x v="0"/>
    <x v="0"/>
    <x v="23"/>
    <n v="-0.54"/>
  </r>
  <r>
    <x v="0"/>
    <x v="0"/>
    <x v="0"/>
    <x v="20"/>
    <x v="3"/>
    <x v="0"/>
    <x v="0"/>
    <n v="0"/>
  </r>
  <r>
    <x v="0"/>
    <x v="0"/>
    <x v="0"/>
    <x v="20"/>
    <x v="3"/>
    <x v="0"/>
    <x v="1"/>
    <n v="0"/>
  </r>
  <r>
    <x v="0"/>
    <x v="0"/>
    <x v="0"/>
    <x v="20"/>
    <x v="3"/>
    <x v="0"/>
    <x v="2"/>
    <n v="-0.314572009276118"/>
  </r>
  <r>
    <x v="0"/>
    <x v="0"/>
    <x v="0"/>
    <x v="20"/>
    <x v="3"/>
    <x v="0"/>
    <x v="3"/>
    <n v="-0.33629209466305598"/>
  </r>
  <r>
    <x v="0"/>
    <x v="0"/>
    <x v="0"/>
    <x v="20"/>
    <x v="3"/>
    <x v="0"/>
    <x v="4"/>
    <n v="-0.38716593380803599"/>
  </r>
  <r>
    <x v="0"/>
    <x v="0"/>
    <x v="0"/>
    <x v="20"/>
    <x v="3"/>
    <x v="0"/>
    <x v="5"/>
    <n v="0"/>
  </r>
  <r>
    <x v="0"/>
    <x v="0"/>
    <x v="0"/>
    <x v="20"/>
    <x v="3"/>
    <x v="0"/>
    <x v="6"/>
    <n v="0.122613334227735"/>
  </r>
  <r>
    <x v="0"/>
    <x v="0"/>
    <x v="0"/>
    <x v="20"/>
    <x v="3"/>
    <x v="0"/>
    <x v="7"/>
    <n v="-0.43750565910044698"/>
  </r>
  <r>
    <x v="0"/>
    <x v="0"/>
    <x v="0"/>
    <x v="20"/>
    <x v="3"/>
    <x v="0"/>
    <x v="8"/>
    <n v="-0.66093157408007996"/>
  </r>
  <r>
    <x v="0"/>
    <x v="0"/>
    <x v="0"/>
    <x v="20"/>
    <x v="3"/>
    <x v="0"/>
    <x v="9"/>
    <n v="-0.46081304647998"/>
  </r>
  <r>
    <x v="0"/>
    <x v="0"/>
    <x v="0"/>
    <x v="20"/>
    <x v="3"/>
    <x v="0"/>
    <x v="10"/>
    <n v="-1.29090469303629E-2"/>
  </r>
  <r>
    <x v="0"/>
    <x v="0"/>
    <x v="0"/>
    <x v="20"/>
    <x v="3"/>
    <x v="0"/>
    <x v="11"/>
    <n v="-0.34980981020145302"/>
  </r>
  <r>
    <x v="0"/>
    <x v="0"/>
    <x v="0"/>
    <x v="20"/>
    <x v="3"/>
    <x v="0"/>
    <x v="12"/>
    <n v="-0.37003525462870102"/>
  </r>
  <r>
    <x v="0"/>
    <x v="0"/>
    <x v="0"/>
    <x v="20"/>
    <x v="3"/>
    <x v="0"/>
    <x v="13"/>
    <n v="-0.36833139753863797"/>
  </r>
  <r>
    <x v="0"/>
    <x v="0"/>
    <x v="0"/>
    <x v="20"/>
    <x v="3"/>
    <x v="0"/>
    <x v="14"/>
    <n v="-0.20796625521446299"/>
  </r>
  <r>
    <x v="0"/>
    <x v="0"/>
    <x v="0"/>
    <x v="20"/>
    <x v="3"/>
    <x v="0"/>
    <x v="15"/>
    <n v="-4.8631742204695703E-2"/>
  </r>
  <r>
    <x v="0"/>
    <x v="0"/>
    <x v="0"/>
    <x v="20"/>
    <x v="3"/>
    <x v="0"/>
    <x v="16"/>
    <n v="-1.8002631936596802E-2"/>
  </r>
  <r>
    <x v="0"/>
    <x v="0"/>
    <x v="0"/>
    <x v="20"/>
    <x v="3"/>
    <x v="0"/>
    <x v="17"/>
    <n v="0"/>
  </r>
  <r>
    <x v="0"/>
    <x v="0"/>
    <x v="0"/>
    <x v="20"/>
    <x v="3"/>
    <x v="0"/>
    <x v="18"/>
    <n v="-6.01306047579915E-2"/>
  </r>
  <r>
    <x v="0"/>
    <x v="0"/>
    <x v="0"/>
    <x v="20"/>
    <x v="3"/>
    <x v="0"/>
    <x v="19"/>
    <n v="-0.48236331229977703"/>
  </r>
  <r>
    <x v="0"/>
    <x v="0"/>
    <x v="0"/>
    <x v="20"/>
    <x v="3"/>
    <x v="0"/>
    <x v="20"/>
    <n v="-1.26460545501129"/>
  </r>
  <r>
    <x v="0"/>
    <x v="0"/>
    <x v="0"/>
    <x v="20"/>
    <x v="3"/>
    <x v="0"/>
    <x v="21"/>
    <n v="-1.4250833485102601"/>
  </r>
  <r>
    <x v="0"/>
    <x v="0"/>
    <x v="0"/>
    <x v="20"/>
    <x v="3"/>
    <x v="0"/>
    <x v="22"/>
    <n v="-1.53"/>
  </r>
  <r>
    <x v="0"/>
    <x v="0"/>
    <x v="0"/>
    <x v="20"/>
    <x v="3"/>
    <x v="0"/>
    <x v="23"/>
    <n v="-1.2214907324561799"/>
  </r>
  <r>
    <x v="0"/>
    <x v="0"/>
    <x v="0"/>
    <x v="20"/>
    <x v="17"/>
    <x v="0"/>
    <x v="0"/>
    <n v="0"/>
  </r>
  <r>
    <x v="0"/>
    <x v="0"/>
    <x v="0"/>
    <x v="20"/>
    <x v="17"/>
    <x v="0"/>
    <x v="1"/>
    <n v="0"/>
  </r>
  <r>
    <x v="0"/>
    <x v="0"/>
    <x v="0"/>
    <x v="20"/>
    <x v="17"/>
    <x v="0"/>
    <x v="2"/>
    <n v="0"/>
  </r>
  <r>
    <x v="0"/>
    <x v="0"/>
    <x v="0"/>
    <x v="20"/>
    <x v="17"/>
    <x v="0"/>
    <x v="3"/>
    <n v="0"/>
  </r>
  <r>
    <x v="0"/>
    <x v="0"/>
    <x v="0"/>
    <x v="20"/>
    <x v="17"/>
    <x v="0"/>
    <x v="4"/>
    <n v="0"/>
  </r>
  <r>
    <x v="0"/>
    <x v="0"/>
    <x v="0"/>
    <x v="20"/>
    <x v="17"/>
    <x v="0"/>
    <x v="5"/>
    <n v="0"/>
  </r>
  <r>
    <x v="0"/>
    <x v="0"/>
    <x v="0"/>
    <x v="20"/>
    <x v="17"/>
    <x v="0"/>
    <x v="6"/>
    <n v="-0.22447640608011901"/>
  </r>
  <r>
    <x v="0"/>
    <x v="0"/>
    <x v="0"/>
    <x v="20"/>
    <x v="17"/>
    <x v="0"/>
    <x v="7"/>
    <n v="0"/>
  </r>
  <r>
    <x v="0"/>
    <x v="0"/>
    <x v="0"/>
    <x v="20"/>
    <x v="17"/>
    <x v="0"/>
    <x v="8"/>
    <n v="0.278541900083422"/>
  </r>
  <r>
    <x v="0"/>
    <x v="0"/>
    <x v="0"/>
    <x v="20"/>
    <x v="17"/>
    <x v="0"/>
    <x v="9"/>
    <n v="0.53219144390830297"/>
  </r>
  <r>
    <x v="0"/>
    <x v="0"/>
    <x v="0"/>
    <x v="20"/>
    <x v="17"/>
    <x v="0"/>
    <x v="10"/>
    <n v="0.54788926310972397"/>
  </r>
  <r>
    <x v="0"/>
    <x v="0"/>
    <x v="0"/>
    <x v="20"/>
    <x v="17"/>
    <x v="0"/>
    <x v="11"/>
    <n v="0.63"/>
  </r>
  <r>
    <x v="0"/>
    <x v="0"/>
    <x v="0"/>
    <x v="20"/>
    <x v="17"/>
    <x v="0"/>
    <x v="12"/>
    <n v="0.63"/>
  </r>
  <r>
    <x v="0"/>
    <x v="0"/>
    <x v="0"/>
    <x v="20"/>
    <x v="17"/>
    <x v="0"/>
    <x v="13"/>
    <n v="0.63"/>
  </r>
  <r>
    <x v="0"/>
    <x v="0"/>
    <x v="0"/>
    <x v="20"/>
    <x v="17"/>
    <x v="0"/>
    <x v="14"/>
    <n v="0.59158977314938999"/>
  </r>
  <r>
    <x v="0"/>
    <x v="0"/>
    <x v="0"/>
    <x v="20"/>
    <x v="17"/>
    <x v="0"/>
    <x v="15"/>
    <n v="0.55468294988057398"/>
  </r>
  <r>
    <x v="0"/>
    <x v="0"/>
    <x v="0"/>
    <x v="20"/>
    <x v="17"/>
    <x v="0"/>
    <x v="16"/>
    <n v="0.61478834727049303"/>
  </r>
  <r>
    <x v="0"/>
    <x v="0"/>
    <x v="0"/>
    <x v="20"/>
    <x v="17"/>
    <x v="0"/>
    <x v="17"/>
    <n v="0.63"/>
  </r>
  <r>
    <x v="0"/>
    <x v="0"/>
    <x v="0"/>
    <x v="20"/>
    <x v="17"/>
    <x v="0"/>
    <x v="18"/>
    <n v="0.63"/>
  </r>
  <r>
    <x v="0"/>
    <x v="0"/>
    <x v="0"/>
    <x v="20"/>
    <x v="17"/>
    <x v="0"/>
    <x v="19"/>
    <n v="0.60980549194692302"/>
  </r>
  <r>
    <x v="0"/>
    <x v="0"/>
    <x v="0"/>
    <x v="20"/>
    <x v="17"/>
    <x v="0"/>
    <x v="20"/>
    <n v="0"/>
  </r>
  <r>
    <x v="0"/>
    <x v="0"/>
    <x v="0"/>
    <x v="20"/>
    <x v="17"/>
    <x v="0"/>
    <x v="21"/>
    <n v="0"/>
  </r>
  <r>
    <x v="0"/>
    <x v="0"/>
    <x v="0"/>
    <x v="20"/>
    <x v="17"/>
    <x v="0"/>
    <x v="22"/>
    <n v="0"/>
  </r>
  <r>
    <x v="0"/>
    <x v="0"/>
    <x v="0"/>
    <x v="20"/>
    <x v="17"/>
    <x v="0"/>
    <x v="23"/>
    <n v="0"/>
  </r>
  <r>
    <x v="0"/>
    <x v="0"/>
    <x v="0"/>
    <x v="20"/>
    <x v="4"/>
    <x v="0"/>
    <x v="0"/>
    <n v="1.76363234315228"/>
  </r>
  <r>
    <x v="0"/>
    <x v="0"/>
    <x v="0"/>
    <x v="20"/>
    <x v="4"/>
    <x v="0"/>
    <x v="1"/>
    <n v="2.08374605769027"/>
  </r>
  <r>
    <x v="0"/>
    <x v="0"/>
    <x v="0"/>
    <x v="20"/>
    <x v="4"/>
    <x v="0"/>
    <x v="2"/>
    <n v="2.2325036261872402"/>
  </r>
  <r>
    <x v="0"/>
    <x v="0"/>
    <x v="0"/>
    <x v="20"/>
    <x v="4"/>
    <x v="0"/>
    <x v="3"/>
    <n v="1.9770961797963"/>
  </r>
  <r>
    <x v="0"/>
    <x v="0"/>
    <x v="0"/>
    <x v="20"/>
    <x v="4"/>
    <x v="0"/>
    <x v="4"/>
    <n v="2.5055543916064802"/>
  </r>
  <r>
    <x v="0"/>
    <x v="0"/>
    <x v="0"/>
    <x v="20"/>
    <x v="4"/>
    <x v="0"/>
    <x v="5"/>
    <n v="4.6106298005847401"/>
  </r>
  <r>
    <x v="0"/>
    <x v="0"/>
    <x v="0"/>
    <x v="20"/>
    <x v="4"/>
    <x v="0"/>
    <x v="6"/>
    <n v="4.9432738027502303"/>
  </r>
  <r>
    <x v="0"/>
    <x v="0"/>
    <x v="0"/>
    <x v="20"/>
    <x v="4"/>
    <x v="0"/>
    <x v="7"/>
    <n v="4.9432738027502303"/>
  </r>
  <r>
    <x v="0"/>
    <x v="0"/>
    <x v="0"/>
    <x v="20"/>
    <x v="4"/>
    <x v="0"/>
    <x v="8"/>
    <n v="4.9432738027502303"/>
  </r>
  <r>
    <x v="0"/>
    <x v="0"/>
    <x v="0"/>
    <x v="20"/>
    <x v="4"/>
    <x v="0"/>
    <x v="9"/>
    <n v="4.9432738027502303"/>
  </r>
  <r>
    <x v="0"/>
    <x v="0"/>
    <x v="0"/>
    <x v="20"/>
    <x v="4"/>
    <x v="0"/>
    <x v="10"/>
    <n v="4.9432738027502303"/>
  </r>
  <r>
    <x v="0"/>
    <x v="0"/>
    <x v="0"/>
    <x v="20"/>
    <x v="4"/>
    <x v="0"/>
    <x v="11"/>
    <n v="4.9432738027502303"/>
  </r>
  <r>
    <x v="0"/>
    <x v="0"/>
    <x v="0"/>
    <x v="20"/>
    <x v="4"/>
    <x v="0"/>
    <x v="12"/>
    <n v="4.9432738027502303"/>
  </r>
  <r>
    <x v="0"/>
    <x v="0"/>
    <x v="0"/>
    <x v="20"/>
    <x v="4"/>
    <x v="0"/>
    <x v="13"/>
    <n v="4.9432738027502303"/>
  </r>
  <r>
    <x v="0"/>
    <x v="0"/>
    <x v="0"/>
    <x v="20"/>
    <x v="4"/>
    <x v="0"/>
    <x v="14"/>
    <n v="4.9432738027502303"/>
  </r>
  <r>
    <x v="0"/>
    <x v="0"/>
    <x v="0"/>
    <x v="20"/>
    <x v="4"/>
    <x v="0"/>
    <x v="15"/>
    <n v="4.9432738027502303"/>
  </r>
  <r>
    <x v="0"/>
    <x v="0"/>
    <x v="0"/>
    <x v="20"/>
    <x v="4"/>
    <x v="0"/>
    <x v="16"/>
    <n v="4.9432738027502303"/>
  </r>
  <r>
    <x v="0"/>
    <x v="0"/>
    <x v="0"/>
    <x v="20"/>
    <x v="4"/>
    <x v="0"/>
    <x v="17"/>
    <n v="4.9432738027502303"/>
  </r>
  <r>
    <x v="0"/>
    <x v="0"/>
    <x v="0"/>
    <x v="20"/>
    <x v="4"/>
    <x v="0"/>
    <x v="18"/>
    <n v="4.9432738027502303"/>
  </r>
  <r>
    <x v="0"/>
    <x v="0"/>
    <x v="0"/>
    <x v="20"/>
    <x v="4"/>
    <x v="0"/>
    <x v="19"/>
    <n v="4.9432738027502303"/>
  </r>
  <r>
    <x v="0"/>
    <x v="0"/>
    <x v="0"/>
    <x v="20"/>
    <x v="4"/>
    <x v="0"/>
    <x v="20"/>
    <n v="4.8953920540805198"/>
  </r>
  <r>
    <x v="0"/>
    <x v="0"/>
    <x v="0"/>
    <x v="20"/>
    <x v="4"/>
    <x v="0"/>
    <x v="21"/>
    <n v="2.6851914678448798"/>
  </r>
  <r>
    <x v="0"/>
    <x v="0"/>
    <x v="0"/>
    <x v="20"/>
    <x v="4"/>
    <x v="0"/>
    <x v="22"/>
    <n v="3.3632033732890498"/>
  </r>
  <r>
    <x v="0"/>
    <x v="0"/>
    <x v="0"/>
    <x v="20"/>
    <x v="4"/>
    <x v="0"/>
    <x v="23"/>
    <n v="3.2494216030696101"/>
  </r>
  <r>
    <x v="0"/>
    <x v="0"/>
    <x v="0"/>
    <x v="20"/>
    <x v="10"/>
    <x v="0"/>
    <x v="0"/>
    <n v="-2.35464672855402"/>
  </r>
  <r>
    <x v="0"/>
    <x v="0"/>
    <x v="0"/>
    <x v="20"/>
    <x v="10"/>
    <x v="0"/>
    <x v="1"/>
    <n v="-2.6431624469194999"/>
  </r>
  <r>
    <x v="0"/>
    <x v="0"/>
    <x v="0"/>
    <x v="20"/>
    <x v="10"/>
    <x v="0"/>
    <x v="2"/>
    <n v="-2.4969582422137999"/>
  </r>
  <r>
    <x v="0"/>
    <x v="0"/>
    <x v="0"/>
    <x v="20"/>
    <x v="10"/>
    <x v="0"/>
    <x v="3"/>
    <n v="-2.2190859095791802"/>
  </r>
  <r>
    <x v="0"/>
    <x v="0"/>
    <x v="0"/>
    <x v="20"/>
    <x v="10"/>
    <x v="0"/>
    <x v="4"/>
    <n v="-2.79213584672988"/>
  </r>
  <r>
    <x v="0"/>
    <x v="0"/>
    <x v="0"/>
    <x v="20"/>
    <x v="10"/>
    <x v="0"/>
    <x v="5"/>
    <n v="-5.5177408579590397"/>
  </r>
  <r>
    <x v="0"/>
    <x v="0"/>
    <x v="0"/>
    <x v="20"/>
    <x v="10"/>
    <x v="0"/>
    <x v="6"/>
    <n v="-6.8883447382169898"/>
  </r>
  <r>
    <x v="0"/>
    <x v="0"/>
    <x v="0"/>
    <x v="20"/>
    <x v="10"/>
    <x v="0"/>
    <x v="7"/>
    <n v="-6.8883447382169898"/>
  </r>
  <r>
    <x v="0"/>
    <x v="0"/>
    <x v="0"/>
    <x v="20"/>
    <x v="10"/>
    <x v="0"/>
    <x v="8"/>
    <n v="-6.8883447382169898"/>
  </r>
  <r>
    <x v="0"/>
    <x v="0"/>
    <x v="0"/>
    <x v="20"/>
    <x v="10"/>
    <x v="0"/>
    <x v="9"/>
    <n v="-6.8883447382169898"/>
  </r>
  <r>
    <x v="0"/>
    <x v="0"/>
    <x v="0"/>
    <x v="20"/>
    <x v="10"/>
    <x v="0"/>
    <x v="10"/>
    <n v="-6.8883447382169898"/>
  </r>
  <r>
    <x v="0"/>
    <x v="0"/>
    <x v="0"/>
    <x v="20"/>
    <x v="10"/>
    <x v="0"/>
    <x v="11"/>
    <n v="-6.8883447382169898"/>
  </r>
  <r>
    <x v="0"/>
    <x v="0"/>
    <x v="0"/>
    <x v="20"/>
    <x v="10"/>
    <x v="0"/>
    <x v="12"/>
    <n v="-6.8883447382169898"/>
  </r>
  <r>
    <x v="0"/>
    <x v="0"/>
    <x v="0"/>
    <x v="20"/>
    <x v="10"/>
    <x v="0"/>
    <x v="13"/>
    <n v="-6.8883447382169898"/>
  </r>
  <r>
    <x v="0"/>
    <x v="0"/>
    <x v="0"/>
    <x v="20"/>
    <x v="10"/>
    <x v="0"/>
    <x v="14"/>
    <n v="-6.8883447382169898"/>
  </r>
  <r>
    <x v="0"/>
    <x v="0"/>
    <x v="0"/>
    <x v="20"/>
    <x v="10"/>
    <x v="0"/>
    <x v="15"/>
    <n v="-6.8883447382169898"/>
  </r>
  <r>
    <x v="0"/>
    <x v="0"/>
    <x v="0"/>
    <x v="20"/>
    <x v="10"/>
    <x v="0"/>
    <x v="16"/>
    <n v="-6.8883447382169898"/>
  </r>
  <r>
    <x v="0"/>
    <x v="0"/>
    <x v="0"/>
    <x v="20"/>
    <x v="10"/>
    <x v="0"/>
    <x v="17"/>
    <n v="-6.8883447382169898"/>
  </r>
  <r>
    <x v="0"/>
    <x v="0"/>
    <x v="0"/>
    <x v="20"/>
    <x v="10"/>
    <x v="0"/>
    <x v="18"/>
    <n v="-6.8883447382169898"/>
  </r>
  <r>
    <x v="0"/>
    <x v="0"/>
    <x v="0"/>
    <x v="20"/>
    <x v="10"/>
    <x v="0"/>
    <x v="19"/>
    <n v="-6.8883447382169898"/>
  </r>
  <r>
    <x v="0"/>
    <x v="0"/>
    <x v="0"/>
    <x v="20"/>
    <x v="10"/>
    <x v="0"/>
    <x v="20"/>
    <n v="-4.4756315412151402"/>
  </r>
  <r>
    <x v="0"/>
    <x v="0"/>
    <x v="0"/>
    <x v="20"/>
    <x v="10"/>
    <x v="0"/>
    <x v="21"/>
    <n v="-1.89056165119015"/>
  </r>
  <r>
    <x v="0"/>
    <x v="0"/>
    <x v="0"/>
    <x v="20"/>
    <x v="10"/>
    <x v="0"/>
    <x v="22"/>
    <n v="-2.1526917283272202"/>
  </r>
  <r>
    <x v="0"/>
    <x v="0"/>
    <x v="0"/>
    <x v="20"/>
    <x v="10"/>
    <x v="0"/>
    <x v="23"/>
    <n v="-2.1845451154072699"/>
  </r>
  <r>
    <x v="0"/>
    <x v="0"/>
    <x v="0"/>
    <x v="21"/>
    <x v="6"/>
    <x v="0"/>
    <x v="0"/>
    <n v="4.2128594142529299E-2"/>
  </r>
  <r>
    <x v="0"/>
    <x v="0"/>
    <x v="0"/>
    <x v="21"/>
    <x v="6"/>
    <x v="0"/>
    <x v="1"/>
    <n v="4.2128594142529299E-2"/>
  </r>
  <r>
    <x v="0"/>
    <x v="0"/>
    <x v="0"/>
    <x v="21"/>
    <x v="6"/>
    <x v="0"/>
    <x v="2"/>
    <n v="4.2128594142529299E-2"/>
  </r>
  <r>
    <x v="0"/>
    <x v="0"/>
    <x v="0"/>
    <x v="21"/>
    <x v="6"/>
    <x v="0"/>
    <x v="3"/>
    <n v="4.2128594142529299E-2"/>
  </r>
  <r>
    <x v="0"/>
    <x v="0"/>
    <x v="0"/>
    <x v="21"/>
    <x v="6"/>
    <x v="0"/>
    <x v="4"/>
    <n v="4.2128594142529299E-2"/>
  </r>
  <r>
    <x v="0"/>
    <x v="0"/>
    <x v="0"/>
    <x v="21"/>
    <x v="6"/>
    <x v="0"/>
    <x v="5"/>
    <n v="4.2128594142529299E-2"/>
  </r>
  <r>
    <x v="0"/>
    <x v="0"/>
    <x v="0"/>
    <x v="21"/>
    <x v="6"/>
    <x v="0"/>
    <x v="6"/>
    <n v="4.2128594142529299E-2"/>
  </r>
  <r>
    <x v="0"/>
    <x v="0"/>
    <x v="0"/>
    <x v="21"/>
    <x v="6"/>
    <x v="0"/>
    <x v="7"/>
    <n v="4.2128594142529299E-2"/>
  </r>
  <r>
    <x v="0"/>
    <x v="0"/>
    <x v="0"/>
    <x v="21"/>
    <x v="6"/>
    <x v="0"/>
    <x v="8"/>
    <n v="4.2128594142529299E-2"/>
  </r>
  <r>
    <x v="0"/>
    <x v="0"/>
    <x v="0"/>
    <x v="21"/>
    <x v="6"/>
    <x v="0"/>
    <x v="9"/>
    <n v="4.2128594142529299E-2"/>
  </r>
  <r>
    <x v="0"/>
    <x v="0"/>
    <x v="0"/>
    <x v="21"/>
    <x v="6"/>
    <x v="0"/>
    <x v="10"/>
    <n v="4.2128594142529299E-2"/>
  </r>
  <r>
    <x v="0"/>
    <x v="0"/>
    <x v="0"/>
    <x v="21"/>
    <x v="6"/>
    <x v="0"/>
    <x v="11"/>
    <n v="4.2128594142529299E-2"/>
  </r>
  <r>
    <x v="0"/>
    <x v="0"/>
    <x v="0"/>
    <x v="21"/>
    <x v="6"/>
    <x v="0"/>
    <x v="12"/>
    <n v="4.2128594142529299E-2"/>
  </r>
  <r>
    <x v="0"/>
    <x v="0"/>
    <x v="0"/>
    <x v="21"/>
    <x v="6"/>
    <x v="0"/>
    <x v="13"/>
    <n v="4.2128594142529299E-2"/>
  </r>
  <r>
    <x v="0"/>
    <x v="0"/>
    <x v="0"/>
    <x v="21"/>
    <x v="6"/>
    <x v="0"/>
    <x v="14"/>
    <n v="4.2128594142529299E-2"/>
  </r>
  <r>
    <x v="0"/>
    <x v="0"/>
    <x v="0"/>
    <x v="21"/>
    <x v="6"/>
    <x v="0"/>
    <x v="15"/>
    <n v="4.2128594142529299E-2"/>
  </r>
  <r>
    <x v="0"/>
    <x v="0"/>
    <x v="0"/>
    <x v="21"/>
    <x v="6"/>
    <x v="0"/>
    <x v="16"/>
    <n v="-4.2128594142529299E-2"/>
  </r>
  <r>
    <x v="0"/>
    <x v="0"/>
    <x v="0"/>
    <x v="21"/>
    <x v="6"/>
    <x v="0"/>
    <x v="17"/>
    <n v="-4.2128594142529299E-2"/>
  </r>
  <r>
    <x v="0"/>
    <x v="0"/>
    <x v="0"/>
    <x v="21"/>
    <x v="6"/>
    <x v="0"/>
    <x v="18"/>
    <n v="-4.2128594142529299E-2"/>
  </r>
  <r>
    <x v="0"/>
    <x v="0"/>
    <x v="0"/>
    <x v="21"/>
    <x v="6"/>
    <x v="0"/>
    <x v="19"/>
    <n v="-4.2128594142529299E-2"/>
  </r>
  <r>
    <x v="0"/>
    <x v="0"/>
    <x v="0"/>
    <x v="21"/>
    <x v="6"/>
    <x v="0"/>
    <x v="20"/>
    <n v="0"/>
  </r>
  <r>
    <x v="0"/>
    <x v="0"/>
    <x v="0"/>
    <x v="21"/>
    <x v="6"/>
    <x v="0"/>
    <x v="21"/>
    <n v="4.2128594142529299E-2"/>
  </r>
  <r>
    <x v="0"/>
    <x v="0"/>
    <x v="0"/>
    <x v="21"/>
    <x v="6"/>
    <x v="0"/>
    <x v="22"/>
    <n v="4.2128594142529299E-2"/>
  </r>
  <r>
    <x v="0"/>
    <x v="0"/>
    <x v="0"/>
    <x v="21"/>
    <x v="6"/>
    <x v="0"/>
    <x v="23"/>
    <n v="4.2128594142529299E-2"/>
  </r>
  <r>
    <x v="0"/>
    <x v="0"/>
    <x v="0"/>
    <x v="21"/>
    <x v="9"/>
    <x v="0"/>
    <x v="0"/>
    <n v="0.9"/>
  </r>
  <r>
    <x v="0"/>
    <x v="0"/>
    <x v="0"/>
    <x v="21"/>
    <x v="9"/>
    <x v="0"/>
    <x v="1"/>
    <n v="0.9"/>
  </r>
  <r>
    <x v="0"/>
    <x v="0"/>
    <x v="0"/>
    <x v="21"/>
    <x v="9"/>
    <x v="0"/>
    <x v="2"/>
    <n v="0.9"/>
  </r>
  <r>
    <x v="0"/>
    <x v="0"/>
    <x v="0"/>
    <x v="21"/>
    <x v="9"/>
    <x v="0"/>
    <x v="3"/>
    <n v="0.9"/>
  </r>
  <r>
    <x v="0"/>
    <x v="0"/>
    <x v="0"/>
    <x v="21"/>
    <x v="9"/>
    <x v="0"/>
    <x v="4"/>
    <n v="0.9"/>
  </r>
  <r>
    <x v="0"/>
    <x v="0"/>
    <x v="0"/>
    <x v="21"/>
    <x v="9"/>
    <x v="0"/>
    <x v="5"/>
    <n v="0.9"/>
  </r>
  <r>
    <x v="0"/>
    <x v="0"/>
    <x v="0"/>
    <x v="21"/>
    <x v="9"/>
    <x v="0"/>
    <x v="6"/>
    <n v="0.9"/>
  </r>
  <r>
    <x v="0"/>
    <x v="0"/>
    <x v="0"/>
    <x v="21"/>
    <x v="9"/>
    <x v="0"/>
    <x v="7"/>
    <n v="0.9"/>
  </r>
  <r>
    <x v="0"/>
    <x v="0"/>
    <x v="0"/>
    <x v="21"/>
    <x v="9"/>
    <x v="0"/>
    <x v="8"/>
    <n v="0.9"/>
  </r>
  <r>
    <x v="0"/>
    <x v="0"/>
    <x v="0"/>
    <x v="21"/>
    <x v="9"/>
    <x v="0"/>
    <x v="9"/>
    <n v="0.9"/>
  </r>
  <r>
    <x v="0"/>
    <x v="0"/>
    <x v="0"/>
    <x v="21"/>
    <x v="9"/>
    <x v="0"/>
    <x v="10"/>
    <n v="0.9"/>
  </r>
  <r>
    <x v="0"/>
    <x v="0"/>
    <x v="0"/>
    <x v="21"/>
    <x v="9"/>
    <x v="0"/>
    <x v="11"/>
    <n v="0.9"/>
  </r>
  <r>
    <x v="0"/>
    <x v="0"/>
    <x v="0"/>
    <x v="21"/>
    <x v="9"/>
    <x v="0"/>
    <x v="12"/>
    <n v="0.9"/>
  </r>
  <r>
    <x v="0"/>
    <x v="0"/>
    <x v="0"/>
    <x v="21"/>
    <x v="9"/>
    <x v="0"/>
    <x v="13"/>
    <n v="0.9"/>
  </r>
  <r>
    <x v="0"/>
    <x v="0"/>
    <x v="0"/>
    <x v="21"/>
    <x v="9"/>
    <x v="0"/>
    <x v="14"/>
    <n v="0.9"/>
  </r>
  <r>
    <x v="0"/>
    <x v="0"/>
    <x v="0"/>
    <x v="21"/>
    <x v="9"/>
    <x v="0"/>
    <x v="15"/>
    <n v="0.9"/>
  </r>
  <r>
    <x v="0"/>
    <x v="0"/>
    <x v="0"/>
    <x v="21"/>
    <x v="9"/>
    <x v="0"/>
    <x v="16"/>
    <n v="0"/>
  </r>
  <r>
    <x v="0"/>
    <x v="0"/>
    <x v="0"/>
    <x v="21"/>
    <x v="9"/>
    <x v="0"/>
    <x v="17"/>
    <n v="0"/>
  </r>
  <r>
    <x v="0"/>
    <x v="0"/>
    <x v="0"/>
    <x v="21"/>
    <x v="9"/>
    <x v="0"/>
    <x v="18"/>
    <n v="0"/>
  </r>
  <r>
    <x v="0"/>
    <x v="0"/>
    <x v="0"/>
    <x v="21"/>
    <x v="9"/>
    <x v="0"/>
    <x v="19"/>
    <n v="0"/>
  </r>
  <r>
    <x v="0"/>
    <x v="0"/>
    <x v="0"/>
    <x v="21"/>
    <x v="9"/>
    <x v="0"/>
    <x v="20"/>
    <n v="0.81475611508454904"/>
  </r>
  <r>
    <x v="0"/>
    <x v="0"/>
    <x v="0"/>
    <x v="21"/>
    <x v="9"/>
    <x v="0"/>
    <x v="21"/>
    <n v="0.9"/>
  </r>
  <r>
    <x v="0"/>
    <x v="0"/>
    <x v="0"/>
    <x v="21"/>
    <x v="9"/>
    <x v="0"/>
    <x v="22"/>
    <n v="0.9"/>
  </r>
  <r>
    <x v="0"/>
    <x v="0"/>
    <x v="0"/>
    <x v="21"/>
    <x v="9"/>
    <x v="0"/>
    <x v="23"/>
    <n v="0.9"/>
  </r>
  <r>
    <x v="0"/>
    <x v="0"/>
    <x v="0"/>
    <x v="21"/>
    <x v="7"/>
    <x v="0"/>
    <x v="0"/>
    <n v="0"/>
  </r>
  <r>
    <x v="0"/>
    <x v="0"/>
    <x v="0"/>
    <x v="21"/>
    <x v="7"/>
    <x v="0"/>
    <x v="1"/>
    <n v="0"/>
  </r>
  <r>
    <x v="0"/>
    <x v="0"/>
    <x v="0"/>
    <x v="21"/>
    <x v="7"/>
    <x v="0"/>
    <x v="2"/>
    <n v="0"/>
  </r>
  <r>
    <x v="0"/>
    <x v="0"/>
    <x v="0"/>
    <x v="21"/>
    <x v="7"/>
    <x v="0"/>
    <x v="3"/>
    <n v="0"/>
  </r>
  <r>
    <x v="0"/>
    <x v="0"/>
    <x v="0"/>
    <x v="21"/>
    <x v="7"/>
    <x v="0"/>
    <x v="4"/>
    <n v="0"/>
  </r>
  <r>
    <x v="0"/>
    <x v="0"/>
    <x v="0"/>
    <x v="21"/>
    <x v="7"/>
    <x v="0"/>
    <x v="5"/>
    <n v="0"/>
  </r>
  <r>
    <x v="0"/>
    <x v="0"/>
    <x v="0"/>
    <x v="21"/>
    <x v="7"/>
    <x v="0"/>
    <x v="6"/>
    <n v="0"/>
  </r>
  <r>
    <x v="0"/>
    <x v="0"/>
    <x v="0"/>
    <x v="21"/>
    <x v="7"/>
    <x v="0"/>
    <x v="7"/>
    <n v="0"/>
  </r>
  <r>
    <x v="0"/>
    <x v="0"/>
    <x v="0"/>
    <x v="21"/>
    <x v="7"/>
    <x v="0"/>
    <x v="8"/>
    <n v="0"/>
  </r>
  <r>
    <x v="0"/>
    <x v="0"/>
    <x v="0"/>
    <x v="21"/>
    <x v="7"/>
    <x v="0"/>
    <x v="9"/>
    <n v="0"/>
  </r>
  <r>
    <x v="0"/>
    <x v="0"/>
    <x v="0"/>
    <x v="21"/>
    <x v="7"/>
    <x v="0"/>
    <x v="10"/>
    <n v="0"/>
  </r>
  <r>
    <x v="0"/>
    <x v="0"/>
    <x v="0"/>
    <x v="21"/>
    <x v="7"/>
    <x v="0"/>
    <x v="11"/>
    <n v="0"/>
  </r>
  <r>
    <x v="0"/>
    <x v="0"/>
    <x v="0"/>
    <x v="21"/>
    <x v="7"/>
    <x v="0"/>
    <x v="12"/>
    <n v="0"/>
  </r>
  <r>
    <x v="0"/>
    <x v="0"/>
    <x v="0"/>
    <x v="21"/>
    <x v="7"/>
    <x v="0"/>
    <x v="13"/>
    <n v="0"/>
  </r>
  <r>
    <x v="0"/>
    <x v="0"/>
    <x v="0"/>
    <x v="21"/>
    <x v="7"/>
    <x v="0"/>
    <x v="14"/>
    <n v="0"/>
  </r>
  <r>
    <x v="0"/>
    <x v="0"/>
    <x v="0"/>
    <x v="21"/>
    <x v="7"/>
    <x v="0"/>
    <x v="15"/>
    <n v="0"/>
  </r>
  <r>
    <x v="0"/>
    <x v="0"/>
    <x v="0"/>
    <x v="21"/>
    <x v="7"/>
    <x v="0"/>
    <x v="16"/>
    <n v="0"/>
  </r>
  <r>
    <x v="0"/>
    <x v="0"/>
    <x v="0"/>
    <x v="21"/>
    <x v="7"/>
    <x v="0"/>
    <x v="17"/>
    <n v="0"/>
  </r>
  <r>
    <x v="0"/>
    <x v="0"/>
    <x v="0"/>
    <x v="21"/>
    <x v="7"/>
    <x v="0"/>
    <x v="18"/>
    <n v="0"/>
  </r>
  <r>
    <x v="0"/>
    <x v="0"/>
    <x v="0"/>
    <x v="21"/>
    <x v="7"/>
    <x v="0"/>
    <x v="19"/>
    <n v="0"/>
  </r>
  <r>
    <x v="0"/>
    <x v="0"/>
    <x v="0"/>
    <x v="21"/>
    <x v="7"/>
    <x v="0"/>
    <x v="20"/>
    <n v="0"/>
  </r>
  <r>
    <x v="0"/>
    <x v="0"/>
    <x v="0"/>
    <x v="21"/>
    <x v="7"/>
    <x v="0"/>
    <x v="21"/>
    <n v="0"/>
  </r>
  <r>
    <x v="0"/>
    <x v="0"/>
    <x v="0"/>
    <x v="21"/>
    <x v="7"/>
    <x v="0"/>
    <x v="22"/>
    <n v="0"/>
  </r>
  <r>
    <x v="0"/>
    <x v="0"/>
    <x v="0"/>
    <x v="21"/>
    <x v="7"/>
    <x v="0"/>
    <x v="23"/>
    <n v="0"/>
  </r>
</pivotCacheRecords>
</file>

<file path=xl/pivotCache/pivotCacheRecords13.xml><?xml version="1.0" encoding="utf-8"?>
<pivotCacheRecords xmlns="http://schemas.openxmlformats.org/spreadsheetml/2006/main" xmlns:r="http://schemas.openxmlformats.org/officeDocument/2006/relationships" count="92">
  <r>
    <x v="0"/>
    <x v="0"/>
    <x v="0"/>
    <x v="0"/>
    <x v="0"/>
    <x v="0"/>
    <x v="0"/>
    <n v="3821.6418914982"/>
  </r>
  <r>
    <x v="0"/>
    <x v="0"/>
    <x v="0"/>
    <x v="0"/>
    <x v="0"/>
    <x v="1"/>
    <x v="1"/>
    <n v="8388.1458567291302"/>
  </r>
  <r>
    <x v="0"/>
    <x v="0"/>
    <x v="0"/>
    <x v="0"/>
    <x v="0"/>
    <x v="2"/>
    <x v="2"/>
    <n v="0"/>
  </r>
  <r>
    <x v="0"/>
    <x v="0"/>
    <x v="0"/>
    <x v="0"/>
    <x v="0"/>
    <x v="3"/>
    <x v="3"/>
    <n v="1924.42616653402"/>
  </r>
  <r>
    <x v="0"/>
    <x v="0"/>
    <x v="0"/>
    <x v="0"/>
    <x v="0"/>
    <x v="4"/>
    <x v="4"/>
    <n v="2347.3386734106398"/>
  </r>
  <r>
    <x v="0"/>
    <x v="0"/>
    <x v="0"/>
    <x v="0"/>
    <x v="0"/>
    <x v="5"/>
    <x v="5"/>
    <n v="61.507747448092701"/>
  </r>
  <r>
    <x v="0"/>
    <x v="0"/>
    <x v="0"/>
    <x v="0"/>
    <x v="1"/>
    <x v="0"/>
    <x v="6"/>
    <n v="0"/>
  </r>
  <r>
    <x v="0"/>
    <x v="0"/>
    <x v="0"/>
    <x v="0"/>
    <x v="1"/>
    <x v="1"/>
    <x v="7"/>
    <n v="2283.4909290757601"/>
  </r>
  <r>
    <x v="0"/>
    <x v="0"/>
    <x v="0"/>
    <x v="0"/>
    <x v="1"/>
    <x v="1"/>
    <x v="1"/>
    <n v="0"/>
  </r>
  <r>
    <x v="0"/>
    <x v="0"/>
    <x v="0"/>
    <x v="0"/>
    <x v="1"/>
    <x v="4"/>
    <x v="8"/>
    <n v="3634.1735668208198"/>
  </r>
  <r>
    <x v="0"/>
    <x v="0"/>
    <x v="0"/>
    <x v="1"/>
    <x v="2"/>
    <x v="6"/>
    <x v="9"/>
    <n v="0"/>
  </r>
  <r>
    <x v="0"/>
    <x v="0"/>
    <x v="0"/>
    <x v="1"/>
    <x v="2"/>
    <x v="7"/>
    <x v="10"/>
    <n v="1573.80465101241"/>
  </r>
  <r>
    <x v="0"/>
    <x v="0"/>
    <x v="0"/>
    <x v="1"/>
    <x v="2"/>
    <x v="4"/>
    <x v="4"/>
    <n v="0"/>
  </r>
  <r>
    <x v="0"/>
    <x v="0"/>
    <x v="0"/>
    <x v="2"/>
    <x v="3"/>
    <x v="8"/>
    <x v="11"/>
    <n v="5517.9323773531896"/>
  </r>
  <r>
    <x v="0"/>
    <x v="0"/>
    <x v="0"/>
    <x v="2"/>
    <x v="3"/>
    <x v="3"/>
    <x v="12"/>
    <n v="0"/>
  </r>
  <r>
    <x v="0"/>
    <x v="0"/>
    <x v="0"/>
    <x v="2"/>
    <x v="3"/>
    <x v="4"/>
    <x v="13"/>
    <n v="0"/>
  </r>
  <r>
    <x v="0"/>
    <x v="0"/>
    <x v="0"/>
    <x v="2"/>
    <x v="3"/>
    <x v="4"/>
    <x v="4"/>
    <n v="2032.24273821615"/>
  </r>
  <r>
    <x v="0"/>
    <x v="0"/>
    <x v="0"/>
    <x v="3"/>
    <x v="4"/>
    <x v="0"/>
    <x v="0"/>
    <n v="0"/>
  </r>
  <r>
    <x v="0"/>
    <x v="0"/>
    <x v="0"/>
    <x v="3"/>
    <x v="4"/>
    <x v="1"/>
    <x v="1"/>
    <n v="0"/>
  </r>
  <r>
    <x v="0"/>
    <x v="0"/>
    <x v="0"/>
    <x v="3"/>
    <x v="4"/>
    <x v="1"/>
    <x v="14"/>
    <n v="0"/>
  </r>
  <r>
    <x v="0"/>
    <x v="0"/>
    <x v="0"/>
    <x v="3"/>
    <x v="4"/>
    <x v="1"/>
    <x v="15"/>
    <n v="0"/>
  </r>
  <r>
    <x v="0"/>
    <x v="0"/>
    <x v="0"/>
    <x v="3"/>
    <x v="4"/>
    <x v="9"/>
    <x v="16"/>
    <n v="94165.451056604303"/>
  </r>
  <r>
    <x v="0"/>
    <x v="0"/>
    <x v="0"/>
    <x v="3"/>
    <x v="5"/>
    <x v="0"/>
    <x v="6"/>
    <n v="0"/>
  </r>
  <r>
    <x v="0"/>
    <x v="0"/>
    <x v="0"/>
    <x v="3"/>
    <x v="5"/>
    <x v="0"/>
    <x v="0"/>
    <n v="0"/>
  </r>
  <r>
    <x v="0"/>
    <x v="0"/>
    <x v="0"/>
    <x v="3"/>
    <x v="5"/>
    <x v="1"/>
    <x v="7"/>
    <n v="17441.529743949999"/>
  </r>
  <r>
    <x v="0"/>
    <x v="0"/>
    <x v="0"/>
    <x v="3"/>
    <x v="5"/>
    <x v="1"/>
    <x v="15"/>
    <n v="2713.5043159770298"/>
  </r>
  <r>
    <x v="0"/>
    <x v="0"/>
    <x v="0"/>
    <x v="3"/>
    <x v="5"/>
    <x v="3"/>
    <x v="3"/>
    <n v="0"/>
  </r>
  <r>
    <x v="0"/>
    <x v="0"/>
    <x v="0"/>
    <x v="3"/>
    <x v="5"/>
    <x v="4"/>
    <x v="8"/>
    <n v="3258.93459917784"/>
  </r>
  <r>
    <x v="0"/>
    <x v="0"/>
    <x v="0"/>
    <x v="3"/>
    <x v="6"/>
    <x v="1"/>
    <x v="7"/>
    <n v="23658.547656762901"/>
  </r>
  <r>
    <x v="0"/>
    <x v="0"/>
    <x v="0"/>
    <x v="3"/>
    <x v="6"/>
    <x v="1"/>
    <x v="15"/>
    <n v="23070.6143474575"/>
  </r>
  <r>
    <x v="0"/>
    <x v="0"/>
    <x v="0"/>
    <x v="3"/>
    <x v="6"/>
    <x v="2"/>
    <x v="2"/>
    <n v="0"/>
  </r>
  <r>
    <x v="0"/>
    <x v="0"/>
    <x v="0"/>
    <x v="3"/>
    <x v="7"/>
    <x v="1"/>
    <x v="7"/>
    <n v="32513.860685030701"/>
  </r>
  <r>
    <x v="0"/>
    <x v="0"/>
    <x v="0"/>
    <x v="3"/>
    <x v="7"/>
    <x v="1"/>
    <x v="1"/>
    <n v="0"/>
  </r>
  <r>
    <x v="0"/>
    <x v="0"/>
    <x v="0"/>
    <x v="3"/>
    <x v="7"/>
    <x v="1"/>
    <x v="14"/>
    <n v="0"/>
  </r>
  <r>
    <x v="0"/>
    <x v="0"/>
    <x v="0"/>
    <x v="3"/>
    <x v="7"/>
    <x v="2"/>
    <x v="2"/>
    <n v="0"/>
  </r>
  <r>
    <x v="0"/>
    <x v="0"/>
    <x v="0"/>
    <x v="4"/>
    <x v="8"/>
    <x v="8"/>
    <x v="11"/>
    <n v="1071.4414130662899"/>
  </r>
  <r>
    <x v="0"/>
    <x v="0"/>
    <x v="0"/>
    <x v="4"/>
    <x v="8"/>
    <x v="10"/>
    <x v="17"/>
    <n v="2742.1025899720198"/>
  </r>
  <r>
    <x v="0"/>
    <x v="0"/>
    <x v="0"/>
    <x v="4"/>
    <x v="8"/>
    <x v="4"/>
    <x v="4"/>
    <n v="0"/>
  </r>
  <r>
    <x v="0"/>
    <x v="0"/>
    <x v="0"/>
    <x v="5"/>
    <x v="9"/>
    <x v="7"/>
    <x v="10"/>
    <n v="0"/>
  </r>
  <r>
    <x v="0"/>
    <x v="0"/>
    <x v="0"/>
    <x v="5"/>
    <x v="9"/>
    <x v="9"/>
    <x v="16"/>
    <n v="11765.210340794099"/>
  </r>
  <r>
    <x v="0"/>
    <x v="0"/>
    <x v="0"/>
    <x v="5"/>
    <x v="9"/>
    <x v="4"/>
    <x v="8"/>
    <n v="81.9338882192434"/>
  </r>
  <r>
    <x v="0"/>
    <x v="0"/>
    <x v="0"/>
    <x v="6"/>
    <x v="10"/>
    <x v="0"/>
    <x v="6"/>
    <n v="0"/>
  </r>
  <r>
    <x v="0"/>
    <x v="0"/>
    <x v="0"/>
    <x v="6"/>
    <x v="10"/>
    <x v="1"/>
    <x v="14"/>
    <n v="60968.376153946403"/>
  </r>
  <r>
    <x v="0"/>
    <x v="0"/>
    <x v="0"/>
    <x v="6"/>
    <x v="10"/>
    <x v="1"/>
    <x v="15"/>
    <n v="24296.846471204401"/>
  </r>
  <r>
    <x v="0"/>
    <x v="0"/>
    <x v="0"/>
    <x v="6"/>
    <x v="10"/>
    <x v="3"/>
    <x v="3"/>
    <n v="2529.4499999999998"/>
  </r>
  <r>
    <x v="0"/>
    <x v="0"/>
    <x v="0"/>
    <x v="6"/>
    <x v="10"/>
    <x v="5"/>
    <x v="5"/>
    <n v="0"/>
  </r>
  <r>
    <x v="0"/>
    <x v="0"/>
    <x v="0"/>
    <x v="7"/>
    <x v="11"/>
    <x v="3"/>
    <x v="3"/>
    <n v="0"/>
  </r>
  <r>
    <x v="0"/>
    <x v="0"/>
    <x v="0"/>
    <x v="7"/>
    <x v="11"/>
    <x v="3"/>
    <x v="18"/>
    <n v="0"/>
  </r>
  <r>
    <x v="0"/>
    <x v="0"/>
    <x v="0"/>
    <x v="7"/>
    <x v="11"/>
    <x v="3"/>
    <x v="19"/>
    <n v="0"/>
  </r>
  <r>
    <x v="0"/>
    <x v="0"/>
    <x v="0"/>
    <x v="7"/>
    <x v="11"/>
    <x v="4"/>
    <x v="4"/>
    <n v="2117.4143319947698"/>
  </r>
  <r>
    <x v="0"/>
    <x v="0"/>
    <x v="0"/>
    <x v="7"/>
    <x v="12"/>
    <x v="0"/>
    <x v="6"/>
    <n v="5615.25393960373"/>
  </r>
  <r>
    <x v="0"/>
    <x v="0"/>
    <x v="0"/>
    <x v="7"/>
    <x v="12"/>
    <x v="1"/>
    <x v="1"/>
    <n v="0"/>
  </r>
  <r>
    <x v="0"/>
    <x v="0"/>
    <x v="0"/>
    <x v="7"/>
    <x v="12"/>
    <x v="2"/>
    <x v="2"/>
    <n v="1473.61740174694"/>
  </r>
  <r>
    <x v="0"/>
    <x v="0"/>
    <x v="0"/>
    <x v="7"/>
    <x v="12"/>
    <x v="3"/>
    <x v="20"/>
    <n v="19728.8081457753"/>
  </r>
  <r>
    <x v="0"/>
    <x v="0"/>
    <x v="0"/>
    <x v="7"/>
    <x v="12"/>
    <x v="3"/>
    <x v="19"/>
    <n v="0"/>
  </r>
  <r>
    <x v="0"/>
    <x v="0"/>
    <x v="0"/>
    <x v="7"/>
    <x v="12"/>
    <x v="5"/>
    <x v="5"/>
    <n v="0"/>
  </r>
  <r>
    <x v="0"/>
    <x v="0"/>
    <x v="0"/>
    <x v="7"/>
    <x v="13"/>
    <x v="3"/>
    <x v="20"/>
    <n v="5117.0635196704998"/>
  </r>
  <r>
    <x v="0"/>
    <x v="0"/>
    <x v="0"/>
    <x v="7"/>
    <x v="13"/>
    <x v="3"/>
    <x v="12"/>
    <n v="0"/>
  </r>
  <r>
    <x v="0"/>
    <x v="0"/>
    <x v="0"/>
    <x v="7"/>
    <x v="13"/>
    <x v="3"/>
    <x v="19"/>
    <n v="0"/>
  </r>
  <r>
    <x v="0"/>
    <x v="0"/>
    <x v="0"/>
    <x v="7"/>
    <x v="13"/>
    <x v="4"/>
    <x v="21"/>
    <n v="1381.34375658048"/>
  </r>
  <r>
    <x v="0"/>
    <x v="0"/>
    <x v="0"/>
    <x v="7"/>
    <x v="14"/>
    <x v="6"/>
    <x v="9"/>
    <n v="0"/>
  </r>
  <r>
    <x v="0"/>
    <x v="0"/>
    <x v="0"/>
    <x v="7"/>
    <x v="14"/>
    <x v="3"/>
    <x v="18"/>
    <n v="4783.7992547824297"/>
  </r>
  <r>
    <x v="0"/>
    <x v="0"/>
    <x v="0"/>
    <x v="7"/>
    <x v="14"/>
    <x v="4"/>
    <x v="13"/>
    <n v="0"/>
  </r>
  <r>
    <x v="0"/>
    <x v="0"/>
    <x v="0"/>
    <x v="7"/>
    <x v="14"/>
    <x v="4"/>
    <x v="21"/>
    <n v="1396.125"/>
  </r>
  <r>
    <x v="0"/>
    <x v="0"/>
    <x v="0"/>
    <x v="7"/>
    <x v="15"/>
    <x v="3"/>
    <x v="20"/>
    <n v="1467.47252133762"/>
  </r>
  <r>
    <x v="0"/>
    <x v="0"/>
    <x v="0"/>
    <x v="7"/>
    <x v="15"/>
    <x v="3"/>
    <x v="3"/>
    <n v="9460.7999999999993"/>
  </r>
  <r>
    <x v="0"/>
    <x v="0"/>
    <x v="0"/>
    <x v="7"/>
    <x v="15"/>
    <x v="3"/>
    <x v="18"/>
    <n v="7884"/>
  </r>
  <r>
    <x v="0"/>
    <x v="0"/>
    <x v="0"/>
    <x v="8"/>
    <x v="16"/>
    <x v="1"/>
    <x v="7"/>
    <n v="0"/>
  </r>
  <r>
    <x v="0"/>
    <x v="0"/>
    <x v="0"/>
    <x v="8"/>
    <x v="16"/>
    <x v="10"/>
    <x v="17"/>
    <n v="0"/>
  </r>
  <r>
    <x v="0"/>
    <x v="0"/>
    <x v="0"/>
    <x v="8"/>
    <x v="16"/>
    <x v="4"/>
    <x v="8"/>
    <n v="0"/>
  </r>
  <r>
    <x v="0"/>
    <x v="0"/>
    <x v="0"/>
    <x v="9"/>
    <x v="17"/>
    <x v="6"/>
    <x v="9"/>
    <n v="7626.5143636460198"/>
  </r>
  <r>
    <x v="0"/>
    <x v="0"/>
    <x v="0"/>
    <x v="9"/>
    <x v="17"/>
    <x v="3"/>
    <x v="12"/>
    <n v="0"/>
  </r>
  <r>
    <x v="0"/>
    <x v="0"/>
    <x v="0"/>
    <x v="9"/>
    <x v="17"/>
    <x v="4"/>
    <x v="21"/>
    <n v="2630.7535793883999"/>
  </r>
  <r>
    <x v="0"/>
    <x v="0"/>
    <x v="0"/>
    <x v="9"/>
    <x v="18"/>
    <x v="3"/>
    <x v="18"/>
    <n v="4.9984576527000604"/>
  </r>
  <r>
    <x v="0"/>
    <x v="0"/>
    <x v="0"/>
    <x v="9"/>
    <x v="18"/>
    <x v="3"/>
    <x v="12"/>
    <n v="0"/>
  </r>
  <r>
    <x v="0"/>
    <x v="0"/>
    <x v="0"/>
    <x v="9"/>
    <x v="18"/>
    <x v="4"/>
    <x v="13"/>
    <n v="0"/>
  </r>
  <r>
    <x v="0"/>
    <x v="0"/>
    <x v="0"/>
    <x v="9"/>
    <x v="18"/>
    <x v="4"/>
    <x v="4"/>
    <n v="35233.234299051197"/>
  </r>
  <r>
    <x v="0"/>
    <x v="0"/>
    <x v="0"/>
    <x v="9"/>
    <x v="19"/>
    <x v="0"/>
    <x v="6"/>
    <n v="1065.2053736989301"/>
  </r>
  <r>
    <x v="0"/>
    <x v="0"/>
    <x v="0"/>
    <x v="9"/>
    <x v="19"/>
    <x v="8"/>
    <x v="11"/>
    <n v="0"/>
  </r>
  <r>
    <x v="0"/>
    <x v="0"/>
    <x v="0"/>
    <x v="9"/>
    <x v="19"/>
    <x v="6"/>
    <x v="9"/>
    <n v="0"/>
  </r>
  <r>
    <x v="0"/>
    <x v="0"/>
    <x v="0"/>
    <x v="9"/>
    <x v="19"/>
    <x v="7"/>
    <x v="10"/>
    <n v="0"/>
  </r>
  <r>
    <x v="0"/>
    <x v="0"/>
    <x v="0"/>
    <x v="9"/>
    <x v="19"/>
    <x v="3"/>
    <x v="20"/>
    <n v="0"/>
  </r>
  <r>
    <x v="0"/>
    <x v="0"/>
    <x v="0"/>
    <x v="9"/>
    <x v="19"/>
    <x v="4"/>
    <x v="21"/>
    <n v="0"/>
  </r>
  <r>
    <x v="0"/>
    <x v="0"/>
    <x v="0"/>
    <x v="9"/>
    <x v="19"/>
    <x v="4"/>
    <x v="8"/>
    <n v="45684.855037143599"/>
  </r>
  <r>
    <x v="0"/>
    <x v="0"/>
    <x v="0"/>
    <x v="9"/>
    <x v="20"/>
    <x v="0"/>
    <x v="0"/>
    <n v="44.753866993123196"/>
  </r>
  <r>
    <x v="0"/>
    <x v="0"/>
    <x v="0"/>
    <x v="9"/>
    <x v="20"/>
    <x v="1"/>
    <x v="1"/>
    <n v="762.27776162177202"/>
  </r>
  <r>
    <x v="0"/>
    <x v="0"/>
    <x v="0"/>
    <x v="9"/>
    <x v="20"/>
    <x v="10"/>
    <x v="17"/>
    <n v="2511.0135468123199"/>
  </r>
  <r>
    <x v="0"/>
    <x v="0"/>
    <x v="0"/>
    <x v="9"/>
    <x v="20"/>
    <x v="9"/>
    <x v="16"/>
    <n v="35978.8545095687"/>
  </r>
  <r>
    <x v="0"/>
    <x v="0"/>
    <x v="0"/>
    <x v="9"/>
    <x v="20"/>
    <x v="4"/>
    <x v="4"/>
    <n v="0"/>
  </r>
  <r>
    <x v="0"/>
    <x v="0"/>
    <x v="0"/>
    <x v="10"/>
    <x v="21"/>
    <x v="0"/>
    <x v="6"/>
    <n v="292.16180037843998"/>
  </r>
  <r>
    <x v="0"/>
    <x v="0"/>
    <x v="0"/>
    <x v="10"/>
    <x v="21"/>
    <x v="2"/>
    <x v="2"/>
    <n v="6538.8859820058597"/>
  </r>
  <r>
    <x v="0"/>
    <x v="0"/>
    <x v="0"/>
    <x v="10"/>
    <x v="21"/>
    <x v="3"/>
    <x v="3"/>
    <n v="0"/>
  </r>
</pivotCacheRecords>
</file>

<file path=xl/pivotCache/pivotCacheRecords14.xml><?xml version="1.0" encoding="utf-8"?>
<pivotCacheRecords xmlns="http://schemas.openxmlformats.org/spreadsheetml/2006/main" xmlns:r="http://schemas.openxmlformats.org/officeDocument/2006/relationships" count="528">
  <r>
    <x v="0"/>
    <x v="0"/>
    <x v="0"/>
    <x v="0"/>
    <x v="0"/>
    <x v="0"/>
    <x v="0"/>
    <n v="1414.8255655869"/>
    <n v="516411.33143921703"/>
  </r>
  <r>
    <x v="0"/>
    <x v="0"/>
    <x v="0"/>
    <x v="0"/>
    <x v="0"/>
    <x v="0"/>
    <x v="1"/>
    <n v="1364.04496825772"/>
    <n v="497876.41341406602"/>
  </r>
  <r>
    <x v="0"/>
    <x v="0"/>
    <x v="0"/>
    <x v="0"/>
    <x v="0"/>
    <x v="0"/>
    <x v="2"/>
    <n v="1324.20173035328"/>
    <n v="483333.63157894701"/>
  </r>
  <r>
    <x v="0"/>
    <x v="0"/>
    <x v="0"/>
    <x v="0"/>
    <x v="0"/>
    <x v="0"/>
    <x v="3"/>
    <n v="1299.20205166814"/>
    <n v="474208.74885887298"/>
  </r>
  <r>
    <x v="0"/>
    <x v="0"/>
    <x v="0"/>
    <x v="0"/>
    <x v="0"/>
    <x v="0"/>
    <x v="4"/>
    <n v="1289.04593220231"/>
    <n v="470501.76525384298"/>
  </r>
  <r>
    <x v="0"/>
    <x v="0"/>
    <x v="0"/>
    <x v="0"/>
    <x v="0"/>
    <x v="0"/>
    <x v="5"/>
    <n v="1489.04336168339"/>
    <n v="543500.82701443904"/>
  </r>
  <r>
    <x v="0"/>
    <x v="0"/>
    <x v="0"/>
    <x v="0"/>
    <x v="0"/>
    <x v="0"/>
    <x v="6"/>
    <n v="1917.94409912525"/>
    <n v="700049.596180717"/>
  </r>
  <r>
    <x v="0"/>
    <x v="0"/>
    <x v="0"/>
    <x v="0"/>
    <x v="0"/>
    <x v="0"/>
    <x v="7"/>
    <n v="2389.0317943482801"/>
    <n v="871996.60493712197"/>
  </r>
  <r>
    <x v="0"/>
    <x v="0"/>
    <x v="0"/>
    <x v="0"/>
    <x v="0"/>
    <x v="0"/>
    <x v="8"/>
    <n v="2514.81142773287"/>
    <n v="917906.17112249695"/>
  </r>
  <r>
    <x v="0"/>
    <x v="0"/>
    <x v="0"/>
    <x v="0"/>
    <x v="0"/>
    <x v="0"/>
    <x v="9"/>
    <n v="2491.3742289655502"/>
    <n v="909351.59357242705"/>
  </r>
  <r>
    <x v="0"/>
    <x v="0"/>
    <x v="0"/>
    <x v="0"/>
    <x v="0"/>
    <x v="0"/>
    <x v="10"/>
    <n v="2526.5300271165202"/>
    <n v="922183.45989753201"/>
  </r>
  <r>
    <x v="0"/>
    <x v="0"/>
    <x v="0"/>
    <x v="0"/>
    <x v="0"/>
    <x v="0"/>
    <x v="11"/>
    <n v="2554.6546656372998"/>
    <n v="932448.95295761502"/>
  </r>
  <r>
    <x v="0"/>
    <x v="0"/>
    <x v="0"/>
    <x v="0"/>
    <x v="0"/>
    <x v="0"/>
    <x v="12"/>
    <n v="2545.2797861303802"/>
    <n v="929027.12193758704"/>
  </r>
  <r>
    <x v="0"/>
    <x v="0"/>
    <x v="0"/>
    <x v="0"/>
    <x v="0"/>
    <x v="0"/>
    <x v="13"/>
    <n v="2517.9363875685099"/>
    <n v="919046.78146250604"/>
  </r>
  <r>
    <x v="0"/>
    <x v="0"/>
    <x v="0"/>
    <x v="0"/>
    <x v="0"/>
    <x v="0"/>
    <x v="14"/>
    <n v="2456.2184308145802"/>
    <n v="896519.72724732198"/>
  </r>
  <r>
    <x v="0"/>
    <x v="0"/>
    <x v="0"/>
    <x v="0"/>
    <x v="0"/>
    <x v="0"/>
    <x v="15"/>
    <n v="2385.9068345126402"/>
    <n v="870855.99459711195"/>
  </r>
  <r>
    <x v="0"/>
    <x v="0"/>
    <x v="0"/>
    <x v="0"/>
    <x v="0"/>
    <x v="0"/>
    <x v="16"/>
    <n v="2469.4995101160598"/>
    <n v="901367.321192362"/>
  </r>
  <r>
    <x v="0"/>
    <x v="0"/>
    <x v="0"/>
    <x v="0"/>
    <x v="0"/>
    <x v="0"/>
    <x v="17"/>
    <n v="2664.0282598847698"/>
    <n v="972370.314857941"/>
  </r>
  <r>
    <x v="0"/>
    <x v="0"/>
    <x v="0"/>
    <x v="0"/>
    <x v="0"/>
    <x v="0"/>
    <x v="18"/>
    <n v="2556.9983855140299"/>
    <n v="933304.41071262199"/>
  </r>
  <r>
    <x v="0"/>
    <x v="0"/>
    <x v="0"/>
    <x v="0"/>
    <x v="0"/>
    <x v="0"/>
    <x v="19"/>
    <n v="2405.4378334854"/>
    <n v="877984.80922217097"/>
  </r>
  <r>
    <x v="0"/>
    <x v="0"/>
    <x v="0"/>
    <x v="0"/>
    <x v="0"/>
    <x v="0"/>
    <x v="20"/>
    <n v="2231.22132264836"/>
    <n v="814395.78276665101"/>
  </r>
  <r>
    <x v="0"/>
    <x v="0"/>
    <x v="0"/>
    <x v="0"/>
    <x v="0"/>
    <x v="0"/>
    <x v="21"/>
    <n v="1990.5994153039301"/>
    <n v="726568.78658593399"/>
  </r>
  <r>
    <x v="0"/>
    <x v="0"/>
    <x v="0"/>
    <x v="0"/>
    <x v="0"/>
    <x v="0"/>
    <x v="22"/>
    <n v="1824.1953040559899"/>
    <n v="665831.285980438"/>
  </r>
  <r>
    <x v="0"/>
    <x v="0"/>
    <x v="0"/>
    <x v="0"/>
    <x v="0"/>
    <x v="0"/>
    <x v="23"/>
    <n v="1697.63443071249"/>
    <n v="619636.56721006101"/>
  </r>
  <r>
    <x v="0"/>
    <x v="0"/>
    <x v="0"/>
    <x v="1"/>
    <x v="0"/>
    <x v="0"/>
    <x v="0"/>
    <n v="1081.78814086082"/>
    <n v="394852.671414198"/>
  </r>
  <r>
    <x v="0"/>
    <x v="0"/>
    <x v="0"/>
    <x v="1"/>
    <x v="0"/>
    <x v="0"/>
    <x v="1"/>
    <n v="1030.0538043599799"/>
    <n v="375969.63859139202"/>
  </r>
  <r>
    <x v="0"/>
    <x v="0"/>
    <x v="0"/>
    <x v="1"/>
    <x v="0"/>
    <x v="0"/>
    <x v="2"/>
    <n v="1008.43348462828"/>
    <n v="368078.22188932402"/>
  </r>
  <r>
    <x v="0"/>
    <x v="0"/>
    <x v="0"/>
    <x v="1"/>
    <x v="0"/>
    <x v="0"/>
    <x v="3"/>
    <n v="1008.43348462828"/>
    <n v="368078.22188932402"/>
  </r>
  <r>
    <x v="0"/>
    <x v="0"/>
    <x v="0"/>
    <x v="1"/>
    <x v="0"/>
    <x v="0"/>
    <x v="4"/>
    <n v="1034.6867300167701"/>
    <n v="377660.65645612101"/>
  </r>
  <r>
    <x v="0"/>
    <x v="0"/>
    <x v="0"/>
    <x v="1"/>
    <x v="0"/>
    <x v="0"/>
    <x v="5"/>
    <n v="1107.26923197317"/>
    <n v="404153.269670207"/>
  </r>
  <r>
    <x v="0"/>
    <x v="0"/>
    <x v="0"/>
    <x v="1"/>
    <x v="0"/>
    <x v="0"/>
    <x v="6"/>
    <n v="1321.9281207378399"/>
    <n v="482503.76406931202"/>
  </r>
  <r>
    <x v="0"/>
    <x v="0"/>
    <x v="0"/>
    <x v="1"/>
    <x v="0"/>
    <x v="0"/>
    <x v="7"/>
    <n v="1569.78964337619"/>
    <n v="572973.21983230906"/>
  </r>
  <r>
    <x v="0"/>
    <x v="0"/>
    <x v="0"/>
    <x v="1"/>
    <x v="0"/>
    <x v="0"/>
    <x v="8"/>
    <n v="1612.2581285634401"/>
    <n v="588474.21692565701"/>
  </r>
  <r>
    <x v="0"/>
    <x v="0"/>
    <x v="0"/>
    <x v="1"/>
    <x v="0"/>
    <x v="0"/>
    <x v="9"/>
    <n v="1619.2075170486301"/>
    <n v="591010.74372274999"/>
  </r>
  <r>
    <x v="0"/>
    <x v="0"/>
    <x v="0"/>
    <x v="1"/>
    <x v="0"/>
    <x v="0"/>
    <x v="10"/>
    <n v="1619.2075170486301"/>
    <n v="591010.74372274999"/>
  </r>
  <r>
    <x v="0"/>
    <x v="0"/>
    <x v="0"/>
    <x v="1"/>
    <x v="0"/>
    <x v="0"/>
    <x v="11"/>
    <n v="1586.7770374510901"/>
    <n v="579173.61866964796"/>
  </r>
  <r>
    <x v="0"/>
    <x v="0"/>
    <x v="0"/>
    <x v="1"/>
    <x v="0"/>
    <x v="0"/>
    <x v="12"/>
    <n v="1594.4985802124099"/>
    <n v="581991.981777529"/>
  </r>
  <r>
    <x v="0"/>
    <x v="0"/>
    <x v="0"/>
    <x v="1"/>
    <x v="0"/>
    <x v="0"/>
    <x v="13"/>
    <n v="1612.2581285634401"/>
    <n v="588474.21692565701"/>
  </r>
  <r>
    <x v="0"/>
    <x v="0"/>
    <x v="0"/>
    <x v="1"/>
    <x v="0"/>
    <x v="0"/>
    <x v="14"/>
    <n v="1602.9922772498601"/>
    <n v="585092.18119619903"/>
  </r>
  <r>
    <x v="0"/>
    <x v="0"/>
    <x v="0"/>
    <x v="1"/>
    <x v="0"/>
    <x v="0"/>
    <x v="15"/>
    <n v="1598.35935159307"/>
    <n v="583401.16333146999"/>
  </r>
  <r>
    <x v="0"/>
    <x v="0"/>
    <x v="0"/>
    <x v="1"/>
    <x v="0"/>
    <x v="0"/>
    <x v="16"/>
    <n v="1701.05587031861"/>
    <n v="620885.39266629401"/>
  </r>
  <r>
    <x v="0"/>
    <x v="0"/>
    <x v="0"/>
    <x v="1"/>
    <x v="0"/>
    <x v="0"/>
    <x v="17"/>
    <n v="1813.0182403577401"/>
    <n v="661751.657730576"/>
  </r>
  <r>
    <x v="0"/>
    <x v="0"/>
    <x v="0"/>
    <x v="1"/>
    <x v="0"/>
    <x v="0"/>
    <x v="18"/>
    <n v="1760.5117495807699"/>
    <n v="642586.78859698202"/>
  </r>
  <r>
    <x v="0"/>
    <x v="0"/>
    <x v="0"/>
    <x v="1"/>
    <x v="0"/>
    <x v="0"/>
    <x v="19"/>
    <n v="1677.11908775852"/>
    <n v="612148.46703186096"/>
  </r>
  <r>
    <x v="0"/>
    <x v="0"/>
    <x v="0"/>
    <x v="1"/>
    <x v="0"/>
    <x v="0"/>
    <x v="20"/>
    <n v="1560.5237920626"/>
    <n v="569591.18410285097"/>
  </r>
  <r>
    <x v="0"/>
    <x v="0"/>
    <x v="0"/>
    <x v="1"/>
    <x v="0"/>
    <x v="0"/>
    <x v="21"/>
    <n v="1466.3209703745099"/>
    <n v="535207.15418669605"/>
  </r>
  <r>
    <x v="0"/>
    <x v="0"/>
    <x v="0"/>
    <x v="1"/>
    <x v="0"/>
    <x v="0"/>
    <x v="22"/>
    <n v="1331.96612632756"/>
    <n v="486167.63610955799"/>
  </r>
  <r>
    <x v="0"/>
    <x v="0"/>
    <x v="0"/>
    <x v="1"/>
    <x v="0"/>
    <x v="0"/>
    <x v="23"/>
    <n v="1216.1429849077699"/>
    <n v="443892.189491336"/>
  </r>
  <r>
    <x v="0"/>
    <x v="0"/>
    <x v="1"/>
    <x v="2"/>
    <x v="0"/>
    <x v="0"/>
    <x v="0"/>
    <n v="870.65846578531102"/>
    <n v="317790.340011639"/>
  </r>
  <r>
    <x v="0"/>
    <x v="0"/>
    <x v="1"/>
    <x v="2"/>
    <x v="0"/>
    <x v="0"/>
    <x v="1"/>
    <n v="832.46310001970096"/>
    <n v="303849.03150719102"/>
  </r>
  <r>
    <x v="0"/>
    <x v="0"/>
    <x v="1"/>
    <x v="2"/>
    <x v="0"/>
    <x v="0"/>
    <x v="2"/>
    <n v="811.89636460744998"/>
    <n v="296342.17308171903"/>
  </r>
  <r>
    <x v="0"/>
    <x v="0"/>
    <x v="1"/>
    <x v="2"/>
    <x v="0"/>
    <x v="0"/>
    <x v="3"/>
    <n v="806.02015448966404"/>
    <n v="294197.35638872703"/>
  </r>
  <r>
    <x v="0"/>
    <x v="0"/>
    <x v="1"/>
    <x v="2"/>
    <x v="0"/>
    <x v="0"/>
    <x v="4"/>
    <n v="808.95825954855695"/>
    <n v="295269.76473522303"/>
  </r>
  <r>
    <x v="0"/>
    <x v="0"/>
    <x v="1"/>
    <x v="2"/>
    <x v="0"/>
    <x v="0"/>
    <x v="5"/>
    <n v="821.69004813709296"/>
    <n v="299916.867570039"/>
  </r>
  <r>
    <x v="0"/>
    <x v="0"/>
    <x v="1"/>
    <x v="2"/>
    <x v="0"/>
    <x v="0"/>
    <x v="6"/>
    <n v="848.13299366713102"/>
    <n v="309568.54268850299"/>
  </r>
  <r>
    <x v="0"/>
    <x v="0"/>
    <x v="1"/>
    <x v="2"/>
    <x v="0"/>
    <x v="0"/>
    <x v="7"/>
    <n v="891.225201197562"/>
    <n v="325297.19843711"/>
  </r>
  <r>
    <x v="0"/>
    <x v="0"/>
    <x v="1"/>
    <x v="2"/>
    <x v="0"/>
    <x v="0"/>
    <x v="8"/>
    <n v="942.15235555170898"/>
    <n v="343885.60977637401"/>
  </r>
  <r>
    <x v="0"/>
    <x v="0"/>
    <x v="1"/>
    <x v="2"/>
    <x v="0"/>
    <x v="0"/>
    <x v="9"/>
    <n v="983.28582637621196"/>
    <n v="358899.326627317"/>
  </r>
  <r>
    <x v="0"/>
    <x v="0"/>
    <x v="1"/>
    <x v="2"/>
    <x v="0"/>
    <x v="0"/>
    <x v="10"/>
    <n v="1027.3574022596099"/>
    <n v="374985.45182475698"/>
  </r>
  <r>
    <x v="0"/>
    <x v="0"/>
    <x v="1"/>
    <x v="2"/>
    <x v="0"/>
    <x v="0"/>
    <x v="11"/>
    <n v="1046.9447693188899"/>
    <n v="382134.84080139699"/>
  </r>
  <r>
    <x v="0"/>
    <x v="0"/>
    <x v="1"/>
    <x v="2"/>
    <x v="0"/>
    <x v="0"/>
    <x v="12"/>
    <n v="1048.90350602482"/>
    <n v="382849.77969906101"/>
  </r>
  <r>
    <x v="0"/>
    <x v="0"/>
    <x v="1"/>
    <x v="2"/>
    <x v="0"/>
    <x v="0"/>
    <x v="13"/>
    <n v="1052.8209794366801"/>
    <n v="384279.65749438899"/>
  </r>
  <r>
    <x v="0"/>
    <x v="0"/>
    <x v="1"/>
    <x v="2"/>
    <x v="0"/>
    <x v="0"/>
    <x v="14"/>
    <n v="1051.84161108372"/>
    <n v="383922.18804555701"/>
  </r>
  <r>
    <x v="0"/>
    <x v="0"/>
    <x v="1"/>
    <x v="2"/>
    <x v="0"/>
    <x v="0"/>
    <x v="15"/>
    <n v="1067.5115047311499"/>
    <n v="389641.69922686799"/>
  </r>
  <r>
    <x v="0"/>
    <x v="0"/>
    <x v="1"/>
    <x v="2"/>
    <x v="0"/>
    <x v="0"/>
    <x v="16"/>
    <n v="1137.04665779162"/>
    <n v="415022.03009393997"/>
  </r>
  <r>
    <x v="0"/>
    <x v="0"/>
    <x v="1"/>
    <x v="2"/>
    <x v="0"/>
    <x v="0"/>
    <x v="17"/>
    <n v="1157.6133932038699"/>
    <n v="422528.88851941098"/>
  </r>
  <r>
    <x v="0"/>
    <x v="0"/>
    <x v="1"/>
    <x v="2"/>
    <x v="0"/>
    <x v="0"/>
    <x v="18"/>
    <n v="1148.79907802719"/>
    <n v="419311.66347992403"/>
  </r>
  <r>
    <x v="0"/>
    <x v="0"/>
    <x v="1"/>
    <x v="2"/>
    <x v="0"/>
    <x v="0"/>
    <x v="19"/>
    <n v="1134.10855273272"/>
    <n v="413949.62174744398"/>
  </r>
  <r>
    <x v="0"/>
    <x v="0"/>
    <x v="1"/>
    <x v="2"/>
    <x v="0"/>
    <x v="0"/>
    <x v="20"/>
    <n v="1106.68623884972"/>
    <n v="403940.47718014801"/>
  </r>
  <r>
    <x v="0"/>
    <x v="0"/>
    <x v="1"/>
    <x v="2"/>
    <x v="0"/>
    <x v="0"/>
    <x v="21"/>
    <n v="1053.80034778965"/>
    <n v="384637.12694322102"/>
  </r>
  <r>
    <x v="0"/>
    <x v="0"/>
    <x v="1"/>
    <x v="2"/>
    <x v="0"/>
    <x v="0"/>
    <x v="22"/>
    <n v="989.16203649399802"/>
    <n v="361044.143320309"/>
  </r>
  <r>
    <x v="0"/>
    <x v="0"/>
    <x v="1"/>
    <x v="2"/>
    <x v="0"/>
    <x v="0"/>
    <x v="23"/>
    <n v="922.564988492422"/>
    <n v="336736.220799734"/>
  </r>
  <r>
    <x v="0"/>
    <x v="0"/>
    <x v="2"/>
    <x v="3"/>
    <x v="0"/>
    <x v="0"/>
    <x v="0"/>
    <n v="8431.4422706258101"/>
    <n v="3077476.4287784202"/>
  </r>
  <r>
    <x v="0"/>
    <x v="0"/>
    <x v="2"/>
    <x v="3"/>
    <x v="0"/>
    <x v="0"/>
    <x v="1"/>
    <n v="8215.9630102729298"/>
    <n v="2998826.4987496198"/>
  </r>
  <r>
    <x v="0"/>
    <x v="0"/>
    <x v="2"/>
    <x v="3"/>
    <x v="0"/>
    <x v="0"/>
    <x v="2"/>
    <n v="8184.9470561312301"/>
    <n v="2987505.6754879002"/>
  </r>
  <r>
    <x v="0"/>
    <x v="0"/>
    <x v="2"/>
    <x v="3"/>
    <x v="0"/>
    <x v="0"/>
    <x v="3"/>
    <n v="8260.0383135269294"/>
    <n v="3014913.9844373302"/>
  </r>
  <r>
    <x v="0"/>
    <x v="0"/>
    <x v="2"/>
    <x v="3"/>
    <x v="0"/>
    <x v="0"/>
    <x v="4"/>
    <n v="8619.1704141150603"/>
    <n v="3145997.2011520001"/>
  </r>
  <r>
    <x v="0"/>
    <x v="0"/>
    <x v="2"/>
    <x v="3"/>
    <x v="0"/>
    <x v="0"/>
    <x v="5"/>
    <n v="9508.0223630706696"/>
    <n v="3470428.1625207998"/>
  </r>
  <r>
    <x v="0"/>
    <x v="0"/>
    <x v="2"/>
    <x v="3"/>
    <x v="0"/>
    <x v="0"/>
    <x v="6"/>
    <n v="9961.8347447229407"/>
    <n v="3636069.6818238702"/>
  </r>
  <r>
    <x v="0"/>
    <x v="0"/>
    <x v="2"/>
    <x v="3"/>
    <x v="0"/>
    <x v="0"/>
    <x v="7"/>
    <n v="10232.8162388031"/>
    <n v="3734977.9271631199"/>
  </r>
  <r>
    <x v="0"/>
    <x v="0"/>
    <x v="2"/>
    <x v="3"/>
    <x v="0"/>
    <x v="0"/>
    <x v="8"/>
    <n v="10107.9362129167"/>
    <n v="3689396.71771461"/>
  </r>
  <r>
    <x v="0"/>
    <x v="0"/>
    <x v="2"/>
    <x v="3"/>
    <x v="0"/>
    <x v="0"/>
    <x v="9"/>
    <n v="9990.4020709060896"/>
    <n v="3646496.75588072"/>
  </r>
  <r>
    <x v="0"/>
    <x v="0"/>
    <x v="2"/>
    <x v="3"/>
    <x v="0"/>
    <x v="0"/>
    <x v="10"/>
    <n v="9983.8723963499397"/>
    <n v="3644113.42466773"/>
  </r>
  <r>
    <x v="0"/>
    <x v="0"/>
    <x v="2"/>
    <x v="3"/>
    <x v="0"/>
    <x v="0"/>
    <x v="11"/>
    <n v="9885.9272780077208"/>
    <n v="3608363.4564728201"/>
  </r>
  <r>
    <x v="0"/>
    <x v="0"/>
    <x v="2"/>
    <x v="3"/>
    <x v="0"/>
    <x v="0"/>
    <x v="12"/>
    <n v="9803.49013673636"/>
    <n v="3578273.8999087699"/>
  </r>
  <r>
    <x v="0"/>
    <x v="0"/>
    <x v="2"/>
    <x v="3"/>
    <x v="0"/>
    <x v="0"/>
    <x v="13"/>
    <n v="9735.7447632163203"/>
    <n v="3553546.8385739601"/>
  </r>
  <r>
    <x v="0"/>
    <x v="0"/>
    <x v="2"/>
    <x v="3"/>
    <x v="0"/>
    <x v="0"/>
    <x v="14"/>
    <n v="9851.6464865879498"/>
    <n v="3595850.9676045999"/>
  </r>
  <r>
    <x v="0"/>
    <x v="0"/>
    <x v="2"/>
    <x v="3"/>
    <x v="0"/>
    <x v="0"/>
    <x v="15"/>
    <n v="9981.4237683913907"/>
    <n v="3643219.6754628601"/>
  </r>
  <r>
    <x v="0"/>
    <x v="0"/>
    <x v="2"/>
    <x v="3"/>
    <x v="0"/>
    <x v="0"/>
    <x v="16"/>
    <n v="10041.8232580358"/>
    <n v="3665265.4891830501"/>
  </r>
  <r>
    <x v="0"/>
    <x v="0"/>
    <x v="2"/>
    <x v="3"/>
    <x v="0"/>
    <x v="0"/>
    <x v="17"/>
    <n v="10019.785606408799"/>
    <n v="3657221.7463391898"/>
  </r>
  <r>
    <x v="0"/>
    <x v="0"/>
    <x v="2"/>
    <x v="3"/>
    <x v="0"/>
    <x v="0"/>
    <x v="18"/>
    <n v="10040.190839396701"/>
    <n v="3664669.6563797998"/>
  </r>
  <r>
    <x v="0"/>
    <x v="0"/>
    <x v="2"/>
    <x v="3"/>
    <x v="0"/>
    <x v="0"/>
    <x v="19"/>
    <n v="9905.5163016761708"/>
    <n v="3615513.4501117999"/>
  </r>
  <r>
    <x v="0"/>
    <x v="0"/>
    <x v="2"/>
    <x v="3"/>
    <x v="0"/>
    <x v="0"/>
    <x v="20"/>
    <n v="9537.4058985733409"/>
    <n v="3481153.1529792701"/>
  </r>
  <r>
    <x v="0"/>
    <x v="0"/>
    <x v="2"/>
    <x v="3"/>
    <x v="0"/>
    <x v="0"/>
    <x v="21"/>
    <n v="9676.9776922109904"/>
    <n v="3532096.8576570102"/>
  </r>
  <r>
    <x v="0"/>
    <x v="0"/>
    <x v="2"/>
    <x v="3"/>
    <x v="0"/>
    <x v="0"/>
    <x v="22"/>
    <n v="9284.3810095226108"/>
    <n v="3388799.0684757498"/>
  </r>
  <r>
    <x v="0"/>
    <x v="0"/>
    <x v="2"/>
    <x v="3"/>
    <x v="0"/>
    <x v="0"/>
    <x v="23"/>
    <n v="8881.9898150000008"/>
    <n v="3241926.2824749998"/>
  </r>
  <r>
    <x v="0"/>
    <x v="0"/>
    <x v="3"/>
    <x v="4"/>
    <x v="0"/>
    <x v="0"/>
    <x v="0"/>
    <n v="6331.9098129097601"/>
    <n v="2311147.0817120601"/>
  </r>
  <r>
    <x v="0"/>
    <x v="0"/>
    <x v="3"/>
    <x v="4"/>
    <x v="0"/>
    <x v="0"/>
    <x v="1"/>
    <n v="6035.8153650387503"/>
    <n v="2203072.6082391501"/>
  </r>
  <r>
    <x v="0"/>
    <x v="0"/>
    <x v="3"/>
    <x v="4"/>
    <x v="0"/>
    <x v="0"/>
    <x v="2"/>
    <n v="5926.0291401531204"/>
    <n v="2163000.6361558898"/>
  </r>
  <r>
    <x v="0"/>
    <x v="0"/>
    <x v="3"/>
    <x v="4"/>
    <x v="0"/>
    <x v="0"/>
    <x v="3"/>
    <n v="5997.8398958325397"/>
    <n v="2189211.5619788799"/>
  </r>
  <r>
    <x v="0"/>
    <x v="0"/>
    <x v="3"/>
    <x v="4"/>
    <x v="0"/>
    <x v="0"/>
    <x v="4"/>
    <n v="6242.3962069236804"/>
    <n v="2278474.61552714"/>
  </r>
  <r>
    <x v="0"/>
    <x v="0"/>
    <x v="3"/>
    <x v="4"/>
    <x v="0"/>
    <x v="0"/>
    <x v="5"/>
    <n v="6794.7536894757204"/>
    <n v="2480085.0966586401"/>
  </r>
  <r>
    <x v="0"/>
    <x v="0"/>
    <x v="3"/>
    <x v="4"/>
    <x v="0"/>
    <x v="0"/>
    <x v="6"/>
    <n v="8075.0695084280696"/>
    <n v="2947400.3705762499"/>
  </r>
  <r>
    <x v="0"/>
    <x v="0"/>
    <x v="3"/>
    <x v="4"/>
    <x v="0"/>
    <x v="0"/>
    <x v="7"/>
    <n v="9200.1998573535293"/>
    <n v="3358072.9479340399"/>
  </r>
  <r>
    <x v="0"/>
    <x v="0"/>
    <x v="3"/>
    <x v="4"/>
    <x v="0"/>
    <x v="0"/>
    <x v="8"/>
    <n v="9667.6122114179798"/>
    <n v="3528678.4571675598"/>
  </r>
  <r>
    <x v="0"/>
    <x v="0"/>
    <x v="3"/>
    <x v="4"/>
    <x v="0"/>
    <x v="0"/>
    <x v="9"/>
    <n v="9694.7375465652694"/>
    <n v="3538579.2044963301"/>
  </r>
  <r>
    <x v="0"/>
    <x v="0"/>
    <x v="3"/>
    <x v="4"/>
    <x v="0"/>
    <x v="0"/>
    <x v="10"/>
    <n v="9871.0522250226895"/>
    <n v="3602934.0621332801"/>
  </r>
  <r>
    <x v="0"/>
    <x v="0"/>
    <x v="3"/>
    <x v="4"/>
    <x v="0"/>
    <x v="0"/>
    <x v="11"/>
    <n v="10014.1026766942"/>
    <n v="3655147.4769933899"/>
  </r>
  <r>
    <x v="0"/>
    <x v="0"/>
    <x v="3"/>
    <x v="4"/>
    <x v="0"/>
    <x v="0"/>
    <x v="12"/>
    <n v="9980.9812148301608"/>
    <n v="3643058.1434130101"/>
  </r>
  <r>
    <x v="0"/>
    <x v="0"/>
    <x v="3"/>
    <x v="4"/>
    <x v="0"/>
    <x v="0"/>
    <x v="13"/>
    <n v="9911.0264031344996"/>
    <n v="3617524.6371440901"/>
  </r>
  <r>
    <x v="0"/>
    <x v="0"/>
    <x v="3"/>
    <x v="4"/>
    <x v="0"/>
    <x v="0"/>
    <x v="14"/>
    <n v="9823.6542709758396"/>
    <n v="3585633.8089061799"/>
  </r>
  <r>
    <x v="0"/>
    <x v="0"/>
    <x v="3"/>
    <x v="4"/>
    <x v="0"/>
    <x v="0"/>
    <x v="15"/>
    <n v="9766.9765970101798"/>
    <n v="3564946.4579087198"/>
  </r>
  <r>
    <x v="0"/>
    <x v="0"/>
    <x v="3"/>
    <x v="4"/>
    <x v="0"/>
    <x v="0"/>
    <x v="16"/>
    <n v="9748.1316273288994"/>
    <n v="3558068.0439750501"/>
  </r>
  <r>
    <x v="0"/>
    <x v="0"/>
    <x v="3"/>
    <x v="4"/>
    <x v="0"/>
    <x v="0"/>
    <x v="17"/>
    <n v="10033.375941140999"/>
    <n v="3662182.2185164602"/>
  </r>
  <r>
    <x v="0"/>
    <x v="0"/>
    <x v="3"/>
    <x v="4"/>
    <x v="0"/>
    <x v="0"/>
    <x v="18"/>
    <n v="9956.7111781194199"/>
    <n v="3634199.5800135899"/>
  </r>
  <r>
    <x v="0"/>
    <x v="0"/>
    <x v="3"/>
    <x v="4"/>
    <x v="0"/>
    <x v="0"/>
    <x v="19"/>
    <n v="9695.7369010180701"/>
    <n v="3538943.9688716"/>
  </r>
  <r>
    <x v="0"/>
    <x v="0"/>
    <x v="3"/>
    <x v="4"/>
    <x v="0"/>
    <x v="0"/>
    <x v="20"/>
    <n v="9094.6965801227307"/>
    <n v="3319564.2517447998"/>
  </r>
  <r>
    <x v="0"/>
    <x v="0"/>
    <x v="3"/>
    <x v="4"/>
    <x v="0"/>
    <x v="0"/>
    <x v="21"/>
    <n v="8515.0709975015707"/>
    <n v="3108000.9140880699"/>
  </r>
  <r>
    <x v="0"/>
    <x v="0"/>
    <x v="3"/>
    <x v="4"/>
    <x v="0"/>
    <x v="0"/>
    <x v="22"/>
    <n v="8048.5152329680895"/>
    <n v="2937708.0600333498"/>
  </r>
  <r>
    <x v="0"/>
    <x v="0"/>
    <x v="3"/>
    <x v="4"/>
    <x v="0"/>
    <x v="0"/>
    <x v="23"/>
    <n v="7297.7145090753102"/>
    <n v="2663665.7958124899"/>
  </r>
  <r>
    <x v="0"/>
    <x v="0"/>
    <x v="3"/>
    <x v="5"/>
    <x v="0"/>
    <x v="0"/>
    <x v="0"/>
    <n v="1948.27994243377"/>
    <n v="711122.17898832704"/>
  </r>
  <r>
    <x v="0"/>
    <x v="0"/>
    <x v="3"/>
    <x v="5"/>
    <x v="0"/>
    <x v="0"/>
    <x v="1"/>
    <n v="1857.1739584734601"/>
    <n v="677868.49484281405"/>
  </r>
  <r>
    <x v="0"/>
    <x v="0"/>
    <x v="3"/>
    <x v="5"/>
    <x v="0"/>
    <x v="0"/>
    <x v="2"/>
    <n v="1823.39358158558"/>
    <n v="665538.65727873496"/>
  </r>
  <r>
    <x v="0"/>
    <x v="0"/>
    <x v="3"/>
    <x v="5"/>
    <x v="0"/>
    <x v="0"/>
    <x v="3"/>
    <n v="1845.4891987177"/>
    <n v="673603.55753196205"/>
  </r>
  <r>
    <x v="0"/>
    <x v="0"/>
    <x v="3"/>
    <x v="5"/>
    <x v="0"/>
    <x v="0"/>
    <x v="4"/>
    <n v="1920.73729443806"/>
    <n v="701069.11246989097"/>
  </r>
  <r>
    <x v="0"/>
    <x v="0"/>
    <x v="3"/>
    <x v="5"/>
    <x v="0"/>
    <x v="0"/>
    <x v="5"/>
    <n v="2090.6934429156099"/>
    <n v="763103.10666419601"/>
  </r>
  <r>
    <x v="0"/>
    <x v="0"/>
    <x v="3"/>
    <x v="5"/>
    <x v="0"/>
    <x v="0"/>
    <x v="6"/>
    <n v="2484.6367718240199"/>
    <n v="906892.42171576805"/>
  </r>
  <r>
    <x v="0"/>
    <x v="0"/>
    <x v="3"/>
    <x v="5"/>
    <x v="0"/>
    <x v="0"/>
    <x v="7"/>
    <n v="2830.8307253395501"/>
    <n v="1033253.21474893"/>
  </r>
  <r>
    <x v="0"/>
    <x v="0"/>
    <x v="3"/>
    <x v="5"/>
    <x v="0"/>
    <x v="0"/>
    <x v="8"/>
    <n v="2974.6499112055299"/>
    <n v="1085747.21759002"/>
  </r>
  <r>
    <x v="0"/>
    <x v="0"/>
    <x v="3"/>
    <x v="5"/>
    <x v="0"/>
    <x v="0"/>
    <x v="9"/>
    <n v="2982.9961681739301"/>
    <n v="1088793.60138348"/>
  </r>
  <r>
    <x v="0"/>
    <x v="0"/>
    <x v="3"/>
    <x v="5"/>
    <x v="0"/>
    <x v="0"/>
    <x v="10"/>
    <n v="3037.2468384685199"/>
    <n v="1108595.09604101"/>
  </r>
  <r>
    <x v="0"/>
    <x v="0"/>
    <x v="3"/>
    <x v="5"/>
    <x v="0"/>
    <x v="0"/>
    <x v="11"/>
    <n v="3081.2623620597601"/>
    <n v="1124660.7621518101"/>
  </r>
  <r>
    <x v="0"/>
    <x v="0"/>
    <x v="3"/>
    <x v="5"/>
    <x v="0"/>
    <x v="0"/>
    <x v="12"/>
    <n v="3071.0711430246602"/>
    <n v="1120940.9672040001"/>
  </r>
  <r>
    <x v="0"/>
    <x v="0"/>
    <x v="3"/>
    <x v="5"/>
    <x v="0"/>
    <x v="0"/>
    <x v="13"/>
    <n v="3049.5465855798502"/>
    <n v="1113084.5037366401"/>
  </r>
  <r>
    <x v="0"/>
    <x v="0"/>
    <x v="3"/>
    <x v="5"/>
    <x v="0"/>
    <x v="0"/>
    <x v="14"/>
    <n v="3022.6628526079498"/>
    <n v="1103271.9412018999"/>
  </r>
  <r>
    <x v="0"/>
    <x v="0"/>
    <x v="3"/>
    <x v="5"/>
    <x v="0"/>
    <x v="0"/>
    <x v="15"/>
    <n v="3005.2235683108202"/>
    <n v="1096906.6024334501"/>
  </r>
  <r>
    <x v="0"/>
    <x v="0"/>
    <x v="3"/>
    <x v="5"/>
    <x v="0"/>
    <x v="0"/>
    <x v="16"/>
    <n v="2999.4251161011998"/>
    <n v="1094790.1673769399"/>
  </r>
  <r>
    <x v="0"/>
    <x v="0"/>
    <x v="3"/>
    <x v="5"/>
    <x v="0"/>
    <x v="0"/>
    <x v="17"/>
    <n v="3087.1925972741501"/>
    <n v="1126825.2980050601"/>
  </r>
  <r>
    <x v="0"/>
    <x v="0"/>
    <x v="3"/>
    <x v="5"/>
    <x v="0"/>
    <x v="0"/>
    <x v="18"/>
    <n v="3063.6034394213598"/>
    <n v="1118215.2553888001"/>
  </r>
  <r>
    <x v="0"/>
    <x v="0"/>
    <x v="3"/>
    <x v="5"/>
    <x v="0"/>
    <x v="0"/>
    <x v="19"/>
    <n v="2983.3036618517099"/>
    <n v="1088905.8365758799"/>
  </r>
  <r>
    <x v="0"/>
    <x v="0"/>
    <x v="3"/>
    <x v="5"/>
    <x v="0"/>
    <x v="0"/>
    <x v="20"/>
    <n v="2798.3681784993"/>
    <n v="1021404.3851522499"/>
  </r>
  <r>
    <x v="0"/>
    <x v="0"/>
    <x v="3"/>
    <x v="5"/>
    <x v="0"/>
    <x v="0"/>
    <x v="21"/>
    <n v="2620.0218453850998"/>
    <n v="956307.973565561"/>
  </r>
  <r>
    <x v="0"/>
    <x v="0"/>
    <x v="3"/>
    <x v="5"/>
    <x v="0"/>
    <x v="0"/>
    <x v="22"/>
    <n v="2476.4662255286398"/>
    <n v="903910.17231795401"/>
  </r>
  <r>
    <x v="0"/>
    <x v="0"/>
    <x v="3"/>
    <x v="5"/>
    <x v="0"/>
    <x v="0"/>
    <x v="23"/>
    <n v="2245.4506181770198"/>
    <n v="819589.47563461203"/>
  </r>
  <r>
    <x v="0"/>
    <x v="0"/>
    <x v="3"/>
    <x v="6"/>
    <x v="0"/>
    <x v="0"/>
    <x v="0"/>
    <n v="17136.007675497"/>
    <n v="6254642.8015564196"/>
  </r>
  <r>
    <x v="0"/>
    <x v="0"/>
    <x v="3"/>
    <x v="6"/>
    <x v="0"/>
    <x v="0"/>
    <x v="1"/>
    <n v="16334.689134755199"/>
    <n v="5962161.5341856601"/>
  </r>
  <r>
    <x v="0"/>
    <x v="0"/>
    <x v="3"/>
    <x v="6"/>
    <x v="0"/>
    <x v="0"/>
    <x v="2"/>
    <n v="16037.5753653095"/>
    <n v="5853715.0083379699"/>
  </r>
  <r>
    <x v="0"/>
    <x v="0"/>
    <x v="3"/>
    <x v="6"/>
    <x v="0"/>
    <x v="0"/>
    <x v="3"/>
    <n v="16231.916361448901"/>
    <n v="5924649.4719288498"/>
  </r>
  <r>
    <x v="0"/>
    <x v="0"/>
    <x v="3"/>
    <x v="6"/>
    <x v="0"/>
    <x v="0"/>
    <x v="4"/>
    <n v="16893.757566989301"/>
    <n v="6166221.5119510796"/>
  </r>
  <r>
    <x v="0"/>
    <x v="0"/>
    <x v="3"/>
    <x v="6"/>
    <x v="0"/>
    <x v="0"/>
    <x v="5"/>
    <n v="18388.599145644101"/>
    <n v="6711838.6881600898"/>
  </r>
  <r>
    <x v="0"/>
    <x v="0"/>
    <x v="3"/>
    <x v="6"/>
    <x v="0"/>
    <x v="0"/>
    <x v="6"/>
    <n v="21853.509788543099"/>
    <n v="7976531.0728182299"/>
  </r>
  <r>
    <x v="0"/>
    <x v="0"/>
    <x v="3"/>
    <x v="6"/>
    <x v="0"/>
    <x v="0"/>
    <x v="7"/>
    <n v="24898.442970600099"/>
    <n v="9087931.6842690408"/>
  </r>
  <r>
    <x v="0"/>
    <x v="0"/>
    <x v="3"/>
    <x v="6"/>
    <x v="0"/>
    <x v="0"/>
    <x v="8"/>
    <n v="26163.398082648699"/>
    <n v="9549640.3001667596"/>
  </r>
  <r>
    <x v="0"/>
    <x v="0"/>
    <x v="3"/>
    <x v="6"/>
    <x v="0"/>
    <x v="0"/>
    <x v="9"/>
    <n v="26236.807206438902"/>
    <n v="9576434.6303501893"/>
  </r>
  <r>
    <x v="0"/>
    <x v="0"/>
    <x v="3"/>
    <x v="6"/>
    <x v="0"/>
    <x v="0"/>
    <x v="10"/>
    <n v="26713.966511075399"/>
    <n v="9750597.7765425202"/>
  </r>
  <r>
    <x v="0"/>
    <x v="0"/>
    <x v="3"/>
    <x v="6"/>
    <x v="0"/>
    <x v="0"/>
    <x v="11"/>
    <n v="27101.1030481165"/>
    <n v="9891902.6125625297"/>
  </r>
  <r>
    <x v="0"/>
    <x v="0"/>
    <x v="3"/>
    <x v="6"/>
    <x v="0"/>
    <x v="0"/>
    <x v="12"/>
    <n v="27011.466644330601"/>
    <n v="9859185.3251806591"/>
  </r>
  <r>
    <x v="0"/>
    <x v="0"/>
    <x v="3"/>
    <x v="6"/>
    <x v="0"/>
    <x v="0"/>
    <x v="13"/>
    <n v="26822.148377713602"/>
    <n v="9790084.1578654796"/>
  </r>
  <r>
    <x v="0"/>
    <x v="0"/>
    <x v="3"/>
    <x v="6"/>
    <x v="0"/>
    <x v="0"/>
    <x v="14"/>
    <n v="26585.693726347199"/>
    <n v="9703778.2101167291"/>
  </r>
  <r>
    <x v="0"/>
    <x v="0"/>
    <x v="3"/>
    <x v="6"/>
    <x v="0"/>
    <x v="0"/>
    <x v="15"/>
    <n v="26432.307294006601"/>
    <n v="9647792.1623123996"/>
  </r>
  <r>
    <x v="0"/>
    <x v="0"/>
    <x v="3"/>
    <x v="6"/>
    <x v="0"/>
    <x v="0"/>
    <x v="16"/>
    <n v="26381.307271162801"/>
    <n v="9629177.1539744306"/>
  </r>
  <r>
    <x v="0"/>
    <x v="0"/>
    <x v="3"/>
    <x v="6"/>
    <x v="0"/>
    <x v="0"/>
    <x v="17"/>
    <n v="27153.262162388499"/>
    <n v="9910940.6892718207"/>
  </r>
  <r>
    <x v="0"/>
    <x v="0"/>
    <x v="3"/>
    <x v="6"/>
    <x v="0"/>
    <x v="0"/>
    <x v="18"/>
    <n v="26945.7847967288"/>
    <n v="9835211.4508059993"/>
  </r>
  <r>
    <x v="0"/>
    <x v="0"/>
    <x v="3"/>
    <x v="6"/>
    <x v="0"/>
    <x v="0"/>
    <x v="19"/>
    <n v="26239.511753104802"/>
    <n v="9577421.7898832709"/>
  </r>
  <r>
    <x v="0"/>
    <x v="0"/>
    <x v="3"/>
    <x v="6"/>
    <x v="0"/>
    <x v="0"/>
    <x v="20"/>
    <n v="24612.920115436998"/>
    <n v="8983715.8421345204"/>
  </r>
  <r>
    <x v="0"/>
    <x v="0"/>
    <x v="3"/>
    <x v="6"/>
    <x v="0"/>
    <x v="0"/>
    <x v="21"/>
    <n v="23044.283049182599"/>
    <n v="8411163.3129516393"/>
  </r>
  <r>
    <x v="0"/>
    <x v="0"/>
    <x v="3"/>
    <x v="6"/>
    <x v="0"/>
    <x v="0"/>
    <x v="22"/>
    <n v="21781.646119990601"/>
    <n v="7950300.8337965496"/>
  </r>
  <r>
    <x v="0"/>
    <x v="0"/>
    <x v="3"/>
    <x v="6"/>
    <x v="0"/>
    <x v="0"/>
    <x v="23"/>
    <n v="19749.758846238801"/>
    <n v="7208661.9788771505"/>
  </r>
  <r>
    <x v="0"/>
    <x v="0"/>
    <x v="3"/>
    <x v="7"/>
    <x v="0"/>
    <x v="0"/>
    <x v="0"/>
    <n v="18862.892169926999"/>
    <n v="6884955.6420233501"/>
  </r>
  <r>
    <x v="0"/>
    <x v="0"/>
    <x v="3"/>
    <x v="7"/>
    <x v="0"/>
    <x v="0"/>
    <x v="1"/>
    <n v="17980.820597947601"/>
    <n v="6562999.5182508798"/>
  </r>
  <r>
    <x v="0"/>
    <x v="0"/>
    <x v="3"/>
    <x v="7"/>
    <x v="0"/>
    <x v="0"/>
    <x v="2"/>
    <n v="17653.765130805801"/>
    <n v="6443624.2727441201"/>
  </r>
  <r>
    <x v="0"/>
    <x v="0"/>
    <x v="3"/>
    <x v="7"/>
    <x v="0"/>
    <x v="0"/>
    <x v="3"/>
    <n v="17867.690878494101"/>
    <n v="6521707.1706503602"/>
  </r>
  <r>
    <x v="0"/>
    <x v="0"/>
    <x v="3"/>
    <x v="7"/>
    <x v="0"/>
    <x v="0"/>
    <x v="4"/>
    <n v="18596.2292597866"/>
    <n v="6787623.6798221199"/>
  </r>
  <r>
    <x v="0"/>
    <x v="0"/>
    <x v="3"/>
    <x v="7"/>
    <x v="0"/>
    <x v="0"/>
    <x v="5"/>
    <n v="20241.713788228401"/>
    <n v="7388225.5327033503"/>
  </r>
  <r>
    <x v="0"/>
    <x v="0"/>
    <x v="3"/>
    <x v="7"/>
    <x v="0"/>
    <x v="0"/>
    <x v="6"/>
    <n v="24055.801472659801"/>
    <n v="8780367.5375208408"/>
  </r>
  <r>
    <x v="0"/>
    <x v="0"/>
    <x v="3"/>
    <x v="7"/>
    <x v="0"/>
    <x v="0"/>
    <x v="7"/>
    <n v="27407.588386242001"/>
    <n v="10003769.7609783"/>
  </r>
  <r>
    <x v="0"/>
    <x v="0"/>
    <x v="3"/>
    <x v="7"/>
    <x v="0"/>
    <x v="0"/>
    <x v="8"/>
    <n v="28800.019594853598"/>
    <n v="10512007.152121499"/>
  </r>
  <r>
    <x v="0"/>
    <x v="0"/>
    <x v="3"/>
    <x v="7"/>
    <x v="0"/>
    <x v="0"/>
    <x v="9"/>
    <n v="28880.826537320299"/>
    <n v="10541501.6861219"/>
  </r>
  <r>
    <x v="0"/>
    <x v="0"/>
    <x v="3"/>
    <x v="7"/>
    <x v="0"/>
    <x v="0"/>
    <x v="10"/>
    <n v="29406.071663354302"/>
    <n v="10733216.1571243"/>
  </r>
  <r>
    <x v="0"/>
    <x v="0"/>
    <x v="3"/>
    <x v="7"/>
    <x v="0"/>
    <x v="0"/>
    <x v="11"/>
    <n v="29832.221959942199"/>
    <n v="10888761.0153789"/>
  </r>
  <r>
    <x v="0"/>
    <x v="0"/>
    <x v="3"/>
    <x v="7"/>
    <x v="0"/>
    <x v="0"/>
    <x v="12"/>
    <n v="29733.5524301933"/>
    <n v="10852746.637020599"/>
  </r>
  <r>
    <x v="0"/>
    <x v="0"/>
    <x v="3"/>
    <x v="7"/>
    <x v="0"/>
    <x v="0"/>
    <x v="13"/>
    <n v="29525.155578568501"/>
    <n v="10776681.786177499"/>
  </r>
  <r>
    <x v="0"/>
    <x v="0"/>
    <x v="3"/>
    <x v="7"/>
    <x v="0"/>
    <x v="0"/>
    <x v="14"/>
    <n v="29264.872163886099"/>
    <n v="10681678.339818399"/>
  </r>
  <r>
    <x v="0"/>
    <x v="0"/>
    <x v="3"/>
    <x v="7"/>
    <x v="0"/>
    <x v="0"/>
    <x v="15"/>
    <n v="29096.0281841002"/>
    <n v="10620050.287196601"/>
  </r>
  <r>
    <x v="0"/>
    <x v="0"/>
    <x v="3"/>
    <x v="7"/>
    <x v="0"/>
    <x v="0"/>
    <x v="16"/>
    <n v="29039.8886240707"/>
    <n v="10599559.347785801"/>
  </r>
  <r>
    <x v="0"/>
    <x v="0"/>
    <x v="3"/>
    <x v="7"/>
    <x v="0"/>
    <x v="0"/>
    <x v="17"/>
    <n v="29889.637419063401"/>
    <n v="10909717.6579581"/>
  </r>
  <r>
    <x v="0"/>
    <x v="0"/>
    <x v="3"/>
    <x v="7"/>
    <x v="0"/>
    <x v="0"/>
    <x v="18"/>
    <n v="29661.251481670399"/>
    <n v="10826356.7908097"/>
  </r>
  <r>
    <x v="0"/>
    <x v="0"/>
    <x v="3"/>
    <x v="7"/>
    <x v="0"/>
    <x v="0"/>
    <x v="19"/>
    <n v="28883.8036352007"/>
    <n v="10542588.3268482"/>
  </r>
  <r>
    <x v="0"/>
    <x v="0"/>
    <x v="3"/>
    <x v="7"/>
    <x v="0"/>
    <x v="0"/>
    <x v="20"/>
    <n v="27093.291910016"/>
    <n v="9889051.5471558291"/>
  </r>
  <r>
    <x v="0"/>
    <x v="0"/>
    <x v="3"/>
    <x v="7"/>
    <x v="0"/>
    <x v="0"/>
    <x v="21"/>
    <n v="25366.575139410299"/>
    <n v="9258799.9258847497"/>
  </r>
  <r>
    <x v="0"/>
    <x v="0"/>
    <x v="3"/>
    <x v="7"/>
    <x v="0"/>
    <x v="0"/>
    <x v="22"/>
    <n v="23976.6957289819"/>
    <n v="8751493.9410783798"/>
  </r>
  <r>
    <x v="0"/>
    <x v="0"/>
    <x v="3"/>
    <x v="7"/>
    <x v="0"/>
    <x v="0"/>
    <x v="23"/>
    <n v="21740.044621441099"/>
    <n v="7935116.2868260099"/>
  </r>
  <r>
    <x v="0"/>
    <x v="0"/>
    <x v="4"/>
    <x v="8"/>
    <x v="0"/>
    <x v="0"/>
    <x v="0"/>
    <n v="626.37691782578304"/>
    <n v="228627.575006411"/>
  </r>
  <r>
    <x v="0"/>
    <x v="0"/>
    <x v="4"/>
    <x v="8"/>
    <x v="0"/>
    <x v="0"/>
    <x v="1"/>
    <n v="576.15719409339499"/>
    <n v="210297.37584408899"/>
  </r>
  <r>
    <x v="0"/>
    <x v="0"/>
    <x v="4"/>
    <x v="8"/>
    <x v="0"/>
    <x v="0"/>
    <x v="2"/>
    <n v="556.98239048648304"/>
    <n v="203298.57252756599"/>
  </r>
  <r>
    <x v="0"/>
    <x v="0"/>
    <x v="4"/>
    <x v="8"/>
    <x v="0"/>
    <x v="0"/>
    <x v="3"/>
    <n v="546.93844574000605"/>
    <n v="199632.53269510201"/>
  </r>
  <r>
    <x v="0"/>
    <x v="0"/>
    <x v="4"/>
    <x v="8"/>
    <x v="0"/>
    <x v="0"/>
    <x v="4"/>
    <n v="555.15621871439703"/>
    <n v="202632.01983075499"/>
  </r>
  <r>
    <x v="0"/>
    <x v="0"/>
    <x v="4"/>
    <x v="8"/>
    <x v="0"/>
    <x v="0"/>
    <x v="5"/>
    <n v="599.89742713052397"/>
    <n v="218962.56090264101"/>
  </r>
  <r>
    <x v="0"/>
    <x v="0"/>
    <x v="4"/>
    <x v="8"/>
    <x v="0"/>
    <x v="0"/>
    <x v="6"/>
    <n v="724.99019351847198"/>
    <n v="264621.42063424201"/>
  </r>
  <r>
    <x v="0"/>
    <x v="0"/>
    <x v="4"/>
    <x v="8"/>
    <x v="0"/>
    <x v="0"/>
    <x v="7"/>
    <n v="907.60737072715494"/>
    <n v="331276.69031541201"/>
  </r>
  <r>
    <x v="0"/>
    <x v="0"/>
    <x v="4"/>
    <x v="8"/>
    <x v="0"/>
    <x v="0"/>
    <x v="8"/>
    <n v="1029.9608794569699"/>
    <n v="375935.72100179503"/>
  </r>
  <r>
    <x v="0"/>
    <x v="0"/>
    <x v="4"/>
    <x v="8"/>
    <x v="0"/>
    <x v="0"/>
    <x v="9"/>
    <n v="1064.65814312662"/>
    <n v="388600.22224121698"/>
  </r>
  <r>
    <x v="0"/>
    <x v="0"/>
    <x v="4"/>
    <x v="8"/>
    <x v="0"/>
    <x v="0"/>
    <x v="10"/>
    <n v="1077.4413455312299"/>
    <n v="393266.091118899"/>
  </r>
  <r>
    <x v="0"/>
    <x v="0"/>
    <x v="4"/>
    <x v="8"/>
    <x v="0"/>
    <x v="0"/>
    <x v="11"/>
    <n v="1057.35345603828"/>
    <n v="385934.01145396999"/>
  </r>
  <r>
    <x v="0"/>
    <x v="0"/>
    <x v="4"/>
    <x v="8"/>
    <x v="0"/>
    <x v="0"/>
    <x v="12"/>
    <n v="1053.7011124941"/>
    <n v="384600.90606034698"/>
  </r>
  <r>
    <x v="0"/>
    <x v="0"/>
    <x v="4"/>
    <x v="8"/>
    <x v="0"/>
    <x v="0"/>
    <x v="13"/>
    <n v="1049.1356830638799"/>
    <n v="382934.524318318"/>
  </r>
  <r>
    <x v="0"/>
    <x v="0"/>
    <x v="4"/>
    <x v="8"/>
    <x v="0"/>
    <x v="0"/>
    <x v="14"/>
    <n v="1052.7880266080599"/>
    <n v="384267.629711941"/>
  </r>
  <r>
    <x v="0"/>
    <x v="0"/>
    <x v="4"/>
    <x v="8"/>
    <x v="0"/>
    <x v="0"/>
    <x v="15"/>
    <n v="1060.0927136964101"/>
    <n v="386933.84049918799"/>
  </r>
  <r>
    <x v="0"/>
    <x v="0"/>
    <x v="4"/>
    <x v="8"/>
    <x v="0"/>
    <x v="0"/>
    <x v="16"/>
    <n v="1103.9208362264901"/>
    <n v="402931.10522266902"/>
  </r>
  <r>
    <x v="0"/>
    <x v="0"/>
    <x v="4"/>
    <x v="8"/>
    <x v="0"/>
    <x v="0"/>
    <x v="17"/>
    <n v="1095.7030632521"/>
    <n v="399931.61808701599"/>
  </r>
  <r>
    <x v="0"/>
    <x v="0"/>
    <x v="4"/>
    <x v="8"/>
    <x v="0"/>
    <x v="0"/>
    <x v="18"/>
    <n v="1068.3104866707999"/>
    <n v="389933.32763484103"/>
  </r>
  <r>
    <x v="0"/>
    <x v="0"/>
    <x v="4"/>
    <x v="8"/>
    <x v="0"/>
    <x v="0"/>
    <x v="19"/>
    <n v="1029.9608794569699"/>
    <n v="375935.72100179503"/>
  </r>
  <r>
    <x v="0"/>
    <x v="0"/>
    <x v="4"/>
    <x v="8"/>
    <x v="0"/>
    <x v="0"/>
    <x v="20"/>
    <n v="994.35052990127997"/>
    <n v="362937.94341396698"/>
  </r>
  <r>
    <x v="0"/>
    <x v="0"/>
    <x v="4"/>
    <x v="8"/>
    <x v="0"/>
    <x v="0"/>
    <x v="21"/>
    <n v="943.21772028284795"/>
    <n v="344274.46790324"/>
  </r>
  <r>
    <x v="0"/>
    <x v="0"/>
    <x v="4"/>
    <x v="8"/>
    <x v="0"/>
    <x v="0"/>
    <x v="22"/>
    <n v="849.16987402037603"/>
    <n v="309947.00401743699"/>
  </r>
  <r>
    <x v="0"/>
    <x v="0"/>
    <x v="4"/>
    <x v="8"/>
    <x v="0"/>
    <x v="0"/>
    <x v="23"/>
    <n v="740.51265358120997"/>
    <n v="270287.11855714198"/>
  </r>
  <r>
    <x v="0"/>
    <x v="0"/>
    <x v="5"/>
    <x v="9"/>
    <x v="0"/>
    <x v="0"/>
    <x v="0"/>
    <n v="922.09306422709301"/>
    <n v="336563.96844288899"/>
  </r>
  <r>
    <x v="0"/>
    <x v="0"/>
    <x v="5"/>
    <x v="9"/>
    <x v="0"/>
    <x v="0"/>
    <x v="1"/>
    <n v="850.190348850345"/>
    <n v="310319.47733037599"/>
  </r>
  <r>
    <x v="0"/>
    <x v="0"/>
    <x v="5"/>
    <x v="9"/>
    <x v="0"/>
    <x v="0"/>
    <x v="2"/>
    <n v="807.52280346194505"/>
    <n v="294745.82326361001"/>
  </r>
  <r>
    <x v="0"/>
    <x v="0"/>
    <x v="5"/>
    <x v="9"/>
    <x v="0"/>
    <x v="0"/>
    <x v="3"/>
    <n v="786.97917049715898"/>
    <n v="287247.39723146299"/>
  </r>
  <r>
    <x v="0"/>
    <x v="0"/>
    <x v="5"/>
    <x v="9"/>
    <x v="0"/>
    <x v="0"/>
    <x v="4"/>
    <n v="777.49749374418104"/>
    <n v="283786.585216626"/>
  </r>
  <r>
    <x v="0"/>
    <x v="0"/>
    <x v="5"/>
    <x v="9"/>
    <x v="0"/>
    <x v="0"/>
    <x v="5"/>
    <n v="786.18903076774404"/>
    <n v="286958.996230227"/>
  </r>
  <r>
    <x v="0"/>
    <x v="0"/>
    <x v="5"/>
    <x v="9"/>
    <x v="0"/>
    <x v="0"/>
    <x v="6"/>
    <n v="843.07909128561096"/>
    <n v="307723.86831924802"/>
  </r>
  <r>
    <x v="0"/>
    <x v="0"/>
    <x v="5"/>
    <x v="9"/>
    <x v="0"/>
    <x v="0"/>
    <x v="7"/>
    <n v="1027.1816482392601"/>
    <n v="374921.30160733103"/>
  </r>
  <r>
    <x v="0"/>
    <x v="0"/>
    <x v="5"/>
    <x v="9"/>
    <x v="0"/>
    <x v="0"/>
    <x v="8"/>
    <n v="1220.76588194589"/>
    <n v="445579.54691025103"/>
  </r>
  <r>
    <x v="0"/>
    <x v="0"/>
    <x v="5"/>
    <x v="9"/>
    <x v="0"/>
    <x v="0"/>
    <x v="9"/>
    <n v="1321.11362758158"/>
    <n v="482206.474067275"/>
  </r>
  <r>
    <x v="0"/>
    <x v="0"/>
    <x v="5"/>
    <x v="9"/>
    <x v="0"/>
    <x v="0"/>
    <x v="10"/>
    <n v="1332.1755837933799"/>
    <n v="486244.08808458498"/>
  </r>
  <r>
    <x v="0"/>
    <x v="0"/>
    <x v="5"/>
    <x v="9"/>
    <x v="0"/>
    <x v="0"/>
    <x v="11"/>
    <n v="1332.9657235228001"/>
    <n v="486532.48908582202"/>
  </r>
  <r>
    <x v="0"/>
    <x v="0"/>
    <x v="5"/>
    <x v="9"/>
    <x v="0"/>
    <x v="0"/>
    <x v="12"/>
    <n v="1332.9657235228001"/>
    <n v="486532.48908582202"/>
  </r>
  <r>
    <x v="0"/>
    <x v="0"/>
    <x v="5"/>
    <x v="9"/>
    <x v="0"/>
    <x v="0"/>
    <x v="13"/>
    <n v="1310.05167136977"/>
    <n v="478168.86004996602"/>
  </r>
  <r>
    <x v="0"/>
    <x v="0"/>
    <x v="5"/>
    <x v="9"/>
    <x v="0"/>
    <x v="0"/>
    <x v="14"/>
    <n v="1327.4347454168999"/>
    <n v="484513.68207716697"/>
  </r>
  <r>
    <x v="0"/>
    <x v="0"/>
    <x v="5"/>
    <x v="9"/>
    <x v="0"/>
    <x v="0"/>
    <x v="15"/>
    <n v="1326.64460568748"/>
    <n v="484225.28107592999"/>
  </r>
  <r>
    <x v="0"/>
    <x v="0"/>
    <x v="5"/>
    <x v="9"/>
    <x v="0"/>
    <x v="0"/>
    <x v="16"/>
    <n v="1326.64460568748"/>
    <n v="484225.28107592999"/>
  </r>
  <r>
    <x v="0"/>
    <x v="0"/>
    <x v="5"/>
    <x v="9"/>
    <x v="0"/>
    <x v="0"/>
    <x v="17"/>
    <n v="1355.8797756758299"/>
    <n v="494896.11812167702"/>
  </r>
  <r>
    <x v="0"/>
    <x v="0"/>
    <x v="5"/>
    <x v="9"/>
    <x v="0"/>
    <x v="0"/>
    <x v="18"/>
    <n v="1379.5839675582699"/>
    <n v="503548.14815877"/>
  </r>
  <r>
    <x v="0"/>
    <x v="0"/>
    <x v="5"/>
    <x v="9"/>
    <x v="0"/>
    <x v="0"/>
    <x v="19"/>
    <n v="1344.02767973461"/>
    <n v="490570.103103131"/>
  </r>
  <r>
    <x v="0"/>
    <x v="0"/>
    <x v="5"/>
    <x v="9"/>
    <x v="0"/>
    <x v="0"/>
    <x v="20"/>
    <n v="1306.8911124521101"/>
    <n v="477015.25604502001"/>
  </r>
  <r>
    <x v="0"/>
    <x v="0"/>
    <x v="5"/>
    <x v="9"/>
    <x v="0"/>
    <x v="0"/>
    <x v="21"/>
    <n v="1265.80384652254"/>
    <n v="462018.40398072702"/>
  </r>
  <r>
    <x v="0"/>
    <x v="0"/>
    <x v="5"/>
    <x v="9"/>
    <x v="0"/>
    <x v="0"/>
    <x v="22"/>
    <n v="1197.06169006345"/>
    <n v="436927.51687315898"/>
  </r>
  <r>
    <x v="0"/>
    <x v="0"/>
    <x v="5"/>
    <x v="9"/>
    <x v="0"/>
    <x v="0"/>
    <x v="23"/>
    <n v="1069.84919362766"/>
    <n v="390494.955674097"/>
  </r>
  <r>
    <x v="0"/>
    <x v="0"/>
    <x v="6"/>
    <x v="10"/>
    <x v="0"/>
    <x v="0"/>
    <x v="0"/>
    <n v="9244.8732449516901"/>
    <n v="3374378.73440737"/>
  </r>
  <r>
    <x v="0"/>
    <x v="0"/>
    <x v="6"/>
    <x v="10"/>
    <x v="0"/>
    <x v="0"/>
    <x v="1"/>
    <n v="8760.3195324266508"/>
    <n v="3197516.6293357299"/>
  </r>
  <r>
    <x v="0"/>
    <x v="0"/>
    <x v="6"/>
    <x v="10"/>
    <x v="0"/>
    <x v="0"/>
    <x v="2"/>
    <n v="8550.7827918752791"/>
    <n v="3121035.7190344799"/>
  </r>
  <r>
    <x v="0"/>
    <x v="0"/>
    <x v="6"/>
    <x v="10"/>
    <x v="0"/>
    <x v="0"/>
    <x v="3"/>
    <n v="8492.7860154726695"/>
    <n v="3099866.8956475202"/>
  </r>
  <r>
    <x v="0"/>
    <x v="0"/>
    <x v="6"/>
    <x v="10"/>
    <x v="0"/>
    <x v="0"/>
    <x v="4"/>
    <n v="8585.3937713413507"/>
    <n v="3133668.7265395899"/>
  </r>
  <r>
    <x v="0"/>
    <x v="0"/>
    <x v="6"/>
    <x v="10"/>
    <x v="0"/>
    <x v="0"/>
    <x v="5"/>
    <n v="9030.6593450130094"/>
    <n v="3296190.6609297502"/>
  </r>
  <r>
    <x v="0"/>
    <x v="0"/>
    <x v="6"/>
    <x v="10"/>
    <x v="0"/>
    <x v="0"/>
    <x v="6"/>
    <n v="10427.259138063"/>
    <n v="3805949.5853929901"/>
  </r>
  <r>
    <x v="0"/>
    <x v="0"/>
    <x v="6"/>
    <x v="10"/>
    <x v="0"/>
    <x v="0"/>
    <x v="7"/>
    <n v="12839.7379500361"/>
    <n v="4686504.3517631805"/>
  </r>
  <r>
    <x v="0"/>
    <x v="0"/>
    <x v="6"/>
    <x v="10"/>
    <x v="0"/>
    <x v="0"/>
    <x v="8"/>
    <n v="14346.718704626501"/>
    <n v="5236552.3271886902"/>
  </r>
  <r>
    <x v="0"/>
    <x v="0"/>
    <x v="6"/>
    <x v="10"/>
    <x v="0"/>
    <x v="0"/>
    <x v="9"/>
    <n v="14696.570226797099"/>
    <n v="5364248.1327809496"/>
  </r>
  <r>
    <x v="0"/>
    <x v="0"/>
    <x v="6"/>
    <x v="10"/>
    <x v="0"/>
    <x v="0"/>
    <x v="10"/>
    <n v="14743.341820670201"/>
    <n v="5381319.7645446202"/>
  </r>
  <r>
    <x v="0"/>
    <x v="0"/>
    <x v="6"/>
    <x v="10"/>
    <x v="0"/>
    <x v="0"/>
    <x v="11"/>
    <n v="14925.7510367752"/>
    <n v="5447899.1284229401"/>
  </r>
  <r>
    <x v="0"/>
    <x v="0"/>
    <x v="6"/>
    <x v="10"/>
    <x v="0"/>
    <x v="0"/>
    <x v="12"/>
    <n v="14815.370075234699"/>
    <n v="5407610.0774606802"/>
  </r>
  <r>
    <x v="0"/>
    <x v="0"/>
    <x v="6"/>
    <x v="10"/>
    <x v="0"/>
    <x v="0"/>
    <x v="13"/>
    <n v="14960.362016241301"/>
    <n v="5460532.1359280599"/>
  </r>
  <r>
    <x v="0"/>
    <x v="0"/>
    <x v="6"/>
    <x v="10"/>
    <x v="0"/>
    <x v="0"/>
    <x v="14"/>
    <n v="14868.68969225"/>
    <n v="5427071.7376712598"/>
  </r>
  <r>
    <x v="0"/>
    <x v="0"/>
    <x v="6"/>
    <x v="10"/>
    <x v="0"/>
    <x v="0"/>
    <x v="15"/>
    <n v="14776.081936381301"/>
    <n v="5393269.9067791896"/>
  </r>
  <r>
    <x v="0"/>
    <x v="0"/>
    <x v="6"/>
    <x v="10"/>
    <x v="0"/>
    <x v="0"/>
    <x v="16"/>
    <n v="15061.3886590071"/>
    <n v="5497406.8605375905"/>
  </r>
  <r>
    <x v="0"/>
    <x v="0"/>
    <x v="6"/>
    <x v="10"/>
    <x v="0"/>
    <x v="0"/>
    <x v="17"/>
    <n v="15754.543680205999"/>
    <n v="5750408.4432752104"/>
  </r>
  <r>
    <x v="0"/>
    <x v="0"/>
    <x v="6"/>
    <x v="10"/>
    <x v="0"/>
    <x v="0"/>
    <x v="18"/>
    <n v="15045.486317090301"/>
    <n v="5491602.5057379398"/>
  </r>
  <r>
    <x v="0"/>
    <x v="0"/>
    <x v="6"/>
    <x v="10"/>
    <x v="0"/>
    <x v="0"/>
    <x v="19"/>
    <n v="14629.219131619901"/>
    <n v="5339664.9830412604"/>
  </r>
  <r>
    <x v="0"/>
    <x v="0"/>
    <x v="6"/>
    <x v="10"/>
    <x v="0"/>
    <x v="0"/>
    <x v="20"/>
    <n v="13893.034244057701"/>
    <n v="5070957.4990810696"/>
  </r>
  <r>
    <x v="0"/>
    <x v="0"/>
    <x v="6"/>
    <x v="10"/>
    <x v="0"/>
    <x v="0"/>
    <x v="21"/>
    <n v="13011.857415488999"/>
    <n v="4749327.9566534897"/>
  </r>
  <r>
    <x v="0"/>
    <x v="0"/>
    <x v="6"/>
    <x v="10"/>
    <x v="0"/>
    <x v="0"/>
    <x v="22"/>
    <n v="11966.0445764871"/>
    <n v="4367606.2704177899"/>
  </r>
  <r>
    <x v="0"/>
    <x v="0"/>
    <x v="6"/>
    <x v="10"/>
    <x v="0"/>
    <x v="0"/>
    <x v="23"/>
    <n v="10942.682102544301"/>
    <n v="3994078.9674286498"/>
  </r>
  <r>
    <x v="0"/>
    <x v="0"/>
    <x v="7"/>
    <x v="11"/>
    <x v="0"/>
    <x v="0"/>
    <x v="0"/>
    <n v="3289.87832020419"/>
    <n v="1200805.58687453"/>
  </r>
  <r>
    <x v="0"/>
    <x v="0"/>
    <x v="7"/>
    <x v="11"/>
    <x v="0"/>
    <x v="0"/>
    <x v="1"/>
    <n v="3235.83880267015"/>
    <n v="1181081.1629746"/>
  </r>
  <r>
    <x v="0"/>
    <x v="0"/>
    <x v="7"/>
    <x v="11"/>
    <x v="0"/>
    <x v="0"/>
    <x v="2"/>
    <n v="3223.9619856296999"/>
    <n v="1176746.12475484"/>
  </r>
  <r>
    <x v="0"/>
    <x v="0"/>
    <x v="7"/>
    <x v="11"/>
    <x v="0"/>
    <x v="0"/>
    <x v="3"/>
    <n v="3235.2449618181299"/>
    <n v="1180864.4110636199"/>
  </r>
  <r>
    <x v="0"/>
    <x v="0"/>
    <x v="7"/>
    <x v="11"/>
    <x v="0"/>
    <x v="0"/>
    <x v="4"/>
    <n v="3282.7522299799198"/>
    <n v="1198204.5639426699"/>
  </r>
  <r>
    <x v="0"/>
    <x v="0"/>
    <x v="7"/>
    <x v="11"/>
    <x v="0"/>
    <x v="0"/>
    <x v="5"/>
    <n v="3437.74469235777"/>
    <n v="1254776.81271059"/>
  </r>
  <r>
    <x v="0"/>
    <x v="0"/>
    <x v="7"/>
    <x v="11"/>
    <x v="0"/>
    <x v="0"/>
    <x v="6"/>
    <n v="3847.4948802532399"/>
    <n v="1404335.63129243"/>
  </r>
  <r>
    <x v="0"/>
    <x v="0"/>
    <x v="7"/>
    <x v="11"/>
    <x v="0"/>
    <x v="0"/>
    <x v="7"/>
    <n v="4292.2816784180304"/>
    <n v="1566682.81262258"/>
  </r>
  <r>
    <x v="0"/>
    <x v="0"/>
    <x v="7"/>
    <x v="11"/>
    <x v="0"/>
    <x v="0"/>
    <x v="8"/>
    <n v="4400.3607134861104"/>
    <n v="1606131.6604224299"/>
  </r>
  <r>
    <x v="0"/>
    <x v="0"/>
    <x v="7"/>
    <x v="11"/>
    <x v="0"/>
    <x v="0"/>
    <x v="9"/>
    <n v="4331.4751746515103"/>
    <n v="1580988.4387478"/>
  </r>
  <r>
    <x v="0"/>
    <x v="0"/>
    <x v="7"/>
    <x v="11"/>
    <x v="0"/>
    <x v="0"/>
    <x v="10"/>
    <n v="4359.3856946965598"/>
    <n v="1591175.7785642401"/>
  </r>
  <r>
    <x v="0"/>
    <x v="0"/>
    <x v="7"/>
    <x v="11"/>
    <x v="0"/>
    <x v="0"/>
    <x v="11"/>
    <n v="4314.2537899428598"/>
    <n v="1574702.63332914"/>
  </r>
  <r>
    <x v="0"/>
    <x v="0"/>
    <x v="7"/>
    <x v="11"/>
    <x v="0"/>
    <x v="0"/>
    <x v="12"/>
    <n v="4300.5954503463399"/>
    <n v="1569717.33937641"/>
  </r>
  <r>
    <x v="0"/>
    <x v="0"/>
    <x v="7"/>
    <x v="11"/>
    <x v="0"/>
    <x v="0"/>
    <x v="13"/>
    <n v="4286.3432698978004"/>
    <n v="1564515.2935126999"/>
  </r>
  <r>
    <x v="0"/>
    <x v="0"/>
    <x v="7"/>
    <x v="11"/>
    <x v="0"/>
    <x v="0"/>
    <x v="14"/>
    <n v="4248.9312962203903"/>
    <n v="1550859.92312044"/>
  </r>
  <r>
    <x v="0"/>
    <x v="0"/>
    <x v="7"/>
    <x v="11"/>
    <x v="0"/>
    <x v="0"/>
    <x v="15"/>
    <n v="4264.9649992249997"/>
    <n v="1556712.2247171199"/>
  </r>
  <r>
    <x v="0"/>
    <x v="0"/>
    <x v="7"/>
    <x v="11"/>
    <x v="0"/>
    <x v="0"/>
    <x v="16"/>
    <n v="4345.1335142480202"/>
    <n v="1585973.73270053"/>
  </r>
  <r>
    <x v="0"/>
    <x v="0"/>
    <x v="7"/>
    <x v="11"/>
    <x v="0"/>
    <x v="0"/>
    <x v="17"/>
    <n v="4285.7494290457798"/>
    <n v="1564298.54160171"/>
  </r>
  <r>
    <x v="0"/>
    <x v="0"/>
    <x v="7"/>
    <x v="11"/>
    <x v="0"/>
    <x v="0"/>
    <x v="18"/>
    <n v="4221.02077617534"/>
    <n v="1540672.5833040001"/>
  </r>
  <r>
    <x v="0"/>
    <x v="0"/>
    <x v="7"/>
    <x v="11"/>
    <x v="0"/>
    <x v="0"/>
    <x v="19"/>
    <n v="4098.6895606587204"/>
    <n v="1496021.68964043"/>
  </r>
  <r>
    <x v="0"/>
    <x v="0"/>
    <x v="7"/>
    <x v="11"/>
    <x v="0"/>
    <x v="0"/>
    <x v="20"/>
    <n v="4017.3333639316502"/>
    <n v="1466326.67783505"/>
  </r>
  <r>
    <x v="0"/>
    <x v="0"/>
    <x v="7"/>
    <x v="11"/>
    <x v="0"/>
    <x v="0"/>
    <x v="21"/>
    <n v="3929.4449178323298"/>
    <n v="1434247.3950088001"/>
  </r>
  <r>
    <x v="0"/>
    <x v="0"/>
    <x v="7"/>
    <x v="11"/>
    <x v="0"/>
    <x v="0"/>
    <x v="22"/>
    <n v="3697.25314469157"/>
    <n v="1349497.39781242"/>
  </r>
  <r>
    <x v="0"/>
    <x v="0"/>
    <x v="7"/>
    <x v="11"/>
    <x v="0"/>
    <x v="0"/>
    <x v="23"/>
    <n v="3522.0700933449498"/>
    <n v="1285555.58407091"/>
  </r>
  <r>
    <x v="0"/>
    <x v="0"/>
    <x v="7"/>
    <x v="12"/>
    <x v="0"/>
    <x v="0"/>
    <x v="0"/>
    <n v="3303.5305846607798"/>
    <n v="1205788.66340119"/>
  </r>
  <r>
    <x v="0"/>
    <x v="0"/>
    <x v="7"/>
    <x v="12"/>
    <x v="0"/>
    <x v="0"/>
    <x v="1"/>
    <n v="3218.5421846742702"/>
    <n v="1174767.8974061101"/>
  </r>
  <r>
    <x v="0"/>
    <x v="0"/>
    <x v="7"/>
    <x v="12"/>
    <x v="0"/>
    <x v="0"/>
    <x v="2"/>
    <n v="3190.2127180121101"/>
    <n v="1164427.6420744199"/>
  </r>
  <r>
    <x v="0"/>
    <x v="0"/>
    <x v="7"/>
    <x v="12"/>
    <x v="0"/>
    <x v="0"/>
    <x v="3"/>
    <n v="3261.8233142970398"/>
    <n v="1190565.50971842"/>
  </r>
  <r>
    <x v="0"/>
    <x v="0"/>
    <x v="7"/>
    <x v="12"/>
    <x v="0"/>
    <x v="0"/>
    <x v="4"/>
    <n v="3326.3515439164198"/>
    <n v="1214118.31352949"/>
  </r>
  <r>
    <x v="0"/>
    <x v="0"/>
    <x v="7"/>
    <x v="12"/>
    <x v="0"/>
    <x v="0"/>
    <x v="5"/>
    <n v="3471.1465957452901"/>
    <n v="1266968.5074470299"/>
  </r>
  <r>
    <x v="0"/>
    <x v="0"/>
    <x v="7"/>
    <x v="12"/>
    <x v="0"/>
    <x v="0"/>
    <x v="6"/>
    <n v="3765.4582771800501"/>
    <n v="1374392.27117072"/>
  </r>
  <r>
    <x v="0"/>
    <x v="0"/>
    <x v="7"/>
    <x v="12"/>
    <x v="0"/>
    <x v="0"/>
    <x v="7"/>
    <n v="4110.1334549031099"/>
    <n v="1500198.71103964"/>
  </r>
  <r>
    <x v="0"/>
    <x v="0"/>
    <x v="7"/>
    <x v="12"/>
    <x v="0"/>
    <x v="0"/>
    <x v="8"/>
    <n v="4209.2865882207097"/>
    <n v="1536389.60470056"/>
  </r>
  <r>
    <x v="0"/>
    <x v="0"/>
    <x v="7"/>
    <x v="12"/>
    <x v="0"/>
    <x v="0"/>
    <x v="9"/>
    <n v="4201.4172919256598"/>
    <n v="1533517.3115528701"/>
  </r>
  <r>
    <x v="0"/>
    <x v="0"/>
    <x v="7"/>
    <x v="12"/>
    <x v="0"/>
    <x v="0"/>
    <x v="10"/>
    <n v="4093.6079326835202"/>
    <n v="1494166.8954294799"/>
  </r>
  <r>
    <x v="0"/>
    <x v="0"/>
    <x v="7"/>
    <x v="12"/>
    <x v="0"/>
    <x v="0"/>
    <x v="11"/>
    <n v="4085.7386363884698"/>
    <n v="1491294.60228179"/>
  </r>
  <r>
    <x v="0"/>
    <x v="0"/>
    <x v="7"/>
    <x v="12"/>
    <x v="0"/>
    <x v="0"/>
    <x v="12"/>
    <n v="4026.7189141756198"/>
    <n v="1469752.4036741001"/>
  </r>
  <r>
    <x v="0"/>
    <x v="0"/>
    <x v="7"/>
    <x v="12"/>
    <x v="0"/>
    <x v="0"/>
    <x v="13"/>
    <n v="4044.0313660247198"/>
    <n v="1476071.44859902"/>
  </r>
  <r>
    <x v="0"/>
    <x v="0"/>
    <x v="7"/>
    <x v="12"/>
    <x v="0"/>
    <x v="0"/>
    <x v="14"/>
    <n v="4036.9489993591801"/>
    <n v="1473486.3847661"/>
  </r>
  <r>
    <x v="0"/>
    <x v="0"/>
    <x v="7"/>
    <x v="12"/>
    <x v="0"/>
    <x v="0"/>
    <x v="15"/>
    <n v="4018.0626882510701"/>
    <n v="1466592.8812116401"/>
  </r>
  <r>
    <x v="0"/>
    <x v="0"/>
    <x v="7"/>
    <x v="12"/>
    <x v="0"/>
    <x v="0"/>
    <x v="16"/>
    <n v="4062.9176771328298"/>
    <n v="1482964.9521534799"/>
  </r>
  <r>
    <x v="0"/>
    <x v="0"/>
    <x v="7"/>
    <x v="12"/>
    <x v="0"/>
    <x v="0"/>
    <x v="17"/>
    <n v="3961.40375492672"/>
    <n v="1445912.3705482499"/>
  </r>
  <r>
    <x v="0"/>
    <x v="0"/>
    <x v="7"/>
    <x v="12"/>
    <x v="0"/>
    <x v="0"/>
    <x v="18"/>
    <n v="3929.13964011703"/>
    <n v="1434135.96864271"/>
  </r>
  <r>
    <x v="0"/>
    <x v="0"/>
    <x v="7"/>
    <x v="12"/>
    <x v="0"/>
    <x v="0"/>
    <x v="19"/>
    <n v="3892.94087715982"/>
    <n v="1420923.4201633299"/>
  </r>
  <r>
    <x v="0"/>
    <x v="0"/>
    <x v="7"/>
    <x v="12"/>
    <x v="0"/>
    <x v="0"/>
    <x v="20"/>
    <n v="3849.65974753705"/>
    <n v="1405125.80785102"/>
  </r>
  <r>
    <x v="0"/>
    <x v="0"/>
    <x v="7"/>
    <x v="12"/>
    <x v="0"/>
    <x v="0"/>
    <x v="21"/>
    <n v="3706.4385549672002"/>
    <n v="1352850.0725630301"/>
  </r>
  <r>
    <x v="0"/>
    <x v="0"/>
    <x v="7"/>
    <x v="12"/>
    <x v="0"/>
    <x v="0"/>
    <x v="22"/>
    <n v="3591.5468290595099"/>
    <n v="1310914.59260672"/>
  </r>
  <r>
    <x v="0"/>
    <x v="0"/>
    <x v="7"/>
    <x v="12"/>
    <x v="0"/>
    <x v="0"/>
    <x v="23"/>
    <n v="3413.7007327914398"/>
    <n v="1246000.7674688799"/>
  </r>
  <r>
    <x v="0"/>
    <x v="0"/>
    <x v="7"/>
    <x v="13"/>
    <x v="0"/>
    <x v="0"/>
    <x v="0"/>
    <n v="2490.9316438014798"/>
    <n v="909190.04998754"/>
  </r>
  <r>
    <x v="0"/>
    <x v="0"/>
    <x v="7"/>
    <x v="13"/>
    <x v="0"/>
    <x v="0"/>
    <x v="1"/>
    <n v="2448.6356498771001"/>
    <n v="893752.01220514299"/>
  </r>
  <r>
    <x v="0"/>
    <x v="0"/>
    <x v="7"/>
    <x v="13"/>
    <x v="0"/>
    <x v="0"/>
    <x v="2"/>
    <n v="2421.8777715637798"/>
    <n v="883985.38662077906"/>
  </r>
  <r>
    <x v="0"/>
    <x v="0"/>
    <x v="7"/>
    <x v="13"/>
    <x v="0"/>
    <x v="0"/>
    <x v="3"/>
    <n v="2400.4212396503499"/>
    <n v="876153.75247237703"/>
  </r>
  <r>
    <x v="0"/>
    <x v="0"/>
    <x v="7"/>
    <x v="13"/>
    <x v="0"/>
    <x v="0"/>
    <x v="4"/>
    <n v="2431.1190467886099"/>
    <n v="887358.45207784395"/>
  </r>
  <r>
    <x v="0"/>
    <x v="0"/>
    <x v="7"/>
    <x v="13"/>
    <x v="0"/>
    <x v="0"/>
    <x v="5"/>
    <n v="2520.2032580711898"/>
    <n v="919874.189195983"/>
  </r>
  <r>
    <x v="0"/>
    <x v="0"/>
    <x v="7"/>
    <x v="13"/>
    <x v="0"/>
    <x v="0"/>
    <x v="6"/>
    <n v="2665.4090110382599"/>
    <n v="972874.28902896401"/>
  </r>
  <r>
    <x v="0"/>
    <x v="0"/>
    <x v="7"/>
    <x v="13"/>
    <x v="0"/>
    <x v="0"/>
    <x v="7"/>
    <n v="2921.96690298473"/>
    <n v="1066517.9195894301"/>
  </r>
  <r>
    <x v="0"/>
    <x v="0"/>
    <x v="7"/>
    <x v="13"/>
    <x v="0"/>
    <x v="0"/>
    <x v="8"/>
    <n v="3055.0892226677902"/>
    <n v="1115107.56627374"/>
  </r>
  <r>
    <x v="0"/>
    <x v="0"/>
    <x v="7"/>
    <x v="13"/>
    <x v="0"/>
    <x v="0"/>
    <x v="9"/>
    <n v="2987.7229172904999"/>
    <n v="1090518.86481103"/>
  </r>
  <r>
    <x v="0"/>
    <x v="0"/>
    <x v="7"/>
    <x v="13"/>
    <x v="0"/>
    <x v="0"/>
    <x v="10"/>
    <n v="2958.98655149976"/>
    <n v="1080030.09129741"/>
  </r>
  <r>
    <x v="0"/>
    <x v="0"/>
    <x v="7"/>
    <x v="13"/>
    <x v="0"/>
    <x v="0"/>
    <x v="11"/>
    <n v="2952.8215345181102"/>
    <n v="1077779.8600991101"/>
  </r>
  <r>
    <x v="0"/>
    <x v="0"/>
    <x v="7"/>
    <x v="13"/>
    <x v="0"/>
    <x v="0"/>
    <x v="12"/>
    <n v="2894.84082826551"/>
    <n v="1056616.90231691"/>
  </r>
  <r>
    <x v="0"/>
    <x v="0"/>
    <x v="7"/>
    <x v="13"/>
    <x v="0"/>
    <x v="0"/>
    <x v="13"/>
    <n v="2874.6411643302599"/>
    <n v="1049244.0249805499"/>
  </r>
  <r>
    <x v="0"/>
    <x v="0"/>
    <x v="7"/>
    <x v="13"/>
    <x v="0"/>
    <x v="0"/>
    <x v="14"/>
    <n v="2868.7375213404698"/>
    <n v="1047089.19528927"/>
  </r>
  <r>
    <x v="0"/>
    <x v="0"/>
    <x v="7"/>
    <x v="13"/>
    <x v="0"/>
    <x v="0"/>
    <x v="15"/>
    <n v="2882.3789708976301"/>
    <n v="1052068.3243776399"/>
  </r>
  <r>
    <x v="0"/>
    <x v="0"/>
    <x v="7"/>
    <x v="13"/>
    <x v="0"/>
    <x v="0"/>
    <x v="16"/>
    <n v="2859.8348958963802"/>
    <n v="1043839.73700218"/>
  </r>
  <r>
    <x v="0"/>
    <x v="0"/>
    <x v="7"/>
    <x v="13"/>
    <x v="0"/>
    <x v="0"/>
    <x v="17"/>
    <n v="2837.8556159992399"/>
    <n v="1035817.29983972"/>
  </r>
  <r>
    <x v="0"/>
    <x v="0"/>
    <x v="7"/>
    <x v="13"/>
    <x v="0"/>
    <x v="0"/>
    <x v="18"/>
    <n v="2821.5186051000601"/>
    <n v="1029854.29086152"/>
  </r>
  <r>
    <x v="0"/>
    <x v="0"/>
    <x v="7"/>
    <x v="13"/>
    <x v="0"/>
    <x v="0"/>
    <x v="19"/>
    <n v="2806.2145896729999"/>
    <n v="1024268.32523065"/>
  </r>
  <r>
    <x v="0"/>
    <x v="0"/>
    <x v="7"/>
    <x v="13"/>
    <x v="0"/>
    <x v="0"/>
    <x v="20"/>
    <n v="2776.9827497064002"/>
    <n v="1013598.70364284"/>
  </r>
  <r>
    <x v="0"/>
    <x v="0"/>
    <x v="7"/>
    <x v="13"/>
    <x v="0"/>
    <x v="0"/>
    <x v="21"/>
    <n v="2716.20193251504"/>
    <n v="991413.70536798902"/>
  </r>
  <r>
    <x v="0"/>
    <x v="0"/>
    <x v="7"/>
    <x v="13"/>
    <x v="0"/>
    <x v="0"/>
    <x v="22"/>
    <n v="2636.0578481623402"/>
    <n v="962161.11457925499"/>
  </r>
  <r>
    <x v="0"/>
    <x v="0"/>
    <x v="7"/>
    <x v="13"/>
    <x v="0"/>
    <x v="0"/>
    <x v="23"/>
    <n v="2507.49025438941"/>
    <n v="915233.942852134"/>
  </r>
  <r>
    <x v="0"/>
    <x v="0"/>
    <x v="7"/>
    <x v="14"/>
    <x v="0"/>
    <x v="0"/>
    <x v="0"/>
    <n v="1862.5829873370101"/>
    <n v="679842.79037800699"/>
  </r>
  <r>
    <x v="0"/>
    <x v="0"/>
    <x v="7"/>
    <x v="14"/>
    <x v="0"/>
    <x v="0"/>
    <x v="1"/>
    <n v="1826.1858686379801"/>
    <n v="666557.84205286298"/>
  </r>
  <r>
    <x v="0"/>
    <x v="0"/>
    <x v="7"/>
    <x v="14"/>
    <x v="0"/>
    <x v="0"/>
    <x v="2"/>
    <n v="1824.60338521628"/>
    <n v="665980.23560394405"/>
  </r>
  <r>
    <x v="0"/>
    <x v="0"/>
    <x v="7"/>
    <x v="14"/>
    <x v="0"/>
    <x v="0"/>
    <x v="3"/>
    <n v="1796.90992533659"/>
    <n v="655872.12274785596"/>
  </r>
  <r>
    <x v="0"/>
    <x v="0"/>
    <x v="7"/>
    <x v="14"/>
    <x v="0"/>
    <x v="0"/>
    <x v="4"/>
    <n v="1807.1960675776199"/>
    <n v="659626.56466583197"/>
  </r>
  <r>
    <x v="0"/>
    <x v="0"/>
    <x v="7"/>
    <x v="14"/>
    <x v="0"/>
    <x v="0"/>
    <x v="5"/>
    <n v="1876.82533813228"/>
    <n v="685041.24841828097"/>
  </r>
  <r>
    <x v="0"/>
    <x v="0"/>
    <x v="7"/>
    <x v="14"/>
    <x v="0"/>
    <x v="0"/>
    <x v="6"/>
    <n v="1970.98310172323"/>
    <n v="719408.83212897799"/>
  </r>
  <r>
    <x v="0"/>
    <x v="0"/>
    <x v="7"/>
    <x v="14"/>
    <x v="0"/>
    <x v="0"/>
    <x v="7"/>
    <n v="2114.1978513867798"/>
    <n v="771682.21575617394"/>
  </r>
  <r>
    <x v="0"/>
    <x v="0"/>
    <x v="7"/>
    <x v="14"/>
    <x v="0"/>
    <x v="0"/>
    <x v="8"/>
    <n v="2228.9278994597898"/>
    <n v="813558.68330282299"/>
  </r>
  <r>
    <x v="0"/>
    <x v="0"/>
    <x v="7"/>
    <x v="14"/>
    <x v="0"/>
    <x v="0"/>
    <x v="9"/>
    <n v="2234.4665914357302"/>
    <n v="815580.30587404"/>
  </r>
  <r>
    <x v="0"/>
    <x v="0"/>
    <x v="7"/>
    <x v="14"/>
    <x v="0"/>
    <x v="0"/>
    <x v="10"/>
    <n v="2185.4096053631301"/>
    <n v="797674.50595754199"/>
  </r>
  <r>
    <x v="0"/>
    <x v="0"/>
    <x v="7"/>
    <x v="14"/>
    <x v="0"/>
    <x v="0"/>
    <x v="11"/>
    <n v="2151.3862117966501"/>
    <n v="785255.96730577794"/>
  </r>
  <r>
    <x v="0"/>
    <x v="0"/>
    <x v="7"/>
    <x v="14"/>
    <x v="0"/>
    <x v="0"/>
    <x v="12"/>
    <n v="2143.4737946881701"/>
    <n v="782367.93506118096"/>
  </r>
  <r>
    <x v="0"/>
    <x v="0"/>
    <x v="7"/>
    <x v="14"/>
    <x v="0"/>
    <x v="0"/>
    <x v="13"/>
    <n v="2169.5847711461602"/>
    <n v="791898.44146835001"/>
  </r>
  <r>
    <x v="0"/>
    <x v="0"/>
    <x v="7"/>
    <x v="14"/>
    <x v="0"/>
    <x v="0"/>
    <x v="14"/>
    <n v="2181.4533968088899"/>
    <n v="796230.48983524402"/>
  </r>
  <r>
    <x v="0"/>
    <x v="0"/>
    <x v="7"/>
    <x v="14"/>
    <x v="0"/>
    <x v="0"/>
    <x v="15"/>
    <n v="2222.5979657729999"/>
    <n v="811248.25750714599"/>
  </r>
  <r>
    <x v="0"/>
    <x v="0"/>
    <x v="7"/>
    <x v="14"/>
    <x v="0"/>
    <x v="0"/>
    <x v="16"/>
    <n v="2202.0256812909502"/>
    <n v="803739.373671195"/>
  </r>
  <r>
    <x v="0"/>
    <x v="0"/>
    <x v="7"/>
    <x v="14"/>
    <x v="0"/>
    <x v="0"/>
    <x v="17"/>
    <n v="2149.80372837495"/>
    <n v="784678.36085685797"/>
  </r>
  <r>
    <x v="0"/>
    <x v="0"/>
    <x v="7"/>
    <x v="14"/>
    <x v="0"/>
    <x v="0"/>
    <x v="18"/>
    <n v="2113.4066096759302"/>
    <n v="771393.412531715"/>
  </r>
  <r>
    <x v="0"/>
    <x v="0"/>
    <x v="7"/>
    <x v="14"/>
    <x v="0"/>
    <x v="0"/>
    <x v="19"/>
    <n v="2109.45040112169"/>
    <n v="769949.39640941704"/>
  </r>
  <r>
    <x v="0"/>
    <x v="0"/>
    <x v="7"/>
    <x v="14"/>
    <x v="0"/>
    <x v="0"/>
    <x v="20"/>
    <n v="2107.0766759891399"/>
    <n v="769082.986736038"/>
  </r>
  <r>
    <x v="0"/>
    <x v="0"/>
    <x v="7"/>
    <x v="14"/>
    <x v="0"/>
    <x v="0"/>
    <x v="21"/>
    <n v="2057.2284482056998"/>
    <n v="750888.38359508"/>
  </r>
  <r>
    <x v="0"/>
    <x v="0"/>
    <x v="7"/>
    <x v="14"/>
    <x v="0"/>
    <x v="0"/>
    <x v="22"/>
    <n v="1981.2692439642601"/>
    <n v="723163.274046954"/>
  </r>
  <r>
    <x v="0"/>
    <x v="0"/>
    <x v="7"/>
    <x v="14"/>
    <x v="0"/>
    <x v="0"/>
    <x v="23"/>
    <n v="1956.7407509279601"/>
    <n v="714210.37408870505"/>
  </r>
  <r>
    <x v="0"/>
    <x v="0"/>
    <x v="7"/>
    <x v="15"/>
    <x v="0"/>
    <x v="0"/>
    <x v="0"/>
    <n v="1565.5810171379101"/>
    <n v="571437.07125533605"/>
  </r>
  <r>
    <x v="0"/>
    <x v="0"/>
    <x v="7"/>
    <x v="15"/>
    <x v="0"/>
    <x v="0"/>
    <x v="1"/>
    <n v="1524.9621715077001"/>
    <n v="556611.19260031194"/>
  </r>
  <r>
    <x v="0"/>
    <x v="0"/>
    <x v="7"/>
    <x v="15"/>
    <x v="0"/>
    <x v="0"/>
    <x v="2"/>
    <n v="1509.6844220176899"/>
    <n v="551034.81403645803"/>
  </r>
  <r>
    <x v="0"/>
    <x v="0"/>
    <x v="7"/>
    <x v="15"/>
    <x v="0"/>
    <x v="0"/>
    <x v="3"/>
    <n v="1523.18936570506"/>
    <n v="555964.118482347"/>
  </r>
  <r>
    <x v="0"/>
    <x v="0"/>
    <x v="7"/>
    <x v="15"/>
    <x v="0"/>
    <x v="0"/>
    <x v="4"/>
    <n v="1551.92749778087"/>
    <n v="566453.53669001802"/>
  </r>
  <r>
    <x v="0"/>
    <x v="0"/>
    <x v="7"/>
    <x v="15"/>
    <x v="0"/>
    <x v="0"/>
    <x v="5"/>
    <n v="1610.98343096392"/>
    <n v="588008.95230183098"/>
  </r>
  <r>
    <x v="0"/>
    <x v="0"/>
    <x v="7"/>
    <x v="15"/>
    <x v="0"/>
    <x v="0"/>
    <x v="6"/>
    <n v="1716.5331909398501"/>
    <n v="626534.61469304399"/>
  </r>
  <r>
    <x v="0"/>
    <x v="0"/>
    <x v="7"/>
    <x v="15"/>
    <x v="0"/>
    <x v="0"/>
    <x v="7"/>
    <n v="1864.8420354274499"/>
    <n v="680667.34293101798"/>
  </r>
  <r>
    <x v="0"/>
    <x v="0"/>
    <x v="7"/>
    <x v="15"/>
    <x v="0"/>
    <x v="0"/>
    <x v="8"/>
    <n v="1926.33631685763"/>
    <n v="703112.75565303501"/>
  </r>
  <r>
    <x v="0"/>
    <x v="0"/>
    <x v="7"/>
    <x v="15"/>
    <x v="0"/>
    <x v="0"/>
    <x v="9"/>
    <n v="1905.2905328487"/>
    <n v="695431.04448977602"/>
  </r>
  <r>
    <x v="0"/>
    <x v="0"/>
    <x v="7"/>
    <x v="15"/>
    <x v="0"/>
    <x v="0"/>
    <x v="10"/>
    <n v="1886.74847270143"/>
    <n v="688663.192536021"/>
  </r>
  <r>
    <x v="0"/>
    <x v="0"/>
    <x v="7"/>
    <x v="15"/>
    <x v="0"/>
    <x v="0"/>
    <x v="11"/>
    <n v="1875.73038646141"/>
    <n v="684641.59105841501"/>
  </r>
  <r>
    <x v="0"/>
    <x v="0"/>
    <x v="7"/>
    <x v="15"/>
    <x v="0"/>
    <x v="0"/>
    <x v="12"/>
    <n v="1851.4559406764699"/>
    <n v="675781.41834691202"/>
  </r>
  <r>
    <x v="0"/>
    <x v="0"/>
    <x v="7"/>
    <x v="15"/>
    <x v="0"/>
    <x v="0"/>
    <x v="13"/>
    <n v="1851.78969892339"/>
    <n v="675903.24010703503"/>
  </r>
  <r>
    <x v="0"/>
    <x v="0"/>
    <x v="7"/>
    <x v="15"/>
    <x v="0"/>
    <x v="0"/>
    <x v="14"/>
    <n v="1844.9619522202099"/>
    <n v="673411.11256037501"/>
  </r>
  <r>
    <x v="0"/>
    <x v="0"/>
    <x v="7"/>
    <x v="15"/>
    <x v="0"/>
    <x v="0"/>
    <x v="15"/>
    <n v="1839.0552702749401"/>
    <n v="671255.173650351"/>
  </r>
  <r>
    <x v="0"/>
    <x v="0"/>
    <x v="7"/>
    <x v="15"/>
    <x v="0"/>
    <x v="0"/>
    <x v="16"/>
    <n v="1854.88862549336"/>
    <n v="677034.34830507601"/>
  </r>
  <r>
    <x v="0"/>
    <x v="0"/>
    <x v="7"/>
    <x v="15"/>
    <x v="0"/>
    <x v="0"/>
    <x v="17"/>
    <n v="1820.9341165283799"/>
    <n v="664640.95253285696"/>
  </r>
  <r>
    <x v="0"/>
    <x v="0"/>
    <x v="7"/>
    <x v="15"/>
    <x v="0"/>
    <x v="0"/>
    <x v="18"/>
    <n v="1803.9578490705501"/>
    <n v="658444.61491074902"/>
  </r>
  <r>
    <x v="0"/>
    <x v="0"/>
    <x v="7"/>
    <x v="15"/>
    <x v="0"/>
    <x v="0"/>
    <x v="19"/>
    <n v="1796.9151930568501"/>
    <n v="655874.04546575202"/>
  </r>
  <r>
    <x v="0"/>
    <x v="0"/>
    <x v="7"/>
    <x v="15"/>
    <x v="0"/>
    <x v="0"/>
    <x v="20"/>
    <n v="1775.4237400356001"/>
    <n v="648029.66511299403"/>
  </r>
  <r>
    <x v="0"/>
    <x v="0"/>
    <x v="7"/>
    <x v="15"/>
    <x v="0"/>
    <x v="0"/>
    <x v="21"/>
    <n v="1719.13297517561"/>
    <n v="627483.53593909799"/>
  </r>
  <r>
    <x v="0"/>
    <x v="0"/>
    <x v="7"/>
    <x v="15"/>
    <x v="0"/>
    <x v="0"/>
    <x v="22"/>
    <n v="1678.52106771639"/>
    <n v="612660.18971648405"/>
  </r>
  <r>
    <x v="0"/>
    <x v="0"/>
    <x v="7"/>
    <x v="15"/>
    <x v="0"/>
    <x v="0"/>
    <x v="23"/>
    <n v="1608.72733321838"/>
    <n v="587185.47662470699"/>
  </r>
  <r>
    <x v="0"/>
    <x v="0"/>
    <x v="8"/>
    <x v="16"/>
    <x v="0"/>
    <x v="0"/>
    <x v="0"/>
    <n v="13308.6951599888"/>
    <n v="4857673.7333958903"/>
  </r>
  <r>
    <x v="0"/>
    <x v="0"/>
    <x v="8"/>
    <x v="16"/>
    <x v="0"/>
    <x v="0"/>
    <x v="1"/>
    <n v="13012.2492689766"/>
    <n v="4749470.9831764698"/>
  </r>
  <r>
    <x v="0"/>
    <x v="0"/>
    <x v="8"/>
    <x v="16"/>
    <x v="0"/>
    <x v="0"/>
    <x v="2"/>
    <n v="12948.725149473999"/>
    <n v="4726284.6795580201"/>
  </r>
  <r>
    <x v="0"/>
    <x v="0"/>
    <x v="8"/>
    <x v="16"/>
    <x v="0"/>
    <x v="0"/>
    <x v="3"/>
    <n v="13124.396788592299"/>
    <n v="4790404.8278361997"/>
  </r>
  <r>
    <x v="0"/>
    <x v="0"/>
    <x v="8"/>
    <x v="16"/>
    <x v="0"/>
    <x v="0"/>
    <x v="4"/>
    <n v="13603.572554222999"/>
    <n v="4965303.9822914097"/>
  </r>
  <r>
    <x v="0"/>
    <x v="0"/>
    <x v="8"/>
    <x v="16"/>
    <x v="0"/>
    <x v="0"/>
    <x v="5"/>
    <n v="15026.1991317257"/>
    <n v="5484562.6830798704"/>
  </r>
  <r>
    <x v="0"/>
    <x v="0"/>
    <x v="8"/>
    <x v="16"/>
    <x v="0"/>
    <x v="0"/>
    <x v="6"/>
    <n v="17854.198822174701"/>
    <n v="6516782.57009375"/>
  </r>
  <r>
    <x v="0"/>
    <x v="0"/>
    <x v="8"/>
    <x v="16"/>
    <x v="0"/>
    <x v="0"/>
    <x v="7"/>
    <n v="18697.265840264699"/>
    <n v="6824502.0316966102"/>
  </r>
  <r>
    <x v="0"/>
    <x v="0"/>
    <x v="8"/>
    <x v="16"/>
    <x v="0"/>
    <x v="0"/>
    <x v="8"/>
    <n v="19099.5852637811"/>
    <n v="6971348.6212801198"/>
  </r>
  <r>
    <x v="0"/>
    <x v="0"/>
    <x v="8"/>
    <x v="16"/>
    <x v="0"/>
    <x v="0"/>
    <x v="9"/>
    <n v="19130.170950949101"/>
    <n v="6982512.3970964104"/>
  </r>
  <r>
    <x v="0"/>
    <x v="0"/>
    <x v="8"/>
    <x v="16"/>
    <x v="0"/>
    <x v="0"/>
    <x v="10"/>
    <n v="19352.897493402601"/>
    <n v="7063807.5850919597"/>
  </r>
  <r>
    <x v="0"/>
    <x v="0"/>
    <x v="8"/>
    <x v="16"/>
    <x v="0"/>
    <x v="0"/>
    <x v="11"/>
    <n v="19265.845922232402"/>
    <n v="7032033.76161482"/>
  </r>
  <r>
    <x v="0"/>
    <x v="0"/>
    <x v="8"/>
    <x v="16"/>
    <x v="0"/>
    <x v="0"/>
    <x v="12"/>
    <n v="19321.527557845799"/>
    <n v="7052357.5586137101"/>
  </r>
  <r>
    <x v="0"/>
    <x v="0"/>
    <x v="8"/>
    <x v="16"/>
    <x v="0"/>
    <x v="0"/>
    <x v="13"/>
    <n v="18755.300221044799"/>
    <n v="6845684.5806813696"/>
  </r>
  <r>
    <x v="0"/>
    <x v="0"/>
    <x v="8"/>
    <x v="16"/>
    <x v="0"/>
    <x v="0"/>
    <x v="14"/>
    <n v="19021.160424889102"/>
    <n v="6942723.5550845005"/>
  </r>
  <r>
    <x v="0"/>
    <x v="0"/>
    <x v="8"/>
    <x v="16"/>
    <x v="0"/>
    <x v="0"/>
    <x v="15"/>
    <n v="19991.275681984302"/>
    <n v="7296815.62392426"/>
  </r>
  <r>
    <x v="0"/>
    <x v="0"/>
    <x v="8"/>
    <x v="16"/>
    <x v="0"/>
    <x v="0"/>
    <x v="16"/>
    <n v="21362.926114206999"/>
    <n v="7797468.0316855703"/>
  </r>
  <r>
    <x v="0"/>
    <x v="0"/>
    <x v="8"/>
    <x v="16"/>
    <x v="0"/>
    <x v="0"/>
    <x v="17"/>
    <n v="20902.5723099104"/>
    <n v="7629438.8931173095"/>
  </r>
  <r>
    <x v="0"/>
    <x v="0"/>
    <x v="8"/>
    <x v="16"/>
    <x v="0"/>
    <x v="0"/>
    <x v="18"/>
    <n v="21033.541790860199"/>
    <n v="7677242.7536639897"/>
  </r>
  <r>
    <x v="0"/>
    <x v="0"/>
    <x v="8"/>
    <x v="16"/>
    <x v="0"/>
    <x v="0"/>
    <x v="19"/>
    <n v="20687.688251346099"/>
    <n v="7551006.2117413301"/>
  </r>
  <r>
    <x v="0"/>
    <x v="0"/>
    <x v="8"/>
    <x v="16"/>
    <x v="0"/>
    <x v="0"/>
    <x v="20"/>
    <n v="20014.018885263002"/>
    <n v="7305116.8931209901"/>
  </r>
  <r>
    <x v="0"/>
    <x v="0"/>
    <x v="8"/>
    <x v="16"/>
    <x v="0"/>
    <x v="0"/>
    <x v="21"/>
    <n v="18029.870461293001"/>
    <n v="6580902.7183719296"/>
  </r>
  <r>
    <x v="0"/>
    <x v="0"/>
    <x v="8"/>
    <x v="16"/>
    <x v="0"/>
    <x v="0"/>
    <x v="22"/>
    <n v="16967.213894305001"/>
    <n v="6193033.0714213401"/>
  </r>
  <r>
    <x v="0"/>
    <x v="0"/>
    <x v="8"/>
    <x v="16"/>
    <x v="0"/>
    <x v="0"/>
    <x v="23"/>
    <n v="15700.6527461977"/>
    <n v="5730738.25236216"/>
  </r>
  <r>
    <x v="0"/>
    <x v="0"/>
    <x v="9"/>
    <x v="17"/>
    <x v="0"/>
    <x v="0"/>
    <x v="0"/>
    <n v="869.92615271130899"/>
    <n v="317523.04573962803"/>
  </r>
  <r>
    <x v="0"/>
    <x v="0"/>
    <x v="9"/>
    <x v="17"/>
    <x v="0"/>
    <x v="0"/>
    <x v="1"/>
    <n v="839.23056023575998"/>
    <n v="306319.15448605199"/>
  </r>
  <r>
    <x v="0"/>
    <x v="0"/>
    <x v="9"/>
    <x v="17"/>
    <x v="0"/>
    <x v="0"/>
    <x v="2"/>
    <n v="834.65887625003995"/>
    <n v="304650.489831265"/>
  </r>
  <r>
    <x v="0"/>
    <x v="0"/>
    <x v="9"/>
    <x v="17"/>
    <x v="0"/>
    <x v="0"/>
    <x v="3"/>
    <n v="839.88365794800598"/>
    <n v="306557.53515102202"/>
  </r>
  <r>
    <x v="0"/>
    <x v="0"/>
    <x v="9"/>
    <x v="17"/>
    <x v="0"/>
    <x v="0"/>
    <x v="4"/>
    <n v="845.108439645972"/>
    <n v="308464.58047078003"/>
  </r>
  <r>
    <x v="0"/>
    <x v="0"/>
    <x v="9"/>
    <x v="17"/>
    <x v="0"/>
    <x v="0"/>
    <x v="5"/>
    <n v="852.94561219291995"/>
    <n v="311325.14845041599"/>
  </r>
  <r>
    <x v="0"/>
    <x v="0"/>
    <x v="9"/>
    <x v="17"/>
    <x v="0"/>
    <x v="0"/>
    <x v="6"/>
    <n v="1058.0182938380799"/>
    <n v="386176.67725089903"/>
  </r>
  <r>
    <x v="0"/>
    <x v="0"/>
    <x v="9"/>
    <x v="17"/>
    <x v="0"/>
    <x v="0"/>
    <x v="7"/>
    <n v="985.52444777880305"/>
    <n v="359716.42343926302"/>
  </r>
  <r>
    <x v="0"/>
    <x v="0"/>
    <x v="9"/>
    <x v="17"/>
    <x v="0"/>
    <x v="0"/>
    <x v="8"/>
    <n v="1129.20594447286"/>
    <n v="412160.16973259498"/>
  </r>
  <r>
    <x v="0"/>
    <x v="0"/>
    <x v="9"/>
    <x v="17"/>
    <x v="0"/>
    <x v="0"/>
    <x v="9"/>
    <n v="1065.85546638503"/>
    <n v="389037.24523053499"/>
  </r>
  <r>
    <x v="0"/>
    <x v="0"/>
    <x v="9"/>
    <x v="17"/>
    <x v="0"/>
    <x v="0"/>
    <x v="10"/>
    <n v="1099.8165474218099"/>
    <n v="401433.039808959"/>
  </r>
  <r>
    <x v="0"/>
    <x v="0"/>
    <x v="9"/>
    <x v="17"/>
    <x v="0"/>
    <x v="0"/>
    <x v="11"/>
    <n v="1053.4466098523601"/>
    <n v="384508.01259611099"/>
  </r>
  <r>
    <x v="0"/>
    <x v="0"/>
    <x v="9"/>
    <x v="17"/>
    <x v="0"/>
    <x v="0"/>
    <x v="12"/>
    <n v="1136.3900193075699"/>
    <n v="414782.35704726202"/>
  </r>
  <r>
    <x v="0"/>
    <x v="0"/>
    <x v="9"/>
    <x v="17"/>
    <x v="0"/>
    <x v="0"/>
    <x v="13"/>
    <n v="1122.0218696381601"/>
    <n v="409537.982417928"/>
  </r>
  <r>
    <x v="0"/>
    <x v="0"/>
    <x v="9"/>
    <x v="17"/>
    <x v="0"/>
    <x v="0"/>
    <x v="14"/>
    <n v="1257.2130960730301"/>
    <n v="458882.78006665403"/>
  </r>
  <r>
    <x v="0"/>
    <x v="0"/>
    <x v="9"/>
    <x v="17"/>
    <x v="0"/>
    <x v="0"/>
    <x v="15"/>
    <n v="1216.72103791379"/>
    <n v="444103.17883853399"/>
  </r>
  <r>
    <x v="0"/>
    <x v="0"/>
    <x v="9"/>
    <x v="17"/>
    <x v="0"/>
    <x v="0"/>
    <x v="16"/>
    <n v="1147.4926804157401"/>
    <n v="418834.82835174602"/>
  </r>
  <r>
    <x v="0"/>
    <x v="0"/>
    <x v="9"/>
    <x v="17"/>
    <x v="0"/>
    <x v="0"/>
    <x v="17"/>
    <n v="1118.75638107693"/>
    <n v="408346.07909308001"/>
  </r>
  <r>
    <x v="0"/>
    <x v="0"/>
    <x v="9"/>
    <x v="17"/>
    <x v="0"/>
    <x v="0"/>
    <x v="18"/>
    <n v="1162.5139277973999"/>
    <n v="424317.58364604902"/>
  </r>
  <r>
    <x v="0"/>
    <x v="0"/>
    <x v="9"/>
    <x v="17"/>
    <x v="0"/>
    <x v="0"/>
    <x v="19"/>
    <n v="1187.33164086273"/>
    <n v="433376.04891489702"/>
  </r>
  <r>
    <x v="0"/>
    <x v="0"/>
    <x v="9"/>
    <x v="17"/>
    <x v="0"/>
    <x v="0"/>
    <x v="20"/>
    <n v="1126.5935536238801"/>
    <n v="411206.64707271598"/>
  </r>
  <r>
    <x v="0"/>
    <x v="0"/>
    <x v="9"/>
    <x v="17"/>
    <x v="0"/>
    <x v="0"/>
    <x v="21"/>
    <n v="1038.4253624707101"/>
    <n v="379025.25730180799"/>
  </r>
  <r>
    <x v="0"/>
    <x v="0"/>
    <x v="9"/>
    <x v="17"/>
    <x v="0"/>
    <x v="0"/>
    <x v="22"/>
    <n v="933.27663079914498"/>
    <n v="340645.97024168802"/>
  </r>
  <r>
    <x v="0"/>
    <x v="0"/>
    <x v="9"/>
    <x v="17"/>
    <x v="0"/>
    <x v="0"/>
    <x v="23"/>
    <n v="967.23771183592305"/>
    <n v="353041.76482011197"/>
  </r>
  <r>
    <x v="0"/>
    <x v="0"/>
    <x v="9"/>
    <x v="18"/>
    <x v="0"/>
    <x v="0"/>
    <x v="0"/>
    <n v="1588.80716295667"/>
    <n v="579914.61447918403"/>
  </r>
  <r>
    <x v="0"/>
    <x v="0"/>
    <x v="9"/>
    <x v="18"/>
    <x v="0"/>
    <x v="0"/>
    <x v="1"/>
    <n v="1565.1043436177999"/>
    <n v="571263.08542049804"/>
  </r>
  <r>
    <x v="0"/>
    <x v="0"/>
    <x v="9"/>
    <x v="18"/>
    <x v="0"/>
    <x v="0"/>
    <x v="2"/>
    <n v="1562.2312746070299"/>
    <n v="570214.41523156699"/>
  </r>
  <r>
    <x v="0"/>
    <x v="0"/>
    <x v="9"/>
    <x v="18"/>
    <x v="0"/>
    <x v="0"/>
    <x v="3"/>
    <n v="1602.4542407578299"/>
    <n v="584895.79787660902"/>
  </r>
  <r>
    <x v="0"/>
    <x v="0"/>
    <x v="9"/>
    <x v="18"/>
    <x v="0"/>
    <x v="0"/>
    <x v="4"/>
    <n v="1606.0455770213"/>
    <n v="586206.63561277394"/>
  </r>
  <r>
    <x v="0"/>
    <x v="0"/>
    <x v="9"/>
    <x v="18"/>
    <x v="0"/>
    <x v="0"/>
    <x v="5"/>
    <n v="1632.6214653709301"/>
    <n v="595906.83486039098"/>
  </r>
  <r>
    <x v="0"/>
    <x v="0"/>
    <x v="9"/>
    <x v="18"/>
    <x v="0"/>
    <x v="0"/>
    <x v="6"/>
    <n v="1844.5103049153399"/>
    <n v="673246.26129409799"/>
  </r>
  <r>
    <x v="0"/>
    <x v="0"/>
    <x v="9"/>
    <x v="18"/>
    <x v="0"/>
    <x v="0"/>
    <x v="7"/>
    <n v="1867.4948570015099"/>
    <n v="681635.62280555104"/>
  </r>
  <r>
    <x v="0"/>
    <x v="0"/>
    <x v="9"/>
    <x v="18"/>
    <x v="0"/>
    <x v="0"/>
    <x v="8"/>
    <n v="1889.0428745823001"/>
    <n v="689500.64922253799"/>
  </r>
  <r>
    <x v="0"/>
    <x v="0"/>
    <x v="9"/>
    <x v="18"/>
    <x v="0"/>
    <x v="0"/>
    <x v="9"/>
    <n v="1891.19767634037"/>
    <n v="690287.15186423704"/>
  </r>
  <r>
    <x v="0"/>
    <x v="0"/>
    <x v="9"/>
    <x v="18"/>
    <x v="0"/>
    <x v="0"/>
    <x v="10"/>
    <n v="1914.9004956792401"/>
    <n v="698938.68092292303"/>
  </r>
  <r>
    <x v="0"/>
    <x v="0"/>
    <x v="9"/>
    <x v="18"/>
    <x v="0"/>
    <x v="0"/>
    <x v="11"/>
    <n v="1914.9004956792401"/>
    <n v="698938.68092292303"/>
  </r>
  <r>
    <x v="0"/>
    <x v="0"/>
    <x v="9"/>
    <x v="18"/>
    <x v="0"/>
    <x v="0"/>
    <x v="12"/>
    <n v="1896.94381436192"/>
    <n v="692384.49224209995"/>
  </r>
  <r>
    <x v="0"/>
    <x v="0"/>
    <x v="9"/>
    <x v="18"/>
    <x v="0"/>
    <x v="0"/>
    <x v="13"/>
    <n v="1920.6466337007801"/>
    <n v="701036.02130078594"/>
  </r>
  <r>
    <x v="0"/>
    <x v="0"/>
    <x v="9"/>
    <x v="18"/>
    <x v="0"/>
    <x v="0"/>
    <x v="14"/>
    <n v="1936.44851326003"/>
    <n v="706803.70733990998"/>
  </r>
  <r>
    <x v="0"/>
    <x v="0"/>
    <x v="9"/>
    <x v="18"/>
    <x v="0"/>
    <x v="0"/>
    <x v="15"/>
    <n v="1948.6590565558099"/>
    <n v="711260.55564286897"/>
  </r>
  <r>
    <x v="0"/>
    <x v="0"/>
    <x v="9"/>
    <x v="18"/>
    <x v="0"/>
    <x v="0"/>
    <x v="16"/>
    <n v="1909.1543576577001"/>
    <n v="696841.34054505895"/>
  </r>
  <r>
    <x v="0"/>
    <x v="0"/>
    <x v="9"/>
    <x v="18"/>
    <x v="0"/>
    <x v="0"/>
    <x v="17"/>
    <n v="1886.1698055715201"/>
    <n v="688451.97903360601"/>
  </r>
  <r>
    <x v="0"/>
    <x v="0"/>
    <x v="9"/>
    <x v="18"/>
    <x v="0"/>
    <x v="0"/>
    <x v="18"/>
    <n v="1833.0180288722499"/>
    <n v="669051.580538371"/>
  </r>
  <r>
    <x v="0"/>
    <x v="0"/>
    <x v="9"/>
    <x v="18"/>
    <x v="0"/>
    <x v="0"/>
    <x v="19"/>
    <n v="1782.0210539310599"/>
    <n v="650437.68468483503"/>
  </r>
  <r>
    <x v="0"/>
    <x v="0"/>
    <x v="9"/>
    <x v="18"/>
    <x v="0"/>
    <x v="0"/>
    <x v="20"/>
    <n v="1765.50090711912"/>
    <n v="644407.83109847899"/>
  </r>
  <r>
    <x v="0"/>
    <x v="0"/>
    <x v="9"/>
    <x v="18"/>
    <x v="0"/>
    <x v="0"/>
    <x v="21"/>
    <n v="1777.7114504148999"/>
    <n v="648864.67940143798"/>
  </r>
  <r>
    <x v="0"/>
    <x v="0"/>
    <x v="9"/>
    <x v="18"/>
    <x v="0"/>
    <x v="0"/>
    <x v="22"/>
    <n v="1728.86927723178"/>
    <n v="631037.28618960001"/>
  </r>
  <r>
    <x v="0"/>
    <x v="0"/>
    <x v="9"/>
    <x v="18"/>
    <x v="0"/>
    <x v="0"/>
    <x v="23"/>
    <n v="1695.1107163552199"/>
    <n v="618715.41146965395"/>
  </r>
  <r>
    <x v="0"/>
    <x v="0"/>
    <x v="9"/>
    <x v="19"/>
    <x v="0"/>
    <x v="0"/>
    <x v="0"/>
    <n v="7607.3427310165298"/>
    <n v="2776680.0968210301"/>
  </r>
  <r>
    <x v="0"/>
    <x v="0"/>
    <x v="9"/>
    <x v="19"/>
    <x v="0"/>
    <x v="0"/>
    <x v="1"/>
    <n v="7539.1279274993103"/>
    <n v="2751781.6935372502"/>
  </r>
  <r>
    <x v="0"/>
    <x v="0"/>
    <x v="9"/>
    <x v="19"/>
    <x v="0"/>
    <x v="0"/>
    <x v="2"/>
    <n v="7586.4606483071702"/>
    <n v="2769058.1366321198"/>
  </r>
  <r>
    <x v="0"/>
    <x v="0"/>
    <x v="9"/>
    <x v="19"/>
    <x v="0"/>
    <x v="0"/>
    <x v="3"/>
    <n v="7613.6073558293301"/>
    <n v="2778966.68487771"/>
  </r>
  <r>
    <x v="0"/>
    <x v="0"/>
    <x v="9"/>
    <x v="19"/>
    <x v="0"/>
    <x v="0"/>
    <x v="4"/>
    <n v="7846.0945433267698"/>
    <n v="2863824.5083142701"/>
  </r>
  <r>
    <x v="0"/>
    <x v="0"/>
    <x v="9"/>
    <x v="19"/>
    <x v="0"/>
    <x v="0"/>
    <x v="5"/>
    <n v="8293.6671827305308"/>
    <n v="3027188.5216966402"/>
  </r>
  <r>
    <x v="0"/>
    <x v="0"/>
    <x v="9"/>
    <x v="19"/>
    <x v="0"/>
    <x v="0"/>
    <x v="6"/>
    <n v="9298.0953610503002"/>
    <n v="3393804.80678336"/>
  </r>
  <r>
    <x v="0"/>
    <x v="0"/>
    <x v="9"/>
    <x v="19"/>
    <x v="0"/>
    <x v="0"/>
    <x v="7"/>
    <n v="10138.947224813501"/>
    <n v="3700715.7370569301"/>
  </r>
  <r>
    <x v="0"/>
    <x v="0"/>
    <x v="9"/>
    <x v="19"/>
    <x v="0"/>
    <x v="0"/>
    <x v="8"/>
    <n v="10361.6894403799"/>
    <n v="3782016.6457386701"/>
  </r>
  <r>
    <x v="0"/>
    <x v="0"/>
    <x v="9"/>
    <x v="19"/>
    <x v="0"/>
    <x v="0"/>
    <x v="9"/>
    <n v="10235.7008747002"/>
    <n v="3736030.8192655598"/>
  </r>
  <r>
    <x v="0"/>
    <x v="0"/>
    <x v="9"/>
    <x v="19"/>
    <x v="0"/>
    <x v="0"/>
    <x v="10"/>
    <n v="10298.3471228282"/>
    <n v="3758896.6998323002"/>
  </r>
  <r>
    <x v="0"/>
    <x v="0"/>
    <x v="9"/>
    <x v="19"/>
    <x v="0"/>
    <x v="0"/>
    <x v="11"/>
    <n v="10275.3768318479"/>
    <n v="3750512.54362449"/>
  </r>
  <r>
    <x v="0"/>
    <x v="0"/>
    <x v="9"/>
    <x v="19"/>
    <x v="0"/>
    <x v="0"/>
    <x v="12"/>
    <n v="10252.4065408676"/>
    <n v="3742128.3874166901"/>
  </r>
  <r>
    <x v="0"/>
    <x v="0"/>
    <x v="9"/>
    <x v="19"/>
    <x v="0"/>
    <x v="0"/>
    <x v="13"/>
    <n v="10145.9079190499"/>
    <n v="3703256.3904532301"/>
  </r>
  <r>
    <x v="0"/>
    <x v="0"/>
    <x v="9"/>
    <x v="19"/>
    <x v="0"/>
    <x v="0"/>
    <x v="14"/>
    <n v="10153.564682710001"/>
    <n v="3706051.1091891699"/>
  </r>
  <r>
    <x v="0"/>
    <x v="0"/>
    <x v="9"/>
    <x v="19"/>
    <x v="0"/>
    <x v="0"/>
    <x v="15"/>
    <n v="10346.375913059701"/>
    <n v="3776427.2082667998"/>
  </r>
  <r>
    <x v="0"/>
    <x v="0"/>
    <x v="9"/>
    <x v="19"/>
    <x v="0"/>
    <x v="0"/>
    <x v="16"/>
    <n v="10460.5312985375"/>
    <n v="3818093.9239661898"/>
  </r>
  <r>
    <x v="0"/>
    <x v="0"/>
    <x v="9"/>
    <x v="19"/>
    <x v="0"/>
    <x v="0"/>
    <x v="17"/>
    <n v="10468.8841316212"/>
    <n v="3821142.7080417499"/>
  </r>
  <r>
    <x v="0"/>
    <x v="0"/>
    <x v="9"/>
    <x v="19"/>
    <x v="0"/>
    <x v="0"/>
    <x v="18"/>
    <n v="10335.934871705"/>
    <n v="3772616.22817234"/>
  </r>
  <r>
    <x v="0"/>
    <x v="0"/>
    <x v="9"/>
    <x v="19"/>
    <x v="0"/>
    <x v="0"/>
    <x v="19"/>
    <n v="10166.7900017593"/>
    <n v="3710878.35064214"/>
  </r>
  <r>
    <x v="0"/>
    <x v="0"/>
    <x v="9"/>
    <x v="19"/>
    <x v="0"/>
    <x v="0"/>
    <x v="20"/>
    <n v="9870.26442728652"/>
    <n v="3602646.51595958"/>
  </r>
  <r>
    <x v="0"/>
    <x v="0"/>
    <x v="9"/>
    <x v="19"/>
    <x v="0"/>
    <x v="0"/>
    <x v="21"/>
    <n v="9364.2219562965802"/>
    <n v="3417941.0140482499"/>
  </r>
  <r>
    <x v="0"/>
    <x v="0"/>
    <x v="9"/>
    <x v="19"/>
    <x v="0"/>
    <x v="0"/>
    <x v="22"/>
    <n v="8849.1305827992601"/>
    <n v="3229932.6627217298"/>
  </r>
  <r>
    <x v="0"/>
    <x v="0"/>
    <x v="9"/>
    <x v="19"/>
    <x v="0"/>
    <x v="0"/>
    <x v="23"/>
    <n v="8283.9222107994901"/>
    <n v="3023631.6069418099"/>
  </r>
  <r>
    <x v="0"/>
    <x v="0"/>
    <x v="9"/>
    <x v="20"/>
    <x v="0"/>
    <x v="0"/>
    <x v="0"/>
    <n v="2128.9344080354599"/>
    <n v="777061.05893294397"/>
  </r>
  <r>
    <x v="0"/>
    <x v="0"/>
    <x v="9"/>
    <x v="20"/>
    <x v="0"/>
    <x v="0"/>
    <x v="1"/>
    <n v="2077.5899570901802"/>
    <n v="758320.33433791704"/>
  </r>
  <r>
    <x v="0"/>
    <x v="0"/>
    <x v="9"/>
    <x v="20"/>
    <x v="0"/>
    <x v="0"/>
    <x v="2"/>
    <n v="2079.82232452259"/>
    <n v="759135.14845074399"/>
  </r>
  <r>
    <x v="0"/>
    <x v="0"/>
    <x v="9"/>
    <x v="20"/>
    <x v="0"/>
    <x v="0"/>
    <x v="3"/>
    <n v="2079.82232452259"/>
    <n v="759135.14845074399"/>
  </r>
  <r>
    <x v="0"/>
    <x v="0"/>
    <x v="9"/>
    <x v="20"/>
    <x v="0"/>
    <x v="0"/>
    <x v="4"/>
    <n v="2115.5402034410399"/>
    <n v="772172.17425597995"/>
  </r>
  <r>
    <x v="0"/>
    <x v="0"/>
    <x v="9"/>
    <x v="20"/>
    <x v="0"/>
    <x v="0"/>
    <x v="5"/>
    <n v="2246.5057594753798"/>
    <n v="819974.602208514"/>
  </r>
  <r>
    <x v="0"/>
    <x v="0"/>
    <x v="9"/>
    <x v="20"/>
    <x v="0"/>
    <x v="0"/>
    <x v="6"/>
    <n v="2517.3663412736701"/>
    <n v="918838.71456489002"/>
  </r>
  <r>
    <x v="0"/>
    <x v="0"/>
    <x v="9"/>
    <x v="20"/>
    <x v="0"/>
    <x v="0"/>
    <x v="7"/>
    <n v="2847.7567212693898"/>
    <n v="1039431.20326333"/>
  </r>
  <r>
    <x v="0"/>
    <x v="0"/>
    <x v="9"/>
    <x v="20"/>
    <x v="0"/>
    <x v="0"/>
    <x v="8"/>
    <n v="2922.91309149364"/>
    <n v="1066863.2783951799"/>
  </r>
  <r>
    <x v="0"/>
    <x v="0"/>
    <x v="9"/>
    <x v="20"/>
    <x v="0"/>
    <x v="0"/>
    <x v="9"/>
    <n v="2873.0568855032898"/>
    <n v="1048665.7632087001"/>
  </r>
  <r>
    <x v="0"/>
    <x v="0"/>
    <x v="9"/>
    <x v="20"/>
    <x v="0"/>
    <x v="0"/>
    <x v="10"/>
    <n v="2922.1689690161702"/>
    <n v="1066591.6736909"/>
  </r>
  <r>
    <x v="0"/>
    <x v="0"/>
    <x v="9"/>
    <x v="20"/>
    <x v="0"/>
    <x v="0"/>
    <x v="11"/>
    <n v="2913.2394992865602"/>
    <n v="1063332.4172395901"/>
  </r>
  <r>
    <x v="0"/>
    <x v="0"/>
    <x v="9"/>
    <x v="20"/>
    <x v="0"/>
    <x v="0"/>
    <x v="12"/>
    <n v="2883.4746001878402"/>
    <n v="1052468.2290685601"/>
  </r>
  <r>
    <x v="0"/>
    <x v="0"/>
    <x v="9"/>
    <x v="20"/>
    <x v="0"/>
    <x v="0"/>
    <x v="13"/>
    <n v="2907.2865194668102"/>
    <n v="1061159.5796053901"/>
  </r>
  <r>
    <x v="0"/>
    <x v="0"/>
    <x v="9"/>
    <x v="20"/>
    <x v="0"/>
    <x v="0"/>
    <x v="14"/>
    <n v="2902.07766212454"/>
    <n v="1059258.34667546"/>
  </r>
  <r>
    <x v="0"/>
    <x v="0"/>
    <x v="9"/>
    <x v="20"/>
    <x v="0"/>
    <x v="0"/>
    <x v="15"/>
    <n v="2936.30729608806"/>
    <n v="1071752.16307214"/>
  </r>
  <r>
    <x v="0"/>
    <x v="0"/>
    <x v="9"/>
    <x v="20"/>
    <x v="0"/>
    <x v="0"/>
    <x v="16"/>
    <n v="2983.9311346459999"/>
    <n v="1089134.86414579"/>
  </r>
  <r>
    <x v="0"/>
    <x v="0"/>
    <x v="9"/>
    <x v="20"/>
    <x v="0"/>
    <x v="0"/>
    <x v="17"/>
    <n v="3018.1607686095199"/>
    <n v="1101628.68054248"/>
  </r>
  <r>
    <x v="0"/>
    <x v="0"/>
    <x v="9"/>
    <x v="20"/>
    <x v="0"/>
    <x v="0"/>
    <x v="18"/>
    <n v="2917.7042341513602"/>
    <n v="1064962.04546525"/>
  </r>
  <r>
    <x v="0"/>
    <x v="0"/>
    <x v="9"/>
    <x v="20"/>
    <x v="0"/>
    <x v="0"/>
    <x v="19"/>
    <n v="2857.43031347647"/>
    <n v="1042962.06441891"/>
  </r>
  <r>
    <x v="0"/>
    <x v="0"/>
    <x v="9"/>
    <x v="20"/>
    <x v="0"/>
    <x v="0"/>
    <x v="20"/>
    <n v="2777.8092083874099"/>
    <n v="1013900.36106141"/>
  </r>
  <r>
    <x v="0"/>
    <x v="0"/>
    <x v="9"/>
    <x v="20"/>
    <x v="0"/>
    <x v="0"/>
    <x v="21"/>
    <n v="2633.44944775865"/>
    <n v="961209.04843190801"/>
  </r>
  <r>
    <x v="0"/>
    <x v="0"/>
    <x v="9"/>
    <x v="20"/>
    <x v="0"/>
    <x v="0"/>
    <x v="22"/>
    <n v="2439.2334811395499"/>
    <n v="890320.22061593505"/>
  </r>
  <r>
    <x v="0"/>
    <x v="0"/>
    <x v="9"/>
    <x v="20"/>
    <x v="0"/>
    <x v="0"/>
    <x v="23"/>
    <n v="2227.1585750612198"/>
    <n v="812912.87989734404"/>
  </r>
  <r>
    <x v="0"/>
    <x v="0"/>
    <x v="10"/>
    <x v="21"/>
    <x v="0"/>
    <x v="0"/>
    <x v="0"/>
    <n v="27925.2310278068"/>
    <n v="10192709.325149501"/>
  </r>
  <r>
    <x v="0"/>
    <x v="0"/>
    <x v="10"/>
    <x v="21"/>
    <x v="0"/>
    <x v="0"/>
    <x v="1"/>
    <n v="27300.056696886"/>
    <n v="9964520.6943634097"/>
  </r>
  <r>
    <x v="0"/>
    <x v="0"/>
    <x v="10"/>
    <x v="21"/>
    <x v="0"/>
    <x v="0"/>
    <x v="2"/>
    <n v="26417.8144134748"/>
    <n v="9642502.2609182894"/>
  </r>
  <r>
    <x v="0"/>
    <x v="0"/>
    <x v="10"/>
    <x v="21"/>
    <x v="0"/>
    <x v="0"/>
    <x v="3"/>
    <n v="25472.121600955099"/>
    <n v="9297324.3843486104"/>
  </r>
  <r>
    <x v="0"/>
    <x v="0"/>
    <x v="10"/>
    <x v="21"/>
    <x v="0"/>
    <x v="0"/>
    <x v="4"/>
    <n v="24732.176460029499"/>
    <n v="9027244.4079107698"/>
  </r>
  <r>
    <x v="0"/>
    <x v="0"/>
    <x v="10"/>
    <x v="21"/>
    <x v="0"/>
    <x v="0"/>
    <x v="5"/>
    <n v="25899.479576420301"/>
    <n v="9453310.0453934204"/>
  </r>
  <r>
    <x v="0"/>
    <x v="0"/>
    <x v="10"/>
    <x v="21"/>
    <x v="0"/>
    <x v="0"/>
    <x v="6"/>
    <n v="31354.825435716"/>
    <n v="11444511.2840364"/>
  </r>
  <r>
    <x v="0"/>
    <x v="0"/>
    <x v="10"/>
    <x v="21"/>
    <x v="0"/>
    <x v="0"/>
    <x v="7"/>
    <n v="38240.607487999099"/>
    <n v="13957821.7331197"/>
  </r>
  <r>
    <x v="0"/>
    <x v="0"/>
    <x v="10"/>
    <x v="21"/>
    <x v="0"/>
    <x v="0"/>
    <x v="8"/>
    <n v="40250.029759100304"/>
    <n v="14691260.8620716"/>
  </r>
  <r>
    <x v="0"/>
    <x v="0"/>
    <x v="10"/>
    <x v="21"/>
    <x v="0"/>
    <x v="0"/>
    <x v="9"/>
    <n v="41010.969560392601"/>
    <n v="14969003.8895433"/>
  </r>
  <r>
    <x v="0"/>
    <x v="0"/>
    <x v="10"/>
    <x v="21"/>
    <x v="0"/>
    <x v="0"/>
    <x v="10"/>
    <n v="41177.060651293999"/>
    <n v="15029627.1377223"/>
  </r>
  <r>
    <x v="0"/>
    <x v="0"/>
    <x v="10"/>
    <x v="21"/>
    <x v="0"/>
    <x v="0"/>
    <x v="11"/>
    <n v="41395.405119108102"/>
    <n v="15109322.8684744"/>
  </r>
  <r>
    <x v="0"/>
    <x v="0"/>
    <x v="10"/>
    <x v="21"/>
    <x v="0"/>
    <x v="0"/>
    <x v="12"/>
    <n v="41529.3043974471"/>
    <n v="15158196.105068199"/>
  </r>
  <r>
    <x v="0"/>
    <x v="0"/>
    <x v="10"/>
    <x v="21"/>
    <x v="0"/>
    <x v="0"/>
    <x v="13"/>
    <n v="41299.762777437398"/>
    <n v="15074413.4137646"/>
  </r>
  <r>
    <x v="0"/>
    <x v="0"/>
    <x v="10"/>
    <x v="21"/>
    <x v="0"/>
    <x v="0"/>
    <x v="14"/>
    <n v="41339.419358130101"/>
    <n v="15088888.0657175"/>
  </r>
  <r>
    <x v="0"/>
    <x v="0"/>
    <x v="10"/>
    <x v="21"/>
    <x v="0"/>
    <x v="0"/>
    <x v="15"/>
    <n v="41645.4748514764"/>
    <n v="15200598.320788899"/>
  </r>
  <r>
    <x v="0"/>
    <x v="0"/>
    <x v="10"/>
    <x v="21"/>
    <x v="0"/>
    <x v="0"/>
    <x v="16"/>
    <n v="45465.103394198799"/>
    <n v="16594762.738882599"/>
  </r>
  <r>
    <x v="0"/>
    <x v="0"/>
    <x v="10"/>
    <x v="21"/>
    <x v="0"/>
    <x v="0"/>
    <x v="17"/>
    <n v="47904.216380806"/>
    <n v="17485038.978994198"/>
  </r>
  <r>
    <x v="0"/>
    <x v="0"/>
    <x v="10"/>
    <x v="21"/>
    <x v="0"/>
    <x v="0"/>
    <x v="18"/>
    <n v="46756.0417327494"/>
    <n v="17065955.232453499"/>
  </r>
  <r>
    <x v="0"/>
    <x v="0"/>
    <x v="10"/>
    <x v="21"/>
    <x v="0"/>
    <x v="0"/>
    <x v="19"/>
    <n v="44260.476437156001"/>
    <n v="16155073.899561999"/>
  </r>
  <r>
    <x v="0"/>
    <x v="0"/>
    <x v="10"/>
    <x v="21"/>
    <x v="0"/>
    <x v="0"/>
    <x v="20"/>
    <n v="41308.160641584102"/>
    <n v="15077478.634178201"/>
  </r>
  <r>
    <x v="0"/>
    <x v="0"/>
    <x v="10"/>
    <x v="21"/>
    <x v="0"/>
    <x v="0"/>
    <x v="21"/>
    <n v="37925.221034489798"/>
    <n v="13842705.6775888"/>
  </r>
  <r>
    <x v="0"/>
    <x v="0"/>
    <x v="10"/>
    <x v="21"/>
    <x v="0"/>
    <x v="0"/>
    <x v="22"/>
    <n v="33819.132014763301"/>
    <n v="12343983.1853886"/>
  </r>
  <r>
    <x v="0"/>
    <x v="0"/>
    <x v="10"/>
    <x v="21"/>
    <x v="0"/>
    <x v="0"/>
    <x v="23"/>
    <n v="30229.511640058699"/>
    <n v="11033771.7486214"/>
  </r>
</pivotCacheRecords>
</file>

<file path=xl/pivotCache/pivotCacheRecords15.xml><?xml version="1.0" encoding="utf-8"?>
<pivotCacheRecords xmlns="http://schemas.openxmlformats.org/spreadsheetml/2006/main" xmlns:r="http://schemas.openxmlformats.org/officeDocument/2006/relationships" count="22">
  <r>
    <x v="0"/>
    <x v="0"/>
    <x v="0"/>
    <x v="0"/>
    <x v="0"/>
    <x v="0"/>
    <x v="0"/>
  </r>
  <r>
    <x v="0"/>
    <x v="0"/>
    <x v="0"/>
    <x v="1"/>
    <x v="0"/>
    <x v="1"/>
    <x v="1"/>
  </r>
  <r>
    <x v="0"/>
    <x v="0"/>
    <x v="1"/>
    <x v="2"/>
    <x v="0"/>
    <x v="2"/>
    <x v="2"/>
  </r>
  <r>
    <x v="0"/>
    <x v="0"/>
    <x v="2"/>
    <x v="3"/>
    <x v="0"/>
    <x v="3"/>
    <x v="3"/>
  </r>
  <r>
    <x v="0"/>
    <x v="0"/>
    <x v="3"/>
    <x v="4"/>
    <x v="0"/>
    <x v="4"/>
    <x v="4"/>
  </r>
  <r>
    <x v="0"/>
    <x v="0"/>
    <x v="3"/>
    <x v="5"/>
    <x v="0"/>
    <x v="5"/>
    <x v="5"/>
  </r>
  <r>
    <x v="0"/>
    <x v="0"/>
    <x v="3"/>
    <x v="6"/>
    <x v="0"/>
    <x v="6"/>
    <x v="6"/>
  </r>
  <r>
    <x v="0"/>
    <x v="0"/>
    <x v="3"/>
    <x v="7"/>
    <x v="0"/>
    <x v="7"/>
    <x v="7"/>
  </r>
  <r>
    <x v="0"/>
    <x v="0"/>
    <x v="4"/>
    <x v="8"/>
    <x v="0"/>
    <x v="8"/>
    <x v="8"/>
  </r>
  <r>
    <x v="0"/>
    <x v="0"/>
    <x v="5"/>
    <x v="9"/>
    <x v="0"/>
    <x v="9"/>
    <x v="9"/>
  </r>
  <r>
    <x v="0"/>
    <x v="0"/>
    <x v="6"/>
    <x v="10"/>
    <x v="0"/>
    <x v="10"/>
    <x v="10"/>
  </r>
  <r>
    <x v="0"/>
    <x v="0"/>
    <x v="7"/>
    <x v="11"/>
    <x v="0"/>
    <x v="11"/>
    <x v="11"/>
  </r>
  <r>
    <x v="0"/>
    <x v="0"/>
    <x v="7"/>
    <x v="12"/>
    <x v="0"/>
    <x v="12"/>
    <x v="12"/>
  </r>
  <r>
    <x v="0"/>
    <x v="0"/>
    <x v="7"/>
    <x v="13"/>
    <x v="0"/>
    <x v="13"/>
    <x v="13"/>
  </r>
  <r>
    <x v="0"/>
    <x v="0"/>
    <x v="7"/>
    <x v="14"/>
    <x v="0"/>
    <x v="14"/>
    <x v="14"/>
  </r>
  <r>
    <x v="0"/>
    <x v="0"/>
    <x v="7"/>
    <x v="15"/>
    <x v="0"/>
    <x v="15"/>
    <x v="15"/>
  </r>
  <r>
    <x v="0"/>
    <x v="0"/>
    <x v="8"/>
    <x v="16"/>
    <x v="0"/>
    <x v="16"/>
    <x v="16"/>
  </r>
  <r>
    <x v="0"/>
    <x v="0"/>
    <x v="9"/>
    <x v="17"/>
    <x v="0"/>
    <x v="17"/>
    <x v="17"/>
  </r>
  <r>
    <x v="0"/>
    <x v="0"/>
    <x v="9"/>
    <x v="18"/>
    <x v="0"/>
    <x v="18"/>
    <x v="18"/>
  </r>
  <r>
    <x v="0"/>
    <x v="0"/>
    <x v="9"/>
    <x v="19"/>
    <x v="0"/>
    <x v="19"/>
    <x v="19"/>
  </r>
  <r>
    <x v="0"/>
    <x v="0"/>
    <x v="9"/>
    <x v="20"/>
    <x v="0"/>
    <x v="20"/>
    <x v="20"/>
  </r>
  <r>
    <x v="0"/>
    <x v="0"/>
    <x v="10"/>
    <x v="21"/>
    <x v="0"/>
    <x v="21"/>
    <x v="21"/>
  </r>
</pivotCacheRecords>
</file>

<file path=xl/pivotCache/pivotCacheRecords16.xml><?xml version="1.0" encoding="utf-8"?>
<pivotCacheRecords xmlns="http://schemas.openxmlformats.org/spreadsheetml/2006/main" xmlns:r="http://schemas.openxmlformats.org/officeDocument/2006/relationships" count="0"/>
</file>

<file path=xl/pivotCache/pivotCacheRecords17.xml><?xml version="1.0" encoding="utf-8"?>
<pivotCacheRecords xmlns="http://schemas.openxmlformats.org/spreadsheetml/2006/main" xmlns:r="http://schemas.openxmlformats.org/officeDocument/2006/relationships" count="0"/>
</file>

<file path=xl/pivotCache/pivotCacheRecords18.xml><?xml version="1.0" encoding="utf-8"?>
<pivotCacheRecords xmlns="http://schemas.openxmlformats.org/spreadsheetml/2006/main" xmlns:r="http://schemas.openxmlformats.org/officeDocument/2006/relationships" count="807">
  <r>
    <x v="0"/>
    <x v="0"/>
    <x v="0"/>
    <x v="0"/>
    <x v="0"/>
    <s v="DK1_Large"/>
    <x v="0"/>
    <x v="0"/>
    <x v="0"/>
    <s v="GNR_ENG_BGAS_BP_E-31"/>
    <n v="0.25"/>
    <n v="2.5000000000000001E-4"/>
  </r>
  <r>
    <x v="0"/>
    <x v="0"/>
    <x v="0"/>
    <x v="0"/>
    <x v="0"/>
    <s v="DK1_Large"/>
    <x v="0"/>
    <x v="0"/>
    <x v="0"/>
    <s v="GNR_ENG_BGAS_BP_E-36"/>
    <n v="0.81"/>
    <n v="8.0999999999999996E-4"/>
  </r>
  <r>
    <x v="0"/>
    <x v="0"/>
    <x v="0"/>
    <x v="0"/>
    <x v="0"/>
    <s v="DK1_Large"/>
    <x v="0"/>
    <x v="0"/>
    <x v="0"/>
    <s v="GNR_ENG_BGAS_BP_E-37"/>
    <n v="1.1599999999999999"/>
    <n v="1.16E-3"/>
  </r>
  <r>
    <x v="0"/>
    <x v="0"/>
    <x v="0"/>
    <x v="0"/>
    <x v="0"/>
    <s v="DK1_Large"/>
    <x v="0"/>
    <x v="0"/>
    <x v="0"/>
    <s v="GNR_ENG_BGAS_BP_E-39"/>
    <n v="4.1150000000000002"/>
    <n v="4.1149999999999997E-3"/>
  </r>
  <r>
    <x v="0"/>
    <x v="0"/>
    <x v="0"/>
    <x v="0"/>
    <x v="0"/>
    <s v="DK1_Large"/>
    <x v="0"/>
    <x v="0"/>
    <x v="0"/>
    <s v="GNR_ENG_BGAS_BP_E-40"/>
    <n v="1.2430000000000001"/>
    <n v="1.243E-3"/>
  </r>
  <r>
    <x v="0"/>
    <x v="0"/>
    <x v="0"/>
    <x v="0"/>
    <x v="0"/>
    <s v="DK1_Large"/>
    <x v="0"/>
    <x v="0"/>
    <x v="0"/>
    <s v="GNR_ENG_BGAS_BP_E-41"/>
    <n v="2.677"/>
    <n v="2.6770000000000001E-3"/>
  </r>
  <r>
    <x v="0"/>
    <x v="0"/>
    <x v="0"/>
    <x v="0"/>
    <x v="0"/>
    <s v="DK1_Large"/>
    <x v="0"/>
    <x v="0"/>
    <x v="0"/>
    <s v="GNR_ENG_BGAS_BP_E-42"/>
    <n v="3.0030000000000001"/>
    <n v="3.003E-3"/>
  </r>
  <r>
    <x v="0"/>
    <x v="0"/>
    <x v="0"/>
    <x v="0"/>
    <x v="0"/>
    <s v="DK1_Large"/>
    <x v="0"/>
    <x v="0"/>
    <x v="0"/>
    <s v="GNR_ENG_BGAS_BP_E-43"/>
    <n v="3.0470000000000002"/>
    <n v="3.0469999999999998E-3"/>
  </r>
  <r>
    <x v="0"/>
    <x v="0"/>
    <x v="0"/>
    <x v="0"/>
    <x v="0"/>
    <s v="DK1_Large"/>
    <x v="1"/>
    <x v="1"/>
    <x v="0"/>
    <s v="GNR_ST_COAL_EXT_E-42"/>
    <n v="714"/>
    <n v="0.71399999999999997"/>
  </r>
  <r>
    <x v="0"/>
    <x v="0"/>
    <x v="0"/>
    <x v="0"/>
    <x v="0"/>
    <s v="DK1_Large"/>
    <x v="1"/>
    <x v="1"/>
    <x v="0"/>
    <s v="GNR_ST_COAL_EXT_E-43"/>
    <n v="745"/>
    <n v="0.745"/>
  </r>
  <r>
    <x v="0"/>
    <x v="0"/>
    <x v="0"/>
    <x v="0"/>
    <x v="0"/>
    <s v="DK1_Large"/>
    <x v="1"/>
    <x v="1"/>
    <x v="0"/>
    <s v="GNR_ST_COAL_EXT_E-47"/>
    <n v="385"/>
    <n v="0.38500000000000001"/>
  </r>
  <r>
    <x v="0"/>
    <x v="0"/>
    <x v="0"/>
    <x v="0"/>
    <x v="0"/>
    <s v="DK1_Large"/>
    <x v="2"/>
    <x v="0"/>
    <x v="0"/>
    <s v="GNR_ENG_LIGHTOIL_BP_E-37"/>
    <n v="32"/>
    <n v="3.2000000000000001E-2"/>
  </r>
  <r>
    <x v="0"/>
    <x v="0"/>
    <x v="0"/>
    <x v="0"/>
    <x v="0"/>
    <s v="DK1_Large"/>
    <x v="2"/>
    <x v="2"/>
    <x v="0"/>
    <s v="GNR_GT_LIGHTOIL_CND_E-26"/>
    <n v="14"/>
    <n v="1.4E-2"/>
  </r>
  <r>
    <x v="0"/>
    <x v="0"/>
    <x v="0"/>
    <x v="0"/>
    <x v="0"/>
    <s v="DK1_Large"/>
    <x v="3"/>
    <x v="0"/>
    <x v="0"/>
    <s v="GNR_ST_MSW_BP_E-18"/>
    <n v="2.85"/>
    <n v="2.8500000000000001E-3"/>
  </r>
  <r>
    <x v="0"/>
    <x v="0"/>
    <x v="0"/>
    <x v="0"/>
    <x v="0"/>
    <s v="DK1_Large"/>
    <x v="3"/>
    <x v="0"/>
    <x v="0"/>
    <s v="GNR_ST_MSW_BP_E-19"/>
    <n v="9"/>
    <n v="8.9999999999999993E-3"/>
  </r>
  <r>
    <x v="0"/>
    <x v="0"/>
    <x v="0"/>
    <x v="0"/>
    <x v="0"/>
    <s v="DK1_Large"/>
    <x v="3"/>
    <x v="0"/>
    <x v="0"/>
    <s v="GNR_ST_MSW_BP_E-22"/>
    <n v="31"/>
    <n v="3.1E-2"/>
  </r>
  <r>
    <x v="0"/>
    <x v="0"/>
    <x v="0"/>
    <x v="0"/>
    <x v="0"/>
    <s v="DK1_Large"/>
    <x v="3"/>
    <x v="0"/>
    <x v="0"/>
    <s v="GNR_ST_MSW_BP_E-23"/>
    <n v="36.06"/>
    <n v="3.6060000000000002E-2"/>
  </r>
  <r>
    <x v="0"/>
    <x v="0"/>
    <x v="0"/>
    <x v="0"/>
    <x v="0"/>
    <s v="DK1_Large"/>
    <x v="3"/>
    <x v="0"/>
    <x v="0"/>
    <s v="GNR_ST_MSW_BP_E-27"/>
    <n v="17.899999999999999"/>
    <n v="1.7899999999999999E-2"/>
  </r>
  <r>
    <x v="0"/>
    <x v="0"/>
    <x v="0"/>
    <x v="0"/>
    <x v="0"/>
    <s v="DK1_Large"/>
    <x v="4"/>
    <x v="0"/>
    <x v="0"/>
    <s v="GNR_ENG_NGAS_BP_E-34"/>
    <n v="1.0469999999999999"/>
    <n v="1.047E-3"/>
  </r>
  <r>
    <x v="0"/>
    <x v="0"/>
    <x v="0"/>
    <x v="0"/>
    <x v="0"/>
    <s v="DK1_Large"/>
    <x v="4"/>
    <x v="0"/>
    <x v="0"/>
    <s v="GNR_ENG_NGAS_BP_E-38"/>
    <n v="2.9279999999999999"/>
    <n v="2.928E-3"/>
  </r>
  <r>
    <x v="0"/>
    <x v="0"/>
    <x v="0"/>
    <x v="0"/>
    <x v="0"/>
    <s v="DK1_Large"/>
    <x v="4"/>
    <x v="0"/>
    <x v="0"/>
    <s v="GNR_ENG_NGAS_BP_E-39"/>
    <n v="13.46"/>
    <n v="1.346E-2"/>
  </r>
  <r>
    <x v="0"/>
    <x v="0"/>
    <x v="0"/>
    <x v="0"/>
    <x v="0"/>
    <s v="DK1_Large"/>
    <x v="4"/>
    <x v="0"/>
    <x v="0"/>
    <s v="GNR_ENG_NGAS_BP_E-40"/>
    <n v="5.21"/>
    <n v="5.2100000000000002E-3"/>
  </r>
  <r>
    <x v="0"/>
    <x v="0"/>
    <x v="0"/>
    <x v="0"/>
    <x v="0"/>
    <s v="DK1_Large"/>
    <x v="4"/>
    <x v="0"/>
    <x v="0"/>
    <s v="GNR_ENG_NGAS_BP_E-41"/>
    <n v="3.8"/>
    <n v="3.8E-3"/>
  </r>
  <r>
    <x v="0"/>
    <x v="0"/>
    <x v="0"/>
    <x v="0"/>
    <x v="0"/>
    <s v="DK1_Large"/>
    <x v="4"/>
    <x v="0"/>
    <x v="0"/>
    <s v="GNR_ENG_NGAS_BP_E-42"/>
    <n v="2.2599999999999998"/>
    <n v="2.2599999999999999E-3"/>
  </r>
  <r>
    <x v="0"/>
    <x v="0"/>
    <x v="0"/>
    <x v="0"/>
    <x v="0"/>
    <s v="DK1_Large"/>
    <x v="4"/>
    <x v="0"/>
    <x v="0"/>
    <s v="GNR_ENG_NGAS_BP_E-43"/>
    <n v="8.99"/>
    <n v="8.9899999999999997E-3"/>
  </r>
  <r>
    <x v="0"/>
    <x v="0"/>
    <x v="0"/>
    <x v="0"/>
    <x v="0"/>
    <s v="DK1_Large"/>
    <x v="4"/>
    <x v="0"/>
    <x v="0"/>
    <s v="GNR_ENG_NGAS_BP_E-44"/>
    <n v="3.14"/>
    <n v="3.14E-3"/>
  </r>
  <r>
    <x v="0"/>
    <x v="0"/>
    <x v="0"/>
    <x v="0"/>
    <x v="0"/>
    <s v="DK1_Large"/>
    <x v="4"/>
    <x v="0"/>
    <x v="0"/>
    <s v="GNR_ENG_NGAS_BP_E-46"/>
    <n v="2.92"/>
    <n v="2.9199999999999999E-3"/>
  </r>
  <r>
    <x v="0"/>
    <x v="0"/>
    <x v="0"/>
    <x v="0"/>
    <x v="0"/>
    <s v="DK1_Large"/>
    <x v="4"/>
    <x v="0"/>
    <x v="0"/>
    <s v="GNR_GT_NGAS_BP_E-27"/>
    <n v="26"/>
    <n v="2.5999999999999999E-2"/>
  </r>
  <r>
    <x v="0"/>
    <x v="0"/>
    <x v="0"/>
    <x v="0"/>
    <x v="0"/>
    <s v="DK1_Large"/>
    <x v="4"/>
    <x v="1"/>
    <x v="0"/>
    <s v="GNR_ST_NGAS_EXT_E-47"/>
    <n v="392"/>
    <n v="0.39200000000000002"/>
  </r>
  <r>
    <x v="0"/>
    <x v="0"/>
    <x v="0"/>
    <x v="0"/>
    <x v="0"/>
    <s v="DK1_Large"/>
    <x v="5"/>
    <x v="0"/>
    <x v="0"/>
    <s v="GNR_ST_STRW_BP_E-26"/>
    <n v="31"/>
    <n v="3.1E-2"/>
  </r>
  <r>
    <x v="0"/>
    <x v="0"/>
    <x v="0"/>
    <x v="0"/>
    <x v="0"/>
    <s v="DK1_Large"/>
    <x v="6"/>
    <x v="0"/>
    <x v="0"/>
    <s v="GNR_ST_WOODCHI_BP_E-23"/>
    <n v="7.5"/>
    <n v="7.4999999999999997E-3"/>
  </r>
  <r>
    <x v="0"/>
    <x v="0"/>
    <x v="0"/>
    <x v="0"/>
    <x v="0"/>
    <s v="DK1_MedSmall"/>
    <x v="0"/>
    <x v="0"/>
    <x v="0"/>
    <s v="GNR_ENG_BGAS_BP_E-33"/>
    <n v="0.17"/>
    <n v="1.7000000000000001E-4"/>
  </r>
  <r>
    <x v="0"/>
    <x v="0"/>
    <x v="0"/>
    <x v="0"/>
    <x v="0"/>
    <s v="DK1_MedSmall"/>
    <x v="0"/>
    <x v="0"/>
    <x v="0"/>
    <s v="GNR_ENG_BGAS_BP_E-38"/>
    <n v="0.17"/>
    <n v="1.7000000000000001E-4"/>
  </r>
  <r>
    <x v="0"/>
    <x v="0"/>
    <x v="0"/>
    <x v="0"/>
    <x v="0"/>
    <s v="DK1_MedSmall"/>
    <x v="2"/>
    <x v="2"/>
    <x v="0"/>
    <s v="GNR_ENG_LIGHTOIL_CND_E-39"/>
    <n v="0.3"/>
    <n v="2.9999999999999997E-4"/>
  </r>
  <r>
    <x v="0"/>
    <x v="0"/>
    <x v="0"/>
    <x v="0"/>
    <x v="0"/>
    <s v="DK1_MedSmall"/>
    <x v="3"/>
    <x v="0"/>
    <x v="0"/>
    <s v="GNR_ST_MSW_BP_E-17"/>
    <n v="2.4"/>
    <n v="2.3999999999999998E-3"/>
  </r>
  <r>
    <x v="0"/>
    <x v="0"/>
    <x v="0"/>
    <x v="0"/>
    <x v="0"/>
    <s v="DK1_MedSmall"/>
    <x v="3"/>
    <x v="0"/>
    <x v="0"/>
    <s v="GNR_ST_MSW_BP_E-20"/>
    <n v="3.3"/>
    <n v="3.3E-3"/>
  </r>
  <r>
    <x v="0"/>
    <x v="0"/>
    <x v="0"/>
    <x v="0"/>
    <x v="0"/>
    <s v="DK1_MedSmall"/>
    <x v="3"/>
    <x v="0"/>
    <x v="0"/>
    <s v="GNR_ST_MSW_BP_E-21"/>
    <n v="10"/>
    <n v="0.01"/>
  </r>
  <r>
    <x v="0"/>
    <x v="0"/>
    <x v="0"/>
    <x v="0"/>
    <x v="0"/>
    <s v="DK1_MedSmall"/>
    <x v="3"/>
    <x v="0"/>
    <x v="0"/>
    <s v="GNR_ST_MSW_BP_E-22"/>
    <n v="4.5"/>
    <n v="4.4999999999999997E-3"/>
  </r>
  <r>
    <x v="0"/>
    <x v="0"/>
    <x v="0"/>
    <x v="0"/>
    <x v="0"/>
    <s v="DK1_MedSmall"/>
    <x v="3"/>
    <x v="0"/>
    <x v="0"/>
    <s v="GNR_ST_MSW_BP_E-26"/>
    <n v="7"/>
    <n v="7.0000000000000001E-3"/>
  </r>
  <r>
    <x v="0"/>
    <x v="0"/>
    <x v="0"/>
    <x v="0"/>
    <x v="0"/>
    <s v="DK1_MedSmall"/>
    <x v="4"/>
    <x v="0"/>
    <x v="0"/>
    <s v="GNR_ENG_NGAS_BP_E-35"/>
    <n v="0.63"/>
    <n v="6.3000000000000003E-4"/>
  </r>
  <r>
    <x v="0"/>
    <x v="0"/>
    <x v="0"/>
    <x v="0"/>
    <x v="0"/>
    <s v="DK1_MedSmall"/>
    <x v="4"/>
    <x v="0"/>
    <x v="0"/>
    <s v="GNR_ENG_NGAS_BP_E-37"/>
    <n v="1"/>
    <n v="1E-3"/>
  </r>
  <r>
    <x v="0"/>
    <x v="0"/>
    <x v="0"/>
    <x v="0"/>
    <x v="0"/>
    <s v="DK1_MedSmall"/>
    <x v="4"/>
    <x v="0"/>
    <x v="0"/>
    <s v="GNR_ENG_NGAS_BP_E-40"/>
    <n v="12.472"/>
    <n v="1.2472E-2"/>
  </r>
  <r>
    <x v="0"/>
    <x v="0"/>
    <x v="0"/>
    <x v="0"/>
    <x v="0"/>
    <s v="DK1_MedSmall"/>
    <x v="4"/>
    <x v="0"/>
    <x v="0"/>
    <s v="GNR_ENG_NGAS_BP_E-41"/>
    <n v="8.52"/>
    <n v="8.5199999999999998E-3"/>
  </r>
  <r>
    <x v="0"/>
    <x v="0"/>
    <x v="0"/>
    <x v="0"/>
    <x v="0"/>
    <s v="DK1_MedSmall"/>
    <x v="4"/>
    <x v="0"/>
    <x v="0"/>
    <s v="GNR_ENG_NGAS_BP_E-46"/>
    <n v="2.21"/>
    <n v="2.2100000000000002E-3"/>
  </r>
  <r>
    <x v="0"/>
    <x v="0"/>
    <x v="0"/>
    <x v="0"/>
    <x v="0"/>
    <s v="DK1_MedSmall"/>
    <x v="4"/>
    <x v="0"/>
    <x v="0"/>
    <s v="GNR_GT_NGAS_BP_E-31"/>
    <n v="17"/>
    <n v="1.7000000000000001E-2"/>
  </r>
  <r>
    <x v="0"/>
    <x v="0"/>
    <x v="0"/>
    <x v="0"/>
    <x v="0"/>
    <s v="DK1_MedSmall"/>
    <x v="5"/>
    <x v="0"/>
    <x v="0"/>
    <s v="GNR_ST_STRW_BP_E-21"/>
    <n v="17.5"/>
    <n v="1.7500000000000002E-2"/>
  </r>
  <r>
    <x v="0"/>
    <x v="0"/>
    <x v="0"/>
    <x v="0"/>
    <x v="0"/>
    <s v="DK1_Medium"/>
    <x v="0"/>
    <x v="0"/>
    <x v="0"/>
    <s v="GNR_ENG_BGAS_BP_E-32"/>
    <n v="0.28999999999999998"/>
    <n v="2.9E-4"/>
  </r>
  <r>
    <x v="0"/>
    <x v="0"/>
    <x v="0"/>
    <x v="0"/>
    <x v="0"/>
    <s v="DK1_Medium"/>
    <x v="0"/>
    <x v="0"/>
    <x v="0"/>
    <s v="GNR_ENG_BGAS_BP_E-34"/>
    <n v="0.64"/>
    <n v="6.4000000000000005E-4"/>
  </r>
  <r>
    <x v="0"/>
    <x v="0"/>
    <x v="0"/>
    <x v="0"/>
    <x v="0"/>
    <s v="DK1_Medium"/>
    <x v="0"/>
    <x v="0"/>
    <x v="0"/>
    <s v="GNR_ENG_BGAS_BP_E-35"/>
    <n v="0.38"/>
    <n v="3.8000000000000002E-4"/>
  </r>
  <r>
    <x v="0"/>
    <x v="0"/>
    <x v="0"/>
    <x v="0"/>
    <x v="0"/>
    <s v="DK1_Medium"/>
    <x v="0"/>
    <x v="0"/>
    <x v="0"/>
    <s v="GNR_ENG_BGAS_BP_E-37"/>
    <n v="2.5"/>
    <n v="2.5000000000000001E-3"/>
  </r>
  <r>
    <x v="0"/>
    <x v="0"/>
    <x v="0"/>
    <x v="0"/>
    <x v="0"/>
    <s v="DK1_Medium"/>
    <x v="0"/>
    <x v="0"/>
    <x v="0"/>
    <s v="GNR_ENG_BGAS_BP_E-39"/>
    <n v="0.63"/>
    <n v="6.3000000000000003E-4"/>
  </r>
  <r>
    <x v="0"/>
    <x v="0"/>
    <x v="0"/>
    <x v="0"/>
    <x v="0"/>
    <s v="DK1_Medium"/>
    <x v="0"/>
    <x v="0"/>
    <x v="0"/>
    <s v="GNR_ENG_BGAS_BP_E-41"/>
    <n v="3.3170000000000002"/>
    <n v="3.3170000000000001E-3"/>
  </r>
  <r>
    <x v="0"/>
    <x v="0"/>
    <x v="0"/>
    <x v="0"/>
    <x v="0"/>
    <s v="DK1_Medium"/>
    <x v="0"/>
    <x v="0"/>
    <x v="0"/>
    <s v="GNR_ENG_BGAS_BP_E-42"/>
    <n v="0.61"/>
    <n v="6.0999999999999997E-4"/>
  </r>
  <r>
    <x v="0"/>
    <x v="0"/>
    <x v="0"/>
    <x v="0"/>
    <x v="0"/>
    <s v="DK1_Medium"/>
    <x v="2"/>
    <x v="2"/>
    <x v="0"/>
    <s v="GNR_ENG_LIGHTOIL_CND_E-38"/>
    <n v="1.36"/>
    <n v="1.3600000000000001E-3"/>
  </r>
  <r>
    <x v="0"/>
    <x v="0"/>
    <x v="0"/>
    <x v="0"/>
    <x v="0"/>
    <s v="DK1_Medium"/>
    <x v="2"/>
    <x v="2"/>
    <x v="0"/>
    <s v="GNR_ENG_LIGHTOIL_CND_E-39"/>
    <n v="0.7"/>
    <n v="6.9999999999999999E-4"/>
  </r>
  <r>
    <x v="0"/>
    <x v="0"/>
    <x v="0"/>
    <x v="0"/>
    <x v="0"/>
    <s v="DK1_Medium"/>
    <x v="2"/>
    <x v="2"/>
    <x v="0"/>
    <s v="GNR_ENG_LIGHTOIL_CND_E-41"/>
    <n v="0.56000000000000005"/>
    <n v="5.5999999999999995E-4"/>
  </r>
  <r>
    <x v="0"/>
    <x v="0"/>
    <x v="0"/>
    <x v="0"/>
    <x v="0"/>
    <s v="DK1_Medium"/>
    <x v="3"/>
    <x v="0"/>
    <x v="0"/>
    <s v="GNR_ST_MSW_BP_E-18"/>
    <n v="7"/>
    <n v="7.0000000000000001E-3"/>
  </r>
  <r>
    <x v="0"/>
    <x v="0"/>
    <x v="0"/>
    <x v="0"/>
    <x v="0"/>
    <s v="DK1_Medium"/>
    <x v="3"/>
    <x v="0"/>
    <x v="0"/>
    <s v="GNR_ST_MSW_BP_E-21"/>
    <n v="27"/>
    <n v="2.7E-2"/>
  </r>
  <r>
    <x v="0"/>
    <x v="0"/>
    <x v="0"/>
    <x v="0"/>
    <x v="0"/>
    <s v="DK1_Medium"/>
    <x v="3"/>
    <x v="0"/>
    <x v="0"/>
    <s v="GNR_ST_MSW_BP_E-22"/>
    <n v="62.6"/>
    <n v="6.2600000000000003E-2"/>
  </r>
  <r>
    <x v="0"/>
    <x v="0"/>
    <x v="0"/>
    <x v="0"/>
    <x v="0"/>
    <s v="DK1_Medium"/>
    <x v="4"/>
    <x v="0"/>
    <x v="0"/>
    <s v="GNR_ENG_NGAS_BP_E-34"/>
    <n v="0.66"/>
    <n v="6.6E-4"/>
  </r>
  <r>
    <x v="0"/>
    <x v="0"/>
    <x v="0"/>
    <x v="0"/>
    <x v="0"/>
    <s v="DK1_Medium"/>
    <x v="4"/>
    <x v="0"/>
    <x v="0"/>
    <s v="GNR_ENG_NGAS_BP_E-36"/>
    <n v="2.0699999999999998"/>
    <n v="2.0699999999999998E-3"/>
  </r>
  <r>
    <x v="0"/>
    <x v="0"/>
    <x v="0"/>
    <x v="0"/>
    <x v="0"/>
    <s v="DK1_Medium"/>
    <x v="4"/>
    <x v="0"/>
    <x v="0"/>
    <s v="GNR_ENG_NGAS_BP_E-40"/>
    <n v="1.33"/>
    <n v="1.33E-3"/>
  </r>
  <r>
    <x v="0"/>
    <x v="0"/>
    <x v="0"/>
    <x v="0"/>
    <x v="0"/>
    <s v="DK1_Medium"/>
    <x v="4"/>
    <x v="0"/>
    <x v="0"/>
    <s v="GNR_ENG_NGAS_BP_E-41"/>
    <n v="4.3"/>
    <n v="4.3E-3"/>
  </r>
  <r>
    <x v="0"/>
    <x v="0"/>
    <x v="0"/>
    <x v="0"/>
    <x v="0"/>
    <s v="DK1_Medium"/>
    <x v="4"/>
    <x v="0"/>
    <x v="0"/>
    <s v="GNR_ENG_NGAS_BP_E-42"/>
    <n v="10.029999999999999"/>
    <n v="1.0030000000000001E-2"/>
  </r>
  <r>
    <x v="0"/>
    <x v="0"/>
    <x v="0"/>
    <x v="0"/>
    <x v="0"/>
    <s v="DK1_Medium"/>
    <x v="4"/>
    <x v="0"/>
    <x v="0"/>
    <s v="GNR_ENG_NGAS_BP_E-43"/>
    <n v="1.42"/>
    <n v="1.42E-3"/>
  </r>
  <r>
    <x v="0"/>
    <x v="0"/>
    <x v="0"/>
    <x v="0"/>
    <x v="0"/>
    <s v="DK1_Medium"/>
    <x v="4"/>
    <x v="0"/>
    <x v="0"/>
    <s v="GNR_ENG_NGAS_BP_E-44"/>
    <n v="4.68"/>
    <n v="4.6800000000000001E-3"/>
  </r>
  <r>
    <x v="0"/>
    <x v="0"/>
    <x v="0"/>
    <x v="0"/>
    <x v="0"/>
    <s v="DK1_Medium"/>
    <x v="4"/>
    <x v="0"/>
    <x v="0"/>
    <s v="GNR_GT_NGAS_BP_E-31"/>
    <n v="9"/>
    <n v="8.9999999999999993E-3"/>
  </r>
  <r>
    <x v="0"/>
    <x v="0"/>
    <x v="0"/>
    <x v="0"/>
    <x v="0"/>
    <s v="DK1_Medium"/>
    <x v="4"/>
    <x v="0"/>
    <x v="0"/>
    <s v="GNR_GT_NGAS_BP_E-43"/>
    <n v="82.15"/>
    <n v="8.2150000000000001E-2"/>
  </r>
  <r>
    <x v="0"/>
    <x v="0"/>
    <x v="0"/>
    <x v="0"/>
    <x v="0"/>
    <s v="DK1_Medium"/>
    <x v="4"/>
    <x v="0"/>
    <x v="0"/>
    <s v="GNR_GT_NGAS_BP_E-44"/>
    <n v="57"/>
    <n v="5.7000000000000002E-2"/>
  </r>
  <r>
    <x v="0"/>
    <x v="0"/>
    <x v="0"/>
    <x v="0"/>
    <x v="0"/>
    <s v="DK1_Medium"/>
    <x v="4"/>
    <x v="0"/>
    <x v="0"/>
    <s v="GNR_GT_NGAS_BP_E-47"/>
    <n v="108.55"/>
    <n v="0.10854999999999999"/>
  </r>
  <r>
    <x v="0"/>
    <x v="0"/>
    <x v="0"/>
    <x v="0"/>
    <x v="0"/>
    <s v="DK1_Medium"/>
    <x v="6"/>
    <x v="0"/>
    <x v="0"/>
    <s v="GNR_ST_WOODCHI_BP_E-27"/>
    <n v="52"/>
    <n v="5.1999999999999998E-2"/>
  </r>
  <r>
    <x v="0"/>
    <x v="0"/>
    <x v="0"/>
    <x v="0"/>
    <x v="0"/>
    <s v="DK1_Medium"/>
    <x v="6"/>
    <x v="0"/>
    <x v="0"/>
    <s v="GNR_ST_WOODCHI_BP_E-30"/>
    <n v="90.4"/>
    <n v="9.0399999999999994E-2"/>
  </r>
  <r>
    <x v="0"/>
    <x v="0"/>
    <x v="0"/>
    <x v="0"/>
    <x v="0"/>
    <s v="DK1_NoDH"/>
    <x v="0"/>
    <x v="0"/>
    <x v="0"/>
    <s v="GNR_ENG_BGAS_BP_E-30"/>
    <n v="0.43"/>
    <n v="4.2999999999999999E-4"/>
  </r>
  <r>
    <x v="0"/>
    <x v="0"/>
    <x v="0"/>
    <x v="0"/>
    <x v="0"/>
    <s v="DK1_NoDH"/>
    <x v="0"/>
    <x v="0"/>
    <x v="0"/>
    <s v="GNR_ENG_BGAS_BP_E-31"/>
    <n v="0.47"/>
    <n v="4.6999999999999999E-4"/>
  </r>
  <r>
    <x v="0"/>
    <x v="0"/>
    <x v="0"/>
    <x v="0"/>
    <x v="0"/>
    <s v="DK1_NoDH"/>
    <x v="0"/>
    <x v="0"/>
    <x v="0"/>
    <s v="GNR_ENG_BGAS_BP_E-32"/>
    <n v="1.19"/>
    <n v="1.1900000000000001E-3"/>
  </r>
  <r>
    <x v="0"/>
    <x v="0"/>
    <x v="0"/>
    <x v="0"/>
    <x v="0"/>
    <s v="DK1_NoDH"/>
    <x v="0"/>
    <x v="0"/>
    <x v="0"/>
    <s v="GNR_ENG_BGAS_BP_E-33"/>
    <n v="0.92"/>
    <n v="9.2000000000000003E-4"/>
  </r>
  <r>
    <x v="0"/>
    <x v="0"/>
    <x v="0"/>
    <x v="0"/>
    <x v="0"/>
    <s v="DK1_NoDH"/>
    <x v="0"/>
    <x v="0"/>
    <x v="0"/>
    <s v="GNR_ENG_BGAS_BP_E-34"/>
    <n v="2.8719999999999999"/>
    <n v="2.872E-3"/>
  </r>
  <r>
    <x v="0"/>
    <x v="0"/>
    <x v="0"/>
    <x v="0"/>
    <x v="0"/>
    <s v="DK1_NoDH"/>
    <x v="0"/>
    <x v="0"/>
    <x v="0"/>
    <s v="GNR_ENG_BGAS_BP_E-35"/>
    <n v="2.19"/>
    <n v="2.1900000000000001E-3"/>
  </r>
  <r>
    <x v="0"/>
    <x v="0"/>
    <x v="0"/>
    <x v="0"/>
    <x v="0"/>
    <s v="DK1_NoDH"/>
    <x v="0"/>
    <x v="0"/>
    <x v="0"/>
    <s v="GNR_ENG_BGAS_BP_E-36"/>
    <n v="2.08"/>
    <n v="2.0799999999999998E-3"/>
  </r>
  <r>
    <x v="0"/>
    <x v="0"/>
    <x v="0"/>
    <x v="0"/>
    <x v="0"/>
    <s v="DK1_NoDH"/>
    <x v="0"/>
    <x v="0"/>
    <x v="0"/>
    <s v="GNR_ENG_BGAS_BP_E-37"/>
    <n v="4.351"/>
    <n v="4.3509999999999998E-3"/>
  </r>
  <r>
    <x v="0"/>
    <x v="0"/>
    <x v="0"/>
    <x v="0"/>
    <x v="0"/>
    <s v="DK1_NoDH"/>
    <x v="0"/>
    <x v="0"/>
    <x v="0"/>
    <s v="GNR_ENG_BGAS_BP_E-38"/>
    <n v="0.19"/>
    <n v="1.9000000000000001E-4"/>
  </r>
  <r>
    <x v="0"/>
    <x v="0"/>
    <x v="0"/>
    <x v="0"/>
    <x v="0"/>
    <s v="DK1_NoDH"/>
    <x v="0"/>
    <x v="0"/>
    <x v="0"/>
    <s v="GNR_ENG_BGAS_BP_E-39"/>
    <n v="1.1599999999999999"/>
    <n v="1.16E-3"/>
  </r>
  <r>
    <x v="0"/>
    <x v="0"/>
    <x v="0"/>
    <x v="0"/>
    <x v="0"/>
    <s v="DK1_NoDH"/>
    <x v="0"/>
    <x v="0"/>
    <x v="0"/>
    <s v="GNR_ENG_BGAS_BP_E-40"/>
    <n v="2.6"/>
    <n v="2.5999999999999999E-3"/>
  </r>
  <r>
    <x v="0"/>
    <x v="0"/>
    <x v="0"/>
    <x v="0"/>
    <x v="0"/>
    <s v="DK1_NoDH"/>
    <x v="0"/>
    <x v="0"/>
    <x v="0"/>
    <s v="GNR_ENG_BGAS_BP_E-42"/>
    <n v="1.4"/>
    <n v="1.4E-3"/>
  </r>
  <r>
    <x v="0"/>
    <x v="0"/>
    <x v="0"/>
    <x v="0"/>
    <x v="0"/>
    <s v="DK1_NoDH"/>
    <x v="0"/>
    <x v="0"/>
    <x v="0"/>
    <s v="GNR_ENG_BGAS_BP_E-43"/>
    <n v="6"/>
    <n v="6.0000000000000001E-3"/>
  </r>
  <r>
    <x v="0"/>
    <x v="0"/>
    <x v="0"/>
    <x v="0"/>
    <x v="0"/>
    <s v="DK1_NoDH"/>
    <x v="0"/>
    <x v="2"/>
    <x v="0"/>
    <s v="GNR_ENG_BGAS_CND_E-36"/>
    <n v="1.4"/>
    <n v="1.4E-3"/>
  </r>
  <r>
    <x v="0"/>
    <x v="0"/>
    <x v="0"/>
    <x v="0"/>
    <x v="0"/>
    <s v="DK1_NoDH"/>
    <x v="0"/>
    <x v="2"/>
    <x v="0"/>
    <s v="GNR_ENG_BGAS_CND_E-42"/>
    <n v="0.35"/>
    <n v="3.5E-4"/>
  </r>
  <r>
    <x v="0"/>
    <x v="0"/>
    <x v="0"/>
    <x v="0"/>
    <x v="0"/>
    <s v="DK1_NoDH"/>
    <x v="7"/>
    <x v="0"/>
    <x v="0"/>
    <s v="GNR_ST_FUELOIL_BP_E-34"/>
    <n v="4.28"/>
    <n v="4.28E-3"/>
  </r>
  <r>
    <x v="0"/>
    <x v="0"/>
    <x v="0"/>
    <x v="0"/>
    <x v="0"/>
    <s v="DK1_NoDH"/>
    <x v="2"/>
    <x v="2"/>
    <x v="0"/>
    <s v="GNR_ENG_LIGHTOIL_CND_E-34"/>
    <n v="0.5"/>
    <n v="5.0000000000000001E-4"/>
  </r>
  <r>
    <x v="0"/>
    <x v="0"/>
    <x v="0"/>
    <x v="0"/>
    <x v="0"/>
    <s v="DK1_NoDH"/>
    <x v="2"/>
    <x v="2"/>
    <x v="0"/>
    <s v="GNR_ENG_LIGHTOIL_CND_E-36"/>
    <n v="0.72"/>
    <n v="7.2000000000000005E-4"/>
  </r>
  <r>
    <x v="0"/>
    <x v="0"/>
    <x v="0"/>
    <x v="0"/>
    <x v="0"/>
    <s v="DK1_NoDH"/>
    <x v="2"/>
    <x v="2"/>
    <x v="0"/>
    <s v="GNR_ENG_LIGHTOIL_CND_E-41"/>
    <n v="40.799999999999997"/>
    <n v="4.0800000000000003E-2"/>
  </r>
  <r>
    <x v="0"/>
    <x v="0"/>
    <x v="0"/>
    <x v="0"/>
    <x v="0"/>
    <s v="DK1_NoDH"/>
    <x v="2"/>
    <x v="2"/>
    <x v="0"/>
    <s v="GNR_ENG_LIGHTOIL_CND_E-43"/>
    <n v="0.02"/>
    <n v="2.0000000000000002E-5"/>
  </r>
  <r>
    <x v="0"/>
    <x v="0"/>
    <x v="0"/>
    <x v="0"/>
    <x v="0"/>
    <s v="DK1_NoDH"/>
    <x v="4"/>
    <x v="0"/>
    <x v="0"/>
    <s v="GNR_ENG_NGAS_BP_E-33"/>
    <n v="0.13500000000000001"/>
    <n v="1.35E-4"/>
  </r>
  <r>
    <x v="0"/>
    <x v="0"/>
    <x v="0"/>
    <x v="0"/>
    <x v="0"/>
    <s v="DK1_NoDH"/>
    <x v="4"/>
    <x v="0"/>
    <x v="0"/>
    <s v="GNR_ENG_NGAS_BP_E-35"/>
    <n v="1.84"/>
    <n v="1.8400000000000001E-3"/>
  </r>
  <r>
    <x v="0"/>
    <x v="0"/>
    <x v="0"/>
    <x v="0"/>
    <x v="0"/>
    <s v="DK1_NoDH"/>
    <x v="4"/>
    <x v="0"/>
    <x v="0"/>
    <s v="GNR_ENG_NGAS_BP_E-36"/>
    <n v="3.37"/>
    <n v="3.3700000000000002E-3"/>
  </r>
  <r>
    <x v="0"/>
    <x v="0"/>
    <x v="0"/>
    <x v="0"/>
    <x v="0"/>
    <s v="DK1_NoDH"/>
    <x v="4"/>
    <x v="0"/>
    <x v="0"/>
    <s v="GNR_ENG_NGAS_BP_E-37"/>
    <n v="36.86"/>
    <n v="3.6859999999999997E-2"/>
  </r>
  <r>
    <x v="0"/>
    <x v="0"/>
    <x v="0"/>
    <x v="0"/>
    <x v="0"/>
    <s v="DK1_NoDH"/>
    <x v="4"/>
    <x v="0"/>
    <x v="0"/>
    <s v="GNR_ENG_NGAS_BP_E-38"/>
    <n v="12.36"/>
    <n v="1.2359999999999999E-2"/>
  </r>
  <r>
    <x v="0"/>
    <x v="0"/>
    <x v="0"/>
    <x v="0"/>
    <x v="0"/>
    <s v="DK1_NoDH"/>
    <x v="4"/>
    <x v="0"/>
    <x v="0"/>
    <s v="GNR_ENG_NGAS_BP_E-39"/>
    <n v="11.33"/>
    <n v="1.133E-2"/>
  </r>
  <r>
    <x v="0"/>
    <x v="0"/>
    <x v="0"/>
    <x v="0"/>
    <x v="0"/>
    <s v="DK1_NoDH"/>
    <x v="4"/>
    <x v="0"/>
    <x v="0"/>
    <s v="GNR_ENG_NGAS_BP_E-40"/>
    <n v="2.82"/>
    <n v="2.82E-3"/>
  </r>
  <r>
    <x v="0"/>
    <x v="0"/>
    <x v="0"/>
    <x v="0"/>
    <x v="0"/>
    <s v="DK1_NoDH"/>
    <x v="4"/>
    <x v="0"/>
    <x v="0"/>
    <s v="GNR_ENG_NGAS_BP_E-41"/>
    <n v="7.91"/>
    <n v="7.9100000000000004E-3"/>
  </r>
  <r>
    <x v="0"/>
    <x v="0"/>
    <x v="0"/>
    <x v="0"/>
    <x v="0"/>
    <s v="DK1_NoDH"/>
    <x v="4"/>
    <x v="0"/>
    <x v="0"/>
    <s v="GNR_ENG_NGAS_BP_E-42"/>
    <n v="11.12"/>
    <n v="1.112E-2"/>
  </r>
  <r>
    <x v="0"/>
    <x v="0"/>
    <x v="0"/>
    <x v="0"/>
    <x v="0"/>
    <s v="DK1_NoDH"/>
    <x v="4"/>
    <x v="0"/>
    <x v="0"/>
    <s v="GNR_ENG_NGAS_BP_E-43"/>
    <n v="12.340999999999999"/>
    <n v="1.2341E-2"/>
  </r>
  <r>
    <x v="0"/>
    <x v="0"/>
    <x v="0"/>
    <x v="0"/>
    <x v="0"/>
    <s v="DK1_NoDH"/>
    <x v="4"/>
    <x v="0"/>
    <x v="0"/>
    <s v="GNR_ENG_NGAS_BP_E-46"/>
    <n v="4.8049999999999997"/>
    <n v="4.8050000000000002E-3"/>
  </r>
  <r>
    <x v="0"/>
    <x v="0"/>
    <x v="0"/>
    <x v="0"/>
    <x v="0"/>
    <s v="DK1_NoDH"/>
    <x v="4"/>
    <x v="0"/>
    <x v="0"/>
    <s v="GNR_GT_NGAS_BP_E-28"/>
    <n v="34.9"/>
    <n v="3.49E-2"/>
  </r>
  <r>
    <x v="0"/>
    <x v="0"/>
    <x v="0"/>
    <x v="0"/>
    <x v="0"/>
    <s v="DK1_NoDH"/>
    <x v="4"/>
    <x v="0"/>
    <x v="0"/>
    <s v="GNR_GT_NGAS_BP_E-33"/>
    <n v="5.3"/>
    <n v="5.3E-3"/>
  </r>
  <r>
    <x v="0"/>
    <x v="0"/>
    <x v="0"/>
    <x v="0"/>
    <x v="0"/>
    <s v="DK1_NoDH"/>
    <x v="4"/>
    <x v="0"/>
    <x v="0"/>
    <s v="GNR_GT_NGAS_BP_E-36"/>
    <n v="4"/>
    <n v="4.0000000000000001E-3"/>
  </r>
  <r>
    <x v="0"/>
    <x v="0"/>
    <x v="0"/>
    <x v="0"/>
    <x v="0"/>
    <s v="DK1_NoDH"/>
    <x v="4"/>
    <x v="2"/>
    <x v="0"/>
    <s v="GNR_ENG_NGAS_CND_E-41"/>
    <n v="40.799999999999997"/>
    <n v="4.0800000000000003E-2"/>
  </r>
  <r>
    <x v="0"/>
    <x v="0"/>
    <x v="0"/>
    <x v="0"/>
    <x v="0"/>
    <s v="DK1_NoDH"/>
    <x v="4"/>
    <x v="2"/>
    <x v="0"/>
    <s v="GNR_ENG_NGAS_CND_E-46"/>
    <n v="0.64"/>
    <n v="6.4000000000000005E-4"/>
  </r>
  <r>
    <x v="0"/>
    <x v="0"/>
    <x v="0"/>
    <x v="0"/>
    <x v="0"/>
    <s v="DK1_NoDH"/>
    <x v="8"/>
    <x v="3"/>
    <x v="0"/>
    <s v="GNR_PV_SUN"/>
    <n v="518.50799999974299"/>
    <n v="0.51850799999974295"/>
  </r>
  <r>
    <x v="0"/>
    <x v="0"/>
    <x v="0"/>
    <x v="0"/>
    <x v="0"/>
    <s v="DK1_NoDH"/>
    <x v="9"/>
    <x v="4"/>
    <x v="0"/>
    <s v="GNR_ROR_WTR"/>
    <n v="6.94"/>
    <n v="6.94E-3"/>
  </r>
  <r>
    <x v="0"/>
    <x v="0"/>
    <x v="0"/>
    <x v="0"/>
    <x v="0"/>
    <s v="DK1_NoDH"/>
    <x v="10"/>
    <x v="5"/>
    <x v="0"/>
    <s v="GNR_WT_WIND_ONS"/>
    <n v="3259.3715000000998"/>
    <n v="3.2593715000000998"/>
  </r>
  <r>
    <x v="0"/>
    <x v="0"/>
    <x v="0"/>
    <x v="0"/>
    <x v="0"/>
    <s v="DK1_Offshore"/>
    <x v="10"/>
    <x v="5"/>
    <x v="0"/>
    <s v="GNR_WT_WIND_OFF"/>
    <n v="821.700000000003"/>
    <n v="0.82170000000000298"/>
  </r>
  <r>
    <x v="0"/>
    <x v="0"/>
    <x v="0"/>
    <x v="0"/>
    <x v="0"/>
    <s v="DK1_Rural"/>
    <x v="0"/>
    <x v="0"/>
    <x v="0"/>
    <s v="GNR_ENG_BGAS_BP_E-30"/>
    <n v="6"/>
    <n v="6.0000000000000001E-3"/>
  </r>
  <r>
    <x v="0"/>
    <x v="0"/>
    <x v="0"/>
    <x v="0"/>
    <x v="0"/>
    <s v="DK1_Rural"/>
    <x v="0"/>
    <x v="0"/>
    <x v="0"/>
    <s v="GNR_ENG_BGAS_BP_E-34"/>
    <n v="1.0329999999999999"/>
    <n v="1.0330000000000001E-3"/>
  </r>
  <r>
    <x v="0"/>
    <x v="0"/>
    <x v="0"/>
    <x v="0"/>
    <x v="0"/>
    <s v="DK1_Rural"/>
    <x v="0"/>
    <x v="0"/>
    <x v="0"/>
    <s v="GNR_ENG_BGAS_BP_E-35"/>
    <n v="1.05"/>
    <n v="1.0499999999999999E-3"/>
  </r>
  <r>
    <x v="0"/>
    <x v="0"/>
    <x v="0"/>
    <x v="0"/>
    <x v="0"/>
    <s v="DK1_Rural"/>
    <x v="0"/>
    <x v="0"/>
    <x v="0"/>
    <s v="GNR_ENG_BGAS_BP_E-37"/>
    <n v="4.9950000000000001"/>
    <n v="4.9950000000000003E-3"/>
  </r>
  <r>
    <x v="0"/>
    <x v="0"/>
    <x v="0"/>
    <x v="0"/>
    <x v="0"/>
    <s v="DK1_Rural"/>
    <x v="0"/>
    <x v="0"/>
    <x v="0"/>
    <s v="GNR_ENG_BGAS_BP_E-38"/>
    <n v="0.8"/>
    <n v="8.0000000000000004E-4"/>
  </r>
  <r>
    <x v="0"/>
    <x v="0"/>
    <x v="0"/>
    <x v="0"/>
    <x v="0"/>
    <s v="DK1_Rural"/>
    <x v="0"/>
    <x v="0"/>
    <x v="0"/>
    <s v="GNR_ENG_BGAS_BP_E-39"/>
    <n v="3.62"/>
    <n v="3.62E-3"/>
  </r>
  <r>
    <x v="0"/>
    <x v="0"/>
    <x v="0"/>
    <x v="0"/>
    <x v="0"/>
    <s v="DK1_Rural"/>
    <x v="0"/>
    <x v="0"/>
    <x v="0"/>
    <s v="GNR_ENG_BGAS_BP_E-40"/>
    <n v="6.24"/>
    <n v="6.2399999999999999E-3"/>
  </r>
  <r>
    <x v="0"/>
    <x v="0"/>
    <x v="0"/>
    <x v="0"/>
    <x v="0"/>
    <s v="DK1_Rural"/>
    <x v="0"/>
    <x v="0"/>
    <x v="0"/>
    <s v="GNR_ENG_BGAS_BP_E-41"/>
    <n v="2.081"/>
    <n v="2.081E-3"/>
  </r>
  <r>
    <x v="0"/>
    <x v="0"/>
    <x v="0"/>
    <x v="0"/>
    <x v="0"/>
    <s v="DK1_Rural"/>
    <x v="0"/>
    <x v="0"/>
    <x v="0"/>
    <s v="GNR_ENG_BGAS_BP_E-42"/>
    <n v="8.5299999999999994"/>
    <n v="8.5299999999999994E-3"/>
  </r>
  <r>
    <x v="0"/>
    <x v="0"/>
    <x v="0"/>
    <x v="0"/>
    <x v="0"/>
    <s v="DK1_Rural"/>
    <x v="0"/>
    <x v="0"/>
    <x v="0"/>
    <s v="GNR_ENG_BGAS_BP_E-43"/>
    <n v="5.14"/>
    <n v="5.1399999999999996E-3"/>
  </r>
  <r>
    <x v="0"/>
    <x v="0"/>
    <x v="0"/>
    <x v="0"/>
    <x v="0"/>
    <s v="DK1_Rural"/>
    <x v="2"/>
    <x v="0"/>
    <x v="0"/>
    <s v="GNR_ENG_LIGHTOIL_BP_E-35"/>
    <n v="2.54"/>
    <n v="2.5400000000000002E-3"/>
  </r>
  <r>
    <x v="0"/>
    <x v="0"/>
    <x v="0"/>
    <x v="0"/>
    <x v="0"/>
    <s v="DK1_Rural"/>
    <x v="2"/>
    <x v="0"/>
    <x v="0"/>
    <s v="GNR_ENG_LIGHTOIL_BP_E-37"/>
    <n v="16"/>
    <n v="1.6E-2"/>
  </r>
  <r>
    <x v="0"/>
    <x v="0"/>
    <x v="0"/>
    <x v="0"/>
    <x v="0"/>
    <s v="DK1_Rural"/>
    <x v="2"/>
    <x v="2"/>
    <x v="0"/>
    <s v="GNR_ENG_LIGHTOIL_CND_E-33"/>
    <n v="0.45"/>
    <n v="4.4999999999999999E-4"/>
  </r>
  <r>
    <x v="0"/>
    <x v="0"/>
    <x v="0"/>
    <x v="0"/>
    <x v="0"/>
    <s v="DK1_Rural"/>
    <x v="2"/>
    <x v="2"/>
    <x v="0"/>
    <s v="GNR_ENG_LIGHTOIL_CND_E-42"/>
    <n v="0.19"/>
    <n v="1.9000000000000001E-4"/>
  </r>
  <r>
    <x v="0"/>
    <x v="0"/>
    <x v="0"/>
    <x v="0"/>
    <x v="0"/>
    <s v="DK1_Rural"/>
    <x v="2"/>
    <x v="2"/>
    <x v="0"/>
    <s v="GNR_ENG_LIGHTOIL_CND_E-43"/>
    <n v="1.18"/>
    <n v="1.1800000000000001E-3"/>
  </r>
  <r>
    <x v="0"/>
    <x v="0"/>
    <x v="0"/>
    <x v="0"/>
    <x v="0"/>
    <s v="DK1_Rural"/>
    <x v="4"/>
    <x v="0"/>
    <x v="0"/>
    <s v="GNR_ENG_NGAS_BP_E-33"/>
    <n v="4.5"/>
    <n v="4.4999999999999997E-3"/>
  </r>
  <r>
    <x v="0"/>
    <x v="0"/>
    <x v="0"/>
    <x v="0"/>
    <x v="0"/>
    <s v="DK1_Rural"/>
    <x v="4"/>
    <x v="0"/>
    <x v="0"/>
    <s v="GNR_ENG_NGAS_BP_E-34"/>
    <n v="4.63"/>
    <n v="4.6299999999999996E-3"/>
  </r>
  <r>
    <x v="0"/>
    <x v="0"/>
    <x v="0"/>
    <x v="0"/>
    <x v="0"/>
    <s v="DK1_Rural"/>
    <x v="4"/>
    <x v="0"/>
    <x v="0"/>
    <s v="GNR_ENG_NGAS_BP_E-36"/>
    <n v="22.21"/>
    <n v="2.2210000000000001E-2"/>
  </r>
  <r>
    <x v="0"/>
    <x v="0"/>
    <x v="0"/>
    <x v="0"/>
    <x v="0"/>
    <s v="DK1_Rural"/>
    <x v="4"/>
    <x v="0"/>
    <x v="0"/>
    <s v="GNR_ENG_NGAS_BP_E-37"/>
    <n v="23.21"/>
    <n v="2.3210000000000001E-2"/>
  </r>
  <r>
    <x v="0"/>
    <x v="0"/>
    <x v="0"/>
    <x v="0"/>
    <x v="0"/>
    <s v="DK1_Rural"/>
    <x v="4"/>
    <x v="0"/>
    <x v="0"/>
    <s v="GNR_ENG_NGAS_BP_E-38"/>
    <n v="46.79"/>
    <n v="4.6789999999999998E-2"/>
  </r>
  <r>
    <x v="0"/>
    <x v="0"/>
    <x v="0"/>
    <x v="0"/>
    <x v="0"/>
    <s v="DK1_Rural"/>
    <x v="4"/>
    <x v="0"/>
    <x v="0"/>
    <s v="GNR_ENG_NGAS_BP_E-39"/>
    <n v="56.18"/>
    <n v="5.6180000000000001E-2"/>
  </r>
  <r>
    <x v="0"/>
    <x v="0"/>
    <x v="0"/>
    <x v="0"/>
    <x v="0"/>
    <s v="DK1_Rural"/>
    <x v="4"/>
    <x v="0"/>
    <x v="0"/>
    <s v="GNR_ENG_NGAS_BP_E-40"/>
    <n v="70.569999999999993"/>
    <n v="7.0569999999999994E-2"/>
  </r>
  <r>
    <x v="0"/>
    <x v="0"/>
    <x v="0"/>
    <x v="0"/>
    <x v="0"/>
    <s v="DK1_Rural"/>
    <x v="4"/>
    <x v="0"/>
    <x v="0"/>
    <s v="GNR_ENG_NGAS_BP_E-41"/>
    <n v="105.58"/>
    <n v="0.10557999999999999"/>
  </r>
  <r>
    <x v="0"/>
    <x v="0"/>
    <x v="0"/>
    <x v="0"/>
    <x v="0"/>
    <s v="DK1_Rural"/>
    <x v="4"/>
    <x v="0"/>
    <x v="0"/>
    <s v="GNR_ENG_NGAS_BP_E-42"/>
    <n v="76.742000000000004"/>
    <n v="7.6742000000000005E-2"/>
  </r>
  <r>
    <x v="0"/>
    <x v="0"/>
    <x v="0"/>
    <x v="0"/>
    <x v="0"/>
    <s v="DK1_Rural"/>
    <x v="4"/>
    <x v="0"/>
    <x v="0"/>
    <s v="GNR_ENG_NGAS_BP_E-43"/>
    <n v="48.531999999999996"/>
    <n v="4.8531999999999999E-2"/>
  </r>
  <r>
    <x v="0"/>
    <x v="0"/>
    <x v="0"/>
    <x v="0"/>
    <x v="0"/>
    <s v="DK1_Rural"/>
    <x v="4"/>
    <x v="0"/>
    <x v="0"/>
    <s v="GNR_ENG_NGAS_BP_E-44"/>
    <n v="54.03"/>
    <n v="5.4030000000000002E-2"/>
  </r>
  <r>
    <x v="0"/>
    <x v="0"/>
    <x v="0"/>
    <x v="0"/>
    <x v="0"/>
    <s v="DK1_Rural"/>
    <x v="4"/>
    <x v="0"/>
    <x v="0"/>
    <s v="GNR_ENG_NGAS_BP_E-45"/>
    <n v="10.44"/>
    <n v="1.044E-2"/>
  </r>
  <r>
    <x v="0"/>
    <x v="0"/>
    <x v="0"/>
    <x v="0"/>
    <x v="0"/>
    <s v="DK1_Rural"/>
    <x v="4"/>
    <x v="0"/>
    <x v="0"/>
    <s v="GNR_ENG_NGAS_BP_E-46"/>
    <n v="21.64"/>
    <n v="2.164E-2"/>
  </r>
  <r>
    <x v="0"/>
    <x v="0"/>
    <x v="0"/>
    <x v="0"/>
    <x v="0"/>
    <s v="DK1_Rural"/>
    <x v="4"/>
    <x v="0"/>
    <x v="0"/>
    <s v="GNR_ENG_NGAS_BP_E-47"/>
    <n v="3.7"/>
    <n v="3.7000000000000002E-3"/>
  </r>
  <r>
    <x v="0"/>
    <x v="0"/>
    <x v="0"/>
    <x v="0"/>
    <x v="0"/>
    <s v="DK1_Rural"/>
    <x v="4"/>
    <x v="0"/>
    <x v="0"/>
    <s v="GNR_GT_NGAS_BP_E-28"/>
    <n v="7.4"/>
    <n v="7.4000000000000003E-3"/>
  </r>
  <r>
    <x v="0"/>
    <x v="0"/>
    <x v="0"/>
    <x v="0"/>
    <x v="0"/>
    <s v="DK1_Rural"/>
    <x v="4"/>
    <x v="0"/>
    <x v="0"/>
    <s v="GNR_GT_NGAS_BP_E-30"/>
    <n v="6.3"/>
    <n v="6.3E-3"/>
  </r>
  <r>
    <x v="0"/>
    <x v="0"/>
    <x v="0"/>
    <x v="0"/>
    <x v="0"/>
    <s v="DK1_Rural"/>
    <x v="4"/>
    <x v="0"/>
    <x v="0"/>
    <s v="GNR_GT_NGAS_BP_E-41"/>
    <n v="6"/>
    <n v="6.0000000000000001E-3"/>
  </r>
  <r>
    <x v="0"/>
    <x v="0"/>
    <x v="0"/>
    <x v="0"/>
    <x v="0"/>
    <s v="DK1_Rural"/>
    <x v="5"/>
    <x v="0"/>
    <x v="0"/>
    <s v="GNR_ST_STRW_BP_E-26"/>
    <n v="2.2999999999999998"/>
    <n v="2.3E-3"/>
  </r>
  <r>
    <x v="0"/>
    <x v="0"/>
    <x v="0"/>
    <x v="0"/>
    <x v="0"/>
    <s v="DK1_Rural"/>
    <x v="6"/>
    <x v="0"/>
    <x v="0"/>
    <s v="GNR_ST_WOODCHI_BP_E-17"/>
    <n v="0.75"/>
    <n v="7.5000000000000002E-4"/>
  </r>
  <r>
    <x v="0"/>
    <x v="0"/>
    <x v="0"/>
    <x v="0"/>
    <x v="0"/>
    <s v="DK1_Rural"/>
    <x v="6"/>
    <x v="0"/>
    <x v="0"/>
    <s v="GNR_ST_WOODCHI_BP_E-27"/>
    <n v="4.7"/>
    <n v="4.7000000000000002E-3"/>
  </r>
  <r>
    <x v="0"/>
    <x v="0"/>
    <x v="0"/>
    <x v="0"/>
    <x v="0"/>
    <s v="DK1_Rural"/>
    <x v="11"/>
    <x v="0"/>
    <x v="0"/>
    <s v="GNR_ST_WOODPEL_BP_E-30"/>
    <n v="1.91"/>
    <n v="1.91E-3"/>
  </r>
  <r>
    <x v="0"/>
    <x v="0"/>
    <x v="0"/>
    <x v="0"/>
    <x v="0"/>
    <s v="DK1_Small"/>
    <x v="3"/>
    <x v="0"/>
    <x v="0"/>
    <s v="GNR_ST_MSW_BP_E-20"/>
    <n v="2.89"/>
    <n v="2.8900000000000002E-3"/>
  </r>
  <r>
    <x v="0"/>
    <x v="0"/>
    <x v="0"/>
    <x v="0"/>
    <x v="0"/>
    <s v="DK1_Small"/>
    <x v="4"/>
    <x v="0"/>
    <x v="0"/>
    <s v="GNR_ENG_NGAS_BP_E-38"/>
    <n v="3.89"/>
    <n v="3.8899999999999998E-3"/>
  </r>
  <r>
    <x v="0"/>
    <x v="0"/>
    <x v="0"/>
    <x v="0"/>
    <x v="0"/>
    <s v="DK1_Small"/>
    <x v="4"/>
    <x v="0"/>
    <x v="0"/>
    <s v="GNR_ENG_NGAS_BP_E-39"/>
    <n v="0.74"/>
    <n v="7.3999999999999999E-4"/>
  </r>
  <r>
    <x v="0"/>
    <x v="0"/>
    <x v="0"/>
    <x v="0"/>
    <x v="0"/>
    <s v="DK1_Small"/>
    <x v="4"/>
    <x v="0"/>
    <x v="0"/>
    <s v="GNR_ENG_NGAS_BP_E-41"/>
    <n v="1.48"/>
    <n v="1.48E-3"/>
  </r>
  <r>
    <x v="0"/>
    <x v="0"/>
    <x v="0"/>
    <x v="0"/>
    <x v="0"/>
    <s v="DK1_Small"/>
    <x v="4"/>
    <x v="0"/>
    <x v="0"/>
    <s v="GNR_ENG_NGAS_BP_E-42"/>
    <n v="14.1"/>
    <n v="1.41E-2"/>
  </r>
  <r>
    <x v="0"/>
    <x v="0"/>
    <x v="0"/>
    <x v="0"/>
    <x v="0"/>
    <s v="DK1_Small"/>
    <x v="4"/>
    <x v="0"/>
    <x v="0"/>
    <s v="GNR_GT_NGAS_BP_E-31"/>
    <n v="6.2"/>
    <n v="6.1999999999999998E-3"/>
  </r>
  <r>
    <x v="0"/>
    <x v="0"/>
    <x v="0"/>
    <x v="0"/>
    <x v="0"/>
    <s v="DK1_Small"/>
    <x v="6"/>
    <x v="0"/>
    <x v="0"/>
    <s v="GNR_ST_WOODCHI_BP_E-15"/>
    <n v="0.6"/>
    <n v="5.9999999999999995E-4"/>
  </r>
  <r>
    <x v="0"/>
    <x v="0"/>
    <x v="0"/>
    <x v="0"/>
    <x v="1"/>
    <s v="DK2_Large"/>
    <x v="0"/>
    <x v="0"/>
    <x v="0"/>
    <s v="GNR_ENG_BGAS_BP_E-38"/>
    <n v="0.6"/>
    <n v="5.9999999999999995E-4"/>
  </r>
  <r>
    <x v="0"/>
    <x v="0"/>
    <x v="0"/>
    <x v="0"/>
    <x v="1"/>
    <s v="DK2_Large"/>
    <x v="0"/>
    <x v="0"/>
    <x v="0"/>
    <s v="GNR_ENG_BGAS_BP_E-42"/>
    <n v="3.0470000000000002"/>
    <n v="3.0469999999999998E-3"/>
  </r>
  <r>
    <x v="0"/>
    <x v="0"/>
    <x v="0"/>
    <x v="0"/>
    <x v="1"/>
    <s v="DK2_Large"/>
    <x v="1"/>
    <x v="1"/>
    <x v="0"/>
    <s v="GNR_ST_COAL_EXT_E-42"/>
    <n v="500"/>
    <n v="0.5"/>
  </r>
  <r>
    <x v="0"/>
    <x v="0"/>
    <x v="0"/>
    <x v="0"/>
    <x v="1"/>
    <s v="DK2_Large"/>
    <x v="2"/>
    <x v="2"/>
    <x v="0"/>
    <s v="GNR_ENG_LIGHTOIL_CND_E-40"/>
    <n v="1.25"/>
    <n v="1.25E-3"/>
  </r>
  <r>
    <x v="0"/>
    <x v="0"/>
    <x v="0"/>
    <x v="0"/>
    <x v="1"/>
    <s v="DK2_Large"/>
    <x v="2"/>
    <x v="2"/>
    <x v="0"/>
    <s v="GNR_ENG_LIGHTOIL_CND_E-43"/>
    <n v="1.3"/>
    <n v="1.2999999999999999E-3"/>
  </r>
  <r>
    <x v="0"/>
    <x v="0"/>
    <x v="0"/>
    <x v="0"/>
    <x v="1"/>
    <s v="DK2_Large"/>
    <x v="3"/>
    <x v="0"/>
    <x v="0"/>
    <s v="GNR_ST_MSW_BP_E-16"/>
    <n v="28.5"/>
    <n v="2.8500000000000001E-2"/>
  </r>
  <r>
    <x v="0"/>
    <x v="0"/>
    <x v="0"/>
    <x v="0"/>
    <x v="1"/>
    <s v="DK2_Large"/>
    <x v="3"/>
    <x v="0"/>
    <x v="0"/>
    <s v="GNR_ST_MSW_BP_E-20"/>
    <n v="39"/>
    <n v="3.9E-2"/>
  </r>
  <r>
    <x v="0"/>
    <x v="0"/>
    <x v="0"/>
    <x v="0"/>
    <x v="1"/>
    <s v="DK2_Large"/>
    <x v="3"/>
    <x v="0"/>
    <x v="0"/>
    <s v="GNR_ST_MSW_BP_E-21"/>
    <n v="13.7"/>
    <n v="1.37E-2"/>
  </r>
  <r>
    <x v="0"/>
    <x v="0"/>
    <x v="0"/>
    <x v="0"/>
    <x v="1"/>
    <s v="DK2_Large"/>
    <x v="3"/>
    <x v="0"/>
    <x v="0"/>
    <s v="GNR_ST_MSW_BP_E-27"/>
    <n v="19.399999999999999"/>
    <n v="1.9400000000000001E-2"/>
  </r>
  <r>
    <x v="0"/>
    <x v="0"/>
    <x v="0"/>
    <x v="0"/>
    <x v="1"/>
    <s v="DK2_Large"/>
    <x v="4"/>
    <x v="0"/>
    <x v="0"/>
    <s v="GNR_ENG_NGAS_BP_E-34"/>
    <n v="0.98"/>
    <n v="9.7999999999999997E-4"/>
  </r>
  <r>
    <x v="0"/>
    <x v="0"/>
    <x v="0"/>
    <x v="0"/>
    <x v="1"/>
    <s v="DK2_Large"/>
    <x v="4"/>
    <x v="0"/>
    <x v="0"/>
    <s v="GNR_ENG_NGAS_BP_E-36"/>
    <n v="2.8"/>
    <n v="2.8E-3"/>
  </r>
  <r>
    <x v="0"/>
    <x v="0"/>
    <x v="0"/>
    <x v="0"/>
    <x v="1"/>
    <s v="DK2_Large"/>
    <x v="4"/>
    <x v="0"/>
    <x v="0"/>
    <s v="GNR_ENG_NGAS_BP_E-38"/>
    <n v="4.0199999999999996"/>
    <n v="4.0200000000000001E-3"/>
  </r>
  <r>
    <x v="0"/>
    <x v="0"/>
    <x v="0"/>
    <x v="0"/>
    <x v="1"/>
    <s v="DK2_Large"/>
    <x v="4"/>
    <x v="0"/>
    <x v="0"/>
    <s v="GNR_ENG_NGAS_BP_E-40"/>
    <n v="5.5"/>
    <n v="5.4999999999999997E-3"/>
  </r>
  <r>
    <x v="0"/>
    <x v="0"/>
    <x v="0"/>
    <x v="0"/>
    <x v="1"/>
    <s v="DK2_Large"/>
    <x v="4"/>
    <x v="0"/>
    <x v="0"/>
    <s v="GNR_GT_NGAS_BP_E-36"/>
    <n v="23.2"/>
    <n v="2.3199999999999998E-2"/>
  </r>
  <r>
    <x v="0"/>
    <x v="0"/>
    <x v="0"/>
    <x v="0"/>
    <x v="1"/>
    <s v="DK2_Large"/>
    <x v="4"/>
    <x v="0"/>
    <x v="0"/>
    <s v="GNR_ST_NGAS_BP_E-39"/>
    <n v="82"/>
    <n v="8.2000000000000003E-2"/>
  </r>
  <r>
    <x v="0"/>
    <x v="0"/>
    <x v="0"/>
    <x v="0"/>
    <x v="1"/>
    <s v="DK2_Large"/>
    <x v="6"/>
    <x v="0"/>
    <x v="0"/>
    <s v="GNR_ST_WOODCHI_BP_E-24"/>
    <n v="11"/>
    <n v="1.0999999999999999E-2"/>
  </r>
  <r>
    <x v="0"/>
    <x v="0"/>
    <x v="0"/>
    <x v="0"/>
    <x v="1"/>
    <s v="DK2_Large"/>
    <x v="6"/>
    <x v="0"/>
    <x v="0"/>
    <s v="GNR_ST_WOODCHI_BP_E-27"/>
    <n v="15"/>
    <n v="1.4999999999999999E-2"/>
  </r>
  <r>
    <x v="0"/>
    <x v="0"/>
    <x v="0"/>
    <x v="0"/>
    <x v="1"/>
    <s v="DK2_Large"/>
    <x v="11"/>
    <x v="0"/>
    <x v="0"/>
    <s v="GNR_ST_WOODPEL_BP_E-18"/>
    <n v="64"/>
    <n v="6.4000000000000001E-2"/>
  </r>
  <r>
    <x v="0"/>
    <x v="0"/>
    <x v="0"/>
    <x v="0"/>
    <x v="1"/>
    <s v="DK2_Large"/>
    <x v="11"/>
    <x v="1"/>
    <x v="0"/>
    <s v="GNR_ST_WOODPEL_EXT_E-50"/>
    <n v="568"/>
    <n v="0.56799999999999995"/>
  </r>
  <r>
    <x v="0"/>
    <x v="0"/>
    <x v="0"/>
    <x v="0"/>
    <x v="1"/>
    <s v="DK2_MedSmall"/>
    <x v="0"/>
    <x v="0"/>
    <x v="0"/>
    <s v="GNR_ENG_BGAS_BP_E-38"/>
    <n v="0.25"/>
    <n v="2.5000000000000001E-4"/>
  </r>
  <r>
    <x v="0"/>
    <x v="0"/>
    <x v="0"/>
    <x v="0"/>
    <x v="1"/>
    <s v="DK2_MedSmall"/>
    <x v="7"/>
    <x v="0"/>
    <x v="0"/>
    <s v="GNR_ST_FUELOIL_BP_E-27"/>
    <n v="9"/>
    <n v="8.9999999999999993E-3"/>
  </r>
  <r>
    <x v="0"/>
    <x v="0"/>
    <x v="0"/>
    <x v="0"/>
    <x v="1"/>
    <s v="DK2_MedSmall"/>
    <x v="7"/>
    <x v="0"/>
    <x v="0"/>
    <s v="GNR_ST_FUELOIL_BP_E-34"/>
    <n v="9"/>
    <n v="8.9999999999999993E-3"/>
  </r>
  <r>
    <x v="0"/>
    <x v="0"/>
    <x v="0"/>
    <x v="0"/>
    <x v="1"/>
    <s v="DK2_MedSmall"/>
    <x v="3"/>
    <x v="0"/>
    <x v="0"/>
    <s v="GNR_ST_MSW_BP_E-21"/>
    <n v="6.7"/>
    <n v="6.7000000000000002E-3"/>
  </r>
  <r>
    <x v="0"/>
    <x v="0"/>
    <x v="0"/>
    <x v="0"/>
    <x v="1"/>
    <s v="DK2_MedSmall"/>
    <x v="3"/>
    <x v="0"/>
    <x v="0"/>
    <s v="GNR_ST_MSW_BP_E-25"/>
    <n v="10.9"/>
    <n v="1.09E-2"/>
  </r>
  <r>
    <x v="0"/>
    <x v="0"/>
    <x v="0"/>
    <x v="0"/>
    <x v="1"/>
    <s v="DK2_MedSmall"/>
    <x v="3"/>
    <x v="0"/>
    <x v="0"/>
    <s v="GNR_ST_MSW_BP_E-28"/>
    <n v="12.89"/>
    <n v="1.289E-2"/>
  </r>
  <r>
    <x v="0"/>
    <x v="0"/>
    <x v="0"/>
    <x v="0"/>
    <x v="1"/>
    <s v="DK2_MedSmall"/>
    <x v="4"/>
    <x v="0"/>
    <x v="0"/>
    <s v="GNR_ENG_NGAS_BP_E-40"/>
    <n v="1.48"/>
    <n v="1.48E-3"/>
  </r>
  <r>
    <x v="0"/>
    <x v="0"/>
    <x v="0"/>
    <x v="0"/>
    <x v="1"/>
    <s v="DK2_MedSmall"/>
    <x v="4"/>
    <x v="0"/>
    <x v="0"/>
    <s v="GNR_ENG_NGAS_BP_E-42"/>
    <n v="3.1"/>
    <n v="3.0999999999999999E-3"/>
  </r>
  <r>
    <x v="0"/>
    <x v="0"/>
    <x v="0"/>
    <x v="0"/>
    <x v="1"/>
    <s v="DK2_Medium"/>
    <x v="1"/>
    <x v="0"/>
    <x v="0"/>
    <s v="GNR_ST_COAL_BP_E-38"/>
    <n v="142"/>
    <n v="0.14199999999999999"/>
  </r>
  <r>
    <x v="0"/>
    <x v="0"/>
    <x v="0"/>
    <x v="0"/>
    <x v="1"/>
    <s v="DK2_Medium"/>
    <x v="1"/>
    <x v="1"/>
    <x v="0"/>
    <s v="GNR_ST_COAL_EXT_E-41"/>
    <n v="640"/>
    <n v="0.64"/>
  </r>
  <r>
    <x v="0"/>
    <x v="0"/>
    <x v="0"/>
    <x v="0"/>
    <x v="1"/>
    <s v="DK2_Medium"/>
    <x v="2"/>
    <x v="2"/>
    <x v="0"/>
    <s v="GNR_GT_LIGHTOIL_CND_E-27"/>
    <n v="63"/>
    <n v="6.3E-2"/>
  </r>
  <r>
    <x v="0"/>
    <x v="0"/>
    <x v="0"/>
    <x v="0"/>
    <x v="1"/>
    <s v="DK2_Medium"/>
    <x v="2"/>
    <x v="2"/>
    <x v="0"/>
    <s v="GNR_ST_LIGHTOIL_CND_E-33"/>
    <n v="520"/>
    <n v="0.52"/>
  </r>
  <r>
    <x v="0"/>
    <x v="0"/>
    <x v="0"/>
    <x v="0"/>
    <x v="1"/>
    <s v="DK2_Medium"/>
    <x v="3"/>
    <x v="0"/>
    <x v="0"/>
    <s v="GNR_ST_MSW_BP_E-23"/>
    <n v="8"/>
    <n v="8.0000000000000002E-3"/>
  </r>
  <r>
    <x v="0"/>
    <x v="0"/>
    <x v="0"/>
    <x v="0"/>
    <x v="1"/>
    <s v="DK2_Medium"/>
    <x v="3"/>
    <x v="0"/>
    <x v="0"/>
    <s v="GNR_ST_MSW_BP_E-25"/>
    <n v="7.4"/>
    <n v="7.4000000000000003E-3"/>
  </r>
  <r>
    <x v="0"/>
    <x v="0"/>
    <x v="0"/>
    <x v="0"/>
    <x v="1"/>
    <s v="DK2_Medium"/>
    <x v="4"/>
    <x v="0"/>
    <x v="0"/>
    <s v="GNR_ENG_NGAS_BP_E-33"/>
    <n v="1"/>
    <n v="1E-3"/>
  </r>
  <r>
    <x v="0"/>
    <x v="0"/>
    <x v="0"/>
    <x v="0"/>
    <x v="1"/>
    <s v="DK2_Medium"/>
    <x v="4"/>
    <x v="0"/>
    <x v="0"/>
    <s v="GNR_ENG_NGAS_BP_E-35"/>
    <n v="3"/>
    <n v="3.0000000000000001E-3"/>
  </r>
  <r>
    <x v="0"/>
    <x v="0"/>
    <x v="0"/>
    <x v="0"/>
    <x v="1"/>
    <s v="DK2_Medium"/>
    <x v="4"/>
    <x v="0"/>
    <x v="0"/>
    <s v="GNR_ENG_NGAS_BP_E-38"/>
    <n v="0.97"/>
    <n v="9.7000000000000005E-4"/>
  </r>
  <r>
    <x v="0"/>
    <x v="0"/>
    <x v="0"/>
    <x v="0"/>
    <x v="1"/>
    <s v="DK2_Medium"/>
    <x v="4"/>
    <x v="0"/>
    <x v="0"/>
    <s v="GNR_ENG_NGAS_BP_E-39"/>
    <n v="11.26"/>
    <n v="1.1259999999999999E-2"/>
  </r>
  <r>
    <x v="0"/>
    <x v="0"/>
    <x v="0"/>
    <x v="0"/>
    <x v="1"/>
    <s v="DK2_Medium"/>
    <x v="4"/>
    <x v="0"/>
    <x v="0"/>
    <s v="GNR_ENG_NGAS_BP_E-41"/>
    <n v="3.1"/>
    <n v="3.0999999999999999E-3"/>
  </r>
  <r>
    <x v="0"/>
    <x v="0"/>
    <x v="0"/>
    <x v="0"/>
    <x v="1"/>
    <s v="DK2_Medium"/>
    <x v="4"/>
    <x v="0"/>
    <x v="0"/>
    <s v="GNR_ENG_NGAS_BP_E-42"/>
    <n v="2"/>
    <n v="2E-3"/>
  </r>
  <r>
    <x v="0"/>
    <x v="0"/>
    <x v="0"/>
    <x v="0"/>
    <x v="1"/>
    <s v="DK2_Medium"/>
    <x v="4"/>
    <x v="0"/>
    <x v="0"/>
    <s v="GNR_GT_NGAS_BP_E-42"/>
    <n v="59"/>
    <n v="5.8999999999999997E-2"/>
  </r>
  <r>
    <x v="0"/>
    <x v="0"/>
    <x v="0"/>
    <x v="0"/>
    <x v="1"/>
    <s v="DK2_Medium"/>
    <x v="4"/>
    <x v="0"/>
    <x v="0"/>
    <s v="GNR_GT_NGAS_BP_E-44"/>
    <n v="77"/>
    <n v="7.6999999999999999E-2"/>
  </r>
  <r>
    <x v="0"/>
    <x v="0"/>
    <x v="0"/>
    <x v="0"/>
    <x v="1"/>
    <s v="DK2_Medium"/>
    <x v="6"/>
    <x v="0"/>
    <x v="0"/>
    <s v="GNR_ST_WOODCHI_BP_E-27"/>
    <n v="0.33"/>
    <n v="3.3E-4"/>
  </r>
  <r>
    <x v="0"/>
    <x v="0"/>
    <x v="0"/>
    <x v="0"/>
    <x v="1"/>
    <s v="DK2_NoDH"/>
    <x v="0"/>
    <x v="0"/>
    <x v="0"/>
    <s v="GNR_ENG_BGAS_BP_E-31"/>
    <n v="0.1"/>
    <n v="1E-4"/>
  </r>
  <r>
    <x v="0"/>
    <x v="0"/>
    <x v="0"/>
    <x v="0"/>
    <x v="1"/>
    <s v="DK2_NoDH"/>
    <x v="0"/>
    <x v="0"/>
    <x v="0"/>
    <s v="GNR_ENG_BGAS_BP_E-32"/>
    <n v="0.11"/>
    <n v="1.1E-4"/>
  </r>
  <r>
    <x v="0"/>
    <x v="0"/>
    <x v="0"/>
    <x v="0"/>
    <x v="1"/>
    <s v="DK2_NoDH"/>
    <x v="0"/>
    <x v="0"/>
    <x v="0"/>
    <s v="GNR_ENG_BGAS_BP_E-33"/>
    <n v="0.23"/>
    <n v="2.3000000000000001E-4"/>
  </r>
  <r>
    <x v="0"/>
    <x v="0"/>
    <x v="0"/>
    <x v="0"/>
    <x v="1"/>
    <s v="DK2_NoDH"/>
    <x v="0"/>
    <x v="0"/>
    <x v="0"/>
    <s v="GNR_ENG_BGAS_BP_E-34"/>
    <n v="0.1"/>
    <n v="1E-4"/>
  </r>
  <r>
    <x v="0"/>
    <x v="0"/>
    <x v="0"/>
    <x v="0"/>
    <x v="1"/>
    <s v="DK2_NoDH"/>
    <x v="0"/>
    <x v="0"/>
    <x v="0"/>
    <s v="GNR_ENG_BGAS_BP_E-35"/>
    <n v="0.22"/>
    <n v="2.2000000000000001E-4"/>
  </r>
  <r>
    <x v="0"/>
    <x v="0"/>
    <x v="0"/>
    <x v="0"/>
    <x v="1"/>
    <s v="DK2_NoDH"/>
    <x v="0"/>
    <x v="0"/>
    <x v="0"/>
    <s v="GNR_ENG_BGAS_BP_E-36"/>
    <n v="6.3E-2"/>
    <n v="6.3E-5"/>
  </r>
  <r>
    <x v="0"/>
    <x v="0"/>
    <x v="0"/>
    <x v="0"/>
    <x v="1"/>
    <s v="DK2_NoDH"/>
    <x v="0"/>
    <x v="0"/>
    <x v="0"/>
    <s v="GNR_ENG_BGAS_BP_E-37"/>
    <n v="0.1"/>
    <n v="1E-4"/>
  </r>
  <r>
    <x v="0"/>
    <x v="0"/>
    <x v="0"/>
    <x v="0"/>
    <x v="1"/>
    <s v="DK2_NoDH"/>
    <x v="0"/>
    <x v="0"/>
    <x v="0"/>
    <s v="GNR_ENG_BGAS_BP_E-38"/>
    <n v="0.36299999999999999"/>
    <n v="3.6299999999999999E-4"/>
  </r>
  <r>
    <x v="0"/>
    <x v="0"/>
    <x v="0"/>
    <x v="0"/>
    <x v="1"/>
    <s v="DK2_NoDH"/>
    <x v="0"/>
    <x v="0"/>
    <x v="0"/>
    <s v="GNR_ENG_BGAS_BP_E-39"/>
    <n v="0.82"/>
    <n v="8.1999999999999998E-4"/>
  </r>
  <r>
    <x v="0"/>
    <x v="0"/>
    <x v="0"/>
    <x v="0"/>
    <x v="1"/>
    <s v="DK2_NoDH"/>
    <x v="0"/>
    <x v="0"/>
    <x v="0"/>
    <s v="GNR_ENG_BGAS_BP_E-40"/>
    <n v="0.04"/>
    <n v="4.0000000000000003E-5"/>
  </r>
  <r>
    <x v="0"/>
    <x v="0"/>
    <x v="0"/>
    <x v="0"/>
    <x v="1"/>
    <s v="DK2_NoDH"/>
    <x v="0"/>
    <x v="0"/>
    <x v="0"/>
    <s v="GNR_ENG_BGAS_BP_E-42"/>
    <n v="4.4000000000000004"/>
    <n v="4.4000000000000003E-3"/>
  </r>
  <r>
    <x v="0"/>
    <x v="0"/>
    <x v="0"/>
    <x v="0"/>
    <x v="1"/>
    <s v="DK2_NoDH"/>
    <x v="0"/>
    <x v="2"/>
    <x v="0"/>
    <s v="GNR_ENG_BGAS_CND_E-32"/>
    <n v="0.13"/>
    <n v="1.2999999999999999E-4"/>
  </r>
  <r>
    <x v="0"/>
    <x v="0"/>
    <x v="0"/>
    <x v="0"/>
    <x v="1"/>
    <s v="DK2_NoDH"/>
    <x v="0"/>
    <x v="2"/>
    <x v="0"/>
    <s v="GNR_ENG_BGAS_CND_E-35"/>
    <n v="0.31"/>
    <n v="3.1E-4"/>
  </r>
  <r>
    <x v="0"/>
    <x v="0"/>
    <x v="0"/>
    <x v="0"/>
    <x v="1"/>
    <s v="DK2_NoDH"/>
    <x v="2"/>
    <x v="0"/>
    <x v="0"/>
    <s v="GNR_ENG_LIGHTOIL_BP_E-37"/>
    <n v="16"/>
    <n v="1.6E-2"/>
  </r>
  <r>
    <x v="0"/>
    <x v="0"/>
    <x v="0"/>
    <x v="0"/>
    <x v="1"/>
    <s v="DK2_NoDH"/>
    <x v="2"/>
    <x v="0"/>
    <x v="0"/>
    <s v="GNR_ENG_LIGHTOIL_BP_E-39"/>
    <n v="7.8E-2"/>
    <n v="7.7999999999999999E-5"/>
  </r>
  <r>
    <x v="0"/>
    <x v="0"/>
    <x v="0"/>
    <x v="0"/>
    <x v="1"/>
    <s v="DK2_NoDH"/>
    <x v="2"/>
    <x v="2"/>
    <x v="0"/>
    <s v="GNR_ENG_LIGHTOIL_CND_E-37"/>
    <n v="20"/>
    <n v="0.02"/>
  </r>
  <r>
    <x v="0"/>
    <x v="0"/>
    <x v="0"/>
    <x v="0"/>
    <x v="1"/>
    <s v="DK2_NoDH"/>
    <x v="4"/>
    <x v="0"/>
    <x v="0"/>
    <s v="GNR_ENG_NGAS_BP_E-33"/>
    <n v="1.6"/>
    <n v="1.6000000000000001E-3"/>
  </r>
  <r>
    <x v="0"/>
    <x v="0"/>
    <x v="0"/>
    <x v="0"/>
    <x v="1"/>
    <s v="DK2_NoDH"/>
    <x v="4"/>
    <x v="0"/>
    <x v="0"/>
    <s v="GNR_ENG_NGAS_BP_E-34"/>
    <n v="6.32"/>
    <n v="6.3200000000000001E-3"/>
  </r>
  <r>
    <x v="0"/>
    <x v="0"/>
    <x v="0"/>
    <x v="0"/>
    <x v="1"/>
    <s v="DK2_NoDH"/>
    <x v="4"/>
    <x v="0"/>
    <x v="0"/>
    <s v="GNR_ENG_NGAS_BP_E-35"/>
    <n v="5.22"/>
    <n v="5.2199999999999998E-3"/>
  </r>
  <r>
    <x v="0"/>
    <x v="0"/>
    <x v="0"/>
    <x v="0"/>
    <x v="1"/>
    <s v="DK2_NoDH"/>
    <x v="4"/>
    <x v="0"/>
    <x v="0"/>
    <s v="GNR_ENG_NGAS_BP_E-36"/>
    <n v="3.53"/>
    <n v="3.5300000000000002E-3"/>
  </r>
  <r>
    <x v="0"/>
    <x v="0"/>
    <x v="0"/>
    <x v="0"/>
    <x v="1"/>
    <s v="DK2_NoDH"/>
    <x v="4"/>
    <x v="0"/>
    <x v="0"/>
    <s v="GNR_ENG_NGAS_BP_E-37"/>
    <n v="2.82"/>
    <n v="2.82E-3"/>
  </r>
  <r>
    <x v="0"/>
    <x v="0"/>
    <x v="0"/>
    <x v="0"/>
    <x v="1"/>
    <s v="DK2_NoDH"/>
    <x v="4"/>
    <x v="0"/>
    <x v="0"/>
    <s v="GNR_ENG_NGAS_BP_E-38"/>
    <n v="3.76"/>
    <n v="3.7599999999999999E-3"/>
  </r>
  <r>
    <x v="0"/>
    <x v="0"/>
    <x v="0"/>
    <x v="0"/>
    <x v="1"/>
    <s v="DK2_NoDH"/>
    <x v="4"/>
    <x v="0"/>
    <x v="0"/>
    <s v="GNR_ENG_NGAS_BP_E-39"/>
    <n v="8.15"/>
    <n v="8.1499999999999993E-3"/>
  </r>
  <r>
    <x v="0"/>
    <x v="0"/>
    <x v="0"/>
    <x v="0"/>
    <x v="1"/>
    <s v="DK2_NoDH"/>
    <x v="4"/>
    <x v="0"/>
    <x v="0"/>
    <s v="GNR_ENG_NGAS_BP_E-40"/>
    <n v="8.0299999999999994"/>
    <n v="8.0300000000000007E-3"/>
  </r>
  <r>
    <x v="0"/>
    <x v="0"/>
    <x v="0"/>
    <x v="0"/>
    <x v="1"/>
    <s v="DK2_NoDH"/>
    <x v="4"/>
    <x v="0"/>
    <x v="0"/>
    <s v="GNR_ENG_NGAS_BP_E-41"/>
    <n v="16.46"/>
    <n v="1.6459999999999999E-2"/>
  </r>
  <r>
    <x v="0"/>
    <x v="0"/>
    <x v="0"/>
    <x v="0"/>
    <x v="1"/>
    <s v="DK2_NoDH"/>
    <x v="4"/>
    <x v="0"/>
    <x v="0"/>
    <s v="GNR_ENG_NGAS_BP_E-46"/>
    <n v="9.44"/>
    <n v="9.4400000000000005E-3"/>
  </r>
  <r>
    <x v="0"/>
    <x v="0"/>
    <x v="0"/>
    <x v="0"/>
    <x v="1"/>
    <s v="DK2_NoDH"/>
    <x v="4"/>
    <x v="0"/>
    <x v="0"/>
    <s v="GNR_GT_NGAS_BP_E-28"/>
    <n v="4.9000000000000004"/>
    <n v="4.8999999999999998E-3"/>
  </r>
  <r>
    <x v="0"/>
    <x v="0"/>
    <x v="0"/>
    <x v="0"/>
    <x v="1"/>
    <s v="DK2_NoDH"/>
    <x v="4"/>
    <x v="0"/>
    <x v="0"/>
    <s v="GNR_ST_NGAS_BP_E-39"/>
    <n v="5.89"/>
    <n v="5.8900000000000003E-3"/>
  </r>
  <r>
    <x v="0"/>
    <x v="0"/>
    <x v="0"/>
    <x v="0"/>
    <x v="1"/>
    <s v="DK2_NoDH"/>
    <x v="8"/>
    <x v="3"/>
    <x v="0"/>
    <s v="GNR_PV_SUN"/>
    <n v="265.48035599999599"/>
    <n v="0.26548035599999598"/>
  </r>
  <r>
    <x v="0"/>
    <x v="0"/>
    <x v="0"/>
    <x v="0"/>
    <x v="1"/>
    <s v="DK2_NoDH"/>
    <x v="9"/>
    <x v="4"/>
    <x v="0"/>
    <s v="GNR_ROR_WTR"/>
    <n v="1.4999999999999999E-2"/>
    <n v="1.5E-5"/>
  </r>
  <r>
    <x v="0"/>
    <x v="0"/>
    <x v="0"/>
    <x v="0"/>
    <x v="1"/>
    <s v="DK2_NoDH"/>
    <x v="10"/>
    <x v="5"/>
    <x v="0"/>
    <s v="GNR_WT_WIND_ONS"/>
    <n v="632.47249999999804"/>
    <n v="0.63247249999999799"/>
  </r>
  <r>
    <x v="0"/>
    <x v="0"/>
    <x v="0"/>
    <x v="0"/>
    <x v="1"/>
    <s v="DK2_Offshore"/>
    <x v="10"/>
    <x v="5"/>
    <x v="0"/>
    <s v="GNR_WT_WIND_OFF"/>
    <n v="444.400000000001"/>
    <n v="0.44440000000000102"/>
  </r>
  <r>
    <x v="0"/>
    <x v="0"/>
    <x v="0"/>
    <x v="0"/>
    <x v="1"/>
    <s v="DK2_Rural"/>
    <x v="0"/>
    <x v="0"/>
    <x v="0"/>
    <s v="GNR_ENG_BGAS_BP_E-34"/>
    <n v="0.76"/>
    <n v="7.6000000000000004E-4"/>
  </r>
  <r>
    <x v="0"/>
    <x v="0"/>
    <x v="0"/>
    <x v="0"/>
    <x v="1"/>
    <s v="DK2_Rural"/>
    <x v="0"/>
    <x v="0"/>
    <x v="0"/>
    <s v="GNR_ENG_BGAS_BP_E-39"/>
    <n v="1.01"/>
    <n v="1.01E-3"/>
  </r>
  <r>
    <x v="0"/>
    <x v="0"/>
    <x v="0"/>
    <x v="0"/>
    <x v="1"/>
    <s v="DK2_Rural"/>
    <x v="0"/>
    <x v="0"/>
    <x v="0"/>
    <s v="GNR_ENG_BGAS_BP_E-40"/>
    <n v="0.53"/>
    <n v="5.2999999999999998E-4"/>
  </r>
  <r>
    <x v="0"/>
    <x v="0"/>
    <x v="0"/>
    <x v="0"/>
    <x v="1"/>
    <s v="DK2_Rural"/>
    <x v="0"/>
    <x v="0"/>
    <x v="0"/>
    <s v="GNR_ENG_BGAS_BP_E-41"/>
    <n v="2"/>
    <n v="2E-3"/>
  </r>
  <r>
    <x v="0"/>
    <x v="0"/>
    <x v="0"/>
    <x v="0"/>
    <x v="1"/>
    <s v="DK2_Rural"/>
    <x v="0"/>
    <x v="0"/>
    <x v="0"/>
    <s v="GNR_ENG_BGAS_BP_E-42"/>
    <n v="5.734"/>
    <n v="5.7340000000000004E-3"/>
  </r>
  <r>
    <x v="0"/>
    <x v="0"/>
    <x v="0"/>
    <x v="0"/>
    <x v="1"/>
    <s v="DK2_Rural"/>
    <x v="1"/>
    <x v="0"/>
    <x v="0"/>
    <s v="GNR_ST_COAL_BP_E-35"/>
    <n v="37"/>
    <n v="3.6999999999999998E-2"/>
  </r>
  <r>
    <x v="0"/>
    <x v="0"/>
    <x v="0"/>
    <x v="0"/>
    <x v="1"/>
    <s v="DK2_Rural"/>
    <x v="7"/>
    <x v="2"/>
    <x v="0"/>
    <s v="GNR_ENG_FUELOIL_CND_E-42"/>
    <n v="0.2"/>
    <n v="2.0000000000000001E-4"/>
  </r>
  <r>
    <x v="0"/>
    <x v="0"/>
    <x v="0"/>
    <x v="0"/>
    <x v="1"/>
    <s v="DK2_Rural"/>
    <x v="7"/>
    <x v="2"/>
    <x v="0"/>
    <s v="GNR_ST_FUELOIL_CND_E-32"/>
    <n v="27.5"/>
    <n v="2.75E-2"/>
  </r>
  <r>
    <x v="0"/>
    <x v="0"/>
    <x v="0"/>
    <x v="0"/>
    <x v="1"/>
    <s v="DK2_Rural"/>
    <x v="2"/>
    <x v="0"/>
    <x v="0"/>
    <s v="GNR_ENG_LIGHTOIL_BP_E-43"/>
    <n v="0.50700000000000001"/>
    <n v="5.0699999999999996E-4"/>
  </r>
  <r>
    <x v="0"/>
    <x v="0"/>
    <x v="0"/>
    <x v="0"/>
    <x v="1"/>
    <s v="DK2_Rural"/>
    <x v="2"/>
    <x v="2"/>
    <x v="0"/>
    <s v="GNR_ENG_LIGHTOIL_CND_E-37"/>
    <n v="15"/>
    <n v="1.4999999999999999E-2"/>
  </r>
  <r>
    <x v="0"/>
    <x v="0"/>
    <x v="0"/>
    <x v="0"/>
    <x v="1"/>
    <s v="DK2_Rural"/>
    <x v="2"/>
    <x v="2"/>
    <x v="0"/>
    <s v="GNR_ENG_LIGHTOIL_CND_E-39"/>
    <n v="19.600000000000001"/>
    <n v="1.9599999999999999E-2"/>
  </r>
  <r>
    <x v="0"/>
    <x v="0"/>
    <x v="0"/>
    <x v="0"/>
    <x v="1"/>
    <s v="DK2_Rural"/>
    <x v="2"/>
    <x v="2"/>
    <x v="0"/>
    <s v="GNR_ENG_LIGHTOIL_CND_E-41"/>
    <n v="0.28000000000000003"/>
    <n v="2.7999999999999998E-4"/>
  </r>
  <r>
    <x v="0"/>
    <x v="0"/>
    <x v="0"/>
    <x v="0"/>
    <x v="1"/>
    <s v="DK2_Rural"/>
    <x v="2"/>
    <x v="2"/>
    <x v="0"/>
    <s v="GNR_ENG_LIGHTOIL_CND_E-43"/>
    <n v="0.12"/>
    <n v="1.2E-4"/>
  </r>
  <r>
    <x v="0"/>
    <x v="0"/>
    <x v="0"/>
    <x v="0"/>
    <x v="1"/>
    <s v="DK2_Rural"/>
    <x v="2"/>
    <x v="2"/>
    <x v="0"/>
    <s v="GNR_GT_LIGHTOIL_CND_E-27"/>
    <n v="70"/>
    <n v="7.0000000000000007E-2"/>
  </r>
  <r>
    <x v="0"/>
    <x v="0"/>
    <x v="0"/>
    <x v="0"/>
    <x v="1"/>
    <s v="DK2_Rural"/>
    <x v="4"/>
    <x v="0"/>
    <x v="0"/>
    <s v="GNR_ENG_NGAS_BP_E-33"/>
    <n v="6.87"/>
    <n v="6.8700000000000002E-3"/>
  </r>
  <r>
    <x v="0"/>
    <x v="0"/>
    <x v="0"/>
    <x v="0"/>
    <x v="1"/>
    <s v="DK2_Rural"/>
    <x v="4"/>
    <x v="0"/>
    <x v="0"/>
    <s v="GNR_ENG_NGAS_BP_E-34"/>
    <n v="3.97"/>
    <n v="3.9699999999999996E-3"/>
  </r>
  <r>
    <x v="0"/>
    <x v="0"/>
    <x v="0"/>
    <x v="0"/>
    <x v="1"/>
    <s v="DK2_Rural"/>
    <x v="4"/>
    <x v="0"/>
    <x v="0"/>
    <s v="GNR_ENG_NGAS_BP_E-35"/>
    <n v="7.29"/>
    <n v="7.2899999999999996E-3"/>
  </r>
  <r>
    <x v="0"/>
    <x v="0"/>
    <x v="0"/>
    <x v="0"/>
    <x v="1"/>
    <s v="DK2_Rural"/>
    <x v="4"/>
    <x v="0"/>
    <x v="0"/>
    <s v="GNR_ENG_NGAS_BP_E-36"/>
    <n v="1.3149999999999999"/>
    <n v="1.315E-3"/>
  </r>
  <r>
    <x v="0"/>
    <x v="0"/>
    <x v="0"/>
    <x v="0"/>
    <x v="1"/>
    <s v="DK2_Rural"/>
    <x v="4"/>
    <x v="0"/>
    <x v="0"/>
    <s v="GNR_ENG_NGAS_BP_E-37"/>
    <n v="1.81"/>
    <n v="1.81E-3"/>
  </r>
  <r>
    <x v="0"/>
    <x v="0"/>
    <x v="0"/>
    <x v="0"/>
    <x v="1"/>
    <s v="DK2_Rural"/>
    <x v="4"/>
    <x v="0"/>
    <x v="0"/>
    <s v="GNR_ENG_NGAS_BP_E-38"/>
    <n v="3.1850000000000001"/>
    <n v="3.1849999999999999E-3"/>
  </r>
  <r>
    <x v="0"/>
    <x v="0"/>
    <x v="0"/>
    <x v="0"/>
    <x v="1"/>
    <s v="DK2_Rural"/>
    <x v="4"/>
    <x v="0"/>
    <x v="0"/>
    <s v="GNR_ENG_NGAS_BP_E-39"/>
    <n v="26.1"/>
    <n v="2.6100000000000002E-2"/>
  </r>
  <r>
    <x v="0"/>
    <x v="0"/>
    <x v="0"/>
    <x v="0"/>
    <x v="1"/>
    <s v="DK2_Rural"/>
    <x v="4"/>
    <x v="0"/>
    <x v="0"/>
    <s v="GNR_ENG_NGAS_BP_E-40"/>
    <n v="26.3"/>
    <n v="2.63E-2"/>
  </r>
  <r>
    <x v="0"/>
    <x v="0"/>
    <x v="0"/>
    <x v="0"/>
    <x v="1"/>
    <s v="DK2_Rural"/>
    <x v="4"/>
    <x v="0"/>
    <x v="0"/>
    <s v="GNR_ENG_NGAS_BP_E-41"/>
    <n v="5.4359999999999999"/>
    <n v="5.4359999999999999E-3"/>
  </r>
  <r>
    <x v="0"/>
    <x v="0"/>
    <x v="0"/>
    <x v="0"/>
    <x v="1"/>
    <s v="DK2_Rural"/>
    <x v="4"/>
    <x v="0"/>
    <x v="0"/>
    <s v="GNR_ENG_NGAS_BP_E-42"/>
    <n v="1.52"/>
    <n v="1.5200000000000001E-3"/>
  </r>
  <r>
    <x v="0"/>
    <x v="0"/>
    <x v="0"/>
    <x v="0"/>
    <x v="1"/>
    <s v="DK2_Rural"/>
    <x v="4"/>
    <x v="0"/>
    <x v="0"/>
    <s v="GNR_ENG_NGAS_BP_E-43"/>
    <n v="2.4769999999999999"/>
    <n v="2.477E-3"/>
  </r>
  <r>
    <x v="0"/>
    <x v="0"/>
    <x v="0"/>
    <x v="0"/>
    <x v="1"/>
    <s v="DK2_Rural"/>
    <x v="4"/>
    <x v="0"/>
    <x v="0"/>
    <s v="GNR_ENG_NGAS_BP_E-45"/>
    <n v="0.5"/>
    <n v="5.0000000000000001E-4"/>
  </r>
  <r>
    <x v="0"/>
    <x v="0"/>
    <x v="0"/>
    <x v="0"/>
    <x v="1"/>
    <s v="DK2_Rural"/>
    <x v="4"/>
    <x v="0"/>
    <x v="0"/>
    <s v="GNR_ENG_NGAS_BP_E-46"/>
    <n v="0.55000000000000004"/>
    <n v="5.5000000000000003E-4"/>
  </r>
  <r>
    <x v="0"/>
    <x v="0"/>
    <x v="0"/>
    <x v="0"/>
    <x v="1"/>
    <s v="DK2_Rural"/>
    <x v="5"/>
    <x v="0"/>
    <x v="0"/>
    <s v="GNR_ST_STRW_BP_E-24"/>
    <n v="5"/>
    <n v="5.0000000000000001E-3"/>
  </r>
  <r>
    <x v="0"/>
    <x v="0"/>
    <x v="0"/>
    <x v="0"/>
    <x v="1"/>
    <s v="DK2_Rural"/>
    <x v="5"/>
    <x v="0"/>
    <x v="0"/>
    <s v="GNR_ST_STRW_BP_E-27"/>
    <n v="9.98"/>
    <n v="9.9799999999999993E-3"/>
  </r>
  <r>
    <x v="0"/>
    <x v="0"/>
    <x v="0"/>
    <x v="0"/>
    <x v="1"/>
    <s v="DK2_Rural"/>
    <x v="5"/>
    <x v="0"/>
    <x v="0"/>
    <s v="GNR_ST_STRW_BP_E-28"/>
    <n v="11.5"/>
    <n v="1.15E-2"/>
  </r>
  <r>
    <x v="0"/>
    <x v="0"/>
    <x v="0"/>
    <x v="0"/>
    <x v="1"/>
    <s v="DK2_Small"/>
    <x v="4"/>
    <x v="0"/>
    <x v="0"/>
    <s v="GNR_ENG_NGAS_BP_E-46"/>
    <n v="38.5"/>
    <n v="3.85E-2"/>
  </r>
  <r>
    <x v="0"/>
    <x v="0"/>
    <x v="0"/>
    <x v="1"/>
    <x v="2"/>
    <s v="EE_Enefit"/>
    <x v="12"/>
    <x v="2"/>
    <x v="0"/>
    <s v="ENEFIT_ST_RETORT-GAS_CND"/>
    <n v="35"/>
    <n v="3.5000000000000003E-2"/>
  </r>
  <r>
    <x v="0"/>
    <x v="0"/>
    <x v="0"/>
    <x v="1"/>
    <x v="2"/>
    <s v="EE_Industry"/>
    <x v="0"/>
    <x v="1"/>
    <x v="0"/>
    <s v="GNR_ST_BGAS_EXT_E-38"/>
    <n v="0.1"/>
    <n v="1E-4"/>
  </r>
  <r>
    <x v="0"/>
    <x v="0"/>
    <x v="0"/>
    <x v="1"/>
    <x v="2"/>
    <s v="EE_Industry"/>
    <x v="12"/>
    <x v="1"/>
    <x v="0"/>
    <s v="GNR_ENG_RETORT-GAS_E-44"/>
    <n v="95"/>
    <n v="9.5000000000000001E-2"/>
  </r>
  <r>
    <x v="0"/>
    <x v="0"/>
    <x v="0"/>
    <x v="1"/>
    <x v="2"/>
    <s v="EE_Industry"/>
    <x v="13"/>
    <x v="0"/>
    <x v="0"/>
    <s v="IMAVERE_ST_WOOD_BP"/>
    <n v="10"/>
    <n v="0.01"/>
  </r>
  <r>
    <x v="0"/>
    <x v="0"/>
    <x v="0"/>
    <x v="1"/>
    <x v="2"/>
    <s v="EE_Industry"/>
    <x v="13"/>
    <x v="0"/>
    <x v="0"/>
    <s v="OSULA_ST_WOOD_BP"/>
    <n v="10"/>
    <n v="0.01"/>
  </r>
  <r>
    <x v="0"/>
    <x v="0"/>
    <x v="0"/>
    <x v="1"/>
    <x v="2"/>
    <s v="EE_Industry"/>
    <x v="14"/>
    <x v="0"/>
    <x v="0"/>
    <s v="GNR_ST_WOODWST_BP_E-53"/>
    <n v="13"/>
    <n v="1.2999999999999999E-2"/>
  </r>
  <r>
    <x v="0"/>
    <x v="0"/>
    <x v="0"/>
    <x v="1"/>
    <x v="2"/>
    <s v="EE_Kohtla_Jarve"/>
    <x v="4"/>
    <x v="1"/>
    <x v="0"/>
    <s v="GNR_ENG_NGAS_EXT_E-44"/>
    <n v="16"/>
    <n v="1.6E-2"/>
  </r>
  <r>
    <x v="0"/>
    <x v="0"/>
    <x v="0"/>
    <x v="1"/>
    <x v="2"/>
    <s v="EE_Narva"/>
    <x v="15"/>
    <x v="2"/>
    <x v="0"/>
    <s v="AUVERE_ST_SHALE_CND"/>
    <n v="274"/>
    <n v="0.27400000000000002"/>
  </r>
  <r>
    <x v="0"/>
    <x v="0"/>
    <x v="0"/>
    <x v="1"/>
    <x v="2"/>
    <s v="EE_Narva"/>
    <x v="15"/>
    <x v="2"/>
    <x v="0"/>
    <s v="NARVA-12_ST_SHALE_CND"/>
    <n v="160"/>
    <n v="0.16"/>
  </r>
  <r>
    <x v="0"/>
    <x v="0"/>
    <x v="0"/>
    <x v="1"/>
    <x v="2"/>
    <s v="EE_Narva"/>
    <x v="15"/>
    <x v="2"/>
    <x v="0"/>
    <s v="NARVA-1_ST_SHALE_CND"/>
    <n v="167"/>
    <n v="0.16700000000000001"/>
  </r>
  <r>
    <x v="0"/>
    <x v="0"/>
    <x v="0"/>
    <x v="1"/>
    <x v="2"/>
    <s v="EE_Narva"/>
    <x v="15"/>
    <x v="2"/>
    <x v="0"/>
    <s v="NARVA-2_ST_SHALE_CND"/>
    <n v="167"/>
    <n v="0.16700000000000001"/>
  </r>
  <r>
    <x v="0"/>
    <x v="0"/>
    <x v="0"/>
    <x v="1"/>
    <x v="2"/>
    <s v="EE_Narva"/>
    <x v="15"/>
    <x v="2"/>
    <x v="0"/>
    <s v="NARVA-3_ST_SHALE_CND"/>
    <n v="164"/>
    <n v="0.16400000000000001"/>
  </r>
  <r>
    <x v="0"/>
    <x v="0"/>
    <x v="0"/>
    <x v="1"/>
    <x v="2"/>
    <s v="EE_Narva"/>
    <x v="15"/>
    <x v="2"/>
    <x v="0"/>
    <s v="NARVA-4_ST_SHALE_CND"/>
    <n v="164"/>
    <n v="0.16400000000000001"/>
  </r>
  <r>
    <x v="0"/>
    <x v="0"/>
    <x v="0"/>
    <x v="1"/>
    <x v="2"/>
    <s v="EE_Narva"/>
    <x v="15"/>
    <x v="2"/>
    <x v="0"/>
    <s v="NARVA-5_ST_SHALE_CND"/>
    <n v="173"/>
    <n v="0.17299999999999999"/>
  </r>
  <r>
    <x v="0"/>
    <x v="0"/>
    <x v="0"/>
    <x v="1"/>
    <x v="2"/>
    <s v="EE_Narva"/>
    <x v="15"/>
    <x v="2"/>
    <x v="0"/>
    <s v="NARVA-6_ST_SHALE_CND"/>
    <n v="173"/>
    <n v="0.17299999999999999"/>
  </r>
  <r>
    <x v="0"/>
    <x v="0"/>
    <x v="0"/>
    <x v="1"/>
    <x v="2"/>
    <s v="EE_Narva"/>
    <x v="15"/>
    <x v="2"/>
    <x v="0"/>
    <s v="NARVA-7_ST_SHALE_CND"/>
    <n v="167"/>
    <n v="0.16700000000000001"/>
  </r>
  <r>
    <x v="0"/>
    <x v="0"/>
    <x v="0"/>
    <x v="1"/>
    <x v="2"/>
    <s v="EE_Narva"/>
    <x v="15"/>
    <x v="2"/>
    <x v="0"/>
    <s v="NARVA-8_ST_SHALE_CND"/>
    <n v="194"/>
    <n v="0.19400000000000001"/>
  </r>
  <r>
    <x v="0"/>
    <x v="0"/>
    <x v="0"/>
    <x v="1"/>
    <x v="2"/>
    <s v="EE_Narva"/>
    <x v="15"/>
    <x v="1"/>
    <x v="0"/>
    <s v="NARVA-11_ST_SHALE_EXT"/>
    <n v="192"/>
    <n v="0.192"/>
  </r>
  <r>
    <x v="0"/>
    <x v="0"/>
    <x v="0"/>
    <x v="1"/>
    <x v="2"/>
    <s v="EE_Parnu"/>
    <x v="0"/>
    <x v="1"/>
    <x v="0"/>
    <s v="GNR_ST_BGAS_EXT_E-38"/>
    <n v="0.1"/>
    <n v="1E-4"/>
  </r>
  <r>
    <x v="0"/>
    <x v="0"/>
    <x v="0"/>
    <x v="1"/>
    <x v="2"/>
    <s v="EE_Parnu"/>
    <x v="13"/>
    <x v="0"/>
    <x v="0"/>
    <s v="PARNU-1_ST_WOOD_BP"/>
    <n v="22"/>
    <n v="2.1999999999999999E-2"/>
  </r>
  <r>
    <x v="0"/>
    <x v="0"/>
    <x v="0"/>
    <x v="1"/>
    <x v="2"/>
    <s v="EE_Rural"/>
    <x v="0"/>
    <x v="1"/>
    <x v="0"/>
    <s v="GNR_ST_BGAS_EXT_E-38"/>
    <n v="3.3"/>
    <n v="3.3E-3"/>
  </r>
  <r>
    <x v="0"/>
    <x v="0"/>
    <x v="0"/>
    <x v="1"/>
    <x v="2"/>
    <s v="EE_Rural"/>
    <x v="4"/>
    <x v="1"/>
    <x v="0"/>
    <s v="GNR_ENG_NGAS_EXT_E-44"/>
    <n v="1.2"/>
    <n v="1.1999999999999999E-3"/>
  </r>
  <r>
    <x v="0"/>
    <x v="0"/>
    <x v="0"/>
    <x v="1"/>
    <x v="2"/>
    <s v="EE_Rural"/>
    <x v="9"/>
    <x v="4"/>
    <x v="0"/>
    <s v="GNR_ROR_WTR"/>
    <n v="4"/>
    <n v="4.0000000000000001E-3"/>
  </r>
  <r>
    <x v="0"/>
    <x v="0"/>
    <x v="0"/>
    <x v="1"/>
    <x v="2"/>
    <s v="EE_Rural"/>
    <x v="10"/>
    <x v="5"/>
    <x v="0"/>
    <s v="GNR_WT_WIND_ONS"/>
    <n v="403"/>
    <n v="0.40300000000000002"/>
  </r>
  <r>
    <x v="0"/>
    <x v="0"/>
    <x v="0"/>
    <x v="1"/>
    <x v="2"/>
    <s v="EE_Rural"/>
    <x v="14"/>
    <x v="0"/>
    <x v="0"/>
    <s v="EBAVERE_ST_WOODWST_BP"/>
    <n v="10"/>
    <n v="0.01"/>
  </r>
  <r>
    <x v="0"/>
    <x v="0"/>
    <x v="0"/>
    <x v="1"/>
    <x v="2"/>
    <s v="EE_Sillamae"/>
    <x v="4"/>
    <x v="1"/>
    <x v="0"/>
    <s v="GNR_ENG_NGAS_EXT_E-44"/>
    <n v="10"/>
    <n v="0.01"/>
  </r>
  <r>
    <x v="0"/>
    <x v="0"/>
    <x v="0"/>
    <x v="1"/>
    <x v="2"/>
    <s v="EE_Sillamae"/>
    <x v="13"/>
    <x v="0"/>
    <x v="0"/>
    <s v="SILLAMAE_ST_WOOD_BP"/>
    <n v="5.8"/>
    <n v="5.7999999999999996E-3"/>
  </r>
  <r>
    <x v="0"/>
    <x v="0"/>
    <x v="0"/>
    <x v="1"/>
    <x v="2"/>
    <s v="EE_Tallinn"/>
    <x v="3"/>
    <x v="0"/>
    <x v="0"/>
    <s v="IRU_ST_MSW_BP"/>
    <n v="17"/>
    <n v="1.7000000000000001E-2"/>
  </r>
  <r>
    <x v="0"/>
    <x v="0"/>
    <x v="0"/>
    <x v="1"/>
    <x v="2"/>
    <s v="EE_Tallinn"/>
    <x v="4"/>
    <x v="0"/>
    <x v="0"/>
    <s v="IRU_ST_NGAS_BP"/>
    <n v="94"/>
    <n v="9.4E-2"/>
  </r>
  <r>
    <x v="0"/>
    <x v="0"/>
    <x v="0"/>
    <x v="1"/>
    <x v="2"/>
    <s v="EE_Tallinn"/>
    <x v="4"/>
    <x v="1"/>
    <x v="0"/>
    <s v="GNR_ENG_NGAS_EXT_E-44"/>
    <n v="1.5"/>
    <n v="1.5E-3"/>
  </r>
  <r>
    <x v="0"/>
    <x v="0"/>
    <x v="0"/>
    <x v="1"/>
    <x v="2"/>
    <s v="EE_Tallinn"/>
    <x v="13"/>
    <x v="0"/>
    <x v="0"/>
    <s v="MUSTAMAE_ST_WOOD_BP"/>
    <n v="10"/>
    <n v="0.01"/>
  </r>
  <r>
    <x v="0"/>
    <x v="0"/>
    <x v="0"/>
    <x v="1"/>
    <x v="2"/>
    <s v="EE_Tallinn"/>
    <x v="13"/>
    <x v="0"/>
    <x v="0"/>
    <s v="VAO-1_ST_WOOD_BP"/>
    <n v="25"/>
    <n v="2.5000000000000001E-2"/>
  </r>
  <r>
    <x v="0"/>
    <x v="0"/>
    <x v="0"/>
    <x v="1"/>
    <x v="2"/>
    <s v="EE_Tallinn"/>
    <x v="13"/>
    <x v="0"/>
    <x v="0"/>
    <s v="VAO-2_ST_WOOD_BP"/>
    <n v="21"/>
    <n v="2.1000000000000001E-2"/>
  </r>
  <r>
    <x v="0"/>
    <x v="0"/>
    <x v="0"/>
    <x v="1"/>
    <x v="2"/>
    <s v="EE_Tartu"/>
    <x v="13"/>
    <x v="0"/>
    <x v="0"/>
    <s v="TARTU-1_ST_WOOD_BP"/>
    <n v="22"/>
    <n v="2.1999999999999999E-2"/>
  </r>
  <r>
    <x v="0"/>
    <x v="0"/>
    <x v="0"/>
    <x v="1"/>
    <x v="2"/>
    <s v="EE_Urban"/>
    <x v="0"/>
    <x v="1"/>
    <x v="0"/>
    <s v="GNR_ST_BGAS_EXT_E-38"/>
    <n v="0.1"/>
    <n v="1E-4"/>
  </r>
  <r>
    <x v="0"/>
    <x v="0"/>
    <x v="0"/>
    <x v="1"/>
    <x v="2"/>
    <s v="EE_Urban"/>
    <x v="4"/>
    <x v="1"/>
    <x v="0"/>
    <s v="GNR_ENG_NGAS_EXT_E-44"/>
    <n v="0.9"/>
    <n v="8.9999999999999998E-4"/>
  </r>
  <r>
    <x v="0"/>
    <x v="0"/>
    <x v="0"/>
    <x v="1"/>
    <x v="2"/>
    <s v="EE_Urban"/>
    <x v="13"/>
    <x v="0"/>
    <x v="0"/>
    <s v="GNR_ST_WOOD_BP_E-53"/>
    <n v="12"/>
    <n v="1.2E-2"/>
  </r>
  <r>
    <x v="0"/>
    <x v="0"/>
    <x v="0"/>
    <x v="2"/>
    <x v="3"/>
    <s v="FIN_EL"/>
    <x v="1"/>
    <x v="1"/>
    <x v="0"/>
    <s v="GEXT_COAL_KYMIJARVI"/>
    <n v="148"/>
    <n v="0.14799999999999999"/>
  </r>
  <r>
    <x v="0"/>
    <x v="0"/>
    <x v="0"/>
    <x v="2"/>
    <x v="3"/>
    <s v="FIN_EL"/>
    <x v="4"/>
    <x v="0"/>
    <x v="0"/>
    <s v="GBPR_NATGAS_FINEL"/>
    <n v="81.2"/>
    <n v="8.1199999999999994E-2"/>
  </r>
  <r>
    <x v="0"/>
    <x v="0"/>
    <x v="0"/>
    <x v="2"/>
    <x v="3"/>
    <s v="FIN_EL"/>
    <x v="4"/>
    <x v="1"/>
    <x v="0"/>
    <s v="GEXT_NATGAS_MERTANIEMI"/>
    <n v="103"/>
    <n v="0.10299999999999999"/>
  </r>
  <r>
    <x v="0"/>
    <x v="0"/>
    <x v="0"/>
    <x v="2"/>
    <x v="3"/>
    <s v="FIN_EL"/>
    <x v="6"/>
    <x v="0"/>
    <x v="0"/>
    <s v="GBPR_WOODCHIPS"/>
    <n v="47"/>
    <n v="4.7E-2"/>
  </r>
  <r>
    <x v="0"/>
    <x v="0"/>
    <x v="0"/>
    <x v="2"/>
    <x v="3"/>
    <s v="FIN_EL"/>
    <x v="14"/>
    <x v="0"/>
    <x v="0"/>
    <s v="GBPR_WOODWASTE_FINEL"/>
    <n v="110"/>
    <n v="0.11"/>
  </r>
  <r>
    <x v="0"/>
    <x v="0"/>
    <x v="0"/>
    <x v="2"/>
    <x v="3"/>
    <s v="FIN_ESPOO"/>
    <x v="1"/>
    <x v="0"/>
    <x v="0"/>
    <s v="GBPR_COAL_SUOMENOJA"/>
    <n v="75"/>
    <n v="7.4999999999999997E-2"/>
  </r>
  <r>
    <x v="0"/>
    <x v="0"/>
    <x v="0"/>
    <x v="2"/>
    <x v="3"/>
    <s v="FIN_ESPOO"/>
    <x v="4"/>
    <x v="0"/>
    <x v="0"/>
    <s v="GBPR_NATGAS_SUOMENOJA"/>
    <n v="49"/>
    <n v="4.9000000000000002E-2"/>
  </r>
  <r>
    <x v="0"/>
    <x v="0"/>
    <x v="0"/>
    <x v="2"/>
    <x v="3"/>
    <s v="FIN_ESPOO"/>
    <x v="4"/>
    <x v="0"/>
    <x v="0"/>
    <s v="GBPR_NATGAS_SUOMENOJA2"/>
    <n v="234"/>
    <n v="0.23400000000000001"/>
  </r>
  <r>
    <x v="0"/>
    <x v="0"/>
    <x v="0"/>
    <x v="2"/>
    <x v="3"/>
    <s v="FIN_GAS"/>
    <x v="4"/>
    <x v="0"/>
    <x v="0"/>
    <s v="GBPR_NATGAS_GASAREA"/>
    <n v="59"/>
    <n v="5.8999999999999997E-2"/>
  </r>
  <r>
    <x v="0"/>
    <x v="0"/>
    <x v="0"/>
    <x v="2"/>
    <x v="3"/>
    <s v="FIN_GAS"/>
    <x v="4"/>
    <x v="1"/>
    <x v="0"/>
    <s v="GEXT_NATGAS_NOKIA"/>
    <n v="70"/>
    <n v="7.0000000000000007E-2"/>
  </r>
  <r>
    <x v="0"/>
    <x v="0"/>
    <x v="0"/>
    <x v="2"/>
    <x v="3"/>
    <s v="FIN_HELS"/>
    <x v="1"/>
    <x v="0"/>
    <x v="0"/>
    <s v="GBPR_COAL_MARTINLAAKSO"/>
    <n v="140"/>
    <n v="0.14000000000000001"/>
  </r>
  <r>
    <x v="0"/>
    <x v="0"/>
    <x v="0"/>
    <x v="2"/>
    <x v="3"/>
    <s v="FIN_HELS"/>
    <x v="1"/>
    <x v="0"/>
    <x v="0"/>
    <s v="GBPR_COAL_SALMISAARI"/>
    <n v="160"/>
    <n v="0.16"/>
  </r>
  <r>
    <x v="0"/>
    <x v="0"/>
    <x v="0"/>
    <x v="2"/>
    <x v="3"/>
    <s v="FIN_HELS"/>
    <x v="4"/>
    <x v="0"/>
    <x v="0"/>
    <s v="GBPR_NATGAS_MARTINLAAKSOGT"/>
    <n v="58"/>
    <n v="5.8000000000000003E-2"/>
  </r>
  <r>
    <x v="0"/>
    <x v="0"/>
    <x v="0"/>
    <x v="2"/>
    <x v="3"/>
    <s v="FIN_HELS"/>
    <x v="4"/>
    <x v="0"/>
    <x v="0"/>
    <s v="GBPR_NATGAS_VOUSAARI"/>
    <n v="160"/>
    <n v="0.16"/>
  </r>
  <r>
    <x v="0"/>
    <x v="0"/>
    <x v="0"/>
    <x v="2"/>
    <x v="3"/>
    <s v="FIN_HELS"/>
    <x v="4"/>
    <x v="1"/>
    <x v="0"/>
    <s v="GEXT_NATGAS_VOUSAARI"/>
    <n v="470"/>
    <n v="0.47"/>
  </r>
  <r>
    <x v="0"/>
    <x v="0"/>
    <x v="0"/>
    <x v="2"/>
    <x v="3"/>
    <s v="FIN_HP"/>
    <x v="1"/>
    <x v="0"/>
    <x v="0"/>
    <s v="GBPR_COAL_NAANTALI"/>
    <n v="261"/>
    <n v="0.26100000000000001"/>
  </r>
  <r>
    <x v="0"/>
    <x v="0"/>
    <x v="0"/>
    <x v="2"/>
    <x v="3"/>
    <s v="FIN_OTHER"/>
    <x v="1"/>
    <x v="0"/>
    <x v="0"/>
    <s v="GBPR_COAL"/>
    <n v="2.2999999999999998"/>
    <n v="2.3E-3"/>
  </r>
  <r>
    <x v="0"/>
    <x v="0"/>
    <x v="0"/>
    <x v="2"/>
    <x v="3"/>
    <s v="FIN_OTHER"/>
    <x v="16"/>
    <x v="0"/>
    <x v="0"/>
    <s v="GBPR_HEAVYFUELOIL"/>
    <n v="51.8"/>
    <n v="5.1799999999999999E-2"/>
  </r>
  <r>
    <x v="0"/>
    <x v="0"/>
    <x v="0"/>
    <x v="2"/>
    <x v="3"/>
    <s v="FIN_OTHER"/>
    <x v="4"/>
    <x v="0"/>
    <x v="0"/>
    <s v="GBPR_NATGAS_100"/>
    <n v="198.6"/>
    <n v="0.1986"/>
  </r>
  <r>
    <x v="0"/>
    <x v="0"/>
    <x v="0"/>
    <x v="2"/>
    <x v="3"/>
    <s v="FIN_OTHER"/>
    <x v="17"/>
    <x v="0"/>
    <x v="0"/>
    <s v="GBPR_PEAT"/>
    <n v="521.4"/>
    <n v="0.52139999999999997"/>
  </r>
  <r>
    <x v="0"/>
    <x v="0"/>
    <x v="0"/>
    <x v="2"/>
    <x v="3"/>
    <s v="FIN_OTHER"/>
    <x v="17"/>
    <x v="1"/>
    <x v="0"/>
    <s v="GEXT_PEAT_KELJONLAHTI"/>
    <n v="189.7"/>
    <n v="0.18970000000000001"/>
  </r>
  <r>
    <x v="0"/>
    <x v="0"/>
    <x v="0"/>
    <x v="2"/>
    <x v="3"/>
    <s v="FIN_OTHER"/>
    <x v="17"/>
    <x v="1"/>
    <x v="0"/>
    <s v="GEXT_PEAT_SEVO"/>
    <n v="108"/>
    <n v="0.108"/>
  </r>
  <r>
    <x v="0"/>
    <x v="0"/>
    <x v="0"/>
    <x v="2"/>
    <x v="3"/>
    <s v="FIN_OTHER"/>
    <x v="17"/>
    <x v="1"/>
    <x v="0"/>
    <s v="GEXT_PEAT_TOPPILA"/>
    <n v="112"/>
    <n v="0.112"/>
  </r>
  <r>
    <x v="0"/>
    <x v="0"/>
    <x v="0"/>
    <x v="2"/>
    <x v="3"/>
    <s v="FIN_OTHER"/>
    <x v="6"/>
    <x v="0"/>
    <x v="0"/>
    <s v="GBPR_WOODCHIPS_FINOTHER"/>
    <n v="211.2"/>
    <n v="0.2112"/>
  </r>
  <r>
    <x v="0"/>
    <x v="0"/>
    <x v="0"/>
    <x v="2"/>
    <x v="3"/>
    <s v="FIN_OTHER"/>
    <x v="11"/>
    <x v="0"/>
    <x v="0"/>
    <s v="GBPR_WOODPELLETS"/>
    <n v="1.1000000000000001"/>
    <n v="1.1000000000000001E-3"/>
  </r>
  <r>
    <x v="0"/>
    <x v="0"/>
    <x v="0"/>
    <x v="2"/>
    <x v="3"/>
    <s v="FIN_OTHER"/>
    <x v="14"/>
    <x v="0"/>
    <x v="0"/>
    <s v="GBPR_WOODWASTE_FINOTHER"/>
    <n v="74.099999999999994"/>
    <n v="7.4099999999999999E-2"/>
  </r>
  <r>
    <x v="0"/>
    <x v="0"/>
    <x v="0"/>
    <x v="2"/>
    <x v="3"/>
    <s v="FIN_TAMP"/>
    <x v="4"/>
    <x v="1"/>
    <x v="0"/>
    <s v="GEXT_NATGAS_TAMPERE"/>
    <n v="336"/>
    <n v="0.33600000000000002"/>
  </r>
  <r>
    <x v="0"/>
    <x v="0"/>
    <x v="0"/>
    <x v="2"/>
    <x v="3"/>
    <s v="FinA"/>
    <x v="1"/>
    <x v="0"/>
    <x v="0"/>
    <s v="GBPR_COAL_IND"/>
    <n v="20"/>
    <n v="0.02"/>
  </r>
  <r>
    <x v="0"/>
    <x v="0"/>
    <x v="0"/>
    <x v="2"/>
    <x v="3"/>
    <s v="FinA"/>
    <x v="1"/>
    <x v="2"/>
    <x v="0"/>
    <s v="GCND_COAL3"/>
    <n v="565"/>
    <n v="0.56499999999999995"/>
  </r>
  <r>
    <x v="0"/>
    <x v="0"/>
    <x v="0"/>
    <x v="2"/>
    <x v="3"/>
    <s v="FinA"/>
    <x v="7"/>
    <x v="0"/>
    <x v="0"/>
    <s v="GBPR_FUELOIL_IND"/>
    <n v="60"/>
    <n v="0.06"/>
  </r>
  <r>
    <x v="0"/>
    <x v="0"/>
    <x v="0"/>
    <x v="2"/>
    <x v="3"/>
    <s v="FinA"/>
    <x v="7"/>
    <x v="2"/>
    <x v="0"/>
    <s v="Back-up-power"/>
    <n v="100000"/>
    <n v="100"/>
  </r>
  <r>
    <x v="0"/>
    <x v="0"/>
    <x v="0"/>
    <x v="2"/>
    <x v="3"/>
    <s v="FinA"/>
    <x v="7"/>
    <x v="2"/>
    <x v="0"/>
    <s v="GCND_FUELOIL1"/>
    <n v="446.765294592413"/>
    <n v="0.44676529459241299"/>
  </r>
  <r>
    <x v="0"/>
    <x v="0"/>
    <x v="0"/>
    <x v="2"/>
    <x v="3"/>
    <s v="FinA"/>
    <x v="7"/>
    <x v="2"/>
    <x v="0"/>
    <s v="GCND_FUELOIL2"/>
    <n v="446.765294592413"/>
    <n v="0.44676529459241299"/>
  </r>
  <r>
    <x v="0"/>
    <x v="0"/>
    <x v="0"/>
    <x v="2"/>
    <x v="3"/>
    <s v="FinA"/>
    <x v="7"/>
    <x v="2"/>
    <x v="0"/>
    <s v="GCND_FUELOIL3"/>
    <n v="446.765294592413"/>
    <n v="0.44676529459241299"/>
  </r>
  <r>
    <x v="0"/>
    <x v="0"/>
    <x v="0"/>
    <x v="2"/>
    <x v="3"/>
    <s v="FinA"/>
    <x v="4"/>
    <x v="0"/>
    <x v="0"/>
    <s v="GBPR_NATGAS_IND"/>
    <n v="369"/>
    <n v="0.36899999999999999"/>
  </r>
  <r>
    <x v="0"/>
    <x v="0"/>
    <x v="0"/>
    <x v="2"/>
    <x v="3"/>
    <s v="FinA"/>
    <x v="4"/>
    <x v="2"/>
    <x v="0"/>
    <s v="GCND_NATGAS1"/>
    <n v="4.3"/>
    <n v="4.3E-3"/>
  </r>
  <r>
    <x v="0"/>
    <x v="0"/>
    <x v="0"/>
    <x v="2"/>
    <x v="3"/>
    <s v="FinA"/>
    <x v="4"/>
    <x v="2"/>
    <x v="0"/>
    <s v="GCND_NATGAS2"/>
    <n v="14.3333333333333"/>
    <n v="1.43333333333333E-2"/>
  </r>
  <r>
    <x v="0"/>
    <x v="0"/>
    <x v="0"/>
    <x v="2"/>
    <x v="3"/>
    <s v="FinA"/>
    <x v="4"/>
    <x v="2"/>
    <x v="0"/>
    <s v="GCND_NATGAS3"/>
    <n v="14.3333333333333"/>
    <n v="1.43333333333333E-2"/>
  </r>
  <r>
    <x v="0"/>
    <x v="0"/>
    <x v="0"/>
    <x v="2"/>
    <x v="3"/>
    <s v="FinA"/>
    <x v="4"/>
    <x v="2"/>
    <x v="0"/>
    <s v="GCND_NATGAS4"/>
    <n v="6.6531056520870804"/>
    <n v="6.6531056520870799E-3"/>
  </r>
  <r>
    <x v="0"/>
    <x v="0"/>
    <x v="0"/>
    <x v="2"/>
    <x v="3"/>
    <s v="FinA"/>
    <x v="18"/>
    <x v="2"/>
    <x v="0"/>
    <s v="GCND_NUCLEAR"/>
    <n v="2752"/>
    <n v="2.7519999999999998"/>
  </r>
  <r>
    <x v="0"/>
    <x v="0"/>
    <x v="0"/>
    <x v="2"/>
    <x v="3"/>
    <s v="FinA"/>
    <x v="17"/>
    <x v="0"/>
    <x v="0"/>
    <s v="GBPR_PEAT_IND"/>
    <n v="634"/>
    <n v="0.63400000000000001"/>
  </r>
  <r>
    <x v="0"/>
    <x v="0"/>
    <x v="0"/>
    <x v="2"/>
    <x v="3"/>
    <s v="FinA"/>
    <x v="17"/>
    <x v="2"/>
    <x v="0"/>
    <s v="GCND_PEAT"/>
    <n v="163.49843260188101"/>
    <n v="0.16349843260188099"/>
  </r>
  <r>
    <x v="0"/>
    <x v="0"/>
    <x v="0"/>
    <x v="2"/>
    <x v="3"/>
    <s v="FinA"/>
    <x v="9"/>
    <x v="4"/>
    <x v="0"/>
    <s v="GNR_ROR_WTR"/>
    <n v="1673.1"/>
    <n v="1.6731"/>
  </r>
  <r>
    <x v="0"/>
    <x v="0"/>
    <x v="0"/>
    <x v="2"/>
    <x v="3"/>
    <s v="FinA"/>
    <x v="9"/>
    <x v="6"/>
    <x v="0"/>
    <s v="GNR_RES_WTR_NOPMP_MC-01"/>
    <n v="156.94999999999999"/>
    <n v="0.15695000000000001"/>
  </r>
  <r>
    <x v="0"/>
    <x v="0"/>
    <x v="0"/>
    <x v="2"/>
    <x v="3"/>
    <s v="FinA"/>
    <x v="9"/>
    <x v="6"/>
    <x v="0"/>
    <s v="GNR_RES_WTR_NOPMP_MC-02"/>
    <n v="156.94999999999999"/>
    <n v="0.15695000000000001"/>
  </r>
  <r>
    <x v="0"/>
    <x v="0"/>
    <x v="0"/>
    <x v="2"/>
    <x v="3"/>
    <s v="FinA"/>
    <x v="9"/>
    <x v="6"/>
    <x v="0"/>
    <s v="GNR_RES_WTR_NOPMP_MC-03"/>
    <n v="156.94999999999999"/>
    <n v="0.15695000000000001"/>
  </r>
  <r>
    <x v="0"/>
    <x v="0"/>
    <x v="0"/>
    <x v="2"/>
    <x v="3"/>
    <s v="FinA"/>
    <x v="9"/>
    <x v="6"/>
    <x v="0"/>
    <s v="GNR_RES_WTR_NOPMP_MC-04"/>
    <n v="156.94999999999999"/>
    <n v="0.15695000000000001"/>
  </r>
  <r>
    <x v="0"/>
    <x v="0"/>
    <x v="0"/>
    <x v="2"/>
    <x v="3"/>
    <s v="FinA"/>
    <x v="9"/>
    <x v="6"/>
    <x v="0"/>
    <s v="GNR_RES_WTR_NOPMP_MC-05"/>
    <n v="156.94999999999999"/>
    <n v="0.15695000000000001"/>
  </r>
  <r>
    <x v="0"/>
    <x v="0"/>
    <x v="0"/>
    <x v="2"/>
    <x v="3"/>
    <s v="FinA"/>
    <x v="9"/>
    <x v="6"/>
    <x v="0"/>
    <s v="GNR_RES_WTR_NOPMP_MC-06"/>
    <n v="156.94999999999999"/>
    <n v="0.15695000000000001"/>
  </r>
  <r>
    <x v="0"/>
    <x v="0"/>
    <x v="0"/>
    <x v="2"/>
    <x v="3"/>
    <s v="FinA"/>
    <x v="9"/>
    <x v="6"/>
    <x v="0"/>
    <s v="GNR_RES_WTR_NOPMP_MC-07"/>
    <n v="156.94999999999999"/>
    <n v="0.15695000000000001"/>
  </r>
  <r>
    <x v="0"/>
    <x v="0"/>
    <x v="0"/>
    <x v="2"/>
    <x v="3"/>
    <s v="FinA"/>
    <x v="9"/>
    <x v="6"/>
    <x v="0"/>
    <s v="GNR_RES_WTR_NOPMP_MC-08"/>
    <n v="156.94999999999999"/>
    <n v="0.15695000000000001"/>
  </r>
  <r>
    <x v="0"/>
    <x v="0"/>
    <x v="0"/>
    <x v="2"/>
    <x v="3"/>
    <s v="FinA"/>
    <x v="9"/>
    <x v="6"/>
    <x v="0"/>
    <s v="GNR_RES_WTR_NOPMP_MC-09"/>
    <n v="156.94999999999999"/>
    <n v="0.15695000000000001"/>
  </r>
  <r>
    <x v="0"/>
    <x v="0"/>
    <x v="0"/>
    <x v="2"/>
    <x v="3"/>
    <s v="FinA"/>
    <x v="9"/>
    <x v="6"/>
    <x v="0"/>
    <s v="GNR_RES_WTR_NOPMP_MC-10"/>
    <n v="156.94999999999999"/>
    <n v="0.15695000000000001"/>
  </r>
  <r>
    <x v="0"/>
    <x v="0"/>
    <x v="0"/>
    <x v="2"/>
    <x v="3"/>
    <s v="FinA"/>
    <x v="10"/>
    <x v="5"/>
    <x v="0"/>
    <s v="GNR_WT_WIND_ONS"/>
    <n v="1532.2550000000001"/>
    <n v="1.5322549999999999"/>
  </r>
  <r>
    <x v="0"/>
    <x v="0"/>
    <x v="0"/>
    <x v="2"/>
    <x v="3"/>
    <s v="FinA"/>
    <x v="13"/>
    <x v="0"/>
    <x v="0"/>
    <s v="GBPR_IND_BIO"/>
    <n v="300"/>
    <n v="0.3"/>
  </r>
  <r>
    <x v="0"/>
    <x v="0"/>
    <x v="0"/>
    <x v="2"/>
    <x v="3"/>
    <s v="FinA"/>
    <x v="13"/>
    <x v="0"/>
    <x v="0"/>
    <s v="GBPR_WOOD_IND"/>
    <n v="1847"/>
    <n v="1.847"/>
  </r>
  <r>
    <x v="0"/>
    <x v="0"/>
    <x v="0"/>
    <x v="2"/>
    <x v="3"/>
    <s v="FinA"/>
    <x v="13"/>
    <x v="2"/>
    <x v="0"/>
    <s v="GCND_COFIRING"/>
    <n v="325.375"/>
    <n v="0.32537500000000003"/>
  </r>
  <r>
    <x v="0"/>
    <x v="0"/>
    <x v="0"/>
    <x v="2"/>
    <x v="3"/>
    <s v="FinA"/>
    <x v="6"/>
    <x v="2"/>
    <x v="0"/>
    <s v="GCND_WOODCHIPS"/>
    <n v="5.4984326018808796"/>
    <n v="5.4984326018808804E-3"/>
  </r>
  <r>
    <x v="0"/>
    <x v="0"/>
    <x v="0"/>
    <x v="3"/>
    <x v="4"/>
    <s v="DE4-E_A"/>
    <x v="0"/>
    <x v="0"/>
    <x v="0"/>
    <s v="GNR_ENG_BGAS_BP_E-45"/>
    <n v="2.57"/>
    <n v="2.5699999999999998E-3"/>
  </r>
  <r>
    <x v="0"/>
    <x v="0"/>
    <x v="0"/>
    <x v="3"/>
    <x v="4"/>
    <s v="DE4-E_A"/>
    <x v="0"/>
    <x v="0"/>
    <x v="0"/>
    <s v="GNR_ST_BGAS_BP_E-38"/>
    <n v="230.4"/>
    <n v="0.23039999999999999"/>
  </r>
  <r>
    <x v="0"/>
    <x v="0"/>
    <x v="0"/>
    <x v="3"/>
    <x v="4"/>
    <s v="DE4-E_A"/>
    <x v="0"/>
    <x v="2"/>
    <x v="0"/>
    <s v="GNR_ENG_BGAS_CND_E-44"/>
    <n v="1827.61"/>
    <n v="1.82761"/>
  </r>
  <r>
    <x v="0"/>
    <x v="0"/>
    <x v="0"/>
    <x v="3"/>
    <x v="4"/>
    <s v="DE4-E_A"/>
    <x v="0"/>
    <x v="2"/>
    <x v="0"/>
    <s v="GNR_ST_BGAS_CND_E-38"/>
    <n v="73.8"/>
    <n v="7.3800000000000004E-2"/>
  </r>
  <r>
    <x v="0"/>
    <x v="0"/>
    <x v="0"/>
    <x v="3"/>
    <x v="4"/>
    <s v="DE4-E_A"/>
    <x v="1"/>
    <x v="0"/>
    <x v="0"/>
    <s v="GNR_ST_COAL_BP_E-35"/>
    <n v="124"/>
    <n v="0.124"/>
  </r>
  <r>
    <x v="0"/>
    <x v="0"/>
    <x v="0"/>
    <x v="3"/>
    <x v="4"/>
    <s v="DE4-E_A"/>
    <x v="1"/>
    <x v="0"/>
    <x v="0"/>
    <s v="GNR_ST_COAL_BP_E-40"/>
    <n v="1167"/>
    <n v="1.167"/>
  </r>
  <r>
    <x v="0"/>
    <x v="0"/>
    <x v="0"/>
    <x v="3"/>
    <x v="4"/>
    <s v="DE4-E_A"/>
    <x v="19"/>
    <x v="7"/>
    <x v="1"/>
    <s v="GNR_ES_ELEC_BAT-LITHIO_E-95_Y-16-29"/>
    <n v="1377.6438072485901"/>
    <n v="1.3776438072485899"/>
  </r>
  <r>
    <x v="0"/>
    <x v="0"/>
    <x v="0"/>
    <x v="3"/>
    <x v="4"/>
    <s v="DE4-E_A"/>
    <x v="19"/>
    <x v="7"/>
    <x v="0"/>
    <s v="AGG-DE4-E_ES_ELEC"/>
    <n v="0.44"/>
    <n v="4.4000000000000002E-4"/>
  </r>
  <r>
    <x v="0"/>
    <x v="0"/>
    <x v="0"/>
    <x v="3"/>
    <x v="4"/>
    <s v="DE4-E_A"/>
    <x v="19"/>
    <x v="8"/>
    <x v="0"/>
    <s v="AGG-DE4-E_RES_WTR_PMP"/>
    <n v="2415"/>
    <n v="2.415"/>
  </r>
  <r>
    <x v="0"/>
    <x v="0"/>
    <x v="0"/>
    <x v="3"/>
    <x v="4"/>
    <s v="DE4-E_A"/>
    <x v="7"/>
    <x v="0"/>
    <x v="0"/>
    <s v="GNR_CC_FUELOIL_BP_E-38"/>
    <n v="92.5"/>
    <n v="9.2499999999999999E-2"/>
  </r>
  <r>
    <x v="0"/>
    <x v="0"/>
    <x v="0"/>
    <x v="3"/>
    <x v="4"/>
    <s v="DE4-E_A"/>
    <x v="7"/>
    <x v="0"/>
    <x v="0"/>
    <s v="GNR_ST_FUELOIL_BP_E-36"/>
    <n v="304"/>
    <n v="0.30399999999999999"/>
  </r>
  <r>
    <x v="0"/>
    <x v="0"/>
    <x v="0"/>
    <x v="3"/>
    <x v="4"/>
    <s v="DE4-E_A"/>
    <x v="7"/>
    <x v="0"/>
    <x v="0"/>
    <s v="GNR_ST_FUELOIL_BP_E-38"/>
    <n v="230.5"/>
    <n v="0.23050000000000001"/>
  </r>
  <r>
    <x v="0"/>
    <x v="0"/>
    <x v="0"/>
    <x v="3"/>
    <x v="4"/>
    <s v="DE4-E_A"/>
    <x v="7"/>
    <x v="2"/>
    <x v="0"/>
    <s v="GNR_GT_FUELOIL_CND_E-30"/>
    <n v="51"/>
    <n v="5.0999999999999997E-2"/>
  </r>
  <r>
    <x v="0"/>
    <x v="0"/>
    <x v="0"/>
    <x v="3"/>
    <x v="4"/>
    <s v="DE4-E_A"/>
    <x v="7"/>
    <x v="2"/>
    <x v="0"/>
    <s v="GNR_GT_FUELOIL_CND_E-36"/>
    <n v="120"/>
    <n v="0.12"/>
  </r>
  <r>
    <x v="0"/>
    <x v="0"/>
    <x v="0"/>
    <x v="3"/>
    <x v="4"/>
    <s v="DE4-E_A"/>
    <x v="7"/>
    <x v="2"/>
    <x v="0"/>
    <s v="GNR_ST_FUELOIL_CND_E-39"/>
    <n v="110.5"/>
    <n v="0.1105"/>
  </r>
  <r>
    <x v="0"/>
    <x v="0"/>
    <x v="0"/>
    <x v="3"/>
    <x v="4"/>
    <s v="DE4-E_A"/>
    <x v="20"/>
    <x v="0"/>
    <x v="0"/>
    <s v="GNR_ST_LIGN_BP_E-28"/>
    <n v="127"/>
    <n v="0.127"/>
  </r>
  <r>
    <x v="0"/>
    <x v="0"/>
    <x v="0"/>
    <x v="3"/>
    <x v="4"/>
    <s v="DE4-E_A"/>
    <x v="20"/>
    <x v="0"/>
    <x v="0"/>
    <s v="GNR_ST_LIGN_BP_E-39"/>
    <n v="9321.4"/>
    <n v="9.3214000000000006"/>
  </r>
  <r>
    <x v="0"/>
    <x v="0"/>
    <x v="0"/>
    <x v="3"/>
    <x v="4"/>
    <s v="DE4-E_A"/>
    <x v="20"/>
    <x v="2"/>
    <x v="0"/>
    <s v="GNR_ST_LIGN_CND_E-43"/>
    <n v="640"/>
    <n v="0.64"/>
  </r>
  <r>
    <x v="0"/>
    <x v="0"/>
    <x v="0"/>
    <x v="3"/>
    <x v="4"/>
    <s v="DE4-E_A"/>
    <x v="3"/>
    <x v="0"/>
    <x v="0"/>
    <s v="GNR_ST_MSW_BP_E-33"/>
    <n v="318.89999999999998"/>
    <n v="0.31890000000000002"/>
  </r>
  <r>
    <x v="0"/>
    <x v="0"/>
    <x v="0"/>
    <x v="3"/>
    <x v="4"/>
    <s v="DE4-E_A"/>
    <x v="3"/>
    <x v="2"/>
    <x v="0"/>
    <s v="GNR_ST_MSW_CND_E-33"/>
    <n v="65.099999999999994"/>
    <n v="6.5100000000000005E-2"/>
  </r>
  <r>
    <x v="0"/>
    <x v="0"/>
    <x v="0"/>
    <x v="3"/>
    <x v="4"/>
    <s v="DE4-E_A"/>
    <x v="4"/>
    <x v="0"/>
    <x v="0"/>
    <s v="GNR_CC_NGAS_BP_E-53"/>
    <n v="1999.9"/>
    <n v="1.9999"/>
  </r>
  <r>
    <x v="0"/>
    <x v="0"/>
    <x v="0"/>
    <x v="3"/>
    <x v="4"/>
    <s v="DE4-E_A"/>
    <x v="4"/>
    <x v="0"/>
    <x v="0"/>
    <s v="GNR_GT_NGAS_BP_E-38"/>
    <n v="225.7"/>
    <n v="0.22570000000000001"/>
  </r>
  <r>
    <x v="0"/>
    <x v="0"/>
    <x v="0"/>
    <x v="3"/>
    <x v="4"/>
    <s v="DE4-E_A"/>
    <x v="4"/>
    <x v="0"/>
    <x v="0"/>
    <s v="GNR_ST_NGAS_BP_E-31"/>
    <n v="26.5"/>
    <n v="2.6499999999999999E-2"/>
  </r>
  <r>
    <x v="0"/>
    <x v="0"/>
    <x v="0"/>
    <x v="3"/>
    <x v="4"/>
    <s v="DE4-E_A"/>
    <x v="4"/>
    <x v="0"/>
    <x v="0"/>
    <s v="GNR_ST_NGAS_BP_E-38"/>
    <n v="1223"/>
    <n v="1.2230000000000001"/>
  </r>
  <r>
    <x v="0"/>
    <x v="0"/>
    <x v="0"/>
    <x v="3"/>
    <x v="4"/>
    <s v="DE4-E_A"/>
    <x v="4"/>
    <x v="2"/>
    <x v="0"/>
    <s v="GNR_CC_NGAS_CND_E-51"/>
    <n v="160"/>
    <n v="0.16"/>
  </r>
  <r>
    <x v="0"/>
    <x v="0"/>
    <x v="0"/>
    <x v="3"/>
    <x v="4"/>
    <s v="DE4-E_A"/>
    <x v="4"/>
    <x v="2"/>
    <x v="0"/>
    <s v="GNR_CC_NGAS_CND_E-57"/>
    <n v="50"/>
    <n v="0.05"/>
  </r>
  <r>
    <x v="0"/>
    <x v="0"/>
    <x v="0"/>
    <x v="3"/>
    <x v="4"/>
    <s v="DE4-E_A"/>
    <x v="4"/>
    <x v="2"/>
    <x v="0"/>
    <s v="GNR_GT_NGAS_CND_E-35"/>
    <n v="446"/>
    <n v="0.44600000000000001"/>
  </r>
  <r>
    <x v="0"/>
    <x v="0"/>
    <x v="0"/>
    <x v="3"/>
    <x v="4"/>
    <s v="DE4-E_A"/>
    <x v="4"/>
    <x v="2"/>
    <x v="0"/>
    <s v="GNR_ST_NGAS_CND_E-38"/>
    <n v="40"/>
    <n v="0.04"/>
  </r>
  <r>
    <x v="0"/>
    <x v="0"/>
    <x v="0"/>
    <x v="3"/>
    <x v="4"/>
    <s v="DE4-E_A"/>
    <x v="8"/>
    <x v="3"/>
    <x v="0"/>
    <s v="GNR_PV_SUN"/>
    <n v="10550.37"/>
    <n v="10.550369999999999"/>
  </r>
  <r>
    <x v="0"/>
    <x v="0"/>
    <x v="0"/>
    <x v="3"/>
    <x v="4"/>
    <s v="DE4-E_A"/>
    <x v="21"/>
    <x v="2"/>
    <x v="0"/>
    <s v="GNR_GEO_HEAT_EO"/>
    <n v="0.22"/>
    <n v="2.2000000000000001E-4"/>
  </r>
  <r>
    <x v="0"/>
    <x v="0"/>
    <x v="0"/>
    <x v="3"/>
    <x v="4"/>
    <s v="DE4-E_A"/>
    <x v="9"/>
    <x v="4"/>
    <x v="0"/>
    <s v="GNR_ROR_WTR"/>
    <n v="550.44000000000005"/>
    <n v="0.55044000000000004"/>
  </r>
  <r>
    <x v="0"/>
    <x v="0"/>
    <x v="0"/>
    <x v="3"/>
    <x v="4"/>
    <s v="DE4-E_A"/>
    <x v="10"/>
    <x v="5"/>
    <x v="0"/>
    <s v="GNR_WT_WIND_ONS"/>
    <n v="17898.509999999998"/>
    <n v="17.898510000000002"/>
  </r>
  <r>
    <x v="0"/>
    <x v="0"/>
    <x v="0"/>
    <x v="3"/>
    <x v="4"/>
    <s v="DE4-E_Offshore_A"/>
    <x v="10"/>
    <x v="5"/>
    <x v="0"/>
    <s v="GNR_WT_WIND_OFF"/>
    <n v="336.3"/>
    <n v="0.33629999999999999"/>
  </r>
  <r>
    <x v="0"/>
    <x v="0"/>
    <x v="0"/>
    <x v="3"/>
    <x v="5"/>
    <s v="DE4-N_A"/>
    <x v="0"/>
    <x v="0"/>
    <x v="0"/>
    <s v="GNR_ENG_BGAS_BP_E-45"/>
    <n v="0.48"/>
    <n v="4.8000000000000001E-4"/>
  </r>
  <r>
    <x v="0"/>
    <x v="0"/>
    <x v="0"/>
    <x v="3"/>
    <x v="5"/>
    <s v="DE4-N_A"/>
    <x v="0"/>
    <x v="0"/>
    <x v="0"/>
    <s v="GNR_ST_BGAS_BP_E-38"/>
    <n v="20"/>
    <n v="0.02"/>
  </r>
  <r>
    <x v="0"/>
    <x v="0"/>
    <x v="0"/>
    <x v="3"/>
    <x v="5"/>
    <s v="DE4-N_A"/>
    <x v="0"/>
    <x v="2"/>
    <x v="0"/>
    <s v="GNR_ENG_BGAS_CND_E-44"/>
    <n v="484.32"/>
    <n v="0.48431999999999997"/>
  </r>
  <r>
    <x v="0"/>
    <x v="0"/>
    <x v="0"/>
    <x v="3"/>
    <x v="5"/>
    <s v="DE4-N_A"/>
    <x v="1"/>
    <x v="0"/>
    <x v="0"/>
    <s v="GNR_ST_COAL_BP_E-40"/>
    <n v="924"/>
    <n v="0.92400000000000004"/>
  </r>
  <r>
    <x v="0"/>
    <x v="0"/>
    <x v="0"/>
    <x v="3"/>
    <x v="5"/>
    <s v="DE4-N_A"/>
    <x v="1"/>
    <x v="2"/>
    <x v="0"/>
    <s v="GNR_ST_COAL_CND_E-46"/>
    <n v="1600"/>
    <n v="1.6"/>
  </r>
  <r>
    <x v="0"/>
    <x v="0"/>
    <x v="0"/>
    <x v="3"/>
    <x v="5"/>
    <s v="DE4-N_A"/>
    <x v="19"/>
    <x v="7"/>
    <x v="1"/>
    <s v="GNR_ES_ELEC_BAT-LITHIO_E-95_Y-16-29"/>
    <n v="407.98511431531301"/>
    <n v="0.40798511431531298"/>
  </r>
  <r>
    <x v="0"/>
    <x v="0"/>
    <x v="0"/>
    <x v="3"/>
    <x v="5"/>
    <s v="DE4-N_A"/>
    <x v="19"/>
    <x v="7"/>
    <x v="0"/>
    <s v="AGG-DE4-N_ES_ELEC"/>
    <n v="0.14000000000000001"/>
    <n v="1.3999999999999999E-4"/>
  </r>
  <r>
    <x v="0"/>
    <x v="0"/>
    <x v="0"/>
    <x v="3"/>
    <x v="5"/>
    <s v="DE4-N_A"/>
    <x v="19"/>
    <x v="8"/>
    <x v="0"/>
    <s v="AGG-DE4-N_RES_WTR_PMP"/>
    <n v="119.1"/>
    <n v="0.1191"/>
  </r>
  <r>
    <x v="0"/>
    <x v="0"/>
    <x v="0"/>
    <x v="3"/>
    <x v="5"/>
    <s v="DE4-N_A"/>
    <x v="7"/>
    <x v="0"/>
    <x v="0"/>
    <s v="GNR_ST_FUELOIL_BP_E-35"/>
    <n v="74.5"/>
    <n v="7.4499999999999997E-2"/>
  </r>
  <r>
    <x v="0"/>
    <x v="0"/>
    <x v="0"/>
    <x v="3"/>
    <x v="5"/>
    <s v="DE4-N_A"/>
    <x v="7"/>
    <x v="0"/>
    <x v="0"/>
    <s v="GNR_ST_FUELOIL_BP_E-38"/>
    <n v="38"/>
    <n v="3.7999999999999999E-2"/>
  </r>
  <r>
    <x v="0"/>
    <x v="0"/>
    <x v="0"/>
    <x v="3"/>
    <x v="5"/>
    <s v="DE4-N_A"/>
    <x v="7"/>
    <x v="2"/>
    <x v="0"/>
    <s v="GNR_GT_FUELOIL_CND_E-31"/>
    <n v="355"/>
    <n v="0.35499999999999998"/>
  </r>
  <r>
    <x v="0"/>
    <x v="0"/>
    <x v="0"/>
    <x v="3"/>
    <x v="5"/>
    <s v="DE4-N_A"/>
    <x v="7"/>
    <x v="2"/>
    <x v="0"/>
    <s v="GNR_ST_FUELOIL_CND_E-35"/>
    <n v="175"/>
    <n v="0.17499999999999999"/>
  </r>
  <r>
    <x v="0"/>
    <x v="0"/>
    <x v="0"/>
    <x v="3"/>
    <x v="5"/>
    <s v="DE4-N_A"/>
    <x v="3"/>
    <x v="0"/>
    <x v="0"/>
    <s v="GNR_ST_MSW_BP_E-33"/>
    <n v="41"/>
    <n v="4.1000000000000002E-2"/>
  </r>
  <r>
    <x v="0"/>
    <x v="0"/>
    <x v="0"/>
    <x v="3"/>
    <x v="5"/>
    <s v="DE4-N_A"/>
    <x v="4"/>
    <x v="0"/>
    <x v="0"/>
    <s v="GNR_CC_NGAS_BP_E-57"/>
    <n v="127"/>
    <n v="0.127"/>
  </r>
  <r>
    <x v="0"/>
    <x v="0"/>
    <x v="0"/>
    <x v="3"/>
    <x v="5"/>
    <s v="DE4-N_A"/>
    <x v="4"/>
    <x v="0"/>
    <x v="0"/>
    <s v="GNR_ST_NGAS_BP_E-39"/>
    <n v="128.5"/>
    <n v="0.1285"/>
  </r>
  <r>
    <x v="0"/>
    <x v="0"/>
    <x v="0"/>
    <x v="3"/>
    <x v="5"/>
    <s v="DE4-N_A"/>
    <x v="18"/>
    <x v="2"/>
    <x v="0"/>
    <s v="GNR_ST_NUCL_CND_E-33"/>
    <n v="1410"/>
    <n v="1.41"/>
  </r>
  <r>
    <x v="0"/>
    <x v="0"/>
    <x v="0"/>
    <x v="3"/>
    <x v="5"/>
    <s v="DE4-N_A"/>
    <x v="8"/>
    <x v="3"/>
    <x v="0"/>
    <s v="GNR_PV_SUN"/>
    <n v="1605.25"/>
    <n v="1.6052500000000001"/>
  </r>
  <r>
    <x v="0"/>
    <x v="0"/>
    <x v="0"/>
    <x v="3"/>
    <x v="5"/>
    <s v="DE4-N_A"/>
    <x v="9"/>
    <x v="4"/>
    <x v="0"/>
    <s v="GNR_ROR_WTR"/>
    <n v="4.8499999999999996"/>
    <n v="4.8500000000000001E-3"/>
  </r>
  <r>
    <x v="0"/>
    <x v="0"/>
    <x v="0"/>
    <x v="3"/>
    <x v="5"/>
    <s v="DE4-N_A"/>
    <x v="10"/>
    <x v="5"/>
    <x v="0"/>
    <s v="GNR_WT_WIND_ONS"/>
    <n v="6944.87"/>
    <n v="6.9448699999999999"/>
  </r>
  <r>
    <x v="0"/>
    <x v="0"/>
    <x v="0"/>
    <x v="3"/>
    <x v="5"/>
    <s v="DE4-N_Offshore_A"/>
    <x v="10"/>
    <x v="5"/>
    <x v="0"/>
    <s v="GNR_WT_WIND_OFF"/>
    <n v="900"/>
    <n v="0.9"/>
  </r>
  <r>
    <x v="0"/>
    <x v="0"/>
    <x v="0"/>
    <x v="3"/>
    <x v="6"/>
    <s v="DE4-S_A"/>
    <x v="0"/>
    <x v="0"/>
    <x v="0"/>
    <s v="GNR_ENG_BGAS_BP_E-45"/>
    <n v="47.36"/>
    <n v="4.7359999999999999E-2"/>
  </r>
  <r>
    <x v="0"/>
    <x v="0"/>
    <x v="0"/>
    <x v="3"/>
    <x v="6"/>
    <s v="DE4-S_A"/>
    <x v="0"/>
    <x v="0"/>
    <x v="0"/>
    <s v="GNR_ST_BGAS_BP_E-38"/>
    <n v="261.2"/>
    <n v="0.26119999999999999"/>
  </r>
  <r>
    <x v="0"/>
    <x v="0"/>
    <x v="0"/>
    <x v="3"/>
    <x v="6"/>
    <s v="DE4-S_A"/>
    <x v="0"/>
    <x v="2"/>
    <x v="0"/>
    <s v="GNR_ENG_BGAS_CND_E-44"/>
    <n v="2526.71"/>
    <n v="2.52671"/>
  </r>
  <r>
    <x v="0"/>
    <x v="0"/>
    <x v="0"/>
    <x v="3"/>
    <x v="6"/>
    <s v="DE4-S_A"/>
    <x v="0"/>
    <x v="2"/>
    <x v="0"/>
    <s v="GNR_ST_BGAS_CND_E-38"/>
    <n v="40.299999999999997"/>
    <n v="4.0300000000000002E-2"/>
  </r>
  <r>
    <x v="0"/>
    <x v="0"/>
    <x v="0"/>
    <x v="3"/>
    <x v="6"/>
    <s v="DE4-S_A"/>
    <x v="1"/>
    <x v="0"/>
    <x v="0"/>
    <s v="GNR_ST_COAL_BP_E-34"/>
    <n v="227.3"/>
    <n v="0.2273"/>
  </r>
  <r>
    <x v="0"/>
    <x v="0"/>
    <x v="0"/>
    <x v="3"/>
    <x v="6"/>
    <s v="DE4-S_A"/>
    <x v="1"/>
    <x v="0"/>
    <x v="0"/>
    <s v="GNR_ST_COAL_BP_E-43"/>
    <n v="7583.8"/>
    <n v="7.5838000000000001"/>
  </r>
  <r>
    <x v="0"/>
    <x v="0"/>
    <x v="0"/>
    <x v="3"/>
    <x v="6"/>
    <s v="DE4-S_A"/>
    <x v="1"/>
    <x v="2"/>
    <x v="0"/>
    <s v="GNR_ST_COAL_CND_E-38"/>
    <n v="726"/>
    <n v="0.72599999999999998"/>
  </r>
  <r>
    <x v="0"/>
    <x v="0"/>
    <x v="0"/>
    <x v="3"/>
    <x v="6"/>
    <s v="DE4-S_A"/>
    <x v="1"/>
    <x v="2"/>
    <x v="0"/>
    <s v="GNR_ST_COAL_CND_E-44"/>
    <n v="527"/>
    <n v="0.52700000000000002"/>
  </r>
  <r>
    <x v="0"/>
    <x v="0"/>
    <x v="0"/>
    <x v="3"/>
    <x v="6"/>
    <s v="DE4-S_A"/>
    <x v="19"/>
    <x v="7"/>
    <x v="1"/>
    <s v="GNR_ES_ELEC_BAT-LITHIO_E-95_Y-16-29"/>
    <n v="745.01626857324902"/>
    <n v="0.74501626857324899"/>
  </r>
  <r>
    <x v="0"/>
    <x v="0"/>
    <x v="0"/>
    <x v="3"/>
    <x v="6"/>
    <s v="DE4-S_A"/>
    <x v="19"/>
    <x v="7"/>
    <x v="0"/>
    <s v="AGG-DE4-S_ES_ELEC"/>
    <n v="0.71"/>
    <n v="7.1000000000000002E-4"/>
  </r>
  <r>
    <x v="0"/>
    <x v="0"/>
    <x v="0"/>
    <x v="3"/>
    <x v="6"/>
    <s v="DE4-S_A"/>
    <x v="19"/>
    <x v="8"/>
    <x v="0"/>
    <s v="AGG-DE4-S_RES_WTR_PMP"/>
    <n v="2163"/>
    <n v="2.1629999999999998"/>
  </r>
  <r>
    <x v="0"/>
    <x v="0"/>
    <x v="0"/>
    <x v="3"/>
    <x v="6"/>
    <s v="DE4-S_A"/>
    <x v="7"/>
    <x v="0"/>
    <x v="0"/>
    <s v="GNR_ST_FUELOIL_BP_E-36"/>
    <n v="791"/>
    <n v="0.79100000000000004"/>
  </r>
  <r>
    <x v="0"/>
    <x v="0"/>
    <x v="0"/>
    <x v="3"/>
    <x v="6"/>
    <s v="DE4-S_A"/>
    <x v="7"/>
    <x v="0"/>
    <x v="0"/>
    <s v="GNR_ST_FUELOIL_BP_E-38"/>
    <n v="70"/>
    <n v="7.0000000000000007E-2"/>
  </r>
  <r>
    <x v="0"/>
    <x v="0"/>
    <x v="0"/>
    <x v="3"/>
    <x v="6"/>
    <s v="DE4-S_A"/>
    <x v="7"/>
    <x v="2"/>
    <x v="0"/>
    <s v="GNR_CC_FUELOIL_CND_E-38"/>
    <n v="347"/>
    <n v="0.34699999999999998"/>
  </r>
  <r>
    <x v="0"/>
    <x v="0"/>
    <x v="0"/>
    <x v="3"/>
    <x v="6"/>
    <s v="DE4-S_A"/>
    <x v="7"/>
    <x v="2"/>
    <x v="0"/>
    <s v="GNR_GT_FUELOIL_CND_E-32"/>
    <n v="422.1"/>
    <n v="0.42209999999999998"/>
  </r>
  <r>
    <x v="0"/>
    <x v="0"/>
    <x v="0"/>
    <x v="3"/>
    <x v="6"/>
    <s v="DE4-S_A"/>
    <x v="7"/>
    <x v="2"/>
    <x v="0"/>
    <s v="GNR_GT_FUELOIL_CND_E-35"/>
    <n v="24"/>
    <n v="2.4E-2"/>
  </r>
  <r>
    <x v="0"/>
    <x v="0"/>
    <x v="0"/>
    <x v="3"/>
    <x v="6"/>
    <s v="DE4-S_A"/>
    <x v="7"/>
    <x v="2"/>
    <x v="0"/>
    <s v="GNR_ST_FUELOIL_CND_E-37"/>
    <n v="33.799999999999997"/>
    <n v="3.3799999999999997E-2"/>
  </r>
  <r>
    <x v="0"/>
    <x v="0"/>
    <x v="0"/>
    <x v="3"/>
    <x v="6"/>
    <s v="DE4-S_A"/>
    <x v="3"/>
    <x v="0"/>
    <x v="0"/>
    <s v="GNR_ST_MSW_BP_E-33"/>
    <n v="399.9"/>
    <n v="0.39989999999999998"/>
  </r>
  <r>
    <x v="0"/>
    <x v="0"/>
    <x v="0"/>
    <x v="3"/>
    <x v="6"/>
    <s v="DE4-S_A"/>
    <x v="3"/>
    <x v="2"/>
    <x v="0"/>
    <s v="GNR_ST_MSW_CND_E-33"/>
    <n v="40"/>
    <n v="0.04"/>
  </r>
  <r>
    <x v="0"/>
    <x v="0"/>
    <x v="0"/>
    <x v="3"/>
    <x v="6"/>
    <s v="DE4-S_A"/>
    <x v="4"/>
    <x v="0"/>
    <x v="0"/>
    <s v="GNR_CC_NGAS_BP_E-18"/>
    <n v="36"/>
    <n v="3.5999999999999997E-2"/>
  </r>
  <r>
    <x v="0"/>
    <x v="0"/>
    <x v="0"/>
    <x v="3"/>
    <x v="6"/>
    <s v="DE4-S_A"/>
    <x v="4"/>
    <x v="0"/>
    <x v="0"/>
    <s v="GNR_CC_NGAS_BP_E-53"/>
    <n v="3247.9"/>
    <n v="3.2479"/>
  </r>
  <r>
    <x v="0"/>
    <x v="0"/>
    <x v="0"/>
    <x v="3"/>
    <x v="6"/>
    <s v="DE4-S_A"/>
    <x v="4"/>
    <x v="0"/>
    <x v="0"/>
    <s v="GNR_ENG_NGAS_BP_E-46"/>
    <n v="33.1"/>
    <n v="3.3099999999999997E-2"/>
  </r>
  <r>
    <x v="0"/>
    <x v="0"/>
    <x v="0"/>
    <x v="3"/>
    <x v="6"/>
    <s v="DE4-S_A"/>
    <x v="4"/>
    <x v="0"/>
    <x v="0"/>
    <s v="GNR_GT_NGAS_BP_E-32"/>
    <n v="80"/>
    <n v="0.08"/>
  </r>
  <r>
    <x v="0"/>
    <x v="0"/>
    <x v="0"/>
    <x v="3"/>
    <x v="6"/>
    <s v="DE4-S_A"/>
    <x v="4"/>
    <x v="0"/>
    <x v="0"/>
    <s v="GNR_GT_NGAS_BP_E-37"/>
    <n v="178.8"/>
    <n v="0.17879999999999999"/>
  </r>
  <r>
    <x v="0"/>
    <x v="0"/>
    <x v="0"/>
    <x v="3"/>
    <x v="6"/>
    <s v="DE4-S_A"/>
    <x v="4"/>
    <x v="0"/>
    <x v="0"/>
    <s v="GNR_ST_NGAS_BP_E-38"/>
    <n v="986.2"/>
    <n v="0.98619999999999997"/>
  </r>
  <r>
    <x v="0"/>
    <x v="0"/>
    <x v="0"/>
    <x v="3"/>
    <x v="6"/>
    <s v="DE4-S_A"/>
    <x v="4"/>
    <x v="2"/>
    <x v="0"/>
    <s v="GNR_CC_NGAS_CND_E-43"/>
    <n v="823"/>
    <n v="0.82299999999999995"/>
  </r>
  <r>
    <x v="0"/>
    <x v="0"/>
    <x v="0"/>
    <x v="3"/>
    <x v="6"/>
    <s v="DE4-S_A"/>
    <x v="4"/>
    <x v="2"/>
    <x v="0"/>
    <s v="GNR_CC_NGAS_CND_E-57"/>
    <n v="1838.6"/>
    <n v="1.8386"/>
  </r>
  <r>
    <x v="0"/>
    <x v="0"/>
    <x v="0"/>
    <x v="3"/>
    <x v="6"/>
    <s v="DE4-S_A"/>
    <x v="4"/>
    <x v="2"/>
    <x v="0"/>
    <s v="GNR_GT_NGAS_CND_E-31"/>
    <n v="323"/>
    <n v="0.32300000000000001"/>
  </r>
  <r>
    <x v="0"/>
    <x v="0"/>
    <x v="0"/>
    <x v="3"/>
    <x v="6"/>
    <s v="DE4-S_A"/>
    <x v="4"/>
    <x v="2"/>
    <x v="0"/>
    <s v="GNR_ST_NGAS_CND_E-36"/>
    <n v="415"/>
    <n v="0.41499999999999998"/>
  </r>
  <r>
    <x v="0"/>
    <x v="0"/>
    <x v="0"/>
    <x v="3"/>
    <x v="6"/>
    <s v="DE4-S_A"/>
    <x v="18"/>
    <x v="2"/>
    <x v="0"/>
    <s v="GNR_ST_NUCL_CND_E-33"/>
    <n v="6694"/>
    <n v="6.694"/>
  </r>
  <r>
    <x v="0"/>
    <x v="0"/>
    <x v="0"/>
    <x v="3"/>
    <x v="6"/>
    <s v="DE4-S_A"/>
    <x v="8"/>
    <x v="3"/>
    <x v="0"/>
    <s v="GNR_PV_SUN"/>
    <n v="19416.080000000002"/>
    <n v="19.416080000000001"/>
  </r>
  <r>
    <x v="0"/>
    <x v="0"/>
    <x v="0"/>
    <x v="3"/>
    <x v="6"/>
    <s v="DE4-S_A"/>
    <x v="21"/>
    <x v="2"/>
    <x v="0"/>
    <s v="GNR_GEO_HEAT_EO"/>
    <n v="44.76"/>
    <n v="4.4760000000000001E-2"/>
  </r>
  <r>
    <x v="0"/>
    <x v="0"/>
    <x v="0"/>
    <x v="3"/>
    <x v="6"/>
    <s v="DE4-S_A"/>
    <x v="9"/>
    <x v="4"/>
    <x v="0"/>
    <s v="GNR_ROR_WTR"/>
    <n v="7926.79"/>
    <n v="7.9267899999999996"/>
  </r>
  <r>
    <x v="0"/>
    <x v="0"/>
    <x v="0"/>
    <x v="3"/>
    <x v="6"/>
    <s v="DE4-S_A"/>
    <x v="9"/>
    <x v="6"/>
    <x v="0"/>
    <s v="GNR_RES_WTR_NOPMP"/>
    <n v="124"/>
    <n v="0.124"/>
  </r>
  <r>
    <x v="0"/>
    <x v="0"/>
    <x v="0"/>
    <x v="3"/>
    <x v="6"/>
    <s v="DE4-S_A"/>
    <x v="10"/>
    <x v="5"/>
    <x v="0"/>
    <s v="GNR_WT_WIND_ONS"/>
    <n v="7404.07"/>
    <n v="7.4040699999999999"/>
  </r>
  <r>
    <x v="0"/>
    <x v="0"/>
    <x v="0"/>
    <x v="3"/>
    <x v="7"/>
    <s v="DE4-W_A"/>
    <x v="0"/>
    <x v="0"/>
    <x v="0"/>
    <s v="GNR_ENG_BGAS_BP_E-45"/>
    <n v="17.59"/>
    <n v="1.7590000000000001E-2"/>
  </r>
  <r>
    <x v="0"/>
    <x v="0"/>
    <x v="0"/>
    <x v="3"/>
    <x v="7"/>
    <s v="DE4-W_A"/>
    <x v="0"/>
    <x v="0"/>
    <x v="0"/>
    <s v="GNR_ST_BGAS_BP_E-33"/>
    <n v="33.4"/>
    <n v="3.3399999999999999E-2"/>
  </r>
  <r>
    <x v="0"/>
    <x v="0"/>
    <x v="0"/>
    <x v="3"/>
    <x v="7"/>
    <s v="DE4-W_A"/>
    <x v="0"/>
    <x v="0"/>
    <x v="0"/>
    <s v="GNR_ST_BGAS_BP_E-38"/>
    <n v="134.30000000000001"/>
    <n v="0.1343"/>
  </r>
  <r>
    <x v="0"/>
    <x v="0"/>
    <x v="0"/>
    <x v="3"/>
    <x v="7"/>
    <s v="DE4-W_A"/>
    <x v="0"/>
    <x v="2"/>
    <x v="0"/>
    <s v="GNR_ENG_BGAS_CND_E-44"/>
    <n v="2541.5"/>
    <n v="2.5415000000000001"/>
  </r>
  <r>
    <x v="0"/>
    <x v="0"/>
    <x v="0"/>
    <x v="3"/>
    <x v="7"/>
    <s v="DE4-W_A"/>
    <x v="0"/>
    <x v="2"/>
    <x v="0"/>
    <s v="GNR_ST_BGAS_CND_E-38"/>
    <n v="94.5"/>
    <n v="9.4500000000000001E-2"/>
  </r>
  <r>
    <x v="0"/>
    <x v="0"/>
    <x v="0"/>
    <x v="3"/>
    <x v="7"/>
    <s v="DE4-W_A"/>
    <x v="1"/>
    <x v="0"/>
    <x v="0"/>
    <s v="GNR_CC_COAL_BP_E-47"/>
    <n v="43.3"/>
    <n v="4.3299999999999998E-2"/>
  </r>
  <r>
    <x v="0"/>
    <x v="0"/>
    <x v="0"/>
    <x v="3"/>
    <x v="7"/>
    <s v="DE4-W_A"/>
    <x v="1"/>
    <x v="0"/>
    <x v="0"/>
    <s v="GNR_CC_COAL_BP_E-49"/>
    <n v="66"/>
    <n v="6.6000000000000003E-2"/>
  </r>
  <r>
    <x v="0"/>
    <x v="0"/>
    <x v="0"/>
    <x v="3"/>
    <x v="7"/>
    <s v="DE4-W_A"/>
    <x v="1"/>
    <x v="0"/>
    <x v="0"/>
    <s v="GNR_ST_COAL_BP_E-33"/>
    <n v="1849.4"/>
    <n v="1.8493999999999999"/>
  </r>
  <r>
    <x v="0"/>
    <x v="0"/>
    <x v="0"/>
    <x v="3"/>
    <x v="7"/>
    <s v="DE4-W_A"/>
    <x v="1"/>
    <x v="0"/>
    <x v="0"/>
    <s v="GNR_ST_COAL_BP_E-41"/>
    <n v="7679.5"/>
    <n v="7.6795"/>
  </r>
  <r>
    <x v="0"/>
    <x v="0"/>
    <x v="0"/>
    <x v="3"/>
    <x v="7"/>
    <s v="DE4-W_A"/>
    <x v="1"/>
    <x v="2"/>
    <x v="0"/>
    <s v="GNR_ST_COAL_CND_E-37"/>
    <n v="7106"/>
    <n v="7.1059999999999999"/>
  </r>
  <r>
    <x v="0"/>
    <x v="0"/>
    <x v="0"/>
    <x v="3"/>
    <x v="7"/>
    <s v="DE4-W_A"/>
    <x v="1"/>
    <x v="2"/>
    <x v="0"/>
    <s v="GNR_ST_COAL_CND_E-45"/>
    <n v="3449"/>
    <n v="3.4489999999999998"/>
  </r>
  <r>
    <x v="0"/>
    <x v="0"/>
    <x v="0"/>
    <x v="3"/>
    <x v="7"/>
    <s v="DE4-W_A"/>
    <x v="19"/>
    <x v="7"/>
    <x v="1"/>
    <s v="GNR_ES_ELEC_BAT-LITHIO_E-95_Y-16-29"/>
    <n v="307.87010337370299"/>
    <n v="0.30787010337370302"/>
  </r>
  <r>
    <x v="0"/>
    <x v="0"/>
    <x v="0"/>
    <x v="3"/>
    <x v="7"/>
    <s v="DE4-W_A"/>
    <x v="19"/>
    <x v="7"/>
    <x v="0"/>
    <s v="AGG-DE4-W_ES_ELEC"/>
    <n v="0.45"/>
    <n v="4.4999999999999999E-4"/>
  </r>
  <r>
    <x v="0"/>
    <x v="0"/>
    <x v="0"/>
    <x v="3"/>
    <x v="7"/>
    <s v="DE4-W_A"/>
    <x v="19"/>
    <x v="8"/>
    <x v="0"/>
    <s v="AGG-DE4-W_RES_WTR_PMP"/>
    <n v="1146"/>
    <n v="1.1459999999999999"/>
  </r>
  <r>
    <x v="0"/>
    <x v="0"/>
    <x v="0"/>
    <x v="3"/>
    <x v="7"/>
    <s v="DE4-W_A"/>
    <x v="7"/>
    <x v="0"/>
    <x v="0"/>
    <s v="GNR_CC_FUELOIL_BP_E-38"/>
    <n v="146.30000000000001"/>
    <n v="0.14630000000000001"/>
  </r>
  <r>
    <x v="0"/>
    <x v="0"/>
    <x v="0"/>
    <x v="3"/>
    <x v="7"/>
    <s v="DE4-W_A"/>
    <x v="7"/>
    <x v="2"/>
    <x v="0"/>
    <s v="GNR_CC_FUELOIL_CND_E-38"/>
    <n v="266"/>
    <n v="0.26600000000000001"/>
  </r>
  <r>
    <x v="0"/>
    <x v="0"/>
    <x v="0"/>
    <x v="3"/>
    <x v="7"/>
    <s v="DE4-W_A"/>
    <x v="7"/>
    <x v="2"/>
    <x v="0"/>
    <s v="GNR_GT_FUELOIL_CND_E-31"/>
    <n v="230.2"/>
    <n v="0.23019999999999999"/>
  </r>
  <r>
    <x v="0"/>
    <x v="0"/>
    <x v="0"/>
    <x v="3"/>
    <x v="7"/>
    <s v="DE4-W_A"/>
    <x v="7"/>
    <x v="2"/>
    <x v="0"/>
    <s v="GNR_ST_FUELOIL_CND_E-39"/>
    <n v="33.200000000000003"/>
    <n v="3.32E-2"/>
  </r>
  <r>
    <x v="0"/>
    <x v="0"/>
    <x v="0"/>
    <x v="3"/>
    <x v="7"/>
    <s v="DE4-W_A"/>
    <x v="20"/>
    <x v="0"/>
    <x v="0"/>
    <s v="GNR_ST_LIGN_BP_E-33"/>
    <n v="786.5"/>
    <n v="0.78649999999999998"/>
  </r>
  <r>
    <x v="0"/>
    <x v="0"/>
    <x v="0"/>
    <x v="3"/>
    <x v="7"/>
    <s v="DE4-W_A"/>
    <x v="20"/>
    <x v="0"/>
    <x v="0"/>
    <s v="GNR_ST_LIGN_BP_E-37"/>
    <n v="3286.7"/>
    <n v="3.2867000000000002"/>
  </r>
  <r>
    <x v="0"/>
    <x v="0"/>
    <x v="0"/>
    <x v="3"/>
    <x v="7"/>
    <s v="DE4-W_A"/>
    <x v="20"/>
    <x v="2"/>
    <x v="0"/>
    <s v="GNR_ST_LIGN_CND_E-32"/>
    <n v="4539"/>
    <n v="4.5389999999999997"/>
  </r>
  <r>
    <x v="0"/>
    <x v="0"/>
    <x v="0"/>
    <x v="3"/>
    <x v="7"/>
    <s v="DE4-W_A"/>
    <x v="20"/>
    <x v="2"/>
    <x v="0"/>
    <s v="GNR_ST_LIGN_CND_E-41"/>
    <n v="4030"/>
    <n v="4.03"/>
  </r>
  <r>
    <x v="0"/>
    <x v="0"/>
    <x v="0"/>
    <x v="3"/>
    <x v="7"/>
    <s v="DE4-W_A"/>
    <x v="3"/>
    <x v="0"/>
    <x v="0"/>
    <s v="GNR_ST_MSW_BP_E-33"/>
    <n v="579.1"/>
    <n v="0.57909999999999995"/>
  </r>
  <r>
    <x v="0"/>
    <x v="0"/>
    <x v="0"/>
    <x v="3"/>
    <x v="7"/>
    <s v="DE4-W_A"/>
    <x v="3"/>
    <x v="2"/>
    <x v="0"/>
    <s v="GNR_ST_MSW_CND_E-33"/>
    <n v="172.8"/>
    <n v="0.17280000000000001"/>
  </r>
  <r>
    <x v="0"/>
    <x v="0"/>
    <x v="0"/>
    <x v="3"/>
    <x v="7"/>
    <s v="DE4-W_A"/>
    <x v="4"/>
    <x v="0"/>
    <x v="0"/>
    <s v="GNR_CC_NGAS_BP_E-39"/>
    <n v="109.5"/>
    <n v="0.1095"/>
  </r>
  <r>
    <x v="0"/>
    <x v="0"/>
    <x v="0"/>
    <x v="3"/>
    <x v="7"/>
    <s v="DE4-W_A"/>
    <x v="4"/>
    <x v="0"/>
    <x v="0"/>
    <s v="GNR_CC_NGAS_BP_E-55"/>
    <n v="5421.2"/>
    <n v="5.4211999999999998"/>
  </r>
  <r>
    <x v="0"/>
    <x v="0"/>
    <x v="0"/>
    <x v="3"/>
    <x v="7"/>
    <s v="DE4-W_A"/>
    <x v="4"/>
    <x v="0"/>
    <x v="0"/>
    <s v="GNR_GT_NGAS_BP_E-31"/>
    <n v="104"/>
    <n v="0.104"/>
  </r>
  <r>
    <x v="0"/>
    <x v="0"/>
    <x v="0"/>
    <x v="3"/>
    <x v="7"/>
    <s v="DE4-W_A"/>
    <x v="4"/>
    <x v="0"/>
    <x v="0"/>
    <s v="GNR_GT_NGAS_BP_E-39"/>
    <n v="249.9"/>
    <n v="0.24990000000000001"/>
  </r>
  <r>
    <x v="0"/>
    <x v="0"/>
    <x v="0"/>
    <x v="3"/>
    <x v="7"/>
    <s v="DE4-W_A"/>
    <x v="4"/>
    <x v="0"/>
    <x v="0"/>
    <s v="GNR_ST_NGAS_BP_E-33"/>
    <n v="203.9"/>
    <n v="0.2039"/>
  </r>
  <r>
    <x v="0"/>
    <x v="0"/>
    <x v="0"/>
    <x v="3"/>
    <x v="7"/>
    <s v="DE4-W_A"/>
    <x v="4"/>
    <x v="0"/>
    <x v="0"/>
    <s v="GNR_ST_NGAS_BP_E-38"/>
    <n v="2148.3000000000002"/>
    <n v="2.1482999999999999"/>
  </r>
  <r>
    <x v="0"/>
    <x v="0"/>
    <x v="0"/>
    <x v="3"/>
    <x v="7"/>
    <s v="DE4-W_A"/>
    <x v="4"/>
    <x v="2"/>
    <x v="0"/>
    <s v="GNR_CC_NGAS_CND_E-42"/>
    <n v="1021.5"/>
    <n v="1.0215000000000001"/>
  </r>
  <r>
    <x v="0"/>
    <x v="0"/>
    <x v="0"/>
    <x v="3"/>
    <x v="7"/>
    <s v="DE4-W_A"/>
    <x v="4"/>
    <x v="2"/>
    <x v="0"/>
    <s v="GNR_CC_NGAS_CND_E-57"/>
    <n v="2929.5"/>
    <n v="2.9295"/>
  </r>
  <r>
    <x v="0"/>
    <x v="0"/>
    <x v="0"/>
    <x v="3"/>
    <x v="7"/>
    <s v="DE4-W_A"/>
    <x v="4"/>
    <x v="2"/>
    <x v="0"/>
    <s v="GNR_ENG_NGAS_CND_E-44"/>
    <n v="14"/>
    <n v="1.4E-2"/>
  </r>
  <r>
    <x v="0"/>
    <x v="0"/>
    <x v="0"/>
    <x v="3"/>
    <x v="7"/>
    <s v="DE4-W_A"/>
    <x v="4"/>
    <x v="2"/>
    <x v="0"/>
    <s v="GNR_GT_NGAS_CND_E-32"/>
    <n v="581.4"/>
    <n v="0.58140000000000003"/>
  </r>
  <r>
    <x v="0"/>
    <x v="0"/>
    <x v="0"/>
    <x v="3"/>
    <x v="7"/>
    <s v="DE4-W_A"/>
    <x v="4"/>
    <x v="2"/>
    <x v="0"/>
    <s v="GNR_GT_NGAS_CND_E-40"/>
    <n v="865"/>
    <n v="0.86499999999999999"/>
  </r>
  <r>
    <x v="0"/>
    <x v="0"/>
    <x v="0"/>
    <x v="3"/>
    <x v="7"/>
    <s v="DE4-W_A"/>
    <x v="4"/>
    <x v="2"/>
    <x v="0"/>
    <s v="GNR_ST_NGAS_CND_E-36"/>
    <n v="2176"/>
    <n v="2.1760000000000002"/>
  </r>
  <r>
    <x v="0"/>
    <x v="0"/>
    <x v="0"/>
    <x v="3"/>
    <x v="7"/>
    <s v="DE4-W_A"/>
    <x v="4"/>
    <x v="2"/>
    <x v="0"/>
    <s v="GNR_ST_NGAS_CND_E-39"/>
    <n v="39.799999999999997"/>
    <n v="3.9800000000000002E-2"/>
  </r>
  <r>
    <x v="0"/>
    <x v="0"/>
    <x v="0"/>
    <x v="3"/>
    <x v="7"/>
    <s v="DE4-W_A"/>
    <x v="18"/>
    <x v="2"/>
    <x v="0"/>
    <s v="GNR_ST_NUCL_CND_E-33"/>
    <n v="2696"/>
    <n v="2.6960000000000002"/>
  </r>
  <r>
    <x v="0"/>
    <x v="0"/>
    <x v="0"/>
    <x v="3"/>
    <x v="7"/>
    <s v="DE4-W_A"/>
    <x v="8"/>
    <x v="3"/>
    <x v="0"/>
    <s v="GNR_PV_SUN"/>
    <n v="9797.7800000000007"/>
    <n v="9.7977799999999995"/>
  </r>
  <r>
    <x v="0"/>
    <x v="0"/>
    <x v="0"/>
    <x v="3"/>
    <x v="7"/>
    <s v="DE4-W_A"/>
    <x v="9"/>
    <x v="4"/>
    <x v="0"/>
    <s v="GNR_ROR_WTR"/>
    <n v="361.5"/>
    <n v="0.36149999999999999"/>
  </r>
  <r>
    <x v="0"/>
    <x v="0"/>
    <x v="0"/>
    <x v="3"/>
    <x v="7"/>
    <s v="DE4-W_A"/>
    <x v="10"/>
    <x v="5"/>
    <x v="0"/>
    <s v="GNR_WT_WIND_ONS"/>
    <n v="17465.05"/>
    <n v="17.465050000000002"/>
  </r>
  <r>
    <x v="0"/>
    <x v="0"/>
    <x v="0"/>
    <x v="3"/>
    <x v="7"/>
    <s v="DE4-W_Offshore_A"/>
    <x v="10"/>
    <x v="5"/>
    <x v="0"/>
    <s v="GNR_WT_WIND_OFF"/>
    <n v="111"/>
    <n v="0.111"/>
  </r>
  <r>
    <x v="0"/>
    <x v="0"/>
    <x v="0"/>
    <x v="4"/>
    <x v="8"/>
    <s v="LV_Other_DH"/>
    <x v="0"/>
    <x v="0"/>
    <x v="0"/>
    <s v="GNR_GT_BGAS_BP_E-30"/>
    <n v="62"/>
    <n v="6.2E-2"/>
  </r>
  <r>
    <x v="0"/>
    <x v="0"/>
    <x v="0"/>
    <x v="4"/>
    <x v="8"/>
    <s v="LV_Other_DH"/>
    <x v="4"/>
    <x v="0"/>
    <x v="0"/>
    <s v="GNR_ST_NGAS_BP_E-28"/>
    <n v="120.09"/>
    <n v="0.12009"/>
  </r>
  <r>
    <x v="0"/>
    <x v="0"/>
    <x v="0"/>
    <x v="4"/>
    <x v="8"/>
    <s v="LV_Other_DH"/>
    <x v="9"/>
    <x v="6"/>
    <x v="0"/>
    <s v="GNR_RES_WTR_NOPMP"/>
    <n v="1214"/>
    <n v="1.214"/>
  </r>
  <r>
    <x v="0"/>
    <x v="0"/>
    <x v="0"/>
    <x v="4"/>
    <x v="8"/>
    <s v="LV_Other_DH"/>
    <x v="13"/>
    <x v="0"/>
    <x v="0"/>
    <s v="GNR_ST_WOOD_BP_E-30"/>
    <n v="54"/>
    <n v="5.3999999999999999E-2"/>
  </r>
  <r>
    <x v="0"/>
    <x v="0"/>
    <x v="0"/>
    <x v="4"/>
    <x v="8"/>
    <s v="LV_RigaR"/>
    <x v="4"/>
    <x v="0"/>
    <x v="0"/>
    <s v="GNR_ST_NGAS_BP_E-42"/>
    <n v="47.9"/>
    <n v="4.7899999999999998E-2"/>
  </r>
  <r>
    <x v="0"/>
    <x v="0"/>
    <x v="0"/>
    <x v="4"/>
    <x v="8"/>
    <s v="LV_RigaR"/>
    <x v="4"/>
    <x v="0"/>
    <x v="0"/>
    <s v="RIGA-TEC2_CC_NGAS_BP"/>
    <n v="144"/>
    <n v="0.14399999999999999"/>
  </r>
  <r>
    <x v="0"/>
    <x v="0"/>
    <x v="0"/>
    <x v="4"/>
    <x v="8"/>
    <s v="LV_RigaR"/>
    <x v="4"/>
    <x v="1"/>
    <x v="0"/>
    <s v="RIGA-TEC2_CC_NGAS_EXT"/>
    <n v="881"/>
    <n v="0.88100000000000001"/>
  </r>
  <r>
    <x v="0"/>
    <x v="0"/>
    <x v="0"/>
    <x v="4"/>
    <x v="8"/>
    <s v="LV_RigaR"/>
    <x v="9"/>
    <x v="6"/>
    <x v="0"/>
    <s v="GNR_RES_WTR_NOPMP"/>
    <n v="402"/>
    <n v="0.40200000000000002"/>
  </r>
  <r>
    <x v="0"/>
    <x v="0"/>
    <x v="0"/>
    <x v="4"/>
    <x v="8"/>
    <s v="LV_Rural"/>
    <x v="10"/>
    <x v="5"/>
    <x v="0"/>
    <s v="GNR_WT_WIND_ONS"/>
    <n v="60"/>
    <n v="0.06"/>
  </r>
  <r>
    <x v="0"/>
    <x v="0"/>
    <x v="0"/>
    <x v="5"/>
    <x v="9"/>
    <s v="LT_KauU"/>
    <x v="3"/>
    <x v="0"/>
    <x v="0"/>
    <s v="KAUNAS_ST_MSW_BP"/>
    <n v="24"/>
    <n v="2.4E-2"/>
  </r>
  <r>
    <x v="0"/>
    <x v="0"/>
    <x v="0"/>
    <x v="5"/>
    <x v="9"/>
    <s v="LT_KauU"/>
    <x v="4"/>
    <x v="1"/>
    <x v="0"/>
    <s v="GNR_ST_NGAS_EXT_E-24"/>
    <n v="60"/>
    <n v="0.06"/>
  </r>
  <r>
    <x v="0"/>
    <x v="0"/>
    <x v="0"/>
    <x v="5"/>
    <x v="9"/>
    <s v="LT_KauU"/>
    <x v="4"/>
    <x v="1"/>
    <x v="0"/>
    <s v="GNR_ST_NGAS_EXT_E-31"/>
    <n v="110"/>
    <n v="0.11"/>
  </r>
  <r>
    <x v="0"/>
    <x v="0"/>
    <x v="0"/>
    <x v="5"/>
    <x v="9"/>
    <s v="LT_KauU"/>
    <x v="9"/>
    <x v="4"/>
    <x v="0"/>
    <s v="GNR_ROR_WTR"/>
    <n v="127.8"/>
    <n v="0.1278"/>
  </r>
  <r>
    <x v="0"/>
    <x v="0"/>
    <x v="0"/>
    <x v="5"/>
    <x v="9"/>
    <s v="LT_KlaU"/>
    <x v="8"/>
    <x v="3"/>
    <x v="0"/>
    <s v="GNR_PV_SUN"/>
    <n v="80"/>
    <n v="0.08"/>
  </r>
  <r>
    <x v="0"/>
    <x v="0"/>
    <x v="0"/>
    <x v="5"/>
    <x v="9"/>
    <s v="LT_KlaU"/>
    <x v="13"/>
    <x v="0"/>
    <x v="0"/>
    <s v="KLAIPEDA_ST_WOOD_BP"/>
    <n v="20"/>
    <n v="0.02"/>
  </r>
  <r>
    <x v="0"/>
    <x v="0"/>
    <x v="0"/>
    <x v="5"/>
    <x v="9"/>
    <s v="LT_Other_DH"/>
    <x v="0"/>
    <x v="1"/>
    <x v="0"/>
    <s v="GNR_ENG_BGAS_EXT_E-33"/>
    <n v="39"/>
    <n v="3.9E-2"/>
  </r>
  <r>
    <x v="0"/>
    <x v="0"/>
    <x v="0"/>
    <x v="5"/>
    <x v="9"/>
    <s v="LT_Other_DH"/>
    <x v="7"/>
    <x v="1"/>
    <x v="0"/>
    <s v="GNR_ST_FUELOIL_EXT_E-22"/>
    <n v="160"/>
    <n v="0.16"/>
  </r>
  <r>
    <x v="0"/>
    <x v="0"/>
    <x v="0"/>
    <x v="5"/>
    <x v="9"/>
    <s v="LT_Other_DH"/>
    <x v="22"/>
    <x v="0"/>
    <x v="0"/>
    <s v="LIFOSA_ST_HEAT_BP"/>
    <n v="37"/>
    <n v="3.6999999999999998E-2"/>
  </r>
  <r>
    <x v="0"/>
    <x v="0"/>
    <x v="0"/>
    <x v="5"/>
    <x v="9"/>
    <s v="LT_Other_DH"/>
    <x v="4"/>
    <x v="0"/>
    <x v="0"/>
    <s v="ALYTUS_ENG_NGAS_BP"/>
    <n v="9.1999999999999993"/>
    <n v="9.1999999999999998E-3"/>
  </r>
  <r>
    <x v="0"/>
    <x v="0"/>
    <x v="0"/>
    <x v="5"/>
    <x v="9"/>
    <s v="LT_Other_DH"/>
    <x v="4"/>
    <x v="0"/>
    <x v="0"/>
    <s v="GNR_ST_GAS_BP-E15"/>
    <n v="20"/>
    <n v="0.02"/>
  </r>
  <r>
    <x v="0"/>
    <x v="0"/>
    <x v="0"/>
    <x v="5"/>
    <x v="9"/>
    <s v="LT_Other_DH"/>
    <x v="4"/>
    <x v="1"/>
    <x v="0"/>
    <s v="ACHEMA1_ST_NGAS_EXT"/>
    <n v="22"/>
    <n v="2.1999999999999999E-2"/>
  </r>
  <r>
    <x v="0"/>
    <x v="0"/>
    <x v="0"/>
    <x v="5"/>
    <x v="9"/>
    <s v="LT_Other_DH"/>
    <x v="4"/>
    <x v="1"/>
    <x v="0"/>
    <s v="ACHEMA2_ST_NGAS_EXT"/>
    <n v="47"/>
    <n v="4.7E-2"/>
  </r>
  <r>
    <x v="0"/>
    <x v="0"/>
    <x v="0"/>
    <x v="5"/>
    <x v="9"/>
    <s v="LT_Other_DH"/>
    <x v="4"/>
    <x v="1"/>
    <x v="0"/>
    <s v="GNR_ENG_NGAS_EXT_E-43"/>
    <n v="4"/>
    <n v="4.0000000000000001E-3"/>
  </r>
  <r>
    <x v="0"/>
    <x v="0"/>
    <x v="0"/>
    <x v="5"/>
    <x v="9"/>
    <s v="LT_Other_DH"/>
    <x v="14"/>
    <x v="0"/>
    <x v="0"/>
    <s v="EBAVERE_ST_WOODWST_BP"/>
    <n v="10.4"/>
    <n v="1.04E-2"/>
  </r>
  <r>
    <x v="0"/>
    <x v="0"/>
    <x v="0"/>
    <x v="5"/>
    <x v="9"/>
    <s v="LT_Panevezys"/>
    <x v="4"/>
    <x v="0"/>
    <x v="0"/>
    <s v="GNR_CC_NGAS_BP_E-42"/>
    <n v="35"/>
    <n v="3.5000000000000003E-2"/>
  </r>
  <r>
    <x v="0"/>
    <x v="0"/>
    <x v="0"/>
    <x v="5"/>
    <x v="9"/>
    <s v="LT_Panevezys"/>
    <x v="13"/>
    <x v="1"/>
    <x v="0"/>
    <s v="GNR_ST_WOOD_EXT_E-14"/>
    <n v="2.5"/>
    <n v="2.5000000000000001E-3"/>
  </r>
  <r>
    <x v="0"/>
    <x v="0"/>
    <x v="0"/>
    <x v="5"/>
    <x v="9"/>
    <s v="LT_Rural"/>
    <x v="10"/>
    <x v="5"/>
    <x v="0"/>
    <s v="GNR_WT_WIND_ONS"/>
    <n v="509"/>
    <n v="0.50900000000000001"/>
  </r>
  <r>
    <x v="0"/>
    <x v="0"/>
    <x v="0"/>
    <x v="5"/>
    <x v="9"/>
    <s v="LT_SiaU"/>
    <x v="13"/>
    <x v="0"/>
    <x v="0"/>
    <s v="SIAULIAI_ST_WOOD_BP"/>
    <n v="10.8"/>
    <n v="1.0800000000000001E-2"/>
  </r>
  <r>
    <x v="0"/>
    <x v="0"/>
    <x v="0"/>
    <x v="5"/>
    <x v="9"/>
    <s v="LT_VilU"/>
    <x v="3"/>
    <x v="0"/>
    <x v="0"/>
    <s v="VILNIUS_ST_MSW_BP"/>
    <n v="92"/>
    <n v="9.1999999999999998E-2"/>
  </r>
  <r>
    <x v="0"/>
    <x v="0"/>
    <x v="0"/>
    <x v="5"/>
    <x v="9"/>
    <s v="LT_VilU"/>
    <x v="4"/>
    <x v="2"/>
    <x v="0"/>
    <s v="GNR_CC_NGAS_CND_E-58"/>
    <n v="455"/>
    <n v="0.45500000000000002"/>
  </r>
  <r>
    <x v="0"/>
    <x v="0"/>
    <x v="0"/>
    <x v="5"/>
    <x v="9"/>
    <s v="LT_VilU"/>
    <x v="4"/>
    <x v="2"/>
    <x v="0"/>
    <s v="GNR_ST_NGAS_CON_E-38"/>
    <n v="600"/>
    <n v="0.6"/>
  </r>
  <r>
    <x v="0"/>
    <x v="0"/>
    <x v="0"/>
    <x v="5"/>
    <x v="9"/>
    <s v="LT_VilU"/>
    <x v="4"/>
    <x v="1"/>
    <x v="0"/>
    <s v="GNR_ST_NGAS_EXT_E-39"/>
    <n v="360"/>
    <n v="0.36"/>
  </r>
  <r>
    <x v="0"/>
    <x v="0"/>
    <x v="0"/>
    <x v="5"/>
    <x v="9"/>
    <s v="LT_VilU"/>
    <x v="9"/>
    <x v="8"/>
    <x v="0"/>
    <s v="GNR_ES_WTR_PMP"/>
    <n v="95.744680851063805"/>
    <n v="9.5744680851063801E-2"/>
  </r>
  <r>
    <x v="0"/>
    <x v="0"/>
    <x v="0"/>
    <x v="5"/>
    <x v="9"/>
    <s v="LT_VilU"/>
    <x v="13"/>
    <x v="0"/>
    <x v="0"/>
    <s v="VILNIUS_ST_WOOD_BP"/>
    <n v="15"/>
    <n v="1.4999999999999999E-2"/>
  </r>
  <r>
    <x v="0"/>
    <x v="0"/>
    <x v="0"/>
    <x v="6"/>
    <x v="10"/>
    <s v="NL_A"/>
    <x v="1"/>
    <x v="2"/>
    <x v="0"/>
    <s v="GNR_ST_COAL_CND_E-40"/>
    <n v="4875"/>
    <n v="4.875"/>
  </r>
  <r>
    <x v="0"/>
    <x v="0"/>
    <x v="0"/>
    <x v="6"/>
    <x v="10"/>
    <s v="NL_A"/>
    <x v="3"/>
    <x v="2"/>
    <x v="0"/>
    <s v="GNR_ST_MSW_CND_E-40"/>
    <n v="684"/>
    <n v="0.68400000000000005"/>
  </r>
  <r>
    <x v="0"/>
    <x v="0"/>
    <x v="0"/>
    <x v="6"/>
    <x v="10"/>
    <s v="NL_A"/>
    <x v="4"/>
    <x v="2"/>
    <x v="0"/>
    <s v="GNR_CC_NGAS_CND_E-38"/>
    <n v="20969"/>
    <n v="20.969000000000001"/>
  </r>
  <r>
    <x v="0"/>
    <x v="0"/>
    <x v="0"/>
    <x v="6"/>
    <x v="10"/>
    <s v="NL_A"/>
    <x v="18"/>
    <x v="2"/>
    <x v="0"/>
    <s v="GNR_ST_NUCL_CND_E-33"/>
    <n v="515"/>
    <n v="0.51500000000000001"/>
  </r>
  <r>
    <x v="0"/>
    <x v="0"/>
    <x v="0"/>
    <x v="6"/>
    <x v="10"/>
    <s v="NL_A"/>
    <x v="8"/>
    <x v="3"/>
    <x v="0"/>
    <s v="GNR_PV_SUN"/>
    <n v="760"/>
    <n v="0.76"/>
  </r>
  <r>
    <x v="0"/>
    <x v="0"/>
    <x v="0"/>
    <x v="6"/>
    <x v="10"/>
    <s v="NL_A"/>
    <x v="9"/>
    <x v="4"/>
    <x v="0"/>
    <s v="GNR_ROR_WTR"/>
    <n v="38"/>
    <n v="3.7999999999999999E-2"/>
  </r>
  <r>
    <x v="0"/>
    <x v="0"/>
    <x v="0"/>
    <x v="6"/>
    <x v="10"/>
    <s v="NL_A"/>
    <x v="10"/>
    <x v="5"/>
    <x v="0"/>
    <s v="GNR_WT_WIND_OFF"/>
    <n v="247"/>
    <n v="0.247"/>
  </r>
  <r>
    <x v="0"/>
    <x v="0"/>
    <x v="0"/>
    <x v="6"/>
    <x v="10"/>
    <s v="NL_A"/>
    <x v="10"/>
    <x v="5"/>
    <x v="0"/>
    <s v="GNR_WT_WIND_ONS"/>
    <n v="2466"/>
    <n v="2.4660000000000002"/>
  </r>
  <r>
    <x v="0"/>
    <x v="0"/>
    <x v="0"/>
    <x v="6"/>
    <x v="10"/>
    <s v="NL_A"/>
    <x v="13"/>
    <x v="2"/>
    <x v="0"/>
    <s v="GNR_ST_WOOD_CND_E-50"/>
    <n v="400"/>
    <n v="0.4"/>
  </r>
  <r>
    <x v="0"/>
    <x v="0"/>
    <x v="0"/>
    <x v="7"/>
    <x v="11"/>
    <s v="NO1_A1"/>
    <x v="3"/>
    <x v="0"/>
    <x v="0"/>
    <s v="GBPR_MUNIWASTE"/>
    <n v="8.1999999999999993"/>
    <n v="8.2000000000000007E-3"/>
  </r>
  <r>
    <x v="0"/>
    <x v="0"/>
    <x v="0"/>
    <x v="7"/>
    <x v="11"/>
    <s v="NO1_A1"/>
    <x v="9"/>
    <x v="4"/>
    <x v="0"/>
    <s v="GNR_ROR_WTR"/>
    <n v="1968.9754"/>
    <n v="1.9689753999999999"/>
  </r>
  <r>
    <x v="0"/>
    <x v="0"/>
    <x v="0"/>
    <x v="7"/>
    <x v="11"/>
    <s v="NO1_A1"/>
    <x v="9"/>
    <x v="6"/>
    <x v="0"/>
    <s v="GNR_RES_WTR_NOPMP_MC-01"/>
    <n v="160"/>
    <n v="0.16"/>
  </r>
  <r>
    <x v="0"/>
    <x v="0"/>
    <x v="0"/>
    <x v="7"/>
    <x v="11"/>
    <s v="NO1_A1"/>
    <x v="9"/>
    <x v="6"/>
    <x v="0"/>
    <s v="GNR_RES_WTR_NOPMP_MC-02"/>
    <n v="160"/>
    <n v="0.16"/>
  </r>
  <r>
    <x v="0"/>
    <x v="0"/>
    <x v="0"/>
    <x v="7"/>
    <x v="11"/>
    <s v="NO1_A1"/>
    <x v="9"/>
    <x v="6"/>
    <x v="0"/>
    <s v="GNR_RES_WTR_NOPMP_MC-03"/>
    <n v="160"/>
    <n v="0.16"/>
  </r>
  <r>
    <x v="0"/>
    <x v="0"/>
    <x v="0"/>
    <x v="7"/>
    <x v="11"/>
    <s v="NO1_A1"/>
    <x v="9"/>
    <x v="6"/>
    <x v="0"/>
    <s v="GNR_RES_WTR_NOPMP_MC-04"/>
    <n v="160"/>
    <n v="0.16"/>
  </r>
  <r>
    <x v="0"/>
    <x v="0"/>
    <x v="0"/>
    <x v="7"/>
    <x v="11"/>
    <s v="NO1_A1"/>
    <x v="9"/>
    <x v="6"/>
    <x v="0"/>
    <s v="GNR_RES_WTR_NOPMP_MC-05"/>
    <n v="160"/>
    <n v="0.16"/>
  </r>
  <r>
    <x v="0"/>
    <x v="0"/>
    <x v="0"/>
    <x v="7"/>
    <x v="11"/>
    <s v="NO1_A1"/>
    <x v="9"/>
    <x v="6"/>
    <x v="0"/>
    <s v="GNR_RES_WTR_NOPMP_MC-06"/>
    <n v="160"/>
    <n v="0.16"/>
  </r>
  <r>
    <x v="0"/>
    <x v="0"/>
    <x v="0"/>
    <x v="7"/>
    <x v="11"/>
    <s v="NO1_A1"/>
    <x v="9"/>
    <x v="6"/>
    <x v="0"/>
    <s v="GNR_RES_WTR_NOPMP_MC-07"/>
    <n v="160"/>
    <n v="0.16"/>
  </r>
  <r>
    <x v="0"/>
    <x v="0"/>
    <x v="0"/>
    <x v="7"/>
    <x v="11"/>
    <s v="NO1_A1"/>
    <x v="9"/>
    <x v="6"/>
    <x v="0"/>
    <s v="GNR_RES_WTR_NOPMP_MC-08"/>
    <n v="160"/>
    <n v="0.16"/>
  </r>
  <r>
    <x v="0"/>
    <x v="0"/>
    <x v="0"/>
    <x v="7"/>
    <x v="11"/>
    <s v="NO1_A1"/>
    <x v="9"/>
    <x v="6"/>
    <x v="0"/>
    <s v="GNR_RES_WTR_NOPMP_MC-09"/>
    <n v="160"/>
    <n v="0.16"/>
  </r>
  <r>
    <x v="0"/>
    <x v="0"/>
    <x v="0"/>
    <x v="7"/>
    <x v="11"/>
    <s v="NO1_A1"/>
    <x v="9"/>
    <x v="6"/>
    <x v="0"/>
    <s v="GNR_RES_WTR_NOPMP_MC-10"/>
    <n v="160"/>
    <n v="0.16"/>
  </r>
  <r>
    <x v="0"/>
    <x v="0"/>
    <x v="0"/>
    <x v="7"/>
    <x v="11"/>
    <s v="NO1_A2"/>
    <x v="3"/>
    <x v="0"/>
    <x v="0"/>
    <s v="GBPR_MUNIWASTE"/>
    <n v="11.0933333333332"/>
    <n v="1.10933333333332E-2"/>
  </r>
  <r>
    <x v="0"/>
    <x v="0"/>
    <x v="0"/>
    <x v="7"/>
    <x v="12"/>
    <s v="NO2_A1"/>
    <x v="3"/>
    <x v="0"/>
    <x v="0"/>
    <s v="GBPR_MUNIWASTE"/>
    <n v="10.8"/>
    <n v="1.0800000000000001E-2"/>
  </r>
  <r>
    <x v="0"/>
    <x v="0"/>
    <x v="0"/>
    <x v="7"/>
    <x v="12"/>
    <s v="NO2_A1"/>
    <x v="9"/>
    <x v="4"/>
    <x v="0"/>
    <s v="GNR_ROR_WTR"/>
    <n v="1959.0650424563401"/>
    <n v="1.9590650424563401"/>
  </r>
  <r>
    <x v="0"/>
    <x v="0"/>
    <x v="0"/>
    <x v="7"/>
    <x v="12"/>
    <s v="NO2_A1"/>
    <x v="9"/>
    <x v="6"/>
    <x v="0"/>
    <s v="GNR_RES_WTR_NOPMP_MC-01"/>
    <n v="367.19205575436598"/>
    <n v="0.36719205575436598"/>
  </r>
  <r>
    <x v="0"/>
    <x v="0"/>
    <x v="0"/>
    <x v="7"/>
    <x v="12"/>
    <s v="NO2_A1"/>
    <x v="9"/>
    <x v="6"/>
    <x v="0"/>
    <s v="GNR_RES_WTR_NOPMP_MC-02"/>
    <n v="887.19205575436604"/>
    <n v="0.88719205575436599"/>
  </r>
  <r>
    <x v="0"/>
    <x v="0"/>
    <x v="0"/>
    <x v="7"/>
    <x v="12"/>
    <s v="NO2_A1"/>
    <x v="9"/>
    <x v="6"/>
    <x v="0"/>
    <s v="GNR_RES_WTR_NOPMP_MC-03"/>
    <n v="887.19205575436604"/>
    <n v="0.88719205575436599"/>
  </r>
  <r>
    <x v="0"/>
    <x v="0"/>
    <x v="0"/>
    <x v="7"/>
    <x v="12"/>
    <s v="NO2_A1"/>
    <x v="9"/>
    <x v="6"/>
    <x v="0"/>
    <s v="GNR_RES_WTR_NOPMP_MC-04"/>
    <n v="887.19205575436604"/>
    <n v="0.88719205575436599"/>
  </r>
  <r>
    <x v="0"/>
    <x v="0"/>
    <x v="0"/>
    <x v="7"/>
    <x v="12"/>
    <s v="NO2_A1"/>
    <x v="9"/>
    <x v="6"/>
    <x v="0"/>
    <s v="GNR_RES_WTR_NOPMP_MC-05"/>
    <n v="887.19205575436604"/>
    <n v="0.88719205575436599"/>
  </r>
  <r>
    <x v="0"/>
    <x v="0"/>
    <x v="0"/>
    <x v="7"/>
    <x v="12"/>
    <s v="NO2_A1"/>
    <x v="9"/>
    <x v="6"/>
    <x v="0"/>
    <s v="GNR_RES_WTR_NOPMP_MC-06"/>
    <n v="887.19205575436604"/>
    <n v="0.88719205575436599"/>
  </r>
  <r>
    <x v="0"/>
    <x v="0"/>
    <x v="0"/>
    <x v="7"/>
    <x v="12"/>
    <s v="NO2_A1"/>
    <x v="9"/>
    <x v="6"/>
    <x v="0"/>
    <s v="GNR_RES_WTR_NOPMP_MC-07"/>
    <n v="887.19205575436604"/>
    <n v="0.88719205575436599"/>
  </r>
  <r>
    <x v="0"/>
    <x v="0"/>
    <x v="0"/>
    <x v="7"/>
    <x v="12"/>
    <s v="NO2_A1"/>
    <x v="9"/>
    <x v="6"/>
    <x v="0"/>
    <s v="GNR_RES_WTR_NOPMP_MC-08"/>
    <n v="887.19205575436604"/>
    <n v="0.88719205575436599"/>
  </r>
  <r>
    <x v="0"/>
    <x v="0"/>
    <x v="0"/>
    <x v="7"/>
    <x v="12"/>
    <s v="NO2_A1"/>
    <x v="9"/>
    <x v="6"/>
    <x v="0"/>
    <s v="GNR_RES_WTR_NOPMP_MC-09"/>
    <n v="887.19205575436604"/>
    <n v="0.88719205575436599"/>
  </r>
  <r>
    <x v="0"/>
    <x v="0"/>
    <x v="0"/>
    <x v="7"/>
    <x v="12"/>
    <s v="NO2_A1"/>
    <x v="9"/>
    <x v="6"/>
    <x v="0"/>
    <s v="GNR_RES_WTR_NOPMP_MC-10"/>
    <n v="887.19205575436604"/>
    <n v="0.88719205575436599"/>
  </r>
  <r>
    <x v="0"/>
    <x v="0"/>
    <x v="0"/>
    <x v="7"/>
    <x v="12"/>
    <s v="NO2_A1"/>
    <x v="9"/>
    <x v="6"/>
    <x v="0"/>
    <s v="GNR_RES_WTR_PMP_MC-01"/>
    <n v="520"/>
    <n v="0.52"/>
  </r>
  <r>
    <x v="0"/>
    <x v="0"/>
    <x v="0"/>
    <x v="7"/>
    <x v="12"/>
    <s v="NO2_A1"/>
    <x v="10"/>
    <x v="5"/>
    <x v="0"/>
    <s v="GNR_WT_WIND_ONS"/>
    <n v="536.15"/>
    <n v="0.53615000000000002"/>
  </r>
  <r>
    <x v="0"/>
    <x v="0"/>
    <x v="0"/>
    <x v="7"/>
    <x v="13"/>
    <s v="NO3_A1"/>
    <x v="3"/>
    <x v="0"/>
    <x v="0"/>
    <s v="GBPR_MUNIWASTE"/>
    <n v="4.29"/>
    <n v="4.2900000000000004E-3"/>
  </r>
  <r>
    <x v="0"/>
    <x v="0"/>
    <x v="0"/>
    <x v="7"/>
    <x v="13"/>
    <s v="NO3_A1"/>
    <x v="4"/>
    <x v="2"/>
    <x v="0"/>
    <s v="GCND_NATGAS4"/>
    <n v="300"/>
    <n v="0.3"/>
  </r>
  <r>
    <x v="0"/>
    <x v="0"/>
    <x v="0"/>
    <x v="7"/>
    <x v="13"/>
    <s v="NO3_A1"/>
    <x v="9"/>
    <x v="4"/>
    <x v="0"/>
    <s v="GNR_ROR_WTR"/>
    <n v="1564.9305633965"/>
    <n v="1.5649305633965001"/>
  </r>
  <r>
    <x v="0"/>
    <x v="0"/>
    <x v="0"/>
    <x v="7"/>
    <x v="13"/>
    <s v="NO3_A1"/>
    <x v="9"/>
    <x v="6"/>
    <x v="0"/>
    <s v="GNR_RES_WTR_NOPMP_MC-01"/>
    <n v="221.84651366034899"/>
    <n v="0.22184651366034899"/>
  </r>
  <r>
    <x v="0"/>
    <x v="0"/>
    <x v="0"/>
    <x v="7"/>
    <x v="13"/>
    <s v="NO3_A1"/>
    <x v="9"/>
    <x v="6"/>
    <x v="0"/>
    <s v="GNR_RES_WTR_NOPMP_MC-02"/>
    <n v="282.146513660349"/>
    <n v="0.28214651366034899"/>
  </r>
  <r>
    <x v="0"/>
    <x v="0"/>
    <x v="0"/>
    <x v="7"/>
    <x v="13"/>
    <s v="NO3_A1"/>
    <x v="9"/>
    <x v="6"/>
    <x v="0"/>
    <s v="GNR_RES_WTR_NOPMP_MC-03"/>
    <n v="282.146513660349"/>
    <n v="0.28214651366034899"/>
  </r>
  <r>
    <x v="0"/>
    <x v="0"/>
    <x v="0"/>
    <x v="7"/>
    <x v="13"/>
    <s v="NO3_A1"/>
    <x v="9"/>
    <x v="6"/>
    <x v="0"/>
    <s v="GNR_RES_WTR_NOPMP_MC-04"/>
    <n v="282.146513660349"/>
    <n v="0.28214651366034899"/>
  </r>
  <r>
    <x v="0"/>
    <x v="0"/>
    <x v="0"/>
    <x v="7"/>
    <x v="13"/>
    <s v="NO3_A1"/>
    <x v="9"/>
    <x v="6"/>
    <x v="0"/>
    <s v="GNR_RES_WTR_NOPMP_MC-05"/>
    <n v="282.146513660349"/>
    <n v="0.28214651366034899"/>
  </r>
  <r>
    <x v="0"/>
    <x v="0"/>
    <x v="0"/>
    <x v="7"/>
    <x v="13"/>
    <s v="NO3_A1"/>
    <x v="9"/>
    <x v="6"/>
    <x v="0"/>
    <s v="GNR_RES_WTR_NOPMP_MC-06"/>
    <n v="282.146513660349"/>
    <n v="0.28214651366034899"/>
  </r>
  <r>
    <x v="0"/>
    <x v="0"/>
    <x v="0"/>
    <x v="7"/>
    <x v="13"/>
    <s v="NO3_A1"/>
    <x v="9"/>
    <x v="6"/>
    <x v="0"/>
    <s v="GNR_RES_WTR_NOPMP_MC-07"/>
    <n v="282.146513660349"/>
    <n v="0.28214651366034899"/>
  </r>
  <r>
    <x v="0"/>
    <x v="0"/>
    <x v="0"/>
    <x v="7"/>
    <x v="13"/>
    <s v="NO3_A1"/>
    <x v="9"/>
    <x v="6"/>
    <x v="0"/>
    <s v="GNR_RES_WTR_NOPMP_MC-08"/>
    <n v="282.146513660349"/>
    <n v="0.28214651366034899"/>
  </r>
  <r>
    <x v="0"/>
    <x v="0"/>
    <x v="0"/>
    <x v="7"/>
    <x v="13"/>
    <s v="NO3_A1"/>
    <x v="9"/>
    <x v="6"/>
    <x v="0"/>
    <s v="GNR_RES_WTR_NOPMP_MC-09"/>
    <n v="282.146513660349"/>
    <n v="0.28214651366034899"/>
  </r>
  <r>
    <x v="0"/>
    <x v="0"/>
    <x v="0"/>
    <x v="7"/>
    <x v="13"/>
    <s v="NO3_A1"/>
    <x v="9"/>
    <x v="6"/>
    <x v="0"/>
    <s v="GNR_RES_WTR_NOPMP_MC-10"/>
    <n v="282.146513660349"/>
    <n v="0.28214651366034899"/>
  </r>
  <r>
    <x v="0"/>
    <x v="0"/>
    <x v="0"/>
    <x v="7"/>
    <x v="13"/>
    <s v="NO3_A1"/>
    <x v="9"/>
    <x v="6"/>
    <x v="0"/>
    <s v="GNR_RES_WTR_PMP_MC-01"/>
    <n v="60.3"/>
    <n v="6.0299999999999999E-2"/>
  </r>
  <r>
    <x v="0"/>
    <x v="0"/>
    <x v="0"/>
    <x v="7"/>
    <x v="13"/>
    <s v="NO3_A1"/>
    <x v="10"/>
    <x v="5"/>
    <x v="0"/>
    <s v="GNR_WT_WIND_ONS"/>
    <n v="360.45"/>
    <n v="0.36044999999999999"/>
  </r>
  <r>
    <x v="0"/>
    <x v="0"/>
    <x v="0"/>
    <x v="7"/>
    <x v="14"/>
    <s v="NO4_A1"/>
    <x v="3"/>
    <x v="0"/>
    <x v="0"/>
    <s v="GBPR_MUNIWASTE"/>
    <n v="0.16800000000000001"/>
    <n v="1.6799999999999999E-4"/>
  </r>
  <r>
    <x v="0"/>
    <x v="0"/>
    <x v="0"/>
    <x v="7"/>
    <x v="14"/>
    <s v="NO4_A1"/>
    <x v="9"/>
    <x v="4"/>
    <x v="0"/>
    <s v="GNR_ROR_WTR"/>
    <n v="835.590232199924"/>
    <n v="0.83559023219992401"/>
  </r>
  <r>
    <x v="0"/>
    <x v="0"/>
    <x v="0"/>
    <x v="7"/>
    <x v="14"/>
    <s v="NO4_A1"/>
    <x v="9"/>
    <x v="6"/>
    <x v="0"/>
    <s v="GNR_RES_WTR_NOPMP_MC-01"/>
    <n v="419.56363678000798"/>
    <n v="0.41956363678000802"/>
  </r>
  <r>
    <x v="0"/>
    <x v="0"/>
    <x v="0"/>
    <x v="7"/>
    <x v="14"/>
    <s v="NO4_A1"/>
    <x v="9"/>
    <x v="6"/>
    <x v="0"/>
    <s v="GNR_RES_WTR_NOPMP_MC-02"/>
    <n v="419.56363678000798"/>
    <n v="0.41956363678000802"/>
  </r>
  <r>
    <x v="0"/>
    <x v="0"/>
    <x v="0"/>
    <x v="7"/>
    <x v="14"/>
    <s v="NO4_A1"/>
    <x v="9"/>
    <x v="6"/>
    <x v="0"/>
    <s v="GNR_RES_WTR_NOPMP_MC-03"/>
    <n v="419.56363678000798"/>
    <n v="0.41956363678000802"/>
  </r>
  <r>
    <x v="0"/>
    <x v="0"/>
    <x v="0"/>
    <x v="7"/>
    <x v="14"/>
    <s v="NO4_A1"/>
    <x v="9"/>
    <x v="6"/>
    <x v="0"/>
    <s v="GNR_RES_WTR_NOPMP_MC-04"/>
    <n v="419.56363678000798"/>
    <n v="0.41956363678000802"/>
  </r>
  <r>
    <x v="0"/>
    <x v="0"/>
    <x v="0"/>
    <x v="7"/>
    <x v="14"/>
    <s v="NO4_A1"/>
    <x v="9"/>
    <x v="6"/>
    <x v="0"/>
    <s v="GNR_RES_WTR_NOPMP_MC-05"/>
    <n v="419.56363678000798"/>
    <n v="0.41956363678000802"/>
  </r>
  <r>
    <x v="0"/>
    <x v="0"/>
    <x v="0"/>
    <x v="7"/>
    <x v="14"/>
    <s v="NO4_A1"/>
    <x v="9"/>
    <x v="6"/>
    <x v="0"/>
    <s v="GNR_RES_WTR_NOPMP_MC-06"/>
    <n v="419.56363678000798"/>
    <n v="0.41956363678000802"/>
  </r>
  <r>
    <x v="0"/>
    <x v="0"/>
    <x v="0"/>
    <x v="7"/>
    <x v="14"/>
    <s v="NO4_A1"/>
    <x v="9"/>
    <x v="6"/>
    <x v="0"/>
    <s v="GNR_RES_WTR_NOPMP_MC-07"/>
    <n v="419.56363678000798"/>
    <n v="0.41956363678000802"/>
  </r>
  <r>
    <x v="0"/>
    <x v="0"/>
    <x v="0"/>
    <x v="7"/>
    <x v="14"/>
    <s v="NO4_A1"/>
    <x v="9"/>
    <x v="6"/>
    <x v="0"/>
    <s v="GNR_RES_WTR_NOPMP_MC-08"/>
    <n v="419.56363678000798"/>
    <n v="0.41956363678000802"/>
  </r>
  <r>
    <x v="0"/>
    <x v="0"/>
    <x v="0"/>
    <x v="7"/>
    <x v="14"/>
    <s v="NO4_A1"/>
    <x v="9"/>
    <x v="6"/>
    <x v="0"/>
    <s v="GNR_RES_WTR_NOPMP_MC-09"/>
    <n v="419.56363678000798"/>
    <n v="0.41956363678000802"/>
  </r>
  <r>
    <x v="0"/>
    <x v="0"/>
    <x v="0"/>
    <x v="7"/>
    <x v="14"/>
    <s v="NO4_A1"/>
    <x v="9"/>
    <x v="6"/>
    <x v="0"/>
    <s v="GNR_RES_WTR_NOPMP_MC-10"/>
    <n v="419.56363678000798"/>
    <n v="0.41956363678000802"/>
  </r>
  <r>
    <x v="0"/>
    <x v="0"/>
    <x v="0"/>
    <x v="7"/>
    <x v="14"/>
    <s v="NO4_A1"/>
    <x v="10"/>
    <x v="5"/>
    <x v="0"/>
    <s v="GNR_WT_WIND_ONS"/>
    <n v="262.8"/>
    <n v="0.26279999999999998"/>
  </r>
  <r>
    <x v="0"/>
    <x v="0"/>
    <x v="0"/>
    <x v="7"/>
    <x v="15"/>
    <s v="NO5_A1"/>
    <x v="3"/>
    <x v="0"/>
    <x v="0"/>
    <s v="GBPR_MUNIWASTE"/>
    <n v="8"/>
    <n v="8.0000000000000002E-3"/>
  </r>
  <r>
    <x v="0"/>
    <x v="0"/>
    <x v="0"/>
    <x v="7"/>
    <x v="15"/>
    <s v="NO5_A1"/>
    <x v="9"/>
    <x v="4"/>
    <x v="0"/>
    <s v="GNR_ROR_WTR"/>
    <n v="1785.2504811408401"/>
    <n v="1.7852504811408401"/>
  </r>
  <r>
    <x v="0"/>
    <x v="0"/>
    <x v="0"/>
    <x v="7"/>
    <x v="15"/>
    <s v="NO5_A1"/>
    <x v="9"/>
    <x v="6"/>
    <x v="0"/>
    <s v="GNR_RES_WTR_NOPMP_MC-01"/>
    <n v="154.193241885916"/>
    <n v="0.15419324188591599"/>
  </r>
  <r>
    <x v="0"/>
    <x v="0"/>
    <x v="0"/>
    <x v="7"/>
    <x v="15"/>
    <s v="NO5_A1"/>
    <x v="9"/>
    <x v="6"/>
    <x v="0"/>
    <s v="GNR_RES_WTR_NOPMP_MC-02"/>
    <n v="598.193241885916"/>
    <n v="0.59819324188591605"/>
  </r>
  <r>
    <x v="0"/>
    <x v="0"/>
    <x v="0"/>
    <x v="7"/>
    <x v="15"/>
    <s v="NO5_A1"/>
    <x v="9"/>
    <x v="6"/>
    <x v="0"/>
    <s v="GNR_RES_WTR_NOPMP_MC-03"/>
    <n v="598.193241885916"/>
    <n v="0.59819324188591605"/>
  </r>
  <r>
    <x v="0"/>
    <x v="0"/>
    <x v="0"/>
    <x v="7"/>
    <x v="15"/>
    <s v="NO5_A1"/>
    <x v="9"/>
    <x v="6"/>
    <x v="0"/>
    <s v="GNR_RES_WTR_NOPMP_MC-04"/>
    <n v="598.193241885916"/>
    <n v="0.59819324188591605"/>
  </r>
  <r>
    <x v="0"/>
    <x v="0"/>
    <x v="0"/>
    <x v="7"/>
    <x v="15"/>
    <s v="NO5_A1"/>
    <x v="9"/>
    <x v="6"/>
    <x v="0"/>
    <s v="GNR_RES_WTR_NOPMP_MC-05"/>
    <n v="598.193241885916"/>
    <n v="0.59819324188591605"/>
  </r>
  <r>
    <x v="0"/>
    <x v="0"/>
    <x v="0"/>
    <x v="7"/>
    <x v="15"/>
    <s v="NO5_A1"/>
    <x v="9"/>
    <x v="6"/>
    <x v="0"/>
    <s v="GNR_RES_WTR_NOPMP_MC-06"/>
    <n v="598.193241885916"/>
    <n v="0.59819324188591605"/>
  </r>
  <r>
    <x v="0"/>
    <x v="0"/>
    <x v="0"/>
    <x v="7"/>
    <x v="15"/>
    <s v="NO5_A1"/>
    <x v="9"/>
    <x v="6"/>
    <x v="0"/>
    <s v="GNR_RES_WTR_NOPMP_MC-07"/>
    <n v="598.193241885916"/>
    <n v="0.59819324188591605"/>
  </r>
  <r>
    <x v="0"/>
    <x v="0"/>
    <x v="0"/>
    <x v="7"/>
    <x v="15"/>
    <s v="NO5_A1"/>
    <x v="9"/>
    <x v="6"/>
    <x v="0"/>
    <s v="GNR_RES_WTR_NOPMP_MC-08"/>
    <n v="598.193241885916"/>
    <n v="0.59819324188591605"/>
  </r>
  <r>
    <x v="0"/>
    <x v="0"/>
    <x v="0"/>
    <x v="7"/>
    <x v="15"/>
    <s v="NO5_A1"/>
    <x v="9"/>
    <x v="6"/>
    <x v="0"/>
    <s v="GNR_RES_WTR_NOPMP_MC-09"/>
    <n v="598.193241885916"/>
    <n v="0.59819324188591605"/>
  </r>
  <r>
    <x v="0"/>
    <x v="0"/>
    <x v="0"/>
    <x v="7"/>
    <x v="15"/>
    <s v="NO5_A1"/>
    <x v="9"/>
    <x v="6"/>
    <x v="0"/>
    <s v="GNR_RES_WTR_NOPMP_MC-10"/>
    <n v="598.193241885916"/>
    <n v="0.59819324188591605"/>
  </r>
  <r>
    <x v="0"/>
    <x v="0"/>
    <x v="0"/>
    <x v="7"/>
    <x v="15"/>
    <s v="NO5_A1"/>
    <x v="9"/>
    <x v="6"/>
    <x v="0"/>
    <s v="GNR_RES_WTR_PMP_MC-01"/>
    <n v="444"/>
    <n v="0.44400000000000001"/>
  </r>
  <r>
    <x v="0"/>
    <x v="0"/>
    <x v="0"/>
    <x v="8"/>
    <x v="16"/>
    <s v="PL_A"/>
    <x v="0"/>
    <x v="2"/>
    <x v="0"/>
    <s v="GNR_ST_BGAS_CND_E-37"/>
    <n v="364"/>
    <n v="0.36399999999999999"/>
  </r>
  <r>
    <x v="0"/>
    <x v="0"/>
    <x v="0"/>
    <x v="8"/>
    <x v="16"/>
    <s v="PL_A"/>
    <x v="1"/>
    <x v="0"/>
    <x v="0"/>
    <s v="BIEL-4_ST_COAL_BP"/>
    <n v="48"/>
    <n v="4.8000000000000001E-2"/>
  </r>
  <r>
    <x v="0"/>
    <x v="0"/>
    <x v="0"/>
    <x v="8"/>
    <x v="16"/>
    <s v="PL_A"/>
    <x v="1"/>
    <x v="0"/>
    <x v="0"/>
    <s v="CHOR2-1_ST_COAL_BP"/>
    <n v="272"/>
    <n v="0.27200000000000002"/>
  </r>
  <r>
    <x v="0"/>
    <x v="0"/>
    <x v="0"/>
    <x v="8"/>
    <x v="16"/>
    <s v="PL_A"/>
    <x v="1"/>
    <x v="0"/>
    <x v="0"/>
    <s v="GDAN2-1_ST_COAL_BP"/>
    <n v="737"/>
    <n v="0.73699999999999999"/>
  </r>
  <r>
    <x v="0"/>
    <x v="0"/>
    <x v="0"/>
    <x v="8"/>
    <x v="16"/>
    <s v="PL_A"/>
    <x v="1"/>
    <x v="0"/>
    <x v="0"/>
    <s v="GNR_ST_COAL_BP_E-15"/>
    <n v="680"/>
    <n v="0.68"/>
  </r>
  <r>
    <x v="0"/>
    <x v="0"/>
    <x v="0"/>
    <x v="8"/>
    <x v="16"/>
    <s v="PL_A"/>
    <x v="1"/>
    <x v="0"/>
    <x v="0"/>
    <s v="JAWO2-1_ST_COAL_BP"/>
    <n v="2171"/>
    <n v="2.1709999999999998"/>
  </r>
  <r>
    <x v="0"/>
    <x v="0"/>
    <x v="0"/>
    <x v="8"/>
    <x v="16"/>
    <s v="PL_A"/>
    <x v="1"/>
    <x v="0"/>
    <x v="0"/>
    <s v="KARO-2_ST_COAL_BP"/>
    <n v="198"/>
    <n v="0.19800000000000001"/>
  </r>
  <r>
    <x v="0"/>
    <x v="0"/>
    <x v="0"/>
    <x v="8"/>
    <x v="16"/>
    <s v="PL_A"/>
    <x v="1"/>
    <x v="0"/>
    <x v="0"/>
    <s v="KATO_ST_COAL_BP"/>
    <n v="123"/>
    <n v="0.123"/>
  </r>
  <r>
    <x v="0"/>
    <x v="0"/>
    <x v="0"/>
    <x v="8"/>
    <x v="16"/>
    <s v="PL_A"/>
    <x v="1"/>
    <x v="0"/>
    <x v="0"/>
    <s v="KRLEG-1_ST_COAL_BP"/>
    <n v="215"/>
    <n v="0.215"/>
  </r>
  <r>
    <x v="0"/>
    <x v="0"/>
    <x v="0"/>
    <x v="8"/>
    <x v="16"/>
    <s v="PL_A"/>
    <x v="1"/>
    <x v="0"/>
    <x v="0"/>
    <s v="SIEK-1_ST_COAL_BP"/>
    <n v="312"/>
    <n v="0.312"/>
  </r>
  <r>
    <x v="0"/>
    <x v="0"/>
    <x v="0"/>
    <x v="8"/>
    <x v="16"/>
    <s v="PL_A"/>
    <x v="1"/>
    <x v="0"/>
    <x v="0"/>
    <s v="SIER-1_ST_COAL_BP"/>
    <n v="623"/>
    <n v="0.623"/>
  </r>
  <r>
    <x v="0"/>
    <x v="0"/>
    <x v="0"/>
    <x v="8"/>
    <x v="16"/>
    <s v="PL_A"/>
    <x v="1"/>
    <x v="0"/>
    <x v="0"/>
    <s v="SKAW-1_ST_COAL_BP"/>
    <n v="777"/>
    <n v="0.77700000000000002"/>
  </r>
  <r>
    <x v="0"/>
    <x v="0"/>
    <x v="0"/>
    <x v="8"/>
    <x v="16"/>
    <s v="PL_A"/>
    <x v="1"/>
    <x v="0"/>
    <x v="0"/>
    <s v="TYCH_ST_COAL_BP"/>
    <n v="36"/>
    <n v="3.5999999999999997E-2"/>
  </r>
  <r>
    <x v="0"/>
    <x v="0"/>
    <x v="0"/>
    <x v="8"/>
    <x v="16"/>
    <s v="PL_A"/>
    <x v="1"/>
    <x v="0"/>
    <x v="0"/>
    <s v="ZABR-3_ST_COAL_BP"/>
    <n v="10"/>
    <n v="0.01"/>
  </r>
  <r>
    <x v="0"/>
    <x v="0"/>
    <x v="0"/>
    <x v="8"/>
    <x v="16"/>
    <s v="PL_A"/>
    <x v="1"/>
    <x v="0"/>
    <x v="0"/>
    <s v="ZIEL-2_ST_COAL_BP"/>
    <n v="11"/>
    <n v="1.0999999999999999E-2"/>
  </r>
  <r>
    <x v="0"/>
    <x v="0"/>
    <x v="0"/>
    <x v="8"/>
    <x v="16"/>
    <s v="PL_A"/>
    <x v="1"/>
    <x v="0"/>
    <x v="0"/>
    <s v="ZIEL-4_ST_COAL_BP"/>
    <n v="60"/>
    <n v="0.06"/>
  </r>
  <r>
    <x v="0"/>
    <x v="0"/>
    <x v="0"/>
    <x v="8"/>
    <x v="16"/>
    <s v="PL_A"/>
    <x v="1"/>
    <x v="2"/>
    <x v="0"/>
    <s v="BIAL-4_ST_COAL_CND"/>
    <n v="21"/>
    <n v="2.1000000000000001E-2"/>
  </r>
  <r>
    <x v="0"/>
    <x v="0"/>
    <x v="0"/>
    <x v="8"/>
    <x v="16"/>
    <s v="PL_A"/>
    <x v="1"/>
    <x v="1"/>
    <x v="0"/>
    <s v="CORZ-3_ST_COAL_EXT"/>
    <n v="30"/>
    <n v="0.03"/>
  </r>
  <r>
    <x v="0"/>
    <x v="0"/>
    <x v="0"/>
    <x v="8"/>
    <x v="16"/>
    <s v="PL_A"/>
    <x v="1"/>
    <x v="1"/>
    <x v="0"/>
    <s v="CZEC-1_ST_COAL_EXT"/>
    <n v="327"/>
    <n v="0.32700000000000001"/>
  </r>
  <r>
    <x v="0"/>
    <x v="0"/>
    <x v="0"/>
    <x v="8"/>
    <x v="16"/>
    <s v="PL_A"/>
    <x v="1"/>
    <x v="1"/>
    <x v="0"/>
    <s v="DOLN-1_ST_COAL_EXT"/>
    <n v="204"/>
    <n v="0.20399999999999999"/>
  </r>
  <r>
    <x v="0"/>
    <x v="0"/>
    <x v="0"/>
    <x v="8"/>
    <x v="16"/>
    <s v="PL_A"/>
    <x v="1"/>
    <x v="1"/>
    <x v="0"/>
    <s v="KARO-1_ST_COAL_EXT"/>
    <n v="48"/>
    <n v="4.8000000000000001E-2"/>
  </r>
  <r>
    <x v="0"/>
    <x v="0"/>
    <x v="0"/>
    <x v="8"/>
    <x v="16"/>
    <s v="PL_A"/>
    <x v="1"/>
    <x v="1"/>
    <x v="0"/>
    <s v="KOZI-1_ST_COAL_EXT"/>
    <n v="200"/>
    <n v="0.2"/>
  </r>
  <r>
    <x v="0"/>
    <x v="0"/>
    <x v="0"/>
    <x v="8"/>
    <x v="16"/>
    <s v="PL_A"/>
    <x v="1"/>
    <x v="1"/>
    <x v="0"/>
    <s v="KRLEG-3_ST_COAL_EXT"/>
    <n v="191"/>
    <n v="0.191"/>
  </r>
  <r>
    <x v="0"/>
    <x v="0"/>
    <x v="0"/>
    <x v="8"/>
    <x v="16"/>
    <s v="PL_A"/>
    <x v="1"/>
    <x v="1"/>
    <x v="0"/>
    <s v="LAZI-1_ST_COAL_EXT"/>
    <n v="115"/>
    <n v="0.115"/>
  </r>
  <r>
    <x v="0"/>
    <x v="0"/>
    <x v="0"/>
    <x v="8"/>
    <x v="16"/>
    <s v="PL_A"/>
    <x v="1"/>
    <x v="1"/>
    <x v="0"/>
    <s v="MIEC_ST_COAL_EXT"/>
    <n v="48"/>
    <n v="4.8000000000000001E-2"/>
  </r>
  <r>
    <x v="0"/>
    <x v="0"/>
    <x v="0"/>
    <x v="8"/>
    <x v="16"/>
    <s v="PL_A"/>
    <x v="1"/>
    <x v="1"/>
    <x v="0"/>
    <s v="RYBN-1_ST_COAL_EXT"/>
    <n v="206"/>
    <n v="0.20599999999999999"/>
  </r>
  <r>
    <x v="0"/>
    <x v="0"/>
    <x v="0"/>
    <x v="8"/>
    <x v="16"/>
    <s v="PL_A"/>
    <x v="1"/>
    <x v="1"/>
    <x v="0"/>
    <s v="SIEK-1_ST_COAL_EXT"/>
    <n v="45"/>
    <n v="4.4999999999999998E-2"/>
  </r>
  <r>
    <x v="0"/>
    <x v="0"/>
    <x v="0"/>
    <x v="8"/>
    <x v="16"/>
    <s v="PL_A"/>
    <x v="1"/>
    <x v="1"/>
    <x v="0"/>
    <s v="SIEK-8_ST_COAL_EXT"/>
    <n v="191"/>
    <n v="0.191"/>
  </r>
  <r>
    <x v="0"/>
    <x v="0"/>
    <x v="0"/>
    <x v="8"/>
    <x v="16"/>
    <s v="PL_A"/>
    <x v="1"/>
    <x v="1"/>
    <x v="0"/>
    <s v="ZABR-1_ST_COAL_EXT"/>
    <n v="28"/>
    <n v="2.8000000000000001E-2"/>
  </r>
  <r>
    <x v="0"/>
    <x v="0"/>
    <x v="0"/>
    <x v="8"/>
    <x v="16"/>
    <s v="PL_A"/>
    <x v="1"/>
    <x v="1"/>
    <x v="0"/>
    <s v="ZABR-2_ST_COAL_EXT"/>
    <n v="30"/>
    <n v="0.03"/>
  </r>
  <r>
    <x v="0"/>
    <x v="0"/>
    <x v="0"/>
    <x v="8"/>
    <x v="16"/>
    <s v="PL_A"/>
    <x v="1"/>
    <x v="1"/>
    <x v="0"/>
    <s v="ZERA-7_ST_COAL_EXT"/>
    <n v="84"/>
    <n v="8.4000000000000005E-2"/>
  </r>
  <r>
    <x v="0"/>
    <x v="0"/>
    <x v="0"/>
    <x v="8"/>
    <x v="16"/>
    <s v="PL_A"/>
    <x v="1"/>
    <x v="1"/>
    <x v="0"/>
    <s v="ZERA-8_ST_COAL_EXT"/>
    <n v="84"/>
    <n v="8.4000000000000005E-2"/>
  </r>
  <r>
    <x v="0"/>
    <x v="0"/>
    <x v="0"/>
    <x v="8"/>
    <x v="16"/>
    <s v="PL_A"/>
    <x v="7"/>
    <x v="0"/>
    <x v="0"/>
    <s v="GNR_ST_FUELOIL_BP_E-15"/>
    <n v="220"/>
    <n v="0.22"/>
  </r>
  <r>
    <x v="0"/>
    <x v="0"/>
    <x v="0"/>
    <x v="8"/>
    <x v="16"/>
    <s v="PL_A"/>
    <x v="20"/>
    <x v="1"/>
    <x v="0"/>
    <s v="ADAM-1_ST_LIGNITE_EXT"/>
    <n v="109"/>
    <n v="0.109"/>
  </r>
  <r>
    <x v="0"/>
    <x v="0"/>
    <x v="0"/>
    <x v="8"/>
    <x v="16"/>
    <s v="PL_A"/>
    <x v="20"/>
    <x v="1"/>
    <x v="0"/>
    <s v="BELC-1_ST_LIGNITE_EXT"/>
    <n v="342"/>
    <n v="0.34200000000000003"/>
  </r>
  <r>
    <x v="0"/>
    <x v="0"/>
    <x v="0"/>
    <x v="8"/>
    <x v="16"/>
    <s v="PL_A"/>
    <x v="3"/>
    <x v="1"/>
    <x v="0"/>
    <s v="GNR_ST_MSW_BP_E-15"/>
    <n v="34"/>
    <n v="3.4000000000000002E-2"/>
  </r>
  <r>
    <x v="0"/>
    <x v="0"/>
    <x v="0"/>
    <x v="8"/>
    <x v="16"/>
    <s v="PL_A"/>
    <x v="4"/>
    <x v="0"/>
    <x v="0"/>
    <s v="GORZ-4_ST_NGAS_BP"/>
    <n v="52"/>
    <n v="5.1999999999999998E-2"/>
  </r>
  <r>
    <x v="0"/>
    <x v="0"/>
    <x v="0"/>
    <x v="8"/>
    <x v="16"/>
    <s v="PL_A"/>
    <x v="4"/>
    <x v="0"/>
    <x v="0"/>
    <s v="NOWA-1_ST_NGAS_BP"/>
    <n v="127"/>
    <n v="0.127"/>
  </r>
  <r>
    <x v="0"/>
    <x v="0"/>
    <x v="0"/>
    <x v="8"/>
    <x v="16"/>
    <s v="PL_A"/>
    <x v="4"/>
    <x v="0"/>
    <x v="0"/>
    <s v="RZES-2_ST_NGAS_BP"/>
    <n v="32"/>
    <n v="3.2000000000000001E-2"/>
  </r>
  <r>
    <x v="0"/>
    <x v="0"/>
    <x v="0"/>
    <x v="8"/>
    <x v="16"/>
    <s v="PL_A"/>
    <x v="4"/>
    <x v="0"/>
    <x v="0"/>
    <s v="ZIEL-1_ST_NGAS_BP"/>
    <n v="10"/>
    <n v="0.01"/>
  </r>
  <r>
    <x v="0"/>
    <x v="0"/>
    <x v="0"/>
    <x v="8"/>
    <x v="16"/>
    <s v="PL_A"/>
    <x v="4"/>
    <x v="0"/>
    <x v="0"/>
    <s v="ZIEL-3_ST_NGAS_BP"/>
    <n v="120"/>
    <n v="0.12"/>
  </r>
  <r>
    <x v="0"/>
    <x v="0"/>
    <x v="0"/>
    <x v="8"/>
    <x v="16"/>
    <s v="PL_A"/>
    <x v="4"/>
    <x v="1"/>
    <x v="0"/>
    <s v="GNR_ST_NGAS_BP_E-15"/>
    <n v="142"/>
    <n v="0.14199999999999999"/>
  </r>
  <r>
    <x v="0"/>
    <x v="0"/>
    <x v="0"/>
    <x v="8"/>
    <x v="16"/>
    <s v="PL_A"/>
    <x v="5"/>
    <x v="0"/>
    <x v="0"/>
    <s v="BIAL-1_ST_STRAW_BP"/>
    <n v="128"/>
    <n v="0.128"/>
  </r>
  <r>
    <x v="0"/>
    <x v="0"/>
    <x v="0"/>
    <x v="8"/>
    <x v="16"/>
    <s v="PL_A"/>
    <x v="5"/>
    <x v="0"/>
    <x v="0"/>
    <s v="GNR_ST_STRAW_BP_E-15"/>
    <n v="82"/>
    <n v="8.2000000000000003E-2"/>
  </r>
  <r>
    <x v="0"/>
    <x v="0"/>
    <x v="0"/>
    <x v="8"/>
    <x v="16"/>
    <s v="PL_A"/>
    <x v="5"/>
    <x v="1"/>
    <x v="0"/>
    <s v="LODZ-3_ST_STRAW_EXT"/>
    <n v="88"/>
    <n v="8.7999999999999995E-2"/>
  </r>
  <r>
    <x v="0"/>
    <x v="0"/>
    <x v="0"/>
    <x v="8"/>
    <x v="16"/>
    <s v="PL_A"/>
    <x v="8"/>
    <x v="3"/>
    <x v="0"/>
    <s v="GNR_PV_SUN"/>
    <n v="1"/>
    <n v="1E-3"/>
  </r>
  <r>
    <x v="0"/>
    <x v="0"/>
    <x v="0"/>
    <x v="8"/>
    <x v="16"/>
    <s v="PL_A"/>
    <x v="9"/>
    <x v="8"/>
    <x v="0"/>
    <s v="GNR_ES_WTR_PMP"/>
    <n v="17.659574468085101"/>
    <n v="1.7659574468085099E-2"/>
  </r>
  <r>
    <x v="0"/>
    <x v="0"/>
    <x v="0"/>
    <x v="8"/>
    <x v="16"/>
    <s v="PL_A"/>
    <x v="10"/>
    <x v="5"/>
    <x v="0"/>
    <s v="GNR_WT_WIND_ONS"/>
    <n v="3030"/>
    <n v="3.03"/>
  </r>
  <r>
    <x v="0"/>
    <x v="0"/>
    <x v="0"/>
    <x v="8"/>
    <x v="16"/>
    <s v="PL_A"/>
    <x v="13"/>
    <x v="1"/>
    <x v="0"/>
    <s v="GNR_ST_WOOD_EXT_E-45"/>
    <n v="1180"/>
    <n v="1.18"/>
  </r>
  <r>
    <x v="0"/>
    <x v="0"/>
    <x v="0"/>
    <x v="8"/>
    <x v="16"/>
    <s v="PL_Rural"/>
    <x v="1"/>
    <x v="0"/>
    <x v="0"/>
    <s v="SZCZ-1_ST_COAL_BP"/>
    <n v="55"/>
    <n v="5.5E-2"/>
  </r>
  <r>
    <x v="0"/>
    <x v="0"/>
    <x v="0"/>
    <x v="8"/>
    <x v="16"/>
    <s v="PL_Rural"/>
    <x v="1"/>
    <x v="0"/>
    <x v="0"/>
    <s v="TURO-1_ST_COAL_BP"/>
    <n v="1362"/>
    <n v="1.3620000000000001"/>
  </r>
  <r>
    <x v="0"/>
    <x v="0"/>
    <x v="0"/>
    <x v="8"/>
    <x v="16"/>
    <s v="PL_Rural"/>
    <x v="1"/>
    <x v="2"/>
    <x v="0"/>
    <s v="DOLN-2_ST_COAL_CND"/>
    <n v="1425"/>
    <n v="1.425"/>
  </r>
  <r>
    <x v="0"/>
    <x v="0"/>
    <x v="0"/>
    <x v="8"/>
    <x v="16"/>
    <s v="PL_Rural"/>
    <x v="1"/>
    <x v="2"/>
    <x v="0"/>
    <s v="KOZI-2_ST_COAL_CND"/>
    <n v="2475"/>
    <n v="2.4750000000000001"/>
  </r>
  <r>
    <x v="0"/>
    <x v="0"/>
    <x v="0"/>
    <x v="8"/>
    <x v="16"/>
    <s v="PL_Rural"/>
    <x v="1"/>
    <x v="2"/>
    <x v="0"/>
    <s v="LAGI-6_ST_COAL_CND"/>
    <n v="427"/>
    <n v="0.42699999999999999"/>
  </r>
  <r>
    <x v="0"/>
    <x v="0"/>
    <x v="0"/>
    <x v="8"/>
    <x v="16"/>
    <s v="PL_Rural"/>
    <x v="1"/>
    <x v="2"/>
    <x v="0"/>
    <s v="LAZI-2_ST_COAL_CND"/>
    <n v="938"/>
    <n v="0.93799999999999994"/>
  </r>
  <r>
    <x v="0"/>
    <x v="0"/>
    <x v="0"/>
    <x v="8"/>
    <x v="16"/>
    <s v="PL_Rural"/>
    <x v="1"/>
    <x v="2"/>
    <x v="0"/>
    <s v="OPOL-1_ST_COAL_CND"/>
    <n v="1420"/>
    <n v="1.42"/>
  </r>
  <r>
    <x v="0"/>
    <x v="0"/>
    <x v="0"/>
    <x v="8"/>
    <x v="16"/>
    <s v="PL_Rural"/>
    <x v="1"/>
    <x v="2"/>
    <x v="0"/>
    <s v="OSTRB-1_ST_COAL_CND"/>
    <n v="688"/>
    <n v="0.68799999999999994"/>
  </r>
  <r>
    <x v="0"/>
    <x v="0"/>
    <x v="0"/>
    <x v="8"/>
    <x v="16"/>
    <s v="PL_Rural"/>
    <x v="1"/>
    <x v="2"/>
    <x v="0"/>
    <s v="POLA-2_ST_COAL_CND"/>
    <n v="1656"/>
    <n v="1.6559999999999999"/>
  </r>
  <r>
    <x v="0"/>
    <x v="0"/>
    <x v="0"/>
    <x v="8"/>
    <x v="16"/>
    <s v="PL_Rural"/>
    <x v="1"/>
    <x v="2"/>
    <x v="0"/>
    <s v="RYBN-2_ST_COAL_CND"/>
    <n v="2651"/>
    <n v="2.6509999999999998"/>
  </r>
  <r>
    <x v="0"/>
    <x v="0"/>
    <x v="0"/>
    <x v="8"/>
    <x v="16"/>
    <s v="PL_Rural"/>
    <x v="20"/>
    <x v="2"/>
    <x v="0"/>
    <s v="ADAM-2_ST_LIGNITE_CON"/>
    <n v="610"/>
    <n v="0.61"/>
  </r>
  <r>
    <x v="0"/>
    <x v="0"/>
    <x v="0"/>
    <x v="8"/>
    <x v="16"/>
    <s v="PL_Rural"/>
    <x v="20"/>
    <x v="2"/>
    <x v="0"/>
    <s v="BELC-2_ST_LIGNITE_CON"/>
    <n v="3852"/>
    <n v="3.8519999999999999"/>
  </r>
  <r>
    <x v="0"/>
    <x v="0"/>
    <x v="0"/>
    <x v="8"/>
    <x v="16"/>
    <s v="PL_Rural"/>
    <x v="20"/>
    <x v="2"/>
    <x v="0"/>
    <s v="PATN2-1_ST_LIGNITE_CON"/>
    <n v="441"/>
    <n v="0.441"/>
  </r>
  <r>
    <x v="0"/>
    <x v="0"/>
    <x v="0"/>
    <x v="8"/>
    <x v="16"/>
    <s v="PL_Rural"/>
    <x v="9"/>
    <x v="4"/>
    <x v="0"/>
    <s v="GNR_ROR_WTR"/>
    <n v="953"/>
    <n v="0.95299999999999996"/>
  </r>
  <r>
    <x v="0"/>
    <x v="0"/>
    <x v="0"/>
    <x v="9"/>
    <x v="17"/>
    <s v="SE1A"/>
    <x v="7"/>
    <x v="0"/>
    <x v="0"/>
    <s v="GBPR_IND_FOSSILE"/>
    <n v="100"/>
    <n v="0.1"/>
  </r>
  <r>
    <x v="0"/>
    <x v="0"/>
    <x v="0"/>
    <x v="9"/>
    <x v="17"/>
    <s v="SE1A"/>
    <x v="7"/>
    <x v="2"/>
    <x v="0"/>
    <s v="Back-up-power"/>
    <n v="100000"/>
    <n v="100"/>
  </r>
  <r>
    <x v="0"/>
    <x v="0"/>
    <x v="0"/>
    <x v="9"/>
    <x v="17"/>
    <s v="SE1A"/>
    <x v="7"/>
    <x v="2"/>
    <x v="0"/>
    <s v="GCND_FUELOIL1"/>
    <n v="17.682881861104701"/>
    <n v="1.7682881861104699E-2"/>
  </r>
  <r>
    <x v="0"/>
    <x v="0"/>
    <x v="0"/>
    <x v="9"/>
    <x v="17"/>
    <s v="SE1A"/>
    <x v="7"/>
    <x v="2"/>
    <x v="0"/>
    <s v="GCND_FUELOIL2"/>
    <n v="17.682881861104701"/>
    <n v="1.7682881861104699E-2"/>
  </r>
  <r>
    <x v="0"/>
    <x v="0"/>
    <x v="0"/>
    <x v="9"/>
    <x v="17"/>
    <s v="SE1A"/>
    <x v="7"/>
    <x v="2"/>
    <x v="0"/>
    <s v="GCND_FUELOIL3"/>
    <n v="17.682881861104701"/>
    <n v="1.7682881861104699E-2"/>
  </r>
  <r>
    <x v="0"/>
    <x v="0"/>
    <x v="0"/>
    <x v="9"/>
    <x v="17"/>
    <s v="SE1A"/>
    <x v="9"/>
    <x v="4"/>
    <x v="0"/>
    <s v="GNR_ROR_WTR"/>
    <n v="1200"/>
    <n v="1.2"/>
  </r>
  <r>
    <x v="0"/>
    <x v="0"/>
    <x v="0"/>
    <x v="9"/>
    <x v="17"/>
    <s v="SE1A"/>
    <x v="9"/>
    <x v="6"/>
    <x v="0"/>
    <s v="GNR_RES_WTR_NOPMP_MC-01"/>
    <n v="405.5"/>
    <n v="0.40550000000000003"/>
  </r>
  <r>
    <x v="0"/>
    <x v="0"/>
    <x v="0"/>
    <x v="9"/>
    <x v="17"/>
    <s v="SE1A"/>
    <x v="9"/>
    <x v="6"/>
    <x v="0"/>
    <s v="GNR_RES_WTR_NOPMP_MC-02"/>
    <n v="405.5"/>
    <n v="0.40550000000000003"/>
  </r>
  <r>
    <x v="0"/>
    <x v="0"/>
    <x v="0"/>
    <x v="9"/>
    <x v="17"/>
    <s v="SE1A"/>
    <x v="9"/>
    <x v="6"/>
    <x v="0"/>
    <s v="GNR_RES_WTR_NOPMP_MC-03"/>
    <n v="405.5"/>
    <n v="0.40550000000000003"/>
  </r>
  <r>
    <x v="0"/>
    <x v="0"/>
    <x v="0"/>
    <x v="9"/>
    <x v="17"/>
    <s v="SE1A"/>
    <x v="9"/>
    <x v="6"/>
    <x v="0"/>
    <s v="GNR_RES_WTR_NOPMP_MC-04"/>
    <n v="405.5"/>
    <n v="0.40550000000000003"/>
  </r>
  <r>
    <x v="0"/>
    <x v="0"/>
    <x v="0"/>
    <x v="9"/>
    <x v="17"/>
    <s v="SE1A"/>
    <x v="9"/>
    <x v="6"/>
    <x v="0"/>
    <s v="GNR_RES_WTR_NOPMP_MC-05"/>
    <n v="405.5"/>
    <n v="0.40550000000000003"/>
  </r>
  <r>
    <x v="0"/>
    <x v="0"/>
    <x v="0"/>
    <x v="9"/>
    <x v="17"/>
    <s v="SE1A"/>
    <x v="9"/>
    <x v="6"/>
    <x v="0"/>
    <s v="GNR_RES_WTR_NOPMP_MC-06"/>
    <n v="405.5"/>
    <n v="0.40550000000000003"/>
  </r>
  <r>
    <x v="0"/>
    <x v="0"/>
    <x v="0"/>
    <x v="9"/>
    <x v="17"/>
    <s v="SE1A"/>
    <x v="9"/>
    <x v="6"/>
    <x v="0"/>
    <s v="GNR_RES_WTR_NOPMP_MC-07"/>
    <n v="405.5"/>
    <n v="0.40550000000000003"/>
  </r>
  <r>
    <x v="0"/>
    <x v="0"/>
    <x v="0"/>
    <x v="9"/>
    <x v="17"/>
    <s v="SE1A"/>
    <x v="9"/>
    <x v="6"/>
    <x v="0"/>
    <s v="GNR_RES_WTR_NOPMP_MC-08"/>
    <n v="405.5"/>
    <n v="0.40550000000000003"/>
  </r>
  <r>
    <x v="0"/>
    <x v="0"/>
    <x v="0"/>
    <x v="9"/>
    <x v="17"/>
    <s v="SE1A"/>
    <x v="9"/>
    <x v="6"/>
    <x v="0"/>
    <s v="GNR_RES_WTR_NOPMP_MC-09"/>
    <n v="405.5"/>
    <n v="0.40550000000000003"/>
  </r>
  <r>
    <x v="0"/>
    <x v="0"/>
    <x v="0"/>
    <x v="9"/>
    <x v="17"/>
    <s v="SE1A"/>
    <x v="9"/>
    <x v="6"/>
    <x v="0"/>
    <s v="GNR_RES_WTR_NOPMP_MC-10"/>
    <n v="405.5"/>
    <n v="0.40550000000000003"/>
  </r>
  <r>
    <x v="0"/>
    <x v="0"/>
    <x v="0"/>
    <x v="9"/>
    <x v="17"/>
    <s v="SE1A"/>
    <x v="10"/>
    <x v="5"/>
    <x v="0"/>
    <s v="GNR_WT_WIND_ONS"/>
    <n v="524"/>
    <n v="0.52400000000000002"/>
  </r>
  <r>
    <x v="0"/>
    <x v="0"/>
    <x v="0"/>
    <x v="9"/>
    <x v="17"/>
    <s v="SE1A"/>
    <x v="13"/>
    <x v="0"/>
    <x v="0"/>
    <s v="GBPR_IND_BIO"/>
    <n v="129"/>
    <n v="0.129"/>
  </r>
  <r>
    <x v="0"/>
    <x v="0"/>
    <x v="0"/>
    <x v="9"/>
    <x v="17"/>
    <s v="SE1_EL"/>
    <x v="3"/>
    <x v="0"/>
    <x v="0"/>
    <s v="GBPR_MUNIWASTE"/>
    <n v="7"/>
    <n v="7.0000000000000001E-3"/>
  </r>
  <r>
    <x v="0"/>
    <x v="0"/>
    <x v="0"/>
    <x v="9"/>
    <x v="17"/>
    <s v="SE1_EL"/>
    <x v="14"/>
    <x v="0"/>
    <x v="0"/>
    <s v="GBPR_WOODWASTE_25"/>
    <n v="2.2523033309709399"/>
    <n v="2.2523033309709401E-3"/>
  </r>
  <r>
    <x v="0"/>
    <x v="0"/>
    <x v="0"/>
    <x v="9"/>
    <x v="17"/>
    <s v="SE1_OTHER"/>
    <x v="4"/>
    <x v="0"/>
    <x v="0"/>
    <s v="GBPR_NATGAS"/>
    <n v="1.2"/>
    <n v="1.1999999999999999E-3"/>
  </r>
  <r>
    <x v="0"/>
    <x v="0"/>
    <x v="0"/>
    <x v="9"/>
    <x v="17"/>
    <s v="SE1_OTHER"/>
    <x v="17"/>
    <x v="0"/>
    <x v="0"/>
    <s v="GBPR_PEAT_38"/>
    <n v="9.1999999999999993"/>
    <n v="9.1999999999999998E-3"/>
  </r>
  <r>
    <x v="0"/>
    <x v="0"/>
    <x v="0"/>
    <x v="9"/>
    <x v="17"/>
    <s v="SE1_OTHER"/>
    <x v="6"/>
    <x v="0"/>
    <x v="0"/>
    <s v="GBPR_WOODCHIPS_25"/>
    <n v="3"/>
    <n v="3.0000000000000001E-3"/>
  </r>
  <r>
    <x v="0"/>
    <x v="0"/>
    <x v="0"/>
    <x v="9"/>
    <x v="17"/>
    <s v="SE1_OTHER"/>
    <x v="14"/>
    <x v="0"/>
    <x v="0"/>
    <s v="GBPR_WOODWASTE"/>
    <n v="34"/>
    <n v="3.4000000000000002E-2"/>
  </r>
  <r>
    <x v="0"/>
    <x v="0"/>
    <x v="0"/>
    <x v="9"/>
    <x v="18"/>
    <s v="SE2A"/>
    <x v="7"/>
    <x v="2"/>
    <x v="0"/>
    <s v="Back-up-power"/>
    <n v="100000"/>
    <n v="100"/>
  </r>
  <r>
    <x v="0"/>
    <x v="0"/>
    <x v="0"/>
    <x v="9"/>
    <x v="18"/>
    <s v="SE2A"/>
    <x v="7"/>
    <x v="2"/>
    <x v="0"/>
    <s v="GCND_FUELOIL1"/>
    <n v="33.631589165016898"/>
    <n v="3.3631589165016899E-2"/>
  </r>
  <r>
    <x v="0"/>
    <x v="0"/>
    <x v="0"/>
    <x v="9"/>
    <x v="18"/>
    <s v="SE2A"/>
    <x v="7"/>
    <x v="2"/>
    <x v="0"/>
    <s v="GCND_FUELOIL2"/>
    <n v="33.631589165016898"/>
    <n v="3.3631589165016899E-2"/>
  </r>
  <r>
    <x v="0"/>
    <x v="0"/>
    <x v="0"/>
    <x v="9"/>
    <x v="18"/>
    <s v="SE2A"/>
    <x v="7"/>
    <x v="2"/>
    <x v="0"/>
    <s v="GCND_FUELOIL3"/>
    <n v="33.631589165016898"/>
    <n v="3.3631589165016899E-2"/>
  </r>
  <r>
    <x v="0"/>
    <x v="0"/>
    <x v="0"/>
    <x v="9"/>
    <x v="18"/>
    <s v="SE2A"/>
    <x v="9"/>
    <x v="4"/>
    <x v="0"/>
    <s v="GNR_ROR_WTR"/>
    <n v="2859.1477816421302"/>
    <n v="2.8591477816421298"/>
  </r>
  <r>
    <x v="0"/>
    <x v="0"/>
    <x v="0"/>
    <x v="9"/>
    <x v="18"/>
    <s v="SE2A"/>
    <x v="9"/>
    <x v="6"/>
    <x v="0"/>
    <s v="GNR_RES_WTR_NOPMP_MC-01"/>
    <n v="407.485221835787"/>
    <n v="0.407485221835787"/>
  </r>
  <r>
    <x v="0"/>
    <x v="0"/>
    <x v="0"/>
    <x v="9"/>
    <x v="18"/>
    <s v="SE2A"/>
    <x v="9"/>
    <x v="6"/>
    <x v="0"/>
    <s v="GNR_RES_WTR_NOPMP_MC-02"/>
    <n v="515.485221835787"/>
    <n v="0.51548522183578704"/>
  </r>
  <r>
    <x v="0"/>
    <x v="0"/>
    <x v="0"/>
    <x v="9"/>
    <x v="18"/>
    <s v="SE2A"/>
    <x v="9"/>
    <x v="6"/>
    <x v="0"/>
    <s v="GNR_RES_WTR_NOPMP_MC-03"/>
    <n v="515.485221835787"/>
    <n v="0.51548522183578704"/>
  </r>
  <r>
    <x v="0"/>
    <x v="0"/>
    <x v="0"/>
    <x v="9"/>
    <x v="18"/>
    <s v="SE2A"/>
    <x v="9"/>
    <x v="6"/>
    <x v="0"/>
    <s v="GNR_RES_WTR_NOPMP_MC-04"/>
    <n v="515.485221835787"/>
    <n v="0.51548522183578704"/>
  </r>
  <r>
    <x v="0"/>
    <x v="0"/>
    <x v="0"/>
    <x v="9"/>
    <x v="18"/>
    <s v="SE2A"/>
    <x v="9"/>
    <x v="6"/>
    <x v="0"/>
    <s v="GNR_RES_WTR_NOPMP_MC-05"/>
    <n v="515.485221835787"/>
    <n v="0.51548522183578704"/>
  </r>
  <r>
    <x v="0"/>
    <x v="0"/>
    <x v="0"/>
    <x v="9"/>
    <x v="18"/>
    <s v="SE2A"/>
    <x v="9"/>
    <x v="6"/>
    <x v="0"/>
    <s v="GNR_RES_WTR_NOPMP_MC-06"/>
    <n v="515.485221835787"/>
    <n v="0.51548522183578704"/>
  </r>
  <r>
    <x v="0"/>
    <x v="0"/>
    <x v="0"/>
    <x v="9"/>
    <x v="18"/>
    <s v="SE2A"/>
    <x v="9"/>
    <x v="6"/>
    <x v="0"/>
    <s v="GNR_RES_WTR_NOPMP_MC-07"/>
    <n v="515.485221835787"/>
    <n v="0.51548522183578704"/>
  </r>
  <r>
    <x v="0"/>
    <x v="0"/>
    <x v="0"/>
    <x v="9"/>
    <x v="18"/>
    <s v="SE2A"/>
    <x v="9"/>
    <x v="6"/>
    <x v="0"/>
    <s v="GNR_RES_WTR_NOPMP_MC-08"/>
    <n v="515.485221835787"/>
    <n v="0.51548522183578704"/>
  </r>
  <r>
    <x v="0"/>
    <x v="0"/>
    <x v="0"/>
    <x v="9"/>
    <x v="18"/>
    <s v="SE2A"/>
    <x v="9"/>
    <x v="6"/>
    <x v="0"/>
    <s v="GNR_RES_WTR_NOPMP_MC-09"/>
    <n v="515.485221835787"/>
    <n v="0.51548522183578704"/>
  </r>
  <r>
    <x v="0"/>
    <x v="0"/>
    <x v="0"/>
    <x v="9"/>
    <x v="18"/>
    <s v="SE2A"/>
    <x v="9"/>
    <x v="6"/>
    <x v="0"/>
    <s v="GNR_RES_WTR_NOPMP_MC-10"/>
    <n v="515.485221835787"/>
    <n v="0.51548522183578704"/>
  </r>
  <r>
    <x v="0"/>
    <x v="0"/>
    <x v="0"/>
    <x v="9"/>
    <x v="18"/>
    <s v="SE2A"/>
    <x v="9"/>
    <x v="6"/>
    <x v="0"/>
    <s v="GNR_RES_WTR_PMP_MC-01"/>
    <n v="108"/>
    <n v="0.108"/>
  </r>
  <r>
    <x v="0"/>
    <x v="0"/>
    <x v="0"/>
    <x v="9"/>
    <x v="18"/>
    <s v="SE2A"/>
    <x v="10"/>
    <x v="5"/>
    <x v="0"/>
    <s v="GNR_WT_WIND_ONS"/>
    <n v="2289"/>
    <n v="2.2890000000000001"/>
  </r>
  <r>
    <x v="0"/>
    <x v="0"/>
    <x v="0"/>
    <x v="9"/>
    <x v="18"/>
    <s v="SE2A"/>
    <x v="13"/>
    <x v="0"/>
    <x v="0"/>
    <s v="GBPR_IND_BIO"/>
    <n v="364.7"/>
    <n v="0.36470000000000002"/>
  </r>
  <r>
    <x v="0"/>
    <x v="0"/>
    <x v="0"/>
    <x v="9"/>
    <x v="18"/>
    <s v="SE2_EL"/>
    <x v="3"/>
    <x v="0"/>
    <x v="0"/>
    <s v="GBPR_MUNIWASTE_24"/>
    <n v="74.231155778894504"/>
    <n v="7.4231155778894498E-2"/>
  </r>
  <r>
    <x v="0"/>
    <x v="0"/>
    <x v="0"/>
    <x v="9"/>
    <x v="18"/>
    <s v="SE2_EL"/>
    <x v="6"/>
    <x v="0"/>
    <x v="0"/>
    <s v="GBPR_WOODCHIPS_37"/>
    <n v="10.1598579040853"/>
    <n v="1.0159857904085299E-2"/>
  </r>
  <r>
    <x v="0"/>
    <x v="0"/>
    <x v="0"/>
    <x v="9"/>
    <x v="18"/>
    <s v="SE2_EL"/>
    <x v="14"/>
    <x v="0"/>
    <x v="0"/>
    <s v="GBPR_WOODWASTE_25"/>
    <n v="55.968768074031203"/>
    <n v="5.59687680740312E-2"/>
  </r>
  <r>
    <x v="0"/>
    <x v="0"/>
    <x v="0"/>
    <x v="9"/>
    <x v="18"/>
    <s v="SE2_EL"/>
    <x v="14"/>
    <x v="1"/>
    <x v="0"/>
    <s v="GEXT_WOODWASTE_HORNEBORG"/>
    <n v="41"/>
    <n v="4.1000000000000002E-2"/>
  </r>
  <r>
    <x v="0"/>
    <x v="0"/>
    <x v="0"/>
    <x v="9"/>
    <x v="18"/>
    <s v="SE2_OTHER"/>
    <x v="3"/>
    <x v="0"/>
    <x v="0"/>
    <s v="GBPR_MUNIWASTE_24"/>
    <n v="5.6266746055373602"/>
    <n v="5.6266746055373597E-3"/>
  </r>
  <r>
    <x v="0"/>
    <x v="0"/>
    <x v="0"/>
    <x v="9"/>
    <x v="18"/>
    <s v="SE2_OTHER"/>
    <x v="6"/>
    <x v="0"/>
    <x v="0"/>
    <s v="GBPR_WOODCHIPS_37"/>
    <n v="8"/>
    <n v="8.0000000000000002E-3"/>
  </r>
  <r>
    <x v="0"/>
    <x v="0"/>
    <x v="0"/>
    <x v="9"/>
    <x v="18"/>
    <s v="SE2_OTHER"/>
    <x v="14"/>
    <x v="0"/>
    <x v="0"/>
    <s v="GBPR_WOODWASTE_36"/>
    <n v="52.728164867517201"/>
    <n v="5.2728164867517198E-2"/>
  </r>
  <r>
    <x v="0"/>
    <x v="0"/>
    <x v="0"/>
    <x v="9"/>
    <x v="19"/>
    <s v="SE3A"/>
    <x v="7"/>
    <x v="2"/>
    <x v="0"/>
    <s v="Back-up-power"/>
    <n v="100000"/>
    <n v="100"/>
  </r>
  <r>
    <x v="0"/>
    <x v="0"/>
    <x v="0"/>
    <x v="9"/>
    <x v="19"/>
    <s v="SE3A"/>
    <x v="7"/>
    <x v="2"/>
    <x v="0"/>
    <s v="GCND_FUELOIL1"/>
    <n v="359.68155602152098"/>
    <n v="0.35968155602152102"/>
  </r>
  <r>
    <x v="0"/>
    <x v="0"/>
    <x v="0"/>
    <x v="9"/>
    <x v="19"/>
    <s v="SE3A"/>
    <x v="7"/>
    <x v="2"/>
    <x v="0"/>
    <s v="GCND_FUELOIL2"/>
    <n v="359.68155602152098"/>
    <n v="0.35968155602152102"/>
  </r>
  <r>
    <x v="0"/>
    <x v="0"/>
    <x v="0"/>
    <x v="9"/>
    <x v="19"/>
    <s v="SE3A"/>
    <x v="7"/>
    <x v="2"/>
    <x v="0"/>
    <s v="GCND_FUELOIL3"/>
    <n v="359.68155602152098"/>
    <n v="0.35968155602152102"/>
  </r>
  <r>
    <x v="0"/>
    <x v="0"/>
    <x v="0"/>
    <x v="9"/>
    <x v="19"/>
    <s v="SE3A"/>
    <x v="18"/>
    <x v="2"/>
    <x v="0"/>
    <s v="GCND_NUCLEAR"/>
    <n v="8890"/>
    <n v="8.89"/>
  </r>
  <r>
    <x v="0"/>
    <x v="0"/>
    <x v="0"/>
    <x v="9"/>
    <x v="19"/>
    <s v="SE3A"/>
    <x v="9"/>
    <x v="4"/>
    <x v="0"/>
    <s v="GNR_ROR_WTR"/>
    <n v="1277"/>
    <n v="1.2769999999999999"/>
  </r>
  <r>
    <x v="0"/>
    <x v="0"/>
    <x v="0"/>
    <x v="9"/>
    <x v="19"/>
    <s v="SE3A"/>
    <x v="9"/>
    <x v="6"/>
    <x v="0"/>
    <s v="GNR_RES_WTR_NOPMP_MC-01"/>
    <n v="131.6"/>
    <n v="0.13159999999999999"/>
  </r>
  <r>
    <x v="0"/>
    <x v="0"/>
    <x v="0"/>
    <x v="9"/>
    <x v="19"/>
    <s v="SE3A"/>
    <x v="9"/>
    <x v="6"/>
    <x v="0"/>
    <s v="GNR_RES_WTR_NOPMP_MC-02"/>
    <n v="131.6"/>
    <n v="0.13159999999999999"/>
  </r>
  <r>
    <x v="0"/>
    <x v="0"/>
    <x v="0"/>
    <x v="9"/>
    <x v="19"/>
    <s v="SE3A"/>
    <x v="9"/>
    <x v="6"/>
    <x v="0"/>
    <s v="GNR_RES_WTR_NOPMP_MC-03"/>
    <n v="131.6"/>
    <n v="0.13159999999999999"/>
  </r>
  <r>
    <x v="0"/>
    <x v="0"/>
    <x v="0"/>
    <x v="9"/>
    <x v="19"/>
    <s v="SE3A"/>
    <x v="9"/>
    <x v="6"/>
    <x v="0"/>
    <s v="GNR_RES_WTR_NOPMP_MC-04"/>
    <n v="131.6"/>
    <n v="0.13159999999999999"/>
  </r>
  <r>
    <x v="0"/>
    <x v="0"/>
    <x v="0"/>
    <x v="9"/>
    <x v="19"/>
    <s v="SE3A"/>
    <x v="9"/>
    <x v="6"/>
    <x v="0"/>
    <s v="GNR_RES_WTR_NOPMP_MC-05"/>
    <n v="131.6"/>
    <n v="0.13159999999999999"/>
  </r>
  <r>
    <x v="0"/>
    <x v="0"/>
    <x v="0"/>
    <x v="9"/>
    <x v="19"/>
    <s v="SE3A"/>
    <x v="9"/>
    <x v="6"/>
    <x v="0"/>
    <s v="GNR_RES_WTR_NOPMP_MC-06"/>
    <n v="131.6"/>
    <n v="0.13159999999999999"/>
  </r>
  <r>
    <x v="0"/>
    <x v="0"/>
    <x v="0"/>
    <x v="9"/>
    <x v="19"/>
    <s v="SE3A"/>
    <x v="9"/>
    <x v="6"/>
    <x v="0"/>
    <s v="GNR_RES_WTR_NOPMP_MC-07"/>
    <n v="131.6"/>
    <n v="0.13159999999999999"/>
  </r>
  <r>
    <x v="0"/>
    <x v="0"/>
    <x v="0"/>
    <x v="9"/>
    <x v="19"/>
    <s v="SE3A"/>
    <x v="9"/>
    <x v="6"/>
    <x v="0"/>
    <s v="GNR_RES_WTR_NOPMP_MC-08"/>
    <n v="131.6"/>
    <n v="0.13159999999999999"/>
  </r>
  <r>
    <x v="0"/>
    <x v="0"/>
    <x v="0"/>
    <x v="9"/>
    <x v="19"/>
    <s v="SE3A"/>
    <x v="9"/>
    <x v="6"/>
    <x v="0"/>
    <s v="GNR_RES_WTR_NOPMP_MC-09"/>
    <n v="131.6"/>
    <n v="0.13159999999999999"/>
  </r>
  <r>
    <x v="0"/>
    <x v="0"/>
    <x v="0"/>
    <x v="9"/>
    <x v="19"/>
    <s v="SE3A"/>
    <x v="9"/>
    <x v="6"/>
    <x v="0"/>
    <s v="GNR_RES_WTR_NOPMP_MC-10"/>
    <n v="131.6"/>
    <n v="0.13159999999999999"/>
  </r>
  <r>
    <x v="0"/>
    <x v="0"/>
    <x v="0"/>
    <x v="9"/>
    <x v="19"/>
    <s v="SE3A"/>
    <x v="10"/>
    <x v="5"/>
    <x v="0"/>
    <s v="GNR_WT_WIND_ONS"/>
    <n v="2098"/>
    <n v="2.0979999999999999"/>
  </r>
  <r>
    <x v="0"/>
    <x v="0"/>
    <x v="0"/>
    <x v="9"/>
    <x v="19"/>
    <s v="SE3A"/>
    <x v="13"/>
    <x v="0"/>
    <x v="0"/>
    <s v="GBPR_IND_BIO"/>
    <n v="567.79999999999995"/>
    <n v="0.56779999999999997"/>
  </r>
  <r>
    <x v="0"/>
    <x v="0"/>
    <x v="0"/>
    <x v="9"/>
    <x v="19"/>
    <s v="SE3_EL"/>
    <x v="1"/>
    <x v="1"/>
    <x v="0"/>
    <s v="GEXT_COAL_LINK"/>
    <n v="16.579999999999998"/>
    <n v="1.6580000000000001E-2"/>
  </r>
  <r>
    <x v="0"/>
    <x v="0"/>
    <x v="0"/>
    <x v="9"/>
    <x v="19"/>
    <s v="SE3_EL"/>
    <x v="7"/>
    <x v="0"/>
    <x v="0"/>
    <s v="GBPR_FUELOIL"/>
    <n v="22"/>
    <n v="2.1999999999999999E-2"/>
  </r>
  <r>
    <x v="0"/>
    <x v="0"/>
    <x v="0"/>
    <x v="9"/>
    <x v="19"/>
    <s v="SE3_EL"/>
    <x v="7"/>
    <x v="0"/>
    <x v="0"/>
    <s v="GBPR_FUELOIL_LINK"/>
    <n v="61"/>
    <n v="6.0999999999999999E-2"/>
  </r>
  <r>
    <x v="0"/>
    <x v="0"/>
    <x v="0"/>
    <x v="9"/>
    <x v="19"/>
    <s v="SE3_EL"/>
    <x v="3"/>
    <x v="0"/>
    <x v="0"/>
    <s v="GBPR_MUNIWASTE_24"/>
    <n v="82.229928840518994"/>
    <n v="8.2229928840518995E-2"/>
  </r>
  <r>
    <x v="0"/>
    <x v="0"/>
    <x v="0"/>
    <x v="9"/>
    <x v="19"/>
    <s v="SE3_EL"/>
    <x v="3"/>
    <x v="0"/>
    <x v="0"/>
    <s v="GBPR_MUNIWASTE_LINK"/>
    <n v="45.22"/>
    <n v="4.5220000000000003E-2"/>
  </r>
  <r>
    <x v="0"/>
    <x v="0"/>
    <x v="0"/>
    <x v="9"/>
    <x v="19"/>
    <s v="SE3_EL"/>
    <x v="4"/>
    <x v="0"/>
    <x v="0"/>
    <s v="GBPR_NATGAS"/>
    <n v="3.6339130000000002"/>
    <n v="3.6339129999999999E-3"/>
  </r>
  <r>
    <x v="0"/>
    <x v="0"/>
    <x v="0"/>
    <x v="9"/>
    <x v="19"/>
    <s v="SE3_EL"/>
    <x v="17"/>
    <x v="0"/>
    <x v="0"/>
    <s v="GBPR_PEAT_38"/>
    <n v="22"/>
    <n v="2.1999999999999999E-2"/>
  </r>
  <r>
    <x v="0"/>
    <x v="0"/>
    <x v="0"/>
    <x v="9"/>
    <x v="19"/>
    <s v="SE3_EL"/>
    <x v="17"/>
    <x v="1"/>
    <x v="0"/>
    <s v="GEXT_PEAT"/>
    <n v="110.94"/>
    <n v="0.11094"/>
  </r>
  <r>
    <x v="0"/>
    <x v="0"/>
    <x v="0"/>
    <x v="9"/>
    <x v="19"/>
    <s v="SE3_EL"/>
    <x v="23"/>
    <x v="0"/>
    <x v="0"/>
    <s v="GBPR_RECYCLEDWOOD_SE3EL"/>
    <n v="102.020720662019"/>
    <n v="0.102020720662019"/>
  </r>
  <r>
    <x v="0"/>
    <x v="0"/>
    <x v="0"/>
    <x v="9"/>
    <x v="19"/>
    <s v="SE3_EL"/>
    <x v="6"/>
    <x v="0"/>
    <x v="0"/>
    <s v="GBPR_WOODCHIPS_25"/>
    <n v="15.8917497725065"/>
    <n v="1.58917497725065E-2"/>
  </r>
  <r>
    <x v="0"/>
    <x v="0"/>
    <x v="0"/>
    <x v="9"/>
    <x v="19"/>
    <s v="SE3_EL"/>
    <x v="14"/>
    <x v="0"/>
    <x v="0"/>
    <s v="GBPR_WOODWASTE_25"/>
    <n v="65.44"/>
    <n v="6.5439999999999998E-2"/>
  </r>
  <r>
    <x v="0"/>
    <x v="0"/>
    <x v="0"/>
    <x v="9"/>
    <x v="19"/>
    <s v="SE3_EL"/>
    <x v="14"/>
    <x v="0"/>
    <x v="0"/>
    <s v="GBPR_WOODWASTE_ABY"/>
    <n v="106"/>
    <n v="0.106"/>
  </r>
  <r>
    <x v="0"/>
    <x v="0"/>
    <x v="0"/>
    <x v="9"/>
    <x v="19"/>
    <s v="SE3_GOT"/>
    <x v="3"/>
    <x v="0"/>
    <x v="0"/>
    <s v="GBPR_MUNIWASTE_24"/>
    <n v="40.6"/>
    <n v="4.0599999999999997E-2"/>
  </r>
  <r>
    <x v="0"/>
    <x v="0"/>
    <x v="0"/>
    <x v="9"/>
    <x v="19"/>
    <s v="SE3_GOT"/>
    <x v="4"/>
    <x v="0"/>
    <x v="0"/>
    <s v="GBPR_NATGAS_GOT"/>
    <n v="48.9"/>
    <n v="4.8899999999999999E-2"/>
  </r>
  <r>
    <x v="0"/>
    <x v="0"/>
    <x v="0"/>
    <x v="9"/>
    <x v="19"/>
    <s v="SE3_GOT"/>
    <x v="4"/>
    <x v="0"/>
    <x v="0"/>
    <s v="GBPR_NATGAS_RYA"/>
    <n v="261"/>
    <n v="0.26100000000000001"/>
  </r>
  <r>
    <x v="0"/>
    <x v="0"/>
    <x v="0"/>
    <x v="9"/>
    <x v="19"/>
    <s v="SE3_GOT"/>
    <x v="14"/>
    <x v="0"/>
    <x v="0"/>
    <s v="GBPR_WOODWASTE_GOT"/>
    <n v="13"/>
    <n v="1.2999999999999999E-2"/>
  </r>
  <r>
    <x v="0"/>
    <x v="0"/>
    <x v="0"/>
    <x v="9"/>
    <x v="19"/>
    <s v="SE3_HP"/>
    <x v="7"/>
    <x v="1"/>
    <x v="0"/>
    <s v="GEXT_FUELOIL"/>
    <n v="212.5"/>
    <n v="0.21249999999999999"/>
  </r>
  <r>
    <x v="0"/>
    <x v="0"/>
    <x v="0"/>
    <x v="9"/>
    <x v="19"/>
    <s v="SE3_HP"/>
    <x v="3"/>
    <x v="0"/>
    <x v="0"/>
    <s v="GBPR_MUNIWASTE_24"/>
    <n v="59.008264462809898"/>
    <n v="5.9008264462809899E-2"/>
  </r>
  <r>
    <x v="0"/>
    <x v="0"/>
    <x v="0"/>
    <x v="9"/>
    <x v="19"/>
    <s v="SE3_HP"/>
    <x v="6"/>
    <x v="0"/>
    <x v="0"/>
    <s v="GBPR_WOODCHIPS_08"/>
    <n v="0.53562231759656698"/>
    <n v="5.3562231759656702E-4"/>
  </r>
  <r>
    <x v="0"/>
    <x v="0"/>
    <x v="0"/>
    <x v="9"/>
    <x v="19"/>
    <s v="SE3_HP"/>
    <x v="14"/>
    <x v="0"/>
    <x v="0"/>
    <s v="GBPR_WOODWASTE_36"/>
    <n v="30"/>
    <n v="0.03"/>
  </r>
  <r>
    <x v="0"/>
    <x v="0"/>
    <x v="0"/>
    <x v="9"/>
    <x v="19"/>
    <s v="SE3_HP"/>
    <x v="14"/>
    <x v="1"/>
    <x v="0"/>
    <s v="GEXT_WOODWASTE"/>
    <n v="212.5"/>
    <n v="0.21249999999999999"/>
  </r>
  <r>
    <x v="0"/>
    <x v="0"/>
    <x v="0"/>
    <x v="9"/>
    <x v="19"/>
    <s v="SE3_OTHER"/>
    <x v="1"/>
    <x v="0"/>
    <x v="0"/>
    <s v="GBPR_COAL_SE3"/>
    <n v="33.390557939914203"/>
    <n v="3.3390557939914203E-2"/>
  </r>
  <r>
    <x v="0"/>
    <x v="0"/>
    <x v="0"/>
    <x v="9"/>
    <x v="19"/>
    <s v="SE3_OTHER"/>
    <x v="3"/>
    <x v="0"/>
    <x v="0"/>
    <s v="GBPR_MUNIWASTE_24"/>
    <n v="51.444809179655103"/>
    <n v="5.1444809179655097E-2"/>
  </r>
  <r>
    <x v="0"/>
    <x v="0"/>
    <x v="0"/>
    <x v="9"/>
    <x v="19"/>
    <s v="SE3_OTHER"/>
    <x v="23"/>
    <x v="0"/>
    <x v="0"/>
    <s v="GBPR_RECYCLEDWOOD_SE3OTHER"/>
    <n v="61.426755039009898"/>
    <n v="6.1426755039009899E-2"/>
  </r>
  <r>
    <x v="0"/>
    <x v="0"/>
    <x v="0"/>
    <x v="9"/>
    <x v="19"/>
    <s v="SE3_OTHER"/>
    <x v="6"/>
    <x v="0"/>
    <x v="0"/>
    <s v="GBPR_WOODCHIPS_25"/>
    <n v="14.7669902912621"/>
    <n v="1.47669902912621E-2"/>
  </r>
  <r>
    <x v="0"/>
    <x v="0"/>
    <x v="0"/>
    <x v="9"/>
    <x v="19"/>
    <s v="SE3_OTHER"/>
    <x v="6"/>
    <x v="0"/>
    <x v="0"/>
    <s v="GBPR_WOODCHIPS_37"/>
    <n v="39.299999999999997"/>
    <n v="3.9300000000000002E-2"/>
  </r>
  <r>
    <x v="0"/>
    <x v="0"/>
    <x v="0"/>
    <x v="9"/>
    <x v="19"/>
    <s v="SE3_OTHER"/>
    <x v="14"/>
    <x v="0"/>
    <x v="0"/>
    <s v="GBPR_WOODWASTE_25"/>
    <n v="180.7269"/>
    <n v="0.1807269"/>
  </r>
  <r>
    <x v="0"/>
    <x v="0"/>
    <x v="0"/>
    <x v="9"/>
    <x v="19"/>
    <s v="SE3_STO"/>
    <x v="24"/>
    <x v="1"/>
    <x v="0"/>
    <s v="GEXT_BIOOIL_VARTAN"/>
    <n v="190"/>
    <n v="0.19"/>
  </r>
  <r>
    <x v="0"/>
    <x v="0"/>
    <x v="0"/>
    <x v="9"/>
    <x v="19"/>
    <s v="SE3_STO"/>
    <x v="1"/>
    <x v="0"/>
    <x v="0"/>
    <s v="GBPR_COAL_VARTAN"/>
    <n v="117.16"/>
    <n v="0.11716"/>
  </r>
  <r>
    <x v="0"/>
    <x v="0"/>
    <x v="0"/>
    <x v="9"/>
    <x v="19"/>
    <s v="SE3_STO"/>
    <x v="3"/>
    <x v="0"/>
    <x v="0"/>
    <s v="GBPR_MUNIWASTE_HOGDALEN"/>
    <n v="57.4"/>
    <n v="5.74E-2"/>
  </r>
  <r>
    <x v="0"/>
    <x v="0"/>
    <x v="0"/>
    <x v="9"/>
    <x v="19"/>
    <s v="SE3_STO"/>
    <x v="11"/>
    <x v="0"/>
    <x v="0"/>
    <s v="GBPR_WOODPELLETS_HASSELBY"/>
    <n v="75"/>
    <n v="7.4999999999999997E-2"/>
  </r>
  <r>
    <x v="0"/>
    <x v="0"/>
    <x v="0"/>
    <x v="9"/>
    <x v="19"/>
    <s v="SE3_STO"/>
    <x v="14"/>
    <x v="0"/>
    <x v="0"/>
    <s v="GBPR_WOODWASTE"/>
    <n v="117"/>
    <n v="0.11700000000000001"/>
  </r>
  <r>
    <x v="0"/>
    <x v="0"/>
    <x v="0"/>
    <x v="9"/>
    <x v="19"/>
    <s v="SE3_STO"/>
    <x v="14"/>
    <x v="0"/>
    <x v="0"/>
    <s v="GBPR_WOODWASTE_BRISTA"/>
    <n v="42"/>
    <n v="4.2000000000000003E-2"/>
  </r>
  <r>
    <x v="0"/>
    <x v="0"/>
    <x v="0"/>
    <x v="9"/>
    <x v="20"/>
    <s v="SE4A"/>
    <x v="7"/>
    <x v="2"/>
    <x v="0"/>
    <s v="Back-up-power"/>
    <n v="100000"/>
    <n v="100"/>
  </r>
  <r>
    <x v="0"/>
    <x v="0"/>
    <x v="0"/>
    <x v="9"/>
    <x v="20"/>
    <s v="SE4A"/>
    <x v="7"/>
    <x v="2"/>
    <x v="0"/>
    <s v="GCND_FUELOIL1"/>
    <n v="480.612466000084"/>
    <n v="0.480612466000084"/>
  </r>
  <r>
    <x v="0"/>
    <x v="0"/>
    <x v="0"/>
    <x v="9"/>
    <x v="20"/>
    <s v="SE4A"/>
    <x v="7"/>
    <x v="2"/>
    <x v="0"/>
    <s v="GCND_FUELOIL2"/>
    <n v="480.612466000084"/>
    <n v="0.480612466000084"/>
  </r>
  <r>
    <x v="0"/>
    <x v="0"/>
    <x v="0"/>
    <x v="9"/>
    <x v="20"/>
    <s v="SE4A"/>
    <x v="7"/>
    <x v="2"/>
    <x v="0"/>
    <s v="GCND_FUELOIL3"/>
    <n v="480.612466000084"/>
    <n v="0.480612466000084"/>
  </r>
  <r>
    <x v="0"/>
    <x v="0"/>
    <x v="0"/>
    <x v="9"/>
    <x v="20"/>
    <s v="SE4A"/>
    <x v="9"/>
    <x v="4"/>
    <x v="0"/>
    <s v="GNR_ROR_WTR"/>
    <n v="188.12699336621901"/>
    <n v="0.18812699336621899"/>
  </r>
  <r>
    <x v="0"/>
    <x v="0"/>
    <x v="0"/>
    <x v="9"/>
    <x v="20"/>
    <s v="SE4A"/>
    <x v="9"/>
    <x v="6"/>
    <x v="0"/>
    <s v="GNR_RES_WTR_NOPMP_MC-01"/>
    <n v="15.287300663378099"/>
    <n v="1.5287300663378099E-2"/>
  </r>
  <r>
    <x v="0"/>
    <x v="0"/>
    <x v="0"/>
    <x v="9"/>
    <x v="20"/>
    <s v="SE4A"/>
    <x v="9"/>
    <x v="6"/>
    <x v="0"/>
    <s v="GNR_RES_WTR_NOPMP_MC-02"/>
    <n v="15.287300663378099"/>
    <n v="1.5287300663378099E-2"/>
  </r>
  <r>
    <x v="0"/>
    <x v="0"/>
    <x v="0"/>
    <x v="9"/>
    <x v="20"/>
    <s v="SE4A"/>
    <x v="9"/>
    <x v="6"/>
    <x v="0"/>
    <s v="GNR_RES_WTR_NOPMP_MC-03"/>
    <n v="15.287300663378099"/>
    <n v="1.5287300663378099E-2"/>
  </r>
  <r>
    <x v="0"/>
    <x v="0"/>
    <x v="0"/>
    <x v="9"/>
    <x v="20"/>
    <s v="SE4A"/>
    <x v="9"/>
    <x v="6"/>
    <x v="0"/>
    <s v="GNR_RES_WTR_NOPMP_MC-04"/>
    <n v="15.287300663378099"/>
    <n v="1.5287300663378099E-2"/>
  </r>
  <r>
    <x v="0"/>
    <x v="0"/>
    <x v="0"/>
    <x v="9"/>
    <x v="20"/>
    <s v="SE4A"/>
    <x v="9"/>
    <x v="6"/>
    <x v="0"/>
    <s v="GNR_RES_WTR_NOPMP_MC-05"/>
    <n v="15.287300663378099"/>
    <n v="1.5287300663378099E-2"/>
  </r>
  <r>
    <x v="0"/>
    <x v="0"/>
    <x v="0"/>
    <x v="9"/>
    <x v="20"/>
    <s v="SE4A"/>
    <x v="9"/>
    <x v="6"/>
    <x v="0"/>
    <s v="GNR_RES_WTR_NOPMP_MC-06"/>
    <n v="15.287300663378099"/>
    <n v="1.5287300663378099E-2"/>
  </r>
  <r>
    <x v="0"/>
    <x v="0"/>
    <x v="0"/>
    <x v="9"/>
    <x v="20"/>
    <s v="SE4A"/>
    <x v="9"/>
    <x v="6"/>
    <x v="0"/>
    <s v="GNR_RES_WTR_NOPMP_MC-07"/>
    <n v="15.287300663378099"/>
    <n v="1.5287300663378099E-2"/>
  </r>
  <r>
    <x v="0"/>
    <x v="0"/>
    <x v="0"/>
    <x v="9"/>
    <x v="20"/>
    <s v="SE4A"/>
    <x v="9"/>
    <x v="6"/>
    <x v="0"/>
    <s v="GNR_RES_WTR_NOPMP_MC-08"/>
    <n v="15.287300663378099"/>
    <n v="1.5287300663378099E-2"/>
  </r>
  <r>
    <x v="0"/>
    <x v="0"/>
    <x v="0"/>
    <x v="9"/>
    <x v="20"/>
    <s v="SE4A"/>
    <x v="9"/>
    <x v="6"/>
    <x v="0"/>
    <s v="GNR_RES_WTR_NOPMP_MC-09"/>
    <n v="15.287300663378099"/>
    <n v="1.5287300663378099E-2"/>
  </r>
  <r>
    <x v="0"/>
    <x v="0"/>
    <x v="0"/>
    <x v="9"/>
    <x v="20"/>
    <s v="SE4A"/>
    <x v="9"/>
    <x v="6"/>
    <x v="0"/>
    <s v="GNR_RES_WTR_NOPMP_MC-10"/>
    <n v="15.287300663378099"/>
    <n v="1.5287300663378099E-2"/>
  </r>
  <r>
    <x v="0"/>
    <x v="0"/>
    <x v="0"/>
    <x v="9"/>
    <x v="20"/>
    <s v="SE4A"/>
    <x v="10"/>
    <x v="5"/>
    <x v="0"/>
    <s v="GNR_WT_WIND_ONS"/>
    <n v="1437.25"/>
    <n v="1.4372499999999999"/>
  </r>
  <r>
    <x v="0"/>
    <x v="0"/>
    <x v="0"/>
    <x v="9"/>
    <x v="20"/>
    <s v="SE4A"/>
    <x v="13"/>
    <x v="0"/>
    <x v="0"/>
    <s v="GBPR_IND_BIO"/>
    <n v="258.89999999999998"/>
    <n v="0.25890000000000002"/>
  </r>
  <r>
    <x v="0"/>
    <x v="0"/>
    <x v="0"/>
    <x v="9"/>
    <x v="20"/>
    <s v="SE4_EL"/>
    <x v="23"/>
    <x v="0"/>
    <x v="0"/>
    <s v="GBPR_RECYCLEDWOOD"/>
    <n v="38.5"/>
    <n v="3.85E-2"/>
  </r>
  <r>
    <x v="0"/>
    <x v="0"/>
    <x v="0"/>
    <x v="9"/>
    <x v="20"/>
    <s v="SE4_EL"/>
    <x v="23"/>
    <x v="0"/>
    <x v="0"/>
    <s v="GBPR_RECYCLEDWOOD_SE4EL"/>
    <n v="4"/>
    <n v="4.0000000000000001E-3"/>
  </r>
  <r>
    <x v="0"/>
    <x v="0"/>
    <x v="0"/>
    <x v="9"/>
    <x v="20"/>
    <s v="SE4_HP"/>
    <x v="3"/>
    <x v="0"/>
    <x v="0"/>
    <s v="GBPR_MUNIWASTE_65"/>
    <n v="18"/>
    <n v="1.7999999999999999E-2"/>
  </r>
  <r>
    <x v="0"/>
    <x v="0"/>
    <x v="0"/>
    <x v="9"/>
    <x v="20"/>
    <s v="SE4_HP"/>
    <x v="4"/>
    <x v="0"/>
    <x v="0"/>
    <s v="GBPR_NATGAS_100"/>
    <n v="54"/>
    <n v="5.3999999999999999E-2"/>
  </r>
  <r>
    <x v="0"/>
    <x v="0"/>
    <x v="0"/>
    <x v="9"/>
    <x v="20"/>
    <s v="SE4_HP"/>
    <x v="11"/>
    <x v="0"/>
    <x v="0"/>
    <s v="GBPR_WOODPELLETS"/>
    <n v="69"/>
    <n v="6.9000000000000006E-2"/>
  </r>
  <r>
    <x v="0"/>
    <x v="0"/>
    <x v="0"/>
    <x v="9"/>
    <x v="20"/>
    <s v="SE4_MAL"/>
    <x v="3"/>
    <x v="0"/>
    <x v="0"/>
    <s v="GBPR_MUNIWASTE_24"/>
    <n v="33.798449612403097"/>
    <n v="3.3798449612403102E-2"/>
  </r>
  <r>
    <x v="0"/>
    <x v="0"/>
    <x v="0"/>
    <x v="9"/>
    <x v="20"/>
    <s v="SE4_MAL"/>
    <x v="4"/>
    <x v="0"/>
    <x v="0"/>
    <s v="GBPR_NATGAS_MAL"/>
    <n v="130"/>
    <n v="0.13"/>
  </r>
  <r>
    <x v="0"/>
    <x v="0"/>
    <x v="0"/>
    <x v="9"/>
    <x v="20"/>
    <s v="SE4_MAL"/>
    <x v="4"/>
    <x v="1"/>
    <x v="0"/>
    <s v="GEXT_NATGAS_ORESUND"/>
    <n v="440"/>
    <n v="0.44"/>
  </r>
  <r>
    <x v="0"/>
    <x v="0"/>
    <x v="0"/>
    <x v="9"/>
    <x v="20"/>
    <s v="SE4_OTHER"/>
    <x v="3"/>
    <x v="0"/>
    <x v="0"/>
    <s v="GBPR_MUNIWASTE_19"/>
    <n v="20.530501930501899"/>
    <n v="2.0530501930501901E-2"/>
  </r>
  <r>
    <x v="0"/>
    <x v="0"/>
    <x v="0"/>
    <x v="9"/>
    <x v="20"/>
    <s v="SE4_OTHER"/>
    <x v="6"/>
    <x v="0"/>
    <x v="0"/>
    <s v="GBPR_WOODCHIPS"/>
    <n v="31"/>
    <n v="3.1E-2"/>
  </r>
  <r>
    <x v="0"/>
    <x v="0"/>
    <x v="0"/>
    <x v="9"/>
    <x v="20"/>
    <s v="SE4_OTHER"/>
    <x v="6"/>
    <x v="0"/>
    <x v="0"/>
    <s v="GBPR_WOODCHIPS_25"/>
    <n v="23.973076923076899"/>
    <n v="2.3973076923076899E-2"/>
  </r>
  <r>
    <x v="0"/>
    <x v="0"/>
    <x v="0"/>
    <x v="9"/>
    <x v="20"/>
    <s v="SE4_OTHER"/>
    <x v="14"/>
    <x v="0"/>
    <x v="0"/>
    <s v="GBPR_WOODWASTE_36"/>
    <n v="84.64"/>
    <n v="8.4640000000000007E-2"/>
  </r>
  <r>
    <x v="0"/>
    <x v="0"/>
    <x v="0"/>
    <x v="10"/>
    <x v="21"/>
    <s v="UK_A"/>
    <x v="0"/>
    <x v="2"/>
    <x v="0"/>
    <s v="GNR_ST_BGAS_CND_E-40"/>
    <n v="1229"/>
    <n v="1.2290000000000001"/>
  </r>
  <r>
    <x v="0"/>
    <x v="0"/>
    <x v="0"/>
    <x v="10"/>
    <x v="21"/>
    <s v="UK_A"/>
    <x v="0"/>
    <x v="2"/>
    <x v="0"/>
    <s v="GNR_ST_BGAS_CND_E-45"/>
    <n v="2401"/>
    <n v="2.4009999999999998"/>
  </r>
  <r>
    <x v="0"/>
    <x v="0"/>
    <x v="0"/>
    <x v="10"/>
    <x v="21"/>
    <s v="UK_A"/>
    <x v="1"/>
    <x v="2"/>
    <x v="0"/>
    <s v="GNR_ST_COAL_CND_E-33"/>
    <n v="8995"/>
    <n v="8.9949999999999992"/>
  </r>
  <r>
    <x v="0"/>
    <x v="0"/>
    <x v="0"/>
    <x v="10"/>
    <x v="21"/>
    <s v="UK_A"/>
    <x v="1"/>
    <x v="2"/>
    <x v="0"/>
    <s v="GNR_ST_COAL_CND_E-35"/>
    <n v="11623"/>
    <n v="11.622999999999999"/>
  </r>
  <r>
    <x v="0"/>
    <x v="0"/>
    <x v="0"/>
    <x v="10"/>
    <x v="21"/>
    <s v="UK_A"/>
    <x v="7"/>
    <x v="2"/>
    <x v="0"/>
    <s v="GNR_ST_FUELOIL_CND_E-36"/>
    <n v="1525"/>
    <n v="1.5249999999999999"/>
  </r>
  <r>
    <x v="0"/>
    <x v="0"/>
    <x v="0"/>
    <x v="10"/>
    <x v="21"/>
    <s v="UK_A"/>
    <x v="3"/>
    <x v="2"/>
    <x v="0"/>
    <s v="GNR_ST_MSW_CND_E-40"/>
    <n v="806"/>
    <n v="0.80600000000000005"/>
  </r>
  <r>
    <x v="0"/>
    <x v="0"/>
    <x v="0"/>
    <x v="10"/>
    <x v="21"/>
    <s v="UK_A"/>
    <x v="4"/>
    <x v="2"/>
    <x v="0"/>
    <s v="GNR_CC_NGAS_CND_E-47"/>
    <n v="14528"/>
    <n v="14.528"/>
  </r>
  <r>
    <x v="0"/>
    <x v="0"/>
    <x v="0"/>
    <x v="10"/>
    <x v="21"/>
    <s v="UK_A"/>
    <x v="4"/>
    <x v="2"/>
    <x v="0"/>
    <s v="GNR_CC_NGAS_CND_E-52"/>
    <n v="6950"/>
    <n v="6.95"/>
  </r>
  <r>
    <x v="0"/>
    <x v="0"/>
    <x v="0"/>
    <x v="10"/>
    <x v="21"/>
    <s v="UK_A"/>
    <x v="4"/>
    <x v="2"/>
    <x v="0"/>
    <s v="GNR_CC_NGAS_CND_E-56"/>
    <n v="9060"/>
    <n v="9.06"/>
  </r>
  <r>
    <x v="0"/>
    <x v="0"/>
    <x v="0"/>
    <x v="10"/>
    <x v="21"/>
    <s v="UK_A"/>
    <x v="4"/>
    <x v="2"/>
    <x v="0"/>
    <s v="GNR_GT_NGAS_CND_E-33"/>
    <n v="1494"/>
    <n v="1.494"/>
  </r>
  <r>
    <x v="0"/>
    <x v="0"/>
    <x v="0"/>
    <x v="10"/>
    <x v="21"/>
    <s v="UK_A"/>
    <x v="4"/>
    <x v="2"/>
    <x v="0"/>
    <s v="GNR_GT_NGAS_CND_E-35"/>
    <n v="1075"/>
    <n v="1.075"/>
  </r>
  <r>
    <x v="0"/>
    <x v="0"/>
    <x v="0"/>
    <x v="10"/>
    <x v="21"/>
    <s v="UK_A"/>
    <x v="4"/>
    <x v="2"/>
    <x v="0"/>
    <s v="GNR_GT_NGAS_CND_E-38"/>
    <n v="1941"/>
    <n v="1.9410000000000001"/>
  </r>
  <r>
    <x v="0"/>
    <x v="0"/>
    <x v="0"/>
    <x v="10"/>
    <x v="21"/>
    <s v="UK_A"/>
    <x v="4"/>
    <x v="2"/>
    <x v="0"/>
    <s v="GNR_GT_NGAS_CND_E-41"/>
    <n v="590"/>
    <n v="0.59"/>
  </r>
  <r>
    <x v="0"/>
    <x v="0"/>
    <x v="0"/>
    <x v="10"/>
    <x v="21"/>
    <s v="UK_A"/>
    <x v="18"/>
    <x v="2"/>
    <x v="0"/>
    <s v="GNR_ST_NUCL_CND_E-33"/>
    <n v="9401"/>
    <n v="9.4009999999999998"/>
  </r>
  <r>
    <x v="0"/>
    <x v="0"/>
    <x v="0"/>
    <x v="10"/>
    <x v="21"/>
    <s v="UK_A"/>
    <x v="8"/>
    <x v="3"/>
    <x v="0"/>
    <s v="GNR_PV_SUN"/>
    <n v="5248"/>
    <n v="5.2480000000000002"/>
  </r>
  <r>
    <x v="0"/>
    <x v="0"/>
    <x v="0"/>
    <x v="10"/>
    <x v="21"/>
    <s v="UK_A"/>
    <x v="9"/>
    <x v="8"/>
    <x v="0"/>
    <s v="GNR_ES_WTR_PMP"/>
    <n v="26.914893617021299"/>
    <n v="2.6914893617021301E-2"/>
  </r>
  <r>
    <x v="0"/>
    <x v="0"/>
    <x v="0"/>
    <x v="10"/>
    <x v="21"/>
    <s v="UK_A"/>
    <x v="9"/>
    <x v="4"/>
    <x v="0"/>
    <s v="GNR_ROR_WTR"/>
    <n v="1742"/>
    <n v="1.742"/>
  </r>
  <r>
    <x v="0"/>
    <x v="0"/>
    <x v="0"/>
    <x v="10"/>
    <x v="21"/>
    <s v="UK_A"/>
    <x v="10"/>
    <x v="5"/>
    <x v="0"/>
    <s v="GNR_WT_WIND_ONS"/>
    <n v="8283"/>
    <n v="8.2829999999999995"/>
  </r>
  <r>
    <x v="0"/>
    <x v="0"/>
    <x v="0"/>
    <x v="10"/>
    <x v="21"/>
    <s v="UK_Offshore"/>
    <x v="10"/>
    <x v="5"/>
    <x v="0"/>
    <s v="GNR_WT_WIND_OFF"/>
    <n v="4393"/>
    <n v="4.3929999999999998"/>
  </r>
</pivotCacheRecords>
</file>

<file path=xl/pivotCache/pivotCacheRecords19.xml><?xml version="1.0" encoding="utf-8"?>
<pivotCacheRecords xmlns="http://schemas.openxmlformats.org/spreadsheetml/2006/main" xmlns:r="http://schemas.openxmlformats.org/officeDocument/2006/relationships" count="11671">
  <r>
    <x v="0"/>
    <x v="0"/>
    <x v="0"/>
    <x v="0"/>
    <x v="0"/>
    <s v="DK1_Large"/>
    <x v="0"/>
    <x v="0"/>
    <x v="0"/>
    <x v="0"/>
    <n v="20.025923729548001"/>
    <n v="7309.4621612850297"/>
    <n v="26314.0637806261"/>
  </r>
  <r>
    <x v="0"/>
    <x v="0"/>
    <x v="0"/>
    <x v="0"/>
    <x v="0"/>
    <s v="DK1_Large"/>
    <x v="0"/>
    <x v="0"/>
    <x v="0"/>
    <x v="1"/>
    <n v="735.82508834169698"/>
    <n v="268576.15724471898"/>
    <n v="966874.16608098999"/>
  </r>
  <r>
    <x v="0"/>
    <x v="0"/>
    <x v="0"/>
    <x v="0"/>
    <x v="0"/>
    <s v="DK1_Large"/>
    <x v="0"/>
    <x v="0"/>
    <x v="0"/>
    <x v="2"/>
    <n v="593.98281781971502"/>
    <n v="216803.72850419601"/>
    <n v="780493.42261510598"/>
  </r>
  <r>
    <x v="0"/>
    <x v="0"/>
    <x v="0"/>
    <x v="0"/>
    <x v="0"/>
    <s v="DK1_Large"/>
    <x v="1"/>
    <x v="1"/>
    <x v="0"/>
    <x v="3"/>
    <n v="36.190476190476197"/>
    <n v="13209.5238095238"/>
    <n v="47554.285714285703"/>
  </r>
  <r>
    <x v="0"/>
    <x v="0"/>
    <x v="0"/>
    <x v="0"/>
    <x v="0"/>
    <s v="DK1_Large"/>
    <x v="1"/>
    <x v="1"/>
    <x v="0"/>
    <x v="4"/>
    <n v="36.190476190476197"/>
    <n v="13209.5238095238"/>
    <n v="47554.285714285703"/>
  </r>
  <r>
    <x v="0"/>
    <x v="0"/>
    <x v="0"/>
    <x v="0"/>
    <x v="0"/>
    <s v="DK1_Large"/>
    <x v="1"/>
    <x v="1"/>
    <x v="0"/>
    <x v="5"/>
    <n v="36.190476190476197"/>
    <n v="13209.5238095238"/>
    <n v="47554.285714285703"/>
  </r>
  <r>
    <x v="0"/>
    <x v="0"/>
    <x v="0"/>
    <x v="0"/>
    <x v="0"/>
    <s v="DK1_Large"/>
    <x v="1"/>
    <x v="1"/>
    <x v="0"/>
    <x v="6"/>
    <n v="36.190476190476197"/>
    <n v="13209.5238095238"/>
    <n v="47554.285714285703"/>
  </r>
  <r>
    <x v="0"/>
    <x v="0"/>
    <x v="0"/>
    <x v="0"/>
    <x v="0"/>
    <s v="DK1_Large"/>
    <x v="1"/>
    <x v="1"/>
    <x v="0"/>
    <x v="7"/>
    <n v="36.190476190476197"/>
    <n v="13209.5238095238"/>
    <n v="47554.285714285703"/>
  </r>
  <r>
    <x v="0"/>
    <x v="0"/>
    <x v="0"/>
    <x v="0"/>
    <x v="0"/>
    <s v="DK1_Large"/>
    <x v="1"/>
    <x v="1"/>
    <x v="0"/>
    <x v="8"/>
    <n v="36.190476190476197"/>
    <n v="13209.5238095238"/>
    <n v="47554.285714285703"/>
  </r>
  <r>
    <x v="0"/>
    <x v="0"/>
    <x v="0"/>
    <x v="0"/>
    <x v="0"/>
    <s v="DK1_Large"/>
    <x v="1"/>
    <x v="1"/>
    <x v="0"/>
    <x v="0"/>
    <n v="36.190476190476197"/>
    <n v="13209.5238095238"/>
    <n v="47554.285714285703"/>
  </r>
  <r>
    <x v="0"/>
    <x v="0"/>
    <x v="0"/>
    <x v="0"/>
    <x v="0"/>
    <s v="DK1_Large"/>
    <x v="1"/>
    <x v="1"/>
    <x v="0"/>
    <x v="1"/>
    <n v="36.190476190476197"/>
    <n v="13209.5238095238"/>
    <n v="47554.285714285703"/>
  </r>
  <r>
    <x v="0"/>
    <x v="0"/>
    <x v="0"/>
    <x v="0"/>
    <x v="0"/>
    <s v="DK1_Large"/>
    <x v="1"/>
    <x v="1"/>
    <x v="0"/>
    <x v="2"/>
    <n v="36.190476190476197"/>
    <n v="13209.5238095238"/>
    <n v="47554.285714285703"/>
  </r>
  <r>
    <x v="0"/>
    <x v="0"/>
    <x v="0"/>
    <x v="0"/>
    <x v="0"/>
    <s v="DK1_Large"/>
    <x v="1"/>
    <x v="1"/>
    <x v="0"/>
    <x v="9"/>
    <n v="36.190476190476197"/>
    <n v="13209.5238095238"/>
    <n v="47554.285714285703"/>
  </r>
  <r>
    <x v="0"/>
    <x v="0"/>
    <x v="0"/>
    <x v="0"/>
    <x v="0"/>
    <s v="DK1_Large"/>
    <x v="1"/>
    <x v="1"/>
    <x v="0"/>
    <x v="10"/>
    <n v="36.190476190476197"/>
    <n v="13209.5238095238"/>
    <n v="47554.285714285703"/>
  </r>
  <r>
    <x v="0"/>
    <x v="0"/>
    <x v="0"/>
    <x v="0"/>
    <x v="0"/>
    <s v="DK1_Large"/>
    <x v="1"/>
    <x v="1"/>
    <x v="0"/>
    <x v="11"/>
    <n v="36.190476190476197"/>
    <n v="13209.5238095238"/>
    <n v="47554.285714285703"/>
  </r>
  <r>
    <x v="0"/>
    <x v="0"/>
    <x v="0"/>
    <x v="0"/>
    <x v="0"/>
    <s v="DK1_Large"/>
    <x v="1"/>
    <x v="1"/>
    <x v="0"/>
    <x v="12"/>
    <n v="36.190476190476197"/>
    <n v="13209.5238095238"/>
    <n v="47554.285714285703"/>
  </r>
  <r>
    <x v="0"/>
    <x v="0"/>
    <x v="0"/>
    <x v="0"/>
    <x v="0"/>
    <s v="DK1_Large"/>
    <x v="1"/>
    <x v="1"/>
    <x v="0"/>
    <x v="13"/>
    <n v="36.190476190476197"/>
    <n v="13209.5238095238"/>
    <n v="47554.285714285703"/>
  </r>
  <r>
    <x v="0"/>
    <x v="0"/>
    <x v="0"/>
    <x v="0"/>
    <x v="0"/>
    <s v="DK1_Large"/>
    <x v="1"/>
    <x v="1"/>
    <x v="0"/>
    <x v="14"/>
    <n v="36.190476190476197"/>
    <n v="13209.5238095238"/>
    <n v="47554.285714285703"/>
  </r>
  <r>
    <x v="0"/>
    <x v="0"/>
    <x v="0"/>
    <x v="0"/>
    <x v="0"/>
    <s v="DK1_Large"/>
    <x v="1"/>
    <x v="1"/>
    <x v="0"/>
    <x v="15"/>
    <n v="36.190476190476197"/>
    <n v="13209.5238095238"/>
    <n v="47554.285714285703"/>
  </r>
  <r>
    <x v="0"/>
    <x v="0"/>
    <x v="0"/>
    <x v="0"/>
    <x v="0"/>
    <s v="DK1_Large"/>
    <x v="1"/>
    <x v="1"/>
    <x v="0"/>
    <x v="16"/>
    <n v="36.190476190476197"/>
    <n v="13209.5238095238"/>
    <n v="47554.285714285703"/>
  </r>
  <r>
    <x v="0"/>
    <x v="0"/>
    <x v="0"/>
    <x v="0"/>
    <x v="0"/>
    <s v="DK1_Large"/>
    <x v="1"/>
    <x v="1"/>
    <x v="0"/>
    <x v="17"/>
    <n v="36.190476190476197"/>
    <n v="13209.5238095238"/>
    <n v="47554.285714285703"/>
  </r>
  <r>
    <x v="0"/>
    <x v="0"/>
    <x v="0"/>
    <x v="0"/>
    <x v="0"/>
    <s v="DK1_Large"/>
    <x v="1"/>
    <x v="1"/>
    <x v="0"/>
    <x v="18"/>
    <n v="36.190476190476197"/>
    <n v="13209.5238095238"/>
    <n v="47554.285714285703"/>
  </r>
  <r>
    <x v="0"/>
    <x v="0"/>
    <x v="0"/>
    <x v="0"/>
    <x v="0"/>
    <s v="DK1_Large"/>
    <x v="1"/>
    <x v="1"/>
    <x v="0"/>
    <x v="19"/>
    <n v="36.190476190476197"/>
    <n v="13209.5238095238"/>
    <n v="47554.285714285703"/>
  </r>
  <r>
    <x v="0"/>
    <x v="0"/>
    <x v="0"/>
    <x v="0"/>
    <x v="0"/>
    <s v="DK1_Large"/>
    <x v="1"/>
    <x v="1"/>
    <x v="0"/>
    <x v="20"/>
    <n v="36.190476190476197"/>
    <n v="13209.5238095238"/>
    <n v="47554.285714285703"/>
  </r>
  <r>
    <x v="0"/>
    <x v="0"/>
    <x v="0"/>
    <x v="0"/>
    <x v="0"/>
    <s v="DK1_Large"/>
    <x v="1"/>
    <x v="1"/>
    <x v="0"/>
    <x v="21"/>
    <n v="36.190476190476197"/>
    <n v="13209.5238095238"/>
    <n v="47554.285714285703"/>
  </r>
  <r>
    <x v="0"/>
    <x v="0"/>
    <x v="0"/>
    <x v="0"/>
    <x v="0"/>
    <s v="DK1_Large"/>
    <x v="1"/>
    <x v="1"/>
    <x v="0"/>
    <x v="22"/>
    <n v="36.190476190476197"/>
    <n v="13209.5238095238"/>
    <n v="47554.285714285703"/>
  </r>
  <r>
    <x v="0"/>
    <x v="0"/>
    <x v="0"/>
    <x v="0"/>
    <x v="0"/>
    <s v="DK1_Large"/>
    <x v="1"/>
    <x v="1"/>
    <x v="0"/>
    <x v="23"/>
    <n v="36.190476190476197"/>
    <n v="13209.5238095238"/>
    <n v="47554.285714285703"/>
  </r>
  <r>
    <x v="0"/>
    <x v="0"/>
    <x v="0"/>
    <x v="0"/>
    <x v="0"/>
    <s v="DK1_Large"/>
    <x v="1"/>
    <x v="2"/>
    <x v="0"/>
    <x v="3"/>
    <n v="15.8333333333334"/>
    <n v="5779.1666666666697"/>
    <n v="20805"/>
  </r>
  <r>
    <x v="0"/>
    <x v="0"/>
    <x v="0"/>
    <x v="0"/>
    <x v="0"/>
    <s v="DK1_Large"/>
    <x v="1"/>
    <x v="2"/>
    <x v="0"/>
    <x v="4"/>
    <n v="15.8333333333334"/>
    <n v="5779.1666666666697"/>
    <n v="20805"/>
  </r>
  <r>
    <x v="0"/>
    <x v="0"/>
    <x v="0"/>
    <x v="0"/>
    <x v="0"/>
    <s v="DK1_Large"/>
    <x v="1"/>
    <x v="2"/>
    <x v="0"/>
    <x v="5"/>
    <n v="15.8333333333334"/>
    <n v="5779.1666666666697"/>
    <n v="20805"/>
  </r>
  <r>
    <x v="0"/>
    <x v="0"/>
    <x v="0"/>
    <x v="0"/>
    <x v="0"/>
    <s v="DK1_Large"/>
    <x v="1"/>
    <x v="2"/>
    <x v="0"/>
    <x v="6"/>
    <n v="15.8333333333334"/>
    <n v="5779.1666666666697"/>
    <n v="20805"/>
  </r>
  <r>
    <x v="0"/>
    <x v="0"/>
    <x v="0"/>
    <x v="0"/>
    <x v="0"/>
    <s v="DK1_Large"/>
    <x v="1"/>
    <x v="2"/>
    <x v="0"/>
    <x v="7"/>
    <n v="15.8333333333334"/>
    <n v="5779.1666666666697"/>
    <n v="20805"/>
  </r>
  <r>
    <x v="0"/>
    <x v="0"/>
    <x v="0"/>
    <x v="0"/>
    <x v="0"/>
    <s v="DK1_Large"/>
    <x v="1"/>
    <x v="2"/>
    <x v="0"/>
    <x v="8"/>
    <n v="15.8333333333334"/>
    <n v="5779.1666666666697"/>
    <n v="20805"/>
  </r>
  <r>
    <x v="0"/>
    <x v="0"/>
    <x v="0"/>
    <x v="0"/>
    <x v="0"/>
    <s v="DK1_Large"/>
    <x v="1"/>
    <x v="2"/>
    <x v="0"/>
    <x v="0"/>
    <n v="15.8333333333334"/>
    <n v="5779.1666666666697"/>
    <n v="20805"/>
  </r>
  <r>
    <x v="0"/>
    <x v="0"/>
    <x v="0"/>
    <x v="0"/>
    <x v="0"/>
    <s v="DK1_Large"/>
    <x v="1"/>
    <x v="2"/>
    <x v="0"/>
    <x v="1"/>
    <n v="15.8333333333334"/>
    <n v="5779.1666666666697"/>
    <n v="20805"/>
  </r>
  <r>
    <x v="0"/>
    <x v="0"/>
    <x v="0"/>
    <x v="0"/>
    <x v="0"/>
    <s v="DK1_Large"/>
    <x v="1"/>
    <x v="2"/>
    <x v="0"/>
    <x v="2"/>
    <n v="15.8333333333334"/>
    <n v="5779.1666666666697"/>
    <n v="20805"/>
  </r>
  <r>
    <x v="0"/>
    <x v="0"/>
    <x v="0"/>
    <x v="0"/>
    <x v="0"/>
    <s v="DK1_Large"/>
    <x v="1"/>
    <x v="2"/>
    <x v="0"/>
    <x v="9"/>
    <n v="15.8333333333334"/>
    <n v="5779.1666666666697"/>
    <n v="20805"/>
  </r>
  <r>
    <x v="0"/>
    <x v="0"/>
    <x v="0"/>
    <x v="0"/>
    <x v="0"/>
    <s v="DK1_Large"/>
    <x v="1"/>
    <x v="2"/>
    <x v="0"/>
    <x v="10"/>
    <n v="15.8333333333334"/>
    <n v="5779.1666666666697"/>
    <n v="20805"/>
  </r>
  <r>
    <x v="0"/>
    <x v="0"/>
    <x v="0"/>
    <x v="0"/>
    <x v="0"/>
    <s v="DK1_Large"/>
    <x v="1"/>
    <x v="2"/>
    <x v="0"/>
    <x v="11"/>
    <n v="15.8333333333334"/>
    <n v="5779.1666666666697"/>
    <n v="20805"/>
  </r>
  <r>
    <x v="0"/>
    <x v="0"/>
    <x v="0"/>
    <x v="0"/>
    <x v="0"/>
    <s v="DK1_Large"/>
    <x v="1"/>
    <x v="2"/>
    <x v="0"/>
    <x v="12"/>
    <n v="15.8333333333334"/>
    <n v="5779.1666666666697"/>
    <n v="20805"/>
  </r>
  <r>
    <x v="0"/>
    <x v="0"/>
    <x v="0"/>
    <x v="0"/>
    <x v="0"/>
    <s v="DK1_Large"/>
    <x v="1"/>
    <x v="2"/>
    <x v="0"/>
    <x v="13"/>
    <n v="15.8333333333334"/>
    <n v="5779.1666666666697"/>
    <n v="20805"/>
  </r>
  <r>
    <x v="0"/>
    <x v="0"/>
    <x v="0"/>
    <x v="0"/>
    <x v="0"/>
    <s v="DK1_Large"/>
    <x v="1"/>
    <x v="2"/>
    <x v="0"/>
    <x v="14"/>
    <n v="15.8333333333334"/>
    <n v="5779.1666666666697"/>
    <n v="20805"/>
  </r>
  <r>
    <x v="0"/>
    <x v="0"/>
    <x v="0"/>
    <x v="0"/>
    <x v="0"/>
    <s v="DK1_Large"/>
    <x v="1"/>
    <x v="2"/>
    <x v="0"/>
    <x v="15"/>
    <n v="15.8333333333334"/>
    <n v="5779.1666666666697"/>
    <n v="20805"/>
  </r>
  <r>
    <x v="0"/>
    <x v="0"/>
    <x v="0"/>
    <x v="0"/>
    <x v="0"/>
    <s v="DK1_Large"/>
    <x v="1"/>
    <x v="2"/>
    <x v="0"/>
    <x v="16"/>
    <n v="15.8333333333334"/>
    <n v="5779.1666666666697"/>
    <n v="20805"/>
  </r>
  <r>
    <x v="0"/>
    <x v="0"/>
    <x v="0"/>
    <x v="0"/>
    <x v="0"/>
    <s v="DK1_Large"/>
    <x v="1"/>
    <x v="2"/>
    <x v="0"/>
    <x v="17"/>
    <n v="15.8333333333334"/>
    <n v="5779.1666666666697"/>
    <n v="20805"/>
  </r>
  <r>
    <x v="0"/>
    <x v="0"/>
    <x v="0"/>
    <x v="0"/>
    <x v="0"/>
    <s v="DK1_Large"/>
    <x v="1"/>
    <x v="2"/>
    <x v="0"/>
    <x v="18"/>
    <n v="15.8333333333334"/>
    <n v="5779.1666666666697"/>
    <n v="20805"/>
  </r>
  <r>
    <x v="0"/>
    <x v="0"/>
    <x v="0"/>
    <x v="0"/>
    <x v="0"/>
    <s v="DK1_Large"/>
    <x v="1"/>
    <x v="2"/>
    <x v="0"/>
    <x v="19"/>
    <n v="15.8333333333334"/>
    <n v="5779.1666666666697"/>
    <n v="20805"/>
  </r>
  <r>
    <x v="0"/>
    <x v="0"/>
    <x v="0"/>
    <x v="0"/>
    <x v="0"/>
    <s v="DK1_Large"/>
    <x v="1"/>
    <x v="2"/>
    <x v="0"/>
    <x v="20"/>
    <n v="15.8333333333334"/>
    <n v="5779.1666666666697"/>
    <n v="20805"/>
  </r>
  <r>
    <x v="0"/>
    <x v="0"/>
    <x v="0"/>
    <x v="0"/>
    <x v="0"/>
    <s v="DK1_Large"/>
    <x v="1"/>
    <x v="2"/>
    <x v="0"/>
    <x v="21"/>
    <n v="15.8333333333334"/>
    <n v="5779.1666666666697"/>
    <n v="20805"/>
  </r>
  <r>
    <x v="0"/>
    <x v="0"/>
    <x v="0"/>
    <x v="0"/>
    <x v="0"/>
    <s v="DK1_Large"/>
    <x v="1"/>
    <x v="2"/>
    <x v="0"/>
    <x v="22"/>
    <n v="15.8333333333334"/>
    <n v="5779.1666666666697"/>
    <n v="20805"/>
  </r>
  <r>
    <x v="0"/>
    <x v="0"/>
    <x v="0"/>
    <x v="0"/>
    <x v="0"/>
    <s v="DK1_Large"/>
    <x v="1"/>
    <x v="2"/>
    <x v="0"/>
    <x v="23"/>
    <n v="15.8333333333334"/>
    <n v="5779.1666666666697"/>
    <n v="20805"/>
  </r>
  <r>
    <x v="0"/>
    <x v="0"/>
    <x v="0"/>
    <x v="0"/>
    <x v="0"/>
    <s v="DK1_Large"/>
    <x v="1"/>
    <x v="3"/>
    <x v="0"/>
    <x v="3"/>
    <n v="47.368421052631597"/>
    <n v="17289.473684210501"/>
    <n v="62242.1052631579"/>
  </r>
  <r>
    <x v="0"/>
    <x v="0"/>
    <x v="0"/>
    <x v="0"/>
    <x v="0"/>
    <s v="DK1_Large"/>
    <x v="1"/>
    <x v="3"/>
    <x v="0"/>
    <x v="4"/>
    <n v="47.368421052631597"/>
    <n v="17289.473684210501"/>
    <n v="62242.1052631579"/>
  </r>
  <r>
    <x v="0"/>
    <x v="0"/>
    <x v="0"/>
    <x v="0"/>
    <x v="0"/>
    <s v="DK1_Large"/>
    <x v="1"/>
    <x v="3"/>
    <x v="0"/>
    <x v="5"/>
    <n v="47.368421052631597"/>
    <n v="17289.473684210501"/>
    <n v="62242.1052631579"/>
  </r>
  <r>
    <x v="0"/>
    <x v="0"/>
    <x v="0"/>
    <x v="0"/>
    <x v="0"/>
    <s v="DK1_Large"/>
    <x v="1"/>
    <x v="3"/>
    <x v="0"/>
    <x v="6"/>
    <n v="47.368421052631597"/>
    <n v="17289.473684210501"/>
    <n v="62242.1052631579"/>
  </r>
  <r>
    <x v="0"/>
    <x v="0"/>
    <x v="0"/>
    <x v="0"/>
    <x v="0"/>
    <s v="DK1_Large"/>
    <x v="1"/>
    <x v="3"/>
    <x v="0"/>
    <x v="7"/>
    <n v="47.368421052631597"/>
    <n v="17289.473684210501"/>
    <n v="62242.1052631579"/>
  </r>
  <r>
    <x v="0"/>
    <x v="0"/>
    <x v="0"/>
    <x v="0"/>
    <x v="0"/>
    <s v="DK1_Large"/>
    <x v="1"/>
    <x v="3"/>
    <x v="0"/>
    <x v="8"/>
    <n v="47.368421052631597"/>
    <n v="17289.473684210501"/>
    <n v="62242.1052631579"/>
  </r>
  <r>
    <x v="0"/>
    <x v="0"/>
    <x v="0"/>
    <x v="0"/>
    <x v="0"/>
    <s v="DK1_Large"/>
    <x v="1"/>
    <x v="3"/>
    <x v="0"/>
    <x v="0"/>
    <n v="47.368421052631597"/>
    <n v="17289.473684210501"/>
    <n v="62242.1052631579"/>
  </r>
  <r>
    <x v="0"/>
    <x v="0"/>
    <x v="0"/>
    <x v="0"/>
    <x v="0"/>
    <s v="DK1_Large"/>
    <x v="1"/>
    <x v="3"/>
    <x v="0"/>
    <x v="1"/>
    <n v="47.368421052631597"/>
    <n v="17289.473684210501"/>
    <n v="62242.1052631579"/>
  </r>
  <r>
    <x v="0"/>
    <x v="0"/>
    <x v="0"/>
    <x v="0"/>
    <x v="0"/>
    <s v="DK1_Large"/>
    <x v="1"/>
    <x v="3"/>
    <x v="0"/>
    <x v="2"/>
    <n v="47.368421052631597"/>
    <n v="17289.473684210501"/>
    <n v="62242.1052631579"/>
  </r>
  <r>
    <x v="0"/>
    <x v="0"/>
    <x v="0"/>
    <x v="0"/>
    <x v="0"/>
    <s v="DK1_Large"/>
    <x v="1"/>
    <x v="3"/>
    <x v="0"/>
    <x v="9"/>
    <n v="47.368421052631597"/>
    <n v="17289.473684210501"/>
    <n v="62242.1052631579"/>
  </r>
  <r>
    <x v="0"/>
    <x v="0"/>
    <x v="0"/>
    <x v="0"/>
    <x v="0"/>
    <s v="DK1_Large"/>
    <x v="1"/>
    <x v="3"/>
    <x v="0"/>
    <x v="10"/>
    <n v="47.368421052631597"/>
    <n v="17289.473684210501"/>
    <n v="62242.1052631579"/>
  </r>
  <r>
    <x v="0"/>
    <x v="0"/>
    <x v="0"/>
    <x v="0"/>
    <x v="0"/>
    <s v="DK1_Large"/>
    <x v="1"/>
    <x v="3"/>
    <x v="0"/>
    <x v="11"/>
    <n v="47.368421052631597"/>
    <n v="17289.473684210501"/>
    <n v="62242.1052631579"/>
  </r>
  <r>
    <x v="0"/>
    <x v="0"/>
    <x v="0"/>
    <x v="0"/>
    <x v="0"/>
    <s v="DK1_Large"/>
    <x v="1"/>
    <x v="3"/>
    <x v="0"/>
    <x v="12"/>
    <n v="47.368421052631597"/>
    <n v="17289.473684210501"/>
    <n v="62242.1052631579"/>
  </r>
  <r>
    <x v="0"/>
    <x v="0"/>
    <x v="0"/>
    <x v="0"/>
    <x v="0"/>
    <s v="DK1_Large"/>
    <x v="1"/>
    <x v="3"/>
    <x v="0"/>
    <x v="13"/>
    <n v="47.368421052631597"/>
    <n v="17289.473684210501"/>
    <n v="62242.1052631579"/>
  </r>
  <r>
    <x v="0"/>
    <x v="0"/>
    <x v="0"/>
    <x v="0"/>
    <x v="0"/>
    <s v="DK1_Large"/>
    <x v="1"/>
    <x v="3"/>
    <x v="0"/>
    <x v="14"/>
    <n v="47.368421052631597"/>
    <n v="17289.473684210501"/>
    <n v="62242.1052631579"/>
  </r>
  <r>
    <x v="0"/>
    <x v="0"/>
    <x v="0"/>
    <x v="0"/>
    <x v="0"/>
    <s v="DK1_Large"/>
    <x v="1"/>
    <x v="3"/>
    <x v="0"/>
    <x v="15"/>
    <n v="47.368421052631597"/>
    <n v="17289.473684210501"/>
    <n v="62242.1052631579"/>
  </r>
  <r>
    <x v="0"/>
    <x v="0"/>
    <x v="0"/>
    <x v="0"/>
    <x v="0"/>
    <s v="DK1_Large"/>
    <x v="1"/>
    <x v="3"/>
    <x v="0"/>
    <x v="16"/>
    <n v="47.368421052631597"/>
    <n v="17289.473684210501"/>
    <n v="62242.1052631579"/>
  </r>
  <r>
    <x v="0"/>
    <x v="0"/>
    <x v="0"/>
    <x v="0"/>
    <x v="0"/>
    <s v="DK1_Large"/>
    <x v="1"/>
    <x v="3"/>
    <x v="0"/>
    <x v="17"/>
    <n v="47.368421052631597"/>
    <n v="17289.473684210501"/>
    <n v="62242.1052631579"/>
  </r>
  <r>
    <x v="0"/>
    <x v="0"/>
    <x v="0"/>
    <x v="0"/>
    <x v="0"/>
    <s v="DK1_Large"/>
    <x v="1"/>
    <x v="3"/>
    <x v="0"/>
    <x v="18"/>
    <n v="47.368421052631597"/>
    <n v="17289.473684210501"/>
    <n v="62242.1052631579"/>
  </r>
  <r>
    <x v="0"/>
    <x v="0"/>
    <x v="0"/>
    <x v="0"/>
    <x v="0"/>
    <s v="DK1_Large"/>
    <x v="1"/>
    <x v="3"/>
    <x v="0"/>
    <x v="19"/>
    <n v="47.368421052631597"/>
    <n v="17289.473684210501"/>
    <n v="62242.1052631579"/>
  </r>
  <r>
    <x v="0"/>
    <x v="0"/>
    <x v="0"/>
    <x v="0"/>
    <x v="0"/>
    <s v="DK1_Large"/>
    <x v="1"/>
    <x v="3"/>
    <x v="0"/>
    <x v="20"/>
    <n v="47.368421052631597"/>
    <n v="17289.473684210501"/>
    <n v="62242.1052631579"/>
  </r>
  <r>
    <x v="0"/>
    <x v="0"/>
    <x v="0"/>
    <x v="0"/>
    <x v="0"/>
    <s v="DK1_Large"/>
    <x v="1"/>
    <x v="3"/>
    <x v="0"/>
    <x v="21"/>
    <n v="47.368421052631597"/>
    <n v="17289.473684210501"/>
    <n v="62242.1052631579"/>
  </r>
  <r>
    <x v="0"/>
    <x v="0"/>
    <x v="0"/>
    <x v="0"/>
    <x v="0"/>
    <s v="DK1_Large"/>
    <x v="1"/>
    <x v="3"/>
    <x v="0"/>
    <x v="22"/>
    <n v="47.368421052631597"/>
    <n v="17289.473684210501"/>
    <n v="62242.1052631579"/>
  </r>
  <r>
    <x v="0"/>
    <x v="0"/>
    <x v="0"/>
    <x v="0"/>
    <x v="0"/>
    <s v="DK1_Large"/>
    <x v="1"/>
    <x v="3"/>
    <x v="0"/>
    <x v="23"/>
    <n v="47.368421052631597"/>
    <n v="17289.473684210501"/>
    <n v="62242.1052631579"/>
  </r>
  <r>
    <x v="0"/>
    <x v="0"/>
    <x v="0"/>
    <x v="0"/>
    <x v="0"/>
    <s v="DK1_Large"/>
    <x v="1"/>
    <x v="4"/>
    <x v="0"/>
    <x v="3"/>
    <n v="140.90909090909099"/>
    <n v="51431.818181818198"/>
    <n v="185154.54545454599"/>
  </r>
  <r>
    <x v="0"/>
    <x v="0"/>
    <x v="0"/>
    <x v="0"/>
    <x v="0"/>
    <s v="DK1_Large"/>
    <x v="1"/>
    <x v="4"/>
    <x v="0"/>
    <x v="4"/>
    <n v="140.90909090909099"/>
    <n v="51431.818181818198"/>
    <n v="185154.54545454599"/>
  </r>
  <r>
    <x v="0"/>
    <x v="0"/>
    <x v="0"/>
    <x v="0"/>
    <x v="0"/>
    <s v="DK1_Large"/>
    <x v="1"/>
    <x v="4"/>
    <x v="0"/>
    <x v="5"/>
    <n v="140.90909090909099"/>
    <n v="51431.818181818198"/>
    <n v="185154.54545454599"/>
  </r>
  <r>
    <x v="0"/>
    <x v="0"/>
    <x v="0"/>
    <x v="0"/>
    <x v="0"/>
    <s v="DK1_Large"/>
    <x v="1"/>
    <x v="4"/>
    <x v="0"/>
    <x v="6"/>
    <n v="140.90909090909099"/>
    <n v="51431.818181818198"/>
    <n v="185154.54545454599"/>
  </r>
  <r>
    <x v="0"/>
    <x v="0"/>
    <x v="0"/>
    <x v="0"/>
    <x v="0"/>
    <s v="DK1_Large"/>
    <x v="1"/>
    <x v="4"/>
    <x v="0"/>
    <x v="7"/>
    <n v="140.90909090909099"/>
    <n v="51431.818181818198"/>
    <n v="185154.54545454599"/>
  </r>
  <r>
    <x v="0"/>
    <x v="0"/>
    <x v="0"/>
    <x v="0"/>
    <x v="0"/>
    <s v="DK1_Large"/>
    <x v="1"/>
    <x v="4"/>
    <x v="0"/>
    <x v="8"/>
    <n v="140.90909090909099"/>
    <n v="51431.818181818198"/>
    <n v="185154.54545454599"/>
  </r>
  <r>
    <x v="0"/>
    <x v="0"/>
    <x v="0"/>
    <x v="0"/>
    <x v="0"/>
    <s v="DK1_Large"/>
    <x v="1"/>
    <x v="4"/>
    <x v="0"/>
    <x v="0"/>
    <n v="140.90909090909099"/>
    <n v="51431.818181818198"/>
    <n v="185154.54545454599"/>
  </r>
  <r>
    <x v="0"/>
    <x v="0"/>
    <x v="0"/>
    <x v="0"/>
    <x v="0"/>
    <s v="DK1_Large"/>
    <x v="1"/>
    <x v="4"/>
    <x v="0"/>
    <x v="1"/>
    <n v="140.90909090909099"/>
    <n v="51431.818181818198"/>
    <n v="185154.54545454599"/>
  </r>
  <r>
    <x v="0"/>
    <x v="0"/>
    <x v="0"/>
    <x v="0"/>
    <x v="0"/>
    <s v="DK1_Large"/>
    <x v="1"/>
    <x v="4"/>
    <x v="0"/>
    <x v="2"/>
    <n v="140.90909090909099"/>
    <n v="51431.818181818198"/>
    <n v="185154.54545454599"/>
  </r>
  <r>
    <x v="0"/>
    <x v="0"/>
    <x v="0"/>
    <x v="0"/>
    <x v="0"/>
    <s v="DK1_Large"/>
    <x v="1"/>
    <x v="4"/>
    <x v="0"/>
    <x v="9"/>
    <n v="140.90909090909099"/>
    <n v="51431.818181818198"/>
    <n v="185154.54545454599"/>
  </r>
  <r>
    <x v="0"/>
    <x v="0"/>
    <x v="0"/>
    <x v="0"/>
    <x v="0"/>
    <s v="DK1_Large"/>
    <x v="1"/>
    <x v="4"/>
    <x v="0"/>
    <x v="10"/>
    <n v="140.90909090909099"/>
    <n v="51431.818181818198"/>
    <n v="185154.54545454599"/>
  </r>
  <r>
    <x v="0"/>
    <x v="0"/>
    <x v="0"/>
    <x v="0"/>
    <x v="0"/>
    <s v="DK1_Large"/>
    <x v="1"/>
    <x v="4"/>
    <x v="0"/>
    <x v="11"/>
    <n v="140.90909090909099"/>
    <n v="51431.818181818198"/>
    <n v="185154.54545454599"/>
  </r>
  <r>
    <x v="0"/>
    <x v="0"/>
    <x v="0"/>
    <x v="0"/>
    <x v="0"/>
    <s v="DK1_Large"/>
    <x v="1"/>
    <x v="4"/>
    <x v="0"/>
    <x v="12"/>
    <n v="140.90909090909099"/>
    <n v="51431.818181818198"/>
    <n v="185154.54545454599"/>
  </r>
  <r>
    <x v="0"/>
    <x v="0"/>
    <x v="0"/>
    <x v="0"/>
    <x v="0"/>
    <s v="DK1_Large"/>
    <x v="1"/>
    <x v="4"/>
    <x v="0"/>
    <x v="13"/>
    <n v="140.90909090909099"/>
    <n v="51431.818181818198"/>
    <n v="185154.54545454599"/>
  </r>
  <r>
    <x v="0"/>
    <x v="0"/>
    <x v="0"/>
    <x v="0"/>
    <x v="0"/>
    <s v="DK1_Large"/>
    <x v="1"/>
    <x v="4"/>
    <x v="0"/>
    <x v="14"/>
    <n v="140.90909090909099"/>
    <n v="51431.818181818198"/>
    <n v="185154.54545454599"/>
  </r>
  <r>
    <x v="0"/>
    <x v="0"/>
    <x v="0"/>
    <x v="0"/>
    <x v="0"/>
    <s v="DK1_Large"/>
    <x v="1"/>
    <x v="4"/>
    <x v="0"/>
    <x v="15"/>
    <n v="140.90909090909099"/>
    <n v="51431.818181818198"/>
    <n v="185154.54545454599"/>
  </r>
  <r>
    <x v="0"/>
    <x v="0"/>
    <x v="0"/>
    <x v="0"/>
    <x v="0"/>
    <s v="DK1_Large"/>
    <x v="1"/>
    <x v="4"/>
    <x v="0"/>
    <x v="16"/>
    <n v="140.90909090909099"/>
    <n v="51431.818181818198"/>
    <n v="185154.54545454599"/>
  </r>
  <r>
    <x v="0"/>
    <x v="0"/>
    <x v="0"/>
    <x v="0"/>
    <x v="0"/>
    <s v="DK1_Large"/>
    <x v="1"/>
    <x v="4"/>
    <x v="0"/>
    <x v="17"/>
    <n v="140.90909090909099"/>
    <n v="51431.818181818198"/>
    <n v="185154.54545454599"/>
  </r>
  <r>
    <x v="0"/>
    <x v="0"/>
    <x v="0"/>
    <x v="0"/>
    <x v="0"/>
    <s v="DK1_Large"/>
    <x v="1"/>
    <x v="4"/>
    <x v="0"/>
    <x v="18"/>
    <n v="140.90909090909099"/>
    <n v="51431.818181818198"/>
    <n v="185154.54545454599"/>
  </r>
  <r>
    <x v="0"/>
    <x v="0"/>
    <x v="0"/>
    <x v="0"/>
    <x v="0"/>
    <s v="DK1_Large"/>
    <x v="1"/>
    <x v="4"/>
    <x v="0"/>
    <x v="19"/>
    <n v="140.90909090909099"/>
    <n v="51431.818181818198"/>
    <n v="185154.54545454599"/>
  </r>
  <r>
    <x v="0"/>
    <x v="0"/>
    <x v="0"/>
    <x v="0"/>
    <x v="0"/>
    <s v="DK1_Large"/>
    <x v="1"/>
    <x v="4"/>
    <x v="0"/>
    <x v="20"/>
    <n v="140.90909090909099"/>
    <n v="51431.818181818198"/>
    <n v="185154.54545454599"/>
  </r>
  <r>
    <x v="0"/>
    <x v="0"/>
    <x v="0"/>
    <x v="0"/>
    <x v="0"/>
    <s v="DK1_Large"/>
    <x v="1"/>
    <x v="4"/>
    <x v="0"/>
    <x v="21"/>
    <n v="140.90909090909099"/>
    <n v="51431.818181818198"/>
    <n v="185154.54545454599"/>
  </r>
  <r>
    <x v="0"/>
    <x v="0"/>
    <x v="0"/>
    <x v="0"/>
    <x v="0"/>
    <s v="DK1_Large"/>
    <x v="1"/>
    <x v="4"/>
    <x v="0"/>
    <x v="22"/>
    <n v="140.90909090909099"/>
    <n v="51431.818181818198"/>
    <n v="185154.54545454599"/>
  </r>
  <r>
    <x v="0"/>
    <x v="0"/>
    <x v="0"/>
    <x v="0"/>
    <x v="0"/>
    <s v="DK1_Large"/>
    <x v="1"/>
    <x v="4"/>
    <x v="0"/>
    <x v="23"/>
    <n v="140.90909090909099"/>
    <n v="51431.818181818198"/>
    <n v="185154.54545454599"/>
  </r>
  <r>
    <x v="0"/>
    <x v="0"/>
    <x v="0"/>
    <x v="0"/>
    <x v="0"/>
    <s v="DK1_Large"/>
    <x v="1"/>
    <x v="5"/>
    <x v="0"/>
    <x v="3"/>
    <n v="156.78260869565199"/>
    <n v="57225.652173913099"/>
    <n v="206012.347826087"/>
  </r>
  <r>
    <x v="0"/>
    <x v="0"/>
    <x v="0"/>
    <x v="0"/>
    <x v="0"/>
    <s v="DK1_Large"/>
    <x v="1"/>
    <x v="5"/>
    <x v="0"/>
    <x v="4"/>
    <n v="156.78260869565199"/>
    <n v="57225.652173913099"/>
    <n v="206012.347826087"/>
  </r>
  <r>
    <x v="0"/>
    <x v="0"/>
    <x v="0"/>
    <x v="0"/>
    <x v="0"/>
    <s v="DK1_Large"/>
    <x v="1"/>
    <x v="5"/>
    <x v="0"/>
    <x v="5"/>
    <n v="156.78260869565199"/>
    <n v="57225.652173913099"/>
    <n v="206012.347826087"/>
  </r>
  <r>
    <x v="0"/>
    <x v="0"/>
    <x v="0"/>
    <x v="0"/>
    <x v="0"/>
    <s v="DK1_Large"/>
    <x v="1"/>
    <x v="5"/>
    <x v="0"/>
    <x v="6"/>
    <n v="156.78260869565199"/>
    <n v="57225.652173913099"/>
    <n v="206012.347826087"/>
  </r>
  <r>
    <x v="0"/>
    <x v="0"/>
    <x v="0"/>
    <x v="0"/>
    <x v="0"/>
    <s v="DK1_Large"/>
    <x v="1"/>
    <x v="5"/>
    <x v="0"/>
    <x v="7"/>
    <n v="156.78260869565199"/>
    <n v="57225.652173913099"/>
    <n v="206012.347826087"/>
  </r>
  <r>
    <x v="0"/>
    <x v="0"/>
    <x v="0"/>
    <x v="0"/>
    <x v="0"/>
    <s v="DK1_Large"/>
    <x v="1"/>
    <x v="5"/>
    <x v="0"/>
    <x v="8"/>
    <n v="156.78260869565199"/>
    <n v="57225.652173913099"/>
    <n v="206012.347826087"/>
  </r>
  <r>
    <x v="0"/>
    <x v="0"/>
    <x v="0"/>
    <x v="0"/>
    <x v="0"/>
    <s v="DK1_Large"/>
    <x v="1"/>
    <x v="5"/>
    <x v="0"/>
    <x v="0"/>
    <n v="156.78260869565199"/>
    <n v="57225.652173913099"/>
    <n v="206012.347826087"/>
  </r>
  <r>
    <x v="0"/>
    <x v="0"/>
    <x v="0"/>
    <x v="0"/>
    <x v="0"/>
    <s v="DK1_Large"/>
    <x v="1"/>
    <x v="5"/>
    <x v="0"/>
    <x v="1"/>
    <n v="156.78260869565199"/>
    <n v="57225.652173913099"/>
    <n v="206012.347826087"/>
  </r>
  <r>
    <x v="0"/>
    <x v="0"/>
    <x v="0"/>
    <x v="0"/>
    <x v="0"/>
    <s v="DK1_Large"/>
    <x v="1"/>
    <x v="5"/>
    <x v="0"/>
    <x v="2"/>
    <n v="156.78260869565199"/>
    <n v="57225.652173913099"/>
    <n v="206012.347826087"/>
  </r>
  <r>
    <x v="0"/>
    <x v="0"/>
    <x v="0"/>
    <x v="0"/>
    <x v="0"/>
    <s v="DK1_Large"/>
    <x v="1"/>
    <x v="5"/>
    <x v="0"/>
    <x v="9"/>
    <n v="156.78260869565199"/>
    <n v="57225.652173913099"/>
    <n v="206012.347826087"/>
  </r>
  <r>
    <x v="0"/>
    <x v="0"/>
    <x v="0"/>
    <x v="0"/>
    <x v="0"/>
    <s v="DK1_Large"/>
    <x v="1"/>
    <x v="5"/>
    <x v="0"/>
    <x v="10"/>
    <n v="156.78260869565199"/>
    <n v="57225.652173913099"/>
    <n v="206012.347826087"/>
  </r>
  <r>
    <x v="0"/>
    <x v="0"/>
    <x v="0"/>
    <x v="0"/>
    <x v="0"/>
    <s v="DK1_Large"/>
    <x v="1"/>
    <x v="5"/>
    <x v="0"/>
    <x v="11"/>
    <n v="156.78260869565199"/>
    <n v="57225.652173913099"/>
    <n v="206012.347826087"/>
  </r>
  <r>
    <x v="0"/>
    <x v="0"/>
    <x v="0"/>
    <x v="0"/>
    <x v="0"/>
    <s v="DK1_Large"/>
    <x v="1"/>
    <x v="5"/>
    <x v="0"/>
    <x v="12"/>
    <n v="156.78260869565199"/>
    <n v="57225.652173913099"/>
    <n v="206012.347826087"/>
  </r>
  <r>
    <x v="0"/>
    <x v="0"/>
    <x v="0"/>
    <x v="0"/>
    <x v="0"/>
    <s v="DK1_Large"/>
    <x v="1"/>
    <x v="5"/>
    <x v="0"/>
    <x v="13"/>
    <n v="156.78260869565199"/>
    <n v="57225.652173913099"/>
    <n v="206012.347826087"/>
  </r>
  <r>
    <x v="0"/>
    <x v="0"/>
    <x v="0"/>
    <x v="0"/>
    <x v="0"/>
    <s v="DK1_Large"/>
    <x v="1"/>
    <x v="5"/>
    <x v="0"/>
    <x v="14"/>
    <n v="156.78260869565199"/>
    <n v="57225.652173913099"/>
    <n v="206012.347826087"/>
  </r>
  <r>
    <x v="0"/>
    <x v="0"/>
    <x v="0"/>
    <x v="0"/>
    <x v="0"/>
    <s v="DK1_Large"/>
    <x v="1"/>
    <x v="5"/>
    <x v="0"/>
    <x v="15"/>
    <n v="156.78260869565199"/>
    <n v="57225.652173913099"/>
    <n v="206012.347826087"/>
  </r>
  <r>
    <x v="0"/>
    <x v="0"/>
    <x v="0"/>
    <x v="0"/>
    <x v="0"/>
    <s v="DK1_Large"/>
    <x v="1"/>
    <x v="5"/>
    <x v="0"/>
    <x v="16"/>
    <n v="156.78260869565199"/>
    <n v="57225.652173913099"/>
    <n v="206012.347826087"/>
  </r>
  <r>
    <x v="0"/>
    <x v="0"/>
    <x v="0"/>
    <x v="0"/>
    <x v="0"/>
    <s v="DK1_Large"/>
    <x v="1"/>
    <x v="5"/>
    <x v="0"/>
    <x v="17"/>
    <n v="156.78260869565199"/>
    <n v="57225.652173913099"/>
    <n v="206012.347826087"/>
  </r>
  <r>
    <x v="0"/>
    <x v="0"/>
    <x v="0"/>
    <x v="0"/>
    <x v="0"/>
    <s v="DK1_Large"/>
    <x v="1"/>
    <x v="5"/>
    <x v="0"/>
    <x v="18"/>
    <n v="156.78260869565199"/>
    <n v="57225.652173913099"/>
    <n v="206012.347826087"/>
  </r>
  <r>
    <x v="0"/>
    <x v="0"/>
    <x v="0"/>
    <x v="0"/>
    <x v="0"/>
    <s v="DK1_Large"/>
    <x v="1"/>
    <x v="5"/>
    <x v="0"/>
    <x v="19"/>
    <n v="156.78260869565199"/>
    <n v="57225.652173913099"/>
    <n v="206012.347826087"/>
  </r>
  <r>
    <x v="0"/>
    <x v="0"/>
    <x v="0"/>
    <x v="0"/>
    <x v="0"/>
    <s v="DK1_Large"/>
    <x v="1"/>
    <x v="5"/>
    <x v="0"/>
    <x v="20"/>
    <n v="156.78260869565199"/>
    <n v="57225.652173913099"/>
    <n v="206012.347826087"/>
  </r>
  <r>
    <x v="0"/>
    <x v="0"/>
    <x v="0"/>
    <x v="0"/>
    <x v="0"/>
    <s v="DK1_Large"/>
    <x v="1"/>
    <x v="5"/>
    <x v="0"/>
    <x v="21"/>
    <n v="156.78260869565199"/>
    <n v="57225.652173913099"/>
    <n v="206012.347826087"/>
  </r>
  <r>
    <x v="0"/>
    <x v="0"/>
    <x v="0"/>
    <x v="0"/>
    <x v="0"/>
    <s v="DK1_Large"/>
    <x v="1"/>
    <x v="5"/>
    <x v="0"/>
    <x v="22"/>
    <n v="156.78260869565199"/>
    <n v="57225.652173913099"/>
    <n v="206012.347826087"/>
  </r>
  <r>
    <x v="0"/>
    <x v="0"/>
    <x v="0"/>
    <x v="0"/>
    <x v="0"/>
    <s v="DK1_Large"/>
    <x v="1"/>
    <x v="5"/>
    <x v="0"/>
    <x v="23"/>
    <n v="156.78260869565199"/>
    <n v="57225.652173913099"/>
    <n v="206012.347826087"/>
  </r>
  <r>
    <x v="0"/>
    <x v="0"/>
    <x v="0"/>
    <x v="0"/>
    <x v="0"/>
    <s v="DK1_Large"/>
    <x v="1"/>
    <x v="6"/>
    <x v="0"/>
    <x v="3"/>
    <n v="66.296296296296404"/>
    <n v="24198.148148148201"/>
    <n v="87113.333333333503"/>
  </r>
  <r>
    <x v="0"/>
    <x v="0"/>
    <x v="0"/>
    <x v="0"/>
    <x v="0"/>
    <s v="DK1_Large"/>
    <x v="1"/>
    <x v="6"/>
    <x v="0"/>
    <x v="4"/>
    <n v="66.296296296296404"/>
    <n v="24198.148148148201"/>
    <n v="87113.333333333503"/>
  </r>
  <r>
    <x v="0"/>
    <x v="0"/>
    <x v="0"/>
    <x v="0"/>
    <x v="0"/>
    <s v="DK1_Large"/>
    <x v="1"/>
    <x v="6"/>
    <x v="0"/>
    <x v="5"/>
    <n v="66.296296296296404"/>
    <n v="24198.148148148201"/>
    <n v="87113.333333333503"/>
  </r>
  <r>
    <x v="0"/>
    <x v="0"/>
    <x v="0"/>
    <x v="0"/>
    <x v="0"/>
    <s v="DK1_Large"/>
    <x v="1"/>
    <x v="6"/>
    <x v="0"/>
    <x v="6"/>
    <n v="66.296296296296404"/>
    <n v="24198.148148148201"/>
    <n v="87113.333333333503"/>
  </r>
  <r>
    <x v="0"/>
    <x v="0"/>
    <x v="0"/>
    <x v="0"/>
    <x v="0"/>
    <s v="DK1_Large"/>
    <x v="1"/>
    <x v="6"/>
    <x v="0"/>
    <x v="7"/>
    <n v="66.296296296296404"/>
    <n v="24198.148148148201"/>
    <n v="87113.333333333503"/>
  </r>
  <r>
    <x v="0"/>
    <x v="0"/>
    <x v="0"/>
    <x v="0"/>
    <x v="0"/>
    <s v="DK1_Large"/>
    <x v="1"/>
    <x v="6"/>
    <x v="0"/>
    <x v="8"/>
    <n v="66.296296296296404"/>
    <n v="24198.148148148201"/>
    <n v="87113.333333333503"/>
  </r>
  <r>
    <x v="0"/>
    <x v="0"/>
    <x v="0"/>
    <x v="0"/>
    <x v="0"/>
    <s v="DK1_Large"/>
    <x v="1"/>
    <x v="6"/>
    <x v="0"/>
    <x v="0"/>
    <n v="66.296296296296404"/>
    <n v="24198.148148148201"/>
    <n v="87113.333333333503"/>
  </r>
  <r>
    <x v="0"/>
    <x v="0"/>
    <x v="0"/>
    <x v="0"/>
    <x v="0"/>
    <s v="DK1_Large"/>
    <x v="1"/>
    <x v="6"/>
    <x v="0"/>
    <x v="1"/>
    <n v="66.296296296296404"/>
    <n v="24198.148148148201"/>
    <n v="87113.333333333503"/>
  </r>
  <r>
    <x v="0"/>
    <x v="0"/>
    <x v="0"/>
    <x v="0"/>
    <x v="0"/>
    <s v="DK1_Large"/>
    <x v="1"/>
    <x v="6"/>
    <x v="0"/>
    <x v="2"/>
    <n v="66.296296296296404"/>
    <n v="24198.148148148201"/>
    <n v="87113.333333333503"/>
  </r>
  <r>
    <x v="0"/>
    <x v="0"/>
    <x v="0"/>
    <x v="0"/>
    <x v="0"/>
    <s v="DK1_Large"/>
    <x v="1"/>
    <x v="6"/>
    <x v="0"/>
    <x v="9"/>
    <n v="66.296296296296404"/>
    <n v="24198.148148148201"/>
    <n v="87113.333333333503"/>
  </r>
  <r>
    <x v="0"/>
    <x v="0"/>
    <x v="0"/>
    <x v="0"/>
    <x v="0"/>
    <s v="DK1_Large"/>
    <x v="1"/>
    <x v="6"/>
    <x v="0"/>
    <x v="10"/>
    <n v="66.296296296296404"/>
    <n v="24198.148148148201"/>
    <n v="87113.333333333503"/>
  </r>
  <r>
    <x v="0"/>
    <x v="0"/>
    <x v="0"/>
    <x v="0"/>
    <x v="0"/>
    <s v="DK1_Large"/>
    <x v="1"/>
    <x v="6"/>
    <x v="0"/>
    <x v="11"/>
    <n v="66.296296296296404"/>
    <n v="24198.148148148201"/>
    <n v="87113.333333333503"/>
  </r>
  <r>
    <x v="0"/>
    <x v="0"/>
    <x v="0"/>
    <x v="0"/>
    <x v="0"/>
    <s v="DK1_Large"/>
    <x v="1"/>
    <x v="6"/>
    <x v="0"/>
    <x v="12"/>
    <n v="66.296296296296404"/>
    <n v="24198.148148148201"/>
    <n v="87113.333333333503"/>
  </r>
  <r>
    <x v="0"/>
    <x v="0"/>
    <x v="0"/>
    <x v="0"/>
    <x v="0"/>
    <s v="DK1_Large"/>
    <x v="1"/>
    <x v="6"/>
    <x v="0"/>
    <x v="13"/>
    <n v="66.296296296296404"/>
    <n v="24198.148148148201"/>
    <n v="87113.333333333503"/>
  </r>
  <r>
    <x v="0"/>
    <x v="0"/>
    <x v="0"/>
    <x v="0"/>
    <x v="0"/>
    <s v="DK1_Large"/>
    <x v="1"/>
    <x v="6"/>
    <x v="0"/>
    <x v="14"/>
    <n v="66.296296296296404"/>
    <n v="24198.148148148201"/>
    <n v="87113.333333333503"/>
  </r>
  <r>
    <x v="0"/>
    <x v="0"/>
    <x v="0"/>
    <x v="0"/>
    <x v="0"/>
    <s v="DK1_Large"/>
    <x v="1"/>
    <x v="6"/>
    <x v="0"/>
    <x v="15"/>
    <n v="66.296296296296404"/>
    <n v="24198.148148148201"/>
    <n v="87113.333333333503"/>
  </r>
  <r>
    <x v="0"/>
    <x v="0"/>
    <x v="0"/>
    <x v="0"/>
    <x v="0"/>
    <s v="DK1_Large"/>
    <x v="1"/>
    <x v="6"/>
    <x v="0"/>
    <x v="16"/>
    <n v="66.296296296296404"/>
    <n v="24198.148148148201"/>
    <n v="87113.333333333503"/>
  </r>
  <r>
    <x v="0"/>
    <x v="0"/>
    <x v="0"/>
    <x v="0"/>
    <x v="0"/>
    <s v="DK1_Large"/>
    <x v="1"/>
    <x v="6"/>
    <x v="0"/>
    <x v="17"/>
    <n v="66.296296296296404"/>
    <n v="24198.148148148201"/>
    <n v="87113.333333333503"/>
  </r>
  <r>
    <x v="0"/>
    <x v="0"/>
    <x v="0"/>
    <x v="0"/>
    <x v="0"/>
    <s v="DK1_Large"/>
    <x v="1"/>
    <x v="6"/>
    <x v="0"/>
    <x v="18"/>
    <n v="66.296296296296404"/>
    <n v="24198.148148148201"/>
    <n v="87113.333333333503"/>
  </r>
  <r>
    <x v="0"/>
    <x v="0"/>
    <x v="0"/>
    <x v="0"/>
    <x v="0"/>
    <s v="DK1_Large"/>
    <x v="1"/>
    <x v="6"/>
    <x v="0"/>
    <x v="19"/>
    <n v="66.296296296296404"/>
    <n v="24198.148148148201"/>
    <n v="87113.333333333503"/>
  </r>
  <r>
    <x v="0"/>
    <x v="0"/>
    <x v="0"/>
    <x v="0"/>
    <x v="0"/>
    <s v="DK1_Large"/>
    <x v="1"/>
    <x v="6"/>
    <x v="0"/>
    <x v="20"/>
    <n v="66.296296296296404"/>
    <n v="24198.148148148201"/>
    <n v="87113.333333333503"/>
  </r>
  <r>
    <x v="0"/>
    <x v="0"/>
    <x v="0"/>
    <x v="0"/>
    <x v="0"/>
    <s v="DK1_Large"/>
    <x v="1"/>
    <x v="6"/>
    <x v="0"/>
    <x v="21"/>
    <n v="66.296296296296404"/>
    <n v="24198.148148148201"/>
    <n v="87113.333333333503"/>
  </r>
  <r>
    <x v="0"/>
    <x v="0"/>
    <x v="0"/>
    <x v="0"/>
    <x v="0"/>
    <s v="DK1_Large"/>
    <x v="1"/>
    <x v="6"/>
    <x v="0"/>
    <x v="22"/>
    <n v="66.296296296296404"/>
    <n v="24198.148148148201"/>
    <n v="87113.333333333503"/>
  </r>
  <r>
    <x v="0"/>
    <x v="0"/>
    <x v="0"/>
    <x v="0"/>
    <x v="0"/>
    <s v="DK1_Large"/>
    <x v="1"/>
    <x v="6"/>
    <x v="0"/>
    <x v="23"/>
    <n v="66.296296296296404"/>
    <n v="24198.148148148201"/>
    <n v="87113.333333333503"/>
  </r>
  <r>
    <x v="0"/>
    <x v="0"/>
    <x v="0"/>
    <x v="0"/>
    <x v="0"/>
    <s v="DK1_Large"/>
    <x v="2"/>
    <x v="7"/>
    <x v="0"/>
    <x v="3"/>
    <n v="3.0794117647058799"/>
    <n v="1123.98529411765"/>
    <n v="4046.34705882353"/>
  </r>
  <r>
    <x v="0"/>
    <x v="0"/>
    <x v="0"/>
    <x v="0"/>
    <x v="0"/>
    <s v="DK1_Large"/>
    <x v="2"/>
    <x v="7"/>
    <x v="0"/>
    <x v="4"/>
    <n v="3.0794117647058799"/>
    <n v="1123.98529411765"/>
    <n v="4046.34705882353"/>
  </r>
  <r>
    <x v="0"/>
    <x v="0"/>
    <x v="0"/>
    <x v="0"/>
    <x v="0"/>
    <s v="DK1_Large"/>
    <x v="2"/>
    <x v="7"/>
    <x v="0"/>
    <x v="5"/>
    <n v="3.0794117647058799"/>
    <n v="1123.98529411765"/>
    <n v="4046.34705882353"/>
  </r>
  <r>
    <x v="0"/>
    <x v="0"/>
    <x v="0"/>
    <x v="0"/>
    <x v="0"/>
    <s v="DK1_Large"/>
    <x v="2"/>
    <x v="7"/>
    <x v="0"/>
    <x v="6"/>
    <n v="3.0794117647058799"/>
    <n v="1123.98529411765"/>
    <n v="4046.34705882353"/>
  </r>
  <r>
    <x v="0"/>
    <x v="0"/>
    <x v="0"/>
    <x v="0"/>
    <x v="0"/>
    <s v="DK1_Large"/>
    <x v="2"/>
    <x v="7"/>
    <x v="0"/>
    <x v="7"/>
    <n v="3.0794117647058799"/>
    <n v="1123.98529411765"/>
    <n v="4046.34705882353"/>
  </r>
  <r>
    <x v="0"/>
    <x v="0"/>
    <x v="0"/>
    <x v="0"/>
    <x v="0"/>
    <s v="DK1_Large"/>
    <x v="2"/>
    <x v="7"/>
    <x v="0"/>
    <x v="8"/>
    <n v="3.0794117647058799"/>
    <n v="1123.98529411765"/>
    <n v="4046.34705882353"/>
  </r>
  <r>
    <x v="0"/>
    <x v="0"/>
    <x v="0"/>
    <x v="0"/>
    <x v="0"/>
    <s v="DK1_Large"/>
    <x v="2"/>
    <x v="7"/>
    <x v="0"/>
    <x v="0"/>
    <n v="3.0794117647058799"/>
    <n v="1123.98529411765"/>
    <n v="4046.34705882353"/>
  </r>
  <r>
    <x v="0"/>
    <x v="0"/>
    <x v="0"/>
    <x v="0"/>
    <x v="0"/>
    <s v="DK1_Large"/>
    <x v="2"/>
    <x v="7"/>
    <x v="0"/>
    <x v="1"/>
    <n v="3.0794117647058799"/>
    <n v="1123.98529411765"/>
    <n v="4046.34705882353"/>
  </r>
  <r>
    <x v="0"/>
    <x v="0"/>
    <x v="0"/>
    <x v="0"/>
    <x v="0"/>
    <s v="DK1_Large"/>
    <x v="2"/>
    <x v="7"/>
    <x v="0"/>
    <x v="2"/>
    <n v="3.0794117647058799"/>
    <n v="1123.98529411765"/>
    <n v="4046.34705882353"/>
  </r>
  <r>
    <x v="0"/>
    <x v="0"/>
    <x v="0"/>
    <x v="0"/>
    <x v="0"/>
    <s v="DK1_Large"/>
    <x v="2"/>
    <x v="7"/>
    <x v="0"/>
    <x v="9"/>
    <n v="3.0794117647058799"/>
    <n v="1123.98529411765"/>
    <n v="4046.34705882353"/>
  </r>
  <r>
    <x v="0"/>
    <x v="0"/>
    <x v="0"/>
    <x v="0"/>
    <x v="0"/>
    <s v="DK1_Large"/>
    <x v="2"/>
    <x v="7"/>
    <x v="0"/>
    <x v="10"/>
    <n v="3.0794117647058799"/>
    <n v="1123.98529411765"/>
    <n v="4046.34705882353"/>
  </r>
  <r>
    <x v="0"/>
    <x v="0"/>
    <x v="0"/>
    <x v="0"/>
    <x v="0"/>
    <s v="DK1_Large"/>
    <x v="2"/>
    <x v="7"/>
    <x v="0"/>
    <x v="11"/>
    <n v="3.0794117647058799"/>
    <n v="1123.98529411765"/>
    <n v="4046.34705882353"/>
  </r>
  <r>
    <x v="0"/>
    <x v="0"/>
    <x v="0"/>
    <x v="0"/>
    <x v="0"/>
    <s v="DK1_Large"/>
    <x v="2"/>
    <x v="7"/>
    <x v="0"/>
    <x v="12"/>
    <n v="3.0794117647058799"/>
    <n v="1123.98529411765"/>
    <n v="4046.34705882353"/>
  </r>
  <r>
    <x v="0"/>
    <x v="0"/>
    <x v="0"/>
    <x v="0"/>
    <x v="0"/>
    <s v="DK1_Large"/>
    <x v="2"/>
    <x v="7"/>
    <x v="0"/>
    <x v="13"/>
    <n v="3.0794117647058799"/>
    <n v="1123.98529411765"/>
    <n v="4046.34705882353"/>
  </r>
  <r>
    <x v="0"/>
    <x v="0"/>
    <x v="0"/>
    <x v="0"/>
    <x v="0"/>
    <s v="DK1_Large"/>
    <x v="2"/>
    <x v="7"/>
    <x v="0"/>
    <x v="14"/>
    <n v="3.0794117647058799"/>
    <n v="1123.98529411765"/>
    <n v="4046.34705882353"/>
  </r>
  <r>
    <x v="0"/>
    <x v="0"/>
    <x v="0"/>
    <x v="0"/>
    <x v="0"/>
    <s v="DK1_Large"/>
    <x v="2"/>
    <x v="7"/>
    <x v="0"/>
    <x v="15"/>
    <n v="3.0794117647058799"/>
    <n v="1123.98529411765"/>
    <n v="4046.34705882353"/>
  </r>
  <r>
    <x v="0"/>
    <x v="0"/>
    <x v="0"/>
    <x v="0"/>
    <x v="0"/>
    <s v="DK1_Large"/>
    <x v="2"/>
    <x v="7"/>
    <x v="0"/>
    <x v="16"/>
    <n v="3.0794117647058799"/>
    <n v="1123.98529411765"/>
    <n v="4046.34705882353"/>
  </r>
  <r>
    <x v="0"/>
    <x v="0"/>
    <x v="0"/>
    <x v="0"/>
    <x v="0"/>
    <s v="DK1_Large"/>
    <x v="2"/>
    <x v="7"/>
    <x v="0"/>
    <x v="17"/>
    <n v="3.0794117647058799"/>
    <n v="1123.98529411765"/>
    <n v="4046.34705882353"/>
  </r>
  <r>
    <x v="0"/>
    <x v="0"/>
    <x v="0"/>
    <x v="0"/>
    <x v="0"/>
    <s v="DK1_Large"/>
    <x v="2"/>
    <x v="7"/>
    <x v="0"/>
    <x v="18"/>
    <n v="3.0794117647058799"/>
    <n v="1123.98529411765"/>
    <n v="4046.34705882353"/>
  </r>
  <r>
    <x v="0"/>
    <x v="0"/>
    <x v="0"/>
    <x v="0"/>
    <x v="0"/>
    <s v="DK1_Large"/>
    <x v="2"/>
    <x v="7"/>
    <x v="0"/>
    <x v="19"/>
    <n v="3.0794117647058799"/>
    <n v="1123.98529411765"/>
    <n v="4046.34705882353"/>
  </r>
  <r>
    <x v="0"/>
    <x v="0"/>
    <x v="0"/>
    <x v="0"/>
    <x v="0"/>
    <s v="DK1_Large"/>
    <x v="2"/>
    <x v="7"/>
    <x v="0"/>
    <x v="20"/>
    <n v="3.0794117647058799"/>
    <n v="1123.98529411765"/>
    <n v="4046.34705882353"/>
  </r>
  <r>
    <x v="0"/>
    <x v="0"/>
    <x v="0"/>
    <x v="0"/>
    <x v="0"/>
    <s v="DK1_Large"/>
    <x v="2"/>
    <x v="7"/>
    <x v="0"/>
    <x v="21"/>
    <n v="3.0794117647058799"/>
    <n v="1123.98529411765"/>
    <n v="4046.34705882353"/>
  </r>
  <r>
    <x v="0"/>
    <x v="0"/>
    <x v="0"/>
    <x v="0"/>
    <x v="0"/>
    <s v="DK1_Large"/>
    <x v="2"/>
    <x v="7"/>
    <x v="0"/>
    <x v="22"/>
    <n v="3.0794117647058799"/>
    <n v="1123.98529411765"/>
    <n v="4046.34705882353"/>
  </r>
  <r>
    <x v="0"/>
    <x v="0"/>
    <x v="0"/>
    <x v="0"/>
    <x v="0"/>
    <s v="DK1_Large"/>
    <x v="2"/>
    <x v="7"/>
    <x v="0"/>
    <x v="23"/>
    <n v="3.0794117647058799"/>
    <n v="1123.98529411765"/>
    <n v="4046.34705882353"/>
  </r>
  <r>
    <x v="0"/>
    <x v="0"/>
    <x v="0"/>
    <x v="0"/>
    <x v="0"/>
    <s v="DK1_Large"/>
    <x v="2"/>
    <x v="8"/>
    <x v="0"/>
    <x v="3"/>
    <n v="7.7052631578947404"/>
    <n v="2812.4210526315801"/>
    <n v="10124.715789473699"/>
  </r>
  <r>
    <x v="0"/>
    <x v="0"/>
    <x v="0"/>
    <x v="0"/>
    <x v="0"/>
    <s v="DK1_Large"/>
    <x v="2"/>
    <x v="8"/>
    <x v="0"/>
    <x v="4"/>
    <n v="7.7052631578947404"/>
    <n v="2812.4210526315801"/>
    <n v="10124.715789473699"/>
  </r>
  <r>
    <x v="0"/>
    <x v="0"/>
    <x v="0"/>
    <x v="0"/>
    <x v="0"/>
    <s v="DK1_Large"/>
    <x v="2"/>
    <x v="8"/>
    <x v="0"/>
    <x v="5"/>
    <n v="7.7052631578947404"/>
    <n v="2812.4210526315801"/>
    <n v="10124.715789473699"/>
  </r>
  <r>
    <x v="0"/>
    <x v="0"/>
    <x v="0"/>
    <x v="0"/>
    <x v="0"/>
    <s v="DK1_Large"/>
    <x v="2"/>
    <x v="8"/>
    <x v="0"/>
    <x v="6"/>
    <n v="7.7052631578947404"/>
    <n v="2812.4210526315801"/>
    <n v="10124.715789473699"/>
  </r>
  <r>
    <x v="0"/>
    <x v="0"/>
    <x v="0"/>
    <x v="0"/>
    <x v="0"/>
    <s v="DK1_Large"/>
    <x v="2"/>
    <x v="8"/>
    <x v="0"/>
    <x v="7"/>
    <n v="7.7052631578947404"/>
    <n v="2812.4210526315801"/>
    <n v="10124.715789473699"/>
  </r>
  <r>
    <x v="0"/>
    <x v="0"/>
    <x v="0"/>
    <x v="0"/>
    <x v="0"/>
    <s v="DK1_Large"/>
    <x v="2"/>
    <x v="8"/>
    <x v="0"/>
    <x v="8"/>
    <n v="7.7052631578947404"/>
    <n v="2812.4210526315801"/>
    <n v="10124.715789473699"/>
  </r>
  <r>
    <x v="0"/>
    <x v="0"/>
    <x v="0"/>
    <x v="0"/>
    <x v="0"/>
    <s v="DK1_Large"/>
    <x v="2"/>
    <x v="8"/>
    <x v="0"/>
    <x v="0"/>
    <n v="7.7052631578947404"/>
    <n v="2812.4210526315801"/>
    <n v="10124.715789473699"/>
  </r>
  <r>
    <x v="0"/>
    <x v="0"/>
    <x v="0"/>
    <x v="0"/>
    <x v="0"/>
    <s v="DK1_Large"/>
    <x v="2"/>
    <x v="8"/>
    <x v="0"/>
    <x v="1"/>
    <n v="7.7052631578947404"/>
    <n v="2812.4210526315801"/>
    <n v="10124.715789473699"/>
  </r>
  <r>
    <x v="0"/>
    <x v="0"/>
    <x v="0"/>
    <x v="0"/>
    <x v="0"/>
    <s v="DK1_Large"/>
    <x v="2"/>
    <x v="8"/>
    <x v="0"/>
    <x v="2"/>
    <n v="7.7052631578947404"/>
    <n v="2812.4210526315801"/>
    <n v="10124.715789473699"/>
  </r>
  <r>
    <x v="0"/>
    <x v="0"/>
    <x v="0"/>
    <x v="0"/>
    <x v="0"/>
    <s v="DK1_Large"/>
    <x v="2"/>
    <x v="8"/>
    <x v="0"/>
    <x v="9"/>
    <n v="7.7052631578947404"/>
    <n v="2812.4210526315801"/>
    <n v="10124.715789473699"/>
  </r>
  <r>
    <x v="0"/>
    <x v="0"/>
    <x v="0"/>
    <x v="0"/>
    <x v="0"/>
    <s v="DK1_Large"/>
    <x v="2"/>
    <x v="8"/>
    <x v="0"/>
    <x v="10"/>
    <n v="7.7052631578947404"/>
    <n v="2812.4210526315801"/>
    <n v="10124.715789473699"/>
  </r>
  <r>
    <x v="0"/>
    <x v="0"/>
    <x v="0"/>
    <x v="0"/>
    <x v="0"/>
    <s v="DK1_Large"/>
    <x v="2"/>
    <x v="8"/>
    <x v="0"/>
    <x v="11"/>
    <n v="7.7052631578947404"/>
    <n v="2812.4210526315801"/>
    <n v="10124.715789473699"/>
  </r>
  <r>
    <x v="0"/>
    <x v="0"/>
    <x v="0"/>
    <x v="0"/>
    <x v="0"/>
    <s v="DK1_Large"/>
    <x v="2"/>
    <x v="8"/>
    <x v="0"/>
    <x v="12"/>
    <n v="7.7052631578947404"/>
    <n v="2812.4210526315801"/>
    <n v="10124.715789473699"/>
  </r>
  <r>
    <x v="0"/>
    <x v="0"/>
    <x v="0"/>
    <x v="0"/>
    <x v="0"/>
    <s v="DK1_Large"/>
    <x v="2"/>
    <x v="8"/>
    <x v="0"/>
    <x v="13"/>
    <n v="7.7052631578947404"/>
    <n v="2812.4210526315801"/>
    <n v="10124.715789473699"/>
  </r>
  <r>
    <x v="0"/>
    <x v="0"/>
    <x v="0"/>
    <x v="0"/>
    <x v="0"/>
    <s v="DK1_Large"/>
    <x v="2"/>
    <x v="8"/>
    <x v="0"/>
    <x v="14"/>
    <n v="7.7052631578947404"/>
    <n v="2812.4210526315801"/>
    <n v="10124.715789473699"/>
  </r>
  <r>
    <x v="0"/>
    <x v="0"/>
    <x v="0"/>
    <x v="0"/>
    <x v="0"/>
    <s v="DK1_Large"/>
    <x v="2"/>
    <x v="8"/>
    <x v="0"/>
    <x v="15"/>
    <n v="7.7052631578947404"/>
    <n v="2812.4210526315801"/>
    <n v="10124.715789473699"/>
  </r>
  <r>
    <x v="0"/>
    <x v="0"/>
    <x v="0"/>
    <x v="0"/>
    <x v="0"/>
    <s v="DK1_Large"/>
    <x v="2"/>
    <x v="8"/>
    <x v="0"/>
    <x v="16"/>
    <n v="7.7052631578947404"/>
    <n v="2812.4210526315801"/>
    <n v="10124.715789473699"/>
  </r>
  <r>
    <x v="0"/>
    <x v="0"/>
    <x v="0"/>
    <x v="0"/>
    <x v="0"/>
    <s v="DK1_Large"/>
    <x v="2"/>
    <x v="8"/>
    <x v="0"/>
    <x v="17"/>
    <n v="7.7052631578947404"/>
    <n v="2812.4210526315801"/>
    <n v="10124.715789473699"/>
  </r>
  <r>
    <x v="0"/>
    <x v="0"/>
    <x v="0"/>
    <x v="0"/>
    <x v="0"/>
    <s v="DK1_Large"/>
    <x v="2"/>
    <x v="8"/>
    <x v="0"/>
    <x v="18"/>
    <n v="7.7052631578947404"/>
    <n v="2812.4210526315801"/>
    <n v="10124.715789473699"/>
  </r>
  <r>
    <x v="0"/>
    <x v="0"/>
    <x v="0"/>
    <x v="0"/>
    <x v="0"/>
    <s v="DK1_Large"/>
    <x v="2"/>
    <x v="8"/>
    <x v="0"/>
    <x v="19"/>
    <n v="7.7052631578947404"/>
    <n v="2812.4210526315801"/>
    <n v="10124.715789473699"/>
  </r>
  <r>
    <x v="0"/>
    <x v="0"/>
    <x v="0"/>
    <x v="0"/>
    <x v="0"/>
    <s v="DK1_Large"/>
    <x v="2"/>
    <x v="8"/>
    <x v="0"/>
    <x v="20"/>
    <n v="7.7052631578947404"/>
    <n v="2812.4210526315801"/>
    <n v="10124.715789473699"/>
  </r>
  <r>
    <x v="0"/>
    <x v="0"/>
    <x v="0"/>
    <x v="0"/>
    <x v="0"/>
    <s v="DK1_Large"/>
    <x v="2"/>
    <x v="8"/>
    <x v="0"/>
    <x v="21"/>
    <n v="7.7052631578947404"/>
    <n v="2812.4210526315801"/>
    <n v="10124.715789473699"/>
  </r>
  <r>
    <x v="0"/>
    <x v="0"/>
    <x v="0"/>
    <x v="0"/>
    <x v="0"/>
    <s v="DK1_Large"/>
    <x v="2"/>
    <x v="8"/>
    <x v="0"/>
    <x v="22"/>
    <n v="7.7052631578947404"/>
    <n v="2812.4210526315801"/>
    <n v="10124.715789473699"/>
  </r>
  <r>
    <x v="0"/>
    <x v="0"/>
    <x v="0"/>
    <x v="0"/>
    <x v="0"/>
    <s v="DK1_Large"/>
    <x v="2"/>
    <x v="8"/>
    <x v="0"/>
    <x v="23"/>
    <n v="7.7052631578947404"/>
    <n v="2812.4210526315801"/>
    <n v="10124.715789473699"/>
  </r>
  <r>
    <x v="0"/>
    <x v="0"/>
    <x v="0"/>
    <x v="0"/>
    <x v="0"/>
    <s v="DK1_Large"/>
    <x v="2"/>
    <x v="9"/>
    <x v="0"/>
    <x v="3"/>
    <n v="34.512820512820497"/>
    <n v="12597.179487179499"/>
    <n v="45349.8461538462"/>
  </r>
  <r>
    <x v="0"/>
    <x v="0"/>
    <x v="0"/>
    <x v="0"/>
    <x v="0"/>
    <s v="DK1_Large"/>
    <x v="2"/>
    <x v="9"/>
    <x v="0"/>
    <x v="4"/>
    <n v="34.512820512820497"/>
    <n v="12597.179487179499"/>
    <n v="45349.8461538462"/>
  </r>
  <r>
    <x v="0"/>
    <x v="0"/>
    <x v="0"/>
    <x v="0"/>
    <x v="0"/>
    <s v="DK1_Large"/>
    <x v="2"/>
    <x v="9"/>
    <x v="0"/>
    <x v="5"/>
    <n v="34.512820512820497"/>
    <n v="12597.179487179499"/>
    <n v="45349.8461538462"/>
  </r>
  <r>
    <x v="0"/>
    <x v="0"/>
    <x v="0"/>
    <x v="0"/>
    <x v="0"/>
    <s v="DK1_Large"/>
    <x v="2"/>
    <x v="9"/>
    <x v="0"/>
    <x v="6"/>
    <n v="34.512820512820497"/>
    <n v="12597.179487179499"/>
    <n v="45349.8461538462"/>
  </r>
  <r>
    <x v="0"/>
    <x v="0"/>
    <x v="0"/>
    <x v="0"/>
    <x v="0"/>
    <s v="DK1_Large"/>
    <x v="2"/>
    <x v="9"/>
    <x v="0"/>
    <x v="7"/>
    <n v="34.512820512820497"/>
    <n v="12597.179487179499"/>
    <n v="45349.8461538462"/>
  </r>
  <r>
    <x v="0"/>
    <x v="0"/>
    <x v="0"/>
    <x v="0"/>
    <x v="0"/>
    <s v="DK1_Large"/>
    <x v="2"/>
    <x v="9"/>
    <x v="0"/>
    <x v="8"/>
    <n v="34.512820512820497"/>
    <n v="12597.179487179499"/>
    <n v="45349.8461538462"/>
  </r>
  <r>
    <x v="0"/>
    <x v="0"/>
    <x v="0"/>
    <x v="0"/>
    <x v="0"/>
    <s v="DK1_Large"/>
    <x v="2"/>
    <x v="9"/>
    <x v="0"/>
    <x v="0"/>
    <n v="34.512820512820497"/>
    <n v="12597.179487179499"/>
    <n v="45349.8461538462"/>
  </r>
  <r>
    <x v="0"/>
    <x v="0"/>
    <x v="0"/>
    <x v="0"/>
    <x v="0"/>
    <s v="DK1_Large"/>
    <x v="2"/>
    <x v="9"/>
    <x v="0"/>
    <x v="1"/>
    <n v="34.512820512820497"/>
    <n v="12597.179487179499"/>
    <n v="45349.8461538462"/>
  </r>
  <r>
    <x v="0"/>
    <x v="0"/>
    <x v="0"/>
    <x v="0"/>
    <x v="0"/>
    <s v="DK1_Large"/>
    <x v="2"/>
    <x v="9"/>
    <x v="0"/>
    <x v="2"/>
    <n v="34.512820512820497"/>
    <n v="12597.179487179499"/>
    <n v="45349.8461538462"/>
  </r>
  <r>
    <x v="0"/>
    <x v="0"/>
    <x v="0"/>
    <x v="0"/>
    <x v="0"/>
    <s v="DK1_Large"/>
    <x v="2"/>
    <x v="9"/>
    <x v="0"/>
    <x v="9"/>
    <n v="34.512820512820497"/>
    <n v="12597.179487179499"/>
    <n v="45349.8461538462"/>
  </r>
  <r>
    <x v="0"/>
    <x v="0"/>
    <x v="0"/>
    <x v="0"/>
    <x v="0"/>
    <s v="DK1_Large"/>
    <x v="2"/>
    <x v="9"/>
    <x v="0"/>
    <x v="10"/>
    <n v="34.512820512820497"/>
    <n v="12597.179487179499"/>
    <n v="45349.8461538462"/>
  </r>
  <r>
    <x v="0"/>
    <x v="0"/>
    <x v="0"/>
    <x v="0"/>
    <x v="0"/>
    <s v="DK1_Large"/>
    <x v="2"/>
    <x v="9"/>
    <x v="0"/>
    <x v="11"/>
    <n v="34.512820512820497"/>
    <n v="12597.179487179499"/>
    <n v="45349.8461538462"/>
  </r>
  <r>
    <x v="0"/>
    <x v="0"/>
    <x v="0"/>
    <x v="0"/>
    <x v="0"/>
    <s v="DK1_Large"/>
    <x v="2"/>
    <x v="9"/>
    <x v="0"/>
    <x v="12"/>
    <n v="34.512820512820497"/>
    <n v="12597.179487179499"/>
    <n v="45349.8461538462"/>
  </r>
  <r>
    <x v="0"/>
    <x v="0"/>
    <x v="0"/>
    <x v="0"/>
    <x v="0"/>
    <s v="DK1_Large"/>
    <x v="2"/>
    <x v="9"/>
    <x v="0"/>
    <x v="13"/>
    <n v="34.512820512820497"/>
    <n v="12597.179487179499"/>
    <n v="45349.8461538462"/>
  </r>
  <r>
    <x v="0"/>
    <x v="0"/>
    <x v="0"/>
    <x v="0"/>
    <x v="0"/>
    <s v="DK1_Large"/>
    <x v="2"/>
    <x v="9"/>
    <x v="0"/>
    <x v="14"/>
    <n v="34.512820512820497"/>
    <n v="12597.179487179499"/>
    <n v="45349.8461538462"/>
  </r>
  <r>
    <x v="0"/>
    <x v="0"/>
    <x v="0"/>
    <x v="0"/>
    <x v="0"/>
    <s v="DK1_Large"/>
    <x v="2"/>
    <x v="9"/>
    <x v="0"/>
    <x v="15"/>
    <n v="34.512820512820497"/>
    <n v="12597.179487179499"/>
    <n v="45349.8461538462"/>
  </r>
  <r>
    <x v="0"/>
    <x v="0"/>
    <x v="0"/>
    <x v="0"/>
    <x v="0"/>
    <s v="DK1_Large"/>
    <x v="2"/>
    <x v="9"/>
    <x v="0"/>
    <x v="16"/>
    <n v="34.512820512820497"/>
    <n v="12597.179487179499"/>
    <n v="45349.8461538462"/>
  </r>
  <r>
    <x v="0"/>
    <x v="0"/>
    <x v="0"/>
    <x v="0"/>
    <x v="0"/>
    <s v="DK1_Large"/>
    <x v="2"/>
    <x v="9"/>
    <x v="0"/>
    <x v="17"/>
    <n v="34.512820512820497"/>
    <n v="12597.179487179499"/>
    <n v="45349.8461538462"/>
  </r>
  <r>
    <x v="0"/>
    <x v="0"/>
    <x v="0"/>
    <x v="0"/>
    <x v="0"/>
    <s v="DK1_Large"/>
    <x v="2"/>
    <x v="9"/>
    <x v="0"/>
    <x v="18"/>
    <n v="34.512820512820497"/>
    <n v="12597.179487179499"/>
    <n v="45349.8461538462"/>
  </r>
  <r>
    <x v="0"/>
    <x v="0"/>
    <x v="0"/>
    <x v="0"/>
    <x v="0"/>
    <s v="DK1_Large"/>
    <x v="2"/>
    <x v="9"/>
    <x v="0"/>
    <x v="19"/>
    <n v="34.512820512820497"/>
    <n v="12597.179487179499"/>
    <n v="45349.8461538462"/>
  </r>
  <r>
    <x v="0"/>
    <x v="0"/>
    <x v="0"/>
    <x v="0"/>
    <x v="0"/>
    <s v="DK1_Large"/>
    <x v="2"/>
    <x v="9"/>
    <x v="0"/>
    <x v="20"/>
    <n v="34.512820512820497"/>
    <n v="12597.179487179499"/>
    <n v="45349.8461538462"/>
  </r>
  <r>
    <x v="0"/>
    <x v="0"/>
    <x v="0"/>
    <x v="0"/>
    <x v="0"/>
    <s v="DK1_Large"/>
    <x v="2"/>
    <x v="9"/>
    <x v="0"/>
    <x v="21"/>
    <n v="34.512820512820497"/>
    <n v="12597.179487179499"/>
    <n v="45349.8461538462"/>
  </r>
  <r>
    <x v="0"/>
    <x v="0"/>
    <x v="0"/>
    <x v="0"/>
    <x v="0"/>
    <s v="DK1_Large"/>
    <x v="2"/>
    <x v="9"/>
    <x v="0"/>
    <x v="22"/>
    <n v="34.512820512820497"/>
    <n v="12597.179487179499"/>
    <n v="45349.8461538462"/>
  </r>
  <r>
    <x v="0"/>
    <x v="0"/>
    <x v="0"/>
    <x v="0"/>
    <x v="0"/>
    <s v="DK1_Large"/>
    <x v="2"/>
    <x v="9"/>
    <x v="0"/>
    <x v="23"/>
    <n v="34.512820512820497"/>
    <n v="12597.179487179499"/>
    <n v="45349.8461538462"/>
  </r>
  <r>
    <x v="0"/>
    <x v="0"/>
    <x v="0"/>
    <x v="0"/>
    <x v="0"/>
    <s v="DK1_Large"/>
    <x v="2"/>
    <x v="10"/>
    <x v="0"/>
    <x v="3"/>
    <n v="13.025"/>
    <n v="4754.125"/>
    <n v="17114.849999999999"/>
  </r>
  <r>
    <x v="0"/>
    <x v="0"/>
    <x v="0"/>
    <x v="0"/>
    <x v="0"/>
    <s v="DK1_Large"/>
    <x v="2"/>
    <x v="10"/>
    <x v="0"/>
    <x v="4"/>
    <n v="13.025"/>
    <n v="4754.125"/>
    <n v="17114.849999999999"/>
  </r>
  <r>
    <x v="0"/>
    <x v="0"/>
    <x v="0"/>
    <x v="0"/>
    <x v="0"/>
    <s v="DK1_Large"/>
    <x v="2"/>
    <x v="10"/>
    <x v="0"/>
    <x v="5"/>
    <n v="13.025"/>
    <n v="4754.125"/>
    <n v="17114.849999999999"/>
  </r>
  <r>
    <x v="0"/>
    <x v="0"/>
    <x v="0"/>
    <x v="0"/>
    <x v="0"/>
    <s v="DK1_Large"/>
    <x v="2"/>
    <x v="10"/>
    <x v="0"/>
    <x v="6"/>
    <n v="13.025"/>
    <n v="4754.125"/>
    <n v="17114.849999999999"/>
  </r>
  <r>
    <x v="0"/>
    <x v="0"/>
    <x v="0"/>
    <x v="0"/>
    <x v="0"/>
    <s v="DK1_Large"/>
    <x v="2"/>
    <x v="10"/>
    <x v="0"/>
    <x v="7"/>
    <n v="13.025"/>
    <n v="4754.125"/>
    <n v="17114.849999999999"/>
  </r>
  <r>
    <x v="0"/>
    <x v="0"/>
    <x v="0"/>
    <x v="0"/>
    <x v="0"/>
    <s v="DK1_Large"/>
    <x v="2"/>
    <x v="10"/>
    <x v="0"/>
    <x v="8"/>
    <n v="13.025"/>
    <n v="4754.125"/>
    <n v="17114.849999999999"/>
  </r>
  <r>
    <x v="0"/>
    <x v="0"/>
    <x v="0"/>
    <x v="0"/>
    <x v="0"/>
    <s v="DK1_Large"/>
    <x v="2"/>
    <x v="10"/>
    <x v="0"/>
    <x v="0"/>
    <n v="13.025"/>
    <n v="4754.125"/>
    <n v="17114.849999999999"/>
  </r>
  <r>
    <x v="0"/>
    <x v="0"/>
    <x v="0"/>
    <x v="0"/>
    <x v="0"/>
    <s v="DK1_Large"/>
    <x v="2"/>
    <x v="10"/>
    <x v="0"/>
    <x v="1"/>
    <n v="13.025"/>
    <n v="4754.125"/>
    <n v="17114.849999999999"/>
  </r>
  <r>
    <x v="0"/>
    <x v="0"/>
    <x v="0"/>
    <x v="0"/>
    <x v="0"/>
    <s v="DK1_Large"/>
    <x v="2"/>
    <x v="10"/>
    <x v="0"/>
    <x v="2"/>
    <n v="13.025"/>
    <n v="4754.125"/>
    <n v="17114.849999999999"/>
  </r>
  <r>
    <x v="0"/>
    <x v="0"/>
    <x v="0"/>
    <x v="0"/>
    <x v="0"/>
    <s v="DK1_Large"/>
    <x v="2"/>
    <x v="10"/>
    <x v="0"/>
    <x v="9"/>
    <n v="13.025"/>
    <n v="4754.125"/>
    <n v="17114.849999999999"/>
  </r>
  <r>
    <x v="0"/>
    <x v="0"/>
    <x v="0"/>
    <x v="0"/>
    <x v="0"/>
    <s v="DK1_Large"/>
    <x v="2"/>
    <x v="10"/>
    <x v="0"/>
    <x v="10"/>
    <n v="13.025"/>
    <n v="4754.125"/>
    <n v="17114.849999999999"/>
  </r>
  <r>
    <x v="0"/>
    <x v="0"/>
    <x v="0"/>
    <x v="0"/>
    <x v="0"/>
    <s v="DK1_Large"/>
    <x v="2"/>
    <x v="10"/>
    <x v="0"/>
    <x v="11"/>
    <n v="13.025"/>
    <n v="4754.125"/>
    <n v="17114.849999999999"/>
  </r>
  <r>
    <x v="0"/>
    <x v="0"/>
    <x v="0"/>
    <x v="0"/>
    <x v="0"/>
    <s v="DK1_Large"/>
    <x v="2"/>
    <x v="10"/>
    <x v="0"/>
    <x v="12"/>
    <n v="13.025"/>
    <n v="4754.125"/>
    <n v="17114.849999999999"/>
  </r>
  <r>
    <x v="0"/>
    <x v="0"/>
    <x v="0"/>
    <x v="0"/>
    <x v="0"/>
    <s v="DK1_Large"/>
    <x v="2"/>
    <x v="10"/>
    <x v="0"/>
    <x v="13"/>
    <n v="13.025"/>
    <n v="4754.125"/>
    <n v="17114.849999999999"/>
  </r>
  <r>
    <x v="0"/>
    <x v="0"/>
    <x v="0"/>
    <x v="0"/>
    <x v="0"/>
    <s v="DK1_Large"/>
    <x v="2"/>
    <x v="10"/>
    <x v="0"/>
    <x v="14"/>
    <n v="13.025"/>
    <n v="4754.125"/>
    <n v="17114.849999999999"/>
  </r>
  <r>
    <x v="0"/>
    <x v="0"/>
    <x v="0"/>
    <x v="0"/>
    <x v="0"/>
    <s v="DK1_Large"/>
    <x v="2"/>
    <x v="10"/>
    <x v="0"/>
    <x v="15"/>
    <n v="13.025"/>
    <n v="4754.125"/>
    <n v="17114.849999999999"/>
  </r>
  <r>
    <x v="0"/>
    <x v="0"/>
    <x v="0"/>
    <x v="0"/>
    <x v="0"/>
    <s v="DK1_Large"/>
    <x v="2"/>
    <x v="10"/>
    <x v="0"/>
    <x v="16"/>
    <n v="13.025"/>
    <n v="4754.125"/>
    <n v="17114.849999999999"/>
  </r>
  <r>
    <x v="0"/>
    <x v="0"/>
    <x v="0"/>
    <x v="0"/>
    <x v="0"/>
    <s v="DK1_Large"/>
    <x v="2"/>
    <x v="10"/>
    <x v="0"/>
    <x v="17"/>
    <n v="13.025"/>
    <n v="4754.125"/>
    <n v="17114.849999999999"/>
  </r>
  <r>
    <x v="0"/>
    <x v="0"/>
    <x v="0"/>
    <x v="0"/>
    <x v="0"/>
    <s v="DK1_Large"/>
    <x v="2"/>
    <x v="10"/>
    <x v="0"/>
    <x v="18"/>
    <n v="13.025"/>
    <n v="4754.125"/>
    <n v="17114.849999999999"/>
  </r>
  <r>
    <x v="0"/>
    <x v="0"/>
    <x v="0"/>
    <x v="0"/>
    <x v="0"/>
    <s v="DK1_Large"/>
    <x v="2"/>
    <x v="10"/>
    <x v="0"/>
    <x v="19"/>
    <n v="13.025"/>
    <n v="4754.125"/>
    <n v="17114.849999999999"/>
  </r>
  <r>
    <x v="0"/>
    <x v="0"/>
    <x v="0"/>
    <x v="0"/>
    <x v="0"/>
    <s v="DK1_Large"/>
    <x v="2"/>
    <x v="10"/>
    <x v="0"/>
    <x v="20"/>
    <n v="13.025"/>
    <n v="4754.125"/>
    <n v="17114.849999999999"/>
  </r>
  <r>
    <x v="0"/>
    <x v="0"/>
    <x v="0"/>
    <x v="0"/>
    <x v="0"/>
    <s v="DK1_Large"/>
    <x v="2"/>
    <x v="10"/>
    <x v="0"/>
    <x v="21"/>
    <n v="13.025"/>
    <n v="4754.125"/>
    <n v="17114.849999999999"/>
  </r>
  <r>
    <x v="0"/>
    <x v="0"/>
    <x v="0"/>
    <x v="0"/>
    <x v="0"/>
    <s v="DK1_Large"/>
    <x v="2"/>
    <x v="10"/>
    <x v="0"/>
    <x v="22"/>
    <n v="13.025"/>
    <n v="4754.125"/>
    <n v="17114.849999999999"/>
  </r>
  <r>
    <x v="0"/>
    <x v="0"/>
    <x v="0"/>
    <x v="0"/>
    <x v="0"/>
    <s v="DK1_Large"/>
    <x v="2"/>
    <x v="10"/>
    <x v="0"/>
    <x v="23"/>
    <n v="13.025"/>
    <n v="4754.125"/>
    <n v="17114.849999999999"/>
  </r>
  <r>
    <x v="0"/>
    <x v="0"/>
    <x v="0"/>
    <x v="0"/>
    <x v="0"/>
    <s v="DK1_Large"/>
    <x v="2"/>
    <x v="11"/>
    <x v="0"/>
    <x v="3"/>
    <n v="9.2682926829268393"/>
    <n v="3382.9268292683"/>
    <n v="12178.5365853659"/>
  </r>
  <r>
    <x v="0"/>
    <x v="0"/>
    <x v="0"/>
    <x v="0"/>
    <x v="0"/>
    <s v="DK1_Large"/>
    <x v="2"/>
    <x v="11"/>
    <x v="0"/>
    <x v="4"/>
    <n v="9.2682926829268393"/>
    <n v="3382.9268292683"/>
    <n v="12178.5365853659"/>
  </r>
  <r>
    <x v="0"/>
    <x v="0"/>
    <x v="0"/>
    <x v="0"/>
    <x v="0"/>
    <s v="DK1_Large"/>
    <x v="2"/>
    <x v="11"/>
    <x v="0"/>
    <x v="5"/>
    <n v="9.2682926829268393"/>
    <n v="3382.9268292683"/>
    <n v="12178.5365853659"/>
  </r>
  <r>
    <x v="0"/>
    <x v="0"/>
    <x v="0"/>
    <x v="0"/>
    <x v="0"/>
    <s v="DK1_Large"/>
    <x v="2"/>
    <x v="11"/>
    <x v="0"/>
    <x v="6"/>
    <n v="9.2682926829268393"/>
    <n v="3382.9268292683"/>
    <n v="12178.5365853659"/>
  </r>
  <r>
    <x v="0"/>
    <x v="0"/>
    <x v="0"/>
    <x v="0"/>
    <x v="0"/>
    <s v="DK1_Large"/>
    <x v="2"/>
    <x v="11"/>
    <x v="0"/>
    <x v="7"/>
    <n v="9.2682926829268393"/>
    <n v="3382.9268292683"/>
    <n v="12178.5365853659"/>
  </r>
  <r>
    <x v="0"/>
    <x v="0"/>
    <x v="0"/>
    <x v="0"/>
    <x v="0"/>
    <s v="DK1_Large"/>
    <x v="2"/>
    <x v="11"/>
    <x v="0"/>
    <x v="8"/>
    <n v="9.2682926829268393"/>
    <n v="3382.9268292683"/>
    <n v="12178.5365853659"/>
  </r>
  <r>
    <x v="0"/>
    <x v="0"/>
    <x v="0"/>
    <x v="0"/>
    <x v="0"/>
    <s v="DK1_Large"/>
    <x v="2"/>
    <x v="11"/>
    <x v="0"/>
    <x v="0"/>
    <n v="9.2682926829268393"/>
    <n v="3382.9268292683"/>
    <n v="12178.5365853659"/>
  </r>
  <r>
    <x v="0"/>
    <x v="0"/>
    <x v="0"/>
    <x v="0"/>
    <x v="0"/>
    <s v="DK1_Large"/>
    <x v="2"/>
    <x v="11"/>
    <x v="0"/>
    <x v="1"/>
    <n v="9.2682926829268393"/>
    <n v="3382.9268292683"/>
    <n v="12178.5365853659"/>
  </r>
  <r>
    <x v="0"/>
    <x v="0"/>
    <x v="0"/>
    <x v="0"/>
    <x v="0"/>
    <s v="DK1_Large"/>
    <x v="2"/>
    <x v="11"/>
    <x v="0"/>
    <x v="2"/>
    <n v="9.2682926829268393"/>
    <n v="3382.9268292683"/>
    <n v="12178.5365853659"/>
  </r>
  <r>
    <x v="0"/>
    <x v="0"/>
    <x v="0"/>
    <x v="0"/>
    <x v="0"/>
    <s v="DK1_Large"/>
    <x v="2"/>
    <x v="11"/>
    <x v="0"/>
    <x v="9"/>
    <n v="9.2682926829268393"/>
    <n v="3382.9268292683"/>
    <n v="12178.5365853659"/>
  </r>
  <r>
    <x v="0"/>
    <x v="0"/>
    <x v="0"/>
    <x v="0"/>
    <x v="0"/>
    <s v="DK1_Large"/>
    <x v="2"/>
    <x v="11"/>
    <x v="0"/>
    <x v="10"/>
    <n v="9.2682926829268393"/>
    <n v="3382.9268292683"/>
    <n v="12178.5365853659"/>
  </r>
  <r>
    <x v="0"/>
    <x v="0"/>
    <x v="0"/>
    <x v="0"/>
    <x v="0"/>
    <s v="DK1_Large"/>
    <x v="2"/>
    <x v="11"/>
    <x v="0"/>
    <x v="11"/>
    <n v="9.2682926829268393"/>
    <n v="3382.9268292683"/>
    <n v="12178.5365853659"/>
  </r>
  <r>
    <x v="0"/>
    <x v="0"/>
    <x v="0"/>
    <x v="0"/>
    <x v="0"/>
    <s v="DK1_Large"/>
    <x v="2"/>
    <x v="11"/>
    <x v="0"/>
    <x v="12"/>
    <n v="9.2682926829268393"/>
    <n v="3382.9268292683"/>
    <n v="12178.5365853659"/>
  </r>
  <r>
    <x v="0"/>
    <x v="0"/>
    <x v="0"/>
    <x v="0"/>
    <x v="0"/>
    <s v="DK1_Large"/>
    <x v="2"/>
    <x v="11"/>
    <x v="0"/>
    <x v="13"/>
    <n v="9.2682926829268393"/>
    <n v="3382.9268292683"/>
    <n v="12178.5365853659"/>
  </r>
  <r>
    <x v="0"/>
    <x v="0"/>
    <x v="0"/>
    <x v="0"/>
    <x v="0"/>
    <s v="DK1_Large"/>
    <x v="2"/>
    <x v="11"/>
    <x v="0"/>
    <x v="14"/>
    <n v="9.2682926829268393"/>
    <n v="3382.9268292683"/>
    <n v="12178.5365853659"/>
  </r>
  <r>
    <x v="0"/>
    <x v="0"/>
    <x v="0"/>
    <x v="0"/>
    <x v="0"/>
    <s v="DK1_Large"/>
    <x v="2"/>
    <x v="11"/>
    <x v="0"/>
    <x v="15"/>
    <n v="9.2682926829268393"/>
    <n v="3382.9268292683"/>
    <n v="12178.5365853659"/>
  </r>
  <r>
    <x v="0"/>
    <x v="0"/>
    <x v="0"/>
    <x v="0"/>
    <x v="0"/>
    <s v="DK1_Large"/>
    <x v="2"/>
    <x v="11"/>
    <x v="0"/>
    <x v="16"/>
    <n v="9.2682926829268393"/>
    <n v="3382.9268292683"/>
    <n v="12178.5365853659"/>
  </r>
  <r>
    <x v="0"/>
    <x v="0"/>
    <x v="0"/>
    <x v="0"/>
    <x v="0"/>
    <s v="DK1_Large"/>
    <x v="2"/>
    <x v="11"/>
    <x v="0"/>
    <x v="17"/>
    <n v="9.2682926829268393"/>
    <n v="3382.9268292683"/>
    <n v="12178.5365853659"/>
  </r>
  <r>
    <x v="0"/>
    <x v="0"/>
    <x v="0"/>
    <x v="0"/>
    <x v="0"/>
    <s v="DK1_Large"/>
    <x v="2"/>
    <x v="11"/>
    <x v="0"/>
    <x v="18"/>
    <n v="9.2682926829268393"/>
    <n v="3382.9268292683"/>
    <n v="12178.5365853659"/>
  </r>
  <r>
    <x v="0"/>
    <x v="0"/>
    <x v="0"/>
    <x v="0"/>
    <x v="0"/>
    <s v="DK1_Large"/>
    <x v="2"/>
    <x v="11"/>
    <x v="0"/>
    <x v="19"/>
    <n v="9.2682926829268393"/>
    <n v="3382.9268292683"/>
    <n v="12178.5365853659"/>
  </r>
  <r>
    <x v="0"/>
    <x v="0"/>
    <x v="0"/>
    <x v="0"/>
    <x v="0"/>
    <s v="DK1_Large"/>
    <x v="2"/>
    <x v="11"/>
    <x v="0"/>
    <x v="20"/>
    <n v="9.2682926829268393"/>
    <n v="3382.9268292683"/>
    <n v="12178.5365853659"/>
  </r>
  <r>
    <x v="0"/>
    <x v="0"/>
    <x v="0"/>
    <x v="0"/>
    <x v="0"/>
    <s v="DK1_Large"/>
    <x v="2"/>
    <x v="11"/>
    <x v="0"/>
    <x v="21"/>
    <n v="9.2682926829268393"/>
    <n v="3382.9268292683"/>
    <n v="12178.5365853659"/>
  </r>
  <r>
    <x v="0"/>
    <x v="0"/>
    <x v="0"/>
    <x v="0"/>
    <x v="0"/>
    <s v="DK1_Large"/>
    <x v="2"/>
    <x v="11"/>
    <x v="0"/>
    <x v="22"/>
    <n v="9.2682926829268393"/>
    <n v="3382.9268292683"/>
    <n v="12178.5365853659"/>
  </r>
  <r>
    <x v="0"/>
    <x v="0"/>
    <x v="0"/>
    <x v="0"/>
    <x v="0"/>
    <s v="DK1_Large"/>
    <x v="2"/>
    <x v="11"/>
    <x v="0"/>
    <x v="23"/>
    <n v="9.2682926829268393"/>
    <n v="3382.9268292683"/>
    <n v="12178.5365853659"/>
  </r>
  <r>
    <x v="0"/>
    <x v="0"/>
    <x v="0"/>
    <x v="0"/>
    <x v="0"/>
    <s v="DK1_Large"/>
    <x v="2"/>
    <x v="12"/>
    <x v="0"/>
    <x v="3"/>
    <n v="5.3809523809523796"/>
    <n v="1964.0476190476199"/>
    <n v="7070.5714285714303"/>
  </r>
  <r>
    <x v="0"/>
    <x v="0"/>
    <x v="0"/>
    <x v="0"/>
    <x v="0"/>
    <s v="DK1_Large"/>
    <x v="2"/>
    <x v="12"/>
    <x v="0"/>
    <x v="4"/>
    <n v="5.3809523809523796"/>
    <n v="1964.0476190476199"/>
    <n v="7070.5714285714303"/>
  </r>
  <r>
    <x v="0"/>
    <x v="0"/>
    <x v="0"/>
    <x v="0"/>
    <x v="0"/>
    <s v="DK1_Large"/>
    <x v="2"/>
    <x v="12"/>
    <x v="0"/>
    <x v="5"/>
    <n v="5.3809523809523796"/>
    <n v="1964.0476190476199"/>
    <n v="7070.5714285714303"/>
  </r>
  <r>
    <x v="0"/>
    <x v="0"/>
    <x v="0"/>
    <x v="0"/>
    <x v="0"/>
    <s v="DK1_Large"/>
    <x v="2"/>
    <x v="12"/>
    <x v="0"/>
    <x v="6"/>
    <n v="5.3809523809523796"/>
    <n v="1964.0476190476199"/>
    <n v="7070.5714285714303"/>
  </r>
  <r>
    <x v="0"/>
    <x v="0"/>
    <x v="0"/>
    <x v="0"/>
    <x v="0"/>
    <s v="DK1_Large"/>
    <x v="2"/>
    <x v="12"/>
    <x v="0"/>
    <x v="7"/>
    <n v="5.3809523809523796"/>
    <n v="1964.0476190476199"/>
    <n v="7070.5714285714303"/>
  </r>
  <r>
    <x v="0"/>
    <x v="0"/>
    <x v="0"/>
    <x v="0"/>
    <x v="0"/>
    <s v="DK1_Large"/>
    <x v="2"/>
    <x v="12"/>
    <x v="0"/>
    <x v="8"/>
    <n v="5.3809523809523796"/>
    <n v="1964.0476190476199"/>
    <n v="7070.5714285714303"/>
  </r>
  <r>
    <x v="0"/>
    <x v="0"/>
    <x v="0"/>
    <x v="0"/>
    <x v="0"/>
    <s v="DK1_Large"/>
    <x v="2"/>
    <x v="12"/>
    <x v="0"/>
    <x v="0"/>
    <n v="5.3809523809523796"/>
    <n v="1964.0476190476199"/>
    <n v="7070.5714285714303"/>
  </r>
  <r>
    <x v="0"/>
    <x v="0"/>
    <x v="0"/>
    <x v="0"/>
    <x v="0"/>
    <s v="DK1_Large"/>
    <x v="2"/>
    <x v="12"/>
    <x v="0"/>
    <x v="1"/>
    <n v="5.3809523809523796"/>
    <n v="1964.0476190476199"/>
    <n v="7070.5714285714303"/>
  </r>
  <r>
    <x v="0"/>
    <x v="0"/>
    <x v="0"/>
    <x v="0"/>
    <x v="0"/>
    <s v="DK1_Large"/>
    <x v="2"/>
    <x v="12"/>
    <x v="0"/>
    <x v="2"/>
    <n v="5.3809523809523796"/>
    <n v="1964.0476190476199"/>
    <n v="7070.5714285714303"/>
  </r>
  <r>
    <x v="0"/>
    <x v="0"/>
    <x v="0"/>
    <x v="0"/>
    <x v="0"/>
    <s v="DK1_Large"/>
    <x v="2"/>
    <x v="12"/>
    <x v="0"/>
    <x v="9"/>
    <n v="5.3809523809523796"/>
    <n v="1964.0476190476199"/>
    <n v="7070.5714285714303"/>
  </r>
  <r>
    <x v="0"/>
    <x v="0"/>
    <x v="0"/>
    <x v="0"/>
    <x v="0"/>
    <s v="DK1_Large"/>
    <x v="2"/>
    <x v="12"/>
    <x v="0"/>
    <x v="10"/>
    <n v="5.3809523809523796"/>
    <n v="1964.0476190476199"/>
    <n v="7070.5714285714303"/>
  </r>
  <r>
    <x v="0"/>
    <x v="0"/>
    <x v="0"/>
    <x v="0"/>
    <x v="0"/>
    <s v="DK1_Large"/>
    <x v="2"/>
    <x v="12"/>
    <x v="0"/>
    <x v="11"/>
    <n v="5.3809523809523796"/>
    <n v="1964.0476190476199"/>
    <n v="7070.5714285714303"/>
  </r>
  <r>
    <x v="0"/>
    <x v="0"/>
    <x v="0"/>
    <x v="0"/>
    <x v="0"/>
    <s v="DK1_Large"/>
    <x v="2"/>
    <x v="12"/>
    <x v="0"/>
    <x v="12"/>
    <n v="5.3809523809523796"/>
    <n v="1964.0476190476199"/>
    <n v="7070.5714285714303"/>
  </r>
  <r>
    <x v="0"/>
    <x v="0"/>
    <x v="0"/>
    <x v="0"/>
    <x v="0"/>
    <s v="DK1_Large"/>
    <x v="2"/>
    <x v="12"/>
    <x v="0"/>
    <x v="13"/>
    <n v="5.3809523809523796"/>
    <n v="1964.0476190476199"/>
    <n v="7070.5714285714303"/>
  </r>
  <r>
    <x v="0"/>
    <x v="0"/>
    <x v="0"/>
    <x v="0"/>
    <x v="0"/>
    <s v="DK1_Large"/>
    <x v="2"/>
    <x v="12"/>
    <x v="0"/>
    <x v="14"/>
    <n v="5.3809523809523796"/>
    <n v="1964.0476190476199"/>
    <n v="7070.5714285714303"/>
  </r>
  <r>
    <x v="0"/>
    <x v="0"/>
    <x v="0"/>
    <x v="0"/>
    <x v="0"/>
    <s v="DK1_Large"/>
    <x v="2"/>
    <x v="12"/>
    <x v="0"/>
    <x v="15"/>
    <n v="5.3809523809523796"/>
    <n v="1964.0476190476199"/>
    <n v="7070.5714285714303"/>
  </r>
  <r>
    <x v="0"/>
    <x v="0"/>
    <x v="0"/>
    <x v="0"/>
    <x v="0"/>
    <s v="DK1_Large"/>
    <x v="2"/>
    <x v="12"/>
    <x v="0"/>
    <x v="16"/>
    <n v="5.3809523809523796"/>
    <n v="1964.0476190476199"/>
    <n v="7070.5714285714303"/>
  </r>
  <r>
    <x v="0"/>
    <x v="0"/>
    <x v="0"/>
    <x v="0"/>
    <x v="0"/>
    <s v="DK1_Large"/>
    <x v="2"/>
    <x v="12"/>
    <x v="0"/>
    <x v="17"/>
    <n v="5.3809523809523796"/>
    <n v="1964.0476190476199"/>
    <n v="7070.5714285714303"/>
  </r>
  <r>
    <x v="0"/>
    <x v="0"/>
    <x v="0"/>
    <x v="0"/>
    <x v="0"/>
    <s v="DK1_Large"/>
    <x v="2"/>
    <x v="12"/>
    <x v="0"/>
    <x v="18"/>
    <n v="5.3809523809523796"/>
    <n v="1964.0476190476199"/>
    <n v="7070.5714285714303"/>
  </r>
  <r>
    <x v="0"/>
    <x v="0"/>
    <x v="0"/>
    <x v="0"/>
    <x v="0"/>
    <s v="DK1_Large"/>
    <x v="2"/>
    <x v="12"/>
    <x v="0"/>
    <x v="19"/>
    <n v="5.3809523809523796"/>
    <n v="1964.0476190476199"/>
    <n v="7070.5714285714303"/>
  </r>
  <r>
    <x v="0"/>
    <x v="0"/>
    <x v="0"/>
    <x v="0"/>
    <x v="0"/>
    <s v="DK1_Large"/>
    <x v="2"/>
    <x v="12"/>
    <x v="0"/>
    <x v="20"/>
    <n v="5.3809523809523796"/>
    <n v="1964.0476190476199"/>
    <n v="7070.5714285714303"/>
  </r>
  <r>
    <x v="0"/>
    <x v="0"/>
    <x v="0"/>
    <x v="0"/>
    <x v="0"/>
    <s v="DK1_Large"/>
    <x v="2"/>
    <x v="12"/>
    <x v="0"/>
    <x v="21"/>
    <n v="5.3809523809523796"/>
    <n v="1964.0476190476199"/>
    <n v="7070.5714285714303"/>
  </r>
  <r>
    <x v="0"/>
    <x v="0"/>
    <x v="0"/>
    <x v="0"/>
    <x v="0"/>
    <s v="DK1_Large"/>
    <x v="2"/>
    <x v="12"/>
    <x v="0"/>
    <x v="22"/>
    <n v="5.3809523809523796"/>
    <n v="1964.0476190476199"/>
    <n v="7070.5714285714303"/>
  </r>
  <r>
    <x v="0"/>
    <x v="0"/>
    <x v="0"/>
    <x v="0"/>
    <x v="0"/>
    <s v="DK1_Large"/>
    <x v="2"/>
    <x v="12"/>
    <x v="0"/>
    <x v="23"/>
    <n v="5.3809523809523796"/>
    <n v="1964.0476190476199"/>
    <n v="7070.5714285714303"/>
  </r>
  <r>
    <x v="0"/>
    <x v="0"/>
    <x v="0"/>
    <x v="0"/>
    <x v="0"/>
    <s v="DK1_Large"/>
    <x v="2"/>
    <x v="13"/>
    <x v="0"/>
    <x v="3"/>
    <n v="20.906976744186"/>
    <n v="7631.0465116279001"/>
    <n v="27471.767441860498"/>
  </r>
  <r>
    <x v="0"/>
    <x v="0"/>
    <x v="0"/>
    <x v="0"/>
    <x v="0"/>
    <s v="DK1_Large"/>
    <x v="2"/>
    <x v="13"/>
    <x v="0"/>
    <x v="4"/>
    <n v="20.906976744186"/>
    <n v="7631.0465116279001"/>
    <n v="27471.767441860498"/>
  </r>
  <r>
    <x v="0"/>
    <x v="0"/>
    <x v="0"/>
    <x v="0"/>
    <x v="0"/>
    <s v="DK1_Large"/>
    <x v="2"/>
    <x v="13"/>
    <x v="0"/>
    <x v="5"/>
    <n v="20.906976744186"/>
    <n v="7631.0465116279001"/>
    <n v="27471.767441860498"/>
  </r>
  <r>
    <x v="0"/>
    <x v="0"/>
    <x v="0"/>
    <x v="0"/>
    <x v="0"/>
    <s v="DK1_Large"/>
    <x v="2"/>
    <x v="13"/>
    <x v="0"/>
    <x v="6"/>
    <n v="20.906976744186"/>
    <n v="7631.0465116279001"/>
    <n v="27471.767441860498"/>
  </r>
  <r>
    <x v="0"/>
    <x v="0"/>
    <x v="0"/>
    <x v="0"/>
    <x v="0"/>
    <s v="DK1_Large"/>
    <x v="2"/>
    <x v="13"/>
    <x v="0"/>
    <x v="7"/>
    <n v="20.906976744186"/>
    <n v="7631.0465116279001"/>
    <n v="27471.767441860498"/>
  </r>
  <r>
    <x v="0"/>
    <x v="0"/>
    <x v="0"/>
    <x v="0"/>
    <x v="0"/>
    <s v="DK1_Large"/>
    <x v="2"/>
    <x v="13"/>
    <x v="0"/>
    <x v="8"/>
    <n v="20.906976744186"/>
    <n v="7631.0465116279001"/>
    <n v="27471.767441860498"/>
  </r>
  <r>
    <x v="0"/>
    <x v="0"/>
    <x v="0"/>
    <x v="0"/>
    <x v="0"/>
    <s v="DK1_Large"/>
    <x v="2"/>
    <x v="13"/>
    <x v="0"/>
    <x v="0"/>
    <n v="20.906976744186"/>
    <n v="7631.0465116279001"/>
    <n v="27471.767441860498"/>
  </r>
  <r>
    <x v="0"/>
    <x v="0"/>
    <x v="0"/>
    <x v="0"/>
    <x v="0"/>
    <s v="DK1_Large"/>
    <x v="2"/>
    <x v="13"/>
    <x v="0"/>
    <x v="1"/>
    <n v="20.906976744186"/>
    <n v="7631.0465116279001"/>
    <n v="27471.767441860498"/>
  </r>
  <r>
    <x v="0"/>
    <x v="0"/>
    <x v="0"/>
    <x v="0"/>
    <x v="0"/>
    <s v="DK1_Large"/>
    <x v="2"/>
    <x v="13"/>
    <x v="0"/>
    <x v="2"/>
    <n v="20.906976744186"/>
    <n v="7631.0465116279001"/>
    <n v="27471.767441860498"/>
  </r>
  <r>
    <x v="0"/>
    <x v="0"/>
    <x v="0"/>
    <x v="0"/>
    <x v="0"/>
    <s v="DK1_Large"/>
    <x v="2"/>
    <x v="13"/>
    <x v="0"/>
    <x v="9"/>
    <n v="20.906976744186"/>
    <n v="7631.0465116279001"/>
    <n v="27471.767441860498"/>
  </r>
  <r>
    <x v="0"/>
    <x v="0"/>
    <x v="0"/>
    <x v="0"/>
    <x v="0"/>
    <s v="DK1_Large"/>
    <x v="2"/>
    <x v="13"/>
    <x v="0"/>
    <x v="10"/>
    <n v="20.906976744186"/>
    <n v="7631.0465116279001"/>
    <n v="27471.767441860498"/>
  </r>
  <r>
    <x v="0"/>
    <x v="0"/>
    <x v="0"/>
    <x v="0"/>
    <x v="0"/>
    <s v="DK1_Large"/>
    <x v="2"/>
    <x v="13"/>
    <x v="0"/>
    <x v="11"/>
    <n v="20.906976744186"/>
    <n v="7631.0465116279001"/>
    <n v="27471.767441860498"/>
  </r>
  <r>
    <x v="0"/>
    <x v="0"/>
    <x v="0"/>
    <x v="0"/>
    <x v="0"/>
    <s v="DK1_Large"/>
    <x v="2"/>
    <x v="13"/>
    <x v="0"/>
    <x v="12"/>
    <n v="20.906976744186"/>
    <n v="7631.0465116279001"/>
    <n v="27471.767441860498"/>
  </r>
  <r>
    <x v="0"/>
    <x v="0"/>
    <x v="0"/>
    <x v="0"/>
    <x v="0"/>
    <s v="DK1_Large"/>
    <x v="2"/>
    <x v="13"/>
    <x v="0"/>
    <x v="13"/>
    <n v="20.906976744186"/>
    <n v="7631.0465116279001"/>
    <n v="27471.767441860498"/>
  </r>
  <r>
    <x v="0"/>
    <x v="0"/>
    <x v="0"/>
    <x v="0"/>
    <x v="0"/>
    <s v="DK1_Large"/>
    <x v="2"/>
    <x v="13"/>
    <x v="0"/>
    <x v="14"/>
    <n v="20.906976744186"/>
    <n v="7631.0465116279001"/>
    <n v="27471.767441860498"/>
  </r>
  <r>
    <x v="0"/>
    <x v="0"/>
    <x v="0"/>
    <x v="0"/>
    <x v="0"/>
    <s v="DK1_Large"/>
    <x v="2"/>
    <x v="13"/>
    <x v="0"/>
    <x v="15"/>
    <n v="20.906976744186"/>
    <n v="7631.0465116279001"/>
    <n v="27471.767441860498"/>
  </r>
  <r>
    <x v="0"/>
    <x v="0"/>
    <x v="0"/>
    <x v="0"/>
    <x v="0"/>
    <s v="DK1_Large"/>
    <x v="2"/>
    <x v="13"/>
    <x v="0"/>
    <x v="16"/>
    <n v="20.906976744186"/>
    <n v="7631.0465116279001"/>
    <n v="27471.767441860498"/>
  </r>
  <r>
    <x v="0"/>
    <x v="0"/>
    <x v="0"/>
    <x v="0"/>
    <x v="0"/>
    <s v="DK1_Large"/>
    <x v="2"/>
    <x v="13"/>
    <x v="0"/>
    <x v="17"/>
    <n v="20.906976744186"/>
    <n v="7631.0465116279001"/>
    <n v="27471.767441860498"/>
  </r>
  <r>
    <x v="0"/>
    <x v="0"/>
    <x v="0"/>
    <x v="0"/>
    <x v="0"/>
    <s v="DK1_Large"/>
    <x v="2"/>
    <x v="13"/>
    <x v="0"/>
    <x v="18"/>
    <n v="20.906976744186"/>
    <n v="7631.0465116279001"/>
    <n v="27471.767441860498"/>
  </r>
  <r>
    <x v="0"/>
    <x v="0"/>
    <x v="0"/>
    <x v="0"/>
    <x v="0"/>
    <s v="DK1_Large"/>
    <x v="2"/>
    <x v="13"/>
    <x v="0"/>
    <x v="19"/>
    <n v="20.906976744186"/>
    <n v="7631.0465116279001"/>
    <n v="27471.767441860498"/>
  </r>
  <r>
    <x v="0"/>
    <x v="0"/>
    <x v="0"/>
    <x v="0"/>
    <x v="0"/>
    <s v="DK1_Large"/>
    <x v="2"/>
    <x v="13"/>
    <x v="0"/>
    <x v="20"/>
    <n v="20.906976744186"/>
    <n v="7631.0465116279001"/>
    <n v="27471.767441860498"/>
  </r>
  <r>
    <x v="0"/>
    <x v="0"/>
    <x v="0"/>
    <x v="0"/>
    <x v="0"/>
    <s v="DK1_Large"/>
    <x v="2"/>
    <x v="13"/>
    <x v="0"/>
    <x v="21"/>
    <n v="20.906976744186"/>
    <n v="7631.0465116279001"/>
    <n v="27471.767441860498"/>
  </r>
  <r>
    <x v="0"/>
    <x v="0"/>
    <x v="0"/>
    <x v="0"/>
    <x v="0"/>
    <s v="DK1_Large"/>
    <x v="2"/>
    <x v="13"/>
    <x v="0"/>
    <x v="22"/>
    <n v="20.906976744186"/>
    <n v="7631.0465116279001"/>
    <n v="27471.767441860498"/>
  </r>
  <r>
    <x v="0"/>
    <x v="0"/>
    <x v="0"/>
    <x v="0"/>
    <x v="0"/>
    <s v="DK1_Large"/>
    <x v="2"/>
    <x v="13"/>
    <x v="0"/>
    <x v="23"/>
    <n v="20.906976744186"/>
    <n v="7631.0465116279001"/>
    <n v="27471.767441860498"/>
  </r>
  <r>
    <x v="0"/>
    <x v="0"/>
    <x v="0"/>
    <x v="0"/>
    <x v="0"/>
    <s v="DK1_Large"/>
    <x v="2"/>
    <x v="14"/>
    <x v="0"/>
    <x v="3"/>
    <n v="7.1363636363636402"/>
    <n v="2604.7727272727302"/>
    <n v="9377.1818181818198"/>
  </r>
  <r>
    <x v="0"/>
    <x v="0"/>
    <x v="0"/>
    <x v="0"/>
    <x v="0"/>
    <s v="DK1_Large"/>
    <x v="2"/>
    <x v="14"/>
    <x v="0"/>
    <x v="4"/>
    <n v="7.1363636363636402"/>
    <n v="2604.7727272727302"/>
    <n v="9377.1818181818198"/>
  </r>
  <r>
    <x v="0"/>
    <x v="0"/>
    <x v="0"/>
    <x v="0"/>
    <x v="0"/>
    <s v="DK1_Large"/>
    <x v="2"/>
    <x v="14"/>
    <x v="0"/>
    <x v="5"/>
    <n v="7.1363636363636402"/>
    <n v="2604.7727272727302"/>
    <n v="9377.1818181818198"/>
  </r>
  <r>
    <x v="0"/>
    <x v="0"/>
    <x v="0"/>
    <x v="0"/>
    <x v="0"/>
    <s v="DK1_Large"/>
    <x v="2"/>
    <x v="14"/>
    <x v="0"/>
    <x v="6"/>
    <n v="7.1363636363636402"/>
    <n v="2604.7727272727302"/>
    <n v="9377.1818181818198"/>
  </r>
  <r>
    <x v="0"/>
    <x v="0"/>
    <x v="0"/>
    <x v="0"/>
    <x v="0"/>
    <s v="DK1_Large"/>
    <x v="2"/>
    <x v="14"/>
    <x v="0"/>
    <x v="7"/>
    <n v="7.1363636363636402"/>
    <n v="2604.7727272727302"/>
    <n v="9377.1818181818198"/>
  </r>
  <r>
    <x v="0"/>
    <x v="0"/>
    <x v="0"/>
    <x v="0"/>
    <x v="0"/>
    <s v="DK1_Large"/>
    <x v="2"/>
    <x v="14"/>
    <x v="0"/>
    <x v="8"/>
    <n v="7.1363636363636402"/>
    <n v="2604.7727272727302"/>
    <n v="9377.1818181818198"/>
  </r>
  <r>
    <x v="0"/>
    <x v="0"/>
    <x v="0"/>
    <x v="0"/>
    <x v="0"/>
    <s v="DK1_Large"/>
    <x v="2"/>
    <x v="14"/>
    <x v="0"/>
    <x v="0"/>
    <n v="7.1363636363636402"/>
    <n v="2604.7727272727302"/>
    <n v="9377.1818181818198"/>
  </r>
  <r>
    <x v="0"/>
    <x v="0"/>
    <x v="0"/>
    <x v="0"/>
    <x v="0"/>
    <s v="DK1_Large"/>
    <x v="2"/>
    <x v="14"/>
    <x v="0"/>
    <x v="1"/>
    <n v="7.1363636363636402"/>
    <n v="2604.7727272727302"/>
    <n v="9377.1818181818198"/>
  </r>
  <r>
    <x v="0"/>
    <x v="0"/>
    <x v="0"/>
    <x v="0"/>
    <x v="0"/>
    <s v="DK1_Large"/>
    <x v="2"/>
    <x v="14"/>
    <x v="0"/>
    <x v="2"/>
    <n v="7.1363636363636402"/>
    <n v="2604.7727272727302"/>
    <n v="9377.1818181818198"/>
  </r>
  <r>
    <x v="0"/>
    <x v="0"/>
    <x v="0"/>
    <x v="0"/>
    <x v="0"/>
    <s v="DK1_Large"/>
    <x v="2"/>
    <x v="14"/>
    <x v="0"/>
    <x v="9"/>
    <n v="7.1363636363636402"/>
    <n v="2604.7727272727302"/>
    <n v="9377.1818181818198"/>
  </r>
  <r>
    <x v="0"/>
    <x v="0"/>
    <x v="0"/>
    <x v="0"/>
    <x v="0"/>
    <s v="DK1_Large"/>
    <x v="2"/>
    <x v="14"/>
    <x v="0"/>
    <x v="10"/>
    <n v="7.1363636363636402"/>
    <n v="2604.7727272727302"/>
    <n v="9377.1818181818198"/>
  </r>
  <r>
    <x v="0"/>
    <x v="0"/>
    <x v="0"/>
    <x v="0"/>
    <x v="0"/>
    <s v="DK1_Large"/>
    <x v="2"/>
    <x v="14"/>
    <x v="0"/>
    <x v="11"/>
    <n v="7.1363636363636402"/>
    <n v="2604.7727272727302"/>
    <n v="9377.1818181818198"/>
  </r>
  <r>
    <x v="0"/>
    <x v="0"/>
    <x v="0"/>
    <x v="0"/>
    <x v="0"/>
    <s v="DK1_Large"/>
    <x v="2"/>
    <x v="14"/>
    <x v="0"/>
    <x v="12"/>
    <n v="7.1363636363636402"/>
    <n v="2604.7727272727302"/>
    <n v="9377.1818181818198"/>
  </r>
  <r>
    <x v="0"/>
    <x v="0"/>
    <x v="0"/>
    <x v="0"/>
    <x v="0"/>
    <s v="DK1_Large"/>
    <x v="2"/>
    <x v="14"/>
    <x v="0"/>
    <x v="13"/>
    <n v="7.1363636363636402"/>
    <n v="2604.7727272727302"/>
    <n v="9377.1818181818198"/>
  </r>
  <r>
    <x v="0"/>
    <x v="0"/>
    <x v="0"/>
    <x v="0"/>
    <x v="0"/>
    <s v="DK1_Large"/>
    <x v="2"/>
    <x v="14"/>
    <x v="0"/>
    <x v="14"/>
    <n v="7.1363636363636402"/>
    <n v="2604.7727272727302"/>
    <n v="9377.1818181818198"/>
  </r>
  <r>
    <x v="0"/>
    <x v="0"/>
    <x v="0"/>
    <x v="0"/>
    <x v="0"/>
    <s v="DK1_Large"/>
    <x v="2"/>
    <x v="14"/>
    <x v="0"/>
    <x v="15"/>
    <n v="7.1363636363636402"/>
    <n v="2604.7727272727302"/>
    <n v="9377.1818181818198"/>
  </r>
  <r>
    <x v="0"/>
    <x v="0"/>
    <x v="0"/>
    <x v="0"/>
    <x v="0"/>
    <s v="DK1_Large"/>
    <x v="2"/>
    <x v="14"/>
    <x v="0"/>
    <x v="16"/>
    <n v="7.1363636363636402"/>
    <n v="2604.7727272727302"/>
    <n v="9377.1818181818198"/>
  </r>
  <r>
    <x v="0"/>
    <x v="0"/>
    <x v="0"/>
    <x v="0"/>
    <x v="0"/>
    <s v="DK1_Large"/>
    <x v="2"/>
    <x v="14"/>
    <x v="0"/>
    <x v="17"/>
    <n v="7.1363636363636402"/>
    <n v="2604.7727272727302"/>
    <n v="9377.1818181818198"/>
  </r>
  <r>
    <x v="0"/>
    <x v="0"/>
    <x v="0"/>
    <x v="0"/>
    <x v="0"/>
    <s v="DK1_Large"/>
    <x v="2"/>
    <x v="14"/>
    <x v="0"/>
    <x v="18"/>
    <n v="7.1363636363636402"/>
    <n v="2604.7727272727302"/>
    <n v="9377.1818181818198"/>
  </r>
  <r>
    <x v="0"/>
    <x v="0"/>
    <x v="0"/>
    <x v="0"/>
    <x v="0"/>
    <s v="DK1_Large"/>
    <x v="2"/>
    <x v="14"/>
    <x v="0"/>
    <x v="19"/>
    <n v="7.1363636363636402"/>
    <n v="2604.7727272727302"/>
    <n v="9377.1818181818198"/>
  </r>
  <r>
    <x v="0"/>
    <x v="0"/>
    <x v="0"/>
    <x v="0"/>
    <x v="0"/>
    <s v="DK1_Large"/>
    <x v="2"/>
    <x v="14"/>
    <x v="0"/>
    <x v="20"/>
    <n v="7.1363636363636402"/>
    <n v="2604.7727272727302"/>
    <n v="9377.1818181818198"/>
  </r>
  <r>
    <x v="0"/>
    <x v="0"/>
    <x v="0"/>
    <x v="0"/>
    <x v="0"/>
    <s v="DK1_Large"/>
    <x v="2"/>
    <x v="14"/>
    <x v="0"/>
    <x v="21"/>
    <n v="7.1363636363636402"/>
    <n v="2604.7727272727302"/>
    <n v="9377.1818181818198"/>
  </r>
  <r>
    <x v="0"/>
    <x v="0"/>
    <x v="0"/>
    <x v="0"/>
    <x v="0"/>
    <s v="DK1_Large"/>
    <x v="2"/>
    <x v="14"/>
    <x v="0"/>
    <x v="22"/>
    <n v="7.1363636363636402"/>
    <n v="2604.7727272727302"/>
    <n v="9377.1818181818198"/>
  </r>
  <r>
    <x v="0"/>
    <x v="0"/>
    <x v="0"/>
    <x v="0"/>
    <x v="0"/>
    <s v="DK1_Large"/>
    <x v="2"/>
    <x v="14"/>
    <x v="0"/>
    <x v="23"/>
    <n v="7.1363636363636402"/>
    <n v="2604.7727272727302"/>
    <n v="9377.1818181818198"/>
  </r>
  <r>
    <x v="0"/>
    <x v="0"/>
    <x v="0"/>
    <x v="0"/>
    <x v="0"/>
    <s v="DK1_Large"/>
    <x v="2"/>
    <x v="15"/>
    <x v="0"/>
    <x v="3"/>
    <n v="6.3478260869565197"/>
    <n v="2316.95652173913"/>
    <n v="8341.04347826087"/>
  </r>
  <r>
    <x v="0"/>
    <x v="0"/>
    <x v="0"/>
    <x v="0"/>
    <x v="0"/>
    <s v="DK1_Large"/>
    <x v="2"/>
    <x v="15"/>
    <x v="0"/>
    <x v="4"/>
    <n v="6.3478260869565197"/>
    <n v="2316.95652173913"/>
    <n v="8341.04347826087"/>
  </r>
  <r>
    <x v="0"/>
    <x v="0"/>
    <x v="0"/>
    <x v="0"/>
    <x v="0"/>
    <s v="DK1_Large"/>
    <x v="2"/>
    <x v="15"/>
    <x v="0"/>
    <x v="5"/>
    <n v="6.3478260869565197"/>
    <n v="2316.95652173913"/>
    <n v="8341.04347826087"/>
  </r>
  <r>
    <x v="0"/>
    <x v="0"/>
    <x v="0"/>
    <x v="0"/>
    <x v="0"/>
    <s v="DK1_Large"/>
    <x v="2"/>
    <x v="15"/>
    <x v="0"/>
    <x v="6"/>
    <n v="6.3478260869565197"/>
    <n v="2316.95652173913"/>
    <n v="8341.04347826087"/>
  </r>
  <r>
    <x v="0"/>
    <x v="0"/>
    <x v="0"/>
    <x v="0"/>
    <x v="0"/>
    <s v="DK1_Large"/>
    <x v="2"/>
    <x v="15"/>
    <x v="0"/>
    <x v="7"/>
    <n v="6.3478260869565197"/>
    <n v="2316.95652173913"/>
    <n v="8341.04347826087"/>
  </r>
  <r>
    <x v="0"/>
    <x v="0"/>
    <x v="0"/>
    <x v="0"/>
    <x v="0"/>
    <s v="DK1_Large"/>
    <x v="2"/>
    <x v="15"/>
    <x v="0"/>
    <x v="8"/>
    <n v="6.3478260869565197"/>
    <n v="2316.95652173913"/>
    <n v="8341.04347826087"/>
  </r>
  <r>
    <x v="0"/>
    <x v="0"/>
    <x v="0"/>
    <x v="0"/>
    <x v="0"/>
    <s v="DK1_Large"/>
    <x v="2"/>
    <x v="15"/>
    <x v="0"/>
    <x v="0"/>
    <n v="6.3478260869565197"/>
    <n v="2316.95652173913"/>
    <n v="8341.04347826087"/>
  </r>
  <r>
    <x v="0"/>
    <x v="0"/>
    <x v="0"/>
    <x v="0"/>
    <x v="0"/>
    <s v="DK1_Large"/>
    <x v="2"/>
    <x v="15"/>
    <x v="0"/>
    <x v="1"/>
    <n v="6.3478260869565197"/>
    <n v="2316.95652173913"/>
    <n v="8341.04347826087"/>
  </r>
  <r>
    <x v="0"/>
    <x v="0"/>
    <x v="0"/>
    <x v="0"/>
    <x v="0"/>
    <s v="DK1_Large"/>
    <x v="2"/>
    <x v="15"/>
    <x v="0"/>
    <x v="2"/>
    <n v="6.3478260869565197"/>
    <n v="2316.95652173913"/>
    <n v="8341.04347826087"/>
  </r>
  <r>
    <x v="0"/>
    <x v="0"/>
    <x v="0"/>
    <x v="0"/>
    <x v="0"/>
    <s v="DK1_Large"/>
    <x v="2"/>
    <x v="15"/>
    <x v="0"/>
    <x v="9"/>
    <n v="6.3478260869565197"/>
    <n v="2316.95652173913"/>
    <n v="8341.04347826087"/>
  </r>
  <r>
    <x v="0"/>
    <x v="0"/>
    <x v="0"/>
    <x v="0"/>
    <x v="0"/>
    <s v="DK1_Large"/>
    <x v="2"/>
    <x v="15"/>
    <x v="0"/>
    <x v="10"/>
    <n v="6.3478260869565197"/>
    <n v="2316.95652173913"/>
    <n v="8341.04347826087"/>
  </r>
  <r>
    <x v="0"/>
    <x v="0"/>
    <x v="0"/>
    <x v="0"/>
    <x v="0"/>
    <s v="DK1_Large"/>
    <x v="2"/>
    <x v="15"/>
    <x v="0"/>
    <x v="11"/>
    <n v="6.3478260869565197"/>
    <n v="2316.95652173913"/>
    <n v="8341.04347826087"/>
  </r>
  <r>
    <x v="0"/>
    <x v="0"/>
    <x v="0"/>
    <x v="0"/>
    <x v="0"/>
    <s v="DK1_Large"/>
    <x v="2"/>
    <x v="15"/>
    <x v="0"/>
    <x v="12"/>
    <n v="6.3478260869565197"/>
    <n v="2316.95652173913"/>
    <n v="8341.04347826087"/>
  </r>
  <r>
    <x v="0"/>
    <x v="0"/>
    <x v="0"/>
    <x v="0"/>
    <x v="0"/>
    <s v="DK1_Large"/>
    <x v="2"/>
    <x v="15"/>
    <x v="0"/>
    <x v="13"/>
    <n v="6.3478260869565197"/>
    <n v="2316.95652173913"/>
    <n v="8341.04347826087"/>
  </r>
  <r>
    <x v="0"/>
    <x v="0"/>
    <x v="0"/>
    <x v="0"/>
    <x v="0"/>
    <s v="DK1_Large"/>
    <x v="2"/>
    <x v="15"/>
    <x v="0"/>
    <x v="14"/>
    <n v="6.3478260869565197"/>
    <n v="2316.95652173913"/>
    <n v="8341.04347826087"/>
  </r>
  <r>
    <x v="0"/>
    <x v="0"/>
    <x v="0"/>
    <x v="0"/>
    <x v="0"/>
    <s v="DK1_Large"/>
    <x v="2"/>
    <x v="15"/>
    <x v="0"/>
    <x v="15"/>
    <n v="6.3478260869565197"/>
    <n v="2316.95652173913"/>
    <n v="8341.04347826087"/>
  </r>
  <r>
    <x v="0"/>
    <x v="0"/>
    <x v="0"/>
    <x v="0"/>
    <x v="0"/>
    <s v="DK1_Large"/>
    <x v="2"/>
    <x v="15"/>
    <x v="0"/>
    <x v="16"/>
    <n v="6.3478260869565197"/>
    <n v="2316.95652173913"/>
    <n v="8341.04347826087"/>
  </r>
  <r>
    <x v="0"/>
    <x v="0"/>
    <x v="0"/>
    <x v="0"/>
    <x v="0"/>
    <s v="DK1_Large"/>
    <x v="2"/>
    <x v="15"/>
    <x v="0"/>
    <x v="17"/>
    <n v="6.3478260869565197"/>
    <n v="2316.95652173913"/>
    <n v="8341.04347826087"/>
  </r>
  <r>
    <x v="0"/>
    <x v="0"/>
    <x v="0"/>
    <x v="0"/>
    <x v="0"/>
    <s v="DK1_Large"/>
    <x v="2"/>
    <x v="15"/>
    <x v="0"/>
    <x v="18"/>
    <n v="6.3478260869565197"/>
    <n v="2316.95652173913"/>
    <n v="8341.04347826087"/>
  </r>
  <r>
    <x v="0"/>
    <x v="0"/>
    <x v="0"/>
    <x v="0"/>
    <x v="0"/>
    <s v="DK1_Large"/>
    <x v="2"/>
    <x v="15"/>
    <x v="0"/>
    <x v="19"/>
    <n v="6.3478260869565197"/>
    <n v="2316.95652173913"/>
    <n v="8341.04347826087"/>
  </r>
  <r>
    <x v="0"/>
    <x v="0"/>
    <x v="0"/>
    <x v="0"/>
    <x v="0"/>
    <s v="DK1_Large"/>
    <x v="2"/>
    <x v="15"/>
    <x v="0"/>
    <x v="20"/>
    <n v="6.3478260869565197"/>
    <n v="2316.95652173913"/>
    <n v="8341.04347826087"/>
  </r>
  <r>
    <x v="0"/>
    <x v="0"/>
    <x v="0"/>
    <x v="0"/>
    <x v="0"/>
    <s v="DK1_Large"/>
    <x v="2"/>
    <x v="15"/>
    <x v="0"/>
    <x v="21"/>
    <n v="6.3478260869565197"/>
    <n v="2316.95652173913"/>
    <n v="8341.04347826087"/>
  </r>
  <r>
    <x v="0"/>
    <x v="0"/>
    <x v="0"/>
    <x v="0"/>
    <x v="0"/>
    <s v="DK1_Large"/>
    <x v="2"/>
    <x v="15"/>
    <x v="0"/>
    <x v="22"/>
    <n v="6.3478260869565197"/>
    <n v="2316.95652173913"/>
    <n v="8341.04347826087"/>
  </r>
  <r>
    <x v="0"/>
    <x v="0"/>
    <x v="0"/>
    <x v="0"/>
    <x v="0"/>
    <s v="DK1_Large"/>
    <x v="2"/>
    <x v="15"/>
    <x v="0"/>
    <x v="23"/>
    <n v="6.3478260869565197"/>
    <n v="2316.95652173913"/>
    <n v="8341.04347826087"/>
  </r>
  <r>
    <x v="0"/>
    <x v="0"/>
    <x v="0"/>
    <x v="0"/>
    <x v="0"/>
    <s v="DK1_Large"/>
    <x v="2"/>
    <x v="16"/>
    <x v="0"/>
    <x v="0"/>
    <n v="96.296296296296404"/>
    <n v="35148.148148148197"/>
    <n v="126533.33333333299"/>
  </r>
  <r>
    <x v="0"/>
    <x v="0"/>
    <x v="0"/>
    <x v="0"/>
    <x v="0"/>
    <s v="DK1_Large"/>
    <x v="2"/>
    <x v="16"/>
    <x v="0"/>
    <x v="1"/>
    <n v="96.296296296296404"/>
    <n v="35148.148148148197"/>
    <n v="126533.33333333299"/>
  </r>
  <r>
    <x v="0"/>
    <x v="0"/>
    <x v="0"/>
    <x v="0"/>
    <x v="0"/>
    <s v="DK1_Large"/>
    <x v="2"/>
    <x v="16"/>
    <x v="0"/>
    <x v="2"/>
    <n v="96.296296296296404"/>
    <n v="35148.148148148197"/>
    <n v="126533.33333333299"/>
  </r>
  <r>
    <x v="0"/>
    <x v="0"/>
    <x v="0"/>
    <x v="0"/>
    <x v="0"/>
    <s v="DK1_Large"/>
    <x v="2"/>
    <x v="16"/>
    <x v="0"/>
    <x v="9"/>
    <n v="96.296296296296404"/>
    <n v="35148.148148148197"/>
    <n v="126533.33333333299"/>
  </r>
  <r>
    <x v="0"/>
    <x v="0"/>
    <x v="0"/>
    <x v="0"/>
    <x v="0"/>
    <s v="DK1_Large"/>
    <x v="2"/>
    <x v="16"/>
    <x v="0"/>
    <x v="10"/>
    <n v="96.296296296296404"/>
    <n v="35148.148148148197"/>
    <n v="126533.33333333299"/>
  </r>
  <r>
    <x v="0"/>
    <x v="0"/>
    <x v="0"/>
    <x v="0"/>
    <x v="0"/>
    <s v="DK1_Large"/>
    <x v="2"/>
    <x v="17"/>
    <x v="0"/>
    <x v="3"/>
    <n v="834.04255319148899"/>
    <n v="304425.531914894"/>
    <n v="1095931.9148936199"/>
  </r>
  <r>
    <x v="0"/>
    <x v="0"/>
    <x v="0"/>
    <x v="0"/>
    <x v="0"/>
    <s v="DK1_Large"/>
    <x v="2"/>
    <x v="17"/>
    <x v="0"/>
    <x v="4"/>
    <n v="834.04255319148899"/>
    <n v="304425.531914894"/>
    <n v="1095931.9148936199"/>
  </r>
  <r>
    <x v="0"/>
    <x v="0"/>
    <x v="0"/>
    <x v="0"/>
    <x v="0"/>
    <s v="DK1_Large"/>
    <x v="2"/>
    <x v="17"/>
    <x v="0"/>
    <x v="5"/>
    <n v="834.04255319148899"/>
    <n v="304425.531914894"/>
    <n v="1095931.9148936199"/>
  </r>
  <r>
    <x v="0"/>
    <x v="0"/>
    <x v="0"/>
    <x v="0"/>
    <x v="0"/>
    <s v="DK1_Large"/>
    <x v="2"/>
    <x v="17"/>
    <x v="0"/>
    <x v="6"/>
    <n v="834.04255319148899"/>
    <n v="304425.531914894"/>
    <n v="1095931.9148936199"/>
  </r>
  <r>
    <x v="0"/>
    <x v="0"/>
    <x v="0"/>
    <x v="0"/>
    <x v="0"/>
    <s v="DK1_Large"/>
    <x v="2"/>
    <x v="17"/>
    <x v="0"/>
    <x v="7"/>
    <n v="834.04255319148899"/>
    <n v="304425.531914894"/>
    <n v="1095931.9148936199"/>
  </r>
  <r>
    <x v="0"/>
    <x v="0"/>
    <x v="0"/>
    <x v="0"/>
    <x v="0"/>
    <s v="DK1_Large"/>
    <x v="2"/>
    <x v="17"/>
    <x v="0"/>
    <x v="8"/>
    <n v="834.04255319148899"/>
    <n v="304425.531914894"/>
    <n v="1095931.9148936199"/>
  </r>
  <r>
    <x v="0"/>
    <x v="0"/>
    <x v="0"/>
    <x v="0"/>
    <x v="0"/>
    <s v="DK1_Large"/>
    <x v="2"/>
    <x v="17"/>
    <x v="0"/>
    <x v="0"/>
    <n v="834.04255319148899"/>
    <n v="304425.531914894"/>
    <n v="1095931.9148936199"/>
  </r>
  <r>
    <x v="0"/>
    <x v="0"/>
    <x v="0"/>
    <x v="0"/>
    <x v="0"/>
    <s v="DK1_Large"/>
    <x v="2"/>
    <x v="17"/>
    <x v="0"/>
    <x v="1"/>
    <n v="834.04255319148899"/>
    <n v="304425.531914894"/>
    <n v="1095931.9148936199"/>
  </r>
  <r>
    <x v="0"/>
    <x v="0"/>
    <x v="0"/>
    <x v="0"/>
    <x v="0"/>
    <s v="DK1_Large"/>
    <x v="2"/>
    <x v="17"/>
    <x v="0"/>
    <x v="2"/>
    <n v="834.04255319148899"/>
    <n v="304425.531914894"/>
    <n v="1095931.9148936199"/>
  </r>
  <r>
    <x v="0"/>
    <x v="0"/>
    <x v="0"/>
    <x v="0"/>
    <x v="0"/>
    <s v="DK1_Large"/>
    <x v="2"/>
    <x v="17"/>
    <x v="0"/>
    <x v="9"/>
    <n v="834.04255319148899"/>
    <n v="304425.531914894"/>
    <n v="1095931.9148936199"/>
  </r>
  <r>
    <x v="0"/>
    <x v="0"/>
    <x v="0"/>
    <x v="0"/>
    <x v="0"/>
    <s v="DK1_Large"/>
    <x v="2"/>
    <x v="17"/>
    <x v="0"/>
    <x v="10"/>
    <n v="834.04255319148899"/>
    <n v="304425.531914894"/>
    <n v="1095931.9148936199"/>
  </r>
  <r>
    <x v="0"/>
    <x v="0"/>
    <x v="0"/>
    <x v="0"/>
    <x v="0"/>
    <s v="DK1_Large"/>
    <x v="2"/>
    <x v="17"/>
    <x v="0"/>
    <x v="11"/>
    <n v="834.04255319148899"/>
    <n v="304425.531914894"/>
    <n v="1095931.9148936199"/>
  </r>
  <r>
    <x v="0"/>
    <x v="0"/>
    <x v="0"/>
    <x v="0"/>
    <x v="0"/>
    <s v="DK1_Large"/>
    <x v="2"/>
    <x v="17"/>
    <x v="0"/>
    <x v="12"/>
    <n v="834.04255319148899"/>
    <n v="304425.531914894"/>
    <n v="1095931.9148936199"/>
  </r>
  <r>
    <x v="0"/>
    <x v="0"/>
    <x v="0"/>
    <x v="0"/>
    <x v="0"/>
    <s v="DK1_Large"/>
    <x v="2"/>
    <x v="17"/>
    <x v="0"/>
    <x v="13"/>
    <n v="834.04255319148899"/>
    <n v="304425.531914894"/>
    <n v="1095931.9148936199"/>
  </r>
  <r>
    <x v="0"/>
    <x v="0"/>
    <x v="0"/>
    <x v="0"/>
    <x v="0"/>
    <s v="DK1_Large"/>
    <x v="2"/>
    <x v="17"/>
    <x v="0"/>
    <x v="14"/>
    <n v="834.04255319148899"/>
    <n v="304425.531914894"/>
    <n v="1095931.9148936199"/>
  </r>
  <r>
    <x v="0"/>
    <x v="0"/>
    <x v="0"/>
    <x v="0"/>
    <x v="0"/>
    <s v="DK1_Large"/>
    <x v="2"/>
    <x v="17"/>
    <x v="0"/>
    <x v="15"/>
    <n v="834.04255319148899"/>
    <n v="304425.531914894"/>
    <n v="1095931.9148936199"/>
  </r>
  <r>
    <x v="0"/>
    <x v="0"/>
    <x v="0"/>
    <x v="0"/>
    <x v="0"/>
    <s v="DK1_Large"/>
    <x v="2"/>
    <x v="17"/>
    <x v="0"/>
    <x v="16"/>
    <n v="834.04255319148899"/>
    <n v="304425.531914894"/>
    <n v="1095931.9148936199"/>
  </r>
  <r>
    <x v="0"/>
    <x v="0"/>
    <x v="0"/>
    <x v="0"/>
    <x v="0"/>
    <s v="DK1_Large"/>
    <x v="2"/>
    <x v="17"/>
    <x v="0"/>
    <x v="17"/>
    <n v="834.04255319148899"/>
    <n v="304425.531914894"/>
    <n v="1095931.9148936199"/>
  </r>
  <r>
    <x v="0"/>
    <x v="0"/>
    <x v="0"/>
    <x v="0"/>
    <x v="0"/>
    <s v="DK1_Large"/>
    <x v="2"/>
    <x v="17"/>
    <x v="0"/>
    <x v="18"/>
    <n v="834.04255319148899"/>
    <n v="304425.531914894"/>
    <n v="1095931.9148936199"/>
  </r>
  <r>
    <x v="0"/>
    <x v="0"/>
    <x v="0"/>
    <x v="0"/>
    <x v="0"/>
    <s v="DK1_Large"/>
    <x v="2"/>
    <x v="17"/>
    <x v="0"/>
    <x v="19"/>
    <n v="834.04255319148899"/>
    <n v="304425.531914894"/>
    <n v="1095931.9148936199"/>
  </r>
  <r>
    <x v="0"/>
    <x v="0"/>
    <x v="0"/>
    <x v="0"/>
    <x v="0"/>
    <s v="DK1_Large"/>
    <x v="2"/>
    <x v="17"/>
    <x v="0"/>
    <x v="20"/>
    <n v="834.04255319148899"/>
    <n v="304425.531914894"/>
    <n v="1095931.9148936199"/>
  </r>
  <r>
    <x v="0"/>
    <x v="0"/>
    <x v="0"/>
    <x v="0"/>
    <x v="0"/>
    <s v="DK1_Large"/>
    <x v="2"/>
    <x v="17"/>
    <x v="0"/>
    <x v="21"/>
    <n v="834.04255319148899"/>
    <n v="304425.531914894"/>
    <n v="1095931.9148936199"/>
  </r>
  <r>
    <x v="0"/>
    <x v="0"/>
    <x v="0"/>
    <x v="0"/>
    <x v="0"/>
    <s v="DK1_Large"/>
    <x v="2"/>
    <x v="17"/>
    <x v="0"/>
    <x v="22"/>
    <n v="834.04255319148899"/>
    <n v="304425.531914894"/>
    <n v="1095931.9148936199"/>
  </r>
  <r>
    <x v="0"/>
    <x v="0"/>
    <x v="0"/>
    <x v="0"/>
    <x v="0"/>
    <s v="DK1_Large"/>
    <x v="2"/>
    <x v="17"/>
    <x v="0"/>
    <x v="23"/>
    <n v="834.04255319148899"/>
    <n v="304425.531914894"/>
    <n v="1095931.9148936199"/>
  </r>
  <r>
    <x v="0"/>
    <x v="0"/>
    <x v="0"/>
    <x v="0"/>
    <x v="0"/>
    <s v="DK1_Large"/>
    <x v="3"/>
    <x v="18"/>
    <x v="0"/>
    <x v="3"/>
    <n v="119.230769230769"/>
    <n v="43519.2307692307"/>
    <n v="156669.23076923101"/>
  </r>
  <r>
    <x v="0"/>
    <x v="0"/>
    <x v="0"/>
    <x v="0"/>
    <x v="0"/>
    <s v="DK1_Large"/>
    <x v="3"/>
    <x v="18"/>
    <x v="0"/>
    <x v="4"/>
    <n v="119.230769230769"/>
    <n v="43519.2307692307"/>
    <n v="156669.23076923101"/>
  </r>
  <r>
    <x v="0"/>
    <x v="0"/>
    <x v="0"/>
    <x v="0"/>
    <x v="0"/>
    <s v="DK1_Large"/>
    <x v="3"/>
    <x v="18"/>
    <x v="0"/>
    <x v="5"/>
    <n v="119.230769230769"/>
    <n v="43519.2307692307"/>
    <n v="156669.23076923101"/>
  </r>
  <r>
    <x v="0"/>
    <x v="0"/>
    <x v="0"/>
    <x v="0"/>
    <x v="0"/>
    <s v="DK1_Large"/>
    <x v="3"/>
    <x v="18"/>
    <x v="0"/>
    <x v="6"/>
    <n v="119.230769230769"/>
    <n v="43519.2307692307"/>
    <n v="156669.23076923101"/>
  </r>
  <r>
    <x v="0"/>
    <x v="0"/>
    <x v="0"/>
    <x v="0"/>
    <x v="0"/>
    <s v="DK1_Large"/>
    <x v="3"/>
    <x v="18"/>
    <x v="0"/>
    <x v="7"/>
    <n v="119.230769230769"/>
    <n v="43519.2307692307"/>
    <n v="156669.23076923101"/>
  </r>
  <r>
    <x v="0"/>
    <x v="0"/>
    <x v="0"/>
    <x v="0"/>
    <x v="0"/>
    <s v="DK1_Large"/>
    <x v="3"/>
    <x v="18"/>
    <x v="0"/>
    <x v="8"/>
    <n v="119.230769230769"/>
    <n v="43519.2307692307"/>
    <n v="156669.23076923101"/>
  </r>
  <r>
    <x v="0"/>
    <x v="0"/>
    <x v="0"/>
    <x v="0"/>
    <x v="0"/>
    <s v="DK1_Large"/>
    <x v="3"/>
    <x v="18"/>
    <x v="0"/>
    <x v="0"/>
    <n v="119.230769230769"/>
    <n v="43519.2307692307"/>
    <n v="156669.23076923101"/>
  </r>
  <r>
    <x v="0"/>
    <x v="0"/>
    <x v="0"/>
    <x v="0"/>
    <x v="0"/>
    <s v="DK1_Large"/>
    <x v="3"/>
    <x v="18"/>
    <x v="0"/>
    <x v="1"/>
    <n v="119.230769230769"/>
    <n v="43519.2307692307"/>
    <n v="156669.23076923101"/>
  </r>
  <r>
    <x v="0"/>
    <x v="0"/>
    <x v="0"/>
    <x v="0"/>
    <x v="0"/>
    <s v="DK1_Large"/>
    <x v="3"/>
    <x v="18"/>
    <x v="0"/>
    <x v="2"/>
    <n v="119.230769230769"/>
    <n v="43519.2307692307"/>
    <n v="156669.23076923101"/>
  </r>
  <r>
    <x v="0"/>
    <x v="0"/>
    <x v="0"/>
    <x v="0"/>
    <x v="0"/>
    <s v="DK1_Large"/>
    <x v="3"/>
    <x v="18"/>
    <x v="0"/>
    <x v="9"/>
    <n v="119.230769230769"/>
    <n v="43519.2307692307"/>
    <n v="156669.23076923101"/>
  </r>
  <r>
    <x v="0"/>
    <x v="0"/>
    <x v="0"/>
    <x v="0"/>
    <x v="0"/>
    <s v="DK1_Large"/>
    <x v="3"/>
    <x v="18"/>
    <x v="0"/>
    <x v="10"/>
    <n v="119.230769230769"/>
    <n v="43519.2307692307"/>
    <n v="156669.23076923101"/>
  </r>
  <r>
    <x v="0"/>
    <x v="0"/>
    <x v="0"/>
    <x v="0"/>
    <x v="0"/>
    <s v="DK1_Large"/>
    <x v="3"/>
    <x v="18"/>
    <x v="0"/>
    <x v="11"/>
    <n v="119.230769230769"/>
    <n v="43519.2307692307"/>
    <n v="156669.23076923101"/>
  </r>
  <r>
    <x v="0"/>
    <x v="0"/>
    <x v="0"/>
    <x v="0"/>
    <x v="0"/>
    <s v="DK1_Large"/>
    <x v="3"/>
    <x v="18"/>
    <x v="0"/>
    <x v="12"/>
    <n v="119.230769230769"/>
    <n v="43519.2307692307"/>
    <n v="156669.23076923101"/>
  </r>
  <r>
    <x v="0"/>
    <x v="0"/>
    <x v="0"/>
    <x v="0"/>
    <x v="0"/>
    <s v="DK1_Large"/>
    <x v="3"/>
    <x v="18"/>
    <x v="0"/>
    <x v="13"/>
    <n v="119.230769230769"/>
    <n v="43519.2307692307"/>
    <n v="156669.23076923101"/>
  </r>
  <r>
    <x v="0"/>
    <x v="0"/>
    <x v="0"/>
    <x v="0"/>
    <x v="0"/>
    <s v="DK1_Large"/>
    <x v="3"/>
    <x v="18"/>
    <x v="0"/>
    <x v="14"/>
    <n v="119.230769230769"/>
    <n v="43519.2307692307"/>
    <n v="156669.23076923101"/>
  </r>
  <r>
    <x v="0"/>
    <x v="0"/>
    <x v="0"/>
    <x v="0"/>
    <x v="0"/>
    <s v="DK1_Large"/>
    <x v="3"/>
    <x v="18"/>
    <x v="0"/>
    <x v="15"/>
    <n v="119.230769230769"/>
    <n v="43519.2307692307"/>
    <n v="156669.23076923101"/>
  </r>
  <r>
    <x v="0"/>
    <x v="0"/>
    <x v="0"/>
    <x v="0"/>
    <x v="0"/>
    <s v="DK1_Large"/>
    <x v="3"/>
    <x v="18"/>
    <x v="0"/>
    <x v="16"/>
    <n v="119.230769230769"/>
    <n v="43519.2307692307"/>
    <n v="156669.23076923101"/>
  </r>
  <r>
    <x v="0"/>
    <x v="0"/>
    <x v="0"/>
    <x v="0"/>
    <x v="0"/>
    <s v="DK1_Large"/>
    <x v="3"/>
    <x v="18"/>
    <x v="0"/>
    <x v="17"/>
    <n v="119.230769230769"/>
    <n v="43519.2307692307"/>
    <n v="156669.23076923101"/>
  </r>
  <r>
    <x v="0"/>
    <x v="0"/>
    <x v="0"/>
    <x v="0"/>
    <x v="0"/>
    <s v="DK1_Large"/>
    <x v="3"/>
    <x v="18"/>
    <x v="0"/>
    <x v="18"/>
    <n v="119.230769230769"/>
    <n v="43519.2307692307"/>
    <n v="156669.23076923101"/>
  </r>
  <r>
    <x v="0"/>
    <x v="0"/>
    <x v="0"/>
    <x v="0"/>
    <x v="0"/>
    <s v="DK1_Large"/>
    <x v="3"/>
    <x v="18"/>
    <x v="0"/>
    <x v="19"/>
    <n v="119.230769230769"/>
    <n v="43519.2307692307"/>
    <n v="156669.23076923101"/>
  </r>
  <r>
    <x v="0"/>
    <x v="0"/>
    <x v="0"/>
    <x v="0"/>
    <x v="0"/>
    <s v="DK1_Large"/>
    <x v="3"/>
    <x v="18"/>
    <x v="0"/>
    <x v="20"/>
    <n v="119.230769230769"/>
    <n v="43519.2307692307"/>
    <n v="156669.23076923101"/>
  </r>
  <r>
    <x v="0"/>
    <x v="0"/>
    <x v="0"/>
    <x v="0"/>
    <x v="0"/>
    <s v="DK1_Large"/>
    <x v="3"/>
    <x v="18"/>
    <x v="0"/>
    <x v="21"/>
    <n v="119.230769230769"/>
    <n v="43519.2307692307"/>
    <n v="156669.23076923101"/>
  </r>
  <r>
    <x v="0"/>
    <x v="0"/>
    <x v="0"/>
    <x v="0"/>
    <x v="0"/>
    <s v="DK1_Large"/>
    <x v="3"/>
    <x v="18"/>
    <x v="0"/>
    <x v="22"/>
    <n v="119.230769230769"/>
    <n v="43519.2307692307"/>
    <n v="156669.23076923101"/>
  </r>
  <r>
    <x v="0"/>
    <x v="0"/>
    <x v="0"/>
    <x v="0"/>
    <x v="0"/>
    <s v="DK1_Large"/>
    <x v="3"/>
    <x v="18"/>
    <x v="0"/>
    <x v="23"/>
    <n v="119.230769230769"/>
    <n v="43519.2307692307"/>
    <n v="156669.23076923101"/>
  </r>
  <r>
    <x v="0"/>
    <x v="0"/>
    <x v="0"/>
    <x v="0"/>
    <x v="0"/>
    <s v="DK1_Large"/>
    <x v="4"/>
    <x v="19"/>
    <x v="0"/>
    <x v="3"/>
    <n v="174.14"/>
    <n v="63561.1"/>
    <n v="228819.96"/>
  </r>
  <r>
    <x v="0"/>
    <x v="0"/>
    <x v="0"/>
    <x v="0"/>
    <x v="0"/>
    <s v="DK1_Large"/>
    <x v="4"/>
    <x v="19"/>
    <x v="0"/>
    <x v="4"/>
    <n v="174.14"/>
    <n v="63561.1"/>
    <n v="228819.96"/>
  </r>
  <r>
    <x v="0"/>
    <x v="0"/>
    <x v="0"/>
    <x v="0"/>
    <x v="0"/>
    <s v="DK1_Large"/>
    <x v="4"/>
    <x v="19"/>
    <x v="0"/>
    <x v="5"/>
    <n v="174.14"/>
    <n v="63561.1"/>
    <n v="228819.96"/>
  </r>
  <r>
    <x v="0"/>
    <x v="0"/>
    <x v="0"/>
    <x v="0"/>
    <x v="0"/>
    <s v="DK1_Large"/>
    <x v="4"/>
    <x v="19"/>
    <x v="0"/>
    <x v="6"/>
    <n v="174.14"/>
    <n v="63561.1"/>
    <n v="228819.96"/>
  </r>
  <r>
    <x v="0"/>
    <x v="0"/>
    <x v="0"/>
    <x v="0"/>
    <x v="0"/>
    <s v="DK1_Large"/>
    <x v="4"/>
    <x v="19"/>
    <x v="0"/>
    <x v="7"/>
    <n v="174.14"/>
    <n v="63561.1"/>
    <n v="228819.96"/>
  </r>
  <r>
    <x v="0"/>
    <x v="0"/>
    <x v="0"/>
    <x v="0"/>
    <x v="0"/>
    <s v="DK1_Large"/>
    <x v="4"/>
    <x v="19"/>
    <x v="0"/>
    <x v="8"/>
    <n v="174.14"/>
    <n v="63561.1"/>
    <n v="228819.96"/>
  </r>
  <r>
    <x v="0"/>
    <x v="0"/>
    <x v="0"/>
    <x v="0"/>
    <x v="0"/>
    <s v="DK1_Large"/>
    <x v="4"/>
    <x v="19"/>
    <x v="0"/>
    <x v="0"/>
    <n v="174.14"/>
    <n v="63561.1"/>
    <n v="228819.96"/>
  </r>
  <r>
    <x v="0"/>
    <x v="0"/>
    <x v="0"/>
    <x v="0"/>
    <x v="0"/>
    <s v="DK1_Large"/>
    <x v="4"/>
    <x v="19"/>
    <x v="0"/>
    <x v="1"/>
    <n v="174.14"/>
    <n v="63561.1"/>
    <n v="228819.96"/>
  </r>
  <r>
    <x v="0"/>
    <x v="0"/>
    <x v="0"/>
    <x v="0"/>
    <x v="0"/>
    <s v="DK1_Large"/>
    <x v="4"/>
    <x v="19"/>
    <x v="0"/>
    <x v="2"/>
    <n v="174.14"/>
    <n v="63561.1"/>
    <n v="228819.96"/>
  </r>
  <r>
    <x v="0"/>
    <x v="0"/>
    <x v="0"/>
    <x v="0"/>
    <x v="0"/>
    <s v="DK1_Large"/>
    <x v="4"/>
    <x v="19"/>
    <x v="0"/>
    <x v="9"/>
    <n v="174.14"/>
    <n v="63561.1"/>
    <n v="228819.96"/>
  </r>
  <r>
    <x v="0"/>
    <x v="0"/>
    <x v="0"/>
    <x v="0"/>
    <x v="0"/>
    <s v="DK1_Large"/>
    <x v="4"/>
    <x v="19"/>
    <x v="0"/>
    <x v="10"/>
    <n v="174.14"/>
    <n v="63561.1"/>
    <n v="228819.96"/>
  </r>
  <r>
    <x v="0"/>
    <x v="0"/>
    <x v="0"/>
    <x v="0"/>
    <x v="0"/>
    <s v="DK1_Large"/>
    <x v="4"/>
    <x v="19"/>
    <x v="0"/>
    <x v="11"/>
    <n v="174.14"/>
    <n v="63561.1"/>
    <n v="228819.96"/>
  </r>
  <r>
    <x v="0"/>
    <x v="0"/>
    <x v="0"/>
    <x v="0"/>
    <x v="0"/>
    <s v="DK1_Large"/>
    <x v="4"/>
    <x v="19"/>
    <x v="0"/>
    <x v="12"/>
    <n v="174.14"/>
    <n v="63561.1"/>
    <n v="228819.96"/>
  </r>
  <r>
    <x v="0"/>
    <x v="0"/>
    <x v="0"/>
    <x v="0"/>
    <x v="0"/>
    <s v="DK1_Large"/>
    <x v="4"/>
    <x v="19"/>
    <x v="0"/>
    <x v="13"/>
    <n v="174.14"/>
    <n v="63561.1"/>
    <n v="228819.96"/>
  </r>
  <r>
    <x v="0"/>
    <x v="0"/>
    <x v="0"/>
    <x v="0"/>
    <x v="0"/>
    <s v="DK1_Large"/>
    <x v="4"/>
    <x v="19"/>
    <x v="0"/>
    <x v="14"/>
    <n v="174.14"/>
    <n v="63561.1"/>
    <n v="228819.96"/>
  </r>
  <r>
    <x v="0"/>
    <x v="0"/>
    <x v="0"/>
    <x v="0"/>
    <x v="0"/>
    <s v="DK1_Large"/>
    <x v="4"/>
    <x v="19"/>
    <x v="0"/>
    <x v="15"/>
    <n v="174.14"/>
    <n v="63561.1"/>
    <n v="228819.96"/>
  </r>
  <r>
    <x v="0"/>
    <x v="0"/>
    <x v="0"/>
    <x v="0"/>
    <x v="0"/>
    <s v="DK1_Large"/>
    <x v="4"/>
    <x v="19"/>
    <x v="0"/>
    <x v="16"/>
    <n v="174.14"/>
    <n v="63561.1"/>
    <n v="228819.96"/>
  </r>
  <r>
    <x v="0"/>
    <x v="0"/>
    <x v="0"/>
    <x v="0"/>
    <x v="0"/>
    <s v="DK1_Large"/>
    <x v="4"/>
    <x v="19"/>
    <x v="0"/>
    <x v="17"/>
    <n v="174.14"/>
    <n v="63561.1"/>
    <n v="228819.96"/>
  </r>
  <r>
    <x v="0"/>
    <x v="0"/>
    <x v="0"/>
    <x v="0"/>
    <x v="0"/>
    <s v="DK1_Large"/>
    <x v="4"/>
    <x v="19"/>
    <x v="0"/>
    <x v="18"/>
    <n v="174.14"/>
    <n v="63561.1"/>
    <n v="228819.96"/>
  </r>
  <r>
    <x v="0"/>
    <x v="0"/>
    <x v="0"/>
    <x v="0"/>
    <x v="0"/>
    <s v="DK1_Large"/>
    <x v="4"/>
    <x v="19"/>
    <x v="0"/>
    <x v="19"/>
    <n v="174.14"/>
    <n v="63561.1"/>
    <n v="228819.96"/>
  </r>
  <r>
    <x v="0"/>
    <x v="0"/>
    <x v="0"/>
    <x v="0"/>
    <x v="0"/>
    <s v="DK1_Large"/>
    <x v="4"/>
    <x v="19"/>
    <x v="0"/>
    <x v="20"/>
    <n v="174.14"/>
    <n v="63561.1"/>
    <n v="228819.96"/>
  </r>
  <r>
    <x v="0"/>
    <x v="0"/>
    <x v="0"/>
    <x v="0"/>
    <x v="0"/>
    <s v="DK1_Large"/>
    <x v="4"/>
    <x v="19"/>
    <x v="0"/>
    <x v="21"/>
    <n v="174.14"/>
    <n v="63561.1"/>
    <n v="228819.96"/>
  </r>
  <r>
    <x v="0"/>
    <x v="0"/>
    <x v="0"/>
    <x v="0"/>
    <x v="0"/>
    <s v="DK1_Large"/>
    <x v="4"/>
    <x v="19"/>
    <x v="0"/>
    <x v="22"/>
    <n v="174.14"/>
    <n v="63561.1"/>
    <n v="228819.96"/>
  </r>
  <r>
    <x v="0"/>
    <x v="0"/>
    <x v="0"/>
    <x v="0"/>
    <x v="0"/>
    <s v="DK1_Large"/>
    <x v="4"/>
    <x v="19"/>
    <x v="0"/>
    <x v="23"/>
    <n v="174.14"/>
    <n v="63561.1"/>
    <n v="228819.96"/>
  </r>
  <r>
    <x v="0"/>
    <x v="0"/>
    <x v="0"/>
    <x v="0"/>
    <x v="0"/>
    <s v="DK1_Large"/>
    <x v="5"/>
    <x v="20"/>
    <x v="0"/>
    <x v="3"/>
    <n v="32.6086956521739"/>
    <n v="11902.1739130435"/>
    <n v="42847.826086956498"/>
  </r>
  <r>
    <x v="0"/>
    <x v="0"/>
    <x v="0"/>
    <x v="0"/>
    <x v="0"/>
    <s v="DK1_Large"/>
    <x v="5"/>
    <x v="20"/>
    <x v="0"/>
    <x v="4"/>
    <n v="32.6086956521739"/>
    <n v="11902.1739130435"/>
    <n v="42847.826086956498"/>
  </r>
  <r>
    <x v="0"/>
    <x v="0"/>
    <x v="0"/>
    <x v="0"/>
    <x v="0"/>
    <s v="DK1_Large"/>
    <x v="5"/>
    <x v="20"/>
    <x v="0"/>
    <x v="5"/>
    <n v="32.6086956521739"/>
    <n v="11902.1739130435"/>
    <n v="42847.826086956498"/>
  </r>
  <r>
    <x v="0"/>
    <x v="0"/>
    <x v="0"/>
    <x v="0"/>
    <x v="0"/>
    <s v="DK1_Large"/>
    <x v="5"/>
    <x v="20"/>
    <x v="0"/>
    <x v="6"/>
    <n v="32.6086956521739"/>
    <n v="11902.1739130435"/>
    <n v="42847.826086956498"/>
  </r>
  <r>
    <x v="0"/>
    <x v="0"/>
    <x v="0"/>
    <x v="0"/>
    <x v="0"/>
    <s v="DK1_Large"/>
    <x v="5"/>
    <x v="20"/>
    <x v="0"/>
    <x v="7"/>
    <n v="32.6086956521739"/>
    <n v="11902.1739130435"/>
    <n v="42847.826086956498"/>
  </r>
  <r>
    <x v="0"/>
    <x v="0"/>
    <x v="0"/>
    <x v="0"/>
    <x v="0"/>
    <s v="DK1_Large"/>
    <x v="5"/>
    <x v="20"/>
    <x v="0"/>
    <x v="8"/>
    <n v="32.6086956521739"/>
    <n v="11902.1739130435"/>
    <n v="42847.826086956498"/>
  </r>
  <r>
    <x v="0"/>
    <x v="0"/>
    <x v="0"/>
    <x v="0"/>
    <x v="0"/>
    <s v="DK1_Large"/>
    <x v="5"/>
    <x v="20"/>
    <x v="0"/>
    <x v="0"/>
    <n v="32.6086956521739"/>
    <n v="11902.1739130435"/>
    <n v="42847.826086956498"/>
  </r>
  <r>
    <x v="0"/>
    <x v="0"/>
    <x v="0"/>
    <x v="0"/>
    <x v="0"/>
    <s v="DK1_Large"/>
    <x v="5"/>
    <x v="20"/>
    <x v="0"/>
    <x v="1"/>
    <n v="32.6086956521739"/>
    <n v="11902.1739130435"/>
    <n v="42847.826086956498"/>
  </r>
  <r>
    <x v="0"/>
    <x v="0"/>
    <x v="0"/>
    <x v="0"/>
    <x v="0"/>
    <s v="DK1_Large"/>
    <x v="5"/>
    <x v="20"/>
    <x v="0"/>
    <x v="2"/>
    <n v="32.6086956521739"/>
    <n v="11902.1739130435"/>
    <n v="42847.826086956498"/>
  </r>
  <r>
    <x v="0"/>
    <x v="0"/>
    <x v="0"/>
    <x v="0"/>
    <x v="0"/>
    <s v="DK1_Large"/>
    <x v="5"/>
    <x v="20"/>
    <x v="0"/>
    <x v="9"/>
    <n v="32.6086956521739"/>
    <n v="11902.1739130435"/>
    <n v="42847.826086956498"/>
  </r>
  <r>
    <x v="0"/>
    <x v="0"/>
    <x v="0"/>
    <x v="0"/>
    <x v="0"/>
    <s v="DK1_Large"/>
    <x v="5"/>
    <x v="20"/>
    <x v="0"/>
    <x v="10"/>
    <n v="32.6086956521739"/>
    <n v="11902.1739130435"/>
    <n v="42847.826086956498"/>
  </r>
  <r>
    <x v="0"/>
    <x v="0"/>
    <x v="0"/>
    <x v="0"/>
    <x v="0"/>
    <s v="DK1_Large"/>
    <x v="5"/>
    <x v="20"/>
    <x v="0"/>
    <x v="11"/>
    <n v="32.6086956521739"/>
    <n v="11902.1739130435"/>
    <n v="42847.826086956498"/>
  </r>
  <r>
    <x v="0"/>
    <x v="0"/>
    <x v="0"/>
    <x v="0"/>
    <x v="0"/>
    <s v="DK1_Large"/>
    <x v="5"/>
    <x v="20"/>
    <x v="0"/>
    <x v="12"/>
    <n v="32.6086956521739"/>
    <n v="11902.1739130435"/>
    <n v="42847.826086956498"/>
  </r>
  <r>
    <x v="0"/>
    <x v="0"/>
    <x v="0"/>
    <x v="0"/>
    <x v="0"/>
    <s v="DK1_Large"/>
    <x v="5"/>
    <x v="20"/>
    <x v="0"/>
    <x v="13"/>
    <n v="32.6086956521739"/>
    <n v="11902.1739130435"/>
    <n v="42847.826086956498"/>
  </r>
  <r>
    <x v="0"/>
    <x v="0"/>
    <x v="0"/>
    <x v="0"/>
    <x v="0"/>
    <s v="DK1_Large"/>
    <x v="5"/>
    <x v="20"/>
    <x v="0"/>
    <x v="14"/>
    <n v="32.6086956521739"/>
    <n v="11902.1739130435"/>
    <n v="42847.826086956498"/>
  </r>
  <r>
    <x v="0"/>
    <x v="0"/>
    <x v="0"/>
    <x v="0"/>
    <x v="0"/>
    <s v="DK1_Large"/>
    <x v="5"/>
    <x v="20"/>
    <x v="0"/>
    <x v="15"/>
    <n v="32.6086956521739"/>
    <n v="11902.1739130435"/>
    <n v="42847.826086956498"/>
  </r>
  <r>
    <x v="0"/>
    <x v="0"/>
    <x v="0"/>
    <x v="0"/>
    <x v="0"/>
    <s v="DK1_Large"/>
    <x v="5"/>
    <x v="20"/>
    <x v="0"/>
    <x v="16"/>
    <n v="32.6086956521739"/>
    <n v="11902.1739130435"/>
    <n v="42847.826086956498"/>
  </r>
  <r>
    <x v="0"/>
    <x v="0"/>
    <x v="0"/>
    <x v="0"/>
    <x v="0"/>
    <s v="DK1_Large"/>
    <x v="5"/>
    <x v="20"/>
    <x v="0"/>
    <x v="17"/>
    <n v="32.6086956521739"/>
    <n v="11902.1739130435"/>
    <n v="42847.826086956498"/>
  </r>
  <r>
    <x v="0"/>
    <x v="0"/>
    <x v="0"/>
    <x v="0"/>
    <x v="0"/>
    <s v="DK1_Large"/>
    <x v="5"/>
    <x v="20"/>
    <x v="0"/>
    <x v="18"/>
    <n v="32.6086956521739"/>
    <n v="11902.1739130435"/>
    <n v="42847.826086956498"/>
  </r>
  <r>
    <x v="0"/>
    <x v="0"/>
    <x v="0"/>
    <x v="0"/>
    <x v="0"/>
    <s v="DK1_Large"/>
    <x v="5"/>
    <x v="20"/>
    <x v="0"/>
    <x v="19"/>
    <n v="32.6086956521739"/>
    <n v="11902.1739130435"/>
    <n v="42847.826086956498"/>
  </r>
  <r>
    <x v="0"/>
    <x v="0"/>
    <x v="0"/>
    <x v="0"/>
    <x v="0"/>
    <s v="DK1_Large"/>
    <x v="5"/>
    <x v="20"/>
    <x v="0"/>
    <x v="20"/>
    <n v="32.6086956521739"/>
    <n v="11902.1739130435"/>
    <n v="42847.826086956498"/>
  </r>
  <r>
    <x v="0"/>
    <x v="0"/>
    <x v="0"/>
    <x v="0"/>
    <x v="0"/>
    <s v="DK1_Large"/>
    <x v="5"/>
    <x v="20"/>
    <x v="0"/>
    <x v="21"/>
    <n v="32.6086956521739"/>
    <n v="11902.1739130435"/>
    <n v="42847.826086956498"/>
  </r>
  <r>
    <x v="0"/>
    <x v="0"/>
    <x v="0"/>
    <x v="0"/>
    <x v="0"/>
    <s v="DK1_Large"/>
    <x v="5"/>
    <x v="20"/>
    <x v="0"/>
    <x v="22"/>
    <n v="32.6086956521739"/>
    <n v="11902.1739130435"/>
    <n v="42847.826086956498"/>
  </r>
  <r>
    <x v="0"/>
    <x v="0"/>
    <x v="0"/>
    <x v="0"/>
    <x v="0"/>
    <s v="DK1_MedSmall"/>
    <x v="1"/>
    <x v="21"/>
    <x v="0"/>
    <x v="3"/>
    <n v="6.5"/>
    <n v="2372.5"/>
    <n v="8541"/>
  </r>
  <r>
    <x v="0"/>
    <x v="0"/>
    <x v="0"/>
    <x v="0"/>
    <x v="0"/>
    <s v="DK1_MedSmall"/>
    <x v="1"/>
    <x v="21"/>
    <x v="0"/>
    <x v="4"/>
    <n v="6.5"/>
    <n v="2372.5"/>
    <n v="8541"/>
  </r>
  <r>
    <x v="0"/>
    <x v="0"/>
    <x v="0"/>
    <x v="0"/>
    <x v="0"/>
    <s v="DK1_MedSmall"/>
    <x v="1"/>
    <x v="21"/>
    <x v="0"/>
    <x v="5"/>
    <n v="6.5"/>
    <n v="2372.5"/>
    <n v="8541"/>
  </r>
  <r>
    <x v="0"/>
    <x v="0"/>
    <x v="0"/>
    <x v="0"/>
    <x v="0"/>
    <s v="DK1_MedSmall"/>
    <x v="1"/>
    <x v="21"/>
    <x v="0"/>
    <x v="6"/>
    <n v="6.5"/>
    <n v="2372.5"/>
    <n v="8541"/>
  </r>
  <r>
    <x v="0"/>
    <x v="0"/>
    <x v="0"/>
    <x v="0"/>
    <x v="0"/>
    <s v="DK1_MedSmall"/>
    <x v="1"/>
    <x v="21"/>
    <x v="0"/>
    <x v="7"/>
    <n v="6.5"/>
    <n v="2372.5"/>
    <n v="8541"/>
  </r>
  <r>
    <x v="0"/>
    <x v="0"/>
    <x v="0"/>
    <x v="0"/>
    <x v="0"/>
    <s v="DK1_MedSmall"/>
    <x v="1"/>
    <x v="21"/>
    <x v="0"/>
    <x v="8"/>
    <n v="6.5"/>
    <n v="2372.5"/>
    <n v="8541"/>
  </r>
  <r>
    <x v="0"/>
    <x v="0"/>
    <x v="0"/>
    <x v="0"/>
    <x v="0"/>
    <s v="DK1_MedSmall"/>
    <x v="1"/>
    <x v="21"/>
    <x v="0"/>
    <x v="0"/>
    <n v="6.5"/>
    <n v="2372.5"/>
    <n v="8541"/>
  </r>
  <r>
    <x v="0"/>
    <x v="0"/>
    <x v="0"/>
    <x v="0"/>
    <x v="0"/>
    <s v="DK1_MedSmall"/>
    <x v="1"/>
    <x v="21"/>
    <x v="0"/>
    <x v="1"/>
    <n v="6.5"/>
    <n v="2372.5"/>
    <n v="8541"/>
  </r>
  <r>
    <x v="0"/>
    <x v="0"/>
    <x v="0"/>
    <x v="0"/>
    <x v="0"/>
    <s v="DK1_MedSmall"/>
    <x v="1"/>
    <x v="21"/>
    <x v="0"/>
    <x v="2"/>
    <n v="6.5"/>
    <n v="2372.5"/>
    <n v="8541"/>
  </r>
  <r>
    <x v="0"/>
    <x v="0"/>
    <x v="0"/>
    <x v="0"/>
    <x v="0"/>
    <s v="DK1_MedSmall"/>
    <x v="1"/>
    <x v="21"/>
    <x v="0"/>
    <x v="9"/>
    <n v="6.5"/>
    <n v="2372.5"/>
    <n v="8541"/>
  </r>
  <r>
    <x v="0"/>
    <x v="0"/>
    <x v="0"/>
    <x v="0"/>
    <x v="0"/>
    <s v="DK1_MedSmall"/>
    <x v="1"/>
    <x v="21"/>
    <x v="0"/>
    <x v="10"/>
    <n v="6.5"/>
    <n v="2372.5"/>
    <n v="8541"/>
  </r>
  <r>
    <x v="0"/>
    <x v="0"/>
    <x v="0"/>
    <x v="0"/>
    <x v="0"/>
    <s v="DK1_MedSmall"/>
    <x v="1"/>
    <x v="21"/>
    <x v="0"/>
    <x v="11"/>
    <n v="6.5"/>
    <n v="2372.5"/>
    <n v="8541"/>
  </r>
  <r>
    <x v="0"/>
    <x v="0"/>
    <x v="0"/>
    <x v="0"/>
    <x v="0"/>
    <s v="DK1_MedSmall"/>
    <x v="1"/>
    <x v="21"/>
    <x v="0"/>
    <x v="12"/>
    <n v="6.5"/>
    <n v="2372.5"/>
    <n v="8541"/>
  </r>
  <r>
    <x v="0"/>
    <x v="0"/>
    <x v="0"/>
    <x v="0"/>
    <x v="0"/>
    <s v="DK1_MedSmall"/>
    <x v="1"/>
    <x v="21"/>
    <x v="0"/>
    <x v="13"/>
    <n v="6.5"/>
    <n v="2372.5"/>
    <n v="8541"/>
  </r>
  <r>
    <x v="0"/>
    <x v="0"/>
    <x v="0"/>
    <x v="0"/>
    <x v="0"/>
    <s v="DK1_MedSmall"/>
    <x v="1"/>
    <x v="21"/>
    <x v="0"/>
    <x v="14"/>
    <n v="6.5"/>
    <n v="2372.5"/>
    <n v="8541"/>
  </r>
  <r>
    <x v="0"/>
    <x v="0"/>
    <x v="0"/>
    <x v="0"/>
    <x v="0"/>
    <s v="DK1_MedSmall"/>
    <x v="1"/>
    <x v="21"/>
    <x v="0"/>
    <x v="15"/>
    <n v="6.5"/>
    <n v="2372.5"/>
    <n v="8541"/>
  </r>
  <r>
    <x v="0"/>
    <x v="0"/>
    <x v="0"/>
    <x v="0"/>
    <x v="0"/>
    <s v="DK1_MedSmall"/>
    <x v="1"/>
    <x v="21"/>
    <x v="0"/>
    <x v="16"/>
    <n v="6.5"/>
    <n v="2372.5"/>
    <n v="8541"/>
  </r>
  <r>
    <x v="0"/>
    <x v="0"/>
    <x v="0"/>
    <x v="0"/>
    <x v="0"/>
    <s v="DK1_MedSmall"/>
    <x v="1"/>
    <x v="21"/>
    <x v="0"/>
    <x v="17"/>
    <n v="6.5"/>
    <n v="2372.5"/>
    <n v="8541"/>
  </r>
  <r>
    <x v="0"/>
    <x v="0"/>
    <x v="0"/>
    <x v="0"/>
    <x v="0"/>
    <s v="DK1_MedSmall"/>
    <x v="1"/>
    <x v="21"/>
    <x v="0"/>
    <x v="18"/>
    <n v="6.5"/>
    <n v="2372.5"/>
    <n v="8541"/>
  </r>
  <r>
    <x v="0"/>
    <x v="0"/>
    <x v="0"/>
    <x v="0"/>
    <x v="0"/>
    <s v="DK1_MedSmall"/>
    <x v="1"/>
    <x v="21"/>
    <x v="0"/>
    <x v="19"/>
    <n v="6.5"/>
    <n v="2372.5"/>
    <n v="8541"/>
  </r>
  <r>
    <x v="0"/>
    <x v="0"/>
    <x v="0"/>
    <x v="0"/>
    <x v="0"/>
    <s v="DK1_MedSmall"/>
    <x v="1"/>
    <x v="21"/>
    <x v="0"/>
    <x v="20"/>
    <n v="6.5"/>
    <n v="2372.5"/>
    <n v="8541"/>
  </r>
  <r>
    <x v="0"/>
    <x v="0"/>
    <x v="0"/>
    <x v="0"/>
    <x v="0"/>
    <s v="DK1_MedSmall"/>
    <x v="1"/>
    <x v="21"/>
    <x v="0"/>
    <x v="21"/>
    <n v="6.5"/>
    <n v="2372.5"/>
    <n v="8541"/>
  </r>
  <r>
    <x v="0"/>
    <x v="0"/>
    <x v="0"/>
    <x v="0"/>
    <x v="0"/>
    <s v="DK1_MedSmall"/>
    <x v="1"/>
    <x v="21"/>
    <x v="0"/>
    <x v="22"/>
    <n v="6.5"/>
    <n v="2372.5"/>
    <n v="8541"/>
  </r>
  <r>
    <x v="0"/>
    <x v="0"/>
    <x v="0"/>
    <x v="0"/>
    <x v="0"/>
    <s v="DK1_MedSmall"/>
    <x v="1"/>
    <x v="21"/>
    <x v="0"/>
    <x v="23"/>
    <n v="6.5"/>
    <n v="2372.5"/>
    <n v="8541"/>
  </r>
  <r>
    <x v="0"/>
    <x v="0"/>
    <x v="0"/>
    <x v="0"/>
    <x v="0"/>
    <s v="DK1_MedSmall"/>
    <x v="1"/>
    <x v="22"/>
    <x v="0"/>
    <x v="3"/>
    <n v="14.117647058823501"/>
    <n v="5152.9411764705901"/>
    <n v="18550.588235294101"/>
  </r>
  <r>
    <x v="0"/>
    <x v="0"/>
    <x v="0"/>
    <x v="0"/>
    <x v="0"/>
    <s v="DK1_MedSmall"/>
    <x v="1"/>
    <x v="22"/>
    <x v="0"/>
    <x v="4"/>
    <n v="14.117647058823501"/>
    <n v="5152.9411764705901"/>
    <n v="18550.588235294101"/>
  </r>
  <r>
    <x v="0"/>
    <x v="0"/>
    <x v="0"/>
    <x v="0"/>
    <x v="0"/>
    <s v="DK1_MedSmall"/>
    <x v="1"/>
    <x v="22"/>
    <x v="0"/>
    <x v="5"/>
    <n v="14.117647058823501"/>
    <n v="5152.9411764705901"/>
    <n v="18550.588235294101"/>
  </r>
  <r>
    <x v="0"/>
    <x v="0"/>
    <x v="0"/>
    <x v="0"/>
    <x v="0"/>
    <s v="DK1_MedSmall"/>
    <x v="1"/>
    <x v="22"/>
    <x v="0"/>
    <x v="6"/>
    <n v="14.117647058823501"/>
    <n v="5152.9411764705901"/>
    <n v="18550.588235294101"/>
  </r>
  <r>
    <x v="0"/>
    <x v="0"/>
    <x v="0"/>
    <x v="0"/>
    <x v="0"/>
    <s v="DK1_MedSmall"/>
    <x v="1"/>
    <x v="22"/>
    <x v="0"/>
    <x v="7"/>
    <n v="14.117647058823501"/>
    <n v="5152.9411764705901"/>
    <n v="18550.588235294101"/>
  </r>
  <r>
    <x v="0"/>
    <x v="0"/>
    <x v="0"/>
    <x v="0"/>
    <x v="0"/>
    <s v="DK1_MedSmall"/>
    <x v="1"/>
    <x v="22"/>
    <x v="0"/>
    <x v="8"/>
    <n v="14.117647058823501"/>
    <n v="5152.9411764705901"/>
    <n v="18550.588235294101"/>
  </r>
  <r>
    <x v="0"/>
    <x v="0"/>
    <x v="0"/>
    <x v="0"/>
    <x v="0"/>
    <s v="DK1_MedSmall"/>
    <x v="1"/>
    <x v="22"/>
    <x v="0"/>
    <x v="0"/>
    <n v="14.117647058823501"/>
    <n v="5152.9411764705901"/>
    <n v="18550.588235294101"/>
  </r>
  <r>
    <x v="0"/>
    <x v="0"/>
    <x v="0"/>
    <x v="0"/>
    <x v="0"/>
    <s v="DK1_MedSmall"/>
    <x v="1"/>
    <x v="22"/>
    <x v="0"/>
    <x v="1"/>
    <n v="14.117647058823501"/>
    <n v="5152.9411764705901"/>
    <n v="18550.588235294101"/>
  </r>
  <r>
    <x v="0"/>
    <x v="0"/>
    <x v="0"/>
    <x v="0"/>
    <x v="0"/>
    <s v="DK1_MedSmall"/>
    <x v="1"/>
    <x v="22"/>
    <x v="0"/>
    <x v="2"/>
    <n v="14.117647058823501"/>
    <n v="5152.9411764705901"/>
    <n v="18550.588235294101"/>
  </r>
  <r>
    <x v="0"/>
    <x v="0"/>
    <x v="0"/>
    <x v="0"/>
    <x v="0"/>
    <s v="DK1_MedSmall"/>
    <x v="1"/>
    <x v="22"/>
    <x v="0"/>
    <x v="9"/>
    <n v="14.117647058823501"/>
    <n v="5152.9411764705901"/>
    <n v="18550.588235294101"/>
  </r>
  <r>
    <x v="0"/>
    <x v="0"/>
    <x v="0"/>
    <x v="0"/>
    <x v="0"/>
    <s v="DK1_MedSmall"/>
    <x v="1"/>
    <x v="22"/>
    <x v="0"/>
    <x v="10"/>
    <n v="14.117647058823501"/>
    <n v="5152.9411764705901"/>
    <n v="18550.588235294101"/>
  </r>
  <r>
    <x v="0"/>
    <x v="0"/>
    <x v="0"/>
    <x v="0"/>
    <x v="0"/>
    <s v="DK1_MedSmall"/>
    <x v="1"/>
    <x v="22"/>
    <x v="0"/>
    <x v="11"/>
    <n v="14.117647058823501"/>
    <n v="5152.9411764705901"/>
    <n v="18550.588235294101"/>
  </r>
  <r>
    <x v="0"/>
    <x v="0"/>
    <x v="0"/>
    <x v="0"/>
    <x v="0"/>
    <s v="DK1_MedSmall"/>
    <x v="1"/>
    <x v="22"/>
    <x v="0"/>
    <x v="12"/>
    <n v="14.117647058823501"/>
    <n v="5152.9411764705901"/>
    <n v="18550.588235294101"/>
  </r>
  <r>
    <x v="0"/>
    <x v="0"/>
    <x v="0"/>
    <x v="0"/>
    <x v="0"/>
    <s v="DK1_MedSmall"/>
    <x v="1"/>
    <x v="22"/>
    <x v="0"/>
    <x v="13"/>
    <n v="14.117647058823501"/>
    <n v="5152.9411764705901"/>
    <n v="18550.588235294101"/>
  </r>
  <r>
    <x v="0"/>
    <x v="0"/>
    <x v="0"/>
    <x v="0"/>
    <x v="0"/>
    <s v="DK1_MedSmall"/>
    <x v="1"/>
    <x v="22"/>
    <x v="0"/>
    <x v="14"/>
    <n v="14.117647058823501"/>
    <n v="5152.9411764705901"/>
    <n v="18550.588235294101"/>
  </r>
  <r>
    <x v="0"/>
    <x v="0"/>
    <x v="0"/>
    <x v="0"/>
    <x v="0"/>
    <s v="DK1_MedSmall"/>
    <x v="1"/>
    <x v="22"/>
    <x v="0"/>
    <x v="15"/>
    <n v="14.117647058823501"/>
    <n v="5152.9411764705901"/>
    <n v="18550.588235294101"/>
  </r>
  <r>
    <x v="0"/>
    <x v="0"/>
    <x v="0"/>
    <x v="0"/>
    <x v="0"/>
    <s v="DK1_MedSmall"/>
    <x v="1"/>
    <x v="22"/>
    <x v="0"/>
    <x v="16"/>
    <n v="14.117647058823501"/>
    <n v="5152.9411764705901"/>
    <n v="18550.588235294101"/>
  </r>
  <r>
    <x v="0"/>
    <x v="0"/>
    <x v="0"/>
    <x v="0"/>
    <x v="0"/>
    <s v="DK1_MedSmall"/>
    <x v="1"/>
    <x v="22"/>
    <x v="0"/>
    <x v="17"/>
    <n v="14.117647058823501"/>
    <n v="5152.9411764705901"/>
    <n v="18550.588235294101"/>
  </r>
  <r>
    <x v="0"/>
    <x v="0"/>
    <x v="0"/>
    <x v="0"/>
    <x v="0"/>
    <s v="DK1_MedSmall"/>
    <x v="1"/>
    <x v="22"/>
    <x v="0"/>
    <x v="18"/>
    <n v="14.117647058823501"/>
    <n v="5152.9411764705901"/>
    <n v="18550.588235294101"/>
  </r>
  <r>
    <x v="0"/>
    <x v="0"/>
    <x v="0"/>
    <x v="0"/>
    <x v="0"/>
    <s v="DK1_MedSmall"/>
    <x v="1"/>
    <x v="22"/>
    <x v="0"/>
    <x v="19"/>
    <n v="14.117647058823501"/>
    <n v="5152.9411764705901"/>
    <n v="18550.588235294101"/>
  </r>
  <r>
    <x v="0"/>
    <x v="0"/>
    <x v="0"/>
    <x v="0"/>
    <x v="0"/>
    <s v="DK1_MedSmall"/>
    <x v="1"/>
    <x v="22"/>
    <x v="0"/>
    <x v="20"/>
    <n v="14.117647058823501"/>
    <n v="5152.9411764705901"/>
    <n v="18550.588235294101"/>
  </r>
  <r>
    <x v="0"/>
    <x v="0"/>
    <x v="0"/>
    <x v="0"/>
    <x v="0"/>
    <s v="DK1_MedSmall"/>
    <x v="1"/>
    <x v="22"/>
    <x v="0"/>
    <x v="21"/>
    <n v="14.117647058823501"/>
    <n v="5152.9411764705901"/>
    <n v="18550.588235294101"/>
  </r>
  <r>
    <x v="0"/>
    <x v="0"/>
    <x v="0"/>
    <x v="0"/>
    <x v="0"/>
    <s v="DK1_MedSmall"/>
    <x v="1"/>
    <x v="22"/>
    <x v="0"/>
    <x v="22"/>
    <n v="14.117647058823501"/>
    <n v="5152.9411764705901"/>
    <n v="18550.588235294101"/>
  </r>
  <r>
    <x v="0"/>
    <x v="0"/>
    <x v="0"/>
    <x v="0"/>
    <x v="0"/>
    <s v="DK1_MedSmall"/>
    <x v="1"/>
    <x v="22"/>
    <x v="0"/>
    <x v="23"/>
    <n v="14.117647058823501"/>
    <n v="5152.9411764705901"/>
    <n v="18550.588235294101"/>
  </r>
  <r>
    <x v="0"/>
    <x v="0"/>
    <x v="0"/>
    <x v="0"/>
    <x v="0"/>
    <s v="DK1_MedSmall"/>
    <x v="1"/>
    <x v="23"/>
    <x v="0"/>
    <x v="3"/>
    <n v="16.5"/>
    <n v="6022.50000000001"/>
    <n v="21681"/>
  </r>
  <r>
    <x v="0"/>
    <x v="0"/>
    <x v="0"/>
    <x v="0"/>
    <x v="0"/>
    <s v="DK1_MedSmall"/>
    <x v="1"/>
    <x v="23"/>
    <x v="0"/>
    <x v="4"/>
    <n v="16.5"/>
    <n v="6022.50000000001"/>
    <n v="21681"/>
  </r>
  <r>
    <x v="0"/>
    <x v="0"/>
    <x v="0"/>
    <x v="0"/>
    <x v="0"/>
    <s v="DK1_MedSmall"/>
    <x v="1"/>
    <x v="23"/>
    <x v="0"/>
    <x v="5"/>
    <n v="16.5"/>
    <n v="6022.50000000001"/>
    <n v="21681"/>
  </r>
  <r>
    <x v="0"/>
    <x v="0"/>
    <x v="0"/>
    <x v="0"/>
    <x v="0"/>
    <s v="DK1_MedSmall"/>
    <x v="1"/>
    <x v="23"/>
    <x v="0"/>
    <x v="6"/>
    <n v="16.5"/>
    <n v="6022.50000000001"/>
    <n v="21681"/>
  </r>
  <r>
    <x v="0"/>
    <x v="0"/>
    <x v="0"/>
    <x v="0"/>
    <x v="0"/>
    <s v="DK1_MedSmall"/>
    <x v="1"/>
    <x v="23"/>
    <x v="0"/>
    <x v="7"/>
    <n v="16.5"/>
    <n v="6022.50000000001"/>
    <n v="21681"/>
  </r>
  <r>
    <x v="0"/>
    <x v="0"/>
    <x v="0"/>
    <x v="0"/>
    <x v="0"/>
    <s v="DK1_MedSmall"/>
    <x v="1"/>
    <x v="23"/>
    <x v="0"/>
    <x v="8"/>
    <n v="16.5"/>
    <n v="6022.50000000001"/>
    <n v="21681"/>
  </r>
  <r>
    <x v="0"/>
    <x v="0"/>
    <x v="0"/>
    <x v="0"/>
    <x v="0"/>
    <s v="DK1_MedSmall"/>
    <x v="1"/>
    <x v="23"/>
    <x v="0"/>
    <x v="0"/>
    <n v="16.5"/>
    <n v="6022.50000000001"/>
    <n v="21681"/>
  </r>
  <r>
    <x v="0"/>
    <x v="0"/>
    <x v="0"/>
    <x v="0"/>
    <x v="0"/>
    <s v="DK1_MedSmall"/>
    <x v="1"/>
    <x v="23"/>
    <x v="0"/>
    <x v="1"/>
    <n v="16.5"/>
    <n v="6022.50000000001"/>
    <n v="21681"/>
  </r>
  <r>
    <x v="0"/>
    <x v="0"/>
    <x v="0"/>
    <x v="0"/>
    <x v="0"/>
    <s v="DK1_MedSmall"/>
    <x v="1"/>
    <x v="23"/>
    <x v="0"/>
    <x v="2"/>
    <n v="16.5"/>
    <n v="6022.50000000001"/>
    <n v="21681"/>
  </r>
  <r>
    <x v="0"/>
    <x v="0"/>
    <x v="0"/>
    <x v="0"/>
    <x v="0"/>
    <s v="DK1_MedSmall"/>
    <x v="1"/>
    <x v="23"/>
    <x v="0"/>
    <x v="9"/>
    <n v="16.5"/>
    <n v="6022.50000000001"/>
    <n v="21681"/>
  </r>
  <r>
    <x v="0"/>
    <x v="0"/>
    <x v="0"/>
    <x v="0"/>
    <x v="0"/>
    <s v="DK1_MedSmall"/>
    <x v="1"/>
    <x v="23"/>
    <x v="0"/>
    <x v="10"/>
    <n v="16.5"/>
    <n v="6022.50000000001"/>
    <n v="21681"/>
  </r>
  <r>
    <x v="0"/>
    <x v="0"/>
    <x v="0"/>
    <x v="0"/>
    <x v="0"/>
    <s v="DK1_MedSmall"/>
    <x v="1"/>
    <x v="23"/>
    <x v="0"/>
    <x v="11"/>
    <n v="16.5"/>
    <n v="6022.50000000001"/>
    <n v="21681"/>
  </r>
  <r>
    <x v="0"/>
    <x v="0"/>
    <x v="0"/>
    <x v="0"/>
    <x v="0"/>
    <s v="DK1_MedSmall"/>
    <x v="1"/>
    <x v="23"/>
    <x v="0"/>
    <x v="12"/>
    <n v="16.5"/>
    <n v="6022.50000000001"/>
    <n v="21681"/>
  </r>
  <r>
    <x v="0"/>
    <x v="0"/>
    <x v="0"/>
    <x v="0"/>
    <x v="0"/>
    <s v="DK1_MedSmall"/>
    <x v="1"/>
    <x v="23"/>
    <x v="0"/>
    <x v="13"/>
    <n v="16.5"/>
    <n v="6022.50000000001"/>
    <n v="21681"/>
  </r>
  <r>
    <x v="0"/>
    <x v="0"/>
    <x v="0"/>
    <x v="0"/>
    <x v="0"/>
    <s v="DK1_MedSmall"/>
    <x v="1"/>
    <x v="23"/>
    <x v="0"/>
    <x v="14"/>
    <n v="16.5"/>
    <n v="6022.50000000001"/>
    <n v="21681"/>
  </r>
  <r>
    <x v="0"/>
    <x v="0"/>
    <x v="0"/>
    <x v="0"/>
    <x v="0"/>
    <s v="DK1_MedSmall"/>
    <x v="1"/>
    <x v="23"/>
    <x v="0"/>
    <x v="15"/>
    <n v="16.5"/>
    <n v="6022.50000000001"/>
    <n v="21681"/>
  </r>
  <r>
    <x v="0"/>
    <x v="0"/>
    <x v="0"/>
    <x v="0"/>
    <x v="0"/>
    <s v="DK1_MedSmall"/>
    <x v="1"/>
    <x v="23"/>
    <x v="0"/>
    <x v="16"/>
    <n v="16.5"/>
    <n v="6022.50000000001"/>
    <n v="21681"/>
  </r>
  <r>
    <x v="0"/>
    <x v="0"/>
    <x v="0"/>
    <x v="0"/>
    <x v="0"/>
    <s v="DK1_MedSmall"/>
    <x v="1"/>
    <x v="23"/>
    <x v="0"/>
    <x v="17"/>
    <n v="16.5"/>
    <n v="6022.50000000001"/>
    <n v="21681"/>
  </r>
  <r>
    <x v="0"/>
    <x v="0"/>
    <x v="0"/>
    <x v="0"/>
    <x v="0"/>
    <s v="DK1_MedSmall"/>
    <x v="1"/>
    <x v="23"/>
    <x v="0"/>
    <x v="18"/>
    <n v="16.5"/>
    <n v="6022.50000000001"/>
    <n v="21681"/>
  </r>
  <r>
    <x v="0"/>
    <x v="0"/>
    <x v="0"/>
    <x v="0"/>
    <x v="0"/>
    <s v="DK1_MedSmall"/>
    <x v="1"/>
    <x v="23"/>
    <x v="0"/>
    <x v="19"/>
    <n v="16.5"/>
    <n v="6022.50000000001"/>
    <n v="21681"/>
  </r>
  <r>
    <x v="0"/>
    <x v="0"/>
    <x v="0"/>
    <x v="0"/>
    <x v="0"/>
    <s v="DK1_MedSmall"/>
    <x v="1"/>
    <x v="23"/>
    <x v="0"/>
    <x v="20"/>
    <n v="16.5"/>
    <n v="6022.50000000001"/>
    <n v="21681"/>
  </r>
  <r>
    <x v="0"/>
    <x v="0"/>
    <x v="0"/>
    <x v="0"/>
    <x v="0"/>
    <s v="DK1_MedSmall"/>
    <x v="1"/>
    <x v="23"/>
    <x v="0"/>
    <x v="21"/>
    <n v="16.5"/>
    <n v="6022.50000000001"/>
    <n v="21681"/>
  </r>
  <r>
    <x v="0"/>
    <x v="0"/>
    <x v="0"/>
    <x v="0"/>
    <x v="0"/>
    <s v="DK1_MedSmall"/>
    <x v="1"/>
    <x v="23"/>
    <x v="0"/>
    <x v="22"/>
    <n v="16.5"/>
    <n v="6022.50000000001"/>
    <n v="21681"/>
  </r>
  <r>
    <x v="0"/>
    <x v="0"/>
    <x v="0"/>
    <x v="0"/>
    <x v="0"/>
    <s v="DK1_MedSmall"/>
    <x v="1"/>
    <x v="23"/>
    <x v="0"/>
    <x v="23"/>
    <n v="16.5"/>
    <n v="6022.50000000001"/>
    <n v="21681"/>
  </r>
  <r>
    <x v="0"/>
    <x v="0"/>
    <x v="0"/>
    <x v="0"/>
    <x v="0"/>
    <s v="DK1_MedSmall"/>
    <x v="1"/>
    <x v="24"/>
    <x v="0"/>
    <x v="3"/>
    <n v="47.619047619047699"/>
    <n v="17380.9523809524"/>
    <n v="62571.428571428703"/>
  </r>
  <r>
    <x v="0"/>
    <x v="0"/>
    <x v="0"/>
    <x v="0"/>
    <x v="0"/>
    <s v="DK1_MedSmall"/>
    <x v="1"/>
    <x v="24"/>
    <x v="0"/>
    <x v="4"/>
    <n v="47.619047619047699"/>
    <n v="17380.9523809524"/>
    <n v="62571.428571428703"/>
  </r>
  <r>
    <x v="0"/>
    <x v="0"/>
    <x v="0"/>
    <x v="0"/>
    <x v="0"/>
    <s v="DK1_MedSmall"/>
    <x v="1"/>
    <x v="24"/>
    <x v="0"/>
    <x v="5"/>
    <n v="47.619047619047699"/>
    <n v="17380.9523809524"/>
    <n v="62571.428571428703"/>
  </r>
  <r>
    <x v="0"/>
    <x v="0"/>
    <x v="0"/>
    <x v="0"/>
    <x v="0"/>
    <s v="DK1_MedSmall"/>
    <x v="1"/>
    <x v="24"/>
    <x v="0"/>
    <x v="6"/>
    <n v="47.619047619047699"/>
    <n v="17380.9523809524"/>
    <n v="62571.428571428703"/>
  </r>
  <r>
    <x v="0"/>
    <x v="0"/>
    <x v="0"/>
    <x v="0"/>
    <x v="0"/>
    <s v="DK1_MedSmall"/>
    <x v="1"/>
    <x v="24"/>
    <x v="0"/>
    <x v="7"/>
    <n v="47.619047619047699"/>
    <n v="17380.9523809524"/>
    <n v="62571.428571428703"/>
  </r>
  <r>
    <x v="0"/>
    <x v="0"/>
    <x v="0"/>
    <x v="0"/>
    <x v="0"/>
    <s v="DK1_MedSmall"/>
    <x v="1"/>
    <x v="24"/>
    <x v="0"/>
    <x v="8"/>
    <n v="47.619047619047699"/>
    <n v="17380.9523809524"/>
    <n v="62571.428571428703"/>
  </r>
  <r>
    <x v="0"/>
    <x v="0"/>
    <x v="0"/>
    <x v="0"/>
    <x v="0"/>
    <s v="DK1_MedSmall"/>
    <x v="1"/>
    <x v="24"/>
    <x v="0"/>
    <x v="0"/>
    <n v="47.619047619047699"/>
    <n v="17380.9523809524"/>
    <n v="62571.428571428703"/>
  </r>
  <r>
    <x v="0"/>
    <x v="0"/>
    <x v="0"/>
    <x v="0"/>
    <x v="0"/>
    <s v="DK1_MedSmall"/>
    <x v="1"/>
    <x v="24"/>
    <x v="0"/>
    <x v="1"/>
    <n v="47.619047619047699"/>
    <n v="17380.9523809524"/>
    <n v="62571.428571428703"/>
  </r>
  <r>
    <x v="0"/>
    <x v="0"/>
    <x v="0"/>
    <x v="0"/>
    <x v="0"/>
    <s v="DK1_MedSmall"/>
    <x v="1"/>
    <x v="24"/>
    <x v="0"/>
    <x v="2"/>
    <n v="47.619047619047699"/>
    <n v="17380.9523809524"/>
    <n v="62571.428571428703"/>
  </r>
  <r>
    <x v="0"/>
    <x v="0"/>
    <x v="0"/>
    <x v="0"/>
    <x v="0"/>
    <s v="DK1_MedSmall"/>
    <x v="1"/>
    <x v="24"/>
    <x v="0"/>
    <x v="9"/>
    <n v="47.619047619047699"/>
    <n v="17380.9523809524"/>
    <n v="62571.428571428703"/>
  </r>
  <r>
    <x v="0"/>
    <x v="0"/>
    <x v="0"/>
    <x v="0"/>
    <x v="0"/>
    <s v="DK1_MedSmall"/>
    <x v="1"/>
    <x v="24"/>
    <x v="0"/>
    <x v="10"/>
    <n v="47.619047619047699"/>
    <n v="17380.9523809524"/>
    <n v="62571.428571428703"/>
  </r>
  <r>
    <x v="0"/>
    <x v="0"/>
    <x v="0"/>
    <x v="0"/>
    <x v="0"/>
    <s v="DK1_MedSmall"/>
    <x v="1"/>
    <x v="24"/>
    <x v="0"/>
    <x v="11"/>
    <n v="47.619047619047699"/>
    <n v="17380.9523809524"/>
    <n v="62571.428571428703"/>
  </r>
  <r>
    <x v="0"/>
    <x v="0"/>
    <x v="0"/>
    <x v="0"/>
    <x v="0"/>
    <s v="DK1_MedSmall"/>
    <x v="1"/>
    <x v="24"/>
    <x v="0"/>
    <x v="12"/>
    <n v="47.619047619047699"/>
    <n v="17380.9523809524"/>
    <n v="62571.428571428703"/>
  </r>
  <r>
    <x v="0"/>
    <x v="0"/>
    <x v="0"/>
    <x v="0"/>
    <x v="0"/>
    <s v="DK1_MedSmall"/>
    <x v="1"/>
    <x v="24"/>
    <x v="0"/>
    <x v="13"/>
    <n v="47.619047619047699"/>
    <n v="17380.9523809524"/>
    <n v="62571.428571428703"/>
  </r>
  <r>
    <x v="0"/>
    <x v="0"/>
    <x v="0"/>
    <x v="0"/>
    <x v="0"/>
    <s v="DK1_MedSmall"/>
    <x v="1"/>
    <x v="24"/>
    <x v="0"/>
    <x v="14"/>
    <n v="47.619047619047699"/>
    <n v="17380.9523809524"/>
    <n v="62571.428571428703"/>
  </r>
  <r>
    <x v="0"/>
    <x v="0"/>
    <x v="0"/>
    <x v="0"/>
    <x v="0"/>
    <s v="DK1_MedSmall"/>
    <x v="1"/>
    <x v="24"/>
    <x v="0"/>
    <x v="15"/>
    <n v="47.619047619047699"/>
    <n v="17380.9523809524"/>
    <n v="62571.428571428703"/>
  </r>
  <r>
    <x v="0"/>
    <x v="0"/>
    <x v="0"/>
    <x v="0"/>
    <x v="0"/>
    <s v="DK1_MedSmall"/>
    <x v="1"/>
    <x v="24"/>
    <x v="0"/>
    <x v="16"/>
    <n v="47.619047619047699"/>
    <n v="17380.9523809524"/>
    <n v="62571.428571428703"/>
  </r>
  <r>
    <x v="0"/>
    <x v="0"/>
    <x v="0"/>
    <x v="0"/>
    <x v="0"/>
    <s v="DK1_MedSmall"/>
    <x v="1"/>
    <x v="24"/>
    <x v="0"/>
    <x v="17"/>
    <n v="47.619047619047699"/>
    <n v="17380.9523809524"/>
    <n v="62571.428571428703"/>
  </r>
  <r>
    <x v="0"/>
    <x v="0"/>
    <x v="0"/>
    <x v="0"/>
    <x v="0"/>
    <s v="DK1_MedSmall"/>
    <x v="1"/>
    <x v="24"/>
    <x v="0"/>
    <x v="18"/>
    <n v="47.619047619047699"/>
    <n v="17380.9523809524"/>
    <n v="62571.428571428703"/>
  </r>
  <r>
    <x v="0"/>
    <x v="0"/>
    <x v="0"/>
    <x v="0"/>
    <x v="0"/>
    <s v="DK1_MedSmall"/>
    <x v="1"/>
    <x v="24"/>
    <x v="0"/>
    <x v="19"/>
    <n v="47.619047619047699"/>
    <n v="17380.9523809524"/>
    <n v="62571.428571428703"/>
  </r>
  <r>
    <x v="0"/>
    <x v="0"/>
    <x v="0"/>
    <x v="0"/>
    <x v="0"/>
    <s v="DK1_MedSmall"/>
    <x v="1"/>
    <x v="24"/>
    <x v="0"/>
    <x v="20"/>
    <n v="47.619047619047699"/>
    <n v="17380.9523809524"/>
    <n v="62571.428571428703"/>
  </r>
  <r>
    <x v="0"/>
    <x v="0"/>
    <x v="0"/>
    <x v="0"/>
    <x v="0"/>
    <s v="DK1_MedSmall"/>
    <x v="1"/>
    <x v="24"/>
    <x v="0"/>
    <x v="21"/>
    <n v="47.619047619047699"/>
    <n v="17380.9523809524"/>
    <n v="62571.428571428703"/>
  </r>
  <r>
    <x v="0"/>
    <x v="0"/>
    <x v="0"/>
    <x v="0"/>
    <x v="0"/>
    <s v="DK1_MedSmall"/>
    <x v="1"/>
    <x v="24"/>
    <x v="0"/>
    <x v="22"/>
    <n v="47.619047619047699"/>
    <n v="17380.9523809524"/>
    <n v="62571.428571428703"/>
  </r>
  <r>
    <x v="0"/>
    <x v="0"/>
    <x v="0"/>
    <x v="0"/>
    <x v="0"/>
    <s v="DK1_MedSmall"/>
    <x v="1"/>
    <x v="24"/>
    <x v="0"/>
    <x v="23"/>
    <n v="47.619047619047699"/>
    <n v="17380.9523809524"/>
    <n v="62571.428571428703"/>
  </r>
  <r>
    <x v="0"/>
    <x v="0"/>
    <x v="0"/>
    <x v="0"/>
    <x v="0"/>
    <s v="DK1_MedSmall"/>
    <x v="1"/>
    <x v="4"/>
    <x v="0"/>
    <x v="3"/>
    <n v="20.454545454545499"/>
    <n v="7465.9090909091001"/>
    <n v="26877.272727272801"/>
  </r>
  <r>
    <x v="0"/>
    <x v="0"/>
    <x v="0"/>
    <x v="0"/>
    <x v="0"/>
    <s v="DK1_MedSmall"/>
    <x v="1"/>
    <x v="4"/>
    <x v="0"/>
    <x v="4"/>
    <n v="20.454545454545499"/>
    <n v="7465.9090909091001"/>
    <n v="26877.272727272801"/>
  </r>
  <r>
    <x v="0"/>
    <x v="0"/>
    <x v="0"/>
    <x v="0"/>
    <x v="0"/>
    <s v="DK1_MedSmall"/>
    <x v="1"/>
    <x v="4"/>
    <x v="0"/>
    <x v="5"/>
    <n v="20.454545454545499"/>
    <n v="7465.9090909091001"/>
    <n v="26877.272727272801"/>
  </r>
  <r>
    <x v="0"/>
    <x v="0"/>
    <x v="0"/>
    <x v="0"/>
    <x v="0"/>
    <s v="DK1_MedSmall"/>
    <x v="1"/>
    <x v="4"/>
    <x v="0"/>
    <x v="6"/>
    <n v="20.454545454545499"/>
    <n v="7465.9090909091001"/>
    <n v="26877.272727272801"/>
  </r>
  <r>
    <x v="0"/>
    <x v="0"/>
    <x v="0"/>
    <x v="0"/>
    <x v="0"/>
    <s v="DK1_MedSmall"/>
    <x v="1"/>
    <x v="4"/>
    <x v="0"/>
    <x v="7"/>
    <n v="20.454545454545499"/>
    <n v="7465.9090909091001"/>
    <n v="26877.272727272801"/>
  </r>
  <r>
    <x v="0"/>
    <x v="0"/>
    <x v="0"/>
    <x v="0"/>
    <x v="0"/>
    <s v="DK1_MedSmall"/>
    <x v="1"/>
    <x v="4"/>
    <x v="0"/>
    <x v="8"/>
    <n v="20.454545454545499"/>
    <n v="7465.9090909091001"/>
    <n v="26877.272727272801"/>
  </r>
  <r>
    <x v="0"/>
    <x v="0"/>
    <x v="0"/>
    <x v="0"/>
    <x v="0"/>
    <s v="DK1_MedSmall"/>
    <x v="1"/>
    <x v="4"/>
    <x v="0"/>
    <x v="0"/>
    <n v="20.454545454545499"/>
    <n v="7465.9090909091001"/>
    <n v="26877.272727272801"/>
  </r>
  <r>
    <x v="0"/>
    <x v="0"/>
    <x v="0"/>
    <x v="0"/>
    <x v="0"/>
    <s v="DK1_MedSmall"/>
    <x v="1"/>
    <x v="4"/>
    <x v="0"/>
    <x v="1"/>
    <n v="20.454545454545499"/>
    <n v="7465.9090909091001"/>
    <n v="26877.272727272801"/>
  </r>
  <r>
    <x v="0"/>
    <x v="0"/>
    <x v="0"/>
    <x v="0"/>
    <x v="0"/>
    <s v="DK1_MedSmall"/>
    <x v="1"/>
    <x v="4"/>
    <x v="0"/>
    <x v="2"/>
    <n v="20.454545454545499"/>
    <n v="7465.9090909091001"/>
    <n v="26877.272727272801"/>
  </r>
  <r>
    <x v="0"/>
    <x v="0"/>
    <x v="0"/>
    <x v="0"/>
    <x v="0"/>
    <s v="DK1_MedSmall"/>
    <x v="1"/>
    <x v="4"/>
    <x v="0"/>
    <x v="9"/>
    <n v="20.454545454545499"/>
    <n v="7465.9090909091001"/>
    <n v="26877.272727272801"/>
  </r>
  <r>
    <x v="0"/>
    <x v="0"/>
    <x v="0"/>
    <x v="0"/>
    <x v="0"/>
    <s v="DK1_MedSmall"/>
    <x v="1"/>
    <x v="4"/>
    <x v="0"/>
    <x v="10"/>
    <n v="20.454545454545499"/>
    <n v="7465.9090909091001"/>
    <n v="26877.272727272801"/>
  </r>
  <r>
    <x v="0"/>
    <x v="0"/>
    <x v="0"/>
    <x v="0"/>
    <x v="0"/>
    <s v="DK1_MedSmall"/>
    <x v="1"/>
    <x v="4"/>
    <x v="0"/>
    <x v="11"/>
    <n v="20.454545454545499"/>
    <n v="7465.9090909091001"/>
    <n v="26877.272727272801"/>
  </r>
  <r>
    <x v="0"/>
    <x v="0"/>
    <x v="0"/>
    <x v="0"/>
    <x v="0"/>
    <s v="DK1_MedSmall"/>
    <x v="1"/>
    <x v="4"/>
    <x v="0"/>
    <x v="12"/>
    <n v="20.454545454545499"/>
    <n v="7465.9090909091001"/>
    <n v="26877.272727272801"/>
  </r>
  <r>
    <x v="0"/>
    <x v="0"/>
    <x v="0"/>
    <x v="0"/>
    <x v="0"/>
    <s v="DK1_MedSmall"/>
    <x v="1"/>
    <x v="4"/>
    <x v="0"/>
    <x v="13"/>
    <n v="20.454545454545499"/>
    <n v="7465.9090909091001"/>
    <n v="26877.272727272801"/>
  </r>
  <r>
    <x v="0"/>
    <x v="0"/>
    <x v="0"/>
    <x v="0"/>
    <x v="0"/>
    <s v="DK1_MedSmall"/>
    <x v="1"/>
    <x v="4"/>
    <x v="0"/>
    <x v="14"/>
    <n v="20.454545454545499"/>
    <n v="7465.9090909091001"/>
    <n v="26877.272727272801"/>
  </r>
  <r>
    <x v="0"/>
    <x v="0"/>
    <x v="0"/>
    <x v="0"/>
    <x v="0"/>
    <s v="DK1_MedSmall"/>
    <x v="1"/>
    <x v="4"/>
    <x v="0"/>
    <x v="15"/>
    <n v="20.454545454545499"/>
    <n v="7465.9090909091001"/>
    <n v="26877.272727272801"/>
  </r>
  <r>
    <x v="0"/>
    <x v="0"/>
    <x v="0"/>
    <x v="0"/>
    <x v="0"/>
    <s v="DK1_MedSmall"/>
    <x v="1"/>
    <x v="4"/>
    <x v="0"/>
    <x v="16"/>
    <n v="20.454545454545499"/>
    <n v="7465.9090909091001"/>
    <n v="26877.272727272801"/>
  </r>
  <r>
    <x v="0"/>
    <x v="0"/>
    <x v="0"/>
    <x v="0"/>
    <x v="0"/>
    <s v="DK1_MedSmall"/>
    <x v="1"/>
    <x v="4"/>
    <x v="0"/>
    <x v="17"/>
    <n v="20.454545454545499"/>
    <n v="7465.9090909091001"/>
    <n v="26877.272727272801"/>
  </r>
  <r>
    <x v="0"/>
    <x v="0"/>
    <x v="0"/>
    <x v="0"/>
    <x v="0"/>
    <s v="DK1_MedSmall"/>
    <x v="1"/>
    <x v="4"/>
    <x v="0"/>
    <x v="18"/>
    <n v="20.454545454545499"/>
    <n v="7465.9090909091001"/>
    <n v="26877.272727272801"/>
  </r>
  <r>
    <x v="0"/>
    <x v="0"/>
    <x v="0"/>
    <x v="0"/>
    <x v="0"/>
    <s v="DK1_MedSmall"/>
    <x v="1"/>
    <x v="4"/>
    <x v="0"/>
    <x v="19"/>
    <n v="20.454545454545499"/>
    <n v="7465.9090909091001"/>
    <n v="26877.272727272801"/>
  </r>
  <r>
    <x v="0"/>
    <x v="0"/>
    <x v="0"/>
    <x v="0"/>
    <x v="0"/>
    <s v="DK1_MedSmall"/>
    <x v="1"/>
    <x v="4"/>
    <x v="0"/>
    <x v="20"/>
    <n v="20.454545454545499"/>
    <n v="7465.9090909091001"/>
    <n v="26877.272727272801"/>
  </r>
  <r>
    <x v="0"/>
    <x v="0"/>
    <x v="0"/>
    <x v="0"/>
    <x v="0"/>
    <s v="DK1_MedSmall"/>
    <x v="1"/>
    <x v="4"/>
    <x v="0"/>
    <x v="21"/>
    <n v="20.454545454545499"/>
    <n v="7465.9090909091001"/>
    <n v="26877.272727272801"/>
  </r>
  <r>
    <x v="0"/>
    <x v="0"/>
    <x v="0"/>
    <x v="0"/>
    <x v="0"/>
    <s v="DK1_MedSmall"/>
    <x v="1"/>
    <x v="4"/>
    <x v="0"/>
    <x v="22"/>
    <n v="20.454545454545499"/>
    <n v="7465.9090909091001"/>
    <n v="26877.272727272801"/>
  </r>
  <r>
    <x v="0"/>
    <x v="0"/>
    <x v="0"/>
    <x v="0"/>
    <x v="0"/>
    <s v="DK1_MedSmall"/>
    <x v="1"/>
    <x v="4"/>
    <x v="0"/>
    <x v="23"/>
    <n v="20.454545454545499"/>
    <n v="7465.9090909091001"/>
    <n v="26877.272727272801"/>
  </r>
  <r>
    <x v="0"/>
    <x v="0"/>
    <x v="0"/>
    <x v="0"/>
    <x v="0"/>
    <s v="DK1_MedSmall"/>
    <x v="1"/>
    <x v="25"/>
    <x v="0"/>
    <x v="3"/>
    <n v="26.923076923077002"/>
    <n v="9826.9230769230908"/>
    <n v="35376.9230769231"/>
  </r>
  <r>
    <x v="0"/>
    <x v="0"/>
    <x v="0"/>
    <x v="0"/>
    <x v="0"/>
    <s v="DK1_MedSmall"/>
    <x v="1"/>
    <x v="25"/>
    <x v="0"/>
    <x v="4"/>
    <n v="26.923076923077002"/>
    <n v="9826.9230769230908"/>
    <n v="35376.9230769231"/>
  </r>
  <r>
    <x v="0"/>
    <x v="0"/>
    <x v="0"/>
    <x v="0"/>
    <x v="0"/>
    <s v="DK1_MedSmall"/>
    <x v="1"/>
    <x v="25"/>
    <x v="0"/>
    <x v="5"/>
    <n v="26.923076923077002"/>
    <n v="9826.9230769230908"/>
    <n v="35376.9230769231"/>
  </r>
  <r>
    <x v="0"/>
    <x v="0"/>
    <x v="0"/>
    <x v="0"/>
    <x v="0"/>
    <s v="DK1_MedSmall"/>
    <x v="1"/>
    <x v="25"/>
    <x v="0"/>
    <x v="6"/>
    <n v="26.923076923077002"/>
    <n v="9826.9230769230908"/>
    <n v="35376.9230769231"/>
  </r>
  <r>
    <x v="0"/>
    <x v="0"/>
    <x v="0"/>
    <x v="0"/>
    <x v="0"/>
    <s v="DK1_MedSmall"/>
    <x v="1"/>
    <x v="25"/>
    <x v="0"/>
    <x v="7"/>
    <n v="26.923076923077002"/>
    <n v="9826.9230769230908"/>
    <n v="35376.9230769231"/>
  </r>
  <r>
    <x v="0"/>
    <x v="0"/>
    <x v="0"/>
    <x v="0"/>
    <x v="0"/>
    <s v="DK1_MedSmall"/>
    <x v="1"/>
    <x v="25"/>
    <x v="0"/>
    <x v="8"/>
    <n v="26.923076923077002"/>
    <n v="9826.9230769230908"/>
    <n v="35376.9230769231"/>
  </r>
  <r>
    <x v="0"/>
    <x v="0"/>
    <x v="0"/>
    <x v="0"/>
    <x v="0"/>
    <s v="DK1_MedSmall"/>
    <x v="1"/>
    <x v="25"/>
    <x v="0"/>
    <x v="0"/>
    <n v="26.923076923077002"/>
    <n v="9826.9230769230908"/>
    <n v="35376.9230769231"/>
  </r>
  <r>
    <x v="0"/>
    <x v="0"/>
    <x v="0"/>
    <x v="0"/>
    <x v="0"/>
    <s v="DK1_MedSmall"/>
    <x v="1"/>
    <x v="25"/>
    <x v="0"/>
    <x v="1"/>
    <n v="26.923076923077002"/>
    <n v="9826.9230769230908"/>
    <n v="35376.9230769231"/>
  </r>
  <r>
    <x v="0"/>
    <x v="0"/>
    <x v="0"/>
    <x v="0"/>
    <x v="0"/>
    <s v="DK1_MedSmall"/>
    <x v="1"/>
    <x v="25"/>
    <x v="0"/>
    <x v="2"/>
    <n v="26.923076923077002"/>
    <n v="9826.9230769230908"/>
    <n v="35376.9230769231"/>
  </r>
  <r>
    <x v="0"/>
    <x v="0"/>
    <x v="0"/>
    <x v="0"/>
    <x v="0"/>
    <s v="DK1_MedSmall"/>
    <x v="1"/>
    <x v="25"/>
    <x v="0"/>
    <x v="9"/>
    <n v="26.923076923077002"/>
    <n v="9826.9230769230908"/>
    <n v="35376.9230769231"/>
  </r>
  <r>
    <x v="0"/>
    <x v="0"/>
    <x v="0"/>
    <x v="0"/>
    <x v="0"/>
    <s v="DK1_MedSmall"/>
    <x v="1"/>
    <x v="25"/>
    <x v="0"/>
    <x v="10"/>
    <n v="26.923076923077002"/>
    <n v="9826.9230769230908"/>
    <n v="35376.9230769231"/>
  </r>
  <r>
    <x v="0"/>
    <x v="0"/>
    <x v="0"/>
    <x v="0"/>
    <x v="0"/>
    <s v="DK1_MedSmall"/>
    <x v="1"/>
    <x v="25"/>
    <x v="0"/>
    <x v="11"/>
    <n v="26.923076923077002"/>
    <n v="9826.9230769230908"/>
    <n v="35376.9230769231"/>
  </r>
  <r>
    <x v="0"/>
    <x v="0"/>
    <x v="0"/>
    <x v="0"/>
    <x v="0"/>
    <s v="DK1_MedSmall"/>
    <x v="1"/>
    <x v="25"/>
    <x v="0"/>
    <x v="12"/>
    <n v="26.923076923077002"/>
    <n v="9826.9230769230908"/>
    <n v="35376.9230769231"/>
  </r>
  <r>
    <x v="0"/>
    <x v="0"/>
    <x v="0"/>
    <x v="0"/>
    <x v="0"/>
    <s v="DK1_MedSmall"/>
    <x v="1"/>
    <x v="25"/>
    <x v="0"/>
    <x v="13"/>
    <n v="26.923076923077002"/>
    <n v="9826.9230769230908"/>
    <n v="35376.9230769231"/>
  </r>
  <r>
    <x v="0"/>
    <x v="0"/>
    <x v="0"/>
    <x v="0"/>
    <x v="0"/>
    <s v="DK1_MedSmall"/>
    <x v="1"/>
    <x v="25"/>
    <x v="0"/>
    <x v="14"/>
    <n v="26.923076923077002"/>
    <n v="9826.9230769230908"/>
    <n v="35376.9230769231"/>
  </r>
  <r>
    <x v="0"/>
    <x v="0"/>
    <x v="0"/>
    <x v="0"/>
    <x v="0"/>
    <s v="DK1_MedSmall"/>
    <x v="1"/>
    <x v="25"/>
    <x v="0"/>
    <x v="15"/>
    <n v="26.923076923077002"/>
    <n v="9826.9230769230908"/>
    <n v="35376.9230769231"/>
  </r>
  <r>
    <x v="0"/>
    <x v="0"/>
    <x v="0"/>
    <x v="0"/>
    <x v="0"/>
    <s v="DK1_MedSmall"/>
    <x v="1"/>
    <x v="25"/>
    <x v="0"/>
    <x v="16"/>
    <n v="26.923076923077002"/>
    <n v="9826.9230769230908"/>
    <n v="35376.9230769231"/>
  </r>
  <r>
    <x v="0"/>
    <x v="0"/>
    <x v="0"/>
    <x v="0"/>
    <x v="0"/>
    <s v="DK1_MedSmall"/>
    <x v="1"/>
    <x v="25"/>
    <x v="0"/>
    <x v="17"/>
    <n v="26.923076923077002"/>
    <n v="9826.9230769230908"/>
    <n v="35376.9230769231"/>
  </r>
  <r>
    <x v="0"/>
    <x v="0"/>
    <x v="0"/>
    <x v="0"/>
    <x v="0"/>
    <s v="DK1_MedSmall"/>
    <x v="1"/>
    <x v="25"/>
    <x v="0"/>
    <x v="18"/>
    <n v="26.923076923077002"/>
    <n v="9826.9230769230908"/>
    <n v="35376.9230769231"/>
  </r>
  <r>
    <x v="0"/>
    <x v="0"/>
    <x v="0"/>
    <x v="0"/>
    <x v="0"/>
    <s v="DK1_MedSmall"/>
    <x v="1"/>
    <x v="25"/>
    <x v="0"/>
    <x v="19"/>
    <n v="26.923076923077002"/>
    <n v="9826.9230769230908"/>
    <n v="35376.9230769231"/>
  </r>
  <r>
    <x v="0"/>
    <x v="0"/>
    <x v="0"/>
    <x v="0"/>
    <x v="0"/>
    <s v="DK1_MedSmall"/>
    <x v="1"/>
    <x v="25"/>
    <x v="0"/>
    <x v="20"/>
    <n v="26.923076923077002"/>
    <n v="9826.9230769230908"/>
    <n v="35376.9230769231"/>
  </r>
  <r>
    <x v="0"/>
    <x v="0"/>
    <x v="0"/>
    <x v="0"/>
    <x v="0"/>
    <s v="DK1_MedSmall"/>
    <x v="1"/>
    <x v="25"/>
    <x v="0"/>
    <x v="21"/>
    <n v="26.923076923077002"/>
    <n v="9826.9230769230908"/>
    <n v="35376.9230769231"/>
  </r>
  <r>
    <x v="0"/>
    <x v="0"/>
    <x v="0"/>
    <x v="0"/>
    <x v="0"/>
    <s v="DK1_MedSmall"/>
    <x v="1"/>
    <x v="25"/>
    <x v="0"/>
    <x v="22"/>
    <n v="26.923076923077002"/>
    <n v="9826.9230769230908"/>
    <n v="35376.9230769231"/>
  </r>
  <r>
    <x v="0"/>
    <x v="0"/>
    <x v="0"/>
    <x v="0"/>
    <x v="0"/>
    <s v="DK1_MedSmall"/>
    <x v="1"/>
    <x v="25"/>
    <x v="0"/>
    <x v="23"/>
    <n v="26.923076923077002"/>
    <n v="9826.9230769230908"/>
    <n v="35376.9230769231"/>
  </r>
  <r>
    <x v="0"/>
    <x v="0"/>
    <x v="0"/>
    <x v="0"/>
    <x v="0"/>
    <s v="DK1_MedSmall"/>
    <x v="2"/>
    <x v="26"/>
    <x v="0"/>
    <x v="3"/>
    <n v="1.8"/>
    <n v="657"/>
    <n v="2365.1999999999998"/>
  </r>
  <r>
    <x v="0"/>
    <x v="0"/>
    <x v="0"/>
    <x v="0"/>
    <x v="0"/>
    <s v="DK1_MedSmall"/>
    <x v="2"/>
    <x v="26"/>
    <x v="0"/>
    <x v="4"/>
    <n v="1.8"/>
    <n v="657"/>
    <n v="2365.1999999999998"/>
  </r>
  <r>
    <x v="0"/>
    <x v="0"/>
    <x v="0"/>
    <x v="0"/>
    <x v="0"/>
    <s v="DK1_MedSmall"/>
    <x v="2"/>
    <x v="26"/>
    <x v="0"/>
    <x v="5"/>
    <n v="1.8"/>
    <n v="657"/>
    <n v="2365.1999999999998"/>
  </r>
  <r>
    <x v="0"/>
    <x v="0"/>
    <x v="0"/>
    <x v="0"/>
    <x v="0"/>
    <s v="DK1_MedSmall"/>
    <x v="2"/>
    <x v="26"/>
    <x v="0"/>
    <x v="6"/>
    <n v="1.8"/>
    <n v="657"/>
    <n v="2365.1999999999998"/>
  </r>
  <r>
    <x v="0"/>
    <x v="0"/>
    <x v="0"/>
    <x v="0"/>
    <x v="0"/>
    <s v="DK1_MedSmall"/>
    <x v="2"/>
    <x v="26"/>
    <x v="0"/>
    <x v="7"/>
    <n v="1.8"/>
    <n v="657"/>
    <n v="2365.1999999999998"/>
  </r>
  <r>
    <x v="0"/>
    <x v="0"/>
    <x v="0"/>
    <x v="0"/>
    <x v="0"/>
    <s v="DK1_MedSmall"/>
    <x v="2"/>
    <x v="26"/>
    <x v="0"/>
    <x v="8"/>
    <n v="1.8"/>
    <n v="657"/>
    <n v="2365.1999999999998"/>
  </r>
  <r>
    <x v="0"/>
    <x v="0"/>
    <x v="0"/>
    <x v="0"/>
    <x v="0"/>
    <s v="DK1_MedSmall"/>
    <x v="2"/>
    <x v="26"/>
    <x v="0"/>
    <x v="0"/>
    <n v="1.8"/>
    <n v="657"/>
    <n v="2365.1999999999998"/>
  </r>
  <r>
    <x v="0"/>
    <x v="0"/>
    <x v="0"/>
    <x v="0"/>
    <x v="0"/>
    <s v="DK1_MedSmall"/>
    <x v="2"/>
    <x v="26"/>
    <x v="0"/>
    <x v="1"/>
    <n v="1.8"/>
    <n v="657"/>
    <n v="2365.1999999999998"/>
  </r>
  <r>
    <x v="0"/>
    <x v="0"/>
    <x v="0"/>
    <x v="0"/>
    <x v="0"/>
    <s v="DK1_MedSmall"/>
    <x v="2"/>
    <x v="26"/>
    <x v="0"/>
    <x v="2"/>
    <n v="1.8"/>
    <n v="657"/>
    <n v="2365.1999999999998"/>
  </r>
  <r>
    <x v="0"/>
    <x v="0"/>
    <x v="0"/>
    <x v="0"/>
    <x v="0"/>
    <s v="DK1_MedSmall"/>
    <x v="2"/>
    <x v="26"/>
    <x v="0"/>
    <x v="9"/>
    <n v="1.8"/>
    <n v="657"/>
    <n v="2365.1999999999998"/>
  </r>
  <r>
    <x v="0"/>
    <x v="0"/>
    <x v="0"/>
    <x v="0"/>
    <x v="0"/>
    <s v="DK1_MedSmall"/>
    <x v="2"/>
    <x v="26"/>
    <x v="0"/>
    <x v="10"/>
    <n v="1.8"/>
    <n v="657"/>
    <n v="2365.1999999999998"/>
  </r>
  <r>
    <x v="0"/>
    <x v="0"/>
    <x v="0"/>
    <x v="0"/>
    <x v="0"/>
    <s v="DK1_MedSmall"/>
    <x v="2"/>
    <x v="26"/>
    <x v="0"/>
    <x v="11"/>
    <n v="1.8"/>
    <n v="657"/>
    <n v="2365.1999999999998"/>
  </r>
  <r>
    <x v="0"/>
    <x v="0"/>
    <x v="0"/>
    <x v="0"/>
    <x v="0"/>
    <s v="DK1_MedSmall"/>
    <x v="2"/>
    <x v="26"/>
    <x v="0"/>
    <x v="12"/>
    <n v="1.8"/>
    <n v="657"/>
    <n v="2365.1999999999998"/>
  </r>
  <r>
    <x v="0"/>
    <x v="0"/>
    <x v="0"/>
    <x v="0"/>
    <x v="0"/>
    <s v="DK1_MedSmall"/>
    <x v="2"/>
    <x v="26"/>
    <x v="0"/>
    <x v="13"/>
    <n v="1.8"/>
    <n v="657"/>
    <n v="2365.1999999999998"/>
  </r>
  <r>
    <x v="0"/>
    <x v="0"/>
    <x v="0"/>
    <x v="0"/>
    <x v="0"/>
    <s v="DK1_MedSmall"/>
    <x v="2"/>
    <x v="26"/>
    <x v="0"/>
    <x v="14"/>
    <n v="1.8"/>
    <n v="657"/>
    <n v="2365.1999999999998"/>
  </r>
  <r>
    <x v="0"/>
    <x v="0"/>
    <x v="0"/>
    <x v="0"/>
    <x v="0"/>
    <s v="DK1_MedSmall"/>
    <x v="2"/>
    <x v="26"/>
    <x v="0"/>
    <x v="15"/>
    <n v="1.8"/>
    <n v="657"/>
    <n v="2365.1999999999998"/>
  </r>
  <r>
    <x v="0"/>
    <x v="0"/>
    <x v="0"/>
    <x v="0"/>
    <x v="0"/>
    <s v="DK1_MedSmall"/>
    <x v="2"/>
    <x v="26"/>
    <x v="0"/>
    <x v="16"/>
    <n v="1.8"/>
    <n v="657"/>
    <n v="2365.1999999999998"/>
  </r>
  <r>
    <x v="0"/>
    <x v="0"/>
    <x v="0"/>
    <x v="0"/>
    <x v="0"/>
    <s v="DK1_MedSmall"/>
    <x v="2"/>
    <x v="26"/>
    <x v="0"/>
    <x v="17"/>
    <n v="1.8"/>
    <n v="657"/>
    <n v="2365.1999999999998"/>
  </r>
  <r>
    <x v="0"/>
    <x v="0"/>
    <x v="0"/>
    <x v="0"/>
    <x v="0"/>
    <s v="DK1_MedSmall"/>
    <x v="2"/>
    <x v="26"/>
    <x v="0"/>
    <x v="18"/>
    <n v="1.8"/>
    <n v="657"/>
    <n v="2365.1999999999998"/>
  </r>
  <r>
    <x v="0"/>
    <x v="0"/>
    <x v="0"/>
    <x v="0"/>
    <x v="0"/>
    <s v="DK1_MedSmall"/>
    <x v="2"/>
    <x v="26"/>
    <x v="0"/>
    <x v="19"/>
    <n v="1.8"/>
    <n v="657"/>
    <n v="2365.1999999999998"/>
  </r>
  <r>
    <x v="0"/>
    <x v="0"/>
    <x v="0"/>
    <x v="0"/>
    <x v="0"/>
    <s v="DK1_MedSmall"/>
    <x v="2"/>
    <x v="26"/>
    <x v="0"/>
    <x v="20"/>
    <n v="1.8"/>
    <n v="657"/>
    <n v="2365.1999999999998"/>
  </r>
  <r>
    <x v="0"/>
    <x v="0"/>
    <x v="0"/>
    <x v="0"/>
    <x v="0"/>
    <s v="DK1_MedSmall"/>
    <x v="2"/>
    <x v="26"/>
    <x v="0"/>
    <x v="21"/>
    <n v="1.8"/>
    <n v="657"/>
    <n v="2365.1999999999998"/>
  </r>
  <r>
    <x v="0"/>
    <x v="0"/>
    <x v="0"/>
    <x v="0"/>
    <x v="0"/>
    <s v="DK1_MedSmall"/>
    <x v="2"/>
    <x v="26"/>
    <x v="0"/>
    <x v="22"/>
    <n v="1.8"/>
    <n v="657"/>
    <n v="2365.1999999999998"/>
  </r>
  <r>
    <x v="0"/>
    <x v="0"/>
    <x v="0"/>
    <x v="0"/>
    <x v="0"/>
    <s v="DK1_MedSmall"/>
    <x v="2"/>
    <x v="26"/>
    <x v="0"/>
    <x v="23"/>
    <n v="1.8"/>
    <n v="657"/>
    <n v="2365.1999999999998"/>
  </r>
  <r>
    <x v="0"/>
    <x v="0"/>
    <x v="0"/>
    <x v="0"/>
    <x v="0"/>
    <s v="DK1_MedSmall"/>
    <x v="2"/>
    <x v="27"/>
    <x v="0"/>
    <x v="3"/>
    <n v="2.7027027027027"/>
    <n v="986.48648648648702"/>
    <n v="3551.3513513513499"/>
  </r>
  <r>
    <x v="0"/>
    <x v="0"/>
    <x v="0"/>
    <x v="0"/>
    <x v="0"/>
    <s v="DK1_MedSmall"/>
    <x v="2"/>
    <x v="27"/>
    <x v="0"/>
    <x v="4"/>
    <n v="2.7027027027027"/>
    <n v="986.48648648648702"/>
    <n v="3551.3513513513499"/>
  </r>
  <r>
    <x v="0"/>
    <x v="0"/>
    <x v="0"/>
    <x v="0"/>
    <x v="0"/>
    <s v="DK1_MedSmall"/>
    <x v="2"/>
    <x v="27"/>
    <x v="0"/>
    <x v="5"/>
    <n v="2.7027027027027"/>
    <n v="986.48648648648702"/>
    <n v="3551.3513513513499"/>
  </r>
  <r>
    <x v="0"/>
    <x v="0"/>
    <x v="0"/>
    <x v="0"/>
    <x v="0"/>
    <s v="DK1_MedSmall"/>
    <x v="2"/>
    <x v="27"/>
    <x v="0"/>
    <x v="6"/>
    <n v="2.7027027027027"/>
    <n v="986.48648648648702"/>
    <n v="3551.3513513513499"/>
  </r>
  <r>
    <x v="0"/>
    <x v="0"/>
    <x v="0"/>
    <x v="0"/>
    <x v="0"/>
    <s v="DK1_MedSmall"/>
    <x v="2"/>
    <x v="27"/>
    <x v="0"/>
    <x v="7"/>
    <n v="2.7027027027027"/>
    <n v="986.48648648648702"/>
    <n v="3551.3513513513499"/>
  </r>
  <r>
    <x v="0"/>
    <x v="0"/>
    <x v="0"/>
    <x v="0"/>
    <x v="0"/>
    <s v="DK1_MedSmall"/>
    <x v="2"/>
    <x v="27"/>
    <x v="0"/>
    <x v="8"/>
    <n v="2.7027027027027"/>
    <n v="986.48648648648702"/>
    <n v="3551.3513513513499"/>
  </r>
  <r>
    <x v="0"/>
    <x v="0"/>
    <x v="0"/>
    <x v="0"/>
    <x v="0"/>
    <s v="DK1_MedSmall"/>
    <x v="2"/>
    <x v="27"/>
    <x v="0"/>
    <x v="0"/>
    <n v="2.7027027027027"/>
    <n v="986.48648648648702"/>
    <n v="3551.3513513513499"/>
  </r>
  <r>
    <x v="0"/>
    <x v="0"/>
    <x v="0"/>
    <x v="0"/>
    <x v="0"/>
    <s v="DK1_MedSmall"/>
    <x v="2"/>
    <x v="27"/>
    <x v="0"/>
    <x v="1"/>
    <n v="2.7027027027027"/>
    <n v="986.48648648648702"/>
    <n v="3551.3513513513499"/>
  </r>
  <r>
    <x v="0"/>
    <x v="0"/>
    <x v="0"/>
    <x v="0"/>
    <x v="0"/>
    <s v="DK1_MedSmall"/>
    <x v="2"/>
    <x v="27"/>
    <x v="0"/>
    <x v="2"/>
    <n v="2.7027027027027"/>
    <n v="986.48648648648702"/>
    <n v="3551.3513513513499"/>
  </r>
  <r>
    <x v="0"/>
    <x v="0"/>
    <x v="0"/>
    <x v="0"/>
    <x v="0"/>
    <s v="DK1_MedSmall"/>
    <x v="2"/>
    <x v="27"/>
    <x v="0"/>
    <x v="9"/>
    <n v="2.7027027027027"/>
    <n v="986.48648648648702"/>
    <n v="3551.3513513513499"/>
  </r>
  <r>
    <x v="0"/>
    <x v="0"/>
    <x v="0"/>
    <x v="0"/>
    <x v="0"/>
    <s v="DK1_MedSmall"/>
    <x v="2"/>
    <x v="27"/>
    <x v="0"/>
    <x v="10"/>
    <n v="2.7027027027027"/>
    <n v="986.48648648648702"/>
    <n v="3551.3513513513499"/>
  </r>
  <r>
    <x v="0"/>
    <x v="0"/>
    <x v="0"/>
    <x v="0"/>
    <x v="0"/>
    <s v="DK1_MedSmall"/>
    <x v="2"/>
    <x v="27"/>
    <x v="0"/>
    <x v="11"/>
    <n v="2.7027027027027"/>
    <n v="986.48648648648702"/>
    <n v="3551.3513513513499"/>
  </r>
  <r>
    <x v="0"/>
    <x v="0"/>
    <x v="0"/>
    <x v="0"/>
    <x v="0"/>
    <s v="DK1_MedSmall"/>
    <x v="2"/>
    <x v="27"/>
    <x v="0"/>
    <x v="12"/>
    <n v="2.7027027027027"/>
    <n v="986.48648648648702"/>
    <n v="3551.3513513513499"/>
  </r>
  <r>
    <x v="0"/>
    <x v="0"/>
    <x v="0"/>
    <x v="0"/>
    <x v="0"/>
    <s v="DK1_MedSmall"/>
    <x v="2"/>
    <x v="27"/>
    <x v="0"/>
    <x v="13"/>
    <n v="2.7027027027027"/>
    <n v="986.48648648648702"/>
    <n v="3551.3513513513499"/>
  </r>
  <r>
    <x v="0"/>
    <x v="0"/>
    <x v="0"/>
    <x v="0"/>
    <x v="0"/>
    <s v="DK1_MedSmall"/>
    <x v="2"/>
    <x v="27"/>
    <x v="0"/>
    <x v="14"/>
    <n v="2.7027027027027"/>
    <n v="986.48648648648702"/>
    <n v="3551.3513513513499"/>
  </r>
  <r>
    <x v="0"/>
    <x v="0"/>
    <x v="0"/>
    <x v="0"/>
    <x v="0"/>
    <s v="DK1_MedSmall"/>
    <x v="2"/>
    <x v="27"/>
    <x v="0"/>
    <x v="15"/>
    <n v="2.7027027027027"/>
    <n v="986.48648648648702"/>
    <n v="3551.3513513513499"/>
  </r>
  <r>
    <x v="0"/>
    <x v="0"/>
    <x v="0"/>
    <x v="0"/>
    <x v="0"/>
    <s v="DK1_MedSmall"/>
    <x v="2"/>
    <x v="27"/>
    <x v="0"/>
    <x v="16"/>
    <n v="2.7027027027027"/>
    <n v="986.48648648648702"/>
    <n v="3551.3513513513499"/>
  </r>
  <r>
    <x v="0"/>
    <x v="0"/>
    <x v="0"/>
    <x v="0"/>
    <x v="0"/>
    <s v="DK1_MedSmall"/>
    <x v="2"/>
    <x v="27"/>
    <x v="0"/>
    <x v="17"/>
    <n v="2.7027027027027"/>
    <n v="986.48648648648702"/>
    <n v="3551.3513513513499"/>
  </r>
  <r>
    <x v="0"/>
    <x v="0"/>
    <x v="0"/>
    <x v="0"/>
    <x v="0"/>
    <s v="DK1_MedSmall"/>
    <x v="2"/>
    <x v="27"/>
    <x v="0"/>
    <x v="18"/>
    <n v="2.7027027027027"/>
    <n v="986.48648648648702"/>
    <n v="3551.3513513513499"/>
  </r>
  <r>
    <x v="0"/>
    <x v="0"/>
    <x v="0"/>
    <x v="0"/>
    <x v="0"/>
    <s v="DK1_MedSmall"/>
    <x v="2"/>
    <x v="27"/>
    <x v="0"/>
    <x v="19"/>
    <n v="2.7027027027027"/>
    <n v="986.48648648648702"/>
    <n v="3551.3513513513499"/>
  </r>
  <r>
    <x v="0"/>
    <x v="0"/>
    <x v="0"/>
    <x v="0"/>
    <x v="0"/>
    <s v="DK1_MedSmall"/>
    <x v="2"/>
    <x v="27"/>
    <x v="0"/>
    <x v="20"/>
    <n v="2.7027027027027"/>
    <n v="986.48648648648702"/>
    <n v="3551.3513513513499"/>
  </r>
  <r>
    <x v="0"/>
    <x v="0"/>
    <x v="0"/>
    <x v="0"/>
    <x v="0"/>
    <s v="DK1_MedSmall"/>
    <x v="2"/>
    <x v="27"/>
    <x v="0"/>
    <x v="21"/>
    <n v="2.7027027027027"/>
    <n v="986.48648648648702"/>
    <n v="3551.3513513513499"/>
  </r>
  <r>
    <x v="0"/>
    <x v="0"/>
    <x v="0"/>
    <x v="0"/>
    <x v="0"/>
    <s v="DK1_MedSmall"/>
    <x v="2"/>
    <x v="27"/>
    <x v="0"/>
    <x v="22"/>
    <n v="2.7027027027027"/>
    <n v="986.48648648648702"/>
    <n v="3551.3513513513499"/>
  </r>
  <r>
    <x v="0"/>
    <x v="0"/>
    <x v="0"/>
    <x v="0"/>
    <x v="0"/>
    <s v="DK1_MedSmall"/>
    <x v="2"/>
    <x v="27"/>
    <x v="0"/>
    <x v="23"/>
    <n v="2.7027027027027"/>
    <n v="986.48648648648702"/>
    <n v="3551.3513513513499"/>
  </r>
  <r>
    <x v="0"/>
    <x v="0"/>
    <x v="0"/>
    <x v="0"/>
    <x v="0"/>
    <s v="DK1_MedSmall"/>
    <x v="2"/>
    <x v="10"/>
    <x v="0"/>
    <x v="3"/>
    <n v="31.18"/>
    <n v="11380.7"/>
    <n v="40970.519999999997"/>
  </r>
  <r>
    <x v="0"/>
    <x v="0"/>
    <x v="0"/>
    <x v="0"/>
    <x v="0"/>
    <s v="DK1_MedSmall"/>
    <x v="2"/>
    <x v="10"/>
    <x v="0"/>
    <x v="4"/>
    <n v="31.18"/>
    <n v="11380.7"/>
    <n v="40970.519999999997"/>
  </r>
  <r>
    <x v="0"/>
    <x v="0"/>
    <x v="0"/>
    <x v="0"/>
    <x v="0"/>
    <s v="DK1_MedSmall"/>
    <x v="2"/>
    <x v="10"/>
    <x v="0"/>
    <x v="5"/>
    <n v="31.18"/>
    <n v="11380.7"/>
    <n v="40970.519999999997"/>
  </r>
  <r>
    <x v="0"/>
    <x v="0"/>
    <x v="0"/>
    <x v="0"/>
    <x v="0"/>
    <s v="DK1_MedSmall"/>
    <x v="2"/>
    <x v="10"/>
    <x v="0"/>
    <x v="6"/>
    <n v="31.18"/>
    <n v="11380.7"/>
    <n v="40970.519999999997"/>
  </r>
  <r>
    <x v="0"/>
    <x v="0"/>
    <x v="0"/>
    <x v="0"/>
    <x v="0"/>
    <s v="DK1_MedSmall"/>
    <x v="2"/>
    <x v="10"/>
    <x v="0"/>
    <x v="7"/>
    <n v="31.18"/>
    <n v="11380.7"/>
    <n v="40970.519999999997"/>
  </r>
  <r>
    <x v="0"/>
    <x v="0"/>
    <x v="0"/>
    <x v="0"/>
    <x v="0"/>
    <s v="DK1_MedSmall"/>
    <x v="2"/>
    <x v="10"/>
    <x v="0"/>
    <x v="8"/>
    <n v="31.18"/>
    <n v="11380.7"/>
    <n v="40970.519999999997"/>
  </r>
  <r>
    <x v="0"/>
    <x v="0"/>
    <x v="0"/>
    <x v="0"/>
    <x v="0"/>
    <s v="DK1_MedSmall"/>
    <x v="2"/>
    <x v="10"/>
    <x v="0"/>
    <x v="0"/>
    <n v="31.18"/>
    <n v="11380.7"/>
    <n v="40970.519999999997"/>
  </r>
  <r>
    <x v="0"/>
    <x v="0"/>
    <x v="0"/>
    <x v="0"/>
    <x v="0"/>
    <s v="DK1_MedSmall"/>
    <x v="2"/>
    <x v="10"/>
    <x v="0"/>
    <x v="1"/>
    <n v="31.18"/>
    <n v="11380.7"/>
    <n v="40970.519999999997"/>
  </r>
  <r>
    <x v="0"/>
    <x v="0"/>
    <x v="0"/>
    <x v="0"/>
    <x v="0"/>
    <s v="DK1_MedSmall"/>
    <x v="2"/>
    <x v="10"/>
    <x v="0"/>
    <x v="2"/>
    <n v="31.18"/>
    <n v="11380.7"/>
    <n v="40970.519999999997"/>
  </r>
  <r>
    <x v="0"/>
    <x v="0"/>
    <x v="0"/>
    <x v="0"/>
    <x v="0"/>
    <s v="DK1_MedSmall"/>
    <x v="2"/>
    <x v="10"/>
    <x v="0"/>
    <x v="9"/>
    <n v="31.18"/>
    <n v="11380.7"/>
    <n v="40970.519999999997"/>
  </r>
  <r>
    <x v="0"/>
    <x v="0"/>
    <x v="0"/>
    <x v="0"/>
    <x v="0"/>
    <s v="DK1_MedSmall"/>
    <x v="2"/>
    <x v="10"/>
    <x v="0"/>
    <x v="10"/>
    <n v="31.18"/>
    <n v="11380.7"/>
    <n v="40970.519999999997"/>
  </r>
  <r>
    <x v="0"/>
    <x v="0"/>
    <x v="0"/>
    <x v="0"/>
    <x v="0"/>
    <s v="DK1_MedSmall"/>
    <x v="2"/>
    <x v="10"/>
    <x v="0"/>
    <x v="11"/>
    <n v="31.18"/>
    <n v="11380.7"/>
    <n v="40970.519999999997"/>
  </r>
  <r>
    <x v="0"/>
    <x v="0"/>
    <x v="0"/>
    <x v="0"/>
    <x v="0"/>
    <s v="DK1_MedSmall"/>
    <x v="2"/>
    <x v="10"/>
    <x v="0"/>
    <x v="12"/>
    <n v="31.18"/>
    <n v="11380.7"/>
    <n v="40970.519999999997"/>
  </r>
  <r>
    <x v="0"/>
    <x v="0"/>
    <x v="0"/>
    <x v="0"/>
    <x v="0"/>
    <s v="DK1_MedSmall"/>
    <x v="2"/>
    <x v="10"/>
    <x v="0"/>
    <x v="13"/>
    <n v="31.18"/>
    <n v="11380.7"/>
    <n v="40970.519999999997"/>
  </r>
  <r>
    <x v="0"/>
    <x v="0"/>
    <x v="0"/>
    <x v="0"/>
    <x v="0"/>
    <s v="DK1_MedSmall"/>
    <x v="2"/>
    <x v="10"/>
    <x v="0"/>
    <x v="14"/>
    <n v="31.18"/>
    <n v="11380.7"/>
    <n v="40970.519999999997"/>
  </r>
  <r>
    <x v="0"/>
    <x v="0"/>
    <x v="0"/>
    <x v="0"/>
    <x v="0"/>
    <s v="DK1_MedSmall"/>
    <x v="2"/>
    <x v="10"/>
    <x v="0"/>
    <x v="15"/>
    <n v="31.18"/>
    <n v="11380.7"/>
    <n v="40970.519999999997"/>
  </r>
  <r>
    <x v="0"/>
    <x v="0"/>
    <x v="0"/>
    <x v="0"/>
    <x v="0"/>
    <s v="DK1_MedSmall"/>
    <x v="2"/>
    <x v="10"/>
    <x v="0"/>
    <x v="16"/>
    <n v="31.18"/>
    <n v="11380.7"/>
    <n v="40970.519999999997"/>
  </r>
  <r>
    <x v="0"/>
    <x v="0"/>
    <x v="0"/>
    <x v="0"/>
    <x v="0"/>
    <s v="DK1_MedSmall"/>
    <x v="2"/>
    <x v="10"/>
    <x v="0"/>
    <x v="17"/>
    <n v="31.18"/>
    <n v="11380.7"/>
    <n v="40970.519999999997"/>
  </r>
  <r>
    <x v="0"/>
    <x v="0"/>
    <x v="0"/>
    <x v="0"/>
    <x v="0"/>
    <s v="DK1_MedSmall"/>
    <x v="2"/>
    <x v="10"/>
    <x v="0"/>
    <x v="18"/>
    <n v="31.18"/>
    <n v="11380.7"/>
    <n v="40970.519999999997"/>
  </r>
  <r>
    <x v="0"/>
    <x v="0"/>
    <x v="0"/>
    <x v="0"/>
    <x v="0"/>
    <s v="DK1_MedSmall"/>
    <x v="2"/>
    <x v="10"/>
    <x v="0"/>
    <x v="19"/>
    <n v="31.18"/>
    <n v="11380.7"/>
    <n v="40970.519999999997"/>
  </r>
  <r>
    <x v="0"/>
    <x v="0"/>
    <x v="0"/>
    <x v="0"/>
    <x v="0"/>
    <s v="DK1_MedSmall"/>
    <x v="2"/>
    <x v="10"/>
    <x v="0"/>
    <x v="20"/>
    <n v="31.18"/>
    <n v="11380.7"/>
    <n v="40970.519999999997"/>
  </r>
  <r>
    <x v="0"/>
    <x v="0"/>
    <x v="0"/>
    <x v="0"/>
    <x v="0"/>
    <s v="DK1_MedSmall"/>
    <x v="2"/>
    <x v="10"/>
    <x v="0"/>
    <x v="21"/>
    <n v="31.18"/>
    <n v="11380.7"/>
    <n v="40970.519999999997"/>
  </r>
  <r>
    <x v="0"/>
    <x v="0"/>
    <x v="0"/>
    <x v="0"/>
    <x v="0"/>
    <s v="DK1_MedSmall"/>
    <x v="2"/>
    <x v="10"/>
    <x v="0"/>
    <x v="22"/>
    <n v="31.18"/>
    <n v="11380.7"/>
    <n v="40970.519999999997"/>
  </r>
  <r>
    <x v="0"/>
    <x v="0"/>
    <x v="0"/>
    <x v="0"/>
    <x v="0"/>
    <s v="DK1_MedSmall"/>
    <x v="2"/>
    <x v="10"/>
    <x v="0"/>
    <x v="23"/>
    <n v="31.18"/>
    <n v="11380.7"/>
    <n v="40970.519999999997"/>
  </r>
  <r>
    <x v="0"/>
    <x v="0"/>
    <x v="0"/>
    <x v="0"/>
    <x v="0"/>
    <s v="DK1_MedSmall"/>
    <x v="2"/>
    <x v="11"/>
    <x v="0"/>
    <x v="3"/>
    <n v="20.780487804878099"/>
    <n v="7584.8780487804897"/>
    <n v="27305.560975609798"/>
  </r>
  <r>
    <x v="0"/>
    <x v="0"/>
    <x v="0"/>
    <x v="0"/>
    <x v="0"/>
    <s v="DK1_MedSmall"/>
    <x v="2"/>
    <x v="11"/>
    <x v="0"/>
    <x v="4"/>
    <n v="20.780487804878099"/>
    <n v="7584.8780487804897"/>
    <n v="27305.560975609798"/>
  </r>
  <r>
    <x v="0"/>
    <x v="0"/>
    <x v="0"/>
    <x v="0"/>
    <x v="0"/>
    <s v="DK1_MedSmall"/>
    <x v="2"/>
    <x v="11"/>
    <x v="0"/>
    <x v="5"/>
    <n v="20.780487804878099"/>
    <n v="7584.8780487804897"/>
    <n v="27305.560975609798"/>
  </r>
  <r>
    <x v="0"/>
    <x v="0"/>
    <x v="0"/>
    <x v="0"/>
    <x v="0"/>
    <s v="DK1_MedSmall"/>
    <x v="2"/>
    <x v="11"/>
    <x v="0"/>
    <x v="6"/>
    <n v="20.780487804878099"/>
    <n v="7584.8780487804897"/>
    <n v="27305.560975609798"/>
  </r>
  <r>
    <x v="0"/>
    <x v="0"/>
    <x v="0"/>
    <x v="0"/>
    <x v="0"/>
    <s v="DK1_MedSmall"/>
    <x v="2"/>
    <x v="11"/>
    <x v="0"/>
    <x v="7"/>
    <n v="20.780487804878099"/>
    <n v="7584.8780487804897"/>
    <n v="27305.560975609798"/>
  </r>
  <r>
    <x v="0"/>
    <x v="0"/>
    <x v="0"/>
    <x v="0"/>
    <x v="0"/>
    <s v="DK1_MedSmall"/>
    <x v="2"/>
    <x v="11"/>
    <x v="0"/>
    <x v="8"/>
    <n v="20.780487804878099"/>
    <n v="7584.8780487804897"/>
    <n v="27305.560975609798"/>
  </r>
  <r>
    <x v="0"/>
    <x v="0"/>
    <x v="0"/>
    <x v="0"/>
    <x v="0"/>
    <s v="DK1_MedSmall"/>
    <x v="2"/>
    <x v="11"/>
    <x v="0"/>
    <x v="0"/>
    <n v="20.780487804878099"/>
    <n v="7584.8780487804897"/>
    <n v="27305.560975609798"/>
  </r>
  <r>
    <x v="0"/>
    <x v="0"/>
    <x v="0"/>
    <x v="0"/>
    <x v="0"/>
    <s v="DK1_MedSmall"/>
    <x v="2"/>
    <x v="11"/>
    <x v="0"/>
    <x v="1"/>
    <n v="20.780487804878099"/>
    <n v="7584.8780487804897"/>
    <n v="27305.560975609798"/>
  </r>
  <r>
    <x v="0"/>
    <x v="0"/>
    <x v="0"/>
    <x v="0"/>
    <x v="0"/>
    <s v="DK1_MedSmall"/>
    <x v="2"/>
    <x v="11"/>
    <x v="0"/>
    <x v="2"/>
    <n v="20.780487804878099"/>
    <n v="7584.8780487804897"/>
    <n v="27305.560975609798"/>
  </r>
  <r>
    <x v="0"/>
    <x v="0"/>
    <x v="0"/>
    <x v="0"/>
    <x v="0"/>
    <s v="DK1_MedSmall"/>
    <x v="2"/>
    <x v="11"/>
    <x v="0"/>
    <x v="9"/>
    <n v="20.780487804878099"/>
    <n v="7584.8780487804897"/>
    <n v="27305.560975609798"/>
  </r>
  <r>
    <x v="0"/>
    <x v="0"/>
    <x v="0"/>
    <x v="0"/>
    <x v="0"/>
    <s v="DK1_MedSmall"/>
    <x v="2"/>
    <x v="11"/>
    <x v="0"/>
    <x v="10"/>
    <n v="20.780487804878099"/>
    <n v="7584.8780487804897"/>
    <n v="27305.560975609798"/>
  </r>
  <r>
    <x v="0"/>
    <x v="0"/>
    <x v="0"/>
    <x v="0"/>
    <x v="0"/>
    <s v="DK1_MedSmall"/>
    <x v="2"/>
    <x v="11"/>
    <x v="0"/>
    <x v="11"/>
    <n v="20.780487804878099"/>
    <n v="7584.8780487804897"/>
    <n v="27305.560975609798"/>
  </r>
  <r>
    <x v="0"/>
    <x v="0"/>
    <x v="0"/>
    <x v="0"/>
    <x v="0"/>
    <s v="DK1_MedSmall"/>
    <x v="2"/>
    <x v="11"/>
    <x v="0"/>
    <x v="12"/>
    <n v="20.780487804878099"/>
    <n v="7584.8780487804897"/>
    <n v="27305.560975609798"/>
  </r>
  <r>
    <x v="0"/>
    <x v="0"/>
    <x v="0"/>
    <x v="0"/>
    <x v="0"/>
    <s v="DK1_MedSmall"/>
    <x v="2"/>
    <x v="11"/>
    <x v="0"/>
    <x v="13"/>
    <n v="20.780487804878099"/>
    <n v="7584.8780487804897"/>
    <n v="27305.560975609798"/>
  </r>
  <r>
    <x v="0"/>
    <x v="0"/>
    <x v="0"/>
    <x v="0"/>
    <x v="0"/>
    <s v="DK1_MedSmall"/>
    <x v="2"/>
    <x v="11"/>
    <x v="0"/>
    <x v="14"/>
    <n v="20.780487804878099"/>
    <n v="7584.8780487804897"/>
    <n v="27305.560975609798"/>
  </r>
  <r>
    <x v="0"/>
    <x v="0"/>
    <x v="0"/>
    <x v="0"/>
    <x v="0"/>
    <s v="DK1_MedSmall"/>
    <x v="2"/>
    <x v="11"/>
    <x v="0"/>
    <x v="15"/>
    <n v="20.780487804878099"/>
    <n v="7584.8780487804897"/>
    <n v="27305.560975609798"/>
  </r>
  <r>
    <x v="0"/>
    <x v="0"/>
    <x v="0"/>
    <x v="0"/>
    <x v="0"/>
    <s v="DK1_MedSmall"/>
    <x v="2"/>
    <x v="11"/>
    <x v="0"/>
    <x v="16"/>
    <n v="20.780487804878099"/>
    <n v="7584.8780487804897"/>
    <n v="27305.560975609798"/>
  </r>
  <r>
    <x v="0"/>
    <x v="0"/>
    <x v="0"/>
    <x v="0"/>
    <x v="0"/>
    <s v="DK1_MedSmall"/>
    <x v="2"/>
    <x v="11"/>
    <x v="0"/>
    <x v="17"/>
    <n v="20.780487804878099"/>
    <n v="7584.8780487804897"/>
    <n v="27305.560975609798"/>
  </r>
  <r>
    <x v="0"/>
    <x v="0"/>
    <x v="0"/>
    <x v="0"/>
    <x v="0"/>
    <s v="DK1_MedSmall"/>
    <x v="2"/>
    <x v="11"/>
    <x v="0"/>
    <x v="18"/>
    <n v="20.780487804878099"/>
    <n v="7584.8780487804897"/>
    <n v="27305.560975609798"/>
  </r>
  <r>
    <x v="0"/>
    <x v="0"/>
    <x v="0"/>
    <x v="0"/>
    <x v="0"/>
    <s v="DK1_MedSmall"/>
    <x v="2"/>
    <x v="11"/>
    <x v="0"/>
    <x v="19"/>
    <n v="20.780487804878099"/>
    <n v="7584.8780487804897"/>
    <n v="27305.560975609798"/>
  </r>
  <r>
    <x v="0"/>
    <x v="0"/>
    <x v="0"/>
    <x v="0"/>
    <x v="0"/>
    <s v="DK1_MedSmall"/>
    <x v="2"/>
    <x v="11"/>
    <x v="0"/>
    <x v="20"/>
    <n v="20.780487804878099"/>
    <n v="7584.8780487804897"/>
    <n v="27305.560975609798"/>
  </r>
  <r>
    <x v="0"/>
    <x v="0"/>
    <x v="0"/>
    <x v="0"/>
    <x v="0"/>
    <s v="DK1_MedSmall"/>
    <x v="2"/>
    <x v="11"/>
    <x v="0"/>
    <x v="21"/>
    <n v="20.780487804878099"/>
    <n v="7584.8780487804897"/>
    <n v="27305.560975609798"/>
  </r>
  <r>
    <x v="0"/>
    <x v="0"/>
    <x v="0"/>
    <x v="0"/>
    <x v="0"/>
    <s v="DK1_MedSmall"/>
    <x v="2"/>
    <x v="11"/>
    <x v="0"/>
    <x v="22"/>
    <n v="20.780487804878099"/>
    <n v="7584.8780487804897"/>
    <n v="27305.560975609798"/>
  </r>
  <r>
    <x v="0"/>
    <x v="0"/>
    <x v="0"/>
    <x v="0"/>
    <x v="0"/>
    <s v="DK1_MedSmall"/>
    <x v="2"/>
    <x v="11"/>
    <x v="0"/>
    <x v="23"/>
    <n v="20.780487804878099"/>
    <n v="7584.8780487804897"/>
    <n v="27305.560975609798"/>
  </r>
  <r>
    <x v="0"/>
    <x v="0"/>
    <x v="0"/>
    <x v="0"/>
    <x v="0"/>
    <s v="DK1_MedSmall"/>
    <x v="2"/>
    <x v="15"/>
    <x v="0"/>
    <x v="3"/>
    <n v="4.8043478260869596"/>
    <n v="1753.5869565217399"/>
    <n v="6312.9130434782601"/>
  </r>
  <r>
    <x v="0"/>
    <x v="0"/>
    <x v="0"/>
    <x v="0"/>
    <x v="0"/>
    <s v="DK1_MedSmall"/>
    <x v="2"/>
    <x v="15"/>
    <x v="0"/>
    <x v="4"/>
    <n v="4.8043478260869596"/>
    <n v="1753.5869565217399"/>
    <n v="6312.9130434782601"/>
  </r>
  <r>
    <x v="0"/>
    <x v="0"/>
    <x v="0"/>
    <x v="0"/>
    <x v="0"/>
    <s v="DK1_MedSmall"/>
    <x v="2"/>
    <x v="15"/>
    <x v="0"/>
    <x v="5"/>
    <n v="4.8043478260869596"/>
    <n v="1753.5869565217399"/>
    <n v="6312.9130434782601"/>
  </r>
  <r>
    <x v="0"/>
    <x v="0"/>
    <x v="0"/>
    <x v="0"/>
    <x v="0"/>
    <s v="DK1_MedSmall"/>
    <x v="2"/>
    <x v="15"/>
    <x v="0"/>
    <x v="6"/>
    <n v="4.8043478260869596"/>
    <n v="1753.5869565217399"/>
    <n v="6312.9130434782601"/>
  </r>
  <r>
    <x v="0"/>
    <x v="0"/>
    <x v="0"/>
    <x v="0"/>
    <x v="0"/>
    <s v="DK1_MedSmall"/>
    <x v="2"/>
    <x v="15"/>
    <x v="0"/>
    <x v="7"/>
    <n v="4.8043478260869596"/>
    <n v="1753.5869565217399"/>
    <n v="6312.9130434782601"/>
  </r>
  <r>
    <x v="0"/>
    <x v="0"/>
    <x v="0"/>
    <x v="0"/>
    <x v="0"/>
    <s v="DK1_MedSmall"/>
    <x v="2"/>
    <x v="15"/>
    <x v="0"/>
    <x v="8"/>
    <n v="4.8043478260869596"/>
    <n v="1753.5869565217399"/>
    <n v="6312.9130434782601"/>
  </r>
  <r>
    <x v="0"/>
    <x v="0"/>
    <x v="0"/>
    <x v="0"/>
    <x v="0"/>
    <s v="DK1_MedSmall"/>
    <x v="2"/>
    <x v="15"/>
    <x v="0"/>
    <x v="0"/>
    <n v="4.8043478260869596"/>
    <n v="1753.5869565217399"/>
    <n v="6312.9130434782601"/>
  </r>
  <r>
    <x v="0"/>
    <x v="0"/>
    <x v="0"/>
    <x v="0"/>
    <x v="0"/>
    <s v="DK1_MedSmall"/>
    <x v="2"/>
    <x v="15"/>
    <x v="0"/>
    <x v="1"/>
    <n v="4.8043478260869596"/>
    <n v="1753.5869565217399"/>
    <n v="6312.9130434782601"/>
  </r>
  <r>
    <x v="0"/>
    <x v="0"/>
    <x v="0"/>
    <x v="0"/>
    <x v="0"/>
    <s v="DK1_MedSmall"/>
    <x v="2"/>
    <x v="15"/>
    <x v="0"/>
    <x v="2"/>
    <n v="4.8043478260869596"/>
    <n v="1753.5869565217399"/>
    <n v="6312.9130434782601"/>
  </r>
  <r>
    <x v="0"/>
    <x v="0"/>
    <x v="0"/>
    <x v="0"/>
    <x v="0"/>
    <s v="DK1_MedSmall"/>
    <x v="2"/>
    <x v="15"/>
    <x v="0"/>
    <x v="9"/>
    <n v="4.8043478260869596"/>
    <n v="1753.5869565217399"/>
    <n v="6312.9130434782601"/>
  </r>
  <r>
    <x v="0"/>
    <x v="0"/>
    <x v="0"/>
    <x v="0"/>
    <x v="0"/>
    <s v="DK1_MedSmall"/>
    <x v="2"/>
    <x v="15"/>
    <x v="0"/>
    <x v="10"/>
    <n v="4.8043478260869596"/>
    <n v="1753.5869565217399"/>
    <n v="6312.9130434782601"/>
  </r>
  <r>
    <x v="0"/>
    <x v="0"/>
    <x v="0"/>
    <x v="0"/>
    <x v="0"/>
    <s v="DK1_MedSmall"/>
    <x v="2"/>
    <x v="15"/>
    <x v="0"/>
    <x v="11"/>
    <n v="4.8043478260869596"/>
    <n v="1753.5869565217399"/>
    <n v="6312.9130434782601"/>
  </r>
  <r>
    <x v="0"/>
    <x v="0"/>
    <x v="0"/>
    <x v="0"/>
    <x v="0"/>
    <s v="DK1_MedSmall"/>
    <x v="2"/>
    <x v="15"/>
    <x v="0"/>
    <x v="12"/>
    <n v="4.8043478260869596"/>
    <n v="1753.5869565217399"/>
    <n v="6312.9130434782601"/>
  </r>
  <r>
    <x v="0"/>
    <x v="0"/>
    <x v="0"/>
    <x v="0"/>
    <x v="0"/>
    <s v="DK1_MedSmall"/>
    <x v="2"/>
    <x v="15"/>
    <x v="0"/>
    <x v="13"/>
    <n v="4.8043478260869596"/>
    <n v="1753.5869565217399"/>
    <n v="6312.9130434782601"/>
  </r>
  <r>
    <x v="0"/>
    <x v="0"/>
    <x v="0"/>
    <x v="0"/>
    <x v="0"/>
    <s v="DK1_MedSmall"/>
    <x v="2"/>
    <x v="15"/>
    <x v="0"/>
    <x v="14"/>
    <n v="4.8043478260869596"/>
    <n v="1753.5869565217399"/>
    <n v="6312.9130434782601"/>
  </r>
  <r>
    <x v="0"/>
    <x v="0"/>
    <x v="0"/>
    <x v="0"/>
    <x v="0"/>
    <s v="DK1_MedSmall"/>
    <x v="2"/>
    <x v="15"/>
    <x v="0"/>
    <x v="15"/>
    <n v="4.8043478260869596"/>
    <n v="1753.5869565217399"/>
    <n v="6312.9130434782601"/>
  </r>
  <r>
    <x v="0"/>
    <x v="0"/>
    <x v="0"/>
    <x v="0"/>
    <x v="0"/>
    <s v="DK1_MedSmall"/>
    <x v="2"/>
    <x v="15"/>
    <x v="0"/>
    <x v="16"/>
    <n v="4.8043478260869596"/>
    <n v="1753.5869565217399"/>
    <n v="6312.9130434782601"/>
  </r>
  <r>
    <x v="0"/>
    <x v="0"/>
    <x v="0"/>
    <x v="0"/>
    <x v="0"/>
    <s v="DK1_MedSmall"/>
    <x v="2"/>
    <x v="15"/>
    <x v="0"/>
    <x v="17"/>
    <n v="4.8043478260869596"/>
    <n v="1753.5869565217399"/>
    <n v="6312.9130434782601"/>
  </r>
  <r>
    <x v="0"/>
    <x v="0"/>
    <x v="0"/>
    <x v="0"/>
    <x v="0"/>
    <s v="DK1_MedSmall"/>
    <x v="2"/>
    <x v="15"/>
    <x v="0"/>
    <x v="18"/>
    <n v="4.8043478260869596"/>
    <n v="1753.5869565217399"/>
    <n v="6312.9130434782601"/>
  </r>
  <r>
    <x v="0"/>
    <x v="0"/>
    <x v="0"/>
    <x v="0"/>
    <x v="0"/>
    <s v="DK1_MedSmall"/>
    <x v="2"/>
    <x v="15"/>
    <x v="0"/>
    <x v="19"/>
    <n v="4.8043478260869596"/>
    <n v="1753.5869565217399"/>
    <n v="6312.9130434782601"/>
  </r>
  <r>
    <x v="0"/>
    <x v="0"/>
    <x v="0"/>
    <x v="0"/>
    <x v="0"/>
    <s v="DK1_MedSmall"/>
    <x v="2"/>
    <x v="15"/>
    <x v="0"/>
    <x v="20"/>
    <n v="4.8043478260869596"/>
    <n v="1753.5869565217399"/>
    <n v="6312.9130434782601"/>
  </r>
  <r>
    <x v="0"/>
    <x v="0"/>
    <x v="0"/>
    <x v="0"/>
    <x v="0"/>
    <s v="DK1_MedSmall"/>
    <x v="2"/>
    <x v="15"/>
    <x v="0"/>
    <x v="21"/>
    <n v="4.8043478260869596"/>
    <n v="1753.5869565217399"/>
    <n v="6312.9130434782601"/>
  </r>
  <r>
    <x v="0"/>
    <x v="0"/>
    <x v="0"/>
    <x v="0"/>
    <x v="0"/>
    <s v="DK1_MedSmall"/>
    <x v="2"/>
    <x v="15"/>
    <x v="0"/>
    <x v="22"/>
    <n v="4.8043478260869596"/>
    <n v="1753.5869565217399"/>
    <n v="6312.9130434782601"/>
  </r>
  <r>
    <x v="0"/>
    <x v="0"/>
    <x v="0"/>
    <x v="0"/>
    <x v="0"/>
    <s v="DK1_MedSmall"/>
    <x v="2"/>
    <x v="15"/>
    <x v="0"/>
    <x v="23"/>
    <n v="4.8043478260869596"/>
    <n v="1753.5869565217399"/>
    <n v="6312.9130434782601"/>
  </r>
  <r>
    <x v="0"/>
    <x v="0"/>
    <x v="0"/>
    <x v="0"/>
    <x v="0"/>
    <s v="DK1_MedSmall"/>
    <x v="2"/>
    <x v="28"/>
    <x v="0"/>
    <x v="3"/>
    <n v="54.838709677419402"/>
    <n v="20016.129032258101"/>
    <n v="72058.064516129103"/>
  </r>
  <r>
    <x v="0"/>
    <x v="0"/>
    <x v="0"/>
    <x v="0"/>
    <x v="0"/>
    <s v="DK1_MedSmall"/>
    <x v="2"/>
    <x v="28"/>
    <x v="0"/>
    <x v="4"/>
    <n v="54.838709677419402"/>
    <n v="20016.129032258101"/>
    <n v="72058.064516129103"/>
  </r>
  <r>
    <x v="0"/>
    <x v="0"/>
    <x v="0"/>
    <x v="0"/>
    <x v="0"/>
    <s v="DK1_MedSmall"/>
    <x v="2"/>
    <x v="28"/>
    <x v="0"/>
    <x v="5"/>
    <n v="54.838709677419402"/>
    <n v="20016.129032258101"/>
    <n v="72058.064516129103"/>
  </r>
  <r>
    <x v="0"/>
    <x v="0"/>
    <x v="0"/>
    <x v="0"/>
    <x v="0"/>
    <s v="DK1_MedSmall"/>
    <x v="2"/>
    <x v="28"/>
    <x v="0"/>
    <x v="6"/>
    <n v="54.838709677419402"/>
    <n v="20016.129032258101"/>
    <n v="72058.064516129103"/>
  </r>
  <r>
    <x v="0"/>
    <x v="0"/>
    <x v="0"/>
    <x v="0"/>
    <x v="0"/>
    <s v="DK1_MedSmall"/>
    <x v="2"/>
    <x v="28"/>
    <x v="0"/>
    <x v="7"/>
    <n v="54.838709677419402"/>
    <n v="20016.129032258101"/>
    <n v="72058.064516129103"/>
  </r>
  <r>
    <x v="0"/>
    <x v="0"/>
    <x v="0"/>
    <x v="0"/>
    <x v="0"/>
    <s v="DK1_MedSmall"/>
    <x v="2"/>
    <x v="28"/>
    <x v="0"/>
    <x v="8"/>
    <n v="54.838709677419402"/>
    <n v="20016.129032258101"/>
    <n v="72058.064516129103"/>
  </r>
  <r>
    <x v="0"/>
    <x v="0"/>
    <x v="0"/>
    <x v="0"/>
    <x v="0"/>
    <s v="DK1_MedSmall"/>
    <x v="2"/>
    <x v="28"/>
    <x v="0"/>
    <x v="0"/>
    <n v="54.838709677419402"/>
    <n v="20016.129032258101"/>
    <n v="72058.064516129103"/>
  </r>
  <r>
    <x v="0"/>
    <x v="0"/>
    <x v="0"/>
    <x v="0"/>
    <x v="0"/>
    <s v="DK1_MedSmall"/>
    <x v="2"/>
    <x v="28"/>
    <x v="0"/>
    <x v="1"/>
    <n v="54.838709677419402"/>
    <n v="20016.129032258101"/>
    <n v="72058.064516129103"/>
  </r>
  <r>
    <x v="0"/>
    <x v="0"/>
    <x v="0"/>
    <x v="0"/>
    <x v="0"/>
    <s v="DK1_MedSmall"/>
    <x v="2"/>
    <x v="28"/>
    <x v="0"/>
    <x v="2"/>
    <n v="54.838709677419402"/>
    <n v="20016.129032258101"/>
    <n v="72058.064516129103"/>
  </r>
  <r>
    <x v="0"/>
    <x v="0"/>
    <x v="0"/>
    <x v="0"/>
    <x v="0"/>
    <s v="DK1_MedSmall"/>
    <x v="2"/>
    <x v="28"/>
    <x v="0"/>
    <x v="9"/>
    <n v="54.838709677419402"/>
    <n v="20016.129032258101"/>
    <n v="72058.064516129103"/>
  </r>
  <r>
    <x v="0"/>
    <x v="0"/>
    <x v="0"/>
    <x v="0"/>
    <x v="0"/>
    <s v="DK1_MedSmall"/>
    <x v="2"/>
    <x v="28"/>
    <x v="0"/>
    <x v="10"/>
    <n v="54.838709677419402"/>
    <n v="20016.129032258101"/>
    <n v="72058.064516129103"/>
  </r>
  <r>
    <x v="0"/>
    <x v="0"/>
    <x v="0"/>
    <x v="0"/>
    <x v="0"/>
    <s v="DK1_MedSmall"/>
    <x v="2"/>
    <x v="28"/>
    <x v="0"/>
    <x v="11"/>
    <n v="54.838709677419402"/>
    <n v="20016.129032258101"/>
    <n v="72058.064516129103"/>
  </r>
  <r>
    <x v="0"/>
    <x v="0"/>
    <x v="0"/>
    <x v="0"/>
    <x v="0"/>
    <s v="DK1_MedSmall"/>
    <x v="2"/>
    <x v="28"/>
    <x v="0"/>
    <x v="12"/>
    <n v="54.838709677419402"/>
    <n v="20016.129032258101"/>
    <n v="72058.064516129103"/>
  </r>
  <r>
    <x v="0"/>
    <x v="0"/>
    <x v="0"/>
    <x v="0"/>
    <x v="0"/>
    <s v="DK1_MedSmall"/>
    <x v="2"/>
    <x v="28"/>
    <x v="0"/>
    <x v="13"/>
    <n v="54.838709677419402"/>
    <n v="20016.129032258101"/>
    <n v="72058.064516129103"/>
  </r>
  <r>
    <x v="0"/>
    <x v="0"/>
    <x v="0"/>
    <x v="0"/>
    <x v="0"/>
    <s v="DK1_MedSmall"/>
    <x v="2"/>
    <x v="28"/>
    <x v="0"/>
    <x v="14"/>
    <n v="54.838709677419402"/>
    <n v="20016.129032258101"/>
    <n v="72058.064516129103"/>
  </r>
  <r>
    <x v="0"/>
    <x v="0"/>
    <x v="0"/>
    <x v="0"/>
    <x v="0"/>
    <s v="DK1_MedSmall"/>
    <x v="2"/>
    <x v="28"/>
    <x v="0"/>
    <x v="15"/>
    <n v="54.838709677419402"/>
    <n v="20016.129032258101"/>
    <n v="72058.064516129103"/>
  </r>
  <r>
    <x v="0"/>
    <x v="0"/>
    <x v="0"/>
    <x v="0"/>
    <x v="0"/>
    <s v="DK1_MedSmall"/>
    <x v="2"/>
    <x v="28"/>
    <x v="0"/>
    <x v="16"/>
    <n v="54.838709677419402"/>
    <n v="20016.129032258101"/>
    <n v="72058.064516129103"/>
  </r>
  <r>
    <x v="0"/>
    <x v="0"/>
    <x v="0"/>
    <x v="0"/>
    <x v="0"/>
    <s v="DK1_MedSmall"/>
    <x v="2"/>
    <x v="28"/>
    <x v="0"/>
    <x v="17"/>
    <n v="54.838709677419402"/>
    <n v="20016.129032258101"/>
    <n v="72058.064516129103"/>
  </r>
  <r>
    <x v="0"/>
    <x v="0"/>
    <x v="0"/>
    <x v="0"/>
    <x v="0"/>
    <s v="DK1_MedSmall"/>
    <x v="2"/>
    <x v="28"/>
    <x v="0"/>
    <x v="18"/>
    <n v="54.838709677419402"/>
    <n v="20016.129032258101"/>
    <n v="72058.064516129103"/>
  </r>
  <r>
    <x v="0"/>
    <x v="0"/>
    <x v="0"/>
    <x v="0"/>
    <x v="0"/>
    <s v="DK1_MedSmall"/>
    <x v="2"/>
    <x v="28"/>
    <x v="0"/>
    <x v="19"/>
    <n v="54.838709677419402"/>
    <n v="20016.129032258101"/>
    <n v="72058.064516129103"/>
  </r>
  <r>
    <x v="0"/>
    <x v="0"/>
    <x v="0"/>
    <x v="0"/>
    <x v="0"/>
    <s v="DK1_MedSmall"/>
    <x v="2"/>
    <x v="28"/>
    <x v="0"/>
    <x v="20"/>
    <n v="54.838709677419402"/>
    <n v="20016.129032258101"/>
    <n v="72058.064516129103"/>
  </r>
  <r>
    <x v="0"/>
    <x v="0"/>
    <x v="0"/>
    <x v="0"/>
    <x v="0"/>
    <s v="DK1_MedSmall"/>
    <x v="2"/>
    <x v="28"/>
    <x v="0"/>
    <x v="21"/>
    <n v="54.838709677419402"/>
    <n v="20016.129032258101"/>
    <n v="72058.064516129103"/>
  </r>
  <r>
    <x v="0"/>
    <x v="0"/>
    <x v="0"/>
    <x v="0"/>
    <x v="0"/>
    <s v="DK1_MedSmall"/>
    <x v="2"/>
    <x v="28"/>
    <x v="0"/>
    <x v="22"/>
    <n v="54.838709677419402"/>
    <n v="20016.129032258101"/>
    <n v="72058.064516129103"/>
  </r>
  <r>
    <x v="0"/>
    <x v="0"/>
    <x v="0"/>
    <x v="0"/>
    <x v="0"/>
    <s v="DK1_MedSmall"/>
    <x v="2"/>
    <x v="28"/>
    <x v="0"/>
    <x v="23"/>
    <n v="54.838709677419402"/>
    <n v="20016.129032258101"/>
    <n v="72058.064516129103"/>
  </r>
  <r>
    <x v="0"/>
    <x v="0"/>
    <x v="0"/>
    <x v="0"/>
    <x v="0"/>
    <s v="DK1_MedSmall"/>
    <x v="3"/>
    <x v="29"/>
    <x v="0"/>
    <x v="0"/>
    <n v="10.519607843137299"/>
    <n v="3839.6568627451002"/>
    <n v="13822.7647058824"/>
  </r>
  <r>
    <x v="0"/>
    <x v="0"/>
    <x v="0"/>
    <x v="0"/>
    <x v="0"/>
    <s v="DK1_MedSmall"/>
    <x v="3"/>
    <x v="29"/>
    <x v="0"/>
    <x v="1"/>
    <n v="10.519607843137299"/>
    <n v="3839.6568627451002"/>
    <n v="13822.7647058824"/>
  </r>
  <r>
    <x v="0"/>
    <x v="0"/>
    <x v="0"/>
    <x v="0"/>
    <x v="0"/>
    <s v="DK1_MedSmall"/>
    <x v="3"/>
    <x v="29"/>
    <x v="0"/>
    <x v="2"/>
    <n v="10.519607843137299"/>
    <n v="3839.6568627451002"/>
    <n v="13822.7647058824"/>
  </r>
  <r>
    <x v="0"/>
    <x v="0"/>
    <x v="0"/>
    <x v="0"/>
    <x v="0"/>
    <s v="DK1_MedSmall"/>
    <x v="3"/>
    <x v="29"/>
    <x v="0"/>
    <x v="9"/>
    <n v="10.519607843137299"/>
    <n v="3839.6568627451002"/>
    <n v="13822.7647058824"/>
  </r>
  <r>
    <x v="0"/>
    <x v="0"/>
    <x v="0"/>
    <x v="0"/>
    <x v="0"/>
    <s v="DK1_MedSmall"/>
    <x v="3"/>
    <x v="29"/>
    <x v="0"/>
    <x v="10"/>
    <n v="10.519607843137299"/>
    <n v="3839.6568627451002"/>
    <n v="13822.7647058824"/>
  </r>
  <r>
    <x v="0"/>
    <x v="0"/>
    <x v="0"/>
    <x v="0"/>
    <x v="0"/>
    <s v="DK1_MedSmall"/>
    <x v="3"/>
    <x v="29"/>
    <x v="0"/>
    <x v="11"/>
    <n v="10.519607843137299"/>
    <n v="3839.6568627451002"/>
    <n v="13822.7647058824"/>
  </r>
  <r>
    <x v="0"/>
    <x v="0"/>
    <x v="0"/>
    <x v="0"/>
    <x v="0"/>
    <s v="DK1_MedSmall"/>
    <x v="3"/>
    <x v="29"/>
    <x v="0"/>
    <x v="12"/>
    <n v="10.519607843137299"/>
    <n v="3839.6568627451002"/>
    <n v="13822.7647058824"/>
  </r>
  <r>
    <x v="0"/>
    <x v="0"/>
    <x v="0"/>
    <x v="0"/>
    <x v="0"/>
    <s v="DK1_MedSmall"/>
    <x v="3"/>
    <x v="29"/>
    <x v="0"/>
    <x v="13"/>
    <n v="10.519607843137299"/>
    <n v="3839.6568627451002"/>
    <n v="13822.7647058824"/>
  </r>
  <r>
    <x v="0"/>
    <x v="0"/>
    <x v="0"/>
    <x v="0"/>
    <x v="0"/>
    <s v="DK1_MedSmall"/>
    <x v="3"/>
    <x v="29"/>
    <x v="0"/>
    <x v="14"/>
    <n v="10.519607843137299"/>
    <n v="3839.6568627451002"/>
    <n v="13822.7647058824"/>
  </r>
  <r>
    <x v="0"/>
    <x v="0"/>
    <x v="0"/>
    <x v="0"/>
    <x v="0"/>
    <s v="DK1_MedSmall"/>
    <x v="3"/>
    <x v="29"/>
    <x v="0"/>
    <x v="15"/>
    <n v="10.519607843137299"/>
    <n v="3839.6568627451002"/>
    <n v="13822.7647058824"/>
  </r>
  <r>
    <x v="0"/>
    <x v="0"/>
    <x v="0"/>
    <x v="0"/>
    <x v="0"/>
    <s v="DK1_MedSmall"/>
    <x v="3"/>
    <x v="29"/>
    <x v="0"/>
    <x v="16"/>
    <n v="10.519607843137299"/>
    <n v="3839.6568627451002"/>
    <n v="13822.7647058824"/>
  </r>
  <r>
    <x v="0"/>
    <x v="0"/>
    <x v="0"/>
    <x v="0"/>
    <x v="0"/>
    <s v="DK1_MedSmall"/>
    <x v="3"/>
    <x v="29"/>
    <x v="0"/>
    <x v="17"/>
    <n v="10.519607843137299"/>
    <n v="3839.6568627451002"/>
    <n v="13822.7647058824"/>
  </r>
  <r>
    <x v="0"/>
    <x v="0"/>
    <x v="0"/>
    <x v="0"/>
    <x v="0"/>
    <s v="DK1_MedSmall"/>
    <x v="3"/>
    <x v="29"/>
    <x v="0"/>
    <x v="18"/>
    <n v="10.519607843137299"/>
    <n v="3839.6568627451002"/>
    <n v="13822.7647058824"/>
  </r>
  <r>
    <x v="0"/>
    <x v="0"/>
    <x v="0"/>
    <x v="0"/>
    <x v="0"/>
    <s v="DK1_MedSmall"/>
    <x v="3"/>
    <x v="29"/>
    <x v="0"/>
    <x v="19"/>
    <n v="10.519607843137299"/>
    <n v="3839.6568627451002"/>
    <n v="13822.7647058824"/>
  </r>
  <r>
    <x v="0"/>
    <x v="0"/>
    <x v="0"/>
    <x v="0"/>
    <x v="0"/>
    <s v="DK1_MedSmall"/>
    <x v="3"/>
    <x v="29"/>
    <x v="0"/>
    <x v="20"/>
    <n v="10.519607843137299"/>
    <n v="3839.6568627451002"/>
    <n v="13822.7647058824"/>
  </r>
  <r>
    <x v="0"/>
    <x v="0"/>
    <x v="0"/>
    <x v="0"/>
    <x v="0"/>
    <s v="DK1_MedSmall"/>
    <x v="3"/>
    <x v="30"/>
    <x v="0"/>
    <x v="3"/>
    <n v="83.3333333333333"/>
    <n v="30416.666666666599"/>
    <n v="109500"/>
  </r>
  <r>
    <x v="0"/>
    <x v="0"/>
    <x v="0"/>
    <x v="0"/>
    <x v="0"/>
    <s v="DK1_MedSmall"/>
    <x v="3"/>
    <x v="30"/>
    <x v="0"/>
    <x v="4"/>
    <n v="83.3333333333333"/>
    <n v="30416.666666666599"/>
    <n v="109500"/>
  </r>
  <r>
    <x v="0"/>
    <x v="0"/>
    <x v="0"/>
    <x v="0"/>
    <x v="0"/>
    <s v="DK1_MedSmall"/>
    <x v="3"/>
    <x v="30"/>
    <x v="0"/>
    <x v="5"/>
    <n v="83.3333333333333"/>
    <n v="30416.666666666599"/>
    <n v="109500"/>
  </r>
  <r>
    <x v="0"/>
    <x v="0"/>
    <x v="0"/>
    <x v="0"/>
    <x v="0"/>
    <s v="DK1_MedSmall"/>
    <x v="3"/>
    <x v="30"/>
    <x v="0"/>
    <x v="6"/>
    <n v="83.3333333333333"/>
    <n v="30416.666666666599"/>
    <n v="109500"/>
  </r>
  <r>
    <x v="0"/>
    <x v="0"/>
    <x v="0"/>
    <x v="0"/>
    <x v="0"/>
    <s v="DK1_MedSmall"/>
    <x v="3"/>
    <x v="30"/>
    <x v="0"/>
    <x v="7"/>
    <n v="83.3333333333333"/>
    <n v="30416.666666666599"/>
    <n v="109500"/>
  </r>
  <r>
    <x v="0"/>
    <x v="0"/>
    <x v="0"/>
    <x v="0"/>
    <x v="0"/>
    <s v="DK1_MedSmall"/>
    <x v="3"/>
    <x v="30"/>
    <x v="0"/>
    <x v="8"/>
    <n v="83.3333333333333"/>
    <n v="30416.666666666599"/>
    <n v="109500"/>
  </r>
  <r>
    <x v="0"/>
    <x v="0"/>
    <x v="0"/>
    <x v="0"/>
    <x v="0"/>
    <s v="DK1_MedSmall"/>
    <x v="3"/>
    <x v="30"/>
    <x v="0"/>
    <x v="0"/>
    <n v="83.3333333333333"/>
    <n v="30416.666666666599"/>
    <n v="109500"/>
  </r>
  <r>
    <x v="0"/>
    <x v="0"/>
    <x v="0"/>
    <x v="0"/>
    <x v="0"/>
    <s v="DK1_MedSmall"/>
    <x v="3"/>
    <x v="30"/>
    <x v="0"/>
    <x v="1"/>
    <n v="83.3333333333333"/>
    <n v="30416.666666666599"/>
    <n v="109500"/>
  </r>
  <r>
    <x v="0"/>
    <x v="0"/>
    <x v="0"/>
    <x v="0"/>
    <x v="0"/>
    <s v="DK1_MedSmall"/>
    <x v="3"/>
    <x v="30"/>
    <x v="0"/>
    <x v="2"/>
    <n v="83.3333333333333"/>
    <n v="30416.666666666599"/>
    <n v="109500"/>
  </r>
  <r>
    <x v="0"/>
    <x v="0"/>
    <x v="0"/>
    <x v="0"/>
    <x v="0"/>
    <s v="DK1_MedSmall"/>
    <x v="3"/>
    <x v="30"/>
    <x v="0"/>
    <x v="9"/>
    <n v="83.3333333333333"/>
    <n v="30416.666666666599"/>
    <n v="109500"/>
  </r>
  <r>
    <x v="0"/>
    <x v="0"/>
    <x v="0"/>
    <x v="0"/>
    <x v="0"/>
    <s v="DK1_MedSmall"/>
    <x v="3"/>
    <x v="30"/>
    <x v="0"/>
    <x v="10"/>
    <n v="83.3333333333333"/>
    <n v="30416.666666666599"/>
    <n v="109500"/>
  </r>
  <r>
    <x v="0"/>
    <x v="0"/>
    <x v="0"/>
    <x v="0"/>
    <x v="0"/>
    <s v="DK1_MedSmall"/>
    <x v="3"/>
    <x v="30"/>
    <x v="0"/>
    <x v="11"/>
    <n v="83.3333333333333"/>
    <n v="30416.666666666599"/>
    <n v="109500"/>
  </r>
  <r>
    <x v="0"/>
    <x v="0"/>
    <x v="0"/>
    <x v="0"/>
    <x v="0"/>
    <s v="DK1_MedSmall"/>
    <x v="3"/>
    <x v="30"/>
    <x v="0"/>
    <x v="12"/>
    <n v="83.3333333333333"/>
    <n v="30416.666666666599"/>
    <n v="109500"/>
  </r>
  <r>
    <x v="0"/>
    <x v="0"/>
    <x v="0"/>
    <x v="0"/>
    <x v="0"/>
    <s v="DK1_MedSmall"/>
    <x v="3"/>
    <x v="30"/>
    <x v="0"/>
    <x v="13"/>
    <n v="83.3333333333333"/>
    <n v="30416.666666666599"/>
    <n v="109500"/>
  </r>
  <r>
    <x v="0"/>
    <x v="0"/>
    <x v="0"/>
    <x v="0"/>
    <x v="0"/>
    <s v="DK1_MedSmall"/>
    <x v="3"/>
    <x v="30"/>
    <x v="0"/>
    <x v="14"/>
    <n v="83.3333333333333"/>
    <n v="30416.666666666599"/>
    <n v="109500"/>
  </r>
  <r>
    <x v="0"/>
    <x v="0"/>
    <x v="0"/>
    <x v="0"/>
    <x v="0"/>
    <s v="DK1_MedSmall"/>
    <x v="3"/>
    <x v="30"/>
    <x v="0"/>
    <x v="15"/>
    <n v="83.3333333333333"/>
    <n v="30416.666666666599"/>
    <n v="109500"/>
  </r>
  <r>
    <x v="0"/>
    <x v="0"/>
    <x v="0"/>
    <x v="0"/>
    <x v="0"/>
    <s v="DK1_MedSmall"/>
    <x v="3"/>
    <x v="30"/>
    <x v="0"/>
    <x v="16"/>
    <n v="83.3333333333333"/>
    <n v="30416.666666666599"/>
    <n v="109500"/>
  </r>
  <r>
    <x v="0"/>
    <x v="0"/>
    <x v="0"/>
    <x v="0"/>
    <x v="0"/>
    <s v="DK1_MedSmall"/>
    <x v="3"/>
    <x v="30"/>
    <x v="0"/>
    <x v="17"/>
    <n v="83.3333333333333"/>
    <n v="30416.666666666599"/>
    <n v="109500"/>
  </r>
  <r>
    <x v="0"/>
    <x v="0"/>
    <x v="0"/>
    <x v="0"/>
    <x v="0"/>
    <s v="DK1_MedSmall"/>
    <x v="3"/>
    <x v="30"/>
    <x v="0"/>
    <x v="18"/>
    <n v="83.3333333333333"/>
    <n v="30416.666666666599"/>
    <n v="109500"/>
  </r>
  <r>
    <x v="0"/>
    <x v="0"/>
    <x v="0"/>
    <x v="0"/>
    <x v="0"/>
    <s v="DK1_MedSmall"/>
    <x v="3"/>
    <x v="30"/>
    <x v="0"/>
    <x v="19"/>
    <n v="83.3333333333333"/>
    <n v="30416.666666666599"/>
    <n v="109500"/>
  </r>
  <r>
    <x v="0"/>
    <x v="0"/>
    <x v="0"/>
    <x v="0"/>
    <x v="0"/>
    <s v="DK1_MedSmall"/>
    <x v="3"/>
    <x v="30"/>
    <x v="0"/>
    <x v="20"/>
    <n v="83.3333333333333"/>
    <n v="30416.666666666599"/>
    <n v="109500"/>
  </r>
  <r>
    <x v="0"/>
    <x v="0"/>
    <x v="0"/>
    <x v="0"/>
    <x v="0"/>
    <s v="DK1_MedSmall"/>
    <x v="3"/>
    <x v="30"/>
    <x v="0"/>
    <x v="21"/>
    <n v="83.3333333333333"/>
    <n v="30416.666666666599"/>
    <n v="109500"/>
  </r>
  <r>
    <x v="0"/>
    <x v="0"/>
    <x v="0"/>
    <x v="0"/>
    <x v="0"/>
    <s v="DK1_MedSmall"/>
    <x v="3"/>
    <x v="30"/>
    <x v="0"/>
    <x v="22"/>
    <n v="83.3333333333333"/>
    <n v="30416.666666666599"/>
    <n v="109500"/>
  </r>
  <r>
    <x v="0"/>
    <x v="0"/>
    <x v="0"/>
    <x v="0"/>
    <x v="0"/>
    <s v="DK1_MedSmall"/>
    <x v="3"/>
    <x v="30"/>
    <x v="0"/>
    <x v="23"/>
    <n v="83.3333333333333"/>
    <n v="30416.666666666599"/>
    <n v="109500"/>
  </r>
  <r>
    <x v="0"/>
    <x v="0"/>
    <x v="0"/>
    <x v="0"/>
    <x v="0"/>
    <s v="DK1_MedSmall"/>
    <x v="4"/>
    <x v="19"/>
    <x v="0"/>
    <x v="3"/>
    <n v="12.5"/>
    <n v="4562.5"/>
    <n v="16425"/>
  </r>
  <r>
    <x v="0"/>
    <x v="0"/>
    <x v="0"/>
    <x v="0"/>
    <x v="0"/>
    <s v="DK1_MedSmall"/>
    <x v="4"/>
    <x v="19"/>
    <x v="0"/>
    <x v="4"/>
    <n v="12.5"/>
    <n v="4562.5"/>
    <n v="16425"/>
  </r>
  <r>
    <x v="0"/>
    <x v="0"/>
    <x v="0"/>
    <x v="0"/>
    <x v="0"/>
    <s v="DK1_MedSmall"/>
    <x v="4"/>
    <x v="19"/>
    <x v="0"/>
    <x v="5"/>
    <n v="12.5"/>
    <n v="4562.5"/>
    <n v="16425"/>
  </r>
  <r>
    <x v="0"/>
    <x v="0"/>
    <x v="0"/>
    <x v="0"/>
    <x v="0"/>
    <s v="DK1_MedSmall"/>
    <x v="4"/>
    <x v="19"/>
    <x v="0"/>
    <x v="6"/>
    <n v="12.5"/>
    <n v="4562.5"/>
    <n v="16425"/>
  </r>
  <r>
    <x v="0"/>
    <x v="0"/>
    <x v="0"/>
    <x v="0"/>
    <x v="0"/>
    <s v="DK1_MedSmall"/>
    <x v="4"/>
    <x v="19"/>
    <x v="0"/>
    <x v="7"/>
    <n v="12.5"/>
    <n v="4562.5"/>
    <n v="16425"/>
  </r>
  <r>
    <x v="0"/>
    <x v="0"/>
    <x v="0"/>
    <x v="0"/>
    <x v="0"/>
    <s v="DK1_MedSmall"/>
    <x v="4"/>
    <x v="19"/>
    <x v="0"/>
    <x v="8"/>
    <n v="12.5"/>
    <n v="4562.5"/>
    <n v="16425"/>
  </r>
  <r>
    <x v="0"/>
    <x v="0"/>
    <x v="0"/>
    <x v="0"/>
    <x v="0"/>
    <s v="DK1_MedSmall"/>
    <x v="4"/>
    <x v="19"/>
    <x v="0"/>
    <x v="0"/>
    <n v="12.5"/>
    <n v="4562.5"/>
    <n v="16425"/>
  </r>
  <r>
    <x v="0"/>
    <x v="0"/>
    <x v="0"/>
    <x v="0"/>
    <x v="0"/>
    <s v="DK1_MedSmall"/>
    <x v="4"/>
    <x v="19"/>
    <x v="0"/>
    <x v="1"/>
    <n v="12.5"/>
    <n v="4562.5"/>
    <n v="16425"/>
  </r>
  <r>
    <x v="0"/>
    <x v="0"/>
    <x v="0"/>
    <x v="0"/>
    <x v="0"/>
    <s v="DK1_MedSmall"/>
    <x v="4"/>
    <x v="19"/>
    <x v="0"/>
    <x v="2"/>
    <n v="12.5"/>
    <n v="4562.5"/>
    <n v="16425"/>
  </r>
  <r>
    <x v="0"/>
    <x v="0"/>
    <x v="0"/>
    <x v="0"/>
    <x v="0"/>
    <s v="DK1_MedSmall"/>
    <x v="4"/>
    <x v="19"/>
    <x v="0"/>
    <x v="9"/>
    <n v="12.5"/>
    <n v="4562.5"/>
    <n v="16425"/>
  </r>
  <r>
    <x v="0"/>
    <x v="0"/>
    <x v="0"/>
    <x v="0"/>
    <x v="0"/>
    <s v="DK1_MedSmall"/>
    <x v="4"/>
    <x v="19"/>
    <x v="0"/>
    <x v="10"/>
    <n v="12.5"/>
    <n v="4562.5"/>
    <n v="16425"/>
  </r>
  <r>
    <x v="0"/>
    <x v="0"/>
    <x v="0"/>
    <x v="0"/>
    <x v="0"/>
    <s v="DK1_MedSmall"/>
    <x v="4"/>
    <x v="19"/>
    <x v="0"/>
    <x v="11"/>
    <n v="12.5"/>
    <n v="4562.5"/>
    <n v="16425"/>
  </r>
  <r>
    <x v="0"/>
    <x v="0"/>
    <x v="0"/>
    <x v="0"/>
    <x v="0"/>
    <s v="DK1_MedSmall"/>
    <x v="4"/>
    <x v="19"/>
    <x v="0"/>
    <x v="12"/>
    <n v="12.5"/>
    <n v="4562.5"/>
    <n v="16425"/>
  </r>
  <r>
    <x v="0"/>
    <x v="0"/>
    <x v="0"/>
    <x v="0"/>
    <x v="0"/>
    <s v="DK1_MedSmall"/>
    <x v="4"/>
    <x v="19"/>
    <x v="0"/>
    <x v="13"/>
    <n v="12.5"/>
    <n v="4562.5"/>
    <n v="16425"/>
  </r>
  <r>
    <x v="0"/>
    <x v="0"/>
    <x v="0"/>
    <x v="0"/>
    <x v="0"/>
    <s v="DK1_MedSmall"/>
    <x v="4"/>
    <x v="19"/>
    <x v="0"/>
    <x v="14"/>
    <n v="12.5"/>
    <n v="4562.5"/>
    <n v="16425"/>
  </r>
  <r>
    <x v="0"/>
    <x v="0"/>
    <x v="0"/>
    <x v="0"/>
    <x v="0"/>
    <s v="DK1_MedSmall"/>
    <x v="4"/>
    <x v="19"/>
    <x v="0"/>
    <x v="15"/>
    <n v="12.5"/>
    <n v="4562.5"/>
    <n v="16425"/>
  </r>
  <r>
    <x v="0"/>
    <x v="0"/>
    <x v="0"/>
    <x v="0"/>
    <x v="0"/>
    <s v="DK1_MedSmall"/>
    <x v="4"/>
    <x v="19"/>
    <x v="0"/>
    <x v="16"/>
    <n v="12.5"/>
    <n v="4562.5"/>
    <n v="16425"/>
  </r>
  <r>
    <x v="0"/>
    <x v="0"/>
    <x v="0"/>
    <x v="0"/>
    <x v="0"/>
    <s v="DK1_MedSmall"/>
    <x v="4"/>
    <x v="19"/>
    <x v="0"/>
    <x v="17"/>
    <n v="12.5"/>
    <n v="4562.5"/>
    <n v="16425"/>
  </r>
  <r>
    <x v="0"/>
    <x v="0"/>
    <x v="0"/>
    <x v="0"/>
    <x v="0"/>
    <s v="DK1_MedSmall"/>
    <x v="4"/>
    <x v="19"/>
    <x v="0"/>
    <x v="18"/>
    <n v="12.5"/>
    <n v="4562.5"/>
    <n v="16425"/>
  </r>
  <r>
    <x v="0"/>
    <x v="0"/>
    <x v="0"/>
    <x v="0"/>
    <x v="0"/>
    <s v="DK1_MedSmall"/>
    <x v="4"/>
    <x v="19"/>
    <x v="0"/>
    <x v="19"/>
    <n v="12.5"/>
    <n v="4562.5"/>
    <n v="16425"/>
  </r>
  <r>
    <x v="0"/>
    <x v="0"/>
    <x v="0"/>
    <x v="0"/>
    <x v="0"/>
    <s v="DK1_MedSmall"/>
    <x v="4"/>
    <x v="19"/>
    <x v="0"/>
    <x v="20"/>
    <n v="12.5"/>
    <n v="4562.5"/>
    <n v="16425"/>
  </r>
  <r>
    <x v="0"/>
    <x v="0"/>
    <x v="0"/>
    <x v="0"/>
    <x v="0"/>
    <s v="DK1_MedSmall"/>
    <x v="4"/>
    <x v="19"/>
    <x v="0"/>
    <x v="21"/>
    <n v="12.5"/>
    <n v="4562.5"/>
    <n v="16425"/>
  </r>
  <r>
    <x v="0"/>
    <x v="0"/>
    <x v="0"/>
    <x v="0"/>
    <x v="0"/>
    <s v="DK1_MedSmall"/>
    <x v="4"/>
    <x v="19"/>
    <x v="0"/>
    <x v="22"/>
    <n v="12.5"/>
    <n v="4562.5"/>
    <n v="16425"/>
  </r>
  <r>
    <x v="0"/>
    <x v="0"/>
    <x v="0"/>
    <x v="0"/>
    <x v="0"/>
    <s v="DK1_MedSmall"/>
    <x v="4"/>
    <x v="19"/>
    <x v="0"/>
    <x v="23"/>
    <n v="12.5"/>
    <n v="4562.5"/>
    <n v="16425"/>
  </r>
  <r>
    <x v="0"/>
    <x v="0"/>
    <x v="0"/>
    <x v="0"/>
    <x v="0"/>
    <s v="DK1_MedSmall"/>
    <x v="4"/>
    <x v="31"/>
    <x v="0"/>
    <x v="3"/>
    <n v="8.3000000000000007"/>
    <n v="3029.5"/>
    <n v="10906.2"/>
  </r>
  <r>
    <x v="0"/>
    <x v="0"/>
    <x v="0"/>
    <x v="0"/>
    <x v="0"/>
    <s v="DK1_MedSmall"/>
    <x v="4"/>
    <x v="31"/>
    <x v="0"/>
    <x v="4"/>
    <n v="8.3000000000000007"/>
    <n v="3029.5"/>
    <n v="10906.2"/>
  </r>
  <r>
    <x v="0"/>
    <x v="0"/>
    <x v="0"/>
    <x v="0"/>
    <x v="0"/>
    <s v="DK1_MedSmall"/>
    <x v="4"/>
    <x v="31"/>
    <x v="0"/>
    <x v="5"/>
    <n v="8.3000000000000007"/>
    <n v="3029.5"/>
    <n v="10906.2"/>
  </r>
  <r>
    <x v="0"/>
    <x v="0"/>
    <x v="0"/>
    <x v="0"/>
    <x v="0"/>
    <s v="DK1_MedSmall"/>
    <x v="4"/>
    <x v="31"/>
    <x v="0"/>
    <x v="6"/>
    <n v="8.3000000000000007"/>
    <n v="3029.5"/>
    <n v="10906.2"/>
  </r>
  <r>
    <x v="0"/>
    <x v="0"/>
    <x v="0"/>
    <x v="0"/>
    <x v="0"/>
    <s v="DK1_MedSmall"/>
    <x v="4"/>
    <x v="31"/>
    <x v="0"/>
    <x v="7"/>
    <n v="8.3000000000000007"/>
    <n v="3029.5"/>
    <n v="10906.2"/>
  </r>
  <r>
    <x v="0"/>
    <x v="0"/>
    <x v="0"/>
    <x v="0"/>
    <x v="0"/>
    <s v="DK1_MedSmall"/>
    <x v="4"/>
    <x v="31"/>
    <x v="0"/>
    <x v="8"/>
    <n v="8.3000000000000007"/>
    <n v="3029.5"/>
    <n v="10906.2"/>
  </r>
  <r>
    <x v="0"/>
    <x v="0"/>
    <x v="0"/>
    <x v="0"/>
    <x v="0"/>
    <s v="DK1_MedSmall"/>
    <x v="4"/>
    <x v="31"/>
    <x v="0"/>
    <x v="0"/>
    <n v="8.3000000000000007"/>
    <n v="3029.5"/>
    <n v="10906.2"/>
  </r>
  <r>
    <x v="0"/>
    <x v="0"/>
    <x v="0"/>
    <x v="0"/>
    <x v="0"/>
    <s v="DK1_MedSmall"/>
    <x v="4"/>
    <x v="31"/>
    <x v="0"/>
    <x v="1"/>
    <n v="8.3000000000000007"/>
    <n v="3029.5"/>
    <n v="10906.2"/>
  </r>
  <r>
    <x v="0"/>
    <x v="0"/>
    <x v="0"/>
    <x v="0"/>
    <x v="0"/>
    <s v="DK1_MedSmall"/>
    <x v="4"/>
    <x v="31"/>
    <x v="0"/>
    <x v="2"/>
    <n v="8.3000000000000007"/>
    <n v="3029.5"/>
    <n v="10906.2"/>
  </r>
  <r>
    <x v="0"/>
    <x v="0"/>
    <x v="0"/>
    <x v="0"/>
    <x v="0"/>
    <s v="DK1_MedSmall"/>
    <x v="4"/>
    <x v="31"/>
    <x v="0"/>
    <x v="9"/>
    <n v="8.3000000000000007"/>
    <n v="3029.5"/>
    <n v="10906.2"/>
  </r>
  <r>
    <x v="0"/>
    <x v="0"/>
    <x v="0"/>
    <x v="0"/>
    <x v="0"/>
    <s v="DK1_MedSmall"/>
    <x v="4"/>
    <x v="31"/>
    <x v="0"/>
    <x v="10"/>
    <n v="8.3000000000000007"/>
    <n v="3029.5"/>
    <n v="10906.2"/>
  </r>
  <r>
    <x v="0"/>
    <x v="0"/>
    <x v="0"/>
    <x v="0"/>
    <x v="0"/>
    <s v="DK1_MedSmall"/>
    <x v="4"/>
    <x v="31"/>
    <x v="0"/>
    <x v="11"/>
    <n v="8.3000000000000007"/>
    <n v="3029.5"/>
    <n v="10906.2"/>
  </r>
  <r>
    <x v="0"/>
    <x v="0"/>
    <x v="0"/>
    <x v="0"/>
    <x v="0"/>
    <s v="DK1_MedSmall"/>
    <x v="4"/>
    <x v="31"/>
    <x v="0"/>
    <x v="12"/>
    <n v="8.3000000000000007"/>
    <n v="3029.5"/>
    <n v="10906.2"/>
  </r>
  <r>
    <x v="0"/>
    <x v="0"/>
    <x v="0"/>
    <x v="0"/>
    <x v="0"/>
    <s v="DK1_MedSmall"/>
    <x v="4"/>
    <x v="31"/>
    <x v="0"/>
    <x v="13"/>
    <n v="8.3000000000000007"/>
    <n v="3029.5"/>
    <n v="10906.2"/>
  </r>
  <r>
    <x v="0"/>
    <x v="0"/>
    <x v="0"/>
    <x v="0"/>
    <x v="0"/>
    <s v="DK1_MedSmall"/>
    <x v="4"/>
    <x v="31"/>
    <x v="0"/>
    <x v="14"/>
    <n v="8.3000000000000007"/>
    <n v="3029.5"/>
    <n v="10906.2"/>
  </r>
  <r>
    <x v="0"/>
    <x v="0"/>
    <x v="0"/>
    <x v="0"/>
    <x v="0"/>
    <s v="DK1_MedSmall"/>
    <x v="4"/>
    <x v="31"/>
    <x v="0"/>
    <x v="15"/>
    <n v="8.3000000000000007"/>
    <n v="3029.5"/>
    <n v="10906.2"/>
  </r>
  <r>
    <x v="0"/>
    <x v="0"/>
    <x v="0"/>
    <x v="0"/>
    <x v="0"/>
    <s v="DK1_MedSmall"/>
    <x v="4"/>
    <x v="31"/>
    <x v="0"/>
    <x v="16"/>
    <n v="8.3000000000000007"/>
    <n v="3029.5"/>
    <n v="10906.2"/>
  </r>
  <r>
    <x v="0"/>
    <x v="0"/>
    <x v="0"/>
    <x v="0"/>
    <x v="0"/>
    <s v="DK1_MedSmall"/>
    <x v="4"/>
    <x v="31"/>
    <x v="0"/>
    <x v="17"/>
    <n v="8.3000000000000007"/>
    <n v="3029.5"/>
    <n v="10906.2"/>
  </r>
  <r>
    <x v="0"/>
    <x v="0"/>
    <x v="0"/>
    <x v="0"/>
    <x v="0"/>
    <s v="DK1_MedSmall"/>
    <x v="4"/>
    <x v="31"/>
    <x v="0"/>
    <x v="18"/>
    <n v="8.3000000000000007"/>
    <n v="3029.5"/>
    <n v="10906.2"/>
  </r>
  <r>
    <x v="0"/>
    <x v="0"/>
    <x v="0"/>
    <x v="0"/>
    <x v="0"/>
    <s v="DK1_MedSmall"/>
    <x v="4"/>
    <x v="31"/>
    <x v="0"/>
    <x v="19"/>
    <n v="8.3000000000000007"/>
    <n v="3029.5"/>
    <n v="10906.2"/>
  </r>
  <r>
    <x v="0"/>
    <x v="0"/>
    <x v="0"/>
    <x v="0"/>
    <x v="0"/>
    <s v="DK1_MedSmall"/>
    <x v="4"/>
    <x v="31"/>
    <x v="0"/>
    <x v="20"/>
    <n v="8.3000000000000007"/>
    <n v="3029.5"/>
    <n v="10906.2"/>
  </r>
  <r>
    <x v="0"/>
    <x v="0"/>
    <x v="0"/>
    <x v="0"/>
    <x v="0"/>
    <s v="DK1_MedSmall"/>
    <x v="4"/>
    <x v="31"/>
    <x v="0"/>
    <x v="21"/>
    <n v="8.3000000000000007"/>
    <n v="3029.5"/>
    <n v="10906.2"/>
  </r>
  <r>
    <x v="0"/>
    <x v="0"/>
    <x v="0"/>
    <x v="0"/>
    <x v="0"/>
    <s v="DK1_MedSmall"/>
    <x v="4"/>
    <x v="31"/>
    <x v="0"/>
    <x v="22"/>
    <n v="8.3000000000000007"/>
    <n v="3029.5"/>
    <n v="10906.2"/>
  </r>
  <r>
    <x v="0"/>
    <x v="0"/>
    <x v="0"/>
    <x v="0"/>
    <x v="0"/>
    <s v="DK1_MedSmall"/>
    <x v="4"/>
    <x v="31"/>
    <x v="0"/>
    <x v="23"/>
    <n v="8.3000000000000007"/>
    <n v="3029.5"/>
    <n v="10906.2"/>
  </r>
  <r>
    <x v="0"/>
    <x v="0"/>
    <x v="0"/>
    <x v="0"/>
    <x v="0"/>
    <s v="DK1_MedSmall"/>
    <x v="5"/>
    <x v="32"/>
    <x v="0"/>
    <x v="10"/>
    <n v="9.3983621854899209"/>
    <n v="3430.4021977038201"/>
    <n v="12349.4479117338"/>
  </r>
  <r>
    <x v="0"/>
    <x v="0"/>
    <x v="0"/>
    <x v="0"/>
    <x v="0"/>
    <s v="DK1_Medium"/>
    <x v="1"/>
    <x v="4"/>
    <x v="0"/>
    <x v="0"/>
    <n v="23.778134580307398"/>
    <n v="8679.0191218122"/>
    <n v="31244.468838523899"/>
  </r>
  <r>
    <x v="0"/>
    <x v="0"/>
    <x v="0"/>
    <x v="0"/>
    <x v="0"/>
    <s v="DK1_Medium"/>
    <x v="1"/>
    <x v="4"/>
    <x v="0"/>
    <x v="1"/>
    <n v="122.375838841289"/>
    <n v="44667.181177070597"/>
    <n v="160801.852237454"/>
  </r>
  <r>
    <x v="0"/>
    <x v="0"/>
    <x v="0"/>
    <x v="0"/>
    <x v="0"/>
    <s v="DK1_Medium"/>
    <x v="1"/>
    <x v="4"/>
    <x v="0"/>
    <x v="2"/>
    <n v="137.10882913316101"/>
    <n v="50044.722633603596"/>
    <n v="180161.00148097301"/>
  </r>
  <r>
    <x v="0"/>
    <x v="0"/>
    <x v="0"/>
    <x v="0"/>
    <x v="0"/>
    <s v="DK1_Medium"/>
    <x v="2"/>
    <x v="7"/>
    <x v="0"/>
    <x v="0"/>
    <n v="1.9411764705882399"/>
    <n v="708.52941176470597"/>
    <n v="2550.7058823529401"/>
  </r>
  <r>
    <x v="0"/>
    <x v="0"/>
    <x v="0"/>
    <x v="0"/>
    <x v="0"/>
    <s v="DK1_Medium"/>
    <x v="2"/>
    <x v="7"/>
    <x v="0"/>
    <x v="1"/>
    <n v="1.9411764705882399"/>
    <n v="708.52941176470597"/>
    <n v="2550.7058823529401"/>
  </r>
  <r>
    <x v="0"/>
    <x v="0"/>
    <x v="0"/>
    <x v="0"/>
    <x v="0"/>
    <s v="DK1_Medium"/>
    <x v="2"/>
    <x v="7"/>
    <x v="0"/>
    <x v="2"/>
    <n v="1.9411764705882399"/>
    <n v="708.52941176470597"/>
    <n v="2550.7058823529401"/>
  </r>
  <r>
    <x v="0"/>
    <x v="0"/>
    <x v="0"/>
    <x v="0"/>
    <x v="0"/>
    <s v="DK1_Medium"/>
    <x v="2"/>
    <x v="7"/>
    <x v="0"/>
    <x v="9"/>
    <n v="1.9411764705882399"/>
    <n v="708.52941176470597"/>
    <n v="2550.7058823529401"/>
  </r>
  <r>
    <x v="0"/>
    <x v="0"/>
    <x v="0"/>
    <x v="0"/>
    <x v="0"/>
    <s v="DK1_Medium"/>
    <x v="2"/>
    <x v="7"/>
    <x v="0"/>
    <x v="10"/>
    <n v="1.9411764705882399"/>
    <n v="708.52941176470597"/>
    <n v="2550.7058823529401"/>
  </r>
  <r>
    <x v="0"/>
    <x v="0"/>
    <x v="0"/>
    <x v="0"/>
    <x v="0"/>
    <s v="DK1_Medium"/>
    <x v="2"/>
    <x v="7"/>
    <x v="0"/>
    <x v="11"/>
    <n v="1.9411764705882399"/>
    <n v="708.52941176470597"/>
    <n v="2550.7058823529401"/>
  </r>
  <r>
    <x v="0"/>
    <x v="0"/>
    <x v="0"/>
    <x v="0"/>
    <x v="0"/>
    <s v="DK1_Medium"/>
    <x v="2"/>
    <x v="7"/>
    <x v="0"/>
    <x v="12"/>
    <n v="1.9411764705882399"/>
    <n v="708.52941176470597"/>
    <n v="2550.7058823529401"/>
  </r>
  <r>
    <x v="0"/>
    <x v="0"/>
    <x v="0"/>
    <x v="0"/>
    <x v="0"/>
    <s v="DK1_Medium"/>
    <x v="2"/>
    <x v="7"/>
    <x v="0"/>
    <x v="13"/>
    <n v="1.9411764705882399"/>
    <n v="708.52941176470597"/>
    <n v="2550.7058823529401"/>
  </r>
  <r>
    <x v="0"/>
    <x v="0"/>
    <x v="0"/>
    <x v="0"/>
    <x v="0"/>
    <s v="DK1_Medium"/>
    <x v="2"/>
    <x v="7"/>
    <x v="0"/>
    <x v="14"/>
    <n v="1.9411764705882399"/>
    <n v="708.52941176470597"/>
    <n v="2550.7058823529401"/>
  </r>
  <r>
    <x v="0"/>
    <x v="0"/>
    <x v="0"/>
    <x v="0"/>
    <x v="0"/>
    <s v="DK1_Medium"/>
    <x v="2"/>
    <x v="7"/>
    <x v="0"/>
    <x v="15"/>
    <n v="1.9411764705882399"/>
    <n v="708.52941176470597"/>
    <n v="2550.7058823529401"/>
  </r>
  <r>
    <x v="0"/>
    <x v="0"/>
    <x v="0"/>
    <x v="0"/>
    <x v="0"/>
    <s v="DK1_Medium"/>
    <x v="2"/>
    <x v="7"/>
    <x v="0"/>
    <x v="16"/>
    <n v="1.9411764705882399"/>
    <n v="708.52941176470597"/>
    <n v="2550.7058823529401"/>
  </r>
  <r>
    <x v="0"/>
    <x v="0"/>
    <x v="0"/>
    <x v="0"/>
    <x v="0"/>
    <s v="DK1_Medium"/>
    <x v="2"/>
    <x v="7"/>
    <x v="0"/>
    <x v="17"/>
    <n v="1.9411764705882399"/>
    <n v="708.52941176470597"/>
    <n v="2550.7058823529401"/>
  </r>
  <r>
    <x v="0"/>
    <x v="0"/>
    <x v="0"/>
    <x v="0"/>
    <x v="0"/>
    <s v="DK1_Medium"/>
    <x v="2"/>
    <x v="7"/>
    <x v="0"/>
    <x v="18"/>
    <n v="1.9411764705882399"/>
    <n v="708.52941176470597"/>
    <n v="2550.7058823529401"/>
  </r>
  <r>
    <x v="0"/>
    <x v="0"/>
    <x v="0"/>
    <x v="0"/>
    <x v="0"/>
    <s v="DK1_Medium"/>
    <x v="2"/>
    <x v="33"/>
    <x v="0"/>
    <x v="8"/>
    <n v="5.75"/>
    <n v="2098.75"/>
    <n v="7555.5"/>
  </r>
  <r>
    <x v="0"/>
    <x v="0"/>
    <x v="0"/>
    <x v="0"/>
    <x v="0"/>
    <s v="DK1_Medium"/>
    <x v="2"/>
    <x v="33"/>
    <x v="0"/>
    <x v="0"/>
    <n v="5.75"/>
    <n v="2098.75"/>
    <n v="7555.5"/>
  </r>
  <r>
    <x v="0"/>
    <x v="0"/>
    <x v="0"/>
    <x v="0"/>
    <x v="0"/>
    <s v="DK1_Medium"/>
    <x v="2"/>
    <x v="33"/>
    <x v="0"/>
    <x v="1"/>
    <n v="5.75"/>
    <n v="2098.75"/>
    <n v="7555.5"/>
  </r>
  <r>
    <x v="0"/>
    <x v="0"/>
    <x v="0"/>
    <x v="0"/>
    <x v="0"/>
    <s v="DK1_Medium"/>
    <x v="2"/>
    <x v="33"/>
    <x v="0"/>
    <x v="2"/>
    <n v="5.75"/>
    <n v="2098.75"/>
    <n v="7555.5"/>
  </r>
  <r>
    <x v="0"/>
    <x v="0"/>
    <x v="0"/>
    <x v="0"/>
    <x v="0"/>
    <s v="DK1_Medium"/>
    <x v="2"/>
    <x v="33"/>
    <x v="0"/>
    <x v="9"/>
    <n v="5.75"/>
    <n v="2098.75"/>
    <n v="7555.5"/>
  </r>
  <r>
    <x v="0"/>
    <x v="0"/>
    <x v="0"/>
    <x v="0"/>
    <x v="0"/>
    <s v="DK1_Medium"/>
    <x v="2"/>
    <x v="33"/>
    <x v="0"/>
    <x v="10"/>
    <n v="5.75"/>
    <n v="2098.75"/>
    <n v="7555.5"/>
  </r>
  <r>
    <x v="0"/>
    <x v="0"/>
    <x v="0"/>
    <x v="0"/>
    <x v="0"/>
    <s v="DK1_Medium"/>
    <x v="2"/>
    <x v="33"/>
    <x v="0"/>
    <x v="11"/>
    <n v="5.75"/>
    <n v="2098.75"/>
    <n v="7555.5"/>
  </r>
  <r>
    <x v="0"/>
    <x v="0"/>
    <x v="0"/>
    <x v="0"/>
    <x v="0"/>
    <s v="DK1_Medium"/>
    <x v="2"/>
    <x v="33"/>
    <x v="0"/>
    <x v="12"/>
    <n v="5.75"/>
    <n v="2098.75"/>
    <n v="7555.5"/>
  </r>
  <r>
    <x v="0"/>
    <x v="0"/>
    <x v="0"/>
    <x v="0"/>
    <x v="0"/>
    <s v="DK1_Medium"/>
    <x v="2"/>
    <x v="33"/>
    <x v="0"/>
    <x v="13"/>
    <n v="5.75"/>
    <n v="2098.75"/>
    <n v="7555.5"/>
  </r>
  <r>
    <x v="0"/>
    <x v="0"/>
    <x v="0"/>
    <x v="0"/>
    <x v="0"/>
    <s v="DK1_Medium"/>
    <x v="2"/>
    <x v="33"/>
    <x v="0"/>
    <x v="14"/>
    <n v="5.75"/>
    <n v="2098.75"/>
    <n v="7555.5"/>
  </r>
  <r>
    <x v="0"/>
    <x v="0"/>
    <x v="0"/>
    <x v="0"/>
    <x v="0"/>
    <s v="DK1_Medium"/>
    <x v="2"/>
    <x v="33"/>
    <x v="0"/>
    <x v="15"/>
    <n v="5.75"/>
    <n v="2098.75"/>
    <n v="7555.5"/>
  </r>
  <r>
    <x v="0"/>
    <x v="0"/>
    <x v="0"/>
    <x v="0"/>
    <x v="0"/>
    <s v="DK1_Medium"/>
    <x v="2"/>
    <x v="33"/>
    <x v="0"/>
    <x v="16"/>
    <n v="5.75"/>
    <n v="2098.75"/>
    <n v="7555.5"/>
  </r>
  <r>
    <x v="0"/>
    <x v="0"/>
    <x v="0"/>
    <x v="0"/>
    <x v="0"/>
    <s v="DK1_Medium"/>
    <x v="2"/>
    <x v="33"/>
    <x v="0"/>
    <x v="17"/>
    <n v="5.75"/>
    <n v="2098.75"/>
    <n v="7555.5"/>
  </r>
  <r>
    <x v="0"/>
    <x v="0"/>
    <x v="0"/>
    <x v="0"/>
    <x v="0"/>
    <s v="DK1_Medium"/>
    <x v="2"/>
    <x v="33"/>
    <x v="0"/>
    <x v="18"/>
    <n v="5.75"/>
    <n v="2098.75"/>
    <n v="7555.5"/>
  </r>
  <r>
    <x v="0"/>
    <x v="0"/>
    <x v="0"/>
    <x v="0"/>
    <x v="0"/>
    <s v="DK1_Medium"/>
    <x v="2"/>
    <x v="10"/>
    <x v="0"/>
    <x v="3"/>
    <n v="3.3250000000000002"/>
    <n v="1213.625"/>
    <n v="4369.05"/>
  </r>
  <r>
    <x v="0"/>
    <x v="0"/>
    <x v="0"/>
    <x v="0"/>
    <x v="0"/>
    <s v="DK1_Medium"/>
    <x v="2"/>
    <x v="10"/>
    <x v="0"/>
    <x v="4"/>
    <n v="3.3250000000000002"/>
    <n v="1213.625"/>
    <n v="4369.05"/>
  </r>
  <r>
    <x v="0"/>
    <x v="0"/>
    <x v="0"/>
    <x v="0"/>
    <x v="0"/>
    <s v="DK1_Medium"/>
    <x v="2"/>
    <x v="10"/>
    <x v="0"/>
    <x v="5"/>
    <n v="3.3250000000000002"/>
    <n v="1213.625"/>
    <n v="4369.05"/>
  </r>
  <r>
    <x v="0"/>
    <x v="0"/>
    <x v="0"/>
    <x v="0"/>
    <x v="0"/>
    <s v="DK1_Medium"/>
    <x v="2"/>
    <x v="10"/>
    <x v="0"/>
    <x v="6"/>
    <n v="3.3250000000000002"/>
    <n v="1213.625"/>
    <n v="4369.05"/>
  </r>
  <r>
    <x v="0"/>
    <x v="0"/>
    <x v="0"/>
    <x v="0"/>
    <x v="0"/>
    <s v="DK1_Medium"/>
    <x v="2"/>
    <x v="10"/>
    <x v="0"/>
    <x v="7"/>
    <n v="3.3250000000000002"/>
    <n v="1213.625"/>
    <n v="4369.05"/>
  </r>
  <r>
    <x v="0"/>
    <x v="0"/>
    <x v="0"/>
    <x v="0"/>
    <x v="0"/>
    <s v="DK1_Medium"/>
    <x v="2"/>
    <x v="10"/>
    <x v="0"/>
    <x v="8"/>
    <n v="3.3250000000000002"/>
    <n v="1213.625"/>
    <n v="4369.05"/>
  </r>
  <r>
    <x v="0"/>
    <x v="0"/>
    <x v="0"/>
    <x v="0"/>
    <x v="0"/>
    <s v="DK1_Medium"/>
    <x v="2"/>
    <x v="10"/>
    <x v="0"/>
    <x v="0"/>
    <n v="3.3250000000000002"/>
    <n v="1213.625"/>
    <n v="4369.05"/>
  </r>
  <r>
    <x v="0"/>
    <x v="0"/>
    <x v="0"/>
    <x v="0"/>
    <x v="0"/>
    <s v="DK1_Medium"/>
    <x v="2"/>
    <x v="10"/>
    <x v="0"/>
    <x v="1"/>
    <n v="3.3250000000000002"/>
    <n v="1213.625"/>
    <n v="4369.05"/>
  </r>
  <r>
    <x v="0"/>
    <x v="0"/>
    <x v="0"/>
    <x v="0"/>
    <x v="0"/>
    <s v="DK1_Medium"/>
    <x v="2"/>
    <x v="10"/>
    <x v="0"/>
    <x v="2"/>
    <n v="3.3250000000000002"/>
    <n v="1213.625"/>
    <n v="4369.05"/>
  </r>
  <r>
    <x v="0"/>
    <x v="0"/>
    <x v="0"/>
    <x v="0"/>
    <x v="0"/>
    <s v="DK1_Medium"/>
    <x v="2"/>
    <x v="10"/>
    <x v="0"/>
    <x v="9"/>
    <n v="3.3250000000000002"/>
    <n v="1213.625"/>
    <n v="4369.05"/>
  </r>
  <r>
    <x v="0"/>
    <x v="0"/>
    <x v="0"/>
    <x v="0"/>
    <x v="0"/>
    <s v="DK1_Medium"/>
    <x v="2"/>
    <x v="10"/>
    <x v="0"/>
    <x v="10"/>
    <n v="3.3250000000000002"/>
    <n v="1213.625"/>
    <n v="4369.05"/>
  </r>
  <r>
    <x v="0"/>
    <x v="0"/>
    <x v="0"/>
    <x v="0"/>
    <x v="0"/>
    <s v="DK1_Medium"/>
    <x v="2"/>
    <x v="10"/>
    <x v="0"/>
    <x v="11"/>
    <n v="3.3250000000000002"/>
    <n v="1213.625"/>
    <n v="4369.05"/>
  </r>
  <r>
    <x v="0"/>
    <x v="0"/>
    <x v="0"/>
    <x v="0"/>
    <x v="0"/>
    <s v="DK1_Medium"/>
    <x v="2"/>
    <x v="10"/>
    <x v="0"/>
    <x v="12"/>
    <n v="3.3250000000000002"/>
    <n v="1213.625"/>
    <n v="4369.05"/>
  </r>
  <r>
    <x v="0"/>
    <x v="0"/>
    <x v="0"/>
    <x v="0"/>
    <x v="0"/>
    <s v="DK1_Medium"/>
    <x v="2"/>
    <x v="10"/>
    <x v="0"/>
    <x v="13"/>
    <n v="3.3250000000000002"/>
    <n v="1213.625"/>
    <n v="4369.05"/>
  </r>
  <r>
    <x v="0"/>
    <x v="0"/>
    <x v="0"/>
    <x v="0"/>
    <x v="0"/>
    <s v="DK1_Medium"/>
    <x v="2"/>
    <x v="10"/>
    <x v="0"/>
    <x v="14"/>
    <n v="3.3250000000000002"/>
    <n v="1213.625"/>
    <n v="4369.05"/>
  </r>
  <r>
    <x v="0"/>
    <x v="0"/>
    <x v="0"/>
    <x v="0"/>
    <x v="0"/>
    <s v="DK1_Medium"/>
    <x v="2"/>
    <x v="10"/>
    <x v="0"/>
    <x v="15"/>
    <n v="3.3250000000000002"/>
    <n v="1213.625"/>
    <n v="4369.05"/>
  </r>
  <r>
    <x v="0"/>
    <x v="0"/>
    <x v="0"/>
    <x v="0"/>
    <x v="0"/>
    <s v="DK1_Medium"/>
    <x v="2"/>
    <x v="10"/>
    <x v="0"/>
    <x v="16"/>
    <n v="3.3250000000000002"/>
    <n v="1213.625"/>
    <n v="4369.05"/>
  </r>
  <r>
    <x v="0"/>
    <x v="0"/>
    <x v="0"/>
    <x v="0"/>
    <x v="0"/>
    <s v="DK1_Medium"/>
    <x v="2"/>
    <x v="10"/>
    <x v="0"/>
    <x v="17"/>
    <n v="3.3250000000000002"/>
    <n v="1213.625"/>
    <n v="4369.05"/>
  </r>
  <r>
    <x v="0"/>
    <x v="0"/>
    <x v="0"/>
    <x v="0"/>
    <x v="0"/>
    <s v="DK1_Medium"/>
    <x v="2"/>
    <x v="10"/>
    <x v="0"/>
    <x v="18"/>
    <n v="3.3250000000000002"/>
    <n v="1213.625"/>
    <n v="4369.05"/>
  </r>
  <r>
    <x v="0"/>
    <x v="0"/>
    <x v="0"/>
    <x v="0"/>
    <x v="0"/>
    <s v="DK1_Medium"/>
    <x v="2"/>
    <x v="10"/>
    <x v="0"/>
    <x v="19"/>
    <n v="3.3250000000000002"/>
    <n v="1213.625"/>
    <n v="4369.05"/>
  </r>
  <r>
    <x v="0"/>
    <x v="0"/>
    <x v="0"/>
    <x v="0"/>
    <x v="0"/>
    <s v="DK1_Medium"/>
    <x v="2"/>
    <x v="10"/>
    <x v="0"/>
    <x v="20"/>
    <n v="3.3250000000000002"/>
    <n v="1213.625"/>
    <n v="4369.05"/>
  </r>
  <r>
    <x v="0"/>
    <x v="0"/>
    <x v="0"/>
    <x v="0"/>
    <x v="0"/>
    <s v="DK1_Medium"/>
    <x v="2"/>
    <x v="10"/>
    <x v="0"/>
    <x v="21"/>
    <n v="3.3250000000000002"/>
    <n v="1213.625"/>
    <n v="4369.05"/>
  </r>
  <r>
    <x v="0"/>
    <x v="0"/>
    <x v="0"/>
    <x v="0"/>
    <x v="0"/>
    <s v="DK1_Medium"/>
    <x v="2"/>
    <x v="10"/>
    <x v="0"/>
    <x v="22"/>
    <n v="3.3250000000000002"/>
    <n v="1213.625"/>
    <n v="4369.05"/>
  </r>
  <r>
    <x v="0"/>
    <x v="0"/>
    <x v="0"/>
    <x v="0"/>
    <x v="0"/>
    <s v="DK1_Medium"/>
    <x v="2"/>
    <x v="11"/>
    <x v="0"/>
    <x v="3"/>
    <n v="10.4878048780488"/>
    <n v="3828.0487804878098"/>
    <n v="13780.9756097561"/>
  </r>
  <r>
    <x v="0"/>
    <x v="0"/>
    <x v="0"/>
    <x v="0"/>
    <x v="0"/>
    <s v="DK1_Medium"/>
    <x v="2"/>
    <x v="11"/>
    <x v="0"/>
    <x v="4"/>
    <n v="10.4878048780488"/>
    <n v="3828.0487804878098"/>
    <n v="13780.9756097561"/>
  </r>
  <r>
    <x v="0"/>
    <x v="0"/>
    <x v="0"/>
    <x v="0"/>
    <x v="0"/>
    <s v="DK1_Medium"/>
    <x v="2"/>
    <x v="11"/>
    <x v="0"/>
    <x v="5"/>
    <n v="10.4878048780488"/>
    <n v="3828.0487804878098"/>
    <n v="13780.9756097561"/>
  </r>
  <r>
    <x v="0"/>
    <x v="0"/>
    <x v="0"/>
    <x v="0"/>
    <x v="0"/>
    <s v="DK1_Medium"/>
    <x v="2"/>
    <x v="11"/>
    <x v="0"/>
    <x v="6"/>
    <n v="10.4878048780488"/>
    <n v="3828.0487804878098"/>
    <n v="13780.9756097561"/>
  </r>
  <r>
    <x v="0"/>
    <x v="0"/>
    <x v="0"/>
    <x v="0"/>
    <x v="0"/>
    <s v="DK1_Medium"/>
    <x v="2"/>
    <x v="11"/>
    <x v="0"/>
    <x v="7"/>
    <n v="10.4878048780488"/>
    <n v="3828.0487804878098"/>
    <n v="13780.9756097561"/>
  </r>
  <r>
    <x v="0"/>
    <x v="0"/>
    <x v="0"/>
    <x v="0"/>
    <x v="0"/>
    <s v="DK1_Medium"/>
    <x v="2"/>
    <x v="11"/>
    <x v="0"/>
    <x v="8"/>
    <n v="10.4878048780488"/>
    <n v="3828.0487804878098"/>
    <n v="13780.9756097561"/>
  </r>
  <r>
    <x v="0"/>
    <x v="0"/>
    <x v="0"/>
    <x v="0"/>
    <x v="0"/>
    <s v="DK1_Medium"/>
    <x v="2"/>
    <x v="11"/>
    <x v="0"/>
    <x v="0"/>
    <n v="10.4878048780488"/>
    <n v="3828.0487804878098"/>
    <n v="13780.9756097561"/>
  </r>
  <r>
    <x v="0"/>
    <x v="0"/>
    <x v="0"/>
    <x v="0"/>
    <x v="0"/>
    <s v="DK1_Medium"/>
    <x v="2"/>
    <x v="11"/>
    <x v="0"/>
    <x v="1"/>
    <n v="10.4878048780488"/>
    <n v="3828.0487804878098"/>
    <n v="13780.9756097561"/>
  </r>
  <r>
    <x v="0"/>
    <x v="0"/>
    <x v="0"/>
    <x v="0"/>
    <x v="0"/>
    <s v="DK1_Medium"/>
    <x v="2"/>
    <x v="11"/>
    <x v="0"/>
    <x v="2"/>
    <n v="10.4878048780488"/>
    <n v="3828.0487804878098"/>
    <n v="13780.9756097561"/>
  </r>
  <r>
    <x v="0"/>
    <x v="0"/>
    <x v="0"/>
    <x v="0"/>
    <x v="0"/>
    <s v="DK1_Medium"/>
    <x v="2"/>
    <x v="11"/>
    <x v="0"/>
    <x v="9"/>
    <n v="10.4878048780488"/>
    <n v="3828.0487804878098"/>
    <n v="13780.9756097561"/>
  </r>
  <r>
    <x v="0"/>
    <x v="0"/>
    <x v="0"/>
    <x v="0"/>
    <x v="0"/>
    <s v="DK1_Medium"/>
    <x v="2"/>
    <x v="11"/>
    <x v="0"/>
    <x v="10"/>
    <n v="10.4878048780488"/>
    <n v="3828.0487804878098"/>
    <n v="13780.9756097561"/>
  </r>
  <r>
    <x v="0"/>
    <x v="0"/>
    <x v="0"/>
    <x v="0"/>
    <x v="0"/>
    <s v="DK1_Medium"/>
    <x v="2"/>
    <x v="11"/>
    <x v="0"/>
    <x v="11"/>
    <n v="10.4878048780488"/>
    <n v="3828.0487804878098"/>
    <n v="13780.9756097561"/>
  </r>
  <r>
    <x v="0"/>
    <x v="0"/>
    <x v="0"/>
    <x v="0"/>
    <x v="0"/>
    <s v="DK1_Medium"/>
    <x v="2"/>
    <x v="11"/>
    <x v="0"/>
    <x v="12"/>
    <n v="10.4878048780488"/>
    <n v="3828.0487804878098"/>
    <n v="13780.9756097561"/>
  </r>
  <r>
    <x v="0"/>
    <x v="0"/>
    <x v="0"/>
    <x v="0"/>
    <x v="0"/>
    <s v="DK1_Medium"/>
    <x v="2"/>
    <x v="11"/>
    <x v="0"/>
    <x v="13"/>
    <n v="10.4878048780488"/>
    <n v="3828.0487804878098"/>
    <n v="13780.9756097561"/>
  </r>
  <r>
    <x v="0"/>
    <x v="0"/>
    <x v="0"/>
    <x v="0"/>
    <x v="0"/>
    <s v="DK1_Medium"/>
    <x v="2"/>
    <x v="11"/>
    <x v="0"/>
    <x v="14"/>
    <n v="10.4878048780488"/>
    <n v="3828.0487804878098"/>
    <n v="13780.9756097561"/>
  </r>
  <r>
    <x v="0"/>
    <x v="0"/>
    <x v="0"/>
    <x v="0"/>
    <x v="0"/>
    <s v="DK1_Medium"/>
    <x v="2"/>
    <x v="11"/>
    <x v="0"/>
    <x v="15"/>
    <n v="10.4878048780488"/>
    <n v="3828.0487804878098"/>
    <n v="13780.9756097561"/>
  </r>
  <r>
    <x v="0"/>
    <x v="0"/>
    <x v="0"/>
    <x v="0"/>
    <x v="0"/>
    <s v="DK1_Medium"/>
    <x v="2"/>
    <x v="11"/>
    <x v="0"/>
    <x v="16"/>
    <n v="10.4878048780488"/>
    <n v="3828.0487804878098"/>
    <n v="13780.9756097561"/>
  </r>
  <r>
    <x v="0"/>
    <x v="0"/>
    <x v="0"/>
    <x v="0"/>
    <x v="0"/>
    <s v="DK1_Medium"/>
    <x v="2"/>
    <x v="11"/>
    <x v="0"/>
    <x v="17"/>
    <n v="10.4878048780488"/>
    <n v="3828.0487804878098"/>
    <n v="13780.9756097561"/>
  </r>
  <r>
    <x v="0"/>
    <x v="0"/>
    <x v="0"/>
    <x v="0"/>
    <x v="0"/>
    <s v="DK1_Medium"/>
    <x v="2"/>
    <x v="11"/>
    <x v="0"/>
    <x v="18"/>
    <n v="10.4878048780488"/>
    <n v="3828.0487804878098"/>
    <n v="13780.9756097561"/>
  </r>
  <r>
    <x v="0"/>
    <x v="0"/>
    <x v="0"/>
    <x v="0"/>
    <x v="0"/>
    <s v="DK1_Medium"/>
    <x v="2"/>
    <x v="11"/>
    <x v="0"/>
    <x v="19"/>
    <n v="10.4878048780488"/>
    <n v="3828.0487804878098"/>
    <n v="13780.9756097561"/>
  </r>
  <r>
    <x v="0"/>
    <x v="0"/>
    <x v="0"/>
    <x v="0"/>
    <x v="0"/>
    <s v="DK1_Medium"/>
    <x v="2"/>
    <x v="11"/>
    <x v="0"/>
    <x v="20"/>
    <n v="10.4878048780488"/>
    <n v="3828.0487804878098"/>
    <n v="13780.9756097561"/>
  </r>
  <r>
    <x v="0"/>
    <x v="0"/>
    <x v="0"/>
    <x v="0"/>
    <x v="0"/>
    <s v="DK1_Medium"/>
    <x v="2"/>
    <x v="11"/>
    <x v="0"/>
    <x v="21"/>
    <n v="10.4878048780488"/>
    <n v="3828.0487804878098"/>
    <n v="13780.9756097561"/>
  </r>
  <r>
    <x v="0"/>
    <x v="0"/>
    <x v="0"/>
    <x v="0"/>
    <x v="0"/>
    <s v="DK1_Medium"/>
    <x v="2"/>
    <x v="11"/>
    <x v="0"/>
    <x v="22"/>
    <n v="10.4878048780488"/>
    <n v="3828.0487804878098"/>
    <n v="13780.9756097561"/>
  </r>
  <r>
    <x v="0"/>
    <x v="0"/>
    <x v="0"/>
    <x v="0"/>
    <x v="0"/>
    <s v="DK1_Medium"/>
    <x v="2"/>
    <x v="11"/>
    <x v="0"/>
    <x v="23"/>
    <n v="10.4878048780488"/>
    <n v="3828.0487804878098"/>
    <n v="13780.9756097561"/>
  </r>
  <r>
    <x v="0"/>
    <x v="0"/>
    <x v="0"/>
    <x v="0"/>
    <x v="0"/>
    <s v="DK1_Medium"/>
    <x v="2"/>
    <x v="12"/>
    <x v="0"/>
    <x v="3"/>
    <n v="23.880952380952401"/>
    <n v="8716.5476190476202"/>
    <n v="31379.571428571398"/>
  </r>
  <r>
    <x v="0"/>
    <x v="0"/>
    <x v="0"/>
    <x v="0"/>
    <x v="0"/>
    <s v="DK1_Medium"/>
    <x v="2"/>
    <x v="12"/>
    <x v="0"/>
    <x v="4"/>
    <n v="23.880952380952401"/>
    <n v="8716.5476190476202"/>
    <n v="31379.571428571398"/>
  </r>
  <r>
    <x v="0"/>
    <x v="0"/>
    <x v="0"/>
    <x v="0"/>
    <x v="0"/>
    <s v="DK1_Medium"/>
    <x v="2"/>
    <x v="12"/>
    <x v="0"/>
    <x v="5"/>
    <n v="23.880952380952401"/>
    <n v="8716.5476190476202"/>
    <n v="31379.571428571398"/>
  </r>
  <r>
    <x v="0"/>
    <x v="0"/>
    <x v="0"/>
    <x v="0"/>
    <x v="0"/>
    <s v="DK1_Medium"/>
    <x v="2"/>
    <x v="12"/>
    <x v="0"/>
    <x v="6"/>
    <n v="23.880952380952401"/>
    <n v="8716.5476190476202"/>
    <n v="31379.571428571398"/>
  </r>
  <r>
    <x v="0"/>
    <x v="0"/>
    <x v="0"/>
    <x v="0"/>
    <x v="0"/>
    <s v="DK1_Medium"/>
    <x v="2"/>
    <x v="12"/>
    <x v="0"/>
    <x v="7"/>
    <n v="23.880952380952401"/>
    <n v="8716.5476190476202"/>
    <n v="31379.571428571398"/>
  </r>
  <r>
    <x v="0"/>
    <x v="0"/>
    <x v="0"/>
    <x v="0"/>
    <x v="0"/>
    <s v="DK1_Medium"/>
    <x v="2"/>
    <x v="12"/>
    <x v="0"/>
    <x v="8"/>
    <n v="23.880952380952401"/>
    <n v="8716.5476190476202"/>
    <n v="31379.571428571398"/>
  </r>
  <r>
    <x v="0"/>
    <x v="0"/>
    <x v="0"/>
    <x v="0"/>
    <x v="0"/>
    <s v="DK1_Medium"/>
    <x v="2"/>
    <x v="12"/>
    <x v="0"/>
    <x v="0"/>
    <n v="23.880952380952401"/>
    <n v="8716.5476190476202"/>
    <n v="31379.571428571398"/>
  </r>
  <r>
    <x v="0"/>
    <x v="0"/>
    <x v="0"/>
    <x v="0"/>
    <x v="0"/>
    <s v="DK1_Medium"/>
    <x v="2"/>
    <x v="12"/>
    <x v="0"/>
    <x v="1"/>
    <n v="23.880952380952401"/>
    <n v="8716.5476190476202"/>
    <n v="31379.571428571398"/>
  </r>
  <r>
    <x v="0"/>
    <x v="0"/>
    <x v="0"/>
    <x v="0"/>
    <x v="0"/>
    <s v="DK1_Medium"/>
    <x v="2"/>
    <x v="12"/>
    <x v="0"/>
    <x v="2"/>
    <n v="23.880952380952401"/>
    <n v="8716.5476190476202"/>
    <n v="31379.571428571398"/>
  </r>
  <r>
    <x v="0"/>
    <x v="0"/>
    <x v="0"/>
    <x v="0"/>
    <x v="0"/>
    <s v="DK1_Medium"/>
    <x v="2"/>
    <x v="12"/>
    <x v="0"/>
    <x v="9"/>
    <n v="23.880952380952401"/>
    <n v="8716.5476190476202"/>
    <n v="31379.571428571398"/>
  </r>
  <r>
    <x v="0"/>
    <x v="0"/>
    <x v="0"/>
    <x v="0"/>
    <x v="0"/>
    <s v="DK1_Medium"/>
    <x v="2"/>
    <x v="12"/>
    <x v="0"/>
    <x v="10"/>
    <n v="23.880952380952401"/>
    <n v="8716.5476190476202"/>
    <n v="31379.571428571398"/>
  </r>
  <r>
    <x v="0"/>
    <x v="0"/>
    <x v="0"/>
    <x v="0"/>
    <x v="0"/>
    <s v="DK1_Medium"/>
    <x v="2"/>
    <x v="12"/>
    <x v="0"/>
    <x v="11"/>
    <n v="23.880952380952401"/>
    <n v="8716.5476190476202"/>
    <n v="31379.571428571398"/>
  </r>
  <r>
    <x v="0"/>
    <x v="0"/>
    <x v="0"/>
    <x v="0"/>
    <x v="0"/>
    <s v="DK1_Medium"/>
    <x v="2"/>
    <x v="12"/>
    <x v="0"/>
    <x v="12"/>
    <n v="23.880952380952401"/>
    <n v="8716.5476190476202"/>
    <n v="31379.571428571398"/>
  </r>
  <r>
    <x v="0"/>
    <x v="0"/>
    <x v="0"/>
    <x v="0"/>
    <x v="0"/>
    <s v="DK1_Medium"/>
    <x v="2"/>
    <x v="12"/>
    <x v="0"/>
    <x v="13"/>
    <n v="23.880952380952401"/>
    <n v="8716.5476190476202"/>
    <n v="31379.571428571398"/>
  </r>
  <r>
    <x v="0"/>
    <x v="0"/>
    <x v="0"/>
    <x v="0"/>
    <x v="0"/>
    <s v="DK1_Medium"/>
    <x v="2"/>
    <x v="12"/>
    <x v="0"/>
    <x v="14"/>
    <n v="23.880952380952401"/>
    <n v="8716.5476190476202"/>
    <n v="31379.571428571398"/>
  </r>
  <r>
    <x v="0"/>
    <x v="0"/>
    <x v="0"/>
    <x v="0"/>
    <x v="0"/>
    <s v="DK1_Medium"/>
    <x v="2"/>
    <x v="12"/>
    <x v="0"/>
    <x v="15"/>
    <n v="23.880952380952401"/>
    <n v="8716.5476190476202"/>
    <n v="31379.571428571398"/>
  </r>
  <r>
    <x v="0"/>
    <x v="0"/>
    <x v="0"/>
    <x v="0"/>
    <x v="0"/>
    <s v="DK1_Medium"/>
    <x v="2"/>
    <x v="12"/>
    <x v="0"/>
    <x v="16"/>
    <n v="23.880952380952401"/>
    <n v="8716.5476190476202"/>
    <n v="31379.571428571398"/>
  </r>
  <r>
    <x v="0"/>
    <x v="0"/>
    <x v="0"/>
    <x v="0"/>
    <x v="0"/>
    <s v="DK1_Medium"/>
    <x v="2"/>
    <x v="12"/>
    <x v="0"/>
    <x v="17"/>
    <n v="23.880952380952401"/>
    <n v="8716.5476190476202"/>
    <n v="31379.571428571398"/>
  </r>
  <r>
    <x v="0"/>
    <x v="0"/>
    <x v="0"/>
    <x v="0"/>
    <x v="0"/>
    <s v="DK1_Medium"/>
    <x v="2"/>
    <x v="12"/>
    <x v="0"/>
    <x v="18"/>
    <n v="23.880952380952401"/>
    <n v="8716.5476190476202"/>
    <n v="31379.571428571398"/>
  </r>
  <r>
    <x v="0"/>
    <x v="0"/>
    <x v="0"/>
    <x v="0"/>
    <x v="0"/>
    <s v="DK1_Medium"/>
    <x v="2"/>
    <x v="12"/>
    <x v="0"/>
    <x v="19"/>
    <n v="23.880952380952401"/>
    <n v="8716.5476190476202"/>
    <n v="31379.571428571398"/>
  </r>
  <r>
    <x v="0"/>
    <x v="0"/>
    <x v="0"/>
    <x v="0"/>
    <x v="0"/>
    <s v="DK1_Medium"/>
    <x v="2"/>
    <x v="12"/>
    <x v="0"/>
    <x v="20"/>
    <n v="23.880952380952401"/>
    <n v="8716.5476190476202"/>
    <n v="31379.571428571398"/>
  </r>
  <r>
    <x v="0"/>
    <x v="0"/>
    <x v="0"/>
    <x v="0"/>
    <x v="0"/>
    <s v="DK1_Medium"/>
    <x v="2"/>
    <x v="12"/>
    <x v="0"/>
    <x v="21"/>
    <n v="23.880952380952401"/>
    <n v="8716.5476190476202"/>
    <n v="31379.571428571398"/>
  </r>
  <r>
    <x v="0"/>
    <x v="0"/>
    <x v="0"/>
    <x v="0"/>
    <x v="0"/>
    <s v="DK1_Medium"/>
    <x v="2"/>
    <x v="12"/>
    <x v="0"/>
    <x v="22"/>
    <n v="23.880952380952401"/>
    <n v="8716.5476190476202"/>
    <n v="31379.571428571398"/>
  </r>
  <r>
    <x v="0"/>
    <x v="0"/>
    <x v="0"/>
    <x v="0"/>
    <x v="0"/>
    <s v="DK1_Medium"/>
    <x v="2"/>
    <x v="12"/>
    <x v="0"/>
    <x v="23"/>
    <n v="23.880952380952401"/>
    <n v="8716.5476190476202"/>
    <n v="31379.571428571398"/>
  </r>
  <r>
    <x v="0"/>
    <x v="0"/>
    <x v="0"/>
    <x v="0"/>
    <x v="0"/>
    <s v="DK1_Medium"/>
    <x v="2"/>
    <x v="13"/>
    <x v="0"/>
    <x v="3"/>
    <n v="3.3023255813953498"/>
    <n v="1205.3488372093"/>
    <n v="4339.2558139534904"/>
  </r>
  <r>
    <x v="0"/>
    <x v="0"/>
    <x v="0"/>
    <x v="0"/>
    <x v="0"/>
    <s v="DK1_Medium"/>
    <x v="2"/>
    <x v="13"/>
    <x v="0"/>
    <x v="4"/>
    <n v="3.3023255813953498"/>
    <n v="1205.3488372093"/>
    <n v="4339.2558139534904"/>
  </r>
  <r>
    <x v="0"/>
    <x v="0"/>
    <x v="0"/>
    <x v="0"/>
    <x v="0"/>
    <s v="DK1_Medium"/>
    <x v="2"/>
    <x v="13"/>
    <x v="0"/>
    <x v="5"/>
    <n v="3.3023255813953498"/>
    <n v="1205.3488372093"/>
    <n v="4339.2558139534904"/>
  </r>
  <r>
    <x v="0"/>
    <x v="0"/>
    <x v="0"/>
    <x v="0"/>
    <x v="0"/>
    <s v="DK1_Medium"/>
    <x v="2"/>
    <x v="13"/>
    <x v="0"/>
    <x v="6"/>
    <n v="3.3023255813953498"/>
    <n v="1205.3488372093"/>
    <n v="4339.2558139534904"/>
  </r>
  <r>
    <x v="0"/>
    <x v="0"/>
    <x v="0"/>
    <x v="0"/>
    <x v="0"/>
    <s v="DK1_Medium"/>
    <x v="2"/>
    <x v="13"/>
    <x v="0"/>
    <x v="7"/>
    <n v="3.3023255813953498"/>
    <n v="1205.3488372093"/>
    <n v="4339.2558139534904"/>
  </r>
  <r>
    <x v="0"/>
    <x v="0"/>
    <x v="0"/>
    <x v="0"/>
    <x v="0"/>
    <s v="DK1_Medium"/>
    <x v="2"/>
    <x v="13"/>
    <x v="0"/>
    <x v="8"/>
    <n v="3.3023255813953498"/>
    <n v="1205.3488372093"/>
    <n v="4339.2558139534904"/>
  </r>
  <r>
    <x v="0"/>
    <x v="0"/>
    <x v="0"/>
    <x v="0"/>
    <x v="0"/>
    <s v="DK1_Medium"/>
    <x v="2"/>
    <x v="13"/>
    <x v="0"/>
    <x v="0"/>
    <n v="3.3023255813953498"/>
    <n v="1205.3488372093"/>
    <n v="4339.2558139534904"/>
  </r>
  <r>
    <x v="0"/>
    <x v="0"/>
    <x v="0"/>
    <x v="0"/>
    <x v="0"/>
    <s v="DK1_Medium"/>
    <x v="2"/>
    <x v="13"/>
    <x v="0"/>
    <x v="1"/>
    <n v="3.3023255813953498"/>
    <n v="1205.3488372093"/>
    <n v="4339.2558139534904"/>
  </r>
  <r>
    <x v="0"/>
    <x v="0"/>
    <x v="0"/>
    <x v="0"/>
    <x v="0"/>
    <s v="DK1_Medium"/>
    <x v="2"/>
    <x v="13"/>
    <x v="0"/>
    <x v="2"/>
    <n v="3.3023255813953498"/>
    <n v="1205.3488372093"/>
    <n v="4339.2558139534904"/>
  </r>
  <r>
    <x v="0"/>
    <x v="0"/>
    <x v="0"/>
    <x v="0"/>
    <x v="0"/>
    <s v="DK1_Medium"/>
    <x v="2"/>
    <x v="13"/>
    <x v="0"/>
    <x v="9"/>
    <n v="3.3023255813953498"/>
    <n v="1205.3488372093"/>
    <n v="4339.2558139534904"/>
  </r>
  <r>
    <x v="0"/>
    <x v="0"/>
    <x v="0"/>
    <x v="0"/>
    <x v="0"/>
    <s v="DK1_Medium"/>
    <x v="2"/>
    <x v="13"/>
    <x v="0"/>
    <x v="10"/>
    <n v="3.3023255813953498"/>
    <n v="1205.3488372093"/>
    <n v="4339.2558139534904"/>
  </r>
  <r>
    <x v="0"/>
    <x v="0"/>
    <x v="0"/>
    <x v="0"/>
    <x v="0"/>
    <s v="DK1_Medium"/>
    <x v="2"/>
    <x v="13"/>
    <x v="0"/>
    <x v="11"/>
    <n v="3.3023255813953498"/>
    <n v="1205.3488372093"/>
    <n v="4339.2558139534904"/>
  </r>
  <r>
    <x v="0"/>
    <x v="0"/>
    <x v="0"/>
    <x v="0"/>
    <x v="0"/>
    <s v="DK1_Medium"/>
    <x v="2"/>
    <x v="13"/>
    <x v="0"/>
    <x v="12"/>
    <n v="3.3023255813953498"/>
    <n v="1205.3488372093"/>
    <n v="4339.2558139534904"/>
  </r>
  <r>
    <x v="0"/>
    <x v="0"/>
    <x v="0"/>
    <x v="0"/>
    <x v="0"/>
    <s v="DK1_Medium"/>
    <x v="2"/>
    <x v="13"/>
    <x v="0"/>
    <x v="13"/>
    <n v="3.3023255813953498"/>
    <n v="1205.3488372093"/>
    <n v="4339.2558139534904"/>
  </r>
  <r>
    <x v="0"/>
    <x v="0"/>
    <x v="0"/>
    <x v="0"/>
    <x v="0"/>
    <s v="DK1_Medium"/>
    <x v="2"/>
    <x v="13"/>
    <x v="0"/>
    <x v="14"/>
    <n v="3.3023255813953498"/>
    <n v="1205.3488372093"/>
    <n v="4339.2558139534904"/>
  </r>
  <r>
    <x v="0"/>
    <x v="0"/>
    <x v="0"/>
    <x v="0"/>
    <x v="0"/>
    <s v="DK1_Medium"/>
    <x v="2"/>
    <x v="13"/>
    <x v="0"/>
    <x v="15"/>
    <n v="3.3023255813953498"/>
    <n v="1205.3488372093"/>
    <n v="4339.2558139534904"/>
  </r>
  <r>
    <x v="0"/>
    <x v="0"/>
    <x v="0"/>
    <x v="0"/>
    <x v="0"/>
    <s v="DK1_Medium"/>
    <x v="2"/>
    <x v="13"/>
    <x v="0"/>
    <x v="16"/>
    <n v="3.3023255813953498"/>
    <n v="1205.3488372093"/>
    <n v="4339.2558139534904"/>
  </r>
  <r>
    <x v="0"/>
    <x v="0"/>
    <x v="0"/>
    <x v="0"/>
    <x v="0"/>
    <s v="DK1_Medium"/>
    <x v="2"/>
    <x v="13"/>
    <x v="0"/>
    <x v="17"/>
    <n v="3.3023255813953498"/>
    <n v="1205.3488372093"/>
    <n v="4339.2558139534904"/>
  </r>
  <r>
    <x v="0"/>
    <x v="0"/>
    <x v="0"/>
    <x v="0"/>
    <x v="0"/>
    <s v="DK1_Medium"/>
    <x v="2"/>
    <x v="13"/>
    <x v="0"/>
    <x v="18"/>
    <n v="3.3023255813953498"/>
    <n v="1205.3488372093"/>
    <n v="4339.2558139534904"/>
  </r>
  <r>
    <x v="0"/>
    <x v="0"/>
    <x v="0"/>
    <x v="0"/>
    <x v="0"/>
    <s v="DK1_Medium"/>
    <x v="2"/>
    <x v="13"/>
    <x v="0"/>
    <x v="19"/>
    <n v="3.3023255813953498"/>
    <n v="1205.3488372093"/>
    <n v="4339.2558139534904"/>
  </r>
  <r>
    <x v="0"/>
    <x v="0"/>
    <x v="0"/>
    <x v="0"/>
    <x v="0"/>
    <s v="DK1_Medium"/>
    <x v="2"/>
    <x v="13"/>
    <x v="0"/>
    <x v="20"/>
    <n v="3.3023255813953498"/>
    <n v="1205.3488372093"/>
    <n v="4339.2558139534904"/>
  </r>
  <r>
    <x v="0"/>
    <x v="0"/>
    <x v="0"/>
    <x v="0"/>
    <x v="0"/>
    <s v="DK1_Medium"/>
    <x v="2"/>
    <x v="13"/>
    <x v="0"/>
    <x v="21"/>
    <n v="3.3023255813953498"/>
    <n v="1205.3488372093"/>
    <n v="4339.2558139534904"/>
  </r>
  <r>
    <x v="0"/>
    <x v="0"/>
    <x v="0"/>
    <x v="0"/>
    <x v="0"/>
    <s v="DK1_Medium"/>
    <x v="2"/>
    <x v="13"/>
    <x v="0"/>
    <x v="22"/>
    <n v="3.3023255813953498"/>
    <n v="1205.3488372093"/>
    <n v="4339.2558139534904"/>
  </r>
  <r>
    <x v="0"/>
    <x v="0"/>
    <x v="0"/>
    <x v="0"/>
    <x v="0"/>
    <s v="DK1_Medium"/>
    <x v="2"/>
    <x v="13"/>
    <x v="0"/>
    <x v="23"/>
    <n v="3.3023255813953498"/>
    <n v="1205.3488372093"/>
    <n v="4339.2558139534904"/>
  </r>
  <r>
    <x v="0"/>
    <x v="0"/>
    <x v="0"/>
    <x v="0"/>
    <x v="0"/>
    <s v="DK1_Medium"/>
    <x v="2"/>
    <x v="14"/>
    <x v="0"/>
    <x v="3"/>
    <n v="10.636363636363599"/>
    <n v="3882.2727272727302"/>
    <n v="13976.1818181818"/>
  </r>
  <r>
    <x v="0"/>
    <x v="0"/>
    <x v="0"/>
    <x v="0"/>
    <x v="0"/>
    <s v="DK1_Medium"/>
    <x v="2"/>
    <x v="14"/>
    <x v="0"/>
    <x v="4"/>
    <n v="10.636363636363599"/>
    <n v="3882.2727272727302"/>
    <n v="13976.1818181818"/>
  </r>
  <r>
    <x v="0"/>
    <x v="0"/>
    <x v="0"/>
    <x v="0"/>
    <x v="0"/>
    <s v="DK1_Medium"/>
    <x v="2"/>
    <x v="14"/>
    <x v="0"/>
    <x v="5"/>
    <n v="10.636363636363599"/>
    <n v="3882.2727272727302"/>
    <n v="13976.1818181818"/>
  </r>
  <r>
    <x v="0"/>
    <x v="0"/>
    <x v="0"/>
    <x v="0"/>
    <x v="0"/>
    <s v="DK1_Medium"/>
    <x v="2"/>
    <x v="14"/>
    <x v="0"/>
    <x v="6"/>
    <n v="10.636363636363599"/>
    <n v="3882.2727272727302"/>
    <n v="13976.1818181818"/>
  </r>
  <r>
    <x v="0"/>
    <x v="0"/>
    <x v="0"/>
    <x v="0"/>
    <x v="0"/>
    <s v="DK1_Medium"/>
    <x v="2"/>
    <x v="14"/>
    <x v="0"/>
    <x v="7"/>
    <n v="10.636363636363599"/>
    <n v="3882.2727272727302"/>
    <n v="13976.1818181818"/>
  </r>
  <r>
    <x v="0"/>
    <x v="0"/>
    <x v="0"/>
    <x v="0"/>
    <x v="0"/>
    <s v="DK1_Medium"/>
    <x v="2"/>
    <x v="14"/>
    <x v="0"/>
    <x v="8"/>
    <n v="10.636363636363599"/>
    <n v="3882.2727272727302"/>
    <n v="13976.1818181818"/>
  </r>
  <r>
    <x v="0"/>
    <x v="0"/>
    <x v="0"/>
    <x v="0"/>
    <x v="0"/>
    <s v="DK1_Medium"/>
    <x v="2"/>
    <x v="14"/>
    <x v="0"/>
    <x v="0"/>
    <n v="10.636363636363599"/>
    <n v="3882.2727272727302"/>
    <n v="13976.1818181818"/>
  </r>
  <r>
    <x v="0"/>
    <x v="0"/>
    <x v="0"/>
    <x v="0"/>
    <x v="0"/>
    <s v="DK1_Medium"/>
    <x v="2"/>
    <x v="14"/>
    <x v="0"/>
    <x v="1"/>
    <n v="10.636363636363599"/>
    <n v="3882.2727272727302"/>
    <n v="13976.1818181818"/>
  </r>
  <r>
    <x v="0"/>
    <x v="0"/>
    <x v="0"/>
    <x v="0"/>
    <x v="0"/>
    <s v="DK1_Medium"/>
    <x v="2"/>
    <x v="14"/>
    <x v="0"/>
    <x v="2"/>
    <n v="10.636363636363599"/>
    <n v="3882.2727272727302"/>
    <n v="13976.1818181818"/>
  </r>
  <r>
    <x v="0"/>
    <x v="0"/>
    <x v="0"/>
    <x v="0"/>
    <x v="0"/>
    <s v="DK1_Medium"/>
    <x v="2"/>
    <x v="14"/>
    <x v="0"/>
    <x v="9"/>
    <n v="10.636363636363599"/>
    <n v="3882.2727272727302"/>
    <n v="13976.1818181818"/>
  </r>
  <r>
    <x v="0"/>
    <x v="0"/>
    <x v="0"/>
    <x v="0"/>
    <x v="0"/>
    <s v="DK1_Medium"/>
    <x v="2"/>
    <x v="14"/>
    <x v="0"/>
    <x v="10"/>
    <n v="10.636363636363599"/>
    <n v="3882.2727272727302"/>
    <n v="13976.1818181818"/>
  </r>
  <r>
    <x v="0"/>
    <x v="0"/>
    <x v="0"/>
    <x v="0"/>
    <x v="0"/>
    <s v="DK1_Medium"/>
    <x v="2"/>
    <x v="14"/>
    <x v="0"/>
    <x v="11"/>
    <n v="10.636363636363599"/>
    <n v="3882.2727272727302"/>
    <n v="13976.1818181818"/>
  </r>
  <r>
    <x v="0"/>
    <x v="0"/>
    <x v="0"/>
    <x v="0"/>
    <x v="0"/>
    <s v="DK1_Medium"/>
    <x v="2"/>
    <x v="14"/>
    <x v="0"/>
    <x v="12"/>
    <n v="10.636363636363599"/>
    <n v="3882.2727272727302"/>
    <n v="13976.1818181818"/>
  </r>
  <r>
    <x v="0"/>
    <x v="0"/>
    <x v="0"/>
    <x v="0"/>
    <x v="0"/>
    <s v="DK1_Medium"/>
    <x v="2"/>
    <x v="14"/>
    <x v="0"/>
    <x v="13"/>
    <n v="10.636363636363599"/>
    <n v="3882.2727272727302"/>
    <n v="13976.1818181818"/>
  </r>
  <r>
    <x v="0"/>
    <x v="0"/>
    <x v="0"/>
    <x v="0"/>
    <x v="0"/>
    <s v="DK1_Medium"/>
    <x v="2"/>
    <x v="14"/>
    <x v="0"/>
    <x v="14"/>
    <n v="10.636363636363599"/>
    <n v="3882.2727272727302"/>
    <n v="13976.1818181818"/>
  </r>
  <r>
    <x v="0"/>
    <x v="0"/>
    <x v="0"/>
    <x v="0"/>
    <x v="0"/>
    <s v="DK1_Medium"/>
    <x v="2"/>
    <x v="14"/>
    <x v="0"/>
    <x v="15"/>
    <n v="10.636363636363599"/>
    <n v="3882.2727272727302"/>
    <n v="13976.1818181818"/>
  </r>
  <r>
    <x v="0"/>
    <x v="0"/>
    <x v="0"/>
    <x v="0"/>
    <x v="0"/>
    <s v="DK1_Medium"/>
    <x v="2"/>
    <x v="14"/>
    <x v="0"/>
    <x v="16"/>
    <n v="10.636363636363599"/>
    <n v="3882.2727272727302"/>
    <n v="13976.1818181818"/>
  </r>
  <r>
    <x v="0"/>
    <x v="0"/>
    <x v="0"/>
    <x v="0"/>
    <x v="0"/>
    <s v="DK1_Medium"/>
    <x v="2"/>
    <x v="14"/>
    <x v="0"/>
    <x v="17"/>
    <n v="10.636363636363599"/>
    <n v="3882.2727272727302"/>
    <n v="13976.1818181818"/>
  </r>
  <r>
    <x v="0"/>
    <x v="0"/>
    <x v="0"/>
    <x v="0"/>
    <x v="0"/>
    <s v="DK1_Medium"/>
    <x v="2"/>
    <x v="14"/>
    <x v="0"/>
    <x v="18"/>
    <n v="10.636363636363599"/>
    <n v="3882.2727272727302"/>
    <n v="13976.1818181818"/>
  </r>
  <r>
    <x v="0"/>
    <x v="0"/>
    <x v="0"/>
    <x v="0"/>
    <x v="0"/>
    <s v="DK1_Medium"/>
    <x v="2"/>
    <x v="14"/>
    <x v="0"/>
    <x v="19"/>
    <n v="10.636363636363599"/>
    <n v="3882.2727272727302"/>
    <n v="13976.1818181818"/>
  </r>
  <r>
    <x v="0"/>
    <x v="0"/>
    <x v="0"/>
    <x v="0"/>
    <x v="0"/>
    <s v="DK1_Medium"/>
    <x v="2"/>
    <x v="14"/>
    <x v="0"/>
    <x v="20"/>
    <n v="10.636363636363599"/>
    <n v="3882.2727272727302"/>
    <n v="13976.1818181818"/>
  </r>
  <r>
    <x v="0"/>
    <x v="0"/>
    <x v="0"/>
    <x v="0"/>
    <x v="0"/>
    <s v="DK1_Medium"/>
    <x v="2"/>
    <x v="14"/>
    <x v="0"/>
    <x v="21"/>
    <n v="10.636363636363599"/>
    <n v="3882.2727272727302"/>
    <n v="13976.1818181818"/>
  </r>
  <r>
    <x v="0"/>
    <x v="0"/>
    <x v="0"/>
    <x v="0"/>
    <x v="0"/>
    <s v="DK1_Medium"/>
    <x v="2"/>
    <x v="14"/>
    <x v="0"/>
    <x v="22"/>
    <n v="10.636363636363599"/>
    <n v="3882.2727272727302"/>
    <n v="13976.1818181818"/>
  </r>
  <r>
    <x v="0"/>
    <x v="0"/>
    <x v="0"/>
    <x v="0"/>
    <x v="0"/>
    <s v="DK1_Medium"/>
    <x v="2"/>
    <x v="14"/>
    <x v="0"/>
    <x v="23"/>
    <n v="10.636363636363599"/>
    <n v="3882.2727272727302"/>
    <n v="13976.1818181818"/>
  </r>
  <r>
    <x v="0"/>
    <x v="0"/>
    <x v="0"/>
    <x v="0"/>
    <x v="0"/>
    <s v="DK1_Medium"/>
    <x v="2"/>
    <x v="28"/>
    <x v="0"/>
    <x v="0"/>
    <n v="29.0322580645161"/>
    <n v="10596.774193548399"/>
    <n v="38148.387096774197"/>
  </r>
  <r>
    <x v="0"/>
    <x v="0"/>
    <x v="0"/>
    <x v="0"/>
    <x v="0"/>
    <s v="DK1_Medium"/>
    <x v="2"/>
    <x v="28"/>
    <x v="0"/>
    <x v="1"/>
    <n v="29.0322580645161"/>
    <n v="10596.774193548399"/>
    <n v="38148.387096774197"/>
  </r>
  <r>
    <x v="0"/>
    <x v="0"/>
    <x v="0"/>
    <x v="0"/>
    <x v="0"/>
    <s v="DK1_Medium"/>
    <x v="2"/>
    <x v="28"/>
    <x v="0"/>
    <x v="2"/>
    <n v="29.0322580645161"/>
    <n v="10596.774193548399"/>
    <n v="38148.387096774197"/>
  </r>
  <r>
    <x v="0"/>
    <x v="0"/>
    <x v="0"/>
    <x v="0"/>
    <x v="0"/>
    <s v="DK1_Medium"/>
    <x v="2"/>
    <x v="28"/>
    <x v="0"/>
    <x v="9"/>
    <n v="29.0322580645161"/>
    <n v="10596.774193548399"/>
    <n v="38148.387096774197"/>
  </r>
  <r>
    <x v="0"/>
    <x v="0"/>
    <x v="0"/>
    <x v="0"/>
    <x v="0"/>
    <s v="DK1_Medium"/>
    <x v="2"/>
    <x v="28"/>
    <x v="0"/>
    <x v="10"/>
    <n v="29.0322580645161"/>
    <n v="10596.774193548399"/>
    <n v="38148.387096774197"/>
  </r>
  <r>
    <x v="0"/>
    <x v="0"/>
    <x v="0"/>
    <x v="0"/>
    <x v="0"/>
    <s v="DK1_Medium"/>
    <x v="2"/>
    <x v="34"/>
    <x v="0"/>
    <x v="3"/>
    <n v="191.04651162790699"/>
    <n v="69731.976744186104"/>
    <n v="251035.11627907"/>
  </r>
  <r>
    <x v="0"/>
    <x v="0"/>
    <x v="0"/>
    <x v="0"/>
    <x v="0"/>
    <s v="DK1_Medium"/>
    <x v="2"/>
    <x v="34"/>
    <x v="0"/>
    <x v="4"/>
    <n v="191.04651162790699"/>
    <n v="69731.976744186104"/>
    <n v="251035.11627907"/>
  </r>
  <r>
    <x v="0"/>
    <x v="0"/>
    <x v="0"/>
    <x v="0"/>
    <x v="0"/>
    <s v="DK1_Medium"/>
    <x v="2"/>
    <x v="34"/>
    <x v="0"/>
    <x v="5"/>
    <n v="191.04651162790699"/>
    <n v="69731.976744186104"/>
    <n v="251035.11627907"/>
  </r>
  <r>
    <x v="0"/>
    <x v="0"/>
    <x v="0"/>
    <x v="0"/>
    <x v="0"/>
    <s v="DK1_Medium"/>
    <x v="2"/>
    <x v="34"/>
    <x v="0"/>
    <x v="6"/>
    <n v="191.04651162790699"/>
    <n v="69731.976744186104"/>
    <n v="251035.11627907"/>
  </r>
  <r>
    <x v="0"/>
    <x v="0"/>
    <x v="0"/>
    <x v="0"/>
    <x v="0"/>
    <s v="DK1_Medium"/>
    <x v="2"/>
    <x v="34"/>
    <x v="0"/>
    <x v="7"/>
    <n v="191.04651162790699"/>
    <n v="69731.976744186104"/>
    <n v="251035.11627907"/>
  </r>
  <r>
    <x v="0"/>
    <x v="0"/>
    <x v="0"/>
    <x v="0"/>
    <x v="0"/>
    <s v="DK1_Medium"/>
    <x v="2"/>
    <x v="34"/>
    <x v="0"/>
    <x v="8"/>
    <n v="191.04651162790699"/>
    <n v="69731.976744186104"/>
    <n v="251035.11627907"/>
  </r>
  <r>
    <x v="0"/>
    <x v="0"/>
    <x v="0"/>
    <x v="0"/>
    <x v="0"/>
    <s v="DK1_Medium"/>
    <x v="2"/>
    <x v="34"/>
    <x v="0"/>
    <x v="0"/>
    <n v="191.04651162790699"/>
    <n v="69731.976744186104"/>
    <n v="251035.11627907"/>
  </r>
  <r>
    <x v="0"/>
    <x v="0"/>
    <x v="0"/>
    <x v="0"/>
    <x v="0"/>
    <s v="DK1_Medium"/>
    <x v="2"/>
    <x v="34"/>
    <x v="0"/>
    <x v="1"/>
    <n v="191.04651162790699"/>
    <n v="69731.976744186104"/>
    <n v="251035.11627907"/>
  </r>
  <r>
    <x v="0"/>
    <x v="0"/>
    <x v="0"/>
    <x v="0"/>
    <x v="0"/>
    <s v="DK1_Medium"/>
    <x v="2"/>
    <x v="34"/>
    <x v="0"/>
    <x v="2"/>
    <n v="191.04651162790699"/>
    <n v="69731.976744186104"/>
    <n v="251035.11627907"/>
  </r>
  <r>
    <x v="0"/>
    <x v="0"/>
    <x v="0"/>
    <x v="0"/>
    <x v="0"/>
    <s v="DK1_Medium"/>
    <x v="2"/>
    <x v="34"/>
    <x v="0"/>
    <x v="9"/>
    <n v="191.04651162790699"/>
    <n v="69731.976744186104"/>
    <n v="251035.11627907"/>
  </r>
  <r>
    <x v="0"/>
    <x v="0"/>
    <x v="0"/>
    <x v="0"/>
    <x v="0"/>
    <s v="DK1_Medium"/>
    <x v="2"/>
    <x v="34"/>
    <x v="0"/>
    <x v="10"/>
    <n v="191.04651162790699"/>
    <n v="69731.976744186104"/>
    <n v="251035.11627907"/>
  </r>
  <r>
    <x v="0"/>
    <x v="0"/>
    <x v="0"/>
    <x v="0"/>
    <x v="0"/>
    <s v="DK1_Medium"/>
    <x v="2"/>
    <x v="34"/>
    <x v="0"/>
    <x v="11"/>
    <n v="191.04651162790699"/>
    <n v="69731.976744186104"/>
    <n v="251035.11627907"/>
  </r>
  <r>
    <x v="0"/>
    <x v="0"/>
    <x v="0"/>
    <x v="0"/>
    <x v="0"/>
    <s v="DK1_Medium"/>
    <x v="2"/>
    <x v="34"/>
    <x v="0"/>
    <x v="12"/>
    <n v="191.04651162790699"/>
    <n v="69731.976744186104"/>
    <n v="251035.11627907"/>
  </r>
  <r>
    <x v="0"/>
    <x v="0"/>
    <x v="0"/>
    <x v="0"/>
    <x v="0"/>
    <s v="DK1_Medium"/>
    <x v="2"/>
    <x v="34"/>
    <x v="0"/>
    <x v="13"/>
    <n v="191.04651162790699"/>
    <n v="69731.976744186104"/>
    <n v="251035.11627907"/>
  </r>
  <r>
    <x v="0"/>
    <x v="0"/>
    <x v="0"/>
    <x v="0"/>
    <x v="0"/>
    <s v="DK1_Medium"/>
    <x v="2"/>
    <x v="34"/>
    <x v="0"/>
    <x v="14"/>
    <n v="191.04651162790699"/>
    <n v="69731.976744186104"/>
    <n v="251035.11627907"/>
  </r>
  <r>
    <x v="0"/>
    <x v="0"/>
    <x v="0"/>
    <x v="0"/>
    <x v="0"/>
    <s v="DK1_Medium"/>
    <x v="2"/>
    <x v="34"/>
    <x v="0"/>
    <x v="15"/>
    <n v="191.04651162790699"/>
    <n v="69731.976744186104"/>
    <n v="251035.11627907"/>
  </r>
  <r>
    <x v="0"/>
    <x v="0"/>
    <x v="0"/>
    <x v="0"/>
    <x v="0"/>
    <s v="DK1_Medium"/>
    <x v="2"/>
    <x v="34"/>
    <x v="0"/>
    <x v="16"/>
    <n v="191.04651162790699"/>
    <n v="69731.976744186104"/>
    <n v="251035.11627907"/>
  </r>
  <r>
    <x v="0"/>
    <x v="0"/>
    <x v="0"/>
    <x v="0"/>
    <x v="0"/>
    <s v="DK1_Medium"/>
    <x v="2"/>
    <x v="34"/>
    <x v="0"/>
    <x v="17"/>
    <n v="191.04651162790699"/>
    <n v="69731.976744186104"/>
    <n v="251035.11627907"/>
  </r>
  <r>
    <x v="0"/>
    <x v="0"/>
    <x v="0"/>
    <x v="0"/>
    <x v="0"/>
    <s v="DK1_Medium"/>
    <x v="2"/>
    <x v="34"/>
    <x v="0"/>
    <x v="18"/>
    <n v="191.04651162790699"/>
    <n v="69731.976744186104"/>
    <n v="251035.11627907"/>
  </r>
  <r>
    <x v="0"/>
    <x v="0"/>
    <x v="0"/>
    <x v="0"/>
    <x v="0"/>
    <s v="DK1_Medium"/>
    <x v="2"/>
    <x v="34"/>
    <x v="0"/>
    <x v="19"/>
    <n v="191.04651162790699"/>
    <n v="69731.976744186104"/>
    <n v="251035.11627907"/>
  </r>
  <r>
    <x v="0"/>
    <x v="0"/>
    <x v="0"/>
    <x v="0"/>
    <x v="0"/>
    <s v="DK1_Medium"/>
    <x v="2"/>
    <x v="34"/>
    <x v="0"/>
    <x v="20"/>
    <n v="191.04651162790699"/>
    <n v="69731.976744186104"/>
    <n v="251035.11627907"/>
  </r>
  <r>
    <x v="0"/>
    <x v="0"/>
    <x v="0"/>
    <x v="0"/>
    <x v="0"/>
    <s v="DK1_Medium"/>
    <x v="2"/>
    <x v="34"/>
    <x v="0"/>
    <x v="21"/>
    <n v="191.04651162790699"/>
    <n v="69731.976744186104"/>
    <n v="251035.11627907"/>
  </r>
  <r>
    <x v="0"/>
    <x v="0"/>
    <x v="0"/>
    <x v="0"/>
    <x v="0"/>
    <s v="DK1_Medium"/>
    <x v="2"/>
    <x v="34"/>
    <x v="0"/>
    <x v="22"/>
    <n v="191.04651162790699"/>
    <n v="69731.976744186104"/>
    <n v="251035.11627907"/>
  </r>
  <r>
    <x v="0"/>
    <x v="0"/>
    <x v="0"/>
    <x v="0"/>
    <x v="0"/>
    <s v="DK1_Medium"/>
    <x v="2"/>
    <x v="34"/>
    <x v="0"/>
    <x v="23"/>
    <n v="191.04651162790699"/>
    <n v="69731.976744186104"/>
    <n v="251035.11627907"/>
  </r>
  <r>
    <x v="0"/>
    <x v="0"/>
    <x v="0"/>
    <x v="0"/>
    <x v="0"/>
    <s v="DK1_Medium"/>
    <x v="2"/>
    <x v="35"/>
    <x v="0"/>
    <x v="3"/>
    <n v="129.54545454545499"/>
    <n v="47284.090909090897"/>
    <n v="170222.727272727"/>
  </r>
  <r>
    <x v="0"/>
    <x v="0"/>
    <x v="0"/>
    <x v="0"/>
    <x v="0"/>
    <s v="DK1_Medium"/>
    <x v="2"/>
    <x v="35"/>
    <x v="0"/>
    <x v="4"/>
    <n v="129.54545454545499"/>
    <n v="47284.090909090897"/>
    <n v="170222.727272727"/>
  </r>
  <r>
    <x v="0"/>
    <x v="0"/>
    <x v="0"/>
    <x v="0"/>
    <x v="0"/>
    <s v="DK1_Medium"/>
    <x v="2"/>
    <x v="35"/>
    <x v="0"/>
    <x v="5"/>
    <n v="129.54545454545499"/>
    <n v="47284.090909090897"/>
    <n v="170222.727272727"/>
  </r>
  <r>
    <x v="0"/>
    <x v="0"/>
    <x v="0"/>
    <x v="0"/>
    <x v="0"/>
    <s v="DK1_Medium"/>
    <x v="2"/>
    <x v="35"/>
    <x v="0"/>
    <x v="6"/>
    <n v="129.54545454545499"/>
    <n v="47284.090909090897"/>
    <n v="170222.727272727"/>
  </r>
  <r>
    <x v="0"/>
    <x v="0"/>
    <x v="0"/>
    <x v="0"/>
    <x v="0"/>
    <s v="DK1_Medium"/>
    <x v="2"/>
    <x v="35"/>
    <x v="0"/>
    <x v="7"/>
    <n v="129.54545454545499"/>
    <n v="47284.090909090897"/>
    <n v="170222.727272727"/>
  </r>
  <r>
    <x v="0"/>
    <x v="0"/>
    <x v="0"/>
    <x v="0"/>
    <x v="0"/>
    <s v="DK1_Medium"/>
    <x v="2"/>
    <x v="35"/>
    <x v="0"/>
    <x v="8"/>
    <n v="129.54545454545499"/>
    <n v="47284.090909090897"/>
    <n v="170222.727272727"/>
  </r>
  <r>
    <x v="0"/>
    <x v="0"/>
    <x v="0"/>
    <x v="0"/>
    <x v="0"/>
    <s v="DK1_Medium"/>
    <x v="2"/>
    <x v="35"/>
    <x v="0"/>
    <x v="0"/>
    <n v="129.54545454545499"/>
    <n v="47284.090909090897"/>
    <n v="170222.727272727"/>
  </r>
  <r>
    <x v="0"/>
    <x v="0"/>
    <x v="0"/>
    <x v="0"/>
    <x v="0"/>
    <s v="DK1_Medium"/>
    <x v="2"/>
    <x v="35"/>
    <x v="0"/>
    <x v="1"/>
    <n v="129.54545454545499"/>
    <n v="47284.090909090897"/>
    <n v="170222.727272727"/>
  </r>
  <r>
    <x v="0"/>
    <x v="0"/>
    <x v="0"/>
    <x v="0"/>
    <x v="0"/>
    <s v="DK1_Medium"/>
    <x v="2"/>
    <x v="35"/>
    <x v="0"/>
    <x v="2"/>
    <n v="129.54545454545499"/>
    <n v="47284.090909090897"/>
    <n v="170222.727272727"/>
  </r>
  <r>
    <x v="0"/>
    <x v="0"/>
    <x v="0"/>
    <x v="0"/>
    <x v="0"/>
    <s v="DK1_Medium"/>
    <x v="2"/>
    <x v="35"/>
    <x v="0"/>
    <x v="9"/>
    <n v="129.54545454545499"/>
    <n v="47284.090909090897"/>
    <n v="170222.727272727"/>
  </r>
  <r>
    <x v="0"/>
    <x v="0"/>
    <x v="0"/>
    <x v="0"/>
    <x v="0"/>
    <s v="DK1_Medium"/>
    <x v="2"/>
    <x v="35"/>
    <x v="0"/>
    <x v="10"/>
    <n v="129.54545454545499"/>
    <n v="47284.090909090897"/>
    <n v="170222.727272727"/>
  </r>
  <r>
    <x v="0"/>
    <x v="0"/>
    <x v="0"/>
    <x v="0"/>
    <x v="0"/>
    <s v="DK1_Medium"/>
    <x v="2"/>
    <x v="35"/>
    <x v="0"/>
    <x v="11"/>
    <n v="129.54545454545499"/>
    <n v="47284.090909090897"/>
    <n v="170222.727272727"/>
  </r>
  <r>
    <x v="0"/>
    <x v="0"/>
    <x v="0"/>
    <x v="0"/>
    <x v="0"/>
    <s v="DK1_Medium"/>
    <x v="2"/>
    <x v="35"/>
    <x v="0"/>
    <x v="12"/>
    <n v="129.54545454545499"/>
    <n v="47284.090909090897"/>
    <n v="170222.727272727"/>
  </r>
  <r>
    <x v="0"/>
    <x v="0"/>
    <x v="0"/>
    <x v="0"/>
    <x v="0"/>
    <s v="DK1_Medium"/>
    <x v="2"/>
    <x v="35"/>
    <x v="0"/>
    <x v="13"/>
    <n v="129.54545454545499"/>
    <n v="47284.090909090897"/>
    <n v="170222.727272727"/>
  </r>
  <r>
    <x v="0"/>
    <x v="0"/>
    <x v="0"/>
    <x v="0"/>
    <x v="0"/>
    <s v="DK1_Medium"/>
    <x v="2"/>
    <x v="35"/>
    <x v="0"/>
    <x v="14"/>
    <n v="129.54545454545499"/>
    <n v="47284.090909090897"/>
    <n v="170222.727272727"/>
  </r>
  <r>
    <x v="0"/>
    <x v="0"/>
    <x v="0"/>
    <x v="0"/>
    <x v="0"/>
    <s v="DK1_Medium"/>
    <x v="2"/>
    <x v="35"/>
    <x v="0"/>
    <x v="15"/>
    <n v="129.54545454545499"/>
    <n v="47284.090909090897"/>
    <n v="170222.727272727"/>
  </r>
  <r>
    <x v="0"/>
    <x v="0"/>
    <x v="0"/>
    <x v="0"/>
    <x v="0"/>
    <s v="DK1_Medium"/>
    <x v="2"/>
    <x v="35"/>
    <x v="0"/>
    <x v="16"/>
    <n v="129.54545454545499"/>
    <n v="47284.090909090897"/>
    <n v="170222.727272727"/>
  </r>
  <r>
    <x v="0"/>
    <x v="0"/>
    <x v="0"/>
    <x v="0"/>
    <x v="0"/>
    <s v="DK1_Medium"/>
    <x v="2"/>
    <x v="35"/>
    <x v="0"/>
    <x v="17"/>
    <n v="129.54545454545499"/>
    <n v="47284.090909090897"/>
    <n v="170222.727272727"/>
  </r>
  <r>
    <x v="0"/>
    <x v="0"/>
    <x v="0"/>
    <x v="0"/>
    <x v="0"/>
    <s v="DK1_Medium"/>
    <x v="2"/>
    <x v="35"/>
    <x v="0"/>
    <x v="18"/>
    <n v="129.54545454545499"/>
    <n v="47284.090909090897"/>
    <n v="170222.727272727"/>
  </r>
  <r>
    <x v="0"/>
    <x v="0"/>
    <x v="0"/>
    <x v="0"/>
    <x v="0"/>
    <s v="DK1_Medium"/>
    <x v="2"/>
    <x v="35"/>
    <x v="0"/>
    <x v="19"/>
    <n v="129.54545454545499"/>
    <n v="47284.090909090897"/>
    <n v="170222.727272727"/>
  </r>
  <r>
    <x v="0"/>
    <x v="0"/>
    <x v="0"/>
    <x v="0"/>
    <x v="0"/>
    <s v="DK1_Medium"/>
    <x v="2"/>
    <x v="35"/>
    <x v="0"/>
    <x v="20"/>
    <n v="129.54545454545499"/>
    <n v="47284.090909090897"/>
    <n v="170222.727272727"/>
  </r>
  <r>
    <x v="0"/>
    <x v="0"/>
    <x v="0"/>
    <x v="0"/>
    <x v="0"/>
    <s v="DK1_Medium"/>
    <x v="2"/>
    <x v="35"/>
    <x v="0"/>
    <x v="21"/>
    <n v="129.54545454545499"/>
    <n v="47284.090909090897"/>
    <n v="170222.727272727"/>
  </r>
  <r>
    <x v="0"/>
    <x v="0"/>
    <x v="0"/>
    <x v="0"/>
    <x v="0"/>
    <s v="DK1_Medium"/>
    <x v="2"/>
    <x v="35"/>
    <x v="0"/>
    <x v="22"/>
    <n v="129.54545454545499"/>
    <n v="47284.090909090897"/>
    <n v="170222.727272727"/>
  </r>
  <r>
    <x v="0"/>
    <x v="0"/>
    <x v="0"/>
    <x v="0"/>
    <x v="0"/>
    <s v="DK1_Medium"/>
    <x v="2"/>
    <x v="35"/>
    <x v="0"/>
    <x v="23"/>
    <n v="129.54545454545499"/>
    <n v="47284.090909090897"/>
    <n v="170222.727272727"/>
  </r>
  <r>
    <x v="0"/>
    <x v="0"/>
    <x v="0"/>
    <x v="0"/>
    <x v="0"/>
    <s v="DK1_Medium"/>
    <x v="2"/>
    <x v="36"/>
    <x v="0"/>
    <x v="3"/>
    <n v="230.95744680851101"/>
    <n v="84299.468085106404"/>
    <n v="303478.08510638302"/>
  </r>
  <r>
    <x v="0"/>
    <x v="0"/>
    <x v="0"/>
    <x v="0"/>
    <x v="0"/>
    <s v="DK1_Medium"/>
    <x v="2"/>
    <x v="36"/>
    <x v="0"/>
    <x v="4"/>
    <n v="230.95744680851101"/>
    <n v="84299.468085106404"/>
    <n v="303478.08510638302"/>
  </r>
  <r>
    <x v="0"/>
    <x v="0"/>
    <x v="0"/>
    <x v="0"/>
    <x v="0"/>
    <s v="DK1_Medium"/>
    <x v="2"/>
    <x v="36"/>
    <x v="0"/>
    <x v="5"/>
    <n v="230.95744680851101"/>
    <n v="84299.468085106404"/>
    <n v="303478.08510638302"/>
  </r>
  <r>
    <x v="0"/>
    <x v="0"/>
    <x v="0"/>
    <x v="0"/>
    <x v="0"/>
    <s v="DK1_Medium"/>
    <x v="2"/>
    <x v="36"/>
    <x v="0"/>
    <x v="6"/>
    <n v="230.95744680851101"/>
    <n v="84299.468085106404"/>
    <n v="303478.08510638302"/>
  </r>
  <r>
    <x v="0"/>
    <x v="0"/>
    <x v="0"/>
    <x v="0"/>
    <x v="0"/>
    <s v="DK1_Medium"/>
    <x v="2"/>
    <x v="36"/>
    <x v="0"/>
    <x v="7"/>
    <n v="230.95744680851101"/>
    <n v="84299.468085106404"/>
    <n v="303478.08510638302"/>
  </r>
  <r>
    <x v="0"/>
    <x v="0"/>
    <x v="0"/>
    <x v="0"/>
    <x v="0"/>
    <s v="DK1_Medium"/>
    <x v="2"/>
    <x v="36"/>
    <x v="0"/>
    <x v="8"/>
    <n v="230.95744680851101"/>
    <n v="84299.468085106404"/>
    <n v="303478.08510638302"/>
  </r>
  <r>
    <x v="0"/>
    <x v="0"/>
    <x v="0"/>
    <x v="0"/>
    <x v="0"/>
    <s v="DK1_Medium"/>
    <x v="2"/>
    <x v="36"/>
    <x v="0"/>
    <x v="0"/>
    <n v="230.95744680851101"/>
    <n v="84299.468085106404"/>
    <n v="303478.08510638302"/>
  </r>
  <r>
    <x v="0"/>
    <x v="0"/>
    <x v="0"/>
    <x v="0"/>
    <x v="0"/>
    <s v="DK1_Medium"/>
    <x v="2"/>
    <x v="36"/>
    <x v="0"/>
    <x v="1"/>
    <n v="230.95744680851101"/>
    <n v="84299.468085106404"/>
    <n v="303478.08510638302"/>
  </r>
  <r>
    <x v="0"/>
    <x v="0"/>
    <x v="0"/>
    <x v="0"/>
    <x v="0"/>
    <s v="DK1_Medium"/>
    <x v="2"/>
    <x v="36"/>
    <x v="0"/>
    <x v="2"/>
    <n v="230.95744680851101"/>
    <n v="84299.468085106404"/>
    <n v="303478.08510638302"/>
  </r>
  <r>
    <x v="0"/>
    <x v="0"/>
    <x v="0"/>
    <x v="0"/>
    <x v="0"/>
    <s v="DK1_Medium"/>
    <x v="2"/>
    <x v="36"/>
    <x v="0"/>
    <x v="9"/>
    <n v="230.95744680851101"/>
    <n v="84299.468085106404"/>
    <n v="303478.08510638302"/>
  </r>
  <r>
    <x v="0"/>
    <x v="0"/>
    <x v="0"/>
    <x v="0"/>
    <x v="0"/>
    <s v="DK1_Medium"/>
    <x v="2"/>
    <x v="36"/>
    <x v="0"/>
    <x v="10"/>
    <n v="230.95744680851101"/>
    <n v="84299.468085106404"/>
    <n v="303478.08510638302"/>
  </r>
  <r>
    <x v="0"/>
    <x v="0"/>
    <x v="0"/>
    <x v="0"/>
    <x v="0"/>
    <s v="DK1_Medium"/>
    <x v="2"/>
    <x v="36"/>
    <x v="0"/>
    <x v="11"/>
    <n v="230.95744680851101"/>
    <n v="84299.468085106404"/>
    <n v="303478.08510638302"/>
  </r>
  <r>
    <x v="0"/>
    <x v="0"/>
    <x v="0"/>
    <x v="0"/>
    <x v="0"/>
    <s v="DK1_Medium"/>
    <x v="2"/>
    <x v="36"/>
    <x v="0"/>
    <x v="12"/>
    <n v="230.95744680851101"/>
    <n v="84299.468085106404"/>
    <n v="303478.08510638302"/>
  </r>
  <r>
    <x v="0"/>
    <x v="0"/>
    <x v="0"/>
    <x v="0"/>
    <x v="0"/>
    <s v="DK1_Medium"/>
    <x v="2"/>
    <x v="36"/>
    <x v="0"/>
    <x v="13"/>
    <n v="230.95744680851101"/>
    <n v="84299.468085106404"/>
    <n v="303478.08510638302"/>
  </r>
  <r>
    <x v="0"/>
    <x v="0"/>
    <x v="0"/>
    <x v="0"/>
    <x v="0"/>
    <s v="DK1_Medium"/>
    <x v="2"/>
    <x v="36"/>
    <x v="0"/>
    <x v="14"/>
    <n v="230.95744680851101"/>
    <n v="84299.468085106404"/>
    <n v="303478.08510638302"/>
  </r>
  <r>
    <x v="0"/>
    <x v="0"/>
    <x v="0"/>
    <x v="0"/>
    <x v="0"/>
    <s v="DK1_Medium"/>
    <x v="2"/>
    <x v="36"/>
    <x v="0"/>
    <x v="15"/>
    <n v="230.95744680851101"/>
    <n v="84299.468085106404"/>
    <n v="303478.08510638302"/>
  </r>
  <r>
    <x v="0"/>
    <x v="0"/>
    <x v="0"/>
    <x v="0"/>
    <x v="0"/>
    <s v="DK1_Medium"/>
    <x v="2"/>
    <x v="36"/>
    <x v="0"/>
    <x v="16"/>
    <n v="230.95744680851101"/>
    <n v="84299.468085106404"/>
    <n v="303478.08510638302"/>
  </r>
  <r>
    <x v="0"/>
    <x v="0"/>
    <x v="0"/>
    <x v="0"/>
    <x v="0"/>
    <s v="DK1_Medium"/>
    <x v="2"/>
    <x v="36"/>
    <x v="0"/>
    <x v="17"/>
    <n v="230.95744680851101"/>
    <n v="84299.468085106404"/>
    <n v="303478.08510638302"/>
  </r>
  <r>
    <x v="0"/>
    <x v="0"/>
    <x v="0"/>
    <x v="0"/>
    <x v="0"/>
    <s v="DK1_Medium"/>
    <x v="2"/>
    <x v="36"/>
    <x v="0"/>
    <x v="18"/>
    <n v="230.95744680851101"/>
    <n v="84299.468085106404"/>
    <n v="303478.08510638302"/>
  </r>
  <r>
    <x v="0"/>
    <x v="0"/>
    <x v="0"/>
    <x v="0"/>
    <x v="0"/>
    <s v="DK1_Medium"/>
    <x v="2"/>
    <x v="36"/>
    <x v="0"/>
    <x v="19"/>
    <n v="230.95744680851101"/>
    <n v="84299.468085106404"/>
    <n v="303478.08510638302"/>
  </r>
  <r>
    <x v="0"/>
    <x v="0"/>
    <x v="0"/>
    <x v="0"/>
    <x v="0"/>
    <s v="DK1_Medium"/>
    <x v="2"/>
    <x v="36"/>
    <x v="0"/>
    <x v="20"/>
    <n v="230.95744680851101"/>
    <n v="84299.468085106404"/>
    <n v="303478.08510638302"/>
  </r>
  <r>
    <x v="0"/>
    <x v="0"/>
    <x v="0"/>
    <x v="0"/>
    <x v="0"/>
    <s v="DK1_Medium"/>
    <x v="2"/>
    <x v="36"/>
    <x v="0"/>
    <x v="21"/>
    <n v="230.95744680851101"/>
    <n v="84299.468085106404"/>
    <n v="303478.08510638302"/>
  </r>
  <r>
    <x v="0"/>
    <x v="0"/>
    <x v="0"/>
    <x v="0"/>
    <x v="0"/>
    <s v="DK1_Medium"/>
    <x v="2"/>
    <x v="36"/>
    <x v="0"/>
    <x v="22"/>
    <n v="230.95744680851101"/>
    <n v="84299.468085106404"/>
    <n v="303478.08510638302"/>
  </r>
  <r>
    <x v="0"/>
    <x v="0"/>
    <x v="0"/>
    <x v="0"/>
    <x v="0"/>
    <s v="DK1_Medium"/>
    <x v="2"/>
    <x v="36"/>
    <x v="0"/>
    <x v="23"/>
    <n v="230.95744680851101"/>
    <n v="84299.468085106404"/>
    <n v="303478.08510638302"/>
  </r>
  <r>
    <x v="0"/>
    <x v="0"/>
    <x v="0"/>
    <x v="0"/>
    <x v="0"/>
    <s v="DK1_Medium"/>
    <x v="4"/>
    <x v="31"/>
    <x v="0"/>
    <x v="5"/>
    <n v="10"/>
    <n v="3650"/>
    <n v="13140"/>
  </r>
  <r>
    <x v="0"/>
    <x v="0"/>
    <x v="0"/>
    <x v="0"/>
    <x v="0"/>
    <s v="DK1_Medium"/>
    <x v="4"/>
    <x v="31"/>
    <x v="0"/>
    <x v="6"/>
    <n v="2.3880303997509502"/>
    <n v="871.63109590909596"/>
    <n v="3137.8719452727501"/>
  </r>
  <r>
    <x v="0"/>
    <x v="0"/>
    <x v="0"/>
    <x v="0"/>
    <x v="0"/>
    <s v="DK1_Medium"/>
    <x v="4"/>
    <x v="31"/>
    <x v="0"/>
    <x v="7"/>
    <n v="10"/>
    <n v="3650"/>
    <n v="13140"/>
  </r>
  <r>
    <x v="0"/>
    <x v="0"/>
    <x v="0"/>
    <x v="0"/>
    <x v="0"/>
    <s v="DK1_Medium"/>
    <x v="4"/>
    <x v="31"/>
    <x v="0"/>
    <x v="8"/>
    <n v="10"/>
    <n v="3650"/>
    <n v="13140"/>
  </r>
  <r>
    <x v="0"/>
    <x v="0"/>
    <x v="0"/>
    <x v="0"/>
    <x v="0"/>
    <s v="DK1_Medium"/>
    <x v="4"/>
    <x v="31"/>
    <x v="0"/>
    <x v="11"/>
    <n v="10"/>
    <n v="3650"/>
    <n v="13140"/>
  </r>
  <r>
    <x v="0"/>
    <x v="0"/>
    <x v="0"/>
    <x v="0"/>
    <x v="0"/>
    <s v="DK1_Medium"/>
    <x v="4"/>
    <x v="31"/>
    <x v="0"/>
    <x v="12"/>
    <n v="10"/>
    <n v="3650"/>
    <n v="13140"/>
  </r>
  <r>
    <x v="0"/>
    <x v="0"/>
    <x v="0"/>
    <x v="0"/>
    <x v="0"/>
    <s v="DK1_Medium"/>
    <x v="4"/>
    <x v="31"/>
    <x v="0"/>
    <x v="13"/>
    <n v="10"/>
    <n v="3650"/>
    <n v="13140"/>
  </r>
  <r>
    <x v="0"/>
    <x v="0"/>
    <x v="0"/>
    <x v="0"/>
    <x v="0"/>
    <s v="DK1_Medium"/>
    <x v="4"/>
    <x v="31"/>
    <x v="0"/>
    <x v="14"/>
    <n v="10"/>
    <n v="3650"/>
    <n v="13140"/>
  </r>
  <r>
    <x v="0"/>
    <x v="0"/>
    <x v="0"/>
    <x v="0"/>
    <x v="0"/>
    <s v="DK1_Medium"/>
    <x v="4"/>
    <x v="31"/>
    <x v="0"/>
    <x v="15"/>
    <n v="10"/>
    <n v="3650"/>
    <n v="13140"/>
  </r>
  <r>
    <x v="0"/>
    <x v="0"/>
    <x v="0"/>
    <x v="0"/>
    <x v="0"/>
    <s v="DK1_Medium"/>
    <x v="4"/>
    <x v="31"/>
    <x v="0"/>
    <x v="16"/>
    <n v="10"/>
    <n v="3650"/>
    <n v="13140"/>
  </r>
  <r>
    <x v="0"/>
    <x v="0"/>
    <x v="0"/>
    <x v="0"/>
    <x v="0"/>
    <s v="DK1_Medium"/>
    <x v="4"/>
    <x v="31"/>
    <x v="0"/>
    <x v="17"/>
    <n v="10"/>
    <n v="3650"/>
    <n v="13140"/>
  </r>
  <r>
    <x v="0"/>
    <x v="0"/>
    <x v="0"/>
    <x v="0"/>
    <x v="0"/>
    <s v="DK1_Medium"/>
    <x v="4"/>
    <x v="31"/>
    <x v="0"/>
    <x v="18"/>
    <n v="10"/>
    <n v="3650"/>
    <n v="13140"/>
  </r>
  <r>
    <x v="0"/>
    <x v="0"/>
    <x v="0"/>
    <x v="0"/>
    <x v="0"/>
    <s v="DK1_Medium"/>
    <x v="4"/>
    <x v="31"/>
    <x v="0"/>
    <x v="19"/>
    <n v="10"/>
    <n v="3650"/>
    <n v="13140"/>
  </r>
  <r>
    <x v="0"/>
    <x v="0"/>
    <x v="0"/>
    <x v="0"/>
    <x v="0"/>
    <s v="DK1_Medium"/>
    <x v="4"/>
    <x v="31"/>
    <x v="0"/>
    <x v="20"/>
    <n v="10"/>
    <n v="3650"/>
    <n v="13140"/>
  </r>
  <r>
    <x v="0"/>
    <x v="0"/>
    <x v="0"/>
    <x v="0"/>
    <x v="0"/>
    <s v="DK1_Medium"/>
    <x v="4"/>
    <x v="31"/>
    <x v="0"/>
    <x v="21"/>
    <n v="10"/>
    <n v="3650"/>
    <n v="13140"/>
  </r>
  <r>
    <x v="0"/>
    <x v="0"/>
    <x v="0"/>
    <x v="0"/>
    <x v="0"/>
    <s v="DK1_Medium"/>
    <x v="4"/>
    <x v="31"/>
    <x v="0"/>
    <x v="22"/>
    <n v="10"/>
    <n v="3650"/>
    <n v="13140"/>
  </r>
  <r>
    <x v="0"/>
    <x v="0"/>
    <x v="0"/>
    <x v="0"/>
    <x v="0"/>
    <s v="DK1_Medium"/>
    <x v="4"/>
    <x v="31"/>
    <x v="0"/>
    <x v="23"/>
    <n v="10"/>
    <n v="3650"/>
    <n v="13140"/>
  </r>
  <r>
    <x v="0"/>
    <x v="0"/>
    <x v="0"/>
    <x v="0"/>
    <x v="0"/>
    <s v="DK1_Medium"/>
    <x v="5"/>
    <x v="37"/>
    <x v="0"/>
    <x v="0"/>
    <n v="192.59259259259301"/>
    <n v="70296.296296296496"/>
    <n v="253066.666666668"/>
  </r>
  <r>
    <x v="0"/>
    <x v="0"/>
    <x v="0"/>
    <x v="0"/>
    <x v="0"/>
    <s v="DK1_Medium"/>
    <x v="5"/>
    <x v="37"/>
    <x v="0"/>
    <x v="1"/>
    <n v="192.59259259259301"/>
    <n v="70296.296296296496"/>
    <n v="253066.666666668"/>
  </r>
  <r>
    <x v="0"/>
    <x v="0"/>
    <x v="0"/>
    <x v="0"/>
    <x v="0"/>
    <s v="DK1_Medium"/>
    <x v="5"/>
    <x v="37"/>
    <x v="0"/>
    <x v="2"/>
    <n v="192.59259259259301"/>
    <n v="70296.296296296496"/>
    <n v="253066.666666668"/>
  </r>
  <r>
    <x v="0"/>
    <x v="0"/>
    <x v="0"/>
    <x v="0"/>
    <x v="0"/>
    <s v="DK1_Medium"/>
    <x v="5"/>
    <x v="37"/>
    <x v="0"/>
    <x v="9"/>
    <n v="192.59259259259301"/>
    <n v="70296.296296296496"/>
    <n v="253066.666666668"/>
  </r>
  <r>
    <x v="0"/>
    <x v="0"/>
    <x v="0"/>
    <x v="0"/>
    <x v="0"/>
    <s v="DK1_Medium"/>
    <x v="5"/>
    <x v="38"/>
    <x v="0"/>
    <x v="0"/>
    <n v="301.33333333333297"/>
    <n v="109986.66666666701"/>
    <n v="395952"/>
  </r>
  <r>
    <x v="0"/>
    <x v="0"/>
    <x v="0"/>
    <x v="0"/>
    <x v="0"/>
    <s v="DK1_Medium"/>
    <x v="5"/>
    <x v="38"/>
    <x v="0"/>
    <x v="1"/>
    <n v="301.33333333333297"/>
    <n v="109986.66666666701"/>
    <n v="395952"/>
  </r>
  <r>
    <x v="0"/>
    <x v="0"/>
    <x v="0"/>
    <x v="0"/>
    <x v="0"/>
    <s v="DK1_Medium"/>
    <x v="5"/>
    <x v="38"/>
    <x v="0"/>
    <x v="2"/>
    <n v="301.33333333333297"/>
    <n v="109986.66666666701"/>
    <n v="395952"/>
  </r>
  <r>
    <x v="0"/>
    <x v="0"/>
    <x v="0"/>
    <x v="0"/>
    <x v="0"/>
    <s v="DK1_Medium"/>
    <x v="5"/>
    <x v="38"/>
    <x v="0"/>
    <x v="9"/>
    <n v="301.33333333333297"/>
    <n v="109986.66666666701"/>
    <n v="395952"/>
  </r>
  <r>
    <x v="0"/>
    <x v="0"/>
    <x v="0"/>
    <x v="0"/>
    <x v="0"/>
    <s v="DK1_Medium"/>
    <x v="5"/>
    <x v="38"/>
    <x v="0"/>
    <x v="10"/>
    <n v="301.33333333333297"/>
    <n v="109986.66666666701"/>
    <n v="395952"/>
  </r>
  <r>
    <x v="0"/>
    <x v="0"/>
    <x v="0"/>
    <x v="0"/>
    <x v="0"/>
    <s v="DK1_Medium"/>
    <x v="5"/>
    <x v="38"/>
    <x v="0"/>
    <x v="11"/>
    <n v="274.74012521280901"/>
    <n v="100280.145702675"/>
    <n v="361008.52452963201"/>
  </r>
  <r>
    <x v="0"/>
    <x v="0"/>
    <x v="0"/>
    <x v="0"/>
    <x v="0"/>
    <s v="DK1_Medium"/>
    <x v="5"/>
    <x v="38"/>
    <x v="0"/>
    <x v="13"/>
    <n v="3.4391032254231102"/>
    <n v="1255.2726772794399"/>
    <n v="4518.9816382059698"/>
  </r>
  <r>
    <x v="0"/>
    <x v="0"/>
    <x v="0"/>
    <x v="0"/>
    <x v="0"/>
    <s v="DK1_Medium"/>
    <x v="5"/>
    <x v="38"/>
    <x v="0"/>
    <x v="14"/>
    <n v="301.33333333333297"/>
    <n v="109986.66666666701"/>
    <n v="395952"/>
  </r>
  <r>
    <x v="0"/>
    <x v="0"/>
    <x v="0"/>
    <x v="0"/>
    <x v="0"/>
    <s v="DK1_Medium"/>
    <x v="5"/>
    <x v="38"/>
    <x v="0"/>
    <x v="15"/>
    <n v="254.35815629952401"/>
    <n v="92840.727049326306"/>
    <n v="334226.61737757502"/>
  </r>
  <r>
    <x v="0"/>
    <x v="0"/>
    <x v="0"/>
    <x v="0"/>
    <x v="0"/>
    <s v="DK1_Medium"/>
    <x v="5"/>
    <x v="38"/>
    <x v="0"/>
    <x v="16"/>
    <n v="301.33333333333297"/>
    <n v="109986.66666666701"/>
    <n v="395952"/>
  </r>
  <r>
    <x v="0"/>
    <x v="0"/>
    <x v="0"/>
    <x v="0"/>
    <x v="0"/>
    <s v="DK1_Medium"/>
    <x v="5"/>
    <x v="38"/>
    <x v="0"/>
    <x v="17"/>
    <n v="265.82301381324697"/>
    <n v="97025.400041835193"/>
    <n v="349291.44015060703"/>
  </r>
  <r>
    <x v="0"/>
    <x v="0"/>
    <x v="0"/>
    <x v="0"/>
    <x v="0"/>
    <s v="DK1_Medium"/>
    <x v="5"/>
    <x v="38"/>
    <x v="0"/>
    <x v="18"/>
    <n v="264.54914075616699"/>
    <n v="96560.4363760009"/>
    <n v="347617.57095360302"/>
  </r>
  <r>
    <x v="0"/>
    <x v="0"/>
    <x v="0"/>
    <x v="0"/>
    <x v="0"/>
    <s v="DK1_NoDH"/>
    <x v="2"/>
    <x v="39"/>
    <x v="0"/>
    <x v="0"/>
    <n v="0.40909090909090901"/>
    <n v="149.31818181818201"/>
    <n v="537.54545454545405"/>
  </r>
  <r>
    <x v="0"/>
    <x v="0"/>
    <x v="0"/>
    <x v="0"/>
    <x v="0"/>
    <s v="DK1_NoDH"/>
    <x v="2"/>
    <x v="39"/>
    <x v="0"/>
    <x v="1"/>
    <n v="0.40909090909090901"/>
    <n v="149.31818181818201"/>
    <n v="537.54545454545405"/>
  </r>
  <r>
    <x v="0"/>
    <x v="0"/>
    <x v="0"/>
    <x v="0"/>
    <x v="0"/>
    <s v="DK1_NoDH"/>
    <x v="2"/>
    <x v="39"/>
    <x v="0"/>
    <x v="2"/>
    <n v="0.40909090909090901"/>
    <n v="149.31818181818201"/>
    <n v="537.54545454545405"/>
  </r>
  <r>
    <x v="0"/>
    <x v="0"/>
    <x v="0"/>
    <x v="0"/>
    <x v="0"/>
    <s v="DK1_NoDH"/>
    <x v="2"/>
    <x v="39"/>
    <x v="0"/>
    <x v="9"/>
    <n v="0.40909090909090901"/>
    <n v="149.31818181818201"/>
    <n v="537.54545454545405"/>
  </r>
  <r>
    <x v="0"/>
    <x v="0"/>
    <x v="0"/>
    <x v="0"/>
    <x v="0"/>
    <s v="DK1_NoDH"/>
    <x v="2"/>
    <x v="39"/>
    <x v="0"/>
    <x v="10"/>
    <n v="0.40909090909090901"/>
    <n v="149.31818181818201"/>
    <n v="537.54545454545405"/>
  </r>
  <r>
    <x v="0"/>
    <x v="0"/>
    <x v="0"/>
    <x v="0"/>
    <x v="0"/>
    <s v="DK1_NoDH"/>
    <x v="2"/>
    <x v="26"/>
    <x v="0"/>
    <x v="0"/>
    <n v="5.2571428571428598"/>
    <n v="1918.8571428571399"/>
    <n v="6907.8857142857096"/>
  </r>
  <r>
    <x v="0"/>
    <x v="0"/>
    <x v="0"/>
    <x v="0"/>
    <x v="0"/>
    <s v="DK1_NoDH"/>
    <x v="2"/>
    <x v="26"/>
    <x v="0"/>
    <x v="1"/>
    <n v="5.2571428571428598"/>
    <n v="1918.8571428571399"/>
    <n v="6907.8857142857096"/>
  </r>
  <r>
    <x v="0"/>
    <x v="0"/>
    <x v="0"/>
    <x v="0"/>
    <x v="0"/>
    <s v="DK1_NoDH"/>
    <x v="2"/>
    <x v="26"/>
    <x v="0"/>
    <x v="2"/>
    <n v="5.2571428571428598"/>
    <n v="1918.8571428571399"/>
    <n v="6907.8857142857096"/>
  </r>
  <r>
    <x v="0"/>
    <x v="0"/>
    <x v="0"/>
    <x v="0"/>
    <x v="0"/>
    <s v="DK1_NoDH"/>
    <x v="2"/>
    <x v="26"/>
    <x v="0"/>
    <x v="9"/>
    <n v="5.2571428571428598"/>
    <n v="1918.8571428571399"/>
    <n v="6907.8857142857096"/>
  </r>
  <r>
    <x v="0"/>
    <x v="0"/>
    <x v="0"/>
    <x v="0"/>
    <x v="0"/>
    <s v="DK1_NoDH"/>
    <x v="2"/>
    <x v="26"/>
    <x v="0"/>
    <x v="10"/>
    <n v="5.2571428571428598"/>
    <n v="1918.8571428571399"/>
    <n v="6907.8857142857096"/>
  </r>
  <r>
    <x v="0"/>
    <x v="0"/>
    <x v="0"/>
    <x v="0"/>
    <x v="0"/>
    <s v="DK1_NoDH"/>
    <x v="2"/>
    <x v="26"/>
    <x v="0"/>
    <x v="11"/>
    <n v="5.2571428571428598"/>
    <n v="1918.8571428571399"/>
    <n v="6907.8857142857096"/>
  </r>
  <r>
    <x v="0"/>
    <x v="0"/>
    <x v="0"/>
    <x v="0"/>
    <x v="0"/>
    <s v="DK1_NoDH"/>
    <x v="2"/>
    <x v="26"/>
    <x v="0"/>
    <x v="12"/>
    <n v="5.2571428571428598"/>
    <n v="1918.8571428571399"/>
    <n v="6907.8857142857096"/>
  </r>
  <r>
    <x v="0"/>
    <x v="0"/>
    <x v="0"/>
    <x v="0"/>
    <x v="0"/>
    <s v="DK1_NoDH"/>
    <x v="2"/>
    <x v="26"/>
    <x v="0"/>
    <x v="13"/>
    <n v="5.2571428571428598"/>
    <n v="1918.8571428571399"/>
    <n v="6907.8857142857096"/>
  </r>
  <r>
    <x v="0"/>
    <x v="0"/>
    <x v="0"/>
    <x v="0"/>
    <x v="0"/>
    <s v="DK1_NoDH"/>
    <x v="2"/>
    <x v="26"/>
    <x v="0"/>
    <x v="14"/>
    <n v="5.2571428571428598"/>
    <n v="1918.8571428571399"/>
    <n v="6907.8857142857096"/>
  </r>
  <r>
    <x v="0"/>
    <x v="0"/>
    <x v="0"/>
    <x v="0"/>
    <x v="0"/>
    <s v="DK1_NoDH"/>
    <x v="2"/>
    <x v="26"/>
    <x v="0"/>
    <x v="15"/>
    <n v="5.2571428571428598"/>
    <n v="1918.8571428571399"/>
    <n v="6907.8857142857096"/>
  </r>
  <r>
    <x v="0"/>
    <x v="0"/>
    <x v="0"/>
    <x v="0"/>
    <x v="0"/>
    <s v="DK1_NoDH"/>
    <x v="2"/>
    <x v="26"/>
    <x v="0"/>
    <x v="16"/>
    <n v="5.2571428571428598"/>
    <n v="1918.8571428571399"/>
    <n v="6907.8857142857096"/>
  </r>
  <r>
    <x v="0"/>
    <x v="0"/>
    <x v="0"/>
    <x v="0"/>
    <x v="0"/>
    <s v="DK1_NoDH"/>
    <x v="2"/>
    <x v="26"/>
    <x v="0"/>
    <x v="17"/>
    <n v="5.2571428571428598"/>
    <n v="1918.8571428571399"/>
    <n v="6907.8857142857096"/>
  </r>
  <r>
    <x v="0"/>
    <x v="0"/>
    <x v="0"/>
    <x v="0"/>
    <x v="0"/>
    <s v="DK1_NoDH"/>
    <x v="2"/>
    <x v="26"/>
    <x v="0"/>
    <x v="18"/>
    <n v="5.2571428571428598"/>
    <n v="1918.8571428571399"/>
    <n v="6907.8857142857096"/>
  </r>
  <r>
    <x v="0"/>
    <x v="0"/>
    <x v="0"/>
    <x v="0"/>
    <x v="0"/>
    <s v="DK1_NoDH"/>
    <x v="2"/>
    <x v="33"/>
    <x v="0"/>
    <x v="8"/>
    <n v="9.3611111111111107"/>
    <n v="3416.8055555555602"/>
    <n v="12300.5"/>
  </r>
  <r>
    <x v="0"/>
    <x v="0"/>
    <x v="0"/>
    <x v="0"/>
    <x v="0"/>
    <s v="DK1_NoDH"/>
    <x v="2"/>
    <x v="33"/>
    <x v="0"/>
    <x v="0"/>
    <n v="9.3611111111111107"/>
    <n v="3416.8055555555602"/>
    <n v="12300.5"/>
  </r>
  <r>
    <x v="0"/>
    <x v="0"/>
    <x v="0"/>
    <x v="0"/>
    <x v="0"/>
    <s v="DK1_NoDH"/>
    <x v="2"/>
    <x v="33"/>
    <x v="0"/>
    <x v="1"/>
    <n v="9.3611111111111107"/>
    <n v="3416.8055555555602"/>
    <n v="12300.5"/>
  </r>
  <r>
    <x v="0"/>
    <x v="0"/>
    <x v="0"/>
    <x v="0"/>
    <x v="0"/>
    <s v="DK1_NoDH"/>
    <x v="2"/>
    <x v="33"/>
    <x v="0"/>
    <x v="2"/>
    <n v="9.3611111111111107"/>
    <n v="3416.8055555555602"/>
    <n v="12300.5"/>
  </r>
  <r>
    <x v="0"/>
    <x v="0"/>
    <x v="0"/>
    <x v="0"/>
    <x v="0"/>
    <s v="DK1_NoDH"/>
    <x v="2"/>
    <x v="33"/>
    <x v="0"/>
    <x v="9"/>
    <n v="9.3611111111111107"/>
    <n v="3416.8055555555602"/>
    <n v="12300.5"/>
  </r>
  <r>
    <x v="0"/>
    <x v="0"/>
    <x v="0"/>
    <x v="0"/>
    <x v="0"/>
    <s v="DK1_NoDH"/>
    <x v="2"/>
    <x v="33"/>
    <x v="0"/>
    <x v="10"/>
    <n v="9.3611111111111107"/>
    <n v="3416.8055555555602"/>
    <n v="12300.5"/>
  </r>
  <r>
    <x v="0"/>
    <x v="0"/>
    <x v="0"/>
    <x v="0"/>
    <x v="0"/>
    <s v="DK1_NoDH"/>
    <x v="2"/>
    <x v="33"/>
    <x v="0"/>
    <x v="11"/>
    <n v="9.3611111111111107"/>
    <n v="3416.8055555555602"/>
    <n v="12300.5"/>
  </r>
  <r>
    <x v="0"/>
    <x v="0"/>
    <x v="0"/>
    <x v="0"/>
    <x v="0"/>
    <s v="DK1_NoDH"/>
    <x v="2"/>
    <x v="33"/>
    <x v="0"/>
    <x v="12"/>
    <n v="9.3611111111111107"/>
    <n v="3416.8055555555602"/>
    <n v="12300.5"/>
  </r>
  <r>
    <x v="0"/>
    <x v="0"/>
    <x v="0"/>
    <x v="0"/>
    <x v="0"/>
    <s v="DK1_NoDH"/>
    <x v="2"/>
    <x v="33"/>
    <x v="0"/>
    <x v="13"/>
    <n v="9.3611111111111107"/>
    <n v="3416.8055555555602"/>
    <n v="12300.5"/>
  </r>
  <r>
    <x v="0"/>
    <x v="0"/>
    <x v="0"/>
    <x v="0"/>
    <x v="0"/>
    <s v="DK1_NoDH"/>
    <x v="2"/>
    <x v="33"/>
    <x v="0"/>
    <x v="14"/>
    <n v="9.3611111111111107"/>
    <n v="3416.8055555555602"/>
    <n v="12300.5"/>
  </r>
  <r>
    <x v="0"/>
    <x v="0"/>
    <x v="0"/>
    <x v="0"/>
    <x v="0"/>
    <s v="DK1_NoDH"/>
    <x v="2"/>
    <x v="33"/>
    <x v="0"/>
    <x v="15"/>
    <n v="9.3611111111111107"/>
    <n v="3416.8055555555602"/>
    <n v="12300.5"/>
  </r>
  <r>
    <x v="0"/>
    <x v="0"/>
    <x v="0"/>
    <x v="0"/>
    <x v="0"/>
    <s v="DK1_NoDH"/>
    <x v="2"/>
    <x v="33"/>
    <x v="0"/>
    <x v="16"/>
    <n v="9.3611111111111107"/>
    <n v="3416.8055555555602"/>
    <n v="12300.5"/>
  </r>
  <r>
    <x v="0"/>
    <x v="0"/>
    <x v="0"/>
    <x v="0"/>
    <x v="0"/>
    <s v="DK1_NoDH"/>
    <x v="2"/>
    <x v="33"/>
    <x v="0"/>
    <x v="17"/>
    <n v="9.3611111111111107"/>
    <n v="3416.8055555555602"/>
    <n v="12300.5"/>
  </r>
  <r>
    <x v="0"/>
    <x v="0"/>
    <x v="0"/>
    <x v="0"/>
    <x v="0"/>
    <s v="DK1_NoDH"/>
    <x v="2"/>
    <x v="33"/>
    <x v="0"/>
    <x v="18"/>
    <n v="9.3611111111111107"/>
    <n v="3416.8055555555602"/>
    <n v="12300.5"/>
  </r>
  <r>
    <x v="0"/>
    <x v="0"/>
    <x v="0"/>
    <x v="0"/>
    <x v="0"/>
    <s v="DK1_NoDH"/>
    <x v="2"/>
    <x v="27"/>
    <x v="0"/>
    <x v="7"/>
    <n v="99.6216216216216"/>
    <n v="36361.891891891901"/>
    <n v="130902.810810811"/>
  </r>
  <r>
    <x v="0"/>
    <x v="0"/>
    <x v="0"/>
    <x v="0"/>
    <x v="0"/>
    <s v="DK1_NoDH"/>
    <x v="2"/>
    <x v="27"/>
    <x v="0"/>
    <x v="8"/>
    <n v="99.6216216216216"/>
    <n v="36361.891891891901"/>
    <n v="130902.810810811"/>
  </r>
  <r>
    <x v="0"/>
    <x v="0"/>
    <x v="0"/>
    <x v="0"/>
    <x v="0"/>
    <s v="DK1_NoDH"/>
    <x v="2"/>
    <x v="27"/>
    <x v="0"/>
    <x v="0"/>
    <n v="99.6216216216216"/>
    <n v="36361.891891891901"/>
    <n v="130902.810810811"/>
  </r>
  <r>
    <x v="0"/>
    <x v="0"/>
    <x v="0"/>
    <x v="0"/>
    <x v="0"/>
    <s v="DK1_NoDH"/>
    <x v="2"/>
    <x v="27"/>
    <x v="0"/>
    <x v="1"/>
    <n v="99.6216216216216"/>
    <n v="36361.891891891901"/>
    <n v="130902.810810811"/>
  </r>
  <r>
    <x v="0"/>
    <x v="0"/>
    <x v="0"/>
    <x v="0"/>
    <x v="0"/>
    <s v="DK1_NoDH"/>
    <x v="2"/>
    <x v="27"/>
    <x v="0"/>
    <x v="2"/>
    <n v="99.6216216216216"/>
    <n v="36361.891891891901"/>
    <n v="130902.810810811"/>
  </r>
  <r>
    <x v="0"/>
    <x v="0"/>
    <x v="0"/>
    <x v="0"/>
    <x v="0"/>
    <s v="DK1_NoDH"/>
    <x v="2"/>
    <x v="27"/>
    <x v="0"/>
    <x v="9"/>
    <n v="99.6216216216216"/>
    <n v="36361.891891891901"/>
    <n v="130902.810810811"/>
  </r>
  <r>
    <x v="0"/>
    <x v="0"/>
    <x v="0"/>
    <x v="0"/>
    <x v="0"/>
    <s v="DK1_NoDH"/>
    <x v="2"/>
    <x v="27"/>
    <x v="0"/>
    <x v="10"/>
    <n v="99.6216216216216"/>
    <n v="36361.891891891901"/>
    <n v="130902.810810811"/>
  </r>
  <r>
    <x v="0"/>
    <x v="0"/>
    <x v="0"/>
    <x v="0"/>
    <x v="0"/>
    <s v="DK1_NoDH"/>
    <x v="2"/>
    <x v="27"/>
    <x v="0"/>
    <x v="11"/>
    <n v="99.6216216216216"/>
    <n v="36361.891891891901"/>
    <n v="130902.810810811"/>
  </r>
  <r>
    <x v="0"/>
    <x v="0"/>
    <x v="0"/>
    <x v="0"/>
    <x v="0"/>
    <s v="DK1_NoDH"/>
    <x v="2"/>
    <x v="27"/>
    <x v="0"/>
    <x v="12"/>
    <n v="99.6216216216216"/>
    <n v="36361.891891891901"/>
    <n v="130902.810810811"/>
  </r>
  <r>
    <x v="0"/>
    <x v="0"/>
    <x v="0"/>
    <x v="0"/>
    <x v="0"/>
    <s v="DK1_NoDH"/>
    <x v="2"/>
    <x v="27"/>
    <x v="0"/>
    <x v="13"/>
    <n v="99.6216216216216"/>
    <n v="36361.891891891901"/>
    <n v="130902.810810811"/>
  </r>
  <r>
    <x v="0"/>
    <x v="0"/>
    <x v="0"/>
    <x v="0"/>
    <x v="0"/>
    <s v="DK1_NoDH"/>
    <x v="2"/>
    <x v="27"/>
    <x v="0"/>
    <x v="14"/>
    <n v="99.6216216216216"/>
    <n v="36361.891891891901"/>
    <n v="130902.810810811"/>
  </r>
  <r>
    <x v="0"/>
    <x v="0"/>
    <x v="0"/>
    <x v="0"/>
    <x v="0"/>
    <s v="DK1_NoDH"/>
    <x v="2"/>
    <x v="27"/>
    <x v="0"/>
    <x v="15"/>
    <n v="99.6216216216216"/>
    <n v="36361.891891891901"/>
    <n v="130902.810810811"/>
  </r>
  <r>
    <x v="0"/>
    <x v="0"/>
    <x v="0"/>
    <x v="0"/>
    <x v="0"/>
    <s v="DK1_NoDH"/>
    <x v="2"/>
    <x v="27"/>
    <x v="0"/>
    <x v="16"/>
    <n v="99.6216216216216"/>
    <n v="36361.891891891901"/>
    <n v="130902.810810811"/>
  </r>
  <r>
    <x v="0"/>
    <x v="0"/>
    <x v="0"/>
    <x v="0"/>
    <x v="0"/>
    <s v="DK1_NoDH"/>
    <x v="2"/>
    <x v="27"/>
    <x v="0"/>
    <x v="17"/>
    <n v="99.6216216216216"/>
    <n v="36361.891891891901"/>
    <n v="130902.810810811"/>
  </r>
  <r>
    <x v="0"/>
    <x v="0"/>
    <x v="0"/>
    <x v="0"/>
    <x v="0"/>
    <s v="DK1_NoDH"/>
    <x v="2"/>
    <x v="27"/>
    <x v="0"/>
    <x v="18"/>
    <n v="99.6216216216216"/>
    <n v="36361.891891891901"/>
    <n v="130902.810810811"/>
  </r>
  <r>
    <x v="0"/>
    <x v="0"/>
    <x v="0"/>
    <x v="0"/>
    <x v="0"/>
    <s v="DK1_NoDH"/>
    <x v="2"/>
    <x v="8"/>
    <x v="0"/>
    <x v="3"/>
    <n v="32.526315789473699"/>
    <n v="11872.1052631579"/>
    <n v="42739.578947368398"/>
  </r>
  <r>
    <x v="0"/>
    <x v="0"/>
    <x v="0"/>
    <x v="0"/>
    <x v="0"/>
    <s v="DK1_NoDH"/>
    <x v="2"/>
    <x v="8"/>
    <x v="0"/>
    <x v="4"/>
    <n v="32.526315789473699"/>
    <n v="11872.1052631579"/>
    <n v="42739.578947368398"/>
  </r>
  <r>
    <x v="0"/>
    <x v="0"/>
    <x v="0"/>
    <x v="0"/>
    <x v="0"/>
    <s v="DK1_NoDH"/>
    <x v="2"/>
    <x v="8"/>
    <x v="0"/>
    <x v="5"/>
    <n v="32.526315789473699"/>
    <n v="11872.1052631579"/>
    <n v="42739.578947368398"/>
  </r>
  <r>
    <x v="0"/>
    <x v="0"/>
    <x v="0"/>
    <x v="0"/>
    <x v="0"/>
    <s v="DK1_NoDH"/>
    <x v="2"/>
    <x v="8"/>
    <x v="0"/>
    <x v="6"/>
    <n v="32.526315789473699"/>
    <n v="11872.1052631579"/>
    <n v="42739.578947368398"/>
  </r>
  <r>
    <x v="0"/>
    <x v="0"/>
    <x v="0"/>
    <x v="0"/>
    <x v="0"/>
    <s v="DK1_NoDH"/>
    <x v="2"/>
    <x v="8"/>
    <x v="0"/>
    <x v="7"/>
    <n v="32.526315789473699"/>
    <n v="11872.1052631579"/>
    <n v="42739.578947368398"/>
  </r>
  <r>
    <x v="0"/>
    <x v="0"/>
    <x v="0"/>
    <x v="0"/>
    <x v="0"/>
    <s v="DK1_NoDH"/>
    <x v="2"/>
    <x v="8"/>
    <x v="0"/>
    <x v="8"/>
    <n v="32.526315789473699"/>
    <n v="11872.1052631579"/>
    <n v="42739.578947368398"/>
  </r>
  <r>
    <x v="0"/>
    <x v="0"/>
    <x v="0"/>
    <x v="0"/>
    <x v="0"/>
    <s v="DK1_NoDH"/>
    <x v="2"/>
    <x v="8"/>
    <x v="0"/>
    <x v="0"/>
    <n v="32.526315789473699"/>
    <n v="11872.1052631579"/>
    <n v="42739.578947368398"/>
  </r>
  <r>
    <x v="0"/>
    <x v="0"/>
    <x v="0"/>
    <x v="0"/>
    <x v="0"/>
    <s v="DK1_NoDH"/>
    <x v="2"/>
    <x v="8"/>
    <x v="0"/>
    <x v="1"/>
    <n v="32.526315789473699"/>
    <n v="11872.1052631579"/>
    <n v="42739.578947368398"/>
  </r>
  <r>
    <x v="0"/>
    <x v="0"/>
    <x v="0"/>
    <x v="0"/>
    <x v="0"/>
    <s v="DK1_NoDH"/>
    <x v="2"/>
    <x v="8"/>
    <x v="0"/>
    <x v="2"/>
    <n v="32.526315789473699"/>
    <n v="11872.1052631579"/>
    <n v="42739.578947368398"/>
  </r>
  <r>
    <x v="0"/>
    <x v="0"/>
    <x v="0"/>
    <x v="0"/>
    <x v="0"/>
    <s v="DK1_NoDH"/>
    <x v="2"/>
    <x v="8"/>
    <x v="0"/>
    <x v="9"/>
    <n v="32.526315789473699"/>
    <n v="11872.1052631579"/>
    <n v="42739.578947368398"/>
  </r>
  <r>
    <x v="0"/>
    <x v="0"/>
    <x v="0"/>
    <x v="0"/>
    <x v="0"/>
    <s v="DK1_NoDH"/>
    <x v="2"/>
    <x v="8"/>
    <x v="0"/>
    <x v="10"/>
    <n v="32.526315789473699"/>
    <n v="11872.1052631579"/>
    <n v="42739.578947368398"/>
  </r>
  <r>
    <x v="0"/>
    <x v="0"/>
    <x v="0"/>
    <x v="0"/>
    <x v="0"/>
    <s v="DK1_NoDH"/>
    <x v="2"/>
    <x v="8"/>
    <x v="0"/>
    <x v="11"/>
    <n v="32.526315789473699"/>
    <n v="11872.1052631579"/>
    <n v="42739.578947368398"/>
  </r>
  <r>
    <x v="0"/>
    <x v="0"/>
    <x v="0"/>
    <x v="0"/>
    <x v="0"/>
    <s v="DK1_NoDH"/>
    <x v="2"/>
    <x v="8"/>
    <x v="0"/>
    <x v="12"/>
    <n v="32.526315789473699"/>
    <n v="11872.1052631579"/>
    <n v="42739.578947368398"/>
  </r>
  <r>
    <x v="0"/>
    <x v="0"/>
    <x v="0"/>
    <x v="0"/>
    <x v="0"/>
    <s v="DK1_NoDH"/>
    <x v="2"/>
    <x v="8"/>
    <x v="0"/>
    <x v="13"/>
    <n v="32.526315789473699"/>
    <n v="11872.1052631579"/>
    <n v="42739.578947368398"/>
  </r>
  <r>
    <x v="0"/>
    <x v="0"/>
    <x v="0"/>
    <x v="0"/>
    <x v="0"/>
    <s v="DK1_NoDH"/>
    <x v="2"/>
    <x v="8"/>
    <x v="0"/>
    <x v="14"/>
    <n v="32.526315789473699"/>
    <n v="11872.1052631579"/>
    <n v="42739.578947368398"/>
  </r>
  <r>
    <x v="0"/>
    <x v="0"/>
    <x v="0"/>
    <x v="0"/>
    <x v="0"/>
    <s v="DK1_NoDH"/>
    <x v="2"/>
    <x v="8"/>
    <x v="0"/>
    <x v="15"/>
    <n v="32.526315789473699"/>
    <n v="11872.1052631579"/>
    <n v="42739.578947368398"/>
  </r>
  <r>
    <x v="0"/>
    <x v="0"/>
    <x v="0"/>
    <x v="0"/>
    <x v="0"/>
    <s v="DK1_NoDH"/>
    <x v="2"/>
    <x v="8"/>
    <x v="0"/>
    <x v="16"/>
    <n v="32.526315789473699"/>
    <n v="11872.1052631579"/>
    <n v="42739.578947368398"/>
  </r>
  <r>
    <x v="0"/>
    <x v="0"/>
    <x v="0"/>
    <x v="0"/>
    <x v="0"/>
    <s v="DK1_NoDH"/>
    <x v="2"/>
    <x v="8"/>
    <x v="0"/>
    <x v="17"/>
    <n v="32.526315789473699"/>
    <n v="11872.1052631579"/>
    <n v="42739.578947368398"/>
  </r>
  <r>
    <x v="0"/>
    <x v="0"/>
    <x v="0"/>
    <x v="0"/>
    <x v="0"/>
    <s v="DK1_NoDH"/>
    <x v="2"/>
    <x v="8"/>
    <x v="0"/>
    <x v="18"/>
    <n v="32.526315789473699"/>
    <n v="11872.1052631579"/>
    <n v="42739.578947368398"/>
  </r>
  <r>
    <x v="0"/>
    <x v="0"/>
    <x v="0"/>
    <x v="0"/>
    <x v="0"/>
    <s v="DK1_NoDH"/>
    <x v="2"/>
    <x v="8"/>
    <x v="0"/>
    <x v="19"/>
    <n v="32.526315789473699"/>
    <n v="11872.1052631579"/>
    <n v="42739.578947368398"/>
  </r>
  <r>
    <x v="0"/>
    <x v="0"/>
    <x v="0"/>
    <x v="0"/>
    <x v="0"/>
    <s v="DK1_NoDH"/>
    <x v="2"/>
    <x v="9"/>
    <x v="0"/>
    <x v="3"/>
    <n v="29.051282051282101"/>
    <n v="10603.717948718"/>
    <n v="38173.384615384603"/>
  </r>
  <r>
    <x v="0"/>
    <x v="0"/>
    <x v="0"/>
    <x v="0"/>
    <x v="0"/>
    <s v="DK1_NoDH"/>
    <x v="2"/>
    <x v="9"/>
    <x v="0"/>
    <x v="4"/>
    <n v="29.051282051282101"/>
    <n v="10603.717948718"/>
    <n v="38173.384615384603"/>
  </r>
  <r>
    <x v="0"/>
    <x v="0"/>
    <x v="0"/>
    <x v="0"/>
    <x v="0"/>
    <s v="DK1_NoDH"/>
    <x v="2"/>
    <x v="9"/>
    <x v="0"/>
    <x v="5"/>
    <n v="29.051282051282101"/>
    <n v="10603.717948718"/>
    <n v="38173.384615384603"/>
  </r>
  <r>
    <x v="0"/>
    <x v="0"/>
    <x v="0"/>
    <x v="0"/>
    <x v="0"/>
    <s v="DK1_NoDH"/>
    <x v="2"/>
    <x v="9"/>
    <x v="0"/>
    <x v="6"/>
    <n v="29.051282051282101"/>
    <n v="10603.717948718"/>
    <n v="38173.384615384603"/>
  </r>
  <r>
    <x v="0"/>
    <x v="0"/>
    <x v="0"/>
    <x v="0"/>
    <x v="0"/>
    <s v="DK1_NoDH"/>
    <x v="2"/>
    <x v="9"/>
    <x v="0"/>
    <x v="7"/>
    <n v="29.051282051282101"/>
    <n v="10603.717948718"/>
    <n v="38173.384615384603"/>
  </r>
  <r>
    <x v="0"/>
    <x v="0"/>
    <x v="0"/>
    <x v="0"/>
    <x v="0"/>
    <s v="DK1_NoDH"/>
    <x v="2"/>
    <x v="9"/>
    <x v="0"/>
    <x v="8"/>
    <n v="29.051282051282101"/>
    <n v="10603.717948718"/>
    <n v="38173.384615384603"/>
  </r>
  <r>
    <x v="0"/>
    <x v="0"/>
    <x v="0"/>
    <x v="0"/>
    <x v="0"/>
    <s v="DK1_NoDH"/>
    <x v="2"/>
    <x v="9"/>
    <x v="0"/>
    <x v="0"/>
    <n v="29.051282051282101"/>
    <n v="10603.717948718"/>
    <n v="38173.384615384603"/>
  </r>
  <r>
    <x v="0"/>
    <x v="0"/>
    <x v="0"/>
    <x v="0"/>
    <x v="0"/>
    <s v="DK1_NoDH"/>
    <x v="2"/>
    <x v="9"/>
    <x v="0"/>
    <x v="1"/>
    <n v="29.051282051282101"/>
    <n v="10603.717948718"/>
    <n v="38173.384615384603"/>
  </r>
  <r>
    <x v="0"/>
    <x v="0"/>
    <x v="0"/>
    <x v="0"/>
    <x v="0"/>
    <s v="DK1_NoDH"/>
    <x v="2"/>
    <x v="9"/>
    <x v="0"/>
    <x v="2"/>
    <n v="29.051282051282101"/>
    <n v="10603.717948718"/>
    <n v="38173.384615384603"/>
  </r>
  <r>
    <x v="0"/>
    <x v="0"/>
    <x v="0"/>
    <x v="0"/>
    <x v="0"/>
    <s v="DK1_NoDH"/>
    <x v="2"/>
    <x v="9"/>
    <x v="0"/>
    <x v="9"/>
    <n v="29.051282051282101"/>
    <n v="10603.717948718"/>
    <n v="38173.384615384603"/>
  </r>
  <r>
    <x v="0"/>
    <x v="0"/>
    <x v="0"/>
    <x v="0"/>
    <x v="0"/>
    <s v="DK1_NoDH"/>
    <x v="2"/>
    <x v="9"/>
    <x v="0"/>
    <x v="10"/>
    <n v="29.051282051282101"/>
    <n v="10603.717948718"/>
    <n v="38173.384615384603"/>
  </r>
  <r>
    <x v="0"/>
    <x v="0"/>
    <x v="0"/>
    <x v="0"/>
    <x v="0"/>
    <s v="DK1_NoDH"/>
    <x v="2"/>
    <x v="9"/>
    <x v="0"/>
    <x v="11"/>
    <n v="29.051282051282101"/>
    <n v="10603.717948718"/>
    <n v="38173.384615384603"/>
  </r>
  <r>
    <x v="0"/>
    <x v="0"/>
    <x v="0"/>
    <x v="0"/>
    <x v="0"/>
    <s v="DK1_NoDH"/>
    <x v="2"/>
    <x v="9"/>
    <x v="0"/>
    <x v="12"/>
    <n v="29.051282051282101"/>
    <n v="10603.717948718"/>
    <n v="38173.384615384603"/>
  </r>
  <r>
    <x v="0"/>
    <x v="0"/>
    <x v="0"/>
    <x v="0"/>
    <x v="0"/>
    <s v="DK1_NoDH"/>
    <x v="2"/>
    <x v="9"/>
    <x v="0"/>
    <x v="13"/>
    <n v="29.051282051282101"/>
    <n v="10603.717948718"/>
    <n v="38173.384615384603"/>
  </r>
  <r>
    <x v="0"/>
    <x v="0"/>
    <x v="0"/>
    <x v="0"/>
    <x v="0"/>
    <s v="DK1_NoDH"/>
    <x v="2"/>
    <x v="9"/>
    <x v="0"/>
    <x v="14"/>
    <n v="29.051282051282101"/>
    <n v="10603.717948718"/>
    <n v="38173.384615384603"/>
  </r>
  <r>
    <x v="0"/>
    <x v="0"/>
    <x v="0"/>
    <x v="0"/>
    <x v="0"/>
    <s v="DK1_NoDH"/>
    <x v="2"/>
    <x v="9"/>
    <x v="0"/>
    <x v="15"/>
    <n v="29.051282051282101"/>
    <n v="10603.717948718"/>
    <n v="38173.384615384603"/>
  </r>
  <r>
    <x v="0"/>
    <x v="0"/>
    <x v="0"/>
    <x v="0"/>
    <x v="0"/>
    <s v="DK1_NoDH"/>
    <x v="2"/>
    <x v="9"/>
    <x v="0"/>
    <x v="16"/>
    <n v="29.051282051282101"/>
    <n v="10603.717948718"/>
    <n v="38173.384615384603"/>
  </r>
  <r>
    <x v="0"/>
    <x v="0"/>
    <x v="0"/>
    <x v="0"/>
    <x v="0"/>
    <s v="DK1_NoDH"/>
    <x v="2"/>
    <x v="9"/>
    <x v="0"/>
    <x v="17"/>
    <n v="29.051282051282101"/>
    <n v="10603.717948718"/>
    <n v="38173.384615384603"/>
  </r>
  <r>
    <x v="0"/>
    <x v="0"/>
    <x v="0"/>
    <x v="0"/>
    <x v="0"/>
    <s v="DK1_NoDH"/>
    <x v="2"/>
    <x v="9"/>
    <x v="0"/>
    <x v="18"/>
    <n v="29.051282051282101"/>
    <n v="10603.717948718"/>
    <n v="38173.384615384603"/>
  </r>
  <r>
    <x v="0"/>
    <x v="0"/>
    <x v="0"/>
    <x v="0"/>
    <x v="0"/>
    <s v="DK1_NoDH"/>
    <x v="2"/>
    <x v="9"/>
    <x v="0"/>
    <x v="19"/>
    <n v="29.051282051282101"/>
    <n v="10603.717948718"/>
    <n v="38173.384615384603"/>
  </r>
  <r>
    <x v="0"/>
    <x v="0"/>
    <x v="0"/>
    <x v="0"/>
    <x v="0"/>
    <s v="DK1_NoDH"/>
    <x v="2"/>
    <x v="9"/>
    <x v="0"/>
    <x v="20"/>
    <n v="29.051282051282101"/>
    <n v="10603.717948718"/>
    <n v="38173.384615384603"/>
  </r>
  <r>
    <x v="0"/>
    <x v="0"/>
    <x v="0"/>
    <x v="0"/>
    <x v="0"/>
    <s v="DK1_NoDH"/>
    <x v="2"/>
    <x v="10"/>
    <x v="0"/>
    <x v="3"/>
    <n v="7.05"/>
    <n v="2573.25"/>
    <n v="9263.6999999999898"/>
  </r>
  <r>
    <x v="0"/>
    <x v="0"/>
    <x v="0"/>
    <x v="0"/>
    <x v="0"/>
    <s v="DK1_NoDH"/>
    <x v="2"/>
    <x v="10"/>
    <x v="0"/>
    <x v="4"/>
    <n v="7.05"/>
    <n v="2573.25"/>
    <n v="9263.6999999999898"/>
  </r>
  <r>
    <x v="0"/>
    <x v="0"/>
    <x v="0"/>
    <x v="0"/>
    <x v="0"/>
    <s v="DK1_NoDH"/>
    <x v="2"/>
    <x v="10"/>
    <x v="0"/>
    <x v="5"/>
    <n v="7.05"/>
    <n v="2573.25"/>
    <n v="9263.6999999999898"/>
  </r>
  <r>
    <x v="0"/>
    <x v="0"/>
    <x v="0"/>
    <x v="0"/>
    <x v="0"/>
    <s v="DK1_NoDH"/>
    <x v="2"/>
    <x v="10"/>
    <x v="0"/>
    <x v="6"/>
    <n v="7.05"/>
    <n v="2573.25"/>
    <n v="9263.6999999999898"/>
  </r>
  <r>
    <x v="0"/>
    <x v="0"/>
    <x v="0"/>
    <x v="0"/>
    <x v="0"/>
    <s v="DK1_NoDH"/>
    <x v="2"/>
    <x v="10"/>
    <x v="0"/>
    <x v="7"/>
    <n v="7.05"/>
    <n v="2573.25"/>
    <n v="9263.6999999999898"/>
  </r>
  <r>
    <x v="0"/>
    <x v="0"/>
    <x v="0"/>
    <x v="0"/>
    <x v="0"/>
    <s v="DK1_NoDH"/>
    <x v="2"/>
    <x v="10"/>
    <x v="0"/>
    <x v="8"/>
    <n v="7.05"/>
    <n v="2573.25"/>
    <n v="9263.6999999999898"/>
  </r>
  <r>
    <x v="0"/>
    <x v="0"/>
    <x v="0"/>
    <x v="0"/>
    <x v="0"/>
    <s v="DK1_NoDH"/>
    <x v="2"/>
    <x v="10"/>
    <x v="0"/>
    <x v="0"/>
    <n v="7.05"/>
    <n v="2573.25"/>
    <n v="9263.6999999999898"/>
  </r>
  <r>
    <x v="0"/>
    <x v="0"/>
    <x v="0"/>
    <x v="0"/>
    <x v="0"/>
    <s v="DK1_NoDH"/>
    <x v="2"/>
    <x v="10"/>
    <x v="0"/>
    <x v="1"/>
    <n v="7.05"/>
    <n v="2573.25"/>
    <n v="9263.6999999999898"/>
  </r>
  <r>
    <x v="0"/>
    <x v="0"/>
    <x v="0"/>
    <x v="0"/>
    <x v="0"/>
    <s v="DK1_NoDH"/>
    <x v="2"/>
    <x v="10"/>
    <x v="0"/>
    <x v="2"/>
    <n v="7.05"/>
    <n v="2573.25"/>
    <n v="9263.6999999999898"/>
  </r>
  <r>
    <x v="0"/>
    <x v="0"/>
    <x v="0"/>
    <x v="0"/>
    <x v="0"/>
    <s v="DK1_NoDH"/>
    <x v="2"/>
    <x v="10"/>
    <x v="0"/>
    <x v="9"/>
    <n v="7.05"/>
    <n v="2573.25"/>
    <n v="9263.6999999999898"/>
  </r>
  <r>
    <x v="0"/>
    <x v="0"/>
    <x v="0"/>
    <x v="0"/>
    <x v="0"/>
    <s v="DK1_NoDH"/>
    <x v="2"/>
    <x v="10"/>
    <x v="0"/>
    <x v="10"/>
    <n v="7.05"/>
    <n v="2573.25"/>
    <n v="9263.6999999999898"/>
  </r>
  <r>
    <x v="0"/>
    <x v="0"/>
    <x v="0"/>
    <x v="0"/>
    <x v="0"/>
    <s v="DK1_NoDH"/>
    <x v="2"/>
    <x v="10"/>
    <x v="0"/>
    <x v="11"/>
    <n v="7.05"/>
    <n v="2573.25"/>
    <n v="9263.6999999999898"/>
  </r>
  <r>
    <x v="0"/>
    <x v="0"/>
    <x v="0"/>
    <x v="0"/>
    <x v="0"/>
    <s v="DK1_NoDH"/>
    <x v="2"/>
    <x v="10"/>
    <x v="0"/>
    <x v="12"/>
    <n v="7.05"/>
    <n v="2573.25"/>
    <n v="9263.6999999999898"/>
  </r>
  <r>
    <x v="0"/>
    <x v="0"/>
    <x v="0"/>
    <x v="0"/>
    <x v="0"/>
    <s v="DK1_NoDH"/>
    <x v="2"/>
    <x v="10"/>
    <x v="0"/>
    <x v="13"/>
    <n v="7.05"/>
    <n v="2573.25"/>
    <n v="9263.6999999999898"/>
  </r>
  <r>
    <x v="0"/>
    <x v="0"/>
    <x v="0"/>
    <x v="0"/>
    <x v="0"/>
    <s v="DK1_NoDH"/>
    <x v="2"/>
    <x v="10"/>
    <x v="0"/>
    <x v="14"/>
    <n v="7.05"/>
    <n v="2573.25"/>
    <n v="9263.6999999999898"/>
  </r>
  <r>
    <x v="0"/>
    <x v="0"/>
    <x v="0"/>
    <x v="0"/>
    <x v="0"/>
    <s v="DK1_NoDH"/>
    <x v="2"/>
    <x v="10"/>
    <x v="0"/>
    <x v="15"/>
    <n v="7.05"/>
    <n v="2573.25"/>
    <n v="9263.6999999999898"/>
  </r>
  <r>
    <x v="0"/>
    <x v="0"/>
    <x v="0"/>
    <x v="0"/>
    <x v="0"/>
    <s v="DK1_NoDH"/>
    <x v="2"/>
    <x v="10"/>
    <x v="0"/>
    <x v="16"/>
    <n v="7.05"/>
    <n v="2573.25"/>
    <n v="9263.6999999999898"/>
  </r>
  <r>
    <x v="0"/>
    <x v="0"/>
    <x v="0"/>
    <x v="0"/>
    <x v="0"/>
    <s v="DK1_NoDH"/>
    <x v="2"/>
    <x v="10"/>
    <x v="0"/>
    <x v="17"/>
    <n v="7.05"/>
    <n v="2573.25"/>
    <n v="9263.6999999999898"/>
  </r>
  <r>
    <x v="0"/>
    <x v="0"/>
    <x v="0"/>
    <x v="0"/>
    <x v="0"/>
    <s v="DK1_NoDH"/>
    <x v="2"/>
    <x v="10"/>
    <x v="0"/>
    <x v="18"/>
    <n v="7.05"/>
    <n v="2573.25"/>
    <n v="9263.6999999999898"/>
  </r>
  <r>
    <x v="0"/>
    <x v="0"/>
    <x v="0"/>
    <x v="0"/>
    <x v="0"/>
    <s v="DK1_NoDH"/>
    <x v="2"/>
    <x v="10"/>
    <x v="0"/>
    <x v="19"/>
    <n v="7.05"/>
    <n v="2573.25"/>
    <n v="9263.6999999999898"/>
  </r>
  <r>
    <x v="0"/>
    <x v="0"/>
    <x v="0"/>
    <x v="0"/>
    <x v="0"/>
    <s v="DK1_NoDH"/>
    <x v="2"/>
    <x v="10"/>
    <x v="0"/>
    <x v="20"/>
    <n v="7.05"/>
    <n v="2573.25"/>
    <n v="9263.6999999999898"/>
  </r>
  <r>
    <x v="0"/>
    <x v="0"/>
    <x v="0"/>
    <x v="0"/>
    <x v="0"/>
    <s v="DK1_NoDH"/>
    <x v="2"/>
    <x v="10"/>
    <x v="0"/>
    <x v="21"/>
    <n v="7.05"/>
    <n v="2573.25"/>
    <n v="9263.6999999999898"/>
  </r>
  <r>
    <x v="0"/>
    <x v="0"/>
    <x v="0"/>
    <x v="0"/>
    <x v="0"/>
    <s v="DK1_NoDH"/>
    <x v="2"/>
    <x v="10"/>
    <x v="0"/>
    <x v="22"/>
    <n v="7.05"/>
    <n v="2573.25"/>
    <n v="9263.6999999999898"/>
  </r>
  <r>
    <x v="0"/>
    <x v="0"/>
    <x v="0"/>
    <x v="0"/>
    <x v="0"/>
    <s v="DK1_NoDH"/>
    <x v="2"/>
    <x v="11"/>
    <x v="0"/>
    <x v="3"/>
    <n v="19.292682926829301"/>
    <n v="7041.8292682926904"/>
    <n v="25350.585365853702"/>
  </r>
  <r>
    <x v="0"/>
    <x v="0"/>
    <x v="0"/>
    <x v="0"/>
    <x v="0"/>
    <s v="DK1_NoDH"/>
    <x v="2"/>
    <x v="11"/>
    <x v="0"/>
    <x v="4"/>
    <n v="19.292682926829301"/>
    <n v="7041.8292682926904"/>
    <n v="25350.585365853702"/>
  </r>
  <r>
    <x v="0"/>
    <x v="0"/>
    <x v="0"/>
    <x v="0"/>
    <x v="0"/>
    <s v="DK1_NoDH"/>
    <x v="2"/>
    <x v="11"/>
    <x v="0"/>
    <x v="5"/>
    <n v="19.292682926829301"/>
    <n v="7041.8292682926904"/>
    <n v="25350.585365853702"/>
  </r>
  <r>
    <x v="0"/>
    <x v="0"/>
    <x v="0"/>
    <x v="0"/>
    <x v="0"/>
    <s v="DK1_NoDH"/>
    <x v="2"/>
    <x v="11"/>
    <x v="0"/>
    <x v="6"/>
    <n v="19.292682926829301"/>
    <n v="7041.8292682926904"/>
    <n v="25350.585365853702"/>
  </r>
  <r>
    <x v="0"/>
    <x v="0"/>
    <x v="0"/>
    <x v="0"/>
    <x v="0"/>
    <s v="DK1_NoDH"/>
    <x v="2"/>
    <x v="11"/>
    <x v="0"/>
    <x v="7"/>
    <n v="19.292682926829301"/>
    <n v="7041.8292682926904"/>
    <n v="25350.585365853702"/>
  </r>
  <r>
    <x v="0"/>
    <x v="0"/>
    <x v="0"/>
    <x v="0"/>
    <x v="0"/>
    <s v="DK1_NoDH"/>
    <x v="2"/>
    <x v="11"/>
    <x v="0"/>
    <x v="8"/>
    <n v="19.292682926829301"/>
    <n v="7041.8292682926904"/>
    <n v="25350.585365853702"/>
  </r>
  <r>
    <x v="0"/>
    <x v="0"/>
    <x v="0"/>
    <x v="0"/>
    <x v="0"/>
    <s v="DK1_NoDH"/>
    <x v="2"/>
    <x v="11"/>
    <x v="0"/>
    <x v="0"/>
    <n v="19.292682926829301"/>
    <n v="7041.8292682926904"/>
    <n v="25350.585365853702"/>
  </r>
  <r>
    <x v="0"/>
    <x v="0"/>
    <x v="0"/>
    <x v="0"/>
    <x v="0"/>
    <s v="DK1_NoDH"/>
    <x v="2"/>
    <x v="11"/>
    <x v="0"/>
    <x v="1"/>
    <n v="19.292682926829301"/>
    <n v="7041.8292682926904"/>
    <n v="25350.585365853702"/>
  </r>
  <r>
    <x v="0"/>
    <x v="0"/>
    <x v="0"/>
    <x v="0"/>
    <x v="0"/>
    <s v="DK1_NoDH"/>
    <x v="2"/>
    <x v="11"/>
    <x v="0"/>
    <x v="2"/>
    <n v="19.292682926829301"/>
    <n v="7041.8292682926904"/>
    <n v="25350.585365853702"/>
  </r>
  <r>
    <x v="0"/>
    <x v="0"/>
    <x v="0"/>
    <x v="0"/>
    <x v="0"/>
    <s v="DK1_NoDH"/>
    <x v="2"/>
    <x v="11"/>
    <x v="0"/>
    <x v="9"/>
    <n v="19.292682926829301"/>
    <n v="7041.8292682926904"/>
    <n v="25350.585365853702"/>
  </r>
  <r>
    <x v="0"/>
    <x v="0"/>
    <x v="0"/>
    <x v="0"/>
    <x v="0"/>
    <s v="DK1_NoDH"/>
    <x v="2"/>
    <x v="11"/>
    <x v="0"/>
    <x v="10"/>
    <n v="19.292682926829301"/>
    <n v="7041.8292682926904"/>
    <n v="25350.585365853702"/>
  </r>
  <r>
    <x v="0"/>
    <x v="0"/>
    <x v="0"/>
    <x v="0"/>
    <x v="0"/>
    <s v="DK1_NoDH"/>
    <x v="2"/>
    <x v="11"/>
    <x v="0"/>
    <x v="11"/>
    <n v="19.292682926829301"/>
    <n v="7041.8292682926904"/>
    <n v="25350.585365853702"/>
  </r>
  <r>
    <x v="0"/>
    <x v="0"/>
    <x v="0"/>
    <x v="0"/>
    <x v="0"/>
    <s v="DK1_NoDH"/>
    <x v="2"/>
    <x v="11"/>
    <x v="0"/>
    <x v="12"/>
    <n v="19.292682926829301"/>
    <n v="7041.8292682926904"/>
    <n v="25350.585365853702"/>
  </r>
  <r>
    <x v="0"/>
    <x v="0"/>
    <x v="0"/>
    <x v="0"/>
    <x v="0"/>
    <s v="DK1_NoDH"/>
    <x v="2"/>
    <x v="11"/>
    <x v="0"/>
    <x v="13"/>
    <n v="19.292682926829301"/>
    <n v="7041.8292682926904"/>
    <n v="25350.585365853702"/>
  </r>
  <r>
    <x v="0"/>
    <x v="0"/>
    <x v="0"/>
    <x v="0"/>
    <x v="0"/>
    <s v="DK1_NoDH"/>
    <x v="2"/>
    <x v="11"/>
    <x v="0"/>
    <x v="14"/>
    <n v="19.292682926829301"/>
    <n v="7041.8292682926904"/>
    <n v="25350.585365853702"/>
  </r>
  <r>
    <x v="0"/>
    <x v="0"/>
    <x v="0"/>
    <x v="0"/>
    <x v="0"/>
    <s v="DK1_NoDH"/>
    <x v="2"/>
    <x v="11"/>
    <x v="0"/>
    <x v="15"/>
    <n v="19.292682926829301"/>
    <n v="7041.8292682926904"/>
    <n v="25350.585365853702"/>
  </r>
  <r>
    <x v="0"/>
    <x v="0"/>
    <x v="0"/>
    <x v="0"/>
    <x v="0"/>
    <s v="DK1_NoDH"/>
    <x v="2"/>
    <x v="11"/>
    <x v="0"/>
    <x v="16"/>
    <n v="19.292682926829301"/>
    <n v="7041.8292682926904"/>
    <n v="25350.585365853702"/>
  </r>
  <r>
    <x v="0"/>
    <x v="0"/>
    <x v="0"/>
    <x v="0"/>
    <x v="0"/>
    <s v="DK1_NoDH"/>
    <x v="2"/>
    <x v="11"/>
    <x v="0"/>
    <x v="17"/>
    <n v="19.292682926829301"/>
    <n v="7041.8292682926904"/>
    <n v="25350.585365853702"/>
  </r>
  <r>
    <x v="0"/>
    <x v="0"/>
    <x v="0"/>
    <x v="0"/>
    <x v="0"/>
    <s v="DK1_NoDH"/>
    <x v="2"/>
    <x v="11"/>
    <x v="0"/>
    <x v="18"/>
    <n v="19.292682926829301"/>
    <n v="7041.8292682926904"/>
    <n v="25350.585365853702"/>
  </r>
  <r>
    <x v="0"/>
    <x v="0"/>
    <x v="0"/>
    <x v="0"/>
    <x v="0"/>
    <s v="DK1_NoDH"/>
    <x v="2"/>
    <x v="11"/>
    <x v="0"/>
    <x v="19"/>
    <n v="19.292682926829301"/>
    <n v="7041.8292682926904"/>
    <n v="25350.585365853702"/>
  </r>
  <r>
    <x v="0"/>
    <x v="0"/>
    <x v="0"/>
    <x v="0"/>
    <x v="0"/>
    <s v="DK1_NoDH"/>
    <x v="2"/>
    <x v="11"/>
    <x v="0"/>
    <x v="20"/>
    <n v="19.292682926829301"/>
    <n v="7041.8292682926904"/>
    <n v="25350.585365853702"/>
  </r>
  <r>
    <x v="0"/>
    <x v="0"/>
    <x v="0"/>
    <x v="0"/>
    <x v="0"/>
    <s v="DK1_NoDH"/>
    <x v="2"/>
    <x v="11"/>
    <x v="0"/>
    <x v="21"/>
    <n v="19.292682926829301"/>
    <n v="7041.8292682926904"/>
    <n v="25350.585365853702"/>
  </r>
  <r>
    <x v="0"/>
    <x v="0"/>
    <x v="0"/>
    <x v="0"/>
    <x v="0"/>
    <s v="DK1_NoDH"/>
    <x v="2"/>
    <x v="11"/>
    <x v="0"/>
    <x v="22"/>
    <n v="19.292682926829301"/>
    <n v="7041.8292682926904"/>
    <n v="25350.585365853702"/>
  </r>
  <r>
    <x v="0"/>
    <x v="0"/>
    <x v="0"/>
    <x v="0"/>
    <x v="0"/>
    <s v="DK1_NoDH"/>
    <x v="2"/>
    <x v="12"/>
    <x v="0"/>
    <x v="3"/>
    <n v="26.476190476190499"/>
    <n v="9663.8095238095193"/>
    <n v="34789.714285714297"/>
  </r>
  <r>
    <x v="0"/>
    <x v="0"/>
    <x v="0"/>
    <x v="0"/>
    <x v="0"/>
    <s v="DK1_NoDH"/>
    <x v="2"/>
    <x v="12"/>
    <x v="0"/>
    <x v="4"/>
    <n v="26.476190476190499"/>
    <n v="9663.8095238095193"/>
    <n v="34789.714285714297"/>
  </r>
  <r>
    <x v="0"/>
    <x v="0"/>
    <x v="0"/>
    <x v="0"/>
    <x v="0"/>
    <s v="DK1_NoDH"/>
    <x v="2"/>
    <x v="12"/>
    <x v="0"/>
    <x v="5"/>
    <n v="26.476190476190499"/>
    <n v="9663.8095238095193"/>
    <n v="34789.714285714297"/>
  </r>
  <r>
    <x v="0"/>
    <x v="0"/>
    <x v="0"/>
    <x v="0"/>
    <x v="0"/>
    <s v="DK1_NoDH"/>
    <x v="2"/>
    <x v="12"/>
    <x v="0"/>
    <x v="6"/>
    <n v="26.476190476190499"/>
    <n v="9663.8095238095193"/>
    <n v="34789.714285714297"/>
  </r>
  <r>
    <x v="0"/>
    <x v="0"/>
    <x v="0"/>
    <x v="0"/>
    <x v="0"/>
    <s v="DK1_NoDH"/>
    <x v="2"/>
    <x v="12"/>
    <x v="0"/>
    <x v="7"/>
    <n v="26.476190476190499"/>
    <n v="9663.8095238095193"/>
    <n v="34789.714285714297"/>
  </r>
  <r>
    <x v="0"/>
    <x v="0"/>
    <x v="0"/>
    <x v="0"/>
    <x v="0"/>
    <s v="DK1_NoDH"/>
    <x v="2"/>
    <x v="12"/>
    <x v="0"/>
    <x v="8"/>
    <n v="26.476190476190499"/>
    <n v="9663.8095238095193"/>
    <n v="34789.714285714297"/>
  </r>
  <r>
    <x v="0"/>
    <x v="0"/>
    <x v="0"/>
    <x v="0"/>
    <x v="0"/>
    <s v="DK1_NoDH"/>
    <x v="2"/>
    <x v="12"/>
    <x v="0"/>
    <x v="0"/>
    <n v="26.476190476190499"/>
    <n v="9663.8095238095193"/>
    <n v="34789.714285714297"/>
  </r>
  <r>
    <x v="0"/>
    <x v="0"/>
    <x v="0"/>
    <x v="0"/>
    <x v="0"/>
    <s v="DK1_NoDH"/>
    <x v="2"/>
    <x v="12"/>
    <x v="0"/>
    <x v="1"/>
    <n v="26.476190476190499"/>
    <n v="9663.8095238095193"/>
    <n v="34789.714285714297"/>
  </r>
  <r>
    <x v="0"/>
    <x v="0"/>
    <x v="0"/>
    <x v="0"/>
    <x v="0"/>
    <s v="DK1_NoDH"/>
    <x v="2"/>
    <x v="12"/>
    <x v="0"/>
    <x v="2"/>
    <n v="26.476190476190499"/>
    <n v="9663.8095238095193"/>
    <n v="34789.714285714297"/>
  </r>
  <r>
    <x v="0"/>
    <x v="0"/>
    <x v="0"/>
    <x v="0"/>
    <x v="0"/>
    <s v="DK1_NoDH"/>
    <x v="2"/>
    <x v="12"/>
    <x v="0"/>
    <x v="9"/>
    <n v="26.476190476190499"/>
    <n v="9663.8095238095193"/>
    <n v="34789.714285714297"/>
  </r>
  <r>
    <x v="0"/>
    <x v="0"/>
    <x v="0"/>
    <x v="0"/>
    <x v="0"/>
    <s v="DK1_NoDH"/>
    <x v="2"/>
    <x v="12"/>
    <x v="0"/>
    <x v="10"/>
    <n v="26.476190476190499"/>
    <n v="9663.8095238095193"/>
    <n v="34789.714285714297"/>
  </r>
  <r>
    <x v="0"/>
    <x v="0"/>
    <x v="0"/>
    <x v="0"/>
    <x v="0"/>
    <s v="DK1_NoDH"/>
    <x v="2"/>
    <x v="12"/>
    <x v="0"/>
    <x v="11"/>
    <n v="26.476190476190499"/>
    <n v="9663.8095238095193"/>
    <n v="34789.714285714297"/>
  </r>
  <r>
    <x v="0"/>
    <x v="0"/>
    <x v="0"/>
    <x v="0"/>
    <x v="0"/>
    <s v="DK1_NoDH"/>
    <x v="2"/>
    <x v="12"/>
    <x v="0"/>
    <x v="12"/>
    <n v="26.476190476190499"/>
    <n v="9663.8095238095193"/>
    <n v="34789.714285714297"/>
  </r>
  <r>
    <x v="0"/>
    <x v="0"/>
    <x v="0"/>
    <x v="0"/>
    <x v="0"/>
    <s v="DK1_NoDH"/>
    <x v="2"/>
    <x v="12"/>
    <x v="0"/>
    <x v="13"/>
    <n v="26.476190476190499"/>
    <n v="9663.8095238095193"/>
    <n v="34789.714285714297"/>
  </r>
  <r>
    <x v="0"/>
    <x v="0"/>
    <x v="0"/>
    <x v="0"/>
    <x v="0"/>
    <s v="DK1_NoDH"/>
    <x v="2"/>
    <x v="12"/>
    <x v="0"/>
    <x v="14"/>
    <n v="26.476190476190499"/>
    <n v="9663.8095238095193"/>
    <n v="34789.714285714297"/>
  </r>
  <r>
    <x v="0"/>
    <x v="0"/>
    <x v="0"/>
    <x v="0"/>
    <x v="0"/>
    <s v="DK1_NoDH"/>
    <x v="2"/>
    <x v="12"/>
    <x v="0"/>
    <x v="15"/>
    <n v="26.476190476190499"/>
    <n v="9663.8095238095193"/>
    <n v="34789.714285714297"/>
  </r>
  <r>
    <x v="0"/>
    <x v="0"/>
    <x v="0"/>
    <x v="0"/>
    <x v="0"/>
    <s v="DK1_NoDH"/>
    <x v="2"/>
    <x v="12"/>
    <x v="0"/>
    <x v="16"/>
    <n v="26.476190476190499"/>
    <n v="9663.8095238095193"/>
    <n v="34789.714285714297"/>
  </r>
  <r>
    <x v="0"/>
    <x v="0"/>
    <x v="0"/>
    <x v="0"/>
    <x v="0"/>
    <s v="DK1_NoDH"/>
    <x v="2"/>
    <x v="12"/>
    <x v="0"/>
    <x v="17"/>
    <n v="26.476190476190499"/>
    <n v="9663.8095238095193"/>
    <n v="34789.714285714297"/>
  </r>
  <r>
    <x v="0"/>
    <x v="0"/>
    <x v="0"/>
    <x v="0"/>
    <x v="0"/>
    <s v="DK1_NoDH"/>
    <x v="2"/>
    <x v="12"/>
    <x v="0"/>
    <x v="18"/>
    <n v="26.476190476190499"/>
    <n v="9663.8095238095193"/>
    <n v="34789.714285714297"/>
  </r>
  <r>
    <x v="0"/>
    <x v="0"/>
    <x v="0"/>
    <x v="0"/>
    <x v="0"/>
    <s v="DK1_NoDH"/>
    <x v="2"/>
    <x v="12"/>
    <x v="0"/>
    <x v="19"/>
    <n v="26.476190476190499"/>
    <n v="9663.8095238095193"/>
    <n v="34789.714285714297"/>
  </r>
  <r>
    <x v="0"/>
    <x v="0"/>
    <x v="0"/>
    <x v="0"/>
    <x v="0"/>
    <s v="DK1_NoDH"/>
    <x v="2"/>
    <x v="12"/>
    <x v="0"/>
    <x v="20"/>
    <n v="26.476190476190499"/>
    <n v="9663.8095238095193"/>
    <n v="34789.714285714297"/>
  </r>
  <r>
    <x v="0"/>
    <x v="0"/>
    <x v="0"/>
    <x v="0"/>
    <x v="0"/>
    <s v="DK1_NoDH"/>
    <x v="2"/>
    <x v="12"/>
    <x v="0"/>
    <x v="21"/>
    <n v="26.476190476190499"/>
    <n v="9663.8095238095193"/>
    <n v="34789.714285714297"/>
  </r>
  <r>
    <x v="0"/>
    <x v="0"/>
    <x v="0"/>
    <x v="0"/>
    <x v="0"/>
    <s v="DK1_NoDH"/>
    <x v="2"/>
    <x v="12"/>
    <x v="0"/>
    <x v="22"/>
    <n v="26.476190476190499"/>
    <n v="9663.8095238095193"/>
    <n v="34789.714285714297"/>
  </r>
  <r>
    <x v="0"/>
    <x v="0"/>
    <x v="0"/>
    <x v="0"/>
    <x v="0"/>
    <s v="DK1_NoDH"/>
    <x v="2"/>
    <x v="12"/>
    <x v="0"/>
    <x v="23"/>
    <n v="26.476190476190499"/>
    <n v="9663.8095238095193"/>
    <n v="34789.714285714297"/>
  </r>
  <r>
    <x v="0"/>
    <x v="0"/>
    <x v="0"/>
    <x v="0"/>
    <x v="0"/>
    <s v="DK1_NoDH"/>
    <x v="2"/>
    <x v="13"/>
    <x v="0"/>
    <x v="3"/>
    <n v="28.7"/>
    <n v="10475.5"/>
    <n v="37711.800000000003"/>
  </r>
  <r>
    <x v="0"/>
    <x v="0"/>
    <x v="0"/>
    <x v="0"/>
    <x v="0"/>
    <s v="DK1_NoDH"/>
    <x v="2"/>
    <x v="13"/>
    <x v="0"/>
    <x v="4"/>
    <n v="28.7"/>
    <n v="10475.5"/>
    <n v="37711.800000000003"/>
  </r>
  <r>
    <x v="0"/>
    <x v="0"/>
    <x v="0"/>
    <x v="0"/>
    <x v="0"/>
    <s v="DK1_NoDH"/>
    <x v="2"/>
    <x v="13"/>
    <x v="0"/>
    <x v="5"/>
    <n v="28.7"/>
    <n v="10475.5"/>
    <n v="37711.800000000003"/>
  </r>
  <r>
    <x v="0"/>
    <x v="0"/>
    <x v="0"/>
    <x v="0"/>
    <x v="0"/>
    <s v="DK1_NoDH"/>
    <x v="2"/>
    <x v="13"/>
    <x v="0"/>
    <x v="6"/>
    <n v="28.7"/>
    <n v="10475.5"/>
    <n v="37711.800000000003"/>
  </r>
  <r>
    <x v="0"/>
    <x v="0"/>
    <x v="0"/>
    <x v="0"/>
    <x v="0"/>
    <s v="DK1_NoDH"/>
    <x v="2"/>
    <x v="13"/>
    <x v="0"/>
    <x v="7"/>
    <n v="28.7"/>
    <n v="10475.5"/>
    <n v="37711.800000000003"/>
  </r>
  <r>
    <x v="0"/>
    <x v="0"/>
    <x v="0"/>
    <x v="0"/>
    <x v="0"/>
    <s v="DK1_NoDH"/>
    <x v="2"/>
    <x v="13"/>
    <x v="0"/>
    <x v="8"/>
    <n v="28.7"/>
    <n v="10475.5"/>
    <n v="37711.800000000003"/>
  </r>
  <r>
    <x v="0"/>
    <x v="0"/>
    <x v="0"/>
    <x v="0"/>
    <x v="0"/>
    <s v="DK1_NoDH"/>
    <x v="2"/>
    <x v="13"/>
    <x v="0"/>
    <x v="0"/>
    <n v="28.7"/>
    <n v="10475.5"/>
    <n v="37711.800000000003"/>
  </r>
  <r>
    <x v="0"/>
    <x v="0"/>
    <x v="0"/>
    <x v="0"/>
    <x v="0"/>
    <s v="DK1_NoDH"/>
    <x v="2"/>
    <x v="13"/>
    <x v="0"/>
    <x v="1"/>
    <n v="28.7"/>
    <n v="10475.5"/>
    <n v="37711.800000000003"/>
  </r>
  <r>
    <x v="0"/>
    <x v="0"/>
    <x v="0"/>
    <x v="0"/>
    <x v="0"/>
    <s v="DK1_NoDH"/>
    <x v="2"/>
    <x v="13"/>
    <x v="0"/>
    <x v="2"/>
    <n v="28.7"/>
    <n v="10475.5"/>
    <n v="37711.800000000003"/>
  </r>
  <r>
    <x v="0"/>
    <x v="0"/>
    <x v="0"/>
    <x v="0"/>
    <x v="0"/>
    <s v="DK1_NoDH"/>
    <x v="2"/>
    <x v="13"/>
    <x v="0"/>
    <x v="9"/>
    <n v="28.7"/>
    <n v="10475.5"/>
    <n v="37711.800000000003"/>
  </r>
  <r>
    <x v="0"/>
    <x v="0"/>
    <x v="0"/>
    <x v="0"/>
    <x v="0"/>
    <s v="DK1_NoDH"/>
    <x v="2"/>
    <x v="13"/>
    <x v="0"/>
    <x v="10"/>
    <n v="28.7"/>
    <n v="10475.5"/>
    <n v="37711.800000000003"/>
  </r>
  <r>
    <x v="0"/>
    <x v="0"/>
    <x v="0"/>
    <x v="0"/>
    <x v="0"/>
    <s v="DK1_NoDH"/>
    <x v="2"/>
    <x v="13"/>
    <x v="0"/>
    <x v="11"/>
    <n v="28.7"/>
    <n v="10475.5"/>
    <n v="37711.800000000003"/>
  </r>
  <r>
    <x v="0"/>
    <x v="0"/>
    <x v="0"/>
    <x v="0"/>
    <x v="0"/>
    <s v="DK1_NoDH"/>
    <x v="2"/>
    <x v="13"/>
    <x v="0"/>
    <x v="12"/>
    <n v="28.7"/>
    <n v="10475.5"/>
    <n v="37711.800000000003"/>
  </r>
  <r>
    <x v="0"/>
    <x v="0"/>
    <x v="0"/>
    <x v="0"/>
    <x v="0"/>
    <s v="DK1_NoDH"/>
    <x v="2"/>
    <x v="13"/>
    <x v="0"/>
    <x v="13"/>
    <n v="28.7"/>
    <n v="10475.5"/>
    <n v="37711.800000000003"/>
  </r>
  <r>
    <x v="0"/>
    <x v="0"/>
    <x v="0"/>
    <x v="0"/>
    <x v="0"/>
    <s v="DK1_NoDH"/>
    <x v="2"/>
    <x v="13"/>
    <x v="0"/>
    <x v="14"/>
    <n v="28.7"/>
    <n v="10475.5"/>
    <n v="37711.800000000003"/>
  </r>
  <r>
    <x v="0"/>
    <x v="0"/>
    <x v="0"/>
    <x v="0"/>
    <x v="0"/>
    <s v="DK1_NoDH"/>
    <x v="2"/>
    <x v="13"/>
    <x v="0"/>
    <x v="15"/>
    <n v="28.7"/>
    <n v="10475.5"/>
    <n v="37711.800000000003"/>
  </r>
  <r>
    <x v="0"/>
    <x v="0"/>
    <x v="0"/>
    <x v="0"/>
    <x v="0"/>
    <s v="DK1_NoDH"/>
    <x v="2"/>
    <x v="13"/>
    <x v="0"/>
    <x v="16"/>
    <n v="28.7"/>
    <n v="10475.5"/>
    <n v="37711.800000000003"/>
  </r>
  <r>
    <x v="0"/>
    <x v="0"/>
    <x v="0"/>
    <x v="0"/>
    <x v="0"/>
    <s v="DK1_NoDH"/>
    <x v="2"/>
    <x v="13"/>
    <x v="0"/>
    <x v="17"/>
    <n v="28.7"/>
    <n v="10475.5"/>
    <n v="37711.800000000003"/>
  </r>
  <r>
    <x v="0"/>
    <x v="0"/>
    <x v="0"/>
    <x v="0"/>
    <x v="0"/>
    <s v="DK1_NoDH"/>
    <x v="2"/>
    <x v="13"/>
    <x v="0"/>
    <x v="18"/>
    <n v="28.7"/>
    <n v="10475.5"/>
    <n v="37711.800000000003"/>
  </r>
  <r>
    <x v="0"/>
    <x v="0"/>
    <x v="0"/>
    <x v="0"/>
    <x v="0"/>
    <s v="DK1_NoDH"/>
    <x v="2"/>
    <x v="13"/>
    <x v="0"/>
    <x v="19"/>
    <n v="28.7"/>
    <n v="10475.5"/>
    <n v="37711.800000000003"/>
  </r>
  <r>
    <x v="0"/>
    <x v="0"/>
    <x v="0"/>
    <x v="0"/>
    <x v="0"/>
    <s v="DK1_NoDH"/>
    <x v="2"/>
    <x v="13"/>
    <x v="0"/>
    <x v="20"/>
    <n v="28.7"/>
    <n v="10475.5"/>
    <n v="37711.800000000003"/>
  </r>
  <r>
    <x v="0"/>
    <x v="0"/>
    <x v="0"/>
    <x v="0"/>
    <x v="0"/>
    <s v="DK1_NoDH"/>
    <x v="2"/>
    <x v="13"/>
    <x v="0"/>
    <x v="21"/>
    <n v="28.7"/>
    <n v="10475.5"/>
    <n v="37711.800000000003"/>
  </r>
  <r>
    <x v="0"/>
    <x v="0"/>
    <x v="0"/>
    <x v="0"/>
    <x v="0"/>
    <s v="DK1_NoDH"/>
    <x v="2"/>
    <x v="13"/>
    <x v="0"/>
    <x v="22"/>
    <n v="28.7"/>
    <n v="10475.5"/>
    <n v="37711.800000000003"/>
  </r>
  <r>
    <x v="0"/>
    <x v="0"/>
    <x v="0"/>
    <x v="0"/>
    <x v="0"/>
    <s v="DK1_NoDH"/>
    <x v="2"/>
    <x v="13"/>
    <x v="0"/>
    <x v="23"/>
    <n v="28.7"/>
    <n v="10475.5"/>
    <n v="37711.800000000003"/>
  </r>
  <r>
    <x v="0"/>
    <x v="0"/>
    <x v="0"/>
    <x v="0"/>
    <x v="0"/>
    <s v="DK1_NoDH"/>
    <x v="2"/>
    <x v="15"/>
    <x v="0"/>
    <x v="3"/>
    <n v="10.445652173913"/>
    <n v="3812.6630434782601"/>
    <n v="13725.5869565217"/>
  </r>
  <r>
    <x v="0"/>
    <x v="0"/>
    <x v="0"/>
    <x v="0"/>
    <x v="0"/>
    <s v="DK1_NoDH"/>
    <x v="2"/>
    <x v="15"/>
    <x v="0"/>
    <x v="4"/>
    <n v="10.445652173913"/>
    <n v="3812.6630434782601"/>
    <n v="13725.5869565217"/>
  </r>
  <r>
    <x v="0"/>
    <x v="0"/>
    <x v="0"/>
    <x v="0"/>
    <x v="0"/>
    <s v="DK1_NoDH"/>
    <x v="2"/>
    <x v="15"/>
    <x v="0"/>
    <x v="5"/>
    <n v="10.445652173913"/>
    <n v="3812.6630434782601"/>
    <n v="13725.5869565217"/>
  </r>
  <r>
    <x v="0"/>
    <x v="0"/>
    <x v="0"/>
    <x v="0"/>
    <x v="0"/>
    <s v="DK1_NoDH"/>
    <x v="2"/>
    <x v="15"/>
    <x v="0"/>
    <x v="6"/>
    <n v="10.445652173913"/>
    <n v="3812.6630434782601"/>
    <n v="13725.5869565217"/>
  </r>
  <r>
    <x v="0"/>
    <x v="0"/>
    <x v="0"/>
    <x v="0"/>
    <x v="0"/>
    <s v="DK1_NoDH"/>
    <x v="2"/>
    <x v="15"/>
    <x v="0"/>
    <x v="7"/>
    <n v="10.445652173913"/>
    <n v="3812.6630434782601"/>
    <n v="13725.5869565217"/>
  </r>
  <r>
    <x v="0"/>
    <x v="0"/>
    <x v="0"/>
    <x v="0"/>
    <x v="0"/>
    <s v="DK1_NoDH"/>
    <x v="2"/>
    <x v="15"/>
    <x v="0"/>
    <x v="8"/>
    <n v="10.445652173913"/>
    <n v="3812.6630434782601"/>
    <n v="13725.5869565217"/>
  </r>
  <r>
    <x v="0"/>
    <x v="0"/>
    <x v="0"/>
    <x v="0"/>
    <x v="0"/>
    <s v="DK1_NoDH"/>
    <x v="2"/>
    <x v="15"/>
    <x v="0"/>
    <x v="0"/>
    <n v="10.445652173913"/>
    <n v="3812.6630434782601"/>
    <n v="13725.5869565217"/>
  </r>
  <r>
    <x v="0"/>
    <x v="0"/>
    <x v="0"/>
    <x v="0"/>
    <x v="0"/>
    <s v="DK1_NoDH"/>
    <x v="2"/>
    <x v="15"/>
    <x v="0"/>
    <x v="1"/>
    <n v="10.445652173913"/>
    <n v="3812.6630434782601"/>
    <n v="13725.5869565217"/>
  </r>
  <r>
    <x v="0"/>
    <x v="0"/>
    <x v="0"/>
    <x v="0"/>
    <x v="0"/>
    <s v="DK1_NoDH"/>
    <x v="2"/>
    <x v="15"/>
    <x v="0"/>
    <x v="2"/>
    <n v="10.445652173913"/>
    <n v="3812.6630434782601"/>
    <n v="13725.5869565217"/>
  </r>
  <r>
    <x v="0"/>
    <x v="0"/>
    <x v="0"/>
    <x v="0"/>
    <x v="0"/>
    <s v="DK1_NoDH"/>
    <x v="2"/>
    <x v="15"/>
    <x v="0"/>
    <x v="9"/>
    <n v="10.445652173913"/>
    <n v="3812.6630434782601"/>
    <n v="13725.5869565217"/>
  </r>
  <r>
    <x v="0"/>
    <x v="0"/>
    <x v="0"/>
    <x v="0"/>
    <x v="0"/>
    <s v="DK1_NoDH"/>
    <x v="2"/>
    <x v="15"/>
    <x v="0"/>
    <x v="10"/>
    <n v="10.445652173913"/>
    <n v="3812.6630434782601"/>
    <n v="13725.5869565217"/>
  </r>
  <r>
    <x v="0"/>
    <x v="0"/>
    <x v="0"/>
    <x v="0"/>
    <x v="0"/>
    <s v="DK1_NoDH"/>
    <x v="2"/>
    <x v="15"/>
    <x v="0"/>
    <x v="11"/>
    <n v="10.445652173913"/>
    <n v="3812.6630434782601"/>
    <n v="13725.5869565217"/>
  </r>
  <r>
    <x v="0"/>
    <x v="0"/>
    <x v="0"/>
    <x v="0"/>
    <x v="0"/>
    <s v="DK1_NoDH"/>
    <x v="2"/>
    <x v="15"/>
    <x v="0"/>
    <x v="12"/>
    <n v="10.445652173913"/>
    <n v="3812.6630434782601"/>
    <n v="13725.5869565217"/>
  </r>
  <r>
    <x v="0"/>
    <x v="0"/>
    <x v="0"/>
    <x v="0"/>
    <x v="0"/>
    <s v="DK1_NoDH"/>
    <x v="2"/>
    <x v="15"/>
    <x v="0"/>
    <x v="13"/>
    <n v="10.445652173913"/>
    <n v="3812.6630434782601"/>
    <n v="13725.5869565217"/>
  </r>
  <r>
    <x v="0"/>
    <x v="0"/>
    <x v="0"/>
    <x v="0"/>
    <x v="0"/>
    <s v="DK1_NoDH"/>
    <x v="2"/>
    <x v="15"/>
    <x v="0"/>
    <x v="14"/>
    <n v="10.445652173913"/>
    <n v="3812.6630434782601"/>
    <n v="13725.5869565217"/>
  </r>
  <r>
    <x v="0"/>
    <x v="0"/>
    <x v="0"/>
    <x v="0"/>
    <x v="0"/>
    <s v="DK1_NoDH"/>
    <x v="2"/>
    <x v="15"/>
    <x v="0"/>
    <x v="15"/>
    <n v="10.445652173913"/>
    <n v="3812.6630434782601"/>
    <n v="13725.5869565217"/>
  </r>
  <r>
    <x v="0"/>
    <x v="0"/>
    <x v="0"/>
    <x v="0"/>
    <x v="0"/>
    <s v="DK1_NoDH"/>
    <x v="2"/>
    <x v="15"/>
    <x v="0"/>
    <x v="16"/>
    <n v="10.445652173913"/>
    <n v="3812.6630434782601"/>
    <n v="13725.5869565217"/>
  </r>
  <r>
    <x v="0"/>
    <x v="0"/>
    <x v="0"/>
    <x v="0"/>
    <x v="0"/>
    <s v="DK1_NoDH"/>
    <x v="2"/>
    <x v="15"/>
    <x v="0"/>
    <x v="17"/>
    <n v="10.445652173913"/>
    <n v="3812.6630434782601"/>
    <n v="13725.5869565217"/>
  </r>
  <r>
    <x v="0"/>
    <x v="0"/>
    <x v="0"/>
    <x v="0"/>
    <x v="0"/>
    <s v="DK1_NoDH"/>
    <x v="2"/>
    <x v="15"/>
    <x v="0"/>
    <x v="18"/>
    <n v="10.445652173913"/>
    <n v="3812.6630434782601"/>
    <n v="13725.5869565217"/>
  </r>
  <r>
    <x v="0"/>
    <x v="0"/>
    <x v="0"/>
    <x v="0"/>
    <x v="0"/>
    <s v="DK1_NoDH"/>
    <x v="2"/>
    <x v="15"/>
    <x v="0"/>
    <x v="19"/>
    <n v="10.445652173913"/>
    <n v="3812.6630434782601"/>
    <n v="13725.5869565217"/>
  </r>
  <r>
    <x v="0"/>
    <x v="0"/>
    <x v="0"/>
    <x v="0"/>
    <x v="0"/>
    <s v="DK1_NoDH"/>
    <x v="2"/>
    <x v="15"/>
    <x v="0"/>
    <x v="20"/>
    <n v="10.445652173913"/>
    <n v="3812.6630434782601"/>
    <n v="13725.5869565217"/>
  </r>
  <r>
    <x v="0"/>
    <x v="0"/>
    <x v="0"/>
    <x v="0"/>
    <x v="0"/>
    <s v="DK1_NoDH"/>
    <x v="2"/>
    <x v="15"/>
    <x v="0"/>
    <x v="21"/>
    <n v="10.445652173913"/>
    <n v="3812.6630434782601"/>
    <n v="13725.5869565217"/>
  </r>
  <r>
    <x v="0"/>
    <x v="0"/>
    <x v="0"/>
    <x v="0"/>
    <x v="0"/>
    <s v="DK1_NoDH"/>
    <x v="2"/>
    <x v="15"/>
    <x v="0"/>
    <x v="22"/>
    <n v="10.445652173913"/>
    <n v="3812.6630434782601"/>
    <n v="13725.5869565217"/>
  </r>
  <r>
    <x v="0"/>
    <x v="0"/>
    <x v="0"/>
    <x v="0"/>
    <x v="0"/>
    <s v="DK1_NoDH"/>
    <x v="2"/>
    <x v="15"/>
    <x v="0"/>
    <x v="23"/>
    <n v="10.445652173913"/>
    <n v="3812.6630434782601"/>
    <n v="13725.5869565217"/>
  </r>
  <r>
    <x v="0"/>
    <x v="0"/>
    <x v="0"/>
    <x v="0"/>
    <x v="0"/>
    <s v="DK1_NoDH"/>
    <x v="2"/>
    <x v="40"/>
    <x v="0"/>
    <x v="3"/>
    <n v="99.512195121951194"/>
    <n v="36321.951219512201"/>
    <n v="130759.024390244"/>
  </r>
  <r>
    <x v="0"/>
    <x v="0"/>
    <x v="0"/>
    <x v="0"/>
    <x v="0"/>
    <s v="DK1_NoDH"/>
    <x v="2"/>
    <x v="40"/>
    <x v="0"/>
    <x v="4"/>
    <n v="99.512195121951194"/>
    <n v="36321.951219512201"/>
    <n v="130759.024390244"/>
  </r>
  <r>
    <x v="0"/>
    <x v="0"/>
    <x v="0"/>
    <x v="0"/>
    <x v="0"/>
    <s v="DK1_NoDH"/>
    <x v="2"/>
    <x v="40"/>
    <x v="0"/>
    <x v="5"/>
    <n v="99.512195121951194"/>
    <n v="36321.951219512201"/>
    <n v="130759.024390244"/>
  </r>
  <r>
    <x v="0"/>
    <x v="0"/>
    <x v="0"/>
    <x v="0"/>
    <x v="0"/>
    <s v="DK1_NoDH"/>
    <x v="2"/>
    <x v="40"/>
    <x v="0"/>
    <x v="6"/>
    <n v="99.512195121951194"/>
    <n v="36321.951219512201"/>
    <n v="130759.024390244"/>
  </r>
  <r>
    <x v="0"/>
    <x v="0"/>
    <x v="0"/>
    <x v="0"/>
    <x v="0"/>
    <s v="DK1_NoDH"/>
    <x v="2"/>
    <x v="40"/>
    <x v="0"/>
    <x v="7"/>
    <n v="99.512195121951194"/>
    <n v="36321.951219512201"/>
    <n v="130759.024390244"/>
  </r>
  <r>
    <x v="0"/>
    <x v="0"/>
    <x v="0"/>
    <x v="0"/>
    <x v="0"/>
    <s v="DK1_NoDH"/>
    <x v="2"/>
    <x v="40"/>
    <x v="0"/>
    <x v="8"/>
    <n v="99.512195121951194"/>
    <n v="36321.951219512201"/>
    <n v="130759.024390244"/>
  </r>
  <r>
    <x v="0"/>
    <x v="0"/>
    <x v="0"/>
    <x v="0"/>
    <x v="0"/>
    <s v="DK1_NoDH"/>
    <x v="2"/>
    <x v="40"/>
    <x v="0"/>
    <x v="0"/>
    <n v="99.512195121951194"/>
    <n v="36321.951219512201"/>
    <n v="130759.024390244"/>
  </r>
  <r>
    <x v="0"/>
    <x v="0"/>
    <x v="0"/>
    <x v="0"/>
    <x v="0"/>
    <s v="DK1_NoDH"/>
    <x v="2"/>
    <x v="40"/>
    <x v="0"/>
    <x v="1"/>
    <n v="99.512195121951194"/>
    <n v="36321.951219512201"/>
    <n v="130759.024390244"/>
  </r>
  <r>
    <x v="0"/>
    <x v="0"/>
    <x v="0"/>
    <x v="0"/>
    <x v="0"/>
    <s v="DK1_NoDH"/>
    <x v="2"/>
    <x v="40"/>
    <x v="0"/>
    <x v="2"/>
    <n v="99.512195121951194"/>
    <n v="36321.951219512201"/>
    <n v="130759.024390244"/>
  </r>
  <r>
    <x v="0"/>
    <x v="0"/>
    <x v="0"/>
    <x v="0"/>
    <x v="0"/>
    <s v="DK1_NoDH"/>
    <x v="2"/>
    <x v="40"/>
    <x v="0"/>
    <x v="9"/>
    <n v="99.512195121951194"/>
    <n v="36321.951219512201"/>
    <n v="130759.024390244"/>
  </r>
  <r>
    <x v="0"/>
    <x v="0"/>
    <x v="0"/>
    <x v="0"/>
    <x v="0"/>
    <s v="DK1_NoDH"/>
    <x v="2"/>
    <x v="40"/>
    <x v="0"/>
    <x v="10"/>
    <n v="99.512195121951194"/>
    <n v="36321.951219512201"/>
    <n v="130759.024390244"/>
  </r>
  <r>
    <x v="0"/>
    <x v="0"/>
    <x v="0"/>
    <x v="0"/>
    <x v="0"/>
    <s v="DK1_NoDH"/>
    <x v="2"/>
    <x v="40"/>
    <x v="0"/>
    <x v="11"/>
    <n v="99.512195121951194"/>
    <n v="36321.951219512201"/>
    <n v="130759.024390244"/>
  </r>
  <r>
    <x v="0"/>
    <x v="0"/>
    <x v="0"/>
    <x v="0"/>
    <x v="0"/>
    <s v="DK1_NoDH"/>
    <x v="2"/>
    <x v="40"/>
    <x v="0"/>
    <x v="12"/>
    <n v="99.512195121951194"/>
    <n v="36321.951219512201"/>
    <n v="130759.024390244"/>
  </r>
  <r>
    <x v="0"/>
    <x v="0"/>
    <x v="0"/>
    <x v="0"/>
    <x v="0"/>
    <s v="DK1_NoDH"/>
    <x v="2"/>
    <x v="40"/>
    <x v="0"/>
    <x v="13"/>
    <n v="99.512195121951194"/>
    <n v="36321.951219512201"/>
    <n v="130759.024390244"/>
  </r>
  <r>
    <x v="0"/>
    <x v="0"/>
    <x v="0"/>
    <x v="0"/>
    <x v="0"/>
    <s v="DK1_NoDH"/>
    <x v="2"/>
    <x v="40"/>
    <x v="0"/>
    <x v="14"/>
    <n v="99.512195121951194"/>
    <n v="36321.951219512201"/>
    <n v="130759.024390244"/>
  </r>
  <r>
    <x v="0"/>
    <x v="0"/>
    <x v="0"/>
    <x v="0"/>
    <x v="0"/>
    <s v="DK1_NoDH"/>
    <x v="2"/>
    <x v="40"/>
    <x v="0"/>
    <x v="15"/>
    <n v="99.512195121951194"/>
    <n v="36321.951219512201"/>
    <n v="130759.024390244"/>
  </r>
  <r>
    <x v="0"/>
    <x v="0"/>
    <x v="0"/>
    <x v="0"/>
    <x v="0"/>
    <s v="DK1_NoDH"/>
    <x v="2"/>
    <x v="40"/>
    <x v="0"/>
    <x v="16"/>
    <n v="99.512195121951194"/>
    <n v="36321.951219512201"/>
    <n v="130759.024390244"/>
  </r>
  <r>
    <x v="0"/>
    <x v="0"/>
    <x v="0"/>
    <x v="0"/>
    <x v="0"/>
    <s v="DK1_NoDH"/>
    <x v="2"/>
    <x v="40"/>
    <x v="0"/>
    <x v="17"/>
    <n v="99.512195121951194"/>
    <n v="36321.951219512201"/>
    <n v="130759.024390244"/>
  </r>
  <r>
    <x v="0"/>
    <x v="0"/>
    <x v="0"/>
    <x v="0"/>
    <x v="0"/>
    <s v="DK1_NoDH"/>
    <x v="2"/>
    <x v="40"/>
    <x v="0"/>
    <x v="18"/>
    <n v="99.512195121951194"/>
    <n v="36321.951219512201"/>
    <n v="130759.024390244"/>
  </r>
  <r>
    <x v="0"/>
    <x v="0"/>
    <x v="0"/>
    <x v="0"/>
    <x v="0"/>
    <s v="DK1_NoDH"/>
    <x v="2"/>
    <x v="40"/>
    <x v="0"/>
    <x v="19"/>
    <n v="99.512195121951194"/>
    <n v="36321.951219512201"/>
    <n v="130759.024390244"/>
  </r>
  <r>
    <x v="0"/>
    <x v="0"/>
    <x v="0"/>
    <x v="0"/>
    <x v="0"/>
    <s v="DK1_NoDH"/>
    <x v="2"/>
    <x v="40"/>
    <x v="0"/>
    <x v="20"/>
    <n v="99.512195121951194"/>
    <n v="36321.951219512201"/>
    <n v="130759.024390244"/>
  </r>
  <r>
    <x v="0"/>
    <x v="0"/>
    <x v="0"/>
    <x v="0"/>
    <x v="0"/>
    <s v="DK1_NoDH"/>
    <x v="2"/>
    <x v="40"/>
    <x v="0"/>
    <x v="21"/>
    <n v="99.512195121951194"/>
    <n v="36321.951219512201"/>
    <n v="130759.024390244"/>
  </r>
  <r>
    <x v="0"/>
    <x v="0"/>
    <x v="0"/>
    <x v="0"/>
    <x v="0"/>
    <s v="DK1_NoDH"/>
    <x v="2"/>
    <x v="40"/>
    <x v="0"/>
    <x v="22"/>
    <n v="99.512195121951194"/>
    <n v="36321.951219512201"/>
    <n v="130759.024390244"/>
  </r>
  <r>
    <x v="0"/>
    <x v="0"/>
    <x v="0"/>
    <x v="0"/>
    <x v="0"/>
    <s v="DK1_NoDH"/>
    <x v="2"/>
    <x v="40"/>
    <x v="0"/>
    <x v="23"/>
    <n v="99.512195121951194"/>
    <n v="36321.951219512201"/>
    <n v="130759.024390244"/>
  </r>
  <r>
    <x v="0"/>
    <x v="0"/>
    <x v="0"/>
    <x v="0"/>
    <x v="0"/>
    <s v="DK1_NoDH"/>
    <x v="2"/>
    <x v="41"/>
    <x v="0"/>
    <x v="3"/>
    <n v="1.39130434782609"/>
    <n v="507.82608695652198"/>
    <n v="1828.1739130434801"/>
  </r>
  <r>
    <x v="0"/>
    <x v="0"/>
    <x v="0"/>
    <x v="0"/>
    <x v="0"/>
    <s v="DK1_NoDH"/>
    <x v="2"/>
    <x v="41"/>
    <x v="0"/>
    <x v="4"/>
    <n v="1.39130434782609"/>
    <n v="507.82608695652198"/>
    <n v="1828.1739130434801"/>
  </r>
  <r>
    <x v="0"/>
    <x v="0"/>
    <x v="0"/>
    <x v="0"/>
    <x v="0"/>
    <s v="DK1_NoDH"/>
    <x v="2"/>
    <x v="41"/>
    <x v="0"/>
    <x v="5"/>
    <n v="1.39130434782609"/>
    <n v="507.82608695652198"/>
    <n v="1828.1739130434801"/>
  </r>
  <r>
    <x v="0"/>
    <x v="0"/>
    <x v="0"/>
    <x v="0"/>
    <x v="0"/>
    <s v="DK1_NoDH"/>
    <x v="2"/>
    <x v="41"/>
    <x v="0"/>
    <x v="6"/>
    <n v="1.39130434782609"/>
    <n v="507.82608695652198"/>
    <n v="1828.1739130434801"/>
  </r>
  <r>
    <x v="0"/>
    <x v="0"/>
    <x v="0"/>
    <x v="0"/>
    <x v="0"/>
    <s v="DK1_NoDH"/>
    <x v="2"/>
    <x v="41"/>
    <x v="0"/>
    <x v="7"/>
    <n v="1.39130434782609"/>
    <n v="507.82608695652198"/>
    <n v="1828.1739130434801"/>
  </r>
  <r>
    <x v="0"/>
    <x v="0"/>
    <x v="0"/>
    <x v="0"/>
    <x v="0"/>
    <s v="DK1_NoDH"/>
    <x v="2"/>
    <x v="41"/>
    <x v="0"/>
    <x v="8"/>
    <n v="1.39130434782609"/>
    <n v="507.82608695652198"/>
    <n v="1828.1739130434801"/>
  </r>
  <r>
    <x v="0"/>
    <x v="0"/>
    <x v="0"/>
    <x v="0"/>
    <x v="0"/>
    <s v="DK1_NoDH"/>
    <x v="2"/>
    <x v="41"/>
    <x v="0"/>
    <x v="0"/>
    <n v="1.39130434782609"/>
    <n v="507.82608695652198"/>
    <n v="1828.1739130434801"/>
  </r>
  <r>
    <x v="0"/>
    <x v="0"/>
    <x v="0"/>
    <x v="0"/>
    <x v="0"/>
    <s v="DK1_NoDH"/>
    <x v="2"/>
    <x v="41"/>
    <x v="0"/>
    <x v="1"/>
    <n v="1.39130434782609"/>
    <n v="507.82608695652198"/>
    <n v="1828.1739130434801"/>
  </r>
  <r>
    <x v="0"/>
    <x v="0"/>
    <x v="0"/>
    <x v="0"/>
    <x v="0"/>
    <s v="DK1_NoDH"/>
    <x v="2"/>
    <x v="41"/>
    <x v="0"/>
    <x v="2"/>
    <n v="1.39130434782609"/>
    <n v="507.82608695652198"/>
    <n v="1828.1739130434801"/>
  </r>
  <r>
    <x v="0"/>
    <x v="0"/>
    <x v="0"/>
    <x v="0"/>
    <x v="0"/>
    <s v="DK1_NoDH"/>
    <x v="2"/>
    <x v="41"/>
    <x v="0"/>
    <x v="9"/>
    <n v="1.39130434782609"/>
    <n v="507.82608695652198"/>
    <n v="1828.1739130434801"/>
  </r>
  <r>
    <x v="0"/>
    <x v="0"/>
    <x v="0"/>
    <x v="0"/>
    <x v="0"/>
    <s v="DK1_NoDH"/>
    <x v="2"/>
    <x v="41"/>
    <x v="0"/>
    <x v="10"/>
    <n v="1.39130434782609"/>
    <n v="507.82608695652198"/>
    <n v="1828.1739130434801"/>
  </r>
  <r>
    <x v="0"/>
    <x v="0"/>
    <x v="0"/>
    <x v="0"/>
    <x v="0"/>
    <s v="DK1_NoDH"/>
    <x v="2"/>
    <x v="41"/>
    <x v="0"/>
    <x v="11"/>
    <n v="1.39130434782609"/>
    <n v="507.82608695652198"/>
    <n v="1828.1739130434801"/>
  </r>
  <r>
    <x v="0"/>
    <x v="0"/>
    <x v="0"/>
    <x v="0"/>
    <x v="0"/>
    <s v="DK1_NoDH"/>
    <x v="2"/>
    <x v="41"/>
    <x v="0"/>
    <x v="12"/>
    <n v="1.39130434782609"/>
    <n v="507.82608695652198"/>
    <n v="1828.1739130434801"/>
  </r>
  <r>
    <x v="0"/>
    <x v="0"/>
    <x v="0"/>
    <x v="0"/>
    <x v="0"/>
    <s v="DK1_NoDH"/>
    <x v="2"/>
    <x v="41"/>
    <x v="0"/>
    <x v="13"/>
    <n v="1.39130434782609"/>
    <n v="507.82608695652198"/>
    <n v="1828.1739130434801"/>
  </r>
  <r>
    <x v="0"/>
    <x v="0"/>
    <x v="0"/>
    <x v="0"/>
    <x v="0"/>
    <s v="DK1_NoDH"/>
    <x v="2"/>
    <x v="41"/>
    <x v="0"/>
    <x v="14"/>
    <n v="1.39130434782609"/>
    <n v="507.82608695652198"/>
    <n v="1828.1739130434801"/>
  </r>
  <r>
    <x v="0"/>
    <x v="0"/>
    <x v="0"/>
    <x v="0"/>
    <x v="0"/>
    <s v="DK1_NoDH"/>
    <x v="2"/>
    <x v="41"/>
    <x v="0"/>
    <x v="15"/>
    <n v="1.39130434782609"/>
    <n v="507.82608695652198"/>
    <n v="1828.1739130434801"/>
  </r>
  <r>
    <x v="0"/>
    <x v="0"/>
    <x v="0"/>
    <x v="0"/>
    <x v="0"/>
    <s v="DK1_NoDH"/>
    <x v="2"/>
    <x v="41"/>
    <x v="0"/>
    <x v="16"/>
    <n v="1.39130434782609"/>
    <n v="507.82608695652198"/>
    <n v="1828.1739130434801"/>
  </r>
  <r>
    <x v="0"/>
    <x v="0"/>
    <x v="0"/>
    <x v="0"/>
    <x v="0"/>
    <s v="DK1_NoDH"/>
    <x v="2"/>
    <x v="41"/>
    <x v="0"/>
    <x v="17"/>
    <n v="1.39130434782609"/>
    <n v="507.82608695652198"/>
    <n v="1828.1739130434801"/>
  </r>
  <r>
    <x v="0"/>
    <x v="0"/>
    <x v="0"/>
    <x v="0"/>
    <x v="0"/>
    <s v="DK1_NoDH"/>
    <x v="2"/>
    <x v="41"/>
    <x v="0"/>
    <x v="18"/>
    <n v="1.39130434782609"/>
    <n v="507.82608695652198"/>
    <n v="1828.1739130434801"/>
  </r>
  <r>
    <x v="0"/>
    <x v="0"/>
    <x v="0"/>
    <x v="0"/>
    <x v="0"/>
    <s v="DK1_NoDH"/>
    <x v="2"/>
    <x v="41"/>
    <x v="0"/>
    <x v="19"/>
    <n v="1.39130434782609"/>
    <n v="507.82608695652198"/>
    <n v="1828.1739130434801"/>
  </r>
  <r>
    <x v="0"/>
    <x v="0"/>
    <x v="0"/>
    <x v="0"/>
    <x v="0"/>
    <s v="DK1_NoDH"/>
    <x v="2"/>
    <x v="41"/>
    <x v="0"/>
    <x v="20"/>
    <n v="1.39130434782609"/>
    <n v="507.82608695652198"/>
    <n v="1828.1739130434801"/>
  </r>
  <r>
    <x v="0"/>
    <x v="0"/>
    <x v="0"/>
    <x v="0"/>
    <x v="0"/>
    <s v="DK1_NoDH"/>
    <x v="2"/>
    <x v="41"/>
    <x v="0"/>
    <x v="21"/>
    <n v="1.39130434782609"/>
    <n v="507.82608695652198"/>
    <n v="1828.1739130434801"/>
  </r>
  <r>
    <x v="0"/>
    <x v="0"/>
    <x v="0"/>
    <x v="0"/>
    <x v="0"/>
    <s v="DK1_NoDH"/>
    <x v="2"/>
    <x v="41"/>
    <x v="0"/>
    <x v="22"/>
    <n v="1.39130434782609"/>
    <n v="507.82608695652198"/>
    <n v="1828.1739130434801"/>
  </r>
  <r>
    <x v="0"/>
    <x v="0"/>
    <x v="0"/>
    <x v="0"/>
    <x v="0"/>
    <s v="DK1_NoDH"/>
    <x v="2"/>
    <x v="41"/>
    <x v="0"/>
    <x v="23"/>
    <n v="1.39130434782609"/>
    <n v="507.82608695652198"/>
    <n v="1828.1739130434801"/>
  </r>
  <r>
    <x v="0"/>
    <x v="0"/>
    <x v="0"/>
    <x v="0"/>
    <x v="0"/>
    <s v="DK1_NoDH"/>
    <x v="2"/>
    <x v="42"/>
    <x v="0"/>
    <x v="0"/>
    <n v="124.642857142857"/>
    <n v="45494.642857142899"/>
    <n v="163780.714285714"/>
  </r>
  <r>
    <x v="0"/>
    <x v="0"/>
    <x v="0"/>
    <x v="0"/>
    <x v="0"/>
    <s v="DK1_NoDH"/>
    <x v="2"/>
    <x v="42"/>
    <x v="0"/>
    <x v="1"/>
    <n v="124.642857142857"/>
    <n v="45494.642857142899"/>
    <n v="163780.714285714"/>
  </r>
  <r>
    <x v="0"/>
    <x v="0"/>
    <x v="0"/>
    <x v="0"/>
    <x v="0"/>
    <s v="DK1_NoDH"/>
    <x v="2"/>
    <x v="42"/>
    <x v="0"/>
    <x v="2"/>
    <n v="124.642857142857"/>
    <n v="45494.642857142899"/>
    <n v="163780.714285714"/>
  </r>
  <r>
    <x v="0"/>
    <x v="0"/>
    <x v="0"/>
    <x v="0"/>
    <x v="0"/>
    <s v="DK1_NoDH"/>
    <x v="2"/>
    <x v="42"/>
    <x v="0"/>
    <x v="9"/>
    <n v="124.642857142857"/>
    <n v="45494.642857142899"/>
    <n v="163780.714285714"/>
  </r>
  <r>
    <x v="0"/>
    <x v="0"/>
    <x v="0"/>
    <x v="0"/>
    <x v="0"/>
    <s v="DK1_NoDH"/>
    <x v="2"/>
    <x v="43"/>
    <x v="0"/>
    <x v="0"/>
    <n v="16.060606060606101"/>
    <n v="5862.1212121212102"/>
    <n v="21103.6363636364"/>
  </r>
  <r>
    <x v="0"/>
    <x v="0"/>
    <x v="0"/>
    <x v="0"/>
    <x v="0"/>
    <s v="DK1_NoDH"/>
    <x v="2"/>
    <x v="43"/>
    <x v="0"/>
    <x v="1"/>
    <n v="16.060606060606101"/>
    <n v="5862.1212121212102"/>
    <n v="21103.6363636364"/>
  </r>
  <r>
    <x v="0"/>
    <x v="0"/>
    <x v="0"/>
    <x v="0"/>
    <x v="0"/>
    <s v="DK1_NoDH"/>
    <x v="2"/>
    <x v="43"/>
    <x v="0"/>
    <x v="2"/>
    <n v="16.060606060606101"/>
    <n v="5862.1212121212102"/>
    <n v="21103.6363636364"/>
  </r>
  <r>
    <x v="0"/>
    <x v="0"/>
    <x v="0"/>
    <x v="0"/>
    <x v="0"/>
    <s v="DK1_NoDH"/>
    <x v="2"/>
    <x v="43"/>
    <x v="0"/>
    <x v="9"/>
    <n v="16.060606060606101"/>
    <n v="5862.1212121212102"/>
    <n v="21103.6363636364"/>
  </r>
  <r>
    <x v="0"/>
    <x v="0"/>
    <x v="0"/>
    <x v="0"/>
    <x v="0"/>
    <s v="DK1_NoDH"/>
    <x v="2"/>
    <x v="43"/>
    <x v="0"/>
    <x v="10"/>
    <n v="16.060606060606101"/>
    <n v="5862.1212121212102"/>
    <n v="21103.6363636364"/>
  </r>
  <r>
    <x v="0"/>
    <x v="0"/>
    <x v="0"/>
    <x v="0"/>
    <x v="0"/>
    <s v="DK1_NoDH"/>
    <x v="2"/>
    <x v="43"/>
    <x v="0"/>
    <x v="11"/>
    <n v="16.060606060606101"/>
    <n v="5862.1212121212102"/>
    <n v="21103.6363636364"/>
  </r>
  <r>
    <x v="0"/>
    <x v="0"/>
    <x v="0"/>
    <x v="0"/>
    <x v="0"/>
    <s v="DK1_NoDH"/>
    <x v="2"/>
    <x v="44"/>
    <x v="0"/>
    <x v="7"/>
    <n v="11.1111111111111"/>
    <n v="4055.5555555555502"/>
    <n v="14600"/>
  </r>
  <r>
    <x v="0"/>
    <x v="0"/>
    <x v="0"/>
    <x v="0"/>
    <x v="0"/>
    <s v="DK1_NoDH"/>
    <x v="2"/>
    <x v="44"/>
    <x v="0"/>
    <x v="8"/>
    <n v="11.1111111111111"/>
    <n v="4055.5555555555502"/>
    <n v="14600"/>
  </r>
  <r>
    <x v="0"/>
    <x v="0"/>
    <x v="0"/>
    <x v="0"/>
    <x v="0"/>
    <s v="DK1_NoDH"/>
    <x v="2"/>
    <x v="44"/>
    <x v="0"/>
    <x v="0"/>
    <n v="11.1111111111111"/>
    <n v="4055.5555555555502"/>
    <n v="14600"/>
  </r>
  <r>
    <x v="0"/>
    <x v="0"/>
    <x v="0"/>
    <x v="0"/>
    <x v="0"/>
    <s v="DK1_NoDH"/>
    <x v="2"/>
    <x v="44"/>
    <x v="0"/>
    <x v="1"/>
    <n v="11.1111111111111"/>
    <n v="4055.5555555555502"/>
    <n v="14600"/>
  </r>
  <r>
    <x v="0"/>
    <x v="0"/>
    <x v="0"/>
    <x v="0"/>
    <x v="0"/>
    <s v="DK1_NoDH"/>
    <x v="2"/>
    <x v="44"/>
    <x v="0"/>
    <x v="2"/>
    <n v="11.1111111111111"/>
    <n v="4055.5555555555502"/>
    <n v="14600"/>
  </r>
  <r>
    <x v="0"/>
    <x v="0"/>
    <x v="0"/>
    <x v="0"/>
    <x v="0"/>
    <s v="DK1_NoDH"/>
    <x v="2"/>
    <x v="44"/>
    <x v="0"/>
    <x v="9"/>
    <n v="11.1111111111111"/>
    <n v="4055.5555555555502"/>
    <n v="14600"/>
  </r>
  <r>
    <x v="0"/>
    <x v="0"/>
    <x v="0"/>
    <x v="0"/>
    <x v="0"/>
    <s v="DK1_NoDH"/>
    <x v="2"/>
    <x v="44"/>
    <x v="0"/>
    <x v="10"/>
    <n v="11.1111111111111"/>
    <n v="4055.5555555555502"/>
    <n v="14600"/>
  </r>
  <r>
    <x v="0"/>
    <x v="0"/>
    <x v="0"/>
    <x v="0"/>
    <x v="0"/>
    <s v="DK1_NoDH"/>
    <x v="2"/>
    <x v="44"/>
    <x v="0"/>
    <x v="11"/>
    <n v="11.1111111111111"/>
    <n v="4055.5555555555502"/>
    <n v="14600"/>
  </r>
  <r>
    <x v="0"/>
    <x v="0"/>
    <x v="0"/>
    <x v="0"/>
    <x v="0"/>
    <s v="DK1_NoDH"/>
    <x v="2"/>
    <x v="44"/>
    <x v="0"/>
    <x v="12"/>
    <n v="11.1111111111111"/>
    <n v="4055.5555555555502"/>
    <n v="14600"/>
  </r>
  <r>
    <x v="0"/>
    <x v="0"/>
    <x v="0"/>
    <x v="0"/>
    <x v="0"/>
    <s v="DK1_NoDH"/>
    <x v="2"/>
    <x v="44"/>
    <x v="0"/>
    <x v="13"/>
    <n v="11.1111111111111"/>
    <n v="4055.5555555555502"/>
    <n v="14600"/>
  </r>
  <r>
    <x v="0"/>
    <x v="0"/>
    <x v="0"/>
    <x v="0"/>
    <x v="0"/>
    <s v="DK1_NoDH"/>
    <x v="2"/>
    <x v="44"/>
    <x v="0"/>
    <x v="14"/>
    <n v="11.1111111111111"/>
    <n v="4055.5555555555502"/>
    <n v="14600"/>
  </r>
  <r>
    <x v="0"/>
    <x v="0"/>
    <x v="0"/>
    <x v="0"/>
    <x v="0"/>
    <s v="DK1_NoDH"/>
    <x v="2"/>
    <x v="44"/>
    <x v="0"/>
    <x v="15"/>
    <n v="11.1111111111111"/>
    <n v="4055.5555555555502"/>
    <n v="14600"/>
  </r>
  <r>
    <x v="0"/>
    <x v="0"/>
    <x v="0"/>
    <x v="0"/>
    <x v="0"/>
    <s v="DK1_NoDH"/>
    <x v="2"/>
    <x v="44"/>
    <x v="0"/>
    <x v="16"/>
    <n v="11.1111111111111"/>
    <n v="4055.5555555555502"/>
    <n v="14600"/>
  </r>
  <r>
    <x v="0"/>
    <x v="0"/>
    <x v="0"/>
    <x v="0"/>
    <x v="0"/>
    <s v="DK1_NoDH"/>
    <x v="2"/>
    <x v="44"/>
    <x v="0"/>
    <x v="17"/>
    <n v="11.1111111111111"/>
    <n v="4055.5555555555502"/>
    <n v="14600"/>
  </r>
  <r>
    <x v="0"/>
    <x v="0"/>
    <x v="0"/>
    <x v="0"/>
    <x v="0"/>
    <s v="DK1_NoDH"/>
    <x v="2"/>
    <x v="44"/>
    <x v="0"/>
    <x v="18"/>
    <n v="11.1111111111111"/>
    <n v="4055.5555555555502"/>
    <n v="14600"/>
  </r>
  <r>
    <x v="0"/>
    <x v="0"/>
    <x v="0"/>
    <x v="0"/>
    <x v="0"/>
    <s v="DK1_NoDH"/>
    <x v="6"/>
    <x v="45"/>
    <x v="0"/>
    <x v="2"/>
    <n v="11.5255572480597"/>
    <n v="4206.8283955417901"/>
    <n v="15144.5822239504"/>
  </r>
  <r>
    <x v="0"/>
    <x v="0"/>
    <x v="0"/>
    <x v="0"/>
    <x v="0"/>
    <s v="DK1_NoDH"/>
    <x v="6"/>
    <x v="45"/>
    <x v="0"/>
    <x v="9"/>
    <n v="86.766759180264799"/>
    <n v="31669.867100796699"/>
    <n v="114011.521562868"/>
  </r>
  <r>
    <x v="0"/>
    <x v="0"/>
    <x v="0"/>
    <x v="0"/>
    <x v="0"/>
    <s v="DK1_NoDH"/>
    <x v="6"/>
    <x v="45"/>
    <x v="0"/>
    <x v="10"/>
    <n v="200.426485272669"/>
    <n v="73155.667124524203"/>
    <n v="263360.40164828702"/>
  </r>
  <r>
    <x v="0"/>
    <x v="0"/>
    <x v="0"/>
    <x v="0"/>
    <x v="0"/>
    <s v="DK1_NoDH"/>
    <x v="6"/>
    <x v="45"/>
    <x v="0"/>
    <x v="11"/>
    <n v="305.22039809733502"/>
    <n v="111405.445305527"/>
    <n v="401059.60309989803"/>
  </r>
  <r>
    <x v="0"/>
    <x v="0"/>
    <x v="0"/>
    <x v="0"/>
    <x v="0"/>
    <s v="DK1_NoDH"/>
    <x v="6"/>
    <x v="45"/>
    <x v="0"/>
    <x v="12"/>
    <n v="347.00793129927399"/>
    <n v="126657.89492423501"/>
    <n v="455968.42172724602"/>
  </r>
  <r>
    <x v="0"/>
    <x v="0"/>
    <x v="0"/>
    <x v="0"/>
    <x v="0"/>
    <s v="DK1_NoDH"/>
    <x v="6"/>
    <x v="45"/>
    <x v="0"/>
    <x v="13"/>
    <n v="301.73317821202397"/>
    <n v="110132.610047389"/>
    <n v="396477.39617060003"/>
  </r>
  <r>
    <x v="0"/>
    <x v="0"/>
    <x v="0"/>
    <x v="0"/>
    <x v="0"/>
    <s v="DK1_NoDH"/>
    <x v="6"/>
    <x v="45"/>
    <x v="0"/>
    <x v="14"/>
    <n v="196.348211169509"/>
    <n v="71667.097076870894"/>
    <n v="258001.549476735"/>
  </r>
  <r>
    <x v="0"/>
    <x v="0"/>
    <x v="0"/>
    <x v="0"/>
    <x v="0"/>
    <s v="DK1_NoDH"/>
    <x v="6"/>
    <x v="45"/>
    <x v="0"/>
    <x v="15"/>
    <n v="99.415319442238001"/>
    <n v="36286.591596416903"/>
    <n v="130631.729747101"/>
  </r>
  <r>
    <x v="0"/>
    <x v="0"/>
    <x v="0"/>
    <x v="0"/>
    <x v="0"/>
    <s v="DK1_NoDH"/>
    <x v="6"/>
    <x v="45"/>
    <x v="0"/>
    <x v="16"/>
    <n v="12.944087370897799"/>
    <n v="4724.5918903777001"/>
    <n v="17008.5308053597"/>
  </r>
  <r>
    <x v="0"/>
    <x v="0"/>
    <x v="0"/>
    <x v="0"/>
    <x v="0"/>
    <s v="DK1_NoDH"/>
    <x v="7"/>
    <x v="46"/>
    <x v="0"/>
    <x v="3"/>
    <n v="3.81847406923176"/>
    <n v="1393.7430352695901"/>
    <n v="5017.4749269705299"/>
  </r>
  <r>
    <x v="0"/>
    <x v="0"/>
    <x v="0"/>
    <x v="0"/>
    <x v="0"/>
    <s v="DK1_NoDH"/>
    <x v="7"/>
    <x v="46"/>
    <x v="0"/>
    <x v="4"/>
    <n v="3.81847406923176"/>
    <n v="1393.7430352695901"/>
    <n v="5017.4749269705299"/>
  </r>
  <r>
    <x v="0"/>
    <x v="0"/>
    <x v="0"/>
    <x v="0"/>
    <x v="0"/>
    <s v="DK1_NoDH"/>
    <x v="7"/>
    <x v="46"/>
    <x v="0"/>
    <x v="5"/>
    <n v="3.81847406923176"/>
    <n v="1393.7430352695901"/>
    <n v="5017.4749269705299"/>
  </r>
  <r>
    <x v="0"/>
    <x v="0"/>
    <x v="0"/>
    <x v="0"/>
    <x v="0"/>
    <s v="DK1_NoDH"/>
    <x v="7"/>
    <x v="46"/>
    <x v="0"/>
    <x v="6"/>
    <n v="3.81847406923176"/>
    <n v="1393.7430352695901"/>
    <n v="5017.4749269705299"/>
  </r>
  <r>
    <x v="0"/>
    <x v="0"/>
    <x v="0"/>
    <x v="0"/>
    <x v="0"/>
    <s v="DK1_NoDH"/>
    <x v="7"/>
    <x v="46"/>
    <x v="0"/>
    <x v="7"/>
    <n v="3.81847406923176"/>
    <n v="1393.7430352695901"/>
    <n v="5017.4749269705299"/>
  </r>
  <r>
    <x v="0"/>
    <x v="0"/>
    <x v="0"/>
    <x v="0"/>
    <x v="0"/>
    <s v="DK1_NoDH"/>
    <x v="7"/>
    <x v="46"/>
    <x v="0"/>
    <x v="8"/>
    <n v="3.81847406923176"/>
    <n v="1393.7430352695901"/>
    <n v="5017.4749269705299"/>
  </r>
  <r>
    <x v="0"/>
    <x v="0"/>
    <x v="0"/>
    <x v="0"/>
    <x v="0"/>
    <s v="DK1_NoDH"/>
    <x v="7"/>
    <x v="46"/>
    <x v="0"/>
    <x v="0"/>
    <n v="3.81847406923176"/>
    <n v="1393.7430352695901"/>
    <n v="5017.4749269705299"/>
  </r>
  <r>
    <x v="0"/>
    <x v="0"/>
    <x v="0"/>
    <x v="0"/>
    <x v="0"/>
    <s v="DK1_NoDH"/>
    <x v="7"/>
    <x v="46"/>
    <x v="0"/>
    <x v="1"/>
    <n v="3.81847406923176"/>
    <n v="1393.7430352695901"/>
    <n v="5017.4749269705299"/>
  </r>
  <r>
    <x v="0"/>
    <x v="0"/>
    <x v="0"/>
    <x v="0"/>
    <x v="0"/>
    <s v="DK1_NoDH"/>
    <x v="7"/>
    <x v="46"/>
    <x v="0"/>
    <x v="2"/>
    <n v="3.81847406923176"/>
    <n v="1393.7430352695901"/>
    <n v="5017.4749269705299"/>
  </r>
  <r>
    <x v="0"/>
    <x v="0"/>
    <x v="0"/>
    <x v="0"/>
    <x v="0"/>
    <s v="DK1_NoDH"/>
    <x v="7"/>
    <x v="46"/>
    <x v="0"/>
    <x v="9"/>
    <n v="3.81847406923176"/>
    <n v="1393.7430352695901"/>
    <n v="5017.4749269705299"/>
  </r>
  <r>
    <x v="0"/>
    <x v="0"/>
    <x v="0"/>
    <x v="0"/>
    <x v="0"/>
    <s v="DK1_NoDH"/>
    <x v="7"/>
    <x v="46"/>
    <x v="0"/>
    <x v="10"/>
    <n v="3.81847406923176"/>
    <n v="1393.7430352695901"/>
    <n v="5017.4749269705299"/>
  </r>
  <r>
    <x v="0"/>
    <x v="0"/>
    <x v="0"/>
    <x v="0"/>
    <x v="0"/>
    <s v="DK1_NoDH"/>
    <x v="7"/>
    <x v="46"/>
    <x v="0"/>
    <x v="11"/>
    <n v="3.81847406923176"/>
    <n v="1393.7430352695901"/>
    <n v="5017.4749269705299"/>
  </r>
  <r>
    <x v="0"/>
    <x v="0"/>
    <x v="0"/>
    <x v="0"/>
    <x v="0"/>
    <s v="DK1_NoDH"/>
    <x v="7"/>
    <x v="46"/>
    <x v="0"/>
    <x v="12"/>
    <n v="3.81847406923176"/>
    <n v="1393.7430352695901"/>
    <n v="5017.4749269705299"/>
  </r>
  <r>
    <x v="0"/>
    <x v="0"/>
    <x v="0"/>
    <x v="0"/>
    <x v="0"/>
    <s v="DK1_NoDH"/>
    <x v="7"/>
    <x v="46"/>
    <x v="0"/>
    <x v="13"/>
    <n v="3.81847406923176"/>
    <n v="1393.7430352695901"/>
    <n v="5017.4749269705299"/>
  </r>
  <r>
    <x v="0"/>
    <x v="0"/>
    <x v="0"/>
    <x v="0"/>
    <x v="0"/>
    <s v="DK1_NoDH"/>
    <x v="7"/>
    <x v="46"/>
    <x v="0"/>
    <x v="14"/>
    <n v="3.81847406923176"/>
    <n v="1393.7430352695901"/>
    <n v="5017.4749269705299"/>
  </r>
  <r>
    <x v="0"/>
    <x v="0"/>
    <x v="0"/>
    <x v="0"/>
    <x v="0"/>
    <s v="DK1_NoDH"/>
    <x v="7"/>
    <x v="46"/>
    <x v="0"/>
    <x v="15"/>
    <n v="3.81847406923176"/>
    <n v="1393.7430352695901"/>
    <n v="5017.4749269705299"/>
  </r>
  <r>
    <x v="0"/>
    <x v="0"/>
    <x v="0"/>
    <x v="0"/>
    <x v="0"/>
    <s v="DK1_NoDH"/>
    <x v="7"/>
    <x v="46"/>
    <x v="0"/>
    <x v="16"/>
    <n v="3.81847406923176"/>
    <n v="1393.7430352695901"/>
    <n v="5017.4749269705299"/>
  </r>
  <r>
    <x v="0"/>
    <x v="0"/>
    <x v="0"/>
    <x v="0"/>
    <x v="0"/>
    <s v="DK1_NoDH"/>
    <x v="7"/>
    <x v="46"/>
    <x v="0"/>
    <x v="17"/>
    <n v="3.81847406923176"/>
    <n v="1393.7430352695901"/>
    <n v="5017.4749269705299"/>
  </r>
  <r>
    <x v="0"/>
    <x v="0"/>
    <x v="0"/>
    <x v="0"/>
    <x v="0"/>
    <s v="DK1_NoDH"/>
    <x v="7"/>
    <x v="46"/>
    <x v="0"/>
    <x v="18"/>
    <n v="3.81847406923176"/>
    <n v="1393.7430352695901"/>
    <n v="5017.4749269705299"/>
  </r>
  <r>
    <x v="0"/>
    <x v="0"/>
    <x v="0"/>
    <x v="0"/>
    <x v="0"/>
    <s v="DK1_NoDH"/>
    <x v="7"/>
    <x v="46"/>
    <x v="0"/>
    <x v="19"/>
    <n v="3.81847406923176"/>
    <n v="1393.7430352695901"/>
    <n v="5017.4749269705299"/>
  </r>
  <r>
    <x v="0"/>
    <x v="0"/>
    <x v="0"/>
    <x v="0"/>
    <x v="0"/>
    <s v="DK1_NoDH"/>
    <x v="7"/>
    <x v="46"/>
    <x v="0"/>
    <x v="20"/>
    <n v="3.81847406923176"/>
    <n v="1393.7430352695901"/>
    <n v="5017.4749269705299"/>
  </r>
  <r>
    <x v="0"/>
    <x v="0"/>
    <x v="0"/>
    <x v="0"/>
    <x v="0"/>
    <s v="DK1_NoDH"/>
    <x v="7"/>
    <x v="46"/>
    <x v="0"/>
    <x v="21"/>
    <n v="3.81847406923176"/>
    <n v="1393.7430352695901"/>
    <n v="5017.4749269705299"/>
  </r>
  <r>
    <x v="0"/>
    <x v="0"/>
    <x v="0"/>
    <x v="0"/>
    <x v="0"/>
    <s v="DK1_NoDH"/>
    <x v="7"/>
    <x v="46"/>
    <x v="0"/>
    <x v="22"/>
    <n v="3.81847406923176"/>
    <n v="1393.7430352695901"/>
    <n v="5017.4749269705299"/>
  </r>
  <r>
    <x v="0"/>
    <x v="0"/>
    <x v="0"/>
    <x v="0"/>
    <x v="0"/>
    <s v="DK1_NoDH"/>
    <x v="7"/>
    <x v="46"/>
    <x v="0"/>
    <x v="23"/>
    <n v="3.81847406923176"/>
    <n v="1393.7430352695901"/>
    <n v="5017.4749269705299"/>
  </r>
  <r>
    <x v="0"/>
    <x v="0"/>
    <x v="0"/>
    <x v="0"/>
    <x v="0"/>
    <s v="DK1_NoDH"/>
    <x v="8"/>
    <x v="47"/>
    <x v="0"/>
    <x v="3"/>
    <n v="30.762561377727302"/>
    <n v="11228.3349028705"/>
    <n v="40422.005650333696"/>
  </r>
  <r>
    <x v="0"/>
    <x v="0"/>
    <x v="0"/>
    <x v="0"/>
    <x v="0"/>
    <s v="DK1_NoDH"/>
    <x v="8"/>
    <x v="47"/>
    <x v="0"/>
    <x v="4"/>
    <n v="28.087556040533599"/>
    <n v="10251.9579547948"/>
    <n v="36907.048637261199"/>
  </r>
  <r>
    <x v="0"/>
    <x v="0"/>
    <x v="0"/>
    <x v="0"/>
    <x v="0"/>
    <s v="DK1_NoDH"/>
    <x v="8"/>
    <x v="47"/>
    <x v="0"/>
    <x v="5"/>
    <n v="13.3750266859684"/>
    <n v="4881.8847403784603"/>
    <n v="17574.785065362499"/>
  </r>
  <r>
    <x v="0"/>
    <x v="0"/>
    <x v="0"/>
    <x v="0"/>
    <x v="0"/>
    <s v="DK1_NoDH"/>
    <x v="8"/>
    <x v="47"/>
    <x v="0"/>
    <x v="6"/>
    <n v="14.7125293545652"/>
    <n v="5370.0732144163103"/>
    <n v="19332.2635718987"/>
  </r>
  <r>
    <x v="0"/>
    <x v="0"/>
    <x v="0"/>
    <x v="0"/>
    <x v="0"/>
    <s v="DK1_NoDH"/>
    <x v="8"/>
    <x v="47"/>
    <x v="0"/>
    <x v="7"/>
    <n v="26.750053371936801"/>
    <n v="9763.7694807569205"/>
    <n v="35149.570130724896"/>
  </r>
  <r>
    <x v="0"/>
    <x v="0"/>
    <x v="0"/>
    <x v="0"/>
    <x v="0"/>
    <s v="DK1_NoDH"/>
    <x v="8"/>
    <x v="47"/>
    <x v="0"/>
    <x v="8"/>
    <n v="46.812593400889398"/>
    <n v="17086.5965913246"/>
    <n v="61511.747728768598"/>
  </r>
  <r>
    <x v="0"/>
    <x v="0"/>
    <x v="0"/>
    <x v="0"/>
    <x v="0"/>
    <s v="DK1_NoDH"/>
    <x v="8"/>
    <x v="47"/>
    <x v="0"/>
    <x v="0"/>
    <n v="94.962689470375594"/>
    <n v="34661.381656687103"/>
    <n v="124780.973964073"/>
  </r>
  <r>
    <x v="0"/>
    <x v="0"/>
    <x v="0"/>
    <x v="0"/>
    <x v="0"/>
    <s v="DK1_NoDH"/>
    <x v="8"/>
    <x v="47"/>
    <x v="0"/>
    <x v="1"/>
    <n v="197.950394952332"/>
    <n v="72251.8941576012"/>
    <n v="260106.818967364"/>
  </r>
  <r>
    <x v="0"/>
    <x v="0"/>
    <x v="0"/>
    <x v="0"/>
    <x v="0"/>
    <s v="DK1_NoDH"/>
    <x v="8"/>
    <x v="47"/>
    <x v="0"/>
    <x v="2"/>
    <n v="327.68815380622601"/>
    <n v="119606.17613927199"/>
    <n v="430582.23410137999"/>
  </r>
  <r>
    <x v="0"/>
    <x v="0"/>
    <x v="0"/>
    <x v="0"/>
    <x v="0"/>
    <s v="DK1_NoDH"/>
    <x v="8"/>
    <x v="47"/>
    <x v="0"/>
    <x v="9"/>
    <n v="484.17596603205601"/>
    <n v="176724.2276017"/>
    <n v="636207.21936612099"/>
  </r>
  <r>
    <x v="0"/>
    <x v="0"/>
    <x v="0"/>
    <x v="0"/>
    <x v="0"/>
    <s v="DK1_NoDH"/>
    <x v="8"/>
    <x v="47"/>
    <x v="0"/>
    <x v="10"/>
    <n v="643.33878359507901"/>
    <n v="234818.65601220401"/>
    <n v="845347.16164393397"/>
  </r>
  <r>
    <x v="0"/>
    <x v="0"/>
    <x v="0"/>
    <x v="0"/>
    <x v="0"/>
    <s v="DK1_NoDH"/>
    <x v="8"/>
    <x v="47"/>
    <x v="0"/>
    <x v="11"/>
    <n v="787.78907180353804"/>
    <n v="287543.01120829099"/>
    <n v="1035154.84034985"/>
  </r>
  <r>
    <x v="0"/>
    <x v="0"/>
    <x v="0"/>
    <x v="0"/>
    <x v="0"/>
    <s v="DK1_NoDH"/>
    <x v="8"/>
    <x v="47"/>
    <x v="0"/>
    <x v="12"/>
    <n v="872.05173992513903"/>
    <n v="318298.885072676"/>
    <n v="1145875.98626163"/>
  </r>
  <r>
    <x v="0"/>
    <x v="0"/>
    <x v="0"/>
    <x v="0"/>
    <x v="0"/>
    <s v="DK1_NoDH"/>
    <x v="8"/>
    <x v="47"/>
    <x v="0"/>
    <x v="13"/>
    <n v="1031.2145574881599"/>
    <n v="376393.31348317902"/>
    <n v="1355015.92853945"/>
  </r>
  <r>
    <x v="0"/>
    <x v="0"/>
    <x v="0"/>
    <x v="0"/>
    <x v="0"/>
    <s v="DK1_NoDH"/>
    <x v="8"/>
    <x v="47"/>
    <x v="0"/>
    <x v="14"/>
    <n v="1172.98984035943"/>
    <n v="428141.29173119098"/>
    <n v="1541308.6502322899"/>
  </r>
  <r>
    <x v="0"/>
    <x v="0"/>
    <x v="0"/>
    <x v="0"/>
    <x v="0"/>
    <s v="DK1_NoDH"/>
    <x v="8"/>
    <x v="47"/>
    <x v="0"/>
    <x v="15"/>
    <n v="1404.37780202668"/>
    <n v="512597.89773973898"/>
    <n v="1845352.43186306"/>
  </r>
  <r>
    <x v="0"/>
    <x v="0"/>
    <x v="0"/>
    <x v="0"/>
    <x v="0"/>
    <s v="DK1_NoDH"/>
    <x v="8"/>
    <x v="47"/>
    <x v="0"/>
    <x v="16"/>
    <n v="1746.7784851874701"/>
    <n v="637574.14709342702"/>
    <n v="2295266.9295363398"/>
  </r>
  <r>
    <x v="0"/>
    <x v="0"/>
    <x v="0"/>
    <x v="0"/>
    <x v="0"/>
    <s v="DK1_NoDH"/>
    <x v="8"/>
    <x v="47"/>
    <x v="0"/>
    <x v="17"/>
    <n v="2201.5293925104002"/>
    <n v="803558.22826629505"/>
    <n v="2892809.6217586598"/>
  </r>
  <r>
    <x v="0"/>
    <x v="0"/>
    <x v="0"/>
    <x v="0"/>
    <x v="0"/>
    <s v="DK1_NoDH"/>
    <x v="8"/>
    <x v="47"/>
    <x v="0"/>
    <x v="18"/>
    <n v="2720.4804279259702"/>
    <n v="992975.35619297903"/>
    <n v="3574711.2822947302"/>
  </r>
  <r>
    <x v="0"/>
    <x v="0"/>
    <x v="0"/>
    <x v="0"/>
    <x v="0"/>
    <s v="DK1_NoDH"/>
    <x v="8"/>
    <x v="47"/>
    <x v="0"/>
    <x v="19"/>
    <n v="2931.8058495642699"/>
    <n v="1070109.13509096"/>
    <n v="3852392.8863274502"/>
  </r>
  <r>
    <x v="0"/>
    <x v="0"/>
    <x v="0"/>
    <x v="0"/>
    <x v="0"/>
    <s v="DK1_NoDH"/>
    <x v="8"/>
    <x v="47"/>
    <x v="0"/>
    <x v="20"/>
    <n v="2894.3557748435601"/>
    <n v="1056439.8578178999"/>
    <n v="3803183.4881444401"/>
  </r>
  <r>
    <x v="0"/>
    <x v="0"/>
    <x v="0"/>
    <x v="0"/>
    <x v="0"/>
    <s v="DK1_NoDH"/>
    <x v="8"/>
    <x v="47"/>
    <x v="0"/>
    <x v="21"/>
    <n v="2910.40580686672"/>
    <n v="1062298.11950635"/>
    <n v="3824273.2302228701"/>
  </r>
  <r>
    <x v="0"/>
    <x v="0"/>
    <x v="0"/>
    <x v="0"/>
    <x v="0"/>
    <s v="DK1_NoDH"/>
    <x v="8"/>
    <x v="47"/>
    <x v="0"/>
    <x v="22"/>
    <n v="2982.6309509709499"/>
    <n v="1088660.2971043999"/>
    <n v="3919177.0695758299"/>
  </r>
  <r>
    <x v="0"/>
    <x v="0"/>
    <x v="0"/>
    <x v="0"/>
    <x v="0"/>
    <s v="DK1_NoDH"/>
    <x v="8"/>
    <x v="47"/>
    <x v="0"/>
    <x v="23"/>
    <n v="3001.3559883313101"/>
    <n v="1095494.93574093"/>
    <n v="3943781.7686673398"/>
  </r>
  <r>
    <x v="0"/>
    <x v="0"/>
    <x v="0"/>
    <x v="0"/>
    <x v="0"/>
    <s v="DK1_Offshore"/>
    <x v="8"/>
    <x v="48"/>
    <x v="0"/>
    <x v="3"/>
    <n v="10.826956579742401"/>
    <n v="3951.8391516059701"/>
    <n v="14226.6209457815"/>
  </r>
  <r>
    <x v="0"/>
    <x v="0"/>
    <x v="0"/>
    <x v="0"/>
    <x v="0"/>
    <s v="DK1_Offshore"/>
    <x v="8"/>
    <x v="48"/>
    <x v="0"/>
    <x v="4"/>
    <n v="9.88548209454739"/>
    <n v="3608.2009645098001"/>
    <n v="12989.5234722353"/>
  </r>
  <r>
    <x v="0"/>
    <x v="0"/>
    <x v="0"/>
    <x v="0"/>
    <x v="0"/>
    <s v="DK1_Offshore"/>
    <x v="8"/>
    <x v="48"/>
    <x v="0"/>
    <x v="5"/>
    <n v="4.7073724259749499"/>
    <n v="1718.1909354808599"/>
    <n v="6185.4873677310798"/>
  </r>
  <r>
    <x v="0"/>
    <x v="0"/>
    <x v="0"/>
    <x v="0"/>
    <x v="0"/>
    <s v="DK1_Offshore"/>
    <x v="8"/>
    <x v="48"/>
    <x v="0"/>
    <x v="6"/>
    <n v="5.1781096685724401"/>
    <n v="1890.0100290289399"/>
    <n v="6804.03610450419"/>
  </r>
  <r>
    <x v="0"/>
    <x v="0"/>
    <x v="0"/>
    <x v="0"/>
    <x v="0"/>
    <s v="DK1_Offshore"/>
    <x v="8"/>
    <x v="48"/>
    <x v="0"/>
    <x v="7"/>
    <n v="9.4147448519498997"/>
    <n v="3436.3818709617099"/>
    <n v="12370.9747354622"/>
  </r>
  <r>
    <x v="0"/>
    <x v="0"/>
    <x v="0"/>
    <x v="0"/>
    <x v="0"/>
    <s v="DK1_Offshore"/>
    <x v="8"/>
    <x v="48"/>
    <x v="0"/>
    <x v="8"/>
    <n v="16.475803490912298"/>
    <n v="6013.668274183"/>
    <n v="21649.2057870588"/>
  </r>
  <r>
    <x v="0"/>
    <x v="0"/>
    <x v="0"/>
    <x v="0"/>
    <x v="0"/>
    <s v="DK1_Offshore"/>
    <x v="8"/>
    <x v="48"/>
    <x v="0"/>
    <x v="0"/>
    <n v="33.422344224422098"/>
    <n v="12199.1556419141"/>
    <n v="43916.960310890703"/>
  </r>
  <r>
    <x v="0"/>
    <x v="0"/>
    <x v="0"/>
    <x v="0"/>
    <x v="0"/>
    <s v="DK1_Offshore"/>
    <x v="8"/>
    <x v="48"/>
    <x v="0"/>
    <x v="1"/>
    <n v="69.669111904429201"/>
    <n v="25429.2258451167"/>
    <n v="91545.21304242"/>
  </r>
  <r>
    <x v="0"/>
    <x v="0"/>
    <x v="0"/>
    <x v="0"/>
    <x v="0"/>
    <s v="DK1_Offshore"/>
    <x v="8"/>
    <x v="48"/>
    <x v="0"/>
    <x v="2"/>
    <n v="115.330624436386"/>
    <n v="42095.677919280999"/>
    <n v="151544.440509412"/>
  </r>
  <r>
    <x v="0"/>
    <x v="0"/>
    <x v="0"/>
    <x v="0"/>
    <x v="0"/>
    <s v="DK1_Offshore"/>
    <x v="8"/>
    <x v="48"/>
    <x v="0"/>
    <x v="9"/>
    <n v="170.40688182029299"/>
    <n v="62198.511864407003"/>
    <n v="223914.64271186499"/>
  </r>
  <r>
    <x v="0"/>
    <x v="0"/>
    <x v="0"/>
    <x v="0"/>
    <x v="0"/>
    <s v="DK1_Offshore"/>
    <x v="8"/>
    <x v="48"/>
    <x v="0"/>
    <x v="10"/>
    <n v="226.42461368939499"/>
    <n v="82644.983996629206"/>
    <n v="297521.94238786498"/>
  </r>
  <r>
    <x v="0"/>
    <x v="0"/>
    <x v="0"/>
    <x v="0"/>
    <x v="0"/>
    <s v="DK1_Offshore"/>
    <x v="8"/>
    <x v="48"/>
    <x v="0"/>
    <x v="11"/>
    <n v="277.26423588992498"/>
    <n v="101201.446099822"/>
    <n v="364325.20595936099"/>
  </r>
  <r>
    <x v="0"/>
    <x v="0"/>
    <x v="0"/>
    <x v="0"/>
    <x v="0"/>
    <s v="DK1_Offshore"/>
    <x v="8"/>
    <x v="48"/>
    <x v="0"/>
    <x v="12"/>
    <n v="306.920682173567"/>
    <n v="112026.048993352"/>
    <n v="403293.77637606702"/>
  </r>
  <r>
    <x v="0"/>
    <x v="0"/>
    <x v="0"/>
    <x v="0"/>
    <x v="0"/>
    <s v="DK1_Offshore"/>
    <x v="8"/>
    <x v="48"/>
    <x v="0"/>
    <x v="13"/>
    <n v="362.93841404266902"/>
    <n v="132472.52112557401"/>
    <n v="476901.076052066"/>
  </r>
  <r>
    <x v="0"/>
    <x v="0"/>
    <x v="0"/>
    <x v="0"/>
    <x v="0"/>
    <s v="DK1_Offshore"/>
    <x v="8"/>
    <x v="48"/>
    <x v="0"/>
    <x v="14"/>
    <n v="412.83656175800297"/>
    <n v="150685.34504167101"/>
    <n v="542467.24215001601"/>
  </r>
  <r>
    <x v="0"/>
    <x v="0"/>
    <x v="0"/>
    <x v="0"/>
    <x v="0"/>
    <s v="DK1_Offshore"/>
    <x v="8"/>
    <x v="48"/>
    <x v="0"/>
    <x v="15"/>
    <n v="494.27410472737"/>
    <n v="180410.04822549"/>
    <n v="649476.17361176398"/>
  </r>
  <r>
    <x v="0"/>
    <x v="0"/>
    <x v="0"/>
    <x v="0"/>
    <x v="0"/>
    <s v="DK1_Offshore"/>
    <x v="8"/>
    <x v="48"/>
    <x v="0"/>
    <x v="16"/>
    <n v="614.78283883232803"/>
    <n v="224395.73617379999"/>
    <n v="807824.65022567997"/>
  </r>
  <r>
    <x v="0"/>
    <x v="0"/>
    <x v="0"/>
    <x v="0"/>
    <x v="0"/>
    <s v="DK1_Offshore"/>
    <x v="8"/>
    <x v="48"/>
    <x v="0"/>
    <x v="17"/>
    <n v="774.83350131547695"/>
    <n v="282814.22798014898"/>
    <n v="1018131.22072854"/>
  </r>
  <r>
    <x v="0"/>
    <x v="0"/>
    <x v="0"/>
    <x v="0"/>
    <x v="0"/>
    <s v="DK1_Offshore"/>
    <x v="8"/>
    <x v="48"/>
    <x v="0"/>
    <x v="18"/>
    <n v="957.47955144330501"/>
    <n v="349480.03627680597"/>
    <n v="1258128.1305964999"/>
  </r>
  <r>
    <x v="0"/>
    <x v="0"/>
    <x v="0"/>
    <x v="0"/>
    <x v="0"/>
    <s v="DK1_Offshore"/>
    <x v="8"/>
    <x v="48"/>
    <x v="0"/>
    <x v="19"/>
    <n v="1031.8560357737099"/>
    <n v="376627.45305740403"/>
    <n v="1355858.8310066501"/>
  </r>
  <r>
    <x v="0"/>
    <x v="0"/>
    <x v="0"/>
    <x v="0"/>
    <x v="0"/>
    <s v="DK1_Offshore"/>
    <x v="8"/>
    <x v="48"/>
    <x v="0"/>
    <x v="20"/>
    <n v="1018.67539298098"/>
    <n v="371816.51843805698"/>
    <n v="1338539.4663770101"/>
  </r>
  <r>
    <x v="0"/>
    <x v="0"/>
    <x v="0"/>
    <x v="0"/>
    <x v="0"/>
    <s v="DK1_Offshore"/>
    <x v="8"/>
    <x v="48"/>
    <x v="0"/>
    <x v="21"/>
    <n v="1024.32423989215"/>
    <n v="373878.34756063402"/>
    <n v="1345962.0512182801"/>
  </r>
  <r>
    <x v="0"/>
    <x v="0"/>
    <x v="0"/>
    <x v="0"/>
    <x v="0"/>
    <s v="DK1_Offshore"/>
    <x v="8"/>
    <x v="48"/>
    <x v="0"/>
    <x v="22"/>
    <n v="1049.7440509924099"/>
    <n v="383156.57861223101"/>
    <n v="1379363.68300403"/>
  </r>
  <r>
    <x v="0"/>
    <x v="0"/>
    <x v="0"/>
    <x v="0"/>
    <x v="0"/>
    <s v="DK1_Offshore"/>
    <x v="8"/>
    <x v="48"/>
    <x v="0"/>
    <x v="23"/>
    <n v="1056.3343723887799"/>
    <n v="385562.04592190398"/>
    <n v="1388023.3653188599"/>
  </r>
  <r>
    <x v="0"/>
    <x v="0"/>
    <x v="0"/>
    <x v="0"/>
    <x v="0"/>
    <s v="DK1_Rural"/>
    <x v="2"/>
    <x v="39"/>
    <x v="0"/>
    <x v="0"/>
    <n v="13.636363636363599"/>
    <n v="4977.2727272727298"/>
    <n v="17918.181818181802"/>
  </r>
  <r>
    <x v="0"/>
    <x v="0"/>
    <x v="0"/>
    <x v="0"/>
    <x v="0"/>
    <s v="DK1_Rural"/>
    <x v="2"/>
    <x v="39"/>
    <x v="0"/>
    <x v="1"/>
    <n v="13.636363636363599"/>
    <n v="4977.2727272727298"/>
    <n v="17918.181818181802"/>
  </r>
  <r>
    <x v="0"/>
    <x v="0"/>
    <x v="0"/>
    <x v="0"/>
    <x v="0"/>
    <s v="DK1_Rural"/>
    <x v="2"/>
    <x v="39"/>
    <x v="0"/>
    <x v="2"/>
    <n v="13.636363636363599"/>
    <n v="4977.2727272727298"/>
    <n v="17918.181818181802"/>
  </r>
  <r>
    <x v="0"/>
    <x v="0"/>
    <x v="0"/>
    <x v="0"/>
    <x v="0"/>
    <s v="DK1_Rural"/>
    <x v="2"/>
    <x v="39"/>
    <x v="0"/>
    <x v="9"/>
    <n v="13.636363636363599"/>
    <n v="4977.2727272727298"/>
    <n v="17918.181818181802"/>
  </r>
  <r>
    <x v="0"/>
    <x v="0"/>
    <x v="0"/>
    <x v="0"/>
    <x v="0"/>
    <s v="DK1_Rural"/>
    <x v="2"/>
    <x v="39"/>
    <x v="0"/>
    <x v="10"/>
    <n v="13.636363636363599"/>
    <n v="4977.2727272727298"/>
    <n v="17918.181818181802"/>
  </r>
  <r>
    <x v="0"/>
    <x v="0"/>
    <x v="0"/>
    <x v="0"/>
    <x v="0"/>
    <s v="DK1_Rural"/>
    <x v="2"/>
    <x v="7"/>
    <x v="0"/>
    <x v="0"/>
    <n v="13.617647058823501"/>
    <n v="4970.4411764705901"/>
    <n v="17893.588235294101"/>
  </r>
  <r>
    <x v="0"/>
    <x v="0"/>
    <x v="0"/>
    <x v="0"/>
    <x v="0"/>
    <s v="DK1_Rural"/>
    <x v="2"/>
    <x v="7"/>
    <x v="0"/>
    <x v="1"/>
    <n v="13.617647058823501"/>
    <n v="4970.4411764705901"/>
    <n v="17893.588235294101"/>
  </r>
  <r>
    <x v="0"/>
    <x v="0"/>
    <x v="0"/>
    <x v="0"/>
    <x v="0"/>
    <s v="DK1_Rural"/>
    <x v="2"/>
    <x v="7"/>
    <x v="0"/>
    <x v="2"/>
    <n v="13.617647058823501"/>
    <n v="4970.4411764705901"/>
    <n v="17893.588235294101"/>
  </r>
  <r>
    <x v="0"/>
    <x v="0"/>
    <x v="0"/>
    <x v="0"/>
    <x v="0"/>
    <s v="DK1_Rural"/>
    <x v="2"/>
    <x v="7"/>
    <x v="0"/>
    <x v="9"/>
    <n v="13.617647058823501"/>
    <n v="4970.4411764705901"/>
    <n v="17893.588235294101"/>
  </r>
  <r>
    <x v="0"/>
    <x v="0"/>
    <x v="0"/>
    <x v="0"/>
    <x v="0"/>
    <s v="DK1_Rural"/>
    <x v="2"/>
    <x v="7"/>
    <x v="0"/>
    <x v="10"/>
    <n v="13.617647058823501"/>
    <n v="4970.4411764705901"/>
    <n v="17893.588235294101"/>
  </r>
  <r>
    <x v="0"/>
    <x v="0"/>
    <x v="0"/>
    <x v="0"/>
    <x v="0"/>
    <s v="DK1_Rural"/>
    <x v="2"/>
    <x v="7"/>
    <x v="0"/>
    <x v="11"/>
    <n v="13.617647058823501"/>
    <n v="4970.4411764705901"/>
    <n v="17893.588235294101"/>
  </r>
  <r>
    <x v="0"/>
    <x v="0"/>
    <x v="0"/>
    <x v="0"/>
    <x v="0"/>
    <s v="DK1_Rural"/>
    <x v="2"/>
    <x v="7"/>
    <x v="0"/>
    <x v="12"/>
    <n v="13.617647058823501"/>
    <n v="4970.4411764705901"/>
    <n v="17893.588235294101"/>
  </r>
  <r>
    <x v="0"/>
    <x v="0"/>
    <x v="0"/>
    <x v="0"/>
    <x v="0"/>
    <s v="DK1_Rural"/>
    <x v="2"/>
    <x v="7"/>
    <x v="0"/>
    <x v="13"/>
    <n v="13.617647058823501"/>
    <n v="4970.4411764705901"/>
    <n v="17893.588235294101"/>
  </r>
  <r>
    <x v="0"/>
    <x v="0"/>
    <x v="0"/>
    <x v="0"/>
    <x v="0"/>
    <s v="DK1_Rural"/>
    <x v="2"/>
    <x v="7"/>
    <x v="0"/>
    <x v="14"/>
    <n v="13.617647058823501"/>
    <n v="4970.4411764705901"/>
    <n v="17893.588235294101"/>
  </r>
  <r>
    <x v="0"/>
    <x v="0"/>
    <x v="0"/>
    <x v="0"/>
    <x v="0"/>
    <s v="DK1_Rural"/>
    <x v="2"/>
    <x v="7"/>
    <x v="0"/>
    <x v="15"/>
    <n v="13.617647058823501"/>
    <n v="4970.4411764705901"/>
    <n v="17893.588235294101"/>
  </r>
  <r>
    <x v="0"/>
    <x v="0"/>
    <x v="0"/>
    <x v="0"/>
    <x v="0"/>
    <s v="DK1_Rural"/>
    <x v="2"/>
    <x v="7"/>
    <x v="0"/>
    <x v="16"/>
    <n v="13.617647058823501"/>
    <n v="4970.4411764705901"/>
    <n v="17893.588235294101"/>
  </r>
  <r>
    <x v="0"/>
    <x v="0"/>
    <x v="0"/>
    <x v="0"/>
    <x v="0"/>
    <s v="DK1_Rural"/>
    <x v="2"/>
    <x v="7"/>
    <x v="0"/>
    <x v="17"/>
    <n v="13.617647058823501"/>
    <n v="4970.4411764705901"/>
    <n v="17893.588235294101"/>
  </r>
  <r>
    <x v="0"/>
    <x v="0"/>
    <x v="0"/>
    <x v="0"/>
    <x v="0"/>
    <s v="DK1_Rural"/>
    <x v="2"/>
    <x v="7"/>
    <x v="0"/>
    <x v="18"/>
    <n v="13.617647058823501"/>
    <n v="4970.4411764705901"/>
    <n v="17893.588235294101"/>
  </r>
  <r>
    <x v="0"/>
    <x v="0"/>
    <x v="0"/>
    <x v="0"/>
    <x v="0"/>
    <s v="DK1_Rural"/>
    <x v="2"/>
    <x v="33"/>
    <x v="0"/>
    <x v="8"/>
    <n v="61.6944444444445"/>
    <n v="22518.472222222201"/>
    <n v="81066.5"/>
  </r>
  <r>
    <x v="0"/>
    <x v="0"/>
    <x v="0"/>
    <x v="0"/>
    <x v="0"/>
    <s v="DK1_Rural"/>
    <x v="2"/>
    <x v="33"/>
    <x v="0"/>
    <x v="0"/>
    <n v="61.6944444444445"/>
    <n v="22518.472222222201"/>
    <n v="81066.5"/>
  </r>
  <r>
    <x v="0"/>
    <x v="0"/>
    <x v="0"/>
    <x v="0"/>
    <x v="0"/>
    <s v="DK1_Rural"/>
    <x v="2"/>
    <x v="33"/>
    <x v="0"/>
    <x v="1"/>
    <n v="61.6944444444445"/>
    <n v="22518.472222222201"/>
    <n v="81066.5"/>
  </r>
  <r>
    <x v="0"/>
    <x v="0"/>
    <x v="0"/>
    <x v="0"/>
    <x v="0"/>
    <s v="DK1_Rural"/>
    <x v="2"/>
    <x v="33"/>
    <x v="0"/>
    <x v="2"/>
    <n v="61.6944444444445"/>
    <n v="22518.472222222201"/>
    <n v="81066.5"/>
  </r>
  <r>
    <x v="0"/>
    <x v="0"/>
    <x v="0"/>
    <x v="0"/>
    <x v="0"/>
    <s v="DK1_Rural"/>
    <x v="2"/>
    <x v="33"/>
    <x v="0"/>
    <x v="9"/>
    <n v="61.6944444444445"/>
    <n v="22518.472222222201"/>
    <n v="81066.5"/>
  </r>
  <r>
    <x v="0"/>
    <x v="0"/>
    <x v="0"/>
    <x v="0"/>
    <x v="0"/>
    <s v="DK1_Rural"/>
    <x v="2"/>
    <x v="33"/>
    <x v="0"/>
    <x v="10"/>
    <n v="61.6944444444445"/>
    <n v="22518.472222222201"/>
    <n v="81066.5"/>
  </r>
  <r>
    <x v="0"/>
    <x v="0"/>
    <x v="0"/>
    <x v="0"/>
    <x v="0"/>
    <s v="DK1_Rural"/>
    <x v="2"/>
    <x v="33"/>
    <x v="0"/>
    <x v="11"/>
    <n v="61.6944444444445"/>
    <n v="22518.472222222201"/>
    <n v="81066.5"/>
  </r>
  <r>
    <x v="0"/>
    <x v="0"/>
    <x v="0"/>
    <x v="0"/>
    <x v="0"/>
    <s v="DK1_Rural"/>
    <x v="2"/>
    <x v="33"/>
    <x v="0"/>
    <x v="12"/>
    <n v="61.6944444444445"/>
    <n v="22518.472222222201"/>
    <n v="81066.5"/>
  </r>
  <r>
    <x v="0"/>
    <x v="0"/>
    <x v="0"/>
    <x v="0"/>
    <x v="0"/>
    <s v="DK1_Rural"/>
    <x v="2"/>
    <x v="33"/>
    <x v="0"/>
    <x v="13"/>
    <n v="61.6944444444445"/>
    <n v="22518.472222222201"/>
    <n v="81066.5"/>
  </r>
  <r>
    <x v="0"/>
    <x v="0"/>
    <x v="0"/>
    <x v="0"/>
    <x v="0"/>
    <s v="DK1_Rural"/>
    <x v="2"/>
    <x v="33"/>
    <x v="0"/>
    <x v="14"/>
    <n v="61.6944444444445"/>
    <n v="22518.472222222201"/>
    <n v="81066.5"/>
  </r>
  <r>
    <x v="0"/>
    <x v="0"/>
    <x v="0"/>
    <x v="0"/>
    <x v="0"/>
    <s v="DK1_Rural"/>
    <x v="2"/>
    <x v="33"/>
    <x v="0"/>
    <x v="15"/>
    <n v="61.6944444444445"/>
    <n v="22518.472222222201"/>
    <n v="81066.5"/>
  </r>
  <r>
    <x v="0"/>
    <x v="0"/>
    <x v="0"/>
    <x v="0"/>
    <x v="0"/>
    <s v="DK1_Rural"/>
    <x v="2"/>
    <x v="33"/>
    <x v="0"/>
    <x v="16"/>
    <n v="61.6944444444445"/>
    <n v="22518.472222222201"/>
    <n v="81066.5"/>
  </r>
  <r>
    <x v="0"/>
    <x v="0"/>
    <x v="0"/>
    <x v="0"/>
    <x v="0"/>
    <s v="DK1_Rural"/>
    <x v="2"/>
    <x v="33"/>
    <x v="0"/>
    <x v="17"/>
    <n v="61.6944444444445"/>
    <n v="22518.472222222201"/>
    <n v="81066.5"/>
  </r>
  <r>
    <x v="0"/>
    <x v="0"/>
    <x v="0"/>
    <x v="0"/>
    <x v="0"/>
    <s v="DK1_Rural"/>
    <x v="2"/>
    <x v="33"/>
    <x v="0"/>
    <x v="18"/>
    <n v="61.6944444444445"/>
    <n v="22518.472222222201"/>
    <n v="81066.5"/>
  </r>
  <r>
    <x v="0"/>
    <x v="0"/>
    <x v="0"/>
    <x v="0"/>
    <x v="0"/>
    <s v="DK1_Rural"/>
    <x v="2"/>
    <x v="27"/>
    <x v="0"/>
    <x v="8"/>
    <n v="62.729729729729698"/>
    <n v="22896.351351351401"/>
    <n v="82426.864864864896"/>
  </r>
  <r>
    <x v="0"/>
    <x v="0"/>
    <x v="0"/>
    <x v="0"/>
    <x v="0"/>
    <s v="DK1_Rural"/>
    <x v="2"/>
    <x v="27"/>
    <x v="0"/>
    <x v="0"/>
    <n v="62.729729729729698"/>
    <n v="22896.351351351401"/>
    <n v="82426.864864864896"/>
  </r>
  <r>
    <x v="0"/>
    <x v="0"/>
    <x v="0"/>
    <x v="0"/>
    <x v="0"/>
    <s v="DK1_Rural"/>
    <x v="2"/>
    <x v="27"/>
    <x v="0"/>
    <x v="1"/>
    <n v="62.729729729729698"/>
    <n v="22896.351351351401"/>
    <n v="82426.864864864896"/>
  </r>
  <r>
    <x v="0"/>
    <x v="0"/>
    <x v="0"/>
    <x v="0"/>
    <x v="0"/>
    <s v="DK1_Rural"/>
    <x v="2"/>
    <x v="27"/>
    <x v="0"/>
    <x v="2"/>
    <n v="62.729729729729698"/>
    <n v="22896.351351351401"/>
    <n v="82426.864864864896"/>
  </r>
  <r>
    <x v="0"/>
    <x v="0"/>
    <x v="0"/>
    <x v="0"/>
    <x v="0"/>
    <s v="DK1_Rural"/>
    <x v="2"/>
    <x v="27"/>
    <x v="0"/>
    <x v="9"/>
    <n v="62.729729729729698"/>
    <n v="22896.351351351401"/>
    <n v="82426.864864864896"/>
  </r>
  <r>
    <x v="0"/>
    <x v="0"/>
    <x v="0"/>
    <x v="0"/>
    <x v="0"/>
    <s v="DK1_Rural"/>
    <x v="2"/>
    <x v="27"/>
    <x v="0"/>
    <x v="10"/>
    <n v="62.729729729729698"/>
    <n v="22896.351351351401"/>
    <n v="82426.864864864896"/>
  </r>
  <r>
    <x v="0"/>
    <x v="0"/>
    <x v="0"/>
    <x v="0"/>
    <x v="0"/>
    <s v="DK1_Rural"/>
    <x v="2"/>
    <x v="27"/>
    <x v="0"/>
    <x v="11"/>
    <n v="62.729729729729698"/>
    <n v="22896.351351351401"/>
    <n v="82426.864864864896"/>
  </r>
  <r>
    <x v="0"/>
    <x v="0"/>
    <x v="0"/>
    <x v="0"/>
    <x v="0"/>
    <s v="DK1_Rural"/>
    <x v="2"/>
    <x v="27"/>
    <x v="0"/>
    <x v="12"/>
    <n v="62.729729729729698"/>
    <n v="22896.351351351401"/>
    <n v="82426.864864864896"/>
  </r>
  <r>
    <x v="0"/>
    <x v="0"/>
    <x v="0"/>
    <x v="0"/>
    <x v="0"/>
    <s v="DK1_Rural"/>
    <x v="2"/>
    <x v="27"/>
    <x v="0"/>
    <x v="13"/>
    <n v="62.729729729729698"/>
    <n v="22896.351351351401"/>
    <n v="82426.864864864896"/>
  </r>
  <r>
    <x v="0"/>
    <x v="0"/>
    <x v="0"/>
    <x v="0"/>
    <x v="0"/>
    <s v="DK1_Rural"/>
    <x v="2"/>
    <x v="27"/>
    <x v="0"/>
    <x v="14"/>
    <n v="62.729729729729698"/>
    <n v="22896.351351351401"/>
    <n v="82426.864864864896"/>
  </r>
  <r>
    <x v="0"/>
    <x v="0"/>
    <x v="0"/>
    <x v="0"/>
    <x v="0"/>
    <s v="DK1_Rural"/>
    <x v="2"/>
    <x v="27"/>
    <x v="0"/>
    <x v="15"/>
    <n v="62.729729729729698"/>
    <n v="22896.351351351401"/>
    <n v="82426.864864864896"/>
  </r>
  <r>
    <x v="0"/>
    <x v="0"/>
    <x v="0"/>
    <x v="0"/>
    <x v="0"/>
    <s v="DK1_Rural"/>
    <x v="2"/>
    <x v="27"/>
    <x v="0"/>
    <x v="16"/>
    <n v="62.729729729729698"/>
    <n v="22896.351351351401"/>
    <n v="82426.864864864896"/>
  </r>
  <r>
    <x v="0"/>
    <x v="0"/>
    <x v="0"/>
    <x v="0"/>
    <x v="0"/>
    <s v="DK1_Rural"/>
    <x v="2"/>
    <x v="27"/>
    <x v="0"/>
    <x v="17"/>
    <n v="62.729729729729698"/>
    <n v="22896.351351351401"/>
    <n v="82426.864864864896"/>
  </r>
  <r>
    <x v="0"/>
    <x v="0"/>
    <x v="0"/>
    <x v="0"/>
    <x v="0"/>
    <s v="DK1_Rural"/>
    <x v="2"/>
    <x v="27"/>
    <x v="0"/>
    <x v="18"/>
    <n v="62.729729729729698"/>
    <n v="22896.351351351401"/>
    <n v="82426.864864864896"/>
  </r>
  <r>
    <x v="0"/>
    <x v="0"/>
    <x v="0"/>
    <x v="0"/>
    <x v="0"/>
    <s v="DK1_Rural"/>
    <x v="2"/>
    <x v="8"/>
    <x v="0"/>
    <x v="3"/>
    <n v="114.252757503171"/>
    <n v="41702.256488657302"/>
    <n v="150128.123359166"/>
  </r>
  <r>
    <x v="0"/>
    <x v="0"/>
    <x v="0"/>
    <x v="0"/>
    <x v="0"/>
    <s v="DK1_Rural"/>
    <x v="2"/>
    <x v="8"/>
    <x v="0"/>
    <x v="4"/>
    <n v="104.378620787107"/>
    <n v="38098.196587293904"/>
    <n v="137153.50771425801"/>
  </r>
  <r>
    <x v="0"/>
    <x v="0"/>
    <x v="0"/>
    <x v="0"/>
    <x v="0"/>
    <s v="DK1_Rural"/>
    <x v="2"/>
    <x v="8"/>
    <x v="0"/>
    <x v="5"/>
    <n v="95.402132863412206"/>
    <n v="34821.778495145503"/>
    <n v="125358.402582524"/>
  </r>
  <r>
    <x v="0"/>
    <x v="0"/>
    <x v="0"/>
    <x v="0"/>
    <x v="0"/>
    <s v="DK1_Rural"/>
    <x v="2"/>
    <x v="8"/>
    <x v="0"/>
    <x v="6"/>
    <n v="108.866864748954"/>
    <n v="39736.405633368297"/>
    <n v="143051.060280126"/>
  </r>
  <r>
    <x v="0"/>
    <x v="0"/>
    <x v="0"/>
    <x v="0"/>
    <x v="0"/>
    <s v="DK1_Rural"/>
    <x v="2"/>
    <x v="8"/>
    <x v="0"/>
    <x v="7"/>
    <n v="123.131578947368"/>
    <n v="44943.026315789502"/>
    <n v="161794.89473684199"/>
  </r>
  <r>
    <x v="0"/>
    <x v="0"/>
    <x v="0"/>
    <x v="0"/>
    <x v="0"/>
    <s v="DK1_Rural"/>
    <x v="2"/>
    <x v="8"/>
    <x v="0"/>
    <x v="8"/>
    <n v="123.131578947368"/>
    <n v="44943.026315789502"/>
    <n v="161794.89473684199"/>
  </r>
  <r>
    <x v="0"/>
    <x v="0"/>
    <x v="0"/>
    <x v="0"/>
    <x v="0"/>
    <s v="DK1_Rural"/>
    <x v="2"/>
    <x v="8"/>
    <x v="0"/>
    <x v="0"/>
    <n v="123.131578947368"/>
    <n v="44943.026315789502"/>
    <n v="161794.89473684199"/>
  </r>
  <r>
    <x v="0"/>
    <x v="0"/>
    <x v="0"/>
    <x v="0"/>
    <x v="0"/>
    <s v="DK1_Rural"/>
    <x v="2"/>
    <x v="8"/>
    <x v="0"/>
    <x v="1"/>
    <n v="123.131578947368"/>
    <n v="44943.026315789502"/>
    <n v="161794.89473684199"/>
  </r>
  <r>
    <x v="0"/>
    <x v="0"/>
    <x v="0"/>
    <x v="0"/>
    <x v="0"/>
    <s v="DK1_Rural"/>
    <x v="2"/>
    <x v="8"/>
    <x v="0"/>
    <x v="2"/>
    <n v="123.131578947368"/>
    <n v="44943.026315789502"/>
    <n v="161794.89473684199"/>
  </r>
  <r>
    <x v="0"/>
    <x v="0"/>
    <x v="0"/>
    <x v="0"/>
    <x v="0"/>
    <s v="DK1_Rural"/>
    <x v="2"/>
    <x v="8"/>
    <x v="0"/>
    <x v="9"/>
    <n v="123.131578947368"/>
    <n v="44943.026315789502"/>
    <n v="161794.89473684199"/>
  </r>
  <r>
    <x v="0"/>
    <x v="0"/>
    <x v="0"/>
    <x v="0"/>
    <x v="0"/>
    <s v="DK1_Rural"/>
    <x v="2"/>
    <x v="8"/>
    <x v="0"/>
    <x v="10"/>
    <n v="123.131578947368"/>
    <n v="44943.026315789502"/>
    <n v="161794.89473684199"/>
  </r>
  <r>
    <x v="0"/>
    <x v="0"/>
    <x v="0"/>
    <x v="0"/>
    <x v="0"/>
    <s v="DK1_Rural"/>
    <x v="2"/>
    <x v="8"/>
    <x v="0"/>
    <x v="11"/>
    <n v="123.131578947368"/>
    <n v="44943.026315789502"/>
    <n v="161794.89473684199"/>
  </r>
  <r>
    <x v="0"/>
    <x v="0"/>
    <x v="0"/>
    <x v="0"/>
    <x v="0"/>
    <s v="DK1_Rural"/>
    <x v="2"/>
    <x v="8"/>
    <x v="0"/>
    <x v="12"/>
    <n v="123.131578947368"/>
    <n v="44943.026315789502"/>
    <n v="161794.89473684199"/>
  </r>
  <r>
    <x v="0"/>
    <x v="0"/>
    <x v="0"/>
    <x v="0"/>
    <x v="0"/>
    <s v="DK1_Rural"/>
    <x v="2"/>
    <x v="8"/>
    <x v="0"/>
    <x v="13"/>
    <n v="123.131578947368"/>
    <n v="44943.026315789502"/>
    <n v="161794.89473684199"/>
  </r>
  <r>
    <x v="0"/>
    <x v="0"/>
    <x v="0"/>
    <x v="0"/>
    <x v="0"/>
    <s v="DK1_Rural"/>
    <x v="2"/>
    <x v="8"/>
    <x v="0"/>
    <x v="14"/>
    <n v="123.131578947368"/>
    <n v="44943.026315789502"/>
    <n v="161794.89473684199"/>
  </r>
  <r>
    <x v="0"/>
    <x v="0"/>
    <x v="0"/>
    <x v="0"/>
    <x v="0"/>
    <s v="DK1_Rural"/>
    <x v="2"/>
    <x v="8"/>
    <x v="0"/>
    <x v="15"/>
    <n v="123.131578947368"/>
    <n v="44943.026315789502"/>
    <n v="161794.89473684199"/>
  </r>
  <r>
    <x v="0"/>
    <x v="0"/>
    <x v="0"/>
    <x v="0"/>
    <x v="0"/>
    <s v="DK1_Rural"/>
    <x v="2"/>
    <x v="8"/>
    <x v="0"/>
    <x v="16"/>
    <n v="123.131578947368"/>
    <n v="44943.026315789502"/>
    <n v="161794.89473684199"/>
  </r>
  <r>
    <x v="0"/>
    <x v="0"/>
    <x v="0"/>
    <x v="0"/>
    <x v="0"/>
    <s v="DK1_Rural"/>
    <x v="2"/>
    <x v="8"/>
    <x v="0"/>
    <x v="17"/>
    <n v="123.131578947368"/>
    <n v="44943.026315789502"/>
    <n v="161794.89473684199"/>
  </r>
  <r>
    <x v="0"/>
    <x v="0"/>
    <x v="0"/>
    <x v="0"/>
    <x v="0"/>
    <s v="DK1_Rural"/>
    <x v="2"/>
    <x v="8"/>
    <x v="0"/>
    <x v="18"/>
    <n v="123.131578947368"/>
    <n v="44943.026315789502"/>
    <n v="161794.89473684199"/>
  </r>
  <r>
    <x v="0"/>
    <x v="0"/>
    <x v="0"/>
    <x v="0"/>
    <x v="0"/>
    <s v="DK1_Rural"/>
    <x v="2"/>
    <x v="8"/>
    <x v="0"/>
    <x v="19"/>
    <n v="123.131578947368"/>
    <n v="44943.026315789502"/>
    <n v="161794.89473684199"/>
  </r>
  <r>
    <x v="0"/>
    <x v="0"/>
    <x v="0"/>
    <x v="0"/>
    <x v="0"/>
    <s v="DK1_Rural"/>
    <x v="2"/>
    <x v="8"/>
    <x v="0"/>
    <x v="20"/>
    <n v="123.131578947368"/>
    <n v="44943.026315789502"/>
    <n v="161794.89473684199"/>
  </r>
  <r>
    <x v="0"/>
    <x v="0"/>
    <x v="0"/>
    <x v="0"/>
    <x v="0"/>
    <s v="DK1_Rural"/>
    <x v="2"/>
    <x v="9"/>
    <x v="0"/>
    <x v="3"/>
    <n v="144.05128205128199"/>
    <n v="52578.717948717996"/>
    <n v="189283.384615385"/>
  </r>
  <r>
    <x v="0"/>
    <x v="0"/>
    <x v="0"/>
    <x v="0"/>
    <x v="0"/>
    <s v="DK1_Rural"/>
    <x v="2"/>
    <x v="9"/>
    <x v="0"/>
    <x v="4"/>
    <n v="144.05128205128199"/>
    <n v="52578.717948717996"/>
    <n v="189283.384615385"/>
  </r>
  <r>
    <x v="0"/>
    <x v="0"/>
    <x v="0"/>
    <x v="0"/>
    <x v="0"/>
    <s v="DK1_Rural"/>
    <x v="2"/>
    <x v="9"/>
    <x v="0"/>
    <x v="5"/>
    <n v="144.05128205128199"/>
    <n v="52578.717948717996"/>
    <n v="189283.384615385"/>
  </r>
  <r>
    <x v="0"/>
    <x v="0"/>
    <x v="0"/>
    <x v="0"/>
    <x v="0"/>
    <s v="DK1_Rural"/>
    <x v="2"/>
    <x v="9"/>
    <x v="0"/>
    <x v="6"/>
    <n v="144.05128205128199"/>
    <n v="52578.717948717996"/>
    <n v="189283.384615385"/>
  </r>
  <r>
    <x v="0"/>
    <x v="0"/>
    <x v="0"/>
    <x v="0"/>
    <x v="0"/>
    <s v="DK1_Rural"/>
    <x v="2"/>
    <x v="9"/>
    <x v="0"/>
    <x v="7"/>
    <n v="144.05128205128199"/>
    <n v="52578.717948717996"/>
    <n v="189283.384615385"/>
  </r>
  <r>
    <x v="0"/>
    <x v="0"/>
    <x v="0"/>
    <x v="0"/>
    <x v="0"/>
    <s v="DK1_Rural"/>
    <x v="2"/>
    <x v="9"/>
    <x v="0"/>
    <x v="8"/>
    <n v="144.05128205128199"/>
    <n v="52578.717948717996"/>
    <n v="189283.384615385"/>
  </r>
  <r>
    <x v="0"/>
    <x v="0"/>
    <x v="0"/>
    <x v="0"/>
    <x v="0"/>
    <s v="DK1_Rural"/>
    <x v="2"/>
    <x v="9"/>
    <x v="0"/>
    <x v="0"/>
    <n v="144.05128205128199"/>
    <n v="52578.717948717996"/>
    <n v="189283.384615385"/>
  </r>
  <r>
    <x v="0"/>
    <x v="0"/>
    <x v="0"/>
    <x v="0"/>
    <x v="0"/>
    <s v="DK1_Rural"/>
    <x v="2"/>
    <x v="9"/>
    <x v="0"/>
    <x v="1"/>
    <n v="144.05128205128199"/>
    <n v="52578.717948717996"/>
    <n v="189283.384615385"/>
  </r>
  <r>
    <x v="0"/>
    <x v="0"/>
    <x v="0"/>
    <x v="0"/>
    <x v="0"/>
    <s v="DK1_Rural"/>
    <x v="2"/>
    <x v="9"/>
    <x v="0"/>
    <x v="2"/>
    <n v="144.05128205128199"/>
    <n v="52578.717948717996"/>
    <n v="189283.384615385"/>
  </r>
  <r>
    <x v="0"/>
    <x v="0"/>
    <x v="0"/>
    <x v="0"/>
    <x v="0"/>
    <s v="DK1_Rural"/>
    <x v="2"/>
    <x v="9"/>
    <x v="0"/>
    <x v="9"/>
    <n v="144.05128205128199"/>
    <n v="52578.717948717996"/>
    <n v="189283.384615385"/>
  </r>
  <r>
    <x v="0"/>
    <x v="0"/>
    <x v="0"/>
    <x v="0"/>
    <x v="0"/>
    <s v="DK1_Rural"/>
    <x v="2"/>
    <x v="9"/>
    <x v="0"/>
    <x v="10"/>
    <n v="144.05128205128199"/>
    <n v="52578.717948717996"/>
    <n v="189283.384615385"/>
  </r>
  <r>
    <x v="0"/>
    <x v="0"/>
    <x v="0"/>
    <x v="0"/>
    <x v="0"/>
    <s v="DK1_Rural"/>
    <x v="2"/>
    <x v="9"/>
    <x v="0"/>
    <x v="11"/>
    <n v="144.05128205128199"/>
    <n v="52578.717948717996"/>
    <n v="189283.384615385"/>
  </r>
  <r>
    <x v="0"/>
    <x v="0"/>
    <x v="0"/>
    <x v="0"/>
    <x v="0"/>
    <s v="DK1_Rural"/>
    <x v="2"/>
    <x v="9"/>
    <x v="0"/>
    <x v="12"/>
    <n v="144.05128205128199"/>
    <n v="52578.717948717996"/>
    <n v="189283.384615385"/>
  </r>
  <r>
    <x v="0"/>
    <x v="0"/>
    <x v="0"/>
    <x v="0"/>
    <x v="0"/>
    <s v="DK1_Rural"/>
    <x v="2"/>
    <x v="9"/>
    <x v="0"/>
    <x v="13"/>
    <n v="144.05128205128199"/>
    <n v="52578.717948717996"/>
    <n v="189283.384615385"/>
  </r>
  <r>
    <x v="0"/>
    <x v="0"/>
    <x v="0"/>
    <x v="0"/>
    <x v="0"/>
    <s v="DK1_Rural"/>
    <x v="2"/>
    <x v="9"/>
    <x v="0"/>
    <x v="14"/>
    <n v="144.05128205128199"/>
    <n v="52578.717948717996"/>
    <n v="189283.384615385"/>
  </r>
  <r>
    <x v="0"/>
    <x v="0"/>
    <x v="0"/>
    <x v="0"/>
    <x v="0"/>
    <s v="DK1_Rural"/>
    <x v="2"/>
    <x v="9"/>
    <x v="0"/>
    <x v="15"/>
    <n v="144.05128205128199"/>
    <n v="52578.717948717996"/>
    <n v="189283.384615385"/>
  </r>
  <r>
    <x v="0"/>
    <x v="0"/>
    <x v="0"/>
    <x v="0"/>
    <x v="0"/>
    <s v="DK1_Rural"/>
    <x v="2"/>
    <x v="9"/>
    <x v="0"/>
    <x v="16"/>
    <n v="144.05128205128199"/>
    <n v="52578.717948717996"/>
    <n v="189283.384615385"/>
  </r>
  <r>
    <x v="0"/>
    <x v="0"/>
    <x v="0"/>
    <x v="0"/>
    <x v="0"/>
    <s v="DK1_Rural"/>
    <x v="2"/>
    <x v="9"/>
    <x v="0"/>
    <x v="17"/>
    <n v="144.05128205128199"/>
    <n v="52578.717948717996"/>
    <n v="189283.384615385"/>
  </r>
  <r>
    <x v="0"/>
    <x v="0"/>
    <x v="0"/>
    <x v="0"/>
    <x v="0"/>
    <s v="DK1_Rural"/>
    <x v="2"/>
    <x v="9"/>
    <x v="0"/>
    <x v="18"/>
    <n v="144.05128205128199"/>
    <n v="52578.717948717996"/>
    <n v="189283.384615385"/>
  </r>
  <r>
    <x v="0"/>
    <x v="0"/>
    <x v="0"/>
    <x v="0"/>
    <x v="0"/>
    <s v="DK1_Rural"/>
    <x v="2"/>
    <x v="9"/>
    <x v="0"/>
    <x v="19"/>
    <n v="144.05128205128199"/>
    <n v="52578.717948717996"/>
    <n v="189283.384615385"/>
  </r>
  <r>
    <x v="0"/>
    <x v="0"/>
    <x v="0"/>
    <x v="0"/>
    <x v="0"/>
    <s v="DK1_Rural"/>
    <x v="2"/>
    <x v="9"/>
    <x v="0"/>
    <x v="20"/>
    <n v="144.05128205128199"/>
    <n v="52578.717948717996"/>
    <n v="189283.384615385"/>
  </r>
  <r>
    <x v="0"/>
    <x v="0"/>
    <x v="0"/>
    <x v="0"/>
    <x v="0"/>
    <s v="DK1_Rural"/>
    <x v="2"/>
    <x v="10"/>
    <x v="0"/>
    <x v="3"/>
    <n v="176.42500000000001"/>
    <n v="64395.125"/>
    <n v="231822.45"/>
  </r>
  <r>
    <x v="0"/>
    <x v="0"/>
    <x v="0"/>
    <x v="0"/>
    <x v="0"/>
    <s v="DK1_Rural"/>
    <x v="2"/>
    <x v="10"/>
    <x v="0"/>
    <x v="4"/>
    <n v="176.42500000000001"/>
    <n v="64395.125"/>
    <n v="231822.45"/>
  </r>
  <r>
    <x v="0"/>
    <x v="0"/>
    <x v="0"/>
    <x v="0"/>
    <x v="0"/>
    <s v="DK1_Rural"/>
    <x v="2"/>
    <x v="10"/>
    <x v="0"/>
    <x v="5"/>
    <n v="176.42500000000001"/>
    <n v="64395.125"/>
    <n v="231822.45"/>
  </r>
  <r>
    <x v="0"/>
    <x v="0"/>
    <x v="0"/>
    <x v="0"/>
    <x v="0"/>
    <s v="DK1_Rural"/>
    <x v="2"/>
    <x v="10"/>
    <x v="0"/>
    <x v="6"/>
    <n v="176.42500000000001"/>
    <n v="64395.125"/>
    <n v="231822.45"/>
  </r>
  <r>
    <x v="0"/>
    <x v="0"/>
    <x v="0"/>
    <x v="0"/>
    <x v="0"/>
    <s v="DK1_Rural"/>
    <x v="2"/>
    <x v="10"/>
    <x v="0"/>
    <x v="7"/>
    <n v="176.42500000000001"/>
    <n v="64395.125"/>
    <n v="231822.45"/>
  </r>
  <r>
    <x v="0"/>
    <x v="0"/>
    <x v="0"/>
    <x v="0"/>
    <x v="0"/>
    <s v="DK1_Rural"/>
    <x v="2"/>
    <x v="10"/>
    <x v="0"/>
    <x v="8"/>
    <n v="176.42500000000001"/>
    <n v="64395.125"/>
    <n v="231822.45"/>
  </r>
  <r>
    <x v="0"/>
    <x v="0"/>
    <x v="0"/>
    <x v="0"/>
    <x v="0"/>
    <s v="DK1_Rural"/>
    <x v="2"/>
    <x v="10"/>
    <x v="0"/>
    <x v="0"/>
    <n v="176.42500000000001"/>
    <n v="64395.125"/>
    <n v="231822.45"/>
  </r>
  <r>
    <x v="0"/>
    <x v="0"/>
    <x v="0"/>
    <x v="0"/>
    <x v="0"/>
    <s v="DK1_Rural"/>
    <x v="2"/>
    <x v="10"/>
    <x v="0"/>
    <x v="1"/>
    <n v="176.42500000000001"/>
    <n v="64395.125"/>
    <n v="231822.45"/>
  </r>
  <r>
    <x v="0"/>
    <x v="0"/>
    <x v="0"/>
    <x v="0"/>
    <x v="0"/>
    <s v="DK1_Rural"/>
    <x v="2"/>
    <x v="10"/>
    <x v="0"/>
    <x v="2"/>
    <n v="176.42500000000001"/>
    <n v="64395.125"/>
    <n v="231822.45"/>
  </r>
  <r>
    <x v="0"/>
    <x v="0"/>
    <x v="0"/>
    <x v="0"/>
    <x v="0"/>
    <s v="DK1_Rural"/>
    <x v="2"/>
    <x v="10"/>
    <x v="0"/>
    <x v="9"/>
    <n v="176.42500000000001"/>
    <n v="64395.125"/>
    <n v="231822.45"/>
  </r>
  <r>
    <x v="0"/>
    <x v="0"/>
    <x v="0"/>
    <x v="0"/>
    <x v="0"/>
    <s v="DK1_Rural"/>
    <x v="2"/>
    <x v="10"/>
    <x v="0"/>
    <x v="10"/>
    <n v="176.42500000000001"/>
    <n v="64395.125"/>
    <n v="231822.45"/>
  </r>
  <r>
    <x v="0"/>
    <x v="0"/>
    <x v="0"/>
    <x v="0"/>
    <x v="0"/>
    <s v="DK1_Rural"/>
    <x v="2"/>
    <x v="10"/>
    <x v="0"/>
    <x v="11"/>
    <n v="176.42500000000001"/>
    <n v="64395.125"/>
    <n v="231822.45"/>
  </r>
  <r>
    <x v="0"/>
    <x v="0"/>
    <x v="0"/>
    <x v="0"/>
    <x v="0"/>
    <s v="DK1_Rural"/>
    <x v="2"/>
    <x v="10"/>
    <x v="0"/>
    <x v="12"/>
    <n v="176.42500000000001"/>
    <n v="64395.125"/>
    <n v="231822.45"/>
  </r>
  <r>
    <x v="0"/>
    <x v="0"/>
    <x v="0"/>
    <x v="0"/>
    <x v="0"/>
    <s v="DK1_Rural"/>
    <x v="2"/>
    <x v="10"/>
    <x v="0"/>
    <x v="13"/>
    <n v="176.42500000000001"/>
    <n v="64395.125"/>
    <n v="231822.45"/>
  </r>
  <r>
    <x v="0"/>
    <x v="0"/>
    <x v="0"/>
    <x v="0"/>
    <x v="0"/>
    <s v="DK1_Rural"/>
    <x v="2"/>
    <x v="10"/>
    <x v="0"/>
    <x v="14"/>
    <n v="176.42500000000001"/>
    <n v="64395.125"/>
    <n v="231822.45"/>
  </r>
  <r>
    <x v="0"/>
    <x v="0"/>
    <x v="0"/>
    <x v="0"/>
    <x v="0"/>
    <s v="DK1_Rural"/>
    <x v="2"/>
    <x v="10"/>
    <x v="0"/>
    <x v="15"/>
    <n v="176.42500000000001"/>
    <n v="64395.125"/>
    <n v="231822.45"/>
  </r>
  <r>
    <x v="0"/>
    <x v="0"/>
    <x v="0"/>
    <x v="0"/>
    <x v="0"/>
    <s v="DK1_Rural"/>
    <x v="2"/>
    <x v="10"/>
    <x v="0"/>
    <x v="16"/>
    <n v="176.42500000000001"/>
    <n v="64395.125"/>
    <n v="231822.45"/>
  </r>
  <r>
    <x v="0"/>
    <x v="0"/>
    <x v="0"/>
    <x v="0"/>
    <x v="0"/>
    <s v="DK1_Rural"/>
    <x v="2"/>
    <x v="10"/>
    <x v="0"/>
    <x v="17"/>
    <n v="176.42500000000001"/>
    <n v="64395.125"/>
    <n v="231822.45"/>
  </r>
  <r>
    <x v="0"/>
    <x v="0"/>
    <x v="0"/>
    <x v="0"/>
    <x v="0"/>
    <s v="DK1_Rural"/>
    <x v="2"/>
    <x v="10"/>
    <x v="0"/>
    <x v="18"/>
    <n v="176.42500000000001"/>
    <n v="64395.125"/>
    <n v="231822.45"/>
  </r>
  <r>
    <x v="0"/>
    <x v="0"/>
    <x v="0"/>
    <x v="0"/>
    <x v="0"/>
    <s v="DK1_Rural"/>
    <x v="2"/>
    <x v="10"/>
    <x v="0"/>
    <x v="19"/>
    <n v="176.42500000000001"/>
    <n v="64395.125"/>
    <n v="231822.45"/>
  </r>
  <r>
    <x v="0"/>
    <x v="0"/>
    <x v="0"/>
    <x v="0"/>
    <x v="0"/>
    <s v="DK1_Rural"/>
    <x v="2"/>
    <x v="10"/>
    <x v="0"/>
    <x v="20"/>
    <n v="176.42500000000001"/>
    <n v="64395.125"/>
    <n v="231822.45"/>
  </r>
  <r>
    <x v="0"/>
    <x v="0"/>
    <x v="0"/>
    <x v="0"/>
    <x v="0"/>
    <s v="DK1_Rural"/>
    <x v="2"/>
    <x v="10"/>
    <x v="0"/>
    <x v="21"/>
    <n v="176.42500000000001"/>
    <n v="64395.125"/>
    <n v="231822.45"/>
  </r>
  <r>
    <x v="0"/>
    <x v="0"/>
    <x v="0"/>
    <x v="0"/>
    <x v="0"/>
    <s v="DK1_Rural"/>
    <x v="2"/>
    <x v="10"/>
    <x v="0"/>
    <x v="22"/>
    <n v="176.42500000000001"/>
    <n v="64395.125"/>
    <n v="231822.45"/>
  </r>
  <r>
    <x v="0"/>
    <x v="0"/>
    <x v="0"/>
    <x v="0"/>
    <x v="0"/>
    <s v="DK1_Rural"/>
    <x v="2"/>
    <x v="11"/>
    <x v="0"/>
    <x v="3"/>
    <n v="257.51219512195098"/>
    <n v="93991.951219512295"/>
    <n v="338371.02439024398"/>
  </r>
  <r>
    <x v="0"/>
    <x v="0"/>
    <x v="0"/>
    <x v="0"/>
    <x v="0"/>
    <s v="DK1_Rural"/>
    <x v="2"/>
    <x v="11"/>
    <x v="0"/>
    <x v="4"/>
    <n v="257.51219512195098"/>
    <n v="93991.951219512295"/>
    <n v="338371.02439024398"/>
  </r>
  <r>
    <x v="0"/>
    <x v="0"/>
    <x v="0"/>
    <x v="0"/>
    <x v="0"/>
    <s v="DK1_Rural"/>
    <x v="2"/>
    <x v="11"/>
    <x v="0"/>
    <x v="5"/>
    <n v="257.51219512195098"/>
    <n v="93991.951219512295"/>
    <n v="338371.02439024398"/>
  </r>
  <r>
    <x v="0"/>
    <x v="0"/>
    <x v="0"/>
    <x v="0"/>
    <x v="0"/>
    <s v="DK1_Rural"/>
    <x v="2"/>
    <x v="11"/>
    <x v="0"/>
    <x v="6"/>
    <n v="257.51219512195098"/>
    <n v="93991.951219512295"/>
    <n v="338371.02439024398"/>
  </r>
  <r>
    <x v="0"/>
    <x v="0"/>
    <x v="0"/>
    <x v="0"/>
    <x v="0"/>
    <s v="DK1_Rural"/>
    <x v="2"/>
    <x v="11"/>
    <x v="0"/>
    <x v="7"/>
    <n v="257.51219512195098"/>
    <n v="93991.951219512295"/>
    <n v="338371.02439024398"/>
  </r>
  <r>
    <x v="0"/>
    <x v="0"/>
    <x v="0"/>
    <x v="0"/>
    <x v="0"/>
    <s v="DK1_Rural"/>
    <x v="2"/>
    <x v="11"/>
    <x v="0"/>
    <x v="8"/>
    <n v="257.51219512195098"/>
    <n v="93991.951219512295"/>
    <n v="338371.02439024398"/>
  </r>
  <r>
    <x v="0"/>
    <x v="0"/>
    <x v="0"/>
    <x v="0"/>
    <x v="0"/>
    <s v="DK1_Rural"/>
    <x v="2"/>
    <x v="11"/>
    <x v="0"/>
    <x v="0"/>
    <n v="257.51219512195098"/>
    <n v="93991.951219512295"/>
    <n v="338371.02439024398"/>
  </r>
  <r>
    <x v="0"/>
    <x v="0"/>
    <x v="0"/>
    <x v="0"/>
    <x v="0"/>
    <s v="DK1_Rural"/>
    <x v="2"/>
    <x v="11"/>
    <x v="0"/>
    <x v="1"/>
    <n v="257.51219512195098"/>
    <n v="93991.951219512295"/>
    <n v="338371.02439024398"/>
  </r>
  <r>
    <x v="0"/>
    <x v="0"/>
    <x v="0"/>
    <x v="0"/>
    <x v="0"/>
    <s v="DK1_Rural"/>
    <x v="2"/>
    <x v="11"/>
    <x v="0"/>
    <x v="2"/>
    <n v="257.51219512195098"/>
    <n v="93991.951219512295"/>
    <n v="338371.02439024398"/>
  </r>
  <r>
    <x v="0"/>
    <x v="0"/>
    <x v="0"/>
    <x v="0"/>
    <x v="0"/>
    <s v="DK1_Rural"/>
    <x v="2"/>
    <x v="11"/>
    <x v="0"/>
    <x v="9"/>
    <n v="257.51219512195098"/>
    <n v="93991.951219512295"/>
    <n v="338371.02439024398"/>
  </r>
  <r>
    <x v="0"/>
    <x v="0"/>
    <x v="0"/>
    <x v="0"/>
    <x v="0"/>
    <s v="DK1_Rural"/>
    <x v="2"/>
    <x v="11"/>
    <x v="0"/>
    <x v="10"/>
    <n v="257.51219512195098"/>
    <n v="93991.951219512295"/>
    <n v="338371.02439024398"/>
  </r>
  <r>
    <x v="0"/>
    <x v="0"/>
    <x v="0"/>
    <x v="0"/>
    <x v="0"/>
    <s v="DK1_Rural"/>
    <x v="2"/>
    <x v="11"/>
    <x v="0"/>
    <x v="11"/>
    <n v="257.51219512195098"/>
    <n v="93991.951219512295"/>
    <n v="338371.02439024398"/>
  </r>
  <r>
    <x v="0"/>
    <x v="0"/>
    <x v="0"/>
    <x v="0"/>
    <x v="0"/>
    <s v="DK1_Rural"/>
    <x v="2"/>
    <x v="11"/>
    <x v="0"/>
    <x v="12"/>
    <n v="257.51219512195098"/>
    <n v="93991.951219512295"/>
    <n v="338371.02439024398"/>
  </r>
  <r>
    <x v="0"/>
    <x v="0"/>
    <x v="0"/>
    <x v="0"/>
    <x v="0"/>
    <s v="DK1_Rural"/>
    <x v="2"/>
    <x v="11"/>
    <x v="0"/>
    <x v="13"/>
    <n v="257.51219512195098"/>
    <n v="93991.951219512295"/>
    <n v="338371.02439024398"/>
  </r>
  <r>
    <x v="0"/>
    <x v="0"/>
    <x v="0"/>
    <x v="0"/>
    <x v="0"/>
    <s v="DK1_Rural"/>
    <x v="2"/>
    <x v="11"/>
    <x v="0"/>
    <x v="14"/>
    <n v="257.51219512195098"/>
    <n v="93991.951219512295"/>
    <n v="338371.02439024398"/>
  </r>
  <r>
    <x v="0"/>
    <x v="0"/>
    <x v="0"/>
    <x v="0"/>
    <x v="0"/>
    <s v="DK1_Rural"/>
    <x v="2"/>
    <x v="11"/>
    <x v="0"/>
    <x v="15"/>
    <n v="257.51219512195098"/>
    <n v="93991.951219512295"/>
    <n v="338371.02439024398"/>
  </r>
  <r>
    <x v="0"/>
    <x v="0"/>
    <x v="0"/>
    <x v="0"/>
    <x v="0"/>
    <s v="DK1_Rural"/>
    <x v="2"/>
    <x v="11"/>
    <x v="0"/>
    <x v="16"/>
    <n v="257.51219512195098"/>
    <n v="93991.951219512295"/>
    <n v="338371.02439024398"/>
  </r>
  <r>
    <x v="0"/>
    <x v="0"/>
    <x v="0"/>
    <x v="0"/>
    <x v="0"/>
    <s v="DK1_Rural"/>
    <x v="2"/>
    <x v="11"/>
    <x v="0"/>
    <x v="17"/>
    <n v="257.51219512195098"/>
    <n v="93991.951219512295"/>
    <n v="338371.02439024398"/>
  </r>
  <r>
    <x v="0"/>
    <x v="0"/>
    <x v="0"/>
    <x v="0"/>
    <x v="0"/>
    <s v="DK1_Rural"/>
    <x v="2"/>
    <x v="11"/>
    <x v="0"/>
    <x v="18"/>
    <n v="257.51219512195098"/>
    <n v="93991.951219512295"/>
    <n v="338371.02439024398"/>
  </r>
  <r>
    <x v="0"/>
    <x v="0"/>
    <x v="0"/>
    <x v="0"/>
    <x v="0"/>
    <s v="DK1_Rural"/>
    <x v="2"/>
    <x v="11"/>
    <x v="0"/>
    <x v="19"/>
    <n v="257.51219512195098"/>
    <n v="93991.951219512295"/>
    <n v="338371.02439024398"/>
  </r>
  <r>
    <x v="0"/>
    <x v="0"/>
    <x v="0"/>
    <x v="0"/>
    <x v="0"/>
    <s v="DK1_Rural"/>
    <x v="2"/>
    <x v="11"/>
    <x v="0"/>
    <x v="20"/>
    <n v="257.51219512195098"/>
    <n v="93991.951219512295"/>
    <n v="338371.02439024398"/>
  </r>
  <r>
    <x v="0"/>
    <x v="0"/>
    <x v="0"/>
    <x v="0"/>
    <x v="0"/>
    <s v="DK1_Rural"/>
    <x v="2"/>
    <x v="11"/>
    <x v="0"/>
    <x v="21"/>
    <n v="257.51219512195098"/>
    <n v="93991.951219512295"/>
    <n v="338371.02439024398"/>
  </r>
  <r>
    <x v="0"/>
    <x v="0"/>
    <x v="0"/>
    <x v="0"/>
    <x v="0"/>
    <s v="DK1_Rural"/>
    <x v="2"/>
    <x v="11"/>
    <x v="0"/>
    <x v="22"/>
    <n v="257.51219512195098"/>
    <n v="93991.951219512295"/>
    <n v="338371.02439024398"/>
  </r>
  <r>
    <x v="0"/>
    <x v="0"/>
    <x v="0"/>
    <x v="0"/>
    <x v="0"/>
    <s v="DK1_Rural"/>
    <x v="2"/>
    <x v="11"/>
    <x v="0"/>
    <x v="23"/>
    <n v="72.601045482793495"/>
    <n v="26499.3816012196"/>
    <n v="95397.7737643906"/>
  </r>
  <r>
    <x v="0"/>
    <x v="0"/>
    <x v="0"/>
    <x v="0"/>
    <x v="0"/>
    <s v="DK1_Rural"/>
    <x v="2"/>
    <x v="12"/>
    <x v="0"/>
    <x v="3"/>
    <n v="182.71904761904801"/>
    <n v="66692.452380952396"/>
    <n v="240092.82857142799"/>
  </r>
  <r>
    <x v="0"/>
    <x v="0"/>
    <x v="0"/>
    <x v="0"/>
    <x v="0"/>
    <s v="DK1_Rural"/>
    <x v="2"/>
    <x v="12"/>
    <x v="0"/>
    <x v="4"/>
    <n v="182.71904761904801"/>
    <n v="66692.452380952396"/>
    <n v="240092.82857142799"/>
  </r>
  <r>
    <x v="0"/>
    <x v="0"/>
    <x v="0"/>
    <x v="0"/>
    <x v="0"/>
    <s v="DK1_Rural"/>
    <x v="2"/>
    <x v="12"/>
    <x v="0"/>
    <x v="5"/>
    <n v="182.71904761904801"/>
    <n v="66692.452380952396"/>
    <n v="240092.82857142799"/>
  </r>
  <r>
    <x v="0"/>
    <x v="0"/>
    <x v="0"/>
    <x v="0"/>
    <x v="0"/>
    <s v="DK1_Rural"/>
    <x v="2"/>
    <x v="12"/>
    <x v="0"/>
    <x v="6"/>
    <n v="182.71904761904801"/>
    <n v="66692.452380952396"/>
    <n v="240092.82857142799"/>
  </r>
  <r>
    <x v="0"/>
    <x v="0"/>
    <x v="0"/>
    <x v="0"/>
    <x v="0"/>
    <s v="DK1_Rural"/>
    <x v="2"/>
    <x v="12"/>
    <x v="0"/>
    <x v="7"/>
    <n v="182.71904761904801"/>
    <n v="66692.452380952396"/>
    <n v="240092.82857142799"/>
  </r>
  <r>
    <x v="0"/>
    <x v="0"/>
    <x v="0"/>
    <x v="0"/>
    <x v="0"/>
    <s v="DK1_Rural"/>
    <x v="2"/>
    <x v="12"/>
    <x v="0"/>
    <x v="8"/>
    <n v="182.71904761904801"/>
    <n v="66692.452380952396"/>
    <n v="240092.82857142799"/>
  </r>
  <r>
    <x v="0"/>
    <x v="0"/>
    <x v="0"/>
    <x v="0"/>
    <x v="0"/>
    <s v="DK1_Rural"/>
    <x v="2"/>
    <x v="12"/>
    <x v="0"/>
    <x v="0"/>
    <n v="182.71904761904801"/>
    <n v="66692.452380952396"/>
    <n v="240092.82857142799"/>
  </r>
  <r>
    <x v="0"/>
    <x v="0"/>
    <x v="0"/>
    <x v="0"/>
    <x v="0"/>
    <s v="DK1_Rural"/>
    <x v="2"/>
    <x v="12"/>
    <x v="0"/>
    <x v="1"/>
    <n v="182.71904761904801"/>
    <n v="66692.452380952396"/>
    <n v="240092.82857142799"/>
  </r>
  <r>
    <x v="0"/>
    <x v="0"/>
    <x v="0"/>
    <x v="0"/>
    <x v="0"/>
    <s v="DK1_Rural"/>
    <x v="2"/>
    <x v="12"/>
    <x v="0"/>
    <x v="2"/>
    <n v="182.71904761904801"/>
    <n v="66692.452380952396"/>
    <n v="240092.82857142799"/>
  </r>
  <r>
    <x v="0"/>
    <x v="0"/>
    <x v="0"/>
    <x v="0"/>
    <x v="0"/>
    <s v="DK1_Rural"/>
    <x v="2"/>
    <x v="12"/>
    <x v="0"/>
    <x v="9"/>
    <n v="182.71904761904801"/>
    <n v="66692.452380952396"/>
    <n v="240092.82857142799"/>
  </r>
  <r>
    <x v="0"/>
    <x v="0"/>
    <x v="0"/>
    <x v="0"/>
    <x v="0"/>
    <s v="DK1_Rural"/>
    <x v="2"/>
    <x v="12"/>
    <x v="0"/>
    <x v="10"/>
    <n v="182.71904761904801"/>
    <n v="66692.452380952396"/>
    <n v="240092.82857142799"/>
  </r>
  <r>
    <x v="0"/>
    <x v="0"/>
    <x v="0"/>
    <x v="0"/>
    <x v="0"/>
    <s v="DK1_Rural"/>
    <x v="2"/>
    <x v="12"/>
    <x v="0"/>
    <x v="11"/>
    <n v="182.71904761904801"/>
    <n v="66692.452380952396"/>
    <n v="240092.82857142799"/>
  </r>
  <r>
    <x v="0"/>
    <x v="0"/>
    <x v="0"/>
    <x v="0"/>
    <x v="0"/>
    <s v="DK1_Rural"/>
    <x v="2"/>
    <x v="12"/>
    <x v="0"/>
    <x v="12"/>
    <n v="182.71904761904801"/>
    <n v="66692.452380952396"/>
    <n v="240092.82857142799"/>
  </r>
  <r>
    <x v="0"/>
    <x v="0"/>
    <x v="0"/>
    <x v="0"/>
    <x v="0"/>
    <s v="DK1_Rural"/>
    <x v="2"/>
    <x v="12"/>
    <x v="0"/>
    <x v="13"/>
    <n v="182.71904761904801"/>
    <n v="66692.452380952396"/>
    <n v="240092.82857142799"/>
  </r>
  <r>
    <x v="0"/>
    <x v="0"/>
    <x v="0"/>
    <x v="0"/>
    <x v="0"/>
    <s v="DK1_Rural"/>
    <x v="2"/>
    <x v="12"/>
    <x v="0"/>
    <x v="14"/>
    <n v="182.71904761904801"/>
    <n v="66692.452380952396"/>
    <n v="240092.82857142799"/>
  </r>
  <r>
    <x v="0"/>
    <x v="0"/>
    <x v="0"/>
    <x v="0"/>
    <x v="0"/>
    <s v="DK1_Rural"/>
    <x v="2"/>
    <x v="12"/>
    <x v="0"/>
    <x v="15"/>
    <n v="182.71904761904801"/>
    <n v="66692.452380952396"/>
    <n v="240092.82857142799"/>
  </r>
  <r>
    <x v="0"/>
    <x v="0"/>
    <x v="0"/>
    <x v="0"/>
    <x v="0"/>
    <s v="DK1_Rural"/>
    <x v="2"/>
    <x v="12"/>
    <x v="0"/>
    <x v="16"/>
    <n v="182.71904761904801"/>
    <n v="66692.452380952396"/>
    <n v="240092.82857142799"/>
  </r>
  <r>
    <x v="0"/>
    <x v="0"/>
    <x v="0"/>
    <x v="0"/>
    <x v="0"/>
    <s v="DK1_Rural"/>
    <x v="2"/>
    <x v="12"/>
    <x v="0"/>
    <x v="17"/>
    <n v="182.71904761904801"/>
    <n v="66692.452380952396"/>
    <n v="240092.82857142799"/>
  </r>
  <r>
    <x v="0"/>
    <x v="0"/>
    <x v="0"/>
    <x v="0"/>
    <x v="0"/>
    <s v="DK1_Rural"/>
    <x v="2"/>
    <x v="12"/>
    <x v="0"/>
    <x v="18"/>
    <n v="182.71904761904801"/>
    <n v="66692.452380952396"/>
    <n v="240092.82857142799"/>
  </r>
  <r>
    <x v="0"/>
    <x v="0"/>
    <x v="0"/>
    <x v="0"/>
    <x v="0"/>
    <s v="DK1_Rural"/>
    <x v="2"/>
    <x v="12"/>
    <x v="0"/>
    <x v="19"/>
    <n v="182.71904761904801"/>
    <n v="66692.452380952396"/>
    <n v="240092.82857142799"/>
  </r>
  <r>
    <x v="0"/>
    <x v="0"/>
    <x v="0"/>
    <x v="0"/>
    <x v="0"/>
    <s v="DK1_Rural"/>
    <x v="2"/>
    <x v="12"/>
    <x v="0"/>
    <x v="20"/>
    <n v="182.71904761904801"/>
    <n v="66692.452380952396"/>
    <n v="240092.82857142799"/>
  </r>
  <r>
    <x v="0"/>
    <x v="0"/>
    <x v="0"/>
    <x v="0"/>
    <x v="0"/>
    <s v="DK1_Rural"/>
    <x v="2"/>
    <x v="12"/>
    <x v="0"/>
    <x v="21"/>
    <n v="182.71904761904801"/>
    <n v="66692.452380952396"/>
    <n v="240092.82857142799"/>
  </r>
  <r>
    <x v="0"/>
    <x v="0"/>
    <x v="0"/>
    <x v="0"/>
    <x v="0"/>
    <s v="DK1_Rural"/>
    <x v="2"/>
    <x v="12"/>
    <x v="0"/>
    <x v="22"/>
    <n v="182.71904761904801"/>
    <n v="66692.452380952396"/>
    <n v="240092.82857142799"/>
  </r>
  <r>
    <x v="0"/>
    <x v="0"/>
    <x v="0"/>
    <x v="0"/>
    <x v="0"/>
    <s v="DK1_Rural"/>
    <x v="2"/>
    <x v="12"/>
    <x v="0"/>
    <x v="23"/>
    <n v="182.71904761904801"/>
    <n v="66692.452380952396"/>
    <n v="240092.82857142799"/>
  </r>
  <r>
    <x v="0"/>
    <x v="0"/>
    <x v="0"/>
    <x v="0"/>
    <x v="0"/>
    <s v="DK1_Rural"/>
    <x v="2"/>
    <x v="13"/>
    <x v="0"/>
    <x v="3"/>
    <n v="112.86511627906999"/>
    <n v="41195.767441860502"/>
    <n v="148304.76279069801"/>
  </r>
  <r>
    <x v="0"/>
    <x v="0"/>
    <x v="0"/>
    <x v="0"/>
    <x v="0"/>
    <s v="DK1_Rural"/>
    <x v="2"/>
    <x v="13"/>
    <x v="0"/>
    <x v="4"/>
    <n v="112.86511627906999"/>
    <n v="41195.767441860502"/>
    <n v="148304.76279069801"/>
  </r>
  <r>
    <x v="0"/>
    <x v="0"/>
    <x v="0"/>
    <x v="0"/>
    <x v="0"/>
    <s v="DK1_Rural"/>
    <x v="2"/>
    <x v="13"/>
    <x v="0"/>
    <x v="5"/>
    <n v="112.86511627906999"/>
    <n v="41195.767441860502"/>
    <n v="148304.76279069801"/>
  </r>
  <r>
    <x v="0"/>
    <x v="0"/>
    <x v="0"/>
    <x v="0"/>
    <x v="0"/>
    <s v="DK1_Rural"/>
    <x v="2"/>
    <x v="13"/>
    <x v="0"/>
    <x v="6"/>
    <n v="112.86511627906999"/>
    <n v="41195.767441860502"/>
    <n v="148304.76279069801"/>
  </r>
  <r>
    <x v="0"/>
    <x v="0"/>
    <x v="0"/>
    <x v="0"/>
    <x v="0"/>
    <s v="DK1_Rural"/>
    <x v="2"/>
    <x v="13"/>
    <x v="0"/>
    <x v="7"/>
    <n v="112.86511627906999"/>
    <n v="41195.767441860502"/>
    <n v="148304.76279069801"/>
  </r>
  <r>
    <x v="0"/>
    <x v="0"/>
    <x v="0"/>
    <x v="0"/>
    <x v="0"/>
    <s v="DK1_Rural"/>
    <x v="2"/>
    <x v="13"/>
    <x v="0"/>
    <x v="8"/>
    <n v="112.86511627906999"/>
    <n v="41195.767441860502"/>
    <n v="148304.76279069801"/>
  </r>
  <r>
    <x v="0"/>
    <x v="0"/>
    <x v="0"/>
    <x v="0"/>
    <x v="0"/>
    <s v="DK1_Rural"/>
    <x v="2"/>
    <x v="13"/>
    <x v="0"/>
    <x v="0"/>
    <n v="112.86511627906999"/>
    <n v="41195.767441860502"/>
    <n v="148304.76279069801"/>
  </r>
  <r>
    <x v="0"/>
    <x v="0"/>
    <x v="0"/>
    <x v="0"/>
    <x v="0"/>
    <s v="DK1_Rural"/>
    <x v="2"/>
    <x v="13"/>
    <x v="0"/>
    <x v="1"/>
    <n v="112.86511627906999"/>
    <n v="41195.767441860502"/>
    <n v="148304.76279069801"/>
  </r>
  <r>
    <x v="0"/>
    <x v="0"/>
    <x v="0"/>
    <x v="0"/>
    <x v="0"/>
    <s v="DK1_Rural"/>
    <x v="2"/>
    <x v="13"/>
    <x v="0"/>
    <x v="2"/>
    <n v="112.86511627906999"/>
    <n v="41195.767441860502"/>
    <n v="148304.76279069801"/>
  </r>
  <r>
    <x v="0"/>
    <x v="0"/>
    <x v="0"/>
    <x v="0"/>
    <x v="0"/>
    <s v="DK1_Rural"/>
    <x v="2"/>
    <x v="13"/>
    <x v="0"/>
    <x v="9"/>
    <n v="112.86511627906999"/>
    <n v="41195.767441860502"/>
    <n v="148304.76279069801"/>
  </r>
  <r>
    <x v="0"/>
    <x v="0"/>
    <x v="0"/>
    <x v="0"/>
    <x v="0"/>
    <s v="DK1_Rural"/>
    <x v="2"/>
    <x v="13"/>
    <x v="0"/>
    <x v="10"/>
    <n v="112.86511627906999"/>
    <n v="41195.767441860502"/>
    <n v="148304.76279069801"/>
  </r>
  <r>
    <x v="0"/>
    <x v="0"/>
    <x v="0"/>
    <x v="0"/>
    <x v="0"/>
    <s v="DK1_Rural"/>
    <x v="2"/>
    <x v="13"/>
    <x v="0"/>
    <x v="11"/>
    <n v="112.86511627906999"/>
    <n v="41195.767441860502"/>
    <n v="148304.76279069801"/>
  </r>
  <r>
    <x v="0"/>
    <x v="0"/>
    <x v="0"/>
    <x v="0"/>
    <x v="0"/>
    <s v="DK1_Rural"/>
    <x v="2"/>
    <x v="13"/>
    <x v="0"/>
    <x v="12"/>
    <n v="112.86511627906999"/>
    <n v="41195.767441860502"/>
    <n v="148304.76279069801"/>
  </r>
  <r>
    <x v="0"/>
    <x v="0"/>
    <x v="0"/>
    <x v="0"/>
    <x v="0"/>
    <s v="DK1_Rural"/>
    <x v="2"/>
    <x v="13"/>
    <x v="0"/>
    <x v="13"/>
    <n v="112.86511627906999"/>
    <n v="41195.767441860502"/>
    <n v="148304.76279069801"/>
  </r>
  <r>
    <x v="0"/>
    <x v="0"/>
    <x v="0"/>
    <x v="0"/>
    <x v="0"/>
    <s v="DK1_Rural"/>
    <x v="2"/>
    <x v="13"/>
    <x v="0"/>
    <x v="14"/>
    <n v="112.86511627906999"/>
    <n v="41195.767441860502"/>
    <n v="148304.76279069801"/>
  </r>
  <r>
    <x v="0"/>
    <x v="0"/>
    <x v="0"/>
    <x v="0"/>
    <x v="0"/>
    <s v="DK1_Rural"/>
    <x v="2"/>
    <x v="13"/>
    <x v="0"/>
    <x v="15"/>
    <n v="112.86511627906999"/>
    <n v="41195.767441860502"/>
    <n v="148304.76279069801"/>
  </r>
  <r>
    <x v="0"/>
    <x v="0"/>
    <x v="0"/>
    <x v="0"/>
    <x v="0"/>
    <s v="DK1_Rural"/>
    <x v="2"/>
    <x v="13"/>
    <x v="0"/>
    <x v="16"/>
    <n v="112.86511627906999"/>
    <n v="41195.767441860502"/>
    <n v="148304.76279069801"/>
  </r>
  <r>
    <x v="0"/>
    <x v="0"/>
    <x v="0"/>
    <x v="0"/>
    <x v="0"/>
    <s v="DK1_Rural"/>
    <x v="2"/>
    <x v="13"/>
    <x v="0"/>
    <x v="17"/>
    <n v="112.86511627906999"/>
    <n v="41195.767441860502"/>
    <n v="148304.76279069801"/>
  </r>
  <r>
    <x v="0"/>
    <x v="0"/>
    <x v="0"/>
    <x v="0"/>
    <x v="0"/>
    <s v="DK1_Rural"/>
    <x v="2"/>
    <x v="13"/>
    <x v="0"/>
    <x v="18"/>
    <n v="112.86511627906999"/>
    <n v="41195.767441860502"/>
    <n v="148304.76279069801"/>
  </r>
  <r>
    <x v="0"/>
    <x v="0"/>
    <x v="0"/>
    <x v="0"/>
    <x v="0"/>
    <s v="DK1_Rural"/>
    <x v="2"/>
    <x v="13"/>
    <x v="0"/>
    <x v="19"/>
    <n v="112.86511627906999"/>
    <n v="41195.767441860502"/>
    <n v="148304.76279069801"/>
  </r>
  <r>
    <x v="0"/>
    <x v="0"/>
    <x v="0"/>
    <x v="0"/>
    <x v="0"/>
    <s v="DK1_Rural"/>
    <x v="2"/>
    <x v="13"/>
    <x v="0"/>
    <x v="20"/>
    <n v="112.86511627906999"/>
    <n v="41195.767441860502"/>
    <n v="148304.76279069801"/>
  </r>
  <r>
    <x v="0"/>
    <x v="0"/>
    <x v="0"/>
    <x v="0"/>
    <x v="0"/>
    <s v="DK1_Rural"/>
    <x v="2"/>
    <x v="13"/>
    <x v="0"/>
    <x v="21"/>
    <n v="112.86511627906999"/>
    <n v="41195.767441860502"/>
    <n v="148304.76279069801"/>
  </r>
  <r>
    <x v="0"/>
    <x v="0"/>
    <x v="0"/>
    <x v="0"/>
    <x v="0"/>
    <s v="DK1_Rural"/>
    <x v="2"/>
    <x v="13"/>
    <x v="0"/>
    <x v="22"/>
    <n v="112.86511627906999"/>
    <n v="41195.767441860502"/>
    <n v="148304.76279069801"/>
  </r>
  <r>
    <x v="0"/>
    <x v="0"/>
    <x v="0"/>
    <x v="0"/>
    <x v="0"/>
    <s v="DK1_Rural"/>
    <x v="2"/>
    <x v="13"/>
    <x v="0"/>
    <x v="23"/>
    <n v="112.86511627906999"/>
    <n v="41195.767441860502"/>
    <n v="148304.76279069801"/>
  </r>
  <r>
    <x v="0"/>
    <x v="0"/>
    <x v="0"/>
    <x v="0"/>
    <x v="0"/>
    <s v="DK1_Rural"/>
    <x v="2"/>
    <x v="14"/>
    <x v="0"/>
    <x v="3"/>
    <n v="122.795454545455"/>
    <n v="44820.340909090897"/>
    <n v="161353.227272727"/>
  </r>
  <r>
    <x v="0"/>
    <x v="0"/>
    <x v="0"/>
    <x v="0"/>
    <x v="0"/>
    <s v="DK1_Rural"/>
    <x v="2"/>
    <x v="14"/>
    <x v="0"/>
    <x v="4"/>
    <n v="122.795454545455"/>
    <n v="44820.340909090897"/>
    <n v="161353.227272727"/>
  </r>
  <r>
    <x v="0"/>
    <x v="0"/>
    <x v="0"/>
    <x v="0"/>
    <x v="0"/>
    <s v="DK1_Rural"/>
    <x v="2"/>
    <x v="14"/>
    <x v="0"/>
    <x v="5"/>
    <n v="122.795454545455"/>
    <n v="44820.340909090897"/>
    <n v="161353.227272727"/>
  </r>
  <r>
    <x v="0"/>
    <x v="0"/>
    <x v="0"/>
    <x v="0"/>
    <x v="0"/>
    <s v="DK1_Rural"/>
    <x v="2"/>
    <x v="14"/>
    <x v="0"/>
    <x v="6"/>
    <n v="122.795454545455"/>
    <n v="44820.340909090897"/>
    <n v="161353.227272727"/>
  </r>
  <r>
    <x v="0"/>
    <x v="0"/>
    <x v="0"/>
    <x v="0"/>
    <x v="0"/>
    <s v="DK1_Rural"/>
    <x v="2"/>
    <x v="14"/>
    <x v="0"/>
    <x v="7"/>
    <n v="122.795454545455"/>
    <n v="44820.340909090897"/>
    <n v="161353.227272727"/>
  </r>
  <r>
    <x v="0"/>
    <x v="0"/>
    <x v="0"/>
    <x v="0"/>
    <x v="0"/>
    <s v="DK1_Rural"/>
    <x v="2"/>
    <x v="14"/>
    <x v="0"/>
    <x v="8"/>
    <n v="122.795454545455"/>
    <n v="44820.340909090897"/>
    <n v="161353.227272727"/>
  </r>
  <r>
    <x v="0"/>
    <x v="0"/>
    <x v="0"/>
    <x v="0"/>
    <x v="0"/>
    <s v="DK1_Rural"/>
    <x v="2"/>
    <x v="14"/>
    <x v="0"/>
    <x v="0"/>
    <n v="122.795454545455"/>
    <n v="44820.340909090897"/>
    <n v="161353.227272727"/>
  </r>
  <r>
    <x v="0"/>
    <x v="0"/>
    <x v="0"/>
    <x v="0"/>
    <x v="0"/>
    <s v="DK1_Rural"/>
    <x v="2"/>
    <x v="14"/>
    <x v="0"/>
    <x v="1"/>
    <n v="122.795454545455"/>
    <n v="44820.340909090897"/>
    <n v="161353.227272727"/>
  </r>
  <r>
    <x v="0"/>
    <x v="0"/>
    <x v="0"/>
    <x v="0"/>
    <x v="0"/>
    <s v="DK1_Rural"/>
    <x v="2"/>
    <x v="14"/>
    <x v="0"/>
    <x v="2"/>
    <n v="122.795454545455"/>
    <n v="44820.340909090897"/>
    <n v="161353.227272727"/>
  </r>
  <r>
    <x v="0"/>
    <x v="0"/>
    <x v="0"/>
    <x v="0"/>
    <x v="0"/>
    <s v="DK1_Rural"/>
    <x v="2"/>
    <x v="14"/>
    <x v="0"/>
    <x v="9"/>
    <n v="122.795454545455"/>
    <n v="44820.340909090897"/>
    <n v="161353.227272727"/>
  </r>
  <r>
    <x v="0"/>
    <x v="0"/>
    <x v="0"/>
    <x v="0"/>
    <x v="0"/>
    <s v="DK1_Rural"/>
    <x v="2"/>
    <x v="14"/>
    <x v="0"/>
    <x v="10"/>
    <n v="122.795454545455"/>
    <n v="44820.340909090897"/>
    <n v="161353.227272727"/>
  </r>
  <r>
    <x v="0"/>
    <x v="0"/>
    <x v="0"/>
    <x v="0"/>
    <x v="0"/>
    <s v="DK1_Rural"/>
    <x v="2"/>
    <x v="14"/>
    <x v="0"/>
    <x v="11"/>
    <n v="122.795454545455"/>
    <n v="44820.340909090897"/>
    <n v="161353.227272727"/>
  </r>
  <r>
    <x v="0"/>
    <x v="0"/>
    <x v="0"/>
    <x v="0"/>
    <x v="0"/>
    <s v="DK1_Rural"/>
    <x v="2"/>
    <x v="14"/>
    <x v="0"/>
    <x v="12"/>
    <n v="122.795454545455"/>
    <n v="44820.340909090897"/>
    <n v="161353.227272727"/>
  </r>
  <r>
    <x v="0"/>
    <x v="0"/>
    <x v="0"/>
    <x v="0"/>
    <x v="0"/>
    <s v="DK1_Rural"/>
    <x v="2"/>
    <x v="14"/>
    <x v="0"/>
    <x v="13"/>
    <n v="122.795454545455"/>
    <n v="44820.340909090897"/>
    <n v="161353.227272727"/>
  </r>
  <r>
    <x v="0"/>
    <x v="0"/>
    <x v="0"/>
    <x v="0"/>
    <x v="0"/>
    <s v="DK1_Rural"/>
    <x v="2"/>
    <x v="14"/>
    <x v="0"/>
    <x v="14"/>
    <n v="122.795454545455"/>
    <n v="44820.340909090897"/>
    <n v="161353.227272727"/>
  </r>
  <r>
    <x v="0"/>
    <x v="0"/>
    <x v="0"/>
    <x v="0"/>
    <x v="0"/>
    <s v="DK1_Rural"/>
    <x v="2"/>
    <x v="14"/>
    <x v="0"/>
    <x v="15"/>
    <n v="122.795454545455"/>
    <n v="44820.340909090897"/>
    <n v="161353.227272727"/>
  </r>
  <r>
    <x v="0"/>
    <x v="0"/>
    <x v="0"/>
    <x v="0"/>
    <x v="0"/>
    <s v="DK1_Rural"/>
    <x v="2"/>
    <x v="14"/>
    <x v="0"/>
    <x v="16"/>
    <n v="122.795454545455"/>
    <n v="44820.340909090897"/>
    <n v="161353.227272727"/>
  </r>
  <r>
    <x v="0"/>
    <x v="0"/>
    <x v="0"/>
    <x v="0"/>
    <x v="0"/>
    <s v="DK1_Rural"/>
    <x v="2"/>
    <x v="14"/>
    <x v="0"/>
    <x v="17"/>
    <n v="122.795454545455"/>
    <n v="44820.340909090897"/>
    <n v="161353.227272727"/>
  </r>
  <r>
    <x v="0"/>
    <x v="0"/>
    <x v="0"/>
    <x v="0"/>
    <x v="0"/>
    <s v="DK1_Rural"/>
    <x v="2"/>
    <x v="14"/>
    <x v="0"/>
    <x v="18"/>
    <n v="122.795454545455"/>
    <n v="44820.340909090897"/>
    <n v="161353.227272727"/>
  </r>
  <r>
    <x v="0"/>
    <x v="0"/>
    <x v="0"/>
    <x v="0"/>
    <x v="0"/>
    <s v="DK1_Rural"/>
    <x v="2"/>
    <x v="14"/>
    <x v="0"/>
    <x v="19"/>
    <n v="122.795454545455"/>
    <n v="44820.340909090897"/>
    <n v="161353.227272727"/>
  </r>
  <r>
    <x v="0"/>
    <x v="0"/>
    <x v="0"/>
    <x v="0"/>
    <x v="0"/>
    <s v="DK1_Rural"/>
    <x v="2"/>
    <x v="14"/>
    <x v="0"/>
    <x v="20"/>
    <n v="122.795454545455"/>
    <n v="44820.340909090897"/>
    <n v="161353.227272727"/>
  </r>
  <r>
    <x v="0"/>
    <x v="0"/>
    <x v="0"/>
    <x v="0"/>
    <x v="0"/>
    <s v="DK1_Rural"/>
    <x v="2"/>
    <x v="14"/>
    <x v="0"/>
    <x v="21"/>
    <n v="122.795454545455"/>
    <n v="44820.340909090897"/>
    <n v="161353.227272727"/>
  </r>
  <r>
    <x v="0"/>
    <x v="0"/>
    <x v="0"/>
    <x v="0"/>
    <x v="0"/>
    <s v="DK1_Rural"/>
    <x v="2"/>
    <x v="14"/>
    <x v="0"/>
    <x v="22"/>
    <n v="122.795454545455"/>
    <n v="44820.340909090897"/>
    <n v="161353.227272727"/>
  </r>
  <r>
    <x v="0"/>
    <x v="0"/>
    <x v="0"/>
    <x v="0"/>
    <x v="0"/>
    <s v="DK1_Rural"/>
    <x v="2"/>
    <x v="14"/>
    <x v="0"/>
    <x v="23"/>
    <n v="122.795454545455"/>
    <n v="44820.340909090897"/>
    <n v="161353.227272727"/>
  </r>
  <r>
    <x v="0"/>
    <x v="0"/>
    <x v="0"/>
    <x v="0"/>
    <x v="0"/>
    <s v="DK1_Rural"/>
    <x v="2"/>
    <x v="49"/>
    <x v="0"/>
    <x v="3"/>
    <n v="23.2"/>
    <n v="8468"/>
    <n v="30484.799999999999"/>
  </r>
  <r>
    <x v="0"/>
    <x v="0"/>
    <x v="0"/>
    <x v="0"/>
    <x v="0"/>
    <s v="DK1_Rural"/>
    <x v="2"/>
    <x v="49"/>
    <x v="0"/>
    <x v="4"/>
    <n v="23.2"/>
    <n v="8468"/>
    <n v="30484.799999999999"/>
  </r>
  <r>
    <x v="0"/>
    <x v="0"/>
    <x v="0"/>
    <x v="0"/>
    <x v="0"/>
    <s v="DK1_Rural"/>
    <x v="2"/>
    <x v="49"/>
    <x v="0"/>
    <x v="5"/>
    <n v="23.2"/>
    <n v="8468"/>
    <n v="30484.799999999999"/>
  </r>
  <r>
    <x v="0"/>
    <x v="0"/>
    <x v="0"/>
    <x v="0"/>
    <x v="0"/>
    <s v="DK1_Rural"/>
    <x v="2"/>
    <x v="49"/>
    <x v="0"/>
    <x v="6"/>
    <n v="23.2"/>
    <n v="8468"/>
    <n v="30484.799999999999"/>
  </r>
  <r>
    <x v="0"/>
    <x v="0"/>
    <x v="0"/>
    <x v="0"/>
    <x v="0"/>
    <s v="DK1_Rural"/>
    <x v="2"/>
    <x v="49"/>
    <x v="0"/>
    <x v="7"/>
    <n v="23.2"/>
    <n v="8468"/>
    <n v="30484.799999999999"/>
  </r>
  <r>
    <x v="0"/>
    <x v="0"/>
    <x v="0"/>
    <x v="0"/>
    <x v="0"/>
    <s v="DK1_Rural"/>
    <x v="2"/>
    <x v="49"/>
    <x v="0"/>
    <x v="8"/>
    <n v="23.2"/>
    <n v="8468"/>
    <n v="30484.799999999999"/>
  </r>
  <r>
    <x v="0"/>
    <x v="0"/>
    <x v="0"/>
    <x v="0"/>
    <x v="0"/>
    <s v="DK1_Rural"/>
    <x v="2"/>
    <x v="49"/>
    <x v="0"/>
    <x v="0"/>
    <n v="23.2"/>
    <n v="8468"/>
    <n v="30484.799999999999"/>
  </r>
  <r>
    <x v="0"/>
    <x v="0"/>
    <x v="0"/>
    <x v="0"/>
    <x v="0"/>
    <s v="DK1_Rural"/>
    <x v="2"/>
    <x v="49"/>
    <x v="0"/>
    <x v="1"/>
    <n v="23.2"/>
    <n v="8468"/>
    <n v="30484.799999999999"/>
  </r>
  <r>
    <x v="0"/>
    <x v="0"/>
    <x v="0"/>
    <x v="0"/>
    <x v="0"/>
    <s v="DK1_Rural"/>
    <x v="2"/>
    <x v="49"/>
    <x v="0"/>
    <x v="2"/>
    <n v="23.2"/>
    <n v="8468"/>
    <n v="30484.799999999999"/>
  </r>
  <r>
    <x v="0"/>
    <x v="0"/>
    <x v="0"/>
    <x v="0"/>
    <x v="0"/>
    <s v="DK1_Rural"/>
    <x v="2"/>
    <x v="49"/>
    <x v="0"/>
    <x v="9"/>
    <n v="23.2"/>
    <n v="8468"/>
    <n v="30484.799999999999"/>
  </r>
  <r>
    <x v="0"/>
    <x v="0"/>
    <x v="0"/>
    <x v="0"/>
    <x v="0"/>
    <s v="DK1_Rural"/>
    <x v="2"/>
    <x v="49"/>
    <x v="0"/>
    <x v="10"/>
    <n v="23.2"/>
    <n v="8468"/>
    <n v="30484.799999999999"/>
  </r>
  <r>
    <x v="0"/>
    <x v="0"/>
    <x v="0"/>
    <x v="0"/>
    <x v="0"/>
    <s v="DK1_Rural"/>
    <x v="2"/>
    <x v="49"/>
    <x v="0"/>
    <x v="11"/>
    <n v="23.2"/>
    <n v="8468"/>
    <n v="30484.799999999999"/>
  </r>
  <r>
    <x v="0"/>
    <x v="0"/>
    <x v="0"/>
    <x v="0"/>
    <x v="0"/>
    <s v="DK1_Rural"/>
    <x v="2"/>
    <x v="49"/>
    <x v="0"/>
    <x v="12"/>
    <n v="23.2"/>
    <n v="8468"/>
    <n v="30484.799999999999"/>
  </r>
  <r>
    <x v="0"/>
    <x v="0"/>
    <x v="0"/>
    <x v="0"/>
    <x v="0"/>
    <s v="DK1_Rural"/>
    <x v="2"/>
    <x v="49"/>
    <x v="0"/>
    <x v="13"/>
    <n v="23.2"/>
    <n v="8468"/>
    <n v="30484.799999999999"/>
  </r>
  <r>
    <x v="0"/>
    <x v="0"/>
    <x v="0"/>
    <x v="0"/>
    <x v="0"/>
    <s v="DK1_Rural"/>
    <x v="2"/>
    <x v="49"/>
    <x v="0"/>
    <x v="14"/>
    <n v="23.2"/>
    <n v="8468"/>
    <n v="30484.799999999999"/>
  </r>
  <r>
    <x v="0"/>
    <x v="0"/>
    <x v="0"/>
    <x v="0"/>
    <x v="0"/>
    <s v="DK1_Rural"/>
    <x v="2"/>
    <x v="49"/>
    <x v="0"/>
    <x v="15"/>
    <n v="23.2"/>
    <n v="8468"/>
    <n v="30484.799999999999"/>
  </r>
  <r>
    <x v="0"/>
    <x v="0"/>
    <x v="0"/>
    <x v="0"/>
    <x v="0"/>
    <s v="DK1_Rural"/>
    <x v="2"/>
    <x v="49"/>
    <x v="0"/>
    <x v="16"/>
    <n v="23.2"/>
    <n v="8468"/>
    <n v="30484.799999999999"/>
  </r>
  <r>
    <x v="0"/>
    <x v="0"/>
    <x v="0"/>
    <x v="0"/>
    <x v="0"/>
    <s v="DK1_Rural"/>
    <x v="2"/>
    <x v="49"/>
    <x v="0"/>
    <x v="17"/>
    <n v="23.2"/>
    <n v="8468"/>
    <n v="30484.799999999999"/>
  </r>
  <r>
    <x v="0"/>
    <x v="0"/>
    <x v="0"/>
    <x v="0"/>
    <x v="0"/>
    <s v="DK1_Rural"/>
    <x v="2"/>
    <x v="49"/>
    <x v="0"/>
    <x v="18"/>
    <n v="23.2"/>
    <n v="8468"/>
    <n v="30484.799999999999"/>
  </r>
  <r>
    <x v="0"/>
    <x v="0"/>
    <x v="0"/>
    <x v="0"/>
    <x v="0"/>
    <s v="DK1_Rural"/>
    <x v="2"/>
    <x v="49"/>
    <x v="0"/>
    <x v="19"/>
    <n v="23.2"/>
    <n v="8468"/>
    <n v="30484.799999999999"/>
  </r>
  <r>
    <x v="0"/>
    <x v="0"/>
    <x v="0"/>
    <x v="0"/>
    <x v="0"/>
    <s v="DK1_Rural"/>
    <x v="2"/>
    <x v="49"/>
    <x v="0"/>
    <x v="20"/>
    <n v="23.2"/>
    <n v="8468"/>
    <n v="30484.799999999999"/>
  </r>
  <r>
    <x v="0"/>
    <x v="0"/>
    <x v="0"/>
    <x v="0"/>
    <x v="0"/>
    <s v="DK1_Rural"/>
    <x v="2"/>
    <x v="49"/>
    <x v="0"/>
    <x v="21"/>
    <n v="23.2"/>
    <n v="8468"/>
    <n v="30484.799999999999"/>
  </r>
  <r>
    <x v="0"/>
    <x v="0"/>
    <x v="0"/>
    <x v="0"/>
    <x v="0"/>
    <s v="DK1_Rural"/>
    <x v="2"/>
    <x v="49"/>
    <x v="0"/>
    <x v="22"/>
    <n v="23.2"/>
    <n v="8468"/>
    <n v="30484.799999999999"/>
  </r>
  <r>
    <x v="0"/>
    <x v="0"/>
    <x v="0"/>
    <x v="0"/>
    <x v="0"/>
    <s v="DK1_Rural"/>
    <x v="2"/>
    <x v="49"/>
    <x v="0"/>
    <x v="23"/>
    <n v="23.2"/>
    <n v="8468"/>
    <n v="30484.799999999999"/>
  </r>
  <r>
    <x v="0"/>
    <x v="0"/>
    <x v="0"/>
    <x v="0"/>
    <x v="0"/>
    <s v="DK1_Rural"/>
    <x v="2"/>
    <x v="15"/>
    <x v="0"/>
    <x v="3"/>
    <n v="47.043478260869598"/>
    <n v="17170.869565217399"/>
    <n v="61815.130434782601"/>
  </r>
  <r>
    <x v="0"/>
    <x v="0"/>
    <x v="0"/>
    <x v="0"/>
    <x v="0"/>
    <s v="DK1_Rural"/>
    <x v="2"/>
    <x v="15"/>
    <x v="0"/>
    <x v="4"/>
    <n v="47.043478260869598"/>
    <n v="17170.869565217399"/>
    <n v="61815.130434782601"/>
  </r>
  <r>
    <x v="0"/>
    <x v="0"/>
    <x v="0"/>
    <x v="0"/>
    <x v="0"/>
    <s v="DK1_Rural"/>
    <x v="2"/>
    <x v="15"/>
    <x v="0"/>
    <x v="5"/>
    <n v="47.043478260869598"/>
    <n v="17170.869565217399"/>
    <n v="61815.130434782601"/>
  </r>
  <r>
    <x v="0"/>
    <x v="0"/>
    <x v="0"/>
    <x v="0"/>
    <x v="0"/>
    <s v="DK1_Rural"/>
    <x v="2"/>
    <x v="15"/>
    <x v="0"/>
    <x v="6"/>
    <n v="47.043478260869598"/>
    <n v="17170.869565217399"/>
    <n v="61815.130434782601"/>
  </r>
  <r>
    <x v="0"/>
    <x v="0"/>
    <x v="0"/>
    <x v="0"/>
    <x v="0"/>
    <s v="DK1_Rural"/>
    <x v="2"/>
    <x v="15"/>
    <x v="0"/>
    <x v="7"/>
    <n v="47.043478260869598"/>
    <n v="17170.869565217399"/>
    <n v="61815.130434782601"/>
  </r>
  <r>
    <x v="0"/>
    <x v="0"/>
    <x v="0"/>
    <x v="0"/>
    <x v="0"/>
    <s v="DK1_Rural"/>
    <x v="2"/>
    <x v="15"/>
    <x v="0"/>
    <x v="8"/>
    <n v="47.043478260869598"/>
    <n v="17170.869565217399"/>
    <n v="61815.130434782601"/>
  </r>
  <r>
    <x v="0"/>
    <x v="0"/>
    <x v="0"/>
    <x v="0"/>
    <x v="0"/>
    <s v="DK1_Rural"/>
    <x v="2"/>
    <x v="15"/>
    <x v="0"/>
    <x v="0"/>
    <n v="47.043478260869598"/>
    <n v="17170.869565217399"/>
    <n v="61815.130434782601"/>
  </r>
  <r>
    <x v="0"/>
    <x v="0"/>
    <x v="0"/>
    <x v="0"/>
    <x v="0"/>
    <s v="DK1_Rural"/>
    <x v="2"/>
    <x v="15"/>
    <x v="0"/>
    <x v="1"/>
    <n v="47.043478260869598"/>
    <n v="17170.869565217399"/>
    <n v="61815.130434782601"/>
  </r>
  <r>
    <x v="0"/>
    <x v="0"/>
    <x v="0"/>
    <x v="0"/>
    <x v="0"/>
    <s v="DK1_Rural"/>
    <x v="2"/>
    <x v="15"/>
    <x v="0"/>
    <x v="2"/>
    <n v="47.043478260869598"/>
    <n v="17170.869565217399"/>
    <n v="61815.130434782601"/>
  </r>
  <r>
    <x v="0"/>
    <x v="0"/>
    <x v="0"/>
    <x v="0"/>
    <x v="0"/>
    <s v="DK1_Rural"/>
    <x v="2"/>
    <x v="15"/>
    <x v="0"/>
    <x v="9"/>
    <n v="47.043478260869598"/>
    <n v="17170.869565217399"/>
    <n v="61815.130434782601"/>
  </r>
  <r>
    <x v="0"/>
    <x v="0"/>
    <x v="0"/>
    <x v="0"/>
    <x v="0"/>
    <s v="DK1_Rural"/>
    <x v="2"/>
    <x v="15"/>
    <x v="0"/>
    <x v="10"/>
    <n v="47.043478260869598"/>
    <n v="17170.869565217399"/>
    <n v="61815.130434782601"/>
  </r>
  <r>
    <x v="0"/>
    <x v="0"/>
    <x v="0"/>
    <x v="0"/>
    <x v="0"/>
    <s v="DK1_Rural"/>
    <x v="2"/>
    <x v="15"/>
    <x v="0"/>
    <x v="11"/>
    <n v="47.043478260869598"/>
    <n v="17170.869565217399"/>
    <n v="61815.130434782601"/>
  </r>
  <r>
    <x v="0"/>
    <x v="0"/>
    <x v="0"/>
    <x v="0"/>
    <x v="0"/>
    <s v="DK1_Rural"/>
    <x v="2"/>
    <x v="15"/>
    <x v="0"/>
    <x v="12"/>
    <n v="47.043478260869598"/>
    <n v="17170.869565217399"/>
    <n v="61815.130434782601"/>
  </r>
  <r>
    <x v="0"/>
    <x v="0"/>
    <x v="0"/>
    <x v="0"/>
    <x v="0"/>
    <s v="DK1_Rural"/>
    <x v="2"/>
    <x v="15"/>
    <x v="0"/>
    <x v="13"/>
    <n v="47.043478260869598"/>
    <n v="17170.869565217399"/>
    <n v="61815.130434782601"/>
  </r>
  <r>
    <x v="0"/>
    <x v="0"/>
    <x v="0"/>
    <x v="0"/>
    <x v="0"/>
    <s v="DK1_Rural"/>
    <x v="2"/>
    <x v="15"/>
    <x v="0"/>
    <x v="14"/>
    <n v="47.043478260869598"/>
    <n v="17170.869565217399"/>
    <n v="61815.130434782601"/>
  </r>
  <r>
    <x v="0"/>
    <x v="0"/>
    <x v="0"/>
    <x v="0"/>
    <x v="0"/>
    <s v="DK1_Rural"/>
    <x v="2"/>
    <x v="15"/>
    <x v="0"/>
    <x v="15"/>
    <n v="47.043478260869598"/>
    <n v="17170.869565217399"/>
    <n v="61815.130434782601"/>
  </r>
  <r>
    <x v="0"/>
    <x v="0"/>
    <x v="0"/>
    <x v="0"/>
    <x v="0"/>
    <s v="DK1_Rural"/>
    <x v="2"/>
    <x v="15"/>
    <x v="0"/>
    <x v="16"/>
    <n v="47.043478260869598"/>
    <n v="17170.869565217399"/>
    <n v="61815.130434782601"/>
  </r>
  <r>
    <x v="0"/>
    <x v="0"/>
    <x v="0"/>
    <x v="0"/>
    <x v="0"/>
    <s v="DK1_Rural"/>
    <x v="2"/>
    <x v="15"/>
    <x v="0"/>
    <x v="17"/>
    <n v="47.043478260869598"/>
    <n v="17170.869565217399"/>
    <n v="61815.130434782601"/>
  </r>
  <r>
    <x v="0"/>
    <x v="0"/>
    <x v="0"/>
    <x v="0"/>
    <x v="0"/>
    <s v="DK1_Rural"/>
    <x v="2"/>
    <x v="15"/>
    <x v="0"/>
    <x v="18"/>
    <n v="47.043478260869598"/>
    <n v="17170.869565217399"/>
    <n v="61815.130434782601"/>
  </r>
  <r>
    <x v="0"/>
    <x v="0"/>
    <x v="0"/>
    <x v="0"/>
    <x v="0"/>
    <s v="DK1_Rural"/>
    <x v="2"/>
    <x v="15"/>
    <x v="0"/>
    <x v="19"/>
    <n v="47.043478260869598"/>
    <n v="17170.869565217399"/>
    <n v="61815.130434782601"/>
  </r>
  <r>
    <x v="0"/>
    <x v="0"/>
    <x v="0"/>
    <x v="0"/>
    <x v="0"/>
    <s v="DK1_Rural"/>
    <x v="2"/>
    <x v="15"/>
    <x v="0"/>
    <x v="20"/>
    <n v="47.043478260869598"/>
    <n v="17170.869565217399"/>
    <n v="61815.130434782601"/>
  </r>
  <r>
    <x v="0"/>
    <x v="0"/>
    <x v="0"/>
    <x v="0"/>
    <x v="0"/>
    <s v="DK1_Rural"/>
    <x v="2"/>
    <x v="15"/>
    <x v="0"/>
    <x v="21"/>
    <n v="47.043478260869598"/>
    <n v="17170.869565217399"/>
    <n v="61815.130434782601"/>
  </r>
  <r>
    <x v="0"/>
    <x v="0"/>
    <x v="0"/>
    <x v="0"/>
    <x v="0"/>
    <s v="DK1_Rural"/>
    <x v="2"/>
    <x v="15"/>
    <x v="0"/>
    <x v="22"/>
    <n v="47.043478260869598"/>
    <n v="17170.869565217399"/>
    <n v="61815.130434782601"/>
  </r>
  <r>
    <x v="0"/>
    <x v="0"/>
    <x v="0"/>
    <x v="0"/>
    <x v="0"/>
    <s v="DK1_Rural"/>
    <x v="2"/>
    <x v="15"/>
    <x v="0"/>
    <x v="23"/>
    <n v="47.043478260869598"/>
    <n v="17170.869565217399"/>
    <n v="61815.130434782601"/>
  </r>
  <r>
    <x v="0"/>
    <x v="0"/>
    <x v="0"/>
    <x v="0"/>
    <x v="0"/>
    <s v="DK1_Rural"/>
    <x v="2"/>
    <x v="50"/>
    <x v="0"/>
    <x v="3"/>
    <n v="7.8723404255319203"/>
    <n v="2873.4042553191498"/>
    <n v="10344.255319148901"/>
  </r>
  <r>
    <x v="0"/>
    <x v="0"/>
    <x v="0"/>
    <x v="0"/>
    <x v="0"/>
    <s v="DK1_Rural"/>
    <x v="2"/>
    <x v="50"/>
    <x v="0"/>
    <x v="4"/>
    <n v="7.8723404255319203"/>
    <n v="2873.4042553191498"/>
    <n v="10344.255319148901"/>
  </r>
  <r>
    <x v="0"/>
    <x v="0"/>
    <x v="0"/>
    <x v="0"/>
    <x v="0"/>
    <s v="DK1_Rural"/>
    <x v="2"/>
    <x v="50"/>
    <x v="0"/>
    <x v="5"/>
    <n v="7.8723404255319203"/>
    <n v="2873.4042553191498"/>
    <n v="10344.255319148901"/>
  </r>
  <r>
    <x v="0"/>
    <x v="0"/>
    <x v="0"/>
    <x v="0"/>
    <x v="0"/>
    <s v="DK1_Rural"/>
    <x v="2"/>
    <x v="50"/>
    <x v="0"/>
    <x v="6"/>
    <n v="7.8723404255319203"/>
    <n v="2873.4042553191498"/>
    <n v="10344.255319148901"/>
  </r>
  <r>
    <x v="0"/>
    <x v="0"/>
    <x v="0"/>
    <x v="0"/>
    <x v="0"/>
    <s v="DK1_Rural"/>
    <x v="2"/>
    <x v="50"/>
    <x v="0"/>
    <x v="7"/>
    <n v="7.8723404255319203"/>
    <n v="2873.4042553191498"/>
    <n v="10344.255319148901"/>
  </r>
  <r>
    <x v="0"/>
    <x v="0"/>
    <x v="0"/>
    <x v="0"/>
    <x v="0"/>
    <s v="DK1_Rural"/>
    <x v="2"/>
    <x v="50"/>
    <x v="0"/>
    <x v="8"/>
    <n v="7.8723404255319203"/>
    <n v="2873.4042553191498"/>
    <n v="10344.255319148901"/>
  </r>
  <r>
    <x v="0"/>
    <x v="0"/>
    <x v="0"/>
    <x v="0"/>
    <x v="0"/>
    <s v="DK1_Rural"/>
    <x v="2"/>
    <x v="50"/>
    <x v="0"/>
    <x v="0"/>
    <n v="7.8723404255319203"/>
    <n v="2873.4042553191498"/>
    <n v="10344.255319148901"/>
  </r>
  <r>
    <x v="0"/>
    <x v="0"/>
    <x v="0"/>
    <x v="0"/>
    <x v="0"/>
    <s v="DK1_Rural"/>
    <x v="2"/>
    <x v="50"/>
    <x v="0"/>
    <x v="1"/>
    <n v="7.8723404255319203"/>
    <n v="2873.4042553191498"/>
    <n v="10344.255319148901"/>
  </r>
  <r>
    <x v="0"/>
    <x v="0"/>
    <x v="0"/>
    <x v="0"/>
    <x v="0"/>
    <s v="DK1_Rural"/>
    <x v="2"/>
    <x v="50"/>
    <x v="0"/>
    <x v="2"/>
    <n v="7.8723404255319203"/>
    <n v="2873.4042553191498"/>
    <n v="10344.255319148901"/>
  </r>
  <r>
    <x v="0"/>
    <x v="0"/>
    <x v="0"/>
    <x v="0"/>
    <x v="0"/>
    <s v="DK1_Rural"/>
    <x v="2"/>
    <x v="50"/>
    <x v="0"/>
    <x v="9"/>
    <n v="7.8723404255319203"/>
    <n v="2873.4042553191498"/>
    <n v="10344.255319148901"/>
  </r>
  <r>
    <x v="0"/>
    <x v="0"/>
    <x v="0"/>
    <x v="0"/>
    <x v="0"/>
    <s v="DK1_Rural"/>
    <x v="2"/>
    <x v="50"/>
    <x v="0"/>
    <x v="10"/>
    <n v="7.8723404255319203"/>
    <n v="2873.4042553191498"/>
    <n v="10344.255319148901"/>
  </r>
  <r>
    <x v="0"/>
    <x v="0"/>
    <x v="0"/>
    <x v="0"/>
    <x v="0"/>
    <s v="DK1_Rural"/>
    <x v="2"/>
    <x v="50"/>
    <x v="0"/>
    <x v="11"/>
    <n v="7.8723404255319203"/>
    <n v="2873.4042553191498"/>
    <n v="10344.255319148901"/>
  </r>
  <r>
    <x v="0"/>
    <x v="0"/>
    <x v="0"/>
    <x v="0"/>
    <x v="0"/>
    <s v="DK1_Rural"/>
    <x v="2"/>
    <x v="50"/>
    <x v="0"/>
    <x v="12"/>
    <n v="7.8723404255319203"/>
    <n v="2873.4042553191498"/>
    <n v="10344.255319148901"/>
  </r>
  <r>
    <x v="0"/>
    <x v="0"/>
    <x v="0"/>
    <x v="0"/>
    <x v="0"/>
    <s v="DK1_Rural"/>
    <x v="2"/>
    <x v="50"/>
    <x v="0"/>
    <x v="13"/>
    <n v="7.8723404255319203"/>
    <n v="2873.4042553191498"/>
    <n v="10344.255319148901"/>
  </r>
  <r>
    <x v="0"/>
    <x v="0"/>
    <x v="0"/>
    <x v="0"/>
    <x v="0"/>
    <s v="DK1_Rural"/>
    <x v="2"/>
    <x v="50"/>
    <x v="0"/>
    <x v="14"/>
    <n v="7.8723404255319203"/>
    <n v="2873.4042553191498"/>
    <n v="10344.255319148901"/>
  </r>
  <r>
    <x v="0"/>
    <x v="0"/>
    <x v="0"/>
    <x v="0"/>
    <x v="0"/>
    <s v="DK1_Rural"/>
    <x v="2"/>
    <x v="50"/>
    <x v="0"/>
    <x v="15"/>
    <n v="7.8723404255319203"/>
    <n v="2873.4042553191498"/>
    <n v="10344.255319148901"/>
  </r>
  <r>
    <x v="0"/>
    <x v="0"/>
    <x v="0"/>
    <x v="0"/>
    <x v="0"/>
    <s v="DK1_Rural"/>
    <x v="2"/>
    <x v="50"/>
    <x v="0"/>
    <x v="16"/>
    <n v="7.8723404255319203"/>
    <n v="2873.4042553191498"/>
    <n v="10344.255319148901"/>
  </r>
  <r>
    <x v="0"/>
    <x v="0"/>
    <x v="0"/>
    <x v="0"/>
    <x v="0"/>
    <s v="DK1_Rural"/>
    <x v="2"/>
    <x v="50"/>
    <x v="0"/>
    <x v="17"/>
    <n v="7.8723404255319203"/>
    <n v="2873.4042553191498"/>
    <n v="10344.255319148901"/>
  </r>
  <r>
    <x v="0"/>
    <x v="0"/>
    <x v="0"/>
    <x v="0"/>
    <x v="0"/>
    <s v="DK1_Rural"/>
    <x v="2"/>
    <x v="50"/>
    <x v="0"/>
    <x v="18"/>
    <n v="7.8723404255319203"/>
    <n v="2873.4042553191498"/>
    <n v="10344.255319148901"/>
  </r>
  <r>
    <x v="0"/>
    <x v="0"/>
    <x v="0"/>
    <x v="0"/>
    <x v="0"/>
    <s v="DK1_Rural"/>
    <x v="2"/>
    <x v="50"/>
    <x v="0"/>
    <x v="19"/>
    <n v="7.8723404255319203"/>
    <n v="2873.4042553191498"/>
    <n v="10344.255319148901"/>
  </r>
  <r>
    <x v="0"/>
    <x v="0"/>
    <x v="0"/>
    <x v="0"/>
    <x v="0"/>
    <s v="DK1_Rural"/>
    <x v="2"/>
    <x v="50"/>
    <x v="0"/>
    <x v="20"/>
    <n v="7.8723404255319203"/>
    <n v="2873.4042553191498"/>
    <n v="10344.255319148901"/>
  </r>
  <r>
    <x v="0"/>
    <x v="0"/>
    <x v="0"/>
    <x v="0"/>
    <x v="0"/>
    <s v="DK1_Rural"/>
    <x v="2"/>
    <x v="50"/>
    <x v="0"/>
    <x v="21"/>
    <n v="7.8723404255319203"/>
    <n v="2873.4042553191498"/>
    <n v="10344.255319148901"/>
  </r>
  <r>
    <x v="0"/>
    <x v="0"/>
    <x v="0"/>
    <x v="0"/>
    <x v="0"/>
    <s v="DK1_Rural"/>
    <x v="2"/>
    <x v="50"/>
    <x v="0"/>
    <x v="22"/>
    <n v="7.8723404255319203"/>
    <n v="2873.4042553191498"/>
    <n v="10344.255319148901"/>
  </r>
  <r>
    <x v="0"/>
    <x v="0"/>
    <x v="0"/>
    <x v="0"/>
    <x v="0"/>
    <s v="DK1_Rural"/>
    <x v="2"/>
    <x v="50"/>
    <x v="0"/>
    <x v="23"/>
    <n v="7.8723404255319203"/>
    <n v="2873.4042553191498"/>
    <n v="10344.255319148901"/>
  </r>
  <r>
    <x v="0"/>
    <x v="0"/>
    <x v="0"/>
    <x v="0"/>
    <x v="0"/>
    <s v="DK1_Rural"/>
    <x v="2"/>
    <x v="42"/>
    <x v="0"/>
    <x v="0"/>
    <n v="26.428571428571399"/>
    <n v="9646.4285714285706"/>
    <n v="34727.142857142899"/>
  </r>
  <r>
    <x v="0"/>
    <x v="0"/>
    <x v="0"/>
    <x v="0"/>
    <x v="0"/>
    <s v="DK1_Rural"/>
    <x v="2"/>
    <x v="42"/>
    <x v="0"/>
    <x v="1"/>
    <n v="26.428571428571399"/>
    <n v="9646.4285714285706"/>
    <n v="34727.142857142899"/>
  </r>
  <r>
    <x v="0"/>
    <x v="0"/>
    <x v="0"/>
    <x v="0"/>
    <x v="0"/>
    <s v="DK1_Rural"/>
    <x v="2"/>
    <x v="42"/>
    <x v="0"/>
    <x v="2"/>
    <n v="26.428571428571399"/>
    <n v="9646.4285714285706"/>
    <n v="34727.142857142899"/>
  </r>
  <r>
    <x v="0"/>
    <x v="0"/>
    <x v="0"/>
    <x v="0"/>
    <x v="0"/>
    <s v="DK1_Rural"/>
    <x v="2"/>
    <x v="42"/>
    <x v="0"/>
    <x v="9"/>
    <n v="26.428571428571399"/>
    <n v="9646.4285714285706"/>
    <n v="34727.142857142899"/>
  </r>
  <r>
    <x v="0"/>
    <x v="0"/>
    <x v="0"/>
    <x v="0"/>
    <x v="0"/>
    <s v="DK1_Rural"/>
    <x v="2"/>
    <x v="51"/>
    <x v="0"/>
    <x v="0"/>
    <n v="21"/>
    <n v="7665.00000000001"/>
    <n v="27594"/>
  </r>
  <r>
    <x v="0"/>
    <x v="0"/>
    <x v="0"/>
    <x v="0"/>
    <x v="0"/>
    <s v="DK1_Rural"/>
    <x v="2"/>
    <x v="51"/>
    <x v="0"/>
    <x v="1"/>
    <n v="21"/>
    <n v="7665.00000000001"/>
    <n v="27594"/>
  </r>
  <r>
    <x v="0"/>
    <x v="0"/>
    <x v="0"/>
    <x v="0"/>
    <x v="0"/>
    <s v="DK1_Rural"/>
    <x v="2"/>
    <x v="51"/>
    <x v="0"/>
    <x v="2"/>
    <n v="21"/>
    <n v="7665.00000000001"/>
    <n v="27594"/>
  </r>
  <r>
    <x v="0"/>
    <x v="0"/>
    <x v="0"/>
    <x v="0"/>
    <x v="0"/>
    <s v="DK1_Rural"/>
    <x v="2"/>
    <x v="51"/>
    <x v="0"/>
    <x v="9"/>
    <n v="21"/>
    <n v="7665.00000000001"/>
    <n v="27594"/>
  </r>
  <r>
    <x v="0"/>
    <x v="0"/>
    <x v="0"/>
    <x v="0"/>
    <x v="0"/>
    <s v="DK1_Rural"/>
    <x v="2"/>
    <x v="51"/>
    <x v="0"/>
    <x v="10"/>
    <n v="21"/>
    <n v="7665.00000000001"/>
    <n v="27594"/>
  </r>
  <r>
    <x v="0"/>
    <x v="0"/>
    <x v="0"/>
    <x v="0"/>
    <x v="0"/>
    <s v="DK1_Rural"/>
    <x v="2"/>
    <x v="52"/>
    <x v="0"/>
    <x v="3"/>
    <n v="14.634146341463399"/>
    <n v="5341.4634146341496"/>
    <n v="19229.2682926829"/>
  </r>
  <r>
    <x v="0"/>
    <x v="0"/>
    <x v="0"/>
    <x v="0"/>
    <x v="0"/>
    <s v="DK1_Rural"/>
    <x v="2"/>
    <x v="52"/>
    <x v="0"/>
    <x v="4"/>
    <n v="14.634146341463399"/>
    <n v="5341.4634146341496"/>
    <n v="19229.2682926829"/>
  </r>
  <r>
    <x v="0"/>
    <x v="0"/>
    <x v="0"/>
    <x v="0"/>
    <x v="0"/>
    <s v="DK1_Rural"/>
    <x v="2"/>
    <x v="52"/>
    <x v="0"/>
    <x v="5"/>
    <n v="14.634146341463399"/>
    <n v="5341.4634146341496"/>
    <n v="19229.2682926829"/>
  </r>
  <r>
    <x v="0"/>
    <x v="0"/>
    <x v="0"/>
    <x v="0"/>
    <x v="0"/>
    <s v="DK1_Rural"/>
    <x v="2"/>
    <x v="52"/>
    <x v="0"/>
    <x v="6"/>
    <n v="14.634146341463399"/>
    <n v="5341.4634146341496"/>
    <n v="19229.2682926829"/>
  </r>
  <r>
    <x v="0"/>
    <x v="0"/>
    <x v="0"/>
    <x v="0"/>
    <x v="0"/>
    <s v="DK1_Rural"/>
    <x v="2"/>
    <x v="52"/>
    <x v="0"/>
    <x v="7"/>
    <n v="14.634146341463399"/>
    <n v="5341.4634146341496"/>
    <n v="19229.2682926829"/>
  </r>
  <r>
    <x v="0"/>
    <x v="0"/>
    <x v="0"/>
    <x v="0"/>
    <x v="0"/>
    <s v="DK1_Rural"/>
    <x v="2"/>
    <x v="52"/>
    <x v="0"/>
    <x v="8"/>
    <n v="14.634146341463399"/>
    <n v="5341.4634146341496"/>
    <n v="19229.2682926829"/>
  </r>
  <r>
    <x v="0"/>
    <x v="0"/>
    <x v="0"/>
    <x v="0"/>
    <x v="0"/>
    <s v="DK1_Rural"/>
    <x v="2"/>
    <x v="52"/>
    <x v="0"/>
    <x v="0"/>
    <n v="14.634146341463399"/>
    <n v="5341.4634146341496"/>
    <n v="19229.2682926829"/>
  </r>
  <r>
    <x v="0"/>
    <x v="0"/>
    <x v="0"/>
    <x v="0"/>
    <x v="0"/>
    <s v="DK1_Rural"/>
    <x v="2"/>
    <x v="52"/>
    <x v="0"/>
    <x v="1"/>
    <n v="14.634146341463399"/>
    <n v="5341.4634146341496"/>
    <n v="19229.2682926829"/>
  </r>
  <r>
    <x v="0"/>
    <x v="0"/>
    <x v="0"/>
    <x v="0"/>
    <x v="0"/>
    <s v="DK1_Rural"/>
    <x v="2"/>
    <x v="52"/>
    <x v="0"/>
    <x v="2"/>
    <n v="14.634146341463399"/>
    <n v="5341.4634146341496"/>
    <n v="19229.2682926829"/>
  </r>
  <r>
    <x v="0"/>
    <x v="0"/>
    <x v="0"/>
    <x v="0"/>
    <x v="0"/>
    <s v="DK1_Rural"/>
    <x v="2"/>
    <x v="52"/>
    <x v="0"/>
    <x v="9"/>
    <n v="14.634146341463399"/>
    <n v="5341.4634146341496"/>
    <n v="19229.2682926829"/>
  </r>
  <r>
    <x v="0"/>
    <x v="0"/>
    <x v="0"/>
    <x v="0"/>
    <x v="0"/>
    <s v="DK1_Rural"/>
    <x v="2"/>
    <x v="52"/>
    <x v="0"/>
    <x v="10"/>
    <n v="14.634146341463399"/>
    <n v="5341.4634146341496"/>
    <n v="19229.2682926829"/>
  </r>
  <r>
    <x v="0"/>
    <x v="0"/>
    <x v="0"/>
    <x v="0"/>
    <x v="0"/>
    <s v="DK1_Rural"/>
    <x v="2"/>
    <x v="52"/>
    <x v="0"/>
    <x v="11"/>
    <n v="14.634146341463399"/>
    <n v="5341.4634146341496"/>
    <n v="19229.2682926829"/>
  </r>
  <r>
    <x v="0"/>
    <x v="0"/>
    <x v="0"/>
    <x v="0"/>
    <x v="0"/>
    <s v="DK1_Rural"/>
    <x v="2"/>
    <x v="52"/>
    <x v="0"/>
    <x v="12"/>
    <n v="14.634146341463399"/>
    <n v="5341.4634146341496"/>
    <n v="19229.2682926829"/>
  </r>
  <r>
    <x v="0"/>
    <x v="0"/>
    <x v="0"/>
    <x v="0"/>
    <x v="0"/>
    <s v="DK1_Rural"/>
    <x v="2"/>
    <x v="52"/>
    <x v="0"/>
    <x v="13"/>
    <n v="14.634146341463399"/>
    <n v="5341.4634146341496"/>
    <n v="19229.2682926829"/>
  </r>
  <r>
    <x v="0"/>
    <x v="0"/>
    <x v="0"/>
    <x v="0"/>
    <x v="0"/>
    <s v="DK1_Rural"/>
    <x v="2"/>
    <x v="52"/>
    <x v="0"/>
    <x v="14"/>
    <n v="14.634146341463399"/>
    <n v="5341.4634146341496"/>
    <n v="19229.2682926829"/>
  </r>
  <r>
    <x v="0"/>
    <x v="0"/>
    <x v="0"/>
    <x v="0"/>
    <x v="0"/>
    <s v="DK1_Rural"/>
    <x v="2"/>
    <x v="52"/>
    <x v="0"/>
    <x v="15"/>
    <n v="14.634146341463399"/>
    <n v="5341.4634146341496"/>
    <n v="19229.2682926829"/>
  </r>
  <r>
    <x v="0"/>
    <x v="0"/>
    <x v="0"/>
    <x v="0"/>
    <x v="0"/>
    <s v="DK1_Rural"/>
    <x v="2"/>
    <x v="52"/>
    <x v="0"/>
    <x v="16"/>
    <n v="14.634146341463399"/>
    <n v="5341.4634146341496"/>
    <n v="19229.2682926829"/>
  </r>
  <r>
    <x v="0"/>
    <x v="0"/>
    <x v="0"/>
    <x v="0"/>
    <x v="0"/>
    <s v="DK1_Rural"/>
    <x v="2"/>
    <x v="52"/>
    <x v="0"/>
    <x v="17"/>
    <n v="14.634146341463399"/>
    <n v="5341.4634146341496"/>
    <n v="19229.2682926829"/>
  </r>
  <r>
    <x v="0"/>
    <x v="0"/>
    <x v="0"/>
    <x v="0"/>
    <x v="0"/>
    <s v="DK1_Rural"/>
    <x v="2"/>
    <x v="52"/>
    <x v="0"/>
    <x v="18"/>
    <n v="14.634146341463399"/>
    <n v="5341.4634146341496"/>
    <n v="19229.2682926829"/>
  </r>
  <r>
    <x v="0"/>
    <x v="0"/>
    <x v="0"/>
    <x v="0"/>
    <x v="0"/>
    <s v="DK1_Rural"/>
    <x v="2"/>
    <x v="52"/>
    <x v="0"/>
    <x v="19"/>
    <n v="14.634146341463399"/>
    <n v="5341.4634146341496"/>
    <n v="19229.2682926829"/>
  </r>
  <r>
    <x v="0"/>
    <x v="0"/>
    <x v="0"/>
    <x v="0"/>
    <x v="0"/>
    <s v="DK1_Rural"/>
    <x v="2"/>
    <x v="52"/>
    <x v="0"/>
    <x v="20"/>
    <n v="14.634146341463399"/>
    <n v="5341.4634146341496"/>
    <n v="19229.2682926829"/>
  </r>
  <r>
    <x v="0"/>
    <x v="0"/>
    <x v="0"/>
    <x v="0"/>
    <x v="0"/>
    <s v="DK1_Rural"/>
    <x v="2"/>
    <x v="52"/>
    <x v="0"/>
    <x v="21"/>
    <n v="14.634146341463399"/>
    <n v="5341.4634146341496"/>
    <n v="19229.2682926829"/>
  </r>
  <r>
    <x v="0"/>
    <x v="0"/>
    <x v="0"/>
    <x v="0"/>
    <x v="0"/>
    <s v="DK1_Rural"/>
    <x v="2"/>
    <x v="52"/>
    <x v="0"/>
    <x v="22"/>
    <n v="14.634146341463399"/>
    <n v="5341.4634146341496"/>
    <n v="19229.2682926829"/>
  </r>
  <r>
    <x v="0"/>
    <x v="0"/>
    <x v="0"/>
    <x v="0"/>
    <x v="0"/>
    <s v="DK1_Rural"/>
    <x v="2"/>
    <x v="52"/>
    <x v="0"/>
    <x v="23"/>
    <n v="14.634146341463399"/>
    <n v="5341.4634146341496"/>
    <n v="19229.2682926829"/>
  </r>
  <r>
    <x v="0"/>
    <x v="0"/>
    <x v="0"/>
    <x v="0"/>
    <x v="0"/>
    <s v="DK1_Rural"/>
    <x v="3"/>
    <x v="18"/>
    <x v="0"/>
    <x v="3"/>
    <n v="8.8461538461538396"/>
    <n v="3228.8461538461502"/>
    <n v="11623.8461538461"/>
  </r>
  <r>
    <x v="0"/>
    <x v="0"/>
    <x v="0"/>
    <x v="0"/>
    <x v="0"/>
    <s v="DK1_Rural"/>
    <x v="3"/>
    <x v="18"/>
    <x v="0"/>
    <x v="4"/>
    <n v="8.8461538461538396"/>
    <n v="3228.8461538461502"/>
    <n v="11623.8461538461"/>
  </r>
  <r>
    <x v="0"/>
    <x v="0"/>
    <x v="0"/>
    <x v="0"/>
    <x v="0"/>
    <s v="DK1_Rural"/>
    <x v="3"/>
    <x v="18"/>
    <x v="0"/>
    <x v="5"/>
    <n v="8.8461538461538396"/>
    <n v="3228.8461538461502"/>
    <n v="11623.8461538461"/>
  </r>
  <r>
    <x v="0"/>
    <x v="0"/>
    <x v="0"/>
    <x v="0"/>
    <x v="0"/>
    <s v="DK1_Rural"/>
    <x v="3"/>
    <x v="18"/>
    <x v="0"/>
    <x v="6"/>
    <n v="8.8461538461538396"/>
    <n v="3228.8461538461502"/>
    <n v="11623.8461538461"/>
  </r>
  <r>
    <x v="0"/>
    <x v="0"/>
    <x v="0"/>
    <x v="0"/>
    <x v="0"/>
    <s v="DK1_Rural"/>
    <x v="3"/>
    <x v="18"/>
    <x v="0"/>
    <x v="7"/>
    <n v="5.6757542415479296"/>
    <n v="2071.6502981649901"/>
    <n v="7457.9410733939803"/>
  </r>
  <r>
    <x v="0"/>
    <x v="0"/>
    <x v="0"/>
    <x v="0"/>
    <x v="0"/>
    <s v="DK1_Rural"/>
    <x v="3"/>
    <x v="18"/>
    <x v="0"/>
    <x v="8"/>
    <n v="8.8461538461538396"/>
    <n v="3228.8461538461502"/>
    <n v="11623.8461538461"/>
  </r>
  <r>
    <x v="0"/>
    <x v="0"/>
    <x v="0"/>
    <x v="0"/>
    <x v="0"/>
    <s v="DK1_Rural"/>
    <x v="3"/>
    <x v="18"/>
    <x v="0"/>
    <x v="0"/>
    <n v="8.8461538461538396"/>
    <n v="3228.8461538461502"/>
    <n v="11623.8461538461"/>
  </r>
  <r>
    <x v="0"/>
    <x v="0"/>
    <x v="0"/>
    <x v="0"/>
    <x v="0"/>
    <s v="DK1_Rural"/>
    <x v="3"/>
    <x v="18"/>
    <x v="0"/>
    <x v="1"/>
    <n v="8.8461538461538396"/>
    <n v="3228.8461538461502"/>
    <n v="11623.8461538461"/>
  </r>
  <r>
    <x v="0"/>
    <x v="0"/>
    <x v="0"/>
    <x v="0"/>
    <x v="0"/>
    <s v="DK1_Rural"/>
    <x v="3"/>
    <x v="18"/>
    <x v="0"/>
    <x v="2"/>
    <n v="8.8461538461538396"/>
    <n v="3228.8461538461502"/>
    <n v="11623.8461538461"/>
  </r>
  <r>
    <x v="0"/>
    <x v="0"/>
    <x v="0"/>
    <x v="0"/>
    <x v="0"/>
    <s v="DK1_Rural"/>
    <x v="3"/>
    <x v="18"/>
    <x v="0"/>
    <x v="9"/>
    <n v="8.8461538461538396"/>
    <n v="3228.8461538461502"/>
    <n v="11623.8461538461"/>
  </r>
  <r>
    <x v="0"/>
    <x v="0"/>
    <x v="0"/>
    <x v="0"/>
    <x v="0"/>
    <s v="DK1_Rural"/>
    <x v="3"/>
    <x v="18"/>
    <x v="0"/>
    <x v="10"/>
    <n v="8.8461538461538396"/>
    <n v="3228.8461538461502"/>
    <n v="11623.8461538461"/>
  </r>
  <r>
    <x v="0"/>
    <x v="0"/>
    <x v="0"/>
    <x v="0"/>
    <x v="0"/>
    <s v="DK1_Rural"/>
    <x v="3"/>
    <x v="18"/>
    <x v="0"/>
    <x v="11"/>
    <n v="8.8461538461538396"/>
    <n v="3228.8461538461502"/>
    <n v="11623.8461538461"/>
  </r>
  <r>
    <x v="0"/>
    <x v="0"/>
    <x v="0"/>
    <x v="0"/>
    <x v="0"/>
    <s v="DK1_Rural"/>
    <x v="3"/>
    <x v="18"/>
    <x v="0"/>
    <x v="12"/>
    <n v="8.8461538461538396"/>
    <n v="3228.8461538461502"/>
    <n v="11623.8461538461"/>
  </r>
  <r>
    <x v="0"/>
    <x v="0"/>
    <x v="0"/>
    <x v="0"/>
    <x v="0"/>
    <s v="DK1_Rural"/>
    <x v="3"/>
    <x v="18"/>
    <x v="0"/>
    <x v="13"/>
    <n v="8.8461538461538396"/>
    <n v="3228.8461538461502"/>
    <n v="11623.8461538461"/>
  </r>
  <r>
    <x v="0"/>
    <x v="0"/>
    <x v="0"/>
    <x v="0"/>
    <x v="0"/>
    <s v="DK1_Rural"/>
    <x v="3"/>
    <x v="18"/>
    <x v="0"/>
    <x v="14"/>
    <n v="8.8461538461538396"/>
    <n v="3228.8461538461502"/>
    <n v="11623.8461538461"/>
  </r>
  <r>
    <x v="0"/>
    <x v="0"/>
    <x v="0"/>
    <x v="0"/>
    <x v="0"/>
    <s v="DK1_Rural"/>
    <x v="3"/>
    <x v="18"/>
    <x v="0"/>
    <x v="15"/>
    <n v="8.8461538461538396"/>
    <n v="3228.8461538461502"/>
    <n v="11623.8461538461"/>
  </r>
  <r>
    <x v="0"/>
    <x v="0"/>
    <x v="0"/>
    <x v="0"/>
    <x v="0"/>
    <s v="DK1_Rural"/>
    <x v="3"/>
    <x v="18"/>
    <x v="0"/>
    <x v="16"/>
    <n v="8.8461538461538396"/>
    <n v="3228.8461538461502"/>
    <n v="11623.8461538461"/>
  </r>
  <r>
    <x v="0"/>
    <x v="0"/>
    <x v="0"/>
    <x v="0"/>
    <x v="0"/>
    <s v="DK1_Rural"/>
    <x v="3"/>
    <x v="18"/>
    <x v="0"/>
    <x v="17"/>
    <n v="8.8461538461538396"/>
    <n v="3228.8461538461502"/>
    <n v="11623.8461538461"/>
  </r>
  <r>
    <x v="0"/>
    <x v="0"/>
    <x v="0"/>
    <x v="0"/>
    <x v="0"/>
    <s v="DK1_Rural"/>
    <x v="3"/>
    <x v="18"/>
    <x v="0"/>
    <x v="18"/>
    <n v="8.8461538461538396"/>
    <n v="3228.8461538461502"/>
    <n v="11623.8461538461"/>
  </r>
  <r>
    <x v="0"/>
    <x v="0"/>
    <x v="0"/>
    <x v="0"/>
    <x v="0"/>
    <s v="DK1_Rural"/>
    <x v="3"/>
    <x v="18"/>
    <x v="0"/>
    <x v="19"/>
    <n v="8.8461538461538396"/>
    <n v="3228.8461538461502"/>
    <n v="11623.8461538461"/>
  </r>
  <r>
    <x v="0"/>
    <x v="0"/>
    <x v="0"/>
    <x v="0"/>
    <x v="0"/>
    <s v="DK1_Rural"/>
    <x v="3"/>
    <x v="18"/>
    <x v="0"/>
    <x v="20"/>
    <n v="8.8461538461538396"/>
    <n v="3228.8461538461502"/>
    <n v="11623.8461538461"/>
  </r>
  <r>
    <x v="0"/>
    <x v="0"/>
    <x v="0"/>
    <x v="0"/>
    <x v="0"/>
    <s v="DK1_Rural"/>
    <x v="3"/>
    <x v="18"/>
    <x v="0"/>
    <x v="21"/>
    <n v="8.8461538461538396"/>
    <n v="3228.8461538461502"/>
    <n v="11623.8461538461"/>
  </r>
  <r>
    <x v="0"/>
    <x v="0"/>
    <x v="0"/>
    <x v="0"/>
    <x v="0"/>
    <s v="DK1_Rural"/>
    <x v="3"/>
    <x v="18"/>
    <x v="0"/>
    <x v="22"/>
    <n v="8.8461538461538396"/>
    <n v="3228.8461538461502"/>
    <n v="11623.8461538461"/>
  </r>
  <r>
    <x v="0"/>
    <x v="0"/>
    <x v="0"/>
    <x v="0"/>
    <x v="0"/>
    <s v="DK1_Rural"/>
    <x v="4"/>
    <x v="19"/>
    <x v="0"/>
    <x v="1"/>
    <n v="62.665158505816898"/>
    <n v="22872.782854623201"/>
    <n v="82342.018276643401"/>
  </r>
  <r>
    <x v="0"/>
    <x v="0"/>
    <x v="0"/>
    <x v="0"/>
    <x v="0"/>
    <s v="DK1_Rural"/>
    <x v="4"/>
    <x v="19"/>
    <x v="0"/>
    <x v="9"/>
    <n v="79.371405614053998"/>
    <n v="28970.563049129702"/>
    <n v="104294.026976867"/>
  </r>
  <r>
    <x v="0"/>
    <x v="0"/>
    <x v="0"/>
    <x v="0"/>
    <x v="0"/>
    <s v="DK1_Rural"/>
    <x v="4"/>
    <x v="19"/>
    <x v="0"/>
    <x v="10"/>
    <n v="8.5664466119566391"/>
    <n v="3126.7530133641699"/>
    <n v="11256.310848110999"/>
  </r>
  <r>
    <x v="0"/>
    <x v="0"/>
    <x v="0"/>
    <x v="0"/>
    <x v="0"/>
    <s v="DK1_Rural"/>
    <x v="4"/>
    <x v="19"/>
    <x v="0"/>
    <x v="12"/>
    <n v="87.01"/>
    <n v="31758.65"/>
    <n v="114331.14"/>
  </r>
  <r>
    <x v="0"/>
    <x v="0"/>
    <x v="0"/>
    <x v="0"/>
    <x v="0"/>
    <s v="DK1_Rural"/>
    <x v="4"/>
    <x v="19"/>
    <x v="0"/>
    <x v="15"/>
    <n v="87.01"/>
    <n v="31758.65"/>
    <n v="114331.14"/>
  </r>
  <r>
    <x v="0"/>
    <x v="0"/>
    <x v="0"/>
    <x v="0"/>
    <x v="0"/>
    <s v="DK1_Rural"/>
    <x v="4"/>
    <x v="19"/>
    <x v="0"/>
    <x v="20"/>
    <n v="87.01"/>
    <n v="31758.65"/>
    <n v="114331.14"/>
  </r>
  <r>
    <x v="0"/>
    <x v="0"/>
    <x v="0"/>
    <x v="0"/>
    <x v="0"/>
    <s v="DK1_Rural"/>
    <x v="4"/>
    <x v="19"/>
    <x v="0"/>
    <x v="22"/>
    <n v="87.01"/>
    <n v="31758.65"/>
    <n v="114331.14"/>
  </r>
  <r>
    <x v="0"/>
    <x v="0"/>
    <x v="0"/>
    <x v="0"/>
    <x v="0"/>
    <s v="DK1_Rural"/>
    <x v="4"/>
    <x v="19"/>
    <x v="0"/>
    <x v="23"/>
    <n v="87.01"/>
    <n v="31758.65"/>
    <n v="114331.14"/>
  </r>
  <r>
    <x v="0"/>
    <x v="0"/>
    <x v="0"/>
    <x v="0"/>
    <x v="0"/>
    <s v="DK1_Rural"/>
    <x v="5"/>
    <x v="37"/>
    <x v="0"/>
    <x v="0"/>
    <n v="17.407407407407501"/>
    <n v="6353.7037037037198"/>
    <n v="22873.333333333401"/>
  </r>
  <r>
    <x v="0"/>
    <x v="0"/>
    <x v="0"/>
    <x v="0"/>
    <x v="0"/>
    <s v="DK1_Rural"/>
    <x v="5"/>
    <x v="37"/>
    <x v="0"/>
    <x v="1"/>
    <n v="17.407407407407501"/>
    <n v="6353.7037037037198"/>
    <n v="22873.333333333401"/>
  </r>
  <r>
    <x v="0"/>
    <x v="0"/>
    <x v="0"/>
    <x v="0"/>
    <x v="0"/>
    <s v="DK1_Rural"/>
    <x v="5"/>
    <x v="37"/>
    <x v="0"/>
    <x v="2"/>
    <n v="17.407407407407501"/>
    <n v="6353.7037037037198"/>
    <n v="22873.333333333401"/>
  </r>
  <r>
    <x v="0"/>
    <x v="0"/>
    <x v="0"/>
    <x v="0"/>
    <x v="0"/>
    <s v="DK1_Rural"/>
    <x v="5"/>
    <x v="37"/>
    <x v="0"/>
    <x v="9"/>
    <n v="17.407407407407501"/>
    <n v="6353.7037037037198"/>
    <n v="22873.333333333401"/>
  </r>
  <r>
    <x v="0"/>
    <x v="0"/>
    <x v="0"/>
    <x v="0"/>
    <x v="0"/>
    <s v="DK1_Rural"/>
    <x v="9"/>
    <x v="53"/>
    <x v="0"/>
    <x v="0"/>
    <n v="6.3666666666666698"/>
    <n v="2323.8333333333298"/>
    <n v="8365.7999999999993"/>
  </r>
  <r>
    <x v="0"/>
    <x v="0"/>
    <x v="0"/>
    <x v="0"/>
    <x v="0"/>
    <s v="DK1_Rural"/>
    <x v="9"/>
    <x v="53"/>
    <x v="0"/>
    <x v="1"/>
    <n v="6.3666666666666698"/>
    <n v="2323.8333333333298"/>
    <n v="8365.7999999999993"/>
  </r>
  <r>
    <x v="0"/>
    <x v="0"/>
    <x v="0"/>
    <x v="0"/>
    <x v="0"/>
    <s v="DK1_Rural"/>
    <x v="9"/>
    <x v="53"/>
    <x v="0"/>
    <x v="2"/>
    <n v="6.3666666666666698"/>
    <n v="2323.8333333333298"/>
    <n v="8365.7999999999993"/>
  </r>
  <r>
    <x v="0"/>
    <x v="0"/>
    <x v="0"/>
    <x v="0"/>
    <x v="0"/>
    <s v="DK1_Small"/>
    <x v="1"/>
    <x v="1"/>
    <x v="0"/>
    <x v="7"/>
    <n v="0.499322591256258"/>
    <n v="182.252745808534"/>
    <n v="656.10988491072203"/>
  </r>
  <r>
    <x v="0"/>
    <x v="0"/>
    <x v="0"/>
    <x v="0"/>
    <x v="0"/>
    <s v="DK1_Small"/>
    <x v="1"/>
    <x v="1"/>
    <x v="0"/>
    <x v="2"/>
    <n v="6.5671491631987502"/>
    <n v="2397.00944456754"/>
    <n v="8629.2340004431608"/>
  </r>
  <r>
    <x v="0"/>
    <x v="0"/>
    <x v="0"/>
    <x v="0"/>
    <x v="0"/>
    <s v="DK1_Small"/>
    <x v="1"/>
    <x v="1"/>
    <x v="0"/>
    <x v="9"/>
    <n v="6.41111085343117"/>
    <n v="2340.0554615023798"/>
    <n v="8424.1996614085601"/>
  </r>
  <r>
    <x v="0"/>
    <x v="0"/>
    <x v="0"/>
    <x v="0"/>
    <x v="0"/>
    <s v="DK1_Small"/>
    <x v="1"/>
    <x v="1"/>
    <x v="0"/>
    <x v="11"/>
    <n v="15.615459751080699"/>
    <n v="5699.6428091444604"/>
    <n v="20518.714112920101"/>
  </r>
  <r>
    <x v="0"/>
    <x v="0"/>
    <x v="0"/>
    <x v="0"/>
    <x v="0"/>
    <s v="DK1_Small"/>
    <x v="1"/>
    <x v="1"/>
    <x v="0"/>
    <x v="12"/>
    <n v="13.969589300520401"/>
    <n v="5098.9000946899296"/>
    <n v="18356.040340883799"/>
  </r>
  <r>
    <x v="0"/>
    <x v="0"/>
    <x v="0"/>
    <x v="0"/>
    <x v="0"/>
    <s v="DK1_Small"/>
    <x v="1"/>
    <x v="1"/>
    <x v="0"/>
    <x v="13"/>
    <n v="19.655612912347198"/>
    <n v="7174.2987130067204"/>
    <n v="25827.475366824201"/>
  </r>
  <r>
    <x v="0"/>
    <x v="0"/>
    <x v="0"/>
    <x v="0"/>
    <x v="0"/>
    <s v="DK1_Small"/>
    <x v="1"/>
    <x v="1"/>
    <x v="0"/>
    <x v="14"/>
    <n v="13.251813075589499"/>
    <n v="4836.9117725901597"/>
    <n v="17412.882381324602"/>
  </r>
  <r>
    <x v="0"/>
    <x v="0"/>
    <x v="0"/>
    <x v="0"/>
    <x v="0"/>
    <s v="DK1_Small"/>
    <x v="1"/>
    <x v="1"/>
    <x v="0"/>
    <x v="15"/>
    <n v="13.7199280048922"/>
    <n v="5007.7737217856602"/>
    <n v="18027.985398428398"/>
  </r>
  <r>
    <x v="0"/>
    <x v="0"/>
    <x v="0"/>
    <x v="0"/>
    <x v="0"/>
    <s v="DK1_Small"/>
    <x v="1"/>
    <x v="1"/>
    <x v="0"/>
    <x v="17"/>
    <n v="14.843403835218799"/>
    <n v="5417.8423998548697"/>
    <n v="19504.232639477501"/>
  </r>
  <r>
    <x v="0"/>
    <x v="0"/>
    <x v="0"/>
    <x v="0"/>
    <x v="0"/>
    <s v="DK1_Small"/>
    <x v="1"/>
    <x v="1"/>
    <x v="0"/>
    <x v="18"/>
    <n v="21.621695615418702"/>
    <n v="7891.9188996278299"/>
    <n v="28410.9080386602"/>
  </r>
  <r>
    <x v="0"/>
    <x v="0"/>
    <x v="0"/>
    <x v="0"/>
    <x v="0"/>
    <s v="DK1_Small"/>
    <x v="1"/>
    <x v="1"/>
    <x v="0"/>
    <x v="19"/>
    <n v="19.654597894428399"/>
    <n v="7173.9282314663596"/>
    <n v="25826.141633278901"/>
  </r>
  <r>
    <x v="0"/>
    <x v="0"/>
    <x v="0"/>
    <x v="0"/>
    <x v="0"/>
    <s v="DK1_Small"/>
    <x v="1"/>
    <x v="1"/>
    <x v="0"/>
    <x v="23"/>
    <n v="0.55550877887642003"/>
    <n v="202.760704289893"/>
    <n v="729.93853544361605"/>
  </r>
  <r>
    <x v="0"/>
    <x v="0"/>
    <x v="0"/>
    <x v="0"/>
    <x v="0"/>
    <s v="DK1_Small"/>
    <x v="1"/>
    <x v="23"/>
    <x v="0"/>
    <x v="0"/>
    <n v="14.45"/>
    <n v="5274.25000000001"/>
    <n v="18987.3"/>
  </r>
  <r>
    <x v="0"/>
    <x v="0"/>
    <x v="0"/>
    <x v="0"/>
    <x v="0"/>
    <s v="DK1_Small"/>
    <x v="1"/>
    <x v="23"/>
    <x v="0"/>
    <x v="1"/>
    <n v="14.45"/>
    <n v="5274.25000000001"/>
    <n v="18987.3"/>
  </r>
  <r>
    <x v="0"/>
    <x v="0"/>
    <x v="0"/>
    <x v="0"/>
    <x v="0"/>
    <s v="DK1_Small"/>
    <x v="1"/>
    <x v="23"/>
    <x v="0"/>
    <x v="2"/>
    <n v="14.45"/>
    <n v="5274.25000000001"/>
    <n v="18987.3"/>
  </r>
  <r>
    <x v="0"/>
    <x v="0"/>
    <x v="0"/>
    <x v="0"/>
    <x v="0"/>
    <s v="DK1_Small"/>
    <x v="1"/>
    <x v="23"/>
    <x v="0"/>
    <x v="9"/>
    <n v="14.45"/>
    <n v="5274.25000000001"/>
    <n v="18987.3"/>
  </r>
  <r>
    <x v="0"/>
    <x v="0"/>
    <x v="0"/>
    <x v="0"/>
    <x v="0"/>
    <s v="DK1_Small"/>
    <x v="1"/>
    <x v="23"/>
    <x v="0"/>
    <x v="10"/>
    <n v="14.45"/>
    <n v="5274.25000000001"/>
    <n v="18987.3"/>
  </r>
  <r>
    <x v="0"/>
    <x v="0"/>
    <x v="0"/>
    <x v="0"/>
    <x v="0"/>
    <s v="DK1_Small"/>
    <x v="2"/>
    <x v="8"/>
    <x v="0"/>
    <x v="3"/>
    <n v="10.2368421052632"/>
    <n v="3736.4473684210602"/>
    <n v="13451.210526315799"/>
  </r>
  <r>
    <x v="0"/>
    <x v="0"/>
    <x v="0"/>
    <x v="0"/>
    <x v="0"/>
    <s v="DK1_Small"/>
    <x v="2"/>
    <x v="8"/>
    <x v="0"/>
    <x v="4"/>
    <n v="10.2368421052632"/>
    <n v="3736.4473684210602"/>
    <n v="13451.210526315799"/>
  </r>
  <r>
    <x v="0"/>
    <x v="0"/>
    <x v="0"/>
    <x v="0"/>
    <x v="0"/>
    <s v="DK1_Small"/>
    <x v="2"/>
    <x v="8"/>
    <x v="0"/>
    <x v="5"/>
    <n v="10.2368421052632"/>
    <n v="3736.4473684210602"/>
    <n v="13451.210526315799"/>
  </r>
  <r>
    <x v="0"/>
    <x v="0"/>
    <x v="0"/>
    <x v="0"/>
    <x v="0"/>
    <s v="DK1_Small"/>
    <x v="2"/>
    <x v="8"/>
    <x v="0"/>
    <x v="6"/>
    <n v="10.2368421052632"/>
    <n v="3736.4473684210602"/>
    <n v="13451.210526315799"/>
  </r>
  <r>
    <x v="0"/>
    <x v="0"/>
    <x v="0"/>
    <x v="0"/>
    <x v="0"/>
    <s v="DK1_Small"/>
    <x v="2"/>
    <x v="8"/>
    <x v="0"/>
    <x v="7"/>
    <n v="10.2368421052632"/>
    <n v="3736.4473684210602"/>
    <n v="13451.210526315799"/>
  </r>
  <r>
    <x v="0"/>
    <x v="0"/>
    <x v="0"/>
    <x v="0"/>
    <x v="0"/>
    <s v="DK1_Small"/>
    <x v="2"/>
    <x v="8"/>
    <x v="0"/>
    <x v="8"/>
    <n v="10.2368421052632"/>
    <n v="3736.4473684210602"/>
    <n v="13451.210526315799"/>
  </r>
  <r>
    <x v="0"/>
    <x v="0"/>
    <x v="0"/>
    <x v="0"/>
    <x v="0"/>
    <s v="DK1_Small"/>
    <x v="2"/>
    <x v="8"/>
    <x v="0"/>
    <x v="0"/>
    <n v="10.2368421052632"/>
    <n v="3736.4473684210602"/>
    <n v="13451.210526315799"/>
  </r>
  <r>
    <x v="0"/>
    <x v="0"/>
    <x v="0"/>
    <x v="0"/>
    <x v="0"/>
    <s v="DK1_Small"/>
    <x v="2"/>
    <x v="8"/>
    <x v="0"/>
    <x v="1"/>
    <n v="10.2368421052632"/>
    <n v="3736.4473684210602"/>
    <n v="13451.210526315799"/>
  </r>
  <r>
    <x v="0"/>
    <x v="0"/>
    <x v="0"/>
    <x v="0"/>
    <x v="0"/>
    <s v="DK1_Small"/>
    <x v="2"/>
    <x v="8"/>
    <x v="0"/>
    <x v="2"/>
    <n v="10.2368421052632"/>
    <n v="3736.4473684210602"/>
    <n v="13451.210526315799"/>
  </r>
  <r>
    <x v="0"/>
    <x v="0"/>
    <x v="0"/>
    <x v="0"/>
    <x v="0"/>
    <s v="DK1_Small"/>
    <x v="2"/>
    <x v="8"/>
    <x v="0"/>
    <x v="9"/>
    <n v="10.2368421052632"/>
    <n v="3736.4473684210602"/>
    <n v="13451.210526315799"/>
  </r>
  <r>
    <x v="0"/>
    <x v="0"/>
    <x v="0"/>
    <x v="0"/>
    <x v="0"/>
    <s v="DK1_Small"/>
    <x v="2"/>
    <x v="8"/>
    <x v="0"/>
    <x v="10"/>
    <n v="10.2368421052632"/>
    <n v="3736.4473684210602"/>
    <n v="13451.210526315799"/>
  </r>
  <r>
    <x v="0"/>
    <x v="0"/>
    <x v="0"/>
    <x v="0"/>
    <x v="0"/>
    <s v="DK1_Small"/>
    <x v="2"/>
    <x v="8"/>
    <x v="0"/>
    <x v="11"/>
    <n v="10.2368421052632"/>
    <n v="3736.4473684210602"/>
    <n v="13451.210526315799"/>
  </r>
  <r>
    <x v="0"/>
    <x v="0"/>
    <x v="0"/>
    <x v="0"/>
    <x v="0"/>
    <s v="DK1_Small"/>
    <x v="2"/>
    <x v="8"/>
    <x v="0"/>
    <x v="12"/>
    <n v="10.2368421052632"/>
    <n v="3736.4473684210602"/>
    <n v="13451.210526315799"/>
  </r>
  <r>
    <x v="0"/>
    <x v="0"/>
    <x v="0"/>
    <x v="0"/>
    <x v="0"/>
    <s v="DK1_Small"/>
    <x v="2"/>
    <x v="8"/>
    <x v="0"/>
    <x v="13"/>
    <n v="10.2368421052632"/>
    <n v="3736.4473684210602"/>
    <n v="13451.210526315799"/>
  </r>
  <r>
    <x v="0"/>
    <x v="0"/>
    <x v="0"/>
    <x v="0"/>
    <x v="0"/>
    <s v="DK1_Small"/>
    <x v="2"/>
    <x v="8"/>
    <x v="0"/>
    <x v="14"/>
    <n v="10.2368421052632"/>
    <n v="3736.4473684210602"/>
    <n v="13451.210526315799"/>
  </r>
  <r>
    <x v="0"/>
    <x v="0"/>
    <x v="0"/>
    <x v="0"/>
    <x v="0"/>
    <s v="DK1_Small"/>
    <x v="2"/>
    <x v="8"/>
    <x v="0"/>
    <x v="15"/>
    <n v="10.2368421052632"/>
    <n v="3736.4473684210602"/>
    <n v="13451.210526315799"/>
  </r>
  <r>
    <x v="0"/>
    <x v="0"/>
    <x v="0"/>
    <x v="0"/>
    <x v="0"/>
    <s v="DK1_Small"/>
    <x v="2"/>
    <x v="8"/>
    <x v="0"/>
    <x v="16"/>
    <n v="10.2368421052632"/>
    <n v="3736.4473684210602"/>
    <n v="13451.210526315799"/>
  </r>
  <r>
    <x v="0"/>
    <x v="0"/>
    <x v="0"/>
    <x v="0"/>
    <x v="0"/>
    <s v="DK1_Small"/>
    <x v="2"/>
    <x v="8"/>
    <x v="0"/>
    <x v="17"/>
    <n v="10.2368421052632"/>
    <n v="3736.4473684210602"/>
    <n v="13451.210526315799"/>
  </r>
  <r>
    <x v="0"/>
    <x v="0"/>
    <x v="0"/>
    <x v="0"/>
    <x v="0"/>
    <s v="DK1_Small"/>
    <x v="2"/>
    <x v="8"/>
    <x v="0"/>
    <x v="18"/>
    <n v="10.2368421052632"/>
    <n v="3736.4473684210602"/>
    <n v="13451.210526315799"/>
  </r>
  <r>
    <x v="0"/>
    <x v="0"/>
    <x v="0"/>
    <x v="0"/>
    <x v="0"/>
    <s v="DK1_Small"/>
    <x v="2"/>
    <x v="8"/>
    <x v="0"/>
    <x v="19"/>
    <n v="10.2368421052632"/>
    <n v="3736.4473684210602"/>
    <n v="13451.210526315799"/>
  </r>
  <r>
    <x v="0"/>
    <x v="0"/>
    <x v="0"/>
    <x v="0"/>
    <x v="0"/>
    <s v="DK1_Small"/>
    <x v="2"/>
    <x v="8"/>
    <x v="0"/>
    <x v="20"/>
    <n v="10.2368421052632"/>
    <n v="3736.4473684210602"/>
    <n v="13451.210526315799"/>
  </r>
  <r>
    <x v="0"/>
    <x v="0"/>
    <x v="0"/>
    <x v="0"/>
    <x v="0"/>
    <s v="DK1_Small"/>
    <x v="2"/>
    <x v="8"/>
    <x v="0"/>
    <x v="21"/>
    <n v="10.2368421052632"/>
    <n v="3736.4473684210602"/>
    <n v="13451.210526315799"/>
  </r>
  <r>
    <x v="0"/>
    <x v="0"/>
    <x v="0"/>
    <x v="0"/>
    <x v="0"/>
    <s v="DK1_Small"/>
    <x v="2"/>
    <x v="8"/>
    <x v="0"/>
    <x v="22"/>
    <n v="10.2368421052632"/>
    <n v="3736.4473684210602"/>
    <n v="13451.210526315799"/>
  </r>
  <r>
    <x v="0"/>
    <x v="0"/>
    <x v="0"/>
    <x v="0"/>
    <x v="0"/>
    <s v="DK1_Small"/>
    <x v="2"/>
    <x v="8"/>
    <x v="0"/>
    <x v="23"/>
    <n v="10.2368421052632"/>
    <n v="3736.4473684210602"/>
    <n v="13451.210526315799"/>
  </r>
  <r>
    <x v="0"/>
    <x v="0"/>
    <x v="0"/>
    <x v="0"/>
    <x v="0"/>
    <s v="DK1_Small"/>
    <x v="2"/>
    <x v="9"/>
    <x v="0"/>
    <x v="3"/>
    <n v="1.8974358974359"/>
    <n v="692.564102564103"/>
    <n v="2493.23076923077"/>
  </r>
  <r>
    <x v="0"/>
    <x v="0"/>
    <x v="0"/>
    <x v="0"/>
    <x v="0"/>
    <s v="DK1_Small"/>
    <x v="2"/>
    <x v="9"/>
    <x v="0"/>
    <x v="4"/>
    <n v="1.8974358974359"/>
    <n v="692.564102564103"/>
    <n v="2493.23076923077"/>
  </r>
  <r>
    <x v="0"/>
    <x v="0"/>
    <x v="0"/>
    <x v="0"/>
    <x v="0"/>
    <s v="DK1_Small"/>
    <x v="2"/>
    <x v="9"/>
    <x v="0"/>
    <x v="5"/>
    <n v="1.8974358974359"/>
    <n v="692.564102564103"/>
    <n v="2493.23076923077"/>
  </r>
  <r>
    <x v="0"/>
    <x v="0"/>
    <x v="0"/>
    <x v="0"/>
    <x v="0"/>
    <s v="DK1_Small"/>
    <x v="2"/>
    <x v="9"/>
    <x v="0"/>
    <x v="6"/>
    <n v="1.8974358974359"/>
    <n v="692.564102564103"/>
    <n v="2493.23076923077"/>
  </r>
  <r>
    <x v="0"/>
    <x v="0"/>
    <x v="0"/>
    <x v="0"/>
    <x v="0"/>
    <s v="DK1_Small"/>
    <x v="2"/>
    <x v="9"/>
    <x v="0"/>
    <x v="7"/>
    <n v="1.8974358974359"/>
    <n v="692.564102564103"/>
    <n v="2493.23076923077"/>
  </r>
  <r>
    <x v="0"/>
    <x v="0"/>
    <x v="0"/>
    <x v="0"/>
    <x v="0"/>
    <s v="DK1_Small"/>
    <x v="2"/>
    <x v="9"/>
    <x v="0"/>
    <x v="8"/>
    <n v="1.8974358974359"/>
    <n v="692.564102564103"/>
    <n v="2493.23076923077"/>
  </r>
  <r>
    <x v="0"/>
    <x v="0"/>
    <x v="0"/>
    <x v="0"/>
    <x v="0"/>
    <s v="DK1_Small"/>
    <x v="2"/>
    <x v="9"/>
    <x v="0"/>
    <x v="0"/>
    <n v="1.8974358974359"/>
    <n v="692.564102564103"/>
    <n v="2493.23076923077"/>
  </r>
  <r>
    <x v="0"/>
    <x v="0"/>
    <x v="0"/>
    <x v="0"/>
    <x v="0"/>
    <s v="DK1_Small"/>
    <x v="2"/>
    <x v="9"/>
    <x v="0"/>
    <x v="1"/>
    <n v="1.8974358974359"/>
    <n v="692.564102564103"/>
    <n v="2493.23076923077"/>
  </r>
  <r>
    <x v="0"/>
    <x v="0"/>
    <x v="0"/>
    <x v="0"/>
    <x v="0"/>
    <s v="DK1_Small"/>
    <x v="2"/>
    <x v="9"/>
    <x v="0"/>
    <x v="2"/>
    <n v="1.8974358974359"/>
    <n v="692.564102564103"/>
    <n v="2493.23076923077"/>
  </r>
  <r>
    <x v="0"/>
    <x v="0"/>
    <x v="0"/>
    <x v="0"/>
    <x v="0"/>
    <s v="DK1_Small"/>
    <x v="2"/>
    <x v="9"/>
    <x v="0"/>
    <x v="9"/>
    <n v="1.8974358974359"/>
    <n v="692.564102564103"/>
    <n v="2493.23076923077"/>
  </r>
  <r>
    <x v="0"/>
    <x v="0"/>
    <x v="0"/>
    <x v="0"/>
    <x v="0"/>
    <s v="DK1_Small"/>
    <x v="2"/>
    <x v="9"/>
    <x v="0"/>
    <x v="10"/>
    <n v="1.8974358974359"/>
    <n v="692.564102564103"/>
    <n v="2493.23076923077"/>
  </r>
  <r>
    <x v="0"/>
    <x v="0"/>
    <x v="0"/>
    <x v="0"/>
    <x v="0"/>
    <s v="DK1_Small"/>
    <x v="2"/>
    <x v="9"/>
    <x v="0"/>
    <x v="11"/>
    <n v="1.8974358974359"/>
    <n v="692.564102564103"/>
    <n v="2493.23076923077"/>
  </r>
  <r>
    <x v="0"/>
    <x v="0"/>
    <x v="0"/>
    <x v="0"/>
    <x v="0"/>
    <s v="DK1_Small"/>
    <x v="2"/>
    <x v="9"/>
    <x v="0"/>
    <x v="12"/>
    <n v="1.8974358974359"/>
    <n v="692.564102564103"/>
    <n v="2493.23076923077"/>
  </r>
  <r>
    <x v="0"/>
    <x v="0"/>
    <x v="0"/>
    <x v="0"/>
    <x v="0"/>
    <s v="DK1_Small"/>
    <x v="2"/>
    <x v="9"/>
    <x v="0"/>
    <x v="13"/>
    <n v="1.8974358974359"/>
    <n v="692.564102564103"/>
    <n v="2493.23076923077"/>
  </r>
  <r>
    <x v="0"/>
    <x v="0"/>
    <x v="0"/>
    <x v="0"/>
    <x v="0"/>
    <s v="DK1_Small"/>
    <x v="2"/>
    <x v="9"/>
    <x v="0"/>
    <x v="14"/>
    <n v="1.8974358974359"/>
    <n v="692.564102564103"/>
    <n v="2493.23076923077"/>
  </r>
  <r>
    <x v="0"/>
    <x v="0"/>
    <x v="0"/>
    <x v="0"/>
    <x v="0"/>
    <s v="DK1_Small"/>
    <x v="2"/>
    <x v="9"/>
    <x v="0"/>
    <x v="15"/>
    <n v="1.8974358974359"/>
    <n v="692.564102564103"/>
    <n v="2493.23076923077"/>
  </r>
  <r>
    <x v="0"/>
    <x v="0"/>
    <x v="0"/>
    <x v="0"/>
    <x v="0"/>
    <s v="DK1_Small"/>
    <x v="2"/>
    <x v="9"/>
    <x v="0"/>
    <x v="16"/>
    <n v="1.8974358974359"/>
    <n v="692.564102564103"/>
    <n v="2493.23076923077"/>
  </r>
  <r>
    <x v="0"/>
    <x v="0"/>
    <x v="0"/>
    <x v="0"/>
    <x v="0"/>
    <s v="DK1_Small"/>
    <x v="2"/>
    <x v="9"/>
    <x v="0"/>
    <x v="17"/>
    <n v="1.8974358974359"/>
    <n v="692.564102564103"/>
    <n v="2493.23076923077"/>
  </r>
  <r>
    <x v="0"/>
    <x v="0"/>
    <x v="0"/>
    <x v="0"/>
    <x v="0"/>
    <s v="DK1_Small"/>
    <x v="2"/>
    <x v="9"/>
    <x v="0"/>
    <x v="18"/>
    <n v="1.8974358974359"/>
    <n v="692.564102564103"/>
    <n v="2493.23076923077"/>
  </r>
  <r>
    <x v="0"/>
    <x v="0"/>
    <x v="0"/>
    <x v="0"/>
    <x v="0"/>
    <s v="DK1_Small"/>
    <x v="2"/>
    <x v="9"/>
    <x v="0"/>
    <x v="19"/>
    <n v="1.8974358974359"/>
    <n v="692.564102564103"/>
    <n v="2493.23076923077"/>
  </r>
  <r>
    <x v="0"/>
    <x v="0"/>
    <x v="0"/>
    <x v="0"/>
    <x v="0"/>
    <s v="DK1_Small"/>
    <x v="2"/>
    <x v="9"/>
    <x v="0"/>
    <x v="20"/>
    <n v="1.8974358974359"/>
    <n v="692.564102564103"/>
    <n v="2493.23076923077"/>
  </r>
  <r>
    <x v="0"/>
    <x v="0"/>
    <x v="0"/>
    <x v="0"/>
    <x v="0"/>
    <s v="DK1_Small"/>
    <x v="2"/>
    <x v="9"/>
    <x v="0"/>
    <x v="21"/>
    <n v="1.8974358974359"/>
    <n v="692.564102564103"/>
    <n v="2493.23076923077"/>
  </r>
  <r>
    <x v="0"/>
    <x v="0"/>
    <x v="0"/>
    <x v="0"/>
    <x v="0"/>
    <s v="DK1_Small"/>
    <x v="2"/>
    <x v="9"/>
    <x v="0"/>
    <x v="22"/>
    <n v="1.8974358974359"/>
    <n v="692.564102564103"/>
    <n v="2493.23076923077"/>
  </r>
  <r>
    <x v="0"/>
    <x v="0"/>
    <x v="0"/>
    <x v="0"/>
    <x v="0"/>
    <s v="DK1_Small"/>
    <x v="2"/>
    <x v="9"/>
    <x v="0"/>
    <x v="23"/>
    <n v="1.8974358974359"/>
    <n v="692.564102564103"/>
    <n v="2493.23076923077"/>
  </r>
  <r>
    <x v="0"/>
    <x v="0"/>
    <x v="0"/>
    <x v="0"/>
    <x v="0"/>
    <s v="DK1_Small"/>
    <x v="2"/>
    <x v="11"/>
    <x v="0"/>
    <x v="3"/>
    <n v="3.6097560975609801"/>
    <n v="1317.5609756097599"/>
    <n v="4743.2195121951299"/>
  </r>
  <r>
    <x v="0"/>
    <x v="0"/>
    <x v="0"/>
    <x v="0"/>
    <x v="0"/>
    <s v="DK1_Small"/>
    <x v="2"/>
    <x v="11"/>
    <x v="0"/>
    <x v="4"/>
    <n v="3.6097560975609801"/>
    <n v="1317.5609756097599"/>
    <n v="4743.2195121951299"/>
  </r>
  <r>
    <x v="0"/>
    <x v="0"/>
    <x v="0"/>
    <x v="0"/>
    <x v="0"/>
    <s v="DK1_Small"/>
    <x v="2"/>
    <x v="11"/>
    <x v="0"/>
    <x v="5"/>
    <n v="3.6097560975609801"/>
    <n v="1317.5609756097599"/>
    <n v="4743.2195121951299"/>
  </r>
  <r>
    <x v="0"/>
    <x v="0"/>
    <x v="0"/>
    <x v="0"/>
    <x v="0"/>
    <s v="DK1_Small"/>
    <x v="2"/>
    <x v="11"/>
    <x v="0"/>
    <x v="6"/>
    <n v="3.6097560975609801"/>
    <n v="1317.5609756097599"/>
    <n v="4743.2195121951299"/>
  </r>
  <r>
    <x v="0"/>
    <x v="0"/>
    <x v="0"/>
    <x v="0"/>
    <x v="0"/>
    <s v="DK1_Small"/>
    <x v="2"/>
    <x v="11"/>
    <x v="0"/>
    <x v="7"/>
    <n v="3.6097560975609801"/>
    <n v="1317.5609756097599"/>
    <n v="4743.2195121951299"/>
  </r>
  <r>
    <x v="0"/>
    <x v="0"/>
    <x v="0"/>
    <x v="0"/>
    <x v="0"/>
    <s v="DK1_Small"/>
    <x v="2"/>
    <x v="11"/>
    <x v="0"/>
    <x v="8"/>
    <n v="3.6097560975609801"/>
    <n v="1317.5609756097599"/>
    <n v="4743.2195121951299"/>
  </r>
  <r>
    <x v="0"/>
    <x v="0"/>
    <x v="0"/>
    <x v="0"/>
    <x v="0"/>
    <s v="DK1_Small"/>
    <x v="2"/>
    <x v="11"/>
    <x v="0"/>
    <x v="0"/>
    <n v="3.6097560975609801"/>
    <n v="1317.5609756097599"/>
    <n v="4743.2195121951299"/>
  </r>
  <r>
    <x v="0"/>
    <x v="0"/>
    <x v="0"/>
    <x v="0"/>
    <x v="0"/>
    <s v="DK1_Small"/>
    <x v="2"/>
    <x v="11"/>
    <x v="0"/>
    <x v="1"/>
    <n v="3.6097560975609801"/>
    <n v="1317.5609756097599"/>
    <n v="4743.2195121951299"/>
  </r>
  <r>
    <x v="0"/>
    <x v="0"/>
    <x v="0"/>
    <x v="0"/>
    <x v="0"/>
    <s v="DK1_Small"/>
    <x v="2"/>
    <x v="11"/>
    <x v="0"/>
    <x v="2"/>
    <n v="3.6097560975609801"/>
    <n v="1317.5609756097599"/>
    <n v="4743.2195121951299"/>
  </r>
  <r>
    <x v="0"/>
    <x v="0"/>
    <x v="0"/>
    <x v="0"/>
    <x v="0"/>
    <s v="DK1_Small"/>
    <x v="2"/>
    <x v="11"/>
    <x v="0"/>
    <x v="9"/>
    <n v="3.6097560975609801"/>
    <n v="1317.5609756097599"/>
    <n v="4743.2195121951299"/>
  </r>
  <r>
    <x v="0"/>
    <x v="0"/>
    <x v="0"/>
    <x v="0"/>
    <x v="0"/>
    <s v="DK1_Small"/>
    <x v="2"/>
    <x v="11"/>
    <x v="0"/>
    <x v="10"/>
    <n v="3.6097560975609801"/>
    <n v="1317.5609756097599"/>
    <n v="4743.2195121951299"/>
  </r>
  <r>
    <x v="0"/>
    <x v="0"/>
    <x v="0"/>
    <x v="0"/>
    <x v="0"/>
    <s v="DK1_Small"/>
    <x v="2"/>
    <x v="11"/>
    <x v="0"/>
    <x v="11"/>
    <n v="3.6097560975609801"/>
    <n v="1317.5609756097599"/>
    <n v="4743.2195121951299"/>
  </r>
  <r>
    <x v="0"/>
    <x v="0"/>
    <x v="0"/>
    <x v="0"/>
    <x v="0"/>
    <s v="DK1_Small"/>
    <x v="2"/>
    <x v="11"/>
    <x v="0"/>
    <x v="12"/>
    <n v="3.6097560975609801"/>
    <n v="1317.5609756097599"/>
    <n v="4743.2195121951299"/>
  </r>
  <r>
    <x v="0"/>
    <x v="0"/>
    <x v="0"/>
    <x v="0"/>
    <x v="0"/>
    <s v="DK1_Small"/>
    <x v="2"/>
    <x v="11"/>
    <x v="0"/>
    <x v="13"/>
    <n v="3.6097560975609801"/>
    <n v="1317.5609756097599"/>
    <n v="4743.2195121951299"/>
  </r>
  <r>
    <x v="0"/>
    <x v="0"/>
    <x v="0"/>
    <x v="0"/>
    <x v="0"/>
    <s v="DK1_Small"/>
    <x v="2"/>
    <x v="11"/>
    <x v="0"/>
    <x v="14"/>
    <n v="3.6097560975609801"/>
    <n v="1317.5609756097599"/>
    <n v="4743.2195121951299"/>
  </r>
  <r>
    <x v="0"/>
    <x v="0"/>
    <x v="0"/>
    <x v="0"/>
    <x v="0"/>
    <s v="DK1_Small"/>
    <x v="2"/>
    <x v="11"/>
    <x v="0"/>
    <x v="15"/>
    <n v="3.6097560975609801"/>
    <n v="1317.5609756097599"/>
    <n v="4743.2195121951299"/>
  </r>
  <r>
    <x v="0"/>
    <x v="0"/>
    <x v="0"/>
    <x v="0"/>
    <x v="0"/>
    <s v="DK1_Small"/>
    <x v="2"/>
    <x v="11"/>
    <x v="0"/>
    <x v="16"/>
    <n v="3.6097560975609801"/>
    <n v="1317.5609756097599"/>
    <n v="4743.2195121951299"/>
  </r>
  <r>
    <x v="0"/>
    <x v="0"/>
    <x v="0"/>
    <x v="0"/>
    <x v="0"/>
    <s v="DK1_Small"/>
    <x v="2"/>
    <x v="11"/>
    <x v="0"/>
    <x v="17"/>
    <n v="3.6097560975609801"/>
    <n v="1317.5609756097599"/>
    <n v="4743.2195121951299"/>
  </r>
  <r>
    <x v="0"/>
    <x v="0"/>
    <x v="0"/>
    <x v="0"/>
    <x v="0"/>
    <s v="DK1_Small"/>
    <x v="2"/>
    <x v="11"/>
    <x v="0"/>
    <x v="18"/>
    <n v="3.6097560975609801"/>
    <n v="1317.5609756097599"/>
    <n v="4743.2195121951299"/>
  </r>
  <r>
    <x v="0"/>
    <x v="0"/>
    <x v="0"/>
    <x v="0"/>
    <x v="0"/>
    <s v="DK1_Small"/>
    <x v="2"/>
    <x v="11"/>
    <x v="0"/>
    <x v="19"/>
    <n v="3.6097560975609801"/>
    <n v="1317.5609756097599"/>
    <n v="4743.2195121951299"/>
  </r>
  <r>
    <x v="0"/>
    <x v="0"/>
    <x v="0"/>
    <x v="0"/>
    <x v="0"/>
    <s v="DK1_Small"/>
    <x v="2"/>
    <x v="11"/>
    <x v="0"/>
    <x v="20"/>
    <n v="3.6097560975609801"/>
    <n v="1317.5609756097599"/>
    <n v="4743.2195121951299"/>
  </r>
  <r>
    <x v="0"/>
    <x v="0"/>
    <x v="0"/>
    <x v="0"/>
    <x v="0"/>
    <s v="DK1_Small"/>
    <x v="2"/>
    <x v="11"/>
    <x v="0"/>
    <x v="21"/>
    <n v="3.6097560975609801"/>
    <n v="1317.5609756097599"/>
    <n v="4743.2195121951299"/>
  </r>
  <r>
    <x v="0"/>
    <x v="0"/>
    <x v="0"/>
    <x v="0"/>
    <x v="0"/>
    <s v="DK1_Small"/>
    <x v="2"/>
    <x v="11"/>
    <x v="0"/>
    <x v="22"/>
    <n v="3.6097560975609801"/>
    <n v="1317.5609756097599"/>
    <n v="4743.2195121951299"/>
  </r>
  <r>
    <x v="0"/>
    <x v="0"/>
    <x v="0"/>
    <x v="0"/>
    <x v="0"/>
    <s v="DK1_Small"/>
    <x v="2"/>
    <x v="11"/>
    <x v="0"/>
    <x v="23"/>
    <n v="3.6097560975609801"/>
    <n v="1317.5609756097599"/>
    <n v="4743.2195121951299"/>
  </r>
  <r>
    <x v="0"/>
    <x v="0"/>
    <x v="0"/>
    <x v="0"/>
    <x v="0"/>
    <s v="DK1_Small"/>
    <x v="2"/>
    <x v="12"/>
    <x v="0"/>
    <x v="3"/>
    <n v="33.571428571428598"/>
    <n v="12253.5714285714"/>
    <n v="44112.857142857101"/>
  </r>
  <r>
    <x v="0"/>
    <x v="0"/>
    <x v="0"/>
    <x v="0"/>
    <x v="0"/>
    <s v="DK1_Small"/>
    <x v="2"/>
    <x v="12"/>
    <x v="0"/>
    <x v="4"/>
    <n v="33.571428571428598"/>
    <n v="12253.5714285714"/>
    <n v="44112.857142857101"/>
  </r>
  <r>
    <x v="0"/>
    <x v="0"/>
    <x v="0"/>
    <x v="0"/>
    <x v="0"/>
    <s v="DK1_Small"/>
    <x v="2"/>
    <x v="12"/>
    <x v="0"/>
    <x v="5"/>
    <n v="33.571428571428598"/>
    <n v="12253.5714285714"/>
    <n v="44112.857142857101"/>
  </r>
  <r>
    <x v="0"/>
    <x v="0"/>
    <x v="0"/>
    <x v="0"/>
    <x v="0"/>
    <s v="DK1_Small"/>
    <x v="2"/>
    <x v="12"/>
    <x v="0"/>
    <x v="6"/>
    <n v="33.571428571428598"/>
    <n v="12253.5714285714"/>
    <n v="44112.857142857101"/>
  </r>
  <r>
    <x v="0"/>
    <x v="0"/>
    <x v="0"/>
    <x v="0"/>
    <x v="0"/>
    <s v="DK1_Small"/>
    <x v="2"/>
    <x v="12"/>
    <x v="0"/>
    <x v="7"/>
    <n v="33.571428571428598"/>
    <n v="12253.5714285714"/>
    <n v="44112.857142857101"/>
  </r>
  <r>
    <x v="0"/>
    <x v="0"/>
    <x v="0"/>
    <x v="0"/>
    <x v="0"/>
    <s v="DK1_Small"/>
    <x v="2"/>
    <x v="12"/>
    <x v="0"/>
    <x v="8"/>
    <n v="33.571428571428598"/>
    <n v="12253.5714285714"/>
    <n v="44112.857142857101"/>
  </r>
  <r>
    <x v="0"/>
    <x v="0"/>
    <x v="0"/>
    <x v="0"/>
    <x v="0"/>
    <s v="DK1_Small"/>
    <x v="2"/>
    <x v="12"/>
    <x v="0"/>
    <x v="0"/>
    <n v="33.571428571428598"/>
    <n v="12253.5714285714"/>
    <n v="44112.857142857101"/>
  </r>
  <r>
    <x v="0"/>
    <x v="0"/>
    <x v="0"/>
    <x v="0"/>
    <x v="0"/>
    <s v="DK1_Small"/>
    <x v="2"/>
    <x v="12"/>
    <x v="0"/>
    <x v="1"/>
    <n v="33.571428571428598"/>
    <n v="12253.5714285714"/>
    <n v="44112.857142857101"/>
  </r>
  <r>
    <x v="0"/>
    <x v="0"/>
    <x v="0"/>
    <x v="0"/>
    <x v="0"/>
    <s v="DK1_Small"/>
    <x v="2"/>
    <x v="12"/>
    <x v="0"/>
    <x v="2"/>
    <n v="33.571428571428598"/>
    <n v="12253.5714285714"/>
    <n v="44112.857142857101"/>
  </r>
  <r>
    <x v="0"/>
    <x v="0"/>
    <x v="0"/>
    <x v="0"/>
    <x v="0"/>
    <s v="DK1_Small"/>
    <x v="2"/>
    <x v="12"/>
    <x v="0"/>
    <x v="9"/>
    <n v="33.571428571428598"/>
    <n v="12253.5714285714"/>
    <n v="44112.857142857101"/>
  </r>
  <r>
    <x v="0"/>
    <x v="0"/>
    <x v="0"/>
    <x v="0"/>
    <x v="0"/>
    <s v="DK1_Small"/>
    <x v="2"/>
    <x v="12"/>
    <x v="0"/>
    <x v="10"/>
    <n v="33.571428571428598"/>
    <n v="12253.5714285714"/>
    <n v="44112.857142857101"/>
  </r>
  <r>
    <x v="0"/>
    <x v="0"/>
    <x v="0"/>
    <x v="0"/>
    <x v="0"/>
    <s v="DK1_Small"/>
    <x v="2"/>
    <x v="12"/>
    <x v="0"/>
    <x v="11"/>
    <n v="33.571428571428598"/>
    <n v="12253.5714285714"/>
    <n v="44112.857142857101"/>
  </r>
  <r>
    <x v="0"/>
    <x v="0"/>
    <x v="0"/>
    <x v="0"/>
    <x v="0"/>
    <s v="DK1_Small"/>
    <x v="2"/>
    <x v="12"/>
    <x v="0"/>
    <x v="12"/>
    <n v="33.571428571428598"/>
    <n v="12253.5714285714"/>
    <n v="44112.857142857101"/>
  </r>
  <r>
    <x v="0"/>
    <x v="0"/>
    <x v="0"/>
    <x v="0"/>
    <x v="0"/>
    <s v="DK1_Small"/>
    <x v="2"/>
    <x v="12"/>
    <x v="0"/>
    <x v="13"/>
    <n v="33.571428571428598"/>
    <n v="12253.5714285714"/>
    <n v="44112.857142857101"/>
  </r>
  <r>
    <x v="0"/>
    <x v="0"/>
    <x v="0"/>
    <x v="0"/>
    <x v="0"/>
    <s v="DK1_Small"/>
    <x v="2"/>
    <x v="12"/>
    <x v="0"/>
    <x v="14"/>
    <n v="33.571428571428598"/>
    <n v="12253.5714285714"/>
    <n v="44112.857142857101"/>
  </r>
  <r>
    <x v="0"/>
    <x v="0"/>
    <x v="0"/>
    <x v="0"/>
    <x v="0"/>
    <s v="DK1_Small"/>
    <x v="2"/>
    <x v="12"/>
    <x v="0"/>
    <x v="15"/>
    <n v="33.571428571428598"/>
    <n v="12253.5714285714"/>
    <n v="44112.857142857101"/>
  </r>
  <r>
    <x v="0"/>
    <x v="0"/>
    <x v="0"/>
    <x v="0"/>
    <x v="0"/>
    <s v="DK1_Small"/>
    <x v="2"/>
    <x v="12"/>
    <x v="0"/>
    <x v="16"/>
    <n v="33.571428571428598"/>
    <n v="12253.5714285714"/>
    <n v="44112.857142857101"/>
  </r>
  <r>
    <x v="0"/>
    <x v="0"/>
    <x v="0"/>
    <x v="0"/>
    <x v="0"/>
    <s v="DK1_Small"/>
    <x v="2"/>
    <x v="12"/>
    <x v="0"/>
    <x v="17"/>
    <n v="33.571428571428598"/>
    <n v="12253.5714285714"/>
    <n v="44112.857142857101"/>
  </r>
  <r>
    <x v="0"/>
    <x v="0"/>
    <x v="0"/>
    <x v="0"/>
    <x v="0"/>
    <s v="DK1_Small"/>
    <x v="2"/>
    <x v="12"/>
    <x v="0"/>
    <x v="18"/>
    <n v="33.571428571428598"/>
    <n v="12253.5714285714"/>
    <n v="44112.857142857101"/>
  </r>
  <r>
    <x v="0"/>
    <x v="0"/>
    <x v="0"/>
    <x v="0"/>
    <x v="0"/>
    <s v="DK1_Small"/>
    <x v="2"/>
    <x v="12"/>
    <x v="0"/>
    <x v="19"/>
    <n v="33.571428571428598"/>
    <n v="12253.5714285714"/>
    <n v="44112.857142857101"/>
  </r>
  <r>
    <x v="0"/>
    <x v="0"/>
    <x v="0"/>
    <x v="0"/>
    <x v="0"/>
    <s v="DK1_Small"/>
    <x v="2"/>
    <x v="12"/>
    <x v="0"/>
    <x v="20"/>
    <n v="33.571428571428598"/>
    <n v="12253.5714285714"/>
    <n v="44112.857142857101"/>
  </r>
  <r>
    <x v="0"/>
    <x v="0"/>
    <x v="0"/>
    <x v="0"/>
    <x v="0"/>
    <s v="DK1_Small"/>
    <x v="2"/>
    <x v="12"/>
    <x v="0"/>
    <x v="21"/>
    <n v="33.571428571428598"/>
    <n v="12253.5714285714"/>
    <n v="44112.857142857101"/>
  </r>
  <r>
    <x v="0"/>
    <x v="0"/>
    <x v="0"/>
    <x v="0"/>
    <x v="0"/>
    <s v="DK1_Small"/>
    <x v="2"/>
    <x v="12"/>
    <x v="0"/>
    <x v="22"/>
    <n v="33.571428571428598"/>
    <n v="12253.5714285714"/>
    <n v="44112.857142857101"/>
  </r>
  <r>
    <x v="0"/>
    <x v="0"/>
    <x v="0"/>
    <x v="0"/>
    <x v="0"/>
    <s v="DK1_Small"/>
    <x v="2"/>
    <x v="12"/>
    <x v="0"/>
    <x v="23"/>
    <n v="33.571428571428598"/>
    <n v="12253.5714285714"/>
    <n v="44112.857142857101"/>
  </r>
  <r>
    <x v="0"/>
    <x v="0"/>
    <x v="0"/>
    <x v="0"/>
    <x v="0"/>
    <s v="DK1_Small"/>
    <x v="2"/>
    <x v="28"/>
    <x v="0"/>
    <x v="0"/>
    <n v="20"/>
    <n v="7300"/>
    <n v="26280"/>
  </r>
  <r>
    <x v="0"/>
    <x v="0"/>
    <x v="0"/>
    <x v="0"/>
    <x v="0"/>
    <s v="DK1_Small"/>
    <x v="2"/>
    <x v="28"/>
    <x v="0"/>
    <x v="1"/>
    <n v="20"/>
    <n v="7300"/>
    <n v="26280"/>
  </r>
  <r>
    <x v="0"/>
    <x v="0"/>
    <x v="0"/>
    <x v="0"/>
    <x v="0"/>
    <s v="DK1_Small"/>
    <x v="2"/>
    <x v="28"/>
    <x v="0"/>
    <x v="2"/>
    <n v="20"/>
    <n v="7300"/>
    <n v="26280"/>
  </r>
  <r>
    <x v="0"/>
    <x v="0"/>
    <x v="0"/>
    <x v="0"/>
    <x v="0"/>
    <s v="DK1_Small"/>
    <x v="2"/>
    <x v="28"/>
    <x v="0"/>
    <x v="9"/>
    <n v="20"/>
    <n v="7300"/>
    <n v="26280"/>
  </r>
  <r>
    <x v="0"/>
    <x v="0"/>
    <x v="0"/>
    <x v="0"/>
    <x v="0"/>
    <s v="DK1_Small"/>
    <x v="2"/>
    <x v="28"/>
    <x v="0"/>
    <x v="10"/>
    <n v="20"/>
    <n v="7300"/>
    <n v="26280"/>
  </r>
  <r>
    <x v="0"/>
    <x v="0"/>
    <x v="0"/>
    <x v="0"/>
    <x v="0"/>
    <s v="DK1_Small"/>
    <x v="2"/>
    <x v="28"/>
    <x v="0"/>
    <x v="11"/>
    <n v="20"/>
    <n v="7300"/>
    <n v="26280"/>
  </r>
  <r>
    <x v="0"/>
    <x v="0"/>
    <x v="0"/>
    <x v="0"/>
    <x v="0"/>
    <s v="DK1_Small"/>
    <x v="2"/>
    <x v="28"/>
    <x v="0"/>
    <x v="12"/>
    <n v="20"/>
    <n v="7300"/>
    <n v="26280"/>
  </r>
  <r>
    <x v="0"/>
    <x v="0"/>
    <x v="0"/>
    <x v="0"/>
    <x v="0"/>
    <s v="DK1_Small"/>
    <x v="2"/>
    <x v="28"/>
    <x v="0"/>
    <x v="13"/>
    <n v="20"/>
    <n v="7300"/>
    <n v="26280"/>
  </r>
  <r>
    <x v="0"/>
    <x v="0"/>
    <x v="0"/>
    <x v="0"/>
    <x v="0"/>
    <s v="DK1_Small"/>
    <x v="2"/>
    <x v="28"/>
    <x v="0"/>
    <x v="14"/>
    <n v="20"/>
    <n v="7300"/>
    <n v="26280"/>
  </r>
  <r>
    <x v="0"/>
    <x v="0"/>
    <x v="0"/>
    <x v="0"/>
    <x v="0"/>
    <s v="DK1_Small"/>
    <x v="2"/>
    <x v="28"/>
    <x v="0"/>
    <x v="15"/>
    <n v="20"/>
    <n v="7300"/>
    <n v="26280"/>
  </r>
  <r>
    <x v="0"/>
    <x v="0"/>
    <x v="0"/>
    <x v="0"/>
    <x v="0"/>
    <s v="DK1_Small"/>
    <x v="2"/>
    <x v="28"/>
    <x v="0"/>
    <x v="16"/>
    <n v="20"/>
    <n v="7300"/>
    <n v="26280"/>
  </r>
  <r>
    <x v="0"/>
    <x v="0"/>
    <x v="0"/>
    <x v="0"/>
    <x v="0"/>
    <s v="DK1_Small"/>
    <x v="2"/>
    <x v="28"/>
    <x v="0"/>
    <x v="17"/>
    <n v="20"/>
    <n v="7300"/>
    <n v="26280"/>
  </r>
  <r>
    <x v="0"/>
    <x v="0"/>
    <x v="0"/>
    <x v="0"/>
    <x v="0"/>
    <s v="DK1_Small"/>
    <x v="2"/>
    <x v="28"/>
    <x v="0"/>
    <x v="18"/>
    <n v="20"/>
    <n v="7300"/>
    <n v="26280"/>
  </r>
  <r>
    <x v="0"/>
    <x v="0"/>
    <x v="0"/>
    <x v="0"/>
    <x v="0"/>
    <s v="DK1_Small"/>
    <x v="4"/>
    <x v="19"/>
    <x v="0"/>
    <x v="3"/>
    <n v="14"/>
    <n v="5110"/>
    <n v="18396"/>
  </r>
  <r>
    <x v="0"/>
    <x v="0"/>
    <x v="0"/>
    <x v="0"/>
    <x v="0"/>
    <s v="DK1_Small"/>
    <x v="4"/>
    <x v="19"/>
    <x v="0"/>
    <x v="4"/>
    <n v="14"/>
    <n v="5110"/>
    <n v="18396"/>
  </r>
  <r>
    <x v="0"/>
    <x v="0"/>
    <x v="0"/>
    <x v="0"/>
    <x v="0"/>
    <s v="DK1_Small"/>
    <x v="4"/>
    <x v="19"/>
    <x v="0"/>
    <x v="5"/>
    <n v="14"/>
    <n v="5110"/>
    <n v="18396"/>
  </r>
  <r>
    <x v="0"/>
    <x v="0"/>
    <x v="0"/>
    <x v="0"/>
    <x v="0"/>
    <s v="DK1_Small"/>
    <x v="4"/>
    <x v="19"/>
    <x v="0"/>
    <x v="6"/>
    <n v="14"/>
    <n v="5110"/>
    <n v="18396"/>
  </r>
  <r>
    <x v="0"/>
    <x v="0"/>
    <x v="0"/>
    <x v="0"/>
    <x v="0"/>
    <s v="DK1_Small"/>
    <x v="4"/>
    <x v="19"/>
    <x v="0"/>
    <x v="7"/>
    <n v="14"/>
    <n v="5110"/>
    <n v="18396"/>
  </r>
  <r>
    <x v="0"/>
    <x v="0"/>
    <x v="0"/>
    <x v="0"/>
    <x v="0"/>
    <s v="DK1_Small"/>
    <x v="4"/>
    <x v="19"/>
    <x v="0"/>
    <x v="8"/>
    <n v="14"/>
    <n v="5110"/>
    <n v="18396"/>
  </r>
  <r>
    <x v="0"/>
    <x v="0"/>
    <x v="0"/>
    <x v="0"/>
    <x v="0"/>
    <s v="DK1_Small"/>
    <x v="4"/>
    <x v="19"/>
    <x v="0"/>
    <x v="0"/>
    <n v="14"/>
    <n v="5110"/>
    <n v="18396"/>
  </r>
  <r>
    <x v="0"/>
    <x v="0"/>
    <x v="0"/>
    <x v="0"/>
    <x v="0"/>
    <s v="DK1_Small"/>
    <x v="4"/>
    <x v="19"/>
    <x v="0"/>
    <x v="1"/>
    <n v="14"/>
    <n v="5110"/>
    <n v="18396"/>
  </r>
  <r>
    <x v="0"/>
    <x v="0"/>
    <x v="0"/>
    <x v="0"/>
    <x v="0"/>
    <s v="DK1_Small"/>
    <x v="4"/>
    <x v="19"/>
    <x v="0"/>
    <x v="2"/>
    <n v="14"/>
    <n v="5110"/>
    <n v="18396"/>
  </r>
  <r>
    <x v="0"/>
    <x v="0"/>
    <x v="0"/>
    <x v="0"/>
    <x v="0"/>
    <s v="DK1_Small"/>
    <x v="4"/>
    <x v="19"/>
    <x v="0"/>
    <x v="9"/>
    <n v="14"/>
    <n v="5110"/>
    <n v="18396"/>
  </r>
  <r>
    <x v="0"/>
    <x v="0"/>
    <x v="0"/>
    <x v="0"/>
    <x v="0"/>
    <s v="DK1_Small"/>
    <x v="4"/>
    <x v="19"/>
    <x v="0"/>
    <x v="10"/>
    <n v="14"/>
    <n v="5110"/>
    <n v="18396"/>
  </r>
  <r>
    <x v="0"/>
    <x v="0"/>
    <x v="0"/>
    <x v="0"/>
    <x v="0"/>
    <s v="DK1_Small"/>
    <x v="4"/>
    <x v="19"/>
    <x v="0"/>
    <x v="11"/>
    <n v="14"/>
    <n v="5110"/>
    <n v="18396"/>
  </r>
  <r>
    <x v="0"/>
    <x v="0"/>
    <x v="0"/>
    <x v="0"/>
    <x v="0"/>
    <s v="DK1_Small"/>
    <x v="4"/>
    <x v="19"/>
    <x v="0"/>
    <x v="12"/>
    <n v="14"/>
    <n v="5110"/>
    <n v="18396"/>
  </r>
  <r>
    <x v="0"/>
    <x v="0"/>
    <x v="0"/>
    <x v="0"/>
    <x v="0"/>
    <s v="DK1_Small"/>
    <x v="4"/>
    <x v="19"/>
    <x v="0"/>
    <x v="13"/>
    <n v="14"/>
    <n v="5110"/>
    <n v="18396"/>
  </r>
  <r>
    <x v="0"/>
    <x v="0"/>
    <x v="0"/>
    <x v="0"/>
    <x v="0"/>
    <s v="DK1_Small"/>
    <x v="4"/>
    <x v="19"/>
    <x v="0"/>
    <x v="14"/>
    <n v="14"/>
    <n v="5110"/>
    <n v="18396"/>
  </r>
  <r>
    <x v="0"/>
    <x v="0"/>
    <x v="0"/>
    <x v="0"/>
    <x v="0"/>
    <s v="DK1_Small"/>
    <x v="4"/>
    <x v="19"/>
    <x v="0"/>
    <x v="15"/>
    <n v="14"/>
    <n v="5110"/>
    <n v="18396"/>
  </r>
  <r>
    <x v="0"/>
    <x v="0"/>
    <x v="0"/>
    <x v="0"/>
    <x v="0"/>
    <s v="DK1_Small"/>
    <x v="4"/>
    <x v="19"/>
    <x v="0"/>
    <x v="16"/>
    <n v="14"/>
    <n v="5110"/>
    <n v="18396"/>
  </r>
  <r>
    <x v="0"/>
    <x v="0"/>
    <x v="0"/>
    <x v="0"/>
    <x v="0"/>
    <s v="DK1_Small"/>
    <x v="4"/>
    <x v="19"/>
    <x v="0"/>
    <x v="17"/>
    <n v="14"/>
    <n v="5110"/>
    <n v="18396"/>
  </r>
  <r>
    <x v="0"/>
    <x v="0"/>
    <x v="0"/>
    <x v="0"/>
    <x v="0"/>
    <s v="DK1_Small"/>
    <x v="4"/>
    <x v="19"/>
    <x v="0"/>
    <x v="18"/>
    <n v="14"/>
    <n v="5110"/>
    <n v="18396"/>
  </r>
  <r>
    <x v="0"/>
    <x v="0"/>
    <x v="0"/>
    <x v="0"/>
    <x v="0"/>
    <s v="DK1_Small"/>
    <x v="4"/>
    <x v="19"/>
    <x v="0"/>
    <x v="19"/>
    <n v="14"/>
    <n v="5110"/>
    <n v="18396"/>
  </r>
  <r>
    <x v="0"/>
    <x v="0"/>
    <x v="0"/>
    <x v="0"/>
    <x v="0"/>
    <s v="DK1_Small"/>
    <x v="4"/>
    <x v="19"/>
    <x v="0"/>
    <x v="20"/>
    <n v="14"/>
    <n v="5110"/>
    <n v="18396"/>
  </r>
  <r>
    <x v="0"/>
    <x v="0"/>
    <x v="0"/>
    <x v="0"/>
    <x v="0"/>
    <s v="DK1_Small"/>
    <x v="4"/>
    <x v="19"/>
    <x v="0"/>
    <x v="21"/>
    <n v="14"/>
    <n v="5110"/>
    <n v="18396"/>
  </r>
  <r>
    <x v="0"/>
    <x v="0"/>
    <x v="0"/>
    <x v="0"/>
    <x v="0"/>
    <s v="DK1_Small"/>
    <x v="4"/>
    <x v="19"/>
    <x v="0"/>
    <x v="22"/>
    <n v="14"/>
    <n v="5110"/>
    <n v="18396"/>
  </r>
  <r>
    <x v="0"/>
    <x v="0"/>
    <x v="0"/>
    <x v="0"/>
    <x v="0"/>
    <s v="DK1_Small"/>
    <x v="4"/>
    <x v="19"/>
    <x v="0"/>
    <x v="23"/>
    <n v="14"/>
    <n v="5110"/>
    <n v="18396"/>
  </r>
  <r>
    <x v="0"/>
    <x v="0"/>
    <x v="0"/>
    <x v="0"/>
    <x v="0"/>
    <s v="DK1_Small"/>
    <x v="10"/>
    <x v="54"/>
    <x v="0"/>
    <x v="3"/>
    <n v="1.75"/>
    <n v="638.75"/>
    <n v="2299.5"/>
  </r>
  <r>
    <x v="0"/>
    <x v="0"/>
    <x v="0"/>
    <x v="0"/>
    <x v="0"/>
    <s v="DK1_Small"/>
    <x v="10"/>
    <x v="54"/>
    <x v="0"/>
    <x v="4"/>
    <n v="1.75"/>
    <n v="638.75"/>
    <n v="2299.5"/>
  </r>
  <r>
    <x v="0"/>
    <x v="0"/>
    <x v="0"/>
    <x v="0"/>
    <x v="0"/>
    <s v="DK1_Small"/>
    <x v="10"/>
    <x v="54"/>
    <x v="0"/>
    <x v="5"/>
    <n v="1.75"/>
    <n v="638.75"/>
    <n v="2299.5"/>
  </r>
  <r>
    <x v="0"/>
    <x v="0"/>
    <x v="0"/>
    <x v="0"/>
    <x v="0"/>
    <s v="DK1_Small"/>
    <x v="10"/>
    <x v="54"/>
    <x v="0"/>
    <x v="6"/>
    <n v="1.75"/>
    <n v="638.75"/>
    <n v="2299.5"/>
  </r>
  <r>
    <x v="0"/>
    <x v="0"/>
    <x v="0"/>
    <x v="0"/>
    <x v="0"/>
    <s v="DK1_Small"/>
    <x v="10"/>
    <x v="54"/>
    <x v="0"/>
    <x v="7"/>
    <n v="1.75"/>
    <n v="638.75"/>
    <n v="2299.5"/>
  </r>
  <r>
    <x v="0"/>
    <x v="0"/>
    <x v="0"/>
    <x v="0"/>
    <x v="0"/>
    <s v="DK1_Small"/>
    <x v="10"/>
    <x v="54"/>
    <x v="0"/>
    <x v="8"/>
    <n v="1.75"/>
    <n v="638.75"/>
    <n v="2299.5"/>
  </r>
  <r>
    <x v="0"/>
    <x v="0"/>
    <x v="0"/>
    <x v="0"/>
    <x v="0"/>
    <s v="DK1_Small"/>
    <x v="10"/>
    <x v="54"/>
    <x v="0"/>
    <x v="0"/>
    <n v="1.75"/>
    <n v="638.75"/>
    <n v="2299.5"/>
  </r>
  <r>
    <x v="0"/>
    <x v="0"/>
    <x v="0"/>
    <x v="0"/>
    <x v="0"/>
    <s v="DK1_Small"/>
    <x v="10"/>
    <x v="54"/>
    <x v="0"/>
    <x v="1"/>
    <n v="1.75"/>
    <n v="638.75"/>
    <n v="2299.5"/>
  </r>
  <r>
    <x v="0"/>
    <x v="0"/>
    <x v="0"/>
    <x v="0"/>
    <x v="0"/>
    <s v="DK1_Small"/>
    <x v="10"/>
    <x v="54"/>
    <x v="0"/>
    <x v="2"/>
    <n v="1.75"/>
    <n v="638.75"/>
    <n v="2299.5"/>
  </r>
  <r>
    <x v="0"/>
    <x v="0"/>
    <x v="0"/>
    <x v="0"/>
    <x v="0"/>
    <s v="DK1_Small"/>
    <x v="10"/>
    <x v="54"/>
    <x v="0"/>
    <x v="9"/>
    <n v="1.75"/>
    <n v="638.75"/>
    <n v="2299.5"/>
  </r>
  <r>
    <x v="0"/>
    <x v="0"/>
    <x v="0"/>
    <x v="0"/>
    <x v="0"/>
    <s v="DK1_Small"/>
    <x v="10"/>
    <x v="54"/>
    <x v="0"/>
    <x v="10"/>
    <n v="1.75"/>
    <n v="638.75"/>
    <n v="2299.5"/>
  </r>
  <r>
    <x v="0"/>
    <x v="0"/>
    <x v="0"/>
    <x v="0"/>
    <x v="0"/>
    <s v="DK1_Small"/>
    <x v="10"/>
    <x v="54"/>
    <x v="0"/>
    <x v="11"/>
    <n v="1.75"/>
    <n v="638.75"/>
    <n v="2299.5"/>
  </r>
  <r>
    <x v="0"/>
    <x v="0"/>
    <x v="0"/>
    <x v="0"/>
    <x v="0"/>
    <s v="DK1_Small"/>
    <x v="10"/>
    <x v="54"/>
    <x v="0"/>
    <x v="12"/>
    <n v="1.75"/>
    <n v="638.75"/>
    <n v="2299.5"/>
  </r>
  <r>
    <x v="0"/>
    <x v="0"/>
    <x v="0"/>
    <x v="0"/>
    <x v="0"/>
    <s v="DK1_Small"/>
    <x v="10"/>
    <x v="54"/>
    <x v="0"/>
    <x v="13"/>
    <n v="1.75"/>
    <n v="638.75"/>
    <n v="2299.5"/>
  </r>
  <r>
    <x v="0"/>
    <x v="0"/>
    <x v="0"/>
    <x v="0"/>
    <x v="0"/>
    <s v="DK1_Small"/>
    <x v="10"/>
    <x v="54"/>
    <x v="0"/>
    <x v="14"/>
    <n v="1.75"/>
    <n v="638.75"/>
    <n v="2299.5"/>
  </r>
  <r>
    <x v="0"/>
    <x v="0"/>
    <x v="0"/>
    <x v="0"/>
    <x v="0"/>
    <s v="DK1_Small"/>
    <x v="10"/>
    <x v="54"/>
    <x v="0"/>
    <x v="15"/>
    <n v="1.75"/>
    <n v="638.75"/>
    <n v="2299.5"/>
  </r>
  <r>
    <x v="0"/>
    <x v="0"/>
    <x v="0"/>
    <x v="0"/>
    <x v="0"/>
    <s v="DK1_Small"/>
    <x v="10"/>
    <x v="54"/>
    <x v="0"/>
    <x v="16"/>
    <n v="1.75"/>
    <n v="638.75"/>
    <n v="2299.5"/>
  </r>
  <r>
    <x v="0"/>
    <x v="0"/>
    <x v="0"/>
    <x v="0"/>
    <x v="0"/>
    <s v="DK1_Small"/>
    <x v="10"/>
    <x v="54"/>
    <x v="0"/>
    <x v="17"/>
    <n v="1.75"/>
    <n v="638.75"/>
    <n v="2299.5"/>
  </r>
  <r>
    <x v="0"/>
    <x v="0"/>
    <x v="0"/>
    <x v="0"/>
    <x v="0"/>
    <s v="DK1_Small"/>
    <x v="10"/>
    <x v="54"/>
    <x v="0"/>
    <x v="18"/>
    <n v="1.75"/>
    <n v="638.75"/>
    <n v="2299.5"/>
  </r>
  <r>
    <x v="0"/>
    <x v="0"/>
    <x v="0"/>
    <x v="0"/>
    <x v="0"/>
    <s v="DK1_Small"/>
    <x v="10"/>
    <x v="54"/>
    <x v="0"/>
    <x v="19"/>
    <n v="1.75"/>
    <n v="638.75"/>
    <n v="2299.5"/>
  </r>
  <r>
    <x v="0"/>
    <x v="0"/>
    <x v="0"/>
    <x v="0"/>
    <x v="0"/>
    <s v="DK1_Small"/>
    <x v="10"/>
    <x v="54"/>
    <x v="0"/>
    <x v="20"/>
    <n v="1.75"/>
    <n v="638.75"/>
    <n v="2299.5"/>
  </r>
  <r>
    <x v="0"/>
    <x v="0"/>
    <x v="0"/>
    <x v="0"/>
    <x v="0"/>
    <s v="DK1_Small"/>
    <x v="10"/>
    <x v="54"/>
    <x v="0"/>
    <x v="21"/>
    <n v="1.75"/>
    <n v="638.75"/>
    <n v="2299.5"/>
  </r>
  <r>
    <x v="0"/>
    <x v="0"/>
    <x v="0"/>
    <x v="0"/>
    <x v="0"/>
    <s v="DK1_Small"/>
    <x v="10"/>
    <x v="54"/>
    <x v="0"/>
    <x v="22"/>
    <n v="1.75"/>
    <n v="638.75"/>
    <n v="2299.5"/>
  </r>
  <r>
    <x v="0"/>
    <x v="0"/>
    <x v="0"/>
    <x v="0"/>
    <x v="0"/>
    <s v="DK1_Small"/>
    <x v="10"/>
    <x v="54"/>
    <x v="0"/>
    <x v="23"/>
    <n v="1.75"/>
    <n v="638.75"/>
    <n v="2299.5"/>
  </r>
  <r>
    <x v="0"/>
    <x v="0"/>
    <x v="0"/>
    <x v="0"/>
    <x v="0"/>
    <s v="DK1_Small"/>
    <x v="10"/>
    <x v="55"/>
    <x v="0"/>
    <x v="3"/>
    <n v="1.99775280898876"/>
    <n v="729.17977528089898"/>
    <n v="2625.0471910112401"/>
  </r>
  <r>
    <x v="0"/>
    <x v="0"/>
    <x v="0"/>
    <x v="0"/>
    <x v="0"/>
    <s v="DK1_Small"/>
    <x v="10"/>
    <x v="55"/>
    <x v="0"/>
    <x v="4"/>
    <n v="1.99775280898876"/>
    <n v="729.17977528089898"/>
    <n v="2625.0471910112401"/>
  </r>
  <r>
    <x v="0"/>
    <x v="0"/>
    <x v="0"/>
    <x v="0"/>
    <x v="0"/>
    <s v="DK1_Small"/>
    <x v="10"/>
    <x v="55"/>
    <x v="0"/>
    <x v="5"/>
    <n v="1.62957252751469"/>
    <n v="594.793972542863"/>
    <n v="2141.2583011543102"/>
  </r>
  <r>
    <x v="0"/>
    <x v="0"/>
    <x v="0"/>
    <x v="0"/>
    <x v="0"/>
    <s v="DK1_Small"/>
    <x v="10"/>
    <x v="55"/>
    <x v="0"/>
    <x v="6"/>
    <n v="1.99775280898876"/>
    <n v="729.17977528089898"/>
    <n v="2625.0471910112401"/>
  </r>
  <r>
    <x v="0"/>
    <x v="0"/>
    <x v="0"/>
    <x v="0"/>
    <x v="0"/>
    <s v="DK1_Small"/>
    <x v="10"/>
    <x v="55"/>
    <x v="0"/>
    <x v="7"/>
    <n v="1.99775280898876"/>
    <n v="729.17977528089898"/>
    <n v="2625.0471910112401"/>
  </r>
  <r>
    <x v="0"/>
    <x v="0"/>
    <x v="0"/>
    <x v="0"/>
    <x v="0"/>
    <s v="DK1_Small"/>
    <x v="10"/>
    <x v="55"/>
    <x v="0"/>
    <x v="8"/>
    <n v="1.99775280898876"/>
    <n v="729.17977528089898"/>
    <n v="2625.0471910112401"/>
  </r>
  <r>
    <x v="0"/>
    <x v="0"/>
    <x v="0"/>
    <x v="0"/>
    <x v="0"/>
    <s v="DK1_Small"/>
    <x v="10"/>
    <x v="55"/>
    <x v="0"/>
    <x v="0"/>
    <n v="1.99775280898876"/>
    <n v="729.17977528089898"/>
    <n v="2625.0471910112401"/>
  </r>
  <r>
    <x v="0"/>
    <x v="0"/>
    <x v="0"/>
    <x v="0"/>
    <x v="0"/>
    <s v="DK1_Small"/>
    <x v="10"/>
    <x v="55"/>
    <x v="0"/>
    <x v="1"/>
    <n v="1.99775280898876"/>
    <n v="729.17977528089898"/>
    <n v="2625.0471910112401"/>
  </r>
  <r>
    <x v="0"/>
    <x v="0"/>
    <x v="0"/>
    <x v="0"/>
    <x v="0"/>
    <s v="DK1_Small"/>
    <x v="10"/>
    <x v="55"/>
    <x v="0"/>
    <x v="2"/>
    <n v="1.99775280898876"/>
    <n v="729.17977528089898"/>
    <n v="2625.0471910112401"/>
  </r>
  <r>
    <x v="0"/>
    <x v="0"/>
    <x v="0"/>
    <x v="0"/>
    <x v="0"/>
    <s v="DK1_Small"/>
    <x v="10"/>
    <x v="55"/>
    <x v="0"/>
    <x v="9"/>
    <n v="1.99775280898876"/>
    <n v="729.17977528089898"/>
    <n v="2625.0471910112401"/>
  </r>
  <r>
    <x v="0"/>
    <x v="0"/>
    <x v="0"/>
    <x v="0"/>
    <x v="0"/>
    <s v="DK1_Small"/>
    <x v="10"/>
    <x v="55"/>
    <x v="0"/>
    <x v="10"/>
    <n v="1.99775280898876"/>
    <n v="729.17977528089898"/>
    <n v="2625.0471910112401"/>
  </r>
  <r>
    <x v="0"/>
    <x v="0"/>
    <x v="0"/>
    <x v="0"/>
    <x v="0"/>
    <s v="DK1_Small"/>
    <x v="10"/>
    <x v="55"/>
    <x v="0"/>
    <x v="11"/>
    <n v="1.99775280898876"/>
    <n v="729.17977528089898"/>
    <n v="2625.0471910112401"/>
  </r>
  <r>
    <x v="0"/>
    <x v="0"/>
    <x v="0"/>
    <x v="0"/>
    <x v="0"/>
    <s v="DK1_Small"/>
    <x v="10"/>
    <x v="55"/>
    <x v="0"/>
    <x v="12"/>
    <n v="1.99775280898876"/>
    <n v="729.17977528089898"/>
    <n v="2625.0471910112401"/>
  </r>
  <r>
    <x v="0"/>
    <x v="0"/>
    <x v="0"/>
    <x v="0"/>
    <x v="0"/>
    <s v="DK1_Small"/>
    <x v="10"/>
    <x v="55"/>
    <x v="0"/>
    <x v="13"/>
    <n v="1.99775280898876"/>
    <n v="729.17977528089898"/>
    <n v="2625.0471910112401"/>
  </r>
  <r>
    <x v="0"/>
    <x v="0"/>
    <x v="0"/>
    <x v="0"/>
    <x v="0"/>
    <s v="DK1_Small"/>
    <x v="10"/>
    <x v="55"/>
    <x v="0"/>
    <x v="14"/>
    <n v="1.99775280898876"/>
    <n v="729.17977528089898"/>
    <n v="2625.0471910112401"/>
  </r>
  <r>
    <x v="0"/>
    <x v="0"/>
    <x v="0"/>
    <x v="0"/>
    <x v="0"/>
    <s v="DK1_Small"/>
    <x v="10"/>
    <x v="55"/>
    <x v="0"/>
    <x v="15"/>
    <n v="1.99775280898876"/>
    <n v="729.17977528089898"/>
    <n v="2625.0471910112401"/>
  </r>
  <r>
    <x v="0"/>
    <x v="0"/>
    <x v="0"/>
    <x v="0"/>
    <x v="0"/>
    <s v="DK1_Small"/>
    <x v="10"/>
    <x v="55"/>
    <x v="0"/>
    <x v="16"/>
    <n v="1.99775280898876"/>
    <n v="729.17977528089898"/>
    <n v="2625.0471910112401"/>
  </r>
  <r>
    <x v="0"/>
    <x v="0"/>
    <x v="0"/>
    <x v="0"/>
    <x v="0"/>
    <s v="DK1_Small"/>
    <x v="10"/>
    <x v="55"/>
    <x v="0"/>
    <x v="17"/>
    <n v="1.99775280898876"/>
    <n v="729.17977528089898"/>
    <n v="2625.0471910112401"/>
  </r>
  <r>
    <x v="0"/>
    <x v="0"/>
    <x v="0"/>
    <x v="0"/>
    <x v="0"/>
    <s v="DK1_Small"/>
    <x v="10"/>
    <x v="55"/>
    <x v="0"/>
    <x v="18"/>
    <n v="1.99775280898876"/>
    <n v="729.17977528089898"/>
    <n v="2625.0471910112401"/>
  </r>
  <r>
    <x v="0"/>
    <x v="0"/>
    <x v="0"/>
    <x v="0"/>
    <x v="0"/>
    <s v="DK1_Small"/>
    <x v="10"/>
    <x v="55"/>
    <x v="0"/>
    <x v="19"/>
    <n v="1.99775280898876"/>
    <n v="729.17977528089898"/>
    <n v="2625.0471910112401"/>
  </r>
  <r>
    <x v="0"/>
    <x v="0"/>
    <x v="0"/>
    <x v="0"/>
    <x v="0"/>
    <s v="DK1_Small"/>
    <x v="10"/>
    <x v="55"/>
    <x v="0"/>
    <x v="20"/>
    <n v="1.99775280898876"/>
    <n v="729.17977528089898"/>
    <n v="2625.0471910112401"/>
  </r>
  <r>
    <x v="0"/>
    <x v="0"/>
    <x v="0"/>
    <x v="0"/>
    <x v="0"/>
    <s v="DK1_Small"/>
    <x v="10"/>
    <x v="55"/>
    <x v="0"/>
    <x v="21"/>
    <n v="1.99775280898876"/>
    <n v="729.17977528089898"/>
    <n v="2625.0471910112401"/>
  </r>
  <r>
    <x v="0"/>
    <x v="0"/>
    <x v="0"/>
    <x v="0"/>
    <x v="0"/>
    <s v="DK1_Small"/>
    <x v="10"/>
    <x v="55"/>
    <x v="0"/>
    <x v="22"/>
    <n v="1.99775280898876"/>
    <n v="729.17977528089898"/>
    <n v="2625.0471910112401"/>
  </r>
  <r>
    <x v="0"/>
    <x v="0"/>
    <x v="0"/>
    <x v="0"/>
    <x v="0"/>
    <s v="DK1_Small"/>
    <x v="10"/>
    <x v="55"/>
    <x v="0"/>
    <x v="23"/>
    <n v="1.99775280898876"/>
    <n v="729.17977528089898"/>
    <n v="2625.0471910112401"/>
  </r>
  <r>
    <x v="0"/>
    <x v="0"/>
    <x v="0"/>
    <x v="0"/>
    <x v="1"/>
    <s v="DK2_Large"/>
    <x v="11"/>
    <x v="56"/>
    <x v="0"/>
    <x v="0"/>
    <n v="7.2547619047619101"/>
    <n v="2647.9880952381"/>
    <n v="9532.75714285715"/>
  </r>
  <r>
    <x v="0"/>
    <x v="0"/>
    <x v="0"/>
    <x v="0"/>
    <x v="1"/>
    <s v="DK2_Large"/>
    <x v="11"/>
    <x v="56"/>
    <x v="0"/>
    <x v="1"/>
    <n v="7.2547619047619101"/>
    <n v="2647.9880952381"/>
    <n v="9532.75714285715"/>
  </r>
  <r>
    <x v="0"/>
    <x v="0"/>
    <x v="0"/>
    <x v="0"/>
    <x v="1"/>
    <s v="DK2_Large"/>
    <x v="11"/>
    <x v="56"/>
    <x v="0"/>
    <x v="2"/>
    <n v="7.2547619047619101"/>
    <n v="2647.9880952381"/>
    <n v="9532.75714285715"/>
  </r>
  <r>
    <x v="0"/>
    <x v="0"/>
    <x v="0"/>
    <x v="0"/>
    <x v="1"/>
    <s v="DK2_Large"/>
    <x v="11"/>
    <x v="56"/>
    <x v="0"/>
    <x v="9"/>
    <n v="7.2547619047619101"/>
    <n v="2647.9880952381"/>
    <n v="9532.75714285715"/>
  </r>
  <r>
    <x v="0"/>
    <x v="0"/>
    <x v="0"/>
    <x v="0"/>
    <x v="1"/>
    <s v="DK2_Large"/>
    <x v="11"/>
    <x v="56"/>
    <x v="0"/>
    <x v="10"/>
    <n v="7.2547619047619101"/>
    <n v="2647.9880952381"/>
    <n v="9532.75714285715"/>
  </r>
  <r>
    <x v="0"/>
    <x v="0"/>
    <x v="0"/>
    <x v="0"/>
    <x v="1"/>
    <s v="DK2_Large"/>
    <x v="11"/>
    <x v="56"/>
    <x v="0"/>
    <x v="14"/>
    <n v="7.2547619047619101"/>
    <n v="2647.9880952381"/>
    <n v="9532.75714285715"/>
  </r>
  <r>
    <x v="0"/>
    <x v="0"/>
    <x v="0"/>
    <x v="0"/>
    <x v="1"/>
    <s v="DK2_Large"/>
    <x v="11"/>
    <x v="56"/>
    <x v="0"/>
    <x v="15"/>
    <n v="7.2547619047619101"/>
    <n v="2647.9880952381"/>
    <n v="9532.75714285715"/>
  </r>
  <r>
    <x v="0"/>
    <x v="0"/>
    <x v="0"/>
    <x v="0"/>
    <x v="1"/>
    <s v="DK2_Large"/>
    <x v="11"/>
    <x v="56"/>
    <x v="0"/>
    <x v="16"/>
    <n v="7.2547619047619101"/>
    <n v="2647.9880952381"/>
    <n v="9532.75714285715"/>
  </r>
  <r>
    <x v="0"/>
    <x v="0"/>
    <x v="0"/>
    <x v="0"/>
    <x v="1"/>
    <s v="DK2_Large"/>
    <x v="11"/>
    <x v="56"/>
    <x v="0"/>
    <x v="17"/>
    <n v="7.2547619047619101"/>
    <n v="2647.9880952381"/>
    <n v="9532.75714285715"/>
  </r>
  <r>
    <x v="0"/>
    <x v="0"/>
    <x v="0"/>
    <x v="0"/>
    <x v="1"/>
    <s v="DK2_Large"/>
    <x v="0"/>
    <x v="57"/>
    <x v="0"/>
    <x v="1"/>
    <n v="1190.4761904761899"/>
    <n v="434523.809523809"/>
    <n v="1564285.7142857099"/>
  </r>
  <r>
    <x v="0"/>
    <x v="0"/>
    <x v="0"/>
    <x v="0"/>
    <x v="1"/>
    <s v="DK2_Large"/>
    <x v="0"/>
    <x v="57"/>
    <x v="0"/>
    <x v="2"/>
    <n v="1190.4761904761899"/>
    <n v="434523.809523809"/>
    <n v="1564285.7142857099"/>
  </r>
  <r>
    <x v="0"/>
    <x v="0"/>
    <x v="0"/>
    <x v="0"/>
    <x v="1"/>
    <s v="DK2_Large"/>
    <x v="0"/>
    <x v="57"/>
    <x v="0"/>
    <x v="9"/>
    <n v="1190.4761904761899"/>
    <n v="434523.809523809"/>
    <n v="1564285.7142857099"/>
  </r>
  <r>
    <x v="0"/>
    <x v="0"/>
    <x v="0"/>
    <x v="0"/>
    <x v="1"/>
    <s v="DK2_Large"/>
    <x v="0"/>
    <x v="57"/>
    <x v="0"/>
    <x v="17"/>
    <n v="191.765027885167"/>
    <n v="69994.235178086004"/>
    <n v="251979.246641109"/>
  </r>
  <r>
    <x v="0"/>
    <x v="0"/>
    <x v="0"/>
    <x v="0"/>
    <x v="1"/>
    <s v="DK2_Large"/>
    <x v="1"/>
    <x v="58"/>
    <x v="0"/>
    <x v="3"/>
    <n v="178.125"/>
    <n v="65015.625000000102"/>
    <n v="234056.25"/>
  </r>
  <r>
    <x v="0"/>
    <x v="0"/>
    <x v="0"/>
    <x v="0"/>
    <x v="1"/>
    <s v="DK2_Large"/>
    <x v="1"/>
    <x v="58"/>
    <x v="0"/>
    <x v="4"/>
    <n v="178.125"/>
    <n v="65015.625000000102"/>
    <n v="234056.25"/>
  </r>
  <r>
    <x v="0"/>
    <x v="0"/>
    <x v="0"/>
    <x v="0"/>
    <x v="1"/>
    <s v="DK2_Large"/>
    <x v="1"/>
    <x v="58"/>
    <x v="0"/>
    <x v="5"/>
    <n v="178.125"/>
    <n v="65015.625000000102"/>
    <n v="234056.25"/>
  </r>
  <r>
    <x v="0"/>
    <x v="0"/>
    <x v="0"/>
    <x v="0"/>
    <x v="1"/>
    <s v="DK2_Large"/>
    <x v="1"/>
    <x v="58"/>
    <x v="0"/>
    <x v="6"/>
    <n v="178.125"/>
    <n v="65015.625000000102"/>
    <n v="234056.25"/>
  </r>
  <r>
    <x v="0"/>
    <x v="0"/>
    <x v="0"/>
    <x v="0"/>
    <x v="1"/>
    <s v="DK2_Large"/>
    <x v="1"/>
    <x v="58"/>
    <x v="0"/>
    <x v="7"/>
    <n v="178.125"/>
    <n v="65015.625000000102"/>
    <n v="234056.25"/>
  </r>
  <r>
    <x v="0"/>
    <x v="0"/>
    <x v="0"/>
    <x v="0"/>
    <x v="1"/>
    <s v="DK2_Large"/>
    <x v="1"/>
    <x v="58"/>
    <x v="0"/>
    <x v="8"/>
    <n v="178.125"/>
    <n v="65015.625000000102"/>
    <n v="234056.25"/>
  </r>
  <r>
    <x v="0"/>
    <x v="0"/>
    <x v="0"/>
    <x v="0"/>
    <x v="1"/>
    <s v="DK2_Large"/>
    <x v="1"/>
    <x v="58"/>
    <x v="0"/>
    <x v="0"/>
    <n v="178.125"/>
    <n v="65015.625000000102"/>
    <n v="234056.25"/>
  </r>
  <r>
    <x v="0"/>
    <x v="0"/>
    <x v="0"/>
    <x v="0"/>
    <x v="1"/>
    <s v="DK2_Large"/>
    <x v="1"/>
    <x v="58"/>
    <x v="0"/>
    <x v="1"/>
    <n v="178.125"/>
    <n v="65015.625000000102"/>
    <n v="234056.25"/>
  </r>
  <r>
    <x v="0"/>
    <x v="0"/>
    <x v="0"/>
    <x v="0"/>
    <x v="1"/>
    <s v="DK2_Large"/>
    <x v="1"/>
    <x v="58"/>
    <x v="0"/>
    <x v="2"/>
    <n v="178.125"/>
    <n v="65015.625000000102"/>
    <n v="234056.25"/>
  </r>
  <r>
    <x v="0"/>
    <x v="0"/>
    <x v="0"/>
    <x v="0"/>
    <x v="1"/>
    <s v="DK2_Large"/>
    <x v="1"/>
    <x v="58"/>
    <x v="0"/>
    <x v="9"/>
    <n v="178.125"/>
    <n v="65015.625000000102"/>
    <n v="234056.25"/>
  </r>
  <r>
    <x v="0"/>
    <x v="0"/>
    <x v="0"/>
    <x v="0"/>
    <x v="1"/>
    <s v="DK2_Large"/>
    <x v="1"/>
    <x v="58"/>
    <x v="0"/>
    <x v="10"/>
    <n v="178.125"/>
    <n v="65015.625000000102"/>
    <n v="234056.25"/>
  </r>
  <r>
    <x v="0"/>
    <x v="0"/>
    <x v="0"/>
    <x v="0"/>
    <x v="1"/>
    <s v="DK2_Large"/>
    <x v="1"/>
    <x v="58"/>
    <x v="0"/>
    <x v="11"/>
    <n v="178.125"/>
    <n v="65015.625000000102"/>
    <n v="234056.25"/>
  </r>
  <r>
    <x v="0"/>
    <x v="0"/>
    <x v="0"/>
    <x v="0"/>
    <x v="1"/>
    <s v="DK2_Large"/>
    <x v="1"/>
    <x v="58"/>
    <x v="0"/>
    <x v="12"/>
    <n v="178.125"/>
    <n v="65015.625000000102"/>
    <n v="234056.25"/>
  </r>
  <r>
    <x v="0"/>
    <x v="0"/>
    <x v="0"/>
    <x v="0"/>
    <x v="1"/>
    <s v="DK2_Large"/>
    <x v="1"/>
    <x v="58"/>
    <x v="0"/>
    <x v="13"/>
    <n v="178.125"/>
    <n v="65015.625000000102"/>
    <n v="234056.25"/>
  </r>
  <r>
    <x v="0"/>
    <x v="0"/>
    <x v="0"/>
    <x v="0"/>
    <x v="1"/>
    <s v="DK2_Large"/>
    <x v="1"/>
    <x v="58"/>
    <x v="0"/>
    <x v="14"/>
    <n v="178.125"/>
    <n v="65015.625000000102"/>
    <n v="234056.25"/>
  </r>
  <r>
    <x v="0"/>
    <x v="0"/>
    <x v="0"/>
    <x v="0"/>
    <x v="1"/>
    <s v="DK2_Large"/>
    <x v="1"/>
    <x v="58"/>
    <x v="0"/>
    <x v="15"/>
    <n v="178.125"/>
    <n v="65015.625000000102"/>
    <n v="234056.25"/>
  </r>
  <r>
    <x v="0"/>
    <x v="0"/>
    <x v="0"/>
    <x v="0"/>
    <x v="1"/>
    <s v="DK2_Large"/>
    <x v="1"/>
    <x v="58"/>
    <x v="0"/>
    <x v="16"/>
    <n v="178.125"/>
    <n v="65015.625000000102"/>
    <n v="234056.25"/>
  </r>
  <r>
    <x v="0"/>
    <x v="0"/>
    <x v="0"/>
    <x v="0"/>
    <x v="1"/>
    <s v="DK2_Large"/>
    <x v="1"/>
    <x v="58"/>
    <x v="0"/>
    <x v="17"/>
    <n v="178.125"/>
    <n v="65015.625000000102"/>
    <n v="234056.25"/>
  </r>
  <r>
    <x v="0"/>
    <x v="0"/>
    <x v="0"/>
    <x v="0"/>
    <x v="1"/>
    <s v="DK2_Large"/>
    <x v="1"/>
    <x v="58"/>
    <x v="0"/>
    <x v="18"/>
    <n v="178.125"/>
    <n v="65015.625000000102"/>
    <n v="234056.25"/>
  </r>
  <r>
    <x v="0"/>
    <x v="0"/>
    <x v="0"/>
    <x v="0"/>
    <x v="1"/>
    <s v="DK2_Large"/>
    <x v="1"/>
    <x v="58"/>
    <x v="0"/>
    <x v="19"/>
    <n v="178.125"/>
    <n v="65015.625000000102"/>
    <n v="234056.25"/>
  </r>
  <r>
    <x v="0"/>
    <x v="0"/>
    <x v="0"/>
    <x v="0"/>
    <x v="1"/>
    <s v="DK2_Large"/>
    <x v="1"/>
    <x v="58"/>
    <x v="0"/>
    <x v="20"/>
    <n v="178.125"/>
    <n v="65015.625000000102"/>
    <n v="234056.25"/>
  </r>
  <r>
    <x v="0"/>
    <x v="0"/>
    <x v="0"/>
    <x v="0"/>
    <x v="1"/>
    <s v="DK2_Large"/>
    <x v="1"/>
    <x v="58"/>
    <x v="0"/>
    <x v="21"/>
    <n v="178.125"/>
    <n v="65015.625000000102"/>
    <n v="234056.25"/>
  </r>
  <r>
    <x v="0"/>
    <x v="0"/>
    <x v="0"/>
    <x v="0"/>
    <x v="1"/>
    <s v="DK2_Large"/>
    <x v="1"/>
    <x v="58"/>
    <x v="0"/>
    <x v="22"/>
    <n v="178.125"/>
    <n v="65015.625000000102"/>
    <n v="234056.25"/>
  </r>
  <r>
    <x v="0"/>
    <x v="0"/>
    <x v="0"/>
    <x v="0"/>
    <x v="1"/>
    <s v="DK2_Large"/>
    <x v="1"/>
    <x v="58"/>
    <x v="0"/>
    <x v="23"/>
    <n v="178.125"/>
    <n v="65015.625000000102"/>
    <n v="234056.25"/>
  </r>
  <r>
    <x v="0"/>
    <x v="0"/>
    <x v="0"/>
    <x v="0"/>
    <x v="1"/>
    <s v="DK2_Large"/>
    <x v="1"/>
    <x v="23"/>
    <x v="0"/>
    <x v="3"/>
    <n v="195"/>
    <n v="71175.000000000102"/>
    <n v="256230"/>
  </r>
  <r>
    <x v="0"/>
    <x v="0"/>
    <x v="0"/>
    <x v="0"/>
    <x v="1"/>
    <s v="DK2_Large"/>
    <x v="1"/>
    <x v="23"/>
    <x v="0"/>
    <x v="4"/>
    <n v="195"/>
    <n v="71175.000000000102"/>
    <n v="256230"/>
  </r>
  <r>
    <x v="0"/>
    <x v="0"/>
    <x v="0"/>
    <x v="0"/>
    <x v="1"/>
    <s v="DK2_Large"/>
    <x v="1"/>
    <x v="23"/>
    <x v="0"/>
    <x v="5"/>
    <n v="195"/>
    <n v="71175.000000000102"/>
    <n v="256230"/>
  </r>
  <r>
    <x v="0"/>
    <x v="0"/>
    <x v="0"/>
    <x v="0"/>
    <x v="1"/>
    <s v="DK2_Large"/>
    <x v="1"/>
    <x v="23"/>
    <x v="0"/>
    <x v="6"/>
    <n v="195"/>
    <n v="71175.000000000102"/>
    <n v="256230"/>
  </r>
  <r>
    <x v="0"/>
    <x v="0"/>
    <x v="0"/>
    <x v="0"/>
    <x v="1"/>
    <s v="DK2_Large"/>
    <x v="1"/>
    <x v="23"/>
    <x v="0"/>
    <x v="7"/>
    <n v="195"/>
    <n v="71175.000000000102"/>
    <n v="256230"/>
  </r>
  <r>
    <x v="0"/>
    <x v="0"/>
    <x v="0"/>
    <x v="0"/>
    <x v="1"/>
    <s v="DK2_Large"/>
    <x v="1"/>
    <x v="23"/>
    <x v="0"/>
    <x v="8"/>
    <n v="195"/>
    <n v="71175.000000000102"/>
    <n v="256230"/>
  </r>
  <r>
    <x v="0"/>
    <x v="0"/>
    <x v="0"/>
    <x v="0"/>
    <x v="1"/>
    <s v="DK2_Large"/>
    <x v="1"/>
    <x v="23"/>
    <x v="0"/>
    <x v="0"/>
    <n v="195"/>
    <n v="71175.000000000102"/>
    <n v="256230"/>
  </r>
  <r>
    <x v="0"/>
    <x v="0"/>
    <x v="0"/>
    <x v="0"/>
    <x v="1"/>
    <s v="DK2_Large"/>
    <x v="1"/>
    <x v="23"/>
    <x v="0"/>
    <x v="1"/>
    <n v="195"/>
    <n v="71175.000000000102"/>
    <n v="256230"/>
  </r>
  <r>
    <x v="0"/>
    <x v="0"/>
    <x v="0"/>
    <x v="0"/>
    <x v="1"/>
    <s v="DK2_Large"/>
    <x v="1"/>
    <x v="23"/>
    <x v="0"/>
    <x v="2"/>
    <n v="195"/>
    <n v="71175.000000000102"/>
    <n v="256230"/>
  </r>
  <r>
    <x v="0"/>
    <x v="0"/>
    <x v="0"/>
    <x v="0"/>
    <x v="1"/>
    <s v="DK2_Large"/>
    <x v="1"/>
    <x v="23"/>
    <x v="0"/>
    <x v="9"/>
    <n v="195"/>
    <n v="71175.000000000102"/>
    <n v="256230"/>
  </r>
  <r>
    <x v="0"/>
    <x v="0"/>
    <x v="0"/>
    <x v="0"/>
    <x v="1"/>
    <s v="DK2_Large"/>
    <x v="1"/>
    <x v="23"/>
    <x v="0"/>
    <x v="10"/>
    <n v="195"/>
    <n v="71175.000000000102"/>
    <n v="256230"/>
  </r>
  <r>
    <x v="0"/>
    <x v="0"/>
    <x v="0"/>
    <x v="0"/>
    <x v="1"/>
    <s v="DK2_Large"/>
    <x v="1"/>
    <x v="23"/>
    <x v="0"/>
    <x v="11"/>
    <n v="195"/>
    <n v="71175.000000000102"/>
    <n v="256230"/>
  </r>
  <r>
    <x v="0"/>
    <x v="0"/>
    <x v="0"/>
    <x v="0"/>
    <x v="1"/>
    <s v="DK2_Large"/>
    <x v="1"/>
    <x v="23"/>
    <x v="0"/>
    <x v="12"/>
    <n v="195"/>
    <n v="71175.000000000102"/>
    <n v="256230"/>
  </r>
  <r>
    <x v="0"/>
    <x v="0"/>
    <x v="0"/>
    <x v="0"/>
    <x v="1"/>
    <s v="DK2_Large"/>
    <x v="1"/>
    <x v="23"/>
    <x v="0"/>
    <x v="13"/>
    <n v="195"/>
    <n v="71175.000000000102"/>
    <n v="256230"/>
  </r>
  <r>
    <x v="0"/>
    <x v="0"/>
    <x v="0"/>
    <x v="0"/>
    <x v="1"/>
    <s v="DK2_Large"/>
    <x v="1"/>
    <x v="23"/>
    <x v="0"/>
    <x v="14"/>
    <n v="195"/>
    <n v="71175.000000000102"/>
    <n v="256230"/>
  </r>
  <r>
    <x v="0"/>
    <x v="0"/>
    <x v="0"/>
    <x v="0"/>
    <x v="1"/>
    <s v="DK2_Large"/>
    <x v="1"/>
    <x v="23"/>
    <x v="0"/>
    <x v="15"/>
    <n v="195"/>
    <n v="71175.000000000102"/>
    <n v="256230"/>
  </r>
  <r>
    <x v="0"/>
    <x v="0"/>
    <x v="0"/>
    <x v="0"/>
    <x v="1"/>
    <s v="DK2_Large"/>
    <x v="1"/>
    <x v="23"/>
    <x v="0"/>
    <x v="16"/>
    <n v="195"/>
    <n v="71175.000000000102"/>
    <n v="256230"/>
  </r>
  <r>
    <x v="0"/>
    <x v="0"/>
    <x v="0"/>
    <x v="0"/>
    <x v="1"/>
    <s v="DK2_Large"/>
    <x v="1"/>
    <x v="23"/>
    <x v="0"/>
    <x v="17"/>
    <n v="195"/>
    <n v="71175.000000000102"/>
    <n v="256230"/>
  </r>
  <r>
    <x v="0"/>
    <x v="0"/>
    <x v="0"/>
    <x v="0"/>
    <x v="1"/>
    <s v="DK2_Large"/>
    <x v="1"/>
    <x v="23"/>
    <x v="0"/>
    <x v="18"/>
    <n v="195"/>
    <n v="71175.000000000102"/>
    <n v="256230"/>
  </r>
  <r>
    <x v="0"/>
    <x v="0"/>
    <x v="0"/>
    <x v="0"/>
    <x v="1"/>
    <s v="DK2_Large"/>
    <x v="1"/>
    <x v="23"/>
    <x v="0"/>
    <x v="19"/>
    <n v="195"/>
    <n v="71175.000000000102"/>
    <n v="256230"/>
  </r>
  <r>
    <x v="0"/>
    <x v="0"/>
    <x v="0"/>
    <x v="0"/>
    <x v="1"/>
    <s v="DK2_Large"/>
    <x v="1"/>
    <x v="23"/>
    <x v="0"/>
    <x v="20"/>
    <n v="195"/>
    <n v="71175.000000000102"/>
    <n v="256230"/>
  </r>
  <r>
    <x v="0"/>
    <x v="0"/>
    <x v="0"/>
    <x v="0"/>
    <x v="1"/>
    <s v="DK2_Large"/>
    <x v="1"/>
    <x v="23"/>
    <x v="0"/>
    <x v="21"/>
    <n v="195"/>
    <n v="71175.000000000102"/>
    <n v="256230"/>
  </r>
  <r>
    <x v="0"/>
    <x v="0"/>
    <x v="0"/>
    <x v="0"/>
    <x v="1"/>
    <s v="DK2_Large"/>
    <x v="1"/>
    <x v="23"/>
    <x v="0"/>
    <x v="22"/>
    <n v="195"/>
    <n v="71175.000000000102"/>
    <n v="256230"/>
  </r>
  <r>
    <x v="0"/>
    <x v="0"/>
    <x v="0"/>
    <x v="0"/>
    <x v="1"/>
    <s v="DK2_Large"/>
    <x v="1"/>
    <x v="23"/>
    <x v="0"/>
    <x v="23"/>
    <n v="195"/>
    <n v="71175.000000000102"/>
    <n v="256230"/>
  </r>
  <r>
    <x v="0"/>
    <x v="0"/>
    <x v="0"/>
    <x v="0"/>
    <x v="1"/>
    <s v="DK2_Large"/>
    <x v="1"/>
    <x v="24"/>
    <x v="0"/>
    <x v="3"/>
    <n v="65.238095238095298"/>
    <n v="23811.9047619048"/>
    <n v="85722.857142857305"/>
  </r>
  <r>
    <x v="0"/>
    <x v="0"/>
    <x v="0"/>
    <x v="0"/>
    <x v="1"/>
    <s v="DK2_Large"/>
    <x v="1"/>
    <x v="24"/>
    <x v="0"/>
    <x v="4"/>
    <n v="65.238095238095298"/>
    <n v="23811.9047619048"/>
    <n v="85722.857142857305"/>
  </r>
  <r>
    <x v="0"/>
    <x v="0"/>
    <x v="0"/>
    <x v="0"/>
    <x v="1"/>
    <s v="DK2_Large"/>
    <x v="1"/>
    <x v="24"/>
    <x v="0"/>
    <x v="5"/>
    <n v="65.238095238095298"/>
    <n v="23811.9047619048"/>
    <n v="85722.857142857305"/>
  </r>
  <r>
    <x v="0"/>
    <x v="0"/>
    <x v="0"/>
    <x v="0"/>
    <x v="1"/>
    <s v="DK2_Large"/>
    <x v="1"/>
    <x v="24"/>
    <x v="0"/>
    <x v="6"/>
    <n v="65.238095238095298"/>
    <n v="23811.9047619048"/>
    <n v="85722.857142857305"/>
  </r>
  <r>
    <x v="0"/>
    <x v="0"/>
    <x v="0"/>
    <x v="0"/>
    <x v="1"/>
    <s v="DK2_Large"/>
    <x v="1"/>
    <x v="24"/>
    <x v="0"/>
    <x v="7"/>
    <n v="65.238095238095298"/>
    <n v="23811.9047619048"/>
    <n v="85722.857142857305"/>
  </r>
  <r>
    <x v="0"/>
    <x v="0"/>
    <x v="0"/>
    <x v="0"/>
    <x v="1"/>
    <s v="DK2_Large"/>
    <x v="1"/>
    <x v="24"/>
    <x v="0"/>
    <x v="8"/>
    <n v="65.238095238095298"/>
    <n v="23811.9047619048"/>
    <n v="85722.857142857305"/>
  </r>
  <r>
    <x v="0"/>
    <x v="0"/>
    <x v="0"/>
    <x v="0"/>
    <x v="1"/>
    <s v="DK2_Large"/>
    <x v="1"/>
    <x v="24"/>
    <x v="0"/>
    <x v="0"/>
    <n v="65.238095238095298"/>
    <n v="23811.9047619048"/>
    <n v="85722.857142857305"/>
  </r>
  <r>
    <x v="0"/>
    <x v="0"/>
    <x v="0"/>
    <x v="0"/>
    <x v="1"/>
    <s v="DK2_Large"/>
    <x v="1"/>
    <x v="24"/>
    <x v="0"/>
    <x v="1"/>
    <n v="65.238095238095298"/>
    <n v="23811.9047619048"/>
    <n v="85722.857142857305"/>
  </r>
  <r>
    <x v="0"/>
    <x v="0"/>
    <x v="0"/>
    <x v="0"/>
    <x v="1"/>
    <s v="DK2_Large"/>
    <x v="1"/>
    <x v="24"/>
    <x v="0"/>
    <x v="2"/>
    <n v="65.238095238095298"/>
    <n v="23811.9047619048"/>
    <n v="85722.857142857305"/>
  </r>
  <r>
    <x v="0"/>
    <x v="0"/>
    <x v="0"/>
    <x v="0"/>
    <x v="1"/>
    <s v="DK2_Large"/>
    <x v="1"/>
    <x v="24"/>
    <x v="0"/>
    <x v="9"/>
    <n v="65.238095238095298"/>
    <n v="23811.9047619048"/>
    <n v="85722.857142857305"/>
  </r>
  <r>
    <x v="0"/>
    <x v="0"/>
    <x v="0"/>
    <x v="0"/>
    <x v="1"/>
    <s v="DK2_Large"/>
    <x v="1"/>
    <x v="24"/>
    <x v="0"/>
    <x v="10"/>
    <n v="65.238095238095298"/>
    <n v="23811.9047619048"/>
    <n v="85722.857142857305"/>
  </r>
  <r>
    <x v="0"/>
    <x v="0"/>
    <x v="0"/>
    <x v="0"/>
    <x v="1"/>
    <s v="DK2_Large"/>
    <x v="1"/>
    <x v="24"/>
    <x v="0"/>
    <x v="11"/>
    <n v="65.238095238095298"/>
    <n v="23811.9047619048"/>
    <n v="85722.857142857305"/>
  </r>
  <r>
    <x v="0"/>
    <x v="0"/>
    <x v="0"/>
    <x v="0"/>
    <x v="1"/>
    <s v="DK2_Large"/>
    <x v="1"/>
    <x v="24"/>
    <x v="0"/>
    <x v="12"/>
    <n v="65.238095238095298"/>
    <n v="23811.9047619048"/>
    <n v="85722.857142857305"/>
  </r>
  <r>
    <x v="0"/>
    <x v="0"/>
    <x v="0"/>
    <x v="0"/>
    <x v="1"/>
    <s v="DK2_Large"/>
    <x v="1"/>
    <x v="24"/>
    <x v="0"/>
    <x v="13"/>
    <n v="65.238095238095298"/>
    <n v="23811.9047619048"/>
    <n v="85722.857142857305"/>
  </r>
  <r>
    <x v="0"/>
    <x v="0"/>
    <x v="0"/>
    <x v="0"/>
    <x v="1"/>
    <s v="DK2_Large"/>
    <x v="1"/>
    <x v="24"/>
    <x v="0"/>
    <x v="14"/>
    <n v="65.238095238095298"/>
    <n v="23811.9047619048"/>
    <n v="85722.857142857305"/>
  </r>
  <r>
    <x v="0"/>
    <x v="0"/>
    <x v="0"/>
    <x v="0"/>
    <x v="1"/>
    <s v="DK2_Large"/>
    <x v="1"/>
    <x v="24"/>
    <x v="0"/>
    <x v="15"/>
    <n v="65.238095238095298"/>
    <n v="23811.9047619048"/>
    <n v="85722.857142857305"/>
  </r>
  <r>
    <x v="0"/>
    <x v="0"/>
    <x v="0"/>
    <x v="0"/>
    <x v="1"/>
    <s v="DK2_Large"/>
    <x v="1"/>
    <x v="24"/>
    <x v="0"/>
    <x v="16"/>
    <n v="65.238095238095298"/>
    <n v="23811.9047619048"/>
    <n v="85722.857142857305"/>
  </r>
  <r>
    <x v="0"/>
    <x v="0"/>
    <x v="0"/>
    <x v="0"/>
    <x v="1"/>
    <s v="DK2_Large"/>
    <x v="1"/>
    <x v="24"/>
    <x v="0"/>
    <x v="17"/>
    <n v="65.238095238095298"/>
    <n v="23811.9047619048"/>
    <n v="85722.857142857305"/>
  </r>
  <r>
    <x v="0"/>
    <x v="0"/>
    <x v="0"/>
    <x v="0"/>
    <x v="1"/>
    <s v="DK2_Large"/>
    <x v="1"/>
    <x v="24"/>
    <x v="0"/>
    <x v="18"/>
    <n v="65.238095238095298"/>
    <n v="23811.9047619048"/>
    <n v="85722.857142857305"/>
  </r>
  <r>
    <x v="0"/>
    <x v="0"/>
    <x v="0"/>
    <x v="0"/>
    <x v="1"/>
    <s v="DK2_Large"/>
    <x v="1"/>
    <x v="24"/>
    <x v="0"/>
    <x v="19"/>
    <n v="65.238095238095298"/>
    <n v="23811.9047619048"/>
    <n v="85722.857142857305"/>
  </r>
  <r>
    <x v="0"/>
    <x v="0"/>
    <x v="0"/>
    <x v="0"/>
    <x v="1"/>
    <s v="DK2_Large"/>
    <x v="1"/>
    <x v="24"/>
    <x v="0"/>
    <x v="20"/>
    <n v="65.238095238095298"/>
    <n v="23811.9047619048"/>
    <n v="85722.857142857305"/>
  </r>
  <r>
    <x v="0"/>
    <x v="0"/>
    <x v="0"/>
    <x v="0"/>
    <x v="1"/>
    <s v="DK2_Large"/>
    <x v="1"/>
    <x v="24"/>
    <x v="0"/>
    <x v="21"/>
    <n v="65.238095238095298"/>
    <n v="23811.9047619048"/>
    <n v="85722.857142857305"/>
  </r>
  <r>
    <x v="0"/>
    <x v="0"/>
    <x v="0"/>
    <x v="0"/>
    <x v="1"/>
    <s v="DK2_Large"/>
    <x v="1"/>
    <x v="24"/>
    <x v="0"/>
    <x v="22"/>
    <n v="65.238095238095298"/>
    <n v="23811.9047619048"/>
    <n v="85722.857142857305"/>
  </r>
  <r>
    <x v="0"/>
    <x v="0"/>
    <x v="0"/>
    <x v="0"/>
    <x v="1"/>
    <s v="DK2_Large"/>
    <x v="1"/>
    <x v="24"/>
    <x v="0"/>
    <x v="23"/>
    <n v="65.238095238095298"/>
    <n v="23811.9047619048"/>
    <n v="85722.857142857305"/>
  </r>
  <r>
    <x v="0"/>
    <x v="0"/>
    <x v="0"/>
    <x v="0"/>
    <x v="1"/>
    <s v="DK2_Large"/>
    <x v="1"/>
    <x v="6"/>
    <x v="0"/>
    <x v="3"/>
    <n v="71.851851851852004"/>
    <n v="26225.925925926"/>
    <n v="94413.333333333503"/>
  </r>
  <r>
    <x v="0"/>
    <x v="0"/>
    <x v="0"/>
    <x v="0"/>
    <x v="1"/>
    <s v="DK2_Large"/>
    <x v="1"/>
    <x v="6"/>
    <x v="0"/>
    <x v="4"/>
    <n v="71.851851851852004"/>
    <n v="26225.925925926"/>
    <n v="94413.333333333503"/>
  </r>
  <r>
    <x v="0"/>
    <x v="0"/>
    <x v="0"/>
    <x v="0"/>
    <x v="1"/>
    <s v="DK2_Large"/>
    <x v="1"/>
    <x v="6"/>
    <x v="0"/>
    <x v="5"/>
    <n v="71.851851851852004"/>
    <n v="26225.925925926"/>
    <n v="94413.333333333503"/>
  </r>
  <r>
    <x v="0"/>
    <x v="0"/>
    <x v="0"/>
    <x v="0"/>
    <x v="1"/>
    <s v="DK2_Large"/>
    <x v="1"/>
    <x v="6"/>
    <x v="0"/>
    <x v="6"/>
    <n v="71.851851851852004"/>
    <n v="26225.925925926"/>
    <n v="94413.333333333503"/>
  </r>
  <r>
    <x v="0"/>
    <x v="0"/>
    <x v="0"/>
    <x v="0"/>
    <x v="1"/>
    <s v="DK2_Large"/>
    <x v="1"/>
    <x v="6"/>
    <x v="0"/>
    <x v="7"/>
    <n v="71.851851851852004"/>
    <n v="26225.925925926"/>
    <n v="94413.333333333503"/>
  </r>
  <r>
    <x v="0"/>
    <x v="0"/>
    <x v="0"/>
    <x v="0"/>
    <x v="1"/>
    <s v="DK2_Large"/>
    <x v="1"/>
    <x v="6"/>
    <x v="0"/>
    <x v="8"/>
    <n v="71.851851851852004"/>
    <n v="26225.925925926"/>
    <n v="94413.333333333503"/>
  </r>
  <r>
    <x v="0"/>
    <x v="0"/>
    <x v="0"/>
    <x v="0"/>
    <x v="1"/>
    <s v="DK2_Large"/>
    <x v="1"/>
    <x v="6"/>
    <x v="0"/>
    <x v="0"/>
    <n v="71.851851851852004"/>
    <n v="26225.925925926"/>
    <n v="94413.333333333503"/>
  </r>
  <r>
    <x v="0"/>
    <x v="0"/>
    <x v="0"/>
    <x v="0"/>
    <x v="1"/>
    <s v="DK2_Large"/>
    <x v="1"/>
    <x v="6"/>
    <x v="0"/>
    <x v="1"/>
    <n v="71.851851851852004"/>
    <n v="26225.925925926"/>
    <n v="94413.333333333503"/>
  </r>
  <r>
    <x v="0"/>
    <x v="0"/>
    <x v="0"/>
    <x v="0"/>
    <x v="1"/>
    <s v="DK2_Large"/>
    <x v="1"/>
    <x v="6"/>
    <x v="0"/>
    <x v="2"/>
    <n v="71.851851851852004"/>
    <n v="26225.925925926"/>
    <n v="94413.333333333503"/>
  </r>
  <r>
    <x v="0"/>
    <x v="0"/>
    <x v="0"/>
    <x v="0"/>
    <x v="1"/>
    <s v="DK2_Large"/>
    <x v="1"/>
    <x v="6"/>
    <x v="0"/>
    <x v="9"/>
    <n v="71.851851851852004"/>
    <n v="26225.925925926"/>
    <n v="94413.333333333503"/>
  </r>
  <r>
    <x v="0"/>
    <x v="0"/>
    <x v="0"/>
    <x v="0"/>
    <x v="1"/>
    <s v="DK2_Large"/>
    <x v="1"/>
    <x v="6"/>
    <x v="0"/>
    <x v="10"/>
    <n v="71.851851851852004"/>
    <n v="26225.925925926"/>
    <n v="94413.333333333503"/>
  </r>
  <r>
    <x v="0"/>
    <x v="0"/>
    <x v="0"/>
    <x v="0"/>
    <x v="1"/>
    <s v="DK2_Large"/>
    <x v="1"/>
    <x v="6"/>
    <x v="0"/>
    <x v="11"/>
    <n v="71.851851851852004"/>
    <n v="26225.925925926"/>
    <n v="94413.333333333503"/>
  </r>
  <r>
    <x v="0"/>
    <x v="0"/>
    <x v="0"/>
    <x v="0"/>
    <x v="1"/>
    <s v="DK2_Large"/>
    <x v="1"/>
    <x v="6"/>
    <x v="0"/>
    <x v="12"/>
    <n v="71.851851851852004"/>
    <n v="26225.925925926"/>
    <n v="94413.333333333503"/>
  </r>
  <r>
    <x v="0"/>
    <x v="0"/>
    <x v="0"/>
    <x v="0"/>
    <x v="1"/>
    <s v="DK2_Large"/>
    <x v="1"/>
    <x v="6"/>
    <x v="0"/>
    <x v="13"/>
    <n v="71.851851851852004"/>
    <n v="26225.925925926"/>
    <n v="94413.333333333503"/>
  </r>
  <r>
    <x v="0"/>
    <x v="0"/>
    <x v="0"/>
    <x v="0"/>
    <x v="1"/>
    <s v="DK2_Large"/>
    <x v="1"/>
    <x v="6"/>
    <x v="0"/>
    <x v="14"/>
    <n v="71.851851851852004"/>
    <n v="26225.925925926"/>
    <n v="94413.333333333503"/>
  </r>
  <r>
    <x v="0"/>
    <x v="0"/>
    <x v="0"/>
    <x v="0"/>
    <x v="1"/>
    <s v="DK2_Large"/>
    <x v="1"/>
    <x v="6"/>
    <x v="0"/>
    <x v="15"/>
    <n v="71.851851851852004"/>
    <n v="26225.925925926"/>
    <n v="94413.333333333503"/>
  </r>
  <r>
    <x v="0"/>
    <x v="0"/>
    <x v="0"/>
    <x v="0"/>
    <x v="1"/>
    <s v="DK2_Large"/>
    <x v="1"/>
    <x v="6"/>
    <x v="0"/>
    <x v="16"/>
    <n v="71.851851851852004"/>
    <n v="26225.925925926"/>
    <n v="94413.333333333503"/>
  </r>
  <r>
    <x v="0"/>
    <x v="0"/>
    <x v="0"/>
    <x v="0"/>
    <x v="1"/>
    <s v="DK2_Large"/>
    <x v="1"/>
    <x v="6"/>
    <x v="0"/>
    <x v="17"/>
    <n v="71.851851851852004"/>
    <n v="26225.925925926"/>
    <n v="94413.333333333503"/>
  </r>
  <r>
    <x v="0"/>
    <x v="0"/>
    <x v="0"/>
    <x v="0"/>
    <x v="1"/>
    <s v="DK2_Large"/>
    <x v="1"/>
    <x v="6"/>
    <x v="0"/>
    <x v="18"/>
    <n v="71.851851851852004"/>
    <n v="26225.925925926"/>
    <n v="94413.333333333503"/>
  </r>
  <r>
    <x v="0"/>
    <x v="0"/>
    <x v="0"/>
    <x v="0"/>
    <x v="1"/>
    <s v="DK2_Large"/>
    <x v="1"/>
    <x v="6"/>
    <x v="0"/>
    <x v="19"/>
    <n v="71.851851851852004"/>
    <n v="26225.925925926"/>
    <n v="94413.333333333503"/>
  </r>
  <r>
    <x v="0"/>
    <x v="0"/>
    <x v="0"/>
    <x v="0"/>
    <x v="1"/>
    <s v="DK2_Large"/>
    <x v="1"/>
    <x v="6"/>
    <x v="0"/>
    <x v="20"/>
    <n v="71.851851851852004"/>
    <n v="26225.925925926"/>
    <n v="94413.333333333503"/>
  </r>
  <r>
    <x v="0"/>
    <x v="0"/>
    <x v="0"/>
    <x v="0"/>
    <x v="1"/>
    <s v="DK2_Large"/>
    <x v="1"/>
    <x v="6"/>
    <x v="0"/>
    <x v="21"/>
    <n v="71.851851851852004"/>
    <n v="26225.925925926"/>
    <n v="94413.333333333503"/>
  </r>
  <r>
    <x v="0"/>
    <x v="0"/>
    <x v="0"/>
    <x v="0"/>
    <x v="1"/>
    <s v="DK2_Large"/>
    <x v="1"/>
    <x v="6"/>
    <x v="0"/>
    <x v="22"/>
    <n v="71.851851851852004"/>
    <n v="26225.925925926"/>
    <n v="94413.333333333503"/>
  </r>
  <r>
    <x v="0"/>
    <x v="0"/>
    <x v="0"/>
    <x v="0"/>
    <x v="1"/>
    <s v="DK2_Large"/>
    <x v="1"/>
    <x v="6"/>
    <x v="0"/>
    <x v="23"/>
    <n v="71.851851851852004"/>
    <n v="26225.925925926"/>
    <n v="94413.333333333503"/>
  </r>
  <r>
    <x v="0"/>
    <x v="0"/>
    <x v="0"/>
    <x v="0"/>
    <x v="1"/>
    <s v="DK2_Large"/>
    <x v="2"/>
    <x v="7"/>
    <x v="0"/>
    <x v="3"/>
    <n v="2.8823529411764701"/>
    <n v="1052.0588235294099"/>
    <n v="3787.4117647058802"/>
  </r>
  <r>
    <x v="0"/>
    <x v="0"/>
    <x v="0"/>
    <x v="0"/>
    <x v="1"/>
    <s v="DK2_Large"/>
    <x v="2"/>
    <x v="7"/>
    <x v="0"/>
    <x v="4"/>
    <n v="2.8823529411764701"/>
    <n v="1052.0588235294099"/>
    <n v="3787.4117647058802"/>
  </r>
  <r>
    <x v="0"/>
    <x v="0"/>
    <x v="0"/>
    <x v="0"/>
    <x v="1"/>
    <s v="DK2_Large"/>
    <x v="2"/>
    <x v="7"/>
    <x v="0"/>
    <x v="5"/>
    <n v="2.8823529411764701"/>
    <n v="1052.0588235294099"/>
    <n v="3787.4117647058802"/>
  </r>
  <r>
    <x v="0"/>
    <x v="0"/>
    <x v="0"/>
    <x v="0"/>
    <x v="1"/>
    <s v="DK2_Large"/>
    <x v="2"/>
    <x v="7"/>
    <x v="0"/>
    <x v="6"/>
    <n v="2.8823529411764701"/>
    <n v="1052.0588235294099"/>
    <n v="3787.4117647058802"/>
  </r>
  <r>
    <x v="0"/>
    <x v="0"/>
    <x v="0"/>
    <x v="0"/>
    <x v="1"/>
    <s v="DK2_Large"/>
    <x v="2"/>
    <x v="7"/>
    <x v="0"/>
    <x v="7"/>
    <n v="2.8823529411764701"/>
    <n v="1052.0588235294099"/>
    <n v="3787.4117647058802"/>
  </r>
  <r>
    <x v="0"/>
    <x v="0"/>
    <x v="0"/>
    <x v="0"/>
    <x v="1"/>
    <s v="DK2_Large"/>
    <x v="2"/>
    <x v="7"/>
    <x v="0"/>
    <x v="8"/>
    <n v="2.8823529411764701"/>
    <n v="1052.0588235294099"/>
    <n v="3787.4117647058802"/>
  </r>
  <r>
    <x v="0"/>
    <x v="0"/>
    <x v="0"/>
    <x v="0"/>
    <x v="1"/>
    <s v="DK2_Large"/>
    <x v="2"/>
    <x v="7"/>
    <x v="0"/>
    <x v="0"/>
    <n v="2.8823529411764701"/>
    <n v="1052.0588235294099"/>
    <n v="3787.4117647058802"/>
  </r>
  <r>
    <x v="0"/>
    <x v="0"/>
    <x v="0"/>
    <x v="0"/>
    <x v="1"/>
    <s v="DK2_Large"/>
    <x v="2"/>
    <x v="7"/>
    <x v="0"/>
    <x v="1"/>
    <n v="2.8823529411764701"/>
    <n v="1052.0588235294099"/>
    <n v="3787.4117647058802"/>
  </r>
  <r>
    <x v="0"/>
    <x v="0"/>
    <x v="0"/>
    <x v="0"/>
    <x v="1"/>
    <s v="DK2_Large"/>
    <x v="2"/>
    <x v="7"/>
    <x v="0"/>
    <x v="2"/>
    <n v="2.8823529411764701"/>
    <n v="1052.0588235294099"/>
    <n v="3787.4117647058802"/>
  </r>
  <r>
    <x v="0"/>
    <x v="0"/>
    <x v="0"/>
    <x v="0"/>
    <x v="1"/>
    <s v="DK2_Large"/>
    <x v="2"/>
    <x v="7"/>
    <x v="0"/>
    <x v="9"/>
    <n v="2.8823529411764701"/>
    <n v="1052.0588235294099"/>
    <n v="3787.4117647058802"/>
  </r>
  <r>
    <x v="0"/>
    <x v="0"/>
    <x v="0"/>
    <x v="0"/>
    <x v="1"/>
    <s v="DK2_Large"/>
    <x v="2"/>
    <x v="7"/>
    <x v="0"/>
    <x v="10"/>
    <n v="2.8823529411764701"/>
    <n v="1052.0588235294099"/>
    <n v="3787.4117647058802"/>
  </r>
  <r>
    <x v="0"/>
    <x v="0"/>
    <x v="0"/>
    <x v="0"/>
    <x v="1"/>
    <s v="DK2_Large"/>
    <x v="2"/>
    <x v="7"/>
    <x v="0"/>
    <x v="11"/>
    <n v="2.8823529411764701"/>
    <n v="1052.0588235294099"/>
    <n v="3787.4117647058802"/>
  </r>
  <r>
    <x v="0"/>
    <x v="0"/>
    <x v="0"/>
    <x v="0"/>
    <x v="1"/>
    <s v="DK2_Large"/>
    <x v="2"/>
    <x v="7"/>
    <x v="0"/>
    <x v="12"/>
    <n v="2.8823529411764701"/>
    <n v="1052.0588235294099"/>
    <n v="3787.4117647058802"/>
  </r>
  <r>
    <x v="0"/>
    <x v="0"/>
    <x v="0"/>
    <x v="0"/>
    <x v="1"/>
    <s v="DK2_Large"/>
    <x v="2"/>
    <x v="7"/>
    <x v="0"/>
    <x v="13"/>
    <n v="2.8823529411764701"/>
    <n v="1052.0588235294099"/>
    <n v="3787.4117647058802"/>
  </r>
  <r>
    <x v="0"/>
    <x v="0"/>
    <x v="0"/>
    <x v="0"/>
    <x v="1"/>
    <s v="DK2_Large"/>
    <x v="2"/>
    <x v="7"/>
    <x v="0"/>
    <x v="14"/>
    <n v="2.8823529411764701"/>
    <n v="1052.0588235294099"/>
    <n v="3787.4117647058802"/>
  </r>
  <r>
    <x v="0"/>
    <x v="0"/>
    <x v="0"/>
    <x v="0"/>
    <x v="1"/>
    <s v="DK2_Large"/>
    <x v="2"/>
    <x v="7"/>
    <x v="0"/>
    <x v="15"/>
    <n v="2.8823529411764701"/>
    <n v="1052.0588235294099"/>
    <n v="3787.4117647058802"/>
  </r>
  <r>
    <x v="0"/>
    <x v="0"/>
    <x v="0"/>
    <x v="0"/>
    <x v="1"/>
    <s v="DK2_Large"/>
    <x v="2"/>
    <x v="7"/>
    <x v="0"/>
    <x v="16"/>
    <n v="2.8823529411764701"/>
    <n v="1052.0588235294099"/>
    <n v="3787.4117647058802"/>
  </r>
  <r>
    <x v="0"/>
    <x v="0"/>
    <x v="0"/>
    <x v="0"/>
    <x v="1"/>
    <s v="DK2_Large"/>
    <x v="2"/>
    <x v="7"/>
    <x v="0"/>
    <x v="17"/>
    <n v="2.8823529411764701"/>
    <n v="1052.0588235294099"/>
    <n v="3787.4117647058802"/>
  </r>
  <r>
    <x v="0"/>
    <x v="0"/>
    <x v="0"/>
    <x v="0"/>
    <x v="1"/>
    <s v="DK2_Large"/>
    <x v="2"/>
    <x v="7"/>
    <x v="0"/>
    <x v="18"/>
    <n v="2.8823529411764701"/>
    <n v="1052.0588235294099"/>
    <n v="3787.4117647058802"/>
  </r>
  <r>
    <x v="0"/>
    <x v="0"/>
    <x v="0"/>
    <x v="0"/>
    <x v="1"/>
    <s v="DK2_Large"/>
    <x v="2"/>
    <x v="7"/>
    <x v="0"/>
    <x v="19"/>
    <n v="2.8823529411764701"/>
    <n v="1052.0588235294099"/>
    <n v="3787.4117647058802"/>
  </r>
  <r>
    <x v="0"/>
    <x v="0"/>
    <x v="0"/>
    <x v="0"/>
    <x v="1"/>
    <s v="DK2_Large"/>
    <x v="2"/>
    <x v="7"/>
    <x v="0"/>
    <x v="20"/>
    <n v="2.8823529411764701"/>
    <n v="1052.0588235294099"/>
    <n v="3787.4117647058802"/>
  </r>
  <r>
    <x v="0"/>
    <x v="0"/>
    <x v="0"/>
    <x v="0"/>
    <x v="1"/>
    <s v="DK2_Large"/>
    <x v="2"/>
    <x v="7"/>
    <x v="0"/>
    <x v="21"/>
    <n v="2.8823529411764701"/>
    <n v="1052.0588235294099"/>
    <n v="3787.4117647058802"/>
  </r>
  <r>
    <x v="0"/>
    <x v="0"/>
    <x v="0"/>
    <x v="0"/>
    <x v="1"/>
    <s v="DK2_Large"/>
    <x v="2"/>
    <x v="7"/>
    <x v="0"/>
    <x v="22"/>
    <n v="2.8823529411764701"/>
    <n v="1052.0588235294099"/>
    <n v="3787.4117647058802"/>
  </r>
  <r>
    <x v="0"/>
    <x v="0"/>
    <x v="0"/>
    <x v="0"/>
    <x v="1"/>
    <s v="DK2_Large"/>
    <x v="2"/>
    <x v="7"/>
    <x v="0"/>
    <x v="23"/>
    <n v="2.8823529411764701"/>
    <n v="1052.0588235294099"/>
    <n v="3787.4117647058802"/>
  </r>
  <r>
    <x v="0"/>
    <x v="0"/>
    <x v="0"/>
    <x v="0"/>
    <x v="1"/>
    <s v="DK2_Large"/>
    <x v="2"/>
    <x v="33"/>
    <x v="0"/>
    <x v="3"/>
    <n v="7.7777777777777803"/>
    <n v="2838.8888888888901"/>
    <n v="10220"/>
  </r>
  <r>
    <x v="0"/>
    <x v="0"/>
    <x v="0"/>
    <x v="0"/>
    <x v="1"/>
    <s v="DK2_Large"/>
    <x v="2"/>
    <x v="33"/>
    <x v="0"/>
    <x v="4"/>
    <n v="7.7777777777777803"/>
    <n v="2838.8888888888901"/>
    <n v="10220"/>
  </r>
  <r>
    <x v="0"/>
    <x v="0"/>
    <x v="0"/>
    <x v="0"/>
    <x v="1"/>
    <s v="DK2_Large"/>
    <x v="2"/>
    <x v="33"/>
    <x v="0"/>
    <x v="5"/>
    <n v="7.7777777777777803"/>
    <n v="2838.8888888888901"/>
    <n v="10220"/>
  </r>
  <r>
    <x v="0"/>
    <x v="0"/>
    <x v="0"/>
    <x v="0"/>
    <x v="1"/>
    <s v="DK2_Large"/>
    <x v="2"/>
    <x v="33"/>
    <x v="0"/>
    <x v="6"/>
    <n v="7.7777777777777803"/>
    <n v="2838.8888888888901"/>
    <n v="10220"/>
  </r>
  <r>
    <x v="0"/>
    <x v="0"/>
    <x v="0"/>
    <x v="0"/>
    <x v="1"/>
    <s v="DK2_Large"/>
    <x v="2"/>
    <x v="33"/>
    <x v="0"/>
    <x v="7"/>
    <n v="7.7777777777777803"/>
    <n v="2838.8888888888901"/>
    <n v="10220"/>
  </r>
  <r>
    <x v="0"/>
    <x v="0"/>
    <x v="0"/>
    <x v="0"/>
    <x v="1"/>
    <s v="DK2_Large"/>
    <x v="2"/>
    <x v="33"/>
    <x v="0"/>
    <x v="8"/>
    <n v="7.7777777777777803"/>
    <n v="2838.8888888888901"/>
    <n v="10220"/>
  </r>
  <r>
    <x v="0"/>
    <x v="0"/>
    <x v="0"/>
    <x v="0"/>
    <x v="1"/>
    <s v="DK2_Large"/>
    <x v="2"/>
    <x v="33"/>
    <x v="0"/>
    <x v="0"/>
    <n v="7.7777777777777803"/>
    <n v="2838.8888888888901"/>
    <n v="10220"/>
  </r>
  <r>
    <x v="0"/>
    <x v="0"/>
    <x v="0"/>
    <x v="0"/>
    <x v="1"/>
    <s v="DK2_Large"/>
    <x v="2"/>
    <x v="33"/>
    <x v="0"/>
    <x v="1"/>
    <n v="7.7777777777777803"/>
    <n v="2838.8888888888901"/>
    <n v="10220"/>
  </r>
  <r>
    <x v="0"/>
    <x v="0"/>
    <x v="0"/>
    <x v="0"/>
    <x v="1"/>
    <s v="DK2_Large"/>
    <x v="2"/>
    <x v="33"/>
    <x v="0"/>
    <x v="2"/>
    <n v="7.7777777777777803"/>
    <n v="2838.8888888888901"/>
    <n v="10220"/>
  </r>
  <r>
    <x v="0"/>
    <x v="0"/>
    <x v="0"/>
    <x v="0"/>
    <x v="1"/>
    <s v="DK2_Large"/>
    <x v="2"/>
    <x v="33"/>
    <x v="0"/>
    <x v="9"/>
    <n v="7.7777777777777803"/>
    <n v="2838.8888888888901"/>
    <n v="10220"/>
  </r>
  <r>
    <x v="0"/>
    <x v="0"/>
    <x v="0"/>
    <x v="0"/>
    <x v="1"/>
    <s v="DK2_Large"/>
    <x v="2"/>
    <x v="33"/>
    <x v="0"/>
    <x v="10"/>
    <n v="7.7777777777777803"/>
    <n v="2838.8888888888901"/>
    <n v="10220"/>
  </r>
  <r>
    <x v="0"/>
    <x v="0"/>
    <x v="0"/>
    <x v="0"/>
    <x v="1"/>
    <s v="DK2_Large"/>
    <x v="2"/>
    <x v="33"/>
    <x v="0"/>
    <x v="11"/>
    <n v="7.7777777777777803"/>
    <n v="2838.8888888888901"/>
    <n v="10220"/>
  </r>
  <r>
    <x v="0"/>
    <x v="0"/>
    <x v="0"/>
    <x v="0"/>
    <x v="1"/>
    <s v="DK2_Large"/>
    <x v="2"/>
    <x v="33"/>
    <x v="0"/>
    <x v="12"/>
    <n v="7.7777777777777803"/>
    <n v="2838.8888888888901"/>
    <n v="10220"/>
  </r>
  <r>
    <x v="0"/>
    <x v="0"/>
    <x v="0"/>
    <x v="0"/>
    <x v="1"/>
    <s v="DK2_Large"/>
    <x v="2"/>
    <x v="33"/>
    <x v="0"/>
    <x v="13"/>
    <n v="7.7777777777777803"/>
    <n v="2838.8888888888901"/>
    <n v="10220"/>
  </r>
  <r>
    <x v="0"/>
    <x v="0"/>
    <x v="0"/>
    <x v="0"/>
    <x v="1"/>
    <s v="DK2_Large"/>
    <x v="2"/>
    <x v="33"/>
    <x v="0"/>
    <x v="14"/>
    <n v="7.7777777777777803"/>
    <n v="2838.8888888888901"/>
    <n v="10220"/>
  </r>
  <r>
    <x v="0"/>
    <x v="0"/>
    <x v="0"/>
    <x v="0"/>
    <x v="1"/>
    <s v="DK2_Large"/>
    <x v="2"/>
    <x v="33"/>
    <x v="0"/>
    <x v="15"/>
    <n v="7.7777777777777803"/>
    <n v="2838.8888888888901"/>
    <n v="10220"/>
  </r>
  <r>
    <x v="0"/>
    <x v="0"/>
    <x v="0"/>
    <x v="0"/>
    <x v="1"/>
    <s v="DK2_Large"/>
    <x v="2"/>
    <x v="33"/>
    <x v="0"/>
    <x v="16"/>
    <n v="7.7777777777777803"/>
    <n v="2838.8888888888901"/>
    <n v="10220"/>
  </r>
  <r>
    <x v="0"/>
    <x v="0"/>
    <x v="0"/>
    <x v="0"/>
    <x v="1"/>
    <s v="DK2_Large"/>
    <x v="2"/>
    <x v="33"/>
    <x v="0"/>
    <x v="17"/>
    <n v="7.7777777777777803"/>
    <n v="2838.8888888888901"/>
    <n v="10220"/>
  </r>
  <r>
    <x v="0"/>
    <x v="0"/>
    <x v="0"/>
    <x v="0"/>
    <x v="1"/>
    <s v="DK2_Large"/>
    <x v="2"/>
    <x v="33"/>
    <x v="0"/>
    <x v="18"/>
    <n v="7.7777777777777803"/>
    <n v="2838.8888888888901"/>
    <n v="10220"/>
  </r>
  <r>
    <x v="0"/>
    <x v="0"/>
    <x v="0"/>
    <x v="0"/>
    <x v="1"/>
    <s v="DK2_Large"/>
    <x v="2"/>
    <x v="33"/>
    <x v="0"/>
    <x v="19"/>
    <n v="7.7777777777777803"/>
    <n v="2838.8888888888901"/>
    <n v="10220"/>
  </r>
  <r>
    <x v="0"/>
    <x v="0"/>
    <x v="0"/>
    <x v="0"/>
    <x v="1"/>
    <s v="DK2_Large"/>
    <x v="2"/>
    <x v="33"/>
    <x v="0"/>
    <x v="20"/>
    <n v="7.7777777777777803"/>
    <n v="2838.8888888888901"/>
    <n v="10220"/>
  </r>
  <r>
    <x v="0"/>
    <x v="0"/>
    <x v="0"/>
    <x v="0"/>
    <x v="1"/>
    <s v="DK2_Large"/>
    <x v="2"/>
    <x v="33"/>
    <x v="0"/>
    <x v="21"/>
    <n v="7.7777777777777803"/>
    <n v="2838.8888888888901"/>
    <n v="10220"/>
  </r>
  <r>
    <x v="0"/>
    <x v="0"/>
    <x v="0"/>
    <x v="0"/>
    <x v="1"/>
    <s v="DK2_Large"/>
    <x v="2"/>
    <x v="33"/>
    <x v="0"/>
    <x v="22"/>
    <n v="7.7777777777777803"/>
    <n v="2838.8888888888901"/>
    <n v="10220"/>
  </r>
  <r>
    <x v="0"/>
    <x v="0"/>
    <x v="0"/>
    <x v="0"/>
    <x v="1"/>
    <s v="DK2_Large"/>
    <x v="2"/>
    <x v="33"/>
    <x v="0"/>
    <x v="23"/>
    <n v="7.7777777777777803"/>
    <n v="2838.8888888888901"/>
    <n v="10220"/>
  </r>
  <r>
    <x v="0"/>
    <x v="0"/>
    <x v="0"/>
    <x v="0"/>
    <x v="1"/>
    <s v="DK2_Large"/>
    <x v="2"/>
    <x v="8"/>
    <x v="0"/>
    <x v="3"/>
    <n v="10.578947368421099"/>
    <n v="3861.3157894736901"/>
    <n v="13900.7368421053"/>
  </r>
  <r>
    <x v="0"/>
    <x v="0"/>
    <x v="0"/>
    <x v="0"/>
    <x v="1"/>
    <s v="DK2_Large"/>
    <x v="2"/>
    <x v="8"/>
    <x v="0"/>
    <x v="4"/>
    <n v="10.578947368421099"/>
    <n v="3861.3157894736901"/>
    <n v="13900.7368421053"/>
  </r>
  <r>
    <x v="0"/>
    <x v="0"/>
    <x v="0"/>
    <x v="0"/>
    <x v="1"/>
    <s v="DK2_Large"/>
    <x v="2"/>
    <x v="8"/>
    <x v="0"/>
    <x v="5"/>
    <n v="10.578947368421099"/>
    <n v="3861.3157894736901"/>
    <n v="13900.7368421053"/>
  </r>
  <r>
    <x v="0"/>
    <x v="0"/>
    <x v="0"/>
    <x v="0"/>
    <x v="1"/>
    <s v="DK2_Large"/>
    <x v="2"/>
    <x v="8"/>
    <x v="0"/>
    <x v="6"/>
    <n v="10.578947368421099"/>
    <n v="3861.3157894736901"/>
    <n v="13900.7368421053"/>
  </r>
  <r>
    <x v="0"/>
    <x v="0"/>
    <x v="0"/>
    <x v="0"/>
    <x v="1"/>
    <s v="DK2_Large"/>
    <x v="2"/>
    <x v="8"/>
    <x v="0"/>
    <x v="7"/>
    <n v="10.578947368421099"/>
    <n v="3861.3157894736901"/>
    <n v="13900.7368421053"/>
  </r>
  <r>
    <x v="0"/>
    <x v="0"/>
    <x v="0"/>
    <x v="0"/>
    <x v="1"/>
    <s v="DK2_Large"/>
    <x v="2"/>
    <x v="8"/>
    <x v="0"/>
    <x v="8"/>
    <n v="10.578947368421099"/>
    <n v="3861.3157894736901"/>
    <n v="13900.7368421053"/>
  </r>
  <r>
    <x v="0"/>
    <x v="0"/>
    <x v="0"/>
    <x v="0"/>
    <x v="1"/>
    <s v="DK2_Large"/>
    <x v="2"/>
    <x v="8"/>
    <x v="0"/>
    <x v="0"/>
    <n v="10.578947368421099"/>
    <n v="3861.3157894736901"/>
    <n v="13900.7368421053"/>
  </r>
  <r>
    <x v="0"/>
    <x v="0"/>
    <x v="0"/>
    <x v="0"/>
    <x v="1"/>
    <s v="DK2_Large"/>
    <x v="2"/>
    <x v="8"/>
    <x v="0"/>
    <x v="1"/>
    <n v="10.578947368421099"/>
    <n v="3861.3157894736901"/>
    <n v="13900.7368421053"/>
  </r>
  <r>
    <x v="0"/>
    <x v="0"/>
    <x v="0"/>
    <x v="0"/>
    <x v="1"/>
    <s v="DK2_Large"/>
    <x v="2"/>
    <x v="8"/>
    <x v="0"/>
    <x v="2"/>
    <n v="10.578947368421099"/>
    <n v="3861.3157894736901"/>
    <n v="13900.7368421053"/>
  </r>
  <r>
    <x v="0"/>
    <x v="0"/>
    <x v="0"/>
    <x v="0"/>
    <x v="1"/>
    <s v="DK2_Large"/>
    <x v="2"/>
    <x v="8"/>
    <x v="0"/>
    <x v="9"/>
    <n v="10.578947368421099"/>
    <n v="3861.3157894736901"/>
    <n v="13900.7368421053"/>
  </r>
  <r>
    <x v="0"/>
    <x v="0"/>
    <x v="0"/>
    <x v="0"/>
    <x v="1"/>
    <s v="DK2_Large"/>
    <x v="2"/>
    <x v="8"/>
    <x v="0"/>
    <x v="10"/>
    <n v="10.578947368421099"/>
    <n v="3861.3157894736901"/>
    <n v="13900.7368421053"/>
  </r>
  <r>
    <x v="0"/>
    <x v="0"/>
    <x v="0"/>
    <x v="0"/>
    <x v="1"/>
    <s v="DK2_Large"/>
    <x v="2"/>
    <x v="8"/>
    <x v="0"/>
    <x v="11"/>
    <n v="10.578947368421099"/>
    <n v="3861.3157894736901"/>
    <n v="13900.7368421053"/>
  </r>
  <r>
    <x v="0"/>
    <x v="0"/>
    <x v="0"/>
    <x v="0"/>
    <x v="1"/>
    <s v="DK2_Large"/>
    <x v="2"/>
    <x v="8"/>
    <x v="0"/>
    <x v="12"/>
    <n v="10.578947368421099"/>
    <n v="3861.3157894736901"/>
    <n v="13900.7368421053"/>
  </r>
  <r>
    <x v="0"/>
    <x v="0"/>
    <x v="0"/>
    <x v="0"/>
    <x v="1"/>
    <s v="DK2_Large"/>
    <x v="2"/>
    <x v="8"/>
    <x v="0"/>
    <x v="13"/>
    <n v="10.578947368421099"/>
    <n v="3861.3157894736901"/>
    <n v="13900.7368421053"/>
  </r>
  <r>
    <x v="0"/>
    <x v="0"/>
    <x v="0"/>
    <x v="0"/>
    <x v="1"/>
    <s v="DK2_Large"/>
    <x v="2"/>
    <x v="8"/>
    <x v="0"/>
    <x v="14"/>
    <n v="10.578947368421099"/>
    <n v="3861.3157894736901"/>
    <n v="13900.7368421053"/>
  </r>
  <r>
    <x v="0"/>
    <x v="0"/>
    <x v="0"/>
    <x v="0"/>
    <x v="1"/>
    <s v="DK2_Large"/>
    <x v="2"/>
    <x v="8"/>
    <x v="0"/>
    <x v="15"/>
    <n v="10.578947368421099"/>
    <n v="3861.3157894736901"/>
    <n v="13900.7368421053"/>
  </r>
  <r>
    <x v="0"/>
    <x v="0"/>
    <x v="0"/>
    <x v="0"/>
    <x v="1"/>
    <s v="DK2_Large"/>
    <x v="2"/>
    <x v="8"/>
    <x v="0"/>
    <x v="16"/>
    <n v="10.578947368421099"/>
    <n v="3861.3157894736901"/>
    <n v="13900.7368421053"/>
  </r>
  <r>
    <x v="0"/>
    <x v="0"/>
    <x v="0"/>
    <x v="0"/>
    <x v="1"/>
    <s v="DK2_Large"/>
    <x v="2"/>
    <x v="8"/>
    <x v="0"/>
    <x v="17"/>
    <n v="10.578947368421099"/>
    <n v="3861.3157894736901"/>
    <n v="13900.7368421053"/>
  </r>
  <r>
    <x v="0"/>
    <x v="0"/>
    <x v="0"/>
    <x v="0"/>
    <x v="1"/>
    <s v="DK2_Large"/>
    <x v="2"/>
    <x v="8"/>
    <x v="0"/>
    <x v="18"/>
    <n v="10.578947368421099"/>
    <n v="3861.3157894736901"/>
    <n v="13900.7368421053"/>
  </r>
  <r>
    <x v="0"/>
    <x v="0"/>
    <x v="0"/>
    <x v="0"/>
    <x v="1"/>
    <s v="DK2_Large"/>
    <x v="2"/>
    <x v="8"/>
    <x v="0"/>
    <x v="19"/>
    <n v="10.578947368421099"/>
    <n v="3861.3157894736901"/>
    <n v="13900.7368421053"/>
  </r>
  <r>
    <x v="0"/>
    <x v="0"/>
    <x v="0"/>
    <x v="0"/>
    <x v="1"/>
    <s v="DK2_Large"/>
    <x v="2"/>
    <x v="8"/>
    <x v="0"/>
    <x v="20"/>
    <n v="10.578947368421099"/>
    <n v="3861.3157894736901"/>
    <n v="13900.7368421053"/>
  </r>
  <r>
    <x v="0"/>
    <x v="0"/>
    <x v="0"/>
    <x v="0"/>
    <x v="1"/>
    <s v="DK2_Large"/>
    <x v="2"/>
    <x v="8"/>
    <x v="0"/>
    <x v="21"/>
    <n v="10.578947368421099"/>
    <n v="3861.3157894736901"/>
    <n v="13900.7368421053"/>
  </r>
  <r>
    <x v="0"/>
    <x v="0"/>
    <x v="0"/>
    <x v="0"/>
    <x v="1"/>
    <s v="DK2_Large"/>
    <x v="2"/>
    <x v="8"/>
    <x v="0"/>
    <x v="22"/>
    <n v="10.578947368421099"/>
    <n v="3861.3157894736901"/>
    <n v="13900.7368421053"/>
  </r>
  <r>
    <x v="0"/>
    <x v="0"/>
    <x v="0"/>
    <x v="0"/>
    <x v="1"/>
    <s v="DK2_Large"/>
    <x v="2"/>
    <x v="8"/>
    <x v="0"/>
    <x v="23"/>
    <n v="10.578947368421099"/>
    <n v="3861.3157894736901"/>
    <n v="13900.7368421053"/>
  </r>
  <r>
    <x v="0"/>
    <x v="0"/>
    <x v="0"/>
    <x v="0"/>
    <x v="1"/>
    <s v="DK2_Large"/>
    <x v="2"/>
    <x v="10"/>
    <x v="0"/>
    <x v="3"/>
    <n v="13.75"/>
    <n v="5018.75"/>
    <n v="18067.5"/>
  </r>
  <r>
    <x v="0"/>
    <x v="0"/>
    <x v="0"/>
    <x v="0"/>
    <x v="1"/>
    <s v="DK2_Large"/>
    <x v="2"/>
    <x v="10"/>
    <x v="0"/>
    <x v="4"/>
    <n v="13.75"/>
    <n v="5018.75"/>
    <n v="18067.5"/>
  </r>
  <r>
    <x v="0"/>
    <x v="0"/>
    <x v="0"/>
    <x v="0"/>
    <x v="1"/>
    <s v="DK2_Large"/>
    <x v="2"/>
    <x v="10"/>
    <x v="0"/>
    <x v="5"/>
    <n v="13.75"/>
    <n v="5018.75"/>
    <n v="18067.5"/>
  </r>
  <r>
    <x v="0"/>
    <x v="0"/>
    <x v="0"/>
    <x v="0"/>
    <x v="1"/>
    <s v="DK2_Large"/>
    <x v="2"/>
    <x v="10"/>
    <x v="0"/>
    <x v="6"/>
    <n v="13.75"/>
    <n v="5018.75"/>
    <n v="18067.5"/>
  </r>
  <r>
    <x v="0"/>
    <x v="0"/>
    <x v="0"/>
    <x v="0"/>
    <x v="1"/>
    <s v="DK2_Large"/>
    <x v="2"/>
    <x v="10"/>
    <x v="0"/>
    <x v="7"/>
    <n v="13.75"/>
    <n v="5018.75"/>
    <n v="18067.5"/>
  </r>
  <r>
    <x v="0"/>
    <x v="0"/>
    <x v="0"/>
    <x v="0"/>
    <x v="1"/>
    <s v="DK2_Large"/>
    <x v="2"/>
    <x v="10"/>
    <x v="0"/>
    <x v="8"/>
    <n v="13.75"/>
    <n v="5018.75"/>
    <n v="18067.5"/>
  </r>
  <r>
    <x v="0"/>
    <x v="0"/>
    <x v="0"/>
    <x v="0"/>
    <x v="1"/>
    <s v="DK2_Large"/>
    <x v="2"/>
    <x v="10"/>
    <x v="0"/>
    <x v="0"/>
    <n v="13.75"/>
    <n v="5018.75"/>
    <n v="18067.5"/>
  </r>
  <r>
    <x v="0"/>
    <x v="0"/>
    <x v="0"/>
    <x v="0"/>
    <x v="1"/>
    <s v="DK2_Large"/>
    <x v="2"/>
    <x v="10"/>
    <x v="0"/>
    <x v="1"/>
    <n v="13.75"/>
    <n v="5018.75"/>
    <n v="18067.5"/>
  </r>
  <r>
    <x v="0"/>
    <x v="0"/>
    <x v="0"/>
    <x v="0"/>
    <x v="1"/>
    <s v="DK2_Large"/>
    <x v="2"/>
    <x v="10"/>
    <x v="0"/>
    <x v="2"/>
    <n v="13.75"/>
    <n v="5018.75"/>
    <n v="18067.5"/>
  </r>
  <r>
    <x v="0"/>
    <x v="0"/>
    <x v="0"/>
    <x v="0"/>
    <x v="1"/>
    <s v="DK2_Large"/>
    <x v="2"/>
    <x v="10"/>
    <x v="0"/>
    <x v="9"/>
    <n v="13.75"/>
    <n v="5018.75"/>
    <n v="18067.5"/>
  </r>
  <r>
    <x v="0"/>
    <x v="0"/>
    <x v="0"/>
    <x v="0"/>
    <x v="1"/>
    <s v="DK2_Large"/>
    <x v="2"/>
    <x v="10"/>
    <x v="0"/>
    <x v="10"/>
    <n v="13.75"/>
    <n v="5018.75"/>
    <n v="18067.5"/>
  </r>
  <r>
    <x v="0"/>
    <x v="0"/>
    <x v="0"/>
    <x v="0"/>
    <x v="1"/>
    <s v="DK2_Large"/>
    <x v="2"/>
    <x v="10"/>
    <x v="0"/>
    <x v="11"/>
    <n v="13.75"/>
    <n v="5018.75"/>
    <n v="18067.5"/>
  </r>
  <r>
    <x v="0"/>
    <x v="0"/>
    <x v="0"/>
    <x v="0"/>
    <x v="1"/>
    <s v="DK2_Large"/>
    <x v="2"/>
    <x v="10"/>
    <x v="0"/>
    <x v="12"/>
    <n v="13.75"/>
    <n v="5018.75"/>
    <n v="18067.5"/>
  </r>
  <r>
    <x v="0"/>
    <x v="0"/>
    <x v="0"/>
    <x v="0"/>
    <x v="1"/>
    <s v="DK2_Large"/>
    <x v="2"/>
    <x v="10"/>
    <x v="0"/>
    <x v="13"/>
    <n v="13.75"/>
    <n v="5018.75"/>
    <n v="18067.5"/>
  </r>
  <r>
    <x v="0"/>
    <x v="0"/>
    <x v="0"/>
    <x v="0"/>
    <x v="1"/>
    <s v="DK2_Large"/>
    <x v="2"/>
    <x v="10"/>
    <x v="0"/>
    <x v="14"/>
    <n v="13.75"/>
    <n v="5018.75"/>
    <n v="18067.5"/>
  </r>
  <r>
    <x v="0"/>
    <x v="0"/>
    <x v="0"/>
    <x v="0"/>
    <x v="1"/>
    <s v="DK2_Large"/>
    <x v="2"/>
    <x v="10"/>
    <x v="0"/>
    <x v="15"/>
    <n v="13.75"/>
    <n v="5018.75"/>
    <n v="18067.5"/>
  </r>
  <r>
    <x v="0"/>
    <x v="0"/>
    <x v="0"/>
    <x v="0"/>
    <x v="1"/>
    <s v="DK2_Large"/>
    <x v="2"/>
    <x v="10"/>
    <x v="0"/>
    <x v="16"/>
    <n v="13.75"/>
    <n v="5018.75"/>
    <n v="18067.5"/>
  </r>
  <r>
    <x v="0"/>
    <x v="0"/>
    <x v="0"/>
    <x v="0"/>
    <x v="1"/>
    <s v="DK2_Large"/>
    <x v="2"/>
    <x v="10"/>
    <x v="0"/>
    <x v="17"/>
    <n v="13.75"/>
    <n v="5018.75"/>
    <n v="18067.5"/>
  </r>
  <r>
    <x v="0"/>
    <x v="0"/>
    <x v="0"/>
    <x v="0"/>
    <x v="1"/>
    <s v="DK2_Large"/>
    <x v="2"/>
    <x v="10"/>
    <x v="0"/>
    <x v="18"/>
    <n v="13.75"/>
    <n v="5018.75"/>
    <n v="18067.5"/>
  </r>
  <r>
    <x v="0"/>
    <x v="0"/>
    <x v="0"/>
    <x v="0"/>
    <x v="1"/>
    <s v="DK2_Large"/>
    <x v="2"/>
    <x v="10"/>
    <x v="0"/>
    <x v="19"/>
    <n v="13.75"/>
    <n v="5018.75"/>
    <n v="18067.5"/>
  </r>
  <r>
    <x v="0"/>
    <x v="0"/>
    <x v="0"/>
    <x v="0"/>
    <x v="1"/>
    <s v="DK2_Large"/>
    <x v="2"/>
    <x v="10"/>
    <x v="0"/>
    <x v="20"/>
    <n v="13.75"/>
    <n v="5018.75"/>
    <n v="18067.5"/>
  </r>
  <r>
    <x v="0"/>
    <x v="0"/>
    <x v="0"/>
    <x v="0"/>
    <x v="1"/>
    <s v="DK2_Large"/>
    <x v="2"/>
    <x v="10"/>
    <x v="0"/>
    <x v="21"/>
    <n v="13.75"/>
    <n v="5018.75"/>
    <n v="18067.5"/>
  </r>
  <r>
    <x v="0"/>
    <x v="0"/>
    <x v="0"/>
    <x v="0"/>
    <x v="1"/>
    <s v="DK2_Large"/>
    <x v="2"/>
    <x v="10"/>
    <x v="0"/>
    <x v="22"/>
    <n v="13.75"/>
    <n v="5018.75"/>
    <n v="18067.5"/>
  </r>
  <r>
    <x v="0"/>
    <x v="0"/>
    <x v="0"/>
    <x v="0"/>
    <x v="1"/>
    <s v="DK2_Large"/>
    <x v="2"/>
    <x v="10"/>
    <x v="0"/>
    <x v="23"/>
    <n v="13.75"/>
    <n v="5018.75"/>
    <n v="18067.5"/>
  </r>
  <r>
    <x v="0"/>
    <x v="0"/>
    <x v="0"/>
    <x v="0"/>
    <x v="1"/>
    <s v="DK2_Large"/>
    <x v="2"/>
    <x v="44"/>
    <x v="0"/>
    <x v="3"/>
    <n v="64.4444444444444"/>
    <n v="23522.222222222201"/>
    <n v="84679.999999999898"/>
  </r>
  <r>
    <x v="0"/>
    <x v="0"/>
    <x v="0"/>
    <x v="0"/>
    <x v="1"/>
    <s v="DK2_Large"/>
    <x v="2"/>
    <x v="44"/>
    <x v="0"/>
    <x v="4"/>
    <n v="64.4444444444444"/>
    <n v="23522.222222222201"/>
    <n v="84679.999999999898"/>
  </r>
  <r>
    <x v="0"/>
    <x v="0"/>
    <x v="0"/>
    <x v="0"/>
    <x v="1"/>
    <s v="DK2_Large"/>
    <x v="2"/>
    <x v="44"/>
    <x v="0"/>
    <x v="5"/>
    <n v="64.4444444444444"/>
    <n v="23522.222222222201"/>
    <n v="84679.999999999898"/>
  </r>
  <r>
    <x v="0"/>
    <x v="0"/>
    <x v="0"/>
    <x v="0"/>
    <x v="1"/>
    <s v="DK2_Large"/>
    <x v="2"/>
    <x v="44"/>
    <x v="0"/>
    <x v="6"/>
    <n v="64.4444444444444"/>
    <n v="23522.222222222201"/>
    <n v="84679.999999999898"/>
  </r>
  <r>
    <x v="0"/>
    <x v="0"/>
    <x v="0"/>
    <x v="0"/>
    <x v="1"/>
    <s v="DK2_Large"/>
    <x v="2"/>
    <x v="44"/>
    <x v="0"/>
    <x v="7"/>
    <n v="64.4444444444444"/>
    <n v="23522.222222222201"/>
    <n v="84679.999999999898"/>
  </r>
  <r>
    <x v="0"/>
    <x v="0"/>
    <x v="0"/>
    <x v="0"/>
    <x v="1"/>
    <s v="DK2_Large"/>
    <x v="2"/>
    <x v="44"/>
    <x v="0"/>
    <x v="8"/>
    <n v="64.4444444444444"/>
    <n v="23522.222222222201"/>
    <n v="84679.999999999898"/>
  </r>
  <r>
    <x v="0"/>
    <x v="0"/>
    <x v="0"/>
    <x v="0"/>
    <x v="1"/>
    <s v="DK2_Large"/>
    <x v="2"/>
    <x v="44"/>
    <x v="0"/>
    <x v="0"/>
    <n v="64.4444444444444"/>
    <n v="23522.222222222201"/>
    <n v="84679.999999999898"/>
  </r>
  <r>
    <x v="0"/>
    <x v="0"/>
    <x v="0"/>
    <x v="0"/>
    <x v="1"/>
    <s v="DK2_Large"/>
    <x v="2"/>
    <x v="44"/>
    <x v="0"/>
    <x v="1"/>
    <n v="64.4444444444444"/>
    <n v="23522.222222222201"/>
    <n v="84679.999999999898"/>
  </r>
  <r>
    <x v="0"/>
    <x v="0"/>
    <x v="0"/>
    <x v="0"/>
    <x v="1"/>
    <s v="DK2_Large"/>
    <x v="2"/>
    <x v="44"/>
    <x v="0"/>
    <x v="2"/>
    <n v="64.4444444444444"/>
    <n v="23522.222222222201"/>
    <n v="84679.999999999898"/>
  </r>
  <r>
    <x v="0"/>
    <x v="0"/>
    <x v="0"/>
    <x v="0"/>
    <x v="1"/>
    <s v="DK2_Large"/>
    <x v="2"/>
    <x v="44"/>
    <x v="0"/>
    <x v="9"/>
    <n v="64.4444444444444"/>
    <n v="23522.222222222201"/>
    <n v="84679.999999999898"/>
  </r>
  <r>
    <x v="0"/>
    <x v="0"/>
    <x v="0"/>
    <x v="0"/>
    <x v="1"/>
    <s v="DK2_Large"/>
    <x v="2"/>
    <x v="44"/>
    <x v="0"/>
    <x v="10"/>
    <n v="64.4444444444444"/>
    <n v="23522.222222222201"/>
    <n v="84679.999999999898"/>
  </r>
  <r>
    <x v="0"/>
    <x v="0"/>
    <x v="0"/>
    <x v="0"/>
    <x v="1"/>
    <s v="DK2_Large"/>
    <x v="2"/>
    <x v="44"/>
    <x v="0"/>
    <x v="11"/>
    <n v="64.4444444444444"/>
    <n v="23522.222222222201"/>
    <n v="84679.999999999898"/>
  </r>
  <r>
    <x v="0"/>
    <x v="0"/>
    <x v="0"/>
    <x v="0"/>
    <x v="1"/>
    <s v="DK2_Large"/>
    <x v="2"/>
    <x v="44"/>
    <x v="0"/>
    <x v="12"/>
    <n v="64.4444444444444"/>
    <n v="23522.222222222201"/>
    <n v="84679.999999999898"/>
  </r>
  <r>
    <x v="0"/>
    <x v="0"/>
    <x v="0"/>
    <x v="0"/>
    <x v="1"/>
    <s v="DK2_Large"/>
    <x v="2"/>
    <x v="44"/>
    <x v="0"/>
    <x v="13"/>
    <n v="64.4444444444444"/>
    <n v="23522.222222222201"/>
    <n v="84679.999999999898"/>
  </r>
  <r>
    <x v="0"/>
    <x v="0"/>
    <x v="0"/>
    <x v="0"/>
    <x v="1"/>
    <s v="DK2_Large"/>
    <x v="2"/>
    <x v="44"/>
    <x v="0"/>
    <x v="14"/>
    <n v="64.4444444444444"/>
    <n v="23522.222222222201"/>
    <n v="84679.999999999898"/>
  </r>
  <r>
    <x v="0"/>
    <x v="0"/>
    <x v="0"/>
    <x v="0"/>
    <x v="1"/>
    <s v="DK2_Large"/>
    <x v="2"/>
    <x v="44"/>
    <x v="0"/>
    <x v="15"/>
    <n v="64.4444444444444"/>
    <n v="23522.222222222201"/>
    <n v="84679.999999999898"/>
  </r>
  <r>
    <x v="0"/>
    <x v="0"/>
    <x v="0"/>
    <x v="0"/>
    <x v="1"/>
    <s v="DK2_Large"/>
    <x v="2"/>
    <x v="44"/>
    <x v="0"/>
    <x v="16"/>
    <n v="64.4444444444444"/>
    <n v="23522.222222222201"/>
    <n v="84679.999999999898"/>
  </r>
  <r>
    <x v="0"/>
    <x v="0"/>
    <x v="0"/>
    <x v="0"/>
    <x v="1"/>
    <s v="DK2_Large"/>
    <x v="2"/>
    <x v="44"/>
    <x v="0"/>
    <x v="17"/>
    <n v="64.4444444444444"/>
    <n v="23522.222222222201"/>
    <n v="84679.999999999898"/>
  </r>
  <r>
    <x v="0"/>
    <x v="0"/>
    <x v="0"/>
    <x v="0"/>
    <x v="1"/>
    <s v="DK2_Large"/>
    <x v="2"/>
    <x v="44"/>
    <x v="0"/>
    <x v="18"/>
    <n v="64.4444444444444"/>
    <n v="23522.222222222201"/>
    <n v="84679.999999999898"/>
  </r>
  <r>
    <x v="0"/>
    <x v="0"/>
    <x v="0"/>
    <x v="0"/>
    <x v="1"/>
    <s v="DK2_Large"/>
    <x v="2"/>
    <x v="44"/>
    <x v="0"/>
    <x v="19"/>
    <n v="64.4444444444444"/>
    <n v="23522.222222222201"/>
    <n v="84679.999999999898"/>
  </r>
  <r>
    <x v="0"/>
    <x v="0"/>
    <x v="0"/>
    <x v="0"/>
    <x v="1"/>
    <s v="DK2_Large"/>
    <x v="2"/>
    <x v="44"/>
    <x v="0"/>
    <x v="20"/>
    <n v="64.4444444444444"/>
    <n v="23522.222222222201"/>
    <n v="84679.999999999898"/>
  </r>
  <r>
    <x v="0"/>
    <x v="0"/>
    <x v="0"/>
    <x v="0"/>
    <x v="1"/>
    <s v="DK2_Large"/>
    <x v="2"/>
    <x v="44"/>
    <x v="0"/>
    <x v="21"/>
    <n v="64.4444444444444"/>
    <n v="23522.222222222201"/>
    <n v="84679.999999999898"/>
  </r>
  <r>
    <x v="0"/>
    <x v="0"/>
    <x v="0"/>
    <x v="0"/>
    <x v="1"/>
    <s v="DK2_Large"/>
    <x v="2"/>
    <x v="44"/>
    <x v="0"/>
    <x v="22"/>
    <n v="64.4444444444444"/>
    <n v="23522.222222222201"/>
    <n v="84679.999999999898"/>
  </r>
  <r>
    <x v="0"/>
    <x v="0"/>
    <x v="0"/>
    <x v="0"/>
    <x v="1"/>
    <s v="DK2_Large"/>
    <x v="2"/>
    <x v="44"/>
    <x v="0"/>
    <x v="23"/>
    <n v="64.4444444444444"/>
    <n v="23522.222222222201"/>
    <n v="84679.999999999898"/>
  </r>
  <r>
    <x v="0"/>
    <x v="0"/>
    <x v="0"/>
    <x v="0"/>
    <x v="1"/>
    <s v="DK2_Large"/>
    <x v="2"/>
    <x v="59"/>
    <x v="0"/>
    <x v="3"/>
    <n v="210.25641025640999"/>
    <n v="76743.589743589793"/>
    <n v="276276.92307692301"/>
  </r>
  <r>
    <x v="0"/>
    <x v="0"/>
    <x v="0"/>
    <x v="0"/>
    <x v="1"/>
    <s v="DK2_Large"/>
    <x v="2"/>
    <x v="59"/>
    <x v="0"/>
    <x v="4"/>
    <n v="210.25641025640999"/>
    <n v="76743.589743589793"/>
    <n v="276276.92307692301"/>
  </r>
  <r>
    <x v="0"/>
    <x v="0"/>
    <x v="0"/>
    <x v="0"/>
    <x v="1"/>
    <s v="DK2_Large"/>
    <x v="2"/>
    <x v="59"/>
    <x v="0"/>
    <x v="5"/>
    <n v="210.25641025640999"/>
    <n v="76743.589743589793"/>
    <n v="276276.92307692301"/>
  </r>
  <r>
    <x v="0"/>
    <x v="0"/>
    <x v="0"/>
    <x v="0"/>
    <x v="1"/>
    <s v="DK2_Large"/>
    <x v="2"/>
    <x v="59"/>
    <x v="0"/>
    <x v="6"/>
    <n v="210.25641025640999"/>
    <n v="76743.589743589793"/>
    <n v="276276.92307692301"/>
  </r>
  <r>
    <x v="0"/>
    <x v="0"/>
    <x v="0"/>
    <x v="0"/>
    <x v="1"/>
    <s v="DK2_Large"/>
    <x v="2"/>
    <x v="59"/>
    <x v="0"/>
    <x v="7"/>
    <n v="210.25641025640999"/>
    <n v="76743.589743589793"/>
    <n v="276276.92307692301"/>
  </r>
  <r>
    <x v="0"/>
    <x v="0"/>
    <x v="0"/>
    <x v="0"/>
    <x v="1"/>
    <s v="DK2_Large"/>
    <x v="2"/>
    <x v="59"/>
    <x v="0"/>
    <x v="8"/>
    <n v="210.25641025640999"/>
    <n v="76743.589743589793"/>
    <n v="276276.92307692301"/>
  </r>
  <r>
    <x v="0"/>
    <x v="0"/>
    <x v="0"/>
    <x v="0"/>
    <x v="1"/>
    <s v="DK2_Large"/>
    <x v="2"/>
    <x v="59"/>
    <x v="0"/>
    <x v="0"/>
    <n v="210.25641025640999"/>
    <n v="76743.589743589793"/>
    <n v="276276.92307692301"/>
  </r>
  <r>
    <x v="0"/>
    <x v="0"/>
    <x v="0"/>
    <x v="0"/>
    <x v="1"/>
    <s v="DK2_Large"/>
    <x v="2"/>
    <x v="59"/>
    <x v="0"/>
    <x v="1"/>
    <n v="210.25641025640999"/>
    <n v="76743.589743589793"/>
    <n v="276276.92307692301"/>
  </r>
  <r>
    <x v="0"/>
    <x v="0"/>
    <x v="0"/>
    <x v="0"/>
    <x v="1"/>
    <s v="DK2_Large"/>
    <x v="2"/>
    <x v="59"/>
    <x v="0"/>
    <x v="2"/>
    <n v="210.25641025640999"/>
    <n v="76743.589743589793"/>
    <n v="276276.92307692301"/>
  </r>
  <r>
    <x v="0"/>
    <x v="0"/>
    <x v="0"/>
    <x v="0"/>
    <x v="1"/>
    <s v="DK2_Large"/>
    <x v="2"/>
    <x v="59"/>
    <x v="0"/>
    <x v="9"/>
    <n v="210.25641025640999"/>
    <n v="76743.589743589793"/>
    <n v="276276.92307692301"/>
  </r>
  <r>
    <x v="0"/>
    <x v="0"/>
    <x v="0"/>
    <x v="0"/>
    <x v="1"/>
    <s v="DK2_Large"/>
    <x v="2"/>
    <x v="59"/>
    <x v="0"/>
    <x v="10"/>
    <n v="210.25641025640999"/>
    <n v="76743.589743589793"/>
    <n v="276276.92307692301"/>
  </r>
  <r>
    <x v="0"/>
    <x v="0"/>
    <x v="0"/>
    <x v="0"/>
    <x v="1"/>
    <s v="DK2_Large"/>
    <x v="2"/>
    <x v="59"/>
    <x v="0"/>
    <x v="11"/>
    <n v="210.25641025640999"/>
    <n v="76743.589743589793"/>
    <n v="276276.92307692301"/>
  </r>
  <r>
    <x v="0"/>
    <x v="0"/>
    <x v="0"/>
    <x v="0"/>
    <x v="1"/>
    <s v="DK2_Large"/>
    <x v="2"/>
    <x v="59"/>
    <x v="0"/>
    <x v="12"/>
    <n v="210.25641025640999"/>
    <n v="76743.589743589793"/>
    <n v="276276.92307692301"/>
  </r>
  <r>
    <x v="0"/>
    <x v="0"/>
    <x v="0"/>
    <x v="0"/>
    <x v="1"/>
    <s v="DK2_Large"/>
    <x v="2"/>
    <x v="59"/>
    <x v="0"/>
    <x v="13"/>
    <n v="210.25641025640999"/>
    <n v="76743.589743589793"/>
    <n v="276276.92307692301"/>
  </r>
  <r>
    <x v="0"/>
    <x v="0"/>
    <x v="0"/>
    <x v="0"/>
    <x v="1"/>
    <s v="DK2_Large"/>
    <x v="2"/>
    <x v="59"/>
    <x v="0"/>
    <x v="14"/>
    <n v="210.25641025640999"/>
    <n v="76743.589743589793"/>
    <n v="276276.92307692301"/>
  </r>
  <r>
    <x v="0"/>
    <x v="0"/>
    <x v="0"/>
    <x v="0"/>
    <x v="1"/>
    <s v="DK2_Large"/>
    <x v="2"/>
    <x v="59"/>
    <x v="0"/>
    <x v="15"/>
    <n v="210.25641025640999"/>
    <n v="76743.589743589793"/>
    <n v="276276.92307692301"/>
  </r>
  <r>
    <x v="0"/>
    <x v="0"/>
    <x v="0"/>
    <x v="0"/>
    <x v="1"/>
    <s v="DK2_Large"/>
    <x v="2"/>
    <x v="59"/>
    <x v="0"/>
    <x v="16"/>
    <n v="210.25641025640999"/>
    <n v="76743.589743589793"/>
    <n v="276276.92307692301"/>
  </r>
  <r>
    <x v="0"/>
    <x v="0"/>
    <x v="0"/>
    <x v="0"/>
    <x v="1"/>
    <s v="DK2_Large"/>
    <x v="2"/>
    <x v="59"/>
    <x v="0"/>
    <x v="17"/>
    <n v="210.25641025640999"/>
    <n v="76743.589743589793"/>
    <n v="276276.92307692301"/>
  </r>
  <r>
    <x v="0"/>
    <x v="0"/>
    <x v="0"/>
    <x v="0"/>
    <x v="1"/>
    <s v="DK2_Large"/>
    <x v="2"/>
    <x v="59"/>
    <x v="0"/>
    <x v="18"/>
    <n v="210.25641025640999"/>
    <n v="76743.589743589793"/>
    <n v="276276.92307692301"/>
  </r>
  <r>
    <x v="0"/>
    <x v="0"/>
    <x v="0"/>
    <x v="0"/>
    <x v="1"/>
    <s v="DK2_Large"/>
    <x v="2"/>
    <x v="59"/>
    <x v="0"/>
    <x v="19"/>
    <n v="210.25641025640999"/>
    <n v="76743.589743589793"/>
    <n v="276276.92307692301"/>
  </r>
  <r>
    <x v="0"/>
    <x v="0"/>
    <x v="0"/>
    <x v="0"/>
    <x v="1"/>
    <s v="DK2_Large"/>
    <x v="2"/>
    <x v="59"/>
    <x v="0"/>
    <x v="20"/>
    <n v="210.25641025640999"/>
    <n v="76743.589743589793"/>
    <n v="276276.92307692301"/>
  </r>
  <r>
    <x v="0"/>
    <x v="0"/>
    <x v="0"/>
    <x v="0"/>
    <x v="1"/>
    <s v="DK2_Large"/>
    <x v="2"/>
    <x v="59"/>
    <x v="0"/>
    <x v="21"/>
    <n v="210.25641025640999"/>
    <n v="76743.589743589793"/>
    <n v="276276.92307692301"/>
  </r>
  <r>
    <x v="0"/>
    <x v="0"/>
    <x v="0"/>
    <x v="0"/>
    <x v="1"/>
    <s v="DK2_Large"/>
    <x v="2"/>
    <x v="59"/>
    <x v="0"/>
    <x v="22"/>
    <n v="210.25641025640999"/>
    <n v="76743.589743589793"/>
    <n v="276276.92307692301"/>
  </r>
  <r>
    <x v="0"/>
    <x v="0"/>
    <x v="0"/>
    <x v="0"/>
    <x v="1"/>
    <s v="DK2_Large"/>
    <x v="2"/>
    <x v="59"/>
    <x v="0"/>
    <x v="23"/>
    <n v="210.25641025640999"/>
    <n v="76743.589743589793"/>
    <n v="276276.92307692301"/>
  </r>
  <r>
    <x v="0"/>
    <x v="0"/>
    <x v="0"/>
    <x v="0"/>
    <x v="1"/>
    <s v="DK2_Large"/>
    <x v="4"/>
    <x v="31"/>
    <x v="0"/>
    <x v="3"/>
    <n v="14"/>
    <n v="5110"/>
    <n v="18396"/>
  </r>
  <r>
    <x v="0"/>
    <x v="0"/>
    <x v="0"/>
    <x v="0"/>
    <x v="1"/>
    <s v="DK2_Large"/>
    <x v="4"/>
    <x v="31"/>
    <x v="0"/>
    <x v="4"/>
    <n v="14"/>
    <n v="5110"/>
    <n v="18396"/>
  </r>
  <r>
    <x v="0"/>
    <x v="0"/>
    <x v="0"/>
    <x v="0"/>
    <x v="1"/>
    <s v="DK2_Large"/>
    <x v="4"/>
    <x v="31"/>
    <x v="0"/>
    <x v="5"/>
    <n v="14"/>
    <n v="5110"/>
    <n v="18396"/>
  </r>
  <r>
    <x v="0"/>
    <x v="0"/>
    <x v="0"/>
    <x v="0"/>
    <x v="1"/>
    <s v="DK2_Large"/>
    <x v="4"/>
    <x v="31"/>
    <x v="0"/>
    <x v="6"/>
    <n v="14"/>
    <n v="5110"/>
    <n v="18396"/>
  </r>
  <r>
    <x v="0"/>
    <x v="0"/>
    <x v="0"/>
    <x v="0"/>
    <x v="1"/>
    <s v="DK2_Large"/>
    <x v="4"/>
    <x v="31"/>
    <x v="0"/>
    <x v="7"/>
    <n v="14"/>
    <n v="5110"/>
    <n v="18396"/>
  </r>
  <r>
    <x v="0"/>
    <x v="0"/>
    <x v="0"/>
    <x v="0"/>
    <x v="1"/>
    <s v="DK2_Large"/>
    <x v="4"/>
    <x v="31"/>
    <x v="0"/>
    <x v="8"/>
    <n v="14"/>
    <n v="5110"/>
    <n v="18396"/>
  </r>
  <r>
    <x v="0"/>
    <x v="0"/>
    <x v="0"/>
    <x v="0"/>
    <x v="1"/>
    <s v="DK2_Large"/>
    <x v="4"/>
    <x v="31"/>
    <x v="0"/>
    <x v="0"/>
    <n v="14"/>
    <n v="5110"/>
    <n v="18396"/>
  </r>
  <r>
    <x v="0"/>
    <x v="0"/>
    <x v="0"/>
    <x v="0"/>
    <x v="1"/>
    <s v="DK2_Large"/>
    <x v="4"/>
    <x v="31"/>
    <x v="0"/>
    <x v="1"/>
    <n v="14"/>
    <n v="5110"/>
    <n v="18396"/>
  </r>
  <r>
    <x v="0"/>
    <x v="0"/>
    <x v="0"/>
    <x v="0"/>
    <x v="1"/>
    <s v="DK2_Large"/>
    <x v="4"/>
    <x v="31"/>
    <x v="0"/>
    <x v="2"/>
    <n v="14"/>
    <n v="5110"/>
    <n v="18396"/>
  </r>
  <r>
    <x v="0"/>
    <x v="0"/>
    <x v="0"/>
    <x v="0"/>
    <x v="1"/>
    <s v="DK2_Large"/>
    <x v="4"/>
    <x v="31"/>
    <x v="0"/>
    <x v="9"/>
    <n v="14"/>
    <n v="5110"/>
    <n v="18396"/>
  </r>
  <r>
    <x v="0"/>
    <x v="0"/>
    <x v="0"/>
    <x v="0"/>
    <x v="1"/>
    <s v="DK2_Large"/>
    <x v="4"/>
    <x v="31"/>
    <x v="0"/>
    <x v="10"/>
    <n v="14"/>
    <n v="5110"/>
    <n v="18396"/>
  </r>
  <r>
    <x v="0"/>
    <x v="0"/>
    <x v="0"/>
    <x v="0"/>
    <x v="1"/>
    <s v="DK2_Large"/>
    <x v="4"/>
    <x v="31"/>
    <x v="0"/>
    <x v="11"/>
    <n v="14"/>
    <n v="5110"/>
    <n v="18396"/>
  </r>
  <r>
    <x v="0"/>
    <x v="0"/>
    <x v="0"/>
    <x v="0"/>
    <x v="1"/>
    <s v="DK2_Large"/>
    <x v="4"/>
    <x v="31"/>
    <x v="0"/>
    <x v="12"/>
    <n v="14"/>
    <n v="5110"/>
    <n v="18396"/>
  </r>
  <r>
    <x v="0"/>
    <x v="0"/>
    <x v="0"/>
    <x v="0"/>
    <x v="1"/>
    <s v="DK2_Large"/>
    <x v="4"/>
    <x v="31"/>
    <x v="0"/>
    <x v="13"/>
    <n v="14"/>
    <n v="5110"/>
    <n v="18396"/>
  </r>
  <r>
    <x v="0"/>
    <x v="0"/>
    <x v="0"/>
    <x v="0"/>
    <x v="1"/>
    <s v="DK2_Large"/>
    <x v="4"/>
    <x v="31"/>
    <x v="0"/>
    <x v="14"/>
    <n v="14"/>
    <n v="5110"/>
    <n v="18396"/>
  </r>
  <r>
    <x v="0"/>
    <x v="0"/>
    <x v="0"/>
    <x v="0"/>
    <x v="1"/>
    <s v="DK2_Large"/>
    <x v="4"/>
    <x v="31"/>
    <x v="0"/>
    <x v="15"/>
    <n v="14"/>
    <n v="5110"/>
    <n v="18396"/>
  </r>
  <r>
    <x v="0"/>
    <x v="0"/>
    <x v="0"/>
    <x v="0"/>
    <x v="1"/>
    <s v="DK2_Large"/>
    <x v="4"/>
    <x v="31"/>
    <x v="0"/>
    <x v="16"/>
    <n v="14"/>
    <n v="5110"/>
    <n v="18396"/>
  </r>
  <r>
    <x v="0"/>
    <x v="0"/>
    <x v="0"/>
    <x v="0"/>
    <x v="1"/>
    <s v="DK2_Large"/>
    <x v="4"/>
    <x v="31"/>
    <x v="0"/>
    <x v="17"/>
    <n v="14"/>
    <n v="5110"/>
    <n v="18396"/>
  </r>
  <r>
    <x v="0"/>
    <x v="0"/>
    <x v="0"/>
    <x v="0"/>
    <x v="1"/>
    <s v="DK2_Large"/>
    <x v="4"/>
    <x v="31"/>
    <x v="0"/>
    <x v="18"/>
    <n v="14"/>
    <n v="5110"/>
    <n v="18396"/>
  </r>
  <r>
    <x v="0"/>
    <x v="0"/>
    <x v="0"/>
    <x v="0"/>
    <x v="1"/>
    <s v="DK2_Large"/>
    <x v="4"/>
    <x v="31"/>
    <x v="0"/>
    <x v="19"/>
    <n v="14"/>
    <n v="5110"/>
    <n v="18396"/>
  </r>
  <r>
    <x v="0"/>
    <x v="0"/>
    <x v="0"/>
    <x v="0"/>
    <x v="1"/>
    <s v="DK2_Large"/>
    <x v="4"/>
    <x v="31"/>
    <x v="0"/>
    <x v="20"/>
    <n v="14"/>
    <n v="5110"/>
    <n v="18396"/>
  </r>
  <r>
    <x v="0"/>
    <x v="0"/>
    <x v="0"/>
    <x v="0"/>
    <x v="1"/>
    <s v="DK2_Large"/>
    <x v="4"/>
    <x v="31"/>
    <x v="0"/>
    <x v="21"/>
    <n v="14"/>
    <n v="5110"/>
    <n v="18396"/>
  </r>
  <r>
    <x v="0"/>
    <x v="0"/>
    <x v="0"/>
    <x v="0"/>
    <x v="1"/>
    <s v="DK2_Large"/>
    <x v="4"/>
    <x v="31"/>
    <x v="0"/>
    <x v="22"/>
    <n v="14"/>
    <n v="5110"/>
    <n v="18396"/>
  </r>
  <r>
    <x v="0"/>
    <x v="0"/>
    <x v="0"/>
    <x v="0"/>
    <x v="1"/>
    <s v="DK2_Large"/>
    <x v="4"/>
    <x v="31"/>
    <x v="0"/>
    <x v="23"/>
    <n v="14"/>
    <n v="5110"/>
    <n v="18396"/>
  </r>
  <r>
    <x v="0"/>
    <x v="0"/>
    <x v="0"/>
    <x v="0"/>
    <x v="1"/>
    <s v="DK2_Large"/>
    <x v="5"/>
    <x v="60"/>
    <x v="0"/>
    <x v="3"/>
    <n v="45.8333333333334"/>
    <n v="16729.166666666701"/>
    <n v="60225"/>
  </r>
  <r>
    <x v="0"/>
    <x v="0"/>
    <x v="0"/>
    <x v="0"/>
    <x v="1"/>
    <s v="DK2_Large"/>
    <x v="5"/>
    <x v="60"/>
    <x v="0"/>
    <x v="4"/>
    <n v="45.8333333333334"/>
    <n v="16729.166666666701"/>
    <n v="60225"/>
  </r>
  <r>
    <x v="0"/>
    <x v="0"/>
    <x v="0"/>
    <x v="0"/>
    <x v="1"/>
    <s v="DK2_Large"/>
    <x v="5"/>
    <x v="60"/>
    <x v="0"/>
    <x v="5"/>
    <n v="45.8333333333334"/>
    <n v="16729.166666666701"/>
    <n v="60225"/>
  </r>
  <r>
    <x v="0"/>
    <x v="0"/>
    <x v="0"/>
    <x v="0"/>
    <x v="1"/>
    <s v="DK2_Large"/>
    <x v="5"/>
    <x v="60"/>
    <x v="0"/>
    <x v="6"/>
    <n v="45.8333333333334"/>
    <n v="16729.166666666701"/>
    <n v="60225"/>
  </r>
  <r>
    <x v="0"/>
    <x v="0"/>
    <x v="0"/>
    <x v="0"/>
    <x v="1"/>
    <s v="DK2_Large"/>
    <x v="5"/>
    <x v="60"/>
    <x v="0"/>
    <x v="7"/>
    <n v="45.8333333333334"/>
    <n v="16729.166666666701"/>
    <n v="60225"/>
  </r>
  <r>
    <x v="0"/>
    <x v="0"/>
    <x v="0"/>
    <x v="0"/>
    <x v="1"/>
    <s v="DK2_Large"/>
    <x v="5"/>
    <x v="60"/>
    <x v="0"/>
    <x v="8"/>
    <n v="45.8333333333334"/>
    <n v="16729.166666666701"/>
    <n v="60225"/>
  </r>
  <r>
    <x v="0"/>
    <x v="0"/>
    <x v="0"/>
    <x v="0"/>
    <x v="1"/>
    <s v="DK2_Large"/>
    <x v="5"/>
    <x v="60"/>
    <x v="0"/>
    <x v="0"/>
    <n v="45.8333333333334"/>
    <n v="16729.166666666701"/>
    <n v="60225"/>
  </r>
  <r>
    <x v="0"/>
    <x v="0"/>
    <x v="0"/>
    <x v="0"/>
    <x v="1"/>
    <s v="DK2_Large"/>
    <x v="5"/>
    <x v="60"/>
    <x v="0"/>
    <x v="1"/>
    <n v="45.8333333333334"/>
    <n v="16729.166666666701"/>
    <n v="60225"/>
  </r>
  <r>
    <x v="0"/>
    <x v="0"/>
    <x v="0"/>
    <x v="0"/>
    <x v="1"/>
    <s v="DK2_Large"/>
    <x v="5"/>
    <x v="60"/>
    <x v="0"/>
    <x v="2"/>
    <n v="45.8333333333334"/>
    <n v="16729.166666666701"/>
    <n v="60225"/>
  </r>
  <r>
    <x v="0"/>
    <x v="0"/>
    <x v="0"/>
    <x v="0"/>
    <x v="1"/>
    <s v="DK2_Large"/>
    <x v="5"/>
    <x v="60"/>
    <x v="0"/>
    <x v="9"/>
    <n v="45.8333333333334"/>
    <n v="16729.166666666701"/>
    <n v="60225"/>
  </r>
  <r>
    <x v="0"/>
    <x v="0"/>
    <x v="0"/>
    <x v="0"/>
    <x v="1"/>
    <s v="DK2_Large"/>
    <x v="5"/>
    <x v="60"/>
    <x v="0"/>
    <x v="10"/>
    <n v="45.8333333333334"/>
    <n v="16729.166666666701"/>
    <n v="60225"/>
  </r>
  <r>
    <x v="0"/>
    <x v="0"/>
    <x v="0"/>
    <x v="0"/>
    <x v="1"/>
    <s v="DK2_Large"/>
    <x v="5"/>
    <x v="60"/>
    <x v="0"/>
    <x v="11"/>
    <n v="45.8333333333334"/>
    <n v="16729.166666666701"/>
    <n v="60225"/>
  </r>
  <r>
    <x v="0"/>
    <x v="0"/>
    <x v="0"/>
    <x v="0"/>
    <x v="1"/>
    <s v="DK2_Large"/>
    <x v="5"/>
    <x v="60"/>
    <x v="0"/>
    <x v="12"/>
    <n v="45.8333333333334"/>
    <n v="16729.166666666701"/>
    <n v="60225"/>
  </r>
  <r>
    <x v="0"/>
    <x v="0"/>
    <x v="0"/>
    <x v="0"/>
    <x v="1"/>
    <s v="DK2_Large"/>
    <x v="5"/>
    <x v="60"/>
    <x v="0"/>
    <x v="13"/>
    <n v="45.8333333333334"/>
    <n v="16729.166666666701"/>
    <n v="60225"/>
  </r>
  <r>
    <x v="0"/>
    <x v="0"/>
    <x v="0"/>
    <x v="0"/>
    <x v="1"/>
    <s v="DK2_Large"/>
    <x v="5"/>
    <x v="60"/>
    <x v="0"/>
    <x v="14"/>
    <n v="45.8333333333334"/>
    <n v="16729.166666666701"/>
    <n v="60225"/>
  </r>
  <r>
    <x v="0"/>
    <x v="0"/>
    <x v="0"/>
    <x v="0"/>
    <x v="1"/>
    <s v="DK2_Large"/>
    <x v="5"/>
    <x v="60"/>
    <x v="0"/>
    <x v="15"/>
    <n v="45.8333333333334"/>
    <n v="16729.166666666701"/>
    <n v="60225"/>
  </r>
  <r>
    <x v="0"/>
    <x v="0"/>
    <x v="0"/>
    <x v="0"/>
    <x v="1"/>
    <s v="DK2_Large"/>
    <x v="5"/>
    <x v="60"/>
    <x v="0"/>
    <x v="16"/>
    <n v="45.8333333333334"/>
    <n v="16729.166666666701"/>
    <n v="60225"/>
  </r>
  <r>
    <x v="0"/>
    <x v="0"/>
    <x v="0"/>
    <x v="0"/>
    <x v="1"/>
    <s v="DK2_Large"/>
    <x v="5"/>
    <x v="60"/>
    <x v="0"/>
    <x v="17"/>
    <n v="45.8333333333334"/>
    <n v="16729.166666666701"/>
    <n v="60225"/>
  </r>
  <r>
    <x v="0"/>
    <x v="0"/>
    <x v="0"/>
    <x v="0"/>
    <x v="1"/>
    <s v="DK2_Large"/>
    <x v="5"/>
    <x v="60"/>
    <x v="0"/>
    <x v="18"/>
    <n v="45.8333333333334"/>
    <n v="16729.166666666701"/>
    <n v="60225"/>
  </r>
  <r>
    <x v="0"/>
    <x v="0"/>
    <x v="0"/>
    <x v="0"/>
    <x v="1"/>
    <s v="DK2_Large"/>
    <x v="5"/>
    <x v="60"/>
    <x v="0"/>
    <x v="19"/>
    <n v="45.8333333333334"/>
    <n v="16729.166666666701"/>
    <n v="60225"/>
  </r>
  <r>
    <x v="0"/>
    <x v="0"/>
    <x v="0"/>
    <x v="0"/>
    <x v="1"/>
    <s v="DK2_Large"/>
    <x v="5"/>
    <x v="60"/>
    <x v="0"/>
    <x v="20"/>
    <n v="45.8333333333334"/>
    <n v="16729.166666666701"/>
    <n v="60225"/>
  </r>
  <r>
    <x v="0"/>
    <x v="0"/>
    <x v="0"/>
    <x v="0"/>
    <x v="1"/>
    <s v="DK2_Large"/>
    <x v="5"/>
    <x v="60"/>
    <x v="0"/>
    <x v="21"/>
    <n v="45.8333333333334"/>
    <n v="16729.166666666701"/>
    <n v="60225"/>
  </r>
  <r>
    <x v="0"/>
    <x v="0"/>
    <x v="0"/>
    <x v="0"/>
    <x v="1"/>
    <s v="DK2_Large"/>
    <x v="5"/>
    <x v="60"/>
    <x v="0"/>
    <x v="22"/>
    <n v="45.8333333333334"/>
    <n v="16729.166666666701"/>
    <n v="60225"/>
  </r>
  <r>
    <x v="0"/>
    <x v="0"/>
    <x v="0"/>
    <x v="0"/>
    <x v="1"/>
    <s v="DK2_Large"/>
    <x v="5"/>
    <x v="60"/>
    <x v="0"/>
    <x v="23"/>
    <n v="45.8333333333334"/>
    <n v="16729.166666666701"/>
    <n v="60225"/>
  </r>
  <r>
    <x v="0"/>
    <x v="0"/>
    <x v="0"/>
    <x v="0"/>
    <x v="1"/>
    <s v="DK2_Large"/>
    <x v="5"/>
    <x v="37"/>
    <x v="0"/>
    <x v="3"/>
    <n v="55.555555555555699"/>
    <n v="20277.777777777799"/>
    <n v="73000.000000000204"/>
  </r>
  <r>
    <x v="0"/>
    <x v="0"/>
    <x v="0"/>
    <x v="0"/>
    <x v="1"/>
    <s v="DK2_Large"/>
    <x v="5"/>
    <x v="37"/>
    <x v="0"/>
    <x v="4"/>
    <n v="55.555555555555699"/>
    <n v="20277.777777777799"/>
    <n v="73000.000000000204"/>
  </r>
  <r>
    <x v="0"/>
    <x v="0"/>
    <x v="0"/>
    <x v="0"/>
    <x v="1"/>
    <s v="DK2_Large"/>
    <x v="5"/>
    <x v="37"/>
    <x v="0"/>
    <x v="5"/>
    <n v="55.555555555555699"/>
    <n v="20277.777777777799"/>
    <n v="73000.000000000204"/>
  </r>
  <r>
    <x v="0"/>
    <x v="0"/>
    <x v="0"/>
    <x v="0"/>
    <x v="1"/>
    <s v="DK2_Large"/>
    <x v="5"/>
    <x v="37"/>
    <x v="0"/>
    <x v="6"/>
    <n v="55.555555555555699"/>
    <n v="20277.777777777799"/>
    <n v="73000.000000000204"/>
  </r>
  <r>
    <x v="0"/>
    <x v="0"/>
    <x v="0"/>
    <x v="0"/>
    <x v="1"/>
    <s v="DK2_Large"/>
    <x v="5"/>
    <x v="37"/>
    <x v="0"/>
    <x v="7"/>
    <n v="55.555555555555699"/>
    <n v="20277.777777777799"/>
    <n v="73000.000000000204"/>
  </r>
  <r>
    <x v="0"/>
    <x v="0"/>
    <x v="0"/>
    <x v="0"/>
    <x v="1"/>
    <s v="DK2_Large"/>
    <x v="5"/>
    <x v="37"/>
    <x v="0"/>
    <x v="8"/>
    <n v="55.555555555555699"/>
    <n v="20277.777777777799"/>
    <n v="73000.000000000204"/>
  </r>
  <r>
    <x v="0"/>
    <x v="0"/>
    <x v="0"/>
    <x v="0"/>
    <x v="1"/>
    <s v="DK2_Large"/>
    <x v="5"/>
    <x v="37"/>
    <x v="0"/>
    <x v="0"/>
    <n v="55.555555555555699"/>
    <n v="20277.777777777799"/>
    <n v="73000.000000000204"/>
  </r>
  <r>
    <x v="0"/>
    <x v="0"/>
    <x v="0"/>
    <x v="0"/>
    <x v="1"/>
    <s v="DK2_Large"/>
    <x v="5"/>
    <x v="37"/>
    <x v="0"/>
    <x v="1"/>
    <n v="55.555555555555699"/>
    <n v="20277.777777777799"/>
    <n v="73000.000000000204"/>
  </r>
  <r>
    <x v="0"/>
    <x v="0"/>
    <x v="0"/>
    <x v="0"/>
    <x v="1"/>
    <s v="DK2_Large"/>
    <x v="5"/>
    <x v="37"/>
    <x v="0"/>
    <x v="2"/>
    <n v="55.555555555555699"/>
    <n v="20277.777777777799"/>
    <n v="73000.000000000204"/>
  </r>
  <r>
    <x v="0"/>
    <x v="0"/>
    <x v="0"/>
    <x v="0"/>
    <x v="1"/>
    <s v="DK2_Large"/>
    <x v="5"/>
    <x v="37"/>
    <x v="0"/>
    <x v="9"/>
    <n v="55.555555555555699"/>
    <n v="20277.777777777799"/>
    <n v="73000.000000000204"/>
  </r>
  <r>
    <x v="0"/>
    <x v="0"/>
    <x v="0"/>
    <x v="0"/>
    <x v="1"/>
    <s v="DK2_Large"/>
    <x v="5"/>
    <x v="37"/>
    <x v="0"/>
    <x v="10"/>
    <n v="55.555555555555699"/>
    <n v="20277.777777777799"/>
    <n v="73000.000000000204"/>
  </r>
  <r>
    <x v="0"/>
    <x v="0"/>
    <x v="0"/>
    <x v="0"/>
    <x v="1"/>
    <s v="DK2_Large"/>
    <x v="5"/>
    <x v="37"/>
    <x v="0"/>
    <x v="11"/>
    <n v="55.555555555555699"/>
    <n v="20277.777777777799"/>
    <n v="73000.000000000204"/>
  </r>
  <r>
    <x v="0"/>
    <x v="0"/>
    <x v="0"/>
    <x v="0"/>
    <x v="1"/>
    <s v="DK2_Large"/>
    <x v="5"/>
    <x v="37"/>
    <x v="0"/>
    <x v="12"/>
    <n v="55.555555555555699"/>
    <n v="20277.777777777799"/>
    <n v="73000.000000000204"/>
  </r>
  <r>
    <x v="0"/>
    <x v="0"/>
    <x v="0"/>
    <x v="0"/>
    <x v="1"/>
    <s v="DK2_Large"/>
    <x v="5"/>
    <x v="37"/>
    <x v="0"/>
    <x v="13"/>
    <n v="55.555555555555699"/>
    <n v="20277.777777777799"/>
    <n v="73000.000000000204"/>
  </r>
  <r>
    <x v="0"/>
    <x v="0"/>
    <x v="0"/>
    <x v="0"/>
    <x v="1"/>
    <s v="DK2_Large"/>
    <x v="5"/>
    <x v="37"/>
    <x v="0"/>
    <x v="14"/>
    <n v="55.555555555555699"/>
    <n v="20277.777777777799"/>
    <n v="73000.000000000204"/>
  </r>
  <r>
    <x v="0"/>
    <x v="0"/>
    <x v="0"/>
    <x v="0"/>
    <x v="1"/>
    <s v="DK2_Large"/>
    <x v="5"/>
    <x v="37"/>
    <x v="0"/>
    <x v="15"/>
    <n v="55.555555555555699"/>
    <n v="20277.777777777799"/>
    <n v="73000.000000000204"/>
  </r>
  <r>
    <x v="0"/>
    <x v="0"/>
    <x v="0"/>
    <x v="0"/>
    <x v="1"/>
    <s v="DK2_Large"/>
    <x v="5"/>
    <x v="37"/>
    <x v="0"/>
    <x v="16"/>
    <n v="55.555555555555699"/>
    <n v="20277.777777777799"/>
    <n v="73000.000000000204"/>
  </r>
  <r>
    <x v="0"/>
    <x v="0"/>
    <x v="0"/>
    <x v="0"/>
    <x v="1"/>
    <s v="DK2_Large"/>
    <x v="5"/>
    <x v="37"/>
    <x v="0"/>
    <x v="17"/>
    <n v="55.555555555555699"/>
    <n v="20277.777777777799"/>
    <n v="73000.000000000204"/>
  </r>
  <r>
    <x v="0"/>
    <x v="0"/>
    <x v="0"/>
    <x v="0"/>
    <x v="1"/>
    <s v="DK2_Large"/>
    <x v="5"/>
    <x v="37"/>
    <x v="0"/>
    <x v="18"/>
    <n v="55.555555555555699"/>
    <n v="20277.777777777799"/>
    <n v="73000.000000000204"/>
  </r>
  <r>
    <x v="0"/>
    <x v="0"/>
    <x v="0"/>
    <x v="0"/>
    <x v="1"/>
    <s v="DK2_Large"/>
    <x v="5"/>
    <x v="37"/>
    <x v="0"/>
    <x v="19"/>
    <n v="55.555555555555699"/>
    <n v="20277.777777777799"/>
    <n v="73000.000000000204"/>
  </r>
  <r>
    <x v="0"/>
    <x v="0"/>
    <x v="0"/>
    <x v="0"/>
    <x v="1"/>
    <s v="DK2_Large"/>
    <x v="5"/>
    <x v="37"/>
    <x v="0"/>
    <x v="20"/>
    <n v="55.555555555555699"/>
    <n v="20277.777777777799"/>
    <n v="73000.000000000204"/>
  </r>
  <r>
    <x v="0"/>
    <x v="0"/>
    <x v="0"/>
    <x v="0"/>
    <x v="1"/>
    <s v="DK2_Large"/>
    <x v="5"/>
    <x v="37"/>
    <x v="0"/>
    <x v="21"/>
    <n v="55.555555555555699"/>
    <n v="20277.777777777799"/>
    <n v="73000.000000000204"/>
  </r>
  <r>
    <x v="0"/>
    <x v="0"/>
    <x v="0"/>
    <x v="0"/>
    <x v="1"/>
    <s v="DK2_Large"/>
    <x v="5"/>
    <x v="37"/>
    <x v="0"/>
    <x v="22"/>
    <n v="55.555555555555699"/>
    <n v="20277.777777777799"/>
    <n v="73000.000000000204"/>
  </r>
  <r>
    <x v="0"/>
    <x v="0"/>
    <x v="0"/>
    <x v="0"/>
    <x v="1"/>
    <s v="DK2_Large"/>
    <x v="5"/>
    <x v="37"/>
    <x v="0"/>
    <x v="23"/>
    <n v="55.555555555555699"/>
    <n v="20277.777777777799"/>
    <n v="73000.000000000204"/>
  </r>
  <r>
    <x v="0"/>
    <x v="0"/>
    <x v="0"/>
    <x v="0"/>
    <x v="1"/>
    <s v="DK2_Large"/>
    <x v="9"/>
    <x v="61"/>
    <x v="0"/>
    <x v="3"/>
    <n v="1136"/>
    <n v="414640"/>
    <n v="1492704"/>
  </r>
  <r>
    <x v="0"/>
    <x v="0"/>
    <x v="0"/>
    <x v="0"/>
    <x v="1"/>
    <s v="DK2_Large"/>
    <x v="9"/>
    <x v="61"/>
    <x v="0"/>
    <x v="4"/>
    <n v="1136"/>
    <n v="414640"/>
    <n v="1492704"/>
  </r>
  <r>
    <x v="0"/>
    <x v="0"/>
    <x v="0"/>
    <x v="0"/>
    <x v="1"/>
    <s v="DK2_Large"/>
    <x v="9"/>
    <x v="61"/>
    <x v="0"/>
    <x v="5"/>
    <n v="1136"/>
    <n v="414640"/>
    <n v="1492704"/>
  </r>
  <r>
    <x v="0"/>
    <x v="0"/>
    <x v="0"/>
    <x v="0"/>
    <x v="1"/>
    <s v="DK2_Large"/>
    <x v="9"/>
    <x v="61"/>
    <x v="0"/>
    <x v="6"/>
    <n v="1136"/>
    <n v="414640"/>
    <n v="1492704"/>
  </r>
  <r>
    <x v="0"/>
    <x v="0"/>
    <x v="0"/>
    <x v="0"/>
    <x v="1"/>
    <s v="DK2_Large"/>
    <x v="9"/>
    <x v="61"/>
    <x v="0"/>
    <x v="7"/>
    <n v="1136"/>
    <n v="414640"/>
    <n v="1492704"/>
  </r>
  <r>
    <x v="0"/>
    <x v="0"/>
    <x v="0"/>
    <x v="0"/>
    <x v="1"/>
    <s v="DK2_Large"/>
    <x v="9"/>
    <x v="61"/>
    <x v="0"/>
    <x v="8"/>
    <n v="1136"/>
    <n v="414640"/>
    <n v="1492704"/>
  </r>
  <r>
    <x v="0"/>
    <x v="0"/>
    <x v="0"/>
    <x v="0"/>
    <x v="1"/>
    <s v="DK2_Large"/>
    <x v="9"/>
    <x v="61"/>
    <x v="0"/>
    <x v="0"/>
    <n v="1136"/>
    <n v="414640"/>
    <n v="1492704"/>
  </r>
  <r>
    <x v="0"/>
    <x v="0"/>
    <x v="0"/>
    <x v="0"/>
    <x v="1"/>
    <s v="DK2_Large"/>
    <x v="9"/>
    <x v="61"/>
    <x v="0"/>
    <x v="1"/>
    <n v="1136"/>
    <n v="414640"/>
    <n v="1492704"/>
  </r>
  <r>
    <x v="0"/>
    <x v="0"/>
    <x v="0"/>
    <x v="0"/>
    <x v="1"/>
    <s v="DK2_Large"/>
    <x v="9"/>
    <x v="61"/>
    <x v="0"/>
    <x v="2"/>
    <n v="1136"/>
    <n v="414640"/>
    <n v="1492704"/>
  </r>
  <r>
    <x v="0"/>
    <x v="0"/>
    <x v="0"/>
    <x v="0"/>
    <x v="1"/>
    <s v="DK2_Large"/>
    <x v="9"/>
    <x v="61"/>
    <x v="0"/>
    <x v="9"/>
    <n v="1136"/>
    <n v="414640"/>
    <n v="1492704"/>
  </r>
  <r>
    <x v="0"/>
    <x v="0"/>
    <x v="0"/>
    <x v="0"/>
    <x v="1"/>
    <s v="DK2_Large"/>
    <x v="9"/>
    <x v="61"/>
    <x v="0"/>
    <x v="10"/>
    <n v="1136"/>
    <n v="414640"/>
    <n v="1492704"/>
  </r>
  <r>
    <x v="0"/>
    <x v="0"/>
    <x v="0"/>
    <x v="0"/>
    <x v="1"/>
    <s v="DK2_Large"/>
    <x v="9"/>
    <x v="61"/>
    <x v="0"/>
    <x v="11"/>
    <n v="1136"/>
    <n v="414640"/>
    <n v="1492704"/>
  </r>
  <r>
    <x v="0"/>
    <x v="0"/>
    <x v="0"/>
    <x v="0"/>
    <x v="1"/>
    <s v="DK2_Large"/>
    <x v="9"/>
    <x v="61"/>
    <x v="0"/>
    <x v="12"/>
    <n v="1136"/>
    <n v="414640"/>
    <n v="1492704"/>
  </r>
  <r>
    <x v="0"/>
    <x v="0"/>
    <x v="0"/>
    <x v="0"/>
    <x v="1"/>
    <s v="DK2_Large"/>
    <x v="9"/>
    <x v="61"/>
    <x v="0"/>
    <x v="13"/>
    <n v="1136"/>
    <n v="414640"/>
    <n v="1492704"/>
  </r>
  <r>
    <x v="0"/>
    <x v="0"/>
    <x v="0"/>
    <x v="0"/>
    <x v="1"/>
    <s v="DK2_Large"/>
    <x v="9"/>
    <x v="61"/>
    <x v="0"/>
    <x v="14"/>
    <n v="1136"/>
    <n v="414640"/>
    <n v="1492704"/>
  </r>
  <r>
    <x v="0"/>
    <x v="0"/>
    <x v="0"/>
    <x v="0"/>
    <x v="1"/>
    <s v="DK2_Large"/>
    <x v="9"/>
    <x v="61"/>
    <x v="0"/>
    <x v="15"/>
    <n v="1136"/>
    <n v="414640"/>
    <n v="1492704"/>
  </r>
  <r>
    <x v="0"/>
    <x v="0"/>
    <x v="0"/>
    <x v="0"/>
    <x v="1"/>
    <s v="DK2_Large"/>
    <x v="9"/>
    <x v="61"/>
    <x v="0"/>
    <x v="16"/>
    <n v="1136"/>
    <n v="414640"/>
    <n v="1492704"/>
  </r>
  <r>
    <x v="0"/>
    <x v="0"/>
    <x v="0"/>
    <x v="0"/>
    <x v="1"/>
    <s v="DK2_Large"/>
    <x v="9"/>
    <x v="61"/>
    <x v="0"/>
    <x v="17"/>
    <n v="1136"/>
    <n v="414640"/>
    <n v="1492704"/>
  </r>
  <r>
    <x v="0"/>
    <x v="0"/>
    <x v="0"/>
    <x v="0"/>
    <x v="1"/>
    <s v="DK2_Large"/>
    <x v="9"/>
    <x v="61"/>
    <x v="0"/>
    <x v="18"/>
    <n v="1136"/>
    <n v="414640"/>
    <n v="1492704"/>
  </r>
  <r>
    <x v="0"/>
    <x v="0"/>
    <x v="0"/>
    <x v="0"/>
    <x v="1"/>
    <s v="DK2_Large"/>
    <x v="9"/>
    <x v="61"/>
    <x v="0"/>
    <x v="19"/>
    <n v="1136"/>
    <n v="414640"/>
    <n v="1492704"/>
  </r>
  <r>
    <x v="0"/>
    <x v="0"/>
    <x v="0"/>
    <x v="0"/>
    <x v="1"/>
    <s v="DK2_Large"/>
    <x v="9"/>
    <x v="61"/>
    <x v="0"/>
    <x v="20"/>
    <n v="1136"/>
    <n v="414640"/>
    <n v="1492704"/>
  </r>
  <r>
    <x v="0"/>
    <x v="0"/>
    <x v="0"/>
    <x v="0"/>
    <x v="1"/>
    <s v="DK2_Large"/>
    <x v="9"/>
    <x v="61"/>
    <x v="0"/>
    <x v="21"/>
    <n v="1136"/>
    <n v="414640"/>
    <n v="1492704"/>
  </r>
  <r>
    <x v="0"/>
    <x v="0"/>
    <x v="0"/>
    <x v="0"/>
    <x v="1"/>
    <s v="DK2_Large"/>
    <x v="9"/>
    <x v="61"/>
    <x v="0"/>
    <x v="22"/>
    <n v="1136"/>
    <n v="414640"/>
    <n v="1492704"/>
  </r>
  <r>
    <x v="0"/>
    <x v="0"/>
    <x v="0"/>
    <x v="0"/>
    <x v="1"/>
    <s v="DK2_Large"/>
    <x v="9"/>
    <x v="61"/>
    <x v="0"/>
    <x v="23"/>
    <n v="1136"/>
    <n v="414640"/>
    <n v="1492704"/>
  </r>
  <r>
    <x v="0"/>
    <x v="0"/>
    <x v="0"/>
    <x v="0"/>
    <x v="1"/>
    <s v="DK2_Large"/>
    <x v="10"/>
    <x v="62"/>
    <x v="0"/>
    <x v="3"/>
    <n v="7.4"/>
    <n v="2701"/>
    <n v="9723.6"/>
  </r>
  <r>
    <x v="0"/>
    <x v="0"/>
    <x v="0"/>
    <x v="0"/>
    <x v="1"/>
    <s v="DK2_Large"/>
    <x v="10"/>
    <x v="62"/>
    <x v="0"/>
    <x v="4"/>
    <n v="7.4"/>
    <n v="2701"/>
    <n v="9723.6"/>
  </r>
  <r>
    <x v="0"/>
    <x v="0"/>
    <x v="0"/>
    <x v="0"/>
    <x v="1"/>
    <s v="DK2_Large"/>
    <x v="10"/>
    <x v="62"/>
    <x v="0"/>
    <x v="5"/>
    <n v="7.4"/>
    <n v="2701"/>
    <n v="9723.6"/>
  </r>
  <r>
    <x v="0"/>
    <x v="0"/>
    <x v="0"/>
    <x v="0"/>
    <x v="1"/>
    <s v="DK2_Large"/>
    <x v="10"/>
    <x v="62"/>
    <x v="0"/>
    <x v="6"/>
    <n v="7.4"/>
    <n v="2701"/>
    <n v="9723.6"/>
  </r>
  <r>
    <x v="0"/>
    <x v="0"/>
    <x v="0"/>
    <x v="0"/>
    <x v="1"/>
    <s v="DK2_Large"/>
    <x v="10"/>
    <x v="62"/>
    <x v="0"/>
    <x v="7"/>
    <n v="7.4"/>
    <n v="2701"/>
    <n v="9723.6"/>
  </r>
  <r>
    <x v="0"/>
    <x v="0"/>
    <x v="0"/>
    <x v="0"/>
    <x v="1"/>
    <s v="DK2_Large"/>
    <x v="10"/>
    <x v="62"/>
    <x v="0"/>
    <x v="8"/>
    <n v="7.4"/>
    <n v="2701"/>
    <n v="9723.6"/>
  </r>
  <r>
    <x v="0"/>
    <x v="0"/>
    <x v="0"/>
    <x v="0"/>
    <x v="1"/>
    <s v="DK2_Large"/>
    <x v="10"/>
    <x v="62"/>
    <x v="0"/>
    <x v="0"/>
    <n v="7.4"/>
    <n v="2701"/>
    <n v="9723.6"/>
  </r>
  <r>
    <x v="0"/>
    <x v="0"/>
    <x v="0"/>
    <x v="0"/>
    <x v="1"/>
    <s v="DK2_Large"/>
    <x v="10"/>
    <x v="62"/>
    <x v="0"/>
    <x v="1"/>
    <n v="7.4"/>
    <n v="2701"/>
    <n v="9723.6"/>
  </r>
  <r>
    <x v="0"/>
    <x v="0"/>
    <x v="0"/>
    <x v="0"/>
    <x v="1"/>
    <s v="DK2_Large"/>
    <x v="10"/>
    <x v="62"/>
    <x v="0"/>
    <x v="2"/>
    <n v="7.4"/>
    <n v="2701"/>
    <n v="9723.6"/>
  </r>
  <r>
    <x v="0"/>
    <x v="0"/>
    <x v="0"/>
    <x v="0"/>
    <x v="1"/>
    <s v="DK2_Large"/>
    <x v="10"/>
    <x v="62"/>
    <x v="0"/>
    <x v="9"/>
    <n v="7.4"/>
    <n v="2701"/>
    <n v="9723.6"/>
  </r>
  <r>
    <x v="0"/>
    <x v="0"/>
    <x v="0"/>
    <x v="0"/>
    <x v="1"/>
    <s v="DK2_Large"/>
    <x v="10"/>
    <x v="62"/>
    <x v="0"/>
    <x v="10"/>
    <n v="7.4"/>
    <n v="2701"/>
    <n v="9723.6"/>
  </r>
  <r>
    <x v="0"/>
    <x v="0"/>
    <x v="0"/>
    <x v="0"/>
    <x v="1"/>
    <s v="DK2_Large"/>
    <x v="10"/>
    <x v="62"/>
    <x v="0"/>
    <x v="11"/>
    <n v="7.4"/>
    <n v="2701"/>
    <n v="9723.6"/>
  </r>
  <r>
    <x v="0"/>
    <x v="0"/>
    <x v="0"/>
    <x v="0"/>
    <x v="1"/>
    <s v="DK2_Large"/>
    <x v="10"/>
    <x v="62"/>
    <x v="0"/>
    <x v="12"/>
    <n v="7.4"/>
    <n v="2701"/>
    <n v="9723.6"/>
  </r>
  <r>
    <x v="0"/>
    <x v="0"/>
    <x v="0"/>
    <x v="0"/>
    <x v="1"/>
    <s v="DK2_Large"/>
    <x v="10"/>
    <x v="62"/>
    <x v="0"/>
    <x v="13"/>
    <n v="7.4"/>
    <n v="2701"/>
    <n v="9723.6"/>
  </r>
  <r>
    <x v="0"/>
    <x v="0"/>
    <x v="0"/>
    <x v="0"/>
    <x v="1"/>
    <s v="DK2_Large"/>
    <x v="10"/>
    <x v="62"/>
    <x v="0"/>
    <x v="14"/>
    <n v="7.4"/>
    <n v="2701"/>
    <n v="9723.6"/>
  </r>
  <r>
    <x v="0"/>
    <x v="0"/>
    <x v="0"/>
    <x v="0"/>
    <x v="1"/>
    <s v="DK2_Large"/>
    <x v="10"/>
    <x v="62"/>
    <x v="0"/>
    <x v="15"/>
    <n v="7.4"/>
    <n v="2701"/>
    <n v="9723.6"/>
  </r>
  <r>
    <x v="0"/>
    <x v="0"/>
    <x v="0"/>
    <x v="0"/>
    <x v="1"/>
    <s v="DK2_Large"/>
    <x v="10"/>
    <x v="62"/>
    <x v="0"/>
    <x v="16"/>
    <n v="7.4"/>
    <n v="2701"/>
    <n v="9723.6"/>
  </r>
  <r>
    <x v="0"/>
    <x v="0"/>
    <x v="0"/>
    <x v="0"/>
    <x v="1"/>
    <s v="DK2_Large"/>
    <x v="10"/>
    <x v="62"/>
    <x v="0"/>
    <x v="17"/>
    <n v="7.4"/>
    <n v="2701"/>
    <n v="9723.6"/>
  </r>
  <r>
    <x v="0"/>
    <x v="0"/>
    <x v="0"/>
    <x v="0"/>
    <x v="1"/>
    <s v="DK2_Large"/>
    <x v="10"/>
    <x v="62"/>
    <x v="0"/>
    <x v="18"/>
    <n v="7.4"/>
    <n v="2701"/>
    <n v="9723.6"/>
  </r>
  <r>
    <x v="0"/>
    <x v="0"/>
    <x v="0"/>
    <x v="0"/>
    <x v="1"/>
    <s v="DK2_Large"/>
    <x v="10"/>
    <x v="62"/>
    <x v="0"/>
    <x v="19"/>
    <n v="7.4"/>
    <n v="2701"/>
    <n v="9723.6"/>
  </r>
  <r>
    <x v="0"/>
    <x v="0"/>
    <x v="0"/>
    <x v="0"/>
    <x v="1"/>
    <s v="DK2_Large"/>
    <x v="10"/>
    <x v="62"/>
    <x v="0"/>
    <x v="20"/>
    <n v="7.4"/>
    <n v="2701"/>
    <n v="9723.6"/>
  </r>
  <r>
    <x v="0"/>
    <x v="0"/>
    <x v="0"/>
    <x v="0"/>
    <x v="1"/>
    <s v="DK2_Large"/>
    <x v="10"/>
    <x v="62"/>
    <x v="0"/>
    <x v="21"/>
    <n v="7.4"/>
    <n v="2701"/>
    <n v="9723.6"/>
  </r>
  <r>
    <x v="0"/>
    <x v="0"/>
    <x v="0"/>
    <x v="0"/>
    <x v="1"/>
    <s v="DK2_Large"/>
    <x v="10"/>
    <x v="62"/>
    <x v="0"/>
    <x v="22"/>
    <n v="7.4"/>
    <n v="2701"/>
    <n v="9723.6"/>
  </r>
  <r>
    <x v="0"/>
    <x v="0"/>
    <x v="0"/>
    <x v="0"/>
    <x v="1"/>
    <s v="DK2_Large"/>
    <x v="10"/>
    <x v="62"/>
    <x v="0"/>
    <x v="23"/>
    <n v="7.4"/>
    <n v="2701"/>
    <n v="9723.6"/>
  </r>
  <r>
    <x v="0"/>
    <x v="0"/>
    <x v="0"/>
    <x v="0"/>
    <x v="1"/>
    <s v="DK2_MedSmall"/>
    <x v="1"/>
    <x v="1"/>
    <x v="0"/>
    <x v="3"/>
    <n v="16.1904761904762"/>
    <n v="5909.5238095238101"/>
    <n v="21274.285714285699"/>
  </r>
  <r>
    <x v="0"/>
    <x v="0"/>
    <x v="0"/>
    <x v="0"/>
    <x v="1"/>
    <s v="DK2_MedSmall"/>
    <x v="1"/>
    <x v="1"/>
    <x v="0"/>
    <x v="4"/>
    <n v="16.1904761904762"/>
    <n v="5909.5238095238101"/>
    <n v="21274.285714285699"/>
  </r>
  <r>
    <x v="0"/>
    <x v="0"/>
    <x v="0"/>
    <x v="0"/>
    <x v="1"/>
    <s v="DK2_MedSmall"/>
    <x v="1"/>
    <x v="1"/>
    <x v="0"/>
    <x v="5"/>
    <n v="16.1904761904762"/>
    <n v="5909.5238095238101"/>
    <n v="21274.285714285699"/>
  </r>
  <r>
    <x v="0"/>
    <x v="0"/>
    <x v="0"/>
    <x v="0"/>
    <x v="1"/>
    <s v="DK2_MedSmall"/>
    <x v="1"/>
    <x v="1"/>
    <x v="0"/>
    <x v="6"/>
    <n v="16.1904761904762"/>
    <n v="5909.5238095238101"/>
    <n v="21274.285714285699"/>
  </r>
  <r>
    <x v="0"/>
    <x v="0"/>
    <x v="0"/>
    <x v="0"/>
    <x v="1"/>
    <s v="DK2_MedSmall"/>
    <x v="1"/>
    <x v="1"/>
    <x v="0"/>
    <x v="7"/>
    <n v="16.1904761904762"/>
    <n v="5909.5238095238101"/>
    <n v="21274.285714285699"/>
  </r>
  <r>
    <x v="0"/>
    <x v="0"/>
    <x v="0"/>
    <x v="0"/>
    <x v="1"/>
    <s v="DK2_MedSmall"/>
    <x v="1"/>
    <x v="1"/>
    <x v="0"/>
    <x v="8"/>
    <n v="4.9807519035883896"/>
    <n v="1817.9744448097599"/>
    <n v="6544.7080013151499"/>
  </r>
  <r>
    <x v="0"/>
    <x v="0"/>
    <x v="0"/>
    <x v="0"/>
    <x v="1"/>
    <s v="DK2_MedSmall"/>
    <x v="1"/>
    <x v="1"/>
    <x v="0"/>
    <x v="20"/>
    <n v="16.1904761904762"/>
    <n v="5909.5238095238101"/>
    <n v="21274.285714285699"/>
  </r>
  <r>
    <x v="0"/>
    <x v="0"/>
    <x v="0"/>
    <x v="0"/>
    <x v="1"/>
    <s v="DK2_MedSmall"/>
    <x v="1"/>
    <x v="1"/>
    <x v="0"/>
    <x v="21"/>
    <n v="16.1904761904762"/>
    <n v="5909.5238095238101"/>
    <n v="21274.285714285699"/>
  </r>
  <r>
    <x v="0"/>
    <x v="0"/>
    <x v="0"/>
    <x v="0"/>
    <x v="1"/>
    <s v="DK2_MedSmall"/>
    <x v="1"/>
    <x v="1"/>
    <x v="0"/>
    <x v="22"/>
    <n v="16.1904761904762"/>
    <n v="5909.5238095238101"/>
    <n v="21274.285714285699"/>
  </r>
  <r>
    <x v="0"/>
    <x v="0"/>
    <x v="0"/>
    <x v="0"/>
    <x v="1"/>
    <s v="DK2_MedSmall"/>
    <x v="1"/>
    <x v="1"/>
    <x v="0"/>
    <x v="23"/>
    <n v="16.1904761904762"/>
    <n v="5909.5238095238101"/>
    <n v="21274.285714285699"/>
  </r>
  <r>
    <x v="0"/>
    <x v="0"/>
    <x v="0"/>
    <x v="0"/>
    <x v="1"/>
    <s v="DK2_MedSmall"/>
    <x v="1"/>
    <x v="24"/>
    <x v="0"/>
    <x v="0"/>
    <n v="31.904761904762001"/>
    <n v="11645.238095238101"/>
    <n v="41922.857142857203"/>
  </r>
  <r>
    <x v="0"/>
    <x v="0"/>
    <x v="0"/>
    <x v="0"/>
    <x v="1"/>
    <s v="DK2_MedSmall"/>
    <x v="1"/>
    <x v="24"/>
    <x v="0"/>
    <x v="1"/>
    <n v="31.904761904762001"/>
    <n v="11645.238095238101"/>
    <n v="41922.857142857203"/>
  </r>
  <r>
    <x v="0"/>
    <x v="0"/>
    <x v="0"/>
    <x v="0"/>
    <x v="1"/>
    <s v="DK2_MedSmall"/>
    <x v="1"/>
    <x v="24"/>
    <x v="0"/>
    <x v="2"/>
    <n v="31.904761904762001"/>
    <n v="11645.238095238101"/>
    <n v="41922.857142857203"/>
  </r>
  <r>
    <x v="0"/>
    <x v="0"/>
    <x v="0"/>
    <x v="0"/>
    <x v="1"/>
    <s v="DK2_MedSmall"/>
    <x v="1"/>
    <x v="24"/>
    <x v="0"/>
    <x v="9"/>
    <n v="31.904761904762001"/>
    <n v="11645.238095238101"/>
    <n v="41922.857142857203"/>
  </r>
  <r>
    <x v="0"/>
    <x v="0"/>
    <x v="0"/>
    <x v="0"/>
    <x v="1"/>
    <s v="DK2_MedSmall"/>
    <x v="1"/>
    <x v="24"/>
    <x v="0"/>
    <x v="10"/>
    <n v="31.904761904762001"/>
    <n v="11645.238095238101"/>
    <n v="41922.857142857203"/>
  </r>
  <r>
    <x v="0"/>
    <x v="0"/>
    <x v="0"/>
    <x v="0"/>
    <x v="1"/>
    <s v="DK2_MedSmall"/>
    <x v="1"/>
    <x v="24"/>
    <x v="0"/>
    <x v="11"/>
    <n v="31.904761904762001"/>
    <n v="11645.238095238101"/>
    <n v="41922.857142857203"/>
  </r>
  <r>
    <x v="0"/>
    <x v="0"/>
    <x v="0"/>
    <x v="0"/>
    <x v="1"/>
    <s v="DK2_MedSmall"/>
    <x v="1"/>
    <x v="24"/>
    <x v="0"/>
    <x v="14"/>
    <n v="31.904761904762001"/>
    <n v="11645.238095238101"/>
    <n v="41922.857142857203"/>
  </r>
  <r>
    <x v="0"/>
    <x v="0"/>
    <x v="0"/>
    <x v="0"/>
    <x v="1"/>
    <s v="DK2_MedSmall"/>
    <x v="1"/>
    <x v="24"/>
    <x v="0"/>
    <x v="15"/>
    <n v="31.904761904762001"/>
    <n v="11645.238095238101"/>
    <n v="41922.857142857203"/>
  </r>
  <r>
    <x v="0"/>
    <x v="0"/>
    <x v="0"/>
    <x v="0"/>
    <x v="1"/>
    <s v="DK2_MedSmall"/>
    <x v="1"/>
    <x v="24"/>
    <x v="0"/>
    <x v="16"/>
    <n v="31.904761904762001"/>
    <n v="11645.238095238101"/>
    <n v="41922.857142857203"/>
  </r>
  <r>
    <x v="0"/>
    <x v="0"/>
    <x v="0"/>
    <x v="0"/>
    <x v="1"/>
    <s v="DK2_MedSmall"/>
    <x v="1"/>
    <x v="24"/>
    <x v="0"/>
    <x v="17"/>
    <n v="31.904761904762001"/>
    <n v="11645.238095238101"/>
    <n v="41922.857142857203"/>
  </r>
  <r>
    <x v="0"/>
    <x v="0"/>
    <x v="0"/>
    <x v="0"/>
    <x v="1"/>
    <s v="DK2_MedSmall"/>
    <x v="1"/>
    <x v="24"/>
    <x v="0"/>
    <x v="18"/>
    <n v="31.904761904762001"/>
    <n v="11645.238095238101"/>
    <n v="41922.857142857203"/>
  </r>
  <r>
    <x v="0"/>
    <x v="0"/>
    <x v="0"/>
    <x v="0"/>
    <x v="1"/>
    <s v="DK2_MedSmall"/>
    <x v="1"/>
    <x v="24"/>
    <x v="0"/>
    <x v="19"/>
    <n v="31.904761904762001"/>
    <n v="11645.238095238101"/>
    <n v="41922.857142857203"/>
  </r>
  <r>
    <x v="0"/>
    <x v="0"/>
    <x v="0"/>
    <x v="0"/>
    <x v="1"/>
    <s v="DK2_MedSmall"/>
    <x v="1"/>
    <x v="63"/>
    <x v="0"/>
    <x v="0"/>
    <n v="43.6"/>
    <n v="15914"/>
    <n v="57290.400000000103"/>
  </r>
  <r>
    <x v="0"/>
    <x v="0"/>
    <x v="0"/>
    <x v="0"/>
    <x v="1"/>
    <s v="DK2_MedSmall"/>
    <x v="1"/>
    <x v="63"/>
    <x v="0"/>
    <x v="1"/>
    <n v="43.6"/>
    <n v="15914"/>
    <n v="57290.400000000103"/>
  </r>
  <r>
    <x v="0"/>
    <x v="0"/>
    <x v="0"/>
    <x v="0"/>
    <x v="1"/>
    <s v="DK2_MedSmall"/>
    <x v="1"/>
    <x v="63"/>
    <x v="0"/>
    <x v="2"/>
    <n v="43.6"/>
    <n v="15914"/>
    <n v="57290.400000000103"/>
  </r>
  <r>
    <x v="0"/>
    <x v="0"/>
    <x v="0"/>
    <x v="0"/>
    <x v="1"/>
    <s v="DK2_MedSmall"/>
    <x v="1"/>
    <x v="63"/>
    <x v="0"/>
    <x v="9"/>
    <n v="43.6"/>
    <n v="15914"/>
    <n v="57290.400000000103"/>
  </r>
  <r>
    <x v="0"/>
    <x v="0"/>
    <x v="0"/>
    <x v="0"/>
    <x v="1"/>
    <s v="DK2_MedSmall"/>
    <x v="1"/>
    <x v="63"/>
    <x v="0"/>
    <x v="10"/>
    <n v="43.6"/>
    <n v="15914"/>
    <n v="57290.400000000103"/>
  </r>
  <r>
    <x v="0"/>
    <x v="0"/>
    <x v="0"/>
    <x v="0"/>
    <x v="1"/>
    <s v="DK2_MedSmall"/>
    <x v="1"/>
    <x v="63"/>
    <x v="0"/>
    <x v="11"/>
    <n v="43.6"/>
    <n v="15914"/>
    <n v="57290.400000000103"/>
  </r>
  <r>
    <x v="0"/>
    <x v="0"/>
    <x v="0"/>
    <x v="0"/>
    <x v="1"/>
    <s v="DK2_MedSmall"/>
    <x v="1"/>
    <x v="63"/>
    <x v="0"/>
    <x v="14"/>
    <n v="43.6"/>
    <n v="15914"/>
    <n v="57290.400000000103"/>
  </r>
  <r>
    <x v="0"/>
    <x v="0"/>
    <x v="0"/>
    <x v="0"/>
    <x v="1"/>
    <s v="DK2_MedSmall"/>
    <x v="1"/>
    <x v="63"/>
    <x v="0"/>
    <x v="15"/>
    <n v="43.6"/>
    <n v="15914"/>
    <n v="57290.400000000103"/>
  </r>
  <r>
    <x v="0"/>
    <x v="0"/>
    <x v="0"/>
    <x v="0"/>
    <x v="1"/>
    <s v="DK2_MedSmall"/>
    <x v="1"/>
    <x v="63"/>
    <x v="0"/>
    <x v="16"/>
    <n v="43.6"/>
    <n v="15914"/>
    <n v="57290.400000000103"/>
  </r>
  <r>
    <x v="0"/>
    <x v="0"/>
    <x v="0"/>
    <x v="0"/>
    <x v="1"/>
    <s v="DK2_MedSmall"/>
    <x v="1"/>
    <x v="63"/>
    <x v="0"/>
    <x v="17"/>
    <n v="43.6"/>
    <n v="15914"/>
    <n v="57290.400000000103"/>
  </r>
  <r>
    <x v="0"/>
    <x v="0"/>
    <x v="0"/>
    <x v="0"/>
    <x v="1"/>
    <s v="DK2_MedSmall"/>
    <x v="1"/>
    <x v="63"/>
    <x v="0"/>
    <x v="18"/>
    <n v="43.6"/>
    <n v="15914"/>
    <n v="57290.400000000103"/>
  </r>
  <r>
    <x v="0"/>
    <x v="0"/>
    <x v="0"/>
    <x v="0"/>
    <x v="1"/>
    <s v="DK2_MedSmall"/>
    <x v="1"/>
    <x v="63"/>
    <x v="0"/>
    <x v="19"/>
    <n v="43.6"/>
    <n v="15914"/>
    <n v="57290.400000000103"/>
  </r>
  <r>
    <x v="0"/>
    <x v="0"/>
    <x v="0"/>
    <x v="0"/>
    <x v="1"/>
    <s v="DK2_MedSmall"/>
    <x v="1"/>
    <x v="63"/>
    <x v="0"/>
    <x v="20"/>
    <n v="18.4752062265412"/>
    <n v="6743.4502726875498"/>
    <n v="24276.420981675201"/>
  </r>
  <r>
    <x v="0"/>
    <x v="0"/>
    <x v="0"/>
    <x v="0"/>
    <x v="1"/>
    <s v="DK2_MedSmall"/>
    <x v="1"/>
    <x v="64"/>
    <x v="0"/>
    <x v="7"/>
    <n v="24.060188404227599"/>
    <n v="8781.9687675430796"/>
    <n v="31615.087563155099"/>
  </r>
  <r>
    <x v="0"/>
    <x v="0"/>
    <x v="0"/>
    <x v="0"/>
    <x v="1"/>
    <s v="DK2_MedSmall"/>
    <x v="1"/>
    <x v="64"/>
    <x v="0"/>
    <x v="8"/>
    <n v="44.448275862069103"/>
    <n v="16223.620689655199"/>
    <n v="58405.034482758798"/>
  </r>
  <r>
    <x v="0"/>
    <x v="0"/>
    <x v="0"/>
    <x v="0"/>
    <x v="1"/>
    <s v="DK2_MedSmall"/>
    <x v="1"/>
    <x v="64"/>
    <x v="0"/>
    <x v="0"/>
    <n v="44.448275862069103"/>
    <n v="16223.620689655199"/>
    <n v="58405.034482758798"/>
  </r>
  <r>
    <x v="0"/>
    <x v="0"/>
    <x v="0"/>
    <x v="0"/>
    <x v="1"/>
    <s v="DK2_MedSmall"/>
    <x v="1"/>
    <x v="64"/>
    <x v="0"/>
    <x v="1"/>
    <n v="44.448275862069103"/>
    <n v="16223.620689655199"/>
    <n v="58405.034482758798"/>
  </r>
  <r>
    <x v="0"/>
    <x v="0"/>
    <x v="0"/>
    <x v="0"/>
    <x v="1"/>
    <s v="DK2_MedSmall"/>
    <x v="1"/>
    <x v="64"/>
    <x v="0"/>
    <x v="2"/>
    <n v="44.448275862069103"/>
    <n v="16223.620689655199"/>
    <n v="58405.034482758798"/>
  </r>
  <r>
    <x v="0"/>
    <x v="0"/>
    <x v="0"/>
    <x v="0"/>
    <x v="1"/>
    <s v="DK2_MedSmall"/>
    <x v="1"/>
    <x v="64"/>
    <x v="0"/>
    <x v="9"/>
    <n v="44.448275862069103"/>
    <n v="16223.620689655199"/>
    <n v="58405.034482758798"/>
  </r>
  <r>
    <x v="0"/>
    <x v="0"/>
    <x v="0"/>
    <x v="0"/>
    <x v="1"/>
    <s v="DK2_MedSmall"/>
    <x v="1"/>
    <x v="64"/>
    <x v="0"/>
    <x v="10"/>
    <n v="44.448275862069103"/>
    <n v="16223.620689655199"/>
    <n v="58405.034482758798"/>
  </r>
  <r>
    <x v="0"/>
    <x v="0"/>
    <x v="0"/>
    <x v="0"/>
    <x v="1"/>
    <s v="DK2_MedSmall"/>
    <x v="1"/>
    <x v="64"/>
    <x v="0"/>
    <x v="11"/>
    <n v="44.448275862069103"/>
    <n v="16223.620689655199"/>
    <n v="58405.034482758798"/>
  </r>
  <r>
    <x v="0"/>
    <x v="0"/>
    <x v="0"/>
    <x v="0"/>
    <x v="1"/>
    <s v="DK2_MedSmall"/>
    <x v="1"/>
    <x v="64"/>
    <x v="0"/>
    <x v="12"/>
    <n v="20.635866754633302"/>
    <n v="7532.0913654411397"/>
    <n v="27115.5289155881"/>
  </r>
  <r>
    <x v="0"/>
    <x v="0"/>
    <x v="0"/>
    <x v="0"/>
    <x v="1"/>
    <s v="DK2_MedSmall"/>
    <x v="1"/>
    <x v="64"/>
    <x v="0"/>
    <x v="13"/>
    <n v="44.448275862069103"/>
    <n v="16223.620689655199"/>
    <n v="58405.034482758798"/>
  </r>
  <r>
    <x v="0"/>
    <x v="0"/>
    <x v="0"/>
    <x v="0"/>
    <x v="1"/>
    <s v="DK2_MedSmall"/>
    <x v="1"/>
    <x v="64"/>
    <x v="0"/>
    <x v="14"/>
    <n v="44.448275862069103"/>
    <n v="16223.620689655199"/>
    <n v="58405.034482758798"/>
  </r>
  <r>
    <x v="0"/>
    <x v="0"/>
    <x v="0"/>
    <x v="0"/>
    <x v="1"/>
    <s v="DK2_MedSmall"/>
    <x v="1"/>
    <x v="64"/>
    <x v="0"/>
    <x v="15"/>
    <n v="44.448275862069103"/>
    <n v="16223.620689655199"/>
    <n v="58405.034482758798"/>
  </r>
  <r>
    <x v="0"/>
    <x v="0"/>
    <x v="0"/>
    <x v="0"/>
    <x v="1"/>
    <s v="DK2_MedSmall"/>
    <x v="1"/>
    <x v="64"/>
    <x v="0"/>
    <x v="16"/>
    <n v="44.448275862069103"/>
    <n v="16223.620689655199"/>
    <n v="58405.034482758798"/>
  </r>
  <r>
    <x v="0"/>
    <x v="0"/>
    <x v="0"/>
    <x v="0"/>
    <x v="1"/>
    <s v="DK2_MedSmall"/>
    <x v="1"/>
    <x v="64"/>
    <x v="0"/>
    <x v="17"/>
    <n v="44.448275862069103"/>
    <n v="16223.620689655199"/>
    <n v="58405.034482758798"/>
  </r>
  <r>
    <x v="0"/>
    <x v="0"/>
    <x v="0"/>
    <x v="0"/>
    <x v="1"/>
    <s v="DK2_MedSmall"/>
    <x v="1"/>
    <x v="64"/>
    <x v="0"/>
    <x v="18"/>
    <n v="44.448275862069103"/>
    <n v="16223.620689655199"/>
    <n v="58405.034482758798"/>
  </r>
  <r>
    <x v="0"/>
    <x v="0"/>
    <x v="0"/>
    <x v="0"/>
    <x v="1"/>
    <s v="DK2_MedSmall"/>
    <x v="1"/>
    <x v="64"/>
    <x v="0"/>
    <x v="19"/>
    <n v="44.448275862069103"/>
    <n v="16223.620689655199"/>
    <n v="58405.034482758798"/>
  </r>
  <r>
    <x v="0"/>
    <x v="0"/>
    <x v="0"/>
    <x v="0"/>
    <x v="1"/>
    <s v="DK2_MedSmall"/>
    <x v="1"/>
    <x v="64"/>
    <x v="0"/>
    <x v="20"/>
    <n v="44.448275862069103"/>
    <n v="16223.620689655199"/>
    <n v="58405.034482758798"/>
  </r>
  <r>
    <x v="0"/>
    <x v="0"/>
    <x v="0"/>
    <x v="0"/>
    <x v="1"/>
    <s v="DK2_MedSmall"/>
    <x v="1"/>
    <x v="64"/>
    <x v="0"/>
    <x v="21"/>
    <n v="32.1874145050623"/>
    <n v="11748.4062943477"/>
    <n v="42294.262659651897"/>
  </r>
  <r>
    <x v="0"/>
    <x v="0"/>
    <x v="0"/>
    <x v="0"/>
    <x v="1"/>
    <s v="DK2_MedSmall"/>
    <x v="2"/>
    <x v="10"/>
    <x v="0"/>
    <x v="3"/>
    <n v="3.7"/>
    <n v="1350.5"/>
    <n v="4861.8"/>
  </r>
  <r>
    <x v="0"/>
    <x v="0"/>
    <x v="0"/>
    <x v="0"/>
    <x v="1"/>
    <s v="DK2_MedSmall"/>
    <x v="2"/>
    <x v="10"/>
    <x v="0"/>
    <x v="4"/>
    <n v="3.7"/>
    <n v="1350.5"/>
    <n v="4861.8"/>
  </r>
  <r>
    <x v="0"/>
    <x v="0"/>
    <x v="0"/>
    <x v="0"/>
    <x v="1"/>
    <s v="DK2_MedSmall"/>
    <x v="2"/>
    <x v="10"/>
    <x v="0"/>
    <x v="5"/>
    <n v="3.7"/>
    <n v="1350.5"/>
    <n v="4861.8"/>
  </r>
  <r>
    <x v="0"/>
    <x v="0"/>
    <x v="0"/>
    <x v="0"/>
    <x v="1"/>
    <s v="DK2_MedSmall"/>
    <x v="2"/>
    <x v="10"/>
    <x v="0"/>
    <x v="6"/>
    <n v="3.7"/>
    <n v="1350.5"/>
    <n v="4861.8"/>
  </r>
  <r>
    <x v="0"/>
    <x v="0"/>
    <x v="0"/>
    <x v="0"/>
    <x v="1"/>
    <s v="DK2_MedSmall"/>
    <x v="2"/>
    <x v="10"/>
    <x v="0"/>
    <x v="7"/>
    <n v="3.7"/>
    <n v="1350.5"/>
    <n v="4861.8"/>
  </r>
  <r>
    <x v="0"/>
    <x v="0"/>
    <x v="0"/>
    <x v="0"/>
    <x v="1"/>
    <s v="DK2_MedSmall"/>
    <x v="2"/>
    <x v="10"/>
    <x v="0"/>
    <x v="8"/>
    <n v="3.7"/>
    <n v="1350.5"/>
    <n v="4861.8"/>
  </r>
  <r>
    <x v="0"/>
    <x v="0"/>
    <x v="0"/>
    <x v="0"/>
    <x v="1"/>
    <s v="DK2_MedSmall"/>
    <x v="2"/>
    <x v="10"/>
    <x v="0"/>
    <x v="0"/>
    <n v="3.7"/>
    <n v="1350.5"/>
    <n v="4861.8"/>
  </r>
  <r>
    <x v="0"/>
    <x v="0"/>
    <x v="0"/>
    <x v="0"/>
    <x v="1"/>
    <s v="DK2_MedSmall"/>
    <x v="2"/>
    <x v="10"/>
    <x v="0"/>
    <x v="1"/>
    <n v="3.7"/>
    <n v="1350.5"/>
    <n v="4861.8"/>
  </r>
  <r>
    <x v="0"/>
    <x v="0"/>
    <x v="0"/>
    <x v="0"/>
    <x v="1"/>
    <s v="DK2_MedSmall"/>
    <x v="2"/>
    <x v="10"/>
    <x v="0"/>
    <x v="2"/>
    <n v="3.7"/>
    <n v="1350.5"/>
    <n v="4861.8"/>
  </r>
  <r>
    <x v="0"/>
    <x v="0"/>
    <x v="0"/>
    <x v="0"/>
    <x v="1"/>
    <s v="DK2_MedSmall"/>
    <x v="2"/>
    <x v="10"/>
    <x v="0"/>
    <x v="9"/>
    <n v="3.7"/>
    <n v="1350.5"/>
    <n v="4861.8"/>
  </r>
  <r>
    <x v="0"/>
    <x v="0"/>
    <x v="0"/>
    <x v="0"/>
    <x v="1"/>
    <s v="DK2_MedSmall"/>
    <x v="2"/>
    <x v="10"/>
    <x v="0"/>
    <x v="10"/>
    <n v="3.7"/>
    <n v="1350.5"/>
    <n v="4861.8"/>
  </r>
  <r>
    <x v="0"/>
    <x v="0"/>
    <x v="0"/>
    <x v="0"/>
    <x v="1"/>
    <s v="DK2_MedSmall"/>
    <x v="2"/>
    <x v="10"/>
    <x v="0"/>
    <x v="11"/>
    <n v="3.7"/>
    <n v="1350.5"/>
    <n v="4861.8"/>
  </r>
  <r>
    <x v="0"/>
    <x v="0"/>
    <x v="0"/>
    <x v="0"/>
    <x v="1"/>
    <s v="DK2_MedSmall"/>
    <x v="2"/>
    <x v="10"/>
    <x v="0"/>
    <x v="12"/>
    <n v="3.7"/>
    <n v="1350.5"/>
    <n v="4861.8"/>
  </r>
  <r>
    <x v="0"/>
    <x v="0"/>
    <x v="0"/>
    <x v="0"/>
    <x v="1"/>
    <s v="DK2_MedSmall"/>
    <x v="2"/>
    <x v="10"/>
    <x v="0"/>
    <x v="13"/>
    <n v="3.7"/>
    <n v="1350.5"/>
    <n v="4861.8"/>
  </r>
  <r>
    <x v="0"/>
    <x v="0"/>
    <x v="0"/>
    <x v="0"/>
    <x v="1"/>
    <s v="DK2_MedSmall"/>
    <x v="2"/>
    <x v="10"/>
    <x v="0"/>
    <x v="14"/>
    <n v="3.7"/>
    <n v="1350.5"/>
    <n v="4861.8"/>
  </r>
  <r>
    <x v="0"/>
    <x v="0"/>
    <x v="0"/>
    <x v="0"/>
    <x v="1"/>
    <s v="DK2_MedSmall"/>
    <x v="2"/>
    <x v="10"/>
    <x v="0"/>
    <x v="15"/>
    <n v="3.7"/>
    <n v="1350.5"/>
    <n v="4861.8"/>
  </r>
  <r>
    <x v="0"/>
    <x v="0"/>
    <x v="0"/>
    <x v="0"/>
    <x v="1"/>
    <s v="DK2_MedSmall"/>
    <x v="2"/>
    <x v="10"/>
    <x v="0"/>
    <x v="16"/>
    <n v="3.7"/>
    <n v="1350.5"/>
    <n v="4861.8"/>
  </r>
  <r>
    <x v="0"/>
    <x v="0"/>
    <x v="0"/>
    <x v="0"/>
    <x v="1"/>
    <s v="DK2_MedSmall"/>
    <x v="2"/>
    <x v="10"/>
    <x v="0"/>
    <x v="17"/>
    <n v="3.7"/>
    <n v="1350.5"/>
    <n v="4861.8"/>
  </r>
  <r>
    <x v="0"/>
    <x v="0"/>
    <x v="0"/>
    <x v="0"/>
    <x v="1"/>
    <s v="DK2_MedSmall"/>
    <x v="2"/>
    <x v="10"/>
    <x v="0"/>
    <x v="18"/>
    <n v="3.7"/>
    <n v="1350.5"/>
    <n v="4861.8"/>
  </r>
  <r>
    <x v="0"/>
    <x v="0"/>
    <x v="0"/>
    <x v="0"/>
    <x v="1"/>
    <s v="DK2_MedSmall"/>
    <x v="2"/>
    <x v="10"/>
    <x v="0"/>
    <x v="19"/>
    <n v="3.7"/>
    <n v="1350.5"/>
    <n v="4861.8"/>
  </r>
  <r>
    <x v="0"/>
    <x v="0"/>
    <x v="0"/>
    <x v="0"/>
    <x v="1"/>
    <s v="DK2_MedSmall"/>
    <x v="2"/>
    <x v="10"/>
    <x v="0"/>
    <x v="20"/>
    <n v="3.7"/>
    <n v="1350.5"/>
    <n v="4861.8"/>
  </r>
  <r>
    <x v="0"/>
    <x v="0"/>
    <x v="0"/>
    <x v="0"/>
    <x v="1"/>
    <s v="DK2_MedSmall"/>
    <x v="2"/>
    <x v="10"/>
    <x v="0"/>
    <x v="21"/>
    <n v="3.7"/>
    <n v="1350.5"/>
    <n v="4861.8"/>
  </r>
  <r>
    <x v="0"/>
    <x v="0"/>
    <x v="0"/>
    <x v="0"/>
    <x v="1"/>
    <s v="DK2_MedSmall"/>
    <x v="2"/>
    <x v="10"/>
    <x v="0"/>
    <x v="22"/>
    <n v="3.7"/>
    <n v="1350.5"/>
    <n v="4861.8"/>
  </r>
  <r>
    <x v="0"/>
    <x v="0"/>
    <x v="0"/>
    <x v="0"/>
    <x v="1"/>
    <s v="DK2_MedSmall"/>
    <x v="2"/>
    <x v="10"/>
    <x v="0"/>
    <x v="23"/>
    <n v="3.7"/>
    <n v="1350.5"/>
    <n v="4861.8"/>
  </r>
  <r>
    <x v="0"/>
    <x v="0"/>
    <x v="0"/>
    <x v="0"/>
    <x v="1"/>
    <s v="DK2_MedSmall"/>
    <x v="2"/>
    <x v="12"/>
    <x v="0"/>
    <x v="3"/>
    <n v="7.3809523809523796"/>
    <n v="2694.0476190476202"/>
    <n v="9698.5714285714294"/>
  </r>
  <r>
    <x v="0"/>
    <x v="0"/>
    <x v="0"/>
    <x v="0"/>
    <x v="1"/>
    <s v="DK2_MedSmall"/>
    <x v="2"/>
    <x v="12"/>
    <x v="0"/>
    <x v="4"/>
    <n v="7.3809523809523796"/>
    <n v="2694.0476190476202"/>
    <n v="9698.5714285714294"/>
  </r>
  <r>
    <x v="0"/>
    <x v="0"/>
    <x v="0"/>
    <x v="0"/>
    <x v="1"/>
    <s v="DK2_MedSmall"/>
    <x v="2"/>
    <x v="12"/>
    <x v="0"/>
    <x v="5"/>
    <n v="7.3809523809523796"/>
    <n v="2694.0476190476202"/>
    <n v="9698.5714285714294"/>
  </r>
  <r>
    <x v="0"/>
    <x v="0"/>
    <x v="0"/>
    <x v="0"/>
    <x v="1"/>
    <s v="DK2_MedSmall"/>
    <x v="2"/>
    <x v="12"/>
    <x v="0"/>
    <x v="6"/>
    <n v="7.3809523809523796"/>
    <n v="2694.0476190476202"/>
    <n v="9698.5714285714294"/>
  </r>
  <r>
    <x v="0"/>
    <x v="0"/>
    <x v="0"/>
    <x v="0"/>
    <x v="1"/>
    <s v="DK2_MedSmall"/>
    <x v="2"/>
    <x v="12"/>
    <x v="0"/>
    <x v="7"/>
    <n v="7.3809523809523796"/>
    <n v="2694.0476190476202"/>
    <n v="9698.5714285714294"/>
  </r>
  <r>
    <x v="0"/>
    <x v="0"/>
    <x v="0"/>
    <x v="0"/>
    <x v="1"/>
    <s v="DK2_MedSmall"/>
    <x v="2"/>
    <x v="12"/>
    <x v="0"/>
    <x v="8"/>
    <n v="7.3809523809523796"/>
    <n v="2694.0476190476202"/>
    <n v="9698.5714285714294"/>
  </r>
  <r>
    <x v="0"/>
    <x v="0"/>
    <x v="0"/>
    <x v="0"/>
    <x v="1"/>
    <s v="DK2_MedSmall"/>
    <x v="2"/>
    <x v="12"/>
    <x v="0"/>
    <x v="0"/>
    <n v="7.3809523809523796"/>
    <n v="2694.0476190476202"/>
    <n v="9698.5714285714294"/>
  </r>
  <r>
    <x v="0"/>
    <x v="0"/>
    <x v="0"/>
    <x v="0"/>
    <x v="1"/>
    <s v="DK2_MedSmall"/>
    <x v="2"/>
    <x v="12"/>
    <x v="0"/>
    <x v="1"/>
    <n v="7.3809523809523796"/>
    <n v="2694.0476190476202"/>
    <n v="9698.5714285714294"/>
  </r>
  <r>
    <x v="0"/>
    <x v="0"/>
    <x v="0"/>
    <x v="0"/>
    <x v="1"/>
    <s v="DK2_MedSmall"/>
    <x v="2"/>
    <x v="12"/>
    <x v="0"/>
    <x v="2"/>
    <n v="7.3809523809523796"/>
    <n v="2694.0476190476202"/>
    <n v="9698.5714285714294"/>
  </r>
  <r>
    <x v="0"/>
    <x v="0"/>
    <x v="0"/>
    <x v="0"/>
    <x v="1"/>
    <s v="DK2_MedSmall"/>
    <x v="2"/>
    <x v="12"/>
    <x v="0"/>
    <x v="9"/>
    <n v="7.3809523809523796"/>
    <n v="2694.0476190476202"/>
    <n v="9698.5714285714294"/>
  </r>
  <r>
    <x v="0"/>
    <x v="0"/>
    <x v="0"/>
    <x v="0"/>
    <x v="1"/>
    <s v="DK2_MedSmall"/>
    <x v="2"/>
    <x v="12"/>
    <x v="0"/>
    <x v="10"/>
    <n v="7.3809523809523796"/>
    <n v="2694.0476190476202"/>
    <n v="9698.5714285714294"/>
  </r>
  <r>
    <x v="0"/>
    <x v="0"/>
    <x v="0"/>
    <x v="0"/>
    <x v="1"/>
    <s v="DK2_MedSmall"/>
    <x v="2"/>
    <x v="12"/>
    <x v="0"/>
    <x v="11"/>
    <n v="7.3809523809523796"/>
    <n v="2694.0476190476202"/>
    <n v="9698.5714285714294"/>
  </r>
  <r>
    <x v="0"/>
    <x v="0"/>
    <x v="0"/>
    <x v="0"/>
    <x v="1"/>
    <s v="DK2_MedSmall"/>
    <x v="2"/>
    <x v="12"/>
    <x v="0"/>
    <x v="12"/>
    <n v="7.3809523809523796"/>
    <n v="2694.0476190476202"/>
    <n v="9698.5714285714294"/>
  </r>
  <r>
    <x v="0"/>
    <x v="0"/>
    <x v="0"/>
    <x v="0"/>
    <x v="1"/>
    <s v="DK2_MedSmall"/>
    <x v="2"/>
    <x v="12"/>
    <x v="0"/>
    <x v="13"/>
    <n v="7.3809523809523796"/>
    <n v="2694.0476190476202"/>
    <n v="9698.5714285714294"/>
  </r>
  <r>
    <x v="0"/>
    <x v="0"/>
    <x v="0"/>
    <x v="0"/>
    <x v="1"/>
    <s v="DK2_MedSmall"/>
    <x v="2"/>
    <x v="12"/>
    <x v="0"/>
    <x v="14"/>
    <n v="7.3809523809523796"/>
    <n v="2694.0476190476202"/>
    <n v="9698.5714285714294"/>
  </r>
  <r>
    <x v="0"/>
    <x v="0"/>
    <x v="0"/>
    <x v="0"/>
    <x v="1"/>
    <s v="DK2_MedSmall"/>
    <x v="2"/>
    <x v="12"/>
    <x v="0"/>
    <x v="15"/>
    <n v="7.3809523809523796"/>
    <n v="2694.0476190476202"/>
    <n v="9698.5714285714294"/>
  </r>
  <r>
    <x v="0"/>
    <x v="0"/>
    <x v="0"/>
    <x v="0"/>
    <x v="1"/>
    <s v="DK2_MedSmall"/>
    <x v="2"/>
    <x v="12"/>
    <x v="0"/>
    <x v="16"/>
    <n v="7.3809523809523796"/>
    <n v="2694.0476190476202"/>
    <n v="9698.5714285714294"/>
  </r>
  <r>
    <x v="0"/>
    <x v="0"/>
    <x v="0"/>
    <x v="0"/>
    <x v="1"/>
    <s v="DK2_MedSmall"/>
    <x v="2"/>
    <x v="12"/>
    <x v="0"/>
    <x v="17"/>
    <n v="7.3809523809523796"/>
    <n v="2694.0476190476202"/>
    <n v="9698.5714285714294"/>
  </r>
  <r>
    <x v="0"/>
    <x v="0"/>
    <x v="0"/>
    <x v="0"/>
    <x v="1"/>
    <s v="DK2_MedSmall"/>
    <x v="2"/>
    <x v="12"/>
    <x v="0"/>
    <x v="18"/>
    <n v="7.3809523809523796"/>
    <n v="2694.0476190476202"/>
    <n v="9698.5714285714294"/>
  </r>
  <r>
    <x v="0"/>
    <x v="0"/>
    <x v="0"/>
    <x v="0"/>
    <x v="1"/>
    <s v="DK2_MedSmall"/>
    <x v="2"/>
    <x v="12"/>
    <x v="0"/>
    <x v="19"/>
    <n v="7.3809523809523796"/>
    <n v="2694.0476190476202"/>
    <n v="9698.5714285714294"/>
  </r>
  <r>
    <x v="0"/>
    <x v="0"/>
    <x v="0"/>
    <x v="0"/>
    <x v="1"/>
    <s v="DK2_MedSmall"/>
    <x v="2"/>
    <x v="12"/>
    <x v="0"/>
    <x v="20"/>
    <n v="7.3809523809523796"/>
    <n v="2694.0476190476202"/>
    <n v="9698.5714285714294"/>
  </r>
  <r>
    <x v="0"/>
    <x v="0"/>
    <x v="0"/>
    <x v="0"/>
    <x v="1"/>
    <s v="DK2_MedSmall"/>
    <x v="2"/>
    <x v="12"/>
    <x v="0"/>
    <x v="21"/>
    <n v="7.3809523809523796"/>
    <n v="2694.0476190476202"/>
    <n v="9698.5714285714294"/>
  </r>
  <r>
    <x v="0"/>
    <x v="0"/>
    <x v="0"/>
    <x v="0"/>
    <x v="1"/>
    <s v="DK2_MedSmall"/>
    <x v="2"/>
    <x v="12"/>
    <x v="0"/>
    <x v="22"/>
    <n v="7.3809523809523796"/>
    <n v="2694.0476190476202"/>
    <n v="9698.5714285714294"/>
  </r>
  <r>
    <x v="0"/>
    <x v="0"/>
    <x v="0"/>
    <x v="0"/>
    <x v="1"/>
    <s v="DK2_MedSmall"/>
    <x v="2"/>
    <x v="12"/>
    <x v="0"/>
    <x v="23"/>
    <n v="7.3809523809523796"/>
    <n v="2694.0476190476202"/>
    <n v="9698.5714285714294"/>
  </r>
  <r>
    <x v="0"/>
    <x v="0"/>
    <x v="0"/>
    <x v="0"/>
    <x v="1"/>
    <s v="DK2_MedSmall"/>
    <x v="4"/>
    <x v="19"/>
    <x v="0"/>
    <x v="3"/>
    <n v="2"/>
    <n v="730"/>
    <n v="2628"/>
  </r>
  <r>
    <x v="0"/>
    <x v="0"/>
    <x v="0"/>
    <x v="0"/>
    <x v="1"/>
    <s v="DK2_MedSmall"/>
    <x v="4"/>
    <x v="19"/>
    <x v="0"/>
    <x v="4"/>
    <n v="2"/>
    <n v="730"/>
    <n v="2628"/>
  </r>
  <r>
    <x v="0"/>
    <x v="0"/>
    <x v="0"/>
    <x v="0"/>
    <x v="1"/>
    <s v="DK2_MedSmall"/>
    <x v="4"/>
    <x v="19"/>
    <x v="0"/>
    <x v="5"/>
    <n v="2"/>
    <n v="730"/>
    <n v="2628"/>
  </r>
  <r>
    <x v="0"/>
    <x v="0"/>
    <x v="0"/>
    <x v="0"/>
    <x v="1"/>
    <s v="DK2_MedSmall"/>
    <x v="4"/>
    <x v="19"/>
    <x v="0"/>
    <x v="6"/>
    <n v="2"/>
    <n v="730"/>
    <n v="2628"/>
  </r>
  <r>
    <x v="0"/>
    <x v="0"/>
    <x v="0"/>
    <x v="0"/>
    <x v="1"/>
    <s v="DK2_MedSmall"/>
    <x v="4"/>
    <x v="19"/>
    <x v="0"/>
    <x v="7"/>
    <n v="2"/>
    <n v="730"/>
    <n v="2628"/>
  </r>
  <r>
    <x v="0"/>
    <x v="0"/>
    <x v="0"/>
    <x v="0"/>
    <x v="1"/>
    <s v="DK2_MedSmall"/>
    <x v="4"/>
    <x v="19"/>
    <x v="0"/>
    <x v="8"/>
    <n v="2"/>
    <n v="730"/>
    <n v="2628"/>
  </r>
  <r>
    <x v="0"/>
    <x v="0"/>
    <x v="0"/>
    <x v="0"/>
    <x v="1"/>
    <s v="DK2_MedSmall"/>
    <x v="4"/>
    <x v="19"/>
    <x v="0"/>
    <x v="0"/>
    <n v="2"/>
    <n v="730"/>
    <n v="2628"/>
  </r>
  <r>
    <x v="0"/>
    <x v="0"/>
    <x v="0"/>
    <x v="0"/>
    <x v="1"/>
    <s v="DK2_MedSmall"/>
    <x v="4"/>
    <x v="19"/>
    <x v="0"/>
    <x v="1"/>
    <n v="2"/>
    <n v="730"/>
    <n v="2628"/>
  </r>
  <r>
    <x v="0"/>
    <x v="0"/>
    <x v="0"/>
    <x v="0"/>
    <x v="1"/>
    <s v="DK2_MedSmall"/>
    <x v="4"/>
    <x v="19"/>
    <x v="0"/>
    <x v="2"/>
    <n v="2"/>
    <n v="730"/>
    <n v="2628"/>
  </r>
  <r>
    <x v="0"/>
    <x v="0"/>
    <x v="0"/>
    <x v="0"/>
    <x v="1"/>
    <s v="DK2_MedSmall"/>
    <x v="4"/>
    <x v="19"/>
    <x v="0"/>
    <x v="9"/>
    <n v="2"/>
    <n v="730"/>
    <n v="2628"/>
  </r>
  <r>
    <x v="0"/>
    <x v="0"/>
    <x v="0"/>
    <x v="0"/>
    <x v="1"/>
    <s v="DK2_MedSmall"/>
    <x v="4"/>
    <x v="19"/>
    <x v="0"/>
    <x v="10"/>
    <n v="2"/>
    <n v="730"/>
    <n v="2628"/>
  </r>
  <r>
    <x v="0"/>
    <x v="0"/>
    <x v="0"/>
    <x v="0"/>
    <x v="1"/>
    <s v="DK2_MedSmall"/>
    <x v="4"/>
    <x v="19"/>
    <x v="0"/>
    <x v="11"/>
    <n v="2"/>
    <n v="730"/>
    <n v="2628"/>
  </r>
  <r>
    <x v="0"/>
    <x v="0"/>
    <x v="0"/>
    <x v="0"/>
    <x v="1"/>
    <s v="DK2_MedSmall"/>
    <x v="4"/>
    <x v="19"/>
    <x v="0"/>
    <x v="12"/>
    <n v="2"/>
    <n v="730"/>
    <n v="2628"/>
  </r>
  <r>
    <x v="0"/>
    <x v="0"/>
    <x v="0"/>
    <x v="0"/>
    <x v="1"/>
    <s v="DK2_MedSmall"/>
    <x v="4"/>
    <x v="19"/>
    <x v="0"/>
    <x v="13"/>
    <n v="2"/>
    <n v="730"/>
    <n v="2628"/>
  </r>
  <r>
    <x v="0"/>
    <x v="0"/>
    <x v="0"/>
    <x v="0"/>
    <x v="1"/>
    <s v="DK2_MedSmall"/>
    <x v="4"/>
    <x v="19"/>
    <x v="0"/>
    <x v="14"/>
    <n v="2"/>
    <n v="730"/>
    <n v="2628"/>
  </r>
  <r>
    <x v="0"/>
    <x v="0"/>
    <x v="0"/>
    <x v="0"/>
    <x v="1"/>
    <s v="DK2_MedSmall"/>
    <x v="4"/>
    <x v="19"/>
    <x v="0"/>
    <x v="15"/>
    <n v="2"/>
    <n v="730"/>
    <n v="2628"/>
  </r>
  <r>
    <x v="0"/>
    <x v="0"/>
    <x v="0"/>
    <x v="0"/>
    <x v="1"/>
    <s v="DK2_MedSmall"/>
    <x v="4"/>
    <x v="19"/>
    <x v="0"/>
    <x v="16"/>
    <n v="2"/>
    <n v="730"/>
    <n v="2628"/>
  </r>
  <r>
    <x v="0"/>
    <x v="0"/>
    <x v="0"/>
    <x v="0"/>
    <x v="1"/>
    <s v="DK2_MedSmall"/>
    <x v="4"/>
    <x v="19"/>
    <x v="0"/>
    <x v="17"/>
    <n v="2"/>
    <n v="730"/>
    <n v="2628"/>
  </r>
  <r>
    <x v="0"/>
    <x v="0"/>
    <x v="0"/>
    <x v="0"/>
    <x v="1"/>
    <s v="DK2_MedSmall"/>
    <x v="4"/>
    <x v="19"/>
    <x v="0"/>
    <x v="18"/>
    <n v="2"/>
    <n v="730"/>
    <n v="2628"/>
  </r>
  <r>
    <x v="0"/>
    <x v="0"/>
    <x v="0"/>
    <x v="0"/>
    <x v="1"/>
    <s v="DK2_MedSmall"/>
    <x v="4"/>
    <x v="19"/>
    <x v="0"/>
    <x v="19"/>
    <n v="2"/>
    <n v="730"/>
    <n v="2628"/>
  </r>
  <r>
    <x v="0"/>
    <x v="0"/>
    <x v="0"/>
    <x v="0"/>
    <x v="1"/>
    <s v="DK2_MedSmall"/>
    <x v="4"/>
    <x v="19"/>
    <x v="0"/>
    <x v="20"/>
    <n v="2"/>
    <n v="730"/>
    <n v="2628"/>
  </r>
  <r>
    <x v="0"/>
    <x v="0"/>
    <x v="0"/>
    <x v="0"/>
    <x v="1"/>
    <s v="DK2_MedSmall"/>
    <x v="4"/>
    <x v="19"/>
    <x v="0"/>
    <x v="21"/>
    <n v="2"/>
    <n v="730"/>
    <n v="2628"/>
  </r>
  <r>
    <x v="0"/>
    <x v="0"/>
    <x v="0"/>
    <x v="0"/>
    <x v="1"/>
    <s v="DK2_MedSmall"/>
    <x v="4"/>
    <x v="19"/>
    <x v="0"/>
    <x v="22"/>
    <n v="2"/>
    <n v="730"/>
    <n v="2628"/>
  </r>
  <r>
    <x v="0"/>
    <x v="0"/>
    <x v="0"/>
    <x v="0"/>
    <x v="1"/>
    <s v="DK2_MedSmall"/>
    <x v="4"/>
    <x v="19"/>
    <x v="0"/>
    <x v="23"/>
    <n v="2"/>
    <n v="730"/>
    <n v="2628"/>
  </r>
  <r>
    <x v="0"/>
    <x v="0"/>
    <x v="0"/>
    <x v="0"/>
    <x v="1"/>
    <s v="DK2_Medium"/>
    <x v="0"/>
    <x v="65"/>
    <x v="0"/>
    <x v="1"/>
    <n v="674.22635570320801"/>
    <n v="246092.61983167101"/>
    <n v="885933.43139401497"/>
  </r>
  <r>
    <x v="0"/>
    <x v="0"/>
    <x v="0"/>
    <x v="0"/>
    <x v="1"/>
    <s v="DK2_Medium"/>
    <x v="0"/>
    <x v="65"/>
    <x v="0"/>
    <x v="2"/>
    <n v="1304.7423824784801"/>
    <n v="476230.96960464498"/>
    <n v="1714431.4905767201"/>
  </r>
  <r>
    <x v="0"/>
    <x v="0"/>
    <x v="0"/>
    <x v="0"/>
    <x v="1"/>
    <s v="DK2_Medium"/>
    <x v="0"/>
    <x v="65"/>
    <x v="0"/>
    <x v="9"/>
    <n v="635.62849777890005"/>
    <n v="232004.40168929801"/>
    <n v="835215.84608147398"/>
  </r>
  <r>
    <x v="0"/>
    <x v="0"/>
    <x v="0"/>
    <x v="0"/>
    <x v="1"/>
    <s v="DK2_Medium"/>
    <x v="1"/>
    <x v="5"/>
    <x v="0"/>
    <x v="0"/>
    <n v="27.0611073420576"/>
    <n v="9877.3041798510094"/>
    <n v="35558.295047463602"/>
  </r>
  <r>
    <x v="0"/>
    <x v="0"/>
    <x v="0"/>
    <x v="0"/>
    <x v="1"/>
    <s v="DK2_Medium"/>
    <x v="1"/>
    <x v="5"/>
    <x v="0"/>
    <x v="1"/>
    <n v="34.7826086956522"/>
    <n v="12695.652173913"/>
    <n v="45704.347826087003"/>
  </r>
  <r>
    <x v="0"/>
    <x v="0"/>
    <x v="0"/>
    <x v="0"/>
    <x v="1"/>
    <s v="DK2_Medium"/>
    <x v="1"/>
    <x v="5"/>
    <x v="0"/>
    <x v="2"/>
    <n v="34.7826086956522"/>
    <n v="12695.652173913"/>
    <n v="45704.347826087003"/>
  </r>
  <r>
    <x v="0"/>
    <x v="0"/>
    <x v="0"/>
    <x v="0"/>
    <x v="1"/>
    <s v="DK2_Medium"/>
    <x v="1"/>
    <x v="5"/>
    <x v="0"/>
    <x v="9"/>
    <n v="34.7826086956522"/>
    <n v="12695.652173913"/>
    <n v="45704.347826087003"/>
  </r>
  <r>
    <x v="0"/>
    <x v="0"/>
    <x v="0"/>
    <x v="0"/>
    <x v="1"/>
    <s v="DK2_Medium"/>
    <x v="1"/>
    <x v="5"/>
    <x v="0"/>
    <x v="10"/>
    <n v="34.7826086956522"/>
    <n v="12695.652173913"/>
    <n v="45704.347826087003"/>
  </r>
  <r>
    <x v="0"/>
    <x v="0"/>
    <x v="0"/>
    <x v="0"/>
    <x v="1"/>
    <s v="DK2_Medium"/>
    <x v="1"/>
    <x v="5"/>
    <x v="0"/>
    <x v="14"/>
    <n v="34.7826086956522"/>
    <n v="12695.652173913"/>
    <n v="45704.347826087003"/>
  </r>
  <r>
    <x v="0"/>
    <x v="0"/>
    <x v="0"/>
    <x v="0"/>
    <x v="1"/>
    <s v="DK2_Medium"/>
    <x v="1"/>
    <x v="5"/>
    <x v="0"/>
    <x v="15"/>
    <n v="34.7826086956522"/>
    <n v="12695.652173913"/>
    <n v="45704.347826087003"/>
  </r>
  <r>
    <x v="0"/>
    <x v="0"/>
    <x v="0"/>
    <x v="0"/>
    <x v="1"/>
    <s v="DK2_Medium"/>
    <x v="1"/>
    <x v="5"/>
    <x v="0"/>
    <x v="16"/>
    <n v="34.7826086956522"/>
    <n v="12695.652173913"/>
    <n v="45704.347826087003"/>
  </r>
  <r>
    <x v="0"/>
    <x v="0"/>
    <x v="0"/>
    <x v="0"/>
    <x v="1"/>
    <s v="DK2_Medium"/>
    <x v="1"/>
    <x v="5"/>
    <x v="0"/>
    <x v="17"/>
    <n v="34.7826086956522"/>
    <n v="12695.652173913"/>
    <n v="45704.347826087003"/>
  </r>
  <r>
    <x v="0"/>
    <x v="0"/>
    <x v="0"/>
    <x v="0"/>
    <x v="1"/>
    <s v="DK2_Medium"/>
    <x v="1"/>
    <x v="5"/>
    <x v="0"/>
    <x v="18"/>
    <n v="30.804346703299402"/>
    <n v="11243.5865467043"/>
    <n v="40476.911568135401"/>
  </r>
  <r>
    <x v="0"/>
    <x v="0"/>
    <x v="0"/>
    <x v="0"/>
    <x v="1"/>
    <s v="DK2_Medium"/>
    <x v="1"/>
    <x v="63"/>
    <x v="0"/>
    <x v="0"/>
    <n v="29.6"/>
    <n v="10804"/>
    <n v="38894.400000000001"/>
  </r>
  <r>
    <x v="0"/>
    <x v="0"/>
    <x v="0"/>
    <x v="0"/>
    <x v="1"/>
    <s v="DK2_Medium"/>
    <x v="1"/>
    <x v="63"/>
    <x v="0"/>
    <x v="1"/>
    <n v="29.6"/>
    <n v="10804"/>
    <n v="38894.400000000001"/>
  </r>
  <r>
    <x v="0"/>
    <x v="0"/>
    <x v="0"/>
    <x v="0"/>
    <x v="1"/>
    <s v="DK2_Medium"/>
    <x v="1"/>
    <x v="63"/>
    <x v="0"/>
    <x v="2"/>
    <n v="29.6"/>
    <n v="10804"/>
    <n v="38894.400000000001"/>
  </r>
  <r>
    <x v="0"/>
    <x v="0"/>
    <x v="0"/>
    <x v="0"/>
    <x v="1"/>
    <s v="DK2_Medium"/>
    <x v="1"/>
    <x v="63"/>
    <x v="0"/>
    <x v="9"/>
    <n v="29.6"/>
    <n v="10804"/>
    <n v="38894.400000000001"/>
  </r>
  <r>
    <x v="0"/>
    <x v="0"/>
    <x v="0"/>
    <x v="0"/>
    <x v="1"/>
    <s v="DK2_Medium"/>
    <x v="1"/>
    <x v="63"/>
    <x v="0"/>
    <x v="10"/>
    <n v="29.6"/>
    <n v="10804"/>
    <n v="38894.400000000001"/>
  </r>
  <r>
    <x v="0"/>
    <x v="0"/>
    <x v="0"/>
    <x v="0"/>
    <x v="1"/>
    <s v="DK2_Medium"/>
    <x v="1"/>
    <x v="63"/>
    <x v="0"/>
    <x v="14"/>
    <n v="29.6"/>
    <n v="10804"/>
    <n v="38894.400000000001"/>
  </r>
  <r>
    <x v="0"/>
    <x v="0"/>
    <x v="0"/>
    <x v="0"/>
    <x v="1"/>
    <s v="DK2_Medium"/>
    <x v="1"/>
    <x v="63"/>
    <x v="0"/>
    <x v="15"/>
    <n v="29.6"/>
    <n v="10804"/>
    <n v="38894.400000000001"/>
  </r>
  <r>
    <x v="0"/>
    <x v="0"/>
    <x v="0"/>
    <x v="0"/>
    <x v="1"/>
    <s v="DK2_Medium"/>
    <x v="1"/>
    <x v="63"/>
    <x v="0"/>
    <x v="16"/>
    <n v="29.6"/>
    <n v="10804"/>
    <n v="38894.400000000001"/>
  </r>
  <r>
    <x v="0"/>
    <x v="0"/>
    <x v="0"/>
    <x v="0"/>
    <x v="1"/>
    <s v="DK2_Medium"/>
    <x v="1"/>
    <x v="63"/>
    <x v="0"/>
    <x v="17"/>
    <n v="29.6"/>
    <n v="10804"/>
    <n v="38894.400000000001"/>
  </r>
  <r>
    <x v="0"/>
    <x v="0"/>
    <x v="0"/>
    <x v="0"/>
    <x v="1"/>
    <s v="DK2_Medium"/>
    <x v="1"/>
    <x v="63"/>
    <x v="0"/>
    <x v="18"/>
    <n v="29.6"/>
    <n v="10804"/>
    <n v="38894.400000000001"/>
  </r>
  <r>
    <x v="0"/>
    <x v="0"/>
    <x v="0"/>
    <x v="0"/>
    <x v="1"/>
    <s v="DK2_Medium"/>
    <x v="2"/>
    <x v="39"/>
    <x v="0"/>
    <x v="0"/>
    <n v="3.0303030303030298"/>
    <n v="1106.0606060606101"/>
    <n v="3981.8181818181802"/>
  </r>
  <r>
    <x v="0"/>
    <x v="0"/>
    <x v="0"/>
    <x v="0"/>
    <x v="1"/>
    <s v="DK2_Medium"/>
    <x v="2"/>
    <x v="39"/>
    <x v="0"/>
    <x v="1"/>
    <n v="3.0303030303030298"/>
    <n v="1106.0606060606101"/>
    <n v="3981.8181818181802"/>
  </r>
  <r>
    <x v="0"/>
    <x v="0"/>
    <x v="0"/>
    <x v="0"/>
    <x v="1"/>
    <s v="DK2_Medium"/>
    <x v="2"/>
    <x v="39"/>
    <x v="0"/>
    <x v="2"/>
    <n v="3.0303030303030298"/>
    <n v="1106.0606060606101"/>
    <n v="3981.8181818181802"/>
  </r>
  <r>
    <x v="0"/>
    <x v="0"/>
    <x v="0"/>
    <x v="0"/>
    <x v="1"/>
    <s v="DK2_Medium"/>
    <x v="2"/>
    <x v="39"/>
    <x v="0"/>
    <x v="9"/>
    <n v="3.0303030303030298"/>
    <n v="1106.0606060606101"/>
    <n v="3981.8181818181802"/>
  </r>
  <r>
    <x v="0"/>
    <x v="0"/>
    <x v="0"/>
    <x v="0"/>
    <x v="1"/>
    <s v="DK2_Medium"/>
    <x v="2"/>
    <x v="39"/>
    <x v="0"/>
    <x v="10"/>
    <n v="3.0303030303030298"/>
    <n v="1106.0606060606101"/>
    <n v="3981.8181818181802"/>
  </r>
  <r>
    <x v="0"/>
    <x v="0"/>
    <x v="0"/>
    <x v="0"/>
    <x v="1"/>
    <s v="DK2_Medium"/>
    <x v="2"/>
    <x v="39"/>
    <x v="0"/>
    <x v="11"/>
    <n v="3.0303030303030298"/>
    <n v="1106.0606060606101"/>
    <n v="3981.8181818181802"/>
  </r>
  <r>
    <x v="0"/>
    <x v="0"/>
    <x v="0"/>
    <x v="0"/>
    <x v="1"/>
    <s v="DK2_Medium"/>
    <x v="2"/>
    <x v="39"/>
    <x v="0"/>
    <x v="12"/>
    <n v="3.0303030303030298"/>
    <n v="1106.0606060606101"/>
    <n v="3981.8181818181802"/>
  </r>
  <r>
    <x v="0"/>
    <x v="0"/>
    <x v="0"/>
    <x v="0"/>
    <x v="1"/>
    <s v="DK2_Medium"/>
    <x v="2"/>
    <x v="39"/>
    <x v="0"/>
    <x v="13"/>
    <n v="3.0303030303030298"/>
    <n v="1106.0606060606101"/>
    <n v="3981.8181818181802"/>
  </r>
  <r>
    <x v="0"/>
    <x v="0"/>
    <x v="0"/>
    <x v="0"/>
    <x v="1"/>
    <s v="DK2_Medium"/>
    <x v="2"/>
    <x v="39"/>
    <x v="0"/>
    <x v="14"/>
    <n v="3.0303030303030298"/>
    <n v="1106.0606060606101"/>
    <n v="3981.8181818181802"/>
  </r>
  <r>
    <x v="0"/>
    <x v="0"/>
    <x v="0"/>
    <x v="0"/>
    <x v="1"/>
    <s v="DK2_Medium"/>
    <x v="2"/>
    <x v="39"/>
    <x v="0"/>
    <x v="15"/>
    <n v="3.0303030303030298"/>
    <n v="1106.0606060606101"/>
    <n v="3981.8181818181802"/>
  </r>
  <r>
    <x v="0"/>
    <x v="0"/>
    <x v="0"/>
    <x v="0"/>
    <x v="1"/>
    <s v="DK2_Medium"/>
    <x v="2"/>
    <x v="39"/>
    <x v="0"/>
    <x v="16"/>
    <n v="3.0303030303030298"/>
    <n v="1106.0606060606101"/>
    <n v="3981.8181818181802"/>
  </r>
  <r>
    <x v="0"/>
    <x v="0"/>
    <x v="0"/>
    <x v="0"/>
    <x v="1"/>
    <s v="DK2_Medium"/>
    <x v="2"/>
    <x v="39"/>
    <x v="0"/>
    <x v="17"/>
    <n v="3.0303030303030298"/>
    <n v="1106.0606060606101"/>
    <n v="3981.8181818181802"/>
  </r>
  <r>
    <x v="0"/>
    <x v="0"/>
    <x v="0"/>
    <x v="0"/>
    <x v="1"/>
    <s v="DK2_Medium"/>
    <x v="2"/>
    <x v="39"/>
    <x v="0"/>
    <x v="18"/>
    <n v="3.0303030303030298"/>
    <n v="1106.0606060606101"/>
    <n v="3981.8181818181802"/>
  </r>
  <r>
    <x v="0"/>
    <x v="0"/>
    <x v="0"/>
    <x v="0"/>
    <x v="1"/>
    <s v="DK2_Medium"/>
    <x v="2"/>
    <x v="39"/>
    <x v="0"/>
    <x v="19"/>
    <n v="3.0303030303030298"/>
    <n v="1106.0606060606101"/>
    <n v="3981.8181818181802"/>
  </r>
  <r>
    <x v="0"/>
    <x v="0"/>
    <x v="0"/>
    <x v="0"/>
    <x v="1"/>
    <s v="DK2_Medium"/>
    <x v="2"/>
    <x v="26"/>
    <x v="0"/>
    <x v="8"/>
    <n v="8.5714285714285694"/>
    <n v="3128.5714285714298"/>
    <n v="11262.857142857099"/>
  </r>
  <r>
    <x v="0"/>
    <x v="0"/>
    <x v="0"/>
    <x v="0"/>
    <x v="1"/>
    <s v="DK2_Medium"/>
    <x v="2"/>
    <x v="26"/>
    <x v="0"/>
    <x v="0"/>
    <n v="8.5714285714285694"/>
    <n v="3128.5714285714298"/>
    <n v="11262.857142857099"/>
  </r>
  <r>
    <x v="0"/>
    <x v="0"/>
    <x v="0"/>
    <x v="0"/>
    <x v="1"/>
    <s v="DK2_Medium"/>
    <x v="2"/>
    <x v="26"/>
    <x v="0"/>
    <x v="1"/>
    <n v="8.5714285714285694"/>
    <n v="3128.5714285714298"/>
    <n v="11262.857142857099"/>
  </r>
  <r>
    <x v="0"/>
    <x v="0"/>
    <x v="0"/>
    <x v="0"/>
    <x v="1"/>
    <s v="DK2_Medium"/>
    <x v="2"/>
    <x v="26"/>
    <x v="0"/>
    <x v="2"/>
    <n v="8.5714285714285694"/>
    <n v="3128.5714285714298"/>
    <n v="11262.857142857099"/>
  </r>
  <r>
    <x v="0"/>
    <x v="0"/>
    <x v="0"/>
    <x v="0"/>
    <x v="1"/>
    <s v="DK2_Medium"/>
    <x v="2"/>
    <x v="26"/>
    <x v="0"/>
    <x v="9"/>
    <n v="8.5714285714285694"/>
    <n v="3128.5714285714298"/>
    <n v="11262.857142857099"/>
  </r>
  <r>
    <x v="0"/>
    <x v="0"/>
    <x v="0"/>
    <x v="0"/>
    <x v="1"/>
    <s v="DK2_Medium"/>
    <x v="2"/>
    <x v="26"/>
    <x v="0"/>
    <x v="10"/>
    <n v="8.5714285714285694"/>
    <n v="3128.5714285714298"/>
    <n v="11262.857142857099"/>
  </r>
  <r>
    <x v="0"/>
    <x v="0"/>
    <x v="0"/>
    <x v="0"/>
    <x v="1"/>
    <s v="DK2_Medium"/>
    <x v="2"/>
    <x v="26"/>
    <x v="0"/>
    <x v="11"/>
    <n v="8.5714285714285694"/>
    <n v="3128.5714285714298"/>
    <n v="11262.857142857099"/>
  </r>
  <r>
    <x v="0"/>
    <x v="0"/>
    <x v="0"/>
    <x v="0"/>
    <x v="1"/>
    <s v="DK2_Medium"/>
    <x v="2"/>
    <x v="26"/>
    <x v="0"/>
    <x v="12"/>
    <n v="8.5714285714285694"/>
    <n v="3128.5714285714298"/>
    <n v="11262.857142857099"/>
  </r>
  <r>
    <x v="0"/>
    <x v="0"/>
    <x v="0"/>
    <x v="0"/>
    <x v="1"/>
    <s v="DK2_Medium"/>
    <x v="2"/>
    <x v="26"/>
    <x v="0"/>
    <x v="13"/>
    <n v="8.5714285714285694"/>
    <n v="3128.5714285714298"/>
    <n v="11262.857142857099"/>
  </r>
  <r>
    <x v="0"/>
    <x v="0"/>
    <x v="0"/>
    <x v="0"/>
    <x v="1"/>
    <s v="DK2_Medium"/>
    <x v="2"/>
    <x v="26"/>
    <x v="0"/>
    <x v="14"/>
    <n v="8.5714285714285694"/>
    <n v="3128.5714285714298"/>
    <n v="11262.857142857099"/>
  </r>
  <r>
    <x v="0"/>
    <x v="0"/>
    <x v="0"/>
    <x v="0"/>
    <x v="1"/>
    <s v="DK2_Medium"/>
    <x v="2"/>
    <x v="26"/>
    <x v="0"/>
    <x v="15"/>
    <n v="8.5714285714285694"/>
    <n v="3128.5714285714298"/>
    <n v="11262.857142857099"/>
  </r>
  <r>
    <x v="0"/>
    <x v="0"/>
    <x v="0"/>
    <x v="0"/>
    <x v="1"/>
    <s v="DK2_Medium"/>
    <x v="2"/>
    <x v="26"/>
    <x v="0"/>
    <x v="16"/>
    <n v="8.5714285714285694"/>
    <n v="3128.5714285714298"/>
    <n v="11262.857142857099"/>
  </r>
  <r>
    <x v="0"/>
    <x v="0"/>
    <x v="0"/>
    <x v="0"/>
    <x v="1"/>
    <s v="DK2_Medium"/>
    <x v="2"/>
    <x v="26"/>
    <x v="0"/>
    <x v="17"/>
    <n v="8.5714285714285694"/>
    <n v="3128.5714285714298"/>
    <n v="11262.857142857099"/>
  </r>
  <r>
    <x v="0"/>
    <x v="0"/>
    <x v="0"/>
    <x v="0"/>
    <x v="1"/>
    <s v="DK2_Medium"/>
    <x v="2"/>
    <x v="26"/>
    <x v="0"/>
    <x v="18"/>
    <n v="8.5714285714285694"/>
    <n v="3128.5714285714298"/>
    <n v="11262.857142857099"/>
  </r>
  <r>
    <x v="0"/>
    <x v="0"/>
    <x v="0"/>
    <x v="0"/>
    <x v="1"/>
    <s v="DK2_Medium"/>
    <x v="2"/>
    <x v="26"/>
    <x v="0"/>
    <x v="19"/>
    <n v="8.5714285714285694"/>
    <n v="3128.5714285714298"/>
    <n v="11262.857142857099"/>
  </r>
  <r>
    <x v="0"/>
    <x v="0"/>
    <x v="0"/>
    <x v="0"/>
    <x v="1"/>
    <s v="DK2_Medium"/>
    <x v="2"/>
    <x v="26"/>
    <x v="0"/>
    <x v="20"/>
    <n v="8.5714285714285694"/>
    <n v="3128.5714285714298"/>
    <n v="11262.857142857099"/>
  </r>
  <r>
    <x v="0"/>
    <x v="0"/>
    <x v="0"/>
    <x v="0"/>
    <x v="1"/>
    <s v="DK2_Medium"/>
    <x v="2"/>
    <x v="8"/>
    <x v="0"/>
    <x v="3"/>
    <n v="2.5526315789473699"/>
    <n v="931.71052631579005"/>
    <n v="3354.1578947368398"/>
  </r>
  <r>
    <x v="0"/>
    <x v="0"/>
    <x v="0"/>
    <x v="0"/>
    <x v="1"/>
    <s v="DK2_Medium"/>
    <x v="2"/>
    <x v="8"/>
    <x v="0"/>
    <x v="4"/>
    <n v="2.5526315789473699"/>
    <n v="931.71052631579005"/>
    <n v="3354.1578947368398"/>
  </r>
  <r>
    <x v="0"/>
    <x v="0"/>
    <x v="0"/>
    <x v="0"/>
    <x v="1"/>
    <s v="DK2_Medium"/>
    <x v="2"/>
    <x v="8"/>
    <x v="0"/>
    <x v="5"/>
    <n v="2.5526315789473699"/>
    <n v="931.71052631579005"/>
    <n v="3354.1578947368398"/>
  </r>
  <r>
    <x v="0"/>
    <x v="0"/>
    <x v="0"/>
    <x v="0"/>
    <x v="1"/>
    <s v="DK2_Medium"/>
    <x v="2"/>
    <x v="8"/>
    <x v="0"/>
    <x v="6"/>
    <n v="2.5526315789473699"/>
    <n v="931.71052631579005"/>
    <n v="3354.1578947368398"/>
  </r>
  <r>
    <x v="0"/>
    <x v="0"/>
    <x v="0"/>
    <x v="0"/>
    <x v="1"/>
    <s v="DK2_Medium"/>
    <x v="2"/>
    <x v="8"/>
    <x v="0"/>
    <x v="7"/>
    <n v="2.5526315789473699"/>
    <n v="931.71052631579005"/>
    <n v="3354.1578947368398"/>
  </r>
  <r>
    <x v="0"/>
    <x v="0"/>
    <x v="0"/>
    <x v="0"/>
    <x v="1"/>
    <s v="DK2_Medium"/>
    <x v="2"/>
    <x v="8"/>
    <x v="0"/>
    <x v="8"/>
    <n v="2.5526315789473699"/>
    <n v="931.71052631579005"/>
    <n v="3354.1578947368398"/>
  </r>
  <r>
    <x v="0"/>
    <x v="0"/>
    <x v="0"/>
    <x v="0"/>
    <x v="1"/>
    <s v="DK2_Medium"/>
    <x v="2"/>
    <x v="8"/>
    <x v="0"/>
    <x v="0"/>
    <n v="2.5526315789473699"/>
    <n v="931.71052631579005"/>
    <n v="3354.1578947368398"/>
  </r>
  <r>
    <x v="0"/>
    <x v="0"/>
    <x v="0"/>
    <x v="0"/>
    <x v="1"/>
    <s v="DK2_Medium"/>
    <x v="2"/>
    <x v="8"/>
    <x v="0"/>
    <x v="1"/>
    <n v="2.5526315789473699"/>
    <n v="931.71052631579005"/>
    <n v="3354.1578947368398"/>
  </r>
  <r>
    <x v="0"/>
    <x v="0"/>
    <x v="0"/>
    <x v="0"/>
    <x v="1"/>
    <s v="DK2_Medium"/>
    <x v="2"/>
    <x v="8"/>
    <x v="0"/>
    <x v="2"/>
    <n v="2.5526315789473699"/>
    <n v="931.71052631579005"/>
    <n v="3354.1578947368398"/>
  </r>
  <r>
    <x v="0"/>
    <x v="0"/>
    <x v="0"/>
    <x v="0"/>
    <x v="1"/>
    <s v="DK2_Medium"/>
    <x v="2"/>
    <x v="8"/>
    <x v="0"/>
    <x v="9"/>
    <n v="2.5526315789473699"/>
    <n v="931.71052631579005"/>
    <n v="3354.1578947368398"/>
  </r>
  <r>
    <x v="0"/>
    <x v="0"/>
    <x v="0"/>
    <x v="0"/>
    <x v="1"/>
    <s v="DK2_Medium"/>
    <x v="2"/>
    <x v="8"/>
    <x v="0"/>
    <x v="10"/>
    <n v="2.5526315789473699"/>
    <n v="931.71052631579005"/>
    <n v="3354.1578947368398"/>
  </r>
  <r>
    <x v="0"/>
    <x v="0"/>
    <x v="0"/>
    <x v="0"/>
    <x v="1"/>
    <s v="DK2_Medium"/>
    <x v="2"/>
    <x v="8"/>
    <x v="0"/>
    <x v="11"/>
    <n v="2.5526315789473699"/>
    <n v="931.71052631579005"/>
    <n v="3354.1578947368398"/>
  </r>
  <r>
    <x v="0"/>
    <x v="0"/>
    <x v="0"/>
    <x v="0"/>
    <x v="1"/>
    <s v="DK2_Medium"/>
    <x v="2"/>
    <x v="8"/>
    <x v="0"/>
    <x v="12"/>
    <n v="2.5526315789473699"/>
    <n v="931.71052631579005"/>
    <n v="3354.1578947368398"/>
  </r>
  <r>
    <x v="0"/>
    <x v="0"/>
    <x v="0"/>
    <x v="0"/>
    <x v="1"/>
    <s v="DK2_Medium"/>
    <x v="2"/>
    <x v="8"/>
    <x v="0"/>
    <x v="13"/>
    <n v="2.5526315789473699"/>
    <n v="931.71052631579005"/>
    <n v="3354.1578947368398"/>
  </r>
  <r>
    <x v="0"/>
    <x v="0"/>
    <x v="0"/>
    <x v="0"/>
    <x v="1"/>
    <s v="DK2_Medium"/>
    <x v="2"/>
    <x v="8"/>
    <x v="0"/>
    <x v="14"/>
    <n v="2.5526315789473699"/>
    <n v="931.71052631579005"/>
    <n v="3354.1578947368398"/>
  </r>
  <r>
    <x v="0"/>
    <x v="0"/>
    <x v="0"/>
    <x v="0"/>
    <x v="1"/>
    <s v="DK2_Medium"/>
    <x v="2"/>
    <x v="8"/>
    <x v="0"/>
    <x v="15"/>
    <n v="2.5526315789473699"/>
    <n v="931.71052631579005"/>
    <n v="3354.1578947368398"/>
  </r>
  <r>
    <x v="0"/>
    <x v="0"/>
    <x v="0"/>
    <x v="0"/>
    <x v="1"/>
    <s v="DK2_Medium"/>
    <x v="2"/>
    <x v="8"/>
    <x v="0"/>
    <x v="16"/>
    <n v="2.5526315789473699"/>
    <n v="931.71052631579005"/>
    <n v="3354.1578947368398"/>
  </r>
  <r>
    <x v="0"/>
    <x v="0"/>
    <x v="0"/>
    <x v="0"/>
    <x v="1"/>
    <s v="DK2_Medium"/>
    <x v="2"/>
    <x v="8"/>
    <x v="0"/>
    <x v="17"/>
    <n v="2.5526315789473699"/>
    <n v="931.71052631579005"/>
    <n v="3354.1578947368398"/>
  </r>
  <r>
    <x v="0"/>
    <x v="0"/>
    <x v="0"/>
    <x v="0"/>
    <x v="1"/>
    <s v="DK2_Medium"/>
    <x v="2"/>
    <x v="8"/>
    <x v="0"/>
    <x v="18"/>
    <n v="2.5526315789473699"/>
    <n v="931.71052631579005"/>
    <n v="3354.1578947368398"/>
  </r>
  <r>
    <x v="0"/>
    <x v="0"/>
    <x v="0"/>
    <x v="0"/>
    <x v="1"/>
    <s v="DK2_Medium"/>
    <x v="2"/>
    <x v="8"/>
    <x v="0"/>
    <x v="19"/>
    <n v="2.5526315789473699"/>
    <n v="931.71052631579005"/>
    <n v="3354.1578947368398"/>
  </r>
  <r>
    <x v="0"/>
    <x v="0"/>
    <x v="0"/>
    <x v="0"/>
    <x v="1"/>
    <s v="DK2_Medium"/>
    <x v="2"/>
    <x v="8"/>
    <x v="0"/>
    <x v="20"/>
    <n v="2.5526315789473699"/>
    <n v="931.71052631579005"/>
    <n v="3354.1578947368398"/>
  </r>
  <r>
    <x v="0"/>
    <x v="0"/>
    <x v="0"/>
    <x v="0"/>
    <x v="1"/>
    <s v="DK2_Medium"/>
    <x v="2"/>
    <x v="8"/>
    <x v="0"/>
    <x v="21"/>
    <n v="2.5526315789473699"/>
    <n v="931.71052631579005"/>
    <n v="3354.1578947368398"/>
  </r>
  <r>
    <x v="0"/>
    <x v="0"/>
    <x v="0"/>
    <x v="0"/>
    <x v="1"/>
    <s v="DK2_Medium"/>
    <x v="2"/>
    <x v="8"/>
    <x v="0"/>
    <x v="22"/>
    <n v="2.5526315789473699"/>
    <n v="931.71052631579005"/>
    <n v="3354.1578947368398"/>
  </r>
  <r>
    <x v="0"/>
    <x v="0"/>
    <x v="0"/>
    <x v="0"/>
    <x v="1"/>
    <s v="DK2_Medium"/>
    <x v="2"/>
    <x v="8"/>
    <x v="0"/>
    <x v="23"/>
    <n v="2.5526315789473699"/>
    <n v="931.71052631579005"/>
    <n v="3354.1578947368398"/>
  </r>
  <r>
    <x v="0"/>
    <x v="0"/>
    <x v="0"/>
    <x v="0"/>
    <x v="1"/>
    <s v="DK2_Medium"/>
    <x v="2"/>
    <x v="9"/>
    <x v="0"/>
    <x v="3"/>
    <n v="28.871794871794901"/>
    <n v="10538.2051282051"/>
    <n v="37937.538461538497"/>
  </r>
  <r>
    <x v="0"/>
    <x v="0"/>
    <x v="0"/>
    <x v="0"/>
    <x v="1"/>
    <s v="DK2_Medium"/>
    <x v="2"/>
    <x v="9"/>
    <x v="0"/>
    <x v="4"/>
    <n v="28.871794871794901"/>
    <n v="10538.2051282051"/>
    <n v="37937.538461538497"/>
  </r>
  <r>
    <x v="0"/>
    <x v="0"/>
    <x v="0"/>
    <x v="0"/>
    <x v="1"/>
    <s v="DK2_Medium"/>
    <x v="2"/>
    <x v="9"/>
    <x v="0"/>
    <x v="5"/>
    <n v="28.871794871794901"/>
    <n v="10538.2051282051"/>
    <n v="37937.538461538497"/>
  </r>
  <r>
    <x v="0"/>
    <x v="0"/>
    <x v="0"/>
    <x v="0"/>
    <x v="1"/>
    <s v="DK2_Medium"/>
    <x v="2"/>
    <x v="9"/>
    <x v="0"/>
    <x v="6"/>
    <n v="28.871794871794901"/>
    <n v="10538.2051282051"/>
    <n v="37937.538461538497"/>
  </r>
  <r>
    <x v="0"/>
    <x v="0"/>
    <x v="0"/>
    <x v="0"/>
    <x v="1"/>
    <s v="DK2_Medium"/>
    <x v="2"/>
    <x v="9"/>
    <x v="0"/>
    <x v="7"/>
    <n v="28.871794871794901"/>
    <n v="10538.2051282051"/>
    <n v="37937.538461538497"/>
  </r>
  <r>
    <x v="0"/>
    <x v="0"/>
    <x v="0"/>
    <x v="0"/>
    <x v="1"/>
    <s v="DK2_Medium"/>
    <x v="2"/>
    <x v="9"/>
    <x v="0"/>
    <x v="8"/>
    <n v="28.871794871794901"/>
    <n v="10538.2051282051"/>
    <n v="37937.538461538497"/>
  </r>
  <r>
    <x v="0"/>
    <x v="0"/>
    <x v="0"/>
    <x v="0"/>
    <x v="1"/>
    <s v="DK2_Medium"/>
    <x v="2"/>
    <x v="9"/>
    <x v="0"/>
    <x v="0"/>
    <n v="28.871794871794901"/>
    <n v="10538.2051282051"/>
    <n v="37937.538461538497"/>
  </r>
  <r>
    <x v="0"/>
    <x v="0"/>
    <x v="0"/>
    <x v="0"/>
    <x v="1"/>
    <s v="DK2_Medium"/>
    <x v="2"/>
    <x v="9"/>
    <x v="0"/>
    <x v="1"/>
    <n v="28.871794871794901"/>
    <n v="10538.2051282051"/>
    <n v="37937.538461538497"/>
  </r>
  <r>
    <x v="0"/>
    <x v="0"/>
    <x v="0"/>
    <x v="0"/>
    <x v="1"/>
    <s v="DK2_Medium"/>
    <x v="2"/>
    <x v="9"/>
    <x v="0"/>
    <x v="2"/>
    <n v="28.871794871794901"/>
    <n v="10538.2051282051"/>
    <n v="37937.538461538497"/>
  </r>
  <r>
    <x v="0"/>
    <x v="0"/>
    <x v="0"/>
    <x v="0"/>
    <x v="1"/>
    <s v="DK2_Medium"/>
    <x v="2"/>
    <x v="9"/>
    <x v="0"/>
    <x v="9"/>
    <n v="28.871794871794901"/>
    <n v="10538.2051282051"/>
    <n v="37937.538461538497"/>
  </r>
  <r>
    <x v="0"/>
    <x v="0"/>
    <x v="0"/>
    <x v="0"/>
    <x v="1"/>
    <s v="DK2_Medium"/>
    <x v="2"/>
    <x v="9"/>
    <x v="0"/>
    <x v="10"/>
    <n v="28.871794871794901"/>
    <n v="10538.2051282051"/>
    <n v="37937.538461538497"/>
  </r>
  <r>
    <x v="0"/>
    <x v="0"/>
    <x v="0"/>
    <x v="0"/>
    <x v="1"/>
    <s v="DK2_Medium"/>
    <x v="2"/>
    <x v="9"/>
    <x v="0"/>
    <x v="11"/>
    <n v="28.871794871794901"/>
    <n v="10538.2051282051"/>
    <n v="37937.538461538497"/>
  </r>
  <r>
    <x v="0"/>
    <x v="0"/>
    <x v="0"/>
    <x v="0"/>
    <x v="1"/>
    <s v="DK2_Medium"/>
    <x v="2"/>
    <x v="9"/>
    <x v="0"/>
    <x v="12"/>
    <n v="28.871794871794901"/>
    <n v="10538.2051282051"/>
    <n v="37937.538461538497"/>
  </r>
  <r>
    <x v="0"/>
    <x v="0"/>
    <x v="0"/>
    <x v="0"/>
    <x v="1"/>
    <s v="DK2_Medium"/>
    <x v="2"/>
    <x v="9"/>
    <x v="0"/>
    <x v="13"/>
    <n v="28.871794871794901"/>
    <n v="10538.2051282051"/>
    <n v="37937.538461538497"/>
  </r>
  <r>
    <x v="0"/>
    <x v="0"/>
    <x v="0"/>
    <x v="0"/>
    <x v="1"/>
    <s v="DK2_Medium"/>
    <x v="2"/>
    <x v="9"/>
    <x v="0"/>
    <x v="14"/>
    <n v="28.871794871794901"/>
    <n v="10538.2051282051"/>
    <n v="37937.538461538497"/>
  </r>
  <r>
    <x v="0"/>
    <x v="0"/>
    <x v="0"/>
    <x v="0"/>
    <x v="1"/>
    <s v="DK2_Medium"/>
    <x v="2"/>
    <x v="9"/>
    <x v="0"/>
    <x v="15"/>
    <n v="28.871794871794901"/>
    <n v="10538.2051282051"/>
    <n v="37937.538461538497"/>
  </r>
  <r>
    <x v="0"/>
    <x v="0"/>
    <x v="0"/>
    <x v="0"/>
    <x v="1"/>
    <s v="DK2_Medium"/>
    <x v="2"/>
    <x v="9"/>
    <x v="0"/>
    <x v="16"/>
    <n v="28.871794871794901"/>
    <n v="10538.2051282051"/>
    <n v="37937.538461538497"/>
  </r>
  <r>
    <x v="0"/>
    <x v="0"/>
    <x v="0"/>
    <x v="0"/>
    <x v="1"/>
    <s v="DK2_Medium"/>
    <x v="2"/>
    <x v="9"/>
    <x v="0"/>
    <x v="17"/>
    <n v="28.871794871794901"/>
    <n v="10538.2051282051"/>
    <n v="37937.538461538497"/>
  </r>
  <r>
    <x v="0"/>
    <x v="0"/>
    <x v="0"/>
    <x v="0"/>
    <x v="1"/>
    <s v="DK2_Medium"/>
    <x v="2"/>
    <x v="9"/>
    <x v="0"/>
    <x v="18"/>
    <n v="28.871794871794901"/>
    <n v="10538.2051282051"/>
    <n v="37937.538461538497"/>
  </r>
  <r>
    <x v="0"/>
    <x v="0"/>
    <x v="0"/>
    <x v="0"/>
    <x v="1"/>
    <s v="DK2_Medium"/>
    <x v="2"/>
    <x v="9"/>
    <x v="0"/>
    <x v="19"/>
    <n v="28.871794871794901"/>
    <n v="10538.2051282051"/>
    <n v="37937.538461538497"/>
  </r>
  <r>
    <x v="0"/>
    <x v="0"/>
    <x v="0"/>
    <x v="0"/>
    <x v="1"/>
    <s v="DK2_Medium"/>
    <x v="2"/>
    <x v="9"/>
    <x v="0"/>
    <x v="20"/>
    <n v="28.871794871794901"/>
    <n v="10538.2051282051"/>
    <n v="37937.538461538497"/>
  </r>
  <r>
    <x v="0"/>
    <x v="0"/>
    <x v="0"/>
    <x v="0"/>
    <x v="1"/>
    <s v="DK2_Medium"/>
    <x v="2"/>
    <x v="9"/>
    <x v="0"/>
    <x v="21"/>
    <n v="28.871794871794901"/>
    <n v="10538.2051282051"/>
    <n v="37937.538461538497"/>
  </r>
  <r>
    <x v="0"/>
    <x v="0"/>
    <x v="0"/>
    <x v="0"/>
    <x v="1"/>
    <s v="DK2_Medium"/>
    <x v="2"/>
    <x v="9"/>
    <x v="0"/>
    <x v="22"/>
    <n v="28.871794871794901"/>
    <n v="10538.2051282051"/>
    <n v="37937.538461538497"/>
  </r>
  <r>
    <x v="0"/>
    <x v="0"/>
    <x v="0"/>
    <x v="0"/>
    <x v="1"/>
    <s v="DK2_Medium"/>
    <x v="2"/>
    <x v="9"/>
    <x v="0"/>
    <x v="23"/>
    <n v="28.871794871794901"/>
    <n v="10538.2051282051"/>
    <n v="37937.538461538497"/>
  </r>
  <r>
    <x v="0"/>
    <x v="0"/>
    <x v="0"/>
    <x v="0"/>
    <x v="1"/>
    <s v="DK2_Medium"/>
    <x v="2"/>
    <x v="11"/>
    <x v="0"/>
    <x v="3"/>
    <n v="7.5609756097560998"/>
    <n v="2759.7560975609799"/>
    <n v="9935.1219512195203"/>
  </r>
  <r>
    <x v="0"/>
    <x v="0"/>
    <x v="0"/>
    <x v="0"/>
    <x v="1"/>
    <s v="DK2_Medium"/>
    <x v="2"/>
    <x v="11"/>
    <x v="0"/>
    <x v="4"/>
    <n v="7.5609756097560998"/>
    <n v="2759.7560975609799"/>
    <n v="9935.1219512195203"/>
  </r>
  <r>
    <x v="0"/>
    <x v="0"/>
    <x v="0"/>
    <x v="0"/>
    <x v="1"/>
    <s v="DK2_Medium"/>
    <x v="2"/>
    <x v="11"/>
    <x v="0"/>
    <x v="5"/>
    <n v="7.5609756097560998"/>
    <n v="2759.7560975609799"/>
    <n v="9935.1219512195203"/>
  </r>
  <r>
    <x v="0"/>
    <x v="0"/>
    <x v="0"/>
    <x v="0"/>
    <x v="1"/>
    <s v="DK2_Medium"/>
    <x v="2"/>
    <x v="11"/>
    <x v="0"/>
    <x v="6"/>
    <n v="7.5609756097560998"/>
    <n v="2759.7560975609799"/>
    <n v="9935.1219512195203"/>
  </r>
  <r>
    <x v="0"/>
    <x v="0"/>
    <x v="0"/>
    <x v="0"/>
    <x v="1"/>
    <s v="DK2_Medium"/>
    <x v="2"/>
    <x v="11"/>
    <x v="0"/>
    <x v="7"/>
    <n v="7.5609756097560998"/>
    <n v="2759.7560975609799"/>
    <n v="9935.1219512195203"/>
  </r>
  <r>
    <x v="0"/>
    <x v="0"/>
    <x v="0"/>
    <x v="0"/>
    <x v="1"/>
    <s v="DK2_Medium"/>
    <x v="2"/>
    <x v="11"/>
    <x v="0"/>
    <x v="8"/>
    <n v="7.5609756097560998"/>
    <n v="2759.7560975609799"/>
    <n v="9935.1219512195203"/>
  </r>
  <r>
    <x v="0"/>
    <x v="0"/>
    <x v="0"/>
    <x v="0"/>
    <x v="1"/>
    <s v="DK2_Medium"/>
    <x v="2"/>
    <x v="11"/>
    <x v="0"/>
    <x v="0"/>
    <n v="7.5609756097560998"/>
    <n v="2759.7560975609799"/>
    <n v="9935.1219512195203"/>
  </r>
  <r>
    <x v="0"/>
    <x v="0"/>
    <x v="0"/>
    <x v="0"/>
    <x v="1"/>
    <s v="DK2_Medium"/>
    <x v="2"/>
    <x v="11"/>
    <x v="0"/>
    <x v="1"/>
    <n v="7.5609756097560998"/>
    <n v="2759.7560975609799"/>
    <n v="9935.1219512195203"/>
  </r>
  <r>
    <x v="0"/>
    <x v="0"/>
    <x v="0"/>
    <x v="0"/>
    <x v="1"/>
    <s v="DK2_Medium"/>
    <x v="2"/>
    <x v="11"/>
    <x v="0"/>
    <x v="2"/>
    <n v="7.5609756097560998"/>
    <n v="2759.7560975609799"/>
    <n v="9935.1219512195203"/>
  </r>
  <r>
    <x v="0"/>
    <x v="0"/>
    <x v="0"/>
    <x v="0"/>
    <x v="1"/>
    <s v="DK2_Medium"/>
    <x v="2"/>
    <x v="11"/>
    <x v="0"/>
    <x v="9"/>
    <n v="7.5609756097560998"/>
    <n v="2759.7560975609799"/>
    <n v="9935.1219512195203"/>
  </r>
  <r>
    <x v="0"/>
    <x v="0"/>
    <x v="0"/>
    <x v="0"/>
    <x v="1"/>
    <s v="DK2_Medium"/>
    <x v="2"/>
    <x v="11"/>
    <x v="0"/>
    <x v="10"/>
    <n v="7.5609756097560998"/>
    <n v="2759.7560975609799"/>
    <n v="9935.1219512195203"/>
  </r>
  <r>
    <x v="0"/>
    <x v="0"/>
    <x v="0"/>
    <x v="0"/>
    <x v="1"/>
    <s v="DK2_Medium"/>
    <x v="2"/>
    <x v="11"/>
    <x v="0"/>
    <x v="11"/>
    <n v="7.5609756097560998"/>
    <n v="2759.7560975609799"/>
    <n v="9935.1219512195203"/>
  </r>
  <r>
    <x v="0"/>
    <x v="0"/>
    <x v="0"/>
    <x v="0"/>
    <x v="1"/>
    <s v="DK2_Medium"/>
    <x v="2"/>
    <x v="11"/>
    <x v="0"/>
    <x v="12"/>
    <n v="7.5609756097560998"/>
    <n v="2759.7560975609799"/>
    <n v="9935.1219512195203"/>
  </r>
  <r>
    <x v="0"/>
    <x v="0"/>
    <x v="0"/>
    <x v="0"/>
    <x v="1"/>
    <s v="DK2_Medium"/>
    <x v="2"/>
    <x v="11"/>
    <x v="0"/>
    <x v="13"/>
    <n v="7.5609756097560998"/>
    <n v="2759.7560975609799"/>
    <n v="9935.1219512195203"/>
  </r>
  <r>
    <x v="0"/>
    <x v="0"/>
    <x v="0"/>
    <x v="0"/>
    <x v="1"/>
    <s v="DK2_Medium"/>
    <x v="2"/>
    <x v="11"/>
    <x v="0"/>
    <x v="14"/>
    <n v="7.5609756097560998"/>
    <n v="2759.7560975609799"/>
    <n v="9935.1219512195203"/>
  </r>
  <r>
    <x v="0"/>
    <x v="0"/>
    <x v="0"/>
    <x v="0"/>
    <x v="1"/>
    <s v="DK2_Medium"/>
    <x v="2"/>
    <x v="11"/>
    <x v="0"/>
    <x v="15"/>
    <n v="7.5609756097560998"/>
    <n v="2759.7560975609799"/>
    <n v="9935.1219512195203"/>
  </r>
  <r>
    <x v="0"/>
    <x v="0"/>
    <x v="0"/>
    <x v="0"/>
    <x v="1"/>
    <s v="DK2_Medium"/>
    <x v="2"/>
    <x v="11"/>
    <x v="0"/>
    <x v="16"/>
    <n v="7.5609756097560998"/>
    <n v="2759.7560975609799"/>
    <n v="9935.1219512195203"/>
  </r>
  <r>
    <x v="0"/>
    <x v="0"/>
    <x v="0"/>
    <x v="0"/>
    <x v="1"/>
    <s v="DK2_Medium"/>
    <x v="2"/>
    <x v="11"/>
    <x v="0"/>
    <x v="17"/>
    <n v="7.5609756097560998"/>
    <n v="2759.7560975609799"/>
    <n v="9935.1219512195203"/>
  </r>
  <r>
    <x v="0"/>
    <x v="0"/>
    <x v="0"/>
    <x v="0"/>
    <x v="1"/>
    <s v="DK2_Medium"/>
    <x v="2"/>
    <x v="11"/>
    <x v="0"/>
    <x v="18"/>
    <n v="7.5609756097560998"/>
    <n v="2759.7560975609799"/>
    <n v="9935.1219512195203"/>
  </r>
  <r>
    <x v="0"/>
    <x v="0"/>
    <x v="0"/>
    <x v="0"/>
    <x v="1"/>
    <s v="DK2_Medium"/>
    <x v="2"/>
    <x v="11"/>
    <x v="0"/>
    <x v="19"/>
    <n v="7.5609756097560998"/>
    <n v="2759.7560975609799"/>
    <n v="9935.1219512195203"/>
  </r>
  <r>
    <x v="0"/>
    <x v="0"/>
    <x v="0"/>
    <x v="0"/>
    <x v="1"/>
    <s v="DK2_Medium"/>
    <x v="2"/>
    <x v="11"/>
    <x v="0"/>
    <x v="20"/>
    <n v="7.5609756097560998"/>
    <n v="2759.7560975609799"/>
    <n v="9935.1219512195203"/>
  </r>
  <r>
    <x v="0"/>
    <x v="0"/>
    <x v="0"/>
    <x v="0"/>
    <x v="1"/>
    <s v="DK2_Medium"/>
    <x v="2"/>
    <x v="11"/>
    <x v="0"/>
    <x v="21"/>
    <n v="7.5609756097560998"/>
    <n v="2759.7560975609799"/>
    <n v="9935.1219512195203"/>
  </r>
  <r>
    <x v="0"/>
    <x v="0"/>
    <x v="0"/>
    <x v="0"/>
    <x v="1"/>
    <s v="DK2_Medium"/>
    <x v="2"/>
    <x v="11"/>
    <x v="0"/>
    <x v="22"/>
    <n v="7.5609756097560998"/>
    <n v="2759.7560975609799"/>
    <n v="9935.1219512195203"/>
  </r>
  <r>
    <x v="0"/>
    <x v="0"/>
    <x v="0"/>
    <x v="0"/>
    <x v="1"/>
    <s v="DK2_Medium"/>
    <x v="2"/>
    <x v="11"/>
    <x v="0"/>
    <x v="23"/>
    <n v="7.5609756097560998"/>
    <n v="2759.7560975609799"/>
    <n v="9935.1219512195203"/>
  </r>
  <r>
    <x v="0"/>
    <x v="0"/>
    <x v="0"/>
    <x v="0"/>
    <x v="1"/>
    <s v="DK2_Medium"/>
    <x v="2"/>
    <x v="12"/>
    <x v="0"/>
    <x v="3"/>
    <n v="4.7619047619047601"/>
    <n v="1738.0952380952399"/>
    <n v="6257.1428571428596"/>
  </r>
  <r>
    <x v="0"/>
    <x v="0"/>
    <x v="0"/>
    <x v="0"/>
    <x v="1"/>
    <s v="DK2_Medium"/>
    <x v="2"/>
    <x v="12"/>
    <x v="0"/>
    <x v="4"/>
    <n v="4.7619047619047601"/>
    <n v="1738.0952380952399"/>
    <n v="6257.1428571428596"/>
  </r>
  <r>
    <x v="0"/>
    <x v="0"/>
    <x v="0"/>
    <x v="0"/>
    <x v="1"/>
    <s v="DK2_Medium"/>
    <x v="2"/>
    <x v="12"/>
    <x v="0"/>
    <x v="5"/>
    <n v="4.7619047619047601"/>
    <n v="1738.0952380952399"/>
    <n v="6257.1428571428596"/>
  </r>
  <r>
    <x v="0"/>
    <x v="0"/>
    <x v="0"/>
    <x v="0"/>
    <x v="1"/>
    <s v="DK2_Medium"/>
    <x v="2"/>
    <x v="12"/>
    <x v="0"/>
    <x v="6"/>
    <n v="4.7619047619047601"/>
    <n v="1738.0952380952399"/>
    <n v="6257.1428571428596"/>
  </r>
  <r>
    <x v="0"/>
    <x v="0"/>
    <x v="0"/>
    <x v="0"/>
    <x v="1"/>
    <s v="DK2_Medium"/>
    <x v="2"/>
    <x v="12"/>
    <x v="0"/>
    <x v="7"/>
    <n v="4.7619047619047601"/>
    <n v="1738.0952380952399"/>
    <n v="6257.1428571428596"/>
  </r>
  <r>
    <x v="0"/>
    <x v="0"/>
    <x v="0"/>
    <x v="0"/>
    <x v="1"/>
    <s v="DK2_Medium"/>
    <x v="2"/>
    <x v="12"/>
    <x v="0"/>
    <x v="8"/>
    <n v="4.7619047619047601"/>
    <n v="1738.0952380952399"/>
    <n v="6257.1428571428596"/>
  </r>
  <r>
    <x v="0"/>
    <x v="0"/>
    <x v="0"/>
    <x v="0"/>
    <x v="1"/>
    <s v="DK2_Medium"/>
    <x v="2"/>
    <x v="12"/>
    <x v="0"/>
    <x v="0"/>
    <n v="4.7619047619047601"/>
    <n v="1738.0952380952399"/>
    <n v="6257.1428571428596"/>
  </r>
  <r>
    <x v="0"/>
    <x v="0"/>
    <x v="0"/>
    <x v="0"/>
    <x v="1"/>
    <s v="DK2_Medium"/>
    <x v="2"/>
    <x v="12"/>
    <x v="0"/>
    <x v="1"/>
    <n v="4.7619047619047601"/>
    <n v="1738.0952380952399"/>
    <n v="6257.1428571428596"/>
  </r>
  <r>
    <x v="0"/>
    <x v="0"/>
    <x v="0"/>
    <x v="0"/>
    <x v="1"/>
    <s v="DK2_Medium"/>
    <x v="2"/>
    <x v="12"/>
    <x v="0"/>
    <x v="2"/>
    <n v="4.7619047619047601"/>
    <n v="1738.0952380952399"/>
    <n v="6257.1428571428596"/>
  </r>
  <r>
    <x v="0"/>
    <x v="0"/>
    <x v="0"/>
    <x v="0"/>
    <x v="1"/>
    <s v="DK2_Medium"/>
    <x v="2"/>
    <x v="12"/>
    <x v="0"/>
    <x v="9"/>
    <n v="4.7619047619047601"/>
    <n v="1738.0952380952399"/>
    <n v="6257.1428571428596"/>
  </r>
  <r>
    <x v="0"/>
    <x v="0"/>
    <x v="0"/>
    <x v="0"/>
    <x v="1"/>
    <s v="DK2_Medium"/>
    <x v="2"/>
    <x v="12"/>
    <x v="0"/>
    <x v="10"/>
    <n v="4.7619047619047601"/>
    <n v="1738.0952380952399"/>
    <n v="6257.1428571428596"/>
  </r>
  <r>
    <x v="0"/>
    <x v="0"/>
    <x v="0"/>
    <x v="0"/>
    <x v="1"/>
    <s v="DK2_Medium"/>
    <x v="2"/>
    <x v="12"/>
    <x v="0"/>
    <x v="11"/>
    <n v="4.7619047619047601"/>
    <n v="1738.0952380952399"/>
    <n v="6257.1428571428596"/>
  </r>
  <r>
    <x v="0"/>
    <x v="0"/>
    <x v="0"/>
    <x v="0"/>
    <x v="1"/>
    <s v="DK2_Medium"/>
    <x v="2"/>
    <x v="12"/>
    <x v="0"/>
    <x v="12"/>
    <n v="4.7619047619047601"/>
    <n v="1738.0952380952399"/>
    <n v="6257.1428571428596"/>
  </r>
  <r>
    <x v="0"/>
    <x v="0"/>
    <x v="0"/>
    <x v="0"/>
    <x v="1"/>
    <s v="DK2_Medium"/>
    <x v="2"/>
    <x v="12"/>
    <x v="0"/>
    <x v="13"/>
    <n v="4.7619047619047601"/>
    <n v="1738.0952380952399"/>
    <n v="6257.1428571428596"/>
  </r>
  <r>
    <x v="0"/>
    <x v="0"/>
    <x v="0"/>
    <x v="0"/>
    <x v="1"/>
    <s v="DK2_Medium"/>
    <x v="2"/>
    <x v="12"/>
    <x v="0"/>
    <x v="14"/>
    <n v="4.7619047619047601"/>
    <n v="1738.0952380952399"/>
    <n v="6257.1428571428596"/>
  </r>
  <r>
    <x v="0"/>
    <x v="0"/>
    <x v="0"/>
    <x v="0"/>
    <x v="1"/>
    <s v="DK2_Medium"/>
    <x v="2"/>
    <x v="12"/>
    <x v="0"/>
    <x v="15"/>
    <n v="4.7619047619047601"/>
    <n v="1738.0952380952399"/>
    <n v="6257.1428571428596"/>
  </r>
  <r>
    <x v="0"/>
    <x v="0"/>
    <x v="0"/>
    <x v="0"/>
    <x v="1"/>
    <s v="DK2_Medium"/>
    <x v="2"/>
    <x v="12"/>
    <x v="0"/>
    <x v="16"/>
    <n v="4.7619047619047601"/>
    <n v="1738.0952380952399"/>
    <n v="6257.1428571428596"/>
  </r>
  <r>
    <x v="0"/>
    <x v="0"/>
    <x v="0"/>
    <x v="0"/>
    <x v="1"/>
    <s v="DK2_Medium"/>
    <x v="2"/>
    <x v="12"/>
    <x v="0"/>
    <x v="17"/>
    <n v="4.7619047619047601"/>
    <n v="1738.0952380952399"/>
    <n v="6257.1428571428596"/>
  </r>
  <r>
    <x v="0"/>
    <x v="0"/>
    <x v="0"/>
    <x v="0"/>
    <x v="1"/>
    <s v="DK2_Medium"/>
    <x v="2"/>
    <x v="12"/>
    <x v="0"/>
    <x v="18"/>
    <n v="4.7619047619047601"/>
    <n v="1738.0952380952399"/>
    <n v="6257.1428571428596"/>
  </r>
  <r>
    <x v="0"/>
    <x v="0"/>
    <x v="0"/>
    <x v="0"/>
    <x v="1"/>
    <s v="DK2_Medium"/>
    <x v="2"/>
    <x v="12"/>
    <x v="0"/>
    <x v="19"/>
    <n v="4.7619047619047601"/>
    <n v="1738.0952380952399"/>
    <n v="6257.1428571428596"/>
  </r>
  <r>
    <x v="0"/>
    <x v="0"/>
    <x v="0"/>
    <x v="0"/>
    <x v="1"/>
    <s v="DK2_Medium"/>
    <x v="2"/>
    <x v="12"/>
    <x v="0"/>
    <x v="20"/>
    <n v="4.7619047619047601"/>
    <n v="1738.0952380952399"/>
    <n v="6257.1428571428596"/>
  </r>
  <r>
    <x v="0"/>
    <x v="0"/>
    <x v="0"/>
    <x v="0"/>
    <x v="1"/>
    <s v="DK2_Medium"/>
    <x v="2"/>
    <x v="12"/>
    <x v="0"/>
    <x v="21"/>
    <n v="4.7619047619047601"/>
    <n v="1738.0952380952399"/>
    <n v="6257.1428571428596"/>
  </r>
  <r>
    <x v="0"/>
    <x v="0"/>
    <x v="0"/>
    <x v="0"/>
    <x v="1"/>
    <s v="DK2_Medium"/>
    <x v="2"/>
    <x v="12"/>
    <x v="0"/>
    <x v="22"/>
    <n v="4.7619047619047601"/>
    <n v="1738.0952380952399"/>
    <n v="6257.1428571428596"/>
  </r>
  <r>
    <x v="0"/>
    <x v="0"/>
    <x v="0"/>
    <x v="0"/>
    <x v="1"/>
    <s v="DK2_Medium"/>
    <x v="2"/>
    <x v="12"/>
    <x v="0"/>
    <x v="23"/>
    <n v="4.7619047619047601"/>
    <n v="1738.0952380952399"/>
    <n v="6257.1428571428596"/>
  </r>
  <r>
    <x v="0"/>
    <x v="0"/>
    <x v="0"/>
    <x v="0"/>
    <x v="1"/>
    <s v="DK2_Medium"/>
    <x v="2"/>
    <x v="66"/>
    <x v="0"/>
    <x v="3"/>
    <n v="140.47619047619"/>
    <n v="51273.809523809497"/>
    <n v="184585.714285714"/>
  </r>
  <r>
    <x v="0"/>
    <x v="0"/>
    <x v="0"/>
    <x v="0"/>
    <x v="1"/>
    <s v="DK2_Medium"/>
    <x v="2"/>
    <x v="66"/>
    <x v="0"/>
    <x v="4"/>
    <n v="140.47619047619"/>
    <n v="51273.809523809497"/>
    <n v="184585.714285714"/>
  </r>
  <r>
    <x v="0"/>
    <x v="0"/>
    <x v="0"/>
    <x v="0"/>
    <x v="1"/>
    <s v="DK2_Medium"/>
    <x v="2"/>
    <x v="66"/>
    <x v="0"/>
    <x v="5"/>
    <n v="140.47619047619"/>
    <n v="51273.809523809497"/>
    <n v="184585.714285714"/>
  </r>
  <r>
    <x v="0"/>
    <x v="0"/>
    <x v="0"/>
    <x v="0"/>
    <x v="1"/>
    <s v="DK2_Medium"/>
    <x v="2"/>
    <x v="66"/>
    <x v="0"/>
    <x v="6"/>
    <n v="140.47619047619"/>
    <n v="51273.809523809497"/>
    <n v="184585.714285714"/>
  </r>
  <r>
    <x v="0"/>
    <x v="0"/>
    <x v="0"/>
    <x v="0"/>
    <x v="1"/>
    <s v="DK2_Medium"/>
    <x v="2"/>
    <x v="66"/>
    <x v="0"/>
    <x v="7"/>
    <n v="140.47619047619"/>
    <n v="51273.809523809497"/>
    <n v="184585.714285714"/>
  </r>
  <r>
    <x v="0"/>
    <x v="0"/>
    <x v="0"/>
    <x v="0"/>
    <x v="1"/>
    <s v="DK2_Medium"/>
    <x v="2"/>
    <x v="66"/>
    <x v="0"/>
    <x v="8"/>
    <n v="140.47619047619"/>
    <n v="51273.809523809497"/>
    <n v="184585.714285714"/>
  </r>
  <r>
    <x v="0"/>
    <x v="0"/>
    <x v="0"/>
    <x v="0"/>
    <x v="1"/>
    <s v="DK2_Medium"/>
    <x v="2"/>
    <x v="66"/>
    <x v="0"/>
    <x v="0"/>
    <n v="140.47619047619"/>
    <n v="51273.809523809497"/>
    <n v="184585.714285714"/>
  </r>
  <r>
    <x v="0"/>
    <x v="0"/>
    <x v="0"/>
    <x v="0"/>
    <x v="1"/>
    <s v="DK2_Medium"/>
    <x v="2"/>
    <x v="66"/>
    <x v="0"/>
    <x v="1"/>
    <n v="140.47619047619"/>
    <n v="51273.809523809497"/>
    <n v="184585.714285714"/>
  </r>
  <r>
    <x v="0"/>
    <x v="0"/>
    <x v="0"/>
    <x v="0"/>
    <x v="1"/>
    <s v="DK2_Medium"/>
    <x v="2"/>
    <x v="66"/>
    <x v="0"/>
    <x v="2"/>
    <n v="140.47619047619"/>
    <n v="51273.809523809497"/>
    <n v="184585.714285714"/>
  </r>
  <r>
    <x v="0"/>
    <x v="0"/>
    <x v="0"/>
    <x v="0"/>
    <x v="1"/>
    <s v="DK2_Medium"/>
    <x v="2"/>
    <x v="66"/>
    <x v="0"/>
    <x v="9"/>
    <n v="140.47619047619"/>
    <n v="51273.809523809497"/>
    <n v="184585.714285714"/>
  </r>
  <r>
    <x v="0"/>
    <x v="0"/>
    <x v="0"/>
    <x v="0"/>
    <x v="1"/>
    <s v="DK2_Medium"/>
    <x v="2"/>
    <x v="66"/>
    <x v="0"/>
    <x v="10"/>
    <n v="140.47619047619"/>
    <n v="51273.809523809497"/>
    <n v="184585.714285714"/>
  </r>
  <r>
    <x v="0"/>
    <x v="0"/>
    <x v="0"/>
    <x v="0"/>
    <x v="1"/>
    <s v="DK2_Medium"/>
    <x v="2"/>
    <x v="66"/>
    <x v="0"/>
    <x v="11"/>
    <n v="140.47619047619"/>
    <n v="51273.809523809497"/>
    <n v="184585.714285714"/>
  </r>
  <r>
    <x v="0"/>
    <x v="0"/>
    <x v="0"/>
    <x v="0"/>
    <x v="1"/>
    <s v="DK2_Medium"/>
    <x v="2"/>
    <x v="66"/>
    <x v="0"/>
    <x v="12"/>
    <n v="140.47619047619"/>
    <n v="51273.809523809497"/>
    <n v="184585.714285714"/>
  </r>
  <r>
    <x v="0"/>
    <x v="0"/>
    <x v="0"/>
    <x v="0"/>
    <x v="1"/>
    <s v="DK2_Medium"/>
    <x v="2"/>
    <x v="66"/>
    <x v="0"/>
    <x v="13"/>
    <n v="140.47619047619"/>
    <n v="51273.809523809497"/>
    <n v="184585.714285714"/>
  </r>
  <r>
    <x v="0"/>
    <x v="0"/>
    <x v="0"/>
    <x v="0"/>
    <x v="1"/>
    <s v="DK2_Medium"/>
    <x v="2"/>
    <x v="66"/>
    <x v="0"/>
    <x v="14"/>
    <n v="140.47619047619"/>
    <n v="51273.809523809497"/>
    <n v="184585.714285714"/>
  </r>
  <r>
    <x v="0"/>
    <x v="0"/>
    <x v="0"/>
    <x v="0"/>
    <x v="1"/>
    <s v="DK2_Medium"/>
    <x v="2"/>
    <x v="66"/>
    <x v="0"/>
    <x v="15"/>
    <n v="140.47619047619"/>
    <n v="51273.809523809497"/>
    <n v="184585.714285714"/>
  </r>
  <r>
    <x v="0"/>
    <x v="0"/>
    <x v="0"/>
    <x v="0"/>
    <x v="1"/>
    <s v="DK2_Medium"/>
    <x v="2"/>
    <x v="66"/>
    <x v="0"/>
    <x v="16"/>
    <n v="140.47619047619"/>
    <n v="51273.809523809497"/>
    <n v="184585.714285714"/>
  </r>
  <r>
    <x v="0"/>
    <x v="0"/>
    <x v="0"/>
    <x v="0"/>
    <x v="1"/>
    <s v="DK2_Medium"/>
    <x v="2"/>
    <x v="66"/>
    <x v="0"/>
    <x v="17"/>
    <n v="140.47619047619"/>
    <n v="51273.809523809497"/>
    <n v="184585.714285714"/>
  </r>
  <r>
    <x v="0"/>
    <x v="0"/>
    <x v="0"/>
    <x v="0"/>
    <x v="1"/>
    <s v="DK2_Medium"/>
    <x v="2"/>
    <x v="66"/>
    <x v="0"/>
    <x v="18"/>
    <n v="140.47619047619"/>
    <n v="51273.809523809497"/>
    <n v="184585.714285714"/>
  </r>
  <r>
    <x v="0"/>
    <x v="0"/>
    <x v="0"/>
    <x v="0"/>
    <x v="1"/>
    <s v="DK2_Medium"/>
    <x v="2"/>
    <x v="66"/>
    <x v="0"/>
    <x v="19"/>
    <n v="140.47619047619"/>
    <n v="51273.809523809497"/>
    <n v="184585.714285714"/>
  </r>
  <r>
    <x v="0"/>
    <x v="0"/>
    <x v="0"/>
    <x v="0"/>
    <x v="1"/>
    <s v="DK2_Medium"/>
    <x v="2"/>
    <x v="66"/>
    <x v="0"/>
    <x v="20"/>
    <n v="140.47619047619"/>
    <n v="51273.809523809497"/>
    <n v="184585.714285714"/>
  </r>
  <r>
    <x v="0"/>
    <x v="0"/>
    <x v="0"/>
    <x v="0"/>
    <x v="1"/>
    <s v="DK2_Medium"/>
    <x v="2"/>
    <x v="66"/>
    <x v="0"/>
    <x v="21"/>
    <n v="140.47619047619"/>
    <n v="51273.809523809497"/>
    <n v="184585.714285714"/>
  </r>
  <r>
    <x v="0"/>
    <x v="0"/>
    <x v="0"/>
    <x v="0"/>
    <x v="1"/>
    <s v="DK2_Medium"/>
    <x v="2"/>
    <x v="66"/>
    <x v="0"/>
    <x v="22"/>
    <n v="140.47619047619"/>
    <n v="51273.809523809497"/>
    <n v="184585.714285714"/>
  </r>
  <r>
    <x v="0"/>
    <x v="0"/>
    <x v="0"/>
    <x v="0"/>
    <x v="1"/>
    <s v="DK2_Medium"/>
    <x v="2"/>
    <x v="66"/>
    <x v="0"/>
    <x v="23"/>
    <n v="140.47619047619"/>
    <n v="51273.809523809497"/>
    <n v="184585.714285714"/>
  </r>
  <r>
    <x v="0"/>
    <x v="0"/>
    <x v="0"/>
    <x v="0"/>
    <x v="1"/>
    <s v="DK2_Medium"/>
    <x v="2"/>
    <x v="35"/>
    <x v="0"/>
    <x v="3"/>
    <n v="175"/>
    <n v="63875"/>
    <n v="229950"/>
  </r>
  <r>
    <x v="0"/>
    <x v="0"/>
    <x v="0"/>
    <x v="0"/>
    <x v="1"/>
    <s v="DK2_Medium"/>
    <x v="2"/>
    <x v="35"/>
    <x v="0"/>
    <x v="4"/>
    <n v="175"/>
    <n v="63875"/>
    <n v="229950"/>
  </r>
  <r>
    <x v="0"/>
    <x v="0"/>
    <x v="0"/>
    <x v="0"/>
    <x v="1"/>
    <s v="DK2_Medium"/>
    <x v="2"/>
    <x v="35"/>
    <x v="0"/>
    <x v="5"/>
    <n v="175"/>
    <n v="63875"/>
    <n v="229950"/>
  </r>
  <r>
    <x v="0"/>
    <x v="0"/>
    <x v="0"/>
    <x v="0"/>
    <x v="1"/>
    <s v="DK2_Medium"/>
    <x v="2"/>
    <x v="35"/>
    <x v="0"/>
    <x v="6"/>
    <n v="175"/>
    <n v="63875"/>
    <n v="229950"/>
  </r>
  <r>
    <x v="0"/>
    <x v="0"/>
    <x v="0"/>
    <x v="0"/>
    <x v="1"/>
    <s v="DK2_Medium"/>
    <x v="2"/>
    <x v="35"/>
    <x v="0"/>
    <x v="7"/>
    <n v="175"/>
    <n v="63875"/>
    <n v="229950"/>
  </r>
  <r>
    <x v="0"/>
    <x v="0"/>
    <x v="0"/>
    <x v="0"/>
    <x v="1"/>
    <s v="DK2_Medium"/>
    <x v="2"/>
    <x v="35"/>
    <x v="0"/>
    <x v="8"/>
    <n v="175"/>
    <n v="63875"/>
    <n v="229950"/>
  </r>
  <r>
    <x v="0"/>
    <x v="0"/>
    <x v="0"/>
    <x v="0"/>
    <x v="1"/>
    <s v="DK2_Medium"/>
    <x v="2"/>
    <x v="35"/>
    <x v="0"/>
    <x v="0"/>
    <n v="175"/>
    <n v="63875"/>
    <n v="229950"/>
  </r>
  <r>
    <x v="0"/>
    <x v="0"/>
    <x v="0"/>
    <x v="0"/>
    <x v="1"/>
    <s v="DK2_Medium"/>
    <x v="2"/>
    <x v="35"/>
    <x v="0"/>
    <x v="1"/>
    <n v="175"/>
    <n v="63875"/>
    <n v="229950"/>
  </r>
  <r>
    <x v="0"/>
    <x v="0"/>
    <x v="0"/>
    <x v="0"/>
    <x v="1"/>
    <s v="DK2_Medium"/>
    <x v="2"/>
    <x v="35"/>
    <x v="0"/>
    <x v="2"/>
    <n v="175"/>
    <n v="63875"/>
    <n v="229950"/>
  </r>
  <r>
    <x v="0"/>
    <x v="0"/>
    <x v="0"/>
    <x v="0"/>
    <x v="1"/>
    <s v="DK2_Medium"/>
    <x v="2"/>
    <x v="35"/>
    <x v="0"/>
    <x v="9"/>
    <n v="175"/>
    <n v="63875"/>
    <n v="229950"/>
  </r>
  <r>
    <x v="0"/>
    <x v="0"/>
    <x v="0"/>
    <x v="0"/>
    <x v="1"/>
    <s v="DK2_Medium"/>
    <x v="2"/>
    <x v="35"/>
    <x v="0"/>
    <x v="10"/>
    <n v="175"/>
    <n v="63875"/>
    <n v="229950"/>
  </r>
  <r>
    <x v="0"/>
    <x v="0"/>
    <x v="0"/>
    <x v="0"/>
    <x v="1"/>
    <s v="DK2_Medium"/>
    <x v="2"/>
    <x v="35"/>
    <x v="0"/>
    <x v="11"/>
    <n v="175"/>
    <n v="63875"/>
    <n v="229950"/>
  </r>
  <r>
    <x v="0"/>
    <x v="0"/>
    <x v="0"/>
    <x v="0"/>
    <x v="1"/>
    <s v="DK2_Medium"/>
    <x v="2"/>
    <x v="35"/>
    <x v="0"/>
    <x v="12"/>
    <n v="175"/>
    <n v="63875"/>
    <n v="229950"/>
  </r>
  <r>
    <x v="0"/>
    <x v="0"/>
    <x v="0"/>
    <x v="0"/>
    <x v="1"/>
    <s v="DK2_Medium"/>
    <x v="2"/>
    <x v="35"/>
    <x v="0"/>
    <x v="13"/>
    <n v="175"/>
    <n v="63875"/>
    <n v="229950"/>
  </r>
  <r>
    <x v="0"/>
    <x v="0"/>
    <x v="0"/>
    <x v="0"/>
    <x v="1"/>
    <s v="DK2_Medium"/>
    <x v="2"/>
    <x v="35"/>
    <x v="0"/>
    <x v="14"/>
    <n v="175"/>
    <n v="63875"/>
    <n v="229950"/>
  </r>
  <r>
    <x v="0"/>
    <x v="0"/>
    <x v="0"/>
    <x v="0"/>
    <x v="1"/>
    <s v="DK2_Medium"/>
    <x v="2"/>
    <x v="35"/>
    <x v="0"/>
    <x v="15"/>
    <n v="175"/>
    <n v="63875"/>
    <n v="229950"/>
  </r>
  <r>
    <x v="0"/>
    <x v="0"/>
    <x v="0"/>
    <x v="0"/>
    <x v="1"/>
    <s v="DK2_Medium"/>
    <x v="2"/>
    <x v="35"/>
    <x v="0"/>
    <x v="16"/>
    <n v="175"/>
    <n v="63875"/>
    <n v="229950"/>
  </r>
  <r>
    <x v="0"/>
    <x v="0"/>
    <x v="0"/>
    <x v="0"/>
    <x v="1"/>
    <s v="DK2_Medium"/>
    <x v="2"/>
    <x v="35"/>
    <x v="0"/>
    <x v="17"/>
    <n v="175"/>
    <n v="63875"/>
    <n v="229950"/>
  </r>
  <r>
    <x v="0"/>
    <x v="0"/>
    <x v="0"/>
    <x v="0"/>
    <x v="1"/>
    <s v="DK2_Medium"/>
    <x v="2"/>
    <x v="35"/>
    <x v="0"/>
    <x v="18"/>
    <n v="175"/>
    <n v="63875"/>
    <n v="229950"/>
  </r>
  <r>
    <x v="0"/>
    <x v="0"/>
    <x v="0"/>
    <x v="0"/>
    <x v="1"/>
    <s v="DK2_Medium"/>
    <x v="2"/>
    <x v="35"/>
    <x v="0"/>
    <x v="19"/>
    <n v="175"/>
    <n v="63875"/>
    <n v="229950"/>
  </r>
  <r>
    <x v="0"/>
    <x v="0"/>
    <x v="0"/>
    <x v="0"/>
    <x v="1"/>
    <s v="DK2_Medium"/>
    <x v="2"/>
    <x v="35"/>
    <x v="0"/>
    <x v="20"/>
    <n v="175"/>
    <n v="63875"/>
    <n v="229950"/>
  </r>
  <r>
    <x v="0"/>
    <x v="0"/>
    <x v="0"/>
    <x v="0"/>
    <x v="1"/>
    <s v="DK2_Medium"/>
    <x v="2"/>
    <x v="35"/>
    <x v="0"/>
    <x v="21"/>
    <n v="175"/>
    <n v="63875"/>
    <n v="229950"/>
  </r>
  <r>
    <x v="0"/>
    <x v="0"/>
    <x v="0"/>
    <x v="0"/>
    <x v="1"/>
    <s v="DK2_Medium"/>
    <x v="2"/>
    <x v="35"/>
    <x v="0"/>
    <x v="22"/>
    <n v="175"/>
    <n v="63875"/>
    <n v="229950"/>
  </r>
  <r>
    <x v="0"/>
    <x v="0"/>
    <x v="0"/>
    <x v="0"/>
    <x v="1"/>
    <s v="DK2_Medium"/>
    <x v="2"/>
    <x v="35"/>
    <x v="0"/>
    <x v="23"/>
    <n v="175"/>
    <n v="63875"/>
    <n v="229950"/>
  </r>
  <r>
    <x v="0"/>
    <x v="0"/>
    <x v="0"/>
    <x v="0"/>
    <x v="1"/>
    <s v="DK2_Medium"/>
    <x v="5"/>
    <x v="37"/>
    <x v="0"/>
    <x v="0"/>
    <n v="1.2222222222222301"/>
    <n v="446.11111111111302"/>
    <n v="1606.00000000001"/>
  </r>
  <r>
    <x v="0"/>
    <x v="0"/>
    <x v="0"/>
    <x v="0"/>
    <x v="1"/>
    <s v="DK2_Medium"/>
    <x v="5"/>
    <x v="37"/>
    <x v="0"/>
    <x v="1"/>
    <n v="1.2222222222222301"/>
    <n v="446.11111111111302"/>
    <n v="1606.00000000001"/>
  </r>
  <r>
    <x v="0"/>
    <x v="0"/>
    <x v="0"/>
    <x v="0"/>
    <x v="1"/>
    <s v="DK2_Medium"/>
    <x v="5"/>
    <x v="37"/>
    <x v="0"/>
    <x v="2"/>
    <n v="1.2222222222222301"/>
    <n v="446.11111111111302"/>
    <n v="1606.00000000001"/>
  </r>
  <r>
    <x v="0"/>
    <x v="0"/>
    <x v="0"/>
    <x v="0"/>
    <x v="1"/>
    <s v="DK2_Medium"/>
    <x v="5"/>
    <x v="37"/>
    <x v="0"/>
    <x v="9"/>
    <n v="1.2222222222222301"/>
    <n v="446.11111111111302"/>
    <n v="1606.00000000001"/>
  </r>
  <r>
    <x v="0"/>
    <x v="0"/>
    <x v="0"/>
    <x v="0"/>
    <x v="1"/>
    <s v="DK2_Medium"/>
    <x v="5"/>
    <x v="37"/>
    <x v="0"/>
    <x v="10"/>
    <n v="1.2222222222222301"/>
    <n v="446.11111111111302"/>
    <n v="1606.00000000001"/>
  </r>
  <r>
    <x v="0"/>
    <x v="0"/>
    <x v="0"/>
    <x v="0"/>
    <x v="1"/>
    <s v="DK2_Medium"/>
    <x v="5"/>
    <x v="37"/>
    <x v="0"/>
    <x v="14"/>
    <n v="1.2222222222222301"/>
    <n v="446.11111111111302"/>
    <n v="1606.00000000001"/>
  </r>
  <r>
    <x v="0"/>
    <x v="0"/>
    <x v="0"/>
    <x v="0"/>
    <x v="1"/>
    <s v="DK2_Medium"/>
    <x v="5"/>
    <x v="37"/>
    <x v="0"/>
    <x v="15"/>
    <n v="1.2222222222222301"/>
    <n v="446.11111111111302"/>
    <n v="1606.00000000001"/>
  </r>
  <r>
    <x v="0"/>
    <x v="0"/>
    <x v="0"/>
    <x v="0"/>
    <x v="1"/>
    <s v="DK2_Medium"/>
    <x v="5"/>
    <x v="37"/>
    <x v="0"/>
    <x v="16"/>
    <n v="1.2222222222222301"/>
    <n v="446.11111111111302"/>
    <n v="1606.00000000001"/>
  </r>
  <r>
    <x v="0"/>
    <x v="0"/>
    <x v="0"/>
    <x v="0"/>
    <x v="1"/>
    <s v="DK2_Medium"/>
    <x v="5"/>
    <x v="37"/>
    <x v="0"/>
    <x v="17"/>
    <n v="1.2222222222222301"/>
    <n v="446.11111111111302"/>
    <n v="1606.00000000001"/>
  </r>
  <r>
    <x v="0"/>
    <x v="0"/>
    <x v="0"/>
    <x v="0"/>
    <x v="1"/>
    <s v="DK2_Medium"/>
    <x v="5"/>
    <x v="37"/>
    <x v="0"/>
    <x v="18"/>
    <n v="1.2222222222222301"/>
    <n v="446.11111111111302"/>
    <n v="1606.00000000001"/>
  </r>
  <r>
    <x v="0"/>
    <x v="0"/>
    <x v="0"/>
    <x v="0"/>
    <x v="1"/>
    <s v="DK2_NoDH"/>
    <x v="2"/>
    <x v="39"/>
    <x v="0"/>
    <x v="0"/>
    <n v="4.8484848484848504"/>
    <n v="1769.69696969697"/>
    <n v="6370.9090909090901"/>
  </r>
  <r>
    <x v="0"/>
    <x v="0"/>
    <x v="0"/>
    <x v="0"/>
    <x v="1"/>
    <s v="DK2_NoDH"/>
    <x v="2"/>
    <x v="39"/>
    <x v="0"/>
    <x v="1"/>
    <n v="4.8484848484848504"/>
    <n v="1769.69696969697"/>
    <n v="6370.9090909090901"/>
  </r>
  <r>
    <x v="0"/>
    <x v="0"/>
    <x v="0"/>
    <x v="0"/>
    <x v="1"/>
    <s v="DK2_NoDH"/>
    <x v="2"/>
    <x v="39"/>
    <x v="0"/>
    <x v="2"/>
    <n v="4.8484848484848504"/>
    <n v="1769.69696969697"/>
    <n v="6370.9090909090901"/>
  </r>
  <r>
    <x v="0"/>
    <x v="0"/>
    <x v="0"/>
    <x v="0"/>
    <x v="1"/>
    <s v="DK2_NoDH"/>
    <x v="2"/>
    <x v="39"/>
    <x v="0"/>
    <x v="9"/>
    <n v="4.8484848484848504"/>
    <n v="1769.69696969697"/>
    <n v="6370.9090909090901"/>
  </r>
  <r>
    <x v="0"/>
    <x v="0"/>
    <x v="0"/>
    <x v="0"/>
    <x v="1"/>
    <s v="DK2_NoDH"/>
    <x v="2"/>
    <x v="39"/>
    <x v="0"/>
    <x v="10"/>
    <n v="4.8484848484848504"/>
    <n v="1769.69696969697"/>
    <n v="6370.9090909090901"/>
  </r>
  <r>
    <x v="0"/>
    <x v="0"/>
    <x v="0"/>
    <x v="0"/>
    <x v="1"/>
    <s v="DK2_NoDH"/>
    <x v="2"/>
    <x v="39"/>
    <x v="0"/>
    <x v="11"/>
    <n v="4.8484848484848504"/>
    <n v="1769.69696969697"/>
    <n v="6370.9090909090901"/>
  </r>
  <r>
    <x v="0"/>
    <x v="0"/>
    <x v="0"/>
    <x v="0"/>
    <x v="1"/>
    <s v="DK2_NoDH"/>
    <x v="2"/>
    <x v="39"/>
    <x v="0"/>
    <x v="12"/>
    <n v="4.8484848484848504"/>
    <n v="1769.69696969697"/>
    <n v="6370.9090909090901"/>
  </r>
  <r>
    <x v="0"/>
    <x v="0"/>
    <x v="0"/>
    <x v="0"/>
    <x v="1"/>
    <s v="DK2_NoDH"/>
    <x v="2"/>
    <x v="39"/>
    <x v="0"/>
    <x v="13"/>
    <n v="4.8484848484848504"/>
    <n v="1769.69696969697"/>
    <n v="6370.9090909090901"/>
  </r>
  <r>
    <x v="0"/>
    <x v="0"/>
    <x v="0"/>
    <x v="0"/>
    <x v="1"/>
    <s v="DK2_NoDH"/>
    <x v="2"/>
    <x v="39"/>
    <x v="0"/>
    <x v="14"/>
    <n v="4.8484848484848504"/>
    <n v="1769.69696969697"/>
    <n v="6370.9090909090901"/>
  </r>
  <r>
    <x v="0"/>
    <x v="0"/>
    <x v="0"/>
    <x v="0"/>
    <x v="1"/>
    <s v="DK2_NoDH"/>
    <x v="2"/>
    <x v="39"/>
    <x v="0"/>
    <x v="15"/>
    <n v="4.8484848484848504"/>
    <n v="1769.69696969697"/>
    <n v="6370.9090909090901"/>
  </r>
  <r>
    <x v="0"/>
    <x v="0"/>
    <x v="0"/>
    <x v="0"/>
    <x v="1"/>
    <s v="DK2_NoDH"/>
    <x v="2"/>
    <x v="39"/>
    <x v="0"/>
    <x v="16"/>
    <n v="4.8484848484848504"/>
    <n v="1769.69696969697"/>
    <n v="6370.9090909090901"/>
  </r>
  <r>
    <x v="0"/>
    <x v="0"/>
    <x v="0"/>
    <x v="0"/>
    <x v="1"/>
    <s v="DK2_NoDH"/>
    <x v="2"/>
    <x v="39"/>
    <x v="0"/>
    <x v="17"/>
    <n v="4.8484848484848504"/>
    <n v="1769.69696969697"/>
    <n v="6370.9090909090901"/>
  </r>
  <r>
    <x v="0"/>
    <x v="0"/>
    <x v="0"/>
    <x v="0"/>
    <x v="1"/>
    <s v="DK2_NoDH"/>
    <x v="2"/>
    <x v="39"/>
    <x v="0"/>
    <x v="18"/>
    <n v="4.8484848484848504"/>
    <n v="1769.69696969697"/>
    <n v="6370.9090909090901"/>
  </r>
  <r>
    <x v="0"/>
    <x v="0"/>
    <x v="0"/>
    <x v="0"/>
    <x v="1"/>
    <s v="DK2_NoDH"/>
    <x v="2"/>
    <x v="39"/>
    <x v="0"/>
    <x v="19"/>
    <n v="4.8484848484848504"/>
    <n v="1769.69696969697"/>
    <n v="6370.9090909090901"/>
  </r>
  <r>
    <x v="0"/>
    <x v="0"/>
    <x v="0"/>
    <x v="0"/>
    <x v="1"/>
    <s v="DK2_NoDH"/>
    <x v="2"/>
    <x v="7"/>
    <x v="0"/>
    <x v="8"/>
    <n v="18.588235294117599"/>
    <n v="6784.7058823529396"/>
    <n v="24424.941176470598"/>
  </r>
  <r>
    <x v="0"/>
    <x v="0"/>
    <x v="0"/>
    <x v="0"/>
    <x v="1"/>
    <s v="DK2_NoDH"/>
    <x v="2"/>
    <x v="7"/>
    <x v="0"/>
    <x v="0"/>
    <n v="18.588235294117599"/>
    <n v="6784.7058823529396"/>
    <n v="24424.941176470598"/>
  </r>
  <r>
    <x v="0"/>
    <x v="0"/>
    <x v="0"/>
    <x v="0"/>
    <x v="1"/>
    <s v="DK2_NoDH"/>
    <x v="2"/>
    <x v="7"/>
    <x v="0"/>
    <x v="1"/>
    <n v="18.588235294117599"/>
    <n v="6784.7058823529396"/>
    <n v="24424.941176470598"/>
  </r>
  <r>
    <x v="0"/>
    <x v="0"/>
    <x v="0"/>
    <x v="0"/>
    <x v="1"/>
    <s v="DK2_NoDH"/>
    <x v="2"/>
    <x v="7"/>
    <x v="0"/>
    <x v="2"/>
    <n v="18.588235294117599"/>
    <n v="6784.7058823529396"/>
    <n v="24424.941176470598"/>
  </r>
  <r>
    <x v="0"/>
    <x v="0"/>
    <x v="0"/>
    <x v="0"/>
    <x v="1"/>
    <s v="DK2_NoDH"/>
    <x v="2"/>
    <x v="7"/>
    <x v="0"/>
    <x v="9"/>
    <n v="18.588235294117599"/>
    <n v="6784.7058823529396"/>
    <n v="24424.941176470598"/>
  </r>
  <r>
    <x v="0"/>
    <x v="0"/>
    <x v="0"/>
    <x v="0"/>
    <x v="1"/>
    <s v="DK2_NoDH"/>
    <x v="2"/>
    <x v="7"/>
    <x v="0"/>
    <x v="10"/>
    <n v="18.588235294117599"/>
    <n v="6784.7058823529396"/>
    <n v="24424.941176470598"/>
  </r>
  <r>
    <x v="0"/>
    <x v="0"/>
    <x v="0"/>
    <x v="0"/>
    <x v="1"/>
    <s v="DK2_NoDH"/>
    <x v="2"/>
    <x v="7"/>
    <x v="0"/>
    <x v="11"/>
    <n v="18.588235294117599"/>
    <n v="6784.7058823529396"/>
    <n v="24424.941176470598"/>
  </r>
  <r>
    <x v="0"/>
    <x v="0"/>
    <x v="0"/>
    <x v="0"/>
    <x v="1"/>
    <s v="DK2_NoDH"/>
    <x v="2"/>
    <x v="7"/>
    <x v="0"/>
    <x v="12"/>
    <n v="18.588235294117599"/>
    <n v="6784.7058823529396"/>
    <n v="24424.941176470598"/>
  </r>
  <r>
    <x v="0"/>
    <x v="0"/>
    <x v="0"/>
    <x v="0"/>
    <x v="1"/>
    <s v="DK2_NoDH"/>
    <x v="2"/>
    <x v="7"/>
    <x v="0"/>
    <x v="13"/>
    <n v="18.588235294117599"/>
    <n v="6784.7058823529396"/>
    <n v="24424.941176470598"/>
  </r>
  <r>
    <x v="0"/>
    <x v="0"/>
    <x v="0"/>
    <x v="0"/>
    <x v="1"/>
    <s v="DK2_NoDH"/>
    <x v="2"/>
    <x v="7"/>
    <x v="0"/>
    <x v="14"/>
    <n v="18.588235294117599"/>
    <n v="6784.7058823529396"/>
    <n v="24424.941176470598"/>
  </r>
  <r>
    <x v="0"/>
    <x v="0"/>
    <x v="0"/>
    <x v="0"/>
    <x v="1"/>
    <s v="DK2_NoDH"/>
    <x v="2"/>
    <x v="7"/>
    <x v="0"/>
    <x v="15"/>
    <n v="18.588235294117599"/>
    <n v="6784.7058823529396"/>
    <n v="24424.941176470598"/>
  </r>
  <r>
    <x v="0"/>
    <x v="0"/>
    <x v="0"/>
    <x v="0"/>
    <x v="1"/>
    <s v="DK2_NoDH"/>
    <x v="2"/>
    <x v="7"/>
    <x v="0"/>
    <x v="16"/>
    <n v="18.588235294117599"/>
    <n v="6784.7058823529396"/>
    <n v="24424.941176470598"/>
  </r>
  <r>
    <x v="0"/>
    <x v="0"/>
    <x v="0"/>
    <x v="0"/>
    <x v="1"/>
    <s v="DK2_NoDH"/>
    <x v="2"/>
    <x v="7"/>
    <x v="0"/>
    <x v="17"/>
    <n v="18.588235294117599"/>
    <n v="6784.7058823529396"/>
    <n v="24424.941176470598"/>
  </r>
  <r>
    <x v="0"/>
    <x v="0"/>
    <x v="0"/>
    <x v="0"/>
    <x v="1"/>
    <s v="DK2_NoDH"/>
    <x v="2"/>
    <x v="7"/>
    <x v="0"/>
    <x v="18"/>
    <n v="18.588235294117599"/>
    <n v="6784.7058823529396"/>
    <n v="24424.941176470598"/>
  </r>
  <r>
    <x v="0"/>
    <x v="0"/>
    <x v="0"/>
    <x v="0"/>
    <x v="1"/>
    <s v="DK2_NoDH"/>
    <x v="2"/>
    <x v="7"/>
    <x v="0"/>
    <x v="19"/>
    <n v="18.588235294117599"/>
    <n v="6784.7058823529396"/>
    <n v="24424.941176470598"/>
  </r>
  <r>
    <x v="0"/>
    <x v="0"/>
    <x v="0"/>
    <x v="0"/>
    <x v="1"/>
    <s v="DK2_NoDH"/>
    <x v="2"/>
    <x v="7"/>
    <x v="0"/>
    <x v="20"/>
    <n v="18.588235294117599"/>
    <n v="6784.7058823529396"/>
    <n v="24424.941176470598"/>
  </r>
  <r>
    <x v="0"/>
    <x v="0"/>
    <x v="0"/>
    <x v="0"/>
    <x v="1"/>
    <s v="DK2_NoDH"/>
    <x v="2"/>
    <x v="26"/>
    <x v="0"/>
    <x v="7"/>
    <n v="14.9142857142857"/>
    <n v="5443.7142857142799"/>
    <n v="19597.371428571401"/>
  </r>
  <r>
    <x v="0"/>
    <x v="0"/>
    <x v="0"/>
    <x v="0"/>
    <x v="1"/>
    <s v="DK2_NoDH"/>
    <x v="2"/>
    <x v="26"/>
    <x v="0"/>
    <x v="8"/>
    <n v="14.9142857142857"/>
    <n v="5443.7142857142799"/>
    <n v="19597.371428571401"/>
  </r>
  <r>
    <x v="0"/>
    <x v="0"/>
    <x v="0"/>
    <x v="0"/>
    <x v="1"/>
    <s v="DK2_NoDH"/>
    <x v="2"/>
    <x v="26"/>
    <x v="0"/>
    <x v="0"/>
    <n v="14.9142857142857"/>
    <n v="5443.7142857142799"/>
    <n v="19597.371428571401"/>
  </r>
  <r>
    <x v="0"/>
    <x v="0"/>
    <x v="0"/>
    <x v="0"/>
    <x v="1"/>
    <s v="DK2_NoDH"/>
    <x v="2"/>
    <x v="26"/>
    <x v="0"/>
    <x v="1"/>
    <n v="14.9142857142857"/>
    <n v="5443.7142857142799"/>
    <n v="19597.371428571401"/>
  </r>
  <r>
    <x v="0"/>
    <x v="0"/>
    <x v="0"/>
    <x v="0"/>
    <x v="1"/>
    <s v="DK2_NoDH"/>
    <x v="2"/>
    <x v="26"/>
    <x v="0"/>
    <x v="2"/>
    <n v="14.9142857142857"/>
    <n v="5443.7142857142799"/>
    <n v="19597.371428571401"/>
  </r>
  <r>
    <x v="0"/>
    <x v="0"/>
    <x v="0"/>
    <x v="0"/>
    <x v="1"/>
    <s v="DK2_NoDH"/>
    <x v="2"/>
    <x v="26"/>
    <x v="0"/>
    <x v="9"/>
    <n v="14.9142857142857"/>
    <n v="5443.7142857142799"/>
    <n v="19597.371428571401"/>
  </r>
  <r>
    <x v="0"/>
    <x v="0"/>
    <x v="0"/>
    <x v="0"/>
    <x v="1"/>
    <s v="DK2_NoDH"/>
    <x v="2"/>
    <x v="26"/>
    <x v="0"/>
    <x v="10"/>
    <n v="14.9142857142857"/>
    <n v="5443.7142857142799"/>
    <n v="19597.371428571401"/>
  </r>
  <r>
    <x v="0"/>
    <x v="0"/>
    <x v="0"/>
    <x v="0"/>
    <x v="1"/>
    <s v="DK2_NoDH"/>
    <x v="2"/>
    <x v="26"/>
    <x v="0"/>
    <x v="11"/>
    <n v="14.9142857142857"/>
    <n v="5443.7142857142799"/>
    <n v="19597.371428571401"/>
  </r>
  <r>
    <x v="0"/>
    <x v="0"/>
    <x v="0"/>
    <x v="0"/>
    <x v="1"/>
    <s v="DK2_NoDH"/>
    <x v="2"/>
    <x v="26"/>
    <x v="0"/>
    <x v="12"/>
    <n v="14.9142857142857"/>
    <n v="5443.7142857142799"/>
    <n v="19597.371428571401"/>
  </r>
  <r>
    <x v="0"/>
    <x v="0"/>
    <x v="0"/>
    <x v="0"/>
    <x v="1"/>
    <s v="DK2_NoDH"/>
    <x v="2"/>
    <x v="26"/>
    <x v="0"/>
    <x v="13"/>
    <n v="14.9142857142857"/>
    <n v="5443.7142857142799"/>
    <n v="19597.371428571401"/>
  </r>
  <r>
    <x v="0"/>
    <x v="0"/>
    <x v="0"/>
    <x v="0"/>
    <x v="1"/>
    <s v="DK2_NoDH"/>
    <x v="2"/>
    <x v="26"/>
    <x v="0"/>
    <x v="14"/>
    <n v="14.9142857142857"/>
    <n v="5443.7142857142799"/>
    <n v="19597.371428571401"/>
  </r>
  <r>
    <x v="0"/>
    <x v="0"/>
    <x v="0"/>
    <x v="0"/>
    <x v="1"/>
    <s v="DK2_NoDH"/>
    <x v="2"/>
    <x v="26"/>
    <x v="0"/>
    <x v="15"/>
    <n v="14.9142857142857"/>
    <n v="5443.7142857142799"/>
    <n v="19597.371428571401"/>
  </r>
  <r>
    <x v="0"/>
    <x v="0"/>
    <x v="0"/>
    <x v="0"/>
    <x v="1"/>
    <s v="DK2_NoDH"/>
    <x v="2"/>
    <x v="26"/>
    <x v="0"/>
    <x v="16"/>
    <n v="14.9142857142857"/>
    <n v="5443.7142857142799"/>
    <n v="19597.371428571401"/>
  </r>
  <r>
    <x v="0"/>
    <x v="0"/>
    <x v="0"/>
    <x v="0"/>
    <x v="1"/>
    <s v="DK2_NoDH"/>
    <x v="2"/>
    <x v="26"/>
    <x v="0"/>
    <x v="17"/>
    <n v="14.9142857142857"/>
    <n v="5443.7142857142799"/>
    <n v="19597.371428571401"/>
  </r>
  <r>
    <x v="0"/>
    <x v="0"/>
    <x v="0"/>
    <x v="0"/>
    <x v="1"/>
    <s v="DK2_NoDH"/>
    <x v="2"/>
    <x v="26"/>
    <x v="0"/>
    <x v="18"/>
    <n v="14.9142857142857"/>
    <n v="5443.7142857142799"/>
    <n v="19597.371428571401"/>
  </r>
  <r>
    <x v="0"/>
    <x v="0"/>
    <x v="0"/>
    <x v="0"/>
    <x v="1"/>
    <s v="DK2_NoDH"/>
    <x v="2"/>
    <x v="26"/>
    <x v="0"/>
    <x v="19"/>
    <n v="14.9142857142857"/>
    <n v="5443.7142857142799"/>
    <n v="19597.371428571401"/>
  </r>
  <r>
    <x v="0"/>
    <x v="0"/>
    <x v="0"/>
    <x v="0"/>
    <x v="1"/>
    <s v="DK2_NoDH"/>
    <x v="2"/>
    <x v="26"/>
    <x v="0"/>
    <x v="20"/>
    <n v="14.9142857142857"/>
    <n v="5443.7142857142799"/>
    <n v="19597.371428571401"/>
  </r>
  <r>
    <x v="0"/>
    <x v="0"/>
    <x v="0"/>
    <x v="0"/>
    <x v="1"/>
    <s v="DK2_NoDH"/>
    <x v="2"/>
    <x v="33"/>
    <x v="0"/>
    <x v="3"/>
    <n v="9.8055555555555607"/>
    <n v="3579.0277777777801"/>
    <n v="12884.5"/>
  </r>
  <r>
    <x v="0"/>
    <x v="0"/>
    <x v="0"/>
    <x v="0"/>
    <x v="1"/>
    <s v="DK2_NoDH"/>
    <x v="2"/>
    <x v="33"/>
    <x v="0"/>
    <x v="4"/>
    <n v="9.8055555555555607"/>
    <n v="3579.0277777777801"/>
    <n v="12884.5"/>
  </r>
  <r>
    <x v="0"/>
    <x v="0"/>
    <x v="0"/>
    <x v="0"/>
    <x v="1"/>
    <s v="DK2_NoDH"/>
    <x v="2"/>
    <x v="33"/>
    <x v="0"/>
    <x v="5"/>
    <n v="9.8055555555555607"/>
    <n v="3579.0277777777801"/>
    <n v="12884.5"/>
  </r>
  <r>
    <x v="0"/>
    <x v="0"/>
    <x v="0"/>
    <x v="0"/>
    <x v="1"/>
    <s v="DK2_NoDH"/>
    <x v="2"/>
    <x v="33"/>
    <x v="0"/>
    <x v="6"/>
    <n v="9.8055555555555607"/>
    <n v="3579.0277777777801"/>
    <n v="12884.5"/>
  </r>
  <r>
    <x v="0"/>
    <x v="0"/>
    <x v="0"/>
    <x v="0"/>
    <x v="1"/>
    <s v="DK2_NoDH"/>
    <x v="2"/>
    <x v="33"/>
    <x v="0"/>
    <x v="7"/>
    <n v="9.8055555555555607"/>
    <n v="3579.0277777777801"/>
    <n v="12884.5"/>
  </r>
  <r>
    <x v="0"/>
    <x v="0"/>
    <x v="0"/>
    <x v="0"/>
    <x v="1"/>
    <s v="DK2_NoDH"/>
    <x v="2"/>
    <x v="33"/>
    <x v="0"/>
    <x v="8"/>
    <n v="9.8055555555555607"/>
    <n v="3579.0277777777801"/>
    <n v="12884.5"/>
  </r>
  <r>
    <x v="0"/>
    <x v="0"/>
    <x v="0"/>
    <x v="0"/>
    <x v="1"/>
    <s v="DK2_NoDH"/>
    <x v="2"/>
    <x v="33"/>
    <x v="0"/>
    <x v="0"/>
    <n v="9.8055555555555607"/>
    <n v="3579.0277777777801"/>
    <n v="12884.5"/>
  </r>
  <r>
    <x v="0"/>
    <x v="0"/>
    <x v="0"/>
    <x v="0"/>
    <x v="1"/>
    <s v="DK2_NoDH"/>
    <x v="2"/>
    <x v="33"/>
    <x v="0"/>
    <x v="1"/>
    <n v="9.8055555555555607"/>
    <n v="3579.0277777777801"/>
    <n v="12884.5"/>
  </r>
  <r>
    <x v="0"/>
    <x v="0"/>
    <x v="0"/>
    <x v="0"/>
    <x v="1"/>
    <s v="DK2_NoDH"/>
    <x v="2"/>
    <x v="33"/>
    <x v="0"/>
    <x v="2"/>
    <n v="9.8055555555555607"/>
    <n v="3579.0277777777801"/>
    <n v="12884.5"/>
  </r>
  <r>
    <x v="0"/>
    <x v="0"/>
    <x v="0"/>
    <x v="0"/>
    <x v="1"/>
    <s v="DK2_NoDH"/>
    <x v="2"/>
    <x v="33"/>
    <x v="0"/>
    <x v="9"/>
    <n v="9.8055555555555607"/>
    <n v="3579.0277777777801"/>
    <n v="12884.5"/>
  </r>
  <r>
    <x v="0"/>
    <x v="0"/>
    <x v="0"/>
    <x v="0"/>
    <x v="1"/>
    <s v="DK2_NoDH"/>
    <x v="2"/>
    <x v="33"/>
    <x v="0"/>
    <x v="10"/>
    <n v="9.8055555555555607"/>
    <n v="3579.0277777777801"/>
    <n v="12884.5"/>
  </r>
  <r>
    <x v="0"/>
    <x v="0"/>
    <x v="0"/>
    <x v="0"/>
    <x v="1"/>
    <s v="DK2_NoDH"/>
    <x v="2"/>
    <x v="33"/>
    <x v="0"/>
    <x v="11"/>
    <n v="9.8055555555555607"/>
    <n v="3579.0277777777801"/>
    <n v="12884.5"/>
  </r>
  <r>
    <x v="0"/>
    <x v="0"/>
    <x v="0"/>
    <x v="0"/>
    <x v="1"/>
    <s v="DK2_NoDH"/>
    <x v="2"/>
    <x v="33"/>
    <x v="0"/>
    <x v="12"/>
    <n v="9.8055555555555607"/>
    <n v="3579.0277777777801"/>
    <n v="12884.5"/>
  </r>
  <r>
    <x v="0"/>
    <x v="0"/>
    <x v="0"/>
    <x v="0"/>
    <x v="1"/>
    <s v="DK2_NoDH"/>
    <x v="2"/>
    <x v="33"/>
    <x v="0"/>
    <x v="13"/>
    <n v="9.8055555555555607"/>
    <n v="3579.0277777777801"/>
    <n v="12884.5"/>
  </r>
  <r>
    <x v="0"/>
    <x v="0"/>
    <x v="0"/>
    <x v="0"/>
    <x v="1"/>
    <s v="DK2_NoDH"/>
    <x v="2"/>
    <x v="33"/>
    <x v="0"/>
    <x v="14"/>
    <n v="9.8055555555555607"/>
    <n v="3579.0277777777801"/>
    <n v="12884.5"/>
  </r>
  <r>
    <x v="0"/>
    <x v="0"/>
    <x v="0"/>
    <x v="0"/>
    <x v="1"/>
    <s v="DK2_NoDH"/>
    <x v="2"/>
    <x v="33"/>
    <x v="0"/>
    <x v="15"/>
    <n v="9.8055555555555607"/>
    <n v="3579.0277777777801"/>
    <n v="12884.5"/>
  </r>
  <r>
    <x v="0"/>
    <x v="0"/>
    <x v="0"/>
    <x v="0"/>
    <x v="1"/>
    <s v="DK2_NoDH"/>
    <x v="2"/>
    <x v="33"/>
    <x v="0"/>
    <x v="16"/>
    <n v="9.8055555555555607"/>
    <n v="3579.0277777777801"/>
    <n v="12884.5"/>
  </r>
  <r>
    <x v="0"/>
    <x v="0"/>
    <x v="0"/>
    <x v="0"/>
    <x v="1"/>
    <s v="DK2_NoDH"/>
    <x v="2"/>
    <x v="33"/>
    <x v="0"/>
    <x v="17"/>
    <n v="9.8055555555555607"/>
    <n v="3579.0277777777801"/>
    <n v="12884.5"/>
  </r>
  <r>
    <x v="0"/>
    <x v="0"/>
    <x v="0"/>
    <x v="0"/>
    <x v="1"/>
    <s v="DK2_NoDH"/>
    <x v="2"/>
    <x v="33"/>
    <x v="0"/>
    <x v="18"/>
    <n v="9.8055555555555607"/>
    <n v="3579.0277777777801"/>
    <n v="12884.5"/>
  </r>
  <r>
    <x v="0"/>
    <x v="0"/>
    <x v="0"/>
    <x v="0"/>
    <x v="1"/>
    <s v="DK2_NoDH"/>
    <x v="2"/>
    <x v="33"/>
    <x v="0"/>
    <x v="19"/>
    <n v="9.8055555555555607"/>
    <n v="3579.0277777777801"/>
    <n v="12884.5"/>
  </r>
  <r>
    <x v="0"/>
    <x v="0"/>
    <x v="0"/>
    <x v="0"/>
    <x v="1"/>
    <s v="DK2_NoDH"/>
    <x v="2"/>
    <x v="33"/>
    <x v="0"/>
    <x v="20"/>
    <n v="9.8055555555555607"/>
    <n v="3579.0277777777801"/>
    <n v="12884.5"/>
  </r>
  <r>
    <x v="0"/>
    <x v="0"/>
    <x v="0"/>
    <x v="0"/>
    <x v="1"/>
    <s v="DK2_NoDH"/>
    <x v="2"/>
    <x v="33"/>
    <x v="0"/>
    <x v="21"/>
    <n v="9.8055555555555607"/>
    <n v="3579.0277777777801"/>
    <n v="12884.5"/>
  </r>
  <r>
    <x v="0"/>
    <x v="0"/>
    <x v="0"/>
    <x v="0"/>
    <x v="1"/>
    <s v="DK2_NoDH"/>
    <x v="2"/>
    <x v="33"/>
    <x v="0"/>
    <x v="22"/>
    <n v="9.8055555555555607"/>
    <n v="3579.0277777777801"/>
    <n v="12884.5"/>
  </r>
  <r>
    <x v="0"/>
    <x v="0"/>
    <x v="0"/>
    <x v="0"/>
    <x v="1"/>
    <s v="DK2_NoDH"/>
    <x v="2"/>
    <x v="27"/>
    <x v="0"/>
    <x v="3"/>
    <n v="7.6216216216216202"/>
    <n v="2781.8918918918898"/>
    <n v="10014.810810810801"/>
  </r>
  <r>
    <x v="0"/>
    <x v="0"/>
    <x v="0"/>
    <x v="0"/>
    <x v="1"/>
    <s v="DK2_NoDH"/>
    <x v="2"/>
    <x v="27"/>
    <x v="0"/>
    <x v="4"/>
    <n v="7.6216216216216202"/>
    <n v="2781.8918918918898"/>
    <n v="10014.810810810801"/>
  </r>
  <r>
    <x v="0"/>
    <x v="0"/>
    <x v="0"/>
    <x v="0"/>
    <x v="1"/>
    <s v="DK2_NoDH"/>
    <x v="2"/>
    <x v="27"/>
    <x v="0"/>
    <x v="5"/>
    <n v="7.6216216216216202"/>
    <n v="2781.8918918918898"/>
    <n v="10014.810810810801"/>
  </r>
  <r>
    <x v="0"/>
    <x v="0"/>
    <x v="0"/>
    <x v="0"/>
    <x v="1"/>
    <s v="DK2_NoDH"/>
    <x v="2"/>
    <x v="27"/>
    <x v="0"/>
    <x v="6"/>
    <n v="7.6216216216216202"/>
    <n v="2781.8918918918898"/>
    <n v="10014.810810810801"/>
  </r>
  <r>
    <x v="0"/>
    <x v="0"/>
    <x v="0"/>
    <x v="0"/>
    <x v="1"/>
    <s v="DK2_NoDH"/>
    <x v="2"/>
    <x v="27"/>
    <x v="0"/>
    <x v="7"/>
    <n v="7.6216216216216202"/>
    <n v="2781.8918918918898"/>
    <n v="10014.810810810801"/>
  </r>
  <r>
    <x v="0"/>
    <x v="0"/>
    <x v="0"/>
    <x v="0"/>
    <x v="1"/>
    <s v="DK2_NoDH"/>
    <x v="2"/>
    <x v="27"/>
    <x v="0"/>
    <x v="8"/>
    <n v="7.6216216216216202"/>
    <n v="2781.8918918918898"/>
    <n v="10014.810810810801"/>
  </r>
  <r>
    <x v="0"/>
    <x v="0"/>
    <x v="0"/>
    <x v="0"/>
    <x v="1"/>
    <s v="DK2_NoDH"/>
    <x v="2"/>
    <x v="27"/>
    <x v="0"/>
    <x v="0"/>
    <n v="7.6216216216216202"/>
    <n v="2781.8918918918898"/>
    <n v="10014.810810810801"/>
  </r>
  <r>
    <x v="0"/>
    <x v="0"/>
    <x v="0"/>
    <x v="0"/>
    <x v="1"/>
    <s v="DK2_NoDH"/>
    <x v="2"/>
    <x v="27"/>
    <x v="0"/>
    <x v="1"/>
    <n v="7.6216216216216202"/>
    <n v="2781.8918918918898"/>
    <n v="10014.810810810801"/>
  </r>
  <r>
    <x v="0"/>
    <x v="0"/>
    <x v="0"/>
    <x v="0"/>
    <x v="1"/>
    <s v="DK2_NoDH"/>
    <x v="2"/>
    <x v="27"/>
    <x v="0"/>
    <x v="2"/>
    <n v="7.6216216216216202"/>
    <n v="2781.8918918918898"/>
    <n v="10014.810810810801"/>
  </r>
  <r>
    <x v="0"/>
    <x v="0"/>
    <x v="0"/>
    <x v="0"/>
    <x v="1"/>
    <s v="DK2_NoDH"/>
    <x v="2"/>
    <x v="27"/>
    <x v="0"/>
    <x v="9"/>
    <n v="7.6216216216216202"/>
    <n v="2781.8918918918898"/>
    <n v="10014.810810810801"/>
  </r>
  <r>
    <x v="0"/>
    <x v="0"/>
    <x v="0"/>
    <x v="0"/>
    <x v="1"/>
    <s v="DK2_NoDH"/>
    <x v="2"/>
    <x v="27"/>
    <x v="0"/>
    <x v="10"/>
    <n v="7.6216216216216202"/>
    <n v="2781.8918918918898"/>
    <n v="10014.810810810801"/>
  </r>
  <r>
    <x v="0"/>
    <x v="0"/>
    <x v="0"/>
    <x v="0"/>
    <x v="1"/>
    <s v="DK2_NoDH"/>
    <x v="2"/>
    <x v="27"/>
    <x v="0"/>
    <x v="11"/>
    <n v="7.6216216216216202"/>
    <n v="2781.8918918918898"/>
    <n v="10014.810810810801"/>
  </r>
  <r>
    <x v="0"/>
    <x v="0"/>
    <x v="0"/>
    <x v="0"/>
    <x v="1"/>
    <s v="DK2_NoDH"/>
    <x v="2"/>
    <x v="27"/>
    <x v="0"/>
    <x v="12"/>
    <n v="7.6216216216216202"/>
    <n v="2781.8918918918898"/>
    <n v="10014.810810810801"/>
  </r>
  <r>
    <x v="0"/>
    <x v="0"/>
    <x v="0"/>
    <x v="0"/>
    <x v="1"/>
    <s v="DK2_NoDH"/>
    <x v="2"/>
    <x v="27"/>
    <x v="0"/>
    <x v="13"/>
    <n v="7.6216216216216202"/>
    <n v="2781.8918918918898"/>
    <n v="10014.810810810801"/>
  </r>
  <r>
    <x v="0"/>
    <x v="0"/>
    <x v="0"/>
    <x v="0"/>
    <x v="1"/>
    <s v="DK2_NoDH"/>
    <x v="2"/>
    <x v="27"/>
    <x v="0"/>
    <x v="14"/>
    <n v="7.6216216216216202"/>
    <n v="2781.8918918918898"/>
    <n v="10014.810810810801"/>
  </r>
  <r>
    <x v="0"/>
    <x v="0"/>
    <x v="0"/>
    <x v="0"/>
    <x v="1"/>
    <s v="DK2_NoDH"/>
    <x v="2"/>
    <x v="27"/>
    <x v="0"/>
    <x v="15"/>
    <n v="7.6216216216216202"/>
    <n v="2781.8918918918898"/>
    <n v="10014.810810810801"/>
  </r>
  <r>
    <x v="0"/>
    <x v="0"/>
    <x v="0"/>
    <x v="0"/>
    <x v="1"/>
    <s v="DK2_NoDH"/>
    <x v="2"/>
    <x v="27"/>
    <x v="0"/>
    <x v="16"/>
    <n v="7.6216216216216202"/>
    <n v="2781.8918918918898"/>
    <n v="10014.810810810801"/>
  </r>
  <r>
    <x v="0"/>
    <x v="0"/>
    <x v="0"/>
    <x v="0"/>
    <x v="1"/>
    <s v="DK2_NoDH"/>
    <x v="2"/>
    <x v="27"/>
    <x v="0"/>
    <x v="17"/>
    <n v="7.6216216216216202"/>
    <n v="2781.8918918918898"/>
    <n v="10014.810810810801"/>
  </r>
  <r>
    <x v="0"/>
    <x v="0"/>
    <x v="0"/>
    <x v="0"/>
    <x v="1"/>
    <s v="DK2_NoDH"/>
    <x v="2"/>
    <x v="27"/>
    <x v="0"/>
    <x v="18"/>
    <n v="7.6216216216216202"/>
    <n v="2781.8918918918898"/>
    <n v="10014.810810810801"/>
  </r>
  <r>
    <x v="0"/>
    <x v="0"/>
    <x v="0"/>
    <x v="0"/>
    <x v="1"/>
    <s v="DK2_NoDH"/>
    <x v="2"/>
    <x v="27"/>
    <x v="0"/>
    <x v="19"/>
    <n v="7.6216216216216202"/>
    <n v="2781.8918918918898"/>
    <n v="10014.810810810801"/>
  </r>
  <r>
    <x v="0"/>
    <x v="0"/>
    <x v="0"/>
    <x v="0"/>
    <x v="1"/>
    <s v="DK2_NoDH"/>
    <x v="2"/>
    <x v="27"/>
    <x v="0"/>
    <x v="20"/>
    <n v="7.6216216216216202"/>
    <n v="2781.8918918918898"/>
    <n v="10014.810810810801"/>
  </r>
  <r>
    <x v="0"/>
    <x v="0"/>
    <x v="0"/>
    <x v="0"/>
    <x v="1"/>
    <s v="DK2_NoDH"/>
    <x v="2"/>
    <x v="27"/>
    <x v="0"/>
    <x v="21"/>
    <n v="7.6216216216216202"/>
    <n v="2781.8918918918898"/>
    <n v="10014.810810810801"/>
  </r>
  <r>
    <x v="0"/>
    <x v="0"/>
    <x v="0"/>
    <x v="0"/>
    <x v="1"/>
    <s v="DK2_NoDH"/>
    <x v="2"/>
    <x v="27"/>
    <x v="0"/>
    <x v="22"/>
    <n v="7.6216216216216202"/>
    <n v="2781.8918918918898"/>
    <n v="10014.810810810801"/>
  </r>
  <r>
    <x v="0"/>
    <x v="0"/>
    <x v="0"/>
    <x v="0"/>
    <x v="1"/>
    <s v="DK2_NoDH"/>
    <x v="2"/>
    <x v="8"/>
    <x v="0"/>
    <x v="3"/>
    <n v="9.8947368421052708"/>
    <n v="3611.5789473684199"/>
    <n v="13001.6842105263"/>
  </r>
  <r>
    <x v="0"/>
    <x v="0"/>
    <x v="0"/>
    <x v="0"/>
    <x v="1"/>
    <s v="DK2_NoDH"/>
    <x v="2"/>
    <x v="8"/>
    <x v="0"/>
    <x v="4"/>
    <n v="9.8947368421052708"/>
    <n v="3611.5789473684199"/>
    <n v="13001.6842105263"/>
  </r>
  <r>
    <x v="0"/>
    <x v="0"/>
    <x v="0"/>
    <x v="0"/>
    <x v="1"/>
    <s v="DK2_NoDH"/>
    <x v="2"/>
    <x v="8"/>
    <x v="0"/>
    <x v="5"/>
    <n v="9.8947368421052708"/>
    <n v="3611.5789473684199"/>
    <n v="13001.6842105263"/>
  </r>
  <r>
    <x v="0"/>
    <x v="0"/>
    <x v="0"/>
    <x v="0"/>
    <x v="1"/>
    <s v="DK2_NoDH"/>
    <x v="2"/>
    <x v="8"/>
    <x v="0"/>
    <x v="6"/>
    <n v="9.8947368421052708"/>
    <n v="3611.5789473684199"/>
    <n v="13001.6842105263"/>
  </r>
  <r>
    <x v="0"/>
    <x v="0"/>
    <x v="0"/>
    <x v="0"/>
    <x v="1"/>
    <s v="DK2_NoDH"/>
    <x v="2"/>
    <x v="8"/>
    <x v="0"/>
    <x v="7"/>
    <n v="9.8947368421052708"/>
    <n v="3611.5789473684199"/>
    <n v="13001.6842105263"/>
  </r>
  <r>
    <x v="0"/>
    <x v="0"/>
    <x v="0"/>
    <x v="0"/>
    <x v="1"/>
    <s v="DK2_NoDH"/>
    <x v="2"/>
    <x v="8"/>
    <x v="0"/>
    <x v="8"/>
    <n v="9.8947368421052708"/>
    <n v="3611.5789473684199"/>
    <n v="13001.6842105263"/>
  </r>
  <r>
    <x v="0"/>
    <x v="0"/>
    <x v="0"/>
    <x v="0"/>
    <x v="1"/>
    <s v="DK2_NoDH"/>
    <x v="2"/>
    <x v="8"/>
    <x v="0"/>
    <x v="0"/>
    <n v="9.8947368421052708"/>
    <n v="3611.5789473684199"/>
    <n v="13001.6842105263"/>
  </r>
  <r>
    <x v="0"/>
    <x v="0"/>
    <x v="0"/>
    <x v="0"/>
    <x v="1"/>
    <s v="DK2_NoDH"/>
    <x v="2"/>
    <x v="8"/>
    <x v="0"/>
    <x v="1"/>
    <n v="9.8947368421052708"/>
    <n v="3611.5789473684199"/>
    <n v="13001.6842105263"/>
  </r>
  <r>
    <x v="0"/>
    <x v="0"/>
    <x v="0"/>
    <x v="0"/>
    <x v="1"/>
    <s v="DK2_NoDH"/>
    <x v="2"/>
    <x v="8"/>
    <x v="0"/>
    <x v="2"/>
    <n v="9.8947368421052708"/>
    <n v="3611.5789473684199"/>
    <n v="13001.6842105263"/>
  </r>
  <r>
    <x v="0"/>
    <x v="0"/>
    <x v="0"/>
    <x v="0"/>
    <x v="1"/>
    <s v="DK2_NoDH"/>
    <x v="2"/>
    <x v="8"/>
    <x v="0"/>
    <x v="9"/>
    <n v="9.8947368421052708"/>
    <n v="3611.5789473684199"/>
    <n v="13001.6842105263"/>
  </r>
  <r>
    <x v="0"/>
    <x v="0"/>
    <x v="0"/>
    <x v="0"/>
    <x v="1"/>
    <s v="DK2_NoDH"/>
    <x v="2"/>
    <x v="8"/>
    <x v="0"/>
    <x v="10"/>
    <n v="9.8947368421052708"/>
    <n v="3611.5789473684199"/>
    <n v="13001.6842105263"/>
  </r>
  <r>
    <x v="0"/>
    <x v="0"/>
    <x v="0"/>
    <x v="0"/>
    <x v="1"/>
    <s v="DK2_NoDH"/>
    <x v="2"/>
    <x v="8"/>
    <x v="0"/>
    <x v="11"/>
    <n v="9.8947368421052708"/>
    <n v="3611.5789473684199"/>
    <n v="13001.6842105263"/>
  </r>
  <r>
    <x v="0"/>
    <x v="0"/>
    <x v="0"/>
    <x v="0"/>
    <x v="1"/>
    <s v="DK2_NoDH"/>
    <x v="2"/>
    <x v="8"/>
    <x v="0"/>
    <x v="12"/>
    <n v="9.8947368421052708"/>
    <n v="3611.5789473684199"/>
    <n v="13001.6842105263"/>
  </r>
  <r>
    <x v="0"/>
    <x v="0"/>
    <x v="0"/>
    <x v="0"/>
    <x v="1"/>
    <s v="DK2_NoDH"/>
    <x v="2"/>
    <x v="8"/>
    <x v="0"/>
    <x v="13"/>
    <n v="9.8947368421052708"/>
    <n v="3611.5789473684199"/>
    <n v="13001.6842105263"/>
  </r>
  <r>
    <x v="0"/>
    <x v="0"/>
    <x v="0"/>
    <x v="0"/>
    <x v="1"/>
    <s v="DK2_NoDH"/>
    <x v="2"/>
    <x v="8"/>
    <x v="0"/>
    <x v="14"/>
    <n v="9.8947368421052708"/>
    <n v="3611.5789473684199"/>
    <n v="13001.6842105263"/>
  </r>
  <r>
    <x v="0"/>
    <x v="0"/>
    <x v="0"/>
    <x v="0"/>
    <x v="1"/>
    <s v="DK2_NoDH"/>
    <x v="2"/>
    <x v="8"/>
    <x v="0"/>
    <x v="15"/>
    <n v="9.8947368421052708"/>
    <n v="3611.5789473684199"/>
    <n v="13001.6842105263"/>
  </r>
  <r>
    <x v="0"/>
    <x v="0"/>
    <x v="0"/>
    <x v="0"/>
    <x v="1"/>
    <s v="DK2_NoDH"/>
    <x v="2"/>
    <x v="8"/>
    <x v="0"/>
    <x v="16"/>
    <n v="9.8947368421052708"/>
    <n v="3611.5789473684199"/>
    <n v="13001.6842105263"/>
  </r>
  <r>
    <x v="0"/>
    <x v="0"/>
    <x v="0"/>
    <x v="0"/>
    <x v="1"/>
    <s v="DK2_NoDH"/>
    <x v="2"/>
    <x v="8"/>
    <x v="0"/>
    <x v="17"/>
    <n v="9.8947368421052708"/>
    <n v="3611.5789473684199"/>
    <n v="13001.6842105263"/>
  </r>
  <r>
    <x v="0"/>
    <x v="0"/>
    <x v="0"/>
    <x v="0"/>
    <x v="1"/>
    <s v="DK2_NoDH"/>
    <x v="2"/>
    <x v="8"/>
    <x v="0"/>
    <x v="18"/>
    <n v="9.8947368421052708"/>
    <n v="3611.5789473684199"/>
    <n v="13001.6842105263"/>
  </r>
  <r>
    <x v="0"/>
    <x v="0"/>
    <x v="0"/>
    <x v="0"/>
    <x v="1"/>
    <s v="DK2_NoDH"/>
    <x v="2"/>
    <x v="8"/>
    <x v="0"/>
    <x v="19"/>
    <n v="9.8947368421052708"/>
    <n v="3611.5789473684199"/>
    <n v="13001.6842105263"/>
  </r>
  <r>
    <x v="0"/>
    <x v="0"/>
    <x v="0"/>
    <x v="0"/>
    <x v="1"/>
    <s v="DK2_NoDH"/>
    <x v="2"/>
    <x v="8"/>
    <x v="0"/>
    <x v="20"/>
    <n v="9.8947368421052708"/>
    <n v="3611.5789473684199"/>
    <n v="13001.6842105263"/>
  </r>
  <r>
    <x v="0"/>
    <x v="0"/>
    <x v="0"/>
    <x v="0"/>
    <x v="1"/>
    <s v="DK2_NoDH"/>
    <x v="2"/>
    <x v="8"/>
    <x v="0"/>
    <x v="21"/>
    <n v="9.8947368421052708"/>
    <n v="3611.5789473684199"/>
    <n v="13001.6842105263"/>
  </r>
  <r>
    <x v="0"/>
    <x v="0"/>
    <x v="0"/>
    <x v="0"/>
    <x v="1"/>
    <s v="DK2_NoDH"/>
    <x v="2"/>
    <x v="8"/>
    <x v="0"/>
    <x v="22"/>
    <n v="9.8947368421052708"/>
    <n v="3611.5789473684199"/>
    <n v="13001.6842105263"/>
  </r>
  <r>
    <x v="0"/>
    <x v="0"/>
    <x v="0"/>
    <x v="0"/>
    <x v="1"/>
    <s v="DK2_NoDH"/>
    <x v="2"/>
    <x v="8"/>
    <x v="0"/>
    <x v="23"/>
    <n v="9.8947368421052708"/>
    <n v="3611.5789473684199"/>
    <n v="13001.6842105263"/>
  </r>
  <r>
    <x v="0"/>
    <x v="0"/>
    <x v="0"/>
    <x v="0"/>
    <x v="1"/>
    <s v="DK2_NoDH"/>
    <x v="2"/>
    <x v="9"/>
    <x v="0"/>
    <x v="3"/>
    <n v="20.897435897435901"/>
    <n v="7627.5641025641098"/>
    <n v="27459.230769230799"/>
  </r>
  <r>
    <x v="0"/>
    <x v="0"/>
    <x v="0"/>
    <x v="0"/>
    <x v="1"/>
    <s v="DK2_NoDH"/>
    <x v="2"/>
    <x v="9"/>
    <x v="0"/>
    <x v="4"/>
    <n v="20.897435897435901"/>
    <n v="7627.5641025641098"/>
    <n v="27459.230769230799"/>
  </r>
  <r>
    <x v="0"/>
    <x v="0"/>
    <x v="0"/>
    <x v="0"/>
    <x v="1"/>
    <s v="DK2_NoDH"/>
    <x v="2"/>
    <x v="9"/>
    <x v="0"/>
    <x v="5"/>
    <n v="20.897435897435901"/>
    <n v="7627.5641025641098"/>
    <n v="27459.230769230799"/>
  </r>
  <r>
    <x v="0"/>
    <x v="0"/>
    <x v="0"/>
    <x v="0"/>
    <x v="1"/>
    <s v="DK2_NoDH"/>
    <x v="2"/>
    <x v="9"/>
    <x v="0"/>
    <x v="6"/>
    <n v="20.897435897435901"/>
    <n v="7627.5641025641098"/>
    <n v="27459.230769230799"/>
  </r>
  <r>
    <x v="0"/>
    <x v="0"/>
    <x v="0"/>
    <x v="0"/>
    <x v="1"/>
    <s v="DK2_NoDH"/>
    <x v="2"/>
    <x v="9"/>
    <x v="0"/>
    <x v="7"/>
    <n v="20.897435897435901"/>
    <n v="7627.5641025641098"/>
    <n v="27459.230769230799"/>
  </r>
  <r>
    <x v="0"/>
    <x v="0"/>
    <x v="0"/>
    <x v="0"/>
    <x v="1"/>
    <s v="DK2_NoDH"/>
    <x v="2"/>
    <x v="9"/>
    <x v="0"/>
    <x v="8"/>
    <n v="20.897435897435901"/>
    <n v="7627.5641025641098"/>
    <n v="27459.230769230799"/>
  </r>
  <r>
    <x v="0"/>
    <x v="0"/>
    <x v="0"/>
    <x v="0"/>
    <x v="1"/>
    <s v="DK2_NoDH"/>
    <x v="2"/>
    <x v="9"/>
    <x v="0"/>
    <x v="0"/>
    <n v="20.897435897435901"/>
    <n v="7627.5641025641098"/>
    <n v="27459.230769230799"/>
  </r>
  <r>
    <x v="0"/>
    <x v="0"/>
    <x v="0"/>
    <x v="0"/>
    <x v="1"/>
    <s v="DK2_NoDH"/>
    <x v="2"/>
    <x v="9"/>
    <x v="0"/>
    <x v="1"/>
    <n v="20.897435897435901"/>
    <n v="7627.5641025641098"/>
    <n v="27459.230769230799"/>
  </r>
  <r>
    <x v="0"/>
    <x v="0"/>
    <x v="0"/>
    <x v="0"/>
    <x v="1"/>
    <s v="DK2_NoDH"/>
    <x v="2"/>
    <x v="9"/>
    <x v="0"/>
    <x v="2"/>
    <n v="20.897435897435901"/>
    <n v="7627.5641025641098"/>
    <n v="27459.230769230799"/>
  </r>
  <r>
    <x v="0"/>
    <x v="0"/>
    <x v="0"/>
    <x v="0"/>
    <x v="1"/>
    <s v="DK2_NoDH"/>
    <x v="2"/>
    <x v="9"/>
    <x v="0"/>
    <x v="9"/>
    <n v="20.897435897435901"/>
    <n v="7627.5641025641098"/>
    <n v="27459.230769230799"/>
  </r>
  <r>
    <x v="0"/>
    <x v="0"/>
    <x v="0"/>
    <x v="0"/>
    <x v="1"/>
    <s v="DK2_NoDH"/>
    <x v="2"/>
    <x v="9"/>
    <x v="0"/>
    <x v="10"/>
    <n v="20.897435897435901"/>
    <n v="7627.5641025641098"/>
    <n v="27459.230769230799"/>
  </r>
  <r>
    <x v="0"/>
    <x v="0"/>
    <x v="0"/>
    <x v="0"/>
    <x v="1"/>
    <s v="DK2_NoDH"/>
    <x v="2"/>
    <x v="9"/>
    <x v="0"/>
    <x v="11"/>
    <n v="20.897435897435901"/>
    <n v="7627.5641025641098"/>
    <n v="27459.230769230799"/>
  </r>
  <r>
    <x v="0"/>
    <x v="0"/>
    <x v="0"/>
    <x v="0"/>
    <x v="1"/>
    <s v="DK2_NoDH"/>
    <x v="2"/>
    <x v="9"/>
    <x v="0"/>
    <x v="12"/>
    <n v="20.897435897435901"/>
    <n v="7627.5641025641098"/>
    <n v="27459.230769230799"/>
  </r>
  <r>
    <x v="0"/>
    <x v="0"/>
    <x v="0"/>
    <x v="0"/>
    <x v="1"/>
    <s v="DK2_NoDH"/>
    <x v="2"/>
    <x v="9"/>
    <x v="0"/>
    <x v="13"/>
    <n v="20.897435897435901"/>
    <n v="7627.5641025641098"/>
    <n v="27459.230769230799"/>
  </r>
  <r>
    <x v="0"/>
    <x v="0"/>
    <x v="0"/>
    <x v="0"/>
    <x v="1"/>
    <s v="DK2_NoDH"/>
    <x v="2"/>
    <x v="9"/>
    <x v="0"/>
    <x v="14"/>
    <n v="20.897435897435901"/>
    <n v="7627.5641025641098"/>
    <n v="27459.230769230799"/>
  </r>
  <r>
    <x v="0"/>
    <x v="0"/>
    <x v="0"/>
    <x v="0"/>
    <x v="1"/>
    <s v="DK2_NoDH"/>
    <x v="2"/>
    <x v="9"/>
    <x v="0"/>
    <x v="15"/>
    <n v="20.897435897435901"/>
    <n v="7627.5641025641098"/>
    <n v="27459.230769230799"/>
  </r>
  <r>
    <x v="0"/>
    <x v="0"/>
    <x v="0"/>
    <x v="0"/>
    <x v="1"/>
    <s v="DK2_NoDH"/>
    <x v="2"/>
    <x v="9"/>
    <x v="0"/>
    <x v="16"/>
    <n v="20.897435897435901"/>
    <n v="7627.5641025641098"/>
    <n v="27459.230769230799"/>
  </r>
  <r>
    <x v="0"/>
    <x v="0"/>
    <x v="0"/>
    <x v="0"/>
    <x v="1"/>
    <s v="DK2_NoDH"/>
    <x v="2"/>
    <x v="9"/>
    <x v="0"/>
    <x v="17"/>
    <n v="20.897435897435901"/>
    <n v="7627.5641025641098"/>
    <n v="27459.230769230799"/>
  </r>
  <r>
    <x v="0"/>
    <x v="0"/>
    <x v="0"/>
    <x v="0"/>
    <x v="1"/>
    <s v="DK2_NoDH"/>
    <x v="2"/>
    <x v="9"/>
    <x v="0"/>
    <x v="18"/>
    <n v="20.897435897435901"/>
    <n v="7627.5641025641098"/>
    <n v="27459.230769230799"/>
  </r>
  <r>
    <x v="0"/>
    <x v="0"/>
    <x v="0"/>
    <x v="0"/>
    <x v="1"/>
    <s v="DK2_NoDH"/>
    <x v="2"/>
    <x v="9"/>
    <x v="0"/>
    <x v="19"/>
    <n v="20.897435897435901"/>
    <n v="7627.5641025641098"/>
    <n v="27459.230769230799"/>
  </r>
  <r>
    <x v="0"/>
    <x v="0"/>
    <x v="0"/>
    <x v="0"/>
    <x v="1"/>
    <s v="DK2_NoDH"/>
    <x v="2"/>
    <x v="9"/>
    <x v="0"/>
    <x v="20"/>
    <n v="20.897435897435901"/>
    <n v="7627.5641025641098"/>
    <n v="27459.230769230799"/>
  </r>
  <r>
    <x v="0"/>
    <x v="0"/>
    <x v="0"/>
    <x v="0"/>
    <x v="1"/>
    <s v="DK2_NoDH"/>
    <x v="2"/>
    <x v="9"/>
    <x v="0"/>
    <x v="21"/>
    <n v="20.897435897435901"/>
    <n v="7627.5641025641098"/>
    <n v="27459.230769230799"/>
  </r>
  <r>
    <x v="0"/>
    <x v="0"/>
    <x v="0"/>
    <x v="0"/>
    <x v="1"/>
    <s v="DK2_NoDH"/>
    <x v="2"/>
    <x v="9"/>
    <x v="0"/>
    <x v="22"/>
    <n v="20.897435897435901"/>
    <n v="7627.5641025641098"/>
    <n v="27459.230769230799"/>
  </r>
  <r>
    <x v="0"/>
    <x v="0"/>
    <x v="0"/>
    <x v="0"/>
    <x v="1"/>
    <s v="DK2_NoDH"/>
    <x v="2"/>
    <x v="9"/>
    <x v="0"/>
    <x v="23"/>
    <n v="20.897435897435901"/>
    <n v="7627.5641025641098"/>
    <n v="27459.230769230799"/>
  </r>
  <r>
    <x v="0"/>
    <x v="0"/>
    <x v="0"/>
    <x v="0"/>
    <x v="1"/>
    <s v="DK2_NoDH"/>
    <x v="2"/>
    <x v="10"/>
    <x v="0"/>
    <x v="3"/>
    <n v="20.074999999999999"/>
    <n v="7327.375"/>
    <n v="26378.55"/>
  </r>
  <r>
    <x v="0"/>
    <x v="0"/>
    <x v="0"/>
    <x v="0"/>
    <x v="1"/>
    <s v="DK2_NoDH"/>
    <x v="2"/>
    <x v="10"/>
    <x v="0"/>
    <x v="4"/>
    <n v="20.074999999999999"/>
    <n v="7327.375"/>
    <n v="26378.55"/>
  </r>
  <r>
    <x v="0"/>
    <x v="0"/>
    <x v="0"/>
    <x v="0"/>
    <x v="1"/>
    <s v="DK2_NoDH"/>
    <x v="2"/>
    <x v="10"/>
    <x v="0"/>
    <x v="5"/>
    <n v="20.074999999999999"/>
    <n v="7327.375"/>
    <n v="26378.55"/>
  </r>
  <r>
    <x v="0"/>
    <x v="0"/>
    <x v="0"/>
    <x v="0"/>
    <x v="1"/>
    <s v="DK2_NoDH"/>
    <x v="2"/>
    <x v="10"/>
    <x v="0"/>
    <x v="6"/>
    <n v="20.074999999999999"/>
    <n v="7327.375"/>
    <n v="26378.55"/>
  </r>
  <r>
    <x v="0"/>
    <x v="0"/>
    <x v="0"/>
    <x v="0"/>
    <x v="1"/>
    <s v="DK2_NoDH"/>
    <x v="2"/>
    <x v="10"/>
    <x v="0"/>
    <x v="7"/>
    <n v="20.074999999999999"/>
    <n v="7327.375"/>
    <n v="26378.55"/>
  </r>
  <r>
    <x v="0"/>
    <x v="0"/>
    <x v="0"/>
    <x v="0"/>
    <x v="1"/>
    <s v="DK2_NoDH"/>
    <x v="2"/>
    <x v="10"/>
    <x v="0"/>
    <x v="8"/>
    <n v="20.074999999999999"/>
    <n v="7327.375"/>
    <n v="26378.55"/>
  </r>
  <r>
    <x v="0"/>
    <x v="0"/>
    <x v="0"/>
    <x v="0"/>
    <x v="1"/>
    <s v="DK2_NoDH"/>
    <x v="2"/>
    <x v="10"/>
    <x v="0"/>
    <x v="0"/>
    <n v="20.074999999999999"/>
    <n v="7327.375"/>
    <n v="26378.55"/>
  </r>
  <r>
    <x v="0"/>
    <x v="0"/>
    <x v="0"/>
    <x v="0"/>
    <x v="1"/>
    <s v="DK2_NoDH"/>
    <x v="2"/>
    <x v="10"/>
    <x v="0"/>
    <x v="1"/>
    <n v="20.074999999999999"/>
    <n v="7327.375"/>
    <n v="26378.55"/>
  </r>
  <r>
    <x v="0"/>
    <x v="0"/>
    <x v="0"/>
    <x v="0"/>
    <x v="1"/>
    <s v="DK2_NoDH"/>
    <x v="2"/>
    <x v="10"/>
    <x v="0"/>
    <x v="2"/>
    <n v="20.074999999999999"/>
    <n v="7327.375"/>
    <n v="26378.55"/>
  </r>
  <r>
    <x v="0"/>
    <x v="0"/>
    <x v="0"/>
    <x v="0"/>
    <x v="1"/>
    <s v="DK2_NoDH"/>
    <x v="2"/>
    <x v="10"/>
    <x v="0"/>
    <x v="9"/>
    <n v="20.074999999999999"/>
    <n v="7327.375"/>
    <n v="26378.55"/>
  </r>
  <r>
    <x v="0"/>
    <x v="0"/>
    <x v="0"/>
    <x v="0"/>
    <x v="1"/>
    <s v="DK2_NoDH"/>
    <x v="2"/>
    <x v="10"/>
    <x v="0"/>
    <x v="10"/>
    <n v="20.074999999999999"/>
    <n v="7327.375"/>
    <n v="26378.55"/>
  </r>
  <r>
    <x v="0"/>
    <x v="0"/>
    <x v="0"/>
    <x v="0"/>
    <x v="1"/>
    <s v="DK2_NoDH"/>
    <x v="2"/>
    <x v="10"/>
    <x v="0"/>
    <x v="11"/>
    <n v="20.074999999999999"/>
    <n v="7327.375"/>
    <n v="26378.55"/>
  </r>
  <r>
    <x v="0"/>
    <x v="0"/>
    <x v="0"/>
    <x v="0"/>
    <x v="1"/>
    <s v="DK2_NoDH"/>
    <x v="2"/>
    <x v="10"/>
    <x v="0"/>
    <x v="12"/>
    <n v="20.074999999999999"/>
    <n v="7327.375"/>
    <n v="26378.55"/>
  </r>
  <r>
    <x v="0"/>
    <x v="0"/>
    <x v="0"/>
    <x v="0"/>
    <x v="1"/>
    <s v="DK2_NoDH"/>
    <x v="2"/>
    <x v="10"/>
    <x v="0"/>
    <x v="13"/>
    <n v="20.074999999999999"/>
    <n v="7327.375"/>
    <n v="26378.55"/>
  </r>
  <r>
    <x v="0"/>
    <x v="0"/>
    <x v="0"/>
    <x v="0"/>
    <x v="1"/>
    <s v="DK2_NoDH"/>
    <x v="2"/>
    <x v="10"/>
    <x v="0"/>
    <x v="14"/>
    <n v="20.074999999999999"/>
    <n v="7327.375"/>
    <n v="26378.55"/>
  </r>
  <r>
    <x v="0"/>
    <x v="0"/>
    <x v="0"/>
    <x v="0"/>
    <x v="1"/>
    <s v="DK2_NoDH"/>
    <x v="2"/>
    <x v="10"/>
    <x v="0"/>
    <x v="15"/>
    <n v="20.074999999999999"/>
    <n v="7327.375"/>
    <n v="26378.55"/>
  </r>
  <r>
    <x v="0"/>
    <x v="0"/>
    <x v="0"/>
    <x v="0"/>
    <x v="1"/>
    <s v="DK2_NoDH"/>
    <x v="2"/>
    <x v="10"/>
    <x v="0"/>
    <x v="16"/>
    <n v="20.074999999999999"/>
    <n v="7327.375"/>
    <n v="26378.55"/>
  </r>
  <r>
    <x v="0"/>
    <x v="0"/>
    <x v="0"/>
    <x v="0"/>
    <x v="1"/>
    <s v="DK2_NoDH"/>
    <x v="2"/>
    <x v="10"/>
    <x v="0"/>
    <x v="17"/>
    <n v="20.074999999999999"/>
    <n v="7327.375"/>
    <n v="26378.55"/>
  </r>
  <r>
    <x v="0"/>
    <x v="0"/>
    <x v="0"/>
    <x v="0"/>
    <x v="1"/>
    <s v="DK2_NoDH"/>
    <x v="2"/>
    <x v="10"/>
    <x v="0"/>
    <x v="18"/>
    <n v="20.074999999999999"/>
    <n v="7327.375"/>
    <n v="26378.55"/>
  </r>
  <r>
    <x v="0"/>
    <x v="0"/>
    <x v="0"/>
    <x v="0"/>
    <x v="1"/>
    <s v="DK2_NoDH"/>
    <x v="2"/>
    <x v="10"/>
    <x v="0"/>
    <x v="19"/>
    <n v="20.074999999999999"/>
    <n v="7327.375"/>
    <n v="26378.55"/>
  </r>
  <r>
    <x v="0"/>
    <x v="0"/>
    <x v="0"/>
    <x v="0"/>
    <x v="1"/>
    <s v="DK2_NoDH"/>
    <x v="2"/>
    <x v="10"/>
    <x v="0"/>
    <x v="20"/>
    <n v="20.074999999999999"/>
    <n v="7327.375"/>
    <n v="26378.55"/>
  </r>
  <r>
    <x v="0"/>
    <x v="0"/>
    <x v="0"/>
    <x v="0"/>
    <x v="1"/>
    <s v="DK2_NoDH"/>
    <x v="2"/>
    <x v="10"/>
    <x v="0"/>
    <x v="21"/>
    <n v="20.074999999999999"/>
    <n v="7327.375"/>
    <n v="26378.55"/>
  </r>
  <r>
    <x v="0"/>
    <x v="0"/>
    <x v="0"/>
    <x v="0"/>
    <x v="1"/>
    <s v="DK2_NoDH"/>
    <x v="2"/>
    <x v="10"/>
    <x v="0"/>
    <x v="22"/>
    <n v="20.074999999999999"/>
    <n v="7327.375"/>
    <n v="26378.55"/>
  </r>
  <r>
    <x v="0"/>
    <x v="0"/>
    <x v="0"/>
    <x v="0"/>
    <x v="1"/>
    <s v="DK2_NoDH"/>
    <x v="2"/>
    <x v="10"/>
    <x v="0"/>
    <x v="23"/>
    <n v="20.074999999999999"/>
    <n v="7327.375"/>
    <n v="26378.55"/>
  </r>
  <r>
    <x v="0"/>
    <x v="0"/>
    <x v="0"/>
    <x v="0"/>
    <x v="1"/>
    <s v="DK2_NoDH"/>
    <x v="2"/>
    <x v="11"/>
    <x v="0"/>
    <x v="3"/>
    <n v="40.1463414634147"/>
    <n v="14653.4146341464"/>
    <n v="52752.292682926898"/>
  </r>
  <r>
    <x v="0"/>
    <x v="0"/>
    <x v="0"/>
    <x v="0"/>
    <x v="1"/>
    <s v="DK2_NoDH"/>
    <x v="2"/>
    <x v="11"/>
    <x v="0"/>
    <x v="4"/>
    <n v="40.1463414634147"/>
    <n v="14653.4146341464"/>
    <n v="52752.292682926898"/>
  </r>
  <r>
    <x v="0"/>
    <x v="0"/>
    <x v="0"/>
    <x v="0"/>
    <x v="1"/>
    <s v="DK2_NoDH"/>
    <x v="2"/>
    <x v="11"/>
    <x v="0"/>
    <x v="5"/>
    <n v="40.1463414634147"/>
    <n v="14653.4146341464"/>
    <n v="52752.292682926898"/>
  </r>
  <r>
    <x v="0"/>
    <x v="0"/>
    <x v="0"/>
    <x v="0"/>
    <x v="1"/>
    <s v="DK2_NoDH"/>
    <x v="2"/>
    <x v="11"/>
    <x v="0"/>
    <x v="6"/>
    <n v="40.1463414634147"/>
    <n v="14653.4146341464"/>
    <n v="52752.292682926898"/>
  </r>
  <r>
    <x v="0"/>
    <x v="0"/>
    <x v="0"/>
    <x v="0"/>
    <x v="1"/>
    <s v="DK2_NoDH"/>
    <x v="2"/>
    <x v="11"/>
    <x v="0"/>
    <x v="7"/>
    <n v="40.1463414634147"/>
    <n v="14653.4146341464"/>
    <n v="52752.292682926898"/>
  </r>
  <r>
    <x v="0"/>
    <x v="0"/>
    <x v="0"/>
    <x v="0"/>
    <x v="1"/>
    <s v="DK2_NoDH"/>
    <x v="2"/>
    <x v="11"/>
    <x v="0"/>
    <x v="8"/>
    <n v="40.1463414634147"/>
    <n v="14653.4146341464"/>
    <n v="52752.292682926898"/>
  </r>
  <r>
    <x v="0"/>
    <x v="0"/>
    <x v="0"/>
    <x v="0"/>
    <x v="1"/>
    <s v="DK2_NoDH"/>
    <x v="2"/>
    <x v="11"/>
    <x v="0"/>
    <x v="0"/>
    <n v="40.1463414634147"/>
    <n v="14653.4146341464"/>
    <n v="52752.292682926898"/>
  </r>
  <r>
    <x v="0"/>
    <x v="0"/>
    <x v="0"/>
    <x v="0"/>
    <x v="1"/>
    <s v="DK2_NoDH"/>
    <x v="2"/>
    <x v="11"/>
    <x v="0"/>
    <x v="1"/>
    <n v="40.1463414634147"/>
    <n v="14653.4146341464"/>
    <n v="52752.292682926898"/>
  </r>
  <r>
    <x v="0"/>
    <x v="0"/>
    <x v="0"/>
    <x v="0"/>
    <x v="1"/>
    <s v="DK2_NoDH"/>
    <x v="2"/>
    <x v="11"/>
    <x v="0"/>
    <x v="2"/>
    <n v="40.1463414634147"/>
    <n v="14653.4146341464"/>
    <n v="52752.292682926898"/>
  </r>
  <r>
    <x v="0"/>
    <x v="0"/>
    <x v="0"/>
    <x v="0"/>
    <x v="1"/>
    <s v="DK2_NoDH"/>
    <x v="2"/>
    <x v="11"/>
    <x v="0"/>
    <x v="9"/>
    <n v="40.1463414634147"/>
    <n v="14653.4146341464"/>
    <n v="52752.292682926898"/>
  </r>
  <r>
    <x v="0"/>
    <x v="0"/>
    <x v="0"/>
    <x v="0"/>
    <x v="1"/>
    <s v="DK2_NoDH"/>
    <x v="2"/>
    <x v="11"/>
    <x v="0"/>
    <x v="10"/>
    <n v="40.1463414634147"/>
    <n v="14653.4146341464"/>
    <n v="52752.292682926898"/>
  </r>
  <r>
    <x v="0"/>
    <x v="0"/>
    <x v="0"/>
    <x v="0"/>
    <x v="1"/>
    <s v="DK2_NoDH"/>
    <x v="2"/>
    <x v="11"/>
    <x v="0"/>
    <x v="11"/>
    <n v="40.1463414634147"/>
    <n v="14653.4146341464"/>
    <n v="52752.292682926898"/>
  </r>
  <r>
    <x v="0"/>
    <x v="0"/>
    <x v="0"/>
    <x v="0"/>
    <x v="1"/>
    <s v="DK2_NoDH"/>
    <x v="2"/>
    <x v="11"/>
    <x v="0"/>
    <x v="12"/>
    <n v="40.1463414634147"/>
    <n v="14653.4146341464"/>
    <n v="52752.292682926898"/>
  </r>
  <r>
    <x v="0"/>
    <x v="0"/>
    <x v="0"/>
    <x v="0"/>
    <x v="1"/>
    <s v="DK2_NoDH"/>
    <x v="2"/>
    <x v="11"/>
    <x v="0"/>
    <x v="13"/>
    <n v="40.1463414634147"/>
    <n v="14653.4146341464"/>
    <n v="52752.292682926898"/>
  </r>
  <r>
    <x v="0"/>
    <x v="0"/>
    <x v="0"/>
    <x v="0"/>
    <x v="1"/>
    <s v="DK2_NoDH"/>
    <x v="2"/>
    <x v="11"/>
    <x v="0"/>
    <x v="14"/>
    <n v="40.1463414634147"/>
    <n v="14653.4146341464"/>
    <n v="52752.292682926898"/>
  </r>
  <r>
    <x v="0"/>
    <x v="0"/>
    <x v="0"/>
    <x v="0"/>
    <x v="1"/>
    <s v="DK2_NoDH"/>
    <x v="2"/>
    <x v="11"/>
    <x v="0"/>
    <x v="15"/>
    <n v="40.1463414634147"/>
    <n v="14653.4146341464"/>
    <n v="52752.292682926898"/>
  </r>
  <r>
    <x v="0"/>
    <x v="0"/>
    <x v="0"/>
    <x v="0"/>
    <x v="1"/>
    <s v="DK2_NoDH"/>
    <x v="2"/>
    <x v="11"/>
    <x v="0"/>
    <x v="16"/>
    <n v="40.1463414634147"/>
    <n v="14653.4146341464"/>
    <n v="52752.292682926898"/>
  </r>
  <r>
    <x v="0"/>
    <x v="0"/>
    <x v="0"/>
    <x v="0"/>
    <x v="1"/>
    <s v="DK2_NoDH"/>
    <x v="2"/>
    <x v="11"/>
    <x v="0"/>
    <x v="17"/>
    <n v="40.1463414634147"/>
    <n v="14653.4146341464"/>
    <n v="52752.292682926898"/>
  </r>
  <r>
    <x v="0"/>
    <x v="0"/>
    <x v="0"/>
    <x v="0"/>
    <x v="1"/>
    <s v="DK2_NoDH"/>
    <x v="2"/>
    <x v="11"/>
    <x v="0"/>
    <x v="18"/>
    <n v="40.1463414634147"/>
    <n v="14653.4146341464"/>
    <n v="52752.292682926898"/>
  </r>
  <r>
    <x v="0"/>
    <x v="0"/>
    <x v="0"/>
    <x v="0"/>
    <x v="1"/>
    <s v="DK2_NoDH"/>
    <x v="2"/>
    <x v="11"/>
    <x v="0"/>
    <x v="19"/>
    <n v="40.1463414634147"/>
    <n v="14653.4146341464"/>
    <n v="52752.292682926898"/>
  </r>
  <r>
    <x v="0"/>
    <x v="0"/>
    <x v="0"/>
    <x v="0"/>
    <x v="1"/>
    <s v="DK2_NoDH"/>
    <x v="2"/>
    <x v="11"/>
    <x v="0"/>
    <x v="20"/>
    <n v="40.1463414634147"/>
    <n v="14653.4146341464"/>
    <n v="52752.292682926898"/>
  </r>
  <r>
    <x v="0"/>
    <x v="0"/>
    <x v="0"/>
    <x v="0"/>
    <x v="1"/>
    <s v="DK2_NoDH"/>
    <x v="2"/>
    <x v="11"/>
    <x v="0"/>
    <x v="21"/>
    <n v="40.1463414634147"/>
    <n v="14653.4146341464"/>
    <n v="52752.292682926898"/>
  </r>
  <r>
    <x v="0"/>
    <x v="0"/>
    <x v="0"/>
    <x v="0"/>
    <x v="1"/>
    <s v="DK2_NoDH"/>
    <x v="2"/>
    <x v="11"/>
    <x v="0"/>
    <x v="22"/>
    <n v="40.1463414634147"/>
    <n v="14653.4146341464"/>
    <n v="52752.292682926898"/>
  </r>
  <r>
    <x v="0"/>
    <x v="0"/>
    <x v="0"/>
    <x v="0"/>
    <x v="1"/>
    <s v="DK2_NoDH"/>
    <x v="2"/>
    <x v="11"/>
    <x v="0"/>
    <x v="23"/>
    <n v="40.1463414634147"/>
    <n v="14653.4146341464"/>
    <n v="52752.292682926898"/>
  </r>
  <r>
    <x v="0"/>
    <x v="0"/>
    <x v="0"/>
    <x v="0"/>
    <x v="1"/>
    <s v="DK2_NoDH"/>
    <x v="2"/>
    <x v="15"/>
    <x v="0"/>
    <x v="3"/>
    <n v="20.521739130434799"/>
    <n v="7490.4347826086996"/>
    <n v="26965.5652173913"/>
  </r>
  <r>
    <x v="0"/>
    <x v="0"/>
    <x v="0"/>
    <x v="0"/>
    <x v="1"/>
    <s v="DK2_NoDH"/>
    <x v="2"/>
    <x v="15"/>
    <x v="0"/>
    <x v="4"/>
    <n v="20.521739130434799"/>
    <n v="7490.4347826086996"/>
    <n v="26965.5652173913"/>
  </r>
  <r>
    <x v="0"/>
    <x v="0"/>
    <x v="0"/>
    <x v="0"/>
    <x v="1"/>
    <s v="DK2_NoDH"/>
    <x v="2"/>
    <x v="15"/>
    <x v="0"/>
    <x v="5"/>
    <n v="20.521739130434799"/>
    <n v="7490.4347826086996"/>
    <n v="26965.5652173913"/>
  </r>
  <r>
    <x v="0"/>
    <x v="0"/>
    <x v="0"/>
    <x v="0"/>
    <x v="1"/>
    <s v="DK2_NoDH"/>
    <x v="2"/>
    <x v="15"/>
    <x v="0"/>
    <x v="6"/>
    <n v="20.521739130434799"/>
    <n v="7490.4347826086996"/>
    <n v="26965.5652173913"/>
  </r>
  <r>
    <x v="0"/>
    <x v="0"/>
    <x v="0"/>
    <x v="0"/>
    <x v="1"/>
    <s v="DK2_NoDH"/>
    <x v="2"/>
    <x v="15"/>
    <x v="0"/>
    <x v="7"/>
    <n v="20.521739130434799"/>
    <n v="7490.4347826086996"/>
    <n v="26965.5652173913"/>
  </r>
  <r>
    <x v="0"/>
    <x v="0"/>
    <x v="0"/>
    <x v="0"/>
    <x v="1"/>
    <s v="DK2_NoDH"/>
    <x v="2"/>
    <x v="15"/>
    <x v="0"/>
    <x v="8"/>
    <n v="20.521739130434799"/>
    <n v="7490.4347826086996"/>
    <n v="26965.5652173913"/>
  </r>
  <r>
    <x v="0"/>
    <x v="0"/>
    <x v="0"/>
    <x v="0"/>
    <x v="1"/>
    <s v="DK2_NoDH"/>
    <x v="2"/>
    <x v="15"/>
    <x v="0"/>
    <x v="0"/>
    <n v="20.521739130434799"/>
    <n v="7490.4347826086996"/>
    <n v="26965.5652173913"/>
  </r>
  <r>
    <x v="0"/>
    <x v="0"/>
    <x v="0"/>
    <x v="0"/>
    <x v="1"/>
    <s v="DK2_NoDH"/>
    <x v="2"/>
    <x v="15"/>
    <x v="0"/>
    <x v="1"/>
    <n v="20.521739130434799"/>
    <n v="7490.4347826086996"/>
    <n v="26965.5652173913"/>
  </r>
  <r>
    <x v="0"/>
    <x v="0"/>
    <x v="0"/>
    <x v="0"/>
    <x v="1"/>
    <s v="DK2_NoDH"/>
    <x v="2"/>
    <x v="15"/>
    <x v="0"/>
    <x v="2"/>
    <n v="20.521739130434799"/>
    <n v="7490.4347826086996"/>
    <n v="26965.5652173913"/>
  </r>
  <r>
    <x v="0"/>
    <x v="0"/>
    <x v="0"/>
    <x v="0"/>
    <x v="1"/>
    <s v="DK2_NoDH"/>
    <x v="2"/>
    <x v="15"/>
    <x v="0"/>
    <x v="9"/>
    <n v="20.521739130434799"/>
    <n v="7490.4347826086996"/>
    <n v="26965.5652173913"/>
  </r>
  <r>
    <x v="0"/>
    <x v="0"/>
    <x v="0"/>
    <x v="0"/>
    <x v="1"/>
    <s v="DK2_NoDH"/>
    <x v="2"/>
    <x v="15"/>
    <x v="0"/>
    <x v="10"/>
    <n v="20.521739130434799"/>
    <n v="7490.4347826086996"/>
    <n v="26965.5652173913"/>
  </r>
  <r>
    <x v="0"/>
    <x v="0"/>
    <x v="0"/>
    <x v="0"/>
    <x v="1"/>
    <s v="DK2_NoDH"/>
    <x v="2"/>
    <x v="15"/>
    <x v="0"/>
    <x v="11"/>
    <n v="20.521739130434799"/>
    <n v="7490.4347826086996"/>
    <n v="26965.5652173913"/>
  </r>
  <r>
    <x v="0"/>
    <x v="0"/>
    <x v="0"/>
    <x v="0"/>
    <x v="1"/>
    <s v="DK2_NoDH"/>
    <x v="2"/>
    <x v="15"/>
    <x v="0"/>
    <x v="12"/>
    <n v="20.521739130434799"/>
    <n v="7490.4347826086996"/>
    <n v="26965.5652173913"/>
  </r>
  <r>
    <x v="0"/>
    <x v="0"/>
    <x v="0"/>
    <x v="0"/>
    <x v="1"/>
    <s v="DK2_NoDH"/>
    <x v="2"/>
    <x v="15"/>
    <x v="0"/>
    <x v="13"/>
    <n v="20.521739130434799"/>
    <n v="7490.4347826086996"/>
    <n v="26965.5652173913"/>
  </r>
  <r>
    <x v="0"/>
    <x v="0"/>
    <x v="0"/>
    <x v="0"/>
    <x v="1"/>
    <s v="DK2_NoDH"/>
    <x v="2"/>
    <x v="15"/>
    <x v="0"/>
    <x v="14"/>
    <n v="20.521739130434799"/>
    <n v="7490.4347826086996"/>
    <n v="26965.5652173913"/>
  </r>
  <r>
    <x v="0"/>
    <x v="0"/>
    <x v="0"/>
    <x v="0"/>
    <x v="1"/>
    <s v="DK2_NoDH"/>
    <x v="2"/>
    <x v="15"/>
    <x v="0"/>
    <x v="15"/>
    <n v="20.521739130434799"/>
    <n v="7490.4347826086996"/>
    <n v="26965.5652173913"/>
  </r>
  <r>
    <x v="0"/>
    <x v="0"/>
    <x v="0"/>
    <x v="0"/>
    <x v="1"/>
    <s v="DK2_NoDH"/>
    <x v="2"/>
    <x v="15"/>
    <x v="0"/>
    <x v="16"/>
    <n v="20.521739130434799"/>
    <n v="7490.4347826086996"/>
    <n v="26965.5652173913"/>
  </r>
  <r>
    <x v="0"/>
    <x v="0"/>
    <x v="0"/>
    <x v="0"/>
    <x v="1"/>
    <s v="DK2_NoDH"/>
    <x v="2"/>
    <x v="15"/>
    <x v="0"/>
    <x v="17"/>
    <n v="20.521739130434799"/>
    <n v="7490.4347826086996"/>
    <n v="26965.5652173913"/>
  </r>
  <r>
    <x v="0"/>
    <x v="0"/>
    <x v="0"/>
    <x v="0"/>
    <x v="1"/>
    <s v="DK2_NoDH"/>
    <x v="2"/>
    <x v="15"/>
    <x v="0"/>
    <x v="18"/>
    <n v="20.521739130434799"/>
    <n v="7490.4347826086996"/>
    <n v="26965.5652173913"/>
  </r>
  <r>
    <x v="0"/>
    <x v="0"/>
    <x v="0"/>
    <x v="0"/>
    <x v="1"/>
    <s v="DK2_NoDH"/>
    <x v="2"/>
    <x v="15"/>
    <x v="0"/>
    <x v="19"/>
    <n v="20.521739130434799"/>
    <n v="7490.4347826086996"/>
    <n v="26965.5652173913"/>
  </r>
  <r>
    <x v="0"/>
    <x v="0"/>
    <x v="0"/>
    <x v="0"/>
    <x v="1"/>
    <s v="DK2_NoDH"/>
    <x v="2"/>
    <x v="15"/>
    <x v="0"/>
    <x v="20"/>
    <n v="20.521739130434799"/>
    <n v="7490.4347826086996"/>
    <n v="26965.5652173913"/>
  </r>
  <r>
    <x v="0"/>
    <x v="0"/>
    <x v="0"/>
    <x v="0"/>
    <x v="1"/>
    <s v="DK2_NoDH"/>
    <x v="2"/>
    <x v="15"/>
    <x v="0"/>
    <x v="21"/>
    <n v="20.521739130434799"/>
    <n v="7490.4347826086996"/>
    <n v="26965.5652173913"/>
  </r>
  <r>
    <x v="0"/>
    <x v="0"/>
    <x v="0"/>
    <x v="0"/>
    <x v="1"/>
    <s v="DK2_NoDH"/>
    <x v="2"/>
    <x v="15"/>
    <x v="0"/>
    <x v="22"/>
    <n v="20.521739130434799"/>
    <n v="7490.4347826086996"/>
    <n v="26965.5652173913"/>
  </r>
  <r>
    <x v="0"/>
    <x v="0"/>
    <x v="0"/>
    <x v="0"/>
    <x v="1"/>
    <s v="DK2_NoDH"/>
    <x v="2"/>
    <x v="15"/>
    <x v="0"/>
    <x v="23"/>
    <n v="20.521739130434799"/>
    <n v="7490.4347826086996"/>
    <n v="26965.5652173913"/>
  </r>
  <r>
    <x v="0"/>
    <x v="0"/>
    <x v="0"/>
    <x v="0"/>
    <x v="1"/>
    <s v="DK2_NoDH"/>
    <x v="2"/>
    <x v="42"/>
    <x v="0"/>
    <x v="0"/>
    <n v="17.5"/>
    <n v="6387.5"/>
    <n v="22995"/>
  </r>
  <r>
    <x v="0"/>
    <x v="0"/>
    <x v="0"/>
    <x v="0"/>
    <x v="1"/>
    <s v="DK2_NoDH"/>
    <x v="2"/>
    <x v="42"/>
    <x v="0"/>
    <x v="1"/>
    <n v="17.5"/>
    <n v="6387.5"/>
    <n v="22995"/>
  </r>
  <r>
    <x v="0"/>
    <x v="0"/>
    <x v="0"/>
    <x v="0"/>
    <x v="1"/>
    <s v="DK2_NoDH"/>
    <x v="2"/>
    <x v="42"/>
    <x v="0"/>
    <x v="2"/>
    <n v="17.5"/>
    <n v="6387.5"/>
    <n v="22995"/>
  </r>
  <r>
    <x v="0"/>
    <x v="0"/>
    <x v="0"/>
    <x v="0"/>
    <x v="1"/>
    <s v="DK2_NoDH"/>
    <x v="2"/>
    <x v="42"/>
    <x v="0"/>
    <x v="9"/>
    <n v="17.5"/>
    <n v="6387.5"/>
    <n v="22995"/>
  </r>
  <r>
    <x v="0"/>
    <x v="0"/>
    <x v="0"/>
    <x v="0"/>
    <x v="1"/>
    <s v="DK2_NoDH"/>
    <x v="2"/>
    <x v="42"/>
    <x v="0"/>
    <x v="10"/>
    <n v="17.5"/>
    <n v="6387.5"/>
    <n v="22995"/>
  </r>
  <r>
    <x v="0"/>
    <x v="0"/>
    <x v="0"/>
    <x v="0"/>
    <x v="1"/>
    <s v="DK2_NoDH"/>
    <x v="2"/>
    <x v="42"/>
    <x v="0"/>
    <x v="14"/>
    <n v="17.5"/>
    <n v="6387.5"/>
    <n v="22995"/>
  </r>
  <r>
    <x v="0"/>
    <x v="0"/>
    <x v="0"/>
    <x v="0"/>
    <x v="1"/>
    <s v="DK2_NoDH"/>
    <x v="2"/>
    <x v="42"/>
    <x v="0"/>
    <x v="15"/>
    <n v="17.5"/>
    <n v="6387.5"/>
    <n v="22995"/>
  </r>
  <r>
    <x v="0"/>
    <x v="0"/>
    <x v="0"/>
    <x v="0"/>
    <x v="1"/>
    <s v="DK2_NoDH"/>
    <x v="2"/>
    <x v="42"/>
    <x v="0"/>
    <x v="16"/>
    <n v="17.5"/>
    <n v="6387.5"/>
    <n v="22995"/>
  </r>
  <r>
    <x v="0"/>
    <x v="0"/>
    <x v="0"/>
    <x v="0"/>
    <x v="1"/>
    <s v="DK2_NoDH"/>
    <x v="2"/>
    <x v="42"/>
    <x v="0"/>
    <x v="17"/>
    <n v="17.5"/>
    <n v="6387.5"/>
    <n v="22995"/>
  </r>
  <r>
    <x v="0"/>
    <x v="0"/>
    <x v="0"/>
    <x v="0"/>
    <x v="1"/>
    <s v="DK2_NoDH"/>
    <x v="2"/>
    <x v="42"/>
    <x v="0"/>
    <x v="18"/>
    <n v="17.5"/>
    <n v="6387.5"/>
    <n v="22995"/>
  </r>
  <r>
    <x v="0"/>
    <x v="0"/>
    <x v="0"/>
    <x v="0"/>
    <x v="1"/>
    <s v="DK2_NoDH"/>
    <x v="2"/>
    <x v="59"/>
    <x v="0"/>
    <x v="3"/>
    <n v="15.1025641025641"/>
    <n v="5512.4358974359002"/>
    <n v="19844.769230769201"/>
  </r>
  <r>
    <x v="0"/>
    <x v="0"/>
    <x v="0"/>
    <x v="0"/>
    <x v="1"/>
    <s v="DK2_NoDH"/>
    <x v="2"/>
    <x v="59"/>
    <x v="0"/>
    <x v="4"/>
    <n v="15.1025641025641"/>
    <n v="5512.4358974359002"/>
    <n v="19844.769230769201"/>
  </r>
  <r>
    <x v="0"/>
    <x v="0"/>
    <x v="0"/>
    <x v="0"/>
    <x v="1"/>
    <s v="DK2_NoDH"/>
    <x v="2"/>
    <x v="59"/>
    <x v="0"/>
    <x v="5"/>
    <n v="15.1025641025641"/>
    <n v="5512.4358974359002"/>
    <n v="19844.769230769201"/>
  </r>
  <r>
    <x v="0"/>
    <x v="0"/>
    <x v="0"/>
    <x v="0"/>
    <x v="1"/>
    <s v="DK2_NoDH"/>
    <x v="2"/>
    <x v="59"/>
    <x v="0"/>
    <x v="6"/>
    <n v="15.1025641025641"/>
    <n v="5512.4358974359002"/>
    <n v="19844.769230769201"/>
  </r>
  <r>
    <x v="0"/>
    <x v="0"/>
    <x v="0"/>
    <x v="0"/>
    <x v="1"/>
    <s v="DK2_NoDH"/>
    <x v="2"/>
    <x v="59"/>
    <x v="0"/>
    <x v="7"/>
    <n v="15.1025641025641"/>
    <n v="5512.4358974359002"/>
    <n v="19844.769230769201"/>
  </r>
  <r>
    <x v="0"/>
    <x v="0"/>
    <x v="0"/>
    <x v="0"/>
    <x v="1"/>
    <s v="DK2_NoDH"/>
    <x v="2"/>
    <x v="59"/>
    <x v="0"/>
    <x v="8"/>
    <n v="15.1025641025641"/>
    <n v="5512.4358974359002"/>
    <n v="19844.769230769201"/>
  </r>
  <r>
    <x v="0"/>
    <x v="0"/>
    <x v="0"/>
    <x v="0"/>
    <x v="1"/>
    <s v="DK2_NoDH"/>
    <x v="2"/>
    <x v="59"/>
    <x v="0"/>
    <x v="0"/>
    <n v="15.1025641025641"/>
    <n v="5512.4358974359002"/>
    <n v="19844.769230769201"/>
  </r>
  <r>
    <x v="0"/>
    <x v="0"/>
    <x v="0"/>
    <x v="0"/>
    <x v="1"/>
    <s v="DK2_NoDH"/>
    <x v="2"/>
    <x v="59"/>
    <x v="0"/>
    <x v="1"/>
    <n v="15.1025641025641"/>
    <n v="5512.4358974359002"/>
    <n v="19844.769230769201"/>
  </r>
  <r>
    <x v="0"/>
    <x v="0"/>
    <x v="0"/>
    <x v="0"/>
    <x v="1"/>
    <s v="DK2_NoDH"/>
    <x v="2"/>
    <x v="59"/>
    <x v="0"/>
    <x v="2"/>
    <n v="15.1025641025641"/>
    <n v="5512.4358974359002"/>
    <n v="19844.769230769201"/>
  </r>
  <r>
    <x v="0"/>
    <x v="0"/>
    <x v="0"/>
    <x v="0"/>
    <x v="1"/>
    <s v="DK2_NoDH"/>
    <x v="2"/>
    <x v="59"/>
    <x v="0"/>
    <x v="9"/>
    <n v="15.1025641025641"/>
    <n v="5512.4358974359002"/>
    <n v="19844.769230769201"/>
  </r>
  <r>
    <x v="0"/>
    <x v="0"/>
    <x v="0"/>
    <x v="0"/>
    <x v="1"/>
    <s v="DK2_NoDH"/>
    <x v="2"/>
    <x v="59"/>
    <x v="0"/>
    <x v="10"/>
    <n v="15.1025641025641"/>
    <n v="5512.4358974359002"/>
    <n v="19844.769230769201"/>
  </r>
  <r>
    <x v="0"/>
    <x v="0"/>
    <x v="0"/>
    <x v="0"/>
    <x v="1"/>
    <s v="DK2_NoDH"/>
    <x v="2"/>
    <x v="59"/>
    <x v="0"/>
    <x v="11"/>
    <n v="15.1025641025641"/>
    <n v="5512.4358974359002"/>
    <n v="19844.769230769201"/>
  </r>
  <r>
    <x v="0"/>
    <x v="0"/>
    <x v="0"/>
    <x v="0"/>
    <x v="1"/>
    <s v="DK2_NoDH"/>
    <x v="2"/>
    <x v="59"/>
    <x v="0"/>
    <x v="12"/>
    <n v="15.1025641025641"/>
    <n v="5512.4358974359002"/>
    <n v="19844.769230769201"/>
  </r>
  <r>
    <x v="0"/>
    <x v="0"/>
    <x v="0"/>
    <x v="0"/>
    <x v="1"/>
    <s v="DK2_NoDH"/>
    <x v="2"/>
    <x v="59"/>
    <x v="0"/>
    <x v="13"/>
    <n v="15.1025641025641"/>
    <n v="5512.4358974359002"/>
    <n v="19844.769230769201"/>
  </r>
  <r>
    <x v="0"/>
    <x v="0"/>
    <x v="0"/>
    <x v="0"/>
    <x v="1"/>
    <s v="DK2_NoDH"/>
    <x v="2"/>
    <x v="59"/>
    <x v="0"/>
    <x v="14"/>
    <n v="15.1025641025641"/>
    <n v="5512.4358974359002"/>
    <n v="19844.769230769201"/>
  </r>
  <r>
    <x v="0"/>
    <x v="0"/>
    <x v="0"/>
    <x v="0"/>
    <x v="1"/>
    <s v="DK2_NoDH"/>
    <x v="2"/>
    <x v="59"/>
    <x v="0"/>
    <x v="15"/>
    <n v="15.1025641025641"/>
    <n v="5512.4358974359002"/>
    <n v="19844.769230769201"/>
  </r>
  <r>
    <x v="0"/>
    <x v="0"/>
    <x v="0"/>
    <x v="0"/>
    <x v="1"/>
    <s v="DK2_NoDH"/>
    <x v="2"/>
    <x v="59"/>
    <x v="0"/>
    <x v="16"/>
    <n v="15.1025641025641"/>
    <n v="5512.4358974359002"/>
    <n v="19844.769230769201"/>
  </r>
  <r>
    <x v="0"/>
    <x v="0"/>
    <x v="0"/>
    <x v="0"/>
    <x v="1"/>
    <s v="DK2_NoDH"/>
    <x v="2"/>
    <x v="59"/>
    <x v="0"/>
    <x v="17"/>
    <n v="15.1025641025641"/>
    <n v="5512.4358974359002"/>
    <n v="19844.769230769201"/>
  </r>
  <r>
    <x v="0"/>
    <x v="0"/>
    <x v="0"/>
    <x v="0"/>
    <x v="1"/>
    <s v="DK2_NoDH"/>
    <x v="2"/>
    <x v="59"/>
    <x v="0"/>
    <x v="18"/>
    <n v="15.1025641025641"/>
    <n v="5512.4358974359002"/>
    <n v="19844.769230769201"/>
  </r>
  <r>
    <x v="0"/>
    <x v="0"/>
    <x v="0"/>
    <x v="0"/>
    <x v="1"/>
    <s v="DK2_NoDH"/>
    <x v="2"/>
    <x v="59"/>
    <x v="0"/>
    <x v="19"/>
    <n v="15.1025641025641"/>
    <n v="5512.4358974359002"/>
    <n v="19844.769230769201"/>
  </r>
  <r>
    <x v="0"/>
    <x v="0"/>
    <x v="0"/>
    <x v="0"/>
    <x v="1"/>
    <s v="DK2_NoDH"/>
    <x v="2"/>
    <x v="59"/>
    <x v="0"/>
    <x v="20"/>
    <n v="15.1025641025641"/>
    <n v="5512.4358974359002"/>
    <n v="19844.769230769201"/>
  </r>
  <r>
    <x v="0"/>
    <x v="0"/>
    <x v="0"/>
    <x v="0"/>
    <x v="1"/>
    <s v="DK2_NoDH"/>
    <x v="2"/>
    <x v="59"/>
    <x v="0"/>
    <x v="21"/>
    <n v="15.1025641025641"/>
    <n v="5512.4358974359002"/>
    <n v="19844.769230769201"/>
  </r>
  <r>
    <x v="0"/>
    <x v="0"/>
    <x v="0"/>
    <x v="0"/>
    <x v="1"/>
    <s v="DK2_NoDH"/>
    <x v="2"/>
    <x v="59"/>
    <x v="0"/>
    <x v="22"/>
    <n v="15.1025641025641"/>
    <n v="5512.4358974359002"/>
    <n v="19844.769230769201"/>
  </r>
  <r>
    <x v="0"/>
    <x v="0"/>
    <x v="0"/>
    <x v="0"/>
    <x v="1"/>
    <s v="DK2_NoDH"/>
    <x v="2"/>
    <x v="59"/>
    <x v="0"/>
    <x v="23"/>
    <n v="15.1025641025641"/>
    <n v="5512.4358974359002"/>
    <n v="19844.769230769201"/>
  </r>
  <r>
    <x v="0"/>
    <x v="0"/>
    <x v="0"/>
    <x v="0"/>
    <x v="1"/>
    <s v="DK2_NoDH"/>
    <x v="6"/>
    <x v="45"/>
    <x v="0"/>
    <x v="2"/>
    <n v="5.89448093338929"/>
    <n v="2151.4855406870902"/>
    <n v="7745.3479464735301"/>
  </r>
  <r>
    <x v="0"/>
    <x v="0"/>
    <x v="0"/>
    <x v="0"/>
    <x v="1"/>
    <s v="DK2_NoDH"/>
    <x v="6"/>
    <x v="45"/>
    <x v="0"/>
    <x v="9"/>
    <n v="44.374861590848603"/>
    <n v="16196.824480659699"/>
    <n v="58308.568130375097"/>
  </r>
  <r>
    <x v="0"/>
    <x v="0"/>
    <x v="0"/>
    <x v="0"/>
    <x v="1"/>
    <s v="DK2_NoDH"/>
    <x v="6"/>
    <x v="45"/>
    <x v="0"/>
    <x v="10"/>
    <n v="102.50351202627201"/>
    <n v="37413.781889589402"/>
    <n v="134689.614802522"/>
  </r>
  <r>
    <x v="0"/>
    <x v="0"/>
    <x v="0"/>
    <x v="0"/>
    <x v="1"/>
    <s v="DK2_NoDH"/>
    <x v="6"/>
    <x v="45"/>
    <x v="0"/>
    <x v="11"/>
    <n v="156.09794635908901"/>
    <n v="56975.750421067401"/>
    <n v="205112.70151584299"/>
  </r>
  <r>
    <x v="0"/>
    <x v="0"/>
    <x v="0"/>
    <x v="0"/>
    <x v="1"/>
    <s v="DK2_NoDH"/>
    <x v="6"/>
    <x v="45"/>
    <x v="0"/>
    <x v="12"/>
    <n v="177.469218256044"/>
    <n v="64776.264663456001"/>
    <n v="233194.55278844101"/>
  </r>
  <r>
    <x v="0"/>
    <x v="0"/>
    <x v="0"/>
    <x v="0"/>
    <x v="1"/>
    <s v="DK2_NoDH"/>
    <x v="6"/>
    <x v="45"/>
    <x v="0"/>
    <x v="13"/>
    <n v="154.314488025397"/>
    <n v="56324.788129269698"/>
    <n v="202769.23726537099"/>
  </r>
  <r>
    <x v="0"/>
    <x v="0"/>
    <x v="0"/>
    <x v="0"/>
    <x v="1"/>
    <s v="DK2_NoDH"/>
    <x v="6"/>
    <x v="45"/>
    <x v="0"/>
    <x v="14"/>
    <n v="100.41777261907301"/>
    <n v="36652.487005961601"/>
    <n v="131948.953221462"/>
  </r>
  <r>
    <x v="0"/>
    <x v="0"/>
    <x v="0"/>
    <x v="0"/>
    <x v="1"/>
    <s v="DK2_NoDH"/>
    <x v="6"/>
    <x v="45"/>
    <x v="0"/>
    <x v="15"/>
    <n v="50.843676563901496"/>
    <n v="18557.941945824001"/>
    <n v="66808.591004966496"/>
  </r>
  <r>
    <x v="0"/>
    <x v="0"/>
    <x v="0"/>
    <x v="0"/>
    <x v="1"/>
    <s v="DK2_NoDH"/>
    <x v="6"/>
    <x v="45"/>
    <x v="0"/>
    <x v="16"/>
    <n v="6.61995550980643"/>
    <n v="2416.2837610793499"/>
    <n v="8698.6215398856493"/>
  </r>
  <r>
    <x v="0"/>
    <x v="0"/>
    <x v="0"/>
    <x v="0"/>
    <x v="1"/>
    <s v="DK2_NoDH"/>
    <x v="7"/>
    <x v="46"/>
    <x v="0"/>
    <x v="3"/>
    <n v="8.2531860285989002E-3"/>
    <n v="3.0124129004386"/>
    <n v="10.844686441579"/>
  </r>
  <r>
    <x v="0"/>
    <x v="0"/>
    <x v="0"/>
    <x v="0"/>
    <x v="1"/>
    <s v="DK2_NoDH"/>
    <x v="7"/>
    <x v="46"/>
    <x v="0"/>
    <x v="4"/>
    <n v="8.2531860285989002E-3"/>
    <n v="3.0124129004386"/>
    <n v="10.844686441579"/>
  </r>
  <r>
    <x v="0"/>
    <x v="0"/>
    <x v="0"/>
    <x v="0"/>
    <x v="1"/>
    <s v="DK2_NoDH"/>
    <x v="7"/>
    <x v="46"/>
    <x v="0"/>
    <x v="5"/>
    <n v="8.2531860285989002E-3"/>
    <n v="3.0124129004386"/>
    <n v="10.844686441579"/>
  </r>
  <r>
    <x v="0"/>
    <x v="0"/>
    <x v="0"/>
    <x v="0"/>
    <x v="1"/>
    <s v="DK2_NoDH"/>
    <x v="7"/>
    <x v="46"/>
    <x v="0"/>
    <x v="6"/>
    <n v="8.2531860285989002E-3"/>
    <n v="3.0124129004386"/>
    <n v="10.844686441579"/>
  </r>
  <r>
    <x v="0"/>
    <x v="0"/>
    <x v="0"/>
    <x v="0"/>
    <x v="1"/>
    <s v="DK2_NoDH"/>
    <x v="7"/>
    <x v="46"/>
    <x v="0"/>
    <x v="7"/>
    <n v="8.2531860285989002E-3"/>
    <n v="3.0124129004386"/>
    <n v="10.844686441579"/>
  </r>
  <r>
    <x v="0"/>
    <x v="0"/>
    <x v="0"/>
    <x v="0"/>
    <x v="1"/>
    <s v="DK2_NoDH"/>
    <x v="7"/>
    <x v="46"/>
    <x v="0"/>
    <x v="8"/>
    <n v="8.2531860285989002E-3"/>
    <n v="3.0124129004386"/>
    <n v="10.844686441579"/>
  </r>
  <r>
    <x v="0"/>
    <x v="0"/>
    <x v="0"/>
    <x v="0"/>
    <x v="1"/>
    <s v="DK2_NoDH"/>
    <x v="7"/>
    <x v="46"/>
    <x v="0"/>
    <x v="0"/>
    <n v="8.2531860285989002E-3"/>
    <n v="3.0124129004386"/>
    <n v="10.844686441579"/>
  </r>
  <r>
    <x v="0"/>
    <x v="0"/>
    <x v="0"/>
    <x v="0"/>
    <x v="1"/>
    <s v="DK2_NoDH"/>
    <x v="7"/>
    <x v="46"/>
    <x v="0"/>
    <x v="1"/>
    <n v="8.2531860285989002E-3"/>
    <n v="3.0124129004386"/>
    <n v="10.844686441579"/>
  </r>
  <r>
    <x v="0"/>
    <x v="0"/>
    <x v="0"/>
    <x v="0"/>
    <x v="1"/>
    <s v="DK2_NoDH"/>
    <x v="7"/>
    <x v="46"/>
    <x v="0"/>
    <x v="2"/>
    <n v="8.2531860285989002E-3"/>
    <n v="3.0124129004386"/>
    <n v="10.844686441579"/>
  </r>
  <r>
    <x v="0"/>
    <x v="0"/>
    <x v="0"/>
    <x v="0"/>
    <x v="1"/>
    <s v="DK2_NoDH"/>
    <x v="7"/>
    <x v="46"/>
    <x v="0"/>
    <x v="9"/>
    <n v="8.2531860285989002E-3"/>
    <n v="3.0124129004386"/>
    <n v="10.844686441579"/>
  </r>
  <r>
    <x v="0"/>
    <x v="0"/>
    <x v="0"/>
    <x v="0"/>
    <x v="1"/>
    <s v="DK2_NoDH"/>
    <x v="7"/>
    <x v="46"/>
    <x v="0"/>
    <x v="10"/>
    <n v="8.2531860285989002E-3"/>
    <n v="3.0124129004386"/>
    <n v="10.844686441579"/>
  </r>
  <r>
    <x v="0"/>
    <x v="0"/>
    <x v="0"/>
    <x v="0"/>
    <x v="1"/>
    <s v="DK2_NoDH"/>
    <x v="7"/>
    <x v="46"/>
    <x v="0"/>
    <x v="11"/>
    <n v="8.2531860285989002E-3"/>
    <n v="3.0124129004386"/>
    <n v="10.844686441579"/>
  </r>
  <r>
    <x v="0"/>
    <x v="0"/>
    <x v="0"/>
    <x v="0"/>
    <x v="1"/>
    <s v="DK2_NoDH"/>
    <x v="7"/>
    <x v="46"/>
    <x v="0"/>
    <x v="12"/>
    <n v="8.2531860285989002E-3"/>
    <n v="3.0124129004386"/>
    <n v="10.844686441579"/>
  </r>
  <r>
    <x v="0"/>
    <x v="0"/>
    <x v="0"/>
    <x v="0"/>
    <x v="1"/>
    <s v="DK2_NoDH"/>
    <x v="7"/>
    <x v="46"/>
    <x v="0"/>
    <x v="13"/>
    <n v="8.2531860285989002E-3"/>
    <n v="3.0124129004386"/>
    <n v="10.844686441579"/>
  </r>
  <r>
    <x v="0"/>
    <x v="0"/>
    <x v="0"/>
    <x v="0"/>
    <x v="1"/>
    <s v="DK2_NoDH"/>
    <x v="7"/>
    <x v="46"/>
    <x v="0"/>
    <x v="14"/>
    <n v="8.2531860285989002E-3"/>
    <n v="3.0124129004386"/>
    <n v="10.844686441579"/>
  </r>
  <r>
    <x v="0"/>
    <x v="0"/>
    <x v="0"/>
    <x v="0"/>
    <x v="1"/>
    <s v="DK2_NoDH"/>
    <x v="7"/>
    <x v="46"/>
    <x v="0"/>
    <x v="15"/>
    <n v="8.2531860285989002E-3"/>
    <n v="3.0124129004386"/>
    <n v="10.844686441579"/>
  </r>
  <r>
    <x v="0"/>
    <x v="0"/>
    <x v="0"/>
    <x v="0"/>
    <x v="1"/>
    <s v="DK2_NoDH"/>
    <x v="7"/>
    <x v="46"/>
    <x v="0"/>
    <x v="16"/>
    <n v="8.2531860285989002E-3"/>
    <n v="3.0124129004386"/>
    <n v="10.844686441579"/>
  </r>
  <r>
    <x v="0"/>
    <x v="0"/>
    <x v="0"/>
    <x v="0"/>
    <x v="1"/>
    <s v="DK2_NoDH"/>
    <x v="7"/>
    <x v="46"/>
    <x v="0"/>
    <x v="17"/>
    <n v="8.2531860285989002E-3"/>
    <n v="3.0124129004386"/>
    <n v="10.844686441579"/>
  </r>
  <r>
    <x v="0"/>
    <x v="0"/>
    <x v="0"/>
    <x v="0"/>
    <x v="1"/>
    <s v="DK2_NoDH"/>
    <x v="7"/>
    <x v="46"/>
    <x v="0"/>
    <x v="18"/>
    <n v="8.2531860285989002E-3"/>
    <n v="3.0124129004386"/>
    <n v="10.844686441579"/>
  </r>
  <r>
    <x v="0"/>
    <x v="0"/>
    <x v="0"/>
    <x v="0"/>
    <x v="1"/>
    <s v="DK2_NoDH"/>
    <x v="7"/>
    <x v="46"/>
    <x v="0"/>
    <x v="19"/>
    <n v="8.2531860285989002E-3"/>
    <n v="3.0124129004386"/>
    <n v="10.844686441579"/>
  </r>
  <r>
    <x v="0"/>
    <x v="0"/>
    <x v="0"/>
    <x v="0"/>
    <x v="1"/>
    <s v="DK2_NoDH"/>
    <x v="7"/>
    <x v="46"/>
    <x v="0"/>
    <x v="20"/>
    <n v="8.2531860285989002E-3"/>
    <n v="3.0124129004386"/>
    <n v="10.844686441579"/>
  </r>
  <r>
    <x v="0"/>
    <x v="0"/>
    <x v="0"/>
    <x v="0"/>
    <x v="1"/>
    <s v="DK2_NoDH"/>
    <x v="7"/>
    <x v="46"/>
    <x v="0"/>
    <x v="21"/>
    <n v="8.2531860285989002E-3"/>
    <n v="3.0124129004386"/>
    <n v="10.844686441579"/>
  </r>
  <r>
    <x v="0"/>
    <x v="0"/>
    <x v="0"/>
    <x v="0"/>
    <x v="1"/>
    <s v="DK2_NoDH"/>
    <x v="7"/>
    <x v="46"/>
    <x v="0"/>
    <x v="22"/>
    <n v="8.2531860285989002E-3"/>
    <n v="3.0124129004386"/>
    <n v="10.844686441579"/>
  </r>
  <r>
    <x v="0"/>
    <x v="0"/>
    <x v="0"/>
    <x v="0"/>
    <x v="1"/>
    <s v="DK2_NoDH"/>
    <x v="7"/>
    <x v="46"/>
    <x v="0"/>
    <x v="23"/>
    <n v="8.2531860285989002E-3"/>
    <n v="3.0124129004386"/>
    <n v="10.844686441579"/>
  </r>
  <r>
    <x v="0"/>
    <x v="0"/>
    <x v="0"/>
    <x v="0"/>
    <x v="1"/>
    <s v="DK2_NoDH"/>
    <x v="8"/>
    <x v="47"/>
    <x v="0"/>
    <x v="3"/>
    <n v="56.727540341350497"/>
    <n v="20705.552224592899"/>
    <n v="74539.988008534594"/>
  </r>
  <r>
    <x v="0"/>
    <x v="0"/>
    <x v="0"/>
    <x v="0"/>
    <x v="1"/>
    <s v="DK2_NoDH"/>
    <x v="8"/>
    <x v="47"/>
    <x v="0"/>
    <x v="4"/>
    <n v="68.073048409620696"/>
    <n v="24846.662669511501"/>
    <n v="89447.985610241507"/>
  </r>
  <r>
    <x v="0"/>
    <x v="0"/>
    <x v="0"/>
    <x v="0"/>
    <x v="1"/>
    <s v="DK2_NoDH"/>
    <x v="8"/>
    <x v="47"/>
    <x v="0"/>
    <x v="5"/>
    <n v="66.452261542724898"/>
    <n v="24255.075463094599"/>
    <n v="87318.271667140594"/>
  </r>
  <r>
    <x v="0"/>
    <x v="0"/>
    <x v="0"/>
    <x v="0"/>
    <x v="1"/>
    <s v="DK2_NoDH"/>
    <x v="8"/>
    <x v="47"/>
    <x v="0"/>
    <x v="6"/>
    <n v="62.400294375485601"/>
    <n v="22776.1074470522"/>
    <n v="81993.986809388094"/>
  </r>
  <r>
    <x v="0"/>
    <x v="0"/>
    <x v="0"/>
    <x v="0"/>
    <x v="1"/>
    <s v="DK2_NoDH"/>
    <x v="8"/>
    <x v="47"/>
    <x v="0"/>
    <x v="7"/>
    <n v="46.192425706528297"/>
    <n v="16860.235382882802"/>
    <n v="60696.847378378203"/>
  </r>
  <r>
    <x v="0"/>
    <x v="0"/>
    <x v="0"/>
    <x v="0"/>
    <x v="1"/>
    <s v="DK2_NoDH"/>
    <x v="8"/>
    <x v="47"/>
    <x v="0"/>
    <x v="8"/>
    <n v="26.7429833037795"/>
    <n v="9761.1889058795296"/>
    <n v="35140.280061166297"/>
  </r>
  <r>
    <x v="0"/>
    <x v="0"/>
    <x v="0"/>
    <x v="0"/>
    <x v="1"/>
    <s v="DK2_NoDH"/>
    <x v="8"/>
    <x v="47"/>
    <x v="0"/>
    <x v="0"/>
    <n v="5.6727540341350497"/>
    <n v="2070.5552224592898"/>
    <n v="7453.9988008534601"/>
  </r>
  <r>
    <x v="0"/>
    <x v="0"/>
    <x v="0"/>
    <x v="0"/>
    <x v="1"/>
    <s v="DK2_NoDH"/>
    <x v="8"/>
    <x v="47"/>
    <x v="0"/>
    <x v="1"/>
    <n v="4.0519671672393196"/>
    <n v="1478.96801604235"/>
    <n v="5324.2848577524701"/>
  </r>
  <r>
    <x v="0"/>
    <x v="0"/>
    <x v="0"/>
    <x v="0"/>
    <x v="1"/>
    <s v="DK2_NoDH"/>
    <x v="8"/>
    <x v="47"/>
    <x v="0"/>
    <x v="2"/>
    <n v="5.6727540341350497"/>
    <n v="2070.5552224592898"/>
    <n v="7453.9988008534601"/>
  </r>
  <r>
    <x v="0"/>
    <x v="0"/>
    <x v="0"/>
    <x v="0"/>
    <x v="1"/>
    <s v="DK2_NoDH"/>
    <x v="8"/>
    <x v="47"/>
    <x v="0"/>
    <x v="9"/>
    <n v="26.7429833037795"/>
    <n v="9761.1889058795296"/>
    <n v="35140.280061166297"/>
  </r>
  <r>
    <x v="0"/>
    <x v="0"/>
    <x v="0"/>
    <x v="0"/>
    <x v="1"/>
    <s v="DK2_NoDH"/>
    <x v="8"/>
    <x v="47"/>
    <x v="0"/>
    <x v="10"/>
    <n v="62.400294375485601"/>
    <n v="22776.1074470522"/>
    <n v="81993.986809388094"/>
  </r>
  <r>
    <x v="0"/>
    <x v="0"/>
    <x v="0"/>
    <x v="0"/>
    <x v="1"/>
    <s v="DK2_NoDH"/>
    <x v="8"/>
    <x v="47"/>
    <x v="0"/>
    <x v="11"/>
    <n v="96.436818580295906"/>
    <n v="35199.438781807999"/>
    <n v="126717.97961450899"/>
  </r>
  <r>
    <x v="0"/>
    <x v="0"/>
    <x v="0"/>
    <x v="0"/>
    <x v="1"/>
    <s v="DK2_NoDH"/>
    <x v="8"/>
    <x v="47"/>
    <x v="0"/>
    <x v="12"/>
    <n v="111.834293815805"/>
    <n v="40819.517242768998"/>
    <n v="146950.26207396801"/>
  </r>
  <r>
    <x v="0"/>
    <x v="0"/>
    <x v="0"/>
    <x v="0"/>
    <x v="1"/>
    <s v="DK2_NoDH"/>
    <x v="8"/>
    <x v="47"/>
    <x v="0"/>
    <x v="13"/>
    <n v="128.042162484763"/>
    <n v="46735.389306938399"/>
    <n v="168247.40150497801"/>
  </r>
  <r>
    <x v="0"/>
    <x v="0"/>
    <x v="0"/>
    <x v="0"/>
    <x v="1"/>
    <s v="DK2_NoDH"/>
    <x v="8"/>
    <x v="47"/>
    <x v="0"/>
    <x v="14"/>
    <n v="128.042162484763"/>
    <n v="46735.389306938399"/>
    <n v="168247.40150497801"/>
  </r>
  <r>
    <x v="0"/>
    <x v="0"/>
    <x v="0"/>
    <x v="0"/>
    <x v="1"/>
    <s v="DK2_NoDH"/>
    <x v="8"/>
    <x v="47"/>
    <x v="0"/>
    <x v="15"/>
    <n v="202.59835836196601"/>
    <n v="73948.4008021177"/>
    <n v="266214.24288762402"/>
  </r>
  <r>
    <x v="0"/>
    <x v="0"/>
    <x v="0"/>
    <x v="0"/>
    <x v="1"/>
    <s v="DK2_NoDH"/>
    <x v="8"/>
    <x v="47"/>
    <x v="0"/>
    <x v="16"/>
    <n v="261.75707900366001"/>
    <n v="95541.333836335994"/>
    <n v="343948.80181080999"/>
  </r>
  <r>
    <x v="0"/>
    <x v="0"/>
    <x v="0"/>
    <x v="0"/>
    <x v="1"/>
    <s v="DK2_NoDH"/>
    <x v="8"/>
    <x v="47"/>
    <x v="0"/>
    <x v="17"/>
    <n v="258.51550526986898"/>
    <n v="94358.159423502206"/>
    <n v="339689.37392460799"/>
  </r>
  <r>
    <x v="0"/>
    <x v="0"/>
    <x v="0"/>
    <x v="0"/>
    <x v="1"/>
    <s v="DK2_NoDH"/>
    <x v="8"/>
    <x v="47"/>
    <x v="0"/>
    <x v="18"/>
    <n v="353.33153698326902"/>
    <n v="128966.01099889301"/>
    <n v="464277.63959601597"/>
  </r>
  <r>
    <x v="0"/>
    <x v="0"/>
    <x v="0"/>
    <x v="0"/>
    <x v="1"/>
    <s v="DK2_NoDH"/>
    <x v="8"/>
    <x v="47"/>
    <x v="0"/>
    <x v="19"/>
    <n v="525.94533830766397"/>
    <n v="191970.04848229699"/>
    <n v="691092.17453627102"/>
  </r>
  <r>
    <x v="0"/>
    <x v="0"/>
    <x v="0"/>
    <x v="0"/>
    <x v="1"/>
    <s v="DK2_NoDH"/>
    <x v="8"/>
    <x v="47"/>
    <x v="0"/>
    <x v="20"/>
    <n v="609.41586195279399"/>
    <n v="222436.78961276999"/>
    <n v="800772.44260597206"/>
  </r>
  <r>
    <x v="0"/>
    <x v="0"/>
    <x v="0"/>
    <x v="0"/>
    <x v="1"/>
    <s v="DK2_NoDH"/>
    <x v="8"/>
    <x v="47"/>
    <x v="0"/>
    <x v="21"/>
    <n v="657.22907452621803"/>
    <n v="239888.61220207001"/>
    <n v="863599.00392745098"/>
  </r>
  <r>
    <x v="0"/>
    <x v="0"/>
    <x v="0"/>
    <x v="0"/>
    <x v="1"/>
    <s v="DK2_NoDH"/>
    <x v="8"/>
    <x v="47"/>
    <x v="0"/>
    <x v="22"/>
    <n v="667.76418916104103"/>
    <n v="243733.92904377999"/>
    <n v="877442.14455760701"/>
  </r>
  <r>
    <x v="0"/>
    <x v="0"/>
    <x v="0"/>
    <x v="0"/>
    <x v="1"/>
    <s v="DK2_NoDH"/>
    <x v="8"/>
    <x v="47"/>
    <x v="0"/>
    <x v="23"/>
    <n v="695.31756589826796"/>
    <n v="253790.911552868"/>
    <n v="913647.28159032401"/>
  </r>
  <r>
    <x v="0"/>
    <x v="0"/>
    <x v="0"/>
    <x v="0"/>
    <x v="1"/>
    <s v="DK2_Offshore"/>
    <x v="8"/>
    <x v="48"/>
    <x v="0"/>
    <x v="3"/>
    <n v="59.000474158369002"/>
    <n v="21535.173067804699"/>
    <n v="77526.623044096894"/>
  </r>
  <r>
    <x v="0"/>
    <x v="0"/>
    <x v="0"/>
    <x v="0"/>
    <x v="1"/>
    <s v="DK2_Offshore"/>
    <x v="8"/>
    <x v="48"/>
    <x v="0"/>
    <x v="4"/>
    <n v="70.800568990042805"/>
    <n v="25842.207681365599"/>
    <n v="93031.947652916293"/>
  </r>
  <r>
    <x v="0"/>
    <x v="0"/>
    <x v="0"/>
    <x v="0"/>
    <x v="1"/>
    <s v="DK2_Offshore"/>
    <x v="8"/>
    <x v="48"/>
    <x v="0"/>
    <x v="5"/>
    <n v="69.114841156946596"/>
    <n v="25226.917022285499"/>
    <n v="90816.901280227801"/>
  </r>
  <r>
    <x v="0"/>
    <x v="0"/>
    <x v="0"/>
    <x v="0"/>
    <x v="1"/>
    <s v="DK2_Offshore"/>
    <x v="8"/>
    <x v="48"/>
    <x v="0"/>
    <x v="6"/>
    <n v="64.900521574205897"/>
    <n v="23688.6903745852"/>
    <n v="85279.285348506601"/>
  </r>
  <r>
    <x v="0"/>
    <x v="0"/>
    <x v="0"/>
    <x v="0"/>
    <x v="1"/>
    <s v="DK2_Offshore"/>
    <x v="8"/>
    <x v="48"/>
    <x v="0"/>
    <x v="7"/>
    <n v="48.043243243243403"/>
    <n v="17535.783783783801"/>
    <n v="63128.821621621799"/>
  </r>
  <r>
    <x v="0"/>
    <x v="0"/>
    <x v="0"/>
    <x v="0"/>
    <x v="1"/>
    <s v="DK2_Offshore"/>
    <x v="8"/>
    <x v="48"/>
    <x v="0"/>
    <x v="8"/>
    <n v="27.814509246088299"/>
    <n v="10152.295874822201"/>
    <n v="36548.265149359999"/>
  </r>
  <r>
    <x v="0"/>
    <x v="0"/>
    <x v="0"/>
    <x v="0"/>
    <x v="1"/>
    <s v="DK2_Offshore"/>
    <x v="8"/>
    <x v="48"/>
    <x v="0"/>
    <x v="0"/>
    <n v="5.9000474158368998"/>
    <n v="2153.5173067804699"/>
    <n v="7752.6623044096896"/>
  </r>
  <r>
    <x v="0"/>
    <x v="0"/>
    <x v="0"/>
    <x v="0"/>
    <x v="1"/>
    <s v="DK2_Offshore"/>
    <x v="8"/>
    <x v="48"/>
    <x v="0"/>
    <x v="1"/>
    <n v="4.2143195827406403"/>
    <n v="1538.22664770034"/>
    <n v="5537.6159317212096"/>
  </r>
  <r>
    <x v="0"/>
    <x v="0"/>
    <x v="0"/>
    <x v="0"/>
    <x v="1"/>
    <s v="DK2_Offshore"/>
    <x v="8"/>
    <x v="48"/>
    <x v="0"/>
    <x v="2"/>
    <n v="5.9000474158368998"/>
    <n v="2153.5173067804699"/>
    <n v="7752.6623044096896"/>
  </r>
  <r>
    <x v="0"/>
    <x v="0"/>
    <x v="0"/>
    <x v="0"/>
    <x v="1"/>
    <s v="DK2_Offshore"/>
    <x v="8"/>
    <x v="48"/>
    <x v="0"/>
    <x v="9"/>
    <n v="27.814509246088299"/>
    <n v="10152.295874822201"/>
    <n v="36548.265149359999"/>
  </r>
  <r>
    <x v="0"/>
    <x v="0"/>
    <x v="0"/>
    <x v="0"/>
    <x v="1"/>
    <s v="DK2_Offshore"/>
    <x v="8"/>
    <x v="48"/>
    <x v="0"/>
    <x v="10"/>
    <n v="64.900521574205897"/>
    <n v="23688.6903745852"/>
    <n v="85279.285348506601"/>
  </r>
  <r>
    <x v="0"/>
    <x v="0"/>
    <x v="0"/>
    <x v="0"/>
    <x v="1"/>
    <s v="DK2_Offshore"/>
    <x v="8"/>
    <x v="48"/>
    <x v="0"/>
    <x v="11"/>
    <n v="100.30080606922699"/>
    <n v="36609.794215267997"/>
    <n v="131795.259174965"/>
  </r>
  <r>
    <x v="0"/>
    <x v="0"/>
    <x v="0"/>
    <x v="0"/>
    <x v="1"/>
    <s v="DK2_Offshore"/>
    <x v="8"/>
    <x v="48"/>
    <x v="0"/>
    <x v="12"/>
    <n v="116.31522048364199"/>
    <n v="42455.055476529298"/>
    <n v="152838.199715505"/>
  </r>
  <r>
    <x v="0"/>
    <x v="0"/>
    <x v="0"/>
    <x v="0"/>
    <x v="1"/>
    <s v="DK2_Offshore"/>
    <x v="8"/>
    <x v="48"/>
    <x v="0"/>
    <x v="13"/>
    <n v="133.17249881460401"/>
    <n v="48607.962067330598"/>
    <n v="174988.66344239001"/>
  </r>
  <r>
    <x v="0"/>
    <x v="0"/>
    <x v="0"/>
    <x v="0"/>
    <x v="1"/>
    <s v="DK2_Offshore"/>
    <x v="8"/>
    <x v="48"/>
    <x v="0"/>
    <x v="14"/>
    <n v="133.17249881460401"/>
    <n v="48607.962067330598"/>
    <n v="174988.66344239001"/>
  </r>
  <r>
    <x v="0"/>
    <x v="0"/>
    <x v="0"/>
    <x v="0"/>
    <x v="1"/>
    <s v="DK2_Offshore"/>
    <x v="8"/>
    <x v="48"/>
    <x v="0"/>
    <x v="15"/>
    <n v="210.71597913703201"/>
    <n v="76911.332385016794"/>
    <n v="276880.79658606002"/>
  </r>
  <r>
    <x v="0"/>
    <x v="0"/>
    <x v="0"/>
    <x v="0"/>
    <x v="1"/>
    <s v="DK2_Offshore"/>
    <x v="8"/>
    <x v="48"/>
    <x v="0"/>
    <x v="16"/>
    <n v="272.24504504504603"/>
    <n v="99369.441441441697"/>
    <n v="357729.98918918998"/>
  </r>
  <r>
    <x v="0"/>
    <x v="0"/>
    <x v="0"/>
    <x v="0"/>
    <x v="1"/>
    <s v="DK2_Offshore"/>
    <x v="8"/>
    <x v="48"/>
    <x v="0"/>
    <x v="17"/>
    <n v="268.87358937885301"/>
    <n v="98138.860123281396"/>
    <n v="353299.89644381299"/>
  </r>
  <r>
    <x v="0"/>
    <x v="0"/>
    <x v="0"/>
    <x v="0"/>
    <x v="1"/>
    <s v="DK2_Offshore"/>
    <x v="8"/>
    <x v="48"/>
    <x v="0"/>
    <x v="18"/>
    <n v="367.48866761498402"/>
    <n v="134133.36367946901"/>
    <n v="482880.10924608901"/>
  </r>
  <r>
    <x v="0"/>
    <x v="0"/>
    <x v="0"/>
    <x v="0"/>
    <x v="1"/>
    <s v="DK2_Offshore"/>
    <x v="8"/>
    <x v="48"/>
    <x v="0"/>
    <x v="19"/>
    <n v="547.01868183973602"/>
    <n v="199661.81887150399"/>
    <n v="718782.54793741298"/>
  </r>
  <r>
    <x v="0"/>
    <x v="0"/>
    <x v="0"/>
    <x v="0"/>
    <x v="1"/>
    <s v="DK2_Offshore"/>
    <x v="8"/>
    <x v="48"/>
    <x v="0"/>
    <x v="20"/>
    <n v="633.83366524419296"/>
    <n v="231349.28781412999"/>
    <n v="832857.43613087002"/>
  </r>
  <r>
    <x v="0"/>
    <x v="0"/>
    <x v="0"/>
    <x v="0"/>
    <x v="1"/>
    <s v="DK2_Offshore"/>
    <x v="8"/>
    <x v="48"/>
    <x v="0"/>
    <x v="21"/>
    <n v="683.56263632053299"/>
    <n v="249500.36225699401"/>
    <n v="898201.30412518"/>
  </r>
  <r>
    <x v="0"/>
    <x v="0"/>
    <x v="0"/>
    <x v="0"/>
    <x v="1"/>
    <s v="DK2_Offshore"/>
    <x v="8"/>
    <x v="48"/>
    <x v="0"/>
    <x v="22"/>
    <n v="694.51986723565801"/>
    <n v="253499.75154101499"/>
    <n v="912599.10554765502"/>
  </r>
  <r>
    <x v="0"/>
    <x v="0"/>
    <x v="0"/>
    <x v="0"/>
    <x v="1"/>
    <s v="DK2_Offshore"/>
    <x v="8"/>
    <x v="48"/>
    <x v="0"/>
    <x v="23"/>
    <n v="723.177240398295"/>
    <n v="263959.69274537801"/>
    <n v="950254.89388335904"/>
  </r>
  <r>
    <x v="0"/>
    <x v="0"/>
    <x v="0"/>
    <x v="0"/>
    <x v="1"/>
    <s v="DK2_Rural"/>
    <x v="11"/>
    <x v="67"/>
    <x v="0"/>
    <x v="1"/>
    <n v="2.5897435897435899"/>
    <n v="945.25641025641005"/>
    <n v="3402.9230769230799"/>
  </r>
  <r>
    <x v="0"/>
    <x v="0"/>
    <x v="0"/>
    <x v="0"/>
    <x v="1"/>
    <s v="DK2_Rural"/>
    <x v="11"/>
    <x v="67"/>
    <x v="0"/>
    <x v="2"/>
    <n v="2.5897435897435899"/>
    <n v="945.25641025641005"/>
    <n v="3402.9230769230799"/>
  </r>
  <r>
    <x v="0"/>
    <x v="0"/>
    <x v="0"/>
    <x v="0"/>
    <x v="1"/>
    <s v="DK2_Rural"/>
    <x v="11"/>
    <x v="67"/>
    <x v="0"/>
    <x v="9"/>
    <n v="2.5897435897435899"/>
    <n v="945.25641025641005"/>
    <n v="3402.9230769230799"/>
  </r>
  <r>
    <x v="0"/>
    <x v="0"/>
    <x v="0"/>
    <x v="0"/>
    <x v="1"/>
    <s v="DK2_Rural"/>
    <x v="11"/>
    <x v="68"/>
    <x v="0"/>
    <x v="1"/>
    <n v="1.325"/>
    <n v="483.625"/>
    <n v="1741.05"/>
  </r>
  <r>
    <x v="0"/>
    <x v="0"/>
    <x v="0"/>
    <x v="0"/>
    <x v="1"/>
    <s v="DK2_Rural"/>
    <x v="11"/>
    <x v="68"/>
    <x v="0"/>
    <x v="2"/>
    <n v="1.325"/>
    <n v="483.625"/>
    <n v="1741.05"/>
  </r>
  <r>
    <x v="0"/>
    <x v="0"/>
    <x v="0"/>
    <x v="0"/>
    <x v="1"/>
    <s v="DK2_Rural"/>
    <x v="11"/>
    <x v="68"/>
    <x v="0"/>
    <x v="9"/>
    <n v="1.325"/>
    <n v="483.625"/>
    <n v="1741.05"/>
  </r>
  <r>
    <x v="0"/>
    <x v="0"/>
    <x v="0"/>
    <x v="0"/>
    <x v="1"/>
    <s v="DK2_Rural"/>
    <x v="11"/>
    <x v="68"/>
    <x v="0"/>
    <x v="10"/>
    <n v="1.325"/>
    <n v="483.625"/>
    <n v="1741.05"/>
  </r>
  <r>
    <x v="0"/>
    <x v="0"/>
    <x v="0"/>
    <x v="0"/>
    <x v="1"/>
    <s v="DK2_Rural"/>
    <x v="11"/>
    <x v="68"/>
    <x v="0"/>
    <x v="17"/>
    <n v="1.325"/>
    <n v="483.625"/>
    <n v="1741.05"/>
  </r>
  <r>
    <x v="0"/>
    <x v="0"/>
    <x v="0"/>
    <x v="0"/>
    <x v="1"/>
    <s v="DK2_Rural"/>
    <x v="11"/>
    <x v="69"/>
    <x v="0"/>
    <x v="0"/>
    <n v="4.8780487804878003"/>
    <n v="1780.4878048780499"/>
    <n v="6409.7560975609704"/>
  </r>
  <r>
    <x v="0"/>
    <x v="0"/>
    <x v="0"/>
    <x v="0"/>
    <x v="1"/>
    <s v="DK2_Rural"/>
    <x v="11"/>
    <x v="69"/>
    <x v="0"/>
    <x v="1"/>
    <n v="4.8780487804878003"/>
    <n v="1780.4878048780499"/>
    <n v="6409.7560975609704"/>
  </r>
  <r>
    <x v="0"/>
    <x v="0"/>
    <x v="0"/>
    <x v="0"/>
    <x v="1"/>
    <s v="DK2_Rural"/>
    <x v="11"/>
    <x v="69"/>
    <x v="0"/>
    <x v="2"/>
    <n v="4.8780487804878003"/>
    <n v="1780.4878048780499"/>
    <n v="6409.7560975609704"/>
  </r>
  <r>
    <x v="0"/>
    <x v="0"/>
    <x v="0"/>
    <x v="0"/>
    <x v="1"/>
    <s v="DK2_Rural"/>
    <x v="11"/>
    <x v="69"/>
    <x v="0"/>
    <x v="9"/>
    <n v="4.8780487804878003"/>
    <n v="1780.4878048780499"/>
    <n v="6409.7560975609704"/>
  </r>
  <r>
    <x v="0"/>
    <x v="0"/>
    <x v="0"/>
    <x v="0"/>
    <x v="1"/>
    <s v="DK2_Rural"/>
    <x v="11"/>
    <x v="69"/>
    <x v="0"/>
    <x v="10"/>
    <n v="4.8780487804878003"/>
    <n v="1780.4878048780499"/>
    <n v="6409.7560975609704"/>
  </r>
  <r>
    <x v="0"/>
    <x v="0"/>
    <x v="0"/>
    <x v="0"/>
    <x v="1"/>
    <s v="DK2_Rural"/>
    <x v="11"/>
    <x v="69"/>
    <x v="0"/>
    <x v="14"/>
    <n v="4.8780487804878003"/>
    <n v="1780.4878048780499"/>
    <n v="6409.7560975609704"/>
  </r>
  <r>
    <x v="0"/>
    <x v="0"/>
    <x v="0"/>
    <x v="0"/>
    <x v="1"/>
    <s v="DK2_Rural"/>
    <x v="11"/>
    <x v="69"/>
    <x v="0"/>
    <x v="15"/>
    <n v="4.8780487804878003"/>
    <n v="1780.4878048780499"/>
    <n v="6409.7560975609704"/>
  </r>
  <r>
    <x v="0"/>
    <x v="0"/>
    <x v="0"/>
    <x v="0"/>
    <x v="1"/>
    <s v="DK2_Rural"/>
    <x v="11"/>
    <x v="69"/>
    <x v="0"/>
    <x v="16"/>
    <n v="4.8780487804878003"/>
    <n v="1780.4878048780499"/>
    <n v="6409.7560975609704"/>
  </r>
  <r>
    <x v="0"/>
    <x v="0"/>
    <x v="0"/>
    <x v="0"/>
    <x v="1"/>
    <s v="DK2_Rural"/>
    <x v="11"/>
    <x v="69"/>
    <x v="0"/>
    <x v="17"/>
    <n v="4.8780487804878003"/>
    <n v="1780.4878048780499"/>
    <n v="6409.7560975609704"/>
  </r>
  <r>
    <x v="0"/>
    <x v="0"/>
    <x v="0"/>
    <x v="0"/>
    <x v="1"/>
    <s v="DK2_Rural"/>
    <x v="11"/>
    <x v="56"/>
    <x v="0"/>
    <x v="0"/>
    <n v="13.652380952381"/>
    <n v="4983.1190476190504"/>
    <n v="17939.228571428601"/>
  </r>
  <r>
    <x v="0"/>
    <x v="0"/>
    <x v="0"/>
    <x v="0"/>
    <x v="1"/>
    <s v="DK2_Rural"/>
    <x v="11"/>
    <x v="56"/>
    <x v="0"/>
    <x v="1"/>
    <n v="13.652380952381"/>
    <n v="4983.1190476190504"/>
    <n v="17939.228571428601"/>
  </r>
  <r>
    <x v="0"/>
    <x v="0"/>
    <x v="0"/>
    <x v="0"/>
    <x v="1"/>
    <s v="DK2_Rural"/>
    <x v="11"/>
    <x v="56"/>
    <x v="0"/>
    <x v="2"/>
    <n v="13.652380952381"/>
    <n v="4983.1190476190504"/>
    <n v="17939.228571428601"/>
  </r>
  <r>
    <x v="0"/>
    <x v="0"/>
    <x v="0"/>
    <x v="0"/>
    <x v="1"/>
    <s v="DK2_Rural"/>
    <x v="11"/>
    <x v="56"/>
    <x v="0"/>
    <x v="9"/>
    <n v="13.652380952381"/>
    <n v="4983.1190476190504"/>
    <n v="17939.228571428601"/>
  </r>
  <r>
    <x v="0"/>
    <x v="0"/>
    <x v="0"/>
    <x v="0"/>
    <x v="1"/>
    <s v="DK2_Rural"/>
    <x v="11"/>
    <x v="56"/>
    <x v="0"/>
    <x v="10"/>
    <n v="13.652380952381"/>
    <n v="4983.1190476190504"/>
    <n v="17939.228571428601"/>
  </r>
  <r>
    <x v="0"/>
    <x v="0"/>
    <x v="0"/>
    <x v="0"/>
    <x v="1"/>
    <s v="DK2_Rural"/>
    <x v="11"/>
    <x v="56"/>
    <x v="0"/>
    <x v="14"/>
    <n v="13.652380952381"/>
    <n v="4983.1190476190504"/>
    <n v="17939.228571428601"/>
  </r>
  <r>
    <x v="0"/>
    <x v="0"/>
    <x v="0"/>
    <x v="0"/>
    <x v="1"/>
    <s v="DK2_Rural"/>
    <x v="11"/>
    <x v="56"/>
    <x v="0"/>
    <x v="15"/>
    <n v="13.652380952381"/>
    <n v="4983.1190476190504"/>
    <n v="17939.228571428601"/>
  </r>
  <r>
    <x v="0"/>
    <x v="0"/>
    <x v="0"/>
    <x v="0"/>
    <x v="1"/>
    <s v="DK2_Rural"/>
    <x v="11"/>
    <x v="56"/>
    <x v="0"/>
    <x v="16"/>
    <n v="13.652380952381"/>
    <n v="4983.1190476190504"/>
    <n v="17939.228571428601"/>
  </r>
  <r>
    <x v="0"/>
    <x v="0"/>
    <x v="0"/>
    <x v="0"/>
    <x v="1"/>
    <s v="DK2_Rural"/>
    <x v="11"/>
    <x v="56"/>
    <x v="0"/>
    <x v="17"/>
    <n v="13.652380952381"/>
    <n v="4983.1190476190504"/>
    <n v="17939.228571428601"/>
  </r>
  <r>
    <x v="0"/>
    <x v="0"/>
    <x v="0"/>
    <x v="0"/>
    <x v="1"/>
    <s v="DK2_Rural"/>
    <x v="0"/>
    <x v="70"/>
    <x v="0"/>
    <x v="1"/>
    <n v="105.71428571428601"/>
    <n v="38585.714285714297"/>
    <n v="138908.57142857101"/>
  </r>
  <r>
    <x v="0"/>
    <x v="0"/>
    <x v="0"/>
    <x v="0"/>
    <x v="1"/>
    <s v="DK2_Rural"/>
    <x v="0"/>
    <x v="70"/>
    <x v="0"/>
    <x v="2"/>
    <n v="105.71428571428601"/>
    <n v="38585.714285714297"/>
    <n v="138908.57142857101"/>
  </r>
  <r>
    <x v="0"/>
    <x v="0"/>
    <x v="0"/>
    <x v="0"/>
    <x v="1"/>
    <s v="DK2_Rural"/>
    <x v="0"/>
    <x v="70"/>
    <x v="0"/>
    <x v="9"/>
    <n v="105.71428571428601"/>
    <n v="38585.714285714297"/>
    <n v="138908.57142857101"/>
  </r>
  <r>
    <x v="0"/>
    <x v="0"/>
    <x v="0"/>
    <x v="0"/>
    <x v="1"/>
    <s v="DK2_Rural"/>
    <x v="1"/>
    <x v="1"/>
    <x v="0"/>
    <x v="3"/>
    <n v="6.6666666666666696"/>
    <n v="2433.3333333333298"/>
    <n v="8760"/>
  </r>
  <r>
    <x v="0"/>
    <x v="0"/>
    <x v="0"/>
    <x v="0"/>
    <x v="1"/>
    <s v="DK2_Rural"/>
    <x v="1"/>
    <x v="1"/>
    <x v="0"/>
    <x v="4"/>
    <n v="6.6666666666666696"/>
    <n v="2433.3333333333298"/>
    <n v="8760"/>
  </r>
  <r>
    <x v="0"/>
    <x v="0"/>
    <x v="0"/>
    <x v="0"/>
    <x v="1"/>
    <s v="DK2_Rural"/>
    <x v="1"/>
    <x v="1"/>
    <x v="0"/>
    <x v="5"/>
    <n v="6.6666666666666696"/>
    <n v="2433.3333333333298"/>
    <n v="8760"/>
  </r>
  <r>
    <x v="0"/>
    <x v="0"/>
    <x v="0"/>
    <x v="0"/>
    <x v="1"/>
    <s v="DK2_Rural"/>
    <x v="1"/>
    <x v="1"/>
    <x v="0"/>
    <x v="6"/>
    <n v="6.6666666666666696"/>
    <n v="2433.3333333333298"/>
    <n v="8760"/>
  </r>
  <r>
    <x v="0"/>
    <x v="0"/>
    <x v="0"/>
    <x v="0"/>
    <x v="1"/>
    <s v="DK2_Rural"/>
    <x v="1"/>
    <x v="1"/>
    <x v="0"/>
    <x v="7"/>
    <n v="6.6666666666666696"/>
    <n v="2433.3333333333298"/>
    <n v="8760"/>
  </r>
  <r>
    <x v="0"/>
    <x v="0"/>
    <x v="0"/>
    <x v="0"/>
    <x v="1"/>
    <s v="DK2_Rural"/>
    <x v="1"/>
    <x v="1"/>
    <x v="0"/>
    <x v="8"/>
    <n v="6.6666666666666696"/>
    <n v="2433.3333333333298"/>
    <n v="8760"/>
  </r>
  <r>
    <x v="0"/>
    <x v="0"/>
    <x v="0"/>
    <x v="0"/>
    <x v="1"/>
    <s v="DK2_Rural"/>
    <x v="1"/>
    <x v="1"/>
    <x v="0"/>
    <x v="0"/>
    <n v="6.6666666666666696"/>
    <n v="2433.3333333333298"/>
    <n v="8760"/>
  </r>
  <r>
    <x v="0"/>
    <x v="0"/>
    <x v="0"/>
    <x v="0"/>
    <x v="1"/>
    <s v="DK2_Rural"/>
    <x v="1"/>
    <x v="1"/>
    <x v="0"/>
    <x v="1"/>
    <n v="6.6666666666666696"/>
    <n v="2433.3333333333298"/>
    <n v="8760"/>
  </r>
  <r>
    <x v="0"/>
    <x v="0"/>
    <x v="0"/>
    <x v="0"/>
    <x v="1"/>
    <s v="DK2_Rural"/>
    <x v="1"/>
    <x v="1"/>
    <x v="0"/>
    <x v="2"/>
    <n v="6.6666666666666696"/>
    <n v="2433.3333333333298"/>
    <n v="8760"/>
  </r>
  <r>
    <x v="0"/>
    <x v="0"/>
    <x v="0"/>
    <x v="0"/>
    <x v="1"/>
    <s v="DK2_Rural"/>
    <x v="1"/>
    <x v="1"/>
    <x v="0"/>
    <x v="9"/>
    <n v="6.6666666666666696"/>
    <n v="2433.3333333333298"/>
    <n v="8760"/>
  </r>
  <r>
    <x v="0"/>
    <x v="0"/>
    <x v="0"/>
    <x v="0"/>
    <x v="1"/>
    <s v="DK2_Rural"/>
    <x v="1"/>
    <x v="1"/>
    <x v="0"/>
    <x v="10"/>
    <n v="6.6666666666666696"/>
    <n v="2433.3333333333298"/>
    <n v="8760"/>
  </r>
  <r>
    <x v="0"/>
    <x v="0"/>
    <x v="0"/>
    <x v="0"/>
    <x v="1"/>
    <s v="DK2_Rural"/>
    <x v="1"/>
    <x v="1"/>
    <x v="0"/>
    <x v="11"/>
    <n v="6.6666666666666696"/>
    <n v="2433.3333333333298"/>
    <n v="8760"/>
  </r>
  <r>
    <x v="0"/>
    <x v="0"/>
    <x v="0"/>
    <x v="0"/>
    <x v="1"/>
    <s v="DK2_Rural"/>
    <x v="1"/>
    <x v="1"/>
    <x v="0"/>
    <x v="12"/>
    <n v="6.6666666666666696"/>
    <n v="2433.3333333333298"/>
    <n v="8760"/>
  </r>
  <r>
    <x v="0"/>
    <x v="0"/>
    <x v="0"/>
    <x v="0"/>
    <x v="1"/>
    <s v="DK2_Rural"/>
    <x v="1"/>
    <x v="1"/>
    <x v="0"/>
    <x v="13"/>
    <n v="6.6666666666666696"/>
    <n v="2433.3333333333298"/>
    <n v="8760"/>
  </r>
  <r>
    <x v="0"/>
    <x v="0"/>
    <x v="0"/>
    <x v="0"/>
    <x v="1"/>
    <s v="DK2_Rural"/>
    <x v="1"/>
    <x v="1"/>
    <x v="0"/>
    <x v="14"/>
    <n v="6.6666666666666696"/>
    <n v="2433.3333333333298"/>
    <n v="8760"/>
  </r>
  <r>
    <x v="0"/>
    <x v="0"/>
    <x v="0"/>
    <x v="0"/>
    <x v="1"/>
    <s v="DK2_Rural"/>
    <x v="1"/>
    <x v="1"/>
    <x v="0"/>
    <x v="15"/>
    <n v="6.6666666666666696"/>
    <n v="2433.3333333333298"/>
    <n v="8760"/>
  </r>
  <r>
    <x v="0"/>
    <x v="0"/>
    <x v="0"/>
    <x v="0"/>
    <x v="1"/>
    <s v="DK2_Rural"/>
    <x v="1"/>
    <x v="1"/>
    <x v="0"/>
    <x v="16"/>
    <n v="6.6666666666666696"/>
    <n v="2433.3333333333298"/>
    <n v="8760"/>
  </r>
  <r>
    <x v="0"/>
    <x v="0"/>
    <x v="0"/>
    <x v="0"/>
    <x v="1"/>
    <s v="DK2_Rural"/>
    <x v="1"/>
    <x v="1"/>
    <x v="0"/>
    <x v="17"/>
    <n v="6.6666666666666696"/>
    <n v="2433.3333333333298"/>
    <n v="8760"/>
  </r>
  <r>
    <x v="0"/>
    <x v="0"/>
    <x v="0"/>
    <x v="0"/>
    <x v="1"/>
    <s v="DK2_Rural"/>
    <x v="1"/>
    <x v="1"/>
    <x v="0"/>
    <x v="18"/>
    <n v="6.6666666666666696"/>
    <n v="2433.3333333333298"/>
    <n v="8760"/>
  </r>
  <r>
    <x v="0"/>
    <x v="0"/>
    <x v="0"/>
    <x v="0"/>
    <x v="1"/>
    <s v="DK2_Rural"/>
    <x v="1"/>
    <x v="1"/>
    <x v="0"/>
    <x v="19"/>
    <n v="6.6666666666666696"/>
    <n v="2433.3333333333298"/>
    <n v="8760"/>
  </r>
  <r>
    <x v="0"/>
    <x v="0"/>
    <x v="0"/>
    <x v="0"/>
    <x v="1"/>
    <s v="DK2_Rural"/>
    <x v="1"/>
    <x v="1"/>
    <x v="0"/>
    <x v="20"/>
    <n v="6.6666666666666696"/>
    <n v="2433.3333333333298"/>
    <n v="8760"/>
  </r>
  <r>
    <x v="0"/>
    <x v="0"/>
    <x v="0"/>
    <x v="0"/>
    <x v="1"/>
    <s v="DK2_Rural"/>
    <x v="1"/>
    <x v="1"/>
    <x v="0"/>
    <x v="21"/>
    <n v="6.6666666666666696"/>
    <n v="2433.3333333333298"/>
    <n v="8760"/>
  </r>
  <r>
    <x v="0"/>
    <x v="0"/>
    <x v="0"/>
    <x v="0"/>
    <x v="1"/>
    <s v="DK2_Rural"/>
    <x v="1"/>
    <x v="1"/>
    <x v="0"/>
    <x v="22"/>
    <n v="6.6666666666666696"/>
    <n v="2433.3333333333298"/>
    <n v="8760"/>
  </r>
  <r>
    <x v="0"/>
    <x v="0"/>
    <x v="0"/>
    <x v="0"/>
    <x v="1"/>
    <s v="DK2_Rural"/>
    <x v="1"/>
    <x v="1"/>
    <x v="0"/>
    <x v="23"/>
    <n v="6.6666666666666696"/>
    <n v="2433.3333333333298"/>
    <n v="8760"/>
  </r>
  <r>
    <x v="0"/>
    <x v="0"/>
    <x v="0"/>
    <x v="0"/>
    <x v="1"/>
    <s v="DK2_Rural"/>
    <x v="2"/>
    <x v="39"/>
    <x v="0"/>
    <x v="3"/>
    <n v="20.818181818181799"/>
    <n v="7598.6363636363603"/>
    <n v="27355.090909090901"/>
  </r>
  <r>
    <x v="0"/>
    <x v="0"/>
    <x v="0"/>
    <x v="0"/>
    <x v="1"/>
    <s v="DK2_Rural"/>
    <x v="2"/>
    <x v="39"/>
    <x v="0"/>
    <x v="4"/>
    <n v="20.818181818181799"/>
    <n v="7598.6363636363603"/>
    <n v="27355.090909090901"/>
  </r>
  <r>
    <x v="0"/>
    <x v="0"/>
    <x v="0"/>
    <x v="0"/>
    <x v="1"/>
    <s v="DK2_Rural"/>
    <x v="2"/>
    <x v="39"/>
    <x v="0"/>
    <x v="5"/>
    <n v="20.818181818181799"/>
    <n v="7598.6363636363603"/>
    <n v="27355.090909090901"/>
  </r>
  <r>
    <x v="0"/>
    <x v="0"/>
    <x v="0"/>
    <x v="0"/>
    <x v="1"/>
    <s v="DK2_Rural"/>
    <x v="2"/>
    <x v="39"/>
    <x v="0"/>
    <x v="6"/>
    <n v="20.818181818181799"/>
    <n v="7598.6363636363603"/>
    <n v="27355.090909090901"/>
  </r>
  <r>
    <x v="0"/>
    <x v="0"/>
    <x v="0"/>
    <x v="0"/>
    <x v="1"/>
    <s v="DK2_Rural"/>
    <x v="2"/>
    <x v="39"/>
    <x v="0"/>
    <x v="7"/>
    <n v="20.818181818181799"/>
    <n v="7598.6363636363603"/>
    <n v="27355.090909090901"/>
  </r>
  <r>
    <x v="0"/>
    <x v="0"/>
    <x v="0"/>
    <x v="0"/>
    <x v="1"/>
    <s v="DK2_Rural"/>
    <x v="2"/>
    <x v="39"/>
    <x v="0"/>
    <x v="8"/>
    <n v="20.818181818181799"/>
    <n v="7598.6363636363603"/>
    <n v="27355.090909090901"/>
  </r>
  <r>
    <x v="0"/>
    <x v="0"/>
    <x v="0"/>
    <x v="0"/>
    <x v="1"/>
    <s v="DK2_Rural"/>
    <x v="2"/>
    <x v="39"/>
    <x v="0"/>
    <x v="0"/>
    <n v="20.818181818181799"/>
    <n v="7598.6363636363603"/>
    <n v="27355.090909090901"/>
  </r>
  <r>
    <x v="0"/>
    <x v="0"/>
    <x v="0"/>
    <x v="0"/>
    <x v="1"/>
    <s v="DK2_Rural"/>
    <x v="2"/>
    <x v="39"/>
    <x v="0"/>
    <x v="1"/>
    <n v="20.818181818181799"/>
    <n v="7598.6363636363603"/>
    <n v="27355.090909090901"/>
  </r>
  <r>
    <x v="0"/>
    <x v="0"/>
    <x v="0"/>
    <x v="0"/>
    <x v="1"/>
    <s v="DK2_Rural"/>
    <x v="2"/>
    <x v="39"/>
    <x v="0"/>
    <x v="2"/>
    <n v="20.818181818181799"/>
    <n v="7598.6363636363603"/>
    <n v="27355.090909090901"/>
  </r>
  <r>
    <x v="0"/>
    <x v="0"/>
    <x v="0"/>
    <x v="0"/>
    <x v="1"/>
    <s v="DK2_Rural"/>
    <x v="2"/>
    <x v="39"/>
    <x v="0"/>
    <x v="9"/>
    <n v="20.818181818181799"/>
    <n v="7598.6363636363603"/>
    <n v="27355.090909090901"/>
  </r>
  <r>
    <x v="0"/>
    <x v="0"/>
    <x v="0"/>
    <x v="0"/>
    <x v="1"/>
    <s v="DK2_Rural"/>
    <x v="2"/>
    <x v="39"/>
    <x v="0"/>
    <x v="10"/>
    <n v="20.818181818181799"/>
    <n v="7598.6363636363603"/>
    <n v="27355.090909090901"/>
  </r>
  <r>
    <x v="0"/>
    <x v="0"/>
    <x v="0"/>
    <x v="0"/>
    <x v="1"/>
    <s v="DK2_Rural"/>
    <x v="2"/>
    <x v="39"/>
    <x v="0"/>
    <x v="11"/>
    <n v="20.818181818181799"/>
    <n v="7598.6363636363603"/>
    <n v="27355.090909090901"/>
  </r>
  <r>
    <x v="0"/>
    <x v="0"/>
    <x v="0"/>
    <x v="0"/>
    <x v="1"/>
    <s v="DK2_Rural"/>
    <x v="2"/>
    <x v="39"/>
    <x v="0"/>
    <x v="12"/>
    <n v="20.818181818181799"/>
    <n v="7598.6363636363603"/>
    <n v="27355.090909090901"/>
  </r>
  <r>
    <x v="0"/>
    <x v="0"/>
    <x v="0"/>
    <x v="0"/>
    <x v="1"/>
    <s v="DK2_Rural"/>
    <x v="2"/>
    <x v="39"/>
    <x v="0"/>
    <x v="13"/>
    <n v="20.818181818181799"/>
    <n v="7598.6363636363603"/>
    <n v="27355.090909090901"/>
  </r>
  <r>
    <x v="0"/>
    <x v="0"/>
    <x v="0"/>
    <x v="0"/>
    <x v="1"/>
    <s v="DK2_Rural"/>
    <x v="2"/>
    <x v="39"/>
    <x v="0"/>
    <x v="14"/>
    <n v="20.818181818181799"/>
    <n v="7598.6363636363603"/>
    <n v="27355.090909090901"/>
  </r>
  <r>
    <x v="0"/>
    <x v="0"/>
    <x v="0"/>
    <x v="0"/>
    <x v="1"/>
    <s v="DK2_Rural"/>
    <x v="2"/>
    <x v="39"/>
    <x v="0"/>
    <x v="15"/>
    <n v="20.818181818181799"/>
    <n v="7598.6363636363603"/>
    <n v="27355.090909090901"/>
  </r>
  <r>
    <x v="0"/>
    <x v="0"/>
    <x v="0"/>
    <x v="0"/>
    <x v="1"/>
    <s v="DK2_Rural"/>
    <x v="2"/>
    <x v="39"/>
    <x v="0"/>
    <x v="16"/>
    <n v="20.818181818181799"/>
    <n v="7598.6363636363603"/>
    <n v="27355.090909090901"/>
  </r>
  <r>
    <x v="0"/>
    <x v="0"/>
    <x v="0"/>
    <x v="0"/>
    <x v="1"/>
    <s v="DK2_Rural"/>
    <x v="2"/>
    <x v="39"/>
    <x v="0"/>
    <x v="17"/>
    <n v="20.818181818181799"/>
    <n v="7598.6363636363603"/>
    <n v="27355.090909090901"/>
  </r>
  <r>
    <x v="0"/>
    <x v="0"/>
    <x v="0"/>
    <x v="0"/>
    <x v="1"/>
    <s v="DK2_Rural"/>
    <x v="2"/>
    <x v="39"/>
    <x v="0"/>
    <x v="18"/>
    <n v="20.818181818181799"/>
    <n v="7598.6363636363603"/>
    <n v="27355.090909090901"/>
  </r>
  <r>
    <x v="0"/>
    <x v="0"/>
    <x v="0"/>
    <x v="0"/>
    <x v="1"/>
    <s v="DK2_Rural"/>
    <x v="2"/>
    <x v="39"/>
    <x v="0"/>
    <x v="19"/>
    <n v="20.818181818181799"/>
    <n v="7598.6363636363603"/>
    <n v="27355.090909090901"/>
  </r>
  <r>
    <x v="0"/>
    <x v="0"/>
    <x v="0"/>
    <x v="0"/>
    <x v="1"/>
    <s v="DK2_Rural"/>
    <x v="2"/>
    <x v="39"/>
    <x v="0"/>
    <x v="20"/>
    <n v="20.818181818181799"/>
    <n v="7598.6363636363603"/>
    <n v="27355.090909090901"/>
  </r>
  <r>
    <x v="0"/>
    <x v="0"/>
    <x v="0"/>
    <x v="0"/>
    <x v="1"/>
    <s v="DK2_Rural"/>
    <x v="2"/>
    <x v="39"/>
    <x v="0"/>
    <x v="21"/>
    <n v="20.818181818181799"/>
    <n v="7598.6363636363603"/>
    <n v="27355.090909090901"/>
  </r>
  <r>
    <x v="0"/>
    <x v="0"/>
    <x v="0"/>
    <x v="0"/>
    <x v="1"/>
    <s v="DK2_Rural"/>
    <x v="2"/>
    <x v="39"/>
    <x v="0"/>
    <x v="22"/>
    <n v="20.818181818181799"/>
    <n v="7598.6363636363603"/>
    <n v="27355.090909090901"/>
  </r>
  <r>
    <x v="0"/>
    <x v="0"/>
    <x v="0"/>
    <x v="0"/>
    <x v="1"/>
    <s v="DK2_Rural"/>
    <x v="2"/>
    <x v="39"/>
    <x v="0"/>
    <x v="23"/>
    <n v="20.818181818181799"/>
    <n v="7598.6363636363603"/>
    <n v="27355.090909090901"/>
  </r>
  <r>
    <x v="0"/>
    <x v="0"/>
    <x v="0"/>
    <x v="0"/>
    <x v="1"/>
    <s v="DK2_Rural"/>
    <x v="2"/>
    <x v="7"/>
    <x v="0"/>
    <x v="3"/>
    <n v="11.676470588235301"/>
    <n v="4261.9117647058802"/>
    <n v="15342.8823529412"/>
  </r>
  <r>
    <x v="0"/>
    <x v="0"/>
    <x v="0"/>
    <x v="0"/>
    <x v="1"/>
    <s v="DK2_Rural"/>
    <x v="2"/>
    <x v="7"/>
    <x v="0"/>
    <x v="4"/>
    <n v="11.676470588235301"/>
    <n v="4261.9117647058802"/>
    <n v="15342.8823529412"/>
  </r>
  <r>
    <x v="0"/>
    <x v="0"/>
    <x v="0"/>
    <x v="0"/>
    <x v="1"/>
    <s v="DK2_Rural"/>
    <x v="2"/>
    <x v="7"/>
    <x v="0"/>
    <x v="5"/>
    <n v="11.676470588235301"/>
    <n v="4261.9117647058802"/>
    <n v="15342.8823529412"/>
  </r>
  <r>
    <x v="0"/>
    <x v="0"/>
    <x v="0"/>
    <x v="0"/>
    <x v="1"/>
    <s v="DK2_Rural"/>
    <x v="2"/>
    <x v="7"/>
    <x v="0"/>
    <x v="6"/>
    <n v="11.676470588235301"/>
    <n v="4261.9117647058802"/>
    <n v="15342.8823529412"/>
  </r>
  <r>
    <x v="0"/>
    <x v="0"/>
    <x v="0"/>
    <x v="0"/>
    <x v="1"/>
    <s v="DK2_Rural"/>
    <x v="2"/>
    <x v="7"/>
    <x v="0"/>
    <x v="7"/>
    <n v="11.676470588235301"/>
    <n v="4261.9117647058802"/>
    <n v="15342.8823529412"/>
  </r>
  <r>
    <x v="0"/>
    <x v="0"/>
    <x v="0"/>
    <x v="0"/>
    <x v="1"/>
    <s v="DK2_Rural"/>
    <x v="2"/>
    <x v="7"/>
    <x v="0"/>
    <x v="8"/>
    <n v="11.676470588235301"/>
    <n v="4261.9117647058802"/>
    <n v="15342.8823529412"/>
  </r>
  <r>
    <x v="0"/>
    <x v="0"/>
    <x v="0"/>
    <x v="0"/>
    <x v="1"/>
    <s v="DK2_Rural"/>
    <x v="2"/>
    <x v="7"/>
    <x v="0"/>
    <x v="0"/>
    <n v="11.676470588235301"/>
    <n v="4261.9117647058802"/>
    <n v="15342.8823529412"/>
  </r>
  <r>
    <x v="0"/>
    <x v="0"/>
    <x v="0"/>
    <x v="0"/>
    <x v="1"/>
    <s v="DK2_Rural"/>
    <x v="2"/>
    <x v="7"/>
    <x v="0"/>
    <x v="1"/>
    <n v="11.676470588235301"/>
    <n v="4261.9117647058802"/>
    <n v="15342.8823529412"/>
  </r>
  <r>
    <x v="0"/>
    <x v="0"/>
    <x v="0"/>
    <x v="0"/>
    <x v="1"/>
    <s v="DK2_Rural"/>
    <x v="2"/>
    <x v="7"/>
    <x v="0"/>
    <x v="2"/>
    <n v="11.676470588235301"/>
    <n v="4261.9117647058802"/>
    <n v="15342.8823529412"/>
  </r>
  <r>
    <x v="0"/>
    <x v="0"/>
    <x v="0"/>
    <x v="0"/>
    <x v="1"/>
    <s v="DK2_Rural"/>
    <x v="2"/>
    <x v="7"/>
    <x v="0"/>
    <x v="9"/>
    <n v="11.676470588235301"/>
    <n v="4261.9117647058802"/>
    <n v="15342.8823529412"/>
  </r>
  <r>
    <x v="0"/>
    <x v="0"/>
    <x v="0"/>
    <x v="0"/>
    <x v="1"/>
    <s v="DK2_Rural"/>
    <x v="2"/>
    <x v="7"/>
    <x v="0"/>
    <x v="10"/>
    <n v="11.676470588235301"/>
    <n v="4261.9117647058802"/>
    <n v="15342.8823529412"/>
  </r>
  <r>
    <x v="0"/>
    <x v="0"/>
    <x v="0"/>
    <x v="0"/>
    <x v="1"/>
    <s v="DK2_Rural"/>
    <x v="2"/>
    <x v="7"/>
    <x v="0"/>
    <x v="11"/>
    <n v="11.676470588235301"/>
    <n v="4261.9117647058802"/>
    <n v="15342.8823529412"/>
  </r>
  <r>
    <x v="0"/>
    <x v="0"/>
    <x v="0"/>
    <x v="0"/>
    <x v="1"/>
    <s v="DK2_Rural"/>
    <x v="2"/>
    <x v="7"/>
    <x v="0"/>
    <x v="12"/>
    <n v="11.676470588235301"/>
    <n v="4261.9117647058802"/>
    <n v="15342.8823529412"/>
  </r>
  <r>
    <x v="0"/>
    <x v="0"/>
    <x v="0"/>
    <x v="0"/>
    <x v="1"/>
    <s v="DK2_Rural"/>
    <x v="2"/>
    <x v="7"/>
    <x v="0"/>
    <x v="13"/>
    <n v="11.676470588235301"/>
    <n v="4261.9117647058802"/>
    <n v="15342.8823529412"/>
  </r>
  <r>
    <x v="0"/>
    <x v="0"/>
    <x v="0"/>
    <x v="0"/>
    <x v="1"/>
    <s v="DK2_Rural"/>
    <x v="2"/>
    <x v="7"/>
    <x v="0"/>
    <x v="14"/>
    <n v="11.676470588235301"/>
    <n v="4261.9117647058802"/>
    <n v="15342.8823529412"/>
  </r>
  <r>
    <x v="0"/>
    <x v="0"/>
    <x v="0"/>
    <x v="0"/>
    <x v="1"/>
    <s v="DK2_Rural"/>
    <x v="2"/>
    <x v="7"/>
    <x v="0"/>
    <x v="15"/>
    <n v="11.676470588235301"/>
    <n v="4261.9117647058802"/>
    <n v="15342.8823529412"/>
  </r>
  <r>
    <x v="0"/>
    <x v="0"/>
    <x v="0"/>
    <x v="0"/>
    <x v="1"/>
    <s v="DK2_Rural"/>
    <x v="2"/>
    <x v="7"/>
    <x v="0"/>
    <x v="16"/>
    <n v="11.676470588235301"/>
    <n v="4261.9117647058802"/>
    <n v="15342.8823529412"/>
  </r>
  <r>
    <x v="0"/>
    <x v="0"/>
    <x v="0"/>
    <x v="0"/>
    <x v="1"/>
    <s v="DK2_Rural"/>
    <x v="2"/>
    <x v="7"/>
    <x v="0"/>
    <x v="17"/>
    <n v="11.676470588235301"/>
    <n v="4261.9117647058802"/>
    <n v="15342.8823529412"/>
  </r>
  <r>
    <x v="0"/>
    <x v="0"/>
    <x v="0"/>
    <x v="0"/>
    <x v="1"/>
    <s v="DK2_Rural"/>
    <x v="2"/>
    <x v="7"/>
    <x v="0"/>
    <x v="18"/>
    <n v="11.676470588235301"/>
    <n v="4261.9117647058802"/>
    <n v="15342.8823529412"/>
  </r>
  <r>
    <x v="0"/>
    <x v="0"/>
    <x v="0"/>
    <x v="0"/>
    <x v="1"/>
    <s v="DK2_Rural"/>
    <x v="2"/>
    <x v="7"/>
    <x v="0"/>
    <x v="19"/>
    <n v="11.676470588235301"/>
    <n v="4261.9117647058802"/>
    <n v="15342.8823529412"/>
  </r>
  <r>
    <x v="0"/>
    <x v="0"/>
    <x v="0"/>
    <x v="0"/>
    <x v="1"/>
    <s v="DK2_Rural"/>
    <x v="2"/>
    <x v="7"/>
    <x v="0"/>
    <x v="20"/>
    <n v="11.676470588235301"/>
    <n v="4261.9117647058802"/>
    <n v="15342.8823529412"/>
  </r>
  <r>
    <x v="0"/>
    <x v="0"/>
    <x v="0"/>
    <x v="0"/>
    <x v="1"/>
    <s v="DK2_Rural"/>
    <x v="2"/>
    <x v="7"/>
    <x v="0"/>
    <x v="21"/>
    <n v="11.676470588235301"/>
    <n v="4261.9117647058802"/>
    <n v="15342.8823529412"/>
  </r>
  <r>
    <x v="0"/>
    <x v="0"/>
    <x v="0"/>
    <x v="0"/>
    <x v="1"/>
    <s v="DK2_Rural"/>
    <x v="2"/>
    <x v="7"/>
    <x v="0"/>
    <x v="22"/>
    <n v="11.676470588235301"/>
    <n v="4261.9117647058802"/>
    <n v="15342.8823529412"/>
  </r>
  <r>
    <x v="0"/>
    <x v="0"/>
    <x v="0"/>
    <x v="0"/>
    <x v="1"/>
    <s v="DK2_Rural"/>
    <x v="2"/>
    <x v="7"/>
    <x v="0"/>
    <x v="23"/>
    <n v="11.676470588235301"/>
    <n v="4261.9117647058802"/>
    <n v="15342.8823529412"/>
  </r>
  <r>
    <x v="0"/>
    <x v="0"/>
    <x v="0"/>
    <x v="0"/>
    <x v="1"/>
    <s v="DK2_Rural"/>
    <x v="2"/>
    <x v="26"/>
    <x v="0"/>
    <x v="3"/>
    <n v="20.828571428571401"/>
    <n v="7602.4285714285697"/>
    <n v="27368.742857142799"/>
  </r>
  <r>
    <x v="0"/>
    <x v="0"/>
    <x v="0"/>
    <x v="0"/>
    <x v="1"/>
    <s v="DK2_Rural"/>
    <x v="2"/>
    <x v="26"/>
    <x v="0"/>
    <x v="4"/>
    <n v="20.828571428571401"/>
    <n v="7602.4285714285697"/>
    <n v="27368.742857142799"/>
  </r>
  <r>
    <x v="0"/>
    <x v="0"/>
    <x v="0"/>
    <x v="0"/>
    <x v="1"/>
    <s v="DK2_Rural"/>
    <x v="2"/>
    <x v="26"/>
    <x v="0"/>
    <x v="5"/>
    <n v="20.828571428571401"/>
    <n v="7602.4285714285697"/>
    <n v="27368.742857142799"/>
  </r>
  <r>
    <x v="0"/>
    <x v="0"/>
    <x v="0"/>
    <x v="0"/>
    <x v="1"/>
    <s v="DK2_Rural"/>
    <x v="2"/>
    <x v="26"/>
    <x v="0"/>
    <x v="6"/>
    <n v="20.828571428571401"/>
    <n v="7602.4285714285697"/>
    <n v="27368.742857142799"/>
  </r>
  <r>
    <x v="0"/>
    <x v="0"/>
    <x v="0"/>
    <x v="0"/>
    <x v="1"/>
    <s v="DK2_Rural"/>
    <x v="2"/>
    <x v="26"/>
    <x v="0"/>
    <x v="7"/>
    <n v="20.828571428571401"/>
    <n v="7602.4285714285697"/>
    <n v="27368.742857142799"/>
  </r>
  <r>
    <x v="0"/>
    <x v="0"/>
    <x v="0"/>
    <x v="0"/>
    <x v="1"/>
    <s v="DK2_Rural"/>
    <x v="2"/>
    <x v="26"/>
    <x v="0"/>
    <x v="8"/>
    <n v="20.828571428571401"/>
    <n v="7602.4285714285697"/>
    <n v="27368.742857142799"/>
  </r>
  <r>
    <x v="0"/>
    <x v="0"/>
    <x v="0"/>
    <x v="0"/>
    <x v="1"/>
    <s v="DK2_Rural"/>
    <x v="2"/>
    <x v="26"/>
    <x v="0"/>
    <x v="0"/>
    <n v="20.828571428571401"/>
    <n v="7602.4285714285697"/>
    <n v="27368.742857142799"/>
  </r>
  <r>
    <x v="0"/>
    <x v="0"/>
    <x v="0"/>
    <x v="0"/>
    <x v="1"/>
    <s v="DK2_Rural"/>
    <x v="2"/>
    <x v="26"/>
    <x v="0"/>
    <x v="1"/>
    <n v="20.828571428571401"/>
    <n v="7602.4285714285697"/>
    <n v="27368.742857142799"/>
  </r>
  <r>
    <x v="0"/>
    <x v="0"/>
    <x v="0"/>
    <x v="0"/>
    <x v="1"/>
    <s v="DK2_Rural"/>
    <x v="2"/>
    <x v="26"/>
    <x v="0"/>
    <x v="2"/>
    <n v="20.828571428571401"/>
    <n v="7602.4285714285697"/>
    <n v="27368.742857142799"/>
  </r>
  <r>
    <x v="0"/>
    <x v="0"/>
    <x v="0"/>
    <x v="0"/>
    <x v="1"/>
    <s v="DK2_Rural"/>
    <x v="2"/>
    <x v="26"/>
    <x v="0"/>
    <x v="9"/>
    <n v="20.828571428571401"/>
    <n v="7602.4285714285697"/>
    <n v="27368.742857142799"/>
  </r>
  <r>
    <x v="0"/>
    <x v="0"/>
    <x v="0"/>
    <x v="0"/>
    <x v="1"/>
    <s v="DK2_Rural"/>
    <x v="2"/>
    <x v="26"/>
    <x v="0"/>
    <x v="10"/>
    <n v="20.828571428571401"/>
    <n v="7602.4285714285697"/>
    <n v="27368.742857142799"/>
  </r>
  <r>
    <x v="0"/>
    <x v="0"/>
    <x v="0"/>
    <x v="0"/>
    <x v="1"/>
    <s v="DK2_Rural"/>
    <x v="2"/>
    <x v="26"/>
    <x v="0"/>
    <x v="11"/>
    <n v="20.828571428571401"/>
    <n v="7602.4285714285697"/>
    <n v="27368.742857142799"/>
  </r>
  <r>
    <x v="0"/>
    <x v="0"/>
    <x v="0"/>
    <x v="0"/>
    <x v="1"/>
    <s v="DK2_Rural"/>
    <x v="2"/>
    <x v="26"/>
    <x v="0"/>
    <x v="12"/>
    <n v="20.828571428571401"/>
    <n v="7602.4285714285697"/>
    <n v="27368.742857142799"/>
  </r>
  <r>
    <x v="0"/>
    <x v="0"/>
    <x v="0"/>
    <x v="0"/>
    <x v="1"/>
    <s v="DK2_Rural"/>
    <x v="2"/>
    <x v="26"/>
    <x v="0"/>
    <x v="13"/>
    <n v="20.828571428571401"/>
    <n v="7602.4285714285697"/>
    <n v="27368.742857142799"/>
  </r>
  <r>
    <x v="0"/>
    <x v="0"/>
    <x v="0"/>
    <x v="0"/>
    <x v="1"/>
    <s v="DK2_Rural"/>
    <x v="2"/>
    <x v="26"/>
    <x v="0"/>
    <x v="14"/>
    <n v="20.828571428571401"/>
    <n v="7602.4285714285697"/>
    <n v="27368.742857142799"/>
  </r>
  <r>
    <x v="0"/>
    <x v="0"/>
    <x v="0"/>
    <x v="0"/>
    <x v="1"/>
    <s v="DK2_Rural"/>
    <x v="2"/>
    <x v="26"/>
    <x v="0"/>
    <x v="15"/>
    <n v="20.828571428571401"/>
    <n v="7602.4285714285697"/>
    <n v="27368.742857142799"/>
  </r>
  <r>
    <x v="0"/>
    <x v="0"/>
    <x v="0"/>
    <x v="0"/>
    <x v="1"/>
    <s v="DK2_Rural"/>
    <x v="2"/>
    <x v="26"/>
    <x v="0"/>
    <x v="16"/>
    <n v="20.828571428571401"/>
    <n v="7602.4285714285697"/>
    <n v="27368.742857142799"/>
  </r>
  <r>
    <x v="0"/>
    <x v="0"/>
    <x v="0"/>
    <x v="0"/>
    <x v="1"/>
    <s v="DK2_Rural"/>
    <x v="2"/>
    <x v="26"/>
    <x v="0"/>
    <x v="17"/>
    <n v="20.828571428571401"/>
    <n v="7602.4285714285697"/>
    <n v="27368.742857142799"/>
  </r>
  <r>
    <x v="0"/>
    <x v="0"/>
    <x v="0"/>
    <x v="0"/>
    <x v="1"/>
    <s v="DK2_Rural"/>
    <x v="2"/>
    <x v="26"/>
    <x v="0"/>
    <x v="18"/>
    <n v="20.828571428571401"/>
    <n v="7602.4285714285697"/>
    <n v="27368.742857142799"/>
  </r>
  <r>
    <x v="0"/>
    <x v="0"/>
    <x v="0"/>
    <x v="0"/>
    <x v="1"/>
    <s v="DK2_Rural"/>
    <x v="2"/>
    <x v="26"/>
    <x v="0"/>
    <x v="19"/>
    <n v="20.828571428571401"/>
    <n v="7602.4285714285697"/>
    <n v="27368.742857142799"/>
  </r>
  <r>
    <x v="0"/>
    <x v="0"/>
    <x v="0"/>
    <x v="0"/>
    <x v="1"/>
    <s v="DK2_Rural"/>
    <x v="2"/>
    <x v="26"/>
    <x v="0"/>
    <x v="20"/>
    <n v="20.828571428571401"/>
    <n v="7602.4285714285697"/>
    <n v="27368.742857142799"/>
  </r>
  <r>
    <x v="0"/>
    <x v="0"/>
    <x v="0"/>
    <x v="0"/>
    <x v="1"/>
    <s v="DK2_Rural"/>
    <x v="2"/>
    <x v="26"/>
    <x v="0"/>
    <x v="21"/>
    <n v="20.828571428571401"/>
    <n v="7602.4285714285697"/>
    <n v="27368.742857142799"/>
  </r>
  <r>
    <x v="0"/>
    <x v="0"/>
    <x v="0"/>
    <x v="0"/>
    <x v="1"/>
    <s v="DK2_Rural"/>
    <x v="2"/>
    <x v="26"/>
    <x v="0"/>
    <x v="22"/>
    <n v="20.828571428571401"/>
    <n v="7602.4285714285697"/>
    <n v="27368.742857142799"/>
  </r>
  <r>
    <x v="0"/>
    <x v="0"/>
    <x v="0"/>
    <x v="0"/>
    <x v="1"/>
    <s v="DK2_Rural"/>
    <x v="2"/>
    <x v="26"/>
    <x v="0"/>
    <x v="23"/>
    <n v="20.828571428571401"/>
    <n v="7602.4285714285697"/>
    <n v="27368.742857142799"/>
  </r>
  <r>
    <x v="0"/>
    <x v="0"/>
    <x v="0"/>
    <x v="0"/>
    <x v="1"/>
    <s v="DK2_Rural"/>
    <x v="2"/>
    <x v="33"/>
    <x v="0"/>
    <x v="3"/>
    <n v="3.6527777777777799"/>
    <n v="1333.2638888888901"/>
    <n v="4799.75"/>
  </r>
  <r>
    <x v="0"/>
    <x v="0"/>
    <x v="0"/>
    <x v="0"/>
    <x v="1"/>
    <s v="DK2_Rural"/>
    <x v="2"/>
    <x v="33"/>
    <x v="0"/>
    <x v="4"/>
    <n v="3.6527777777777799"/>
    <n v="1333.2638888888901"/>
    <n v="4799.75"/>
  </r>
  <r>
    <x v="0"/>
    <x v="0"/>
    <x v="0"/>
    <x v="0"/>
    <x v="1"/>
    <s v="DK2_Rural"/>
    <x v="2"/>
    <x v="33"/>
    <x v="0"/>
    <x v="5"/>
    <n v="3.6527777777777799"/>
    <n v="1333.2638888888901"/>
    <n v="4799.75"/>
  </r>
  <r>
    <x v="0"/>
    <x v="0"/>
    <x v="0"/>
    <x v="0"/>
    <x v="1"/>
    <s v="DK2_Rural"/>
    <x v="2"/>
    <x v="33"/>
    <x v="0"/>
    <x v="6"/>
    <n v="3.6527777777777799"/>
    <n v="1333.2638888888901"/>
    <n v="4799.75"/>
  </r>
  <r>
    <x v="0"/>
    <x v="0"/>
    <x v="0"/>
    <x v="0"/>
    <x v="1"/>
    <s v="DK2_Rural"/>
    <x v="2"/>
    <x v="33"/>
    <x v="0"/>
    <x v="7"/>
    <n v="3.6527777777777799"/>
    <n v="1333.2638888888901"/>
    <n v="4799.75"/>
  </r>
  <r>
    <x v="0"/>
    <x v="0"/>
    <x v="0"/>
    <x v="0"/>
    <x v="1"/>
    <s v="DK2_Rural"/>
    <x v="2"/>
    <x v="33"/>
    <x v="0"/>
    <x v="8"/>
    <n v="3.6527777777777799"/>
    <n v="1333.2638888888901"/>
    <n v="4799.75"/>
  </r>
  <r>
    <x v="0"/>
    <x v="0"/>
    <x v="0"/>
    <x v="0"/>
    <x v="1"/>
    <s v="DK2_Rural"/>
    <x v="2"/>
    <x v="33"/>
    <x v="0"/>
    <x v="0"/>
    <n v="3.6527777777777799"/>
    <n v="1333.2638888888901"/>
    <n v="4799.75"/>
  </r>
  <r>
    <x v="0"/>
    <x v="0"/>
    <x v="0"/>
    <x v="0"/>
    <x v="1"/>
    <s v="DK2_Rural"/>
    <x v="2"/>
    <x v="33"/>
    <x v="0"/>
    <x v="1"/>
    <n v="3.6527777777777799"/>
    <n v="1333.2638888888901"/>
    <n v="4799.75"/>
  </r>
  <r>
    <x v="0"/>
    <x v="0"/>
    <x v="0"/>
    <x v="0"/>
    <x v="1"/>
    <s v="DK2_Rural"/>
    <x v="2"/>
    <x v="33"/>
    <x v="0"/>
    <x v="2"/>
    <n v="3.6527777777777799"/>
    <n v="1333.2638888888901"/>
    <n v="4799.75"/>
  </r>
  <r>
    <x v="0"/>
    <x v="0"/>
    <x v="0"/>
    <x v="0"/>
    <x v="1"/>
    <s v="DK2_Rural"/>
    <x v="2"/>
    <x v="33"/>
    <x v="0"/>
    <x v="9"/>
    <n v="3.6527777777777799"/>
    <n v="1333.2638888888901"/>
    <n v="4799.75"/>
  </r>
  <r>
    <x v="0"/>
    <x v="0"/>
    <x v="0"/>
    <x v="0"/>
    <x v="1"/>
    <s v="DK2_Rural"/>
    <x v="2"/>
    <x v="33"/>
    <x v="0"/>
    <x v="10"/>
    <n v="3.6527777777777799"/>
    <n v="1333.2638888888901"/>
    <n v="4799.75"/>
  </r>
  <r>
    <x v="0"/>
    <x v="0"/>
    <x v="0"/>
    <x v="0"/>
    <x v="1"/>
    <s v="DK2_Rural"/>
    <x v="2"/>
    <x v="33"/>
    <x v="0"/>
    <x v="11"/>
    <n v="3.6527777777777799"/>
    <n v="1333.2638888888901"/>
    <n v="4799.75"/>
  </r>
  <r>
    <x v="0"/>
    <x v="0"/>
    <x v="0"/>
    <x v="0"/>
    <x v="1"/>
    <s v="DK2_Rural"/>
    <x v="2"/>
    <x v="33"/>
    <x v="0"/>
    <x v="12"/>
    <n v="3.6527777777777799"/>
    <n v="1333.2638888888901"/>
    <n v="4799.75"/>
  </r>
  <r>
    <x v="0"/>
    <x v="0"/>
    <x v="0"/>
    <x v="0"/>
    <x v="1"/>
    <s v="DK2_Rural"/>
    <x v="2"/>
    <x v="33"/>
    <x v="0"/>
    <x v="13"/>
    <n v="3.6527777777777799"/>
    <n v="1333.2638888888901"/>
    <n v="4799.75"/>
  </r>
  <r>
    <x v="0"/>
    <x v="0"/>
    <x v="0"/>
    <x v="0"/>
    <x v="1"/>
    <s v="DK2_Rural"/>
    <x v="2"/>
    <x v="33"/>
    <x v="0"/>
    <x v="14"/>
    <n v="3.6527777777777799"/>
    <n v="1333.2638888888901"/>
    <n v="4799.75"/>
  </r>
  <r>
    <x v="0"/>
    <x v="0"/>
    <x v="0"/>
    <x v="0"/>
    <x v="1"/>
    <s v="DK2_Rural"/>
    <x v="2"/>
    <x v="33"/>
    <x v="0"/>
    <x v="15"/>
    <n v="3.6527777777777799"/>
    <n v="1333.2638888888901"/>
    <n v="4799.75"/>
  </r>
  <r>
    <x v="0"/>
    <x v="0"/>
    <x v="0"/>
    <x v="0"/>
    <x v="1"/>
    <s v="DK2_Rural"/>
    <x v="2"/>
    <x v="33"/>
    <x v="0"/>
    <x v="16"/>
    <n v="3.6527777777777799"/>
    <n v="1333.2638888888901"/>
    <n v="4799.75"/>
  </r>
  <r>
    <x v="0"/>
    <x v="0"/>
    <x v="0"/>
    <x v="0"/>
    <x v="1"/>
    <s v="DK2_Rural"/>
    <x v="2"/>
    <x v="33"/>
    <x v="0"/>
    <x v="17"/>
    <n v="3.6527777777777799"/>
    <n v="1333.2638888888901"/>
    <n v="4799.75"/>
  </r>
  <r>
    <x v="0"/>
    <x v="0"/>
    <x v="0"/>
    <x v="0"/>
    <x v="1"/>
    <s v="DK2_Rural"/>
    <x v="2"/>
    <x v="33"/>
    <x v="0"/>
    <x v="18"/>
    <n v="3.6527777777777799"/>
    <n v="1333.2638888888901"/>
    <n v="4799.75"/>
  </r>
  <r>
    <x v="0"/>
    <x v="0"/>
    <x v="0"/>
    <x v="0"/>
    <x v="1"/>
    <s v="DK2_Rural"/>
    <x v="2"/>
    <x v="33"/>
    <x v="0"/>
    <x v="19"/>
    <n v="3.6527777777777799"/>
    <n v="1333.2638888888901"/>
    <n v="4799.75"/>
  </r>
  <r>
    <x v="0"/>
    <x v="0"/>
    <x v="0"/>
    <x v="0"/>
    <x v="1"/>
    <s v="DK2_Rural"/>
    <x v="2"/>
    <x v="33"/>
    <x v="0"/>
    <x v="20"/>
    <n v="3.6527777777777799"/>
    <n v="1333.2638888888901"/>
    <n v="4799.75"/>
  </r>
  <r>
    <x v="0"/>
    <x v="0"/>
    <x v="0"/>
    <x v="0"/>
    <x v="1"/>
    <s v="DK2_Rural"/>
    <x v="2"/>
    <x v="33"/>
    <x v="0"/>
    <x v="21"/>
    <n v="3.6527777777777799"/>
    <n v="1333.2638888888901"/>
    <n v="4799.75"/>
  </r>
  <r>
    <x v="0"/>
    <x v="0"/>
    <x v="0"/>
    <x v="0"/>
    <x v="1"/>
    <s v="DK2_Rural"/>
    <x v="2"/>
    <x v="33"/>
    <x v="0"/>
    <x v="22"/>
    <n v="3.6527777777777799"/>
    <n v="1333.2638888888901"/>
    <n v="4799.75"/>
  </r>
  <r>
    <x v="0"/>
    <x v="0"/>
    <x v="0"/>
    <x v="0"/>
    <x v="1"/>
    <s v="DK2_Rural"/>
    <x v="2"/>
    <x v="33"/>
    <x v="0"/>
    <x v="23"/>
    <n v="3.6527777777777799"/>
    <n v="1333.2638888888901"/>
    <n v="4799.75"/>
  </r>
  <r>
    <x v="0"/>
    <x v="0"/>
    <x v="0"/>
    <x v="0"/>
    <x v="1"/>
    <s v="DK2_Rural"/>
    <x v="2"/>
    <x v="27"/>
    <x v="0"/>
    <x v="3"/>
    <n v="4.8918918918918903"/>
    <n v="1785.54054054054"/>
    <n v="6427.9459459459504"/>
  </r>
  <r>
    <x v="0"/>
    <x v="0"/>
    <x v="0"/>
    <x v="0"/>
    <x v="1"/>
    <s v="DK2_Rural"/>
    <x v="2"/>
    <x v="27"/>
    <x v="0"/>
    <x v="4"/>
    <n v="4.8918918918918903"/>
    <n v="1785.54054054054"/>
    <n v="6427.9459459459504"/>
  </r>
  <r>
    <x v="0"/>
    <x v="0"/>
    <x v="0"/>
    <x v="0"/>
    <x v="1"/>
    <s v="DK2_Rural"/>
    <x v="2"/>
    <x v="27"/>
    <x v="0"/>
    <x v="5"/>
    <n v="4.8918918918918903"/>
    <n v="1785.54054054054"/>
    <n v="6427.9459459459504"/>
  </r>
  <r>
    <x v="0"/>
    <x v="0"/>
    <x v="0"/>
    <x v="0"/>
    <x v="1"/>
    <s v="DK2_Rural"/>
    <x v="2"/>
    <x v="27"/>
    <x v="0"/>
    <x v="6"/>
    <n v="4.8918918918918903"/>
    <n v="1785.54054054054"/>
    <n v="6427.9459459459504"/>
  </r>
  <r>
    <x v="0"/>
    <x v="0"/>
    <x v="0"/>
    <x v="0"/>
    <x v="1"/>
    <s v="DK2_Rural"/>
    <x v="2"/>
    <x v="27"/>
    <x v="0"/>
    <x v="7"/>
    <n v="4.8918918918918903"/>
    <n v="1785.54054054054"/>
    <n v="6427.9459459459504"/>
  </r>
  <r>
    <x v="0"/>
    <x v="0"/>
    <x v="0"/>
    <x v="0"/>
    <x v="1"/>
    <s v="DK2_Rural"/>
    <x v="2"/>
    <x v="27"/>
    <x v="0"/>
    <x v="8"/>
    <n v="4.8918918918918903"/>
    <n v="1785.54054054054"/>
    <n v="6427.9459459459504"/>
  </r>
  <r>
    <x v="0"/>
    <x v="0"/>
    <x v="0"/>
    <x v="0"/>
    <x v="1"/>
    <s v="DK2_Rural"/>
    <x v="2"/>
    <x v="27"/>
    <x v="0"/>
    <x v="0"/>
    <n v="4.8918918918918903"/>
    <n v="1785.54054054054"/>
    <n v="6427.9459459459504"/>
  </r>
  <r>
    <x v="0"/>
    <x v="0"/>
    <x v="0"/>
    <x v="0"/>
    <x v="1"/>
    <s v="DK2_Rural"/>
    <x v="2"/>
    <x v="27"/>
    <x v="0"/>
    <x v="1"/>
    <n v="4.8918918918918903"/>
    <n v="1785.54054054054"/>
    <n v="6427.9459459459504"/>
  </r>
  <r>
    <x v="0"/>
    <x v="0"/>
    <x v="0"/>
    <x v="0"/>
    <x v="1"/>
    <s v="DK2_Rural"/>
    <x v="2"/>
    <x v="27"/>
    <x v="0"/>
    <x v="2"/>
    <n v="4.8918918918918903"/>
    <n v="1785.54054054054"/>
    <n v="6427.9459459459504"/>
  </r>
  <r>
    <x v="0"/>
    <x v="0"/>
    <x v="0"/>
    <x v="0"/>
    <x v="1"/>
    <s v="DK2_Rural"/>
    <x v="2"/>
    <x v="27"/>
    <x v="0"/>
    <x v="9"/>
    <n v="4.8918918918918903"/>
    <n v="1785.54054054054"/>
    <n v="6427.9459459459504"/>
  </r>
  <r>
    <x v="0"/>
    <x v="0"/>
    <x v="0"/>
    <x v="0"/>
    <x v="1"/>
    <s v="DK2_Rural"/>
    <x v="2"/>
    <x v="27"/>
    <x v="0"/>
    <x v="10"/>
    <n v="4.8918918918918903"/>
    <n v="1785.54054054054"/>
    <n v="6427.9459459459504"/>
  </r>
  <r>
    <x v="0"/>
    <x v="0"/>
    <x v="0"/>
    <x v="0"/>
    <x v="1"/>
    <s v="DK2_Rural"/>
    <x v="2"/>
    <x v="27"/>
    <x v="0"/>
    <x v="11"/>
    <n v="4.8918918918918903"/>
    <n v="1785.54054054054"/>
    <n v="6427.9459459459504"/>
  </r>
  <r>
    <x v="0"/>
    <x v="0"/>
    <x v="0"/>
    <x v="0"/>
    <x v="1"/>
    <s v="DK2_Rural"/>
    <x v="2"/>
    <x v="27"/>
    <x v="0"/>
    <x v="12"/>
    <n v="4.8918918918918903"/>
    <n v="1785.54054054054"/>
    <n v="6427.9459459459504"/>
  </r>
  <r>
    <x v="0"/>
    <x v="0"/>
    <x v="0"/>
    <x v="0"/>
    <x v="1"/>
    <s v="DK2_Rural"/>
    <x v="2"/>
    <x v="27"/>
    <x v="0"/>
    <x v="13"/>
    <n v="4.8918918918918903"/>
    <n v="1785.54054054054"/>
    <n v="6427.9459459459504"/>
  </r>
  <r>
    <x v="0"/>
    <x v="0"/>
    <x v="0"/>
    <x v="0"/>
    <x v="1"/>
    <s v="DK2_Rural"/>
    <x v="2"/>
    <x v="27"/>
    <x v="0"/>
    <x v="14"/>
    <n v="4.8918918918918903"/>
    <n v="1785.54054054054"/>
    <n v="6427.9459459459504"/>
  </r>
  <r>
    <x v="0"/>
    <x v="0"/>
    <x v="0"/>
    <x v="0"/>
    <x v="1"/>
    <s v="DK2_Rural"/>
    <x v="2"/>
    <x v="27"/>
    <x v="0"/>
    <x v="15"/>
    <n v="4.8918918918918903"/>
    <n v="1785.54054054054"/>
    <n v="6427.9459459459504"/>
  </r>
  <r>
    <x v="0"/>
    <x v="0"/>
    <x v="0"/>
    <x v="0"/>
    <x v="1"/>
    <s v="DK2_Rural"/>
    <x v="2"/>
    <x v="27"/>
    <x v="0"/>
    <x v="16"/>
    <n v="4.8918918918918903"/>
    <n v="1785.54054054054"/>
    <n v="6427.9459459459504"/>
  </r>
  <r>
    <x v="0"/>
    <x v="0"/>
    <x v="0"/>
    <x v="0"/>
    <x v="1"/>
    <s v="DK2_Rural"/>
    <x v="2"/>
    <x v="27"/>
    <x v="0"/>
    <x v="17"/>
    <n v="4.8918918918918903"/>
    <n v="1785.54054054054"/>
    <n v="6427.9459459459504"/>
  </r>
  <r>
    <x v="0"/>
    <x v="0"/>
    <x v="0"/>
    <x v="0"/>
    <x v="1"/>
    <s v="DK2_Rural"/>
    <x v="2"/>
    <x v="27"/>
    <x v="0"/>
    <x v="18"/>
    <n v="4.8918918918918903"/>
    <n v="1785.54054054054"/>
    <n v="6427.9459459459504"/>
  </r>
  <r>
    <x v="0"/>
    <x v="0"/>
    <x v="0"/>
    <x v="0"/>
    <x v="1"/>
    <s v="DK2_Rural"/>
    <x v="2"/>
    <x v="27"/>
    <x v="0"/>
    <x v="19"/>
    <n v="4.8918918918918903"/>
    <n v="1785.54054054054"/>
    <n v="6427.9459459459504"/>
  </r>
  <r>
    <x v="0"/>
    <x v="0"/>
    <x v="0"/>
    <x v="0"/>
    <x v="1"/>
    <s v="DK2_Rural"/>
    <x v="2"/>
    <x v="27"/>
    <x v="0"/>
    <x v="20"/>
    <n v="4.8918918918918903"/>
    <n v="1785.54054054054"/>
    <n v="6427.9459459459504"/>
  </r>
  <r>
    <x v="0"/>
    <x v="0"/>
    <x v="0"/>
    <x v="0"/>
    <x v="1"/>
    <s v="DK2_Rural"/>
    <x v="2"/>
    <x v="27"/>
    <x v="0"/>
    <x v="21"/>
    <n v="4.8918918918918903"/>
    <n v="1785.54054054054"/>
    <n v="6427.9459459459504"/>
  </r>
  <r>
    <x v="0"/>
    <x v="0"/>
    <x v="0"/>
    <x v="0"/>
    <x v="1"/>
    <s v="DK2_Rural"/>
    <x v="2"/>
    <x v="27"/>
    <x v="0"/>
    <x v="22"/>
    <n v="4.8918918918918903"/>
    <n v="1785.54054054054"/>
    <n v="6427.9459459459504"/>
  </r>
  <r>
    <x v="0"/>
    <x v="0"/>
    <x v="0"/>
    <x v="0"/>
    <x v="1"/>
    <s v="DK2_Rural"/>
    <x v="2"/>
    <x v="27"/>
    <x v="0"/>
    <x v="23"/>
    <n v="4.8918918918918903"/>
    <n v="1785.54054054054"/>
    <n v="6427.9459459459504"/>
  </r>
  <r>
    <x v="0"/>
    <x v="0"/>
    <x v="0"/>
    <x v="0"/>
    <x v="1"/>
    <s v="DK2_Rural"/>
    <x v="2"/>
    <x v="8"/>
    <x v="0"/>
    <x v="3"/>
    <n v="8.3815789473684195"/>
    <n v="3059.2763157894801"/>
    <n v="11013.3947368421"/>
  </r>
  <r>
    <x v="0"/>
    <x v="0"/>
    <x v="0"/>
    <x v="0"/>
    <x v="1"/>
    <s v="DK2_Rural"/>
    <x v="2"/>
    <x v="8"/>
    <x v="0"/>
    <x v="4"/>
    <n v="8.3815789473684195"/>
    <n v="3059.2763157894801"/>
    <n v="11013.3947368421"/>
  </r>
  <r>
    <x v="0"/>
    <x v="0"/>
    <x v="0"/>
    <x v="0"/>
    <x v="1"/>
    <s v="DK2_Rural"/>
    <x v="2"/>
    <x v="8"/>
    <x v="0"/>
    <x v="5"/>
    <n v="8.3815789473684195"/>
    <n v="3059.2763157894801"/>
    <n v="11013.3947368421"/>
  </r>
  <r>
    <x v="0"/>
    <x v="0"/>
    <x v="0"/>
    <x v="0"/>
    <x v="1"/>
    <s v="DK2_Rural"/>
    <x v="2"/>
    <x v="8"/>
    <x v="0"/>
    <x v="6"/>
    <n v="8.3815789473684195"/>
    <n v="3059.2763157894801"/>
    <n v="11013.3947368421"/>
  </r>
  <r>
    <x v="0"/>
    <x v="0"/>
    <x v="0"/>
    <x v="0"/>
    <x v="1"/>
    <s v="DK2_Rural"/>
    <x v="2"/>
    <x v="8"/>
    <x v="0"/>
    <x v="7"/>
    <n v="8.3815789473684195"/>
    <n v="3059.2763157894801"/>
    <n v="11013.3947368421"/>
  </r>
  <r>
    <x v="0"/>
    <x v="0"/>
    <x v="0"/>
    <x v="0"/>
    <x v="1"/>
    <s v="DK2_Rural"/>
    <x v="2"/>
    <x v="8"/>
    <x v="0"/>
    <x v="8"/>
    <n v="8.3815789473684195"/>
    <n v="3059.2763157894801"/>
    <n v="11013.3947368421"/>
  </r>
  <r>
    <x v="0"/>
    <x v="0"/>
    <x v="0"/>
    <x v="0"/>
    <x v="1"/>
    <s v="DK2_Rural"/>
    <x v="2"/>
    <x v="8"/>
    <x v="0"/>
    <x v="0"/>
    <n v="8.3815789473684195"/>
    <n v="3059.2763157894801"/>
    <n v="11013.3947368421"/>
  </r>
  <r>
    <x v="0"/>
    <x v="0"/>
    <x v="0"/>
    <x v="0"/>
    <x v="1"/>
    <s v="DK2_Rural"/>
    <x v="2"/>
    <x v="8"/>
    <x v="0"/>
    <x v="1"/>
    <n v="8.3815789473684195"/>
    <n v="3059.2763157894801"/>
    <n v="11013.3947368421"/>
  </r>
  <r>
    <x v="0"/>
    <x v="0"/>
    <x v="0"/>
    <x v="0"/>
    <x v="1"/>
    <s v="DK2_Rural"/>
    <x v="2"/>
    <x v="8"/>
    <x v="0"/>
    <x v="2"/>
    <n v="8.3815789473684195"/>
    <n v="3059.2763157894801"/>
    <n v="11013.3947368421"/>
  </r>
  <r>
    <x v="0"/>
    <x v="0"/>
    <x v="0"/>
    <x v="0"/>
    <x v="1"/>
    <s v="DK2_Rural"/>
    <x v="2"/>
    <x v="8"/>
    <x v="0"/>
    <x v="9"/>
    <n v="8.3815789473684195"/>
    <n v="3059.2763157894801"/>
    <n v="11013.3947368421"/>
  </r>
  <r>
    <x v="0"/>
    <x v="0"/>
    <x v="0"/>
    <x v="0"/>
    <x v="1"/>
    <s v="DK2_Rural"/>
    <x v="2"/>
    <x v="8"/>
    <x v="0"/>
    <x v="10"/>
    <n v="8.3815789473684195"/>
    <n v="3059.2763157894801"/>
    <n v="11013.3947368421"/>
  </r>
  <r>
    <x v="0"/>
    <x v="0"/>
    <x v="0"/>
    <x v="0"/>
    <x v="1"/>
    <s v="DK2_Rural"/>
    <x v="2"/>
    <x v="8"/>
    <x v="0"/>
    <x v="11"/>
    <n v="8.3815789473684195"/>
    <n v="3059.2763157894801"/>
    <n v="11013.3947368421"/>
  </r>
  <r>
    <x v="0"/>
    <x v="0"/>
    <x v="0"/>
    <x v="0"/>
    <x v="1"/>
    <s v="DK2_Rural"/>
    <x v="2"/>
    <x v="8"/>
    <x v="0"/>
    <x v="12"/>
    <n v="8.3815789473684195"/>
    <n v="3059.2763157894801"/>
    <n v="11013.3947368421"/>
  </r>
  <r>
    <x v="0"/>
    <x v="0"/>
    <x v="0"/>
    <x v="0"/>
    <x v="1"/>
    <s v="DK2_Rural"/>
    <x v="2"/>
    <x v="8"/>
    <x v="0"/>
    <x v="13"/>
    <n v="8.3815789473684195"/>
    <n v="3059.2763157894801"/>
    <n v="11013.3947368421"/>
  </r>
  <r>
    <x v="0"/>
    <x v="0"/>
    <x v="0"/>
    <x v="0"/>
    <x v="1"/>
    <s v="DK2_Rural"/>
    <x v="2"/>
    <x v="8"/>
    <x v="0"/>
    <x v="14"/>
    <n v="8.3815789473684195"/>
    <n v="3059.2763157894801"/>
    <n v="11013.3947368421"/>
  </r>
  <r>
    <x v="0"/>
    <x v="0"/>
    <x v="0"/>
    <x v="0"/>
    <x v="1"/>
    <s v="DK2_Rural"/>
    <x v="2"/>
    <x v="8"/>
    <x v="0"/>
    <x v="15"/>
    <n v="8.3815789473684195"/>
    <n v="3059.2763157894801"/>
    <n v="11013.3947368421"/>
  </r>
  <r>
    <x v="0"/>
    <x v="0"/>
    <x v="0"/>
    <x v="0"/>
    <x v="1"/>
    <s v="DK2_Rural"/>
    <x v="2"/>
    <x v="8"/>
    <x v="0"/>
    <x v="16"/>
    <n v="8.3815789473684195"/>
    <n v="3059.2763157894801"/>
    <n v="11013.3947368421"/>
  </r>
  <r>
    <x v="0"/>
    <x v="0"/>
    <x v="0"/>
    <x v="0"/>
    <x v="1"/>
    <s v="DK2_Rural"/>
    <x v="2"/>
    <x v="8"/>
    <x v="0"/>
    <x v="17"/>
    <n v="8.3815789473684195"/>
    <n v="3059.2763157894801"/>
    <n v="11013.3947368421"/>
  </r>
  <r>
    <x v="0"/>
    <x v="0"/>
    <x v="0"/>
    <x v="0"/>
    <x v="1"/>
    <s v="DK2_Rural"/>
    <x v="2"/>
    <x v="8"/>
    <x v="0"/>
    <x v="18"/>
    <n v="8.3815789473684195"/>
    <n v="3059.2763157894801"/>
    <n v="11013.3947368421"/>
  </r>
  <r>
    <x v="0"/>
    <x v="0"/>
    <x v="0"/>
    <x v="0"/>
    <x v="1"/>
    <s v="DK2_Rural"/>
    <x v="2"/>
    <x v="8"/>
    <x v="0"/>
    <x v="19"/>
    <n v="8.3815789473684195"/>
    <n v="3059.2763157894801"/>
    <n v="11013.3947368421"/>
  </r>
  <r>
    <x v="0"/>
    <x v="0"/>
    <x v="0"/>
    <x v="0"/>
    <x v="1"/>
    <s v="DK2_Rural"/>
    <x v="2"/>
    <x v="8"/>
    <x v="0"/>
    <x v="20"/>
    <n v="8.3815789473684195"/>
    <n v="3059.2763157894801"/>
    <n v="11013.3947368421"/>
  </r>
  <r>
    <x v="0"/>
    <x v="0"/>
    <x v="0"/>
    <x v="0"/>
    <x v="1"/>
    <s v="DK2_Rural"/>
    <x v="2"/>
    <x v="8"/>
    <x v="0"/>
    <x v="21"/>
    <n v="8.3815789473684195"/>
    <n v="3059.2763157894801"/>
    <n v="11013.3947368421"/>
  </r>
  <r>
    <x v="0"/>
    <x v="0"/>
    <x v="0"/>
    <x v="0"/>
    <x v="1"/>
    <s v="DK2_Rural"/>
    <x v="2"/>
    <x v="8"/>
    <x v="0"/>
    <x v="22"/>
    <n v="8.3815789473684195"/>
    <n v="3059.2763157894801"/>
    <n v="11013.3947368421"/>
  </r>
  <r>
    <x v="0"/>
    <x v="0"/>
    <x v="0"/>
    <x v="0"/>
    <x v="1"/>
    <s v="DK2_Rural"/>
    <x v="2"/>
    <x v="8"/>
    <x v="0"/>
    <x v="23"/>
    <n v="8.3815789473684195"/>
    <n v="3059.2763157894801"/>
    <n v="11013.3947368421"/>
  </r>
  <r>
    <x v="0"/>
    <x v="0"/>
    <x v="0"/>
    <x v="0"/>
    <x v="1"/>
    <s v="DK2_Rural"/>
    <x v="2"/>
    <x v="9"/>
    <x v="0"/>
    <x v="3"/>
    <n v="66.923076923076906"/>
    <n v="24426.9230769231"/>
    <n v="87936.923076923107"/>
  </r>
  <r>
    <x v="0"/>
    <x v="0"/>
    <x v="0"/>
    <x v="0"/>
    <x v="1"/>
    <s v="DK2_Rural"/>
    <x v="2"/>
    <x v="9"/>
    <x v="0"/>
    <x v="4"/>
    <n v="66.923076923076906"/>
    <n v="24426.9230769231"/>
    <n v="87936.923076923107"/>
  </r>
  <r>
    <x v="0"/>
    <x v="0"/>
    <x v="0"/>
    <x v="0"/>
    <x v="1"/>
    <s v="DK2_Rural"/>
    <x v="2"/>
    <x v="9"/>
    <x v="0"/>
    <x v="5"/>
    <n v="66.923076923076906"/>
    <n v="24426.9230769231"/>
    <n v="87936.923076923107"/>
  </r>
  <r>
    <x v="0"/>
    <x v="0"/>
    <x v="0"/>
    <x v="0"/>
    <x v="1"/>
    <s v="DK2_Rural"/>
    <x v="2"/>
    <x v="9"/>
    <x v="0"/>
    <x v="6"/>
    <n v="66.923076923076906"/>
    <n v="24426.9230769231"/>
    <n v="87936.923076923107"/>
  </r>
  <r>
    <x v="0"/>
    <x v="0"/>
    <x v="0"/>
    <x v="0"/>
    <x v="1"/>
    <s v="DK2_Rural"/>
    <x v="2"/>
    <x v="9"/>
    <x v="0"/>
    <x v="7"/>
    <n v="66.923076923076906"/>
    <n v="24426.9230769231"/>
    <n v="87936.923076923107"/>
  </r>
  <r>
    <x v="0"/>
    <x v="0"/>
    <x v="0"/>
    <x v="0"/>
    <x v="1"/>
    <s v="DK2_Rural"/>
    <x v="2"/>
    <x v="9"/>
    <x v="0"/>
    <x v="8"/>
    <n v="66.923076923076906"/>
    <n v="24426.9230769231"/>
    <n v="87936.923076923107"/>
  </r>
  <r>
    <x v="0"/>
    <x v="0"/>
    <x v="0"/>
    <x v="0"/>
    <x v="1"/>
    <s v="DK2_Rural"/>
    <x v="2"/>
    <x v="9"/>
    <x v="0"/>
    <x v="0"/>
    <n v="66.923076923076906"/>
    <n v="24426.9230769231"/>
    <n v="87936.923076923107"/>
  </r>
  <r>
    <x v="0"/>
    <x v="0"/>
    <x v="0"/>
    <x v="0"/>
    <x v="1"/>
    <s v="DK2_Rural"/>
    <x v="2"/>
    <x v="9"/>
    <x v="0"/>
    <x v="1"/>
    <n v="66.923076923076906"/>
    <n v="24426.9230769231"/>
    <n v="87936.923076923107"/>
  </r>
  <r>
    <x v="0"/>
    <x v="0"/>
    <x v="0"/>
    <x v="0"/>
    <x v="1"/>
    <s v="DK2_Rural"/>
    <x v="2"/>
    <x v="9"/>
    <x v="0"/>
    <x v="2"/>
    <n v="66.923076923076906"/>
    <n v="24426.9230769231"/>
    <n v="87936.923076923107"/>
  </r>
  <r>
    <x v="0"/>
    <x v="0"/>
    <x v="0"/>
    <x v="0"/>
    <x v="1"/>
    <s v="DK2_Rural"/>
    <x v="2"/>
    <x v="9"/>
    <x v="0"/>
    <x v="9"/>
    <n v="66.923076923076906"/>
    <n v="24426.9230769231"/>
    <n v="87936.923076923107"/>
  </r>
  <r>
    <x v="0"/>
    <x v="0"/>
    <x v="0"/>
    <x v="0"/>
    <x v="1"/>
    <s v="DK2_Rural"/>
    <x v="2"/>
    <x v="9"/>
    <x v="0"/>
    <x v="10"/>
    <n v="66.923076923076906"/>
    <n v="24426.9230769231"/>
    <n v="87936.923076923107"/>
  </r>
  <r>
    <x v="0"/>
    <x v="0"/>
    <x v="0"/>
    <x v="0"/>
    <x v="1"/>
    <s v="DK2_Rural"/>
    <x v="2"/>
    <x v="9"/>
    <x v="0"/>
    <x v="11"/>
    <n v="66.923076923076906"/>
    <n v="24426.9230769231"/>
    <n v="87936.923076923107"/>
  </r>
  <r>
    <x v="0"/>
    <x v="0"/>
    <x v="0"/>
    <x v="0"/>
    <x v="1"/>
    <s v="DK2_Rural"/>
    <x v="2"/>
    <x v="9"/>
    <x v="0"/>
    <x v="12"/>
    <n v="66.923076923076906"/>
    <n v="24426.9230769231"/>
    <n v="87936.923076923107"/>
  </r>
  <r>
    <x v="0"/>
    <x v="0"/>
    <x v="0"/>
    <x v="0"/>
    <x v="1"/>
    <s v="DK2_Rural"/>
    <x v="2"/>
    <x v="9"/>
    <x v="0"/>
    <x v="13"/>
    <n v="66.923076923076906"/>
    <n v="24426.9230769231"/>
    <n v="87936.923076923107"/>
  </r>
  <r>
    <x v="0"/>
    <x v="0"/>
    <x v="0"/>
    <x v="0"/>
    <x v="1"/>
    <s v="DK2_Rural"/>
    <x v="2"/>
    <x v="9"/>
    <x v="0"/>
    <x v="14"/>
    <n v="66.923076923076906"/>
    <n v="24426.9230769231"/>
    <n v="87936.923076923107"/>
  </r>
  <r>
    <x v="0"/>
    <x v="0"/>
    <x v="0"/>
    <x v="0"/>
    <x v="1"/>
    <s v="DK2_Rural"/>
    <x v="2"/>
    <x v="9"/>
    <x v="0"/>
    <x v="15"/>
    <n v="66.923076923076906"/>
    <n v="24426.9230769231"/>
    <n v="87936.923076923107"/>
  </r>
  <r>
    <x v="0"/>
    <x v="0"/>
    <x v="0"/>
    <x v="0"/>
    <x v="1"/>
    <s v="DK2_Rural"/>
    <x v="2"/>
    <x v="9"/>
    <x v="0"/>
    <x v="16"/>
    <n v="66.923076923076906"/>
    <n v="24426.9230769231"/>
    <n v="87936.923076923107"/>
  </r>
  <r>
    <x v="0"/>
    <x v="0"/>
    <x v="0"/>
    <x v="0"/>
    <x v="1"/>
    <s v="DK2_Rural"/>
    <x v="2"/>
    <x v="9"/>
    <x v="0"/>
    <x v="17"/>
    <n v="66.923076923076906"/>
    <n v="24426.9230769231"/>
    <n v="87936.923076923107"/>
  </r>
  <r>
    <x v="0"/>
    <x v="0"/>
    <x v="0"/>
    <x v="0"/>
    <x v="1"/>
    <s v="DK2_Rural"/>
    <x v="2"/>
    <x v="9"/>
    <x v="0"/>
    <x v="18"/>
    <n v="66.923076923076906"/>
    <n v="24426.9230769231"/>
    <n v="87936.923076923107"/>
  </r>
  <r>
    <x v="0"/>
    <x v="0"/>
    <x v="0"/>
    <x v="0"/>
    <x v="1"/>
    <s v="DK2_Rural"/>
    <x v="2"/>
    <x v="9"/>
    <x v="0"/>
    <x v="19"/>
    <n v="66.923076923076906"/>
    <n v="24426.9230769231"/>
    <n v="87936.923076923107"/>
  </r>
  <r>
    <x v="0"/>
    <x v="0"/>
    <x v="0"/>
    <x v="0"/>
    <x v="1"/>
    <s v="DK2_Rural"/>
    <x v="2"/>
    <x v="9"/>
    <x v="0"/>
    <x v="20"/>
    <n v="66.923076923076906"/>
    <n v="24426.9230769231"/>
    <n v="87936.923076923107"/>
  </r>
  <r>
    <x v="0"/>
    <x v="0"/>
    <x v="0"/>
    <x v="0"/>
    <x v="1"/>
    <s v="DK2_Rural"/>
    <x v="2"/>
    <x v="9"/>
    <x v="0"/>
    <x v="21"/>
    <n v="66.923076923076906"/>
    <n v="24426.9230769231"/>
    <n v="87936.923076923107"/>
  </r>
  <r>
    <x v="0"/>
    <x v="0"/>
    <x v="0"/>
    <x v="0"/>
    <x v="1"/>
    <s v="DK2_Rural"/>
    <x v="2"/>
    <x v="9"/>
    <x v="0"/>
    <x v="22"/>
    <n v="66.923076923076906"/>
    <n v="24426.9230769231"/>
    <n v="87936.923076923107"/>
  </r>
  <r>
    <x v="0"/>
    <x v="0"/>
    <x v="0"/>
    <x v="0"/>
    <x v="1"/>
    <s v="DK2_Rural"/>
    <x v="2"/>
    <x v="9"/>
    <x v="0"/>
    <x v="23"/>
    <n v="66.923076923076906"/>
    <n v="24426.9230769231"/>
    <n v="87936.923076923107"/>
  </r>
  <r>
    <x v="0"/>
    <x v="0"/>
    <x v="0"/>
    <x v="0"/>
    <x v="1"/>
    <s v="DK2_Rural"/>
    <x v="2"/>
    <x v="10"/>
    <x v="0"/>
    <x v="3"/>
    <n v="65.75"/>
    <n v="23998.75"/>
    <n v="86395.5"/>
  </r>
  <r>
    <x v="0"/>
    <x v="0"/>
    <x v="0"/>
    <x v="0"/>
    <x v="1"/>
    <s v="DK2_Rural"/>
    <x v="2"/>
    <x v="10"/>
    <x v="0"/>
    <x v="4"/>
    <n v="65.75"/>
    <n v="23998.75"/>
    <n v="86395.5"/>
  </r>
  <r>
    <x v="0"/>
    <x v="0"/>
    <x v="0"/>
    <x v="0"/>
    <x v="1"/>
    <s v="DK2_Rural"/>
    <x v="2"/>
    <x v="10"/>
    <x v="0"/>
    <x v="5"/>
    <n v="65.75"/>
    <n v="23998.75"/>
    <n v="86395.5"/>
  </r>
  <r>
    <x v="0"/>
    <x v="0"/>
    <x v="0"/>
    <x v="0"/>
    <x v="1"/>
    <s v="DK2_Rural"/>
    <x v="2"/>
    <x v="10"/>
    <x v="0"/>
    <x v="6"/>
    <n v="65.75"/>
    <n v="23998.75"/>
    <n v="86395.5"/>
  </r>
  <r>
    <x v="0"/>
    <x v="0"/>
    <x v="0"/>
    <x v="0"/>
    <x v="1"/>
    <s v="DK2_Rural"/>
    <x v="2"/>
    <x v="10"/>
    <x v="0"/>
    <x v="7"/>
    <n v="65.75"/>
    <n v="23998.75"/>
    <n v="86395.5"/>
  </r>
  <r>
    <x v="0"/>
    <x v="0"/>
    <x v="0"/>
    <x v="0"/>
    <x v="1"/>
    <s v="DK2_Rural"/>
    <x v="2"/>
    <x v="10"/>
    <x v="0"/>
    <x v="8"/>
    <n v="65.75"/>
    <n v="23998.75"/>
    <n v="86395.5"/>
  </r>
  <r>
    <x v="0"/>
    <x v="0"/>
    <x v="0"/>
    <x v="0"/>
    <x v="1"/>
    <s v="DK2_Rural"/>
    <x v="2"/>
    <x v="10"/>
    <x v="0"/>
    <x v="0"/>
    <n v="65.75"/>
    <n v="23998.75"/>
    <n v="86395.5"/>
  </r>
  <r>
    <x v="0"/>
    <x v="0"/>
    <x v="0"/>
    <x v="0"/>
    <x v="1"/>
    <s v="DK2_Rural"/>
    <x v="2"/>
    <x v="10"/>
    <x v="0"/>
    <x v="1"/>
    <n v="65.75"/>
    <n v="23998.75"/>
    <n v="86395.5"/>
  </r>
  <r>
    <x v="0"/>
    <x v="0"/>
    <x v="0"/>
    <x v="0"/>
    <x v="1"/>
    <s v="DK2_Rural"/>
    <x v="2"/>
    <x v="10"/>
    <x v="0"/>
    <x v="2"/>
    <n v="65.75"/>
    <n v="23998.75"/>
    <n v="86395.5"/>
  </r>
  <r>
    <x v="0"/>
    <x v="0"/>
    <x v="0"/>
    <x v="0"/>
    <x v="1"/>
    <s v="DK2_Rural"/>
    <x v="2"/>
    <x v="10"/>
    <x v="0"/>
    <x v="9"/>
    <n v="65.75"/>
    <n v="23998.75"/>
    <n v="86395.5"/>
  </r>
  <r>
    <x v="0"/>
    <x v="0"/>
    <x v="0"/>
    <x v="0"/>
    <x v="1"/>
    <s v="DK2_Rural"/>
    <x v="2"/>
    <x v="10"/>
    <x v="0"/>
    <x v="10"/>
    <n v="65.75"/>
    <n v="23998.75"/>
    <n v="86395.5"/>
  </r>
  <r>
    <x v="0"/>
    <x v="0"/>
    <x v="0"/>
    <x v="0"/>
    <x v="1"/>
    <s v="DK2_Rural"/>
    <x v="2"/>
    <x v="10"/>
    <x v="0"/>
    <x v="11"/>
    <n v="65.75"/>
    <n v="23998.75"/>
    <n v="86395.5"/>
  </r>
  <r>
    <x v="0"/>
    <x v="0"/>
    <x v="0"/>
    <x v="0"/>
    <x v="1"/>
    <s v="DK2_Rural"/>
    <x v="2"/>
    <x v="10"/>
    <x v="0"/>
    <x v="12"/>
    <n v="65.75"/>
    <n v="23998.75"/>
    <n v="86395.5"/>
  </r>
  <r>
    <x v="0"/>
    <x v="0"/>
    <x v="0"/>
    <x v="0"/>
    <x v="1"/>
    <s v="DK2_Rural"/>
    <x v="2"/>
    <x v="10"/>
    <x v="0"/>
    <x v="13"/>
    <n v="65.75"/>
    <n v="23998.75"/>
    <n v="86395.5"/>
  </r>
  <r>
    <x v="0"/>
    <x v="0"/>
    <x v="0"/>
    <x v="0"/>
    <x v="1"/>
    <s v="DK2_Rural"/>
    <x v="2"/>
    <x v="10"/>
    <x v="0"/>
    <x v="14"/>
    <n v="65.75"/>
    <n v="23998.75"/>
    <n v="86395.5"/>
  </r>
  <r>
    <x v="0"/>
    <x v="0"/>
    <x v="0"/>
    <x v="0"/>
    <x v="1"/>
    <s v="DK2_Rural"/>
    <x v="2"/>
    <x v="10"/>
    <x v="0"/>
    <x v="15"/>
    <n v="65.75"/>
    <n v="23998.75"/>
    <n v="86395.5"/>
  </r>
  <r>
    <x v="0"/>
    <x v="0"/>
    <x v="0"/>
    <x v="0"/>
    <x v="1"/>
    <s v="DK2_Rural"/>
    <x v="2"/>
    <x v="10"/>
    <x v="0"/>
    <x v="16"/>
    <n v="65.75"/>
    <n v="23998.75"/>
    <n v="86395.5"/>
  </r>
  <r>
    <x v="0"/>
    <x v="0"/>
    <x v="0"/>
    <x v="0"/>
    <x v="1"/>
    <s v="DK2_Rural"/>
    <x v="2"/>
    <x v="10"/>
    <x v="0"/>
    <x v="17"/>
    <n v="65.75"/>
    <n v="23998.75"/>
    <n v="86395.5"/>
  </r>
  <r>
    <x v="0"/>
    <x v="0"/>
    <x v="0"/>
    <x v="0"/>
    <x v="1"/>
    <s v="DK2_Rural"/>
    <x v="2"/>
    <x v="10"/>
    <x v="0"/>
    <x v="18"/>
    <n v="65.75"/>
    <n v="23998.75"/>
    <n v="86395.5"/>
  </r>
  <r>
    <x v="0"/>
    <x v="0"/>
    <x v="0"/>
    <x v="0"/>
    <x v="1"/>
    <s v="DK2_Rural"/>
    <x v="2"/>
    <x v="10"/>
    <x v="0"/>
    <x v="19"/>
    <n v="65.75"/>
    <n v="23998.75"/>
    <n v="86395.5"/>
  </r>
  <r>
    <x v="0"/>
    <x v="0"/>
    <x v="0"/>
    <x v="0"/>
    <x v="1"/>
    <s v="DK2_Rural"/>
    <x v="2"/>
    <x v="10"/>
    <x v="0"/>
    <x v="20"/>
    <n v="65.75"/>
    <n v="23998.75"/>
    <n v="86395.5"/>
  </r>
  <r>
    <x v="0"/>
    <x v="0"/>
    <x v="0"/>
    <x v="0"/>
    <x v="1"/>
    <s v="DK2_Rural"/>
    <x v="2"/>
    <x v="10"/>
    <x v="0"/>
    <x v="21"/>
    <n v="65.75"/>
    <n v="23998.75"/>
    <n v="86395.5"/>
  </r>
  <r>
    <x v="0"/>
    <x v="0"/>
    <x v="0"/>
    <x v="0"/>
    <x v="1"/>
    <s v="DK2_Rural"/>
    <x v="2"/>
    <x v="10"/>
    <x v="0"/>
    <x v="22"/>
    <n v="65.75"/>
    <n v="23998.75"/>
    <n v="86395.5"/>
  </r>
  <r>
    <x v="0"/>
    <x v="0"/>
    <x v="0"/>
    <x v="0"/>
    <x v="1"/>
    <s v="DK2_Rural"/>
    <x v="2"/>
    <x v="10"/>
    <x v="0"/>
    <x v="23"/>
    <n v="65.75"/>
    <n v="23998.75"/>
    <n v="86395.5"/>
  </r>
  <r>
    <x v="0"/>
    <x v="0"/>
    <x v="0"/>
    <x v="0"/>
    <x v="1"/>
    <s v="DK2_Rural"/>
    <x v="2"/>
    <x v="11"/>
    <x v="0"/>
    <x v="3"/>
    <n v="13.258536585365899"/>
    <n v="4839.3658536585399"/>
    <n v="17421.717073170701"/>
  </r>
  <r>
    <x v="0"/>
    <x v="0"/>
    <x v="0"/>
    <x v="0"/>
    <x v="1"/>
    <s v="DK2_Rural"/>
    <x v="2"/>
    <x v="11"/>
    <x v="0"/>
    <x v="4"/>
    <n v="13.258536585365899"/>
    <n v="4839.3658536585399"/>
    <n v="17421.717073170701"/>
  </r>
  <r>
    <x v="0"/>
    <x v="0"/>
    <x v="0"/>
    <x v="0"/>
    <x v="1"/>
    <s v="DK2_Rural"/>
    <x v="2"/>
    <x v="11"/>
    <x v="0"/>
    <x v="5"/>
    <n v="13.258536585365899"/>
    <n v="4839.3658536585399"/>
    <n v="17421.717073170701"/>
  </r>
  <r>
    <x v="0"/>
    <x v="0"/>
    <x v="0"/>
    <x v="0"/>
    <x v="1"/>
    <s v="DK2_Rural"/>
    <x v="2"/>
    <x v="11"/>
    <x v="0"/>
    <x v="6"/>
    <n v="13.258536585365899"/>
    <n v="4839.3658536585399"/>
    <n v="17421.717073170701"/>
  </r>
  <r>
    <x v="0"/>
    <x v="0"/>
    <x v="0"/>
    <x v="0"/>
    <x v="1"/>
    <s v="DK2_Rural"/>
    <x v="2"/>
    <x v="11"/>
    <x v="0"/>
    <x v="7"/>
    <n v="13.258536585365899"/>
    <n v="4839.3658536585399"/>
    <n v="17421.717073170701"/>
  </r>
  <r>
    <x v="0"/>
    <x v="0"/>
    <x v="0"/>
    <x v="0"/>
    <x v="1"/>
    <s v="DK2_Rural"/>
    <x v="2"/>
    <x v="11"/>
    <x v="0"/>
    <x v="8"/>
    <n v="13.258536585365899"/>
    <n v="4839.3658536585399"/>
    <n v="17421.717073170701"/>
  </r>
  <r>
    <x v="0"/>
    <x v="0"/>
    <x v="0"/>
    <x v="0"/>
    <x v="1"/>
    <s v="DK2_Rural"/>
    <x v="2"/>
    <x v="11"/>
    <x v="0"/>
    <x v="0"/>
    <n v="13.258536585365899"/>
    <n v="4839.3658536585399"/>
    <n v="17421.717073170701"/>
  </r>
  <r>
    <x v="0"/>
    <x v="0"/>
    <x v="0"/>
    <x v="0"/>
    <x v="1"/>
    <s v="DK2_Rural"/>
    <x v="2"/>
    <x v="11"/>
    <x v="0"/>
    <x v="1"/>
    <n v="13.258536585365899"/>
    <n v="4839.3658536585399"/>
    <n v="17421.717073170701"/>
  </r>
  <r>
    <x v="0"/>
    <x v="0"/>
    <x v="0"/>
    <x v="0"/>
    <x v="1"/>
    <s v="DK2_Rural"/>
    <x v="2"/>
    <x v="11"/>
    <x v="0"/>
    <x v="2"/>
    <n v="13.258536585365899"/>
    <n v="4839.3658536585399"/>
    <n v="17421.717073170701"/>
  </r>
  <r>
    <x v="0"/>
    <x v="0"/>
    <x v="0"/>
    <x v="0"/>
    <x v="1"/>
    <s v="DK2_Rural"/>
    <x v="2"/>
    <x v="11"/>
    <x v="0"/>
    <x v="9"/>
    <n v="13.258536585365899"/>
    <n v="4839.3658536585399"/>
    <n v="17421.717073170701"/>
  </r>
  <r>
    <x v="0"/>
    <x v="0"/>
    <x v="0"/>
    <x v="0"/>
    <x v="1"/>
    <s v="DK2_Rural"/>
    <x v="2"/>
    <x v="11"/>
    <x v="0"/>
    <x v="10"/>
    <n v="13.258536585365899"/>
    <n v="4839.3658536585399"/>
    <n v="17421.717073170701"/>
  </r>
  <r>
    <x v="0"/>
    <x v="0"/>
    <x v="0"/>
    <x v="0"/>
    <x v="1"/>
    <s v="DK2_Rural"/>
    <x v="2"/>
    <x v="11"/>
    <x v="0"/>
    <x v="11"/>
    <n v="13.258536585365899"/>
    <n v="4839.3658536585399"/>
    <n v="17421.717073170701"/>
  </r>
  <r>
    <x v="0"/>
    <x v="0"/>
    <x v="0"/>
    <x v="0"/>
    <x v="1"/>
    <s v="DK2_Rural"/>
    <x v="2"/>
    <x v="11"/>
    <x v="0"/>
    <x v="12"/>
    <n v="13.258536585365899"/>
    <n v="4839.3658536585399"/>
    <n v="17421.717073170701"/>
  </r>
  <r>
    <x v="0"/>
    <x v="0"/>
    <x v="0"/>
    <x v="0"/>
    <x v="1"/>
    <s v="DK2_Rural"/>
    <x v="2"/>
    <x v="11"/>
    <x v="0"/>
    <x v="13"/>
    <n v="13.258536585365899"/>
    <n v="4839.3658536585399"/>
    <n v="17421.717073170701"/>
  </r>
  <r>
    <x v="0"/>
    <x v="0"/>
    <x v="0"/>
    <x v="0"/>
    <x v="1"/>
    <s v="DK2_Rural"/>
    <x v="2"/>
    <x v="11"/>
    <x v="0"/>
    <x v="14"/>
    <n v="13.258536585365899"/>
    <n v="4839.3658536585399"/>
    <n v="17421.717073170701"/>
  </r>
  <r>
    <x v="0"/>
    <x v="0"/>
    <x v="0"/>
    <x v="0"/>
    <x v="1"/>
    <s v="DK2_Rural"/>
    <x v="2"/>
    <x v="11"/>
    <x v="0"/>
    <x v="15"/>
    <n v="13.258536585365899"/>
    <n v="4839.3658536585399"/>
    <n v="17421.717073170701"/>
  </r>
  <r>
    <x v="0"/>
    <x v="0"/>
    <x v="0"/>
    <x v="0"/>
    <x v="1"/>
    <s v="DK2_Rural"/>
    <x v="2"/>
    <x v="11"/>
    <x v="0"/>
    <x v="16"/>
    <n v="13.258536585365899"/>
    <n v="4839.3658536585399"/>
    <n v="17421.717073170701"/>
  </r>
  <r>
    <x v="0"/>
    <x v="0"/>
    <x v="0"/>
    <x v="0"/>
    <x v="1"/>
    <s v="DK2_Rural"/>
    <x v="2"/>
    <x v="11"/>
    <x v="0"/>
    <x v="17"/>
    <n v="13.258536585365899"/>
    <n v="4839.3658536585399"/>
    <n v="17421.717073170701"/>
  </r>
  <r>
    <x v="0"/>
    <x v="0"/>
    <x v="0"/>
    <x v="0"/>
    <x v="1"/>
    <s v="DK2_Rural"/>
    <x v="2"/>
    <x v="11"/>
    <x v="0"/>
    <x v="18"/>
    <n v="13.258536585365899"/>
    <n v="4839.3658536585399"/>
    <n v="17421.717073170701"/>
  </r>
  <r>
    <x v="0"/>
    <x v="0"/>
    <x v="0"/>
    <x v="0"/>
    <x v="1"/>
    <s v="DK2_Rural"/>
    <x v="2"/>
    <x v="11"/>
    <x v="0"/>
    <x v="19"/>
    <n v="13.258536585365899"/>
    <n v="4839.3658536585399"/>
    <n v="17421.717073170701"/>
  </r>
  <r>
    <x v="0"/>
    <x v="0"/>
    <x v="0"/>
    <x v="0"/>
    <x v="1"/>
    <s v="DK2_Rural"/>
    <x v="2"/>
    <x v="11"/>
    <x v="0"/>
    <x v="20"/>
    <n v="13.258536585365899"/>
    <n v="4839.3658536585399"/>
    <n v="17421.717073170701"/>
  </r>
  <r>
    <x v="0"/>
    <x v="0"/>
    <x v="0"/>
    <x v="0"/>
    <x v="1"/>
    <s v="DK2_Rural"/>
    <x v="2"/>
    <x v="11"/>
    <x v="0"/>
    <x v="21"/>
    <n v="13.258536585365899"/>
    <n v="4839.3658536585399"/>
    <n v="17421.717073170701"/>
  </r>
  <r>
    <x v="0"/>
    <x v="0"/>
    <x v="0"/>
    <x v="0"/>
    <x v="1"/>
    <s v="DK2_Rural"/>
    <x v="2"/>
    <x v="11"/>
    <x v="0"/>
    <x v="22"/>
    <n v="13.258536585365899"/>
    <n v="4839.3658536585399"/>
    <n v="17421.717073170701"/>
  </r>
  <r>
    <x v="0"/>
    <x v="0"/>
    <x v="0"/>
    <x v="0"/>
    <x v="1"/>
    <s v="DK2_Rural"/>
    <x v="2"/>
    <x v="11"/>
    <x v="0"/>
    <x v="23"/>
    <n v="13.258536585365899"/>
    <n v="4839.3658536585399"/>
    <n v="17421.717073170701"/>
  </r>
  <r>
    <x v="0"/>
    <x v="0"/>
    <x v="0"/>
    <x v="0"/>
    <x v="1"/>
    <s v="DK2_Rural"/>
    <x v="2"/>
    <x v="12"/>
    <x v="0"/>
    <x v="3"/>
    <n v="3.61904761904762"/>
    <n v="1320.9523809523801"/>
    <n v="4755.4285714285697"/>
  </r>
  <r>
    <x v="0"/>
    <x v="0"/>
    <x v="0"/>
    <x v="0"/>
    <x v="1"/>
    <s v="DK2_Rural"/>
    <x v="2"/>
    <x v="12"/>
    <x v="0"/>
    <x v="4"/>
    <n v="3.61904761904762"/>
    <n v="1320.9523809523801"/>
    <n v="4755.4285714285697"/>
  </r>
  <r>
    <x v="0"/>
    <x v="0"/>
    <x v="0"/>
    <x v="0"/>
    <x v="1"/>
    <s v="DK2_Rural"/>
    <x v="2"/>
    <x v="12"/>
    <x v="0"/>
    <x v="5"/>
    <n v="3.61904761904762"/>
    <n v="1320.9523809523801"/>
    <n v="4755.4285714285697"/>
  </r>
  <r>
    <x v="0"/>
    <x v="0"/>
    <x v="0"/>
    <x v="0"/>
    <x v="1"/>
    <s v="DK2_Rural"/>
    <x v="2"/>
    <x v="12"/>
    <x v="0"/>
    <x v="6"/>
    <n v="3.61904761904762"/>
    <n v="1320.9523809523801"/>
    <n v="4755.4285714285697"/>
  </r>
  <r>
    <x v="0"/>
    <x v="0"/>
    <x v="0"/>
    <x v="0"/>
    <x v="1"/>
    <s v="DK2_Rural"/>
    <x v="2"/>
    <x v="12"/>
    <x v="0"/>
    <x v="7"/>
    <n v="3.61904761904762"/>
    <n v="1320.9523809523801"/>
    <n v="4755.4285714285697"/>
  </r>
  <r>
    <x v="0"/>
    <x v="0"/>
    <x v="0"/>
    <x v="0"/>
    <x v="1"/>
    <s v="DK2_Rural"/>
    <x v="2"/>
    <x v="12"/>
    <x v="0"/>
    <x v="8"/>
    <n v="3.61904761904762"/>
    <n v="1320.9523809523801"/>
    <n v="4755.4285714285697"/>
  </r>
  <r>
    <x v="0"/>
    <x v="0"/>
    <x v="0"/>
    <x v="0"/>
    <x v="1"/>
    <s v="DK2_Rural"/>
    <x v="2"/>
    <x v="12"/>
    <x v="0"/>
    <x v="0"/>
    <n v="3.61904761904762"/>
    <n v="1320.9523809523801"/>
    <n v="4755.4285714285697"/>
  </r>
  <r>
    <x v="0"/>
    <x v="0"/>
    <x v="0"/>
    <x v="0"/>
    <x v="1"/>
    <s v="DK2_Rural"/>
    <x v="2"/>
    <x v="12"/>
    <x v="0"/>
    <x v="1"/>
    <n v="3.61904761904762"/>
    <n v="1320.9523809523801"/>
    <n v="4755.4285714285697"/>
  </r>
  <r>
    <x v="0"/>
    <x v="0"/>
    <x v="0"/>
    <x v="0"/>
    <x v="1"/>
    <s v="DK2_Rural"/>
    <x v="2"/>
    <x v="12"/>
    <x v="0"/>
    <x v="2"/>
    <n v="3.61904761904762"/>
    <n v="1320.9523809523801"/>
    <n v="4755.4285714285697"/>
  </r>
  <r>
    <x v="0"/>
    <x v="0"/>
    <x v="0"/>
    <x v="0"/>
    <x v="1"/>
    <s v="DK2_Rural"/>
    <x v="2"/>
    <x v="12"/>
    <x v="0"/>
    <x v="9"/>
    <n v="3.61904761904762"/>
    <n v="1320.9523809523801"/>
    <n v="4755.4285714285697"/>
  </r>
  <r>
    <x v="0"/>
    <x v="0"/>
    <x v="0"/>
    <x v="0"/>
    <x v="1"/>
    <s v="DK2_Rural"/>
    <x v="2"/>
    <x v="12"/>
    <x v="0"/>
    <x v="10"/>
    <n v="3.61904761904762"/>
    <n v="1320.9523809523801"/>
    <n v="4755.4285714285697"/>
  </r>
  <r>
    <x v="0"/>
    <x v="0"/>
    <x v="0"/>
    <x v="0"/>
    <x v="1"/>
    <s v="DK2_Rural"/>
    <x v="2"/>
    <x v="12"/>
    <x v="0"/>
    <x v="11"/>
    <n v="3.61904761904762"/>
    <n v="1320.9523809523801"/>
    <n v="4755.4285714285697"/>
  </r>
  <r>
    <x v="0"/>
    <x v="0"/>
    <x v="0"/>
    <x v="0"/>
    <x v="1"/>
    <s v="DK2_Rural"/>
    <x v="2"/>
    <x v="12"/>
    <x v="0"/>
    <x v="12"/>
    <n v="3.61904761904762"/>
    <n v="1320.9523809523801"/>
    <n v="4755.4285714285697"/>
  </r>
  <r>
    <x v="0"/>
    <x v="0"/>
    <x v="0"/>
    <x v="0"/>
    <x v="1"/>
    <s v="DK2_Rural"/>
    <x v="2"/>
    <x v="12"/>
    <x v="0"/>
    <x v="13"/>
    <n v="3.61904761904762"/>
    <n v="1320.9523809523801"/>
    <n v="4755.4285714285697"/>
  </r>
  <r>
    <x v="0"/>
    <x v="0"/>
    <x v="0"/>
    <x v="0"/>
    <x v="1"/>
    <s v="DK2_Rural"/>
    <x v="2"/>
    <x v="12"/>
    <x v="0"/>
    <x v="14"/>
    <n v="3.61904761904762"/>
    <n v="1320.9523809523801"/>
    <n v="4755.4285714285697"/>
  </r>
  <r>
    <x v="0"/>
    <x v="0"/>
    <x v="0"/>
    <x v="0"/>
    <x v="1"/>
    <s v="DK2_Rural"/>
    <x v="2"/>
    <x v="12"/>
    <x v="0"/>
    <x v="15"/>
    <n v="3.61904761904762"/>
    <n v="1320.9523809523801"/>
    <n v="4755.4285714285697"/>
  </r>
  <r>
    <x v="0"/>
    <x v="0"/>
    <x v="0"/>
    <x v="0"/>
    <x v="1"/>
    <s v="DK2_Rural"/>
    <x v="2"/>
    <x v="12"/>
    <x v="0"/>
    <x v="16"/>
    <n v="3.61904761904762"/>
    <n v="1320.9523809523801"/>
    <n v="4755.4285714285697"/>
  </r>
  <r>
    <x v="0"/>
    <x v="0"/>
    <x v="0"/>
    <x v="0"/>
    <x v="1"/>
    <s v="DK2_Rural"/>
    <x v="2"/>
    <x v="12"/>
    <x v="0"/>
    <x v="17"/>
    <n v="3.61904761904762"/>
    <n v="1320.9523809523801"/>
    <n v="4755.4285714285697"/>
  </r>
  <r>
    <x v="0"/>
    <x v="0"/>
    <x v="0"/>
    <x v="0"/>
    <x v="1"/>
    <s v="DK2_Rural"/>
    <x v="2"/>
    <x v="12"/>
    <x v="0"/>
    <x v="18"/>
    <n v="3.61904761904762"/>
    <n v="1320.9523809523801"/>
    <n v="4755.4285714285697"/>
  </r>
  <r>
    <x v="0"/>
    <x v="0"/>
    <x v="0"/>
    <x v="0"/>
    <x v="1"/>
    <s v="DK2_Rural"/>
    <x v="2"/>
    <x v="12"/>
    <x v="0"/>
    <x v="19"/>
    <n v="3.61904761904762"/>
    <n v="1320.9523809523801"/>
    <n v="4755.4285714285697"/>
  </r>
  <r>
    <x v="0"/>
    <x v="0"/>
    <x v="0"/>
    <x v="0"/>
    <x v="1"/>
    <s v="DK2_Rural"/>
    <x v="2"/>
    <x v="12"/>
    <x v="0"/>
    <x v="20"/>
    <n v="3.61904761904762"/>
    <n v="1320.9523809523801"/>
    <n v="4755.4285714285697"/>
  </r>
  <r>
    <x v="0"/>
    <x v="0"/>
    <x v="0"/>
    <x v="0"/>
    <x v="1"/>
    <s v="DK2_Rural"/>
    <x v="2"/>
    <x v="12"/>
    <x v="0"/>
    <x v="21"/>
    <n v="3.61904761904762"/>
    <n v="1320.9523809523801"/>
    <n v="4755.4285714285697"/>
  </r>
  <r>
    <x v="0"/>
    <x v="0"/>
    <x v="0"/>
    <x v="0"/>
    <x v="1"/>
    <s v="DK2_Rural"/>
    <x v="2"/>
    <x v="12"/>
    <x v="0"/>
    <x v="22"/>
    <n v="3.61904761904762"/>
    <n v="1320.9523809523801"/>
    <n v="4755.4285714285697"/>
  </r>
  <r>
    <x v="0"/>
    <x v="0"/>
    <x v="0"/>
    <x v="0"/>
    <x v="1"/>
    <s v="DK2_Rural"/>
    <x v="2"/>
    <x v="12"/>
    <x v="0"/>
    <x v="23"/>
    <n v="3.61904761904762"/>
    <n v="1320.9523809523801"/>
    <n v="4755.4285714285697"/>
  </r>
  <r>
    <x v="0"/>
    <x v="0"/>
    <x v="0"/>
    <x v="0"/>
    <x v="1"/>
    <s v="DK2_Rural"/>
    <x v="2"/>
    <x v="13"/>
    <x v="0"/>
    <x v="3"/>
    <n v="5.7604651162790699"/>
    <n v="2102.5697674418602"/>
    <n v="7569.2511627906997"/>
  </r>
  <r>
    <x v="0"/>
    <x v="0"/>
    <x v="0"/>
    <x v="0"/>
    <x v="1"/>
    <s v="DK2_Rural"/>
    <x v="2"/>
    <x v="13"/>
    <x v="0"/>
    <x v="4"/>
    <n v="5.7604651162790699"/>
    <n v="2102.5697674418602"/>
    <n v="7569.2511627906997"/>
  </r>
  <r>
    <x v="0"/>
    <x v="0"/>
    <x v="0"/>
    <x v="0"/>
    <x v="1"/>
    <s v="DK2_Rural"/>
    <x v="2"/>
    <x v="13"/>
    <x v="0"/>
    <x v="5"/>
    <n v="5.7604651162790699"/>
    <n v="2102.5697674418602"/>
    <n v="7569.2511627906997"/>
  </r>
  <r>
    <x v="0"/>
    <x v="0"/>
    <x v="0"/>
    <x v="0"/>
    <x v="1"/>
    <s v="DK2_Rural"/>
    <x v="2"/>
    <x v="13"/>
    <x v="0"/>
    <x v="6"/>
    <n v="5.7604651162790699"/>
    <n v="2102.5697674418602"/>
    <n v="7569.2511627906997"/>
  </r>
  <r>
    <x v="0"/>
    <x v="0"/>
    <x v="0"/>
    <x v="0"/>
    <x v="1"/>
    <s v="DK2_Rural"/>
    <x v="2"/>
    <x v="13"/>
    <x v="0"/>
    <x v="7"/>
    <n v="5.7604651162790699"/>
    <n v="2102.5697674418602"/>
    <n v="7569.2511627906997"/>
  </r>
  <r>
    <x v="0"/>
    <x v="0"/>
    <x v="0"/>
    <x v="0"/>
    <x v="1"/>
    <s v="DK2_Rural"/>
    <x v="2"/>
    <x v="13"/>
    <x v="0"/>
    <x v="8"/>
    <n v="5.7604651162790699"/>
    <n v="2102.5697674418602"/>
    <n v="7569.2511627906997"/>
  </r>
  <r>
    <x v="0"/>
    <x v="0"/>
    <x v="0"/>
    <x v="0"/>
    <x v="1"/>
    <s v="DK2_Rural"/>
    <x v="2"/>
    <x v="13"/>
    <x v="0"/>
    <x v="0"/>
    <n v="5.7604651162790699"/>
    <n v="2102.5697674418602"/>
    <n v="7569.2511627906997"/>
  </r>
  <r>
    <x v="0"/>
    <x v="0"/>
    <x v="0"/>
    <x v="0"/>
    <x v="1"/>
    <s v="DK2_Rural"/>
    <x v="2"/>
    <x v="13"/>
    <x v="0"/>
    <x v="1"/>
    <n v="5.7604651162790699"/>
    <n v="2102.5697674418602"/>
    <n v="7569.2511627906997"/>
  </r>
  <r>
    <x v="0"/>
    <x v="0"/>
    <x v="0"/>
    <x v="0"/>
    <x v="1"/>
    <s v="DK2_Rural"/>
    <x v="2"/>
    <x v="13"/>
    <x v="0"/>
    <x v="2"/>
    <n v="5.7604651162790699"/>
    <n v="2102.5697674418602"/>
    <n v="7569.2511627906997"/>
  </r>
  <r>
    <x v="0"/>
    <x v="0"/>
    <x v="0"/>
    <x v="0"/>
    <x v="1"/>
    <s v="DK2_Rural"/>
    <x v="2"/>
    <x v="13"/>
    <x v="0"/>
    <x v="9"/>
    <n v="5.7604651162790699"/>
    <n v="2102.5697674418602"/>
    <n v="7569.2511627906997"/>
  </r>
  <r>
    <x v="0"/>
    <x v="0"/>
    <x v="0"/>
    <x v="0"/>
    <x v="1"/>
    <s v="DK2_Rural"/>
    <x v="2"/>
    <x v="13"/>
    <x v="0"/>
    <x v="10"/>
    <n v="5.7604651162790699"/>
    <n v="2102.5697674418602"/>
    <n v="7569.2511627906997"/>
  </r>
  <r>
    <x v="0"/>
    <x v="0"/>
    <x v="0"/>
    <x v="0"/>
    <x v="1"/>
    <s v="DK2_Rural"/>
    <x v="2"/>
    <x v="13"/>
    <x v="0"/>
    <x v="11"/>
    <n v="5.7604651162790699"/>
    <n v="2102.5697674418602"/>
    <n v="7569.2511627906997"/>
  </r>
  <r>
    <x v="0"/>
    <x v="0"/>
    <x v="0"/>
    <x v="0"/>
    <x v="1"/>
    <s v="DK2_Rural"/>
    <x v="2"/>
    <x v="13"/>
    <x v="0"/>
    <x v="12"/>
    <n v="5.7604651162790699"/>
    <n v="2102.5697674418602"/>
    <n v="7569.2511627906997"/>
  </r>
  <r>
    <x v="0"/>
    <x v="0"/>
    <x v="0"/>
    <x v="0"/>
    <x v="1"/>
    <s v="DK2_Rural"/>
    <x v="2"/>
    <x v="13"/>
    <x v="0"/>
    <x v="13"/>
    <n v="5.7604651162790699"/>
    <n v="2102.5697674418602"/>
    <n v="7569.2511627906997"/>
  </r>
  <r>
    <x v="0"/>
    <x v="0"/>
    <x v="0"/>
    <x v="0"/>
    <x v="1"/>
    <s v="DK2_Rural"/>
    <x v="2"/>
    <x v="13"/>
    <x v="0"/>
    <x v="14"/>
    <n v="5.7604651162790699"/>
    <n v="2102.5697674418602"/>
    <n v="7569.2511627906997"/>
  </r>
  <r>
    <x v="0"/>
    <x v="0"/>
    <x v="0"/>
    <x v="0"/>
    <x v="1"/>
    <s v="DK2_Rural"/>
    <x v="2"/>
    <x v="13"/>
    <x v="0"/>
    <x v="15"/>
    <n v="5.7604651162790699"/>
    <n v="2102.5697674418602"/>
    <n v="7569.2511627906997"/>
  </r>
  <r>
    <x v="0"/>
    <x v="0"/>
    <x v="0"/>
    <x v="0"/>
    <x v="1"/>
    <s v="DK2_Rural"/>
    <x v="2"/>
    <x v="13"/>
    <x v="0"/>
    <x v="16"/>
    <n v="5.7604651162790699"/>
    <n v="2102.5697674418602"/>
    <n v="7569.2511627906997"/>
  </r>
  <r>
    <x v="0"/>
    <x v="0"/>
    <x v="0"/>
    <x v="0"/>
    <x v="1"/>
    <s v="DK2_Rural"/>
    <x v="2"/>
    <x v="13"/>
    <x v="0"/>
    <x v="17"/>
    <n v="5.7604651162790699"/>
    <n v="2102.5697674418602"/>
    <n v="7569.2511627906997"/>
  </r>
  <r>
    <x v="0"/>
    <x v="0"/>
    <x v="0"/>
    <x v="0"/>
    <x v="1"/>
    <s v="DK2_Rural"/>
    <x v="2"/>
    <x v="13"/>
    <x v="0"/>
    <x v="18"/>
    <n v="5.7604651162790699"/>
    <n v="2102.5697674418602"/>
    <n v="7569.2511627906997"/>
  </r>
  <r>
    <x v="0"/>
    <x v="0"/>
    <x v="0"/>
    <x v="0"/>
    <x v="1"/>
    <s v="DK2_Rural"/>
    <x v="2"/>
    <x v="13"/>
    <x v="0"/>
    <x v="19"/>
    <n v="5.7604651162790699"/>
    <n v="2102.5697674418602"/>
    <n v="7569.2511627906997"/>
  </r>
  <r>
    <x v="0"/>
    <x v="0"/>
    <x v="0"/>
    <x v="0"/>
    <x v="1"/>
    <s v="DK2_Rural"/>
    <x v="2"/>
    <x v="13"/>
    <x v="0"/>
    <x v="20"/>
    <n v="5.7604651162790699"/>
    <n v="2102.5697674418602"/>
    <n v="7569.2511627906997"/>
  </r>
  <r>
    <x v="0"/>
    <x v="0"/>
    <x v="0"/>
    <x v="0"/>
    <x v="1"/>
    <s v="DK2_Rural"/>
    <x v="2"/>
    <x v="13"/>
    <x v="0"/>
    <x v="21"/>
    <n v="5.7604651162790699"/>
    <n v="2102.5697674418602"/>
    <n v="7569.2511627906997"/>
  </r>
  <r>
    <x v="0"/>
    <x v="0"/>
    <x v="0"/>
    <x v="0"/>
    <x v="1"/>
    <s v="DK2_Rural"/>
    <x v="2"/>
    <x v="13"/>
    <x v="0"/>
    <x v="22"/>
    <n v="5.7604651162790699"/>
    <n v="2102.5697674418602"/>
    <n v="7569.2511627906997"/>
  </r>
  <r>
    <x v="0"/>
    <x v="0"/>
    <x v="0"/>
    <x v="0"/>
    <x v="1"/>
    <s v="DK2_Rural"/>
    <x v="2"/>
    <x v="13"/>
    <x v="0"/>
    <x v="23"/>
    <n v="5.7604651162790699"/>
    <n v="2102.5697674418602"/>
    <n v="7569.2511627906997"/>
  </r>
  <r>
    <x v="0"/>
    <x v="0"/>
    <x v="0"/>
    <x v="0"/>
    <x v="1"/>
    <s v="DK2_Rural"/>
    <x v="2"/>
    <x v="49"/>
    <x v="0"/>
    <x v="3"/>
    <n v="1.1111111111111101"/>
    <n v="405.555555555556"/>
    <n v="1460"/>
  </r>
  <r>
    <x v="0"/>
    <x v="0"/>
    <x v="0"/>
    <x v="0"/>
    <x v="1"/>
    <s v="DK2_Rural"/>
    <x v="2"/>
    <x v="49"/>
    <x v="0"/>
    <x v="4"/>
    <n v="1.1111111111111101"/>
    <n v="405.555555555556"/>
    <n v="1460"/>
  </r>
  <r>
    <x v="0"/>
    <x v="0"/>
    <x v="0"/>
    <x v="0"/>
    <x v="1"/>
    <s v="DK2_Rural"/>
    <x v="2"/>
    <x v="49"/>
    <x v="0"/>
    <x v="5"/>
    <n v="1.1111111111111101"/>
    <n v="405.555555555556"/>
    <n v="1460"/>
  </r>
  <r>
    <x v="0"/>
    <x v="0"/>
    <x v="0"/>
    <x v="0"/>
    <x v="1"/>
    <s v="DK2_Rural"/>
    <x v="2"/>
    <x v="49"/>
    <x v="0"/>
    <x v="6"/>
    <n v="1.1111111111111101"/>
    <n v="405.555555555556"/>
    <n v="1460"/>
  </r>
  <r>
    <x v="0"/>
    <x v="0"/>
    <x v="0"/>
    <x v="0"/>
    <x v="1"/>
    <s v="DK2_Rural"/>
    <x v="2"/>
    <x v="49"/>
    <x v="0"/>
    <x v="7"/>
    <n v="1.1111111111111101"/>
    <n v="405.555555555556"/>
    <n v="1460"/>
  </r>
  <r>
    <x v="0"/>
    <x v="0"/>
    <x v="0"/>
    <x v="0"/>
    <x v="1"/>
    <s v="DK2_Rural"/>
    <x v="2"/>
    <x v="49"/>
    <x v="0"/>
    <x v="8"/>
    <n v="1.1111111111111101"/>
    <n v="405.555555555556"/>
    <n v="1460"/>
  </r>
  <r>
    <x v="0"/>
    <x v="0"/>
    <x v="0"/>
    <x v="0"/>
    <x v="1"/>
    <s v="DK2_Rural"/>
    <x v="2"/>
    <x v="49"/>
    <x v="0"/>
    <x v="0"/>
    <n v="1.1111111111111101"/>
    <n v="405.555555555556"/>
    <n v="1460"/>
  </r>
  <r>
    <x v="0"/>
    <x v="0"/>
    <x v="0"/>
    <x v="0"/>
    <x v="1"/>
    <s v="DK2_Rural"/>
    <x v="2"/>
    <x v="49"/>
    <x v="0"/>
    <x v="1"/>
    <n v="1.1111111111111101"/>
    <n v="405.555555555556"/>
    <n v="1460"/>
  </r>
  <r>
    <x v="0"/>
    <x v="0"/>
    <x v="0"/>
    <x v="0"/>
    <x v="1"/>
    <s v="DK2_Rural"/>
    <x v="2"/>
    <x v="49"/>
    <x v="0"/>
    <x v="2"/>
    <n v="1.1111111111111101"/>
    <n v="405.555555555556"/>
    <n v="1460"/>
  </r>
  <r>
    <x v="0"/>
    <x v="0"/>
    <x v="0"/>
    <x v="0"/>
    <x v="1"/>
    <s v="DK2_Rural"/>
    <x v="2"/>
    <x v="49"/>
    <x v="0"/>
    <x v="9"/>
    <n v="1.1111111111111101"/>
    <n v="405.555555555556"/>
    <n v="1460"/>
  </r>
  <r>
    <x v="0"/>
    <x v="0"/>
    <x v="0"/>
    <x v="0"/>
    <x v="1"/>
    <s v="DK2_Rural"/>
    <x v="2"/>
    <x v="49"/>
    <x v="0"/>
    <x v="10"/>
    <n v="1.1111111111111101"/>
    <n v="405.555555555556"/>
    <n v="1460"/>
  </r>
  <r>
    <x v="0"/>
    <x v="0"/>
    <x v="0"/>
    <x v="0"/>
    <x v="1"/>
    <s v="DK2_Rural"/>
    <x v="2"/>
    <x v="49"/>
    <x v="0"/>
    <x v="11"/>
    <n v="1.1111111111111101"/>
    <n v="405.555555555556"/>
    <n v="1460"/>
  </r>
  <r>
    <x v="0"/>
    <x v="0"/>
    <x v="0"/>
    <x v="0"/>
    <x v="1"/>
    <s v="DK2_Rural"/>
    <x v="2"/>
    <x v="49"/>
    <x v="0"/>
    <x v="12"/>
    <n v="1.1111111111111101"/>
    <n v="405.555555555556"/>
    <n v="1460"/>
  </r>
  <r>
    <x v="0"/>
    <x v="0"/>
    <x v="0"/>
    <x v="0"/>
    <x v="1"/>
    <s v="DK2_Rural"/>
    <x v="2"/>
    <x v="49"/>
    <x v="0"/>
    <x v="13"/>
    <n v="1.1111111111111101"/>
    <n v="405.555555555556"/>
    <n v="1460"/>
  </r>
  <r>
    <x v="0"/>
    <x v="0"/>
    <x v="0"/>
    <x v="0"/>
    <x v="1"/>
    <s v="DK2_Rural"/>
    <x v="2"/>
    <x v="49"/>
    <x v="0"/>
    <x v="14"/>
    <n v="1.1111111111111101"/>
    <n v="405.555555555556"/>
    <n v="1460"/>
  </r>
  <r>
    <x v="0"/>
    <x v="0"/>
    <x v="0"/>
    <x v="0"/>
    <x v="1"/>
    <s v="DK2_Rural"/>
    <x v="2"/>
    <x v="49"/>
    <x v="0"/>
    <x v="15"/>
    <n v="1.1111111111111101"/>
    <n v="405.555555555556"/>
    <n v="1460"/>
  </r>
  <r>
    <x v="0"/>
    <x v="0"/>
    <x v="0"/>
    <x v="0"/>
    <x v="1"/>
    <s v="DK2_Rural"/>
    <x v="2"/>
    <x v="49"/>
    <x v="0"/>
    <x v="16"/>
    <n v="1.1111111111111101"/>
    <n v="405.555555555556"/>
    <n v="1460"/>
  </r>
  <r>
    <x v="0"/>
    <x v="0"/>
    <x v="0"/>
    <x v="0"/>
    <x v="1"/>
    <s v="DK2_Rural"/>
    <x v="2"/>
    <x v="49"/>
    <x v="0"/>
    <x v="17"/>
    <n v="1.1111111111111101"/>
    <n v="405.555555555556"/>
    <n v="1460"/>
  </r>
  <r>
    <x v="0"/>
    <x v="0"/>
    <x v="0"/>
    <x v="0"/>
    <x v="1"/>
    <s v="DK2_Rural"/>
    <x v="2"/>
    <x v="49"/>
    <x v="0"/>
    <x v="18"/>
    <n v="1.1111111111111101"/>
    <n v="405.555555555556"/>
    <n v="1460"/>
  </r>
  <r>
    <x v="0"/>
    <x v="0"/>
    <x v="0"/>
    <x v="0"/>
    <x v="1"/>
    <s v="DK2_Rural"/>
    <x v="2"/>
    <x v="49"/>
    <x v="0"/>
    <x v="19"/>
    <n v="1.1111111111111101"/>
    <n v="405.555555555556"/>
    <n v="1460"/>
  </r>
  <r>
    <x v="0"/>
    <x v="0"/>
    <x v="0"/>
    <x v="0"/>
    <x v="1"/>
    <s v="DK2_Rural"/>
    <x v="2"/>
    <x v="49"/>
    <x v="0"/>
    <x v="20"/>
    <n v="1.1111111111111101"/>
    <n v="405.555555555556"/>
    <n v="1460"/>
  </r>
  <r>
    <x v="0"/>
    <x v="0"/>
    <x v="0"/>
    <x v="0"/>
    <x v="1"/>
    <s v="DK2_Rural"/>
    <x v="2"/>
    <x v="49"/>
    <x v="0"/>
    <x v="21"/>
    <n v="1.1111111111111101"/>
    <n v="405.555555555556"/>
    <n v="1460"/>
  </r>
  <r>
    <x v="0"/>
    <x v="0"/>
    <x v="0"/>
    <x v="0"/>
    <x v="1"/>
    <s v="DK2_Rural"/>
    <x v="2"/>
    <x v="49"/>
    <x v="0"/>
    <x v="22"/>
    <n v="1.1111111111111101"/>
    <n v="405.555555555556"/>
    <n v="1460"/>
  </r>
  <r>
    <x v="0"/>
    <x v="0"/>
    <x v="0"/>
    <x v="0"/>
    <x v="1"/>
    <s v="DK2_Rural"/>
    <x v="2"/>
    <x v="49"/>
    <x v="0"/>
    <x v="23"/>
    <n v="1.1111111111111101"/>
    <n v="405.555555555556"/>
    <n v="1460"/>
  </r>
  <r>
    <x v="0"/>
    <x v="0"/>
    <x v="0"/>
    <x v="0"/>
    <x v="1"/>
    <s v="DK2_Rural"/>
    <x v="2"/>
    <x v="15"/>
    <x v="0"/>
    <x v="3"/>
    <n v="1.1956521739130399"/>
    <n v="436.41304347826099"/>
    <n v="1571.0869565217399"/>
  </r>
  <r>
    <x v="0"/>
    <x v="0"/>
    <x v="0"/>
    <x v="0"/>
    <x v="1"/>
    <s v="DK2_Rural"/>
    <x v="2"/>
    <x v="15"/>
    <x v="0"/>
    <x v="4"/>
    <n v="1.1956521739130399"/>
    <n v="436.41304347826099"/>
    <n v="1571.0869565217399"/>
  </r>
  <r>
    <x v="0"/>
    <x v="0"/>
    <x v="0"/>
    <x v="0"/>
    <x v="1"/>
    <s v="DK2_Rural"/>
    <x v="2"/>
    <x v="15"/>
    <x v="0"/>
    <x v="5"/>
    <n v="1.1956521739130399"/>
    <n v="436.41304347826099"/>
    <n v="1571.0869565217399"/>
  </r>
  <r>
    <x v="0"/>
    <x v="0"/>
    <x v="0"/>
    <x v="0"/>
    <x v="1"/>
    <s v="DK2_Rural"/>
    <x v="2"/>
    <x v="15"/>
    <x v="0"/>
    <x v="6"/>
    <n v="1.1956521739130399"/>
    <n v="436.41304347826099"/>
    <n v="1571.0869565217399"/>
  </r>
  <r>
    <x v="0"/>
    <x v="0"/>
    <x v="0"/>
    <x v="0"/>
    <x v="1"/>
    <s v="DK2_Rural"/>
    <x v="2"/>
    <x v="15"/>
    <x v="0"/>
    <x v="7"/>
    <n v="1.1956521739130399"/>
    <n v="436.41304347826099"/>
    <n v="1571.0869565217399"/>
  </r>
  <r>
    <x v="0"/>
    <x v="0"/>
    <x v="0"/>
    <x v="0"/>
    <x v="1"/>
    <s v="DK2_Rural"/>
    <x v="2"/>
    <x v="15"/>
    <x v="0"/>
    <x v="8"/>
    <n v="1.1956521739130399"/>
    <n v="436.41304347826099"/>
    <n v="1571.0869565217399"/>
  </r>
  <r>
    <x v="0"/>
    <x v="0"/>
    <x v="0"/>
    <x v="0"/>
    <x v="1"/>
    <s v="DK2_Rural"/>
    <x v="2"/>
    <x v="15"/>
    <x v="0"/>
    <x v="0"/>
    <n v="1.1956521739130399"/>
    <n v="436.41304347826099"/>
    <n v="1571.0869565217399"/>
  </r>
  <r>
    <x v="0"/>
    <x v="0"/>
    <x v="0"/>
    <x v="0"/>
    <x v="1"/>
    <s v="DK2_Rural"/>
    <x v="2"/>
    <x v="15"/>
    <x v="0"/>
    <x v="1"/>
    <n v="1.1956521739130399"/>
    <n v="436.41304347826099"/>
    <n v="1571.0869565217399"/>
  </r>
  <r>
    <x v="0"/>
    <x v="0"/>
    <x v="0"/>
    <x v="0"/>
    <x v="1"/>
    <s v="DK2_Rural"/>
    <x v="2"/>
    <x v="15"/>
    <x v="0"/>
    <x v="2"/>
    <n v="1.1956521739130399"/>
    <n v="436.41304347826099"/>
    <n v="1571.0869565217399"/>
  </r>
  <r>
    <x v="0"/>
    <x v="0"/>
    <x v="0"/>
    <x v="0"/>
    <x v="1"/>
    <s v="DK2_Rural"/>
    <x v="2"/>
    <x v="15"/>
    <x v="0"/>
    <x v="9"/>
    <n v="1.1956521739130399"/>
    <n v="436.41304347826099"/>
    <n v="1571.0869565217399"/>
  </r>
  <r>
    <x v="0"/>
    <x v="0"/>
    <x v="0"/>
    <x v="0"/>
    <x v="1"/>
    <s v="DK2_Rural"/>
    <x v="2"/>
    <x v="15"/>
    <x v="0"/>
    <x v="10"/>
    <n v="1.1956521739130399"/>
    <n v="436.41304347826099"/>
    <n v="1571.0869565217399"/>
  </r>
  <r>
    <x v="0"/>
    <x v="0"/>
    <x v="0"/>
    <x v="0"/>
    <x v="1"/>
    <s v="DK2_Rural"/>
    <x v="2"/>
    <x v="15"/>
    <x v="0"/>
    <x v="11"/>
    <n v="1.1956521739130399"/>
    <n v="436.41304347826099"/>
    <n v="1571.0869565217399"/>
  </r>
  <r>
    <x v="0"/>
    <x v="0"/>
    <x v="0"/>
    <x v="0"/>
    <x v="1"/>
    <s v="DK2_Rural"/>
    <x v="2"/>
    <x v="15"/>
    <x v="0"/>
    <x v="12"/>
    <n v="1.1956521739130399"/>
    <n v="436.41304347826099"/>
    <n v="1571.0869565217399"/>
  </r>
  <r>
    <x v="0"/>
    <x v="0"/>
    <x v="0"/>
    <x v="0"/>
    <x v="1"/>
    <s v="DK2_Rural"/>
    <x v="2"/>
    <x v="15"/>
    <x v="0"/>
    <x v="13"/>
    <n v="1.1956521739130399"/>
    <n v="436.41304347826099"/>
    <n v="1571.0869565217399"/>
  </r>
  <r>
    <x v="0"/>
    <x v="0"/>
    <x v="0"/>
    <x v="0"/>
    <x v="1"/>
    <s v="DK2_Rural"/>
    <x v="2"/>
    <x v="15"/>
    <x v="0"/>
    <x v="14"/>
    <n v="1.1956521739130399"/>
    <n v="436.41304347826099"/>
    <n v="1571.0869565217399"/>
  </r>
  <r>
    <x v="0"/>
    <x v="0"/>
    <x v="0"/>
    <x v="0"/>
    <x v="1"/>
    <s v="DK2_Rural"/>
    <x v="2"/>
    <x v="15"/>
    <x v="0"/>
    <x v="15"/>
    <n v="1.1956521739130399"/>
    <n v="436.41304347826099"/>
    <n v="1571.0869565217399"/>
  </r>
  <r>
    <x v="0"/>
    <x v="0"/>
    <x v="0"/>
    <x v="0"/>
    <x v="1"/>
    <s v="DK2_Rural"/>
    <x v="2"/>
    <x v="15"/>
    <x v="0"/>
    <x v="16"/>
    <n v="1.1956521739130399"/>
    <n v="436.41304347826099"/>
    <n v="1571.0869565217399"/>
  </r>
  <r>
    <x v="0"/>
    <x v="0"/>
    <x v="0"/>
    <x v="0"/>
    <x v="1"/>
    <s v="DK2_Rural"/>
    <x v="2"/>
    <x v="15"/>
    <x v="0"/>
    <x v="17"/>
    <n v="1.1956521739130399"/>
    <n v="436.41304347826099"/>
    <n v="1571.0869565217399"/>
  </r>
  <r>
    <x v="0"/>
    <x v="0"/>
    <x v="0"/>
    <x v="0"/>
    <x v="1"/>
    <s v="DK2_Rural"/>
    <x v="2"/>
    <x v="15"/>
    <x v="0"/>
    <x v="18"/>
    <n v="1.1956521739130399"/>
    <n v="436.41304347826099"/>
    <n v="1571.0869565217399"/>
  </r>
  <r>
    <x v="0"/>
    <x v="0"/>
    <x v="0"/>
    <x v="0"/>
    <x v="1"/>
    <s v="DK2_Rural"/>
    <x v="2"/>
    <x v="15"/>
    <x v="0"/>
    <x v="19"/>
    <n v="1.1956521739130399"/>
    <n v="436.41304347826099"/>
    <n v="1571.0869565217399"/>
  </r>
  <r>
    <x v="0"/>
    <x v="0"/>
    <x v="0"/>
    <x v="0"/>
    <x v="1"/>
    <s v="DK2_Rural"/>
    <x v="2"/>
    <x v="15"/>
    <x v="0"/>
    <x v="20"/>
    <n v="1.1956521739130399"/>
    <n v="436.41304347826099"/>
    <n v="1571.0869565217399"/>
  </r>
  <r>
    <x v="0"/>
    <x v="0"/>
    <x v="0"/>
    <x v="0"/>
    <x v="1"/>
    <s v="DK2_Rural"/>
    <x v="2"/>
    <x v="15"/>
    <x v="0"/>
    <x v="21"/>
    <n v="1.1956521739130399"/>
    <n v="436.41304347826099"/>
    <n v="1571.0869565217399"/>
  </r>
  <r>
    <x v="0"/>
    <x v="0"/>
    <x v="0"/>
    <x v="0"/>
    <x v="1"/>
    <s v="DK2_Rural"/>
    <x v="2"/>
    <x v="15"/>
    <x v="0"/>
    <x v="22"/>
    <n v="1.1956521739130399"/>
    <n v="436.41304347826099"/>
    <n v="1571.0869565217399"/>
  </r>
  <r>
    <x v="0"/>
    <x v="0"/>
    <x v="0"/>
    <x v="0"/>
    <x v="1"/>
    <s v="DK2_Rural"/>
    <x v="2"/>
    <x v="15"/>
    <x v="0"/>
    <x v="23"/>
    <n v="1.1956521739130399"/>
    <n v="436.41304347826099"/>
    <n v="1571.0869565217399"/>
  </r>
  <r>
    <x v="0"/>
    <x v="0"/>
    <x v="0"/>
    <x v="0"/>
    <x v="1"/>
    <s v="DK2_Rural"/>
    <x v="3"/>
    <x v="29"/>
    <x v="0"/>
    <x v="4"/>
    <n v="1.3472848906925601"/>
    <n v="491.75898510278398"/>
    <n v="1770.3323463700201"/>
  </r>
  <r>
    <x v="0"/>
    <x v="0"/>
    <x v="0"/>
    <x v="0"/>
    <x v="1"/>
    <s v="DK2_Rural"/>
    <x v="3"/>
    <x v="29"/>
    <x v="0"/>
    <x v="6"/>
    <n v="2.0209273360388398"/>
    <n v="737.63847765417597"/>
    <n v="2655.4985195550298"/>
  </r>
  <r>
    <x v="0"/>
    <x v="0"/>
    <x v="0"/>
    <x v="0"/>
    <x v="1"/>
    <s v="DK2_Rural"/>
    <x v="3"/>
    <x v="29"/>
    <x v="0"/>
    <x v="7"/>
    <n v="3.5029407158006398"/>
    <n v="1278.57336126723"/>
    <n v="4602.8641005620402"/>
  </r>
  <r>
    <x v="0"/>
    <x v="0"/>
    <x v="0"/>
    <x v="0"/>
    <x v="1"/>
    <s v="DK2_Rural"/>
    <x v="3"/>
    <x v="29"/>
    <x v="0"/>
    <x v="0"/>
    <n v="27.3685167240879"/>
    <n v="9989.5086042920993"/>
    <n v="35962.230975451603"/>
  </r>
  <r>
    <x v="0"/>
    <x v="0"/>
    <x v="0"/>
    <x v="0"/>
    <x v="1"/>
    <s v="DK2_Rural"/>
    <x v="3"/>
    <x v="29"/>
    <x v="0"/>
    <x v="1"/>
    <n v="12.3254150046722"/>
    <n v="4498.7764767053504"/>
    <n v="16195.595316139301"/>
  </r>
  <r>
    <x v="0"/>
    <x v="0"/>
    <x v="0"/>
    <x v="0"/>
    <x v="1"/>
    <s v="DK2_Rural"/>
    <x v="3"/>
    <x v="29"/>
    <x v="0"/>
    <x v="2"/>
    <n v="17.579826078373099"/>
    <n v="6416.6365186061903"/>
    <n v="23099.891466982299"/>
  </r>
  <r>
    <x v="0"/>
    <x v="0"/>
    <x v="0"/>
    <x v="0"/>
    <x v="1"/>
    <s v="DK2_Rural"/>
    <x v="3"/>
    <x v="29"/>
    <x v="0"/>
    <x v="9"/>
    <n v="16.906183633026799"/>
    <n v="6170.7570260548"/>
    <n v="22214.725293797299"/>
  </r>
  <r>
    <x v="0"/>
    <x v="0"/>
    <x v="0"/>
    <x v="0"/>
    <x v="1"/>
    <s v="DK2_Rural"/>
    <x v="3"/>
    <x v="29"/>
    <x v="0"/>
    <x v="12"/>
    <n v="46.813725490196099"/>
    <n v="17087.009803921599"/>
    <n v="61513.235294117701"/>
  </r>
  <r>
    <x v="0"/>
    <x v="0"/>
    <x v="0"/>
    <x v="0"/>
    <x v="1"/>
    <s v="DK2_Rural"/>
    <x v="3"/>
    <x v="29"/>
    <x v="0"/>
    <x v="13"/>
    <n v="46.813725490196099"/>
    <n v="17087.009803921599"/>
    <n v="61513.235294117701"/>
  </r>
  <r>
    <x v="0"/>
    <x v="0"/>
    <x v="0"/>
    <x v="0"/>
    <x v="1"/>
    <s v="DK2_Rural"/>
    <x v="3"/>
    <x v="29"/>
    <x v="0"/>
    <x v="14"/>
    <n v="46.813725490196099"/>
    <n v="17087.009803921599"/>
    <n v="61513.235294117701"/>
  </r>
  <r>
    <x v="0"/>
    <x v="0"/>
    <x v="0"/>
    <x v="0"/>
    <x v="1"/>
    <s v="DK2_Rural"/>
    <x v="3"/>
    <x v="29"/>
    <x v="0"/>
    <x v="15"/>
    <n v="46.813725490196099"/>
    <n v="17087.009803921599"/>
    <n v="61513.235294117701"/>
  </r>
  <r>
    <x v="0"/>
    <x v="0"/>
    <x v="0"/>
    <x v="0"/>
    <x v="1"/>
    <s v="DK2_Rural"/>
    <x v="3"/>
    <x v="29"/>
    <x v="0"/>
    <x v="16"/>
    <n v="46.813725490196099"/>
    <n v="17087.009803921599"/>
    <n v="61513.235294117701"/>
  </r>
  <r>
    <x v="0"/>
    <x v="0"/>
    <x v="0"/>
    <x v="0"/>
    <x v="1"/>
    <s v="DK2_Rural"/>
    <x v="3"/>
    <x v="29"/>
    <x v="0"/>
    <x v="17"/>
    <n v="46.813725490196099"/>
    <n v="17087.009803921599"/>
    <n v="61513.235294117701"/>
  </r>
  <r>
    <x v="0"/>
    <x v="0"/>
    <x v="0"/>
    <x v="0"/>
    <x v="1"/>
    <s v="DK2_Rural"/>
    <x v="3"/>
    <x v="29"/>
    <x v="0"/>
    <x v="18"/>
    <n v="46.813725490196099"/>
    <n v="17087.009803921599"/>
    <n v="61513.235294117701"/>
  </r>
  <r>
    <x v="0"/>
    <x v="0"/>
    <x v="0"/>
    <x v="0"/>
    <x v="1"/>
    <s v="DK2_Rural"/>
    <x v="3"/>
    <x v="29"/>
    <x v="0"/>
    <x v="19"/>
    <n v="46.813725490196099"/>
    <n v="17087.009803921599"/>
    <n v="61513.235294117701"/>
  </r>
  <r>
    <x v="0"/>
    <x v="0"/>
    <x v="0"/>
    <x v="0"/>
    <x v="1"/>
    <s v="DK2_Rural"/>
    <x v="3"/>
    <x v="29"/>
    <x v="0"/>
    <x v="20"/>
    <n v="46.813725490196099"/>
    <n v="17087.009803921599"/>
    <n v="61513.235294117701"/>
  </r>
  <r>
    <x v="0"/>
    <x v="0"/>
    <x v="0"/>
    <x v="0"/>
    <x v="1"/>
    <s v="DK2_Rural"/>
    <x v="3"/>
    <x v="29"/>
    <x v="0"/>
    <x v="21"/>
    <n v="2.9161491995334901"/>
    <n v="1064.3944578297201"/>
    <n v="3831.8200481869999"/>
  </r>
  <r>
    <x v="0"/>
    <x v="0"/>
    <x v="0"/>
    <x v="0"/>
    <x v="1"/>
    <s v="DK2_Rural"/>
    <x v="3"/>
    <x v="71"/>
    <x v="0"/>
    <x v="3"/>
    <n v="20.8333333333333"/>
    <n v="7604.1666666666697"/>
    <n v="27375"/>
  </r>
  <r>
    <x v="0"/>
    <x v="0"/>
    <x v="0"/>
    <x v="0"/>
    <x v="1"/>
    <s v="DK2_Rural"/>
    <x v="3"/>
    <x v="71"/>
    <x v="0"/>
    <x v="4"/>
    <n v="20.8333333333333"/>
    <n v="7604.1666666666697"/>
    <n v="27375"/>
  </r>
  <r>
    <x v="0"/>
    <x v="0"/>
    <x v="0"/>
    <x v="0"/>
    <x v="1"/>
    <s v="DK2_Rural"/>
    <x v="3"/>
    <x v="71"/>
    <x v="0"/>
    <x v="5"/>
    <n v="20.8333333333333"/>
    <n v="7604.1666666666697"/>
    <n v="27375"/>
  </r>
  <r>
    <x v="0"/>
    <x v="0"/>
    <x v="0"/>
    <x v="0"/>
    <x v="1"/>
    <s v="DK2_Rural"/>
    <x v="3"/>
    <x v="71"/>
    <x v="0"/>
    <x v="6"/>
    <n v="20.8333333333333"/>
    <n v="7604.1666666666697"/>
    <n v="27375"/>
  </r>
  <r>
    <x v="0"/>
    <x v="0"/>
    <x v="0"/>
    <x v="0"/>
    <x v="1"/>
    <s v="DK2_Rural"/>
    <x v="3"/>
    <x v="71"/>
    <x v="0"/>
    <x v="7"/>
    <n v="20.8333333333333"/>
    <n v="7604.1666666666697"/>
    <n v="27375"/>
  </r>
  <r>
    <x v="0"/>
    <x v="0"/>
    <x v="0"/>
    <x v="0"/>
    <x v="1"/>
    <s v="DK2_Rural"/>
    <x v="3"/>
    <x v="71"/>
    <x v="0"/>
    <x v="8"/>
    <n v="20.8333333333333"/>
    <n v="7604.1666666666697"/>
    <n v="27375"/>
  </r>
  <r>
    <x v="0"/>
    <x v="0"/>
    <x v="0"/>
    <x v="0"/>
    <x v="1"/>
    <s v="DK2_Rural"/>
    <x v="3"/>
    <x v="71"/>
    <x v="0"/>
    <x v="0"/>
    <n v="20.8333333333333"/>
    <n v="7604.1666666666697"/>
    <n v="27375"/>
  </r>
  <r>
    <x v="0"/>
    <x v="0"/>
    <x v="0"/>
    <x v="0"/>
    <x v="1"/>
    <s v="DK2_Rural"/>
    <x v="3"/>
    <x v="71"/>
    <x v="0"/>
    <x v="1"/>
    <n v="20.8333333333333"/>
    <n v="7604.1666666666697"/>
    <n v="27375"/>
  </r>
  <r>
    <x v="0"/>
    <x v="0"/>
    <x v="0"/>
    <x v="0"/>
    <x v="1"/>
    <s v="DK2_Rural"/>
    <x v="3"/>
    <x v="71"/>
    <x v="0"/>
    <x v="2"/>
    <n v="20.8333333333333"/>
    <n v="7604.1666666666697"/>
    <n v="27375"/>
  </r>
  <r>
    <x v="0"/>
    <x v="0"/>
    <x v="0"/>
    <x v="0"/>
    <x v="1"/>
    <s v="DK2_Rural"/>
    <x v="3"/>
    <x v="71"/>
    <x v="0"/>
    <x v="9"/>
    <n v="20.8333333333333"/>
    <n v="7604.1666666666697"/>
    <n v="27375"/>
  </r>
  <r>
    <x v="0"/>
    <x v="0"/>
    <x v="0"/>
    <x v="0"/>
    <x v="1"/>
    <s v="DK2_Rural"/>
    <x v="3"/>
    <x v="71"/>
    <x v="0"/>
    <x v="10"/>
    <n v="20.8333333333333"/>
    <n v="7604.1666666666697"/>
    <n v="27375"/>
  </r>
  <r>
    <x v="0"/>
    <x v="0"/>
    <x v="0"/>
    <x v="0"/>
    <x v="1"/>
    <s v="DK2_Rural"/>
    <x v="3"/>
    <x v="71"/>
    <x v="0"/>
    <x v="11"/>
    <n v="20.8333333333333"/>
    <n v="7604.1666666666697"/>
    <n v="27375"/>
  </r>
  <r>
    <x v="0"/>
    <x v="0"/>
    <x v="0"/>
    <x v="0"/>
    <x v="1"/>
    <s v="DK2_Rural"/>
    <x v="3"/>
    <x v="71"/>
    <x v="0"/>
    <x v="12"/>
    <n v="20.8333333333333"/>
    <n v="7604.1666666666697"/>
    <n v="27375"/>
  </r>
  <r>
    <x v="0"/>
    <x v="0"/>
    <x v="0"/>
    <x v="0"/>
    <x v="1"/>
    <s v="DK2_Rural"/>
    <x v="3"/>
    <x v="71"/>
    <x v="0"/>
    <x v="13"/>
    <n v="20.8333333333333"/>
    <n v="7604.1666666666697"/>
    <n v="27375"/>
  </r>
  <r>
    <x v="0"/>
    <x v="0"/>
    <x v="0"/>
    <x v="0"/>
    <x v="1"/>
    <s v="DK2_Rural"/>
    <x v="3"/>
    <x v="71"/>
    <x v="0"/>
    <x v="14"/>
    <n v="20.8333333333333"/>
    <n v="7604.1666666666697"/>
    <n v="27375"/>
  </r>
  <r>
    <x v="0"/>
    <x v="0"/>
    <x v="0"/>
    <x v="0"/>
    <x v="1"/>
    <s v="DK2_Rural"/>
    <x v="3"/>
    <x v="71"/>
    <x v="0"/>
    <x v="15"/>
    <n v="20.8333333333333"/>
    <n v="7604.1666666666697"/>
    <n v="27375"/>
  </r>
  <r>
    <x v="0"/>
    <x v="0"/>
    <x v="0"/>
    <x v="0"/>
    <x v="1"/>
    <s v="DK2_Rural"/>
    <x v="3"/>
    <x v="71"/>
    <x v="0"/>
    <x v="16"/>
    <n v="20.8333333333333"/>
    <n v="7604.1666666666697"/>
    <n v="27375"/>
  </r>
  <r>
    <x v="0"/>
    <x v="0"/>
    <x v="0"/>
    <x v="0"/>
    <x v="1"/>
    <s v="DK2_Rural"/>
    <x v="3"/>
    <x v="71"/>
    <x v="0"/>
    <x v="17"/>
    <n v="20.8333333333333"/>
    <n v="7604.1666666666697"/>
    <n v="27375"/>
  </r>
  <r>
    <x v="0"/>
    <x v="0"/>
    <x v="0"/>
    <x v="0"/>
    <x v="1"/>
    <s v="DK2_Rural"/>
    <x v="3"/>
    <x v="71"/>
    <x v="0"/>
    <x v="18"/>
    <n v="20.8333333333333"/>
    <n v="7604.1666666666697"/>
    <n v="27375"/>
  </r>
  <r>
    <x v="0"/>
    <x v="0"/>
    <x v="0"/>
    <x v="0"/>
    <x v="1"/>
    <s v="DK2_Rural"/>
    <x v="3"/>
    <x v="71"/>
    <x v="0"/>
    <x v="19"/>
    <n v="20.8333333333333"/>
    <n v="7604.1666666666697"/>
    <n v="27375"/>
  </r>
  <r>
    <x v="0"/>
    <x v="0"/>
    <x v="0"/>
    <x v="0"/>
    <x v="1"/>
    <s v="DK2_Rural"/>
    <x v="3"/>
    <x v="71"/>
    <x v="0"/>
    <x v="20"/>
    <n v="20.8333333333333"/>
    <n v="7604.1666666666697"/>
    <n v="27375"/>
  </r>
  <r>
    <x v="0"/>
    <x v="0"/>
    <x v="0"/>
    <x v="0"/>
    <x v="1"/>
    <s v="DK2_Rural"/>
    <x v="3"/>
    <x v="71"/>
    <x v="0"/>
    <x v="21"/>
    <n v="20.8333333333333"/>
    <n v="7604.1666666666697"/>
    <n v="27375"/>
  </r>
  <r>
    <x v="0"/>
    <x v="0"/>
    <x v="0"/>
    <x v="0"/>
    <x v="1"/>
    <s v="DK2_Rural"/>
    <x v="3"/>
    <x v="71"/>
    <x v="0"/>
    <x v="22"/>
    <n v="20.8333333333333"/>
    <n v="7604.1666666666697"/>
    <n v="27375"/>
  </r>
  <r>
    <x v="0"/>
    <x v="0"/>
    <x v="0"/>
    <x v="0"/>
    <x v="1"/>
    <s v="DK2_Rural"/>
    <x v="3"/>
    <x v="71"/>
    <x v="0"/>
    <x v="23"/>
    <n v="20.8333333333333"/>
    <n v="7604.1666666666697"/>
    <n v="27375"/>
  </r>
  <r>
    <x v="0"/>
    <x v="0"/>
    <x v="0"/>
    <x v="0"/>
    <x v="1"/>
    <s v="DK2_Rural"/>
    <x v="3"/>
    <x v="72"/>
    <x v="0"/>
    <x v="3"/>
    <n v="36.962962962962997"/>
    <n v="13491.4814814815"/>
    <n v="48569.333333333299"/>
  </r>
  <r>
    <x v="0"/>
    <x v="0"/>
    <x v="0"/>
    <x v="0"/>
    <x v="1"/>
    <s v="DK2_Rural"/>
    <x v="3"/>
    <x v="72"/>
    <x v="0"/>
    <x v="4"/>
    <n v="36.962962962962997"/>
    <n v="13491.4814814815"/>
    <n v="48569.333333333299"/>
  </r>
  <r>
    <x v="0"/>
    <x v="0"/>
    <x v="0"/>
    <x v="0"/>
    <x v="1"/>
    <s v="DK2_Rural"/>
    <x v="3"/>
    <x v="72"/>
    <x v="0"/>
    <x v="5"/>
    <n v="36.962962962962997"/>
    <n v="13491.4814814815"/>
    <n v="48569.333333333299"/>
  </r>
  <r>
    <x v="0"/>
    <x v="0"/>
    <x v="0"/>
    <x v="0"/>
    <x v="1"/>
    <s v="DK2_Rural"/>
    <x v="3"/>
    <x v="72"/>
    <x v="0"/>
    <x v="6"/>
    <n v="36.962962962962997"/>
    <n v="13491.4814814815"/>
    <n v="48569.333333333299"/>
  </r>
  <r>
    <x v="0"/>
    <x v="0"/>
    <x v="0"/>
    <x v="0"/>
    <x v="1"/>
    <s v="DK2_Rural"/>
    <x v="3"/>
    <x v="72"/>
    <x v="0"/>
    <x v="7"/>
    <n v="36.962962962962997"/>
    <n v="13491.4814814815"/>
    <n v="48569.333333333299"/>
  </r>
  <r>
    <x v="0"/>
    <x v="0"/>
    <x v="0"/>
    <x v="0"/>
    <x v="1"/>
    <s v="DK2_Rural"/>
    <x v="3"/>
    <x v="72"/>
    <x v="0"/>
    <x v="8"/>
    <n v="36.962962962962997"/>
    <n v="13491.4814814815"/>
    <n v="48569.333333333299"/>
  </r>
  <r>
    <x v="0"/>
    <x v="0"/>
    <x v="0"/>
    <x v="0"/>
    <x v="1"/>
    <s v="DK2_Rural"/>
    <x v="3"/>
    <x v="72"/>
    <x v="0"/>
    <x v="0"/>
    <n v="36.962962962962997"/>
    <n v="13491.4814814815"/>
    <n v="48569.333333333299"/>
  </r>
  <r>
    <x v="0"/>
    <x v="0"/>
    <x v="0"/>
    <x v="0"/>
    <x v="1"/>
    <s v="DK2_Rural"/>
    <x v="3"/>
    <x v="72"/>
    <x v="0"/>
    <x v="1"/>
    <n v="36.962962962962997"/>
    <n v="13491.4814814815"/>
    <n v="48569.333333333299"/>
  </r>
  <r>
    <x v="0"/>
    <x v="0"/>
    <x v="0"/>
    <x v="0"/>
    <x v="1"/>
    <s v="DK2_Rural"/>
    <x v="3"/>
    <x v="72"/>
    <x v="0"/>
    <x v="2"/>
    <n v="36.962962962962997"/>
    <n v="13491.4814814815"/>
    <n v="48569.333333333299"/>
  </r>
  <r>
    <x v="0"/>
    <x v="0"/>
    <x v="0"/>
    <x v="0"/>
    <x v="1"/>
    <s v="DK2_Rural"/>
    <x v="3"/>
    <x v="72"/>
    <x v="0"/>
    <x v="9"/>
    <n v="36.962962962962997"/>
    <n v="13491.4814814815"/>
    <n v="48569.333333333299"/>
  </r>
  <r>
    <x v="0"/>
    <x v="0"/>
    <x v="0"/>
    <x v="0"/>
    <x v="1"/>
    <s v="DK2_Rural"/>
    <x v="3"/>
    <x v="72"/>
    <x v="0"/>
    <x v="10"/>
    <n v="36.962962962962997"/>
    <n v="13491.4814814815"/>
    <n v="48569.333333333299"/>
  </r>
  <r>
    <x v="0"/>
    <x v="0"/>
    <x v="0"/>
    <x v="0"/>
    <x v="1"/>
    <s v="DK2_Rural"/>
    <x v="3"/>
    <x v="72"/>
    <x v="0"/>
    <x v="11"/>
    <n v="36.962962962962997"/>
    <n v="13491.4814814815"/>
    <n v="48569.333333333299"/>
  </r>
  <r>
    <x v="0"/>
    <x v="0"/>
    <x v="0"/>
    <x v="0"/>
    <x v="1"/>
    <s v="DK2_Rural"/>
    <x v="3"/>
    <x v="72"/>
    <x v="0"/>
    <x v="12"/>
    <n v="36.962962962962997"/>
    <n v="13491.4814814815"/>
    <n v="48569.333333333299"/>
  </r>
  <r>
    <x v="0"/>
    <x v="0"/>
    <x v="0"/>
    <x v="0"/>
    <x v="1"/>
    <s v="DK2_Rural"/>
    <x v="3"/>
    <x v="72"/>
    <x v="0"/>
    <x v="13"/>
    <n v="36.962962962962997"/>
    <n v="13491.4814814815"/>
    <n v="48569.333333333299"/>
  </r>
  <r>
    <x v="0"/>
    <x v="0"/>
    <x v="0"/>
    <x v="0"/>
    <x v="1"/>
    <s v="DK2_Rural"/>
    <x v="3"/>
    <x v="72"/>
    <x v="0"/>
    <x v="14"/>
    <n v="36.962962962962997"/>
    <n v="13491.4814814815"/>
    <n v="48569.333333333299"/>
  </r>
  <r>
    <x v="0"/>
    <x v="0"/>
    <x v="0"/>
    <x v="0"/>
    <x v="1"/>
    <s v="DK2_Rural"/>
    <x v="3"/>
    <x v="72"/>
    <x v="0"/>
    <x v="15"/>
    <n v="36.962962962962997"/>
    <n v="13491.4814814815"/>
    <n v="48569.333333333299"/>
  </r>
  <r>
    <x v="0"/>
    <x v="0"/>
    <x v="0"/>
    <x v="0"/>
    <x v="1"/>
    <s v="DK2_Rural"/>
    <x v="3"/>
    <x v="72"/>
    <x v="0"/>
    <x v="16"/>
    <n v="36.962962962962997"/>
    <n v="13491.4814814815"/>
    <n v="48569.333333333299"/>
  </r>
  <r>
    <x v="0"/>
    <x v="0"/>
    <x v="0"/>
    <x v="0"/>
    <x v="1"/>
    <s v="DK2_Rural"/>
    <x v="3"/>
    <x v="72"/>
    <x v="0"/>
    <x v="17"/>
    <n v="36.962962962962997"/>
    <n v="13491.4814814815"/>
    <n v="48569.333333333299"/>
  </r>
  <r>
    <x v="0"/>
    <x v="0"/>
    <x v="0"/>
    <x v="0"/>
    <x v="1"/>
    <s v="DK2_Rural"/>
    <x v="3"/>
    <x v="72"/>
    <x v="0"/>
    <x v="18"/>
    <n v="36.962962962962997"/>
    <n v="13491.4814814815"/>
    <n v="48569.333333333299"/>
  </r>
  <r>
    <x v="0"/>
    <x v="0"/>
    <x v="0"/>
    <x v="0"/>
    <x v="1"/>
    <s v="DK2_Rural"/>
    <x v="3"/>
    <x v="72"/>
    <x v="0"/>
    <x v="19"/>
    <n v="36.962962962962997"/>
    <n v="13491.4814814815"/>
    <n v="48569.333333333299"/>
  </r>
  <r>
    <x v="0"/>
    <x v="0"/>
    <x v="0"/>
    <x v="0"/>
    <x v="1"/>
    <s v="DK2_Rural"/>
    <x v="3"/>
    <x v="72"/>
    <x v="0"/>
    <x v="20"/>
    <n v="36.962962962962997"/>
    <n v="13491.4814814815"/>
    <n v="48569.333333333299"/>
  </r>
  <r>
    <x v="0"/>
    <x v="0"/>
    <x v="0"/>
    <x v="0"/>
    <x v="1"/>
    <s v="DK2_Rural"/>
    <x v="3"/>
    <x v="72"/>
    <x v="0"/>
    <x v="21"/>
    <n v="36.962962962962997"/>
    <n v="13491.4814814815"/>
    <n v="48569.333333333299"/>
  </r>
  <r>
    <x v="0"/>
    <x v="0"/>
    <x v="0"/>
    <x v="0"/>
    <x v="1"/>
    <s v="DK2_Rural"/>
    <x v="3"/>
    <x v="72"/>
    <x v="0"/>
    <x v="22"/>
    <n v="36.962962962962997"/>
    <n v="13491.4814814815"/>
    <n v="48569.333333333299"/>
  </r>
  <r>
    <x v="0"/>
    <x v="0"/>
    <x v="0"/>
    <x v="0"/>
    <x v="1"/>
    <s v="DK2_Rural"/>
    <x v="3"/>
    <x v="72"/>
    <x v="0"/>
    <x v="23"/>
    <n v="36.962962962962997"/>
    <n v="13491.4814814815"/>
    <n v="48569.333333333299"/>
  </r>
  <r>
    <x v="0"/>
    <x v="0"/>
    <x v="0"/>
    <x v="0"/>
    <x v="1"/>
    <s v="DK2_Rural"/>
    <x v="3"/>
    <x v="73"/>
    <x v="0"/>
    <x v="3"/>
    <n v="39.655172413793103"/>
    <n v="14474.1379310345"/>
    <n v="52106.896551724203"/>
  </r>
  <r>
    <x v="0"/>
    <x v="0"/>
    <x v="0"/>
    <x v="0"/>
    <x v="1"/>
    <s v="DK2_Rural"/>
    <x v="3"/>
    <x v="73"/>
    <x v="0"/>
    <x v="4"/>
    <n v="39.655172413793103"/>
    <n v="14474.1379310345"/>
    <n v="52106.896551724203"/>
  </r>
  <r>
    <x v="0"/>
    <x v="0"/>
    <x v="0"/>
    <x v="0"/>
    <x v="1"/>
    <s v="DK2_Rural"/>
    <x v="3"/>
    <x v="73"/>
    <x v="0"/>
    <x v="5"/>
    <n v="39.655172413793103"/>
    <n v="14474.1379310345"/>
    <n v="52106.896551724203"/>
  </r>
  <r>
    <x v="0"/>
    <x v="0"/>
    <x v="0"/>
    <x v="0"/>
    <x v="1"/>
    <s v="DK2_Rural"/>
    <x v="3"/>
    <x v="73"/>
    <x v="0"/>
    <x v="6"/>
    <n v="39.655172413793103"/>
    <n v="14474.1379310345"/>
    <n v="52106.896551724203"/>
  </r>
  <r>
    <x v="0"/>
    <x v="0"/>
    <x v="0"/>
    <x v="0"/>
    <x v="1"/>
    <s v="DK2_Rural"/>
    <x v="3"/>
    <x v="73"/>
    <x v="0"/>
    <x v="7"/>
    <n v="39.655172413793103"/>
    <n v="14474.1379310345"/>
    <n v="52106.896551724203"/>
  </r>
  <r>
    <x v="0"/>
    <x v="0"/>
    <x v="0"/>
    <x v="0"/>
    <x v="1"/>
    <s v="DK2_Rural"/>
    <x v="3"/>
    <x v="73"/>
    <x v="0"/>
    <x v="8"/>
    <n v="39.655172413793103"/>
    <n v="14474.1379310345"/>
    <n v="52106.896551724203"/>
  </r>
  <r>
    <x v="0"/>
    <x v="0"/>
    <x v="0"/>
    <x v="0"/>
    <x v="1"/>
    <s v="DK2_Rural"/>
    <x v="3"/>
    <x v="73"/>
    <x v="0"/>
    <x v="0"/>
    <n v="39.655172413793103"/>
    <n v="14474.1379310345"/>
    <n v="52106.896551724203"/>
  </r>
  <r>
    <x v="0"/>
    <x v="0"/>
    <x v="0"/>
    <x v="0"/>
    <x v="1"/>
    <s v="DK2_Rural"/>
    <x v="3"/>
    <x v="73"/>
    <x v="0"/>
    <x v="1"/>
    <n v="39.655172413793103"/>
    <n v="14474.1379310345"/>
    <n v="52106.896551724203"/>
  </r>
  <r>
    <x v="0"/>
    <x v="0"/>
    <x v="0"/>
    <x v="0"/>
    <x v="1"/>
    <s v="DK2_Rural"/>
    <x v="3"/>
    <x v="73"/>
    <x v="0"/>
    <x v="2"/>
    <n v="39.655172413793103"/>
    <n v="14474.1379310345"/>
    <n v="52106.896551724203"/>
  </r>
  <r>
    <x v="0"/>
    <x v="0"/>
    <x v="0"/>
    <x v="0"/>
    <x v="1"/>
    <s v="DK2_Rural"/>
    <x v="3"/>
    <x v="73"/>
    <x v="0"/>
    <x v="9"/>
    <n v="39.655172413793103"/>
    <n v="14474.1379310345"/>
    <n v="52106.896551724203"/>
  </r>
  <r>
    <x v="0"/>
    <x v="0"/>
    <x v="0"/>
    <x v="0"/>
    <x v="1"/>
    <s v="DK2_Rural"/>
    <x v="3"/>
    <x v="73"/>
    <x v="0"/>
    <x v="10"/>
    <n v="39.655172413793103"/>
    <n v="14474.1379310345"/>
    <n v="52106.896551724203"/>
  </r>
  <r>
    <x v="0"/>
    <x v="0"/>
    <x v="0"/>
    <x v="0"/>
    <x v="1"/>
    <s v="DK2_Rural"/>
    <x v="3"/>
    <x v="73"/>
    <x v="0"/>
    <x v="11"/>
    <n v="39.655172413793103"/>
    <n v="14474.1379310345"/>
    <n v="52106.896551724203"/>
  </r>
  <r>
    <x v="0"/>
    <x v="0"/>
    <x v="0"/>
    <x v="0"/>
    <x v="1"/>
    <s v="DK2_Rural"/>
    <x v="3"/>
    <x v="73"/>
    <x v="0"/>
    <x v="12"/>
    <n v="39.655172413793103"/>
    <n v="14474.1379310345"/>
    <n v="52106.896551724203"/>
  </r>
  <r>
    <x v="0"/>
    <x v="0"/>
    <x v="0"/>
    <x v="0"/>
    <x v="1"/>
    <s v="DK2_Rural"/>
    <x v="3"/>
    <x v="73"/>
    <x v="0"/>
    <x v="13"/>
    <n v="39.655172413793103"/>
    <n v="14474.1379310345"/>
    <n v="52106.896551724203"/>
  </r>
  <r>
    <x v="0"/>
    <x v="0"/>
    <x v="0"/>
    <x v="0"/>
    <x v="1"/>
    <s v="DK2_Rural"/>
    <x v="3"/>
    <x v="73"/>
    <x v="0"/>
    <x v="14"/>
    <n v="39.655172413793103"/>
    <n v="14474.1379310345"/>
    <n v="52106.896551724203"/>
  </r>
  <r>
    <x v="0"/>
    <x v="0"/>
    <x v="0"/>
    <x v="0"/>
    <x v="1"/>
    <s v="DK2_Rural"/>
    <x v="3"/>
    <x v="73"/>
    <x v="0"/>
    <x v="15"/>
    <n v="39.655172413793103"/>
    <n v="14474.1379310345"/>
    <n v="52106.896551724203"/>
  </r>
  <r>
    <x v="0"/>
    <x v="0"/>
    <x v="0"/>
    <x v="0"/>
    <x v="1"/>
    <s v="DK2_Rural"/>
    <x v="3"/>
    <x v="73"/>
    <x v="0"/>
    <x v="16"/>
    <n v="39.655172413793103"/>
    <n v="14474.1379310345"/>
    <n v="52106.896551724203"/>
  </r>
  <r>
    <x v="0"/>
    <x v="0"/>
    <x v="0"/>
    <x v="0"/>
    <x v="1"/>
    <s v="DK2_Rural"/>
    <x v="3"/>
    <x v="73"/>
    <x v="0"/>
    <x v="17"/>
    <n v="39.655172413793103"/>
    <n v="14474.1379310345"/>
    <n v="52106.896551724203"/>
  </r>
  <r>
    <x v="0"/>
    <x v="0"/>
    <x v="0"/>
    <x v="0"/>
    <x v="1"/>
    <s v="DK2_Rural"/>
    <x v="3"/>
    <x v="73"/>
    <x v="0"/>
    <x v="18"/>
    <n v="39.655172413793103"/>
    <n v="14474.1379310345"/>
    <n v="52106.896551724203"/>
  </r>
  <r>
    <x v="0"/>
    <x v="0"/>
    <x v="0"/>
    <x v="0"/>
    <x v="1"/>
    <s v="DK2_Rural"/>
    <x v="3"/>
    <x v="73"/>
    <x v="0"/>
    <x v="19"/>
    <n v="39.655172413793103"/>
    <n v="14474.1379310345"/>
    <n v="52106.896551724203"/>
  </r>
  <r>
    <x v="0"/>
    <x v="0"/>
    <x v="0"/>
    <x v="0"/>
    <x v="1"/>
    <s v="DK2_Rural"/>
    <x v="3"/>
    <x v="73"/>
    <x v="0"/>
    <x v="20"/>
    <n v="39.655172413793103"/>
    <n v="14474.1379310345"/>
    <n v="52106.896551724203"/>
  </r>
  <r>
    <x v="0"/>
    <x v="0"/>
    <x v="0"/>
    <x v="0"/>
    <x v="1"/>
    <s v="DK2_Rural"/>
    <x v="3"/>
    <x v="73"/>
    <x v="0"/>
    <x v="21"/>
    <n v="39.655172413793103"/>
    <n v="14474.1379310345"/>
    <n v="52106.896551724203"/>
  </r>
  <r>
    <x v="0"/>
    <x v="0"/>
    <x v="0"/>
    <x v="0"/>
    <x v="1"/>
    <s v="DK2_Rural"/>
    <x v="3"/>
    <x v="73"/>
    <x v="0"/>
    <x v="22"/>
    <n v="39.655172413793103"/>
    <n v="14474.1379310345"/>
    <n v="52106.896551724203"/>
  </r>
  <r>
    <x v="0"/>
    <x v="0"/>
    <x v="0"/>
    <x v="0"/>
    <x v="1"/>
    <s v="DK2_Rural"/>
    <x v="3"/>
    <x v="73"/>
    <x v="0"/>
    <x v="23"/>
    <n v="39.655172413793103"/>
    <n v="14474.1379310345"/>
    <n v="52106.896551724203"/>
  </r>
  <r>
    <x v="0"/>
    <x v="0"/>
    <x v="0"/>
    <x v="0"/>
    <x v="1"/>
    <s v="DK2_Rural"/>
    <x v="4"/>
    <x v="19"/>
    <x v="0"/>
    <x v="3"/>
    <n v="16.5"/>
    <n v="6022.5"/>
    <n v="21681"/>
  </r>
  <r>
    <x v="0"/>
    <x v="0"/>
    <x v="0"/>
    <x v="0"/>
    <x v="1"/>
    <s v="DK2_Rural"/>
    <x v="4"/>
    <x v="19"/>
    <x v="0"/>
    <x v="4"/>
    <n v="16.5"/>
    <n v="6022.5"/>
    <n v="21681"/>
  </r>
  <r>
    <x v="0"/>
    <x v="0"/>
    <x v="0"/>
    <x v="0"/>
    <x v="1"/>
    <s v="DK2_Rural"/>
    <x v="4"/>
    <x v="19"/>
    <x v="0"/>
    <x v="5"/>
    <n v="16.5"/>
    <n v="6022.5"/>
    <n v="21681"/>
  </r>
  <r>
    <x v="0"/>
    <x v="0"/>
    <x v="0"/>
    <x v="0"/>
    <x v="1"/>
    <s v="DK2_Rural"/>
    <x v="4"/>
    <x v="19"/>
    <x v="0"/>
    <x v="6"/>
    <n v="16.5"/>
    <n v="6022.5"/>
    <n v="21681"/>
  </r>
  <r>
    <x v="0"/>
    <x v="0"/>
    <x v="0"/>
    <x v="0"/>
    <x v="1"/>
    <s v="DK2_Rural"/>
    <x v="4"/>
    <x v="19"/>
    <x v="0"/>
    <x v="7"/>
    <n v="16.5"/>
    <n v="6022.5"/>
    <n v="21681"/>
  </r>
  <r>
    <x v="0"/>
    <x v="0"/>
    <x v="0"/>
    <x v="0"/>
    <x v="1"/>
    <s v="DK2_Rural"/>
    <x v="4"/>
    <x v="19"/>
    <x v="0"/>
    <x v="8"/>
    <n v="16.5"/>
    <n v="6022.5"/>
    <n v="21681"/>
  </r>
  <r>
    <x v="0"/>
    <x v="0"/>
    <x v="0"/>
    <x v="0"/>
    <x v="1"/>
    <s v="DK2_Rural"/>
    <x v="4"/>
    <x v="19"/>
    <x v="0"/>
    <x v="0"/>
    <n v="16.5"/>
    <n v="6022.5"/>
    <n v="21681"/>
  </r>
  <r>
    <x v="0"/>
    <x v="0"/>
    <x v="0"/>
    <x v="0"/>
    <x v="1"/>
    <s v="DK2_Rural"/>
    <x v="4"/>
    <x v="19"/>
    <x v="0"/>
    <x v="1"/>
    <n v="16.5"/>
    <n v="6022.5"/>
    <n v="21681"/>
  </r>
  <r>
    <x v="0"/>
    <x v="0"/>
    <x v="0"/>
    <x v="0"/>
    <x v="1"/>
    <s v="DK2_Rural"/>
    <x v="4"/>
    <x v="19"/>
    <x v="0"/>
    <x v="2"/>
    <n v="16.5"/>
    <n v="6022.5"/>
    <n v="21681"/>
  </r>
  <r>
    <x v="0"/>
    <x v="0"/>
    <x v="0"/>
    <x v="0"/>
    <x v="1"/>
    <s v="DK2_Rural"/>
    <x v="4"/>
    <x v="19"/>
    <x v="0"/>
    <x v="9"/>
    <n v="16.5"/>
    <n v="6022.5"/>
    <n v="21681"/>
  </r>
  <r>
    <x v="0"/>
    <x v="0"/>
    <x v="0"/>
    <x v="0"/>
    <x v="1"/>
    <s v="DK2_Rural"/>
    <x v="4"/>
    <x v="19"/>
    <x v="0"/>
    <x v="10"/>
    <n v="16.5"/>
    <n v="6022.5"/>
    <n v="21681"/>
  </r>
  <r>
    <x v="0"/>
    <x v="0"/>
    <x v="0"/>
    <x v="0"/>
    <x v="1"/>
    <s v="DK2_Rural"/>
    <x v="4"/>
    <x v="19"/>
    <x v="0"/>
    <x v="11"/>
    <n v="16.5"/>
    <n v="6022.5"/>
    <n v="21681"/>
  </r>
  <r>
    <x v="0"/>
    <x v="0"/>
    <x v="0"/>
    <x v="0"/>
    <x v="1"/>
    <s v="DK2_Rural"/>
    <x v="4"/>
    <x v="19"/>
    <x v="0"/>
    <x v="12"/>
    <n v="16.5"/>
    <n v="6022.5"/>
    <n v="21681"/>
  </r>
  <r>
    <x v="0"/>
    <x v="0"/>
    <x v="0"/>
    <x v="0"/>
    <x v="1"/>
    <s v="DK2_Rural"/>
    <x v="4"/>
    <x v="19"/>
    <x v="0"/>
    <x v="13"/>
    <n v="16.5"/>
    <n v="6022.5"/>
    <n v="21681"/>
  </r>
  <r>
    <x v="0"/>
    <x v="0"/>
    <x v="0"/>
    <x v="0"/>
    <x v="1"/>
    <s v="DK2_Rural"/>
    <x v="4"/>
    <x v="19"/>
    <x v="0"/>
    <x v="14"/>
    <n v="16.5"/>
    <n v="6022.5"/>
    <n v="21681"/>
  </r>
  <r>
    <x v="0"/>
    <x v="0"/>
    <x v="0"/>
    <x v="0"/>
    <x v="1"/>
    <s v="DK2_Rural"/>
    <x v="4"/>
    <x v="19"/>
    <x v="0"/>
    <x v="15"/>
    <n v="16.5"/>
    <n v="6022.5"/>
    <n v="21681"/>
  </r>
  <r>
    <x v="0"/>
    <x v="0"/>
    <x v="0"/>
    <x v="0"/>
    <x v="1"/>
    <s v="DK2_Rural"/>
    <x v="4"/>
    <x v="19"/>
    <x v="0"/>
    <x v="16"/>
    <n v="16.5"/>
    <n v="6022.5"/>
    <n v="21681"/>
  </r>
  <r>
    <x v="0"/>
    <x v="0"/>
    <x v="0"/>
    <x v="0"/>
    <x v="1"/>
    <s v="DK2_Rural"/>
    <x v="4"/>
    <x v="19"/>
    <x v="0"/>
    <x v="17"/>
    <n v="16.5"/>
    <n v="6022.5"/>
    <n v="21681"/>
  </r>
  <r>
    <x v="0"/>
    <x v="0"/>
    <x v="0"/>
    <x v="0"/>
    <x v="1"/>
    <s v="DK2_Rural"/>
    <x v="4"/>
    <x v="19"/>
    <x v="0"/>
    <x v="18"/>
    <n v="16.5"/>
    <n v="6022.5"/>
    <n v="21681"/>
  </r>
  <r>
    <x v="0"/>
    <x v="0"/>
    <x v="0"/>
    <x v="0"/>
    <x v="1"/>
    <s v="DK2_Rural"/>
    <x v="4"/>
    <x v="19"/>
    <x v="0"/>
    <x v="19"/>
    <n v="16.5"/>
    <n v="6022.5"/>
    <n v="21681"/>
  </r>
  <r>
    <x v="0"/>
    <x v="0"/>
    <x v="0"/>
    <x v="0"/>
    <x v="1"/>
    <s v="DK2_Rural"/>
    <x v="4"/>
    <x v="19"/>
    <x v="0"/>
    <x v="20"/>
    <n v="16.5"/>
    <n v="6022.5"/>
    <n v="21681"/>
  </r>
  <r>
    <x v="0"/>
    <x v="0"/>
    <x v="0"/>
    <x v="0"/>
    <x v="1"/>
    <s v="DK2_Rural"/>
    <x v="4"/>
    <x v="19"/>
    <x v="0"/>
    <x v="21"/>
    <n v="16.5"/>
    <n v="6022.5"/>
    <n v="21681"/>
  </r>
  <r>
    <x v="0"/>
    <x v="0"/>
    <x v="0"/>
    <x v="0"/>
    <x v="1"/>
    <s v="DK2_Rural"/>
    <x v="4"/>
    <x v="19"/>
    <x v="0"/>
    <x v="22"/>
    <n v="16.5"/>
    <n v="6022.5"/>
    <n v="21681"/>
  </r>
  <r>
    <x v="0"/>
    <x v="0"/>
    <x v="0"/>
    <x v="0"/>
    <x v="1"/>
    <s v="DK2_Rural"/>
    <x v="4"/>
    <x v="19"/>
    <x v="0"/>
    <x v="23"/>
    <n v="16.5"/>
    <n v="6022.5"/>
    <n v="21681"/>
  </r>
  <r>
    <x v="0"/>
    <x v="0"/>
    <x v="0"/>
    <x v="0"/>
    <x v="1"/>
    <s v="DK2_Rural"/>
    <x v="10"/>
    <x v="54"/>
    <x v="0"/>
    <x v="3"/>
    <n v="6.3"/>
    <n v="2299.5"/>
    <n v="8278.2000000000007"/>
  </r>
  <r>
    <x v="0"/>
    <x v="0"/>
    <x v="0"/>
    <x v="0"/>
    <x v="1"/>
    <s v="DK2_Rural"/>
    <x v="10"/>
    <x v="54"/>
    <x v="0"/>
    <x v="4"/>
    <n v="6.3"/>
    <n v="2299.5"/>
    <n v="8278.2000000000007"/>
  </r>
  <r>
    <x v="0"/>
    <x v="0"/>
    <x v="0"/>
    <x v="0"/>
    <x v="1"/>
    <s v="DK2_Rural"/>
    <x v="10"/>
    <x v="54"/>
    <x v="0"/>
    <x v="5"/>
    <n v="6.3"/>
    <n v="2299.5"/>
    <n v="8278.2000000000007"/>
  </r>
  <r>
    <x v="0"/>
    <x v="0"/>
    <x v="0"/>
    <x v="0"/>
    <x v="1"/>
    <s v="DK2_Rural"/>
    <x v="10"/>
    <x v="54"/>
    <x v="0"/>
    <x v="6"/>
    <n v="6.3"/>
    <n v="2299.5"/>
    <n v="8278.2000000000007"/>
  </r>
  <r>
    <x v="0"/>
    <x v="0"/>
    <x v="0"/>
    <x v="0"/>
    <x v="1"/>
    <s v="DK2_Rural"/>
    <x v="10"/>
    <x v="54"/>
    <x v="0"/>
    <x v="7"/>
    <n v="6.3"/>
    <n v="2299.5"/>
    <n v="8278.2000000000007"/>
  </r>
  <r>
    <x v="0"/>
    <x v="0"/>
    <x v="0"/>
    <x v="0"/>
    <x v="1"/>
    <s v="DK2_Rural"/>
    <x v="10"/>
    <x v="54"/>
    <x v="0"/>
    <x v="8"/>
    <n v="6.3"/>
    <n v="2299.5"/>
    <n v="8278.2000000000007"/>
  </r>
  <r>
    <x v="0"/>
    <x v="0"/>
    <x v="0"/>
    <x v="0"/>
    <x v="1"/>
    <s v="DK2_Rural"/>
    <x v="10"/>
    <x v="54"/>
    <x v="0"/>
    <x v="0"/>
    <n v="6.3"/>
    <n v="2299.5"/>
    <n v="8278.2000000000007"/>
  </r>
  <r>
    <x v="0"/>
    <x v="0"/>
    <x v="0"/>
    <x v="0"/>
    <x v="1"/>
    <s v="DK2_Rural"/>
    <x v="10"/>
    <x v="54"/>
    <x v="0"/>
    <x v="1"/>
    <n v="6.3"/>
    <n v="2299.5"/>
    <n v="8278.2000000000007"/>
  </r>
  <r>
    <x v="0"/>
    <x v="0"/>
    <x v="0"/>
    <x v="0"/>
    <x v="1"/>
    <s v="DK2_Rural"/>
    <x v="10"/>
    <x v="54"/>
    <x v="0"/>
    <x v="2"/>
    <n v="6.3"/>
    <n v="2299.5"/>
    <n v="8278.2000000000007"/>
  </r>
  <r>
    <x v="0"/>
    <x v="0"/>
    <x v="0"/>
    <x v="0"/>
    <x v="1"/>
    <s v="DK2_Rural"/>
    <x v="10"/>
    <x v="54"/>
    <x v="0"/>
    <x v="9"/>
    <n v="6.3"/>
    <n v="2299.5"/>
    <n v="8278.2000000000007"/>
  </r>
  <r>
    <x v="0"/>
    <x v="0"/>
    <x v="0"/>
    <x v="0"/>
    <x v="1"/>
    <s v="DK2_Rural"/>
    <x v="10"/>
    <x v="54"/>
    <x v="0"/>
    <x v="10"/>
    <n v="6.3"/>
    <n v="2299.5"/>
    <n v="8278.2000000000007"/>
  </r>
  <r>
    <x v="0"/>
    <x v="0"/>
    <x v="0"/>
    <x v="0"/>
    <x v="1"/>
    <s v="DK2_Rural"/>
    <x v="10"/>
    <x v="54"/>
    <x v="0"/>
    <x v="11"/>
    <n v="6.3"/>
    <n v="2299.5"/>
    <n v="8278.2000000000007"/>
  </r>
  <r>
    <x v="0"/>
    <x v="0"/>
    <x v="0"/>
    <x v="0"/>
    <x v="1"/>
    <s v="DK2_Rural"/>
    <x v="10"/>
    <x v="54"/>
    <x v="0"/>
    <x v="12"/>
    <n v="6.3"/>
    <n v="2299.5"/>
    <n v="8278.2000000000007"/>
  </r>
  <r>
    <x v="0"/>
    <x v="0"/>
    <x v="0"/>
    <x v="0"/>
    <x v="1"/>
    <s v="DK2_Rural"/>
    <x v="10"/>
    <x v="54"/>
    <x v="0"/>
    <x v="13"/>
    <n v="6.3"/>
    <n v="2299.5"/>
    <n v="8278.2000000000007"/>
  </r>
  <r>
    <x v="0"/>
    <x v="0"/>
    <x v="0"/>
    <x v="0"/>
    <x v="1"/>
    <s v="DK2_Rural"/>
    <x v="10"/>
    <x v="54"/>
    <x v="0"/>
    <x v="14"/>
    <n v="6.3"/>
    <n v="2299.5"/>
    <n v="8278.2000000000007"/>
  </r>
  <r>
    <x v="0"/>
    <x v="0"/>
    <x v="0"/>
    <x v="0"/>
    <x v="1"/>
    <s v="DK2_Rural"/>
    <x v="10"/>
    <x v="54"/>
    <x v="0"/>
    <x v="15"/>
    <n v="6.3"/>
    <n v="2299.5"/>
    <n v="8278.2000000000007"/>
  </r>
  <r>
    <x v="0"/>
    <x v="0"/>
    <x v="0"/>
    <x v="0"/>
    <x v="1"/>
    <s v="DK2_Rural"/>
    <x v="10"/>
    <x v="54"/>
    <x v="0"/>
    <x v="16"/>
    <n v="6.3"/>
    <n v="2299.5"/>
    <n v="8278.2000000000007"/>
  </r>
  <r>
    <x v="0"/>
    <x v="0"/>
    <x v="0"/>
    <x v="0"/>
    <x v="1"/>
    <s v="DK2_Rural"/>
    <x v="10"/>
    <x v="54"/>
    <x v="0"/>
    <x v="17"/>
    <n v="6.3"/>
    <n v="2299.5"/>
    <n v="8278.2000000000007"/>
  </r>
  <r>
    <x v="0"/>
    <x v="0"/>
    <x v="0"/>
    <x v="0"/>
    <x v="1"/>
    <s v="DK2_Rural"/>
    <x v="10"/>
    <x v="54"/>
    <x v="0"/>
    <x v="18"/>
    <n v="6.3"/>
    <n v="2299.5"/>
    <n v="8278.2000000000007"/>
  </r>
  <r>
    <x v="0"/>
    <x v="0"/>
    <x v="0"/>
    <x v="0"/>
    <x v="1"/>
    <s v="DK2_Rural"/>
    <x v="10"/>
    <x v="54"/>
    <x v="0"/>
    <x v="19"/>
    <n v="6.3"/>
    <n v="2299.5"/>
    <n v="8278.2000000000007"/>
  </r>
  <r>
    <x v="0"/>
    <x v="0"/>
    <x v="0"/>
    <x v="0"/>
    <x v="1"/>
    <s v="DK2_Rural"/>
    <x v="10"/>
    <x v="54"/>
    <x v="0"/>
    <x v="20"/>
    <n v="6.3"/>
    <n v="2299.5"/>
    <n v="8278.2000000000007"/>
  </r>
  <r>
    <x v="0"/>
    <x v="0"/>
    <x v="0"/>
    <x v="0"/>
    <x v="1"/>
    <s v="DK2_Rural"/>
    <x v="10"/>
    <x v="54"/>
    <x v="0"/>
    <x v="21"/>
    <n v="6.3"/>
    <n v="2299.5"/>
    <n v="8278.2000000000007"/>
  </r>
  <r>
    <x v="0"/>
    <x v="0"/>
    <x v="0"/>
    <x v="0"/>
    <x v="1"/>
    <s v="DK2_Rural"/>
    <x v="10"/>
    <x v="54"/>
    <x v="0"/>
    <x v="22"/>
    <n v="6.3"/>
    <n v="2299.5"/>
    <n v="8278.2000000000007"/>
  </r>
  <r>
    <x v="0"/>
    <x v="0"/>
    <x v="0"/>
    <x v="0"/>
    <x v="1"/>
    <s v="DK2_Rural"/>
    <x v="10"/>
    <x v="54"/>
    <x v="0"/>
    <x v="23"/>
    <n v="6.3"/>
    <n v="2299.5"/>
    <n v="8278.2000000000007"/>
  </r>
  <r>
    <x v="0"/>
    <x v="0"/>
    <x v="0"/>
    <x v="0"/>
    <x v="1"/>
    <s v="DK2_Small"/>
    <x v="2"/>
    <x v="15"/>
    <x v="0"/>
    <x v="3"/>
    <n v="83.695652173913004"/>
    <n v="30548.9130434783"/>
    <n v="109976.08695652201"/>
  </r>
  <r>
    <x v="0"/>
    <x v="0"/>
    <x v="0"/>
    <x v="0"/>
    <x v="1"/>
    <s v="DK2_Small"/>
    <x v="2"/>
    <x v="15"/>
    <x v="0"/>
    <x v="4"/>
    <n v="83.695652173913004"/>
    <n v="30548.9130434783"/>
    <n v="109976.08695652201"/>
  </r>
  <r>
    <x v="0"/>
    <x v="0"/>
    <x v="0"/>
    <x v="0"/>
    <x v="1"/>
    <s v="DK2_Small"/>
    <x v="2"/>
    <x v="15"/>
    <x v="0"/>
    <x v="5"/>
    <n v="83.695652173913004"/>
    <n v="30548.9130434783"/>
    <n v="109976.08695652201"/>
  </r>
  <r>
    <x v="0"/>
    <x v="0"/>
    <x v="0"/>
    <x v="0"/>
    <x v="1"/>
    <s v="DK2_Small"/>
    <x v="2"/>
    <x v="15"/>
    <x v="0"/>
    <x v="6"/>
    <n v="83.695652173913004"/>
    <n v="30548.9130434783"/>
    <n v="109976.08695652201"/>
  </r>
  <r>
    <x v="0"/>
    <x v="0"/>
    <x v="0"/>
    <x v="0"/>
    <x v="1"/>
    <s v="DK2_Small"/>
    <x v="2"/>
    <x v="15"/>
    <x v="0"/>
    <x v="7"/>
    <n v="83.695652173913004"/>
    <n v="30548.9130434783"/>
    <n v="109976.08695652201"/>
  </r>
  <r>
    <x v="0"/>
    <x v="0"/>
    <x v="0"/>
    <x v="0"/>
    <x v="1"/>
    <s v="DK2_Small"/>
    <x v="2"/>
    <x v="15"/>
    <x v="0"/>
    <x v="8"/>
    <n v="83.695652173913004"/>
    <n v="30548.9130434783"/>
    <n v="109976.08695652201"/>
  </r>
  <r>
    <x v="0"/>
    <x v="0"/>
    <x v="0"/>
    <x v="0"/>
    <x v="1"/>
    <s v="DK2_Small"/>
    <x v="2"/>
    <x v="15"/>
    <x v="0"/>
    <x v="0"/>
    <n v="83.695652173913004"/>
    <n v="30548.9130434783"/>
    <n v="109976.08695652201"/>
  </r>
  <r>
    <x v="0"/>
    <x v="0"/>
    <x v="0"/>
    <x v="0"/>
    <x v="1"/>
    <s v="DK2_Small"/>
    <x v="2"/>
    <x v="15"/>
    <x v="0"/>
    <x v="1"/>
    <n v="83.695652173913004"/>
    <n v="30548.9130434783"/>
    <n v="109976.08695652201"/>
  </r>
  <r>
    <x v="0"/>
    <x v="0"/>
    <x v="0"/>
    <x v="0"/>
    <x v="1"/>
    <s v="DK2_Small"/>
    <x v="2"/>
    <x v="15"/>
    <x v="0"/>
    <x v="2"/>
    <n v="83.695652173913004"/>
    <n v="30548.9130434783"/>
    <n v="109976.08695652201"/>
  </r>
  <r>
    <x v="0"/>
    <x v="0"/>
    <x v="0"/>
    <x v="0"/>
    <x v="1"/>
    <s v="DK2_Small"/>
    <x v="2"/>
    <x v="15"/>
    <x v="0"/>
    <x v="9"/>
    <n v="83.695652173913004"/>
    <n v="30548.9130434783"/>
    <n v="109976.08695652201"/>
  </r>
  <r>
    <x v="0"/>
    <x v="0"/>
    <x v="0"/>
    <x v="0"/>
    <x v="1"/>
    <s v="DK2_Small"/>
    <x v="2"/>
    <x v="15"/>
    <x v="0"/>
    <x v="10"/>
    <n v="83.695652173913004"/>
    <n v="30548.9130434783"/>
    <n v="109976.08695652201"/>
  </r>
  <r>
    <x v="0"/>
    <x v="0"/>
    <x v="0"/>
    <x v="0"/>
    <x v="1"/>
    <s v="DK2_Small"/>
    <x v="2"/>
    <x v="15"/>
    <x v="0"/>
    <x v="11"/>
    <n v="83.695652173913004"/>
    <n v="30548.9130434783"/>
    <n v="109976.08695652201"/>
  </r>
  <r>
    <x v="0"/>
    <x v="0"/>
    <x v="0"/>
    <x v="0"/>
    <x v="1"/>
    <s v="DK2_Small"/>
    <x v="2"/>
    <x v="15"/>
    <x v="0"/>
    <x v="12"/>
    <n v="83.695652173913004"/>
    <n v="30548.9130434783"/>
    <n v="109976.08695652201"/>
  </r>
  <r>
    <x v="0"/>
    <x v="0"/>
    <x v="0"/>
    <x v="0"/>
    <x v="1"/>
    <s v="DK2_Small"/>
    <x v="2"/>
    <x v="15"/>
    <x v="0"/>
    <x v="13"/>
    <n v="83.695652173913004"/>
    <n v="30548.9130434783"/>
    <n v="109976.08695652201"/>
  </r>
  <r>
    <x v="0"/>
    <x v="0"/>
    <x v="0"/>
    <x v="0"/>
    <x v="1"/>
    <s v="DK2_Small"/>
    <x v="2"/>
    <x v="15"/>
    <x v="0"/>
    <x v="14"/>
    <n v="83.695652173913004"/>
    <n v="30548.9130434783"/>
    <n v="109976.08695652201"/>
  </r>
  <r>
    <x v="0"/>
    <x v="0"/>
    <x v="0"/>
    <x v="0"/>
    <x v="1"/>
    <s v="DK2_Small"/>
    <x v="2"/>
    <x v="15"/>
    <x v="0"/>
    <x v="15"/>
    <n v="83.695652173913004"/>
    <n v="30548.9130434783"/>
    <n v="109976.08695652201"/>
  </r>
  <r>
    <x v="0"/>
    <x v="0"/>
    <x v="0"/>
    <x v="0"/>
    <x v="1"/>
    <s v="DK2_Small"/>
    <x v="2"/>
    <x v="15"/>
    <x v="0"/>
    <x v="16"/>
    <n v="83.695652173913004"/>
    <n v="30548.9130434783"/>
    <n v="109976.08695652201"/>
  </r>
  <r>
    <x v="0"/>
    <x v="0"/>
    <x v="0"/>
    <x v="0"/>
    <x v="1"/>
    <s v="DK2_Small"/>
    <x v="2"/>
    <x v="15"/>
    <x v="0"/>
    <x v="17"/>
    <n v="83.695652173913004"/>
    <n v="30548.9130434783"/>
    <n v="109976.08695652201"/>
  </r>
  <r>
    <x v="0"/>
    <x v="0"/>
    <x v="0"/>
    <x v="0"/>
    <x v="1"/>
    <s v="DK2_Small"/>
    <x v="2"/>
    <x v="15"/>
    <x v="0"/>
    <x v="18"/>
    <n v="83.695652173913004"/>
    <n v="30548.9130434783"/>
    <n v="109976.08695652201"/>
  </r>
  <r>
    <x v="0"/>
    <x v="0"/>
    <x v="0"/>
    <x v="0"/>
    <x v="1"/>
    <s v="DK2_Small"/>
    <x v="2"/>
    <x v="15"/>
    <x v="0"/>
    <x v="19"/>
    <n v="83.695652173913004"/>
    <n v="30548.9130434783"/>
    <n v="109976.08695652201"/>
  </r>
  <r>
    <x v="0"/>
    <x v="0"/>
    <x v="0"/>
    <x v="0"/>
    <x v="1"/>
    <s v="DK2_Small"/>
    <x v="2"/>
    <x v="15"/>
    <x v="0"/>
    <x v="20"/>
    <n v="83.695652173913004"/>
    <n v="30548.9130434783"/>
    <n v="109976.08695652201"/>
  </r>
  <r>
    <x v="0"/>
    <x v="0"/>
    <x v="0"/>
    <x v="0"/>
    <x v="1"/>
    <s v="DK2_Small"/>
    <x v="2"/>
    <x v="15"/>
    <x v="0"/>
    <x v="21"/>
    <n v="83.695652173913004"/>
    <n v="30548.9130434783"/>
    <n v="109976.08695652201"/>
  </r>
  <r>
    <x v="0"/>
    <x v="0"/>
    <x v="0"/>
    <x v="0"/>
    <x v="1"/>
    <s v="DK2_Small"/>
    <x v="2"/>
    <x v="15"/>
    <x v="0"/>
    <x v="22"/>
    <n v="83.695652173913004"/>
    <n v="30548.9130434783"/>
    <n v="109976.08695652201"/>
  </r>
  <r>
    <x v="0"/>
    <x v="0"/>
    <x v="0"/>
    <x v="0"/>
    <x v="1"/>
    <s v="DK2_Small"/>
    <x v="2"/>
    <x v="15"/>
    <x v="0"/>
    <x v="23"/>
    <n v="83.695652173913004"/>
    <n v="30548.9130434783"/>
    <n v="109976.08695652201"/>
  </r>
  <r>
    <x v="0"/>
    <x v="0"/>
    <x v="0"/>
    <x v="1"/>
    <x v="2"/>
    <s v="EE_Enefit"/>
    <x v="12"/>
    <x v="74"/>
    <x v="0"/>
    <x v="1"/>
    <n v="140"/>
    <n v="51100"/>
    <n v="183960"/>
  </r>
  <r>
    <x v="0"/>
    <x v="0"/>
    <x v="0"/>
    <x v="1"/>
    <x v="2"/>
    <s v="EE_Enefit"/>
    <x v="12"/>
    <x v="74"/>
    <x v="0"/>
    <x v="2"/>
    <n v="140"/>
    <n v="51100"/>
    <n v="183960"/>
  </r>
  <r>
    <x v="0"/>
    <x v="0"/>
    <x v="0"/>
    <x v="1"/>
    <x v="2"/>
    <s v="EE_Enefit"/>
    <x v="12"/>
    <x v="74"/>
    <x v="0"/>
    <x v="9"/>
    <n v="140"/>
    <n v="51100"/>
    <n v="183960"/>
  </r>
  <r>
    <x v="0"/>
    <x v="0"/>
    <x v="0"/>
    <x v="1"/>
    <x v="2"/>
    <s v="EE_Enefit"/>
    <x v="12"/>
    <x v="74"/>
    <x v="0"/>
    <x v="10"/>
    <n v="140"/>
    <n v="51100"/>
    <n v="183960"/>
  </r>
  <r>
    <x v="0"/>
    <x v="0"/>
    <x v="0"/>
    <x v="1"/>
    <x v="2"/>
    <s v="EE_Enefit"/>
    <x v="12"/>
    <x v="74"/>
    <x v="0"/>
    <x v="11"/>
    <n v="56.9884858850737"/>
    <n v="20800.797348051899"/>
    <n v="74882.870452986899"/>
  </r>
  <r>
    <x v="0"/>
    <x v="0"/>
    <x v="0"/>
    <x v="1"/>
    <x v="2"/>
    <s v="EE_Enefit"/>
    <x v="12"/>
    <x v="74"/>
    <x v="0"/>
    <x v="14"/>
    <n v="140"/>
    <n v="51100"/>
    <n v="183960"/>
  </r>
  <r>
    <x v="0"/>
    <x v="0"/>
    <x v="0"/>
    <x v="1"/>
    <x v="2"/>
    <s v="EE_Enefit"/>
    <x v="12"/>
    <x v="74"/>
    <x v="0"/>
    <x v="15"/>
    <n v="140"/>
    <n v="51100"/>
    <n v="183960"/>
  </r>
  <r>
    <x v="0"/>
    <x v="0"/>
    <x v="0"/>
    <x v="1"/>
    <x v="2"/>
    <s v="EE_Enefit"/>
    <x v="12"/>
    <x v="74"/>
    <x v="0"/>
    <x v="16"/>
    <n v="140"/>
    <n v="51100"/>
    <n v="183960"/>
  </r>
  <r>
    <x v="0"/>
    <x v="0"/>
    <x v="0"/>
    <x v="1"/>
    <x v="2"/>
    <s v="EE_Enefit"/>
    <x v="12"/>
    <x v="74"/>
    <x v="0"/>
    <x v="17"/>
    <n v="140"/>
    <n v="51100"/>
    <n v="183960"/>
  </r>
  <r>
    <x v="0"/>
    <x v="0"/>
    <x v="0"/>
    <x v="1"/>
    <x v="2"/>
    <s v="EE_Industry"/>
    <x v="12"/>
    <x v="75"/>
    <x v="0"/>
    <x v="3"/>
    <n v="218.08999081726401"/>
    <n v="79602.846648301202"/>
    <n v="286570.24793388398"/>
  </r>
  <r>
    <x v="0"/>
    <x v="0"/>
    <x v="0"/>
    <x v="1"/>
    <x v="2"/>
    <s v="EE_Industry"/>
    <x v="12"/>
    <x v="75"/>
    <x v="0"/>
    <x v="4"/>
    <n v="218.08999081726401"/>
    <n v="79602.846648301202"/>
    <n v="286570.24793388398"/>
  </r>
  <r>
    <x v="0"/>
    <x v="0"/>
    <x v="0"/>
    <x v="1"/>
    <x v="2"/>
    <s v="EE_Industry"/>
    <x v="12"/>
    <x v="75"/>
    <x v="0"/>
    <x v="5"/>
    <n v="218.08999081726401"/>
    <n v="79602.846648301202"/>
    <n v="286570.24793388398"/>
  </r>
  <r>
    <x v="0"/>
    <x v="0"/>
    <x v="0"/>
    <x v="1"/>
    <x v="2"/>
    <s v="EE_Industry"/>
    <x v="12"/>
    <x v="75"/>
    <x v="0"/>
    <x v="6"/>
    <n v="218.08999081726401"/>
    <n v="79602.846648301202"/>
    <n v="286570.24793388398"/>
  </r>
  <r>
    <x v="0"/>
    <x v="0"/>
    <x v="0"/>
    <x v="1"/>
    <x v="2"/>
    <s v="EE_Industry"/>
    <x v="12"/>
    <x v="75"/>
    <x v="0"/>
    <x v="7"/>
    <n v="218.08999081726401"/>
    <n v="79602.846648301202"/>
    <n v="286570.24793388398"/>
  </r>
  <r>
    <x v="0"/>
    <x v="0"/>
    <x v="0"/>
    <x v="1"/>
    <x v="2"/>
    <s v="EE_Industry"/>
    <x v="12"/>
    <x v="75"/>
    <x v="0"/>
    <x v="8"/>
    <n v="218.08999081726401"/>
    <n v="79602.846648301202"/>
    <n v="286570.24793388398"/>
  </r>
  <r>
    <x v="0"/>
    <x v="0"/>
    <x v="0"/>
    <x v="1"/>
    <x v="2"/>
    <s v="EE_Industry"/>
    <x v="12"/>
    <x v="75"/>
    <x v="0"/>
    <x v="0"/>
    <n v="218.08999081726401"/>
    <n v="79602.846648301202"/>
    <n v="286570.24793388398"/>
  </r>
  <r>
    <x v="0"/>
    <x v="0"/>
    <x v="0"/>
    <x v="1"/>
    <x v="2"/>
    <s v="EE_Industry"/>
    <x v="12"/>
    <x v="75"/>
    <x v="0"/>
    <x v="1"/>
    <n v="218.08999081726401"/>
    <n v="79602.846648301202"/>
    <n v="286570.24793388398"/>
  </r>
  <r>
    <x v="0"/>
    <x v="0"/>
    <x v="0"/>
    <x v="1"/>
    <x v="2"/>
    <s v="EE_Industry"/>
    <x v="12"/>
    <x v="75"/>
    <x v="0"/>
    <x v="2"/>
    <n v="218.08999081726401"/>
    <n v="79602.846648301202"/>
    <n v="286570.24793388398"/>
  </r>
  <r>
    <x v="0"/>
    <x v="0"/>
    <x v="0"/>
    <x v="1"/>
    <x v="2"/>
    <s v="EE_Industry"/>
    <x v="12"/>
    <x v="75"/>
    <x v="0"/>
    <x v="9"/>
    <n v="218.08999081726401"/>
    <n v="79602.846648301202"/>
    <n v="286570.24793388398"/>
  </r>
  <r>
    <x v="0"/>
    <x v="0"/>
    <x v="0"/>
    <x v="1"/>
    <x v="2"/>
    <s v="EE_Industry"/>
    <x v="12"/>
    <x v="75"/>
    <x v="0"/>
    <x v="10"/>
    <n v="218.08999081726401"/>
    <n v="79602.846648301202"/>
    <n v="286570.24793388398"/>
  </r>
  <r>
    <x v="0"/>
    <x v="0"/>
    <x v="0"/>
    <x v="1"/>
    <x v="2"/>
    <s v="EE_Industry"/>
    <x v="12"/>
    <x v="75"/>
    <x v="0"/>
    <x v="11"/>
    <n v="218.08999081726401"/>
    <n v="79602.846648301202"/>
    <n v="286570.24793388398"/>
  </r>
  <r>
    <x v="0"/>
    <x v="0"/>
    <x v="0"/>
    <x v="1"/>
    <x v="2"/>
    <s v="EE_Industry"/>
    <x v="12"/>
    <x v="75"/>
    <x v="0"/>
    <x v="12"/>
    <n v="218.08999081726401"/>
    <n v="79602.846648301202"/>
    <n v="286570.24793388398"/>
  </r>
  <r>
    <x v="0"/>
    <x v="0"/>
    <x v="0"/>
    <x v="1"/>
    <x v="2"/>
    <s v="EE_Industry"/>
    <x v="12"/>
    <x v="75"/>
    <x v="0"/>
    <x v="13"/>
    <n v="218.08999081726401"/>
    <n v="79602.846648301202"/>
    <n v="286570.24793388398"/>
  </r>
  <r>
    <x v="0"/>
    <x v="0"/>
    <x v="0"/>
    <x v="1"/>
    <x v="2"/>
    <s v="EE_Industry"/>
    <x v="12"/>
    <x v="75"/>
    <x v="0"/>
    <x v="14"/>
    <n v="218.08999081726401"/>
    <n v="79602.846648301202"/>
    <n v="286570.24793388398"/>
  </r>
  <r>
    <x v="0"/>
    <x v="0"/>
    <x v="0"/>
    <x v="1"/>
    <x v="2"/>
    <s v="EE_Industry"/>
    <x v="12"/>
    <x v="75"/>
    <x v="0"/>
    <x v="15"/>
    <n v="218.08999081726401"/>
    <n v="79602.846648301202"/>
    <n v="286570.24793388398"/>
  </r>
  <r>
    <x v="0"/>
    <x v="0"/>
    <x v="0"/>
    <x v="1"/>
    <x v="2"/>
    <s v="EE_Industry"/>
    <x v="12"/>
    <x v="75"/>
    <x v="0"/>
    <x v="16"/>
    <n v="218.08999081726401"/>
    <n v="79602.846648301202"/>
    <n v="286570.24793388398"/>
  </r>
  <r>
    <x v="0"/>
    <x v="0"/>
    <x v="0"/>
    <x v="1"/>
    <x v="2"/>
    <s v="EE_Industry"/>
    <x v="12"/>
    <x v="75"/>
    <x v="0"/>
    <x v="17"/>
    <n v="218.08999081726401"/>
    <n v="79602.846648301202"/>
    <n v="286570.24793388398"/>
  </r>
  <r>
    <x v="0"/>
    <x v="0"/>
    <x v="0"/>
    <x v="1"/>
    <x v="2"/>
    <s v="EE_Industry"/>
    <x v="12"/>
    <x v="75"/>
    <x v="0"/>
    <x v="18"/>
    <n v="218.08999081726401"/>
    <n v="79602.846648301202"/>
    <n v="286570.24793388398"/>
  </r>
  <r>
    <x v="0"/>
    <x v="0"/>
    <x v="0"/>
    <x v="1"/>
    <x v="2"/>
    <s v="EE_Industry"/>
    <x v="12"/>
    <x v="75"/>
    <x v="0"/>
    <x v="19"/>
    <n v="218.08999081726401"/>
    <n v="79602.846648301202"/>
    <n v="286570.24793388398"/>
  </r>
  <r>
    <x v="0"/>
    <x v="0"/>
    <x v="0"/>
    <x v="1"/>
    <x v="2"/>
    <s v="EE_Industry"/>
    <x v="12"/>
    <x v="75"/>
    <x v="0"/>
    <x v="20"/>
    <n v="218.08999081726401"/>
    <n v="79602.846648301202"/>
    <n v="286570.24793388398"/>
  </r>
  <r>
    <x v="0"/>
    <x v="0"/>
    <x v="0"/>
    <x v="1"/>
    <x v="2"/>
    <s v="EE_Industry"/>
    <x v="12"/>
    <x v="75"/>
    <x v="0"/>
    <x v="21"/>
    <n v="218.08999081726401"/>
    <n v="79602.846648301202"/>
    <n v="286570.24793388398"/>
  </r>
  <r>
    <x v="0"/>
    <x v="0"/>
    <x v="0"/>
    <x v="1"/>
    <x v="2"/>
    <s v="EE_Industry"/>
    <x v="12"/>
    <x v="75"/>
    <x v="0"/>
    <x v="22"/>
    <n v="218.08999081726401"/>
    <n v="79602.846648301202"/>
    <n v="286570.24793388398"/>
  </r>
  <r>
    <x v="0"/>
    <x v="0"/>
    <x v="0"/>
    <x v="1"/>
    <x v="2"/>
    <s v="EE_Industry"/>
    <x v="12"/>
    <x v="75"/>
    <x v="0"/>
    <x v="23"/>
    <n v="218.08999081726401"/>
    <n v="79602.846648301202"/>
    <n v="286570.24793388398"/>
  </r>
  <r>
    <x v="0"/>
    <x v="0"/>
    <x v="0"/>
    <x v="1"/>
    <x v="2"/>
    <s v="EE_Industry"/>
    <x v="13"/>
    <x v="76"/>
    <x v="0"/>
    <x v="1"/>
    <n v="43.478293478293502"/>
    <n v="15869.577119577099"/>
    <n v="57130.477630477602"/>
  </r>
  <r>
    <x v="0"/>
    <x v="0"/>
    <x v="0"/>
    <x v="1"/>
    <x v="2"/>
    <s v="EE_Industry"/>
    <x v="13"/>
    <x v="76"/>
    <x v="0"/>
    <x v="2"/>
    <n v="43.478293478293502"/>
    <n v="15869.577119577099"/>
    <n v="57130.477630477602"/>
  </r>
  <r>
    <x v="0"/>
    <x v="0"/>
    <x v="0"/>
    <x v="1"/>
    <x v="2"/>
    <s v="EE_Industry"/>
    <x v="13"/>
    <x v="76"/>
    <x v="0"/>
    <x v="9"/>
    <n v="43.478293478293502"/>
    <n v="15869.577119577099"/>
    <n v="57130.477630477602"/>
  </r>
  <r>
    <x v="0"/>
    <x v="0"/>
    <x v="0"/>
    <x v="1"/>
    <x v="2"/>
    <s v="EE_Industry"/>
    <x v="13"/>
    <x v="76"/>
    <x v="0"/>
    <x v="10"/>
    <n v="43.478293478293502"/>
    <n v="15869.577119577099"/>
    <n v="57130.477630477602"/>
  </r>
  <r>
    <x v="0"/>
    <x v="0"/>
    <x v="0"/>
    <x v="1"/>
    <x v="2"/>
    <s v="EE_Industry"/>
    <x v="13"/>
    <x v="76"/>
    <x v="0"/>
    <x v="11"/>
    <n v="43.478293478293502"/>
    <n v="15869.577119577099"/>
    <n v="57130.477630477602"/>
  </r>
  <r>
    <x v="0"/>
    <x v="0"/>
    <x v="0"/>
    <x v="1"/>
    <x v="2"/>
    <s v="EE_Industry"/>
    <x v="13"/>
    <x v="76"/>
    <x v="0"/>
    <x v="12"/>
    <n v="42.888394978692602"/>
    <n v="15654.2641672228"/>
    <n v="56355.351002002099"/>
  </r>
  <r>
    <x v="0"/>
    <x v="0"/>
    <x v="0"/>
    <x v="1"/>
    <x v="2"/>
    <s v="EE_Industry"/>
    <x v="13"/>
    <x v="76"/>
    <x v="0"/>
    <x v="14"/>
    <n v="43.478293478293502"/>
    <n v="15869.577119577099"/>
    <n v="57130.477630477602"/>
  </r>
  <r>
    <x v="0"/>
    <x v="0"/>
    <x v="0"/>
    <x v="1"/>
    <x v="2"/>
    <s v="EE_Industry"/>
    <x v="13"/>
    <x v="76"/>
    <x v="0"/>
    <x v="15"/>
    <n v="43.478293478293502"/>
    <n v="15869.577119577099"/>
    <n v="57130.477630477602"/>
  </r>
  <r>
    <x v="0"/>
    <x v="0"/>
    <x v="0"/>
    <x v="1"/>
    <x v="2"/>
    <s v="EE_Industry"/>
    <x v="13"/>
    <x v="76"/>
    <x v="0"/>
    <x v="16"/>
    <n v="43.478293478293502"/>
    <n v="15869.577119577099"/>
    <n v="57130.477630477602"/>
  </r>
  <r>
    <x v="0"/>
    <x v="0"/>
    <x v="0"/>
    <x v="1"/>
    <x v="2"/>
    <s v="EE_Industry"/>
    <x v="13"/>
    <x v="76"/>
    <x v="0"/>
    <x v="17"/>
    <n v="43.478293478293502"/>
    <n v="15869.577119577099"/>
    <n v="57130.477630477602"/>
  </r>
  <r>
    <x v="0"/>
    <x v="0"/>
    <x v="0"/>
    <x v="1"/>
    <x v="2"/>
    <s v="EE_Industry"/>
    <x v="13"/>
    <x v="77"/>
    <x v="0"/>
    <x v="1"/>
    <n v="43.478293478293502"/>
    <n v="15869.577119577099"/>
    <n v="57130.477630477602"/>
  </r>
  <r>
    <x v="0"/>
    <x v="0"/>
    <x v="0"/>
    <x v="1"/>
    <x v="2"/>
    <s v="EE_Industry"/>
    <x v="13"/>
    <x v="77"/>
    <x v="0"/>
    <x v="2"/>
    <n v="43.478293478293502"/>
    <n v="15869.577119577099"/>
    <n v="57130.477630477602"/>
  </r>
  <r>
    <x v="0"/>
    <x v="0"/>
    <x v="0"/>
    <x v="1"/>
    <x v="2"/>
    <s v="EE_Industry"/>
    <x v="13"/>
    <x v="77"/>
    <x v="0"/>
    <x v="9"/>
    <n v="43.478293478293502"/>
    <n v="15869.577119577099"/>
    <n v="57130.477630477602"/>
  </r>
  <r>
    <x v="0"/>
    <x v="0"/>
    <x v="0"/>
    <x v="1"/>
    <x v="2"/>
    <s v="EE_Industry"/>
    <x v="13"/>
    <x v="77"/>
    <x v="0"/>
    <x v="10"/>
    <n v="43.478293478293502"/>
    <n v="15869.577119577099"/>
    <n v="57130.477630477602"/>
  </r>
  <r>
    <x v="0"/>
    <x v="0"/>
    <x v="0"/>
    <x v="1"/>
    <x v="2"/>
    <s v="EE_Industry"/>
    <x v="13"/>
    <x v="77"/>
    <x v="0"/>
    <x v="11"/>
    <n v="43.478293478293502"/>
    <n v="15869.577119577099"/>
    <n v="57130.477630477602"/>
  </r>
  <r>
    <x v="0"/>
    <x v="0"/>
    <x v="0"/>
    <x v="1"/>
    <x v="2"/>
    <s v="EE_Industry"/>
    <x v="13"/>
    <x v="77"/>
    <x v="0"/>
    <x v="14"/>
    <n v="43.478293478293502"/>
    <n v="15869.577119577099"/>
    <n v="57130.477630477602"/>
  </r>
  <r>
    <x v="0"/>
    <x v="0"/>
    <x v="0"/>
    <x v="1"/>
    <x v="2"/>
    <s v="EE_Industry"/>
    <x v="13"/>
    <x v="77"/>
    <x v="0"/>
    <x v="15"/>
    <n v="43.478293478293502"/>
    <n v="15869.577119577099"/>
    <n v="57130.477630477602"/>
  </r>
  <r>
    <x v="0"/>
    <x v="0"/>
    <x v="0"/>
    <x v="1"/>
    <x v="2"/>
    <s v="EE_Industry"/>
    <x v="13"/>
    <x v="77"/>
    <x v="0"/>
    <x v="16"/>
    <n v="43.478293478293502"/>
    <n v="15869.577119577099"/>
    <n v="57130.477630477602"/>
  </r>
  <r>
    <x v="0"/>
    <x v="0"/>
    <x v="0"/>
    <x v="1"/>
    <x v="2"/>
    <s v="EE_Industry"/>
    <x v="13"/>
    <x v="77"/>
    <x v="0"/>
    <x v="17"/>
    <n v="43.478293478293502"/>
    <n v="15869.577119577099"/>
    <n v="57130.477630477602"/>
  </r>
  <r>
    <x v="0"/>
    <x v="0"/>
    <x v="0"/>
    <x v="1"/>
    <x v="2"/>
    <s v="EE_Industry"/>
    <x v="10"/>
    <x v="78"/>
    <x v="0"/>
    <x v="3"/>
    <n v="106.60377358490599"/>
    <n v="38910.377358490601"/>
    <n v="140077.358490566"/>
  </r>
  <r>
    <x v="0"/>
    <x v="0"/>
    <x v="0"/>
    <x v="1"/>
    <x v="2"/>
    <s v="EE_Industry"/>
    <x v="10"/>
    <x v="78"/>
    <x v="0"/>
    <x v="4"/>
    <n v="106.60377358490599"/>
    <n v="38910.377358490601"/>
    <n v="140077.358490566"/>
  </r>
  <r>
    <x v="0"/>
    <x v="0"/>
    <x v="0"/>
    <x v="1"/>
    <x v="2"/>
    <s v="EE_Industry"/>
    <x v="10"/>
    <x v="78"/>
    <x v="0"/>
    <x v="5"/>
    <n v="106.60377358490599"/>
    <n v="38910.377358490601"/>
    <n v="140077.358490566"/>
  </r>
  <r>
    <x v="0"/>
    <x v="0"/>
    <x v="0"/>
    <x v="1"/>
    <x v="2"/>
    <s v="EE_Industry"/>
    <x v="10"/>
    <x v="78"/>
    <x v="0"/>
    <x v="6"/>
    <n v="106.60377358490599"/>
    <n v="38910.377358490601"/>
    <n v="140077.358490566"/>
  </r>
  <r>
    <x v="0"/>
    <x v="0"/>
    <x v="0"/>
    <x v="1"/>
    <x v="2"/>
    <s v="EE_Industry"/>
    <x v="10"/>
    <x v="78"/>
    <x v="0"/>
    <x v="7"/>
    <n v="106.60377358490599"/>
    <n v="38910.377358490601"/>
    <n v="140077.358490566"/>
  </r>
  <r>
    <x v="0"/>
    <x v="0"/>
    <x v="0"/>
    <x v="1"/>
    <x v="2"/>
    <s v="EE_Industry"/>
    <x v="10"/>
    <x v="78"/>
    <x v="0"/>
    <x v="8"/>
    <n v="106.60377358490599"/>
    <n v="38910.377358490601"/>
    <n v="140077.358490566"/>
  </r>
  <r>
    <x v="0"/>
    <x v="0"/>
    <x v="0"/>
    <x v="1"/>
    <x v="2"/>
    <s v="EE_Industry"/>
    <x v="10"/>
    <x v="78"/>
    <x v="0"/>
    <x v="0"/>
    <n v="106.60377358490599"/>
    <n v="38910.377358490601"/>
    <n v="140077.358490566"/>
  </r>
  <r>
    <x v="0"/>
    <x v="0"/>
    <x v="0"/>
    <x v="1"/>
    <x v="2"/>
    <s v="EE_Industry"/>
    <x v="10"/>
    <x v="78"/>
    <x v="0"/>
    <x v="1"/>
    <n v="106.60377358490599"/>
    <n v="38910.377358490601"/>
    <n v="140077.358490566"/>
  </r>
  <r>
    <x v="0"/>
    <x v="0"/>
    <x v="0"/>
    <x v="1"/>
    <x v="2"/>
    <s v="EE_Industry"/>
    <x v="10"/>
    <x v="78"/>
    <x v="0"/>
    <x v="2"/>
    <n v="106.60377358490599"/>
    <n v="38910.377358490601"/>
    <n v="140077.358490566"/>
  </r>
  <r>
    <x v="0"/>
    <x v="0"/>
    <x v="0"/>
    <x v="1"/>
    <x v="2"/>
    <s v="EE_Industry"/>
    <x v="10"/>
    <x v="78"/>
    <x v="0"/>
    <x v="9"/>
    <n v="106.60377358490599"/>
    <n v="38910.377358490601"/>
    <n v="140077.358490566"/>
  </r>
  <r>
    <x v="0"/>
    <x v="0"/>
    <x v="0"/>
    <x v="1"/>
    <x v="2"/>
    <s v="EE_Industry"/>
    <x v="10"/>
    <x v="78"/>
    <x v="0"/>
    <x v="10"/>
    <n v="106.60377358490599"/>
    <n v="38910.377358490601"/>
    <n v="140077.358490566"/>
  </r>
  <r>
    <x v="0"/>
    <x v="0"/>
    <x v="0"/>
    <x v="1"/>
    <x v="2"/>
    <s v="EE_Industry"/>
    <x v="10"/>
    <x v="78"/>
    <x v="0"/>
    <x v="11"/>
    <n v="106.60377358490599"/>
    <n v="38910.377358490601"/>
    <n v="140077.358490566"/>
  </r>
  <r>
    <x v="0"/>
    <x v="0"/>
    <x v="0"/>
    <x v="1"/>
    <x v="2"/>
    <s v="EE_Industry"/>
    <x v="10"/>
    <x v="78"/>
    <x v="0"/>
    <x v="12"/>
    <n v="106.60377358490599"/>
    <n v="38910.377358490601"/>
    <n v="140077.358490566"/>
  </r>
  <r>
    <x v="0"/>
    <x v="0"/>
    <x v="0"/>
    <x v="1"/>
    <x v="2"/>
    <s v="EE_Industry"/>
    <x v="10"/>
    <x v="78"/>
    <x v="0"/>
    <x v="13"/>
    <n v="106.60377358490599"/>
    <n v="38910.377358490601"/>
    <n v="140077.358490566"/>
  </r>
  <r>
    <x v="0"/>
    <x v="0"/>
    <x v="0"/>
    <x v="1"/>
    <x v="2"/>
    <s v="EE_Industry"/>
    <x v="10"/>
    <x v="78"/>
    <x v="0"/>
    <x v="14"/>
    <n v="106.60377358490599"/>
    <n v="38910.377358490601"/>
    <n v="140077.358490566"/>
  </r>
  <r>
    <x v="0"/>
    <x v="0"/>
    <x v="0"/>
    <x v="1"/>
    <x v="2"/>
    <s v="EE_Industry"/>
    <x v="10"/>
    <x v="78"/>
    <x v="0"/>
    <x v="15"/>
    <n v="106.60377358490599"/>
    <n v="38910.377358490601"/>
    <n v="140077.358490566"/>
  </r>
  <r>
    <x v="0"/>
    <x v="0"/>
    <x v="0"/>
    <x v="1"/>
    <x v="2"/>
    <s v="EE_Industry"/>
    <x v="10"/>
    <x v="78"/>
    <x v="0"/>
    <x v="16"/>
    <n v="106.60377358490599"/>
    <n v="38910.377358490601"/>
    <n v="140077.358490566"/>
  </r>
  <r>
    <x v="0"/>
    <x v="0"/>
    <x v="0"/>
    <x v="1"/>
    <x v="2"/>
    <s v="EE_Industry"/>
    <x v="10"/>
    <x v="78"/>
    <x v="0"/>
    <x v="17"/>
    <n v="106.60377358490599"/>
    <n v="38910.377358490601"/>
    <n v="140077.358490566"/>
  </r>
  <r>
    <x v="0"/>
    <x v="0"/>
    <x v="0"/>
    <x v="1"/>
    <x v="2"/>
    <s v="EE_Industry"/>
    <x v="10"/>
    <x v="78"/>
    <x v="0"/>
    <x v="18"/>
    <n v="106.60377358490599"/>
    <n v="38910.377358490601"/>
    <n v="140077.358490566"/>
  </r>
  <r>
    <x v="0"/>
    <x v="0"/>
    <x v="0"/>
    <x v="1"/>
    <x v="2"/>
    <s v="EE_Industry"/>
    <x v="10"/>
    <x v="78"/>
    <x v="0"/>
    <x v="19"/>
    <n v="106.60377358490599"/>
    <n v="38910.377358490601"/>
    <n v="140077.358490566"/>
  </r>
  <r>
    <x v="0"/>
    <x v="0"/>
    <x v="0"/>
    <x v="1"/>
    <x v="2"/>
    <s v="EE_Industry"/>
    <x v="10"/>
    <x v="78"/>
    <x v="0"/>
    <x v="20"/>
    <n v="106.60377358490599"/>
    <n v="38910.377358490601"/>
    <n v="140077.358490566"/>
  </r>
  <r>
    <x v="0"/>
    <x v="0"/>
    <x v="0"/>
    <x v="1"/>
    <x v="2"/>
    <s v="EE_Industry"/>
    <x v="10"/>
    <x v="78"/>
    <x v="0"/>
    <x v="21"/>
    <n v="106.60377358490599"/>
    <n v="38910.377358490601"/>
    <n v="140077.358490566"/>
  </r>
  <r>
    <x v="0"/>
    <x v="0"/>
    <x v="0"/>
    <x v="1"/>
    <x v="2"/>
    <s v="EE_Industry"/>
    <x v="10"/>
    <x v="78"/>
    <x v="0"/>
    <x v="22"/>
    <n v="106.60377358490599"/>
    <n v="38910.377358490601"/>
    <n v="140077.358490566"/>
  </r>
  <r>
    <x v="0"/>
    <x v="0"/>
    <x v="0"/>
    <x v="1"/>
    <x v="2"/>
    <s v="EE_Industry"/>
    <x v="10"/>
    <x v="78"/>
    <x v="0"/>
    <x v="23"/>
    <n v="106.60377358490599"/>
    <n v="38910.377358490601"/>
    <n v="140077.358490566"/>
  </r>
  <r>
    <x v="0"/>
    <x v="0"/>
    <x v="0"/>
    <x v="1"/>
    <x v="2"/>
    <s v="EE_Kohtla_Jarve"/>
    <x v="2"/>
    <x v="79"/>
    <x v="0"/>
    <x v="3"/>
    <n v="31.406195667197"/>
    <n v="11463.261418526899"/>
    <n v="41267.7411066969"/>
  </r>
  <r>
    <x v="0"/>
    <x v="0"/>
    <x v="0"/>
    <x v="1"/>
    <x v="2"/>
    <s v="EE_Kohtla_Jarve"/>
    <x v="2"/>
    <x v="79"/>
    <x v="0"/>
    <x v="4"/>
    <n v="31.738393942415701"/>
    <n v="11584.5137889817"/>
    <n v="41704.249640334201"/>
  </r>
  <r>
    <x v="0"/>
    <x v="0"/>
    <x v="0"/>
    <x v="1"/>
    <x v="2"/>
    <s v="EE_Kohtla_Jarve"/>
    <x v="2"/>
    <x v="79"/>
    <x v="0"/>
    <x v="5"/>
    <n v="31.842205903421501"/>
    <n v="11622.4051547488"/>
    <n v="41840.658557095798"/>
  </r>
  <r>
    <x v="0"/>
    <x v="0"/>
    <x v="0"/>
    <x v="1"/>
    <x v="2"/>
    <s v="EE_Kohtla_Jarve"/>
    <x v="2"/>
    <x v="79"/>
    <x v="0"/>
    <x v="6"/>
    <n v="31.530770020403999"/>
    <n v="11508.7310574475"/>
    <n v="41431.431806810797"/>
  </r>
  <r>
    <x v="0"/>
    <x v="0"/>
    <x v="0"/>
    <x v="1"/>
    <x v="2"/>
    <s v="EE_Kohtla_Jarve"/>
    <x v="2"/>
    <x v="79"/>
    <x v="0"/>
    <x v="7"/>
    <n v="30.845611077765501"/>
    <n v="11258.648043384401"/>
    <n v="40531.132956183901"/>
  </r>
  <r>
    <x v="0"/>
    <x v="0"/>
    <x v="0"/>
    <x v="1"/>
    <x v="2"/>
    <s v="EE_Kohtla_Jarve"/>
    <x v="2"/>
    <x v="79"/>
    <x v="0"/>
    <x v="8"/>
    <n v="29.8490162521096"/>
    <n v="10894.89093202"/>
    <n v="39221.607355272099"/>
  </r>
  <r>
    <x v="0"/>
    <x v="0"/>
    <x v="0"/>
    <x v="1"/>
    <x v="2"/>
    <s v="EE_Kohtla_Jarve"/>
    <x v="2"/>
    <x v="79"/>
    <x v="0"/>
    <x v="0"/>
    <n v="28.582510327838602"/>
    <n v="10432.616269661101"/>
    <n v="37557.418570779897"/>
  </r>
  <r>
    <x v="0"/>
    <x v="0"/>
    <x v="0"/>
    <x v="1"/>
    <x v="2"/>
    <s v="EE_Kohtla_Jarve"/>
    <x v="2"/>
    <x v="79"/>
    <x v="0"/>
    <x v="1"/>
    <n v="27.025330912751201"/>
    <n v="9864.2457831541906"/>
    <n v="35511.284819355104"/>
  </r>
  <r>
    <x v="0"/>
    <x v="0"/>
    <x v="0"/>
    <x v="1"/>
    <x v="2"/>
    <s v="EE_Kohtla_Jarve"/>
    <x v="2"/>
    <x v="79"/>
    <x v="0"/>
    <x v="2"/>
    <n v="25.675775419675499"/>
    <n v="9371.6580281815604"/>
    <n v="33737.968901453598"/>
  </r>
  <r>
    <x v="0"/>
    <x v="0"/>
    <x v="0"/>
    <x v="1"/>
    <x v="2"/>
    <s v="EE_Kohtla_Jarve"/>
    <x v="2"/>
    <x v="79"/>
    <x v="0"/>
    <x v="9"/>
    <n v="24.450794279806701"/>
    <n v="8924.5399121294595"/>
    <n v="32128.343683666099"/>
  </r>
  <r>
    <x v="0"/>
    <x v="0"/>
    <x v="0"/>
    <x v="1"/>
    <x v="2"/>
    <s v="EE_Kohtla_Jarve"/>
    <x v="2"/>
    <x v="79"/>
    <x v="0"/>
    <x v="10"/>
    <n v="23.350387493145"/>
    <n v="8522.8914349979295"/>
    <n v="30682.4091659925"/>
  </r>
  <r>
    <x v="0"/>
    <x v="0"/>
    <x v="0"/>
    <x v="1"/>
    <x v="2"/>
    <s v="EE_Kohtla_Jarve"/>
    <x v="2"/>
    <x v="79"/>
    <x v="0"/>
    <x v="11"/>
    <n v="22.436842236293799"/>
    <n v="8189.4474162472297"/>
    <n v="29482.010698490001"/>
  </r>
  <r>
    <x v="0"/>
    <x v="0"/>
    <x v="0"/>
    <x v="1"/>
    <x v="2"/>
    <s v="EE_Kohtla_Jarve"/>
    <x v="2"/>
    <x v="79"/>
    <x v="0"/>
    <x v="12"/>
    <n v="21.647871332649501"/>
    <n v="7901.47303641707"/>
    <n v="28445.3029311014"/>
  </r>
  <r>
    <x v="0"/>
    <x v="0"/>
    <x v="0"/>
    <x v="1"/>
    <x v="2"/>
    <s v="EE_Kohtla_Jarve"/>
    <x v="2"/>
    <x v="79"/>
    <x v="0"/>
    <x v="13"/>
    <n v="21.004237174413401"/>
    <n v="7666.5465686609004"/>
    <n v="27599.567647179199"/>
  </r>
  <r>
    <x v="0"/>
    <x v="0"/>
    <x v="0"/>
    <x v="1"/>
    <x v="2"/>
    <s v="EE_Kohtla_Jarve"/>
    <x v="2"/>
    <x v="79"/>
    <x v="0"/>
    <x v="14"/>
    <n v="20.609751722591199"/>
    <n v="7522.5593787458001"/>
    <n v="27081.213763484899"/>
  </r>
  <r>
    <x v="0"/>
    <x v="0"/>
    <x v="0"/>
    <x v="1"/>
    <x v="2"/>
    <s v="EE_Kohtla_Jarve"/>
    <x v="2"/>
    <x v="79"/>
    <x v="0"/>
    <x v="15"/>
    <n v="20.319078231774998"/>
    <n v="7416.4635545978699"/>
    <n v="26699.2687965523"/>
  </r>
  <r>
    <x v="0"/>
    <x v="0"/>
    <x v="0"/>
    <x v="1"/>
    <x v="2"/>
    <s v="EE_Kohtla_Jarve"/>
    <x v="2"/>
    <x v="79"/>
    <x v="0"/>
    <x v="16"/>
    <n v="20.069929525360902"/>
    <n v="7325.5242767567397"/>
    <n v="26371.887396324299"/>
  </r>
  <r>
    <x v="0"/>
    <x v="0"/>
    <x v="0"/>
    <x v="1"/>
    <x v="2"/>
    <s v="EE_Kohtla_Jarve"/>
    <x v="2"/>
    <x v="79"/>
    <x v="0"/>
    <x v="17"/>
    <n v="19.8415432111481"/>
    <n v="7242.1632720690704"/>
    <n v="26071.787779448601"/>
  </r>
  <r>
    <x v="0"/>
    <x v="0"/>
    <x v="0"/>
    <x v="1"/>
    <x v="2"/>
    <s v="EE_Kohtla_Jarve"/>
    <x v="2"/>
    <x v="79"/>
    <x v="0"/>
    <x v="18"/>
    <n v="19.592394504734202"/>
    <n v="7151.2239942279703"/>
    <n v="25744.406379220702"/>
  </r>
  <r>
    <x v="0"/>
    <x v="0"/>
    <x v="0"/>
    <x v="1"/>
    <x v="2"/>
    <s v="EE_Kohtla_Jarve"/>
    <x v="2"/>
    <x v="79"/>
    <x v="0"/>
    <x v="19"/>
    <n v="19.301721013917899"/>
    <n v="7045.12817008004"/>
    <n v="25362.461412288099"/>
  </r>
  <r>
    <x v="0"/>
    <x v="0"/>
    <x v="0"/>
    <x v="1"/>
    <x v="2"/>
    <s v="EE_Kohtla_Jarve"/>
    <x v="2"/>
    <x v="79"/>
    <x v="0"/>
    <x v="20"/>
    <n v="19.052572307503802"/>
    <n v="6954.1888922388998"/>
    <n v="25035.080012060102"/>
  </r>
  <r>
    <x v="0"/>
    <x v="0"/>
    <x v="0"/>
    <x v="1"/>
    <x v="2"/>
    <s v="EE_Kohtla_Jarve"/>
    <x v="2"/>
    <x v="79"/>
    <x v="0"/>
    <x v="21"/>
    <n v="18.8034236010899"/>
    <n v="6863.2496143978096"/>
    <n v="24707.6986118321"/>
  </r>
  <r>
    <x v="0"/>
    <x v="0"/>
    <x v="0"/>
    <x v="1"/>
    <x v="2"/>
    <s v="EE_Kohtla_Jarve"/>
    <x v="2"/>
    <x v="79"/>
    <x v="0"/>
    <x v="22"/>
    <n v="18.6165620712795"/>
    <n v="6795.0451560170004"/>
    <n v="24462.1625616612"/>
  </r>
  <r>
    <x v="0"/>
    <x v="0"/>
    <x v="0"/>
    <x v="1"/>
    <x v="2"/>
    <s v="EE_Kohtla_Jarve"/>
    <x v="2"/>
    <x v="79"/>
    <x v="0"/>
    <x v="23"/>
    <n v="18.554274894675899"/>
    <n v="6772.3103365567104"/>
    <n v="24380.317211604099"/>
  </r>
  <r>
    <x v="0"/>
    <x v="0"/>
    <x v="0"/>
    <x v="1"/>
    <x v="2"/>
    <s v="EE_Kohtla_Jarve"/>
    <x v="2"/>
    <x v="80"/>
    <x v="0"/>
    <x v="3"/>
    <n v="36.3228242016121"/>
    <n v="13257.830833588399"/>
    <n v="47728.191000918298"/>
  </r>
  <r>
    <x v="0"/>
    <x v="0"/>
    <x v="0"/>
    <x v="1"/>
    <x v="2"/>
    <s v="EE_Kohtla_Jarve"/>
    <x v="2"/>
    <x v="80"/>
    <x v="0"/>
    <x v="4"/>
    <n v="36.3228242016121"/>
    <n v="13257.830833588399"/>
    <n v="47728.191000918298"/>
  </r>
  <r>
    <x v="0"/>
    <x v="0"/>
    <x v="0"/>
    <x v="1"/>
    <x v="2"/>
    <s v="EE_Kohtla_Jarve"/>
    <x v="2"/>
    <x v="80"/>
    <x v="0"/>
    <x v="5"/>
    <n v="36.3228242016121"/>
    <n v="13257.830833588399"/>
    <n v="47728.191000918298"/>
  </r>
  <r>
    <x v="0"/>
    <x v="0"/>
    <x v="0"/>
    <x v="1"/>
    <x v="2"/>
    <s v="EE_Kohtla_Jarve"/>
    <x v="2"/>
    <x v="80"/>
    <x v="0"/>
    <x v="6"/>
    <n v="36.3228242016121"/>
    <n v="13257.830833588399"/>
    <n v="47728.191000918298"/>
  </r>
  <r>
    <x v="0"/>
    <x v="0"/>
    <x v="0"/>
    <x v="1"/>
    <x v="2"/>
    <s v="EE_Kohtla_Jarve"/>
    <x v="2"/>
    <x v="80"/>
    <x v="0"/>
    <x v="7"/>
    <n v="36.3228242016121"/>
    <n v="13257.830833588399"/>
    <n v="47728.191000918298"/>
  </r>
  <r>
    <x v="0"/>
    <x v="0"/>
    <x v="0"/>
    <x v="1"/>
    <x v="2"/>
    <s v="EE_Kohtla_Jarve"/>
    <x v="2"/>
    <x v="80"/>
    <x v="0"/>
    <x v="8"/>
    <n v="36.3228242016121"/>
    <n v="13257.830833588399"/>
    <n v="47728.191000918298"/>
  </r>
  <r>
    <x v="0"/>
    <x v="0"/>
    <x v="0"/>
    <x v="1"/>
    <x v="2"/>
    <s v="EE_Kohtla_Jarve"/>
    <x v="2"/>
    <x v="80"/>
    <x v="0"/>
    <x v="0"/>
    <n v="36.3228242016121"/>
    <n v="13257.830833588399"/>
    <n v="47728.191000918298"/>
  </r>
  <r>
    <x v="0"/>
    <x v="0"/>
    <x v="0"/>
    <x v="1"/>
    <x v="2"/>
    <s v="EE_Kohtla_Jarve"/>
    <x v="2"/>
    <x v="80"/>
    <x v="0"/>
    <x v="1"/>
    <n v="36.3228242016121"/>
    <n v="13257.830833588399"/>
    <n v="47728.191000918298"/>
  </r>
  <r>
    <x v="0"/>
    <x v="0"/>
    <x v="0"/>
    <x v="1"/>
    <x v="2"/>
    <s v="EE_Kohtla_Jarve"/>
    <x v="2"/>
    <x v="80"/>
    <x v="0"/>
    <x v="2"/>
    <n v="36.3228242016121"/>
    <n v="13257.830833588399"/>
    <n v="47728.191000918298"/>
  </r>
  <r>
    <x v="0"/>
    <x v="0"/>
    <x v="0"/>
    <x v="1"/>
    <x v="2"/>
    <s v="EE_Kohtla_Jarve"/>
    <x v="2"/>
    <x v="80"/>
    <x v="0"/>
    <x v="9"/>
    <n v="36.3228242016121"/>
    <n v="13257.830833588399"/>
    <n v="47728.191000918298"/>
  </r>
  <r>
    <x v="0"/>
    <x v="0"/>
    <x v="0"/>
    <x v="1"/>
    <x v="2"/>
    <s v="EE_Kohtla_Jarve"/>
    <x v="2"/>
    <x v="80"/>
    <x v="0"/>
    <x v="10"/>
    <n v="36.3228242016121"/>
    <n v="13257.830833588399"/>
    <n v="47728.191000918298"/>
  </r>
  <r>
    <x v="0"/>
    <x v="0"/>
    <x v="0"/>
    <x v="1"/>
    <x v="2"/>
    <s v="EE_Kohtla_Jarve"/>
    <x v="2"/>
    <x v="80"/>
    <x v="0"/>
    <x v="11"/>
    <n v="36.3228242016121"/>
    <n v="13257.830833588399"/>
    <n v="47728.191000918298"/>
  </r>
  <r>
    <x v="0"/>
    <x v="0"/>
    <x v="0"/>
    <x v="1"/>
    <x v="2"/>
    <s v="EE_Kohtla_Jarve"/>
    <x v="2"/>
    <x v="80"/>
    <x v="0"/>
    <x v="12"/>
    <n v="36.3228242016121"/>
    <n v="13257.830833588399"/>
    <n v="47728.191000918298"/>
  </r>
  <r>
    <x v="0"/>
    <x v="0"/>
    <x v="0"/>
    <x v="1"/>
    <x v="2"/>
    <s v="EE_Kohtla_Jarve"/>
    <x v="2"/>
    <x v="80"/>
    <x v="0"/>
    <x v="13"/>
    <n v="36.3228242016121"/>
    <n v="13257.830833588399"/>
    <n v="47728.191000918298"/>
  </r>
  <r>
    <x v="0"/>
    <x v="0"/>
    <x v="0"/>
    <x v="1"/>
    <x v="2"/>
    <s v="EE_Kohtla_Jarve"/>
    <x v="2"/>
    <x v="80"/>
    <x v="0"/>
    <x v="14"/>
    <n v="36.3228242016121"/>
    <n v="13257.830833588399"/>
    <n v="47728.191000918298"/>
  </r>
  <r>
    <x v="0"/>
    <x v="0"/>
    <x v="0"/>
    <x v="1"/>
    <x v="2"/>
    <s v="EE_Kohtla_Jarve"/>
    <x v="2"/>
    <x v="80"/>
    <x v="0"/>
    <x v="15"/>
    <n v="36.3228242016121"/>
    <n v="13257.830833588399"/>
    <n v="47728.191000918298"/>
  </r>
  <r>
    <x v="0"/>
    <x v="0"/>
    <x v="0"/>
    <x v="1"/>
    <x v="2"/>
    <s v="EE_Kohtla_Jarve"/>
    <x v="2"/>
    <x v="80"/>
    <x v="0"/>
    <x v="16"/>
    <n v="36.3228242016121"/>
    <n v="13257.830833588399"/>
    <n v="47728.191000918298"/>
  </r>
  <r>
    <x v="0"/>
    <x v="0"/>
    <x v="0"/>
    <x v="1"/>
    <x v="2"/>
    <s v="EE_Kohtla_Jarve"/>
    <x v="2"/>
    <x v="80"/>
    <x v="0"/>
    <x v="17"/>
    <n v="36.3228242016121"/>
    <n v="13257.830833588399"/>
    <n v="47728.191000918298"/>
  </r>
  <r>
    <x v="0"/>
    <x v="0"/>
    <x v="0"/>
    <x v="1"/>
    <x v="2"/>
    <s v="EE_Kohtla_Jarve"/>
    <x v="2"/>
    <x v="80"/>
    <x v="0"/>
    <x v="18"/>
    <n v="36.3228242016121"/>
    <n v="13257.830833588399"/>
    <n v="47728.191000918298"/>
  </r>
  <r>
    <x v="0"/>
    <x v="0"/>
    <x v="0"/>
    <x v="1"/>
    <x v="2"/>
    <s v="EE_Kohtla_Jarve"/>
    <x v="2"/>
    <x v="80"/>
    <x v="0"/>
    <x v="19"/>
    <n v="36.3228242016121"/>
    <n v="13257.830833588399"/>
    <n v="47728.191000918298"/>
  </r>
  <r>
    <x v="0"/>
    <x v="0"/>
    <x v="0"/>
    <x v="1"/>
    <x v="2"/>
    <s v="EE_Kohtla_Jarve"/>
    <x v="2"/>
    <x v="80"/>
    <x v="0"/>
    <x v="20"/>
    <n v="36.3228242016121"/>
    <n v="13257.830833588399"/>
    <n v="47728.191000918298"/>
  </r>
  <r>
    <x v="0"/>
    <x v="0"/>
    <x v="0"/>
    <x v="1"/>
    <x v="2"/>
    <s v="EE_Kohtla_Jarve"/>
    <x v="2"/>
    <x v="80"/>
    <x v="0"/>
    <x v="21"/>
    <n v="36.3228242016121"/>
    <n v="13257.830833588399"/>
    <n v="47728.191000918298"/>
  </r>
  <r>
    <x v="0"/>
    <x v="0"/>
    <x v="0"/>
    <x v="1"/>
    <x v="2"/>
    <s v="EE_Kohtla_Jarve"/>
    <x v="2"/>
    <x v="80"/>
    <x v="0"/>
    <x v="22"/>
    <n v="36.3228242016121"/>
    <n v="13257.830833588399"/>
    <n v="47728.191000918298"/>
  </r>
  <r>
    <x v="0"/>
    <x v="0"/>
    <x v="0"/>
    <x v="1"/>
    <x v="2"/>
    <s v="EE_Kohtla_Jarve"/>
    <x v="2"/>
    <x v="80"/>
    <x v="0"/>
    <x v="23"/>
    <n v="36.3228242016121"/>
    <n v="13257.830833588399"/>
    <n v="47728.191000918298"/>
  </r>
  <r>
    <x v="0"/>
    <x v="0"/>
    <x v="0"/>
    <x v="1"/>
    <x v="2"/>
    <s v="EE_Narva"/>
    <x v="14"/>
    <x v="81"/>
    <x v="0"/>
    <x v="5"/>
    <n v="60.586896649942197"/>
    <n v="22114.217277228901"/>
    <n v="79611.182198024093"/>
  </r>
  <r>
    <x v="0"/>
    <x v="0"/>
    <x v="0"/>
    <x v="1"/>
    <x v="2"/>
    <s v="EE_Narva"/>
    <x v="14"/>
    <x v="81"/>
    <x v="0"/>
    <x v="6"/>
    <n v="67.2470588235294"/>
    <n v="24545.176470588201"/>
    <n v="88362.635294117703"/>
  </r>
  <r>
    <x v="0"/>
    <x v="0"/>
    <x v="0"/>
    <x v="1"/>
    <x v="2"/>
    <s v="EE_Narva"/>
    <x v="14"/>
    <x v="81"/>
    <x v="0"/>
    <x v="8"/>
    <n v="67.2470588235294"/>
    <n v="24545.176470588201"/>
    <n v="88362.635294117703"/>
  </r>
  <r>
    <x v="0"/>
    <x v="0"/>
    <x v="0"/>
    <x v="1"/>
    <x v="2"/>
    <s v="EE_Narva"/>
    <x v="14"/>
    <x v="81"/>
    <x v="0"/>
    <x v="0"/>
    <n v="67.2470588235294"/>
    <n v="24545.176470588201"/>
    <n v="88362.635294117703"/>
  </r>
  <r>
    <x v="0"/>
    <x v="0"/>
    <x v="0"/>
    <x v="1"/>
    <x v="2"/>
    <s v="EE_Narva"/>
    <x v="15"/>
    <x v="82"/>
    <x v="0"/>
    <x v="1"/>
    <n v="572.39400831363503"/>
    <n v="208923.813034477"/>
    <n v="752125.72692411602"/>
  </r>
  <r>
    <x v="0"/>
    <x v="0"/>
    <x v="0"/>
    <x v="1"/>
    <x v="2"/>
    <s v="EE_Narva"/>
    <x v="15"/>
    <x v="82"/>
    <x v="0"/>
    <x v="2"/>
    <n v="581.81818181818198"/>
    <n v="212363.636363636"/>
    <n v="764509.09090909106"/>
  </r>
  <r>
    <x v="0"/>
    <x v="0"/>
    <x v="0"/>
    <x v="1"/>
    <x v="2"/>
    <s v="EE_Narva"/>
    <x v="15"/>
    <x v="82"/>
    <x v="0"/>
    <x v="9"/>
    <n v="581.81818181818198"/>
    <n v="212363.636363636"/>
    <n v="764509.09090909106"/>
  </r>
  <r>
    <x v="0"/>
    <x v="0"/>
    <x v="0"/>
    <x v="1"/>
    <x v="2"/>
    <s v="EE_Narva"/>
    <x v="15"/>
    <x v="82"/>
    <x v="0"/>
    <x v="10"/>
    <n v="581.81818181818198"/>
    <n v="212363.636363636"/>
    <n v="764509.09090909106"/>
  </r>
  <r>
    <x v="0"/>
    <x v="0"/>
    <x v="0"/>
    <x v="1"/>
    <x v="2"/>
    <s v="EE_Narva"/>
    <x v="15"/>
    <x v="82"/>
    <x v="0"/>
    <x v="11"/>
    <n v="173.72453998504801"/>
    <n v="63409.4570945425"/>
    <n v="228274.04554035299"/>
  </r>
  <r>
    <x v="0"/>
    <x v="0"/>
    <x v="0"/>
    <x v="1"/>
    <x v="2"/>
    <s v="EE_Narva"/>
    <x v="15"/>
    <x v="82"/>
    <x v="0"/>
    <x v="12"/>
    <n v="170.562886479573"/>
    <n v="62255.453565044103"/>
    <n v="224119.63283415901"/>
  </r>
  <r>
    <x v="0"/>
    <x v="0"/>
    <x v="0"/>
    <x v="1"/>
    <x v="2"/>
    <s v="EE_Narva"/>
    <x v="15"/>
    <x v="82"/>
    <x v="0"/>
    <x v="14"/>
    <n v="166.402816077632"/>
    <n v="60737.027868335703"/>
    <n v="218653.30032600899"/>
  </r>
  <r>
    <x v="0"/>
    <x v="0"/>
    <x v="0"/>
    <x v="1"/>
    <x v="2"/>
    <s v="EE_Narva"/>
    <x v="15"/>
    <x v="82"/>
    <x v="0"/>
    <x v="15"/>
    <n v="165.237996365089"/>
    <n v="60311.868673257297"/>
    <n v="217122.72722372599"/>
  </r>
  <r>
    <x v="0"/>
    <x v="0"/>
    <x v="0"/>
    <x v="1"/>
    <x v="2"/>
    <s v="EE_Narva"/>
    <x v="15"/>
    <x v="82"/>
    <x v="0"/>
    <x v="16"/>
    <n v="205.154818386302"/>
    <n v="74881.508711000395"/>
    <n v="269573.43135960097"/>
  </r>
  <r>
    <x v="0"/>
    <x v="0"/>
    <x v="0"/>
    <x v="1"/>
    <x v="2"/>
    <s v="EE_Narva"/>
    <x v="15"/>
    <x v="82"/>
    <x v="0"/>
    <x v="17"/>
    <n v="339.42389988450401"/>
    <n v="123889.723457844"/>
    <n v="446003.00444823899"/>
  </r>
  <r>
    <x v="0"/>
    <x v="0"/>
    <x v="0"/>
    <x v="1"/>
    <x v="2"/>
    <s v="EE_Narva"/>
    <x v="15"/>
    <x v="82"/>
    <x v="0"/>
    <x v="18"/>
    <n v="162.32594708373"/>
    <n v="59248.9706855615"/>
    <n v="213296.29446802099"/>
  </r>
  <r>
    <x v="0"/>
    <x v="0"/>
    <x v="0"/>
    <x v="1"/>
    <x v="2"/>
    <s v="EE_Parnu"/>
    <x v="13"/>
    <x v="83"/>
    <x v="0"/>
    <x v="7"/>
    <n v="19.354356880431801"/>
    <n v="7064.34026135759"/>
    <n v="25431.624940887301"/>
  </r>
  <r>
    <x v="0"/>
    <x v="0"/>
    <x v="0"/>
    <x v="1"/>
    <x v="2"/>
    <s v="EE_Parnu"/>
    <x v="13"/>
    <x v="83"/>
    <x v="0"/>
    <x v="8"/>
    <n v="56.732603959961502"/>
    <n v="20707.400445385902"/>
    <n v="74546.641603389406"/>
  </r>
  <r>
    <x v="0"/>
    <x v="0"/>
    <x v="0"/>
    <x v="1"/>
    <x v="2"/>
    <s v="EE_Parnu"/>
    <x v="13"/>
    <x v="83"/>
    <x v="0"/>
    <x v="0"/>
    <n v="76.086994466430795"/>
    <n v="27771.752980247202"/>
    <n v="99978.310728890006"/>
  </r>
  <r>
    <x v="0"/>
    <x v="0"/>
    <x v="0"/>
    <x v="1"/>
    <x v="2"/>
    <s v="EE_Parnu"/>
    <x v="13"/>
    <x v="83"/>
    <x v="0"/>
    <x v="1"/>
    <n v="76.086994466430795"/>
    <n v="27771.752980247202"/>
    <n v="99978.310728890006"/>
  </r>
  <r>
    <x v="0"/>
    <x v="0"/>
    <x v="0"/>
    <x v="1"/>
    <x v="2"/>
    <s v="EE_Parnu"/>
    <x v="13"/>
    <x v="83"/>
    <x v="0"/>
    <x v="2"/>
    <n v="76.086994466430795"/>
    <n v="27771.752980247202"/>
    <n v="99978.310728890006"/>
  </r>
  <r>
    <x v="0"/>
    <x v="0"/>
    <x v="0"/>
    <x v="1"/>
    <x v="2"/>
    <s v="EE_Parnu"/>
    <x v="13"/>
    <x v="83"/>
    <x v="0"/>
    <x v="9"/>
    <n v="76.086994466430795"/>
    <n v="27771.752980247202"/>
    <n v="99978.310728890006"/>
  </r>
  <r>
    <x v="0"/>
    <x v="0"/>
    <x v="0"/>
    <x v="1"/>
    <x v="2"/>
    <s v="EE_Parnu"/>
    <x v="13"/>
    <x v="83"/>
    <x v="0"/>
    <x v="10"/>
    <n v="76.086994466430795"/>
    <n v="27771.752980247202"/>
    <n v="99978.310728890006"/>
  </r>
  <r>
    <x v="0"/>
    <x v="0"/>
    <x v="0"/>
    <x v="1"/>
    <x v="2"/>
    <s v="EE_Parnu"/>
    <x v="13"/>
    <x v="83"/>
    <x v="0"/>
    <x v="11"/>
    <n v="76.086994466430795"/>
    <n v="27771.752980247202"/>
    <n v="99978.310728890006"/>
  </r>
  <r>
    <x v="0"/>
    <x v="0"/>
    <x v="0"/>
    <x v="1"/>
    <x v="2"/>
    <s v="EE_Parnu"/>
    <x v="13"/>
    <x v="83"/>
    <x v="0"/>
    <x v="12"/>
    <n v="76.086994466430795"/>
    <n v="27771.752980247202"/>
    <n v="99978.310728890006"/>
  </r>
  <r>
    <x v="0"/>
    <x v="0"/>
    <x v="0"/>
    <x v="1"/>
    <x v="2"/>
    <s v="EE_Parnu"/>
    <x v="13"/>
    <x v="83"/>
    <x v="0"/>
    <x v="13"/>
    <n v="76.086994466430795"/>
    <n v="27771.752980247202"/>
    <n v="99978.310728890006"/>
  </r>
  <r>
    <x v="0"/>
    <x v="0"/>
    <x v="0"/>
    <x v="1"/>
    <x v="2"/>
    <s v="EE_Parnu"/>
    <x v="13"/>
    <x v="83"/>
    <x v="0"/>
    <x v="14"/>
    <n v="76.086994466430795"/>
    <n v="27771.752980247202"/>
    <n v="99978.310728890006"/>
  </r>
  <r>
    <x v="0"/>
    <x v="0"/>
    <x v="0"/>
    <x v="1"/>
    <x v="2"/>
    <s v="EE_Parnu"/>
    <x v="13"/>
    <x v="83"/>
    <x v="0"/>
    <x v="15"/>
    <n v="76.086994466430795"/>
    <n v="27771.752980247202"/>
    <n v="99978.310728890006"/>
  </r>
  <r>
    <x v="0"/>
    <x v="0"/>
    <x v="0"/>
    <x v="1"/>
    <x v="2"/>
    <s v="EE_Parnu"/>
    <x v="13"/>
    <x v="83"/>
    <x v="0"/>
    <x v="16"/>
    <n v="76.086994466430795"/>
    <n v="27771.752980247202"/>
    <n v="99978.310728890006"/>
  </r>
  <r>
    <x v="0"/>
    <x v="0"/>
    <x v="0"/>
    <x v="1"/>
    <x v="2"/>
    <s v="EE_Parnu"/>
    <x v="13"/>
    <x v="83"/>
    <x v="0"/>
    <x v="17"/>
    <n v="76.086994466430795"/>
    <n v="27771.752980247202"/>
    <n v="99978.310728890006"/>
  </r>
  <r>
    <x v="0"/>
    <x v="0"/>
    <x v="0"/>
    <x v="1"/>
    <x v="2"/>
    <s v="EE_Parnu"/>
    <x v="13"/>
    <x v="83"/>
    <x v="0"/>
    <x v="18"/>
    <n v="76.086994466430795"/>
    <n v="27771.752980247202"/>
    <n v="99978.310728890006"/>
  </r>
  <r>
    <x v="0"/>
    <x v="0"/>
    <x v="0"/>
    <x v="1"/>
    <x v="2"/>
    <s v="EE_Parnu"/>
    <x v="13"/>
    <x v="83"/>
    <x v="0"/>
    <x v="19"/>
    <n v="76.086994466430795"/>
    <n v="27771.752980247202"/>
    <n v="99978.310728890006"/>
  </r>
  <r>
    <x v="0"/>
    <x v="0"/>
    <x v="0"/>
    <x v="1"/>
    <x v="2"/>
    <s v="EE_Parnu"/>
    <x v="13"/>
    <x v="83"/>
    <x v="0"/>
    <x v="20"/>
    <n v="31.8067060755392"/>
    <n v="11609.4477175718"/>
    <n v="41794.011783258502"/>
  </r>
  <r>
    <x v="0"/>
    <x v="0"/>
    <x v="0"/>
    <x v="1"/>
    <x v="2"/>
    <s v="EE_Parnu"/>
    <x v="13"/>
    <x v="83"/>
    <x v="0"/>
    <x v="21"/>
    <n v="64.276343511153996"/>
    <n v="23460.865381571199"/>
    <n v="84459.115373656401"/>
  </r>
  <r>
    <x v="0"/>
    <x v="0"/>
    <x v="0"/>
    <x v="1"/>
    <x v="2"/>
    <s v="EE_Rural"/>
    <x v="2"/>
    <x v="80"/>
    <x v="0"/>
    <x v="3"/>
    <n v="2.7242118151209098"/>
    <n v="994.33731251913105"/>
    <n v="3579.6143250688701"/>
  </r>
  <r>
    <x v="0"/>
    <x v="0"/>
    <x v="0"/>
    <x v="1"/>
    <x v="2"/>
    <s v="EE_Rural"/>
    <x v="2"/>
    <x v="80"/>
    <x v="0"/>
    <x v="4"/>
    <n v="2.7242118151209098"/>
    <n v="994.33731251913105"/>
    <n v="3579.6143250688701"/>
  </r>
  <r>
    <x v="0"/>
    <x v="0"/>
    <x v="0"/>
    <x v="1"/>
    <x v="2"/>
    <s v="EE_Rural"/>
    <x v="2"/>
    <x v="80"/>
    <x v="0"/>
    <x v="5"/>
    <n v="2.7242118151209098"/>
    <n v="994.33731251913105"/>
    <n v="3579.6143250688701"/>
  </r>
  <r>
    <x v="0"/>
    <x v="0"/>
    <x v="0"/>
    <x v="1"/>
    <x v="2"/>
    <s v="EE_Rural"/>
    <x v="2"/>
    <x v="80"/>
    <x v="0"/>
    <x v="6"/>
    <n v="2.7242118151209098"/>
    <n v="994.33731251913105"/>
    <n v="3579.6143250688701"/>
  </r>
  <r>
    <x v="0"/>
    <x v="0"/>
    <x v="0"/>
    <x v="1"/>
    <x v="2"/>
    <s v="EE_Rural"/>
    <x v="2"/>
    <x v="80"/>
    <x v="0"/>
    <x v="7"/>
    <n v="2.7242118151209098"/>
    <n v="994.33731251913105"/>
    <n v="3579.6143250688701"/>
  </r>
  <r>
    <x v="0"/>
    <x v="0"/>
    <x v="0"/>
    <x v="1"/>
    <x v="2"/>
    <s v="EE_Rural"/>
    <x v="2"/>
    <x v="80"/>
    <x v="0"/>
    <x v="8"/>
    <n v="2.7242118151209098"/>
    <n v="994.33731251913105"/>
    <n v="3579.6143250688701"/>
  </r>
  <r>
    <x v="0"/>
    <x v="0"/>
    <x v="0"/>
    <x v="1"/>
    <x v="2"/>
    <s v="EE_Rural"/>
    <x v="2"/>
    <x v="80"/>
    <x v="0"/>
    <x v="0"/>
    <n v="2.7242118151209098"/>
    <n v="994.33731251913105"/>
    <n v="3579.6143250688701"/>
  </r>
  <r>
    <x v="0"/>
    <x v="0"/>
    <x v="0"/>
    <x v="1"/>
    <x v="2"/>
    <s v="EE_Rural"/>
    <x v="2"/>
    <x v="80"/>
    <x v="0"/>
    <x v="1"/>
    <n v="2.7242118151209098"/>
    <n v="994.33731251913105"/>
    <n v="3579.6143250688701"/>
  </r>
  <r>
    <x v="0"/>
    <x v="0"/>
    <x v="0"/>
    <x v="1"/>
    <x v="2"/>
    <s v="EE_Rural"/>
    <x v="2"/>
    <x v="80"/>
    <x v="0"/>
    <x v="2"/>
    <n v="2.7242118151209098"/>
    <n v="994.33731251913105"/>
    <n v="3579.6143250688701"/>
  </r>
  <r>
    <x v="0"/>
    <x v="0"/>
    <x v="0"/>
    <x v="1"/>
    <x v="2"/>
    <s v="EE_Rural"/>
    <x v="2"/>
    <x v="80"/>
    <x v="0"/>
    <x v="9"/>
    <n v="2.7242118151209098"/>
    <n v="994.33731251913105"/>
    <n v="3579.6143250688701"/>
  </r>
  <r>
    <x v="0"/>
    <x v="0"/>
    <x v="0"/>
    <x v="1"/>
    <x v="2"/>
    <s v="EE_Rural"/>
    <x v="2"/>
    <x v="80"/>
    <x v="0"/>
    <x v="10"/>
    <n v="2.7242118151209098"/>
    <n v="994.33731251913105"/>
    <n v="3579.6143250688701"/>
  </r>
  <r>
    <x v="0"/>
    <x v="0"/>
    <x v="0"/>
    <x v="1"/>
    <x v="2"/>
    <s v="EE_Rural"/>
    <x v="2"/>
    <x v="80"/>
    <x v="0"/>
    <x v="11"/>
    <n v="2.7242118151209098"/>
    <n v="994.33731251913105"/>
    <n v="3579.6143250688701"/>
  </r>
  <r>
    <x v="0"/>
    <x v="0"/>
    <x v="0"/>
    <x v="1"/>
    <x v="2"/>
    <s v="EE_Rural"/>
    <x v="2"/>
    <x v="80"/>
    <x v="0"/>
    <x v="12"/>
    <n v="2.7242118151209098"/>
    <n v="994.33731251913105"/>
    <n v="3579.6143250688701"/>
  </r>
  <r>
    <x v="0"/>
    <x v="0"/>
    <x v="0"/>
    <x v="1"/>
    <x v="2"/>
    <s v="EE_Rural"/>
    <x v="2"/>
    <x v="80"/>
    <x v="0"/>
    <x v="13"/>
    <n v="2.7242118151209098"/>
    <n v="994.33731251913105"/>
    <n v="3579.6143250688701"/>
  </r>
  <r>
    <x v="0"/>
    <x v="0"/>
    <x v="0"/>
    <x v="1"/>
    <x v="2"/>
    <s v="EE_Rural"/>
    <x v="2"/>
    <x v="80"/>
    <x v="0"/>
    <x v="14"/>
    <n v="2.7242118151209098"/>
    <n v="994.33731251913105"/>
    <n v="3579.6143250688701"/>
  </r>
  <r>
    <x v="0"/>
    <x v="0"/>
    <x v="0"/>
    <x v="1"/>
    <x v="2"/>
    <s v="EE_Rural"/>
    <x v="2"/>
    <x v="80"/>
    <x v="0"/>
    <x v="15"/>
    <n v="2.7242118151209098"/>
    <n v="994.33731251913105"/>
    <n v="3579.6143250688701"/>
  </r>
  <r>
    <x v="0"/>
    <x v="0"/>
    <x v="0"/>
    <x v="1"/>
    <x v="2"/>
    <s v="EE_Rural"/>
    <x v="2"/>
    <x v="80"/>
    <x v="0"/>
    <x v="16"/>
    <n v="2.7242118151209098"/>
    <n v="994.33731251913105"/>
    <n v="3579.6143250688701"/>
  </r>
  <r>
    <x v="0"/>
    <x v="0"/>
    <x v="0"/>
    <x v="1"/>
    <x v="2"/>
    <s v="EE_Rural"/>
    <x v="2"/>
    <x v="80"/>
    <x v="0"/>
    <x v="17"/>
    <n v="2.7242118151209098"/>
    <n v="994.33731251913105"/>
    <n v="3579.6143250688701"/>
  </r>
  <r>
    <x v="0"/>
    <x v="0"/>
    <x v="0"/>
    <x v="1"/>
    <x v="2"/>
    <s v="EE_Rural"/>
    <x v="2"/>
    <x v="80"/>
    <x v="0"/>
    <x v="18"/>
    <n v="2.7242118151209098"/>
    <n v="994.33731251913105"/>
    <n v="3579.6143250688701"/>
  </r>
  <r>
    <x v="0"/>
    <x v="0"/>
    <x v="0"/>
    <x v="1"/>
    <x v="2"/>
    <s v="EE_Rural"/>
    <x v="2"/>
    <x v="80"/>
    <x v="0"/>
    <x v="19"/>
    <n v="2.7242118151209098"/>
    <n v="994.33731251913105"/>
    <n v="3579.6143250688701"/>
  </r>
  <r>
    <x v="0"/>
    <x v="0"/>
    <x v="0"/>
    <x v="1"/>
    <x v="2"/>
    <s v="EE_Rural"/>
    <x v="2"/>
    <x v="80"/>
    <x v="0"/>
    <x v="20"/>
    <n v="2.7242118151209098"/>
    <n v="994.33731251913105"/>
    <n v="3579.6143250688701"/>
  </r>
  <r>
    <x v="0"/>
    <x v="0"/>
    <x v="0"/>
    <x v="1"/>
    <x v="2"/>
    <s v="EE_Rural"/>
    <x v="2"/>
    <x v="80"/>
    <x v="0"/>
    <x v="21"/>
    <n v="2.7242118151209098"/>
    <n v="994.33731251913105"/>
    <n v="3579.6143250688701"/>
  </r>
  <r>
    <x v="0"/>
    <x v="0"/>
    <x v="0"/>
    <x v="1"/>
    <x v="2"/>
    <s v="EE_Rural"/>
    <x v="2"/>
    <x v="80"/>
    <x v="0"/>
    <x v="22"/>
    <n v="2.7242118151209098"/>
    <n v="994.33731251913105"/>
    <n v="3579.6143250688701"/>
  </r>
  <r>
    <x v="0"/>
    <x v="0"/>
    <x v="0"/>
    <x v="1"/>
    <x v="2"/>
    <s v="EE_Rural"/>
    <x v="2"/>
    <x v="80"/>
    <x v="0"/>
    <x v="23"/>
    <n v="2.7242118151209098"/>
    <n v="994.33731251913105"/>
    <n v="3579.6143250688701"/>
  </r>
  <r>
    <x v="0"/>
    <x v="0"/>
    <x v="0"/>
    <x v="1"/>
    <x v="2"/>
    <s v="EE_Rural"/>
    <x v="7"/>
    <x v="46"/>
    <x v="0"/>
    <x v="3"/>
    <n v="3.4246575342465699"/>
    <n v="1250"/>
    <n v="4500"/>
  </r>
  <r>
    <x v="0"/>
    <x v="0"/>
    <x v="0"/>
    <x v="1"/>
    <x v="2"/>
    <s v="EE_Rural"/>
    <x v="7"/>
    <x v="46"/>
    <x v="0"/>
    <x v="4"/>
    <n v="3.4246575342465699"/>
    <n v="1250"/>
    <n v="4500"/>
  </r>
  <r>
    <x v="0"/>
    <x v="0"/>
    <x v="0"/>
    <x v="1"/>
    <x v="2"/>
    <s v="EE_Rural"/>
    <x v="7"/>
    <x v="46"/>
    <x v="0"/>
    <x v="5"/>
    <n v="3.4246575342465699"/>
    <n v="1250"/>
    <n v="4500"/>
  </r>
  <r>
    <x v="0"/>
    <x v="0"/>
    <x v="0"/>
    <x v="1"/>
    <x v="2"/>
    <s v="EE_Rural"/>
    <x v="7"/>
    <x v="46"/>
    <x v="0"/>
    <x v="6"/>
    <n v="3.4246575342465699"/>
    <n v="1250"/>
    <n v="4500"/>
  </r>
  <r>
    <x v="0"/>
    <x v="0"/>
    <x v="0"/>
    <x v="1"/>
    <x v="2"/>
    <s v="EE_Rural"/>
    <x v="7"/>
    <x v="46"/>
    <x v="0"/>
    <x v="7"/>
    <n v="3.4246575342465699"/>
    <n v="1250"/>
    <n v="4500"/>
  </r>
  <r>
    <x v="0"/>
    <x v="0"/>
    <x v="0"/>
    <x v="1"/>
    <x v="2"/>
    <s v="EE_Rural"/>
    <x v="7"/>
    <x v="46"/>
    <x v="0"/>
    <x v="8"/>
    <n v="3.4246575342465699"/>
    <n v="1250"/>
    <n v="4500"/>
  </r>
  <r>
    <x v="0"/>
    <x v="0"/>
    <x v="0"/>
    <x v="1"/>
    <x v="2"/>
    <s v="EE_Rural"/>
    <x v="7"/>
    <x v="46"/>
    <x v="0"/>
    <x v="0"/>
    <n v="3.4246575342465699"/>
    <n v="1250"/>
    <n v="4500"/>
  </r>
  <r>
    <x v="0"/>
    <x v="0"/>
    <x v="0"/>
    <x v="1"/>
    <x v="2"/>
    <s v="EE_Rural"/>
    <x v="7"/>
    <x v="46"/>
    <x v="0"/>
    <x v="1"/>
    <n v="3.4246575342465699"/>
    <n v="1250"/>
    <n v="4500"/>
  </r>
  <r>
    <x v="0"/>
    <x v="0"/>
    <x v="0"/>
    <x v="1"/>
    <x v="2"/>
    <s v="EE_Rural"/>
    <x v="7"/>
    <x v="46"/>
    <x v="0"/>
    <x v="2"/>
    <n v="3.4246575342465699"/>
    <n v="1250"/>
    <n v="4500"/>
  </r>
  <r>
    <x v="0"/>
    <x v="0"/>
    <x v="0"/>
    <x v="1"/>
    <x v="2"/>
    <s v="EE_Rural"/>
    <x v="7"/>
    <x v="46"/>
    <x v="0"/>
    <x v="9"/>
    <n v="3.4246575342465699"/>
    <n v="1250"/>
    <n v="4500"/>
  </r>
  <r>
    <x v="0"/>
    <x v="0"/>
    <x v="0"/>
    <x v="1"/>
    <x v="2"/>
    <s v="EE_Rural"/>
    <x v="7"/>
    <x v="46"/>
    <x v="0"/>
    <x v="10"/>
    <n v="3.4246575342465699"/>
    <n v="1250"/>
    <n v="4500"/>
  </r>
  <r>
    <x v="0"/>
    <x v="0"/>
    <x v="0"/>
    <x v="1"/>
    <x v="2"/>
    <s v="EE_Rural"/>
    <x v="7"/>
    <x v="46"/>
    <x v="0"/>
    <x v="11"/>
    <n v="3.4246575342465699"/>
    <n v="1250"/>
    <n v="4500"/>
  </r>
  <r>
    <x v="0"/>
    <x v="0"/>
    <x v="0"/>
    <x v="1"/>
    <x v="2"/>
    <s v="EE_Rural"/>
    <x v="7"/>
    <x v="46"/>
    <x v="0"/>
    <x v="12"/>
    <n v="3.4246575342465699"/>
    <n v="1250"/>
    <n v="4500"/>
  </r>
  <r>
    <x v="0"/>
    <x v="0"/>
    <x v="0"/>
    <x v="1"/>
    <x v="2"/>
    <s v="EE_Rural"/>
    <x v="7"/>
    <x v="46"/>
    <x v="0"/>
    <x v="13"/>
    <n v="3.4246575342465699"/>
    <n v="1250"/>
    <n v="4500"/>
  </r>
  <r>
    <x v="0"/>
    <x v="0"/>
    <x v="0"/>
    <x v="1"/>
    <x v="2"/>
    <s v="EE_Rural"/>
    <x v="7"/>
    <x v="46"/>
    <x v="0"/>
    <x v="14"/>
    <n v="3.4246575342465699"/>
    <n v="1250"/>
    <n v="4500"/>
  </r>
  <r>
    <x v="0"/>
    <x v="0"/>
    <x v="0"/>
    <x v="1"/>
    <x v="2"/>
    <s v="EE_Rural"/>
    <x v="7"/>
    <x v="46"/>
    <x v="0"/>
    <x v="15"/>
    <n v="3.4246575342465699"/>
    <n v="1250"/>
    <n v="4500"/>
  </r>
  <r>
    <x v="0"/>
    <x v="0"/>
    <x v="0"/>
    <x v="1"/>
    <x v="2"/>
    <s v="EE_Rural"/>
    <x v="7"/>
    <x v="46"/>
    <x v="0"/>
    <x v="16"/>
    <n v="3.4246575342465699"/>
    <n v="1250"/>
    <n v="4500"/>
  </r>
  <r>
    <x v="0"/>
    <x v="0"/>
    <x v="0"/>
    <x v="1"/>
    <x v="2"/>
    <s v="EE_Rural"/>
    <x v="7"/>
    <x v="46"/>
    <x v="0"/>
    <x v="17"/>
    <n v="3.4246575342465699"/>
    <n v="1250"/>
    <n v="4500"/>
  </r>
  <r>
    <x v="0"/>
    <x v="0"/>
    <x v="0"/>
    <x v="1"/>
    <x v="2"/>
    <s v="EE_Rural"/>
    <x v="7"/>
    <x v="46"/>
    <x v="0"/>
    <x v="18"/>
    <n v="3.4246575342465699"/>
    <n v="1250"/>
    <n v="4500"/>
  </r>
  <r>
    <x v="0"/>
    <x v="0"/>
    <x v="0"/>
    <x v="1"/>
    <x v="2"/>
    <s v="EE_Rural"/>
    <x v="7"/>
    <x v="46"/>
    <x v="0"/>
    <x v="19"/>
    <n v="3.4246575342465699"/>
    <n v="1250"/>
    <n v="4500"/>
  </r>
  <r>
    <x v="0"/>
    <x v="0"/>
    <x v="0"/>
    <x v="1"/>
    <x v="2"/>
    <s v="EE_Rural"/>
    <x v="7"/>
    <x v="46"/>
    <x v="0"/>
    <x v="20"/>
    <n v="3.4246575342465699"/>
    <n v="1250"/>
    <n v="4500"/>
  </r>
  <r>
    <x v="0"/>
    <x v="0"/>
    <x v="0"/>
    <x v="1"/>
    <x v="2"/>
    <s v="EE_Rural"/>
    <x v="7"/>
    <x v="46"/>
    <x v="0"/>
    <x v="21"/>
    <n v="3.4246575342465699"/>
    <n v="1250"/>
    <n v="4500"/>
  </r>
  <r>
    <x v="0"/>
    <x v="0"/>
    <x v="0"/>
    <x v="1"/>
    <x v="2"/>
    <s v="EE_Rural"/>
    <x v="7"/>
    <x v="46"/>
    <x v="0"/>
    <x v="22"/>
    <n v="3.4246575342465699"/>
    <n v="1250"/>
    <n v="4500"/>
  </r>
  <r>
    <x v="0"/>
    <x v="0"/>
    <x v="0"/>
    <x v="1"/>
    <x v="2"/>
    <s v="EE_Rural"/>
    <x v="7"/>
    <x v="46"/>
    <x v="0"/>
    <x v="23"/>
    <n v="3.4246575342465699"/>
    <n v="1250"/>
    <n v="4500"/>
  </r>
  <r>
    <x v="0"/>
    <x v="0"/>
    <x v="0"/>
    <x v="1"/>
    <x v="2"/>
    <s v="EE_Rural"/>
    <x v="8"/>
    <x v="47"/>
    <x v="0"/>
    <x v="3"/>
    <n v="23.661485566316099"/>
    <n v="8636.4422317053904"/>
    <n v="31091.1920341394"/>
  </r>
  <r>
    <x v="0"/>
    <x v="0"/>
    <x v="0"/>
    <x v="1"/>
    <x v="2"/>
    <s v="EE_Rural"/>
    <x v="8"/>
    <x v="47"/>
    <x v="0"/>
    <x v="4"/>
    <n v="28.393782679579399"/>
    <n v="10363.730678046501"/>
    <n v="37309.430440967299"/>
  </r>
  <r>
    <x v="0"/>
    <x v="0"/>
    <x v="0"/>
    <x v="1"/>
    <x v="2"/>
    <s v="EE_Rural"/>
    <x v="8"/>
    <x v="47"/>
    <x v="0"/>
    <x v="5"/>
    <n v="27.717740234827499"/>
    <n v="10116.975185712001"/>
    <n v="36421.110668563299"/>
  </r>
  <r>
    <x v="0"/>
    <x v="0"/>
    <x v="0"/>
    <x v="1"/>
    <x v="2"/>
    <s v="EE_Rural"/>
    <x v="8"/>
    <x v="47"/>
    <x v="0"/>
    <x v="6"/>
    <n v="26.027634122947699"/>
    <n v="9500.0864548759291"/>
    <n v="34200.311237553302"/>
  </r>
  <r>
    <x v="0"/>
    <x v="0"/>
    <x v="0"/>
    <x v="1"/>
    <x v="2"/>
    <s v="EE_Rural"/>
    <x v="8"/>
    <x v="47"/>
    <x v="0"/>
    <x v="7"/>
    <n v="19.267209675428902"/>
    <n v="7032.5315315315302"/>
    <n v="25317.113513513501"/>
  </r>
  <r>
    <x v="0"/>
    <x v="0"/>
    <x v="0"/>
    <x v="1"/>
    <x v="2"/>
    <s v="EE_Rural"/>
    <x v="8"/>
    <x v="47"/>
    <x v="0"/>
    <x v="8"/>
    <n v="11.154700338406199"/>
    <n v="4071.4656235182501"/>
    <n v="14657.2762446657"/>
  </r>
  <r>
    <x v="0"/>
    <x v="0"/>
    <x v="0"/>
    <x v="1"/>
    <x v="2"/>
    <s v="EE_Rural"/>
    <x v="8"/>
    <x v="47"/>
    <x v="0"/>
    <x v="0"/>
    <n v="2.3661485566316101"/>
    <n v="863.64422317053902"/>
    <n v="3109.1192034139399"/>
  </r>
  <r>
    <x v="0"/>
    <x v="0"/>
    <x v="0"/>
    <x v="1"/>
    <x v="2"/>
    <s v="EE_Rural"/>
    <x v="8"/>
    <x v="47"/>
    <x v="0"/>
    <x v="1"/>
    <n v="1.69010611187972"/>
    <n v="616.88873083609894"/>
    <n v="2220.7994310099598"/>
  </r>
  <r>
    <x v="0"/>
    <x v="0"/>
    <x v="0"/>
    <x v="1"/>
    <x v="2"/>
    <s v="EE_Rural"/>
    <x v="8"/>
    <x v="47"/>
    <x v="0"/>
    <x v="2"/>
    <n v="2.3661485566316101"/>
    <n v="863.64422317053902"/>
    <n v="3109.1192034139399"/>
  </r>
  <r>
    <x v="0"/>
    <x v="0"/>
    <x v="0"/>
    <x v="1"/>
    <x v="2"/>
    <s v="EE_Rural"/>
    <x v="8"/>
    <x v="47"/>
    <x v="0"/>
    <x v="9"/>
    <n v="11.154700338406199"/>
    <n v="4071.4656235182501"/>
    <n v="14657.2762446657"/>
  </r>
  <r>
    <x v="0"/>
    <x v="0"/>
    <x v="0"/>
    <x v="1"/>
    <x v="2"/>
    <s v="EE_Rural"/>
    <x v="8"/>
    <x v="47"/>
    <x v="0"/>
    <x v="10"/>
    <n v="26.027634122947699"/>
    <n v="9500.0864548759291"/>
    <n v="34200.311237553302"/>
  </r>
  <r>
    <x v="0"/>
    <x v="0"/>
    <x v="0"/>
    <x v="1"/>
    <x v="2"/>
    <s v="EE_Rural"/>
    <x v="8"/>
    <x v="47"/>
    <x v="0"/>
    <x v="11"/>
    <n v="40.224525462737397"/>
    <n v="14681.951793899199"/>
    <n v="52855.026458036999"/>
  </r>
  <r>
    <x v="0"/>
    <x v="0"/>
    <x v="0"/>
    <x v="1"/>
    <x v="2"/>
    <s v="EE_Rural"/>
    <x v="8"/>
    <x v="47"/>
    <x v="0"/>
    <x v="12"/>
    <n v="46.646928687880397"/>
    <n v="17026.128971076301"/>
    <n v="61294.064295874799"/>
  </r>
  <r>
    <x v="0"/>
    <x v="0"/>
    <x v="0"/>
    <x v="1"/>
    <x v="2"/>
    <s v="EE_Rural"/>
    <x v="8"/>
    <x v="47"/>
    <x v="0"/>
    <x v="13"/>
    <n v="53.407353135399298"/>
    <n v="19493.683894420701"/>
    <n v="70177.262019914706"/>
  </r>
  <r>
    <x v="0"/>
    <x v="0"/>
    <x v="0"/>
    <x v="1"/>
    <x v="2"/>
    <s v="EE_Rural"/>
    <x v="8"/>
    <x v="47"/>
    <x v="0"/>
    <x v="14"/>
    <n v="53.407353135399298"/>
    <n v="19493.683894420701"/>
    <n v="70177.262019914706"/>
  </r>
  <r>
    <x v="0"/>
    <x v="0"/>
    <x v="0"/>
    <x v="1"/>
    <x v="2"/>
    <s v="EE_Rural"/>
    <x v="8"/>
    <x v="47"/>
    <x v="0"/>
    <x v="15"/>
    <n v="84.505305593986193"/>
    <n v="30844.436541805"/>
    <n v="111039.971550498"/>
  </r>
  <r>
    <x v="0"/>
    <x v="0"/>
    <x v="0"/>
    <x v="1"/>
    <x v="2"/>
    <s v="EE_Rural"/>
    <x v="8"/>
    <x v="47"/>
    <x v="0"/>
    <x v="16"/>
    <n v="109.18085482743"/>
    <n v="39851.012012011997"/>
    <n v="143463.64324324299"/>
  </r>
  <r>
    <x v="0"/>
    <x v="0"/>
    <x v="0"/>
    <x v="1"/>
    <x v="2"/>
    <s v="EE_Rural"/>
    <x v="8"/>
    <x v="47"/>
    <x v="0"/>
    <x v="17"/>
    <n v="107.828769937926"/>
    <n v="39357.501027343103"/>
    <n v="141687.003698435"/>
  </r>
  <r>
    <x v="0"/>
    <x v="0"/>
    <x v="0"/>
    <x v="1"/>
    <x v="2"/>
    <s v="EE_Rural"/>
    <x v="8"/>
    <x v="47"/>
    <x v="0"/>
    <x v="18"/>
    <n v="147.37725295591201"/>
    <n v="53792.697328907903"/>
    <n v="193653.71038406799"/>
  </r>
  <r>
    <x v="0"/>
    <x v="0"/>
    <x v="0"/>
    <x v="1"/>
    <x v="2"/>
    <s v="EE_Rural"/>
    <x v="8"/>
    <x v="47"/>
    <x v="0"/>
    <x v="19"/>
    <n v="219.37577332198799"/>
    <n v="80072.157262525696"/>
    <n v="288259.76614509203"/>
  </r>
  <r>
    <x v="0"/>
    <x v="0"/>
    <x v="0"/>
    <x v="1"/>
    <x v="2"/>
    <s v="EE_Rural"/>
    <x v="8"/>
    <x v="47"/>
    <x v="0"/>
    <x v="20"/>
    <n v="254.19195922671"/>
    <n v="92780.065117749298"/>
    <n v="334008.23442389799"/>
  </r>
  <r>
    <x v="0"/>
    <x v="0"/>
    <x v="0"/>
    <x v="1"/>
    <x v="2"/>
    <s v="EE_Rural"/>
    <x v="8"/>
    <x v="47"/>
    <x v="0"/>
    <x v="21"/>
    <n v="274.13521134689103"/>
    <n v="100059.352141615"/>
    <n v="360213.66770981502"/>
  </r>
  <r>
    <x v="0"/>
    <x v="0"/>
    <x v="0"/>
    <x v="1"/>
    <x v="2"/>
    <s v="EE_Rural"/>
    <x v="8"/>
    <x v="47"/>
    <x v="0"/>
    <x v="22"/>
    <n v="278.52948723777899"/>
    <n v="101663.26284178899"/>
    <n v="365987.74623044097"/>
  </r>
  <r>
    <x v="0"/>
    <x v="0"/>
    <x v="0"/>
    <x v="1"/>
    <x v="2"/>
    <s v="EE_Rural"/>
    <x v="8"/>
    <x v="47"/>
    <x v="0"/>
    <x v="23"/>
    <n v="290.022208798561"/>
    <n v="105858.10621147499"/>
    <n v="381089.18236130901"/>
  </r>
  <r>
    <x v="0"/>
    <x v="0"/>
    <x v="0"/>
    <x v="1"/>
    <x v="2"/>
    <s v="EE_Rural"/>
    <x v="10"/>
    <x v="84"/>
    <x v="0"/>
    <x v="3"/>
    <n v="39.473684210526301"/>
    <n v="14407.8947368421"/>
    <n v="51868.421052631602"/>
  </r>
  <r>
    <x v="0"/>
    <x v="0"/>
    <x v="0"/>
    <x v="1"/>
    <x v="2"/>
    <s v="EE_Rural"/>
    <x v="10"/>
    <x v="84"/>
    <x v="0"/>
    <x v="4"/>
    <n v="39.473684210526301"/>
    <n v="14407.8947368421"/>
    <n v="51868.421052631602"/>
  </r>
  <r>
    <x v="0"/>
    <x v="0"/>
    <x v="0"/>
    <x v="1"/>
    <x v="2"/>
    <s v="EE_Rural"/>
    <x v="10"/>
    <x v="84"/>
    <x v="0"/>
    <x v="5"/>
    <n v="39.473684210526301"/>
    <n v="14407.8947368421"/>
    <n v="51868.421052631602"/>
  </r>
  <r>
    <x v="0"/>
    <x v="0"/>
    <x v="0"/>
    <x v="1"/>
    <x v="2"/>
    <s v="EE_Rural"/>
    <x v="10"/>
    <x v="84"/>
    <x v="0"/>
    <x v="6"/>
    <n v="39.473684210526301"/>
    <n v="14407.8947368421"/>
    <n v="51868.421052631602"/>
  </r>
  <r>
    <x v="0"/>
    <x v="0"/>
    <x v="0"/>
    <x v="1"/>
    <x v="2"/>
    <s v="EE_Rural"/>
    <x v="10"/>
    <x v="84"/>
    <x v="0"/>
    <x v="7"/>
    <n v="39.473684210526301"/>
    <n v="14407.8947368421"/>
    <n v="51868.421052631602"/>
  </r>
  <r>
    <x v="0"/>
    <x v="0"/>
    <x v="0"/>
    <x v="1"/>
    <x v="2"/>
    <s v="EE_Rural"/>
    <x v="10"/>
    <x v="84"/>
    <x v="0"/>
    <x v="8"/>
    <n v="39.473684210526301"/>
    <n v="14407.8947368421"/>
    <n v="51868.421052631602"/>
  </r>
  <r>
    <x v="0"/>
    <x v="0"/>
    <x v="0"/>
    <x v="1"/>
    <x v="2"/>
    <s v="EE_Rural"/>
    <x v="10"/>
    <x v="84"/>
    <x v="0"/>
    <x v="0"/>
    <n v="39.473684210526301"/>
    <n v="14407.8947368421"/>
    <n v="51868.421052631602"/>
  </r>
  <r>
    <x v="0"/>
    <x v="0"/>
    <x v="0"/>
    <x v="1"/>
    <x v="2"/>
    <s v="EE_Rural"/>
    <x v="10"/>
    <x v="84"/>
    <x v="0"/>
    <x v="1"/>
    <n v="39.473684210526301"/>
    <n v="14407.8947368421"/>
    <n v="51868.421052631602"/>
  </r>
  <r>
    <x v="0"/>
    <x v="0"/>
    <x v="0"/>
    <x v="1"/>
    <x v="2"/>
    <s v="EE_Rural"/>
    <x v="10"/>
    <x v="84"/>
    <x v="0"/>
    <x v="2"/>
    <n v="39.473684210526301"/>
    <n v="14407.8947368421"/>
    <n v="51868.421052631602"/>
  </r>
  <r>
    <x v="0"/>
    <x v="0"/>
    <x v="0"/>
    <x v="1"/>
    <x v="2"/>
    <s v="EE_Rural"/>
    <x v="10"/>
    <x v="84"/>
    <x v="0"/>
    <x v="9"/>
    <n v="39.473684210526301"/>
    <n v="14407.8947368421"/>
    <n v="51868.421052631602"/>
  </r>
  <r>
    <x v="0"/>
    <x v="0"/>
    <x v="0"/>
    <x v="1"/>
    <x v="2"/>
    <s v="EE_Rural"/>
    <x v="10"/>
    <x v="84"/>
    <x v="0"/>
    <x v="10"/>
    <n v="39.473684210526301"/>
    <n v="14407.8947368421"/>
    <n v="51868.421052631602"/>
  </r>
  <r>
    <x v="0"/>
    <x v="0"/>
    <x v="0"/>
    <x v="1"/>
    <x v="2"/>
    <s v="EE_Rural"/>
    <x v="10"/>
    <x v="84"/>
    <x v="0"/>
    <x v="11"/>
    <n v="39.473684210526301"/>
    <n v="14407.8947368421"/>
    <n v="51868.421052631602"/>
  </r>
  <r>
    <x v="0"/>
    <x v="0"/>
    <x v="0"/>
    <x v="1"/>
    <x v="2"/>
    <s v="EE_Rural"/>
    <x v="10"/>
    <x v="84"/>
    <x v="0"/>
    <x v="12"/>
    <n v="39.473684210526301"/>
    <n v="14407.8947368421"/>
    <n v="51868.421052631602"/>
  </r>
  <r>
    <x v="0"/>
    <x v="0"/>
    <x v="0"/>
    <x v="1"/>
    <x v="2"/>
    <s v="EE_Rural"/>
    <x v="10"/>
    <x v="84"/>
    <x v="0"/>
    <x v="13"/>
    <n v="39.473684210526301"/>
    <n v="14407.8947368421"/>
    <n v="51868.421052631602"/>
  </r>
  <r>
    <x v="0"/>
    <x v="0"/>
    <x v="0"/>
    <x v="1"/>
    <x v="2"/>
    <s v="EE_Rural"/>
    <x v="10"/>
    <x v="84"/>
    <x v="0"/>
    <x v="14"/>
    <n v="39.473684210526301"/>
    <n v="14407.8947368421"/>
    <n v="51868.421052631602"/>
  </r>
  <r>
    <x v="0"/>
    <x v="0"/>
    <x v="0"/>
    <x v="1"/>
    <x v="2"/>
    <s v="EE_Rural"/>
    <x v="10"/>
    <x v="84"/>
    <x v="0"/>
    <x v="15"/>
    <n v="39.473684210526301"/>
    <n v="14407.8947368421"/>
    <n v="51868.421052631602"/>
  </r>
  <r>
    <x v="0"/>
    <x v="0"/>
    <x v="0"/>
    <x v="1"/>
    <x v="2"/>
    <s v="EE_Rural"/>
    <x v="10"/>
    <x v="84"/>
    <x v="0"/>
    <x v="16"/>
    <n v="39.473684210526301"/>
    <n v="14407.8947368421"/>
    <n v="51868.421052631602"/>
  </r>
  <r>
    <x v="0"/>
    <x v="0"/>
    <x v="0"/>
    <x v="1"/>
    <x v="2"/>
    <s v="EE_Rural"/>
    <x v="10"/>
    <x v="84"/>
    <x v="0"/>
    <x v="17"/>
    <n v="39.473684210526301"/>
    <n v="14407.8947368421"/>
    <n v="51868.421052631602"/>
  </r>
  <r>
    <x v="0"/>
    <x v="0"/>
    <x v="0"/>
    <x v="1"/>
    <x v="2"/>
    <s v="EE_Rural"/>
    <x v="10"/>
    <x v="84"/>
    <x v="0"/>
    <x v="18"/>
    <n v="39.473684210526301"/>
    <n v="14407.8947368421"/>
    <n v="51868.421052631602"/>
  </r>
  <r>
    <x v="0"/>
    <x v="0"/>
    <x v="0"/>
    <x v="1"/>
    <x v="2"/>
    <s v="EE_Rural"/>
    <x v="10"/>
    <x v="84"/>
    <x v="0"/>
    <x v="19"/>
    <n v="39.473684210526301"/>
    <n v="14407.8947368421"/>
    <n v="51868.421052631602"/>
  </r>
  <r>
    <x v="0"/>
    <x v="0"/>
    <x v="0"/>
    <x v="1"/>
    <x v="2"/>
    <s v="EE_Rural"/>
    <x v="10"/>
    <x v="84"/>
    <x v="0"/>
    <x v="20"/>
    <n v="39.473684210526301"/>
    <n v="14407.8947368421"/>
    <n v="51868.421052631602"/>
  </r>
  <r>
    <x v="0"/>
    <x v="0"/>
    <x v="0"/>
    <x v="1"/>
    <x v="2"/>
    <s v="EE_Rural"/>
    <x v="10"/>
    <x v="84"/>
    <x v="0"/>
    <x v="21"/>
    <n v="39.473684210526301"/>
    <n v="14407.8947368421"/>
    <n v="51868.421052631602"/>
  </r>
  <r>
    <x v="0"/>
    <x v="0"/>
    <x v="0"/>
    <x v="1"/>
    <x v="2"/>
    <s v="EE_Rural"/>
    <x v="10"/>
    <x v="84"/>
    <x v="0"/>
    <x v="22"/>
    <n v="39.473684210526301"/>
    <n v="14407.8947368421"/>
    <n v="51868.421052631602"/>
  </r>
  <r>
    <x v="0"/>
    <x v="0"/>
    <x v="0"/>
    <x v="1"/>
    <x v="2"/>
    <s v="EE_Rural"/>
    <x v="10"/>
    <x v="84"/>
    <x v="0"/>
    <x v="23"/>
    <n v="39.473684210526301"/>
    <n v="14407.8947368421"/>
    <n v="51868.421052631602"/>
  </r>
  <r>
    <x v="0"/>
    <x v="0"/>
    <x v="0"/>
    <x v="1"/>
    <x v="2"/>
    <s v="EE_Sillamae"/>
    <x v="2"/>
    <x v="80"/>
    <x v="0"/>
    <x v="3"/>
    <n v="22.701765126007601"/>
    <n v="8286.1442709927596"/>
    <n v="29830.1193755739"/>
  </r>
  <r>
    <x v="0"/>
    <x v="0"/>
    <x v="0"/>
    <x v="1"/>
    <x v="2"/>
    <s v="EE_Sillamae"/>
    <x v="2"/>
    <x v="80"/>
    <x v="0"/>
    <x v="4"/>
    <n v="22.701765126007601"/>
    <n v="8286.1442709927596"/>
    <n v="29830.1193755739"/>
  </r>
  <r>
    <x v="0"/>
    <x v="0"/>
    <x v="0"/>
    <x v="1"/>
    <x v="2"/>
    <s v="EE_Sillamae"/>
    <x v="2"/>
    <x v="80"/>
    <x v="0"/>
    <x v="5"/>
    <n v="22.701765126007601"/>
    <n v="8286.1442709927596"/>
    <n v="29830.1193755739"/>
  </r>
  <r>
    <x v="0"/>
    <x v="0"/>
    <x v="0"/>
    <x v="1"/>
    <x v="2"/>
    <s v="EE_Sillamae"/>
    <x v="2"/>
    <x v="80"/>
    <x v="0"/>
    <x v="6"/>
    <n v="22.701765126007601"/>
    <n v="8286.1442709927596"/>
    <n v="29830.1193755739"/>
  </r>
  <r>
    <x v="0"/>
    <x v="0"/>
    <x v="0"/>
    <x v="1"/>
    <x v="2"/>
    <s v="EE_Sillamae"/>
    <x v="2"/>
    <x v="80"/>
    <x v="0"/>
    <x v="7"/>
    <n v="22.701765126007601"/>
    <n v="8286.1442709927596"/>
    <n v="29830.1193755739"/>
  </r>
  <r>
    <x v="0"/>
    <x v="0"/>
    <x v="0"/>
    <x v="1"/>
    <x v="2"/>
    <s v="EE_Sillamae"/>
    <x v="2"/>
    <x v="80"/>
    <x v="0"/>
    <x v="8"/>
    <n v="22.701765126007601"/>
    <n v="8286.1442709927596"/>
    <n v="29830.1193755739"/>
  </r>
  <r>
    <x v="0"/>
    <x v="0"/>
    <x v="0"/>
    <x v="1"/>
    <x v="2"/>
    <s v="EE_Sillamae"/>
    <x v="2"/>
    <x v="80"/>
    <x v="0"/>
    <x v="0"/>
    <n v="22.701765126007601"/>
    <n v="8286.1442709927596"/>
    <n v="29830.1193755739"/>
  </r>
  <r>
    <x v="0"/>
    <x v="0"/>
    <x v="0"/>
    <x v="1"/>
    <x v="2"/>
    <s v="EE_Sillamae"/>
    <x v="2"/>
    <x v="80"/>
    <x v="0"/>
    <x v="1"/>
    <n v="22.701765126007601"/>
    <n v="8286.1442709927596"/>
    <n v="29830.1193755739"/>
  </r>
  <r>
    <x v="0"/>
    <x v="0"/>
    <x v="0"/>
    <x v="1"/>
    <x v="2"/>
    <s v="EE_Sillamae"/>
    <x v="2"/>
    <x v="80"/>
    <x v="0"/>
    <x v="2"/>
    <n v="22.701765126007601"/>
    <n v="8286.1442709927596"/>
    <n v="29830.1193755739"/>
  </r>
  <r>
    <x v="0"/>
    <x v="0"/>
    <x v="0"/>
    <x v="1"/>
    <x v="2"/>
    <s v="EE_Sillamae"/>
    <x v="2"/>
    <x v="80"/>
    <x v="0"/>
    <x v="9"/>
    <n v="22.701765126007601"/>
    <n v="8286.1442709927596"/>
    <n v="29830.1193755739"/>
  </r>
  <r>
    <x v="0"/>
    <x v="0"/>
    <x v="0"/>
    <x v="1"/>
    <x v="2"/>
    <s v="EE_Sillamae"/>
    <x v="2"/>
    <x v="80"/>
    <x v="0"/>
    <x v="10"/>
    <n v="22.701765126007601"/>
    <n v="8286.1442709927596"/>
    <n v="29830.1193755739"/>
  </r>
  <r>
    <x v="0"/>
    <x v="0"/>
    <x v="0"/>
    <x v="1"/>
    <x v="2"/>
    <s v="EE_Sillamae"/>
    <x v="2"/>
    <x v="80"/>
    <x v="0"/>
    <x v="11"/>
    <n v="22.701765126007601"/>
    <n v="8286.1442709927596"/>
    <n v="29830.1193755739"/>
  </r>
  <r>
    <x v="0"/>
    <x v="0"/>
    <x v="0"/>
    <x v="1"/>
    <x v="2"/>
    <s v="EE_Sillamae"/>
    <x v="2"/>
    <x v="80"/>
    <x v="0"/>
    <x v="12"/>
    <n v="22.701765126007601"/>
    <n v="8286.1442709927596"/>
    <n v="29830.1193755739"/>
  </r>
  <r>
    <x v="0"/>
    <x v="0"/>
    <x v="0"/>
    <x v="1"/>
    <x v="2"/>
    <s v="EE_Sillamae"/>
    <x v="2"/>
    <x v="80"/>
    <x v="0"/>
    <x v="13"/>
    <n v="22.701765126007601"/>
    <n v="8286.1442709927596"/>
    <n v="29830.1193755739"/>
  </r>
  <r>
    <x v="0"/>
    <x v="0"/>
    <x v="0"/>
    <x v="1"/>
    <x v="2"/>
    <s v="EE_Sillamae"/>
    <x v="2"/>
    <x v="80"/>
    <x v="0"/>
    <x v="14"/>
    <n v="22.701765126007601"/>
    <n v="8286.1442709927596"/>
    <n v="29830.1193755739"/>
  </r>
  <r>
    <x v="0"/>
    <x v="0"/>
    <x v="0"/>
    <x v="1"/>
    <x v="2"/>
    <s v="EE_Sillamae"/>
    <x v="2"/>
    <x v="80"/>
    <x v="0"/>
    <x v="15"/>
    <n v="22.701765126007601"/>
    <n v="8286.1442709927596"/>
    <n v="29830.1193755739"/>
  </r>
  <r>
    <x v="0"/>
    <x v="0"/>
    <x v="0"/>
    <x v="1"/>
    <x v="2"/>
    <s v="EE_Sillamae"/>
    <x v="2"/>
    <x v="80"/>
    <x v="0"/>
    <x v="16"/>
    <n v="22.701765126007601"/>
    <n v="8286.1442709927596"/>
    <n v="29830.1193755739"/>
  </r>
  <r>
    <x v="0"/>
    <x v="0"/>
    <x v="0"/>
    <x v="1"/>
    <x v="2"/>
    <s v="EE_Sillamae"/>
    <x v="2"/>
    <x v="80"/>
    <x v="0"/>
    <x v="17"/>
    <n v="22.701765126007601"/>
    <n v="8286.1442709927596"/>
    <n v="29830.1193755739"/>
  </r>
  <r>
    <x v="0"/>
    <x v="0"/>
    <x v="0"/>
    <x v="1"/>
    <x v="2"/>
    <s v="EE_Sillamae"/>
    <x v="2"/>
    <x v="80"/>
    <x v="0"/>
    <x v="18"/>
    <n v="22.701765126007601"/>
    <n v="8286.1442709927596"/>
    <n v="29830.1193755739"/>
  </r>
  <r>
    <x v="0"/>
    <x v="0"/>
    <x v="0"/>
    <x v="1"/>
    <x v="2"/>
    <s v="EE_Sillamae"/>
    <x v="2"/>
    <x v="80"/>
    <x v="0"/>
    <x v="19"/>
    <n v="22.701765126007601"/>
    <n v="8286.1442709927596"/>
    <n v="29830.1193755739"/>
  </r>
  <r>
    <x v="0"/>
    <x v="0"/>
    <x v="0"/>
    <x v="1"/>
    <x v="2"/>
    <s v="EE_Sillamae"/>
    <x v="2"/>
    <x v="80"/>
    <x v="0"/>
    <x v="20"/>
    <n v="22.701765126007601"/>
    <n v="8286.1442709927596"/>
    <n v="29830.1193755739"/>
  </r>
  <r>
    <x v="0"/>
    <x v="0"/>
    <x v="0"/>
    <x v="1"/>
    <x v="2"/>
    <s v="EE_Sillamae"/>
    <x v="2"/>
    <x v="80"/>
    <x v="0"/>
    <x v="21"/>
    <n v="22.701765126007601"/>
    <n v="8286.1442709927596"/>
    <n v="29830.1193755739"/>
  </r>
  <r>
    <x v="0"/>
    <x v="0"/>
    <x v="0"/>
    <x v="1"/>
    <x v="2"/>
    <s v="EE_Sillamae"/>
    <x v="2"/>
    <x v="80"/>
    <x v="0"/>
    <x v="22"/>
    <n v="22.701765126007601"/>
    <n v="8286.1442709927596"/>
    <n v="29830.1193755739"/>
  </r>
  <r>
    <x v="0"/>
    <x v="0"/>
    <x v="0"/>
    <x v="1"/>
    <x v="2"/>
    <s v="EE_Sillamae"/>
    <x v="2"/>
    <x v="80"/>
    <x v="0"/>
    <x v="23"/>
    <n v="22.701765126007601"/>
    <n v="8286.1442709927596"/>
    <n v="29830.1193755739"/>
  </r>
  <r>
    <x v="0"/>
    <x v="0"/>
    <x v="0"/>
    <x v="1"/>
    <x v="2"/>
    <s v="EE_Tallinn"/>
    <x v="1"/>
    <x v="85"/>
    <x v="0"/>
    <x v="3"/>
    <n v="56.6666666666667"/>
    <n v="20683.333333333299"/>
    <n v="74460"/>
  </r>
  <r>
    <x v="0"/>
    <x v="0"/>
    <x v="0"/>
    <x v="1"/>
    <x v="2"/>
    <s v="EE_Tallinn"/>
    <x v="1"/>
    <x v="85"/>
    <x v="0"/>
    <x v="4"/>
    <n v="56.6666666666667"/>
    <n v="20683.333333333299"/>
    <n v="74460"/>
  </r>
  <r>
    <x v="0"/>
    <x v="0"/>
    <x v="0"/>
    <x v="1"/>
    <x v="2"/>
    <s v="EE_Tallinn"/>
    <x v="1"/>
    <x v="85"/>
    <x v="0"/>
    <x v="5"/>
    <n v="56.6666666666667"/>
    <n v="20683.333333333299"/>
    <n v="74460"/>
  </r>
  <r>
    <x v="0"/>
    <x v="0"/>
    <x v="0"/>
    <x v="1"/>
    <x v="2"/>
    <s v="EE_Tallinn"/>
    <x v="1"/>
    <x v="85"/>
    <x v="0"/>
    <x v="6"/>
    <n v="56.6666666666667"/>
    <n v="20683.333333333299"/>
    <n v="74460"/>
  </r>
  <r>
    <x v="0"/>
    <x v="0"/>
    <x v="0"/>
    <x v="1"/>
    <x v="2"/>
    <s v="EE_Tallinn"/>
    <x v="1"/>
    <x v="85"/>
    <x v="0"/>
    <x v="7"/>
    <n v="56.6666666666667"/>
    <n v="20683.333333333299"/>
    <n v="74460"/>
  </r>
  <r>
    <x v="0"/>
    <x v="0"/>
    <x v="0"/>
    <x v="1"/>
    <x v="2"/>
    <s v="EE_Tallinn"/>
    <x v="1"/>
    <x v="85"/>
    <x v="0"/>
    <x v="8"/>
    <n v="56.6666666666667"/>
    <n v="20683.333333333299"/>
    <n v="74460"/>
  </r>
  <r>
    <x v="0"/>
    <x v="0"/>
    <x v="0"/>
    <x v="1"/>
    <x v="2"/>
    <s v="EE_Tallinn"/>
    <x v="1"/>
    <x v="85"/>
    <x v="0"/>
    <x v="0"/>
    <n v="56.6666666666667"/>
    <n v="20683.333333333299"/>
    <n v="74460"/>
  </r>
  <r>
    <x v="0"/>
    <x v="0"/>
    <x v="0"/>
    <x v="1"/>
    <x v="2"/>
    <s v="EE_Tallinn"/>
    <x v="1"/>
    <x v="85"/>
    <x v="0"/>
    <x v="1"/>
    <n v="56.6666666666667"/>
    <n v="20683.333333333299"/>
    <n v="74460"/>
  </r>
  <r>
    <x v="0"/>
    <x v="0"/>
    <x v="0"/>
    <x v="1"/>
    <x v="2"/>
    <s v="EE_Tallinn"/>
    <x v="1"/>
    <x v="85"/>
    <x v="0"/>
    <x v="2"/>
    <n v="56.6666666666667"/>
    <n v="20683.333333333299"/>
    <n v="74460"/>
  </r>
  <r>
    <x v="0"/>
    <x v="0"/>
    <x v="0"/>
    <x v="1"/>
    <x v="2"/>
    <s v="EE_Tallinn"/>
    <x v="1"/>
    <x v="85"/>
    <x v="0"/>
    <x v="9"/>
    <n v="56.6666666666667"/>
    <n v="20683.333333333299"/>
    <n v="74460"/>
  </r>
  <r>
    <x v="0"/>
    <x v="0"/>
    <x v="0"/>
    <x v="1"/>
    <x v="2"/>
    <s v="EE_Tallinn"/>
    <x v="1"/>
    <x v="85"/>
    <x v="0"/>
    <x v="10"/>
    <n v="56.6666666666667"/>
    <n v="20683.333333333299"/>
    <n v="74460"/>
  </r>
  <r>
    <x v="0"/>
    <x v="0"/>
    <x v="0"/>
    <x v="1"/>
    <x v="2"/>
    <s v="EE_Tallinn"/>
    <x v="1"/>
    <x v="85"/>
    <x v="0"/>
    <x v="11"/>
    <n v="56.6666666666667"/>
    <n v="20683.333333333299"/>
    <n v="74460"/>
  </r>
  <r>
    <x v="0"/>
    <x v="0"/>
    <x v="0"/>
    <x v="1"/>
    <x v="2"/>
    <s v="EE_Tallinn"/>
    <x v="1"/>
    <x v="85"/>
    <x v="0"/>
    <x v="12"/>
    <n v="56.6666666666667"/>
    <n v="20683.333333333299"/>
    <n v="74460"/>
  </r>
  <r>
    <x v="0"/>
    <x v="0"/>
    <x v="0"/>
    <x v="1"/>
    <x v="2"/>
    <s v="EE_Tallinn"/>
    <x v="1"/>
    <x v="85"/>
    <x v="0"/>
    <x v="13"/>
    <n v="56.6666666666667"/>
    <n v="20683.333333333299"/>
    <n v="74460"/>
  </r>
  <r>
    <x v="0"/>
    <x v="0"/>
    <x v="0"/>
    <x v="1"/>
    <x v="2"/>
    <s v="EE_Tallinn"/>
    <x v="1"/>
    <x v="85"/>
    <x v="0"/>
    <x v="14"/>
    <n v="56.6666666666667"/>
    <n v="20683.333333333299"/>
    <n v="74460"/>
  </r>
  <r>
    <x v="0"/>
    <x v="0"/>
    <x v="0"/>
    <x v="1"/>
    <x v="2"/>
    <s v="EE_Tallinn"/>
    <x v="1"/>
    <x v="85"/>
    <x v="0"/>
    <x v="15"/>
    <n v="56.6666666666667"/>
    <n v="20683.333333333299"/>
    <n v="74460"/>
  </r>
  <r>
    <x v="0"/>
    <x v="0"/>
    <x v="0"/>
    <x v="1"/>
    <x v="2"/>
    <s v="EE_Tallinn"/>
    <x v="1"/>
    <x v="85"/>
    <x v="0"/>
    <x v="16"/>
    <n v="56.6666666666667"/>
    <n v="20683.333333333299"/>
    <n v="74460"/>
  </r>
  <r>
    <x v="0"/>
    <x v="0"/>
    <x v="0"/>
    <x v="1"/>
    <x v="2"/>
    <s v="EE_Tallinn"/>
    <x v="1"/>
    <x v="85"/>
    <x v="0"/>
    <x v="17"/>
    <n v="56.6666666666667"/>
    <n v="20683.333333333299"/>
    <n v="74460"/>
  </r>
  <r>
    <x v="0"/>
    <x v="0"/>
    <x v="0"/>
    <x v="1"/>
    <x v="2"/>
    <s v="EE_Tallinn"/>
    <x v="1"/>
    <x v="85"/>
    <x v="0"/>
    <x v="18"/>
    <n v="56.6666666666667"/>
    <n v="20683.333333333299"/>
    <n v="74460"/>
  </r>
  <r>
    <x v="0"/>
    <x v="0"/>
    <x v="0"/>
    <x v="1"/>
    <x v="2"/>
    <s v="EE_Tallinn"/>
    <x v="1"/>
    <x v="85"/>
    <x v="0"/>
    <x v="19"/>
    <n v="56.6666666666667"/>
    <n v="20683.333333333299"/>
    <n v="74460"/>
  </r>
  <r>
    <x v="0"/>
    <x v="0"/>
    <x v="0"/>
    <x v="1"/>
    <x v="2"/>
    <s v="EE_Tallinn"/>
    <x v="1"/>
    <x v="85"/>
    <x v="0"/>
    <x v="20"/>
    <n v="56.6666666666667"/>
    <n v="20683.333333333299"/>
    <n v="74460"/>
  </r>
  <r>
    <x v="0"/>
    <x v="0"/>
    <x v="0"/>
    <x v="1"/>
    <x v="2"/>
    <s v="EE_Tallinn"/>
    <x v="1"/>
    <x v="85"/>
    <x v="0"/>
    <x v="21"/>
    <n v="56.6666666666667"/>
    <n v="20683.333333333299"/>
    <n v="74460"/>
  </r>
  <r>
    <x v="0"/>
    <x v="0"/>
    <x v="0"/>
    <x v="1"/>
    <x v="2"/>
    <s v="EE_Tallinn"/>
    <x v="1"/>
    <x v="85"/>
    <x v="0"/>
    <x v="22"/>
    <n v="56.6666666666667"/>
    <n v="20683.333333333299"/>
    <n v="74460"/>
  </r>
  <r>
    <x v="0"/>
    <x v="0"/>
    <x v="0"/>
    <x v="1"/>
    <x v="2"/>
    <s v="EE_Tallinn"/>
    <x v="1"/>
    <x v="85"/>
    <x v="0"/>
    <x v="23"/>
    <n v="56.6666666666667"/>
    <n v="20683.333333333299"/>
    <n v="74460"/>
  </r>
  <r>
    <x v="0"/>
    <x v="0"/>
    <x v="0"/>
    <x v="1"/>
    <x v="2"/>
    <s v="EE_Tallinn"/>
    <x v="2"/>
    <x v="80"/>
    <x v="0"/>
    <x v="3"/>
    <n v="3.4052647689011302"/>
    <n v="1242.9216406489099"/>
    <n v="4474.5179063360902"/>
  </r>
  <r>
    <x v="0"/>
    <x v="0"/>
    <x v="0"/>
    <x v="1"/>
    <x v="2"/>
    <s v="EE_Tallinn"/>
    <x v="2"/>
    <x v="80"/>
    <x v="0"/>
    <x v="4"/>
    <n v="3.4052647689011302"/>
    <n v="1242.9216406489099"/>
    <n v="4474.5179063360902"/>
  </r>
  <r>
    <x v="0"/>
    <x v="0"/>
    <x v="0"/>
    <x v="1"/>
    <x v="2"/>
    <s v="EE_Tallinn"/>
    <x v="2"/>
    <x v="80"/>
    <x v="0"/>
    <x v="5"/>
    <n v="3.4052647689011302"/>
    <n v="1242.9216406489099"/>
    <n v="4474.5179063360902"/>
  </r>
  <r>
    <x v="0"/>
    <x v="0"/>
    <x v="0"/>
    <x v="1"/>
    <x v="2"/>
    <s v="EE_Tallinn"/>
    <x v="2"/>
    <x v="80"/>
    <x v="0"/>
    <x v="6"/>
    <n v="3.4052647689011302"/>
    <n v="1242.9216406489099"/>
    <n v="4474.5179063360902"/>
  </r>
  <r>
    <x v="0"/>
    <x v="0"/>
    <x v="0"/>
    <x v="1"/>
    <x v="2"/>
    <s v="EE_Tallinn"/>
    <x v="2"/>
    <x v="80"/>
    <x v="0"/>
    <x v="7"/>
    <n v="3.4052647689011302"/>
    <n v="1242.9216406489099"/>
    <n v="4474.5179063360902"/>
  </r>
  <r>
    <x v="0"/>
    <x v="0"/>
    <x v="0"/>
    <x v="1"/>
    <x v="2"/>
    <s v="EE_Tallinn"/>
    <x v="2"/>
    <x v="80"/>
    <x v="0"/>
    <x v="8"/>
    <n v="3.4052647689011302"/>
    <n v="1242.9216406489099"/>
    <n v="4474.5179063360902"/>
  </r>
  <r>
    <x v="0"/>
    <x v="0"/>
    <x v="0"/>
    <x v="1"/>
    <x v="2"/>
    <s v="EE_Tallinn"/>
    <x v="2"/>
    <x v="80"/>
    <x v="0"/>
    <x v="0"/>
    <n v="3.4052647689011302"/>
    <n v="1242.9216406489099"/>
    <n v="4474.5179063360902"/>
  </r>
  <r>
    <x v="0"/>
    <x v="0"/>
    <x v="0"/>
    <x v="1"/>
    <x v="2"/>
    <s v="EE_Tallinn"/>
    <x v="2"/>
    <x v="80"/>
    <x v="0"/>
    <x v="1"/>
    <n v="3.4052647689011302"/>
    <n v="1242.9216406489099"/>
    <n v="4474.5179063360902"/>
  </r>
  <r>
    <x v="0"/>
    <x v="0"/>
    <x v="0"/>
    <x v="1"/>
    <x v="2"/>
    <s v="EE_Tallinn"/>
    <x v="2"/>
    <x v="80"/>
    <x v="0"/>
    <x v="2"/>
    <n v="3.4052647689011302"/>
    <n v="1242.9216406489099"/>
    <n v="4474.5179063360902"/>
  </r>
  <r>
    <x v="0"/>
    <x v="0"/>
    <x v="0"/>
    <x v="1"/>
    <x v="2"/>
    <s v="EE_Tallinn"/>
    <x v="2"/>
    <x v="80"/>
    <x v="0"/>
    <x v="9"/>
    <n v="3.4052647689011302"/>
    <n v="1242.9216406489099"/>
    <n v="4474.5179063360902"/>
  </r>
  <r>
    <x v="0"/>
    <x v="0"/>
    <x v="0"/>
    <x v="1"/>
    <x v="2"/>
    <s v="EE_Tallinn"/>
    <x v="2"/>
    <x v="80"/>
    <x v="0"/>
    <x v="10"/>
    <n v="3.4052647689011302"/>
    <n v="1242.9216406489099"/>
    <n v="4474.5179063360902"/>
  </r>
  <r>
    <x v="0"/>
    <x v="0"/>
    <x v="0"/>
    <x v="1"/>
    <x v="2"/>
    <s v="EE_Tallinn"/>
    <x v="2"/>
    <x v="80"/>
    <x v="0"/>
    <x v="11"/>
    <n v="3.4052647689011302"/>
    <n v="1242.9216406489099"/>
    <n v="4474.5179063360902"/>
  </r>
  <r>
    <x v="0"/>
    <x v="0"/>
    <x v="0"/>
    <x v="1"/>
    <x v="2"/>
    <s v="EE_Tallinn"/>
    <x v="2"/>
    <x v="80"/>
    <x v="0"/>
    <x v="12"/>
    <n v="3.4052647689011302"/>
    <n v="1242.9216406489099"/>
    <n v="4474.5179063360902"/>
  </r>
  <r>
    <x v="0"/>
    <x v="0"/>
    <x v="0"/>
    <x v="1"/>
    <x v="2"/>
    <s v="EE_Tallinn"/>
    <x v="2"/>
    <x v="80"/>
    <x v="0"/>
    <x v="13"/>
    <n v="3.4052647689011302"/>
    <n v="1242.9216406489099"/>
    <n v="4474.5179063360902"/>
  </r>
  <r>
    <x v="0"/>
    <x v="0"/>
    <x v="0"/>
    <x v="1"/>
    <x v="2"/>
    <s v="EE_Tallinn"/>
    <x v="2"/>
    <x v="80"/>
    <x v="0"/>
    <x v="14"/>
    <n v="3.4052647689011302"/>
    <n v="1242.9216406489099"/>
    <n v="4474.5179063360902"/>
  </r>
  <r>
    <x v="0"/>
    <x v="0"/>
    <x v="0"/>
    <x v="1"/>
    <x v="2"/>
    <s v="EE_Tallinn"/>
    <x v="2"/>
    <x v="80"/>
    <x v="0"/>
    <x v="15"/>
    <n v="3.4052647689011302"/>
    <n v="1242.9216406489099"/>
    <n v="4474.5179063360902"/>
  </r>
  <r>
    <x v="0"/>
    <x v="0"/>
    <x v="0"/>
    <x v="1"/>
    <x v="2"/>
    <s v="EE_Tallinn"/>
    <x v="2"/>
    <x v="80"/>
    <x v="0"/>
    <x v="16"/>
    <n v="3.4052647689011302"/>
    <n v="1242.9216406489099"/>
    <n v="4474.5179063360902"/>
  </r>
  <r>
    <x v="0"/>
    <x v="0"/>
    <x v="0"/>
    <x v="1"/>
    <x v="2"/>
    <s v="EE_Tallinn"/>
    <x v="2"/>
    <x v="80"/>
    <x v="0"/>
    <x v="17"/>
    <n v="3.4052647689011302"/>
    <n v="1242.9216406489099"/>
    <n v="4474.5179063360902"/>
  </r>
  <r>
    <x v="0"/>
    <x v="0"/>
    <x v="0"/>
    <x v="1"/>
    <x v="2"/>
    <s v="EE_Tallinn"/>
    <x v="2"/>
    <x v="80"/>
    <x v="0"/>
    <x v="18"/>
    <n v="3.4052647689011302"/>
    <n v="1242.9216406489099"/>
    <n v="4474.5179063360902"/>
  </r>
  <r>
    <x v="0"/>
    <x v="0"/>
    <x v="0"/>
    <x v="1"/>
    <x v="2"/>
    <s v="EE_Tallinn"/>
    <x v="2"/>
    <x v="80"/>
    <x v="0"/>
    <x v="19"/>
    <n v="3.4052647689011302"/>
    <n v="1242.9216406489099"/>
    <n v="4474.5179063360902"/>
  </r>
  <r>
    <x v="0"/>
    <x v="0"/>
    <x v="0"/>
    <x v="1"/>
    <x v="2"/>
    <s v="EE_Tallinn"/>
    <x v="2"/>
    <x v="80"/>
    <x v="0"/>
    <x v="20"/>
    <n v="3.4052647689011302"/>
    <n v="1242.9216406489099"/>
    <n v="4474.5179063360902"/>
  </r>
  <r>
    <x v="0"/>
    <x v="0"/>
    <x v="0"/>
    <x v="1"/>
    <x v="2"/>
    <s v="EE_Tallinn"/>
    <x v="2"/>
    <x v="80"/>
    <x v="0"/>
    <x v="21"/>
    <n v="3.4052647689011302"/>
    <n v="1242.9216406489099"/>
    <n v="4474.5179063360902"/>
  </r>
  <r>
    <x v="0"/>
    <x v="0"/>
    <x v="0"/>
    <x v="1"/>
    <x v="2"/>
    <s v="EE_Tallinn"/>
    <x v="2"/>
    <x v="80"/>
    <x v="0"/>
    <x v="22"/>
    <n v="3.4052647689011302"/>
    <n v="1242.9216406489099"/>
    <n v="4474.5179063360902"/>
  </r>
  <r>
    <x v="0"/>
    <x v="0"/>
    <x v="0"/>
    <x v="1"/>
    <x v="2"/>
    <s v="EE_Tallinn"/>
    <x v="2"/>
    <x v="80"/>
    <x v="0"/>
    <x v="23"/>
    <n v="3.4052647689011302"/>
    <n v="1242.9216406489099"/>
    <n v="4474.5179063360902"/>
  </r>
  <r>
    <x v="0"/>
    <x v="0"/>
    <x v="0"/>
    <x v="1"/>
    <x v="2"/>
    <s v="EE_Tallinn"/>
    <x v="2"/>
    <x v="86"/>
    <x v="0"/>
    <x v="3"/>
    <n v="21.737200182520802"/>
    <n v="7934.0780666200899"/>
    <n v="28562.6810398323"/>
  </r>
  <r>
    <x v="0"/>
    <x v="0"/>
    <x v="0"/>
    <x v="1"/>
    <x v="2"/>
    <s v="EE_Tallinn"/>
    <x v="2"/>
    <x v="86"/>
    <x v="0"/>
    <x v="4"/>
    <n v="324.13793103448302"/>
    <n v="118310.344827586"/>
    <n v="425917.24137931102"/>
  </r>
  <r>
    <x v="0"/>
    <x v="0"/>
    <x v="0"/>
    <x v="1"/>
    <x v="2"/>
    <s v="EE_Tallinn"/>
    <x v="2"/>
    <x v="86"/>
    <x v="0"/>
    <x v="5"/>
    <n v="196.67080726068099"/>
    <n v="71784.8446501484"/>
    <n v="258425.44074053399"/>
  </r>
  <r>
    <x v="0"/>
    <x v="0"/>
    <x v="0"/>
    <x v="1"/>
    <x v="2"/>
    <s v="EE_Tallinn"/>
    <x v="2"/>
    <x v="86"/>
    <x v="0"/>
    <x v="6"/>
    <n v="147.074796017951"/>
    <n v="53682.300546552098"/>
    <n v="193256.28196758701"/>
  </r>
  <r>
    <x v="0"/>
    <x v="0"/>
    <x v="0"/>
    <x v="1"/>
    <x v="2"/>
    <s v="EE_Tallinn"/>
    <x v="2"/>
    <x v="86"/>
    <x v="0"/>
    <x v="7"/>
    <n v="324.13793103448302"/>
    <n v="118310.344827586"/>
    <n v="425917.24137931102"/>
  </r>
  <r>
    <x v="0"/>
    <x v="0"/>
    <x v="0"/>
    <x v="1"/>
    <x v="2"/>
    <s v="EE_Tallinn"/>
    <x v="2"/>
    <x v="86"/>
    <x v="0"/>
    <x v="8"/>
    <n v="324.13793103448302"/>
    <n v="118310.344827586"/>
    <n v="425917.24137931102"/>
  </r>
  <r>
    <x v="0"/>
    <x v="0"/>
    <x v="0"/>
    <x v="1"/>
    <x v="2"/>
    <s v="EE_Tallinn"/>
    <x v="2"/>
    <x v="86"/>
    <x v="0"/>
    <x v="0"/>
    <n v="324.13793103448302"/>
    <n v="118310.344827586"/>
    <n v="425917.24137931102"/>
  </r>
  <r>
    <x v="0"/>
    <x v="0"/>
    <x v="0"/>
    <x v="1"/>
    <x v="2"/>
    <s v="EE_Tallinn"/>
    <x v="2"/>
    <x v="86"/>
    <x v="0"/>
    <x v="1"/>
    <n v="324.13793103448302"/>
    <n v="118310.344827586"/>
    <n v="425917.24137931102"/>
  </r>
  <r>
    <x v="0"/>
    <x v="0"/>
    <x v="0"/>
    <x v="1"/>
    <x v="2"/>
    <s v="EE_Tallinn"/>
    <x v="2"/>
    <x v="86"/>
    <x v="0"/>
    <x v="2"/>
    <n v="324.13793103448302"/>
    <n v="118310.344827586"/>
    <n v="425917.24137931102"/>
  </r>
  <r>
    <x v="0"/>
    <x v="0"/>
    <x v="0"/>
    <x v="1"/>
    <x v="2"/>
    <s v="EE_Tallinn"/>
    <x v="2"/>
    <x v="86"/>
    <x v="0"/>
    <x v="9"/>
    <n v="324.13793103448302"/>
    <n v="118310.344827586"/>
    <n v="425917.24137931102"/>
  </r>
  <r>
    <x v="0"/>
    <x v="0"/>
    <x v="0"/>
    <x v="1"/>
    <x v="2"/>
    <s v="EE_Tallinn"/>
    <x v="2"/>
    <x v="86"/>
    <x v="0"/>
    <x v="10"/>
    <n v="324.13793103448302"/>
    <n v="118310.344827586"/>
    <n v="425917.24137931102"/>
  </r>
  <r>
    <x v="0"/>
    <x v="0"/>
    <x v="0"/>
    <x v="1"/>
    <x v="2"/>
    <s v="EE_Tallinn"/>
    <x v="2"/>
    <x v="86"/>
    <x v="0"/>
    <x v="11"/>
    <n v="324.13793103448302"/>
    <n v="118310.344827586"/>
    <n v="425917.24137931102"/>
  </r>
  <r>
    <x v="0"/>
    <x v="0"/>
    <x v="0"/>
    <x v="1"/>
    <x v="2"/>
    <s v="EE_Tallinn"/>
    <x v="2"/>
    <x v="86"/>
    <x v="0"/>
    <x v="12"/>
    <n v="324.13793103448302"/>
    <n v="118310.344827586"/>
    <n v="425917.24137931102"/>
  </r>
  <r>
    <x v="0"/>
    <x v="0"/>
    <x v="0"/>
    <x v="1"/>
    <x v="2"/>
    <s v="EE_Tallinn"/>
    <x v="2"/>
    <x v="86"/>
    <x v="0"/>
    <x v="13"/>
    <n v="324.13793103448302"/>
    <n v="118310.344827586"/>
    <n v="425917.24137931102"/>
  </r>
  <r>
    <x v="0"/>
    <x v="0"/>
    <x v="0"/>
    <x v="1"/>
    <x v="2"/>
    <s v="EE_Tallinn"/>
    <x v="2"/>
    <x v="86"/>
    <x v="0"/>
    <x v="14"/>
    <n v="324.13793103448302"/>
    <n v="118310.344827586"/>
    <n v="425917.24137931102"/>
  </r>
  <r>
    <x v="0"/>
    <x v="0"/>
    <x v="0"/>
    <x v="1"/>
    <x v="2"/>
    <s v="EE_Tallinn"/>
    <x v="2"/>
    <x v="86"/>
    <x v="0"/>
    <x v="15"/>
    <n v="324.13793103448302"/>
    <n v="118310.344827586"/>
    <n v="425917.24137931102"/>
  </r>
  <r>
    <x v="0"/>
    <x v="0"/>
    <x v="0"/>
    <x v="1"/>
    <x v="2"/>
    <s v="EE_Tallinn"/>
    <x v="2"/>
    <x v="86"/>
    <x v="0"/>
    <x v="16"/>
    <n v="324.13793103448302"/>
    <n v="118310.344827586"/>
    <n v="425917.24137931102"/>
  </r>
  <r>
    <x v="0"/>
    <x v="0"/>
    <x v="0"/>
    <x v="1"/>
    <x v="2"/>
    <s v="EE_Tallinn"/>
    <x v="2"/>
    <x v="86"/>
    <x v="0"/>
    <x v="17"/>
    <n v="324.13793103448302"/>
    <n v="118310.344827586"/>
    <n v="425917.24137931102"/>
  </r>
  <r>
    <x v="0"/>
    <x v="0"/>
    <x v="0"/>
    <x v="1"/>
    <x v="2"/>
    <s v="EE_Tallinn"/>
    <x v="2"/>
    <x v="86"/>
    <x v="0"/>
    <x v="18"/>
    <n v="324.13793103448302"/>
    <n v="118310.344827586"/>
    <n v="425917.24137931102"/>
  </r>
  <r>
    <x v="0"/>
    <x v="0"/>
    <x v="0"/>
    <x v="1"/>
    <x v="2"/>
    <s v="EE_Tallinn"/>
    <x v="2"/>
    <x v="86"/>
    <x v="0"/>
    <x v="19"/>
    <n v="324.13793103448302"/>
    <n v="118310.344827586"/>
    <n v="425917.24137931102"/>
  </r>
  <r>
    <x v="0"/>
    <x v="0"/>
    <x v="0"/>
    <x v="1"/>
    <x v="2"/>
    <s v="EE_Tallinn"/>
    <x v="2"/>
    <x v="86"/>
    <x v="0"/>
    <x v="20"/>
    <n v="215.111502312916"/>
    <n v="78515.698344214499"/>
    <n v="282656.51403917198"/>
  </r>
  <r>
    <x v="0"/>
    <x v="0"/>
    <x v="0"/>
    <x v="1"/>
    <x v="2"/>
    <s v="EE_Tallinn"/>
    <x v="2"/>
    <x v="86"/>
    <x v="0"/>
    <x v="21"/>
    <n v="211.34654330935999"/>
    <n v="77141.488307916297"/>
    <n v="277709.35790849902"/>
  </r>
  <r>
    <x v="0"/>
    <x v="0"/>
    <x v="0"/>
    <x v="1"/>
    <x v="2"/>
    <s v="EE_Tallinn"/>
    <x v="13"/>
    <x v="87"/>
    <x v="0"/>
    <x v="0"/>
    <n v="16.904637119660801"/>
    <n v="6170.1925486761702"/>
    <n v="22212.693175234199"/>
  </r>
  <r>
    <x v="0"/>
    <x v="0"/>
    <x v="0"/>
    <x v="1"/>
    <x v="2"/>
    <s v="EE_Tallinn"/>
    <x v="13"/>
    <x v="87"/>
    <x v="0"/>
    <x v="1"/>
    <n v="46.739166304383701"/>
    <n v="17059.7957011"/>
    <n v="61415.264523960199"/>
  </r>
  <r>
    <x v="0"/>
    <x v="0"/>
    <x v="0"/>
    <x v="1"/>
    <x v="2"/>
    <s v="EE_Tallinn"/>
    <x v="13"/>
    <x v="87"/>
    <x v="0"/>
    <x v="2"/>
    <n v="46.739166304383701"/>
    <n v="17059.7957011"/>
    <n v="61415.264523960199"/>
  </r>
  <r>
    <x v="0"/>
    <x v="0"/>
    <x v="0"/>
    <x v="1"/>
    <x v="2"/>
    <s v="EE_Tallinn"/>
    <x v="13"/>
    <x v="87"/>
    <x v="0"/>
    <x v="9"/>
    <n v="46.739166304383701"/>
    <n v="17059.7957011"/>
    <n v="61415.264523960199"/>
  </r>
  <r>
    <x v="0"/>
    <x v="0"/>
    <x v="0"/>
    <x v="1"/>
    <x v="2"/>
    <s v="EE_Tallinn"/>
    <x v="13"/>
    <x v="87"/>
    <x v="0"/>
    <x v="10"/>
    <n v="46.739166304383701"/>
    <n v="17059.7957011"/>
    <n v="61415.264523960199"/>
  </r>
  <r>
    <x v="0"/>
    <x v="0"/>
    <x v="0"/>
    <x v="1"/>
    <x v="2"/>
    <s v="EE_Tallinn"/>
    <x v="13"/>
    <x v="87"/>
    <x v="0"/>
    <x v="11"/>
    <n v="46.739166304383701"/>
    <n v="17059.7957011"/>
    <n v="61415.264523960199"/>
  </r>
  <r>
    <x v="0"/>
    <x v="0"/>
    <x v="0"/>
    <x v="1"/>
    <x v="2"/>
    <s v="EE_Tallinn"/>
    <x v="13"/>
    <x v="87"/>
    <x v="0"/>
    <x v="12"/>
    <n v="46.739166304383701"/>
    <n v="17059.7957011"/>
    <n v="61415.264523960199"/>
  </r>
  <r>
    <x v="0"/>
    <x v="0"/>
    <x v="0"/>
    <x v="1"/>
    <x v="2"/>
    <s v="EE_Tallinn"/>
    <x v="13"/>
    <x v="87"/>
    <x v="0"/>
    <x v="14"/>
    <n v="46.739166304383701"/>
    <n v="17059.7957011"/>
    <n v="61415.264523960199"/>
  </r>
  <r>
    <x v="0"/>
    <x v="0"/>
    <x v="0"/>
    <x v="1"/>
    <x v="2"/>
    <s v="EE_Tallinn"/>
    <x v="13"/>
    <x v="87"/>
    <x v="0"/>
    <x v="15"/>
    <n v="46.739166304383701"/>
    <n v="17059.7957011"/>
    <n v="61415.264523960199"/>
  </r>
  <r>
    <x v="0"/>
    <x v="0"/>
    <x v="0"/>
    <x v="1"/>
    <x v="2"/>
    <s v="EE_Tallinn"/>
    <x v="13"/>
    <x v="87"/>
    <x v="0"/>
    <x v="16"/>
    <n v="46.739166304383701"/>
    <n v="17059.7957011"/>
    <n v="61415.264523960199"/>
  </r>
  <r>
    <x v="0"/>
    <x v="0"/>
    <x v="0"/>
    <x v="1"/>
    <x v="2"/>
    <s v="EE_Tallinn"/>
    <x v="13"/>
    <x v="87"/>
    <x v="0"/>
    <x v="17"/>
    <n v="46.739166304383701"/>
    <n v="17059.7957011"/>
    <n v="61415.264523960199"/>
  </r>
  <r>
    <x v="0"/>
    <x v="0"/>
    <x v="0"/>
    <x v="1"/>
    <x v="2"/>
    <s v="EE_Tallinn"/>
    <x v="13"/>
    <x v="88"/>
    <x v="0"/>
    <x v="3"/>
    <n v="72.826094260870704"/>
    <n v="26581.524405217799"/>
    <n v="95693.487858784094"/>
  </r>
  <r>
    <x v="0"/>
    <x v="0"/>
    <x v="0"/>
    <x v="1"/>
    <x v="2"/>
    <s v="EE_Tallinn"/>
    <x v="13"/>
    <x v="88"/>
    <x v="0"/>
    <x v="4"/>
    <n v="72.826094260870704"/>
    <n v="26581.524405217799"/>
    <n v="95693.487858784094"/>
  </r>
  <r>
    <x v="0"/>
    <x v="0"/>
    <x v="0"/>
    <x v="1"/>
    <x v="2"/>
    <s v="EE_Tallinn"/>
    <x v="13"/>
    <x v="88"/>
    <x v="0"/>
    <x v="5"/>
    <n v="72.826094260870704"/>
    <n v="26581.524405217799"/>
    <n v="95693.487858784094"/>
  </r>
  <r>
    <x v="0"/>
    <x v="0"/>
    <x v="0"/>
    <x v="1"/>
    <x v="2"/>
    <s v="EE_Tallinn"/>
    <x v="13"/>
    <x v="88"/>
    <x v="0"/>
    <x v="6"/>
    <n v="72.826094260870704"/>
    <n v="26581.524405217799"/>
    <n v="95693.487858784094"/>
  </r>
  <r>
    <x v="0"/>
    <x v="0"/>
    <x v="0"/>
    <x v="1"/>
    <x v="2"/>
    <s v="EE_Tallinn"/>
    <x v="13"/>
    <x v="88"/>
    <x v="0"/>
    <x v="7"/>
    <n v="72.826094260870704"/>
    <n v="26581.524405217799"/>
    <n v="95693.487858784094"/>
  </r>
  <r>
    <x v="0"/>
    <x v="0"/>
    <x v="0"/>
    <x v="1"/>
    <x v="2"/>
    <s v="EE_Tallinn"/>
    <x v="13"/>
    <x v="88"/>
    <x v="0"/>
    <x v="8"/>
    <n v="72.826094260870704"/>
    <n v="26581.524405217799"/>
    <n v="95693.487858784094"/>
  </r>
  <r>
    <x v="0"/>
    <x v="0"/>
    <x v="0"/>
    <x v="1"/>
    <x v="2"/>
    <s v="EE_Tallinn"/>
    <x v="13"/>
    <x v="88"/>
    <x v="0"/>
    <x v="0"/>
    <n v="72.826094260870704"/>
    <n v="26581.524405217799"/>
    <n v="95693.487858784094"/>
  </r>
  <r>
    <x v="0"/>
    <x v="0"/>
    <x v="0"/>
    <x v="1"/>
    <x v="2"/>
    <s v="EE_Tallinn"/>
    <x v="13"/>
    <x v="88"/>
    <x v="0"/>
    <x v="1"/>
    <n v="72.826094260870704"/>
    <n v="26581.524405217799"/>
    <n v="95693.487858784094"/>
  </r>
  <r>
    <x v="0"/>
    <x v="0"/>
    <x v="0"/>
    <x v="1"/>
    <x v="2"/>
    <s v="EE_Tallinn"/>
    <x v="13"/>
    <x v="88"/>
    <x v="0"/>
    <x v="2"/>
    <n v="72.826094260870704"/>
    <n v="26581.524405217799"/>
    <n v="95693.487858784094"/>
  </r>
  <r>
    <x v="0"/>
    <x v="0"/>
    <x v="0"/>
    <x v="1"/>
    <x v="2"/>
    <s v="EE_Tallinn"/>
    <x v="13"/>
    <x v="88"/>
    <x v="0"/>
    <x v="9"/>
    <n v="72.826094260870704"/>
    <n v="26581.524405217799"/>
    <n v="95693.487858784094"/>
  </r>
  <r>
    <x v="0"/>
    <x v="0"/>
    <x v="0"/>
    <x v="1"/>
    <x v="2"/>
    <s v="EE_Tallinn"/>
    <x v="13"/>
    <x v="88"/>
    <x v="0"/>
    <x v="10"/>
    <n v="72.826094260870704"/>
    <n v="26581.524405217799"/>
    <n v="95693.487858784094"/>
  </r>
  <r>
    <x v="0"/>
    <x v="0"/>
    <x v="0"/>
    <x v="1"/>
    <x v="2"/>
    <s v="EE_Tallinn"/>
    <x v="13"/>
    <x v="88"/>
    <x v="0"/>
    <x v="11"/>
    <n v="72.826094260870704"/>
    <n v="26581.524405217799"/>
    <n v="95693.487858784094"/>
  </r>
  <r>
    <x v="0"/>
    <x v="0"/>
    <x v="0"/>
    <x v="1"/>
    <x v="2"/>
    <s v="EE_Tallinn"/>
    <x v="13"/>
    <x v="88"/>
    <x v="0"/>
    <x v="12"/>
    <n v="72.826094260870704"/>
    <n v="26581.524405217799"/>
    <n v="95693.487858784094"/>
  </r>
  <r>
    <x v="0"/>
    <x v="0"/>
    <x v="0"/>
    <x v="1"/>
    <x v="2"/>
    <s v="EE_Tallinn"/>
    <x v="13"/>
    <x v="88"/>
    <x v="0"/>
    <x v="13"/>
    <n v="72.826094260870704"/>
    <n v="26581.524405217799"/>
    <n v="95693.487858784094"/>
  </r>
  <r>
    <x v="0"/>
    <x v="0"/>
    <x v="0"/>
    <x v="1"/>
    <x v="2"/>
    <s v="EE_Tallinn"/>
    <x v="13"/>
    <x v="88"/>
    <x v="0"/>
    <x v="14"/>
    <n v="72.826094260870704"/>
    <n v="26581.524405217799"/>
    <n v="95693.487858784094"/>
  </r>
  <r>
    <x v="0"/>
    <x v="0"/>
    <x v="0"/>
    <x v="1"/>
    <x v="2"/>
    <s v="EE_Tallinn"/>
    <x v="13"/>
    <x v="88"/>
    <x v="0"/>
    <x v="15"/>
    <n v="72.826094260870704"/>
    <n v="26581.524405217799"/>
    <n v="95693.487858784094"/>
  </r>
  <r>
    <x v="0"/>
    <x v="0"/>
    <x v="0"/>
    <x v="1"/>
    <x v="2"/>
    <s v="EE_Tallinn"/>
    <x v="13"/>
    <x v="88"/>
    <x v="0"/>
    <x v="16"/>
    <n v="72.826094260870704"/>
    <n v="26581.524405217799"/>
    <n v="95693.487858784094"/>
  </r>
  <r>
    <x v="0"/>
    <x v="0"/>
    <x v="0"/>
    <x v="1"/>
    <x v="2"/>
    <s v="EE_Tallinn"/>
    <x v="13"/>
    <x v="88"/>
    <x v="0"/>
    <x v="17"/>
    <n v="72.826094260870704"/>
    <n v="26581.524405217799"/>
    <n v="95693.487858784094"/>
  </r>
  <r>
    <x v="0"/>
    <x v="0"/>
    <x v="0"/>
    <x v="1"/>
    <x v="2"/>
    <s v="EE_Tallinn"/>
    <x v="13"/>
    <x v="88"/>
    <x v="0"/>
    <x v="18"/>
    <n v="72.826094260870704"/>
    <n v="26581.524405217799"/>
    <n v="95693.487858784094"/>
  </r>
  <r>
    <x v="0"/>
    <x v="0"/>
    <x v="0"/>
    <x v="1"/>
    <x v="2"/>
    <s v="EE_Tallinn"/>
    <x v="13"/>
    <x v="88"/>
    <x v="0"/>
    <x v="19"/>
    <n v="72.826094260870704"/>
    <n v="26581.524405217799"/>
    <n v="95693.487858784094"/>
  </r>
  <r>
    <x v="0"/>
    <x v="0"/>
    <x v="0"/>
    <x v="1"/>
    <x v="2"/>
    <s v="EE_Tallinn"/>
    <x v="13"/>
    <x v="88"/>
    <x v="0"/>
    <x v="20"/>
    <n v="72.826094260870704"/>
    <n v="26581.524405217799"/>
    <n v="95693.487858784094"/>
  </r>
  <r>
    <x v="0"/>
    <x v="0"/>
    <x v="0"/>
    <x v="1"/>
    <x v="2"/>
    <s v="EE_Tallinn"/>
    <x v="13"/>
    <x v="88"/>
    <x v="0"/>
    <x v="21"/>
    <n v="72.826094260870704"/>
    <n v="26581.524405217799"/>
    <n v="95693.487858784094"/>
  </r>
  <r>
    <x v="0"/>
    <x v="0"/>
    <x v="0"/>
    <x v="1"/>
    <x v="2"/>
    <s v="EE_Tallinn"/>
    <x v="13"/>
    <x v="88"/>
    <x v="0"/>
    <x v="22"/>
    <n v="72.826094260870704"/>
    <n v="26581.524405217799"/>
    <n v="95693.487858784094"/>
  </r>
  <r>
    <x v="0"/>
    <x v="0"/>
    <x v="0"/>
    <x v="1"/>
    <x v="2"/>
    <s v="EE_Tallinn"/>
    <x v="13"/>
    <x v="88"/>
    <x v="0"/>
    <x v="23"/>
    <n v="72.826094260870704"/>
    <n v="26581.524405217799"/>
    <n v="95693.487858784094"/>
  </r>
  <r>
    <x v="0"/>
    <x v="0"/>
    <x v="0"/>
    <x v="1"/>
    <x v="2"/>
    <s v="EE_Tallinn"/>
    <x v="13"/>
    <x v="89"/>
    <x v="0"/>
    <x v="3"/>
    <n v="82.608724120096397"/>
    <n v="30152.184303835202"/>
    <n v="108547.863493807"/>
  </r>
  <r>
    <x v="0"/>
    <x v="0"/>
    <x v="0"/>
    <x v="1"/>
    <x v="2"/>
    <s v="EE_Tallinn"/>
    <x v="13"/>
    <x v="89"/>
    <x v="0"/>
    <x v="4"/>
    <n v="82.608724120096397"/>
    <n v="30152.184303835202"/>
    <n v="108547.863493807"/>
  </r>
  <r>
    <x v="0"/>
    <x v="0"/>
    <x v="0"/>
    <x v="1"/>
    <x v="2"/>
    <s v="EE_Tallinn"/>
    <x v="13"/>
    <x v="89"/>
    <x v="0"/>
    <x v="5"/>
    <n v="82.608724120096397"/>
    <n v="30152.184303835202"/>
    <n v="108547.863493807"/>
  </r>
  <r>
    <x v="0"/>
    <x v="0"/>
    <x v="0"/>
    <x v="1"/>
    <x v="2"/>
    <s v="EE_Tallinn"/>
    <x v="13"/>
    <x v="89"/>
    <x v="0"/>
    <x v="6"/>
    <n v="82.608724120096397"/>
    <n v="30152.184303835202"/>
    <n v="108547.863493807"/>
  </r>
  <r>
    <x v="0"/>
    <x v="0"/>
    <x v="0"/>
    <x v="1"/>
    <x v="2"/>
    <s v="EE_Tallinn"/>
    <x v="13"/>
    <x v="89"/>
    <x v="0"/>
    <x v="7"/>
    <n v="82.608724120096397"/>
    <n v="30152.184303835202"/>
    <n v="108547.863493807"/>
  </r>
  <r>
    <x v="0"/>
    <x v="0"/>
    <x v="0"/>
    <x v="1"/>
    <x v="2"/>
    <s v="EE_Tallinn"/>
    <x v="13"/>
    <x v="89"/>
    <x v="0"/>
    <x v="8"/>
    <n v="82.608724120096397"/>
    <n v="30152.184303835202"/>
    <n v="108547.863493807"/>
  </r>
  <r>
    <x v="0"/>
    <x v="0"/>
    <x v="0"/>
    <x v="1"/>
    <x v="2"/>
    <s v="EE_Tallinn"/>
    <x v="13"/>
    <x v="89"/>
    <x v="0"/>
    <x v="0"/>
    <n v="82.608724120096397"/>
    <n v="30152.184303835202"/>
    <n v="108547.863493807"/>
  </r>
  <r>
    <x v="0"/>
    <x v="0"/>
    <x v="0"/>
    <x v="1"/>
    <x v="2"/>
    <s v="EE_Tallinn"/>
    <x v="13"/>
    <x v="89"/>
    <x v="0"/>
    <x v="1"/>
    <n v="82.608724120096397"/>
    <n v="30152.184303835202"/>
    <n v="108547.863493807"/>
  </r>
  <r>
    <x v="0"/>
    <x v="0"/>
    <x v="0"/>
    <x v="1"/>
    <x v="2"/>
    <s v="EE_Tallinn"/>
    <x v="13"/>
    <x v="89"/>
    <x v="0"/>
    <x v="2"/>
    <n v="82.608724120096397"/>
    <n v="30152.184303835202"/>
    <n v="108547.863493807"/>
  </r>
  <r>
    <x v="0"/>
    <x v="0"/>
    <x v="0"/>
    <x v="1"/>
    <x v="2"/>
    <s v="EE_Tallinn"/>
    <x v="13"/>
    <x v="89"/>
    <x v="0"/>
    <x v="9"/>
    <n v="82.608724120096397"/>
    <n v="30152.184303835202"/>
    <n v="108547.863493807"/>
  </r>
  <r>
    <x v="0"/>
    <x v="0"/>
    <x v="0"/>
    <x v="1"/>
    <x v="2"/>
    <s v="EE_Tallinn"/>
    <x v="13"/>
    <x v="89"/>
    <x v="0"/>
    <x v="10"/>
    <n v="82.608724120096397"/>
    <n v="30152.184303835202"/>
    <n v="108547.863493807"/>
  </r>
  <r>
    <x v="0"/>
    <x v="0"/>
    <x v="0"/>
    <x v="1"/>
    <x v="2"/>
    <s v="EE_Tallinn"/>
    <x v="13"/>
    <x v="89"/>
    <x v="0"/>
    <x v="11"/>
    <n v="82.608724120096397"/>
    <n v="30152.184303835202"/>
    <n v="108547.863493807"/>
  </r>
  <r>
    <x v="0"/>
    <x v="0"/>
    <x v="0"/>
    <x v="1"/>
    <x v="2"/>
    <s v="EE_Tallinn"/>
    <x v="13"/>
    <x v="89"/>
    <x v="0"/>
    <x v="12"/>
    <n v="82.608724120096397"/>
    <n v="30152.184303835202"/>
    <n v="108547.863493807"/>
  </r>
  <r>
    <x v="0"/>
    <x v="0"/>
    <x v="0"/>
    <x v="1"/>
    <x v="2"/>
    <s v="EE_Tallinn"/>
    <x v="13"/>
    <x v="89"/>
    <x v="0"/>
    <x v="13"/>
    <n v="1.38078825907145"/>
    <n v="503.98771456108102"/>
    <n v="1814.3557724198899"/>
  </r>
  <r>
    <x v="0"/>
    <x v="0"/>
    <x v="0"/>
    <x v="1"/>
    <x v="2"/>
    <s v="EE_Tallinn"/>
    <x v="13"/>
    <x v="89"/>
    <x v="0"/>
    <x v="14"/>
    <n v="82.608724120096397"/>
    <n v="30152.184303835202"/>
    <n v="108547.863493807"/>
  </r>
  <r>
    <x v="0"/>
    <x v="0"/>
    <x v="0"/>
    <x v="1"/>
    <x v="2"/>
    <s v="EE_Tallinn"/>
    <x v="13"/>
    <x v="89"/>
    <x v="0"/>
    <x v="15"/>
    <n v="82.608724120096397"/>
    <n v="30152.184303835202"/>
    <n v="108547.863493807"/>
  </r>
  <r>
    <x v="0"/>
    <x v="0"/>
    <x v="0"/>
    <x v="1"/>
    <x v="2"/>
    <s v="EE_Tallinn"/>
    <x v="13"/>
    <x v="89"/>
    <x v="0"/>
    <x v="16"/>
    <n v="82.608724120096397"/>
    <n v="30152.184303835202"/>
    <n v="108547.863493807"/>
  </r>
  <r>
    <x v="0"/>
    <x v="0"/>
    <x v="0"/>
    <x v="1"/>
    <x v="2"/>
    <s v="EE_Tallinn"/>
    <x v="13"/>
    <x v="89"/>
    <x v="0"/>
    <x v="17"/>
    <n v="82.608724120096397"/>
    <n v="30152.184303835202"/>
    <n v="108547.863493807"/>
  </r>
  <r>
    <x v="0"/>
    <x v="0"/>
    <x v="0"/>
    <x v="1"/>
    <x v="2"/>
    <s v="EE_Tallinn"/>
    <x v="13"/>
    <x v="89"/>
    <x v="0"/>
    <x v="18"/>
    <n v="82.608724120096397"/>
    <n v="30152.184303835202"/>
    <n v="108547.863493807"/>
  </r>
  <r>
    <x v="0"/>
    <x v="0"/>
    <x v="0"/>
    <x v="1"/>
    <x v="2"/>
    <s v="EE_Tallinn"/>
    <x v="13"/>
    <x v="89"/>
    <x v="0"/>
    <x v="19"/>
    <n v="28.668652338495999"/>
    <n v="10464.058103551"/>
    <n v="37670.609172783697"/>
  </r>
  <r>
    <x v="0"/>
    <x v="0"/>
    <x v="0"/>
    <x v="1"/>
    <x v="2"/>
    <s v="EE_Tallinn"/>
    <x v="13"/>
    <x v="89"/>
    <x v="0"/>
    <x v="20"/>
    <n v="82.608724120096397"/>
    <n v="30152.184303835202"/>
    <n v="108547.863493807"/>
  </r>
  <r>
    <x v="0"/>
    <x v="0"/>
    <x v="0"/>
    <x v="1"/>
    <x v="2"/>
    <s v="EE_Tallinn"/>
    <x v="13"/>
    <x v="89"/>
    <x v="0"/>
    <x v="21"/>
    <n v="82.608724120096397"/>
    <n v="30152.184303835202"/>
    <n v="108547.863493807"/>
  </r>
  <r>
    <x v="0"/>
    <x v="0"/>
    <x v="0"/>
    <x v="1"/>
    <x v="2"/>
    <s v="EE_Tallinn"/>
    <x v="13"/>
    <x v="89"/>
    <x v="0"/>
    <x v="22"/>
    <n v="82.608724120096397"/>
    <n v="30152.184303835202"/>
    <n v="108547.863493807"/>
  </r>
  <r>
    <x v="0"/>
    <x v="0"/>
    <x v="0"/>
    <x v="1"/>
    <x v="2"/>
    <s v="EE_Tallinn"/>
    <x v="13"/>
    <x v="89"/>
    <x v="0"/>
    <x v="23"/>
    <n v="82.608724120096397"/>
    <n v="30152.184303835202"/>
    <n v="108547.863493807"/>
  </r>
  <r>
    <x v="0"/>
    <x v="0"/>
    <x v="0"/>
    <x v="1"/>
    <x v="2"/>
    <s v="EE_Tartu"/>
    <x v="2"/>
    <x v="79"/>
    <x v="0"/>
    <x v="3"/>
    <n v="24.559441288092501"/>
    <n v="8964.1960701537701"/>
    <n v="32271.105852553599"/>
  </r>
  <r>
    <x v="0"/>
    <x v="0"/>
    <x v="0"/>
    <x v="1"/>
    <x v="2"/>
    <s v="EE_Tartu"/>
    <x v="2"/>
    <x v="79"/>
    <x v="0"/>
    <x v="4"/>
    <n v="25.073917926778002"/>
    <n v="9151.9800432739794"/>
    <n v="32947.128155786297"/>
  </r>
  <r>
    <x v="0"/>
    <x v="0"/>
    <x v="0"/>
    <x v="1"/>
    <x v="2"/>
    <s v="EE_Tartu"/>
    <x v="2"/>
    <x v="79"/>
    <x v="0"/>
    <x v="5"/>
    <n v="25.234691876367101"/>
    <n v="9210.6625348739799"/>
    <n v="33158.385125546301"/>
  </r>
  <r>
    <x v="0"/>
    <x v="0"/>
    <x v="0"/>
    <x v="1"/>
    <x v="2"/>
    <s v="EE_Tartu"/>
    <x v="2"/>
    <x v="79"/>
    <x v="0"/>
    <x v="6"/>
    <n v="24.752370027599198"/>
    <n v="9034.6150600737001"/>
    <n v="32524.614216265301"/>
  </r>
  <r>
    <x v="0"/>
    <x v="0"/>
    <x v="0"/>
    <x v="1"/>
    <x v="2"/>
    <s v="EE_Tartu"/>
    <x v="2"/>
    <x v="79"/>
    <x v="0"/>
    <x v="7"/>
    <n v="23.691261960311301"/>
    <n v="8647.3106155136102"/>
    <n v="31130.318215849002"/>
  </r>
  <r>
    <x v="0"/>
    <x v="0"/>
    <x v="0"/>
    <x v="1"/>
    <x v="2"/>
    <s v="EE_Tartu"/>
    <x v="2"/>
    <x v="79"/>
    <x v="0"/>
    <x v="8"/>
    <n v="22.1478320442551"/>
    <n v="8083.9586961531204"/>
    <n v="29102.2513061512"/>
  </r>
  <r>
    <x v="0"/>
    <x v="0"/>
    <x v="0"/>
    <x v="1"/>
    <x v="2"/>
    <s v="EE_Tartu"/>
    <x v="2"/>
    <x v="79"/>
    <x v="0"/>
    <x v="0"/>
    <n v="20.1863898592674"/>
    <n v="7368.03229863259"/>
    <n v="26524.916275077299"/>
  </r>
  <r>
    <x v="0"/>
    <x v="0"/>
    <x v="0"/>
    <x v="1"/>
    <x v="2"/>
    <s v="EE_Tartu"/>
    <x v="2"/>
    <x v="79"/>
    <x v="0"/>
    <x v="1"/>
    <n v="17.77478061543"/>
    <n v="6487.7949246319404"/>
    <n v="23356.061728674998"/>
  </r>
  <r>
    <x v="0"/>
    <x v="0"/>
    <x v="0"/>
    <x v="1"/>
    <x v="2"/>
    <s v="EE_Tartu"/>
    <x v="2"/>
    <x v="79"/>
    <x v="0"/>
    <x v="2"/>
    <n v="15.684719270771"/>
    <n v="5724.92253383141"/>
    <n v="20609.7211217931"/>
  </r>
  <r>
    <x v="0"/>
    <x v="0"/>
    <x v="0"/>
    <x v="1"/>
    <x v="2"/>
    <s v="EE_Tartu"/>
    <x v="2"/>
    <x v="79"/>
    <x v="0"/>
    <x v="9"/>
    <n v="13.7875866656189"/>
    <n v="5032.4691329508996"/>
    <n v="18116.8888786233"/>
  </r>
  <r>
    <x v="0"/>
    <x v="0"/>
    <x v="0"/>
    <x v="1"/>
    <x v="2"/>
    <s v="EE_Tartu"/>
    <x v="2"/>
    <x v="79"/>
    <x v="0"/>
    <x v="10"/>
    <n v="12.083382799973901"/>
    <n v="4410.4347219904803"/>
    <n v="15877.564999165699"/>
  </r>
  <r>
    <x v="0"/>
    <x v="0"/>
    <x v="0"/>
    <x v="1"/>
    <x v="2"/>
    <s v="EE_Tartu"/>
    <x v="2"/>
    <x v="79"/>
    <x v="0"/>
    <x v="11"/>
    <n v="10.6685720435893"/>
    <n v="3894.0287959100801"/>
    <n v="14018.503665276299"/>
  </r>
  <r>
    <x v="0"/>
    <x v="0"/>
    <x v="0"/>
    <x v="1"/>
    <x v="2"/>
    <s v="EE_Tartu"/>
    <x v="2"/>
    <x v="79"/>
    <x v="0"/>
    <x v="12"/>
    <n v="9.4466900267116607"/>
    <n v="3448.0418597497601"/>
    <n v="12412.9506950991"/>
  </r>
  <r>
    <x v="0"/>
    <x v="0"/>
    <x v="0"/>
    <x v="1"/>
    <x v="2"/>
    <s v="EE_Tartu"/>
    <x v="2"/>
    <x v="79"/>
    <x v="0"/>
    <x v="13"/>
    <n v="8.4498915392589495"/>
    <n v="3084.2104118295201"/>
    <n v="11103.157482586301"/>
  </r>
  <r>
    <x v="0"/>
    <x v="0"/>
    <x v="0"/>
    <x v="1"/>
    <x v="2"/>
    <s v="EE_Tartu"/>
    <x v="2"/>
    <x v="79"/>
    <x v="0"/>
    <x v="14"/>
    <n v="7.8389505308201599"/>
    <n v="2861.2169437493599"/>
    <n v="10300.380997497699"/>
  </r>
  <r>
    <x v="0"/>
    <x v="0"/>
    <x v="0"/>
    <x v="1"/>
    <x v="2"/>
    <s v="EE_Tartu"/>
    <x v="2"/>
    <x v="79"/>
    <x v="0"/>
    <x v="15"/>
    <n v="7.3887834719704699"/>
    <n v="2696.9059672692201"/>
    <n v="9708.8614821691899"/>
  </r>
  <r>
    <x v="0"/>
    <x v="0"/>
    <x v="0"/>
    <x v="1"/>
    <x v="2"/>
    <s v="EE_Tartu"/>
    <x v="2"/>
    <x v="79"/>
    <x v="0"/>
    <x v="16"/>
    <n v="7.00292599295648"/>
    <n v="2556.06798742912"/>
    <n v="9201.8447547448195"/>
  </r>
  <r>
    <x v="0"/>
    <x v="0"/>
    <x v="0"/>
    <x v="1"/>
    <x v="2"/>
    <s v="EE_Tartu"/>
    <x v="2"/>
    <x v="79"/>
    <x v="0"/>
    <x v="17"/>
    <n v="6.6492233038603796"/>
    <n v="2426.9665059090398"/>
    <n v="8737.0794212725395"/>
  </r>
  <r>
    <x v="0"/>
    <x v="0"/>
    <x v="0"/>
    <x v="1"/>
    <x v="2"/>
    <s v="EE_Tartu"/>
    <x v="2"/>
    <x v="79"/>
    <x v="0"/>
    <x v="18"/>
    <n v="6.2633658248463897"/>
    <n v="2286.1285260689301"/>
    <n v="8230.0626938481491"/>
  </r>
  <r>
    <x v="0"/>
    <x v="0"/>
    <x v="0"/>
    <x v="1"/>
    <x v="2"/>
    <s v="EE_Tartu"/>
    <x v="2"/>
    <x v="79"/>
    <x v="0"/>
    <x v="19"/>
    <n v="5.8131987659967699"/>
    <n v="2121.8175495888199"/>
    <n v="7638.5431785197597"/>
  </r>
  <r>
    <x v="0"/>
    <x v="0"/>
    <x v="0"/>
    <x v="1"/>
    <x v="2"/>
    <s v="EE_Tartu"/>
    <x v="2"/>
    <x v="79"/>
    <x v="0"/>
    <x v="20"/>
    <n v="5.4273412869827897"/>
    <n v="1980.97956974872"/>
    <n v="7131.5264510953803"/>
  </r>
  <r>
    <x v="0"/>
    <x v="0"/>
    <x v="0"/>
    <x v="1"/>
    <x v="2"/>
    <s v="EE_Tartu"/>
    <x v="2"/>
    <x v="79"/>
    <x v="0"/>
    <x v="21"/>
    <n v="5.04148380796879"/>
    <n v="1840.1415899086101"/>
    <n v="6624.5097236709898"/>
  </r>
  <r>
    <x v="0"/>
    <x v="0"/>
    <x v="0"/>
    <x v="1"/>
    <x v="2"/>
    <s v="EE_Tartu"/>
    <x v="2"/>
    <x v="79"/>
    <x v="0"/>
    <x v="22"/>
    <n v="4.7520906987083"/>
    <n v="1734.5131050285299"/>
    <n v="6244.2471781027098"/>
  </r>
  <r>
    <x v="0"/>
    <x v="0"/>
    <x v="0"/>
    <x v="1"/>
    <x v="2"/>
    <s v="EE_Tartu"/>
    <x v="2"/>
    <x v="79"/>
    <x v="0"/>
    <x v="23"/>
    <n v="4.6556263289548099"/>
    <n v="1699.3036100684999"/>
    <n v="6117.4929962466103"/>
  </r>
  <r>
    <x v="0"/>
    <x v="0"/>
    <x v="0"/>
    <x v="1"/>
    <x v="2"/>
    <s v="EE_Tartu"/>
    <x v="13"/>
    <x v="90"/>
    <x v="0"/>
    <x v="3"/>
    <n v="76.086994466430795"/>
    <n v="27771.752980247202"/>
    <n v="99978.310728890006"/>
  </r>
  <r>
    <x v="0"/>
    <x v="0"/>
    <x v="0"/>
    <x v="1"/>
    <x v="2"/>
    <s v="EE_Tartu"/>
    <x v="13"/>
    <x v="90"/>
    <x v="0"/>
    <x v="4"/>
    <n v="76.086994466430795"/>
    <n v="27771.752980247202"/>
    <n v="99978.310728890006"/>
  </r>
  <r>
    <x v="0"/>
    <x v="0"/>
    <x v="0"/>
    <x v="1"/>
    <x v="2"/>
    <s v="EE_Tartu"/>
    <x v="13"/>
    <x v="90"/>
    <x v="0"/>
    <x v="5"/>
    <n v="76.086994466430795"/>
    <n v="27771.752980247202"/>
    <n v="99978.310728890006"/>
  </r>
  <r>
    <x v="0"/>
    <x v="0"/>
    <x v="0"/>
    <x v="1"/>
    <x v="2"/>
    <s v="EE_Tartu"/>
    <x v="13"/>
    <x v="90"/>
    <x v="0"/>
    <x v="6"/>
    <n v="76.086994466430795"/>
    <n v="27771.752980247202"/>
    <n v="99978.310728890006"/>
  </r>
  <r>
    <x v="0"/>
    <x v="0"/>
    <x v="0"/>
    <x v="1"/>
    <x v="2"/>
    <s v="EE_Tartu"/>
    <x v="13"/>
    <x v="90"/>
    <x v="0"/>
    <x v="7"/>
    <n v="76.086994466430795"/>
    <n v="27771.752980247202"/>
    <n v="99978.310728890006"/>
  </r>
  <r>
    <x v="0"/>
    <x v="0"/>
    <x v="0"/>
    <x v="1"/>
    <x v="2"/>
    <s v="EE_Tartu"/>
    <x v="13"/>
    <x v="90"/>
    <x v="0"/>
    <x v="8"/>
    <n v="76.086994466430795"/>
    <n v="27771.752980247202"/>
    <n v="99978.310728890006"/>
  </r>
  <r>
    <x v="0"/>
    <x v="0"/>
    <x v="0"/>
    <x v="1"/>
    <x v="2"/>
    <s v="EE_Tartu"/>
    <x v="13"/>
    <x v="90"/>
    <x v="0"/>
    <x v="0"/>
    <n v="76.086994466430795"/>
    <n v="27771.752980247202"/>
    <n v="99978.310728890006"/>
  </r>
  <r>
    <x v="0"/>
    <x v="0"/>
    <x v="0"/>
    <x v="1"/>
    <x v="2"/>
    <s v="EE_Tartu"/>
    <x v="13"/>
    <x v="90"/>
    <x v="0"/>
    <x v="1"/>
    <n v="76.086994466430795"/>
    <n v="27771.752980247202"/>
    <n v="99978.310728890006"/>
  </r>
  <r>
    <x v="0"/>
    <x v="0"/>
    <x v="0"/>
    <x v="1"/>
    <x v="2"/>
    <s v="EE_Tartu"/>
    <x v="13"/>
    <x v="90"/>
    <x v="0"/>
    <x v="2"/>
    <n v="76.086994466430795"/>
    <n v="27771.752980247202"/>
    <n v="99978.310728890006"/>
  </r>
  <r>
    <x v="0"/>
    <x v="0"/>
    <x v="0"/>
    <x v="1"/>
    <x v="2"/>
    <s v="EE_Tartu"/>
    <x v="13"/>
    <x v="90"/>
    <x v="0"/>
    <x v="9"/>
    <n v="76.086994466430795"/>
    <n v="27771.752980247202"/>
    <n v="99978.310728890006"/>
  </r>
  <r>
    <x v="0"/>
    <x v="0"/>
    <x v="0"/>
    <x v="1"/>
    <x v="2"/>
    <s v="EE_Tartu"/>
    <x v="13"/>
    <x v="90"/>
    <x v="0"/>
    <x v="10"/>
    <n v="76.086994466430795"/>
    <n v="27771.752980247202"/>
    <n v="99978.310728890006"/>
  </r>
  <r>
    <x v="0"/>
    <x v="0"/>
    <x v="0"/>
    <x v="1"/>
    <x v="2"/>
    <s v="EE_Tartu"/>
    <x v="13"/>
    <x v="90"/>
    <x v="0"/>
    <x v="11"/>
    <n v="76.086994466430795"/>
    <n v="27771.752980247202"/>
    <n v="99978.310728890006"/>
  </r>
  <r>
    <x v="0"/>
    <x v="0"/>
    <x v="0"/>
    <x v="1"/>
    <x v="2"/>
    <s v="EE_Tartu"/>
    <x v="13"/>
    <x v="90"/>
    <x v="0"/>
    <x v="12"/>
    <n v="76.086994466430795"/>
    <n v="27771.752980247202"/>
    <n v="99978.310728890006"/>
  </r>
  <r>
    <x v="0"/>
    <x v="0"/>
    <x v="0"/>
    <x v="1"/>
    <x v="2"/>
    <s v="EE_Tartu"/>
    <x v="13"/>
    <x v="90"/>
    <x v="0"/>
    <x v="13"/>
    <n v="76.086994466430795"/>
    <n v="27771.752980247202"/>
    <n v="99978.310728890006"/>
  </r>
  <r>
    <x v="0"/>
    <x v="0"/>
    <x v="0"/>
    <x v="1"/>
    <x v="2"/>
    <s v="EE_Tartu"/>
    <x v="13"/>
    <x v="90"/>
    <x v="0"/>
    <x v="14"/>
    <n v="76.086994466430795"/>
    <n v="27771.752980247202"/>
    <n v="99978.310728890006"/>
  </r>
  <r>
    <x v="0"/>
    <x v="0"/>
    <x v="0"/>
    <x v="1"/>
    <x v="2"/>
    <s v="EE_Tartu"/>
    <x v="13"/>
    <x v="90"/>
    <x v="0"/>
    <x v="15"/>
    <n v="76.086994466430795"/>
    <n v="27771.752980247202"/>
    <n v="99978.310728890006"/>
  </r>
  <r>
    <x v="0"/>
    <x v="0"/>
    <x v="0"/>
    <x v="1"/>
    <x v="2"/>
    <s v="EE_Tartu"/>
    <x v="13"/>
    <x v="90"/>
    <x v="0"/>
    <x v="16"/>
    <n v="76.086994466430795"/>
    <n v="27771.752980247202"/>
    <n v="99978.310728890006"/>
  </r>
  <r>
    <x v="0"/>
    <x v="0"/>
    <x v="0"/>
    <x v="1"/>
    <x v="2"/>
    <s v="EE_Tartu"/>
    <x v="13"/>
    <x v="90"/>
    <x v="0"/>
    <x v="17"/>
    <n v="76.086994466430795"/>
    <n v="27771.752980247202"/>
    <n v="99978.310728890006"/>
  </r>
  <r>
    <x v="0"/>
    <x v="0"/>
    <x v="0"/>
    <x v="1"/>
    <x v="2"/>
    <s v="EE_Tartu"/>
    <x v="13"/>
    <x v="90"/>
    <x v="0"/>
    <x v="18"/>
    <n v="76.086994466430795"/>
    <n v="27771.752980247202"/>
    <n v="99978.310728890006"/>
  </r>
  <r>
    <x v="0"/>
    <x v="0"/>
    <x v="0"/>
    <x v="1"/>
    <x v="2"/>
    <s v="EE_Tartu"/>
    <x v="13"/>
    <x v="90"/>
    <x v="0"/>
    <x v="19"/>
    <n v="76.086994466430795"/>
    <n v="27771.752980247202"/>
    <n v="99978.310728890006"/>
  </r>
  <r>
    <x v="0"/>
    <x v="0"/>
    <x v="0"/>
    <x v="1"/>
    <x v="2"/>
    <s v="EE_Tartu"/>
    <x v="13"/>
    <x v="90"/>
    <x v="0"/>
    <x v="20"/>
    <n v="76.086994466430795"/>
    <n v="27771.752980247202"/>
    <n v="99978.310728890006"/>
  </r>
  <r>
    <x v="0"/>
    <x v="0"/>
    <x v="0"/>
    <x v="1"/>
    <x v="2"/>
    <s v="EE_Tartu"/>
    <x v="13"/>
    <x v="90"/>
    <x v="0"/>
    <x v="21"/>
    <n v="76.086994466430795"/>
    <n v="27771.752980247202"/>
    <n v="99978.310728890006"/>
  </r>
  <r>
    <x v="0"/>
    <x v="0"/>
    <x v="0"/>
    <x v="1"/>
    <x v="2"/>
    <s v="EE_Tartu"/>
    <x v="13"/>
    <x v="90"/>
    <x v="0"/>
    <x v="22"/>
    <n v="76.086994466430795"/>
    <n v="27771.752980247202"/>
    <n v="99978.310728890006"/>
  </r>
  <r>
    <x v="0"/>
    <x v="0"/>
    <x v="0"/>
    <x v="1"/>
    <x v="2"/>
    <s v="EE_Tartu"/>
    <x v="13"/>
    <x v="90"/>
    <x v="0"/>
    <x v="23"/>
    <n v="76.086994466430795"/>
    <n v="27771.752980247202"/>
    <n v="99978.310728890006"/>
  </r>
  <r>
    <x v="0"/>
    <x v="0"/>
    <x v="0"/>
    <x v="1"/>
    <x v="2"/>
    <s v="EE_Urban"/>
    <x v="2"/>
    <x v="80"/>
    <x v="0"/>
    <x v="3"/>
    <n v="2.0431588613406801"/>
    <n v="745.75298438934794"/>
    <n v="2684.7107438016501"/>
  </r>
  <r>
    <x v="0"/>
    <x v="0"/>
    <x v="0"/>
    <x v="1"/>
    <x v="2"/>
    <s v="EE_Urban"/>
    <x v="2"/>
    <x v="80"/>
    <x v="0"/>
    <x v="4"/>
    <n v="2.0431588613406801"/>
    <n v="745.75298438934794"/>
    <n v="2684.7107438016501"/>
  </r>
  <r>
    <x v="0"/>
    <x v="0"/>
    <x v="0"/>
    <x v="1"/>
    <x v="2"/>
    <s v="EE_Urban"/>
    <x v="2"/>
    <x v="80"/>
    <x v="0"/>
    <x v="5"/>
    <n v="2.0431588613406801"/>
    <n v="745.75298438934794"/>
    <n v="2684.7107438016501"/>
  </r>
  <r>
    <x v="0"/>
    <x v="0"/>
    <x v="0"/>
    <x v="1"/>
    <x v="2"/>
    <s v="EE_Urban"/>
    <x v="2"/>
    <x v="80"/>
    <x v="0"/>
    <x v="6"/>
    <n v="2.0431588613406801"/>
    <n v="745.75298438934794"/>
    <n v="2684.7107438016501"/>
  </r>
  <r>
    <x v="0"/>
    <x v="0"/>
    <x v="0"/>
    <x v="1"/>
    <x v="2"/>
    <s v="EE_Urban"/>
    <x v="2"/>
    <x v="80"/>
    <x v="0"/>
    <x v="7"/>
    <n v="2.0431588613406801"/>
    <n v="745.75298438934794"/>
    <n v="2684.7107438016501"/>
  </r>
  <r>
    <x v="0"/>
    <x v="0"/>
    <x v="0"/>
    <x v="1"/>
    <x v="2"/>
    <s v="EE_Urban"/>
    <x v="2"/>
    <x v="80"/>
    <x v="0"/>
    <x v="8"/>
    <n v="2.0431588613406801"/>
    <n v="745.75298438934794"/>
    <n v="2684.7107438016501"/>
  </r>
  <r>
    <x v="0"/>
    <x v="0"/>
    <x v="0"/>
    <x v="1"/>
    <x v="2"/>
    <s v="EE_Urban"/>
    <x v="2"/>
    <x v="80"/>
    <x v="0"/>
    <x v="0"/>
    <n v="2.0431588613406801"/>
    <n v="745.75298438934794"/>
    <n v="2684.7107438016501"/>
  </r>
  <r>
    <x v="0"/>
    <x v="0"/>
    <x v="0"/>
    <x v="1"/>
    <x v="2"/>
    <s v="EE_Urban"/>
    <x v="2"/>
    <x v="80"/>
    <x v="0"/>
    <x v="1"/>
    <n v="2.0431588613406801"/>
    <n v="745.75298438934794"/>
    <n v="2684.7107438016501"/>
  </r>
  <r>
    <x v="0"/>
    <x v="0"/>
    <x v="0"/>
    <x v="1"/>
    <x v="2"/>
    <s v="EE_Urban"/>
    <x v="2"/>
    <x v="80"/>
    <x v="0"/>
    <x v="2"/>
    <n v="2.0431588613406801"/>
    <n v="745.75298438934794"/>
    <n v="2684.7107438016501"/>
  </r>
  <r>
    <x v="0"/>
    <x v="0"/>
    <x v="0"/>
    <x v="1"/>
    <x v="2"/>
    <s v="EE_Urban"/>
    <x v="2"/>
    <x v="80"/>
    <x v="0"/>
    <x v="9"/>
    <n v="2.0431588613406801"/>
    <n v="745.75298438934794"/>
    <n v="2684.7107438016501"/>
  </r>
  <r>
    <x v="0"/>
    <x v="0"/>
    <x v="0"/>
    <x v="1"/>
    <x v="2"/>
    <s v="EE_Urban"/>
    <x v="2"/>
    <x v="80"/>
    <x v="0"/>
    <x v="10"/>
    <n v="2.0431588613406801"/>
    <n v="745.75298438934794"/>
    <n v="2684.7107438016501"/>
  </r>
  <r>
    <x v="0"/>
    <x v="0"/>
    <x v="0"/>
    <x v="1"/>
    <x v="2"/>
    <s v="EE_Urban"/>
    <x v="2"/>
    <x v="80"/>
    <x v="0"/>
    <x v="11"/>
    <n v="2.0431588613406801"/>
    <n v="745.75298438934794"/>
    <n v="2684.7107438016501"/>
  </r>
  <r>
    <x v="0"/>
    <x v="0"/>
    <x v="0"/>
    <x v="1"/>
    <x v="2"/>
    <s v="EE_Urban"/>
    <x v="2"/>
    <x v="80"/>
    <x v="0"/>
    <x v="12"/>
    <n v="2.0431588613406801"/>
    <n v="745.75298438934794"/>
    <n v="2684.7107438016501"/>
  </r>
  <r>
    <x v="0"/>
    <x v="0"/>
    <x v="0"/>
    <x v="1"/>
    <x v="2"/>
    <s v="EE_Urban"/>
    <x v="2"/>
    <x v="80"/>
    <x v="0"/>
    <x v="13"/>
    <n v="2.0431588613406801"/>
    <n v="745.75298438934794"/>
    <n v="2684.7107438016501"/>
  </r>
  <r>
    <x v="0"/>
    <x v="0"/>
    <x v="0"/>
    <x v="1"/>
    <x v="2"/>
    <s v="EE_Urban"/>
    <x v="2"/>
    <x v="80"/>
    <x v="0"/>
    <x v="14"/>
    <n v="2.0431588613406801"/>
    <n v="745.75298438934794"/>
    <n v="2684.7107438016501"/>
  </r>
  <r>
    <x v="0"/>
    <x v="0"/>
    <x v="0"/>
    <x v="1"/>
    <x v="2"/>
    <s v="EE_Urban"/>
    <x v="2"/>
    <x v="80"/>
    <x v="0"/>
    <x v="15"/>
    <n v="2.0431588613406801"/>
    <n v="745.75298438934794"/>
    <n v="2684.7107438016501"/>
  </r>
  <r>
    <x v="0"/>
    <x v="0"/>
    <x v="0"/>
    <x v="1"/>
    <x v="2"/>
    <s v="EE_Urban"/>
    <x v="2"/>
    <x v="80"/>
    <x v="0"/>
    <x v="16"/>
    <n v="2.0431588613406801"/>
    <n v="745.75298438934794"/>
    <n v="2684.7107438016501"/>
  </r>
  <r>
    <x v="0"/>
    <x v="0"/>
    <x v="0"/>
    <x v="1"/>
    <x v="2"/>
    <s v="EE_Urban"/>
    <x v="2"/>
    <x v="80"/>
    <x v="0"/>
    <x v="17"/>
    <n v="2.0431588613406801"/>
    <n v="745.75298438934794"/>
    <n v="2684.7107438016501"/>
  </r>
  <r>
    <x v="0"/>
    <x v="0"/>
    <x v="0"/>
    <x v="1"/>
    <x v="2"/>
    <s v="EE_Urban"/>
    <x v="2"/>
    <x v="80"/>
    <x v="0"/>
    <x v="18"/>
    <n v="2.0431588613406801"/>
    <n v="745.75298438934794"/>
    <n v="2684.7107438016501"/>
  </r>
  <r>
    <x v="0"/>
    <x v="0"/>
    <x v="0"/>
    <x v="1"/>
    <x v="2"/>
    <s v="EE_Urban"/>
    <x v="2"/>
    <x v="80"/>
    <x v="0"/>
    <x v="19"/>
    <n v="2.0431588613406801"/>
    <n v="745.75298438934794"/>
    <n v="2684.7107438016501"/>
  </r>
  <r>
    <x v="0"/>
    <x v="0"/>
    <x v="0"/>
    <x v="1"/>
    <x v="2"/>
    <s v="EE_Urban"/>
    <x v="2"/>
    <x v="80"/>
    <x v="0"/>
    <x v="20"/>
    <n v="2.0431588613406801"/>
    <n v="745.75298438934794"/>
    <n v="2684.7107438016501"/>
  </r>
  <r>
    <x v="0"/>
    <x v="0"/>
    <x v="0"/>
    <x v="1"/>
    <x v="2"/>
    <s v="EE_Urban"/>
    <x v="2"/>
    <x v="80"/>
    <x v="0"/>
    <x v="21"/>
    <n v="2.0431588613406801"/>
    <n v="745.75298438934794"/>
    <n v="2684.7107438016501"/>
  </r>
  <r>
    <x v="0"/>
    <x v="0"/>
    <x v="0"/>
    <x v="1"/>
    <x v="2"/>
    <s v="EE_Urban"/>
    <x v="2"/>
    <x v="80"/>
    <x v="0"/>
    <x v="22"/>
    <n v="2.0431588613406801"/>
    <n v="745.75298438934794"/>
    <n v="2684.7107438016501"/>
  </r>
  <r>
    <x v="0"/>
    <x v="0"/>
    <x v="0"/>
    <x v="1"/>
    <x v="2"/>
    <s v="EE_Urban"/>
    <x v="2"/>
    <x v="80"/>
    <x v="0"/>
    <x v="23"/>
    <n v="2.0431588613406801"/>
    <n v="745.75298438934794"/>
    <n v="2684.7107438016501"/>
  </r>
  <r>
    <x v="0"/>
    <x v="0"/>
    <x v="0"/>
    <x v="1"/>
    <x v="2"/>
    <s v="EE_Urban"/>
    <x v="13"/>
    <x v="91"/>
    <x v="0"/>
    <x v="3"/>
    <n v="22.641509433962302"/>
    <n v="8264.1509433962292"/>
    <n v="29750.943396226401"/>
  </r>
  <r>
    <x v="0"/>
    <x v="0"/>
    <x v="0"/>
    <x v="1"/>
    <x v="2"/>
    <s v="EE_Urban"/>
    <x v="13"/>
    <x v="91"/>
    <x v="0"/>
    <x v="4"/>
    <n v="22.641509433962302"/>
    <n v="8264.1509433962292"/>
    <n v="29750.943396226401"/>
  </r>
  <r>
    <x v="0"/>
    <x v="0"/>
    <x v="0"/>
    <x v="1"/>
    <x v="2"/>
    <s v="EE_Urban"/>
    <x v="13"/>
    <x v="91"/>
    <x v="0"/>
    <x v="5"/>
    <n v="22.641509433962302"/>
    <n v="8264.1509433962292"/>
    <n v="29750.943396226401"/>
  </r>
  <r>
    <x v="0"/>
    <x v="0"/>
    <x v="0"/>
    <x v="1"/>
    <x v="2"/>
    <s v="EE_Urban"/>
    <x v="13"/>
    <x v="91"/>
    <x v="0"/>
    <x v="6"/>
    <n v="22.641509433962302"/>
    <n v="8264.1509433962292"/>
    <n v="29750.943396226401"/>
  </r>
  <r>
    <x v="0"/>
    <x v="0"/>
    <x v="0"/>
    <x v="1"/>
    <x v="2"/>
    <s v="EE_Urban"/>
    <x v="13"/>
    <x v="91"/>
    <x v="0"/>
    <x v="7"/>
    <n v="22.641509433962302"/>
    <n v="8264.1509433962292"/>
    <n v="29750.943396226401"/>
  </r>
  <r>
    <x v="0"/>
    <x v="0"/>
    <x v="0"/>
    <x v="1"/>
    <x v="2"/>
    <s v="EE_Urban"/>
    <x v="13"/>
    <x v="91"/>
    <x v="0"/>
    <x v="8"/>
    <n v="22.641509433962302"/>
    <n v="8264.1509433962292"/>
    <n v="29750.943396226401"/>
  </r>
  <r>
    <x v="0"/>
    <x v="0"/>
    <x v="0"/>
    <x v="1"/>
    <x v="2"/>
    <s v="EE_Urban"/>
    <x v="13"/>
    <x v="91"/>
    <x v="0"/>
    <x v="0"/>
    <n v="22.641509433962302"/>
    <n v="8264.1509433962292"/>
    <n v="29750.943396226401"/>
  </r>
  <r>
    <x v="0"/>
    <x v="0"/>
    <x v="0"/>
    <x v="1"/>
    <x v="2"/>
    <s v="EE_Urban"/>
    <x v="13"/>
    <x v="91"/>
    <x v="0"/>
    <x v="1"/>
    <n v="22.641509433962302"/>
    <n v="8264.1509433962292"/>
    <n v="29750.943396226401"/>
  </r>
  <r>
    <x v="0"/>
    <x v="0"/>
    <x v="0"/>
    <x v="1"/>
    <x v="2"/>
    <s v="EE_Urban"/>
    <x v="13"/>
    <x v="91"/>
    <x v="0"/>
    <x v="2"/>
    <n v="22.641509433962302"/>
    <n v="8264.1509433962292"/>
    <n v="29750.943396226401"/>
  </r>
  <r>
    <x v="0"/>
    <x v="0"/>
    <x v="0"/>
    <x v="1"/>
    <x v="2"/>
    <s v="EE_Urban"/>
    <x v="13"/>
    <x v="91"/>
    <x v="0"/>
    <x v="9"/>
    <n v="22.641509433962302"/>
    <n v="8264.1509433962292"/>
    <n v="29750.943396226401"/>
  </r>
  <r>
    <x v="0"/>
    <x v="0"/>
    <x v="0"/>
    <x v="1"/>
    <x v="2"/>
    <s v="EE_Urban"/>
    <x v="13"/>
    <x v="91"/>
    <x v="0"/>
    <x v="10"/>
    <n v="22.641509433962302"/>
    <n v="8264.1509433962292"/>
    <n v="29750.943396226401"/>
  </r>
  <r>
    <x v="0"/>
    <x v="0"/>
    <x v="0"/>
    <x v="1"/>
    <x v="2"/>
    <s v="EE_Urban"/>
    <x v="13"/>
    <x v="91"/>
    <x v="0"/>
    <x v="11"/>
    <n v="22.641509433962302"/>
    <n v="8264.1509433962292"/>
    <n v="29750.943396226401"/>
  </r>
  <r>
    <x v="0"/>
    <x v="0"/>
    <x v="0"/>
    <x v="1"/>
    <x v="2"/>
    <s v="EE_Urban"/>
    <x v="13"/>
    <x v="91"/>
    <x v="0"/>
    <x v="12"/>
    <n v="22.641509433962302"/>
    <n v="8264.1509433962292"/>
    <n v="29750.943396226401"/>
  </r>
  <r>
    <x v="0"/>
    <x v="0"/>
    <x v="0"/>
    <x v="1"/>
    <x v="2"/>
    <s v="EE_Urban"/>
    <x v="13"/>
    <x v="91"/>
    <x v="0"/>
    <x v="13"/>
    <n v="22.641509433962302"/>
    <n v="8264.1509433962292"/>
    <n v="29750.943396226401"/>
  </r>
  <r>
    <x v="0"/>
    <x v="0"/>
    <x v="0"/>
    <x v="1"/>
    <x v="2"/>
    <s v="EE_Urban"/>
    <x v="13"/>
    <x v="91"/>
    <x v="0"/>
    <x v="14"/>
    <n v="22.641509433962302"/>
    <n v="8264.1509433962292"/>
    <n v="29750.943396226401"/>
  </r>
  <r>
    <x v="0"/>
    <x v="0"/>
    <x v="0"/>
    <x v="1"/>
    <x v="2"/>
    <s v="EE_Urban"/>
    <x v="13"/>
    <x v="91"/>
    <x v="0"/>
    <x v="15"/>
    <n v="22.641509433962302"/>
    <n v="8264.1509433962292"/>
    <n v="29750.943396226401"/>
  </r>
  <r>
    <x v="0"/>
    <x v="0"/>
    <x v="0"/>
    <x v="1"/>
    <x v="2"/>
    <s v="EE_Urban"/>
    <x v="13"/>
    <x v="91"/>
    <x v="0"/>
    <x v="16"/>
    <n v="22.641509433962302"/>
    <n v="8264.1509433962292"/>
    <n v="29750.943396226401"/>
  </r>
  <r>
    <x v="0"/>
    <x v="0"/>
    <x v="0"/>
    <x v="1"/>
    <x v="2"/>
    <s v="EE_Urban"/>
    <x v="13"/>
    <x v="91"/>
    <x v="0"/>
    <x v="17"/>
    <n v="22.641509433962302"/>
    <n v="8264.1509433962292"/>
    <n v="29750.943396226401"/>
  </r>
  <r>
    <x v="0"/>
    <x v="0"/>
    <x v="0"/>
    <x v="1"/>
    <x v="2"/>
    <s v="EE_Urban"/>
    <x v="13"/>
    <x v="91"/>
    <x v="0"/>
    <x v="18"/>
    <n v="22.641509433962302"/>
    <n v="8264.1509433962292"/>
    <n v="29750.943396226401"/>
  </r>
  <r>
    <x v="0"/>
    <x v="0"/>
    <x v="0"/>
    <x v="1"/>
    <x v="2"/>
    <s v="EE_Urban"/>
    <x v="13"/>
    <x v="91"/>
    <x v="0"/>
    <x v="19"/>
    <n v="22.641509433962302"/>
    <n v="8264.1509433962292"/>
    <n v="29750.943396226401"/>
  </r>
  <r>
    <x v="0"/>
    <x v="0"/>
    <x v="0"/>
    <x v="1"/>
    <x v="2"/>
    <s v="EE_Urban"/>
    <x v="13"/>
    <x v="91"/>
    <x v="0"/>
    <x v="20"/>
    <n v="22.641509433962302"/>
    <n v="8264.1509433962292"/>
    <n v="29750.943396226401"/>
  </r>
  <r>
    <x v="0"/>
    <x v="0"/>
    <x v="0"/>
    <x v="1"/>
    <x v="2"/>
    <s v="EE_Urban"/>
    <x v="13"/>
    <x v="91"/>
    <x v="0"/>
    <x v="21"/>
    <n v="22.641509433962302"/>
    <n v="8264.1509433962292"/>
    <n v="29750.943396226401"/>
  </r>
  <r>
    <x v="0"/>
    <x v="0"/>
    <x v="0"/>
    <x v="1"/>
    <x v="2"/>
    <s v="EE_Urban"/>
    <x v="13"/>
    <x v="91"/>
    <x v="0"/>
    <x v="22"/>
    <n v="22.641509433962302"/>
    <n v="8264.1509433962292"/>
    <n v="29750.943396226401"/>
  </r>
  <r>
    <x v="0"/>
    <x v="0"/>
    <x v="0"/>
    <x v="1"/>
    <x v="2"/>
    <s v="EE_Urban"/>
    <x v="13"/>
    <x v="91"/>
    <x v="0"/>
    <x v="23"/>
    <n v="22.641509433962302"/>
    <n v="8264.1509433962292"/>
    <n v="29750.943396226401"/>
  </r>
  <r>
    <x v="0"/>
    <x v="0"/>
    <x v="0"/>
    <x v="2"/>
    <x v="3"/>
    <s v="FIN_EL"/>
    <x v="2"/>
    <x v="92"/>
    <x v="0"/>
    <x v="3"/>
    <n v="227.371888726208"/>
    <n v="82990.739385065899"/>
    <n v="298766.66178623697"/>
  </r>
  <r>
    <x v="0"/>
    <x v="0"/>
    <x v="0"/>
    <x v="2"/>
    <x v="3"/>
    <s v="FIN_EL"/>
    <x v="2"/>
    <x v="92"/>
    <x v="0"/>
    <x v="4"/>
    <n v="227.371888726208"/>
    <n v="82990.739385065899"/>
    <n v="298766.66178623697"/>
  </r>
  <r>
    <x v="0"/>
    <x v="0"/>
    <x v="0"/>
    <x v="2"/>
    <x v="3"/>
    <s v="FIN_EL"/>
    <x v="2"/>
    <x v="92"/>
    <x v="0"/>
    <x v="5"/>
    <n v="227.371888726208"/>
    <n v="82990.739385065899"/>
    <n v="298766.66178623697"/>
  </r>
  <r>
    <x v="0"/>
    <x v="0"/>
    <x v="0"/>
    <x v="2"/>
    <x v="3"/>
    <s v="FIN_EL"/>
    <x v="2"/>
    <x v="92"/>
    <x v="0"/>
    <x v="6"/>
    <n v="227.371888726208"/>
    <n v="82990.739385065899"/>
    <n v="298766.66178623697"/>
  </r>
  <r>
    <x v="0"/>
    <x v="0"/>
    <x v="0"/>
    <x v="2"/>
    <x v="3"/>
    <s v="FIN_EL"/>
    <x v="2"/>
    <x v="92"/>
    <x v="0"/>
    <x v="7"/>
    <n v="227.371888726208"/>
    <n v="82990.739385065899"/>
    <n v="298766.66178623697"/>
  </r>
  <r>
    <x v="0"/>
    <x v="0"/>
    <x v="0"/>
    <x v="2"/>
    <x v="3"/>
    <s v="FIN_EL"/>
    <x v="2"/>
    <x v="92"/>
    <x v="0"/>
    <x v="8"/>
    <n v="227.371888726208"/>
    <n v="82990.739385065899"/>
    <n v="298766.66178623697"/>
  </r>
  <r>
    <x v="0"/>
    <x v="0"/>
    <x v="0"/>
    <x v="2"/>
    <x v="3"/>
    <s v="FIN_EL"/>
    <x v="2"/>
    <x v="92"/>
    <x v="0"/>
    <x v="0"/>
    <n v="227.371888726208"/>
    <n v="82990.739385065899"/>
    <n v="298766.66178623697"/>
  </r>
  <r>
    <x v="0"/>
    <x v="0"/>
    <x v="0"/>
    <x v="2"/>
    <x v="3"/>
    <s v="FIN_EL"/>
    <x v="2"/>
    <x v="92"/>
    <x v="0"/>
    <x v="1"/>
    <n v="227.371888726208"/>
    <n v="82990.739385065899"/>
    <n v="298766.66178623697"/>
  </r>
  <r>
    <x v="0"/>
    <x v="0"/>
    <x v="0"/>
    <x v="2"/>
    <x v="3"/>
    <s v="FIN_EL"/>
    <x v="2"/>
    <x v="92"/>
    <x v="0"/>
    <x v="2"/>
    <n v="227.371888726208"/>
    <n v="82990.739385065899"/>
    <n v="298766.66178623697"/>
  </r>
  <r>
    <x v="0"/>
    <x v="0"/>
    <x v="0"/>
    <x v="2"/>
    <x v="3"/>
    <s v="FIN_EL"/>
    <x v="2"/>
    <x v="92"/>
    <x v="0"/>
    <x v="9"/>
    <n v="227.371888726208"/>
    <n v="82990.739385065899"/>
    <n v="298766.66178623697"/>
  </r>
  <r>
    <x v="0"/>
    <x v="0"/>
    <x v="0"/>
    <x v="2"/>
    <x v="3"/>
    <s v="FIN_EL"/>
    <x v="2"/>
    <x v="92"/>
    <x v="0"/>
    <x v="10"/>
    <n v="227.371888726208"/>
    <n v="82990.739385065899"/>
    <n v="298766.66178623697"/>
  </r>
  <r>
    <x v="0"/>
    <x v="0"/>
    <x v="0"/>
    <x v="2"/>
    <x v="3"/>
    <s v="FIN_EL"/>
    <x v="2"/>
    <x v="92"/>
    <x v="0"/>
    <x v="11"/>
    <n v="227.371888726208"/>
    <n v="82990.739385065899"/>
    <n v="298766.66178623697"/>
  </r>
  <r>
    <x v="0"/>
    <x v="0"/>
    <x v="0"/>
    <x v="2"/>
    <x v="3"/>
    <s v="FIN_EL"/>
    <x v="2"/>
    <x v="92"/>
    <x v="0"/>
    <x v="12"/>
    <n v="227.371888726208"/>
    <n v="82990.739385065899"/>
    <n v="298766.66178623697"/>
  </r>
  <r>
    <x v="0"/>
    <x v="0"/>
    <x v="0"/>
    <x v="2"/>
    <x v="3"/>
    <s v="FIN_EL"/>
    <x v="2"/>
    <x v="92"/>
    <x v="0"/>
    <x v="13"/>
    <n v="227.371888726208"/>
    <n v="82990.739385065899"/>
    <n v="298766.66178623697"/>
  </r>
  <r>
    <x v="0"/>
    <x v="0"/>
    <x v="0"/>
    <x v="2"/>
    <x v="3"/>
    <s v="FIN_EL"/>
    <x v="2"/>
    <x v="92"/>
    <x v="0"/>
    <x v="14"/>
    <n v="227.371888726208"/>
    <n v="82990.739385065899"/>
    <n v="298766.66178623697"/>
  </r>
  <r>
    <x v="0"/>
    <x v="0"/>
    <x v="0"/>
    <x v="2"/>
    <x v="3"/>
    <s v="FIN_EL"/>
    <x v="2"/>
    <x v="92"/>
    <x v="0"/>
    <x v="15"/>
    <n v="227.371888726208"/>
    <n v="82990.739385065899"/>
    <n v="298766.66178623697"/>
  </r>
  <r>
    <x v="0"/>
    <x v="0"/>
    <x v="0"/>
    <x v="2"/>
    <x v="3"/>
    <s v="FIN_EL"/>
    <x v="2"/>
    <x v="92"/>
    <x v="0"/>
    <x v="16"/>
    <n v="227.371888726208"/>
    <n v="82990.739385065899"/>
    <n v="298766.66178623697"/>
  </r>
  <r>
    <x v="0"/>
    <x v="0"/>
    <x v="0"/>
    <x v="2"/>
    <x v="3"/>
    <s v="FIN_EL"/>
    <x v="2"/>
    <x v="92"/>
    <x v="0"/>
    <x v="17"/>
    <n v="227.371888726208"/>
    <n v="82990.739385065899"/>
    <n v="298766.66178623697"/>
  </r>
  <r>
    <x v="0"/>
    <x v="0"/>
    <x v="0"/>
    <x v="2"/>
    <x v="3"/>
    <s v="FIN_EL"/>
    <x v="2"/>
    <x v="92"/>
    <x v="0"/>
    <x v="18"/>
    <n v="227.371888726208"/>
    <n v="82990.739385065899"/>
    <n v="298766.66178623697"/>
  </r>
  <r>
    <x v="0"/>
    <x v="0"/>
    <x v="0"/>
    <x v="2"/>
    <x v="3"/>
    <s v="FIN_EL"/>
    <x v="2"/>
    <x v="92"/>
    <x v="0"/>
    <x v="19"/>
    <n v="227.371888726208"/>
    <n v="82990.739385065899"/>
    <n v="298766.66178623697"/>
  </r>
  <r>
    <x v="0"/>
    <x v="0"/>
    <x v="0"/>
    <x v="2"/>
    <x v="3"/>
    <s v="FIN_EL"/>
    <x v="2"/>
    <x v="92"/>
    <x v="0"/>
    <x v="20"/>
    <n v="227.371888726208"/>
    <n v="82990.739385065899"/>
    <n v="298766.66178623697"/>
  </r>
  <r>
    <x v="0"/>
    <x v="0"/>
    <x v="0"/>
    <x v="2"/>
    <x v="3"/>
    <s v="FIN_EL"/>
    <x v="2"/>
    <x v="92"/>
    <x v="0"/>
    <x v="21"/>
    <n v="227.371888726208"/>
    <n v="82990.739385065899"/>
    <n v="298766.66178623697"/>
  </r>
  <r>
    <x v="0"/>
    <x v="0"/>
    <x v="0"/>
    <x v="2"/>
    <x v="3"/>
    <s v="FIN_EL"/>
    <x v="2"/>
    <x v="92"/>
    <x v="0"/>
    <x v="22"/>
    <n v="227.371888726208"/>
    <n v="82990.739385065899"/>
    <n v="298766.66178623697"/>
  </r>
  <r>
    <x v="0"/>
    <x v="0"/>
    <x v="0"/>
    <x v="2"/>
    <x v="3"/>
    <s v="FIN_EL"/>
    <x v="2"/>
    <x v="92"/>
    <x v="0"/>
    <x v="23"/>
    <n v="227.371888726208"/>
    <n v="82990.739385065899"/>
    <n v="298766.66178623697"/>
  </r>
  <r>
    <x v="0"/>
    <x v="0"/>
    <x v="0"/>
    <x v="2"/>
    <x v="3"/>
    <s v="FIN_EL"/>
    <x v="2"/>
    <x v="93"/>
    <x v="0"/>
    <x v="3"/>
    <n v="234.09090909090901"/>
    <n v="85443.181818181794"/>
    <n v="307595.454545455"/>
  </r>
  <r>
    <x v="0"/>
    <x v="0"/>
    <x v="0"/>
    <x v="2"/>
    <x v="3"/>
    <s v="FIN_EL"/>
    <x v="2"/>
    <x v="93"/>
    <x v="0"/>
    <x v="4"/>
    <n v="234.09090909090901"/>
    <n v="85443.181818181794"/>
    <n v="307595.454545455"/>
  </r>
  <r>
    <x v="0"/>
    <x v="0"/>
    <x v="0"/>
    <x v="2"/>
    <x v="3"/>
    <s v="FIN_EL"/>
    <x v="2"/>
    <x v="93"/>
    <x v="0"/>
    <x v="5"/>
    <n v="234.09090909090901"/>
    <n v="85443.181818181794"/>
    <n v="307595.454545455"/>
  </r>
  <r>
    <x v="0"/>
    <x v="0"/>
    <x v="0"/>
    <x v="2"/>
    <x v="3"/>
    <s v="FIN_EL"/>
    <x v="2"/>
    <x v="93"/>
    <x v="0"/>
    <x v="6"/>
    <n v="234.09090909090901"/>
    <n v="85443.181818181794"/>
    <n v="307595.454545455"/>
  </r>
  <r>
    <x v="0"/>
    <x v="0"/>
    <x v="0"/>
    <x v="2"/>
    <x v="3"/>
    <s v="FIN_EL"/>
    <x v="2"/>
    <x v="93"/>
    <x v="0"/>
    <x v="7"/>
    <n v="234.09090909090901"/>
    <n v="85443.181818181794"/>
    <n v="307595.454545455"/>
  </r>
  <r>
    <x v="0"/>
    <x v="0"/>
    <x v="0"/>
    <x v="2"/>
    <x v="3"/>
    <s v="FIN_EL"/>
    <x v="2"/>
    <x v="93"/>
    <x v="0"/>
    <x v="8"/>
    <n v="234.09090909090901"/>
    <n v="85443.181818181794"/>
    <n v="307595.454545455"/>
  </r>
  <r>
    <x v="0"/>
    <x v="0"/>
    <x v="0"/>
    <x v="2"/>
    <x v="3"/>
    <s v="FIN_EL"/>
    <x v="2"/>
    <x v="93"/>
    <x v="0"/>
    <x v="0"/>
    <n v="234.09090909090901"/>
    <n v="85443.181818181794"/>
    <n v="307595.454545455"/>
  </r>
  <r>
    <x v="0"/>
    <x v="0"/>
    <x v="0"/>
    <x v="2"/>
    <x v="3"/>
    <s v="FIN_EL"/>
    <x v="2"/>
    <x v="93"/>
    <x v="0"/>
    <x v="1"/>
    <n v="234.09090909090901"/>
    <n v="85443.181818181794"/>
    <n v="307595.454545455"/>
  </r>
  <r>
    <x v="0"/>
    <x v="0"/>
    <x v="0"/>
    <x v="2"/>
    <x v="3"/>
    <s v="FIN_EL"/>
    <x v="2"/>
    <x v="93"/>
    <x v="0"/>
    <x v="2"/>
    <n v="234.09090909090901"/>
    <n v="85443.181818181794"/>
    <n v="307595.454545455"/>
  </r>
  <r>
    <x v="0"/>
    <x v="0"/>
    <x v="0"/>
    <x v="2"/>
    <x v="3"/>
    <s v="FIN_EL"/>
    <x v="2"/>
    <x v="93"/>
    <x v="0"/>
    <x v="9"/>
    <n v="234.09090909090901"/>
    <n v="85443.181818181794"/>
    <n v="307595.454545455"/>
  </r>
  <r>
    <x v="0"/>
    <x v="0"/>
    <x v="0"/>
    <x v="2"/>
    <x v="3"/>
    <s v="FIN_EL"/>
    <x v="2"/>
    <x v="93"/>
    <x v="0"/>
    <x v="10"/>
    <n v="234.09090909090901"/>
    <n v="85443.181818181794"/>
    <n v="307595.454545455"/>
  </r>
  <r>
    <x v="0"/>
    <x v="0"/>
    <x v="0"/>
    <x v="2"/>
    <x v="3"/>
    <s v="FIN_EL"/>
    <x v="2"/>
    <x v="93"/>
    <x v="0"/>
    <x v="11"/>
    <n v="234.09090909090901"/>
    <n v="85443.181818181794"/>
    <n v="307595.454545455"/>
  </r>
  <r>
    <x v="0"/>
    <x v="0"/>
    <x v="0"/>
    <x v="2"/>
    <x v="3"/>
    <s v="FIN_EL"/>
    <x v="2"/>
    <x v="93"/>
    <x v="0"/>
    <x v="12"/>
    <n v="234.09090909090901"/>
    <n v="85443.181818181794"/>
    <n v="307595.454545455"/>
  </r>
  <r>
    <x v="0"/>
    <x v="0"/>
    <x v="0"/>
    <x v="2"/>
    <x v="3"/>
    <s v="FIN_EL"/>
    <x v="2"/>
    <x v="93"/>
    <x v="0"/>
    <x v="13"/>
    <n v="234.09090909090901"/>
    <n v="85443.181818181794"/>
    <n v="307595.454545455"/>
  </r>
  <r>
    <x v="0"/>
    <x v="0"/>
    <x v="0"/>
    <x v="2"/>
    <x v="3"/>
    <s v="FIN_EL"/>
    <x v="2"/>
    <x v="93"/>
    <x v="0"/>
    <x v="14"/>
    <n v="234.09090909090901"/>
    <n v="85443.181818181794"/>
    <n v="307595.454545455"/>
  </r>
  <r>
    <x v="0"/>
    <x v="0"/>
    <x v="0"/>
    <x v="2"/>
    <x v="3"/>
    <s v="FIN_EL"/>
    <x v="2"/>
    <x v="93"/>
    <x v="0"/>
    <x v="15"/>
    <n v="234.09090909090901"/>
    <n v="85443.181818181794"/>
    <n v="307595.454545455"/>
  </r>
  <r>
    <x v="0"/>
    <x v="0"/>
    <x v="0"/>
    <x v="2"/>
    <x v="3"/>
    <s v="FIN_EL"/>
    <x v="2"/>
    <x v="93"/>
    <x v="0"/>
    <x v="16"/>
    <n v="234.09090909090901"/>
    <n v="85443.181818181794"/>
    <n v="307595.454545455"/>
  </r>
  <r>
    <x v="0"/>
    <x v="0"/>
    <x v="0"/>
    <x v="2"/>
    <x v="3"/>
    <s v="FIN_EL"/>
    <x v="2"/>
    <x v="93"/>
    <x v="0"/>
    <x v="17"/>
    <n v="234.09090909090901"/>
    <n v="85443.181818181794"/>
    <n v="307595.454545455"/>
  </r>
  <r>
    <x v="0"/>
    <x v="0"/>
    <x v="0"/>
    <x v="2"/>
    <x v="3"/>
    <s v="FIN_EL"/>
    <x v="2"/>
    <x v="93"/>
    <x v="0"/>
    <x v="18"/>
    <n v="234.09090909090901"/>
    <n v="85443.181818181794"/>
    <n v="307595.454545455"/>
  </r>
  <r>
    <x v="0"/>
    <x v="0"/>
    <x v="0"/>
    <x v="2"/>
    <x v="3"/>
    <s v="FIN_EL"/>
    <x v="2"/>
    <x v="93"/>
    <x v="0"/>
    <x v="19"/>
    <n v="234.09090909090901"/>
    <n v="85443.181818181794"/>
    <n v="307595.454545455"/>
  </r>
  <r>
    <x v="0"/>
    <x v="0"/>
    <x v="0"/>
    <x v="2"/>
    <x v="3"/>
    <s v="FIN_EL"/>
    <x v="2"/>
    <x v="93"/>
    <x v="0"/>
    <x v="20"/>
    <n v="234.09090909090901"/>
    <n v="85443.181818181794"/>
    <n v="307595.454545455"/>
  </r>
  <r>
    <x v="0"/>
    <x v="0"/>
    <x v="0"/>
    <x v="2"/>
    <x v="3"/>
    <s v="FIN_EL"/>
    <x v="2"/>
    <x v="93"/>
    <x v="0"/>
    <x v="21"/>
    <n v="234.09090909090901"/>
    <n v="85443.181818181794"/>
    <n v="307595.454545455"/>
  </r>
  <r>
    <x v="0"/>
    <x v="0"/>
    <x v="0"/>
    <x v="2"/>
    <x v="3"/>
    <s v="FIN_EL"/>
    <x v="2"/>
    <x v="93"/>
    <x v="0"/>
    <x v="22"/>
    <n v="234.09090909090901"/>
    <n v="85443.181818181794"/>
    <n v="307595.454545455"/>
  </r>
  <r>
    <x v="0"/>
    <x v="0"/>
    <x v="0"/>
    <x v="2"/>
    <x v="3"/>
    <s v="FIN_EL"/>
    <x v="2"/>
    <x v="93"/>
    <x v="0"/>
    <x v="23"/>
    <n v="234.09090909090901"/>
    <n v="85443.181818181794"/>
    <n v="307595.454545455"/>
  </r>
  <r>
    <x v="0"/>
    <x v="0"/>
    <x v="0"/>
    <x v="2"/>
    <x v="3"/>
    <s v="FIN_EL"/>
    <x v="5"/>
    <x v="94"/>
    <x v="0"/>
    <x v="0"/>
    <n v="104.713018045182"/>
    <n v="38220.2515864913"/>
    <n v="137592.90571136901"/>
  </r>
  <r>
    <x v="0"/>
    <x v="0"/>
    <x v="0"/>
    <x v="2"/>
    <x v="3"/>
    <s v="FIN_EL"/>
    <x v="5"/>
    <x v="94"/>
    <x v="0"/>
    <x v="1"/>
    <n v="163.03922117159999"/>
    <n v="59509.315727633897"/>
    <n v="214233.53661948201"/>
  </r>
  <r>
    <x v="0"/>
    <x v="0"/>
    <x v="0"/>
    <x v="2"/>
    <x v="3"/>
    <s v="FIN_EL"/>
    <x v="5"/>
    <x v="94"/>
    <x v="0"/>
    <x v="2"/>
    <n v="163.03922117159999"/>
    <n v="59509.315727633897"/>
    <n v="214233.53661948201"/>
  </r>
  <r>
    <x v="0"/>
    <x v="0"/>
    <x v="0"/>
    <x v="2"/>
    <x v="3"/>
    <s v="FIN_EL"/>
    <x v="5"/>
    <x v="94"/>
    <x v="0"/>
    <x v="9"/>
    <n v="163.03922117159999"/>
    <n v="59509.315727633897"/>
    <n v="214233.53661948201"/>
  </r>
  <r>
    <x v="0"/>
    <x v="0"/>
    <x v="0"/>
    <x v="2"/>
    <x v="3"/>
    <s v="FIN_EL"/>
    <x v="5"/>
    <x v="94"/>
    <x v="0"/>
    <x v="10"/>
    <n v="163.03922117159999"/>
    <n v="59509.315727633897"/>
    <n v="214233.53661948201"/>
  </r>
  <r>
    <x v="0"/>
    <x v="0"/>
    <x v="0"/>
    <x v="2"/>
    <x v="3"/>
    <s v="FIN_EL"/>
    <x v="5"/>
    <x v="94"/>
    <x v="0"/>
    <x v="11"/>
    <n v="163.03922117159999"/>
    <n v="59509.315727633897"/>
    <n v="214233.53661948201"/>
  </r>
  <r>
    <x v="0"/>
    <x v="0"/>
    <x v="0"/>
    <x v="2"/>
    <x v="3"/>
    <s v="FIN_EL"/>
    <x v="5"/>
    <x v="94"/>
    <x v="0"/>
    <x v="12"/>
    <n v="144.213126241689"/>
    <n v="52637.7910782166"/>
    <n v="189496.04788157999"/>
  </r>
  <r>
    <x v="0"/>
    <x v="0"/>
    <x v="0"/>
    <x v="2"/>
    <x v="3"/>
    <s v="FIN_EL"/>
    <x v="5"/>
    <x v="94"/>
    <x v="0"/>
    <x v="13"/>
    <n v="139.75756856747799"/>
    <n v="51011.512527129598"/>
    <n v="183641.445097666"/>
  </r>
  <r>
    <x v="0"/>
    <x v="0"/>
    <x v="0"/>
    <x v="2"/>
    <x v="3"/>
    <s v="FIN_EL"/>
    <x v="5"/>
    <x v="94"/>
    <x v="0"/>
    <x v="14"/>
    <n v="145.629645480851"/>
    <n v="53154.820600510699"/>
    <n v="191357.35416183801"/>
  </r>
  <r>
    <x v="0"/>
    <x v="0"/>
    <x v="0"/>
    <x v="2"/>
    <x v="3"/>
    <s v="FIN_EL"/>
    <x v="5"/>
    <x v="94"/>
    <x v="0"/>
    <x v="15"/>
    <n v="163.03922117159999"/>
    <n v="59509.315727633897"/>
    <n v="214233.53661948201"/>
  </r>
  <r>
    <x v="0"/>
    <x v="0"/>
    <x v="0"/>
    <x v="2"/>
    <x v="3"/>
    <s v="FIN_EL"/>
    <x v="5"/>
    <x v="94"/>
    <x v="0"/>
    <x v="16"/>
    <n v="137.539556274934"/>
    <n v="50201.938040350899"/>
    <n v="180726.97694526301"/>
  </r>
  <r>
    <x v="0"/>
    <x v="0"/>
    <x v="0"/>
    <x v="2"/>
    <x v="3"/>
    <s v="FIN_EL"/>
    <x v="5"/>
    <x v="94"/>
    <x v="0"/>
    <x v="17"/>
    <n v="118.71584042022501"/>
    <n v="43331.281753381998"/>
    <n v="155992.61431217499"/>
  </r>
  <r>
    <x v="0"/>
    <x v="0"/>
    <x v="0"/>
    <x v="2"/>
    <x v="3"/>
    <s v="FIN_EL"/>
    <x v="5"/>
    <x v="94"/>
    <x v="0"/>
    <x v="18"/>
    <n v="122.463775222265"/>
    <n v="44699.277956126702"/>
    <n v="160917.40064205599"/>
  </r>
  <r>
    <x v="0"/>
    <x v="0"/>
    <x v="0"/>
    <x v="2"/>
    <x v="3"/>
    <s v="FIN_EL"/>
    <x v="5"/>
    <x v="94"/>
    <x v="0"/>
    <x v="19"/>
    <n v="110.880068869981"/>
    <n v="40471.225137543202"/>
    <n v="145696.41049515599"/>
  </r>
  <r>
    <x v="0"/>
    <x v="0"/>
    <x v="0"/>
    <x v="2"/>
    <x v="3"/>
    <s v="FIN_EL"/>
    <x v="10"/>
    <x v="95"/>
    <x v="0"/>
    <x v="3"/>
    <n v="352.27272727272702"/>
    <n v="128579.545454545"/>
    <n v="462886.363636364"/>
  </r>
  <r>
    <x v="0"/>
    <x v="0"/>
    <x v="0"/>
    <x v="2"/>
    <x v="3"/>
    <s v="FIN_EL"/>
    <x v="10"/>
    <x v="95"/>
    <x v="0"/>
    <x v="4"/>
    <n v="352.27272727272702"/>
    <n v="128579.545454545"/>
    <n v="462886.363636364"/>
  </r>
  <r>
    <x v="0"/>
    <x v="0"/>
    <x v="0"/>
    <x v="2"/>
    <x v="3"/>
    <s v="FIN_EL"/>
    <x v="10"/>
    <x v="95"/>
    <x v="0"/>
    <x v="5"/>
    <n v="352.27272727272702"/>
    <n v="128579.545454545"/>
    <n v="462886.363636364"/>
  </r>
  <r>
    <x v="0"/>
    <x v="0"/>
    <x v="0"/>
    <x v="2"/>
    <x v="3"/>
    <s v="FIN_EL"/>
    <x v="10"/>
    <x v="95"/>
    <x v="0"/>
    <x v="6"/>
    <n v="352.27272727272702"/>
    <n v="128579.545454545"/>
    <n v="462886.363636364"/>
  </r>
  <r>
    <x v="0"/>
    <x v="0"/>
    <x v="0"/>
    <x v="2"/>
    <x v="3"/>
    <s v="FIN_EL"/>
    <x v="10"/>
    <x v="95"/>
    <x v="0"/>
    <x v="7"/>
    <n v="352.27272727272702"/>
    <n v="128579.545454545"/>
    <n v="462886.363636364"/>
  </r>
  <r>
    <x v="0"/>
    <x v="0"/>
    <x v="0"/>
    <x v="2"/>
    <x v="3"/>
    <s v="FIN_EL"/>
    <x v="10"/>
    <x v="95"/>
    <x v="0"/>
    <x v="8"/>
    <n v="352.27272727272702"/>
    <n v="128579.545454545"/>
    <n v="462886.363636364"/>
  </r>
  <r>
    <x v="0"/>
    <x v="0"/>
    <x v="0"/>
    <x v="2"/>
    <x v="3"/>
    <s v="FIN_EL"/>
    <x v="10"/>
    <x v="95"/>
    <x v="0"/>
    <x v="0"/>
    <n v="352.27272727272702"/>
    <n v="128579.545454545"/>
    <n v="462886.363636364"/>
  </r>
  <r>
    <x v="0"/>
    <x v="0"/>
    <x v="0"/>
    <x v="2"/>
    <x v="3"/>
    <s v="FIN_EL"/>
    <x v="10"/>
    <x v="95"/>
    <x v="0"/>
    <x v="1"/>
    <n v="352.27272727272702"/>
    <n v="128579.545454545"/>
    <n v="462886.363636364"/>
  </r>
  <r>
    <x v="0"/>
    <x v="0"/>
    <x v="0"/>
    <x v="2"/>
    <x v="3"/>
    <s v="FIN_EL"/>
    <x v="10"/>
    <x v="95"/>
    <x v="0"/>
    <x v="2"/>
    <n v="352.27272727272702"/>
    <n v="128579.545454545"/>
    <n v="462886.363636364"/>
  </r>
  <r>
    <x v="0"/>
    <x v="0"/>
    <x v="0"/>
    <x v="2"/>
    <x v="3"/>
    <s v="FIN_EL"/>
    <x v="10"/>
    <x v="95"/>
    <x v="0"/>
    <x v="9"/>
    <n v="352.27272727272702"/>
    <n v="128579.545454545"/>
    <n v="462886.363636364"/>
  </r>
  <r>
    <x v="0"/>
    <x v="0"/>
    <x v="0"/>
    <x v="2"/>
    <x v="3"/>
    <s v="FIN_EL"/>
    <x v="10"/>
    <x v="95"/>
    <x v="0"/>
    <x v="10"/>
    <n v="352.27272727272702"/>
    <n v="128579.545454545"/>
    <n v="462886.363636364"/>
  </r>
  <r>
    <x v="0"/>
    <x v="0"/>
    <x v="0"/>
    <x v="2"/>
    <x v="3"/>
    <s v="FIN_EL"/>
    <x v="10"/>
    <x v="95"/>
    <x v="0"/>
    <x v="11"/>
    <n v="352.27272727272702"/>
    <n v="128579.545454545"/>
    <n v="462886.363636364"/>
  </r>
  <r>
    <x v="0"/>
    <x v="0"/>
    <x v="0"/>
    <x v="2"/>
    <x v="3"/>
    <s v="FIN_EL"/>
    <x v="10"/>
    <x v="95"/>
    <x v="0"/>
    <x v="12"/>
    <n v="352.27272727272702"/>
    <n v="128579.545454545"/>
    <n v="462886.363636364"/>
  </r>
  <r>
    <x v="0"/>
    <x v="0"/>
    <x v="0"/>
    <x v="2"/>
    <x v="3"/>
    <s v="FIN_EL"/>
    <x v="10"/>
    <x v="95"/>
    <x v="0"/>
    <x v="13"/>
    <n v="352.27272727272702"/>
    <n v="128579.545454545"/>
    <n v="462886.363636364"/>
  </r>
  <r>
    <x v="0"/>
    <x v="0"/>
    <x v="0"/>
    <x v="2"/>
    <x v="3"/>
    <s v="FIN_EL"/>
    <x v="10"/>
    <x v="95"/>
    <x v="0"/>
    <x v="14"/>
    <n v="352.27272727272702"/>
    <n v="128579.545454545"/>
    <n v="462886.363636364"/>
  </r>
  <r>
    <x v="0"/>
    <x v="0"/>
    <x v="0"/>
    <x v="2"/>
    <x v="3"/>
    <s v="FIN_EL"/>
    <x v="10"/>
    <x v="95"/>
    <x v="0"/>
    <x v="15"/>
    <n v="352.27272727272702"/>
    <n v="128579.545454545"/>
    <n v="462886.363636364"/>
  </r>
  <r>
    <x v="0"/>
    <x v="0"/>
    <x v="0"/>
    <x v="2"/>
    <x v="3"/>
    <s v="FIN_EL"/>
    <x v="10"/>
    <x v="95"/>
    <x v="0"/>
    <x v="16"/>
    <n v="352.27272727272702"/>
    <n v="128579.545454545"/>
    <n v="462886.363636364"/>
  </r>
  <r>
    <x v="0"/>
    <x v="0"/>
    <x v="0"/>
    <x v="2"/>
    <x v="3"/>
    <s v="FIN_EL"/>
    <x v="10"/>
    <x v="95"/>
    <x v="0"/>
    <x v="17"/>
    <n v="352.27272727272702"/>
    <n v="128579.545454545"/>
    <n v="462886.363636364"/>
  </r>
  <r>
    <x v="0"/>
    <x v="0"/>
    <x v="0"/>
    <x v="2"/>
    <x v="3"/>
    <s v="FIN_EL"/>
    <x v="10"/>
    <x v="95"/>
    <x v="0"/>
    <x v="18"/>
    <n v="352.27272727272702"/>
    <n v="128579.545454545"/>
    <n v="462886.363636364"/>
  </r>
  <r>
    <x v="0"/>
    <x v="0"/>
    <x v="0"/>
    <x v="2"/>
    <x v="3"/>
    <s v="FIN_EL"/>
    <x v="10"/>
    <x v="95"/>
    <x v="0"/>
    <x v="19"/>
    <n v="352.27272727272702"/>
    <n v="128579.545454545"/>
    <n v="462886.363636364"/>
  </r>
  <r>
    <x v="0"/>
    <x v="0"/>
    <x v="0"/>
    <x v="2"/>
    <x v="3"/>
    <s v="FIN_EL"/>
    <x v="10"/>
    <x v="95"/>
    <x v="0"/>
    <x v="20"/>
    <n v="352.27272727272702"/>
    <n v="128579.545454545"/>
    <n v="462886.363636364"/>
  </r>
  <r>
    <x v="0"/>
    <x v="0"/>
    <x v="0"/>
    <x v="2"/>
    <x v="3"/>
    <s v="FIN_EL"/>
    <x v="10"/>
    <x v="95"/>
    <x v="0"/>
    <x v="21"/>
    <n v="352.27272727272702"/>
    <n v="128579.545454545"/>
    <n v="462886.363636364"/>
  </r>
  <r>
    <x v="0"/>
    <x v="0"/>
    <x v="0"/>
    <x v="2"/>
    <x v="3"/>
    <s v="FIN_EL"/>
    <x v="10"/>
    <x v="95"/>
    <x v="0"/>
    <x v="22"/>
    <n v="352.27272727272702"/>
    <n v="128579.545454545"/>
    <n v="462886.363636364"/>
  </r>
  <r>
    <x v="0"/>
    <x v="0"/>
    <x v="0"/>
    <x v="2"/>
    <x v="3"/>
    <s v="FIN_EL"/>
    <x v="10"/>
    <x v="95"/>
    <x v="0"/>
    <x v="23"/>
    <n v="352.27272727272702"/>
    <n v="128579.545454545"/>
    <n v="462886.363636364"/>
  </r>
  <r>
    <x v="0"/>
    <x v="0"/>
    <x v="0"/>
    <x v="2"/>
    <x v="3"/>
    <s v="FIN_ESPOO"/>
    <x v="2"/>
    <x v="96"/>
    <x v="0"/>
    <x v="3"/>
    <n v="153.96174863388001"/>
    <n v="56196.038251366102"/>
    <n v="202305.73770491799"/>
  </r>
  <r>
    <x v="0"/>
    <x v="0"/>
    <x v="0"/>
    <x v="2"/>
    <x v="3"/>
    <s v="FIN_ESPOO"/>
    <x v="2"/>
    <x v="96"/>
    <x v="0"/>
    <x v="4"/>
    <n v="153.96174863388001"/>
    <n v="56196.038251366102"/>
    <n v="202305.73770491799"/>
  </r>
  <r>
    <x v="0"/>
    <x v="0"/>
    <x v="0"/>
    <x v="2"/>
    <x v="3"/>
    <s v="FIN_ESPOO"/>
    <x v="2"/>
    <x v="96"/>
    <x v="0"/>
    <x v="5"/>
    <n v="153.96174863388001"/>
    <n v="56196.038251366102"/>
    <n v="202305.73770491799"/>
  </r>
  <r>
    <x v="0"/>
    <x v="0"/>
    <x v="0"/>
    <x v="2"/>
    <x v="3"/>
    <s v="FIN_ESPOO"/>
    <x v="2"/>
    <x v="96"/>
    <x v="0"/>
    <x v="6"/>
    <n v="153.96174863388001"/>
    <n v="56196.038251366102"/>
    <n v="202305.73770491799"/>
  </r>
  <r>
    <x v="0"/>
    <x v="0"/>
    <x v="0"/>
    <x v="2"/>
    <x v="3"/>
    <s v="FIN_ESPOO"/>
    <x v="2"/>
    <x v="96"/>
    <x v="0"/>
    <x v="7"/>
    <n v="153.96174863388001"/>
    <n v="56196.038251366102"/>
    <n v="202305.73770491799"/>
  </r>
  <r>
    <x v="0"/>
    <x v="0"/>
    <x v="0"/>
    <x v="2"/>
    <x v="3"/>
    <s v="FIN_ESPOO"/>
    <x v="2"/>
    <x v="96"/>
    <x v="0"/>
    <x v="8"/>
    <n v="153.96174863388001"/>
    <n v="56196.038251366102"/>
    <n v="202305.73770491799"/>
  </r>
  <r>
    <x v="0"/>
    <x v="0"/>
    <x v="0"/>
    <x v="2"/>
    <x v="3"/>
    <s v="FIN_ESPOO"/>
    <x v="2"/>
    <x v="96"/>
    <x v="0"/>
    <x v="0"/>
    <n v="153.96174863388001"/>
    <n v="56196.038251366102"/>
    <n v="202305.73770491799"/>
  </r>
  <r>
    <x v="0"/>
    <x v="0"/>
    <x v="0"/>
    <x v="2"/>
    <x v="3"/>
    <s v="FIN_ESPOO"/>
    <x v="2"/>
    <x v="96"/>
    <x v="0"/>
    <x v="1"/>
    <n v="153.96174863388001"/>
    <n v="56196.038251366102"/>
    <n v="202305.73770491799"/>
  </r>
  <r>
    <x v="0"/>
    <x v="0"/>
    <x v="0"/>
    <x v="2"/>
    <x v="3"/>
    <s v="FIN_ESPOO"/>
    <x v="2"/>
    <x v="96"/>
    <x v="0"/>
    <x v="2"/>
    <n v="153.96174863388001"/>
    <n v="56196.038251366102"/>
    <n v="202305.73770491799"/>
  </r>
  <r>
    <x v="0"/>
    <x v="0"/>
    <x v="0"/>
    <x v="2"/>
    <x v="3"/>
    <s v="FIN_ESPOO"/>
    <x v="2"/>
    <x v="96"/>
    <x v="0"/>
    <x v="9"/>
    <n v="153.96174863388001"/>
    <n v="56196.038251366102"/>
    <n v="202305.73770491799"/>
  </r>
  <r>
    <x v="0"/>
    <x v="0"/>
    <x v="0"/>
    <x v="2"/>
    <x v="3"/>
    <s v="FIN_ESPOO"/>
    <x v="2"/>
    <x v="96"/>
    <x v="0"/>
    <x v="10"/>
    <n v="153.96174863388001"/>
    <n v="56196.038251366102"/>
    <n v="202305.73770491799"/>
  </r>
  <r>
    <x v="0"/>
    <x v="0"/>
    <x v="0"/>
    <x v="2"/>
    <x v="3"/>
    <s v="FIN_ESPOO"/>
    <x v="2"/>
    <x v="96"/>
    <x v="0"/>
    <x v="11"/>
    <n v="153.96174863388001"/>
    <n v="56196.038251366102"/>
    <n v="202305.73770491799"/>
  </r>
  <r>
    <x v="0"/>
    <x v="0"/>
    <x v="0"/>
    <x v="2"/>
    <x v="3"/>
    <s v="FIN_ESPOO"/>
    <x v="2"/>
    <x v="96"/>
    <x v="0"/>
    <x v="12"/>
    <n v="153.96174863388001"/>
    <n v="56196.038251366102"/>
    <n v="202305.73770491799"/>
  </r>
  <r>
    <x v="0"/>
    <x v="0"/>
    <x v="0"/>
    <x v="2"/>
    <x v="3"/>
    <s v="FIN_ESPOO"/>
    <x v="2"/>
    <x v="96"/>
    <x v="0"/>
    <x v="13"/>
    <n v="153.96174863388001"/>
    <n v="56196.038251366102"/>
    <n v="202305.73770491799"/>
  </r>
  <r>
    <x v="0"/>
    <x v="0"/>
    <x v="0"/>
    <x v="2"/>
    <x v="3"/>
    <s v="FIN_ESPOO"/>
    <x v="2"/>
    <x v="96"/>
    <x v="0"/>
    <x v="14"/>
    <n v="153.96174863388001"/>
    <n v="56196.038251366102"/>
    <n v="202305.73770491799"/>
  </r>
  <r>
    <x v="0"/>
    <x v="0"/>
    <x v="0"/>
    <x v="2"/>
    <x v="3"/>
    <s v="FIN_ESPOO"/>
    <x v="2"/>
    <x v="96"/>
    <x v="0"/>
    <x v="15"/>
    <n v="153.96174863388001"/>
    <n v="56196.038251366102"/>
    <n v="202305.73770491799"/>
  </r>
  <r>
    <x v="0"/>
    <x v="0"/>
    <x v="0"/>
    <x v="2"/>
    <x v="3"/>
    <s v="FIN_ESPOO"/>
    <x v="2"/>
    <x v="96"/>
    <x v="0"/>
    <x v="16"/>
    <n v="153.96174863388001"/>
    <n v="56196.038251366102"/>
    <n v="202305.73770491799"/>
  </r>
  <r>
    <x v="0"/>
    <x v="0"/>
    <x v="0"/>
    <x v="2"/>
    <x v="3"/>
    <s v="FIN_ESPOO"/>
    <x v="2"/>
    <x v="96"/>
    <x v="0"/>
    <x v="17"/>
    <n v="153.96174863388001"/>
    <n v="56196.038251366102"/>
    <n v="202305.73770491799"/>
  </r>
  <r>
    <x v="0"/>
    <x v="0"/>
    <x v="0"/>
    <x v="2"/>
    <x v="3"/>
    <s v="FIN_ESPOO"/>
    <x v="2"/>
    <x v="96"/>
    <x v="0"/>
    <x v="18"/>
    <n v="153.96174863388001"/>
    <n v="56196.038251366102"/>
    <n v="202305.73770491799"/>
  </r>
  <r>
    <x v="0"/>
    <x v="0"/>
    <x v="0"/>
    <x v="2"/>
    <x v="3"/>
    <s v="FIN_ESPOO"/>
    <x v="2"/>
    <x v="96"/>
    <x v="0"/>
    <x v="19"/>
    <n v="153.96174863388001"/>
    <n v="56196.038251366102"/>
    <n v="202305.73770491799"/>
  </r>
  <r>
    <x v="0"/>
    <x v="0"/>
    <x v="0"/>
    <x v="2"/>
    <x v="3"/>
    <s v="FIN_ESPOO"/>
    <x v="2"/>
    <x v="96"/>
    <x v="0"/>
    <x v="20"/>
    <n v="153.96174863388001"/>
    <n v="56196.038251366102"/>
    <n v="202305.73770491799"/>
  </r>
  <r>
    <x v="0"/>
    <x v="0"/>
    <x v="0"/>
    <x v="2"/>
    <x v="3"/>
    <s v="FIN_ESPOO"/>
    <x v="2"/>
    <x v="96"/>
    <x v="0"/>
    <x v="21"/>
    <n v="153.96174863388001"/>
    <n v="56196.038251366102"/>
    <n v="202305.73770491799"/>
  </r>
  <r>
    <x v="0"/>
    <x v="0"/>
    <x v="0"/>
    <x v="2"/>
    <x v="3"/>
    <s v="FIN_ESPOO"/>
    <x v="2"/>
    <x v="96"/>
    <x v="0"/>
    <x v="22"/>
    <n v="153.96174863388001"/>
    <n v="56196.038251366102"/>
    <n v="202305.73770491799"/>
  </r>
  <r>
    <x v="0"/>
    <x v="0"/>
    <x v="0"/>
    <x v="2"/>
    <x v="3"/>
    <s v="FIN_ESPOO"/>
    <x v="2"/>
    <x v="96"/>
    <x v="0"/>
    <x v="23"/>
    <n v="153.96174863388001"/>
    <n v="56196.038251366102"/>
    <n v="202305.73770491799"/>
  </r>
  <r>
    <x v="0"/>
    <x v="0"/>
    <x v="0"/>
    <x v="2"/>
    <x v="3"/>
    <s v="FIN_ESPOO"/>
    <x v="2"/>
    <x v="97"/>
    <x v="0"/>
    <x v="3"/>
    <n v="509.09090909090997"/>
    <n v="185818.181818182"/>
    <n v="668945.45454545598"/>
  </r>
  <r>
    <x v="0"/>
    <x v="0"/>
    <x v="0"/>
    <x v="2"/>
    <x v="3"/>
    <s v="FIN_ESPOO"/>
    <x v="2"/>
    <x v="97"/>
    <x v="0"/>
    <x v="4"/>
    <n v="509.09090909090997"/>
    <n v="185818.181818182"/>
    <n v="668945.45454545598"/>
  </r>
  <r>
    <x v="0"/>
    <x v="0"/>
    <x v="0"/>
    <x v="2"/>
    <x v="3"/>
    <s v="FIN_ESPOO"/>
    <x v="2"/>
    <x v="97"/>
    <x v="0"/>
    <x v="5"/>
    <n v="509.09090909090997"/>
    <n v="185818.181818182"/>
    <n v="668945.45454545598"/>
  </r>
  <r>
    <x v="0"/>
    <x v="0"/>
    <x v="0"/>
    <x v="2"/>
    <x v="3"/>
    <s v="FIN_ESPOO"/>
    <x v="2"/>
    <x v="97"/>
    <x v="0"/>
    <x v="6"/>
    <n v="509.09090909090997"/>
    <n v="185818.181818182"/>
    <n v="668945.45454545598"/>
  </r>
  <r>
    <x v="0"/>
    <x v="0"/>
    <x v="0"/>
    <x v="2"/>
    <x v="3"/>
    <s v="FIN_ESPOO"/>
    <x v="2"/>
    <x v="97"/>
    <x v="0"/>
    <x v="7"/>
    <n v="509.09090909090997"/>
    <n v="185818.181818182"/>
    <n v="668945.45454545598"/>
  </r>
  <r>
    <x v="0"/>
    <x v="0"/>
    <x v="0"/>
    <x v="2"/>
    <x v="3"/>
    <s v="FIN_ESPOO"/>
    <x v="2"/>
    <x v="97"/>
    <x v="0"/>
    <x v="8"/>
    <n v="509.09090909090997"/>
    <n v="185818.181818182"/>
    <n v="668945.45454545598"/>
  </r>
  <r>
    <x v="0"/>
    <x v="0"/>
    <x v="0"/>
    <x v="2"/>
    <x v="3"/>
    <s v="FIN_ESPOO"/>
    <x v="2"/>
    <x v="97"/>
    <x v="0"/>
    <x v="0"/>
    <n v="509.09090909090997"/>
    <n v="185818.181818182"/>
    <n v="668945.45454545598"/>
  </r>
  <r>
    <x v="0"/>
    <x v="0"/>
    <x v="0"/>
    <x v="2"/>
    <x v="3"/>
    <s v="FIN_ESPOO"/>
    <x v="2"/>
    <x v="97"/>
    <x v="0"/>
    <x v="1"/>
    <n v="509.09090909090997"/>
    <n v="185818.181818182"/>
    <n v="668945.45454545598"/>
  </r>
  <r>
    <x v="0"/>
    <x v="0"/>
    <x v="0"/>
    <x v="2"/>
    <x v="3"/>
    <s v="FIN_ESPOO"/>
    <x v="2"/>
    <x v="97"/>
    <x v="0"/>
    <x v="2"/>
    <n v="509.09090909090997"/>
    <n v="185818.181818182"/>
    <n v="668945.45454545598"/>
  </r>
  <r>
    <x v="0"/>
    <x v="0"/>
    <x v="0"/>
    <x v="2"/>
    <x v="3"/>
    <s v="FIN_ESPOO"/>
    <x v="2"/>
    <x v="97"/>
    <x v="0"/>
    <x v="9"/>
    <n v="509.09090909090997"/>
    <n v="185818.181818182"/>
    <n v="668945.45454545598"/>
  </r>
  <r>
    <x v="0"/>
    <x v="0"/>
    <x v="0"/>
    <x v="2"/>
    <x v="3"/>
    <s v="FIN_ESPOO"/>
    <x v="2"/>
    <x v="97"/>
    <x v="0"/>
    <x v="10"/>
    <n v="509.09090909090997"/>
    <n v="185818.181818182"/>
    <n v="668945.45454545598"/>
  </r>
  <r>
    <x v="0"/>
    <x v="0"/>
    <x v="0"/>
    <x v="2"/>
    <x v="3"/>
    <s v="FIN_ESPOO"/>
    <x v="2"/>
    <x v="97"/>
    <x v="0"/>
    <x v="11"/>
    <n v="509.09090909090997"/>
    <n v="185818.181818182"/>
    <n v="668945.45454545598"/>
  </r>
  <r>
    <x v="0"/>
    <x v="0"/>
    <x v="0"/>
    <x v="2"/>
    <x v="3"/>
    <s v="FIN_ESPOO"/>
    <x v="2"/>
    <x v="97"/>
    <x v="0"/>
    <x v="12"/>
    <n v="509.09090909090997"/>
    <n v="185818.181818182"/>
    <n v="668945.45454545598"/>
  </r>
  <r>
    <x v="0"/>
    <x v="0"/>
    <x v="0"/>
    <x v="2"/>
    <x v="3"/>
    <s v="FIN_ESPOO"/>
    <x v="2"/>
    <x v="97"/>
    <x v="0"/>
    <x v="13"/>
    <n v="509.09090909090997"/>
    <n v="185818.181818182"/>
    <n v="668945.45454545598"/>
  </r>
  <r>
    <x v="0"/>
    <x v="0"/>
    <x v="0"/>
    <x v="2"/>
    <x v="3"/>
    <s v="FIN_ESPOO"/>
    <x v="2"/>
    <x v="97"/>
    <x v="0"/>
    <x v="14"/>
    <n v="509.09090909090997"/>
    <n v="185818.181818182"/>
    <n v="668945.45454545598"/>
  </r>
  <r>
    <x v="0"/>
    <x v="0"/>
    <x v="0"/>
    <x v="2"/>
    <x v="3"/>
    <s v="FIN_ESPOO"/>
    <x v="2"/>
    <x v="97"/>
    <x v="0"/>
    <x v="15"/>
    <n v="509.09090909090997"/>
    <n v="185818.181818182"/>
    <n v="668945.45454545598"/>
  </r>
  <r>
    <x v="0"/>
    <x v="0"/>
    <x v="0"/>
    <x v="2"/>
    <x v="3"/>
    <s v="FIN_ESPOO"/>
    <x v="2"/>
    <x v="97"/>
    <x v="0"/>
    <x v="16"/>
    <n v="509.09090909090997"/>
    <n v="185818.181818182"/>
    <n v="668945.45454545598"/>
  </r>
  <r>
    <x v="0"/>
    <x v="0"/>
    <x v="0"/>
    <x v="2"/>
    <x v="3"/>
    <s v="FIN_ESPOO"/>
    <x v="2"/>
    <x v="97"/>
    <x v="0"/>
    <x v="17"/>
    <n v="509.09090909090997"/>
    <n v="185818.181818182"/>
    <n v="668945.45454545598"/>
  </r>
  <r>
    <x v="0"/>
    <x v="0"/>
    <x v="0"/>
    <x v="2"/>
    <x v="3"/>
    <s v="FIN_ESPOO"/>
    <x v="2"/>
    <x v="97"/>
    <x v="0"/>
    <x v="18"/>
    <n v="509.09090909090997"/>
    <n v="185818.181818182"/>
    <n v="668945.45454545598"/>
  </r>
  <r>
    <x v="0"/>
    <x v="0"/>
    <x v="0"/>
    <x v="2"/>
    <x v="3"/>
    <s v="FIN_ESPOO"/>
    <x v="2"/>
    <x v="97"/>
    <x v="0"/>
    <x v="19"/>
    <n v="509.09090909090997"/>
    <n v="185818.181818182"/>
    <n v="668945.45454545598"/>
  </r>
  <r>
    <x v="0"/>
    <x v="0"/>
    <x v="0"/>
    <x v="2"/>
    <x v="3"/>
    <s v="FIN_ESPOO"/>
    <x v="2"/>
    <x v="97"/>
    <x v="0"/>
    <x v="20"/>
    <n v="509.09090909090997"/>
    <n v="185818.181818182"/>
    <n v="668945.45454545598"/>
  </r>
  <r>
    <x v="0"/>
    <x v="0"/>
    <x v="0"/>
    <x v="2"/>
    <x v="3"/>
    <s v="FIN_ESPOO"/>
    <x v="2"/>
    <x v="97"/>
    <x v="0"/>
    <x v="21"/>
    <n v="509.09090909090997"/>
    <n v="185818.181818182"/>
    <n v="668945.45454545598"/>
  </r>
  <r>
    <x v="0"/>
    <x v="0"/>
    <x v="0"/>
    <x v="2"/>
    <x v="3"/>
    <s v="FIN_ESPOO"/>
    <x v="2"/>
    <x v="97"/>
    <x v="0"/>
    <x v="22"/>
    <n v="509.09090909090997"/>
    <n v="185818.181818182"/>
    <n v="668945.45454545598"/>
  </r>
  <r>
    <x v="0"/>
    <x v="0"/>
    <x v="0"/>
    <x v="2"/>
    <x v="3"/>
    <s v="FIN_ESPOO"/>
    <x v="2"/>
    <x v="97"/>
    <x v="0"/>
    <x v="23"/>
    <n v="509.09090909090997"/>
    <n v="185818.181818182"/>
    <n v="668945.45454545598"/>
  </r>
  <r>
    <x v="0"/>
    <x v="0"/>
    <x v="0"/>
    <x v="2"/>
    <x v="3"/>
    <s v="FIN_ESPOO"/>
    <x v="2"/>
    <x v="98"/>
    <x v="0"/>
    <x v="8"/>
    <n v="22.8630981548988"/>
    <n v="8345.0308265380609"/>
    <n v="30042.110975537002"/>
  </r>
  <r>
    <x v="0"/>
    <x v="0"/>
    <x v="0"/>
    <x v="2"/>
    <x v="3"/>
    <s v="FIN_ESPOO"/>
    <x v="2"/>
    <x v="98"/>
    <x v="0"/>
    <x v="0"/>
    <n v="61.761993035078397"/>
    <n v="22543.127457803599"/>
    <n v="81155.258848093101"/>
  </r>
  <r>
    <x v="0"/>
    <x v="0"/>
    <x v="0"/>
    <x v="2"/>
    <x v="3"/>
    <s v="FIN_ESPOO"/>
    <x v="2"/>
    <x v="98"/>
    <x v="0"/>
    <x v="1"/>
    <n v="92.312816487135294"/>
    <n v="33694.178017804399"/>
    <n v="121299.04086409599"/>
  </r>
  <r>
    <x v="0"/>
    <x v="0"/>
    <x v="0"/>
    <x v="2"/>
    <x v="3"/>
    <s v="FIN_ESPOO"/>
    <x v="2"/>
    <x v="98"/>
    <x v="0"/>
    <x v="2"/>
    <n v="89.820202599752307"/>
    <n v="32784.373948909597"/>
    <n v="118023.746216075"/>
  </r>
  <r>
    <x v="0"/>
    <x v="0"/>
    <x v="0"/>
    <x v="2"/>
    <x v="3"/>
    <s v="FIN_ESPOO"/>
    <x v="2"/>
    <x v="98"/>
    <x v="0"/>
    <x v="9"/>
    <n v="103.823852771652"/>
    <n v="37895.7062616529"/>
    <n v="136424.54254195001"/>
  </r>
  <r>
    <x v="0"/>
    <x v="0"/>
    <x v="0"/>
    <x v="2"/>
    <x v="3"/>
    <s v="FIN_ESPOO"/>
    <x v="2"/>
    <x v="98"/>
    <x v="0"/>
    <x v="10"/>
    <n v="65.761013598996897"/>
    <n v="24002.769963633898"/>
    <n v="86409.971869082001"/>
  </r>
  <r>
    <x v="0"/>
    <x v="0"/>
    <x v="0"/>
    <x v="2"/>
    <x v="3"/>
    <s v="FIN_ESPOO"/>
    <x v="2"/>
    <x v="98"/>
    <x v="0"/>
    <x v="11"/>
    <n v="53.141539933932002"/>
    <n v="19396.6620758852"/>
    <n v="69827.983473186701"/>
  </r>
  <r>
    <x v="0"/>
    <x v="0"/>
    <x v="0"/>
    <x v="2"/>
    <x v="3"/>
    <s v="FIN_ESPOO"/>
    <x v="2"/>
    <x v="98"/>
    <x v="0"/>
    <x v="12"/>
    <n v="67.168311157487693"/>
    <n v="24516.433572483002"/>
    <n v="88259.160860938893"/>
  </r>
  <r>
    <x v="0"/>
    <x v="0"/>
    <x v="0"/>
    <x v="2"/>
    <x v="3"/>
    <s v="FIN_ESPOO"/>
    <x v="2"/>
    <x v="98"/>
    <x v="0"/>
    <x v="13"/>
    <n v="15.129611329445099"/>
    <n v="5522.3081352474601"/>
    <n v="19880.309286890901"/>
  </r>
  <r>
    <x v="0"/>
    <x v="0"/>
    <x v="0"/>
    <x v="2"/>
    <x v="3"/>
    <s v="FIN_ESPOO"/>
    <x v="2"/>
    <x v="98"/>
    <x v="0"/>
    <x v="14"/>
    <n v="38.566893194677199"/>
    <n v="14076.916016057199"/>
    <n v="50676.897657805901"/>
  </r>
  <r>
    <x v="0"/>
    <x v="0"/>
    <x v="0"/>
    <x v="2"/>
    <x v="3"/>
    <s v="FIN_ESPOO"/>
    <x v="2"/>
    <x v="98"/>
    <x v="0"/>
    <x v="15"/>
    <n v="41.511514349883903"/>
    <n v="15151.702737707599"/>
    <n v="54546.129855747502"/>
  </r>
  <r>
    <x v="0"/>
    <x v="0"/>
    <x v="0"/>
    <x v="2"/>
    <x v="3"/>
    <s v="FIN_ESPOO"/>
    <x v="2"/>
    <x v="98"/>
    <x v="0"/>
    <x v="17"/>
    <n v="47.229357440386302"/>
    <n v="17238.715465740999"/>
    <n v="62059.375676667602"/>
  </r>
  <r>
    <x v="0"/>
    <x v="0"/>
    <x v="0"/>
    <x v="2"/>
    <x v="3"/>
    <s v="FIN_ESPOO"/>
    <x v="2"/>
    <x v="98"/>
    <x v="0"/>
    <x v="18"/>
    <n v="42.779041077954602"/>
    <n v="15614.349993453399"/>
    <n v="56211.659976432296"/>
  </r>
  <r>
    <x v="0"/>
    <x v="0"/>
    <x v="0"/>
    <x v="2"/>
    <x v="3"/>
    <s v="FIN_ESPOO"/>
    <x v="2"/>
    <x v="98"/>
    <x v="0"/>
    <x v="19"/>
    <n v="36.6100292472672"/>
    <n v="13362.6606752525"/>
    <n v="48105.578430909198"/>
  </r>
  <r>
    <x v="0"/>
    <x v="0"/>
    <x v="0"/>
    <x v="2"/>
    <x v="3"/>
    <s v="FIN_ESPOO"/>
    <x v="2"/>
    <x v="98"/>
    <x v="0"/>
    <x v="20"/>
    <n v="28.8917653318126"/>
    <n v="10545.4943461116"/>
    <n v="37963.7796460018"/>
  </r>
  <r>
    <x v="0"/>
    <x v="0"/>
    <x v="0"/>
    <x v="2"/>
    <x v="3"/>
    <s v="FIN_ESPOO"/>
    <x v="2"/>
    <x v="98"/>
    <x v="0"/>
    <x v="22"/>
    <n v="3.1709094377541001"/>
    <n v="1157.38194478025"/>
    <n v="4166.5750012088902"/>
  </r>
  <r>
    <x v="0"/>
    <x v="0"/>
    <x v="0"/>
    <x v="2"/>
    <x v="3"/>
    <s v="FIN_ESPOO"/>
    <x v="16"/>
    <x v="99"/>
    <x v="0"/>
    <x v="0"/>
    <n v="23.529411764705898"/>
    <n v="8588.2352941176505"/>
    <n v="30917.647058823499"/>
  </r>
  <r>
    <x v="0"/>
    <x v="0"/>
    <x v="0"/>
    <x v="2"/>
    <x v="3"/>
    <s v="FIN_ESPOO"/>
    <x v="16"/>
    <x v="99"/>
    <x v="0"/>
    <x v="1"/>
    <n v="23.529411764705898"/>
    <n v="8588.2352941176505"/>
    <n v="30917.647058823499"/>
  </r>
  <r>
    <x v="0"/>
    <x v="0"/>
    <x v="0"/>
    <x v="2"/>
    <x v="3"/>
    <s v="FIN_ESPOO"/>
    <x v="16"/>
    <x v="99"/>
    <x v="0"/>
    <x v="2"/>
    <n v="23.529411764705898"/>
    <n v="8588.2352941176505"/>
    <n v="30917.647058823499"/>
  </r>
  <r>
    <x v="0"/>
    <x v="0"/>
    <x v="0"/>
    <x v="2"/>
    <x v="3"/>
    <s v="FIN_ESPOO"/>
    <x v="16"/>
    <x v="99"/>
    <x v="0"/>
    <x v="10"/>
    <n v="23.529411764705898"/>
    <n v="8588.2352941176505"/>
    <n v="30917.647058823499"/>
  </r>
  <r>
    <x v="0"/>
    <x v="0"/>
    <x v="0"/>
    <x v="2"/>
    <x v="3"/>
    <s v="FIN_ESPOO"/>
    <x v="16"/>
    <x v="99"/>
    <x v="0"/>
    <x v="11"/>
    <n v="23.529411764705898"/>
    <n v="8588.2352941176505"/>
    <n v="30917.647058823499"/>
  </r>
  <r>
    <x v="0"/>
    <x v="0"/>
    <x v="0"/>
    <x v="2"/>
    <x v="3"/>
    <s v="FIN_ESPOO"/>
    <x v="16"/>
    <x v="99"/>
    <x v="0"/>
    <x v="13"/>
    <n v="23.529411764705898"/>
    <n v="8588.2352941176505"/>
    <n v="30917.647058823499"/>
  </r>
  <r>
    <x v="0"/>
    <x v="0"/>
    <x v="0"/>
    <x v="2"/>
    <x v="3"/>
    <s v="FIN_ESPOO"/>
    <x v="16"/>
    <x v="99"/>
    <x v="0"/>
    <x v="14"/>
    <n v="23.529411764705898"/>
    <n v="8588.2352941176505"/>
    <n v="30917.647058823499"/>
  </r>
  <r>
    <x v="0"/>
    <x v="0"/>
    <x v="0"/>
    <x v="2"/>
    <x v="3"/>
    <s v="FIN_ESPOO"/>
    <x v="16"/>
    <x v="99"/>
    <x v="0"/>
    <x v="15"/>
    <n v="23.529411764705898"/>
    <n v="8588.2352941176505"/>
    <n v="30917.647058823499"/>
  </r>
  <r>
    <x v="0"/>
    <x v="0"/>
    <x v="0"/>
    <x v="2"/>
    <x v="3"/>
    <s v="FIN_ESPOO"/>
    <x v="16"/>
    <x v="99"/>
    <x v="0"/>
    <x v="21"/>
    <n v="18.481382984800199"/>
    <n v="6745.7047894520701"/>
    <n v="24284.537242027502"/>
  </r>
  <r>
    <x v="0"/>
    <x v="0"/>
    <x v="0"/>
    <x v="2"/>
    <x v="3"/>
    <s v="FIN_GAS"/>
    <x v="2"/>
    <x v="100"/>
    <x v="0"/>
    <x v="3"/>
    <n v="193.54631217838801"/>
    <n v="70644.403945111495"/>
    <n v="254319.85420240101"/>
  </r>
  <r>
    <x v="0"/>
    <x v="0"/>
    <x v="0"/>
    <x v="2"/>
    <x v="3"/>
    <s v="FIN_GAS"/>
    <x v="2"/>
    <x v="100"/>
    <x v="0"/>
    <x v="4"/>
    <n v="193.54631217838801"/>
    <n v="70644.403945111495"/>
    <n v="254319.85420240101"/>
  </r>
  <r>
    <x v="0"/>
    <x v="0"/>
    <x v="0"/>
    <x v="2"/>
    <x v="3"/>
    <s v="FIN_GAS"/>
    <x v="2"/>
    <x v="100"/>
    <x v="0"/>
    <x v="5"/>
    <n v="193.54631217838801"/>
    <n v="70644.403945111495"/>
    <n v="254319.85420240101"/>
  </r>
  <r>
    <x v="0"/>
    <x v="0"/>
    <x v="0"/>
    <x v="2"/>
    <x v="3"/>
    <s v="FIN_GAS"/>
    <x v="2"/>
    <x v="100"/>
    <x v="0"/>
    <x v="6"/>
    <n v="193.54631217838801"/>
    <n v="70644.403945111495"/>
    <n v="254319.85420240101"/>
  </r>
  <r>
    <x v="0"/>
    <x v="0"/>
    <x v="0"/>
    <x v="2"/>
    <x v="3"/>
    <s v="FIN_GAS"/>
    <x v="2"/>
    <x v="100"/>
    <x v="0"/>
    <x v="7"/>
    <n v="193.54631217838801"/>
    <n v="70644.403945111495"/>
    <n v="254319.85420240101"/>
  </r>
  <r>
    <x v="0"/>
    <x v="0"/>
    <x v="0"/>
    <x v="2"/>
    <x v="3"/>
    <s v="FIN_GAS"/>
    <x v="2"/>
    <x v="100"/>
    <x v="0"/>
    <x v="8"/>
    <n v="193.54631217838801"/>
    <n v="70644.403945111495"/>
    <n v="254319.85420240101"/>
  </r>
  <r>
    <x v="0"/>
    <x v="0"/>
    <x v="0"/>
    <x v="2"/>
    <x v="3"/>
    <s v="FIN_GAS"/>
    <x v="2"/>
    <x v="100"/>
    <x v="0"/>
    <x v="0"/>
    <n v="193.54631217838801"/>
    <n v="70644.403945111495"/>
    <n v="254319.85420240101"/>
  </r>
  <r>
    <x v="0"/>
    <x v="0"/>
    <x v="0"/>
    <x v="2"/>
    <x v="3"/>
    <s v="FIN_GAS"/>
    <x v="2"/>
    <x v="100"/>
    <x v="0"/>
    <x v="1"/>
    <n v="193.54631217838801"/>
    <n v="70644.403945111495"/>
    <n v="254319.85420240101"/>
  </r>
  <r>
    <x v="0"/>
    <x v="0"/>
    <x v="0"/>
    <x v="2"/>
    <x v="3"/>
    <s v="FIN_GAS"/>
    <x v="2"/>
    <x v="100"/>
    <x v="0"/>
    <x v="2"/>
    <n v="193.54631217838801"/>
    <n v="70644.403945111495"/>
    <n v="254319.85420240101"/>
  </r>
  <r>
    <x v="0"/>
    <x v="0"/>
    <x v="0"/>
    <x v="2"/>
    <x v="3"/>
    <s v="FIN_GAS"/>
    <x v="2"/>
    <x v="100"/>
    <x v="0"/>
    <x v="9"/>
    <n v="193.54631217838801"/>
    <n v="70644.403945111495"/>
    <n v="254319.85420240101"/>
  </r>
  <r>
    <x v="0"/>
    <x v="0"/>
    <x v="0"/>
    <x v="2"/>
    <x v="3"/>
    <s v="FIN_GAS"/>
    <x v="2"/>
    <x v="100"/>
    <x v="0"/>
    <x v="10"/>
    <n v="193.54631217838801"/>
    <n v="70644.403945111495"/>
    <n v="254319.85420240101"/>
  </r>
  <r>
    <x v="0"/>
    <x v="0"/>
    <x v="0"/>
    <x v="2"/>
    <x v="3"/>
    <s v="FIN_GAS"/>
    <x v="2"/>
    <x v="100"/>
    <x v="0"/>
    <x v="11"/>
    <n v="193.54631217838801"/>
    <n v="70644.403945111495"/>
    <n v="254319.85420240101"/>
  </r>
  <r>
    <x v="0"/>
    <x v="0"/>
    <x v="0"/>
    <x v="2"/>
    <x v="3"/>
    <s v="FIN_GAS"/>
    <x v="2"/>
    <x v="100"/>
    <x v="0"/>
    <x v="12"/>
    <n v="193.54631217838801"/>
    <n v="70644.403945111495"/>
    <n v="254319.85420240101"/>
  </r>
  <r>
    <x v="0"/>
    <x v="0"/>
    <x v="0"/>
    <x v="2"/>
    <x v="3"/>
    <s v="FIN_GAS"/>
    <x v="2"/>
    <x v="100"/>
    <x v="0"/>
    <x v="13"/>
    <n v="193.54631217838801"/>
    <n v="70644.403945111495"/>
    <n v="254319.85420240101"/>
  </r>
  <r>
    <x v="0"/>
    <x v="0"/>
    <x v="0"/>
    <x v="2"/>
    <x v="3"/>
    <s v="FIN_GAS"/>
    <x v="2"/>
    <x v="100"/>
    <x v="0"/>
    <x v="14"/>
    <n v="193.54631217838801"/>
    <n v="70644.403945111495"/>
    <n v="254319.85420240101"/>
  </r>
  <r>
    <x v="0"/>
    <x v="0"/>
    <x v="0"/>
    <x v="2"/>
    <x v="3"/>
    <s v="FIN_GAS"/>
    <x v="2"/>
    <x v="100"/>
    <x v="0"/>
    <x v="15"/>
    <n v="193.54631217838801"/>
    <n v="70644.403945111495"/>
    <n v="254319.85420240101"/>
  </r>
  <r>
    <x v="0"/>
    <x v="0"/>
    <x v="0"/>
    <x v="2"/>
    <x v="3"/>
    <s v="FIN_GAS"/>
    <x v="2"/>
    <x v="100"/>
    <x v="0"/>
    <x v="16"/>
    <n v="193.54631217838801"/>
    <n v="70644.403945111495"/>
    <n v="254319.85420240101"/>
  </r>
  <r>
    <x v="0"/>
    <x v="0"/>
    <x v="0"/>
    <x v="2"/>
    <x v="3"/>
    <s v="FIN_GAS"/>
    <x v="2"/>
    <x v="100"/>
    <x v="0"/>
    <x v="17"/>
    <n v="193.54631217838801"/>
    <n v="70644.403945111495"/>
    <n v="254319.85420240101"/>
  </r>
  <r>
    <x v="0"/>
    <x v="0"/>
    <x v="0"/>
    <x v="2"/>
    <x v="3"/>
    <s v="FIN_GAS"/>
    <x v="2"/>
    <x v="100"/>
    <x v="0"/>
    <x v="18"/>
    <n v="193.54631217838801"/>
    <n v="70644.403945111495"/>
    <n v="254319.85420240101"/>
  </r>
  <r>
    <x v="0"/>
    <x v="0"/>
    <x v="0"/>
    <x v="2"/>
    <x v="3"/>
    <s v="FIN_GAS"/>
    <x v="2"/>
    <x v="100"/>
    <x v="0"/>
    <x v="19"/>
    <n v="193.54631217838801"/>
    <n v="70644.403945111495"/>
    <n v="254319.85420240101"/>
  </r>
  <r>
    <x v="0"/>
    <x v="0"/>
    <x v="0"/>
    <x v="2"/>
    <x v="3"/>
    <s v="FIN_GAS"/>
    <x v="2"/>
    <x v="100"/>
    <x v="0"/>
    <x v="20"/>
    <n v="193.54631217838801"/>
    <n v="70644.403945111495"/>
    <n v="254319.85420240101"/>
  </r>
  <r>
    <x v="0"/>
    <x v="0"/>
    <x v="0"/>
    <x v="2"/>
    <x v="3"/>
    <s v="FIN_GAS"/>
    <x v="2"/>
    <x v="100"/>
    <x v="0"/>
    <x v="21"/>
    <n v="193.54631217838801"/>
    <n v="70644.403945111495"/>
    <n v="254319.85420240101"/>
  </r>
  <r>
    <x v="0"/>
    <x v="0"/>
    <x v="0"/>
    <x v="2"/>
    <x v="3"/>
    <s v="FIN_GAS"/>
    <x v="2"/>
    <x v="100"/>
    <x v="0"/>
    <x v="22"/>
    <n v="193.54631217838801"/>
    <n v="70644.403945111495"/>
    <n v="254319.85420240101"/>
  </r>
  <r>
    <x v="0"/>
    <x v="0"/>
    <x v="0"/>
    <x v="2"/>
    <x v="3"/>
    <s v="FIN_GAS"/>
    <x v="2"/>
    <x v="100"/>
    <x v="0"/>
    <x v="23"/>
    <n v="193.54631217838801"/>
    <n v="70644.403945111495"/>
    <n v="254319.85420240101"/>
  </r>
  <r>
    <x v="0"/>
    <x v="0"/>
    <x v="0"/>
    <x v="2"/>
    <x v="3"/>
    <s v="FIN_GAS"/>
    <x v="2"/>
    <x v="101"/>
    <x v="0"/>
    <x v="3"/>
    <n v="127.272727272727"/>
    <n v="46454.545454545398"/>
    <n v="167236.363636364"/>
  </r>
  <r>
    <x v="0"/>
    <x v="0"/>
    <x v="0"/>
    <x v="2"/>
    <x v="3"/>
    <s v="FIN_GAS"/>
    <x v="2"/>
    <x v="101"/>
    <x v="0"/>
    <x v="4"/>
    <n v="127.272727272727"/>
    <n v="46454.545454545398"/>
    <n v="167236.363636364"/>
  </r>
  <r>
    <x v="0"/>
    <x v="0"/>
    <x v="0"/>
    <x v="2"/>
    <x v="3"/>
    <s v="FIN_GAS"/>
    <x v="2"/>
    <x v="101"/>
    <x v="0"/>
    <x v="5"/>
    <n v="127.272727272727"/>
    <n v="46454.545454545398"/>
    <n v="167236.363636364"/>
  </r>
  <r>
    <x v="0"/>
    <x v="0"/>
    <x v="0"/>
    <x v="2"/>
    <x v="3"/>
    <s v="FIN_GAS"/>
    <x v="2"/>
    <x v="101"/>
    <x v="0"/>
    <x v="6"/>
    <n v="127.272727272727"/>
    <n v="46454.545454545398"/>
    <n v="167236.363636364"/>
  </r>
  <r>
    <x v="0"/>
    <x v="0"/>
    <x v="0"/>
    <x v="2"/>
    <x v="3"/>
    <s v="FIN_GAS"/>
    <x v="2"/>
    <x v="101"/>
    <x v="0"/>
    <x v="7"/>
    <n v="127.272727272727"/>
    <n v="46454.545454545398"/>
    <n v="167236.363636364"/>
  </r>
  <r>
    <x v="0"/>
    <x v="0"/>
    <x v="0"/>
    <x v="2"/>
    <x v="3"/>
    <s v="FIN_GAS"/>
    <x v="2"/>
    <x v="101"/>
    <x v="0"/>
    <x v="8"/>
    <n v="127.272727272727"/>
    <n v="46454.545454545398"/>
    <n v="167236.363636364"/>
  </r>
  <r>
    <x v="0"/>
    <x v="0"/>
    <x v="0"/>
    <x v="2"/>
    <x v="3"/>
    <s v="FIN_GAS"/>
    <x v="2"/>
    <x v="101"/>
    <x v="0"/>
    <x v="0"/>
    <n v="127.272727272727"/>
    <n v="46454.545454545398"/>
    <n v="167236.363636364"/>
  </r>
  <r>
    <x v="0"/>
    <x v="0"/>
    <x v="0"/>
    <x v="2"/>
    <x v="3"/>
    <s v="FIN_GAS"/>
    <x v="2"/>
    <x v="101"/>
    <x v="0"/>
    <x v="1"/>
    <n v="127.272727272727"/>
    <n v="46454.545454545398"/>
    <n v="167236.363636364"/>
  </r>
  <r>
    <x v="0"/>
    <x v="0"/>
    <x v="0"/>
    <x v="2"/>
    <x v="3"/>
    <s v="FIN_GAS"/>
    <x v="2"/>
    <x v="101"/>
    <x v="0"/>
    <x v="2"/>
    <n v="127.272727272727"/>
    <n v="46454.545454545398"/>
    <n v="167236.363636364"/>
  </r>
  <r>
    <x v="0"/>
    <x v="0"/>
    <x v="0"/>
    <x v="2"/>
    <x v="3"/>
    <s v="FIN_GAS"/>
    <x v="2"/>
    <x v="101"/>
    <x v="0"/>
    <x v="9"/>
    <n v="127.272727272727"/>
    <n v="46454.545454545398"/>
    <n v="167236.363636364"/>
  </r>
  <r>
    <x v="0"/>
    <x v="0"/>
    <x v="0"/>
    <x v="2"/>
    <x v="3"/>
    <s v="FIN_GAS"/>
    <x v="2"/>
    <x v="101"/>
    <x v="0"/>
    <x v="10"/>
    <n v="127.272727272727"/>
    <n v="46454.545454545398"/>
    <n v="167236.363636364"/>
  </r>
  <r>
    <x v="0"/>
    <x v="0"/>
    <x v="0"/>
    <x v="2"/>
    <x v="3"/>
    <s v="FIN_GAS"/>
    <x v="2"/>
    <x v="101"/>
    <x v="0"/>
    <x v="11"/>
    <n v="127.272727272727"/>
    <n v="46454.545454545398"/>
    <n v="167236.363636364"/>
  </r>
  <r>
    <x v="0"/>
    <x v="0"/>
    <x v="0"/>
    <x v="2"/>
    <x v="3"/>
    <s v="FIN_GAS"/>
    <x v="2"/>
    <x v="101"/>
    <x v="0"/>
    <x v="12"/>
    <n v="127.272727272727"/>
    <n v="46454.545454545398"/>
    <n v="167236.363636364"/>
  </r>
  <r>
    <x v="0"/>
    <x v="0"/>
    <x v="0"/>
    <x v="2"/>
    <x v="3"/>
    <s v="FIN_GAS"/>
    <x v="2"/>
    <x v="101"/>
    <x v="0"/>
    <x v="13"/>
    <n v="127.272727272727"/>
    <n v="46454.545454545398"/>
    <n v="167236.363636364"/>
  </r>
  <r>
    <x v="0"/>
    <x v="0"/>
    <x v="0"/>
    <x v="2"/>
    <x v="3"/>
    <s v="FIN_GAS"/>
    <x v="2"/>
    <x v="101"/>
    <x v="0"/>
    <x v="14"/>
    <n v="127.272727272727"/>
    <n v="46454.545454545398"/>
    <n v="167236.363636364"/>
  </r>
  <r>
    <x v="0"/>
    <x v="0"/>
    <x v="0"/>
    <x v="2"/>
    <x v="3"/>
    <s v="FIN_GAS"/>
    <x v="2"/>
    <x v="101"/>
    <x v="0"/>
    <x v="15"/>
    <n v="127.272727272727"/>
    <n v="46454.545454545398"/>
    <n v="167236.363636364"/>
  </r>
  <r>
    <x v="0"/>
    <x v="0"/>
    <x v="0"/>
    <x v="2"/>
    <x v="3"/>
    <s v="FIN_GAS"/>
    <x v="2"/>
    <x v="101"/>
    <x v="0"/>
    <x v="16"/>
    <n v="127.272727272727"/>
    <n v="46454.545454545398"/>
    <n v="167236.363636364"/>
  </r>
  <r>
    <x v="0"/>
    <x v="0"/>
    <x v="0"/>
    <x v="2"/>
    <x v="3"/>
    <s v="FIN_GAS"/>
    <x v="2"/>
    <x v="101"/>
    <x v="0"/>
    <x v="17"/>
    <n v="127.272727272727"/>
    <n v="46454.545454545398"/>
    <n v="167236.363636364"/>
  </r>
  <r>
    <x v="0"/>
    <x v="0"/>
    <x v="0"/>
    <x v="2"/>
    <x v="3"/>
    <s v="FIN_GAS"/>
    <x v="2"/>
    <x v="101"/>
    <x v="0"/>
    <x v="18"/>
    <n v="127.272727272727"/>
    <n v="46454.545454545398"/>
    <n v="167236.363636364"/>
  </r>
  <r>
    <x v="0"/>
    <x v="0"/>
    <x v="0"/>
    <x v="2"/>
    <x v="3"/>
    <s v="FIN_GAS"/>
    <x v="2"/>
    <x v="101"/>
    <x v="0"/>
    <x v="19"/>
    <n v="127.272727272727"/>
    <n v="46454.545454545398"/>
    <n v="167236.363636364"/>
  </r>
  <r>
    <x v="0"/>
    <x v="0"/>
    <x v="0"/>
    <x v="2"/>
    <x v="3"/>
    <s v="FIN_GAS"/>
    <x v="2"/>
    <x v="101"/>
    <x v="0"/>
    <x v="20"/>
    <n v="127.272727272727"/>
    <n v="46454.545454545398"/>
    <n v="167236.363636364"/>
  </r>
  <r>
    <x v="0"/>
    <x v="0"/>
    <x v="0"/>
    <x v="2"/>
    <x v="3"/>
    <s v="FIN_GAS"/>
    <x v="2"/>
    <x v="101"/>
    <x v="0"/>
    <x v="21"/>
    <n v="127.272727272727"/>
    <n v="46454.545454545398"/>
    <n v="167236.363636364"/>
  </r>
  <r>
    <x v="0"/>
    <x v="0"/>
    <x v="0"/>
    <x v="2"/>
    <x v="3"/>
    <s v="FIN_GAS"/>
    <x v="2"/>
    <x v="101"/>
    <x v="0"/>
    <x v="22"/>
    <n v="127.272727272727"/>
    <n v="46454.545454545398"/>
    <n v="167236.363636364"/>
  </r>
  <r>
    <x v="0"/>
    <x v="0"/>
    <x v="0"/>
    <x v="2"/>
    <x v="3"/>
    <s v="FIN_GAS"/>
    <x v="2"/>
    <x v="101"/>
    <x v="0"/>
    <x v="23"/>
    <n v="127.272727272727"/>
    <n v="46454.545454545398"/>
    <n v="167236.363636364"/>
  </r>
  <r>
    <x v="0"/>
    <x v="0"/>
    <x v="0"/>
    <x v="2"/>
    <x v="3"/>
    <s v="FIN_GAS"/>
    <x v="2"/>
    <x v="98"/>
    <x v="0"/>
    <x v="8"/>
    <n v="1.41525458954994"/>
    <n v="516.567925185729"/>
    <n v="1859.6445306686201"/>
  </r>
  <r>
    <x v="0"/>
    <x v="0"/>
    <x v="0"/>
    <x v="2"/>
    <x v="3"/>
    <s v="FIN_GAS"/>
    <x v="2"/>
    <x v="98"/>
    <x v="0"/>
    <x v="0"/>
    <n v="33.182729644185301"/>
    <n v="12111.696320127599"/>
    <n v="43602.106752459498"/>
  </r>
  <r>
    <x v="0"/>
    <x v="0"/>
    <x v="0"/>
    <x v="2"/>
    <x v="3"/>
    <s v="FIN_GAS"/>
    <x v="2"/>
    <x v="98"/>
    <x v="0"/>
    <x v="1"/>
    <n v="52.114547732516598"/>
    <n v="19021.8099223686"/>
    <n v="68478.515720526804"/>
  </r>
  <r>
    <x v="0"/>
    <x v="0"/>
    <x v="0"/>
    <x v="2"/>
    <x v="3"/>
    <s v="FIN_GAS"/>
    <x v="2"/>
    <x v="98"/>
    <x v="0"/>
    <x v="2"/>
    <n v="56.861965347997"/>
    <n v="20754.6173520189"/>
    <n v="74716.622467267996"/>
  </r>
  <r>
    <x v="0"/>
    <x v="0"/>
    <x v="0"/>
    <x v="2"/>
    <x v="3"/>
    <s v="FIN_GAS"/>
    <x v="2"/>
    <x v="98"/>
    <x v="0"/>
    <x v="9"/>
    <n v="58.087088778214003"/>
    <n v="21201.7874040481"/>
    <n v="76326.434654573299"/>
  </r>
  <r>
    <x v="0"/>
    <x v="0"/>
    <x v="0"/>
    <x v="2"/>
    <x v="3"/>
    <s v="FIN_GAS"/>
    <x v="2"/>
    <x v="98"/>
    <x v="0"/>
    <x v="11"/>
    <n v="46.660840955504199"/>
    <n v="17031.206948759002"/>
    <n v="61312.345015532497"/>
  </r>
  <r>
    <x v="0"/>
    <x v="0"/>
    <x v="0"/>
    <x v="2"/>
    <x v="3"/>
    <s v="FIN_GAS"/>
    <x v="2"/>
    <x v="98"/>
    <x v="0"/>
    <x v="13"/>
    <n v="44.7402443103027"/>
    <n v="16330.1891732605"/>
    <n v="58788.681023737699"/>
  </r>
  <r>
    <x v="0"/>
    <x v="0"/>
    <x v="0"/>
    <x v="2"/>
    <x v="3"/>
    <s v="FIN_GAS"/>
    <x v="2"/>
    <x v="98"/>
    <x v="0"/>
    <x v="14"/>
    <n v="31.487883570432999"/>
    <n v="11493.0775032081"/>
    <n v="41375.079011549002"/>
  </r>
  <r>
    <x v="0"/>
    <x v="0"/>
    <x v="0"/>
    <x v="2"/>
    <x v="3"/>
    <s v="FIN_GAS"/>
    <x v="2"/>
    <x v="98"/>
    <x v="0"/>
    <x v="15"/>
    <n v="52.543583628833701"/>
    <n v="19178.408024524299"/>
    <n v="69042.268888287406"/>
  </r>
  <r>
    <x v="0"/>
    <x v="0"/>
    <x v="0"/>
    <x v="2"/>
    <x v="3"/>
    <s v="FIN_GAS"/>
    <x v="2"/>
    <x v="98"/>
    <x v="0"/>
    <x v="16"/>
    <n v="47.267011817683098"/>
    <n v="17252.459313454299"/>
    <n v="62108.853528435597"/>
  </r>
  <r>
    <x v="0"/>
    <x v="0"/>
    <x v="0"/>
    <x v="2"/>
    <x v="3"/>
    <s v="FIN_GAS"/>
    <x v="2"/>
    <x v="98"/>
    <x v="0"/>
    <x v="17"/>
    <n v="42.419559509074602"/>
    <n v="15483.1392208122"/>
    <n v="55739.301194924097"/>
  </r>
  <r>
    <x v="0"/>
    <x v="0"/>
    <x v="0"/>
    <x v="2"/>
    <x v="3"/>
    <s v="FIN_GAS"/>
    <x v="2"/>
    <x v="98"/>
    <x v="0"/>
    <x v="18"/>
    <n v="43.248014915817997"/>
    <n v="15785.5254442736"/>
    <n v="56827.8915993849"/>
  </r>
  <r>
    <x v="0"/>
    <x v="0"/>
    <x v="0"/>
    <x v="2"/>
    <x v="3"/>
    <s v="FIN_GAS"/>
    <x v="2"/>
    <x v="98"/>
    <x v="0"/>
    <x v="19"/>
    <n v="39.763304938892198"/>
    <n v="14513.6063026957"/>
    <n v="52248.982689704397"/>
  </r>
  <r>
    <x v="0"/>
    <x v="0"/>
    <x v="0"/>
    <x v="2"/>
    <x v="3"/>
    <s v="FIN_GAS"/>
    <x v="2"/>
    <x v="98"/>
    <x v="0"/>
    <x v="20"/>
    <n v="35.023482515511098"/>
    <n v="12783.571118161601"/>
    <n v="46020.856025381603"/>
  </r>
  <r>
    <x v="0"/>
    <x v="0"/>
    <x v="0"/>
    <x v="2"/>
    <x v="3"/>
    <s v="FIN_GAS"/>
    <x v="2"/>
    <x v="98"/>
    <x v="0"/>
    <x v="21"/>
    <n v="30.754198073584899"/>
    <n v="11225.282296858501"/>
    <n v="40411.016268690597"/>
  </r>
  <r>
    <x v="0"/>
    <x v="0"/>
    <x v="0"/>
    <x v="2"/>
    <x v="3"/>
    <s v="FIN_GAS"/>
    <x v="2"/>
    <x v="98"/>
    <x v="0"/>
    <x v="22"/>
    <n v="20.0367089959942"/>
    <n v="7313.3987835378703"/>
    <n v="26328.235620736301"/>
  </r>
  <r>
    <x v="0"/>
    <x v="0"/>
    <x v="0"/>
    <x v="2"/>
    <x v="3"/>
    <s v="FIN_GAS"/>
    <x v="2"/>
    <x v="98"/>
    <x v="0"/>
    <x v="23"/>
    <n v="10.3634569270339"/>
    <n v="3782.6617783673701"/>
    <n v="13617.5824021225"/>
  </r>
  <r>
    <x v="0"/>
    <x v="0"/>
    <x v="0"/>
    <x v="2"/>
    <x v="3"/>
    <s v="FIN_HELS"/>
    <x v="2"/>
    <x v="102"/>
    <x v="0"/>
    <x v="3"/>
    <n v="156.508637090024"/>
    <n v="57125.652537858601"/>
    <n v="205652.34913629101"/>
  </r>
  <r>
    <x v="0"/>
    <x v="0"/>
    <x v="0"/>
    <x v="2"/>
    <x v="3"/>
    <s v="FIN_HELS"/>
    <x v="2"/>
    <x v="102"/>
    <x v="0"/>
    <x v="4"/>
    <n v="156.508637090024"/>
    <n v="57125.652537858601"/>
    <n v="205652.34913629101"/>
  </r>
  <r>
    <x v="0"/>
    <x v="0"/>
    <x v="0"/>
    <x v="2"/>
    <x v="3"/>
    <s v="FIN_HELS"/>
    <x v="2"/>
    <x v="102"/>
    <x v="0"/>
    <x v="5"/>
    <n v="156.508637090024"/>
    <n v="57125.652537858601"/>
    <n v="205652.34913629101"/>
  </r>
  <r>
    <x v="0"/>
    <x v="0"/>
    <x v="0"/>
    <x v="2"/>
    <x v="3"/>
    <s v="FIN_HELS"/>
    <x v="2"/>
    <x v="102"/>
    <x v="0"/>
    <x v="6"/>
    <n v="156.508637090024"/>
    <n v="57125.652537858601"/>
    <n v="205652.34913629101"/>
  </r>
  <r>
    <x v="0"/>
    <x v="0"/>
    <x v="0"/>
    <x v="2"/>
    <x v="3"/>
    <s v="FIN_HELS"/>
    <x v="2"/>
    <x v="102"/>
    <x v="0"/>
    <x v="7"/>
    <n v="156.508637090024"/>
    <n v="57125.652537858601"/>
    <n v="205652.34913629101"/>
  </r>
  <r>
    <x v="0"/>
    <x v="0"/>
    <x v="0"/>
    <x v="2"/>
    <x v="3"/>
    <s v="FIN_HELS"/>
    <x v="2"/>
    <x v="102"/>
    <x v="0"/>
    <x v="8"/>
    <n v="156.508637090024"/>
    <n v="57125.652537858601"/>
    <n v="205652.34913629101"/>
  </r>
  <r>
    <x v="0"/>
    <x v="0"/>
    <x v="0"/>
    <x v="2"/>
    <x v="3"/>
    <s v="FIN_HELS"/>
    <x v="2"/>
    <x v="102"/>
    <x v="0"/>
    <x v="0"/>
    <n v="156.508637090024"/>
    <n v="57125.652537858601"/>
    <n v="205652.34913629101"/>
  </r>
  <r>
    <x v="0"/>
    <x v="0"/>
    <x v="0"/>
    <x v="2"/>
    <x v="3"/>
    <s v="FIN_HELS"/>
    <x v="2"/>
    <x v="102"/>
    <x v="0"/>
    <x v="1"/>
    <n v="156.508637090024"/>
    <n v="57125.652537858601"/>
    <n v="205652.34913629101"/>
  </r>
  <r>
    <x v="0"/>
    <x v="0"/>
    <x v="0"/>
    <x v="2"/>
    <x v="3"/>
    <s v="FIN_HELS"/>
    <x v="2"/>
    <x v="102"/>
    <x v="0"/>
    <x v="2"/>
    <n v="156.508637090024"/>
    <n v="57125.652537858601"/>
    <n v="205652.34913629101"/>
  </r>
  <r>
    <x v="0"/>
    <x v="0"/>
    <x v="0"/>
    <x v="2"/>
    <x v="3"/>
    <s v="FIN_HELS"/>
    <x v="2"/>
    <x v="102"/>
    <x v="0"/>
    <x v="9"/>
    <n v="156.508637090024"/>
    <n v="57125.652537858601"/>
    <n v="205652.34913629101"/>
  </r>
  <r>
    <x v="0"/>
    <x v="0"/>
    <x v="0"/>
    <x v="2"/>
    <x v="3"/>
    <s v="FIN_HELS"/>
    <x v="2"/>
    <x v="102"/>
    <x v="0"/>
    <x v="10"/>
    <n v="156.508637090024"/>
    <n v="57125.652537858601"/>
    <n v="205652.34913629101"/>
  </r>
  <r>
    <x v="0"/>
    <x v="0"/>
    <x v="0"/>
    <x v="2"/>
    <x v="3"/>
    <s v="FIN_HELS"/>
    <x v="2"/>
    <x v="102"/>
    <x v="0"/>
    <x v="11"/>
    <n v="156.508637090024"/>
    <n v="57125.652537858601"/>
    <n v="205652.34913629101"/>
  </r>
  <r>
    <x v="0"/>
    <x v="0"/>
    <x v="0"/>
    <x v="2"/>
    <x v="3"/>
    <s v="FIN_HELS"/>
    <x v="2"/>
    <x v="102"/>
    <x v="0"/>
    <x v="12"/>
    <n v="156.508637090024"/>
    <n v="57125.652537858601"/>
    <n v="205652.34913629101"/>
  </r>
  <r>
    <x v="0"/>
    <x v="0"/>
    <x v="0"/>
    <x v="2"/>
    <x v="3"/>
    <s v="FIN_HELS"/>
    <x v="2"/>
    <x v="102"/>
    <x v="0"/>
    <x v="13"/>
    <n v="156.508637090024"/>
    <n v="57125.652537858601"/>
    <n v="205652.34913629101"/>
  </r>
  <r>
    <x v="0"/>
    <x v="0"/>
    <x v="0"/>
    <x v="2"/>
    <x v="3"/>
    <s v="FIN_HELS"/>
    <x v="2"/>
    <x v="102"/>
    <x v="0"/>
    <x v="14"/>
    <n v="156.508637090024"/>
    <n v="57125.652537858601"/>
    <n v="205652.34913629101"/>
  </r>
  <r>
    <x v="0"/>
    <x v="0"/>
    <x v="0"/>
    <x v="2"/>
    <x v="3"/>
    <s v="FIN_HELS"/>
    <x v="2"/>
    <x v="102"/>
    <x v="0"/>
    <x v="15"/>
    <n v="156.508637090024"/>
    <n v="57125.652537858601"/>
    <n v="205652.34913629101"/>
  </r>
  <r>
    <x v="0"/>
    <x v="0"/>
    <x v="0"/>
    <x v="2"/>
    <x v="3"/>
    <s v="FIN_HELS"/>
    <x v="2"/>
    <x v="102"/>
    <x v="0"/>
    <x v="16"/>
    <n v="156.508637090024"/>
    <n v="57125.652537858601"/>
    <n v="205652.34913629101"/>
  </r>
  <r>
    <x v="0"/>
    <x v="0"/>
    <x v="0"/>
    <x v="2"/>
    <x v="3"/>
    <s v="FIN_HELS"/>
    <x v="2"/>
    <x v="102"/>
    <x v="0"/>
    <x v="17"/>
    <n v="156.508637090024"/>
    <n v="57125.652537858601"/>
    <n v="205652.34913629101"/>
  </r>
  <r>
    <x v="0"/>
    <x v="0"/>
    <x v="0"/>
    <x v="2"/>
    <x v="3"/>
    <s v="FIN_HELS"/>
    <x v="2"/>
    <x v="102"/>
    <x v="0"/>
    <x v="18"/>
    <n v="156.508637090024"/>
    <n v="57125.652537858601"/>
    <n v="205652.34913629101"/>
  </r>
  <r>
    <x v="0"/>
    <x v="0"/>
    <x v="0"/>
    <x v="2"/>
    <x v="3"/>
    <s v="FIN_HELS"/>
    <x v="2"/>
    <x v="102"/>
    <x v="0"/>
    <x v="19"/>
    <n v="156.508637090024"/>
    <n v="57125.652537858601"/>
    <n v="205652.34913629101"/>
  </r>
  <r>
    <x v="0"/>
    <x v="0"/>
    <x v="0"/>
    <x v="2"/>
    <x v="3"/>
    <s v="FIN_HELS"/>
    <x v="2"/>
    <x v="102"/>
    <x v="0"/>
    <x v="20"/>
    <n v="156.508637090024"/>
    <n v="57125.652537858601"/>
    <n v="205652.34913629101"/>
  </r>
  <r>
    <x v="0"/>
    <x v="0"/>
    <x v="0"/>
    <x v="2"/>
    <x v="3"/>
    <s v="FIN_HELS"/>
    <x v="2"/>
    <x v="102"/>
    <x v="0"/>
    <x v="21"/>
    <n v="156.508637090024"/>
    <n v="57125.652537858601"/>
    <n v="205652.34913629101"/>
  </r>
  <r>
    <x v="0"/>
    <x v="0"/>
    <x v="0"/>
    <x v="2"/>
    <x v="3"/>
    <s v="FIN_HELS"/>
    <x v="2"/>
    <x v="102"/>
    <x v="0"/>
    <x v="22"/>
    <n v="156.508637090024"/>
    <n v="57125.652537858601"/>
    <n v="205652.34913629101"/>
  </r>
  <r>
    <x v="0"/>
    <x v="0"/>
    <x v="0"/>
    <x v="2"/>
    <x v="3"/>
    <s v="FIN_HELS"/>
    <x v="2"/>
    <x v="102"/>
    <x v="0"/>
    <x v="23"/>
    <n v="156.508637090024"/>
    <n v="57125.652537858601"/>
    <n v="205652.34913629101"/>
  </r>
  <r>
    <x v="0"/>
    <x v="0"/>
    <x v="0"/>
    <x v="2"/>
    <x v="3"/>
    <s v="FIN_HELS"/>
    <x v="2"/>
    <x v="103"/>
    <x v="0"/>
    <x v="3"/>
    <n v="351.64835164835199"/>
    <n v="128351.64835164799"/>
    <n v="462065.93406593398"/>
  </r>
  <r>
    <x v="0"/>
    <x v="0"/>
    <x v="0"/>
    <x v="2"/>
    <x v="3"/>
    <s v="FIN_HELS"/>
    <x v="2"/>
    <x v="103"/>
    <x v="0"/>
    <x v="4"/>
    <n v="351.64835164835199"/>
    <n v="128351.64835164799"/>
    <n v="462065.93406593398"/>
  </r>
  <r>
    <x v="0"/>
    <x v="0"/>
    <x v="0"/>
    <x v="2"/>
    <x v="3"/>
    <s v="FIN_HELS"/>
    <x v="2"/>
    <x v="103"/>
    <x v="0"/>
    <x v="5"/>
    <n v="351.64835164835199"/>
    <n v="128351.64835164799"/>
    <n v="462065.93406593398"/>
  </r>
  <r>
    <x v="0"/>
    <x v="0"/>
    <x v="0"/>
    <x v="2"/>
    <x v="3"/>
    <s v="FIN_HELS"/>
    <x v="2"/>
    <x v="103"/>
    <x v="0"/>
    <x v="6"/>
    <n v="351.64835164835199"/>
    <n v="128351.64835164799"/>
    <n v="462065.93406593398"/>
  </r>
  <r>
    <x v="0"/>
    <x v="0"/>
    <x v="0"/>
    <x v="2"/>
    <x v="3"/>
    <s v="FIN_HELS"/>
    <x v="2"/>
    <x v="103"/>
    <x v="0"/>
    <x v="7"/>
    <n v="351.64835164835199"/>
    <n v="128351.64835164799"/>
    <n v="462065.93406593398"/>
  </r>
  <r>
    <x v="0"/>
    <x v="0"/>
    <x v="0"/>
    <x v="2"/>
    <x v="3"/>
    <s v="FIN_HELS"/>
    <x v="2"/>
    <x v="103"/>
    <x v="0"/>
    <x v="8"/>
    <n v="351.64835164835199"/>
    <n v="128351.64835164799"/>
    <n v="462065.93406593398"/>
  </r>
  <r>
    <x v="0"/>
    <x v="0"/>
    <x v="0"/>
    <x v="2"/>
    <x v="3"/>
    <s v="FIN_HELS"/>
    <x v="2"/>
    <x v="103"/>
    <x v="0"/>
    <x v="0"/>
    <n v="351.64835164835199"/>
    <n v="128351.64835164799"/>
    <n v="462065.93406593398"/>
  </r>
  <r>
    <x v="0"/>
    <x v="0"/>
    <x v="0"/>
    <x v="2"/>
    <x v="3"/>
    <s v="FIN_HELS"/>
    <x v="2"/>
    <x v="103"/>
    <x v="0"/>
    <x v="1"/>
    <n v="351.64835164835199"/>
    <n v="128351.64835164799"/>
    <n v="462065.93406593398"/>
  </r>
  <r>
    <x v="0"/>
    <x v="0"/>
    <x v="0"/>
    <x v="2"/>
    <x v="3"/>
    <s v="FIN_HELS"/>
    <x v="2"/>
    <x v="103"/>
    <x v="0"/>
    <x v="2"/>
    <n v="351.64835164835199"/>
    <n v="128351.64835164799"/>
    <n v="462065.93406593398"/>
  </r>
  <r>
    <x v="0"/>
    <x v="0"/>
    <x v="0"/>
    <x v="2"/>
    <x v="3"/>
    <s v="FIN_HELS"/>
    <x v="2"/>
    <x v="103"/>
    <x v="0"/>
    <x v="9"/>
    <n v="351.64835164835199"/>
    <n v="128351.64835164799"/>
    <n v="462065.93406593398"/>
  </r>
  <r>
    <x v="0"/>
    <x v="0"/>
    <x v="0"/>
    <x v="2"/>
    <x v="3"/>
    <s v="FIN_HELS"/>
    <x v="2"/>
    <x v="103"/>
    <x v="0"/>
    <x v="10"/>
    <n v="351.64835164835199"/>
    <n v="128351.64835164799"/>
    <n v="462065.93406593398"/>
  </r>
  <r>
    <x v="0"/>
    <x v="0"/>
    <x v="0"/>
    <x v="2"/>
    <x v="3"/>
    <s v="FIN_HELS"/>
    <x v="2"/>
    <x v="103"/>
    <x v="0"/>
    <x v="11"/>
    <n v="351.64835164835199"/>
    <n v="128351.64835164799"/>
    <n v="462065.93406593398"/>
  </r>
  <r>
    <x v="0"/>
    <x v="0"/>
    <x v="0"/>
    <x v="2"/>
    <x v="3"/>
    <s v="FIN_HELS"/>
    <x v="2"/>
    <x v="103"/>
    <x v="0"/>
    <x v="12"/>
    <n v="351.64835164835199"/>
    <n v="128351.64835164799"/>
    <n v="462065.93406593398"/>
  </r>
  <r>
    <x v="0"/>
    <x v="0"/>
    <x v="0"/>
    <x v="2"/>
    <x v="3"/>
    <s v="FIN_HELS"/>
    <x v="2"/>
    <x v="103"/>
    <x v="0"/>
    <x v="13"/>
    <n v="351.64835164835199"/>
    <n v="128351.64835164799"/>
    <n v="462065.93406593398"/>
  </r>
  <r>
    <x v="0"/>
    <x v="0"/>
    <x v="0"/>
    <x v="2"/>
    <x v="3"/>
    <s v="FIN_HELS"/>
    <x v="2"/>
    <x v="103"/>
    <x v="0"/>
    <x v="14"/>
    <n v="351.64835164835199"/>
    <n v="128351.64835164799"/>
    <n v="462065.93406593398"/>
  </r>
  <r>
    <x v="0"/>
    <x v="0"/>
    <x v="0"/>
    <x v="2"/>
    <x v="3"/>
    <s v="FIN_HELS"/>
    <x v="2"/>
    <x v="103"/>
    <x v="0"/>
    <x v="15"/>
    <n v="351.64835164835199"/>
    <n v="128351.64835164799"/>
    <n v="462065.93406593398"/>
  </r>
  <r>
    <x v="0"/>
    <x v="0"/>
    <x v="0"/>
    <x v="2"/>
    <x v="3"/>
    <s v="FIN_HELS"/>
    <x v="2"/>
    <x v="103"/>
    <x v="0"/>
    <x v="16"/>
    <n v="351.64835164835199"/>
    <n v="128351.64835164799"/>
    <n v="462065.93406593398"/>
  </r>
  <r>
    <x v="0"/>
    <x v="0"/>
    <x v="0"/>
    <x v="2"/>
    <x v="3"/>
    <s v="FIN_HELS"/>
    <x v="2"/>
    <x v="103"/>
    <x v="0"/>
    <x v="17"/>
    <n v="351.64835164835199"/>
    <n v="128351.64835164799"/>
    <n v="462065.93406593398"/>
  </r>
  <r>
    <x v="0"/>
    <x v="0"/>
    <x v="0"/>
    <x v="2"/>
    <x v="3"/>
    <s v="FIN_HELS"/>
    <x v="2"/>
    <x v="103"/>
    <x v="0"/>
    <x v="18"/>
    <n v="351.64835164835199"/>
    <n v="128351.64835164799"/>
    <n v="462065.93406593398"/>
  </r>
  <r>
    <x v="0"/>
    <x v="0"/>
    <x v="0"/>
    <x v="2"/>
    <x v="3"/>
    <s v="FIN_HELS"/>
    <x v="2"/>
    <x v="103"/>
    <x v="0"/>
    <x v="19"/>
    <n v="351.64835164835199"/>
    <n v="128351.64835164799"/>
    <n v="462065.93406593398"/>
  </r>
  <r>
    <x v="0"/>
    <x v="0"/>
    <x v="0"/>
    <x v="2"/>
    <x v="3"/>
    <s v="FIN_HELS"/>
    <x v="2"/>
    <x v="103"/>
    <x v="0"/>
    <x v="20"/>
    <n v="351.64835164835199"/>
    <n v="128351.64835164799"/>
    <n v="462065.93406593398"/>
  </r>
  <r>
    <x v="0"/>
    <x v="0"/>
    <x v="0"/>
    <x v="2"/>
    <x v="3"/>
    <s v="FIN_HELS"/>
    <x v="2"/>
    <x v="103"/>
    <x v="0"/>
    <x v="21"/>
    <n v="351.64835164835199"/>
    <n v="128351.64835164799"/>
    <n v="462065.93406593398"/>
  </r>
  <r>
    <x v="0"/>
    <x v="0"/>
    <x v="0"/>
    <x v="2"/>
    <x v="3"/>
    <s v="FIN_HELS"/>
    <x v="2"/>
    <x v="103"/>
    <x v="0"/>
    <x v="22"/>
    <n v="351.64835164835199"/>
    <n v="128351.64835164799"/>
    <n v="462065.93406593398"/>
  </r>
  <r>
    <x v="0"/>
    <x v="0"/>
    <x v="0"/>
    <x v="2"/>
    <x v="3"/>
    <s v="FIN_HELS"/>
    <x v="2"/>
    <x v="103"/>
    <x v="0"/>
    <x v="23"/>
    <n v="351.64835164835199"/>
    <n v="128351.64835164799"/>
    <n v="462065.93406593398"/>
  </r>
  <r>
    <x v="0"/>
    <x v="0"/>
    <x v="0"/>
    <x v="2"/>
    <x v="3"/>
    <s v="FIN_HELS"/>
    <x v="2"/>
    <x v="104"/>
    <x v="0"/>
    <x v="3"/>
    <n v="903.84615384615404"/>
    <n v="329903.84615384601"/>
    <n v="1187653.84615385"/>
  </r>
  <r>
    <x v="0"/>
    <x v="0"/>
    <x v="0"/>
    <x v="2"/>
    <x v="3"/>
    <s v="FIN_HELS"/>
    <x v="2"/>
    <x v="104"/>
    <x v="0"/>
    <x v="4"/>
    <n v="903.84615384615404"/>
    <n v="329903.84615384601"/>
    <n v="1187653.84615385"/>
  </r>
  <r>
    <x v="0"/>
    <x v="0"/>
    <x v="0"/>
    <x v="2"/>
    <x v="3"/>
    <s v="FIN_HELS"/>
    <x v="2"/>
    <x v="104"/>
    <x v="0"/>
    <x v="5"/>
    <n v="903.84615384615404"/>
    <n v="329903.84615384601"/>
    <n v="1187653.84615385"/>
  </r>
  <r>
    <x v="0"/>
    <x v="0"/>
    <x v="0"/>
    <x v="2"/>
    <x v="3"/>
    <s v="FIN_HELS"/>
    <x v="2"/>
    <x v="104"/>
    <x v="0"/>
    <x v="6"/>
    <n v="903.84615384615404"/>
    <n v="329903.84615384601"/>
    <n v="1187653.84615385"/>
  </r>
  <r>
    <x v="0"/>
    <x v="0"/>
    <x v="0"/>
    <x v="2"/>
    <x v="3"/>
    <s v="FIN_HELS"/>
    <x v="2"/>
    <x v="104"/>
    <x v="0"/>
    <x v="7"/>
    <n v="903.84615384615404"/>
    <n v="329903.84615384601"/>
    <n v="1187653.84615385"/>
  </r>
  <r>
    <x v="0"/>
    <x v="0"/>
    <x v="0"/>
    <x v="2"/>
    <x v="3"/>
    <s v="FIN_HELS"/>
    <x v="2"/>
    <x v="104"/>
    <x v="0"/>
    <x v="8"/>
    <n v="903.84615384615404"/>
    <n v="329903.84615384601"/>
    <n v="1187653.84615385"/>
  </r>
  <r>
    <x v="0"/>
    <x v="0"/>
    <x v="0"/>
    <x v="2"/>
    <x v="3"/>
    <s v="FIN_HELS"/>
    <x v="2"/>
    <x v="104"/>
    <x v="0"/>
    <x v="0"/>
    <n v="903.84615384615404"/>
    <n v="329903.84615384601"/>
    <n v="1187653.84615385"/>
  </r>
  <r>
    <x v="0"/>
    <x v="0"/>
    <x v="0"/>
    <x v="2"/>
    <x v="3"/>
    <s v="FIN_HELS"/>
    <x v="2"/>
    <x v="104"/>
    <x v="0"/>
    <x v="1"/>
    <n v="903.84615384615404"/>
    <n v="329903.84615384601"/>
    <n v="1187653.84615385"/>
  </r>
  <r>
    <x v="0"/>
    <x v="0"/>
    <x v="0"/>
    <x v="2"/>
    <x v="3"/>
    <s v="FIN_HELS"/>
    <x v="2"/>
    <x v="104"/>
    <x v="0"/>
    <x v="2"/>
    <n v="903.84615384615404"/>
    <n v="329903.84615384601"/>
    <n v="1187653.84615385"/>
  </r>
  <r>
    <x v="0"/>
    <x v="0"/>
    <x v="0"/>
    <x v="2"/>
    <x v="3"/>
    <s v="FIN_HELS"/>
    <x v="2"/>
    <x v="104"/>
    <x v="0"/>
    <x v="9"/>
    <n v="903.84615384615404"/>
    <n v="329903.84615384601"/>
    <n v="1187653.84615385"/>
  </r>
  <r>
    <x v="0"/>
    <x v="0"/>
    <x v="0"/>
    <x v="2"/>
    <x v="3"/>
    <s v="FIN_HELS"/>
    <x v="2"/>
    <x v="104"/>
    <x v="0"/>
    <x v="10"/>
    <n v="903.84615384615404"/>
    <n v="329903.84615384601"/>
    <n v="1187653.84615385"/>
  </r>
  <r>
    <x v="0"/>
    <x v="0"/>
    <x v="0"/>
    <x v="2"/>
    <x v="3"/>
    <s v="FIN_HELS"/>
    <x v="2"/>
    <x v="104"/>
    <x v="0"/>
    <x v="11"/>
    <n v="903.84615384615404"/>
    <n v="329903.84615384601"/>
    <n v="1187653.84615385"/>
  </r>
  <r>
    <x v="0"/>
    <x v="0"/>
    <x v="0"/>
    <x v="2"/>
    <x v="3"/>
    <s v="FIN_HELS"/>
    <x v="2"/>
    <x v="104"/>
    <x v="0"/>
    <x v="12"/>
    <n v="903.84615384615404"/>
    <n v="329903.84615384601"/>
    <n v="1187653.84615385"/>
  </r>
  <r>
    <x v="0"/>
    <x v="0"/>
    <x v="0"/>
    <x v="2"/>
    <x v="3"/>
    <s v="FIN_HELS"/>
    <x v="2"/>
    <x v="104"/>
    <x v="0"/>
    <x v="13"/>
    <n v="903.84615384615404"/>
    <n v="329903.84615384601"/>
    <n v="1187653.84615385"/>
  </r>
  <r>
    <x v="0"/>
    <x v="0"/>
    <x v="0"/>
    <x v="2"/>
    <x v="3"/>
    <s v="FIN_HELS"/>
    <x v="2"/>
    <x v="104"/>
    <x v="0"/>
    <x v="14"/>
    <n v="903.84615384615404"/>
    <n v="329903.84615384601"/>
    <n v="1187653.84615385"/>
  </r>
  <r>
    <x v="0"/>
    <x v="0"/>
    <x v="0"/>
    <x v="2"/>
    <x v="3"/>
    <s v="FIN_HELS"/>
    <x v="2"/>
    <x v="104"/>
    <x v="0"/>
    <x v="15"/>
    <n v="903.84615384615404"/>
    <n v="329903.84615384601"/>
    <n v="1187653.84615385"/>
  </r>
  <r>
    <x v="0"/>
    <x v="0"/>
    <x v="0"/>
    <x v="2"/>
    <x v="3"/>
    <s v="FIN_HELS"/>
    <x v="2"/>
    <x v="104"/>
    <x v="0"/>
    <x v="16"/>
    <n v="903.84615384615404"/>
    <n v="329903.84615384601"/>
    <n v="1187653.84615385"/>
  </r>
  <r>
    <x v="0"/>
    <x v="0"/>
    <x v="0"/>
    <x v="2"/>
    <x v="3"/>
    <s v="FIN_HELS"/>
    <x v="2"/>
    <x v="104"/>
    <x v="0"/>
    <x v="17"/>
    <n v="903.84615384615404"/>
    <n v="329903.84615384601"/>
    <n v="1187653.84615385"/>
  </r>
  <r>
    <x v="0"/>
    <x v="0"/>
    <x v="0"/>
    <x v="2"/>
    <x v="3"/>
    <s v="FIN_HELS"/>
    <x v="2"/>
    <x v="104"/>
    <x v="0"/>
    <x v="18"/>
    <n v="903.84615384615404"/>
    <n v="329903.84615384601"/>
    <n v="1187653.84615385"/>
  </r>
  <r>
    <x v="0"/>
    <x v="0"/>
    <x v="0"/>
    <x v="2"/>
    <x v="3"/>
    <s v="FIN_HELS"/>
    <x v="2"/>
    <x v="104"/>
    <x v="0"/>
    <x v="19"/>
    <n v="903.84615384615404"/>
    <n v="329903.84615384601"/>
    <n v="1187653.84615385"/>
  </r>
  <r>
    <x v="0"/>
    <x v="0"/>
    <x v="0"/>
    <x v="2"/>
    <x v="3"/>
    <s v="FIN_HELS"/>
    <x v="2"/>
    <x v="104"/>
    <x v="0"/>
    <x v="20"/>
    <n v="903.84615384615404"/>
    <n v="329903.84615384601"/>
    <n v="1187653.84615385"/>
  </r>
  <r>
    <x v="0"/>
    <x v="0"/>
    <x v="0"/>
    <x v="2"/>
    <x v="3"/>
    <s v="FIN_HELS"/>
    <x v="2"/>
    <x v="104"/>
    <x v="0"/>
    <x v="21"/>
    <n v="903.84615384615404"/>
    <n v="329903.84615384601"/>
    <n v="1187653.84615385"/>
  </r>
  <r>
    <x v="0"/>
    <x v="0"/>
    <x v="0"/>
    <x v="2"/>
    <x v="3"/>
    <s v="FIN_HELS"/>
    <x v="2"/>
    <x v="104"/>
    <x v="0"/>
    <x v="22"/>
    <n v="903.84615384615404"/>
    <n v="329903.84615384601"/>
    <n v="1187653.84615385"/>
  </r>
  <r>
    <x v="0"/>
    <x v="0"/>
    <x v="0"/>
    <x v="2"/>
    <x v="3"/>
    <s v="FIN_HELS"/>
    <x v="2"/>
    <x v="104"/>
    <x v="0"/>
    <x v="23"/>
    <n v="903.84615384615404"/>
    <n v="329903.84615384601"/>
    <n v="1187653.84615385"/>
  </r>
  <r>
    <x v="0"/>
    <x v="0"/>
    <x v="0"/>
    <x v="2"/>
    <x v="3"/>
    <s v="FIN_HELS"/>
    <x v="2"/>
    <x v="98"/>
    <x v="0"/>
    <x v="3"/>
    <n v="506.04984752818098"/>
    <n v="184708.19434778599"/>
    <n v="664949.49965202995"/>
  </r>
  <r>
    <x v="0"/>
    <x v="0"/>
    <x v="0"/>
    <x v="2"/>
    <x v="3"/>
    <s v="FIN_HELS"/>
    <x v="2"/>
    <x v="98"/>
    <x v="0"/>
    <x v="4"/>
    <n v="488.35008446848298"/>
    <n v="178247.78083099599"/>
    <n v="641692.01099158602"/>
  </r>
  <r>
    <x v="0"/>
    <x v="0"/>
    <x v="0"/>
    <x v="2"/>
    <x v="3"/>
    <s v="FIN_HELS"/>
    <x v="2"/>
    <x v="98"/>
    <x v="0"/>
    <x v="5"/>
    <n v="490.52433110573401"/>
    <n v="179041.380853593"/>
    <n v="644548.97107293399"/>
  </r>
  <r>
    <x v="0"/>
    <x v="0"/>
    <x v="0"/>
    <x v="2"/>
    <x v="3"/>
    <s v="FIN_HELS"/>
    <x v="2"/>
    <x v="98"/>
    <x v="0"/>
    <x v="6"/>
    <n v="509.25527082725102"/>
    <n v="185878.17385194701"/>
    <n v="669161.42586700805"/>
  </r>
  <r>
    <x v="0"/>
    <x v="0"/>
    <x v="0"/>
    <x v="2"/>
    <x v="3"/>
    <s v="FIN_HELS"/>
    <x v="2"/>
    <x v="98"/>
    <x v="0"/>
    <x v="7"/>
    <n v="553.70870469131296"/>
    <n v="202103.677212329"/>
    <n v="727573.237964386"/>
  </r>
  <r>
    <x v="0"/>
    <x v="0"/>
    <x v="0"/>
    <x v="2"/>
    <x v="3"/>
    <s v="FIN_HELS"/>
    <x v="2"/>
    <x v="98"/>
    <x v="0"/>
    <x v="8"/>
    <n v="657.785895356168"/>
    <n v="240091.851805001"/>
    <n v="864330.66649800504"/>
  </r>
  <r>
    <x v="0"/>
    <x v="0"/>
    <x v="0"/>
    <x v="2"/>
    <x v="3"/>
    <s v="FIN_HELS"/>
    <x v="2"/>
    <x v="98"/>
    <x v="0"/>
    <x v="0"/>
    <n v="903.71357302905199"/>
    <n v="329855.45415560401"/>
    <n v="1187479.6349601699"/>
  </r>
  <r>
    <x v="0"/>
    <x v="0"/>
    <x v="0"/>
    <x v="2"/>
    <x v="3"/>
    <s v="FIN_HELS"/>
    <x v="2"/>
    <x v="98"/>
    <x v="0"/>
    <x v="1"/>
    <n v="1024.88374809535"/>
    <n v="374082.56805480301"/>
    <n v="1346697.24499729"/>
  </r>
  <r>
    <x v="0"/>
    <x v="0"/>
    <x v="0"/>
    <x v="2"/>
    <x v="3"/>
    <s v="FIN_HELS"/>
    <x v="2"/>
    <x v="98"/>
    <x v="0"/>
    <x v="2"/>
    <n v="1014.75316158255"/>
    <n v="370384.90397762897"/>
    <n v="1333385.65431947"/>
  </r>
  <r>
    <x v="0"/>
    <x v="0"/>
    <x v="0"/>
    <x v="2"/>
    <x v="3"/>
    <s v="FIN_HELS"/>
    <x v="2"/>
    <x v="98"/>
    <x v="0"/>
    <x v="9"/>
    <n v="976.78646032727295"/>
    <n v="356527.058019455"/>
    <n v="1283497.40887004"/>
  </r>
  <r>
    <x v="0"/>
    <x v="0"/>
    <x v="0"/>
    <x v="2"/>
    <x v="3"/>
    <s v="FIN_HELS"/>
    <x v="2"/>
    <x v="98"/>
    <x v="0"/>
    <x v="10"/>
    <n v="920.16740654158195"/>
    <n v="335861.10338767699"/>
    <n v="1209099.97219564"/>
  </r>
  <r>
    <x v="0"/>
    <x v="0"/>
    <x v="0"/>
    <x v="2"/>
    <x v="3"/>
    <s v="FIN_HELS"/>
    <x v="2"/>
    <x v="98"/>
    <x v="0"/>
    <x v="11"/>
    <n v="873.24483790825002"/>
    <n v="318734.36583651102"/>
    <n v="1147443.7170114401"/>
  </r>
  <r>
    <x v="0"/>
    <x v="0"/>
    <x v="0"/>
    <x v="2"/>
    <x v="3"/>
    <s v="FIN_HELS"/>
    <x v="2"/>
    <x v="98"/>
    <x v="0"/>
    <x v="12"/>
    <n v="835.83199488998503"/>
    <n v="305078.678134844"/>
    <n v="1098283.24128544"/>
  </r>
  <r>
    <x v="0"/>
    <x v="0"/>
    <x v="0"/>
    <x v="2"/>
    <x v="3"/>
    <s v="FIN_HELS"/>
    <x v="2"/>
    <x v="98"/>
    <x v="0"/>
    <x v="13"/>
    <n v="822.96580881249395"/>
    <n v="300382.52021655999"/>
    <n v="1081377.0727796201"/>
  </r>
  <r>
    <x v="0"/>
    <x v="0"/>
    <x v="0"/>
    <x v="2"/>
    <x v="3"/>
    <s v="FIN_HELS"/>
    <x v="2"/>
    <x v="98"/>
    <x v="0"/>
    <x v="14"/>
    <n v="814.31135454367995"/>
    <n v="297223.64440844301"/>
    <n v="1070005.1198704001"/>
  </r>
  <r>
    <x v="0"/>
    <x v="0"/>
    <x v="0"/>
    <x v="2"/>
    <x v="3"/>
    <s v="FIN_HELS"/>
    <x v="2"/>
    <x v="98"/>
    <x v="0"/>
    <x v="15"/>
    <n v="826.09535139909997"/>
    <n v="301524.80326067202"/>
    <n v="1085489.29173842"/>
  </r>
  <r>
    <x v="0"/>
    <x v="0"/>
    <x v="0"/>
    <x v="2"/>
    <x v="3"/>
    <s v="FIN_HELS"/>
    <x v="2"/>
    <x v="98"/>
    <x v="0"/>
    <x v="16"/>
    <n v="789.41257742952496"/>
    <n v="288135.59076177701"/>
    <n v="1037288.1267424"/>
  </r>
  <r>
    <x v="0"/>
    <x v="0"/>
    <x v="0"/>
    <x v="2"/>
    <x v="3"/>
    <s v="FIN_HELS"/>
    <x v="2"/>
    <x v="98"/>
    <x v="0"/>
    <x v="17"/>
    <n v="743.33886853628201"/>
    <n v="271318.68701574299"/>
    <n v="976747.27325667394"/>
  </r>
  <r>
    <x v="0"/>
    <x v="0"/>
    <x v="0"/>
    <x v="2"/>
    <x v="3"/>
    <s v="FIN_HELS"/>
    <x v="2"/>
    <x v="98"/>
    <x v="0"/>
    <x v="18"/>
    <n v="725.43377385358099"/>
    <n v="264783.32745655702"/>
    <n v="953219.97884360596"/>
  </r>
  <r>
    <x v="0"/>
    <x v="0"/>
    <x v="0"/>
    <x v="2"/>
    <x v="3"/>
    <s v="FIN_HELS"/>
    <x v="2"/>
    <x v="98"/>
    <x v="0"/>
    <x v="19"/>
    <n v="700.09850370815104"/>
    <n v="255535.95385347499"/>
    <n v="919929.43387251103"/>
  </r>
  <r>
    <x v="0"/>
    <x v="0"/>
    <x v="0"/>
    <x v="2"/>
    <x v="3"/>
    <s v="FIN_HELS"/>
    <x v="2"/>
    <x v="98"/>
    <x v="0"/>
    <x v="20"/>
    <n v="669.75409099907495"/>
    <n v="244460.24321466201"/>
    <n v="880056.87557278504"/>
  </r>
  <r>
    <x v="0"/>
    <x v="0"/>
    <x v="0"/>
    <x v="2"/>
    <x v="3"/>
    <s v="FIN_HELS"/>
    <x v="2"/>
    <x v="98"/>
    <x v="0"/>
    <x v="21"/>
    <n v="630.77497734608801"/>
    <n v="230232.86673132199"/>
    <n v="828838.32023276004"/>
  </r>
  <r>
    <x v="0"/>
    <x v="0"/>
    <x v="0"/>
    <x v="2"/>
    <x v="3"/>
    <s v="FIN_HELS"/>
    <x v="2"/>
    <x v="98"/>
    <x v="0"/>
    <x v="22"/>
    <n v="571.33773325831896"/>
    <n v="208538.27263928601"/>
    <n v="750737.78150143102"/>
  </r>
  <r>
    <x v="0"/>
    <x v="0"/>
    <x v="0"/>
    <x v="2"/>
    <x v="3"/>
    <s v="FIN_HELS"/>
    <x v="2"/>
    <x v="98"/>
    <x v="0"/>
    <x v="23"/>
    <n v="500.29341566652403"/>
    <n v="182607.09671828101"/>
    <n v="657385.54818581196"/>
  </r>
  <r>
    <x v="0"/>
    <x v="0"/>
    <x v="0"/>
    <x v="2"/>
    <x v="3"/>
    <s v="FIN_HP"/>
    <x v="11"/>
    <x v="105"/>
    <x v="0"/>
    <x v="3"/>
    <n v="4.7058823529411802"/>
    <n v="1717.64705882353"/>
    <n v="6183.5294117647099"/>
  </r>
  <r>
    <x v="0"/>
    <x v="0"/>
    <x v="0"/>
    <x v="2"/>
    <x v="3"/>
    <s v="FIN_HP"/>
    <x v="11"/>
    <x v="105"/>
    <x v="0"/>
    <x v="4"/>
    <n v="4.7058823529411802"/>
    <n v="1717.64705882353"/>
    <n v="6183.5294117647099"/>
  </r>
  <r>
    <x v="0"/>
    <x v="0"/>
    <x v="0"/>
    <x v="2"/>
    <x v="3"/>
    <s v="FIN_HP"/>
    <x v="11"/>
    <x v="105"/>
    <x v="0"/>
    <x v="5"/>
    <n v="4.7058823529411802"/>
    <n v="1717.64705882353"/>
    <n v="6183.5294117647099"/>
  </r>
  <r>
    <x v="0"/>
    <x v="0"/>
    <x v="0"/>
    <x v="2"/>
    <x v="3"/>
    <s v="FIN_HP"/>
    <x v="11"/>
    <x v="105"/>
    <x v="0"/>
    <x v="6"/>
    <n v="4.7058823529411802"/>
    <n v="1717.64705882353"/>
    <n v="6183.5294117647099"/>
  </r>
  <r>
    <x v="0"/>
    <x v="0"/>
    <x v="0"/>
    <x v="2"/>
    <x v="3"/>
    <s v="FIN_HP"/>
    <x v="11"/>
    <x v="105"/>
    <x v="0"/>
    <x v="7"/>
    <n v="4.7058823529411802"/>
    <n v="1717.64705882353"/>
    <n v="6183.5294117647099"/>
  </r>
  <r>
    <x v="0"/>
    <x v="0"/>
    <x v="0"/>
    <x v="2"/>
    <x v="3"/>
    <s v="FIN_HP"/>
    <x v="11"/>
    <x v="105"/>
    <x v="0"/>
    <x v="8"/>
    <n v="4.7058823529411802"/>
    <n v="1717.64705882353"/>
    <n v="6183.5294117647099"/>
  </r>
  <r>
    <x v="0"/>
    <x v="0"/>
    <x v="0"/>
    <x v="2"/>
    <x v="3"/>
    <s v="FIN_HP"/>
    <x v="11"/>
    <x v="105"/>
    <x v="0"/>
    <x v="0"/>
    <n v="4.7058823529411802"/>
    <n v="1717.64705882353"/>
    <n v="6183.5294117647099"/>
  </r>
  <r>
    <x v="0"/>
    <x v="0"/>
    <x v="0"/>
    <x v="2"/>
    <x v="3"/>
    <s v="FIN_HP"/>
    <x v="11"/>
    <x v="105"/>
    <x v="0"/>
    <x v="1"/>
    <n v="4.7058823529411802"/>
    <n v="1717.64705882353"/>
    <n v="6183.5294117647099"/>
  </r>
  <r>
    <x v="0"/>
    <x v="0"/>
    <x v="0"/>
    <x v="2"/>
    <x v="3"/>
    <s v="FIN_HP"/>
    <x v="11"/>
    <x v="105"/>
    <x v="0"/>
    <x v="2"/>
    <n v="4.7058823529411802"/>
    <n v="1717.64705882353"/>
    <n v="6183.5294117647099"/>
  </r>
  <r>
    <x v="0"/>
    <x v="0"/>
    <x v="0"/>
    <x v="2"/>
    <x v="3"/>
    <s v="FIN_HP"/>
    <x v="11"/>
    <x v="105"/>
    <x v="0"/>
    <x v="9"/>
    <n v="4.7058823529411802"/>
    <n v="1717.64705882353"/>
    <n v="6183.5294117647099"/>
  </r>
  <r>
    <x v="0"/>
    <x v="0"/>
    <x v="0"/>
    <x v="2"/>
    <x v="3"/>
    <s v="FIN_HP"/>
    <x v="11"/>
    <x v="105"/>
    <x v="0"/>
    <x v="10"/>
    <n v="4.7058823529411802"/>
    <n v="1717.64705882353"/>
    <n v="6183.5294117647099"/>
  </r>
  <r>
    <x v="0"/>
    <x v="0"/>
    <x v="0"/>
    <x v="2"/>
    <x v="3"/>
    <s v="FIN_HP"/>
    <x v="11"/>
    <x v="105"/>
    <x v="0"/>
    <x v="11"/>
    <n v="4.7058823529411802"/>
    <n v="1717.64705882353"/>
    <n v="6183.5294117647099"/>
  </r>
  <r>
    <x v="0"/>
    <x v="0"/>
    <x v="0"/>
    <x v="2"/>
    <x v="3"/>
    <s v="FIN_HP"/>
    <x v="11"/>
    <x v="105"/>
    <x v="0"/>
    <x v="12"/>
    <n v="4.7058823529411802"/>
    <n v="1717.64705882353"/>
    <n v="6183.5294117647099"/>
  </r>
  <r>
    <x v="0"/>
    <x v="0"/>
    <x v="0"/>
    <x v="2"/>
    <x v="3"/>
    <s v="FIN_HP"/>
    <x v="11"/>
    <x v="105"/>
    <x v="0"/>
    <x v="13"/>
    <n v="4.7058823529411802"/>
    <n v="1717.64705882353"/>
    <n v="6183.5294117647099"/>
  </r>
  <r>
    <x v="0"/>
    <x v="0"/>
    <x v="0"/>
    <x v="2"/>
    <x v="3"/>
    <s v="FIN_HP"/>
    <x v="11"/>
    <x v="105"/>
    <x v="0"/>
    <x v="14"/>
    <n v="4.7058823529411802"/>
    <n v="1717.64705882353"/>
    <n v="6183.5294117647099"/>
  </r>
  <r>
    <x v="0"/>
    <x v="0"/>
    <x v="0"/>
    <x v="2"/>
    <x v="3"/>
    <s v="FIN_HP"/>
    <x v="11"/>
    <x v="105"/>
    <x v="0"/>
    <x v="15"/>
    <n v="4.7058823529411802"/>
    <n v="1717.64705882353"/>
    <n v="6183.5294117647099"/>
  </r>
  <r>
    <x v="0"/>
    <x v="0"/>
    <x v="0"/>
    <x v="2"/>
    <x v="3"/>
    <s v="FIN_HP"/>
    <x v="11"/>
    <x v="105"/>
    <x v="0"/>
    <x v="16"/>
    <n v="4.7058823529411802"/>
    <n v="1717.64705882353"/>
    <n v="6183.5294117647099"/>
  </r>
  <r>
    <x v="0"/>
    <x v="0"/>
    <x v="0"/>
    <x v="2"/>
    <x v="3"/>
    <s v="FIN_HP"/>
    <x v="11"/>
    <x v="105"/>
    <x v="0"/>
    <x v="17"/>
    <n v="4.7058823529411802"/>
    <n v="1717.64705882353"/>
    <n v="6183.5294117647099"/>
  </r>
  <r>
    <x v="0"/>
    <x v="0"/>
    <x v="0"/>
    <x v="2"/>
    <x v="3"/>
    <s v="FIN_HP"/>
    <x v="11"/>
    <x v="105"/>
    <x v="0"/>
    <x v="18"/>
    <n v="4.7058823529411802"/>
    <n v="1717.64705882353"/>
    <n v="6183.5294117647099"/>
  </r>
  <r>
    <x v="0"/>
    <x v="0"/>
    <x v="0"/>
    <x v="2"/>
    <x v="3"/>
    <s v="FIN_HP"/>
    <x v="11"/>
    <x v="105"/>
    <x v="0"/>
    <x v="19"/>
    <n v="4.7058823529411802"/>
    <n v="1717.64705882353"/>
    <n v="6183.5294117647099"/>
  </r>
  <r>
    <x v="0"/>
    <x v="0"/>
    <x v="0"/>
    <x v="2"/>
    <x v="3"/>
    <s v="FIN_HP"/>
    <x v="11"/>
    <x v="105"/>
    <x v="0"/>
    <x v="20"/>
    <n v="4.7058823529411802"/>
    <n v="1717.64705882353"/>
    <n v="6183.5294117647099"/>
  </r>
  <r>
    <x v="0"/>
    <x v="0"/>
    <x v="0"/>
    <x v="2"/>
    <x v="3"/>
    <s v="FIN_HP"/>
    <x v="11"/>
    <x v="105"/>
    <x v="0"/>
    <x v="21"/>
    <n v="4.7058823529411802"/>
    <n v="1717.64705882353"/>
    <n v="6183.5294117647099"/>
  </r>
  <r>
    <x v="0"/>
    <x v="0"/>
    <x v="0"/>
    <x v="2"/>
    <x v="3"/>
    <s v="FIN_HP"/>
    <x v="11"/>
    <x v="105"/>
    <x v="0"/>
    <x v="22"/>
    <n v="4.7058823529411802"/>
    <n v="1717.64705882353"/>
    <n v="6183.5294117647099"/>
  </r>
  <r>
    <x v="0"/>
    <x v="0"/>
    <x v="0"/>
    <x v="2"/>
    <x v="3"/>
    <s v="FIN_HP"/>
    <x v="11"/>
    <x v="105"/>
    <x v="0"/>
    <x v="23"/>
    <n v="4.7058823529411802"/>
    <n v="1717.64705882353"/>
    <n v="6183.5294117647099"/>
  </r>
  <r>
    <x v="0"/>
    <x v="0"/>
    <x v="0"/>
    <x v="2"/>
    <x v="3"/>
    <s v="FIN_HP"/>
    <x v="0"/>
    <x v="106"/>
    <x v="0"/>
    <x v="3"/>
    <n v="143.20486135046301"/>
    <n v="52269.774392919098"/>
    <n v="188171.187814509"/>
  </r>
  <r>
    <x v="0"/>
    <x v="0"/>
    <x v="0"/>
    <x v="2"/>
    <x v="3"/>
    <s v="FIN_HP"/>
    <x v="0"/>
    <x v="106"/>
    <x v="0"/>
    <x v="4"/>
    <n v="138.65860442364601"/>
    <n v="50610.390614630996"/>
    <n v="182197.40621267099"/>
  </r>
  <r>
    <x v="0"/>
    <x v="0"/>
    <x v="0"/>
    <x v="2"/>
    <x v="3"/>
    <s v="FIN_HP"/>
    <x v="0"/>
    <x v="106"/>
    <x v="0"/>
    <x v="5"/>
    <n v="149.77321422303001"/>
    <n v="54667.223191406098"/>
    <n v="196802.00348906199"/>
  </r>
  <r>
    <x v="0"/>
    <x v="0"/>
    <x v="0"/>
    <x v="2"/>
    <x v="3"/>
    <s v="FIN_HP"/>
    <x v="0"/>
    <x v="106"/>
    <x v="0"/>
    <x v="6"/>
    <n v="170.43830049227901"/>
    <n v="62209.979679681797"/>
    <n v="223955.92684685401"/>
  </r>
  <r>
    <x v="0"/>
    <x v="0"/>
    <x v="0"/>
    <x v="2"/>
    <x v="3"/>
    <s v="FIN_HP"/>
    <x v="0"/>
    <x v="106"/>
    <x v="0"/>
    <x v="7"/>
    <n v="205.517611626921"/>
    <n v="75013.9282438261"/>
    <n v="270050.14167777402"/>
  </r>
  <r>
    <x v="0"/>
    <x v="0"/>
    <x v="0"/>
    <x v="2"/>
    <x v="3"/>
    <s v="FIN_HP"/>
    <x v="0"/>
    <x v="106"/>
    <x v="0"/>
    <x v="8"/>
    <n v="247.88004353731699"/>
    <n v="90476.215891120795"/>
    <n v="325714.37720803497"/>
  </r>
  <r>
    <x v="0"/>
    <x v="0"/>
    <x v="0"/>
    <x v="2"/>
    <x v="3"/>
    <s v="FIN_HP"/>
    <x v="0"/>
    <x v="106"/>
    <x v="0"/>
    <x v="0"/>
    <n v="498.45243076379103"/>
    <n v="181935.13722878401"/>
    <n v="654966.49402362097"/>
  </r>
  <r>
    <x v="0"/>
    <x v="0"/>
    <x v="0"/>
    <x v="2"/>
    <x v="3"/>
    <s v="FIN_HP"/>
    <x v="0"/>
    <x v="106"/>
    <x v="0"/>
    <x v="1"/>
    <n v="612.97099460151901"/>
    <n v="223734.41302955401"/>
    <n v="805443.88690639602"/>
  </r>
  <r>
    <x v="0"/>
    <x v="0"/>
    <x v="0"/>
    <x v="2"/>
    <x v="3"/>
    <s v="FIN_HP"/>
    <x v="0"/>
    <x v="106"/>
    <x v="0"/>
    <x v="2"/>
    <n v="612.97099460151901"/>
    <n v="223734.41302955401"/>
    <n v="805443.88690639602"/>
  </r>
  <r>
    <x v="0"/>
    <x v="0"/>
    <x v="0"/>
    <x v="2"/>
    <x v="3"/>
    <s v="FIN_HP"/>
    <x v="0"/>
    <x v="106"/>
    <x v="0"/>
    <x v="9"/>
    <n v="612.97099460151901"/>
    <n v="223734.41302955401"/>
    <n v="805443.88690639602"/>
  </r>
  <r>
    <x v="0"/>
    <x v="0"/>
    <x v="0"/>
    <x v="2"/>
    <x v="3"/>
    <s v="FIN_HP"/>
    <x v="0"/>
    <x v="106"/>
    <x v="0"/>
    <x v="10"/>
    <n v="576.92857535851897"/>
    <n v="210578.930005859"/>
    <n v="758084.14802109404"/>
  </r>
  <r>
    <x v="0"/>
    <x v="0"/>
    <x v="0"/>
    <x v="2"/>
    <x v="3"/>
    <s v="FIN_HP"/>
    <x v="0"/>
    <x v="106"/>
    <x v="0"/>
    <x v="11"/>
    <n v="552.68900409354103"/>
    <n v="201731.486494143"/>
    <n v="726233.35137891304"/>
  </r>
  <r>
    <x v="0"/>
    <x v="0"/>
    <x v="0"/>
    <x v="2"/>
    <x v="3"/>
    <s v="FIN_HP"/>
    <x v="0"/>
    <x v="106"/>
    <x v="0"/>
    <x v="12"/>
    <n v="349.74411669413098"/>
    <n v="127656.60259335799"/>
    <n v="459563.76933608798"/>
  </r>
  <r>
    <x v="0"/>
    <x v="0"/>
    <x v="0"/>
    <x v="2"/>
    <x v="3"/>
    <s v="FIN_HP"/>
    <x v="0"/>
    <x v="106"/>
    <x v="0"/>
    <x v="13"/>
    <n v="338.344130842678"/>
    <n v="123495.60775757799"/>
    <n v="444584.18792727898"/>
  </r>
  <r>
    <x v="0"/>
    <x v="0"/>
    <x v="0"/>
    <x v="2"/>
    <x v="3"/>
    <s v="FIN_HP"/>
    <x v="0"/>
    <x v="106"/>
    <x v="0"/>
    <x v="14"/>
    <n v="484.85781617632898"/>
    <n v="176973.10290436001"/>
    <n v="637103.17045569699"/>
  </r>
  <r>
    <x v="0"/>
    <x v="0"/>
    <x v="0"/>
    <x v="2"/>
    <x v="3"/>
    <s v="FIN_HP"/>
    <x v="0"/>
    <x v="106"/>
    <x v="0"/>
    <x v="15"/>
    <n v="517.60664398233303"/>
    <n v="188926.425053552"/>
    <n v="680135.13019278599"/>
  </r>
  <r>
    <x v="0"/>
    <x v="0"/>
    <x v="0"/>
    <x v="2"/>
    <x v="3"/>
    <s v="FIN_HP"/>
    <x v="0"/>
    <x v="106"/>
    <x v="0"/>
    <x v="16"/>
    <n v="466.90079802568101"/>
    <n v="170418.79127937401"/>
    <n v="613507.64860574505"/>
  </r>
  <r>
    <x v="0"/>
    <x v="0"/>
    <x v="0"/>
    <x v="2"/>
    <x v="3"/>
    <s v="FIN_HP"/>
    <x v="0"/>
    <x v="106"/>
    <x v="0"/>
    <x v="17"/>
    <n v="258.32262193462202"/>
    <n v="94287.757006137006"/>
    <n v="339435.92522209301"/>
  </r>
  <r>
    <x v="0"/>
    <x v="0"/>
    <x v="0"/>
    <x v="2"/>
    <x v="3"/>
    <s v="FIN_HP"/>
    <x v="0"/>
    <x v="106"/>
    <x v="0"/>
    <x v="18"/>
    <n v="233.97977898083201"/>
    <n v="85402.619328003595"/>
    <n v="307449.42958081298"/>
  </r>
  <r>
    <x v="0"/>
    <x v="0"/>
    <x v="0"/>
    <x v="2"/>
    <x v="3"/>
    <s v="FIN_HP"/>
    <x v="0"/>
    <x v="106"/>
    <x v="0"/>
    <x v="19"/>
    <n v="204.26643634244701"/>
    <n v="74557.249264993297"/>
    <n v="268406.09735397599"/>
  </r>
  <r>
    <x v="0"/>
    <x v="0"/>
    <x v="0"/>
    <x v="2"/>
    <x v="3"/>
    <s v="FIN_HP"/>
    <x v="0"/>
    <x v="106"/>
    <x v="0"/>
    <x v="20"/>
    <n v="178.33717284339099"/>
    <n v="65093.068087837797"/>
    <n v="234335.045116216"/>
  </r>
  <r>
    <x v="0"/>
    <x v="0"/>
    <x v="0"/>
    <x v="2"/>
    <x v="3"/>
    <s v="FIN_HP"/>
    <x v="0"/>
    <x v="106"/>
    <x v="0"/>
    <x v="21"/>
    <n v="160.23745529798001"/>
    <n v="58486.671183762701"/>
    <n v="210552.016261546"/>
  </r>
  <r>
    <x v="0"/>
    <x v="0"/>
    <x v="0"/>
    <x v="2"/>
    <x v="3"/>
    <s v="FIN_HP"/>
    <x v="0"/>
    <x v="106"/>
    <x v="0"/>
    <x v="22"/>
    <n v="119.829307248055"/>
    <n v="43737.6971455401"/>
    <n v="157455.70972394399"/>
  </r>
  <r>
    <x v="0"/>
    <x v="0"/>
    <x v="0"/>
    <x v="2"/>
    <x v="3"/>
    <s v="FIN_HP"/>
    <x v="0"/>
    <x v="106"/>
    <x v="0"/>
    <x v="23"/>
    <n v="66.413769826829395"/>
    <n v="24241.025986792702"/>
    <n v="87267.693552453798"/>
  </r>
  <r>
    <x v="0"/>
    <x v="0"/>
    <x v="0"/>
    <x v="2"/>
    <x v="3"/>
    <s v="FIN_HP"/>
    <x v="17"/>
    <x v="107"/>
    <x v="0"/>
    <x v="3"/>
    <n v="5.8318452215866703"/>
    <n v="2128.6235058791299"/>
    <n v="7663.0446211648796"/>
  </r>
  <r>
    <x v="0"/>
    <x v="0"/>
    <x v="0"/>
    <x v="2"/>
    <x v="3"/>
    <s v="FIN_HP"/>
    <x v="17"/>
    <x v="107"/>
    <x v="0"/>
    <x v="4"/>
    <n v="5.8318452215866703"/>
    <n v="2128.6235058791299"/>
    <n v="7663.0446211648796"/>
  </r>
  <r>
    <x v="0"/>
    <x v="0"/>
    <x v="0"/>
    <x v="2"/>
    <x v="3"/>
    <s v="FIN_HP"/>
    <x v="17"/>
    <x v="107"/>
    <x v="0"/>
    <x v="5"/>
    <n v="5.8318452215866703"/>
    <n v="2128.6235058791299"/>
    <n v="7663.0446211648796"/>
  </r>
  <r>
    <x v="0"/>
    <x v="0"/>
    <x v="0"/>
    <x v="2"/>
    <x v="3"/>
    <s v="FIN_HP"/>
    <x v="17"/>
    <x v="107"/>
    <x v="0"/>
    <x v="6"/>
    <n v="5.8318452215866703"/>
    <n v="2128.6235058791299"/>
    <n v="7663.0446211648796"/>
  </r>
  <r>
    <x v="0"/>
    <x v="0"/>
    <x v="0"/>
    <x v="2"/>
    <x v="3"/>
    <s v="FIN_HP"/>
    <x v="17"/>
    <x v="107"/>
    <x v="0"/>
    <x v="7"/>
    <n v="5.8318452215866703"/>
    <n v="2128.6235058791299"/>
    <n v="7663.0446211648796"/>
  </r>
  <r>
    <x v="0"/>
    <x v="0"/>
    <x v="0"/>
    <x v="2"/>
    <x v="3"/>
    <s v="FIN_HP"/>
    <x v="17"/>
    <x v="107"/>
    <x v="0"/>
    <x v="8"/>
    <n v="5.8318452215866703"/>
    <n v="2128.6235058791299"/>
    <n v="7663.0446211648796"/>
  </r>
  <r>
    <x v="0"/>
    <x v="0"/>
    <x v="0"/>
    <x v="2"/>
    <x v="3"/>
    <s v="FIN_HP"/>
    <x v="17"/>
    <x v="107"/>
    <x v="0"/>
    <x v="0"/>
    <n v="5.8318452215866703"/>
    <n v="2128.6235058791299"/>
    <n v="7663.0446211648796"/>
  </r>
  <r>
    <x v="0"/>
    <x v="0"/>
    <x v="0"/>
    <x v="2"/>
    <x v="3"/>
    <s v="FIN_HP"/>
    <x v="17"/>
    <x v="107"/>
    <x v="0"/>
    <x v="1"/>
    <n v="5.8318452215866703"/>
    <n v="2128.6235058791299"/>
    <n v="7663.0446211648796"/>
  </r>
  <r>
    <x v="0"/>
    <x v="0"/>
    <x v="0"/>
    <x v="2"/>
    <x v="3"/>
    <s v="FIN_HP"/>
    <x v="17"/>
    <x v="107"/>
    <x v="0"/>
    <x v="2"/>
    <n v="5.8318452215866703"/>
    <n v="2128.6235058791299"/>
    <n v="7663.0446211648796"/>
  </r>
  <r>
    <x v="0"/>
    <x v="0"/>
    <x v="0"/>
    <x v="2"/>
    <x v="3"/>
    <s v="FIN_HP"/>
    <x v="17"/>
    <x v="107"/>
    <x v="0"/>
    <x v="9"/>
    <n v="4.3764511308616996"/>
    <n v="1597.40466276452"/>
    <n v="5750.6567859522702"/>
  </r>
  <r>
    <x v="0"/>
    <x v="0"/>
    <x v="0"/>
    <x v="2"/>
    <x v="3"/>
    <s v="FIN_HP"/>
    <x v="17"/>
    <x v="107"/>
    <x v="0"/>
    <x v="12"/>
    <n v="5.8318452215866703"/>
    <n v="2128.6235058791299"/>
    <n v="7663.0446211648796"/>
  </r>
  <r>
    <x v="0"/>
    <x v="0"/>
    <x v="0"/>
    <x v="2"/>
    <x v="3"/>
    <s v="FIN_HP"/>
    <x v="17"/>
    <x v="107"/>
    <x v="0"/>
    <x v="13"/>
    <n v="5.8318452215866703"/>
    <n v="2128.6235058791299"/>
    <n v="7663.0446211648796"/>
  </r>
  <r>
    <x v="0"/>
    <x v="0"/>
    <x v="0"/>
    <x v="2"/>
    <x v="3"/>
    <s v="FIN_HP"/>
    <x v="17"/>
    <x v="107"/>
    <x v="0"/>
    <x v="14"/>
    <n v="5.8318452215866703"/>
    <n v="2128.6235058791299"/>
    <n v="7663.0446211648796"/>
  </r>
  <r>
    <x v="0"/>
    <x v="0"/>
    <x v="0"/>
    <x v="2"/>
    <x v="3"/>
    <s v="FIN_HP"/>
    <x v="17"/>
    <x v="107"/>
    <x v="0"/>
    <x v="15"/>
    <n v="5.8318452215866703"/>
    <n v="2128.6235058791299"/>
    <n v="7663.0446211648796"/>
  </r>
  <r>
    <x v="0"/>
    <x v="0"/>
    <x v="0"/>
    <x v="2"/>
    <x v="3"/>
    <s v="FIN_HP"/>
    <x v="17"/>
    <x v="107"/>
    <x v="0"/>
    <x v="16"/>
    <n v="5.8318452215866703"/>
    <n v="2128.6235058791299"/>
    <n v="7663.0446211648796"/>
  </r>
  <r>
    <x v="0"/>
    <x v="0"/>
    <x v="0"/>
    <x v="2"/>
    <x v="3"/>
    <s v="FIN_HP"/>
    <x v="17"/>
    <x v="107"/>
    <x v="0"/>
    <x v="17"/>
    <n v="5.8318452215866703"/>
    <n v="2128.6235058791299"/>
    <n v="7663.0446211648796"/>
  </r>
  <r>
    <x v="0"/>
    <x v="0"/>
    <x v="0"/>
    <x v="2"/>
    <x v="3"/>
    <s v="FIN_HP"/>
    <x v="17"/>
    <x v="107"/>
    <x v="0"/>
    <x v="18"/>
    <n v="5.8318452215866703"/>
    <n v="2128.6235058791299"/>
    <n v="7663.0446211648796"/>
  </r>
  <r>
    <x v="0"/>
    <x v="0"/>
    <x v="0"/>
    <x v="2"/>
    <x v="3"/>
    <s v="FIN_HP"/>
    <x v="17"/>
    <x v="107"/>
    <x v="0"/>
    <x v="19"/>
    <n v="5.8318452215866703"/>
    <n v="2128.6235058791299"/>
    <n v="7663.0446211648796"/>
  </r>
  <r>
    <x v="0"/>
    <x v="0"/>
    <x v="0"/>
    <x v="2"/>
    <x v="3"/>
    <s v="FIN_HP"/>
    <x v="17"/>
    <x v="107"/>
    <x v="0"/>
    <x v="20"/>
    <n v="5.8318452215866703"/>
    <n v="2128.6235058791299"/>
    <n v="7663.0446211648796"/>
  </r>
  <r>
    <x v="0"/>
    <x v="0"/>
    <x v="0"/>
    <x v="2"/>
    <x v="3"/>
    <s v="FIN_HP"/>
    <x v="17"/>
    <x v="107"/>
    <x v="0"/>
    <x v="21"/>
    <n v="5.8318452215866703"/>
    <n v="2128.6235058791299"/>
    <n v="7663.0446211648796"/>
  </r>
  <r>
    <x v="0"/>
    <x v="0"/>
    <x v="0"/>
    <x v="2"/>
    <x v="3"/>
    <s v="FIN_HP"/>
    <x v="17"/>
    <x v="107"/>
    <x v="0"/>
    <x v="22"/>
    <n v="5.8318452215866703"/>
    <n v="2128.6235058791299"/>
    <n v="7663.0446211648796"/>
  </r>
  <r>
    <x v="0"/>
    <x v="0"/>
    <x v="0"/>
    <x v="2"/>
    <x v="3"/>
    <s v="FIN_HP"/>
    <x v="17"/>
    <x v="107"/>
    <x v="0"/>
    <x v="23"/>
    <n v="5.8318452215866703"/>
    <n v="2128.6235058791299"/>
    <n v="7663.0446211648796"/>
  </r>
  <r>
    <x v="0"/>
    <x v="0"/>
    <x v="0"/>
    <x v="2"/>
    <x v="3"/>
    <s v="FIN_HP"/>
    <x v="4"/>
    <x v="108"/>
    <x v="0"/>
    <x v="3"/>
    <n v="5.2655677655677398"/>
    <n v="1921.93223443223"/>
    <n v="6918.95604395602"/>
  </r>
  <r>
    <x v="0"/>
    <x v="0"/>
    <x v="0"/>
    <x v="2"/>
    <x v="3"/>
    <s v="FIN_HP"/>
    <x v="4"/>
    <x v="108"/>
    <x v="0"/>
    <x v="4"/>
    <n v="5.2655677655677398"/>
    <n v="1921.93223443223"/>
    <n v="6918.95604395602"/>
  </r>
  <r>
    <x v="0"/>
    <x v="0"/>
    <x v="0"/>
    <x v="2"/>
    <x v="3"/>
    <s v="FIN_HP"/>
    <x v="4"/>
    <x v="108"/>
    <x v="0"/>
    <x v="5"/>
    <n v="5.2655677655677398"/>
    <n v="1921.93223443223"/>
    <n v="6918.95604395602"/>
  </r>
  <r>
    <x v="0"/>
    <x v="0"/>
    <x v="0"/>
    <x v="2"/>
    <x v="3"/>
    <s v="FIN_HP"/>
    <x v="4"/>
    <x v="108"/>
    <x v="0"/>
    <x v="6"/>
    <n v="5.2655677655677398"/>
    <n v="1921.93223443223"/>
    <n v="6918.95604395602"/>
  </r>
  <r>
    <x v="0"/>
    <x v="0"/>
    <x v="0"/>
    <x v="2"/>
    <x v="3"/>
    <s v="FIN_HP"/>
    <x v="4"/>
    <x v="108"/>
    <x v="0"/>
    <x v="7"/>
    <n v="5.2655677655677398"/>
    <n v="1921.93223443223"/>
    <n v="6918.95604395602"/>
  </r>
  <r>
    <x v="0"/>
    <x v="0"/>
    <x v="0"/>
    <x v="2"/>
    <x v="3"/>
    <s v="FIN_HP"/>
    <x v="4"/>
    <x v="108"/>
    <x v="0"/>
    <x v="8"/>
    <n v="5.2655677655677398"/>
    <n v="1921.93223443223"/>
    <n v="6918.95604395602"/>
  </r>
  <r>
    <x v="0"/>
    <x v="0"/>
    <x v="0"/>
    <x v="2"/>
    <x v="3"/>
    <s v="FIN_HP"/>
    <x v="4"/>
    <x v="108"/>
    <x v="0"/>
    <x v="0"/>
    <n v="5.2655677655677398"/>
    <n v="1921.93223443223"/>
    <n v="6918.95604395602"/>
  </r>
  <r>
    <x v="0"/>
    <x v="0"/>
    <x v="0"/>
    <x v="2"/>
    <x v="3"/>
    <s v="FIN_HP"/>
    <x v="4"/>
    <x v="108"/>
    <x v="0"/>
    <x v="1"/>
    <n v="5.2655677655677398"/>
    <n v="1921.93223443223"/>
    <n v="6918.95604395602"/>
  </r>
  <r>
    <x v="0"/>
    <x v="0"/>
    <x v="0"/>
    <x v="2"/>
    <x v="3"/>
    <s v="FIN_HP"/>
    <x v="4"/>
    <x v="108"/>
    <x v="0"/>
    <x v="2"/>
    <n v="5.2655677655677398"/>
    <n v="1921.93223443223"/>
    <n v="6918.95604395602"/>
  </r>
  <r>
    <x v="0"/>
    <x v="0"/>
    <x v="0"/>
    <x v="2"/>
    <x v="3"/>
    <s v="FIN_HP"/>
    <x v="4"/>
    <x v="108"/>
    <x v="0"/>
    <x v="9"/>
    <n v="5.2655677655677398"/>
    <n v="1921.93223443223"/>
    <n v="6918.95604395602"/>
  </r>
  <r>
    <x v="0"/>
    <x v="0"/>
    <x v="0"/>
    <x v="2"/>
    <x v="3"/>
    <s v="FIN_HP"/>
    <x v="4"/>
    <x v="108"/>
    <x v="0"/>
    <x v="10"/>
    <n v="5.2655677655677398"/>
    <n v="1921.93223443223"/>
    <n v="6918.95604395602"/>
  </r>
  <r>
    <x v="0"/>
    <x v="0"/>
    <x v="0"/>
    <x v="2"/>
    <x v="3"/>
    <s v="FIN_HP"/>
    <x v="4"/>
    <x v="108"/>
    <x v="0"/>
    <x v="11"/>
    <n v="5.2655677655677398"/>
    <n v="1921.93223443223"/>
    <n v="6918.95604395602"/>
  </r>
  <r>
    <x v="0"/>
    <x v="0"/>
    <x v="0"/>
    <x v="2"/>
    <x v="3"/>
    <s v="FIN_HP"/>
    <x v="4"/>
    <x v="108"/>
    <x v="0"/>
    <x v="12"/>
    <n v="5.2655677655677398"/>
    <n v="1921.93223443223"/>
    <n v="6918.95604395602"/>
  </r>
  <r>
    <x v="0"/>
    <x v="0"/>
    <x v="0"/>
    <x v="2"/>
    <x v="3"/>
    <s v="FIN_HP"/>
    <x v="4"/>
    <x v="108"/>
    <x v="0"/>
    <x v="13"/>
    <n v="5.2655677655677398"/>
    <n v="1921.93223443223"/>
    <n v="6918.95604395602"/>
  </r>
  <r>
    <x v="0"/>
    <x v="0"/>
    <x v="0"/>
    <x v="2"/>
    <x v="3"/>
    <s v="FIN_HP"/>
    <x v="4"/>
    <x v="108"/>
    <x v="0"/>
    <x v="14"/>
    <n v="5.2655677655677398"/>
    <n v="1921.93223443223"/>
    <n v="6918.95604395602"/>
  </r>
  <r>
    <x v="0"/>
    <x v="0"/>
    <x v="0"/>
    <x v="2"/>
    <x v="3"/>
    <s v="FIN_HP"/>
    <x v="4"/>
    <x v="108"/>
    <x v="0"/>
    <x v="15"/>
    <n v="5.2655677655677398"/>
    <n v="1921.93223443223"/>
    <n v="6918.95604395602"/>
  </r>
  <r>
    <x v="0"/>
    <x v="0"/>
    <x v="0"/>
    <x v="2"/>
    <x v="3"/>
    <s v="FIN_HP"/>
    <x v="4"/>
    <x v="108"/>
    <x v="0"/>
    <x v="16"/>
    <n v="5.2655677655677398"/>
    <n v="1921.93223443223"/>
    <n v="6918.95604395602"/>
  </r>
  <r>
    <x v="0"/>
    <x v="0"/>
    <x v="0"/>
    <x v="2"/>
    <x v="3"/>
    <s v="FIN_HP"/>
    <x v="4"/>
    <x v="108"/>
    <x v="0"/>
    <x v="17"/>
    <n v="5.2655677655677398"/>
    <n v="1921.93223443223"/>
    <n v="6918.95604395602"/>
  </r>
  <r>
    <x v="0"/>
    <x v="0"/>
    <x v="0"/>
    <x v="2"/>
    <x v="3"/>
    <s v="FIN_HP"/>
    <x v="4"/>
    <x v="108"/>
    <x v="0"/>
    <x v="18"/>
    <n v="5.2655677655677398"/>
    <n v="1921.93223443223"/>
    <n v="6918.95604395602"/>
  </r>
  <r>
    <x v="0"/>
    <x v="0"/>
    <x v="0"/>
    <x v="2"/>
    <x v="3"/>
    <s v="FIN_HP"/>
    <x v="4"/>
    <x v="108"/>
    <x v="0"/>
    <x v="19"/>
    <n v="5.2655677655677398"/>
    <n v="1921.93223443223"/>
    <n v="6918.95604395602"/>
  </r>
  <r>
    <x v="0"/>
    <x v="0"/>
    <x v="0"/>
    <x v="2"/>
    <x v="3"/>
    <s v="FIN_HP"/>
    <x v="4"/>
    <x v="108"/>
    <x v="0"/>
    <x v="20"/>
    <n v="5.2655677655677398"/>
    <n v="1921.93223443223"/>
    <n v="6918.95604395602"/>
  </r>
  <r>
    <x v="0"/>
    <x v="0"/>
    <x v="0"/>
    <x v="2"/>
    <x v="3"/>
    <s v="FIN_HP"/>
    <x v="4"/>
    <x v="108"/>
    <x v="0"/>
    <x v="21"/>
    <n v="5.2655677655677398"/>
    <n v="1921.93223443223"/>
    <n v="6918.95604395602"/>
  </r>
  <r>
    <x v="0"/>
    <x v="0"/>
    <x v="0"/>
    <x v="2"/>
    <x v="3"/>
    <s v="FIN_HP"/>
    <x v="4"/>
    <x v="108"/>
    <x v="0"/>
    <x v="22"/>
    <n v="5.2655677655677398"/>
    <n v="1921.93223443223"/>
    <n v="6918.95604395602"/>
  </r>
  <r>
    <x v="0"/>
    <x v="0"/>
    <x v="0"/>
    <x v="2"/>
    <x v="3"/>
    <s v="FIN_HP"/>
    <x v="4"/>
    <x v="108"/>
    <x v="0"/>
    <x v="23"/>
    <n v="5.2655677655677398"/>
    <n v="1921.93223443223"/>
    <n v="6918.95604395602"/>
  </r>
  <r>
    <x v="0"/>
    <x v="0"/>
    <x v="0"/>
    <x v="2"/>
    <x v="3"/>
    <s v="FIN_HP"/>
    <x v="5"/>
    <x v="109"/>
    <x v="0"/>
    <x v="3"/>
    <n v="96.4444444444444"/>
    <n v="35202.222222222197"/>
    <n v="126728"/>
  </r>
  <r>
    <x v="0"/>
    <x v="0"/>
    <x v="0"/>
    <x v="2"/>
    <x v="3"/>
    <s v="FIN_HP"/>
    <x v="5"/>
    <x v="109"/>
    <x v="0"/>
    <x v="4"/>
    <n v="96.4444444444444"/>
    <n v="35202.222222222197"/>
    <n v="126728"/>
  </r>
  <r>
    <x v="0"/>
    <x v="0"/>
    <x v="0"/>
    <x v="2"/>
    <x v="3"/>
    <s v="FIN_HP"/>
    <x v="5"/>
    <x v="109"/>
    <x v="0"/>
    <x v="5"/>
    <n v="96.4444444444444"/>
    <n v="35202.222222222197"/>
    <n v="126728"/>
  </r>
  <r>
    <x v="0"/>
    <x v="0"/>
    <x v="0"/>
    <x v="2"/>
    <x v="3"/>
    <s v="FIN_HP"/>
    <x v="5"/>
    <x v="109"/>
    <x v="0"/>
    <x v="6"/>
    <n v="96.4444444444444"/>
    <n v="35202.222222222197"/>
    <n v="126728"/>
  </r>
  <r>
    <x v="0"/>
    <x v="0"/>
    <x v="0"/>
    <x v="2"/>
    <x v="3"/>
    <s v="FIN_HP"/>
    <x v="5"/>
    <x v="109"/>
    <x v="0"/>
    <x v="7"/>
    <n v="96.4444444444444"/>
    <n v="35202.222222222197"/>
    <n v="126728"/>
  </r>
  <r>
    <x v="0"/>
    <x v="0"/>
    <x v="0"/>
    <x v="2"/>
    <x v="3"/>
    <s v="FIN_HP"/>
    <x v="5"/>
    <x v="109"/>
    <x v="0"/>
    <x v="8"/>
    <n v="96.4444444444444"/>
    <n v="35202.222222222197"/>
    <n v="126728"/>
  </r>
  <r>
    <x v="0"/>
    <x v="0"/>
    <x v="0"/>
    <x v="2"/>
    <x v="3"/>
    <s v="FIN_HP"/>
    <x v="5"/>
    <x v="109"/>
    <x v="0"/>
    <x v="0"/>
    <n v="96.4444444444444"/>
    <n v="35202.222222222197"/>
    <n v="126728"/>
  </r>
  <r>
    <x v="0"/>
    <x v="0"/>
    <x v="0"/>
    <x v="2"/>
    <x v="3"/>
    <s v="FIN_HP"/>
    <x v="5"/>
    <x v="109"/>
    <x v="0"/>
    <x v="1"/>
    <n v="96.4444444444444"/>
    <n v="35202.222222222197"/>
    <n v="126728"/>
  </r>
  <r>
    <x v="0"/>
    <x v="0"/>
    <x v="0"/>
    <x v="2"/>
    <x v="3"/>
    <s v="FIN_HP"/>
    <x v="5"/>
    <x v="109"/>
    <x v="0"/>
    <x v="2"/>
    <n v="96.4444444444444"/>
    <n v="35202.222222222197"/>
    <n v="126728"/>
  </r>
  <r>
    <x v="0"/>
    <x v="0"/>
    <x v="0"/>
    <x v="2"/>
    <x v="3"/>
    <s v="FIN_HP"/>
    <x v="5"/>
    <x v="109"/>
    <x v="0"/>
    <x v="9"/>
    <n v="96.4444444444444"/>
    <n v="35202.222222222197"/>
    <n v="126728"/>
  </r>
  <r>
    <x v="0"/>
    <x v="0"/>
    <x v="0"/>
    <x v="2"/>
    <x v="3"/>
    <s v="FIN_HP"/>
    <x v="5"/>
    <x v="109"/>
    <x v="0"/>
    <x v="10"/>
    <n v="96.4444444444444"/>
    <n v="35202.222222222197"/>
    <n v="126728"/>
  </r>
  <r>
    <x v="0"/>
    <x v="0"/>
    <x v="0"/>
    <x v="2"/>
    <x v="3"/>
    <s v="FIN_HP"/>
    <x v="5"/>
    <x v="109"/>
    <x v="0"/>
    <x v="11"/>
    <n v="96.4444444444444"/>
    <n v="35202.222222222197"/>
    <n v="126728"/>
  </r>
  <r>
    <x v="0"/>
    <x v="0"/>
    <x v="0"/>
    <x v="2"/>
    <x v="3"/>
    <s v="FIN_HP"/>
    <x v="5"/>
    <x v="109"/>
    <x v="0"/>
    <x v="12"/>
    <n v="96.4444444444444"/>
    <n v="35202.222222222197"/>
    <n v="126728"/>
  </r>
  <r>
    <x v="0"/>
    <x v="0"/>
    <x v="0"/>
    <x v="2"/>
    <x v="3"/>
    <s v="FIN_HP"/>
    <x v="5"/>
    <x v="109"/>
    <x v="0"/>
    <x v="13"/>
    <n v="96.4444444444444"/>
    <n v="35202.222222222197"/>
    <n v="126728"/>
  </r>
  <r>
    <x v="0"/>
    <x v="0"/>
    <x v="0"/>
    <x v="2"/>
    <x v="3"/>
    <s v="FIN_HP"/>
    <x v="5"/>
    <x v="109"/>
    <x v="0"/>
    <x v="14"/>
    <n v="96.4444444444444"/>
    <n v="35202.222222222197"/>
    <n v="126728"/>
  </r>
  <r>
    <x v="0"/>
    <x v="0"/>
    <x v="0"/>
    <x v="2"/>
    <x v="3"/>
    <s v="FIN_HP"/>
    <x v="5"/>
    <x v="109"/>
    <x v="0"/>
    <x v="15"/>
    <n v="96.4444444444444"/>
    <n v="35202.222222222197"/>
    <n v="126728"/>
  </r>
  <r>
    <x v="0"/>
    <x v="0"/>
    <x v="0"/>
    <x v="2"/>
    <x v="3"/>
    <s v="FIN_HP"/>
    <x v="5"/>
    <x v="109"/>
    <x v="0"/>
    <x v="16"/>
    <n v="96.4444444444444"/>
    <n v="35202.222222222197"/>
    <n v="126728"/>
  </r>
  <r>
    <x v="0"/>
    <x v="0"/>
    <x v="0"/>
    <x v="2"/>
    <x v="3"/>
    <s v="FIN_HP"/>
    <x v="5"/>
    <x v="109"/>
    <x v="0"/>
    <x v="17"/>
    <n v="96.4444444444444"/>
    <n v="35202.222222222197"/>
    <n v="126728"/>
  </r>
  <r>
    <x v="0"/>
    <x v="0"/>
    <x v="0"/>
    <x v="2"/>
    <x v="3"/>
    <s v="FIN_HP"/>
    <x v="5"/>
    <x v="109"/>
    <x v="0"/>
    <x v="18"/>
    <n v="96.4444444444444"/>
    <n v="35202.222222222197"/>
    <n v="126728"/>
  </r>
  <r>
    <x v="0"/>
    <x v="0"/>
    <x v="0"/>
    <x v="2"/>
    <x v="3"/>
    <s v="FIN_HP"/>
    <x v="5"/>
    <x v="109"/>
    <x v="0"/>
    <x v="19"/>
    <n v="96.4444444444444"/>
    <n v="35202.222222222197"/>
    <n v="126728"/>
  </r>
  <r>
    <x v="0"/>
    <x v="0"/>
    <x v="0"/>
    <x v="2"/>
    <x v="3"/>
    <s v="FIN_HP"/>
    <x v="5"/>
    <x v="109"/>
    <x v="0"/>
    <x v="20"/>
    <n v="96.4444444444444"/>
    <n v="35202.222222222197"/>
    <n v="126728"/>
  </r>
  <r>
    <x v="0"/>
    <x v="0"/>
    <x v="0"/>
    <x v="2"/>
    <x v="3"/>
    <s v="FIN_HP"/>
    <x v="5"/>
    <x v="109"/>
    <x v="0"/>
    <x v="21"/>
    <n v="96.4444444444444"/>
    <n v="35202.222222222197"/>
    <n v="126728"/>
  </r>
  <r>
    <x v="0"/>
    <x v="0"/>
    <x v="0"/>
    <x v="2"/>
    <x v="3"/>
    <s v="FIN_HP"/>
    <x v="5"/>
    <x v="109"/>
    <x v="0"/>
    <x v="22"/>
    <n v="96.4444444444444"/>
    <n v="35202.222222222197"/>
    <n v="126728"/>
  </r>
  <r>
    <x v="0"/>
    <x v="0"/>
    <x v="0"/>
    <x v="2"/>
    <x v="3"/>
    <s v="FIN_HP"/>
    <x v="5"/>
    <x v="109"/>
    <x v="0"/>
    <x v="23"/>
    <n v="96.4444444444444"/>
    <n v="35202.222222222197"/>
    <n v="126728"/>
  </r>
  <r>
    <x v="0"/>
    <x v="0"/>
    <x v="0"/>
    <x v="2"/>
    <x v="3"/>
    <s v="FIN_HP"/>
    <x v="9"/>
    <x v="110"/>
    <x v="0"/>
    <x v="3"/>
    <n v="1.8888888888888899"/>
    <n v="689.444444444444"/>
    <n v="2482"/>
  </r>
  <r>
    <x v="0"/>
    <x v="0"/>
    <x v="0"/>
    <x v="2"/>
    <x v="3"/>
    <s v="FIN_HP"/>
    <x v="9"/>
    <x v="110"/>
    <x v="0"/>
    <x v="4"/>
    <n v="1.8888888888888899"/>
    <n v="689.444444444444"/>
    <n v="2482"/>
  </r>
  <r>
    <x v="0"/>
    <x v="0"/>
    <x v="0"/>
    <x v="2"/>
    <x v="3"/>
    <s v="FIN_HP"/>
    <x v="9"/>
    <x v="110"/>
    <x v="0"/>
    <x v="5"/>
    <n v="1.8888888888888899"/>
    <n v="689.444444444444"/>
    <n v="2482"/>
  </r>
  <r>
    <x v="0"/>
    <x v="0"/>
    <x v="0"/>
    <x v="2"/>
    <x v="3"/>
    <s v="FIN_HP"/>
    <x v="9"/>
    <x v="110"/>
    <x v="0"/>
    <x v="6"/>
    <n v="1.8888888888888899"/>
    <n v="689.444444444444"/>
    <n v="2482"/>
  </r>
  <r>
    <x v="0"/>
    <x v="0"/>
    <x v="0"/>
    <x v="2"/>
    <x v="3"/>
    <s v="FIN_HP"/>
    <x v="9"/>
    <x v="110"/>
    <x v="0"/>
    <x v="7"/>
    <n v="1.8888888888888899"/>
    <n v="689.444444444444"/>
    <n v="2482"/>
  </r>
  <r>
    <x v="0"/>
    <x v="0"/>
    <x v="0"/>
    <x v="2"/>
    <x v="3"/>
    <s v="FIN_HP"/>
    <x v="9"/>
    <x v="110"/>
    <x v="0"/>
    <x v="8"/>
    <n v="1.8888888888888899"/>
    <n v="689.444444444444"/>
    <n v="2482"/>
  </r>
  <r>
    <x v="0"/>
    <x v="0"/>
    <x v="0"/>
    <x v="2"/>
    <x v="3"/>
    <s v="FIN_HP"/>
    <x v="9"/>
    <x v="110"/>
    <x v="0"/>
    <x v="0"/>
    <n v="1.8888888888888899"/>
    <n v="689.444444444444"/>
    <n v="2482"/>
  </r>
  <r>
    <x v="0"/>
    <x v="0"/>
    <x v="0"/>
    <x v="2"/>
    <x v="3"/>
    <s v="FIN_HP"/>
    <x v="9"/>
    <x v="110"/>
    <x v="0"/>
    <x v="1"/>
    <n v="1.8888888888888899"/>
    <n v="689.444444444444"/>
    <n v="2482"/>
  </r>
  <r>
    <x v="0"/>
    <x v="0"/>
    <x v="0"/>
    <x v="2"/>
    <x v="3"/>
    <s v="FIN_HP"/>
    <x v="9"/>
    <x v="110"/>
    <x v="0"/>
    <x v="2"/>
    <n v="1.8888888888888899"/>
    <n v="689.444444444444"/>
    <n v="2482"/>
  </r>
  <r>
    <x v="0"/>
    <x v="0"/>
    <x v="0"/>
    <x v="2"/>
    <x v="3"/>
    <s v="FIN_HP"/>
    <x v="9"/>
    <x v="110"/>
    <x v="0"/>
    <x v="9"/>
    <n v="1.8888888888888899"/>
    <n v="689.444444444444"/>
    <n v="2482"/>
  </r>
  <r>
    <x v="0"/>
    <x v="0"/>
    <x v="0"/>
    <x v="2"/>
    <x v="3"/>
    <s v="FIN_HP"/>
    <x v="9"/>
    <x v="110"/>
    <x v="0"/>
    <x v="10"/>
    <n v="1.8888888888888899"/>
    <n v="689.444444444444"/>
    <n v="2482"/>
  </r>
  <r>
    <x v="0"/>
    <x v="0"/>
    <x v="0"/>
    <x v="2"/>
    <x v="3"/>
    <s v="FIN_HP"/>
    <x v="9"/>
    <x v="110"/>
    <x v="0"/>
    <x v="11"/>
    <n v="1.8888888888888899"/>
    <n v="689.444444444444"/>
    <n v="2482"/>
  </r>
  <r>
    <x v="0"/>
    <x v="0"/>
    <x v="0"/>
    <x v="2"/>
    <x v="3"/>
    <s v="FIN_HP"/>
    <x v="9"/>
    <x v="110"/>
    <x v="0"/>
    <x v="12"/>
    <n v="1.8888888888888899"/>
    <n v="689.444444444444"/>
    <n v="2482"/>
  </r>
  <r>
    <x v="0"/>
    <x v="0"/>
    <x v="0"/>
    <x v="2"/>
    <x v="3"/>
    <s v="FIN_HP"/>
    <x v="9"/>
    <x v="110"/>
    <x v="0"/>
    <x v="13"/>
    <n v="1.8888888888888899"/>
    <n v="689.444444444444"/>
    <n v="2482"/>
  </r>
  <r>
    <x v="0"/>
    <x v="0"/>
    <x v="0"/>
    <x v="2"/>
    <x v="3"/>
    <s v="FIN_HP"/>
    <x v="9"/>
    <x v="110"/>
    <x v="0"/>
    <x v="14"/>
    <n v="1.8888888888888899"/>
    <n v="689.444444444444"/>
    <n v="2482"/>
  </r>
  <r>
    <x v="0"/>
    <x v="0"/>
    <x v="0"/>
    <x v="2"/>
    <x v="3"/>
    <s v="FIN_HP"/>
    <x v="9"/>
    <x v="110"/>
    <x v="0"/>
    <x v="15"/>
    <n v="1.8888888888888899"/>
    <n v="689.444444444444"/>
    <n v="2482"/>
  </r>
  <r>
    <x v="0"/>
    <x v="0"/>
    <x v="0"/>
    <x v="2"/>
    <x v="3"/>
    <s v="FIN_HP"/>
    <x v="9"/>
    <x v="110"/>
    <x v="0"/>
    <x v="16"/>
    <n v="1.8888888888888899"/>
    <n v="689.444444444444"/>
    <n v="2482"/>
  </r>
  <r>
    <x v="0"/>
    <x v="0"/>
    <x v="0"/>
    <x v="2"/>
    <x v="3"/>
    <s v="FIN_HP"/>
    <x v="9"/>
    <x v="110"/>
    <x v="0"/>
    <x v="17"/>
    <n v="1.8888888888888899"/>
    <n v="689.444444444444"/>
    <n v="2482"/>
  </r>
  <r>
    <x v="0"/>
    <x v="0"/>
    <x v="0"/>
    <x v="2"/>
    <x v="3"/>
    <s v="FIN_HP"/>
    <x v="9"/>
    <x v="110"/>
    <x v="0"/>
    <x v="18"/>
    <n v="1.8888888888888899"/>
    <n v="689.444444444444"/>
    <n v="2482"/>
  </r>
  <r>
    <x v="0"/>
    <x v="0"/>
    <x v="0"/>
    <x v="2"/>
    <x v="3"/>
    <s v="FIN_HP"/>
    <x v="9"/>
    <x v="110"/>
    <x v="0"/>
    <x v="19"/>
    <n v="1.8888888888888899"/>
    <n v="689.444444444444"/>
    <n v="2482"/>
  </r>
  <r>
    <x v="0"/>
    <x v="0"/>
    <x v="0"/>
    <x v="2"/>
    <x v="3"/>
    <s v="FIN_HP"/>
    <x v="9"/>
    <x v="110"/>
    <x v="0"/>
    <x v="20"/>
    <n v="1.8888888888888899"/>
    <n v="689.444444444444"/>
    <n v="2482"/>
  </r>
  <r>
    <x v="0"/>
    <x v="0"/>
    <x v="0"/>
    <x v="2"/>
    <x v="3"/>
    <s v="FIN_HP"/>
    <x v="9"/>
    <x v="110"/>
    <x v="0"/>
    <x v="21"/>
    <n v="1.8888888888888899"/>
    <n v="689.444444444444"/>
    <n v="2482"/>
  </r>
  <r>
    <x v="0"/>
    <x v="0"/>
    <x v="0"/>
    <x v="2"/>
    <x v="3"/>
    <s v="FIN_HP"/>
    <x v="9"/>
    <x v="110"/>
    <x v="0"/>
    <x v="22"/>
    <n v="1.8888888888888899"/>
    <n v="689.444444444444"/>
    <n v="2482"/>
  </r>
  <r>
    <x v="0"/>
    <x v="0"/>
    <x v="0"/>
    <x v="2"/>
    <x v="3"/>
    <s v="FIN_HP"/>
    <x v="9"/>
    <x v="110"/>
    <x v="0"/>
    <x v="23"/>
    <n v="1.8888888888888899"/>
    <n v="689.444444444444"/>
    <n v="2482"/>
  </r>
  <r>
    <x v="0"/>
    <x v="0"/>
    <x v="0"/>
    <x v="2"/>
    <x v="3"/>
    <s v="FIN_HP"/>
    <x v="10"/>
    <x v="111"/>
    <x v="0"/>
    <x v="3"/>
    <n v="34.705882352941202"/>
    <n v="12667.647058823501"/>
    <n v="45603.529411764699"/>
  </r>
  <r>
    <x v="0"/>
    <x v="0"/>
    <x v="0"/>
    <x v="2"/>
    <x v="3"/>
    <s v="FIN_HP"/>
    <x v="10"/>
    <x v="111"/>
    <x v="0"/>
    <x v="4"/>
    <n v="34.705882352941202"/>
    <n v="12667.647058823501"/>
    <n v="45603.529411764699"/>
  </r>
  <r>
    <x v="0"/>
    <x v="0"/>
    <x v="0"/>
    <x v="2"/>
    <x v="3"/>
    <s v="FIN_HP"/>
    <x v="10"/>
    <x v="111"/>
    <x v="0"/>
    <x v="5"/>
    <n v="34.705882352941202"/>
    <n v="12667.647058823501"/>
    <n v="45603.529411764699"/>
  </r>
  <r>
    <x v="0"/>
    <x v="0"/>
    <x v="0"/>
    <x v="2"/>
    <x v="3"/>
    <s v="FIN_HP"/>
    <x v="10"/>
    <x v="111"/>
    <x v="0"/>
    <x v="6"/>
    <n v="34.705882352941202"/>
    <n v="12667.647058823501"/>
    <n v="45603.529411764699"/>
  </r>
  <r>
    <x v="0"/>
    <x v="0"/>
    <x v="0"/>
    <x v="2"/>
    <x v="3"/>
    <s v="FIN_HP"/>
    <x v="10"/>
    <x v="111"/>
    <x v="0"/>
    <x v="7"/>
    <n v="34.705882352941202"/>
    <n v="12667.647058823501"/>
    <n v="45603.529411764699"/>
  </r>
  <r>
    <x v="0"/>
    <x v="0"/>
    <x v="0"/>
    <x v="2"/>
    <x v="3"/>
    <s v="FIN_HP"/>
    <x v="10"/>
    <x v="111"/>
    <x v="0"/>
    <x v="8"/>
    <n v="34.705882352941202"/>
    <n v="12667.647058823501"/>
    <n v="45603.529411764699"/>
  </r>
  <r>
    <x v="0"/>
    <x v="0"/>
    <x v="0"/>
    <x v="2"/>
    <x v="3"/>
    <s v="FIN_HP"/>
    <x v="10"/>
    <x v="111"/>
    <x v="0"/>
    <x v="0"/>
    <n v="34.705882352941202"/>
    <n v="12667.647058823501"/>
    <n v="45603.529411764699"/>
  </r>
  <r>
    <x v="0"/>
    <x v="0"/>
    <x v="0"/>
    <x v="2"/>
    <x v="3"/>
    <s v="FIN_HP"/>
    <x v="10"/>
    <x v="111"/>
    <x v="0"/>
    <x v="1"/>
    <n v="34.705882352941202"/>
    <n v="12667.647058823501"/>
    <n v="45603.529411764699"/>
  </r>
  <r>
    <x v="0"/>
    <x v="0"/>
    <x v="0"/>
    <x v="2"/>
    <x v="3"/>
    <s v="FIN_HP"/>
    <x v="10"/>
    <x v="111"/>
    <x v="0"/>
    <x v="2"/>
    <n v="34.705882352941202"/>
    <n v="12667.647058823501"/>
    <n v="45603.529411764699"/>
  </r>
  <r>
    <x v="0"/>
    <x v="0"/>
    <x v="0"/>
    <x v="2"/>
    <x v="3"/>
    <s v="FIN_HP"/>
    <x v="10"/>
    <x v="111"/>
    <x v="0"/>
    <x v="9"/>
    <n v="34.705882352941202"/>
    <n v="12667.647058823501"/>
    <n v="45603.529411764699"/>
  </r>
  <r>
    <x v="0"/>
    <x v="0"/>
    <x v="0"/>
    <x v="2"/>
    <x v="3"/>
    <s v="FIN_HP"/>
    <x v="10"/>
    <x v="111"/>
    <x v="0"/>
    <x v="10"/>
    <n v="34.705882352941202"/>
    <n v="12667.647058823501"/>
    <n v="45603.529411764699"/>
  </r>
  <r>
    <x v="0"/>
    <x v="0"/>
    <x v="0"/>
    <x v="2"/>
    <x v="3"/>
    <s v="FIN_HP"/>
    <x v="10"/>
    <x v="111"/>
    <x v="0"/>
    <x v="11"/>
    <n v="34.705882352941202"/>
    <n v="12667.647058823501"/>
    <n v="45603.529411764699"/>
  </r>
  <r>
    <x v="0"/>
    <x v="0"/>
    <x v="0"/>
    <x v="2"/>
    <x v="3"/>
    <s v="FIN_HP"/>
    <x v="10"/>
    <x v="111"/>
    <x v="0"/>
    <x v="12"/>
    <n v="34.705882352941202"/>
    <n v="12667.647058823501"/>
    <n v="45603.529411764699"/>
  </r>
  <r>
    <x v="0"/>
    <x v="0"/>
    <x v="0"/>
    <x v="2"/>
    <x v="3"/>
    <s v="FIN_HP"/>
    <x v="10"/>
    <x v="111"/>
    <x v="0"/>
    <x v="13"/>
    <n v="34.705882352941202"/>
    <n v="12667.647058823501"/>
    <n v="45603.529411764699"/>
  </r>
  <r>
    <x v="0"/>
    <x v="0"/>
    <x v="0"/>
    <x v="2"/>
    <x v="3"/>
    <s v="FIN_HP"/>
    <x v="10"/>
    <x v="111"/>
    <x v="0"/>
    <x v="14"/>
    <n v="34.705882352941202"/>
    <n v="12667.647058823501"/>
    <n v="45603.529411764699"/>
  </r>
  <r>
    <x v="0"/>
    <x v="0"/>
    <x v="0"/>
    <x v="2"/>
    <x v="3"/>
    <s v="FIN_HP"/>
    <x v="10"/>
    <x v="111"/>
    <x v="0"/>
    <x v="15"/>
    <n v="34.705882352941202"/>
    <n v="12667.647058823501"/>
    <n v="45603.529411764699"/>
  </r>
  <r>
    <x v="0"/>
    <x v="0"/>
    <x v="0"/>
    <x v="2"/>
    <x v="3"/>
    <s v="FIN_HP"/>
    <x v="10"/>
    <x v="111"/>
    <x v="0"/>
    <x v="16"/>
    <n v="34.705882352941202"/>
    <n v="12667.647058823501"/>
    <n v="45603.529411764699"/>
  </r>
  <r>
    <x v="0"/>
    <x v="0"/>
    <x v="0"/>
    <x v="2"/>
    <x v="3"/>
    <s v="FIN_HP"/>
    <x v="10"/>
    <x v="111"/>
    <x v="0"/>
    <x v="17"/>
    <n v="34.705882352941202"/>
    <n v="12667.647058823501"/>
    <n v="45603.529411764699"/>
  </r>
  <r>
    <x v="0"/>
    <x v="0"/>
    <x v="0"/>
    <x v="2"/>
    <x v="3"/>
    <s v="FIN_HP"/>
    <x v="10"/>
    <x v="111"/>
    <x v="0"/>
    <x v="18"/>
    <n v="34.705882352941202"/>
    <n v="12667.647058823501"/>
    <n v="45603.529411764699"/>
  </r>
  <r>
    <x v="0"/>
    <x v="0"/>
    <x v="0"/>
    <x v="2"/>
    <x v="3"/>
    <s v="FIN_HP"/>
    <x v="10"/>
    <x v="111"/>
    <x v="0"/>
    <x v="19"/>
    <n v="34.705882352941202"/>
    <n v="12667.647058823501"/>
    <n v="45603.529411764699"/>
  </r>
  <r>
    <x v="0"/>
    <x v="0"/>
    <x v="0"/>
    <x v="2"/>
    <x v="3"/>
    <s v="FIN_HP"/>
    <x v="10"/>
    <x v="111"/>
    <x v="0"/>
    <x v="20"/>
    <n v="34.705882352941202"/>
    <n v="12667.647058823501"/>
    <n v="45603.529411764699"/>
  </r>
  <r>
    <x v="0"/>
    <x v="0"/>
    <x v="0"/>
    <x v="2"/>
    <x v="3"/>
    <s v="FIN_HP"/>
    <x v="10"/>
    <x v="111"/>
    <x v="0"/>
    <x v="21"/>
    <n v="34.705882352941202"/>
    <n v="12667.647058823501"/>
    <n v="45603.529411764699"/>
  </r>
  <r>
    <x v="0"/>
    <x v="0"/>
    <x v="0"/>
    <x v="2"/>
    <x v="3"/>
    <s v="FIN_HP"/>
    <x v="10"/>
    <x v="111"/>
    <x v="0"/>
    <x v="22"/>
    <n v="34.705882352941202"/>
    <n v="12667.647058823501"/>
    <n v="45603.529411764699"/>
  </r>
  <r>
    <x v="0"/>
    <x v="0"/>
    <x v="0"/>
    <x v="2"/>
    <x v="3"/>
    <s v="FIN_HP"/>
    <x v="10"/>
    <x v="111"/>
    <x v="0"/>
    <x v="23"/>
    <n v="34.705882352941202"/>
    <n v="12667.647058823501"/>
    <n v="45603.529411764699"/>
  </r>
  <r>
    <x v="0"/>
    <x v="0"/>
    <x v="0"/>
    <x v="2"/>
    <x v="3"/>
    <s v="FIN_OTHER"/>
    <x v="2"/>
    <x v="112"/>
    <x v="0"/>
    <x v="3"/>
    <n v="451.36363636363598"/>
    <n v="164747.727272727"/>
    <n v="593091.818181818"/>
  </r>
  <r>
    <x v="0"/>
    <x v="0"/>
    <x v="0"/>
    <x v="2"/>
    <x v="3"/>
    <s v="FIN_OTHER"/>
    <x v="2"/>
    <x v="112"/>
    <x v="0"/>
    <x v="4"/>
    <n v="451.36363636363598"/>
    <n v="164747.727272727"/>
    <n v="593091.818181818"/>
  </r>
  <r>
    <x v="0"/>
    <x v="0"/>
    <x v="0"/>
    <x v="2"/>
    <x v="3"/>
    <s v="FIN_OTHER"/>
    <x v="2"/>
    <x v="112"/>
    <x v="0"/>
    <x v="5"/>
    <n v="451.36363636363598"/>
    <n v="164747.727272727"/>
    <n v="593091.818181818"/>
  </r>
  <r>
    <x v="0"/>
    <x v="0"/>
    <x v="0"/>
    <x v="2"/>
    <x v="3"/>
    <s v="FIN_OTHER"/>
    <x v="2"/>
    <x v="112"/>
    <x v="0"/>
    <x v="6"/>
    <n v="451.36363636363598"/>
    <n v="164747.727272727"/>
    <n v="593091.818181818"/>
  </r>
  <r>
    <x v="0"/>
    <x v="0"/>
    <x v="0"/>
    <x v="2"/>
    <x v="3"/>
    <s v="FIN_OTHER"/>
    <x v="2"/>
    <x v="112"/>
    <x v="0"/>
    <x v="7"/>
    <n v="451.36363636363598"/>
    <n v="164747.727272727"/>
    <n v="593091.818181818"/>
  </r>
  <r>
    <x v="0"/>
    <x v="0"/>
    <x v="0"/>
    <x v="2"/>
    <x v="3"/>
    <s v="FIN_OTHER"/>
    <x v="2"/>
    <x v="112"/>
    <x v="0"/>
    <x v="8"/>
    <n v="451.36363636363598"/>
    <n v="164747.727272727"/>
    <n v="593091.818181818"/>
  </r>
  <r>
    <x v="0"/>
    <x v="0"/>
    <x v="0"/>
    <x v="2"/>
    <x v="3"/>
    <s v="FIN_OTHER"/>
    <x v="2"/>
    <x v="112"/>
    <x v="0"/>
    <x v="0"/>
    <n v="451.36363636363598"/>
    <n v="164747.727272727"/>
    <n v="593091.818181818"/>
  </r>
  <r>
    <x v="0"/>
    <x v="0"/>
    <x v="0"/>
    <x v="2"/>
    <x v="3"/>
    <s v="FIN_OTHER"/>
    <x v="2"/>
    <x v="112"/>
    <x v="0"/>
    <x v="1"/>
    <n v="451.36363636363598"/>
    <n v="164747.727272727"/>
    <n v="593091.818181818"/>
  </r>
  <r>
    <x v="0"/>
    <x v="0"/>
    <x v="0"/>
    <x v="2"/>
    <x v="3"/>
    <s v="FIN_OTHER"/>
    <x v="2"/>
    <x v="112"/>
    <x v="0"/>
    <x v="2"/>
    <n v="451.36363636363598"/>
    <n v="164747.727272727"/>
    <n v="593091.818181818"/>
  </r>
  <r>
    <x v="0"/>
    <x v="0"/>
    <x v="0"/>
    <x v="2"/>
    <x v="3"/>
    <s v="FIN_OTHER"/>
    <x v="2"/>
    <x v="112"/>
    <x v="0"/>
    <x v="9"/>
    <n v="451.36363636363598"/>
    <n v="164747.727272727"/>
    <n v="593091.818181818"/>
  </r>
  <r>
    <x v="0"/>
    <x v="0"/>
    <x v="0"/>
    <x v="2"/>
    <x v="3"/>
    <s v="FIN_OTHER"/>
    <x v="2"/>
    <x v="112"/>
    <x v="0"/>
    <x v="10"/>
    <n v="451.36363636363598"/>
    <n v="164747.727272727"/>
    <n v="593091.818181818"/>
  </r>
  <r>
    <x v="0"/>
    <x v="0"/>
    <x v="0"/>
    <x v="2"/>
    <x v="3"/>
    <s v="FIN_OTHER"/>
    <x v="2"/>
    <x v="112"/>
    <x v="0"/>
    <x v="11"/>
    <n v="451.36363636363598"/>
    <n v="164747.727272727"/>
    <n v="593091.818181818"/>
  </r>
  <r>
    <x v="0"/>
    <x v="0"/>
    <x v="0"/>
    <x v="2"/>
    <x v="3"/>
    <s v="FIN_OTHER"/>
    <x v="2"/>
    <x v="112"/>
    <x v="0"/>
    <x v="12"/>
    <n v="451.36363636363598"/>
    <n v="164747.727272727"/>
    <n v="593091.818181818"/>
  </r>
  <r>
    <x v="0"/>
    <x v="0"/>
    <x v="0"/>
    <x v="2"/>
    <x v="3"/>
    <s v="FIN_OTHER"/>
    <x v="2"/>
    <x v="112"/>
    <x v="0"/>
    <x v="13"/>
    <n v="451.36363636363598"/>
    <n v="164747.727272727"/>
    <n v="593091.818181818"/>
  </r>
  <r>
    <x v="0"/>
    <x v="0"/>
    <x v="0"/>
    <x v="2"/>
    <x v="3"/>
    <s v="FIN_OTHER"/>
    <x v="2"/>
    <x v="112"/>
    <x v="0"/>
    <x v="14"/>
    <n v="451.36363636363598"/>
    <n v="164747.727272727"/>
    <n v="593091.818181818"/>
  </r>
  <r>
    <x v="0"/>
    <x v="0"/>
    <x v="0"/>
    <x v="2"/>
    <x v="3"/>
    <s v="FIN_OTHER"/>
    <x v="2"/>
    <x v="112"/>
    <x v="0"/>
    <x v="15"/>
    <n v="451.36363636363598"/>
    <n v="164747.727272727"/>
    <n v="593091.818181818"/>
  </r>
  <r>
    <x v="0"/>
    <x v="0"/>
    <x v="0"/>
    <x v="2"/>
    <x v="3"/>
    <s v="FIN_OTHER"/>
    <x v="2"/>
    <x v="112"/>
    <x v="0"/>
    <x v="16"/>
    <n v="451.36363636363598"/>
    <n v="164747.727272727"/>
    <n v="593091.818181818"/>
  </r>
  <r>
    <x v="0"/>
    <x v="0"/>
    <x v="0"/>
    <x v="2"/>
    <x v="3"/>
    <s v="FIN_OTHER"/>
    <x v="2"/>
    <x v="112"/>
    <x v="0"/>
    <x v="17"/>
    <n v="451.36363636363598"/>
    <n v="164747.727272727"/>
    <n v="593091.818181818"/>
  </r>
  <r>
    <x v="0"/>
    <x v="0"/>
    <x v="0"/>
    <x v="2"/>
    <x v="3"/>
    <s v="FIN_OTHER"/>
    <x v="2"/>
    <x v="112"/>
    <x v="0"/>
    <x v="18"/>
    <n v="451.36363636363598"/>
    <n v="164747.727272727"/>
    <n v="593091.818181818"/>
  </r>
  <r>
    <x v="0"/>
    <x v="0"/>
    <x v="0"/>
    <x v="2"/>
    <x v="3"/>
    <s v="FIN_OTHER"/>
    <x v="2"/>
    <x v="112"/>
    <x v="0"/>
    <x v="19"/>
    <n v="451.36363636363598"/>
    <n v="164747.727272727"/>
    <n v="593091.818181818"/>
  </r>
  <r>
    <x v="0"/>
    <x v="0"/>
    <x v="0"/>
    <x v="2"/>
    <x v="3"/>
    <s v="FIN_OTHER"/>
    <x v="2"/>
    <x v="112"/>
    <x v="0"/>
    <x v="20"/>
    <n v="451.36363636363598"/>
    <n v="164747.727272727"/>
    <n v="593091.818181818"/>
  </r>
  <r>
    <x v="0"/>
    <x v="0"/>
    <x v="0"/>
    <x v="2"/>
    <x v="3"/>
    <s v="FIN_OTHER"/>
    <x v="2"/>
    <x v="112"/>
    <x v="0"/>
    <x v="21"/>
    <n v="451.36363636363598"/>
    <n v="164747.727272727"/>
    <n v="593091.818181818"/>
  </r>
  <r>
    <x v="0"/>
    <x v="0"/>
    <x v="0"/>
    <x v="2"/>
    <x v="3"/>
    <s v="FIN_OTHER"/>
    <x v="2"/>
    <x v="112"/>
    <x v="0"/>
    <x v="22"/>
    <n v="451.36363636363598"/>
    <n v="164747.727272727"/>
    <n v="593091.818181818"/>
  </r>
  <r>
    <x v="0"/>
    <x v="0"/>
    <x v="0"/>
    <x v="2"/>
    <x v="3"/>
    <s v="FIN_OTHER"/>
    <x v="2"/>
    <x v="112"/>
    <x v="0"/>
    <x v="23"/>
    <n v="451.36363636363598"/>
    <n v="164747.727272727"/>
    <n v="593091.818181818"/>
  </r>
  <r>
    <x v="0"/>
    <x v="0"/>
    <x v="0"/>
    <x v="2"/>
    <x v="3"/>
    <s v="FIN_OTHER"/>
    <x v="2"/>
    <x v="98"/>
    <x v="0"/>
    <x v="4"/>
    <n v="436.612860118519"/>
    <n v="159363.69394325899"/>
    <n v="573709.29819573404"/>
  </r>
  <r>
    <x v="0"/>
    <x v="0"/>
    <x v="0"/>
    <x v="2"/>
    <x v="3"/>
    <s v="FIN_OTHER"/>
    <x v="2"/>
    <x v="98"/>
    <x v="0"/>
    <x v="7"/>
    <n v="436.612860118519"/>
    <n v="159363.69394325899"/>
    <n v="573709.29819573404"/>
  </r>
  <r>
    <x v="0"/>
    <x v="0"/>
    <x v="0"/>
    <x v="2"/>
    <x v="3"/>
    <s v="FIN_OTHER"/>
    <x v="2"/>
    <x v="98"/>
    <x v="0"/>
    <x v="8"/>
    <n v="172.544903684172"/>
    <n v="62978.889844722697"/>
    <n v="226724.00344100199"/>
  </r>
  <r>
    <x v="0"/>
    <x v="0"/>
    <x v="0"/>
    <x v="2"/>
    <x v="3"/>
    <s v="FIN_OTHER"/>
    <x v="2"/>
    <x v="98"/>
    <x v="0"/>
    <x v="0"/>
    <n v="436.612860118519"/>
    <n v="159363.69394325899"/>
    <n v="573709.29819573404"/>
  </r>
  <r>
    <x v="0"/>
    <x v="0"/>
    <x v="0"/>
    <x v="2"/>
    <x v="3"/>
    <s v="FIN_OTHER"/>
    <x v="2"/>
    <x v="98"/>
    <x v="0"/>
    <x v="1"/>
    <n v="436.612860118519"/>
    <n v="159363.69394325899"/>
    <n v="573709.29819573404"/>
  </r>
  <r>
    <x v="0"/>
    <x v="0"/>
    <x v="0"/>
    <x v="2"/>
    <x v="3"/>
    <s v="FIN_OTHER"/>
    <x v="2"/>
    <x v="98"/>
    <x v="0"/>
    <x v="2"/>
    <n v="436.612860118519"/>
    <n v="159363.69394325899"/>
    <n v="573709.29819573404"/>
  </r>
  <r>
    <x v="0"/>
    <x v="0"/>
    <x v="0"/>
    <x v="2"/>
    <x v="3"/>
    <s v="FIN_OTHER"/>
    <x v="2"/>
    <x v="98"/>
    <x v="0"/>
    <x v="9"/>
    <n v="436.612860118519"/>
    <n v="159363.69394325899"/>
    <n v="573709.29819573404"/>
  </r>
  <r>
    <x v="0"/>
    <x v="0"/>
    <x v="0"/>
    <x v="2"/>
    <x v="3"/>
    <s v="FIN_OTHER"/>
    <x v="2"/>
    <x v="98"/>
    <x v="0"/>
    <x v="10"/>
    <n v="436.612860118519"/>
    <n v="159363.69394325899"/>
    <n v="573709.29819573404"/>
  </r>
  <r>
    <x v="0"/>
    <x v="0"/>
    <x v="0"/>
    <x v="2"/>
    <x v="3"/>
    <s v="FIN_OTHER"/>
    <x v="2"/>
    <x v="98"/>
    <x v="0"/>
    <x v="11"/>
    <n v="436.612860118519"/>
    <n v="159363.69394325899"/>
    <n v="573709.29819573404"/>
  </r>
  <r>
    <x v="0"/>
    <x v="0"/>
    <x v="0"/>
    <x v="2"/>
    <x v="3"/>
    <s v="FIN_OTHER"/>
    <x v="2"/>
    <x v="98"/>
    <x v="0"/>
    <x v="12"/>
    <n v="436.612860118519"/>
    <n v="159363.69394325899"/>
    <n v="573709.29819573404"/>
  </r>
  <r>
    <x v="0"/>
    <x v="0"/>
    <x v="0"/>
    <x v="2"/>
    <x v="3"/>
    <s v="FIN_OTHER"/>
    <x v="2"/>
    <x v="98"/>
    <x v="0"/>
    <x v="13"/>
    <n v="436.612860118519"/>
    <n v="159363.69394325899"/>
    <n v="573709.29819573404"/>
  </r>
  <r>
    <x v="0"/>
    <x v="0"/>
    <x v="0"/>
    <x v="2"/>
    <x v="3"/>
    <s v="FIN_OTHER"/>
    <x v="2"/>
    <x v="98"/>
    <x v="0"/>
    <x v="14"/>
    <n v="436.612860118519"/>
    <n v="159363.69394325899"/>
    <n v="573709.29819573404"/>
  </r>
  <r>
    <x v="0"/>
    <x v="0"/>
    <x v="0"/>
    <x v="2"/>
    <x v="3"/>
    <s v="FIN_OTHER"/>
    <x v="2"/>
    <x v="98"/>
    <x v="0"/>
    <x v="15"/>
    <n v="436.612860118519"/>
    <n v="159363.69394325899"/>
    <n v="573709.29819573404"/>
  </r>
  <r>
    <x v="0"/>
    <x v="0"/>
    <x v="0"/>
    <x v="2"/>
    <x v="3"/>
    <s v="FIN_OTHER"/>
    <x v="2"/>
    <x v="98"/>
    <x v="0"/>
    <x v="16"/>
    <n v="393.06545975848098"/>
    <n v="143468.89281184599"/>
    <n v="516488.01412264397"/>
  </r>
  <r>
    <x v="0"/>
    <x v="0"/>
    <x v="0"/>
    <x v="2"/>
    <x v="3"/>
    <s v="FIN_OTHER"/>
    <x v="2"/>
    <x v="98"/>
    <x v="0"/>
    <x v="17"/>
    <n v="276.20502305808998"/>
    <n v="100814.83341620299"/>
    <n v="362933.40029833"/>
  </r>
  <r>
    <x v="0"/>
    <x v="0"/>
    <x v="0"/>
    <x v="2"/>
    <x v="3"/>
    <s v="FIN_OTHER"/>
    <x v="2"/>
    <x v="98"/>
    <x v="0"/>
    <x v="18"/>
    <n v="234.37341079681701"/>
    <n v="85546.294940838299"/>
    <n v="307966.66178701801"/>
  </r>
  <r>
    <x v="0"/>
    <x v="0"/>
    <x v="0"/>
    <x v="2"/>
    <x v="3"/>
    <s v="FIN_OTHER"/>
    <x v="2"/>
    <x v="98"/>
    <x v="0"/>
    <x v="19"/>
    <n v="179.150871852416"/>
    <n v="65390.068226132003"/>
    <n v="235404.24561407499"/>
  </r>
  <r>
    <x v="0"/>
    <x v="0"/>
    <x v="0"/>
    <x v="2"/>
    <x v="3"/>
    <s v="FIN_OTHER"/>
    <x v="2"/>
    <x v="98"/>
    <x v="0"/>
    <x v="20"/>
    <n v="120.066429120208"/>
    <n v="43824.246628875801"/>
    <n v="157767.28786395301"/>
  </r>
  <r>
    <x v="0"/>
    <x v="0"/>
    <x v="0"/>
    <x v="2"/>
    <x v="3"/>
    <s v="FIN_OTHER"/>
    <x v="2"/>
    <x v="98"/>
    <x v="0"/>
    <x v="21"/>
    <n v="43.486619557926403"/>
    <n v="15872.616138643099"/>
    <n v="57141.418099115297"/>
  </r>
  <r>
    <x v="0"/>
    <x v="0"/>
    <x v="0"/>
    <x v="2"/>
    <x v="3"/>
    <s v="FIN_OTHER"/>
    <x v="2"/>
    <x v="98"/>
    <x v="0"/>
    <x v="23"/>
    <n v="436.612860118519"/>
    <n v="159363.69394325899"/>
    <n v="573709.29819573404"/>
  </r>
  <r>
    <x v="0"/>
    <x v="0"/>
    <x v="0"/>
    <x v="2"/>
    <x v="3"/>
    <s v="FIN_OTHER"/>
    <x v="16"/>
    <x v="99"/>
    <x v="0"/>
    <x v="3"/>
    <n v="86.417616065571394"/>
    <n v="31542.429863933601"/>
    <n v="113552.747510161"/>
  </r>
  <r>
    <x v="0"/>
    <x v="0"/>
    <x v="0"/>
    <x v="2"/>
    <x v="3"/>
    <s v="FIN_OTHER"/>
    <x v="16"/>
    <x v="99"/>
    <x v="0"/>
    <x v="4"/>
    <n v="170.58823529411799"/>
    <n v="62264.705882352901"/>
    <n v="224152.94117647101"/>
  </r>
  <r>
    <x v="0"/>
    <x v="0"/>
    <x v="0"/>
    <x v="2"/>
    <x v="3"/>
    <s v="FIN_OTHER"/>
    <x v="16"/>
    <x v="99"/>
    <x v="0"/>
    <x v="5"/>
    <n v="16.7334716731858"/>
    <n v="6107.7171607128103"/>
    <n v="21987.781778566099"/>
  </r>
  <r>
    <x v="0"/>
    <x v="0"/>
    <x v="0"/>
    <x v="2"/>
    <x v="3"/>
    <s v="FIN_OTHER"/>
    <x v="16"/>
    <x v="99"/>
    <x v="0"/>
    <x v="6"/>
    <n v="64.0695042364882"/>
    <n v="23385.369046318199"/>
    <n v="84187.328566745506"/>
  </r>
  <r>
    <x v="0"/>
    <x v="0"/>
    <x v="0"/>
    <x v="2"/>
    <x v="3"/>
    <s v="FIN_OTHER"/>
    <x v="16"/>
    <x v="99"/>
    <x v="0"/>
    <x v="7"/>
    <n v="170.58823529411799"/>
    <n v="62264.705882352901"/>
    <n v="224152.94117647101"/>
  </r>
  <r>
    <x v="0"/>
    <x v="0"/>
    <x v="0"/>
    <x v="2"/>
    <x v="3"/>
    <s v="FIN_OTHER"/>
    <x v="16"/>
    <x v="99"/>
    <x v="0"/>
    <x v="8"/>
    <n v="170.58823529411799"/>
    <n v="62264.705882352901"/>
    <n v="224152.94117647101"/>
  </r>
  <r>
    <x v="0"/>
    <x v="0"/>
    <x v="0"/>
    <x v="2"/>
    <x v="3"/>
    <s v="FIN_OTHER"/>
    <x v="16"/>
    <x v="99"/>
    <x v="0"/>
    <x v="0"/>
    <n v="170.58823529411799"/>
    <n v="62264.705882352901"/>
    <n v="224152.94117647101"/>
  </r>
  <r>
    <x v="0"/>
    <x v="0"/>
    <x v="0"/>
    <x v="2"/>
    <x v="3"/>
    <s v="FIN_OTHER"/>
    <x v="16"/>
    <x v="99"/>
    <x v="0"/>
    <x v="1"/>
    <n v="170.58823529411799"/>
    <n v="62264.705882352901"/>
    <n v="224152.94117647101"/>
  </r>
  <r>
    <x v="0"/>
    <x v="0"/>
    <x v="0"/>
    <x v="2"/>
    <x v="3"/>
    <s v="FIN_OTHER"/>
    <x v="16"/>
    <x v="99"/>
    <x v="0"/>
    <x v="2"/>
    <n v="170.58823529411799"/>
    <n v="62264.705882352901"/>
    <n v="224152.94117647101"/>
  </r>
  <r>
    <x v="0"/>
    <x v="0"/>
    <x v="0"/>
    <x v="2"/>
    <x v="3"/>
    <s v="FIN_OTHER"/>
    <x v="16"/>
    <x v="99"/>
    <x v="0"/>
    <x v="9"/>
    <n v="170.58823529411799"/>
    <n v="62264.705882352901"/>
    <n v="224152.94117647101"/>
  </r>
  <r>
    <x v="0"/>
    <x v="0"/>
    <x v="0"/>
    <x v="2"/>
    <x v="3"/>
    <s v="FIN_OTHER"/>
    <x v="16"/>
    <x v="99"/>
    <x v="0"/>
    <x v="10"/>
    <n v="170.58823529411799"/>
    <n v="62264.705882352901"/>
    <n v="224152.94117647101"/>
  </r>
  <r>
    <x v="0"/>
    <x v="0"/>
    <x v="0"/>
    <x v="2"/>
    <x v="3"/>
    <s v="FIN_OTHER"/>
    <x v="16"/>
    <x v="99"/>
    <x v="0"/>
    <x v="11"/>
    <n v="170.58823529411799"/>
    <n v="62264.705882352901"/>
    <n v="224152.94117647101"/>
  </r>
  <r>
    <x v="0"/>
    <x v="0"/>
    <x v="0"/>
    <x v="2"/>
    <x v="3"/>
    <s v="FIN_OTHER"/>
    <x v="16"/>
    <x v="99"/>
    <x v="0"/>
    <x v="12"/>
    <n v="170.58823529411799"/>
    <n v="62264.705882352901"/>
    <n v="224152.94117647101"/>
  </r>
  <r>
    <x v="0"/>
    <x v="0"/>
    <x v="0"/>
    <x v="2"/>
    <x v="3"/>
    <s v="FIN_OTHER"/>
    <x v="16"/>
    <x v="99"/>
    <x v="0"/>
    <x v="13"/>
    <n v="170.58823529411799"/>
    <n v="62264.705882352901"/>
    <n v="224152.94117647101"/>
  </r>
  <r>
    <x v="0"/>
    <x v="0"/>
    <x v="0"/>
    <x v="2"/>
    <x v="3"/>
    <s v="FIN_OTHER"/>
    <x v="16"/>
    <x v="99"/>
    <x v="0"/>
    <x v="14"/>
    <n v="170.58823529411799"/>
    <n v="62264.705882352901"/>
    <n v="224152.94117647101"/>
  </r>
  <r>
    <x v="0"/>
    <x v="0"/>
    <x v="0"/>
    <x v="2"/>
    <x v="3"/>
    <s v="FIN_OTHER"/>
    <x v="16"/>
    <x v="99"/>
    <x v="0"/>
    <x v="15"/>
    <n v="170.58823529411799"/>
    <n v="62264.705882352901"/>
    <n v="224152.94117647101"/>
  </r>
  <r>
    <x v="0"/>
    <x v="0"/>
    <x v="0"/>
    <x v="2"/>
    <x v="3"/>
    <s v="FIN_OTHER"/>
    <x v="16"/>
    <x v="99"/>
    <x v="0"/>
    <x v="16"/>
    <n v="170.58823529411799"/>
    <n v="62264.705882352901"/>
    <n v="224152.94117647101"/>
  </r>
  <r>
    <x v="0"/>
    <x v="0"/>
    <x v="0"/>
    <x v="2"/>
    <x v="3"/>
    <s v="FIN_OTHER"/>
    <x v="16"/>
    <x v="99"/>
    <x v="0"/>
    <x v="17"/>
    <n v="170.58823529411799"/>
    <n v="62264.705882352901"/>
    <n v="224152.94117647101"/>
  </r>
  <r>
    <x v="0"/>
    <x v="0"/>
    <x v="0"/>
    <x v="2"/>
    <x v="3"/>
    <s v="FIN_OTHER"/>
    <x v="16"/>
    <x v="99"/>
    <x v="0"/>
    <x v="18"/>
    <n v="170.58823529411799"/>
    <n v="62264.705882352901"/>
    <n v="224152.94117647101"/>
  </r>
  <r>
    <x v="0"/>
    <x v="0"/>
    <x v="0"/>
    <x v="2"/>
    <x v="3"/>
    <s v="FIN_OTHER"/>
    <x v="16"/>
    <x v="99"/>
    <x v="0"/>
    <x v="19"/>
    <n v="170.58823529411799"/>
    <n v="62264.705882352901"/>
    <n v="224152.94117647101"/>
  </r>
  <r>
    <x v="0"/>
    <x v="0"/>
    <x v="0"/>
    <x v="2"/>
    <x v="3"/>
    <s v="FIN_OTHER"/>
    <x v="16"/>
    <x v="99"/>
    <x v="0"/>
    <x v="20"/>
    <n v="170.58823529411799"/>
    <n v="62264.705882352901"/>
    <n v="224152.94117647101"/>
  </r>
  <r>
    <x v="0"/>
    <x v="0"/>
    <x v="0"/>
    <x v="2"/>
    <x v="3"/>
    <s v="FIN_OTHER"/>
    <x v="16"/>
    <x v="99"/>
    <x v="0"/>
    <x v="21"/>
    <n v="170.58823529411799"/>
    <n v="62264.705882352901"/>
    <n v="224152.94117647101"/>
  </r>
  <r>
    <x v="0"/>
    <x v="0"/>
    <x v="0"/>
    <x v="2"/>
    <x v="3"/>
    <s v="FIN_OTHER"/>
    <x v="16"/>
    <x v="99"/>
    <x v="0"/>
    <x v="22"/>
    <n v="106.13087816909299"/>
    <n v="38737.770531718903"/>
    <n v="139455.97391418801"/>
  </r>
  <r>
    <x v="0"/>
    <x v="0"/>
    <x v="0"/>
    <x v="2"/>
    <x v="3"/>
    <s v="FIN_OTHER"/>
    <x v="16"/>
    <x v="99"/>
    <x v="0"/>
    <x v="23"/>
    <n v="170.58823529411799"/>
    <n v="62264.705882352901"/>
    <n v="224152.94117647101"/>
  </r>
  <r>
    <x v="0"/>
    <x v="0"/>
    <x v="0"/>
    <x v="2"/>
    <x v="3"/>
    <s v="FIN_OTHER"/>
    <x v="4"/>
    <x v="108"/>
    <x v="0"/>
    <x v="3"/>
    <n v="214.86950549450501"/>
    <n v="78427.369505494207"/>
    <n v="282338.530219779"/>
  </r>
  <r>
    <x v="0"/>
    <x v="0"/>
    <x v="0"/>
    <x v="2"/>
    <x v="3"/>
    <s v="FIN_OTHER"/>
    <x v="4"/>
    <x v="108"/>
    <x v="0"/>
    <x v="4"/>
    <n v="214.86950549450501"/>
    <n v="78427.369505494207"/>
    <n v="282338.530219779"/>
  </r>
  <r>
    <x v="0"/>
    <x v="0"/>
    <x v="0"/>
    <x v="2"/>
    <x v="3"/>
    <s v="FIN_OTHER"/>
    <x v="4"/>
    <x v="108"/>
    <x v="0"/>
    <x v="5"/>
    <n v="214.86950549450501"/>
    <n v="78427.369505494207"/>
    <n v="282338.530219779"/>
  </r>
  <r>
    <x v="0"/>
    <x v="0"/>
    <x v="0"/>
    <x v="2"/>
    <x v="3"/>
    <s v="FIN_OTHER"/>
    <x v="4"/>
    <x v="108"/>
    <x v="0"/>
    <x v="6"/>
    <n v="214.86950549450501"/>
    <n v="78427.369505494207"/>
    <n v="282338.530219779"/>
  </r>
  <r>
    <x v="0"/>
    <x v="0"/>
    <x v="0"/>
    <x v="2"/>
    <x v="3"/>
    <s v="FIN_OTHER"/>
    <x v="4"/>
    <x v="108"/>
    <x v="0"/>
    <x v="7"/>
    <n v="214.86950549450501"/>
    <n v="78427.369505494207"/>
    <n v="282338.530219779"/>
  </r>
  <r>
    <x v="0"/>
    <x v="0"/>
    <x v="0"/>
    <x v="2"/>
    <x v="3"/>
    <s v="FIN_OTHER"/>
    <x v="4"/>
    <x v="108"/>
    <x v="0"/>
    <x v="8"/>
    <n v="214.86950549450501"/>
    <n v="78427.369505494207"/>
    <n v="282338.530219779"/>
  </r>
  <r>
    <x v="0"/>
    <x v="0"/>
    <x v="0"/>
    <x v="2"/>
    <x v="3"/>
    <s v="FIN_OTHER"/>
    <x v="4"/>
    <x v="108"/>
    <x v="0"/>
    <x v="0"/>
    <n v="214.86950549450501"/>
    <n v="78427.369505494207"/>
    <n v="282338.530219779"/>
  </r>
  <r>
    <x v="0"/>
    <x v="0"/>
    <x v="0"/>
    <x v="2"/>
    <x v="3"/>
    <s v="FIN_OTHER"/>
    <x v="4"/>
    <x v="108"/>
    <x v="0"/>
    <x v="1"/>
    <n v="214.86950549450501"/>
    <n v="78427.369505494207"/>
    <n v="282338.530219779"/>
  </r>
  <r>
    <x v="0"/>
    <x v="0"/>
    <x v="0"/>
    <x v="2"/>
    <x v="3"/>
    <s v="FIN_OTHER"/>
    <x v="4"/>
    <x v="108"/>
    <x v="0"/>
    <x v="2"/>
    <n v="214.86950549450501"/>
    <n v="78427.369505494207"/>
    <n v="282338.530219779"/>
  </r>
  <r>
    <x v="0"/>
    <x v="0"/>
    <x v="0"/>
    <x v="2"/>
    <x v="3"/>
    <s v="FIN_OTHER"/>
    <x v="4"/>
    <x v="108"/>
    <x v="0"/>
    <x v="9"/>
    <n v="214.86950549450501"/>
    <n v="78427.369505494207"/>
    <n v="282338.530219779"/>
  </r>
  <r>
    <x v="0"/>
    <x v="0"/>
    <x v="0"/>
    <x v="2"/>
    <x v="3"/>
    <s v="FIN_OTHER"/>
    <x v="4"/>
    <x v="108"/>
    <x v="0"/>
    <x v="10"/>
    <n v="214.86950549450501"/>
    <n v="78427.369505494207"/>
    <n v="282338.530219779"/>
  </r>
  <r>
    <x v="0"/>
    <x v="0"/>
    <x v="0"/>
    <x v="2"/>
    <x v="3"/>
    <s v="FIN_OTHER"/>
    <x v="4"/>
    <x v="108"/>
    <x v="0"/>
    <x v="11"/>
    <n v="214.86950549450501"/>
    <n v="78427.369505494207"/>
    <n v="282338.530219779"/>
  </r>
  <r>
    <x v="0"/>
    <x v="0"/>
    <x v="0"/>
    <x v="2"/>
    <x v="3"/>
    <s v="FIN_OTHER"/>
    <x v="4"/>
    <x v="108"/>
    <x v="0"/>
    <x v="12"/>
    <n v="214.86950549450501"/>
    <n v="78427.369505494207"/>
    <n v="282338.530219779"/>
  </r>
  <r>
    <x v="0"/>
    <x v="0"/>
    <x v="0"/>
    <x v="2"/>
    <x v="3"/>
    <s v="FIN_OTHER"/>
    <x v="4"/>
    <x v="108"/>
    <x v="0"/>
    <x v="13"/>
    <n v="214.86950549450501"/>
    <n v="78427.369505494207"/>
    <n v="282338.530219779"/>
  </r>
  <r>
    <x v="0"/>
    <x v="0"/>
    <x v="0"/>
    <x v="2"/>
    <x v="3"/>
    <s v="FIN_OTHER"/>
    <x v="4"/>
    <x v="108"/>
    <x v="0"/>
    <x v="14"/>
    <n v="214.86950549450501"/>
    <n v="78427.369505494207"/>
    <n v="282338.530219779"/>
  </r>
  <r>
    <x v="0"/>
    <x v="0"/>
    <x v="0"/>
    <x v="2"/>
    <x v="3"/>
    <s v="FIN_OTHER"/>
    <x v="4"/>
    <x v="108"/>
    <x v="0"/>
    <x v="15"/>
    <n v="214.86950549450501"/>
    <n v="78427.369505494207"/>
    <n v="282338.530219779"/>
  </r>
  <r>
    <x v="0"/>
    <x v="0"/>
    <x v="0"/>
    <x v="2"/>
    <x v="3"/>
    <s v="FIN_OTHER"/>
    <x v="4"/>
    <x v="108"/>
    <x v="0"/>
    <x v="16"/>
    <n v="214.86950549450501"/>
    <n v="78427.369505494207"/>
    <n v="282338.530219779"/>
  </r>
  <r>
    <x v="0"/>
    <x v="0"/>
    <x v="0"/>
    <x v="2"/>
    <x v="3"/>
    <s v="FIN_OTHER"/>
    <x v="4"/>
    <x v="108"/>
    <x v="0"/>
    <x v="17"/>
    <n v="214.86950549450501"/>
    <n v="78427.369505494207"/>
    <n v="282338.530219779"/>
  </r>
  <r>
    <x v="0"/>
    <x v="0"/>
    <x v="0"/>
    <x v="2"/>
    <x v="3"/>
    <s v="FIN_OTHER"/>
    <x v="4"/>
    <x v="108"/>
    <x v="0"/>
    <x v="18"/>
    <n v="214.86950549450501"/>
    <n v="78427.369505494207"/>
    <n v="282338.530219779"/>
  </r>
  <r>
    <x v="0"/>
    <x v="0"/>
    <x v="0"/>
    <x v="2"/>
    <x v="3"/>
    <s v="FIN_OTHER"/>
    <x v="4"/>
    <x v="108"/>
    <x v="0"/>
    <x v="19"/>
    <n v="214.86950549450501"/>
    <n v="78427.369505494207"/>
    <n v="282338.530219779"/>
  </r>
  <r>
    <x v="0"/>
    <x v="0"/>
    <x v="0"/>
    <x v="2"/>
    <x v="3"/>
    <s v="FIN_OTHER"/>
    <x v="4"/>
    <x v="108"/>
    <x v="0"/>
    <x v="20"/>
    <n v="214.86950549450501"/>
    <n v="78427.369505494207"/>
    <n v="282338.530219779"/>
  </r>
  <r>
    <x v="0"/>
    <x v="0"/>
    <x v="0"/>
    <x v="2"/>
    <x v="3"/>
    <s v="FIN_OTHER"/>
    <x v="4"/>
    <x v="108"/>
    <x v="0"/>
    <x v="21"/>
    <n v="214.86950549450501"/>
    <n v="78427.369505494207"/>
    <n v="282338.530219779"/>
  </r>
  <r>
    <x v="0"/>
    <x v="0"/>
    <x v="0"/>
    <x v="2"/>
    <x v="3"/>
    <s v="FIN_OTHER"/>
    <x v="4"/>
    <x v="108"/>
    <x v="0"/>
    <x v="22"/>
    <n v="214.86950549450501"/>
    <n v="78427.369505494207"/>
    <n v="282338.530219779"/>
  </r>
  <r>
    <x v="0"/>
    <x v="0"/>
    <x v="0"/>
    <x v="2"/>
    <x v="3"/>
    <s v="FIN_OTHER"/>
    <x v="4"/>
    <x v="108"/>
    <x v="0"/>
    <x v="23"/>
    <n v="214.86950549450501"/>
    <n v="78427.369505494207"/>
    <n v="282338.530219779"/>
  </r>
  <r>
    <x v="0"/>
    <x v="0"/>
    <x v="0"/>
    <x v="2"/>
    <x v="3"/>
    <s v="FIN_OTHER"/>
    <x v="5"/>
    <x v="113"/>
    <x v="0"/>
    <x v="3"/>
    <n v="849.13705583756405"/>
    <n v="309935.02538071101"/>
    <n v="1115766.09137056"/>
  </r>
  <r>
    <x v="0"/>
    <x v="0"/>
    <x v="0"/>
    <x v="2"/>
    <x v="3"/>
    <s v="FIN_OTHER"/>
    <x v="5"/>
    <x v="113"/>
    <x v="0"/>
    <x v="4"/>
    <n v="849.13705583756405"/>
    <n v="309935.02538071101"/>
    <n v="1115766.09137056"/>
  </r>
  <r>
    <x v="0"/>
    <x v="0"/>
    <x v="0"/>
    <x v="2"/>
    <x v="3"/>
    <s v="FIN_OTHER"/>
    <x v="5"/>
    <x v="113"/>
    <x v="0"/>
    <x v="5"/>
    <n v="849.13705583756405"/>
    <n v="309935.02538071101"/>
    <n v="1115766.09137056"/>
  </r>
  <r>
    <x v="0"/>
    <x v="0"/>
    <x v="0"/>
    <x v="2"/>
    <x v="3"/>
    <s v="FIN_OTHER"/>
    <x v="5"/>
    <x v="113"/>
    <x v="0"/>
    <x v="6"/>
    <n v="849.13705583756405"/>
    <n v="309935.02538071101"/>
    <n v="1115766.09137056"/>
  </r>
  <r>
    <x v="0"/>
    <x v="0"/>
    <x v="0"/>
    <x v="2"/>
    <x v="3"/>
    <s v="FIN_OTHER"/>
    <x v="5"/>
    <x v="113"/>
    <x v="0"/>
    <x v="7"/>
    <n v="849.13705583756405"/>
    <n v="309935.02538071101"/>
    <n v="1115766.09137056"/>
  </r>
  <r>
    <x v="0"/>
    <x v="0"/>
    <x v="0"/>
    <x v="2"/>
    <x v="3"/>
    <s v="FIN_OTHER"/>
    <x v="5"/>
    <x v="113"/>
    <x v="0"/>
    <x v="8"/>
    <n v="849.13705583756405"/>
    <n v="309935.02538071101"/>
    <n v="1115766.09137056"/>
  </r>
  <r>
    <x v="0"/>
    <x v="0"/>
    <x v="0"/>
    <x v="2"/>
    <x v="3"/>
    <s v="FIN_OTHER"/>
    <x v="5"/>
    <x v="113"/>
    <x v="0"/>
    <x v="0"/>
    <n v="849.13705583756405"/>
    <n v="309935.02538071101"/>
    <n v="1115766.09137056"/>
  </r>
  <r>
    <x v="0"/>
    <x v="0"/>
    <x v="0"/>
    <x v="2"/>
    <x v="3"/>
    <s v="FIN_OTHER"/>
    <x v="5"/>
    <x v="113"/>
    <x v="0"/>
    <x v="1"/>
    <n v="849.13705583756405"/>
    <n v="309935.02538071101"/>
    <n v="1115766.09137056"/>
  </r>
  <r>
    <x v="0"/>
    <x v="0"/>
    <x v="0"/>
    <x v="2"/>
    <x v="3"/>
    <s v="FIN_OTHER"/>
    <x v="5"/>
    <x v="113"/>
    <x v="0"/>
    <x v="2"/>
    <n v="849.13705583756405"/>
    <n v="309935.02538071101"/>
    <n v="1115766.09137056"/>
  </r>
  <r>
    <x v="0"/>
    <x v="0"/>
    <x v="0"/>
    <x v="2"/>
    <x v="3"/>
    <s v="FIN_OTHER"/>
    <x v="5"/>
    <x v="113"/>
    <x v="0"/>
    <x v="9"/>
    <n v="849.13705583756405"/>
    <n v="309935.02538071101"/>
    <n v="1115766.09137056"/>
  </r>
  <r>
    <x v="0"/>
    <x v="0"/>
    <x v="0"/>
    <x v="2"/>
    <x v="3"/>
    <s v="FIN_OTHER"/>
    <x v="5"/>
    <x v="113"/>
    <x v="0"/>
    <x v="10"/>
    <n v="849.13705583756405"/>
    <n v="309935.02538071101"/>
    <n v="1115766.09137056"/>
  </r>
  <r>
    <x v="0"/>
    <x v="0"/>
    <x v="0"/>
    <x v="2"/>
    <x v="3"/>
    <s v="FIN_OTHER"/>
    <x v="5"/>
    <x v="113"/>
    <x v="0"/>
    <x v="11"/>
    <n v="849.13705583756405"/>
    <n v="309935.02538071101"/>
    <n v="1115766.09137056"/>
  </r>
  <r>
    <x v="0"/>
    <x v="0"/>
    <x v="0"/>
    <x v="2"/>
    <x v="3"/>
    <s v="FIN_OTHER"/>
    <x v="5"/>
    <x v="113"/>
    <x v="0"/>
    <x v="12"/>
    <n v="849.13705583756405"/>
    <n v="309935.02538071101"/>
    <n v="1115766.09137056"/>
  </r>
  <r>
    <x v="0"/>
    <x v="0"/>
    <x v="0"/>
    <x v="2"/>
    <x v="3"/>
    <s v="FIN_OTHER"/>
    <x v="5"/>
    <x v="113"/>
    <x v="0"/>
    <x v="13"/>
    <n v="849.13705583756405"/>
    <n v="309935.02538071101"/>
    <n v="1115766.09137056"/>
  </r>
  <r>
    <x v="0"/>
    <x v="0"/>
    <x v="0"/>
    <x v="2"/>
    <x v="3"/>
    <s v="FIN_OTHER"/>
    <x v="5"/>
    <x v="113"/>
    <x v="0"/>
    <x v="14"/>
    <n v="849.13705583756405"/>
    <n v="309935.02538071101"/>
    <n v="1115766.09137056"/>
  </r>
  <r>
    <x v="0"/>
    <x v="0"/>
    <x v="0"/>
    <x v="2"/>
    <x v="3"/>
    <s v="FIN_OTHER"/>
    <x v="5"/>
    <x v="113"/>
    <x v="0"/>
    <x v="15"/>
    <n v="849.13705583756405"/>
    <n v="309935.02538071101"/>
    <n v="1115766.09137056"/>
  </r>
  <r>
    <x v="0"/>
    <x v="0"/>
    <x v="0"/>
    <x v="2"/>
    <x v="3"/>
    <s v="FIN_OTHER"/>
    <x v="5"/>
    <x v="113"/>
    <x v="0"/>
    <x v="16"/>
    <n v="849.13705583756405"/>
    <n v="309935.02538071101"/>
    <n v="1115766.09137056"/>
  </r>
  <r>
    <x v="0"/>
    <x v="0"/>
    <x v="0"/>
    <x v="2"/>
    <x v="3"/>
    <s v="FIN_OTHER"/>
    <x v="5"/>
    <x v="113"/>
    <x v="0"/>
    <x v="17"/>
    <n v="849.13705583756405"/>
    <n v="309935.02538071101"/>
    <n v="1115766.09137056"/>
  </r>
  <r>
    <x v="0"/>
    <x v="0"/>
    <x v="0"/>
    <x v="2"/>
    <x v="3"/>
    <s v="FIN_OTHER"/>
    <x v="5"/>
    <x v="113"/>
    <x v="0"/>
    <x v="18"/>
    <n v="849.13705583756405"/>
    <n v="309935.02538071101"/>
    <n v="1115766.09137056"/>
  </r>
  <r>
    <x v="0"/>
    <x v="0"/>
    <x v="0"/>
    <x v="2"/>
    <x v="3"/>
    <s v="FIN_OTHER"/>
    <x v="5"/>
    <x v="113"/>
    <x v="0"/>
    <x v="19"/>
    <n v="849.13705583756405"/>
    <n v="309935.02538071101"/>
    <n v="1115766.09137056"/>
  </r>
  <r>
    <x v="0"/>
    <x v="0"/>
    <x v="0"/>
    <x v="2"/>
    <x v="3"/>
    <s v="FIN_OTHER"/>
    <x v="5"/>
    <x v="113"/>
    <x v="0"/>
    <x v="20"/>
    <n v="849.13705583756405"/>
    <n v="309935.02538071101"/>
    <n v="1115766.09137056"/>
  </r>
  <r>
    <x v="0"/>
    <x v="0"/>
    <x v="0"/>
    <x v="2"/>
    <x v="3"/>
    <s v="FIN_OTHER"/>
    <x v="5"/>
    <x v="113"/>
    <x v="0"/>
    <x v="21"/>
    <n v="849.13705583756405"/>
    <n v="309935.02538071101"/>
    <n v="1115766.09137056"/>
  </r>
  <r>
    <x v="0"/>
    <x v="0"/>
    <x v="0"/>
    <x v="2"/>
    <x v="3"/>
    <s v="FIN_OTHER"/>
    <x v="5"/>
    <x v="113"/>
    <x v="0"/>
    <x v="22"/>
    <n v="849.13705583756405"/>
    <n v="309935.02538071101"/>
    <n v="1115766.09137056"/>
  </r>
  <r>
    <x v="0"/>
    <x v="0"/>
    <x v="0"/>
    <x v="2"/>
    <x v="3"/>
    <s v="FIN_OTHER"/>
    <x v="5"/>
    <x v="113"/>
    <x v="0"/>
    <x v="23"/>
    <n v="849.13705583756405"/>
    <n v="309935.02538071101"/>
    <n v="1115766.09137056"/>
  </r>
  <r>
    <x v="0"/>
    <x v="0"/>
    <x v="0"/>
    <x v="2"/>
    <x v="3"/>
    <s v="FIN_OTHER"/>
    <x v="5"/>
    <x v="109"/>
    <x v="0"/>
    <x v="3"/>
    <n v="583.11111111111097"/>
    <n v="212835.555555556"/>
    <n v="766208"/>
  </r>
  <r>
    <x v="0"/>
    <x v="0"/>
    <x v="0"/>
    <x v="2"/>
    <x v="3"/>
    <s v="FIN_OTHER"/>
    <x v="5"/>
    <x v="109"/>
    <x v="0"/>
    <x v="4"/>
    <n v="583.11111111111097"/>
    <n v="212835.555555556"/>
    <n v="766208"/>
  </r>
  <r>
    <x v="0"/>
    <x v="0"/>
    <x v="0"/>
    <x v="2"/>
    <x v="3"/>
    <s v="FIN_OTHER"/>
    <x v="5"/>
    <x v="109"/>
    <x v="0"/>
    <x v="5"/>
    <n v="583.11111111111097"/>
    <n v="212835.555555556"/>
    <n v="766208"/>
  </r>
  <r>
    <x v="0"/>
    <x v="0"/>
    <x v="0"/>
    <x v="2"/>
    <x v="3"/>
    <s v="FIN_OTHER"/>
    <x v="5"/>
    <x v="109"/>
    <x v="0"/>
    <x v="6"/>
    <n v="583.11111111111097"/>
    <n v="212835.555555556"/>
    <n v="766208"/>
  </r>
  <r>
    <x v="0"/>
    <x v="0"/>
    <x v="0"/>
    <x v="2"/>
    <x v="3"/>
    <s v="FIN_OTHER"/>
    <x v="5"/>
    <x v="109"/>
    <x v="0"/>
    <x v="7"/>
    <n v="583.11111111111097"/>
    <n v="212835.555555556"/>
    <n v="766208"/>
  </r>
  <r>
    <x v="0"/>
    <x v="0"/>
    <x v="0"/>
    <x v="2"/>
    <x v="3"/>
    <s v="FIN_OTHER"/>
    <x v="5"/>
    <x v="109"/>
    <x v="0"/>
    <x v="8"/>
    <n v="583.11111111111097"/>
    <n v="212835.555555556"/>
    <n v="766208"/>
  </r>
  <r>
    <x v="0"/>
    <x v="0"/>
    <x v="0"/>
    <x v="2"/>
    <x v="3"/>
    <s v="FIN_OTHER"/>
    <x v="5"/>
    <x v="109"/>
    <x v="0"/>
    <x v="0"/>
    <n v="583.11111111111097"/>
    <n v="212835.555555556"/>
    <n v="766208"/>
  </r>
  <r>
    <x v="0"/>
    <x v="0"/>
    <x v="0"/>
    <x v="2"/>
    <x v="3"/>
    <s v="FIN_OTHER"/>
    <x v="5"/>
    <x v="109"/>
    <x v="0"/>
    <x v="1"/>
    <n v="583.11111111111097"/>
    <n v="212835.555555556"/>
    <n v="766208"/>
  </r>
  <r>
    <x v="0"/>
    <x v="0"/>
    <x v="0"/>
    <x v="2"/>
    <x v="3"/>
    <s v="FIN_OTHER"/>
    <x v="5"/>
    <x v="109"/>
    <x v="0"/>
    <x v="2"/>
    <n v="583.11111111111097"/>
    <n v="212835.555555556"/>
    <n v="766208"/>
  </r>
  <r>
    <x v="0"/>
    <x v="0"/>
    <x v="0"/>
    <x v="2"/>
    <x v="3"/>
    <s v="FIN_OTHER"/>
    <x v="5"/>
    <x v="109"/>
    <x v="0"/>
    <x v="9"/>
    <n v="583.11111111111097"/>
    <n v="212835.555555556"/>
    <n v="766208"/>
  </r>
  <r>
    <x v="0"/>
    <x v="0"/>
    <x v="0"/>
    <x v="2"/>
    <x v="3"/>
    <s v="FIN_OTHER"/>
    <x v="5"/>
    <x v="109"/>
    <x v="0"/>
    <x v="10"/>
    <n v="583.11111111111097"/>
    <n v="212835.555555556"/>
    <n v="766208"/>
  </r>
  <r>
    <x v="0"/>
    <x v="0"/>
    <x v="0"/>
    <x v="2"/>
    <x v="3"/>
    <s v="FIN_OTHER"/>
    <x v="5"/>
    <x v="109"/>
    <x v="0"/>
    <x v="11"/>
    <n v="583.11111111111097"/>
    <n v="212835.555555556"/>
    <n v="766208"/>
  </r>
  <r>
    <x v="0"/>
    <x v="0"/>
    <x v="0"/>
    <x v="2"/>
    <x v="3"/>
    <s v="FIN_OTHER"/>
    <x v="5"/>
    <x v="109"/>
    <x v="0"/>
    <x v="12"/>
    <n v="583.11111111111097"/>
    <n v="212835.555555556"/>
    <n v="766208"/>
  </r>
  <r>
    <x v="0"/>
    <x v="0"/>
    <x v="0"/>
    <x v="2"/>
    <x v="3"/>
    <s v="FIN_OTHER"/>
    <x v="5"/>
    <x v="109"/>
    <x v="0"/>
    <x v="13"/>
    <n v="583.11111111111097"/>
    <n v="212835.555555556"/>
    <n v="766208"/>
  </r>
  <r>
    <x v="0"/>
    <x v="0"/>
    <x v="0"/>
    <x v="2"/>
    <x v="3"/>
    <s v="FIN_OTHER"/>
    <x v="5"/>
    <x v="109"/>
    <x v="0"/>
    <x v="14"/>
    <n v="583.11111111111097"/>
    <n v="212835.555555556"/>
    <n v="766208"/>
  </r>
  <r>
    <x v="0"/>
    <x v="0"/>
    <x v="0"/>
    <x v="2"/>
    <x v="3"/>
    <s v="FIN_OTHER"/>
    <x v="5"/>
    <x v="109"/>
    <x v="0"/>
    <x v="15"/>
    <n v="583.11111111111097"/>
    <n v="212835.555555556"/>
    <n v="766208"/>
  </r>
  <r>
    <x v="0"/>
    <x v="0"/>
    <x v="0"/>
    <x v="2"/>
    <x v="3"/>
    <s v="FIN_OTHER"/>
    <x v="5"/>
    <x v="109"/>
    <x v="0"/>
    <x v="16"/>
    <n v="583.11111111111097"/>
    <n v="212835.555555556"/>
    <n v="766208"/>
  </r>
  <r>
    <x v="0"/>
    <x v="0"/>
    <x v="0"/>
    <x v="2"/>
    <x v="3"/>
    <s v="FIN_OTHER"/>
    <x v="5"/>
    <x v="109"/>
    <x v="0"/>
    <x v="17"/>
    <n v="583.11111111111097"/>
    <n v="212835.555555556"/>
    <n v="766208"/>
  </r>
  <r>
    <x v="0"/>
    <x v="0"/>
    <x v="0"/>
    <x v="2"/>
    <x v="3"/>
    <s v="FIN_OTHER"/>
    <x v="5"/>
    <x v="109"/>
    <x v="0"/>
    <x v="18"/>
    <n v="583.11111111111097"/>
    <n v="212835.555555556"/>
    <n v="766208"/>
  </r>
  <r>
    <x v="0"/>
    <x v="0"/>
    <x v="0"/>
    <x v="2"/>
    <x v="3"/>
    <s v="FIN_OTHER"/>
    <x v="5"/>
    <x v="109"/>
    <x v="0"/>
    <x v="19"/>
    <n v="583.11111111111097"/>
    <n v="212835.555555556"/>
    <n v="766208"/>
  </r>
  <r>
    <x v="0"/>
    <x v="0"/>
    <x v="0"/>
    <x v="2"/>
    <x v="3"/>
    <s v="FIN_OTHER"/>
    <x v="5"/>
    <x v="109"/>
    <x v="0"/>
    <x v="20"/>
    <n v="583.11111111111097"/>
    <n v="212835.555555556"/>
    <n v="766208"/>
  </r>
  <r>
    <x v="0"/>
    <x v="0"/>
    <x v="0"/>
    <x v="2"/>
    <x v="3"/>
    <s v="FIN_OTHER"/>
    <x v="5"/>
    <x v="109"/>
    <x v="0"/>
    <x v="21"/>
    <n v="583.11111111111097"/>
    <n v="212835.555555556"/>
    <n v="766208"/>
  </r>
  <r>
    <x v="0"/>
    <x v="0"/>
    <x v="0"/>
    <x v="2"/>
    <x v="3"/>
    <s v="FIN_OTHER"/>
    <x v="5"/>
    <x v="109"/>
    <x v="0"/>
    <x v="22"/>
    <n v="583.11111111111097"/>
    <n v="212835.555555556"/>
    <n v="766208"/>
  </r>
  <r>
    <x v="0"/>
    <x v="0"/>
    <x v="0"/>
    <x v="2"/>
    <x v="3"/>
    <s v="FIN_OTHER"/>
    <x v="5"/>
    <x v="109"/>
    <x v="0"/>
    <x v="23"/>
    <n v="583.11111111111097"/>
    <n v="212835.555555556"/>
    <n v="766208"/>
  </r>
  <r>
    <x v="0"/>
    <x v="0"/>
    <x v="0"/>
    <x v="2"/>
    <x v="3"/>
    <s v="FIN_OTHER"/>
    <x v="9"/>
    <x v="114"/>
    <x v="0"/>
    <x v="3"/>
    <n v="3.8158115593353101"/>
    <n v="1392.7712191573901"/>
    <n v="5013.9763889666001"/>
  </r>
  <r>
    <x v="0"/>
    <x v="0"/>
    <x v="0"/>
    <x v="2"/>
    <x v="3"/>
    <s v="FIN_OTHER"/>
    <x v="9"/>
    <x v="114"/>
    <x v="0"/>
    <x v="4"/>
    <n v="3.8158115593353101"/>
    <n v="1392.7712191573901"/>
    <n v="5013.9763889666001"/>
  </r>
  <r>
    <x v="0"/>
    <x v="0"/>
    <x v="0"/>
    <x v="2"/>
    <x v="3"/>
    <s v="FIN_OTHER"/>
    <x v="9"/>
    <x v="114"/>
    <x v="0"/>
    <x v="5"/>
    <n v="3.8158115593353101"/>
    <n v="1392.7712191573901"/>
    <n v="5013.9763889666001"/>
  </r>
  <r>
    <x v="0"/>
    <x v="0"/>
    <x v="0"/>
    <x v="2"/>
    <x v="3"/>
    <s v="FIN_OTHER"/>
    <x v="9"/>
    <x v="114"/>
    <x v="0"/>
    <x v="6"/>
    <n v="3.8158115593353101"/>
    <n v="1392.7712191573901"/>
    <n v="5013.9763889666001"/>
  </r>
  <r>
    <x v="0"/>
    <x v="0"/>
    <x v="0"/>
    <x v="2"/>
    <x v="3"/>
    <s v="FIN_OTHER"/>
    <x v="9"/>
    <x v="114"/>
    <x v="0"/>
    <x v="7"/>
    <n v="3.8158115593353101"/>
    <n v="1392.7712191573901"/>
    <n v="5013.9763889666001"/>
  </r>
  <r>
    <x v="0"/>
    <x v="0"/>
    <x v="0"/>
    <x v="2"/>
    <x v="3"/>
    <s v="FIN_OTHER"/>
    <x v="9"/>
    <x v="114"/>
    <x v="0"/>
    <x v="8"/>
    <n v="3.8158115593353101"/>
    <n v="1392.7712191573901"/>
    <n v="5013.9763889666001"/>
  </r>
  <r>
    <x v="0"/>
    <x v="0"/>
    <x v="0"/>
    <x v="2"/>
    <x v="3"/>
    <s v="FIN_OTHER"/>
    <x v="9"/>
    <x v="114"/>
    <x v="0"/>
    <x v="0"/>
    <n v="3.8158115593353101"/>
    <n v="1392.7712191573901"/>
    <n v="5013.9763889666001"/>
  </r>
  <r>
    <x v="0"/>
    <x v="0"/>
    <x v="0"/>
    <x v="2"/>
    <x v="3"/>
    <s v="FIN_OTHER"/>
    <x v="9"/>
    <x v="114"/>
    <x v="0"/>
    <x v="1"/>
    <n v="3.8158115593353101"/>
    <n v="1392.7712191573901"/>
    <n v="5013.9763889666001"/>
  </r>
  <r>
    <x v="0"/>
    <x v="0"/>
    <x v="0"/>
    <x v="2"/>
    <x v="3"/>
    <s v="FIN_OTHER"/>
    <x v="9"/>
    <x v="114"/>
    <x v="0"/>
    <x v="2"/>
    <n v="3.8158115593353101"/>
    <n v="1392.7712191573901"/>
    <n v="5013.9763889666001"/>
  </r>
  <r>
    <x v="0"/>
    <x v="0"/>
    <x v="0"/>
    <x v="2"/>
    <x v="3"/>
    <s v="FIN_OTHER"/>
    <x v="9"/>
    <x v="114"/>
    <x v="0"/>
    <x v="9"/>
    <n v="3.8158115593353101"/>
    <n v="1392.7712191573901"/>
    <n v="5013.9763889666001"/>
  </r>
  <r>
    <x v="0"/>
    <x v="0"/>
    <x v="0"/>
    <x v="2"/>
    <x v="3"/>
    <s v="FIN_OTHER"/>
    <x v="9"/>
    <x v="114"/>
    <x v="0"/>
    <x v="10"/>
    <n v="3.8158115593353101"/>
    <n v="1392.7712191573901"/>
    <n v="5013.9763889666001"/>
  </r>
  <r>
    <x v="0"/>
    <x v="0"/>
    <x v="0"/>
    <x v="2"/>
    <x v="3"/>
    <s v="FIN_OTHER"/>
    <x v="9"/>
    <x v="114"/>
    <x v="0"/>
    <x v="11"/>
    <n v="3.8158115593353101"/>
    <n v="1392.7712191573901"/>
    <n v="5013.9763889666001"/>
  </r>
  <r>
    <x v="0"/>
    <x v="0"/>
    <x v="0"/>
    <x v="2"/>
    <x v="3"/>
    <s v="FIN_OTHER"/>
    <x v="9"/>
    <x v="114"/>
    <x v="0"/>
    <x v="12"/>
    <n v="3.8158115593353101"/>
    <n v="1392.7712191573901"/>
    <n v="5013.9763889666001"/>
  </r>
  <r>
    <x v="0"/>
    <x v="0"/>
    <x v="0"/>
    <x v="2"/>
    <x v="3"/>
    <s v="FIN_OTHER"/>
    <x v="9"/>
    <x v="114"/>
    <x v="0"/>
    <x v="13"/>
    <n v="3.8158115593353101"/>
    <n v="1392.7712191573901"/>
    <n v="5013.9763889666001"/>
  </r>
  <r>
    <x v="0"/>
    <x v="0"/>
    <x v="0"/>
    <x v="2"/>
    <x v="3"/>
    <s v="FIN_OTHER"/>
    <x v="9"/>
    <x v="114"/>
    <x v="0"/>
    <x v="14"/>
    <n v="3.8158115593353101"/>
    <n v="1392.7712191573901"/>
    <n v="5013.9763889666001"/>
  </r>
  <r>
    <x v="0"/>
    <x v="0"/>
    <x v="0"/>
    <x v="2"/>
    <x v="3"/>
    <s v="FIN_OTHER"/>
    <x v="9"/>
    <x v="114"/>
    <x v="0"/>
    <x v="15"/>
    <n v="3.8158115593353101"/>
    <n v="1392.7712191573901"/>
    <n v="5013.9763889666001"/>
  </r>
  <r>
    <x v="0"/>
    <x v="0"/>
    <x v="0"/>
    <x v="2"/>
    <x v="3"/>
    <s v="FIN_OTHER"/>
    <x v="9"/>
    <x v="114"/>
    <x v="0"/>
    <x v="16"/>
    <n v="3.8158115593353101"/>
    <n v="1392.7712191573901"/>
    <n v="5013.9763889666001"/>
  </r>
  <r>
    <x v="0"/>
    <x v="0"/>
    <x v="0"/>
    <x v="2"/>
    <x v="3"/>
    <s v="FIN_OTHER"/>
    <x v="9"/>
    <x v="114"/>
    <x v="0"/>
    <x v="17"/>
    <n v="3.8158115593353101"/>
    <n v="1392.7712191573901"/>
    <n v="5013.9763889666001"/>
  </r>
  <r>
    <x v="0"/>
    <x v="0"/>
    <x v="0"/>
    <x v="2"/>
    <x v="3"/>
    <s v="FIN_OTHER"/>
    <x v="9"/>
    <x v="114"/>
    <x v="0"/>
    <x v="18"/>
    <n v="3.8158115593353101"/>
    <n v="1392.7712191573901"/>
    <n v="5013.9763889666001"/>
  </r>
  <r>
    <x v="0"/>
    <x v="0"/>
    <x v="0"/>
    <x v="2"/>
    <x v="3"/>
    <s v="FIN_OTHER"/>
    <x v="9"/>
    <x v="114"/>
    <x v="0"/>
    <x v="19"/>
    <n v="3.8158115593353101"/>
    <n v="1392.7712191573901"/>
    <n v="5013.9763889666001"/>
  </r>
  <r>
    <x v="0"/>
    <x v="0"/>
    <x v="0"/>
    <x v="2"/>
    <x v="3"/>
    <s v="FIN_OTHER"/>
    <x v="9"/>
    <x v="114"/>
    <x v="0"/>
    <x v="20"/>
    <n v="3.8158115593353101"/>
    <n v="1392.7712191573901"/>
    <n v="5013.9763889666001"/>
  </r>
  <r>
    <x v="0"/>
    <x v="0"/>
    <x v="0"/>
    <x v="2"/>
    <x v="3"/>
    <s v="FIN_OTHER"/>
    <x v="9"/>
    <x v="114"/>
    <x v="0"/>
    <x v="21"/>
    <n v="3.8158115593353101"/>
    <n v="1392.7712191573901"/>
    <n v="5013.9763889666001"/>
  </r>
  <r>
    <x v="0"/>
    <x v="0"/>
    <x v="0"/>
    <x v="2"/>
    <x v="3"/>
    <s v="FIN_OTHER"/>
    <x v="9"/>
    <x v="114"/>
    <x v="0"/>
    <x v="22"/>
    <n v="3.8158115593353101"/>
    <n v="1392.7712191573901"/>
    <n v="5013.9763889666001"/>
  </r>
  <r>
    <x v="0"/>
    <x v="0"/>
    <x v="0"/>
    <x v="2"/>
    <x v="3"/>
    <s v="FIN_OTHER"/>
    <x v="9"/>
    <x v="114"/>
    <x v="0"/>
    <x v="23"/>
    <n v="3.8158115593353101"/>
    <n v="1392.7712191573901"/>
    <n v="5013.9763889666001"/>
  </r>
  <r>
    <x v="0"/>
    <x v="0"/>
    <x v="0"/>
    <x v="2"/>
    <x v="3"/>
    <s v="FIN_OTHER"/>
    <x v="9"/>
    <x v="110"/>
    <x v="0"/>
    <x v="0"/>
    <n v="63.7777777777778"/>
    <n v="23278.888888888901"/>
    <n v="83804"/>
  </r>
  <r>
    <x v="0"/>
    <x v="0"/>
    <x v="0"/>
    <x v="2"/>
    <x v="3"/>
    <s v="FIN_OTHER"/>
    <x v="9"/>
    <x v="110"/>
    <x v="0"/>
    <x v="1"/>
    <n v="63.7777777777778"/>
    <n v="23278.888888888901"/>
    <n v="83804"/>
  </r>
  <r>
    <x v="0"/>
    <x v="0"/>
    <x v="0"/>
    <x v="2"/>
    <x v="3"/>
    <s v="FIN_OTHER"/>
    <x v="9"/>
    <x v="110"/>
    <x v="0"/>
    <x v="2"/>
    <n v="63.7777777777778"/>
    <n v="23278.888888888901"/>
    <n v="83804"/>
  </r>
  <r>
    <x v="0"/>
    <x v="0"/>
    <x v="0"/>
    <x v="2"/>
    <x v="3"/>
    <s v="FIN_OTHER"/>
    <x v="9"/>
    <x v="110"/>
    <x v="0"/>
    <x v="9"/>
    <n v="63.7777777777778"/>
    <n v="23278.888888888901"/>
    <n v="83804"/>
  </r>
  <r>
    <x v="0"/>
    <x v="0"/>
    <x v="0"/>
    <x v="2"/>
    <x v="3"/>
    <s v="FIN_OTHER"/>
    <x v="9"/>
    <x v="110"/>
    <x v="0"/>
    <x v="10"/>
    <n v="63.7777777777778"/>
    <n v="23278.888888888901"/>
    <n v="83804"/>
  </r>
  <r>
    <x v="0"/>
    <x v="0"/>
    <x v="0"/>
    <x v="2"/>
    <x v="3"/>
    <s v="FIN_OTHER"/>
    <x v="9"/>
    <x v="110"/>
    <x v="0"/>
    <x v="11"/>
    <n v="63.7777777777778"/>
    <n v="23278.888888888901"/>
    <n v="83804"/>
  </r>
  <r>
    <x v="0"/>
    <x v="0"/>
    <x v="0"/>
    <x v="2"/>
    <x v="3"/>
    <s v="FIN_OTHER"/>
    <x v="9"/>
    <x v="110"/>
    <x v="0"/>
    <x v="12"/>
    <n v="63.7777777777778"/>
    <n v="23278.888888888901"/>
    <n v="83804"/>
  </r>
  <r>
    <x v="0"/>
    <x v="0"/>
    <x v="0"/>
    <x v="2"/>
    <x v="3"/>
    <s v="FIN_OTHER"/>
    <x v="9"/>
    <x v="110"/>
    <x v="0"/>
    <x v="13"/>
    <n v="63.7777777777778"/>
    <n v="23278.888888888901"/>
    <n v="83804"/>
  </r>
  <r>
    <x v="0"/>
    <x v="0"/>
    <x v="0"/>
    <x v="2"/>
    <x v="3"/>
    <s v="FIN_OTHER"/>
    <x v="9"/>
    <x v="110"/>
    <x v="0"/>
    <x v="14"/>
    <n v="63.7777777777778"/>
    <n v="23278.888888888901"/>
    <n v="83804"/>
  </r>
  <r>
    <x v="0"/>
    <x v="0"/>
    <x v="0"/>
    <x v="2"/>
    <x v="3"/>
    <s v="FIN_OTHER"/>
    <x v="9"/>
    <x v="110"/>
    <x v="0"/>
    <x v="15"/>
    <n v="63.7777777777778"/>
    <n v="23278.888888888901"/>
    <n v="83804"/>
  </r>
  <r>
    <x v="0"/>
    <x v="0"/>
    <x v="0"/>
    <x v="2"/>
    <x v="3"/>
    <s v="FIN_OTHER"/>
    <x v="10"/>
    <x v="115"/>
    <x v="0"/>
    <x v="3"/>
    <n v="430.725308641975"/>
    <n v="157214.73765432101"/>
    <n v="565973.05555555597"/>
  </r>
  <r>
    <x v="0"/>
    <x v="0"/>
    <x v="0"/>
    <x v="2"/>
    <x v="3"/>
    <s v="FIN_OTHER"/>
    <x v="10"/>
    <x v="115"/>
    <x v="0"/>
    <x v="4"/>
    <n v="430.725308641975"/>
    <n v="157214.73765432101"/>
    <n v="565973.05555555597"/>
  </r>
  <r>
    <x v="0"/>
    <x v="0"/>
    <x v="0"/>
    <x v="2"/>
    <x v="3"/>
    <s v="FIN_OTHER"/>
    <x v="10"/>
    <x v="115"/>
    <x v="0"/>
    <x v="5"/>
    <n v="430.725308641975"/>
    <n v="157214.73765432101"/>
    <n v="565973.05555555597"/>
  </r>
  <r>
    <x v="0"/>
    <x v="0"/>
    <x v="0"/>
    <x v="2"/>
    <x v="3"/>
    <s v="FIN_OTHER"/>
    <x v="10"/>
    <x v="115"/>
    <x v="0"/>
    <x v="6"/>
    <n v="430.725308641975"/>
    <n v="157214.73765432101"/>
    <n v="565973.05555555597"/>
  </r>
  <r>
    <x v="0"/>
    <x v="0"/>
    <x v="0"/>
    <x v="2"/>
    <x v="3"/>
    <s v="FIN_OTHER"/>
    <x v="10"/>
    <x v="115"/>
    <x v="0"/>
    <x v="7"/>
    <n v="430.725308641975"/>
    <n v="157214.73765432101"/>
    <n v="565973.05555555597"/>
  </r>
  <r>
    <x v="0"/>
    <x v="0"/>
    <x v="0"/>
    <x v="2"/>
    <x v="3"/>
    <s v="FIN_OTHER"/>
    <x v="10"/>
    <x v="115"/>
    <x v="0"/>
    <x v="8"/>
    <n v="430.725308641975"/>
    <n v="157214.73765432101"/>
    <n v="565973.05555555597"/>
  </r>
  <r>
    <x v="0"/>
    <x v="0"/>
    <x v="0"/>
    <x v="2"/>
    <x v="3"/>
    <s v="FIN_OTHER"/>
    <x v="10"/>
    <x v="115"/>
    <x v="0"/>
    <x v="0"/>
    <n v="430.725308641975"/>
    <n v="157214.73765432101"/>
    <n v="565973.05555555597"/>
  </r>
  <r>
    <x v="0"/>
    <x v="0"/>
    <x v="0"/>
    <x v="2"/>
    <x v="3"/>
    <s v="FIN_OTHER"/>
    <x v="10"/>
    <x v="115"/>
    <x v="0"/>
    <x v="1"/>
    <n v="430.725308641975"/>
    <n v="157214.73765432101"/>
    <n v="565973.05555555597"/>
  </r>
  <r>
    <x v="0"/>
    <x v="0"/>
    <x v="0"/>
    <x v="2"/>
    <x v="3"/>
    <s v="FIN_OTHER"/>
    <x v="10"/>
    <x v="115"/>
    <x v="0"/>
    <x v="2"/>
    <n v="430.725308641975"/>
    <n v="157214.73765432101"/>
    <n v="565973.05555555597"/>
  </r>
  <r>
    <x v="0"/>
    <x v="0"/>
    <x v="0"/>
    <x v="2"/>
    <x v="3"/>
    <s v="FIN_OTHER"/>
    <x v="10"/>
    <x v="115"/>
    <x v="0"/>
    <x v="9"/>
    <n v="430.725308641975"/>
    <n v="157214.73765432101"/>
    <n v="565973.05555555597"/>
  </r>
  <r>
    <x v="0"/>
    <x v="0"/>
    <x v="0"/>
    <x v="2"/>
    <x v="3"/>
    <s v="FIN_OTHER"/>
    <x v="10"/>
    <x v="115"/>
    <x v="0"/>
    <x v="10"/>
    <n v="430.725308641975"/>
    <n v="157214.73765432101"/>
    <n v="565973.05555555597"/>
  </r>
  <r>
    <x v="0"/>
    <x v="0"/>
    <x v="0"/>
    <x v="2"/>
    <x v="3"/>
    <s v="FIN_OTHER"/>
    <x v="10"/>
    <x v="115"/>
    <x v="0"/>
    <x v="11"/>
    <n v="430.725308641975"/>
    <n v="157214.73765432101"/>
    <n v="565973.05555555597"/>
  </r>
  <r>
    <x v="0"/>
    <x v="0"/>
    <x v="0"/>
    <x v="2"/>
    <x v="3"/>
    <s v="FIN_OTHER"/>
    <x v="10"/>
    <x v="115"/>
    <x v="0"/>
    <x v="12"/>
    <n v="430.725308641975"/>
    <n v="157214.73765432101"/>
    <n v="565973.05555555597"/>
  </r>
  <r>
    <x v="0"/>
    <x v="0"/>
    <x v="0"/>
    <x v="2"/>
    <x v="3"/>
    <s v="FIN_OTHER"/>
    <x v="10"/>
    <x v="115"/>
    <x v="0"/>
    <x v="13"/>
    <n v="430.725308641975"/>
    <n v="157214.73765432101"/>
    <n v="565973.05555555597"/>
  </r>
  <r>
    <x v="0"/>
    <x v="0"/>
    <x v="0"/>
    <x v="2"/>
    <x v="3"/>
    <s v="FIN_OTHER"/>
    <x v="10"/>
    <x v="115"/>
    <x v="0"/>
    <x v="14"/>
    <n v="430.725308641975"/>
    <n v="157214.73765432101"/>
    <n v="565973.05555555597"/>
  </r>
  <r>
    <x v="0"/>
    <x v="0"/>
    <x v="0"/>
    <x v="2"/>
    <x v="3"/>
    <s v="FIN_OTHER"/>
    <x v="10"/>
    <x v="115"/>
    <x v="0"/>
    <x v="15"/>
    <n v="430.725308641975"/>
    <n v="157214.73765432101"/>
    <n v="565973.05555555597"/>
  </r>
  <r>
    <x v="0"/>
    <x v="0"/>
    <x v="0"/>
    <x v="2"/>
    <x v="3"/>
    <s v="FIN_OTHER"/>
    <x v="10"/>
    <x v="115"/>
    <x v="0"/>
    <x v="16"/>
    <n v="430.725308641975"/>
    <n v="157214.73765432101"/>
    <n v="565973.05555555597"/>
  </r>
  <r>
    <x v="0"/>
    <x v="0"/>
    <x v="0"/>
    <x v="2"/>
    <x v="3"/>
    <s v="FIN_OTHER"/>
    <x v="10"/>
    <x v="115"/>
    <x v="0"/>
    <x v="17"/>
    <n v="430.725308641975"/>
    <n v="157214.73765432101"/>
    <n v="565973.05555555597"/>
  </r>
  <r>
    <x v="0"/>
    <x v="0"/>
    <x v="0"/>
    <x v="2"/>
    <x v="3"/>
    <s v="FIN_OTHER"/>
    <x v="10"/>
    <x v="115"/>
    <x v="0"/>
    <x v="18"/>
    <n v="430.725308641975"/>
    <n v="157214.73765432101"/>
    <n v="565973.05555555597"/>
  </r>
  <r>
    <x v="0"/>
    <x v="0"/>
    <x v="0"/>
    <x v="2"/>
    <x v="3"/>
    <s v="FIN_OTHER"/>
    <x v="10"/>
    <x v="115"/>
    <x v="0"/>
    <x v="19"/>
    <n v="430.725308641975"/>
    <n v="157214.73765432101"/>
    <n v="565973.05555555597"/>
  </r>
  <r>
    <x v="0"/>
    <x v="0"/>
    <x v="0"/>
    <x v="2"/>
    <x v="3"/>
    <s v="FIN_OTHER"/>
    <x v="10"/>
    <x v="115"/>
    <x v="0"/>
    <x v="20"/>
    <n v="430.725308641975"/>
    <n v="157214.73765432101"/>
    <n v="565973.05555555597"/>
  </r>
  <r>
    <x v="0"/>
    <x v="0"/>
    <x v="0"/>
    <x v="2"/>
    <x v="3"/>
    <s v="FIN_OTHER"/>
    <x v="10"/>
    <x v="115"/>
    <x v="0"/>
    <x v="21"/>
    <n v="430.725308641975"/>
    <n v="157214.73765432101"/>
    <n v="565973.05555555597"/>
  </r>
  <r>
    <x v="0"/>
    <x v="0"/>
    <x v="0"/>
    <x v="2"/>
    <x v="3"/>
    <s v="FIN_OTHER"/>
    <x v="10"/>
    <x v="115"/>
    <x v="0"/>
    <x v="22"/>
    <n v="430.725308641975"/>
    <n v="157214.73765432101"/>
    <n v="565973.05555555597"/>
  </r>
  <r>
    <x v="0"/>
    <x v="0"/>
    <x v="0"/>
    <x v="2"/>
    <x v="3"/>
    <s v="FIN_OTHER"/>
    <x v="10"/>
    <x v="115"/>
    <x v="0"/>
    <x v="23"/>
    <n v="430.725308641975"/>
    <n v="157214.73765432101"/>
    <n v="565973.05555555597"/>
  </r>
  <r>
    <x v="0"/>
    <x v="0"/>
    <x v="0"/>
    <x v="2"/>
    <x v="3"/>
    <s v="FIN_OTHER"/>
    <x v="10"/>
    <x v="111"/>
    <x v="0"/>
    <x v="3"/>
    <n v="196.23529411764699"/>
    <n v="71625.882352941204"/>
    <n v="257853.17647058799"/>
  </r>
  <r>
    <x v="0"/>
    <x v="0"/>
    <x v="0"/>
    <x v="2"/>
    <x v="3"/>
    <s v="FIN_OTHER"/>
    <x v="10"/>
    <x v="111"/>
    <x v="0"/>
    <x v="4"/>
    <n v="196.23529411764699"/>
    <n v="71625.882352941204"/>
    <n v="257853.17647058799"/>
  </r>
  <r>
    <x v="0"/>
    <x v="0"/>
    <x v="0"/>
    <x v="2"/>
    <x v="3"/>
    <s v="FIN_OTHER"/>
    <x v="10"/>
    <x v="111"/>
    <x v="0"/>
    <x v="5"/>
    <n v="196.23529411764699"/>
    <n v="71625.882352941204"/>
    <n v="257853.17647058799"/>
  </r>
  <r>
    <x v="0"/>
    <x v="0"/>
    <x v="0"/>
    <x v="2"/>
    <x v="3"/>
    <s v="FIN_OTHER"/>
    <x v="10"/>
    <x v="111"/>
    <x v="0"/>
    <x v="6"/>
    <n v="196.23529411764699"/>
    <n v="71625.882352941204"/>
    <n v="257853.17647058799"/>
  </r>
  <r>
    <x v="0"/>
    <x v="0"/>
    <x v="0"/>
    <x v="2"/>
    <x v="3"/>
    <s v="FIN_OTHER"/>
    <x v="10"/>
    <x v="111"/>
    <x v="0"/>
    <x v="7"/>
    <n v="196.23529411764699"/>
    <n v="71625.882352941204"/>
    <n v="257853.17647058799"/>
  </r>
  <r>
    <x v="0"/>
    <x v="0"/>
    <x v="0"/>
    <x v="2"/>
    <x v="3"/>
    <s v="FIN_OTHER"/>
    <x v="10"/>
    <x v="111"/>
    <x v="0"/>
    <x v="8"/>
    <n v="196.23529411764699"/>
    <n v="71625.882352941204"/>
    <n v="257853.17647058799"/>
  </r>
  <r>
    <x v="0"/>
    <x v="0"/>
    <x v="0"/>
    <x v="2"/>
    <x v="3"/>
    <s v="FIN_OTHER"/>
    <x v="10"/>
    <x v="111"/>
    <x v="0"/>
    <x v="0"/>
    <n v="196.23529411764699"/>
    <n v="71625.882352941204"/>
    <n v="257853.17647058799"/>
  </r>
  <r>
    <x v="0"/>
    <x v="0"/>
    <x v="0"/>
    <x v="2"/>
    <x v="3"/>
    <s v="FIN_OTHER"/>
    <x v="10"/>
    <x v="111"/>
    <x v="0"/>
    <x v="1"/>
    <n v="196.23529411764699"/>
    <n v="71625.882352941204"/>
    <n v="257853.17647058799"/>
  </r>
  <r>
    <x v="0"/>
    <x v="0"/>
    <x v="0"/>
    <x v="2"/>
    <x v="3"/>
    <s v="FIN_OTHER"/>
    <x v="10"/>
    <x v="111"/>
    <x v="0"/>
    <x v="2"/>
    <n v="196.23529411764699"/>
    <n v="71625.882352941204"/>
    <n v="257853.17647058799"/>
  </r>
  <r>
    <x v="0"/>
    <x v="0"/>
    <x v="0"/>
    <x v="2"/>
    <x v="3"/>
    <s v="FIN_OTHER"/>
    <x v="10"/>
    <x v="111"/>
    <x v="0"/>
    <x v="9"/>
    <n v="196.23529411764699"/>
    <n v="71625.882352941204"/>
    <n v="257853.17647058799"/>
  </r>
  <r>
    <x v="0"/>
    <x v="0"/>
    <x v="0"/>
    <x v="2"/>
    <x v="3"/>
    <s v="FIN_OTHER"/>
    <x v="10"/>
    <x v="111"/>
    <x v="0"/>
    <x v="10"/>
    <n v="196.23529411764699"/>
    <n v="71625.882352941204"/>
    <n v="257853.17647058799"/>
  </r>
  <r>
    <x v="0"/>
    <x v="0"/>
    <x v="0"/>
    <x v="2"/>
    <x v="3"/>
    <s v="FIN_OTHER"/>
    <x v="10"/>
    <x v="111"/>
    <x v="0"/>
    <x v="11"/>
    <n v="196.23529411764699"/>
    <n v="71625.882352941204"/>
    <n v="257853.17647058799"/>
  </r>
  <r>
    <x v="0"/>
    <x v="0"/>
    <x v="0"/>
    <x v="2"/>
    <x v="3"/>
    <s v="FIN_OTHER"/>
    <x v="10"/>
    <x v="111"/>
    <x v="0"/>
    <x v="12"/>
    <n v="196.23529411764699"/>
    <n v="71625.882352941204"/>
    <n v="257853.17647058799"/>
  </r>
  <r>
    <x v="0"/>
    <x v="0"/>
    <x v="0"/>
    <x v="2"/>
    <x v="3"/>
    <s v="FIN_OTHER"/>
    <x v="10"/>
    <x v="111"/>
    <x v="0"/>
    <x v="13"/>
    <n v="196.23529411764699"/>
    <n v="71625.882352941204"/>
    <n v="257853.17647058799"/>
  </r>
  <r>
    <x v="0"/>
    <x v="0"/>
    <x v="0"/>
    <x v="2"/>
    <x v="3"/>
    <s v="FIN_OTHER"/>
    <x v="10"/>
    <x v="111"/>
    <x v="0"/>
    <x v="14"/>
    <n v="196.23529411764699"/>
    <n v="71625.882352941204"/>
    <n v="257853.17647058799"/>
  </r>
  <r>
    <x v="0"/>
    <x v="0"/>
    <x v="0"/>
    <x v="2"/>
    <x v="3"/>
    <s v="FIN_OTHER"/>
    <x v="10"/>
    <x v="111"/>
    <x v="0"/>
    <x v="15"/>
    <n v="196.23529411764699"/>
    <n v="71625.882352941204"/>
    <n v="257853.17647058799"/>
  </r>
  <r>
    <x v="0"/>
    <x v="0"/>
    <x v="0"/>
    <x v="2"/>
    <x v="3"/>
    <s v="FIN_OTHER"/>
    <x v="10"/>
    <x v="111"/>
    <x v="0"/>
    <x v="16"/>
    <n v="196.23529411764699"/>
    <n v="71625.882352941204"/>
    <n v="257853.17647058799"/>
  </r>
  <r>
    <x v="0"/>
    <x v="0"/>
    <x v="0"/>
    <x v="2"/>
    <x v="3"/>
    <s v="FIN_OTHER"/>
    <x v="10"/>
    <x v="111"/>
    <x v="0"/>
    <x v="17"/>
    <n v="196.23529411764699"/>
    <n v="71625.882352941204"/>
    <n v="257853.17647058799"/>
  </r>
  <r>
    <x v="0"/>
    <x v="0"/>
    <x v="0"/>
    <x v="2"/>
    <x v="3"/>
    <s v="FIN_OTHER"/>
    <x v="10"/>
    <x v="111"/>
    <x v="0"/>
    <x v="18"/>
    <n v="196.23529411764699"/>
    <n v="71625.882352941204"/>
    <n v="257853.17647058799"/>
  </r>
  <r>
    <x v="0"/>
    <x v="0"/>
    <x v="0"/>
    <x v="2"/>
    <x v="3"/>
    <s v="FIN_OTHER"/>
    <x v="10"/>
    <x v="111"/>
    <x v="0"/>
    <x v="19"/>
    <n v="196.23529411764699"/>
    <n v="71625.882352941204"/>
    <n v="257853.17647058799"/>
  </r>
  <r>
    <x v="0"/>
    <x v="0"/>
    <x v="0"/>
    <x v="2"/>
    <x v="3"/>
    <s v="FIN_OTHER"/>
    <x v="10"/>
    <x v="111"/>
    <x v="0"/>
    <x v="20"/>
    <n v="196.23529411764699"/>
    <n v="71625.882352941204"/>
    <n v="257853.17647058799"/>
  </r>
  <r>
    <x v="0"/>
    <x v="0"/>
    <x v="0"/>
    <x v="2"/>
    <x v="3"/>
    <s v="FIN_OTHER"/>
    <x v="10"/>
    <x v="111"/>
    <x v="0"/>
    <x v="21"/>
    <n v="196.23529411764699"/>
    <n v="71625.882352941204"/>
    <n v="257853.17647058799"/>
  </r>
  <r>
    <x v="0"/>
    <x v="0"/>
    <x v="0"/>
    <x v="2"/>
    <x v="3"/>
    <s v="FIN_OTHER"/>
    <x v="10"/>
    <x v="111"/>
    <x v="0"/>
    <x v="22"/>
    <n v="196.23529411764699"/>
    <n v="71625.882352941204"/>
    <n v="257853.17647058799"/>
  </r>
  <r>
    <x v="0"/>
    <x v="0"/>
    <x v="0"/>
    <x v="2"/>
    <x v="3"/>
    <s v="FIN_OTHER"/>
    <x v="10"/>
    <x v="111"/>
    <x v="0"/>
    <x v="23"/>
    <n v="196.23529411764699"/>
    <n v="71625.882352941204"/>
    <n v="257853.17647058799"/>
  </r>
  <r>
    <x v="0"/>
    <x v="0"/>
    <x v="0"/>
    <x v="2"/>
    <x v="3"/>
    <s v="FIN_TAMP"/>
    <x v="2"/>
    <x v="116"/>
    <x v="0"/>
    <x v="3"/>
    <n v="746.66666666666697"/>
    <n v="272533.33333333302"/>
    <n v="981120"/>
  </r>
  <r>
    <x v="0"/>
    <x v="0"/>
    <x v="0"/>
    <x v="2"/>
    <x v="3"/>
    <s v="FIN_TAMP"/>
    <x v="2"/>
    <x v="116"/>
    <x v="0"/>
    <x v="4"/>
    <n v="746.66666666666697"/>
    <n v="272533.33333333302"/>
    <n v="981120"/>
  </r>
  <r>
    <x v="0"/>
    <x v="0"/>
    <x v="0"/>
    <x v="2"/>
    <x v="3"/>
    <s v="FIN_TAMP"/>
    <x v="2"/>
    <x v="116"/>
    <x v="0"/>
    <x v="5"/>
    <n v="746.66666666666697"/>
    <n v="272533.33333333302"/>
    <n v="981120"/>
  </r>
  <r>
    <x v="0"/>
    <x v="0"/>
    <x v="0"/>
    <x v="2"/>
    <x v="3"/>
    <s v="FIN_TAMP"/>
    <x v="2"/>
    <x v="116"/>
    <x v="0"/>
    <x v="6"/>
    <n v="746.66666666666697"/>
    <n v="272533.33333333302"/>
    <n v="981120"/>
  </r>
  <r>
    <x v="0"/>
    <x v="0"/>
    <x v="0"/>
    <x v="2"/>
    <x v="3"/>
    <s v="FIN_TAMP"/>
    <x v="2"/>
    <x v="116"/>
    <x v="0"/>
    <x v="7"/>
    <n v="746.66666666666697"/>
    <n v="272533.33333333302"/>
    <n v="981120"/>
  </r>
  <r>
    <x v="0"/>
    <x v="0"/>
    <x v="0"/>
    <x v="2"/>
    <x v="3"/>
    <s v="FIN_TAMP"/>
    <x v="2"/>
    <x v="116"/>
    <x v="0"/>
    <x v="8"/>
    <n v="746.66666666666697"/>
    <n v="272533.33333333302"/>
    <n v="981120"/>
  </r>
  <r>
    <x v="0"/>
    <x v="0"/>
    <x v="0"/>
    <x v="2"/>
    <x v="3"/>
    <s v="FIN_TAMP"/>
    <x v="2"/>
    <x v="116"/>
    <x v="0"/>
    <x v="0"/>
    <n v="746.66666666666697"/>
    <n v="272533.33333333302"/>
    <n v="981120"/>
  </r>
  <r>
    <x v="0"/>
    <x v="0"/>
    <x v="0"/>
    <x v="2"/>
    <x v="3"/>
    <s v="FIN_TAMP"/>
    <x v="2"/>
    <x v="116"/>
    <x v="0"/>
    <x v="1"/>
    <n v="746.66666666666697"/>
    <n v="272533.33333333302"/>
    <n v="981120"/>
  </r>
  <r>
    <x v="0"/>
    <x v="0"/>
    <x v="0"/>
    <x v="2"/>
    <x v="3"/>
    <s v="FIN_TAMP"/>
    <x v="2"/>
    <x v="116"/>
    <x v="0"/>
    <x v="2"/>
    <n v="746.66666666666697"/>
    <n v="272533.33333333302"/>
    <n v="981120"/>
  </r>
  <r>
    <x v="0"/>
    <x v="0"/>
    <x v="0"/>
    <x v="2"/>
    <x v="3"/>
    <s v="FIN_TAMP"/>
    <x v="2"/>
    <x v="116"/>
    <x v="0"/>
    <x v="9"/>
    <n v="746.66666666666697"/>
    <n v="272533.33333333302"/>
    <n v="981120"/>
  </r>
  <r>
    <x v="0"/>
    <x v="0"/>
    <x v="0"/>
    <x v="2"/>
    <x v="3"/>
    <s v="FIN_TAMP"/>
    <x v="2"/>
    <x v="116"/>
    <x v="0"/>
    <x v="10"/>
    <n v="746.66666666666697"/>
    <n v="272533.33333333302"/>
    <n v="981120"/>
  </r>
  <r>
    <x v="0"/>
    <x v="0"/>
    <x v="0"/>
    <x v="2"/>
    <x v="3"/>
    <s v="FIN_TAMP"/>
    <x v="2"/>
    <x v="116"/>
    <x v="0"/>
    <x v="11"/>
    <n v="746.66666666666697"/>
    <n v="272533.33333333302"/>
    <n v="981120"/>
  </r>
  <r>
    <x v="0"/>
    <x v="0"/>
    <x v="0"/>
    <x v="2"/>
    <x v="3"/>
    <s v="FIN_TAMP"/>
    <x v="2"/>
    <x v="116"/>
    <x v="0"/>
    <x v="12"/>
    <n v="746.66666666666697"/>
    <n v="272533.33333333302"/>
    <n v="981120"/>
  </r>
  <r>
    <x v="0"/>
    <x v="0"/>
    <x v="0"/>
    <x v="2"/>
    <x v="3"/>
    <s v="FIN_TAMP"/>
    <x v="2"/>
    <x v="116"/>
    <x v="0"/>
    <x v="13"/>
    <n v="746.66666666666697"/>
    <n v="272533.33333333302"/>
    <n v="981120"/>
  </r>
  <r>
    <x v="0"/>
    <x v="0"/>
    <x v="0"/>
    <x v="2"/>
    <x v="3"/>
    <s v="FIN_TAMP"/>
    <x v="2"/>
    <x v="116"/>
    <x v="0"/>
    <x v="14"/>
    <n v="746.66666666666697"/>
    <n v="272533.33333333302"/>
    <n v="981120"/>
  </r>
  <r>
    <x v="0"/>
    <x v="0"/>
    <x v="0"/>
    <x v="2"/>
    <x v="3"/>
    <s v="FIN_TAMP"/>
    <x v="2"/>
    <x v="116"/>
    <x v="0"/>
    <x v="15"/>
    <n v="746.66666666666697"/>
    <n v="272533.33333333302"/>
    <n v="981120"/>
  </r>
  <r>
    <x v="0"/>
    <x v="0"/>
    <x v="0"/>
    <x v="2"/>
    <x v="3"/>
    <s v="FIN_TAMP"/>
    <x v="2"/>
    <x v="116"/>
    <x v="0"/>
    <x v="16"/>
    <n v="746.66666666666697"/>
    <n v="272533.33333333302"/>
    <n v="981120"/>
  </r>
  <r>
    <x v="0"/>
    <x v="0"/>
    <x v="0"/>
    <x v="2"/>
    <x v="3"/>
    <s v="FIN_TAMP"/>
    <x v="2"/>
    <x v="116"/>
    <x v="0"/>
    <x v="17"/>
    <n v="746.66666666666697"/>
    <n v="272533.33333333302"/>
    <n v="981120"/>
  </r>
  <r>
    <x v="0"/>
    <x v="0"/>
    <x v="0"/>
    <x v="2"/>
    <x v="3"/>
    <s v="FIN_TAMP"/>
    <x v="2"/>
    <x v="116"/>
    <x v="0"/>
    <x v="18"/>
    <n v="746.66666666666697"/>
    <n v="272533.33333333302"/>
    <n v="981120"/>
  </r>
  <r>
    <x v="0"/>
    <x v="0"/>
    <x v="0"/>
    <x v="2"/>
    <x v="3"/>
    <s v="FIN_TAMP"/>
    <x v="2"/>
    <x v="116"/>
    <x v="0"/>
    <x v="19"/>
    <n v="746.66666666666697"/>
    <n v="272533.33333333302"/>
    <n v="981120"/>
  </r>
  <r>
    <x v="0"/>
    <x v="0"/>
    <x v="0"/>
    <x v="2"/>
    <x v="3"/>
    <s v="FIN_TAMP"/>
    <x v="2"/>
    <x v="116"/>
    <x v="0"/>
    <x v="20"/>
    <n v="746.66666666666697"/>
    <n v="272533.33333333302"/>
    <n v="981120"/>
  </r>
  <r>
    <x v="0"/>
    <x v="0"/>
    <x v="0"/>
    <x v="2"/>
    <x v="3"/>
    <s v="FIN_TAMP"/>
    <x v="2"/>
    <x v="116"/>
    <x v="0"/>
    <x v="21"/>
    <n v="746.66666666666697"/>
    <n v="272533.33333333302"/>
    <n v="981120"/>
  </r>
  <r>
    <x v="0"/>
    <x v="0"/>
    <x v="0"/>
    <x v="2"/>
    <x v="3"/>
    <s v="FIN_TAMP"/>
    <x v="2"/>
    <x v="116"/>
    <x v="0"/>
    <x v="22"/>
    <n v="746.66666666666697"/>
    <n v="272533.33333333302"/>
    <n v="981120"/>
  </r>
  <r>
    <x v="0"/>
    <x v="0"/>
    <x v="0"/>
    <x v="2"/>
    <x v="3"/>
    <s v="FIN_TAMP"/>
    <x v="2"/>
    <x v="116"/>
    <x v="0"/>
    <x v="23"/>
    <n v="746.66666666666697"/>
    <n v="272533.33333333302"/>
    <n v="981120"/>
  </r>
  <r>
    <x v="0"/>
    <x v="0"/>
    <x v="0"/>
    <x v="2"/>
    <x v="3"/>
    <s v="FinA"/>
    <x v="2"/>
    <x v="117"/>
    <x v="0"/>
    <x v="3"/>
    <n v="880.56818181818198"/>
    <n v="321407.386363636"/>
    <n v="1157066.5909090899"/>
  </r>
  <r>
    <x v="0"/>
    <x v="0"/>
    <x v="0"/>
    <x v="2"/>
    <x v="3"/>
    <s v="FinA"/>
    <x v="2"/>
    <x v="117"/>
    <x v="0"/>
    <x v="4"/>
    <n v="880.56818181818198"/>
    <n v="321407.386363636"/>
    <n v="1157066.5909090899"/>
  </r>
  <r>
    <x v="0"/>
    <x v="0"/>
    <x v="0"/>
    <x v="2"/>
    <x v="3"/>
    <s v="FinA"/>
    <x v="2"/>
    <x v="117"/>
    <x v="0"/>
    <x v="5"/>
    <n v="880.56818181818198"/>
    <n v="321407.386363636"/>
    <n v="1157066.5909090899"/>
  </r>
  <r>
    <x v="0"/>
    <x v="0"/>
    <x v="0"/>
    <x v="2"/>
    <x v="3"/>
    <s v="FinA"/>
    <x v="2"/>
    <x v="117"/>
    <x v="0"/>
    <x v="6"/>
    <n v="880.56818181818198"/>
    <n v="321407.386363636"/>
    <n v="1157066.5909090899"/>
  </r>
  <r>
    <x v="0"/>
    <x v="0"/>
    <x v="0"/>
    <x v="2"/>
    <x v="3"/>
    <s v="FinA"/>
    <x v="2"/>
    <x v="117"/>
    <x v="0"/>
    <x v="7"/>
    <n v="880.56818181818198"/>
    <n v="321407.386363636"/>
    <n v="1157066.5909090899"/>
  </r>
  <r>
    <x v="0"/>
    <x v="0"/>
    <x v="0"/>
    <x v="2"/>
    <x v="3"/>
    <s v="FinA"/>
    <x v="2"/>
    <x v="117"/>
    <x v="0"/>
    <x v="8"/>
    <n v="880.56818181818198"/>
    <n v="321407.386363636"/>
    <n v="1157066.5909090899"/>
  </r>
  <r>
    <x v="0"/>
    <x v="0"/>
    <x v="0"/>
    <x v="2"/>
    <x v="3"/>
    <s v="FinA"/>
    <x v="2"/>
    <x v="117"/>
    <x v="0"/>
    <x v="0"/>
    <n v="880.56818181818198"/>
    <n v="321407.386363636"/>
    <n v="1157066.5909090899"/>
  </r>
  <r>
    <x v="0"/>
    <x v="0"/>
    <x v="0"/>
    <x v="2"/>
    <x v="3"/>
    <s v="FinA"/>
    <x v="2"/>
    <x v="117"/>
    <x v="0"/>
    <x v="1"/>
    <n v="880.56818181818198"/>
    <n v="321407.386363636"/>
    <n v="1157066.5909090899"/>
  </r>
  <r>
    <x v="0"/>
    <x v="0"/>
    <x v="0"/>
    <x v="2"/>
    <x v="3"/>
    <s v="FinA"/>
    <x v="2"/>
    <x v="117"/>
    <x v="0"/>
    <x v="2"/>
    <n v="880.56818181818198"/>
    <n v="321407.386363636"/>
    <n v="1157066.5909090899"/>
  </r>
  <r>
    <x v="0"/>
    <x v="0"/>
    <x v="0"/>
    <x v="2"/>
    <x v="3"/>
    <s v="FinA"/>
    <x v="2"/>
    <x v="117"/>
    <x v="0"/>
    <x v="9"/>
    <n v="880.56818181818198"/>
    <n v="321407.386363636"/>
    <n v="1157066.5909090899"/>
  </r>
  <r>
    <x v="0"/>
    <x v="0"/>
    <x v="0"/>
    <x v="2"/>
    <x v="3"/>
    <s v="FinA"/>
    <x v="2"/>
    <x v="117"/>
    <x v="0"/>
    <x v="10"/>
    <n v="880.56818181818198"/>
    <n v="321407.386363636"/>
    <n v="1157066.5909090899"/>
  </r>
  <r>
    <x v="0"/>
    <x v="0"/>
    <x v="0"/>
    <x v="2"/>
    <x v="3"/>
    <s v="FinA"/>
    <x v="2"/>
    <x v="117"/>
    <x v="0"/>
    <x v="11"/>
    <n v="880.56818181818198"/>
    <n v="321407.386363636"/>
    <n v="1157066.5909090899"/>
  </r>
  <r>
    <x v="0"/>
    <x v="0"/>
    <x v="0"/>
    <x v="2"/>
    <x v="3"/>
    <s v="FinA"/>
    <x v="2"/>
    <x v="117"/>
    <x v="0"/>
    <x v="12"/>
    <n v="880.56818181818198"/>
    <n v="321407.386363636"/>
    <n v="1157066.5909090899"/>
  </r>
  <r>
    <x v="0"/>
    <x v="0"/>
    <x v="0"/>
    <x v="2"/>
    <x v="3"/>
    <s v="FinA"/>
    <x v="2"/>
    <x v="117"/>
    <x v="0"/>
    <x v="13"/>
    <n v="880.56818181818198"/>
    <n v="321407.386363636"/>
    <n v="1157066.5909090899"/>
  </r>
  <r>
    <x v="0"/>
    <x v="0"/>
    <x v="0"/>
    <x v="2"/>
    <x v="3"/>
    <s v="FinA"/>
    <x v="2"/>
    <x v="117"/>
    <x v="0"/>
    <x v="14"/>
    <n v="880.56818181818198"/>
    <n v="321407.386363636"/>
    <n v="1157066.5909090899"/>
  </r>
  <r>
    <x v="0"/>
    <x v="0"/>
    <x v="0"/>
    <x v="2"/>
    <x v="3"/>
    <s v="FinA"/>
    <x v="2"/>
    <x v="117"/>
    <x v="0"/>
    <x v="15"/>
    <n v="880.56818181818198"/>
    <n v="321407.386363636"/>
    <n v="1157066.5909090899"/>
  </r>
  <r>
    <x v="0"/>
    <x v="0"/>
    <x v="0"/>
    <x v="2"/>
    <x v="3"/>
    <s v="FinA"/>
    <x v="2"/>
    <x v="117"/>
    <x v="0"/>
    <x v="16"/>
    <n v="880.56818181818198"/>
    <n v="321407.386363636"/>
    <n v="1157066.5909090899"/>
  </r>
  <r>
    <x v="0"/>
    <x v="0"/>
    <x v="0"/>
    <x v="2"/>
    <x v="3"/>
    <s v="FinA"/>
    <x v="2"/>
    <x v="117"/>
    <x v="0"/>
    <x v="17"/>
    <n v="880.56818181818198"/>
    <n v="321407.386363636"/>
    <n v="1157066.5909090899"/>
  </r>
  <r>
    <x v="0"/>
    <x v="0"/>
    <x v="0"/>
    <x v="2"/>
    <x v="3"/>
    <s v="FinA"/>
    <x v="2"/>
    <x v="117"/>
    <x v="0"/>
    <x v="18"/>
    <n v="880.56818181818198"/>
    <n v="321407.386363636"/>
    <n v="1157066.5909090899"/>
  </r>
  <r>
    <x v="0"/>
    <x v="0"/>
    <x v="0"/>
    <x v="2"/>
    <x v="3"/>
    <s v="FinA"/>
    <x v="2"/>
    <x v="117"/>
    <x v="0"/>
    <x v="19"/>
    <n v="880.56818181818198"/>
    <n v="321407.386363636"/>
    <n v="1157066.5909090899"/>
  </r>
  <r>
    <x v="0"/>
    <x v="0"/>
    <x v="0"/>
    <x v="2"/>
    <x v="3"/>
    <s v="FinA"/>
    <x v="2"/>
    <x v="117"/>
    <x v="0"/>
    <x v="20"/>
    <n v="880.56818181818198"/>
    <n v="321407.386363636"/>
    <n v="1157066.5909090899"/>
  </r>
  <r>
    <x v="0"/>
    <x v="0"/>
    <x v="0"/>
    <x v="2"/>
    <x v="3"/>
    <s v="FinA"/>
    <x v="2"/>
    <x v="117"/>
    <x v="0"/>
    <x v="21"/>
    <n v="880.56818181818198"/>
    <n v="321407.386363636"/>
    <n v="1157066.5909090899"/>
  </r>
  <r>
    <x v="0"/>
    <x v="0"/>
    <x v="0"/>
    <x v="2"/>
    <x v="3"/>
    <s v="FinA"/>
    <x v="2"/>
    <x v="117"/>
    <x v="0"/>
    <x v="22"/>
    <n v="880.56818181818198"/>
    <n v="321407.386363636"/>
    <n v="1157066.5909090899"/>
  </r>
  <r>
    <x v="0"/>
    <x v="0"/>
    <x v="0"/>
    <x v="2"/>
    <x v="3"/>
    <s v="FinA"/>
    <x v="2"/>
    <x v="117"/>
    <x v="0"/>
    <x v="23"/>
    <n v="880.56818181818198"/>
    <n v="321407.386363636"/>
    <n v="1157066.5909090899"/>
  </r>
  <r>
    <x v="0"/>
    <x v="0"/>
    <x v="0"/>
    <x v="2"/>
    <x v="3"/>
    <s v="FinA"/>
    <x v="2"/>
    <x v="118"/>
    <x v="0"/>
    <x v="3"/>
    <n v="6.8253968253968296"/>
    <n v="2491.2698412698401"/>
    <n v="8968.5714285714294"/>
  </r>
  <r>
    <x v="0"/>
    <x v="0"/>
    <x v="0"/>
    <x v="2"/>
    <x v="3"/>
    <s v="FinA"/>
    <x v="2"/>
    <x v="118"/>
    <x v="0"/>
    <x v="4"/>
    <n v="6.8253968253968296"/>
    <n v="2491.2698412698401"/>
    <n v="8968.5714285714294"/>
  </r>
  <r>
    <x v="0"/>
    <x v="0"/>
    <x v="0"/>
    <x v="2"/>
    <x v="3"/>
    <s v="FinA"/>
    <x v="2"/>
    <x v="118"/>
    <x v="0"/>
    <x v="5"/>
    <n v="6.8253968253968296"/>
    <n v="2491.2698412698401"/>
    <n v="8968.5714285714294"/>
  </r>
  <r>
    <x v="0"/>
    <x v="0"/>
    <x v="0"/>
    <x v="2"/>
    <x v="3"/>
    <s v="FinA"/>
    <x v="2"/>
    <x v="118"/>
    <x v="0"/>
    <x v="6"/>
    <n v="6.8253968253968296"/>
    <n v="2491.2698412698401"/>
    <n v="8968.5714285714294"/>
  </r>
  <r>
    <x v="0"/>
    <x v="0"/>
    <x v="0"/>
    <x v="2"/>
    <x v="3"/>
    <s v="FinA"/>
    <x v="2"/>
    <x v="118"/>
    <x v="0"/>
    <x v="7"/>
    <n v="6.8253968253968296"/>
    <n v="2491.2698412698401"/>
    <n v="8968.5714285714294"/>
  </r>
  <r>
    <x v="0"/>
    <x v="0"/>
    <x v="0"/>
    <x v="2"/>
    <x v="3"/>
    <s v="FinA"/>
    <x v="2"/>
    <x v="118"/>
    <x v="0"/>
    <x v="8"/>
    <n v="6.8253968253968296"/>
    <n v="2491.2698412698401"/>
    <n v="8968.5714285714294"/>
  </r>
  <r>
    <x v="0"/>
    <x v="0"/>
    <x v="0"/>
    <x v="2"/>
    <x v="3"/>
    <s v="FinA"/>
    <x v="2"/>
    <x v="118"/>
    <x v="0"/>
    <x v="0"/>
    <n v="6.8253968253968296"/>
    <n v="2491.2698412698401"/>
    <n v="8968.5714285714294"/>
  </r>
  <r>
    <x v="0"/>
    <x v="0"/>
    <x v="0"/>
    <x v="2"/>
    <x v="3"/>
    <s v="FinA"/>
    <x v="2"/>
    <x v="118"/>
    <x v="0"/>
    <x v="1"/>
    <n v="6.8253968253968296"/>
    <n v="2491.2698412698401"/>
    <n v="8968.5714285714294"/>
  </r>
  <r>
    <x v="0"/>
    <x v="0"/>
    <x v="0"/>
    <x v="2"/>
    <x v="3"/>
    <s v="FinA"/>
    <x v="2"/>
    <x v="118"/>
    <x v="0"/>
    <x v="2"/>
    <n v="6.8253968253968296"/>
    <n v="2491.2698412698401"/>
    <n v="8968.5714285714294"/>
  </r>
  <r>
    <x v="0"/>
    <x v="0"/>
    <x v="0"/>
    <x v="2"/>
    <x v="3"/>
    <s v="FinA"/>
    <x v="2"/>
    <x v="118"/>
    <x v="0"/>
    <x v="9"/>
    <n v="6.8253968253968296"/>
    <n v="2491.2698412698401"/>
    <n v="8968.5714285714294"/>
  </r>
  <r>
    <x v="0"/>
    <x v="0"/>
    <x v="0"/>
    <x v="2"/>
    <x v="3"/>
    <s v="FinA"/>
    <x v="2"/>
    <x v="118"/>
    <x v="0"/>
    <x v="10"/>
    <n v="6.8253968253968296"/>
    <n v="2491.2698412698401"/>
    <n v="8968.5714285714294"/>
  </r>
  <r>
    <x v="0"/>
    <x v="0"/>
    <x v="0"/>
    <x v="2"/>
    <x v="3"/>
    <s v="FinA"/>
    <x v="2"/>
    <x v="118"/>
    <x v="0"/>
    <x v="11"/>
    <n v="6.8253968253968296"/>
    <n v="2491.2698412698401"/>
    <n v="8968.5714285714294"/>
  </r>
  <r>
    <x v="0"/>
    <x v="0"/>
    <x v="0"/>
    <x v="2"/>
    <x v="3"/>
    <s v="FinA"/>
    <x v="2"/>
    <x v="118"/>
    <x v="0"/>
    <x v="12"/>
    <n v="6.8253968253968296"/>
    <n v="2491.2698412698401"/>
    <n v="8968.5714285714294"/>
  </r>
  <r>
    <x v="0"/>
    <x v="0"/>
    <x v="0"/>
    <x v="2"/>
    <x v="3"/>
    <s v="FinA"/>
    <x v="2"/>
    <x v="118"/>
    <x v="0"/>
    <x v="13"/>
    <n v="6.8253968253968296"/>
    <n v="2491.2698412698401"/>
    <n v="8968.5714285714294"/>
  </r>
  <r>
    <x v="0"/>
    <x v="0"/>
    <x v="0"/>
    <x v="2"/>
    <x v="3"/>
    <s v="FinA"/>
    <x v="2"/>
    <x v="118"/>
    <x v="0"/>
    <x v="14"/>
    <n v="6.8253968253968296"/>
    <n v="2491.2698412698401"/>
    <n v="8968.5714285714294"/>
  </r>
  <r>
    <x v="0"/>
    <x v="0"/>
    <x v="0"/>
    <x v="2"/>
    <x v="3"/>
    <s v="FinA"/>
    <x v="2"/>
    <x v="118"/>
    <x v="0"/>
    <x v="15"/>
    <n v="6.8253968253968296"/>
    <n v="2491.2698412698401"/>
    <n v="8968.5714285714294"/>
  </r>
  <r>
    <x v="0"/>
    <x v="0"/>
    <x v="0"/>
    <x v="2"/>
    <x v="3"/>
    <s v="FinA"/>
    <x v="2"/>
    <x v="118"/>
    <x v="0"/>
    <x v="16"/>
    <n v="6.8253968253968296"/>
    <n v="2491.2698412698401"/>
    <n v="8968.5714285714294"/>
  </r>
  <r>
    <x v="0"/>
    <x v="0"/>
    <x v="0"/>
    <x v="2"/>
    <x v="3"/>
    <s v="FinA"/>
    <x v="2"/>
    <x v="118"/>
    <x v="0"/>
    <x v="17"/>
    <n v="6.8253968253968296"/>
    <n v="2491.2698412698401"/>
    <n v="8968.5714285714294"/>
  </r>
  <r>
    <x v="0"/>
    <x v="0"/>
    <x v="0"/>
    <x v="2"/>
    <x v="3"/>
    <s v="FinA"/>
    <x v="2"/>
    <x v="118"/>
    <x v="0"/>
    <x v="18"/>
    <n v="6.8253968253968296"/>
    <n v="2491.2698412698401"/>
    <n v="8968.5714285714294"/>
  </r>
  <r>
    <x v="0"/>
    <x v="0"/>
    <x v="0"/>
    <x v="2"/>
    <x v="3"/>
    <s v="FinA"/>
    <x v="2"/>
    <x v="118"/>
    <x v="0"/>
    <x v="19"/>
    <n v="6.8253968253968296"/>
    <n v="2491.2698412698401"/>
    <n v="8968.5714285714294"/>
  </r>
  <r>
    <x v="0"/>
    <x v="0"/>
    <x v="0"/>
    <x v="2"/>
    <x v="3"/>
    <s v="FinA"/>
    <x v="2"/>
    <x v="118"/>
    <x v="0"/>
    <x v="20"/>
    <n v="6.8253968253968296"/>
    <n v="2491.2698412698401"/>
    <n v="8968.5714285714294"/>
  </r>
  <r>
    <x v="0"/>
    <x v="0"/>
    <x v="0"/>
    <x v="2"/>
    <x v="3"/>
    <s v="FinA"/>
    <x v="2"/>
    <x v="118"/>
    <x v="0"/>
    <x v="21"/>
    <n v="6.8253968253968296"/>
    <n v="2491.2698412698401"/>
    <n v="8968.5714285714294"/>
  </r>
  <r>
    <x v="0"/>
    <x v="0"/>
    <x v="0"/>
    <x v="2"/>
    <x v="3"/>
    <s v="FinA"/>
    <x v="2"/>
    <x v="118"/>
    <x v="0"/>
    <x v="22"/>
    <n v="6.8253968253968296"/>
    <n v="2491.2698412698401"/>
    <n v="8968.5714285714294"/>
  </r>
  <r>
    <x v="0"/>
    <x v="0"/>
    <x v="0"/>
    <x v="2"/>
    <x v="3"/>
    <s v="FinA"/>
    <x v="2"/>
    <x v="118"/>
    <x v="0"/>
    <x v="23"/>
    <n v="6.8253968253968296"/>
    <n v="2491.2698412698401"/>
    <n v="8968.5714285714294"/>
  </r>
  <r>
    <x v="0"/>
    <x v="0"/>
    <x v="0"/>
    <x v="2"/>
    <x v="3"/>
    <s v="FinA"/>
    <x v="2"/>
    <x v="119"/>
    <x v="0"/>
    <x v="3"/>
    <n v="24.712643678160902"/>
    <n v="9020.1149425287094"/>
    <n v="32472.413793103398"/>
  </r>
  <r>
    <x v="0"/>
    <x v="0"/>
    <x v="0"/>
    <x v="2"/>
    <x v="3"/>
    <s v="FinA"/>
    <x v="2"/>
    <x v="119"/>
    <x v="0"/>
    <x v="4"/>
    <n v="24.712643678160902"/>
    <n v="9020.1149425287094"/>
    <n v="32472.413793103398"/>
  </r>
  <r>
    <x v="0"/>
    <x v="0"/>
    <x v="0"/>
    <x v="2"/>
    <x v="3"/>
    <s v="FinA"/>
    <x v="2"/>
    <x v="119"/>
    <x v="0"/>
    <x v="5"/>
    <n v="24.712643678160902"/>
    <n v="9020.1149425287094"/>
    <n v="32472.413793103398"/>
  </r>
  <r>
    <x v="0"/>
    <x v="0"/>
    <x v="0"/>
    <x v="2"/>
    <x v="3"/>
    <s v="FinA"/>
    <x v="2"/>
    <x v="119"/>
    <x v="0"/>
    <x v="6"/>
    <n v="24.712643678160902"/>
    <n v="9020.1149425287094"/>
    <n v="32472.413793103398"/>
  </r>
  <r>
    <x v="0"/>
    <x v="0"/>
    <x v="0"/>
    <x v="2"/>
    <x v="3"/>
    <s v="FinA"/>
    <x v="2"/>
    <x v="119"/>
    <x v="0"/>
    <x v="7"/>
    <n v="24.712643678160902"/>
    <n v="9020.1149425287094"/>
    <n v="32472.413793103398"/>
  </r>
  <r>
    <x v="0"/>
    <x v="0"/>
    <x v="0"/>
    <x v="2"/>
    <x v="3"/>
    <s v="FinA"/>
    <x v="2"/>
    <x v="119"/>
    <x v="0"/>
    <x v="8"/>
    <n v="24.712643678160902"/>
    <n v="9020.1149425287094"/>
    <n v="32472.413793103398"/>
  </r>
  <r>
    <x v="0"/>
    <x v="0"/>
    <x v="0"/>
    <x v="2"/>
    <x v="3"/>
    <s v="FinA"/>
    <x v="2"/>
    <x v="119"/>
    <x v="0"/>
    <x v="0"/>
    <n v="24.712643678160902"/>
    <n v="9020.1149425287094"/>
    <n v="32472.413793103398"/>
  </r>
  <r>
    <x v="0"/>
    <x v="0"/>
    <x v="0"/>
    <x v="2"/>
    <x v="3"/>
    <s v="FinA"/>
    <x v="2"/>
    <x v="119"/>
    <x v="0"/>
    <x v="1"/>
    <n v="24.712643678160902"/>
    <n v="9020.1149425287094"/>
    <n v="32472.413793103398"/>
  </r>
  <r>
    <x v="0"/>
    <x v="0"/>
    <x v="0"/>
    <x v="2"/>
    <x v="3"/>
    <s v="FinA"/>
    <x v="2"/>
    <x v="119"/>
    <x v="0"/>
    <x v="2"/>
    <n v="24.712643678160902"/>
    <n v="9020.1149425287094"/>
    <n v="32472.413793103398"/>
  </r>
  <r>
    <x v="0"/>
    <x v="0"/>
    <x v="0"/>
    <x v="2"/>
    <x v="3"/>
    <s v="FinA"/>
    <x v="2"/>
    <x v="119"/>
    <x v="0"/>
    <x v="9"/>
    <n v="24.712643678160902"/>
    <n v="9020.1149425287094"/>
    <n v="32472.413793103398"/>
  </r>
  <r>
    <x v="0"/>
    <x v="0"/>
    <x v="0"/>
    <x v="2"/>
    <x v="3"/>
    <s v="FinA"/>
    <x v="2"/>
    <x v="119"/>
    <x v="0"/>
    <x v="10"/>
    <n v="24.712643678160902"/>
    <n v="9020.1149425287094"/>
    <n v="32472.413793103398"/>
  </r>
  <r>
    <x v="0"/>
    <x v="0"/>
    <x v="0"/>
    <x v="2"/>
    <x v="3"/>
    <s v="FinA"/>
    <x v="2"/>
    <x v="119"/>
    <x v="0"/>
    <x v="11"/>
    <n v="24.712643678160902"/>
    <n v="9020.1149425287094"/>
    <n v="32472.413793103398"/>
  </r>
  <r>
    <x v="0"/>
    <x v="0"/>
    <x v="0"/>
    <x v="2"/>
    <x v="3"/>
    <s v="FinA"/>
    <x v="2"/>
    <x v="119"/>
    <x v="0"/>
    <x v="12"/>
    <n v="24.712643678160902"/>
    <n v="9020.1149425287094"/>
    <n v="32472.413793103398"/>
  </r>
  <r>
    <x v="0"/>
    <x v="0"/>
    <x v="0"/>
    <x v="2"/>
    <x v="3"/>
    <s v="FinA"/>
    <x v="2"/>
    <x v="119"/>
    <x v="0"/>
    <x v="13"/>
    <n v="24.712643678160902"/>
    <n v="9020.1149425287094"/>
    <n v="32472.413793103398"/>
  </r>
  <r>
    <x v="0"/>
    <x v="0"/>
    <x v="0"/>
    <x v="2"/>
    <x v="3"/>
    <s v="FinA"/>
    <x v="2"/>
    <x v="119"/>
    <x v="0"/>
    <x v="14"/>
    <n v="24.712643678160902"/>
    <n v="9020.1149425287094"/>
    <n v="32472.413793103398"/>
  </r>
  <r>
    <x v="0"/>
    <x v="0"/>
    <x v="0"/>
    <x v="2"/>
    <x v="3"/>
    <s v="FinA"/>
    <x v="2"/>
    <x v="119"/>
    <x v="0"/>
    <x v="15"/>
    <n v="24.712643678160902"/>
    <n v="9020.1149425287094"/>
    <n v="32472.413793103398"/>
  </r>
  <r>
    <x v="0"/>
    <x v="0"/>
    <x v="0"/>
    <x v="2"/>
    <x v="3"/>
    <s v="FinA"/>
    <x v="2"/>
    <x v="119"/>
    <x v="0"/>
    <x v="16"/>
    <n v="24.712643678160902"/>
    <n v="9020.1149425287094"/>
    <n v="32472.413793103398"/>
  </r>
  <r>
    <x v="0"/>
    <x v="0"/>
    <x v="0"/>
    <x v="2"/>
    <x v="3"/>
    <s v="FinA"/>
    <x v="2"/>
    <x v="119"/>
    <x v="0"/>
    <x v="17"/>
    <n v="24.712643678160902"/>
    <n v="9020.1149425287094"/>
    <n v="32472.413793103398"/>
  </r>
  <r>
    <x v="0"/>
    <x v="0"/>
    <x v="0"/>
    <x v="2"/>
    <x v="3"/>
    <s v="FinA"/>
    <x v="2"/>
    <x v="119"/>
    <x v="0"/>
    <x v="18"/>
    <n v="24.712643678160902"/>
    <n v="9020.1149425287094"/>
    <n v="32472.413793103398"/>
  </r>
  <r>
    <x v="0"/>
    <x v="0"/>
    <x v="0"/>
    <x v="2"/>
    <x v="3"/>
    <s v="FinA"/>
    <x v="2"/>
    <x v="119"/>
    <x v="0"/>
    <x v="19"/>
    <n v="24.712643678160902"/>
    <n v="9020.1149425287094"/>
    <n v="32472.413793103398"/>
  </r>
  <r>
    <x v="0"/>
    <x v="0"/>
    <x v="0"/>
    <x v="2"/>
    <x v="3"/>
    <s v="FinA"/>
    <x v="2"/>
    <x v="119"/>
    <x v="0"/>
    <x v="20"/>
    <n v="24.712643678160902"/>
    <n v="9020.1149425287094"/>
    <n v="32472.413793103398"/>
  </r>
  <r>
    <x v="0"/>
    <x v="0"/>
    <x v="0"/>
    <x v="2"/>
    <x v="3"/>
    <s v="FinA"/>
    <x v="2"/>
    <x v="119"/>
    <x v="0"/>
    <x v="21"/>
    <n v="24.712643678160902"/>
    <n v="9020.1149425287094"/>
    <n v="32472.413793103398"/>
  </r>
  <r>
    <x v="0"/>
    <x v="0"/>
    <x v="0"/>
    <x v="2"/>
    <x v="3"/>
    <s v="FinA"/>
    <x v="2"/>
    <x v="119"/>
    <x v="0"/>
    <x v="22"/>
    <n v="24.712643678160902"/>
    <n v="9020.1149425287094"/>
    <n v="32472.413793103398"/>
  </r>
  <r>
    <x v="0"/>
    <x v="0"/>
    <x v="0"/>
    <x v="2"/>
    <x v="3"/>
    <s v="FinA"/>
    <x v="2"/>
    <x v="119"/>
    <x v="0"/>
    <x v="23"/>
    <n v="24.712643678160902"/>
    <n v="9020.1149425287094"/>
    <n v="32472.413793103398"/>
  </r>
  <r>
    <x v="0"/>
    <x v="0"/>
    <x v="0"/>
    <x v="2"/>
    <x v="3"/>
    <s v="FinA"/>
    <x v="2"/>
    <x v="120"/>
    <x v="0"/>
    <x v="3"/>
    <n v="35.8333333333333"/>
    <n v="13079.166666666601"/>
    <n v="47084.999999999898"/>
  </r>
  <r>
    <x v="0"/>
    <x v="0"/>
    <x v="0"/>
    <x v="2"/>
    <x v="3"/>
    <s v="FinA"/>
    <x v="2"/>
    <x v="120"/>
    <x v="0"/>
    <x v="4"/>
    <n v="35.8333333333333"/>
    <n v="13079.166666666601"/>
    <n v="47084.999999999898"/>
  </r>
  <r>
    <x v="0"/>
    <x v="0"/>
    <x v="0"/>
    <x v="2"/>
    <x v="3"/>
    <s v="FinA"/>
    <x v="2"/>
    <x v="120"/>
    <x v="0"/>
    <x v="5"/>
    <n v="35.8333333333333"/>
    <n v="13079.166666666601"/>
    <n v="47084.999999999898"/>
  </r>
  <r>
    <x v="0"/>
    <x v="0"/>
    <x v="0"/>
    <x v="2"/>
    <x v="3"/>
    <s v="FinA"/>
    <x v="2"/>
    <x v="120"/>
    <x v="0"/>
    <x v="6"/>
    <n v="35.8333333333333"/>
    <n v="13079.166666666601"/>
    <n v="47084.999999999898"/>
  </r>
  <r>
    <x v="0"/>
    <x v="0"/>
    <x v="0"/>
    <x v="2"/>
    <x v="3"/>
    <s v="FinA"/>
    <x v="2"/>
    <x v="120"/>
    <x v="0"/>
    <x v="7"/>
    <n v="35.8333333333333"/>
    <n v="13079.166666666601"/>
    <n v="47084.999999999898"/>
  </r>
  <r>
    <x v="0"/>
    <x v="0"/>
    <x v="0"/>
    <x v="2"/>
    <x v="3"/>
    <s v="FinA"/>
    <x v="2"/>
    <x v="120"/>
    <x v="0"/>
    <x v="8"/>
    <n v="35.8333333333333"/>
    <n v="13079.166666666601"/>
    <n v="47084.999999999898"/>
  </r>
  <r>
    <x v="0"/>
    <x v="0"/>
    <x v="0"/>
    <x v="2"/>
    <x v="3"/>
    <s v="FinA"/>
    <x v="2"/>
    <x v="120"/>
    <x v="0"/>
    <x v="0"/>
    <n v="35.8333333333333"/>
    <n v="13079.166666666601"/>
    <n v="47084.999999999898"/>
  </r>
  <r>
    <x v="0"/>
    <x v="0"/>
    <x v="0"/>
    <x v="2"/>
    <x v="3"/>
    <s v="FinA"/>
    <x v="2"/>
    <x v="120"/>
    <x v="0"/>
    <x v="1"/>
    <n v="35.8333333333333"/>
    <n v="13079.166666666601"/>
    <n v="47084.999999999898"/>
  </r>
  <r>
    <x v="0"/>
    <x v="0"/>
    <x v="0"/>
    <x v="2"/>
    <x v="3"/>
    <s v="FinA"/>
    <x v="2"/>
    <x v="120"/>
    <x v="0"/>
    <x v="2"/>
    <n v="35.8333333333333"/>
    <n v="13079.166666666601"/>
    <n v="47084.999999999898"/>
  </r>
  <r>
    <x v="0"/>
    <x v="0"/>
    <x v="0"/>
    <x v="2"/>
    <x v="3"/>
    <s v="FinA"/>
    <x v="2"/>
    <x v="120"/>
    <x v="0"/>
    <x v="9"/>
    <n v="35.8333333333333"/>
    <n v="13079.166666666601"/>
    <n v="47084.999999999898"/>
  </r>
  <r>
    <x v="0"/>
    <x v="0"/>
    <x v="0"/>
    <x v="2"/>
    <x v="3"/>
    <s v="FinA"/>
    <x v="2"/>
    <x v="120"/>
    <x v="0"/>
    <x v="10"/>
    <n v="35.8333333333333"/>
    <n v="13079.166666666601"/>
    <n v="47084.999999999898"/>
  </r>
  <r>
    <x v="0"/>
    <x v="0"/>
    <x v="0"/>
    <x v="2"/>
    <x v="3"/>
    <s v="FinA"/>
    <x v="2"/>
    <x v="120"/>
    <x v="0"/>
    <x v="11"/>
    <n v="35.8333333333333"/>
    <n v="13079.166666666601"/>
    <n v="47084.999999999898"/>
  </r>
  <r>
    <x v="0"/>
    <x v="0"/>
    <x v="0"/>
    <x v="2"/>
    <x v="3"/>
    <s v="FinA"/>
    <x v="2"/>
    <x v="120"/>
    <x v="0"/>
    <x v="12"/>
    <n v="35.8333333333333"/>
    <n v="13079.166666666601"/>
    <n v="47084.999999999898"/>
  </r>
  <r>
    <x v="0"/>
    <x v="0"/>
    <x v="0"/>
    <x v="2"/>
    <x v="3"/>
    <s v="FinA"/>
    <x v="2"/>
    <x v="120"/>
    <x v="0"/>
    <x v="13"/>
    <n v="35.8333333333333"/>
    <n v="13079.166666666601"/>
    <n v="47084.999999999898"/>
  </r>
  <r>
    <x v="0"/>
    <x v="0"/>
    <x v="0"/>
    <x v="2"/>
    <x v="3"/>
    <s v="FinA"/>
    <x v="2"/>
    <x v="120"/>
    <x v="0"/>
    <x v="14"/>
    <n v="35.8333333333333"/>
    <n v="13079.166666666601"/>
    <n v="47084.999999999898"/>
  </r>
  <r>
    <x v="0"/>
    <x v="0"/>
    <x v="0"/>
    <x v="2"/>
    <x v="3"/>
    <s v="FinA"/>
    <x v="2"/>
    <x v="120"/>
    <x v="0"/>
    <x v="15"/>
    <n v="35.8333333333333"/>
    <n v="13079.166666666601"/>
    <n v="47084.999999999898"/>
  </r>
  <r>
    <x v="0"/>
    <x v="0"/>
    <x v="0"/>
    <x v="2"/>
    <x v="3"/>
    <s v="FinA"/>
    <x v="2"/>
    <x v="120"/>
    <x v="0"/>
    <x v="16"/>
    <n v="35.8333333333333"/>
    <n v="13079.166666666601"/>
    <n v="47084.999999999898"/>
  </r>
  <r>
    <x v="0"/>
    <x v="0"/>
    <x v="0"/>
    <x v="2"/>
    <x v="3"/>
    <s v="FinA"/>
    <x v="2"/>
    <x v="120"/>
    <x v="0"/>
    <x v="17"/>
    <n v="35.8333333333333"/>
    <n v="13079.166666666601"/>
    <n v="47084.999999999898"/>
  </r>
  <r>
    <x v="0"/>
    <x v="0"/>
    <x v="0"/>
    <x v="2"/>
    <x v="3"/>
    <s v="FinA"/>
    <x v="2"/>
    <x v="120"/>
    <x v="0"/>
    <x v="18"/>
    <n v="35.8333333333333"/>
    <n v="13079.166666666601"/>
    <n v="47084.999999999898"/>
  </r>
  <r>
    <x v="0"/>
    <x v="0"/>
    <x v="0"/>
    <x v="2"/>
    <x v="3"/>
    <s v="FinA"/>
    <x v="2"/>
    <x v="120"/>
    <x v="0"/>
    <x v="19"/>
    <n v="35.8333333333333"/>
    <n v="13079.166666666601"/>
    <n v="47084.999999999898"/>
  </r>
  <r>
    <x v="0"/>
    <x v="0"/>
    <x v="0"/>
    <x v="2"/>
    <x v="3"/>
    <s v="FinA"/>
    <x v="2"/>
    <x v="120"/>
    <x v="0"/>
    <x v="20"/>
    <n v="35.8333333333333"/>
    <n v="13079.166666666601"/>
    <n v="47084.999999999898"/>
  </r>
  <r>
    <x v="0"/>
    <x v="0"/>
    <x v="0"/>
    <x v="2"/>
    <x v="3"/>
    <s v="FinA"/>
    <x v="2"/>
    <x v="120"/>
    <x v="0"/>
    <x v="21"/>
    <n v="35.8333333333333"/>
    <n v="13079.166666666601"/>
    <n v="47084.999999999898"/>
  </r>
  <r>
    <x v="0"/>
    <x v="0"/>
    <x v="0"/>
    <x v="2"/>
    <x v="3"/>
    <s v="FinA"/>
    <x v="2"/>
    <x v="120"/>
    <x v="0"/>
    <x v="22"/>
    <n v="35.8333333333333"/>
    <n v="13079.166666666601"/>
    <n v="47084.999999999898"/>
  </r>
  <r>
    <x v="0"/>
    <x v="0"/>
    <x v="0"/>
    <x v="2"/>
    <x v="3"/>
    <s v="FinA"/>
    <x v="2"/>
    <x v="120"/>
    <x v="0"/>
    <x v="23"/>
    <n v="35.8333333333333"/>
    <n v="13079.166666666601"/>
    <n v="47084.999999999898"/>
  </r>
  <r>
    <x v="0"/>
    <x v="0"/>
    <x v="0"/>
    <x v="2"/>
    <x v="3"/>
    <s v="FinA"/>
    <x v="18"/>
    <x v="121"/>
    <x v="0"/>
    <x v="3"/>
    <n v="8284.8960000000006"/>
    <n v="3023987.04"/>
    <n v="10886353.344000001"/>
  </r>
  <r>
    <x v="0"/>
    <x v="0"/>
    <x v="0"/>
    <x v="2"/>
    <x v="3"/>
    <s v="FinA"/>
    <x v="18"/>
    <x v="121"/>
    <x v="0"/>
    <x v="4"/>
    <n v="8284.8960000000006"/>
    <n v="3023987.04"/>
    <n v="10886353.344000001"/>
  </r>
  <r>
    <x v="0"/>
    <x v="0"/>
    <x v="0"/>
    <x v="2"/>
    <x v="3"/>
    <s v="FinA"/>
    <x v="18"/>
    <x v="121"/>
    <x v="0"/>
    <x v="5"/>
    <n v="8284.8960000000006"/>
    <n v="3023987.04"/>
    <n v="10886353.344000001"/>
  </r>
  <r>
    <x v="0"/>
    <x v="0"/>
    <x v="0"/>
    <x v="2"/>
    <x v="3"/>
    <s v="FinA"/>
    <x v="18"/>
    <x v="121"/>
    <x v="0"/>
    <x v="6"/>
    <n v="8284.8960000000006"/>
    <n v="3023987.04"/>
    <n v="10886353.344000001"/>
  </r>
  <r>
    <x v="0"/>
    <x v="0"/>
    <x v="0"/>
    <x v="2"/>
    <x v="3"/>
    <s v="FinA"/>
    <x v="18"/>
    <x v="121"/>
    <x v="0"/>
    <x v="7"/>
    <n v="8284.8960000000006"/>
    <n v="3023987.04"/>
    <n v="10886353.344000001"/>
  </r>
  <r>
    <x v="0"/>
    <x v="0"/>
    <x v="0"/>
    <x v="2"/>
    <x v="3"/>
    <s v="FinA"/>
    <x v="18"/>
    <x v="121"/>
    <x v="0"/>
    <x v="8"/>
    <n v="8284.8960000000006"/>
    <n v="3023987.04"/>
    <n v="10886353.344000001"/>
  </r>
  <r>
    <x v="0"/>
    <x v="0"/>
    <x v="0"/>
    <x v="2"/>
    <x v="3"/>
    <s v="FinA"/>
    <x v="18"/>
    <x v="121"/>
    <x v="0"/>
    <x v="0"/>
    <n v="8284.8960000000006"/>
    <n v="3023987.04"/>
    <n v="10886353.344000001"/>
  </r>
  <r>
    <x v="0"/>
    <x v="0"/>
    <x v="0"/>
    <x v="2"/>
    <x v="3"/>
    <s v="FinA"/>
    <x v="18"/>
    <x v="121"/>
    <x v="0"/>
    <x v="1"/>
    <n v="8284.8960000000006"/>
    <n v="3023987.04"/>
    <n v="10886353.344000001"/>
  </r>
  <r>
    <x v="0"/>
    <x v="0"/>
    <x v="0"/>
    <x v="2"/>
    <x v="3"/>
    <s v="FinA"/>
    <x v="18"/>
    <x v="121"/>
    <x v="0"/>
    <x v="2"/>
    <n v="8284.8960000000006"/>
    <n v="3023987.04"/>
    <n v="10886353.344000001"/>
  </r>
  <r>
    <x v="0"/>
    <x v="0"/>
    <x v="0"/>
    <x v="2"/>
    <x v="3"/>
    <s v="FinA"/>
    <x v="18"/>
    <x v="121"/>
    <x v="0"/>
    <x v="9"/>
    <n v="8284.8960000000006"/>
    <n v="3023987.04"/>
    <n v="10886353.344000001"/>
  </r>
  <r>
    <x v="0"/>
    <x v="0"/>
    <x v="0"/>
    <x v="2"/>
    <x v="3"/>
    <s v="FinA"/>
    <x v="18"/>
    <x v="121"/>
    <x v="0"/>
    <x v="10"/>
    <n v="8284.8960000000006"/>
    <n v="3023987.04"/>
    <n v="10886353.344000001"/>
  </r>
  <r>
    <x v="0"/>
    <x v="0"/>
    <x v="0"/>
    <x v="2"/>
    <x v="3"/>
    <s v="FinA"/>
    <x v="18"/>
    <x v="121"/>
    <x v="0"/>
    <x v="11"/>
    <n v="8284.8960000000006"/>
    <n v="3023987.04"/>
    <n v="10886353.344000001"/>
  </r>
  <r>
    <x v="0"/>
    <x v="0"/>
    <x v="0"/>
    <x v="2"/>
    <x v="3"/>
    <s v="FinA"/>
    <x v="18"/>
    <x v="121"/>
    <x v="0"/>
    <x v="12"/>
    <n v="8284.8960000000006"/>
    <n v="3023987.04"/>
    <n v="10886353.344000001"/>
  </r>
  <r>
    <x v="0"/>
    <x v="0"/>
    <x v="0"/>
    <x v="2"/>
    <x v="3"/>
    <s v="FinA"/>
    <x v="18"/>
    <x v="121"/>
    <x v="0"/>
    <x v="13"/>
    <n v="8284.8960000000006"/>
    <n v="3023987.04"/>
    <n v="10886353.344000001"/>
  </r>
  <r>
    <x v="0"/>
    <x v="0"/>
    <x v="0"/>
    <x v="2"/>
    <x v="3"/>
    <s v="FinA"/>
    <x v="18"/>
    <x v="121"/>
    <x v="0"/>
    <x v="14"/>
    <n v="8284.8960000000006"/>
    <n v="3023987.04"/>
    <n v="10886353.344000001"/>
  </r>
  <r>
    <x v="0"/>
    <x v="0"/>
    <x v="0"/>
    <x v="2"/>
    <x v="3"/>
    <s v="FinA"/>
    <x v="18"/>
    <x v="121"/>
    <x v="0"/>
    <x v="15"/>
    <n v="8284.8960000000006"/>
    <n v="3023987.04"/>
    <n v="10886353.344000001"/>
  </r>
  <r>
    <x v="0"/>
    <x v="0"/>
    <x v="0"/>
    <x v="2"/>
    <x v="3"/>
    <s v="FinA"/>
    <x v="18"/>
    <x v="121"/>
    <x v="0"/>
    <x v="16"/>
    <n v="8284.8960000000006"/>
    <n v="3023987.04"/>
    <n v="10886353.344000001"/>
  </r>
  <r>
    <x v="0"/>
    <x v="0"/>
    <x v="0"/>
    <x v="2"/>
    <x v="3"/>
    <s v="FinA"/>
    <x v="18"/>
    <x v="121"/>
    <x v="0"/>
    <x v="17"/>
    <n v="8284.8960000000006"/>
    <n v="3023987.04"/>
    <n v="10886353.344000001"/>
  </r>
  <r>
    <x v="0"/>
    <x v="0"/>
    <x v="0"/>
    <x v="2"/>
    <x v="3"/>
    <s v="FinA"/>
    <x v="18"/>
    <x v="121"/>
    <x v="0"/>
    <x v="18"/>
    <n v="8284.8960000000006"/>
    <n v="3023987.04"/>
    <n v="10886353.344000001"/>
  </r>
  <r>
    <x v="0"/>
    <x v="0"/>
    <x v="0"/>
    <x v="2"/>
    <x v="3"/>
    <s v="FinA"/>
    <x v="18"/>
    <x v="121"/>
    <x v="0"/>
    <x v="19"/>
    <n v="8284.8960000000006"/>
    <n v="3023987.04"/>
    <n v="10886353.344000001"/>
  </r>
  <r>
    <x v="0"/>
    <x v="0"/>
    <x v="0"/>
    <x v="2"/>
    <x v="3"/>
    <s v="FinA"/>
    <x v="18"/>
    <x v="121"/>
    <x v="0"/>
    <x v="20"/>
    <n v="8284.8960000000006"/>
    <n v="3023987.04"/>
    <n v="10886353.344000001"/>
  </r>
  <r>
    <x v="0"/>
    <x v="0"/>
    <x v="0"/>
    <x v="2"/>
    <x v="3"/>
    <s v="FinA"/>
    <x v="18"/>
    <x v="121"/>
    <x v="0"/>
    <x v="21"/>
    <n v="8284.8960000000006"/>
    <n v="3023987.04"/>
    <n v="10886353.344000001"/>
  </r>
  <r>
    <x v="0"/>
    <x v="0"/>
    <x v="0"/>
    <x v="2"/>
    <x v="3"/>
    <s v="FinA"/>
    <x v="18"/>
    <x v="121"/>
    <x v="0"/>
    <x v="22"/>
    <n v="8284.8960000000006"/>
    <n v="3023987.04"/>
    <n v="10886353.344000001"/>
  </r>
  <r>
    <x v="0"/>
    <x v="0"/>
    <x v="0"/>
    <x v="2"/>
    <x v="3"/>
    <s v="FinA"/>
    <x v="18"/>
    <x v="121"/>
    <x v="0"/>
    <x v="23"/>
    <n v="8284.8960000000006"/>
    <n v="3023987.04"/>
    <n v="10886353.344000001"/>
  </r>
  <r>
    <x v="0"/>
    <x v="0"/>
    <x v="0"/>
    <x v="2"/>
    <x v="3"/>
    <s v="FinA"/>
    <x v="7"/>
    <x v="122"/>
    <x v="0"/>
    <x v="3"/>
    <n v="156.94999999999999"/>
    <n v="57286.75"/>
    <n v="206232.3"/>
  </r>
  <r>
    <x v="0"/>
    <x v="0"/>
    <x v="0"/>
    <x v="2"/>
    <x v="3"/>
    <s v="FinA"/>
    <x v="7"/>
    <x v="122"/>
    <x v="0"/>
    <x v="4"/>
    <n v="156.94999999999999"/>
    <n v="57286.75"/>
    <n v="206232.3"/>
  </r>
  <r>
    <x v="0"/>
    <x v="0"/>
    <x v="0"/>
    <x v="2"/>
    <x v="3"/>
    <s v="FinA"/>
    <x v="7"/>
    <x v="122"/>
    <x v="0"/>
    <x v="5"/>
    <n v="156.94999999999999"/>
    <n v="57286.75"/>
    <n v="206232.3"/>
  </r>
  <r>
    <x v="0"/>
    <x v="0"/>
    <x v="0"/>
    <x v="2"/>
    <x v="3"/>
    <s v="FinA"/>
    <x v="7"/>
    <x v="122"/>
    <x v="0"/>
    <x v="6"/>
    <n v="156.94999999999999"/>
    <n v="57286.75"/>
    <n v="206232.3"/>
  </r>
  <r>
    <x v="0"/>
    <x v="0"/>
    <x v="0"/>
    <x v="2"/>
    <x v="3"/>
    <s v="FinA"/>
    <x v="7"/>
    <x v="122"/>
    <x v="0"/>
    <x v="7"/>
    <n v="156.94999999999999"/>
    <n v="57286.75"/>
    <n v="206232.3"/>
  </r>
  <r>
    <x v="0"/>
    <x v="0"/>
    <x v="0"/>
    <x v="2"/>
    <x v="3"/>
    <s v="FinA"/>
    <x v="7"/>
    <x v="122"/>
    <x v="0"/>
    <x v="8"/>
    <n v="156.94999999999999"/>
    <n v="57286.75"/>
    <n v="206232.3"/>
  </r>
  <r>
    <x v="0"/>
    <x v="0"/>
    <x v="0"/>
    <x v="2"/>
    <x v="3"/>
    <s v="FinA"/>
    <x v="7"/>
    <x v="122"/>
    <x v="0"/>
    <x v="0"/>
    <n v="156.94999999999999"/>
    <n v="57286.75"/>
    <n v="206232.3"/>
  </r>
  <r>
    <x v="0"/>
    <x v="0"/>
    <x v="0"/>
    <x v="2"/>
    <x v="3"/>
    <s v="FinA"/>
    <x v="7"/>
    <x v="122"/>
    <x v="0"/>
    <x v="1"/>
    <n v="156.94999999999999"/>
    <n v="57286.75"/>
    <n v="206232.3"/>
  </r>
  <r>
    <x v="0"/>
    <x v="0"/>
    <x v="0"/>
    <x v="2"/>
    <x v="3"/>
    <s v="FinA"/>
    <x v="7"/>
    <x v="122"/>
    <x v="0"/>
    <x v="2"/>
    <n v="156.94999999999999"/>
    <n v="57286.75"/>
    <n v="206232.3"/>
  </r>
  <r>
    <x v="0"/>
    <x v="0"/>
    <x v="0"/>
    <x v="2"/>
    <x v="3"/>
    <s v="FinA"/>
    <x v="7"/>
    <x v="122"/>
    <x v="0"/>
    <x v="9"/>
    <n v="156.94999999999999"/>
    <n v="57286.75"/>
    <n v="206232.3"/>
  </r>
  <r>
    <x v="0"/>
    <x v="0"/>
    <x v="0"/>
    <x v="2"/>
    <x v="3"/>
    <s v="FinA"/>
    <x v="7"/>
    <x v="122"/>
    <x v="0"/>
    <x v="10"/>
    <n v="156.94999999999999"/>
    <n v="57286.75"/>
    <n v="206232.3"/>
  </r>
  <r>
    <x v="0"/>
    <x v="0"/>
    <x v="0"/>
    <x v="2"/>
    <x v="3"/>
    <s v="FinA"/>
    <x v="7"/>
    <x v="122"/>
    <x v="0"/>
    <x v="11"/>
    <n v="156.94999999999999"/>
    <n v="57286.75"/>
    <n v="206232.3"/>
  </r>
  <r>
    <x v="0"/>
    <x v="0"/>
    <x v="0"/>
    <x v="2"/>
    <x v="3"/>
    <s v="FinA"/>
    <x v="7"/>
    <x v="122"/>
    <x v="0"/>
    <x v="12"/>
    <n v="156.94999999999999"/>
    <n v="57286.75"/>
    <n v="206232.3"/>
  </r>
  <r>
    <x v="0"/>
    <x v="0"/>
    <x v="0"/>
    <x v="2"/>
    <x v="3"/>
    <s v="FinA"/>
    <x v="7"/>
    <x v="122"/>
    <x v="0"/>
    <x v="13"/>
    <n v="156.94999999999999"/>
    <n v="57286.75"/>
    <n v="206232.3"/>
  </r>
  <r>
    <x v="0"/>
    <x v="0"/>
    <x v="0"/>
    <x v="2"/>
    <x v="3"/>
    <s v="FinA"/>
    <x v="7"/>
    <x v="122"/>
    <x v="0"/>
    <x v="14"/>
    <n v="156.94999999999999"/>
    <n v="57286.75"/>
    <n v="206232.3"/>
  </r>
  <r>
    <x v="0"/>
    <x v="0"/>
    <x v="0"/>
    <x v="2"/>
    <x v="3"/>
    <s v="FinA"/>
    <x v="7"/>
    <x v="122"/>
    <x v="0"/>
    <x v="15"/>
    <n v="156.94999999999999"/>
    <n v="57286.75"/>
    <n v="206232.3"/>
  </r>
  <r>
    <x v="0"/>
    <x v="0"/>
    <x v="0"/>
    <x v="2"/>
    <x v="3"/>
    <s v="FinA"/>
    <x v="7"/>
    <x v="122"/>
    <x v="0"/>
    <x v="16"/>
    <n v="156.94999999999999"/>
    <n v="57286.75"/>
    <n v="206232.3"/>
  </r>
  <r>
    <x v="0"/>
    <x v="0"/>
    <x v="0"/>
    <x v="2"/>
    <x v="3"/>
    <s v="FinA"/>
    <x v="7"/>
    <x v="122"/>
    <x v="0"/>
    <x v="17"/>
    <n v="156.94999999999999"/>
    <n v="57286.75"/>
    <n v="206232.3"/>
  </r>
  <r>
    <x v="0"/>
    <x v="0"/>
    <x v="0"/>
    <x v="2"/>
    <x v="3"/>
    <s v="FinA"/>
    <x v="7"/>
    <x v="122"/>
    <x v="0"/>
    <x v="18"/>
    <n v="156.94999999999999"/>
    <n v="57286.75"/>
    <n v="206232.3"/>
  </r>
  <r>
    <x v="0"/>
    <x v="0"/>
    <x v="0"/>
    <x v="2"/>
    <x v="3"/>
    <s v="FinA"/>
    <x v="7"/>
    <x v="122"/>
    <x v="0"/>
    <x v="19"/>
    <n v="156.94999999999999"/>
    <n v="57286.75"/>
    <n v="206232.3"/>
  </r>
  <r>
    <x v="0"/>
    <x v="0"/>
    <x v="0"/>
    <x v="2"/>
    <x v="3"/>
    <s v="FinA"/>
    <x v="7"/>
    <x v="122"/>
    <x v="0"/>
    <x v="20"/>
    <n v="156.94999999999999"/>
    <n v="57286.75"/>
    <n v="206232.3"/>
  </r>
  <r>
    <x v="0"/>
    <x v="0"/>
    <x v="0"/>
    <x v="2"/>
    <x v="3"/>
    <s v="FinA"/>
    <x v="7"/>
    <x v="122"/>
    <x v="0"/>
    <x v="21"/>
    <n v="156.94999999999999"/>
    <n v="57286.75"/>
    <n v="206232.3"/>
  </r>
  <r>
    <x v="0"/>
    <x v="0"/>
    <x v="0"/>
    <x v="2"/>
    <x v="3"/>
    <s v="FinA"/>
    <x v="7"/>
    <x v="122"/>
    <x v="0"/>
    <x v="22"/>
    <n v="156.94999999999999"/>
    <n v="57286.75"/>
    <n v="206232.3"/>
  </r>
  <r>
    <x v="0"/>
    <x v="0"/>
    <x v="0"/>
    <x v="2"/>
    <x v="3"/>
    <s v="FinA"/>
    <x v="7"/>
    <x v="122"/>
    <x v="0"/>
    <x v="23"/>
    <n v="156.94999999999999"/>
    <n v="57286.75"/>
    <n v="206232.3"/>
  </r>
  <r>
    <x v="0"/>
    <x v="0"/>
    <x v="0"/>
    <x v="2"/>
    <x v="3"/>
    <s v="FinA"/>
    <x v="7"/>
    <x v="123"/>
    <x v="0"/>
    <x v="3"/>
    <n v="156.94999999999999"/>
    <n v="57286.75"/>
    <n v="206232.3"/>
  </r>
  <r>
    <x v="0"/>
    <x v="0"/>
    <x v="0"/>
    <x v="2"/>
    <x v="3"/>
    <s v="FinA"/>
    <x v="7"/>
    <x v="123"/>
    <x v="0"/>
    <x v="4"/>
    <n v="156.94999999999999"/>
    <n v="57286.75"/>
    <n v="206232.3"/>
  </r>
  <r>
    <x v="0"/>
    <x v="0"/>
    <x v="0"/>
    <x v="2"/>
    <x v="3"/>
    <s v="FinA"/>
    <x v="7"/>
    <x v="123"/>
    <x v="0"/>
    <x v="5"/>
    <n v="156.94999999999999"/>
    <n v="57286.75"/>
    <n v="206232.3"/>
  </r>
  <r>
    <x v="0"/>
    <x v="0"/>
    <x v="0"/>
    <x v="2"/>
    <x v="3"/>
    <s v="FinA"/>
    <x v="7"/>
    <x v="123"/>
    <x v="0"/>
    <x v="6"/>
    <n v="156.94999999999999"/>
    <n v="57286.75"/>
    <n v="206232.3"/>
  </r>
  <r>
    <x v="0"/>
    <x v="0"/>
    <x v="0"/>
    <x v="2"/>
    <x v="3"/>
    <s v="FinA"/>
    <x v="7"/>
    <x v="123"/>
    <x v="0"/>
    <x v="7"/>
    <n v="156.94999999999999"/>
    <n v="57286.75"/>
    <n v="206232.3"/>
  </r>
  <r>
    <x v="0"/>
    <x v="0"/>
    <x v="0"/>
    <x v="2"/>
    <x v="3"/>
    <s v="FinA"/>
    <x v="7"/>
    <x v="123"/>
    <x v="0"/>
    <x v="8"/>
    <n v="156.94999999999999"/>
    <n v="57286.75"/>
    <n v="206232.3"/>
  </r>
  <r>
    <x v="0"/>
    <x v="0"/>
    <x v="0"/>
    <x v="2"/>
    <x v="3"/>
    <s v="FinA"/>
    <x v="7"/>
    <x v="123"/>
    <x v="0"/>
    <x v="0"/>
    <n v="156.94999999999999"/>
    <n v="57286.75"/>
    <n v="206232.3"/>
  </r>
  <r>
    <x v="0"/>
    <x v="0"/>
    <x v="0"/>
    <x v="2"/>
    <x v="3"/>
    <s v="FinA"/>
    <x v="7"/>
    <x v="123"/>
    <x v="0"/>
    <x v="1"/>
    <n v="156.94999999999999"/>
    <n v="57286.75"/>
    <n v="206232.3"/>
  </r>
  <r>
    <x v="0"/>
    <x v="0"/>
    <x v="0"/>
    <x v="2"/>
    <x v="3"/>
    <s v="FinA"/>
    <x v="7"/>
    <x v="123"/>
    <x v="0"/>
    <x v="2"/>
    <n v="156.94999999999999"/>
    <n v="57286.75"/>
    <n v="206232.3"/>
  </r>
  <r>
    <x v="0"/>
    <x v="0"/>
    <x v="0"/>
    <x v="2"/>
    <x v="3"/>
    <s v="FinA"/>
    <x v="7"/>
    <x v="123"/>
    <x v="0"/>
    <x v="9"/>
    <n v="156.94999999999999"/>
    <n v="57286.75"/>
    <n v="206232.3"/>
  </r>
  <r>
    <x v="0"/>
    <x v="0"/>
    <x v="0"/>
    <x v="2"/>
    <x v="3"/>
    <s v="FinA"/>
    <x v="7"/>
    <x v="123"/>
    <x v="0"/>
    <x v="10"/>
    <n v="156.94999999999999"/>
    <n v="57286.75"/>
    <n v="206232.3"/>
  </r>
  <r>
    <x v="0"/>
    <x v="0"/>
    <x v="0"/>
    <x v="2"/>
    <x v="3"/>
    <s v="FinA"/>
    <x v="7"/>
    <x v="123"/>
    <x v="0"/>
    <x v="11"/>
    <n v="156.94999999999999"/>
    <n v="57286.75"/>
    <n v="206232.3"/>
  </r>
  <r>
    <x v="0"/>
    <x v="0"/>
    <x v="0"/>
    <x v="2"/>
    <x v="3"/>
    <s v="FinA"/>
    <x v="7"/>
    <x v="123"/>
    <x v="0"/>
    <x v="12"/>
    <n v="156.94999999999999"/>
    <n v="57286.75"/>
    <n v="206232.3"/>
  </r>
  <r>
    <x v="0"/>
    <x v="0"/>
    <x v="0"/>
    <x v="2"/>
    <x v="3"/>
    <s v="FinA"/>
    <x v="7"/>
    <x v="123"/>
    <x v="0"/>
    <x v="13"/>
    <n v="156.94999999999999"/>
    <n v="57286.75"/>
    <n v="206232.3"/>
  </r>
  <r>
    <x v="0"/>
    <x v="0"/>
    <x v="0"/>
    <x v="2"/>
    <x v="3"/>
    <s v="FinA"/>
    <x v="7"/>
    <x v="123"/>
    <x v="0"/>
    <x v="14"/>
    <n v="156.94999999999999"/>
    <n v="57286.75"/>
    <n v="206232.3"/>
  </r>
  <r>
    <x v="0"/>
    <x v="0"/>
    <x v="0"/>
    <x v="2"/>
    <x v="3"/>
    <s v="FinA"/>
    <x v="7"/>
    <x v="123"/>
    <x v="0"/>
    <x v="15"/>
    <n v="156.94999999999999"/>
    <n v="57286.75"/>
    <n v="206232.3"/>
  </r>
  <r>
    <x v="0"/>
    <x v="0"/>
    <x v="0"/>
    <x v="2"/>
    <x v="3"/>
    <s v="FinA"/>
    <x v="7"/>
    <x v="123"/>
    <x v="0"/>
    <x v="16"/>
    <n v="156.94999999999999"/>
    <n v="57286.75"/>
    <n v="206232.3"/>
  </r>
  <r>
    <x v="0"/>
    <x v="0"/>
    <x v="0"/>
    <x v="2"/>
    <x v="3"/>
    <s v="FinA"/>
    <x v="7"/>
    <x v="123"/>
    <x v="0"/>
    <x v="17"/>
    <n v="156.94999999999999"/>
    <n v="57286.75"/>
    <n v="206232.3"/>
  </r>
  <r>
    <x v="0"/>
    <x v="0"/>
    <x v="0"/>
    <x v="2"/>
    <x v="3"/>
    <s v="FinA"/>
    <x v="7"/>
    <x v="123"/>
    <x v="0"/>
    <x v="18"/>
    <n v="156.94999999999999"/>
    <n v="57286.75"/>
    <n v="206232.3"/>
  </r>
  <r>
    <x v="0"/>
    <x v="0"/>
    <x v="0"/>
    <x v="2"/>
    <x v="3"/>
    <s v="FinA"/>
    <x v="7"/>
    <x v="123"/>
    <x v="0"/>
    <x v="19"/>
    <n v="156.94999999999999"/>
    <n v="57286.75"/>
    <n v="206232.3"/>
  </r>
  <r>
    <x v="0"/>
    <x v="0"/>
    <x v="0"/>
    <x v="2"/>
    <x v="3"/>
    <s v="FinA"/>
    <x v="7"/>
    <x v="123"/>
    <x v="0"/>
    <x v="20"/>
    <n v="156.94999999999999"/>
    <n v="57286.75"/>
    <n v="206232.3"/>
  </r>
  <r>
    <x v="0"/>
    <x v="0"/>
    <x v="0"/>
    <x v="2"/>
    <x v="3"/>
    <s v="FinA"/>
    <x v="7"/>
    <x v="123"/>
    <x v="0"/>
    <x v="21"/>
    <n v="156.94999999999999"/>
    <n v="57286.75"/>
    <n v="206232.3"/>
  </r>
  <r>
    <x v="0"/>
    <x v="0"/>
    <x v="0"/>
    <x v="2"/>
    <x v="3"/>
    <s v="FinA"/>
    <x v="7"/>
    <x v="123"/>
    <x v="0"/>
    <x v="22"/>
    <n v="156.94999999999999"/>
    <n v="57286.75"/>
    <n v="206232.3"/>
  </r>
  <r>
    <x v="0"/>
    <x v="0"/>
    <x v="0"/>
    <x v="2"/>
    <x v="3"/>
    <s v="FinA"/>
    <x v="7"/>
    <x v="123"/>
    <x v="0"/>
    <x v="23"/>
    <n v="156.94999999999999"/>
    <n v="57286.75"/>
    <n v="206232.3"/>
  </r>
  <r>
    <x v="0"/>
    <x v="0"/>
    <x v="0"/>
    <x v="2"/>
    <x v="3"/>
    <s v="FinA"/>
    <x v="7"/>
    <x v="124"/>
    <x v="0"/>
    <x v="3"/>
    <n v="156.94999999999999"/>
    <n v="57286.75"/>
    <n v="206232.3"/>
  </r>
  <r>
    <x v="0"/>
    <x v="0"/>
    <x v="0"/>
    <x v="2"/>
    <x v="3"/>
    <s v="FinA"/>
    <x v="7"/>
    <x v="124"/>
    <x v="0"/>
    <x v="4"/>
    <n v="156.94999999999999"/>
    <n v="57286.75"/>
    <n v="206232.3"/>
  </r>
  <r>
    <x v="0"/>
    <x v="0"/>
    <x v="0"/>
    <x v="2"/>
    <x v="3"/>
    <s v="FinA"/>
    <x v="7"/>
    <x v="124"/>
    <x v="0"/>
    <x v="5"/>
    <n v="156.94999999999999"/>
    <n v="57286.75"/>
    <n v="206232.3"/>
  </r>
  <r>
    <x v="0"/>
    <x v="0"/>
    <x v="0"/>
    <x v="2"/>
    <x v="3"/>
    <s v="FinA"/>
    <x v="7"/>
    <x v="124"/>
    <x v="0"/>
    <x v="6"/>
    <n v="156.94999999999999"/>
    <n v="57286.75"/>
    <n v="206232.3"/>
  </r>
  <r>
    <x v="0"/>
    <x v="0"/>
    <x v="0"/>
    <x v="2"/>
    <x v="3"/>
    <s v="FinA"/>
    <x v="7"/>
    <x v="124"/>
    <x v="0"/>
    <x v="7"/>
    <n v="156.94999999999999"/>
    <n v="57286.75"/>
    <n v="206232.3"/>
  </r>
  <r>
    <x v="0"/>
    <x v="0"/>
    <x v="0"/>
    <x v="2"/>
    <x v="3"/>
    <s v="FinA"/>
    <x v="7"/>
    <x v="124"/>
    <x v="0"/>
    <x v="8"/>
    <n v="156.94999999999999"/>
    <n v="57286.75"/>
    <n v="206232.3"/>
  </r>
  <r>
    <x v="0"/>
    <x v="0"/>
    <x v="0"/>
    <x v="2"/>
    <x v="3"/>
    <s v="FinA"/>
    <x v="7"/>
    <x v="124"/>
    <x v="0"/>
    <x v="0"/>
    <n v="156.94999999999999"/>
    <n v="57286.75"/>
    <n v="206232.3"/>
  </r>
  <r>
    <x v="0"/>
    <x v="0"/>
    <x v="0"/>
    <x v="2"/>
    <x v="3"/>
    <s v="FinA"/>
    <x v="7"/>
    <x v="124"/>
    <x v="0"/>
    <x v="1"/>
    <n v="156.94999999999999"/>
    <n v="57286.75"/>
    <n v="206232.3"/>
  </r>
  <r>
    <x v="0"/>
    <x v="0"/>
    <x v="0"/>
    <x v="2"/>
    <x v="3"/>
    <s v="FinA"/>
    <x v="7"/>
    <x v="124"/>
    <x v="0"/>
    <x v="2"/>
    <n v="156.94999999999999"/>
    <n v="57286.75"/>
    <n v="206232.3"/>
  </r>
  <r>
    <x v="0"/>
    <x v="0"/>
    <x v="0"/>
    <x v="2"/>
    <x v="3"/>
    <s v="FinA"/>
    <x v="7"/>
    <x v="124"/>
    <x v="0"/>
    <x v="9"/>
    <n v="156.94999999999999"/>
    <n v="57286.75"/>
    <n v="206232.3"/>
  </r>
  <r>
    <x v="0"/>
    <x v="0"/>
    <x v="0"/>
    <x v="2"/>
    <x v="3"/>
    <s v="FinA"/>
    <x v="7"/>
    <x v="124"/>
    <x v="0"/>
    <x v="10"/>
    <n v="156.94999999999999"/>
    <n v="57286.75"/>
    <n v="206232.3"/>
  </r>
  <r>
    <x v="0"/>
    <x v="0"/>
    <x v="0"/>
    <x v="2"/>
    <x v="3"/>
    <s v="FinA"/>
    <x v="7"/>
    <x v="124"/>
    <x v="0"/>
    <x v="11"/>
    <n v="156.94999999999999"/>
    <n v="57286.75"/>
    <n v="206232.3"/>
  </r>
  <r>
    <x v="0"/>
    <x v="0"/>
    <x v="0"/>
    <x v="2"/>
    <x v="3"/>
    <s v="FinA"/>
    <x v="7"/>
    <x v="124"/>
    <x v="0"/>
    <x v="12"/>
    <n v="156.94999999999999"/>
    <n v="57286.75"/>
    <n v="206232.3"/>
  </r>
  <r>
    <x v="0"/>
    <x v="0"/>
    <x v="0"/>
    <x v="2"/>
    <x v="3"/>
    <s v="FinA"/>
    <x v="7"/>
    <x v="124"/>
    <x v="0"/>
    <x v="13"/>
    <n v="156.94999999999999"/>
    <n v="57286.75"/>
    <n v="206232.3"/>
  </r>
  <r>
    <x v="0"/>
    <x v="0"/>
    <x v="0"/>
    <x v="2"/>
    <x v="3"/>
    <s v="FinA"/>
    <x v="7"/>
    <x v="124"/>
    <x v="0"/>
    <x v="14"/>
    <n v="156.94999999999999"/>
    <n v="57286.75"/>
    <n v="206232.3"/>
  </r>
  <r>
    <x v="0"/>
    <x v="0"/>
    <x v="0"/>
    <x v="2"/>
    <x v="3"/>
    <s v="FinA"/>
    <x v="7"/>
    <x v="124"/>
    <x v="0"/>
    <x v="15"/>
    <n v="156.94999999999999"/>
    <n v="57286.75"/>
    <n v="206232.3"/>
  </r>
  <r>
    <x v="0"/>
    <x v="0"/>
    <x v="0"/>
    <x v="2"/>
    <x v="3"/>
    <s v="FinA"/>
    <x v="7"/>
    <x v="124"/>
    <x v="0"/>
    <x v="16"/>
    <n v="156.94999999999999"/>
    <n v="57286.75"/>
    <n v="206232.3"/>
  </r>
  <r>
    <x v="0"/>
    <x v="0"/>
    <x v="0"/>
    <x v="2"/>
    <x v="3"/>
    <s v="FinA"/>
    <x v="7"/>
    <x v="124"/>
    <x v="0"/>
    <x v="17"/>
    <n v="156.94999999999999"/>
    <n v="57286.75"/>
    <n v="206232.3"/>
  </r>
  <r>
    <x v="0"/>
    <x v="0"/>
    <x v="0"/>
    <x v="2"/>
    <x v="3"/>
    <s v="FinA"/>
    <x v="7"/>
    <x v="124"/>
    <x v="0"/>
    <x v="18"/>
    <n v="156.94999999999999"/>
    <n v="57286.75"/>
    <n v="206232.3"/>
  </r>
  <r>
    <x v="0"/>
    <x v="0"/>
    <x v="0"/>
    <x v="2"/>
    <x v="3"/>
    <s v="FinA"/>
    <x v="7"/>
    <x v="124"/>
    <x v="0"/>
    <x v="19"/>
    <n v="156.94999999999999"/>
    <n v="57286.75"/>
    <n v="206232.3"/>
  </r>
  <r>
    <x v="0"/>
    <x v="0"/>
    <x v="0"/>
    <x v="2"/>
    <x v="3"/>
    <s v="FinA"/>
    <x v="7"/>
    <x v="124"/>
    <x v="0"/>
    <x v="20"/>
    <n v="156.94999999999999"/>
    <n v="57286.75"/>
    <n v="206232.3"/>
  </r>
  <r>
    <x v="0"/>
    <x v="0"/>
    <x v="0"/>
    <x v="2"/>
    <x v="3"/>
    <s v="FinA"/>
    <x v="7"/>
    <x v="124"/>
    <x v="0"/>
    <x v="21"/>
    <n v="156.94999999999999"/>
    <n v="57286.75"/>
    <n v="206232.3"/>
  </r>
  <r>
    <x v="0"/>
    <x v="0"/>
    <x v="0"/>
    <x v="2"/>
    <x v="3"/>
    <s v="FinA"/>
    <x v="7"/>
    <x v="124"/>
    <x v="0"/>
    <x v="22"/>
    <n v="156.94999999999999"/>
    <n v="57286.75"/>
    <n v="206232.3"/>
  </r>
  <r>
    <x v="0"/>
    <x v="0"/>
    <x v="0"/>
    <x v="2"/>
    <x v="3"/>
    <s v="FinA"/>
    <x v="7"/>
    <x v="124"/>
    <x v="0"/>
    <x v="23"/>
    <n v="156.94999999999999"/>
    <n v="57286.75"/>
    <n v="206232.3"/>
  </r>
  <r>
    <x v="0"/>
    <x v="0"/>
    <x v="0"/>
    <x v="2"/>
    <x v="3"/>
    <s v="FinA"/>
    <x v="7"/>
    <x v="125"/>
    <x v="0"/>
    <x v="3"/>
    <n v="156.94999999999999"/>
    <n v="57286.75"/>
    <n v="206232.3"/>
  </r>
  <r>
    <x v="0"/>
    <x v="0"/>
    <x v="0"/>
    <x v="2"/>
    <x v="3"/>
    <s v="FinA"/>
    <x v="7"/>
    <x v="125"/>
    <x v="0"/>
    <x v="4"/>
    <n v="156.94999999999999"/>
    <n v="57286.75"/>
    <n v="206232.3"/>
  </r>
  <r>
    <x v="0"/>
    <x v="0"/>
    <x v="0"/>
    <x v="2"/>
    <x v="3"/>
    <s v="FinA"/>
    <x v="7"/>
    <x v="125"/>
    <x v="0"/>
    <x v="5"/>
    <n v="156.94999999999999"/>
    <n v="57286.75"/>
    <n v="206232.3"/>
  </r>
  <r>
    <x v="0"/>
    <x v="0"/>
    <x v="0"/>
    <x v="2"/>
    <x v="3"/>
    <s v="FinA"/>
    <x v="7"/>
    <x v="125"/>
    <x v="0"/>
    <x v="6"/>
    <n v="156.94999999999999"/>
    <n v="57286.75"/>
    <n v="206232.3"/>
  </r>
  <r>
    <x v="0"/>
    <x v="0"/>
    <x v="0"/>
    <x v="2"/>
    <x v="3"/>
    <s v="FinA"/>
    <x v="7"/>
    <x v="125"/>
    <x v="0"/>
    <x v="7"/>
    <n v="156.94999999999999"/>
    <n v="57286.75"/>
    <n v="206232.3"/>
  </r>
  <r>
    <x v="0"/>
    <x v="0"/>
    <x v="0"/>
    <x v="2"/>
    <x v="3"/>
    <s v="FinA"/>
    <x v="7"/>
    <x v="125"/>
    <x v="0"/>
    <x v="8"/>
    <n v="156.94999999999999"/>
    <n v="57286.75"/>
    <n v="206232.3"/>
  </r>
  <r>
    <x v="0"/>
    <x v="0"/>
    <x v="0"/>
    <x v="2"/>
    <x v="3"/>
    <s v="FinA"/>
    <x v="7"/>
    <x v="125"/>
    <x v="0"/>
    <x v="0"/>
    <n v="156.94999999999999"/>
    <n v="57286.75"/>
    <n v="206232.3"/>
  </r>
  <r>
    <x v="0"/>
    <x v="0"/>
    <x v="0"/>
    <x v="2"/>
    <x v="3"/>
    <s v="FinA"/>
    <x v="7"/>
    <x v="125"/>
    <x v="0"/>
    <x v="1"/>
    <n v="156.94999999999999"/>
    <n v="57286.75"/>
    <n v="206232.3"/>
  </r>
  <r>
    <x v="0"/>
    <x v="0"/>
    <x v="0"/>
    <x v="2"/>
    <x v="3"/>
    <s v="FinA"/>
    <x v="7"/>
    <x v="125"/>
    <x v="0"/>
    <x v="2"/>
    <n v="156.94999999999999"/>
    <n v="57286.75"/>
    <n v="206232.3"/>
  </r>
  <r>
    <x v="0"/>
    <x v="0"/>
    <x v="0"/>
    <x v="2"/>
    <x v="3"/>
    <s v="FinA"/>
    <x v="7"/>
    <x v="125"/>
    <x v="0"/>
    <x v="9"/>
    <n v="156.94999999999999"/>
    <n v="57286.75"/>
    <n v="206232.3"/>
  </r>
  <r>
    <x v="0"/>
    <x v="0"/>
    <x v="0"/>
    <x v="2"/>
    <x v="3"/>
    <s v="FinA"/>
    <x v="7"/>
    <x v="125"/>
    <x v="0"/>
    <x v="10"/>
    <n v="156.94999999999999"/>
    <n v="57286.75"/>
    <n v="206232.3"/>
  </r>
  <r>
    <x v="0"/>
    <x v="0"/>
    <x v="0"/>
    <x v="2"/>
    <x v="3"/>
    <s v="FinA"/>
    <x v="7"/>
    <x v="125"/>
    <x v="0"/>
    <x v="11"/>
    <n v="156.94999999999999"/>
    <n v="57286.75"/>
    <n v="206232.3"/>
  </r>
  <r>
    <x v="0"/>
    <x v="0"/>
    <x v="0"/>
    <x v="2"/>
    <x v="3"/>
    <s v="FinA"/>
    <x v="7"/>
    <x v="125"/>
    <x v="0"/>
    <x v="12"/>
    <n v="156.94999999999999"/>
    <n v="57286.75"/>
    <n v="206232.3"/>
  </r>
  <r>
    <x v="0"/>
    <x v="0"/>
    <x v="0"/>
    <x v="2"/>
    <x v="3"/>
    <s v="FinA"/>
    <x v="7"/>
    <x v="125"/>
    <x v="0"/>
    <x v="13"/>
    <n v="156.94999999999999"/>
    <n v="57286.75"/>
    <n v="206232.3"/>
  </r>
  <r>
    <x v="0"/>
    <x v="0"/>
    <x v="0"/>
    <x v="2"/>
    <x v="3"/>
    <s v="FinA"/>
    <x v="7"/>
    <x v="125"/>
    <x v="0"/>
    <x v="14"/>
    <n v="156.94999999999999"/>
    <n v="57286.75"/>
    <n v="206232.3"/>
  </r>
  <r>
    <x v="0"/>
    <x v="0"/>
    <x v="0"/>
    <x v="2"/>
    <x v="3"/>
    <s v="FinA"/>
    <x v="7"/>
    <x v="125"/>
    <x v="0"/>
    <x v="15"/>
    <n v="156.94999999999999"/>
    <n v="57286.75"/>
    <n v="206232.3"/>
  </r>
  <r>
    <x v="0"/>
    <x v="0"/>
    <x v="0"/>
    <x v="2"/>
    <x v="3"/>
    <s v="FinA"/>
    <x v="7"/>
    <x v="125"/>
    <x v="0"/>
    <x v="16"/>
    <n v="156.94999999999999"/>
    <n v="57286.75"/>
    <n v="206232.3"/>
  </r>
  <r>
    <x v="0"/>
    <x v="0"/>
    <x v="0"/>
    <x v="2"/>
    <x v="3"/>
    <s v="FinA"/>
    <x v="7"/>
    <x v="125"/>
    <x v="0"/>
    <x v="17"/>
    <n v="156.94999999999999"/>
    <n v="57286.75"/>
    <n v="206232.3"/>
  </r>
  <r>
    <x v="0"/>
    <x v="0"/>
    <x v="0"/>
    <x v="2"/>
    <x v="3"/>
    <s v="FinA"/>
    <x v="7"/>
    <x v="125"/>
    <x v="0"/>
    <x v="18"/>
    <n v="156.94999999999999"/>
    <n v="57286.75"/>
    <n v="206232.3"/>
  </r>
  <r>
    <x v="0"/>
    <x v="0"/>
    <x v="0"/>
    <x v="2"/>
    <x v="3"/>
    <s v="FinA"/>
    <x v="7"/>
    <x v="125"/>
    <x v="0"/>
    <x v="19"/>
    <n v="156.94999999999999"/>
    <n v="57286.75"/>
    <n v="206232.3"/>
  </r>
  <r>
    <x v="0"/>
    <x v="0"/>
    <x v="0"/>
    <x v="2"/>
    <x v="3"/>
    <s v="FinA"/>
    <x v="7"/>
    <x v="125"/>
    <x v="0"/>
    <x v="20"/>
    <n v="156.94999999999999"/>
    <n v="57286.75"/>
    <n v="206232.3"/>
  </r>
  <r>
    <x v="0"/>
    <x v="0"/>
    <x v="0"/>
    <x v="2"/>
    <x v="3"/>
    <s v="FinA"/>
    <x v="7"/>
    <x v="125"/>
    <x v="0"/>
    <x v="21"/>
    <n v="156.94999999999999"/>
    <n v="57286.75"/>
    <n v="206232.3"/>
  </r>
  <r>
    <x v="0"/>
    <x v="0"/>
    <x v="0"/>
    <x v="2"/>
    <x v="3"/>
    <s v="FinA"/>
    <x v="7"/>
    <x v="125"/>
    <x v="0"/>
    <x v="22"/>
    <n v="156.94999999999999"/>
    <n v="57286.75"/>
    <n v="206232.3"/>
  </r>
  <r>
    <x v="0"/>
    <x v="0"/>
    <x v="0"/>
    <x v="2"/>
    <x v="3"/>
    <s v="FinA"/>
    <x v="7"/>
    <x v="125"/>
    <x v="0"/>
    <x v="23"/>
    <n v="156.94999999999999"/>
    <n v="57286.75"/>
    <n v="206232.3"/>
  </r>
  <r>
    <x v="0"/>
    <x v="0"/>
    <x v="0"/>
    <x v="2"/>
    <x v="3"/>
    <s v="FinA"/>
    <x v="7"/>
    <x v="126"/>
    <x v="0"/>
    <x v="4"/>
    <n v="133.04539762109499"/>
    <n v="48561.5701316997"/>
    <n v="174821.65247411901"/>
  </r>
  <r>
    <x v="0"/>
    <x v="0"/>
    <x v="0"/>
    <x v="2"/>
    <x v="3"/>
    <s v="FinA"/>
    <x v="7"/>
    <x v="126"/>
    <x v="0"/>
    <x v="5"/>
    <n v="156.94999999999999"/>
    <n v="57286.75"/>
    <n v="206232.3"/>
  </r>
  <r>
    <x v="0"/>
    <x v="0"/>
    <x v="0"/>
    <x v="2"/>
    <x v="3"/>
    <s v="FinA"/>
    <x v="7"/>
    <x v="126"/>
    <x v="0"/>
    <x v="6"/>
    <n v="156.94999999999999"/>
    <n v="57286.75"/>
    <n v="206232.3"/>
  </r>
  <r>
    <x v="0"/>
    <x v="0"/>
    <x v="0"/>
    <x v="2"/>
    <x v="3"/>
    <s v="FinA"/>
    <x v="7"/>
    <x v="126"/>
    <x v="0"/>
    <x v="7"/>
    <n v="156.94999999999999"/>
    <n v="57286.75"/>
    <n v="206232.3"/>
  </r>
  <r>
    <x v="0"/>
    <x v="0"/>
    <x v="0"/>
    <x v="2"/>
    <x v="3"/>
    <s v="FinA"/>
    <x v="7"/>
    <x v="126"/>
    <x v="0"/>
    <x v="8"/>
    <n v="156.94999999999999"/>
    <n v="57286.75"/>
    <n v="206232.3"/>
  </r>
  <r>
    <x v="0"/>
    <x v="0"/>
    <x v="0"/>
    <x v="2"/>
    <x v="3"/>
    <s v="FinA"/>
    <x v="7"/>
    <x v="126"/>
    <x v="0"/>
    <x v="0"/>
    <n v="156.94999999999999"/>
    <n v="57286.75"/>
    <n v="206232.3"/>
  </r>
  <r>
    <x v="0"/>
    <x v="0"/>
    <x v="0"/>
    <x v="2"/>
    <x v="3"/>
    <s v="FinA"/>
    <x v="7"/>
    <x v="126"/>
    <x v="0"/>
    <x v="1"/>
    <n v="156.94999999999999"/>
    <n v="57286.75"/>
    <n v="206232.3"/>
  </r>
  <r>
    <x v="0"/>
    <x v="0"/>
    <x v="0"/>
    <x v="2"/>
    <x v="3"/>
    <s v="FinA"/>
    <x v="7"/>
    <x v="126"/>
    <x v="0"/>
    <x v="2"/>
    <n v="156.94999999999999"/>
    <n v="57286.75"/>
    <n v="206232.3"/>
  </r>
  <r>
    <x v="0"/>
    <x v="0"/>
    <x v="0"/>
    <x v="2"/>
    <x v="3"/>
    <s v="FinA"/>
    <x v="7"/>
    <x v="126"/>
    <x v="0"/>
    <x v="9"/>
    <n v="156.94999999999999"/>
    <n v="57286.75"/>
    <n v="206232.3"/>
  </r>
  <r>
    <x v="0"/>
    <x v="0"/>
    <x v="0"/>
    <x v="2"/>
    <x v="3"/>
    <s v="FinA"/>
    <x v="7"/>
    <x v="126"/>
    <x v="0"/>
    <x v="10"/>
    <n v="156.94999999999999"/>
    <n v="57286.75"/>
    <n v="206232.3"/>
  </r>
  <r>
    <x v="0"/>
    <x v="0"/>
    <x v="0"/>
    <x v="2"/>
    <x v="3"/>
    <s v="FinA"/>
    <x v="7"/>
    <x v="126"/>
    <x v="0"/>
    <x v="11"/>
    <n v="156.94999999999999"/>
    <n v="57286.75"/>
    <n v="206232.3"/>
  </r>
  <r>
    <x v="0"/>
    <x v="0"/>
    <x v="0"/>
    <x v="2"/>
    <x v="3"/>
    <s v="FinA"/>
    <x v="7"/>
    <x v="126"/>
    <x v="0"/>
    <x v="12"/>
    <n v="156.94999999999999"/>
    <n v="57286.75"/>
    <n v="206232.3"/>
  </r>
  <r>
    <x v="0"/>
    <x v="0"/>
    <x v="0"/>
    <x v="2"/>
    <x v="3"/>
    <s v="FinA"/>
    <x v="7"/>
    <x v="126"/>
    <x v="0"/>
    <x v="13"/>
    <n v="156.94999999999999"/>
    <n v="57286.75"/>
    <n v="206232.3"/>
  </r>
  <r>
    <x v="0"/>
    <x v="0"/>
    <x v="0"/>
    <x v="2"/>
    <x v="3"/>
    <s v="FinA"/>
    <x v="7"/>
    <x v="126"/>
    <x v="0"/>
    <x v="14"/>
    <n v="156.94999999999999"/>
    <n v="57286.75"/>
    <n v="206232.3"/>
  </r>
  <r>
    <x v="0"/>
    <x v="0"/>
    <x v="0"/>
    <x v="2"/>
    <x v="3"/>
    <s v="FinA"/>
    <x v="7"/>
    <x v="126"/>
    <x v="0"/>
    <x v="15"/>
    <n v="156.94999999999999"/>
    <n v="57286.75"/>
    <n v="206232.3"/>
  </r>
  <r>
    <x v="0"/>
    <x v="0"/>
    <x v="0"/>
    <x v="2"/>
    <x v="3"/>
    <s v="FinA"/>
    <x v="7"/>
    <x v="126"/>
    <x v="0"/>
    <x v="16"/>
    <n v="156.94999999999999"/>
    <n v="57286.75"/>
    <n v="206232.3"/>
  </r>
  <r>
    <x v="0"/>
    <x v="0"/>
    <x v="0"/>
    <x v="2"/>
    <x v="3"/>
    <s v="FinA"/>
    <x v="7"/>
    <x v="126"/>
    <x v="0"/>
    <x v="17"/>
    <n v="156.94999999999999"/>
    <n v="57286.75"/>
    <n v="206232.3"/>
  </r>
  <r>
    <x v="0"/>
    <x v="0"/>
    <x v="0"/>
    <x v="2"/>
    <x v="3"/>
    <s v="FinA"/>
    <x v="7"/>
    <x v="126"/>
    <x v="0"/>
    <x v="18"/>
    <n v="156.94999999999999"/>
    <n v="57286.75"/>
    <n v="206232.3"/>
  </r>
  <r>
    <x v="0"/>
    <x v="0"/>
    <x v="0"/>
    <x v="2"/>
    <x v="3"/>
    <s v="FinA"/>
    <x v="7"/>
    <x v="126"/>
    <x v="0"/>
    <x v="19"/>
    <n v="156.94999999999999"/>
    <n v="57286.75"/>
    <n v="206232.3"/>
  </r>
  <r>
    <x v="0"/>
    <x v="0"/>
    <x v="0"/>
    <x v="2"/>
    <x v="3"/>
    <s v="FinA"/>
    <x v="7"/>
    <x v="126"/>
    <x v="0"/>
    <x v="20"/>
    <n v="156.94999999999999"/>
    <n v="57286.75"/>
    <n v="206232.3"/>
  </r>
  <r>
    <x v="0"/>
    <x v="0"/>
    <x v="0"/>
    <x v="2"/>
    <x v="3"/>
    <s v="FinA"/>
    <x v="7"/>
    <x v="126"/>
    <x v="0"/>
    <x v="21"/>
    <n v="156.94999999999999"/>
    <n v="57286.75"/>
    <n v="206232.3"/>
  </r>
  <r>
    <x v="0"/>
    <x v="0"/>
    <x v="0"/>
    <x v="2"/>
    <x v="3"/>
    <s v="FinA"/>
    <x v="7"/>
    <x v="126"/>
    <x v="0"/>
    <x v="22"/>
    <n v="156.94999999999999"/>
    <n v="57286.75"/>
    <n v="206232.3"/>
  </r>
  <r>
    <x v="0"/>
    <x v="0"/>
    <x v="0"/>
    <x v="2"/>
    <x v="3"/>
    <s v="FinA"/>
    <x v="7"/>
    <x v="126"/>
    <x v="0"/>
    <x v="23"/>
    <n v="156.94999999999999"/>
    <n v="57286.75"/>
    <n v="206232.3"/>
  </r>
  <r>
    <x v="0"/>
    <x v="0"/>
    <x v="0"/>
    <x v="2"/>
    <x v="3"/>
    <s v="FinA"/>
    <x v="7"/>
    <x v="127"/>
    <x v="0"/>
    <x v="0"/>
    <n v="156.94999999999999"/>
    <n v="57286.75"/>
    <n v="206232.3"/>
  </r>
  <r>
    <x v="0"/>
    <x v="0"/>
    <x v="0"/>
    <x v="2"/>
    <x v="3"/>
    <s v="FinA"/>
    <x v="7"/>
    <x v="127"/>
    <x v="0"/>
    <x v="1"/>
    <n v="156.94999999999999"/>
    <n v="57286.75"/>
    <n v="206232.3"/>
  </r>
  <r>
    <x v="0"/>
    <x v="0"/>
    <x v="0"/>
    <x v="2"/>
    <x v="3"/>
    <s v="FinA"/>
    <x v="7"/>
    <x v="127"/>
    <x v="0"/>
    <x v="2"/>
    <n v="156.94999999999999"/>
    <n v="57286.75"/>
    <n v="206232.3"/>
  </r>
  <r>
    <x v="0"/>
    <x v="0"/>
    <x v="0"/>
    <x v="2"/>
    <x v="3"/>
    <s v="FinA"/>
    <x v="7"/>
    <x v="127"/>
    <x v="0"/>
    <x v="9"/>
    <n v="156.94999999999999"/>
    <n v="57286.75"/>
    <n v="206232.3"/>
  </r>
  <r>
    <x v="0"/>
    <x v="0"/>
    <x v="0"/>
    <x v="2"/>
    <x v="3"/>
    <s v="FinA"/>
    <x v="7"/>
    <x v="127"/>
    <x v="0"/>
    <x v="10"/>
    <n v="156.94999999999999"/>
    <n v="57286.75"/>
    <n v="206232.3"/>
  </r>
  <r>
    <x v="0"/>
    <x v="0"/>
    <x v="0"/>
    <x v="2"/>
    <x v="3"/>
    <s v="FinA"/>
    <x v="7"/>
    <x v="127"/>
    <x v="0"/>
    <x v="11"/>
    <n v="156.94999999999999"/>
    <n v="57286.75"/>
    <n v="206232.3"/>
  </r>
  <r>
    <x v="0"/>
    <x v="0"/>
    <x v="0"/>
    <x v="2"/>
    <x v="3"/>
    <s v="FinA"/>
    <x v="7"/>
    <x v="127"/>
    <x v="0"/>
    <x v="12"/>
    <n v="156.94999999999999"/>
    <n v="57286.75"/>
    <n v="206232.3"/>
  </r>
  <r>
    <x v="0"/>
    <x v="0"/>
    <x v="0"/>
    <x v="2"/>
    <x v="3"/>
    <s v="FinA"/>
    <x v="7"/>
    <x v="127"/>
    <x v="0"/>
    <x v="13"/>
    <n v="156.94999999999999"/>
    <n v="57286.75"/>
    <n v="206232.3"/>
  </r>
  <r>
    <x v="0"/>
    <x v="0"/>
    <x v="0"/>
    <x v="2"/>
    <x v="3"/>
    <s v="FinA"/>
    <x v="7"/>
    <x v="127"/>
    <x v="0"/>
    <x v="14"/>
    <n v="156.94999999999999"/>
    <n v="57286.75"/>
    <n v="206232.3"/>
  </r>
  <r>
    <x v="0"/>
    <x v="0"/>
    <x v="0"/>
    <x v="2"/>
    <x v="3"/>
    <s v="FinA"/>
    <x v="7"/>
    <x v="127"/>
    <x v="0"/>
    <x v="15"/>
    <n v="156.94999999999999"/>
    <n v="57286.75"/>
    <n v="206232.3"/>
  </r>
  <r>
    <x v="0"/>
    <x v="0"/>
    <x v="0"/>
    <x v="2"/>
    <x v="3"/>
    <s v="FinA"/>
    <x v="7"/>
    <x v="127"/>
    <x v="0"/>
    <x v="16"/>
    <n v="156.94999999999999"/>
    <n v="57286.75"/>
    <n v="206232.3"/>
  </r>
  <r>
    <x v="0"/>
    <x v="0"/>
    <x v="0"/>
    <x v="2"/>
    <x v="3"/>
    <s v="FinA"/>
    <x v="7"/>
    <x v="127"/>
    <x v="0"/>
    <x v="17"/>
    <n v="156.94999999999999"/>
    <n v="57286.75"/>
    <n v="206232.3"/>
  </r>
  <r>
    <x v="0"/>
    <x v="0"/>
    <x v="0"/>
    <x v="2"/>
    <x v="3"/>
    <s v="FinA"/>
    <x v="7"/>
    <x v="127"/>
    <x v="0"/>
    <x v="18"/>
    <n v="156.94999999999999"/>
    <n v="57286.75"/>
    <n v="206232.3"/>
  </r>
  <r>
    <x v="0"/>
    <x v="0"/>
    <x v="0"/>
    <x v="2"/>
    <x v="3"/>
    <s v="FinA"/>
    <x v="7"/>
    <x v="127"/>
    <x v="0"/>
    <x v="19"/>
    <n v="156.94999999999999"/>
    <n v="57286.75"/>
    <n v="206232.3"/>
  </r>
  <r>
    <x v="0"/>
    <x v="0"/>
    <x v="0"/>
    <x v="2"/>
    <x v="3"/>
    <s v="FinA"/>
    <x v="7"/>
    <x v="128"/>
    <x v="0"/>
    <x v="0"/>
    <n v="156.94999999999999"/>
    <n v="57286.75"/>
    <n v="206232.3"/>
  </r>
  <r>
    <x v="0"/>
    <x v="0"/>
    <x v="0"/>
    <x v="2"/>
    <x v="3"/>
    <s v="FinA"/>
    <x v="7"/>
    <x v="128"/>
    <x v="0"/>
    <x v="1"/>
    <n v="156.94999999999999"/>
    <n v="57286.75"/>
    <n v="206232.3"/>
  </r>
  <r>
    <x v="0"/>
    <x v="0"/>
    <x v="0"/>
    <x v="2"/>
    <x v="3"/>
    <s v="FinA"/>
    <x v="7"/>
    <x v="128"/>
    <x v="0"/>
    <x v="2"/>
    <n v="156.94999999999999"/>
    <n v="57286.75"/>
    <n v="206232.3"/>
  </r>
  <r>
    <x v="0"/>
    <x v="0"/>
    <x v="0"/>
    <x v="2"/>
    <x v="3"/>
    <s v="FinA"/>
    <x v="7"/>
    <x v="128"/>
    <x v="0"/>
    <x v="9"/>
    <n v="156.94999999999999"/>
    <n v="57286.75"/>
    <n v="206232.3"/>
  </r>
  <r>
    <x v="0"/>
    <x v="0"/>
    <x v="0"/>
    <x v="2"/>
    <x v="3"/>
    <s v="FinA"/>
    <x v="7"/>
    <x v="128"/>
    <x v="0"/>
    <x v="10"/>
    <n v="156.94999999999999"/>
    <n v="57286.75"/>
    <n v="206232.3"/>
  </r>
  <r>
    <x v="0"/>
    <x v="0"/>
    <x v="0"/>
    <x v="2"/>
    <x v="3"/>
    <s v="FinA"/>
    <x v="7"/>
    <x v="128"/>
    <x v="0"/>
    <x v="11"/>
    <n v="156.94999999999999"/>
    <n v="57286.75"/>
    <n v="206232.3"/>
  </r>
  <r>
    <x v="0"/>
    <x v="0"/>
    <x v="0"/>
    <x v="2"/>
    <x v="3"/>
    <s v="FinA"/>
    <x v="7"/>
    <x v="128"/>
    <x v="0"/>
    <x v="12"/>
    <n v="156.94999999999999"/>
    <n v="57286.75"/>
    <n v="206232.3"/>
  </r>
  <r>
    <x v="0"/>
    <x v="0"/>
    <x v="0"/>
    <x v="2"/>
    <x v="3"/>
    <s v="FinA"/>
    <x v="7"/>
    <x v="128"/>
    <x v="0"/>
    <x v="13"/>
    <n v="156.94999999999999"/>
    <n v="57286.75"/>
    <n v="206232.3"/>
  </r>
  <r>
    <x v="0"/>
    <x v="0"/>
    <x v="0"/>
    <x v="2"/>
    <x v="3"/>
    <s v="FinA"/>
    <x v="7"/>
    <x v="128"/>
    <x v="0"/>
    <x v="14"/>
    <n v="156.94999999999999"/>
    <n v="57286.75"/>
    <n v="206232.3"/>
  </r>
  <r>
    <x v="0"/>
    <x v="0"/>
    <x v="0"/>
    <x v="2"/>
    <x v="3"/>
    <s v="FinA"/>
    <x v="7"/>
    <x v="128"/>
    <x v="0"/>
    <x v="15"/>
    <n v="156.94999999999999"/>
    <n v="57286.75"/>
    <n v="206232.3"/>
  </r>
  <r>
    <x v="0"/>
    <x v="0"/>
    <x v="0"/>
    <x v="2"/>
    <x v="3"/>
    <s v="FinA"/>
    <x v="7"/>
    <x v="128"/>
    <x v="0"/>
    <x v="16"/>
    <n v="156.94999999999999"/>
    <n v="57286.75"/>
    <n v="206232.3"/>
  </r>
  <r>
    <x v="0"/>
    <x v="0"/>
    <x v="0"/>
    <x v="2"/>
    <x v="3"/>
    <s v="FinA"/>
    <x v="7"/>
    <x v="128"/>
    <x v="0"/>
    <x v="17"/>
    <n v="156.94999999999999"/>
    <n v="57286.75"/>
    <n v="206232.3"/>
  </r>
  <r>
    <x v="0"/>
    <x v="0"/>
    <x v="0"/>
    <x v="2"/>
    <x v="3"/>
    <s v="FinA"/>
    <x v="7"/>
    <x v="128"/>
    <x v="0"/>
    <x v="18"/>
    <n v="156.94999999999999"/>
    <n v="57286.75"/>
    <n v="206232.3"/>
  </r>
  <r>
    <x v="0"/>
    <x v="0"/>
    <x v="0"/>
    <x v="2"/>
    <x v="3"/>
    <s v="FinA"/>
    <x v="7"/>
    <x v="128"/>
    <x v="0"/>
    <x v="19"/>
    <n v="156.94999999999999"/>
    <n v="57286.75"/>
    <n v="206232.3"/>
  </r>
  <r>
    <x v="0"/>
    <x v="0"/>
    <x v="0"/>
    <x v="2"/>
    <x v="3"/>
    <s v="FinA"/>
    <x v="7"/>
    <x v="129"/>
    <x v="0"/>
    <x v="0"/>
    <n v="156.94999999999999"/>
    <n v="57286.75"/>
    <n v="206232.3"/>
  </r>
  <r>
    <x v="0"/>
    <x v="0"/>
    <x v="0"/>
    <x v="2"/>
    <x v="3"/>
    <s v="FinA"/>
    <x v="7"/>
    <x v="129"/>
    <x v="0"/>
    <x v="1"/>
    <n v="156.94999999999999"/>
    <n v="57286.75"/>
    <n v="206232.3"/>
  </r>
  <r>
    <x v="0"/>
    <x v="0"/>
    <x v="0"/>
    <x v="2"/>
    <x v="3"/>
    <s v="FinA"/>
    <x v="7"/>
    <x v="129"/>
    <x v="0"/>
    <x v="2"/>
    <n v="156.94999999999999"/>
    <n v="57286.75"/>
    <n v="206232.3"/>
  </r>
  <r>
    <x v="0"/>
    <x v="0"/>
    <x v="0"/>
    <x v="2"/>
    <x v="3"/>
    <s v="FinA"/>
    <x v="7"/>
    <x v="129"/>
    <x v="0"/>
    <x v="9"/>
    <n v="156.94999999999999"/>
    <n v="57286.75"/>
    <n v="206232.3"/>
  </r>
  <r>
    <x v="0"/>
    <x v="0"/>
    <x v="0"/>
    <x v="2"/>
    <x v="3"/>
    <s v="FinA"/>
    <x v="7"/>
    <x v="129"/>
    <x v="0"/>
    <x v="10"/>
    <n v="156.94999999999999"/>
    <n v="57286.75"/>
    <n v="206232.3"/>
  </r>
  <r>
    <x v="0"/>
    <x v="0"/>
    <x v="0"/>
    <x v="2"/>
    <x v="3"/>
    <s v="FinA"/>
    <x v="7"/>
    <x v="129"/>
    <x v="0"/>
    <x v="11"/>
    <n v="156.94999999999999"/>
    <n v="57286.75"/>
    <n v="206232.3"/>
  </r>
  <r>
    <x v="0"/>
    <x v="0"/>
    <x v="0"/>
    <x v="2"/>
    <x v="3"/>
    <s v="FinA"/>
    <x v="7"/>
    <x v="129"/>
    <x v="0"/>
    <x v="12"/>
    <n v="87.466282960586895"/>
    <n v="31925.193280614199"/>
    <n v="114930.69581021099"/>
  </r>
  <r>
    <x v="0"/>
    <x v="0"/>
    <x v="0"/>
    <x v="2"/>
    <x v="3"/>
    <s v="FinA"/>
    <x v="7"/>
    <x v="129"/>
    <x v="0"/>
    <x v="15"/>
    <n v="78.338319418323096"/>
    <n v="28593.486587687901"/>
    <n v="102936.55171567699"/>
  </r>
  <r>
    <x v="0"/>
    <x v="0"/>
    <x v="0"/>
    <x v="2"/>
    <x v="3"/>
    <s v="FinA"/>
    <x v="7"/>
    <x v="129"/>
    <x v="0"/>
    <x v="16"/>
    <n v="156.94999999999999"/>
    <n v="57286.75"/>
    <n v="206232.3"/>
  </r>
  <r>
    <x v="0"/>
    <x v="0"/>
    <x v="0"/>
    <x v="2"/>
    <x v="3"/>
    <s v="FinA"/>
    <x v="7"/>
    <x v="130"/>
    <x v="0"/>
    <x v="1"/>
    <n v="156.94999999999999"/>
    <n v="57286.75"/>
    <n v="206232.3"/>
  </r>
  <r>
    <x v="0"/>
    <x v="0"/>
    <x v="0"/>
    <x v="2"/>
    <x v="3"/>
    <s v="FinA"/>
    <x v="7"/>
    <x v="130"/>
    <x v="0"/>
    <x v="2"/>
    <n v="156.94999999999999"/>
    <n v="57286.75"/>
    <n v="206232.3"/>
  </r>
  <r>
    <x v="0"/>
    <x v="0"/>
    <x v="0"/>
    <x v="2"/>
    <x v="3"/>
    <s v="FinA"/>
    <x v="7"/>
    <x v="130"/>
    <x v="0"/>
    <x v="9"/>
    <n v="156.94999999999999"/>
    <n v="57286.75"/>
    <n v="206232.3"/>
  </r>
  <r>
    <x v="0"/>
    <x v="0"/>
    <x v="0"/>
    <x v="2"/>
    <x v="3"/>
    <s v="FinA"/>
    <x v="7"/>
    <x v="130"/>
    <x v="0"/>
    <x v="10"/>
    <n v="156.94999999999999"/>
    <n v="57286.75"/>
    <n v="206232.3"/>
  </r>
  <r>
    <x v="0"/>
    <x v="0"/>
    <x v="0"/>
    <x v="2"/>
    <x v="3"/>
    <s v="FinA"/>
    <x v="7"/>
    <x v="46"/>
    <x v="0"/>
    <x v="3"/>
    <n v="920.44758476060997"/>
    <n v="335963.36843762302"/>
    <n v="1209468.12637544"/>
  </r>
  <r>
    <x v="0"/>
    <x v="0"/>
    <x v="0"/>
    <x v="2"/>
    <x v="3"/>
    <s v="FinA"/>
    <x v="7"/>
    <x v="46"/>
    <x v="0"/>
    <x v="4"/>
    <n v="920.44758476060997"/>
    <n v="335963.36843762302"/>
    <n v="1209468.12637544"/>
  </r>
  <r>
    <x v="0"/>
    <x v="0"/>
    <x v="0"/>
    <x v="2"/>
    <x v="3"/>
    <s v="FinA"/>
    <x v="7"/>
    <x v="46"/>
    <x v="0"/>
    <x v="5"/>
    <n v="920.44758476060997"/>
    <n v="335963.36843762302"/>
    <n v="1209468.12637544"/>
  </r>
  <r>
    <x v="0"/>
    <x v="0"/>
    <x v="0"/>
    <x v="2"/>
    <x v="3"/>
    <s v="FinA"/>
    <x v="7"/>
    <x v="46"/>
    <x v="0"/>
    <x v="6"/>
    <n v="920.44758476060997"/>
    <n v="335963.36843762302"/>
    <n v="1209468.12637544"/>
  </r>
  <r>
    <x v="0"/>
    <x v="0"/>
    <x v="0"/>
    <x v="2"/>
    <x v="3"/>
    <s v="FinA"/>
    <x v="7"/>
    <x v="46"/>
    <x v="0"/>
    <x v="7"/>
    <n v="920.44758476060997"/>
    <n v="335963.36843762302"/>
    <n v="1209468.12637544"/>
  </r>
  <r>
    <x v="0"/>
    <x v="0"/>
    <x v="0"/>
    <x v="2"/>
    <x v="3"/>
    <s v="FinA"/>
    <x v="7"/>
    <x v="46"/>
    <x v="0"/>
    <x v="8"/>
    <n v="920.44758476060997"/>
    <n v="335963.36843762302"/>
    <n v="1209468.12637544"/>
  </r>
  <r>
    <x v="0"/>
    <x v="0"/>
    <x v="0"/>
    <x v="2"/>
    <x v="3"/>
    <s v="FinA"/>
    <x v="7"/>
    <x v="46"/>
    <x v="0"/>
    <x v="0"/>
    <n v="920.44758476060997"/>
    <n v="335963.36843762302"/>
    <n v="1209468.12637544"/>
  </r>
  <r>
    <x v="0"/>
    <x v="0"/>
    <x v="0"/>
    <x v="2"/>
    <x v="3"/>
    <s v="FinA"/>
    <x v="7"/>
    <x v="46"/>
    <x v="0"/>
    <x v="1"/>
    <n v="920.44758476060997"/>
    <n v="335963.36843762302"/>
    <n v="1209468.12637544"/>
  </r>
  <r>
    <x v="0"/>
    <x v="0"/>
    <x v="0"/>
    <x v="2"/>
    <x v="3"/>
    <s v="FinA"/>
    <x v="7"/>
    <x v="46"/>
    <x v="0"/>
    <x v="2"/>
    <n v="920.44758476060997"/>
    <n v="335963.36843762302"/>
    <n v="1209468.12637544"/>
  </r>
  <r>
    <x v="0"/>
    <x v="0"/>
    <x v="0"/>
    <x v="2"/>
    <x v="3"/>
    <s v="FinA"/>
    <x v="7"/>
    <x v="46"/>
    <x v="0"/>
    <x v="9"/>
    <n v="920.44758476060997"/>
    <n v="335963.36843762302"/>
    <n v="1209468.12637544"/>
  </r>
  <r>
    <x v="0"/>
    <x v="0"/>
    <x v="0"/>
    <x v="2"/>
    <x v="3"/>
    <s v="FinA"/>
    <x v="7"/>
    <x v="46"/>
    <x v="0"/>
    <x v="10"/>
    <n v="920.44758476060997"/>
    <n v="335963.36843762302"/>
    <n v="1209468.12637544"/>
  </r>
  <r>
    <x v="0"/>
    <x v="0"/>
    <x v="0"/>
    <x v="2"/>
    <x v="3"/>
    <s v="FinA"/>
    <x v="7"/>
    <x v="46"/>
    <x v="0"/>
    <x v="11"/>
    <n v="920.44758476060997"/>
    <n v="335963.36843762302"/>
    <n v="1209468.12637544"/>
  </r>
  <r>
    <x v="0"/>
    <x v="0"/>
    <x v="0"/>
    <x v="2"/>
    <x v="3"/>
    <s v="FinA"/>
    <x v="7"/>
    <x v="46"/>
    <x v="0"/>
    <x v="12"/>
    <n v="920.44758476060997"/>
    <n v="335963.36843762302"/>
    <n v="1209468.12637544"/>
  </r>
  <r>
    <x v="0"/>
    <x v="0"/>
    <x v="0"/>
    <x v="2"/>
    <x v="3"/>
    <s v="FinA"/>
    <x v="7"/>
    <x v="46"/>
    <x v="0"/>
    <x v="13"/>
    <n v="920.44758476060997"/>
    <n v="335963.36843762302"/>
    <n v="1209468.12637544"/>
  </r>
  <r>
    <x v="0"/>
    <x v="0"/>
    <x v="0"/>
    <x v="2"/>
    <x v="3"/>
    <s v="FinA"/>
    <x v="7"/>
    <x v="46"/>
    <x v="0"/>
    <x v="14"/>
    <n v="920.44758476060997"/>
    <n v="335963.36843762302"/>
    <n v="1209468.12637544"/>
  </r>
  <r>
    <x v="0"/>
    <x v="0"/>
    <x v="0"/>
    <x v="2"/>
    <x v="3"/>
    <s v="FinA"/>
    <x v="7"/>
    <x v="46"/>
    <x v="0"/>
    <x v="15"/>
    <n v="920.44758476060997"/>
    <n v="335963.36843762302"/>
    <n v="1209468.12637544"/>
  </r>
  <r>
    <x v="0"/>
    <x v="0"/>
    <x v="0"/>
    <x v="2"/>
    <x v="3"/>
    <s v="FinA"/>
    <x v="7"/>
    <x v="46"/>
    <x v="0"/>
    <x v="16"/>
    <n v="920.44758476060997"/>
    <n v="335963.36843762302"/>
    <n v="1209468.12637544"/>
  </r>
  <r>
    <x v="0"/>
    <x v="0"/>
    <x v="0"/>
    <x v="2"/>
    <x v="3"/>
    <s v="FinA"/>
    <x v="7"/>
    <x v="46"/>
    <x v="0"/>
    <x v="17"/>
    <n v="920.44758476060997"/>
    <n v="335963.36843762302"/>
    <n v="1209468.12637544"/>
  </r>
  <r>
    <x v="0"/>
    <x v="0"/>
    <x v="0"/>
    <x v="2"/>
    <x v="3"/>
    <s v="FinA"/>
    <x v="7"/>
    <x v="46"/>
    <x v="0"/>
    <x v="18"/>
    <n v="920.44758476060997"/>
    <n v="335963.36843762302"/>
    <n v="1209468.12637544"/>
  </r>
  <r>
    <x v="0"/>
    <x v="0"/>
    <x v="0"/>
    <x v="2"/>
    <x v="3"/>
    <s v="FinA"/>
    <x v="7"/>
    <x v="46"/>
    <x v="0"/>
    <x v="19"/>
    <n v="920.44758476060997"/>
    <n v="335963.36843762302"/>
    <n v="1209468.12637544"/>
  </r>
  <r>
    <x v="0"/>
    <x v="0"/>
    <x v="0"/>
    <x v="2"/>
    <x v="3"/>
    <s v="FinA"/>
    <x v="7"/>
    <x v="46"/>
    <x v="0"/>
    <x v="20"/>
    <n v="920.44758476060997"/>
    <n v="335963.36843762302"/>
    <n v="1209468.12637544"/>
  </r>
  <r>
    <x v="0"/>
    <x v="0"/>
    <x v="0"/>
    <x v="2"/>
    <x v="3"/>
    <s v="FinA"/>
    <x v="7"/>
    <x v="46"/>
    <x v="0"/>
    <x v="21"/>
    <n v="920.44758476060997"/>
    <n v="335963.36843762302"/>
    <n v="1209468.12637544"/>
  </r>
  <r>
    <x v="0"/>
    <x v="0"/>
    <x v="0"/>
    <x v="2"/>
    <x v="3"/>
    <s v="FinA"/>
    <x v="7"/>
    <x v="46"/>
    <x v="0"/>
    <x v="22"/>
    <n v="920.44758476060997"/>
    <n v="335963.36843762302"/>
    <n v="1209468.12637544"/>
  </r>
  <r>
    <x v="0"/>
    <x v="0"/>
    <x v="0"/>
    <x v="2"/>
    <x v="3"/>
    <s v="FinA"/>
    <x v="7"/>
    <x v="46"/>
    <x v="0"/>
    <x v="23"/>
    <n v="920.44758476060997"/>
    <n v="335963.36843762302"/>
    <n v="1209468.12637544"/>
  </r>
  <r>
    <x v="0"/>
    <x v="0"/>
    <x v="0"/>
    <x v="2"/>
    <x v="3"/>
    <s v="FinA"/>
    <x v="8"/>
    <x v="47"/>
    <x v="0"/>
    <x v="3"/>
    <n v="411.74149233805298"/>
    <n v="150285.644703389"/>
    <n v="541028.32093220204"/>
  </r>
  <r>
    <x v="0"/>
    <x v="0"/>
    <x v="0"/>
    <x v="2"/>
    <x v="3"/>
    <s v="FinA"/>
    <x v="8"/>
    <x v="47"/>
    <x v="0"/>
    <x v="4"/>
    <n v="380.51871296754302"/>
    <n v="138889.33023315301"/>
    <n v="500001.58883935102"/>
  </r>
  <r>
    <x v="0"/>
    <x v="0"/>
    <x v="0"/>
    <x v="2"/>
    <x v="3"/>
    <s v="FinA"/>
    <x v="8"/>
    <x v="47"/>
    <x v="0"/>
    <x v="5"/>
    <n v="389.78574794052503"/>
    <n v="142271.79799829199"/>
    <n v="512178.47279385"/>
  </r>
  <r>
    <x v="0"/>
    <x v="0"/>
    <x v="0"/>
    <x v="2"/>
    <x v="3"/>
    <s v="FinA"/>
    <x v="8"/>
    <x v="47"/>
    <x v="0"/>
    <x v="6"/>
    <n v="289.82397289129898"/>
    <n v="105785.750105324"/>
    <n v="380828.70037916698"/>
  </r>
  <r>
    <x v="0"/>
    <x v="0"/>
    <x v="0"/>
    <x v="2"/>
    <x v="3"/>
    <s v="FinA"/>
    <x v="8"/>
    <x v="47"/>
    <x v="0"/>
    <x v="7"/>
    <n v="286.89110907567402"/>
    <n v="104715.254812621"/>
    <n v="376974.91732543497"/>
  </r>
  <r>
    <x v="0"/>
    <x v="0"/>
    <x v="0"/>
    <x v="2"/>
    <x v="3"/>
    <s v="FinA"/>
    <x v="8"/>
    <x v="47"/>
    <x v="0"/>
    <x v="8"/>
    <n v="334.46867764026098"/>
    <n v="122081.06733869499"/>
    <n v="439491.84241930197"/>
  </r>
  <r>
    <x v="0"/>
    <x v="0"/>
    <x v="0"/>
    <x v="2"/>
    <x v="3"/>
    <s v="FinA"/>
    <x v="8"/>
    <x v="47"/>
    <x v="0"/>
    <x v="0"/>
    <n v="380.84458672483402"/>
    <n v="139008.27415456501"/>
    <n v="500429.78695643198"/>
  </r>
  <r>
    <x v="0"/>
    <x v="0"/>
    <x v="0"/>
    <x v="2"/>
    <x v="3"/>
    <s v="FinA"/>
    <x v="8"/>
    <x v="47"/>
    <x v="0"/>
    <x v="1"/>
    <n v="371.74048863049802"/>
    <n v="135685.27835013199"/>
    <n v="488467.00206047401"/>
  </r>
  <r>
    <x v="0"/>
    <x v="0"/>
    <x v="0"/>
    <x v="2"/>
    <x v="3"/>
    <s v="FinA"/>
    <x v="8"/>
    <x v="47"/>
    <x v="0"/>
    <x v="2"/>
    <n v="366.03769787789298"/>
    <n v="133603.75972543101"/>
    <n v="480973.53501155198"/>
  </r>
  <r>
    <x v="0"/>
    <x v="0"/>
    <x v="0"/>
    <x v="2"/>
    <x v="3"/>
    <s v="FinA"/>
    <x v="8"/>
    <x v="47"/>
    <x v="0"/>
    <x v="9"/>
    <n v="345.263245850548"/>
    <n v="126021.08473545"/>
    <n v="453675.90504762001"/>
  </r>
  <r>
    <x v="0"/>
    <x v="0"/>
    <x v="0"/>
    <x v="2"/>
    <x v="3"/>
    <s v="FinA"/>
    <x v="8"/>
    <x v="47"/>
    <x v="0"/>
    <x v="10"/>
    <n v="291.43297456792601"/>
    <n v="106373.03571729299"/>
    <n v="382942.92858225497"/>
  </r>
  <r>
    <x v="0"/>
    <x v="0"/>
    <x v="0"/>
    <x v="2"/>
    <x v="3"/>
    <s v="FinA"/>
    <x v="8"/>
    <x v="47"/>
    <x v="0"/>
    <x v="11"/>
    <n v="377.97282423870098"/>
    <n v="137960.080847126"/>
    <n v="496656.29104965401"/>
  </r>
  <r>
    <x v="0"/>
    <x v="0"/>
    <x v="0"/>
    <x v="2"/>
    <x v="3"/>
    <s v="FinA"/>
    <x v="8"/>
    <x v="47"/>
    <x v="0"/>
    <x v="12"/>
    <n v="353.02311469605598"/>
    <n v="128853.436864061"/>
    <n v="463872.37271061802"/>
  </r>
  <r>
    <x v="0"/>
    <x v="0"/>
    <x v="0"/>
    <x v="2"/>
    <x v="3"/>
    <s v="FinA"/>
    <x v="8"/>
    <x v="47"/>
    <x v="0"/>
    <x v="13"/>
    <n v="344.08195348036497"/>
    <n v="125589.913020333"/>
    <n v="452123.6868732"/>
  </r>
  <r>
    <x v="0"/>
    <x v="0"/>
    <x v="0"/>
    <x v="2"/>
    <x v="3"/>
    <s v="FinA"/>
    <x v="8"/>
    <x v="47"/>
    <x v="0"/>
    <x v="14"/>
    <n v="335.71107133993502"/>
    <n v="122534.54103907599"/>
    <n v="441124.34774067497"/>
  </r>
  <r>
    <x v="0"/>
    <x v="0"/>
    <x v="0"/>
    <x v="2"/>
    <x v="3"/>
    <s v="FinA"/>
    <x v="8"/>
    <x v="47"/>
    <x v="0"/>
    <x v="15"/>
    <n v="351.49558145875102"/>
    <n v="128295.887232444"/>
    <n v="461865.19403679902"/>
  </r>
  <r>
    <x v="0"/>
    <x v="0"/>
    <x v="0"/>
    <x v="2"/>
    <x v="3"/>
    <s v="FinA"/>
    <x v="8"/>
    <x v="47"/>
    <x v="0"/>
    <x v="16"/>
    <n v="393.73696724768701"/>
    <n v="143713.99304540601"/>
    <n v="517370.37496346101"/>
  </r>
  <r>
    <x v="0"/>
    <x v="0"/>
    <x v="0"/>
    <x v="2"/>
    <x v="3"/>
    <s v="FinA"/>
    <x v="8"/>
    <x v="47"/>
    <x v="0"/>
    <x v="17"/>
    <n v="421.25293262900402"/>
    <n v="153757.320409587"/>
    <n v="553526.353474512"/>
  </r>
  <r>
    <x v="0"/>
    <x v="0"/>
    <x v="0"/>
    <x v="2"/>
    <x v="3"/>
    <s v="FinA"/>
    <x v="8"/>
    <x v="47"/>
    <x v="0"/>
    <x v="18"/>
    <n v="373.06435076949498"/>
    <n v="136168.48803086599"/>
    <n v="490206.55691111699"/>
  </r>
  <r>
    <x v="0"/>
    <x v="0"/>
    <x v="0"/>
    <x v="2"/>
    <x v="3"/>
    <s v="FinA"/>
    <x v="8"/>
    <x v="47"/>
    <x v="0"/>
    <x v="19"/>
    <n v="267.236848089018"/>
    <n v="97541.4495524917"/>
    <n v="351149.21838897001"/>
  </r>
  <r>
    <x v="0"/>
    <x v="0"/>
    <x v="0"/>
    <x v="2"/>
    <x v="3"/>
    <s v="FinA"/>
    <x v="8"/>
    <x v="47"/>
    <x v="0"/>
    <x v="20"/>
    <n v="294.91575034898102"/>
    <n v="107644.24887737801"/>
    <n v="387519.295958562"/>
  </r>
  <r>
    <x v="0"/>
    <x v="0"/>
    <x v="0"/>
    <x v="2"/>
    <x v="3"/>
    <s v="FinA"/>
    <x v="8"/>
    <x v="47"/>
    <x v="0"/>
    <x v="21"/>
    <n v="285.38394294819898"/>
    <n v="104165.139176093"/>
    <n v="374994.50103393401"/>
  </r>
  <r>
    <x v="0"/>
    <x v="0"/>
    <x v="0"/>
    <x v="2"/>
    <x v="3"/>
    <s v="FinA"/>
    <x v="8"/>
    <x v="47"/>
    <x v="0"/>
    <x v="22"/>
    <n v="257.92907889637399"/>
    <n v="94144.1137971766"/>
    <n v="338918.80966983602"/>
  </r>
  <r>
    <x v="0"/>
    <x v="0"/>
    <x v="0"/>
    <x v="2"/>
    <x v="3"/>
    <s v="FinA"/>
    <x v="8"/>
    <x v="47"/>
    <x v="0"/>
    <x v="23"/>
    <n v="227.093274612648"/>
    <n v="82889.045233616504"/>
    <n v="298400.56284101901"/>
  </r>
  <r>
    <x v="0"/>
    <x v="0"/>
    <x v="0"/>
    <x v="2"/>
    <x v="3"/>
    <s v="FinA"/>
    <x v="13"/>
    <x v="131"/>
    <x v="0"/>
    <x v="0"/>
    <n v="1103.1664964249201"/>
    <n v="402655.77119509701"/>
    <n v="1449560.77630235"/>
  </r>
  <r>
    <x v="0"/>
    <x v="0"/>
    <x v="0"/>
    <x v="2"/>
    <x v="3"/>
    <s v="FinA"/>
    <x v="13"/>
    <x v="131"/>
    <x v="0"/>
    <x v="1"/>
    <n v="1103.1664964249201"/>
    <n v="402655.77119509701"/>
    <n v="1449560.77630235"/>
  </r>
  <r>
    <x v="0"/>
    <x v="0"/>
    <x v="0"/>
    <x v="2"/>
    <x v="3"/>
    <s v="FinA"/>
    <x v="13"/>
    <x v="131"/>
    <x v="0"/>
    <x v="2"/>
    <n v="1103.1664964249201"/>
    <n v="402655.77119509701"/>
    <n v="1449560.77630235"/>
  </r>
  <r>
    <x v="0"/>
    <x v="0"/>
    <x v="0"/>
    <x v="2"/>
    <x v="3"/>
    <s v="FinA"/>
    <x v="13"/>
    <x v="131"/>
    <x v="0"/>
    <x v="9"/>
    <n v="1103.1664964249201"/>
    <n v="402655.77119509701"/>
    <n v="1449560.77630235"/>
  </r>
  <r>
    <x v="0"/>
    <x v="0"/>
    <x v="0"/>
    <x v="2"/>
    <x v="3"/>
    <s v="FinA"/>
    <x v="13"/>
    <x v="131"/>
    <x v="0"/>
    <x v="10"/>
    <n v="1103.1664964249201"/>
    <n v="402655.77119509701"/>
    <n v="1449560.77630235"/>
  </r>
  <r>
    <x v="0"/>
    <x v="0"/>
    <x v="0"/>
    <x v="2"/>
    <x v="3"/>
    <s v="FinA"/>
    <x v="13"/>
    <x v="131"/>
    <x v="0"/>
    <x v="11"/>
    <n v="1103.1664964249201"/>
    <n v="402655.77119509701"/>
    <n v="1449560.77630235"/>
  </r>
  <r>
    <x v="0"/>
    <x v="0"/>
    <x v="0"/>
    <x v="2"/>
    <x v="3"/>
    <s v="FinA"/>
    <x v="13"/>
    <x v="131"/>
    <x v="0"/>
    <x v="12"/>
    <n v="1103.1664964249201"/>
    <n v="402655.77119509701"/>
    <n v="1449560.77630235"/>
  </r>
  <r>
    <x v="0"/>
    <x v="0"/>
    <x v="0"/>
    <x v="2"/>
    <x v="3"/>
    <s v="FinA"/>
    <x v="13"/>
    <x v="131"/>
    <x v="0"/>
    <x v="13"/>
    <n v="1103.1664964249201"/>
    <n v="402655.77119509701"/>
    <n v="1449560.77630235"/>
  </r>
  <r>
    <x v="0"/>
    <x v="0"/>
    <x v="0"/>
    <x v="2"/>
    <x v="3"/>
    <s v="FinA"/>
    <x v="13"/>
    <x v="131"/>
    <x v="0"/>
    <x v="14"/>
    <n v="1103.1664964249201"/>
    <n v="402655.77119509701"/>
    <n v="1449560.77630235"/>
  </r>
  <r>
    <x v="0"/>
    <x v="0"/>
    <x v="0"/>
    <x v="2"/>
    <x v="3"/>
    <s v="FinA"/>
    <x v="13"/>
    <x v="131"/>
    <x v="0"/>
    <x v="15"/>
    <n v="1103.1664964249201"/>
    <n v="402655.77119509701"/>
    <n v="1449560.77630235"/>
  </r>
  <r>
    <x v="0"/>
    <x v="0"/>
    <x v="0"/>
    <x v="2"/>
    <x v="3"/>
    <s v="FinA"/>
    <x v="13"/>
    <x v="131"/>
    <x v="0"/>
    <x v="16"/>
    <n v="1103.1664964249201"/>
    <n v="402655.77119509701"/>
    <n v="1449560.77630235"/>
  </r>
  <r>
    <x v="0"/>
    <x v="0"/>
    <x v="0"/>
    <x v="2"/>
    <x v="3"/>
    <s v="FinA"/>
    <x v="13"/>
    <x v="131"/>
    <x v="0"/>
    <x v="17"/>
    <n v="1103.1664964249201"/>
    <n v="402655.77119509701"/>
    <n v="1449560.77630235"/>
  </r>
  <r>
    <x v="0"/>
    <x v="0"/>
    <x v="0"/>
    <x v="2"/>
    <x v="3"/>
    <s v="FinA"/>
    <x v="13"/>
    <x v="131"/>
    <x v="0"/>
    <x v="18"/>
    <n v="1103.1664964249201"/>
    <n v="402655.77119509701"/>
    <n v="1449560.77630235"/>
  </r>
  <r>
    <x v="0"/>
    <x v="0"/>
    <x v="0"/>
    <x v="2"/>
    <x v="3"/>
    <s v="FinA"/>
    <x v="13"/>
    <x v="131"/>
    <x v="0"/>
    <x v="19"/>
    <n v="1103.1664964249201"/>
    <n v="402655.77119509701"/>
    <n v="1449560.77630235"/>
  </r>
  <r>
    <x v="0"/>
    <x v="0"/>
    <x v="0"/>
    <x v="2"/>
    <x v="3"/>
    <s v="FinA"/>
    <x v="13"/>
    <x v="132"/>
    <x v="0"/>
    <x v="3"/>
    <n v="2519.7562568875101"/>
    <n v="919711.03376394103"/>
    <n v="3310959.7215501899"/>
  </r>
  <r>
    <x v="0"/>
    <x v="0"/>
    <x v="0"/>
    <x v="2"/>
    <x v="3"/>
    <s v="FinA"/>
    <x v="13"/>
    <x v="132"/>
    <x v="0"/>
    <x v="4"/>
    <n v="549.77612271675605"/>
    <n v="200668.284791616"/>
    <n v="722405.82524981804"/>
  </r>
  <r>
    <x v="0"/>
    <x v="0"/>
    <x v="0"/>
    <x v="2"/>
    <x v="3"/>
    <s v="FinA"/>
    <x v="13"/>
    <x v="132"/>
    <x v="0"/>
    <x v="5"/>
    <n v="258.49367359868802"/>
    <n v="94350.190863520998"/>
    <n v="339660.68710867601"/>
  </r>
  <r>
    <x v="0"/>
    <x v="0"/>
    <x v="0"/>
    <x v="2"/>
    <x v="3"/>
    <s v="FinA"/>
    <x v="13"/>
    <x v="132"/>
    <x v="0"/>
    <x v="6"/>
    <n v="856.139076205327"/>
    <n v="312490.76281494403"/>
    <n v="1124966.7461337999"/>
  </r>
  <r>
    <x v="0"/>
    <x v="0"/>
    <x v="0"/>
    <x v="2"/>
    <x v="3"/>
    <s v="FinA"/>
    <x v="13"/>
    <x v="132"/>
    <x v="0"/>
    <x v="7"/>
    <n v="4067.9917998239098"/>
    <n v="1484817.0069357301"/>
    <n v="5345341.2249686103"/>
  </r>
  <r>
    <x v="0"/>
    <x v="0"/>
    <x v="0"/>
    <x v="2"/>
    <x v="3"/>
    <s v="FinA"/>
    <x v="13"/>
    <x v="132"/>
    <x v="0"/>
    <x v="8"/>
    <n v="6681.4553014553003"/>
    <n v="2438731.1850311798"/>
    <n v="8779432.2661122605"/>
  </r>
  <r>
    <x v="0"/>
    <x v="0"/>
    <x v="0"/>
    <x v="2"/>
    <x v="3"/>
    <s v="FinA"/>
    <x v="13"/>
    <x v="132"/>
    <x v="0"/>
    <x v="0"/>
    <n v="6681.4553014553003"/>
    <n v="2438731.1850311798"/>
    <n v="8779432.2661122605"/>
  </r>
  <r>
    <x v="0"/>
    <x v="0"/>
    <x v="0"/>
    <x v="2"/>
    <x v="3"/>
    <s v="FinA"/>
    <x v="13"/>
    <x v="132"/>
    <x v="0"/>
    <x v="1"/>
    <n v="6681.4553014553003"/>
    <n v="2438731.1850311798"/>
    <n v="8779432.2661122605"/>
  </r>
  <r>
    <x v="0"/>
    <x v="0"/>
    <x v="0"/>
    <x v="2"/>
    <x v="3"/>
    <s v="FinA"/>
    <x v="13"/>
    <x v="132"/>
    <x v="0"/>
    <x v="2"/>
    <n v="6681.4553014553003"/>
    <n v="2438731.1850311798"/>
    <n v="8779432.2661122605"/>
  </r>
  <r>
    <x v="0"/>
    <x v="0"/>
    <x v="0"/>
    <x v="2"/>
    <x v="3"/>
    <s v="FinA"/>
    <x v="13"/>
    <x v="132"/>
    <x v="0"/>
    <x v="9"/>
    <n v="6681.4553014553003"/>
    <n v="2438731.1850311798"/>
    <n v="8779432.2661122605"/>
  </r>
  <r>
    <x v="0"/>
    <x v="0"/>
    <x v="0"/>
    <x v="2"/>
    <x v="3"/>
    <s v="FinA"/>
    <x v="13"/>
    <x v="132"/>
    <x v="0"/>
    <x v="10"/>
    <n v="6681.4553014553003"/>
    <n v="2438731.1850311798"/>
    <n v="8779432.2661122605"/>
  </r>
  <r>
    <x v="0"/>
    <x v="0"/>
    <x v="0"/>
    <x v="2"/>
    <x v="3"/>
    <s v="FinA"/>
    <x v="13"/>
    <x v="132"/>
    <x v="0"/>
    <x v="11"/>
    <n v="6681.4553014553003"/>
    <n v="2438731.1850311798"/>
    <n v="8779432.2661122605"/>
  </r>
  <r>
    <x v="0"/>
    <x v="0"/>
    <x v="0"/>
    <x v="2"/>
    <x v="3"/>
    <s v="FinA"/>
    <x v="13"/>
    <x v="132"/>
    <x v="0"/>
    <x v="12"/>
    <n v="6681.4553014553003"/>
    <n v="2438731.1850311798"/>
    <n v="8779432.2661122605"/>
  </r>
  <r>
    <x v="0"/>
    <x v="0"/>
    <x v="0"/>
    <x v="2"/>
    <x v="3"/>
    <s v="FinA"/>
    <x v="13"/>
    <x v="132"/>
    <x v="0"/>
    <x v="13"/>
    <n v="6681.4553014553003"/>
    <n v="2438731.1850311798"/>
    <n v="8779432.2661122605"/>
  </r>
  <r>
    <x v="0"/>
    <x v="0"/>
    <x v="0"/>
    <x v="2"/>
    <x v="3"/>
    <s v="FinA"/>
    <x v="13"/>
    <x v="132"/>
    <x v="0"/>
    <x v="14"/>
    <n v="6681.4553014553003"/>
    <n v="2438731.1850311798"/>
    <n v="8779432.2661122605"/>
  </r>
  <r>
    <x v="0"/>
    <x v="0"/>
    <x v="0"/>
    <x v="2"/>
    <x v="3"/>
    <s v="FinA"/>
    <x v="13"/>
    <x v="132"/>
    <x v="0"/>
    <x v="15"/>
    <n v="6681.4553014553003"/>
    <n v="2438731.1850311798"/>
    <n v="8779432.2661122605"/>
  </r>
  <r>
    <x v="0"/>
    <x v="0"/>
    <x v="0"/>
    <x v="2"/>
    <x v="3"/>
    <s v="FinA"/>
    <x v="13"/>
    <x v="132"/>
    <x v="0"/>
    <x v="16"/>
    <n v="6681.4553014553003"/>
    <n v="2438731.1850311798"/>
    <n v="8779432.2661122605"/>
  </r>
  <r>
    <x v="0"/>
    <x v="0"/>
    <x v="0"/>
    <x v="2"/>
    <x v="3"/>
    <s v="FinA"/>
    <x v="13"/>
    <x v="132"/>
    <x v="0"/>
    <x v="17"/>
    <n v="6681.4553014553003"/>
    <n v="2438731.1850311798"/>
    <n v="8779432.2661122605"/>
  </r>
  <r>
    <x v="0"/>
    <x v="0"/>
    <x v="0"/>
    <x v="2"/>
    <x v="3"/>
    <s v="FinA"/>
    <x v="13"/>
    <x v="132"/>
    <x v="0"/>
    <x v="18"/>
    <n v="6681.4553014553003"/>
    <n v="2438731.1850311798"/>
    <n v="8779432.2661122605"/>
  </r>
  <r>
    <x v="0"/>
    <x v="0"/>
    <x v="0"/>
    <x v="2"/>
    <x v="3"/>
    <s v="FinA"/>
    <x v="13"/>
    <x v="132"/>
    <x v="0"/>
    <x v="19"/>
    <n v="6681.4553014553003"/>
    <n v="2438731.1850311798"/>
    <n v="8779432.2661122605"/>
  </r>
  <r>
    <x v="0"/>
    <x v="0"/>
    <x v="0"/>
    <x v="2"/>
    <x v="3"/>
    <s v="FinA"/>
    <x v="13"/>
    <x v="132"/>
    <x v="0"/>
    <x v="20"/>
    <n v="6681.4553014553003"/>
    <n v="2438731.1850311798"/>
    <n v="8779432.2661122605"/>
  </r>
  <r>
    <x v="0"/>
    <x v="0"/>
    <x v="0"/>
    <x v="2"/>
    <x v="3"/>
    <s v="FinA"/>
    <x v="13"/>
    <x v="132"/>
    <x v="0"/>
    <x v="21"/>
    <n v="6681.4553014553003"/>
    <n v="2438731.1850311798"/>
    <n v="8779432.2661122605"/>
  </r>
  <r>
    <x v="0"/>
    <x v="0"/>
    <x v="0"/>
    <x v="2"/>
    <x v="3"/>
    <s v="FinA"/>
    <x v="13"/>
    <x v="132"/>
    <x v="0"/>
    <x v="22"/>
    <n v="5092.1592659530397"/>
    <n v="1858638.1320728599"/>
    <n v="6691097.2754622903"/>
  </r>
  <r>
    <x v="0"/>
    <x v="0"/>
    <x v="0"/>
    <x v="2"/>
    <x v="3"/>
    <s v="FinA"/>
    <x v="13"/>
    <x v="132"/>
    <x v="0"/>
    <x v="23"/>
    <n v="3154.7279012684899"/>
    <n v="1151475.6839630001"/>
    <n v="4145312.4622667902"/>
  </r>
  <r>
    <x v="0"/>
    <x v="0"/>
    <x v="0"/>
    <x v="2"/>
    <x v="3"/>
    <s v="FinA"/>
    <x v="13"/>
    <x v="133"/>
    <x v="0"/>
    <x v="3"/>
    <n v="650.75"/>
    <n v="237523.75"/>
    <n v="855085.5"/>
  </r>
  <r>
    <x v="0"/>
    <x v="0"/>
    <x v="0"/>
    <x v="2"/>
    <x v="3"/>
    <s v="FinA"/>
    <x v="13"/>
    <x v="133"/>
    <x v="0"/>
    <x v="4"/>
    <n v="650.75"/>
    <n v="237523.75"/>
    <n v="855085.5"/>
  </r>
  <r>
    <x v="0"/>
    <x v="0"/>
    <x v="0"/>
    <x v="2"/>
    <x v="3"/>
    <s v="FinA"/>
    <x v="13"/>
    <x v="133"/>
    <x v="0"/>
    <x v="5"/>
    <n v="650.75"/>
    <n v="237523.75"/>
    <n v="855085.5"/>
  </r>
  <r>
    <x v="0"/>
    <x v="0"/>
    <x v="0"/>
    <x v="2"/>
    <x v="3"/>
    <s v="FinA"/>
    <x v="13"/>
    <x v="133"/>
    <x v="0"/>
    <x v="6"/>
    <n v="650.75"/>
    <n v="237523.75"/>
    <n v="855085.5"/>
  </r>
  <r>
    <x v="0"/>
    <x v="0"/>
    <x v="0"/>
    <x v="2"/>
    <x v="3"/>
    <s v="FinA"/>
    <x v="13"/>
    <x v="133"/>
    <x v="0"/>
    <x v="7"/>
    <n v="650.75"/>
    <n v="237523.75"/>
    <n v="855085.5"/>
  </r>
  <r>
    <x v="0"/>
    <x v="0"/>
    <x v="0"/>
    <x v="2"/>
    <x v="3"/>
    <s v="FinA"/>
    <x v="13"/>
    <x v="133"/>
    <x v="0"/>
    <x v="8"/>
    <n v="650.75"/>
    <n v="237523.75"/>
    <n v="855085.5"/>
  </r>
  <r>
    <x v="0"/>
    <x v="0"/>
    <x v="0"/>
    <x v="2"/>
    <x v="3"/>
    <s v="FinA"/>
    <x v="13"/>
    <x v="133"/>
    <x v="0"/>
    <x v="0"/>
    <n v="650.75"/>
    <n v="237523.75"/>
    <n v="855085.5"/>
  </r>
  <r>
    <x v="0"/>
    <x v="0"/>
    <x v="0"/>
    <x v="2"/>
    <x v="3"/>
    <s v="FinA"/>
    <x v="13"/>
    <x v="133"/>
    <x v="0"/>
    <x v="1"/>
    <n v="650.75"/>
    <n v="237523.75"/>
    <n v="855085.5"/>
  </r>
  <r>
    <x v="0"/>
    <x v="0"/>
    <x v="0"/>
    <x v="2"/>
    <x v="3"/>
    <s v="FinA"/>
    <x v="13"/>
    <x v="133"/>
    <x v="0"/>
    <x v="2"/>
    <n v="650.75"/>
    <n v="237523.75"/>
    <n v="855085.5"/>
  </r>
  <r>
    <x v="0"/>
    <x v="0"/>
    <x v="0"/>
    <x v="2"/>
    <x v="3"/>
    <s v="FinA"/>
    <x v="13"/>
    <x v="133"/>
    <x v="0"/>
    <x v="9"/>
    <n v="650.75"/>
    <n v="237523.75"/>
    <n v="855085.5"/>
  </r>
  <r>
    <x v="0"/>
    <x v="0"/>
    <x v="0"/>
    <x v="2"/>
    <x v="3"/>
    <s v="FinA"/>
    <x v="13"/>
    <x v="133"/>
    <x v="0"/>
    <x v="10"/>
    <n v="650.75"/>
    <n v="237523.75"/>
    <n v="855085.5"/>
  </r>
  <r>
    <x v="0"/>
    <x v="0"/>
    <x v="0"/>
    <x v="2"/>
    <x v="3"/>
    <s v="FinA"/>
    <x v="13"/>
    <x v="133"/>
    <x v="0"/>
    <x v="11"/>
    <n v="650.75"/>
    <n v="237523.75"/>
    <n v="855085.5"/>
  </r>
  <r>
    <x v="0"/>
    <x v="0"/>
    <x v="0"/>
    <x v="2"/>
    <x v="3"/>
    <s v="FinA"/>
    <x v="13"/>
    <x v="133"/>
    <x v="0"/>
    <x v="12"/>
    <n v="650.75"/>
    <n v="237523.75"/>
    <n v="855085.5"/>
  </r>
  <r>
    <x v="0"/>
    <x v="0"/>
    <x v="0"/>
    <x v="2"/>
    <x v="3"/>
    <s v="FinA"/>
    <x v="13"/>
    <x v="133"/>
    <x v="0"/>
    <x v="13"/>
    <n v="650.75"/>
    <n v="237523.75"/>
    <n v="855085.5"/>
  </r>
  <r>
    <x v="0"/>
    <x v="0"/>
    <x v="0"/>
    <x v="2"/>
    <x v="3"/>
    <s v="FinA"/>
    <x v="13"/>
    <x v="133"/>
    <x v="0"/>
    <x v="14"/>
    <n v="650.75"/>
    <n v="237523.75"/>
    <n v="855085.5"/>
  </r>
  <r>
    <x v="0"/>
    <x v="0"/>
    <x v="0"/>
    <x v="2"/>
    <x v="3"/>
    <s v="FinA"/>
    <x v="13"/>
    <x v="133"/>
    <x v="0"/>
    <x v="15"/>
    <n v="650.75"/>
    <n v="237523.75"/>
    <n v="855085.5"/>
  </r>
  <r>
    <x v="0"/>
    <x v="0"/>
    <x v="0"/>
    <x v="2"/>
    <x v="3"/>
    <s v="FinA"/>
    <x v="13"/>
    <x v="133"/>
    <x v="0"/>
    <x v="16"/>
    <n v="650.75"/>
    <n v="237523.75"/>
    <n v="855085.5"/>
  </r>
  <r>
    <x v="0"/>
    <x v="0"/>
    <x v="0"/>
    <x v="2"/>
    <x v="3"/>
    <s v="FinA"/>
    <x v="13"/>
    <x v="133"/>
    <x v="0"/>
    <x v="17"/>
    <n v="650.75"/>
    <n v="237523.75"/>
    <n v="855085.5"/>
  </r>
  <r>
    <x v="0"/>
    <x v="0"/>
    <x v="0"/>
    <x v="2"/>
    <x v="3"/>
    <s v="FinA"/>
    <x v="13"/>
    <x v="133"/>
    <x v="0"/>
    <x v="18"/>
    <n v="650.75"/>
    <n v="237523.75"/>
    <n v="855085.5"/>
  </r>
  <r>
    <x v="0"/>
    <x v="0"/>
    <x v="0"/>
    <x v="2"/>
    <x v="3"/>
    <s v="FinA"/>
    <x v="13"/>
    <x v="133"/>
    <x v="0"/>
    <x v="19"/>
    <n v="650.75"/>
    <n v="237523.75"/>
    <n v="855085.5"/>
  </r>
  <r>
    <x v="0"/>
    <x v="0"/>
    <x v="0"/>
    <x v="2"/>
    <x v="3"/>
    <s v="FinA"/>
    <x v="13"/>
    <x v="133"/>
    <x v="0"/>
    <x v="20"/>
    <n v="650.75"/>
    <n v="237523.75"/>
    <n v="855085.5"/>
  </r>
  <r>
    <x v="0"/>
    <x v="0"/>
    <x v="0"/>
    <x v="2"/>
    <x v="3"/>
    <s v="FinA"/>
    <x v="13"/>
    <x v="133"/>
    <x v="0"/>
    <x v="21"/>
    <n v="650.75"/>
    <n v="237523.75"/>
    <n v="855085.5"/>
  </r>
  <r>
    <x v="0"/>
    <x v="0"/>
    <x v="0"/>
    <x v="2"/>
    <x v="3"/>
    <s v="FinA"/>
    <x v="13"/>
    <x v="133"/>
    <x v="0"/>
    <x v="22"/>
    <n v="650.75"/>
    <n v="237523.75"/>
    <n v="855085.5"/>
  </r>
  <r>
    <x v="0"/>
    <x v="0"/>
    <x v="0"/>
    <x v="2"/>
    <x v="3"/>
    <s v="FinA"/>
    <x v="13"/>
    <x v="133"/>
    <x v="0"/>
    <x v="23"/>
    <n v="650.75"/>
    <n v="237523.75"/>
    <n v="855085.5"/>
  </r>
  <r>
    <x v="0"/>
    <x v="0"/>
    <x v="0"/>
    <x v="2"/>
    <x v="3"/>
    <s v="FinA"/>
    <x v="5"/>
    <x v="134"/>
    <x v="0"/>
    <x v="3"/>
    <n v="18.328108672936299"/>
    <n v="6689.7596656217402"/>
    <n v="24083.134796238301"/>
  </r>
  <r>
    <x v="0"/>
    <x v="0"/>
    <x v="0"/>
    <x v="2"/>
    <x v="3"/>
    <s v="FinA"/>
    <x v="5"/>
    <x v="134"/>
    <x v="0"/>
    <x v="4"/>
    <n v="18.328108672936299"/>
    <n v="6689.7596656217402"/>
    <n v="24083.134796238301"/>
  </r>
  <r>
    <x v="0"/>
    <x v="0"/>
    <x v="0"/>
    <x v="2"/>
    <x v="3"/>
    <s v="FinA"/>
    <x v="5"/>
    <x v="134"/>
    <x v="0"/>
    <x v="5"/>
    <n v="18.328108672936299"/>
    <n v="6689.7596656217402"/>
    <n v="24083.134796238301"/>
  </r>
  <r>
    <x v="0"/>
    <x v="0"/>
    <x v="0"/>
    <x v="2"/>
    <x v="3"/>
    <s v="FinA"/>
    <x v="5"/>
    <x v="134"/>
    <x v="0"/>
    <x v="6"/>
    <n v="18.328108672936299"/>
    <n v="6689.7596656217402"/>
    <n v="24083.134796238301"/>
  </r>
  <r>
    <x v="0"/>
    <x v="0"/>
    <x v="0"/>
    <x v="2"/>
    <x v="3"/>
    <s v="FinA"/>
    <x v="5"/>
    <x v="134"/>
    <x v="0"/>
    <x v="7"/>
    <n v="18.328108672936299"/>
    <n v="6689.7596656217402"/>
    <n v="24083.134796238301"/>
  </r>
  <r>
    <x v="0"/>
    <x v="0"/>
    <x v="0"/>
    <x v="2"/>
    <x v="3"/>
    <s v="FinA"/>
    <x v="5"/>
    <x v="134"/>
    <x v="0"/>
    <x v="8"/>
    <n v="18.328108672936299"/>
    <n v="6689.7596656217402"/>
    <n v="24083.134796238301"/>
  </r>
  <r>
    <x v="0"/>
    <x v="0"/>
    <x v="0"/>
    <x v="2"/>
    <x v="3"/>
    <s v="FinA"/>
    <x v="5"/>
    <x v="134"/>
    <x v="0"/>
    <x v="0"/>
    <n v="18.328108672936299"/>
    <n v="6689.7596656217402"/>
    <n v="24083.134796238301"/>
  </r>
  <r>
    <x v="0"/>
    <x v="0"/>
    <x v="0"/>
    <x v="2"/>
    <x v="3"/>
    <s v="FinA"/>
    <x v="5"/>
    <x v="134"/>
    <x v="0"/>
    <x v="1"/>
    <n v="18.328108672936299"/>
    <n v="6689.7596656217402"/>
    <n v="24083.134796238301"/>
  </r>
  <r>
    <x v="0"/>
    <x v="0"/>
    <x v="0"/>
    <x v="2"/>
    <x v="3"/>
    <s v="FinA"/>
    <x v="5"/>
    <x v="134"/>
    <x v="0"/>
    <x v="2"/>
    <n v="18.328108672936299"/>
    <n v="6689.7596656217402"/>
    <n v="24083.134796238301"/>
  </r>
  <r>
    <x v="0"/>
    <x v="0"/>
    <x v="0"/>
    <x v="2"/>
    <x v="3"/>
    <s v="FinA"/>
    <x v="5"/>
    <x v="134"/>
    <x v="0"/>
    <x v="9"/>
    <n v="18.328108672936299"/>
    <n v="6689.7596656217402"/>
    <n v="24083.134796238301"/>
  </r>
  <r>
    <x v="0"/>
    <x v="0"/>
    <x v="0"/>
    <x v="2"/>
    <x v="3"/>
    <s v="FinA"/>
    <x v="5"/>
    <x v="134"/>
    <x v="0"/>
    <x v="10"/>
    <n v="18.328108672936299"/>
    <n v="6689.7596656217402"/>
    <n v="24083.134796238301"/>
  </r>
  <r>
    <x v="0"/>
    <x v="0"/>
    <x v="0"/>
    <x v="2"/>
    <x v="3"/>
    <s v="FinA"/>
    <x v="5"/>
    <x v="134"/>
    <x v="0"/>
    <x v="11"/>
    <n v="18.328108672936299"/>
    <n v="6689.7596656217402"/>
    <n v="24083.134796238301"/>
  </r>
  <r>
    <x v="0"/>
    <x v="0"/>
    <x v="0"/>
    <x v="2"/>
    <x v="3"/>
    <s v="FinA"/>
    <x v="5"/>
    <x v="134"/>
    <x v="0"/>
    <x v="12"/>
    <n v="18.328108672936299"/>
    <n v="6689.7596656217402"/>
    <n v="24083.134796238301"/>
  </r>
  <r>
    <x v="0"/>
    <x v="0"/>
    <x v="0"/>
    <x v="2"/>
    <x v="3"/>
    <s v="FinA"/>
    <x v="5"/>
    <x v="134"/>
    <x v="0"/>
    <x v="13"/>
    <n v="18.328108672936299"/>
    <n v="6689.7596656217402"/>
    <n v="24083.134796238301"/>
  </r>
  <r>
    <x v="0"/>
    <x v="0"/>
    <x v="0"/>
    <x v="2"/>
    <x v="3"/>
    <s v="FinA"/>
    <x v="5"/>
    <x v="134"/>
    <x v="0"/>
    <x v="14"/>
    <n v="18.328108672936299"/>
    <n v="6689.7596656217402"/>
    <n v="24083.134796238301"/>
  </r>
  <r>
    <x v="0"/>
    <x v="0"/>
    <x v="0"/>
    <x v="2"/>
    <x v="3"/>
    <s v="FinA"/>
    <x v="5"/>
    <x v="134"/>
    <x v="0"/>
    <x v="15"/>
    <n v="18.328108672936299"/>
    <n v="6689.7596656217402"/>
    <n v="24083.134796238301"/>
  </r>
  <r>
    <x v="0"/>
    <x v="0"/>
    <x v="0"/>
    <x v="2"/>
    <x v="3"/>
    <s v="FinA"/>
    <x v="5"/>
    <x v="134"/>
    <x v="0"/>
    <x v="16"/>
    <n v="18.328108672936299"/>
    <n v="6689.7596656217402"/>
    <n v="24083.134796238301"/>
  </r>
  <r>
    <x v="0"/>
    <x v="0"/>
    <x v="0"/>
    <x v="2"/>
    <x v="3"/>
    <s v="FinA"/>
    <x v="5"/>
    <x v="134"/>
    <x v="0"/>
    <x v="17"/>
    <n v="18.328108672936299"/>
    <n v="6689.7596656217402"/>
    <n v="24083.134796238301"/>
  </r>
  <r>
    <x v="0"/>
    <x v="0"/>
    <x v="0"/>
    <x v="2"/>
    <x v="3"/>
    <s v="FinA"/>
    <x v="5"/>
    <x v="134"/>
    <x v="0"/>
    <x v="18"/>
    <n v="18.328108672936299"/>
    <n v="6689.7596656217402"/>
    <n v="24083.134796238301"/>
  </r>
  <r>
    <x v="0"/>
    <x v="0"/>
    <x v="0"/>
    <x v="2"/>
    <x v="3"/>
    <s v="FinA"/>
    <x v="5"/>
    <x v="134"/>
    <x v="0"/>
    <x v="19"/>
    <n v="18.328108672936299"/>
    <n v="6689.7596656217402"/>
    <n v="24083.134796238301"/>
  </r>
  <r>
    <x v="0"/>
    <x v="0"/>
    <x v="0"/>
    <x v="2"/>
    <x v="3"/>
    <s v="FinA"/>
    <x v="5"/>
    <x v="134"/>
    <x v="0"/>
    <x v="20"/>
    <n v="18.328108672936299"/>
    <n v="6689.7596656217402"/>
    <n v="24083.134796238301"/>
  </r>
  <r>
    <x v="0"/>
    <x v="0"/>
    <x v="0"/>
    <x v="2"/>
    <x v="3"/>
    <s v="FinA"/>
    <x v="5"/>
    <x v="134"/>
    <x v="0"/>
    <x v="21"/>
    <n v="18.328108672936299"/>
    <n v="6689.7596656217402"/>
    <n v="24083.134796238301"/>
  </r>
  <r>
    <x v="0"/>
    <x v="0"/>
    <x v="0"/>
    <x v="2"/>
    <x v="3"/>
    <s v="FinA"/>
    <x v="5"/>
    <x v="134"/>
    <x v="0"/>
    <x v="22"/>
    <n v="18.328108672936299"/>
    <n v="6689.7596656217402"/>
    <n v="24083.134796238301"/>
  </r>
  <r>
    <x v="0"/>
    <x v="0"/>
    <x v="0"/>
    <x v="2"/>
    <x v="3"/>
    <s v="FinA"/>
    <x v="5"/>
    <x v="134"/>
    <x v="0"/>
    <x v="23"/>
    <n v="18.328108672936299"/>
    <n v="6689.7596656217402"/>
    <n v="24083.134796238301"/>
  </r>
  <r>
    <x v="0"/>
    <x v="0"/>
    <x v="0"/>
    <x v="3"/>
    <x v="4"/>
    <s v="DE4-E_A"/>
    <x v="11"/>
    <x v="135"/>
    <x v="0"/>
    <x v="0"/>
    <n v="5.7111111111111104"/>
    <n v="2084.5555555555602"/>
    <n v="7504.4"/>
  </r>
  <r>
    <x v="0"/>
    <x v="0"/>
    <x v="0"/>
    <x v="3"/>
    <x v="4"/>
    <s v="DE4-E_A"/>
    <x v="11"/>
    <x v="135"/>
    <x v="0"/>
    <x v="1"/>
    <n v="5.7111111111111104"/>
    <n v="2084.5555555555602"/>
    <n v="7504.4"/>
  </r>
  <r>
    <x v="0"/>
    <x v="0"/>
    <x v="0"/>
    <x v="3"/>
    <x v="4"/>
    <s v="DE4-E_A"/>
    <x v="11"/>
    <x v="135"/>
    <x v="0"/>
    <x v="2"/>
    <n v="5.7111111111111104"/>
    <n v="2084.5555555555602"/>
    <n v="7504.4"/>
  </r>
  <r>
    <x v="0"/>
    <x v="0"/>
    <x v="0"/>
    <x v="3"/>
    <x v="4"/>
    <s v="DE4-E_A"/>
    <x v="11"/>
    <x v="135"/>
    <x v="0"/>
    <x v="9"/>
    <n v="5.7111111111111104"/>
    <n v="2084.5555555555602"/>
    <n v="7504.4"/>
  </r>
  <r>
    <x v="0"/>
    <x v="0"/>
    <x v="0"/>
    <x v="3"/>
    <x v="4"/>
    <s v="DE4-E_A"/>
    <x v="11"/>
    <x v="135"/>
    <x v="0"/>
    <x v="10"/>
    <n v="5.7111111111111104"/>
    <n v="2084.5555555555602"/>
    <n v="7504.4"/>
  </r>
  <r>
    <x v="0"/>
    <x v="0"/>
    <x v="0"/>
    <x v="3"/>
    <x v="4"/>
    <s v="DE4-E_A"/>
    <x v="11"/>
    <x v="135"/>
    <x v="0"/>
    <x v="14"/>
    <n v="5.7111111111111104"/>
    <n v="2084.5555555555602"/>
    <n v="7504.4"/>
  </r>
  <r>
    <x v="0"/>
    <x v="0"/>
    <x v="0"/>
    <x v="3"/>
    <x v="4"/>
    <s v="DE4-E_A"/>
    <x v="11"/>
    <x v="135"/>
    <x v="0"/>
    <x v="15"/>
    <n v="5.7111111111111104"/>
    <n v="2084.5555555555602"/>
    <n v="7504.4"/>
  </r>
  <r>
    <x v="0"/>
    <x v="0"/>
    <x v="0"/>
    <x v="3"/>
    <x v="4"/>
    <s v="DE4-E_A"/>
    <x v="11"/>
    <x v="135"/>
    <x v="0"/>
    <x v="16"/>
    <n v="5.7111111111111104"/>
    <n v="2084.5555555555602"/>
    <n v="7504.4"/>
  </r>
  <r>
    <x v="0"/>
    <x v="0"/>
    <x v="0"/>
    <x v="3"/>
    <x v="4"/>
    <s v="DE4-E_A"/>
    <x v="11"/>
    <x v="135"/>
    <x v="0"/>
    <x v="17"/>
    <n v="5.7111111111111104"/>
    <n v="2084.5555555555602"/>
    <n v="7504.4"/>
  </r>
  <r>
    <x v="0"/>
    <x v="0"/>
    <x v="0"/>
    <x v="3"/>
    <x v="4"/>
    <s v="DE4-E_A"/>
    <x v="11"/>
    <x v="135"/>
    <x v="0"/>
    <x v="18"/>
    <n v="5.7111111111111104"/>
    <n v="2084.5555555555602"/>
    <n v="7504.4"/>
  </r>
  <r>
    <x v="0"/>
    <x v="0"/>
    <x v="0"/>
    <x v="3"/>
    <x v="4"/>
    <s v="DE4-E_A"/>
    <x v="11"/>
    <x v="135"/>
    <x v="0"/>
    <x v="19"/>
    <n v="5.7111111111111104"/>
    <n v="2084.5555555555602"/>
    <n v="7504.4"/>
  </r>
  <r>
    <x v="0"/>
    <x v="0"/>
    <x v="0"/>
    <x v="3"/>
    <x v="4"/>
    <s v="DE4-E_A"/>
    <x v="11"/>
    <x v="136"/>
    <x v="0"/>
    <x v="0"/>
    <n v="4153.6590909090901"/>
    <n v="1516085.56818182"/>
    <n v="5457908.0454545403"/>
  </r>
  <r>
    <x v="0"/>
    <x v="0"/>
    <x v="0"/>
    <x v="3"/>
    <x v="4"/>
    <s v="DE4-E_A"/>
    <x v="11"/>
    <x v="136"/>
    <x v="0"/>
    <x v="1"/>
    <n v="4153.6590909090901"/>
    <n v="1516085.56818182"/>
    <n v="5457908.0454545403"/>
  </r>
  <r>
    <x v="0"/>
    <x v="0"/>
    <x v="0"/>
    <x v="3"/>
    <x v="4"/>
    <s v="DE4-E_A"/>
    <x v="11"/>
    <x v="136"/>
    <x v="0"/>
    <x v="2"/>
    <n v="4153.6590909090901"/>
    <n v="1516085.56818182"/>
    <n v="5457908.0454545403"/>
  </r>
  <r>
    <x v="0"/>
    <x v="0"/>
    <x v="0"/>
    <x v="3"/>
    <x v="4"/>
    <s v="DE4-E_A"/>
    <x v="11"/>
    <x v="136"/>
    <x v="0"/>
    <x v="9"/>
    <n v="4153.6590909090901"/>
    <n v="1516085.56818182"/>
    <n v="5457908.0454545403"/>
  </r>
  <r>
    <x v="0"/>
    <x v="0"/>
    <x v="0"/>
    <x v="3"/>
    <x v="4"/>
    <s v="DE4-E_A"/>
    <x v="11"/>
    <x v="136"/>
    <x v="0"/>
    <x v="10"/>
    <n v="4153.6590909090901"/>
    <n v="1516085.56818182"/>
    <n v="5457908.0454545403"/>
  </r>
  <r>
    <x v="0"/>
    <x v="0"/>
    <x v="0"/>
    <x v="3"/>
    <x v="4"/>
    <s v="DE4-E_A"/>
    <x v="11"/>
    <x v="136"/>
    <x v="0"/>
    <x v="14"/>
    <n v="1429.89274626304"/>
    <n v="521910.85238601"/>
    <n v="1878879.0685896401"/>
  </r>
  <r>
    <x v="0"/>
    <x v="0"/>
    <x v="0"/>
    <x v="3"/>
    <x v="4"/>
    <s v="DE4-E_A"/>
    <x v="11"/>
    <x v="136"/>
    <x v="0"/>
    <x v="15"/>
    <n v="4153.6590909090901"/>
    <n v="1516085.56818182"/>
    <n v="5457908.0454545403"/>
  </r>
  <r>
    <x v="0"/>
    <x v="0"/>
    <x v="0"/>
    <x v="3"/>
    <x v="4"/>
    <s v="DE4-E_A"/>
    <x v="11"/>
    <x v="136"/>
    <x v="0"/>
    <x v="16"/>
    <n v="4153.6590909090901"/>
    <n v="1516085.56818182"/>
    <n v="5457908.0454545403"/>
  </r>
  <r>
    <x v="0"/>
    <x v="0"/>
    <x v="0"/>
    <x v="3"/>
    <x v="4"/>
    <s v="DE4-E_A"/>
    <x v="11"/>
    <x v="136"/>
    <x v="0"/>
    <x v="17"/>
    <n v="4153.6590909090901"/>
    <n v="1516085.56818182"/>
    <n v="5457908.0454545403"/>
  </r>
  <r>
    <x v="0"/>
    <x v="0"/>
    <x v="0"/>
    <x v="3"/>
    <x v="4"/>
    <s v="DE4-E_A"/>
    <x v="11"/>
    <x v="136"/>
    <x v="0"/>
    <x v="18"/>
    <n v="4153.6590909090901"/>
    <n v="1516085.56818182"/>
    <n v="5457908.0454545403"/>
  </r>
  <r>
    <x v="0"/>
    <x v="0"/>
    <x v="0"/>
    <x v="3"/>
    <x v="4"/>
    <s v="DE4-E_A"/>
    <x v="11"/>
    <x v="136"/>
    <x v="0"/>
    <x v="19"/>
    <n v="4153.6590909090901"/>
    <n v="1516085.56818182"/>
    <n v="5457908.0454545403"/>
  </r>
  <r>
    <x v="0"/>
    <x v="0"/>
    <x v="0"/>
    <x v="3"/>
    <x v="4"/>
    <s v="DE4-E_A"/>
    <x v="11"/>
    <x v="137"/>
    <x v="0"/>
    <x v="0"/>
    <n v="606.31578947368405"/>
    <n v="221305.26315789501"/>
    <n v="796698.94736842101"/>
  </r>
  <r>
    <x v="0"/>
    <x v="0"/>
    <x v="0"/>
    <x v="3"/>
    <x v="4"/>
    <s v="DE4-E_A"/>
    <x v="11"/>
    <x v="137"/>
    <x v="0"/>
    <x v="1"/>
    <n v="606.31578947368405"/>
    <n v="221305.26315789501"/>
    <n v="796698.94736842101"/>
  </r>
  <r>
    <x v="0"/>
    <x v="0"/>
    <x v="0"/>
    <x v="3"/>
    <x v="4"/>
    <s v="DE4-E_A"/>
    <x v="11"/>
    <x v="137"/>
    <x v="0"/>
    <x v="2"/>
    <n v="606.31578947368405"/>
    <n v="221305.26315789501"/>
    <n v="796698.94736842101"/>
  </r>
  <r>
    <x v="0"/>
    <x v="0"/>
    <x v="0"/>
    <x v="3"/>
    <x v="4"/>
    <s v="DE4-E_A"/>
    <x v="11"/>
    <x v="137"/>
    <x v="0"/>
    <x v="9"/>
    <n v="606.31578947368405"/>
    <n v="221305.26315789501"/>
    <n v="796698.94736842101"/>
  </r>
  <r>
    <x v="0"/>
    <x v="0"/>
    <x v="0"/>
    <x v="3"/>
    <x v="4"/>
    <s v="DE4-E_A"/>
    <x v="11"/>
    <x v="137"/>
    <x v="0"/>
    <x v="10"/>
    <n v="606.31578947368405"/>
    <n v="221305.26315789501"/>
    <n v="796698.94736842101"/>
  </r>
  <r>
    <x v="0"/>
    <x v="0"/>
    <x v="0"/>
    <x v="3"/>
    <x v="4"/>
    <s v="DE4-E_A"/>
    <x v="11"/>
    <x v="137"/>
    <x v="0"/>
    <x v="14"/>
    <n v="606.31578947368405"/>
    <n v="221305.26315789501"/>
    <n v="796698.94736842101"/>
  </r>
  <r>
    <x v="0"/>
    <x v="0"/>
    <x v="0"/>
    <x v="3"/>
    <x v="4"/>
    <s v="DE4-E_A"/>
    <x v="11"/>
    <x v="137"/>
    <x v="0"/>
    <x v="15"/>
    <n v="606.31578947368405"/>
    <n v="221305.26315789501"/>
    <n v="796698.94736842101"/>
  </r>
  <r>
    <x v="0"/>
    <x v="0"/>
    <x v="0"/>
    <x v="3"/>
    <x v="4"/>
    <s v="DE4-E_A"/>
    <x v="11"/>
    <x v="137"/>
    <x v="0"/>
    <x v="16"/>
    <n v="606.31578947368405"/>
    <n v="221305.26315789501"/>
    <n v="796698.94736842101"/>
  </r>
  <r>
    <x v="0"/>
    <x v="0"/>
    <x v="0"/>
    <x v="3"/>
    <x v="4"/>
    <s v="DE4-E_A"/>
    <x v="11"/>
    <x v="137"/>
    <x v="0"/>
    <x v="17"/>
    <n v="606.31578947368405"/>
    <n v="221305.26315789501"/>
    <n v="796698.94736842101"/>
  </r>
  <r>
    <x v="0"/>
    <x v="0"/>
    <x v="0"/>
    <x v="3"/>
    <x v="4"/>
    <s v="DE4-E_A"/>
    <x v="11"/>
    <x v="137"/>
    <x v="0"/>
    <x v="18"/>
    <n v="606.31578947368405"/>
    <n v="221305.26315789501"/>
    <n v="796698.94736842101"/>
  </r>
  <r>
    <x v="0"/>
    <x v="0"/>
    <x v="0"/>
    <x v="3"/>
    <x v="4"/>
    <s v="DE4-E_A"/>
    <x v="11"/>
    <x v="137"/>
    <x v="0"/>
    <x v="19"/>
    <n v="606.31578947368405"/>
    <n v="221305.26315789501"/>
    <n v="796698.94736842101"/>
  </r>
  <r>
    <x v="0"/>
    <x v="0"/>
    <x v="0"/>
    <x v="3"/>
    <x v="4"/>
    <s v="DE4-E_A"/>
    <x v="11"/>
    <x v="138"/>
    <x v="0"/>
    <x v="1"/>
    <n v="194.210526315789"/>
    <n v="70886.842105263204"/>
    <n v="255192.63157894701"/>
  </r>
  <r>
    <x v="0"/>
    <x v="0"/>
    <x v="0"/>
    <x v="3"/>
    <x v="4"/>
    <s v="DE4-E_A"/>
    <x v="11"/>
    <x v="138"/>
    <x v="0"/>
    <x v="2"/>
    <n v="194.210526315789"/>
    <n v="70886.842105263204"/>
    <n v="255192.63157894701"/>
  </r>
  <r>
    <x v="0"/>
    <x v="0"/>
    <x v="0"/>
    <x v="3"/>
    <x v="4"/>
    <s v="DE4-E_A"/>
    <x v="11"/>
    <x v="138"/>
    <x v="0"/>
    <x v="9"/>
    <n v="194.210526315789"/>
    <n v="70886.842105263204"/>
    <n v="255192.63157894701"/>
  </r>
  <r>
    <x v="0"/>
    <x v="0"/>
    <x v="0"/>
    <x v="3"/>
    <x v="4"/>
    <s v="DE4-E_A"/>
    <x v="19"/>
    <x v="139"/>
    <x v="0"/>
    <x v="1"/>
    <n v="0.293333333333333"/>
    <n v="107.066666666667"/>
    <n v="385.44"/>
  </r>
  <r>
    <x v="0"/>
    <x v="0"/>
    <x v="0"/>
    <x v="3"/>
    <x v="4"/>
    <s v="DE4-E_A"/>
    <x v="19"/>
    <x v="139"/>
    <x v="0"/>
    <x v="2"/>
    <n v="0.293333333333333"/>
    <n v="107.066666666667"/>
    <n v="385.44"/>
  </r>
  <r>
    <x v="0"/>
    <x v="0"/>
    <x v="0"/>
    <x v="3"/>
    <x v="4"/>
    <s v="DE4-E_A"/>
    <x v="19"/>
    <x v="139"/>
    <x v="0"/>
    <x v="9"/>
    <n v="0.293333333333333"/>
    <n v="107.066666666667"/>
    <n v="385.44"/>
  </r>
  <r>
    <x v="0"/>
    <x v="0"/>
    <x v="0"/>
    <x v="3"/>
    <x v="4"/>
    <s v="DE4-E_A"/>
    <x v="19"/>
    <x v="139"/>
    <x v="0"/>
    <x v="16"/>
    <n v="0.293333333333333"/>
    <n v="107.066666666667"/>
    <n v="385.44"/>
  </r>
  <r>
    <x v="0"/>
    <x v="0"/>
    <x v="0"/>
    <x v="3"/>
    <x v="4"/>
    <s v="DE4-E_A"/>
    <x v="19"/>
    <x v="140"/>
    <x v="0"/>
    <x v="3"/>
    <n v="2174.6294916740198"/>
    <n v="793739.76446101605"/>
    <n v="2857463.1520596598"/>
  </r>
  <r>
    <x v="0"/>
    <x v="0"/>
    <x v="0"/>
    <x v="3"/>
    <x v="4"/>
    <s v="DE4-E_A"/>
    <x v="19"/>
    <x v="140"/>
    <x v="0"/>
    <x v="1"/>
    <n v="1980.66494856944"/>
    <n v="722942.706227844"/>
    <n v="2602593.7424202398"/>
  </r>
  <r>
    <x v="0"/>
    <x v="0"/>
    <x v="0"/>
    <x v="3"/>
    <x v="4"/>
    <s v="DE4-E_A"/>
    <x v="19"/>
    <x v="140"/>
    <x v="0"/>
    <x v="2"/>
    <n v="771.77340759494803"/>
    <n v="281697.293772156"/>
    <n v="1014110.25757976"/>
  </r>
  <r>
    <x v="0"/>
    <x v="0"/>
    <x v="0"/>
    <x v="3"/>
    <x v="4"/>
    <s v="DE4-E_A"/>
    <x v="19"/>
    <x v="140"/>
    <x v="0"/>
    <x v="16"/>
    <n v="443.58833326942897"/>
    <n v="161909.74164334199"/>
    <n v="582875.06991603004"/>
  </r>
  <r>
    <x v="0"/>
    <x v="0"/>
    <x v="0"/>
    <x v="3"/>
    <x v="4"/>
    <s v="DE4-E_A"/>
    <x v="19"/>
    <x v="140"/>
    <x v="0"/>
    <x v="17"/>
    <n v="2308.8500228949501"/>
    <n v="842730.25835665804"/>
    <n v="3033828.9300839701"/>
  </r>
  <r>
    <x v="0"/>
    <x v="0"/>
    <x v="0"/>
    <x v="3"/>
    <x v="4"/>
    <s v="DE4-E_A"/>
    <x v="19"/>
    <x v="141"/>
    <x v="0"/>
    <x v="0"/>
    <n v="2820.0910248345599"/>
    <n v="1029333.22406461"/>
    <n v="3705599.6066326099"/>
  </r>
  <r>
    <x v="0"/>
    <x v="0"/>
    <x v="0"/>
    <x v="3"/>
    <x v="4"/>
    <s v="DE4-E_A"/>
    <x v="19"/>
    <x v="141"/>
    <x v="0"/>
    <x v="1"/>
    <n v="2900.3027521023"/>
    <n v="1058610.5045173401"/>
    <n v="3810997.8162624198"/>
  </r>
  <r>
    <x v="0"/>
    <x v="0"/>
    <x v="0"/>
    <x v="3"/>
    <x v="4"/>
    <s v="DE4-E_A"/>
    <x v="19"/>
    <x v="141"/>
    <x v="0"/>
    <x v="2"/>
    <n v="2900.3027521023"/>
    <n v="1058610.5045173401"/>
    <n v="3810997.8162624198"/>
  </r>
  <r>
    <x v="0"/>
    <x v="0"/>
    <x v="0"/>
    <x v="3"/>
    <x v="4"/>
    <s v="DE4-E_A"/>
    <x v="19"/>
    <x v="141"/>
    <x v="0"/>
    <x v="9"/>
    <n v="2900.3027521023"/>
    <n v="1058610.5045173401"/>
    <n v="3810997.8162624198"/>
  </r>
  <r>
    <x v="0"/>
    <x v="0"/>
    <x v="0"/>
    <x v="3"/>
    <x v="4"/>
    <s v="DE4-E_A"/>
    <x v="19"/>
    <x v="141"/>
    <x v="0"/>
    <x v="16"/>
    <n v="2446.84495948829"/>
    <n v="893098.41021322703"/>
    <n v="3215154.2767676199"/>
  </r>
  <r>
    <x v="0"/>
    <x v="0"/>
    <x v="0"/>
    <x v="3"/>
    <x v="4"/>
    <s v="DE4-E_A"/>
    <x v="1"/>
    <x v="142"/>
    <x v="0"/>
    <x v="8"/>
    <n v="663.63130175106096"/>
    <n v="242225.42513913699"/>
    <n v="872011.53050089395"/>
  </r>
  <r>
    <x v="0"/>
    <x v="0"/>
    <x v="0"/>
    <x v="3"/>
    <x v="4"/>
    <s v="DE4-E_A"/>
    <x v="1"/>
    <x v="142"/>
    <x v="0"/>
    <x v="0"/>
    <n v="966.36363636363899"/>
    <n v="352722.72727272799"/>
    <n v="1269801.81818182"/>
  </r>
  <r>
    <x v="0"/>
    <x v="0"/>
    <x v="0"/>
    <x v="3"/>
    <x v="4"/>
    <s v="DE4-E_A"/>
    <x v="1"/>
    <x v="142"/>
    <x v="0"/>
    <x v="1"/>
    <n v="966.36363636363899"/>
    <n v="352722.72727272799"/>
    <n v="1269801.81818182"/>
  </r>
  <r>
    <x v="0"/>
    <x v="0"/>
    <x v="0"/>
    <x v="3"/>
    <x v="4"/>
    <s v="DE4-E_A"/>
    <x v="1"/>
    <x v="142"/>
    <x v="0"/>
    <x v="2"/>
    <n v="966.36363636363899"/>
    <n v="352722.72727272799"/>
    <n v="1269801.81818182"/>
  </r>
  <r>
    <x v="0"/>
    <x v="0"/>
    <x v="0"/>
    <x v="3"/>
    <x v="4"/>
    <s v="DE4-E_A"/>
    <x v="1"/>
    <x v="142"/>
    <x v="0"/>
    <x v="9"/>
    <n v="966.36363636363899"/>
    <n v="352722.72727272799"/>
    <n v="1269801.81818182"/>
  </r>
  <r>
    <x v="0"/>
    <x v="0"/>
    <x v="0"/>
    <x v="3"/>
    <x v="4"/>
    <s v="DE4-E_A"/>
    <x v="1"/>
    <x v="142"/>
    <x v="0"/>
    <x v="10"/>
    <n v="966.36363636363899"/>
    <n v="352722.72727272799"/>
    <n v="1269801.81818182"/>
  </r>
  <r>
    <x v="0"/>
    <x v="0"/>
    <x v="0"/>
    <x v="3"/>
    <x v="4"/>
    <s v="DE4-E_A"/>
    <x v="1"/>
    <x v="142"/>
    <x v="0"/>
    <x v="11"/>
    <n v="966.36363636363899"/>
    <n v="352722.72727272799"/>
    <n v="1269801.81818182"/>
  </r>
  <r>
    <x v="0"/>
    <x v="0"/>
    <x v="0"/>
    <x v="3"/>
    <x v="4"/>
    <s v="DE4-E_A"/>
    <x v="1"/>
    <x v="142"/>
    <x v="0"/>
    <x v="12"/>
    <n v="966.36363636363899"/>
    <n v="352722.72727272799"/>
    <n v="1269801.81818182"/>
  </r>
  <r>
    <x v="0"/>
    <x v="0"/>
    <x v="0"/>
    <x v="3"/>
    <x v="4"/>
    <s v="DE4-E_A"/>
    <x v="1"/>
    <x v="142"/>
    <x v="0"/>
    <x v="13"/>
    <n v="966.36363636363899"/>
    <n v="352722.72727272799"/>
    <n v="1269801.81818182"/>
  </r>
  <r>
    <x v="0"/>
    <x v="0"/>
    <x v="0"/>
    <x v="3"/>
    <x v="4"/>
    <s v="DE4-E_A"/>
    <x v="1"/>
    <x v="142"/>
    <x v="0"/>
    <x v="14"/>
    <n v="966.36363636363899"/>
    <n v="352722.72727272799"/>
    <n v="1269801.81818182"/>
  </r>
  <r>
    <x v="0"/>
    <x v="0"/>
    <x v="0"/>
    <x v="3"/>
    <x v="4"/>
    <s v="DE4-E_A"/>
    <x v="1"/>
    <x v="142"/>
    <x v="0"/>
    <x v="15"/>
    <n v="966.36363636363899"/>
    <n v="352722.72727272799"/>
    <n v="1269801.81818182"/>
  </r>
  <r>
    <x v="0"/>
    <x v="0"/>
    <x v="0"/>
    <x v="3"/>
    <x v="4"/>
    <s v="DE4-E_A"/>
    <x v="1"/>
    <x v="142"/>
    <x v="0"/>
    <x v="16"/>
    <n v="966.36363636363899"/>
    <n v="352722.72727272799"/>
    <n v="1269801.81818182"/>
  </r>
  <r>
    <x v="0"/>
    <x v="0"/>
    <x v="0"/>
    <x v="3"/>
    <x v="4"/>
    <s v="DE4-E_A"/>
    <x v="1"/>
    <x v="142"/>
    <x v="0"/>
    <x v="17"/>
    <n v="966.36363636363899"/>
    <n v="352722.72727272799"/>
    <n v="1269801.81818182"/>
  </r>
  <r>
    <x v="0"/>
    <x v="0"/>
    <x v="0"/>
    <x v="3"/>
    <x v="4"/>
    <s v="DE4-E_A"/>
    <x v="1"/>
    <x v="142"/>
    <x v="0"/>
    <x v="18"/>
    <n v="966.36363636363899"/>
    <n v="352722.72727272799"/>
    <n v="1269801.81818182"/>
  </r>
  <r>
    <x v="0"/>
    <x v="0"/>
    <x v="0"/>
    <x v="3"/>
    <x v="4"/>
    <s v="DE4-E_A"/>
    <x v="1"/>
    <x v="142"/>
    <x v="0"/>
    <x v="19"/>
    <n v="966.36363636363899"/>
    <n v="352722.72727272799"/>
    <n v="1269801.81818182"/>
  </r>
  <r>
    <x v="0"/>
    <x v="0"/>
    <x v="0"/>
    <x v="3"/>
    <x v="4"/>
    <s v="DE4-E_A"/>
    <x v="1"/>
    <x v="142"/>
    <x v="0"/>
    <x v="20"/>
    <n v="966.36363636363899"/>
    <n v="352722.72727272799"/>
    <n v="1269801.81818182"/>
  </r>
  <r>
    <x v="0"/>
    <x v="0"/>
    <x v="0"/>
    <x v="3"/>
    <x v="4"/>
    <s v="DE4-E_A"/>
    <x v="1"/>
    <x v="142"/>
    <x v="0"/>
    <x v="21"/>
    <n v="302.975393706815"/>
    <n v="110586.018702987"/>
    <n v="398109.66733075399"/>
  </r>
  <r>
    <x v="0"/>
    <x v="0"/>
    <x v="0"/>
    <x v="3"/>
    <x v="4"/>
    <s v="DE4-E_A"/>
    <x v="1"/>
    <x v="142"/>
    <x v="0"/>
    <x v="22"/>
    <n v="35.4243072905345"/>
    <n v="12929.872161045099"/>
    <n v="46547.539779762301"/>
  </r>
  <r>
    <x v="0"/>
    <x v="0"/>
    <x v="0"/>
    <x v="3"/>
    <x v="4"/>
    <s v="DE4-E_A"/>
    <x v="1"/>
    <x v="143"/>
    <x v="0"/>
    <x v="3"/>
    <n v="197.272727272727"/>
    <n v="72004.545454545398"/>
    <n v="259216.363636364"/>
  </r>
  <r>
    <x v="0"/>
    <x v="0"/>
    <x v="0"/>
    <x v="3"/>
    <x v="4"/>
    <s v="DE4-E_A"/>
    <x v="1"/>
    <x v="143"/>
    <x v="0"/>
    <x v="4"/>
    <n v="197.272727272727"/>
    <n v="72004.545454545398"/>
    <n v="259216.363636364"/>
  </r>
  <r>
    <x v="0"/>
    <x v="0"/>
    <x v="0"/>
    <x v="3"/>
    <x v="4"/>
    <s v="DE4-E_A"/>
    <x v="1"/>
    <x v="143"/>
    <x v="0"/>
    <x v="5"/>
    <n v="197.272727272727"/>
    <n v="72004.545454545398"/>
    <n v="259216.363636364"/>
  </r>
  <r>
    <x v="0"/>
    <x v="0"/>
    <x v="0"/>
    <x v="3"/>
    <x v="4"/>
    <s v="DE4-E_A"/>
    <x v="1"/>
    <x v="143"/>
    <x v="0"/>
    <x v="6"/>
    <n v="197.272727272727"/>
    <n v="72004.545454545398"/>
    <n v="259216.363636364"/>
  </r>
  <r>
    <x v="0"/>
    <x v="0"/>
    <x v="0"/>
    <x v="3"/>
    <x v="4"/>
    <s v="DE4-E_A"/>
    <x v="1"/>
    <x v="143"/>
    <x v="0"/>
    <x v="7"/>
    <n v="197.272727272727"/>
    <n v="72004.545454545398"/>
    <n v="259216.363636364"/>
  </r>
  <r>
    <x v="0"/>
    <x v="0"/>
    <x v="0"/>
    <x v="3"/>
    <x v="4"/>
    <s v="DE4-E_A"/>
    <x v="1"/>
    <x v="143"/>
    <x v="0"/>
    <x v="8"/>
    <n v="197.272727272727"/>
    <n v="72004.545454545398"/>
    <n v="259216.363636364"/>
  </r>
  <r>
    <x v="0"/>
    <x v="0"/>
    <x v="0"/>
    <x v="3"/>
    <x v="4"/>
    <s v="DE4-E_A"/>
    <x v="1"/>
    <x v="143"/>
    <x v="0"/>
    <x v="0"/>
    <n v="197.272727272727"/>
    <n v="72004.545454545398"/>
    <n v="259216.363636364"/>
  </r>
  <r>
    <x v="0"/>
    <x v="0"/>
    <x v="0"/>
    <x v="3"/>
    <x v="4"/>
    <s v="DE4-E_A"/>
    <x v="1"/>
    <x v="143"/>
    <x v="0"/>
    <x v="1"/>
    <n v="197.272727272727"/>
    <n v="72004.545454545398"/>
    <n v="259216.363636364"/>
  </r>
  <r>
    <x v="0"/>
    <x v="0"/>
    <x v="0"/>
    <x v="3"/>
    <x v="4"/>
    <s v="DE4-E_A"/>
    <x v="1"/>
    <x v="143"/>
    <x v="0"/>
    <x v="2"/>
    <n v="197.272727272727"/>
    <n v="72004.545454545398"/>
    <n v="259216.363636364"/>
  </r>
  <r>
    <x v="0"/>
    <x v="0"/>
    <x v="0"/>
    <x v="3"/>
    <x v="4"/>
    <s v="DE4-E_A"/>
    <x v="1"/>
    <x v="143"/>
    <x v="0"/>
    <x v="9"/>
    <n v="197.272727272727"/>
    <n v="72004.545454545398"/>
    <n v="259216.363636364"/>
  </r>
  <r>
    <x v="0"/>
    <x v="0"/>
    <x v="0"/>
    <x v="3"/>
    <x v="4"/>
    <s v="DE4-E_A"/>
    <x v="1"/>
    <x v="143"/>
    <x v="0"/>
    <x v="10"/>
    <n v="197.272727272727"/>
    <n v="72004.545454545398"/>
    <n v="259216.363636364"/>
  </r>
  <r>
    <x v="0"/>
    <x v="0"/>
    <x v="0"/>
    <x v="3"/>
    <x v="4"/>
    <s v="DE4-E_A"/>
    <x v="1"/>
    <x v="143"/>
    <x v="0"/>
    <x v="11"/>
    <n v="197.272727272727"/>
    <n v="72004.545454545398"/>
    <n v="259216.363636364"/>
  </r>
  <r>
    <x v="0"/>
    <x v="0"/>
    <x v="0"/>
    <x v="3"/>
    <x v="4"/>
    <s v="DE4-E_A"/>
    <x v="1"/>
    <x v="143"/>
    <x v="0"/>
    <x v="12"/>
    <n v="197.272727272727"/>
    <n v="72004.545454545398"/>
    <n v="259216.363636364"/>
  </r>
  <r>
    <x v="0"/>
    <x v="0"/>
    <x v="0"/>
    <x v="3"/>
    <x v="4"/>
    <s v="DE4-E_A"/>
    <x v="1"/>
    <x v="143"/>
    <x v="0"/>
    <x v="13"/>
    <n v="197.272727272727"/>
    <n v="72004.545454545398"/>
    <n v="259216.363636364"/>
  </r>
  <r>
    <x v="0"/>
    <x v="0"/>
    <x v="0"/>
    <x v="3"/>
    <x v="4"/>
    <s v="DE4-E_A"/>
    <x v="1"/>
    <x v="143"/>
    <x v="0"/>
    <x v="14"/>
    <n v="197.272727272727"/>
    <n v="72004.545454545398"/>
    <n v="259216.363636364"/>
  </r>
  <r>
    <x v="0"/>
    <x v="0"/>
    <x v="0"/>
    <x v="3"/>
    <x v="4"/>
    <s v="DE4-E_A"/>
    <x v="1"/>
    <x v="143"/>
    <x v="0"/>
    <x v="15"/>
    <n v="197.272727272727"/>
    <n v="72004.545454545398"/>
    <n v="259216.363636364"/>
  </r>
  <r>
    <x v="0"/>
    <x v="0"/>
    <x v="0"/>
    <x v="3"/>
    <x v="4"/>
    <s v="DE4-E_A"/>
    <x v="1"/>
    <x v="143"/>
    <x v="0"/>
    <x v="16"/>
    <n v="197.272727272727"/>
    <n v="72004.545454545398"/>
    <n v="259216.363636364"/>
  </r>
  <r>
    <x v="0"/>
    <x v="0"/>
    <x v="0"/>
    <x v="3"/>
    <x v="4"/>
    <s v="DE4-E_A"/>
    <x v="1"/>
    <x v="143"/>
    <x v="0"/>
    <x v="17"/>
    <n v="197.272727272727"/>
    <n v="72004.545454545398"/>
    <n v="259216.363636364"/>
  </r>
  <r>
    <x v="0"/>
    <x v="0"/>
    <x v="0"/>
    <x v="3"/>
    <x v="4"/>
    <s v="DE4-E_A"/>
    <x v="1"/>
    <x v="143"/>
    <x v="0"/>
    <x v="18"/>
    <n v="197.272727272727"/>
    <n v="72004.545454545398"/>
    <n v="259216.363636364"/>
  </r>
  <r>
    <x v="0"/>
    <x v="0"/>
    <x v="0"/>
    <x v="3"/>
    <x v="4"/>
    <s v="DE4-E_A"/>
    <x v="1"/>
    <x v="143"/>
    <x v="0"/>
    <x v="19"/>
    <n v="197.272727272727"/>
    <n v="72004.545454545398"/>
    <n v="259216.363636364"/>
  </r>
  <r>
    <x v="0"/>
    <x v="0"/>
    <x v="0"/>
    <x v="3"/>
    <x v="4"/>
    <s v="DE4-E_A"/>
    <x v="1"/>
    <x v="143"/>
    <x v="0"/>
    <x v="20"/>
    <n v="197.272727272727"/>
    <n v="72004.545454545398"/>
    <n v="259216.363636364"/>
  </r>
  <r>
    <x v="0"/>
    <x v="0"/>
    <x v="0"/>
    <x v="3"/>
    <x v="4"/>
    <s v="DE4-E_A"/>
    <x v="1"/>
    <x v="143"/>
    <x v="0"/>
    <x v="21"/>
    <n v="197.272727272727"/>
    <n v="72004.545454545398"/>
    <n v="259216.363636364"/>
  </r>
  <r>
    <x v="0"/>
    <x v="0"/>
    <x v="0"/>
    <x v="3"/>
    <x v="4"/>
    <s v="DE4-E_A"/>
    <x v="1"/>
    <x v="143"/>
    <x v="0"/>
    <x v="22"/>
    <n v="197.272727272727"/>
    <n v="72004.545454545398"/>
    <n v="259216.363636364"/>
  </r>
  <r>
    <x v="0"/>
    <x v="0"/>
    <x v="0"/>
    <x v="3"/>
    <x v="4"/>
    <s v="DE4-E_A"/>
    <x v="1"/>
    <x v="143"/>
    <x v="0"/>
    <x v="23"/>
    <n v="197.272727272727"/>
    <n v="72004.545454545398"/>
    <n v="259216.363636364"/>
  </r>
  <r>
    <x v="0"/>
    <x v="0"/>
    <x v="0"/>
    <x v="3"/>
    <x v="4"/>
    <s v="DE4-E_A"/>
    <x v="2"/>
    <x v="144"/>
    <x v="0"/>
    <x v="3"/>
    <n v="3773.39622641509"/>
    <n v="1377289.6226415101"/>
    <n v="4958242.6415094296"/>
  </r>
  <r>
    <x v="0"/>
    <x v="0"/>
    <x v="0"/>
    <x v="3"/>
    <x v="4"/>
    <s v="DE4-E_A"/>
    <x v="2"/>
    <x v="144"/>
    <x v="0"/>
    <x v="4"/>
    <n v="3773.39622641509"/>
    <n v="1377289.6226415101"/>
    <n v="4958242.6415094296"/>
  </r>
  <r>
    <x v="0"/>
    <x v="0"/>
    <x v="0"/>
    <x v="3"/>
    <x v="4"/>
    <s v="DE4-E_A"/>
    <x v="2"/>
    <x v="144"/>
    <x v="0"/>
    <x v="5"/>
    <n v="3773.39622641509"/>
    <n v="1377289.6226415101"/>
    <n v="4958242.6415094296"/>
  </r>
  <r>
    <x v="0"/>
    <x v="0"/>
    <x v="0"/>
    <x v="3"/>
    <x v="4"/>
    <s v="DE4-E_A"/>
    <x v="2"/>
    <x v="144"/>
    <x v="0"/>
    <x v="6"/>
    <n v="3773.39622641509"/>
    <n v="1377289.6226415101"/>
    <n v="4958242.6415094296"/>
  </r>
  <r>
    <x v="0"/>
    <x v="0"/>
    <x v="0"/>
    <x v="3"/>
    <x v="4"/>
    <s v="DE4-E_A"/>
    <x v="2"/>
    <x v="144"/>
    <x v="0"/>
    <x v="7"/>
    <n v="3773.39622641509"/>
    <n v="1377289.6226415101"/>
    <n v="4958242.6415094296"/>
  </r>
  <r>
    <x v="0"/>
    <x v="0"/>
    <x v="0"/>
    <x v="3"/>
    <x v="4"/>
    <s v="DE4-E_A"/>
    <x v="2"/>
    <x v="144"/>
    <x v="0"/>
    <x v="8"/>
    <n v="3773.39622641509"/>
    <n v="1377289.6226415101"/>
    <n v="4958242.6415094296"/>
  </r>
  <r>
    <x v="0"/>
    <x v="0"/>
    <x v="0"/>
    <x v="3"/>
    <x v="4"/>
    <s v="DE4-E_A"/>
    <x v="2"/>
    <x v="144"/>
    <x v="0"/>
    <x v="0"/>
    <n v="3773.39622641509"/>
    <n v="1377289.6226415101"/>
    <n v="4958242.6415094296"/>
  </r>
  <r>
    <x v="0"/>
    <x v="0"/>
    <x v="0"/>
    <x v="3"/>
    <x v="4"/>
    <s v="DE4-E_A"/>
    <x v="2"/>
    <x v="144"/>
    <x v="0"/>
    <x v="1"/>
    <n v="3773.39622641509"/>
    <n v="1377289.6226415101"/>
    <n v="4958242.6415094296"/>
  </r>
  <r>
    <x v="0"/>
    <x v="0"/>
    <x v="0"/>
    <x v="3"/>
    <x v="4"/>
    <s v="DE4-E_A"/>
    <x v="2"/>
    <x v="144"/>
    <x v="0"/>
    <x v="2"/>
    <n v="3773.39622641509"/>
    <n v="1377289.6226415101"/>
    <n v="4958242.6415094296"/>
  </r>
  <r>
    <x v="0"/>
    <x v="0"/>
    <x v="0"/>
    <x v="3"/>
    <x v="4"/>
    <s v="DE4-E_A"/>
    <x v="2"/>
    <x v="144"/>
    <x v="0"/>
    <x v="9"/>
    <n v="3773.39622641509"/>
    <n v="1377289.6226415101"/>
    <n v="4958242.6415094296"/>
  </r>
  <r>
    <x v="0"/>
    <x v="0"/>
    <x v="0"/>
    <x v="3"/>
    <x v="4"/>
    <s v="DE4-E_A"/>
    <x v="2"/>
    <x v="144"/>
    <x v="0"/>
    <x v="10"/>
    <n v="3773.39622641509"/>
    <n v="1377289.6226415101"/>
    <n v="4958242.6415094296"/>
  </r>
  <r>
    <x v="0"/>
    <x v="0"/>
    <x v="0"/>
    <x v="3"/>
    <x v="4"/>
    <s v="DE4-E_A"/>
    <x v="2"/>
    <x v="144"/>
    <x v="0"/>
    <x v="11"/>
    <n v="3773.39622641509"/>
    <n v="1377289.6226415101"/>
    <n v="4958242.6415094296"/>
  </r>
  <r>
    <x v="0"/>
    <x v="0"/>
    <x v="0"/>
    <x v="3"/>
    <x v="4"/>
    <s v="DE4-E_A"/>
    <x v="2"/>
    <x v="144"/>
    <x v="0"/>
    <x v="12"/>
    <n v="3773.39622641509"/>
    <n v="1377289.6226415101"/>
    <n v="4958242.6415094296"/>
  </r>
  <r>
    <x v="0"/>
    <x v="0"/>
    <x v="0"/>
    <x v="3"/>
    <x v="4"/>
    <s v="DE4-E_A"/>
    <x v="2"/>
    <x v="144"/>
    <x v="0"/>
    <x v="13"/>
    <n v="3773.39622641509"/>
    <n v="1377289.6226415101"/>
    <n v="4958242.6415094296"/>
  </r>
  <r>
    <x v="0"/>
    <x v="0"/>
    <x v="0"/>
    <x v="3"/>
    <x v="4"/>
    <s v="DE4-E_A"/>
    <x v="2"/>
    <x v="144"/>
    <x v="0"/>
    <x v="14"/>
    <n v="3773.39622641509"/>
    <n v="1377289.6226415101"/>
    <n v="4958242.6415094296"/>
  </r>
  <r>
    <x v="0"/>
    <x v="0"/>
    <x v="0"/>
    <x v="3"/>
    <x v="4"/>
    <s v="DE4-E_A"/>
    <x v="2"/>
    <x v="144"/>
    <x v="0"/>
    <x v="15"/>
    <n v="3773.39622641509"/>
    <n v="1377289.6226415101"/>
    <n v="4958242.6415094296"/>
  </r>
  <r>
    <x v="0"/>
    <x v="0"/>
    <x v="0"/>
    <x v="3"/>
    <x v="4"/>
    <s v="DE4-E_A"/>
    <x v="2"/>
    <x v="144"/>
    <x v="0"/>
    <x v="16"/>
    <n v="3773.39622641509"/>
    <n v="1377289.6226415101"/>
    <n v="4958242.6415094296"/>
  </r>
  <r>
    <x v="0"/>
    <x v="0"/>
    <x v="0"/>
    <x v="3"/>
    <x v="4"/>
    <s v="DE4-E_A"/>
    <x v="2"/>
    <x v="144"/>
    <x v="0"/>
    <x v="17"/>
    <n v="3773.39622641509"/>
    <n v="1377289.6226415101"/>
    <n v="4958242.6415094296"/>
  </r>
  <r>
    <x v="0"/>
    <x v="0"/>
    <x v="0"/>
    <x v="3"/>
    <x v="4"/>
    <s v="DE4-E_A"/>
    <x v="2"/>
    <x v="144"/>
    <x v="0"/>
    <x v="18"/>
    <n v="3773.39622641509"/>
    <n v="1377289.6226415101"/>
    <n v="4958242.6415094296"/>
  </r>
  <r>
    <x v="0"/>
    <x v="0"/>
    <x v="0"/>
    <x v="3"/>
    <x v="4"/>
    <s v="DE4-E_A"/>
    <x v="2"/>
    <x v="144"/>
    <x v="0"/>
    <x v="19"/>
    <n v="3773.39622641509"/>
    <n v="1377289.6226415101"/>
    <n v="4958242.6415094296"/>
  </r>
  <r>
    <x v="0"/>
    <x v="0"/>
    <x v="0"/>
    <x v="3"/>
    <x v="4"/>
    <s v="DE4-E_A"/>
    <x v="2"/>
    <x v="144"/>
    <x v="0"/>
    <x v="20"/>
    <n v="3773.39622641509"/>
    <n v="1377289.6226415101"/>
    <n v="4958242.6415094296"/>
  </r>
  <r>
    <x v="0"/>
    <x v="0"/>
    <x v="0"/>
    <x v="3"/>
    <x v="4"/>
    <s v="DE4-E_A"/>
    <x v="2"/>
    <x v="144"/>
    <x v="0"/>
    <x v="21"/>
    <n v="3773.39622641509"/>
    <n v="1377289.6226415101"/>
    <n v="4958242.6415094296"/>
  </r>
  <r>
    <x v="0"/>
    <x v="0"/>
    <x v="0"/>
    <x v="3"/>
    <x v="4"/>
    <s v="DE4-E_A"/>
    <x v="2"/>
    <x v="144"/>
    <x v="0"/>
    <x v="22"/>
    <n v="3773.39622641509"/>
    <n v="1377289.6226415101"/>
    <n v="4958242.6415094296"/>
  </r>
  <r>
    <x v="0"/>
    <x v="0"/>
    <x v="0"/>
    <x v="3"/>
    <x v="4"/>
    <s v="DE4-E_A"/>
    <x v="2"/>
    <x v="144"/>
    <x v="0"/>
    <x v="23"/>
    <n v="3773.39622641509"/>
    <n v="1377289.6226415101"/>
    <n v="4958242.6415094296"/>
  </r>
  <r>
    <x v="0"/>
    <x v="0"/>
    <x v="0"/>
    <x v="3"/>
    <x v="4"/>
    <s v="DE4-E_A"/>
    <x v="2"/>
    <x v="145"/>
    <x v="0"/>
    <x v="3"/>
    <n v="313.725490196078"/>
    <n v="114509.80392156899"/>
    <n v="412235.29411764699"/>
  </r>
  <r>
    <x v="0"/>
    <x v="0"/>
    <x v="0"/>
    <x v="3"/>
    <x v="4"/>
    <s v="DE4-E_A"/>
    <x v="2"/>
    <x v="145"/>
    <x v="0"/>
    <x v="4"/>
    <n v="313.725490196078"/>
    <n v="114509.80392156899"/>
    <n v="412235.29411764699"/>
  </r>
  <r>
    <x v="0"/>
    <x v="0"/>
    <x v="0"/>
    <x v="3"/>
    <x v="4"/>
    <s v="DE4-E_A"/>
    <x v="2"/>
    <x v="145"/>
    <x v="0"/>
    <x v="5"/>
    <n v="313.725490196078"/>
    <n v="114509.80392156899"/>
    <n v="412235.29411764699"/>
  </r>
  <r>
    <x v="0"/>
    <x v="0"/>
    <x v="0"/>
    <x v="3"/>
    <x v="4"/>
    <s v="DE4-E_A"/>
    <x v="2"/>
    <x v="145"/>
    <x v="0"/>
    <x v="6"/>
    <n v="313.725490196078"/>
    <n v="114509.80392156899"/>
    <n v="412235.29411764699"/>
  </r>
  <r>
    <x v="0"/>
    <x v="0"/>
    <x v="0"/>
    <x v="3"/>
    <x v="4"/>
    <s v="DE4-E_A"/>
    <x v="2"/>
    <x v="145"/>
    <x v="0"/>
    <x v="7"/>
    <n v="313.725490196078"/>
    <n v="114509.80392156899"/>
    <n v="412235.29411764699"/>
  </r>
  <r>
    <x v="0"/>
    <x v="0"/>
    <x v="0"/>
    <x v="3"/>
    <x v="4"/>
    <s v="DE4-E_A"/>
    <x v="2"/>
    <x v="145"/>
    <x v="0"/>
    <x v="8"/>
    <n v="313.725490196078"/>
    <n v="114509.80392156899"/>
    <n v="412235.29411764699"/>
  </r>
  <r>
    <x v="0"/>
    <x v="0"/>
    <x v="0"/>
    <x v="3"/>
    <x v="4"/>
    <s v="DE4-E_A"/>
    <x v="2"/>
    <x v="145"/>
    <x v="0"/>
    <x v="0"/>
    <n v="313.725490196078"/>
    <n v="114509.80392156899"/>
    <n v="412235.29411764699"/>
  </r>
  <r>
    <x v="0"/>
    <x v="0"/>
    <x v="0"/>
    <x v="3"/>
    <x v="4"/>
    <s v="DE4-E_A"/>
    <x v="2"/>
    <x v="145"/>
    <x v="0"/>
    <x v="1"/>
    <n v="313.725490196078"/>
    <n v="114509.80392156899"/>
    <n v="412235.29411764699"/>
  </r>
  <r>
    <x v="0"/>
    <x v="0"/>
    <x v="0"/>
    <x v="3"/>
    <x v="4"/>
    <s v="DE4-E_A"/>
    <x v="2"/>
    <x v="145"/>
    <x v="0"/>
    <x v="2"/>
    <n v="313.725490196078"/>
    <n v="114509.80392156899"/>
    <n v="412235.29411764699"/>
  </r>
  <r>
    <x v="0"/>
    <x v="0"/>
    <x v="0"/>
    <x v="3"/>
    <x v="4"/>
    <s v="DE4-E_A"/>
    <x v="2"/>
    <x v="145"/>
    <x v="0"/>
    <x v="9"/>
    <n v="313.725490196078"/>
    <n v="114509.80392156899"/>
    <n v="412235.29411764699"/>
  </r>
  <r>
    <x v="0"/>
    <x v="0"/>
    <x v="0"/>
    <x v="3"/>
    <x v="4"/>
    <s v="DE4-E_A"/>
    <x v="2"/>
    <x v="145"/>
    <x v="0"/>
    <x v="10"/>
    <n v="313.725490196078"/>
    <n v="114509.80392156899"/>
    <n v="412235.29411764699"/>
  </r>
  <r>
    <x v="0"/>
    <x v="0"/>
    <x v="0"/>
    <x v="3"/>
    <x v="4"/>
    <s v="DE4-E_A"/>
    <x v="2"/>
    <x v="145"/>
    <x v="0"/>
    <x v="11"/>
    <n v="313.725490196078"/>
    <n v="114509.80392156899"/>
    <n v="412235.29411764699"/>
  </r>
  <r>
    <x v="0"/>
    <x v="0"/>
    <x v="0"/>
    <x v="3"/>
    <x v="4"/>
    <s v="DE4-E_A"/>
    <x v="2"/>
    <x v="145"/>
    <x v="0"/>
    <x v="12"/>
    <n v="313.725490196078"/>
    <n v="114509.80392156899"/>
    <n v="412235.29411764699"/>
  </r>
  <r>
    <x v="0"/>
    <x v="0"/>
    <x v="0"/>
    <x v="3"/>
    <x v="4"/>
    <s v="DE4-E_A"/>
    <x v="2"/>
    <x v="145"/>
    <x v="0"/>
    <x v="13"/>
    <n v="313.725490196078"/>
    <n v="114509.80392156899"/>
    <n v="412235.29411764699"/>
  </r>
  <r>
    <x v="0"/>
    <x v="0"/>
    <x v="0"/>
    <x v="3"/>
    <x v="4"/>
    <s v="DE4-E_A"/>
    <x v="2"/>
    <x v="145"/>
    <x v="0"/>
    <x v="14"/>
    <n v="313.725490196078"/>
    <n v="114509.80392156899"/>
    <n v="412235.29411764699"/>
  </r>
  <r>
    <x v="0"/>
    <x v="0"/>
    <x v="0"/>
    <x v="3"/>
    <x v="4"/>
    <s v="DE4-E_A"/>
    <x v="2"/>
    <x v="145"/>
    <x v="0"/>
    <x v="15"/>
    <n v="313.725490196078"/>
    <n v="114509.80392156899"/>
    <n v="412235.29411764699"/>
  </r>
  <r>
    <x v="0"/>
    <x v="0"/>
    <x v="0"/>
    <x v="3"/>
    <x v="4"/>
    <s v="DE4-E_A"/>
    <x v="2"/>
    <x v="145"/>
    <x v="0"/>
    <x v="16"/>
    <n v="313.725490196078"/>
    <n v="114509.80392156899"/>
    <n v="412235.29411764699"/>
  </r>
  <r>
    <x v="0"/>
    <x v="0"/>
    <x v="0"/>
    <x v="3"/>
    <x v="4"/>
    <s v="DE4-E_A"/>
    <x v="2"/>
    <x v="145"/>
    <x v="0"/>
    <x v="17"/>
    <n v="313.725490196078"/>
    <n v="114509.80392156899"/>
    <n v="412235.29411764699"/>
  </r>
  <r>
    <x v="0"/>
    <x v="0"/>
    <x v="0"/>
    <x v="3"/>
    <x v="4"/>
    <s v="DE4-E_A"/>
    <x v="2"/>
    <x v="145"/>
    <x v="0"/>
    <x v="18"/>
    <n v="313.725490196078"/>
    <n v="114509.80392156899"/>
    <n v="412235.29411764699"/>
  </r>
  <r>
    <x v="0"/>
    <x v="0"/>
    <x v="0"/>
    <x v="3"/>
    <x v="4"/>
    <s v="DE4-E_A"/>
    <x v="2"/>
    <x v="145"/>
    <x v="0"/>
    <x v="19"/>
    <n v="313.725490196078"/>
    <n v="114509.80392156899"/>
    <n v="412235.29411764699"/>
  </r>
  <r>
    <x v="0"/>
    <x v="0"/>
    <x v="0"/>
    <x v="3"/>
    <x v="4"/>
    <s v="DE4-E_A"/>
    <x v="2"/>
    <x v="145"/>
    <x v="0"/>
    <x v="20"/>
    <n v="313.725490196078"/>
    <n v="114509.80392156899"/>
    <n v="412235.29411764699"/>
  </r>
  <r>
    <x v="0"/>
    <x v="0"/>
    <x v="0"/>
    <x v="3"/>
    <x v="4"/>
    <s v="DE4-E_A"/>
    <x v="2"/>
    <x v="145"/>
    <x v="0"/>
    <x v="21"/>
    <n v="313.725490196078"/>
    <n v="114509.80392156899"/>
    <n v="412235.29411764699"/>
  </r>
  <r>
    <x v="0"/>
    <x v="0"/>
    <x v="0"/>
    <x v="3"/>
    <x v="4"/>
    <s v="DE4-E_A"/>
    <x v="2"/>
    <x v="145"/>
    <x v="0"/>
    <x v="22"/>
    <n v="313.725490196078"/>
    <n v="114509.80392156899"/>
    <n v="412235.29411764699"/>
  </r>
  <r>
    <x v="0"/>
    <x v="0"/>
    <x v="0"/>
    <x v="3"/>
    <x v="4"/>
    <s v="DE4-E_A"/>
    <x v="2"/>
    <x v="145"/>
    <x v="0"/>
    <x v="23"/>
    <n v="313.725490196078"/>
    <n v="114509.80392156899"/>
    <n v="412235.29411764699"/>
  </r>
  <r>
    <x v="0"/>
    <x v="0"/>
    <x v="0"/>
    <x v="3"/>
    <x v="4"/>
    <s v="DE4-E_A"/>
    <x v="2"/>
    <x v="146"/>
    <x v="0"/>
    <x v="3"/>
    <n v="87.719298245613999"/>
    <n v="32017.5438596491"/>
    <n v="115263.157894737"/>
  </r>
  <r>
    <x v="0"/>
    <x v="0"/>
    <x v="0"/>
    <x v="3"/>
    <x v="4"/>
    <s v="DE4-E_A"/>
    <x v="2"/>
    <x v="146"/>
    <x v="0"/>
    <x v="4"/>
    <n v="87.719298245613999"/>
    <n v="32017.5438596491"/>
    <n v="115263.157894737"/>
  </r>
  <r>
    <x v="0"/>
    <x v="0"/>
    <x v="0"/>
    <x v="3"/>
    <x v="4"/>
    <s v="DE4-E_A"/>
    <x v="2"/>
    <x v="146"/>
    <x v="0"/>
    <x v="5"/>
    <n v="87.719298245613999"/>
    <n v="32017.5438596491"/>
    <n v="115263.157894737"/>
  </r>
  <r>
    <x v="0"/>
    <x v="0"/>
    <x v="0"/>
    <x v="3"/>
    <x v="4"/>
    <s v="DE4-E_A"/>
    <x v="2"/>
    <x v="146"/>
    <x v="0"/>
    <x v="6"/>
    <n v="87.719298245613999"/>
    <n v="32017.5438596491"/>
    <n v="115263.157894737"/>
  </r>
  <r>
    <x v="0"/>
    <x v="0"/>
    <x v="0"/>
    <x v="3"/>
    <x v="4"/>
    <s v="DE4-E_A"/>
    <x v="2"/>
    <x v="146"/>
    <x v="0"/>
    <x v="7"/>
    <n v="87.719298245613999"/>
    <n v="32017.5438596491"/>
    <n v="115263.157894737"/>
  </r>
  <r>
    <x v="0"/>
    <x v="0"/>
    <x v="0"/>
    <x v="3"/>
    <x v="4"/>
    <s v="DE4-E_A"/>
    <x v="2"/>
    <x v="146"/>
    <x v="0"/>
    <x v="8"/>
    <n v="87.719298245613999"/>
    <n v="32017.5438596491"/>
    <n v="115263.157894737"/>
  </r>
  <r>
    <x v="0"/>
    <x v="0"/>
    <x v="0"/>
    <x v="3"/>
    <x v="4"/>
    <s v="DE4-E_A"/>
    <x v="2"/>
    <x v="146"/>
    <x v="0"/>
    <x v="0"/>
    <n v="87.719298245613999"/>
    <n v="32017.5438596491"/>
    <n v="115263.157894737"/>
  </r>
  <r>
    <x v="0"/>
    <x v="0"/>
    <x v="0"/>
    <x v="3"/>
    <x v="4"/>
    <s v="DE4-E_A"/>
    <x v="2"/>
    <x v="146"/>
    <x v="0"/>
    <x v="1"/>
    <n v="87.719298245613999"/>
    <n v="32017.5438596491"/>
    <n v="115263.157894737"/>
  </r>
  <r>
    <x v="0"/>
    <x v="0"/>
    <x v="0"/>
    <x v="3"/>
    <x v="4"/>
    <s v="DE4-E_A"/>
    <x v="2"/>
    <x v="146"/>
    <x v="0"/>
    <x v="2"/>
    <n v="87.719298245613999"/>
    <n v="32017.5438596491"/>
    <n v="115263.157894737"/>
  </r>
  <r>
    <x v="0"/>
    <x v="0"/>
    <x v="0"/>
    <x v="3"/>
    <x v="4"/>
    <s v="DE4-E_A"/>
    <x v="2"/>
    <x v="146"/>
    <x v="0"/>
    <x v="9"/>
    <n v="87.719298245613999"/>
    <n v="32017.5438596491"/>
    <n v="115263.157894737"/>
  </r>
  <r>
    <x v="0"/>
    <x v="0"/>
    <x v="0"/>
    <x v="3"/>
    <x v="4"/>
    <s v="DE4-E_A"/>
    <x v="2"/>
    <x v="146"/>
    <x v="0"/>
    <x v="10"/>
    <n v="87.719298245613999"/>
    <n v="32017.5438596491"/>
    <n v="115263.157894737"/>
  </r>
  <r>
    <x v="0"/>
    <x v="0"/>
    <x v="0"/>
    <x v="3"/>
    <x v="4"/>
    <s v="DE4-E_A"/>
    <x v="2"/>
    <x v="146"/>
    <x v="0"/>
    <x v="11"/>
    <n v="87.719298245613999"/>
    <n v="32017.5438596491"/>
    <n v="115263.157894737"/>
  </r>
  <r>
    <x v="0"/>
    <x v="0"/>
    <x v="0"/>
    <x v="3"/>
    <x v="4"/>
    <s v="DE4-E_A"/>
    <x v="2"/>
    <x v="146"/>
    <x v="0"/>
    <x v="12"/>
    <n v="87.719298245613999"/>
    <n v="32017.5438596491"/>
    <n v="115263.157894737"/>
  </r>
  <r>
    <x v="0"/>
    <x v="0"/>
    <x v="0"/>
    <x v="3"/>
    <x v="4"/>
    <s v="DE4-E_A"/>
    <x v="2"/>
    <x v="146"/>
    <x v="0"/>
    <x v="13"/>
    <n v="87.719298245613999"/>
    <n v="32017.5438596491"/>
    <n v="115263.157894737"/>
  </r>
  <r>
    <x v="0"/>
    <x v="0"/>
    <x v="0"/>
    <x v="3"/>
    <x v="4"/>
    <s v="DE4-E_A"/>
    <x v="2"/>
    <x v="146"/>
    <x v="0"/>
    <x v="14"/>
    <n v="87.719298245613999"/>
    <n v="32017.5438596491"/>
    <n v="115263.157894737"/>
  </r>
  <r>
    <x v="0"/>
    <x v="0"/>
    <x v="0"/>
    <x v="3"/>
    <x v="4"/>
    <s v="DE4-E_A"/>
    <x v="2"/>
    <x v="146"/>
    <x v="0"/>
    <x v="15"/>
    <n v="87.719298245613999"/>
    <n v="32017.5438596491"/>
    <n v="115263.157894737"/>
  </r>
  <r>
    <x v="0"/>
    <x v="0"/>
    <x v="0"/>
    <x v="3"/>
    <x v="4"/>
    <s v="DE4-E_A"/>
    <x v="2"/>
    <x v="146"/>
    <x v="0"/>
    <x v="16"/>
    <n v="87.719298245613999"/>
    <n v="32017.5438596491"/>
    <n v="115263.157894737"/>
  </r>
  <r>
    <x v="0"/>
    <x v="0"/>
    <x v="0"/>
    <x v="3"/>
    <x v="4"/>
    <s v="DE4-E_A"/>
    <x v="2"/>
    <x v="146"/>
    <x v="0"/>
    <x v="17"/>
    <n v="87.719298245613999"/>
    <n v="32017.5438596491"/>
    <n v="115263.157894737"/>
  </r>
  <r>
    <x v="0"/>
    <x v="0"/>
    <x v="0"/>
    <x v="3"/>
    <x v="4"/>
    <s v="DE4-E_A"/>
    <x v="2"/>
    <x v="146"/>
    <x v="0"/>
    <x v="18"/>
    <n v="87.719298245613999"/>
    <n v="32017.5438596491"/>
    <n v="115263.157894737"/>
  </r>
  <r>
    <x v="0"/>
    <x v="0"/>
    <x v="0"/>
    <x v="3"/>
    <x v="4"/>
    <s v="DE4-E_A"/>
    <x v="2"/>
    <x v="146"/>
    <x v="0"/>
    <x v="19"/>
    <n v="87.719298245613999"/>
    <n v="32017.5438596491"/>
    <n v="115263.157894737"/>
  </r>
  <r>
    <x v="0"/>
    <x v="0"/>
    <x v="0"/>
    <x v="3"/>
    <x v="4"/>
    <s v="DE4-E_A"/>
    <x v="2"/>
    <x v="146"/>
    <x v="0"/>
    <x v="20"/>
    <n v="87.719298245613999"/>
    <n v="32017.5438596491"/>
    <n v="115263.157894737"/>
  </r>
  <r>
    <x v="0"/>
    <x v="0"/>
    <x v="0"/>
    <x v="3"/>
    <x v="4"/>
    <s v="DE4-E_A"/>
    <x v="2"/>
    <x v="146"/>
    <x v="0"/>
    <x v="21"/>
    <n v="87.719298245613999"/>
    <n v="32017.5438596491"/>
    <n v="115263.157894737"/>
  </r>
  <r>
    <x v="0"/>
    <x v="0"/>
    <x v="0"/>
    <x v="3"/>
    <x v="4"/>
    <s v="DE4-E_A"/>
    <x v="2"/>
    <x v="146"/>
    <x v="0"/>
    <x v="22"/>
    <n v="87.719298245613999"/>
    <n v="32017.5438596491"/>
    <n v="115263.157894737"/>
  </r>
  <r>
    <x v="0"/>
    <x v="0"/>
    <x v="0"/>
    <x v="3"/>
    <x v="4"/>
    <s v="DE4-E_A"/>
    <x v="2"/>
    <x v="146"/>
    <x v="0"/>
    <x v="23"/>
    <n v="87.719298245613999"/>
    <n v="32017.5438596491"/>
    <n v="115263.157894737"/>
  </r>
  <r>
    <x v="0"/>
    <x v="0"/>
    <x v="0"/>
    <x v="3"/>
    <x v="4"/>
    <s v="DE4-E_A"/>
    <x v="2"/>
    <x v="147"/>
    <x v="0"/>
    <x v="3"/>
    <n v="593.94736842105203"/>
    <n v="216790.78947368401"/>
    <n v="780446.84210526303"/>
  </r>
  <r>
    <x v="0"/>
    <x v="0"/>
    <x v="0"/>
    <x v="3"/>
    <x v="4"/>
    <s v="DE4-E_A"/>
    <x v="2"/>
    <x v="147"/>
    <x v="0"/>
    <x v="4"/>
    <n v="593.94736842105203"/>
    <n v="216790.78947368401"/>
    <n v="780446.84210526303"/>
  </r>
  <r>
    <x v="0"/>
    <x v="0"/>
    <x v="0"/>
    <x v="3"/>
    <x v="4"/>
    <s v="DE4-E_A"/>
    <x v="2"/>
    <x v="147"/>
    <x v="0"/>
    <x v="5"/>
    <n v="593.94736842105203"/>
    <n v="216790.78947368401"/>
    <n v="780446.84210526303"/>
  </r>
  <r>
    <x v="0"/>
    <x v="0"/>
    <x v="0"/>
    <x v="3"/>
    <x v="4"/>
    <s v="DE4-E_A"/>
    <x v="2"/>
    <x v="147"/>
    <x v="0"/>
    <x v="6"/>
    <n v="593.94736842105203"/>
    <n v="216790.78947368401"/>
    <n v="780446.84210526303"/>
  </r>
  <r>
    <x v="0"/>
    <x v="0"/>
    <x v="0"/>
    <x v="3"/>
    <x v="4"/>
    <s v="DE4-E_A"/>
    <x v="2"/>
    <x v="147"/>
    <x v="0"/>
    <x v="7"/>
    <n v="593.94736842105203"/>
    <n v="216790.78947368401"/>
    <n v="780446.84210526303"/>
  </r>
  <r>
    <x v="0"/>
    <x v="0"/>
    <x v="0"/>
    <x v="3"/>
    <x v="4"/>
    <s v="DE4-E_A"/>
    <x v="2"/>
    <x v="147"/>
    <x v="0"/>
    <x v="8"/>
    <n v="593.94736842105203"/>
    <n v="216790.78947368401"/>
    <n v="780446.84210526303"/>
  </r>
  <r>
    <x v="0"/>
    <x v="0"/>
    <x v="0"/>
    <x v="3"/>
    <x v="4"/>
    <s v="DE4-E_A"/>
    <x v="2"/>
    <x v="147"/>
    <x v="0"/>
    <x v="0"/>
    <n v="593.94736842105203"/>
    <n v="216790.78947368401"/>
    <n v="780446.84210526303"/>
  </r>
  <r>
    <x v="0"/>
    <x v="0"/>
    <x v="0"/>
    <x v="3"/>
    <x v="4"/>
    <s v="DE4-E_A"/>
    <x v="2"/>
    <x v="147"/>
    <x v="0"/>
    <x v="1"/>
    <n v="593.94736842105203"/>
    <n v="216790.78947368401"/>
    <n v="780446.84210526303"/>
  </r>
  <r>
    <x v="0"/>
    <x v="0"/>
    <x v="0"/>
    <x v="3"/>
    <x v="4"/>
    <s v="DE4-E_A"/>
    <x v="2"/>
    <x v="147"/>
    <x v="0"/>
    <x v="2"/>
    <n v="593.94736842105203"/>
    <n v="216790.78947368401"/>
    <n v="780446.84210526303"/>
  </r>
  <r>
    <x v="0"/>
    <x v="0"/>
    <x v="0"/>
    <x v="3"/>
    <x v="4"/>
    <s v="DE4-E_A"/>
    <x v="2"/>
    <x v="147"/>
    <x v="0"/>
    <x v="9"/>
    <n v="593.94736842105203"/>
    <n v="216790.78947368401"/>
    <n v="780446.84210526303"/>
  </r>
  <r>
    <x v="0"/>
    <x v="0"/>
    <x v="0"/>
    <x v="3"/>
    <x v="4"/>
    <s v="DE4-E_A"/>
    <x v="2"/>
    <x v="147"/>
    <x v="0"/>
    <x v="10"/>
    <n v="593.94736842105203"/>
    <n v="216790.78947368401"/>
    <n v="780446.84210526303"/>
  </r>
  <r>
    <x v="0"/>
    <x v="0"/>
    <x v="0"/>
    <x v="3"/>
    <x v="4"/>
    <s v="DE4-E_A"/>
    <x v="2"/>
    <x v="147"/>
    <x v="0"/>
    <x v="11"/>
    <n v="593.94736842105203"/>
    <n v="216790.78947368401"/>
    <n v="780446.84210526303"/>
  </r>
  <r>
    <x v="0"/>
    <x v="0"/>
    <x v="0"/>
    <x v="3"/>
    <x v="4"/>
    <s v="DE4-E_A"/>
    <x v="2"/>
    <x v="147"/>
    <x v="0"/>
    <x v="12"/>
    <n v="593.94736842105203"/>
    <n v="216790.78947368401"/>
    <n v="780446.84210526303"/>
  </r>
  <r>
    <x v="0"/>
    <x v="0"/>
    <x v="0"/>
    <x v="3"/>
    <x v="4"/>
    <s v="DE4-E_A"/>
    <x v="2"/>
    <x v="147"/>
    <x v="0"/>
    <x v="13"/>
    <n v="593.94736842105203"/>
    <n v="216790.78947368401"/>
    <n v="780446.84210526303"/>
  </r>
  <r>
    <x v="0"/>
    <x v="0"/>
    <x v="0"/>
    <x v="3"/>
    <x v="4"/>
    <s v="DE4-E_A"/>
    <x v="2"/>
    <x v="147"/>
    <x v="0"/>
    <x v="14"/>
    <n v="593.94736842105203"/>
    <n v="216790.78947368401"/>
    <n v="780446.84210526303"/>
  </r>
  <r>
    <x v="0"/>
    <x v="0"/>
    <x v="0"/>
    <x v="3"/>
    <x v="4"/>
    <s v="DE4-E_A"/>
    <x v="2"/>
    <x v="147"/>
    <x v="0"/>
    <x v="15"/>
    <n v="593.94736842105203"/>
    <n v="216790.78947368401"/>
    <n v="780446.84210526303"/>
  </r>
  <r>
    <x v="0"/>
    <x v="0"/>
    <x v="0"/>
    <x v="3"/>
    <x v="4"/>
    <s v="DE4-E_A"/>
    <x v="2"/>
    <x v="147"/>
    <x v="0"/>
    <x v="16"/>
    <n v="593.94736842105203"/>
    <n v="216790.78947368401"/>
    <n v="780446.84210526303"/>
  </r>
  <r>
    <x v="0"/>
    <x v="0"/>
    <x v="0"/>
    <x v="3"/>
    <x v="4"/>
    <s v="DE4-E_A"/>
    <x v="2"/>
    <x v="147"/>
    <x v="0"/>
    <x v="17"/>
    <n v="593.94736842105203"/>
    <n v="216790.78947368401"/>
    <n v="780446.84210526303"/>
  </r>
  <r>
    <x v="0"/>
    <x v="0"/>
    <x v="0"/>
    <x v="3"/>
    <x v="4"/>
    <s v="DE4-E_A"/>
    <x v="2"/>
    <x v="147"/>
    <x v="0"/>
    <x v="18"/>
    <n v="593.94736842105203"/>
    <n v="216790.78947368401"/>
    <n v="780446.84210526303"/>
  </r>
  <r>
    <x v="0"/>
    <x v="0"/>
    <x v="0"/>
    <x v="3"/>
    <x v="4"/>
    <s v="DE4-E_A"/>
    <x v="2"/>
    <x v="147"/>
    <x v="0"/>
    <x v="19"/>
    <n v="593.94736842105203"/>
    <n v="216790.78947368401"/>
    <n v="780446.84210526303"/>
  </r>
  <r>
    <x v="0"/>
    <x v="0"/>
    <x v="0"/>
    <x v="3"/>
    <x v="4"/>
    <s v="DE4-E_A"/>
    <x v="2"/>
    <x v="147"/>
    <x v="0"/>
    <x v="20"/>
    <n v="593.94736842105203"/>
    <n v="216790.78947368401"/>
    <n v="780446.84210526303"/>
  </r>
  <r>
    <x v="0"/>
    <x v="0"/>
    <x v="0"/>
    <x v="3"/>
    <x v="4"/>
    <s v="DE4-E_A"/>
    <x v="2"/>
    <x v="147"/>
    <x v="0"/>
    <x v="21"/>
    <n v="593.94736842105203"/>
    <n v="216790.78947368401"/>
    <n v="780446.84210526303"/>
  </r>
  <r>
    <x v="0"/>
    <x v="0"/>
    <x v="0"/>
    <x v="3"/>
    <x v="4"/>
    <s v="DE4-E_A"/>
    <x v="2"/>
    <x v="147"/>
    <x v="0"/>
    <x v="22"/>
    <n v="593.94736842105203"/>
    <n v="216790.78947368401"/>
    <n v="780446.84210526303"/>
  </r>
  <r>
    <x v="0"/>
    <x v="0"/>
    <x v="0"/>
    <x v="3"/>
    <x v="4"/>
    <s v="DE4-E_A"/>
    <x v="2"/>
    <x v="147"/>
    <x v="0"/>
    <x v="23"/>
    <n v="593.94736842105203"/>
    <n v="216790.78947368401"/>
    <n v="780446.84210526303"/>
  </r>
  <r>
    <x v="0"/>
    <x v="0"/>
    <x v="0"/>
    <x v="3"/>
    <x v="4"/>
    <s v="DE4-E_A"/>
    <x v="2"/>
    <x v="148"/>
    <x v="0"/>
    <x v="3"/>
    <n v="1274.2857142857099"/>
    <n v="465114.28571428597"/>
    <n v="1674411.42857143"/>
  </r>
  <r>
    <x v="0"/>
    <x v="0"/>
    <x v="0"/>
    <x v="3"/>
    <x v="4"/>
    <s v="DE4-E_A"/>
    <x v="2"/>
    <x v="148"/>
    <x v="0"/>
    <x v="4"/>
    <n v="1274.2857142857099"/>
    <n v="465114.28571428597"/>
    <n v="1674411.42857143"/>
  </r>
  <r>
    <x v="0"/>
    <x v="0"/>
    <x v="0"/>
    <x v="3"/>
    <x v="4"/>
    <s v="DE4-E_A"/>
    <x v="2"/>
    <x v="148"/>
    <x v="0"/>
    <x v="5"/>
    <n v="1274.2857142857099"/>
    <n v="465114.28571428597"/>
    <n v="1674411.42857143"/>
  </r>
  <r>
    <x v="0"/>
    <x v="0"/>
    <x v="0"/>
    <x v="3"/>
    <x v="4"/>
    <s v="DE4-E_A"/>
    <x v="2"/>
    <x v="148"/>
    <x v="0"/>
    <x v="6"/>
    <n v="1274.2857142857099"/>
    <n v="465114.28571428597"/>
    <n v="1674411.42857143"/>
  </r>
  <r>
    <x v="0"/>
    <x v="0"/>
    <x v="0"/>
    <x v="3"/>
    <x v="4"/>
    <s v="DE4-E_A"/>
    <x v="2"/>
    <x v="148"/>
    <x v="0"/>
    <x v="7"/>
    <n v="1274.2857142857099"/>
    <n v="465114.28571428597"/>
    <n v="1674411.42857143"/>
  </r>
  <r>
    <x v="0"/>
    <x v="0"/>
    <x v="0"/>
    <x v="3"/>
    <x v="4"/>
    <s v="DE4-E_A"/>
    <x v="2"/>
    <x v="148"/>
    <x v="0"/>
    <x v="8"/>
    <n v="1274.2857142857099"/>
    <n v="465114.28571428597"/>
    <n v="1674411.42857143"/>
  </r>
  <r>
    <x v="0"/>
    <x v="0"/>
    <x v="0"/>
    <x v="3"/>
    <x v="4"/>
    <s v="DE4-E_A"/>
    <x v="2"/>
    <x v="148"/>
    <x v="0"/>
    <x v="0"/>
    <n v="1274.2857142857099"/>
    <n v="465114.28571428597"/>
    <n v="1674411.42857143"/>
  </r>
  <r>
    <x v="0"/>
    <x v="0"/>
    <x v="0"/>
    <x v="3"/>
    <x v="4"/>
    <s v="DE4-E_A"/>
    <x v="2"/>
    <x v="148"/>
    <x v="0"/>
    <x v="1"/>
    <n v="1274.2857142857099"/>
    <n v="465114.28571428597"/>
    <n v="1674411.42857143"/>
  </r>
  <r>
    <x v="0"/>
    <x v="0"/>
    <x v="0"/>
    <x v="3"/>
    <x v="4"/>
    <s v="DE4-E_A"/>
    <x v="2"/>
    <x v="148"/>
    <x v="0"/>
    <x v="2"/>
    <n v="1274.2857142857099"/>
    <n v="465114.28571428597"/>
    <n v="1674411.42857143"/>
  </r>
  <r>
    <x v="0"/>
    <x v="0"/>
    <x v="0"/>
    <x v="3"/>
    <x v="4"/>
    <s v="DE4-E_A"/>
    <x v="2"/>
    <x v="148"/>
    <x v="0"/>
    <x v="9"/>
    <n v="1274.2857142857099"/>
    <n v="465114.28571428597"/>
    <n v="1674411.42857143"/>
  </r>
  <r>
    <x v="0"/>
    <x v="0"/>
    <x v="0"/>
    <x v="3"/>
    <x v="4"/>
    <s v="DE4-E_A"/>
    <x v="2"/>
    <x v="148"/>
    <x v="0"/>
    <x v="10"/>
    <n v="1274.2857142857099"/>
    <n v="465114.28571428597"/>
    <n v="1674411.42857143"/>
  </r>
  <r>
    <x v="0"/>
    <x v="0"/>
    <x v="0"/>
    <x v="3"/>
    <x v="4"/>
    <s v="DE4-E_A"/>
    <x v="2"/>
    <x v="148"/>
    <x v="0"/>
    <x v="11"/>
    <n v="1274.2857142857099"/>
    <n v="465114.28571428597"/>
    <n v="1674411.42857143"/>
  </r>
  <r>
    <x v="0"/>
    <x v="0"/>
    <x v="0"/>
    <x v="3"/>
    <x v="4"/>
    <s v="DE4-E_A"/>
    <x v="2"/>
    <x v="148"/>
    <x v="0"/>
    <x v="12"/>
    <n v="1274.2857142857099"/>
    <n v="465114.28571428597"/>
    <n v="1674411.42857143"/>
  </r>
  <r>
    <x v="0"/>
    <x v="0"/>
    <x v="0"/>
    <x v="3"/>
    <x v="4"/>
    <s v="DE4-E_A"/>
    <x v="2"/>
    <x v="148"/>
    <x v="0"/>
    <x v="13"/>
    <n v="1274.2857142857099"/>
    <n v="465114.28571428597"/>
    <n v="1674411.42857143"/>
  </r>
  <r>
    <x v="0"/>
    <x v="0"/>
    <x v="0"/>
    <x v="3"/>
    <x v="4"/>
    <s v="DE4-E_A"/>
    <x v="2"/>
    <x v="148"/>
    <x v="0"/>
    <x v="14"/>
    <n v="1274.2857142857099"/>
    <n v="465114.28571428597"/>
    <n v="1674411.42857143"/>
  </r>
  <r>
    <x v="0"/>
    <x v="0"/>
    <x v="0"/>
    <x v="3"/>
    <x v="4"/>
    <s v="DE4-E_A"/>
    <x v="2"/>
    <x v="148"/>
    <x v="0"/>
    <x v="15"/>
    <n v="1274.2857142857099"/>
    <n v="465114.28571428597"/>
    <n v="1674411.42857143"/>
  </r>
  <r>
    <x v="0"/>
    <x v="0"/>
    <x v="0"/>
    <x v="3"/>
    <x v="4"/>
    <s v="DE4-E_A"/>
    <x v="2"/>
    <x v="148"/>
    <x v="0"/>
    <x v="16"/>
    <n v="1274.2857142857099"/>
    <n v="465114.28571428597"/>
    <n v="1674411.42857143"/>
  </r>
  <r>
    <x v="0"/>
    <x v="0"/>
    <x v="0"/>
    <x v="3"/>
    <x v="4"/>
    <s v="DE4-E_A"/>
    <x v="2"/>
    <x v="148"/>
    <x v="0"/>
    <x v="17"/>
    <n v="1274.2857142857099"/>
    <n v="465114.28571428597"/>
    <n v="1674411.42857143"/>
  </r>
  <r>
    <x v="0"/>
    <x v="0"/>
    <x v="0"/>
    <x v="3"/>
    <x v="4"/>
    <s v="DE4-E_A"/>
    <x v="2"/>
    <x v="148"/>
    <x v="0"/>
    <x v="18"/>
    <n v="1274.2857142857099"/>
    <n v="465114.28571428597"/>
    <n v="1674411.42857143"/>
  </r>
  <r>
    <x v="0"/>
    <x v="0"/>
    <x v="0"/>
    <x v="3"/>
    <x v="4"/>
    <s v="DE4-E_A"/>
    <x v="2"/>
    <x v="148"/>
    <x v="0"/>
    <x v="19"/>
    <n v="1274.2857142857099"/>
    <n v="465114.28571428597"/>
    <n v="1674411.42857143"/>
  </r>
  <r>
    <x v="0"/>
    <x v="0"/>
    <x v="0"/>
    <x v="3"/>
    <x v="4"/>
    <s v="DE4-E_A"/>
    <x v="2"/>
    <x v="148"/>
    <x v="0"/>
    <x v="20"/>
    <n v="1274.2857142857099"/>
    <n v="465114.28571428597"/>
    <n v="1674411.42857143"/>
  </r>
  <r>
    <x v="0"/>
    <x v="0"/>
    <x v="0"/>
    <x v="3"/>
    <x v="4"/>
    <s v="DE4-E_A"/>
    <x v="2"/>
    <x v="148"/>
    <x v="0"/>
    <x v="21"/>
    <n v="1274.2857142857099"/>
    <n v="465114.28571428597"/>
    <n v="1674411.42857143"/>
  </r>
  <r>
    <x v="0"/>
    <x v="0"/>
    <x v="0"/>
    <x v="3"/>
    <x v="4"/>
    <s v="DE4-E_A"/>
    <x v="2"/>
    <x v="148"/>
    <x v="0"/>
    <x v="22"/>
    <n v="1274.2857142857099"/>
    <n v="465114.28571428597"/>
    <n v="1674411.42857143"/>
  </r>
  <r>
    <x v="0"/>
    <x v="0"/>
    <x v="0"/>
    <x v="3"/>
    <x v="4"/>
    <s v="DE4-E_A"/>
    <x v="2"/>
    <x v="148"/>
    <x v="0"/>
    <x v="23"/>
    <n v="1274.2857142857099"/>
    <n v="465114.28571428597"/>
    <n v="1674411.42857143"/>
  </r>
  <r>
    <x v="0"/>
    <x v="0"/>
    <x v="0"/>
    <x v="3"/>
    <x v="4"/>
    <s v="DE4-E_A"/>
    <x v="2"/>
    <x v="149"/>
    <x v="0"/>
    <x v="3"/>
    <n v="85.483870967741893"/>
    <n v="31201.6129032258"/>
    <n v="112325.806451613"/>
  </r>
  <r>
    <x v="0"/>
    <x v="0"/>
    <x v="0"/>
    <x v="3"/>
    <x v="4"/>
    <s v="DE4-E_A"/>
    <x v="2"/>
    <x v="149"/>
    <x v="0"/>
    <x v="4"/>
    <n v="85.483870967741893"/>
    <n v="31201.6129032258"/>
    <n v="112325.806451613"/>
  </r>
  <r>
    <x v="0"/>
    <x v="0"/>
    <x v="0"/>
    <x v="3"/>
    <x v="4"/>
    <s v="DE4-E_A"/>
    <x v="2"/>
    <x v="149"/>
    <x v="0"/>
    <x v="5"/>
    <n v="85.483870967741893"/>
    <n v="31201.6129032258"/>
    <n v="112325.806451613"/>
  </r>
  <r>
    <x v="0"/>
    <x v="0"/>
    <x v="0"/>
    <x v="3"/>
    <x v="4"/>
    <s v="DE4-E_A"/>
    <x v="2"/>
    <x v="149"/>
    <x v="0"/>
    <x v="6"/>
    <n v="85.483870967741893"/>
    <n v="31201.6129032258"/>
    <n v="112325.806451613"/>
  </r>
  <r>
    <x v="0"/>
    <x v="0"/>
    <x v="0"/>
    <x v="3"/>
    <x v="4"/>
    <s v="DE4-E_A"/>
    <x v="2"/>
    <x v="149"/>
    <x v="0"/>
    <x v="7"/>
    <n v="85.483870967741893"/>
    <n v="31201.6129032258"/>
    <n v="112325.806451613"/>
  </r>
  <r>
    <x v="0"/>
    <x v="0"/>
    <x v="0"/>
    <x v="3"/>
    <x v="4"/>
    <s v="DE4-E_A"/>
    <x v="2"/>
    <x v="149"/>
    <x v="0"/>
    <x v="8"/>
    <n v="85.483870967741893"/>
    <n v="31201.6129032258"/>
    <n v="112325.806451613"/>
  </r>
  <r>
    <x v="0"/>
    <x v="0"/>
    <x v="0"/>
    <x v="3"/>
    <x v="4"/>
    <s v="DE4-E_A"/>
    <x v="2"/>
    <x v="149"/>
    <x v="0"/>
    <x v="0"/>
    <n v="85.483870967741893"/>
    <n v="31201.6129032258"/>
    <n v="112325.806451613"/>
  </r>
  <r>
    <x v="0"/>
    <x v="0"/>
    <x v="0"/>
    <x v="3"/>
    <x v="4"/>
    <s v="DE4-E_A"/>
    <x v="2"/>
    <x v="149"/>
    <x v="0"/>
    <x v="1"/>
    <n v="85.483870967741893"/>
    <n v="31201.6129032258"/>
    <n v="112325.806451613"/>
  </r>
  <r>
    <x v="0"/>
    <x v="0"/>
    <x v="0"/>
    <x v="3"/>
    <x v="4"/>
    <s v="DE4-E_A"/>
    <x v="2"/>
    <x v="149"/>
    <x v="0"/>
    <x v="2"/>
    <n v="85.483870967741893"/>
    <n v="31201.6129032258"/>
    <n v="112325.806451613"/>
  </r>
  <r>
    <x v="0"/>
    <x v="0"/>
    <x v="0"/>
    <x v="3"/>
    <x v="4"/>
    <s v="DE4-E_A"/>
    <x v="2"/>
    <x v="149"/>
    <x v="0"/>
    <x v="9"/>
    <n v="85.483870967741893"/>
    <n v="31201.6129032258"/>
    <n v="112325.806451613"/>
  </r>
  <r>
    <x v="0"/>
    <x v="0"/>
    <x v="0"/>
    <x v="3"/>
    <x v="4"/>
    <s v="DE4-E_A"/>
    <x v="2"/>
    <x v="149"/>
    <x v="0"/>
    <x v="10"/>
    <n v="85.483870967741893"/>
    <n v="31201.6129032258"/>
    <n v="112325.806451613"/>
  </r>
  <r>
    <x v="0"/>
    <x v="0"/>
    <x v="0"/>
    <x v="3"/>
    <x v="4"/>
    <s v="DE4-E_A"/>
    <x v="2"/>
    <x v="149"/>
    <x v="0"/>
    <x v="11"/>
    <n v="85.483870967741893"/>
    <n v="31201.6129032258"/>
    <n v="112325.806451613"/>
  </r>
  <r>
    <x v="0"/>
    <x v="0"/>
    <x v="0"/>
    <x v="3"/>
    <x v="4"/>
    <s v="DE4-E_A"/>
    <x v="2"/>
    <x v="149"/>
    <x v="0"/>
    <x v="12"/>
    <n v="85.483870967741893"/>
    <n v="31201.6129032258"/>
    <n v="112325.806451613"/>
  </r>
  <r>
    <x v="0"/>
    <x v="0"/>
    <x v="0"/>
    <x v="3"/>
    <x v="4"/>
    <s v="DE4-E_A"/>
    <x v="2"/>
    <x v="149"/>
    <x v="0"/>
    <x v="13"/>
    <n v="85.483870967741893"/>
    <n v="31201.6129032258"/>
    <n v="112325.806451613"/>
  </r>
  <r>
    <x v="0"/>
    <x v="0"/>
    <x v="0"/>
    <x v="3"/>
    <x v="4"/>
    <s v="DE4-E_A"/>
    <x v="2"/>
    <x v="149"/>
    <x v="0"/>
    <x v="14"/>
    <n v="85.483870967741893"/>
    <n v="31201.6129032258"/>
    <n v="112325.806451613"/>
  </r>
  <r>
    <x v="0"/>
    <x v="0"/>
    <x v="0"/>
    <x v="3"/>
    <x v="4"/>
    <s v="DE4-E_A"/>
    <x v="2"/>
    <x v="149"/>
    <x v="0"/>
    <x v="15"/>
    <n v="85.483870967741893"/>
    <n v="31201.6129032258"/>
    <n v="112325.806451613"/>
  </r>
  <r>
    <x v="0"/>
    <x v="0"/>
    <x v="0"/>
    <x v="3"/>
    <x v="4"/>
    <s v="DE4-E_A"/>
    <x v="2"/>
    <x v="149"/>
    <x v="0"/>
    <x v="16"/>
    <n v="85.483870967741893"/>
    <n v="31201.6129032258"/>
    <n v="112325.806451613"/>
  </r>
  <r>
    <x v="0"/>
    <x v="0"/>
    <x v="0"/>
    <x v="3"/>
    <x v="4"/>
    <s v="DE4-E_A"/>
    <x v="2"/>
    <x v="149"/>
    <x v="0"/>
    <x v="17"/>
    <n v="85.483870967741893"/>
    <n v="31201.6129032258"/>
    <n v="112325.806451613"/>
  </r>
  <r>
    <x v="0"/>
    <x v="0"/>
    <x v="0"/>
    <x v="3"/>
    <x v="4"/>
    <s v="DE4-E_A"/>
    <x v="2"/>
    <x v="149"/>
    <x v="0"/>
    <x v="18"/>
    <n v="85.483870967741893"/>
    <n v="31201.6129032258"/>
    <n v="112325.806451613"/>
  </r>
  <r>
    <x v="0"/>
    <x v="0"/>
    <x v="0"/>
    <x v="3"/>
    <x v="4"/>
    <s v="DE4-E_A"/>
    <x v="2"/>
    <x v="149"/>
    <x v="0"/>
    <x v="19"/>
    <n v="85.483870967741893"/>
    <n v="31201.6129032258"/>
    <n v="112325.806451613"/>
  </r>
  <r>
    <x v="0"/>
    <x v="0"/>
    <x v="0"/>
    <x v="3"/>
    <x v="4"/>
    <s v="DE4-E_A"/>
    <x v="2"/>
    <x v="149"/>
    <x v="0"/>
    <x v="20"/>
    <n v="85.483870967741893"/>
    <n v="31201.6129032258"/>
    <n v="112325.806451613"/>
  </r>
  <r>
    <x v="0"/>
    <x v="0"/>
    <x v="0"/>
    <x v="3"/>
    <x v="4"/>
    <s v="DE4-E_A"/>
    <x v="2"/>
    <x v="149"/>
    <x v="0"/>
    <x v="21"/>
    <n v="85.483870967741893"/>
    <n v="31201.6129032258"/>
    <n v="112325.806451613"/>
  </r>
  <r>
    <x v="0"/>
    <x v="0"/>
    <x v="0"/>
    <x v="3"/>
    <x v="4"/>
    <s v="DE4-E_A"/>
    <x v="2"/>
    <x v="149"/>
    <x v="0"/>
    <x v="22"/>
    <n v="85.483870967741893"/>
    <n v="31201.6129032258"/>
    <n v="112325.806451613"/>
  </r>
  <r>
    <x v="0"/>
    <x v="0"/>
    <x v="0"/>
    <x v="3"/>
    <x v="4"/>
    <s v="DE4-E_A"/>
    <x v="2"/>
    <x v="149"/>
    <x v="0"/>
    <x v="23"/>
    <n v="85.483870967741893"/>
    <n v="31201.6129032258"/>
    <n v="112325.806451613"/>
  </r>
  <r>
    <x v="0"/>
    <x v="0"/>
    <x v="0"/>
    <x v="3"/>
    <x v="4"/>
    <s v="DE4-E_A"/>
    <x v="2"/>
    <x v="150"/>
    <x v="0"/>
    <x v="3"/>
    <n v="3218.4210526315801"/>
    <n v="1174723.68421053"/>
    <n v="4229005.2631578902"/>
  </r>
  <r>
    <x v="0"/>
    <x v="0"/>
    <x v="0"/>
    <x v="3"/>
    <x v="4"/>
    <s v="DE4-E_A"/>
    <x v="2"/>
    <x v="150"/>
    <x v="0"/>
    <x v="4"/>
    <n v="3218.4210526315801"/>
    <n v="1174723.68421053"/>
    <n v="4229005.2631578902"/>
  </r>
  <r>
    <x v="0"/>
    <x v="0"/>
    <x v="0"/>
    <x v="3"/>
    <x v="4"/>
    <s v="DE4-E_A"/>
    <x v="2"/>
    <x v="150"/>
    <x v="0"/>
    <x v="5"/>
    <n v="3218.4210526315801"/>
    <n v="1174723.68421053"/>
    <n v="4229005.2631578902"/>
  </r>
  <r>
    <x v="0"/>
    <x v="0"/>
    <x v="0"/>
    <x v="3"/>
    <x v="4"/>
    <s v="DE4-E_A"/>
    <x v="2"/>
    <x v="150"/>
    <x v="0"/>
    <x v="6"/>
    <n v="3218.4210526315801"/>
    <n v="1174723.68421053"/>
    <n v="4229005.2631578902"/>
  </r>
  <r>
    <x v="0"/>
    <x v="0"/>
    <x v="0"/>
    <x v="3"/>
    <x v="4"/>
    <s v="DE4-E_A"/>
    <x v="2"/>
    <x v="150"/>
    <x v="0"/>
    <x v="7"/>
    <n v="3218.4210526315801"/>
    <n v="1174723.68421053"/>
    <n v="4229005.2631578902"/>
  </r>
  <r>
    <x v="0"/>
    <x v="0"/>
    <x v="0"/>
    <x v="3"/>
    <x v="4"/>
    <s v="DE4-E_A"/>
    <x v="2"/>
    <x v="150"/>
    <x v="0"/>
    <x v="8"/>
    <n v="3218.4210526315801"/>
    <n v="1174723.68421053"/>
    <n v="4229005.2631578902"/>
  </r>
  <r>
    <x v="0"/>
    <x v="0"/>
    <x v="0"/>
    <x v="3"/>
    <x v="4"/>
    <s v="DE4-E_A"/>
    <x v="2"/>
    <x v="150"/>
    <x v="0"/>
    <x v="0"/>
    <n v="3218.4210526315801"/>
    <n v="1174723.68421053"/>
    <n v="4229005.2631578902"/>
  </r>
  <r>
    <x v="0"/>
    <x v="0"/>
    <x v="0"/>
    <x v="3"/>
    <x v="4"/>
    <s v="DE4-E_A"/>
    <x v="2"/>
    <x v="150"/>
    <x v="0"/>
    <x v="1"/>
    <n v="3218.4210526315801"/>
    <n v="1174723.68421053"/>
    <n v="4229005.2631578902"/>
  </r>
  <r>
    <x v="0"/>
    <x v="0"/>
    <x v="0"/>
    <x v="3"/>
    <x v="4"/>
    <s v="DE4-E_A"/>
    <x v="2"/>
    <x v="150"/>
    <x v="0"/>
    <x v="2"/>
    <n v="3218.4210526315801"/>
    <n v="1174723.68421053"/>
    <n v="4229005.2631578902"/>
  </r>
  <r>
    <x v="0"/>
    <x v="0"/>
    <x v="0"/>
    <x v="3"/>
    <x v="4"/>
    <s v="DE4-E_A"/>
    <x v="2"/>
    <x v="150"/>
    <x v="0"/>
    <x v="9"/>
    <n v="3218.4210526315801"/>
    <n v="1174723.68421053"/>
    <n v="4229005.2631578902"/>
  </r>
  <r>
    <x v="0"/>
    <x v="0"/>
    <x v="0"/>
    <x v="3"/>
    <x v="4"/>
    <s v="DE4-E_A"/>
    <x v="2"/>
    <x v="150"/>
    <x v="0"/>
    <x v="10"/>
    <n v="3218.4210526315801"/>
    <n v="1174723.68421053"/>
    <n v="4229005.2631578902"/>
  </r>
  <r>
    <x v="0"/>
    <x v="0"/>
    <x v="0"/>
    <x v="3"/>
    <x v="4"/>
    <s v="DE4-E_A"/>
    <x v="2"/>
    <x v="150"/>
    <x v="0"/>
    <x v="11"/>
    <n v="3218.4210526315801"/>
    <n v="1174723.68421053"/>
    <n v="4229005.2631578902"/>
  </r>
  <r>
    <x v="0"/>
    <x v="0"/>
    <x v="0"/>
    <x v="3"/>
    <x v="4"/>
    <s v="DE4-E_A"/>
    <x v="2"/>
    <x v="150"/>
    <x v="0"/>
    <x v="12"/>
    <n v="3218.4210526315801"/>
    <n v="1174723.68421053"/>
    <n v="4229005.2631578902"/>
  </r>
  <r>
    <x v="0"/>
    <x v="0"/>
    <x v="0"/>
    <x v="3"/>
    <x v="4"/>
    <s v="DE4-E_A"/>
    <x v="2"/>
    <x v="150"/>
    <x v="0"/>
    <x v="13"/>
    <n v="3218.4210526315801"/>
    <n v="1174723.68421053"/>
    <n v="4229005.2631578902"/>
  </r>
  <r>
    <x v="0"/>
    <x v="0"/>
    <x v="0"/>
    <x v="3"/>
    <x v="4"/>
    <s v="DE4-E_A"/>
    <x v="2"/>
    <x v="150"/>
    <x v="0"/>
    <x v="14"/>
    <n v="3218.4210526315801"/>
    <n v="1174723.68421053"/>
    <n v="4229005.2631578902"/>
  </r>
  <r>
    <x v="0"/>
    <x v="0"/>
    <x v="0"/>
    <x v="3"/>
    <x v="4"/>
    <s v="DE4-E_A"/>
    <x v="2"/>
    <x v="150"/>
    <x v="0"/>
    <x v="15"/>
    <n v="3218.4210526315801"/>
    <n v="1174723.68421053"/>
    <n v="4229005.2631578902"/>
  </r>
  <r>
    <x v="0"/>
    <x v="0"/>
    <x v="0"/>
    <x v="3"/>
    <x v="4"/>
    <s v="DE4-E_A"/>
    <x v="2"/>
    <x v="150"/>
    <x v="0"/>
    <x v="16"/>
    <n v="3218.4210526315801"/>
    <n v="1174723.68421053"/>
    <n v="4229005.2631578902"/>
  </r>
  <r>
    <x v="0"/>
    <x v="0"/>
    <x v="0"/>
    <x v="3"/>
    <x v="4"/>
    <s v="DE4-E_A"/>
    <x v="2"/>
    <x v="150"/>
    <x v="0"/>
    <x v="17"/>
    <n v="3218.4210526315801"/>
    <n v="1174723.68421053"/>
    <n v="4229005.2631578902"/>
  </r>
  <r>
    <x v="0"/>
    <x v="0"/>
    <x v="0"/>
    <x v="3"/>
    <x v="4"/>
    <s v="DE4-E_A"/>
    <x v="2"/>
    <x v="150"/>
    <x v="0"/>
    <x v="18"/>
    <n v="3218.4210526315801"/>
    <n v="1174723.68421053"/>
    <n v="4229005.2631578902"/>
  </r>
  <r>
    <x v="0"/>
    <x v="0"/>
    <x v="0"/>
    <x v="3"/>
    <x v="4"/>
    <s v="DE4-E_A"/>
    <x v="2"/>
    <x v="150"/>
    <x v="0"/>
    <x v="19"/>
    <n v="3218.4210526315801"/>
    <n v="1174723.68421053"/>
    <n v="4229005.2631578902"/>
  </r>
  <r>
    <x v="0"/>
    <x v="0"/>
    <x v="0"/>
    <x v="3"/>
    <x v="4"/>
    <s v="DE4-E_A"/>
    <x v="2"/>
    <x v="150"/>
    <x v="0"/>
    <x v="20"/>
    <n v="3218.4210526315801"/>
    <n v="1174723.68421053"/>
    <n v="4229005.2631578902"/>
  </r>
  <r>
    <x v="0"/>
    <x v="0"/>
    <x v="0"/>
    <x v="3"/>
    <x v="4"/>
    <s v="DE4-E_A"/>
    <x v="2"/>
    <x v="150"/>
    <x v="0"/>
    <x v="21"/>
    <n v="3218.4210526315801"/>
    <n v="1174723.68421053"/>
    <n v="4229005.2631578902"/>
  </r>
  <r>
    <x v="0"/>
    <x v="0"/>
    <x v="0"/>
    <x v="3"/>
    <x v="4"/>
    <s v="DE4-E_A"/>
    <x v="2"/>
    <x v="150"/>
    <x v="0"/>
    <x v="22"/>
    <n v="3218.4210526315801"/>
    <n v="1174723.68421053"/>
    <n v="4229005.2631578902"/>
  </r>
  <r>
    <x v="0"/>
    <x v="0"/>
    <x v="0"/>
    <x v="3"/>
    <x v="4"/>
    <s v="DE4-E_A"/>
    <x v="2"/>
    <x v="150"/>
    <x v="0"/>
    <x v="23"/>
    <n v="3218.4210526315801"/>
    <n v="1174723.68421053"/>
    <n v="4229005.2631578902"/>
  </r>
  <r>
    <x v="0"/>
    <x v="0"/>
    <x v="0"/>
    <x v="3"/>
    <x v="4"/>
    <s v="DE4-E_A"/>
    <x v="2"/>
    <x v="151"/>
    <x v="0"/>
    <x v="3"/>
    <n v="105.26315789473701"/>
    <n v="38421.052631578903"/>
    <n v="138315.78947368401"/>
  </r>
  <r>
    <x v="0"/>
    <x v="0"/>
    <x v="0"/>
    <x v="3"/>
    <x v="4"/>
    <s v="DE4-E_A"/>
    <x v="2"/>
    <x v="151"/>
    <x v="0"/>
    <x v="4"/>
    <n v="105.26315789473701"/>
    <n v="38421.052631578903"/>
    <n v="138315.78947368401"/>
  </r>
  <r>
    <x v="0"/>
    <x v="0"/>
    <x v="0"/>
    <x v="3"/>
    <x v="4"/>
    <s v="DE4-E_A"/>
    <x v="2"/>
    <x v="151"/>
    <x v="0"/>
    <x v="5"/>
    <n v="105.26315789473701"/>
    <n v="38421.052631578903"/>
    <n v="138315.78947368401"/>
  </r>
  <r>
    <x v="0"/>
    <x v="0"/>
    <x v="0"/>
    <x v="3"/>
    <x v="4"/>
    <s v="DE4-E_A"/>
    <x v="2"/>
    <x v="151"/>
    <x v="0"/>
    <x v="6"/>
    <n v="105.26315789473701"/>
    <n v="38421.052631578903"/>
    <n v="138315.78947368401"/>
  </r>
  <r>
    <x v="0"/>
    <x v="0"/>
    <x v="0"/>
    <x v="3"/>
    <x v="4"/>
    <s v="DE4-E_A"/>
    <x v="2"/>
    <x v="151"/>
    <x v="0"/>
    <x v="7"/>
    <n v="105.26315789473701"/>
    <n v="38421.052631578903"/>
    <n v="138315.78947368401"/>
  </r>
  <r>
    <x v="0"/>
    <x v="0"/>
    <x v="0"/>
    <x v="3"/>
    <x v="4"/>
    <s v="DE4-E_A"/>
    <x v="2"/>
    <x v="151"/>
    <x v="0"/>
    <x v="8"/>
    <n v="105.26315789473701"/>
    <n v="38421.052631578903"/>
    <n v="138315.78947368401"/>
  </r>
  <r>
    <x v="0"/>
    <x v="0"/>
    <x v="0"/>
    <x v="3"/>
    <x v="4"/>
    <s v="DE4-E_A"/>
    <x v="2"/>
    <x v="151"/>
    <x v="0"/>
    <x v="0"/>
    <n v="105.26315789473701"/>
    <n v="38421.052631578903"/>
    <n v="138315.78947368401"/>
  </r>
  <r>
    <x v="0"/>
    <x v="0"/>
    <x v="0"/>
    <x v="3"/>
    <x v="4"/>
    <s v="DE4-E_A"/>
    <x v="2"/>
    <x v="151"/>
    <x v="0"/>
    <x v="1"/>
    <n v="105.26315789473701"/>
    <n v="38421.052631578903"/>
    <n v="138315.78947368401"/>
  </r>
  <r>
    <x v="0"/>
    <x v="0"/>
    <x v="0"/>
    <x v="3"/>
    <x v="4"/>
    <s v="DE4-E_A"/>
    <x v="2"/>
    <x v="151"/>
    <x v="0"/>
    <x v="2"/>
    <n v="105.26315789473701"/>
    <n v="38421.052631578903"/>
    <n v="138315.78947368401"/>
  </r>
  <r>
    <x v="0"/>
    <x v="0"/>
    <x v="0"/>
    <x v="3"/>
    <x v="4"/>
    <s v="DE4-E_A"/>
    <x v="2"/>
    <x v="151"/>
    <x v="0"/>
    <x v="9"/>
    <n v="105.26315789473701"/>
    <n v="38421.052631578903"/>
    <n v="138315.78947368401"/>
  </r>
  <r>
    <x v="0"/>
    <x v="0"/>
    <x v="0"/>
    <x v="3"/>
    <x v="4"/>
    <s v="DE4-E_A"/>
    <x v="2"/>
    <x v="151"/>
    <x v="0"/>
    <x v="10"/>
    <n v="105.26315789473701"/>
    <n v="38421.052631578903"/>
    <n v="138315.78947368401"/>
  </r>
  <r>
    <x v="0"/>
    <x v="0"/>
    <x v="0"/>
    <x v="3"/>
    <x v="4"/>
    <s v="DE4-E_A"/>
    <x v="2"/>
    <x v="151"/>
    <x v="0"/>
    <x v="11"/>
    <n v="105.26315789473701"/>
    <n v="38421.052631578903"/>
    <n v="138315.78947368401"/>
  </r>
  <r>
    <x v="0"/>
    <x v="0"/>
    <x v="0"/>
    <x v="3"/>
    <x v="4"/>
    <s v="DE4-E_A"/>
    <x v="2"/>
    <x v="151"/>
    <x v="0"/>
    <x v="12"/>
    <n v="105.26315789473701"/>
    <n v="38421.052631578903"/>
    <n v="138315.78947368401"/>
  </r>
  <r>
    <x v="0"/>
    <x v="0"/>
    <x v="0"/>
    <x v="3"/>
    <x v="4"/>
    <s v="DE4-E_A"/>
    <x v="2"/>
    <x v="151"/>
    <x v="0"/>
    <x v="13"/>
    <n v="105.26315789473701"/>
    <n v="38421.052631578903"/>
    <n v="138315.78947368401"/>
  </r>
  <r>
    <x v="0"/>
    <x v="0"/>
    <x v="0"/>
    <x v="3"/>
    <x v="4"/>
    <s v="DE4-E_A"/>
    <x v="2"/>
    <x v="151"/>
    <x v="0"/>
    <x v="14"/>
    <n v="105.26315789473701"/>
    <n v="38421.052631578903"/>
    <n v="138315.78947368401"/>
  </r>
  <r>
    <x v="0"/>
    <x v="0"/>
    <x v="0"/>
    <x v="3"/>
    <x v="4"/>
    <s v="DE4-E_A"/>
    <x v="2"/>
    <x v="151"/>
    <x v="0"/>
    <x v="15"/>
    <n v="105.26315789473701"/>
    <n v="38421.052631578903"/>
    <n v="138315.78947368401"/>
  </r>
  <r>
    <x v="0"/>
    <x v="0"/>
    <x v="0"/>
    <x v="3"/>
    <x v="4"/>
    <s v="DE4-E_A"/>
    <x v="2"/>
    <x v="151"/>
    <x v="0"/>
    <x v="16"/>
    <n v="105.26315789473701"/>
    <n v="38421.052631578903"/>
    <n v="138315.78947368401"/>
  </r>
  <r>
    <x v="0"/>
    <x v="0"/>
    <x v="0"/>
    <x v="3"/>
    <x v="4"/>
    <s v="DE4-E_A"/>
    <x v="2"/>
    <x v="151"/>
    <x v="0"/>
    <x v="17"/>
    <n v="105.26315789473701"/>
    <n v="38421.052631578903"/>
    <n v="138315.78947368401"/>
  </r>
  <r>
    <x v="0"/>
    <x v="0"/>
    <x v="0"/>
    <x v="3"/>
    <x v="4"/>
    <s v="DE4-E_A"/>
    <x v="2"/>
    <x v="151"/>
    <x v="0"/>
    <x v="18"/>
    <n v="105.26315789473701"/>
    <n v="38421.052631578903"/>
    <n v="138315.78947368401"/>
  </r>
  <r>
    <x v="0"/>
    <x v="0"/>
    <x v="0"/>
    <x v="3"/>
    <x v="4"/>
    <s v="DE4-E_A"/>
    <x v="2"/>
    <x v="151"/>
    <x v="0"/>
    <x v="19"/>
    <n v="105.26315789473701"/>
    <n v="38421.052631578903"/>
    <n v="138315.78947368401"/>
  </r>
  <r>
    <x v="0"/>
    <x v="0"/>
    <x v="0"/>
    <x v="3"/>
    <x v="4"/>
    <s v="DE4-E_A"/>
    <x v="2"/>
    <x v="151"/>
    <x v="0"/>
    <x v="20"/>
    <n v="105.26315789473701"/>
    <n v="38421.052631578903"/>
    <n v="138315.78947368401"/>
  </r>
  <r>
    <x v="0"/>
    <x v="0"/>
    <x v="0"/>
    <x v="3"/>
    <x v="4"/>
    <s v="DE4-E_A"/>
    <x v="2"/>
    <x v="151"/>
    <x v="0"/>
    <x v="21"/>
    <n v="105.26315789473701"/>
    <n v="38421.052631578903"/>
    <n v="138315.78947368401"/>
  </r>
  <r>
    <x v="0"/>
    <x v="0"/>
    <x v="0"/>
    <x v="3"/>
    <x v="4"/>
    <s v="DE4-E_A"/>
    <x v="2"/>
    <x v="151"/>
    <x v="0"/>
    <x v="22"/>
    <n v="105.26315789473701"/>
    <n v="38421.052631578903"/>
    <n v="138315.78947368401"/>
  </r>
  <r>
    <x v="0"/>
    <x v="0"/>
    <x v="0"/>
    <x v="3"/>
    <x v="4"/>
    <s v="DE4-E_A"/>
    <x v="2"/>
    <x v="151"/>
    <x v="0"/>
    <x v="23"/>
    <n v="105.26315789473701"/>
    <n v="38421.052631578903"/>
    <n v="138315.78947368401"/>
  </r>
  <r>
    <x v="0"/>
    <x v="0"/>
    <x v="0"/>
    <x v="3"/>
    <x v="4"/>
    <s v="DE4-E_A"/>
    <x v="6"/>
    <x v="45"/>
    <x v="0"/>
    <x v="2"/>
    <n v="231.322785698838"/>
    <n v="84432.816780075897"/>
    <n v="303958.14040827297"/>
  </r>
  <r>
    <x v="0"/>
    <x v="0"/>
    <x v="0"/>
    <x v="3"/>
    <x v="4"/>
    <s v="DE4-E_A"/>
    <x v="6"/>
    <x v="45"/>
    <x v="0"/>
    <x v="9"/>
    <n v="1741.44538156869"/>
    <n v="635627.56427257101"/>
    <n v="2288259.2313812599"/>
  </r>
  <r>
    <x v="0"/>
    <x v="0"/>
    <x v="0"/>
    <x v="3"/>
    <x v="4"/>
    <s v="DE4-E_A"/>
    <x v="6"/>
    <x v="45"/>
    <x v="0"/>
    <x v="10"/>
    <n v="4022.6439297679999"/>
    <n v="1468265.0343653201"/>
    <n v="5285754.1237151502"/>
  </r>
  <r>
    <x v="0"/>
    <x v="0"/>
    <x v="0"/>
    <x v="3"/>
    <x v="4"/>
    <s v="DE4-E_A"/>
    <x v="6"/>
    <x v="45"/>
    <x v="0"/>
    <x v="11"/>
    <n v="6125.9018735835898"/>
    <n v="2235954.18385801"/>
    <n v="8049435.06188884"/>
  </r>
  <r>
    <x v="0"/>
    <x v="0"/>
    <x v="0"/>
    <x v="3"/>
    <x v="4"/>
    <s v="DE4-E_A"/>
    <x v="6"/>
    <x v="45"/>
    <x v="0"/>
    <x v="12"/>
    <n v="6964.5952555788699"/>
    <n v="2542077.2682862901"/>
    <n v="9151478.1658306308"/>
  </r>
  <r>
    <x v="0"/>
    <x v="0"/>
    <x v="0"/>
    <x v="3"/>
    <x v="4"/>
    <s v="DE4-E_A"/>
    <x v="6"/>
    <x v="45"/>
    <x v="0"/>
    <x v="13"/>
    <n v="6055.9119025259897"/>
    <n v="2210407.8444219902"/>
    <n v="7957468.2399191502"/>
  </r>
  <r>
    <x v="0"/>
    <x v="0"/>
    <x v="0"/>
    <x v="3"/>
    <x v="4"/>
    <s v="DE4-E_A"/>
    <x v="6"/>
    <x v="45"/>
    <x v="0"/>
    <x v="14"/>
    <n v="3940.7912517514901"/>
    <n v="1438388.80688929"/>
    <n v="5178199.7048014598"/>
  </r>
  <r>
    <x v="0"/>
    <x v="0"/>
    <x v="0"/>
    <x v="3"/>
    <x v="4"/>
    <s v="DE4-E_A"/>
    <x v="6"/>
    <x v="45"/>
    <x v="0"/>
    <x v="15"/>
    <n v="1995.30731048947"/>
    <n v="728287.16832865495"/>
    <n v="2621833.8059831602"/>
  </r>
  <r>
    <x v="0"/>
    <x v="0"/>
    <x v="0"/>
    <x v="3"/>
    <x v="4"/>
    <s v="DE4-E_A"/>
    <x v="6"/>
    <x v="45"/>
    <x v="0"/>
    <x v="16"/>
    <n v="259.79328240023398"/>
    <n v="94824.548076085295"/>
    <n v="341368.37307390699"/>
  </r>
  <r>
    <x v="0"/>
    <x v="0"/>
    <x v="0"/>
    <x v="3"/>
    <x v="4"/>
    <s v="DE4-E_A"/>
    <x v="4"/>
    <x v="152"/>
    <x v="0"/>
    <x v="3"/>
    <n v="0.22"/>
    <n v="80.3"/>
    <n v="289.08"/>
  </r>
  <r>
    <x v="0"/>
    <x v="0"/>
    <x v="0"/>
    <x v="3"/>
    <x v="4"/>
    <s v="DE4-E_A"/>
    <x v="4"/>
    <x v="152"/>
    <x v="0"/>
    <x v="4"/>
    <n v="0.22"/>
    <n v="80.3"/>
    <n v="289.08"/>
  </r>
  <r>
    <x v="0"/>
    <x v="0"/>
    <x v="0"/>
    <x v="3"/>
    <x v="4"/>
    <s v="DE4-E_A"/>
    <x v="4"/>
    <x v="152"/>
    <x v="0"/>
    <x v="5"/>
    <n v="0.22"/>
    <n v="80.3"/>
    <n v="289.08"/>
  </r>
  <r>
    <x v="0"/>
    <x v="0"/>
    <x v="0"/>
    <x v="3"/>
    <x v="4"/>
    <s v="DE4-E_A"/>
    <x v="4"/>
    <x v="152"/>
    <x v="0"/>
    <x v="6"/>
    <n v="0.22"/>
    <n v="80.3"/>
    <n v="289.08"/>
  </r>
  <r>
    <x v="0"/>
    <x v="0"/>
    <x v="0"/>
    <x v="3"/>
    <x v="4"/>
    <s v="DE4-E_A"/>
    <x v="4"/>
    <x v="152"/>
    <x v="0"/>
    <x v="7"/>
    <n v="0.22"/>
    <n v="80.3"/>
    <n v="289.08"/>
  </r>
  <r>
    <x v="0"/>
    <x v="0"/>
    <x v="0"/>
    <x v="3"/>
    <x v="4"/>
    <s v="DE4-E_A"/>
    <x v="4"/>
    <x v="152"/>
    <x v="0"/>
    <x v="8"/>
    <n v="0.22"/>
    <n v="80.3"/>
    <n v="289.08"/>
  </r>
  <r>
    <x v="0"/>
    <x v="0"/>
    <x v="0"/>
    <x v="3"/>
    <x v="4"/>
    <s v="DE4-E_A"/>
    <x v="4"/>
    <x v="152"/>
    <x v="0"/>
    <x v="0"/>
    <n v="0.22"/>
    <n v="80.3"/>
    <n v="289.08"/>
  </r>
  <r>
    <x v="0"/>
    <x v="0"/>
    <x v="0"/>
    <x v="3"/>
    <x v="4"/>
    <s v="DE4-E_A"/>
    <x v="4"/>
    <x v="152"/>
    <x v="0"/>
    <x v="1"/>
    <n v="0.22"/>
    <n v="80.3"/>
    <n v="289.08"/>
  </r>
  <r>
    <x v="0"/>
    <x v="0"/>
    <x v="0"/>
    <x v="3"/>
    <x v="4"/>
    <s v="DE4-E_A"/>
    <x v="4"/>
    <x v="152"/>
    <x v="0"/>
    <x v="2"/>
    <n v="0.22"/>
    <n v="80.3"/>
    <n v="289.08"/>
  </r>
  <r>
    <x v="0"/>
    <x v="0"/>
    <x v="0"/>
    <x v="3"/>
    <x v="4"/>
    <s v="DE4-E_A"/>
    <x v="4"/>
    <x v="152"/>
    <x v="0"/>
    <x v="9"/>
    <n v="0.22"/>
    <n v="80.3"/>
    <n v="289.08"/>
  </r>
  <r>
    <x v="0"/>
    <x v="0"/>
    <x v="0"/>
    <x v="3"/>
    <x v="4"/>
    <s v="DE4-E_A"/>
    <x v="4"/>
    <x v="152"/>
    <x v="0"/>
    <x v="10"/>
    <n v="0.22"/>
    <n v="80.3"/>
    <n v="289.08"/>
  </r>
  <r>
    <x v="0"/>
    <x v="0"/>
    <x v="0"/>
    <x v="3"/>
    <x v="4"/>
    <s v="DE4-E_A"/>
    <x v="4"/>
    <x v="152"/>
    <x v="0"/>
    <x v="11"/>
    <n v="0.22"/>
    <n v="80.3"/>
    <n v="289.08"/>
  </r>
  <r>
    <x v="0"/>
    <x v="0"/>
    <x v="0"/>
    <x v="3"/>
    <x v="4"/>
    <s v="DE4-E_A"/>
    <x v="4"/>
    <x v="152"/>
    <x v="0"/>
    <x v="12"/>
    <n v="0.22"/>
    <n v="80.3"/>
    <n v="289.08"/>
  </r>
  <r>
    <x v="0"/>
    <x v="0"/>
    <x v="0"/>
    <x v="3"/>
    <x v="4"/>
    <s v="DE4-E_A"/>
    <x v="4"/>
    <x v="152"/>
    <x v="0"/>
    <x v="13"/>
    <n v="0.22"/>
    <n v="80.3"/>
    <n v="289.08"/>
  </r>
  <r>
    <x v="0"/>
    <x v="0"/>
    <x v="0"/>
    <x v="3"/>
    <x v="4"/>
    <s v="DE4-E_A"/>
    <x v="4"/>
    <x v="152"/>
    <x v="0"/>
    <x v="14"/>
    <n v="0.22"/>
    <n v="80.3"/>
    <n v="289.08"/>
  </r>
  <r>
    <x v="0"/>
    <x v="0"/>
    <x v="0"/>
    <x v="3"/>
    <x v="4"/>
    <s v="DE4-E_A"/>
    <x v="4"/>
    <x v="152"/>
    <x v="0"/>
    <x v="15"/>
    <n v="0.22"/>
    <n v="80.3"/>
    <n v="289.08"/>
  </r>
  <r>
    <x v="0"/>
    <x v="0"/>
    <x v="0"/>
    <x v="3"/>
    <x v="4"/>
    <s v="DE4-E_A"/>
    <x v="4"/>
    <x v="152"/>
    <x v="0"/>
    <x v="16"/>
    <n v="0.22"/>
    <n v="80.3"/>
    <n v="289.08"/>
  </r>
  <r>
    <x v="0"/>
    <x v="0"/>
    <x v="0"/>
    <x v="3"/>
    <x v="4"/>
    <s v="DE4-E_A"/>
    <x v="4"/>
    <x v="152"/>
    <x v="0"/>
    <x v="17"/>
    <n v="0.22"/>
    <n v="80.3"/>
    <n v="289.08"/>
  </r>
  <r>
    <x v="0"/>
    <x v="0"/>
    <x v="0"/>
    <x v="3"/>
    <x v="4"/>
    <s v="DE4-E_A"/>
    <x v="4"/>
    <x v="152"/>
    <x v="0"/>
    <x v="18"/>
    <n v="0.22"/>
    <n v="80.3"/>
    <n v="289.08"/>
  </r>
  <r>
    <x v="0"/>
    <x v="0"/>
    <x v="0"/>
    <x v="3"/>
    <x v="4"/>
    <s v="DE4-E_A"/>
    <x v="4"/>
    <x v="152"/>
    <x v="0"/>
    <x v="19"/>
    <n v="0.22"/>
    <n v="80.3"/>
    <n v="289.08"/>
  </r>
  <r>
    <x v="0"/>
    <x v="0"/>
    <x v="0"/>
    <x v="3"/>
    <x v="4"/>
    <s v="DE4-E_A"/>
    <x v="4"/>
    <x v="152"/>
    <x v="0"/>
    <x v="20"/>
    <n v="0.22"/>
    <n v="80.3"/>
    <n v="289.08"/>
  </r>
  <r>
    <x v="0"/>
    <x v="0"/>
    <x v="0"/>
    <x v="3"/>
    <x v="4"/>
    <s v="DE4-E_A"/>
    <x v="4"/>
    <x v="152"/>
    <x v="0"/>
    <x v="21"/>
    <n v="0.22"/>
    <n v="80.3"/>
    <n v="289.08"/>
  </r>
  <r>
    <x v="0"/>
    <x v="0"/>
    <x v="0"/>
    <x v="3"/>
    <x v="4"/>
    <s v="DE4-E_A"/>
    <x v="4"/>
    <x v="152"/>
    <x v="0"/>
    <x v="22"/>
    <n v="0.22"/>
    <n v="80.3"/>
    <n v="289.08"/>
  </r>
  <r>
    <x v="0"/>
    <x v="0"/>
    <x v="0"/>
    <x v="3"/>
    <x v="4"/>
    <s v="DE4-E_A"/>
    <x v="4"/>
    <x v="152"/>
    <x v="0"/>
    <x v="23"/>
    <n v="0.22"/>
    <n v="80.3"/>
    <n v="289.08"/>
  </r>
  <r>
    <x v="0"/>
    <x v="0"/>
    <x v="0"/>
    <x v="3"/>
    <x v="4"/>
    <s v="DE4-E_A"/>
    <x v="7"/>
    <x v="46"/>
    <x v="0"/>
    <x v="3"/>
    <n v="302.85891450546501"/>
    <n v="110543.503794495"/>
    <n v="397956.613660181"/>
  </r>
  <r>
    <x v="0"/>
    <x v="0"/>
    <x v="0"/>
    <x v="3"/>
    <x v="4"/>
    <s v="DE4-E_A"/>
    <x v="7"/>
    <x v="46"/>
    <x v="0"/>
    <x v="4"/>
    <n v="302.85891450546501"/>
    <n v="110543.503794495"/>
    <n v="397956.613660181"/>
  </r>
  <r>
    <x v="0"/>
    <x v="0"/>
    <x v="0"/>
    <x v="3"/>
    <x v="4"/>
    <s v="DE4-E_A"/>
    <x v="7"/>
    <x v="46"/>
    <x v="0"/>
    <x v="5"/>
    <n v="302.85891450546501"/>
    <n v="110543.503794495"/>
    <n v="397956.613660181"/>
  </r>
  <r>
    <x v="0"/>
    <x v="0"/>
    <x v="0"/>
    <x v="3"/>
    <x v="4"/>
    <s v="DE4-E_A"/>
    <x v="7"/>
    <x v="46"/>
    <x v="0"/>
    <x v="6"/>
    <n v="302.85891450546501"/>
    <n v="110543.503794495"/>
    <n v="397956.613660181"/>
  </r>
  <r>
    <x v="0"/>
    <x v="0"/>
    <x v="0"/>
    <x v="3"/>
    <x v="4"/>
    <s v="DE4-E_A"/>
    <x v="7"/>
    <x v="46"/>
    <x v="0"/>
    <x v="7"/>
    <n v="302.85891450546501"/>
    <n v="110543.503794495"/>
    <n v="397956.613660181"/>
  </r>
  <r>
    <x v="0"/>
    <x v="0"/>
    <x v="0"/>
    <x v="3"/>
    <x v="4"/>
    <s v="DE4-E_A"/>
    <x v="7"/>
    <x v="46"/>
    <x v="0"/>
    <x v="8"/>
    <n v="302.85891450546501"/>
    <n v="110543.503794495"/>
    <n v="397956.613660181"/>
  </r>
  <r>
    <x v="0"/>
    <x v="0"/>
    <x v="0"/>
    <x v="3"/>
    <x v="4"/>
    <s v="DE4-E_A"/>
    <x v="7"/>
    <x v="46"/>
    <x v="0"/>
    <x v="0"/>
    <n v="302.85891450546501"/>
    <n v="110543.503794495"/>
    <n v="397956.613660181"/>
  </r>
  <r>
    <x v="0"/>
    <x v="0"/>
    <x v="0"/>
    <x v="3"/>
    <x v="4"/>
    <s v="DE4-E_A"/>
    <x v="7"/>
    <x v="46"/>
    <x v="0"/>
    <x v="1"/>
    <n v="302.85891450546501"/>
    <n v="110543.503794495"/>
    <n v="397956.613660181"/>
  </r>
  <r>
    <x v="0"/>
    <x v="0"/>
    <x v="0"/>
    <x v="3"/>
    <x v="4"/>
    <s v="DE4-E_A"/>
    <x v="7"/>
    <x v="46"/>
    <x v="0"/>
    <x v="2"/>
    <n v="302.85891450546501"/>
    <n v="110543.503794495"/>
    <n v="397956.613660181"/>
  </r>
  <r>
    <x v="0"/>
    <x v="0"/>
    <x v="0"/>
    <x v="3"/>
    <x v="4"/>
    <s v="DE4-E_A"/>
    <x v="7"/>
    <x v="46"/>
    <x v="0"/>
    <x v="9"/>
    <n v="302.85891450546501"/>
    <n v="110543.503794495"/>
    <n v="397956.613660181"/>
  </r>
  <r>
    <x v="0"/>
    <x v="0"/>
    <x v="0"/>
    <x v="3"/>
    <x v="4"/>
    <s v="DE4-E_A"/>
    <x v="7"/>
    <x v="46"/>
    <x v="0"/>
    <x v="10"/>
    <n v="302.85891450546501"/>
    <n v="110543.503794495"/>
    <n v="397956.613660181"/>
  </r>
  <r>
    <x v="0"/>
    <x v="0"/>
    <x v="0"/>
    <x v="3"/>
    <x v="4"/>
    <s v="DE4-E_A"/>
    <x v="7"/>
    <x v="46"/>
    <x v="0"/>
    <x v="11"/>
    <n v="302.85891450546501"/>
    <n v="110543.503794495"/>
    <n v="397956.613660181"/>
  </r>
  <r>
    <x v="0"/>
    <x v="0"/>
    <x v="0"/>
    <x v="3"/>
    <x v="4"/>
    <s v="DE4-E_A"/>
    <x v="7"/>
    <x v="46"/>
    <x v="0"/>
    <x v="12"/>
    <n v="302.85891450546501"/>
    <n v="110543.503794495"/>
    <n v="397956.613660181"/>
  </r>
  <r>
    <x v="0"/>
    <x v="0"/>
    <x v="0"/>
    <x v="3"/>
    <x v="4"/>
    <s v="DE4-E_A"/>
    <x v="7"/>
    <x v="46"/>
    <x v="0"/>
    <x v="13"/>
    <n v="302.85891450546501"/>
    <n v="110543.503794495"/>
    <n v="397956.613660181"/>
  </r>
  <r>
    <x v="0"/>
    <x v="0"/>
    <x v="0"/>
    <x v="3"/>
    <x v="4"/>
    <s v="DE4-E_A"/>
    <x v="7"/>
    <x v="46"/>
    <x v="0"/>
    <x v="14"/>
    <n v="302.85891450546501"/>
    <n v="110543.503794495"/>
    <n v="397956.613660181"/>
  </r>
  <r>
    <x v="0"/>
    <x v="0"/>
    <x v="0"/>
    <x v="3"/>
    <x v="4"/>
    <s v="DE4-E_A"/>
    <x v="7"/>
    <x v="46"/>
    <x v="0"/>
    <x v="15"/>
    <n v="302.85891450546501"/>
    <n v="110543.503794495"/>
    <n v="397956.613660181"/>
  </r>
  <r>
    <x v="0"/>
    <x v="0"/>
    <x v="0"/>
    <x v="3"/>
    <x v="4"/>
    <s v="DE4-E_A"/>
    <x v="7"/>
    <x v="46"/>
    <x v="0"/>
    <x v="16"/>
    <n v="302.85891450546501"/>
    <n v="110543.503794495"/>
    <n v="397956.613660181"/>
  </r>
  <r>
    <x v="0"/>
    <x v="0"/>
    <x v="0"/>
    <x v="3"/>
    <x v="4"/>
    <s v="DE4-E_A"/>
    <x v="7"/>
    <x v="46"/>
    <x v="0"/>
    <x v="17"/>
    <n v="302.85891450546501"/>
    <n v="110543.503794495"/>
    <n v="397956.613660181"/>
  </r>
  <r>
    <x v="0"/>
    <x v="0"/>
    <x v="0"/>
    <x v="3"/>
    <x v="4"/>
    <s v="DE4-E_A"/>
    <x v="7"/>
    <x v="46"/>
    <x v="0"/>
    <x v="18"/>
    <n v="302.85891450546501"/>
    <n v="110543.503794495"/>
    <n v="397956.613660181"/>
  </r>
  <r>
    <x v="0"/>
    <x v="0"/>
    <x v="0"/>
    <x v="3"/>
    <x v="4"/>
    <s v="DE4-E_A"/>
    <x v="7"/>
    <x v="46"/>
    <x v="0"/>
    <x v="19"/>
    <n v="302.85891450546501"/>
    <n v="110543.503794495"/>
    <n v="397956.613660181"/>
  </r>
  <r>
    <x v="0"/>
    <x v="0"/>
    <x v="0"/>
    <x v="3"/>
    <x v="4"/>
    <s v="DE4-E_A"/>
    <x v="7"/>
    <x v="46"/>
    <x v="0"/>
    <x v="20"/>
    <n v="302.85891450546501"/>
    <n v="110543.503794495"/>
    <n v="397956.613660181"/>
  </r>
  <r>
    <x v="0"/>
    <x v="0"/>
    <x v="0"/>
    <x v="3"/>
    <x v="4"/>
    <s v="DE4-E_A"/>
    <x v="7"/>
    <x v="46"/>
    <x v="0"/>
    <x v="21"/>
    <n v="302.85891450546501"/>
    <n v="110543.503794495"/>
    <n v="397956.613660181"/>
  </r>
  <r>
    <x v="0"/>
    <x v="0"/>
    <x v="0"/>
    <x v="3"/>
    <x v="4"/>
    <s v="DE4-E_A"/>
    <x v="7"/>
    <x v="46"/>
    <x v="0"/>
    <x v="22"/>
    <n v="302.85891450546501"/>
    <n v="110543.503794495"/>
    <n v="397956.613660181"/>
  </r>
  <r>
    <x v="0"/>
    <x v="0"/>
    <x v="0"/>
    <x v="3"/>
    <x v="4"/>
    <s v="DE4-E_A"/>
    <x v="7"/>
    <x v="46"/>
    <x v="0"/>
    <x v="23"/>
    <n v="302.85891450546501"/>
    <n v="110543.503794495"/>
    <n v="397956.613660181"/>
  </r>
  <r>
    <x v="0"/>
    <x v="0"/>
    <x v="0"/>
    <x v="3"/>
    <x v="4"/>
    <s v="DE4-E_A"/>
    <x v="8"/>
    <x v="47"/>
    <x v="0"/>
    <x v="3"/>
    <n v="2948.4392652654901"/>
    <n v="1076180.3318219001"/>
    <n v="3874249.1945588598"/>
  </r>
  <r>
    <x v="0"/>
    <x v="0"/>
    <x v="0"/>
    <x v="3"/>
    <x v="4"/>
    <s v="DE4-E_A"/>
    <x v="8"/>
    <x v="47"/>
    <x v="0"/>
    <x v="4"/>
    <n v="2852.88526764892"/>
    <n v="1041303.1226918499"/>
    <n v="3748691.2416906701"/>
  </r>
  <r>
    <x v="0"/>
    <x v="0"/>
    <x v="0"/>
    <x v="3"/>
    <x v="4"/>
    <s v="DE4-E_A"/>
    <x v="8"/>
    <x v="47"/>
    <x v="0"/>
    <x v="5"/>
    <n v="2771.4583497621002"/>
    <n v="1011582.29766317"/>
    <n v="3641696.2715874002"/>
  </r>
  <r>
    <x v="0"/>
    <x v="0"/>
    <x v="0"/>
    <x v="3"/>
    <x v="4"/>
    <s v="DE4-E_A"/>
    <x v="8"/>
    <x v="47"/>
    <x v="0"/>
    <x v="6"/>
    <n v="2631.7572279900201"/>
    <n v="960591.38821635698"/>
    <n v="3458128.9975788901"/>
  </r>
  <r>
    <x v="0"/>
    <x v="0"/>
    <x v="0"/>
    <x v="3"/>
    <x v="4"/>
    <s v="DE4-E_A"/>
    <x v="8"/>
    <x v="47"/>
    <x v="0"/>
    <x v="7"/>
    <n v="2397.28694636413"/>
    <n v="875009.73542290705"/>
    <n v="3150035.0475224699"/>
  </r>
  <r>
    <x v="0"/>
    <x v="0"/>
    <x v="0"/>
    <x v="3"/>
    <x v="4"/>
    <s v="DE4-E_A"/>
    <x v="8"/>
    <x v="47"/>
    <x v="0"/>
    <x v="8"/>
    <n v="2187.5390542653199"/>
    <n v="798451.75480684196"/>
    <n v="2874426.3173046298"/>
  </r>
  <r>
    <x v="0"/>
    <x v="0"/>
    <x v="0"/>
    <x v="3"/>
    <x v="4"/>
    <s v="DE4-E_A"/>
    <x v="8"/>
    <x v="47"/>
    <x v="0"/>
    <x v="0"/>
    <n v="1803.1647599514099"/>
    <n v="658155.13738226495"/>
    <n v="2369358.4945761599"/>
  </r>
  <r>
    <x v="0"/>
    <x v="0"/>
    <x v="0"/>
    <x v="3"/>
    <x v="4"/>
    <s v="DE4-E_A"/>
    <x v="8"/>
    <x v="47"/>
    <x v="0"/>
    <x v="1"/>
    <n v="1743.7132994220001"/>
    <n v="636455.35428903101"/>
    <n v="2291239.2754405099"/>
  </r>
  <r>
    <x v="0"/>
    <x v="0"/>
    <x v="0"/>
    <x v="3"/>
    <x v="4"/>
    <s v="DE4-E_A"/>
    <x v="8"/>
    <x v="47"/>
    <x v="0"/>
    <x v="2"/>
    <n v="1874.5849963629801"/>
    <n v="684223.52367248805"/>
    <n v="2463204.6852209601"/>
  </r>
  <r>
    <x v="0"/>
    <x v="0"/>
    <x v="0"/>
    <x v="3"/>
    <x v="4"/>
    <s v="DE4-E_A"/>
    <x v="8"/>
    <x v="47"/>
    <x v="0"/>
    <x v="9"/>
    <n v="2021.9382863220101"/>
    <n v="738007.47450753499"/>
    <n v="2656826.9082271298"/>
  </r>
  <r>
    <x v="0"/>
    <x v="0"/>
    <x v="0"/>
    <x v="3"/>
    <x v="4"/>
    <s v="DE4-E_A"/>
    <x v="8"/>
    <x v="47"/>
    <x v="0"/>
    <x v="10"/>
    <n v="2332.9302498174402"/>
    <n v="851519.54118336597"/>
    <n v="3065470.34826012"/>
  </r>
  <r>
    <x v="0"/>
    <x v="0"/>
    <x v="0"/>
    <x v="3"/>
    <x v="4"/>
    <s v="DE4-E_A"/>
    <x v="8"/>
    <x v="47"/>
    <x v="0"/>
    <x v="11"/>
    <n v="2569.9512541723202"/>
    <n v="938032.20777289604"/>
    <n v="3376915.9479824202"/>
  </r>
  <r>
    <x v="0"/>
    <x v="0"/>
    <x v="0"/>
    <x v="3"/>
    <x v="4"/>
    <s v="DE4-E_A"/>
    <x v="8"/>
    <x v="47"/>
    <x v="0"/>
    <x v="12"/>
    <n v="3162.50376505951"/>
    <n v="1154313.87424672"/>
    <n v="4155529.94728819"/>
  </r>
  <r>
    <x v="0"/>
    <x v="0"/>
    <x v="0"/>
    <x v="3"/>
    <x v="4"/>
    <s v="DE4-E_A"/>
    <x v="8"/>
    <x v="47"/>
    <x v="0"/>
    <x v="13"/>
    <n v="3695.60481541728"/>
    <n v="1348895.75762731"/>
    <n v="4856024.7274583103"/>
  </r>
  <r>
    <x v="0"/>
    <x v="0"/>
    <x v="0"/>
    <x v="3"/>
    <x v="4"/>
    <s v="DE4-E_A"/>
    <x v="8"/>
    <x v="47"/>
    <x v="0"/>
    <x v="14"/>
    <n v="4303.0692437970001"/>
    <n v="1570620.2739859"/>
    <n v="5654232.9863492604"/>
  </r>
  <r>
    <x v="0"/>
    <x v="0"/>
    <x v="0"/>
    <x v="3"/>
    <x v="4"/>
    <s v="DE4-E_A"/>
    <x v="8"/>
    <x v="47"/>
    <x v="0"/>
    <x v="15"/>
    <n v="4902.68529454907"/>
    <n v="1789480.1325104099"/>
    <n v="6442128.4770374699"/>
  </r>
  <r>
    <x v="0"/>
    <x v="0"/>
    <x v="0"/>
    <x v="3"/>
    <x v="4"/>
    <s v="DE4-E_A"/>
    <x v="8"/>
    <x v="47"/>
    <x v="0"/>
    <x v="16"/>
    <n v="5703.2198125688501"/>
    <n v="2081675.23158763"/>
    <n v="7494030.8337154603"/>
  </r>
  <r>
    <x v="0"/>
    <x v="0"/>
    <x v="0"/>
    <x v="3"/>
    <x v="4"/>
    <s v="DE4-E_A"/>
    <x v="8"/>
    <x v="47"/>
    <x v="0"/>
    <x v="17"/>
    <n v="6434.4923980246604"/>
    <n v="2348589.7252790001"/>
    <n v="8454923.0110043995"/>
  </r>
  <r>
    <x v="0"/>
    <x v="0"/>
    <x v="0"/>
    <x v="3"/>
    <x v="4"/>
    <s v="DE4-E_A"/>
    <x v="8"/>
    <x v="47"/>
    <x v="0"/>
    <x v="18"/>
    <n v="7218.1529041450003"/>
    <n v="2634625.8100129198"/>
    <n v="9484652.91604653"/>
  </r>
  <r>
    <x v="0"/>
    <x v="0"/>
    <x v="0"/>
    <x v="3"/>
    <x v="4"/>
    <s v="DE4-E_A"/>
    <x v="8"/>
    <x v="47"/>
    <x v="0"/>
    <x v="19"/>
    <n v="8005.7375990791597"/>
    <n v="2922094.2236638898"/>
    <n v="10519539.205189999"/>
  </r>
  <r>
    <x v="0"/>
    <x v="0"/>
    <x v="0"/>
    <x v="3"/>
    <x v="4"/>
    <s v="DE4-E_A"/>
    <x v="8"/>
    <x v="47"/>
    <x v="0"/>
    <x v="20"/>
    <n v="8678.3435617683299"/>
    <n v="3167595.4000454401"/>
    <n v="11403343.440163599"/>
  </r>
  <r>
    <x v="0"/>
    <x v="0"/>
    <x v="0"/>
    <x v="3"/>
    <x v="4"/>
    <s v="DE4-E_A"/>
    <x v="8"/>
    <x v="47"/>
    <x v="0"/>
    <x v="21"/>
    <n v="9418.2493626145497"/>
    <n v="3437661.01735431"/>
    <n v="12375579.6624755"/>
  </r>
  <r>
    <x v="0"/>
    <x v="0"/>
    <x v="0"/>
    <x v="3"/>
    <x v="4"/>
    <s v="DE4-E_A"/>
    <x v="8"/>
    <x v="47"/>
    <x v="0"/>
    <x v="22"/>
    <n v="10352.0100908636"/>
    <n v="3778483.6831652098"/>
    <n v="13602541.2593948"/>
  </r>
  <r>
    <x v="0"/>
    <x v="0"/>
    <x v="0"/>
    <x v="3"/>
    <x v="4"/>
    <s v="DE4-E_A"/>
    <x v="8"/>
    <x v="47"/>
    <x v="0"/>
    <x v="23"/>
    <n v="10961.0441947688"/>
    <n v="4000781.1310906298"/>
    <n v="14402812.071926299"/>
  </r>
  <r>
    <x v="0"/>
    <x v="0"/>
    <x v="0"/>
    <x v="3"/>
    <x v="4"/>
    <s v="DE4-E_Offshore_A"/>
    <x v="8"/>
    <x v="48"/>
    <x v="0"/>
    <x v="3"/>
    <n v="107.223932542749"/>
    <n v="39136.735378103302"/>
    <n v="140892.24736117199"/>
  </r>
  <r>
    <x v="0"/>
    <x v="0"/>
    <x v="0"/>
    <x v="3"/>
    <x v="4"/>
    <s v="DE4-E_Offshore_A"/>
    <x v="8"/>
    <x v="48"/>
    <x v="0"/>
    <x v="4"/>
    <n v="103.748983773978"/>
    <n v="37868.379077501901"/>
    <n v="136326.16467900699"/>
  </r>
  <r>
    <x v="0"/>
    <x v="0"/>
    <x v="0"/>
    <x v="3"/>
    <x v="4"/>
    <s v="DE4-E_Offshore_A"/>
    <x v="8"/>
    <x v="48"/>
    <x v="0"/>
    <x v="5"/>
    <n v="100.787785131186"/>
    <n v="36787.541572882699"/>
    <n v="132435.14966237801"/>
  </r>
  <r>
    <x v="0"/>
    <x v="0"/>
    <x v="0"/>
    <x v="3"/>
    <x v="4"/>
    <s v="DE4-E_Offshore_A"/>
    <x v="8"/>
    <x v="48"/>
    <x v="0"/>
    <x v="6"/>
    <n v="95.707367218732202"/>
    <n v="34933.189034837204"/>
    <n v="125759.48052541399"/>
  </r>
  <r>
    <x v="0"/>
    <x v="0"/>
    <x v="0"/>
    <x v="3"/>
    <x v="4"/>
    <s v="DE4-E_Offshore_A"/>
    <x v="8"/>
    <x v="48"/>
    <x v="0"/>
    <x v="7"/>
    <n v="87.180542211173403"/>
    <n v="31820.897907078299"/>
    <n v="114555.232465482"/>
  </r>
  <r>
    <x v="0"/>
    <x v="0"/>
    <x v="0"/>
    <x v="3"/>
    <x v="4"/>
    <s v="DE4-E_Offshore_A"/>
    <x v="8"/>
    <x v="48"/>
    <x v="0"/>
    <x v="8"/>
    <n v="79.552779924077001"/>
    <n v="29036.7646722881"/>
    <n v="104532.35282023701"/>
  </r>
  <r>
    <x v="0"/>
    <x v="0"/>
    <x v="0"/>
    <x v="3"/>
    <x v="4"/>
    <s v="DE4-E_Offshore_A"/>
    <x v="8"/>
    <x v="48"/>
    <x v="0"/>
    <x v="0"/>
    <n v="65.574495246413804"/>
    <n v="23934.690764940999"/>
    <n v="86164.886753787796"/>
  </r>
  <r>
    <x v="0"/>
    <x v="0"/>
    <x v="0"/>
    <x v="3"/>
    <x v="4"/>
    <s v="DE4-E_Offshore_A"/>
    <x v="8"/>
    <x v="48"/>
    <x v="0"/>
    <x v="1"/>
    <n v="63.4124634662546"/>
    <n v="23145.5491651829"/>
    <n v="83323.9769946585"/>
  </r>
  <r>
    <x v="0"/>
    <x v="0"/>
    <x v="0"/>
    <x v="3"/>
    <x v="4"/>
    <s v="DE4-E_Offshore_A"/>
    <x v="8"/>
    <x v="48"/>
    <x v="0"/>
    <x v="2"/>
    <n v="68.171787549971398"/>
    <n v="24882.7024557396"/>
    <n v="89577.728840662501"/>
  </r>
  <r>
    <x v="0"/>
    <x v="0"/>
    <x v="0"/>
    <x v="3"/>
    <x v="4"/>
    <s v="DE4-E_Offshore_A"/>
    <x v="8"/>
    <x v="48"/>
    <x v="0"/>
    <x v="9"/>
    <n v="73.530486780663196"/>
    <n v="26838.627674942101"/>
    <n v="96619.059629791402"/>
  </r>
  <r>
    <x v="0"/>
    <x v="0"/>
    <x v="0"/>
    <x v="3"/>
    <x v="4"/>
    <s v="DE4-E_Offshore_A"/>
    <x v="8"/>
    <x v="48"/>
    <x v="0"/>
    <x v="10"/>
    <n v="84.840124970605004"/>
    <n v="30966.645614270801"/>
    <n v="111479.92421137499"/>
  </r>
  <r>
    <x v="0"/>
    <x v="0"/>
    <x v="0"/>
    <x v="3"/>
    <x v="4"/>
    <s v="DE4-E_Offshore_A"/>
    <x v="8"/>
    <x v="48"/>
    <x v="0"/>
    <x v="11"/>
    <n v="93.459710417576503"/>
    <n v="34112.794302415401"/>
    <n v="122806.059488696"/>
  </r>
  <r>
    <x v="0"/>
    <x v="0"/>
    <x v="0"/>
    <x v="3"/>
    <x v="4"/>
    <s v="DE4-E_Offshore_A"/>
    <x v="8"/>
    <x v="48"/>
    <x v="0"/>
    <x v="12"/>
    <n v="115.008674035005"/>
    <n v="41978.166022776903"/>
    <n v="151121.39768199701"/>
  </r>
  <r>
    <x v="0"/>
    <x v="0"/>
    <x v="0"/>
    <x v="3"/>
    <x v="4"/>
    <s v="DE4-E_Offshore_A"/>
    <x v="8"/>
    <x v="48"/>
    <x v="0"/>
    <x v="13"/>
    <n v="134.39560587227501"/>
    <n v="49054.396143380298"/>
    <n v="176595.82611616899"/>
  </r>
  <r>
    <x v="0"/>
    <x v="0"/>
    <x v="0"/>
    <x v="3"/>
    <x v="4"/>
    <s v="DE4-E_Offshore_A"/>
    <x v="8"/>
    <x v="48"/>
    <x v="0"/>
    <x v="14"/>
    <n v="156.48686128934699"/>
    <n v="57117.704370611798"/>
    <n v="205623.735734202"/>
  </r>
  <r>
    <x v="0"/>
    <x v="0"/>
    <x v="0"/>
    <x v="3"/>
    <x v="4"/>
    <s v="DE4-E_Offshore_A"/>
    <x v="8"/>
    <x v="48"/>
    <x v="0"/>
    <x v="15"/>
    <n v="178.29269996976501"/>
    <n v="65076.835488964301"/>
    <n v="234276.607760271"/>
  </r>
  <r>
    <x v="0"/>
    <x v="0"/>
    <x v="0"/>
    <x v="3"/>
    <x v="4"/>
    <s v="DE4-E_Offshore_A"/>
    <x v="8"/>
    <x v="48"/>
    <x v="0"/>
    <x v="16"/>
    <n v="207.40520710854301"/>
    <n v="75702.900594618201"/>
    <n v="272530.44214062602"/>
  </r>
  <r>
    <x v="0"/>
    <x v="0"/>
    <x v="0"/>
    <x v="3"/>
    <x v="4"/>
    <s v="DE4-E_Offshore_A"/>
    <x v="8"/>
    <x v="48"/>
    <x v="0"/>
    <x v="17"/>
    <n v="233.99891154634301"/>
    <n v="85409.602714415305"/>
    <n v="307474.56977189501"/>
  </r>
  <r>
    <x v="0"/>
    <x v="0"/>
    <x v="0"/>
    <x v="3"/>
    <x v="4"/>
    <s v="DE4-E_Offshore_A"/>
    <x v="8"/>
    <x v="48"/>
    <x v="0"/>
    <x v="18"/>
    <n v="262.49777270131398"/>
    <n v="95811.687035979397"/>
    <n v="344922.073329526"/>
  </r>
  <r>
    <x v="0"/>
    <x v="0"/>
    <x v="0"/>
    <x v="3"/>
    <x v="4"/>
    <s v="DE4-E_Offshore_A"/>
    <x v="8"/>
    <x v="48"/>
    <x v="0"/>
    <x v="19"/>
    <n v="291.13934222461103"/>
    <n v="106265.859911983"/>
    <n v="382557.09568313899"/>
  </r>
  <r>
    <x v="0"/>
    <x v="0"/>
    <x v="0"/>
    <x v="3"/>
    <x v="4"/>
    <s v="DE4-E_Offshore_A"/>
    <x v="8"/>
    <x v="48"/>
    <x v="0"/>
    <x v="20"/>
    <n v="315.59955655591801"/>
    <n v="115193.83814291"/>
    <n v="414697.81731447601"/>
  </r>
  <r>
    <x v="0"/>
    <x v="0"/>
    <x v="0"/>
    <x v="3"/>
    <x v="4"/>
    <s v="DE4-E_Offshore_A"/>
    <x v="8"/>
    <x v="48"/>
    <x v="0"/>
    <x v="21"/>
    <n v="342.50721940403798"/>
    <n v="125015.13508247399"/>
    <n v="450054.48629690602"/>
  </r>
  <r>
    <x v="0"/>
    <x v="0"/>
    <x v="0"/>
    <x v="3"/>
    <x v="4"/>
    <s v="DE4-E_Offshore_A"/>
    <x v="8"/>
    <x v="48"/>
    <x v="0"/>
    <x v="22"/>
    <n v="376.46467564752902"/>
    <n v="137409.60661134799"/>
    <n v="494674.583800853"/>
  </r>
  <r>
    <x v="0"/>
    <x v="0"/>
    <x v="0"/>
    <x v="3"/>
    <x v="4"/>
    <s v="DE4-E_Offshore_A"/>
    <x v="8"/>
    <x v="48"/>
    <x v="0"/>
    <x v="23"/>
    <n v="398.61301441193302"/>
    <n v="145493.75026035501"/>
    <n v="523777.50093727902"/>
  </r>
  <r>
    <x v="0"/>
    <x v="0"/>
    <x v="0"/>
    <x v="3"/>
    <x v="5"/>
    <s v="DE4-N_A"/>
    <x v="11"/>
    <x v="153"/>
    <x v="0"/>
    <x v="3"/>
    <n v="0.25"/>
    <n v="91.25"/>
    <n v="328.5"/>
  </r>
  <r>
    <x v="0"/>
    <x v="0"/>
    <x v="0"/>
    <x v="3"/>
    <x v="5"/>
    <s v="DE4-N_A"/>
    <x v="11"/>
    <x v="153"/>
    <x v="0"/>
    <x v="4"/>
    <n v="0.25"/>
    <n v="91.25"/>
    <n v="328.5"/>
  </r>
  <r>
    <x v="0"/>
    <x v="0"/>
    <x v="0"/>
    <x v="3"/>
    <x v="5"/>
    <s v="DE4-N_A"/>
    <x v="11"/>
    <x v="153"/>
    <x v="0"/>
    <x v="5"/>
    <n v="0.25"/>
    <n v="91.25"/>
    <n v="328.5"/>
  </r>
  <r>
    <x v="0"/>
    <x v="0"/>
    <x v="0"/>
    <x v="3"/>
    <x v="5"/>
    <s v="DE4-N_A"/>
    <x v="11"/>
    <x v="153"/>
    <x v="0"/>
    <x v="6"/>
    <n v="0.25"/>
    <n v="91.25"/>
    <n v="328.5"/>
  </r>
  <r>
    <x v="0"/>
    <x v="0"/>
    <x v="0"/>
    <x v="3"/>
    <x v="5"/>
    <s v="DE4-N_A"/>
    <x v="11"/>
    <x v="153"/>
    <x v="0"/>
    <x v="7"/>
    <n v="0.25"/>
    <n v="91.25"/>
    <n v="328.5"/>
  </r>
  <r>
    <x v="0"/>
    <x v="0"/>
    <x v="0"/>
    <x v="3"/>
    <x v="5"/>
    <s v="DE4-N_A"/>
    <x v="11"/>
    <x v="153"/>
    <x v="0"/>
    <x v="8"/>
    <n v="0.25"/>
    <n v="91.25"/>
    <n v="328.5"/>
  </r>
  <r>
    <x v="0"/>
    <x v="0"/>
    <x v="0"/>
    <x v="3"/>
    <x v="5"/>
    <s v="DE4-N_A"/>
    <x v="11"/>
    <x v="153"/>
    <x v="0"/>
    <x v="0"/>
    <n v="0.25"/>
    <n v="91.25"/>
    <n v="328.5"/>
  </r>
  <r>
    <x v="0"/>
    <x v="0"/>
    <x v="0"/>
    <x v="3"/>
    <x v="5"/>
    <s v="DE4-N_A"/>
    <x v="11"/>
    <x v="153"/>
    <x v="0"/>
    <x v="1"/>
    <n v="0.25"/>
    <n v="91.25"/>
    <n v="328.5"/>
  </r>
  <r>
    <x v="0"/>
    <x v="0"/>
    <x v="0"/>
    <x v="3"/>
    <x v="5"/>
    <s v="DE4-N_A"/>
    <x v="11"/>
    <x v="153"/>
    <x v="0"/>
    <x v="2"/>
    <n v="0.25"/>
    <n v="91.25"/>
    <n v="328.5"/>
  </r>
  <r>
    <x v="0"/>
    <x v="0"/>
    <x v="0"/>
    <x v="3"/>
    <x v="5"/>
    <s v="DE4-N_A"/>
    <x v="11"/>
    <x v="153"/>
    <x v="0"/>
    <x v="9"/>
    <n v="0.25"/>
    <n v="91.25"/>
    <n v="328.5"/>
  </r>
  <r>
    <x v="0"/>
    <x v="0"/>
    <x v="0"/>
    <x v="3"/>
    <x v="5"/>
    <s v="DE4-N_A"/>
    <x v="11"/>
    <x v="153"/>
    <x v="0"/>
    <x v="10"/>
    <n v="0.25"/>
    <n v="91.25"/>
    <n v="328.5"/>
  </r>
  <r>
    <x v="0"/>
    <x v="0"/>
    <x v="0"/>
    <x v="3"/>
    <x v="5"/>
    <s v="DE4-N_A"/>
    <x v="11"/>
    <x v="153"/>
    <x v="0"/>
    <x v="11"/>
    <n v="0.25"/>
    <n v="91.25"/>
    <n v="328.5"/>
  </r>
  <r>
    <x v="0"/>
    <x v="0"/>
    <x v="0"/>
    <x v="3"/>
    <x v="5"/>
    <s v="DE4-N_A"/>
    <x v="11"/>
    <x v="153"/>
    <x v="0"/>
    <x v="12"/>
    <n v="0.25"/>
    <n v="91.25"/>
    <n v="328.5"/>
  </r>
  <r>
    <x v="0"/>
    <x v="0"/>
    <x v="0"/>
    <x v="3"/>
    <x v="5"/>
    <s v="DE4-N_A"/>
    <x v="11"/>
    <x v="153"/>
    <x v="0"/>
    <x v="13"/>
    <n v="0.25"/>
    <n v="91.25"/>
    <n v="328.5"/>
  </r>
  <r>
    <x v="0"/>
    <x v="0"/>
    <x v="0"/>
    <x v="3"/>
    <x v="5"/>
    <s v="DE4-N_A"/>
    <x v="11"/>
    <x v="153"/>
    <x v="0"/>
    <x v="14"/>
    <n v="0.25"/>
    <n v="91.25"/>
    <n v="328.5"/>
  </r>
  <r>
    <x v="0"/>
    <x v="0"/>
    <x v="0"/>
    <x v="3"/>
    <x v="5"/>
    <s v="DE4-N_A"/>
    <x v="11"/>
    <x v="153"/>
    <x v="0"/>
    <x v="15"/>
    <n v="0.25"/>
    <n v="91.25"/>
    <n v="328.5"/>
  </r>
  <r>
    <x v="0"/>
    <x v="0"/>
    <x v="0"/>
    <x v="3"/>
    <x v="5"/>
    <s v="DE4-N_A"/>
    <x v="11"/>
    <x v="153"/>
    <x v="0"/>
    <x v="16"/>
    <n v="0.25"/>
    <n v="91.25"/>
    <n v="328.5"/>
  </r>
  <r>
    <x v="0"/>
    <x v="0"/>
    <x v="0"/>
    <x v="3"/>
    <x v="5"/>
    <s v="DE4-N_A"/>
    <x v="11"/>
    <x v="153"/>
    <x v="0"/>
    <x v="17"/>
    <n v="0.25"/>
    <n v="91.25"/>
    <n v="328.5"/>
  </r>
  <r>
    <x v="0"/>
    <x v="0"/>
    <x v="0"/>
    <x v="3"/>
    <x v="5"/>
    <s v="DE4-N_A"/>
    <x v="11"/>
    <x v="153"/>
    <x v="0"/>
    <x v="18"/>
    <n v="0.25"/>
    <n v="91.25"/>
    <n v="328.5"/>
  </r>
  <r>
    <x v="0"/>
    <x v="0"/>
    <x v="0"/>
    <x v="3"/>
    <x v="5"/>
    <s v="DE4-N_A"/>
    <x v="11"/>
    <x v="153"/>
    <x v="0"/>
    <x v="19"/>
    <n v="0.25"/>
    <n v="91.25"/>
    <n v="328.5"/>
  </r>
  <r>
    <x v="0"/>
    <x v="0"/>
    <x v="0"/>
    <x v="3"/>
    <x v="5"/>
    <s v="DE4-N_A"/>
    <x v="11"/>
    <x v="153"/>
    <x v="0"/>
    <x v="20"/>
    <n v="0.25"/>
    <n v="91.25"/>
    <n v="328.5"/>
  </r>
  <r>
    <x v="0"/>
    <x v="0"/>
    <x v="0"/>
    <x v="3"/>
    <x v="5"/>
    <s v="DE4-N_A"/>
    <x v="11"/>
    <x v="153"/>
    <x v="0"/>
    <x v="21"/>
    <n v="0.25"/>
    <n v="91.25"/>
    <n v="328.5"/>
  </r>
  <r>
    <x v="0"/>
    <x v="0"/>
    <x v="0"/>
    <x v="3"/>
    <x v="5"/>
    <s v="DE4-N_A"/>
    <x v="11"/>
    <x v="153"/>
    <x v="0"/>
    <x v="22"/>
    <n v="0.25"/>
    <n v="91.25"/>
    <n v="328.5"/>
  </r>
  <r>
    <x v="0"/>
    <x v="0"/>
    <x v="0"/>
    <x v="3"/>
    <x v="5"/>
    <s v="DE4-N_A"/>
    <x v="11"/>
    <x v="153"/>
    <x v="0"/>
    <x v="23"/>
    <n v="0.25"/>
    <n v="91.25"/>
    <n v="328.5"/>
  </r>
  <r>
    <x v="0"/>
    <x v="0"/>
    <x v="0"/>
    <x v="3"/>
    <x v="5"/>
    <s v="DE4-N_A"/>
    <x v="11"/>
    <x v="135"/>
    <x v="0"/>
    <x v="3"/>
    <n v="1.06666666666667"/>
    <n v="389.33333333333297"/>
    <n v="1401.6"/>
  </r>
  <r>
    <x v="0"/>
    <x v="0"/>
    <x v="0"/>
    <x v="3"/>
    <x v="5"/>
    <s v="DE4-N_A"/>
    <x v="11"/>
    <x v="135"/>
    <x v="0"/>
    <x v="4"/>
    <n v="1.06666666666667"/>
    <n v="389.33333333333297"/>
    <n v="1401.6"/>
  </r>
  <r>
    <x v="0"/>
    <x v="0"/>
    <x v="0"/>
    <x v="3"/>
    <x v="5"/>
    <s v="DE4-N_A"/>
    <x v="11"/>
    <x v="135"/>
    <x v="0"/>
    <x v="5"/>
    <n v="1.06666666666667"/>
    <n v="389.33333333333297"/>
    <n v="1401.6"/>
  </r>
  <r>
    <x v="0"/>
    <x v="0"/>
    <x v="0"/>
    <x v="3"/>
    <x v="5"/>
    <s v="DE4-N_A"/>
    <x v="11"/>
    <x v="135"/>
    <x v="0"/>
    <x v="6"/>
    <n v="1.06666666666667"/>
    <n v="389.33333333333297"/>
    <n v="1401.6"/>
  </r>
  <r>
    <x v="0"/>
    <x v="0"/>
    <x v="0"/>
    <x v="3"/>
    <x v="5"/>
    <s v="DE4-N_A"/>
    <x v="11"/>
    <x v="135"/>
    <x v="0"/>
    <x v="7"/>
    <n v="1.06666666666667"/>
    <n v="389.33333333333297"/>
    <n v="1401.6"/>
  </r>
  <r>
    <x v="0"/>
    <x v="0"/>
    <x v="0"/>
    <x v="3"/>
    <x v="5"/>
    <s v="DE4-N_A"/>
    <x v="11"/>
    <x v="135"/>
    <x v="0"/>
    <x v="8"/>
    <n v="1.06666666666667"/>
    <n v="389.33333333333297"/>
    <n v="1401.6"/>
  </r>
  <r>
    <x v="0"/>
    <x v="0"/>
    <x v="0"/>
    <x v="3"/>
    <x v="5"/>
    <s v="DE4-N_A"/>
    <x v="11"/>
    <x v="135"/>
    <x v="0"/>
    <x v="0"/>
    <n v="1.06666666666667"/>
    <n v="389.33333333333297"/>
    <n v="1401.6"/>
  </r>
  <r>
    <x v="0"/>
    <x v="0"/>
    <x v="0"/>
    <x v="3"/>
    <x v="5"/>
    <s v="DE4-N_A"/>
    <x v="11"/>
    <x v="135"/>
    <x v="0"/>
    <x v="1"/>
    <n v="1.06666666666667"/>
    <n v="389.33333333333297"/>
    <n v="1401.6"/>
  </r>
  <r>
    <x v="0"/>
    <x v="0"/>
    <x v="0"/>
    <x v="3"/>
    <x v="5"/>
    <s v="DE4-N_A"/>
    <x v="11"/>
    <x v="135"/>
    <x v="0"/>
    <x v="2"/>
    <n v="1.06666666666667"/>
    <n v="389.33333333333297"/>
    <n v="1401.6"/>
  </r>
  <r>
    <x v="0"/>
    <x v="0"/>
    <x v="0"/>
    <x v="3"/>
    <x v="5"/>
    <s v="DE4-N_A"/>
    <x v="11"/>
    <x v="135"/>
    <x v="0"/>
    <x v="9"/>
    <n v="1.06666666666667"/>
    <n v="389.33333333333297"/>
    <n v="1401.6"/>
  </r>
  <r>
    <x v="0"/>
    <x v="0"/>
    <x v="0"/>
    <x v="3"/>
    <x v="5"/>
    <s v="DE4-N_A"/>
    <x v="11"/>
    <x v="135"/>
    <x v="0"/>
    <x v="10"/>
    <n v="1.06666666666667"/>
    <n v="389.33333333333297"/>
    <n v="1401.6"/>
  </r>
  <r>
    <x v="0"/>
    <x v="0"/>
    <x v="0"/>
    <x v="3"/>
    <x v="5"/>
    <s v="DE4-N_A"/>
    <x v="11"/>
    <x v="135"/>
    <x v="0"/>
    <x v="11"/>
    <n v="1.06666666666667"/>
    <n v="389.33333333333297"/>
    <n v="1401.6"/>
  </r>
  <r>
    <x v="0"/>
    <x v="0"/>
    <x v="0"/>
    <x v="3"/>
    <x v="5"/>
    <s v="DE4-N_A"/>
    <x v="11"/>
    <x v="135"/>
    <x v="0"/>
    <x v="12"/>
    <n v="1.06666666666667"/>
    <n v="389.33333333333297"/>
    <n v="1401.6"/>
  </r>
  <r>
    <x v="0"/>
    <x v="0"/>
    <x v="0"/>
    <x v="3"/>
    <x v="5"/>
    <s v="DE4-N_A"/>
    <x v="11"/>
    <x v="135"/>
    <x v="0"/>
    <x v="13"/>
    <n v="1.06666666666667"/>
    <n v="389.33333333333297"/>
    <n v="1401.6"/>
  </r>
  <r>
    <x v="0"/>
    <x v="0"/>
    <x v="0"/>
    <x v="3"/>
    <x v="5"/>
    <s v="DE4-N_A"/>
    <x v="11"/>
    <x v="135"/>
    <x v="0"/>
    <x v="14"/>
    <n v="1.06666666666667"/>
    <n v="389.33333333333297"/>
    <n v="1401.6"/>
  </r>
  <r>
    <x v="0"/>
    <x v="0"/>
    <x v="0"/>
    <x v="3"/>
    <x v="5"/>
    <s v="DE4-N_A"/>
    <x v="11"/>
    <x v="135"/>
    <x v="0"/>
    <x v="15"/>
    <n v="1.06666666666667"/>
    <n v="389.33333333333297"/>
    <n v="1401.6"/>
  </r>
  <r>
    <x v="0"/>
    <x v="0"/>
    <x v="0"/>
    <x v="3"/>
    <x v="5"/>
    <s v="DE4-N_A"/>
    <x v="11"/>
    <x v="135"/>
    <x v="0"/>
    <x v="16"/>
    <n v="1.06666666666667"/>
    <n v="389.33333333333297"/>
    <n v="1401.6"/>
  </r>
  <r>
    <x v="0"/>
    <x v="0"/>
    <x v="0"/>
    <x v="3"/>
    <x v="5"/>
    <s v="DE4-N_A"/>
    <x v="11"/>
    <x v="135"/>
    <x v="0"/>
    <x v="17"/>
    <n v="1.06666666666667"/>
    <n v="389.33333333333297"/>
    <n v="1401.6"/>
  </r>
  <r>
    <x v="0"/>
    <x v="0"/>
    <x v="0"/>
    <x v="3"/>
    <x v="5"/>
    <s v="DE4-N_A"/>
    <x v="11"/>
    <x v="135"/>
    <x v="0"/>
    <x v="18"/>
    <n v="1.06666666666667"/>
    <n v="389.33333333333297"/>
    <n v="1401.6"/>
  </r>
  <r>
    <x v="0"/>
    <x v="0"/>
    <x v="0"/>
    <x v="3"/>
    <x v="5"/>
    <s v="DE4-N_A"/>
    <x v="11"/>
    <x v="135"/>
    <x v="0"/>
    <x v="19"/>
    <n v="1.06666666666667"/>
    <n v="389.33333333333297"/>
    <n v="1401.6"/>
  </r>
  <r>
    <x v="0"/>
    <x v="0"/>
    <x v="0"/>
    <x v="3"/>
    <x v="5"/>
    <s v="DE4-N_A"/>
    <x v="11"/>
    <x v="135"/>
    <x v="0"/>
    <x v="20"/>
    <n v="1.06666666666667"/>
    <n v="389.33333333333297"/>
    <n v="1401.6"/>
  </r>
  <r>
    <x v="0"/>
    <x v="0"/>
    <x v="0"/>
    <x v="3"/>
    <x v="5"/>
    <s v="DE4-N_A"/>
    <x v="11"/>
    <x v="135"/>
    <x v="0"/>
    <x v="21"/>
    <n v="1.06666666666667"/>
    <n v="389.33333333333297"/>
    <n v="1401.6"/>
  </r>
  <r>
    <x v="0"/>
    <x v="0"/>
    <x v="0"/>
    <x v="3"/>
    <x v="5"/>
    <s v="DE4-N_A"/>
    <x v="11"/>
    <x v="135"/>
    <x v="0"/>
    <x v="22"/>
    <n v="1.06666666666667"/>
    <n v="389.33333333333297"/>
    <n v="1401.6"/>
  </r>
  <r>
    <x v="0"/>
    <x v="0"/>
    <x v="0"/>
    <x v="3"/>
    <x v="5"/>
    <s v="DE4-N_A"/>
    <x v="11"/>
    <x v="135"/>
    <x v="0"/>
    <x v="23"/>
    <n v="1.06666666666667"/>
    <n v="389.33333333333297"/>
    <n v="1401.6"/>
  </r>
  <r>
    <x v="0"/>
    <x v="0"/>
    <x v="0"/>
    <x v="3"/>
    <x v="5"/>
    <s v="DE4-N_A"/>
    <x v="11"/>
    <x v="136"/>
    <x v="0"/>
    <x v="1"/>
    <n v="1100.72727272727"/>
    <n v="401765.454545455"/>
    <n v="1446355.63636364"/>
  </r>
  <r>
    <x v="0"/>
    <x v="0"/>
    <x v="0"/>
    <x v="3"/>
    <x v="5"/>
    <s v="DE4-N_A"/>
    <x v="11"/>
    <x v="136"/>
    <x v="0"/>
    <x v="2"/>
    <n v="1100.72727272727"/>
    <n v="401765.454545455"/>
    <n v="1446355.63636364"/>
  </r>
  <r>
    <x v="0"/>
    <x v="0"/>
    <x v="0"/>
    <x v="3"/>
    <x v="5"/>
    <s v="DE4-N_A"/>
    <x v="11"/>
    <x v="136"/>
    <x v="0"/>
    <x v="9"/>
    <n v="1100.72727272727"/>
    <n v="401765.454545455"/>
    <n v="1446355.63636364"/>
  </r>
  <r>
    <x v="0"/>
    <x v="0"/>
    <x v="0"/>
    <x v="3"/>
    <x v="5"/>
    <s v="DE4-N_A"/>
    <x v="11"/>
    <x v="137"/>
    <x v="0"/>
    <x v="3"/>
    <n v="52.631578947368403"/>
    <n v="19210.526315789499"/>
    <n v="69157.894736842107"/>
  </r>
  <r>
    <x v="0"/>
    <x v="0"/>
    <x v="0"/>
    <x v="3"/>
    <x v="5"/>
    <s v="DE4-N_A"/>
    <x v="11"/>
    <x v="137"/>
    <x v="0"/>
    <x v="4"/>
    <n v="52.631578947368403"/>
    <n v="19210.526315789499"/>
    <n v="69157.894736842107"/>
  </r>
  <r>
    <x v="0"/>
    <x v="0"/>
    <x v="0"/>
    <x v="3"/>
    <x v="5"/>
    <s v="DE4-N_A"/>
    <x v="11"/>
    <x v="137"/>
    <x v="0"/>
    <x v="5"/>
    <n v="52.631578947368403"/>
    <n v="19210.526315789499"/>
    <n v="69157.894736842107"/>
  </r>
  <r>
    <x v="0"/>
    <x v="0"/>
    <x v="0"/>
    <x v="3"/>
    <x v="5"/>
    <s v="DE4-N_A"/>
    <x v="11"/>
    <x v="137"/>
    <x v="0"/>
    <x v="6"/>
    <n v="52.631578947368403"/>
    <n v="19210.526315789499"/>
    <n v="69157.894736842107"/>
  </r>
  <r>
    <x v="0"/>
    <x v="0"/>
    <x v="0"/>
    <x v="3"/>
    <x v="5"/>
    <s v="DE4-N_A"/>
    <x v="11"/>
    <x v="137"/>
    <x v="0"/>
    <x v="7"/>
    <n v="52.631578947368403"/>
    <n v="19210.526315789499"/>
    <n v="69157.894736842107"/>
  </r>
  <r>
    <x v="0"/>
    <x v="0"/>
    <x v="0"/>
    <x v="3"/>
    <x v="5"/>
    <s v="DE4-N_A"/>
    <x v="11"/>
    <x v="137"/>
    <x v="0"/>
    <x v="8"/>
    <n v="52.631578947368403"/>
    <n v="19210.526315789499"/>
    <n v="69157.894736842107"/>
  </r>
  <r>
    <x v="0"/>
    <x v="0"/>
    <x v="0"/>
    <x v="3"/>
    <x v="5"/>
    <s v="DE4-N_A"/>
    <x v="11"/>
    <x v="137"/>
    <x v="0"/>
    <x v="0"/>
    <n v="52.631578947368403"/>
    <n v="19210.526315789499"/>
    <n v="69157.894736842107"/>
  </r>
  <r>
    <x v="0"/>
    <x v="0"/>
    <x v="0"/>
    <x v="3"/>
    <x v="5"/>
    <s v="DE4-N_A"/>
    <x v="11"/>
    <x v="137"/>
    <x v="0"/>
    <x v="1"/>
    <n v="52.631578947368403"/>
    <n v="19210.526315789499"/>
    <n v="69157.894736842107"/>
  </r>
  <r>
    <x v="0"/>
    <x v="0"/>
    <x v="0"/>
    <x v="3"/>
    <x v="5"/>
    <s v="DE4-N_A"/>
    <x v="11"/>
    <x v="137"/>
    <x v="0"/>
    <x v="2"/>
    <n v="52.631578947368403"/>
    <n v="19210.526315789499"/>
    <n v="69157.894736842107"/>
  </r>
  <r>
    <x v="0"/>
    <x v="0"/>
    <x v="0"/>
    <x v="3"/>
    <x v="5"/>
    <s v="DE4-N_A"/>
    <x v="11"/>
    <x v="137"/>
    <x v="0"/>
    <x v="9"/>
    <n v="52.631578947368403"/>
    <n v="19210.526315789499"/>
    <n v="69157.894736842107"/>
  </r>
  <r>
    <x v="0"/>
    <x v="0"/>
    <x v="0"/>
    <x v="3"/>
    <x v="5"/>
    <s v="DE4-N_A"/>
    <x v="11"/>
    <x v="137"/>
    <x v="0"/>
    <x v="10"/>
    <n v="52.631578947368403"/>
    <n v="19210.526315789499"/>
    <n v="69157.894736842107"/>
  </r>
  <r>
    <x v="0"/>
    <x v="0"/>
    <x v="0"/>
    <x v="3"/>
    <x v="5"/>
    <s v="DE4-N_A"/>
    <x v="11"/>
    <x v="137"/>
    <x v="0"/>
    <x v="11"/>
    <n v="52.631578947368403"/>
    <n v="19210.526315789499"/>
    <n v="69157.894736842107"/>
  </r>
  <r>
    <x v="0"/>
    <x v="0"/>
    <x v="0"/>
    <x v="3"/>
    <x v="5"/>
    <s v="DE4-N_A"/>
    <x v="11"/>
    <x v="137"/>
    <x v="0"/>
    <x v="12"/>
    <n v="52.631578947368403"/>
    <n v="19210.526315789499"/>
    <n v="69157.894736842107"/>
  </r>
  <r>
    <x v="0"/>
    <x v="0"/>
    <x v="0"/>
    <x v="3"/>
    <x v="5"/>
    <s v="DE4-N_A"/>
    <x v="11"/>
    <x v="137"/>
    <x v="0"/>
    <x v="13"/>
    <n v="52.631578947368403"/>
    <n v="19210.526315789499"/>
    <n v="69157.894736842107"/>
  </r>
  <r>
    <x v="0"/>
    <x v="0"/>
    <x v="0"/>
    <x v="3"/>
    <x v="5"/>
    <s v="DE4-N_A"/>
    <x v="11"/>
    <x v="137"/>
    <x v="0"/>
    <x v="14"/>
    <n v="52.631578947368403"/>
    <n v="19210.526315789499"/>
    <n v="69157.894736842107"/>
  </r>
  <r>
    <x v="0"/>
    <x v="0"/>
    <x v="0"/>
    <x v="3"/>
    <x v="5"/>
    <s v="DE4-N_A"/>
    <x v="11"/>
    <x v="137"/>
    <x v="0"/>
    <x v="15"/>
    <n v="52.631578947368403"/>
    <n v="19210.526315789499"/>
    <n v="69157.894736842107"/>
  </r>
  <r>
    <x v="0"/>
    <x v="0"/>
    <x v="0"/>
    <x v="3"/>
    <x v="5"/>
    <s v="DE4-N_A"/>
    <x v="11"/>
    <x v="137"/>
    <x v="0"/>
    <x v="16"/>
    <n v="52.631578947368403"/>
    <n v="19210.526315789499"/>
    <n v="69157.894736842107"/>
  </r>
  <r>
    <x v="0"/>
    <x v="0"/>
    <x v="0"/>
    <x v="3"/>
    <x v="5"/>
    <s v="DE4-N_A"/>
    <x v="11"/>
    <x v="137"/>
    <x v="0"/>
    <x v="17"/>
    <n v="52.631578947368403"/>
    <n v="19210.526315789499"/>
    <n v="69157.894736842107"/>
  </r>
  <r>
    <x v="0"/>
    <x v="0"/>
    <x v="0"/>
    <x v="3"/>
    <x v="5"/>
    <s v="DE4-N_A"/>
    <x v="11"/>
    <x v="137"/>
    <x v="0"/>
    <x v="18"/>
    <n v="52.631578947368403"/>
    <n v="19210.526315789499"/>
    <n v="69157.894736842107"/>
  </r>
  <r>
    <x v="0"/>
    <x v="0"/>
    <x v="0"/>
    <x v="3"/>
    <x v="5"/>
    <s v="DE4-N_A"/>
    <x v="11"/>
    <x v="137"/>
    <x v="0"/>
    <x v="19"/>
    <n v="52.631578947368403"/>
    <n v="19210.526315789499"/>
    <n v="69157.894736842107"/>
  </r>
  <r>
    <x v="0"/>
    <x v="0"/>
    <x v="0"/>
    <x v="3"/>
    <x v="5"/>
    <s v="DE4-N_A"/>
    <x v="11"/>
    <x v="137"/>
    <x v="0"/>
    <x v="20"/>
    <n v="52.631578947368403"/>
    <n v="19210.526315789499"/>
    <n v="69157.894736842107"/>
  </r>
  <r>
    <x v="0"/>
    <x v="0"/>
    <x v="0"/>
    <x v="3"/>
    <x v="5"/>
    <s v="DE4-N_A"/>
    <x v="11"/>
    <x v="137"/>
    <x v="0"/>
    <x v="21"/>
    <n v="52.631578947368403"/>
    <n v="19210.526315789499"/>
    <n v="69157.894736842107"/>
  </r>
  <r>
    <x v="0"/>
    <x v="0"/>
    <x v="0"/>
    <x v="3"/>
    <x v="5"/>
    <s v="DE4-N_A"/>
    <x v="11"/>
    <x v="137"/>
    <x v="0"/>
    <x v="22"/>
    <n v="52.631578947368403"/>
    <n v="19210.526315789499"/>
    <n v="69157.894736842107"/>
  </r>
  <r>
    <x v="0"/>
    <x v="0"/>
    <x v="0"/>
    <x v="3"/>
    <x v="5"/>
    <s v="DE4-N_A"/>
    <x v="11"/>
    <x v="137"/>
    <x v="0"/>
    <x v="23"/>
    <n v="52.631578947368403"/>
    <n v="19210.526315789499"/>
    <n v="69157.894736842107"/>
  </r>
  <r>
    <x v="0"/>
    <x v="0"/>
    <x v="0"/>
    <x v="3"/>
    <x v="5"/>
    <s v="DE4-N_A"/>
    <x v="0"/>
    <x v="154"/>
    <x v="0"/>
    <x v="1"/>
    <n v="13.128719249507499"/>
    <n v="4791.9825260702501"/>
    <n v="17251.1370938529"/>
  </r>
  <r>
    <x v="0"/>
    <x v="0"/>
    <x v="0"/>
    <x v="3"/>
    <x v="5"/>
    <s v="DE4-N_A"/>
    <x v="0"/>
    <x v="154"/>
    <x v="0"/>
    <x v="2"/>
    <n v="2158.1262690809799"/>
    <n v="787716.08821455797"/>
    <n v="2835777.9175724098"/>
  </r>
  <r>
    <x v="0"/>
    <x v="0"/>
    <x v="0"/>
    <x v="3"/>
    <x v="5"/>
    <s v="DE4-N_A"/>
    <x v="19"/>
    <x v="155"/>
    <x v="0"/>
    <x v="1"/>
    <n v="9.3333333333333296E-2"/>
    <n v="34.066666666666698"/>
    <n v="122.64"/>
  </r>
  <r>
    <x v="0"/>
    <x v="0"/>
    <x v="0"/>
    <x v="3"/>
    <x v="5"/>
    <s v="DE4-N_A"/>
    <x v="19"/>
    <x v="155"/>
    <x v="0"/>
    <x v="2"/>
    <n v="9.3333333333333296E-2"/>
    <n v="34.066666666666698"/>
    <n v="122.64"/>
  </r>
  <r>
    <x v="0"/>
    <x v="0"/>
    <x v="0"/>
    <x v="3"/>
    <x v="5"/>
    <s v="DE4-N_A"/>
    <x v="19"/>
    <x v="155"/>
    <x v="0"/>
    <x v="9"/>
    <n v="9.3333333333333296E-2"/>
    <n v="34.066666666666698"/>
    <n v="122.64"/>
  </r>
  <r>
    <x v="0"/>
    <x v="0"/>
    <x v="0"/>
    <x v="3"/>
    <x v="5"/>
    <s v="DE4-N_A"/>
    <x v="19"/>
    <x v="155"/>
    <x v="0"/>
    <x v="10"/>
    <n v="9.3333333333333296E-2"/>
    <n v="34.066666666666698"/>
    <n v="122.64"/>
  </r>
  <r>
    <x v="0"/>
    <x v="0"/>
    <x v="0"/>
    <x v="3"/>
    <x v="5"/>
    <s v="DE4-N_A"/>
    <x v="19"/>
    <x v="156"/>
    <x v="0"/>
    <x v="3"/>
    <n v="16.641369863013701"/>
    <n v="6074.0999999999904"/>
    <n v="21866.76"/>
  </r>
  <r>
    <x v="0"/>
    <x v="0"/>
    <x v="0"/>
    <x v="3"/>
    <x v="5"/>
    <s v="DE4-N_A"/>
    <x v="19"/>
    <x v="156"/>
    <x v="0"/>
    <x v="4"/>
    <n v="119.1"/>
    <n v="43471.5"/>
    <n v="156497.4"/>
  </r>
  <r>
    <x v="0"/>
    <x v="0"/>
    <x v="0"/>
    <x v="3"/>
    <x v="5"/>
    <s v="DE4-N_A"/>
    <x v="19"/>
    <x v="156"/>
    <x v="0"/>
    <x v="1"/>
    <n v="119.1"/>
    <n v="43471.5"/>
    <n v="156497.4"/>
  </r>
  <r>
    <x v="0"/>
    <x v="0"/>
    <x v="0"/>
    <x v="3"/>
    <x v="5"/>
    <s v="DE4-N_A"/>
    <x v="19"/>
    <x v="156"/>
    <x v="0"/>
    <x v="2"/>
    <n v="16.641369863013701"/>
    <n v="6074.1"/>
    <n v="21866.76"/>
  </r>
  <r>
    <x v="0"/>
    <x v="0"/>
    <x v="0"/>
    <x v="3"/>
    <x v="5"/>
    <s v="DE4-N_A"/>
    <x v="19"/>
    <x v="156"/>
    <x v="0"/>
    <x v="15"/>
    <n v="119.1"/>
    <n v="43471.5"/>
    <n v="156497.4"/>
  </r>
  <r>
    <x v="0"/>
    <x v="0"/>
    <x v="0"/>
    <x v="3"/>
    <x v="5"/>
    <s v="DE4-N_A"/>
    <x v="19"/>
    <x v="156"/>
    <x v="0"/>
    <x v="17"/>
    <n v="119.1"/>
    <n v="43471.5"/>
    <n v="156497.4"/>
  </r>
  <r>
    <x v="0"/>
    <x v="0"/>
    <x v="0"/>
    <x v="3"/>
    <x v="5"/>
    <s v="DE4-N_A"/>
    <x v="19"/>
    <x v="156"/>
    <x v="0"/>
    <x v="22"/>
    <n v="102.458630136986"/>
    <n v="37397.4"/>
    <n v="134630.64000000001"/>
  </r>
  <r>
    <x v="0"/>
    <x v="0"/>
    <x v="0"/>
    <x v="3"/>
    <x v="5"/>
    <s v="DE4-N_A"/>
    <x v="19"/>
    <x v="141"/>
    <x v="0"/>
    <x v="0"/>
    <n v="537.07828239238495"/>
    <n v="196033.57307322099"/>
    <n v="705720.86306359398"/>
  </r>
  <r>
    <x v="0"/>
    <x v="0"/>
    <x v="0"/>
    <x v="3"/>
    <x v="5"/>
    <s v="DE4-N_A"/>
    <x v="19"/>
    <x v="141"/>
    <x v="0"/>
    <x v="1"/>
    <n v="858.9160301375"/>
    <n v="313504.35100018798"/>
    <n v="1128615.66360068"/>
  </r>
  <r>
    <x v="0"/>
    <x v="0"/>
    <x v="0"/>
    <x v="3"/>
    <x v="5"/>
    <s v="DE4-N_A"/>
    <x v="19"/>
    <x v="141"/>
    <x v="0"/>
    <x v="2"/>
    <n v="858.9160301375"/>
    <n v="313504.35100018798"/>
    <n v="1128615.66360068"/>
  </r>
  <r>
    <x v="0"/>
    <x v="0"/>
    <x v="0"/>
    <x v="3"/>
    <x v="5"/>
    <s v="DE4-N_A"/>
    <x v="19"/>
    <x v="141"/>
    <x v="0"/>
    <x v="9"/>
    <n v="858.9160301375"/>
    <n v="313504.35100018798"/>
    <n v="1128615.66360068"/>
  </r>
  <r>
    <x v="0"/>
    <x v="0"/>
    <x v="0"/>
    <x v="3"/>
    <x v="5"/>
    <s v="DE4-N_A"/>
    <x v="19"/>
    <x v="141"/>
    <x v="0"/>
    <x v="10"/>
    <n v="858.9160301375"/>
    <n v="313504.35100018798"/>
    <n v="1128615.66360068"/>
  </r>
  <r>
    <x v="0"/>
    <x v="0"/>
    <x v="0"/>
    <x v="3"/>
    <x v="5"/>
    <s v="DE4-N_A"/>
    <x v="14"/>
    <x v="157"/>
    <x v="0"/>
    <x v="3"/>
    <n v="212.857142857143"/>
    <n v="77692.857142857101"/>
    <n v="279694.28571428597"/>
  </r>
  <r>
    <x v="0"/>
    <x v="0"/>
    <x v="0"/>
    <x v="3"/>
    <x v="5"/>
    <s v="DE4-N_A"/>
    <x v="14"/>
    <x v="157"/>
    <x v="0"/>
    <x v="4"/>
    <n v="212.857142857143"/>
    <n v="77692.857142857101"/>
    <n v="279694.28571428597"/>
  </r>
  <r>
    <x v="0"/>
    <x v="0"/>
    <x v="0"/>
    <x v="3"/>
    <x v="5"/>
    <s v="DE4-N_A"/>
    <x v="14"/>
    <x v="157"/>
    <x v="0"/>
    <x v="5"/>
    <n v="212.857142857143"/>
    <n v="77692.857142857101"/>
    <n v="279694.28571428597"/>
  </r>
  <r>
    <x v="0"/>
    <x v="0"/>
    <x v="0"/>
    <x v="3"/>
    <x v="5"/>
    <s v="DE4-N_A"/>
    <x v="14"/>
    <x v="157"/>
    <x v="0"/>
    <x v="6"/>
    <n v="212.857142857143"/>
    <n v="77692.857142857101"/>
    <n v="279694.28571428597"/>
  </r>
  <r>
    <x v="0"/>
    <x v="0"/>
    <x v="0"/>
    <x v="3"/>
    <x v="5"/>
    <s v="DE4-N_A"/>
    <x v="14"/>
    <x v="157"/>
    <x v="0"/>
    <x v="7"/>
    <n v="212.857142857143"/>
    <n v="77692.857142857101"/>
    <n v="279694.28571428597"/>
  </r>
  <r>
    <x v="0"/>
    <x v="0"/>
    <x v="0"/>
    <x v="3"/>
    <x v="5"/>
    <s v="DE4-N_A"/>
    <x v="14"/>
    <x v="157"/>
    <x v="0"/>
    <x v="8"/>
    <n v="212.857142857143"/>
    <n v="77692.857142857101"/>
    <n v="279694.28571428597"/>
  </r>
  <r>
    <x v="0"/>
    <x v="0"/>
    <x v="0"/>
    <x v="3"/>
    <x v="5"/>
    <s v="DE4-N_A"/>
    <x v="14"/>
    <x v="157"/>
    <x v="0"/>
    <x v="0"/>
    <n v="212.857142857143"/>
    <n v="77692.857142857101"/>
    <n v="279694.28571428597"/>
  </r>
  <r>
    <x v="0"/>
    <x v="0"/>
    <x v="0"/>
    <x v="3"/>
    <x v="5"/>
    <s v="DE4-N_A"/>
    <x v="14"/>
    <x v="157"/>
    <x v="0"/>
    <x v="1"/>
    <n v="212.857142857143"/>
    <n v="77692.857142857101"/>
    <n v="279694.28571428597"/>
  </r>
  <r>
    <x v="0"/>
    <x v="0"/>
    <x v="0"/>
    <x v="3"/>
    <x v="5"/>
    <s v="DE4-N_A"/>
    <x v="14"/>
    <x v="157"/>
    <x v="0"/>
    <x v="2"/>
    <n v="212.857142857143"/>
    <n v="77692.857142857101"/>
    <n v="279694.28571428597"/>
  </r>
  <r>
    <x v="0"/>
    <x v="0"/>
    <x v="0"/>
    <x v="3"/>
    <x v="5"/>
    <s v="DE4-N_A"/>
    <x v="14"/>
    <x v="157"/>
    <x v="0"/>
    <x v="9"/>
    <n v="212.857142857143"/>
    <n v="77692.857142857101"/>
    <n v="279694.28571428597"/>
  </r>
  <r>
    <x v="0"/>
    <x v="0"/>
    <x v="0"/>
    <x v="3"/>
    <x v="5"/>
    <s v="DE4-N_A"/>
    <x v="14"/>
    <x v="157"/>
    <x v="0"/>
    <x v="10"/>
    <n v="212.857142857143"/>
    <n v="77692.857142857101"/>
    <n v="279694.28571428597"/>
  </r>
  <r>
    <x v="0"/>
    <x v="0"/>
    <x v="0"/>
    <x v="3"/>
    <x v="5"/>
    <s v="DE4-N_A"/>
    <x v="14"/>
    <x v="157"/>
    <x v="0"/>
    <x v="11"/>
    <n v="212.857142857143"/>
    <n v="77692.857142857101"/>
    <n v="279694.28571428597"/>
  </r>
  <r>
    <x v="0"/>
    <x v="0"/>
    <x v="0"/>
    <x v="3"/>
    <x v="5"/>
    <s v="DE4-N_A"/>
    <x v="14"/>
    <x v="157"/>
    <x v="0"/>
    <x v="12"/>
    <n v="212.857142857143"/>
    <n v="77692.857142857101"/>
    <n v="279694.28571428597"/>
  </r>
  <r>
    <x v="0"/>
    <x v="0"/>
    <x v="0"/>
    <x v="3"/>
    <x v="5"/>
    <s v="DE4-N_A"/>
    <x v="14"/>
    <x v="157"/>
    <x v="0"/>
    <x v="13"/>
    <n v="212.857142857143"/>
    <n v="77692.857142857101"/>
    <n v="279694.28571428597"/>
  </r>
  <r>
    <x v="0"/>
    <x v="0"/>
    <x v="0"/>
    <x v="3"/>
    <x v="5"/>
    <s v="DE4-N_A"/>
    <x v="14"/>
    <x v="157"/>
    <x v="0"/>
    <x v="14"/>
    <n v="212.857142857143"/>
    <n v="77692.857142857101"/>
    <n v="279694.28571428597"/>
  </r>
  <r>
    <x v="0"/>
    <x v="0"/>
    <x v="0"/>
    <x v="3"/>
    <x v="5"/>
    <s v="DE4-N_A"/>
    <x v="14"/>
    <x v="157"/>
    <x v="0"/>
    <x v="15"/>
    <n v="212.857142857143"/>
    <n v="77692.857142857101"/>
    <n v="279694.28571428597"/>
  </r>
  <r>
    <x v="0"/>
    <x v="0"/>
    <x v="0"/>
    <x v="3"/>
    <x v="5"/>
    <s v="DE4-N_A"/>
    <x v="14"/>
    <x v="157"/>
    <x v="0"/>
    <x v="16"/>
    <n v="212.857142857143"/>
    <n v="77692.857142857101"/>
    <n v="279694.28571428597"/>
  </r>
  <r>
    <x v="0"/>
    <x v="0"/>
    <x v="0"/>
    <x v="3"/>
    <x v="5"/>
    <s v="DE4-N_A"/>
    <x v="14"/>
    <x v="157"/>
    <x v="0"/>
    <x v="17"/>
    <n v="212.857142857143"/>
    <n v="77692.857142857101"/>
    <n v="279694.28571428597"/>
  </r>
  <r>
    <x v="0"/>
    <x v="0"/>
    <x v="0"/>
    <x v="3"/>
    <x v="5"/>
    <s v="DE4-N_A"/>
    <x v="14"/>
    <x v="157"/>
    <x v="0"/>
    <x v="18"/>
    <n v="212.857142857143"/>
    <n v="77692.857142857101"/>
    <n v="279694.28571428597"/>
  </r>
  <r>
    <x v="0"/>
    <x v="0"/>
    <x v="0"/>
    <x v="3"/>
    <x v="5"/>
    <s v="DE4-N_A"/>
    <x v="14"/>
    <x v="157"/>
    <x v="0"/>
    <x v="19"/>
    <n v="212.857142857143"/>
    <n v="77692.857142857101"/>
    <n v="279694.28571428597"/>
  </r>
  <r>
    <x v="0"/>
    <x v="0"/>
    <x v="0"/>
    <x v="3"/>
    <x v="5"/>
    <s v="DE4-N_A"/>
    <x v="14"/>
    <x v="157"/>
    <x v="0"/>
    <x v="20"/>
    <n v="212.857142857143"/>
    <n v="77692.857142857101"/>
    <n v="279694.28571428597"/>
  </r>
  <r>
    <x v="0"/>
    <x v="0"/>
    <x v="0"/>
    <x v="3"/>
    <x v="5"/>
    <s v="DE4-N_A"/>
    <x v="14"/>
    <x v="157"/>
    <x v="0"/>
    <x v="21"/>
    <n v="212.857142857143"/>
    <n v="77692.857142857101"/>
    <n v="279694.28571428597"/>
  </r>
  <r>
    <x v="0"/>
    <x v="0"/>
    <x v="0"/>
    <x v="3"/>
    <x v="5"/>
    <s v="DE4-N_A"/>
    <x v="14"/>
    <x v="157"/>
    <x v="0"/>
    <x v="22"/>
    <n v="212.857142857143"/>
    <n v="77692.857142857101"/>
    <n v="279694.28571428597"/>
  </r>
  <r>
    <x v="0"/>
    <x v="0"/>
    <x v="0"/>
    <x v="3"/>
    <x v="5"/>
    <s v="DE4-N_A"/>
    <x v="14"/>
    <x v="157"/>
    <x v="0"/>
    <x v="23"/>
    <n v="212.857142857143"/>
    <n v="77692.857142857101"/>
    <n v="279694.28571428597"/>
  </r>
  <r>
    <x v="0"/>
    <x v="0"/>
    <x v="0"/>
    <x v="3"/>
    <x v="5"/>
    <s v="DE4-N_A"/>
    <x v="14"/>
    <x v="158"/>
    <x v="0"/>
    <x v="3"/>
    <n v="100"/>
    <n v="36500"/>
    <n v="131400"/>
  </r>
  <r>
    <x v="0"/>
    <x v="0"/>
    <x v="0"/>
    <x v="3"/>
    <x v="5"/>
    <s v="DE4-N_A"/>
    <x v="14"/>
    <x v="158"/>
    <x v="0"/>
    <x v="4"/>
    <n v="100"/>
    <n v="36500"/>
    <n v="131400"/>
  </r>
  <r>
    <x v="0"/>
    <x v="0"/>
    <x v="0"/>
    <x v="3"/>
    <x v="5"/>
    <s v="DE4-N_A"/>
    <x v="14"/>
    <x v="158"/>
    <x v="0"/>
    <x v="5"/>
    <n v="100"/>
    <n v="36500"/>
    <n v="131400"/>
  </r>
  <r>
    <x v="0"/>
    <x v="0"/>
    <x v="0"/>
    <x v="3"/>
    <x v="5"/>
    <s v="DE4-N_A"/>
    <x v="14"/>
    <x v="158"/>
    <x v="0"/>
    <x v="6"/>
    <n v="100"/>
    <n v="36500"/>
    <n v="131400"/>
  </r>
  <r>
    <x v="0"/>
    <x v="0"/>
    <x v="0"/>
    <x v="3"/>
    <x v="5"/>
    <s v="DE4-N_A"/>
    <x v="14"/>
    <x v="158"/>
    <x v="0"/>
    <x v="7"/>
    <n v="100"/>
    <n v="36500"/>
    <n v="131400"/>
  </r>
  <r>
    <x v="0"/>
    <x v="0"/>
    <x v="0"/>
    <x v="3"/>
    <x v="5"/>
    <s v="DE4-N_A"/>
    <x v="14"/>
    <x v="158"/>
    <x v="0"/>
    <x v="8"/>
    <n v="100"/>
    <n v="36500"/>
    <n v="131400"/>
  </r>
  <r>
    <x v="0"/>
    <x v="0"/>
    <x v="0"/>
    <x v="3"/>
    <x v="5"/>
    <s v="DE4-N_A"/>
    <x v="14"/>
    <x v="158"/>
    <x v="0"/>
    <x v="0"/>
    <n v="100"/>
    <n v="36500"/>
    <n v="131400"/>
  </r>
  <r>
    <x v="0"/>
    <x v="0"/>
    <x v="0"/>
    <x v="3"/>
    <x v="5"/>
    <s v="DE4-N_A"/>
    <x v="14"/>
    <x v="158"/>
    <x v="0"/>
    <x v="1"/>
    <n v="100"/>
    <n v="36500"/>
    <n v="131400"/>
  </r>
  <r>
    <x v="0"/>
    <x v="0"/>
    <x v="0"/>
    <x v="3"/>
    <x v="5"/>
    <s v="DE4-N_A"/>
    <x v="14"/>
    <x v="158"/>
    <x v="0"/>
    <x v="2"/>
    <n v="100"/>
    <n v="36500"/>
    <n v="131400"/>
  </r>
  <r>
    <x v="0"/>
    <x v="0"/>
    <x v="0"/>
    <x v="3"/>
    <x v="5"/>
    <s v="DE4-N_A"/>
    <x v="14"/>
    <x v="158"/>
    <x v="0"/>
    <x v="9"/>
    <n v="100"/>
    <n v="36500"/>
    <n v="131400"/>
  </r>
  <r>
    <x v="0"/>
    <x v="0"/>
    <x v="0"/>
    <x v="3"/>
    <x v="5"/>
    <s v="DE4-N_A"/>
    <x v="14"/>
    <x v="158"/>
    <x v="0"/>
    <x v="10"/>
    <n v="100"/>
    <n v="36500"/>
    <n v="131400"/>
  </r>
  <r>
    <x v="0"/>
    <x v="0"/>
    <x v="0"/>
    <x v="3"/>
    <x v="5"/>
    <s v="DE4-N_A"/>
    <x v="14"/>
    <x v="158"/>
    <x v="0"/>
    <x v="11"/>
    <n v="100"/>
    <n v="36500"/>
    <n v="131400"/>
  </r>
  <r>
    <x v="0"/>
    <x v="0"/>
    <x v="0"/>
    <x v="3"/>
    <x v="5"/>
    <s v="DE4-N_A"/>
    <x v="14"/>
    <x v="158"/>
    <x v="0"/>
    <x v="12"/>
    <n v="100"/>
    <n v="36500"/>
    <n v="131400"/>
  </r>
  <r>
    <x v="0"/>
    <x v="0"/>
    <x v="0"/>
    <x v="3"/>
    <x v="5"/>
    <s v="DE4-N_A"/>
    <x v="14"/>
    <x v="158"/>
    <x v="0"/>
    <x v="13"/>
    <n v="100"/>
    <n v="36500"/>
    <n v="131400"/>
  </r>
  <r>
    <x v="0"/>
    <x v="0"/>
    <x v="0"/>
    <x v="3"/>
    <x v="5"/>
    <s v="DE4-N_A"/>
    <x v="14"/>
    <x v="158"/>
    <x v="0"/>
    <x v="14"/>
    <n v="100"/>
    <n v="36500"/>
    <n v="131400"/>
  </r>
  <r>
    <x v="0"/>
    <x v="0"/>
    <x v="0"/>
    <x v="3"/>
    <x v="5"/>
    <s v="DE4-N_A"/>
    <x v="14"/>
    <x v="158"/>
    <x v="0"/>
    <x v="15"/>
    <n v="100"/>
    <n v="36500"/>
    <n v="131400"/>
  </r>
  <r>
    <x v="0"/>
    <x v="0"/>
    <x v="0"/>
    <x v="3"/>
    <x v="5"/>
    <s v="DE4-N_A"/>
    <x v="14"/>
    <x v="158"/>
    <x v="0"/>
    <x v="16"/>
    <n v="100"/>
    <n v="36500"/>
    <n v="131400"/>
  </r>
  <r>
    <x v="0"/>
    <x v="0"/>
    <x v="0"/>
    <x v="3"/>
    <x v="5"/>
    <s v="DE4-N_A"/>
    <x v="14"/>
    <x v="158"/>
    <x v="0"/>
    <x v="17"/>
    <n v="100"/>
    <n v="36500"/>
    <n v="131400"/>
  </r>
  <r>
    <x v="0"/>
    <x v="0"/>
    <x v="0"/>
    <x v="3"/>
    <x v="5"/>
    <s v="DE4-N_A"/>
    <x v="14"/>
    <x v="158"/>
    <x v="0"/>
    <x v="18"/>
    <n v="100"/>
    <n v="36500"/>
    <n v="131400"/>
  </r>
  <r>
    <x v="0"/>
    <x v="0"/>
    <x v="0"/>
    <x v="3"/>
    <x v="5"/>
    <s v="DE4-N_A"/>
    <x v="14"/>
    <x v="158"/>
    <x v="0"/>
    <x v="19"/>
    <n v="100"/>
    <n v="36500"/>
    <n v="131400"/>
  </r>
  <r>
    <x v="0"/>
    <x v="0"/>
    <x v="0"/>
    <x v="3"/>
    <x v="5"/>
    <s v="DE4-N_A"/>
    <x v="14"/>
    <x v="158"/>
    <x v="0"/>
    <x v="20"/>
    <n v="100"/>
    <n v="36500"/>
    <n v="131400"/>
  </r>
  <r>
    <x v="0"/>
    <x v="0"/>
    <x v="0"/>
    <x v="3"/>
    <x v="5"/>
    <s v="DE4-N_A"/>
    <x v="14"/>
    <x v="158"/>
    <x v="0"/>
    <x v="21"/>
    <n v="100"/>
    <n v="36500"/>
    <n v="131400"/>
  </r>
  <r>
    <x v="0"/>
    <x v="0"/>
    <x v="0"/>
    <x v="3"/>
    <x v="5"/>
    <s v="DE4-N_A"/>
    <x v="14"/>
    <x v="158"/>
    <x v="0"/>
    <x v="22"/>
    <n v="100"/>
    <n v="36500"/>
    <n v="131400"/>
  </r>
  <r>
    <x v="0"/>
    <x v="0"/>
    <x v="0"/>
    <x v="3"/>
    <x v="5"/>
    <s v="DE4-N_A"/>
    <x v="14"/>
    <x v="158"/>
    <x v="0"/>
    <x v="23"/>
    <n v="100"/>
    <n v="36500"/>
    <n v="131400"/>
  </r>
  <r>
    <x v="0"/>
    <x v="0"/>
    <x v="0"/>
    <x v="3"/>
    <x v="5"/>
    <s v="DE4-N_A"/>
    <x v="1"/>
    <x v="159"/>
    <x v="0"/>
    <x v="3"/>
    <n v="0.38750000000000001"/>
    <n v="141.4375"/>
    <n v="509.17500000000001"/>
  </r>
  <r>
    <x v="0"/>
    <x v="0"/>
    <x v="0"/>
    <x v="3"/>
    <x v="5"/>
    <s v="DE4-N_A"/>
    <x v="1"/>
    <x v="159"/>
    <x v="0"/>
    <x v="4"/>
    <n v="0.38750000000000001"/>
    <n v="141.4375"/>
    <n v="509.17500000000001"/>
  </r>
  <r>
    <x v="0"/>
    <x v="0"/>
    <x v="0"/>
    <x v="3"/>
    <x v="5"/>
    <s v="DE4-N_A"/>
    <x v="1"/>
    <x v="159"/>
    <x v="0"/>
    <x v="5"/>
    <n v="0.38750000000000001"/>
    <n v="141.4375"/>
    <n v="509.17500000000001"/>
  </r>
  <r>
    <x v="0"/>
    <x v="0"/>
    <x v="0"/>
    <x v="3"/>
    <x v="5"/>
    <s v="DE4-N_A"/>
    <x v="1"/>
    <x v="159"/>
    <x v="0"/>
    <x v="6"/>
    <n v="0.38750000000000001"/>
    <n v="141.4375"/>
    <n v="509.17500000000001"/>
  </r>
  <r>
    <x v="0"/>
    <x v="0"/>
    <x v="0"/>
    <x v="3"/>
    <x v="5"/>
    <s v="DE4-N_A"/>
    <x v="1"/>
    <x v="159"/>
    <x v="0"/>
    <x v="7"/>
    <n v="0.38750000000000001"/>
    <n v="141.4375"/>
    <n v="509.17500000000001"/>
  </r>
  <r>
    <x v="0"/>
    <x v="0"/>
    <x v="0"/>
    <x v="3"/>
    <x v="5"/>
    <s v="DE4-N_A"/>
    <x v="1"/>
    <x v="159"/>
    <x v="0"/>
    <x v="8"/>
    <n v="0.38750000000000001"/>
    <n v="141.4375"/>
    <n v="509.17500000000001"/>
  </r>
  <r>
    <x v="0"/>
    <x v="0"/>
    <x v="0"/>
    <x v="3"/>
    <x v="5"/>
    <s v="DE4-N_A"/>
    <x v="1"/>
    <x v="159"/>
    <x v="0"/>
    <x v="0"/>
    <n v="0.38750000000000001"/>
    <n v="141.4375"/>
    <n v="509.17500000000001"/>
  </r>
  <r>
    <x v="0"/>
    <x v="0"/>
    <x v="0"/>
    <x v="3"/>
    <x v="5"/>
    <s v="DE4-N_A"/>
    <x v="1"/>
    <x v="159"/>
    <x v="0"/>
    <x v="1"/>
    <n v="0.38750000000000001"/>
    <n v="141.4375"/>
    <n v="509.17500000000001"/>
  </r>
  <r>
    <x v="0"/>
    <x v="0"/>
    <x v="0"/>
    <x v="3"/>
    <x v="5"/>
    <s v="DE4-N_A"/>
    <x v="1"/>
    <x v="159"/>
    <x v="0"/>
    <x v="2"/>
    <n v="0.38750000000000001"/>
    <n v="141.4375"/>
    <n v="509.17500000000001"/>
  </r>
  <r>
    <x v="0"/>
    <x v="0"/>
    <x v="0"/>
    <x v="3"/>
    <x v="5"/>
    <s v="DE4-N_A"/>
    <x v="1"/>
    <x v="159"/>
    <x v="0"/>
    <x v="9"/>
    <n v="0.38750000000000001"/>
    <n v="141.4375"/>
    <n v="509.17500000000001"/>
  </r>
  <r>
    <x v="0"/>
    <x v="0"/>
    <x v="0"/>
    <x v="3"/>
    <x v="5"/>
    <s v="DE4-N_A"/>
    <x v="1"/>
    <x v="159"/>
    <x v="0"/>
    <x v="10"/>
    <n v="0.38750000000000001"/>
    <n v="141.4375"/>
    <n v="509.17500000000001"/>
  </r>
  <r>
    <x v="0"/>
    <x v="0"/>
    <x v="0"/>
    <x v="3"/>
    <x v="5"/>
    <s v="DE4-N_A"/>
    <x v="1"/>
    <x v="159"/>
    <x v="0"/>
    <x v="11"/>
    <n v="0.38750000000000001"/>
    <n v="141.4375"/>
    <n v="509.17500000000001"/>
  </r>
  <r>
    <x v="0"/>
    <x v="0"/>
    <x v="0"/>
    <x v="3"/>
    <x v="5"/>
    <s v="DE4-N_A"/>
    <x v="1"/>
    <x v="159"/>
    <x v="0"/>
    <x v="12"/>
    <n v="0.38750000000000001"/>
    <n v="141.4375"/>
    <n v="509.17500000000001"/>
  </r>
  <r>
    <x v="0"/>
    <x v="0"/>
    <x v="0"/>
    <x v="3"/>
    <x v="5"/>
    <s v="DE4-N_A"/>
    <x v="1"/>
    <x v="159"/>
    <x v="0"/>
    <x v="13"/>
    <n v="0.38750000000000001"/>
    <n v="141.4375"/>
    <n v="509.17500000000001"/>
  </r>
  <r>
    <x v="0"/>
    <x v="0"/>
    <x v="0"/>
    <x v="3"/>
    <x v="5"/>
    <s v="DE4-N_A"/>
    <x v="1"/>
    <x v="159"/>
    <x v="0"/>
    <x v="14"/>
    <n v="0.38750000000000001"/>
    <n v="141.4375"/>
    <n v="509.17500000000001"/>
  </r>
  <r>
    <x v="0"/>
    <x v="0"/>
    <x v="0"/>
    <x v="3"/>
    <x v="5"/>
    <s v="DE4-N_A"/>
    <x v="1"/>
    <x v="159"/>
    <x v="0"/>
    <x v="15"/>
    <n v="0.38750000000000001"/>
    <n v="141.4375"/>
    <n v="509.17500000000001"/>
  </r>
  <r>
    <x v="0"/>
    <x v="0"/>
    <x v="0"/>
    <x v="3"/>
    <x v="5"/>
    <s v="DE4-N_A"/>
    <x v="1"/>
    <x v="159"/>
    <x v="0"/>
    <x v="16"/>
    <n v="0.38750000000000001"/>
    <n v="141.4375"/>
    <n v="509.17500000000001"/>
  </r>
  <r>
    <x v="0"/>
    <x v="0"/>
    <x v="0"/>
    <x v="3"/>
    <x v="5"/>
    <s v="DE4-N_A"/>
    <x v="1"/>
    <x v="159"/>
    <x v="0"/>
    <x v="17"/>
    <n v="0.38750000000000001"/>
    <n v="141.4375"/>
    <n v="509.17500000000001"/>
  </r>
  <r>
    <x v="0"/>
    <x v="0"/>
    <x v="0"/>
    <x v="3"/>
    <x v="5"/>
    <s v="DE4-N_A"/>
    <x v="1"/>
    <x v="159"/>
    <x v="0"/>
    <x v="18"/>
    <n v="0.38750000000000001"/>
    <n v="141.4375"/>
    <n v="509.17500000000001"/>
  </r>
  <r>
    <x v="0"/>
    <x v="0"/>
    <x v="0"/>
    <x v="3"/>
    <x v="5"/>
    <s v="DE4-N_A"/>
    <x v="1"/>
    <x v="159"/>
    <x v="0"/>
    <x v="19"/>
    <n v="0.38750000000000001"/>
    <n v="141.4375"/>
    <n v="509.17500000000001"/>
  </r>
  <r>
    <x v="0"/>
    <x v="0"/>
    <x v="0"/>
    <x v="3"/>
    <x v="5"/>
    <s v="DE4-N_A"/>
    <x v="1"/>
    <x v="159"/>
    <x v="0"/>
    <x v="20"/>
    <n v="0.38750000000000001"/>
    <n v="141.4375"/>
    <n v="509.17500000000001"/>
  </r>
  <r>
    <x v="0"/>
    <x v="0"/>
    <x v="0"/>
    <x v="3"/>
    <x v="5"/>
    <s v="DE4-N_A"/>
    <x v="1"/>
    <x v="159"/>
    <x v="0"/>
    <x v="21"/>
    <n v="0.38750000000000001"/>
    <n v="141.4375"/>
    <n v="509.17500000000001"/>
  </r>
  <r>
    <x v="0"/>
    <x v="0"/>
    <x v="0"/>
    <x v="3"/>
    <x v="5"/>
    <s v="DE4-N_A"/>
    <x v="1"/>
    <x v="159"/>
    <x v="0"/>
    <x v="22"/>
    <n v="0.38750000000000001"/>
    <n v="141.4375"/>
    <n v="509.17500000000001"/>
  </r>
  <r>
    <x v="0"/>
    <x v="0"/>
    <x v="0"/>
    <x v="3"/>
    <x v="5"/>
    <s v="DE4-N_A"/>
    <x v="1"/>
    <x v="159"/>
    <x v="0"/>
    <x v="23"/>
    <n v="0.38750000000000001"/>
    <n v="141.4375"/>
    <n v="509.17500000000001"/>
  </r>
  <r>
    <x v="0"/>
    <x v="0"/>
    <x v="0"/>
    <x v="3"/>
    <x v="5"/>
    <s v="DE4-N_A"/>
    <x v="1"/>
    <x v="142"/>
    <x v="0"/>
    <x v="3"/>
    <n v="124.242424242425"/>
    <n v="45348.484848485001"/>
    <n v="163254.54545454599"/>
  </r>
  <r>
    <x v="0"/>
    <x v="0"/>
    <x v="0"/>
    <x v="3"/>
    <x v="5"/>
    <s v="DE4-N_A"/>
    <x v="1"/>
    <x v="142"/>
    <x v="0"/>
    <x v="4"/>
    <n v="124.242424242425"/>
    <n v="45348.484848485001"/>
    <n v="163254.54545454599"/>
  </r>
  <r>
    <x v="0"/>
    <x v="0"/>
    <x v="0"/>
    <x v="3"/>
    <x v="5"/>
    <s v="DE4-N_A"/>
    <x v="1"/>
    <x v="142"/>
    <x v="0"/>
    <x v="5"/>
    <n v="124.242424242425"/>
    <n v="45348.484848485001"/>
    <n v="163254.54545454599"/>
  </r>
  <r>
    <x v="0"/>
    <x v="0"/>
    <x v="0"/>
    <x v="3"/>
    <x v="5"/>
    <s v="DE4-N_A"/>
    <x v="1"/>
    <x v="142"/>
    <x v="0"/>
    <x v="6"/>
    <n v="124.242424242425"/>
    <n v="45348.484848485001"/>
    <n v="163254.54545454599"/>
  </r>
  <r>
    <x v="0"/>
    <x v="0"/>
    <x v="0"/>
    <x v="3"/>
    <x v="5"/>
    <s v="DE4-N_A"/>
    <x v="1"/>
    <x v="142"/>
    <x v="0"/>
    <x v="7"/>
    <n v="124.242424242425"/>
    <n v="45348.484848485001"/>
    <n v="163254.54545454599"/>
  </r>
  <r>
    <x v="0"/>
    <x v="0"/>
    <x v="0"/>
    <x v="3"/>
    <x v="5"/>
    <s v="DE4-N_A"/>
    <x v="1"/>
    <x v="142"/>
    <x v="0"/>
    <x v="8"/>
    <n v="124.242424242425"/>
    <n v="45348.484848485001"/>
    <n v="163254.54545454599"/>
  </r>
  <r>
    <x v="0"/>
    <x v="0"/>
    <x v="0"/>
    <x v="3"/>
    <x v="5"/>
    <s v="DE4-N_A"/>
    <x v="1"/>
    <x v="142"/>
    <x v="0"/>
    <x v="0"/>
    <n v="124.242424242425"/>
    <n v="45348.484848485001"/>
    <n v="163254.54545454599"/>
  </r>
  <r>
    <x v="0"/>
    <x v="0"/>
    <x v="0"/>
    <x v="3"/>
    <x v="5"/>
    <s v="DE4-N_A"/>
    <x v="1"/>
    <x v="142"/>
    <x v="0"/>
    <x v="1"/>
    <n v="124.242424242425"/>
    <n v="45348.484848485001"/>
    <n v="163254.54545454599"/>
  </r>
  <r>
    <x v="0"/>
    <x v="0"/>
    <x v="0"/>
    <x v="3"/>
    <x v="5"/>
    <s v="DE4-N_A"/>
    <x v="1"/>
    <x v="142"/>
    <x v="0"/>
    <x v="2"/>
    <n v="124.242424242425"/>
    <n v="45348.484848485001"/>
    <n v="163254.54545454599"/>
  </r>
  <r>
    <x v="0"/>
    <x v="0"/>
    <x v="0"/>
    <x v="3"/>
    <x v="5"/>
    <s v="DE4-N_A"/>
    <x v="1"/>
    <x v="142"/>
    <x v="0"/>
    <x v="9"/>
    <n v="124.242424242425"/>
    <n v="45348.484848485001"/>
    <n v="163254.54545454599"/>
  </r>
  <r>
    <x v="0"/>
    <x v="0"/>
    <x v="0"/>
    <x v="3"/>
    <x v="5"/>
    <s v="DE4-N_A"/>
    <x v="1"/>
    <x v="142"/>
    <x v="0"/>
    <x v="10"/>
    <n v="124.242424242425"/>
    <n v="45348.484848485001"/>
    <n v="163254.54545454599"/>
  </r>
  <r>
    <x v="0"/>
    <x v="0"/>
    <x v="0"/>
    <x v="3"/>
    <x v="5"/>
    <s v="DE4-N_A"/>
    <x v="1"/>
    <x v="142"/>
    <x v="0"/>
    <x v="11"/>
    <n v="124.242424242425"/>
    <n v="45348.484848485001"/>
    <n v="163254.54545454599"/>
  </r>
  <r>
    <x v="0"/>
    <x v="0"/>
    <x v="0"/>
    <x v="3"/>
    <x v="5"/>
    <s v="DE4-N_A"/>
    <x v="1"/>
    <x v="142"/>
    <x v="0"/>
    <x v="12"/>
    <n v="124.242424242425"/>
    <n v="45348.484848485001"/>
    <n v="163254.54545454599"/>
  </r>
  <r>
    <x v="0"/>
    <x v="0"/>
    <x v="0"/>
    <x v="3"/>
    <x v="5"/>
    <s v="DE4-N_A"/>
    <x v="1"/>
    <x v="142"/>
    <x v="0"/>
    <x v="13"/>
    <n v="124.242424242425"/>
    <n v="45348.484848485001"/>
    <n v="163254.54545454599"/>
  </r>
  <r>
    <x v="0"/>
    <x v="0"/>
    <x v="0"/>
    <x v="3"/>
    <x v="5"/>
    <s v="DE4-N_A"/>
    <x v="1"/>
    <x v="142"/>
    <x v="0"/>
    <x v="14"/>
    <n v="124.242424242425"/>
    <n v="45348.484848485001"/>
    <n v="163254.54545454599"/>
  </r>
  <r>
    <x v="0"/>
    <x v="0"/>
    <x v="0"/>
    <x v="3"/>
    <x v="5"/>
    <s v="DE4-N_A"/>
    <x v="1"/>
    <x v="142"/>
    <x v="0"/>
    <x v="15"/>
    <n v="124.242424242425"/>
    <n v="45348.484848485001"/>
    <n v="163254.54545454599"/>
  </r>
  <r>
    <x v="0"/>
    <x v="0"/>
    <x v="0"/>
    <x v="3"/>
    <x v="5"/>
    <s v="DE4-N_A"/>
    <x v="1"/>
    <x v="142"/>
    <x v="0"/>
    <x v="16"/>
    <n v="124.242424242425"/>
    <n v="45348.484848485001"/>
    <n v="163254.54545454599"/>
  </r>
  <r>
    <x v="0"/>
    <x v="0"/>
    <x v="0"/>
    <x v="3"/>
    <x v="5"/>
    <s v="DE4-N_A"/>
    <x v="1"/>
    <x v="142"/>
    <x v="0"/>
    <x v="17"/>
    <n v="124.242424242425"/>
    <n v="45348.484848485001"/>
    <n v="163254.54545454599"/>
  </r>
  <r>
    <x v="0"/>
    <x v="0"/>
    <x v="0"/>
    <x v="3"/>
    <x v="5"/>
    <s v="DE4-N_A"/>
    <x v="1"/>
    <x v="142"/>
    <x v="0"/>
    <x v="18"/>
    <n v="124.242424242425"/>
    <n v="45348.484848485001"/>
    <n v="163254.54545454599"/>
  </r>
  <r>
    <x v="0"/>
    <x v="0"/>
    <x v="0"/>
    <x v="3"/>
    <x v="5"/>
    <s v="DE4-N_A"/>
    <x v="1"/>
    <x v="142"/>
    <x v="0"/>
    <x v="19"/>
    <n v="124.242424242425"/>
    <n v="45348.484848485001"/>
    <n v="163254.54545454599"/>
  </r>
  <r>
    <x v="0"/>
    <x v="0"/>
    <x v="0"/>
    <x v="3"/>
    <x v="5"/>
    <s v="DE4-N_A"/>
    <x v="1"/>
    <x v="142"/>
    <x v="0"/>
    <x v="20"/>
    <n v="124.242424242425"/>
    <n v="45348.484848485001"/>
    <n v="163254.54545454599"/>
  </r>
  <r>
    <x v="0"/>
    <x v="0"/>
    <x v="0"/>
    <x v="3"/>
    <x v="5"/>
    <s v="DE4-N_A"/>
    <x v="1"/>
    <x v="142"/>
    <x v="0"/>
    <x v="21"/>
    <n v="124.242424242425"/>
    <n v="45348.484848485001"/>
    <n v="163254.54545454599"/>
  </r>
  <r>
    <x v="0"/>
    <x v="0"/>
    <x v="0"/>
    <x v="3"/>
    <x v="5"/>
    <s v="DE4-N_A"/>
    <x v="1"/>
    <x v="142"/>
    <x v="0"/>
    <x v="22"/>
    <n v="124.242424242425"/>
    <n v="45348.484848485001"/>
    <n v="163254.54545454599"/>
  </r>
  <r>
    <x v="0"/>
    <x v="0"/>
    <x v="0"/>
    <x v="3"/>
    <x v="5"/>
    <s v="DE4-N_A"/>
    <x v="1"/>
    <x v="142"/>
    <x v="0"/>
    <x v="23"/>
    <n v="124.242424242425"/>
    <n v="45348.484848485001"/>
    <n v="163254.54545454599"/>
  </r>
  <r>
    <x v="0"/>
    <x v="0"/>
    <x v="0"/>
    <x v="3"/>
    <x v="5"/>
    <s v="DE4-N_A"/>
    <x v="2"/>
    <x v="160"/>
    <x v="0"/>
    <x v="3"/>
    <n v="222.80701754386001"/>
    <n v="81324.561403508793"/>
    <n v="292768.42105263198"/>
  </r>
  <r>
    <x v="0"/>
    <x v="0"/>
    <x v="0"/>
    <x v="3"/>
    <x v="5"/>
    <s v="DE4-N_A"/>
    <x v="2"/>
    <x v="160"/>
    <x v="0"/>
    <x v="4"/>
    <n v="222.80701754386001"/>
    <n v="81324.561403508793"/>
    <n v="292768.42105263198"/>
  </r>
  <r>
    <x v="0"/>
    <x v="0"/>
    <x v="0"/>
    <x v="3"/>
    <x v="5"/>
    <s v="DE4-N_A"/>
    <x v="2"/>
    <x v="160"/>
    <x v="0"/>
    <x v="5"/>
    <n v="222.80701754386001"/>
    <n v="81324.561403508793"/>
    <n v="292768.42105263198"/>
  </r>
  <r>
    <x v="0"/>
    <x v="0"/>
    <x v="0"/>
    <x v="3"/>
    <x v="5"/>
    <s v="DE4-N_A"/>
    <x v="2"/>
    <x v="160"/>
    <x v="0"/>
    <x v="6"/>
    <n v="222.80701754386001"/>
    <n v="81324.561403508793"/>
    <n v="292768.42105263198"/>
  </r>
  <r>
    <x v="0"/>
    <x v="0"/>
    <x v="0"/>
    <x v="3"/>
    <x v="5"/>
    <s v="DE4-N_A"/>
    <x v="2"/>
    <x v="160"/>
    <x v="0"/>
    <x v="7"/>
    <n v="222.80701754386001"/>
    <n v="81324.561403508793"/>
    <n v="292768.42105263198"/>
  </r>
  <r>
    <x v="0"/>
    <x v="0"/>
    <x v="0"/>
    <x v="3"/>
    <x v="5"/>
    <s v="DE4-N_A"/>
    <x v="2"/>
    <x v="160"/>
    <x v="0"/>
    <x v="8"/>
    <n v="222.80701754386001"/>
    <n v="81324.561403508793"/>
    <n v="292768.42105263198"/>
  </r>
  <r>
    <x v="0"/>
    <x v="0"/>
    <x v="0"/>
    <x v="3"/>
    <x v="5"/>
    <s v="DE4-N_A"/>
    <x v="2"/>
    <x v="160"/>
    <x v="0"/>
    <x v="0"/>
    <n v="222.80701754386001"/>
    <n v="81324.561403508793"/>
    <n v="292768.42105263198"/>
  </r>
  <r>
    <x v="0"/>
    <x v="0"/>
    <x v="0"/>
    <x v="3"/>
    <x v="5"/>
    <s v="DE4-N_A"/>
    <x v="2"/>
    <x v="160"/>
    <x v="0"/>
    <x v="1"/>
    <n v="222.80701754386001"/>
    <n v="81324.561403508793"/>
    <n v="292768.42105263198"/>
  </r>
  <r>
    <x v="0"/>
    <x v="0"/>
    <x v="0"/>
    <x v="3"/>
    <x v="5"/>
    <s v="DE4-N_A"/>
    <x v="2"/>
    <x v="160"/>
    <x v="0"/>
    <x v="2"/>
    <n v="222.80701754386001"/>
    <n v="81324.561403508793"/>
    <n v="292768.42105263198"/>
  </r>
  <r>
    <x v="0"/>
    <x v="0"/>
    <x v="0"/>
    <x v="3"/>
    <x v="5"/>
    <s v="DE4-N_A"/>
    <x v="2"/>
    <x v="160"/>
    <x v="0"/>
    <x v="9"/>
    <n v="222.80701754386001"/>
    <n v="81324.561403508793"/>
    <n v="292768.42105263198"/>
  </r>
  <r>
    <x v="0"/>
    <x v="0"/>
    <x v="0"/>
    <x v="3"/>
    <x v="5"/>
    <s v="DE4-N_A"/>
    <x v="2"/>
    <x v="160"/>
    <x v="0"/>
    <x v="10"/>
    <n v="222.80701754386001"/>
    <n v="81324.561403508793"/>
    <n v="292768.42105263198"/>
  </r>
  <r>
    <x v="0"/>
    <x v="0"/>
    <x v="0"/>
    <x v="3"/>
    <x v="5"/>
    <s v="DE4-N_A"/>
    <x v="2"/>
    <x v="160"/>
    <x v="0"/>
    <x v="11"/>
    <n v="222.80701754386001"/>
    <n v="81324.561403508793"/>
    <n v="292768.42105263198"/>
  </r>
  <r>
    <x v="0"/>
    <x v="0"/>
    <x v="0"/>
    <x v="3"/>
    <x v="5"/>
    <s v="DE4-N_A"/>
    <x v="2"/>
    <x v="160"/>
    <x v="0"/>
    <x v="12"/>
    <n v="222.80701754386001"/>
    <n v="81324.561403508793"/>
    <n v="292768.42105263198"/>
  </r>
  <r>
    <x v="0"/>
    <x v="0"/>
    <x v="0"/>
    <x v="3"/>
    <x v="5"/>
    <s v="DE4-N_A"/>
    <x v="2"/>
    <x v="160"/>
    <x v="0"/>
    <x v="13"/>
    <n v="222.80701754386001"/>
    <n v="81324.561403508793"/>
    <n v="292768.42105263198"/>
  </r>
  <r>
    <x v="0"/>
    <x v="0"/>
    <x v="0"/>
    <x v="3"/>
    <x v="5"/>
    <s v="DE4-N_A"/>
    <x v="2"/>
    <x v="160"/>
    <x v="0"/>
    <x v="14"/>
    <n v="222.80701754386001"/>
    <n v="81324.561403508793"/>
    <n v="292768.42105263198"/>
  </r>
  <r>
    <x v="0"/>
    <x v="0"/>
    <x v="0"/>
    <x v="3"/>
    <x v="5"/>
    <s v="DE4-N_A"/>
    <x v="2"/>
    <x v="160"/>
    <x v="0"/>
    <x v="15"/>
    <n v="222.80701754386001"/>
    <n v="81324.561403508793"/>
    <n v="292768.42105263198"/>
  </r>
  <r>
    <x v="0"/>
    <x v="0"/>
    <x v="0"/>
    <x v="3"/>
    <x v="5"/>
    <s v="DE4-N_A"/>
    <x v="2"/>
    <x v="160"/>
    <x v="0"/>
    <x v="16"/>
    <n v="222.80701754386001"/>
    <n v="81324.561403508793"/>
    <n v="292768.42105263198"/>
  </r>
  <r>
    <x v="0"/>
    <x v="0"/>
    <x v="0"/>
    <x v="3"/>
    <x v="5"/>
    <s v="DE4-N_A"/>
    <x v="2"/>
    <x v="160"/>
    <x v="0"/>
    <x v="17"/>
    <n v="222.80701754386001"/>
    <n v="81324.561403508793"/>
    <n v="292768.42105263198"/>
  </r>
  <r>
    <x v="0"/>
    <x v="0"/>
    <x v="0"/>
    <x v="3"/>
    <x v="5"/>
    <s v="DE4-N_A"/>
    <x v="2"/>
    <x v="160"/>
    <x v="0"/>
    <x v="18"/>
    <n v="222.80701754386001"/>
    <n v="81324.561403508793"/>
    <n v="292768.42105263198"/>
  </r>
  <r>
    <x v="0"/>
    <x v="0"/>
    <x v="0"/>
    <x v="3"/>
    <x v="5"/>
    <s v="DE4-N_A"/>
    <x v="2"/>
    <x v="160"/>
    <x v="0"/>
    <x v="19"/>
    <n v="222.80701754386001"/>
    <n v="81324.561403508793"/>
    <n v="292768.42105263198"/>
  </r>
  <r>
    <x v="0"/>
    <x v="0"/>
    <x v="0"/>
    <x v="3"/>
    <x v="5"/>
    <s v="DE4-N_A"/>
    <x v="2"/>
    <x v="160"/>
    <x v="0"/>
    <x v="20"/>
    <n v="222.80701754386001"/>
    <n v="81324.561403508793"/>
    <n v="292768.42105263198"/>
  </r>
  <r>
    <x v="0"/>
    <x v="0"/>
    <x v="0"/>
    <x v="3"/>
    <x v="5"/>
    <s v="DE4-N_A"/>
    <x v="2"/>
    <x v="160"/>
    <x v="0"/>
    <x v="21"/>
    <n v="222.80701754386001"/>
    <n v="81324.561403508793"/>
    <n v="292768.42105263198"/>
  </r>
  <r>
    <x v="0"/>
    <x v="0"/>
    <x v="0"/>
    <x v="3"/>
    <x v="5"/>
    <s v="DE4-N_A"/>
    <x v="2"/>
    <x v="160"/>
    <x v="0"/>
    <x v="22"/>
    <n v="222.80701754386001"/>
    <n v="81324.561403508793"/>
    <n v="292768.42105263198"/>
  </r>
  <r>
    <x v="0"/>
    <x v="0"/>
    <x v="0"/>
    <x v="3"/>
    <x v="5"/>
    <s v="DE4-N_A"/>
    <x v="2"/>
    <x v="160"/>
    <x v="0"/>
    <x v="23"/>
    <n v="222.80701754386001"/>
    <n v="81324.561403508793"/>
    <n v="292768.42105263198"/>
  </r>
  <r>
    <x v="0"/>
    <x v="0"/>
    <x v="0"/>
    <x v="3"/>
    <x v="5"/>
    <s v="DE4-N_A"/>
    <x v="2"/>
    <x v="59"/>
    <x v="0"/>
    <x v="3"/>
    <n v="329.48717948718001"/>
    <n v="120262.820512821"/>
    <n v="432946.15384615399"/>
  </r>
  <r>
    <x v="0"/>
    <x v="0"/>
    <x v="0"/>
    <x v="3"/>
    <x v="5"/>
    <s v="DE4-N_A"/>
    <x v="2"/>
    <x v="59"/>
    <x v="0"/>
    <x v="4"/>
    <n v="329.48717948718001"/>
    <n v="120262.820512821"/>
    <n v="432946.15384615399"/>
  </r>
  <r>
    <x v="0"/>
    <x v="0"/>
    <x v="0"/>
    <x v="3"/>
    <x v="5"/>
    <s v="DE4-N_A"/>
    <x v="2"/>
    <x v="59"/>
    <x v="0"/>
    <x v="5"/>
    <n v="329.48717948718001"/>
    <n v="120262.820512821"/>
    <n v="432946.15384615399"/>
  </r>
  <r>
    <x v="0"/>
    <x v="0"/>
    <x v="0"/>
    <x v="3"/>
    <x v="5"/>
    <s v="DE4-N_A"/>
    <x v="2"/>
    <x v="59"/>
    <x v="0"/>
    <x v="6"/>
    <n v="329.48717948718001"/>
    <n v="120262.820512821"/>
    <n v="432946.15384615399"/>
  </r>
  <r>
    <x v="0"/>
    <x v="0"/>
    <x v="0"/>
    <x v="3"/>
    <x v="5"/>
    <s v="DE4-N_A"/>
    <x v="2"/>
    <x v="59"/>
    <x v="0"/>
    <x v="7"/>
    <n v="329.48717948718001"/>
    <n v="120262.820512821"/>
    <n v="432946.15384615399"/>
  </r>
  <r>
    <x v="0"/>
    <x v="0"/>
    <x v="0"/>
    <x v="3"/>
    <x v="5"/>
    <s v="DE4-N_A"/>
    <x v="2"/>
    <x v="59"/>
    <x v="0"/>
    <x v="8"/>
    <n v="329.48717948718001"/>
    <n v="120262.820512821"/>
    <n v="432946.15384615399"/>
  </r>
  <r>
    <x v="0"/>
    <x v="0"/>
    <x v="0"/>
    <x v="3"/>
    <x v="5"/>
    <s v="DE4-N_A"/>
    <x v="2"/>
    <x v="59"/>
    <x v="0"/>
    <x v="0"/>
    <n v="329.48717948718001"/>
    <n v="120262.820512821"/>
    <n v="432946.15384615399"/>
  </r>
  <r>
    <x v="0"/>
    <x v="0"/>
    <x v="0"/>
    <x v="3"/>
    <x v="5"/>
    <s v="DE4-N_A"/>
    <x v="2"/>
    <x v="59"/>
    <x v="0"/>
    <x v="1"/>
    <n v="329.48717948718001"/>
    <n v="120262.820512821"/>
    <n v="432946.15384615399"/>
  </r>
  <r>
    <x v="0"/>
    <x v="0"/>
    <x v="0"/>
    <x v="3"/>
    <x v="5"/>
    <s v="DE4-N_A"/>
    <x v="2"/>
    <x v="59"/>
    <x v="0"/>
    <x v="2"/>
    <n v="329.48717948718001"/>
    <n v="120262.820512821"/>
    <n v="432946.15384615399"/>
  </r>
  <r>
    <x v="0"/>
    <x v="0"/>
    <x v="0"/>
    <x v="3"/>
    <x v="5"/>
    <s v="DE4-N_A"/>
    <x v="2"/>
    <x v="59"/>
    <x v="0"/>
    <x v="9"/>
    <n v="329.48717948718001"/>
    <n v="120262.820512821"/>
    <n v="432946.15384615399"/>
  </r>
  <r>
    <x v="0"/>
    <x v="0"/>
    <x v="0"/>
    <x v="3"/>
    <x v="5"/>
    <s v="DE4-N_A"/>
    <x v="2"/>
    <x v="59"/>
    <x v="0"/>
    <x v="10"/>
    <n v="329.48717948718001"/>
    <n v="120262.820512821"/>
    <n v="432946.15384615399"/>
  </r>
  <r>
    <x v="0"/>
    <x v="0"/>
    <x v="0"/>
    <x v="3"/>
    <x v="5"/>
    <s v="DE4-N_A"/>
    <x v="2"/>
    <x v="59"/>
    <x v="0"/>
    <x v="11"/>
    <n v="329.48717948718001"/>
    <n v="120262.820512821"/>
    <n v="432946.15384615399"/>
  </r>
  <r>
    <x v="0"/>
    <x v="0"/>
    <x v="0"/>
    <x v="3"/>
    <x v="5"/>
    <s v="DE4-N_A"/>
    <x v="2"/>
    <x v="59"/>
    <x v="0"/>
    <x v="12"/>
    <n v="329.48717948718001"/>
    <n v="120262.820512821"/>
    <n v="432946.15384615399"/>
  </r>
  <r>
    <x v="0"/>
    <x v="0"/>
    <x v="0"/>
    <x v="3"/>
    <x v="5"/>
    <s v="DE4-N_A"/>
    <x v="2"/>
    <x v="59"/>
    <x v="0"/>
    <x v="13"/>
    <n v="329.48717948718001"/>
    <n v="120262.820512821"/>
    <n v="432946.15384615399"/>
  </r>
  <r>
    <x v="0"/>
    <x v="0"/>
    <x v="0"/>
    <x v="3"/>
    <x v="5"/>
    <s v="DE4-N_A"/>
    <x v="2"/>
    <x v="59"/>
    <x v="0"/>
    <x v="14"/>
    <n v="329.48717948718001"/>
    <n v="120262.820512821"/>
    <n v="432946.15384615399"/>
  </r>
  <r>
    <x v="0"/>
    <x v="0"/>
    <x v="0"/>
    <x v="3"/>
    <x v="5"/>
    <s v="DE4-N_A"/>
    <x v="2"/>
    <x v="59"/>
    <x v="0"/>
    <x v="15"/>
    <n v="329.48717948718001"/>
    <n v="120262.820512821"/>
    <n v="432946.15384615399"/>
  </r>
  <r>
    <x v="0"/>
    <x v="0"/>
    <x v="0"/>
    <x v="3"/>
    <x v="5"/>
    <s v="DE4-N_A"/>
    <x v="2"/>
    <x v="59"/>
    <x v="0"/>
    <x v="16"/>
    <n v="329.48717948718001"/>
    <n v="120262.820512821"/>
    <n v="432946.15384615399"/>
  </r>
  <r>
    <x v="0"/>
    <x v="0"/>
    <x v="0"/>
    <x v="3"/>
    <x v="5"/>
    <s v="DE4-N_A"/>
    <x v="2"/>
    <x v="59"/>
    <x v="0"/>
    <x v="17"/>
    <n v="329.48717948718001"/>
    <n v="120262.820512821"/>
    <n v="432946.15384615399"/>
  </r>
  <r>
    <x v="0"/>
    <x v="0"/>
    <x v="0"/>
    <x v="3"/>
    <x v="5"/>
    <s v="DE4-N_A"/>
    <x v="2"/>
    <x v="59"/>
    <x v="0"/>
    <x v="18"/>
    <n v="329.48717948718001"/>
    <n v="120262.820512821"/>
    <n v="432946.15384615399"/>
  </r>
  <r>
    <x v="0"/>
    <x v="0"/>
    <x v="0"/>
    <x v="3"/>
    <x v="5"/>
    <s v="DE4-N_A"/>
    <x v="2"/>
    <x v="59"/>
    <x v="0"/>
    <x v="19"/>
    <n v="329.48717948718001"/>
    <n v="120262.820512821"/>
    <n v="432946.15384615399"/>
  </r>
  <r>
    <x v="0"/>
    <x v="0"/>
    <x v="0"/>
    <x v="3"/>
    <x v="5"/>
    <s v="DE4-N_A"/>
    <x v="2"/>
    <x v="59"/>
    <x v="0"/>
    <x v="20"/>
    <n v="329.48717948718001"/>
    <n v="120262.820512821"/>
    <n v="432946.15384615399"/>
  </r>
  <r>
    <x v="0"/>
    <x v="0"/>
    <x v="0"/>
    <x v="3"/>
    <x v="5"/>
    <s v="DE4-N_A"/>
    <x v="2"/>
    <x v="59"/>
    <x v="0"/>
    <x v="21"/>
    <n v="329.48717948718001"/>
    <n v="120262.820512821"/>
    <n v="432946.15384615399"/>
  </r>
  <r>
    <x v="0"/>
    <x v="0"/>
    <x v="0"/>
    <x v="3"/>
    <x v="5"/>
    <s v="DE4-N_A"/>
    <x v="2"/>
    <x v="59"/>
    <x v="0"/>
    <x v="22"/>
    <n v="329.48717948718001"/>
    <n v="120262.820512821"/>
    <n v="432946.15384615399"/>
  </r>
  <r>
    <x v="0"/>
    <x v="0"/>
    <x v="0"/>
    <x v="3"/>
    <x v="5"/>
    <s v="DE4-N_A"/>
    <x v="2"/>
    <x v="59"/>
    <x v="0"/>
    <x v="23"/>
    <n v="329.48717948718001"/>
    <n v="120262.820512821"/>
    <n v="432946.15384615399"/>
  </r>
  <r>
    <x v="0"/>
    <x v="0"/>
    <x v="0"/>
    <x v="3"/>
    <x v="5"/>
    <s v="DE4-N_A"/>
    <x v="18"/>
    <x v="161"/>
    <x v="0"/>
    <x v="3"/>
    <n v="4272.7272727272702"/>
    <n v="1559545.4545454499"/>
    <n v="5614363.6363636404"/>
  </r>
  <r>
    <x v="0"/>
    <x v="0"/>
    <x v="0"/>
    <x v="3"/>
    <x v="5"/>
    <s v="DE4-N_A"/>
    <x v="18"/>
    <x v="161"/>
    <x v="0"/>
    <x v="4"/>
    <n v="4272.7272727272702"/>
    <n v="1559545.4545454499"/>
    <n v="5614363.6363636404"/>
  </r>
  <r>
    <x v="0"/>
    <x v="0"/>
    <x v="0"/>
    <x v="3"/>
    <x v="5"/>
    <s v="DE4-N_A"/>
    <x v="18"/>
    <x v="161"/>
    <x v="0"/>
    <x v="5"/>
    <n v="4272.7272727272702"/>
    <n v="1559545.4545454499"/>
    <n v="5614363.6363636404"/>
  </r>
  <r>
    <x v="0"/>
    <x v="0"/>
    <x v="0"/>
    <x v="3"/>
    <x v="5"/>
    <s v="DE4-N_A"/>
    <x v="18"/>
    <x v="161"/>
    <x v="0"/>
    <x v="6"/>
    <n v="4272.7272727272702"/>
    <n v="1559545.4545454499"/>
    <n v="5614363.6363636404"/>
  </r>
  <r>
    <x v="0"/>
    <x v="0"/>
    <x v="0"/>
    <x v="3"/>
    <x v="5"/>
    <s v="DE4-N_A"/>
    <x v="18"/>
    <x v="161"/>
    <x v="0"/>
    <x v="7"/>
    <n v="4272.7272727272702"/>
    <n v="1559545.4545454499"/>
    <n v="5614363.6363636404"/>
  </r>
  <r>
    <x v="0"/>
    <x v="0"/>
    <x v="0"/>
    <x v="3"/>
    <x v="5"/>
    <s v="DE4-N_A"/>
    <x v="18"/>
    <x v="161"/>
    <x v="0"/>
    <x v="8"/>
    <n v="4272.7272727272702"/>
    <n v="1559545.4545454499"/>
    <n v="5614363.6363636404"/>
  </r>
  <r>
    <x v="0"/>
    <x v="0"/>
    <x v="0"/>
    <x v="3"/>
    <x v="5"/>
    <s v="DE4-N_A"/>
    <x v="18"/>
    <x v="161"/>
    <x v="0"/>
    <x v="0"/>
    <n v="4272.7272727272702"/>
    <n v="1559545.4545454499"/>
    <n v="5614363.6363636404"/>
  </r>
  <r>
    <x v="0"/>
    <x v="0"/>
    <x v="0"/>
    <x v="3"/>
    <x v="5"/>
    <s v="DE4-N_A"/>
    <x v="18"/>
    <x v="161"/>
    <x v="0"/>
    <x v="1"/>
    <n v="4272.7272727272702"/>
    <n v="1559545.4545454499"/>
    <n v="5614363.6363636404"/>
  </r>
  <r>
    <x v="0"/>
    <x v="0"/>
    <x v="0"/>
    <x v="3"/>
    <x v="5"/>
    <s v="DE4-N_A"/>
    <x v="18"/>
    <x v="161"/>
    <x v="0"/>
    <x v="2"/>
    <n v="4272.7272727272702"/>
    <n v="1559545.4545454499"/>
    <n v="5614363.6363636404"/>
  </r>
  <r>
    <x v="0"/>
    <x v="0"/>
    <x v="0"/>
    <x v="3"/>
    <x v="5"/>
    <s v="DE4-N_A"/>
    <x v="18"/>
    <x v="161"/>
    <x v="0"/>
    <x v="9"/>
    <n v="4272.7272727272702"/>
    <n v="1559545.4545454499"/>
    <n v="5614363.6363636404"/>
  </r>
  <r>
    <x v="0"/>
    <x v="0"/>
    <x v="0"/>
    <x v="3"/>
    <x v="5"/>
    <s v="DE4-N_A"/>
    <x v="18"/>
    <x v="161"/>
    <x v="0"/>
    <x v="10"/>
    <n v="4272.7272727272702"/>
    <n v="1559545.4545454499"/>
    <n v="5614363.6363636404"/>
  </r>
  <r>
    <x v="0"/>
    <x v="0"/>
    <x v="0"/>
    <x v="3"/>
    <x v="5"/>
    <s v="DE4-N_A"/>
    <x v="18"/>
    <x v="161"/>
    <x v="0"/>
    <x v="11"/>
    <n v="4272.7272727272702"/>
    <n v="1559545.4545454499"/>
    <n v="5614363.6363636404"/>
  </r>
  <r>
    <x v="0"/>
    <x v="0"/>
    <x v="0"/>
    <x v="3"/>
    <x v="5"/>
    <s v="DE4-N_A"/>
    <x v="18"/>
    <x v="161"/>
    <x v="0"/>
    <x v="12"/>
    <n v="4272.7272727272702"/>
    <n v="1559545.4545454499"/>
    <n v="5614363.6363636404"/>
  </r>
  <r>
    <x v="0"/>
    <x v="0"/>
    <x v="0"/>
    <x v="3"/>
    <x v="5"/>
    <s v="DE4-N_A"/>
    <x v="18"/>
    <x v="161"/>
    <x v="0"/>
    <x v="13"/>
    <n v="4272.7272727272702"/>
    <n v="1559545.4545454499"/>
    <n v="5614363.6363636404"/>
  </r>
  <r>
    <x v="0"/>
    <x v="0"/>
    <x v="0"/>
    <x v="3"/>
    <x v="5"/>
    <s v="DE4-N_A"/>
    <x v="18"/>
    <x v="161"/>
    <x v="0"/>
    <x v="14"/>
    <n v="4272.7272727272702"/>
    <n v="1559545.4545454499"/>
    <n v="5614363.6363636404"/>
  </r>
  <r>
    <x v="0"/>
    <x v="0"/>
    <x v="0"/>
    <x v="3"/>
    <x v="5"/>
    <s v="DE4-N_A"/>
    <x v="18"/>
    <x v="161"/>
    <x v="0"/>
    <x v="15"/>
    <n v="4272.7272727272702"/>
    <n v="1559545.4545454499"/>
    <n v="5614363.6363636404"/>
  </r>
  <r>
    <x v="0"/>
    <x v="0"/>
    <x v="0"/>
    <x v="3"/>
    <x v="5"/>
    <s v="DE4-N_A"/>
    <x v="18"/>
    <x v="161"/>
    <x v="0"/>
    <x v="16"/>
    <n v="4272.7272727272702"/>
    <n v="1559545.4545454499"/>
    <n v="5614363.6363636404"/>
  </r>
  <r>
    <x v="0"/>
    <x v="0"/>
    <x v="0"/>
    <x v="3"/>
    <x v="5"/>
    <s v="DE4-N_A"/>
    <x v="18"/>
    <x v="161"/>
    <x v="0"/>
    <x v="17"/>
    <n v="4272.7272727272702"/>
    <n v="1559545.4545454499"/>
    <n v="5614363.6363636404"/>
  </r>
  <r>
    <x v="0"/>
    <x v="0"/>
    <x v="0"/>
    <x v="3"/>
    <x v="5"/>
    <s v="DE4-N_A"/>
    <x v="18"/>
    <x v="161"/>
    <x v="0"/>
    <x v="18"/>
    <n v="4272.7272727272702"/>
    <n v="1559545.4545454499"/>
    <n v="5614363.6363636404"/>
  </r>
  <r>
    <x v="0"/>
    <x v="0"/>
    <x v="0"/>
    <x v="3"/>
    <x v="5"/>
    <s v="DE4-N_A"/>
    <x v="18"/>
    <x v="161"/>
    <x v="0"/>
    <x v="19"/>
    <n v="4272.7272727272702"/>
    <n v="1559545.4545454499"/>
    <n v="5614363.6363636404"/>
  </r>
  <r>
    <x v="0"/>
    <x v="0"/>
    <x v="0"/>
    <x v="3"/>
    <x v="5"/>
    <s v="DE4-N_A"/>
    <x v="18"/>
    <x v="161"/>
    <x v="0"/>
    <x v="20"/>
    <n v="4272.7272727272702"/>
    <n v="1559545.4545454499"/>
    <n v="5614363.6363636404"/>
  </r>
  <r>
    <x v="0"/>
    <x v="0"/>
    <x v="0"/>
    <x v="3"/>
    <x v="5"/>
    <s v="DE4-N_A"/>
    <x v="18"/>
    <x v="161"/>
    <x v="0"/>
    <x v="21"/>
    <n v="4272.7272727272702"/>
    <n v="1559545.4545454499"/>
    <n v="5614363.6363636404"/>
  </r>
  <r>
    <x v="0"/>
    <x v="0"/>
    <x v="0"/>
    <x v="3"/>
    <x v="5"/>
    <s v="DE4-N_A"/>
    <x v="18"/>
    <x v="161"/>
    <x v="0"/>
    <x v="22"/>
    <n v="4272.7272727272702"/>
    <n v="1559545.4545454499"/>
    <n v="5614363.6363636404"/>
  </r>
  <r>
    <x v="0"/>
    <x v="0"/>
    <x v="0"/>
    <x v="3"/>
    <x v="5"/>
    <s v="DE4-N_A"/>
    <x v="18"/>
    <x v="161"/>
    <x v="0"/>
    <x v="23"/>
    <n v="4272.7272727272702"/>
    <n v="1559545.4545454499"/>
    <n v="5614363.6363636404"/>
  </r>
  <r>
    <x v="0"/>
    <x v="0"/>
    <x v="0"/>
    <x v="3"/>
    <x v="5"/>
    <s v="DE4-N_A"/>
    <x v="6"/>
    <x v="45"/>
    <x v="0"/>
    <x v="2"/>
    <n v="33.982254946418202"/>
    <n v="12403.5230554426"/>
    <n v="44652.682999593497"/>
  </r>
  <r>
    <x v="0"/>
    <x v="0"/>
    <x v="0"/>
    <x v="3"/>
    <x v="5"/>
    <s v="DE4-N_A"/>
    <x v="6"/>
    <x v="45"/>
    <x v="0"/>
    <x v="9"/>
    <n v="255.82538595560001"/>
    <n v="93376.265873793804"/>
    <n v="336154.55714565801"/>
  </r>
  <r>
    <x v="0"/>
    <x v="0"/>
    <x v="0"/>
    <x v="3"/>
    <x v="5"/>
    <s v="DE4-N_A"/>
    <x v="6"/>
    <x v="45"/>
    <x v="0"/>
    <x v="10"/>
    <n v="590.942700119508"/>
    <n v="215694.08554361999"/>
    <n v="776498.707957034"/>
  </r>
  <r>
    <x v="0"/>
    <x v="0"/>
    <x v="0"/>
    <x v="3"/>
    <x v="5"/>
    <s v="DE4-N_A"/>
    <x v="6"/>
    <x v="45"/>
    <x v="0"/>
    <x v="11"/>
    <n v="899.91981817078704"/>
    <n v="328470.73363233701"/>
    <n v="1182494.64107641"/>
  </r>
  <r>
    <x v="0"/>
    <x v="0"/>
    <x v="0"/>
    <x v="3"/>
    <x v="5"/>
    <s v="DE4-N_A"/>
    <x v="6"/>
    <x v="45"/>
    <x v="0"/>
    <x v="12"/>
    <n v="1023.12727584831"/>
    <n v="373441.45568463497"/>
    <n v="1344389.2404646799"/>
  </r>
  <r>
    <x v="0"/>
    <x v="0"/>
    <x v="0"/>
    <x v="3"/>
    <x v="5"/>
    <s v="DE4-N_A"/>
    <x v="6"/>
    <x v="45"/>
    <x v="0"/>
    <x v="13"/>
    <n v="889.63800769982004"/>
    <n v="324717.87281043403"/>
    <n v="1168984.3421175601"/>
  </r>
  <r>
    <x v="0"/>
    <x v="0"/>
    <x v="0"/>
    <x v="3"/>
    <x v="5"/>
    <s v="DE4-N_A"/>
    <x v="6"/>
    <x v="45"/>
    <x v="0"/>
    <x v="14"/>
    <n v="578.91820990769895"/>
    <n v="211305.14661631"/>
    <n v="760698.52781871601"/>
  </r>
  <r>
    <x v="0"/>
    <x v="0"/>
    <x v="0"/>
    <x v="3"/>
    <x v="5"/>
    <s v="DE4-N_A"/>
    <x v="6"/>
    <x v="45"/>
    <x v="0"/>
    <x v="15"/>
    <n v="293.118732409617"/>
    <n v="106988.33732951"/>
    <n v="385158.01438623702"/>
  </r>
  <r>
    <x v="0"/>
    <x v="0"/>
    <x v="0"/>
    <x v="3"/>
    <x v="5"/>
    <s v="DE4-N_A"/>
    <x v="6"/>
    <x v="45"/>
    <x v="0"/>
    <x v="16"/>
    <n v="38.164686324438897"/>
    <n v="13930.110508420201"/>
    <n v="50148.397830312701"/>
  </r>
  <r>
    <x v="0"/>
    <x v="0"/>
    <x v="0"/>
    <x v="3"/>
    <x v="5"/>
    <s v="DE4-N_A"/>
    <x v="7"/>
    <x v="46"/>
    <x v="0"/>
    <x v="3"/>
    <n v="2.66860730593607"/>
    <n v="974.04166666666595"/>
    <n v="3506.55"/>
  </r>
  <r>
    <x v="0"/>
    <x v="0"/>
    <x v="0"/>
    <x v="3"/>
    <x v="5"/>
    <s v="DE4-N_A"/>
    <x v="7"/>
    <x v="46"/>
    <x v="0"/>
    <x v="4"/>
    <n v="2.66860730593607"/>
    <n v="974.04166666666595"/>
    <n v="3506.55"/>
  </r>
  <r>
    <x v="0"/>
    <x v="0"/>
    <x v="0"/>
    <x v="3"/>
    <x v="5"/>
    <s v="DE4-N_A"/>
    <x v="7"/>
    <x v="46"/>
    <x v="0"/>
    <x v="5"/>
    <n v="2.66860730593607"/>
    <n v="974.04166666666595"/>
    <n v="3506.55"/>
  </r>
  <r>
    <x v="0"/>
    <x v="0"/>
    <x v="0"/>
    <x v="3"/>
    <x v="5"/>
    <s v="DE4-N_A"/>
    <x v="7"/>
    <x v="46"/>
    <x v="0"/>
    <x v="6"/>
    <n v="2.66860730593607"/>
    <n v="974.04166666666595"/>
    <n v="3506.55"/>
  </r>
  <r>
    <x v="0"/>
    <x v="0"/>
    <x v="0"/>
    <x v="3"/>
    <x v="5"/>
    <s v="DE4-N_A"/>
    <x v="7"/>
    <x v="46"/>
    <x v="0"/>
    <x v="7"/>
    <n v="2.66860730593607"/>
    <n v="974.04166666666595"/>
    <n v="3506.55"/>
  </r>
  <r>
    <x v="0"/>
    <x v="0"/>
    <x v="0"/>
    <x v="3"/>
    <x v="5"/>
    <s v="DE4-N_A"/>
    <x v="7"/>
    <x v="46"/>
    <x v="0"/>
    <x v="8"/>
    <n v="2.66860730593607"/>
    <n v="974.04166666666595"/>
    <n v="3506.55"/>
  </r>
  <r>
    <x v="0"/>
    <x v="0"/>
    <x v="0"/>
    <x v="3"/>
    <x v="5"/>
    <s v="DE4-N_A"/>
    <x v="7"/>
    <x v="46"/>
    <x v="0"/>
    <x v="0"/>
    <n v="2.66860730593607"/>
    <n v="974.04166666666595"/>
    <n v="3506.55"/>
  </r>
  <r>
    <x v="0"/>
    <x v="0"/>
    <x v="0"/>
    <x v="3"/>
    <x v="5"/>
    <s v="DE4-N_A"/>
    <x v="7"/>
    <x v="46"/>
    <x v="0"/>
    <x v="1"/>
    <n v="2.66860730593607"/>
    <n v="974.04166666666595"/>
    <n v="3506.55"/>
  </r>
  <r>
    <x v="0"/>
    <x v="0"/>
    <x v="0"/>
    <x v="3"/>
    <x v="5"/>
    <s v="DE4-N_A"/>
    <x v="7"/>
    <x v="46"/>
    <x v="0"/>
    <x v="2"/>
    <n v="2.66860730593607"/>
    <n v="974.04166666666595"/>
    <n v="3506.55"/>
  </r>
  <r>
    <x v="0"/>
    <x v="0"/>
    <x v="0"/>
    <x v="3"/>
    <x v="5"/>
    <s v="DE4-N_A"/>
    <x v="7"/>
    <x v="46"/>
    <x v="0"/>
    <x v="9"/>
    <n v="2.66860730593607"/>
    <n v="974.04166666666595"/>
    <n v="3506.55"/>
  </r>
  <r>
    <x v="0"/>
    <x v="0"/>
    <x v="0"/>
    <x v="3"/>
    <x v="5"/>
    <s v="DE4-N_A"/>
    <x v="7"/>
    <x v="46"/>
    <x v="0"/>
    <x v="10"/>
    <n v="2.66860730593607"/>
    <n v="974.04166666666595"/>
    <n v="3506.55"/>
  </r>
  <r>
    <x v="0"/>
    <x v="0"/>
    <x v="0"/>
    <x v="3"/>
    <x v="5"/>
    <s v="DE4-N_A"/>
    <x v="7"/>
    <x v="46"/>
    <x v="0"/>
    <x v="11"/>
    <n v="2.66860730593607"/>
    <n v="974.04166666666595"/>
    <n v="3506.55"/>
  </r>
  <r>
    <x v="0"/>
    <x v="0"/>
    <x v="0"/>
    <x v="3"/>
    <x v="5"/>
    <s v="DE4-N_A"/>
    <x v="7"/>
    <x v="46"/>
    <x v="0"/>
    <x v="12"/>
    <n v="2.66860730593607"/>
    <n v="974.04166666666595"/>
    <n v="3506.55"/>
  </r>
  <r>
    <x v="0"/>
    <x v="0"/>
    <x v="0"/>
    <x v="3"/>
    <x v="5"/>
    <s v="DE4-N_A"/>
    <x v="7"/>
    <x v="46"/>
    <x v="0"/>
    <x v="13"/>
    <n v="2.66860730593607"/>
    <n v="974.04166666666595"/>
    <n v="3506.55"/>
  </r>
  <r>
    <x v="0"/>
    <x v="0"/>
    <x v="0"/>
    <x v="3"/>
    <x v="5"/>
    <s v="DE4-N_A"/>
    <x v="7"/>
    <x v="46"/>
    <x v="0"/>
    <x v="14"/>
    <n v="2.66860730593607"/>
    <n v="974.04166666666595"/>
    <n v="3506.55"/>
  </r>
  <r>
    <x v="0"/>
    <x v="0"/>
    <x v="0"/>
    <x v="3"/>
    <x v="5"/>
    <s v="DE4-N_A"/>
    <x v="7"/>
    <x v="46"/>
    <x v="0"/>
    <x v="15"/>
    <n v="2.66860730593607"/>
    <n v="974.04166666666595"/>
    <n v="3506.55"/>
  </r>
  <r>
    <x v="0"/>
    <x v="0"/>
    <x v="0"/>
    <x v="3"/>
    <x v="5"/>
    <s v="DE4-N_A"/>
    <x v="7"/>
    <x v="46"/>
    <x v="0"/>
    <x v="16"/>
    <n v="2.66860730593607"/>
    <n v="974.04166666666595"/>
    <n v="3506.55"/>
  </r>
  <r>
    <x v="0"/>
    <x v="0"/>
    <x v="0"/>
    <x v="3"/>
    <x v="5"/>
    <s v="DE4-N_A"/>
    <x v="7"/>
    <x v="46"/>
    <x v="0"/>
    <x v="17"/>
    <n v="2.66860730593607"/>
    <n v="974.04166666666595"/>
    <n v="3506.55"/>
  </r>
  <r>
    <x v="0"/>
    <x v="0"/>
    <x v="0"/>
    <x v="3"/>
    <x v="5"/>
    <s v="DE4-N_A"/>
    <x v="7"/>
    <x v="46"/>
    <x v="0"/>
    <x v="18"/>
    <n v="2.66860730593607"/>
    <n v="974.04166666666595"/>
    <n v="3506.55"/>
  </r>
  <r>
    <x v="0"/>
    <x v="0"/>
    <x v="0"/>
    <x v="3"/>
    <x v="5"/>
    <s v="DE4-N_A"/>
    <x v="7"/>
    <x v="46"/>
    <x v="0"/>
    <x v="19"/>
    <n v="2.66860730593607"/>
    <n v="974.04166666666595"/>
    <n v="3506.55"/>
  </r>
  <r>
    <x v="0"/>
    <x v="0"/>
    <x v="0"/>
    <x v="3"/>
    <x v="5"/>
    <s v="DE4-N_A"/>
    <x v="7"/>
    <x v="46"/>
    <x v="0"/>
    <x v="20"/>
    <n v="2.66860730593607"/>
    <n v="974.04166666666595"/>
    <n v="3506.55"/>
  </r>
  <r>
    <x v="0"/>
    <x v="0"/>
    <x v="0"/>
    <x v="3"/>
    <x v="5"/>
    <s v="DE4-N_A"/>
    <x v="7"/>
    <x v="46"/>
    <x v="0"/>
    <x v="21"/>
    <n v="2.66860730593607"/>
    <n v="974.04166666666595"/>
    <n v="3506.55"/>
  </r>
  <r>
    <x v="0"/>
    <x v="0"/>
    <x v="0"/>
    <x v="3"/>
    <x v="5"/>
    <s v="DE4-N_A"/>
    <x v="7"/>
    <x v="46"/>
    <x v="0"/>
    <x v="22"/>
    <n v="2.66860730593607"/>
    <n v="974.04166666666595"/>
    <n v="3506.55"/>
  </r>
  <r>
    <x v="0"/>
    <x v="0"/>
    <x v="0"/>
    <x v="3"/>
    <x v="5"/>
    <s v="DE4-N_A"/>
    <x v="7"/>
    <x v="46"/>
    <x v="0"/>
    <x v="23"/>
    <n v="2.66860730593607"/>
    <n v="974.04166666666595"/>
    <n v="3506.55"/>
  </r>
  <r>
    <x v="0"/>
    <x v="0"/>
    <x v="0"/>
    <x v="3"/>
    <x v="5"/>
    <s v="DE4-N_A"/>
    <x v="8"/>
    <x v="47"/>
    <x v="0"/>
    <x v="3"/>
    <n v="1247.1653136443599"/>
    <n v="455215.339480191"/>
    <n v="1638775.22212869"/>
  </r>
  <r>
    <x v="0"/>
    <x v="0"/>
    <x v="0"/>
    <x v="3"/>
    <x v="5"/>
    <s v="DE4-N_A"/>
    <x v="8"/>
    <x v="47"/>
    <x v="0"/>
    <x v="4"/>
    <n v="1206.74676651287"/>
    <n v="440462.56977719901"/>
    <n v="1585665.2511979199"/>
  </r>
  <r>
    <x v="0"/>
    <x v="0"/>
    <x v="0"/>
    <x v="3"/>
    <x v="5"/>
    <s v="DE4-N_A"/>
    <x v="8"/>
    <x v="47"/>
    <x v="0"/>
    <x v="5"/>
    <n v="1172.30385673964"/>
    <n v="427890.90770996897"/>
    <n v="1540407.26775589"/>
  </r>
  <r>
    <x v="0"/>
    <x v="0"/>
    <x v="0"/>
    <x v="3"/>
    <x v="5"/>
    <s v="DE4-N_A"/>
    <x v="8"/>
    <x v="47"/>
    <x v="0"/>
    <x v="6"/>
    <n v="1113.2114428636301"/>
    <n v="406322.17664522497"/>
    <n v="1462759.83592281"/>
  </r>
  <r>
    <x v="0"/>
    <x v="0"/>
    <x v="0"/>
    <x v="3"/>
    <x v="5"/>
    <s v="DE4-N_A"/>
    <x v="8"/>
    <x v="47"/>
    <x v="0"/>
    <x v="7"/>
    <n v="1014.03246170937"/>
    <n v="370121.84852392197"/>
    <n v="1332438.6546861201"/>
  </r>
  <r>
    <x v="0"/>
    <x v="0"/>
    <x v="0"/>
    <x v="3"/>
    <x v="5"/>
    <s v="DE4-N_A"/>
    <x v="8"/>
    <x v="47"/>
    <x v="0"/>
    <x v="8"/>
    <n v="925.31084593205298"/>
    <n v="337738.458765199"/>
    <n v="1215858.4515547201"/>
  </r>
  <r>
    <x v="0"/>
    <x v="0"/>
    <x v="0"/>
    <x v="3"/>
    <x v="5"/>
    <s v="DE4-N_A"/>
    <x v="8"/>
    <x v="47"/>
    <x v="0"/>
    <x v="0"/>
    <n v="762.72371280972004"/>
    <n v="278394.15517554799"/>
    <n v="1002218.95863197"/>
  </r>
  <r>
    <x v="0"/>
    <x v="0"/>
    <x v="0"/>
    <x v="3"/>
    <x v="5"/>
    <s v="DE4-N_A"/>
    <x v="8"/>
    <x v="47"/>
    <x v="0"/>
    <x v="1"/>
    <n v="737.57623892709205"/>
    <n v="269215.327208389"/>
    <n v="969175.17795019899"/>
  </r>
  <r>
    <x v="0"/>
    <x v="0"/>
    <x v="0"/>
    <x v="3"/>
    <x v="5"/>
    <s v="DE4-N_A"/>
    <x v="8"/>
    <x v="47"/>
    <x v="0"/>
    <x v="2"/>
    <n v="792.93387945419602"/>
    <n v="289420.86600078101"/>
    <n v="1041915.11760281"/>
  </r>
  <r>
    <x v="0"/>
    <x v="0"/>
    <x v="0"/>
    <x v="3"/>
    <x v="5"/>
    <s v="DE4-N_A"/>
    <x v="8"/>
    <x v="47"/>
    <x v="0"/>
    <x v="9"/>
    <n v="855.26309689925597"/>
    <n v="312171.03036822798"/>
    <n v="1123815.70932562"/>
  </r>
  <r>
    <x v="0"/>
    <x v="0"/>
    <x v="0"/>
    <x v="3"/>
    <x v="5"/>
    <s v="DE4-N_A"/>
    <x v="8"/>
    <x v="47"/>
    <x v="0"/>
    <x v="10"/>
    <n v="986.81011374402203"/>
    <n v="360185.69151656801"/>
    <n v="1296668.4894596499"/>
  </r>
  <r>
    <x v="0"/>
    <x v="0"/>
    <x v="0"/>
    <x v="3"/>
    <x v="5"/>
    <s v="DE4-N_A"/>
    <x v="8"/>
    <x v="47"/>
    <x v="0"/>
    <x v="11"/>
    <n v="1087.0680294213"/>
    <n v="396779.83073877299"/>
    <n v="1428407.39065958"/>
  </r>
  <r>
    <x v="0"/>
    <x v="0"/>
    <x v="0"/>
    <x v="3"/>
    <x v="5"/>
    <s v="DE4-N_A"/>
    <x v="8"/>
    <x v="47"/>
    <x v="0"/>
    <x v="12"/>
    <n v="1337.7128186144801"/>
    <n v="488265.17879428499"/>
    <n v="1757754.6436594201"/>
  </r>
  <r>
    <x v="0"/>
    <x v="0"/>
    <x v="0"/>
    <x v="3"/>
    <x v="5"/>
    <s v="DE4-N_A"/>
    <x v="8"/>
    <x v="47"/>
    <x v="0"/>
    <x v="13"/>
    <n v="1563.21013392503"/>
    <n v="570571.69888263801"/>
    <n v="2054058.1159775001"/>
  </r>
  <r>
    <x v="0"/>
    <x v="0"/>
    <x v="0"/>
    <x v="3"/>
    <x v="5"/>
    <s v="DE4-N_A"/>
    <x v="8"/>
    <x v="47"/>
    <x v="0"/>
    <x v="14"/>
    <n v="1820.1625403297001"/>
    <n v="664359.32722034096"/>
    <n v="2391693.57799323"/>
  </r>
  <r>
    <x v="0"/>
    <x v="0"/>
    <x v="0"/>
    <x v="3"/>
    <x v="5"/>
    <s v="DE4-N_A"/>
    <x v="8"/>
    <x v="47"/>
    <x v="0"/>
    <x v="15"/>
    <n v="2073.7951482020098"/>
    <n v="756935.22909373301"/>
    <n v="2724966.8247374399"/>
  </r>
  <r>
    <x v="0"/>
    <x v="0"/>
    <x v="0"/>
    <x v="3"/>
    <x v="5"/>
    <s v="DE4-N_A"/>
    <x v="8"/>
    <x v="47"/>
    <x v="0"/>
    <x v="16"/>
    <n v="2412.4145985027299"/>
    <n v="880531.32845349796"/>
    <n v="3169912.7824325901"/>
  </r>
  <r>
    <x v="0"/>
    <x v="0"/>
    <x v="0"/>
    <x v="3"/>
    <x v="5"/>
    <s v="DE4-N_A"/>
    <x v="8"/>
    <x v="47"/>
    <x v="0"/>
    <x v="17"/>
    <n v="2721.7368267553802"/>
    <n v="993433.94176571397"/>
    <n v="3576362.1903565698"/>
  </r>
  <r>
    <x v="0"/>
    <x v="0"/>
    <x v="0"/>
    <x v="3"/>
    <x v="5"/>
    <s v="DE4-N_A"/>
    <x v="8"/>
    <x v="47"/>
    <x v="0"/>
    <x v="18"/>
    <n v="3053.2187102115299"/>
    <n v="1114424.82922721"/>
    <n v="4011929.3852179502"/>
  </r>
  <r>
    <x v="0"/>
    <x v="0"/>
    <x v="0"/>
    <x v="3"/>
    <x v="5"/>
    <s v="DE4-N_A"/>
    <x v="8"/>
    <x v="47"/>
    <x v="0"/>
    <x v="19"/>
    <n v="3386.3604929338599"/>
    <n v="1236021.57992086"/>
    <n v="4449677.6877150899"/>
  </r>
  <r>
    <x v="0"/>
    <x v="0"/>
    <x v="0"/>
    <x v="3"/>
    <x v="5"/>
    <s v="DE4-N_A"/>
    <x v="8"/>
    <x v="47"/>
    <x v="0"/>
    <x v="20"/>
    <n v="3670.8672271571199"/>
    <n v="1339866.5379123499"/>
    <n v="4823519.5364844501"/>
  </r>
  <r>
    <x v="0"/>
    <x v="0"/>
    <x v="0"/>
    <x v="3"/>
    <x v="5"/>
    <s v="DE4-N_A"/>
    <x v="8"/>
    <x v="47"/>
    <x v="0"/>
    <x v="21"/>
    <n v="3983.84123379536"/>
    <n v="1454102.0503353099"/>
    <n v="5234767.3812071001"/>
  </r>
  <r>
    <x v="0"/>
    <x v="0"/>
    <x v="0"/>
    <x v="3"/>
    <x v="5"/>
    <s v="DE4-N_A"/>
    <x v="8"/>
    <x v="47"/>
    <x v="0"/>
    <x v="22"/>
    <n v="4378.8142641828899"/>
    <n v="1598267.2064267599"/>
    <n v="5753761.9431363204"/>
  </r>
  <r>
    <x v="0"/>
    <x v="0"/>
    <x v="0"/>
    <x v="3"/>
    <x v="5"/>
    <s v="DE4-N_A"/>
    <x v="8"/>
    <x v="47"/>
    <x v="0"/>
    <x v="23"/>
    <n v="4636.4306302940304"/>
    <n v="1692297.18005732"/>
    <n v="6092269.8482063599"/>
  </r>
  <r>
    <x v="0"/>
    <x v="0"/>
    <x v="0"/>
    <x v="3"/>
    <x v="5"/>
    <s v="DE4-N_Offshore_A"/>
    <x v="8"/>
    <x v="48"/>
    <x v="0"/>
    <x v="3"/>
    <n v="293.30560164840898"/>
    <n v="107056.544601669"/>
    <n v="385403.56056601001"/>
  </r>
  <r>
    <x v="0"/>
    <x v="0"/>
    <x v="0"/>
    <x v="3"/>
    <x v="5"/>
    <s v="DE4-N_Offshore_A"/>
    <x v="8"/>
    <x v="48"/>
    <x v="0"/>
    <x v="4"/>
    <n v="283.800056429618"/>
    <n v="103587.02059681099"/>
    <n v="372913.27414851799"/>
  </r>
  <r>
    <x v="0"/>
    <x v="0"/>
    <x v="0"/>
    <x v="3"/>
    <x v="5"/>
    <s v="DE4-N_Offshore_A"/>
    <x v="8"/>
    <x v="48"/>
    <x v="0"/>
    <x v="5"/>
    <n v="275.69984849163399"/>
    <n v="100630.444699446"/>
    <n v="362269.60091800703"/>
  </r>
  <r>
    <x v="0"/>
    <x v="0"/>
    <x v="0"/>
    <x v="3"/>
    <x v="5"/>
    <s v="DE4-N_Offshore_A"/>
    <x v="8"/>
    <x v="48"/>
    <x v="0"/>
    <x v="6"/>
    <n v="261.80262427032102"/>
    <n v="95557.9578586672"/>
    <n v="344008.64829120197"/>
  </r>
  <r>
    <x v="0"/>
    <x v="0"/>
    <x v="0"/>
    <x v="3"/>
    <x v="5"/>
    <s v="DE4-N_Offshore_A"/>
    <x v="8"/>
    <x v="48"/>
    <x v="0"/>
    <x v="7"/>
    <n v="238.477929123595"/>
    <n v="87044.444130112301"/>
    <n v="313359.99886840401"/>
  </r>
  <r>
    <x v="0"/>
    <x v="0"/>
    <x v="0"/>
    <x v="3"/>
    <x v="5"/>
    <s v="DE4-N_Offshore_A"/>
    <x v="8"/>
    <x v="48"/>
    <x v="0"/>
    <x v="8"/>
    <n v="217.61257421828199"/>
    <n v="79428.589589672803"/>
    <n v="285942.92252282199"/>
  </r>
  <r>
    <x v="0"/>
    <x v="0"/>
    <x v="0"/>
    <x v="3"/>
    <x v="5"/>
    <s v="DE4-N_Offshore_A"/>
    <x v="8"/>
    <x v="48"/>
    <x v="0"/>
    <x v="0"/>
    <n v="179.375689036327"/>
    <n v="65472.126498259298"/>
    <n v="235699.655393733"/>
  </r>
  <r>
    <x v="0"/>
    <x v="0"/>
    <x v="0"/>
    <x v="3"/>
    <x v="5"/>
    <s v="DE4-N_Offshore_A"/>
    <x v="8"/>
    <x v="48"/>
    <x v="0"/>
    <x v="1"/>
    <n v="173.461561312931"/>
    <n v="63313.469879219803"/>
    <n v="227928.49156519101"/>
  </r>
  <r>
    <x v="0"/>
    <x v="0"/>
    <x v="0"/>
    <x v="3"/>
    <x v="5"/>
    <s v="DE4-N_Offshore_A"/>
    <x v="8"/>
    <x v="48"/>
    <x v="0"/>
    <x v="2"/>
    <n v="186.48044973373999"/>
    <n v="68065.364152814902"/>
    <n v="245035.31095013401"/>
  </r>
  <r>
    <x v="0"/>
    <x v="0"/>
    <x v="0"/>
    <x v="3"/>
    <x v="5"/>
    <s v="DE4-N_Offshore_A"/>
    <x v="8"/>
    <x v="48"/>
    <x v="0"/>
    <x v="9"/>
    <n v="201.138898315489"/>
    <n v="73415.697885153597"/>
    <n v="264296.51238655299"/>
  </r>
  <r>
    <x v="0"/>
    <x v="0"/>
    <x v="0"/>
    <x v="3"/>
    <x v="5"/>
    <s v="DE4-N_Offshore_A"/>
    <x v="8"/>
    <x v="48"/>
    <x v="0"/>
    <x v="10"/>
    <n v="232.07583706658599"/>
    <n v="84707.680529303907"/>
    <n v="304947.64990549401"/>
  </r>
  <r>
    <x v="0"/>
    <x v="0"/>
    <x v="0"/>
    <x v="3"/>
    <x v="5"/>
    <s v="DE4-N_Offshore_A"/>
    <x v="8"/>
    <x v="48"/>
    <x v="0"/>
    <x v="11"/>
    <n v="255.654273666791"/>
    <n v="93313.809888378702"/>
    <n v="335929.71559816302"/>
  </r>
  <r>
    <x v="0"/>
    <x v="0"/>
    <x v="0"/>
    <x v="3"/>
    <x v="5"/>
    <s v="DE4-N_Offshore_A"/>
    <x v="8"/>
    <x v="48"/>
    <x v="0"/>
    <x v="12"/>
    <n v="314.60036516730298"/>
    <n v="114829.133286066"/>
    <n v="413384.87982983602"/>
  </r>
  <r>
    <x v="0"/>
    <x v="0"/>
    <x v="0"/>
    <x v="3"/>
    <x v="5"/>
    <s v="DE4-N_Offshore_A"/>
    <x v="8"/>
    <x v="48"/>
    <x v="0"/>
    <x v="13"/>
    <n v="367.63232894442001"/>
    <n v="134185.800064713"/>
    <n v="483068.88023296703"/>
  </r>
  <r>
    <x v="0"/>
    <x v="0"/>
    <x v="0"/>
    <x v="3"/>
    <x v="5"/>
    <s v="DE4-N_Offshore_A"/>
    <x v="8"/>
    <x v="48"/>
    <x v="0"/>
    <x v="14"/>
    <n v="428.06183201911699"/>
    <n v="156242.56868697799"/>
    <n v="562473.24727311998"/>
  </r>
  <r>
    <x v="0"/>
    <x v="0"/>
    <x v="0"/>
    <x v="3"/>
    <x v="5"/>
    <s v="DE4-N_Offshore_A"/>
    <x v="8"/>
    <x v="48"/>
    <x v="0"/>
    <x v="15"/>
    <n v="487.71059216003198"/>
    <n v="178014.36613841201"/>
    <n v="640851.71809828305"/>
  </r>
  <r>
    <x v="0"/>
    <x v="0"/>
    <x v="0"/>
    <x v="3"/>
    <x v="5"/>
    <s v="DE4-N_Offshore_A"/>
    <x v="8"/>
    <x v="48"/>
    <x v="0"/>
    <x v="16"/>
    <n v="567.34637140575796"/>
    <n v="207081.42556310099"/>
    <n v="745493.13202716503"/>
  </r>
  <r>
    <x v="0"/>
    <x v="0"/>
    <x v="0"/>
    <x v="3"/>
    <x v="5"/>
    <s v="DE4-N_Offshore_A"/>
    <x v="8"/>
    <x v="48"/>
    <x v="0"/>
    <x v="17"/>
    <n v="640.09209426085999"/>
    <n v="233633.614405214"/>
    <n v="841081.01185877004"/>
  </r>
  <r>
    <x v="0"/>
    <x v="0"/>
    <x v="0"/>
    <x v="3"/>
    <x v="5"/>
    <s v="DE4-N_Offshore_A"/>
    <x v="8"/>
    <x v="48"/>
    <x v="0"/>
    <x v="18"/>
    <n v="718.04927619895398"/>
    <n v="262087.98581261799"/>
    <n v="943516.74892542604"/>
  </r>
  <r>
    <x v="0"/>
    <x v="0"/>
    <x v="0"/>
    <x v="3"/>
    <x v="5"/>
    <s v="DE4-N_Offshore_A"/>
    <x v="8"/>
    <x v="48"/>
    <x v="0"/>
    <x v="19"/>
    <n v="796.39682960393998"/>
    <n v="290684.84280543798"/>
    <n v="1046465.43409958"/>
  </r>
  <r>
    <x v="0"/>
    <x v="0"/>
    <x v="0"/>
    <x v="3"/>
    <x v="5"/>
    <s v="DE4-N_Offshore_A"/>
    <x v="8"/>
    <x v="48"/>
    <x v="0"/>
    <x v="20"/>
    <n v="863.30649902902496"/>
    <n v="315106.87214559398"/>
    <n v="1134384.7397241399"/>
  </r>
  <r>
    <x v="0"/>
    <x v="0"/>
    <x v="0"/>
    <x v="3"/>
    <x v="5"/>
    <s v="DE4-N_Offshore_A"/>
    <x v="8"/>
    <x v="48"/>
    <x v="0"/>
    <x v="21"/>
    <n v="936.91103911128698"/>
    <n v="341972.52927562001"/>
    <n v="1231101.10539223"/>
  </r>
  <r>
    <x v="0"/>
    <x v="0"/>
    <x v="0"/>
    <x v="3"/>
    <x v="5"/>
    <s v="DE4-N_Offshore_A"/>
    <x v="8"/>
    <x v="48"/>
    <x v="0"/>
    <x v="22"/>
    <n v="1029.7999296579501"/>
    <n v="375876.97432515299"/>
    <n v="1353157.1075705499"/>
  </r>
  <r>
    <x v="0"/>
    <x v="0"/>
    <x v="0"/>
    <x v="3"/>
    <x v="5"/>
    <s v="DE4-N_Offshore_A"/>
    <x v="8"/>
    <x v="48"/>
    <x v="0"/>
    <x v="23"/>
    <n v="1090.38558131941"/>
    <n v="397990.737181584"/>
    <n v="1432766.6538537"/>
  </r>
  <r>
    <x v="0"/>
    <x v="0"/>
    <x v="0"/>
    <x v="3"/>
    <x v="6"/>
    <s v="DE4-S_A"/>
    <x v="11"/>
    <x v="135"/>
    <x v="0"/>
    <x v="1"/>
    <n v="105.244444444444"/>
    <n v="38414.222222222197"/>
    <n v="138291.20000000001"/>
  </r>
  <r>
    <x v="0"/>
    <x v="0"/>
    <x v="0"/>
    <x v="3"/>
    <x v="6"/>
    <s v="DE4-S_A"/>
    <x v="11"/>
    <x v="135"/>
    <x v="0"/>
    <x v="2"/>
    <n v="105.244444444444"/>
    <n v="38414.222222222197"/>
    <n v="138291.20000000001"/>
  </r>
  <r>
    <x v="0"/>
    <x v="0"/>
    <x v="0"/>
    <x v="3"/>
    <x v="6"/>
    <s v="DE4-S_A"/>
    <x v="11"/>
    <x v="136"/>
    <x v="0"/>
    <x v="1"/>
    <n v="5742.5227272727298"/>
    <n v="2096020.7954545501"/>
    <n v="7545674.8636363596"/>
  </r>
  <r>
    <x v="0"/>
    <x v="0"/>
    <x v="0"/>
    <x v="3"/>
    <x v="6"/>
    <s v="DE4-S_A"/>
    <x v="11"/>
    <x v="136"/>
    <x v="0"/>
    <x v="2"/>
    <n v="5742.5227272727298"/>
    <n v="2096020.7954545501"/>
    <n v="7545674.8636363596"/>
  </r>
  <r>
    <x v="0"/>
    <x v="0"/>
    <x v="0"/>
    <x v="3"/>
    <x v="6"/>
    <s v="DE4-S_A"/>
    <x v="11"/>
    <x v="136"/>
    <x v="0"/>
    <x v="9"/>
    <n v="5742.5227272727298"/>
    <n v="2096020.7954545501"/>
    <n v="7545674.8636363596"/>
  </r>
  <r>
    <x v="0"/>
    <x v="0"/>
    <x v="0"/>
    <x v="3"/>
    <x v="6"/>
    <s v="DE4-S_A"/>
    <x v="11"/>
    <x v="138"/>
    <x v="0"/>
    <x v="1"/>
    <n v="106.052631578947"/>
    <n v="38709.210526315801"/>
    <n v="139353.157894737"/>
  </r>
  <r>
    <x v="0"/>
    <x v="0"/>
    <x v="0"/>
    <x v="3"/>
    <x v="6"/>
    <s v="DE4-S_A"/>
    <x v="11"/>
    <x v="138"/>
    <x v="0"/>
    <x v="2"/>
    <n v="106.052631578947"/>
    <n v="38709.210526315801"/>
    <n v="139353.157894737"/>
  </r>
  <r>
    <x v="0"/>
    <x v="0"/>
    <x v="0"/>
    <x v="3"/>
    <x v="6"/>
    <s v="DE4-S_A"/>
    <x v="19"/>
    <x v="162"/>
    <x v="0"/>
    <x v="0"/>
    <n v="0.473333333333333"/>
    <n v="172.76666666666699"/>
    <n v="621.96"/>
  </r>
  <r>
    <x v="0"/>
    <x v="0"/>
    <x v="0"/>
    <x v="3"/>
    <x v="6"/>
    <s v="DE4-S_A"/>
    <x v="19"/>
    <x v="162"/>
    <x v="0"/>
    <x v="1"/>
    <n v="0.473333333333333"/>
    <n v="172.76666666666699"/>
    <n v="621.96"/>
  </r>
  <r>
    <x v="0"/>
    <x v="0"/>
    <x v="0"/>
    <x v="3"/>
    <x v="6"/>
    <s v="DE4-S_A"/>
    <x v="19"/>
    <x v="162"/>
    <x v="0"/>
    <x v="2"/>
    <n v="0.473333333333333"/>
    <n v="172.76666666666699"/>
    <n v="621.96"/>
  </r>
  <r>
    <x v="0"/>
    <x v="0"/>
    <x v="0"/>
    <x v="3"/>
    <x v="6"/>
    <s v="DE4-S_A"/>
    <x v="19"/>
    <x v="162"/>
    <x v="0"/>
    <x v="9"/>
    <n v="0.473333333333333"/>
    <n v="172.76666666666699"/>
    <n v="621.96"/>
  </r>
  <r>
    <x v="0"/>
    <x v="0"/>
    <x v="0"/>
    <x v="3"/>
    <x v="6"/>
    <s v="DE4-S_A"/>
    <x v="19"/>
    <x v="162"/>
    <x v="0"/>
    <x v="10"/>
    <n v="0.473333333333333"/>
    <n v="172.76666666666699"/>
    <n v="621.96"/>
  </r>
  <r>
    <x v="0"/>
    <x v="0"/>
    <x v="0"/>
    <x v="3"/>
    <x v="6"/>
    <s v="DE4-S_A"/>
    <x v="19"/>
    <x v="162"/>
    <x v="0"/>
    <x v="15"/>
    <n v="0.473333333333333"/>
    <n v="172.76666666666699"/>
    <n v="621.96"/>
  </r>
  <r>
    <x v="0"/>
    <x v="0"/>
    <x v="0"/>
    <x v="3"/>
    <x v="6"/>
    <s v="DE4-S_A"/>
    <x v="19"/>
    <x v="162"/>
    <x v="0"/>
    <x v="16"/>
    <n v="0.473333333333333"/>
    <n v="172.76666666666699"/>
    <n v="621.96"/>
  </r>
  <r>
    <x v="0"/>
    <x v="0"/>
    <x v="0"/>
    <x v="3"/>
    <x v="6"/>
    <s v="DE4-S_A"/>
    <x v="19"/>
    <x v="162"/>
    <x v="0"/>
    <x v="17"/>
    <n v="0.473333333333333"/>
    <n v="172.76666666666699"/>
    <n v="621.96"/>
  </r>
  <r>
    <x v="0"/>
    <x v="0"/>
    <x v="0"/>
    <x v="3"/>
    <x v="6"/>
    <s v="DE4-S_A"/>
    <x v="19"/>
    <x v="162"/>
    <x v="0"/>
    <x v="18"/>
    <n v="0.473333333333333"/>
    <n v="172.76666666666699"/>
    <n v="621.96"/>
  </r>
  <r>
    <x v="0"/>
    <x v="0"/>
    <x v="0"/>
    <x v="3"/>
    <x v="6"/>
    <s v="DE4-S_A"/>
    <x v="19"/>
    <x v="162"/>
    <x v="0"/>
    <x v="19"/>
    <n v="0.473333333333333"/>
    <n v="172.76666666666699"/>
    <n v="621.96"/>
  </r>
  <r>
    <x v="0"/>
    <x v="0"/>
    <x v="0"/>
    <x v="3"/>
    <x v="6"/>
    <s v="DE4-S_A"/>
    <x v="19"/>
    <x v="163"/>
    <x v="0"/>
    <x v="3"/>
    <n v="2163"/>
    <n v="789495"/>
    <n v="2842182"/>
  </r>
  <r>
    <x v="0"/>
    <x v="0"/>
    <x v="0"/>
    <x v="3"/>
    <x v="6"/>
    <s v="DE4-S_A"/>
    <x v="19"/>
    <x v="163"/>
    <x v="0"/>
    <x v="1"/>
    <n v="302.22739726027299"/>
    <n v="110313"/>
    <n v="397126.799999999"/>
  </r>
  <r>
    <x v="0"/>
    <x v="0"/>
    <x v="0"/>
    <x v="3"/>
    <x v="6"/>
    <s v="DE4-S_A"/>
    <x v="19"/>
    <x v="163"/>
    <x v="0"/>
    <x v="2"/>
    <n v="2163"/>
    <n v="789495"/>
    <n v="2842182"/>
  </r>
  <r>
    <x v="0"/>
    <x v="0"/>
    <x v="0"/>
    <x v="3"/>
    <x v="6"/>
    <s v="DE4-S_A"/>
    <x v="19"/>
    <x v="163"/>
    <x v="0"/>
    <x v="16"/>
    <n v="171.73239062081299"/>
    <n v="62682.322576596598"/>
    <n v="225656.361275748"/>
  </r>
  <r>
    <x v="0"/>
    <x v="0"/>
    <x v="0"/>
    <x v="3"/>
    <x v="6"/>
    <s v="DE4-S_A"/>
    <x v="19"/>
    <x v="163"/>
    <x v="0"/>
    <x v="17"/>
    <n v="1557.9391909824301"/>
    <n v="568647.80470858805"/>
    <n v="2047132.0969509201"/>
  </r>
  <r>
    <x v="0"/>
    <x v="0"/>
    <x v="0"/>
    <x v="3"/>
    <x v="6"/>
    <s v="DE4-S_A"/>
    <x v="19"/>
    <x v="163"/>
    <x v="0"/>
    <x v="18"/>
    <n v="735.55581565702801"/>
    <n v="268477.87271481502"/>
    <n v="966520.34177333501"/>
  </r>
  <r>
    <x v="0"/>
    <x v="0"/>
    <x v="0"/>
    <x v="3"/>
    <x v="6"/>
    <s v="DE4-S_A"/>
    <x v="19"/>
    <x v="141"/>
    <x v="0"/>
    <x v="0"/>
    <n v="1568.45530225947"/>
    <n v="572486.18532470695"/>
    <n v="2060950.2671689501"/>
  </r>
  <r>
    <x v="0"/>
    <x v="0"/>
    <x v="0"/>
    <x v="3"/>
    <x v="6"/>
    <s v="DE4-S_A"/>
    <x v="19"/>
    <x v="141"/>
    <x v="0"/>
    <x v="1"/>
    <n v="1568.45530225947"/>
    <n v="572486.18532470695"/>
    <n v="2060950.2671689501"/>
  </r>
  <r>
    <x v="0"/>
    <x v="0"/>
    <x v="0"/>
    <x v="3"/>
    <x v="6"/>
    <s v="DE4-S_A"/>
    <x v="19"/>
    <x v="141"/>
    <x v="0"/>
    <x v="2"/>
    <n v="1568.45530225947"/>
    <n v="572486.18532470695"/>
    <n v="2060950.2671689501"/>
  </r>
  <r>
    <x v="0"/>
    <x v="0"/>
    <x v="0"/>
    <x v="3"/>
    <x v="6"/>
    <s v="DE4-S_A"/>
    <x v="19"/>
    <x v="141"/>
    <x v="0"/>
    <x v="9"/>
    <n v="1568.45530225947"/>
    <n v="572486.18532470695"/>
    <n v="2060950.2671689501"/>
  </r>
  <r>
    <x v="0"/>
    <x v="0"/>
    <x v="0"/>
    <x v="3"/>
    <x v="6"/>
    <s v="DE4-S_A"/>
    <x v="19"/>
    <x v="141"/>
    <x v="0"/>
    <x v="10"/>
    <n v="1568.45530225947"/>
    <n v="572486.18532470695"/>
    <n v="2060950.2671689501"/>
  </r>
  <r>
    <x v="0"/>
    <x v="0"/>
    <x v="0"/>
    <x v="3"/>
    <x v="6"/>
    <s v="DE4-S_A"/>
    <x v="19"/>
    <x v="141"/>
    <x v="0"/>
    <x v="15"/>
    <n v="1568.45530225947"/>
    <n v="572486.18532470695"/>
    <n v="2060950.2671689501"/>
  </r>
  <r>
    <x v="0"/>
    <x v="0"/>
    <x v="0"/>
    <x v="3"/>
    <x v="6"/>
    <s v="DE4-S_A"/>
    <x v="19"/>
    <x v="141"/>
    <x v="0"/>
    <x v="16"/>
    <n v="1568.45530225947"/>
    <n v="572486.185324708"/>
    <n v="2060950.2671689501"/>
  </r>
  <r>
    <x v="0"/>
    <x v="0"/>
    <x v="0"/>
    <x v="3"/>
    <x v="6"/>
    <s v="DE4-S_A"/>
    <x v="19"/>
    <x v="141"/>
    <x v="0"/>
    <x v="17"/>
    <n v="1568.45530225947"/>
    <n v="572486.18532470695"/>
    <n v="2060950.2671689501"/>
  </r>
  <r>
    <x v="0"/>
    <x v="0"/>
    <x v="0"/>
    <x v="3"/>
    <x v="6"/>
    <s v="DE4-S_A"/>
    <x v="19"/>
    <x v="141"/>
    <x v="0"/>
    <x v="18"/>
    <n v="1568.45530225947"/>
    <n v="572486.18532470695"/>
    <n v="2060950.2671689501"/>
  </r>
  <r>
    <x v="0"/>
    <x v="0"/>
    <x v="0"/>
    <x v="3"/>
    <x v="6"/>
    <s v="DE4-S_A"/>
    <x v="19"/>
    <x v="141"/>
    <x v="0"/>
    <x v="19"/>
    <n v="1568.45530225947"/>
    <n v="572486.18532470695"/>
    <n v="2060950.2671689501"/>
  </r>
  <r>
    <x v="0"/>
    <x v="0"/>
    <x v="0"/>
    <x v="3"/>
    <x v="6"/>
    <s v="DE4-S_A"/>
    <x v="1"/>
    <x v="142"/>
    <x v="0"/>
    <x v="1"/>
    <n v="1211.8181818181899"/>
    <n v="442313.63636363798"/>
    <n v="1592329.0909090999"/>
  </r>
  <r>
    <x v="0"/>
    <x v="0"/>
    <x v="0"/>
    <x v="3"/>
    <x v="6"/>
    <s v="DE4-S_A"/>
    <x v="1"/>
    <x v="142"/>
    <x v="0"/>
    <x v="2"/>
    <n v="1211.8181818181899"/>
    <n v="442313.63636363798"/>
    <n v="1592329.0909090999"/>
  </r>
  <r>
    <x v="0"/>
    <x v="0"/>
    <x v="0"/>
    <x v="3"/>
    <x v="6"/>
    <s v="DE4-S_A"/>
    <x v="1"/>
    <x v="142"/>
    <x v="0"/>
    <x v="9"/>
    <n v="1211.8181818181899"/>
    <n v="442313.63636363798"/>
    <n v="1592329.0909090999"/>
  </r>
  <r>
    <x v="0"/>
    <x v="0"/>
    <x v="0"/>
    <x v="3"/>
    <x v="6"/>
    <s v="DE4-S_A"/>
    <x v="1"/>
    <x v="142"/>
    <x v="0"/>
    <x v="16"/>
    <n v="1211.8181818181899"/>
    <n v="442313.63636363798"/>
    <n v="1592329.0909090999"/>
  </r>
  <r>
    <x v="0"/>
    <x v="0"/>
    <x v="0"/>
    <x v="3"/>
    <x v="6"/>
    <s v="DE4-S_A"/>
    <x v="1"/>
    <x v="142"/>
    <x v="0"/>
    <x v="17"/>
    <n v="1211.8181818181899"/>
    <n v="442313.63636363798"/>
    <n v="1592329.0909090999"/>
  </r>
  <r>
    <x v="0"/>
    <x v="0"/>
    <x v="0"/>
    <x v="3"/>
    <x v="6"/>
    <s v="DE4-S_A"/>
    <x v="1"/>
    <x v="142"/>
    <x v="0"/>
    <x v="18"/>
    <n v="1211.8181818181899"/>
    <n v="442313.63636363798"/>
    <n v="1592329.0909090999"/>
  </r>
  <r>
    <x v="0"/>
    <x v="0"/>
    <x v="0"/>
    <x v="3"/>
    <x v="6"/>
    <s v="DE4-S_A"/>
    <x v="1"/>
    <x v="142"/>
    <x v="0"/>
    <x v="19"/>
    <n v="1211.8181818181899"/>
    <n v="442313.63636363798"/>
    <n v="1592329.0909090999"/>
  </r>
  <r>
    <x v="0"/>
    <x v="0"/>
    <x v="0"/>
    <x v="3"/>
    <x v="6"/>
    <s v="DE4-S_A"/>
    <x v="1"/>
    <x v="143"/>
    <x v="0"/>
    <x v="3"/>
    <n v="121.212121212121"/>
    <n v="44242.424242424197"/>
    <n v="159272.727272727"/>
  </r>
  <r>
    <x v="0"/>
    <x v="0"/>
    <x v="0"/>
    <x v="3"/>
    <x v="6"/>
    <s v="DE4-S_A"/>
    <x v="1"/>
    <x v="143"/>
    <x v="0"/>
    <x v="4"/>
    <n v="121.212121212121"/>
    <n v="44242.424242424197"/>
    <n v="159272.727272727"/>
  </r>
  <r>
    <x v="0"/>
    <x v="0"/>
    <x v="0"/>
    <x v="3"/>
    <x v="6"/>
    <s v="DE4-S_A"/>
    <x v="1"/>
    <x v="143"/>
    <x v="0"/>
    <x v="5"/>
    <n v="121.212121212121"/>
    <n v="44242.424242424197"/>
    <n v="159272.727272727"/>
  </r>
  <r>
    <x v="0"/>
    <x v="0"/>
    <x v="0"/>
    <x v="3"/>
    <x v="6"/>
    <s v="DE4-S_A"/>
    <x v="1"/>
    <x v="143"/>
    <x v="0"/>
    <x v="6"/>
    <n v="121.212121212121"/>
    <n v="44242.424242424197"/>
    <n v="159272.727272727"/>
  </r>
  <r>
    <x v="0"/>
    <x v="0"/>
    <x v="0"/>
    <x v="3"/>
    <x v="6"/>
    <s v="DE4-S_A"/>
    <x v="1"/>
    <x v="143"/>
    <x v="0"/>
    <x v="7"/>
    <n v="121.212121212121"/>
    <n v="44242.424242424197"/>
    <n v="159272.727272727"/>
  </r>
  <r>
    <x v="0"/>
    <x v="0"/>
    <x v="0"/>
    <x v="3"/>
    <x v="6"/>
    <s v="DE4-S_A"/>
    <x v="1"/>
    <x v="143"/>
    <x v="0"/>
    <x v="8"/>
    <n v="121.212121212121"/>
    <n v="44242.424242424197"/>
    <n v="159272.727272727"/>
  </r>
  <r>
    <x v="0"/>
    <x v="0"/>
    <x v="0"/>
    <x v="3"/>
    <x v="6"/>
    <s v="DE4-S_A"/>
    <x v="1"/>
    <x v="143"/>
    <x v="0"/>
    <x v="0"/>
    <n v="121.212121212121"/>
    <n v="44242.424242424197"/>
    <n v="159272.727272727"/>
  </r>
  <r>
    <x v="0"/>
    <x v="0"/>
    <x v="0"/>
    <x v="3"/>
    <x v="6"/>
    <s v="DE4-S_A"/>
    <x v="1"/>
    <x v="143"/>
    <x v="0"/>
    <x v="1"/>
    <n v="121.212121212121"/>
    <n v="44242.424242424197"/>
    <n v="159272.727272727"/>
  </r>
  <r>
    <x v="0"/>
    <x v="0"/>
    <x v="0"/>
    <x v="3"/>
    <x v="6"/>
    <s v="DE4-S_A"/>
    <x v="1"/>
    <x v="143"/>
    <x v="0"/>
    <x v="2"/>
    <n v="121.212121212121"/>
    <n v="44242.424242424197"/>
    <n v="159272.727272727"/>
  </r>
  <r>
    <x v="0"/>
    <x v="0"/>
    <x v="0"/>
    <x v="3"/>
    <x v="6"/>
    <s v="DE4-S_A"/>
    <x v="1"/>
    <x v="143"/>
    <x v="0"/>
    <x v="9"/>
    <n v="121.212121212121"/>
    <n v="44242.424242424197"/>
    <n v="159272.727272727"/>
  </r>
  <r>
    <x v="0"/>
    <x v="0"/>
    <x v="0"/>
    <x v="3"/>
    <x v="6"/>
    <s v="DE4-S_A"/>
    <x v="1"/>
    <x v="143"/>
    <x v="0"/>
    <x v="10"/>
    <n v="121.212121212121"/>
    <n v="44242.424242424197"/>
    <n v="159272.727272727"/>
  </r>
  <r>
    <x v="0"/>
    <x v="0"/>
    <x v="0"/>
    <x v="3"/>
    <x v="6"/>
    <s v="DE4-S_A"/>
    <x v="1"/>
    <x v="143"/>
    <x v="0"/>
    <x v="11"/>
    <n v="121.212121212121"/>
    <n v="44242.424242424197"/>
    <n v="159272.727272727"/>
  </r>
  <r>
    <x v="0"/>
    <x v="0"/>
    <x v="0"/>
    <x v="3"/>
    <x v="6"/>
    <s v="DE4-S_A"/>
    <x v="1"/>
    <x v="143"/>
    <x v="0"/>
    <x v="12"/>
    <n v="121.212121212121"/>
    <n v="44242.424242424197"/>
    <n v="159272.727272727"/>
  </r>
  <r>
    <x v="0"/>
    <x v="0"/>
    <x v="0"/>
    <x v="3"/>
    <x v="6"/>
    <s v="DE4-S_A"/>
    <x v="1"/>
    <x v="143"/>
    <x v="0"/>
    <x v="13"/>
    <n v="121.212121212121"/>
    <n v="44242.424242424197"/>
    <n v="159272.727272727"/>
  </r>
  <r>
    <x v="0"/>
    <x v="0"/>
    <x v="0"/>
    <x v="3"/>
    <x v="6"/>
    <s v="DE4-S_A"/>
    <x v="1"/>
    <x v="143"/>
    <x v="0"/>
    <x v="14"/>
    <n v="121.212121212121"/>
    <n v="44242.424242424197"/>
    <n v="159272.727272727"/>
  </r>
  <r>
    <x v="0"/>
    <x v="0"/>
    <x v="0"/>
    <x v="3"/>
    <x v="6"/>
    <s v="DE4-S_A"/>
    <x v="1"/>
    <x v="143"/>
    <x v="0"/>
    <x v="15"/>
    <n v="121.212121212121"/>
    <n v="44242.424242424197"/>
    <n v="159272.727272727"/>
  </r>
  <r>
    <x v="0"/>
    <x v="0"/>
    <x v="0"/>
    <x v="3"/>
    <x v="6"/>
    <s v="DE4-S_A"/>
    <x v="1"/>
    <x v="143"/>
    <x v="0"/>
    <x v="16"/>
    <n v="121.212121212121"/>
    <n v="44242.424242424197"/>
    <n v="159272.727272727"/>
  </r>
  <r>
    <x v="0"/>
    <x v="0"/>
    <x v="0"/>
    <x v="3"/>
    <x v="6"/>
    <s v="DE4-S_A"/>
    <x v="1"/>
    <x v="143"/>
    <x v="0"/>
    <x v="17"/>
    <n v="121.212121212121"/>
    <n v="44242.424242424197"/>
    <n v="159272.727272727"/>
  </r>
  <r>
    <x v="0"/>
    <x v="0"/>
    <x v="0"/>
    <x v="3"/>
    <x v="6"/>
    <s v="DE4-S_A"/>
    <x v="1"/>
    <x v="143"/>
    <x v="0"/>
    <x v="18"/>
    <n v="121.212121212121"/>
    <n v="44242.424242424197"/>
    <n v="159272.727272727"/>
  </r>
  <r>
    <x v="0"/>
    <x v="0"/>
    <x v="0"/>
    <x v="3"/>
    <x v="6"/>
    <s v="DE4-S_A"/>
    <x v="1"/>
    <x v="143"/>
    <x v="0"/>
    <x v="19"/>
    <n v="121.212121212121"/>
    <n v="44242.424242424197"/>
    <n v="159272.727272727"/>
  </r>
  <r>
    <x v="0"/>
    <x v="0"/>
    <x v="0"/>
    <x v="3"/>
    <x v="6"/>
    <s v="DE4-S_A"/>
    <x v="1"/>
    <x v="143"/>
    <x v="0"/>
    <x v="20"/>
    <n v="121.212121212121"/>
    <n v="44242.424242424197"/>
    <n v="159272.727272727"/>
  </r>
  <r>
    <x v="0"/>
    <x v="0"/>
    <x v="0"/>
    <x v="3"/>
    <x v="6"/>
    <s v="DE4-S_A"/>
    <x v="1"/>
    <x v="143"/>
    <x v="0"/>
    <x v="21"/>
    <n v="121.212121212121"/>
    <n v="44242.424242424197"/>
    <n v="159272.727272727"/>
  </r>
  <r>
    <x v="0"/>
    <x v="0"/>
    <x v="0"/>
    <x v="3"/>
    <x v="6"/>
    <s v="DE4-S_A"/>
    <x v="1"/>
    <x v="143"/>
    <x v="0"/>
    <x v="22"/>
    <n v="121.212121212121"/>
    <n v="44242.424242424197"/>
    <n v="159272.727272727"/>
  </r>
  <r>
    <x v="0"/>
    <x v="0"/>
    <x v="0"/>
    <x v="3"/>
    <x v="6"/>
    <s v="DE4-S_A"/>
    <x v="1"/>
    <x v="143"/>
    <x v="0"/>
    <x v="23"/>
    <n v="121.212121212121"/>
    <n v="44242.424242424197"/>
    <n v="159272.727272727"/>
  </r>
  <r>
    <x v="0"/>
    <x v="0"/>
    <x v="0"/>
    <x v="3"/>
    <x v="6"/>
    <s v="DE4-S_A"/>
    <x v="2"/>
    <x v="144"/>
    <x v="0"/>
    <x v="3"/>
    <n v="6128.1132075471696"/>
    <n v="2236761.3207547199"/>
    <n v="8052340.7547169803"/>
  </r>
  <r>
    <x v="0"/>
    <x v="0"/>
    <x v="0"/>
    <x v="3"/>
    <x v="6"/>
    <s v="DE4-S_A"/>
    <x v="2"/>
    <x v="144"/>
    <x v="0"/>
    <x v="4"/>
    <n v="6128.1132075471696"/>
    <n v="2236761.3207547199"/>
    <n v="8052340.7547169803"/>
  </r>
  <r>
    <x v="0"/>
    <x v="0"/>
    <x v="0"/>
    <x v="3"/>
    <x v="6"/>
    <s v="DE4-S_A"/>
    <x v="2"/>
    <x v="144"/>
    <x v="0"/>
    <x v="5"/>
    <n v="6128.1132075471696"/>
    <n v="2236761.3207547199"/>
    <n v="8052340.7547169803"/>
  </r>
  <r>
    <x v="0"/>
    <x v="0"/>
    <x v="0"/>
    <x v="3"/>
    <x v="6"/>
    <s v="DE4-S_A"/>
    <x v="2"/>
    <x v="144"/>
    <x v="0"/>
    <x v="6"/>
    <n v="6128.1132075471696"/>
    <n v="2236761.3207547199"/>
    <n v="8052340.7547169803"/>
  </r>
  <r>
    <x v="0"/>
    <x v="0"/>
    <x v="0"/>
    <x v="3"/>
    <x v="6"/>
    <s v="DE4-S_A"/>
    <x v="2"/>
    <x v="144"/>
    <x v="0"/>
    <x v="7"/>
    <n v="6128.1132075471696"/>
    <n v="2236761.3207547199"/>
    <n v="8052340.7547169803"/>
  </r>
  <r>
    <x v="0"/>
    <x v="0"/>
    <x v="0"/>
    <x v="3"/>
    <x v="6"/>
    <s v="DE4-S_A"/>
    <x v="2"/>
    <x v="144"/>
    <x v="0"/>
    <x v="8"/>
    <n v="6128.1132075471696"/>
    <n v="2236761.3207547199"/>
    <n v="8052340.7547169803"/>
  </r>
  <r>
    <x v="0"/>
    <x v="0"/>
    <x v="0"/>
    <x v="3"/>
    <x v="6"/>
    <s v="DE4-S_A"/>
    <x v="2"/>
    <x v="144"/>
    <x v="0"/>
    <x v="0"/>
    <n v="6128.1132075471696"/>
    <n v="2236761.3207547199"/>
    <n v="8052340.7547169803"/>
  </r>
  <r>
    <x v="0"/>
    <x v="0"/>
    <x v="0"/>
    <x v="3"/>
    <x v="6"/>
    <s v="DE4-S_A"/>
    <x v="2"/>
    <x v="144"/>
    <x v="0"/>
    <x v="1"/>
    <n v="6128.1132075471696"/>
    <n v="2236761.3207547199"/>
    <n v="8052340.7547169803"/>
  </r>
  <r>
    <x v="0"/>
    <x v="0"/>
    <x v="0"/>
    <x v="3"/>
    <x v="6"/>
    <s v="DE4-S_A"/>
    <x v="2"/>
    <x v="144"/>
    <x v="0"/>
    <x v="2"/>
    <n v="6128.1132075471696"/>
    <n v="2236761.3207547199"/>
    <n v="8052340.7547169803"/>
  </r>
  <r>
    <x v="0"/>
    <x v="0"/>
    <x v="0"/>
    <x v="3"/>
    <x v="6"/>
    <s v="DE4-S_A"/>
    <x v="2"/>
    <x v="144"/>
    <x v="0"/>
    <x v="9"/>
    <n v="6128.1132075471696"/>
    <n v="2236761.3207547199"/>
    <n v="8052340.7547169803"/>
  </r>
  <r>
    <x v="0"/>
    <x v="0"/>
    <x v="0"/>
    <x v="3"/>
    <x v="6"/>
    <s v="DE4-S_A"/>
    <x v="2"/>
    <x v="144"/>
    <x v="0"/>
    <x v="10"/>
    <n v="6128.1132075471696"/>
    <n v="2236761.3207547199"/>
    <n v="8052340.7547169803"/>
  </r>
  <r>
    <x v="0"/>
    <x v="0"/>
    <x v="0"/>
    <x v="3"/>
    <x v="6"/>
    <s v="DE4-S_A"/>
    <x v="2"/>
    <x v="144"/>
    <x v="0"/>
    <x v="11"/>
    <n v="6128.1132075471696"/>
    <n v="2236761.3207547199"/>
    <n v="8052340.7547169803"/>
  </r>
  <r>
    <x v="0"/>
    <x v="0"/>
    <x v="0"/>
    <x v="3"/>
    <x v="6"/>
    <s v="DE4-S_A"/>
    <x v="2"/>
    <x v="144"/>
    <x v="0"/>
    <x v="12"/>
    <n v="6128.1132075471696"/>
    <n v="2236761.3207547199"/>
    <n v="8052340.7547169803"/>
  </r>
  <r>
    <x v="0"/>
    <x v="0"/>
    <x v="0"/>
    <x v="3"/>
    <x v="6"/>
    <s v="DE4-S_A"/>
    <x v="2"/>
    <x v="144"/>
    <x v="0"/>
    <x v="13"/>
    <n v="6128.1132075471696"/>
    <n v="2236761.3207547199"/>
    <n v="8052340.7547169803"/>
  </r>
  <r>
    <x v="0"/>
    <x v="0"/>
    <x v="0"/>
    <x v="3"/>
    <x v="6"/>
    <s v="DE4-S_A"/>
    <x v="2"/>
    <x v="144"/>
    <x v="0"/>
    <x v="14"/>
    <n v="6128.1132075471696"/>
    <n v="2236761.3207547199"/>
    <n v="8052340.7547169803"/>
  </r>
  <r>
    <x v="0"/>
    <x v="0"/>
    <x v="0"/>
    <x v="3"/>
    <x v="6"/>
    <s v="DE4-S_A"/>
    <x v="2"/>
    <x v="144"/>
    <x v="0"/>
    <x v="15"/>
    <n v="6128.1132075471696"/>
    <n v="2236761.3207547199"/>
    <n v="8052340.7547169803"/>
  </r>
  <r>
    <x v="0"/>
    <x v="0"/>
    <x v="0"/>
    <x v="3"/>
    <x v="6"/>
    <s v="DE4-S_A"/>
    <x v="2"/>
    <x v="144"/>
    <x v="0"/>
    <x v="16"/>
    <n v="6128.1132075471696"/>
    <n v="2236761.3207547199"/>
    <n v="8052340.7547169803"/>
  </r>
  <r>
    <x v="0"/>
    <x v="0"/>
    <x v="0"/>
    <x v="3"/>
    <x v="6"/>
    <s v="DE4-S_A"/>
    <x v="2"/>
    <x v="144"/>
    <x v="0"/>
    <x v="17"/>
    <n v="6128.1132075471696"/>
    <n v="2236761.3207547199"/>
    <n v="8052340.7547169803"/>
  </r>
  <r>
    <x v="0"/>
    <x v="0"/>
    <x v="0"/>
    <x v="3"/>
    <x v="6"/>
    <s v="DE4-S_A"/>
    <x v="2"/>
    <x v="144"/>
    <x v="0"/>
    <x v="18"/>
    <n v="6128.1132075471696"/>
    <n v="2236761.3207547199"/>
    <n v="8052340.7547169803"/>
  </r>
  <r>
    <x v="0"/>
    <x v="0"/>
    <x v="0"/>
    <x v="3"/>
    <x v="6"/>
    <s v="DE4-S_A"/>
    <x v="2"/>
    <x v="144"/>
    <x v="0"/>
    <x v="19"/>
    <n v="6128.1132075471696"/>
    <n v="2236761.3207547199"/>
    <n v="8052340.7547169803"/>
  </r>
  <r>
    <x v="0"/>
    <x v="0"/>
    <x v="0"/>
    <x v="3"/>
    <x v="6"/>
    <s v="DE4-S_A"/>
    <x v="2"/>
    <x v="144"/>
    <x v="0"/>
    <x v="20"/>
    <n v="6128.1132075471696"/>
    <n v="2236761.3207547199"/>
    <n v="8052340.7547169803"/>
  </r>
  <r>
    <x v="0"/>
    <x v="0"/>
    <x v="0"/>
    <x v="3"/>
    <x v="6"/>
    <s v="DE4-S_A"/>
    <x v="2"/>
    <x v="144"/>
    <x v="0"/>
    <x v="21"/>
    <n v="6128.1132075471696"/>
    <n v="2236761.3207547199"/>
    <n v="8052340.7547169803"/>
  </r>
  <r>
    <x v="0"/>
    <x v="0"/>
    <x v="0"/>
    <x v="3"/>
    <x v="6"/>
    <s v="DE4-S_A"/>
    <x v="2"/>
    <x v="144"/>
    <x v="0"/>
    <x v="22"/>
    <n v="6128.1132075471696"/>
    <n v="2236761.3207547199"/>
    <n v="8052340.7547169803"/>
  </r>
  <r>
    <x v="0"/>
    <x v="0"/>
    <x v="0"/>
    <x v="3"/>
    <x v="6"/>
    <s v="DE4-S_A"/>
    <x v="2"/>
    <x v="144"/>
    <x v="0"/>
    <x v="23"/>
    <n v="6128.1132075471696"/>
    <n v="2236761.3207547199"/>
    <n v="8052340.7547169803"/>
  </r>
  <r>
    <x v="0"/>
    <x v="0"/>
    <x v="0"/>
    <x v="3"/>
    <x v="6"/>
    <s v="DE4-S_A"/>
    <x v="2"/>
    <x v="164"/>
    <x v="0"/>
    <x v="3"/>
    <n v="1913.9534883720901"/>
    <n v="698593.02325581398"/>
    <n v="2514934.8837209302"/>
  </r>
  <r>
    <x v="0"/>
    <x v="0"/>
    <x v="0"/>
    <x v="3"/>
    <x v="6"/>
    <s v="DE4-S_A"/>
    <x v="2"/>
    <x v="164"/>
    <x v="0"/>
    <x v="4"/>
    <n v="1913.9534883720901"/>
    <n v="698593.02325581398"/>
    <n v="2514934.8837209302"/>
  </r>
  <r>
    <x v="0"/>
    <x v="0"/>
    <x v="0"/>
    <x v="3"/>
    <x v="6"/>
    <s v="DE4-S_A"/>
    <x v="2"/>
    <x v="164"/>
    <x v="0"/>
    <x v="5"/>
    <n v="1913.9534883720901"/>
    <n v="698593.02325581398"/>
    <n v="2514934.8837209302"/>
  </r>
  <r>
    <x v="0"/>
    <x v="0"/>
    <x v="0"/>
    <x v="3"/>
    <x v="6"/>
    <s v="DE4-S_A"/>
    <x v="2"/>
    <x v="164"/>
    <x v="0"/>
    <x v="6"/>
    <n v="1913.9534883720901"/>
    <n v="698593.02325581398"/>
    <n v="2514934.8837209302"/>
  </r>
  <r>
    <x v="0"/>
    <x v="0"/>
    <x v="0"/>
    <x v="3"/>
    <x v="6"/>
    <s v="DE4-S_A"/>
    <x v="2"/>
    <x v="164"/>
    <x v="0"/>
    <x v="7"/>
    <n v="1913.9534883720901"/>
    <n v="698593.02325581398"/>
    <n v="2514934.8837209302"/>
  </r>
  <r>
    <x v="0"/>
    <x v="0"/>
    <x v="0"/>
    <x v="3"/>
    <x v="6"/>
    <s v="DE4-S_A"/>
    <x v="2"/>
    <x v="164"/>
    <x v="0"/>
    <x v="8"/>
    <n v="1913.9534883720901"/>
    <n v="698593.02325581398"/>
    <n v="2514934.8837209302"/>
  </r>
  <r>
    <x v="0"/>
    <x v="0"/>
    <x v="0"/>
    <x v="3"/>
    <x v="6"/>
    <s v="DE4-S_A"/>
    <x v="2"/>
    <x v="164"/>
    <x v="0"/>
    <x v="0"/>
    <n v="1913.9534883720901"/>
    <n v="698593.02325581398"/>
    <n v="2514934.8837209302"/>
  </r>
  <r>
    <x v="0"/>
    <x v="0"/>
    <x v="0"/>
    <x v="3"/>
    <x v="6"/>
    <s v="DE4-S_A"/>
    <x v="2"/>
    <x v="164"/>
    <x v="0"/>
    <x v="1"/>
    <n v="1913.9534883720901"/>
    <n v="698593.02325581398"/>
    <n v="2514934.8837209302"/>
  </r>
  <r>
    <x v="0"/>
    <x v="0"/>
    <x v="0"/>
    <x v="3"/>
    <x v="6"/>
    <s v="DE4-S_A"/>
    <x v="2"/>
    <x v="164"/>
    <x v="0"/>
    <x v="2"/>
    <n v="1913.9534883720901"/>
    <n v="698593.02325581398"/>
    <n v="2514934.8837209302"/>
  </r>
  <r>
    <x v="0"/>
    <x v="0"/>
    <x v="0"/>
    <x v="3"/>
    <x v="6"/>
    <s v="DE4-S_A"/>
    <x v="2"/>
    <x v="164"/>
    <x v="0"/>
    <x v="9"/>
    <n v="1913.9534883720901"/>
    <n v="698593.02325581398"/>
    <n v="2514934.8837209302"/>
  </r>
  <r>
    <x v="0"/>
    <x v="0"/>
    <x v="0"/>
    <x v="3"/>
    <x v="6"/>
    <s v="DE4-S_A"/>
    <x v="2"/>
    <x v="164"/>
    <x v="0"/>
    <x v="10"/>
    <n v="1913.9534883720901"/>
    <n v="698593.02325581398"/>
    <n v="2514934.8837209302"/>
  </r>
  <r>
    <x v="0"/>
    <x v="0"/>
    <x v="0"/>
    <x v="3"/>
    <x v="6"/>
    <s v="DE4-S_A"/>
    <x v="2"/>
    <x v="164"/>
    <x v="0"/>
    <x v="11"/>
    <n v="1913.9534883720901"/>
    <n v="698593.02325581398"/>
    <n v="2514934.8837209302"/>
  </r>
  <r>
    <x v="0"/>
    <x v="0"/>
    <x v="0"/>
    <x v="3"/>
    <x v="6"/>
    <s v="DE4-S_A"/>
    <x v="2"/>
    <x v="164"/>
    <x v="0"/>
    <x v="12"/>
    <n v="1913.9534883720901"/>
    <n v="698593.02325581398"/>
    <n v="2514934.8837209302"/>
  </r>
  <r>
    <x v="0"/>
    <x v="0"/>
    <x v="0"/>
    <x v="3"/>
    <x v="6"/>
    <s v="DE4-S_A"/>
    <x v="2"/>
    <x v="164"/>
    <x v="0"/>
    <x v="13"/>
    <n v="1913.9534883720901"/>
    <n v="698593.02325581398"/>
    <n v="2514934.8837209302"/>
  </r>
  <r>
    <x v="0"/>
    <x v="0"/>
    <x v="0"/>
    <x v="3"/>
    <x v="6"/>
    <s v="DE4-S_A"/>
    <x v="2"/>
    <x v="164"/>
    <x v="0"/>
    <x v="14"/>
    <n v="1913.9534883720901"/>
    <n v="698593.02325581398"/>
    <n v="2514934.8837209302"/>
  </r>
  <r>
    <x v="0"/>
    <x v="0"/>
    <x v="0"/>
    <x v="3"/>
    <x v="6"/>
    <s v="DE4-S_A"/>
    <x v="2"/>
    <x v="164"/>
    <x v="0"/>
    <x v="15"/>
    <n v="1913.9534883720901"/>
    <n v="698593.02325581398"/>
    <n v="2514934.8837209302"/>
  </r>
  <r>
    <x v="0"/>
    <x v="0"/>
    <x v="0"/>
    <x v="3"/>
    <x v="6"/>
    <s v="DE4-S_A"/>
    <x v="2"/>
    <x v="164"/>
    <x v="0"/>
    <x v="16"/>
    <n v="1913.9534883720901"/>
    <n v="698593.02325581398"/>
    <n v="2514934.8837209302"/>
  </r>
  <r>
    <x v="0"/>
    <x v="0"/>
    <x v="0"/>
    <x v="3"/>
    <x v="6"/>
    <s v="DE4-S_A"/>
    <x v="2"/>
    <x v="164"/>
    <x v="0"/>
    <x v="17"/>
    <n v="1913.9534883720901"/>
    <n v="698593.02325581398"/>
    <n v="2514934.8837209302"/>
  </r>
  <r>
    <x v="0"/>
    <x v="0"/>
    <x v="0"/>
    <x v="3"/>
    <x v="6"/>
    <s v="DE4-S_A"/>
    <x v="2"/>
    <x v="164"/>
    <x v="0"/>
    <x v="18"/>
    <n v="1913.9534883720901"/>
    <n v="698593.02325581398"/>
    <n v="2514934.8837209302"/>
  </r>
  <r>
    <x v="0"/>
    <x v="0"/>
    <x v="0"/>
    <x v="3"/>
    <x v="6"/>
    <s v="DE4-S_A"/>
    <x v="2"/>
    <x v="164"/>
    <x v="0"/>
    <x v="19"/>
    <n v="1913.9534883720901"/>
    <n v="698593.02325581398"/>
    <n v="2514934.8837209302"/>
  </r>
  <r>
    <x v="0"/>
    <x v="0"/>
    <x v="0"/>
    <x v="3"/>
    <x v="6"/>
    <s v="DE4-S_A"/>
    <x v="2"/>
    <x v="164"/>
    <x v="0"/>
    <x v="20"/>
    <n v="1913.9534883720901"/>
    <n v="698593.02325581398"/>
    <n v="2514934.8837209302"/>
  </r>
  <r>
    <x v="0"/>
    <x v="0"/>
    <x v="0"/>
    <x v="3"/>
    <x v="6"/>
    <s v="DE4-S_A"/>
    <x v="2"/>
    <x v="164"/>
    <x v="0"/>
    <x v="21"/>
    <n v="1913.9534883720901"/>
    <n v="698593.02325581398"/>
    <n v="2514934.8837209302"/>
  </r>
  <r>
    <x v="0"/>
    <x v="0"/>
    <x v="0"/>
    <x v="3"/>
    <x v="6"/>
    <s v="DE4-S_A"/>
    <x v="2"/>
    <x v="164"/>
    <x v="0"/>
    <x v="22"/>
    <n v="1913.9534883720901"/>
    <n v="698593.02325581398"/>
    <n v="2514934.8837209302"/>
  </r>
  <r>
    <x v="0"/>
    <x v="0"/>
    <x v="0"/>
    <x v="3"/>
    <x v="6"/>
    <s v="DE4-S_A"/>
    <x v="2"/>
    <x v="164"/>
    <x v="0"/>
    <x v="23"/>
    <n v="1913.9534883720901"/>
    <n v="698593.02325581398"/>
    <n v="2514934.8837209302"/>
  </r>
  <r>
    <x v="0"/>
    <x v="0"/>
    <x v="0"/>
    <x v="3"/>
    <x v="6"/>
    <s v="DE4-S_A"/>
    <x v="2"/>
    <x v="146"/>
    <x v="0"/>
    <x v="3"/>
    <n v="3225.6140350877199"/>
    <n v="1177349.1228070201"/>
    <n v="4238456.8421052601"/>
  </r>
  <r>
    <x v="0"/>
    <x v="0"/>
    <x v="0"/>
    <x v="3"/>
    <x v="6"/>
    <s v="DE4-S_A"/>
    <x v="2"/>
    <x v="146"/>
    <x v="0"/>
    <x v="4"/>
    <n v="3225.6140350877199"/>
    <n v="1177349.1228070201"/>
    <n v="4238456.8421052601"/>
  </r>
  <r>
    <x v="0"/>
    <x v="0"/>
    <x v="0"/>
    <x v="3"/>
    <x v="6"/>
    <s v="DE4-S_A"/>
    <x v="2"/>
    <x v="146"/>
    <x v="0"/>
    <x v="5"/>
    <n v="3225.6140350877199"/>
    <n v="1177349.1228070201"/>
    <n v="4238456.8421052601"/>
  </r>
  <r>
    <x v="0"/>
    <x v="0"/>
    <x v="0"/>
    <x v="3"/>
    <x v="6"/>
    <s v="DE4-S_A"/>
    <x v="2"/>
    <x v="146"/>
    <x v="0"/>
    <x v="6"/>
    <n v="3225.6140350877199"/>
    <n v="1177349.1228070201"/>
    <n v="4238456.8421052601"/>
  </r>
  <r>
    <x v="0"/>
    <x v="0"/>
    <x v="0"/>
    <x v="3"/>
    <x v="6"/>
    <s v="DE4-S_A"/>
    <x v="2"/>
    <x v="146"/>
    <x v="0"/>
    <x v="7"/>
    <n v="3225.6140350877199"/>
    <n v="1177349.1228070201"/>
    <n v="4238456.8421052601"/>
  </r>
  <r>
    <x v="0"/>
    <x v="0"/>
    <x v="0"/>
    <x v="3"/>
    <x v="6"/>
    <s v="DE4-S_A"/>
    <x v="2"/>
    <x v="146"/>
    <x v="0"/>
    <x v="8"/>
    <n v="3225.6140350877199"/>
    <n v="1177349.1228070201"/>
    <n v="4238456.8421052601"/>
  </r>
  <r>
    <x v="0"/>
    <x v="0"/>
    <x v="0"/>
    <x v="3"/>
    <x v="6"/>
    <s v="DE4-S_A"/>
    <x v="2"/>
    <x v="146"/>
    <x v="0"/>
    <x v="0"/>
    <n v="3225.6140350877199"/>
    <n v="1177349.1228070201"/>
    <n v="4238456.8421052601"/>
  </r>
  <r>
    <x v="0"/>
    <x v="0"/>
    <x v="0"/>
    <x v="3"/>
    <x v="6"/>
    <s v="DE4-S_A"/>
    <x v="2"/>
    <x v="146"/>
    <x v="0"/>
    <x v="1"/>
    <n v="3225.6140350877199"/>
    <n v="1177349.1228070201"/>
    <n v="4238456.8421052601"/>
  </r>
  <r>
    <x v="0"/>
    <x v="0"/>
    <x v="0"/>
    <x v="3"/>
    <x v="6"/>
    <s v="DE4-S_A"/>
    <x v="2"/>
    <x v="146"/>
    <x v="0"/>
    <x v="2"/>
    <n v="3225.6140350877199"/>
    <n v="1177349.1228070201"/>
    <n v="4238456.8421052601"/>
  </r>
  <r>
    <x v="0"/>
    <x v="0"/>
    <x v="0"/>
    <x v="3"/>
    <x v="6"/>
    <s v="DE4-S_A"/>
    <x v="2"/>
    <x v="146"/>
    <x v="0"/>
    <x v="9"/>
    <n v="3225.6140350877199"/>
    <n v="1177349.1228070201"/>
    <n v="4238456.8421052601"/>
  </r>
  <r>
    <x v="0"/>
    <x v="0"/>
    <x v="0"/>
    <x v="3"/>
    <x v="6"/>
    <s v="DE4-S_A"/>
    <x v="2"/>
    <x v="146"/>
    <x v="0"/>
    <x v="10"/>
    <n v="3225.6140350877199"/>
    <n v="1177349.1228070201"/>
    <n v="4238456.8421052601"/>
  </r>
  <r>
    <x v="0"/>
    <x v="0"/>
    <x v="0"/>
    <x v="3"/>
    <x v="6"/>
    <s v="DE4-S_A"/>
    <x v="2"/>
    <x v="146"/>
    <x v="0"/>
    <x v="11"/>
    <n v="3225.6140350877199"/>
    <n v="1177349.1228070201"/>
    <n v="4238456.8421052601"/>
  </r>
  <r>
    <x v="0"/>
    <x v="0"/>
    <x v="0"/>
    <x v="3"/>
    <x v="6"/>
    <s v="DE4-S_A"/>
    <x v="2"/>
    <x v="146"/>
    <x v="0"/>
    <x v="12"/>
    <n v="3225.6140350877199"/>
    <n v="1177349.1228070201"/>
    <n v="4238456.8421052601"/>
  </r>
  <r>
    <x v="0"/>
    <x v="0"/>
    <x v="0"/>
    <x v="3"/>
    <x v="6"/>
    <s v="DE4-S_A"/>
    <x v="2"/>
    <x v="146"/>
    <x v="0"/>
    <x v="13"/>
    <n v="3225.6140350877199"/>
    <n v="1177349.1228070201"/>
    <n v="4238456.8421052601"/>
  </r>
  <r>
    <x v="0"/>
    <x v="0"/>
    <x v="0"/>
    <x v="3"/>
    <x v="6"/>
    <s v="DE4-S_A"/>
    <x v="2"/>
    <x v="146"/>
    <x v="0"/>
    <x v="14"/>
    <n v="3225.6140350877199"/>
    <n v="1177349.1228070201"/>
    <n v="4238456.8421052601"/>
  </r>
  <r>
    <x v="0"/>
    <x v="0"/>
    <x v="0"/>
    <x v="3"/>
    <x v="6"/>
    <s v="DE4-S_A"/>
    <x v="2"/>
    <x v="146"/>
    <x v="0"/>
    <x v="15"/>
    <n v="3225.6140350877199"/>
    <n v="1177349.1228070201"/>
    <n v="4238456.8421052601"/>
  </r>
  <r>
    <x v="0"/>
    <x v="0"/>
    <x v="0"/>
    <x v="3"/>
    <x v="6"/>
    <s v="DE4-S_A"/>
    <x v="2"/>
    <x v="146"/>
    <x v="0"/>
    <x v="16"/>
    <n v="3225.6140350877199"/>
    <n v="1177349.1228070201"/>
    <n v="4238456.8421052601"/>
  </r>
  <r>
    <x v="0"/>
    <x v="0"/>
    <x v="0"/>
    <x v="3"/>
    <x v="6"/>
    <s v="DE4-S_A"/>
    <x v="2"/>
    <x v="146"/>
    <x v="0"/>
    <x v="17"/>
    <n v="3225.6140350877199"/>
    <n v="1177349.1228070201"/>
    <n v="4238456.8421052601"/>
  </r>
  <r>
    <x v="0"/>
    <x v="0"/>
    <x v="0"/>
    <x v="3"/>
    <x v="6"/>
    <s v="DE4-S_A"/>
    <x v="2"/>
    <x v="146"/>
    <x v="0"/>
    <x v="18"/>
    <n v="3225.6140350877199"/>
    <n v="1177349.1228070201"/>
    <n v="4238456.8421052601"/>
  </r>
  <r>
    <x v="0"/>
    <x v="0"/>
    <x v="0"/>
    <x v="3"/>
    <x v="6"/>
    <s v="DE4-S_A"/>
    <x v="2"/>
    <x v="146"/>
    <x v="0"/>
    <x v="19"/>
    <n v="3225.6140350877199"/>
    <n v="1177349.1228070201"/>
    <n v="4238456.8421052601"/>
  </r>
  <r>
    <x v="0"/>
    <x v="0"/>
    <x v="0"/>
    <x v="3"/>
    <x v="6"/>
    <s v="DE4-S_A"/>
    <x v="2"/>
    <x v="146"/>
    <x v="0"/>
    <x v="20"/>
    <n v="3225.6140350877199"/>
    <n v="1177349.1228070201"/>
    <n v="4238456.8421052601"/>
  </r>
  <r>
    <x v="0"/>
    <x v="0"/>
    <x v="0"/>
    <x v="3"/>
    <x v="6"/>
    <s v="DE4-S_A"/>
    <x v="2"/>
    <x v="146"/>
    <x v="0"/>
    <x v="21"/>
    <n v="3225.6140350877199"/>
    <n v="1177349.1228070201"/>
    <n v="4238456.8421052601"/>
  </r>
  <r>
    <x v="0"/>
    <x v="0"/>
    <x v="0"/>
    <x v="3"/>
    <x v="6"/>
    <s v="DE4-S_A"/>
    <x v="2"/>
    <x v="146"/>
    <x v="0"/>
    <x v="22"/>
    <n v="3225.6140350877199"/>
    <n v="1177349.1228070201"/>
    <n v="4238456.8421052601"/>
  </r>
  <r>
    <x v="0"/>
    <x v="0"/>
    <x v="0"/>
    <x v="3"/>
    <x v="6"/>
    <s v="DE4-S_A"/>
    <x v="2"/>
    <x v="146"/>
    <x v="0"/>
    <x v="23"/>
    <n v="3225.6140350877199"/>
    <n v="1177349.1228070201"/>
    <n v="4238456.8421052601"/>
  </r>
  <r>
    <x v="0"/>
    <x v="0"/>
    <x v="0"/>
    <x v="3"/>
    <x v="6"/>
    <s v="DE4-S_A"/>
    <x v="2"/>
    <x v="15"/>
    <x v="0"/>
    <x v="3"/>
    <n v="71.956521739130395"/>
    <n v="26264.130434782601"/>
    <n v="94550.869565217406"/>
  </r>
  <r>
    <x v="0"/>
    <x v="0"/>
    <x v="0"/>
    <x v="3"/>
    <x v="6"/>
    <s v="DE4-S_A"/>
    <x v="2"/>
    <x v="15"/>
    <x v="0"/>
    <x v="4"/>
    <n v="71.956521739130395"/>
    <n v="26264.130434782601"/>
    <n v="94550.869565217406"/>
  </r>
  <r>
    <x v="0"/>
    <x v="0"/>
    <x v="0"/>
    <x v="3"/>
    <x v="6"/>
    <s v="DE4-S_A"/>
    <x v="2"/>
    <x v="15"/>
    <x v="0"/>
    <x v="5"/>
    <n v="71.956521739130395"/>
    <n v="26264.130434782601"/>
    <n v="94550.869565217406"/>
  </r>
  <r>
    <x v="0"/>
    <x v="0"/>
    <x v="0"/>
    <x v="3"/>
    <x v="6"/>
    <s v="DE4-S_A"/>
    <x v="2"/>
    <x v="15"/>
    <x v="0"/>
    <x v="6"/>
    <n v="71.956521739130395"/>
    <n v="26264.130434782601"/>
    <n v="94550.869565217406"/>
  </r>
  <r>
    <x v="0"/>
    <x v="0"/>
    <x v="0"/>
    <x v="3"/>
    <x v="6"/>
    <s v="DE4-S_A"/>
    <x v="2"/>
    <x v="15"/>
    <x v="0"/>
    <x v="7"/>
    <n v="71.956521739130395"/>
    <n v="26264.130434782601"/>
    <n v="94550.869565217406"/>
  </r>
  <r>
    <x v="0"/>
    <x v="0"/>
    <x v="0"/>
    <x v="3"/>
    <x v="6"/>
    <s v="DE4-S_A"/>
    <x v="2"/>
    <x v="15"/>
    <x v="0"/>
    <x v="8"/>
    <n v="71.956521739130395"/>
    <n v="26264.130434782601"/>
    <n v="94550.869565217406"/>
  </r>
  <r>
    <x v="0"/>
    <x v="0"/>
    <x v="0"/>
    <x v="3"/>
    <x v="6"/>
    <s v="DE4-S_A"/>
    <x v="2"/>
    <x v="15"/>
    <x v="0"/>
    <x v="0"/>
    <n v="71.956521739130395"/>
    <n v="26264.130434782601"/>
    <n v="94550.869565217406"/>
  </r>
  <r>
    <x v="0"/>
    <x v="0"/>
    <x v="0"/>
    <x v="3"/>
    <x v="6"/>
    <s v="DE4-S_A"/>
    <x v="2"/>
    <x v="15"/>
    <x v="0"/>
    <x v="1"/>
    <n v="71.956521739130395"/>
    <n v="26264.130434782601"/>
    <n v="94550.869565217406"/>
  </r>
  <r>
    <x v="0"/>
    <x v="0"/>
    <x v="0"/>
    <x v="3"/>
    <x v="6"/>
    <s v="DE4-S_A"/>
    <x v="2"/>
    <x v="15"/>
    <x v="0"/>
    <x v="2"/>
    <n v="71.956521739130395"/>
    <n v="26264.130434782601"/>
    <n v="94550.869565217406"/>
  </r>
  <r>
    <x v="0"/>
    <x v="0"/>
    <x v="0"/>
    <x v="3"/>
    <x v="6"/>
    <s v="DE4-S_A"/>
    <x v="2"/>
    <x v="15"/>
    <x v="0"/>
    <x v="9"/>
    <n v="71.956521739130395"/>
    <n v="26264.130434782601"/>
    <n v="94550.869565217406"/>
  </r>
  <r>
    <x v="0"/>
    <x v="0"/>
    <x v="0"/>
    <x v="3"/>
    <x v="6"/>
    <s v="DE4-S_A"/>
    <x v="2"/>
    <x v="15"/>
    <x v="0"/>
    <x v="10"/>
    <n v="71.956521739130395"/>
    <n v="26264.130434782601"/>
    <n v="94550.869565217406"/>
  </r>
  <r>
    <x v="0"/>
    <x v="0"/>
    <x v="0"/>
    <x v="3"/>
    <x v="6"/>
    <s v="DE4-S_A"/>
    <x v="2"/>
    <x v="15"/>
    <x v="0"/>
    <x v="11"/>
    <n v="71.956521739130395"/>
    <n v="26264.130434782601"/>
    <n v="94550.869565217406"/>
  </r>
  <r>
    <x v="0"/>
    <x v="0"/>
    <x v="0"/>
    <x v="3"/>
    <x v="6"/>
    <s v="DE4-S_A"/>
    <x v="2"/>
    <x v="15"/>
    <x v="0"/>
    <x v="12"/>
    <n v="71.956521739130395"/>
    <n v="26264.130434782601"/>
    <n v="94550.869565217406"/>
  </r>
  <r>
    <x v="0"/>
    <x v="0"/>
    <x v="0"/>
    <x v="3"/>
    <x v="6"/>
    <s v="DE4-S_A"/>
    <x v="2"/>
    <x v="15"/>
    <x v="0"/>
    <x v="13"/>
    <n v="71.956521739130395"/>
    <n v="26264.130434782601"/>
    <n v="94550.869565217406"/>
  </r>
  <r>
    <x v="0"/>
    <x v="0"/>
    <x v="0"/>
    <x v="3"/>
    <x v="6"/>
    <s v="DE4-S_A"/>
    <x v="2"/>
    <x v="15"/>
    <x v="0"/>
    <x v="14"/>
    <n v="71.956521739130395"/>
    <n v="26264.130434782601"/>
    <n v="94550.869565217406"/>
  </r>
  <r>
    <x v="0"/>
    <x v="0"/>
    <x v="0"/>
    <x v="3"/>
    <x v="6"/>
    <s v="DE4-S_A"/>
    <x v="2"/>
    <x v="15"/>
    <x v="0"/>
    <x v="15"/>
    <n v="71.956521739130395"/>
    <n v="26264.130434782601"/>
    <n v="94550.869565217406"/>
  </r>
  <r>
    <x v="0"/>
    <x v="0"/>
    <x v="0"/>
    <x v="3"/>
    <x v="6"/>
    <s v="DE4-S_A"/>
    <x v="2"/>
    <x v="15"/>
    <x v="0"/>
    <x v="16"/>
    <n v="71.956521739130395"/>
    <n v="26264.130434782601"/>
    <n v="94550.869565217406"/>
  </r>
  <r>
    <x v="0"/>
    <x v="0"/>
    <x v="0"/>
    <x v="3"/>
    <x v="6"/>
    <s v="DE4-S_A"/>
    <x v="2"/>
    <x v="15"/>
    <x v="0"/>
    <x v="17"/>
    <n v="71.956521739130395"/>
    <n v="26264.130434782601"/>
    <n v="94550.869565217406"/>
  </r>
  <r>
    <x v="0"/>
    <x v="0"/>
    <x v="0"/>
    <x v="3"/>
    <x v="6"/>
    <s v="DE4-S_A"/>
    <x v="2"/>
    <x v="15"/>
    <x v="0"/>
    <x v="18"/>
    <n v="71.956521739130395"/>
    <n v="26264.130434782601"/>
    <n v="94550.869565217406"/>
  </r>
  <r>
    <x v="0"/>
    <x v="0"/>
    <x v="0"/>
    <x v="3"/>
    <x v="6"/>
    <s v="DE4-S_A"/>
    <x v="2"/>
    <x v="15"/>
    <x v="0"/>
    <x v="19"/>
    <n v="71.956521739130395"/>
    <n v="26264.130434782601"/>
    <n v="94550.869565217406"/>
  </r>
  <r>
    <x v="0"/>
    <x v="0"/>
    <x v="0"/>
    <x v="3"/>
    <x v="6"/>
    <s v="DE4-S_A"/>
    <x v="2"/>
    <x v="15"/>
    <x v="0"/>
    <x v="20"/>
    <n v="71.956521739130395"/>
    <n v="26264.130434782601"/>
    <n v="94550.869565217406"/>
  </r>
  <r>
    <x v="0"/>
    <x v="0"/>
    <x v="0"/>
    <x v="3"/>
    <x v="6"/>
    <s v="DE4-S_A"/>
    <x v="2"/>
    <x v="15"/>
    <x v="0"/>
    <x v="21"/>
    <n v="71.956521739130395"/>
    <n v="26264.130434782601"/>
    <n v="94550.869565217406"/>
  </r>
  <r>
    <x v="0"/>
    <x v="0"/>
    <x v="0"/>
    <x v="3"/>
    <x v="6"/>
    <s v="DE4-S_A"/>
    <x v="2"/>
    <x v="15"/>
    <x v="0"/>
    <x v="22"/>
    <n v="71.956521739130395"/>
    <n v="26264.130434782601"/>
    <n v="94550.869565217406"/>
  </r>
  <r>
    <x v="0"/>
    <x v="0"/>
    <x v="0"/>
    <x v="3"/>
    <x v="6"/>
    <s v="DE4-S_A"/>
    <x v="2"/>
    <x v="15"/>
    <x v="0"/>
    <x v="23"/>
    <n v="71.956521739130395"/>
    <n v="26264.130434782601"/>
    <n v="94550.869565217406"/>
  </r>
  <r>
    <x v="0"/>
    <x v="0"/>
    <x v="0"/>
    <x v="3"/>
    <x v="6"/>
    <s v="DE4-S_A"/>
    <x v="2"/>
    <x v="165"/>
    <x v="0"/>
    <x v="0"/>
    <n v="250"/>
    <n v="91250"/>
    <n v="328500"/>
  </r>
  <r>
    <x v="0"/>
    <x v="0"/>
    <x v="0"/>
    <x v="3"/>
    <x v="6"/>
    <s v="DE4-S_A"/>
    <x v="2"/>
    <x v="165"/>
    <x v="0"/>
    <x v="1"/>
    <n v="250"/>
    <n v="91250"/>
    <n v="328500"/>
  </r>
  <r>
    <x v="0"/>
    <x v="0"/>
    <x v="0"/>
    <x v="3"/>
    <x v="6"/>
    <s v="DE4-S_A"/>
    <x v="2"/>
    <x v="165"/>
    <x v="0"/>
    <x v="2"/>
    <n v="250"/>
    <n v="91250"/>
    <n v="328500"/>
  </r>
  <r>
    <x v="0"/>
    <x v="0"/>
    <x v="0"/>
    <x v="3"/>
    <x v="6"/>
    <s v="DE4-S_A"/>
    <x v="2"/>
    <x v="165"/>
    <x v="0"/>
    <x v="9"/>
    <n v="250"/>
    <n v="91250"/>
    <n v="328500"/>
  </r>
  <r>
    <x v="0"/>
    <x v="0"/>
    <x v="0"/>
    <x v="3"/>
    <x v="6"/>
    <s v="DE4-S_A"/>
    <x v="2"/>
    <x v="165"/>
    <x v="0"/>
    <x v="10"/>
    <n v="250"/>
    <n v="91250"/>
    <n v="328500"/>
  </r>
  <r>
    <x v="0"/>
    <x v="0"/>
    <x v="0"/>
    <x v="3"/>
    <x v="6"/>
    <s v="DE4-S_A"/>
    <x v="2"/>
    <x v="165"/>
    <x v="0"/>
    <x v="14"/>
    <n v="250"/>
    <n v="91250"/>
    <n v="328500"/>
  </r>
  <r>
    <x v="0"/>
    <x v="0"/>
    <x v="0"/>
    <x v="3"/>
    <x v="6"/>
    <s v="DE4-S_A"/>
    <x v="2"/>
    <x v="165"/>
    <x v="0"/>
    <x v="15"/>
    <n v="250"/>
    <n v="91250"/>
    <n v="328500"/>
  </r>
  <r>
    <x v="0"/>
    <x v="0"/>
    <x v="0"/>
    <x v="3"/>
    <x v="6"/>
    <s v="DE4-S_A"/>
    <x v="2"/>
    <x v="165"/>
    <x v="0"/>
    <x v="16"/>
    <n v="250"/>
    <n v="91250"/>
    <n v="328500"/>
  </r>
  <r>
    <x v="0"/>
    <x v="0"/>
    <x v="0"/>
    <x v="3"/>
    <x v="6"/>
    <s v="DE4-S_A"/>
    <x v="2"/>
    <x v="165"/>
    <x v="0"/>
    <x v="17"/>
    <n v="250"/>
    <n v="91250"/>
    <n v="328500"/>
  </r>
  <r>
    <x v="0"/>
    <x v="0"/>
    <x v="0"/>
    <x v="3"/>
    <x v="6"/>
    <s v="DE4-S_A"/>
    <x v="2"/>
    <x v="165"/>
    <x v="0"/>
    <x v="18"/>
    <n v="250"/>
    <n v="91250"/>
    <n v="328500"/>
  </r>
  <r>
    <x v="0"/>
    <x v="0"/>
    <x v="0"/>
    <x v="3"/>
    <x v="6"/>
    <s v="DE4-S_A"/>
    <x v="2"/>
    <x v="165"/>
    <x v="0"/>
    <x v="19"/>
    <n v="250"/>
    <n v="91250"/>
    <n v="328500"/>
  </r>
  <r>
    <x v="0"/>
    <x v="0"/>
    <x v="0"/>
    <x v="3"/>
    <x v="6"/>
    <s v="DE4-S_A"/>
    <x v="2"/>
    <x v="166"/>
    <x v="0"/>
    <x v="0"/>
    <n v="483.243243243243"/>
    <n v="176383.78378378399"/>
    <n v="634981.62162162201"/>
  </r>
  <r>
    <x v="0"/>
    <x v="0"/>
    <x v="0"/>
    <x v="3"/>
    <x v="6"/>
    <s v="DE4-S_A"/>
    <x v="2"/>
    <x v="166"/>
    <x v="0"/>
    <x v="1"/>
    <n v="483.243243243243"/>
    <n v="176383.78378378399"/>
    <n v="634981.62162162201"/>
  </r>
  <r>
    <x v="0"/>
    <x v="0"/>
    <x v="0"/>
    <x v="3"/>
    <x v="6"/>
    <s v="DE4-S_A"/>
    <x v="2"/>
    <x v="166"/>
    <x v="0"/>
    <x v="2"/>
    <n v="483.243243243243"/>
    <n v="176383.78378378399"/>
    <n v="634981.62162162201"/>
  </r>
  <r>
    <x v="0"/>
    <x v="0"/>
    <x v="0"/>
    <x v="3"/>
    <x v="6"/>
    <s v="DE4-S_A"/>
    <x v="2"/>
    <x v="166"/>
    <x v="0"/>
    <x v="9"/>
    <n v="483.243243243243"/>
    <n v="176383.78378378399"/>
    <n v="634981.62162162201"/>
  </r>
  <r>
    <x v="0"/>
    <x v="0"/>
    <x v="0"/>
    <x v="3"/>
    <x v="6"/>
    <s v="DE4-S_A"/>
    <x v="2"/>
    <x v="166"/>
    <x v="0"/>
    <x v="10"/>
    <n v="483.243243243243"/>
    <n v="176383.78378378399"/>
    <n v="634981.62162162201"/>
  </r>
  <r>
    <x v="0"/>
    <x v="0"/>
    <x v="0"/>
    <x v="3"/>
    <x v="6"/>
    <s v="DE4-S_A"/>
    <x v="2"/>
    <x v="166"/>
    <x v="0"/>
    <x v="11"/>
    <n v="483.243243243243"/>
    <n v="176383.78378378399"/>
    <n v="634981.62162162201"/>
  </r>
  <r>
    <x v="0"/>
    <x v="0"/>
    <x v="0"/>
    <x v="3"/>
    <x v="6"/>
    <s v="DE4-S_A"/>
    <x v="2"/>
    <x v="166"/>
    <x v="0"/>
    <x v="12"/>
    <n v="483.243243243243"/>
    <n v="176383.78378378399"/>
    <n v="634981.62162162201"/>
  </r>
  <r>
    <x v="0"/>
    <x v="0"/>
    <x v="0"/>
    <x v="3"/>
    <x v="6"/>
    <s v="DE4-S_A"/>
    <x v="2"/>
    <x v="166"/>
    <x v="0"/>
    <x v="13"/>
    <n v="483.243243243243"/>
    <n v="176383.78378378399"/>
    <n v="634981.62162162201"/>
  </r>
  <r>
    <x v="0"/>
    <x v="0"/>
    <x v="0"/>
    <x v="3"/>
    <x v="6"/>
    <s v="DE4-S_A"/>
    <x v="2"/>
    <x v="166"/>
    <x v="0"/>
    <x v="14"/>
    <n v="483.243243243243"/>
    <n v="176383.78378378399"/>
    <n v="634981.62162162201"/>
  </r>
  <r>
    <x v="0"/>
    <x v="0"/>
    <x v="0"/>
    <x v="3"/>
    <x v="6"/>
    <s v="DE4-S_A"/>
    <x v="2"/>
    <x v="166"/>
    <x v="0"/>
    <x v="15"/>
    <n v="483.243243243243"/>
    <n v="176383.78378378399"/>
    <n v="634981.62162162201"/>
  </r>
  <r>
    <x v="0"/>
    <x v="0"/>
    <x v="0"/>
    <x v="3"/>
    <x v="6"/>
    <s v="DE4-S_A"/>
    <x v="2"/>
    <x v="166"/>
    <x v="0"/>
    <x v="16"/>
    <n v="483.243243243243"/>
    <n v="176383.78378378399"/>
    <n v="634981.62162162201"/>
  </r>
  <r>
    <x v="0"/>
    <x v="0"/>
    <x v="0"/>
    <x v="3"/>
    <x v="6"/>
    <s v="DE4-S_A"/>
    <x v="2"/>
    <x v="166"/>
    <x v="0"/>
    <x v="17"/>
    <n v="483.243243243243"/>
    <n v="176383.78378378399"/>
    <n v="634981.62162162201"/>
  </r>
  <r>
    <x v="0"/>
    <x v="0"/>
    <x v="0"/>
    <x v="3"/>
    <x v="6"/>
    <s v="DE4-S_A"/>
    <x v="2"/>
    <x v="166"/>
    <x v="0"/>
    <x v="18"/>
    <n v="483.243243243243"/>
    <n v="176383.78378378399"/>
    <n v="634981.62162162201"/>
  </r>
  <r>
    <x v="0"/>
    <x v="0"/>
    <x v="0"/>
    <x v="3"/>
    <x v="6"/>
    <s v="DE4-S_A"/>
    <x v="2"/>
    <x v="166"/>
    <x v="0"/>
    <x v="19"/>
    <n v="483.243243243243"/>
    <n v="176383.78378378399"/>
    <n v="634981.62162162201"/>
  </r>
  <r>
    <x v="0"/>
    <x v="0"/>
    <x v="0"/>
    <x v="3"/>
    <x v="6"/>
    <s v="DE4-S_A"/>
    <x v="2"/>
    <x v="166"/>
    <x v="0"/>
    <x v="20"/>
    <n v="483.243243243243"/>
    <n v="176383.78378378399"/>
    <n v="634981.62162162201"/>
  </r>
  <r>
    <x v="0"/>
    <x v="0"/>
    <x v="0"/>
    <x v="3"/>
    <x v="6"/>
    <s v="DE4-S_A"/>
    <x v="2"/>
    <x v="167"/>
    <x v="0"/>
    <x v="0"/>
    <n v="1041.9354838709701"/>
    <n v="380306.45161290298"/>
    <n v="1369103.22580645"/>
  </r>
  <r>
    <x v="0"/>
    <x v="0"/>
    <x v="0"/>
    <x v="3"/>
    <x v="6"/>
    <s v="DE4-S_A"/>
    <x v="2"/>
    <x v="167"/>
    <x v="0"/>
    <x v="1"/>
    <n v="1041.9354838709701"/>
    <n v="380306.45161290298"/>
    <n v="1369103.22580645"/>
  </r>
  <r>
    <x v="0"/>
    <x v="0"/>
    <x v="0"/>
    <x v="3"/>
    <x v="6"/>
    <s v="DE4-S_A"/>
    <x v="2"/>
    <x v="167"/>
    <x v="0"/>
    <x v="2"/>
    <n v="1041.9354838709701"/>
    <n v="380306.45161290298"/>
    <n v="1369103.22580645"/>
  </r>
  <r>
    <x v="0"/>
    <x v="0"/>
    <x v="0"/>
    <x v="3"/>
    <x v="6"/>
    <s v="DE4-S_A"/>
    <x v="2"/>
    <x v="167"/>
    <x v="0"/>
    <x v="9"/>
    <n v="1041.9354838709701"/>
    <n v="380306.45161290298"/>
    <n v="1369103.22580645"/>
  </r>
  <r>
    <x v="0"/>
    <x v="0"/>
    <x v="0"/>
    <x v="3"/>
    <x v="6"/>
    <s v="DE4-S_A"/>
    <x v="2"/>
    <x v="167"/>
    <x v="0"/>
    <x v="10"/>
    <n v="1041.9354838709701"/>
    <n v="380306.45161290298"/>
    <n v="1369103.22580645"/>
  </r>
  <r>
    <x v="0"/>
    <x v="0"/>
    <x v="0"/>
    <x v="3"/>
    <x v="6"/>
    <s v="DE4-S_A"/>
    <x v="2"/>
    <x v="167"/>
    <x v="0"/>
    <x v="11"/>
    <n v="1041.9354838709701"/>
    <n v="380306.45161290298"/>
    <n v="1369103.22580645"/>
  </r>
  <r>
    <x v="0"/>
    <x v="0"/>
    <x v="0"/>
    <x v="3"/>
    <x v="6"/>
    <s v="DE4-S_A"/>
    <x v="2"/>
    <x v="167"/>
    <x v="0"/>
    <x v="14"/>
    <n v="1041.9354838709701"/>
    <n v="380306.45161290298"/>
    <n v="1369103.22580645"/>
  </r>
  <r>
    <x v="0"/>
    <x v="0"/>
    <x v="0"/>
    <x v="3"/>
    <x v="6"/>
    <s v="DE4-S_A"/>
    <x v="2"/>
    <x v="167"/>
    <x v="0"/>
    <x v="15"/>
    <n v="1041.9354838709701"/>
    <n v="380306.45161290298"/>
    <n v="1369103.22580645"/>
  </r>
  <r>
    <x v="0"/>
    <x v="0"/>
    <x v="0"/>
    <x v="3"/>
    <x v="6"/>
    <s v="DE4-S_A"/>
    <x v="2"/>
    <x v="167"/>
    <x v="0"/>
    <x v="16"/>
    <n v="1041.9354838709701"/>
    <n v="380306.45161290298"/>
    <n v="1369103.22580645"/>
  </r>
  <r>
    <x v="0"/>
    <x v="0"/>
    <x v="0"/>
    <x v="3"/>
    <x v="6"/>
    <s v="DE4-S_A"/>
    <x v="2"/>
    <x v="167"/>
    <x v="0"/>
    <x v="17"/>
    <n v="1041.9354838709701"/>
    <n v="380306.45161290298"/>
    <n v="1369103.22580645"/>
  </r>
  <r>
    <x v="0"/>
    <x v="0"/>
    <x v="0"/>
    <x v="3"/>
    <x v="6"/>
    <s v="DE4-S_A"/>
    <x v="2"/>
    <x v="167"/>
    <x v="0"/>
    <x v="18"/>
    <n v="1041.9354838709701"/>
    <n v="380306.45161290298"/>
    <n v="1369103.22580645"/>
  </r>
  <r>
    <x v="0"/>
    <x v="0"/>
    <x v="0"/>
    <x v="3"/>
    <x v="6"/>
    <s v="DE4-S_A"/>
    <x v="2"/>
    <x v="167"/>
    <x v="0"/>
    <x v="19"/>
    <n v="1041.9354838709701"/>
    <n v="380306.45161290298"/>
    <n v="1369103.22580645"/>
  </r>
  <r>
    <x v="0"/>
    <x v="0"/>
    <x v="0"/>
    <x v="3"/>
    <x v="6"/>
    <s v="DE4-S_A"/>
    <x v="2"/>
    <x v="150"/>
    <x v="0"/>
    <x v="3"/>
    <n v="2595.2631578947398"/>
    <n v="947271.05263157899"/>
    <n v="3410175.7894736798"/>
  </r>
  <r>
    <x v="0"/>
    <x v="0"/>
    <x v="0"/>
    <x v="3"/>
    <x v="6"/>
    <s v="DE4-S_A"/>
    <x v="2"/>
    <x v="150"/>
    <x v="0"/>
    <x v="4"/>
    <n v="2595.2631578947398"/>
    <n v="947271.05263157899"/>
    <n v="3410175.7894736798"/>
  </r>
  <r>
    <x v="0"/>
    <x v="0"/>
    <x v="0"/>
    <x v="3"/>
    <x v="6"/>
    <s v="DE4-S_A"/>
    <x v="2"/>
    <x v="150"/>
    <x v="0"/>
    <x v="5"/>
    <n v="2595.2631578947398"/>
    <n v="947271.05263157899"/>
    <n v="3410175.7894736798"/>
  </r>
  <r>
    <x v="0"/>
    <x v="0"/>
    <x v="0"/>
    <x v="3"/>
    <x v="6"/>
    <s v="DE4-S_A"/>
    <x v="2"/>
    <x v="150"/>
    <x v="0"/>
    <x v="6"/>
    <n v="2595.2631578947398"/>
    <n v="947271.05263157899"/>
    <n v="3410175.7894736798"/>
  </r>
  <r>
    <x v="0"/>
    <x v="0"/>
    <x v="0"/>
    <x v="3"/>
    <x v="6"/>
    <s v="DE4-S_A"/>
    <x v="2"/>
    <x v="150"/>
    <x v="0"/>
    <x v="7"/>
    <n v="2595.2631578947398"/>
    <n v="947271.05263157899"/>
    <n v="3410175.7894736798"/>
  </r>
  <r>
    <x v="0"/>
    <x v="0"/>
    <x v="0"/>
    <x v="3"/>
    <x v="6"/>
    <s v="DE4-S_A"/>
    <x v="2"/>
    <x v="150"/>
    <x v="0"/>
    <x v="8"/>
    <n v="2595.2631578947398"/>
    <n v="947271.05263157899"/>
    <n v="3410175.7894736798"/>
  </r>
  <r>
    <x v="0"/>
    <x v="0"/>
    <x v="0"/>
    <x v="3"/>
    <x v="6"/>
    <s v="DE4-S_A"/>
    <x v="2"/>
    <x v="150"/>
    <x v="0"/>
    <x v="0"/>
    <n v="2595.2631578947398"/>
    <n v="947271.05263157899"/>
    <n v="3410175.7894736798"/>
  </r>
  <r>
    <x v="0"/>
    <x v="0"/>
    <x v="0"/>
    <x v="3"/>
    <x v="6"/>
    <s v="DE4-S_A"/>
    <x v="2"/>
    <x v="150"/>
    <x v="0"/>
    <x v="1"/>
    <n v="2595.2631578947398"/>
    <n v="947271.05263157899"/>
    <n v="3410175.7894736798"/>
  </r>
  <r>
    <x v="0"/>
    <x v="0"/>
    <x v="0"/>
    <x v="3"/>
    <x v="6"/>
    <s v="DE4-S_A"/>
    <x v="2"/>
    <x v="150"/>
    <x v="0"/>
    <x v="2"/>
    <n v="2595.2631578947398"/>
    <n v="947271.05263157899"/>
    <n v="3410175.7894736798"/>
  </r>
  <r>
    <x v="0"/>
    <x v="0"/>
    <x v="0"/>
    <x v="3"/>
    <x v="6"/>
    <s v="DE4-S_A"/>
    <x v="2"/>
    <x v="150"/>
    <x v="0"/>
    <x v="9"/>
    <n v="2595.2631578947398"/>
    <n v="947271.05263157899"/>
    <n v="3410175.7894736798"/>
  </r>
  <r>
    <x v="0"/>
    <x v="0"/>
    <x v="0"/>
    <x v="3"/>
    <x v="6"/>
    <s v="DE4-S_A"/>
    <x v="2"/>
    <x v="150"/>
    <x v="0"/>
    <x v="10"/>
    <n v="2595.2631578947398"/>
    <n v="947271.05263157899"/>
    <n v="3410175.7894736798"/>
  </r>
  <r>
    <x v="0"/>
    <x v="0"/>
    <x v="0"/>
    <x v="3"/>
    <x v="6"/>
    <s v="DE4-S_A"/>
    <x v="2"/>
    <x v="150"/>
    <x v="0"/>
    <x v="11"/>
    <n v="2595.2631578947398"/>
    <n v="947271.05263157899"/>
    <n v="3410175.7894736798"/>
  </r>
  <r>
    <x v="0"/>
    <x v="0"/>
    <x v="0"/>
    <x v="3"/>
    <x v="6"/>
    <s v="DE4-S_A"/>
    <x v="2"/>
    <x v="150"/>
    <x v="0"/>
    <x v="12"/>
    <n v="2595.2631578947398"/>
    <n v="947271.05263157899"/>
    <n v="3410175.7894736798"/>
  </r>
  <r>
    <x v="0"/>
    <x v="0"/>
    <x v="0"/>
    <x v="3"/>
    <x v="6"/>
    <s v="DE4-S_A"/>
    <x v="2"/>
    <x v="150"/>
    <x v="0"/>
    <x v="13"/>
    <n v="2595.2631578947398"/>
    <n v="947271.05263157899"/>
    <n v="3410175.7894736798"/>
  </r>
  <r>
    <x v="0"/>
    <x v="0"/>
    <x v="0"/>
    <x v="3"/>
    <x v="6"/>
    <s v="DE4-S_A"/>
    <x v="2"/>
    <x v="150"/>
    <x v="0"/>
    <x v="14"/>
    <n v="2595.2631578947398"/>
    <n v="947271.05263157899"/>
    <n v="3410175.7894736798"/>
  </r>
  <r>
    <x v="0"/>
    <x v="0"/>
    <x v="0"/>
    <x v="3"/>
    <x v="6"/>
    <s v="DE4-S_A"/>
    <x v="2"/>
    <x v="150"/>
    <x v="0"/>
    <x v="15"/>
    <n v="2595.2631578947398"/>
    <n v="947271.05263157899"/>
    <n v="3410175.7894736798"/>
  </r>
  <r>
    <x v="0"/>
    <x v="0"/>
    <x v="0"/>
    <x v="3"/>
    <x v="6"/>
    <s v="DE4-S_A"/>
    <x v="2"/>
    <x v="150"/>
    <x v="0"/>
    <x v="16"/>
    <n v="2595.2631578947398"/>
    <n v="947271.05263157899"/>
    <n v="3410175.7894736798"/>
  </r>
  <r>
    <x v="0"/>
    <x v="0"/>
    <x v="0"/>
    <x v="3"/>
    <x v="6"/>
    <s v="DE4-S_A"/>
    <x v="2"/>
    <x v="150"/>
    <x v="0"/>
    <x v="17"/>
    <n v="2595.2631578947398"/>
    <n v="947271.05263157899"/>
    <n v="3410175.7894736798"/>
  </r>
  <r>
    <x v="0"/>
    <x v="0"/>
    <x v="0"/>
    <x v="3"/>
    <x v="6"/>
    <s v="DE4-S_A"/>
    <x v="2"/>
    <x v="150"/>
    <x v="0"/>
    <x v="18"/>
    <n v="2595.2631578947398"/>
    <n v="947271.05263157899"/>
    <n v="3410175.7894736798"/>
  </r>
  <r>
    <x v="0"/>
    <x v="0"/>
    <x v="0"/>
    <x v="3"/>
    <x v="6"/>
    <s v="DE4-S_A"/>
    <x v="2"/>
    <x v="150"/>
    <x v="0"/>
    <x v="19"/>
    <n v="2595.2631578947398"/>
    <n v="947271.05263157899"/>
    <n v="3410175.7894736798"/>
  </r>
  <r>
    <x v="0"/>
    <x v="0"/>
    <x v="0"/>
    <x v="3"/>
    <x v="6"/>
    <s v="DE4-S_A"/>
    <x v="2"/>
    <x v="150"/>
    <x v="0"/>
    <x v="20"/>
    <n v="2595.2631578947398"/>
    <n v="947271.05263157899"/>
    <n v="3410175.7894736798"/>
  </r>
  <r>
    <x v="0"/>
    <x v="0"/>
    <x v="0"/>
    <x v="3"/>
    <x v="6"/>
    <s v="DE4-S_A"/>
    <x v="2"/>
    <x v="150"/>
    <x v="0"/>
    <x v="21"/>
    <n v="2595.2631578947398"/>
    <n v="947271.05263157899"/>
    <n v="3410175.7894736798"/>
  </r>
  <r>
    <x v="0"/>
    <x v="0"/>
    <x v="0"/>
    <x v="3"/>
    <x v="6"/>
    <s v="DE4-S_A"/>
    <x v="2"/>
    <x v="150"/>
    <x v="0"/>
    <x v="22"/>
    <n v="2595.2631578947398"/>
    <n v="947271.05263157899"/>
    <n v="3410175.7894736798"/>
  </r>
  <r>
    <x v="0"/>
    <x v="0"/>
    <x v="0"/>
    <x v="3"/>
    <x v="6"/>
    <s v="DE4-S_A"/>
    <x v="2"/>
    <x v="150"/>
    <x v="0"/>
    <x v="23"/>
    <n v="2595.2631578947398"/>
    <n v="947271.05263157899"/>
    <n v="3410175.7894736798"/>
  </r>
  <r>
    <x v="0"/>
    <x v="0"/>
    <x v="0"/>
    <x v="3"/>
    <x v="6"/>
    <s v="DE4-S_A"/>
    <x v="2"/>
    <x v="168"/>
    <x v="0"/>
    <x v="3"/>
    <n v="1152.7777777777801"/>
    <n v="420763.88888888899"/>
    <n v="1514750"/>
  </r>
  <r>
    <x v="0"/>
    <x v="0"/>
    <x v="0"/>
    <x v="3"/>
    <x v="6"/>
    <s v="DE4-S_A"/>
    <x v="2"/>
    <x v="168"/>
    <x v="0"/>
    <x v="4"/>
    <n v="1152.7777777777801"/>
    <n v="420763.88888888899"/>
    <n v="1514750"/>
  </r>
  <r>
    <x v="0"/>
    <x v="0"/>
    <x v="0"/>
    <x v="3"/>
    <x v="6"/>
    <s v="DE4-S_A"/>
    <x v="2"/>
    <x v="168"/>
    <x v="0"/>
    <x v="5"/>
    <n v="1152.7777777777801"/>
    <n v="420763.88888888899"/>
    <n v="1514750"/>
  </r>
  <r>
    <x v="0"/>
    <x v="0"/>
    <x v="0"/>
    <x v="3"/>
    <x v="6"/>
    <s v="DE4-S_A"/>
    <x v="2"/>
    <x v="168"/>
    <x v="0"/>
    <x v="6"/>
    <n v="1152.7777777777801"/>
    <n v="420763.88888888899"/>
    <n v="1514750"/>
  </r>
  <r>
    <x v="0"/>
    <x v="0"/>
    <x v="0"/>
    <x v="3"/>
    <x v="6"/>
    <s v="DE4-S_A"/>
    <x v="2"/>
    <x v="168"/>
    <x v="0"/>
    <x v="7"/>
    <n v="1152.7777777777801"/>
    <n v="420763.88888888899"/>
    <n v="1514750"/>
  </r>
  <r>
    <x v="0"/>
    <x v="0"/>
    <x v="0"/>
    <x v="3"/>
    <x v="6"/>
    <s v="DE4-S_A"/>
    <x v="2"/>
    <x v="168"/>
    <x v="0"/>
    <x v="8"/>
    <n v="1152.7777777777801"/>
    <n v="420763.88888888899"/>
    <n v="1514750"/>
  </r>
  <r>
    <x v="0"/>
    <x v="0"/>
    <x v="0"/>
    <x v="3"/>
    <x v="6"/>
    <s v="DE4-S_A"/>
    <x v="2"/>
    <x v="168"/>
    <x v="0"/>
    <x v="0"/>
    <n v="1152.7777777777801"/>
    <n v="420763.88888888899"/>
    <n v="1514750"/>
  </r>
  <r>
    <x v="0"/>
    <x v="0"/>
    <x v="0"/>
    <x v="3"/>
    <x v="6"/>
    <s v="DE4-S_A"/>
    <x v="2"/>
    <x v="168"/>
    <x v="0"/>
    <x v="1"/>
    <n v="1152.7777777777801"/>
    <n v="420763.88888888899"/>
    <n v="1514750"/>
  </r>
  <r>
    <x v="0"/>
    <x v="0"/>
    <x v="0"/>
    <x v="3"/>
    <x v="6"/>
    <s v="DE4-S_A"/>
    <x v="2"/>
    <x v="168"/>
    <x v="0"/>
    <x v="2"/>
    <n v="1152.7777777777801"/>
    <n v="420763.88888888899"/>
    <n v="1514750"/>
  </r>
  <r>
    <x v="0"/>
    <x v="0"/>
    <x v="0"/>
    <x v="3"/>
    <x v="6"/>
    <s v="DE4-S_A"/>
    <x v="2"/>
    <x v="168"/>
    <x v="0"/>
    <x v="9"/>
    <n v="1152.7777777777801"/>
    <n v="420763.88888888899"/>
    <n v="1514750"/>
  </r>
  <r>
    <x v="0"/>
    <x v="0"/>
    <x v="0"/>
    <x v="3"/>
    <x v="6"/>
    <s v="DE4-S_A"/>
    <x v="2"/>
    <x v="168"/>
    <x v="0"/>
    <x v="10"/>
    <n v="1152.7777777777801"/>
    <n v="420763.88888888899"/>
    <n v="1514750"/>
  </r>
  <r>
    <x v="0"/>
    <x v="0"/>
    <x v="0"/>
    <x v="3"/>
    <x v="6"/>
    <s v="DE4-S_A"/>
    <x v="2"/>
    <x v="168"/>
    <x v="0"/>
    <x v="11"/>
    <n v="1152.7777777777801"/>
    <n v="420763.88888888899"/>
    <n v="1514750"/>
  </r>
  <r>
    <x v="0"/>
    <x v="0"/>
    <x v="0"/>
    <x v="3"/>
    <x v="6"/>
    <s v="DE4-S_A"/>
    <x v="2"/>
    <x v="168"/>
    <x v="0"/>
    <x v="12"/>
    <n v="1152.7777777777801"/>
    <n v="420763.88888888899"/>
    <n v="1514750"/>
  </r>
  <r>
    <x v="0"/>
    <x v="0"/>
    <x v="0"/>
    <x v="3"/>
    <x v="6"/>
    <s v="DE4-S_A"/>
    <x v="2"/>
    <x v="168"/>
    <x v="0"/>
    <x v="13"/>
    <n v="1152.7777777777801"/>
    <n v="420763.88888888899"/>
    <n v="1514750"/>
  </r>
  <r>
    <x v="0"/>
    <x v="0"/>
    <x v="0"/>
    <x v="3"/>
    <x v="6"/>
    <s v="DE4-S_A"/>
    <x v="2"/>
    <x v="168"/>
    <x v="0"/>
    <x v="14"/>
    <n v="1152.7777777777801"/>
    <n v="420763.88888888899"/>
    <n v="1514750"/>
  </r>
  <r>
    <x v="0"/>
    <x v="0"/>
    <x v="0"/>
    <x v="3"/>
    <x v="6"/>
    <s v="DE4-S_A"/>
    <x v="2"/>
    <x v="168"/>
    <x v="0"/>
    <x v="15"/>
    <n v="1152.7777777777801"/>
    <n v="420763.88888888899"/>
    <n v="1514750"/>
  </r>
  <r>
    <x v="0"/>
    <x v="0"/>
    <x v="0"/>
    <x v="3"/>
    <x v="6"/>
    <s v="DE4-S_A"/>
    <x v="2"/>
    <x v="168"/>
    <x v="0"/>
    <x v="16"/>
    <n v="1152.7777777777801"/>
    <n v="420763.88888888899"/>
    <n v="1514750"/>
  </r>
  <r>
    <x v="0"/>
    <x v="0"/>
    <x v="0"/>
    <x v="3"/>
    <x v="6"/>
    <s v="DE4-S_A"/>
    <x v="2"/>
    <x v="168"/>
    <x v="0"/>
    <x v="17"/>
    <n v="1152.7777777777801"/>
    <n v="420763.88888888899"/>
    <n v="1514750"/>
  </r>
  <r>
    <x v="0"/>
    <x v="0"/>
    <x v="0"/>
    <x v="3"/>
    <x v="6"/>
    <s v="DE4-S_A"/>
    <x v="2"/>
    <x v="168"/>
    <x v="0"/>
    <x v="18"/>
    <n v="1152.7777777777801"/>
    <n v="420763.88888888899"/>
    <n v="1514750"/>
  </r>
  <r>
    <x v="0"/>
    <x v="0"/>
    <x v="0"/>
    <x v="3"/>
    <x v="6"/>
    <s v="DE4-S_A"/>
    <x v="2"/>
    <x v="168"/>
    <x v="0"/>
    <x v="19"/>
    <n v="1152.7777777777801"/>
    <n v="420763.88888888899"/>
    <n v="1514750"/>
  </r>
  <r>
    <x v="0"/>
    <x v="0"/>
    <x v="0"/>
    <x v="3"/>
    <x v="6"/>
    <s v="DE4-S_A"/>
    <x v="2"/>
    <x v="168"/>
    <x v="0"/>
    <x v="20"/>
    <n v="1152.7777777777801"/>
    <n v="420763.88888888899"/>
    <n v="1514750"/>
  </r>
  <r>
    <x v="0"/>
    <x v="0"/>
    <x v="0"/>
    <x v="3"/>
    <x v="6"/>
    <s v="DE4-S_A"/>
    <x v="2"/>
    <x v="168"/>
    <x v="0"/>
    <x v="21"/>
    <n v="1152.7777777777801"/>
    <n v="420763.88888888899"/>
    <n v="1514750"/>
  </r>
  <r>
    <x v="0"/>
    <x v="0"/>
    <x v="0"/>
    <x v="3"/>
    <x v="6"/>
    <s v="DE4-S_A"/>
    <x v="2"/>
    <x v="168"/>
    <x v="0"/>
    <x v="22"/>
    <n v="1152.7777777777801"/>
    <n v="420763.88888888899"/>
    <n v="1514750"/>
  </r>
  <r>
    <x v="0"/>
    <x v="0"/>
    <x v="0"/>
    <x v="3"/>
    <x v="6"/>
    <s v="DE4-S_A"/>
    <x v="2"/>
    <x v="168"/>
    <x v="0"/>
    <x v="23"/>
    <n v="1152.7777777777801"/>
    <n v="420763.88888888899"/>
    <n v="1514750"/>
  </r>
  <r>
    <x v="0"/>
    <x v="0"/>
    <x v="0"/>
    <x v="3"/>
    <x v="6"/>
    <s v="DE4-S_A"/>
    <x v="18"/>
    <x v="161"/>
    <x v="0"/>
    <x v="3"/>
    <n v="20284.848484848499"/>
    <n v="7403969.6969697"/>
    <n v="26654290.909090899"/>
  </r>
  <r>
    <x v="0"/>
    <x v="0"/>
    <x v="0"/>
    <x v="3"/>
    <x v="6"/>
    <s v="DE4-S_A"/>
    <x v="18"/>
    <x v="161"/>
    <x v="0"/>
    <x v="4"/>
    <n v="20284.848484848499"/>
    <n v="7403969.6969697"/>
    <n v="26654290.909090899"/>
  </r>
  <r>
    <x v="0"/>
    <x v="0"/>
    <x v="0"/>
    <x v="3"/>
    <x v="6"/>
    <s v="DE4-S_A"/>
    <x v="18"/>
    <x v="161"/>
    <x v="0"/>
    <x v="5"/>
    <n v="20284.848484848499"/>
    <n v="7403969.6969697"/>
    <n v="26654290.909090899"/>
  </r>
  <r>
    <x v="0"/>
    <x v="0"/>
    <x v="0"/>
    <x v="3"/>
    <x v="6"/>
    <s v="DE4-S_A"/>
    <x v="18"/>
    <x v="161"/>
    <x v="0"/>
    <x v="6"/>
    <n v="20284.848484848499"/>
    <n v="7403969.6969697"/>
    <n v="26654290.909090899"/>
  </r>
  <r>
    <x v="0"/>
    <x v="0"/>
    <x v="0"/>
    <x v="3"/>
    <x v="6"/>
    <s v="DE4-S_A"/>
    <x v="18"/>
    <x v="161"/>
    <x v="0"/>
    <x v="7"/>
    <n v="20284.848484848499"/>
    <n v="7403969.6969697"/>
    <n v="26654290.909090899"/>
  </r>
  <r>
    <x v="0"/>
    <x v="0"/>
    <x v="0"/>
    <x v="3"/>
    <x v="6"/>
    <s v="DE4-S_A"/>
    <x v="18"/>
    <x v="161"/>
    <x v="0"/>
    <x v="8"/>
    <n v="20284.848484848499"/>
    <n v="7403969.6969697"/>
    <n v="26654290.909090899"/>
  </r>
  <r>
    <x v="0"/>
    <x v="0"/>
    <x v="0"/>
    <x v="3"/>
    <x v="6"/>
    <s v="DE4-S_A"/>
    <x v="18"/>
    <x v="161"/>
    <x v="0"/>
    <x v="0"/>
    <n v="20284.848484848499"/>
    <n v="7403969.6969697"/>
    <n v="26654290.909090899"/>
  </r>
  <r>
    <x v="0"/>
    <x v="0"/>
    <x v="0"/>
    <x v="3"/>
    <x v="6"/>
    <s v="DE4-S_A"/>
    <x v="18"/>
    <x v="161"/>
    <x v="0"/>
    <x v="1"/>
    <n v="20284.848484848499"/>
    <n v="7403969.6969697"/>
    <n v="26654290.909090899"/>
  </r>
  <r>
    <x v="0"/>
    <x v="0"/>
    <x v="0"/>
    <x v="3"/>
    <x v="6"/>
    <s v="DE4-S_A"/>
    <x v="18"/>
    <x v="161"/>
    <x v="0"/>
    <x v="2"/>
    <n v="20284.848484848499"/>
    <n v="7403969.6969697"/>
    <n v="26654290.909090899"/>
  </r>
  <r>
    <x v="0"/>
    <x v="0"/>
    <x v="0"/>
    <x v="3"/>
    <x v="6"/>
    <s v="DE4-S_A"/>
    <x v="18"/>
    <x v="161"/>
    <x v="0"/>
    <x v="9"/>
    <n v="20284.848484848499"/>
    <n v="7403969.6969697"/>
    <n v="26654290.909090899"/>
  </r>
  <r>
    <x v="0"/>
    <x v="0"/>
    <x v="0"/>
    <x v="3"/>
    <x v="6"/>
    <s v="DE4-S_A"/>
    <x v="18"/>
    <x v="161"/>
    <x v="0"/>
    <x v="10"/>
    <n v="20284.848484848499"/>
    <n v="7403969.6969697"/>
    <n v="26654290.909090899"/>
  </r>
  <r>
    <x v="0"/>
    <x v="0"/>
    <x v="0"/>
    <x v="3"/>
    <x v="6"/>
    <s v="DE4-S_A"/>
    <x v="18"/>
    <x v="161"/>
    <x v="0"/>
    <x v="11"/>
    <n v="20284.848484848499"/>
    <n v="7403969.6969697"/>
    <n v="26654290.909090899"/>
  </r>
  <r>
    <x v="0"/>
    <x v="0"/>
    <x v="0"/>
    <x v="3"/>
    <x v="6"/>
    <s v="DE4-S_A"/>
    <x v="18"/>
    <x v="161"/>
    <x v="0"/>
    <x v="12"/>
    <n v="20284.848484848499"/>
    <n v="7403969.6969697"/>
    <n v="26654290.909090899"/>
  </r>
  <r>
    <x v="0"/>
    <x v="0"/>
    <x v="0"/>
    <x v="3"/>
    <x v="6"/>
    <s v="DE4-S_A"/>
    <x v="18"/>
    <x v="161"/>
    <x v="0"/>
    <x v="13"/>
    <n v="20284.848484848499"/>
    <n v="7403969.6969697"/>
    <n v="26654290.909090899"/>
  </r>
  <r>
    <x v="0"/>
    <x v="0"/>
    <x v="0"/>
    <x v="3"/>
    <x v="6"/>
    <s v="DE4-S_A"/>
    <x v="18"/>
    <x v="161"/>
    <x v="0"/>
    <x v="14"/>
    <n v="20284.848484848499"/>
    <n v="7403969.6969697"/>
    <n v="26654290.909090899"/>
  </r>
  <r>
    <x v="0"/>
    <x v="0"/>
    <x v="0"/>
    <x v="3"/>
    <x v="6"/>
    <s v="DE4-S_A"/>
    <x v="18"/>
    <x v="161"/>
    <x v="0"/>
    <x v="15"/>
    <n v="20284.848484848499"/>
    <n v="7403969.6969697"/>
    <n v="26654290.909090899"/>
  </r>
  <r>
    <x v="0"/>
    <x v="0"/>
    <x v="0"/>
    <x v="3"/>
    <x v="6"/>
    <s v="DE4-S_A"/>
    <x v="18"/>
    <x v="161"/>
    <x v="0"/>
    <x v="16"/>
    <n v="20284.848484848499"/>
    <n v="7403969.6969697"/>
    <n v="26654290.909090899"/>
  </r>
  <r>
    <x v="0"/>
    <x v="0"/>
    <x v="0"/>
    <x v="3"/>
    <x v="6"/>
    <s v="DE4-S_A"/>
    <x v="18"/>
    <x v="161"/>
    <x v="0"/>
    <x v="17"/>
    <n v="20284.848484848499"/>
    <n v="7403969.6969697"/>
    <n v="26654290.909090899"/>
  </r>
  <r>
    <x v="0"/>
    <x v="0"/>
    <x v="0"/>
    <x v="3"/>
    <x v="6"/>
    <s v="DE4-S_A"/>
    <x v="18"/>
    <x v="161"/>
    <x v="0"/>
    <x v="18"/>
    <n v="20284.848484848499"/>
    <n v="7403969.6969697"/>
    <n v="26654290.909090899"/>
  </r>
  <r>
    <x v="0"/>
    <x v="0"/>
    <x v="0"/>
    <x v="3"/>
    <x v="6"/>
    <s v="DE4-S_A"/>
    <x v="18"/>
    <x v="161"/>
    <x v="0"/>
    <x v="19"/>
    <n v="20284.848484848499"/>
    <n v="7403969.6969697"/>
    <n v="26654290.909090899"/>
  </r>
  <r>
    <x v="0"/>
    <x v="0"/>
    <x v="0"/>
    <x v="3"/>
    <x v="6"/>
    <s v="DE4-S_A"/>
    <x v="18"/>
    <x v="161"/>
    <x v="0"/>
    <x v="20"/>
    <n v="20284.848484848499"/>
    <n v="7403969.6969697"/>
    <n v="26654290.909090899"/>
  </r>
  <r>
    <x v="0"/>
    <x v="0"/>
    <x v="0"/>
    <x v="3"/>
    <x v="6"/>
    <s v="DE4-S_A"/>
    <x v="18"/>
    <x v="161"/>
    <x v="0"/>
    <x v="21"/>
    <n v="20284.848484848499"/>
    <n v="7403969.6969697"/>
    <n v="26654290.909090899"/>
  </r>
  <r>
    <x v="0"/>
    <x v="0"/>
    <x v="0"/>
    <x v="3"/>
    <x v="6"/>
    <s v="DE4-S_A"/>
    <x v="18"/>
    <x v="161"/>
    <x v="0"/>
    <x v="22"/>
    <n v="20284.848484848499"/>
    <n v="7403969.6969697"/>
    <n v="26654290.909090899"/>
  </r>
  <r>
    <x v="0"/>
    <x v="0"/>
    <x v="0"/>
    <x v="3"/>
    <x v="6"/>
    <s v="DE4-S_A"/>
    <x v="18"/>
    <x v="161"/>
    <x v="0"/>
    <x v="23"/>
    <n v="20284.848484848499"/>
    <n v="7403969.6969697"/>
    <n v="26654290.909090899"/>
  </r>
  <r>
    <x v="0"/>
    <x v="0"/>
    <x v="0"/>
    <x v="3"/>
    <x v="6"/>
    <s v="DE4-S_A"/>
    <x v="6"/>
    <x v="45"/>
    <x v="0"/>
    <x v="2"/>
    <n v="439.20802308583097"/>
    <n v="160310.928426328"/>
    <n v="577119.34233478201"/>
  </r>
  <r>
    <x v="0"/>
    <x v="0"/>
    <x v="0"/>
    <x v="3"/>
    <x v="6"/>
    <s v="DE4-S_A"/>
    <x v="6"/>
    <x v="45"/>
    <x v="0"/>
    <x v="9"/>
    <n v="3306.4480917435899"/>
    <n v="1206853.5534864101"/>
    <n v="4344672.7925510705"/>
  </r>
  <r>
    <x v="0"/>
    <x v="0"/>
    <x v="0"/>
    <x v="3"/>
    <x v="6"/>
    <s v="DE4-S_A"/>
    <x v="6"/>
    <x v="45"/>
    <x v="0"/>
    <x v="10"/>
    <n v="7637.7149040207796"/>
    <n v="2787765.9399675801"/>
    <n v="10035957.383883299"/>
  </r>
  <r>
    <x v="0"/>
    <x v="0"/>
    <x v="0"/>
    <x v="3"/>
    <x v="6"/>
    <s v="DE4-S_A"/>
    <x v="6"/>
    <x v="45"/>
    <x v="0"/>
    <x v="11"/>
    <n v="11631.1293908473"/>
    <n v="4245362.2276592804"/>
    <n v="15283304.0195734"/>
  </r>
  <r>
    <x v="0"/>
    <x v="0"/>
    <x v="0"/>
    <x v="3"/>
    <x v="6"/>
    <s v="DE4-S_A"/>
    <x v="6"/>
    <x v="45"/>
    <x v="0"/>
    <x v="12"/>
    <n v="13223.540018137999"/>
    <n v="4826592.1066203704"/>
    <n v="17375731.5838333"/>
  </r>
  <r>
    <x v="0"/>
    <x v="0"/>
    <x v="0"/>
    <x v="3"/>
    <x v="6"/>
    <s v="DE4-S_A"/>
    <x v="6"/>
    <x v="45"/>
    <x v="0"/>
    <x v="13"/>
    <n v="11498.240809503401"/>
    <n v="4196857.89546875"/>
    <n v="15108688.423687501"/>
  </r>
  <r>
    <x v="0"/>
    <x v="0"/>
    <x v="0"/>
    <x v="3"/>
    <x v="6"/>
    <s v="DE4-S_A"/>
    <x v="6"/>
    <x v="45"/>
    <x v="0"/>
    <x v="14"/>
    <n v="7482.3028343134902"/>
    <n v="2731040.5345244198"/>
    <n v="9831745.9242879208"/>
  </r>
  <r>
    <x v="0"/>
    <x v="0"/>
    <x v="0"/>
    <x v="3"/>
    <x v="6"/>
    <s v="DE4-S_A"/>
    <x v="6"/>
    <x v="45"/>
    <x v="0"/>
    <x v="15"/>
    <n v="3788.45074271983"/>
    <n v="1382784.5210927399"/>
    <n v="4978024.2759338599"/>
  </r>
  <r>
    <x v="0"/>
    <x v="0"/>
    <x v="0"/>
    <x v="3"/>
    <x v="6"/>
    <s v="DE4-S_A"/>
    <x v="6"/>
    <x v="45"/>
    <x v="0"/>
    <x v="16"/>
    <n v="493.264395157933"/>
    <n v="180041.504232646"/>
    <n v="648149.41523752396"/>
  </r>
  <r>
    <x v="0"/>
    <x v="0"/>
    <x v="0"/>
    <x v="3"/>
    <x v="6"/>
    <s v="DE4-S_A"/>
    <x v="4"/>
    <x v="152"/>
    <x v="0"/>
    <x v="3"/>
    <n v="44.76"/>
    <n v="16337.4"/>
    <n v="58814.64"/>
  </r>
  <r>
    <x v="0"/>
    <x v="0"/>
    <x v="0"/>
    <x v="3"/>
    <x v="6"/>
    <s v="DE4-S_A"/>
    <x v="4"/>
    <x v="152"/>
    <x v="0"/>
    <x v="4"/>
    <n v="44.76"/>
    <n v="16337.4"/>
    <n v="58814.64"/>
  </r>
  <r>
    <x v="0"/>
    <x v="0"/>
    <x v="0"/>
    <x v="3"/>
    <x v="6"/>
    <s v="DE4-S_A"/>
    <x v="4"/>
    <x v="152"/>
    <x v="0"/>
    <x v="5"/>
    <n v="44.76"/>
    <n v="16337.4"/>
    <n v="58814.64"/>
  </r>
  <r>
    <x v="0"/>
    <x v="0"/>
    <x v="0"/>
    <x v="3"/>
    <x v="6"/>
    <s v="DE4-S_A"/>
    <x v="4"/>
    <x v="152"/>
    <x v="0"/>
    <x v="6"/>
    <n v="44.76"/>
    <n v="16337.4"/>
    <n v="58814.64"/>
  </r>
  <r>
    <x v="0"/>
    <x v="0"/>
    <x v="0"/>
    <x v="3"/>
    <x v="6"/>
    <s v="DE4-S_A"/>
    <x v="4"/>
    <x v="152"/>
    <x v="0"/>
    <x v="7"/>
    <n v="44.76"/>
    <n v="16337.4"/>
    <n v="58814.64"/>
  </r>
  <r>
    <x v="0"/>
    <x v="0"/>
    <x v="0"/>
    <x v="3"/>
    <x v="6"/>
    <s v="DE4-S_A"/>
    <x v="4"/>
    <x v="152"/>
    <x v="0"/>
    <x v="8"/>
    <n v="44.76"/>
    <n v="16337.4"/>
    <n v="58814.64"/>
  </r>
  <r>
    <x v="0"/>
    <x v="0"/>
    <x v="0"/>
    <x v="3"/>
    <x v="6"/>
    <s v="DE4-S_A"/>
    <x v="4"/>
    <x v="152"/>
    <x v="0"/>
    <x v="0"/>
    <n v="44.76"/>
    <n v="16337.4"/>
    <n v="58814.64"/>
  </r>
  <r>
    <x v="0"/>
    <x v="0"/>
    <x v="0"/>
    <x v="3"/>
    <x v="6"/>
    <s v="DE4-S_A"/>
    <x v="4"/>
    <x v="152"/>
    <x v="0"/>
    <x v="1"/>
    <n v="44.76"/>
    <n v="16337.4"/>
    <n v="58814.64"/>
  </r>
  <r>
    <x v="0"/>
    <x v="0"/>
    <x v="0"/>
    <x v="3"/>
    <x v="6"/>
    <s v="DE4-S_A"/>
    <x v="4"/>
    <x v="152"/>
    <x v="0"/>
    <x v="2"/>
    <n v="44.76"/>
    <n v="16337.4"/>
    <n v="58814.64"/>
  </r>
  <r>
    <x v="0"/>
    <x v="0"/>
    <x v="0"/>
    <x v="3"/>
    <x v="6"/>
    <s v="DE4-S_A"/>
    <x v="4"/>
    <x v="152"/>
    <x v="0"/>
    <x v="9"/>
    <n v="44.76"/>
    <n v="16337.4"/>
    <n v="58814.64"/>
  </r>
  <r>
    <x v="0"/>
    <x v="0"/>
    <x v="0"/>
    <x v="3"/>
    <x v="6"/>
    <s v="DE4-S_A"/>
    <x v="4"/>
    <x v="152"/>
    <x v="0"/>
    <x v="10"/>
    <n v="44.76"/>
    <n v="16337.4"/>
    <n v="58814.64"/>
  </r>
  <r>
    <x v="0"/>
    <x v="0"/>
    <x v="0"/>
    <x v="3"/>
    <x v="6"/>
    <s v="DE4-S_A"/>
    <x v="4"/>
    <x v="152"/>
    <x v="0"/>
    <x v="11"/>
    <n v="44.76"/>
    <n v="16337.4"/>
    <n v="58814.64"/>
  </r>
  <r>
    <x v="0"/>
    <x v="0"/>
    <x v="0"/>
    <x v="3"/>
    <x v="6"/>
    <s v="DE4-S_A"/>
    <x v="4"/>
    <x v="152"/>
    <x v="0"/>
    <x v="12"/>
    <n v="44.76"/>
    <n v="16337.4"/>
    <n v="58814.64"/>
  </r>
  <r>
    <x v="0"/>
    <x v="0"/>
    <x v="0"/>
    <x v="3"/>
    <x v="6"/>
    <s v="DE4-S_A"/>
    <x v="4"/>
    <x v="152"/>
    <x v="0"/>
    <x v="13"/>
    <n v="44.76"/>
    <n v="16337.4"/>
    <n v="58814.64"/>
  </r>
  <r>
    <x v="0"/>
    <x v="0"/>
    <x v="0"/>
    <x v="3"/>
    <x v="6"/>
    <s v="DE4-S_A"/>
    <x v="4"/>
    <x v="152"/>
    <x v="0"/>
    <x v="14"/>
    <n v="44.76"/>
    <n v="16337.4"/>
    <n v="58814.64"/>
  </r>
  <r>
    <x v="0"/>
    <x v="0"/>
    <x v="0"/>
    <x v="3"/>
    <x v="6"/>
    <s v="DE4-S_A"/>
    <x v="4"/>
    <x v="152"/>
    <x v="0"/>
    <x v="15"/>
    <n v="44.76"/>
    <n v="16337.4"/>
    <n v="58814.64"/>
  </r>
  <r>
    <x v="0"/>
    <x v="0"/>
    <x v="0"/>
    <x v="3"/>
    <x v="6"/>
    <s v="DE4-S_A"/>
    <x v="4"/>
    <x v="152"/>
    <x v="0"/>
    <x v="16"/>
    <n v="44.76"/>
    <n v="16337.4"/>
    <n v="58814.64"/>
  </r>
  <r>
    <x v="0"/>
    <x v="0"/>
    <x v="0"/>
    <x v="3"/>
    <x v="6"/>
    <s v="DE4-S_A"/>
    <x v="4"/>
    <x v="152"/>
    <x v="0"/>
    <x v="17"/>
    <n v="44.76"/>
    <n v="16337.4"/>
    <n v="58814.64"/>
  </r>
  <r>
    <x v="0"/>
    <x v="0"/>
    <x v="0"/>
    <x v="3"/>
    <x v="6"/>
    <s v="DE4-S_A"/>
    <x v="4"/>
    <x v="152"/>
    <x v="0"/>
    <x v="18"/>
    <n v="44.76"/>
    <n v="16337.4"/>
    <n v="58814.64"/>
  </r>
  <r>
    <x v="0"/>
    <x v="0"/>
    <x v="0"/>
    <x v="3"/>
    <x v="6"/>
    <s v="DE4-S_A"/>
    <x v="4"/>
    <x v="152"/>
    <x v="0"/>
    <x v="19"/>
    <n v="44.76"/>
    <n v="16337.4"/>
    <n v="58814.64"/>
  </r>
  <r>
    <x v="0"/>
    <x v="0"/>
    <x v="0"/>
    <x v="3"/>
    <x v="6"/>
    <s v="DE4-S_A"/>
    <x v="4"/>
    <x v="152"/>
    <x v="0"/>
    <x v="20"/>
    <n v="44.76"/>
    <n v="16337.4"/>
    <n v="58814.64"/>
  </r>
  <r>
    <x v="0"/>
    <x v="0"/>
    <x v="0"/>
    <x v="3"/>
    <x v="6"/>
    <s v="DE4-S_A"/>
    <x v="4"/>
    <x v="152"/>
    <x v="0"/>
    <x v="21"/>
    <n v="44.76"/>
    <n v="16337.4"/>
    <n v="58814.64"/>
  </r>
  <r>
    <x v="0"/>
    <x v="0"/>
    <x v="0"/>
    <x v="3"/>
    <x v="6"/>
    <s v="DE4-S_A"/>
    <x v="4"/>
    <x v="152"/>
    <x v="0"/>
    <x v="22"/>
    <n v="44.76"/>
    <n v="16337.4"/>
    <n v="58814.64"/>
  </r>
  <r>
    <x v="0"/>
    <x v="0"/>
    <x v="0"/>
    <x v="3"/>
    <x v="6"/>
    <s v="DE4-S_A"/>
    <x v="4"/>
    <x v="152"/>
    <x v="0"/>
    <x v="23"/>
    <n v="44.76"/>
    <n v="16337.4"/>
    <n v="58814.64"/>
  </r>
  <r>
    <x v="0"/>
    <x v="0"/>
    <x v="0"/>
    <x v="3"/>
    <x v="6"/>
    <s v="DE4-S_A"/>
    <x v="7"/>
    <x v="169"/>
    <x v="0"/>
    <x v="0"/>
    <n v="124"/>
    <n v="45260"/>
    <n v="162936"/>
  </r>
  <r>
    <x v="0"/>
    <x v="0"/>
    <x v="0"/>
    <x v="3"/>
    <x v="6"/>
    <s v="DE4-S_A"/>
    <x v="7"/>
    <x v="169"/>
    <x v="0"/>
    <x v="1"/>
    <n v="124"/>
    <n v="45260"/>
    <n v="162936"/>
  </r>
  <r>
    <x v="0"/>
    <x v="0"/>
    <x v="0"/>
    <x v="3"/>
    <x v="6"/>
    <s v="DE4-S_A"/>
    <x v="7"/>
    <x v="169"/>
    <x v="0"/>
    <x v="2"/>
    <n v="124"/>
    <n v="45260"/>
    <n v="162936"/>
  </r>
  <r>
    <x v="0"/>
    <x v="0"/>
    <x v="0"/>
    <x v="3"/>
    <x v="6"/>
    <s v="DE4-S_A"/>
    <x v="7"/>
    <x v="169"/>
    <x v="0"/>
    <x v="9"/>
    <n v="124"/>
    <n v="45260"/>
    <n v="162936"/>
  </r>
  <r>
    <x v="0"/>
    <x v="0"/>
    <x v="0"/>
    <x v="3"/>
    <x v="6"/>
    <s v="DE4-S_A"/>
    <x v="7"/>
    <x v="169"/>
    <x v="0"/>
    <x v="10"/>
    <n v="124"/>
    <n v="45260"/>
    <n v="162936"/>
  </r>
  <r>
    <x v="0"/>
    <x v="0"/>
    <x v="0"/>
    <x v="3"/>
    <x v="6"/>
    <s v="DE4-S_A"/>
    <x v="7"/>
    <x v="169"/>
    <x v="0"/>
    <x v="11"/>
    <n v="124"/>
    <n v="45260"/>
    <n v="162936"/>
  </r>
  <r>
    <x v="0"/>
    <x v="0"/>
    <x v="0"/>
    <x v="3"/>
    <x v="6"/>
    <s v="DE4-S_A"/>
    <x v="7"/>
    <x v="169"/>
    <x v="0"/>
    <x v="12"/>
    <n v="25.432108074022501"/>
    <n v="9282.7194470182294"/>
    <n v="33417.790009265598"/>
  </r>
  <r>
    <x v="0"/>
    <x v="0"/>
    <x v="0"/>
    <x v="3"/>
    <x v="6"/>
    <s v="DE4-S_A"/>
    <x v="7"/>
    <x v="169"/>
    <x v="0"/>
    <x v="13"/>
    <n v="124"/>
    <n v="45260"/>
    <n v="162936"/>
  </r>
  <r>
    <x v="0"/>
    <x v="0"/>
    <x v="0"/>
    <x v="3"/>
    <x v="6"/>
    <s v="DE4-S_A"/>
    <x v="7"/>
    <x v="169"/>
    <x v="0"/>
    <x v="14"/>
    <n v="124"/>
    <n v="45260"/>
    <n v="162936"/>
  </r>
  <r>
    <x v="0"/>
    <x v="0"/>
    <x v="0"/>
    <x v="3"/>
    <x v="6"/>
    <s v="DE4-S_A"/>
    <x v="7"/>
    <x v="169"/>
    <x v="0"/>
    <x v="15"/>
    <n v="124"/>
    <n v="45260"/>
    <n v="162936"/>
  </r>
  <r>
    <x v="0"/>
    <x v="0"/>
    <x v="0"/>
    <x v="3"/>
    <x v="6"/>
    <s v="DE4-S_A"/>
    <x v="7"/>
    <x v="169"/>
    <x v="0"/>
    <x v="16"/>
    <n v="124"/>
    <n v="45260"/>
    <n v="162936"/>
  </r>
  <r>
    <x v="0"/>
    <x v="0"/>
    <x v="0"/>
    <x v="3"/>
    <x v="6"/>
    <s v="DE4-S_A"/>
    <x v="7"/>
    <x v="169"/>
    <x v="0"/>
    <x v="17"/>
    <n v="124"/>
    <n v="45260"/>
    <n v="162936"/>
  </r>
  <r>
    <x v="0"/>
    <x v="0"/>
    <x v="0"/>
    <x v="3"/>
    <x v="6"/>
    <s v="DE4-S_A"/>
    <x v="7"/>
    <x v="169"/>
    <x v="0"/>
    <x v="18"/>
    <n v="124"/>
    <n v="45260"/>
    <n v="162936"/>
  </r>
  <r>
    <x v="0"/>
    <x v="0"/>
    <x v="0"/>
    <x v="3"/>
    <x v="6"/>
    <s v="DE4-S_A"/>
    <x v="7"/>
    <x v="169"/>
    <x v="0"/>
    <x v="19"/>
    <n v="124"/>
    <n v="45260"/>
    <n v="162936"/>
  </r>
  <r>
    <x v="0"/>
    <x v="0"/>
    <x v="0"/>
    <x v="3"/>
    <x v="6"/>
    <s v="DE4-S_A"/>
    <x v="7"/>
    <x v="46"/>
    <x v="0"/>
    <x v="3"/>
    <n v="4361.5442694063904"/>
    <n v="1591963.6583333299"/>
    <n v="5731069.1699999999"/>
  </r>
  <r>
    <x v="0"/>
    <x v="0"/>
    <x v="0"/>
    <x v="3"/>
    <x v="6"/>
    <s v="DE4-S_A"/>
    <x v="7"/>
    <x v="46"/>
    <x v="0"/>
    <x v="4"/>
    <n v="4361.5442694063904"/>
    <n v="1591963.6583333299"/>
    <n v="5731069.1699999999"/>
  </r>
  <r>
    <x v="0"/>
    <x v="0"/>
    <x v="0"/>
    <x v="3"/>
    <x v="6"/>
    <s v="DE4-S_A"/>
    <x v="7"/>
    <x v="46"/>
    <x v="0"/>
    <x v="5"/>
    <n v="4361.5442694063904"/>
    <n v="1591963.6583333299"/>
    <n v="5731069.1699999999"/>
  </r>
  <r>
    <x v="0"/>
    <x v="0"/>
    <x v="0"/>
    <x v="3"/>
    <x v="6"/>
    <s v="DE4-S_A"/>
    <x v="7"/>
    <x v="46"/>
    <x v="0"/>
    <x v="6"/>
    <n v="4361.5442694063904"/>
    <n v="1591963.6583333299"/>
    <n v="5731069.1699999999"/>
  </r>
  <r>
    <x v="0"/>
    <x v="0"/>
    <x v="0"/>
    <x v="3"/>
    <x v="6"/>
    <s v="DE4-S_A"/>
    <x v="7"/>
    <x v="46"/>
    <x v="0"/>
    <x v="7"/>
    <n v="4361.5442694063904"/>
    <n v="1591963.6583333299"/>
    <n v="5731069.1699999999"/>
  </r>
  <r>
    <x v="0"/>
    <x v="0"/>
    <x v="0"/>
    <x v="3"/>
    <x v="6"/>
    <s v="DE4-S_A"/>
    <x v="7"/>
    <x v="46"/>
    <x v="0"/>
    <x v="8"/>
    <n v="4361.5442694063904"/>
    <n v="1591963.6583333299"/>
    <n v="5731069.1699999999"/>
  </r>
  <r>
    <x v="0"/>
    <x v="0"/>
    <x v="0"/>
    <x v="3"/>
    <x v="6"/>
    <s v="DE4-S_A"/>
    <x v="7"/>
    <x v="46"/>
    <x v="0"/>
    <x v="0"/>
    <n v="4361.5442694063904"/>
    <n v="1591963.6583333299"/>
    <n v="5731069.1699999999"/>
  </r>
  <r>
    <x v="0"/>
    <x v="0"/>
    <x v="0"/>
    <x v="3"/>
    <x v="6"/>
    <s v="DE4-S_A"/>
    <x v="7"/>
    <x v="46"/>
    <x v="0"/>
    <x v="1"/>
    <n v="4361.5442694063904"/>
    <n v="1591963.6583333299"/>
    <n v="5731069.1699999999"/>
  </r>
  <r>
    <x v="0"/>
    <x v="0"/>
    <x v="0"/>
    <x v="3"/>
    <x v="6"/>
    <s v="DE4-S_A"/>
    <x v="7"/>
    <x v="46"/>
    <x v="0"/>
    <x v="2"/>
    <n v="4361.5442694063904"/>
    <n v="1591963.6583333299"/>
    <n v="5731069.1699999999"/>
  </r>
  <r>
    <x v="0"/>
    <x v="0"/>
    <x v="0"/>
    <x v="3"/>
    <x v="6"/>
    <s v="DE4-S_A"/>
    <x v="7"/>
    <x v="46"/>
    <x v="0"/>
    <x v="9"/>
    <n v="4361.5442694063904"/>
    <n v="1591963.6583333299"/>
    <n v="5731069.1699999999"/>
  </r>
  <r>
    <x v="0"/>
    <x v="0"/>
    <x v="0"/>
    <x v="3"/>
    <x v="6"/>
    <s v="DE4-S_A"/>
    <x v="7"/>
    <x v="46"/>
    <x v="0"/>
    <x v="10"/>
    <n v="4361.5442694063904"/>
    <n v="1591963.6583333299"/>
    <n v="5731069.1699999999"/>
  </r>
  <r>
    <x v="0"/>
    <x v="0"/>
    <x v="0"/>
    <x v="3"/>
    <x v="6"/>
    <s v="DE4-S_A"/>
    <x v="7"/>
    <x v="46"/>
    <x v="0"/>
    <x v="11"/>
    <n v="4361.5442694063904"/>
    <n v="1591963.6583333299"/>
    <n v="5731069.1699999999"/>
  </r>
  <r>
    <x v="0"/>
    <x v="0"/>
    <x v="0"/>
    <x v="3"/>
    <x v="6"/>
    <s v="DE4-S_A"/>
    <x v="7"/>
    <x v="46"/>
    <x v="0"/>
    <x v="12"/>
    <n v="4361.5442694063904"/>
    <n v="1591963.6583333299"/>
    <n v="5731069.1699999999"/>
  </r>
  <r>
    <x v="0"/>
    <x v="0"/>
    <x v="0"/>
    <x v="3"/>
    <x v="6"/>
    <s v="DE4-S_A"/>
    <x v="7"/>
    <x v="46"/>
    <x v="0"/>
    <x v="13"/>
    <n v="4361.5442694063904"/>
    <n v="1591963.6583333299"/>
    <n v="5731069.1699999999"/>
  </r>
  <r>
    <x v="0"/>
    <x v="0"/>
    <x v="0"/>
    <x v="3"/>
    <x v="6"/>
    <s v="DE4-S_A"/>
    <x v="7"/>
    <x v="46"/>
    <x v="0"/>
    <x v="14"/>
    <n v="4361.5442694063904"/>
    <n v="1591963.6583333299"/>
    <n v="5731069.1699999999"/>
  </r>
  <r>
    <x v="0"/>
    <x v="0"/>
    <x v="0"/>
    <x v="3"/>
    <x v="6"/>
    <s v="DE4-S_A"/>
    <x v="7"/>
    <x v="46"/>
    <x v="0"/>
    <x v="15"/>
    <n v="4361.5442694063904"/>
    <n v="1591963.6583333299"/>
    <n v="5731069.1699999999"/>
  </r>
  <r>
    <x v="0"/>
    <x v="0"/>
    <x v="0"/>
    <x v="3"/>
    <x v="6"/>
    <s v="DE4-S_A"/>
    <x v="7"/>
    <x v="46"/>
    <x v="0"/>
    <x v="16"/>
    <n v="4361.5442694063904"/>
    <n v="1591963.6583333299"/>
    <n v="5731069.1699999999"/>
  </r>
  <r>
    <x v="0"/>
    <x v="0"/>
    <x v="0"/>
    <x v="3"/>
    <x v="6"/>
    <s v="DE4-S_A"/>
    <x v="7"/>
    <x v="46"/>
    <x v="0"/>
    <x v="17"/>
    <n v="4361.5442694063904"/>
    <n v="1591963.6583333299"/>
    <n v="5731069.1699999999"/>
  </r>
  <r>
    <x v="0"/>
    <x v="0"/>
    <x v="0"/>
    <x v="3"/>
    <x v="6"/>
    <s v="DE4-S_A"/>
    <x v="7"/>
    <x v="46"/>
    <x v="0"/>
    <x v="18"/>
    <n v="4361.5442694063904"/>
    <n v="1591963.6583333299"/>
    <n v="5731069.1699999999"/>
  </r>
  <r>
    <x v="0"/>
    <x v="0"/>
    <x v="0"/>
    <x v="3"/>
    <x v="6"/>
    <s v="DE4-S_A"/>
    <x v="7"/>
    <x v="46"/>
    <x v="0"/>
    <x v="19"/>
    <n v="4361.5442694063904"/>
    <n v="1591963.6583333299"/>
    <n v="5731069.1699999999"/>
  </r>
  <r>
    <x v="0"/>
    <x v="0"/>
    <x v="0"/>
    <x v="3"/>
    <x v="6"/>
    <s v="DE4-S_A"/>
    <x v="7"/>
    <x v="46"/>
    <x v="0"/>
    <x v="20"/>
    <n v="4361.5442694063904"/>
    <n v="1591963.6583333299"/>
    <n v="5731069.1699999999"/>
  </r>
  <r>
    <x v="0"/>
    <x v="0"/>
    <x v="0"/>
    <x v="3"/>
    <x v="6"/>
    <s v="DE4-S_A"/>
    <x v="7"/>
    <x v="46"/>
    <x v="0"/>
    <x v="21"/>
    <n v="4361.5442694063904"/>
    <n v="1591963.6583333299"/>
    <n v="5731069.1699999999"/>
  </r>
  <r>
    <x v="0"/>
    <x v="0"/>
    <x v="0"/>
    <x v="3"/>
    <x v="6"/>
    <s v="DE4-S_A"/>
    <x v="7"/>
    <x v="46"/>
    <x v="0"/>
    <x v="22"/>
    <n v="4361.5442694063904"/>
    <n v="1591963.6583333299"/>
    <n v="5731069.1699999999"/>
  </r>
  <r>
    <x v="0"/>
    <x v="0"/>
    <x v="0"/>
    <x v="3"/>
    <x v="6"/>
    <s v="DE4-S_A"/>
    <x v="7"/>
    <x v="46"/>
    <x v="0"/>
    <x v="23"/>
    <n v="4361.5442694063904"/>
    <n v="1591963.6583333299"/>
    <n v="5731069.1699999999"/>
  </r>
  <r>
    <x v="0"/>
    <x v="0"/>
    <x v="0"/>
    <x v="3"/>
    <x v="6"/>
    <s v="DE4-S_A"/>
    <x v="8"/>
    <x v="47"/>
    <x v="0"/>
    <x v="3"/>
    <n v="1017.02860886909"/>
    <n v="371215.44223721803"/>
    <n v="1336375.5920539801"/>
  </r>
  <r>
    <x v="0"/>
    <x v="0"/>
    <x v="0"/>
    <x v="3"/>
    <x v="6"/>
    <s v="DE4-S_A"/>
    <x v="8"/>
    <x v="47"/>
    <x v="0"/>
    <x v="4"/>
    <n v="984.06840839532595"/>
    <n v="359184.96906429401"/>
    <n v="1293065.88863146"/>
  </r>
  <r>
    <x v="0"/>
    <x v="0"/>
    <x v="0"/>
    <x v="3"/>
    <x v="6"/>
    <s v="DE4-S_A"/>
    <x v="8"/>
    <x v="47"/>
    <x v="0"/>
    <x v="5"/>
    <n v="955.98117390536299"/>
    <n v="348933.12847545801"/>
    <n v="1256159.2625116501"/>
  </r>
  <r>
    <x v="0"/>
    <x v="0"/>
    <x v="0"/>
    <x v="3"/>
    <x v="6"/>
    <s v="DE4-S_A"/>
    <x v="8"/>
    <x v="47"/>
    <x v="0"/>
    <x v="6"/>
    <n v="907.79295473222203"/>
    <n v="331344.42847726098"/>
    <n v="1192839.94251814"/>
  </r>
  <r>
    <x v="0"/>
    <x v="0"/>
    <x v="0"/>
    <x v="3"/>
    <x v="6"/>
    <s v="DE4-S_A"/>
    <x v="8"/>
    <x v="47"/>
    <x v="0"/>
    <x v="7"/>
    <n v="826.91525541775104"/>
    <n v="301824.068227479"/>
    <n v="1086566.64561892"/>
  </r>
  <r>
    <x v="0"/>
    <x v="0"/>
    <x v="0"/>
    <x v="3"/>
    <x v="6"/>
    <s v="DE4-S_A"/>
    <x v="8"/>
    <x v="47"/>
    <x v="0"/>
    <x v="8"/>
    <n v="754.56524657493105"/>
    <n v="275416.31499985"/>
    <n v="991498.73399945896"/>
  </r>
  <r>
    <x v="0"/>
    <x v="0"/>
    <x v="0"/>
    <x v="3"/>
    <x v="6"/>
    <s v="DE4-S_A"/>
    <x v="8"/>
    <x v="47"/>
    <x v="0"/>
    <x v="0"/>
    <n v="621.97996376568403"/>
    <n v="227022.68677447501"/>
    <n v="817281.67238810903"/>
  </r>
  <r>
    <x v="0"/>
    <x v="0"/>
    <x v="0"/>
    <x v="3"/>
    <x v="6"/>
    <s v="DE4-S_A"/>
    <x v="8"/>
    <x v="47"/>
    <x v="0"/>
    <x v="1"/>
    <n v="601.47289858385602"/>
    <n v="219537.60798310701"/>
    <n v="790335.38873918704"/>
  </r>
  <r>
    <x v="0"/>
    <x v="0"/>
    <x v="0"/>
    <x v="3"/>
    <x v="6"/>
    <s v="DE4-S_A"/>
    <x v="8"/>
    <x v="47"/>
    <x v="0"/>
    <x v="2"/>
    <n v="646.615514017122"/>
    <n v="236014.662616249"/>
    <n v="849652.78541849798"/>
  </r>
  <r>
    <x v="0"/>
    <x v="0"/>
    <x v="0"/>
    <x v="3"/>
    <x v="6"/>
    <s v="DE4-S_A"/>
    <x v="8"/>
    <x v="47"/>
    <x v="0"/>
    <x v="9"/>
    <n v="697.44325643148795"/>
    <n v="254566.788597493"/>
    <n v="916440.43895097601"/>
  </r>
  <r>
    <x v="0"/>
    <x v="0"/>
    <x v="0"/>
    <x v="3"/>
    <x v="6"/>
    <s v="DE4-S_A"/>
    <x v="8"/>
    <x v="47"/>
    <x v="0"/>
    <x v="10"/>
    <n v="804.71618815821398"/>
    <n v="293721.408677748"/>
    <n v="1057397.0712398901"/>
  </r>
  <r>
    <x v="0"/>
    <x v="0"/>
    <x v="0"/>
    <x v="3"/>
    <x v="6"/>
    <s v="DE4-S_A"/>
    <x v="8"/>
    <x v="47"/>
    <x v="0"/>
    <x v="11"/>
    <n v="886.47372855309402"/>
    <n v="323562.910921879"/>
    <n v="1164826.4793187701"/>
  </r>
  <r>
    <x v="0"/>
    <x v="0"/>
    <x v="0"/>
    <x v="3"/>
    <x v="6"/>
    <s v="DE4-S_A"/>
    <x v="8"/>
    <x v="47"/>
    <x v="0"/>
    <x v="12"/>
    <n v="1090.8675795402901"/>
    <n v="398166.66653220699"/>
    <n v="1433399.99951595"/>
  </r>
  <r>
    <x v="0"/>
    <x v="0"/>
    <x v="0"/>
    <x v="3"/>
    <x v="6"/>
    <s v="DE4-S_A"/>
    <x v="8"/>
    <x v="47"/>
    <x v="0"/>
    <x v="13"/>
    <n v="1274.7543653456701"/>
    <n v="465285.34335116798"/>
    <n v="1675027.2360642001"/>
  </r>
  <r>
    <x v="0"/>
    <x v="0"/>
    <x v="0"/>
    <x v="3"/>
    <x v="6"/>
    <s v="DE4-S_A"/>
    <x v="8"/>
    <x v="47"/>
    <x v="0"/>
    <x v="14"/>
    <n v="1484.2919026490999"/>
    <n v="541766.54446692101"/>
    <n v="1950359.5600809201"/>
  </r>
  <r>
    <x v="0"/>
    <x v="0"/>
    <x v="0"/>
    <x v="3"/>
    <x v="6"/>
    <s v="DE4-S_A"/>
    <x v="8"/>
    <x v="47"/>
    <x v="0"/>
    <x v="15"/>
    <n v="1691.1222366282"/>
    <n v="617259.61636929295"/>
    <n v="2222134.6189294499"/>
  </r>
  <r>
    <x v="0"/>
    <x v="0"/>
    <x v="0"/>
    <x v="3"/>
    <x v="6"/>
    <s v="DE4-S_A"/>
    <x v="8"/>
    <x v="47"/>
    <x v="0"/>
    <x v="16"/>
    <n v="1967.2569757102401"/>
    <n v="718048.79613423895"/>
    <n v="2584975.66608326"/>
  </r>
  <r>
    <x v="0"/>
    <x v="0"/>
    <x v="0"/>
    <x v="3"/>
    <x v="6"/>
    <s v="DE4-S_A"/>
    <x v="8"/>
    <x v="47"/>
    <x v="0"/>
    <x v="17"/>
    <n v="2219.5006454550398"/>
    <n v="810117.73559109098"/>
    <n v="2916423.84812793"/>
  </r>
  <r>
    <x v="0"/>
    <x v="0"/>
    <x v="0"/>
    <x v="3"/>
    <x v="6"/>
    <s v="DE4-S_A"/>
    <x v="8"/>
    <x v="47"/>
    <x v="0"/>
    <x v="18"/>
    <n v="2489.8148973897701"/>
    <n v="908782.43754726602"/>
    <n v="3271616.77517016"/>
  </r>
  <r>
    <x v="0"/>
    <x v="0"/>
    <x v="0"/>
    <x v="3"/>
    <x v="6"/>
    <s v="DE4-S_A"/>
    <x v="8"/>
    <x v="47"/>
    <x v="0"/>
    <x v="19"/>
    <n v="2761.48275098666"/>
    <n v="1007941.20411013"/>
    <n v="3628588.3347964799"/>
  </r>
  <r>
    <x v="0"/>
    <x v="0"/>
    <x v="0"/>
    <x v="3"/>
    <x v="6"/>
    <s v="DE4-S_A"/>
    <x v="8"/>
    <x v="47"/>
    <x v="0"/>
    <x v="20"/>
    <n v="2993.49007588207"/>
    <n v="1092623.87769696"/>
    <n v="3933445.9597090399"/>
  </r>
  <r>
    <x v="0"/>
    <x v="0"/>
    <x v="0"/>
    <x v="3"/>
    <x v="6"/>
    <s v="DE4-S_A"/>
    <x v="8"/>
    <x v="47"/>
    <x v="0"/>
    <x v="21"/>
    <n v="3248.7116692836398"/>
    <n v="1185779.7592885301"/>
    <n v="4268807.1334386999"/>
  </r>
  <r>
    <x v="0"/>
    <x v="0"/>
    <x v="0"/>
    <x v="3"/>
    <x v="6"/>
    <s v="DE4-S_A"/>
    <x v="8"/>
    <x v="47"/>
    <x v="0"/>
    <x v="22"/>
    <n v="3570.8011847962498"/>
    <n v="1303342.43245063"/>
    <n v="4692032.7568222703"/>
  </r>
  <r>
    <x v="0"/>
    <x v="0"/>
    <x v="0"/>
    <x v="3"/>
    <x v="6"/>
    <s v="DE4-S_A"/>
    <x v="8"/>
    <x v="47"/>
    <x v="0"/>
    <x v="23"/>
    <n v="3780.8801627645498"/>
    <n v="1380021.25940906"/>
    <n v="4968076.53387261"/>
  </r>
  <r>
    <x v="0"/>
    <x v="0"/>
    <x v="0"/>
    <x v="3"/>
    <x v="7"/>
    <s v="DE4-W_A"/>
    <x v="11"/>
    <x v="135"/>
    <x v="0"/>
    <x v="1"/>
    <n v="39.088888888888903"/>
    <n v="14267.4444444444"/>
    <n v="51362.8"/>
  </r>
  <r>
    <x v="0"/>
    <x v="0"/>
    <x v="0"/>
    <x v="3"/>
    <x v="7"/>
    <s v="DE4-W_A"/>
    <x v="11"/>
    <x v="135"/>
    <x v="0"/>
    <x v="2"/>
    <n v="39.088888888888903"/>
    <n v="14267.4444444444"/>
    <n v="51362.8"/>
  </r>
  <r>
    <x v="0"/>
    <x v="0"/>
    <x v="0"/>
    <x v="3"/>
    <x v="7"/>
    <s v="DE4-W_A"/>
    <x v="11"/>
    <x v="135"/>
    <x v="0"/>
    <x v="9"/>
    <n v="39.088888888888903"/>
    <n v="14267.4444444444"/>
    <n v="51362.8"/>
  </r>
  <r>
    <x v="0"/>
    <x v="0"/>
    <x v="0"/>
    <x v="3"/>
    <x v="7"/>
    <s v="DE4-W_A"/>
    <x v="11"/>
    <x v="136"/>
    <x v="0"/>
    <x v="0"/>
    <n v="2074.1773179697202"/>
    <n v="757074.72105894901"/>
    <n v="2725468.99581222"/>
  </r>
  <r>
    <x v="0"/>
    <x v="0"/>
    <x v="0"/>
    <x v="3"/>
    <x v="7"/>
    <s v="DE4-W_A"/>
    <x v="11"/>
    <x v="136"/>
    <x v="0"/>
    <x v="1"/>
    <n v="5776.1363636363603"/>
    <n v="2108289.7727272701"/>
    <n v="7589843.1818181798"/>
  </r>
  <r>
    <x v="0"/>
    <x v="0"/>
    <x v="0"/>
    <x v="3"/>
    <x v="7"/>
    <s v="DE4-W_A"/>
    <x v="11"/>
    <x v="136"/>
    <x v="0"/>
    <x v="2"/>
    <n v="5776.1363636363603"/>
    <n v="2108289.7727272701"/>
    <n v="7589843.1818181798"/>
  </r>
  <r>
    <x v="0"/>
    <x v="0"/>
    <x v="0"/>
    <x v="3"/>
    <x v="7"/>
    <s v="DE4-W_A"/>
    <x v="11"/>
    <x v="136"/>
    <x v="0"/>
    <x v="9"/>
    <n v="5776.1363636363603"/>
    <n v="2108289.7727272701"/>
    <n v="7589843.1818181798"/>
  </r>
  <r>
    <x v="0"/>
    <x v="0"/>
    <x v="0"/>
    <x v="3"/>
    <x v="7"/>
    <s v="DE4-W_A"/>
    <x v="11"/>
    <x v="136"/>
    <x v="0"/>
    <x v="10"/>
    <n v="2750.1407806041502"/>
    <n v="1003801.38492052"/>
    <n v="3613684.98571386"/>
  </r>
  <r>
    <x v="0"/>
    <x v="0"/>
    <x v="0"/>
    <x v="3"/>
    <x v="7"/>
    <s v="DE4-W_A"/>
    <x v="11"/>
    <x v="136"/>
    <x v="0"/>
    <x v="15"/>
    <n v="3054.6417060335102"/>
    <n v="1114944.2227022301"/>
    <n v="4013799.2017280301"/>
  </r>
  <r>
    <x v="0"/>
    <x v="0"/>
    <x v="0"/>
    <x v="3"/>
    <x v="7"/>
    <s v="DE4-W_A"/>
    <x v="11"/>
    <x v="136"/>
    <x v="0"/>
    <x v="16"/>
    <n v="5776.1363636363603"/>
    <n v="2108289.7727272701"/>
    <n v="7589843.1818181798"/>
  </r>
  <r>
    <x v="0"/>
    <x v="0"/>
    <x v="0"/>
    <x v="3"/>
    <x v="7"/>
    <s v="DE4-W_A"/>
    <x v="11"/>
    <x v="136"/>
    <x v="0"/>
    <x v="17"/>
    <n v="5776.1363636363603"/>
    <n v="2108289.7727272701"/>
    <n v="7589843.1818181798"/>
  </r>
  <r>
    <x v="0"/>
    <x v="0"/>
    <x v="0"/>
    <x v="3"/>
    <x v="7"/>
    <s v="DE4-W_A"/>
    <x v="11"/>
    <x v="136"/>
    <x v="0"/>
    <x v="18"/>
    <n v="3152.6204473853099"/>
    <n v="1150706.46329564"/>
    <n v="4142543.2678642902"/>
  </r>
  <r>
    <x v="0"/>
    <x v="0"/>
    <x v="0"/>
    <x v="3"/>
    <x v="7"/>
    <s v="DE4-W_A"/>
    <x v="11"/>
    <x v="137"/>
    <x v="0"/>
    <x v="1"/>
    <n v="353.42105263157902"/>
    <n v="128998.684210526"/>
    <n v="464395.26315789501"/>
  </r>
  <r>
    <x v="0"/>
    <x v="0"/>
    <x v="0"/>
    <x v="3"/>
    <x v="7"/>
    <s v="DE4-W_A"/>
    <x v="11"/>
    <x v="137"/>
    <x v="0"/>
    <x v="2"/>
    <n v="353.42105263157902"/>
    <n v="128998.684210526"/>
    <n v="464395.26315789501"/>
  </r>
  <r>
    <x v="0"/>
    <x v="0"/>
    <x v="0"/>
    <x v="3"/>
    <x v="7"/>
    <s v="DE4-W_A"/>
    <x v="11"/>
    <x v="138"/>
    <x v="0"/>
    <x v="1"/>
    <n v="248.68421052631601"/>
    <n v="90769.736842105296"/>
    <n v="326771.05263157899"/>
  </r>
  <r>
    <x v="0"/>
    <x v="0"/>
    <x v="0"/>
    <x v="3"/>
    <x v="7"/>
    <s v="DE4-W_A"/>
    <x v="11"/>
    <x v="138"/>
    <x v="0"/>
    <x v="2"/>
    <n v="248.68421052631601"/>
    <n v="90769.736842105296"/>
    <n v="326771.05263157899"/>
  </r>
  <r>
    <x v="0"/>
    <x v="0"/>
    <x v="0"/>
    <x v="3"/>
    <x v="7"/>
    <s v="DE4-W_A"/>
    <x v="11"/>
    <x v="138"/>
    <x v="0"/>
    <x v="9"/>
    <n v="248.68421052631601"/>
    <n v="90769.736842105296"/>
    <n v="326771.05263157899"/>
  </r>
  <r>
    <x v="0"/>
    <x v="0"/>
    <x v="0"/>
    <x v="3"/>
    <x v="7"/>
    <s v="DE4-W_A"/>
    <x v="19"/>
    <x v="170"/>
    <x v="0"/>
    <x v="0"/>
    <n v="0.3"/>
    <n v="109.5"/>
    <n v="394.2"/>
  </r>
  <r>
    <x v="0"/>
    <x v="0"/>
    <x v="0"/>
    <x v="3"/>
    <x v="7"/>
    <s v="DE4-W_A"/>
    <x v="19"/>
    <x v="170"/>
    <x v="0"/>
    <x v="1"/>
    <n v="0.3"/>
    <n v="109.5"/>
    <n v="394.2"/>
  </r>
  <r>
    <x v="0"/>
    <x v="0"/>
    <x v="0"/>
    <x v="3"/>
    <x v="7"/>
    <s v="DE4-W_A"/>
    <x v="19"/>
    <x v="170"/>
    <x v="0"/>
    <x v="2"/>
    <n v="0.3"/>
    <n v="109.5"/>
    <n v="394.2"/>
  </r>
  <r>
    <x v="0"/>
    <x v="0"/>
    <x v="0"/>
    <x v="3"/>
    <x v="7"/>
    <s v="DE4-W_A"/>
    <x v="19"/>
    <x v="170"/>
    <x v="0"/>
    <x v="9"/>
    <n v="0.3"/>
    <n v="109.5"/>
    <n v="394.2"/>
  </r>
  <r>
    <x v="0"/>
    <x v="0"/>
    <x v="0"/>
    <x v="3"/>
    <x v="7"/>
    <s v="DE4-W_A"/>
    <x v="19"/>
    <x v="170"/>
    <x v="0"/>
    <x v="10"/>
    <n v="0.3"/>
    <n v="109.5"/>
    <n v="394.2"/>
  </r>
  <r>
    <x v="0"/>
    <x v="0"/>
    <x v="0"/>
    <x v="3"/>
    <x v="7"/>
    <s v="DE4-W_A"/>
    <x v="19"/>
    <x v="170"/>
    <x v="0"/>
    <x v="15"/>
    <n v="0.3"/>
    <n v="109.5"/>
    <n v="394.2"/>
  </r>
  <r>
    <x v="0"/>
    <x v="0"/>
    <x v="0"/>
    <x v="3"/>
    <x v="7"/>
    <s v="DE4-W_A"/>
    <x v="19"/>
    <x v="170"/>
    <x v="0"/>
    <x v="16"/>
    <n v="0.3"/>
    <n v="109.5"/>
    <n v="394.2"/>
  </r>
  <r>
    <x v="0"/>
    <x v="0"/>
    <x v="0"/>
    <x v="3"/>
    <x v="7"/>
    <s v="DE4-W_A"/>
    <x v="19"/>
    <x v="170"/>
    <x v="0"/>
    <x v="17"/>
    <n v="0.3"/>
    <n v="109.5"/>
    <n v="394.2"/>
  </r>
  <r>
    <x v="0"/>
    <x v="0"/>
    <x v="0"/>
    <x v="3"/>
    <x v="7"/>
    <s v="DE4-W_A"/>
    <x v="19"/>
    <x v="170"/>
    <x v="0"/>
    <x v="18"/>
    <n v="0.3"/>
    <n v="109.5"/>
    <n v="394.2"/>
  </r>
  <r>
    <x v="0"/>
    <x v="0"/>
    <x v="0"/>
    <x v="3"/>
    <x v="7"/>
    <s v="DE4-W_A"/>
    <x v="19"/>
    <x v="171"/>
    <x v="0"/>
    <x v="4"/>
    <n v="882.86549938460598"/>
    <n v="322245.90727538097"/>
    <n v="1160085.2661913701"/>
  </r>
  <r>
    <x v="0"/>
    <x v="0"/>
    <x v="0"/>
    <x v="3"/>
    <x v="7"/>
    <s v="DE4-W_A"/>
    <x v="19"/>
    <x v="171"/>
    <x v="0"/>
    <x v="5"/>
    <n v="423.26052801265399"/>
    <n v="154490.092724619"/>
    <n v="556164.33380862803"/>
  </r>
  <r>
    <x v="0"/>
    <x v="0"/>
    <x v="0"/>
    <x v="3"/>
    <x v="7"/>
    <s v="DE4-W_A"/>
    <x v="19"/>
    <x v="171"/>
    <x v="0"/>
    <x v="1"/>
    <n v="160.12602739726"/>
    <n v="58445.999999999898"/>
    <n v="210405.6"/>
  </r>
  <r>
    <x v="0"/>
    <x v="0"/>
    <x v="0"/>
    <x v="3"/>
    <x v="7"/>
    <s v="DE4-W_A"/>
    <x v="19"/>
    <x v="171"/>
    <x v="0"/>
    <x v="2"/>
    <n v="1146"/>
    <n v="418290"/>
    <n v="1505844"/>
  </r>
  <r>
    <x v="0"/>
    <x v="0"/>
    <x v="0"/>
    <x v="3"/>
    <x v="7"/>
    <s v="DE4-W_A"/>
    <x v="19"/>
    <x v="171"/>
    <x v="0"/>
    <x v="17"/>
    <n v="160.12602739726"/>
    <n v="58445.999999999898"/>
    <n v="210405.6"/>
  </r>
  <r>
    <x v="0"/>
    <x v="0"/>
    <x v="0"/>
    <x v="3"/>
    <x v="7"/>
    <s v="DE4-W_A"/>
    <x v="19"/>
    <x v="171"/>
    <x v="0"/>
    <x v="18"/>
    <n v="1146"/>
    <n v="418290"/>
    <n v="1505844"/>
  </r>
  <r>
    <x v="0"/>
    <x v="0"/>
    <x v="0"/>
    <x v="3"/>
    <x v="7"/>
    <s v="DE4-W_A"/>
    <x v="19"/>
    <x v="141"/>
    <x v="0"/>
    <x v="0"/>
    <n v="648.14758604990197"/>
    <n v="236573.868908214"/>
    <n v="851665.92806957103"/>
  </r>
  <r>
    <x v="0"/>
    <x v="0"/>
    <x v="0"/>
    <x v="3"/>
    <x v="7"/>
    <s v="DE4-W_A"/>
    <x v="19"/>
    <x v="141"/>
    <x v="0"/>
    <x v="1"/>
    <n v="648.14758604990197"/>
    <n v="236573.868908214"/>
    <n v="851665.92806957103"/>
  </r>
  <r>
    <x v="0"/>
    <x v="0"/>
    <x v="0"/>
    <x v="3"/>
    <x v="7"/>
    <s v="DE4-W_A"/>
    <x v="19"/>
    <x v="141"/>
    <x v="0"/>
    <x v="2"/>
    <n v="648.14758604990197"/>
    <n v="236573.868908214"/>
    <n v="851665.92806957103"/>
  </r>
  <r>
    <x v="0"/>
    <x v="0"/>
    <x v="0"/>
    <x v="3"/>
    <x v="7"/>
    <s v="DE4-W_A"/>
    <x v="19"/>
    <x v="141"/>
    <x v="0"/>
    <x v="9"/>
    <n v="648.14758604990197"/>
    <n v="236573.868908214"/>
    <n v="851665.92806957103"/>
  </r>
  <r>
    <x v="0"/>
    <x v="0"/>
    <x v="0"/>
    <x v="3"/>
    <x v="7"/>
    <s v="DE4-W_A"/>
    <x v="19"/>
    <x v="141"/>
    <x v="0"/>
    <x v="10"/>
    <n v="648.14758604990197"/>
    <n v="236573.868908214"/>
    <n v="851665.92806957103"/>
  </r>
  <r>
    <x v="0"/>
    <x v="0"/>
    <x v="0"/>
    <x v="3"/>
    <x v="7"/>
    <s v="DE4-W_A"/>
    <x v="19"/>
    <x v="141"/>
    <x v="0"/>
    <x v="15"/>
    <n v="648.14758604990197"/>
    <n v="236573.868908214"/>
    <n v="851665.92806957103"/>
  </r>
  <r>
    <x v="0"/>
    <x v="0"/>
    <x v="0"/>
    <x v="3"/>
    <x v="7"/>
    <s v="DE4-W_A"/>
    <x v="19"/>
    <x v="141"/>
    <x v="0"/>
    <x v="16"/>
    <n v="648.14758604990197"/>
    <n v="236573.868908214"/>
    <n v="851665.92806957103"/>
  </r>
  <r>
    <x v="0"/>
    <x v="0"/>
    <x v="0"/>
    <x v="3"/>
    <x v="7"/>
    <s v="DE4-W_A"/>
    <x v="19"/>
    <x v="141"/>
    <x v="0"/>
    <x v="17"/>
    <n v="648.14758604990197"/>
    <n v="236573.868908214"/>
    <n v="851665.92806957103"/>
  </r>
  <r>
    <x v="0"/>
    <x v="0"/>
    <x v="0"/>
    <x v="3"/>
    <x v="7"/>
    <s v="DE4-W_A"/>
    <x v="19"/>
    <x v="141"/>
    <x v="0"/>
    <x v="18"/>
    <n v="648.14758604990197"/>
    <n v="236573.868908214"/>
    <n v="851665.92806957103"/>
  </r>
  <r>
    <x v="0"/>
    <x v="0"/>
    <x v="0"/>
    <x v="3"/>
    <x v="7"/>
    <s v="DE4-W_A"/>
    <x v="1"/>
    <x v="142"/>
    <x v="0"/>
    <x v="0"/>
    <n v="1754.84848484849"/>
    <n v="640519.696969699"/>
    <n v="2305870.9090909199"/>
  </r>
  <r>
    <x v="0"/>
    <x v="0"/>
    <x v="0"/>
    <x v="3"/>
    <x v="7"/>
    <s v="DE4-W_A"/>
    <x v="1"/>
    <x v="142"/>
    <x v="0"/>
    <x v="1"/>
    <n v="1754.84848484849"/>
    <n v="640519.696969699"/>
    <n v="2305870.9090909199"/>
  </r>
  <r>
    <x v="0"/>
    <x v="0"/>
    <x v="0"/>
    <x v="3"/>
    <x v="7"/>
    <s v="DE4-W_A"/>
    <x v="1"/>
    <x v="142"/>
    <x v="0"/>
    <x v="2"/>
    <n v="1754.84848484849"/>
    <n v="640519.696969699"/>
    <n v="2305870.9090909199"/>
  </r>
  <r>
    <x v="0"/>
    <x v="0"/>
    <x v="0"/>
    <x v="3"/>
    <x v="7"/>
    <s v="DE4-W_A"/>
    <x v="1"/>
    <x v="142"/>
    <x v="0"/>
    <x v="9"/>
    <n v="1754.84848484849"/>
    <n v="640519.696969699"/>
    <n v="2305870.9090909199"/>
  </r>
  <r>
    <x v="0"/>
    <x v="0"/>
    <x v="0"/>
    <x v="3"/>
    <x v="7"/>
    <s v="DE4-W_A"/>
    <x v="1"/>
    <x v="142"/>
    <x v="0"/>
    <x v="10"/>
    <n v="1754.84848484849"/>
    <n v="640519.696969699"/>
    <n v="2305870.9090909199"/>
  </r>
  <r>
    <x v="0"/>
    <x v="0"/>
    <x v="0"/>
    <x v="3"/>
    <x v="7"/>
    <s v="DE4-W_A"/>
    <x v="1"/>
    <x v="142"/>
    <x v="0"/>
    <x v="15"/>
    <n v="1754.84848484849"/>
    <n v="640519.696969699"/>
    <n v="2305870.9090909199"/>
  </r>
  <r>
    <x v="0"/>
    <x v="0"/>
    <x v="0"/>
    <x v="3"/>
    <x v="7"/>
    <s v="DE4-W_A"/>
    <x v="1"/>
    <x v="142"/>
    <x v="0"/>
    <x v="16"/>
    <n v="1754.84848484849"/>
    <n v="640519.696969699"/>
    <n v="2305870.9090909199"/>
  </r>
  <r>
    <x v="0"/>
    <x v="0"/>
    <x v="0"/>
    <x v="3"/>
    <x v="7"/>
    <s v="DE4-W_A"/>
    <x v="1"/>
    <x v="142"/>
    <x v="0"/>
    <x v="17"/>
    <n v="1754.84848484849"/>
    <n v="640519.696969699"/>
    <n v="2305870.9090909199"/>
  </r>
  <r>
    <x v="0"/>
    <x v="0"/>
    <x v="0"/>
    <x v="3"/>
    <x v="7"/>
    <s v="DE4-W_A"/>
    <x v="1"/>
    <x v="142"/>
    <x v="0"/>
    <x v="18"/>
    <n v="1754.84848484849"/>
    <n v="640519.696969699"/>
    <n v="2305870.9090909199"/>
  </r>
  <r>
    <x v="0"/>
    <x v="0"/>
    <x v="0"/>
    <x v="3"/>
    <x v="7"/>
    <s v="DE4-W_A"/>
    <x v="1"/>
    <x v="142"/>
    <x v="0"/>
    <x v="19"/>
    <n v="1473.8115016327699"/>
    <n v="537941.19809596206"/>
    <n v="1936588.3131454601"/>
  </r>
  <r>
    <x v="0"/>
    <x v="0"/>
    <x v="0"/>
    <x v="3"/>
    <x v="7"/>
    <s v="DE4-W_A"/>
    <x v="1"/>
    <x v="143"/>
    <x v="0"/>
    <x v="3"/>
    <n v="523.63636363636397"/>
    <n v="191127.272727273"/>
    <n v="688058.181818182"/>
  </r>
  <r>
    <x v="0"/>
    <x v="0"/>
    <x v="0"/>
    <x v="3"/>
    <x v="7"/>
    <s v="DE4-W_A"/>
    <x v="1"/>
    <x v="143"/>
    <x v="0"/>
    <x v="4"/>
    <n v="523.63636363636397"/>
    <n v="191127.272727273"/>
    <n v="688058.181818182"/>
  </r>
  <r>
    <x v="0"/>
    <x v="0"/>
    <x v="0"/>
    <x v="3"/>
    <x v="7"/>
    <s v="DE4-W_A"/>
    <x v="1"/>
    <x v="143"/>
    <x v="0"/>
    <x v="5"/>
    <n v="523.63636363636397"/>
    <n v="191127.272727273"/>
    <n v="688058.181818182"/>
  </r>
  <r>
    <x v="0"/>
    <x v="0"/>
    <x v="0"/>
    <x v="3"/>
    <x v="7"/>
    <s v="DE4-W_A"/>
    <x v="1"/>
    <x v="143"/>
    <x v="0"/>
    <x v="6"/>
    <n v="523.63636363636397"/>
    <n v="191127.272727273"/>
    <n v="688058.181818182"/>
  </r>
  <r>
    <x v="0"/>
    <x v="0"/>
    <x v="0"/>
    <x v="3"/>
    <x v="7"/>
    <s v="DE4-W_A"/>
    <x v="1"/>
    <x v="143"/>
    <x v="0"/>
    <x v="7"/>
    <n v="523.63636363636397"/>
    <n v="191127.272727273"/>
    <n v="688058.181818182"/>
  </r>
  <r>
    <x v="0"/>
    <x v="0"/>
    <x v="0"/>
    <x v="3"/>
    <x v="7"/>
    <s v="DE4-W_A"/>
    <x v="1"/>
    <x v="143"/>
    <x v="0"/>
    <x v="8"/>
    <n v="523.63636363636397"/>
    <n v="191127.272727273"/>
    <n v="688058.181818182"/>
  </r>
  <r>
    <x v="0"/>
    <x v="0"/>
    <x v="0"/>
    <x v="3"/>
    <x v="7"/>
    <s v="DE4-W_A"/>
    <x v="1"/>
    <x v="143"/>
    <x v="0"/>
    <x v="0"/>
    <n v="523.63636363636397"/>
    <n v="191127.272727273"/>
    <n v="688058.181818182"/>
  </r>
  <r>
    <x v="0"/>
    <x v="0"/>
    <x v="0"/>
    <x v="3"/>
    <x v="7"/>
    <s v="DE4-W_A"/>
    <x v="1"/>
    <x v="143"/>
    <x v="0"/>
    <x v="1"/>
    <n v="523.63636363636397"/>
    <n v="191127.272727273"/>
    <n v="688058.181818182"/>
  </r>
  <r>
    <x v="0"/>
    <x v="0"/>
    <x v="0"/>
    <x v="3"/>
    <x v="7"/>
    <s v="DE4-W_A"/>
    <x v="1"/>
    <x v="143"/>
    <x v="0"/>
    <x v="2"/>
    <n v="523.63636363636397"/>
    <n v="191127.272727273"/>
    <n v="688058.181818182"/>
  </r>
  <r>
    <x v="0"/>
    <x v="0"/>
    <x v="0"/>
    <x v="3"/>
    <x v="7"/>
    <s v="DE4-W_A"/>
    <x v="1"/>
    <x v="143"/>
    <x v="0"/>
    <x v="9"/>
    <n v="523.63636363636397"/>
    <n v="191127.272727273"/>
    <n v="688058.181818182"/>
  </r>
  <r>
    <x v="0"/>
    <x v="0"/>
    <x v="0"/>
    <x v="3"/>
    <x v="7"/>
    <s v="DE4-W_A"/>
    <x v="1"/>
    <x v="143"/>
    <x v="0"/>
    <x v="10"/>
    <n v="523.63636363636397"/>
    <n v="191127.272727273"/>
    <n v="688058.181818182"/>
  </r>
  <r>
    <x v="0"/>
    <x v="0"/>
    <x v="0"/>
    <x v="3"/>
    <x v="7"/>
    <s v="DE4-W_A"/>
    <x v="1"/>
    <x v="143"/>
    <x v="0"/>
    <x v="11"/>
    <n v="523.63636363636397"/>
    <n v="191127.272727273"/>
    <n v="688058.181818182"/>
  </r>
  <r>
    <x v="0"/>
    <x v="0"/>
    <x v="0"/>
    <x v="3"/>
    <x v="7"/>
    <s v="DE4-W_A"/>
    <x v="1"/>
    <x v="143"/>
    <x v="0"/>
    <x v="12"/>
    <n v="523.63636363636397"/>
    <n v="191127.272727273"/>
    <n v="688058.181818182"/>
  </r>
  <r>
    <x v="0"/>
    <x v="0"/>
    <x v="0"/>
    <x v="3"/>
    <x v="7"/>
    <s v="DE4-W_A"/>
    <x v="1"/>
    <x v="143"/>
    <x v="0"/>
    <x v="13"/>
    <n v="523.63636363636397"/>
    <n v="191127.272727273"/>
    <n v="688058.181818182"/>
  </r>
  <r>
    <x v="0"/>
    <x v="0"/>
    <x v="0"/>
    <x v="3"/>
    <x v="7"/>
    <s v="DE4-W_A"/>
    <x v="1"/>
    <x v="143"/>
    <x v="0"/>
    <x v="14"/>
    <n v="523.63636363636397"/>
    <n v="191127.272727273"/>
    <n v="688058.181818182"/>
  </r>
  <r>
    <x v="0"/>
    <x v="0"/>
    <x v="0"/>
    <x v="3"/>
    <x v="7"/>
    <s v="DE4-W_A"/>
    <x v="1"/>
    <x v="143"/>
    <x v="0"/>
    <x v="15"/>
    <n v="523.63636363636397"/>
    <n v="191127.272727273"/>
    <n v="688058.181818182"/>
  </r>
  <r>
    <x v="0"/>
    <x v="0"/>
    <x v="0"/>
    <x v="3"/>
    <x v="7"/>
    <s v="DE4-W_A"/>
    <x v="1"/>
    <x v="143"/>
    <x v="0"/>
    <x v="16"/>
    <n v="523.63636363636397"/>
    <n v="191127.272727273"/>
    <n v="688058.181818182"/>
  </r>
  <r>
    <x v="0"/>
    <x v="0"/>
    <x v="0"/>
    <x v="3"/>
    <x v="7"/>
    <s v="DE4-W_A"/>
    <x v="1"/>
    <x v="143"/>
    <x v="0"/>
    <x v="17"/>
    <n v="523.63636363636397"/>
    <n v="191127.272727273"/>
    <n v="688058.181818182"/>
  </r>
  <r>
    <x v="0"/>
    <x v="0"/>
    <x v="0"/>
    <x v="3"/>
    <x v="7"/>
    <s v="DE4-W_A"/>
    <x v="1"/>
    <x v="143"/>
    <x v="0"/>
    <x v="18"/>
    <n v="523.63636363636397"/>
    <n v="191127.272727273"/>
    <n v="688058.181818182"/>
  </r>
  <r>
    <x v="0"/>
    <x v="0"/>
    <x v="0"/>
    <x v="3"/>
    <x v="7"/>
    <s v="DE4-W_A"/>
    <x v="1"/>
    <x v="143"/>
    <x v="0"/>
    <x v="19"/>
    <n v="523.63636363636397"/>
    <n v="191127.272727273"/>
    <n v="688058.181818182"/>
  </r>
  <r>
    <x v="0"/>
    <x v="0"/>
    <x v="0"/>
    <x v="3"/>
    <x v="7"/>
    <s v="DE4-W_A"/>
    <x v="1"/>
    <x v="143"/>
    <x v="0"/>
    <x v="20"/>
    <n v="523.63636363636397"/>
    <n v="191127.272727273"/>
    <n v="688058.181818182"/>
  </r>
  <r>
    <x v="0"/>
    <x v="0"/>
    <x v="0"/>
    <x v="3"/>
    <x v="7"/>
    <s v="DE4-W_A"/>
    <x v="1"/>
    <x v="143"/>
    <x v="0"/>
    <x v="21"/>
    <n v="523.63636363636397"/>
    <n v="191127.272727273"/>
    <n v="688058.181818182"/>
  </r>
  <r>
    <x v="0"/>
    <x v="0"/>
    <x v="0"/>
    <x v="3"/>
    <x v="7"/>
    <s v="DE4-W_A"/>
    <x v="1"/>
    <x v="143"/>
    <x v="0"/>
    <x v="22"/>
    <n v="523.63636363636397"/>
    <n v="191127.272727273"/>
    <n v="688058.181818182"/>
  </r>
  <r>
    <x v="0"/>
    <x v="0"/>
    <x v="0"/>
    <x v="3"/>
    <x v="7"/>
    <s v="DE4-W_A"/>
    <x v="1"/>
    <x v="143"/>
    <x v="0"/>
    <x v="23"/>
    <n v="523.63636363636397"/>
    <n v="191127.272727273"/>
    <n v="688058.181818182"/>
  </r>
  <r>
    <x v="0"/>
    <x v="0"/>
    <x v="0"/>
    <x v="3"/>
    <x v="7"/>
    <s v="DE4-W_A"/>
    <x v="2"/>
    <x v="172"/>
    <x v="0"/>
    <x v="3"/>
    <n v="280.769230769231"/>
    <n v="102480.769230769"/>
    <n v="368930.76923076902"/>
  </r>
  <r>
    <x v="0"/>
    <x v="0"/>
    <x v="0"/>
    <x v="3"/>
    <x v="7"/>
    <s v="DE4-W_A"/>
    <x v="2"/>
    <x v="172"/>
    <x v="0"/>
    <x v="4"/>
    <n v="280.769230769231"/>
    <n v="102480.769230769"/>
    <n v="368930.76923076902"/>
  </r>
  <r>
    <x v="0"/>
    <x v="0"/>
    <x v="0"/>
    <x v="3"/>
    <x v="7"/>
    <s v="DE4-W_A"/>
    <x v="2"/>
    <x v="172"/>
    <x v="0"/>
    <x v="5"/>
    <n v="280.769230769231"/>
    <n v="102480.769230769"/>
    <n v="368930.76923076902"/>
  </r>
  <r>
    <x v="0"/>
    <x v="0"/>
    <x v="0"/>
    <x v="3"/>
    <x v="7"/>
    <s v="DE4-W_A"/>
    <x v="2"/>
    <x v="172"/>
    <x v="0"/>
    <x v="6"/>
    <n v="280.769230769231"/>
    <n v="102480.769230769"/>
    <n v="368930.76923076902"/>
  </r>
  <r>
    <x v="0"/>
    <x v="0"/>
    <x v="0"/>
    <x v="3"/>
    <x v="7"/>
    <s v="DE4-W_A"/>
    <x v="2"/>
    <x v="172"/>
    <x v="0"/>
    <x v="7"/>
    <n v="280.769230769231"/>
    <n v="102480.769230769"/>
    <n v="368930.76923076902"/>
  </r>
  <r>
    <x v="0"/>
    <x v="0"/>
    <x v="0"/>
    <x v="3"/>
    <x v="7"/>
    <s v="DE4-W_A"/>
    <x v="2"/>
    <x v="172"/>
    <x v="0"/>
    <x v="8"/>
    <n v="280.769230769231"/>
    <n v="102480.769230769"/>
    <n v="368930.76923076902"/>
  </r>
  <r>
    <x v="0"/>
    <x v="0"/>
    <x v="0"/>
    <x v="3"/>
    <x v="7"/>
    <s v="DE4-W_A"/>
    <x v="2"/>
    <x v="172"/>
    <x v="0"/>
    <x v="0"/>
    <n v="280.769230769231"/>
    <n v="102480.769230769"/>
    <n v="368930.76923076902"/>
  </r>
  <r>
    <x v="0"/>
    <x v="0"/>
    <x v="0"/>
    <x v="3"/>
    <x v="7"/>
    <s v="DE4-W_A"/>
    <x v="2"/>
    <x v="172"/>
    <x v="0"/>
    <x v="1"/>
    <n v="280.769230769231"/>
    <n v="102480.769230769"/>
    <n v="368930.76923076902"/>
  </r>
  <r>
    <x v="0"/>
    <x v="0"/>
    <x v="0"/>
    <x v="3"/>
    <x v="7"/>
    <s v="DE4-W_A"/>
    <x v="2"/>
    <x v="172"/>
    <x v="0"/>
    <x v="2"/>
    <n v="280.769230769231"/>
    <n v="102480.769230769"/>
    <n v="368930.76923076902"/>
  </r>
  <r>
    <x v="0"/>
    <x v="0"/>
    <x v="0"/>
    <x v="3"/>
    <x v="7"/>
    <s v="DE4-W_A"/>
    <x v="2"/>
    <x v="172"/>
    <x v="0"/>
    <x v="9"/>
    <n v="280.769230769231"/>
    <n v="102480.769230769"/>
    <n v="368930.76923076902"/>
  </r>
  <r>
    <x v="0"/>
    <x v="0"/>
    <x v="0"/>
    <x v="3"/>
    <x v="7"/>
    <s v="DE4-W_A"/>
    <x v="2"/>
    <x v="172"/>
    <x v="0"/>
    <x v="10"/>
    <n v="280.769230769231"/>
    <n v="102480.769230769"/>
    <n v="368930.76923076902"/>
  </r>
  <r>
    <x v="0"/>
    <x v="0"/>
    <x v="0"/>
    <x v="3"/>
    <x v="7"/>
    <s v="DE4-W_A"/>
    <x v="2"/>
    <x v="172"/>
    <x v="0"/>
    <x v="11"/>
    <n v="280.769230769231"/>
    <n v="102480.769230769"/>
    <n v="368930.76923076902"/>
  </r>
  <r>
    <x v="0"/>
    <x v="0"/>
    <x v="0"/>
    <x v="3"/>
    <x v="7"/>
    <s v="DE4-W_A"/>
    <x v="2"/>
    <x v="172"/>
    <x v="0"/>
    <x v="12"/>
    <n v="280.769230769231"/>
    <n v="102480.769230769"/>
    <n v="368930.76923076902"/>
  </r>
  <r>
    <x v="0"/>
    <x v="0"/>
    <x v="0"/>
    <x v="3"/>
    <x v="7"/>
    <s v="DE4-W_A"/>
    <x v="2"/>
    <x v="172"/>
    <x v="0"/>
    <x v="13"/>
    <n v="280.769230769231"/>
    <n v="102480.769230769"/>
    <n v="368930.76923076902"/>
  </r>
  <r>
    <x v="0"/>
    <x v="0"/>
    <x v="0"/>
    <x v="3"/>
    <x v="7"/>
    <s v="DE4-W_A"/>
    <x v="2"/>
    <x v="172"/>
    <x v="0"/>
    <x v="14"/>
    <n v="280.769230769231"/>
    <n v="102480.769230769"/>
    <n v="368930.76923076902"/>
  </r>
  <r>
    <x v="0"/>
    <x v="0"/>
    <x v="0"/>
    <x v="3"/>
    <x v="7"/>
    <s v="DE4-W_A"/>
    <x v="2"/>
    <x v="172"/>
    <x v="0"/>
    <x v="15"/>
    <n v="280.769230769231"/>
    <n v="102480.769230769"/>
    <n v="368930.76923076902"/>
  </r>
  <r>
    <x v="0"/>
    <x v="0"/>
    <x v="0"/>
    <x v="3"/>
    <x v="7"/>
    <s v="DE4-W_A"/>
    <x v="2"/>
    <x v="172"/>
    <x v="0"/>
    <x v="16"/>
    <n v="280.769230769231"/>
    <n v="102480.769230769"/>
    <n v="368930.76923076902"/>
  </r>
  <r>
    <x v="0"/>
    <x v="0"/>
    <x v="0"/>
    <x v="3"/>
    <x v="7"/>
    <s v="DE4-W_A"/>
    <x v="2"/>
    <x v="172"/>
    <x v="0"/>
    <x v="17"/>
    <n v="280.769230769231"/>
    <n v="102480.769230769"/>
    <n v="368930.76923076902"/>
  </r>
  <r>
    <x v="0"/>
    <x v="0"/>
    <x v="0"/>
    <x v="3"/>
    <x v="7"/>
    <s v="DE4-W_A"/>
    <x v="2"/>
    <x v="172"/>
    <x v="0"/>
    <x v="18"/>
    <n v="280.769230769231"/>
    <n v="102480.769230769"/>
    <n v="368930.76923076902"/>
  </r>
  <r>
    <x v="0"/>
    <x v="0"/>
    <x v="0"/>
    <x v="3"/>
    <x v="7"/>
    <s v="DE4-W_A"/>
    <x v="2"/>
    <x v="172"/>
    <x v="0"/>
    <x v="19"/>
    <n v="280.769230769231"/>
    <n v="102480.769230769"/>
    <n v="368930.76923076902"/>
  </r>
  <r>
    <x v="0"/>
    <x v="0"/>
    <x v="0"/>
    <x v="3"/>
    <x v="7"/>
    <s v="DE4-W_A"/>
    <x v="2"/>
    <x v="172"/>
    <x v="0"/>
    <x v="20"/>
    <n v="280.769230769231"/>
    <n v="102480.769230769"/>
    <n v="368930.76923076902"/>
  </r>
  <r>
    <x v="0"/>
    <x v="0"/>
    <x v="0"/>
    <x v="3"/>
    <x v="7"/>
    <s v="DE4-W_A"/>
    <x v="2"/>
    <x v="172"/>
    <x v="0"/>
    <x v="21"/>
    <n v="280.769230769231"/>
    <n v="102480.769230769"/>
    <n v="368930.76923076902"/>
  </r>
  <r>
    <x v="0"/>
    <x v="0"/>
    <x v="0"/>
    <x v="3"/>
    <x v="7"/>
    <s v="DE4-W_A"/>
    <x v="2"/>
    <x v="172"/>
    <x v="0"/>
    <x v="22"/>
    <n v="280.769230769231"/>
    <n v="102480.769230769"/>
    <n v="368930.76923076902"/>
  </r>
  <r>
    <x v="0"/>
    <x v="0"/>
    <x v="0"/>
    <x v="3"/>
    <x v="7"/>
    <s v="DE4-W_A"/>
    <x v="2"/>
    <x v="172"/>
    <x v="0"/>
    <x v="23"/>
    <n v="280.769230769231"/>
    <n v="102480.769230769"/>
    <n v="368930.76923076902"/>
  </r>
  <r>
    <x v="0"/>
    <x v="0"/>
    <x v="0"/>
    <x v="3"/>
    <x v="7"/>
    <s v="DE4-W_A"/>
    <x v="2"/>
    <x v="173"/>
    <x v="0"/>
    <x v="3"/>
    <n v="9856.7272727272994"/>
    <n v="3597705.45454547"/>
    <n v="12951739.6363637"/>
  </r>
  <r>
    <x v="0"/>
    <x v="0"/>
    <x v="0"/>
    <x v="3"/>
    <x v="7"/>
    <s v="DE4-W_A"/>
    <x v="2"/>
    <x v="173"/>
    <x v="0"/>
    <x v="4"/>
    <n v="9856.7272727272994"/>
    <n v="3597705.45454547"/>
    <n v="12951739.6363637"/>
  </r>
  <r>
    <x v="0"/>
    <x v="0"/>
    <x v="0"/>
    <x v="3"/>
    <x v="7"/>
    <s v="DE4-W_A"/>
    <x v="2"/>
    <x v="173"/>
    <x v="0"/>
    <x v="5"/>
    <n v="9856.7272727272994"/>
    <n v="3597705.45454547"/>
    <n v="12951739.6363637"/>
  </r>
  <r>
    <x v="0"/>
    <x v="0"/>
    <x v="0"/>
    <x v="3"/>
    <x v="7"/>
    <s v="DE4-W_A"/>
    <x v="2"/>
    <x v="173"/>
    <x v="0"/>
    <x v="6"/>
    <n v="9856.7272727272994"/>
    <n v="3597705.45454547"/>
    <n v="12951739.6363637"/>
  </r>
  <r>
    <x v="0"/>
    <x v="0"/>
    <x v="0"/>
    <x v="3"/>
    <x v="7"/>
    <s v="DE4-W_A"/>
    <x v="2"/>
    <x v="173"/>
    <x v="0"/>
    <x v="7"/>
    <n v="9856.7272727272994"/>
    <n v="3597705.45454547"/>
    <n v="12951739.6363637"/>
  </r>
  <r>
    <x v="0"/>
    <x v="0"/>
    <x v="0"/>
    <x v="3"/>
    <x v="7"/>
    <s v="DE4-W_A"/>
    <x v="2"/>
    <x v="173"/>
    <x v="0"/>
    <x v="8"/>
    <n v="9856.7272727272994"/>
    <n v="3597705.45454547"/>
    <n v="12951739.6363637"/>
  </r>
  <r>
    <x v="0"/>
    <x v="0"/>
    <x v="0"/>
    <x v="3"/>
    <x v="7"/>
    <s v="DE4-W_A"/>
    <x v="2"/>
    <x v="173"/>
    <x v="0"/>
    <x v="0"/>
    <n v="9856.7272727272994"/>
    <n v="3597705.45454547"/>
    <n v="12951739.6363637"/>
  </r>
  <r>
    <x v="0"/>
    <x v="0"/>
    <x v="0"/>
    <x v="3"/>
    <x v="7"/>
    <s v="DE4-W_A"/>
    <x v="2"/>
    <x v="173"/>
    <x v="0"/>
    <x v="1"/>
    <n v="9856.7272727272994"/>
    <n v="3597705.45454547"/>
    <n v="12951739.6363637"/>
  </r>
  <r>
    <x v="0"/>
    <x v="0"/>
    <x v="0"/>
    <x v="3"/>
    <x v="7"/>
    <s v="DE4-W_A"/>
    <x v="2"/>
    <x v="173"/>
    <x v="0"/>
    <x v="2"/>
    <n v="9856.7272727272994"/>
    <n v="3597705.45454547"/>
    <n v="12951739.6363637"/>
  </r>
  <r>
    <x v="0"/>
    <x v="0"/>
    <x v="0"/>
    <x v="3"/>
    <x v="7"/>
    <s v="DE4-W_A"/>
    <x v="2"/>
    <x v="173"/>
    <x v="0"/>
    <x v="9"/>
    <n v="9856.7272727272994"/>
    <n v="3597705.45454547"/>
    <n v="12951739.6363637"/>
  </r>
  <r>
    <x v="0"/>
    <x v="0"/>
    <x v="0"/>
    <x v="3"/>
    <x v="7"/>
    <s v="DE4-W_A"/>
    <x v="2"/>
    <x v="173"/>
    <x v="0"/>
    <x v="10"/>
    <n v="9856.7272727272994"/>
    <n v="3597705.45454547"/>
    <n v="12951739.6363637"/>
  </r>
  <r>
    <x v="0"/>
    <x v="0"/>
    <x v="0"/>
    <x v="3"/>
    <x v="7"/>
    <s v="DE4-W_A"/>
    <x v="2"/>
    <x v="173"/>
    <x v="0"/>
    <x v="11"/>
    <n v="9856.7272727272994"/>
    <n v="3597705.45454547"/>
    <n v="12951739.6363637"/>
  </r>
  <r>
    <x v="0"/>
    <x v="0"/>
    <x v="0"/>
    <x v="3"/>
    <x v="7"/>
    <s v="DE4-W_A"/>
    <x v="2"/>
    <x v="173"/>
    <x v="0"/>
    <x v="12"/>
    <n v="9856.7272727272994"/>
    <n v="3597705.45454547"/>
    <n v="12951739.6363637"/>
  </r>
  <r>
    <x v="0"/>
    <x v="0"/>
    <x v="0"/>
    <x v="3"/>
    <x v="7"/>
    <s v="DE4-W_A"/>
    <x v="2"/>
    <x v="173"/>
    <x v="0"/>
    <x v="13"/>
    <n v="9856.7272727272994"/>
    <n v="3597705.45454547"/>
    <n v="12951739.6363637"/>
  </r>
  <r>
    <x v="0"/>
    <x v="0"/>
    <x v="0"/>
    <x v="3"/>
    <x v="7"/>
    <s v="DE4-W_A"/>
    <x v="2"/>
    <x v="173"/>
    <x v="0"/>
    <x v="14"/>
    <n v="9856.7272727272994"/>
    <n v="3597705.45454547"/>
    <n v="12951739.6363637"/>
  </r>
  <r>
    <x v="0"/>
    <x v="0"/>
    <x v="0"/>
    <x v="3"/>
    <x v="7"/>
    <s v="DE4-W_A"/>
    <x v="2"/>
    <x v="173"/>
    <x v="0"/>
    <x v="15"/>
    <n v="9856.7272727272994"/>
    <n v="3597705.45454547"/>
    <n v="12951739.6363637"/>
  </r>
  <r>
    <x v="0"/>
    <x v="0"/>
    <x v="0"/>
    <x v="3"/>
    <x v="7"/>
    <s v="DE4-W_A"/>
    <x v="2"/>
    <x v="173"/>
    <x v="0"/>
    <x v="16"/>
    <n v="9856.7272727272994"/>
    <n v="3597705.45454547"/>
    <n v="12951739.6363637"/>
  </r>
  <r>
    <x v="0"/>
    <x v="0"/>
    <x v="0"/>
    <x v="3"/>
    <x v="7"/>
    <s v="DE4-W_A"/>
    <x v="2"/>
    <x v="173"/>
    <x v="0"/>
    <x v="17"/>
    <n v="9856.7272727272994"/>
    <n v="3597705.45454547"/>
    <n v="12951739.6363637"/>
  </r>
  <r>
    <x v="0"/>
    <x v="0"/>
    <x v="0"/>
    <x v="3"/>
    <x v="7"/>
    <s v="DE4-W_A"/>
    <x v="2"/>
    <x v="173"/>
    <x v="0"/>
    <x v="18"/>
    <n v="9856.7272727272994"/>
    <n v="3597705.45454547"/>
    <n v="12951739.6363637"/>
  </r>
  <r>
    <x v="0"/>
    <x v="0"/>
    <x v="0"/>
    <x v="3"/>
    <x v="7"/>
    <s v="DE4-W_A"/>
    <x v="2"/>
    <x v="173"/>
    <x v="0"/>
    <x v="19"/>
    <n v="9856.7272727272994"/>
    <n v="3597705.45454547"/>
    <n v="12951739.6363637"/>
  </r>
  <r>
    <x v="0"/>
    <x v="0"/>
    <x v="0"/>
    <x v="3"/>
    <x v="7"/>
    <s v="DE4-W_A"/>
    <x v="2"/>
    <x v="173"/>
    <x v="0"/>
    <x v="20"/>
    <n v="9856.7272727272994"/>
    <n v="3597705.45454547"/>
    <n v="12951739.6363637"/>
  </r>
  <r>
    <x v="0"/>
    <x v="0"/>
    <x v="0"/>
    <x v="3"/>
    <x v="7"/>
    <s v="DE4-W_A"/>
    <x v="2"/>
    <x v="173"/>
    <x v="0"/>
    <x v="21"/>
    <n v="9856.7272727272994"/>
    <n v="3597705.45454547"/>
    <n v="12951739.6363637"/>
  </r>
  <r>
    <x v="0"/>
    <x v="0"/>
    <x v="0"/>
    <x v="3"/>
    <x v="7"/>
    <s v="DE4-W_A"/>
    <x v="2"/>
    <x v="173"/>
    <x v="0"/>
    <x v="22"/>
    <n v="9856.7272727272994"/>
    <n v="3597705.45454547"/>
    <n v="12951739.6363637"/>
  </r>
  <r>
    <x v="0"/>
    <x v="0"/>
    <x v="0"/>
    <x v="3"/>
    <x v="7"/>
    <s v="DE4-W_A"/>
    <x v="2"/>
    <x v="173"/>
    <x v="0"/>
    <x v="23"/>
    <n v="9856.7272727272994"/>
    <n v="3597705.45454547"/>
    <n v="12951739.6363637"/>
  </r>
  <r>
    <x v="0"/>
    <x v="0"/>
    <x v="0"/>
    <x v="3"/>
    <x v="7"/>
    <s v="DE4-W_A"/>
    <x v="2"/>
    <x v="174"/>
    <x v="0"/>
    <x v="3"/>
    <n v="2432.1428571428601"/>
    <n v="887732.14285714296"/>
    <n v="3195835.7142857099"/>
  </r>
  <r>
    <x v="0"/>
    <x v="0"/>
    <x v="0"/>
    <x v="3"/>
    <x v="7"/>
    <s v="DE4-W_A"/>
    <x v="2"/>
    <x v="174"/>
    <x v="0"/>
    <x v="4"/>
    <n v="2432.1428571428601"/>
    <n v="887732.14285714296"/>
    <n v="3195835.7142857099"/>
  </r>
  <r>
    <x v="0"/>
    <x v="0"/>
    <x v="0"/>
    <x v="3"/>
    <x v="7"/>
    <s v="DE4-W_A"/>
    <x v="2"/>
    <x v="174"/>
    <x v="0"/>
    <x v="5"/>
    <n v="2432.1428571428601"/>
    <n v="887732.14285714296"/>
    <n v="3195835.7142857099"/>
  </r>
  <r>
    <x v="0"/>
    <x v="0"/>
    <x v="0"/>
    <x v="3"/>
    <x v="7"/>
    <s v="DE4-W_A"/>
    <x v="2"/>
    <x v="174"/>
    <x v="0"/>
    <x v="6"/>
    <n v="2432.1428571428601"/>
    <n v="887732.14285714296"/>
    <n v="3195835.7142857099"/>
  </r>
  <r>
    <x v="0"/>
    <x v="0"/>
    <x v="0"/>
    <x v="3"/>
    <x v="7"/>
    <s v="DE4-W_A"/>
    <x v="2"/>
    <x v="174"/>
    <x v="0"/>
    <x v="7"/>
    <n v="2432.1428571428601"/>
    <n v="887732.14285714296"/>
    <n v="3195835.7142857099"/>
  </r>
  <r>
    <x v="0"/>
    <x v="0"/>
    <x v="0"/>
    <x v="3"/>
    <x v="7"/>
    <s v="DE4-W_A"/>
    <x v="2"/>
    <x v="174"/>
    <x v="0"/>
    <x v="8"/>
    <n v="2432.1428571428601"/>
    <n v="887732.14285714296"/>
    <n v="3195835.7142857099"/>
  </r>
  <r>
    <x v="0"/>
    <x v="0"/>
    <x v="0"/>
    <x v="3"/>
    <x v="7"/>
    <s v="DE4-W_A"/>
    <x v="2"/>
    <x v="174"/>
    <x v="0"/>
    <x v="0"/>
    <n v="2432.1428571428601"/>
    <n v="887732.14285714296"/>
    <n v="3195835.7142857099"/>
  </r>
  <r>
    <x v="0"/>
    <x v="0"/>
    <x v="0"/>
    <x v="3"/>
    <x v="7"/>
    <s v="DE4-W_A"/>
    <x v="2"/>
    <x v="174"/>
    <x v="0"/>
    <x v="1"/>
    <n v="2432.1428571428601"/>
    <n v="887732.14285714296"/>
    <n v="3195835.7142857099"/>
  </r>
  <r>
    <x v="0"/>
    <x v="0"/>
    <x v="0"/>
    <x v="3"/>
    <x v="7"/>
    <s v="DE4-W_A"/>
    <x v="2"/>
    <x v="174"/>
    <x v="0"/>
    <x v="2"/>
    <n v="2432.1428571428601"/>
    <n v="887732.14285714296"/>
    <n v="3195835.7142857099"/>
  </r>
  <r>
    <x v="0"/>
    <x v="0"/>
    <x v="0"/>
    <x v="3"/>
    <x v="7"/>
    <s v="DE4-W_A"/>
    <x v="2"/>
    <x v="174"/>
    <x v="0"/>
    <x v="9"/>
    <n v="2432.1428571428601"/>
    <n v="887732.14285714296"/>
    <n v="3195835.7142857099"/>
  </r>
  <r>
    <x v="0"/>
    <x v="0"/>
    <x v="0"/>
    <x v="3"/>
    <x v="7"/>
    <s v="DE4-W_A"/>
    <x v="2"/>
    <x v="174"/>
    <x v="0"/>
    <x v="10"/>
    <n v="2432.1428571428601"/>
    <n v="887732.14285714296"/>
    <n v="3195835.7142857099"/>
  </r>
  <r>
    <x v="0"/>
    <x v="0"/>
    <x v="0"/>
    <x v="3"/>
    <x v="7"/>
    <s v="DE4-W_A"/>
    <x v="2"/>
    <x v="174"/>
    <x v="0"/>
    <x v="11"/>
    <n v="2432.1428571428601"/>
    <n v="887732.14285714296"/>
    <n v="3195835.7142857099"/>
  </r>
  <r>
    <x v="0"/>
    <x v="0"/>
    <x v="0"/>
    <x v="3"/>
    <x v="7"/>
    <s v="DE4-W_A"/>
    <x v="2"/>
    <x v="174"/>
    <x v="0"/>
    <x v="12"/>
    <n v="2432.1428571428601"/>
    <n v="887732.14285714296"/>
    <n v="3195835.7142857099"/>
  </r>
  <r>
    <x v="0"/>
    <x v="0"/>
    <x v="0"/>
    <x v="3"/>
    <x v="7"/>
    <s v="DE4-W_A"/>
    <x v="2"/>
    <x v="174"/>
    <x v="0"/>
    <x v="13"/>
    <n v="2432.1428571428601"/>
    <n v="887732.14285714296"/>
    <n v="3195835.7142857099"/>
  </r>
  <r>
    <x v="0"/>
    <x v="0"/>
    <x v="0"/>
    <x v="3"/>
    <x v="7"/>
    <s v="DE4-W_A"/>
    <x v="2"/>
    <x v="174"/>
    <x v="0"/>
    <x v="14"/>
    <n v="2432.1428571428601"/>
    <n v="887732.14285714296"/>
    <n v="3195835.7142857099"/>
  </r>
  <r>
    <x v="0"/>
    <x v="0"/>
    <x v="0"/>
    <x v="3"/>
    <x v="7"/>
    <s v="DE4-W_A"/>
    <x v="2"/>
    <x v="174"/>
    <x v="0"/>
    <x v="15"/>
    <n v="2432.1428571428601"/>
    <n v="887732.14285714296"/>
    <n v="3195835.7142857099"/>
  </r>
  <r>
    <x v="0"/>
    <x v="0"/>
    <x v="0"/>
    <x v="3"/>
    <x v="7"/>
    <s v="DE4-W_A"/>
    <x v="2"/>
    <x v="174"/>
    <x v="0"/>
    <x v="16"/>
    <n v="2432.1428571428601"/>
    <n v="887732.14285714296"/>
    <n v="3195835.7142857099"/>
  </r>
  <r>
    <x v="0"/>
    <x v="0"/>
    <x v="0"/>
    <x v="3"/>
    <x v="7"/>
    <s v="DE4-W_A"/>
    <x v="2"/>
    <x v="174"/>
    <x v="0"/>
    <x v="17"/>
    <n v="2432.1428571428601"/>
    <n v="887732.14285714296"/>
    <n v="3195835.7142857099"/>
  </r>
  <r>
    <x v="0"/>
    <x v="0"/>
    <x v="0"/>
    <x v="3"/>
    <x v="7"/>
    <s v="DE4-W_A"/>
    <x v="2"/>
    <x v="174"/>
    <x v="0"/>
    <x v="18"/>
    <n v="2432.1428571428601"/>
    <n v="887732.14285714296"/>
    <n v="3195835.7142857099"/>
  </r>
  <r>
    <x v="0"/>
    <x v="0"/>
    <x v="0"/>
    <x v="3"/>
    <x v="7"/>
    <s v="DE4-W_A"/>
    <x v="2"/>
    <x v="174"/>
    <x v="0"/>
    <x v="19"/>
    <n v="2432.1428571428601"/>
    <n v="887732.14285714296"/>
    <n v="3195835.7142857099"/>
  </r>
  <r>
    <x v="0"/>
    <x v="0"/>
    <x v="0"/>
    <x v="3"/>
    <x v="7"/>
    <s v="DE4-W_A"/>
    <x v="2"/>
    <x v="174"/>
    <x v="0"/>
    <x v="20"/>
    <n v="2432.1428571428601"/>
    <n v="887732.14285714296"/>
    <n v="3195835.7142857099"/>
  </r>
  <r>
    <x v="0"/>
    <x v="0"/>
    <x v="0"/>
    <x v="3"/>
    <x v="7"/>
    <s v="DE4-W_A"/>
    <x v="2"/>
    <x v="174"/>
    <x v="0"/>
    <x v="21"/>
    <n v="2432.1428571428601"/>
    <n v="887732.14285714296"/>
    <n v="3195835.7142857099"/>
  </r>
  <r>
    <x v="0"/>
    <x v="0"/>
    <x v="0"/>
    <x v="3"/>
    <x v="7"/>
    <s v="DE4-W_A"/>
    <x v="2"/>
    <x v="174"/>
    <x v="0"/>
    <x v="22"/>
    <n v="2432.1428571428601"/>
    <n v="887732.14285714296"/>
    <n v="3195835.7142857099"/>
  </r>
  <r>
    <x v="0"/>
    <x v="0"/>
    <x v="0"/>
    <x v="3"/>
    <x v="7"/>
    <s v="DE4-W_A"/>
    <x v="2"/>
    <x v="174"/>
    <x v="0"/>
    <x v="23"/>
    <n v="2432.1428571428601"/>
    <n v="887732.14285714296"/>
    <n v="3195835.7142857099"/>
  </r>
  <r>
    <x v="0"/>
    <x v="0"/>
    <x v="0"/>
    <x v="3"/>
    <x v="7"/>
    <s v="DE4-W_A"/>
    <x v="2"/>
    <x v="146"/>
    <x v="0"/>
    <x v="3"/>
    <n v="5139.4736842105303"/>
    <n v="1875907.8947368399"/>
    <n v="6753268.4210526301"/>
  </r>
  <r>
    <x v="0"/>
    <x v="0"/>
    <x v="0"/>
    <x v="3"/>
    <x v="7"/>
    <s v="DE4-W_A"/>
    <x v="2"/>
    <x v="146"/>
    <x v="0"/>
    <x v="4"/>
    <n v="5139.4736842105303"/>
    <n v="1875907.8947368399"/>
    <n v="6753268.4210526301"/>
  </r>
  <r>
    <x v="0"/>
    <x v="0"/>
    <x v="0"/>
    <x v="3"/>
    <x v="7"/>
    <s v="DE4-W_A"/>
    <x v="2"/>
    <x v="146"/>
    <x v="0"/>
    <x v="5"/>
    <n v="5139.4736842105303"/>
    <n v="1875907.8947368399"/>
    <n v="6753268.4210526301"/>
  </r>
  <r>
    <x v="0"/>
    <x v="0"/>
    <x v="0"/>
    <x v="3"/>
    <x v="7"/>
    <s v="DE4-W_A"/>
    <x v="2"/>
    <x v="146"/>
    <x v="0"/>
    <x v="6"/>
    <n v="5139.4736842105303"/>
    <n v="1875907.8947368399"/>
    <n v="6753268.4210526301"/>
  </r>
  <r>
    <x v="0"/>
    <x v="0"/>
    <x v="0"/>
    <x v="3"/>
    <x v="7"/>
    <s v="DE4-W_A"/>
    <x v="2"/>
    <x v="146"/>
    <x v="0"/>
    <x v="7"/>
    <n v="5139.4736842105303"/>
    <n v="1875907.8947368399"/>
    <n v="6753268.4210526301"/>
  </r>
  <r>
    <x v="0"/>
    <x v="0"/>
    <x v="0"/>
    <x v="3"/>
    <x v="7"/>
    <s v="DE4-W_A"/>
    <x v="2"/>
    <x v="146"/>
    <x v="0"/>
    <x v="8"/>
    <n v="5139.4736842105303"/>
    <n v="1875907.8947368399"/>
    <n v="6753268.4210526301"/>
  </r>
  <r>
    <x v="0"/>
    <x v="0"/>
    <x v="0"/>
    <x v="3"/>
    <x v="7"/>
    <s v="DE4-W_A"/>
    <x v="2"/>
    <x v="146"/>
    <x v="0"/>
    <x v="0"/>
    <n v="5139.4736842105303"/>
    <n v="1875907.8947368399"/>
    <n v="6753268.4210526301"/>
  </r>
  <r>
    <x v="0"/>
    <x v="0"/>
    <x v="0"/>
    <x v="3"/>
    <x v="7"/>
    <s v="DE4-W_A"/>
    <x v="2"/>
    <x v="146"/>
    <x v="0"/>
    <x v="1"/>
    <n v="5139.4736842105303"/>
    <n v="1875907.8947368399"/>
    <n v="6753268.4210526301"/>
  </r>
  <r>
    <x v="0"/>
    <x v="0"/>
    <x v="0"/>
    <x v="3"/>
    <x v="7"/>
    <s v="DE4-W_A"/>
    <x v="2"/>
    <x v="146"/>
    <x v="0"/>
    <x v="2"/>
    <n v="5139.4736842105303"/>
    <n v="1875907.8947368399"/>
    <n v="6753268.4210526301"/>
  </r>
  <r>
    <x v="0"/>
    <x v="0"/>
    <x v="0"/>
    <x v="3"/>
    <x v="7"/>
    <s v="DE4-W_A"/>
    <x v="2"/>
    <x v="146"/>
    <x v="0"/>
    <x v="9"/>
    <n v="5139.4736842105303"/>
    <n v="1875907.8947368399"/>
    <n v="6753268.4210526301"/>
  </r>
  <r>
    <x v="0"/>
    <x v="0"/>
    <x v="0"/>
    <x v="3"/>
    <x v="7"/>
    <s v="DE4-W_A"/>
    <x v="2"/>
    <x v="146"/>
    <x v="0"/>
    <x v="10"/>
    <n v="5139.4736842105303"/>
    <n v="1875907.8947368399"/>
    <n v="6753268.4210526301"/>
  </r>
  <r>
    <x v="0"/>
    <x v="0"/>
    <x v="0"/>
    <x v="3"/>
    <x v="7"/>
    <s v="DE4-W_A"/>
    <x v="2"/>
    <x v="146"/>
    <x v="0"/>
    <x v="11"/>
    <n v="5139.4736842105303"/>
    <n v="1875907.8947368399"/>
    <n v="6753268.4210526301"/>
  </r>
  <r>
    <x v="0"/>
    <x v="0"/>
    <x v="0"/>
    <x v="3"/>
    <x v="7"/>
    <s v="DE4-W_A"/>
    <x v="2"/>
    <x v="146"/>
    <x v="0"/>
    <x v="12"/>
    <n v="5139.4736842105303"/>
    <n v="1875907.8947368399"/>
    <n v="6753268.4210526301"/>
  </r>
  <r>
    <x v="0"/>
    <x v="0"/>
    <x v="0"/>
    <x v="3"/>
    <x v="7"/>
    <s v="DE4-W_A"/>
    <x v="2"/>
    <x v="146"/>
    <x v="0"/>
    <x v="13"/>
    <n v="5139.4736842105303"/>
    <n v="1875907.8947368399"/>
    <n v="6753268.4210526301"/>
  </r>
  <r>
    <x v="0"/>
    <x v="0"/>
    <x v="0"/>
    <x v="3"/>
    <x v="7"/>
    <s v="DE4-W_A"/>
    <x v="2"/>
    <x v="146"/>
    <x v="0"/>
    <x v="14"/>
    <n v="5139.4736842105303"/>
    <n v="1875907.8947368399"/>
    <n v="6753268.4210526301"/>
  </r>
  <r>
    <x v="0"/>
    <x v="0"/>
    <x v="0"/>
    <x v="3"/>
    <x v="7"/>
    <s v="DE4-W_A"/>
    <x v="2"/>
    <x v="146"/>
    <x v="0"/>
    <x v="15"/>
    <n v="5139.4736842105303"/>
    <n v="1875907.8947368399"/>
    <n v="6753268.4210526301"/>
  </r>
  <r>
    <x v="0"/>
    <x v="0"/>
    <x v="0"/>
    <x v="3"/>
    <x v="7"/>
    <s v="DE4-W_A"/>
    <x v="2"/>
    <x v="146"/>
    <x v="0"/>
    <x v="16"/>
    <n v="5139.4736842105303"/>
    <n v="1875907.8947368399"/>
    <n v="6753268.4210526301"/>
  </r>
  <r>
    <x v="0"/>
    <x v="0"/>
    <x v="0"/>
    <x v="3"/>
    <x v="7"/>
    <s v="DE4-W_A"/>
    <x v="2"/>
    <x v="146"/>
    <x v="0"/>
    <x v="17"/>
    <n v="5139.4736842105303"/>
    <n v="1875907.8947368399"/>
    <n v="6753268.4210526301"/>
  </r>
  <r>
    <x v="0"/>
    <x v="0"/>
    <x v="0"/>
    <x v="3"/>
    <x v="7"/>
    <s v="DE4-W_A"/>
    <x v="2"/>
    <x v="146"/>
    <x v="0"/>
    <x v="18"/>
    <n v="5139.4736842105303"/>
    <n v="1875907.8947368399"/>
    <n v="6753268.4210526301"/>
  </r>
  <r>
    <x v="0"/>
    <x v="0"/>
    <x v="0"/>
    <x v="3"/>
    <x v="7"/>
    <s v="DE4-W_A"/>
    <x v="2"/>
    <x v="146"/>
    <x v="0"/>
    <x v="19"/>
    <n v="5139.4736842105303"/>
    <n v="1875907.8947368399"/>
    <n v="6753268.4210526301"/>
  </r>
  <r>
    <x v="0"/>
    <x v="0"/>
    <x v="0"/>
    <x v="3"/>
    <x v="7"/>
    <s v="DE4-W_A"/>
    <x v="2"/>
    <x v="146"/>
    <x v="0"/>
    <x v="20"/>
    <n v="5139.4736842105303"/>
    <n v="1875907.8947368399"/>
    <n v="6753268.4210526301"/>
  </r>
  <r>
    <x v="0"/>
    <x v="0"/>
    <x v="0"/>
    <x v="3"/>
    <x v="7"/>
    <s v="DE4-W_A"/>
    <x v="2"/>
    <x v="146"/>
    <x v="0"/>
    <x v="21"/>
    <n v="5139.4736842105303"/>
    <n v="1875907.8947368399"/>
    <n v="6753268.4210526301"/>
  </r>
  <r>
    <x v="0"/>
    <x v="0"/>
    <x v="0"/>
    <x v="3"/>
    <x v="7"/>
    <s v="DE4-W_A"/>
    <x v="2"/>
    <x v="146"/>
    <x v="0"/>
    <x v="22"/>
    <n v="5139.4736842105303"/>
    <n v="1875907.8947368399"/>
    <n v="6753268.4210526301"/>
  </r>
  <r>
    <x v="0"/>
    <x v="0"/>
    <x v="0"/>
    <x v="3"/>
    <x v="7"/>
    <s v="DE4-W_A"/>
    <x v="2"/>
    <x v="146"/>
    <x v="0"/>
    <x v="23"/>
    <n v="5139.4736842105303"/>
    <n v="1875907.8947368399"/>
    <n v="6753268.4210526301"/>
  </r>
  <r>
    <x v="0"/>
    <x v="0"/>
    <x v="0"/>
    <x v="3"/>
    <x v="7"/>
    <s v="DE4-W_A"/>
    <x v="2"/>
    <x v="175"/>
    <x v="0"/>
    <x v="3"/>
    <n v="31.818181818181799"/>
    <n v="11613.6363636364"/>
    <n v="41809.090909090897"/>
  </r>
  <r>
    <x v="0"/>
    <x v="0"/>
    <x v="0"/>
    <x v="3"/>
    <x v="7"/>
    <s v="DE4-W_A"/>
    <x v="2"/>
    <x v="175"/>
    <x v="0"/>
    <x v="4"/>
    <n v="31.818181818181799"/>
    <n v="11613.6363636364"/>
    <n v="41809.090909090897"/>
  </r>
  <r>
    <x v="0"/>
    <x v="0"/>
    <x v="0"/>
    <x v="3"/>
    <x v="7"/>
    <s v="DE4-W_A"/>
    <x v="2"/>
    <x v="175"/>
    <x v="0"/>
    <x v="5"/>
    <n v="31.818181818181799"/>
    <n v="11613.6363636364"/>
    <n v="41809.090909090897"/>
  </r>
  <r>
    <x v="0"/>
    <x v="0"/>
    <x v="0"/>
    <x v="3"/>
    <x v="7"/>
    <s v="DE4-W_A"/>
    <x v="2"/>
    <x v="175"/>
    <x v="0"/>
    <x v="6"/>
    <n v="31.818181818181799"/>
    <n v="11613.6363636364"/>
    <n v="41809.090909090897"/>
  </r>
  <r>
    <x v="0"/>
    <x v="0"/>
    <x v="0"/>
    <x v="3"/>
    <x v="7"/>
    <s v="DE4-W_A"/>
    <x v="2"/>
    <x v="175"/>
    <x v="0"/>
    <x v="7"/>
    <n v="31.818181818181799"/>
    <n v="11613.6363636364"/>
    <n v="41809.090909090897"/>
  </r>
  <r>
    <x v="0"/>
    <x v="0"/>
    <x v="0"/>
    <x v="3"/>
    <x v="7"/>
    <s v="DE4-W_A"/>
    <x v="2"/>
    <x v="175"/>
    <x v="0"/>
    <x v="8"/>
    <n v="31.818181818181799"/>
    <n v="11613.6363636364"/>
    <n v="41809.090909090897"/>
  </r>
  <r>
    <x v="0"/>
    <x v="0"/>
    <x v="0"/>
    <x v="3"/>
    <x v="7"/>
    <s v="DE4-W_A"/>
    <x v="2"/>
    <x v="175"/>
    <x v="0"/>
    <x v="0"/>
    <n v="31.818181818181799"/>
    <n v="11613.6363636364"/>
    <n v="41809.090909090897"/>
  </r>
  <r>
    <x v="0"/>
    <x v="0"/>
    <x v="0"/>
    <x v="3"/>
    <x v="7"/>
    <s v="DE4-W_A"/>
    <x v="2"/>
    <x v="175"/>
    <x v="0"/>
    <x v="1"/>
    <n v="31.818181818181799"/>
    <n v="11613.6363636364"/>
    <n v="41809.090909090897"/>
  </r>
  <r>
    <x v="0"/>
    <x v="0"/>
    <x v="0"/>
    <x v="3"/>
    <x v="7"/>
    <s v="DE4-W_A"/>
    <x v="2"/>
    <x v="175"/>
    <x v="0"/>
    <x v="2"/>
    <n v="31.818181818181799"/>
    <n v="11613.6363636364"/>
    <n v="41809.090909090897"/>
  </r>
  <r>
    <x v="0"/>
    <x v="0"/>
    <x v="0"/>
    <x v="3"/>
    <x v="7"/>
    <s v="DE4-W_A"/>
    <x v="2"/>
    <x v="175"/>
    <x v="0"/>
    <x v="9"/>
    <n v="31.818181818181799"/>
    <n v="11613.6363636364"/>
    <n v="41809.090909090897"/>
  </r>
  <r>
    <x v="0"/>
    <x v="0"/>
    <x v="0"/>
    <x v="3"/>
    <x v="7"/>
    <s v="DE4-W_A"/>
    <x v="2"/>
    <x v="175"/>
    <x v="0"/>
    <x v="10"/>
    <n v="31.818181818181799"/>
    <n v="11613.6363636364"/>
    <n v="41809.090909090897"/>
  </r>
  <r>
    <x v="0"/>
    <x v="0"/>
    <x v="0"/>
    <x v="3"/>
    <x v="7"/>
    <s v="DE4-W_A"/>
    <x v="2"/>
    <x v="175"/>
    <x v="0"/>
    <x v="11"/>
    <n v="31.818181818181799"/>
    <n v="11613.6363636364"/>
    <n v="41809.090909090897"/>
  </r>
  <r>
    <x v="0"/>
    <x v="0"/>
    <x v="0"/>
    <x v="3"/>
    <x v="7"/>
    <s v="DE4-W_A"/>
    <x v="2"/>
    <x v="175"/>
    <x v="0"/>
    <x v="12"/>
    <n v="31.818181818181799"/>
    <n v="11613.6363636364"/>
    <n v="41809.090909090897"/>
  </r>
  <r>
    <x v="0"/>
    <x v="0"/>
    <x v="0"/>
    <x v="3"/>
    <x v="7"/>
    <s v="DE4-W_A"/>
    <x v="2"/>
    <x v="175"/>
    <x v="0"/>
    <x v="13"/>
    <n v="31.818181818181799"/>
    <n v="11613.6363636364"/>
    <n v="41809.090909090897"/>
  </r>
  <r>
    <x v="0"/>
    <x v="0"/>
    <x v="0"/>
    <x v="3"/>
    <x v="7"/>
    <s v="DE4-W_A"/>
    <x v="2"/>
    <x v="175"/>
    <x v="0"/>
    <x v="14"/>
    <n v="31.818181818181799"/>
    <n v="11613.6363636364"/>
    <n v="41809.090909090897"/>
  </r>
  <r>
    <x v="0"/>
    <x v="0"/>
    <x v="0"/>
    <x v="3"/>
    <x v="7"/>
    <s v="DE4-W_A"/>
    <x v="2"/>
    <x v="175"/>
    <x v="0"/>
    <x v="15"/>
    <n v="31.818181818181799"/>
    <n v="11613.6363636364"/>
    <n v="41809.090909090897"/>
  </r>
  <r>
    <x v="0"/>
    <x v="0"/>
    <x v="0"/>
    <x v="3"/>
    <x v="7"/>
    <s v="DE4-W_A"/>
    <x v="2"/>
    <x v="175"/>
    <x v="0"/>
    <x v="16"/>
    <n v="31.818181818181799"/>
    <n v="11613.6363636364"/>
    <n v="41809.090909090897"/>
  </r>
  <r>
    <x v="0"/>
    <x v="0"/>
    <x v="0"/>
    <x v="3"/>
    <x v="7"/>
    <s v="DE4-W_A"/>
    <x v="2"/>
    <x v="175"/>
    <x v="0"/>
    <x v="17"/>
    <n v="31.818181818181799"/>
    <n v="11613.6363636364"/>
    <n v="41809.090909090897"/>
  </r>
  <r>
    <x v="0"/>
    <x v="0"/>
    <x v="0"/>
    <x v="3"/>
    <x v="7"/>
    <s v="DE4-W_A"/>
    <x v="2"/>
    <x v="175"/>
    <x v="0"/>
    <x v="18"/>
    <n v="31.818181818181799"/>
    <n v="11613.6363636364"/>
    <n v="41809.090909090897"/>
  </r>
  <r>
    <x v="0"/>
    <x v="0"/>
    <x v="0"/>
    <x v="3"/>
    <x v="7"/>
    <s v="DE4-W_A"/>
    <x v="2"/>
    <x v="175"/>
    <x v="0"/>
    <x v="19"/>
    <n v="31.818181818181799"/>
    <n v="11613.6363636364"/>
    <n v="41809.090909090897"/>
  </r>
  <r>
    <x v="0"/>
    <x v="0"/>
    <x v="0"/>
    <x v="3"/>
    <x v="7"/>
    <s v="DE4-W_A"/>
    <x v="2"/>
    <x v="175"/>
    <x v="0"/>
    <x v="20"/>
    <n v="31.818181818181799"/>
    <n v="11613.6363636364"/>
    <n v="41809.090909090897"/>
  </r>
  <r>
    <x v="0"/>
    <x v="0"/>
    <x v="0"/>
    <x v="3"/>
    <x v="7"/>
    <s v="DE4-W_A"/>
    <x v="2"/>
    <x v="175"/>
    <x v="0"/>
    <x v="21"/>
    <n v="31.818181818181799"/>
    <n v="11613.6363636364"/>
    <n v="41809.090909090897"/>
  </r>
  <r>
    <x v="0"/>
    <x v="0"/>
    <x v="0"/>
    <x v="3"/>
    <x v="7"/>
    <s v="DE4-W_A"/>
    <x v="2"/>
    <x v="175"/>
    <x v="0"/>
    <x v="22"/>
    <n v="31.818181818181799"/>
    <n v="11613.6363636364"/>
    <n v="41809.090909090897"/>
  </r>
  <r>
    <x v="0"/>
    <x v="0"/>
    <x v="0"/>
    <x v="3"/>
    <x v="7"/>
    <s v="DE4-W_A"/>
    <x v="2"/>
    <x v="175"/>
    <x v="0"/>
    <x v="23"/>
    <n v="31.818181818181799"/>
    <n v="11613.6363636364"/>
    <n v="41809.090909090897"/>
  </r>
  <r>
    <x v="0"/>
    <x v="0"/>
    <x v="0"/>
    <x v="3"/>
    <x v="7"/>
    <s v="DE4-W_A"/>
    <x v="2"/>
    <x v="28"/>
    <x v="0"/>
    <x v="0"/>
    <n v="335.48387096774201"/>
    <n v="122451.61290322601"/>
    <n v="440825.80645161303"/>
  </r>
  <r>
    <x v="0"/>
    <x v="0"/>
    <x v="0"/>
    <x v="3"/>
    <x v="7"/>
    <s v="DE4-W_A"/>
    <x v="2"/>
    <x v="28"/>
    <x v="0"/>
    <x v="1"/>
    <n v="335.48387096774201"/>
    <n v="122451.61290322601"/>
    <n v="440825.80645161303"/>
  </r>
  <r>
    <x v="0"/>
    <x v="0"/>
    <x v="0"/>
    <x v="3"/>
    <x v="7"/>
    <s v="DE4-W_A"/>
    <x v="2"/>
    <x v="28"/>
    <x v="0"/>
    <x v="2"/>
    <n v="335.48387096774201"/>
    <n v="122451.61290322601"/>
    <n v="440825.80645161303"/>
  </r>
  <r>
    <x v="0"/>
    <x v="0"/>
    <x v="0"/>
    <x v="3"/>
    <x v="7"/>
    <s v="DE4-W_A"/>
    <x v="2"/>
    <x v="28"/>
    <x v="0"/>
    <x v="9"/>
    <n v="335.48387096774201"/>
    <n v="122451.61290322601"/>
    <n v="440825.80645161303"/>
  </r>
  <r>
    <x v="0"/>
    <x v="0"/>
    <x v="0"/>
    <x v="3"/>
    <x v="7"/>
    <s v="DE4-W_A"/>
    <x v="2"/>
    <x v="28"/>
    <x v="0"/>
    <x v="10"/>
    <n v="335.48387096774201"/>
    <n v="122451.61290322601"/>
    <n v="440825.80645161303"/>
  </r>
  <r>
    <x v="0"/>
    <x v="0"/>
    <x v="0"/>
    <x v="3"/>
    <x v="7"/>
    <s v="DE4-W_A"/>
    <x v="2"/>
    <x v="28"/>
    <x v="0"/>
    <x v="14"/>
    <n v="335.48387096774201"/>
    <n v="122451.61290322601"/>
    <n v="440825.80645161303"/>
  </r>
  <r>
    <x v="0"/>
    <x v="0"/>
    <x v="0"/>
    <x v="3"/>
    <x v="7"/>
    <s v="DE4-W_A"/>
    <x v="2"/>
    <x v="28"/>
    <x v="0"/>
    <x v="15"/>
    <n v="335.48387096774201"/>
    <n v="122451.61290322601"/>
    <n v="440825.80645161303"/>
  </r>
  <r>
    <x v="0"/>
    <x v="0"/>
    <x v="0"/>
    <x v="3"/>
    <x v="7"/>
    <s v="DE4-W_A"/>
    <x v="2"/>
    <x v="28"/>
    <x v="0"/>
    <x v="16"/>
    <n v="335.48387096774201"/>
    <n v="122451.61290322601"/>
    <n v="440825.80645161303"/>
  </r>
  <r>
    <x v="0"/>
    <x v="0"/>
    <x v="0"/>
    <x v="3"/>
    <x v="7"/>
    <s v="DE4-W_A"/>
    <x v="2"/>
    <x v="28"/>
    <x v="0"/>
    <x v="17"/>
    <n v="335.48387096774201"/>
    <n v="122451.61290322601"/>
    <n v="440825.80645161303"/>
  </r>
  <r>
    <x v="0"/>
    <x v="0"/>
    <x v="0"/>
    <x v="3"/>
    <x v="7"/>
    <s v="DE4-W_A"/>
    <x v="2"/>
    <x v="28"/>
    <x v="0"/>
    <x v="18"/>
    <n v="335.48387096774201"/>
    <n v="122451.61290322601"/>
    <n v="440825.80645161303"/>
  </r>
  <r>
    <x v="0"/>
    <x v="0"/>
    <x v="0"/>
    <x v="3"/>
    <x v="7"/>
    <s v="DE4-W_A"/>
    <x v="2"/>
    <x v="28"/>
    <x v="0"/>
    <x v="19"/>
    <n v="335.48387096774201"/>
    <n v="122451.61290322601"/>
    <n v="440825.80645161303"/>
  </r>
  <r>
    <x v="0"/>
    <x v="0"/>
    <x v="0"/>
    <x v="3"/>
    <x v="7"/>
    <s v="DE4-W_A"/>
    <x v="2"/>
    <x v="176"/>
    <x v="0"/>
    <x v="3"/>
    <n v="640.76923076923094"/>
    <n v="233880.76923076899"/>
    <n v="841970.76923076902"/>
  </r>
  <r>
    <x v="0"/>
    <x v="0"/>
    <x v="0"/>
    <x v="3"/>
    <x v="7"/>
    <s v="DE4-W_A"/>
    <x v="2"/>
    <x v="176"/>
    <x v="0"/>
    <x v="4"/>
    <n v="640.76923076923094"/>
    <n v="233880.76923076899"/>
    <n v="841970.76923076902"/>
  </r>
  <r>
    <x v="0"/>
    <x v="0"/>
    <x v="0"/>
    <x v="3"/>
    <x v="7"/>
    <s v="DE4-W_A"/>
    <x v="2"/>
    <x v="176"/>
    <x v="0"/>
    <x v="5"/>
    <n v="640.76923076923094"/>
    <n v="233880.76923076899"/>
    <n v="841970.76923076902"/>
  </r>
  <r>
    <x v="0"/>
    <x v="0"/>
    <x v="0"/>
    <x v="3"/>
    <x v="7"/>
    <s v="DE4-W_A"/>
    <x v="2"/>
    <x v="176"/>
    <x v="0"/>
    <x v="6"/>
    <n v="640.76923076923094"/>
    <n v="233880.76923076899"/>
    <n v="841970.76923076902"/>
  </r>
  <r>
    <x v="0"/>
    <x v="0"/>
    <x v="0"/>
    <x v="3"/>
    <x v="7"/>
    <s v="DE4-W_A"/>
    <x v="2"/>
    <x v="176"/>
    <x v="0"/>
    <x v="7"/>
    <n v="640.76923076923094"/>
    <n v="233880.76923076899"/>
    <n v="841970.76923076902"/>
  </r>
  <r>
    <x v="0"/>
    <x v="0"/>
    <x v="0"/>
    <x v="3"/>
    <x v="7"/>
    <s v="DE4-W_A"/>
    <x v="2"/>
    <x v="176"/>
    <x v="0"/>
    <x v="8"/>
    <n v="640.76923076923094"/>
    <n v="233880.76923076899"/>
    <n v="841970.76923076902"/>
  </r>
  <r>
    <x v="0"/>
    <x v="0"/>
    <x v="0"/>
    <x v="3"/>
    <x v="7"/>
    <s v="DE4-W_A"/>
    <x v="2"/>
    <x v="176"/>
    <x v="0"/>
    <x v="0"/>
    <n v="640.76923076923094"/>
    <n v="233880.76923076899"/>
    <n v="841970.76923076902"/>
  </r>
  <r>
    <x v="0"/>
    <x v="0"/>
    <x v="0"/>
    <x v="3"/>
    <x v="7"/>
    <s v="DE4-W_A"/>
    <x v="2"/>
    <x v="176"/>
    <x v="0"/>
    <x v="1"/>
    <n v="640.76923076923094"/>
    <n v="233880.76923076899"/>
    <n v="841970.76923076902"/>
  </r>
  <r>
    <x v="0"/>
    <x v="0"/>
    <x v="0"/>
    <x v="3"/>
    <x v="7"/>
    <s v="DE4-W_A"/>
    <x v="2"/>
    <x v="176"/>
    <x v="0"/>
    <x v="2"/>
    <n v="640.76923076923094"/>
    <n v="233880.76923076899"/>
    <n v="841970.76923076902"/>
  </r>
  <r>
    <x v="0"/>
    <x v="0"/>
    <x v="0"/>
    <x v="3"/>
    <x v="7"/>
    <s v="DE4-W_A"/>
    <x v="2"/>
    <x v="176"/>
    <x v="0"/>
    <x v="9"/>
    <n v="640.76923076923094"/>
    <n v="233880.76923076899"/>
    <n v="841970.76923076902"/>
  </r>
  <r>
    <x v="0"/>
    <x v="0"/>
    <x v="0"/>
    <x v="3"/>
    <x v="7"/>
    <s v="DE4-W_A"/>
    <x v="2"/>
    <x v="176"/>
    <x v="0"/>
    <x v="10"/>
    <n v="640.76923076923094"/>
    <n v="233880.76923076899"/>
    <n v="841970.76923076902"/>
  </r>
  <r>
    <x v="0"/>
    <x v="0"/>
    <x v="0"/>
    <x v="3"/>
    <x v="7"/>
    <s v="DE4-W_A"/>
    <x v="2"/>
    <x v="176"/>
    <x v="0"/>
    <x v="11"/>
    <n v="640.76923076923094"/>
    <n v="233880.76923076899"/>
    <n v="841970.76923076902"/>
  </r>
  <r>
    <x v="0"/>
    <x v="0"/>
    <x v="0"/>
    <x v="3"/>
    <x v="7"/>
    <s v="DE4-W_A"/>
    <x v="2"/>
    <x v="176"/>
    <x v="0"/>
    <x v="12"/>
    <n v="640.76923076923094"/>
    <n v="233880.76923076899"/>
    <n v="841970.76923076902"/>
  </r>
  <r>
    <x v="0"/>
    <x v="0"/>
    <x v="0"/>
    <x v="3"/>
    <x v="7"/>
    <s v="DE4-W_A"/>
    <x v="2"/>
    <x v="176"/>
    <x v="0"/>
    <x v="13"/>
    <n v="640.76923076923094"/>
    <n v="233880.76923076899"/>
    <n v="841970.76923076902"/>
  </r>
  <r>
    <x v="0"/>
    <x v="0"/>
    <x v="0"/>
    <x v="3"/>
    <x v="7"/>
    <s v="DE4-W_A"/>
    <x v="2"/>
    <x v="176"/>
    <x v="0"/>
    <x v="14"/>
    <n v="640.76923076923094"/>
    <n v="233880.76923076899"/>
    <n v="841970.76923076902"/>
  </r>
  <r>
    <x v="0"/>
    <x v="0"/>
    <x v="0"/>
    <x v="3"/>
    <x v="7"/>
    <s v="DE4-W_A"/>
    <x v="2"/>
    <x v="176"/>
    <x v="0"/>
    <x v="15"/>
    <n v="640.76923076923094"/>
    <n v="233880.76923076899"/>
    <n v="841970.76923076902"/>
  </r>
  <r>
    <x v="0"/>
    <x v="0"/>
    <x v="0"/>
    <x v="3"/>
    <x v="7"/>
    <s v="DE4-W_A"/>
    <x v="2"/>
    <x v="176"/>
    <x v="0"/>
    <x v="16"/>
    <n v="640.76923076923094"/>
    <n v="233880.76923076899"/>
    <n v="841970.76923076902"/>
  </r>
  <r>
    <x v="0"/>
    <x v="0"/>
    <x v="0"/>
    <x v="3"/>
    <x v="7"/>
    <s v="DE4-W_A"/>
    <x v="2"/>
    <x v="176"/>
    <x v="0"/>
    <x v="17"/>
    <n v="640.76923076923094"/>
    <n v="233880.76923076899"/>
    <n v="841970.76923076902"/>
  </r>
  <r>
    <x v="0"/>
    <x v="0"/>
    <x v="0"/>
    <x v="3"/>
    <x v="7"/>
    <s v="DE4-W_A"/>
    <x v="2"/>
    <x v="176"/>
    <x v="0"/>
    <x v="18"/>
    <n v="640.76923076923094"/>
    <n v="233880.76923076899"/>
    <n v="841970.76923076902"/>
  </r>
  <r>
    <x v="0"/>
    <x v="0"/>
    <x v="0"/>
    <x v="3"/>
    <x v="7"/>
    <s v="DE4-W_A"/>
    <x v="2"/>
    <x v="176"/>
    <x v="0"/>
    <x v="19"/>
    <n v="640.76923076923094"/>
    <n v="233880.76923076899"/>
    <n v="841970.76923076902"/>
  </r>
  <r>
    <x v="0"/>
    <x v="0"/>
    <x v="0"/>
    <x v="3"/>
    <x v="7"/>
    <s v="DE4-W_A"/>
    <x v="2"/>
    <x v="176"/>
    <x v="0"/>
    <x v="20"/>
    <n v="640.76923076923094"/>
    <n v="233880.76923076899"/>
    <n v="841970.76923076902"/>
  </r>
  <r>
    <x v="0"/>
    <x v="0"/>
    <x v="0"/>
    <x v="3"/>
    <x v="7"/>
    <s v="DE4-W_A"/>
    <x v="2"/>
    <x v="176"/>
    <x v="0"/>
    <x v="21"/>
    <n v="640.76923076923094"/>
    <n v="233880.76923076899"/>
    <n v="841970.76923076902"/>
  </r>
  <r>
    <x v="0"/>
    <x v="0"/>
    <x v="0"/>
    <x v="3"/>
    <x v="7"/>
    <s v="DE4-W_A"/>
    <x v="2"/>
    <x v="176"/>
    <x v="0"/>
    <x v="22"/>
    <n v="640.76923076923094"/>
    <n v="233880.76923076899"/>
    <n v="841970.76923076902"/>
  </r>
  <r>
    <x v="0"/>
    <x v="0"/>
    <x v="0"/>
    <x v="3"/>
    <x v="7"/>
    <s v="DE4-W_A"/>
    <x v="2"/>
    <x v="176"/>
    <x v="0"/>
    <x v="23"/>
    <n v="640.76923076923094"/>
    <n v="233880.76923076899"/>
    <n v="841970.76923076902"/>
  </r>
  <r>
    <x v="0"/>
    <x v="0"/>
    <x v="0"/>
    <x v="3"/>
    <x v="7"/>
    <s v="DE4-W_A"/>
    <x v="2"/>
    <x v="177"/>
    <x v="0"/>
    <x v="8"/>
    <n v="411.50078437863601"/>
    <n v="150197.786298202"/>
    <n v="540712.03067352797"/>
  </r>
  <r>
    <x v="0"/>
    <x v="0"/>
    <x v="0"/>
    <x v="3"/>
    <x v="7"/>
    <s v="DE4-W_A"/>
    <x v="2"/>
    <x v="177"/>
    <x v="0"/>
    <x v="0"/>
    <n v="1816.875"/>
    <n v="663159.375"/>
    <n v="2387373.75"/>
  </r>
  <r>
    <x v="0"/>
    <x v="0"/>
    <x v="0"/>
    <x v="3"/>
    <x v="7"/>
    <s v="DE4-W_A"/>
    <x v="2"/>
    <x v="177"/>
    <x v="0"/>
    <x v="1"/>
    <n v="1816.875"/>
    <n v="663159.375"/>
    <n v="2387373.75"/>
  </r>
  <r>
    <x v="0"/>
    <x v="0"/>
    <x v="0"/>
    <x v="3"/>
    <x v="7"/>
    <s v="DE4-W_A"/>
    <x v="2"/>
    <x v="177"/>
    <x v="0"/>
    <x v="2"/>
    <n v="1816.875"/>
    <n v="663159.375"/>
    <n v="2387373.75"/>
  </r>
  <r>
    <x v="0"/>
    <x v="0"/>
    <x v="0"/>
    <x v="3"/>
    <x v="7"/>
    <s v="DE4-W_A"/>
    <x v="2"/>
    <x v="177"/>
    <x v="0"/>
    <x v="9"/>
    <n v="1816.875"/>
    <n v="663159.375"/>
    <n v="2387373.75"/>
  </r>
  <r>
    <x v="0"/>
    <x v="0"/>
    <x v="0"/>
    <x v="3"/>
    <x v="7"/>
    <s v="DE4-W_A"/>
    <x v="2"/>
    <x v="177"/>
    <x v="0"/>
    <x v="10"/>
    <n v="1816.875"/>
    <n v="663159.375"/>
    <n v="2387373.75"/>
  </r>
  <r>
    <x v="0"/>
    <x v="0"/>
    <x v="0"/>
    <x v="3"/>
    <x v="7"/>
    <s v="DE4-W_A"/>
    <x v="2"/>
    <x v="177"/>
    <x v="0"/>
    <x v="11"/>
    <n v="1816.875"/>
    <n v="663159.375"/>
    <n v="2387373.75"/>
  </r>
  <r>
    <x v="0"/>
    <x v="0"/>
    <x v="0"/>
    <x v="3"/>
    <x v="7"/>
    <s v="DE4-W_A"/>
    <x v="2"/>
    <x v="177"/>
    <x v="0"/>
    <x v="12"/>
    <n v="1816.875"/>
    <n v="663159.375"/>
    <n v="2387373.75"/>
  </r>
  <r>
    <x v="0"/>
    <x v="0"/>
    <x v="0"/>
    <x v="3"/>
    <x v="7"/>
    <s v="DE4-W_A"/>
    <x v="2"/>
    <x v="177"/>
    <x v="0"/>
    <x v="13"/>
    <n v="1816.875"/>
    <n v="663159.375"/>
    <n v="2387373.75"/>
  </r>
  <r>
    <x v="0"/>
    <x v="0"/>
    <x v="0"/>
    <x v="3"/>
    <x v="7"/>
    <s v="DE4-W_A"/>
    <x v="2"/>
    <x v="177"/>
    <x v="0"/>
    <x v="14"/>
    <n v="1816.875"/>
    <n v="663159.375"/>
    <n v="2387373.75"/>
  </r>
  <r>
    <x v="0"/>
    <x v="0"/>
    <x v="0"/>
    <x v="3"/>
    <x v="7"/>
    <s v="DE4-W_A"/>
    <x v="2"/>
    <x v="177"/>
    <x v="0"/>
    <x v="15"/>
    <n v="1816.875"/>
    <n v="663159.375"/>
    <n v="2387373.75"/>
  </r>
  <r>
    <x v="0"/>
    <x v="0"/>
    <x v="0"/>
    <x v="3"/>
    <x v="7"/>
    <s v="DE4-W_A"/>
    <x v="2"/>
    <x v="177"/>
    <x v="0"/>
    <x v="16"/>
    <n v="1816.875"/>
    <n v="663159.375"/>
    <n v="2387373.75"/>
  </r>
  <r>
    <x v="0"/>
    <x v="0"/>
    <x v="0"/>
    <x v="3"/>
    <x v="7"/>
    <s v="DE4-W_A"/>
    <x v="2"/>
    <x v="177"/>
    <x v="0"/>
    <x v="17"/>
    <n v="1816.875"/>
    <n v="663159.375"/>
    <n v="2387373.75"/>
  </r>
  <r>
    <x v="0"/>
    <x v="0"/>
    <x v="0"/>
    <x v="3"/>
    <x v="7"/>
    <s v="DE4-W_A"/>
    <x v="2"/>
    <x v="177"/>
    <x v="0"/>
    <x v="18"/>
    <n v="1816.875"/>
    <n v="663159.375"/>
    <n v="2387373.75"/>
  </r>
  <r>
    <x v="0"/>
    <x v="0"/>
    <x v="0"/>
    <x v="3"/>
    <x v="7"/>
    <s v="DE4-W_A"/>
    <x v="2"/>
    <x v="177"/>
    <x v="0"/>
    <x v="19"/>
    <n v="1816.875"/>
    <n v="663159.375"/>
    <n v="2387373.75"/>
  </r>
  <r>
    <x v="0"/>
    <x v="0"/>
    <x v="0"/>
    <x v="3"/>
    <x v="7"/>
    <s v="DE4-W_A"/>
    <x v="2"/>
    <x v="177"/>
    <x v="0"/>
    <x v="20"/>
    <n v="1816.875"/>
    <n v="663159.375"/>
    <n v="2387373.75"/>
  </r>
  <r>
    <x v="0"/>
    <x v="0"/>
    <x v="0"/>
    <x v="3"/>
    <x v="7"/>
    <s v="DE4-W_A"/>
    <x v="2"/>
    <x v="178"/>
    <x v="0"/>
    <x v="3"/>
    <n v="2162.5"/>
    <n v="789312.5"/>
    <n v="2841525"/>
  </r>
  <r>
    <x v="0"/>
    <x v="0"/>
    <x v="0"/>
    <x v="3"/>
    <x v="7"/>
    <s v="DE4-W_A"/>
    <x v="2"/>
    <x v="178"/>
    <x v="0"/>
    <x v="4"/>
    <n v="2162.5"/>
    <n v="789312.5"/>
    <n v="2841525"/>
  </r>
  <r>
    <x v="0"/>
    <x v="0"/>
    <x v="0"/>
    <x v="3"/>
    <x v="7"/>
    <s v="DE4-W_A"/>
    <x v="2"/>
    <x v="178"/>
    <x v="0"/>
    <x v="5"/>
    <n v="2162.5"/>
    <n v="789312.5"/>
    <n v="2841525"/>
  </r>
  <r>
    <x v="0"/>
    <x v="0"/>
    <x v="0"/>
    <x v="3"/>
    <x v="7"/>
    <s v="DE4-W_A"/>
    <x v="2"/>
    <x v="178"/>
    <x v="0"/>
    <x v="6"/>
    <n v="2162.5"/>
    <n v="789312.5"/>
    <n v="2841525"/>
  </r>
  <r>
    <x v="0"/>
    <x v="0"/>
    <x v="0"/>
    <x v="3"/>
    <x v="7"/>
    <s v="DE4-W_A"/>
    <x v="2"/>
    <x v="178"/>
    <x v="0"/>
    <x v="7"/>
    <n v="2162.5"/>
    <n v="789312.5"/>
    <n v="2841525"/>
  </r>
  <r>
    <x v="0"/>
    <x v="0"/>
    <x v="0"/>
    <x v="3"/>
    <x v="7"/>
    <s v="DE4-W_A"/>
    <x v="2"/>
    <x v="178"/>
    <x v="0"/>
    <x v="8"/>
    <n v="2162.5"/>
    <n v="789312.5"/>
    <n v="2841525"/>
  </r>
  <r>
    <x v="0"/>
    <x v="0"/>
    <x v="0"/>
    <x v="3"/>
    <x v="7"/>
    <s v="DE4-W_A"/>
    <x v="2"/>
    <x v="178"/>
    <x v="0"/>
    <x v="0"/>
    <n v="2162.5"/>
    <n v="789312.5"/>
    <n v="2841525"/>
  </r>
  <r>
    <x v="0"/>
    <x v="0"/>
    <x v="0"/>
    <x v="3"/>
    <x v="7"/>
    <s v="DE4-W_A"/>
    <x v="2"/>
    <x v="178"/>
    <x v="0"/>
    <x v="1"/>
    <n v="2162.5"/>
    <n v="789312.5"/>
    <n v="2841525"/>
  </r>
  <r>
    <x v="0"/>
    <x v="0"/>
    <x v="0"/>
    <x v="3"/>
    <x v="7"/>
    <s v="DE4-W_A"/>
    <x v="2"/>
    <x v="178"/>
    <x v="0"/>
    <x v="2"/>
    <n v="2162.5"/>
    <n v="789312.5"/>
    <n v="2841525"/>
  </r>
  <r>
    <x v="0"/>
    <x v="0"/>
    <x v="0"/>
    <x v="3"/>
    <x v="7"/>
    <s v="DE4-W_A"/>
    <x v="2"/>
    <x v="178"/>
    <x v="0"/>
    <x v="9"/>
    <n v="2162.5"/>
    <n v="789312.5"/>
    <n v="2841525"/>
  </r>
  <r>
    <x v="0"/>
    <x v="0"/>
    <x v="0"/>
    <x v="3"/>
    <x v="7"/>
    <s v="DE4-W_A"/>
    <x v="2"/>
    <x v="178"/>
    <x v="0"/>
    <x v="10"/>
    <n v="2162.5"/>
    <n v="789312.5"/>
    <n v="2841525"/>
  </r>
  <r>
    <x v="0"/>
    <x v="0"/>
    <x v="0"/>
    <x v="3"/>
    <x v="7"/>
    <s v="DE4-W_A"/>
    <x v="2"/>
    <x v="178"/>
    <x v="0"/>
    <x v="11"/>
    <n v="2162.5"/>
    <n v="789312.5"/>
    <n v="2841525"/>
  </r>
  <r>
    <x v="0"/>
    <x v="0"/>
    <x v="0"/>
    <x v="3"/>
    <x v="7"/>
    <s v="DE4-W_A"/>
    <x v="2"/>
    <x v="178"/>
    <x v="0"/>
    <x v="12"/>
    <n v="2162.5"/>
    <n v="789312.5"/>
    <n v="2841525"/>
  </r>
  <r>
    <x v="0"/>
    <x v="0"/>
    <x v="0"/>
    <x v="3"/>
    <x v="7"/>
    <s v="DE4-W_A"/>
    <x v="2"/>
    <x v="178"/>
    <x v="0"/>
    <x v="13"/>
    <n v="2162.5"/>
    <n v="789312.5"/>
    <n v="2841525"/>
  </r>
  <r>
    <x v="0"/>
    <x v="0"/>
    <x v="0"/>
    <x v="3"/>
    <x v="7"/>
    <s v="DE4-W_A"/>
    <x v="2"/>
    <x v="178"/>
    <x v="0"/>
    <x v="14"/>
    <n v="2162.5"/>
    <n v="789312.5"/>
    <n v="2841525"/>
  </r>
  <r>
    <x v="0"/>
    <x v="0"/>
    <x v="0"/>
    <x v="3"/>
    <x v="7"/>
    <s v="DE4-W_A"/>
    <x v="2"/>
    <x v="178"/>
    <x v="0"/>
    <x v="15"/>
    <n v="2162.5"/>
    <n v="789312.5"/>
    <n v="2841525"/>
  </r>
  <r>
    <x v="0"/>
    <x v="0"/>
    <x v="0"/>
    <x v="3"/>
    <x v="7"/>
    <s v="DE4-W_A"/>
    <x v="2"/>
    <x v="178"/>
    <x v="0"/>
    <x v="16"/>
    <n v="2162.5"/>
    <n v="789312.5"/>
    <n v="2841525"/>
  </r>
  <r>
    <x v="0"/>
    <x v="0"/>
    <x v="0"/>
    <x v="3"/>
    <x v="7"/>
    <s v="DE4-W_A"/>
    <x v="2"/>
    <x v="178"/>
    <x v="0"/>
    <x v="17"/>
    <n v="2162.5"/>
    <n v="789312.5"/>
    <n v="2841525"/>
  </r>
  <r>
    <x v="0"/>
    <x v="0"/>
    <x v="0"/>
    <x v="3"/>
    <x v="7"/>
    <s v="DE4-W_A"/>
    <x v="2"/>
    <x v="178"/>
    <x v="0"/>
    <x v="18"/>
    <n v="2162.5"/>
    <n v="789312.5"/>
    <n v="2841525"/>
  </r>
  <r>
    <x v="0"/>
    <x v="0"/>
    <x v="0"/>
    <x v="3"/>
    <x v="7"/>
    <s v="DE4-W_A"/>
    <x v="2"/>
    <x v="178"/>
    <x v="0"/>
    <x v="19"/>
    <n v="2162.5"/>
    <n v="789312.5"/>
    <n v="2841525"/>
  </r>
  <r>
    <x v="0"/>
    <x v="0"/>
    <x v="0"/>
    <x v="3"/>
    <x v="7"/>
    <s v="DE4-W_A"/>
    <x v="2"/>
    <x v="178"/>
    <x v="0"/>
    <x v="20"/>
    <n v="2162.5"/>
    <n v="789312.5"/>
    <n v="2841525"/>
  </r>
  <r>
    <x v="0"/>
    <x v="0"/>
    <x v="0"/>
    <x v="3"/>
    <x v="7"/>
    <s v="DE4-W_A"/>
    <x v="2"/>
    <x v="178"/>
    <x v="0"/>
    <x v="21"/>
    <n v="2162.5"/>
    <n v="789312.5"/>
    <n v="2841525"/>
  </r>
  <r>
    <x v="0"/>
    <x v="0"/>
    <x v="0"/>
    <x v="3"/>
    <x v="7"/>
    <s v="DE4-W_A"/>
    <x v="2"/>
    <x v="178"/>
    <x v="0"/>
    <x v="22"/>
    <n v="2162.5"/>
    <n v="789312.5"/>
    <n v="2841525"/>
  </r>
  <r>
    <x v="0"/>
    <x v="0"/>
    <x v="0"/>
    <x v="3"/>
    <x v="7"/>
    <s v="DE4-W_A"/>
    <x v="2"/>
    <x v="178"/>
    <x v="0"/>
    <x v="23"/>
    <n v="2162.5"/>
    <n v="789312.5"/>
    <n v="2841525"/>
  </r>
  <r>
    <x v="0"/>
    <x v="0"/>
    <x v="0"/>
    <x v="3"/>
    <x v="7"/>
    <s v="DE4-W_A"/>
    <x v="2"/>
    <x v="179"/>
    <x v="0"/>
    <x v="0"/>
    <n v="617.87878787878799"/>
    <n v="225525.75757575801"/>
    <n v="811892.72727272799"/>
  </r>
  <r>
    <x v="0"/>
    <x v="0"/>
    <x v="0"/>
    <x v="3"/>
    <x v="7"/>
    <s v="DE4-W_A"/>
    <x v="2"/>
    <x v="179"/>
    <x v="0"/>
    <x v="1"/>
    <n v="617.87878787878799"/>
    <n v="225525.75757575801"/>
    <n v="811892.72727272799"/>
  </r>
  <r>
    <x v="0"/>
    <x v="0"/>
    <x v="0"/>
    <x v="3"/>
    <x v="7"/>
    <s v="DE4-W_A"/>
    <x v="2"/>
    <x v="179"/>
    <x v="0"/>
    <x v="2"/>
    <n v="617.87878787878799"/>
    <n v="225525.75757575801"/>
    <n v="811892.72727272799"/>
  </r>
  <r>
    <x v="0"/>
    <x v="0"/>
    <x v="0"/>
    <x v="3"/>
    <x v="7"/>
    <s v="DE4-W_A"/>
    <x v="2"/>
    <x v="179"/>
    <x v="0"/>
    <x v="9"/>
    <n v="617.87878787878799"/>
    <n v="225525.75757575801"/>
    <n v="811892.72727272799"/>
  </r>
  <r>
    <x v="0"/>
    <x v="0"/>
    <x v="0"/>
    <x v="3"/>
    <x v="7"/>
    <s v="DE4-W_A"/>
    <x v="2"/>
    <x v="179"/>
    <x v="0"/>
    <x v="10"/>
    <n v="617.87878787878799"/>
    <n v="225525.75757575801"/>
    <n v="811892.72727272799"/>
  </r>
  <r>
    <x v="0"/>
    <x v="0"/>
    <x v="0"/>
    <x v="3"/>
    <x v="7"/>
    <s v="DE4-W_A"/>
    <x v="2"/>
    <x v="179"/>
    <x v="0"/>
    <x v="11"/>
    <n v="617.87878787878799"/>
    <n v="225525.75757575801"/>
    <n v="811892.72727272799"/>
  </r>
  <r>
    <x v="0"/>
    <x v="0"/>
    <x v="0"/>
    <x v="3"/>
    <x v="7"/>
    <s v="DE4-W_A"/>
    <x v="2"/>
    <x v="179"/>
    <x v="0"/>
    <x v="12"/>
    <n v="617.87878787878799"/>
    <n v="225525.75757575801"/>
    <n v="811892.72727272799"/>
  </r>
  <r>
    <x v="0"/>
    <x v="0"/>
    <x v="0"/>
    <x v="3"/>
    <x v="7"/>
    <s v="DE4-W_A"/>
    <x v="2"/>
    <x v="179"/>
    <x v="0"/>
    <x v="13"/>
    <n v="617.87878787878799"/>
    <n v="225525.75757575801"/>
    <n v="811892.72727272799"/>
  </r>
  <r>
    <x v="0"/>
    <x v="0"/>
    <x v="0"/>
    <x v="3"/>
    <x v="7"/>
    <s v="DE4-W_A"/>
    <x v="2"/>
    <x v="179"/>
    <x v="0"/>
    <x v="14"/>
    <n v="617.87878787878799"/>
    <n v="225525.75757575801"/>
    <n v="811892.72727272799"/>
  </r>
  <r>
    <x v="0"/>
    <x v="0"/>
    <x v="0"/>
    <x v="3"/>
    <x v="7"/>
    <s v="DE4-W_A"/>
    <x v="2"/>
    <x v="179"/>
    <x v="0"/>
    <x v="15"/>
    <n v="617.87878787878799"/>
    <n v="225525.75757575801"/>
    <n v="811892.72727272799"/>
  </r>
  <r>
    <x v="0"/>
    <x v="0"/>
    <x v="0"/>
    <x v="3"/>
    <x v="7"/>
    <s v="DE4-W_A"/>
    <x v="2"/>
    <x v="179"/>
    <x v="0"/>
    <x v="16"/>
    <n v="617.87878787878799"/>
    <n v="225525.75757575801"/>
    <n v="811892.72727272799"/>
  </r>
  <r>
    <x v="0"/>
    <x v="0"/>
    <x v="0"/>
    <x v="3"/>
    <x v="7"/>
    <s v="DE4-W_A"/>
    <x v="2"/>
    <x v="179"/>
    <x v="0"/>
    <x v="17"/>
    <n v="617.87878787878799"/>
    <n v="225525.75757575801"/>
    <n v="811892.72727272799"/>
  </r>
  <r>
    <x v="0"/>
    <x v="0"/>
    <x v="0"/>
    <x v="3"/>
    <x v="7"/>
    <s v="DE4-W_A"/>
    <x v="2"/>
    <x v="179"/>
    <x v="0"/>
    <x v="18"/>
    <n v="617.87878787878799"/>
    <n v="225525.75757575801"/>
    <n v="811892.72727272799"/>
  </r>
  <r>
    <x v="0"/>
    <x v="0"/>
    <x v="0"/>
    <x v="3"/>
    <x v="7"/>
    <s v="DE4-W_A"/>
    <x v="2"/>
    <x v="179"/>
    <x v="0"/>
    <x v="19"/>
    <n v="617.87878787878799"/>
    <n v="225525.75757575801"/>
    <n v="811892.72727272799"/>
  </r>
  <r>
    <x v="0"/>
    <x v="0"/>
    <x v="0"/>
    <x v="3"/>
    <x v="7"/>
    <s v="DE4-W_A"/>
    <x v="2"/>
    <x v="179"/>
    <x v="0"/>
    <x v="20"/>
    <n v="617.87878787878799"/>
    <n v="225525.75757575801"/>
    <n v="811892.72727272799"/>
  </r>
  <r>
    <x v="0"/>
    <x v="0"/>
    <x v="0"/>
    <x v="3"/>
    <x v="7"/>
    <s v="DE4-W_A"/>
    <x v="2"/>
    <x v="150"/>
    <x v="0"/>
    <x v="3"/>
    <n v="5653.4210526315801"/>
    <n v="2063498.68421053"/>
    <n v="7428595.2631578902"/>
  </r>
  <r>
    <x v="0"/>
    <x v="0"/>
    <x v="0"/>
    <x v="3"/>
    <x v="7"/>
    <s v="DE4-W_A"/>
    <x v="2"/>
    <x v="150"/>
    <x v="0"/>
    <x v="4"/>
    <n v="5653.4210526315801"/>
    <n v="2063498.68421053"/>
    <n v="7428595.2631578902"/>
  </r>
  <r>
    <x v="0"/>
    <x v="0"/>
    <x v="0"/>
    <x v="3"/>
    <x v="7"/>
    <s v="DE4-W_A"/>
    <x v="2"/>
    <x v="150"/>
    <x v="0"/>
    <x v="5"/>
    <n v="5653.4210526315801"/>
    <n v="2063498.68421053"/>
    <n v="7428595.2631578902"/>
  </r>
  <r>
    <x v="0"/>
    <x v="0"/>
    <x v="0"/>
    <x v="3"/>
    <x v="7"/>
    <s v="DE4-W_A"/>
    <x v="2"/>
    <x v="150"/>
    <x v="0"/>
    <x v="6"/>
    <n v="5653.4210526315801"/>
    <n v="2063498.68421053"/>
    <n v="7428595.2631578902"/>
  </r>
  <r>
    <x v="0"/>
    <x v="0"/>
    <x v="0"/>
    <x v="3"/>
    <x v="7"/>
    <s v="DE4-W_A"/>
    <x v="2"/>
    <x v="150"/>
    <x v="0"/>
    <x v="7"/>
    <n v="5653.4210526315801"/>
    <n v="2063498.68421053"/>
    <n v="7428595.2631578902"/>
  </r>
  <r>
    <x v="0"/>
    <x v="0"/>
    <x v="0"/>
    <x v="3"/>
    <x v="7"/>
    <s v="DE4-W_A"/>
    <x v="2"/>
    <x v="150"/>
    <x v="0"/>
    <x v="8"/>
    <n v="5653.4210526315801"/>
    <n v="2063498.68421053"/>
    <n v="7428595.2631578902"/>
  </r>
  <r>
    <x v="0"/>
    <x v="0"/>
    <x v="0"/>
    <x v="3"/>
    <x v="7"/>
    <s v="DE4-W_A"/>
    <x v="2"/>
    <x v="150"/>
    <x v="0"/>
    <x v="0"/>
    <n v="5653.4210526315801"/>
    <n v="2063498.68421053"/>
    <n v="7428595.2631578902"/>
  </r>
  <r>
    <x v="0"/>
    <x v="0"/>
    <x v="0"/>
    <x v="3"/>
    <x v="7"/>
    <s v="DE4-W_A"/>
    <x v="2"/>
    <x v="150"/>
    <x v="0"/>
    <x v="1"/>
    <n v="5653.4210526315801"/>
    <n v="2063498.68421053"/>
    <n v="7428595.2631578902"/>
  </r>
  <r>
    <x v="0"/>
    <x v="0"/>
    <x v="0"/>
    <x v="3"/>
    <x v="7"/>
    <s v="DE4-W_A"/>
    <x v="2"/>
    <x v="150"/>
    <x v="0"/>
    <x v="2"/>
    <n v="5653.4210526315801"/>
    <n v="2063498.68421053"/>
    <n v="7428595.2631578902"/>
  </r>
  <r>
    <x v="0"/>
    <x v="0"/>
    <x v="0"/>
    <x v="3"/>
    <x v="7"/>
    <s v="DE4-W_A"/>
    <x v="2"/>
    <x v="150"/>
    <x v="0"/>
    <x v="9"/>
    <n v="5653.4210526315801"/>
    <n v="2063498.68421053"/>
    <n v="7428595.2631578902"/>
  </r>
  <r>
    <x v="0"/>
    <x v="0"/>
    <x v="0"/>
    <x v="3"/>
    <x v="7"/>
    <s v="DE4-W_A"/>
    <x v="2"/>
    <x v="150"/>
    <x v="0"/>
    <x v="10"/>
    <n v="5653.4210526315801"/>
    <n v="2063498.68421053"/>
    <n v="7428595.2631578902"/>
  </r>
  <r>
    <x v="0"/>
    <x v="0"/>
    <x v="0"/>
    <x v="3"/>
    <x v="7"/>
    <s v="DE4-W_A"/>
    <x v="2"/>
    <x v="150"/>
    <x v="0"/>
    <x v="11"/>
    <n v="5653.4210526315801"/>
    <n v="2063498.68421053"/>
    <n v="7428595.2631578902"/>
  </r>
  <r>
    <x v="0"/>
    <x v="0"/>
    <x v="0"/>
    <x v="3"/>
    <x v="7"/>
    <s v="DE4-W_A"/>
    <x v="2"/>
    <x v="150"/>
    <x v="0"/>
    <x v="12"/>
    <n v="5653.4210526315801"/>
    <n v="2063498.68421053"/>
    <n v="7428595.2631578902"/>
  </r>
  <r>
    <x v="0"/>
    <x v="0"/>
    <x v="0"/>
    <x v="3"/>
    <x v="7"/>
    <s v="DE4-W_A"/>
    <x v="2"/>
    <x v="150"/>
    <x v="0"/>
    <x v="13"/>
    <n v="5653.4210526315801"/>
    <n v="2063498.68421053"/>
    <n v="7428595.2631578902"/>
  </r>
  <r>
    <x v="0"/>
    <x v="0"/>
    <x v="0"/>
    <x v="3"/>
    <x v="7"/>
    <s v="DE4-W_A"/>
    <x v="2"/>
    <x v="150"/>
    <x v="0"/>
    <x v="14"/>
    <n v="5653.4210526315801"/>
    <n v="2063498.68421053"/>
    <n v="7428595.2631578902"/>
  </r>
  <r>
    <x v="0"/>
    <x v="0"/>
    <x v="0"/>
    <x v="3"/>
    <x v="7"/>
    <s v="DE4-W_A"/>
    <x v="2"/>
    <x v="150"/>
    <x v="0"/>
    <x v="15"/>
    <n v="5653.4210526315801"/>
    <n v="2063498.68421053"/>
    <n v="7428595.2631578902"/>
  </r>
  <r>
    <x v="0"/>
    <x v="0"/>
    <x v="0"/>
    <x v="3"/>
    <x v="7"/>
    <s v="DE4-W_A"/>
    <x v="2"/>
    <x v="150"/>
    <x v="0"/>
    <x v="16"/>
    <n v="5653.4210526315801"/>
    <n v="2063498.68421053"/>
    <n v="7428595.2631578902"/>
  </r>
  <r>
    <x v="0"/>
    <x v="0"/>
    <x v="0"/>
    <x v="3"/>
    <x v="7"/>
    <s v="DE4-W_A"/>
    <x v="2"/>
    <x v="150"/>
    <x v="0"/>
    <x v="17"/>
    <n v="5653.4210526315801"/>
    <n v="2063498.68421053"/>
    <n v="7428595.2631578902"/>
  </r>
  <r>
    <x v="0"/>
    <x v="0"/>
    <x v="0"/>
    <x v="3"/>
    <x v="7"/>
    <s v="DE4-W_A"/>
    <x v="2"/>
    <x v="150"/>
    <x v="0"/>
    <x v="18"/>
    <n v="5653.4210526315801"/>
    <n v="2063498.68421053"/>
    <n v="7428595.2631578902"/>
  </r>
  <r>
    <x v="0"/>
    <x v="0"/>
    <x v="0"/>
    <x v="3"/>
    <x v="7"/>
    <s v="DE4-W_A"/>
    <x v="2"/>
    <x v="150"/>
    <x v="0"/>
    <x v="19"/>
    <n v="5653.4210526315801"/>
    <n v="2063498.68421053"/>
    <n v="7428595.2631578902"/>
  </r>
  <r>
    <x v="0"/>
    <x v="0"/>
    <x v="0"/>
    <x v="3"/>
    <x v="7"/>
    <s v="DE4-W_A"/>
    <x v="2"/>
    <x v="150"/>
    <x v="0"/>
    <x v="20"/>
    <n v="5653.4210526315801"/>
    <n v="2063498.68421053"/>
    <n v="7428595.2631578902"/>
  </r>
  <r>
    <x v="0"/>
    <x v="0"/>
    <x v="0"/>
    <x v="3"/>
    <x v="7"/>
    <s v="DE4-W_A"/>
    <x v="2"/>
    <x v="150"/>
    <x v="0"/>
    <x v="21"/>
    <n v="5653.4210526315801"/>
    <n v="2063498.68421053"/>
    <n v="7428595.2631578902"/>
  </r>
  <r>
    <x v="0"/>
    <x v="0"/>
    <x v="0"/>
    <x v="3"/>
    <x v="7"/>
    <s v="DE4-W_A"/>
    <x v="2"/>
    <x v="150"/>
    <x v="0"/>
    <x v="22"/>
    <n v="5653.4210526315801"/>
    <n v="2063498.68421053"/>
    <n v="7428595.2631578902"/>
  </r>
  <r>
    <x v="0"/>
    <x v="0"/>
    <x v="0"/>
    <x v="3"/>
    <x v="7"/>
    <s v="DE4-W_A"/>
    <x v="2"/>
    <x v="150"/>
    <x v="0"/>
    <x v="23"/>
    <n v="5653.4210526315801"/>
    <n v="2063498.68421053"/>
    <n v="7428595.2631578902"/>
  </r>
  <r>
    <x v="0"/>
    <x v="0"/>
    <x v="0"/>
    <x v="3"/>
    <x v="7"/>
    <s v="DE4-W_A"/>
    <x v="2"/>
    <x v="168"/>
    <x v="0"/>
    <x v="3"/>
    <n v="6044.4444444444398"/>
    <n v="2206222.2222222202"/>
    <n v="7942400"/>
  </r>
  <r>
    <x v="0"/>
    <x v="0"/>
    <x v="0"/>
    <x v="3"/>
    <x v="7"/>
    <s v="DE4-W_A"/>
    <x v="2"/>
    <x v="168"/>
    <x v="0"/>
    <x v="4"/>
    <n v="6044.4444444444398"/>
    <n v="2206222.2222222202"/>
    <n v="7942400"/>
  </r>
  <r>
    <x v="0"/>
    <x v="0"/>
    <x v="0"/>
    <x v="3"/>
    <x v="7"/>
    <s v="DE4-W_A"/>
    <x v="2"/>
    <x v="168"/>
    <x v="0"/>
    <x v="5"/>
    <n v="6044.4444444444398"/>
    <n v="2206222.2222222202"/>
    <n v="7942400"/>
  </r>
  <r>
    <x v="0"/>
    <x v="0"/>
    <x v="0"/>
    <x v="3"/>
    <x v="7"/>
    <s v="DE4-W_A"/>
    <x v="2"/>
    <x v="168"/>
    <x v="0"/>
    <x v="6"/>
    <n v="6044.4444444444398"/>
    <n v="2206222.2222222202"/>
    <n v="7942400"/>
  </r>
  <r>
    <x v="0"/>
    <x v="0"/>
    <x v="0"/>
    <x v="3"/>
    <x v="7"/>
    <s v="DE4-W_A"/>
    <x v="2"/>
    <x v="168"/>
    <x v="0"/>
    <x v="7"/>
    <n v="6044.4444444444398"/>
    <n v="2206222.2222222202"/>
    <n v="7942400"/>
  </r>
  <r>
    <x v="0"/>
    <x v="0"/>
    <x v="0"/>
    <x v="3"/>
    <x v="7"/>
    <s v="DE4-W_A"/>
    <x v="2"/>
    <x v="168"/>
    <x v="0"/>
    <x v="8"/>
    <n v="6044.4444444444398"/>
    <n v="2206222.2222222202"/>
    <n v="7942400"/>
  </r>
  <r>
    <x v="0"/>
    <x v="0"/>
    <x v="0"/>
    <x v="3"/>
    <x v="7"/>
    <s v="DE4-W_A"/>
    <x v="2"/>
    <x v="168"/>
    <x v="0"/>
    <x v="0"/>
    <n v="6044.4444444444398"/>
    <n v="2206222.2222222202"/>
    <n v="7942400"/>
  </r>
  <r>
    <x v="0"/>
    <x v="0"/>
    <x v="0"/>
    <x v="3"/>
    <x v="7"/>
    <s v="DE4-W_A"/>
    <x v="2"/>
    <x v="168"/>
    <x v="0"/>
    <x v="1"/>
    <n v="6044.4444444444398"/>
    <n v="2206222.2222222202"/>
    <n v="7942400"/>
  </r>
  <r>
    <x v="0"/>
    <x v="0"/>
    <x v="0"/>
    <x v="3"/>
    <x v="7"/>
    <s v="DE4-W_A"/>
    <x v="2"/>
    <x v="168"/>
    <x v="0"/>
    <x v="2"/>
    <n v="6044.4444444444398"/>
    <n v="2206222.2222222202"/>
    <n v="7942400"/>
  </r>
  <r>
    <x v="0"/>
    <x v="0"/>
    <x v="0"/>
    <x v="3"/>
    <x v="7"/>
    <s v="DE4-W_A"/>
    <x v="2"/>
    <x v="168"/>
    <x v="0"/>
    <x v="9"/>
    <n v="6044.4444444444398"/>
    <n v="2206222.2222222202"/>
    <n v="7942400"/>
  </r>
  <r>
    <x v="0"/>
    <x v="0"/>
    <x v="0"/>
    <x v="3"/>
    <x v="7"/>
    <s v="DE4-W_A"/>
    <x v="2"/>
    <x v="168"/>
    <x v="0"/>
    <x v="10"/>
    <n v="6044.4444444444398"/>
    <n v="2206222.2222222202"/>
    <n v="7942400"/>
  </r>
  <r>
    <x v="0"/>
    <x v="0"/>
    <x v="0"/>
    <x v="3"/>
    <x v="7"/>
    <s v="DE4-W_A"/>
    <x v="2"/>
    <x v="168"/>
    <x v="0"/>
    <x v="11"/>
    <n v="6044.4444444444398"/>
    <n v="2206222.2222222202"/>
    <n v="7942400"/>
  </r>
  <r>
    <x v="0"/>
    <x v="0"/>
    <x v="0"/>
    <x v="3"/>
    <x v="7"/>
    <s v="DE4-W_A"/>
    <x v="2"/>
    <x v="168"/>
    <x v="0"/>
    <x v="12"/>
    <n v="6044.4444444444398"/>
    <n v="2206222.2222222202"/>
    <n v="7942400"/>
  </r>
  <r>
    <x v="0"/>
    <x v="0"/>
    <x v="0"/>
    <x v="3"/>
    <x v="7"/>
    <s v="DE4-W_A"/>
    <x v="2"/>
    <x v="168"/>
    <x v="0"/>
    <x v="13"/>
    <n v="6044.4444444444398"/>
    <n v="2206222.2222222202"/>
    <n v="7942400"/>
  </r>
  <r>
    <x v="0"/>
    <x v="0"/>
    <x v="0"/>
    <x v="3"/>
    <x v="7"/>
    <s v="DE4-W_A"/>
    <x v="2"/>
    <x v="168"/>
    <x v="0"/>
    <x v="14"/>
    <n v="6044.4444444444398"/>
    <n v="2206222.2222222202"/>
    <n v="7942400"/>
  </r>
  <r>
    <x v="0"/>
    <x v="0"/>
    <x v="0"/>
    <x v="3"/>
    <x v="7"/>
    <s v="DE4-W_A"/>
    <x v="2"/>
    <x v="168"/>
    <x v="0"/>
    <x v="15"/>
    <n v="6044.4444444444398"/>
    <n v="2206222.2222222202"/>
    <n v="7942400"/>
  </r>
  <r>
    <x v="0"/>
    <x v="0"/>
    <x v="0"/>
    <x v="3"/>
    <x v="7"/>
    <s v="DE4-W_A"/>
    <x v="2"/>
    <x v="168"/>
    <x v="0"/>
    <x v="16"/>
    <n v="6044.4444444444398"/>
    <n v="2206222.2222222202"/>
    <n v="7942400"/>
  </r>
  <r>
    <x v="0"/>
    <x v="0"/>
    <x v="0"/>
    <x v="3"/>
    <x v="7"/>
    <s v="DE4-W_A"/>
    <x v="2"/>
    <x v="168"/>
    <x v="0"/>
    <x v="17"/>
    <n v="6044.4444444444398"/>
    <n v="2206222.2222222202"/>
    <n v="7942400"/>
  </r>
  <r>
    <x v="0"/>
    <x v="0"/>
    <x v="0"/>
    <x v="3"/>
    <x v="7"/>
    <s v="DE4-W_A"/>
    <x v="2"/>
    <x v="168"/>
    <x v="0"/>
    <x v="18"/>
    <n v="6044.4444444444398"/>
    <n v="2206222.2222222202"/>
    <n v="7942400"/>
  </r>
  <r>
    <x v="0"/>
    <x v="0"/>
    <x v="0"/>
    <x v="3"/>
    <x v="7"/>
    <s v="DE4-W_A"/>
    <x v="2"/>
    <x v="168"/>
    <x v="0"/>
    <x v="19"/>
    <n v="6044.4444444444398"/>
    <n v="2206222.2222222202"/>
    <n v="7942400"/>
  </r>
  <r>
    <x v="0"/>
    <x v="0"/>
    <x v="0"/>
    <x v="3"/>
    <x v="7"/>
    <s v="DE4-W_A"/>
    <x v="2"/>
    <x v="168"/>
    <x v="0"/>
    <x v="20"/>
    <n v="6044.4444444444398"/>
    <n v="2206222.2222222202"/>
    <n v="7942400"/>
  </r>
  <r>
    <x v="0"/>
    <x v="0"/>
    <x v="0"/>
    <x v="3"/>
    <x v="7"/>
    <s v="DE4-W_A"/>
    <x v="2"/>
    <x v="168"/>
    <x v="0"/>
    <x v="21"/>
    <n v="6044.4444444444398"/>
    <n v="2206222.2222222202"/>
    <n v="7942400"/>
  </r>
  <r>
    <x v="0"/>
    <x v="0"/>
    <x v="0"/>
    <x v="3"/>
    <x v="7"/>
    <s v="DE4-W_A"/>
    <x v="2"/>
    <x v="168"/>
    <x v="0"/>
    <x v="22"/>
    <n v="6044.4444444444398"/>
    <n v="2206222.2222222202"/>
    <n v="7942400"/>
  </r>
  <r>
    <x v="0"/>
    <x v="0"/>
    <x v="0"/>
    <x v="3"/>
    <x v="7"/>
    <s v="DE4-W_A"/>
    <x v="2"/>
    <x v="168"/>
    <x v="0"/>
    <x v="23"/>
    <n v="6044.4444444444398"/>
    <n v="2206222.2222222202"/>
    <n v="7942400"/>
  </r>
  <r>
    <x v="0"/>
    <x v="0"/>
    <x v="0"/>
    <x v="3"/>
    <x v="7"/>
    <s v="DE4-W_A"/>
    <x v="2"/>
    <x v="180"/>
    <x v="0"/>
    <x v="3"/>
    <n v="102.051282051282"/>
    <n v="37248.717948717902"/>
    <n v="134095.384615385"/>
  </r>
  <r>
    <x v="0"/>
    <x v="0"/>
    <x v="0"/>
    <x v="3"/>
    <x v="7"/>
    <s v="DE4-W_A"/>
    <x v="2"/>
    <x v="180"/>
    <x v="0"/>
    <x v="4"/>
    <n v="102.051282051282"/>
    <n v="37248.717948717902"/>
    <n v="134095.384615385"/>
  </r>
  <r>
    <x v="0"/>
    <x v="0"/>
    <x v="0"/>
    <x v="3"/>
    <x v="7"/>
    <s v="DE4-W_A"/>
    <x v="2"/>
    <x v="180"/>
    <x v="0"/>
    <x v="5"/>
    <n v="102.051282051282"/>
    <n v="37248.717948717902"/>
    <n v="134095.384615385"/>
  </r>
  <r>
    <x v="0"/>
    <x v="0"/>
    <x v="0"/>
    <x v="3"/>
    <x v="7"/>
    <s v="DE4-W_A"/>
    <x v="2"/>
    <x v="180"/>
    <x v="0"/>
    <x v="6"/>
    <n v="102.051282051282"/>
    <n v="37248.717948717902"/>
    <n v="134095.384615385"/>
  </r>
  <r>
    <x v="0"/>
    <x v="0"/>
    <x v="0"/>
    <x v="3"/>
    <x v="7"/>
    <s v="DE4-W_A"/>
    <x v="2"/>
    <x v="180"/>
    <x v="0"/>
    <x v="7"/>
    <n v="102.051282051282"/>
    <n v="37248.717948717902"/>
    <n v="134095.384615385"/>
  </r>
  <r>
    <x v="0"/>
    <x v="0"/>
    <x v="0"/>
    <x v="3"/>
    <x v="7"/>
    <s v="DE4-W_A"/>
    <x v="2"/>
    <x v="180"/>
    <x v="0"/>
    <x v="8"/>
    <n v="102.051282051282"/>
    <n v="37248.717948717902"/>
    <n v="134095.384615385"/>
  </r>
  <r>
    <x v="0"/>
    <x v="0"/>
    <x v="0"/>
    <x v="3"/>
    <x v="7"/>
    <s v="DE4-W_A"/>
    <x v="2"/>
    <x v="180"/>
    <x v="0"/>
    <x v="0"/>
    <n v="102.051282051282"/>
    <n v="37248.717948717902"/>
    <n v="134095.384615385"/>
  </r>
  <r>
    <x v="0"/>
    <x v="0"/>
    <x v="0"/>
    <x v="3"/>
    <x v="7"/>
    <s v="DE4-W_A"/>
    <x v="2"/>
    <x v="180"/>
    <x v="0"/>
    <x v="1"/>
    <n v="102.051282051282"/>
    <n v="37248.717948717902"/>
    <n v="134095.384615385"/>
  </r>
  <r>
    <x v="0"/>
    <x v="0"/>
    <x v="0"/>
    <x v="3"/>
    <x v="7"/>
    <s v="DE4-W_A"/>
    <x v="2"/>
    <x v="180"/>
    <x v="0"/>
    <x v="2"/>
    <n v="102.051282051282"/>
    <n v="37248.717948717902"/>
    <n v="134095.384615385"/>
  </r>
  <r>
    <x v="0"/>
    <x v="0"/>
    <x v="0"/>
    <x v="3"/>
    <x v="7"/>
    <s v="DE4-W_A"/>
    <x v="2"/>
    <x v="180"/>
    <x v="0"/>
    <x v="9"/>
    <n v="102.051282051282"/>
    <n v="37248.717948717902"/>
    <n v="134095.384615385"/>
  </r>
  <r>
    <x v="0"/>
    <x v="0"/>
    <x v="0"/>
    <x v="3"/>
    <x v="7"/>
    <s v="DE4-W_A"/>
    <x v="2"/>
    <x v="180"/>
    <x v="0"/>
    <x v="10"/>
    <n v="102.051282051282"/>
    <n v="37248.717948717902"/>
    <n v="134095.384615385"/>
  </r>
  <r>
    <x v="0"/>
    <x v="0"/>
    <x v="0"/>
    <x v="3"/>
    <x v="7"/>
    <s v="DE4-W_A"/>
    <x v="2"/>
    <x v="180"/>
    <x v="0"/>
    <x v="11"/>
    <n v="102.051282051282"/>
    <n v="37248.717948717902"/>
    <n v="134095.384615385"/>
  </r>
  <r>
    <x v="0"/>
    <x v="0"/>
    <x v="0"/>
    <x v="3"/>
    <x v="7"/>
    <s v="DE4-W_A"/>
    <x v="2"/>
    <x v="180"/>
    <x v="0"/>
    <x v="12"/>
    <n v="102.051282051282"/>
    <n v="37248.717948717902"/>
    <n v="134095.384615385"/>
  </r>
  <r>
    <x v="0"/>
    <x v="0"/>
    <x v="0"/>
    <x v="3"/>
    <x v="7"/>
    <s v="DE4-W_A"/>
    <x v="2"/>
    <x v="180"/>
    <x v="0"/>
    <x v="13"/>
    <n v="102.051282051282"/>
    <n v="37248.717948717902"/>
    <n v="134095.384615385"/>
  </r>
  <r>
    <x v="0"/>
    <x v="0"/>
    <x v="0"/>
    <x v="3"/>
    <x v="7"/>
    <s v="DE4-W_A"/>
    <x v="2"/>
    <x v="180"/>
    <x v="0"/>
    <x v="14"/>
    <n v="102.051282051282"/>
    <n v="37248.717948717902"/>
    <n v="134095.384615385"/>
  </r>
  <r>
    <x v="0"/>
    <x v="0"/>
    <x v="0"/>
    <x v="3"/>
    <x v="7"/>
    <s v="DE4-W_A"/>
    <x v="2"/>
    <x v="180"/>
    <x v="0"/>
    <x v="15"/>
    <n v="102.051282051282"/>
    <n v="37248.717948717902"/>
    <n v="134095.384615385"/>
  </r>
  <r>
    <x v="0"/>
    <x v="0"/>
    <x v="0"/>
    <x v="3"/>
    <x v="7"/>
    <s v="DE4-W_A"/>
    <x v="2"/>
    <x v="180"/>
    <x v="0"/>
    <x v="16"/>
    <n v="102.051282051282"/>
    <n v="37248.717948717902"/>
    <n v="134095.384615385"/>
  </r>
  <r>
    <x v="0"/>
    <x v="0"/>
    <x v="0"/>
    <x v="3"/>
    <x v="7"/>
    <s v="DE4-W_A"/>
    <x v="2"/>
    <x v="180"/>
    <x v="0"/>
    <x v="17"/>
    <n v="102.051282051282"/>
    <n v="37248.717948717902"/>
    <n v="134095.384615385"/>
  </r>
  <r>
    <x v="0"/>
    <x v="0"/>
    <x v="0"/>
    <x v="3"/>
    <x v="7"/>
    <s v="DE4-W_A"/>
    <x v="2"/>
    <x v="180"/>
    <x v="0"/>
    <x v="18"/>
    <n v="102.051282051282"/>
    <n v="37248.717948717902"/>
    <n v="134095.384615385"/>
  </r>
  <r>
    <x v="0"/>
    <x v="0"/>
    <x v="0"/>
    <x v="3"/>
    <x v="7"/>
    <s v="DE4-W_A"/>
    <x v="2"/>
    <x v="180"/>
    <x v="0"/>
    <x v="19"/>
    <n v="102.051282051282"/>
    <n v="37248.717948717902"/>
    <n v="134095.384615385"/>
  </r>
  <r>
    <x v="0"/>
    <x v="0"/>
    <x v="0"/>
    <x v="3"/>
    <x v="7"/>
    <s v="DE4-W_A"/>
    <x v="2"/>
    <x v="180"/>
    <x v="0"/>
    <x v="20"/>
    <n v="102.051282051282"/>
    <n v="37248.717948717902"/>
    <n v="134095.384615385"/>
  </r>
  <r>
    <x v="0"/>
    <x v="0"/>
    <x v="0"/>
    <x v="3"/>
    <x v="7"/>
    <s v="DE4-W_A"/>
    <x v="2"/>
    <x v="180"/>
    <x v="0"/>
    <x v="21"/>
    <n v="102.051282051282"/>
    <n v="37248.717948717902"/>
    <n v="134095.384615385"/>
  </r>
  <r>
    <x v="0"/>
    <x v="0"/>
    <x v="0"/>
    <x v="3"/>
    <x v="7"/>
    <s v="DE4-W_A"/>
    <x v="2"/>
    <x v="180"/>
    <x v="0"/>
    <x v="22"/>
    <n v="102.051282051282"/>
    <n v="37248.717948717902"/>
    <n v="134095.384615385"/>
  </r>
  <r>
    <x v="0"/>
    <x v="0"/>
    <x v="0"/>
    <x v="3"/>
    <x v="7"/>
    <s v="DE4-W_A"/>
    <x v="2"/>
    <x v="180"/>
    <x v="0"/>
    <x v="23"/>
    <n v="102.051282051282"/>
    <n v="37248.717948717902"/>
    <n v="134095.384615385"/>
  </r>
  <r>
    <x v="0"/>
    <x v="0"/>
    <x v="0"/>
    <x v="3"/>
    <x v="7"/>
    <s v="DE4-W_A"/>
    <x v="18"/>
    <x v="161"/>
    <x v="0"/>
    <x v="3"/>
    <n v="8169.69696969697"/>
    <n v="2981939.3939393898"/>
    <n v="10734981.8181818"/>
  </r>
  <r>
    <x v="0"/>
    <x v="0"/>
    <x v="0"/>
    <x v="3"/>
    <x v="7"/>
    <s v="DE4-W_A"/>
    <x v="18"/>
    <x v="161"/>
    <x v="0"/>
    <x v="4"/>
    <n v="8169.69696969697"/>
    <n v="2981939.3939393898"/>
    <n v="10734981.8181818"/>
  </r>
  <r>
    <x v="0"/>
    <x v="0"/>
    <x v="0"/>
    <x v="3"/>
    <x v="7"/>
    <s v="DE4-W_A"/>
    <x v="18"/>
    <x v="161"/>
    <x v="0"/>
    <x v="5"/>
    <n v="8169.69696969697"/>
    <n v="2981939.3939393898"/>
    <n v="10734981.8181818"/>
  </r>
  <r>
    <x v="0"/>
    <x v="0"/>
    <x v="0"/>
    <x v="3"/>
    <x v="7"/>
    <s v="DE4-W_A"/>
    <x v="18"/>
    <x v="161"/>
    <x v="0"/>
    <x v="6"/>
    <n v="8169.69696969697"/>
    <n v="2981939.3939393898"/>
    <n v="10734981.8181818"/>
  </r>
  <r>
    <x v="0"/>
    <x v="0"/>
    <x v="0"/>
    <x v="3"/>
    <x v="7"/>
    <s v="DE4-W_A"/>
    <x v="18"/>
    <x v="161"/>
    <x v="0"/>
    <x v="7"/>
    <n v="8169.69696969697"/>
    <n v="2981939.3939393898"/>
    <n v="10734981.8181818"/>
  </r>
  <r>
    <x v="0"/>
    <x v="0"/>
    <x v="0"/>
    <x v="3"/>
    <x v="7"/>
    <s v="DE4-W_A"/>
    <x v="18"/>
    <x v="161"/>
    <x v="0"/>
    <x v="8"/>
    <n v="8169.69696969697"/>
    <n v="2981939.3939393898"/>
    <n v="10734981.8181818"/>
  </r>
  <r>
    <x v="0"/>
    <x v="0"/>
    <x v="0"/>
    <x v="3"/>
    <x v="7"/>
    <s v="DE4-W_A"/>
    <x v="18"/>
    <x v="161"/>
    <x v="0"/>
    <x v="0"/>
    <n v="8169.69696969697"/>
    <n v="2981939.3939393898"/>
    <n v="10734981.8181818"/>
  </r>
  <r>
    <x v="0"/>
    <x v="0"/>
    <x v="0"/>
    <x v="3"/>
    <x v="7"/>
    <s v="DE4-W_A"/>
    <x v="18"/>
    <x v="161"/>
    <x v="0"/>
    <x v="1"/>
    <n v="8169.69696969697"/>
    <n v="2981939.3939393898"/>
    <n v="10734981.8181818"/>
  </r>
  <r>
    <x v="0"/>
    <x v="0"/>
    <x v="0"/>
    <x v="3"/>
    <x v="7"/>
    <s v="DE4-W_A"/>
    <x v="18"/>
    <x v="161"/>
    <x v="0"/>
    <x v="2"/>
    <n v="8169.69696969697"/>
    <n v="2981939.3939393898"/>
    <n v="10734981.8181818"/>
  </r>
  <r>
    <x v="0"/>
    <x v="0"/>
    <x v="0"/>
    <x v="3"/>
    <x v="7"/>
    <s v="DE4-W_A"/>
    <x v="18"/>
    <x v="161"/>
    <x v="0"/>
    <x v="9"/>
    <n v="8169.69696969697"/>
    <n v="2981939.3939393898"/>
    <n v="10734981.8181818"/>
  </r>
  <r>
    <x v="0"/>
    <x v="0"/>
    <x v="0"/>
    <x v="3"/>
    <x v="7"/>
    <s v="DE4-W_A"/>
    <x v="18"/>
    <x v="161"/>
    <x v="0"/>
    <x v="10"/>
    <n v="8169.69696969697"/>
    <n v="2981939.3939393898"/>
    <n v="10734981.8181818"/>
  </r>
  <r>
    <x v="0"/>
    <x v="0"/>
    <x v="0"/>
    <x v="3"/>
    <x v="7"/>
    <s v="DE4-W_A"/>
    <x v="18"/>
    <x v="161"/>
    <x v="0"/>
    <x v="11"/>
    <n v="8169.69696969697"/>
    <n v="2981939.3939393898"/>
    <n v="10734981.8181818"/>
  </r>
  <r>
    <x v="0"/>
    <x v="0"/>
    <x v="0"/>
    <x v="3"/>
    <x v="7"/>
    <s v="DE4-W_A"/>
    <x v="18"/>
    <x v="161"/>
    <x v="0"/>
    <x v="12"/>
    <n v="8169.69696969697"/>
    <n v="2981939.3939393898"/>
    <n v="10734981.8181818"/>
  </r>
  <r>
    <x v="0"/>
    <x v="0"/>
    <x v="0"/>
    <x v="3"/>
    <x v="7"/>
    <s v="DE4-W_A"/>
    <x v="18"/>
    <x v="161"/>
    <x v="0"/>
    <x v="13"/>
    <n v="8169.69696969697"/>
    <n v="2981939.3939393898"/>
    <n v="10734981.8181818"/>
  </r>
  <r>
    <x v="0"/>
    <x v="0"/>
    <x v="0"/>
    <x v="3"/>
    <x v="7"/>
    <s v="DE4-W_A"/>
    <x v="18"/>
    <x v="161"/>
    <x v="0"/>
    <x v="14"/>
    <n v="8169.69696969697"/>
    <n v="2981939.3939393898"/>
    <n v="10734981.8181818"/>
  </r>
  <r>
    <x v="0"/>
    <x v="0"/>
    <x v="0"/>
    <x v="3"/>
    <x v="7"/>
    <s v="DE4-W_A"/>
    <x v="18"/>
    <x v="161"/>
    <x v="0"/>
    <x v="15"/>
    <n v="8169.69696969697"/>
    <n v="2981939.3939393898"/>
    <n v="10734981.8181818"/>
  </r>
  <r>
    <x v="0"/>
    <x v="0"/>
    <x v="0"/>
    <x v="3"/>
    <x v="7"/>
    <s v="DE4-W_A"/>
    <x v="18"/>
    <x v="161"/>
    <x v="0"/>
    <x v="16"/>
    <n v="8169.69696969697"/>
    <n v="2981939.3939393898"/>
    <n v="10734981.8181818"/>
  </r>
  <r>
    <x v="0"/>
    <x v="0"/>
    <x v="0"/>
    <x v="3"/>
    <x v="7"/>
    <s v="DE4-W_A"/>
    <x v="18"/>
    <x v="161"/>
    <x v="0"/>
    <x v="17"/>
    <n v="8169.69696969697"/>
    <n v="2981939.3939393898"/>
    <n v="10734981.8181818"/>
  </r>
  <r>
    <x v="0"/>
    <x v="0"/>
    <x v="0"/>
    <x v="3"/>
    <x v="7"/>
    <s v="DE4-W_A"/>
    <x v="18"/>
    <x v="161"/>
    <x v="0"/>
    <x v="18"/>
    <n v="8169.69696969697"/>
    <n v="2981939.3939393898"/>
    <n v="10734981.8181818"/>
  </r>
  <r>
    <x v="0"/>
    <x v="0"/>
    <x v="0"/>
    <x v="3"/>
    <x v="7"/>
    <s v="DE4-W_A"/>
    <x v="18"/>
    <x v="161"/>
    <x v="0"/>
    <x v="19"/>
    <n v="8169.69696969697"/>
    <n v="2981939.3939393898"/>
    <n v="10734981.8181818"/>
  </r>
  <r>
    <x v="0"/>
    <x v="0"/>
    <x v="0"/>
    <x v="3"/>
    <x v="7"/>
    <s v="DE4-W_A"/>
    <x v="18"/>
    <x v="161"/>
    <x v="0"/>
    <x v="20"/>
    <n v="8169.69696969697"/>
    <n v="2981939.3939393898"/>
    <n v="10734981.8181818"/>
  </r>
  <r>
    <x v="0"/>
    <x v="0"/>
    <x v="0"/>
    <x v="3"/>
    <x v="7"/>
    <s v="DE4-W_A"/>
    <x v="18"/>
    <x v="161"/>
    <x v="0"/>
    <x v="21"/>
    <n v="8169.69696969697"/>
    <n v="2981939.3939393898"/>
    <n v="10734981.8181818"/>
  </r>
  <r>
    <x v="0"/>
    <x v="0"/>
    <x v="0"/>
    <x v="3"/>
    <x v="7"/>
    <s v="DE4-W_A"/>
    <x v="18"/>
    <x v="161"/>
    <x v="0"/>
    <x v="22"/>
    <n v="8169.69696969697"/>
    <n v="2981939.3939393898"/>
    <n v="10734981.8181818"/>
  </r>
  <r>
    <x v="0"/>
    <x v="0"/>
    <x v="0"/>
    <x v="3"/>
    <x v="7"/>
    <s v="DE4-W_A"/>
    <x v="18"/>
    <x v="161"/>
    <x v="0"/>
    <x v="23"/>
    <n v="8169.69696969697"/>
    <n v="2981939.3939393898"/>
    <n v="10734981.8181818"/>
  </r>
  <r>
    <x v="0"/>
    <x v="0"/>
    <x v="0"/>
    <x v="3"/>
    <x v="7"/>
    <s v="DE4-W_A"/>
    <x v="6"/>
    <x v="45"/>
    <x v="0"/>
    <x v="2"/>
    <n v="214.82182741120599"/>
    <n v="78409.967005090104"/>
    <n v="282275.88121832401"/>
  </r>
  <r>
    <x v="0"/>
    <x v="0"/>
    <x v="0"/>
    <x v="3"/>
    <x v="7"/>
    <s v="DE4-W_A"/>
    <x v="6"/>
    <x v="45"/>
    <x v="0"/>
    <x v="9"/>
    <n v="1617.2227827674401"/>
    <n v="590286.31571011397"/>
    <n v="2125030.7365564099"/>
  </r>
  <r>
    <x v="0"/>
    <x v="0"/>
    <x v="0"/>
    <x v="3"/>
    <x v="7"/>
    <s v="DE4-W_A"/>
    <x v="6"/>
    <x v="45"/>
    <x v="0"/>
    <x v="10"/>
    <n v="3735.6964961610201"/>
    <n v="1363529.2210987699"/>
    <n v="4908705.1959555801"/>
  </r>
  <r>
    <x v="0"/>
    <x v="0"/>
    <x v="0"/>
    <x v="3"/>
    <x v="7"/>
    <s v="DE4-W_A"/>
    <x v="6"/>
    <x v="45"/>
    <x v="0"/>
    <x v="11"/>
    <n v="5688.9226500075201"/>
    <n v="2076456.76725274"/>
    <n v="7475244.36210988"/>
  </r>
  <r>
    <x v="0"/>
    <x v="0"/>
    <x v="0"/>
    <x v="3"/>
    <x v="7"/>
    <s v="DE4-W_A"/>
    <x v="6"/>
    <x v="45"/>
    <x v="0"/>
    <x v="12"/>
    <n v="6467.78948067276"/>
    <n v="2360743.1604455598"/>
    <n v="8498675.3776040096"/>
  </r>
  <r>
    <x v="0"/>
    <x v="0"/>
    <x v="0"/>
    <x v="3"/>
    <x v="7"/>
    <s v="DE4-W_A"/>
    <x v="6"/>
    <x v="45"/>
    <x v="0"/>
    <x v="13"/>
    <n v="5623.92527658567"/>
    <n v="2052732.7259537701"/>
    <n v="7389837.8134335699"/>
  </r>
  <r>
    <x v="0"/>
    <x v="0"/>
    <x v="0"/>
    <x v="3"/>
    <x v="7"/>
    <s v="DE4-W_A"/>
    <x v="6"/>
    <x v="45"/>
    <x v="0"/>
    <x v="14"/>
    <n v="3659.68261876936"/>
    <n v="1335784.15585082"/>
    <n v="4808822.9610629398"/>
  </r>
  <r>
    <x v="0"/>
    <x v="0"/>
    <x v="0"/>
    <x v="3"/>
    <x v="7"/>
    <s v="DE4-W_A"/>
    <x v="6"/>
    <x v="45"/>
    <x v="0"/>
    <x v="15"/>
    <n v="1852.9759677212701"/>
    <n v="676336.22821826395"/>
    <n v="2434810.4215857498"/>
  </r>
  <r>
    <x v="0"/>
    <x v="0"/>
    <x v="0"/>
    <x v="3"/>
    <x v="7"/>
    <s v="DE4-W_A"/>
    <x v="6"/>
    <x v="45"/>
    <x v="0"/>
    <x v="16"/>
    <n v="241.261436938739"/>
    <n v="88060.424482639603"/>
    <n v="317017.52813750302"/>
  </r>
  <r>
    <x v="0"/>
    <x v="0"/>
    <x v="0"/>
    <x v="3"/>
    <x v="7"/>
    <s v="DE4-W_A"/>
    <x v="7"/>
    <x v="46"/>
    <x v="0"/>
    <x v="3"/>
    <n v="198.90753424657501"/>
    <n v="72601.25"/>
    <n v="261364.5"/>
  </r>
  <r>
    <x v="0"/>
    <x v="0"/>
    <x v="0"/>
    <x v="3"/>
    <x v="7"/>
    <s v="DE4-W_A"/>
    <x v="7"/>
    <x v="46"/>
    <x v="0"/>
    <x v="4"/>
    <n v="198.90753424657501"/>
    <n v="72601.25"/>
    <n v="261364.5"/>
  </r>
  <r>
    <x v="0"/>
    <x v="0"/>
    <x v="0"/>
    <x v="3"/>
    <x v="7"/>
    <s v="DE4-W_A"/>
    <x v="7"/>
    <x v="46"/>
    <x v="0"/>
    <x v="5"/>
    <n v="198.90753424657501"/>
    <n v="72601.25"/>
    <n v="261364.5"/>
  </r>
  <r>
    <x v="0"/>
    <x v="0"/>
    <x v="0"/>
    <x v="3"/>
    <x v="7"/>
    <s v="DE4-W_A"/>
    <x v="7"/>
    <x v="46"/>
    <x v="0"/>
    <x v="6"/>
    <n v="198.90753424657501"/>
    <n v="72601.25"/>
    <n v="261364.5"/>
  </r>
  <r>
    <x v="0"/>
    <x v="0"/>
    <x v="0"/>
    <x v="3"/>
    <x v="7"/>
    <s v="DE4-W_A"/>
    <x v="7"/>
    <x v="46"/>
    <x v="0"/>
    <x v="7"/>
    <n v="198.90753424657501"/>
    <n v="72601.25"/>
    <n v="261364.5"/>
  </r>
  <r>
    <x v="0"/>
    <x v="0"/>
    <x v="0"/>
    <x v="3"/>
    <x v="7"/>
    <s v="DE4-W_A"/>
    <x v="7"/>
    <x v="46"/>
    <x v="0"/>
    <x v="8"/>
    <n v="198.90753424657501"/>
    <n v="72601.25"/>
    <n v="261364.5"/>
  </r>
  <r>
    <x v="0"/>
    <x v="0"/>
    <x v="0"/>
    <x v="3"/>
    <x v="7"/>
    <s v="DE4-W_A"/>
    <x v="7"/>
    <x v="46"/>
    <x v="0"/>
    <x v="0"/>
    <n v="198.90753424657501"/>
    <n v="72601.25"/>
    <n v="261364.5"/>
  </r>
  <r>
    <x v="0"/>
    <x v="0"/>
    <x v="0"/>
    <x v="3"/>
    <x v="7"/>
    <s v="DE4-W_A"/>
    <x v="7"/>
    <x v="46"/>
    <x v="0"/>
    <x v="1"/>
    <n v="198.90753424657501"/>
    <n v="72601.25"/>
    <n v="261364.5"/>
  </r>
  <r>
    <x v="0"/>
    <x v="0"/>
    <x v="0"/>
    <x v="3"/>
    <x v="7"/>
    <s v="DE4-W_A"/>
    <x v="7"/>
    <x v="46"/>
    <x v="0"/>
    <x v="2"/>
    <n v="198.90753424657501"/>
    <n v="72601.25"/>
    <n v="261364.5"/>
  </r>
  <r>
    <x v="0"/>
    <x v="0"/>
    <x v="0"/>
    <x v="3"/>
    <x v="7"/>
    <s v="DE4-W_A"/>
    <x v="7"/>
    <x v="46"/>
    <x v="0"/>
    <x v="9"/>
    <n v="198.90753424657501"/>
    <n v="72601.25"/>
    <n v="261364.5"/>
  </r>
  <r>
    <x v="0"/>
    <x v="0"/>
    <x v="0"/>
    <x v="3"/>
    <x v="7"/>
    <s v="DE4-W_A"/>
    <x v="7"/>
    <x v="46"/>
    <x v="0"/>
    <x v="10"/>
    <n v="198.90753424657501"/>
    <n v="72601.25"/>
    <n v="261364.5"/>
  </r>
  <r>
    <x v="0"/>
    <x v="0"/>
    <x v="0"/>
    <x v="3"/>
    <x v="7"/>
    <s v="DE4-W_A"/>
    <x v="7"/>
    <x v="46"/>
    <x v="0"/>
    <x v="11"/>
    <n v="198.90753424657501"/>
    <n v="72601.25"/>
    <n v="261364.5"/>
  </r>
  <r>
    <x v="0"/>
    <x v="0"/>
    <x v="0"/>
    <x v="3"/>
    <x v="7"/>
    <s v="DE4-W_A"/>
    <x v="7"/>
    <x v="46"/>
    <x v="0"/>
    <x v="12"/>
    <n v="198.90753424657501"/>
    <n v="72601.25"/>
    <n v="261364.5"/>
  </r>
  <r>
    <x v="0"/>
    <x v="0"/>
    <x v="0"/>
    <x v="3"/>
    <x v="7"/>
    <s v="DE4-W_A"/>
    <x v="7"/>
    <x v="46"/>
    <x v="0"/>
    <x v="13"/>
    <n v="198.90753424657501"/>
    <n v="72601.25"/>
    <n v="261364.5"/>
  </r>
  <r>
    <x v="0"/>
    <x v="0"/>
    <x v="0"/>
    <x v="3"/>
    <x v="7"/>
    <s v="DE4-W_A"/>
    <x v="7"/>
    <x v="46"/>
    <x v="0"/>
    <x v="14"/>
    <n v="198.90753424657501"/>
    <n v="72601.25"/>
    <n v="261364.5"/>
  </r>
  <r>
    <x v="0"/>
    <x v="0"/>
    <x v="0"/>
    <x v="3"/>
    <x v="7"/>
    <s v="DE4-W_A"/>
    <x v="7"/>
    <x v="46"/>
    <x v="0"/>
    <x v="15"/>
    <n v="198.90753424657501"/>
    <n v="72601.25"/>
    <n v="261364.5"/>
  </r>
  <r>
    <x v="0"/>
    <x v="0"/>
    <x v="0"/>
    <x v="3"/>
    <x v="7"/>
    <s v="DE4-W_A"/>
    <x v="7"/>
    <x v="46"/>
    <x v="0"/>
    <x v="16"/>
    <n v="198.90753424657501"/>
    <n v="72601.25"/>
    <n v="261364.5"/>
  </r>
  <r>
    <x v="0"/>
    <x v="0"/>
    <x v="0"/>
    <x v="3"/>
    <x v="7"/>
    <s v="DE4-W_A"/>
    <x v="7"/>
    <x v="46"/>
    <x v="0"/>
    <x v="17"/>
    <n v="198.90753424657501"/>
    <n v="72601.25"/>
    <n v="261364.5"/>
  </r>
  <r>
    <x v="0"/>
    <x v="0"/>
    <x v="0"/>
    <x v="3"/>
    <x v="7"/>
    <s v="DE4-W_A"/>
    <x v="7"/>
    <x v="46"/>
    <x v="0"/>
    <x v="18"/>
    <n v="198.90753424657501"/>
    <n v="72601.25"/>
    <n v="261364.5"/>
  </r>
  <r>
    <x v="0"/>
    <x v="0"/>
    <x v="0"/>
    <x v="3"/>
    <x v="7"/>
    <s v="DE4-W_A"/>
    <x v="7"/>
    <x v="46"/>
    <x v="0"/>
    <x v="19"/>
    <n v="198.90753424657501"/>
    <n v="72601.25"/>
    <n v="261364.5"/>
  </r>
  <r>
    <x v="0"/>
    <x v="0"/>
    <x v="0"/>
    <x v="3"/>
    <x v="7"/>
    <s v="DE4-W_A"/>
    <x v="7"/>
    <x v="46"/>
    <x v="0"/>
    <x v="20"/>
    <n v="198.90753424657501"/>
    <n v="72601.25"/>
    <n v="261364.5"/>
  </r>
  <r>
    <x v="0"/>
    <x v="0"/>
    <x v="0"/>
    <x v="3"/>
    <x v="7"/>
    <s v="DE4-W_A"/>
    <x v="7"/>
    <x v="46"/>
    <x v="0"/>
    <x v="21"/>
    <n v="198.90753424657501"/>
    <n v="72601.25"/>
    <n v="261364.5"/>
  </r>
  <r>
    <x v="0"/>
    <x v="0"/>
    <x v="0"/>
    <x v="3"/>
    <x v="7"/>
    <s v="DE4-W_A"/>
    <x v="7"/>
    <x v="46"/>
    <x v="0"/>
    <x v="22"/>
    <n v="198.90753424657501"/>
    <n v="72601.25"/>
    <n v="261364.5"/>
  </r>
  <r>
    <x v="0"/>
    <x v="0"/>
    <x v="0"/>
    <x v="3"/>
    <x v="7"/>
    <s v="DE4-W_A"/>
    <x v="7"/>
    <x v="46"/>
    <x v="0"/>
    <x v="23"/>
    <n v="198.90753424657501"/>
    <n v="72601.25"/>
    <n v="261364.5"/>
  </r>
  <r>
    <x v="0"/>
    <x v="0"/>
    <x v="0"/>
    <x v="3"/>
    <x v="7"/>
    <s v="DE4-W_A"/>
    <x v="8"/>
    <x v="47"/>
    <x v="0"/>
    <x v="3"/>
    <n v="2767.70001359974"/>
    <n v="1010210.5049639"/>
    <n v="3636757.8178700502"/>
  </r>
  <r>
    <x v="0"/>
    <x v="0"/>
    <x v="0"/>
    <x v="3"/>
    <x v="7"/>
    <s v="DE4-W_A"/>
    <x v="8"/>
    <x v="47"/>
    <x v="0"/>
    <x v="4"/>
    <n v="2678.0034735968702"/>
    <n v="977471.26786285802"/>
    <n v="3518896.5643062899"/>
  </r>
  <r>
    <x v="0"/>
    <x v="0"/>
    <x v="0"/>
    <x v="3"/>
    <x v="7"/>
    <s v="DE4-W_A"/>
    <x v="8"/>
    <x v="47"/>
    <x v="0"/>
    <x v="5"/>
    <n v="2601.5680236971002"/>
    <n v="949572.32864943997"/>
    <n v="3418460.3831379898"/>
  </r>
  <r>
    <x v="0"/>
    <x v="0"/>
    <x v="0"/>
    <x v="3"/>
    <x v="7"/>
    <s v="DE4-W_A"/>
    <x v="8"/>
    <x v="47"/>
    <x v="0"/>
    <x v="6"/>
    <n v="2470.4305771220702"/>
    <n v="901707.16064955399"/>
    <n v="3246145.7783383899"/>
  </r>
  <r>
    <x v="0"/>
    <x v="0"/>
    <x v="0"/>
    <x v="3"/>
    <x v="7"/>
    <s v="DE4-W_A"/>
    <x v="8"/>
    <x v="47"/>
    <x v="0"/>
    <x v="7"/>
    <n v="2250.3333177721202"/>
    <n v="821371.66098682198"/>
    <n v="2956937.97955256"/>
  </r>
  <r>
    <x v="0"/>
    <x v="0"/>
    <x v="0"/>
    <x v="3"/>
    <x v="7"/>
    <s v="DE4-W_A"/>
    <x v="8"/>
    <x v="47"/>
    <x v="0"/>
    <x v="8"/>
    <n v="2053.4429661025802"/>
    <n v="749506.68262744194"/>
    <n v="2698224.05745879"/>
  </r>
  <r>
    <x v="0"/>
    <x v="0"/>
    <x v="0"/>
    <x v="3"/>
    <x v="7"/>
    <s v="DE4-W_A"/>
    <x v="8"/>
    <x v="47"/>
    <x v="0"/>
    <x v="0"/>
    <n v="1692.63080621425"/>
    <n v="617810.24426820199"/>
    <n v="2224116.8793655299"/>
  </r>
  <r>
    <x v="0"/>
    <x v="0"/>
    <x v="0"/>
    <x v="3"/>
    <x v="7"/>
    <s v="DE4-W_A"/>
    <x v="8"/>
    <x v="47"/>
    <x v="0"/>
    <x v="1"/>
    <n v="1636.82371869707"/>
    <n v="597440.65732442995"/>
    <n v="2150786.3663679501"/>
  </r>
  <r>
    <x v="0"/>
    <x v="0"/>
    <x v="0"/>
    <x v="3"/>
    <x v="7"/>
    <s v="DE4-W_A"/>
    <x v="8"/>
    <x v="47"/>
    <x v="0"/>
    <x v="2"/>
    <n v="1759.6729839576701"/>
    <n v="642280.63914454903"/>
    <n v="2312210.3009203798"/>
  </r>
  <r>
    <x v="0"/>
    <x v="0"/>
    <x v="0"/>
    <x v="3"/>
    <x v="7"/>
    <s v="DE4-W_A"/>
    <x v="8"/>
    <x v="47"/>
    <x v="0"/>
    <x v="9"/>
    <n v="1897.9935210052099"/>
    <n v="692767.63516690198"/>
    <n v="2493963.4866008498"/>
  </r>
  <r>
    <x v="0"/>
    <x v="0"/>
    <x v="0"/>
    <x v="3"/>
    <x v="7"/>
    <s v="DE4-W_A"/>
    <x v="8"/>
    <x v="47"/>
    <x v="0"/>
    <x v="10"/>
    <n v="2189.92168508025"/>
    <n v="799321.41505428997"/>
    <n v="2877557.0941954399"/>
  </r>
  <r>
    <x v="0"/>
    <x v="0"/>
    <x v="0"/>
    <x v="3"/>
    <x v="7"/>
    <s v="DE4-W_A"/>
    <x v="8"/>
    <x v="47"/>
    <x v="0"/>
    <x v="11"/>
    <n v="2412.4133079210301"/>
    <n v="880530.85739117698"/>
    <n v="3169911.0866082399"/>
  </r>
  <r>
    <x v="0"/>
    <x v="0"/>
    <x v="0"/>
    <x v="3"/>
    <x v="7"/>
    <s v="DE4-W_A"/>
    <x v="8"/>
    <x v="47"/>
    <x v="0"/>
    <x v="12"/>
    <n v="2968.6423650229999"/>
    <n v="1083554.4632333899"/>
    <n v="3900796.0676402198"/>
  </r>
  <r>
    <x v="0"/>
    <x v="0"/>
    <x v="0"/>
    <x v="3"/>
    <x v="7"/>
    <s v="DE4-W_A"/>
    <x v="8"/>
    <x v="47"/>
    <x v="0"/>
    <x v="13"/>
    <n v="3469.06433460778"/>
    <n v="1266208.48213184"/>
    <n v="4558350.5356746204"/>
  </r>
  <r>
    <x v="0"/>
    <x v="0"/>
    <x v="0"/>
    <x v="3"/>
    <x v="7"/>
    <s v="DE4-W_A"/>
    <x v="8"/>
    <x v="47"/>
    <x v="0"/>
    <x v="14"/>
    <n v="4039.2912090407799"/>
    <n v="1474341.29129989"/>
    <n v="5307628.6486795899"/>
  </r>
  <r>
    <x v="0"/>
    <x v="0"/>
    <x v="0"/>
    <x v="3"/>
    <x v="7"/>
    <s v="DE4-W_A"/>
    <x v="8"/>
    <x v="47"/>
    <x v="0"/>
    <x v="15"/>
    <n v="4602.1508111942903"/>
    <n v="1679785.04608592"/>
    <n v="6047226.1659092996"/>
  </r>
  <r>
    <x v="0"/>
    <x v="0"/>
    <x v="0"/>
    <x v="3"/>
    <x v="7"/>
    <s v="DE4-W_A"/>
    <x v="8"/>
    <x v="47"/>
    <x v="0"/>
    <x v="16"/>
    <n v="5353.6125837029003"/>
    <n v="1954068.59305156"/>
    <n v="7034646.93498562"/>
  </r>
  <r>
    <x v="0"/>
    <x v="0"/>
    <x v="0"/>
    <x v="3"/>
    <x v="7"/>
    <s v="DE4-W_A"/>
    <x v="8"/>
    <x v="47"/>
    <x v="0"/>
    <x v="17"/>
    <n v="6040.0581783449597"/>
    <n v="2204621.2350959098"/>
    <n v="7936636.4463452799"/>
  </r>
  <r>
    <x v="0"/>
    <x v="0"/>
    <x v="0"/>
    <x v="3"/>
    <x v="7"/>
    <s v="DE4-W_A"/>
    <x v="8"/>
    <x v="47"/>
    <x v="0"/>
    <x v="18"/>
    <n v="6775.6803154526597"/>
    <n v="2473123.3151402199"/>
    <n v="8903243.9345047995"/>
  </r>
  <r>
    <x v="0"/>
    <x v="0"/>
    <x v="0"/>
    <x v="3"/>
    <x v="7"/>
    <s v="DE4-W_A"/>
    <x v="8"/>
    <x v="47"/>
    <x v="0"/>
    <x v="19"/>
    <n v="7514.9860887000996"/>
    <n v="2742969.9223755398"/>
    <n v="9874691.7205519397"/>
  </r>
  <r>
    <x v="0"/>
    <x v="0"/>
    <x v="0"/>
    <x v="3"/>
    <x v="7"/>
    <s v="DE4-W_A"/>
    <x v="8"/>
    <x v="47"/>
    <x v="0"/>
    <x v="20"/>
    <n v="8146.3613230529299"/>
    <n v="2973421.8829143201"/>
    <n v="10704318.778491501"/>
  </r>
  <r>
    <x v="0"/>
    <x v="0"/>
    <x v="0"/>
    <x v="3"/>
    <x v="7"/>
    <s v="DE4-W_A"/>
    <x v="8"/>
    <x v="47"/>
    <x v="0"/>
    <x v="21"/>
    <n v="8840.9109172024291"/>
    <n v="3226932.4847788899"/>
    <n v="11616956.945204001"/>
  </r>
  <r>
    <x v="0"/>
    <x v="0"/>
    <x v="0"/>
    <x v="3"/>
    <x v="7"/>
    <s v="DE4-W_A"/>
    <x v="8"/>
    <x v="47"/>
    <x v="0"/>
    <x v="22"/>
    <n v="9717.4321366554905"/>
    <n v="3546862.7298792601"/>
    <n v="12768705.827565299"/>
  </r>
  <r>
    <x v="0"/>
    <x v="0"/>
    <x v="0"/>
    <x v="3"/>
    <x v="7"/>
    <s v="DE4-W_A"/>
    <x v="8"/>
    <x v="47"/>
    <x v="0"/>
    <x v="23"/>
    <n v="10289.1324655444"/>
    <n v="3755533.3499237099"/>
    <n v="13519920.059725299"/>
  </r>
  <r>
    <x v="0"/>
    <x v="0"/>
    <x v="0"/>
    <x v="3"/>
    <x v="7"/>
    <s v="DE4-W_Offshore_A"/>
    <x v="8"/>
    <x v="48"/>
    <x v="0"/>
    <x v="3"/>
    <n v="36.174357536637203"/>
    <n v="13203.6405008726"/>
    <n v="47533.105803141203"/>
  </r>
  <r>
    <x v="0"/>
    <x v="0"/>
    <x v="0"/>
    <x v="3"/>
    <x v="7"/>
    <s v="DE4-W_Offshore_A"/>
    <x v="8"/>
    <x v="48"/>
    <x v="0"/>
    <x v="4"/>
    <n v="35.002006959652903"/>
    <n v="12775.7325402733"/>
    <n v="45992.637144983899"/>
  </r>
  <r>
    <x v="0"/>
    <x v="0"/>
    <x v="0"/>
    <x v="3"/>
    <x v="7"/>
    <s v="DE4-W_Offshore_A"/>
    <x v="8"/>
    <x v="48"/>
    <x v="0"/>
    <x v="5"/>
    <n v="34.002981313968199"/>
    <n v="12411.088179598401"/>
    <n v="44679.917446554202"/>
  </r>
  <r>
    <x v="0"/>
    <x v="0"/>
    <x v="0"/>
    <x v="3"/>
    <x v="7"/>
    <s v="DE4-W_Offshore_A"/>
    <x v="8"/>
    <x v="48"/>
    <x v="0"/>
    <x v="6"/>
    <n v="32.288990326672902"/>
    <n v="11785.481469235599"/>
    <n v="42427.733289248303"/>
  </r>
  <r>
    <x v="0"/>
    <x v="0"/>
    <x v="0"/>
    <x v="3"/>
    <x v="7"/>
    <s v="DE4-W_Offshore_A"/>
    <x v="8"/>
    <x v="48"/>
    <x v="0"/>
    <x v="7"/>
    <n v="29.412277925243401"/>
    <n v="10735.481442713801"/>
    <n v="38647.733193769898"/>
  </r>
  <r>
    <x v="0"/>
    <x v="0"/>
    <x v="0"/>
    <x v="3"/>
    <x v="7"/>
    <s v="DE4-W_Offshore_A"/>
    <x v="8"/>
    <x v="48"/>
    <x v="0"/>
    <x v="8"/>
    <n v="26.838884153588101"/>
    <n v="9796.1927160596406"/>
    <n v="35266.293777814702"/>
  </r>
  <r>
    <x v="0"/>
    <x v="0"/>
    <x v="0"/>
    <x v="3"/>
    <x v="7"/>
    <s v="DE4-W_Offshore_A"/>
    <x v="8"/>
    <x v="48"/>
    <x v="0"/>
    <x v="0"/>
    <n v="22.123001647813599"/>
    <n v="8074.8956014519799"/>
    <n v="29069.624165227098"/>
  </r>
  <r>
    <x v="0"/>
    <x v="0"/>
    <x v="0"/>
    <x v="3"/>
    <x v="7"/>
    <s v="DE4-W_Offshore_A"/>
    <x v="8"/>
    <x v="48"/>
    <x v="0"/>
    <x v="1"/>
    <n v="21.393592561928202"/>
    <n v="7808.6612851037798"/>
    <n v="28111.1806263736"/>
  </r>
  <r>
    <x v="0"/>
    <x v="0"/>
    <x v="0"/>
    <x v="3"/>
    <x v="7"/>
    <s v="DE4-W_Offshore_A"/>
    <x v="8"/>
    <x v="48"/>
    <x v="0"/>
    <x v="2"/>
    <n v="22.999255467161198"/>
    <n v="8394.7282455138393"/>
    <n v="30221.021683849802"/>
  </r>
  <r>
    <x v="0"/>
    <x v="0"/>
    <x v="0"/>
    <x v="3"/>
    <x v="7"/>
    <s v="DE4-W_Offshore_A"/>
    <x v="8"/>
    <x v="48"/>
    <x v="0"/>
    <x v="9"/>
    <n v="24.807130792243701"/>
    <n v="9054.6027391689495"/>
    <n v="32596.5698610082"/>
  </r>
  <r>
    <x v="0"/>
    <x v="0"/>
    <x v="0"/>
    <x v="3"/>
    <x v="7"/>
    <s v="DE4-W_Offshore_A"/>
    <x v="8"/>
    <x v="48"/>
    <x v="0"/>
    <x v="10"/>
    <n v="28.6226865715456"/>
    <n v="10447.280598614099"/>
    <n v="37610.2101550109"/>
  </r>
  <r>
    <x v="0"/>
    <x v="0"/>
    <x v="0"/>
    <x v="3"/>
    <x v="7"/>
    <s v="DE4-W_Offshore_A"/>
    <x v="8"/>
    <x v="48"/>
    <x v="0"/>
    <x v="11"/>
    <n v="31.5306937522375"/>
    <n v="11508.7032195667"/>
    <n v="41431.331590440102"/>
  </r>
  <r>
    <x v="0"/>
    <x v="0"/>
    <x v="0"/>
    <x v="3"/>
    <x v="7"/>
    <s v="DE4-W_Offshore_A"/>
    <x v="8"/>
    <x v="48"/>
    <x v="0"/>
    <x v="12"/>
    <n v="38.800711703967401"/>
    <n v="14162.2597719481"/>
    <n v="50984.135179013101"/>
  </r>
  <r>
    <x v="0"/>
    <x v="0"/>
    <x v="0"/>
    <x v="3"/>
    <x v="7"/>
    <s v="DE4-W_Offshore_A"/>
    <x v="8"/>
    <x v="48"/>
    <x v="0"/>
    <x v="13"/>
    <n v="45.3413205698117"/>
    <n v="16549.582007981298"/>
    <n v="59578.495228732601"/>
  </r>
  <r>
    <x v="0"/>
    <x v="0"/>
    <x v="0"/>
    <x v="3"/>
    <x v="7"/>
    <s v="DE4-W_Offshore_A"/>
    <x v="8"/>
    <x v="48"/>
    <x v="0"/>
    <x v="14"/>
    <n v="52.794292615691099"/>
    <n v="19269.9168047272"/>
    <n v="69371.700497018101"/>
  </r>
  <r>
    <x v="0"/>
    <x v="0"/>
    <x v="0"/>
    <x v="3"/>
    <x v="7"/>
    <s v="DE4-W_Offshore_A"/>
    <x v="8"/>
    <x v="48"/>
    <x v="0"/>
    <x v="15"/>
    <n v="60.150973033070699"/>
    <n v="21955.1051570708"/>
    <n v="79038.378565454899"/>
  </r>
  <r>
    <x v="0"/>
    <x v="0"/>
    <x v="0"/>
    <x v="3"/>
    <x v="7"/>
    <s v="DE4-W_Offshore_A"/>
    <x v="8"/>
    <x v="48"/>
    <x v="0"/>
    <x v="16"/>
    <n v="69.972719140043395"/>
    <n v="25540.042486115799"/>
    <n v="91944.152950017102"/>
  </r>
  <r>
    <x v="0"/>
    <x v="0"/>
    <x v="0"/>
    <x v="3"/>
    <x v="7"/>
    <s v="DE4-W_Offshore_A"/>
    <x v="8"/>
    <x v="48"/>
    <x v="0"/>
    <x v="17"/>
    <n v="78.944691625505996"/>
    <n v="28814.8124433097"/>
    <n v="103733.324795915"/>
  </r>
  <r>
    <x v="0"/>
    <x v="0"/>
    <x v="0"/>
    <x v="3"/>
    <x v="7"/>
    <s v="DE4-W_Offshore_A"/>
    <x v="8"/>
    <x v="48"/>
    <x v="0"/>
    <x v="18"/>
    <n v="88.559410731204395"/>
    <n v="32324.184916889601"/>
    <n v="116367.065700803"/>
  </r>
  <r>
    <x v="0"/>
    <x v="0"/>
    <x v="0"/>
    <x v="3"/>
    <x v="7"/>
    <s v="DE4-W_Offshore_A"/>
    <x v="8"/>
    <x v="48"/>
    <x v="0"/>
    <x v="19"/>
    <n v="98.2222756511526"/>
    <n v="35851.130612670699"/>
    <n v="129064.070205614"/>
  </r>
  <r>
    <x v="0"/>
    <x v="0"/>
    <x v="0"/>
    <x v="3"/>
    <x v="7"/>
    <s v="DE4-W_Offshore_A"/>
    <x v="8"/>
    <x v="48"/>
    <x v="0"/>
    <x v="20"/>
    <n v="106.47446821358"/>
    <n v="38863.180897956598"/>
    <n v="139907.451232644"/>
  </r>
  <r>
    <x v="0"/>
    <x v="0"/>
    <x v="0"/>
    <x v="3"/>
    <x v="7"/>
    <s v="DE4-W_Offshore_A"/>
    <x v="8"/>
    <x v="48"/>
    <x v="0"/>
    <x v="21"/>
    <n v="115.552361490392"/>
    <n v="42176.611943993099"/>
    <n v="151835.802998375"/>
  </r>
  <r>
    <x v="0"/>
    <x v="0"/>
    <x v="0"/>
    <x v="3"/>
    <x v="7"/>
    <s v="DE4-W_Offshore_A"/>
    <x v="8"/>
    <x v="48"/>
    <x v="0"/>
    <x v="22"/>
    <n v="127.008657991148"/>
    <n v="46358.160166768903"/>
    <n v="166889.37660036801"/>
  </r>
  <r>
    <x v="0"/>
    <x v="0"/>
    <x v="0"/>
    <x v="3"/>
    <x v="7"/>
    <s v="DE4-W_Offshore_A"/>
    <x v="8"/>
    <x v="48"/>
    <x v="0"/>
    <x v="23"/>
    <n v="134.480888362727"/>
    <n v="49085.5242523954"/>
    <n v="176707.887308623"/>
  </r>
  <r>
    <x v="0"/>
    <x v="0"/>
    <x v="0"/>
    <x v="4"/>
    <x v="8"/>
    <s v="LV_Other_DH"/>
    <x v="2"/>
    <x v="181"/>
    <x v="0"/>
    <x v="0"/>
    <n v="423.28641456582602"/>
    <n v="154499.541316527"/>
    <n v="556198.34873949597"/>
  </r>
  <r>
    <x v="0"/>
    <x v="0"/>
    <x v="0"/>
    <x v="4"/>
    <x v="8"/>
    <s v="LV_Other_DH"/>
    <x v="2"/>
    <x v="181"/>
    <x v="0"/>
    <x v="1"/>
    <n v="423.28641456582602"/>
    <n v="154499.541316527"/>
    <n v="556198.34873949597"/>
  </r>
  <r>
    <x v="0"/>
    <x v="0"/>
    <x v="0"/>
    <x v="4"/>
    <x v="8"/>
    <s v="LV_Other_DH"/>
    <x v="2"/>
    <x v="181"/>
    <x v="0"/>
    <x v="2"/>
    <n v="423.28641456582602"/>
    <n v="154499.541316527"/>
    <n v="556198.34873949597"/>
  </r>
  <r>
    <x v="0"/>
    <x v="0"/>
    <x v="0"/>
    <x v="4"/>
    <x v="8"/>
    <s v="LV_Other_DH"/>
    <x v="2"/>
    <x v="181"/>
    <x v="0"/>
    <x v="9"/>
    <n v="423.28641456582602"/>
    <n v="154499.541316527"/>
    <n v="556198.34873949597"/>
  </r>
  <r>
    <x v="0"/>
    <x v="0"/>
    <x v="0"/>
    <x v="4"/>
    <x v="8"/>
    <s v="LV_Other_DH"/>
    <x v="2"/>
    <x v="181"/>
    <x v="0"/>
    <x v="10"/>
    <n v="423.28641456582602"/>
    <n v="154499.541316527"/>
    <n v="556198.34873949597"/>
  </r>
  <r>
    <x v="0"/>
    <x v="0"/>
    <x v="0"/>
    <x v="4"/>
    <x v="8"/>
    <s v="LV_Other_DH"/>
    <x v="2"/>
    <x v="181"/>
    <x v="0"/>
    <x v="11"/>
    <n v="423.28641456582602"/>
    <n v="154499.541316527"/>
    <n v="556198.34873949597"/>
  </r>
  <r>
    <x v="0"/>
    <x v="0"/>
    <x v="0"/>
    <x v="4"/>
    <x v="8"/>
    <s v="LV_Other_DH"/>
    <x v="2"/>
    <x v="181"/>
    <x v="0"/>
    <x v="12"/>
    <n v="423.28641456582602"/>
    <n v="154499.541316527"/>
    <n v="556198.34873949597"/>
  </r>
  <r>
    <x v="0"/>
    <x v="0"/>
    <x v="0"/>
    <x v="4"/>
    <x v="8"/>
    <s v="LV_Other_DH"/>
    <x v="2"/>
    <x v="181"/>
    <x v="0"/>
    <x v="14"/>
    <n v="423.28641456582602"/>
    <n v="154499.541316527"/>
    <n v="556198.34873949597"/>
  </r>
  <r>
    <x v="0"/>
    <x v="0"/>
    <x v="0"/>
    <x v="4"/>
    <x v="8"/>
    <s v="LV_Other_DH"/>
    <x v="2"/>
    <x v="181"/>
    <x v="0"/>
    <x v="15"/>
    <n v="423.28641456582602"/>
    <n v="154499.541316527"/>
    <n v="556198.34873949597"/>
  </r>
  <r>
    <x v="0"/>
    <x v="0"/>
    <x v="0"/>
    <x v="4"/>
    <x v="8"/>
    <s v="LV_Other_DH"/>
    <x v="2"/>
    <x v="181"/>
    <x v="0"/>
    <x v="16"/>
    <n v="423.28641456582602"/>
    <n v="154499.541316527"/>
    <n v="556198.34873949597"/>
  </r>
  <r>
    <x v="0"/>
    <x v="0"/>
    <x v="0"/>
    <x v="4"/>
    <x v="8"/>
    <s v="LV_Other_DH"/>
    <x v="2"/>
    <x v="181"/>
    <x v="0"/>
    <x v="17"/>
    <n v="423.28641456582602"/>
    <n v="154499.541316527"/>
    <n v="556198.34873949597"/>
  </r>
  <r>
    <x v="0"/>
    <x v="0"/>
    <x v="0"/>
    <x v="4"/>
    <x v="8"/>
    <s v="LV_Other_DH"/>
    <x v="2"/>
    <x v="181"/>
    <x v="0"/>
    <x v="18"/>
    <n v="423.28641456582602"/>
    <n v="154499.541316527"/>
    <n v="556198.34873949597"/>
  </r>
  <r>
    <x v="0"/>
    <x v="0"/>
    <x v="0"/>
    <x v="4"/>
    <x v="8"/>
    <s v="LV_Other_DH"/>
    <x v="13"/>
    <x v="182"/>
    <x v="0"/>
    <x v="3"/>
    <n v="177.64705882352899"/>
    <n v="64841.176470588201"/>
    <n v="233428.235294118"/>
  </r>
  <r>
    <x v="0"/>
    <x v="0"/>
    <x v="0"/>
    <x v="4"/>
    <x v="8"/>
    <s v="LV_Other_DH"/>
    <x v="13"/>
    <x v="182"/>
    <x v="0"/>
    <x v="4"/>
    <n v="177.64705882352899"/>
    <n v="64841.176470588201"/>
    <n v="233428.235294118"/>
  </r>
  <r>
    <x v="0"/>
    <x v="0"/>
    <x v="0"/>
    <x v="4"/>
    <x v="8"/>
    <s v="LV_Other_DH"/>
    <x v="13"/>
    <x v="182"/>
    <x v="0"/>
    <x v="5"/>
    <n v="177.64705882352899"/>
    <n v="64841.176470588201"/>
    <n v="233428.235294118"/>
  </r>
  <r>
    <x v="0"/>
    <x v="0"/>
    <x v="0"/>
    <x v="4"/>
    <x v="8"/>
    <s v="LV_Other_DH"/>
    <x v="13"/>
    <x v="182"/>
    <x v="0"/>
    <x v="6"/>
    <n v="177.64705882352899"/>
    <n v="64841.176470588201"/>
    <n v="233428.235294118"/>
  </r>
  <r>
    <x v="0"/>
    <x v="0"/>
    <x v="0"/>
    <x v="4"/>
    <x v="8"/>
    <s v="LV_Other_DH"/>
    <x v="13"/>
    <x v="182"/>
    <x v="0"/>
    <x v="7"/>
    <n v="177.64705882352899"/>
    <n v="64841.176470588201"/>
    <n v="233428.235294118"/>
  </r>
  <r>
    <x v="0"/>
    <x v="0"/>
    <x v="0"/>
    <x v="4"/>
    <x v="8"/>
    <s v="LV_Other_DH"/>
    <x v="13"/>
    <x v="182"/>
    <x v="0"/>
    <x v="8"/>
    <n v="177.64705882352899"/>
    <n v="64841.176470588201"/>
    <n v="233428.235294118"/>
  </r>
  <r>
    <x v="0"/>
    <x v="0"/>
    <x v="0"/>
    <x v="4"/>
    <x v="8"/>
    <s v="LV_Other_DH"/>
    <x v="13"/>
    <x v="182"/>
    <x v="0"/>
    <x v="0"/>
    <n v="177.64705882352899"/>
    <n v="64841.176470588201"/>
    <n v="233428.235294118"/>
  </r>
  <r>
    <x v="0"/>
    <x v="0"/>
    <x v="0"/>
    <x v="4"/>
    <x v="8"/>
    <s v="LV_Other_DH"/>
    <x v="13"/>
    <x v="182"/>
    <x v="0"/>
    <x v="1"/>
    <n v="177.64705882352899"/>
    <n v="64841.176470588201"/>
    <n v="233428.235294118"/>
  </r>
  <r>
    <x v="0"/>
    <x v="0"/>
    <x v="0"/>
    <x v="4"/>
    <x v="8"/>
    <s v="LV_Other_DH"/>
    <x v="13"/>
    <x v="182"/>
    <x v="0"/>
    <x v="2"/>
    <n v="177.64705882352899"/>
    <n v="64841.176470588201"/>
    <n v="233428.235294118"/>
  </r>
  <r>
    <x v="0"/>
    <x v="0"/>
    <x v="0"/>
    <x v="4"/>
    <x v="8"/>
    <s v="LV_Other_DH"/>
    <x v="13"/>
    <x v="182"/>
    <x v="0"/>
    <x v="9"/>
    <n v="177.64705882352899"/>
    <n v="64841.176470588201"/>
    <n v="233428.235294118"/>
  </r>
  <r>
    <x v="0"/>
    <x v="0"/>
    <x v="0"/>
    <x v="4"/>
    <x v="8"/>
    <s v="LV_Other_DH"/>
    <x v="13"/>
    <x v="182"/>
    <x v="0"/>
    <x v="10"/>
    <n v="177.64705882352899"/>
    <n v="64841.176470588201"/>
    <n v="233428.235294118"/>
  </r>
  <r>
    <x v="0"/>
    <x v="0"/>
    <x v="0"/>
    <x v="4"/>
    <x v="8"/>
    <s v="LV_Other_DH"/>
    <x v="13"/>
    <x v="182"/>
    <x v="0"/>
    <x v="11"/>
    <n v="177.64705882352899"/>
    <n v="64841.176470588201"/>
    <n v="233428.235294118"/>
  </r>
  <r>
    <x v="0"/>
    <x v="0"/>
    <x v="0"/>
    <x v="4"/>
    <x v="8"/>
    <s v="LV_Other_DH"/>
    <x v="13"/>
    <x v="182"/>
    <x v="0"/>
    <x v="12"/>
    <n v="177.64705882352899"/>
    <n v="64841.176470588201"/>
    <n v="233428.235294118"/>
  </r>
  <r>
    <x v="0"/>
    <x v="0"/>
    <x v="0"/>
    <x v="4"/>
    <x v="8"/>
    <s v="LV_Other_DH"/>
    <x v="13"/>
    <x v="182"/>
    <x v="0"/>
    <x v="13"/>
    <n v="177.64705882352899"/>
    <n v="64841.176470588201"/>
    <n v="233428.235294118"/>
  </r>
  <r>
    <x v="0"/>
    <x v="0"/>
    <x v="0"/>
    <x v="4"/>
    <x v="8"/>
    <s v="LV_Other_DH"/>
    <x v="13"/>
    <x v="182"/>
    <x v="0"/>
    <x v="14"/>
    <n v="177.64705882352899"/>
    <n v="64841.176470588201"/>
    <n v="233428.235294118"/>
  </r>
  <r>
    <x v="0"/>
    <x v="0"/>
    <x v="0"/>
    <x v="4"/>
    <x v="8"/>
    <s v="LV_Other_DH"/>
    <x v="13"/>
    <x v="182"/>
    <x v="0"/>
    <x v="15"/>
    <n v="177.64705882352899"/>
    <n v="64841.176470588201"/>
    <n v="233428.235294118"/>
  </r>
  <r>
    <x v="0"/>
    <x v="0"/>
    <x v="0"/>
    <x v="4"/>
    <x v="8"/>
    <s v="LV_Other_DH"/>
    <x v="13"/>
    <x v="182"/>
    <x v="0"/>
    <x v="16"/>
    <n v="177.64705882352899"/>
    <n v="64841.176470588201"/>
    <n v="233428.235294118"/>
  </r>
  <r>
    <x v="0"/>
    <x v="0"/>
    <x v="0"/>
    <x v="4"/>
    <x v="8"/>
    <s v="LV_Other_DH"/>
    <x v="13"/>
    <x v="182"/>
    <x v="0"/>
    <x v="17"/>
    <n v="177.64705882352899"/>
    <n v="64841.176470588201"/>
    <n v="233428.235294118"/>
  </r>
  <r>
    <x v="0"/>
    <x v="0"/>
    <x v="0"/>
    <x v="4"/>
    <x v="8"/>
    <s v="LV_Other_DH"/>
    <x v="13"/>
    <x v="182"/>
    <x v="0"/>
    <x v="18"/>
    <n v="177.64705882352899"/>
    <n v="64841.176470588201"/>
    <n v="233428.235294118"/>
  </r>
  <r>
    <x v="0"/>
    <x v="0"/>
    <x v="0"/>
    <x v="4"/>
    <x v="8"/>
    <s v="LV_Other_DH"/>
    <x v="13"/>
    <x v="182"/>
    <x v="0"/>
    <x v="19"/>
    <n v="177.64705882352899"/>
    <n v="64841.176470588201"/>
    <n v="233428.235294118"/>
  </r>
  <r>
    <x v="0"/>
    <x v="0"/>
    <x v="0"/>
    <x v="4"/>
    <x v="8"/>
    <s v="LV_Other_DH"/>
    <x v="13"/>
    <x v="182"/>
    <x v="0"/>
    <x v="20"/>
    <n v="177.64705882352899"/>
    <n v="64841.176470588201"/>
    <n v="233428.235294118"/>
  </r>
  <r>
    <x v="0"/>
    <x v="0"/>
    <x v="0"/>
    <x v="4"/>
    <x v="8"/>
    <s v="LV_Other_DH"/>
    <x v="13"/>
    <x v="182"/>
    <x v="0"/>
    <x v="21"/>
    <n v="177.64705882352899"/>
    <n v="64841.176470588201"/>
    <n v="233428.235294118"/>
  </r>
  <r>
    <x v="0"/>
    <x v="0"/>
    <x v="0"/>
    <x v="4"/>
    <x v="8"/>
    <s v="LV_Other_DH"/>
    <x v="13"/>
    <x v="182"/>
    <x v="0"/>
    <x v="22"/>
    <n v="177.64705882352899"/>
    <n v="64841.176470588201"/>
    <n v="233428.235294118"/>
  </r>
  <r>
    <x v="0"/>
    <x v="0"/>
    <x v="0"/>
    <x v="4"/>
    <x v="8"/>
    <s v="LV_Other_DH"/>
    <x v="13"/>
    <x v="182"/>
    <x v="0"/>
    <x v="23"/>
    <n v="177.64705882352899"/>
    <n v="64841.176470588201"/>
    <n v="233428.235294118"/>
  </r>
  <r>
    <x v="0"/>
    <x v="0"/>
    <x v="0"/>
    <x v="4"/>
    <x v="8"/>
    <s v="LV_RigaR"/>
    <x v="2"/>
    <x v="183"/>
    <x v="0"/>
    <x v="3"/>
    <n v="112.705882352941"/>
    <n v="41137.647058823502"/>
    <n v="148095.52941176499"/>
  </r>
  <r>
    <x v="0"/>
    <x v="0"/>
    <x v="0"/>
    <x v="4"/>
    <x v="8"/>
    <s v="LV_RigaR"/>
    <x v="2"/>
    <x v="183"/>
    <x v="0"/>
    <x v="4"/>
    <n v="112.705882352941"/>
    <n v="41137.647058823502"/>
    <n v="148095.52941176499"/>
  </r>
  <r>
    <x v="0"/>
    <x v="0"/>
    <x v="0"/>
    <x v="4"/>
    <x v="8"/>
    <s v="LV_RigaR"/>
    <x v="2"/>
    <x v="183"/>
    <x v="0"/>
    <x v="5"/>
    <n v="112.705882352941"/>
    <n v="41137.647058823502"/>
    <n v="148095.52941176499"/>
  </r>
  <r>
    <x v="0"/>
    <x v="0"/>
    <x v="0"/>
    <x v="4"/>
    <x v="8"/>
    <s v="LV_RigaR"/>
    <x v="2"/>
    <x v="183"/>
    <x v="0"/>
    <x v="6"/>
    <n v="112.705882352941"/>
    <n v="41137.647058823502"/>
    <n v="148095.52941176499"/>
  </r>
  <r>
    <x v="0"/>
    <x v="0"/>
    <x v="0"/>
    <x v="4"/>
    <x v="8"/>
    <s v="LV_RigaR"/>
    <x v="2"/>
    <x v="183"/>
    <x v="0"/>
    <x v="7"/>
    <n v="112.705882352941"/>
    <n v="41137.647058823502"/>
    <n v="148095.52941176499"/>
  </r>
  <r>
    <x v="0"/>
    <x v="0"/>
    <x v="0"/>
    <x v="4"/>
    <x v="8"/>
    <s v="LV_RigaR"/>
    <x v="2"/>
    <x v="183"/>
    <x v="0"/>
    <x v="8"/>
    <n v="112.705882352941"/>
    <n v="41137.647058823502"/>
    <n v="148095.52941176499"/>
  </r>
  <r>
    <x v="0"/>
    <x v="0"/>
    <x v="0"/>
    <x v="4"/>
    <x v="8"/>
    <s v="LV_RigaR"/>
    <x v="2"/>
    <x v="183"/>
    <x v="0"/>
    <x v="0"/>
    <n v="112.705882352941"/>
    <n v="41137.647058823502"/>
    <n v="148095.52941176499"/>
  </r>
  <r>
    <x v="0"/>
    <x v="0"/>
    <x v="0"/>
    <x v="4"/>
    <x v="8"/>
    <s v="LV_RigaR"/>
    <x v="2"/>
    <x v="183"/>
    <x v="0"/>
    <x v="1"/>
    <n v="112.705882352941"/>
    <n v="41137.647058823502"/>
    <n v="148095.52941176499"/>
  </r>
  <r>
    <x v="0"/>
    <x v="0"/>
    <x v="0"/>
    <x v="4"/>
    <x v="8"/>
    <s v="LV_RigaR"/>
    <x v="2"/>
    <x v="183"/>
    <x v="0"/>
    <x v="2"/>
    <n v="112.705882352941"/>
    <n v="41137.647058823502"/>
    <n v="148095.52941176499"/>
  </r>
  <r>
    <x v="0"/>
    <x v="0"/>
    <x v="0"/>
    <x v="4"/>
    <x v="8"/>
    <s v="LV_RigaR"/>
    <x v="2"/>
    <x v="183"/>
    <x v="0"/>
    <x v="9"/>
    <n v="112.705882352941"/>
    <n v="41137.647058823502"/>
    <n v="148095.52941176499"/>
  </r>
  <r>
    <x v="0"/>
    <x v="0"/>
    <x v="0"/>
    <x v="4"/>
    <x v="8"/>
    <s v="LV_RigaR"/>
    <x v="2"/>
    <x v="183"/>
    <x v="0"/>
    <x v="10"/>
    <n v="112.705882352941"/>
    <n v="41137.647058823502"/>
    <n v="148095.52941176499"/>
  </r>
  <r>
    <x v="0"/>
    <x v="0"/>
    <x v="0"/>
    <x v="4"/>
    <x v="8"/>
    <s v="LV_RigaR"/>
    <x v="2"/>
    <x v="183"/>
    <x v="0"/>
    <x v="11"/>
    <n v="112.705882352941"/>
    <n v="41137.647058823502"/>
    <n v="148095.52941176499"/>
  </r>
  <r>
    <x v="0"/>
    <x v="0"/>
    <x v="0"/>
    <x v="4"/>
    <x v="8"/>
    <s v="LV_RigaR"/>
    <x v="2"/>
    <x v="183"/>
    <x v="0"/>
    <x v="12"/>
    <n v="112.705882352941"/>
    <n v="41137.647058823502"/>
    <n v="148095.52941176499"/>
  </r>
  <r>
    <x v="0"/>
    <x v="0"/>
    <x v="0"/>
    <x v="4"/>
    <x v="8"/>
    <s v="LV_RigaR"/>
    <x v="2"/>
    <x v="183"/>
    <x v="0"/>
    <x v="13"/>
    <n v="112.705882352941"/>
    <n v="41137.647058823502"/>
    <n v="148095.52941176499"/>
  </r>
  <r>
    <x v="0"/>
    <x v="0"/>
    <x v="0"/>
    <x v="4"/>
    <x v="8"/>
    <s v="LV_RigaR"/>
    <x v="2"/>
    <x v="183"/>
    <x v="0"/>
    <x v="14"/>
    <n v="112.705882352941"/>
    <n v="41137.647058823502"/>
    <n v="148095.52941176499"/>
  </r>
  <r>
    <x v="0"/>
    <x v="0"/>
    <x v="0"/>
    <x v="4"/>
    <x v="8"/>
    <s v="LV_RigaR"/>
    <x v="2"/>
    <x v="183"/>
    <x v="0"/>
    <x v="15"/>
    <n v="112.705882352941"/>
    <n v="41137.647058823502"/>
    <n v="148095.52941176499"/>
  </r>
  <r>
    <x v="0"/>
    <x v="0"/>
    <x v="0"/>
    <x v="4"/>
    <x v="8"/>
    <s v="LV_RigaR"/>
    <x v="2"/>
    <x v="183"/>
    <x v="0"/>
    <x v="16"/>
    <n v="112.705882352941"/>
    <n v="41137.647058823502"/>
    <n v="148095.52941176499"/>
  </r>
  <r>
    <x v="0"/>
    <x v="0"/>
    <x v="0"/>
    <x v="4"/>
    <x v="8"/>
    <s v="LV_RigaR"/>
    <x v="2"/>
    <x v="183"/>
    <x v="0"/>
    <x v="17"/>
    <n v="112.705882352941"/>
    <n v="41137.647058823502"/>
    <n v="148095.52941176499"/>
  </r>
  <r>
    <x v="0"/>
    <x v="0"/>
    <x v="0"/>
    <x v="4"/>
    <x v="8"/>
    <s v="LV_RigaR"/>
    <x v="2"/>
    <x v="183"/>
    <x v="0"/>
    <x v="18"/>
    <n v="112.705882352941"/>
    <n v="41137.647058823502"/>
    <n v="148095.52941176499"/>
  </r>
  <r>
    <x v="0"/>
    <x v="0"/>
    <x v="0"/>
    <x v="4"/>
    <x v="8"/>
    <s v="LV_RigaR"/>
    <x v="2"/>
    <x v="183"/>
    <x v="0"/>
    <x v="19"/>
    <n v="112.705882352941"/>
    <n v="41137.647058823502"/>
    <n v="148095.52941176499"/>
  </r>
  <r>
    <x v="0"/>
    <x v="0"/>
    <x v="0"/>
    <x v="4"/>
    <x v="8"/>
    <s v="LV_RigaR"/>
    <x v="2"/>
    <x v="183"/>
    <x v="0"/>
    <x v="20"/>
    <n v="112.705882352941"/>
    <n v="41137.647058823502"/>
    <n v="148095.52941176499"/>
  </r>
  <r>
    <x v="0"/>
    <x v="0"/>
    <x v="0"/>
    <x v="4"/>
    <x v="8"/>
    <s v="LV_RigaR"/>
    <x v="2"/>
    <x v="183"/>
    <x v="0"/>
    <x v="21"/>
    <n v="112.705882352941"/>
    <n v="41137.647058823502"/>
    <n v="148095.52941176499"/>
  </r>
  <r>
    <x v="0"/>
    <x v="0"/>
    <x v="0"/>
    <x v="4"/>
    <x v="8"/>
    <s v="LV_RigaR"/>
    <x v="2"/>
    <x v="183"/>
    <x v="0"/>
    <x v="22"/>
    <n v="112.705882352941"/>
    <n v="41137.647058823502"/>
    <n v="148095.52941176499"/>
  </r>
  <r>
    <x v="0"/>
    <x v="0"/>
    <x v="0"/>
    <x v="4"/>
    <x v="8"/>
    <s v="LV_RigaR"/>
    <x v="2"/>
    <x v="183"/>
    <x v="0"/>
    <x v="23"/>
    <n v="112.705882352941"/>
    <n v="41137.647058823502"/>
    <n v="148095.52941176499"/>
  </r>
  <r>
    <x v="0"/>
    <x v="0"/>
    <x v="0"/>
    <x v="4"/>
    <x v="8"/>
    <s v="LV_RigaR"/>
    <x v="2"/>
    <x v="184"/>
    <x v="0"/>
    <x v="3"/>
    <n v="332.70637408568399"/>
    <n v="121437.826541275"/>
    <n v="437176.17554858897"/>
  </r>
  <r>
    <x v="0"/>
    <x v="0"/>
    <x v="0"/>
    <x v="4"/>
    <x v="8"/>
    <s v="LV_RigaR"/>
    <x v="2"/>
    <x v="184"/>
    <x v="0"/>
    <x v="4"/>
    <n v="332.70637408568399"/>
    <n v="121437.826541275"/>
    <n v="437176.17554858897"/>
  </r>
  <r>
    <x v="0"/>
    <x v="0"/>
    <x v="0"/>
    <x v="4"/>
    <x v="8"/>
    <s v="LV_RigaR"/>
    <x v="2"/>
    <x v="184"/>
    <x v="0"/>
    <x v="5"/>
    <n v="332.70637408568399"/>
    <n v="121437.826541275"/>
    <n v="437176.17554858897"/>
  </r>
  <r>
    <x v="0"/>
    <x v="0"/>
    <x v="0"/>
    <x v="4"/>
    <x v="8"/>
    <s v="LV_RigaR"/>
    <x v="2"/>
    <x v="184"/>
    <x v="0"/>
    <x v="6"/>
    <n v="332.70637408568399"/>
    <n v="121437.826541275"/>
    <n v="437176.17554858897"/>
  </r>
  <r>
    <x v="0"/>
    <x v="0"/>
    <x v="0"/>
    <x v="4"/>
    <x v="8"/>
    <s v="LV_RigaR"/>
    <x v="2"/>
    <x v="184"/>
    <x v="0"/>
    <x v="7"/>
    <n v="332.70637408568399"/>
    <n v="121437.826541275"/>
    <n v="437176.17554858897"/>
  </r>
  <r>
    <x v="0"/>
    <x v="0"/>
    <x v="0"/>
    <x v="4"/>
    <x v="8"/>
    <s v="LV_RigaR"/>
    <x v="2"/>
    <x v="184"/>
    <x v="0"/>
    <x v="8"/>
    <n v="332.70637408568399"/>
    <n v="121437.826541275"/>
    <n v="437176.17554858897"/>
  </r>
  <r>
    <x v="0"/>
    <x v="0"/>
    <x v="0"/>
    <x v="4"/>
    <x v="8"/>
    <s v="LV_RigaR"/>
    <x v="2"/>
    <x v="184"/>
    <x v="0"/>
    <x v="0"/>
    <n v="332.70637408568399"/>
    <n v="121437.826541275"/>
    <n v="437176.17554858897"/>
  </r>
  <r>
    <x v="0"/>
    <x v="0"/>
    <x v="0"/>
    <x v="4"/>
    <x v="8"/>
    <s v="LV_RigaR"/>
    <x v="2"/>
    <x v="184"/>
    <x v="0"/>
    <x v="1"/>
    <n v="332.70637408568399"/>
    <n v="121437.826541275"/>
    <n v="437176.17554858897"/>
  </r>
  <r>
    <x v="0"/>
    <x v="0"/>
    <x v="0"/>
    <x v="4"/>
    <x v="8"/>
    <s v="LV_RigaR"/>
    <x v="2"/>
    <x v="184"/>
    <x v="0"/>
    <x v="2"/>
    <n v="332.70637408568399"/>
    <n v="121437.826541275"/>
    <n v="437176.17554858897"/>
  </r>
  <r>
    <x v="0"/>
    <x v="0"/>
    <x v="0"/>
    <x v="4"/>
    <x v="8"/>
    <s v="LV_RigaR"/>
    <x v="2"/>
    <x v="184"/>
    <x v="0"/>
    <x v="9"/>
    <n v="332.70637408568399"/>
    <n v="121437.826541275"/>
    <n v="437176.17554858897"/>
  </r>
  <r>
    <x v="0"/>
    <x v="0"/>
    <x v="0"/>
    <x v="4"/>
    <x v="8"/>
    <s v="LV_RigaR"/>
    <x v="2"/>
    <x v="184"/>
    <x v="0"/>
    <x v="10"/>
    <n v="332.70637408568399"/>
    <n v="121437.826541275"/>
    <n v="437176.17554858897"/>
  </r>
  <r>
    <x v="0"/>
    <x v="0"/>
    <x v="0"/>
    <x v="4"/>
    <x v="8"/>
    <s v="LV_RigaR"/>
    <x v="2"/>
    <x v="184"/>
    <x v="0"/>
    <x v="11"/>
    <n v="332.70637408568399"/>
    <n v="121437.826541275"/>
    <n v="437176.17554858897"/>
  </r>
  <r>
    <x v="0"/>
    <x v="0"/>
    <x v="0"/>
    <x v="4"/>
    <x v="8"/>
    <s v="LV_RigaR"/>
    <x v="2"/>
    <x v="184"/>
    <x v="0"/>
    <x v="12"/>
    <n v="332.70637408568399"/>
    <n v="121437.826541275"/>
    <n v="437176.17554858897"/>
  </r>
  <r>
    <x v="0"/>
    <x v="0"/>
    <x v="0"/>
    <x v="4"/>
    <x v="8"/>
    <s v="LV_RigaR"/>
    <x v="2"/>
    <x v="184"/>
    <x v="0"/>
    <x v="13"/>
    <n v="332.70637408568399"/>
    <n v="121437.826541275"/>
    <n v="437176.17554858897"/>
  </r>
  <r>
    <x v="0"/>
    <x v="0"/>
    <x v="0"/>
    <x v="4"/>
    <x v="8"/>
    <s v="LV_RigaR"/>
    <x v="2"/>
    <x v="184"/>
    <x v="0"/>
    <x v="14"/>
    <n v="332.70637408568399"/>
    <n v="121437.826541275"/>
    <n v="437176.17554858897"/>
  </r>
  <r>
    <x v="0"/>
    <x v="0"/>
    <x v="0"/>
    <x v="4"/>
    <x v="8"/>
    <s v="LV_RigaR"/>
    <x v="2"/>
    <x v="184"/>
    <x v="0"/>
    <x v="15"/>
    <n v="332.70637408568399"/>
    <n v="121437.826541275"/>
    <n v="437176.17554858897"/>
  </r>
  <r>
    <x v="0"/>
    <x v="0"/>
    <x v="0"/>
    <x v="4"/>
    <x v="8"/>
    <s v="LV_RigaR"/>
    <x v="2"/>
    <x v="184"/>
    <x v="0"/>
    <x v="16"/>
    <n v="332.70637408568399"/>
    <n v="121437.826541275"/>
    <n v="437176.17554858897"/>
  </r>
  <r>
    <x v="0"/>
    <x v="0"/>
    <x v="0"/>
    <x v="4"/>
    <x v="8"/>
    <s v="LV_RigaR"/>
    <x v="2"/>
    <x v="184"/>
    <x v="0"/>
    <x v="17"/>
    <n v="332.70637408568399"/>
    <n v="121437.826541275"/>
    <n v="437176.17554858897"/>
  </r>
  <r>
    <x v="0"/>
    <x v="0"/>
    <x v="0"/>
    <x v="4"/>
    <x v="8"/>
    <s v="LV_RigaR"/>
    <x v="2"/>
    <x v="184"/>
    <x v="0"/>
    <x v="18"/>
    <n v="332.70637408568399"/>
    <n v="121437.826541275"/>
    <n v="437176.17554858897"/>
  </r>
  <r>
    <x v="0"/>
    <x v="0"/>
    <x v="0"/>
    <x v="4"/>
    <x v="8"/>
    <s v="LV_RigaR"/>
    <x v="2"/>
    <x v="184"/>
    <x v="0"/>
    <x v="19"/>
    <n v="332.70637408568399"/>
    <n v="121437.826541275"/>
    <n v="437176.17554858897"/>
  </r>
  <r>
    <x v="0"/>
    <x v="0"/>
    <x v="0"/>
    <x v="4"/>
    <x v="8"/>
    <s v="LV_RigaR"/>
    <x v="2"/>
    <x v="184"/>
    <x v="0"/>
    <x v="20"/>
    <n v="332.70637408568399"/>
    <n v="121437.826541275"/>
    <n v="437176.17554858897"/>
  </r>
  <r>
    <x v="0"/>
    <x v="0"/>
    <x v="0"/>
    <x v="4"/>
    <x v="8"/>
    <s v="LV_RigaR"/>
    <x v="2"/>
    <x v="184"/>
    <x v="0"/>
    <x v="21"/>
    <n v="332.70637408568399"/>
    <n v="121437.826541275"/>
    <n v="437176.17554858897"/>
  </r>
  <r>
    <x v="0"/>
    <x v="0"/>
    <x v="0"/>
    <x v="4"/>
    <x v="8"/>
    <s v="LV_RigaR"/>
    <x v="2"/>
    <x v="184"/>
    <x v="0"/>
    <x v="22"/>
    <n v="332.70637408568399"/>
    <n v="121437.826541275"/>
    <n v="437176.17554858897"/>
  </r>
  <r>
    <x v="0"/>
    <x v="0"/>
    <x v="0"/>
    <x v="4"/>
    <x v="8"/>
    <s v="LV_RigaR"/>
    <x v="2"/>
    <x v="184"/>
    <x v="0"/>
    <x v="23"/>
    <n v="332.70637408568399"/>
    <n v="121437.826541275"/>
    <n v="437176.17554858897"/>
  </r>
  <r>
    <x v="0"/>
    <x v="0"/>
    <x v="0"/>
    <x v="4"/>
    <x v="8"/>
    <s v="LV_RigaR"/>
    <x v="2"/>
    <x v="185"/>
    <x v="0"/>
    <x v="3"/>
    <n v="1545.6140350877199"/>
    <n v="564149.12280701799"/>
    <n v="2030936.8421052599"/>
  </r>
  <r>
    <x v="0"/>
    <x v="0"/>
    <x v="0"/>
    <x v="4"/>
    <x v="8"/>
    <s v="LV_RigaR"/>
    <x v="2"/>
    <x v="185"/>
    <x v="0"/>
    <x v="4"/>
    <n v="1545.6140350877199"/>
    <n v="564149.12280701799"/>
    <n v="2030936.8421052599"/>
  </r>
  <r>
    <x v="0"/>
    <x v="0"/>
    <x v="0"/>
    <x v="4"/>
    <x v="8"/>
    <s v="LV_RigaR"/>
    <x v="2"/>
    <x v="185"/>
    <x v="0"/>
    <x v="5"/>
    <n v="1545.6140350877199"/>
    <n v="564149.12280701799"/>
    <n v="2030936.8421052599"/>
  </r>
  <r>
    <x v="0"/>
    <x v="0"/>
    <x v="0"/>
    <x v="4"/>
    <x v="8"/>
    <s v="LV_RigaR"/>
    <x v="2"/>
    <x v="185"/>
    <x v="0"/>
    <x v="6"/>
    <n v="1545.6140350877199"/>
    <n v="564149.12280701799"/>
    <n v="2030936.8421052599"/>
  </r>
  <r>
    <x v="0"/>
    <x v="0"/>
    <x v="0"/>
    <x v="4"/>
    <x v="8"/>
    <s v="LV_RigaR"/>
    <x v="2"/>
    <x v="185"/>
    <x v="0"/>
    <x v="7"/>
    <n v="1545.6140350877199"/>
    <n v="564149.12280701799"/>
    <n v="2030936.8421052599"/>
  </r>
  <r>
    <x v="0"/>
    <x v="0"/>
    <x v="0"/>
    <x v="4"/>
    <x v="8"/>
    <s v="LV_RigaR"/>
    <x v="2"/>
    <x v="185"/>
    <x v="0"/>
    <x v="8"/>
    <n v="1545.6140350877199"/>
    <n v="564149.12280701799"/>
    <n v="2030936.8421052599"/>
  </r>
  <r>
    <x v="0"/>
    <x v="0"/>
    <x v="0"/>
    <x v="4"/>
    <x v="8"/>
    <s v="LV_RigaR"/>
    <x v="2"/>
    <x v="185"/>
    <x v="0"/>
    <x v="0"/>
    <n v="1545.6140350877199"/>
    <n v="564149.12280701799"/>
    <n v="2030936.8421052599"/>
  </r>
  <r>
    <x v="0"/>
    <x v="0"/>
    <x v="0"/>
    <x v="4"/>
    <x v="8"/>
    <s v="LV_RigaR"/>
    <x v="2"/>
    <x v="185"/>
    <x v="0"/>
    <x v="1"/>
    <n v="1545.6140350877199"/>
    <n v="564149.12280701799"/>
    <n v="2030936.8421052599"/>
  </r>
  <r>
    <x v="0"/>
    <x v="0"/>
    <x v="0"/>
    <x v="4"/>
    <x v="8"/>
    <s v="LV_RigaR"/>
    <x v="2"/>
    <x v="185"/>
    <x v="0"/>
    <x v="2"/>
    <n v="1545.6140350877199"/>
    <n v="564149.12280701799"/>
    <n v="2030936.8421052599"/>
  </r>
  <r>
    <x v="0"/>
    <x v="0"/>
    <x v="0"/>
    <x v="4"/>
    <x v="8"/>
    <s v="LV_RigaR"/>
    <x v="2"/>
    <x v="185"/>
    <x v="0"/>
    <x v="9"/>
    <n v="1545.6140350877199"/>
    <n v="564149.12280701799"/>
    <n v="2030936.8421052599"/>
  </r>
  <r>
    <x v="0"/>
    <x v="0"/>
    <x v="0"/>
    <x v="4"/>
    <x v="8"/>
    <s v="LV_RigaR"/>
    <x v="2"/>
    <x v="185"/>
    <x v="0"/>
    <x v="10"/>
    <n v="1545.6140350877199"/>
    <n v="564149.12280701799"/>
    <n v="2030936.8421052599"/>
  </r>
  <r>
    <x v="0"/>
    <x v="0"/>
    <x v="0"/>
    <x v="4"/>
    <x v="8"/>
    <s v="LV_RigaR"/>
    <x v="2"/>
    <x v="185"/>
    <x v="0"/>
    <x v="11"/>
    <n v="1545.6140350877199"/>
    <n v="564149.12280701799"/>
    <n v="2030936.8421052599"/>
  </r>
  <r>
    <x v="0"/>
    <x v="0"/>
    <x v="0"/>
    <x v="4"/>
    <x v="8"/>
    <s v="LV_RigaR"/>
    <x v="2"/>
    <x v="185"/>
    <x v="0"/>
    <x v="12"/>
    <n v="1545.6140350877199"/>
    <n v="564149.12280701799"/>
    <n v="2030936.8421052599"/>
  </r>
  <r>
    <x v="0"/>
    <x v="0"/>
    <x v="0"/>
    <x v="4"/>
    <x v="8"/>
    <s v="LV_RigaR"/>
    <x v="2"/>
    <x v="185"/>
    <x v="0"/>
    <x v="13"/>
    <n v="1545.6140350877199"/>
    <n v="564149.12280701799"/>
    <n v="2030936.8421052599"/>
  </r>
  <r>
    <x v="0"/>
    <x v="0"/>
    <x v="0"/>
    <x v="4"/>
    <x v="8"/>
    <s v="LV_RigaR"/>
    <x v="2"/>
    <x v="185"/>
    <x v="0"/>
    <x v="14"/>
    <n v="1545.6140350877199"/>
    <n v="564149.12280701799"/>
    <n v="2030936.8421052599"/>
  </r>
  <r>
    <x v="0"/>
    <x v="0"/>
    <x v="0"/>
    <x v="4"/>
    <x v="8"/>
    <s v="LV_RigaR"/>
    <x v="2"/>
    <x v="185"/>
    <x v="0"/>
    <x v="15"/>
    <n v="1545.6140350877199"/>
    <n v="564149.12280701799"/>
    <n v="2030936.8421052599"/>
  </r>
  <r>
    <x v="0"/>
    <x v="0"/>
    <x v="0"/>
    <x v="4"/>
    <x v="8"/>
    <s v="LV_RigaR"/>
    <x v="2"/>
    <x v="185"/>
    <x v="0"/>
    <x v="16"/>
    <n v="1545.6140350877199"/>
    <n v="564149.12280701799"/>
    <n v="2030936.8421052599"/>
  </r>
  <r>
    <x v="0"/>
    <x v="0"/>
    <x v="0"/>
    <x v="4"/>
    <x v="8"/>
    <s v="LV_RigaR"/>
    <x v="2"/>
    <x v="185"/>
    <x v="0"/>
    <x v="17"/>
    <n v="1545.6140350877199"/>
    <n v="564149.12280701799"/>
    <n v="2030936.8421052599"/>
  </r>
  <r>
    <x v="0"/>
    <x v="0"/>
    <x v="0"/>
    <x v="4"/>
    <x v="8"/>
    <s v="LV_RigaR"/>
    <x v="2"/>
    <x v="185"/>
    <x v="0"/>
    <x v="18"/>
    <n v="1545.6140350877199"/>
    <n v="564149.12280701799"/>
    <n v="2030936.8421052599"/>
  </r>
  <r>
    <x v="0"/>
    <x v="0"/>
    <x v="0"/>
    <x v="4"/>
    <x v="8"/>
    <s v="LV_RigaR"/>
    <x v="2"/>
    <x v="185"/>
    <x v="0"/>
    <x v="19"/>
    <n v="1545.6140350877199"/>
    <n v="564149.12280701799"/>
    <n v="2030936.8421052599"/>
  </r>
  <r>
    <x v="0"/>
    <x v="0"/>
    <x v="0"/>
    <x v="4"/>
    <x v="8"/>
    <s v="LV_RigaR"/>
    <x v="2"/>
    <x v="185"/>
    <x v="0"/>
    <x v="20"/>
    <n v="1545.6140350877199"/>
    <n v="564149.12280701799"/>
    <n v="2030936.8421052599"/>
  </r>
  <r>
    <x v="0"/>
    <x v="0"/>
    <x v="0"/>
    <x v="4"/>
    <x v="8"/>
    <s v="LV_RigaR"/>
    <x v="2"/>
    <x v="185"/>
    <x v="0"/>
    <x v="21"/>
    <n v="1545.6140350877199"/>
    <n v="564149.12280701799"/>
    <n v="2030936.8421052599"/>
  </r>
  <r>
    <x v="0"/>
    <x v="0"/>
    <x v="0"/>
    <x v="4"/>
    <x v="8"/>
    <s v="LV_RigaR"/>
    <x v="2"/>
    <x v="185"/>
    <x v="0"/>
    <x v="22"/>
    <n v="1545.6140350877199"/>
    <n v="564149.12280701799"/>
    <n v="2030936.8421052599"/>
  </r>
  <r>
    <x v="0"/>
    <x v="0"/>
    <x v="0"/>
    <x v="4"/>
    <x v="8"/>
    <s v="LV_RigaR"/>
    <x v="2"/>
    <x v="185"/>
    <x v="0"/>
    <x v="23"/>
    <n v="1545.6140350877199"/>
    <n v="564149.12280701799"/>
    <n v="2030936.8421052599"/>
  </r>
  <r>
    <x v="0"/>
    <x v="0"/>
    <x v="0"/>
    <x v="4"/>
    <x v="8"/>
    <s v="LV_RigaR"/>
    <x v="7"/>
    <x v="169"/>
    <x v="0"/>
    <x v="2"/>
    <n v="1.1013698630137001"/>
    <n v="402"/>
    <n v="1447.2"/>
  </r>
  <r>
    <x v="0"/>
    <x v="0"/>
    <x v="0"/>
    <x v="4"/>
    <x v="8"/>
    <s v="LV_Rural"/>
    <x v="8"/>
    <x v="47"/>
    <x v="0"/>
    <x v="3"/>
    <n v="3.5228018212877599"/>
    <n v="1285.8226647700301"/>
    <n v="4628.96159317212"/>
  </r>
  <r>
    <x v="0"/>
    <x v="0"/>
    <x v="0"/>
    <x v="4"/>
    <x v="8"/>
    <s v="LV_Rural"/>
    <x v="8"/>
    <x v="47"/>
    <x v="0"/>
    <x v="4"/>
    <n v="4.2273621855453101"/>
    <n v="1542.98719772404"/>
    <n v="5554.7539118065397"/>
  </r>
  <r>
    <x v="0"/>
    <x v="0"/>
    <x v="0"/>
    <x v="4"/>
    <x v="8"/>
    <s v="LV_Rural"/>
    <x v="8"/>
    <x v="47"/>
    <x v="0"/>
    <x v="5"/>
    <n v="4.1267107049370901"/>
    <n v="1506.24940730204"/>
    <n v="5422.49786628734"/>
  </r>
  <r>
    <x v="0"/>
    <x v="0"/>
    <x v="0"/>
    <x v="4"/>
    <x v="8"/>
    <s v="LV_Rural"/>
    <x v="8"/>
    <x v="47"/>
    <x v="0"/>
    <x v="6"/>
    <n v="3.8750820034165399"/>
    <n v="1414.4049312470399"/>
    <n v="5091.8577524893299"/>
  </r>
  <r>
    <x v="0"/>
    <x v="0"/>
    <x v="0"/>
    <x v="4"/>
    <x v="8"/>
    <s v="LV_Rural"/>
    <x v="8"/>
    <x v="47"/>
    <x v="0"/>
    <x v="7"/>
    <n v="2.8685671973343201"/>
    <n v="1047.02702702703"/>
    <n v="3769.2972972972998"/>
  </r>
  <r>
    <x v="0"/>
    <x v="0"/>
    <x v="0"/>
    <x v="4"/>
    <x v="8"/>
    <s v="LV_Rural"/>
    <x v="8"/>
    <x v="47"/>
    <x v="0"/>
    <x v="8"/>
    <n v="1.66074943003566"/>
    <n v="606.17354196301596"/>
    <n v="2182.2247510668599"/>
  </r>
  <r>
    <x v="0"/>
    <x v="0"/>
    <x v="0"/>
    <x v="4"/>
    <x v="8"/>
    <s v="LV_Rural"/>
    <x v="8"/>
    <x v="47"/>
    <x v="0"/>
    <x v="0"/>
    <n v="0.35228018212877599"/>
    <n v="128.582266477003"/>
    <n v="462.89615931721198"/>
  </r>
  <r>
    <x v="0"/>
    <x v="0"/>
    <x v="0"/>
    <x v="4"/>
    <x v="8"/>
    <s v="LV_Rural"/>
    <x v="8"/>
    <x v="47"/>
    <x v="0"/>
    <x v="1"/>
    <n v="0.251628701520554"/>
    <n v="91.844476055002403"/>
    <n v="330.640113798009"/>
  </r>
  <r>
    <x v="0"/>
    <x v="0"/>
    <x v="0"/>
    <x v="4"/>
    <x v="8"/>
    <s v="LV_Rural"/>
    <x v="8"/>
    <x v="47"/>
    <x v="0"/>
    <x v="2"/>
    <n v="0.35228018212877599"/>
    <n v="128.582266477003"/>
    <n v="462.89615931721198"/>
  </r>
  <r>
    <x v="0"/>
    <x v="0"/>
    <x v="0"/>
    <x v="4"/>
    <x v="8"/>
    <s v="LV_Rural"/>
    <x v="8"/>
    <x v="47"/>
    <x v="0"/>
    <x v="9"/>
    <n v="1.66074943003566"/>
    <n v="606.17354196301596"/>
    <n v="2182.2247510668599"/>
  </r>
  <r>
    <x v="0"/>
    <x v="0"/>
    <x v="0"/>
    <x v="4"/>
    <x v="8"/>
    <s v="LV_Rural"/>
    <x v="8"/>
    <x v="47"/>
    <x v="0"/>
    <x v="10"/>
    <n v="3.8750820034165399"/>
    <n v="1414.4049312470399"/>
    <n v="5091.8577524893299"/>
  </r>
  <r>
    <x v="0"/>
    <x v="0"/>
    <x v="0"/>
    <x v="4"/>
    <x v="8"/>
    <s v="LV_Rural"/>
    <x v="8"/>
    <x v="47"/>
    <x v="0"/>
    <x v="11"/>
    <n v="5.9887630961892002"/>
    <n v="2185.8985301090602"/>
    <n v="7869.2347083925997"/>
  </r>
  <r>
    <x v="0"/>
    <x v="0"/>
    <x v="0"/>
    <x v="4"/>
    <x v="8"/>
    <s v="LV_Rural"/>
    <x v="8"/>
    <x v="47"/>
    <x v="0"/>
    <x v="12"/>
    <n v="6.9449521619672998"/>
    <n v="2534.90753911807"/>
    <n v="9125.6671408250295"/>
  </r>
  <r>
    <x v="0"/>
    <x v="0"/>
    <x v="0"/>
    <x v="4"/>
    <x v="8"/>
    <s v="LV_Rural"/>
    <x v="8"/>
    <x v="47"/>
    <x v="0"/>
    <x v="13"/>
    <n v="7.9514669680495196"/>
    <n v="2902.2854433380699"/>
    <n v="10448.227596017099"/>
  </r>
  <r>
    <x v="0"/>
    <x v="0"/>
    <x v="0"/>
    <x v="4"/>
    <x v="8"/>
    <s v="LV_Rural"/>
    <x v="8"/>
    <x v="47"/>
    <x v="0"/>
    <x v="14"/>
    <n v="7.9514669680495196"/>
    <n v="2902.2854433380699"/>
    <n v="10448.227596017099"/>
  </r>
  <r>
    <x v="0"/>
    <x v="0"/>
    <x v="0"/>
    <x v="4"/>
    <x v="8"/>
    <s v="LV_Rural"/>
    <x v="8"/>
    <x v="47"/>
    <x v="0"/>
    <x v="15"/>
    <n v="12.581435076027701"/>
    <n v="4592.2238027501198"/>
    <n v="16532.005689900401"/>
  </r>
  <r>
    <x v="0"/>
    <x v="0"/>
    <x v="0"/>
    <x v="4"/>
    <x v="8"/>
    <s v="LV_Rural"/>
    <x v="8"/>
    <x v="47"/>
    <x v="0"/>
    <x v="16"/>
    <n v="16.255214118227801"/>
    <n v="5933.15315315315"/>
    <n v="21359.351351351299"/>
  </r>
  <r>
    <x v="0"/>
    <x v="0"/>
    <x v="0"/>
    <x v="4"/>
    <x v="8"/>
    <s v="LV_Rural"/>
    <x v="8"/>
    <x v="47"/>
    <x v="0"/>
    <x v="17"/>
    <n v="16.053911157011399"/>
    <n v="5859.6775723091496"/>
    <n v="21094.8392603129"/>
  </r>
  <r>
    <x v="0"/>
    <x v="0"/>
    <x v="0"/>
    <x v="4"/>
    <x v="8"/>
    <s v="LV_Rural"/>
    <x v="8"/>
    <x v="47"/>
    <x v="0"/>
    <x v="18"/>
    <n v="21.942022772592299"/>
    <n v="8008.83831199621"/>
    <n v="28831.8179231863"/>
  </r>
  <r>
    <x v="0"/>
    <x v="0"/>
    <x v="0"/>
    <x v="4"/>
    <x v="8"/>
    <s v="LV_Rural"/>
    <x v="8"/>
    <x v="47"/>
    <x v="0"/>
    <x v="19"/>
    <n v="32.661405457367998"/>
    <n v="11921.4129919393"/>
    <n v="42917.086770981499"/>
  </r>
  <r>
    <x v="0"/>
    <x v="0"/>
    <x v="0"/>
    <x v="4"/>
    <x v="8"/>
    <s v="LV_Rural"/>
    <x v="8"/>
    <x v="47"/>
    <x v="0"/>
    <x v="20"/>
    <n v="37.844956708691399"/>
    <n v="13813.4091986724"/>
    <n v="49728.273115220501"/>
  </r>
  <r>
    <x v="0"/>
    <x v="0"/>
    <x v="0"/>
    <x v="4"/>
    <x v="8"/>
    <s v="LV_Rural"/>
    <x v="8"/>
    <x v="47"/>
    <x v="0"/>
    <x v="21"/>
    <n v="40.814175386633899"/>
    <n v="14897.1740161214"/>
    <n v="53629.826458037001"/>
  </r>
  <r>
    <x v="0"/>
    <x v="0"/>
    <x v="0"/>
    <x v="4"/>
    <x v="8"/>
    <s v="LV_Rural"/>
    <x v="8"/>
    <x v="47"/>
    <x v="0"/>
    <x v="22"/>
    <n v="41.468410010587398"/>
    <n v="15135.9696538644"/>
    <n v="54489.490753911799"/>
  </r>
  <r>
    <x v="0"/>
    <x v="0"/>
    <x v="0"/>
    <x v="4"/>
    <x v="8"/>
    <s v="LV_Rural"/>
    <x v="8"/>
    <x v="47"/>
    <x v="0"/>
    <x v="23"/>
    <n v="43.179485180927102"/>
    <n v="15760.512091038399"/>
    <n v="56737.843527738303"/>
  </r>
  <r>
    <x v="0"/>
    <x v="0"/>
    <x v="0"/>
    <x v="5"/>
    <x v="9"/>
    <s v="LT_KauU"/>
    <x v="1"/>
    <x v="186"/>
    <x v="0"/>
    <x v="3"/>
    <n v="92.0923189864086"/>
    <n v="33613.696430039199"/>
    <n v="121009.307148141"/>
  </r>
  <r>
    <x v="0"/>
    <x v="0"/>
    <x v="0"/>
    <x v="5"/>
    <x v="9"/>
    <s v="LT_KauU"/>
    <x v="1"/>
    <x v="186"/>
    <x v="0"/>
    <x v="4"/>
    <n v="92.0923189864086"/>
    <n v="33613.696430039199"/>
    <n v="121009.307148141"/>
  </r>
  <r>
    <x v="0"/>
    <x v="0"/>
    <x v="0"/>
    <x v="5"/>
    <x v="9"/>
    <s v="LT_KauU"/>
    <x v="1"/>
    <x v="186"/>
    <x v="0"/>
    <x v="5"/>
    <n v="92.0923189864086"/>
    <n v="33613.696430039199"/>
    <n v="121009.307148141"/>
  </r>
  <r>
    <x v="0"/>
    <x v="0"/>
    <x v="0"/>
    <x v="5"/>
    <x v="9"/>
    <s v="LT_KauU"/>
    <x v="1"/>
    <x v="186"/>
    <x v="0"/>
    <x v="6"/>
    <n v="92.0923189864086"/>
    <n v="33613.696430039199"/>
    <n v="121009.307148141"/>
  </r>
  <r>
    <x v="0"/>
    <x v="0"/>
    <x v="0"/>
    <x v="5"/>
    <x v="9"/>
    <s v="LT_KauU"/>
    <x v="1"/>
    <x v="186"/>
    <x v="0"/>
    <x v="7"/>
    <n v="92.0923189864086"/>
    <n v="33613.696430039199"/>
    <n v="121009.307148141"/>
  </r>
  <r>
    <x v="0"/>
    <x v="0"/>
    <x v="0"/>
    <x v="5"/>
    <x v="9"/>
    <s v="LT_KauU"/>
    <x v="1"/>
    <x v="186"/>
    <x v="0"/>
    <x v="8"/>
    <n v="92.0923189864086"/>
    <n v="33613.696430039199"/>
    <n v="121009.307148141"/>
  </r>
  <r>
    <x v="0"/>
    <x v="0"/>
    <x v="0"/>
    <x v="5"/>
    <x v="9"/>
    <s v="LT_KauU"/>
    <x v="1"/>
    <x v="186"/>
    <x v="0"/>
    <x v="0"/>
    <n v="92.0923189864086"/>
    <n v="33613.696430039199"/>
    <n v="121009.307148141"/>
  </r>
  <r>
    <x v="0"/>
    <x v="0"/>
    <x v="0"/>
    <x v="5"/>
    <x v="9"/>
    <s v="LT_KauU"/>
    <x v="1"/>
    <x v="186"/>
    <x v="0"/>
    <x v="1"/>
    <n v="92.0923189864086"/>
    <n v="33613.696430039199"/>
    <n v="121009.307148141"/>
  </r>
  <r>
    <x v="0"/>
    <x v="0"/>
    <x v="0"/>
    <x v="5"/>
    <x v="9"/>
    <s v="LT_KauU"/>
    <x v="1"/>
    <x v="186"/>
    <x v="0"/>
    <x v="2"/>
    <n v="92.0923189864086"/>
    <n v="33613.696430039199"/>
    <n v="121009.307148141"/>
  </r>
  <r>
    <x v="0"/>
    <x v="0"/>
    <x v="0"/>
    <x v="5"/>
    <x v="9"/>
    <s v="LT_KauU"/>
    <x v="1"/>
    <x v="186"/>
    <x v="0"/>
    <x v="9"/>
    <n v="92.0923189864086"/>
    <n v="33613.696430039199"/>
    <n v="121009.307148141"/>
  </r>
  <r>
    <x v="0"/>
    <x v="0"/>
    <x v="0"/>
    <x v="5"/>
    <x v="9"/>
    <s v="LT_KauU"/>
    <x v="1"/>
    <x v="186"/>
    <x v="0"/>
    <x v="10"/>
    <n v="92.0923189864086"/>
    <n v="33613.696430039199"/>
    <n v="121009.307148141"/>
  </r>
  <r>
    <x v="0"/>
    <x v="0"/>
    <x v="0"/>
    <x v="5"/>
    <x v="9"/>
    <s v="LT_KauU"/>
    <x v="1"/>
    <x v="186"/>
    <x v="0"/>
    <x v="11"/>
    <n v="92.0923189864086"/>
    <n v="33613.696430039199"/>
    <n v="121009.307148141"/>
  </r>
  <r>
    <x v="0"/>
    <x v="0"/>
    <x v="0"/>
    <x v="5"/>
    <x v="9"/>
    <s v="LT_KauU"/>
    <x v="1"/>
    <x v="186"/>
    <x v="0"/>
    <x v="12"/>
    <n v="92.0923189864086"/>
    <n v="33613.696430039199"/>
    <n v="121009.307148141"/>
  </r>
  <r>
    <x v="0"/>
    <x v="0"/>
    <x v="0"/>
    <x v="5"/>
    <x v="9"/>
    <s v="LT_KauU"/>
    <x v="1"/>
    <x v="186"/>
    <x v="0"/>
    <x v="13"/>
    <n v="92.0923189864086"/>
    <n v="33613.696430039199"/>
    <n v="121009.307148141"/>
  </r>
  <r>
    <x v="0"/>
    <x v="0"/>
    <x v="0"/>
    <x v="5"/>
    <x v="9"/>
    <s v="LT_KauU"/>
    <x v="1"/>
    <x v="186"/>
    <x v="0"/>
    <x v="14"/>
    <n v="92.0923189864086"/>
    <n v="33613.696430039199"/>
    <n v="121009.307148141"/>
  </r>
  <r>
    <x v="0"/>
    <x v="0"/>
    <x v="0"/>
    <x v="5"/>
    <x v="9"/>
    <s v="LT_KauU"/>
    <x v="1"/>
    <x v="186"/>
    <x v="0"/>
    <x v="15"/>
    <n v="92.0923189864086"/>
    <n v="33613.696430039199"/>
    <n v="121009.307148141"/>
  </r>
  <r>
    <x v="0"/>
    <x v="0"/>
    <x v="0"/>
    <x v="5"/>
    <x v="9"/>
    <s v="LT_KauU"/>
    <x v="1"/>
    <x v="186"/>
    <x v="0"/>
    <x v="16"/>
    <n v="92.0923189864086"/>
    <n v="33613.696430039199"/>
    <n v="121009.307148141"/>
  </r>
  <r>
    <x v="0"/>
    <x v="0"/>
    <x v="0"/>
    <x v="5"/>
    <x v="9"/>
    <s v="LT_KauU"/>
    <x v="1"/>
    <x v="186"/>
    <x v="0"/>
    <x v="17"/>
    <n v="92.0923189864086"/>
    <n v="33613.696430039199"/>
    <n v="121009.307148141"/>
  </r>
  <r>
    <x v="0"/>
    <x v="0"/>
    <x v="0"/>
    <x v="5"/>
    <x v="9"/>
    <s v="LT_KauU"/>
    <x v="1"/>
    <x v="186"/>
    <x v="0"/>
    <x v="18"/>
    <n v="92.0923189864086"/>
    <n v="33613.696430039199"/>
    <n v="121009.307148141"/>
  </r>
  <r>
    <x v="0"/>
    <x v="0"/>
    <x v="0"/>
    <x v="5"/>
    <x v="9"/>
    <s v="LT_KauU"/>
    <x v="1"/>
    <x v="186"/>
    <x v="0"/>
    <x v="19"/>
    <n v="92.0923189864086"/>
    <n v="33613.696430039199"/>
    <n v="121009.307148141"/>
  </r>
  <r>
    <x v="0"/>
    <x v="0"/>
    <x v="0"/>
    <x v="5"/>
    <x v="9"/>
    <s v="LT_KauU"/>
    <x v="1"/>
    <x v="186"/>
    <x v="0"/>
    <x v="20"/>
    <n v="92.0923189864086"/>
    <n v="33613.696430039199"/>
    <n v="121009.307148141"/>
  </r>
  <r>
    <x v="0"/>
    <x v="0"/>
    <x v="0"/>
    <x v="5"/>
    <x v="9"/>
    <s v="LT_KauU"/>
    <x v="1"/>
    <x v="186"/>
    <x v="0"/>
    <x v="21"/>
    <n v="92.0923189864086"/>
    <n v="33613.696430039199"/>
    <n v="121009.307148141"/>
  </r>
  <r>
    <x v="0"/>
    <x v="0"/>
    <x v="0"/>
    <x v="5"/>
    <x v="9"/>
    <s v="LT_KauU"/>
    <x v="1"/>
    <x v="186"/>
    <x v="0"/>
    <x v="22"/>
    <n v="92.0923189864086"/>
    <n v="33613.696430039199"/>
    <n v="121009.307148141"/>
  </r>
  <r>
    <x v="0"/>
    <x v="0"/>
    <x v="0"/>
    <x v="5"/>
    <x v="9"/>
    <s v="LT_KauU"/>
    <x v="1"/>
    <x v="186"/>
    <x v="0"/>
    <x v="23"/>
    <n v="92.0923189864086"/>
    <n v="33613.696430039199"/>
    <n v="121009.307148141"/>
  </r>
  <r>
    <x v="0"/>
    <x v="0"/>
    <x v="0"/>
    <x v="5"/>
    <x v="9"/>
    <s v="LT_KauU"/>
    <x v="2"/>
    <x v="187"/>
    <x v="0"/>
    <x v="0"/>
    <n v="245.90163934426201"/>
    <n v="89754.098360655698"/>
    <n v="323114.75409836101"/>
  </r>
  <r>
    <x v="0"/>
    <x v="0"/>
    <x v="0"/>
    <x v="5"/>
    <x v="9"/>
    <s v="LT_KauU"/>
    <x v="2"/>
    <x v="187"/>
    <x v="0"/>
    <x v="1"/>
    <n v="245.90163934426201"/>
    <n v="89754.098360655698"/>
    <n v="323114.75409836101"/>
  </r>
  <r>
    <x v="0"/>
    <x v="0"/>
    <x v="0"/>
    <x v="5"/>
    <x v="9"/>
    <s v="LT_KauU"/>
    <x v="2"/>
    <x v="187"/>
    <x v="0"/>
    <x v="2"/>
    <n v="245.90163934426201"/>
    <n v="89754.098360655698"/>
    <n v="323114.75409836101"/>
  </r>
  <r>
    <x v="0"/>
    <x v="0"/>
    <x v="0"/>
    <x v="5"/>
    <x v="9"/>
    <s v="LT_KauU"/>
    <x v="2"/>
    <x v="187"/>
    <x v="0"/>
    <x v="9"/>
    <n v="245.90163934426201"/>
    <n v="89754.098360655698"/>
    <n v="323114.75409836101"/>
  </r>
  <r>
    <x v="0"/>
    <x v="0"/>
    <x v="0"/>
    <x v="5"/>
    <x v="9"/>
    <s v="LT_KauU"/>
    <x v="2"/>
    <x v="187"/>
    <x v="0"/>
    <x v="10"/>
    <n v="245.90163934426201"/>
    <n v="89754.098360655698"/>
    <n v="323114.75409836101"/>
  </r>
  <r>
    <x v="0"/>
    <x v="0"/>
    <x v="0"/>
    <x v="5"/>
    <x v="9"/>
    <s v="LT_KauU"/>
    <x v="2"/>
    <x v="187"/>
    <x v="0"/>
    <x v="11"/>
    <n v="245.90163934426201"/>
    <n v="89754.098360655698"/>
    <n v="323114.75409836101"/>
  </r>
  <r>
    <x v="0"/>
    <x v="0"/>
    <x v="0"/>
    <x v="5"/>
    <x v="9"/>
    <s v="LT_KauU"/>
    <x v="2"/>
    <x v="187"/>
    <x v="0"/>
    <x v="12"/>
    <n v="245.90163934426201"/>
    <n v="89754.098360655698"/>
    <n v="323114.75409836101"/>
  </r>
  <r>
    <x v="0"/>
    <x v="0"/>
    <x v="0"/>
    <x v="5"/>
    <x v="9"/>
    <s v="LT_KauU"/>
    <x v="2"/>
    <x v="187"/>
    <x v="0"/>
    <x v="14"/>
    <n v="245.90163934426201"/>
    <n v="89754.098360655698"/>
    <n v="323114.75409836101"/>
  </r>
  <r>
    <x v="0"/>
    <x v="0"/>
    <x v="0"/>
    <x v="5"/>
    <x v="9"/>
    <s v="LT_KauU"/>
    <x v="2"/>
    <x v="187"/>
    <x v="0"/>
    <x v="15"/>
    <n v="245.90163934426201"/>
    <n v="89754.098360655698"/>
    <n v="323114.75409836101"/>
  </r>
  <r>
    <x v="0"/>
    <x v="0"/>
    <x v="0"/>
    <x v="5"/>
    <x v="9"/>
    <s v="LT_KauU"/>
    <x v="2"/>
    <x v="187"/>
    <x v="0"/>
    <x v="16"/>
    <n v="245.90163934426201"/>
    <n v="89754.098360655698"/>
    <n v="323114.75409836101"/>
  </r>
  <r>
    <x v="0"/>
    <x v="0"/>
    <x v="0"/>
    <x v="5"/>
    <x v="9"/>
    <s v="LT_KauU"/>
    <x v="2"/>
    <x v="187"/>
    <x v="0"/>
    <x v="17"/>
    <n v="245.90163934426201"/>
    <n v="89754.098360655698"/>
    <n v="323114.75409836101"/>
  </r>
  <r>
    <x v="0"/>
    <x v="0"/>
    <x v="0"/>
    <x v="5"/>
    <x v="9"/>
    <s v="LT_KauU"/>
    <x v="2"/>
    <x v="187"/>
    <x v="0"/>
    <x v="18"/>
    <n v="245.90163934426201"/>
    <n v="89754.098360655698"/>
    <n v="323114.75409836101"/>
  </r>
  <r>
    <x v="0"/>
    <x v="0"/>
    <x v="0"/>
    <x v="5"/>
    <x v="9"/>
    <s v="LT_KauU"/>
    <x v="2"/>
    <x v="188"/>
    <x v="0"/>
    <x v="8"/>
    <n v="354.83870967741899"/>
    <n v="129516.129032258"/>
    <n v="466258.06451612897"/>
  </r>
  <r>
    <x v="0"/>
    <x v="0"/>
    <x v="0"/>
    <x v="5"/>
    <x v="9"/>
    <s v="LT_KauU"/>
    <x v="2"/>
    <x v="188"/>
    <x v="0"/>
    <x v="0"/>
    <n v="354.83870967741899"/>
    <n v="129516.129032258"/>
    <n v="466258.06451612897"/>
  </r>
  <r>
    <x v="0"/>
    <x v="0"/>
    <x v="0"/>
    <x v="5"/>
    <x v="9"/>
    <s v="LT_KauU"/>
    <x v="2"/>
    <x v="188"/>
    <x v="0"/>
    <x v="1"/>
    <n v="354.83870967741899"/>
    <n v="129516.129032258"/>
    <n v="466258.06451612897"/>
  </r>
  <r>
    <x v="0"/>
    <x v="0"/>
    <x v="0"/>
    <x v="5"/>
    <x v="9"/>
    <s v="LT_KauU"/>
    <x v="2"/>
    <x v="188"/>
    <x v="0"/>
    <x v="2"/>
    <n v="354.83870967741899"/>
    <n v="129516.129032258"/>
    <n v="466258.06451612897"/>
  </r>
  <r>
    <x v="0"/>
    <x v="0"/>
    <x v="0"/>
    <x v="5"/>
    <x v="9"/>
    <s v="LT_KauU"/>
    <x v="2"/>
    <x v="188"/>
    <x v="0"/>
    <x v="9"/>
    <n v="354.83870967741899"/>
    <n v="129516.129032258"/>
    <n v="466258.06451612897"/>
  </r>
  <r>
    <x v="0"/>
    <x v="0"/>
    <x v="0"/>
    <x v="5"/>
    <x v="9"/>
    <s v="LT_KauU"/>
    <x v="2"/>
    <x v="188"/>
    <x v="0"/>
    <x v="10"/>
    <n v="354.83870967741899"/>
    <n v="129516.129032258"/>
    <n v="466258.06451612897"/>
  </r>
  <r>
    <x v="0"/>
    <x v="0"/>
    <x v="0"/>
    <x v="5"/>
    <x v="9"/>
    <s v="LT_KauU"/>
    <x v="2"/>
    <x v="188"/>
    <x v="0"/>
    <x v="11"/>
    <n v="354.83870967741899"/>
    <n v="129516.129032258"/>
    <n v="466258.06451612897"/>
  </r>
  <r>
    <x v="0"/>
    <x v="0"/>
    <x v="0"/>
    <x v="5"/>
    <x v="9"/>
    <s v="LT_KauU"/>
    <x v="2"/>
    <x v="188"/>
    <x v="0"/>
    <x v="12"/>
    <n v="354.83870967741899"/>
    <n v="129516.129032258"/>
    <n v="466258.06451612897"/>
  </r>
  <r>
    <x v="0"/>
    <x v="0"/>
    <x v="0"/>
    <x v="5"/>
    <x v="9"/>
    <s v="LT_KauU"/>
    <x v="2"/>
    <x v="188"/>
    <x v="0"/>
    <x v="13"/>
    <n v="354.83870967741899"/>
    <n v="129516.129032258"/>
    <n v="466258.06451612897"/>
  </r>
  <r>
    <x v="0"/>
    <x v="0"/>
    <x v="0"/>
    <x v="5"/>
    <x v="9"/>
    <s v="LT_KauU"/>
    <x v="2"/>
    <x v="188"/>
    <x v="0"/>
    <x v="14"/>
    <n v="354.83870967741899"/>
    <n v="129516.129032258"/>
    <n v="466258.06451612897"/>
  </r>
  <r>
    <x v="0"/>
    <x v="0"/>
    <x v="0"/>
    <x v="5"/>
    <x v="9"/>
    <s v="LT_KauU"/>
    <x v="2"/>
    <x v="188"/>
    <x v="0"/>
    <x v="15"/>
    <n v="354.83870967741899"/>
    <n v="129516.129032258"/>
    <n v="466258.06451612897"/>
  </r>
  <r>
    <x v="0"/>
    <x v="0"/>
    <x v="0"/>
    <x v="5"/>
    <x v="9"/>
    <s v="LT_KauU"/>
    <x v="2"/>
    <x v="188"/>
    <x v="0"/>
    <x v="16"/>
    <n v="354.83870967741899"/>
    <n v="129516.129032258"/>
    <n v="466258.06451612897"/>
  </r>
  <r>
    <x v="0"/>
    <x v="0"/>
    <x v="0"/>
    <x v="5"/>
    <x v="9"/>
    <s v="LT_KauU"/>
    <x v="2"/>
    <x v="188"/>
    <x v="0"/>
    <x v="17"/>
    <n v="354.83870967741899"/>
    <n v="129516.129032258"/>
    <n v="466258.06451612897"/>
  </r>
  <r>
    <x v="0"/>
    <x v="0"/>
    <x v="0"/>
    <x v="5"/>
    <x v="9"/>
    <s v="LT_KauU"/>
    <x v="2"/>
    <x v="188"/>
    <x v="0"/>
    <x v="18"/>
    <n v="354.83870967741899"/>
    <n v="129516.129032258"/>
    <n v="466258.06451612897"/>
  </r>
  <r>
    <x v="0"/>
    <x v="0"/>
    <x v="0"/>
    <x v="5"/>
    <x v="9"/>
    <s v="LT_KauU"/>
    <x v="2"/>
    <x v="188"/>
    <x v="0"/>
    <x v="19"/>
    <n v="354.83870967741899"/>
    <n v="129516.129032258"/>
    <n v="466258.06451612897"/>
  </r>
  <r>
    <x v="0"/>
    <x v="0"/>
    <x v="0"/>
    <x v="5"/>
    <x v="9"/>
    <s v="LT_KauU"/>
    <x v="2"/>
    <x v="188"/>
    <x v="0"/>
    <x v="20"/>
    <n v="354.83870967741899"/>
    <n v="129516.129032258"/>
    <n v="466258.06451612897"/>
  </r>
  <r>
    <x v="0"/>
    <x v="0"/>
    <x v="0"/>
    <x v="5"/>
    <x v="9"/>
    <s v="LT_KauU"/>
    <x v="7"/>
    <x v="46"/>
    <x v="0"/>
    <x v="3"/>
    <n v="70.027397260273901"/>
    <n v="25560"/>
    <n v="92016"/>
  </r>
  <r>
    <x v="0"/>
    <x v="0"/>
    <x v="0"/>
    <x v="5"/>
    <x v="9"/>
    <s v="LT_KauU"/>
    <x v="7"/>
    <x v="46"/>
    <x v="0"/>
    <x v="4"/>
    <n v="70.027397260273901"/>
    <n v="25560"/>
    <n v="92016"/>
  </r>
  <r>
    <x v="0"/>
    <x v="0"/>
    <x v="0"/>
    <x v="5"/>
    <x v="9"/>
    <s v="LT_KauU"/>
    <x v="7"/>
    <x v="46"/>
    <x v="0"/>
    <x v="5"/>
    <n v="70.027397260273901"/>
    <n v="25560"/>
    <n v="92016"/>
  </r>
  <r>
    <x v="0"/>
    <x v="0"/>
    <x v="0"/>
    <x v="5"/>
    <x v="9"/>
    <s v="LT_KauU"/>
    <x v="7"/>
    <x v="46"/>
    <x v="0"/>
    <x v="6"/>
    <n v="70.027397260273901"/>
    <n v="25560"/>
    <n v="92016"/>
  </r>
  <r>
    <x v="0"/>
    <x v="0"/>
    <x v="0"/>
    <x v="5"/>
    <x v="9"/>
    <s v="LT_KauU"/>
    <x v="7"/>
    <x v="46"/>
    <x v="0"/>
    <x v="7"/>
    <n v="70.027397260273901"/>
    <n v="25560"/>
    <n v="92016"/>
  </r>
  <r>
    <x v="0"/>
    <x v="0"/>
    <x v="0"/>
    <x v="5"/>
    <x v="9"/>
    <s v="LT_KauU"/>
    <x v="7"/>
    <x v="46"/>
    <x v="0"/>
    <x v="8"/>
    <n v="70.027397260273901"/>
    <n v="25560"/>
    <n v="92016"/>
  </r>
  <r>
    <x v="0"/>
    <x v="0"/>
    <x v="0"/>
    <x v="5"/>
    <x v="9"/>
    <s v="LT_KauU"/>
    <x v="7"/>
    <x v="46"/>
    <x v="0"/>
    <x v="0"/>
    <n v="70.027397260273901"/>
    <n v="25560"/>
    <n v="92016"/>
  </r>
  <r>
    <x v="0"/>
    <x v="0"/>
    <x v="0"/>
    <x v="5"/>
    <x v="9"/>
    <s v="LT_KauU"/>
    <x v="7"/>
    <x v="46"/>
    <x v="0"/>
    <x v="1"/>
    <n v="70.027397260273901"/>
    <n v="25560"/>
    <n v="92016"/>
  </r>
  <r>
    <x v="0"/>
    <x v="0"/>
    <x v="0"/>
    <x v="5"/>
    <x v="9"/>
    <s v="LT_KauU"/>
    <x v="7"/>
    <x v="46"/>
    <x v="0"/>
    <x v="2"/>
    <n v="70.027397260273901"/>
    <n v="25560"/>
    <n v="92016"/>
  </r>
  <r>
    <x v="0"/>
    <x v="0"/>
    <x v="0"/>
    <x v="5"/>
    <x v="9"/>
    <s v="LT_KauU"/>
    <x v="7"/>
    <x v="46"/>
    <x v="0"/>
    <x v="9"/>
    <n v="70.027397260273901"/>
    <n v="25560"/>
    <n v="92016"/>
  </r>
  <r>
    <x v="0"/>
    <x v="0"/>
    <x v="0"/>
    <x v="5"/>
    <x v="9"/>
    <s v="LT_KauU"/>
    <x v="7"/>
    <x v="46"/>
    <x v="0"/>
    <x v="10"/>
    <n v="70.027397260273901"/>
    <n v="25560"/>
    <n v="92016"/>
  </r>
  <r>
    <x v="0"/>
    <x v="0"/>
    <x v="0"/>
    <x v="5"/>
    <x v="9"/>
    <s v="LT_KauU"/>
    <x v="7"/>
    <x v="46"/>
    <x v="0"/>
    <x v="11"/>
    <n v="70.027397260273901"/>
    <n v="25560"/>
    <n v="92016"/>
  </r>
  <r>
    <x v="0"/>
    <x v="0"/>
    <x v="0"/>
    <x v="5"/>
    <x v="9"/>
    <s v="LT_KauU"/>
    <x v="7"/>
    <x v="46"/>
    <x v="0"/>
    <x v="12"/>
    <n v="70.027397260273901"/>
    <n v="25560"/>
    <n v="92016"/>
  </r>
  <r>
    <x v="0"/>
    <x v="0"/>
    <x v="0"/>
    <x v="5"/>
    <x v="9"/>
    <s v="LT_KauU"/>
    <x v="7"/>
    <x v="46"/>
    <x v="0"/>
    <x v="13"/>
    <n v="70.027397260273901"/>
    <n v="25560"/>
    <n v="92016"/>
  </r>
  <r>
    <x v="0"/>
    <x v="0"/>
    <x v="0"/>
    <x v="5"/>
    <x v="9"/>
    <s v="LT_KauU"/>
    <x v="7"/>
    <x v="46"/>
    <x v="0"/>
    <x v="14"/>
    <n v="70.027397260273901"/>
    <n v="25560"/>
    <n v="92016"/>
  </r>
  <r>
    <x v="0"/>
    <x v="0"/>
    <x v="0"/>
    <x v="5"/>
    <x v="9"/>
    <s v="LT_KauU"/>
    <x v="7"/>
    <x v="46"/>
    <x v="0"/>
    <x v="15"/>
    <n v="70.027397260273901"/>
    <n v="25560"/>
    <n v="92016"/>
  </r>
  <r>
    <x v="0"/>
    <x v="0"/>
    <x v="0"/>
    <x v="5"/>
    <x v="9"/>
    <s v="LT_KauU"/>
    <x v="7"/>
    <x v="46"/>
    <x v="0"/>
    <x v="16"/>
    <n v="70.027397260273901"/>
    <n v="25560"/>
    <n v="92016"/>
  </r>
  <r>
    <x v="0"/>
    <x v="0"/>
    <x v="0"/>
    <x v="5"/>
    <x v="9"/>
    <s v="LT_KauU"/>
    <x v="7"/>
    <x v="46"/>
    <x v="0"/>
    <x v="17"/>
    <n v="70.027397260273901"/>
    <n v="25560"/>
    <n v="92016"/>
  </r>
  <r>
    <x v="0"/>
    <x v="0"/>
    <x v="0"/>
    <x v="5"/>
    <x v="9"/>
    <s v="LT_KauU"/>
    <x v="7"/>
    <x v="46"/>
    <x v="0"/>
    <x v="18"/>
    <n v="70.027397260273901"/>
    <n v="25560"/>
    <n v="92016"/>
  </r>
  <r>
    <x v="0"/>
    <x v="0"/>
    <x v="0"/>
    <x v="5"/>
    <x v="9"/>
    <s v="LT_KauU"/>
    <x v="7"/>
    <x v="46"/>
    <x v="0"/>
    <x v="19"/>
    <n v="70.027397260273901"/>
    <n v="25560"/>
    <n v="92016"/>
  </r>
  <r>
    <x v="0"/>
    <x v="0"/>
    <x v="0"/>
    <x v="5"/>
    <x v="9"/>
    <s v="LT_KauU"/>
    <x v="7"/>
    <x v="46"/>
    <x v="0"/>
    <x v="20"/>
    <n v="70.027397260273901"/>
    <n v="25560"/>
    <n v="92016"/>
  </r>
  <r>
    <x v="0"/>
    <x v="0"/>
    <x v="0"/>
    <x v="5"/>
    <x v="9"/>
    <s v="LT_KauU"/>
    <x v="7"/>
    <x v="46"/>
    <x v="0"/>
    <x v="21"/>
    <n v="70.027397260273901"/>
    <n v="25560"/>
    <n v="92016"/>
  </r>
  <r>
    <x v="0"/>
    <x v="0"/>
    <x v="0"/>
    <x v="5"/>
    <x v="9"/>
    <s v="LT_KauU"/>
    <x v="7"/>
    <x v="46"/>
    <x v="0"/>
    <x v="22"/>
    <n v="70.027397260273901"/>
    <n v="25560"/>
    <n v="92016"/>
  </r>
  <r>
    <x v="0"/>
    <x v="0"/>
    <x v="0"/>
    <x v="5"/>
    <x v="9"/>
    <s v="LT_KauU"/>
    <x v="7"/>
    <x v="46"/>
    <x v="0"/>
    <x v="23"/>
    <n v="70.027397260273901"/>
    <n v="25560"/>
    <n v="92016"/>
  </r>
  <r>
    <x v="0"/>
    <x v="0"/>
    <x v="0"/>
    <x v="5"/>
    <x v="9"/>
    <s v="LT_KlaU"/>
    <x v="6"/>
    <x v="45"/>
    <x v="0"/>
    <x v="2"/>
    <n v="1.7762462043374301"/>
    <n v="648.32986458316304"/>
    <n v="2333.98751249939"/>
  </r>
  <r>
    <x v="0"/>
    <x v="0"/>
    <x v="0"/>
    <x v="5"/>
    <x v="9"/>
    <s v="LT_KlaU"/>
    <x v="6"/>
    <x v="45"/>
    <x v="0"/>
    <x v="9"/>
    <n v="13.371945784448"/>
    <n v="4880.7602113234998"/>
    <n v="17570.736760764601"/>
  </r>
  <r>
    <x v="0"/>
    <x v="0"/>
    <x v="0"/>
    <x v="5"/>
    <x v="9"/>
    <s v="LT_KlaU"/>
    <x v="6"/>
    <x v="45"/>
    <x v="0"/>
    <x v="10"/>
    <n v="30.888466045683298"/>
    <n v="11274.2901066744"/>
    <n v="40587.444384027804"/>
  </r>
  <r>
    <x v="0"/>
    <x v="0"/>
    <x v="0"/>
    <x v="5"/>
    <x v="9"/>
    <s v="LT_KlaU"/>
    <x v="6"/>
    <x v="45"/>
    <x v="0"/>
    <x v="11"/>
    <n v="47.038643072812803"/>
    <n v="17169.104721576699"/>
    <n v="61808.776997676097"/>
  </r>
  <r>
    <x v="0"/>
    <x v="0"/>
    <x v="0"/>
    <x v="5"/>
    <x v="9"/>
    <s v="LT_KlaU"/>
    <x v="6"/>
    <x v="45"/>
    <x v="0"/>
    <x v="12"/>
    <n v="53.478674182897798"/>
    <n v="19519.716076757701"/>
    <n v="70270.977876327699"/>
  </r>
  <r>
    <x v="0"/>
    <x v="0"/>
    <x v="0"/>
    <x v="5"/>
    <x v="9"/>
    <s v="LT_KlaU"/>
    <x v="6"/>
    <x v="45"/>
    <x v="0"/>
    <x v="13"/>
    <n v="46.501214734064597"/>
    <n v="16972.9433779336"/>
    <n v="61102.596160560897"/>
  </r>
  <r>
    <x v="0"/>
    <x v="0"/>
    <x v="0"/>
    <x v="5"/>
    <x v="9"/>
    <s v="LT_KlaU"/>
    <x v="6"/>
    <x v="45"/>
    <x v="0"/>
    <x v="14"/>
    <n v="30.2599481579946"/>
    <n v="11044.881077668"/>
    <n v="39761.571879604897"/>
  </r>
  <r>
    <x v="0"/>
    <x v="0"/>
    <x v="0"/>
    <x v="5"/>
    <x v="9"/>
    <s v="LT_KlaU"/>
    <x v="6"/>
    <x v="45"/>
    <x v="0"/>
    <x v="15"/>
    <n v="15.3212621317721"/>
    <n v="5592.2606780968199"/>
    <n v="20132.1384411486"/>
  </r>
  <r>
    <x v="0"/>
    <x v="0"/>
    <x v="0"/>
    <x v="5"/>
    <x v="9"/>
    <s v="LT_KlaU"/>
    <x v="6"/>
    <x v="45"/>
    <x v="0"/>
    <x v="16"/>
    <n v="1.9948611217943499"/>
    <n v="728.12430945493702"/>
    <n v="2621.2475140377701"/>
  </r>
  <r>
    <x v="0"/>
    <x v="0"/>
    <x v="0"/>
    <x v="5"/>
    <x v="9"/>
    <s v="LT_Other_DH"/>
    <x v="20"/>
    <x v="189"/>
    <x v="0"/>
    <x v="3"/>
    <n v="85.294117647058798"/>
    <n v="31132.352941176501"/>
    <n v="112076.470588235"/>
  </r>
  <r>
    <x v="0"/>
    <x v="0"/>
    <x v="0"/>
    <x v="5"/>
    <x v="9"/>
    <s v="LT_Other_DH"/>
    <x v="20"/>
    <x v="189"/>
    <x v="0"/>
    <x v="4"/>
    <n v="85.294117647058798"/>
    <n v="31132.352941176501"/>
    <n v="112076.470588235"/>
  </r>
  <r>
    <x v="0"/>
    <x v="0"/>
    <x v="0"/>
    <x v="5"/>
    <x v="9"/>
    <s v="LT_Other_DH"/>
    <x v="20"/>
    <x v="189"/>
    <x v="0"/>
    <x v="5"/>
    <n v="85.294117647058798"/>
    <n v="31132.352941176501"/>
    <n v="112076.470588235"/>
  </r>
  <r>
    <x v="0"/>
    <x v="0"/>
    <x v="0"/>
    <x v="5"/>
    <x v="9"/>
    <s v="LT_Other_DH"/>
    <x v="20"/>
    <x v="189"/>
    <x v="0"/>
    <x v="6"/>
    <n v="85.294117647058798"/>
    <n v="31132.352941176501"/>
    <n v="112076.470588235"/>
  </r>
  <r>
    <x v="0"/>
    <x v="0"/>
    <x v="0"/>
    <x v="5"/>
    <x v="9"/>
    <s v="LT_Other_DH"/>
    <x v="20"/>
    <x v="189"/>
    <x v="0"/>
    <x v="7"/>
    <n v="85.294117647058798"/>
    <n v="31132.352941176501"/>
    <n v="112076.470588235"/>
  </r>
  <r>
    <x v="0"/>
    <x v="0"/>
    <x v="0"/>
    <x v="5"/>
    <x v="9"/>
    <s v="LT_Other_DH"/>
    <x v="20"/>
    <x v="189"/>
    <x v="0"/>
    <x v="8"/>
    <n v="85.294117647058798"/>
    <n v="31132.352941176501"/>
    <n v="112076.470588235"/>
  </r>
  <r>
    <x v="0"/>
    <x v="0"/>
    <x v="0"/>
    <x v="5"/>
    <x v="9"/>
    <s v="LT_Other_DH"/>
    <x v="20"/>
    <x v="189"/>
    <x v="0"/>
    <x v="0"/>
    <n v="85.294117647058798"/>
    <n v="31132.352941176501"/>
    <n v="112076.470588235"/>
  </r>
  <r>
    <x v="0"/>
    <x v="0"/>
    <x v="0"/>
    <x v="5"/>
    <x v="9"/>
    <s v="LT_Other_DH"/>
    <x v="20"/>
    <x v="189"/>
    <x v="0"/>
    <x v="1"/>
    <n v="85.294117647058798"/>
    <n v="31132.352941176501"/>
    <n v="112076.470588235"/>
  </r>
  <r>
    <x v="0"/>
    <x v="0"/>
    <x v="0"/>
    <x v="5"/>
    <x v="9"/>
    <s v="LT_Other_DH"/>
    <x v="20"/>
    <x v="189"/>
    <x v="0"/>
    <x v="2"/>
    <n v="85.294117647058798"/>
    <n v="31132.352941176501"/>
    <n v="112076.470588235"/>
  </r>
  <r>
    <x v="0"/>
    <x v="0"/>
    <x v="0"/>
    <x v="5"/>
    <x v="9"/>
    <s v="LT_Other_DH"/>
    <x v="20"/>
    <x v="189"/>
    <x v="0"/>
    <x v="9"/>
    <n v="85.294117647058798"/>
    <n v="31132.352941176501"/>
    <n v="112076.470588235"/>
  </r>
  <r>
    <x v="0"/>
    <x v="0"/>
    <x v="0"/>
    <x v="5"/>
    <x v="9"/>
    <s v="LT_Other_DH"/>
    <x v="20"/>
    <x v="189"/>
    <x v="0"/>
    <x v="10"/>
    <n v="85.294117647058798"/>
    <n v="31132.352941176501"/>
    <n v="112076.470588235"/>
  </r>
  <r>
    <x v="0"/>
    <x v="0"/>
    <x v="0"/>
    <x v="5"/>
    <x v="9"/>
    <s v="LT_Other_DH"/>
    <x v="20"/>
    <x v="189"/>
    <x v="0"/>
    <x v="11"/>
    <n v="85.294117647058798"/>
    <n v="31132.352941176501"/>
    <n v="112076.470588235"/>
  </r>
  <r>
    <x v="0"/>
    <x v="0"/>
    <x v="0"/>
    <x v="5"/>
    <x v="9"/>
    <s v="LT_Other_DH"/>
    <x v="20"/>
    <x v="189"/>
    <x v="0"/>
    <x v="12"/>
    <n v="85.294117647058798"/>
    <n v="31132.352941176501"/>
    <n v="112076.470588235"/>
  </r>
  <r>
    <x v="0"/>
    <x v="0"/>
    <x v="0"/>
    <x v="5"/>
    <x v="9"/>
    <s v="LT_Other_DH"/>
    <x v="20"/>
    <x v="189"/>
    <x v="0"/>
    <x v="13"/>
    <n v="85.294117647058798"/>
    <n v="31132.352941176501"/>
    <n v="112076.470588235"/>
  </r>
  <r>
    <x v="0"/>
    <x v="0"/>
    <x v="0"/>
    <x v="5"/>
    <x v="9"/>
    <s v="LT_Other_DH"/>
    <x v="20"/>
    <x v="189"/>
    <x v="0"/>
    <x v="14"/>
    <n v="85.294117647058798"/>
    <n v="31132.352941176501"/>
    <n v="112076.470588235"/>
  </r>
  <r>
    <x v="0"/>
    <x v="0"/>
    <x v="0"/>
    <x v="5"/>
    <x v="9"/>
    <s v="LT_Other_DH"/>
    <x v="20"/>
    <x v="189"/>
    <x v="0"/>
    <x v="15"/>
    <n v="85.294117647058798"/>
    <n v="31132.352941176501"/>
    <n v="112076.470588235"/>
  </r>
  <r>
    <x v="0"/>
    <x v="0"/>
    <x v="0"/>
    <x v="5"/>
    <x v="9"/>
    <s v="LT_Other_DH"/>
    <x v="20"/>
    <x v="189"/>
    <x v="0"/>
    <x v="16"/>
    <n v="85.294117647058798"/>
    <n v="31132.352941176501"/>
    <n v="112076.470588235"/>
  </r>
  <r>
    <x v="0"/>
    <x v="0"/>
    <x v="0"/>
    <x v="5"/>
    <x v="9"/>
    <s v="LT_Other_DH"/>
    <x v="20"/>
    <x v="189"/>
    <x v="0"/>
    <x v="17"/>
    <n v="85.294117647058798"/>
    <n v="31132.352941176501"/>
    <n v="112076.470588235"/>
  </r>
  <r>
    <x v="0"/>
    <x v="0"/>
    <x v="0"/>
    <x v="5"/>
    <x v="9"/>
    <s v="LT_Other_DH"/>
    <x v="20"/>
    <x v="189"/>
    <x v="0"/>
    <x v="18"/>
    <n v="85.294117647058798"/>
    <n v="31132.352941176501"/>
    <n v="112076.470588235"/>
  </r>
  <r>
    <x v="0"/>
    <x v="0"/>
    <x v="0"/>
    <x v="5"/>
    <x v="9"/>
    <s v="LT_Other_DH"/>
    <x v="20"/>
    <x v="189"/>
    <x v="0"/>
    <x v="19"/>
    <n v="85.294117647058798"/>
    <n v="31132.352941176501"/>
    <n v="112076.470588235"/>
  </r>
  <r>
    <x v="0"/>
    <x v="0"/>
    <x v="0"/>
    <x v="5"/>
    <x v="9"/>
    <s v="LT_Other_DH"/>
    <x v="20"/>
    <x v="189"/>
    <x v="0"/>
    <x v="20"/>
    <n v="85.294117647058798"/>
    <n v="31132.352941176501"/>
    <n v="112076.470588235"/>
  </r>
  <r>
    <x v="0"/>
    <x v="0"/>
    <x v="0"/>
    <x v="5"/>
    <x v="9"/>
    <s v="LT_Other_DH"/>
    <x v="20"/>
    <x v="189"/>
    <x v="0"/>
    <x v="21"/>
    <n v="85.294117647058798"/>
    <n v="31132.352941176501"/>
    <n v="112076.470588235"/>
  </r>
  <r>
    <x v="0"/>
    <x v="0"/>
    <x v="0"/>
    <x v="5"/>
    <x v="9"/>
    <s v="LT_Other_DH"/>
    <x v="20"/>
    <x v="189"/>
    <x v="0"/>
    <x v="22"/>
    <n v="85.294117647058798"/>
    <n v="31132.352941176501"/>
    <n v="112076.470588235"/>
  </r>
  <r>
    <x v="0"/>
    <x v="0"/>
    <x v="0"/>
    <x v="5"/>
    <x v="9"/>
    <s v="LT_Other_DH"/>
    <x v="20"/>
    <x v="189"/>
    <x v="0"/>
    <x v="23"/>
    <n v="85.294117647058798"/>
    <n v="31132.352941176501"/>
    <n v="112076.470588235"/>
  </r>
  <r>
    <x v="0"/>
    <x v="0"/>
    <x v="0"/>
    <x v="5"/>
    <x v="9"/>
    <s v="LT_Other_DH"/>
    <x v="2"/>
    <x v="190"/>
    <x v="0"/>
    <x v="3"/>
    <n v="57.894736842105303"/>
    <n v="21131.578947368402"/>
    <n v="76073.684210526306"/>
  </r>
  <r>
    <x v="0"/>
    <x v="0"/>
    <x v="0"/>
    <x v="5"/>
    <x v="9"/>
    <s v="LT_Other_DH"/>
    <x v="2"/>
    <x v="190"/>
    <x v="0"/>
    <x v="4"/>
    <n v="57.894736842105303"/>
    <n v="21131.578947368402"/>
    <n v="76073.684210526306"/>
  </r>
  <r>
    <x v="0"/>
    <x v="0"/>
    <x v="0"/>
    <x v="5"/>
    <x v="9"/>
    <s v="LT_Other_DH"/>
    <x v="2"/>
    <x v="190"/>
    <x v="0"/>
    <x v="5"/>
    <n v="57.894736842105303"/>
    <n v="21131.578947368402"/>
    <n v="76073.684210526306"/>
  </r>
  <r>
    <x v="0"/>
    <x v="0"/>
    <x v="0"/>
    <x v="5"/>
    <x v="9"/>
    <s v="LT_Other_DH"/>
    <x v="2"/>
    <x v="190"/>
    <x v="0"/>
    <x v="6"/>
    <n v="57.894736842105303"/>
    <n v="21131.578947368402"/>
    <n v="76073.684210526306"/>
  </r>
  <r>
    <x v="0"/>
    <x v="0"/>
    <x v="0"/>
    <x v="5"/>
    <x v="9"/>
    <s v="LT_Other_DH"/>
    <x v="2"/>
    <x v="190"/>
    <x v="0"/>
    <x v="7"/>
    <n v="57.894736842105303"/>
    <n v="21131.578947368402"/>
    <n v="76073.684210526306"/>
  </r>
  <r>
    <x v="0"/>
    <x v="0"/>
    <x v="0"/>
    <x v="5"/>
    <x v="9"/>
    <s v="LT_Other_DH"/>
    <x v="2"/>
    <x v="190"/>
    <x v="0"/>
    <x v="8"/>
    <n v="57.894736842105303"/>
    <n v="21131.578947368402"/>
    <n v="76073.684210526306"/>
  </r>
  <r>
    <x v="0"/>
    <x v="0"/>
    <x v="0"/>
    <x v="5"/>
    <x v="9"/>
    <s v="LT_Other_DH"/>
    <x v="2"/>
    <x v="190"/>
    <x v="0"/>
    <x v="0"/>
    <n v="57.894736842105303"/>
    <n v="21131.578947368402"/>
    <n v="76073.684210526306"/>
  </r>
  <r>
    <x v="0"/>
    <x v="0"/>
    <x v="0"/>
    <x v="5"/>
    <x v="9"/>
    <s v="LT_Other_DH"/>
    <x v="2"/>
    <x v="190"/>
    <x v="0"/>
    <x v="1"/>
    <n v="57.894736842105303"/>
    <n v="21131.578947368402"/>
    <n v="76073.684210526306"/>
  </r>
  <r>
    <x v="0"/>
    <x v="0"/>
    <x v="0"/>
    <x v="5"/>
    <x v="9"/>
    <s v="LT_Other_DH"/>
    <x v="2"/>
    <x v="190"/>
    <x v="0"/>
    <x v="2"/>
    <n v="57.894736842105303"/>
    <n v="21131.578947368402"/>
    <n v="76073.684210526306"/>
  </r>
  <r>
    <x v="0"/>
    <x v="0"/>
    <x v="0"/>
    <x v="5"/>
    <x v="9"/>
    <s v="LT_Other_DH"/>
    <x v="2"/>
    <x v="190"/>
    <x v="0"/>
    <x v="9"/>
    <n v="57.894736842105303"/>
    <n v="21131.578947368402"/>
    <n v="76073.684210526306"/>
  </r>
  <r>
    <x v="0"/>
    <x v="0"/>
    <x v="0"/>
    <x v="5"/>
    <x v="9"/>
    <s v="LT_Other_DH"/>
    <x v="2"/>
    <x v="190"/>
    <x v="0"/>
    <x v="10"/>
    <n v="57.894736842105303"/>
    <n v="21131.578947368402"/>
    <n v="76073.684210526306"/>
  </r>
  <r>
    <x v="0"/>
    <x v="0"/>
    <x v="0"/>
    <x v="5"/>
    <x v="9"/>
    <s v="LT_Other_DH"/>
    <x v="2"/>
    <x v="190"/>
    <x v="0"/>
    <x v="11"/>
    <n v="57.894736842105303"/>
    <n v="21131.578947368402"/>
    <n v="76073.684210526306"/>
  </r>
  <r>
    <x v="0"/>
    <x v="0"/>
    <x v="0"/>
    <x v="5"/>
    <x v="9"/>
    <s v="LT_Other_DH"/>
    <x v="2"/>
    <x v="190"/>
    <x v="0"/>
    <x v="12"/>
    <n v="57.894736842105303"/>
    <n v="21131.578947368402"/>
    <n v="76073.684210526306"/>
  </r>
  <r>
    <x v="0"/>
    <x v="0"/>
    <x v="0"/>
    <x v="5"/>
    <x v="9"/>
    <s v="LT_Other_DH"/>
    <x v="2"/>
    <x v="190"/>
    <x v="0"/>
    <x v="13"/>
    <n v="57.894736842105303"/>
    <n v="21131.578947368402"/>
    <n v="76073.684210526306"/>
  </r>
  <r>
    <x v="0"/>
    <x v="0"/>
    <x v="0"/>
    <x v="5"/>
    <x v="9"/>
    <s v="LT_Other_DH"/>
    <x v="2"/>
    <x v="190"/>
    <x v="0"/>
    <x v="14"/>
    <n v="57.894736842105303"/>
    <n v="21131.578947368402"/>
    <n v="76073.684210526306"/>
  </r>
  <r>
    <x v="0"/>
    <x v="0"/>
    <x v="0"/>
    <x v="5"/>
    <x v="9"/>
    <s v="LT_Other_DH"/>
    <x v="2"/>
    <x v="190"/>
    <x v="0"/>
    <x v="15"/>
    <n v="57.894736842105303"/>
    <n v="21131.578947368402"/>
    <n v="76073.684210526306"/>
  </r>
  <r>
    <x v="0"/>
    <x v="0"/>
    <x v="0"/>
    <x v="5"/>
    <x v="9"/>
    <s v="LT_Other_DH"/>
    <x v="2"/>
    <x v="190"/>
    <x v="0"/>
    <x v="16"/>
    <n v="57.894736842105303"/>
    <n v="21131.578947368402"/>
    <n v="76073.684210526306"/>
  </r>
  <r>
    <x v="0"/>
    <x v="0"/>
    <x v="0"/>
    <x v="5"/>
    <x v="9"/>
    <s v="LT_Other_DH"/>
    <x v="2"/>
    <x v="190"/>
    <x v="0"/>
    <x v="17"/>
    <n v="57.894736842105303"/>
    <n v="21131.578947368402"/>
    <n v="76073.684210526306"/>
  </r>
  <r>
    <x v="0"/>
    <x v="0"/>
    <x v="0"/>
    <x v="5"/>
    <x v="9"/>
    <s v="LT_Other_DH"/>
    <x v="2"/>
    <x v="190"/>
    <x v="0"/>
    <x v="18"/>
    <n v="57.894736842105303"/>
    <n v="21131.578947368402"/>
    <n v="76073.684210526306"/>
  </r>
  <r>
    <x v="0"/>
    <x v="0"/>
    <x v="0"/>
    <x v="5"/>
    <x v="9"/>
    <s v="LT_Other_DH"/>
    <x v="2"/>
    <x v="190"/>
    <x v="0"/>
    <x v="19"/>
    <n v="57.894736842105303"/>
    <n v="21131.578947368402"/>
    <n v="76073.684210526306"/>
  </r>
  <r>
    <x v="0"/>
    <x v="0"/>
    <x v="0"/>
    <x v="5"/>
    <x v="9"/>
    <s v="LT_Other_DH"/>
    <x v="2"/>
    <x v="190"/>
    <x v="0"/>
    <x v="20"/>
    <n v="57.894736842105303"/>
    <n v="21131.578947368402"/>
    <n v="76073.684210526306"/>
  </r>
  <r>
    <x v="0"/>
    <x v="0"/>
    <x v="0"/>
    <x v="5"/>
    <x v="9"/>
    <s v="LT_Other_DH"/>
    <x v="2"/>
    <x v="190"/>
    <x v="0"/>
    <x v="21"/>
    <n v="57.894736842105303"/>
    <n v="21131.578947368402"/>
    <n v="76073.684210526306"/>
  </r>
  <r>
    <x v="0"/>
    <x v="0"/>
    <x v="0"/>
    <x v="5"/>
    <x v="9"/>
    <s v="LT_Other_DH"/>
    <x v="2"/>
    <x v="190"/>
    <x v="0"/>
    <x v="22"/>
    <n v="57.894736842105303"/>
    <n v="21131.578947368402"/>
    <n v="76073.684210526306"/>
  </r>
  <r>
    <x v="0"/>
    <x v="0"/>
    <x v="0"/>
    <x v="5"/>
    <x v="9"/>
    <s v="LT_Other_DH"/>
    <x v="2"/>
    <x v="190"/>
    <x v="0"/>
    <x v="23"/>
    <n v="57.894736842105303"/>
    <n v="21131.578947368402"/>
    <n v="76073.684210526306"/>
  </r>
  <r>
    <x v="0"/>
    <x v="0"/>
    <x v="0"/>
    <x v="5"/>
    <x v="9"/>
    <s v="LT_Other_DH"/>
    <x v="2"/>
    <x v="191"/>
    <x v="0"/>
    <x v="3"/>
    <n v="142.42424242424201"/>
    <n v="51984.848484848502"/>
    <n v="187145.454545455"/>
  </r>
  <r>
    <x v="0"/>
    <x v="0"/>
    <x v="0"/>
    <x v="5"/>
    <x v="9"/>
    <s v="LT_Other_DH"/>
    <x v="2"/>
    <x v="191"/>
    <x v="0"/>
    <x v="4"/>
    <n v="142.42424242424201"/>
    <n v="51984.848484848502"/>
    <n v="187145.454545455"/>
  </r>
  <r>
    <x v="0"/>
    <x v="0"/>
    <x v="0"/>
    <x v="5"/>
    <x v="9"/>
    <s v="LT_Other_DH"/>
    <x v="2"/>
    <x v="191"/>
    <x v="0"/>
    <x v="5"/>
    <n v="142.42424242424201"/>
    <n v="51984.848484848502"/>
    <n v="187145.454545455"/>
  </r>
  <r>
    <x v="0"/>
    <x v="0"/>
    <x v="0"/>
    <x v="5"/>
    <x v="9"/>
    <s v="LT_Other_DH"/>
    <x v="2"/>
    <x v="191"/>
    <x v="0"/>
    <x v="6"/>
    <n v="142.42424242424201"/>
    <n v="51984.848484848502"/>
    <n v="187145.454545455"/>
  </r>
  <r>
    <x v="0"/>
    <x v="0"/>
    <x v="0"/>
    <x v="5"/>
    <x v="9"/>
    <s v="LT_Other_DH"/>
    <x v="2"/>
    <x v="191"/>
    <x v="0"/>
    <x v="7"/>
    <n v="142.42424242424201"/>
    <n v="51984.848484848502"/>
    <n v="187145.454545455"/>
  </r>
  <r>
    <x v="0"/>
    <x v="0"/>
    <x v="0"/>
    <x v="5"/>
    <x v="9"/>
    <s v="LT_Other_DH"/>
    <x v="2"/>
    <x v="191"/>
    <x v="0"/>
    <x v="8"/>
    <n v="142.42424242424201"/>
    <n v="51984.848484848502"/>
    <n v="187145.454545455"/>
  </r>
  <r>
    <x v="0"/>
    <x v="0"/>
    <x v="0"/>
    <x v="5"/>
    <x v="9"/>
    <s v="LT_Other_DH"/>
    <x v="2"/>
    <x v="191"/>
    <x v="0"/>
    <x v="0"/>
    <n v="142.42424242424201"/>
    <n v="51984.848484848502"/>
    <n v="187145.454545455"/>
  </r>
  <r>
    <x v="0"/>
    <x v="0"/>
    <x v="0"/>
    <x v="5"/>
    <x v="9"/>
    <s v="LT_Other_DH"/>
    <x v="2"/>
    <x v="191"/>
    <x v="0"/>
    <x v="1"/>
    <n v="142.42424242424201"/>
    <n v="51984.848484848502"/>
    <n v="187145.454545455"/>
  </r>
  <r>
    <x v="0"/>
    <x v="0"/>
    <x v="0"/>
    <x v="5"/>
    <x v="9"/>
    <s v="LT_Other_DH"/>
    <x v="2"/>
    <x v="191"/>
    <x v="0"/>
    <x v="2"/>
    <n v="142.42424242424201"/>
    <n v="51984.848484848502"/>
    <n v="187145.454545455"/>
  </r>
  <r>
    <x v="0"/>
    <x v="0"/>
    <x v="0"/>
    <x v="5"/>
    <x v="9"/>
    <s v="LT_Other_DH"/>
    <x v="2"/>
    <x v="191"/>
    <x v="0"/>
    <x v="9"/>
    <n v="142.42424242424201"/>
    <n v="51984.848484848502"/>
    <n v="187145.454545455"/>
  </r>
  <r>
    <x v="0"/>
    <x v="0"/>
    <x v="0"/>
    <x v="5"/>
    <x v="9"/>
    <s v="LT_Other_DH"/>
    <x v="2"/>
    <x v="191"/>
    <x v="0"/>
    <x v="10"/>
    <n v="142.42424242424201"/>
    <n v="51984.848484848502"/>
    <n v="187145.454545455"/>
  </r>
  <r>
    <x v="0"/>
    <x v="0"/>
    <x v="0"/>
    <x v="5"/>
    <x v="9"/>
    <s v="LT_Other_DH"/>
    <x v="2"/>
    <x v="191"/>
    <x v="0"/>
    <x v="11"/>
    <n v="142.42424242424201"/>
    <n v="51984.848484848502"/>
    <n v="187145.454545455"/>
  </r>
  <r>
    <x v="0"/>
    <x v="0"/>
    <x v="0"/>
    <x v="5"/>
    <x v="9"/>
    <s v="LT_Other_DH"/>
    <x v="2"/>
    <x v="191"/>
    <x v="0"/>
    <x v="12"/>
    <n v="142.42424242424201"/>
    <n v="51984.848484848502"/>
    <n v="187145.454545455"/>
  </r>
  <r>
    <x v="0"/>
    <x v="0"/>
    <x v="0"/>
    <x v="5"/>
    <x v="9"/>
    <s v="LT_Other_DH"/>
    <x v="2"/>
    <x v="191"/>
    <x v="0"/>
    <x v="13"/>
    <n v="142.42424242424201"/>
    <n v="51984.848484848502"/>
    <n v="187145.454545455"/>
  </r>
  <r>
    <x v="0"/>
    <x v="0"/>
    <x v="0"/>
    <x v="5"/>
    <x v="9"/>
    <s v="LT_Other_DH"/>
    <x v="2"/>
    <x v="191"/>
    <x v="0"/>
    <x v="14"/>
    <n v="142.42424242424201"/>
    <n v="51984.848484848502"/>
    <n v="187145.454545455"/>
  </r>
  <r>
    <x v="0"/>
    <x v="0"/>
    <x v="0"/>
    <x v="5"/>
    <x v="9"/>
    <s v="LT_Other_DH"/>
    <x v="2"/>
    <x v="191"/>
    <x v="0"/>
    <x v="15"/>
    <n v="142.42424242424201"/>
    <n v="51984.848484848502"/>
    <n v="187145.454545455"/>
  </r>
  <r>
    <x v="0"/>
    <x v="0"/>
    <x v="0"/>
    <x v="5"/>
    <x v="9"/>
    <s v="LT_Other_DH"/>
    <x v="2"/>
    <x v="191"/>
    <x v="0"/>
    <x v="16"/>
    <n v="142.42424242424201"/>
    <n v="51984.848484848502"/>
    <n v="187145.454545455"/>
  </r>
  <r>
    <x v="0"/>
    <x v="0"/>
    <x v="0"/>
    <x v="5"/>
    <x v="9"/>
    <s v="LT_Other_DH"/>
    <x v="2"/>
    <x v="191"/>
    <x v="0"/>
    <x v="17"/>
    <n v="142.42424242424201"/>
    <n v="51984.848484848502"/>
    <n v="187145.454545455"/>
  </r>
  <r>
    <x v="0"/>
    <x v="0"/>
    <x v="0"/>
    <x v="5"/>
    <x v="9"/>
    <s v="LT_Other_DH"/>
    <x v="2"/>
    <x v="191"/>
    <x v="0"/>
    <x v="18"/>
    <n v="142.42424242424201"/>
    <n v="51984.848484848502"/>
    <n v="187145.454545455"/>
  </r>
  <r>
    <x v="0"/>
    <x v="0"/>
    <x v="0"/>
    <x v="5"/>
    <x v="9"/>
    <s v="LT_Other_DH"/>
    <x v="2"/>
    <x v="191"/>
    <x v="0"/>
    <x v="19"/>
    <n v="142.42424242424201"/>
    <n v="51984.848484848502"/>
    <n v="187145.454545455"/>
  </r>
  <r>
    <x v="0"/>
    <x v="0"/>
    <x v="0"/>
    <x v="5"/>
    <x v="9"/>
    <s v="LT_Other_DH"/>
    <x v="2"/>
    <x v="191"/>
    <x v="0"/>
    <x v="20"/>
    <n v="142.42424242424201"/>
    <n v="51984.848484848502"/>
    <n v="187145.454545455"/>
  </r>
  <r>
    <x v="0"/>
    <x v="0"/>
    <x v="0"/>
    <x v="5"/>
    <x v="9"/>
    <s v="LT_Other_DH"/>
    <x v="2"/>
    <x v="191"/>
    <x v="0"/>
    <x v="21"/>
    <n v="142.42424242424201"/>
    <n v="51984.848484848502"/>
    <n v="187145.454545455"/>
  </r>
  <r>
    <x v="0"/>
    <x v="0"/>
    <x v="0"/>
    <x v="5"/>
    <x v="9"/>
    <s v="LT_Other_DH"/>
    <x v="2"/>
    <x v="191"/>
    <x v="0"/>
    <x v="22"/>
    <n v="142.42424242424201"/>
    <n v="51984.848484848502"/>
    <n v="187145.454545455"/>
  </r>
  <r>
    <x v="0"/>
    <x v="0"/>
    <x v="0"/>
    <x v="5"/>
    <x v="9"/>
    <s v="LT_Other_DH"/>
    <x v="2"/>
    <x v="191"/>
    <x v="0"/>
    <x v="23"/>
    <n v="58.381444001613701"/>
    <n v="21309.227060589001"/>
    <n v="76713.217418120403"/>
  </r>
  <r>
    <x v="0"/>
    <x v="0"/>
    <x v="0"/>
    <x v="5"/>
    <x v="9"/>
    <s v="LT_Other_DH"/>
    <x v="2"/>
    <x v="192"/>
    <x v="0"/>
    <x v="2"/>
    <n v="46.901960784313701"/>
    <n v="17119.2156862745"/>
    <n v="61629.176470588201"/>
  </r>
  <r>
    <x v="0"/>
    <x v="0"/>
    <x v="0"/>
    <x v="5"/>
    <x v="9"/>
    <s v="LT_Other_DH"/>
    <x v="2"/>
    <x v="192"/>
    <x v="0"/>
    <x v="9"/>
    <n v="46.901960784313701"/>
    <n v="17119.2156862745"/>
    <n v="61629.176470588201"/>
  </r>
  <r>
    <x v="0"/>
    <x v="0"/>
    <x v="0"/>
    <x v="5"/>
    <x v="9"/>
    <s v="LT_Other_DH"/>
    <x v="2"/>
    <x v="192"/>
    <x v="0"/>
    <x v="10"/>
    <n v="46.901960784313701"/>
    <n v="17119.2156862745"/>
    <n v="61629.176470588201"/>
  </r>
  <r>
    <x v="0"/>
    <x v="0"/>
    <x v="0"/>
    <x v="5"/>
    <x v="9"/>
    <s v="LT_Other_DH"/>
    <x v="2"/>
    <x v="193"/>
    <x v="0"/>
    <x v="3"/>
    <n v="9.3023255813953494"/>
    <n v="3395.3488372093002"/>
    <n v="12223.255813953499"/>
  </r>
  <r>
    <x v="0"/>
    <x v="0"/>
    <x v="0"/>
    <x v="5"/>
    <x v="9"/>
    <s v="LT_Other_DH"/>
    <x v="2"/>
    <x v="193"/>
    <x v="0"/>
    <x v="4"/>
    <n v="9.3023255813953494"/>
    <n v="3395.3488372093002"/>
    <n v="12223.255813953499"/>
  </r>
  <r>
    <x v="0"/>
    <x v="0"/>
    <x v="0"/>
    <x v="5"/>
    <x v="9"/>
    <s v="LT_Other_DH"/>
    <x v="2"/>
    <x v="193"/>
    <x v="0"/>
    <x v="5"/>
    <n v="9.3023255813953494"/>
    <n v="3395.3488372093002"/>
    <n v="12223.255813953499"/>
  </r>
  <r>
    <x v="0"/>
    <x v="0"/>
    <x v="0"/>
    <x v="5"/>
    <x v="9"/>
    <s v="LT_Other_DH"/>
    <x v="2"/>
    <x v="193"/>
    <x v="0"/>
    <x v="6"/>
    <n v="9.3023255813953494"/>
    <n v="3395.3488372093002"/>
    <n v="12223.255813953499"/>
  </r>
  <r>
    <x v="0"/>
    <x v="0"/>
    <x v="0"/>
    <x v="5"/>
    <x v="9"/>
    <s v="LT_Other_DH"/>
    <x v="2"/>
    <x v="193"/>
    <x v="0"/>
    <x v="7"/>
    <n v="9.3023255813953494"/>
    <n v="3395.3488372093002"/>
    <n v="12223.255813953499"/>
  </r>
  <r>
    <x v="0"/>
    <x v="0"/>
    <x v="0"/>
    <x v="5"/>
    <x v="9"/>
    <s v="LT_Other_DH"/>
    <x v="2"/>
    <x v="193"/>
    <x v="0"/>
    <x v="8"/>
    <n v="9.3023255813953494"/>
    <n v="3395.3488372093002"/>
    <n v="12223.255813953499"/>
  </r>
  <r>
    <x v="0"/>
    <x v="0"/>
    <x v="0"/>
    <x v="5"/>
    <x v="9"/>
    <s v="LT_Other_DH"/>
    <x v="2"/>
    <x v="193"/>
    <x v="0"/>
    <x v="0"/>
    <n v="9.3023255813953494"/>
    <n v="3395.3488372093002"/>
    <n v="12223.255813953499"/>
  </r>
  <r>
    <x v="0"/>
    <x v="0"/>
    <x v="0"/>
    <x v="5"/>
    <x v="9"/>
    <s v="LT_Other_DH"/>
    <x v="2"/>
    <x v="193"/>
    <x v="0"/>
    <x v="1"/>
    <n v="9.3023255813953494"/>
    <n v="3395.3488372093002"/>
    <n v="12223.255813953499"/>
  </r>
  <r>
    <x v="0"/>
    <x v="0"/>
    <x v="0"/>
    <x v="5"/>
    <x v="9"/>
    <s v="LT_Other_DH"/>
    <x v="2"/>
    <x v="193"/>
    <x v="0"/>
    <x v="2"/>
    <n v="9.3023255813953494"/>
    <n v="3395.3488372093002"/>
    <n v="12223.255813953499"/>
  </r>
  <r>
    <x v="0"/>
    <x v="0"/>
    <x v="0"/>
    <x v="5"/>
    <x v="9"/>
    <s v="LT_Other_DH"/>
    <x v="2"/>
    <x v="193"/>
    <x v="0"/>
    <x v="9"/>
    <n v="9.3023255813953494"/>
    <n v="3395.3488372093002"/>
    <n v="12223.255813953499"/>
  </r>
  <r>
    <x v="0"/>
    <x v="0"/>
    <x v="0"/>
    <x v="5"/>
    <x v="9"/>
    <s v="LT_Other_DH"/>
    <x v="2"/>
    <x v="193"/>
    <x v="0"/>
    <x v="10"/>
    <n v="9.3023255813953494"/>
    <n v="3395.3488372093002"/>
    <n v="12223.255813953499"/>
  </r>
  <r>
    <x v="0"/>
    <x v="0"/>
    <x v="0"/>
    <x v="5"/>
    <x v="9"/>
    <s v="LT_Other_DH"/>
    <x v="2"/>
    <x v="193"/>
    <x v="0"/>
    <x v="11"/>
    <n v="9.3023255813953494"/>
    <n v="3395.3488372093002"/>
    <n v="12223.255813953499"/>
  </r>
  <r>
    <x v="0"/>
    <x v="0"/>
    <x v="0"/>
    <x v="5"/>
    <x v="9"/>
    <s v="LT_Other_DH"/>
    <x v="2"/>
    <x v="193"/>
    <x v="0"/>
    <x v="12"/>
    <n v="9.3023255813953494"/>
    <n v="3395.3488372093002"/>
    <n v="12223.255813953499"/>
  </r>
  <r>
    <x v="0"/>
    <x v="0"/>
    <x v="0"/>
    <x v="5"/>
    <x v="9"/>
    <s v="LT_Other_DH"/>
    <x v="2"/>
    <x v="193"/>
    <x v="0"/>
    <x v="13"/>
    <n v="9.3023255813953494"/>
    <n v="3395.3488372093002"/>
    <n v="12223.255813953499"/>
  </r>
  <r>
    <x v="0"/>
    <x v="0"/>
    <x v="0"/>
    <x v="5"/>
    <x v="9"/>
    <s v="LT_Other_DH"/>
    <x v="2"/>
    <x v="193"/>
    <x v="0"/>
    <x v="14"/>
    <n v="9.3023255813953494"/>
    <n v="3395.3488372093002"/>
    <n v="12223.255813953499"/>
  </r>
  <r>
    <x v="0"/>
    <x v="0"/>
    <x v="0"/>
    <x v="5"/>
    <x v="9"/>
    <s v="LT_Other_DH"/>
    <x v="2"/>
    <x v="193"/>
    <x v="0"/>
    <x v="15"/>
    <n v="9.3023255813953494"/>
    <n v="3395.3488372093002"/>
    <n v="12223.255813953499"/>
  </r>
  <r>
    <x v="0"/>
    <x v="0"/>
    <x v="0"/>
    <x v="5"/>
    <x v="9"/>
    <s v="LT_Other_DH"/>
    <x v="2"/>
    <x v="193"/>
    <x v="0"/>
    <x v="16"/>
    <n v="9.3023255813953494"/>
    <n v="3395.3488372093002"/>
    <n v="12223.255813953499"/>
  </r>
  <r>
    <x v="0"/>
    <x v="0"/>
    <x v="0"/>
    <x v="5"/>
    <x v="9"/>
    <s v="LT_Other_DH"/>
    <x v="2"/>
    <x v="193"/>
    <x v="0"/>
    <x v="17"/>
    <n v="9.3023255813953494"/>
    <n v="3395.3488372093002"/>
    <n v="12223.255813953499"/>
  </r>
  <r>
    <x v="0"/>
    <x v="0"/>
    <x v="0"/>
    <x v="5"/>
    <x v="9"/>
    <s v="LT_Other_DH"/>
    <x v="2"/>
    <x v="193"/>
    <x v="0"/>
    <x v="18"/>
    <n v="9.3023255813953494"/>
    <n v="3395.3488372093002"/>
    <n v="12223.255813953499"/>
  </r>
  <r>
    <x v="0"/>
    <x v="0"/>
    <x v="0"/>
    <x v="5"/>
    <x v="9"/>
    <s v="LT_Other_DH"/>
    <x v="2"/>
    <x v="193"/>
    <x v="0"/>
    <x v="19"/>
    <n v="9.3023255813953494"/>
    <n v="3395.3488372093002"/>
    <n v="12223.255813953499"/>
  </r>
  <r>
    <x v="0"/>
    <x v="0"/>
    <x v="0"/>
    <x v="5"/>
    <x v="9"/>
    <s v="LT_Other_DH"/>
    <x v="2"/>
    <x v="193"/>
    <x v="0"/>
    <x v="20"/>
    <n v="9.3023255813953494"/>
    <n v="3395.3488372093002"/>
    <n v="12223.255813953499"/>
  </r>
  <r>
    <x v="0"/>
    <x v="0"/>
    <x v="0"/>
    <x v="5"/>
    <x v="9"/>
    <s v="LT_Other_DH"/>
    <x v="2"/>
    <x v="193"/>
    <x v="0"/>
    <x v="21"/>
    <n v="9.3023255813953494"/>
    <n v="3395.3488372093002"/>
    <n v="12223.255813953499"/>
  </r>
  <r>
    <x v="0"/>
    <x v="0"/>
    <x v="0"/>
    <x v="5"/>
    <x v="9"/>
    <s v="LT_Other_DH"/>
    <x v="2"/>
    <x v="193"/>
    <x v="0"/>
    <x v="22"/>
    <n v="9.3023255813953494"/>
    <n v="3395.3488372093002"/>
    <n v="12223.255813953499"/>
  </r>
  <r>
    <x v="0"/>
    <x v="0"/>
    <x v="0"/>
    <x v="5"/>
    <x v="9"/>
    <s v="LT_Other_DH"/>
    <x v="2"/>
    <x v="193"/>
    <x v="0"/>
    <x v="23"/>
    <n v="9.3023255813953494"/>
    <n v="3395.3488372093002"/>
    <n v="12223.255813953499"/>
  </r>
  <r>
    <x v="0"/>
    <x v="0"/>
    <x v="0"/>
    <x v="5"/>
    <x v="9"/>
    <s v="LT_Other_DH"/>
    <x v="10"/>
    <x v="84"/>
    <x v="0"/>
    <x v="3"/>
    <n v="41.052631578947398"/>
    <n v="14984.210526315799"/>
    <n v="53943.157894736803"/>
  </r>
  <r>
    <x v="0"/>
    <x v="0"/>
    <x v="0"/>
    <x v="5"/>
    <x v="9"/>
    <s v="LT_Other_DH"/>
    <x v="10"/>
    <x v="84"/>
    <x v="0"/>
    <x v="4"/>
    <n v="41.052631578947398"/>
    <n v="14984.210526315799"/>
    <n v="53943.157894736803"/>
  </r>
  <r>
    <x v="0"/>
    <x v="0"/>
    <x v="0"/>
    <x v="5"/>
    <x v="9"/>
    <s v="LT_Other_DH"/>
    <x v="10"/>
    <x v="84"/>
    <x v="0"/>
    <x v="5"/>
    <n v="41.052631578947398"/>
    <n v="14984.210526315799"/>
    <n v="53943.157894736803"/>
  </r>
  <r>
    <x v="0"/>
    <x v="0"/>
    <x v="0"/>
    <x v="5"/>
    <x v="9"/>
    <s v="LT_Other_DH"/>
    <x v="10"/>
    <x v="84"/>
    <x v="0"/>
    <x v="6"/>
    <n v="41.052631578947398"/>
    <n v="14984.210526315799"/>
    <n v="53943.157894736803"/>
  </r>
  <r>
    <x v="0"/>
    <x v="0"/>
    <x v="0"/>
    <x v="5"/>
    <x v="9"/>
    <s v="LT_Other_DH"/>
    <x v="10"/>
    <x v="84"/>
    <x v="0"/>
    <x v="7"/>
    <n v="41.052631578947398"/>
    <n v="14984.210526315799"/>
    <n v="53943.157894736803"/>
  </r>
  <r>
    <x v="0"/>
    <x v="0"/>
    <x v="0"/>
    <x v="5"/>
    <x v="9"/>
    <s v="LT_Other_DH"/>
    <x v="10"/>
    <x v="84"/>
    <x v="0"/>
    <x v="8"/>
    <n v="41.052631578947398"/>
    <n v="14984.210526315799"/>
    <n v="53943.157894736803"/>
  </r>
  <r>
    <x v="0"/>
    <x v="0"/>
    <x v="0"/>
    <x v="5"/>
    <x v="9"/>
    <s v="LT_Other_DH"/>
    <x v="10"/>
    <x v="84"/>
    <x v="0"/>
    <x v="0"/>
    <n v="41.052631578947398"/>
    <n v="14984.210526315799"/>
    <n v="53943.157894736803"/>
  </r>
  <r>
    <x v="0"/>
    <x v="0"/>
    <x v="0"/>
    <x v="5"/>
    <x v="9"/>
    <s v="LT_Other_DH"/>
    <x v="10"/>
    <x v="84"/>
    <x v="0"/>
    <x v="1"/>
    <n v="41.052631578947398"/>
    <n v="14984.210526315799"/>
    <n v="53943.157894736803"/>
  </r>
  <r>
    <x v="0"/>
    <x v="0"/>
    <x v="0"/>
    <x v="5"/>
    <x v="9"/>
    <s v="LT_Other_DH"/>
    <x v="10"/>
    <x v="84"/>
    <x v="0"/>
    <x v="2"/>
    <n v="41.052631578947398"/>
    <n v="14984.210526315799"/>
    <n v="53943.157894736803"/>
  </r>
  <r>
    <x v="0"/>
    <x v="0"/>
    <x v="0"/>
    <x v="5"/>
    <x v="9"/>
    <s v="LT_Other_DH"/>
    <x v="10"/>
    <x v="84"/>
    <x v="0"/>
    <x v="9"/>
    <n v="41.052631578947398"/>
    <n v="14984.210526315799"/>
    <n v="53943.157894736803"/>
  </r>
  <r>
    <x v="0"/>
    <x v="0"/>
    <x v="0"/>
    <x v="5"/>
    <x v="9"/>
    <s v="LT_Other_DH"/>
    <x v="10"/>
    <x v="84"/>
    <x v="0"/>
    <x v="10"/>
    <n v="41.052631578947398"/>
    <n v="14984.210526315799"/>
    <n v="53943.157894736803"/>
  </r>
  <r>
    <x v="0"/>
    <x v="0"/>
    <x v="0"/>
    <x v="5"/>
    <x v="9"/>
    <s v="LT_Other_DH"/>
    <x v="10"/>
    <x v="84"/>
    <x v="0"/>
    <x v="11"/>
    <n v="41.052631578947398"/>
    <n v="14984.210526315799"/>
    <n v="53943.157894736803"/>
  </r>
  <r>
    <x v="0"/>
    <x v="0"/>
    <x v="0"/>
    <x v="5"/>
    <x v="9"/>
    <s v="LT_Other_DH"/>
    <x v="10"/>
    <x v="84"/>
    <x v="0"/>
    <x v="12"/>
    <n v="41.052631578947398"/>
    <n v="14984.210526315799"/>
    <n v="53943.157894736803"/>
  </r>
  <r>
    <x v="0"/>
    <x v="0"/>
    <x v="0"/>
    <x v="5"/>
    <x v="9"/>
    <s v="LT_Other_DH"/>
    <x v="10"/>
    <x v="84"/>
    <x v="0"/>
    <x v="13"/>
    <n v="41.052631578947398"/>
    <n v="14984.210526315799"/>
    <n v="53943.157894736803"/>
  </r>
  <r>
    <x v="0"/>
    <x v="0"/>
    <x v="0"/>
    <x v="5"/>
    <x v="9"/>
    <s v="LT_Other_DH"/>
    <x v="10"/>
    <x v="84"/>
    <x v="0"/>
    <x v="14"/>
    <n v="41.052631578947398"/>
    <n v="14984.210526315799"/>
    <n v="53943.157894736803"/>
  </r>
  <r>
    <x v="0"/>
    <x v="0"/>
    <x v="0"/>
    <x v="5"/>
    <x v="9"/>
    <s v="LT_Other_DH"/>
    <x v="10"/>
    <x v="84"/>
    <x v="0"/>
    <x v="15"/>
    <n v="41.052631578947398"/>
    <n v="14984.210526315799"/>
    <n v="53943.157894736803"/>
  </r>
  <r>
    <x v="0"/>
    <x v="0"/>
    <x v="0"/>
    <x v="5"/>
    <x v="9"/>
    <s v="LT_Other_DH"/>
    <x v="10"/>
    <x v="84"/>
    <x v="0"/>
    <x v="16"/>
    <n v="41.052631578947398"/>
    <n v="14984.210526315799"/>
    <n v="53943.157894736803"/>
  </r>
  <r>
    <x v="0"/>
    <x v="0"/>
    <x v="0"/>
    <x v="5"/>
    <x v="9"/>
    <s v="LT_Other_DH"/>
    <x v="10"/>
    <x v="84"/>
    <x v="0"/>
    <x v="17"/>
    <n v="41.052631578947398"/>
    <n v="14984.210526315799"/>
    <n v="53943.157894736803"/>
  </r>
  <r>
    <x v="0"/>
    <x v="0"/>
    <x v="0"/>
    <x v="5"/>
    <x v="9"/>
    <s v="LT_Other_DH"/>
    <x v="10"/>
    <x v="84"/>
    <x v="0"/>
    <x v="18"/>
    <n v="41.052631578947398"/>
    <n v="14984.210526315799"/>
    <n v="53943.157894736803"/>
  </r>
  <r>
    <x v="0"/>
    <x v="0"/>
    <x v="0"/>
    <x v="5"/>
    <x v="9"/>
    <s v="LT_Other_DH"/>
    <x v="10"/>
    <x v="84"/>
    <x v="0"/>
    <x v="19"/>
    <n v="41.052631578947398"/>
    <n v="14984.210526315799"/>
    <n v="53943.157894736803"/>
  </r>
  <r>
    <x v="0"/>
    <x v="0"/>
    <x v="0"/>
    <x v="5"/>
    <x v="9"/>
    <s v="LT_Other_DH"/>
    <x v="10"/>
    <x v="84"/>
    <x v="0"/>
    <x v="20"/>
    <n v="41.052631578947398"/>
    <n v="14984.210526315799"/>
    <n v="53943.157894736803"/>
  </r>
  <r>
    <x v="0"/>
    <x v="0"/>
    <x v="0"/>
    <x v="5"/>
    <x v="9"/>
    <s v="LT_Other_DH"/>
    <x v="10"/>
    <x v="84"/>
    <x v="0"/>
    <x v="21"/>
    <n v="41.052631578947398"/>
    <n v="14984.210526315799"/>
    <n v="53943.157894736803"/>
  </r>
  <r>
    <x v="0"/>
    <x v="0"/>
    <x v="0"/>
    <x v="5"/>
    <x v="9"/>
    <s v="LT_Other_DH"/>
    <x v="10"/>
    <x v="84"/>
    <x v="0"/>
    <x v="22"/>
    <n v="41.052631578947398"/>
    <n v="14984.210526315799"/>
    <n v="53943.157894736803"/>
  </r>
  <r>
    <x v="0"/>
    <x v="0"/>
    <x v="0"/>
    <x v="5"/>
    <x v="9"/>
    <s v="LT_Other_DH"/>
    <x v="10"/>
    <x v="84"/>
    <x v="0"/>
    <x v="23"/>
    <n v="41.052631578947398"/>
    <n v="14984.210526315799"/>
    <n v="53943.157894736803"/>
  </r>
  <r>
    <x v="0"/>
    <x v="0"/>
    <x v="0"/>
    <x v="5"/>
    <x v="9"/>
    <s v="LT_Panevezys"/>
    <x v="2"/>
    <x v="194"/>
    <x v="0"/>
    <x v="3"/>
    <n v="84.337349397590401"/>
    <n v="30783.1325301205"/>
    <n v="110819.27710843401"/>
  </r>
  <r>
    <x v="0"/>
    <x v="0"/>
    <x v="0"/>
    <x v="5"/>
    <x v="9"/>
    <s v="LT_Panevezys"/>
    <x v="2"/>
    <x v="194"/>
    <x v="0"/>
    <x v="4"/>
    <n v="84.337349397590401"/>
    <n v="30783.1325301205"/>
    <n v="110819.27710843401"/>
  </r>
  <r>
    <x v="0"/>
    <x v="0"/>
    <x v="0"/>
    <x v="5"/>
    <x v="9"/>
    <s v="LT_Panevezys"/>
    <x v="2"/>
    <x v="194"/>
    <x v="0"/>
    <x v="5"/>
    <n v="84.337349397590401"/>
    <n v="30783.1325301205"/>
    <n v="110819.27710843401"/>
  </r>
  <r>
    <x v="0"/>
    <x v="0"/>
    <x v="0"/>
    <x v="5"/>
    <x v="9"/>
    <s v="LT_Panevezys"/>
    <x v="2"/>
    <x v="194"/>
    <x v="0"/>
    <x v="6"/>
    <n v="84.337349397590401"/>
    <n v="30783.1325301205"/>
    <n v="110819.27710843401"/>
  </r>
  <r>
    <x v="0"/>
    <x v="0"/>
    <x v="0"/>
    <x v="5"/>
    <x v="9"/>
    <s v="LT_Panevezys"/>
    <x v="2"/>
    <x v="194"/>
    <x v="0"/>
    <x v="7"/>
    <n v="84.337349397590401"/>
    <n v="30783.1325301205"/>
    <n v="110819.27710843401"/>
  </r>
  <r>
    <x v="0"/>
    <x v="0"/>
    <x v="0"/>
    <x v="5"/>
    <x v="9"/>
    <s v="LT_Panevezys"/>
    <x v="2"/>
    <x v="194"/>
    <x v="0"/>
    <x v="8"/>
    <n v="84.337349397590401"/>
    <n v="30783.1325301205"/>
    <n v="110819.27710843401"/>
  </r>
  <r>
    <x v="0"/>
    <x v="0"/>
    <x v="0"/>
    <x v="5"/>
    <x v="9"/>
    <s v="LT_Panevezys"/>
    <x v="2"/>
    <x v="194"/>
    <x v="0"/>
    <x v="0"/>
    <n v="84.337349397590401"/>
    <n v="30783.1325301205"/>
    <n v="110819.27710843401"/>
  </r>
  <r>
    <x v="0"/>
    <x v="0"/>
    <x v="0"/>
    <x v="5"/>
    <x v="9"/>
    <s v="LT_Panevezys"/>
    <x v="2"/>
    <x v="194"/>
    <x v="0"/>
    <x v="1"/>
    <n v="84.337349397590401"/>
    <n v="30783.1325301205"/>
    <n v="110819.27710843401"/>
  </r>
  <r>
    <x v="0"/>
    <x v="0"/>
    <x v="0"/>
    <x v="5"/>
    <x v="9"/>
    <s v="LT_Panevezys"/>
    <x v="2"/>
    <x v="194"/>
    <x v="0"/>
    <x v="2"/>
    <n v="84.337349397590401"/>
    <n v="30783.1325301205"/>
    <n v="110819.27710843401"/>
  </r>
  <r>
    <x v="0"/>
    <x v="0"/>
    <x v="0"/>
    <x v="5"/>
    <x v="9"/>
    <s v="LT_Panevezys"/>
    <x v="2"/>
    <x v="194"/>
    <x v="0"/>
    <x v="9"/>
    <n v="84.337349397590401"/>
    <n v="30783.1325301205"/>
    <n v="110819.27710843401"/>
  </r>
  <r>
    <x v="0"/>
    <x v="0"/>
    <x v="0"/>
    <x v="5"/>
    <x v="9"/>
    <s v="LT_Panevezys"/>
    <x v="2"/>
    <x v="194"/>
    <x v="0"/>
    <x v="10"/>
    <n v="84.337349397590401"/>
    <n v="30783.1325301205"/>
    <n v="110819.27710843401"/>
  </r>
  <r>
    <x v="0"/>
    <x v="0"/>
    <x v="0"/>
    <x v="5"/>
    <x v="9"/>
    <s v="LT_Panevezys"/>
    <x v="2"/>
    <x v="194"/>
    <x v="0"/>
    <x v="11"/>
    <n v="84.337349397590401"/>
    <n v="30783.1325301205"/>
    <n v="110819.27710843401"/>
  </r>
  <r>
    <x v="0"/>
    <x v="0"/>
    <x v="0"/>
    <x v="5"/>
    <x v="9"/>
    <s v="LT_Panevezys"/>
    <x v="2"/>
    <x v="194"/>
    <x v="0"/>
    <x v="12"/>
    <n v="84.337349397590401"/>
    <n v="30783.1325301205"/>
    <n v="110819.27710843401"/>
  </r>
  <r>
    <x v="0"/>
    <x v="0"/>
    <x v="0"/>
    <x v="5"/>
    <x v="9"/>
    <s v="LT_Panevezys"/>
    <x v="2"/>
    <x v="194"/>
    <x v="0"/>
    <x v="13"/>
    <n v="84.337349397590401"/>
    <n v="30783.1325301205"/>
    <n v="110819.27710843401"/>
  </r>
  <r>
    <x v="0"/>
    <x v="0"/>
    <x v="0"/>
    <x v="5"/>
    <x v="9"/>
    <s v="LT_Panevezys"/>
    <x v="2"/>
    <x v="194"/>
    <x v="0"/>
    <x v="14"/>
    <n v="84.337349397590401"/>
    <n v="30783.1325301205"/>
    <n v="110819.27710843401"/>
  </r>
  <r>
    <x v="0"/>
    <x v="0"/>
    <x v="0"/>
    <x v="5"/>
    <x v="9"/>
    <s v="LT_Panevezys"/>
    <x v="2"/>
    <x v="194"/>
    <x v="0"/>
    <x v="15"/>
    <n v="84.337349397590401"/>
    <n v="30783.1325301205"/>
    <n v="110819.27710843401"/>
  </r>
  <r>
    <x v="0"/>
    <x v="0"/>
    <x v="0"/>
    <x v="5"/>
    <x v="9"/>
    <s v="LT_Panevezys"/>
    <x v="2"/>
    <x v="194"/>
    <x v="0"/>
    <x v="16"/>
    <n v="84.337349397590401"/>
    <n v="30783.1325301205"/>
    <n v="110819.27710843401"/>
  </r>
  <r>
    <x v="0"/>
    <x v="0"/>
    <x v="0"/>
    <x v="5"/>
    <x v="9"/>
    <s v="LT_Panevezys"/>
    <x v="2"/>
    <x v="194"/>
    <x v="0"/>
    <x v="17"/>
    <n v="84.337349397590401"/>
    <n v="30783.1325301205"/>
    <n v="110819.27710843401"/>
  </r>
  <r>
    <x v="0"/>
    <x v="0"/>
    <x v="0"/>
    <x v="5"/>
    <x v="9"/>
    <s v="LT_Panevezys"/>
    <x v="2"/>
    <x v="194"/>
    <x v="0"/>
    <x v="18"/>
    <n v="84.337349397590401"/>
    <n v="30783.1325301205"/>
    <n v="110819.27710843401"/>
  </r>
  <r>
    <x v="0"/>
    <x v="0"/>
    <x v="0"/>
    <x v="5"/>
    <x v="9"/>
    <s v="LT_Panevezys"/>
    <x v="2"/>
    <x v="194"/>
    <x v="0"/>
    <x v="19"/>
    <n v="84.337349397590401"/>
    <n v="30783.1325301205"/>
    <n v="110819.27710843401"/>
  </r>
  <r>
    <x v="0"/>
    <x v="0"/>
    <x v="0"/>
    <x v="5"/>
    <x v="9"/>
    <s v="LT_Panevezys"/>
    <x v="2"/>
    <x v="194"/>
    <x v="0"/>
    <x v="20"/>
    <n v="84.337349397590401"/>
    <n v="30783.1325301205"/>
    <n v="110819.27710843401"/>
  </r>
  <r>
    <x v="0"/>
    <x v="0"/>
    <x v="0"/>
    <x v="5"/>
    <x v="9"/>
    <s v="LT_Panevezys"/>
    <x v="2"/>
    <x v="194"/>
    <x v="0"/>
    <x v="21"/>
    <n v="84.337349397590401"/>
    <n v="30783.1325301205"/>
    <n v="110819.27710843401"/>
  </r>
  <r>
    <x v="0"/>
    <x v="0"/>
    <x v="0"/>
    <x v="5"/>
    <x v="9"/>
    <s v="LT_Panevezys"/>
    <x v="2"/>
    <x v="194"/>
    <x v="0"/>
    <x v="22"/>
    <n v="84.337349397590401"/>
    <n v="30783.1325301205"/>
    <n v="110819.27710843401"/>
  </r>
  <r>
    <x v="0"/>
    <x v="0"/>
    <x v="0"/>
    <x v="5"/>
    <x v="9"/>
    <s v="LT_Panevezys"/>
    <x v="2"/>
    <x v="194"/>
    <x v="0"/>
    <x v="23"/>
    <n v="84.337349397590401"/>
    <n v="30783.1325301205"/>
    <n v="110819.27710843401"/>
  </r>
  <r>
    <x v="0"/>
    <x v="0"/>
    <x v="0"/>
    <x v="5"/>
    <x v="9"/>
    <s v="LT_Rural"/>
    <x v="8"/>
    <x v="47"/>
    <x v="0"/>
    <x v="3"/>
    <n v="29.885102117257802"/>
    <n v="10908.062272799099"/>
    <n v="39269.024182076799"/>
  </r>
  <r>
    <x v="0"/>
    <x v="0"/>
    <x v="0"/>
    <x v="5"/>
    <x v="9"/>
    <s v="LT_Rural"/>
    <x v="8"/>
    <x v="47"/>
    <x v="0"/>
    <x v="4"/>
    <n v="35.8621225407094"/>
    <n v="13089.674727358901"/>
    <n v="47122.829018492201"/>
  </r>
  <r>
    <x v="0"/>
    <x v="0"/>
    <x v="0"/>
    <x v="5"/>
    <x v="9"/>
    <s v="LT_Rural"/>
    <x v="8"/>
    <x v="47"/>
    <x v="0"/>
    <x v="5"/>
    <n v="35.008262480216302"/>
    <n v="12778.015805278999"/>
    <n v="46000.856899004299"/>
  </r>
  <r>
    <x v="0"/>
    <x v="0"/>
    <x v="0"/>
    <x v="5"/>
    <x v="9"/>
    <s v="LT_Rural"/>
    <x v="8"/>
    <x v="47"/>
    <x v="0"/>
    <x v="6"/>
    <n v="32.873612328983597"/>
    <n v="11998.868500078999"/>
    <n v="43195.926600284503"/>
  </r>
  <r>
    <x v="0"/>
    <x v="0"/>
    <x v="0"/>
    <x v="5"/>
    <x v="9"/>
    <s v="LT_Rural"/>
    <x v="8"/>
    <x v="47"/>
    <x v="0"/>
    <x v="7"/>
    <n v="24.335011724052801"/>
    <n v="8882.2792792792807"/>
    <n v="31976.205405405399"/>
  </r>
  <r>
    <x v="0"/>
    <x v="0"/>
    <x v="0"/>
    <x v="5"/>
    <x v="9"/>
    <s v="LT_Rural"/>
    <x v="8"/>
    <x v="47"/>
    <x v="0"/>
    <x v="8"/>
    <n v="14.0886909981358"/>
    <n v="5142.3722143195801"/>
    <n v="18512.539971550501"/>
  </r>
  <r>
    <x v="0"/>
    <x v="0"/>
    <x v="0"/>
    <x v="5"/>
    <x v="9"/>
    <s v="LT_Rural"/>
    <x v="8"/>
    <x v="47"/>
    <x v="0"/>
    <x v="0"/>
    <n v="2.98851021172579"/>
    <n v="1090.80622727991"/>
    <n v="3926.9024182076801"/>
  </r>
  <r>
    <x v="0"/>
    <x v="0"/>
    <x v="0"/>
    <x v="5"/>
    <x v="9"/>
    <s v="LT_Rural"/>
    <x v="8"/>
    <x v="47"/>
    <x v="0"/>
    <x v="1"/>
    <n v="2.1346501512326999"/>
    <n v="779.14730519993702"/>
    <n v="2804.9302987197698"/>
  </r>
  <r>
    <x v="0"/>
    <x v="0"/>
    <x v="0"/>
    <x v="5"/>
    <x v="9"/>
    <s v="LT_Rural"/>
    <x v="8"/>
    <x v="47"/>
    <x v="0"/>
    <x v="2"/>
    <n v="2.98851021172579"/>
    <n v="1090.80622727991"/>
    <n v="3926.9024182076801"/>
  </r>
  <r>
    <x v="0"/>
    <x v="0"/>
    <x v="0"/>
    <x v="5"/>
    <x v="9"/>
    <s v="LT_Rural"/>
    <x v="8"/>
    <x v="47"/>
    <x v="0"/>
    <x v="9"/>
    <n v="14.0886909981358"/>
    <n v="5142.3722143195801"/>
    <n v="18512.539971550501"/>
  </r>
  <r>
    <x v="0"/>
    <x v="0"/>
    <x v="0"/>
    <x v="5"/>
    <x v="9"/>
    <s v="LT_Rural"/>
    <x v="8"/>
    <x v="47"/>
    <x v="0"/>
    <x v="10"/>
    <n v="32.873612328983597"/>
    <n v="11998.868500078999"/>
    <n v="43195.926600284503"/>
  </r>
  <r>
    <x v="0"/>
    <x v="0"/>
    <x v="0"/>
    <x v="5"/>
    <x v="9"/>
    <s v="LT_Rural"/>
    <x v="8"/>
    <x v="47"/>
    <x v="0"/>
    <x v="11"/>
    <n v="50.804673599338301"/>
    <n v="18543.7058637585"/>
    <n v="66757.341109530593"/>
  </r>
  <r>
    <x v="0"/>
    <x v="0"/>
    <x v="0"/>
    <x v="5"/>
    <x v="9"/>
    <s v="LT_Rural"/>
    <x v="8"/>
    <x v="47"/>
    <x v="0"/>
    <x v="12"/>
    <n v="58.916344174022598"/>
    <n v="21504.465623518299"/>
    <n v="77416.076244665703"/>
  </r>
  <r>
    <x v="0"/>
    <x v="0"/>
    <x v="0"/>
    <x v="5"/>
    <x v="9"/>
    <s v="LT_Rural"/>
    <x v="8"/>
    <x v="47"/>
    <x v="0"/>
    <x v="13"/>
    <n v="67.454944778953404"/>
    <n v="24621.054844318001"/>
    <n v="88635.797439544796"/>
  </r>
  <r>
    <x v="0"/>
    <x v="0"/>
    <x v="0"/>
    <x v="5"/>
    <x v="9"/>
    <s v="LT_Rural"/>
    <x v="8"/>
    <x v="47"/>
    <x v="0"/>
    <x v="14"/>
    <n v="67.454944778953404"/>
    <n v="24621.054844318001"/>
    <n v="88635.797439544796"/>
  </r>
  <r>
    <x v="0"/>
    <x v="0"/>
    <x v="0"/>
    <x v="5"/>
    <x v="9"/>
    <s v="LT_Rural"/>
    <x v="8"/>
    <x v="47"/>
    <x v="0"/>
    <x v="15"/>
    <n v="106.732507561635"/>
    <n v="38957.365259996797"/>
    <n v="140246.51493598899"/>
  </r>
  <r>
    <x v="0"/>
    <x v="0"/>
    <x v="0"/>
    <x v="5"/>
    <x v="9"/>
    <s v="LT_Rural"/>
    <x v="8"/>
    <x v="47"/>
    <x v="0"/>
    <x v="16"/>
    <n v="137.89839976963299"/>
    <n v="50332.915915915903"/>
    <n v="181198.497297297"/>
  </r>
  <r>
    <x v="0"/>
    <x v="0"/>
    <x v="0"/>
    <x v="5"/>
    <x v="9"/>
    <s v="LT_Rural"/>
    <x v="8"/>
    <x v="47"/>
    <x v="0"/>
    <x v="17"/>
    <n v="136.19067964864601"/>
    <n v="49709.598071756001"/>
    <n v="178954.553058322"/>
  </r>
  <r>
    <x v="0"/>
    <x v="0"/>
    <x v="0"/>
    <x v="5"/>
    <x v="9"/>
    <s v="LT_Rural"/>
    <x v="8"/>
    <x v="47"/>
    <x v="0"/>
    <x v="18"/>
    <n v="186.14149318749199"/>
    <n v="67941.645013434507"/>
    <n v="244589.92204836401"/>
  </r>
  <r>
    <x v="0"/>
    <x v="0"/>
    <x v="0"/>
    <x v="5"/>
    <x v="9"/>
    <s v="LT_Rural"/>
    <x v="8"/>
    <x v="47"/>
    <x v="0"/>
    <x v="19"/>
    <n v="277.07758963000498"/>
    <n v="101133.32021495199"/>
    <n v="364079.95277382602"/>
  </r>
  <r>
    <x v="0"/>
    <x v="0"/>
    <x v="0"/>
    <x v="5"/>
    <x v="9"/>
    <s v="LT_Rural"/>
    <x v="8"/>
    <x v="47"/>
    <x v="0"/>
    <x v="20"/>
    <n v="321.051382745399"/>
    <n v="117183.75470207"/>
    <n v="421861.51692745398"/>
  </r>
  <r>
    <x v="0"/>
    <x v="0"/>
    <x v="0"/>
    <x v="5"/>
    <x v="9"/>
    <s v="LT_Rural"/>
    <x v="8"/>
    <x v="47"/>
    <x v="0"/>
    <x v="21"/>
    <n v="346.24025452994499"/>
    <n v="126377.69290343"/>
    <n v="454959.694452347"/>
  </r>
  <r>
    <x v="0"/>
    <x v="0"/>
    <x v="0"/>
    <x v="5"/>
    <x v="9"/>
    <s v="LT_Rural"/>
    <x v="8"/>
    <x v="47"/>
    <x v="0"/>
    <x v="22"/>
    <n v="351.79034492314997"/>
    <n v="128403.47589695"/>
    <n v="462252.51322901802"/>
  </r>
  <r>
    <x v="0"/>
    <x v="0"/>
    <x v="0"/>
    <x v="5"/>
    <x v="9"/>
    <s v="LT_Rural"/>
    <x v="8"/>
    <x v="47"/>
    <x v="0"/>
    <x v="23"/>
    <n v="366.30596595153202"/>
    <n v="133701.67757230901"/>
    <n v="481326.03926031297"/>
  </r>
  <r>
    <x v="0"/>
    <x v="0"/>
    <x v="0"/>
    <x v="5"/>
    <x v="9"/>
    <s v="LT_SiaU"/>
    <x v="13"/>
    <x v="195"/>
    <x v="0"/>
    <x v="0"/>
    <n v="47.099391480730198"/>
    <n v="17191.277890466499"/>
    <n v="61888.600405679499"/>
  </r>
  <r>
    <x v="0"/>
    <x v="0"/>
    <x v="0"/>
    <x v="5"/>
    <x v="9"/>
    <s v="LT_SiaU"/>
    <x v="13"/>
    <x v="195"/>
    <x v="0"/>
    <x v="1"/>
    <n v="47.099391480730198"/>
    <n v="17191.277890466499"/>
    <n v="61888.600405679499"/>
  </r>
  <r>
    <x v="0"/>
    <x v="0"/>
    <x v="0"/>
    <x v="5"/>
    <x v="9"/>
    <s v="LT_SiaU"/>
    <x v="13"/>
    <x v="195"/>
    <x v="0"/>
    <x v="2"/>
    <n v="47.099391480730198"/>
    <n v="17191.277890466499"/>
    <n v="61888.600405679499"/>
  </r>
  <r>
    <x v="0"/>
    <x v="0"/>
    <x v="0"/>
    <x v="5"/>
    <x v="9"/>
    <s v="LT_SiaU"/>
    <x v="13"/>
    <x v="195"/>
    <x v="0"/>
    <x v="9"/>
    <n v="47.099391480730198"/>
    <n v="17191.277890466499"/>
    <n v="61888.600405679499"/>
  </r>
  <r>
    <x v="0"/>
    <x v="0"/>
    <x v="0"/>
    <x v="5"/>
    <x v="9"/>
    <s v="LT_SiaU"/>
    <x v="13"/>
    <x v="195"/>
    <x v="0"/>
    <x v="10"/>
    <n v="47.099391480730198"/>
    <n v="17191.277890466499"/>
    <n v="61888.600405679499"/>
  </r>
  <r>
    <x v="0"/>
    <x v="0"/>
    <x v="0"/>
    <x v="5"/>
    <x v="9"/>
    <s v="LT_SiaU"/>
    <x v="13"/>
    <x v="195"/>
    <x v="0"/>
    <x v="11"/>
    <n v="47.099391480730198"/>
    <n v="17191.277890466499"/>
    <n v="61888.600405679499"/>
  </r>
  <r>
    <x v="0"/>
    <x v="0"/>
    <x v="0"/>
    <x v="5"/>
    <x v="9"/>
    <s v="LT_SiaU"/>
    <x v="13"/>
    <x v="195"/>
    <x v="0"/>
    <x v="12"/>
    <n v="47.099391480730198"/>
    <n v="17191.277890466499"/>
    <n v="61888.600405679499"/>
  </r>
  <r>
    <x v="0"/>
    <x v="0"/>
    <x v="0"/>
    <x v="5"/>
    <x v="9"/>
    <s v="LT_SiaU"/>
    <x v="13"/>
    <x v="195"/>
    <x v="0"/>
    <x v="14"/>
    <n v="47.099391480730198"/>
    <n v="17191.277890466499"/>
    <n v="61888.600405679499"/>
  </r>
  <r>
    <x v="0"/>
    <x v="0"/>
    <x v="0"/>
    <x v="5"/>
    <x v="9"/>
    <s v="LT_SiaU"/>
    <x v="13"/>
    <x v="195"/>
    <x v="0"/>
    <x v="15"/>
    <n v="47.099391480730198"/>
    <n v="17191.277890466499"/>
    <n v="61888.600405679499"/>
  </r>
  <r>
    <x v="0"/>
    <x v="0"/>
    <x v="0"/>
    <x v="5"/>
    <x v="9"/>
    <s v="LT_SiaU"/>
    <x v="13"/>
    <x v="195"/>
    <x v="0"/>
    <x v="16"/>
    <n v="47.099391480730198"/>
    <n v="17191.277890466499"/>
    <n v="61888.600405679499"/>
  </r>
  <r>
    <x v="0"/>
    <x v="0"/>
    <x v="0"/>
    <x v="5"/>
    <x v="9"/>
    <s v="LT_SiaU"/>
    <x v="13"/>
    <x v="195"/>
    <x v="0"/>
    <x v="17"/>
    <n v="47.099391480730198"/>
    <n v="17191.277890466499"/>
    <n v="61888.600405679499"/>
  </r>
  <r>
    <x v="0"/>
    <x v="0"/>
    <x v="0"/>
    <x v="5"/>
    <x v="9"/>
    <s v="LT_SiaU"/>
    <x v="13"/>
    <x v="195"/>
    <x v="0"/>
    <x v="18"/>
    <n v="47.099391480730198"/>
    <n v="17191.277890466499"/>
    <n v="61888.600405679499"/>
  </r>
  <r>
    <x v="0"/>
    <x v="0"/>
    <x v="0"/>
    <x v="5"/>
    <x v="9"/>
    <s v="LT_VilU"/>
    <x v="1"/>
    <x v="196"/>
    <x v="0"/>
    <x v="3"/>
    <n v="315.839556518508"/>
    <n v="115281.438129255"/>
    <n v="415013.17726531997"/>
  </r>
  <r>
    <x v="0"/>
    <x v="0"/>
    <x v="0"/>
    <x v="5"/>
    <x v="9"/>
    <s v="LT_VilU"/>
    <x v="1"/>
    <x v="196"/>
    <x v="0"/>
    <x v="4"/>
    <n v="315.839556518508"/>
    <n v="115281.438129255"/>
    <n v="415013.17726531997"/>
  </r>
  <r>
    <x v="0"/>
    <x v="0"/>
    <x v="0"/>
    <x v="5"/>
    <x v="9"/>
    <s v="LT_VilU"/>
    <x v="1"/>
    <x v="196"/>
    <x v="0"/>
    <x v="5"/>
    <n v="315.839556518508"/>
    <n v="115281.438129255"/>
    <n v="415013.17726531997"/>
  </r>
  <r>
    <x v="0"/>
    <x v="0"/>
    <x v="0"/>
    <x v="5"/>
    <x v="9"/>
    <s v="LT_VilU"/>
    <x v="1"/>
    <x v="196"/>
    <x v="0"/>
    <x v="6"/>
    <n v="315.839556518508"/>
    <n v="115281.438129255"/>
    <n v="415013.17726531997"/>
  </r>
  <r>
    <x v="0"/>
    <x v="0"/>
    <x v="0"/>
    <x v="5"/>
    <x v="9"/>
    <s v="LT_VilU"/>
    <x v="1"/>
    <x v="196"/>
    <x v="0"/>
    <x v="7"/>
    <n v="315.839556518508"/>
    <n v="115281.438129255"/>
    <n v="415013.17726531997"/>
  </r>
  <r>
    <x v="0"/>
    <x v="0"/>
    <x v="0"/>
    <x v="5"/>
    <x v="9"/>
    <s v="LT_VilU"/>
    <x v="1"/>
    <x v="196"/>
    <x v="0"/>
    <x v="8"/>
    <n v="315.839556518508"/>
    <n v="115281.438129255"/>
    <n v="415013.17726531997"/>
  </r>
  <r>
    <x v="0"/>
    <x v="0"/>
    <x v="0"/>
    <x v="5"/>
    <x v="9"/>
    <s v="LT_VilU"/>
    <x v="1"/>
    <x v="196"/>
    <x v="0"/>
    <x v="0"/>
    <n v="315.839556518508"/>
    <n v="115281.438129255"/>
    <n v="415013.17726531997"/>
  </r>
  <r>
    <x v="0"/>
    <x v="0"/>
    <x v="0"/>
    <x v="5"/>
    <x v="9"/>
    <s v="LT_VilU"/>
    <x v="1"/>
    <x v="196"/>
    <x v="0"/>
    <x v="1"/>
    <n v="315.839556518508"/>
    <n v="115281.438129255"/>
    <n v="415013.17726531997"/>
  </r>
  <r>
    <x v="0"/>
    <x v="0"/>
    <x v="0"/>
    <x v="5"/>
    <x v="9"/>
    <s v="LT_VilU"/>
    <x v="1"/>
    <x v="196"/>
    <x v="0"/>
    <x v="2"/>
    <n v="315.839556518508"/>
    <n v="115281.438129255"/>
    <n v="415013.17726531997"/>
  </r>
  <r>
    <x v="0"/>
    <x v="0"/>
    <x v="0"/>
    <x v="5"/>
    <x v="9"/>
    <s v="LT_VilU"/>
    <x v="1"/>
    <x v="196"/>
    <x v="0"/>
    <x v="9"/>
    <n v="315.839556518508"/>
    <n v="115281.438129255"/>
    <n v="415013.17726531997"/>
  </r>
  <r>
    <x v="0"/>
    <x v="0"/>
    <x v="0"/>
    <x v="5"/>
    <x v="9"/>
    <s v="LT_VilU"/>
    <x v="1"/>
    <x v="196"/>
    <x v="0"/>
    <x v="10"/>
    <n v="315.839556518508"/>
    <n v="115281.438129255"/>
    <n v="415013.17726531997"/>
  </r>
  <r>
    <x v="0"/>
    <x v="0"/>
    <x v="0"/>
    <x v="5"/>
    <x v="9"/>
    <s v="LT_VilU"/>
    <x v="1"/>
    <x v="196"/>
    <x v="0"/>
    <x v="11"/>
    <n v="315.839556518508"/>
    <n v="115281.438129255"/>
    <n v="415013.17726531997"/>
  </r>
  <r>
    <x v="0"/>
    <x v="0"/>
    <x v="0"/>
    <x v="5"/>
    <x v="9"/>
    <s v="LT_VilU"/>
    <x v="1"/>
    <x v="196"/>
    <x v="0"/>
    <x v="12"/>
    <n v="315.839556518508"/>
    <n v="115281.438129255"/>
    <n v="415013.17726531997"/>
  </r>
  <r>
    <x v="0"/>
    <x v="0"/>
    <x v="0"/>
    <x v="5"/>
    <x v="9"/>
    <s v="LT_VilU"/>
    <x v="1"/>
    <x v="196"/>
    <x v="0"/>
    <x v="13"/>
    <n v="315.839556518508"/>
    <n v="115281.438129255"/>
    <n v="415013.17726531997"/>
  </r>
  <r>
    <x v="0"/>
    <x v="0"/>
    <x v="0"/>
    <x v="5"/>
    <x v="9"/>
    <s v="LT_VilU"/>
    <x v="1"/>
    <x v="196"/>
    <x v="0"/>
    <x v="14"/>
    <n v="315.839556518508"/>
    <n v="115281.438129255"/>
    <n v="415013.17726531997"/>
  </r>
  <r>
    <x v="0"/>
    <x v="0"/>
    <x v="0"/>
    <x v="5"/>
    <x v="9"/>
    <s v="LT_VilU"/>
    <x v="1"/>
    <x v="196"/>
    <x v="0"/>
    <x v="15"/>
    <n v="315.839556518508"/>
    <n v="115281.438129255"/>
    <n v="415013.17726531997"/>
  </r>
  <r>
    <x v="0"/>
    <x v="0"/>
    <x v="0"/>
    <x v="5"/>
    <x v="9"/>
    <s v="LT_VilU"/>
    <x v="1"/>
    <x v="196"/>
    <x v="0"/>
    <x v="16"/>
    <n v="315.839556518508"/>
    <n v="115281.438129255"/>
    <n v="415013.17726531997"/>
  </r>
  <r>
    <x v="0"/>
    <x v="0"/>
    <x v="0"/>
    <x v="5"/>
    <x v="9"/>
    <s v="LT_VilU"/>
    <x v="1"/>
    <x v="196"/>
    <x v="0"/>
    <x v="17"/>
    <n v="315.839556518508"/>
    <n v="115281.438129255"/>
    <n v="415013.17726531997"/>
  </r>
  <r>
    <x v="0"/>
    <x v="0"/>
    <x v="0"/>
    <x v="5"/>
    <x v="9"/>
    <s v="LT_VilU"/>
    <x v="1"/>
    <x v="196"/>
    <x v="0"/>
    <x v="18"/>
    <n v="315.839556518508"/>
    <n v="115281.438129255"/>
    <n v="415013.17726531997"/>
  </r>
  <r>
    <x v="0"/>
    <x v="0"/>
    <x v="0"/>
    <x v="5"/>
    <x v="9"/>
    <s v="LT_VilU"/>
    <x v="1"/>
    <x v="196"/>
    <x v="0"/>
    <x v="19"/>
    <n v="315.839556518508"/>
    <n v="115281.438129255"/>
    <n v="415013.17726531997"/>
  </r>
  <r>
    <x v="0"/>
    <x v="0"/>
    <x v="0"/>
    <x v="5"/>
    <x v="9"/>
    <s v="LT_VilU"/>
    <x v="1"/>
    <x v="196"/>
    <x v="0"/>
    <x v="20"/>
    <n v="315.839556518508"/>
    <n v="115281.438129255"/>
    <n v="415013.17726531997"/>
  </r>
  <r>
    <x v="0"/>
    <x v="0"/>
    <x v="0"/>
    <x v="5"/>
    <x v="9"/>
    <s v="LT_VilU"/>
    <x v="1"/>
    <x v="196"/>
    <x v="0"/>
    <x v="21"/>
    <n v="315.839556518508"/>
    <n v="115281.438129255"/>
    <n v="415013.17726531997"/>
  </r>
  <r>
    <x v="0"/>
    <x v="0"/>
    <x v="0"/>
    <x v="5"/>
    <x v="9"/>
    <s v="LT_VilU"/>
    <x v="1"/>
    <x v="196"/>
    <x v="0"/>
    <x v="22"/>
    <n v="315.839556518508"/>
    <n v="115281.438129255"/>
    <n v="415013.17726531997"/>
  </r>
  <r>
    <x v="0"/>
    <x v="0"/>
    <x v="0"/>
    <x v="5"/>
    <x v="9"/>
    <s v="LT_VilU"/>
    <x v="1"/>
    <x v="196"/>
    <x v="0"/>
    <x v="23"/>
    <n v="315.839556518508"/>
    <n v="115281.438129255"/>
    <n v="415013.17726531997"/>
  </r>
  <r>
    <x v="0"/>
    <x v="0"/>
    <x v="0"/>
    <x v="5"/>
    <x v="9"/>
    <s v="LT_VilU"/>
    <x v="2"/>
    <x v="197"/>
    <x v="0"/>
    <x v="3"/>
    <n v="784.48275862068999"/>
    <n v="286336.206896552"/>
    <n v="1030810.34482759"/>
  </r>
  <r>
    <x v="0"/>
    <x v="0"/>
    <x v="0"/>
    <x v="5"/>
    <x v="9"/>
    <s v="LT_VilU"/>
    <x v="2"/>
    <x v="197"/>
    <x v="0"/>
    <x v="4"/>
    <n v="784.48275862068999"/>
    <n v="286336.206896552"/>
    <n v="1030810.34482759"/>
  </r>
  <r>
    <x v="0"/>
    <x v="0"/>
    <x v="0"/>
    <x v="5"/>
    <x v="9"/>
    <s v="LT_VilU"/>
    <x v="2"/>
    <x v="197"/>
    <x v="0"/>
    <x v="5"/>
    <n v="784.48275862068999"/>
    <n v="286336.206896552"/>
    <n v="1030810.34482759"/>
  </r>
  <r>
    <x v="0"/>
    <x v="0"/>
    <x v="0"/>
    <x v="5"/>
    <x v="9"/>
    <s v="LT_VilU"/>
    <x v="2"/>
    <x v="197"/>
    <x v="0"/>
    <x v="6"/>
    <n v="784.48275862068999"/>
    <n v="286336.206896552"/>
    <n v="1030810.34482759"/>
  </r>
  <r>
    <x v="0"/>
    <x v="0"/>
    <x v="0"/>
    <x v="5"/>
    <x v="9"/>
    <s v="LT_VilU"/>
    <x v="2"/>
    <x v="197"/>
    <x v="0"/>
    <x v="7"/>
    <n v="784.48275862068999"/>
    <n v="286336.206896552"/>
    <n v="1030810.34482759"/>
  </r>
  <r>
    <x v="0"/>
    <x v="0"/>
    <x v="0"/>
    <x v="5"/>
    <x v="9"/>
    <s v="LT_VilU"/>
    <x v="2"/>
    <x v="197"/>
    <x v="0"/>
    <x v="8"/>
    <n v="784.48275862068999"/>
    <n v="286336.206896552"/>
    <n v="1030810.34482759"/>
  </r>
  <r>
    <x v="0"/>
    <x v="0"/>
    <x v="0"/>
    <x v="5"/>
    <x v="9"/>
    <s v="LT_VilU"/>
    <x v="2"/>
    <x v="197"/>
    <x v="0"/>
    <x v="0"/>
    <n v="784.48275862068999"/>
    <n v="286336.206896552"/>
    <n v="1030810.34482759"/>
  </r>
  <r>
    <x v="0"/>
    <x v="0"/>
    <x v="0"/>
    <x v="5"/>
    <x v="9"/>
    <s v="LT_VilU"/>
    <x v="2"/>
    <x v="197"/>
    <x v="0"/>
    <x v="1"/>
    <n v="784.48275862068999"/>
    <n v="286336.206896552"/>
    <n v="1030810.34482759"/>
  </r>
  <r>
    <x v="0"/>
    <x v="0"/>
    <x v="0"/>
    <x v="5"/>
    <x v="9"/>
    <s v="LT_VilU"/>
    <x v="2"/>
    <x v="197"/>
    <x v="0"/>
    <x v="2"/>
    <n v="784.48275862068999"/>
    <n v="286336.206896552"/>
    <n v="1030810.34482759"/>
  </r>
  <r>
    <x v="0"/>
    <x v="0"/>
    <x v="0"/>
    <x v="5"/>
    <x v="9"/>
    <s v="LT_VilU"/>
    <x v="2"/>
    <x v="197"/>
    <x v="0"/>
    <x v="9"/>
    <n v="784.48275862068999"/>
    <n v="286336.206896552"/>
    <n v="1030810.34482759"/>
  </r>
  <r>
    <x v="0"/>
    <x v="0"/>
    <x v="0"/>
    <x v="5"/>
    <x v="9"/>
    <s v="LT_VilU"/>
    <x v="2"/>
    <x v="197"/>
    <x v="0"/>
    <x v="10"/>
    <n v="784.48275862068999"/>
    <n v="286336.206896552"/>
    <n v="1030810.34482759"/>
  </r>
  <r>
    <x v="0"/>
    <x v="0"/>
    <x v="0"/>
    <x v="5"/>
    <x v="9"/>
    <s v="LT_VilU"/>
    <x v="2"/>
    <x v="197"/>
    <x v="0"/>
    <x v="11"/>
    <n v="784.48275862068999"/>
    <n v="286336.206896552"/>
    <n v="1030810.34482759"/>
  </r>
  <r>
    <x v="0"/>
    <x v="0"/>
    <x v="0"/>
    <x v="5"/>
    <x v="9"/>
    <s v="LT_VilU"/>
    <x v="2"/>
    <x v="197"/>
    <x v="0"/>
    <x v="12"/>
    <n v="784.48275862068999"/>
    <n v="286336.206896552"/>
    <n v="1030810.34482759"/>
  </r>
  <r>
    <x v="0"/>
    <x v="0"/>
    <x v="0"/>
    <x v="5"/>
    <x v="9"/>
    <s v="LT_VilU"/>
    <x v="2"/>
    <x v="197"/>
    <x v="0"/>
    <x v="13"/>
    <n v="784.48275862068999"/>
    <n v="286336.206896552"/>
    <n v="1030810.34482759"/>
  </r>
  <r>
    <x v="0"/>
    <x v="0"/>
    <x v="0"/>
    <x v="5"/>
    <x v="9"/>
    <s v="LT_VilU"/>
    <x v="2"/>
    <x v="197"/>
    <x v="0"/>
    <x v="14"/>
    <n v="784.48275862068999"/>
    <n v="286336.206896552"/>
    <n v="1030810.34482759"/>
  </r>
  <r>
    <x v="0"/>
    <x v="0"/>
    <x v="0"/>
    <x v="5"/>
    <x v="9"/>
    <s v="LT_VilU"/>
    <x v="2"/>
    <x v="197"/>
    <x v="0"/>
    <x v="15"/>
    <n v="784.48275862068999"/>
    <n v="286336.206896552"/>
    <n v="1030810.34482759"/>
  </r>
  <r>
    <x v="0"/>
    <x v="0"/>
    <x v="0"/>
    <x v="5"/>
    <x v="9"/>
    <s v="LT_VilU"/>
    <x v="2"/>
    <x v="197"/>
    <x v="0"/>
    <x v="16"/>
    <n v="784.48275862068999"/>
    <n v="286336.206896552"/>
    <n v="1030810.34482759"/>
  </r>
  <r>
    <x v="0"/>
    <x v="0"/>
    <x v="0"/>
    <x v="5"/>
    <x v="9"/>
    <s v="LT_VilU"/>
    <x v="2"/>
    <x v="197"/>
    <x v="0"/>
    <x v="17"/>
    <n v="784.48275862068999"/>
    <n v="286336.206896552"/>
    <n v="1030810.34482759"/>
  </r>
  <r>
    <x v="0"/>
    <x v="0"/>
    <x v="0"/>
    <x v="5"/>
    <x v="9"/>
    <s v="LT_VilU"/>
    <x v="2"/>
    <x v="197"/>
    <x v="0"/>
    <x v="18"/>
    <n v="784.48275862068999"/>
    <n v="286336.206896552"/>
    <n v="1030810.34482759"/>
  </r>
  <r>
    <x v="0"/>
    <x v="0"/>
    <x v="0"/>
    <x v="5"/>
    <x v="9"/>
    <s v="LT_VilU"/>
    <x v="2"/>
    <x v="197"/>
    <x v="0"/>
    <x v="19"/>
    <n v="784.48275862068999"/>
    <n v="286336.206896552"/>
    <n v="1030810.34482759"/>
  </r>
  <r>
    <x v="0"/>
    <x v="0"/>
    <x v="0"/>
    <x v="5"/>
    <x v="9"/>
    <s v="LT_VilU"/>
    <x v="2"/>
    <x v="197"/>
    <x v="0"/>
    <x v="20"/>
    <n v="784.48275862068999"/>
    <n v="286336.206896552"/>
    <n v="1030810.34482759"/>
  </r>
  <r>
    <x v="0"/>
    <x v="0"/>
    <x v="0"/>
    <x v="5"/>
    <x v="9"/>
    <s v="LT_VilU"/>
    <x v="2"/>
    <x v="197"/>
    <x v="0"/>
    <x v="21"/>
    <n v="784.48275862068999"/>
    <n v="286336.206896552"/>
    <n v="1030810.34482759"/>
  </r>
  <r>
    <x v="0"/>
    <x v="0"/>
    <x v="0"/>
    <x v="5"/>
    <x v="9"/>
    <s v="LT_VilU"/>
    <x v="2"/>
    <x v="197"/>
    <x v="0"/>
    <x v="22"/>
    <n v="784.48275862068999"/>
    <n v="286336.206896552"/>
    <n v="1030810.34482759"/>
  </r>
  <r>
    <x v="0"/>
    <x v="0"/>
    <x v="0"/>
    <x v="5"/>
    <x v="9"/>
    <s v="LT_VilU"/>
    <x v="2"/>
    <x v="197"/>
    <x v="0"/>
    <x v="23"/>
    <n v="784.48275862068999"/>
    <n v="286336.206896552"/>
    <n v="1030810.34482759"/>
  </r>
  <r>
    <x v="0"/>
    <x v="0"/>
    <x v="0"/>
    <x v="5"/>
    <x v="9"/>
    <s v="LT_VilU"/>
    <x v="2"/>
    <x v="198"/>
    <x v="0"/>
    <x v="3"/>
    <n v="1591.5119363395199"/>
    <n v="580901.85676392599"/>
    <n v="2091246.6843501299"/>
  </r>
  <r>
    <x v="0"/>
    <x v="0"/>
    <x v="0"/>
    <x v="5"/>
    <x v="9"/>
    <s v="LT_VilU"/>
    <x v="2"/>
    <x v="198"/>
    <x v="0"/>
    <x v="4"/>
    <n v="1591.5119363395199"/>
    <n v="580901.85676392599"/>
    <n v="2091246.6843501299"/>
  </r>
  <r>
    <x v="0"/>
    <x v="0"/>
    <x v="0"/>
    <x v="5"/>
    <x v="9"/>
    <s v="LT_VilU"/>
    <x v="2"/>
    <x v="198"/>
    <x v="0"/>
    <x v="5"/>
    <n v="1591.5119363395199"/>
    <n v="580901.85676392599"/>
    <n v="2091246.6843501299"/>
  </r>
  <r>
    <x v="0"/>
    <x v="0"/>
    <x v="0"/>
    <x v="5"/>
    <x v="9"/>
    <s v="LT_VilU"/>
    <x v="2"/>
    <x v="198"/>
    <x v="0"/>
    <x v="6"/>
    <n v="1591.5119363395199"/>
    <n v="580901.85676392599"/>
    <n v="2091246.6843501299"/>
  </r>
  <r>
    <x v="0"/>
    <x v="0"/>
    <x v="0"/>
    <x v="5"/>
    <x v="9"/>
    <s v="LT_VilU"/>
    <x v="2"/>
    <x v="198"/>
    <x v="0"/>
    <x v="7"/>
    <n v="1591.5119363395199"/>
    <n v="580901.85676392599"/>
    <n v="2091246.6843501299"/>
  </r>
  <r>
    <x v="0"/>
    <x v="0"/>
    <x v="0"/>
    <x v="5"/>
    <x v="9"/>
    <s v="LT_VilU"/>
    <x v="2"/>
    <x v="198"/>
    <x v="0"/>
    <x v="8"/>
    <n v="1591.5119363395199"/>
    <n v="580901.85676392599"/>
    <n v="2091246.6843501299"/>
  </r>
  <r>
    <x v="0"/>
    <x v="0"/>
    <x v="0"/>
    <x v="5"/>
    <x v="9"/>
    <s v="LT_VilU"/>
    <x v="2"/>
    <x v="198"/>
    <x v="0"/>
    <x v="0"/>
    <n v="1591.5119363395199"/>
    <n v="580901.85676392599"/>
    <n v="2091246.6843501299"/>
  </r>
  <r>
    <x v="0"/>
    <x v="0"/>
    <x v="0"/>
    <x v="5"/>
    <x v="9"/>
    <s v="LT_VilU"/>
    <x v="2"/>
    <x v="198"/>
    <x v="0"/>
    <x v="1"/>
    <n v="1591.5119363395199"/>
    <n v="580901.85676392599"/>
    <n v="2091246.6843501299"/>
  </r>
  <r>
    <x v="0"/>
    <x v="0"/>
    <x v="0"/>
    <x v="5"/>
    <x v="9"/>
    <s v="LT_VilU"/>
    <x v="2"/>
    <x v="198"/>
    <x v="0"/>
    <x v="2"/>
    <n v="1591.5119363395199"/>
    <n v="580901.85676392599"/>
    <n v="2091246.6843501299"/>
  </r>
  <r>
    <x v="0"/>
    <x v="0"/>
    <x v="0"/>
    <x v="5"/>
    <x v="9"/>
    <s v="LT_VilU"/>
    <x v="2"/>
    <x v="198"/>
    <x v="0"/>
    <x v="9"/>
    <n v="1591.5119363395199"/>
    <n v="580901.85676392599"/>
    <n v="2091246.6843501299"/>
  </r>
  <r>
    <x v="0"/>
    <x v="0"/>
    <x v="0"/>
    <x v="5"/>
    <x v="9"/>
    <s v="LT_VilU"/>
    <x v="2"/>
    <x v="198"/>
    <x v="0"/>
    <x v="10"/>
    <n v="1591.5119363395199"/>
    <n v="580901.85676392599"/>
    <n v="2091246.6843501299"/>
  </r>
  <r>
    <x v="0"/>
    <x v="0"/>
    <x v="0"/>
    <x v="5"/>
    <x v="9"/>
    <s v="LT_VilU"/>
    <x v="2"/>
    <x v="198"/>
    <x v="0"/>
    <x v="11"/>
    <n v="1591.5119363395199"/>
    <n v="580901.85676392599"/>
    <n v="2091246.6843501299"/>
  </r>
  <r>
    <x v="0"/>
    <x v="0"/>
    <x v="0"/>
    <x v="5"/>
    <x v="9"/>
    <s v="LT_VilU"/>
    <x v="2"/>
    <x v="198"/>
    <x v="0"/>
    <x v="12"/>
    <n v="1591.5119363395199"/>
    <n v="580901.85676392599"/>
    <n v="2091246.6843501299"/>
  </r>
  <r>
    <x v="0"/>
    <x v="0"/>
    <x v="0"/>
    <x v="5"/>
    <x v="9"/>
    <s v="LT_VilU"/>
    <x v="2"/>
    <x v="198"/>
    <x v="0"/>
    <x v="13"/>
    <n v="1591.5119363395199"/>
    <n v="580901.85676392599"/>
    <n v="2091246.6843501299"/>
  </r>
  <r>
    <x v="0"/>
    <x v="0"/>
    <x v="0"/>
    <x v="5"/>
    <x v="9"/>
    <s v="LT_VilU"/>
    <x v="2"/>
    <x v="198"/>
    <x v="0"/>
    <x v="14"/>
    <n v="1591.5119363395199"/>
    <n v="580901.85676392599"/>
    <n v="2091246.6843501299"/>
  </r>
  <r>
    <x v="0"/>
    <x v="0"/>
    <x v="0"/>
    <x v="5"/>
    <x v="9"/>
    <s v="LT_VilU"/>
    <x v="2"/>
    <x v="198"/>
    <x v="0"/>
    <x v="15"/>
    <n v="1591.5119363395199"/>
    <n v="580901.85676392599"/>
    <n v="2091246.6843501299"/>
  </r>
  <r>
    <x v="0"/>
    <x v="0"/>
    <x v="0"/>
    <x v="5"/>
    <x v="9"/>
    <s v="LT_VilU"/>
    <x v="2"/>
    <x v="198"/>
    <x v="0"/>
    <x v="16"/>
    <n v="1591.5119363395199"/>
    <n v="580901.85676392599"/>
    <n v="2091246.6843501299"/>
  </r>
  <r>
    <x v="0"/>
    <x v="0"/>
    <x v="0"/>
    <x v="5"/>
    <x v="9"/>
    <s v="LT_VilU"/>
    <x v="2"/>
    <x v="198"/>
    <x v="0"/>
    <x v="17"/>
    <n v="1591.5119363395199"/>
    <n v="580901.85676392599"/>
    <n v="2091246.6843501299"/>
  </r>
  <r>
    <x v="0"/>
    <x v="0"/>
    <x v="0"/>
    <x v="5"/>
    <x v="9"/>
    <s v="LT_VilU"/>
    <x v="2"/>
    <x v="198"/>
    <x v="0"/>
    <x v="18"/>
    <n v="1591.5119363395199"/>
    <n v="580901.85676392599"/>
    <n v="2091246.6843501299"/>
  </r>
  <r>
    <x v="0"/>
    <x v="0"/>
    <x v="0"/>
    <x v="5"/>
    <x v="9"/>
    <s v="LT_VilU"/>
    <x v="2"/>
    <x v="198"/>
    <x v="0"/>
    <x v="19"/>
    <n v="1591.5119363395199"/>
    <n v="580901.85676392599"/>
    <n v="2091246.6843501299"/>
  </r>
  <r>
    <x v="0"/>
    <x v="0"/>
    <x v="0"/>
    <x v="5"/>
    <x v="9"/>
    <s v="LT_VilU"/>
    <x v="2"/>
    <x v="198"/>
    <x v="0"/>
    <x v="20"/>
    <n v="1591.5119363395199"/>
    <n v="580901.85676392599"/>
    <n v="2091246.6843501299"/>
  </r>
  <r>
    <x v="0"/>
    <x v="0"/>
    <x v="0"/>
    <x v="5"/>
    <x v="9"/>
    <s v="LT_VilU"/>
    <x v="2"/>
    <x v="198"/>
    <x v="0"/>
    <x v="21"/>
    <n v="1591.5119363395199"/>
    <n v="580901.85676392599"/>
    <n v="2091246.6843501299"/>
  </r>
  <r>
    <x v="0"/>
    <x v="0"/>
    <x v="0"/>
    <x v="5"/>
    <x v="9"/>
    <s v="LT_VilU"/>
    <x v="2"/>
    <x v="198"/>
    <x v="0"/>
    <x v="22"/>
    <n v="1591.5119363395199"/>
    <n v="580901.85676392599"/>
    <n v="2091246.6843501299"/>
  </r>
  <r>
    <x v="0"/>
    <x v="0"/>
    <x v="0"/>
    <x v="5"/>
    <x v="9"/>
    <s v="LT_VilU"/>
    <x v="2"/>
    <x v="198"/>
    <x v="0"/>
    <x v="23"/>
    <n v="1591.5119363395199"/>
    <n v="580901.85676392599"/>
    <n v="2091246.6843501299"/>
  </r>
  <r>
    <x v="0"/>
    <x v="0"/>
    <x v="0"/>
    <x v="5"/>
    <x v="9"/>
    <s v="LT_VilU"/>
    <x v="2"/>
    <x v="199"/>
    <x v="0"/>
    <x v="3"/>
    <n v="923.07692307692298"/>
    <n v="336923.07692307699"/>
    <n v="1212923.07692308"/>
  </r>
  <r>
    <x v="0"/>
    <x v="0"/>
    <x v="0"/>
    <x v="5"/>
    <x v="9"/>
    <s v="LT_VilU"/>
    <x v="2"/>
    <x v="199"/>
    <x v="0"/>
    <x v="4"/>
    <n v="923.07692307692298"/>
    <n v="336923.07692307699"/>
    <n v="1212923.07692308"/>
  </r>
  <r>
    <x v="0"/>
    <x v="0"/>
    <x v="0"/>
    <x v="5"/>
    <x v="9"/>
    <s v="LT_VilU"/>
    <x v="2"/>
    <x v="199"/>
    <x v="0"/>
    <x v="5"/>
    <n v="923.07692307692298"/>
    <n v="336923.07692307699"/>
    <n v="1212923.07692308"/>
  </r>
  <r>
    <x v="0"/>
    <x v="0"/>
    <x v="0"/>
    <x v="5"/>
    <x v="9"/>
    <s v="LT_VilU"/>
    <x v="2"/>
    <x v="199"/>
    <x v="0"/>
    <x v="6"/>
    <n v="923.07692307692298"/>
    <n v="336923.07692307699"/>
    <n v="1212923.07692308"/>
  </r>
  <r>
    <x v="0"/>
    <x v="0"/>
    <x v="0"/>
    <x v="5"/>
    <x v="9"/>
    <s v="LT_VilU"/>
    <x v="2"/>
    <x v="199"/>
    <x v="0"/>
    <x v="7"/>
    <n v="923.07692307692298"/>
    <n v="336923.07692307699"/>
    <n v="1212923.07692308"/>
  </r>
  <r>
    <x v="0"/>
    <x v="0"/>
    <x v="0"/>
    <x v="5"/>
    <x v="9"/>
    <s v="LT_VilU"/>
    <x v="2"/>
    <x v="199"/>
    <x v="0"/>
    <x v="8"/>
    <n v="923.07692307692298"/>
    <n v="336923.07692307699"/>
    <n v="1212923.07692308"/>
  </r>
  <r>
    <x v="0"/>
    <x v="0"/>
    <x v="0"/>
    <x v="5"/>
    <x v="9"/>
    <s v="LT_VilU"/>
    <x v="2"/>
    <x v="199"/>
    <x v="0"/>
    <x v="0"/>
    <n v="923.07692307692298"/>
    <n v="336923.07692307699"/>
    <n v="1212923.07692308"/>
  </r>
  <r>
    <x v="0"/>
    <x v="0"/>
    <x v="0"/>
    <x v="5"/>
    <x v="9"/>
    <s v="LT_VilU"/>
    <x v="2"/>
    <x v="199"/>
    <x v="0"/>
    <x v="1"/>
    <n v="923.07692307692298"/>
    <n v="336923.07692307699"/>
    <n v="1212923.07692308"/>
  </r>
  <r>
    <x v="0"/>
    <x v="0"/>
    <x v="0"/>
    <x v="5"/>
    <x v="9"/>
    <s v="LT_VilU"/>
    <x v="2"/>
    <x v="199"/>
    <x v="0"/>
    <x v="2"/>
    <n v="923.07692307692298"/>
    <n v="336923.07692307699"/>
    <n v="1212923.07692308"/>
  </r>
  <r>
    <x v="0"/>
    <x v="0"/>
    <x v="0"/>
    <x v="5"/>
    <x v="9"/>
    <s v="LT_VilU"/>
    <x v="2"/>
    <x v="199"/>
    <x v="0"/>
    <x v="9"/>
    <n v="923.07692307692298"/>
    <n v="336923.07692307699"/>
    <n v="1212923.07692308"/>
  </r>
  <r>
    <x v="0"/>
    <x v="0"/>
    <x v="0"/>
    <x v="5"/>
    <x v="9"/>
    <s v="LT_VilU"/>
    <x v="2"/>
    <x v="199"/>
    <x v="0"/>
    <x v="10"/>
    <n v="923.07692307692298"/>
    <n v="336923.07692307699"/>
    <n v="1212923.07692308"/>
  </r>
  <r>
    <x v="0"/>
    <x v="0"/>
    <x v="0"/>
    <x v="5"/>
    <x v="9"/>
    <s v="LT_VilU"/>
    <x v="2"/>
    <x v="199"/>
    <x v="0"/>
    <x v="11"/>
    <n v="923.07692307692298"/>
    <n v="336923.07692307699"/>
    <n v="1212923.07692308"/>
  </r>
  <r>
    <x v="0"/>
    <x v="0"/>
    <x v="0"/>
    <x v="5"/>
    <x v="9"/>
    <s v="LT_VilU"/>
    <x v="2"/>
    <x v="199"/>
    <x v="0"/>
    <x v="12"/>
    <n v="923.07692307692298"/>
    <n v="336923.07692307699"/>
    <n v="1212923.07692308"/>
  </r>
  <r>
    <x v="0"/>
    <x v="0"/>
    <x v="0"/>
    <x v="5"/>
    <x v="9"/>
    <s v="LT_VilU"/>
    <x v="2"/>
    <x v="199"/>
    <x v="0"/>
    <x v="13"/>
    <n v="923.07692307692298"/>
    <n v="336923.07692307699"/>
    <n v="1212923.07692308"/>
  </r>
  <r>
    <x v="0"/>
    <x v="0"/>
    <x v="0"/>
    <x v="5"/>
    <x v="9"/>
    <s v="LT_VilU"/>
    <x v="2"/>
    <x v="199"/>
    <x v="0"/>
    <x v="14"/>
    <n v="923.07692307692298"/>
    <n v="336923.07692307699"/>
    <n v="1212923.07692308"/>
  </r>
  <r>
    <x v="0"/>
    <x v="0"/>
    <x v="0"/>
    <x v="5"/>
    <x v="9"/>
    <s v="LT_VilU"/>
    <x v="2"/>
    <x v="199"/>
    <x v="0"/>
    <x v="15"/>
    <n v="923.07692307692298"/>
    <n v="336923.07692307699"/>
    <n v="1212923.07692308"/>
  </r>
  <r>
    <x v="0"/>
    <x v="0"/>
    <x v="0"/>
    <x v="5"/>
    <x v="9"/>
    <s v="LT_VilU"/>
    <x v="2"/>
    <x v="199"/>
    <x v="0"/>
    <x v="16"/>
    <n v="923.07692307692298"/>
    <n v="336923.07692307699"/>
    <n v="1212923.07692308"/>
  </r>
  <r>
    <x v="0"/>
    <x v="0"/>
    <x v="0"/>
    <x v="5"/>
    <x v="9"/>
    <s v="LT_VilU"/>
    <x v="2"/>
    <x v="199"/>
    <x v="0"/>
    <x v="17"/>
    <n v="923.07692307692298"/>
    <n v="336923.07692307699"/>
    <n v="1212923.07692308"/>
  </r>
  <r>
    <x v="0"/>
    <x v="0"/>
    <x v="0"/>
    <x v="5"/>
    <x v="9"/>
    <s v="LT_VilU"/>
    <x v="2"/>
    <x v="199"/>
    <x v="0"/>
    <x v="18"/>
    <n v="923.07692307692298"/>
    <n v="336923.07692307699"/>
    <n v="1212923.07692308"/>
  </r>
  <r>
    <x v="0"/>
    <x v="0"/>
    <x v="0"/>
    <x v="5"/>
    <x v="9"/>
    <s v="LT_VilU"/>
    <x v="2"/>
    <x v="199"/>
    <x v="0"/>
    <x v="19"/>
    <n v="923.07692307692298"/>
    <n v="336923.07692307699"/>
    <n v="1212923.07692308"/>
  </r>
  <r>
    <x v="0"/>
    <x v="0"/>
    <x v="0"/>
    <x v="5"/>
    <x v="9"/>
    <s v="LT_VilU"/>
    <x v="2"/>
    <x v="199"/>
    <x v="0"/>
    <x v="20"/>
    <n v="923.07692307692298"/>
    <n v="336923.07692307699"/>
    <n v="1212923.07692308"/>
  </r>
  <r>
    <x v="0"/>
    <x v="0"/>
    <x v="0"/>
    <x v="5"/>
    <x v="9"/>
    <s v="LT_VilU"/>
    <x v="2"/>
    <x v="199"/>
    <x v="0"/>
    <x v="21"/>
    <n v="923.07692307692298"/>
    <n v="336923.07692307699"/>
    <n v="1212923.07692308"/>
  </r>
  <r>
    <x v="0"/>
    <x v="0"/>
    <x v="0"/>
    <x v="5"/>
    <x v="9"/>
    <s v="LT_VilU"/>
    <x v="2"/>
    <x v="199"/>
    <x v="0"/>
    <x v="22"/>
    <n v="923.07692307692298"/>
    <n v="336923.07692307699"/>
    <n v="1212923.07692308"/>
  </r>
  <r>
    <x v="0"/>
    <x v="0"/>
    <x v="0"/>
    <x v="5"/>
    <x v="9"/>
    <s v="LT_VilU"/>
    <x v="2"/>
    <x v="199"/>
    <x v="0"/>
    <x v="23"/>
    <n v="923.07692307692298"/>
    <n v="336923.07692307699"/>
    <n v="1212923.07692308"/>
  </r>
  <r>
    <x v="0"/>
    <x v="0"/>
    <x v="0"/>
    <x v="5"/>
    <x v="9"/>
    <s v="LT_VilU"/>
    <x v="7"/>
    <x v="200"/>
    <x v="0"/>
    <x v="2"/>
    <n v="128.219178082192"/>
    <n v="46800"/>
    <n v="168480"/>
  </r>
  <r>
    <x v="0"/>
    <x v="0"/>
    <x v="0"/>
    <x v="6"/>
    <x v="10"/>
    <s v="NL_A"/>
    <x v="0"/>
    <x v="201"/>
    <x v="0"/>
    <x v="16"/>
    <n v="2147.1036652115699"/>
    <n v="783692.83780222305"/>
    <n v="2821294.2160880002"/>
  </r>
  <r>
    <x v="0"/>
    <x v="0"/>
    <x v="0"/>
    <x v="6"/>
    <x v="10"/>
    <s v="NL_A"/>
    <x v="0"/>
    <x v="201"/>
    <x v="0"/>
    <x v="17"/>
    <n v="3386.8421749219601"/>
    <n v="1236197.39384652"/>
    <n v="4450310.6178474603"/>
  </r>
  <r>
    <x v="0"/>
    <x v="0"/>
    <x v="0"/>
    <x v="6"/>
    <x v="10"/>
    <s v="NL_A"/>
    <x v="0"/>
    <x v="201"/>
    <x v="0"/>
    <x v="18"/>
    <n v="2510.82168217461"/>
    <n v="916449.913993733"/>
    <n v="3299219.6903774398"/>
  </r>
  <r>
    <x v="0"/>
    <x v="0"/>
    <x v="0"/>
    <x v="6"/>
    <x v="10"/>
    <s v="NL_A"/>
    <x v="1"/>
    <x v="202"/>
    <x v="0"/>
    <x v="3"/>
    <n v="1710"/>
    <n v="624150"/>
    <n v="2246940"/>
  </r>
  <r>
    <x v="0"/>
    <x v="0"/>
    <x v="0"/>
    <x v="6"/>
    <x v="10"/>
    <s v="NL_A"/>
    <x v="1"/>
    <x v="202"/>
    <x v="0"/>
    <x v="4"/>
    <n v="1710"/>
    <n v="624150"/>
    <n v="2246940"/>
  </r>
  <r>
    <x v="0"/>
    <x v="0"/>
    <x v="0"/>
    <x v="6"/>
    <x v="10"/>
    <s v="NL_A"/>
    <x v="1"/>
    <x v="202"/>
    <x v="0"/>
    <x v="5"/>
    <n v="1710"/>
    <n v="624150"/>
    <n v="2246940"/>
  </r>
  <r>
    <x v="0"/>
    <x v="0"/>
    <x v="0"/>
    <x v="6"/>
    <x v="10"/>
    <s v="NL_A"/>
    <x v="1"/>
    <x v="202"/>
    <x v="0"/>
    <x v="6"/>
    <n v="1710"/>
    <n v="624150"/>
    <n v="2246940"/>
  </r>
  <r>
    <x v="0"/>
    <x v="0"/>
    <x v="0"/>
    <x v="6"/>
    <x v="10"/>
    <s v="NL_A"/>
    <x v="1"/>
    <x v="202"/>
    <x v="0"/>
    <x v="7"/>
    <n v="1710"/>
    <n v="624150"/>
    <n v="2246940"/>
  </r>
  <r>
    <x v="0"/>
    <x v="0"/>
    <x v="0"/>
    <x v="6"/>
    <x v="10"/>
    <s v="NL_A"/>
    <x v="1"/>
    <x v="202"/>
    <x v="0"/>
    <x v="8"/>
    <n v="1710"/>
    <n v="624150"/>
    <n v="2246940"/>
  </r>
  <r>
    <x v="0"/>
    <x v="0"/>
    <x v="0"/>
    <x v="6"/>
    <x v="10"/>
    <s v="NL_A"/>
    <x v="1"/>
    <x v="202"/>
    <x v="0"/>
    <x v="0"/>
    <n v="1710"/>
    <n v="624150"/>
    <n v="2246940"/>
  </r>
  <r>
    <x v="0"/>
    <x v="0"/>
    <x v="0"/>
    <x v="6"/>
    <x v="10"/>
    <s v="NL_A"/>
    <x v="1"/>
    <x v="202"/>
    <x v="0"/>
    <x v="1"/>
    <n v="1710"/>
    <n v="624150"/>
    <n v="2246940"/>
  </r>
  <r>
    <x v="0"/>
    <x v="0"/>
    <x v="0"/>
    <x v="6"/>
    <x v="10"/>
    <s v="NL_A"/>
    <x v="1"/>
    <x v="202"/>
    <x v="0"/>
    <x v="2"/>
    <n v="1710"/>
    <n v="624150"/>
    <n v="2246940"/>
  </r>
  <r>
    <x v="0"/>
    <x v="0"/>
    <x v="0"/>
    <x v="6"/>
    <x v="10"/>
    <s v="NL_A"/>
    <x v="1"/>
    <x v="202"/>
    <x v="0"/>
    <x v="9"/>
    <n v="1710"/>
    <n v="624150"/>
    <n v="2246940"/>
  </r>
  <r>
    <x v="0"/>
    <x v="0"/>
    <x v="0"/>
    <x v="6"/>
    <x v="10"/>
    <s v="NL_A"/>
    <x v="1"/>
    <x v="202"/>
    <x v="0"/>
    <x v="10"/>
    <n v="1710"/>
    <n v="624150"/>
    <n v="2246940"/>
  </r>
  <r>
    <x v="0"/>
    <x v="0"/>
    <x v="0"/>
    <x v="6"/>
    <x v="10"/>
    <s v="NL_A"/>
    <x v="1"/>
    <x v="202"/>
    <x v="0"/>
    <x v="11"/>
    <n v="1710"/>
    <n v="624150"/>
    <n v="2246940"/>
  </r>
  <r>
    <x v="0"/>
    <x v="0"/>
    <x v="0"/>
    <x v="6"/>
    <x v="10"/>
    <s v="NL_A"/>
    <x v="1"/>
    <x v="202"/>
    <x v="0"/>
    <x v="12"/>
    <n v="1710"/>
    <n v="624150"/>
    <n v="2246940"/>
  </r>
  <r>
    <x v="0"/>
    <x v="0"/>
    <x v="0"/>
    <x v="6"/>
    <x v="10"/>
    <s v="NL_A"/>
    <x v="1"/>
    <x v="202"/>
    <x v="0"/>
    <x v="13"/>
    <n v="1710"/>
    <n v="624150"/>
    <n v="2246940"/>
  </r>
  <r>
    <x v="0"/>
    <x v="0"/>
    <x v="0"/>
    <x v="6"/>
    <x v="10"/>
    <s v="NL_A"/>
    <x v="1"/>
    <x v="202"/>
    <x v="0"/>
    <x v="14"/>
    <n v="1710"/>
    <n v="624150"/>
    <n v="2246940"/>
  </r>
  <r>
    <x v="0"/>
    <x v="0"/>
    <x v="0"/>
    <x v="6"/>
    <x v="10"/>
    <s v="NL_A"/>
    <x v="1"/>
    <x v="202"/>
    <x v="0"/>
    <x v="15"/>
    <n v="1710"/>
    <n v="624150"/>
    <n v="2246940"/>
  </r>
  <r>
    <x v="0"/>
    <x v="0"/>
    <x v="0"/>
    <x v="6"/>
    <x v="10"/>
    <s v="NL_A"/>
    <x v="1"/>
    <x v="202"/>
    <x v="0"/>
    <x v="16"/>
    <n v="1710"/>
    <n v="624150"/>
    <n v="2246940"/>
  </r>
  <r>
    <x v="0"/>
    <x v="0"/>
    <x v="0"/>
    <x v="6"/>
    <x v="10"/>
    <s v="NL_A"/>
    <x v="1"/>
    <x v="202"/>
    <x v="0"/>
    <x v="17"/>
    <n v="1710"/>
    <n v="624150"/>
    <n v="2246940"/>
  </r>
  <r>
    <x v="0"/>
    <x v="0"/>
    <x v="0"/>
    <x v="6"/>
    <x v="10"/>
    <s v="NL_A"/>
    <x v="1"/>
    <x v="202"/>
    <x v="0"/>
    <x v="18"/>
    <n v="1710"/>
    <n v="624150"/>
    <n v="2246940"/>
  </r>
  <r>
    <x v="0"/>
    <x v="0"/>
    <x v="0"/>
    <x v="6"/>
    <x v="10"/>
    <s v="NL_A"/>
    <x v="1"/>
    <x v="202"/>
    <x v="0"/>
    <x v="19"/>
    <n v="1710"/>
    <n v="624150"/>
    <n v="2246940"/>
  </r>
  <r>
    <x v="0"/>
    <x v="0"/>
    <x v="0"/>
    <x v="6"/>
    <x v="10"/>
    <s v="NL_A"/>
    <x v="1"/>
    <x v="202"/>
    <x v="0"/>
    <x v="20"/>
    <n v="1710"/>
    <n v="624150"/>
    <n v="2246940"/>
  </r>
  <r>
    <x v="0"/>
    <x v="0"/>
    <x v="0"/>
    <x v="6"/>
    <x v="10"/>
    <s v="NL_A"/>
    <x v="1"/>
    <x v="202"/>
    <x v="0"/>
    <x v="21"/>
    <n v="1710"/>
    <n v="624150"/>
    <n v="2246940"/>
  </r>
  <r>
    <x v="0"/>
    <x v="0"/>
    <x v="0"/>
    <x v="6"/>
    <x v="10"/>
    <s v="NL_A"/>
    <x v="1"/>
    <x v="202"/>
    <x v="0"/>
    <x v="22"/>
    <n v="1710"/>
    <n v="624150"/>
    <n v="2246940"/>
  </r>
  <r>
    <x v="0"/>
    <x v="0"/>
    <x v="0"/>
    <x v="6"/>
    <x v="10"/>
    <s v="NL_A"/>
    <x v="1"/>
    <x v="202"/>
    <x v="0"/>
    <x v="23"/>
    <n v="1710"/>
    <n v="624150"/>
    <n v="2246940"/>
  </r>
  <r>
    <x v="0"/>
    <x v="0"/>
    <x v="0"/>
    <x v="6"/>
    <x v="10"/>
    <s v="NL_A"/>
    <x v="2"/>
    <x v="203"/>
    <x v="0"/>
    <x v="3"/>
    <n v="44399.156845776699"/>
    <n v="16205692.2487085"/>
    <n v="58340492.095350601"/>
  </r>
  <r>
    <x v="0"/>
    <x v="0"/>
    <x v="0"/>
    <x v="6"/>
    <x v="10"/>
    <s v="NL_A"/>
    <x v="2"/>
    <x v="203"/>
    <x v="0"/>
    <x v="4"/>
    <n v="42777.688772184098"/>
    <n v="15613856.4018472"/>
    <n v="56209883.046649903"/>
  </r>
  <r>
    <x v="0"/>
    <x v="0"/>
    <x v="0"/>
    <x v="6"/>
    <x v="10"/>
    <s v="NL_A"/>
    <x v="2"/>
    <x v="203"/>
    <x v="0"/>
    <x v="5"/>
    <n v="42306.696376388099"/>
    <n v="15441944.1773817"/>
    <n v="55590999.038574003"/>
  </r>
  <r>
    <x v="0"/>
    <x v="0"/>
    <x v="0"/>
    <x v="6"/>
    <x v="10"/>
    <s v="NL_A"/>
    <x v="2"/>
    <x v="203"/>
    <x v="0"/>
    <x v="6"/>
    <n v="42068.450822762403"/>
    <n v="15354984.5503083"/>
    <n v="55277944.381109901"/>
  </r>
  <r>
    <x v="0"/>
    <x v="0"/>
    <x v="0"/>
    <x v="6"/>
    <x v="10"/>
    <s v="NL_A"/>
    <x v="2"/>
    <x v="203"/>
    <x v="0"/>
    <x v="7"/>
    <n v="42298.166959524497"/>
    <n v="15438830.9402264"/>
    <n v="55579791.384815097"/>
  </r>
  <r>
    <x v="0"/>
    <x v="0"/>
    <x v="0"/>
    <x v="6"/>
    <x v="10"/>
    <s v="NL_A"/>
    <x v="2"/>
    <x v="203"/>
    <x v="0"/>
    <x v="8"/>
    <n v="43314.758592513899"/>
    <n v="15809886.886267601"/>
    <n v="56915592.790563203"/>
  </r>
  <r>
    <x v="0"/>
    <x v="0"/>
    <x v="0"/>
    <x v="6"/>
    <x v="10"/>
    <s v="NL_A"/>
    <x v="2"/>
    <x v="203"/>
    <x v="0"/>
    <x v="0"/>
    <n v="47090.0601285999"/>
    <n v="17187871.946938999"/>
    <n v="61876339.0089802"/>
  </r>
  <r>
    <x v="0"/>
    <x v="0"/>
    <x v="0"/>
    <x v="6"/>
    <x v="10"/>
    <s v="NL_A"/>
    <x v="2"/>
    <x v="203"/>
    <x v="0"/>
    <x v="1"/>
    <n v="53723.807618441999"/>
    <n v="19609189.780731302"/>
    <n v="70593083.210632801"/>
  </r>
  <r>
    <x v="0"/>
    <x v="0"/>
    <x v="0"/>
    <x v="6"/>
    <x v="10"/>
    <s v="NL_A"/>
    <x v="2"/>
    <x v="203"/>
    <x v="0"/>
    <x v="2"/>
    <n v="55181.578947368398"/>
    <n v="20141276.315789498"/>
    <n v="72508594.736842096"/>
  </r>
  <r>
    <x v="0"/>
    <x v="0"/>
    <x v="0"/>
    <x v="6"/>
    <x v="10"/>
    <s v="NL_A"/>
    <x v="2"/>
    <x v="203"/>
    <x v="0"/>
    <x v="9"/>
    <n v="55181.578947368398"/>
    <n v="20141276.315789498"/>
    <n v="72508594.736842096"/>
  </r>
  <r>
    <x v="0"/>
    <x v="0"/>
    <x v="0"/>
    <x v="6"/>
    <x v="10"/>
    <s v="NL_A"/>
    <x v="2"/>
    <x v="203"/>
    <x v="0"/>
    <x v="10"/>
    <n v="55181.578947368398"/>
    <n v="20141276.315789498"/>
    <n v="72508594.736842096"/>
  </r>
  <r>
    <x v="0"/>
    <x v="0"/>
    <x v="0"/>
    <x v="6"/>
    <x v="10"/>
    <s v="NL_A"/>
    <x v="2"/>
    <x v="203"/>
    <x v="0"/>
    <x v="11"/>
    <n v="55181.578947368398"/>
    <n v="20141276.315789498"/>
    <n v="72508594.736842096"/>
  </r>
  <r>
    <x v="0"/>
    <x v="0"/>
    <x v="0"/>
    <x v="6"/>
    <x v="10"/>
    <s v="NL_A"/>
    <x v="2"/>
    <x v="203"/>
    <x v="0"/>
    <x v="12"/>
    <n v="55181.578947368398"/>
    <n v="20141276.315789498"/>
    <n v="72508594.736842096"/>
  </r>
  <r>
    <x v="0"/>
    <x v="0"/>
    <x v="0"/>
    <x v="6"/>
    <x v="10"/>
    <s v="NL_A"/>
    <x v="2"/>
    <x v="203"/>
    <x v="0"/>
    <x v="13"/>
    <n v="55181.578947368398"/>
    <n v="20141276.315789498"/>
    <n v="72508594.736842096"/>
  </r>
  <r>
    <x v="0"/>
    <x v="0"/>
    <x v="0"/>
    <x v="6"/>
    <x v="10"/>
    <s v="NL_A"/>
    <x v="2"/>
    <x v="203"/>
    <x v="0"/>
    <x v="14"/>
    <n v="55181.578947368398"/>
    <n v="20141276.315789498"/>
    <n v="72508594.736842096"/>
  </r>
  <r>
    <x v="0"/>
    <x v="0"/>
    <x v="0"/>
    <x v="6"/>
    <x v="10"/>
    <s v="NL_A"/>
    <x v="2"/>
    <x v="203"/>
    <x v="0"/>
    <x v="15"/>
    <n v="55181.578947368398"/>
    <n v="20141276.315789498"/>
    <n v="72508594.736842096"/>
  </r>
  <r>
    <x v="0"/>
    <x v="0"/>
    <x v="0"/>
    <x v="6"/>
    <x v="10"/>
    <s v="NL_A"/>
    <x v="2"/>
    <x v="203"/>
    <x v="0"/>
    <x v="16"/>
    <n v="55181.578947368398"/>
    <n v="20141276.315789498"/>
    <n v="72508594.736842096"/>
  </r>
  <r>
    <x v="0"/>
    <x v="0"/>
    <x v="0"/>
    <x v="6"/>
    <x v="10"/>
    <s v="NL_A"/>
    <x v="2"/>
    <x v="203"/>
    <x v="0"/>
    <x v="17"/>
    <n v="55181.578947368398"/>
    <n v="20141276.315789498"/>
    <n v="72508594.736842096"/>
  </r>
  <r>
    <x v="0"/>
    <x v="0"/>
    <x v="0"/>
    <x v="6"/>
    <x v="10"/>
    <s v="NL_A"/>
    <x v="2"/>
    <x v="203"/>
    <x v="0"/>
    <x v="18"/>
    <n v="55181.578947368398"/>
    <n v="20141276.315789498"/>
    <n v="72508594.736842096"/>
  </r>
  <r>
    <x v="0"/>
    <x v="0"/>
    <x v="0"/>
    <x v="6"/>
    <x v="10"/>
    <s v="NL_A"/>
    <x v="2"/>
    <x v="203"/>
    <x v="0"/>
    <x v="19"/>
    <n v="55181.578947368398"/>
    <n v="20141276.315789498"/>
    <n v="72508594.736842096"/>
  </r>
  <r>
    <x v="0"/>
    <x v="0"/>
    <x v="0"/>
    <x v="6"/>
    <x v="10"/>
    <s v="NL_A"/>
    <x v="2"/>
    <x v="203"/>
    <x v="0"/>
    <x v="20"/>
    <n v="55181.578947368398"/>
    <n v="20141276.315789498"/>
    <n v="72508594.736842096"/>
  </r>
  <r>
    <x v="0"/>
    <x v="0"/>
    <x v="0"/>
    <x v="6"/>
    <x v="10"/>
    <s v="NL_A"/>
    <x v="2"/>
    <x v="203"/>
    <x v="0"/>
    <x v="21"/>
    <n v="54261.782752197803"/>
    <n v="19805550.7045522"/>
    <n v="71299982.536387905"/>
  </r>
  <r>
    <x v="0"/>
    <x v="0"/>
    <x v="0"/>
    <x v="6"/>
    <x v="10"/>
    <s v="NL_A"/>
    <x v="2"/>
    <x v="203"/>
    <x v="0"/>
    <x v="22"/>
    <n v="51762.353181488499"/>
    <n v="18893258.911243301"/>
    <n v="68015732.080475807"/>
  </r>
  <r>
    <x v="0"/>
    <x v="0"/>
    <x v="0"/>
    <x v="6"/>
    <x v="10"/>
    <s v="NL_A"/>
    <x v="2"/>
    <x v="203"/>
    <x v="0"/>
    <x v="23"/>
    <n v="49107.678573983801"/>
    <n v="17924302.6795041"/>
    <n v="64527489.646214701"/>
  </r>
  <r>
    <x v="0"/>
    <x v="0"/>
    <x v="0"/>
    <x v="6"/>
    <x v="10"/>
    <s v="NL_A"/>
    <x v="18"/>
    <x v="161"/>
    <x v="0"/>
    <x v="3"/>
    <n v="1560.6060606060601"/>
    <n v="569621.21212121204"/>
    <n v="2050636.36363636"/>
  </r>
  <r>
    <x v="0"/>
    <x v="0"/>
    <x v="0"/>
    <x v="6"/>
    <x v="10"/>
    <s v="NL_A"/>
    <x v="18"/>
    <x v="161"/>
    <x v="0"/>
    <x v="4"/>
    <n v="1560.6060606060601"/>
    <n v="569621.21212121204"/>
    <n v="2050636.36363636"/>
  </r>
  <r>
    <x v="0"/>
    <x v="0"/>
    <x v="0"/>
    <x v="6"/>
    <x v="10"/>
    <s v="NL_A"/>
    <x v="18"/>
    <x v="161"/>
    <x v="0"/>
    <x v="5"/>
    <n v="1560.6060606060601"/>
    <n v="569621.21212121204"/>
    <n v="2050636.36363636"/>
  </r>
  <r>
    <x v="0"/>
    <x v="0"/>
    <x v="0"/>
    <x v="6"/>
    <x v="10"/>
    <s v="NL_A"/>
    <x v="18"/>
    <x v="161"/>
    <x v="0"/>
    <x v="6"/>
    <n v="1560.6060606060601"/>
    <n v="569621.21212121204"/>
    <n v="2050636.36363636"/>
  </r>
  <r>
    <x v="0"/>
    <x v="0"/>
    <x v="0"/>
    <x v="6"/>
    <x v="10"/>
    <s v="NL_A"/>
    <x v="18"/>
    <x v="161"/>
    <x v="0"/>
    <x v="7"/>
    <n v="1560.6060606060601"/>
    <n v="569621.21212121204"/>
    <n v="2050636.36363636"/>
  </r>
  <r>
    <x v="0"/>
    <x v="0"/>
    <x v="0"/>
    <x v="6"/>
    <x v="10"/>
    <s v="NL_A"/>
    <x v="18"/>
    <x v="161"/>
    <x v="0"/>
    <x v="8"/>
    <n v="1560.6060606060601"/>
    <n v="569621.21212121204"/>
    <n v="2050636.36363636"/>
  </r>
  <r>
    <x v="0"/>
    <x v="0"/>
    <x v="0"/>
    <x v="6"/>
    <x v="10"/>
    <s v="NL_A"/>
    <x v="18"/>
    <x v="161"/>
    <x v="0"/>
    <x v="0"/>
    <n v="1560.6060606060601"/>
    <n v="569621.21212121204"/>
    <n v="2050636.36363636"/>
  </r>
  <r>
    <x v="0"/>
    <x v="0"/>
    <x v="0"/>
    <x v="6"/>
    <x v="10"/>
    <s v="NL_A"/>
    <x v="18"/>
    <x v="161"/>
    <x v="0"/>
    <x v="1"/>
    <n v="1560.6060606060601"/>
    <n v="569621.21212121204"/>
    <n v="2050636.36363636"/>
  </r>
  <r>
    <x v="0"/>
    <x v="0"/>
    <x v="0"/>
    <x v="6"/>
    <x v="10"/>
    <s v="NL_A"/>
    <x v="18"/>
    <x v="161"/>
    <x v="0"/>
    <x v="2"/>
    <n v="1560.6060606060601"/>
    <n v="569621.21212121204"/>
    <n v="2050636.36363636"/>
  </r>
  <r>
    <x v="0"/>
    <x v="0"/>
    <x v="0"/>
    <x v="6"/>
    <x v="10"/>
    <s v="NL_A"/>
    <x v="18"/>
    <x v="161"/>
    <x v="0"/>
    <x v="9"/>
    <n v="1560.6060606060601"/>
    <n v="569621.21212121204"/>
    <n v="2050636.36363636"/>
  </r>
  <r>
    <x v="0"/>
    <x v="0"/>
    <x v="0"/>
    <x v="6"/>
    <x v="10"/>
    <s v="NL_A"/>
    <x v="18"/>
    <x v="161"/>
    <x v="0"/>
    <x v="10"/>
    <n v="1560.6060606060601"/>
    <n v="569621.21212121204"/>
    <n v="2050636.36363636"/>
  </r>
  <r>
    <x v="0"/>
    <x v="0"/>
    <x v="0"/>
    <x v="6"/>
    <x v="10"/>
    <s v="NL_A"/>
    <x v="18"/>
    <x v="161"/>
    <x v="0"/>
    <x v="11"/>
    <n v="1560.6060606060601"/>
    <n v="569621.21212121204"/>
    <n v="2050636.36363636"/>
  </r>
  <r>
    <x v="0"/>
    <x v="0"/>
    <x v="0"/>
    <x v="6"/>
    <x v="10"/>
    <s v="NL_A"/>
    <x v="18"/>
    <x v="161"/>
    <x v="0"/>
    <x v="12"/>
    <n v="1560.6060606060601"/>
    <n v="569621.21212121204"/>
    <n v="2050636.36363636"/>
  </r>
  <r>
    <x v="0"/>
    <x v="0"/>
    <x v="0"/>
    <x v="6"/>
    <x v="10"/>
    <s v="NL_A"/>
    <x v="18"/>
    <x v="161"/>
    <x v="0"/>
    <x v="13"/>
    <n v="1560.6060606060601"/>
    <n v="569621.21212121204"/>
    <n v="2050636.36363636"/>
  </r>
  <r>
    <x v="0"/>
    <x v="0"/>
    <x v="0"/>
    <x v="6"/>
    <x v="10"/>
    <s v="NL_A"/>
    <x v="18"/>
    <x v="161"/>
    <x v="0"/>
    <x v="14"/>
    <n v="1560.6060606060601"/>
    <n v="569621.21212121204"/>
    <n v="2050636.36363636"/>
  </r>
  <r>
    <x v="0"/>
    <x v="0"/>
    <x v="0"/>
    <x v="6"/>
    <x v="10"/>
    <s v="NL_A"/>
    <x v="18"/>
    <x v="161"/>
    <x v="0"/>
    <x v="15"/>
    <n v="1560.6060606060601"/>
    <n v="569621.21212121204"/>
    <n v="2050636.36363636"/>
  </r>
  <r>
    <x v="0"/>
    <x v="0"/>
    <x v="0"/>
    <x v="6"/>
    <x v="10"/>
    <s v="NL_A"/>
    <x v="18"/>
    <x v="161"/>
    <x v="0"/>
    <x v="16"/>
    <n v="1560.6060606060601"/>
    <n v="569621.21212121204"/>
    <n v="2050636.36363636"/>
  </r>
  <r>
    <x v="0"/>
    <x v="0"/>
    <x v="0"/>
    <x v="6"/>
    <x v="10"/>
    <s v="NL_A"/>
    <x v="18"/>
    <x v="161"/>
    <x v="0"/>
    <x v="17"/>
    <n v="1560.6060606060601"/>
    <n v="569621.21212121204"/>
    <n v="2050636.36363636"/>
  </r>
  <r>
    <x v="0"/>
    <x v="0"/>
    <x v="0"/>
    <x v="6"/>
    <x v="10"/>
    <s v="NL_A"/>
    <x v="18"/>
    <x v="161"/>
    <x v="0"/>
    <x v="18"/>
    <n v="1560.6060606060601"/>
    <n v="569621.21212121204"/>
    <n v="2050636.36363636"/>
  </r>
  <r>
    <x v="0"/>
    <x v="0"/>
    <x v="0"/>
    <x v="6"/>
    <x v="10"/>
    <s v="NL_A"/>
    <x v="18"/>
    <x v="161"/>
    <x v="0"/>
    <x v="19"/>
    <n v="1560.6060606060601"/>
    <n v="569621.21212121204"/>
    <n v="2050636.36363636"/>
  </r>
  <r>
    <x v="0"/>
    <x v="0"/>
    <x v="0"/>
    <x v="6"/>
    <x v="10"/>
    <s v="NL_A"/>
    <x v="18"/>
    <x v="161"/>
    <x v="0"/>
    <x v="20"/>
    <n v="1560.6060606060601"/>
    <n v="569621.21212121204"/>
    <n v="2050636.36363636"/>
  </r>
  <r>
    <x v="0"/>
    <x v="0"/>
    <x v="0"/>
    <x v="6"/>
    <x v="10"/>
    <s v="NL_A"/>
    <x v="18"/>
    <x v="161"/>
    <x v="0"/>
    <x v="21"/>
    <n v="1560.6060606060601"/>
    <n v="569621.21212121204"/>
    <n v="2050636.36363636"/>
  </r>
  <r>
    <x v="0"/>
    <x v="0"/>
    <x v="0"/>
    <x v="6"/>
    <x v="10"/>
    <s v="NL_A"/>
    <x v="18"/>
    <x v="161"/>
    <x v="0"/>
    <x v="22"/>
    <n v="1560.6060606060601"/>
    <n v="569621.21212121204"/>
    <n v="2050636.36363636"/>
  </r>
  <r>
    <x v="0"/>
    <x v="0"/>
    <x v="0"/>
    <x v="6"/>
    <x v="10"/>
    <s v="NL_A"/>
    <x v="18"/>
    <x v="161"/>
    <x v="0"/>
    <x v="23"/>
    <n v="1560.6060606060601"/>
    <n v="569621.21212121204"/>
    <n v="2050636.36363636"/>
  </r>
  <r>
    <x v="0"/>
    <x v="0"/>
    <x v="0"/>
    <x v="6"/>
    <x v="10"/>
    <s v="NL_A"/>
    <x v="6"/>
    <x v="45"/>
    <x v="0"/>
    <x v="2"/>
    <n v="16.883927773781998"/>
    <n v="6162.6336374304401"/>
    <n v="22185.481094749601"/>
  </r>
  <r>
    <x v="0"/>
    <x v="0"/>
    <x v="0"/>
    <x v="6"/>
    <x v="10"/>
    <s v="NL_A"/>
    <x v="6"/>
    <x v="45"/>
    <x v="0"/>
    <x v="9"/>
    <n v="127.105671650831"/>
    <n v="46393.5701525533"/>
    <n v="167016.852549192"/>
  </r>
  <r>
    <x v="0"/>
    <x v="0"/>
    <x v="0"/>
    <x v="6"/>
    <x v="10"/>
    <s v="NL_A"/>
    <x v="6"/>
    <x v="45"/>
    <x v="0"/>
    <x v="10"/>
    <n v="293.60717477382002"/>
    <n v="107166.618792444"/>
    <n v="385799.82765279902"/>
  </r>
  <r>
    <x v="0"/>
    <x v="0"/>
    <x v="0"/>
    <x v="6"/>
    <x v="10"/>
    <s v="NL_A"/>
    <x v="6"/>
    <x v="45"/>
    <x v="0"/>
    <x v="11"/>
    <n v="447.12104114774598"/>
    <n v="163199.180018927"/>
    <n v="587517.04806813796"/>
  </r>
  <r>
    <x v="0"/>
    <x v="0"/>
    <x v="0"/>
    <x v="6"/>
    <x v="10"/>
    <s v="NL_A"/>
    <x v="6"/>
    <x v="45"/>
    <x v="0"/>
    <x v="12"/>
    <n v="508.33610235832998"/>
    <n v="185542.67736079"/>
    <n v="667953.63849884504"/>
  </r>
  <r>
    <x v="0"/>
    <x v="0"/>
    <x v="0"/>
    <x v="6"/>
    <x v="10"/>
    <s v="NL_A"/>
    <x v="6"/>
    <x v="45"/>
    <x v="0"/>
    <x v="13"/>
    <n v="442.01257069311401"/>
    <n v="161334.58830298699"/>
    <n v="580804.51789075194"/>
  </r>
  <r>
    <x v="0"/>
    <x v="0"/>
    <x v="0"/>
    <x v="6"/>
    <x v="10"/>
    <s v="NL_A"/>
    <x v="6"/>
    <x v="45"/>
    <x v="0"/>
    <x v="14"/>
    <n v="287.63286186925097"/>
    <n v="104985.994582277"/>
    <n v="377949.58049619599"/>
  </r>
  <r>
    <x v="0"/>
    <x v="0"/>
    <x v="0"/>
    <x v="6"/>
    <x v="10"/>
    <s v="NL_A"/>
    <x v="6"/>
    <x v="45"/>
    <x v="0"/>
    <x v="15"/>
    <n v="145.634700079494"/>
    <n v="53156.665529015401"/>
    <n v="191363.99590445499"/>
  </r>
  <r>
    <x v="0"/>
    <x v="0"/>
    <x v="0"/>
    <x v="6"/>
    <x v="10"/>
    <s v="NL_A"/>
    <x v="6"/>
    <x v="45"/>
    <x v="0"/>
    <x v="16"/>
    <n v="18.9619496536321"/>
    <n v="6921.1116235757299"/>
    <n v="24916.0018448726"/>
  </r>
  <r>
    <x v="0"/>
    <x v="0"/>
    <x v="0"/>
    <x v="6"/>
    <x v="10"/>
    <s v="NL_A"/>
    <x v="7"/>
    <x v="46"/>
    <x v="0"/>
    <x v="3"/>
    <n v="18.219178082191799"/>
    <n v="6650"/>
    <n v="23940"/>
  </r>
  <r>
    <x v="0"/>
    <x v="0"/>
    <x v="0"/>
    <x v="6"/>
    <x v="10"/>
    <s v="NL_A"/>
    <x v="7"/>
    <x v="46"/>
    <x v="0"/>
    <x v="4"/>
    <n v="18.219178082191799"/>
    <n v="6650"/>
    <n v="23940"/>
  </r>
  <r>
    <x v="0"/>
    <x v="0"/>
    <x v="0"/>
    <x v="6"/>
    <x v="10"/>
    <s v="NL_A"/>
    <x v="7"/>
    <x v="46"/>
    <x v="0"/>
    <x v="5"/>
    <n v="18.219178082191799"/>
    <n v="6650"/>
    <n v="23940"/>
  </r>
  <r>
    <x v="0"/>
    <x v="0"/>
    <x v="0"/>
    <x v="6"/>
    <x v="10"/>
    <s v="NL_A"/>
    <x v="7"/>
    <x v="46"/>
    <x v="0"/>
    <x v="6"/>
    <n v="18.219178082191799"/>
    <n v="6650"/>
    <n v="23940"/>
  </r>
  <r>
    <x v="0"/>
    <x v="0"/>
    <x v="0"/>
    <x v="6"/>
    <x v="10"/>
    <s v="NL_A"/>
    <x v="7"/>
    <x v="46"/>
    <x v="0"/>
    <x v="7"/>
    <n v="18.219178082191799"/>
    <n v="6650"/>
    <n v="23940"/>
  </r>
  <r>
    <x v="0"/>
    <x v="0"/>
    <x v="0"/>
    <x v="6"/>
    <x v="10"/>
    <s v="NL_A"/>
    <x v="7"/>
    <x v="46"/>
    <x v="0"/>
    <x v="8"/>
    <n v="18.219178082191799"/>
    <n v="6650"/>
    <n v="23940"/>
  </r>
  <r>
    <x v="0"/>
    <x v="0"/>
    <x v="0"/>
    <x v="6"/>
    <x v="10"/>
    <s v="NL_A"/>
    <x v="7"/>
    <x v="46"/>
    <x v="0"/>
    <x v="0"/>
    <n v="18.219178082191799"/>
    <n v="6650"/>
    <n v="23940"/>
  </r>
  <r>
    <x v="0"/>
    <x v="0"/>
    <x v="0"/>
    <x v="6"/>
    <x v="10"/>
    <s v="NL_A"/>
    <x v="7"/>
    <x v="46"/>
    <x v="0"/>
    <x v="1"/>
    <n v="18.219178082191799"/>
    <n v="6650"/>
    <n v="23940"/>
  </r>
  <r>
    <x v="0"/>
    <x v="0"/>
    <x v="0"/>
    <x v="6"/>
    <x v="10"/>
    <s v="NL_A"/>
    <x v="7"/>
    <x v="46"/>
    <x v="0"/>
    <x v="2"/>
    <n v="18.219178082191799"/>
    <n v="6650"/>
    <n v="23940"/>
  </r>
  <r>
    <x v="0"/>
    <x v="0"/>
    <x v="0"/>
    <x v="6"/>
    <x v="10"/>
    <s v="NL_A"/>
    <x v="7"/>
    <x v="46"/>
    <x v="0"/>
    <x v="9"/>
    <n v="18.219178082191799"/>
    <n v="6650"/>
    <n v="23940"/>
  </r>
  <r>
    <x v="0"/>
    <x v="0"/>
    <x v="0"/>
    <x v="6"/>
    <x v="10"/>
    <s v="NL_A"/>
    <x v="7"/>
    <x v="46"/>
    <x v="0"/>
    <x v="10"/>
    <n v="18.219178082191799"/>
    <n v="6650"/>
    <n v="23940"/>
  </r>
  <r>
    <x v="0"/>
    <x v="0"/>
    <x v="0"/>
    <x v="6"/>
    <x v="10"/>
    <s v="NL_A"/>
    <x v="7"/>
    <x v="46"/>
    <x v="0"/>
    <x v="11"/>
    <n v="18.219178082191799"/>
    <n v="6650"/>
    <n v="23940"/>
  </r>
  <r>
    <x v="0"/>
    <x v="0"/>
    <x v="0"/>
    <x v="6"/>
    <x v="10"/>
    <s v="NL_A"/>
    <x v="7"/>
    <x v="46"/>
    <x v="0"/>
    <x v="12"/>
    <n v="18.219178082191799"/>
    <n v="6650"/>
    <n v="23940"/>
  </r>
  <r>
    <x v="0"/>
    <x v="0"/>
    <x v="0"/>
    <x v="6"/>
    <x v="10"/>
    <s v="NL_A"/>
    <x v="7"/>
    <x v="46"/>
    <x v="0"/>
    <x v="13"/>
    <n v="18.219178082191799"/>
    <n v="6650"/>
    <n v="23940"/>
  </r>
  <r>
    <x v="0"/>
    <x v="0"/>
    <x v="0"/>
    <x v="6"/>
    <x v="10"/>
    <s v="NL_A"/>
    <x v="7"/>
    <x v="46"/>
    <x v="0"/>
    <x v="14"/>
    <n v="18.219178082191799"/>
    <n v="6650"/>
    <n v="23940"/>
  </r>
  <r>
    <x v="0"/>
    <x v="0"/>
    <x v="0"/>
    <x v="6"/>
    <x v="10"/>
    <s v="NL_A"/>
    <x v="7"/>
    <x v="46"/>
    <x v="0"/>
    <x v="15"/>
    <n v="18.219178082191799"/>
    <n v="6650"/>
    <n v="23940"/>
  </r>
  <r>
    <x v="0"/>
    <x v="0"/>
    <x v="0"/>
    <x v="6"/>
    <x v="10"/>
    <s v="NL_A"/>
    <x v="7"/>
    <x v="46"/>
    <x v="0"/>
    <x v="16"/>
    <n v="18.219178082191799"/>
    <n v="6650"/>
    <n v="23940"/>
  </r>
  <r>
    <x v="0"/>
    <x v="0"/>
    <x v="0"/>
    <x v="6"/>
    <x v="10"/>
    <s v="NL_A"/>
    <x v="7"/>
    <x v="46"/>
    <x v="0"/>
    <x v="17"/>
    <n v="18.219178082191799"/>
    <n v="6650"/>
    <n v="23940"/>
  </r>
  <r>
    <x v="0"/>
    <x v="0"/>
    <x v="0"/>
    <x v="6"/>
    <x v="10"/>
    <s v="NL_A"/>
    <x v="7"/>
    <x v="46"/>
    <x v="0"/>
    <x v="18"/>
    <n v="18.219178082191799"/>
    <n v="6650"/>
    <n v="23940"/>
  </r>
  <r>
    <x v="0"/>
    <x v="0"/>
    <x v="0"/>
    <x v="6"/>
    <x v="10"/>
    <s v="NL_A"/>
    <x v="7"/>
    <x v="46"/>
    <x v="0"/>
    <x v="19"/>
    <n v="18.219178082191799"/>
    <n v="6650"/>
    <n v="23940"/>
  </r>
  <r>
    <x v="0"/>
    <x v="0"/>
    <x v="0"/>
    <x v="6"/>
    <x v="10"/>
    <s v="NL_A"/>
    <x v="7"/>
    <x v="46"/>
    <x v="0"/>
    <x v="20"/>
    <n v="18.219178082191799"/>
    <n v="6650"/>
    <n v="23940"/>
  </r>
  <r>
    <x v="0"/>
    <x v="0"/>
    <x v="0"/>
    <x v="6"/>
    <x v="10"/>
    <s v="NL_A"/>
    <x v="7"/>
    <x v="46"/>
    <x v="0"/>
    <x v="21"/>
    <n v="18.219178082191799"/>
    <n v="6650"/>
    <n v="23940"/>
  </r>
  <r>
    <x v="0"/>
    <x v="0"/>
    <x v="0"/>
    <x v="6"/>
    <x v="10"/>
    <s v="NL_A"/>
    <x v="7"/>
    <x v="46"/>
    <x v="0"/>
    <x v="22"/>
    <n v="18.219178082191799"/>
    <n v="6650"/>
    <n v="23940"/>
  </r>
  <r>
    <x v="0"/>
    <x v="0"/>
    <x v="0"/>
    <x v="6"/>
    <x v="10"/>
    <s v="NL_A"/>
    <x v="7"/>
    <x v="46"/>
    <x v="0"/>
    <x v="23"/>
    <n v="18.219178082191799"/>
    <n v="6650"/>
    <n v="23940"/>
  </r>
  <r>
    <x v="0"/>
    <x v="0"/>
    <x v="0"/>
    <x v="6"/>
    <x v="10"/>
    <s v="NL_A"/>
    <x v="8"/>
    <x v="48"/>
    <x v="0"/>
    <x v="3"/>
    <n v="55.210607732886402"/>
    <n v="20151.871822503501"/>
    <n v="72546.738561012695"/>
  </r>
  <r>
    <x v="0"/>
    <x v="0"/>
    <x v="0"/>
    <x v="6"/>
    <x v="10"/>
    <s v="NL_A"/>
    <x v="8"/>
    <x v="48"/>
    <x v="0"/>
    <x v="4"/>
    <n v="65.846739402838594"/>
    <n v="24034.059882036101"/>
    <n v="86522.615575329895"/>
  </r>
  <r>
    <x v="0"/>
    <x v="0"/>
    <x v="0"/>
    <x v="6"/>
    <x v="10"/>
    <s v="NL_A"/>
    <x v="8"/>
    <x v="48"/>
    <x v="0"/>
    <x v="5"/>
    <n v="62.482647804815798"/>
    <n v="22806.166448757798"/>
    <n v="82102.1992155279"/>
  </r>
  <r>
    <x v="0"/>
    <x v="0"/>
    <x v="0"/>
    <x v="6"/>
    <x v="10"/>
    <s v="NL_A"/>
    <x v="8"/>
    <x v="48"/>
    <x v="0"/>
    <x v="6"/>
    <n v="65.283828522886694"/>
    <n v="23828.597410853701"/>
    <n v="85782.950679073198"/>
  </r>
  <r>
    <x v="0"/>
    <x v="0"/>
    <x v="0"/>
    <x v="6"/>
    <x v="10"/>
    <s v="NL_A"/>
    <x v="8"/>
    <x v="48"/>
    <x v="0"/>
    <x v="7"/>
    <n v="66.024935285789894"/>
    <n v="24099.101379313299"/>
    <n v="86756.764965527997"/>
  </r>
  <r>
    <x v="0"/>
    <x v="0"/>
    <x v="0"/>
    <x v="6"/>
    <x v="10"/>
    <s v="NL_A"/>
    <x v="8"/>
    <x v="48"/>
    <x v="0"/>
    <x v="8"/>
    <n v="72.629332161629904"/>
    <n v="26509.706238994899"/>
    <n v="95434.942460381702"/>
  </r>
  <r>
    <x v="0"/>
    <x v="0"/>
    <x v="0"/>
    <x v="6"/>
    <x v="10"/>
    <s v="NL_A"/>
    <x v="8"/>
    <x v="48"/>
    <x v="0"/>
    <x v="0"/>
    <n v="73.046463281610897"/>
    <n v="26661.959097788"/>
    <n v="95983.052752036703"/>
  </r>
  <r>
    <x v="0"/>
    <x v="0"/>
    <x v="0"/>
    <x v="6"/>
    <x v="10"/>
    <s v="NL_A"/>
    <x v="8"/>
    <x v="48"/>
    <x v="0"/>
    <x v="1"/>
    <n v="69.881411624717998"/>
    <n v="25506.715243022099"/>
    <n v="91824.174874879405"/>
  </r>
  <r>
    <x v="0"/>
    <x v="0"/>
    <x v="0"/>
    <x v="6"/>
    <x v="10"/>
    <s v="NL_A"/>
    <x v="8"/>
    <x v="48"/>
    <x v="0"/>
    <x v="2"/>
    <n v="67.221960515529702"/>
    <n v="24536.015588168299"/>
    <n v="88329.656117406004"/>
  </r>
  <r>
    <x v="0"/>
    <x v="0"/>
    <x v="0"/>
    <x v="6"/>
    <x v="10"/>
    <s v="NL_A"/>
    <x v="8"/>
    <x v="48"/>
    <x v="0"/>
    <x v="9"/>
    <n v="69.778271541859795"/>
    <n v="25469.069112778801"/>
    <n v="91688.648806003694"/>
  </r>
  <r>
    <x v="0"/>
    <x v="0"/>
    <x v="0"/>
    <x v="6"/>
    <x v="10"/>
    <s v="NL_A"/>
    <x v="8"/>
    <x v="48"/>
    <x v="0"/>
    <x v="10"/>
    <n v="77.2823203335453"/>
    <n v="28208.046921744"/>
    <n v="101548.968918278"/>
  </r>
  <r>
    <x v="0"/>
    <x v="0"/>
    <x v="0"/>
    <x v="6"/>
    <x v="10"/>
    <s v="NL_A"/>
    <x v="8"/>
    <x v="48"/>
    <x v="0"/>
    <x v="11"/>
    <n v="83.1641453175679"/>
    <n v="30354.913040912299"/>
    <n v="109277.686947284"/>
  </r>
  <r>
    <x v="0"/>
    <x v="0"/>
    <x v="0"/>
    <x v="6"/>
    <x v="10"/>
    <s v="NL_A"/>
    <x v="8"/>
    <x v="48"/>
    <x v="0"/>
    <x v="12"/>
    <n v="96.015989647794797"/>
    <n v="35045.836221445097"/>
    <n v="126165.010397202"/>
  </r>
  <r>
    <x v="0"/>
    <x v="0"/>
    <x v="0"/>
    <x v="6"/>
    <x v="10"/>
    <s v="NL_A"/>
    <x v="8"/>
    <x v="48"/>
    <x v="0"/>
    <x v="13"/>
    <n v="107.03100511983401"/>
    <n v="39066.316868739297"/>
    <n v="140638.74072746199"/>
  </r>
  <r>
    <x v="0"/>
    <x v="0"/>
    <x v="0"/>
    <x v="6"/>
    <x v="10"/>
    <s v="NL_A"/>
    <x v="8"/>
    <x v="48"/>
    <x v="0"/>
    <x v="14"/>
    <n v="125.81943584469499"/>
    <n v="45924.094083313801"/>
    <n v="165326.73869992999"/>
  </r>
  <r>
    <x v="0"/>
    <x v="0"/>
    <x v="0"/>
    <x v="6"/>
    <x v="10"/>
    <s v="NL_A"/>
    <x v="8"/>
    <x v="48"/>
    <x v="0"/>
    <x v="15"/>
    <n v="124.939008092262"/>
    <n v="45602.737953675503"/>
    <n v="164169.856633232"/>
  </r>
  <r>
    <x v="0"/>
    <x v="0"/>
    <x v="0"/>
    <x v="6"/>
    <x v="10"/>
    <s v="NL_A"/>
    <x v="8"/>
    <x v="48"/>
    <x v="0"/>
    <x v="16"/>
    <n v="114.15703361553901"/>
    <n v="41667.317269671701"/>
    <n v="150002.34217081801"/>
  </r>
  <r>
    <x v="0"/>
    <x v="0"/>
    <x v="0"/>
    <x v="6"/>
    <x v="10"/>
    <s v="NL_A"/>
    <x v="8"/>
    <x v="48"/>
    <x v="0"/>
    <x v="17"/>
    <n v="104.019552043614"/>
    <n v="37967.136495919302"/>
    <n v="136681.69138530901"/>
  </r>
  <r>
    <x v="0"/>
    <x v="0"/>
    <x v="0"/>
    <x v="6"/>
    <x v="10"/>
    <s v="NL_A"/>
    <x v="8"/>
    <x v="48"/>
    <x v="0"/>
    <x v="18"/>
    <n v="101.145821755729"/>
    <n v="36918.224940841101"/>
    <n v="132905.60978702799"/>
  </r>
  <r>
    <x v="0"/>
    <x v="0"/>
    <x v="0"/>
    <x v="6"/>
    <x v="10"/>
    <s v="NL_A"/>
    <x v="8"/>
    <x v="48"/>
    <x v="0"/>
    <x v="19"/>
    <n v="91.281462727270196"/>
    <n v="33317.733895453603"/>
    <n v="119943.842023633"/>
  </r>
  <r>
    <x v="0"/>
    <x v="0"/>
    <x v="0"/>
    <x v="6"/>
    <x v="10"/>
    <s v="NL_A"/>
    <x v="8"/>
    <x v="48"/>
    <x v="0"/>
    <x v="20"/>
    <n v="68.345742304648397"/>
    <n v="24946.1959411967"/>
    <n v="89806.305388307999"/>
  </r>
  <r>
    <x v="0"/>
    <x v="0"/>
    <x v="0"/>
    <x v="6"/>
    <x v="10"/>
    <s v="NL_A"/>
    <x v="8"/>
    <x v="48"/>
    <x v="0"/>
    <x v="21"/>
    <n v="67.417655454694994"/>
    <n v="24607.444240963701"/>
    <n v="88586.799267469207"/>
  </r>
  <r>
    <x v="0"/>
    <x v="0"/>
    <x v="0"/>
    <x v="6"/>
    <x v="10"/>
    <s v="NL_A"/>
    <x v="8"/>
    <x v="48"/>
    <x v="0"/>
    <x v="22"/>
    <n v="55.770778636800898"/>
    <n v="20356.334202432299"/>
    <n v="73282.803128756394"/>
  </r>
  <r>
    <x v="0"/>
    <x v="0"/>
    <x v="0"/>
    <x v="6"/>
    <x v="10"/>
    <s v="NL_A"/>
    <x v="8"/>
    <x v="48"/>
    <x v="0"/>
    <x v="23"/>
    <n v="51.601111505412099"/>
    <n v="18834.405699475399"/>
    <n v="67803.860518111498"/>
  </r>
  <r>
    <x v="0"/>
    <x v="0"/>
    <x v="0"/>
    <x v="6"/>
    <x v="10"/>
    <s v="NL_A"/>
    <x v="8"/>
    <x v="47"/>
    <x v="0"/>
    <x v="3"/>
    <n v="551.21197841821004"/>
    <n v="201192.37212264701"/>
    <n v="724292.53964152804"/>
  </r>
  <r>
    <x v="0"/>
    <x v="0"/>
    <x v="0"/>
    <x v="6"/>
    <x v="10"/>
    <s v="NL_A"/>
    <x v="8"/>
    <x v="47"/>
    <x v="0"/>
    <x v="4"/>
    <n v="657.40105007044497"/>
    <n v="239951.383275712"/>
    <n v="863824.97979256499"/>
  </r>
  <r>
    <x v="0"/>
    <x v="0"/>
    <x v="0"/>
    <x v="6"/>
    <x v="10"/>
    <s v="NL_A"/>
    <x v="8"/>
    <x v="47"/>
    <x v="0"/>
    <x v="5"/>
    <n v="623.81461330637899"/>
    <n v="227692.33385682901"/>
    <n v="819692.40188458306"/>
  </r>
  <r>
    <x v="0"/>
    <x v="0"/>
    <x v="0"/>
    <x v="6"/>
    <x v="10"/>
    <s v="NL_A"/>
    <x v="8"/>
    <x v="47"/>
    <x v="0"/>
    <x v="6"/>
    <n v="651.78105723659405"/>
    <n v="237900.08589135701"/>
    <n v="856440.30920888402"/>
  </r>
  <r>
    <x v="0"/>
    <x v="0"/>
    <x v="0"/>
    <x v="6"/>
    <x v="10"/>
    <s v="NL_A"/>
    <x v="8"/>
    <x v="47"/>
    <x v="0"/>
    <x v="7"/>
    <n v="659.18012313667202"/>
    <n v="240600.74494488499"/>
    <n v="866162.68180158699"/>
  </r>
  <r>
    <x v="0"/>
    <x v="0"/>
    <x v="0"/>
    <x v="6"/>
    <x v="10"/>
    <s v="NL_A"/>
    <x v="8"/>
    <x v="47"/>
    <x v="0"/>
    <x v="8"/>
    <n v="725.11713809951095"/>
    <n v="264667.75540632202"/>
    <n v="952803.919462758"/>
  </r>
  <r>
    <x v="0"/>
    <x v="0"/>
    <x v="0"/>
    <x v="6"/>
    <x v="10"/>
    <s v="NL_A"/>
    <x v="8"/>
    <x v="47"/>
    <x v="0"/>
    <x v="0"/>
    <n v="729.28169413948297"/>
    <n v="266187.81836091098"/>
    <n v="958276.14609928103"/>
  </r>
  <r>
    <x v="0"/>
    <x v="0"/>
    <x v="0"/>
    <x v="6"/>
    <x v="10"/>
    <s v="NL_A"/>
    <x v="8"/>
    <x v="47"/>
    <x v="0"/>
    <x v="1"/>
    <n v="697.68243346783197"/>
    <n v="254654.08821575899"/>
    <n v="916754.71757673204"/>
  </r>
  <r>
    <x v="0"/>
    <x v="0"/>
    <x v="0"/>
    <x v="6"/>
    <x v="10"/>
    <s v="NL_A"/>
    <x v="8"/>
    <x v="47"/>
    <x v="0"/>
    <x v="2"/>
    <n v="671.13099041010605"/>
    <n v="244962.81149968901"/>
    <n v="881866.12139887898"/>
  </r>
  <r>
    <x v="0"/>
    <x v="0"/>
    <x v="0"/>
    <x v="6"/>
    <x v="10"/>
    <s v="NL_A"/>
    <x v="8"/>
    <x v="47"/>
    <x v="0"/>
    <x v="9"/>
    <n v="696.65270292399202"/>
    <n v="254278.236567257"/>
    <n v="915401.65164212603"/>
  </r>
  <r>
    <x v="0"/>
    <x v="0"/>
    <x v="0"/>
    <x v="6"/>
    <x v="10"/>
    <s v="NL_A"/>
    <x v="8"/>
    <x v="47"/>
    <x v="0"/>
    <x v="10"/>
    <n v="771.57166778349199"/>
    <n v="281623.65874097502"/>
    <n v="1013845.1714675101"/>
  </r>
  <r>
    <x v="0"/>
    <x v="0"/>
    <x v="0"/>
    <x v="6"/>
    <x v="10"/>
    <s v="NL_A"/>
    <x v="8"/>
    <x v="47"/>
    <x v="0"/>
    <x v="11"/>
    <n v="830.29466539725695"/>
    <n v="303057.55286999902"/>
    <n v="1091007.1903319999"/>
  </r>
  <r>
    <x v="0"/>
    <x v="0"/>
    <x v="0"/>
    <x v="6"/>
    <x v="10"/>
    <s v="NL_A"/>
    <x v="8"/>
    <x v="47"/>
    <x v="0"/>
    <x v="12"/>
    <n v="958.60498166583704"/>
    <n v="349890.81830803101"/>
    <n v="1259606.9459089099"/>
  </r>
  <r>
    <x v="0"/>
    <x v="0"/>
    <x v="0"/>
    <x v="6"/>
    <x v="10"/>
    <s v="NL_A"/>
    <x v="8"/>
    <x v="47"/>
    <x v="0"/>
    <x v="13"/>
    <n v="1068.5767555688701"/>
    <n v="390030.51578263601"/>
    <n v="1404109.85681749"/>
  </r>
  <r>
    <x v="0"/>
    <x v="0"/>
    <x v="0"/>
    <x v="6"/>
    <x v="10"/>
    <s v="NL_A"/>
    <x v="8"/>
    <x v="47"/>
    <x v="0"/>
    <x v="14"/>
    <n v="1256.1567967328699"/>
    <n v="458497.23080749699"/>
    <n v="1650590.0309069899"/>
  </r>
  <r>
    <x v="0"/>
    <x v="0"/>
    <x v="0"/>
    <x v="6"/>
    <x v="10"/>
    <s v="NL_A"/>
    <x v="8"/>
    <x v="47"/>
    <x v="0"/>
    <x v="15"/>
    <n v="1247.3667771478399"/>
    <n v="455288.87365896202"/>
    <n v="1639039.94517226"/>
  </r>
  <r>
    <x v="0"/>
    <x v="0"/>
    <x v="0"/>
    <x v="6"/>
    <x v="10"/>
    <s v="NL_A"/>
    <x v="8"/>
    <x v="47"/>
    <x v="0"/>
    <x v="16"/>
    <n v="1139.72163925473"/>
    <n v="415998.39832797699"/>
    <n v="1497594.2339807199"/>
  </r>
  <r>
    <x v="0"/>
    <x v="0"/>
    <x v="0"/>
    <x v="6"/>
    <x v="10"/>
    <s v="NL_A"/>
    <x v="8"/>
    <x v="47"/>
    <x v="0"/>
    <x v="17"/>
    <n v="1038.5109932775399"/>
    <n v="379056.51254630298"/>
    <n v="1364603.44516669"/>
  </r>
  <r>
    <x v="0"/>
    <x v="0"/>
    <x v="0"/>
    <x v="6"/>
    <x v="10"/>
    <s v="NL_A"/>
    <x v="8"/>
    <x v="47"/>
    <x v="0"/>
    <x v="18"/>
    <n v="1009.820228541"/>
    <n v="368584.38341746602"/>
    <n v="1326903.7803028801"/>
  </r>
  <r>
    <x v="0"/>
    <x v="0"/>
    <x v="0"/>
    <x v="6"/>
    <x v="10"/>
    <s v="NL_A"/>
    <x v="8"/>
    <x v="47"/>
    <x v="0"/>
    <x v="19"/>
    <n v="911.33638496132903"/>
    <n v="332637.780510885"/>
    <n v="1197496.0098391899"/>
  </r>
  <r>
    <x v="0"/>
    <x v="0"/>
    <x v="0"/>
    <x v="6"/>
    <x v="10"/>
    <s v="NL_A"/>
    <x v="8"/>
    <x v="47"/>
    <x v="0"/>
    <x v="20"/>
    <n v="682.35060940592302"/>
    <n v="249057.97243316201"/>
    <n v="896608.70075938199"/>
  </r>
  <r>
    <x v="0"/>
    <x v="0"/>
    <x v="0"/>
    <x v="6"/>
    <x v="10"/>
    <s v="NL_A"/>
    <x v="8"/>
    <x v="47"/>
    <x v="0"/>
    <x v="21"/>
    <n v="673.08477065294699"/>
    <n v="245675.94128832599"/>
    <n v="884433.38863797195"/>
  </r>
  <r>
    <x v="0"/>
    <x v="0"/>
    <x v="0"/>
    <x v="6"/>
    <x v="10"/>
    <s v="NL_A"/>
    <x v="8"/>
    <x v="47"/>
    <x v="0"/>
    <x v="22"/>
    <n v="556.80461586376896"/>
    <n v="203233.68479027599"/>
    <n v="731641.26524499303"/>
  </r>
  <r>
    <x v="0"/>
    <x v="0"/>
    <x v="0"/>
    <x v="6"/>
    <x v="10"/>
    <s v="NL_A"/>
    <x v="8"/>
    <x v="47"/>
    <x v="0"/>
    <x v="23"/>
    <n v="515.17546952366899"/>
    <n v="188039.04637613901"/>
    <n v="676940.56695410097"/>
  </r>
  <r>
    <x v="0"/>
    <x v="0"/>
    <x v="0"/>
    <x v="6"/>
    <x v="10"/>
    <s v="NL_A"/>
    <x v="13"/>
    <x v="204"/>
    <x v="0"/>
    <x v="3"/>
    <n v="800"/>
    <n v="292000"/>
    <n v="1051200"/>
  </r>
  <r>
    <x v="0"/>
    <x v="0"/>
    <x v="0"/>
    <x v="6"/>
    <x v="10"/>
    <s v="NL_A"/>
    <x v="13"/>
    <x v="204"/>
    <x v="0"/>
    <x v="4"/>
    <n v="800"/>
    <n v="292000"/>
    <n v="1051200"/>
  </r>
  <r>
    <x v="0"/>
    <x v="0"/>
    <x v="0"/>
    <x v="6"/>
    <x v="10"/>
    <s v="NL_A"/>
    <x v="13"/>
    <x v="204"/>
    <x v="0"/>
    <x v="5"/>
    <n v="800"/>
    <n v="292000"/>
    <n v="1051200"/>
  </r>
  <r>
    <x v="0"/>
    <x v="0"/>
    <x v="0"/>
    <x v="6"/>
    <x v="10"/>
    <s v="NL_A"/>
    <x v="13"/>
    <x v="204"/>
    <x v="0"/>
    <x v="6"/>
    <n v="800"/>
    <n v="292000"/>
    <n v="1051200"/>
  </r>
  <r>
    <x v="0"/>
    <x v="0"/>
    <x v="0"/>
    <x v="6"/>
    <x v="10"/>
    <s v="NL_A"/>
    <x v="13"/>
    <x v="204"/>
    <x v="0"/>
    <x v="7"/>
    <n v="800"/>
    <n v="292000"/>
    <n v="1051200"/>
  </r>
  <r>
    <x v="0"/>
    <x v="0"/>
    <x v="0"/>
    <x v="6"/>
    <x v="10"/>
    <s v="NL_A"/>
    <x v="13"/>
    <x v="204"/>
    <x v="0"/>
    <x v="8"/>
    <n v="800"/>
    <n v="292000"/>
    <n v="1051200"/>
  </r>
  <r>
    <x v="0"/>
    <x v="0"/>
    <x v="0"/>
    <x v="6"/>
    <x v="10"/>
    <s v="NL_A"/>
    <x v="13"/>
    <x v="204"/>
    <x v="0"/>
    <x v="0"/>
    <n v="800"/>
    <n v="292000"/>
    <n v="1051200"/>
  </r>
  <r>
    <x v="0"/>
    <x v="0"/>
    <x v="0"/>
    <x v="6"/>
    <x v="10"/>
    <s v="NL_A"/>
    <x v="13"/>
    <x v="204"/>
    <x v="0"/>
    <x v="1"/>
    <n v="800"/>
    <n v="292000"/>
    <n v="1051200"/>
  </r>
  <r>
    <x v="0"/>
    <x v="0"/>
    <x v="0"/>
    <x v="6"/>
    <x v="10"/>
    <s v="NL_A"/>
    <x v="13"/>
    <x v="204"/>
    <x v="0"/>
    <x v="2"/>
    <n v="800"/>
    <n v="292000"/>
    <n v="1051200"/>
  </r>
  <r>
    <x v="0"/>
    <x v="0"/>
    <x v="0"/>
    <x v="6"/>
    <x v="10"/>
    <s v="NL_A"/>
    <x v="13"/>
    <x v="204"/>
    <x v="0"/>
    <x v="9"/>
    <n v="800"/>
    <n v="292000"/>
    <n v="1051200"/>
  </r>
  <r>
    <x v="0"/>
    <x v="0"/>
    <x v="0"/>
    <x v="6"/>
    <x v="10"/>
    <s v="NL_A"/>
    <x v="13"/>
    <x v="204"/>
    <x v="0"/>
    <x v="10"/>
    <n v="800"/>
    <n v="292000"/>
    <n v="1051200"/>
  </r>
  <r>
    <x v="0"/>
    <x v="0"/>
    <x v="0"/>
    <x v="6"/>
    <x v="10"/>
    <s v="NL_A"/>
    <x v="13"/>
    <x v="204"/>
    <x v="0"/>
    <x v="11"/>
    <n v="800"/>
    <n v="292000"/>
    <n v="1051200"/>
  </r>
  <r>
    <x v="0"/>
    <x v="0"/>
    <x v="0"/>
    <x v="6"/>
    <x v="10"/>
    <s v="NL_A"/>
    <x v="13"/>
    <x v="204"/>
    <x v="0"/>
    <x v="12"/>
    <n v="800"/>
    <n v="292000"/>
    <n v="1051200"/>
  </r>
  <r>
    <x v="0"/>
    <x v="0"/>
    <x v="0"/>
    <x v="6"/>
    <x v="10"/>
    <s v="NL_A"/>
    <x v="13"/>
    <x v="204"/>
    <x v="0"/>
    <x v="13"/>
    <n v="800"/>
    <n v="292000"/>
    <n v="1051200"/>
  </r>
  <r>
    <x v="0"/>
    <x v="0"/>
    <x v="0"/>
    <x v="6"/>
    <x v="10"/>
    <s v="NL_A"/>
    <x v="13"/>
    <x v="204"/>
    <x v="0"/>
    <x v="14"/>
    <n v="800"/>
    <n v="292000"/>
    <n v="1051200"/>
  </r>
  <r>
    <x v="0"/>
    <x v="0"/>
    <x v="0"/>
    <x v="6"/>
    <x v="10"/>
    <s v="NL_A"/>
    <x v="13"/>
    <x v="204"/>
    <x v="0"/>
    <x v="15"/>
    <n v="800"/>
    <n v="292000"/>
    <n v="1051200"/>
  </r>
  <r>
    <x v="0"/>
    <x v="0"/>
    <x v="0"/>
    <x v="6"/>
    <x v="10"/>
    <s v="NL_A"/>
    <x v="13"/>
    <x v="204"/>
    <x v="0"/>
    <x v="16"/>
    <n v="800"/>
    <n v="292000"/>
    <n v="1051200"/>
  </r>
  <r>
    <x v="0"/>
    <x v="0"/>
    <x v="0"/>
    <x v="6"/>
    <x v="10"/>
    <s v="NL_A"/>
    <x v="13"/>
    <x v="204"/>
    <x v="0"/>
    <x v="17"/>
    <n v="800"/>
    <n v="292000"/>
    <n v="1051200"/>
  </r>
  <r>
    <x v="0"/>
    <x v="0"/>
    <x v="0"/>
    <x v="6"/>
    <x v="10"/>
    <s v="NL_A"/>
    <x v="13"/>
    <x v="204"/>
    <x v="0"/>
    <x v="18"/>
    <n v="800"/>
    <n v="292000"/>
    <n v="1051200"/>
  </r>
  <r>
    <x v="0"/>
    <x v="0"/>
    <x v="0"/>
    <x v="6"/>
    <x v="10"/>
    <s v="NL_A"/>
    <x v="13"/>
    <x v="204"/>
    <x v="0"/>
    <x v="19"/>
    <n v="800"/>
    <n v="292000"/>
    <n v="1051200"/>
  </r>
  <r>
    <x v="0"/>
    <x v="0"/>
    <x v="0"/>
    <x v="6"/>
    <x v="10"/>
    <s v="NL_A"/>
    <x v="13"/>
    <x v="204"/>
    <x v="0"/>
    <x v="20"/>
    <n v="800"/>
    <n v="292000"/>
    <n v="1051200"/>
  </r>
  <r>
    <x v="0"/>
    <x v="0"/>
    <x v="0"/>
    <x v="6"/>
    <x v="10"/>
    <s v="NL_A"/>
    <x v="13"/>
    <x v="204"/>
    <x v="0"/>
    <x v="21"/>
    <n v="800"/>
    <n v="292000"/>
    <n v="1051200"/>
  </r>
  <r>
    <x v="0"/>
    <x v="0"/>
    <x v="0"/>
    <x v="6"/>
    <x v="10"/>
    <s v="NL_A"/>
    <x v="13"/>
    <x v="204"/>
    <x v="0"/>
    <x v="22"/>
    <n v="800"/>
    <n v="292000"/>
    <n v="1051200"/>
  </r>
  <r>
    <x v="0"/>
    <x v="0"/>
    <x v="0"/>
    <x v="6"/>
    <x v="10"/>
    <s v="NL_A"/>
    <x v="13"/>
    <x v="204"/>
    <x v="0"/>
    <x v="23"/>
    <n v="800"/>
    <n v="292000"/>
    <n v="1051200"/>
  </r>
  <r>
    <x v="0"/>
    <x v="0"/>
    <x v="0"/>
    <x v="7"/>
    <x v="11"/>
    <s v="NO1_A1"/>
    <x v="21"/>
    <x v="205"/>
    <x v="0"/>
    <x v="3"/>
    <n v="27.0588235294118"/>
    <n v="9876.4705882352901"/>
    <n v="35555.294117647099"/>
  </r>
  <r>
    <x v="0"/>
    <x v="0"/>
    <x v="0"/>
    <x v="7"/>
    <x v="11"/>
    <s v="NO1_A1"/>
    <x v="21"/>
    <x v="205"/>
    <x v="0"/>
    <x v="4"/>
    <n v="27.0588235294118"/>
    <n v="9876.4705882352901"/>
    <n v="35555.294117647099"/>
  </r>
  <r>
    <x v="0"/>
    <x v="0"/>
    <x v="0"/>
    <x v="7"/>
    <x v="11"/>
    <s v="NO1_A1"/>
    <x v="21"/>
    <x v="205"/>
    <x v="0"/>
    <x v="5"/>
    <n v="27.0588235294118"/>
    <n v="9876.4705882352901"/>
    <n v="35555.294117647099"/>
  </r>
  <r>
    <x v="0"/>
    <x v="0"/>
    <x v="0"/>
    <x v="7"/>
    <x v="11"/>
    <s v="NO1_A1"/>
    <x v="21"/>
    <x v="205"/>
    <x v="0"/>
    <x v="6"/>
    <n v="27.0588235294118"/>
    <n v="9876.4705882352901"/>
    <n v="35555.294117647099"/>
  </r>
  <r>
    <x v="0"/>
    <x v="0"/>
    <x v="0"/>
    <x v="7"/>
    <x v="11"/>
    <s v="NO1_A1"/>
    <x v="21"/>
    <x v="205"/>
    <x v="0"/>
    <x v="7"/>
    <n v="27.0588235294118"/>
    <n v="9876.4705882352901"/>
    <n v="35555.294117647099"/>
  </r>
  <r>
    <x v="0"/>
    <x v="0"/>
    <x v="0"/>
    <x v="7"/>
    <x v="11"/>
    <s v="NO1_A1"/>
    <x v="21"/>
    <x v="205"/>
    <x v="0"/>
    <x v="8"/>
    <n v="27.0588235294118"/>
    <n v="9876.4705882352901"/>
    <n v="35555.294117647099"/>
  </r>
  <r>
    <x v="0"/>
    <x v="0"/>
    <x v="0"/>
    <x v="7"/>
    <x v="11"/>
    <s v="NO1_A1"/>
    <x v="21"/>
    <x v="205"/>
    <x v="0"/>
    <x v="0"/>
    <n v="27.0588235294118"/>
    <n v="9876.4705882352901"/>
    <n v="35555.294117647099"/>
  </r>
  <r>
    <x v="0"/>
    <x v="0"/>
    <x v="0"/>
    <x v="7"/>
    <x v="11"/>
    <s v="NO1_A1"/>
    <x v="21"/>
    <x v="205"/>
    <x v="0"/>
    <x v="1"/>
    <n v="27.0588235294118"/>
    <n v="9876.4705882352901"/>
    <n v="35555.294117647099"/>
  </r>
  <r>
    <x v="0"/>
    <x v="0"/>
    <x v="0"/>
    <x v="7"/>
    <x v="11"/>
    <s v="NO1_A1"/>
    <x v="21"/>
    <x v="205"/>
    <x v="0"/>
    <x v="2"/>
    <n v="27.0588235294118"/>
    <n v="9876.4705882352901"/>
    <n v="35555.294117647099"/>
  </r>
  <r>
    <x v="0"/>
    <x v="0"/>
    <x v="0"/>
    <x v="7"/>
    <x v="11"/>
    <s v="NO1_A1"/>
    <x v="21"/>
    <x v="205"/>
    <x v="0"/>
    <x v="9"/>
    <n v="27.0588235294118"/>
    <n v="9876.4705882352901"/>
    <n v="35555.294117647099"/>
  </r>
  <r>
    <x v="0"/>
    <x v="0"/>
    <x v="0"/>
    <x v="7"/>
    <x v="11"/>
    <s v="NO1_A1"/>
    <x v="21"/>
    <x v="205"/>
    <x v="0"/>
    <x v="10"/>
    <n v="27.0588235294118"/>
    <n v="9876.4705882352901"/>
    <n v="35555.294117647099"/>
  </r>
  <r>
    <x v="0"/>
    <x v="0"/>
    <x v="0"/>
    <x v="7"/>
    <x v="11"/>
    <s v="NO1_A1"/>
    <x v="21"/>
    <x v="205"/>
    <x v="0"/>
    <x v="11"/>
    <n v="27.0588235294118"/>
    <n v="9876.4705882352901"/>
    <n v="35555.294117647099"/>
  </r>
  <r>
    <x v="0"/>
    <x v="0"/>
    <x v="0"/>
    <x v="7"/>
    <x v="11"/>
    <s v="NO1_A1"/>
    <x v="21"/>
    <x v="205"/>
    <x v="0"/>
    <x v="12"/>
    <n v="27.0588235294118"/>
    <n v="9876.4705882352901"/>
    <n v="35555.294117647099"/>
  </r>
  <r>
    <x v="0"/>
    <x v="0"/>
    <x v="0"/>
    <x v="7"/>
    <x v="11"/>
    <s v="NO1_A1"/>
    <x v="21"/>
    <x v="205"/>
    <x v="0"/>
    <x v="13"/>
    <n v="27.0588235294118"/>
    <n v="9876.4705882352901"/>
    <n v="35555.294117647099"/>
  </r>
  <r>
    <x v="0"/>
    <x v="0"/>
    <x v="0"/>
    <x v="7"/>
    <x v="11"/>
    <s v="NO1_A1"/>
    <x v="21"/>
    <x v="205"/>
    <x v="0"/>
    <x v="14"/>
    <n v="27.0588235294118"/>
    <n v="9876.4705882352901"/>
    <n v="35555.294117647099"/>
  </r>
  <r>
    <x v="0"/>
    <x v="0"/>
    <x v="0"/>
    <x v="7"/>
    <x v="11"/>
    <s v="NO1_A1"/>
    <x v="21"/>
    <x v="205"/>
    <x v="0"/>
    <x v="15"/>
    <n v="27.0588235294118"/>
    <n v="9876.4705882352901"/>
    <n v="35555.294117647099"/>
  </r>
  <r>
    <x v="0"/>
    <x v="0"/>
    <x v="0"/>
    <x v="7"/>
    <x v="11"/>
    <s v="NO1_A1"/>
    <x v="21"/>
    <x v="205"/>
    <x v="0"/>
    <x v="16"/>
    <n v="27.0588235294118"/>
    <n v="9876.4705882352901"/>
    <n v="35555.294117647099"/>
  </r>
  <r>
    <x v="0"/>
    <x v="0"/>
    <x v="0"/>
    <x v="7"/>
    <x v="11"/>
    <s v="NO1_A1"/>
    <x v="21"/>
    <x v="205"/>
    <x v="0"/>
    <x v="17"/>
    <n v="27.0588235294118"/>
    <n v="9876.4705882352901"/>
    <n v="35555.294117647099"/>
  </r>
  <r>
    <x v="0"/>
    <x v="0"/>
    <x v="0"/>
    <x v="7"/>
    <x v="11"/>
    <s v="NO1_A1"/>
    <x v="21"/>
    <x v="205"/>
    <x v="0"/>
    <x v="18"/>
    <n v="27.0588235294118"/>
    <n v="9876.4705882352901"/>
    <n v="35555.294117647099"/>
  </r>
  <r>
    <x v="0"/>
    <x v="0"/>
    <x v="0"/>
    <x v="7"/>
    <x v="11"/>
    <s v="NO1_A1"/>
    <x v="21"/>
    <x v="205"/>
    <x v="0"/>
    <x v="19"/>
    <n v="27.0588235294118"/>
    <n v="9876.4705882352901"/>
    <n v="35555.294117647099"/>
  </r>
  <r>
    <x v="0"/>
    <x v="0"/>
    <x v="0"/>
    <x v="7"/>
    <x v="11"/>
    <s v="NO1_A1"/>
    <x v="21"/>
    <x v="205"/>
    <x v="0"/>
    <x v="20"/>
    <n v="27.0588235294118"/>
    <n v="9876.4705882352901"/>
    <n v="35555.294117647099"/>
  </r>
  <r>
    <x v="0"/>
    <x v="0"/>
    <x v="0"/>
    <x v="7"/>
    <x v="11"/>
    <s v="NO1_A1"/>
    <x v="21"/>
    <x v="205"/>
    <x v="0"/>
    <x v="21"/>
    <n v="27.0588235294118"/>
    <n v="9876.4705882352901"/>
    <n v="35555.294117647099"/>
  </r>
  <r>
    <x v="0"/>
    <x v="0"/>
    <x v="0"/>
    <x v="7"/>
    <x v="11"/>
    <s v="NO1_A1"/>
    <x v="21"/>
    <x v="205"/>
    <x v="0"/>
    <x v="22"/>
    <n v="27.0588235294118"/>
    <n v="9876.4705882352901"/>
    <n v="35555.294117647099"/>
  </r>
  <r>
    <x v="0"/>
    <x v="0"/>
    <x v="0"/>
    <x v="7"/>
    <x v="11"/>
    <s v="NO1_A1"/>
    <x v="21"/>
    <x v="205"/>
    <x v="0"/>
    <x v="23"/>
    <n v="27.0588235294118"/>
    <n v="9876.4705882352901"/>
    <n v="35555.294117647099"/>
  </r>
  <r>
    <x v="0"/>
    <x v="0"/>
    <x v="0"/>
    <x v="7"/>
    <x v="11"/>
    <s v="NO1_A1"/>
    <x v="21"/>
    <x v="206"/>
    <x v="0"/>
    <x v="3"/>
    <n v="48.941176470588204"/>
    <n v="17863.529411764699"/>
    <n v="64308.705882352901"/>
  </r>
  <r>
    <x v="0"/>
    <x v="0"/>
    <x v="0"/>
    <x v="7"/>
    <x v="11"/>
    <s v="NO1_A1"/>
    <x v="21"/>
    <x v="206"/>
    <x v="0"/>
    <x v="4"/>
    <n v="48.941176470588204"/>
    <n v="17863.529411764699"/>
    <n v="64308.705882352901"/>
  </r>
  <r>
    <x v="0"/>
    <x v="0"/>
    <x v="0"/>
    <x v="7"/>
    <x v="11"/>
    <s v="NO1_A1"/>
    <x v="21"/>
    <x v="206"/>
    <x v="0"/>
    <x v="5"/>
    <n v="48.941176470588204"/>
    <n v="17863.529411764699"/>
    <n v="64308.705882352901"/>
  </r>
  <r>
    <x v="0"/>
    <x v="0"/>
    <x v="0"/>
    <x v="7"/>
    <x v="11"/>
    <s v="NO1_A1"/>
    <x v="21"/>
    <x v="206"/>
    <x v="0"/>
    <x v="6"/>
    <n v="48.941176470588204"/>
    <n v="17863.529411764699"/>
    <n v="64308.705882352901"/>
  </r>
  <r>
    <x v="0"/>
    <x v="0"/>
    <x v="0"/>
    <x v="7"/>
    <x v="11"/>
    <s v="NO1_A1"/>
    <x v="21"/>
    <x v="206"/>
    <x v="0"/>
    <x v="7"/>
    <n v="48.941176470588204"/>
    <n v="17863.529411764699"/>
    <n v="64308.705882352901"/>
  </r>
  <r>
    <x v="0"/>
    <x v="0"/>
    <x v="0"/>
    <x v="7"/>
    <x v="11"/>
    <s v="NO1_A1"/>
    <x v="21"/>
    <x v="206"/>
    <x v="0"/>
    <x v="8"/>
    <n v="48.941176470588204"/>
    <n v="17863.529411764699"/>
    <n v="64308.705882352901"/>
  </r>
  <r>
    <x v="0"/>
    <x v="0"/>
    <x v="0"/>
    <x v="7"/>
    <x v="11"/>
    <s v="NO1_A1"/>
    <x v="21"/>
    <x v="206"/>
    <x v="0"/>
    <x v="0"/>
    <n v="48.941176470588204"/>
    <n v="17863.529411764699"/>
    <n v="64308.705882352901"/>
  </r>
  <r>
    <x v="0"/>
    <x v="0"/>
    <x v="0"/>
    <x v="7"/>
    <x v="11"/>
    <s v="NO1_A1"/>
    <x v="21"/>
    <x v="206"/>
    <x v="0"/>
    <x v="1"/>
    <n v="48.941176470588204"/>
    <n v="17863.529411764699"/>
    <n v="64308.705882352901"/>
  </r>
  <r>
    <x v="0"/>
    <x v="0"/>
    <x v="0"/>
    <x v="7"/>
    <x v="11"/>
    <s v="NO1_A1"/>
    <x v="21"/>
    <x v="206"/>
    <x v="0"/>
    <x v="2"/>
    <n v="48.941176470588204"/>
    <n v="17863.529411764699"/>
    <n v="64308.705882352901"/>
  </r>
  <r>
    <x v="0"/>
    <x v="0"/>
    <x v="0"/>
    <x v="7"/>
    <x v="11"/>
    <s v="NO1_A1"/>
    <x v="21"/>
    <x v="206"/>
    <x v="0"/>
    <x v="9"/>
    <n v="48.941176470588204"/>
    <n v="17863.529411764699"/>
    <n v="64308.705882352901"/>
  </r>
  <r>
    <x v="0"/>
    <x v="0"/>
    <x v="0"/>
    <x v="7"/>
    <x v="11"/>
    <s v="NO1_A1"/>
    <x v="21"/>
    <x v="206"/>
    <x v="0"/>
    <x v="10"/>
    <n v="48.941176470588204"/>
    <n v="17863.529411764699"/>
    <n v="64308.705882352901"/>
  </r>
  <r>
    <x v="0"/>
    <x v="0"/>
    <x v="0"/>
    <x v="7"/>
    <x v="11"/>
    <s v="NO1_A1"/>
    <x v="21"/>
    <x v="206"/>
    <x v="0"/>
    <x v="11"/>
    <n v="48.941176470588204"/>
    <n v="17863.529411764699"/>
    <n v="64308.705882352901"/>
  </r>
  <r>
    <x v="0"/>
    <x v="0"/>
    <x v="0"/>
    <x v="7"/>
    <x v="11"/>
    <s v="NO1_A1"/>
    <x v="21"/>
    <x v="206"/>
    <x v="0"/>
    <x v="12"/>
    <n v="48.941176470588204"/>
    <n v="17863.529411764699"/>
    <n v="64308.705882352901"/>
  </r>
  <r>
    <x v="0"/>
    <x v="0"/>
    <x v="0"/>
    <x v="7"/>
    <x v="11"/>
    <s v="NO1_A1"/>
    <x v="21"/>
    <x v="206"/>
    <x v="0"/>
    <x v="13"/>
    <n v="48.941176470588204"/>
    <n v="17863.529411764699"/>
    <n v="64308.705882352901"/>
  </r>
  <r>
    <x v="0"/>
    <x v="0"/>
    <x v="0"/>
    <x v="7"/>
    <x v="11"/>
    <s v="NO1_A1"/>
    <x v="21"/>
    <x v="206"/>
    <x v="0"/>
    <x v="14"/>
    <n v="48.941176470588204"/>
    <n v="17863.529411764699"/>
    <n v="64308.705882352901"/>
  </r>
  <r>
    <x v="0"/>
    <x v="0"/>
    <x v="0"/>
    <x v="7"/>
    <x v="11"/>
    <s v="NO1_A1"/>
    <x v="21"/>
    <x v="206"/>
    <x v="0"/>
    <x v="15"/>
    <n v="48.941176470588204"/>
    <n v="17863.529411764699"/>
    <n v="64308.705882352901"/>
  </r>
  <r>
    <x v="0"/>
    <x v="0"/>
    <x v="0"/>
    <x v="7"/>
    <x v="11"/>
    <s v="NO1_A1"/>
    <x v="21"/>
    <x v="206"/>
    <x v="0"/>
    <x v="16"/>
    <n v="48.941176470588204"/>
    <n v="17863.529411764699"/>
    <n v="64308.705882352901"/>
  </r>
  <r>
    <x v="0"/>
    <x v="0"/>
    <x v="0"/>
    <x v="7"/>
    <x v="11"/>
    <s v="NO1_A1"/>
    <x v="21"/>
    <x v="206"/>
    <x v="0"/>
    <x v="17"/>
    <n v="48.941176470588204"/>
    <n v="17863.529411764699"/>
    <n v="64308.705882352901"/>
  </r>
  <r>
    <x v="0"/>
    <x v="0"/>
    <x v="0"/>
    <x v="7"/>
    <x v="11"/>
    <s v="NO1_A1"/>
    <x v="21"/>
    <x v="206"/>
    <x v="0"/>
    <x v="18"/>
    <n v="48.941176470588204"/>
    <n v="17863.529411764699"/>
    <n v="64308.705882352901"/>
  </r>
  <r>
    <x v="0"/>
    <x v="0"/>
    <x v="0"/>
    <x v="7"/>
    <x v="11"/>
    <s v="NO1_A1"/>
    <x v="21"/>
    <x v="206"/>
    <x v="0"/>
    <x v="19"/>
    <n v="48.941176470588204"/>
    <n v="17863.529411764699"/>
    <n v="64308.705882352901"/>
  </r>
  <r>
    <x v="0"/>
    <x v="0"/>
    <x v="0"/>
    <x v="7"/>
    <x v="11"/>
    <s v="NO1_A1"/>
    <x v="21"/>
    <x v="206"/>
    <x v="0"/>
    <x v="20"/>
    <n v="48.941176470588204"/>
    <n v="17863.529411764699"/>
    <n v="64308.705882352901"/>
  </r>
  <r>
    <x v="0"/>
    <x v="0"/>
    <x v="0"/>
    <x v="7"/>
    <x v="11"/>
    <s v="NO1_A1"/>
    <x v="21"/>
    <x v="206"/>
    <x v="0"/>
    <x v="21"/>
    <n v="48.941176470588204"/>
    <n v="17863.529411764699"/>
    <n v="64308.705882352901"/>
  </r>
  <r>
    <x v="0"/>
    <x v="0"/>
    <x v="0"/>
    <x v="7"/>
    <x v="11"/>
    <s v="NO1_A1"/>
    <x v="21"/>
    <x v="206"/>
    <x v="0"/>
    <x v="22"/>
    <n v="48.941176470588204"/>
    <n v="17863.529411764699"/>
    <n v="64308.705882352901"/>
  </r>
  <r>
    <x v="0"/>
    <x v="0"/>
    <x v="0"/>
    <x v="7"/>
    <x v="11"/>
    <s v="NO1_A1"/>
    <x v="21"/>
    <x v="206"/>
    <x v="0"/>
    <x v="23"/>
    <n v="48.941176470588204"/>
    <n v="17863.529411764699"/>
    <n v="64308.705882352901"/>
  </r>
  <r>
    <x v="0"/>
    <x v="0"/>
    <x v="0"/>
    <x v="7"/>
    <x v="11"/>
    <s v="NO1_A1"/>
    <x v="1"/>
    <x v="207"/>
    <x v="0"/>
    <x v="3"/>
    <n v="38.501792114695299"/>
    <n v="14053.154121863799"/>
    <n v="50591.354838709703"/>
  </r>
  <r>
    <x v="0"/>
    <x v="0"/>
    <x v="0"/>
    <x v="7"/>
    <x v="11"/>
    <s v="NO1_A1"/>
    <x v="1"/>
    <x v="207"/>
    <x v="0"/>
    <x v="4"/>
    <n v="38.501792114695299"/>
    <n v="14053.154121863799"/>
    <n v="50591.354838709703"/>
  </r>
  <r>
    <x v="0"/>
    <x v="0"/>
    <x v="0"/>
    <x v="7"/>
    <x v="11"/>
    <s v="NO1_A1"/>
    <x v="1"/>
    <x v="207"/>
    <x v="0"/>
    <x v="5"/>
    <n v="38.501792114695299"/>
    <n v="14053.154121863799"/>
    <n v="50591.354838709703"/>
  </r>
  <r>
    <x v="0"/>
    <x v="0"/>
    <x v="0"/>
    <x v="7"/>
    <x v="11"/>
    <s v="NO1_A1"/>
    <x v="1"/>
    <x v="207"/>
    <x v="0"/>
    <x v="6"/>
    <n v="38.501792114695299"/>
    <n v="14053.154121863799"/>
    <n v="50591.354838709703"/>
  </r>
  <r>
    <x v="0"/>
    <x v="0"/>
    <x v="0"/>
    <x v="7"/>
    <x v="11"/>
    <s v="NO1_A1"/>
    <x v="1"/>
    <x v="207"/>
    <x v="0"/>
    <x v="7"/>
    <n v="38.501792114695299"/>
    <n v="14053.154121863799"/>
    <n v="50591.354838709703"/>
  </r>
  <r>
    <x v="0"/>
    <x v="0"/>
    <x v="0"/>
    <x v="7"/>
    <x v="11"/>
    <s v="NO1_A1"/>
    <x v="1"/>
    <x v="207"/>
    <x v="0"/>
    <x v="8"/>
    <n v="38.501792114695299"/>
    <n v="14053.154121863799"/>
    <n v="50591.354838709703"/>
  </r>
  <r>
    <x v="0"/>
    <x v="0"/>
    <x v="0"/>
    <x v="7"/>
    <x v="11"/>
    <s v="NO1_A1"/>
    <x v="1"/>
    <x v="207"/>
    <x v="0"/>
    <x v="0"/>
    <n v="38.501792114695299"/>
    <n v="14053.154121863799"/>
    <n v="50591.354838709703"/>
  </r>
  <r>
    <x v="0"/>
    <x v="0"/>
    <x v="0"/>
    <x v="7"/>
    <x v="11"/>
    <s v="NO1_A1"/>
    <x v="1"/>
    <x v="207"/>
    <x v="0"/>
    <x v="1"/>
    <n v="38.501792114695299"/>
    <n v="14053.154121863799"/>
    <n v="50591.354838709703"/>
  </r>
  <r>
    <x v="0"/>
    <x v="0"/>
    <x v="0"/>
    <x v="7"/>
    <x v="11"/>
    <s v="NO1_A1"/>
    <x v="1"/>
    <x v="207"/>
    <x v="0"/>
    <x v="2"/>
    <n v="38.501792114695299"/>
    <n v="14053.154121863799"/>
    <n v="50591.354838709703"/>
  </r>
  <r>
    <x v="0"/>
    <x v="0"/>
    <x v="0"/>
    <x v="7"/>
    <x v="11"/>
    <s v="NO1_A1"/>
    <x v="1"/>
    <x v="207"/>
    <x v="0"/>
    <x v="9"/>
    <n v="38.501792114695299"/>
    <n v="14053.154121863799"/>
    <n v="50591.354838709703"/>
  </r>
  <r>
    <x v="0"/>
    <x v="0"/>
    <x v="0"/>
    <x v="7"/>
    <x v="11"/>
    <s v="NO1_A1"/>
    <x v="1"/>
    <x v="207"/>
    <x v="0"/>
    <x v="10"/>
    <n v="38.501792114695299"/>
    <n v="14053.154121863799"/>
    <n v="50591.354838709703"/>
  </r>
  <r>
    <x v="0"/>
    <x v="0"/>
    <x v="0"/>
    <x v="7"/>
    <x v="11"/>
    <s v="NO1_A1"/>
    <x v="1"/>
    <x v="207"/>
    <x v="0"/>
    <x v="11"/>
    <n v="38.501792114695299"/>
    <n v="14053.154121863799"/>
    <n v="50591.354838709703"/>
  </r>
  <r>
    <x v="0"/>
    <x v="0"/>
    <x v="0"/>
    <x v="7"/>
    <x v="11"/>
    <s v="NO1_A1"/>
    <x v="1"/>
    <x v="207"/>
    <x v="0"/>
    <x v="12"/>
    <n v="38.501792114695299"/>
    <n v="14053.154121863799"/>
    <n v="50591.354838709703"/>
  </r>
  <r>
    <x v="0"/>
    <x v="0"/>
    <x v="0"/>
    <x v="7"/>
    <x v="11"/>
    <s v="NO1_A1"/>
    <x v="1"/>
    <x v="207"/>
    <x v="0"/>
    <x v="13"/>
    <n v="38.501792114695299"/>
    <n v="14053.154121863799"/>
    <n v="50591.354838709703"/>
  </r>
  <r>
    <x v="0"/>
    <x v="0"/>
    <x v="0"/>
    <x v="7"/>
    <x v="11"/>
    <s v="NO1_A1"/>
    <x v="1"/>
    <x v="207"/>
    <x v="0"/>
    <x v="14"/>
    <n v="38.501792114695299"/>
    <n v="14053.154121863799"/>
    <n v="50591.354838709703"/>
  </r>
  <r>
    <x v="0"/>
    <x v="0"/>
    <x v="0"/>
    <x v="7"/>
    <x v="11"/>
    <s v="NO1_A1"/>
    <x v="1"/>
    <x v="207"/>
    <x v="0"/>
    <x v="15"/>
    <n v="38.501792114695299"/>
    <n v="14053.154121863799"/>
    <n v="50591.354838709703"/>
  </r>
  <r>
    <x v="0"/>
    <x v="0"/>
    <x v="0"/>
    <x v="7"/>
    <x v="11"/>
    <s v="NO1_A1"/>
    <x v="1"/>
    <x v="207"/>
    <x v="0"/>
    <x v="16"/>
    <n v="38.501792114695299"/>
    <n v="14053.154121863799"/>
    <n v="50591.354838709703"/>
  </r>
  <r>
    <x v="0"/>
    <x v="0"/>
    <x v="0"/>
    <x v="7"/>
    <x v="11"/>
    <s v="NO1_A1"/>
    <x v="1"/>
    <x v="207"/>
    <x v="0"/>
    <x v="17"/>
    <n v="38.501792114695299"/>
    <n v="14053.154121863799"/>
    <n v="50591.354838709703"/>
  </r>
  <r>
    <x v="0"/>
    <x v="0"/>
    <x v="0"/>
    <x v="7"/>
    <x v="11"/>
    <s v="NO1_A1"/>
    <x v="1"/>
    <x v="207"/>
    <x v="0"/>
    <x v="18"/>
    <n v="38.501792114695299"/>
    <n v="14053.154121863799"/>
    <n v="50591.354838709703"/>
  </r>
  <r>
    <x v="0"/>
    <x v="0"/>
    <x v="0"/>
    <x v="7"/>
    <x v="11"/>
    <s v="NO1_A1"/>
    <x v="1"/>
    <x v="207"/>
    <x v="0"/>
    <x v="19"/>
    <n v="38.501792114695299"/>
    <n v="14053.154121863799"/>
    <n v="50591.354838709703"/>
  </r>
  <r>
    <x v="0"/>
    <x v="0"/>
    <x v="0"/>
    <x v="7"/>
    <x v="11"/>
    <s v="NO1_A1"/>
    <x v="1"/>
    <x v="207"/>
    <x v="0"/>
    <x v="20"/>
    <n v="38.501792114695299"/>
    <n v="14053.154121863799"/>
    <n v="50591.354838709703"/>
  </r>
  <r>
    <x v="0"/>
    <x v="0"/>
    <x v="0"/>
    <x v="7"/>
    <x v="11"/>
    <s v="NO1_A1"/>
    <x v="1"/>
    <x v="207"/>
    <x v="0"/>
    <x v="21"/>
    <n v="38.501792114695299"/>
    <n v="14053.154121863799"/>
    <n v="50591.354838709703"/>
  </r>
  <r>
    <x v="0"/>
    <x v="0"/>
    <x v="0"/>
    <x v="7"/>
    <x v="11"/>
    <s v="NO1_A1"/>
    <x v="1"/>
    <x v="207"/>
    <x v="0"/>
    <x v="22"/>
    <n v="38.501792114695299"/>
    <n v="14053.154121863799"/>
    <n v="50591.354838709703"/>
  </r>
  <r>
    <x v="0"/>
    <x v="0"/>
    <x v="0"/>
    <x v="7"/>
    <x v="11"/>
    <s v="NO1_A1"/>
    <x v="1"/>
    <x v="207"/>
    <x v="0"/>
    <x v="23"/>
    <n v="38.501792114695299"/>
    <n v="14053.154121863799"/>
    <n v="50591.354838709703"/>
  </r>
  <r>
    <x v="0"/>
    <x v="0"/>
    <x v="0"/>
    <x v="7"/>
    <x v="11"/>
    <s v="NO1_A1"/>
    <x v="1"/>
    <x v="208"/>
    <x v="0"/>
    <x v="3"/>
    <n v="8.7576470588235296"/>
    <n v="3196.54117647059"/>
    <n v="11507.5482352941"/>
  </r>
  <r>
    <x v="0"/>
    <x v="0"/>
    <x v="0"/>
    <x v="7"/>
    <x v="11"/>
    <s v="NO1_A1"/>
    <x v="1"/>
    <x v="208"/>
    <x v="0"/>
    <x v="4"/>
    <n v="8.7576470588235296"/>
    <n v="3196.54117647059"/>
    <n v="11507.5482352941"/>
  </r>
  <r>
    <x v="0"/>
    <x v="0"/>
    <x v="0"/>
    <x v="7"/>
    <x v="11"/>
    <s v="NO1_A1"/>
    <x v="1"/>
    <x v="208"/>
    <x v="0"/>
    <x v="5"/>
    <n v="8.7576470588235296"/>
    <n v="3196.54117647059"/>
    <n v="11507.5482352941"/>
  </r>
  <r>
    <x v="0"/>
    <x v="0"/>
    <x v="0"/>
    <x v="7"/>
    <x v="11"/>
    <s v="NO1_A1"/>
    <x v="1"/>
    <x v="208"/>
    <x v="0"/>
    <x v="6"/>
    <n v="8.7576470588235296"/>
    <n v="3196.54117647059"/>
    <n v="11507.5482352941"/>
  </r>
  <r>
    <x v="0"/>
    <x v="0"/>
    <x v="0"/>
    <x v="7"/>
    <x v="11"/>
    <s v="NO1_A1"/>
    <x v="1"/>
    <x v="208"/>
    <x v="0"/>
    <x v="7"/>
    <n v="8.7576470588235296"/>
    <n v="3196.54117647059"/>
    <n v="11507.5482352941"/>
  </r>
  <r>
    <x v="0"/>
    <x v="0"/>
    <x v="0"/>
    <x v="7"/>
    <x v="11"/>
    <s v="NO1_A1"/>
    <x v="1"/>
    <x v="208"/>
    <x v="0"/>
    <x v="8"/>
    <n v="8.7576470588235296"/>
    <n v="3196.54117647059"/>
    <n v="11507.5482352941"/>
  </r>
  <r>
    <x v="0"/>
    <x v="0"/>
    <x v="0"/>
    <x v="7"/>
    <x v="11"/>
    <s v="NO1_A1"/>
    <x v="1"/>
    <x v="208"/>
    <x v="0"/>
    <x v="0"/>
    <n v="8.7576470588235296"/>
    <n v="3196.54117647059"/>
    <n v="11507.5482352941"/>
  </r>
  <r>
    <x v="0"/>
    <x v="0"/>
    <x v="0"/>
    <x v="7"/>
    <x v="11"/>
    <s v="NO1_A1"/>
    <x v="1"/>
    <x v="208"/>
    <x v="0"/>
    <x v="1"/>
    <n v="8.7576470588235296"/>
    <n v="3196.54117647059"/>
    <n v="11507.5482352941"/>
  </r>
  <r>
    <x v="0"/>
    <x v="0"/>
    <x v="0"/>
    <x v="7"/>
    <x v="11"/>
    <s v="NO1_A1"/>
    <x v="1"/>
    <x v="208"/>
    <x v="0"/>
    <x v="2"/>
    <n v="8.7576470588235296"/>
    <n v="3196.54117647059"/>
    <n v="11507.5482352941"/>
  </r>
  <r>
    <x v="0"/>
    <x v="0"/>
    <x v="0"/>
    <x v="7"/>
    <x v="11"/>
    <s v="NO1_A1"/>
    <x v="1"/>
    <x v="208"/>
    <x v="0"/>
    <x v="9"/>
    <n v="8.7576470588235296"/>
    <n v="3196.54117647059"/>
    <n v="11507.5482352941"/>
  </r>
  <r>
    <x v="0"/>
    <x v="0"/>
    <x v="0"/>
    <x v="7"/>
    <x v="11"/>
    <s v="NO1_A1"/>
    <x v="1"/>
    <x v="208"/>
    <x v="0"/>
    <x v="10"/>
    <n v="8.7576470588235296"/>
    <n v="3196.54117647059"/>
    <n v="11507.5482352941"/>
  </r>
  <r>
    <x v="0"/>
    <x v="0"/>
    <x v="0"/>
    <x v="7"/>
    <x v="11"/>
    <s v="NO1_A1"/>
    <x v="1"/>
    <x v="208"/>
    <x v="0"/>
    <x v="11"/>
    <n v="8.7576470588235296"/>
    <n v="3196.54117647059"/>
    <n v="11507.5482352941"/>
  </r>
  <r>
    <x v="0"/>
    <x v="0"/>
    <x v="0"/>
    <x v="7"/>
    <x v="11"/>
    <s v="NO1_A1"/>
    <x v="1"/>
    <x v="208"/>
    <x v="0"/>
    <x v="12"/>
    <n v="8.7576470588235296"/>
    <n v="3196.54117647059"/>
    <n v="11507.5482352941"/>
  </r>
  <r>
    <x v="0"/>
    <x v="0"/>
    <x v="0"/>
    <x v="7"/>
    <x v="11"/>
    <s v="NO1_A1"/>
    <x v="1"/>
    <x v="208"/>
    <x v="0"/>
    <x v="13"/>
    <n v="8.7576470588235296"/>
    <n v="3196.54117647059"/>
    <n v="11507.5482352941"/>
  </r>
  <r>
    <x v="0"/>
    <x v="0"/>
    <x v="0"/>
    <x v="7"/>
    <x v="11"/>
    <s v="NO1_A1"/>
    <x v="1"/>
    <x v="208"/>
    <x v="0"/>
    <x v="14"/>
    <n v="8.7576470588235296"/>
    <n v="3196.54117647059"/>
    <n v="11507.5482352941"/>
  </r>
  <r>
    <x v="0"/>
    <x v="0"/>
    <x v="0"/>
    <x v="7"/>
    <x v="11"/>
    <s v="NO1_A1"/>
    <x v="1"/>
    <x v="208"/>
    <x v="0"/>
    <x v="15"/>
    <n v="8.7576470588235296"/>
    <n v="3196.54117647059"/>
    <n v="11507.5482352941"/>
  </r>
  <r>
    <x v="0"/>
    <x v="0"/>
    <x v="0"/>
    <x v="7"/>
    <x v="11"/>
    <s v="NO1_A1"/>
    <x v="1"/>
    <x v="208"/>
    <x v="0"/>
    <x v="16"/>
    <n v="8.7576470588235296"/>
    <n v="3196.54117647059"/>
    <n v="11507.5482352941"/>
  </r>
  <r>
    <x v="0"/>
    <x v="0"/>
    <x v="0"/>
    <x v="7"/>
    <x v="11"/>
    <s v="NO1_A1"/>
    <x v="1"/>
    <x v="208"/>
    <x v="0"/>
    <x v="17"/>
    <n v="8.7576470588235296"/>
    <n v="3196.54117647059"/>
    <n v="11507.5482352941"/>
  </r>
  <r>
    <x v="0"/>
    <x v="0"/>
    <x v="0"/>
    <x v="7"/>
    <x v="11"/>
    <s v="NO1_A1"/>
    <x v="1"/>
    <x v="208"/>
    <x v="0"/>
    <x v="18"/>
    <n v="8.7576470588235296"/>
    <n v="3196.54117647059"/>
    <n v="11507.5482352941"/>
  </r>
  <r>
    <x v="0"/>
    <x v="0"/>
    <x v="0"/>
    <x v="7"/>
    <x v="11"/>
    <s v="NO1_A1"/>
    <x v="1"/>
    <x v="208"/>
    <x v="0"/>
    <x v="19"/>
    <n v="8.7576470588235296"/>
    <n v="3196.54117647059"/>
    <n v="11507.5482352941"/>
  </r>
  <r>
    <x v="0"/>
    <x v="0"/>
    <x v="0"/>
    <x v="7"/>
    <x v="11"/>
    <s v="NO1_A1"/>
    <x v="1"/>
    <x v="208"/>
    <x v="0"/>
    <x v="20"/>
    <n v="8.7576470588235296"/>
    <n v="3196.54117647059"/>
    <n v="11507.5482352941"/>
  </r>
  <r>
    <x v="0"/>
    <x v="0"/>
    <x v="0"/>
    <x v="7"/>
    <x v="11"/>
    <s v="NO1_A1"/>
    <x v="1"/>
    <x v="208"/>
    <x v="0"/>
    <x v="21"/>
    <n v="8.7576470588235296"/>
    <n v="3196.54117647059"/>
    <n v="11507.5482352941"/>
  </r>
  <r>
    <x v="0"/>
    <x v="0"/>
    <x v="0"/>
    <x v="7"/>
    <x v="11"/>
    <s v="NO1_A1"/>
    <x v="1"/>
    <x v="208"/>
    <x v="0"/>
    <x v="22"/>
    <n v="8.7576470588235296"/>
    <n v="3196.54117647059"/>
    <n v="11507.5482352941"/>
  </r>
  <r>
    <x v="0"/>
    <x v="0"/>
    <x v="0"/>
    <x v="7"/>
    <x v="11"/>
    <s v="NO1_A1"/>
    <x v="1"/>
    <x v="208"/>
    <x v="0"/>
    <x v="23"/>
    <n v="8.7576470588235296"/>
    <n v="3196.54117647059"/>
    <n v="11507.5482352941"/>
  </r>
  <r>
    <x v="0"/>
    <x v="0"/>
    <x v="0"/>
    <x v="7"/>
    <x v="11"/>
    <s v="NO1_A1"/>
    <x v="4"/>
    <x v="108"/>
    <x v="0"/>
    <x v="3"/>
    <n v="2.9650869963369799"/>
    <n v="1082.2567536629999"/>
    <n v="3896.1243131868"/>
  </r>
  <r>
    <x v="0"/>
    <x v="0"/>
    <x v="0"/>
    <x v="7"/>
    <x v="11"/>
    <s v="NO1_A1"/>
    <x v="4"/>
    <x v="108"/>
    <x v="0"/>
    <x v="4"/>
    <n v="2.9650869963369799"/>
    <n v="1082.2567536629999"/>
    <n v="3896.1243131868"/>
  </r>
  <r>
    <x v="0"/>
    <x v="0"/>
    <x v="0"/>
    <x v="7"/>
    <x v="11"/>
    <s v="NO1_A1"/>
    <x v="4"/>
    <x v="108"/>
    <x v="0"/>
    <x v="5"/>
    <n v="2.9650869963369799"/>
    <n v="1082.2567536629999"/>
    <n v="3896.1243131868"/>
  </r>
  <r>
    <x v="0"/>
    <x v="0"/>
    <x v="0"/>
    <x v="7"/>
    <x v="11"/>
    <s v="NO1_A1"/>
    <x v="4"/>
    <x v="108"/>
    <x v="0"/>
    <x v="6"/>
    <n v="2.9650869963369799"/>
    <n v="1082.2567536629999"/>
    <n v="3896.1243131868"/>
  </r>
  <r>
    <x v="0"/>
    <x v="0"/>
    <x v="0"/>
    <x v="7"/>
    <x v="11"/>
    <s v="NO1_A1"/>
    <x v="4"/>
    <x v="108"/>
    <x v="0"/>
    <x v="7"/>
    <n v="2.9650869963369799"/>
    <n v="1082.2567536629999"/>
    <n v="3896.1243131868"/>
  </r>
  <r>
    <x v="0"/>
    <x v="0"/>
    <x v="0"/>
    <x v="7"/>
    <x v="11"/>
    <s v="NO1_A1"/>
    <x v="4"/>
    <x v="108"/>
    <x v="0"/>
    <x v="8"/>
    <n v="2.9650869963369799"/>
    <n v="1082.2567536629999"/>
    <n v="3896.1243131868"/>
  </r>
  <r>
    <x v="0"/>
    <x v="0"/>
    <x v="0"/>
    <x v="7"/>
    <x v="11"/>
    <s v="NO1_A1"/>
    <x v="4"/>
    <x v="108"/>
    <x v="0"/>
    <x v="0"/>
    <n v="2.9650869963369799"/>
    <n v="1082.2567536629999"/>
    <n v="3896.1243131868"/>
  </r>
  <r>
    <x v="0"/>
    <x v="0"/>
    <x v="0"/>
    <x v="7"/>
    <x v="11"/>
    <s v="NO1_A1"/>
    <x v="4"/>
    <x v="108"/>
    <x v="0"/>
    <x v="1"/>
    <n v="2.9650869963369799"/>
    <n v="1082.2567536629999"/>
    <n v="3896.1243131868"/>
  </r>
  <r>
    <x v="0"/>
    <x v="0"/>
    <x v="0"/>
    <x v="7"/>
    <x v="11"/>
    <s v="NO1_A1"/>
    <x v="4"/>
    <x v="108"/>
    <x v="0"/>
    <x v="2"/>
    <n v="2.9650869963369799"/>
    <n v="1082.2567536629999"/>
    <n v="3896.1243131868"/>
  </r>
  <r>
    <x v="0"/>
    <x v="0"/>
    <x v="0"/>
    <x v="7"/>
    <x v="11"/>
    <s v="NO1_A1"/>
    <x v="4"/>
    <x v="108"/>
    <x v="0"/>
    <x v="9"/>
    <n v="2.9650869963369799"/>
    <n v="1082.2567536629999"/>
    <n v="3896.1243131868"/>
  </r>
  <r>
    <x v="0"/>
    <x v="0"/>
    <x v="0"/>
    <x v="7"/>
    <x v="11"/>
    <s v="NO1_A1"/>
    <x v="4"/>
    <x v="108"/>
    <x v="0"/>
    <x v="10"/>
    <n v="2.9650869963369799"/>
    <n v="1082.2567536629999"/>
    <n v="3896.1243131868"/>
  </r>
  <r>
    <x v="0"/>
    <x v="0"/>
    <x v="0"/>
    <x v="7"/>
    <x v="11"/>
    <s v="NO1_A1"/>
    <x v="4"/>
    <x v="108"/>
    <x v="0"/>
    <x v="11"/>
    <n v="2.9650869963369799"/>
    <n v="1082.2567536629999"/>
    <n v="3896.1243131868"/>
  </r>
  <r>
    <x v="0"/>
    <x v="0"/>
    <x v="0"/>
    <x v="7"/>
    <x v="11"/>
    <s v="NO1_A1"/>
    <x v="4"/>
    <x v="108"/>
    <x v="0"/>
    <x v="12"/>
    <n v="2.9650869963369799"/>
    <n v="1082.2567536629999"/>
    <n v="3896.1243131868"/>
  </r>
  <r>
    <x v="0"/>
    <x v="0"/>
    <x v="0"/>
    <x v="7"/>
    <x v="11"/>
    <s v="NO1_A1"/>
    <x v="4"/>
    <x v="108"/>
    <x v="0"/>
    <x v="13"/>
    <n v="2.9650869963369799"/>
    <n v="1082.2567536629999"/>
    <n v="3896.1243131868"/>
  </r>
  <r>
    <x v="0"/>
    <x v="0"/>
    <x v="0"/>
    <x v="7"/>
    <x v="11"/>
    <s v="NO1_A1"/>
    <x v="4"/>
    <x v="108"/>
    <x v="0"/>
    <x v="14"/>
    <n v="2.9650869963369799"/>
    <n v="1082.2567536629999"/>
    <n v="3896.1243131868"/>
  </r>
  <r>
    <x v="0"/>
    <x v="0"/>
    <x v="0"/>
    <x v="7"/>
    <x v="11"/>
    <s v="NO1_A1"/>
    <x v="4"/>
    <x v="108"/>
    <x v="0"/>
    <x v="15"/>
    <n v="2.9650869963369799"/>
    <n v="1082.2567536629999"/>
    <n v="3896.1243131868"/>
  </r>
  <r>
    <x v="0"/>
    <x v="0"/>
    <x v="0"/>
    <x v="7"/>
    <x v="11"/>
    <s v="NO1_A1"/>
    <x v="4"/>
    <x v="108"/>
    <x v="0"/>
    <x v="16"/>
    <n v="2.9650869963369799"/>
    <n v="1082.2567536629999"/>
    <n v="3896.1243131868"/>
  </r>
  <r>
    <x v="0"/>
    <x v="0"/>
    <x v="0"/>
    <x v="7"/>
    <x v="11"/>
    <s v="NO1_A1"/>
    <x v="4"/>
    <x v="108"/>
    <x v="0"/>
    <x v="17"/>
    <n v="2.9650869963369799"/>
    <n v="1082.2567536629999"/>
    <n v="3896.1243131868"/>
  </r>
  <r>
    <x v="0"/>
    <x v="0"/>
    <x v="0"/>
    <x v="7"/>
    <x v="11"/>
    <s v="NO1_A1"/>
    <x v="4"/>
    <x v="108"/>
    <x v="0"/>
    <x v="18"/>
    <n v="2.9650869963369799"/>
    <n v="1082.2567536629999"/>
    <n v="3896.1243131868"/>
  </r>
  <r>
    <x v="0"/>
    <x v="0"/>
    <x v="0"/>
    <x v="7"/>
    <x v="11"/>
    <s v="NO1_A1"/>
    <x v="4"/>
    <x v="108"/>
    <x v="0"/>
    <x v="19"/>
    <n v="2.9650869963369799"/>
    <n v="1082.2567536629999"/>
    <n v="3896.1243131868"/>
  </r>
  <r>
    <x v="0"/>
    <x v="0"/>
    <x v="0"/>
    <x v="7"/>
    <x v="11"/>
    <s v="NO1_A1"/>
    <x v="4"/>
    <x v="108"/>
    <x v="0"/>
    <x v="20"/>
    <n v="2.9650869963369799"/>
    <n v="1082.2567536629999"/>
    <n v="3896.1243131868"/>
  </r>
  <r>
    <x v="0"/>
    <x v="0"/>
    <x v="0"/>
    <x v="7"/>
    <x v="11"/>
    <s v="NO1_A1"/>
    <x v="4"/>
    <x v="108"/>
    <x v="0"/>
    <x v="21"/>
    <n v="2.9650869963369799"/>
    <n v="1082.2567536629999"/>
    <n v="3896.1243131868"/>
  </r>
  <r>
    <x v="0"/>
    <x v="0"/>
    <x v="0"/>
    <x v="7"/>
    <x v="11"/>
    <s v="NO1_A1"/>
    <x v="4"/>
    <x v="108"/>
    <x v="0"/>
    <x v="22"/>
    <n v="2.9650869963369799"/>
    <n v="1082.2567536629999"/>
    <n v="3896.1243131868"/>
  </r>
  <r>
    <x v="0"/>
    <x v="0"/>
    <x v="0"/>
    <x v="7"/>
    <x v="11"/>
    <s v="NO1_A1"/>
    <x v="4"/>
    <x v="108"/>
    <x v="0"/>
    <x v="23"/>
    <n v="2.9650869963369799"/>
    <n v="1082.2567536629999"/>
    <n v="3896.1243131868"/>
  </r>
  <r>
    <x v="0"/>
    <x v="0"/>
    <x v="0"/>
    <x v="7"/>
    <x v="11"/>
    <s v="NO1_A1"/>
    <x v="7"/>
    <x v="122"/>
    <x v="0"/>
    <x v="3"/>
    <n v="160"/>
    <n v="58400"/>
    <n v="210240"/>
  </r>
  <r>
    <x v="0"/>
    <x v="0"/>
    <x v="0"/>
    <x v="7"/>
    <x v="11"/>
    <s v="NO1_A1"/>
    <x v="7"/>
    <x v="122"/>
    <x v="0"/>
    <x v="4"/>
    <n v="160"/>
    <n v="58400"/>
    <n v="210240"/>
  </r>
  <r>
    <x v="0"/>
    <x v="0"/>
    <x v="0"/>
    <x v="7"/>
    <x v="11"/>
    <s v="NO1_A1"/>
    <x v="7"/>
    <x v="122"/>
    <x v="0"/>
    <x v="5"/>
    <n v="160"/>
    <n v="58400"/>
    <n v="210240"/>
  </r>
  <r>
    <x v="0"/>
    <x v="0"/>
    <x v="0"/>
    <x v="7"/>
    <x v="11"/>
    <s v="NO1_A1"/>
    <x v="7"/>
    <x v="122"/>
    <x v="0"/>
    <x v="6"/>
    <n v="160"/>
    <n v="58400"/>
    <n v="210240"/>
  </r>
  <r>
    <x v="0"/>
    <x v="0"/>
    <x v="0"/>
    <x v="7"/>
    <x v="11"/>
    <s v="NO1_A1"/>
    <x v="7"/>
    <x v="122"/>
    <x v="0"/>
    <x v="7"/>
    <n v="160"/>
    <n v="58400"/>
    <n v="210240"/>
  </r>
  <r>
    <x v="0"/>
    <x v="0"/>
    <x v="0"/>
    <x v="7"/>
    <x v="11"/>
    <s v="NO1_A1"/>
    <x v="7"/>
    <x v="122"/>
    <x v="0"/>
    <x v="8"/>
    <n v="160"/>
    <n v="58400"/>
    <n v="210240"/>
  </r>
  <r>
    <x v="0"/>
    <x v="0"/>
    <x v="0"/>
    <x v="7"/>
    <x v="11"/>
    <s v="NO1_A1"/>
    <x v="7"/>
    <x v="122"/>
    <x v="0"/>
    <x v="0"/>
    <n v="160"/>
    <n v="58400"/>
    <n v="210240"/>
  </r>
  <r>
    <x v="0"/>
    <x v="0"/>
    <x v="0"/>
    <x v="7"/>
    <x v="11"/>
    <s v="NO1_A1"/>
    <x v="7"/>
    <x v="122"/>
    <x v="0"/>
    <x v="1"/>
    <n v="160"/>
    <n v="58400"/>
    <n v="210240"/>
  </r>
  <r>
    <x v="0"/>
    <x v="0"/>
    <x v="0"/>
    <x v="7"/>
    <x v="11"/>
    <s v="NO1_A1"/>
    <x v="7"/>
    <x v="122"/>
    <x v="0"/>
    <x v="2"/>
    <n v="160"/>
    <n v="58400"/>
    <n v="210240"/>
  </r>
  <r>
    <x v="0"/>
    <x v="0"/>
    <x v="0"/>
    <x v="7"/>
    <x v="11"/>
    <s v="NO1_A1"/>
    <x v="7"/>
    <x v="122"/>
    <x v="0"/>
    <x v="9"/>
    <n v="160"/>
    <n v="58400"/>
    <n v="210240"/>
  </r>
  <r>
    <x v="0"/>
    <x v="0"/>
    <x v="0"/>
    <x v="7"/>
    <x v="11"/>
    <s v="NO1_A1"/>
    <x v="7"/>
    <x v="122"/>
    <x v="0"/>
    <x v="10"/>
    <n v="160"/>
    <n v="58400"/>
    <n v="210240"/>
  </r>
  <r>
    <x v="0"/>
    <x v="0"/>
    <x v="0"/>
    <x v="7"/>
    <x v="11"/>
    <s v="NO1_A1"/>
    <x v="7"/>
    <x v="122"/>
    <x v="0"/>
    <x v="11"/>
    <n v="160"/>
    <n v="58400"/>
    <n v="210240"/>
  </r>
  <r>
    <x v="0"/>
    <x v="0"/>
    <x v="0"/>
    <x v="7"/>
    <x v="11"/>
    <s v="NO1_A1"/>
    <x v="7"/>
    <x v="122"/>
    <x v="0"/>
    <x v="12"/>
    <n v="160"/>
    <n v="58400"/>
    <n v="210240"/>
  </r>
  <r>
    <x v="0"/>
    <x v="0"/>
    <x v="0"/>
    <x v="7"/>
    <x v="11"/>
    <s v="NO1_A1"/>
    <x v="7"/>
    <x v="122"/>
    <x v="0"/>
    <x v="13"/>
    <n v="160"/>
    <n v="58400"/>
    <n v="210240"/>
  </r>
  <r>
    <x v="0"/>
    <x v="0"/>
    <x v="0"/>
    <x v="7"/>
    <x v="11"/>
    <s v="NO1_A1"/>
    <x v="7"/>
    <x v="122"/>
    <x v="0"/>
    <x v="14"/>
    <n v="160"/>
    <n v="58400"/>
    <n v="210240"/>
  </r>
  <r>
    <x v="0"/>
    <x v="0"/>
    <x v="0"/>
    <x v="7"/>
    <x v="11"/>
    <s v="NO1_A1"/>
    <x v="7"/>
    <x v="122"/>
    <x v="0"/>
    <x v="15"/>
    <n v="160"/>
    <n v="58400"/>
    <n v="210240"/>
  </r>
  <r>
    <x v="0"/>
    <x v="0"/>
    <x v="0"/>
    <x v="7"/>
    <x v="11"/>
    <s v="NO1_A1"/>
    <x v="7"/>
    <x v="122"/>
    <x v="0"/>
    <x v="16"/>
    <n v="160"/>
    <n v="58400"/>
    <n v="210240"/>
  </r>
  <r>
    <x v="0"/>
    <x v="0"/>
    <x v="0"/>
    <x v="7"/>
    <x v="11"/>
    <s v="NO1_A1"/>
    <x v="7"/>
    <x v="122"/>
    <x v="0"/>
    <x v="17"/>
    <n v="160"/>
    <n v="58400"/>
    <n v="210240"/>
  </r>
  <r>
    <x v="0"/>
    <x v="0"/>
    <x v="0"/>
    <x v="7"/>
    <x v="11"/>
    <s v="NO1_A1"/>
    <x v="7"/>
    <x v="122"/>
    <x v="0"/>
    <x v="18"/>
    <n v="160"/>
    <n v="58400"/>
    <n v="210240"/>
  </r>
  <r>
    <x v="0"/>
    <x v="0"/>
    <x v="0"/>
    <x v="7"/>
    <x v="11"/>
    <s v="NO1_A1"/>
    <x v="7"/>
    <x v="122"/>
    <x v="0"/>
    <x v="19"/>
    <n v="160"/>
    <n v="58400"/>
    <n v="210240"/>
  </r>
  <r>
    <x v="0"/>
    <x v="0"/>
    <x v="0"/>
    <x v="7"/>
    <x v="11"/>
    <s v="NO1_A1"/>
    <x v="7"/>
    <x v="122"/>
    <x v="0"/>
    <x v="20"/>
    <n v="160"/>
    <n v="58400"/>
    <n v="210240"/>
  </r>
  <r>
    <x v="0"/>
    <x v="0"/>
    <x v="0"/>
    <x v="7"/>
    <x v="11"/>
    <s v="NO1_A1"/>
    <x v="7"/>
    <x v="122"/>
    <x v="0"/>
    <x v="21"/>
    <n v="160"/>
    <n v="58400"/>
    <n v="210240"/>
  </r>
  <r>
    <x v="0"/>
    <x v="0"/>
    <x v="0"/>
    <x v="7"/>
    <x v="11"/>
    <s v="NO1_A1"/>
    <x v="7"/>
    <x v="122"/>
    <x v="0"/>
    <x v="22"/>
    <n v="160"/>
    <n v="58400"/>
    <n v="210240"/>
  </r>
  <r>
    <x v="0"/>
    <x v="0"/>
    <x v="0"/>
    <x v="7"/>
    <x v="11"/>
    <s v="NO1_A1"/>
    <x v="7"/>
    <x v="122"/>
    <x v="0"/>
    <x v="23"/>
    <n v="160"/>
    <n v="58400"/>
    <n v="210240"/>
  </r>
  <r>
    <x v="0"/>
    <x v="0"/>
    <x v="0"/>
    <x v="7"/>
    <x v="11"/>
    <s v="NO1_A1"/>
    <x v="7"/>
    <x v="123"/>
    <x v="0"/>
    <x v="3"/>
    <n v="160"/>
    <n v="58400"/>
    <n v="210240"/>
  </r>
  <r>
    <x v="0"/>
    <x v="0"/>
    <x v="0"/>
    <x v="7"/>
    <x v="11"/>
    <s v="NO1_A1"/>
    <x v="7"/>
    <x v="123"/>
    <x v="0"/>
    <x v="4"/>
    <n v="6.2923266034883296"/>
    <n v="2296.6992102732402"/>
    <n v="8268.1171569836697"/>
  </r>
  <r>
    <x v="0"/>
    <x v="0"/>
    <x v="0"/>
    <x v="7"/>
    <x v="11"/>
    <s v="NO1_A1"/>
    <x v="7"/>
    <x v="123"/>
    <x v="0"/>
    <x v="7"/>
    <n v="160"/>
    <n v="58400"/>
    <n v="210240"/>
  </r>
  <r>
    <x v="0"/>
    <x v="0"/>
    <x v="0"/>
    <x v="7"/>
    <x v="11"/>
    <s v="NO1_A1"/>
    <x v="7"/>
    <x v="123"/>
    <x v="0"/>
    <x v="8"/>
    <n v="160"/>
    <n v="58400"/>
    <n v="210240"/>
  </r>
  <r>
    <x v="0"/>
    <x v="0"/>
    <x v="0"/>
    <x v="7"/>
    <x v="11"/>
    <s v="NO1_A1"/>
    <x v="7"/>
    <x v="123"/>
    <x v="0"/>
    <x v="0"/>
    <n v="160"/>
    <n v="58400"/>
    <n v="210240"/>
  </r>
  <r>
    <x v="0"/>
    <x v="0"/>
    <x v="0"/>
    <x v="7"/>
    <x v="11"/>
    <s v="NO1_A1"/>
    <x v="7"/>
    <x v="123"/>
    <x v="0"/>
    <x v="1"/>
    <n v="160"/>
    <n v="58400"/>
    <n v="210240"/>
  </r>
  <r>
    <x v="0"/>
    <x v="0"/>
    <x v="0"/>
    <x v="7"/>
    <x v="11"/>
    <s v="NO1_A1"/>
    <x v="7"/>
    <x v="123"/>
    <x v="0"/>
    <x v="2"/>
    <n v="160"/>
    <n v="58400"/>
    <n v="210240"/>
  </r>
  <r>
    <x v="0"/>
    <x v="0"/>
    <x v="0"/>
    <x v="7"/>
    <x v="11"/>
    <s v="NO1_A1"/>
    <x v="7"/>
    <x v="123"/>
    <x v="0"/>
    <x v="9"/>
    <n v="160"/>
    <n v="58400"/>
    <n v="210240"/>
  </r>
  <r>
    <x v="0"/>
    <x v="0"/>
    <x v="0"/>
    <x v="7"/>
    <x v="11"/>
    <s v="NO1_A1"/>
    <x v="7"/>
    <x v="123"/>
    <x v="0"/>
    <x v="10"/>
    <n v="160"/>
    <n v="58400"/>
    <n v="210240"/>
  </r>
  <r>
    <x v="0"/>
    <x v="0"/>
    <x v="0"/>
    <x v="7"/>
    <x v="11"/>
    <s v="NO1_A1"/>
    <x v="7"/>
    <x v="123"/>
    <x v="0"/>
    <x v="11"/>
    <n v="160"/>
    <n v="58400"/>
    <n v="210240"/>
  </r>
  <r>
    <x v="0"/>
    <x v="0"/>
    <x v="0"/>
    <x v="7"/>
    <x v="11"/>
    <s v="NO1_A1"/>
    <x v="7"/>
    <x v="123"/>
    <x v="0"/>
    <x v="12"/>
    <n v="160"/>
    <n v="58400"/>
    <n v="210240"/>
  </r>
  <r>
    <x v="0"/>
    <x v="0"/>
    <x v="0"/>
    <x v="7"/>
    <x v="11"/>
    <s v="NO1_A1"/>
    <x v="7"/>
    <x v="123"/>
    <x v="0"/>
    <x v="13"/>
    <n v="160"/>
    <n v="58400"/>
    <n v="210240"/>
  </r>
  <r>
    <x v="0"/>
    <x v="0"/>
    <x v="0"/>
    <x v="7"/>
    <x v="11"/>
    <s v="NO1_A1"/>
    <x v="7"/>
    <x v="123"/>
    <x v="0"/>
    <x v="14"/>
    <n v="160"/>
    <n v="58400"/>
    <n v="210240"/>
  </r>
  <r>
    <x v="0"/>
    <x v="0"/>
    <x v="0"/>
    <x v="7"/>
    <x v="11"/>
    <s v="NO1_A1"/>
    <x v="7"/>
    <x v="123"/>
    <x v="0"/>
    <x v="15"/>
    <n v="160"/>
    <n v="58400"/>
    <n v="210240"/>
  </r>
  <r>
    <x v="0"/>
    <x v="0"/>
    <x v="0"/>
    <x v="7"/>
    <x v="11"/>
    <s v="NO1_A1"/>
    <x v="7"/>
    <x v="123"/>
    <x v="0"/>
    <x v="16"/>
    <n v="160"/>
    <n v="58400"/>
    <n v="210240"/>
  </r>
  <r>
    <x v="0"/>
    <x v="0"/>
    <x v="0"/>
    <x v="7"/>
    <x v="11"/>
    <s v="NO1_A1"/>
    <x v="7"/>
    <x v="123"/>
    <x v="0"/>
    <x v="17"/>
    <n v="160"/>
    <n v="58400"/>
    <n v="210240"/>
  </r>
  <r>
    <x v="0"/>
    <x v="0"/>
    <x v="0"/>
    <x v="7"/>
    <x v="11"/>
    <s v="NO1_A1"/>
    <x v="7"/>
    <x v="123"/>
    <x v="0"/>
    <x v="18"/>
    <n v="160"/>
    <n v="58400"/>
    <n v="210240"/>
  </r>
  <r>
    <x v="0"/>
    <x v="0"/>
    <x v="0"/>
    <x v="7"/>
    <x v="11"/>
    <s v="NO1_A1"/>
    <x v="7"/>
    <x v="123"/>
    <x v="0"/>
    <x v="19"/>
    <n v="160"/>
    <n v="58400"/>
    <n v="210240"/>
  </r>
  <r>
    <x v="0"/>
    <x v="0"/>
    <x v="0"/>
    <x v="7"/>
    <x v="11"/>
    <s v="NO1_A1"/>
    <x v="7"/>
    <x v="123"/>
    <x v="0"/>
    <x v="20"/>
    <n v="160"/>
    <n v="58400"/>
    <n v="210240"/>
  </r>
  <r>
    <x v="0"/>
    <x v="0"/>
    <x v="0"/>
    <x v="7"/>
    <x v="11"/>
    <s v="NO1_A1"/>
    <x v="7"/>
    <x v="123"/>
    <x v="0"/>
    <x v="21"/>
    <n v="97.664070184789296"/>
    <n v="35647.385617448097"/>
    <n v="128330.58822281301"/>
  </r>
  <r>
    <x v="0"/>
    <x v="0"/>
    <x v="0"/>
    <x v="7"/>
    <x v="11"/>
    <s v="NO1_A1"/>
    <x v="7"/>
    <x v="124"/>
    <x v="0"/>
    <x v="0"/>
    <n v="160"/>
    <n v="58400"/>
    <n v="210240"/>
  </r>
  <r>
    <x v="0"/>
    <x v="0"/>
    <x v="0"/>
    <x v="7"/>
    <x v="11"/>
    <s v="NO1_A1"/>
    <x v="7"/>
    <x v="124"/>
    <x v="0"/>
    <x v="1"/>
    <n v="160"/>
    <n v="58400"/>
    <n v="210240"/>
  </r>
  <r>
    <x v="0"/>
    <x v="0"/>
    <x v="0"/>
    <x v="7"/>
    <x v="11"/>
    <s v="NO1_A1"/>
    <x v="7"/>
    <x v="124"/>
    <x v="0"/>
    <x v="2"/>
    <n v="160"/>
    <n v="58400"/>
    <n v="210240"/>
  </r>
  <r>
    <x v="0"/>
    <x v="0"/>
    <x v="0"/>
    <x v="7"/>
    <x v="11"/>
    <s v="NO1_A1"/>
    <x v="7"/>
    <x v="124"/>
    <x v="0"/>
    <x v="9"/>
    <n v="160"/>
    <n v="58400"/>
    <n v="210240"/>
  </r>
  <r>
    <x v="0"/>
    <x v="0"/>
    <x v="0"/>
    <x v="7"/>
    <x v="11"/>
    <s v="NO1_A1"/>
    <x v="7"/>
    <x v="124"/>
    <x v="0"/>
    <x v="10"/>
    <n v="160"/>
    <n v="58400"/>
    <n v="210240"/>
  </r>
  <r>
    <x v="0"/>
    <x v="0"/>
    <x v="0"/>
    <x v="7"/>
    <x v="11"/>
    <s v="NO1_A1"/>
    <x v="7"/>
    <x v="124"/>
    <x v="0"/>
    <x v="11"/>
    <n v="160"/>
    <n v="58400"/>
    <n v="210240"/>
  </r>
  <r>
    <x v="0"/>
    <x v="0"/>
    <x v="0"/>
    <x v="7"/>
    <x v="11"/>
    <s v="NO1_A1"/>
    <x v="7"/>
    <x v="124"/>
    <x v="0"/>
    <x v="12"/>
    <n v="160"/>
    <n v="58400"/>
    <n v="210240"/>
  </r>
  <r>
    <x v="0"/>
    <x v="0"/>
    <x v="0"/>
    <x v="7"/>
    <x v="11"/>
    <s v="NO1_A1"/>
    <x v="7"/>
    <x v="124"/>
    <x v="0"/>
    <x v="13"/>
    <n v="160"/>
    <n v="58400"/>
    <n v="210240"/>
  </r>
  <r>
    <x v="0"/>
    <x v="0"/>
    <x v="0"/>
    <x v="7"/>
    <x v="11"/>
    <s v="NO1_A1"/>
    <x v="7"/>
    <x v="124"/>
    <x v="0"/>
    <x v="14"/>
    <n v="160"/>
    <n v="58400"/>
    <n v="210240"/>
  </r>
  <r>
    <x v="0"/>
    <x v="0"/>
    <x v="0"/>
    <x v="7"/>
    <x v="11"/>
    <s v="NO1_A1"/>
    <x v="7"/>
    <x v="124"/>
    <x v="0"/>
    <x v="15"/>
    <n v="160"/>
    <n v="58400"/>
    <n v="210240"/>
  </r>
  <r>
    <x v="0"/>
    <x v="0"/>
    <x v="0"/>
    <x v="7"/>
    <x v="11"/>
    <s v="NO1_A1"/>
    <x v="7"/>
    <x v="124"/>
    <x v="0"/>
    <x v="16"/>
    <n v="160"/>
    <n v="58400"/>
    <n v="210240"/>
  </r>
  <r>
    <x v="0"/>
    <x v="0"/>
    <x v="0"/>
    <x v="7"/>
    <x v="11"/>
    <s v="NO1_A1"/>
    <x v="7"/>
    <x v="124"/>
    <x v="0"/>
    <x v="17"/>
    <n v="160"/>
    <n v="58400"/>
    <n v="210240"/>
  </r>
  <r>
    <x v="0"/>
    <x v="0"/>
    <x v="0"/>
    <x v="7"/>
    <x v="11"/>
    <s v="NO1_A1"/>
    <x v="7"/>
    <x v="124"/>
    <x v="0"/>
    <x v="18"/>
    <n v="160"/>
    <n v="58400"/>
    <n v="210240"/>
  </r>
  <r>
    <x v="0"/>
    <x v="0"/>
    <x v="0"/>
    <x v="7"/>
    <x v="11"/>
    <s v="NO1_A1"/>
    <x v="7"/>
    <x v="124"/>
    <x v="0"/>
    <x v="19"/>
    <n v="160"/>
    <n v="58400"/>
    <n v="210240"/>
  </r>
  <r>
    <x v="0"/>
    <x v="0"/>
    <x v="0"/>
    <x v="7"/>
    <x v="11"/>
    <s v="NO1_A1"/>
    <x v="7"/>
    <x v="124"/>
    <x v="0"/>
    <x v="20"/>
    <n v="160"/>
    <n v="58400"/>
    <n v="210240"/>
  </r>
  <r>
    <x v="0"/>
    <x v="0"/>
    <x v="0"/>
    <x v="7"/>
    <x v="11"/>
    <s v="NO1_A1"/>
    <x v="7"/>
    <x v="125"/>
    <x v="0"/>
    <x v="0"/>
    <n v="160"/>
    <n v="58400"/>
    <n v="210240"/>
  </r>
  <r>
    <x v="0"/>
    <x v="0"/>
    <x v="0"/>
    <x v="7"/>
    <x v="11"/>
    <s v="NO1_A1"/>
    <x v="7"/>
    <x v="125"/>
    <x v="0"/>
    <x v="1"/>
    <n v="160"/>
    <n v="58400"/>
    <n v="210240"/>
  </r>
  <r>
    <x v="0"/>
    <x v="0"/>
    <x v="0"/>
    <x v="7"/>
    <x v="11"/>
    <s v="NO1_A1"/>
    <x v="7"/>
    <x v="125"/>
    <x v="0"/>
    <x v="2"/>
    <n v="160"/>
    <n v="58400"/>
    <n v="210240"/>
  </r>
  <r>
    <x v="0"/>
    <x v="0"/>
    <x v="0"/>
    <x v="7"/>
    <x v="11"/>
    <s v="NO1_A1"/>
    <x v="7"/>
    <x v="125"/>
    <x v="0"/>
    <x v="9"/>
    <n v="160"/>
    <n v="58400"/>
    <n v="210240"/>
  </r>
  <r>
    <x v="0"/>
    <x v="0"/>
    <x v="0"/>
    <x v="7"/>
    <x v="11"/>
    <s v="NO1_A1"/>
    <x v="7"/>
    <x v="125"/>
    <x v="0"/>
    <x v="10"/>
    <n v="160"/>
    <n v="58400"/>
    <n v="210240"/>
  </r>
  <r>
    <x v="0"/>
    <x v="0"/>
    <x v="0"/>
    <x v="7"/>
    <x v="11"/>
    <s v="NO1_A1"/>
    <x v="7"/>
    <x v="125"/>
    <x v="0"/>
    <x v="11"/>
    <n v="160"/>
    <n v="58400"/>
    <n v="210240"/>
  </r>
  <r>
    <x v="0"/>
    <x v="0"/>
    <x v="0"/>
    <x v="7"/>
    <x v="11"/>
    <s v="NO1_A1"/>
    <x v="7"/>
    <x v="125"/>
    <x v="0"/>
    <x v="12"/>
    <n v="160"/>
    <n v="58400"/>
    <n v="210240"/>
  </r>
  <r>
    <x v="0"/>
    <x v="0"/>
    <x v="0"/>
    <x v="7"/>
    <x v="11"/>
    <s v="NO1_A1"/>
    <x v="7"/>
    <x v="125"/>
    <x v="0"/>
    <x v="13"/>
    <n v="160"/>
    <n v="58400"/>
    <n v="210240"/>
  </r>
  <r>
    <x v="0"/>
    <x v="0"/>
    <x v="0"/>
    <x v="7"/>
    <x v="11"/>
    <s v="NO1_A1"/>
    <x v="7"/>
    <x v="125"/>
    <x v="0"/>
    <x v="14"/>
    <n v="160"/>
    <n v="58400"/>
    <n v="210240"/>
  </r>
  <r>
    <x v="0"/>
    <x v="0"/>
    <x v="0"/>
    <x v="7"/>
    <x v="11"/>
    <s v="NO1_A1"/>
    <x v="7"/>
    <x v="125"/>
    <x v="0"/>
    <x v="15"/>
    <n v="160"/>
    <n v="58400"/>
    <n v="210240"/>
  </r>
  <r>
    <x v="0"/>
    <x v="0"/>
    <x v="0"/>
    <x v="7"/>
    <x v="11"/>
    <s v="NO1_A1"/>
    <x v="7"/>
    <x v="125"/>
    <x v="0"/>
    <x v="16"/>
    <n v="160"/>
    <n v="58400"/>
    <n v="210240"/>
  </r>
  <r>
    <x v="0"/>
    <x v="0"/>
    <x v="0"/>
    <x v="7"/>
    <x v="11"/>
    <s v="NO1_A1"/>
    <x v="7"/>
    <x v="125"/>
    <x v="0"/>
    <x v="17"/>
    <n v="160"/>
    <n v="58400"/>
    <n v="210240"/>
  </r>
  <r>
    <x v="0"/>
    <x v="0"/>
    <x v="0"/>
    <x v="7"/>
    <x v="11"/>
    <s v="NO1_A1"/>
    <x v="7"/>
    <x v="125"/>
    <x v="0"/>
    <x v="18"/>
    <n v="160"/>
    <n v="58400"/>
    <n v="210240"/>
  </r>
  <r>
    <x v="0"/>
    <x v="0"/>
    <x v="0"/>
    <x v="7"/>
    <x v="11"/>
    <s v="NO1_A1"/>
    <x v="7"/>
    <x v="125"/>
    <x v="0"/>
    <x v="19"/>
    <n v="160"/>
    <n v="58400"/>
    <n v="210240"/>
  </r>
  <r>
    <x v="0"/>
    <x v="0"/>
    <x v="0"/>
    <x v="7"/>
    <x v="11"/>
    <s v="NO1_A1"/>
    <x v="7"/>
    <x v="126"/>
    <x v="0"/>
    <x v="1"/>
    <n v="160"/>
    <n v="58400"/>
    <n v="210240"/>
  </r>
  <r>
    <x v="0"/>
    <x v="0"/>
    <x v="0"/>
    <x v="7"/>
    <x v="11"/>
    <s v="NO1_A1"/>
    <x v="7"/>
    <x v="126"/>
    <x v="0"/>
    <x v="2"/>
    <n v="160"/>
    <n v="58400"/>
    <n v="210240"/>
  </r>
  <r>
    <x v="0"/>
    <x v="0"/>
    <x v="0"/>
    <x v="7"/>
    <x v="11"/>
    <s v="NO1_A1"/>
    <x v="7"/>
    <x v="126"/>
    <x v="0"/>
    <x v="9"/>
    <n v="160"/>
    <n v="58400"/>
    <n v="210240"/>
  </r>
  <r>
    <x v="0"/>
    <x v="0"/>
    <x v="0"/>
    <x v="7"/>
    <x v="11"/>
    <s v="NO1_A1"/>
    <x v="7"/>
    <x v="126"/>
    <x v="0"/>
    <x v="10"/>
    <n v="160"/>
    <n v="58400"/>
    <n v="210240"/>
  </r>
  <r>
    <x v="0"/>
    <x v="0"/>
    <x v="0"/>
    <x v="7"/>
    <x v="11"/>
    <s v="NO1_A1"/>
    <x v="7"/>
    <x v="126"/>
    <x v="0"/>
    <x v="11"/>
    <n v="160"/>
    <n v="58400"/>
    <n v="210240"/>
  </r>
  <r>
    <x v="0"/>
    <x v="0"/>
    <x v="0"/>
    <x v="7"/>
    <x v="11"/>
    <s v="NO1_A1"/>
    <x v="7"/>
    <x v="126"/>
    <x v="0"/>
    <x v="14"/>
    <n v="4.6946595999291496"/>
    <n v="1713.55075397414"/>
    <n v="6168.7827143069098"/>
  </r>
  <r>
    <x v="0"/>
    <x v="0"/>
    <x v="0"/>
    <x v="7"/>
    <x v="11"/>
    <s v="NO1_A1"/>
    <x v="7"/>
    <x v="126"/>
    <x v="0"/>
    <x v="16"/>
    <n v="160"/>
    <n v="58400"/>
    <n v="210240"/>
  </r>
  <r>
    <x v="0"/>
    <x v="0"/>
    <x v="0"/>
    <x v="7"/>
    <x v="11"/>
    <s v="NO1_A1"/>
    <x v="7"/>
    <x v="126"/>
    <x v="0"/>
    <x v="17"/>
    <n v="160"/>
    <n v="58400"/>
    <n v="210240"/>
  </r>
  <r>
    <x v="0"/>
    <x v="0"/>
    <x v="0"/>
    <x v="7"/>
    <x v="11"/>
    <s v="NO1_A1"/>
    <x v="7"/>
    <x v="127"/>
    <x v="0"/>
    <x v="1"/>
    <n v="160"/>
    <n v="58400"/>
    <n v="210240"/>
  </r>
  <r>
    <x v="0"/>
    <x v="0"/>
    <x v="0"/>
    <x v="7"/>
    <x v="11"/>
    <s v="NO1_A1"/>
    <x v="7"/>
    <x v="127"/>
    <x v="0"/>
    <x v="2"/>
    <n v="160"/>
    <n v="58400"/>
    <n v="210240"/>
  </r>
  <r>
    <x v="0"/>
    <x v="0"/>
    <x v="0"/>
    <x v="7"/>
    <x v="11"/>
    <s v="NO1_A1"/>
    <x v="7"/>
    <x v="127"/>
    <x v="0"/>
    <x v="9"/>
    <n v="160"/>
    <n v="58400"/>
    <n v="210240"/>
  </r>
  <r>
    <x v="0"/>
    <x v="0"/>
    <x v="0"/>
    <x v="7"/>
    <x v="11"/>
    <s v="NO1_A1"/>
    <x v="7"/>
    <x v="127"/>
    <x v="0"/>
    <x v="10"/>
    <n v="160"/>
    <n v="58400"/>
    <n v="210240"/>
  </r>
  <r>
    <x v="0"/>
    <x v="0"/>
    <x v="0"/>
    <x v="7"/>
    <x v="11"/>
    <s v="NO1_A1"/>
    <x v="7"/>
    <x v="46"/>
    <x v="0"/>
    <x v="3"/>
    <n v="938.44564324685803"/>
    <n v="342532.65978510299"/>
    <n v="1233117.57522637"/>
  </r>
  <r>
    <x v="0"/>
    <x v="0"/>
    <x v="0"/>
    <x v="7"/>
    <x v="11"/>
    <s v="NO1_A1"/>
    <x v="7"/>
    <x v="46"/>
    <x v="0"/>
    <x v="4"/>
    <n v="938.44564324685803"/>
    <n v="342532.65978510299"/>
    <n v="1233117.57522637"/>
  </r>
  <r>
    <x v="0"/>
    <x v="0"/>
    <x v="0"/>
    <x v="7"/>
    <x v="11"/>
    <s v="NO1_A1"/>
    <x v="7"/>
    <x v="46"/>
    <x v="0"/>
    <x v="5"/>
    <n v="938.44564324685803"/>
    <n v="342532.65978510299"/>
    <n v="1233117.57522637"/>
  </r>
  <r>
    <x v="0"/>
    <x v="0"/>
    <x v="0"/>
    <x v="7"/>
    <x v="11"/>
    <s v="NO1_A1"/>
    <x v="7"/>
    <x v="46"/>
    <x v="0"/>
    <x v="6"/>
    <n v="938.44564324685803"/>
    <n v="342532.65978510299"/>
    <n v="1233117.57522637"/>
  </r>
  <r>
    <x v="0"/>
    <x v="0"/>
    <x v="0"/>
    <x v="7"/>
    <x v="11"/>
    <s v="NO1_A1"/>
    <x v="7"/>
    <x v="46"/>
    <x v="0"/>
    <x v="7"/>
    <n v="938.44564324685803"/>
    <n v="342532.65978510299"/>
    <n v="1233117.57522637"/>
  </r>
  <r>
    <x v="0"/>
    <x v="0"/>
    <x v="0"/>
    <x v="7"/>
    <x v="11"/>
    <s v="NO1_A1"/>
    <x v="7"/>
    <x v="46"/>
    <x v="0"/>
    <x v="8"/>
    <n v="938.44564324685803"/>
    <n v="342532.65978510299"/>
    <n v="1233117.57522637"/>
  </r>
  <r>
    <x v="0"/>
    <x v="0"/>
    <x v="0"/>
    <x v="7"/>
    <x v="11"/>
    <s v="NO1_A1"/>
    <x v="7"/>
    <x v="46"/>
    <x v="0"/>
    <x v="0"/>
    <n v="938.44564324685803"/>
    <n v="342532.65978510299"/>
    <n v="1233117.57522637"/>
  </r>
  <r>
    <x v="0"/>
    <x v="0"/>
    <x v="0"/>
    <x v="7"/>
    <x v="11"/>
    <s v="NO1_A1"/>
    <x v="7"/>
    <x v="46"/>
    <x v="0"/>
    <x v="1"/>
    <n v="938.44564324685803"/>
    <n v="342532.65978510299"/>
    <n v="1233117.57522637"/>
  </r>
  <r>
    <x v="0"/>
    <x v="0"/>
    <x v="0"/>
    <x v="7"/>
    <x v="11"/>
    <s v="NO1_A1"/>
    <x v="7"/>
    <x v="46"/>
    <x v="0"/>
    <x v="2"/>
    <n v="938.44564324685803"/>
    <n v="342532.65978510299"/>
    <n v="1233117.57522637"/>
  </r>
  <r>
    <x v="0"/>
    <x v="0"/>
    <x v="0"/>
    <x v="7"/>
    <x v="11"/>
    <s v="NO1_A1"/>
    <x v="7"/>
    <x v="46"/>
    <x v="0"/>
    <x v="9"/>
    <n v="938.44564324685803"/>
    <n v="342532.65978510299"/>
    <n v="1233117.57522637"/>
  </r>
  <r>
    <x v="0"/>
    <x v="0"/>
    <x v="0"/>
    <x v="7"/>
    <x v="11"/>
    <s v="NO1_A1"/>
    <x v="7"/>
    <x v="46"/>
    <x v="0"/>
    <x v="10"/>
    <n v="938.44564324685803"/>
    <n v="342532.65978510299"/>
    <n v="1233117.57522637"/>
  </r>
  <r>
    <x v="0"/>
    <x v="0"/>
    <x v="0"/>
    <x v="7"/>
    <x v="11"/>
    <s v="NO1_A1"/>
    <x v="7"/>
    <x v="46"/>
    <x v="0"/>
    <x v="11"/>
    <n v="938.44564324685803"/>
    <n v="342532.65978510299"/>
    <n v="1233117.57522637"/>
  </r>
  <r>
    <x v="0"/>
    <x v="0"/>
    <x v="0"/>
    <x v="7"/>
    <x v="11"/>
    <s v="NO1_A1"/>
    <x v="7"/>
    <x v="46"/>
    <x v="0"/>
    <x v="12"/>
    <n v="938.44564324685803"/>
    <n v="342532.65978510299"/>
    <n v="1233117.57522637"/>
  </r>
  <r>
    <x v="0"/>
    <x v="0"/>
    <x v="0"/>
    <x v="7"/>
    <x v="11"/>
    <s v="NO1_A1"/>
    <x v="7"/>
    <x v="46"/>
    <x v="0"/>
    <x v="13"/>
    <n v="938.44564324685803"/>
    <n v="342532.65978510299"/>
    <n v="1233117.57522637"/>
  </r>
  <r>
    <x v="0"/>
    <x v="0"/>
    <x v="0"/>
    <x v="7"/>
    <x v="11"/>
    <s v="NO1_A1"/>
    <x v="7"/>
    <x v="46"/>
    <x v="0"/>
    <x v="14"/>
    <n v="938.44564324685803"/>
    <n v="342532.65978510299"/>
    <n v="1233117.57522637"/>
  </r>
  <r>
    <x v="0"/>
    <x v="0"/>
    <x v="0"/>
    <x v="7"/>
    <x v="11"/>
    <s v="NO1_A1"/>
    <x v="7"/>
    <x v="46"/>
    <x v="0"/>
    <x v="15"/>
    <n v="938.44564324685803"/>
    <n v="342532.65978510299"/>
    <n v="1233117.57522637"/>
  </r>
  <r>
    <x v="0"/>
    <x v="0"/>
    <x v="0"/>
    <x v="7"/>
    <x v="11"/>
    <s v="NO1_A1"/>
    <x v="7"/>
    <x v="46"/>
    <x v="0"/>
    <x v="16"/>
    <n v="938.44564324685803"/>
    <n v="342532.65978510299"/>
    <n v="1233117.57522637"/>
  </r>
  <r>
    <x v="0"/>
    <x v="0"/>
    <x v="0"/>
    <x v="7"/>
    <x v="11"/>
    <s v="NO1_A1"/>
    <x v="7"/>
    <x v="46"/>
    <x v="0"/>
    <x v="17"/>
    <n v="938.44564324685803"/>
    <n v="342532.65978510299"/>
    <n v="1233117.57522637"/>
  </r>
  <r>
    <x v="0"/>
    <x v="0"/>
    <x v="0"/>
    <x v="7"/>
    <x v="11"/>
    <s v="NO1_A1"/>
    <x v="7"/>
    <x v="46"/>
    <x v="0"/>
    <x v="18"/>
    <n v="938.44564324685803"/>
    <n v="342532.65978510299"/>
    <n v="1233117.57522637"/>
  </r>
  <r>
    <x v="0"/>
    <x v="0"/>
    <x v="0"/>
    <x v="7"/>
    <x v="11"/>
    <s v="NO1_A1"/>
    <x v="7"/>
    <x v="46"/>
    <x v="0"/>
    <x v="19"/>
    <n v="938.44564324685803"/>
    <n v="342532.65978510299"/>
    <n v="1233117.57522637"/>
  </r>
  <r>
    <x v="0"/>
    <x v="0"/>
    <x v="0"/>
    <x v="7"/>
    <x v="11"/>
    <s v="NO1_A1"/>
    <x v="7"/>
    <x v="46"/>
    <x v="0"/>
    <x v="20"/>
    <n v="938.44564324685803"/>
    <n v="342532.65978510299"/>
    <n v="1233117.57522637"/>
  </r>
  <r>
    <x v="0"/>
    <x v="0"/>
    <x v="0"/>
    <x v="7"/>
    <x v="11"/>
    <s v="NO1_A1"/>
    <x v="7"/>
    <x v="46"/>
    <x v="0"/>
    <x v="21"/>
    <n v="938.44564324685803"/>
    <n v="342532.65978510299"/>
    <n v="1233117.57522637"/>
  </r>
  <r>
    <x v="0"/>
    <x v="0"/>
    <x v="0"/>
    <x v="7"/>
    <x v="11"/>
    <s v="NO1_A1"/>
    <x v="7"/>
    <x v="46"/>
    <x v="0"/>
    <x v="22"/>
    <n v="938.44564324685803"/>
    <n v="342532.65978510299"/>
    <n v="1233117.57522637"/>
  </r>
  <r>
    <x v="0"/>
    <x v="0"/>
    <x v="0"/>
    <x v="7"/>
    <x v="11"/>
    <s v="NO1_A1"/>
    <x v="7"/>
    <x v="46"/>
    <x v="0"/>
    <x v="23"/>
    <n v="938.44564324685803"/>
    <n v="342532.65978510299"/>
    <n v="1233117.57522637"/>
  </r>
  <r>
    <x v="0"/>
    <x v="0"/>
    <x v="0"/>
    <x v="7"/>
    <x v="11"/>
    <s v="NO1_A1"/>
    <x v="10"/>
    <x v="111"/>
    <x v="0"/>
    <x v="3"/>
    <n v="62.352941176470601"/>
    <n v="22758.823529411799"/>
    <n v="81931.764705882393"/>
  </r>
  <r>
    <x v="0"/>
    <x v="0"/>
    <x v="0"/>
    <x v="7"/>
    <x v="11"/>
    <s v="NO1_A1"/>
    <x v="10"/>
    <x v="111"/>
    <x v="0"/>
    <x v="4"/>
    <n v="62.352941176470601"/>
    <n v="22758.823529411799"/>
    <n v="81931.764705882393"/>
  </r>
  <r>
    <x v="0"/>
    <x v="0"/>
    <x v="0"/>
    <x v="7"/>
    <x v="11"/>
    <s v="NO1_A1"/>
    <x v="10"/>
    <x v="111"/>
    <x v="0"/>
    <x v="5"/>
    <n v="62.352941176470601"/>
    <n v="22758.823529411799"/>
    <n v="81931.764705882393"/>
  </r>
  <r>
    <x v="0"/>
    <x v="0"/>
    <x v="0"/>
    <x v="7"/>
    <x v="11"/>
    <s v="NO1_A1"/>
    <x v="10"/>
    <x v="111"/>
    <x v="0"/>
    <x v="6"/>
    <n v="62.352941176470601"/>
    <n v="22758.823529411799"/>
    <n v="81931.764705882393"/>
  </r>
  <r>
    <x v="0"/>
    <x v="0"/>
    <x v="0"/>
    <x v="7"/>
    <x v="11"/>
    <s v="NO1_A1"/>
    <x v="10"/>
    <x v="111"/>
    <x v="0"/>
    <x v="7"/>
    <n v="62.352941176470601"/>
    <n v="22758.823529411799"/>
    <n v="81931.764705882393"/>
  </r>
  <r>
    <x v="0"/>
    <x v="0"/>
    <x v="0"/>
    <x v="7"/>
    <x v="11"/>
    <s v="NO1_A1"/>
    <x v="10"/>
    <x v="111"/>
    <x v="0"/>
    <x v="8"/>
    <n v="62.352941176470601"/>
    <n v="22758.823529411799"/>
    <n v="81931.764705882393"/>
  </r>
  <r>
    <x v="0"/>
    <x v="0"/>
    <x v="0"/>
    <x v="7"/>
    <x v="11"/>
    <s v="NO1_A1"/>
    <x v="10"/>
    <x v="111"/>
    <x v="0"/>
    <x v="0"/>
    <n v="62.352941176470601"/>
    <n v="22758.823529411799"/>
    <n v="81931.764705882393"/>
  </r>
  <r>
    <x v="0"/>
    <x v="0"/>
    <x v="0"/>
    <x v="7"/>
    <x v="11"/>
    <s v="NO1_A1"/>
    <x v="10"/>
    <x v="111"/>
    <x v="0"/>
    <x v="1"/>
    <n v="62.352941176470601"/>
    <n v="22758.823529411799"/>
    <n v="81931.764705882393"/>
  </r>
  <r>
    <x v="0"/>
    <x v="0"/>
    <x v="0"/>
    <x v="7"/>
    <x v="11"/>
    <s v="NO1_A1"/>
    <x v="10"/>
    <x v="111"/>
    <x v="0"/>
    <x v="2"/>
    <n v="62.352941176470601"/>
    <n v="22758.823529411799"/>
    <n v="81931.764705882393"/>
  </r>
  <r>
    <x v="0"/>
    <x v="0"/>
    <x v="0"/>
    <x v="7"/>
    <x v="11"/>
    <s v="NO1_A1"/>
    <x v="10"/>
    <x v="111"/>
    <x v="0"/>
    <x v="9"/>
    <n v="62.352941176470601"/>
    <n v="22758.823529411799"/>
    <n v="81931.764705882393"/>
  </r>
  <r>
    <x v="0"/>
    <x v="0"/>
    <x v="0"/>
    <x v="7"/>
    <x v="11"/>
    <s v="NO1_A1"/>
    <x v="10"/>
    <x v="111"/>
    <x v="0"/>
    <x v="10"/>
    <n v="62.352941176470601"/>
    <n v="22758.823529411799"/>
    <n v="81931.764705882393"/>
  </r>
  <r>
    <x v="0"/>
    <x v="0"/>
    <x v="0"/>
    <x v="7"/>
    <x v="11"/>
    <s v="NO1_A1"/>
    <x v="10"/>
    <x v="111"/>
    <x v="0"/>
    <x v="11"/>
    <n v="62.352941176470601"/>
    <n v="22758.823529411799"/>
    <n v="81931.764705882393"/>
  </r>
  <r>
    <x v="0"/>
    <x v="0"/>
    <x v="0"/>
    <x v="7"/>
    <x v="11"/>
    <s v="NO1_A1"/>
    <x v="10"/>
    <x v="111"/>
    <x v="0"/>
    <x v="12"/>
    <n v="62.352941176470601"/>
    <n v="22758.823529411799"/>
    <n v="81931.764705882393"/>
  </r>
  <r>
    <x v="0"/>
    <x v="0"/>
    <x v="0"/>
    <x v="7"/>
    <x v="11"/>
    <s v="NO1_A1"/>
    <x v="10"/>
    <x v="111"/>
    <x v="0"/>
    <x v="13"/>
    <n v="62.352941176470601"/>
    <n v="22758.823529411799"/>
    <n v="81931.764705882393"/>
  </r>
  <r>
    <x v="0"/>
    <x v="0"/>
    <x v="0"/>
    <x v="7"/>
    <x v="11"/>
    <s v="NO1_A1"/>
    <x v="10"/>
    <x v="111"/>
    <x v="0"/>
    <x v="14"/>
    <n v="62.352941176470601"/>
    <n v="22758.823529411799"/>
    <n v="81931.764705882393"/>
  </r>
  <r>
    <x v="0"/>
    <x v="0"/>
    <x v="0"/>
    <x v="7"/>
    <x v="11"/>
    <s v="NO1_A1"/>
    <x v="10"/>
    <x v="111"/>
    <x v="0"/>
    <x v="15"/>
    <n v="57.1147818820412"/>
    <n v="20846.895386945002"/>
    <n v="75048.823393002196"/>
  </r>
  <r>
    <x v="0"/>
    <x v="0"/>
    <x v="0"/>
    <x v="7"/>
    <x v="11"/>
    <s v="NO1_A1"/>
    <x v="10"/>
    <x v="111"/>
    <x v="0"/>
    <x v="16"/>
    <n v="49.108287049401703"/>
    <n v="17924.5247730316"/>
    <n v="64528.289182913803"/>
  </r>
  <r>
    <x v="0"/>
    <x v="0"/>
    <x v="0"/>
    <x v="7"/>
    <x v="11"/>
    <s v="NO1_A1"/>
    <x v="10"/>
    <x v="111"/>
    <x v="0"/>
    <x v="17"/>
    <n v="43.1349573562104"/>
    <n v="15744.2594350168"/>
    <n v="56679.333966060498"/>
  </r>
  <r>
    <x v="0"/>
    <x v="0"/>
    <x v="0"/>
    <x v="7"/>
    <x v="11"/>
    <s v="NO1_A1"/>
    <x v="10"/>
    <x v="111"/>
    <x v="0"/>
    <x v="18"/>
    <n v="39.008089915462598"/>
    <n v="14237.9528191439"/>
    <n v="51256.630148917902"/>
  </r>
  <r>
    <x v="0"/>
    <x v="0"/>
    <x v="0"/>
    <x v="7"/>
    <x v="11"/>
    <s v="NO1_A1"/>
    <x v="10"/>
    <x v="111"/>
    <x v="0"/>
    <x v="19"/>
    <n v="34.357385077208598"/>
    <n v="12540.4455531811"/>
    <n v="45145.603991452102"/>
  </r>
  <r>
    <x v="0"/>
    <x v="0"/>
    <x v="0"/>
    <x v="7"/>
    <x v="11"/>
    <s v="NO1_A1"/>
    <x v="10"/>
    <x v="111"/>
    <x v="0"/>
    <x v="20"/>
    <n v="62.352941176470601"/>
    <n v="22758.823529411799"/>
    <n v="81931.764705882393"/>
  </r>
  <r>
    <x v="0"/>
    <x v="0"/>
    <x v="0"/>
    <x v="7"/>
    <x v="11"/>
    <s v="NO1_A1"/>
    <x v="10"/>
    <x v="111"/>
    <x v="0"/>
    <x v="21"/>
    <n v="55.905165360223698"/>
    <n v="20405.3853564817"/>
    <n v="73459.387283333999"/>
  </r>
  <r>
    <x v="0"/>
    <x v="0"/>
    <x v="0"/>
    <x v="7"/>
    <x v="11"/>
    <s v="NO1_A1"/>
    <x v="10"/>
    <x v="111"/>
    <x v="0"/>
    <x v="22"/>
    <n v="17.289021927922398"/>
    <n v="6310.4930036916903"/>
    <n v="22717.7748132901"/>
  </r>
  <r>
    <x v="0"/>
    <x v="0"/>
    <x v="0"/>
    <x v="7"/>
    <x v="11"/>
    <s v="NO1_A1"/>
    <x v="10"/>
    <x v="111"/>
    <x v="0"/>
    <x v="23"/>
    <n v="62.352941176470601"/>
    <n v="22758.823529411799"/>
    <n v="81931.764705882393"/>
  </r>
  <r>
    <x v="0"/>
    <x v="0"/>
    <x v="0"/>
    <x v="7"/>
    <x v="11"/>
    <s v="NO1_A2"/>
    <x v="21"/>
    <x v="206"/>
    <x v="0"/>
    <x v="3"/>
    <n v="117.64705882352899"/>
    <n v="42941.176470588201"/>
    <n v="154588.235294118"/>
  </r>
  <r>
    <x v="0"/>
    <x v="0"/>
    <x v="0"/>
    <x v="7"/>
    <x v="11"/>
    <s v="NO1_A2"/>
    <x v="21"/>
    <x v="206"/>
    <x v="0"/>
    <x v="4"/>
    <n v="117.64705882352899"/>
    <n v="42941.176470588201"/>
    <n v="154588.235294118"/>
  </r>
  <r>
    <x v="0"/>
    <x v="0"/>
    <x v="0"/>
    <x v="7"/>
    <x v="11"/>
    <s v="NO1_A2"/>
    <x v="21"/>
    <x v="206"/>
    <x v="0"/>
    <x v="5"/>
    <n v="117.64705882352899"/>
    <n v="42941.176470588201"/>
    <n v="154588.235294118"/>
  </r>
  <r>
    <x v="0"/>
    <x v="0"/>
    <x v="0"/>
    <x v="7"/>
    <x v="11"/>
    <s v="NO1_A2"/>
    <x v="21"/>
    <x v="206"/>
    <x v="0"/>
    <x v="6"/>
    <n v="117.64705882352899"/>
    <n v="42941.176470588201"/>
    <n v="154588.235294118"/>
  </r>
  <r>
    <x v="0"/>
    <x v="0"/>
    <x v="0"/>
    <x v="7"/>
    <x v="11"/>
    <s v="NO1_A2"/>
    <x v="21"/>
    <x v="206"/>
    <x v="0"/>
    <x v="7"/>
    <n v="117.64705882352899"/>
    <n v="42941.176470588201"/>
    <n v="154588.235294118"/>
  </r>
  <r>
    <x v="0"/>
    <x v="0"/>
    <x v="0"/>
    <x v="7"/>
    <x v="11"/>
    <s v="NO1_A2"/>
    <x v="21"/>
    <x v="206"/>
    <x v="0"/>
    <x v="8"/>
    <n v="117.64705882352899"/>
    <n v="42941.176470588201"/>
    <n v="154588.235294118"/>
  </r>
  <r>
    <x v="0"/>
    <x v="0"/>
    <x v="0"/>
    <x v="7"/>
    <x v="11"/>
    <s v="NO1_A2"/>
    <x v="21"/>
    <x v="206"/>
    <x v="0"/>
    <x v="0"/>
    <n v="117.64705882352899"/>
    <n v="42941.176470588201"/>
    <n v="154588.235294118"/>
  </r>
  <r>
    <x v="0"/>
    <x v="0"/>
    <x v="0"/>
    <x v="7"/>
    <x v="11"/>
    <s v="NO1_A2"/>
    <x v="21"/>
    <x v="206"/>
    <x v="0"/>
    <x v="1"/>
    <n v="117.64705882352899"/>
    <n v="42941.176470588201"/>
    <n v="154588.235294118"/>
  </r>
  <r>
    <x v="0"/>
    <x v="0"/>
    <x v="0"/>
    <x v="7"/>
    <x v="11"/>
    <s v="NO1_A2"/>
    <x v="21"/>
    <x v="206"/>
    <x v="0"/>
    <x v="2"/>
    <n v="117.64705882352899"/>
    <n v="42941.176470588201"/>
    <n v="154588.235294118"/>
  </r>
  <r>
    <x v="0"/>
    <x v="0"/>
    <x v="0"/>
    <x v="7"/>
    <x v="11"/>
    <s v="NO1_A2"/>
    <x v="21"/>
    <x v="206"/>
    <x v="0"/>
    <x v="9"/>
    <n v="117.64705882352899"/>
    <n v="42941.176470588201"/>
    <n v="154588.235294118"/>
  </r>
  <r>
    <x v="0"/>
    <x v="0"/>
    <x v="0"/>
    <x v="7"/>
    <x v="11"/>
    <s v="NO1_A2"/>
    <x v="21"/>
    <x v="206"/>
    <x v="0"/>
    <x v="10"/>
    <n v="117.64705882352899"/>
    <n v="42941.176470588201"/>
    <n v="154588.235294118"/>
  </r>
  <r>
    <x v="0"/>
    <x v="0"/>
    <x v="0"/>
    <x v="7"/>
    <x v="11"/>
    <s v="NO1_A2"/>
    <x v="21"/>
    <x v="206"/>
    <x v="0"/>
    <x v="11"/>
    <n v="117.64705882352899"/>
    <n v="42941.176470588201"/>
    <n v="154588.235294118"/>
  </r>
  <r>
    <x v="0"/>
    <x v="0"/>
    <x v="0"/>
    <x v="7"/>
    <x v="11"/>
    <s v="NO1_A2"/>
    <x v="21"/>
    <x v="206"/>
    <x v="0"/>
    <x v="12"/>
    <n v="117.64705882352899"/>
    <n v="42941.176470588201"/>
    <n v="154588.235294118"/>
  </r>
  <r>
    <x v="0"/>
    <x v="0"/>
    <x v="0"/>
    <x v="7"/>
    <x v="11"/>
    <s v="NO1_A2"/>
    <x v="21"/>
    <x v="206"/>
    <x v="0"/>
    <x v="13"/>
    <n v="117.64705882352899"/>
    <n v="42941.176470588201"/>
    <n v="154588.235294118"/>
  </r>
  <r>
    <x v="0"/>
    <x v="0"/>
    <x v="0"/>
    <x v="7"/>
    <x v="11"/>
    <s v="NO1_A2"/>
    <x v="21"/>
    <x v="206"/>
    <x v="0"/>
    <x v="14"/>
    <n v="117.64705882352899"/>
    <n v="42941.176470588201"/>
    <n v="154588.235294118"/>
  </r>
  <r>
    <x v="0"/>
    <x v="0"/>
    <x v="0"/>
    <x v="7"/>
    <x v="11"/>
    <s v="NO1_A2"/>
    <x v="21"/>
    <x v="206"/>
    <x v="0"/>
    <x v="15"/>
    <n v="117.64705882352899"/>
    <n v="42941.176470588201"/>
    <n v="154588.235294118"/>
  </r>
  <r>
    <x v="0"/>
    <x v="0"/>
    <x v="0"/>
    <x v="7"/>
    <x v="11"/>
    <s v="NO1_A2"/>
    <x v="21"/>
    <x v="206"/>
    <x v="0"/>
    <x v="16"/>
    <n v="117.64705882352899"/>
    <n v="42941.176470588201"/>
    <n v="154588.235294118"/>
  </r>
  <r>
    <x v="0"/>
    <x v="0"/>
    <x v="0"/>
    <x v="7"/>
    <x v="11"/>
    <s v="NO1_A2"/>
    <x v="21"/>
    <x v="206"/>
    <x v="0"/>
    <x v="17"/>
    <n v="117.64705882352899"/>
    <n v="42941.176470588201"/>
    <n v="154588.235294118"/>
  </r>
  <r>
    <x v="0"/>
    <x v="0"/>
    <x v="0"/>
    <x v="7"/>
    <x v="11"/>
    <s v="NO1_A2"/>
    <x v="21"/>
    <x v="206"/>
    <x v="0"/>
    <x v="18"/>
    <n v="117.64705882352899"/>
    <n v="42941.176470588201"/>
    <n v="154588.235294118"/>
  </r>
  <r>
    <x v="0"/>
    <x v="0"/>
    <x v="0"/>
    <x v="7"/>
    <x v="11"/>
    <s v="NO1_A2"/>
    <x v="21"/>
    <x v="206"/>
    <x v="0"/>
    <x v="19"/>
    <n v="117.64705882352899"/>
    <n v="42941.176470588201"/>
    <n v="154588.235294118"/>
  </r>
  <r>
    <x v="0"/>
    <x v="0"/>
    <x v="0"/>
    <x v="7"/>
    <x v="11"/>
    <s v="NO1_A2"/>
    <x v="21"/>
    <x v="206"/>
    <x v="0"/>
    <x v="20"/>
    <n v="117.64705882352899"/>
    <n v="42941.176470588201"/>
    <n v="154588.235294118"/>
  </r>
  <r>
    <x v="0"/>
    <x v="0"/>
    <x v="0"/>
    <x v="7"/>
    <x v="11"/>
    <s v="NO1_A2"/>
    <x v="21"/>
    <x v="206"/>
    <x v="0"/>
    <x v="21"/>
    <n v="117.64705882352899"/>
    <n v="42941.176470588201"/>
    <n v="154588.235294118"/>
  </r>
  <r>
    <x v="0"/>
    <x v="0"/>
    <x v="0"/>
    <x v="7"/>
    <x v="11"/>
    <s v="NO1_A2"/>
    <x v="21"/>
    <x v="206"/>
    <x v="0"/>
    <x v="22"/>
    <n v="117.64705882352899"/>
    <n v="42941.176470588201"/>
    <n v="154588.235294118"/>
  </r>
  <r>
    <x v="0"/>
    <x v="0"/>
    <x v="0"/>
    <x v="7"/>
    <x v="11"/>
    <s v="NO1_A2"/>
    <x v="21"/>
    <x v="206"/>
    <x v="0"/>
    <x v="23"/>
    <n v="117.64705882352899"/>
    <n v="42941.176470588201"/>
    <n v="154588.235294118"/>
  </r>
  <r>
    <x v="0"/>
    <x v="0"/>
    <x v="0"/>
    <x v="7"/>
    <x v="11"/>
    <s v="NO1_A2"/>
    <x v="1"/>
    <x v="207"/>
    <x v="0"/>
    <x v="3"/>
    <n v="52.086977299879898"/>
    <n v="19011.7467144562"/>
    <n v="68442.288172042201"/>
  </r>
  <r>
    <x v="0"/>
    <x v="0"/>
    <x v="0"/>
    <x v="7"/>
    <x v="11"/>
    <s v="NO1_A2"/>
    <x v="1"/>
    <x v="207"/>
    <x v="0"/>
    <x v="4"/>
    <n v="52.086977299879898"/>
    <n v="19011.7467144562"/>
    <n v="68442.288172042201"/>
  </r>
  <r>
    <x v="0"/>
    <x v="0"/>
    <x v="0"/>
    <x v="7"/>
    <x v="11"/>
    <s v="NO1_A2"/>
    <x v="1"/>
    <x v="207"/>
    <x v="0"/>
    <x v="5"/>
    <n v="52.086977299879898"/>
    <n v="19011.7467144562"/>
    <n v="68442.288172042201"/>
  </r>
  <r>
    <x v="0"/>
    <x v="0"/>
    <x v="0"/>
    <x v="7"/>
    <x v="11"/>
    <s v="NO1_A2"/>
    <x v="1"/>
    <x v="207"/>
    <x v="0"/>
    <x v="6"/>
    <n v="52.086977299879898"/>
    <n v="19011.7467144562"/>
    <n v="68442.288172042201"/>
  </r>
  <r>
    <x v="0"/>
    <x v="0"/>
    <x v="0"/>
    <x v="7"/>
    <x v="11"/>
    <s v="NO1_A2"/>
    <x v="1"/>
    <x v="207"/>
    <x v="0"/>
    <x v="7"/>
    <n v="52.086977299879898"/>
    <n v="19011.7467144562"/>
    <n v="68442.288172042201"/>
  </r>
  <r>
    <x v="0"/>
    <x v="0"/>
    <x v="0"/>
    <x v="7"/>
    <x v="11"/>
    <s v="NO1_A2"/>
    <x v="1"/>
    <x v="207"/>
    <x v="0"/>
    <x v="8"/>
    <n v="52.086977299879898"/>
    <n v="19011.7467144562"/>
    <n v="68442.288172042201"/>
  </r>
  <r>
    <x v="0"/>
    <x v="0"/>
    <x v="0"/>
    <x v="7"/>
    <x v="11"/>
    <s v="NO1_A2"/>
    <x v="1"/>
    <x v="207"/>
    <x v="0"/>
    <x v="0"/>
    <n v="52.086977299879898"/>
    <n v="19011.7467144562"/>
    <n v="68442.288172042201"/>
  </r>
  <r>
    <x v="0"/>
    <x v="0"/>
    <x v="0"/>
    <x v="7"/>
    <x v="11"/>
    <s v="NO1_A2"/>
    <x v="1"/>
    <x v="207"/>
    <x v="0"/>
    <x v="1"/>
    <n v="52.086977299879898"/>
    <n v="19011.7467144562"/>
    <n v="68442.288172042201"/>
  </r>
  <r>
    <x v="0"/>
    <x v="0"/>
    <x v="0"/>
    <x v="7"/>
    <x v="11"/>
    <s v="NO1_A2"/>
    <x v="1"/>
    <x v="207"/>
    <x v="0"/>
    <x v="2"/>
    <n v="52.086977299879898"/>
    <n v="19011.7467144562"/>
    <n v="68442.288172042201"/>
  </r>
  <r>
    <x v="0"/>
    <x v="0"/>
    <x v="0"/>
    <x v="7"/>
    <x v="11"/>
    <s v="NO1_A2"/>
    <x v="1"/>
    <x v="207"/>
    <x v="0"/>
    <x v="9"/>
    <n v="52.086977299879898"/>
    <n v="19011.7467144562"/>
    <n v="68442.288172042201"/>
  </r>
  <r>
    <x v="0"/>
    <x v="0"/>
    <x v="0"/>
    <x v="7"/>
    <x v="11"/>
    <s v="NO1_A2"/>
    <x v="1"/>
    <x v="207"/>
    <x v="0"/>
    <x v="10"/>
    <n v="52.086977299879898"/>
    <n v="19011.7467144562"/>
    <n v="68442.288172042201"/>
  </r>
  <r>
    <x v="0"/>
    <x v="0"/>
    <x v="0"/>
    <x v="7"/>
    <x v="11"/>
    <s v="NO1_A2"/>
    <x v="1"/>
    <x v="207"/>
    <x v="0"/>
    <x v="11"/>
    <n v="52.086977299879898"/>
    <n v="19011.7467144562"/>
    <n v="68442.288172042201"/>
  </r>
  <r>
    <x v="0"/>
    <x v="0"/>
    <x v="0"/>
    <x v="7"/>
    <x v="11"/>
    <s v="NO1_A2"/>
    <x v="1"/>
    <x v="207"/>
    <x v="0"/>
    <x v="12"/>
    <n v="52.086977299879898"/>
    <n v="19011.7467144562"/>
    <n v="68442.288172042201"/>
  </r>
  <r>
    <x v="0"/>
    <x v="0"/>
    <x v="0"/>
    <x v="7"/>
    <x v="11"/>
    <s v="NO1_A2"/>
    <x v="1"/>
    <x v="207"/>
    <x v="0"/>
    <x v="13"/>
    <n v="52.086977299879898"/>
    <n v="19011.7467144562"/>
    <n v="68442.288172042201"/>
  </r>
  <r>
    <x v="0"/>
    <x v="0"/>
    <x v="0"/>
    <x v="7"/>
    <x v="11"/>
    <s v="NO1_A2"/>
    <x v="1"/>
    <x v="207"/>
    <x v="0"/>
    <x v="14"/>
    <n v="52.086977299879898"/>
    <n v="19011.7467144562"/>
    <n v="68442.288172042201"/>
  </r>
  <r>
    <x v="0"/>
    <x v="0"/>
    <x v="0"/>
    <x v="7"/>
    <x v="11"/>
    <s v="NO1_A2"/>
    <x v="1"/>
    <x v="207"/>
    <x v="0"/>
    <x v="15"/>
    <n v="52.086977299879898"/>
    <n v="19011.7467144562"/>
    <n v="68442.288172042201"/>
  </r>
  <r>
    <x v="0"/>
    <x v="0"/>
    <x v="0"/>
    <x v="7"/>
    <x v="11"/>
    <s v="NO1_A2"/>
    <x v="1"/>
    <x v="207"/>
    <x v="0"/>
    <x v="16"/>
    <n v="52.086977299879898"/>
    <n v="19011.7467144562"/>
    <n v="68442.288172042201"/>
  </r>
  <r>
    <x v="0"/>
    <x v="0"/>
    <x v="0"/>
    <x v="7"/>
    <x v="11"/>
    <s v="NO1_A2"/>
    <x v="1"/>
    <x v="207"/>
    <x v="0"/>
    <x v="17"/>
    <n v="52.086977299879898"/>
    <n v="19011.7467144562"/>
    <n v="68442.288172042201"/>
  </r>
  <r>
    <x v="0"/>
    <x v="0"/>
    <x v="0"/>
    <x v="7"/>
    <x v="11"/>
    <s v="NO1_A2"/>
    <x v="1"/>
    <x v="207"/>
    <x v="0"/>
    <x v="18"/>
    <n v="52.086977299879898"/>
    <n v="19011.7467144562"/>
    <n v="68442.288172042201"/>
  </r>
  <r>
    <x v="0"/>
    <x v="0"/>
    <x v="0"/>
    <x v="7"/>
    <x v="11"/>
    <s v="NO1_A2"/>
    <x v="1"/>
    <x v="207"/>
    <x v="0"/>
    <x v="19"/>
    <n v="52.086977299879898"/>
    <n v="19011.7467144562"/>
    <n v="68442.288172042201"/>
  </r>
  <r>
    <x v="0"/>
    <x v="0"/>
    <x v="0"/>
    <x v="7"/>
    <x v="11"/>
    <s v="NO1_A2"/>
    <x v="1"/>
    <x v="207"/>
    <x v="0"/>
    <x v="20"/>
    <n v="52.086977299879898"/>
    <n v="19011.7467144562"/>
    <n v="68442.288172042201"/>
  </r>
  <r>
    <x v="0"/>
    <x v="0"/>
    <x v="0"/>
    <x v="7"/>
    <x v="11"/>
    <s v="NO1_A2"/>
    <x v="1"/>
    <x v="207"/>
    <x v="0"/>
    <x v="21"/>
    <n v="52.086977299879898"/>
    <n v="19011.7467144562"/>
    <n v="68442.288172042201"/>
  </r>
  <r>
    <x v="0"/>
    <x v="0"/>
    <x v="0"/>
    <x v="7"/>
    <x v="11"/>
    <s v="NO1_A2"/>
    <x v="1"/>
    <x v="207"/>
    <x v="0"/>
    <x v="22"/>
    <n v="52.086977299879898"/>
    <n v="19011.7467144562"/>
    <n v="68442.288172042201"/>
  </r>
  <r>
    <x v="0"/>
    <x v="0"/>
    <x v="0"/>
    <x v="7"/>
    <x v="11"/>
    <s v="NO1_A2"/>
    <x v="1"/>
    <x v="207"/>
    <x v="0"/>
    <x v="23"/>
    <n v="52.086977299879898"/>
    <n v="19011.7467144562"/>
    <n v="68442.288172042201"/>
  </r>
  <r>
    <x v="0"/>
    <x v="0"/>
    <x v="0"/>
    <x v="7"/>
    <x v="11"/>
    <s v="NO1_A2"/>
    <x v="1"/>
    <x v="208"/>
    <x v="0"/>
    <x v="3"/>
    <n v="37.647058823529399"/>
    <n v="13741.1764705882"/>
    <n v="49468.235294117701"/>
  </r>
  <r>
    <x v="0"/>
    <x v="0"/>
    <x v="0"/>
    <x v="7"/>
    <x v="11"/>
    <s v="NO1_A2"/>
    <x v="1"/>
    <x v="208"/>
    <x v="0"/>
    <x v="4"/>
    <n v="37.647058823529399"/>
    <n v="13741.1764705882"/>
    <n v="49468.235294117701"/>
  </r>
  <r>
    <x v="0"/>
    <x v="0"/>
    <x v="0"/>
    <x v="7"/>
    <x v="11"/>
    <s v="NO1_A2"/>
    <x v="1"/>
    <x v="208"/>
    <x v="0"/>
    <x v="5"/>
    <n v="37.647058823529399"/>
    <n v="13741.1764705882"/>
    <n v="49468.235294117701"/>
  </r>
  <r>
    <x v="0"/>
    <x v="0"/>
    <x v="0"/>
    <x v="7"/>
    <x v="11"/>
    <s v="NO1_A2"/>
    <x v="1"/>
    <x v="208"/>
    <x v="0"/>
    <x v="6"/>
    <n v="37.647058823529399"/>
    <n v="13741.1764705882"/>
    <n v="49468.235294117701"/>
  </r>
  <r>
    <x v="0"/>
    <x v="0"/>
    <x v="0"/>
    <x v="7"/>
    <x v="11"/>
    <s v="NO1_A2"/>
    <x v="1"/>
    <x v="208"/>
    <x v="0"/>
    <x v="7"/>
    <n v="37.647058823529399"/>
    <n v="13741.1764705882"/>
    <n v="49468.235294117701"/>
  </r>
  <r>
    <x v="0"/>
    <x v="0"/>
    <x v="0"/>
    <x v="7"/>
    <x v="11"/>
    <s v="NO1_A2"/>
    <x v="1"/>
    <x v="208"/>
    <x v="0"/>
    <x v="8"/>
    <n v="37.647058823529399"/>
    <n v="13741.1764705882"/>
    <n v="49468.235294117701"/>
  </r>
  <r>
    <x v="0"/>
    <x v="0"/>
    <x v="0"/>
    <x v="7"/>
    <x v="11"/>
    <s v="NO1_A2"/>
    <x v="1"/>
    <x v="208"/>
    <x v="0"/>
    <x v="0"/>
    <n v="37.647058823529399"/>
    <n v="13741.1764705882"/>
    <n v="49468.235294117701"/>
  </r>
  <r>
    <x v="0"/>
    <x v="0"/>
    <x v="0"/>
    <x v="7"/>
    <x v="11"/>
    <s v="NO1_A2"/>
    <x v="1"/>
    <x v="208"/>
    <x v="0"/>
    <x v="1"/>
    <n v="37.647058823529399"/>
    <n v="13741.1764705882"/>
    <n v="49468.235294117701"/>
  </r>
  <r>
    <x v="0"/>
    <x v="0"/>
    <x v="0"/>
    <x v="7"/>
    <x v="11"/>
    <s v="NO1_A2"/>
    <x v="1"/>
    <x v="208"/>
    <x v="0"/>
    <x v="2"/>
    <n v="37.647058823529399"/>
    <n v="13741.1764705882"/>
    <n v="49468.235294117701"/>
  </r>
  <r>
    <x v="0"/>
    <x v="0"/>
    <x v="0"/>
    <x v="7"/>
    <x v="11"/>
    <s v="NO1_A2"/>
    <x v="1"/>
    <x v="208"/>
    <x v="0"/>
    <x v="9"/>
    <n v="37.647058823529399"/>
    <n v="13741.1764705882"/>
    <n v="49468.235294117701"/>
  </r>
  <r>
    <x v="0"/>
    <x v="0"/>
    <x v="0"/>
    <x v="7"/>
    <x v="11"/>
    <s v="NO1_A2"/>
    <x v="1"/>
    <x v="208"/>
    <x v="0"/>
    <x v="10"/>
    <n v="37.647058823529399"/>
    <n v="13741.1764705882"/>
    <n v="49468.235294117701"/>
  </r>
  <r>
    <x v="0"/>
    <x v="0"/>
    <x v="0"/>
    <x v="7"/>
    <x v="11"/>
    <s v="NO1_A2"/>
    <x v="1"/>
    <x v="208"/>
    <x v="0"/>
    <x v="11"/>
    <n v="37.647058823529399"/>
    <n v="13741.1764705882"/>
    <n v="49468.235294117701"/>
  </r>
  <r>
    <x v="0"/>
    <x v="0"/>
    <x v="0"/>
    <x v="7"/>
    <x v="11"/>
    <s v="NO1_A2"/>
    <x v="1"/>
    <x v="208"/>
    <x v="0"/>
    <x v="12"/>
    <n v="37.647058823529399"/>
    <n v="13741.1764705882"/>
    <n v="49468.235294117701"/>
  </r>
  <r>
    <x v="0"/>
    <x v="0"/>
    <x v="0"/>
    <x v="7"/>
    <x v="11"/>
    <s v="NO1_A2"/>
    <x v="1"/>
    <x v="208"/>
    <x v="0"/>
    <x v="13"/>
    <n v="37.647058823529399"/>
    <n v="13741.1764705882"/>
    <n v="49468.235294117701"/>
  </r>
  <r>
    <x v="0"/>
    <x v="0"/>
    <x v="0"/>
    <x v="7"/>
    <x v="11"/>
    <s v="NO1_A2"/>
    <x v="1"/>
    <x v="208"/>
    <x v="0"/>
    <x v="14"/>
    <n v="37.647058823529399"/>
    <n v="13741.1764705882"/>
    <n v="49468.235294117701"/>
  </r>
  <r>
    <x v="0"/>
    <x v="0"/>
    <x v="0"/>
    <x v="7"/>
    <x v="11"/>
    <s v="NO1_A2"/>
    <x v="1"/>
    <x v="208"/>
    <x v="0"/>
    <x v="15"/>
    <n v="37.647058823529399"/>
    <n v="13741.1764705882"/>
    <n v="49468.235294117701"/>
  </r>
  <r>
    <x v="0"/>
    <x v="0"/>
    <x v="0"/>
    <x v="7"/>
    <x v="11"/>
    <s v="NO1_A2"/>
    <x v="1"/>
    <x v="208"/>
    <x v="0"/>
    <x v="16"/>
    <n v="37.647058823529399"/>
    <n v="13741.1764705882"/>
    <n v="49468.235294117701"/>
  </r>
  <r>
    <x v="0"/>
    <x v="0"/>
    <x v="0"/>
    <x v="7"/>
    <x v="11"/>
    <s v="NO1_A2"/>
    <x v="1"/>
    <x v="208"/>
    <x v="0"/>
    <x v="17"/>
    <n v="37.647058823529399"/>
    <n v="13741.1764705882"/>
    <n v="49468.235294117701"/>
  </r>
  <r>
    <x v="0"/>
    <x v="0"/>
    <x v="0"/>
    <x v="7"/>
    <x v="11"/>
    <s v="NO1_A2"/>
    <x v="1"/>
    <x v="208"/>
    <x v="0"/>
    <x v="18"/>
    <n v="37.647058823529399"/>
    <n v="13741.1764705882"/>
    <n v="49468.235294117701"/>
  </r>
  <r>
    <x v="0"/>
    <x v="0"/>
    <x v="0"/>
    <x v="7"/>
    <x v="11"/>
    <s v="NO1_A2"/>
    <x v="1"/>
    <x v="208"/>
    <x v="0"/>
    <x v="19"/>
    <n v="37.647058823529399"/>
    <n v="13741.1764705882"/>
    <n v="49468.235294117701"/>
  </r>
  <r>
    <x v="0"/>
    <x v="0"/>
    <x v="0"/>
    <x v="7"/>
    <x v="11"/>
    <s v="NO1_A2"/>
    <x v="1"/>
    <x v="208"/>
    <x v="0"/>
    <x v="20"/>
    <n v="37.647058823529399"/>
    <n v="13741.1764705882"/>
    <n v="49468.235294117701"/>
  </r>
  <r>
    <x v="0"/>
    <x v="0"/>
    <x v="0"/>
    <x v="7"/>
    <x v="11"/>
    <s v="NO1_A2"/>
    <x v="1"/>
    <x v="208"/>
    <x v="0"/>
    <x v="21"/>
    <n v="37.647058823529399"/>
    <n v="13741.1764705882"/>
    <n v="49468.235294117701"/>
  </r>
  <r>
    <x v="0"/>
    <x v="0"/>
    <x v="0"/>
    <x v="7"/>
    <x v="11"/>
    <s v="NO1_A2"/>
    <x v="1"/>
    <x v="208"/>
    <x v="0"/>
    <x v="22"/>
    <n v="37.647058823529399"/>
    <n v="13741.1764705882"/>
    <n v="49468.235294117701"/>
  </r>
  <r>
    <x v="0"/>
    <x v="0"/>
    <x v="0"/>
    <x v="7"/>
    <x v="11"/>
    <s v="NO1_A2"/>
    <x v="1"/>
    <x v="208"/>
    <x v="0"/>
    <x v="23"/>
    <n v="37.647058823529399"/>
    <n v="13741.1764705882"/>
    <n v="49468.235294117701"/>
  </r>
  <r>
    <x v="0"/>
    <x v="0"/>
    <x v="0"/>
    <x v="7"/>
    <x v="11"/>
    <s v="NO1_A2"/>
    <x v="10"/>
    <x v="111"/>
    <x v="0"/>
    <x v="3"/>
    <n v="18.823529411764699"/>
    <n v="6870.5882352941198"/>
    <n v="24734.1176470588"/>
  </r>
  <r>
    <x v="0"/>
    <x v="0"/>
    <x v="0"/>
    <x v="7"/>
    <x v="11"/>
    <s v="NO1_A2"/>
    <x v="10"/>
    <x v="111"/>
    <x v="0"/>
    <x v="4"/>
    <n v="18.823529411764699"/>
    <n v="6870.5882352941198"/>
    <n v="24734.1176470588"/>
  </r>
  <r>
    <x v="0"/>
    <x v="0"/>
    <x v="0"/>
    <x v="7"/>
    <x v="11"/>
    <s v="NO1_A2"/>
    <x v="10"/>
    <x v="111"/>
    <x v="0"/>
    <x v="5"/>
    <n v="18.823529411764699"/>
    <n v="6870.5882352941198"/>
    <n v="24734.1176470588"/>
  </r>
  <r>
    <x v="0"/>
    <x v="0"/>
    <x v="0"/>
    <x v="7"/>
    <x v="11"/>
    <s v="NO1_A2"/>
    <x v="10"/>
    <x v="111"/>
    <x v="0"/>
    <x v="6"/>
    <n v="18.823529411764699"/>
    <n v="6870.5882352941198"/>
    <n v="24734.1176470588"/>
  </r>
  <r>
    <x v="0"/>
    <x v="0"/>
    <x v="0"/>
    <x v="7"/>
    <x v="11"/>
    <s v="NO1_A2"/>
    <x v="10"/>
    <x v="111"/>
    <x v="0"/>
    <x v="7"/>
    <n v="18.823529411764699"/>
    <n v="6870.5882352941198"/>
    <n v="24734.1176470588"/>
  </r>
  <r>
    <x v="0"/>
    <x v="0"/>
    <x v="0"/>
    <x v="7"/>
    <x v="11"/>
    <s v="NO1_A2"/>
    <x v="10"/>
    <x v="111"/>
    <x v="0"/>
    <x v="8"/>
    <n v="18.823529411764699"/>
    <n v="6870.5882352941198"/>
    <n v="24734.1176470588"/>
  </r>
  <r>
    <x v="0"/>
    <x v="0"/>
    <x v="0"/>
    <x v="7"/>
    <x v="11"/>
    <s v="NO1_A2"/>
    <x v="10"/>
    <x v="111"/>
    <x v="0"/>
    <x v="0"/>
    <n v="18.823529411764699"/>
    <n v="6870.5882352941198"/>
    <n v="24734.1176470588"/>
  </r>
  <r>
    <x v="0"/>
    <x v="0"/>
    <x v="0"/>
    <x v="7"/>
    <x v="11"/>
    <s v="NO1_A2"/>
    <x v="10"/>
    <x v="111"/>
    <x v="0"/>
    <x v="1"/>
    <n v="18.823529411764699"/>
    <n v="6870.5882352941198"/>
    <n v="24734.1176470588"/>
  </r>
  <r>
    <x v="0"/>
    <x v="0"/>
    <x v="0"/>
    <x v="7"/>
    <x v="11"/>
    <s v="NO1_A2"/>
    <x v="10"/>
    <x v="111"/>
    <x v="0"/>
    <x v="2"/>
    <n v="18.823529411764699"/>
    <n v="6870.5882352941198"/>
    <n v="24734.1176470588"/>
  </r>
  <r>
    <x v="0"/>
    <x v="0"/>
    <x v="0"/>
    <x v="7"/>
    <x v="11"/>
    <s v="NO1_A2"/>
    <x v="10"/>
    <x v="111"/>
    <x v="0"/>
    <x v="9"/>
    <n v="18.823529411764699"/>
    <n v="6870.5882352941198"/>
    <n v="24734.1176470588"/>
  </r>
  <r>
    <x v="0"/>
    <x v="0"/>
    <x v="0"/>
    <x v="7"/>
    <x v="11"/>
    <s v="NO1_A2"/>
    <x v="10"/>
    <x v="111"/>
    <x v="0"/>
    <x v="10"/>
    <n v="18.823529411764699"/>
    <n v="6870.5882352941198"/>
    <n v="24734.1176470588"/>
  </r>
  <r>
    <x v="0"/>
    <x v="0"/>
    <x v="0"/>
    <x v="7"/>
    <x v="11"/>
    <s v="NO1_A2"/>
    <x v="10"/>
    <x v="111"/>
    <x v="0"/>
    <x v="11"/>
    <n v="18.823529411764699"/>
    <n v="6870.5882352941198"/>
    <n v="24734.1176470588"/>
  </r>
  <r>
    <x v="0"/>
    <x v="0"/>
    <x v="0"/>
    <x v="7"/>
    <x v="11"/>
    <s v="NO1_A2"/>
    <x v="10"/>
    <x v="111"/>
    <x v="0"/>
    <x v="12"/>
    <n v="18.823529411764699"/>
    <n v="6870.5882352941198"/>
    <n v="24734.1176470588"/>
  </r>
  <r>
    <x v="0"/>
    <x v="0"/>
    <x v="0"/>
    <x v="7"/>
    <x v="11"/>
    <s v="NO1_A2"/>
    <x v="10"/>
    <x v="111"/>
    <x v="0"/>
    <x v="13"/>
    <n v="18.823529411764699"/>
    <n v="6870.5882352941198"/>
    <n v="24734.1176470588"/>
  </r>
  <r>
    <x v="0"/>
    <x v="0"/>
    <x v="0"/>
    <x v="7"/>
    <x v="11"/>
    <s v="NO1_A2"/>
    <x v="10"/>
    <x v="111"/>
    <x v="0"/>
    <x v="14"/>
    <n v="18.823529411764699"/>
    <n v="6870.5882352941198"/>
    <n v="24734.1176470588"/>
  </r>
  <r>
    <x v="0"/>
    <x v="0"/>
    <x v="0"/>
    <x v="7"/>
    <x v="11"/>
    <s v="NO1_A2"/>
    <x v="10"/>
    <x v="111"/>
    <x v="0"/>
    <x v="15"/>
    <n v="18.823529411764699"/>
    <n v="6870.5882352941198"/>
    <n v="24734.1176470588"/>
  </r>
  <r>
    <x v="0"/>
    <x v="0"/>
    <x v="0"/>
    <x v="7"/>
    <x v="11"/>
    <s v="NO1_A2"/>
    <x v="10"/>
    <x v="111"/>
    <x v="0"/>
    <x v="16"/>
    <n v="18.823529411764699"/>
    <n v="6870.5882352941198"/>
    <n v="24734.1176470588"/>
  </r>
  <r>
    <x v="0"/>
    <x v="0"/>
    <x v="0"/>
    <x v="7"/>
    <x v="11"/>
    <s v="NO1_A2"/>
    <x v="10"/>
    <x v="111"/>
    <x v="0"/>
    <x v="17"/>
    <n v="18.823529411764699"/>
    <n v="6870.5882352941198"/>
    <n v="24734.1176470588"/>
  </r>
  <r>
    <x v="0"/>
    <x v="0"/>
    <x v="0"/>
    <x v="7"/>
    <x v="11"/>
    <s v="NO1_A2"/>
    <x v="10"/>
    <x v="111"/>
    <x v="0"/>
    <x v="18"/>
    <n v="18.823529411764699"/>
    <n v="6870.5882352941198"/>
    <n v="24734.1176470588"/>
  </r>
  <r>
    <x v="0"/>
    <x v="0"/>
    <x v="0"/>
    <x v="7"/>
    <x v="11"/>
    <s v="NO1_A2"/>
    <x v="10"/>
    <x v="111"/>
    <x v="0"/>
    <x v="19"/>
    <n v="18.823529411764699"/>
    <n v="6870.5882352941198"/>
    <n v="24734.1176470588"/>
  </r>
  <r>
    <x v="0"/>
    <x v="0"/>
    <x v="0"/>
    <x v="7"/>
    <x v="11"/>
    <s v="NO1_A2"/>
    <x v="10"/>
    <x v="111"/>
    <x v="0"/>
    <x v="20"/>
    <n v="18.823529411764699"/>
    <n v="6870.5882352941198"/>
    <n v="24734.1176470588"/>
  </r>
  <r>
    <x v="0"/>
    <x v="0"/>
    <x v="0"/>
    <x v="7"/>
    <x v="11"/>
    <s v="NO1_A2"/>
    <x v="10"/>
    <x v="111"/>
    <x v="0"/>
    <x v="21"/>
    <n v="18.823529411764699"/>
    <n v="6870.5882352941198"/>
    <n v="24734.1176470588"/>
  </r>
  <r>
    <x v="0"/>
    <x v="0"/>
    <x v="0"/>
    <x v="7"/>
    <x v="11"/>
    <s v="NO1_A2"/>
    <x v="10"/>
    <x v="111"/>
    <x v="0"/>
    <x v="22"/>
    <n v="18.823529411764699"/>
    <n v="6870.5882352941198"/>
    <n v="24734.1176470588"/>
  </r>
  <r>
    <x v="0"/>
    <x v="0"/>
    <x v="0"/>
    <x v="7"/>
    <x v="11"/>
    <s v="NO1_A2"/>
    <x v="10"/>
    <x v="111"/>
    <x v="0"/>
    <x v="23"/>
    <n v="18.823529411764699"/>
    <n v="6870.5882352941198"/>
    <n v="24734.1176470588"/>
  </r>
  <r>
    <x v="0"/>
    <x v="0"/>
    <x v="0"/>
    <x v="7"/>
    <x v="12"/>
    <s v="NO2_A1"/>
    <x v="21"/>
    <x v="205"/>
    <x v="0"/>
    <x v="1"/>
    <n v="2.0128633427824298"/>
    <n v="734.69512011558902"/>
    <n v="2644.9024324161201"/>
  </r>
  <r>
    <x v="0"/>
    <x v="0"/>
    <x v="0"/>
    <x v="7"/>
    <x v="12"/>
    <s v="NO2_A1"/>
    <x v="21"/>
    <x v="205"/>
    <x v="0"/>
    <x v="2"/>
    <n v="3.1754228518985901"/>
    <n v="1159.0293409429801"/>
    <n v="4172.5056273947403"/>
  </r>
  <r>
    <x v="0"/>
    <x v="0"/>
    <x v="0"/>
    <x v="7"/>
    <x v="12"/>
    <s v="NO2_A1"/>
    <x v="21"/>
    <x v="205"/>
    <x v="0"/>
    <x v="9"/>
    <n v="1.5672731760784999"/>
    <n v="572.05470926865303"/>
    <n v="2059.3969533671502"/>
  </r>
  <r>
    <x v="0"/>
    <x v="0"/>
    <x v="0"/>
    <x v="7"/>
    <x v="12"/>
    <s v="NO2_A1"/>
    <x v="21"/>
    <x v="205"/>
    <x v="0"/>
    <x v="16"/>
    <n v="3.8413468985800399"/>
    <n v="1402.09161798171"/>
    <n v="5047.5298247341698"/>
  </r>
  <r>
    <x v="0"/>
    <x v="0"/>
    <x v="0"/>
    <x v="7"/>
    <x v="12"/>
    <s v="NO2_A1"/>
    <x v="21"/>
    <x v="205"/>
    <x v="0"/>
    <x v="17"/>
    <n v="0.66654661452891895"/>
    <n v="243.289514303055"/>
    <n v="875.84225149099996"/>
  </r>
  <r>
    <x v="0"/>
    <x v="0"/>
    <x v="0"/>
    <x v="7"/>
    <x v="12"/>
    <s v="NO2_A1"/>
    <x v="21"/>
    <x v="206"/>
    <x v="0"/>
    <x v="8"/>
    <n v="3.1662113679099302"/>
    <n v="1155.6671492871201"/>
    <n v="4160.4017374336499"/>
  </r>
  <r>
    <x v="0"/>
    <x v="0"/>
    <x v="0"/>
    <x v="7"/>
    <x v="12"/>
    <s v="NO2_A1"/>
    <x v="21"/>
    <x v="206"/>
    <x v="0"/>
    <x v="0"/>
    <n v="11.196461355844299"/>
    <n v="4086.7083948831601"/>
    <n v="14712.150221579401"/>
  </r>
  <r>
    <x v="0"/>
    <x v="0"/>
    <x v="0"/>
    <x v="7"/>
    <x v="12"/>
    <s v="NO2_A1"/>
    <x v="21"/>
    <x v="206"/>
    <x v="0"/>
    <x v="1"/>
    <n v="16.470588235294102"/>
    <n v="6011.7647058823504"/>
    <n v="21642.352941176501"/>
  </r>
  <r>
    <x v="0"/>
    <x v="0"/>
    <x v="0"/>
    <x v="7"/>
    <x v="12"/>
    <s v="NO2_A1"/>
    <x v="21"/>
    <x v="206"/>
    <x v="0"/>
    <x v="2"/>
    <n v="16.470588235294102"/>
    <n v="6011.7647058823504"/>
    <n v="21642.352941176501"/>
  </r>
  <r>
    <x v="0"/>
    <x v="0"/>
    <x v="0"/>
    <x v="7"/>
    <x v="12"/>
    <s v="NO2_A1"/>
    <x v="21"/>
    <x v="206"/>
    <x v="0"/>
    <x v="9"/>
    <n v="16.470588235294102"/>
    <n v="6011.7647058823504"/>
    <n v="21642.352941176501"/>
  </r>
  <r>
    <x v="0"/>
    <x v="0"/>
    <x v="0"/>
    <x v="7"/>
    <x v="12"/>
    <s v="NO2_A1"/>
    <x v="21"/>
    <x v="206"/>
    <x v="0"/>
    <x v="10"/>
    <n v="15.822776445183401"/>
    <n v="5775.31340249195"/>
    <n v="20791.128248970999"/>
  </r>
  <r>
    <x v="0"/>
    <x v="0"/>
    <x v="0"/>
    <x v="7"/>
    <x v="12"/>
    <s v="NO2_A1"/>
    <x v="21"/>
    <x v="206"/>
    <x v="0"/>
    <x v="11"/>
    <n v="13.8558045781541"/>
    <n v="5057.36867102625"/>
    <n v="18206.527215694499"/>
  </r>
  <r>
    <x v="0"/>
    <x v="0"/>
    <x v="0"/>
    <x v="7"/>
    <x v="12"/>
    <s v="NO2_A1"/>
    <x v="21"/>
    <x v="206"/>
    <x v="0"/>
    <x v="12"/>
    <n v="12.1916083872883"/>
    <n v="4449.9370613602196"/>
    <n v="16019.7734208968"/>
  </r>
  <r>
    <x v="0"/>
    <x v="0"/>
    <x v="0"/>
    <x v="7"/>
    <x v="12"/>
    <s v="NO2_A1"/>
    <x v="21"/>
    <x v="206"/>
    <x v="0"/>
    <x v="13"/>
    <n v="11.383821704772799"/>
    <n v="4155.0949222420604"/>
    <n v="14958.341720071399"/>
  </r>
  <r>
    <x v="0"/>
    <x v="0"/>
    <x v="0"/>
    <x v="7"/>
    <x v="12"/>
    <s v="NO2_A1"/>
    <x v="21"/>
    <x v="206"/>
    <x v="0"/>
    <x v="14"/>
    <n v="9.4251144129218503"/>
    <n v="3440.16676071648"/>
    <n v="12384.600338579299"/>
  </r>
  <r>
    <x v="0"/>
    <x v="0"/>
    <x v="0"/>
    <x v="7"/>
    <x v="12"/>
    <s v="NO2_A1"/>
    <x v="21"/>
    <x v="206"/>
    <x v="0"/>
    <x v="15"/>
    <n v="3.30567225829581"/>
    <n v="1206.5703742779699"/>
    <n v="4343.6533474007001"/>
  </r>
  <r>
    <x v="0"/>
    <x v="0"/>
    <x v="0"/>
    <x v="7"/>
    <x v="12"/>
    <s v="NO2_A1"/>
    <x v="1"/>
    <x v="207"/>
    <x v="0"/>
    <x v="3"/>
    <n v="50.709677419354797"/>
    <n v="18509.032258064501"/>
    <n v="66632.516129032301"/>
  </r>
  <r>
    <x v="0"/>
    <x v="0"/>
    <x v="0"/>
    <x v="7"/>
    <x v="12"/>
    <s v="NO2_A1"/>
    <x v="1"/>
    <x v="207"/>
    <x v="0"/>
    <x v="4"/>
    <n v="50.709677419354797"/>
    <n v="18509.032258064501"/>
    <n v="66632.516129032301"/>
  </r>
  <r>
    <x v="0"/>
    <x v="0"/>
    <x v="0"/>
    <x v="7"/>
    <x v="12"/>
    <s v="NO2_A1"/>
    <x v="1"/>
    <x v="207"/>
    <x v="0"/>
    <x v="5"/>
    <n v="50.709677419354797"/>
    <n v="18509.032258064501"/>
    <n v="66632.516129032301"/>
  </r>
  <r>
    <x v="0"/>
    <x v="0"/>
    <x v="0"/>
    <x v="7"/>
    <x v="12"/>
    <s v="NO2_A1"/>
    <x v="1"/>
    <x v="207"/>
    <x v="0"/>
    <x v="6"/>
    <n v="50.709677419354797"/>
    <n v="18509.032258064501"/>
    <n v="66632.516129032301"/>
  </r>
  <r>
    <x v="0"/>
    <x v="0"/>
    <x v="0"/>
    <x v="7"/>
    <x v="12"/>
    <s v="NO2_A1"/>
    <x v="1"/>
    <x v="207"/>
    <x v="0"/>
    <x v="7"/>
    <n v="50.709677419354797"/>
    <n v="18509.032258064501"/>
    <n v="66632.516129032301"/>
  </r>
  <r>
    <x v="0"/>
    <x v="0"/>
    <x v="0"/>
    <x v="7"/>
    <x v="12"/>
    <s v="NO2_A1"/>
    <x v="1"/>
    <x v="207"/>
    <x v="0"/>
    <x v="8"/>
    <n v="50.709677419354797"/>
    <n v="18509.032258064501"/>
    <n v="66632.516129032301"/>
  </r>
  <r>
    <x v="0"/>
    <x v="0"/>
    <x v="0"/>
    <x v="7"/>
    <x v="12"/>
    <s v="NO2_A1"/>
    <x v="1"/>
    <x v="207"/>
    <x v="0"/>
    <x v="0"/>
    <n v="50.709677419354797"/>
    <n v="18509.032258064501"/>
    <n v="66632.516129032301"/>
  </r>
  <r>
    <x v="0"/>
    <x v="0"/>
    <x v="0"/>
    <x v="7"/>
    <x v="12"/>
    <s v="NO2_A1"/>
    <x v="1"/>
    <x v="207"/>
    <x v="0"/>
    <x v="1"/>
    <n v="50.709677419354797"/>
    <n v="18509.032258064501"/>
    <n v="66632.516129032301"/>
  </r>
  <r>
    <x v="0"/>
    <x v="0"/>
    <x v="0"/>
    <x v="7"/>
    <x v="12"/>
    <s v="NO2_A1"/>
    <x v="1"/>
    <x v="207"/>
    <x v="0"/>
    <x v="2"/>
    <n v="50.709677419354797"/>
    <n v="18509.032258064501"/>
    <n v="66632.516129032301"/>
  </r>
  <r>
    <x v="0"/>
    <x v="0"/>
    <x v="0"/>
    <x v="7"/>
    <x v="12"/>
    <s v="NO2_A1"/>
    <x v="1"/>
    <x v="207"/>
    <x v="0"/>
    <x v="9"/>
    <n v="50.709677419354797"/>
    <n v="18509.032258064501"/>
    <n v="66632.516129032301"/>
  </r>
  <r>
    <x v="0"/>
    <x v="0"/>
    <x v="0"/>
    <x v="7"/>
    <x v="12"/>
    <s v="NO2_A1"/>
    <x v="1"/>
    <x v="207"/>
    <x v="0"/>
    <x v="10"/>
    <n v="50.709677419354797"/>
    <n v="18509.032258064501"/>
    <n v="66632.516129032301"/>
  </r>
  <r>
    <x v="0"/>
    <x v="0"/>
    <x v="0"/>
    <x v="7"/>
    <x v="12"/>
    <s v="NO2_A1"/>
    <x v="1"/>
    <x v="207"/>
    <x v="0"/>
    <x v="11"/>
    <n v="50.709677419354797"/>
    <n v="18509.032258064501"/>
    <n v="66632.516129032301"/>
  </r>
  <r>
    <x v="0"/>
    <x v="0"/>
    <x v="0"/>
    <x v="7"/>
    <x v="12"/>
    <s v="NO2_A1"/>
    <x v="1"/>
    <x v="207"/>
    <x v="0"/>
    <x v="12"/>
    <n v="50.709677419354797"/>
    <n v="18509.032258064501"/>
    <n v="66632.516129032301"/>
  </r>
  <r>
    <x v="0"/>
    <x v="0"/>
    <x v="0"/>
    <x v="7"/>
    <x v="12"/>
    <s v="NO2_A1"/>
    <x v="1"/>
    <x v="207"/>
    <x v="0"/>
    <x v="13"/>
    <n v="50.709677419354797"/>
    <n v="18509.032258064501"/>
    <n v="66632.516129032301"/>
  </r>
  <r>
    <x v="0"/>
    <x v="0"/>
    <x v="0"/>
    <x v="7"/>
    <x v="12"/>
    <s v="NO2_A1"/>
    <x v="1"/>
    <x v="207"/>
    <x v="0"/>
    <x v="14"/>
    <n v="50.709677419354797"/>
    <n v="18509.032258064501"/>
    <n v="66632.516129032301"/>
  </r>
  <r>
    <x v="0"/>
    <x v="0"/>
    <x v="0"/>
    <x v="7"/>
    <x v="12"/>
    <s v="NO2_A1"/>
    <x v="1"/>
    <x v="207"/>
    <x v="0"/>
    <x v="15"/>
    <n v="50.709677419354797"/>
    <n v="18509.032258064501"/>
    <n v="66632.516129032301"/>
  </r>
  <r>
    <x v="0"/>
    <x v="0"/>
    <x v="0"/>
    <x v="7"/>
    <x v="12"/>
    <s v="NO2_A1"/>
    <x v="1"/>
    <x v="207"/>
    <x v="0"/>
    <x v="16"/>
    <n v="50.709677419354797"/>
    <n v="18509.032258064501"/>
    <n v="66632.516129032301"/>
  </r>
  <r>
    <x v="0"/>
    <x v="0"/>
    <x v="0"/>
    <x v="7"/>
    <x v="12"/>
    <s v="NO2_A1"/>
    <x v="1"/>
    <x v="207"/>
    <x v="0"/>
    <x v="17"/>
    <n v="50.709677419354797"/>
    <n v="18509.032258064501"/>
    <n v="66632.516129032301"/>
  </r>
  <r>
    <x v="0"/>
    <x v="0"/>
    <x v="0"/>
    <x v="7"/>
    <x v="12"/>
    <s v="NO2_A1"/>
    <x v="1"/>
    <x v="207"/>
    <x v="0"/>
    <x v="18"/>
    <n v="50.709677419354797"/>
    <n v="18509.032258064501"/>
    <n v="66632.516129032301"/>
  </r>
  <r>
    <x v="0"/>
    <x v="0"/>
    <x v="0"/>
    <x v="7"/>
    <x v="12"/>
    <s v="NO2_A1"/>
    <x v="1"/>
    <x v="207"/>
    <x v="0"/>
    <x v="19"/>
    <n v="50.709677419354797"/>
    <n v="18509.032258064501"/>
    <n v="66632.516129032301"/>
  </r>
  <r>
    <x v="0"/>
    <x v="0"/>
    <x v="0"/>
    <x v="7"/>
    <x v="12"/>
    <s v="NO2_A1"/>
    <x v="1"/>
    <x v="207"/>
    <x v="0"/>
    <x v="20"/>
    <n v="50.709677419354797"/>
    <n v="18509.032258064501"/>
    <n v="66632.516129032301"/>
  </r>
  <r>
    <x v="0"/>
    <x v="0"/>
    <x v="0"/>
    <x v="7"/>
    <x v="12"/>
    <s v="NO2_A1"/>
    <x v="1"/>
    <x v="207"/>
    <x v="0"/>
    <x v="21"/>
    <n v="50.709677419354797"/>
    <n v="18509.032258064501"/>
    <n v="66632.516129032301"/>
  </r>
  <r>
    <x v="0"/>
    <x v="0"/>
    <x v="0"/>
    <x v="7"/>
    <x v="12"/>
    <s v="NO2_A1"/>
    <x v="1"/>
    <x v="207"/>
    <x v="0"/>
    <x v="22"/>
    <n v="50.709677419354797"/>
    <n v="18509.032258064501"/>
    <n v="66632.516129032301"/>
  </r>
  <r>
    <x v="0"/>
    <x v="0"/>
    <x v="0"/>
    <x v="7"/>
    <x v="12"/>
    <s v="NO2_A1"/>
    <x v="1"/>
    <x v="207"/>
    <x v="0"/>
    <x v="23"/>
    <n v="50.709677419354797"/>
    <n v="18509.032258064501"/>
    <n v="66632.516129032301"/>
  </r>
  <r>
    <x v="0"/>
    <x v="0"/>
    <x v="0"/>
    <x v="7"/>
    <x v="12"/>
    <s v="NO2_A1"/>
    <x v="4"/>
    <x v="108"/>
    <x v="0"/>
    <x v="3"/>
    <n v="2.1038652032386098"/>
    <n v="767.91079918209095"/>
    <n v="2764.4788770555301"/>
  </r>
  <r>
    <x v="0"/>
    <x v="0"/>
    <x v="0"/>
    <x v="7"/>
    <x v="12"/>
    <s v="NO2_A1"/>
    <x v="4"/>
    <x v="108"/>
    <x v="0"/>
    <x v="4"/>
    <n v="1.9994299829472599"/>
    <n v="729.791943775748"/>
    <n v="2627.2509975926901"/>
  </r>
  <r>
    <x v="0"/>
    <x v="0"/>
    <x v="0"/>
    <x v="7"/>
    <x v="12"/>
    <s v="NO2_A1"/>
    <x v="4"/>
    <x v="108"/>
    <x v="0"/>
    <x v="5"/>
    <n v="2.3278840909490399"/>
    <n v="849.67769319640001"/>
    <n v="3058.8396955070398"/>
  </r>
  <r>
    <x v="0"/>
    <x v="0"/>
    <x v="0"/>
    <x v="7"/>
    <x v="12"/>
    <s v="NO2_A1"/>
    <x v="4"/>
    <x v="108"/>
    <x v="0"/>
    <x v="6"/>
    <n v="3.2303621339266502"/>
    <n v="1179.08217888323"/>
    <n v="4244.6958439796099"/>
  </r>
  <r>
    <x v="0"/>
    <x v="0"/>
    <x v="0"/>
    <x v="7"/>
    <x v="12"/>
    <s v="NO2_A1"/>
    <x v="4"/>
    <x v="108"/>
    <x v="0"/>
    <x v="7"/>
    <n v="5.31347482832411"/>
    <n v="1939.4183123383"/>
    <n v="6981.9059244178798"/>
  </r>
  <r>
    <x v="0"/>
    <x v="0"/>
    <x v="0"/>
    <x v="7"/>
    <x v="12"/>
    <s v="NO2_A1"/>
    <x v="4"/>
    <x v="108"/>
    <x v="0"/>
    <x v="8"/>
    <n v="5.8693910256409998"/>
    <n v="2142.32772435897"/>
    <n v="7712.3798076922803"/>
  </r>
  <r>
    <x v="0"/>
    <x v="0"/>
    <x v="0"/>
    <x v="7"/>
    <x v="12"/>
    <s v="NO2_A1"/>
    <x v="4"/>
    <x v="108"/>
    <x v="0"/>
    <x v="0"/>
    <n v="5.8693910256409998"/>
    <n v="2142.32772435897"/>
    <n v="7712.3798076922803"/>
  </r>
  <r>
    <x v="0"/>
    <x v="0"/>
    <x v="0"/>
    <x v="7"/>
    <x v="12"/>
    <s v="NO2_A1"/>
    <x v="4"/>
    <x v="108"/>
    <x v="0"/>
    <x v="1"/>
    <n v="5.8693910256409998"/>
    <n v="2142.32772435897"/>
    <n v="7712.3798076922803"/>
  </r>
  <r>
    <x v="0"/>
    <x v="0"/>
    <x v="0"/>
    <x v="7"/>
    <x v="12"/>
    <s v="NO2_A1"/>
    <x v="4"/>
    <x v="108"/>
    <x v="0"/>
    <x v="2"/>
    <n v="5.8693910256409998"/>
    <n v="2142.32772435897"/>
    <n v="7712.3798076922803"/>
  </r>
  <r>
    <x v="0"/>
    <x v="0"/>
    <x v="0"/>
    <x v="7"/>
    <x v="12"/>
    <s v="NO2_A1"/>
    <x v="4"/>
    <x v="108"/>
    <x v="0"/>
    <x v="9"/>
    <n v="5.8693910256409998"/>
    <n v="2142.32772435897"/>
    <n v="7712.3798076922803"/>
  </r>
  <r>
    <x v="0"/>
    <x v="0"/>
    <x v="0"/>
    <x v="7"/>
    <x v="12"/>
    <s v="NO2_A1"/>
    <x v="4"/>
    <x v="108"/>
    <x v="0"/>
    <x v="10"/>
    <n v="5.8693910256409998"/>
    <n v="2142.32772435897"/>
    <n v="7712.3798076922803"/>
  </r>
  <r>
    <x v="0"/>
    <x v="0"/>
    <x v="0"/>
    <x v="7"/>
    <x v="12"/>
    <s v="NO2_A1"/>
    <x v="4"/>
    <x v="108"/>
    <x v="0"/>
    <x v="11"/>
    <n v="5.8693910256409998"/>
    <n v="2142.32772435897"/>
    <n v="7712.3798076922803"/>
  </r>
  <r>
    <x v="0"/>
    <x v="0"/>
    <x v="0"/>
    <x v="7"/>
    <x v="12"/>
    <s v="NO2_A1"/>
    <x v="4"/>
    <x v="108"/>
    <x v="0"/>
    <x v="12"/>
    <n v="5.8693910256409998"/>
    <n v="2142.32772435897"/>
    <n v="7712.3798076922803"/>
  </r>
  <r>
    <x v="0"/>
    <x v="0"/>
    <x v="0"/>
    <x v="7"/>
    <x v="12"/>
    <s v="NO2_A1"/>
    <x v="4"/>
    <x v="108"/>
    <x v="0"/>
    <x v="13"/>
    <n v="5.8693910256409998"/>
    <n v="2142.32772435897"/>
    <n v="7712.3798076922803"/>
  </r>
  <r>
    <x v="0"/>
    <x v="0"/>
    <x v="0"/>
    <x v="7"/>
    <x v="12"/>
    <s v="NO2_A1"/>
    <x v="4"/>
    <x v="108"/>
    <x v="0"/>
    <x v="14"/>
    <n v="5.8693910256409998"/>
    <n v="2142.32772435897"/>
    <n v="7712.3798076922803"/>
  </r>
  <r>
    <x v="0"/>
    <x v="0"/>
    <x v="0"/>
    <x v="7"/>
    <x v="12"/>
    <s v="NO2_A1"/>
    <x v="4"/>
    <x v="108"/>
    <x v="0"/>
    <x v="15"/>
    <n v="5.8693910256409998"/>
    <n v="2142.32772435897"/>
    <n v="7712.3798076922803"/>
  </r>
  <r>
    <x v="0"/>
    <x v="0"/>
    <x v="0"/>
    <x v="7"/>
    <x v="12"/>
    <s v="NO2_A1"/>
    <x v="4"/>
    <x v="108"/>
    <x v="0"/>
    <x v="16"/>
    <n v="5.8693910256409998"/>
    <n v="2142.32772435897"/>
    <n v="7712.3798076922803"/>
  </r>
  <r>
    <x v="0"/>
    <x v="0"/>
    <x v="0"/>
    <x v="7"/>
    <x v="12"/>
    <s v="NO2_A1"/>
    <x v="4"/>
    <x v="108"/>
    <x v="0"/>
    <x v="17"/>
    <n v="5.8693910256409998"/>
    <n v="2142.32772435897"/>
    <n v="7712.3798076922803"/>
  </r>
  <r>
    <x v="0"/>
    <x v="0"/>
    <x v="0"/>
    <x v="7"/>
    <x v="12"/>
    <s v="NO2_A1"/>
    <x v="4"/>
    <x v="108"/>
    <x v="0"/>
    <x v="18"/>
    <n v="5.3334396681759202"/>
    <n v="1946.7054788842099"/>
    <n v="7008.1397239831604"/>
  </r>
  <r>
    <x v="0"/>
    <x v="0"/>
    <x v="0"/>
    <x v="7"/>
    <x v="12"/>
    <s v="NO2_A1"/>
    <x v="4"/>
    <x v="108"/>
    <x v="0"/>
    <x v="19"/>
    <n v="3.9801805055357802"/>
    <n v="1452.7658845205599"/>
    <n v="5229.9571842740097"/>
  </r>
  <r>
    <x v="0"/>
    <x v="0"/>
    <x v="0"/>
    <x v="7"/>
    <x v="12"/>
    <s v="NO2_A1"/>
    <x v="4"/>
    <x v="108"/>
    <x v="0"/>
    <x v="20"/>
    <n v="2.5887560158767"/>
    <n v="944.89594579499703"/>
    <n v="3401.6254048619899"/>
  </r>
  <r>
    <x v="0"/>
    <x v="0"/>
    <x v="0"/>
    <x v="7"/>
    <x v="12"/>
    <s v="NO2_A1"/>
    <x v="4"/>
    <x v="108"/>
    <x v="0"/>
    <x v="21"/>
    <n v="0.184639769344912"/>
    <n v="67.393515810892893"/>
    <n v="242.61665691921399"/>
  </r>
  <r>
    <x v="0"/>
    <x v="0"/>
    <x v="0"/>
    <x v="7"/>
    <x v="12"/>
    <s v="NO2_A1"/>
    <x v="7"/>
    <x v="122"/>
    <x v="0"/>
    <x v="3"/>
    <n v="367.19205575436598"/>
    <n v="134025.100350344"/>
    <n v="482490.36126123701"/>
  </r>
  <r>
    <x v="0"/>
    <x v="0"/>
    <x v="0"/>
    <x v="7"/>
    <x v="12"/>
    <s v="NO2_A1"/>
    <x v="7"/>
    <x v="122"/>
    <x v="0"/>
    <x v="4"/>
    <n v="367.19205575436598"/>
    <n v="134025.100350344"/>
    <n v="482490.36126123701"/>
  </r>
  <r>
    <x v="0"/>
    <x v="0"/>
    <x v="0"/>
    <x v="7"/>
    <x v="12"/>
    <s v="NO2_A1"/>
    <x v="7"/>
    <x v="122"/>
    <x v="0"/>
    <x v="5"/>
    <n v="367.19205575436598"/>
    <n v="134025.100350344"/>
    <n v="482490.36126123701"/>
  </r>
  <r>
    <x v="0"/>
    <x v="0"/>
    <x v="0"/>
    <x v="7"/>
    <x v="12"/>
    <s v="NO2_A1"/>
    <x v="7"/>
    <x v="122"/>
    <x v="0"/>
    <x v="6"/>
    <n v="367.19205575436598"/>
    <n v="134025.100350344"/>
    <n v="482490.36126123701"/>
  </r>
  <r>
    <x v="0"/>
    <x v="0"/>
    <x v="0"/>
    <x v="7"/>
    <x v="12"/>
    <s v="NO2_A1"/>
    <x v="7"/>
    <x v="122"/>
    <x v="0"/>
    <x v="7"/>
    <n v="367.19205575436598"/>
    <n v="134025.100350344"/>
    <n v="482490.36126123701"/>
  </r>
  <r>
    <x v="0"/>
    <x v="0"/>
    <x v="0"/>
    <x v="7"/>
    <x v="12"/>
    <s v="NO2_A1"/>
    <x v="7"/>
    <x v="122"/>
    <x v="0"/>
    <x v="8"/>
    <n v="367.19205575436598"/>
    <n v="134025.100350344"/>
    <n v="482490.36126123701"/>
  </r>
  <r>
    <x v="0"/>
    <x v="0"/>
    <x v="0"/>
    <x v="7"/>
    <x v="12"/>
    <s v="NO2_A1"/>
    <x v="7"/>
    <x v="122"/>
    <x v="0"/>
    <x v="0"/>
    <n v="367.19205575436598"/>
    <n v="134025.100350344"/>
    <n v="482490.36126123701"/>
  </r>
  <r>
    <x v="0"/>
    <x v="0"/>
    <x v="0"/>
    <x v="7"/>
    <x v="12"/>
    <s v="NO2_A1"/>
    <x v="7"/>
    <x v="122"/>
    <x v="0"/>
    <x v="1"/>
    <n v="367.19205575436598"/>
    <n v="134025.100350344"/>
    <n v="482490.36126123701"/>
  </r>
  <r>
    <x v="0"/>
    <x v="0"/>
    <x v="0"/>
    <x v="7"/>
    <x v="12"/>
    <s v="NO2_A1"/>
    <x v="7"/>
    <x v="122"/>
    <x v="0"/>
    <x v="2"/>
    <n v="367.19205575436598"/>
    <n v="134025.100350344"/>
    <n v="482490.36126123701"/>
  </r>
  <r>
    <x v="0"/>
    <x v="0"/>
    <x v="0"/>
    <x v="7"/>
    <x v="12"/>
    <s v="NO2_A1"/>
    <x v="7"/>
    <x v="122"/>
    <x v="0"/>
    <x v="9"/>
    <n v="367.19205575436598"/>
    <n v="134025.100350344"/>
    <n v="482490.36126123701"/>
  </r>
  <r>
    <x v="0"/>
    <x v="0"/>
    <x v="0"/>
    <x v="7"/>
    <x v="12"/>
    <s v="NO2_A1"/>
    <x v="7"/>
    <x v="122"/>
    <x v="0"/>
    <x v="10"/>
    <n v="367.19205575436598"/>
    <n v="134025.100350344"/>
    <n v="482490.36126123701"/>
  </r>
  <r>
    <x v="0"/>
    <x v="0"/>
    <x v="0"/>
    <x v="7"/>
    <x v="12"/>
    <s v="NO2_A1"/>
    <x v="7"/>
    <x v="122"/>
    <x v="0"/>
    <x v="11"/>
    <n v="367.19205575436598"/>
    <n v="134025.100350344"/>
    <n v="482490.36126123701"/>
  </r>
  <r>
    <x v="0"/>
    <x v="0"/>
    <x v="0"/>
    <x v="7"/>
    <x v="12"/>
    <s v="NO2_A1"/>
    <x v="7"/>
    <x v="122"/>
    <x v="0"/>
    <x v="12"/>
    <n v="367.19205575436598"/>
    <n v="134025.100350344"/>
    <n v="482490.36126123701"/>
  </r>
  <r>
    <x v="0"/>
    <x v="0"/>
    <x v="0"/>
    <x v="7"/>
    <x v="12"/>
    <s v="NO2_A1"/>
    <x v="7"/>
    <x v="122"/>
    <x v="0"/>
    <x v="13"/>
    <n v="367.19205575436598"/>
    <n v="134025.100350344"/>
    <n v="482490.36126123701"/>
  </r>
  <r>
    <x v="0"/>
    <x v="0"/>
    <x v="0"/>
    <x v="7"/>
    <x v="12"/>
    <s v="NO2_A1"/>
    <x v="7"/>
    <x v="122"/>
    <x v="0"/>
    <x v="14"/>
    <n v="367.19205575436598"/>
    <n v="134025.100350344"/>
    <n v="482490.36126123701"/>
  </r>
  <r>
    <x v="0"/>
    <x v="0"/>
    <x v="0"/>
    <x v="7"/>
    <x v="12"/>
    <s v="NO2_A1"/>
    <x v="7"/>
    <x v="122"/>
    <x v="0"/>
    <x v="15"/>
    <n v="367.19205575436598"/>
    <n v="134025.100350344"/>
    <n v="482490.36126123701"/>
  </r>
  <r>
    <x v="0"/>
    <x v="0"/>
    <x v="0"/>
    <x v="7"/>
    <x v="12"/>
    <s v="NO2_A1"/>
    <x v="7"/>
    <x v="122"/>
    <x v="0"/>
    <x v="16"/>
    <n v="367.19205575436598"/>
    <n v="134025.100350344"/>
    <n v="482490.36126123701"/>
  </r>
  <r>
    <x v="0"/>
    <x v="0"/>
    <x v="0"/>
    <x v="7"/>
    <x v="12"/>
    <s v="NO2_A1"/>
    <x v="7"/>
    <x v="122"/>
    <x v="0"/>
    <x v="17"/>
    <n v="367.19205575436598"/>
    <n v="134025.100350344"/>
    <n v="482490.36126123701"/>
  </r>
  <r>
    <x v="0"/>
    <x v="0"/>
    <x v="0"/>
    <x v="7"/>
    <x v="12"/>
    <s v="NO2_A1"/>
    <x v="7"/>
    <x v="122"/>
    <x v="0"/>
    <x v="18"/>
    <n v="367.19205575436598"/>
    <n v="134025.100350344"/>
    <n v="482490.36126123701"/>
  </r>
  <r>
    <x v="0"/>
    <x v="0"/>
    <x v="0"/>
    <x v="7"/>
    <x v="12"/>
    <s v="NO2_A1"/>
    <x v="7"/>
    <x v="122"/>
    <x v="0"/>
    <x v="19"/>
    <n v="367.19205575436598"/>
    <n v="134025.100350344"/>
    <n v="482490.36126123701"/>
  </r>
  <r>
    <x v="0"/>
    <x v="0"/>
    <x v="0"/>
    <x v="7"/>
    <x v="12"/>
    <s v="NO2_A1"/>
    <x v="7"/>
    <x v="122"/>
    <x v="0"/>
    <x v="20"/>
    <n v="367.19205575436598"/>
    <n v="134025.100350344"/>
    <n v="482490.36126123701"/>
  </r>
  <r>
    <x v="0"/>
    <x v="0"/>
    <x v="0"/>
    <x v="7"/>
    <x v="12"/>
    <s v="NO2_A1"/>
    <x v="7"/>
    <x v="122"/>
    <x v="0"/>
    <x v="21"/>
    <n v="367.19205575436598"/>
    <n v="134025.100350344"/>
    <n v="482490.36126123701"/>
  </r>
  <r>
    <x v="0"/>
    <x v="0"/>
    <x v="0"/>
    <x v="7"/>
    <x v="12"/>
    <s v="NO2_A1"/>
    <x v="7"/>
    <x v="122"/>
    <x v="0"/>
    <x v="22"/>
    <n v="367.19205575436598"/>
    <n v="134025.100350344"/>
    <n v="482490.36126123701"/>
  </r>
  <r>
    <x v="0"/>
    <x v="0"/>
    <x v="0"/>
    <x v="7"/>
    <x v="12"/>
    <s v="NO2_A1"/>
    <x v="7"/>
    <x v="122"/>
    <x v="0"/>
    <x v="23"/>
    <n v="367.19205575436598"/>
    <n v="134025.100350344"/>
    <n v="482490.36126123701"/>
  </r>
  <r>
    <x v="0"/>
    <x v="0"/>
    <x v="0"/>
    <x v="7"/>
    <x v="12"/>
    <s v="NO2_A1"/>
    <x v="7"/>
    <x v="123"/>
    <x v="0"/>
    <x v="3"/>
    <n v="887.19205575436604"/>
    <n v="323825.10035034397"/>
    <n v="1165770.36126124"/>
  </r>
  <r>
    <x v="0"/>
    <x v="0"/>
    <x v="0"/>
    <x v="7"/>
    <x v="12"/>
    <s v="NO2_A1"/>
    <x v="7"/>
    <x v="123"/>
    <x v="0"/>
    <x v="4"/>
    <n v="887.19205575436604"/>
    <n v="323825.10035034397"/>
    <n v="1165770.36126124"/>
  </r>
  <r>
    <x v="0"/>
    <x v="0"/>
    <x v="0"/>
    <x v="7"/>
    <x v="12"/>
    <s v="NO2_A1"/>
    <x v="7"/>
    <x v="123"/>
    <x v="0"/>
    <x v="5"/>
    <n v="887.19205575436604"/>
    <n v="323825.10035034397"/>
    <n v="1165770.36126124"/>
  </r>
  <r>
    <x v="0"/>
    <x v="0"/>
    <x v="0"/>
    <x v="7"/>
    <x v="12"/>
    <s v="NO2_A1"/>
    <x v="7"/>
    <x v="123"/>
    <x v="0"/>
    <x v="6"/>
    <n v="887.19205575436604"/>
    <n v="323825.10035034397"/>
    <n v="1165770.36126124"/>
  </r>
  <r>
    <x v="0"/>
    <x v="0"/>
    <x v="0"/>
    <x v="7"/>
    <x v="12"/>
    <s v="NO2_A1"/>
    <x v="7"/>
    <x v="123"/>
    <x v="0"/>
    <x v="7"/>
    <n v="887.19205575436604"/>
    <n v="323825.10035034397"/>
    <n v="1165770.36126124"/>
  </r>
  <r>
    <x v="0"/>
    <x v="0"/>
    <x v="0"/>
    <x v="7"/>
    <x v="12"/>
    <s v="NO2_A1"/>
    <x v="7"/>
    <x v="123"/>
    <x v="0"/>
    <x v="8"/>
    <n v="887.19205575436604"/>
    <n v="323825.10035034397"/>
    <n v="1165770.36126124"/>
  </r>
  <r>
    <x v="0"/>
    <x v="0"/>
    <x v="0"/>
    <x v="7"/>
    <x v="12"/>
    <s v="NO2_A1"/>
    <x v="7"/>
    <x v="123"/>
    <x v="0"/>
    <x v="0"/>
    <n v="887.19205575436604"/>
    <n v="323825.10035034397"/>
    <n v="1165770.36126124"/>
  </r>
  <r>
    <x v="0"/>
    <x v="0"/>
    <x v="0"/>
    <x v="7"/>
    <x v="12"/>
    <s v="NO2_A1"/>
    <x v="7"/>
    <x v="123"/>
    <x v="0"/>
    <x v="1"/>
    <n v="887.19205575436604"/>
    <n v="323825.10035034397"/>
    <n v="1165770.36126124"/>
  </r>
  <r>
    <x v="0"/>
    <x v="0"/>
    <x v="0"/>
    <x v="7"/>
    <x v="12"/>
    <s v="NO2_A1"/>
    <x v="7"/>
    <x v="123"/>
    <x v="0"/>
    <x v="2"/>
    <n v="887.19205575436604"/>
    <n v="323825.10035034397"/>
    <n v="1165770.36126124"/>
  </r>
  <r>
    <x v="0"/>
    <x v="0"/>
    <x v="0"/>
    <x v="7"/>
    <x v="12"/>
    <s v="NO2_A1"/>
    <x v="7"/>
    <x v="123"/>
    <x v="0"/>
    <x v="9"/>
    <n v="887.19205575436604"/>
    <n v="323825.10035034397"/>
    <n v="1165770.36126124"/>
  </r>
  <r>
    <x v="0"/>
    <x v="0"/>
    <x v="0"/>
    <x v="7"/>
    <x v="12"/>
    <s v="NO2_A1"/>
    <x v="7"/>
    <x v="123"/>
    <x v="0"/>
    <x v="10"/>
    <n v="887.19205575436604"/>
    <n v="323825.10035034397"/>
    <n v="1165770.36126124"/>
  </r>
  <r>
    <x v="0"/>
    <x v="0"/>
    <x v="0"/>
    <x v="7"/>
    <x v="12"/>
    <s v="NO2_A1"/>
    <x v="7"/>
    <x v="123"/>
    <x v="0"/>
    <x v="11"/>
    <n v="887.19205575436604"/>
    <n v="323825.10035034397"/>
    <n v="1165770.36126124"/>
  </r>
  <r>
    <x v="0"/>
    <x v="0"/>
    <x v="0"/>
    <x v="7"/>
    <x v="12"/>
    <s v="NO2_A1"/>
    <x v="7"/>
    <x v="123"/>
    <x v="0"/>
    <x v="12"/>
    <n v="887.19205575436604"/>
    <n v="323825.10035034397"/>
    <n v="1165770.36126124"/>
  </r>
  <r>
    <x v="0"/>
    <x v="0"/>
    <x v="0"/>
    <x v="7"/>
    <x v="12"/>
    <s v="NO2_A1"/>
    <x v="7"/>
    <x v="123"/>
    <x v="0"/>
    <x v="13"/>
    <n v="887.19205575436604"/>
    <n v="323825.10035034397"/>
    <n v="1165770.36126124"/>
  </r>
  <r>
    <x v="0"/>
    <x v="0"/>
    <x v="0"/>
    <x v="7"/>
    <x v="12"/>
    <s v="NO2_A1"/>
    <x v="7"/>
    <x v="123"/>
    <x v="0"/>
    <x v="14"/>
    <n v="887.19205575436604"/>
    <n v="323825.10035034397"/>
    <n v="1165770.36126124"/>
  </r>
  <r>
    <x v="0"/>
    <x v="0"/>
    <x v="0"/>
    <x v="7"/>
    <x v="12"/>
    <s v="NO2_A1"/>
    <x v="7"/>
    <x v="123"/>
    <x v="0"/>
    <x v="15"/>
    <n v="887.19205575436604"/>
    <n v="323825.10035034397"/>
    <n v="1165770.36126124"/>
  </r>
  <r>
    <x v="0"/>
    <x v="0"/>
    <x v="0"/>
    <x v="7"/>
    <x v="12"/>
    <s v="NO2_A1"/>
    <x v="7"/>
    <x v="123"/>
    <x v="0"/>
    <x v="16"/>
    <n v="887.19205575436604"/>
    <n v="323825.10035034397"/>
    <n v="1165770.36126124"/>
  </r>
  <r>
    <x v="0"/>
    <x v="0"/>
    <x v="0"/>
    <x v="7"/>
    <x v="12"/>
    <s v="NO2_A1"/>
    <x v="7"/>
    <x v="123"/>
    <x v="0"/>
    <x v="17"/>
    <n v="887.19205575436604"/>
    <n v="323825.10035034397"/>
    <n v="1165770.36126124"/>
  </r>
  <r>
    <x v="0"/>
    <x v="0"/>
    <x v="0"/>
    <x v="7"/>
    <x v="12"/>
    <s v="NO2_A1"/>
    <x v="7"/>
    <x v="123"/>
    <x v="0"/>
    <x v="18"/>
    <n v="887.19205575436604"/>
    <n v="323825.10035034397"/>
    <n v="1165770.36126124"/>
  </r>
  <r>
    <x v="0"/>
    <x v="0"/>
    <x v="0"/>
    <x v="7"/>
    <x v="12"/>
    <s v="NO2_A1"/>
    <x v="7"/>
    <x v="123"/>
    <x v="0"/>
    <x v="19"/>
    <n v="887.19205575436604"/>
    <n v="323825.10035034397"/>
    <n v="1165770.36126124"/>
  </r>
  <r>
    <x v="0"/>
    <x v="0"/>
    <x v="0"/>
    <x v="7"/>
    <x v="12"/>
    <s v="NO2_A1"/>
    <x v="7"/>
    <x v="123"/>
    <x v="0"/>
    <x v="20"/>
    <n v="887.19205575436604"/>
    <n v="323825.10035034397"/>
    <n v="1165770.36126124"/>
  </r>
  <r>
    <x v="0"/>
    <x v="0"/>
    <x v="0"/>
    <x v="7"/>
    <x v="12"/>
    <s v="NO2_A1"/>
    <x v="7"/>
    <x v="123"/>
    <x v="0"/>
    <x v="21"/>
    <n v="887.19205575436604"/>
    <n v="323825.10035034397"/>
    <n v="1165770.36126124"/>
  </r>
  <r>
    <x v="0"/>
    <x v="0"/>
    <x v="0"/>
    <x v="7"/>
    <x v="12"/>
    <s v="NO2_A1"/>
    <x v="7"/>
    <x v="123"/>
    <x v="0"/>
    <x v="22"/>
    <n v="887.19205575436604"/>
    <n v="323825.10035034397"/>
    <n v="1165770.36126124"/>
  </r>
  <r>
    <x v="0"/>
    <x v="0"/>
    <x v="0"/>
    <x v="7"/>
    <x v="12"/>
    <s v="NO2_A1"/>
    <x v="7"/>
    <x v="123"/>
    <x v="0"/>
    <x v="23"/>
    <n v="887.19205575436604"/>
    <n v="323825.10035034397"/>
    <n v="1165770.36126124"/>
  </r>
  <r>
    <x v="0"/>
    <x v="0"/>
    <x v="0"/>
    <x v="7"/>
    <x v="12"/>
    <s v="NO2_A1"/>
    <x v="7"/>
    <x v="124"/>
    <x v="0"/>
    <x v="3"/>
    <n v="887.19205575436604"/>
    <n v="323825.10035034397"/>
    <n v="1165770.36126124"/>
  </r>
  <r>
    <x v="0"/>
    <x v="0"/>
    <x v="0"/>
    <x v="7"/>
    <x v="12"/>
    <s v="NO2_A1"/>
    <x v="7"/>
    <x v="124"/>
    <x v="0"/>
    <x v="4"/>
    <n v="887.19205575436604"/>
    <n v="323825.10035034397"/>
    <n v="1165770.36126124"/>
  </r>
  <r>
    <x v="0"/>
    <x v="0"/>
    <x v="0"/>
    <x v="7"/>
    <x v="12"/>
    <s v="NO2_A1"/>
    <x v="7"/>
    <x v="124"/>
    <x v="0"/>
    <x v="5"/>
    <n v="812.47746994276304"/>
    <n v="296554.276529108"/>
    <n v="1067595.3955047899"/>
  </r>
  <r>
    <x v="0"/>
    <x v="0"/>
    <x v="0"/>
    <x v="7"/>
    <x v="12"/>
    <s v="NO2_A1"/>
    <x v="7"/>
    <x v="124"/>
    <x v="0"/>
    <x v="6"/>
    <n v="830.62310738355995"/>
    <n v="303177.43419499899"/>
    <n v="1091438.7631020001"/>
  </r>
  <r>
    <x v="0"/>
    <x v="0"/>
    <x v="0"/>
    <x v="7"/>
    <x v="12"/>
    <s v="NO2_A1"/>
    <x v="7"/>
    <x v="124"/>
    <x v="0"/>
    <x v="7"/>
    <n v="887.19205575436604"/>
    <n v="323825.10035034397"/>
    <n v="1165770.36126124"/>
  </r>
  <r>
    <x v="0"/>
    <x v="0"/>
    <x v="0"/>
    <x v="7"/>
    <x v="12"/>
    <s v="NO2_A1"/>
    <x v="7"/>
    <x v="124"/>
    <x v="0"/>
    <x v="8"/>
    <n v="887.19205575436604"/>
    <n v="323825.10035034397"/>
    <n v="1165770.36126124"/>
  </r>
  <r>
    <x v="0"/>
    <x v="0"/>
    <x v="0"/>
    <x v="7"/>
    <x v="12"/>
    <s v="NO2_A1"/>
    <x v="7"/>
    <x v="124"/>
    <x v="0"/>
    <x v="0"/>
    <n v="887.19205575436604"/>
    <n v="323825.10035034397"/>
    <n v="1165770.36126124"/>
  </r>
  <r>
    <x v="0"/>
    <x v="0"/>
    <x v="0"/>
    <x v="7"/>
    <x v="12"/>
    <s v="NO2_A1"/>
    <x v="7"/>
    <x v="124"/>
    <x v="0"/>
    <x v="1"/>
    <n v="887.19205575436604"/>
    <n v="323825.10035034397"/>
    <n v="1165770.36126124"/>
  </r>
  <r>
    <x v="0"/>
    <x v="0"/>
    <x v="0"/>
    <x v="7"/>
    <x v="12"/>
    <s v="NO2_A1"/>
    <x v="7"/>
    <x v="124"/>
    <x v="0"/>
    <x v="2"/>
    <n v="887.19205575436604"/>
    <n v="323825.10035034397"/>
    <n v="1165770.36126124"/>
  </r>
  <r>
    <x v="0"/>
    <x v="0"/>
    <x v="0"/>
    <x v="7"/>
    <x v="12"/>
    <s v="NO2_A1"/>
    <x v="7"/>
    <x v="124"/>
    <x v="0"/>
    <x v="9"/>
    <n v="887.19205575436604"/>
    <n v="323825.10035034397"/>
    <n v="1165770.36126124"/>
  </r>
  <r>
    <x v="0"/>
    <x v="0"/>
    <x v="0"/>
    <x v="7"/>
    <x v="12"/>
    <s v="NO2_A1"/>
    <x v="7"/>
    <x v="124"/>
    <x v="0"/>
    <x v="10"/>
    <n v="887.19205575436604"/>
    <n v="323825.10035034397"/>
    <n v="1165770.36126124"/>
  </r>
  <r>
    <x v="0"/>
    <x v="0"/>
    <x v="0"/>
    <x v="7"/>
    <x v="12"/>
    <s v="NO2_A1"/>
    <x v="7"/>
    <x v="124"/>
    <x v="0"/>
    <x v="11"/>
    <n v="887.19205575436604"/>
    <n v="323825.10035034397"/>
    <n v="1165770.36126124"/>
  </r>
  <r>
    <x v="0"/>
    <x v="0"/>
    <x v="0"/>
    <x v="7"/>
    <x v="12"/>
    <s v="NO2_A1"/>
    <x v="7"/>
    <x v="124"/>
    <x v="0"/>
    <x v="12"/>
    <n v="887.19205575436604"/>
    <n v="323825.10035034397"/>
    <n v="1165770.36126124"/>
  </r>
  <r>
    <x v="0"/>
    <x v="0"/>
    <x v="0"/>
    <x v="7"/>
    <x v="12"/>
    <s v="NO2_A1"/>
    <x v="7"/>
    <x v="124"/>
    <x v="0"/>
    <x v="13"/>
    <n v="887.19205575436604"/>
    <n v="323825.10035034397"/>
    <n v="1165770.36126124"/>
  </r>
  <r>
    <x v="0"/>
    <x v="0"/>
    <x v="0"/>
    <x v="7"/>
    <x v="12"/>
    <s v="NO2_A1"/>
    <x v="7"/>
    <x v="124"/>
    <x v="0"/>
    <x v="14"/>
    <n v="887.19205575436604"/>
    <n v="323825.10035034397"/>
    <n v="1165770.36126124"/>
  </r>
  <r>
    <x v="0"/>
    <x v="0"/>
    <x v="0"/>
    <x v="7"/>
    <x v="12"/>
    <s v="NO2_A1"/>
    <x v="7"/>
    <x v="124"/>
    <x v="0"/>
    <x v="15"/>
    <n v="887.19205575436604"/>
    <n v="323825.10035034397"/>
    <n v="1165770.36126124"/>
  </r>
  <r>
    <x v="0"/>
    <x v="0"/>
    <x v="0"/>
    <x v="7"/>
    <x v="12"/>
    <s v="NO2_A1"/>
    <x v="7"/>
    <x v="124"/>
    <x v="0"/>
    <x v="16"/>
    <n v="887.19205575436604"/>
    <n v="323825.10035034397"/>
    <n v="1165770.36126124"/>
  </r>
  <r>
    <x v="0"/>
    <x v="0"/>
    <x v="0"/>
    <x v="7"/>
    <x v="12"/>
    <s v="NO2_A1"/>
    <x v="7"/>
    <x v="124"/>
    <x v="0"/>
    <x v="17"/>
    <n v="887.19205575436604"/>
    <n v="323825.10035034397"/>
    <n v="1165770.36126124"/>
  </r>
  <r>
    <x v="0"/>
    <x v="0"/>
    <x v="0"/>
    <x v="7"/>
    <x v="12"/>
    <s v="NO2_A1"/>
    <x v="7"/>
    <x v="124"/>
    <x v="0"/>
    <x v="18"/>
    <n v="887.19205575436604"/>
    <n v="323825.10035034397"/>
    <n v="1165770.36126124"/>
  </r>
  <r>
    <x v="0"/>
    <x v="0"/>
    <x v="0"/>
    <x v="7"/>
    <x v="12"/>
    <s v="NO2_A1"/>
    <x v="7"/>
    <x v="124"/>
    <x v="0"/>
    <x v="19"/>
    <n v="887.19205575436604"/>
    <n v="323825.10035034397"/>
    <n v="1165770.36126124"/>
  </r>
  <r>
    <x v="0"/>
    <x v="0"/>
    <x v="0"/>
    <x v="7"/>
    <x v="12"/>
    <s v="NO2_A1"/>
    <x v="7"/>
    <x v="124"/>
    <x v="0"/>
    <x v="20"/>
    <n v="887.19205575436604"/>
    <n v="323825.10035034397"/>
    <n v="1165770.36126124"/>
  </r>
  <r>
    <x v="0"/>
    <x v="0"/>
    <x v="0"/>
    <x v="7"/>
    <x v="12"/>
    <s v="NO2_A1"/>
    <x v="7"/>
    <x v="124"/>
    <x v="0"/>
    <x v="21"/>
    <n v="671.85460265476297"/>
    <n v="245226.92996898899"/>
    <n v="882816.94788835896"/>
  </r>
  <r>
    <x v="0"/>
    <x v="0"/>
    <x v="0"/>
    <x v="7"/>
    <x v="12"/>
    <s v="NO2_A1"/>
    <x v="7"/>
    <x v="124"/>
    <x v="0"/>
    <x v="22"/>
    <n v="375.88981438710101"/>
    <n v="137199.782251292"/>
    <n v="493919.21610465"/>
  </r>
  <r>
    <x v="0"/>
    <x v="0"/>
    <x v="0"/>
    <x v="7"/>
    <x v="12"/>
    <s v="NO2_A1"/>
    <x v="7"/>
    <x v="124"/>
    <x v="0"/>
    <x v="23"/>
    <n v="48.480392745394703"/>
    <n v="17695.3433520691"/>
    <n v="63703.236067448699"/>
  </r>
  <r>
    <x v="0"/>
    <x v="0"/>
    <x v="0"/>
    <x v="7"/>
    <x v="12"/>
    <s v="NO2_A1"/>
    <x v="7"/>
    <x v="125"/>
    <x v="0"/>
    <x v="8"/>
    <n v="810.19134441103301"/>
    <n v="295719.84071002703"/>
    <n v="1064591.4265560999"/>
  </r>
  <r>
    <x v="0"/>
    <x v="0"/>
    <x v="0"/>
    <x v="7"/>
    <x v="12"/>
    <s v="NO2_A1"/>
    <x v="7"/>
    <x v="125"/>
    <x v="0"/>
    <x v="0"/>
    <n v="887.19205575436604"/>
    <n v="323825.10035034397"/>
    <n v="1165770.36126124"/>
  </r>
  <r>
    <x v="0"/>
    <x v="0"/>
    <x v="0"/>
    <x v="7"/>
    <x v="12"/>
    <s v="NO2_A1"/>
    <x v="7"/>
    <x v="125"/>
    <x v="0"/>
    <x v="1"/>
    <n v="887.19205575436604"/>
    <n v="323825.10035034397"/>
    <n v="1165770.36126124"/>
  </r>
  <r>
    <x v="0"/>
    <x v="0"/>
    <x v="0"/>
    <x v="7"/>
    <x v="12"/>
    <s v="NO2_A1"/>
    <x v="7"/>
    <x v="125"/>
    <x v="0"/>
    <x v="2"/>
    <n v="887.19205575436604"/>
    <n v="323825.10035034397"/>
    <n v="1165770.36126124"/>
  </r>
  <r>
    <x v="0"/>
    <x v="0"/>
    <x v="0"/>
    <x v="7"/>
    <x v="12"/>
    <s v="NO2_A1"/>
    <x v="7"/>
    <x v="125"/>
    <x v="0"/>
    <x v="9"/>
    <n v="887.19205575436604"/>
    <n v="323825.10035034397"/>
    <n v="1165770.36126124"/>
  </r>
  <r>
    <x v="0"/>
    <x v="0"/>
    <x v="0"/>
    <x v="7"/>
    <x v="12"/>
    <s v="NO2_A1"/>
    <x v="7"/>
    <x v="125"/>
    <x v="0"/>
    <x v="10"/>
    <n v="887.19205575436604"/>
    <n v="323825.10035034397"/>
    <n v="1165770.36126124"/>
  </r>
  <r>
    <x v="0"/>
    <x v="0"/>
    <x v="0"/>
    <x v="7"/>
    <x v="12"/>
    <s v="NO2_A1"/>
    <x v="7"/>
    <x v="125"/>
    <x v="0"/>
    <x v="11"/>
    <n v="887.19205575436604"/>
    <n v="323825.10035034397"/>
    <n v="1165770.36126124"/>
  </r>
  <r>
    <x v="0"/>
    <x v="0"/>
    <x v="0"/>
    <x v="7"/>
    <x v="12"/>
    <s v="NO2_A1"/>
    <x v="7"/>
    <x v="125"/>
    <x v="0"/>
    <x v="12"/>
    <n v="887.19205575436604"/>
    <n v="323825.10035034397"/>
    <n v="1165770.36126124"/>
  </r>
  <r>
    <x v="0"/>
    <x v="0"/>
    <x v="0"/>
    <x v="7"/>
    <x v="12"/>
    <s v="NO2_A1"/>
    <x v="7"/>
    <x v="125"/>
    <x v="0"/>
    <x v="13"/>
    <n v="887.19205575436604"/>
    <n v="323825.10035034397"/>
    <n v="1165770.36126124"/>
  </r>
  <r>
    <x v="0"/>
    <x v="0"/>
    <x v="0"/>
    <x v="7"/>
    <x v="12"/>
    <s v="NO2_A1"/>
    <x v="7"/>
    <x v="125"/>
    <x v="0"/>
    <x v="14"/>
    <n v="887.19205575436604"/>
    <n v="323825.10035034397"/>
    <n v="1165770.36126124"/>
  </r>
  <r>
    <x v="0"/>
    <x v="0"/>
    <x v="0"/>
    <x v="7"/>
    <x v="12"/>
    <s v="NO2_A1"/>
    <x v="7"/>
    <x v="125"/>
    <x v="0"/>
    <x v="15"/>
    <n v="887.19205575436604"/>
    <n v="323825.10035034397"/>
    <n v="1165770.36126124"/>
  </r>
  <r>
    <x v="0"/>
    <x v="0"/>
    <x v="0"/>
    <x v="7"/>
    <x v="12"/>
    <s v="NO2_A1"/>
    <x v="7"/>
    <x v="125"/>
    <x v="0"/>
    <x v="16"/>
    <n v="887.19205575436604"/>
    <n v="323825.10035034397"/>
    <n v="1165770.36126124"/>
  </r>
  <r>
    <x v="0"/>
    <x v="0"/>
    <x v="0"/>
    <x v="7"/>
    <x v="12"/>
    <s v="NO2_A1"/>
    <x v="7"/>
    <x v="125"/>
    <x v="0"/>
    <x v="17"/>
    <n v="887.19205575436604"/>
    <n v="323825.10035034397"/>
    <n v="1165770.36126124"/>
  </r>
  <r>
    <x v="0"/>
    <x v="0"/>
    <x v="0"/>
    <x v="7"/>
    <x v="12"/>
    <s v="NO2_A1"/>
    <x v="7"/>
    <x v="125"/>
    <x v="0"/>
    <x v="18"/>
    <n v="887.19205575436604"/>
    <n v="323825.10035034397"/>
    <n v="1165770.36126124"/>
  </r>
  <r>
    <x v="0"/>
    <x v="0"/>
    <x v="0"/>
    <x v="7"/>
    <x v="12"/>
    <s v="NO2_A1"/>
    <x v="7"/>
    <x v="125"/>
    <x v="0"/>
    <x v="19"/>
    <n v="887.19205575436604"/>
    <n v="323825.10035034397"/>
    <n v="1165770.36126124"/>
  </r>
  <r>
    <x v="0"/>
    <x v="0"/>
    <x v="0"/>
    <x v="7"/>
    <x v="12"/>
    <s v="NO2_A1"/>
    <x v="7"/>
    <x v="125"/>
    <x v="0"/>
    <x v="20"/>
    <n v="887.19205575436604"/>
    <n v="323825.10035034397"/>
    <n v="1165770.36126124"/>
  </r>
  <r>
    <x v="0"/>
    <x v="0"/>
    <x v="0"/>
    <x v="7"/>
    <x v="12"/>
    <s v="NO2_A1"/>
    <x v="7"/>
    <x v="126"/>
    <x v="0"/>
    <x v="0"/>
    <n v="887.19205575436604"/>
    <n v="323825.10035034397"/>
    <n v="1165770.36126124"/>
  </r>
  <r>
    <x v="0"/>
    <x v="0"/>
    <x v="0"/>
    <x v="7"/>
    <x v="12"/>
    <s v="NO2_A1"/>
    <x v="7"/>
    <x v="126"/>
    <x v="0"/>
    <x v="1"/>
    <n v="887.19205575436604"/>
    <n v="323825.10035034397"/>
    <n v="1165770.36126124"/>
  </r>
  <r>
    <x v="0"/>
    <x v="0"/>
    <x v="0"/>
    <x v="7"/>
    <x v="12"/>
    <s v="NO2_A1"/>
    <x v="7"/>
    <x v="126"/>
    <x v="0"/>
    <x v="2"/>
    <n v="887.19205575436604"/>
    <n v="323825.10035034397"/>
    <n v="1165770.36126124"/>
  </r>
  <r>
    <x v="0"/>
    <x v="0"/>
    <x v="0"/>
    <x v="7"/>
    <x v="12"/>
    <s v="NO2_A1"/>
    <x v="7"/>
    <x v="126"/>
    <x v="0"/>
    <x v="9"/>
    <n v="887.19205575436604"/>
    <n v="323825.10035034397"/>
    <n v="1165770.36126124"/>
  </r>
  <r>
    <x v="0"/>
    <x v="0"/>
    <x v="0"/>
    <x v="7"/>
    <x v="12"/>
    <s v="NO2_A1"/>
    <x v="7"/>
    <x v="126"/>
    <x v="0"/>
    <x v="10"/>
    <n v="887.19205575436604"/>
    <n v="323825.10035034397"/>
    <n v="1165770.36126124"/>
  </r>
  <r>
    <x v="0"/>
    <x v="0"/>
    <x v="0"/>
    <x v="7"/>
    <x v="12"/>
    <s v="NO2_A1"/>
    <x v="7"/>
    <x v="126"/>
    <x v="0"/>
    <x v="11"/>
    <n v="887.19205575436604"/>
    <n v="323825.10035034397"/>
    <n v="1165770.36126124"/>
  </r>
  <r>
    <x v="0"/>
    <x v="0"/>
    <x v="0"/>
    <x v="7"/>
    <x v="12"/>
    <s v="NO2_A1"/>
    <x v="7"/>
    <x v="126"/>
    <x v="0"/>
    <x v="12"/>
    <n v="887.19205575436604"/>
    <n v="323825.10035034397"/>
    <n v="1165770.36126124"/>
  </r>
  <r>
    <x v="0"/>
    <x v="0"/>
    <x v="0"/>
    <x v="7"/>
    <x v="12"/>
    <s v="NO2_A1"/>
    <x v="7"/>
    <x v="126"/>
    <x v="0"/>
    <x v="13"/>
    <n v="887.19205575436604"/>
    <n v="323825.10035034397"/>
    <n v="1165770.36126124"/>
  </r>
  <r>
    <x v="0"/>
    <x v="0"/>
    <x v="0"/>
    <x v="7"/>
    <x v="12"/>
    <s v="NO2_A1"/>
    <x v="7"/>
    <x v="126"/>
    <x v="0"/>
    <x v="14"/>
    <n v="887.19205575436604"/>
    <n v="323825.10035034397"/>
    <n v="1165770.36126124"/>
  </r>
  <r>
    <x v="0"/>
    <x v="0"/>
    <x v="0"/>
    <x v="7"/>
    <x v="12"/>
    <s v="NO2_A1"/>
    <x v="7"/>
    <x v="126"/>
    <x v="0"/>
    <x v="15"/>
    <n v="887.19205575436604"/>
    <n v="323825.10035034397"/>
    <n v="1165770.36126124"/>
  </r>
  <r>
    <x v="0"/>
    <x v="0"/>
    <x v="0"/>
    <x v="7"/>
    <x v="12"/>
    <s v="NO2_A1"/>
    <x v="7"/>
    <x v="126"/>
    <x v="0"/>
    <x v="16"/>
    <n v="887.19205575436604"/>
    <n v="323825.10035034397"/>
    <n v="1165770.36126124"/>
  </r>
  <r>
    <x v="0"/>
    <x v="0"/>
    <x v="0"/>
    <x v="7"/>
    <x v="12"/>
    <s v="NO2_A1"/>
    <x v="7"/>
    <x v="126"/>
    <x v="0"/>
    <x v="17"/>
    <n v="887.19205575436604"/>
    <n v="323825.10035034397"/>
    <n v="1165770.36126124"/>
  </r>
  <r>
    <x v="0"/>
    <x v="0"/>
    <x v="0"/>
    <x v="7"/>
    <x v="12"/>
    <s v="NO2_A1"/>
    <x v="7"/>
    <x v="126"/>
    <x v="0"/>
    <x v="18"/>
    <n v="887.19205575436604"/>
    <n v="323825.10035034397"/>
    <n v="1165770.36126124"/>
  </r>
  <r>
    <x v="0"/>
    <x v="0"/>
    <x v="0"/>
    <x v="7"/>
    <x v="12"/>
    <s v="NO2_A1"/>
    <x v="7"/>
    <x v="126"/>
    <x v="0"/>
    <x v="19"/>
    <n v="887.19205575436604"/>
    <n v="323825.10035034397"/>
    <n v="1165770.36126124"/>
  </r>
  <r>
    <x v="0"/>
    <x v="0"/>
    <x v="0"/>
    <x v="7"/>
    <x v="12"/>
    <s v="NO2_A1"/>
    <x v="7"/>
    <x v="127"/>
    <x v="0"/>
    <x v="0"/>
    <n v="887.19205575436604"/>
    <n v="323825.10035034397"/>
    <n v="1165770.36126124"/>
  </r>
  <r>
    <x v="0"/>
    <x v="0"/>
    <x v="0"/>
    <x v="7"/>
    <x v="12"/>
    <s v="NO2_A1"/>
    <x v="7"/>
    <x v="127"/>
    <x v="0"/>
    <x v="1"/>
    <n v="887.19205575436604"/>
    <n v="323825.10035034397"/>
    <n v="1165770.36126124"/>
  </r>
  <r>
    <x v="0"/>
    <x v="0"/>
    <x v="0"/>
    <x v="7"/>
    <x v="12"/>
    <s v="NO2_A1"/>
    <x v="7"/>
    <x v="127"/>
    <x v="0"/>
    <x v="2"/>
    <n v="887.19205575436604"/>
    <n v="323825.10035034397"/>
    <n v="1165770.36126124"/>
  </r>
  <r>
    <x v="0"/>
    <x v="0"/>
    <x v="0"/>
    <x v="7"/>
    <x v="12"/>
    <s v="NO2_A1"/>
    <x v="7"/>
    <x v="127"/>
    <x v="0"/>
    <x v="9"/>
    <n v="887.19205575436604"/>
    <n v="323825.10035034397"/>
    <n v="1165770.36126124"/>
  </r>
  <r>
    <x v="0"/>
    <x v="0"/>
    <x v="0"/>
    <x v="7"/>
    <x v="12"/>
    <s v="NO2_A1"/>
    <x v="7"/>
    <x v="127"/>
    <x v="0"/>
    <x v="10"/>
    <n v="887.19205575436604"/>
    <n v="323825.10035034397"/>
    <n v="1165770.36126124"/>
  </r>
  <r>
    <x v="0"/>
    <x v="0"/>
    <x v="0"/>
    <x v="7"/>
    <x v="12"/>
    <s v="NO2_A1"/>
    <x v="7"/>
    <x v="127"/>
    <x v="0"/>
    <x v="11"/>
    <n v="887.19205575436604"/>
    <n v="323825.10035034397"/>
    <n v="1165770.36126124"/>
  </r>
  <r>
    <x v="0"/>
    <x v="0"/>
    <x v="0"/>
    <x v="7"/>
    <x v="12"/>
    <s v="NO2_A1"/>
    <x v="7"/>
    <x v="127"/>
    <x v="0"/>
    <x v="12"/>
    <n v="887.19205575436604"/>
    <n v="323825.10035034397"/>
    <n v="1165770.36126124"/>
  </r>
  <r>
    <x v="0"/>
    <x v="0"/>
    <x v="0"/>
    <x v="7"/>
    <x v="12"/>
    <s v="NO2_A1"/>
    <x v="7"/>
    <x v="127"/>
    <x v="0"/>
    <x v="13"/>
    <n v="584.47600415609804"/>
    <n v="213333.74151697601"/>
    <n v="768001.46946111298"/>
  </r>
  <r>
    <x v="0"/>
    <x v="0"/>
    <x v="0"/>
    <x v="7"/>
    <x v="12"/>
    <s v="NO2_A1"/>
    <x v="7"/>
    <x v="127"/>
    <x v="0"/>
    <x v="14"/>
    <n v="887.19205575436604"/>
    <n v="323825.10035034397"/>
    <n v="1165770.36126124"/>
  </r>
  <r>
    <x v="0"/>
    <x v="0"/>
    <x v="0"/>
    <x v="7"/>
    <x v="12"/>
    <s v="NO2_A1"/>
    <x v="7"/>
    <x v="127"/>
    <x v="0"/>
    <x v="15"/>
    <n v="887.19205575436604"/>
    <n v="323825.10035034397"/>
    <n v="1165770.36126124"/>
  </r>
  <r>
    <x v="0"/>
    <x v="0"/>
    <x v="0"/>
    <x v="7"/>
    <x v="12"/>
    <s v="NO2_A1"/>
    <x v="7"/>
    <x v="127"/>
    <x v="0"/>
    <x v="16"/>
    <n v="887.19205575436604"/>
    <n v="323825.10035034397"/>
    <n v="1165770.36126124"/>
  </r>
  <r>
    <x v="0"/>
    <x v="0"/>
    <x v="0"/>
    <x v="7"/>
    <x v="12"/>
    <s v="NO2_A1"/>
    <x v="7"/>
    <x v="127"/>
    <x v="0"/>
    <x v="17"/>
    <n v="887.19205575436604"/>
    <n v="323825.10035034397"/>
    <n v="1165770.36126124"/>
  </r>
  <r>
    <x v="0"/>
    <x v="0"/>
    <x v="0"/>
    <x v="7"/>
    <x v="12"/>
    <s v="NO2_A1"/>
    <x v="7"/>
    <x v="127"/>
    <x v="0"/>
    <x v="18"/>
    <n v="407.9668723954"/>
    <n v="148907.90842432101"/>
    <n v="536068.47032755602"/>
  </r>
  <r>
    <x v="0"/>
    <x v="0"/>
    <x v="0"/>
    <x v="7"/>
    <x v="12"/>
    <s v="NO2_A1"/>
    <x v="7"/>
    <x v="127"/>
    <x v="0"/>
    <x v="19"/>
    <n v="52.573862612601999"/>
    <n v="19189.459853599699"/>
    <n v="69082.055472958993"/>
  </r>
  <r>
    <x v="0"/>
    <x v="0"/>
    <x v="0"/>
    <x v="7"/>
    <x v="12"/>
    <s v="NO2_A1"/>
    <x v="7"/>
    <x v="128"/>
    <x v="0"/>
    <x v="1"/>
    <n v="505.35191802140298"/>
    <n v="184453.45007781201"/>
    <n v="664032.42028012394"/>
  </r>
  <r>
    <x v="0"/>
    <x v="0"/>
    <x v="0"/>
    <x v="7"/>
    <x v="12"/>
    <s v="NO2_A1"/>
    <x v="7"/>
    <x v="128"/>
    <x v="0"/>
    <x v="2"/>
    <n v="887.19205575436604"/>
    <n v="323825.10035034397"/>
    <n v="1165770.36126124"/>
  </r>
  <r>
    <x v="0"/>
    <x v="0"/>
    <x v="0"/>
    <x v="7"/>
    <x v="12"/>
    <s v="NO2_A1"/>
    <x v="7"/>
    <x v="128"/>
    <x v="0"/>
    <x v="9"/>
    <n v="887.19205575436604"/>
    <n v="323825.10035034397"/>
    <n v="1165770.36126124"/>
  </r>
  <r>
    <x v="0"/>
    <x v="0"/>
    <x v="0"/>
    <x v="7"/>
    <x v="12"/>
    <s v="NO2_A1"/>
    <x v="7"/>
    <x v="128"/>
    <x v="0"/>
    <x v="10"/>
    <n v="887.19205575436604"/>
    <n v="323825.10035034397"/>
    <n v="1165770.36126124"/>
  </r>
  <r>
    <x v="0"/>
    <x v="0"/>
    <x v="0"/>
    <x v="7"/>
    <x v="12"/>
    <s v="NO2_A1"/>
    <x v="7"/>
    <x v="209"/>
    <x v="0"/>
    <x v="3"/>
    <n v="520"/>
    <n v="189800"/>
    <n v="683280"/>
  </r>
  <r>
    <x v="0"/>
    <x v="0"/>
    <x v="0"/>
    <x v="7"/>
    <x v="12"/>
    <s v="NO2_A1"/>
    <x v="7"/>
    <x v="209"/>
    <x v="0"/>
    <x v="4"/>
    <n v="520"/>
    <n v="189800"/>
    <n v="683280"/>
  </r>
  <r>
    <x v="0"/>
    <x v="0"/>
    <x v="0"/>
    <x v="7"/>
    <x v="12"/>
    <s v="NO2_A1"/>
    <x v="7"/>
    <x v="209"/>
    <x v="0"/>
    <x v="5"/>
    <n v="520"/>
    <n v="189800"/>
    <n v="683280"/>
  </r>
  <r>
    <x v="0"/>
    <x v="0"/>
    <x v="0"/>
    <x v="7"/>
    <x v="12"/>
    <s v="NO2_A1"/>
    <x v="7"/>
    <x v="209"/>
    <x v="0"/>
    <x v="6"/>
    <n v="520"/>
    <n v="189800"/>
    <n v="683280"/>
  </r>
  <r>
    <x v="0"/>
    <x v="0"/>
    <x v="0"/>
    <x v="7"/>
    <x v="12"/>
    <s v="NO2_A1"/>
    <x v="7"/>
    <x v="209"/>
    <x v="0"/>
    <x v="7"/>
    <n v="520"/>
    <n v="189800"/>
    <n v="683280"/>
  </r>
  <r>
    <x v="0"/>
    <x v="0"/>
    <x v="0"/>
    <x v="7"/>
    <x v="12"/>
    <s v="NO2_A1"/>
    <x v="7"/>
    <x v="209"/>
    <x v="0"/>
    <x v="8"/>
    <n v="520"/>
    <n v="189800"/>
    <n v="683280"/>
  </r>
  <r>
    <x v="0"/>
    <x v="0"/>
    <x v="0"/>
    <x v="7"/>
    <x v="12"/>
    <s v="NO2_A1"/>
    <x v="7"/>
    <x v="209"/>
    <x v="0"/>
    <x v="0"/>
    <n v="520"/>
    <n v="189800"/>
    <n v="683280"/>
  </r>
  <r>
    <x v="0"/>
    <x v="0"/>
    <x v="0"/>
    <x v="7"/>
    <x v="12"/>
    <s v="NO2_A1"/>
    <x v="7"/>
    <x v="209"/>
    <x v="0"/>
    <x v="1"/>
    <n v="520"/>
    <n v="189800"/>
    <n v="683280"/>
  </r>
  <r>
    <x v="0"/>
    <x v="0"/>
    <x v="0"/>
    <x v="7"/>
    <x v="12"/>
    <s v="NO2_A1"/>
    <x v="7"/>
    <x v="209"/>
    <x v="0"/>
    <x v="2"/>
    <n v="520"/>
    <n v="189800"/>
    <n v="683280"/>
  </r>
  <r>
    <x v="0"/>
    <x v="0"/>
    <x v="0"/>
    <x v="7"/>
    <x v="12"/>
    <s v="NO2_A1"/>
    <x v="7"/>
    <x v="209"/>
    <x v="0"/>
    <x v="9"/>
    <n v="520"/>
    <n v="189800"/>
    <n v="683280"/>
  </r>
  <r>
    <x v="0"/>
    <x v="0"/>
    <x v="0"/>
    <x v="7"/>
    <x v="12"/>
    <s v="NO2_A1"/>
    <x v="7"/>
    <x v="209"/>
    <x v="0"/>
    <x v="10"/>
    <n v="520"/>
    <n v="189800"/>
    <n v="683280"/>
  </r>
  <r>
    <x v="0"/>
    <x v="0"/>
    <x v="0"/>
    <x v="7"/>
    <x v="12"/>
    <s v="NO2_A1"/>
    <x v="7"/>
    <x v="209"/>
    <x v="0"/>
    <x v="11"/>
    <n v="520"/>
    <n v="189800"/>
    <n v="683280"/>
  </r>
  <r>
    <x v="0"/>
    <x v="0"/>
    <x v="0"/>
    <x v="7"/>
    <x v="12"/>
    <s v="NO2_A1"/>
    <x v="7"/>
    <x v="209"/>
    <x v="0"/>
    <x v="12"/>
    <n v="520"/>
    <n v="189800"/>
    <n v="683280"/>
  </r>
  <r>
    <x v="0"/>
    <x v="0"/>
    <x v="0"/>
    <x v="7"/>
    <x v="12"/>
    <s v="NO2_A1"/>
    <x v="7"/>
    <x v="209"/>
    <x v="0"/>
    <x v="13"/>
    <n v="520"/>
    <n v="189800"/>
    <n v="683280"/>
  </r>
  <r>
    <x v="0"/>
    <x v="0"/>
    <x v="0"/>
    <x v="7"/>
    <x v="12"/>
    <s v="NO2_A1"/>
    <x v="7"/>
    <x v="209"/>
    <x v="0"/>
    <x v="14"/>
    <n v="520"/>
    <n v="189800"/>
    <n v="683280"/>
  </r>
  <r>
    <x v="0"/>
    <x v="0"/>
    <x v="0"/>
    <x v="7"/>
    <x v="12"/>
    <s v="NO2_A1"/>
    <x v="7"/>
    <x v="209"/>
    <x v="0"/>
    <x v="15"/>
    <n v="520"/>
    <n v="189800"/>
    <n v="683280"/>
  </r>
  <r>
    <x v="0"/>
    <x v="0"/>
    <x v="0"/>
    <x v="7"/>
    <x v="12"/>
    <s v="NO2_A1"/>
    <x v="7"/>
    <x v="209"/>
    <x v="0"/>
    <x v="16"/>
    <n v="520"/>
    <n v="189800"/>
    <n v="683280"/>
  </r>
  <r>
    <x v="0"/>
    <x v="0"/>
    <x v="0"/>
    <x v="7"/>
    <x v="12"/>
    <s v="NO2_A1"/>
    <x v="7"/>
    <x v="209"/>
    <x v="0"/>
    <x v="17"/>
    <n v="520"/>
    <n v="189800"/>
    <n v="683280"/>
  </r>
  <r>
    <x v="0"/>
    <x v="0"/>
    <x v="0"/>
    <x v="7"/>
    <x v="12"/>
    <s v="NO2_A1"/>
    <x v="7"/>
    <x v="209"/>
    <x v="0"/>
    <x v="18"/>
    <n v="520"/>
    <n v="189800"/>
    <n v="683280"/>
  </r>
  <r>
    <x v="0"/>
    <x v="0"/>
    <x v="0"/>
    <x v="7"/>
    <x v="12"/>
    <s v="NO2_A1"/>
    <x v="7"/>
    <x v="209"/>
    <x v="0"/>
    <x v="19"/>
    <n v="520"/>
    <n v="189800"/>
    <n v="683280"/>
  </r>
  <r>
    <x v="0"/>
    <x v="0"/>
    <x v="0"/>
    <x v="7"/>
    <x v="12"/>
    <s v="NO2_A1"/>
    <x v="7"/>
    <x v="209"/>
    <x v="0"/>
    <x v="20"/>
    <n v="520"/>
    <n v="189800"/>
    <n v="683280"/>
  </r>
  <r>
    <x v="0"/>
    <x v="0"/>
    <x v="0"/>
    <x v="7"/>
    <x v="12"/>
    <s v="NO2_A1"/>
    <x v="7"/>
    <x v="209"/>
    <x v="0"/>
    <x v="21"/>
    <n v="520"/>
    <n v="189800"/>
    <n v="683280"/>
  </r>
  <r>
    <x v="0"/>
    <x v="0"/>
    <x v="0"/>
    <x v="7"/>
    <x v="12"/>
    <s v="NO2_A1"/>
    <x v="7"/>
    <x v="209"/>
    <x v="0"/>
    <x v="22"/>
    <n v="520"/>
    <n v="189800"/>
    <n v="683280"/>
  </r>
  <r>
    <x v="0"/>
    <x v="0"/>
    <x v="0"/>
    <x v="7"/>
    <x v="12"/>
    <s v="NO2_A1"/>
    <x v="7"/>
    <x v="209"/>
    <x v="0"/>
    <x v="23"/>
    <n v="520"/>
    <n v="189800"/>
    <n v="683280"/>
  </r>
  <r>
    <x v="0"/>
    <x v="0"/>
    <x v="0"/>
    <x v="7"/>
    <x v="12"/>
    <s v="NO2_A1"/>
    <x v="7"/>
    <x v="46"/>
    <x v="0"/>
    <x v="3"/>
    <n v="1058.7105432231699"/>
    <n v="386429.34827645897"/>
    <n v="1391145.65379525"/>
  </r>
  <r>
    <x v="0"/>
    <x v="0"/>
    <x v="0"/>
    <x v="7"/>
    <x v="12"/>
    <s v="NO2_A1"/>
    <x v="7"/>
    <x v="46"/>
    <x v="0"/>
    <x v="4"/>
    <n v="1058.7105432231699"/>
    <n v="386429.34827645897"/>
    <n v="1391145.65379525"/>
  </r>
  <r>
    <x v="0"/>
    <x v="0"/>
    <x v="0"/>
    <x v="7"/>
    <x v="12"/>
    <s v="NO2_A1"/>
    <x v="7"/>
    <x v="46"/>
    <x v="0"/>
    <x v="5"/>
    <n v="1058.7105432231699"/>
    <n v="386429.34827645897"/>
    <n v="1391145.65379525"/>
  </r>
  <r>
    <x v="0"/>
    <x v="0"/>
    <x v="0"/>
    <x v="7"/>
    <x v="12"/>
    <s v="NO2_A1"/>
    <x v="7"/>
    <x v="46"/>
    <x v="0"/>
    <x v="6"/>
    <n v="1058.7105432231699"/>
    <n v="386429.34827645897"/>
    <n v="1391145.65379525"/>
  </r>
  <r>
    <x v="0"/>
    <x v="0"/>
    <x v="0"/>
    <x v="7"/>
    <x v="12"/>
    <s v="NO2_A1"/>
    <x v="7"/>
    <x v="46"/>
    <x v="0"/>
    <x v="7"/>
    <n v="1058.7105432231699"/>
    <n v="386429.34827645897"/>
    <n v="1391145.65379525"/>
  </r>
  <r>
    <x v="0"/>
    <x v="0"/>
    <x v="0"/>
    <x v="7"/>
    <x v="12"/>
    <s v="NO2_A1"/>
    <x v="7"/>
    <x v="46"/>
    <x v="0"/>
    <x v="8"/>
    <n v="1058.7105432231699"/>
    <n v="386429.34827645897"/>
    <n v="1391145.65379525"/>
  </r>
  <r>
    <x v="0"/>
    <x v="0"/>
    <x v="0"/>
    <x v="7"/>
    <x v="12"/>
    <s v="NO2_A1"/>
    <x v="7"/>
    <x v="46"/>
    <x v="0"/>
    <x v="0"/>
    <n v="1058.7105432231699"/>
    <n v="386429.34827645897"/>
    <n v="1391145.65379525"/>
  </r>
  <r>
    <x v="0"/>
    <x v="0"/>
    <x v="0"/>
    <x v="7"/>
    <x v="12"/>
    <s v="NO2_A1"/>
    <x v="7"/>
    <x v="46"/>
    <x v="0"/>
    <x v="1"/>
    <n v="1058.7105432231699"/>
    <n v="386429.34827645897"/>
    <n v="1391145.65379525"/>
  </r>
  <r>
    <x v="0"/>
    <x v="0"/>
    <x v="0"/>
    <x v="7"/>
    <x v="12"/>
    <s v="NO2_A1"/>
    <x v="7"/>
    <x v="46"/>
    <x v="0"/>
    <x v="2"/>
    <n v="1058.7105432231699"/>
    <n v="386429.34827645897"/>
    <n v="1391145.65379525"/>
  </r>
  <r>
    <x v="0"/>
    <x v="0"/>
    <x v="0"/>
    <x v="7"/>
    <x v="12"/>
    <s v="NO2_A1"/>
    <x v="7"/>
    <x v="46"/>
    <x v="0"/>
    <x v="9"/>
    <n v="1058.7105432231699"/>
    <n v="386429.34827645897"/>
    <n v="1391145.65379525"/>
  </r>
  <r>
    <x v="0"/>
    <x v="0"/>
    <x v="0"/>
    <x v="7"/>
    <x v="12"/>
    <s v="NO2_A1"/>
    <x v="7"/>
    <x v="46"/>
    <x v="0"/>
    <x v="10"/>
    <n v="1058.7105432231699"/>
    <n v="386429.34827645897"/>
    <n v="1391145.65379525"/>
  </r>
  <r>
    <x v="0"/>
    <x v="0"/>
    <x v="0"/>
    <x v="7"/>
    <x v="12"/>
    <s v="NO2_A1"/>
    <x v="7"/>
    <x v="46"/>
    <x v="0"/>
    <x v="11"/>
    <n v="1058.7105432231699"/>
    <n v="386429.34827645897"/>
    <n v="1391145.65379525"/>
  </r>
  <r>
    <x v="0"/>
    <x v="0"/>
    <x v="0"/>
    <x v="7"/>
    <x v="12"/>
    <s v="NO2_A1"/>
    <x v="7"/>
    <x v="46"/>
    <x v="0"/>
    <x v="12"/>
    <n v="1058.7105432231699"/>
    <n v="386429.34827645897"/>
    <n v="1391145.65379525"/>
  </r>
  <r>
    <x v="0"/>
    <x v="0"/>
    <x v="0"/>
    <x v="7"/>
    <x v="12"/>
    <s v="NO2_A1"/>
    <x v="7"/>
    <x v="46"/>
    <x v="0"/>
    <x v="13"/>
    <n v="1058.7105432231699"/>
    <n v="386429.34827645897"/>
    <n v="1391145.65379525"/>
  </r>
  <r>
    <x v="0"/>
    <x v="0"/>
    <x v="0"/>
    <x v="7"/>
    <x v="12"/>
    <s v="NO2_A1"/>
    <x v="7"/>
    <x v="46"/>
    <x v="0"/>
    <x v="14"/>
    <n v="1058.7105432231699"/>
    <n v="386429.34827645897"/>
    <n v="1391145.65379525"/>
  </r>
  <r>
    <x v="0"/>
    <x v="0"/>
    <x v="0"/>
    <x v="7"/>
    <x v="12"/>
    <s v="NO2_A1"/>
    <x v="7"/>
    <x v="46"/>
    <x v="0"/>
    <x v="15"/>
    <n v="1058.7105432231699"/>
    <n v="386429.34827645897"/>
    <n v="1391145.65379525"/>
  </r>
  <r>
    <x v="0"/>
    <x v="0"/>
    <x v="0"/>
    <x v="7"/>
    <x v="12"/>
    <s v="NO2_A1"/>
    <x v="7"/>
    <x v="46"/>
    <x v="0"/>
    <x v="16"/>
    <n v="1058.7105432231699"/>
    <n v="386429.34827645897"/>
    <n v="1391145.65379525"/>
  </r>
  <r>
    <x v="0"/>
    <x v="0"/>
    <x v="0"/>
    <x v="7"/>
    <x v="12"/>
    <s v="NO2_A1"/>
    <x v="7"/>
    <x v="46"/>
    <x v="0"/>
    <x v="17"/>
    <n v="1058.7105432231699"/>
    <n v="386429.34827645897"/>
    <n v="1391145.65379525"/>
  </r>
  <r>
    <x v="0"/>
    <x v="0"/>
    <x v="0"/>
    <x v="7"/>
    <x v="12"/>
    <s v="NO2_A1"/>
    <x v="7"/>
    <x v="46"/>
    <x v="0"/>
    <x v="18"/>
    <n v="1058.7105432231699"/>
    <n v="386429.34827645897"/>
    <n v="1391145.65379525"/>
  </r>
  <r>
    <x v="0"/>
    <x v="0"/>
    <x v="0"/>
    <x v="7"/>
    <x v="12"/>
    <s v="NO2_A1"/>
    <x v="7"/>
    <x v="46"/>
    <x v="0"/>
    <x v="19"/>
    <n v="1058.7105432231699"/>
    <n v="386429.34827645897"/>
    <n v="1391145.65379525"/>
  </r>
  <r>
    <x v="0"/>
    <x v="0"/>
    <x v="0"/>
    <x v="7"/>
    <x v="12"/>
    <s v="NO2_A1"/>
    <x v="7"/>
    <x v="46"/>
    <x v="0"/>
    <x v="20"/>
    <n v="1058.7105432231699"/>
    <n v="386429.34827645897"/>
    <n v="1391145.65379525"/>
  </r>
  <r>
    <x v="0"/>
    <x v="0"/>
    <x v="0"/>
    <x v="7"/>
    <x v="12"/>
    <s v="NO2_A1"/>
    <x v="7"/>
    <x v="46"/>
    <x v="0"/>
    <x v="21"/>
    <n v="1058.7105432231699"/>
    <n v="386429.34827645897"/>
    <n v="1391145.65379525"/>
  </r>
  <r>
    <x v="0"/>
    <x v="0"/>
    <x v="0"/>
    <x v="7"/>
    <x v="12"/>
    <s v="NO2_A1"/>
    <x v="7"/>
    <x v="46"/>
    <x v="0"/>
    <x v="22"/>
    <n v="1058.7105432231699"/>
    <n v="386429.34827645897"/>
    <n v="1391145.65379525"/>
  </r>
  <r>
    <x v="0"/>
    <x v="0"/>
    <x v="0"/>
    <x v="7"/>
    <x v="12"/>
    <s v="NO2_A1"/>
    <x v="7"/>
    <x v="46"/>
    <x v="0"/>
    <x v="23"/>
    <n v="1058.7105432231699"/>
    <n v="386429.34827645897"/>
    <n v="1391145.65379525"/>
  </r>
  <r>
    <x v="0"/>
    <x v="0"/>
    <x v="0"/>
    <x v="7"/>
    <x v="12"/>
    <s v="NO2_A1"/>
    <x v="8"/>
    <x v="47"/>
    <x v="0"/>
    <x v="3"/>
    <n v="188.37834895824599"/>
    <n v="68758.097369759693"/>
    <n v="247529.150531135"/>
  </r>
  <r>
    <x v="0"/>
    <x v="0"/>
    <x v="0"/>
    <x v="7"/>
    <x v="12"/>
    <s v="NO2_A1"/>
    <x v="8"/>
    <x v="47"/>
    <x v="0"/>
    <x v="4"/>
    <n v="189.76088581393799"/>
    <n v="69262.723322087404"/>
    <n v="249345.803959515"/>
  </r>
  <r>
    <x v="0"/>
    <x v="0"/>
    <x v="0"/>
    <x v="7"/>
    <x v="12"/>
    <s v="NO2_A1"/>
    <x v="8"/>
    <x v="47"/>
    <x v="0"/>
    <x v="5"/>
    <n v="191.45827827411401"/>
    <n v="69882.2715700517"/>
    <n v="251576.17765218599"/>
  </r>
  <r>
    <x v="0"/>
    <x v="0"/>
    <x v="0"/>
    <x v="7"/>
    <x v="12"/>
    <s v="NO2_A1"/>
    <x v="8"/>
    <x v="47"/>
    <x v="0"/>
    <x v="6"/>
    <n v="193.48464992334701"/>
    <n v="70621.897222021493"/>
    <n v="254238.82999927699"/>
  </r>
  <r>
    <x v="0"/>
    <x v="0"/>
    <x v="0"/>
    <x v="7"/>
    <x v="12"/>
    <s v="NO2_A1"/>
    <x v="8"/>
    <x v="47"/>
    <x v="0"/>
    <x v="7"/>
    <n v="193.619557168331"/>
    <n v="70671.138366440704"/>
    <n v="254416.09811918699"/>
  </r>
  <r>
    <x v="0"/>
    <x v="0"/>
    <x v="0"/>
    <x v="7"/>
    <x v="12"/>
    <s v="NO2_A1"/>
    <x v="8"/>
    <x v="47"/>
    <x v="0"/>
    <x v="8"/>
    <n v="194.834771994775"/>
    <n v="71114.691778092805"/>
    <n v="256012.89040113401"/>
  </r>
  <r>
    <x v="0"/>
    <x v="0"/>
    <x v="0"/>
    <x v="7"/>
    <x v="12"/>
    <s v="NO2_A1"/>
    <x v="8"/>
    <x v="47"/>
    <x v="0"/>
    <x v="0"/>
    <n v="194.81754585228001"/>
    <n v="71108.404236082293"/>
    <n v="255990.255249896"/>
  </r>
  <r>
    <x v="0"/>
    <x v="0"/>
    <x v="0"/>
    <x v="7"/>
    <x v="12"/>
    <s v="NO2_A1"/>
    <x v="8"/>
    <x v="47"/>
    <x v="0"/>
    <x v="1"/>
    <n v="194.86947124954901"/>
    <n v="71127.357006085396"/>
    <n v="256058.485221907"/>
  </r>
  <r>
    <x v="0"/>
    <x v="0"/>
    <x v="0"/>
    <x v="7"/>
    <x v="12"/>
    <s v="NO2_A1"/>
    <x v="8"/>
    <x v="47"/>
    <x v="0"/>
    <x v="2"/>
    <n v="194.18508710445599"/>
    <n v="70877.556793126394"/>
    <n v="255159.20445525501"/>
  </r>
  <r>
    <x v="0"/>
    <x v="0"/>
    <x v="0"/>
    <x v="7"/>
    <x v="12"/>
    <s v="NO2_A1"/>
    <x v="8"/>
    <x v="47"/>
    <x v="0"/>
    <x v="9"/>
    <n v="191.78633132647701"/>
    <n v="70002.010934164093"/>
    <n v="252007.23936299101"/>
  </r>
  <r>
    <x v="0"/>
    <x v="0"/>
    <x v="0"/>
    <x v="7"/>
    <x v="12"/>
    <s v="NO2_A1"/>
    <x v="8"/>
    <x v="47"/>
    <x v="0"/>
    <x v="10"/>
    <n v="152.153268546509"/>
    <n v="55535.943019475897"/>
    <n v="199929.394870113"/>
  </r>
  <r>
    <x v="0"/>
    <x v="0"/>
    <x v="0"/>
    <x v="7"/>
    <x v="12"/>
    <s v="NO2_A1"/>
    <x v="8"/>
    <x v="47"/>
    <x v="0"/>
    <x v="11"/>
    <n v="49.927880951551899"/>
    <n v="18223.676547316401"/>
    <n v="65605.235570339195"/>
  </r>
  <r>
    <x v="0"/>
    <x v="0"/>
    <x v="0"/>
    <x v="7"/>
    <x v="12"/>
    <s v="NO2_A1"/>
    <x v="8"/>
    <x v="47"/>
    <x v="0"/>
    <x v="12"/>
    <n v="62.913133317425697"/>
    <n v="22963.2936608604"/>
    <n v="82667.857179097293"/>
  </r>
  <r>
    <x v="0"/>
    <x v="0"/>
    <x v="0"/>
    <x v="7"/>
    <x v="12"/>
    <s v="NO2_A1"/>
    <x v="8"/>
    <x v="47"/>
    <x v="0"/>
    <x v="13"/>
    <n v="181.02116537385601"/>
    <n v="66072.7253614574"/>
    <n v="237861.81130124701"/>
  </r>
  <r>
    <x v="0"/>
    <x v="0"/>
    <x v="0"/>
    <x v="7"/>
    <x v="12"/>
    <s v="NO2_A1"/>
    <x v="8"/>
    <x v="47"/>
    <x v="0"/>
    <x v="14"/>
    <n v="186.21294875574401"/>
    <n v="67967.726295846602"/>
    <n v="244683.814665048"/>
  </r>
  <r>
    <x v="0"/>
    <x v="0"/>
    <x v="0"/>
    <x v="7"/>
    <x v="12"/>
    <s v="NO2_A1"/>
    <x v="8"/>
    <x v="47"/>
    <x v="0"/>
    <x v="15"/>
    <n v="196.419330134489"/>
    <n v="71693.055499088601"/>
    <n v="258094.999796719"/>
  </r>
  <r>
    <x v="0"/>
    <x v="0"/>
    <x v="0"/>
    <x v="7"/>
    <x v="12"/>
    <s v="NO2_A1"/>
    <x v="8"/>
    <x v="47"/>
    <x v="0"/>
    <x v="16"/>
    <n v="185.04079928553699"/>
    <n v="67539.891739220795"/>
    <n v="243143.61026119499"/>
  </r>
  <r>
    <x v="0"/>
    <x v="0"/>
    <x v="0"/>
    <x v="7"/>
    <x v="12"/>
    <s v="NO2_A1"/>
    <x v="8"/>
    <x v="47"/>
    <x v="0"/>
    <x v="17"/>
    <n v="193.644902442503"/>
    <n v="70680.3893915136"/>
    <n v="254449.40180944899"/>
  </r>
  <r>
    <x v="0"/>
    <x v="0"/>
    <x v="0"/>
    <x v="7"/>
    <x v="12"/>
    <s v="NO2_A1"/>
    <x v="8"/>
    <x v="47"/>
    <x v="0"/>
    <x v="18"/>
    <n v="164.094319387334"/>
    <n v="59894.426576377002"/>
    <n v="215619.935674957"/>
  </r>
  <r>
    <x v="0"/>
    <x v="0"/>
    <x v="0"/>
    <x v="7"/>
    <x v="12"/>
    <s v="NO2_A1"/>
    <x v="8"/>
    <x v="47"/>
    <x v="0"/>
    <x v="19"/>
    <n v="148.80232076297099"/>
    <n v="54312.847078484403"/>
    <n v="195526.24948254399"/>
  </r>
  <r>
    <x v="0"/>
    <x v="0"/>
    <x v="0"/>
    <x v="7"/>
    <x v="12"/>
    <s v="NO2_A1"/>
    <x v="8"/>
    <x v="47"/>
    <x v="0"/>
    <x v="20"/>
    <n v="189.031939058288"/>
    <n v="68996.657756275104"/>
    <n v="248387.96792259"/>
  </r>
  <r>
    <x v="0"/>
    <x v="0"/>
    <x v="0"/>
    <x v="7"/>
    <x v="12"/>
    <s v="NO2_A1"/>
    <x v="8"/>
    <x v="47"/>
    <x v="0"/>
    <x v="21"/>
    <n v="160.58964834832699"/>
    <n v="58615.221647139399"/>
    <n v="211014.79792970201"/>
  </r>
  <r>
    <x v="0"/>
    <x v="0"/>
    <x v="0"/>
    <x v="7"/>
    <x v="12"/>
    <s v="NO2_A1"/>
    <x v="8"/>
    <x v="47"/>
    <x v="0"/>
    <x v="22"/>
    <n v="182.55481686666499"/>
    <n v="66632.508156332595"/>
    <n v="239877.02936279701"/>
  </r>
  <r>
    <x v="0"/>
    <x v="0"/>
    <x v="0"/>
    <x v="7"/>
    <x v="12"/>
    <s v="NO2_A1"/>
    <x v="8"/>
    <x v="47"/>
    <x v="0"/>
    <x v="23"/>
    <n v="130.39229773342299"/>
    <n v="47593.1886726995"/>
    <n v="171335.47922171801"/>
  </r>
  <r>
    <x v="0"/>
    <x v="0"/>
    <x v="0"/>
    <x v="7"/>
    <x v="13"/>
    <s v="NO3_A1"/>
    <x v="21"/>
    <x v="205"/>
    <x v="0"/>
    <x v="1"/>
    <n v="3.6529778932191301"/>
    <n v="1333.33693102498"/>
    <n v="4800.0129516899397"/>
  </r>
  <r>
    <x v="0"/>
    <x v="0"/>
    <x v="0"/>
    <x v="7"/>
    <x v="13"/>
    <s v="NO3_A1"/>
    <x v="21"/>
    <x v="205"/>
    <x v="0"/>
    <x v="2"/>
    <n v="16.470588235294102"/>
    <n v="6011.7647058823504"/>
    <n v="21642.352941176501"/>
  </r>
  <r>
    <x v="0"/>
    <x v="0"/>
    <x v="0"/>
    <x v="7"/>
    <x v="13"/>
    <s v="NO3_A1"/>
    <x v="21"/>
    <x v="205"/>
    <x v="0"/>
    <x v="9"/>
    <n v="16.470588235294102"/>
    <n v="6011.7647058823504"/>
    <n v="21642.352941176501"/>
  </r>
  <r>
    <x v="0"/>
    <x v="0"/>
    <x v="0"/>
    <x v="7"/>
    <x v="13"/>
    <s v="NO3_A1"/>
    <x v="21"/>
    <x v="205"/>
    <x v="0"/>
    <x v="10"/>
    <n v="16.470588235294102"/>
    <n v="6011.7647058823504"/>
    <n v="21642.352941176501"/>
  </r>
  <r>
    <x v="0"/>
    <x v="0"/>
    <x v="0"/>
    <x v="7"/>
    <x v="13"/>
    <s v="NO3_A1"/>
    <x v="21"/>
    <x v="205"/>
    <x v="0"/>
    <x v="11"/>
    <n v="13.992973749971799"/>
    <n v="5107.4354187397203"/>
    <n v="18386.767507462999"/>
  </r>
  <r>
    <x v="0"/>
    <x v="0"/>
    <x v="0"/>
    <x v="7"/>
    <x v="13"/>
    <s v="NO3_A1"/>
    <x v="21"/>
    <x v="205"/>
    <x v="0"/>
    <x v="14"/>
    <n v="10.4954643570294"/>
    <n v="3830.8444903157401"/>
    <n v="13791.040165136599"/>
  </r>
  <r>
    <x v="0"/>
    <x v="0"/>
    <x v="0"/>
    <x v="7"/>
    <x v="13"/>
    <s v="NO3_A1"/>
    <x v="21"/>
    <x v="205"/>
    <x v="0"/>
    <x v="15"/>
    <n v="8.28602632756715"/>
    <n v="3024.39960956201"/>
    <n v="10887.8385944232"/>
  </r>
  <r>
    <x v="0"/>
    <x v="0"/>
    <x v="0"/>
    <x v="7"/>
    <x v="13"/>
    <s v="NO3_A1"/>
    <x v="21"/>
    <x v="205"/>
    <x v="0"/>
    <x v="18"/>
    <n v="2.85300311225435"/>
    <n v="1041.3461359728401"/>
    <n v="3748.8460895022099"/>
  </r>
  <r>
    <x v="0"/>
    <x v="0"/>
    <x v="0"/>
    <x v="7"/>
    <x v="13"/>
    <s v="NO3_A1"/>
    <x v="21"/>
    <x v="206"/>
    <x v="0"/>
    <x v="3"/>
    <n v="5.7727951620523301"/>
    <n v="2107.0702341491001"/>
    <n v="7585.4528429367601"/>
  </r>
  <r>
    <x v="0"/>
    <x v="0"/>
    <x v="0"/>
    <x v="7"/>
    <x v="13"/>
    <s v="NO3_A1"/>
    <x v="21"/>
    <x v="206"/>
    <x v="0"/>
    <x v="4"/>
    <n v="5.6664726019245002"/>
    <n v="2068.26249970244"/>
    <n v="7445.7449989287898"/>
  </r>
  <r>
    <x v="0"/>
    <x v="0"/>
    <x v="0"/>
    <x v="7"/>
    <x v="13"/>
    <s v="NO3_A1"/>
    <x v="21"/>
    <x v="206"/>
    <x v="0"/>
    <x v="5"/>
    <n v="5.8211826972502099"/>
    <n v="2124.7316844963302"/>
    <n v="7649.0340641867797"/>
  </r>
  <r>
    <x v="0"/>
    <x v="0"/>
    <x v="0"/>
    <x v="7"/>
    <x v="13"/>
    <s v="NO3_A1"/>
    <x v="21"/>
    <x v="206"/>
    <x v="0"/>
    <x v="6"/>
    <n v="6.3031091261940997"/>
    <n v="2300.63483106085"/>
    <n v="8282.2853918190394"/>
  </r>
  <r>
    <x v="0"/>
    <x v="0"/>
    <x v="0"/>
    <x v="7"/>
    <x v="13"/>
    <s v="NO3_A1"/>
    <x v="21"/>
    <x v="206"/>
    <x v="0"/>
    <x v="7"/>
    <n v="7.4043308141182296"/>
    <n v="2702.5807471531498"/>
    <n v="9729.2906897513494"/>
  </r>
  <r>
    <x v="0"/>
    <x v="0"/>
    <x v="0"/>
    <x v="7"/>
    <x v="13"/>
    <s v="NO3_A1"/>
    <x v="21"/>
    <x v="206"/>
    <x v="0"/>
    <x v="8"/>
    <n v="9.6938642895997909"/>
    <n v="3538.2604657039201"/>
    <n v="12737.7376765341"/>
  </r>
  <r>
    <x v="0"/>
    <x v="0"/>
    <x v="0"/>
    <x v="7"/>
    <x v="13"/>
    <s v="NO3_A1"/>
    <x v="21"/>
    <x v="206"/>
    <x v="0"/>
    <x v="0"/>
    <n v="15.294789207170799"/>
    <n v="5582.5980606173498"/>
    <n v="20097.3530182225"/>
  </r>
  <r>
    <x v="0"/>
    <x v="0"/>
    <x v="0"/>
    <x v="7"/>
    <x v="13"/>
    <s v="NO3_A1"/>
    <x v="21"/>
    <x v="206"/>
    <x v="0"/>
    <x v="1"/>
    <n v="16.235294117647101"/>
    <n v="5925.8823529411802"/>
    <n v="21333.176470588201"/>
  </r>
  <r>
    <x v="0"/>
    <x v="0"/>
    <x v="0"/>
    <x v="7"/>
    <x v="13"/>
    <s v="NO3_A1"/>
    <x v="21"/>
    <x v="206"/>
    <x v="0"/>
    <x v="2"/>
    <n v="3.6365122231375699"/>
    <n v="1327.3269614452099"/>
    <n v="4778.3770612027602"/>
  </r>
  <r>
    <x v="0"/>
    <x v="0"/>
    <x v="0"/>
    <x v="7"/>
    <x v="13"/>
    <s v="NO3_A1"/>
    <x v="21"/>
    <x v="206"/>
    <x v="0"/>
    <x v="9"/>
    <n v="2.1063503311910199"/>
    <n v="768.81787088472095"/>
    <n v="2767.7443351850002"/>
  </r>
  <r>
    <x v="0"/>
    <x v="0"/>
    <x v="0"/>
    <x v="7"/>
    <x v="13"/>
    <s v="NO3_A1"/>
    <x v="21"/>
    <x v="206"/>
    <x v="0"/>
    <x v="10"/>
    <n v="4.2058358614992797E-2"/>
    <n v="15.3513008944724"/>
    <n v="55.264683220100601"/>
  </r>
  <r>
    <x v="0"/>
    <x v="0"/>
    <x v="0"/>
    <x v="7"/>
    <x v="13"/>
    <s v="NO3_A1"/>
    <x v="21"/>
    <x v="206"/>
    <x v="0"/>
    <x v="12"/>
    <n v="12.3363861899048"/>
    <n v="4502.7809593152597"/>
    <n v="16210.0114535349"/>
  </r>
  <r>
    <x v="0"/>
    <x v="0"/>
    <x v="0"/>
    <x v="7"/>
    <x v="13"/>
    <s v="NO3_A1"/>
    <x v="21"/>
    <x v="206"/>
    <x v="0"/>
    <x v="13"/>
    <n v="11.536652467947899"/>
    <n v="4210.8781508009897"/>
    <n v="15159.161342883601"/>
  </r>
  <r>
    <x v="0"/>
    <x v="0"/>
    <x v="0"/>
    <x v="7"/>
    <x v="13"/>
    <s v="NO3_A1"/>
    <x v="21"/>
    <x v="206"/>
    <x v="0"/>
    <x v="16"/>
    <n v="5.59422902348199"/>
    <n v="2041.8935935709301"/>
    <n v="7350.8169368553399"/>
  </r>
  <r>
    <x v="0"/>
    <x v="0"/>
    <x v="0"/>
    <x v="7"/>
    <x v="13"/>
    <s v="NO3_A1"/>
    <x v="21"/>
    <x v="206"/>
    <x v="0"/>
    <x v="17"/>
    <n v="3.7621298765392401"/>
    <n v="1373.17740493682"/>
    <n v="4943.43865777256"/>
  </r>
  <r>
    <x v="0"/>
    <x v="0"/>
    <x v="0"/>
    <x v="7"/>
    <x v="13"/>
    <s v="NO3_A1"/>
    <x v="21"/>
    <x v="206"/>
    <x v="0"/>
    <x v="19"/>
    <n v="2.3521252798015402"/>
    <n v="858.52572712756"/>
    <n v="3090.6926176592201"/>
  </r>
  <r>
    <x v="0"/>
    <x v="0"/>
    <x v="0"/>
    <x v="7"/>
    <x v="13"/>
    <s v="NO3_A1"/>
    <x v="21"/>
    <x v="206"/>
    <x v="0"/>
    <x v="20"/>
    <n v="1.3385238236305299"/>
    <n v="488.56119562514402"/>
    <n v="1758.8203042505199"/>
  </r>
  <r>
    <x v="0"/>
    <x v="0"/>
    <x v="0"/>
    <x v="7"/>
    <x v="13"/>
    <s v="NO3_A1"/>
    <x v="1"/>
    <x v="207"/>
    <x v="0"/>
    <x v="3"/>
    <n v="20.143010752688198"/>
    <n v="7352.1989247311803"/>
    <n v="26467.916129032299"/>
  </r>
  <r>
    <x v="0"/>
    <x v="0"/>
    <x v="0"/>
    <x v="7"/>
    <x v="13"/>
    <s v="NO3_A1"/>
    <x v="1"/>
    <x v="207"/>
    <x v="0"/>
    <x v="4"/>
    <n v="20.143010752688198"/>
    <n v="7352.1989247311803"/>
    <n v="26467.916129032299"/>
  </r>
  <r>
    <x v="0"/>
    <x v="0"/>
    <x v="0"/>
    <x v="7"/>
    <x v="13"/>
    <s v="NO3_A1"/>
    <x v="1"/>
    <x v="207"/>
    <x v="0"/>
    <x v="5"/>
    <n v="20.143010752688198"/>
    <n v="7352.1989247311803"/>
    <n v="26467.916129032299"/>
  </r>
  <r>
    <x v="0"/>
    <x v="0"/>
    <x v="0"/>
    <x v="7"/>
    <x v="13"/>
    <s v="NO3_A1"/>
    <x v="1"/>
    <x v="207"/>
    <x v="0"/>
    <x v="6"/>
    <n v="20.143010752688198"/>
    <n v="7352.1989247311803"/>
    <n v="26467.916129032299"/>
  </r>
  <r>
    <x v="0"/>
    <x v="0"/>
    <x v="0"/>
    <x v="7"/>
    <x v="13"/>
    <s v="NO3_A1"/>
    <x v="1"/>
    <x v="207"/>
    <x v="0"/>
    <x v="7"/>
    <n v="20.143010752688198"/>
    <n v="7352.1989247311803"/>
    <n v="26467.916129032299"/>
  </r>
  <r>
    <x v="0"/>
    <x v="0"/>
    <x v="0"/>
    <x v="7"/>
    <x v="13"/>
    <s v="NO3_A1"/>
    <x v="1"/>
    <x v="207"/>
    <x v="0"/>
    <x v="8"/>
    <n v="20.143010752688198"/>
    <n v="7352.1989247311803"/>
    <n v="26467.916129032299"/>
  </r>
  <r>
    <x v="0"/>
    <x v="0"/>
    <x v="0"/>
    <x v="7"/>
    <x v="13"/>
    <s v="NO3_A1"/>
    <x v="1"/>
    <x v="207"/>
    <x v="0"/>
    <x v="0"/>
    <n v="20.143010752688198"/>
    <n v="7352.1989247311803"/>
    <n v="26467.916129032299"/>
  </r>
  <r>
    <x v="0"/>
    <x v="0"/>
    <x v="0"/>
    <x v="7"/>
    <x v="13"/>
    <s v="NO3_A1"/>
    <x v="1"/>
    <x v="207"/>
    <x v="0"/>
    <x v="1"/>
    <n v="20.143010752688198"/>
    <n v="7352.1989247311803"/>
    <n v="26467.916129032299"/>
  </r>
  <r>
    <x v="0"/>
    <x v="0"/>
    <x v="0"/>
    <x v="7"/>
    <x v="13"/>
    <s v="NO3_A1"/>
    <x v="1"/>
    <x v="207"/>
    <x v="0"/>
    <x v="2"/>
    <n v="20.143010752688198"/>
    <n v="7352.1989247311803"/>
    <n v="26467.916129032299"/>
  </r>
  <r>
    <x v="0"/>
    <x v="0"/>
    <x v="0"/>
    <x v="7"/>
    <x v="13"/>
    <s v="NO3_A1"/>
    <x v="1"/>
    <x v="207"/>
    <x v="0"/>
    <x v="9"/>
    <n v="20.143010752688198"/>
    <n v="7352.1989247311803"/>
    <n v="26467.916129032299"/>
  </r>
  <r>
    <x v="0"/>
    <x v="0"/>
    <x v="0"/>
    <x v="7"/>
    <x v="13"/>
    <s v="NO3_A1"/>
    <x v="1"/>
    <x v="207"/>
    <x v="0"/>
    <x v="10"/>
    <n v="20.143010752688198"/>
    <n v="7352.1989247311803"/>
    <n v="26467.916129032299"/>
  </r>
  <r>
    <x v="0"/>
    <x v="0"/>
    <x v="0"/>
    <x v="7"/>
    <x v="13"/>
    <s v="NO3_A1"/>
    <x v="1"/>
    <x v="207"/>
    <x v="0"/>
    <x v="11"/>
    <n v="20.143010752688198"/>
    <n v="7352.1989247311803"/>
    <n v="26467.916129032299"/>
  </r>
  <r>
    <x v="0"/>
    <x v="0"/>
    <x v="0"/>
    <x v="7"/>
    <x v="13"/>
    <s v="NO3_A1"/>
    <x v="1"/>
    <x v="207"/>
    <x v="0"/>
    <x v="12"/>
    <n v="20.143010752688198"/>
    <n v="7352.1989247311803"/>
    <n v="26467.916129032299"/>
  </r>
  <r>
    <x v="0"/>
    <x v="0"/>
    <x v="0"/>
    <x v="7"/>
    <x v="13"/>
    <s v="NO3_A1"/>
    <x v="1"/>
    <x v="207"/>
    <x v="0"/>
    <x v="13"/>
    <n v="20.143010752688198"/>
    <n v="7352.1989247311803"/>
    <n v="26467.916129032299"/>
  </r>
  <r>
    <x v="0"/>
    <x v="0"/>
    <x v="0"/>
    <x v="7"/>
    <x v="13"/>
    <s v="NO3_A1"/>
    <x v="1"/>
    <x v="207"/>
    <x v="0"/>
    <x v="14"/>
    <n v="20.143010752688198"/>
    <n v="7352.1989247311803"/>
    <n v="26467.916129032299"/>
  </r>
  <r>
    <x v="0"/>
    <x v="0"/>
    <x v="0"/>
    <x v="7"/>
    <x v="13"/>
    <s v="NO3_A1"/>
    <x v="1"/>
    <x v="207"/>
    <x v="0"/>
    <x v="15"/>
    <n v="20.143010752688198"/>
    <n v="7352.1989247311803"/>
    <n v="26467.916129032299"/>
  </r>
  <r>
    <x v="0"/>
    <x v="0"/>
    <x v="0"/>
    <x v="7"/>
    <x v="13"/>
    <s v="NO3_A1"/>
    <x v="1"/>
    <x v="207"/>
    <x v="0"/>
    <x v="16"/>
    <n v="20.143010752688198"/>
    <n v="7352.1989247311803"/>
    <n v="26467.916129032299"/>
  </r>
  <r>
    <x v="0"/>
    <x v="0"/>
    <x v="0"/>
    <x v="7"/>
    <x v="13"/>
    <s v="NO3_A1"/>
    <x v="1"/>
    <x v="207"/>
    <x v="0"/>
    <x v="17"/>
    <n v="20.143010752688198"/>
    <n v="7352.1989247311803"/>
    <n v="26467.916129032299"/>
  </r>
  <r>
    <x v="0"/>
    <x v="0"/>
    <x v="0"/>
    <x v="7"/>
    <x v="13"/>
    <s v="NO3_A1"/>
    <x v="1"/>
    <x v="207"/>
    <x v="0"/>
    <x v="18"/>
    <n v="20.143010752688198"/>
    <n v="7352.1989247311803"/>
    <n v="26467.916129032299"/>
  </r>
  <r>
    <x v="0"/>
    <x v="0"/>
    <x v="0"/>
    <x v="7"/>
    <x v="13"/>
    <s v="NO3_A1"/>
    <x v="1"/>
    <x v="207"/>
    <x v="0"/>
    <x v="19"/>
    <n v="20.143010752688198"/>
    <n v="7352.1989247311803"/>
    <n v="26467.916129032299"/>
  </r>
  <r>
    <x v="0"/>
    <x v="0"/>
    <x v="0"/>
    <x v="7"/>
    <x v="13"/>
    <s v="NO3_A1"/>
    <x v="1"/>
    <x v="207"/>
    <x v="0"/>
    <x v="20"/>
    <n v="20.143010752688198"/>
    <n v="7352.1989247311803"/>
    <n v="26467.916129032299"/>
  </r>
  <r>
    <x v="0"/>
    <x v="0"/>
    <x v="0"/>
    <x v="7"/>
    <x v="13"/>
    <s v="NO3_A1"/>
    <x v="1"/>
    <x v="207"/>
    <x v="0"/>
    <x v="21"/>
    <n v="20.143010752688198"/>
    <n v="7352.1989247311803"/>
    <n v="26467.916129032299"/>
  </r>
  <r>
    <x v="0"/>
    <x v="0"/>
    <x v="0"/>
    <x v="7"/>
    <x v="13"/>
    <s v="NO3_A1"/>
    <x v="1"/>
    <x v="207"/>
    <x v="0"/>
    <x v="22"/>
    <n v="20.143010752688198"/>
    <n v="7352.1989247311803"/>
    <n v="26467.916129032299"/>
  </r>
  <r>
    <x v="0"/>
    <x v="0"/>
    <x v="0"/>
    <x v="7"/>
    <x v="13"/>
    <s v="NO3_A1"/>
    <x v="1"/>
    <x v="207"/>
    <x v="0"/>
    <x v="23"/>
    <n v="20.143010752688198"/>
    <n v="7352.1989247311803"/>
    <n v="26467.916129032299"/>
  </r>
  <r>
    <x v="0"/>
    <x v="0"/>
    <x v="0"/>
    <x v="7"/>
    <x v="13"/>
    <s v="NO3_A1"/>
    <x v="4"/>
    <x v="108"/>
    <x v="0"/>
    <x v="3"/>
    <n v="4.3039148351648198"/>
    <n v="1570.92891483516"/>
    <n v="5655.3440934065702"/>
  </r>
  <r>
    <x v="0"/>
    <x v="0"/>
    <x v="0"/>
    <x v="7"/>
    <x v="13"/>
    <s v="NO3_A1"/>
    <x v="4"/>
    <x v="108"/>
    <x v="0"/>
    <x v="4"/>
    <n v="4.3039148351648198"/>
    <n v="1570.92891483516"/>
    <n v="5655.3440934065702"/>
  </r>
  <r>
    <x v="0"/>
    <x v="0"/>
    <x v="0"/>
    <x v="7"/>
    <x v="13"/>
    <s v="NO3_A1"/>
    <x v="4"/>
    <x v="108"/>
    <x v="0"/>
    <x v="5"/>
    <n v="4.3039148351648198"/>
    <n v="1570.92891483516"/>
    <n v="5655.3440934065702"/>
  </r>
  <r>
    <x v="0"/>
    <x v="0"/>
    <x v="0"/>
    <x v="7"/>
    <x v="13"/>
    <s v="NO3_A1"/>
    <x v="4"/>
    <x v="108"/>
    <x v="0"/>
    <x v="6"/>
    <n v="4.3039148351648198"/>
    <n v="1570.92891483516"/>
    <n v="5655.3440934065702"/>
  </r>
  <r>
    <x v="0"/>
    <x v="0"/>
    <x v="0"/>
    <x v="7"/>
    <x v="13"/>
    <s v="NO3_A1"/>
    <x v="4"/>
    <x v="108"/>
    <x v="0"/>
    <x v="7"/>
    <n v="4.3039148351648198"/>
    <n v="1570.92891483516"/>
    <n v="5655.3440934065702"/>
  </r>
  <r>
    <x v="0"/>
    <x v="0"/>
    <x v="0"/>
    <x v="7"/>
    <x v="13"/>
    <s v="NO3_A1"/>
    <x v="4"/>
    <x v="108"/>
    <x v="0"/>
    <x v="8"/>
    <n v="4.3039148351648198"/>
    <n v="1570.92891483516"/>
    <n v="5655.3440934065702"/>
  </r>
  <r>
    <x v="0"/>
    <x v="0"/>
    <x v="0"/>
    <x v="7"/>
    <x v="13"/>
    <s v="NO3_A1"/>
    <x v="4"/>
    <x v="108"/>
    <x v="0"/>
    <x v="0"/>
    <n v="4.3039148351648198"/>
    <n v="1570.92891483516"/>
    <n v="5655.3440934065702"/>
  </r>
  <r>
    <x v="0"/>
    <x v="0"/>
    <x v="0"/>
    <x v="7"/>
    <x v="13"/>
    <s v="NO3_A1"/>
    <x v="4"/>
    <x v="108"/>
    <x v="0"/>
    <x v="1"/>
    <n v="4.3039148351648198"/>
    <n v="1570.92891483516"/>
    <n v="5655.3440934065702"/>
  </r>
  <r>
    <x v="0"/>
    <x v="0"/>
    <x v="0"/>
    <x v="7"/>
    <x v="13"/>
    <s v="NO3_A1"/>
    <x v="4"/>
    <x v="108"/>
    <x v="0"/>
    <x v="2"/>
    <n v="4.3039148351648198"/>
    <n v="1570.92891483516"/>
    <n v="5655.3440934065702"/>
  </r>
  <r>
    <x v="0"/>
    <x v="0"/>
    <x v="0"/>
    <x v="7"/>
    <x v="13"/>
    <s v="NO3_A1"/>
    <x v="4"/>
    <x v="108"/>
    <x v="0"/>
    <x v="9"/>
    <n v="4.3039148351648198"/>
    <n v="1570.92891483516"/>
    <n v="5655.3440934065702"/>
  </r>
  <r>
    <x v="0"/>
    <x v="0"/>
    <x v="0"/>
    <x v="7"/>
    <x v="13"/>
    <s v="NO3_A1"/>
    <x v="4"/>
    <x v="108"/>
    <x v="0"/>
    <x v="10"/>
    <n v="4.3039148351648198"/>
    <n v="1570.92891483516"/>
    <n v="5655.3440934065702"/>
  </r>
  <r>
    <x v="0"/>
    <x v="0"/>
    <x v="0"/>
    <x v="7"/>
    <x v="13"/>
    <s v="NO3_A1"/>
    <x v="4"/>
    <x v="108"/>
    <x v="0"/>
    <x v="11"/>
    <n v="4.3039148351648198"/>
    <n v="1570.92891483516"/>
    <n v="5655.3440934065702"/>
  </r>
  <r>
    <x v="0"/>
    <x v="0"/>
    <x v="0"/>
    <x v="7"/>
    <x v="13"/>
    <s v="NO3_A1"/>
    <x v="4"/>
    <x v="108"/>
    <x v="0"/>
    <x v="12"/>
    <n v="4.3039148351648198"/>
    <n v="1570.92891483516"/>
    <n v="5655.3440934065702"/>
  </r>
  <r>
    <x v="0"/>
    <x v="0"/>
    <x v="0"/>
    <x v="7"/>
    <x v="13"/>
    <s v="NO3_A1"/>
    <x v="4"/>
    <x v="108"/>
    <x v="0"/>
    <x v="13"/>
    <n v="4.3039148351648198"/>
    <n v="1570.92891483516"/>
    <n v="5655.3440934065702"/>
  </r>
  <r>
    <x v="0"/>
    <x v="0"/>
    <x v="0"/>
    <x v="7"/>
    <x v="13"/>
    <s v="NO3_A1"/>
    <x v="4"/>
    <x v="108"/>
    <x v="0"/>
    <x v="14"/>
    <n v="4.3039148351648198"/>
    <n v="1570.92891483516"/>
    <n v="5655.3440934065702"/>
  </r>
  <r>
    <x v="0"/>
    <x v="0"/>
    <x v="0"/>
    <x v="7"/>
    <x v="13"/>
    <s v="NO3_A1"/>
    <x v="4"/>
    <x v="108"/>
    <x v="0"/>
    <x v="15"/>
    <n v="4.3039148351648198"/>
    <n v="1570.92891483516"/>
    <n v="5655.3440934065702"/>
  </r>
  <r>
    <x v="0"/>
    <x v="0"/>
    <x v="0"/>
    <x v="7"/>
    <x v="13"/>
    <s v="NO3_A1"/>
    <x v="4"/>
    <x v="108"/>
    <x v="0"/>
    <x v="16"/>
    <n v="4.3039148351648198"/>
    <n v="1570.92891483516"/>
    <n v="5655.3440934065702"/>
  </r>
  <r>
    <x v="0"/>
    <x v="0"/>
    <x v="0"/>
    <x v="7"/>
    <x v="13"/>
    <s v="NO3_A1"/>
    <x v="4"/>
    <x v="108"/>
    <x v="0"/>
    <x v="17"/>
    <n v="4.3039148351648198"/>
    <n v="1570.92891483516"/>
    <n v="5655.3440934065702"/>
  </r>
  <r>
    <x v="0"/>
    <x v="0"/>
    <x v="0"/>
    <x v="7"/>
    <x v="13"/>
    <s v="NO3_A1"/>
    <x v="4"/>
    <x v="108"/>
    <x v="0"/>
    <x v="18"/>
    <n v="4.3039148351648198"/>
    <n v="1570.92891483516"/>
    <n v="5655.3440934065702"/>
  </r>
  <r>
    <x v="0"/>
    <x v="0"/>
    <x v="0"/>
    <x v="7"/>
    <x v="13"/>
    <s v="NO3_A1"/>
    <x v="4"/>
    <x v="108"/>
    <x v="0"/>
    <x v="19"/>
    <n v="4.3039148351648198"/>
    <n v="1570.92891483516"/>
    <n v="5655.3440934065702"/>
  </r>
  <r>
    <x v="0"/>
    <x v="0"/>
    <x v="0"/>
    <x v="7"/>
    <x v="13"/>
    <s v="NO3_A1"/>
    <x v="4"/>
    <x v="108"/>
    <x v="0"/>
    <x v="20"/>
    <n v="4.3039148351648198"/>
    <n v="1570.92891483516"/>
    <n v="5655.3440934065702"/>
  </r>
  <r>
    <x v="0"/>
    <x v="0"/>
    <x v="0"/>
    <x v="7"/>
    <x v="13"/>
    <s v="NO3_A1"/>
    <x v="4"/>
    <x v="108"/>
    <x v="0"/>
    <x v="21"/>
    <n v="4.2445122331950502"/>
    <n v="1549.24696511619"/>
    <n v="5577.2890744182996"/>
  </r>
  <r>
    <x v="0"/>
    <x v="0"/>
    <x v="0"/>
    <x v="7"/>
    <x v="13"/>
    <s v="NO3_A1"/>
    <x v="4"/>
    <x v="108"/>
    <x v="0"/>
    <x v="22"/>
    <n v="3.2794515382312999"/>
    <n v="1196.9998114544201"/>
    <n v="4309.1993212359203"/>
  </r>
  <r>
    <x v="0"/>
    <x v="0"/>
    <x v="0"/>
    <x v="7"/>
    <x v="13"/>
    <s v="NO3_A1"/>
    <x v="4"/>
    <x v="108"/>
    <x v="0"/>
    <x v="23"/>
    <n v="2.6812523440079699"/>
    <n v="978.65710556290901"/>
    <n v="3523.1655800264698"/>
  </r>
  <r>
    <x v="0"/>
    <x v="0"/>
    <x v="0"/>
    <x v="7"/>
    <x v="13"/>
    <s v="NO3_A1"/>
    <x v="7"/>
    <x v="122"/>
    <x v="0"/>
    <x v="3"/>
    <n v="221.84651366034899"/>
    <n v="80973.977486027405"/>
    <n v="291506.31894969899"/>
  </r>
  <r>
    <x v="0"/>
    <x v="0"/>
    <x v="0"/>
    <x v="7"/>
    <x v="13"/>
    <s v="NO3_A1"/>
    <x v="7"/>
    <x v="122"/>
    <x v="0"/>
    <x v="4"/>
    <n v="221.84651366034899"/>
    <n v="80973.977486027405"/>
    <n v="291506.31894969899"/>
  </r>
  <r>
    <x v="0"/>
    <x v="0"/>
    <x v="0"/>
    <x v="7"/>
    <x v="13"/>
    <s v="NO3_A1"/>
    <x v="7"/>
    <x v="122"/>
    <x v="0"/>
    <x v="5"/>
    <n v="221.84651366034899"/>
    <n v="80973.977486027405"/>
    <n v="291506.31894969899"/>
  </r>
  <r>
    <x v="0"/>
    <x v="0"/>
    <x v="0"/>
    <x v="7"/>
    <x v="13"/>
    <s v="NO3_A1"/>
    <x v="7"/>
    <x v="122"/>
    <x v="0"/>
    <x v="6"/>
    <n v="221.84651366034899"/>
    <n v="80973.977486027405"/>
    <n v="291506.31894969899"/>
  </r>
  <r>
    <x v="0"/>
    <x v="0"/>
    <x v="0"/>
    <x v="7"/>
    <x v="13"/>
    <s v="NO3_A1"/>
    <x v="7"/>
    <x v="122"/>
    <x v="0"/>
    <x v="7"/>
    <n v="221.84651366034899"/>
    <n v="80973.977486027405"/>
    <n v="291506.31894969899"/>
  </r>
  <r>
    <x v="0"/>
    <x v="0"/>
    <x v="0"/>
    <x v="7"/>
    <x v="13"/>
    <s v="NO3_A1"/>
    <x v="7"/>
    <x v="122"/>
    <x v="0"/>
    <x v="8"/>
    <n v="221.84651366034899"/>
    <n v="80973.977486027405"/>
    <n v="291506.31894969899"/>
  </r>
  <r>
    <x v="0"/>
    <x v="0"/>
    <x v="0"/>
    <x v="7"/>
    <x v="13"/>
    <s v="NO3_A1"/>
    <x v="7"/>
    <x v="122"/>
    <x v="0"/>
    <x v="0"/>
    <n v="221.84651366034899"/>
    <n v="80973.977486027405"/>
    <n v="291506.31894969899"/>
  </r>
  <r>
    <x v="0"/>
    <x v="0"/>
    <x v="0"/>
    <x v="7"/>
    <x v="13"/>
    <s v="NO3_A1"/>
    <x v="7"/>
    <x v="122"/>
    <x v="0"/>
    <x v="1"/>
    <n v="221.84651366034899"/>
    <n v="80973.977486027405"/>
    <n v="291506.31894969899"/>
  </r>
  <r>
    <x v="0"/>
    <x v="0"/>
    <x v="0"/>
    <x v="7"/>
    <x v="13"/>
    <s v="NO3_A1"/>
    <x v="7"/>
    <x v="122"/>
    <x v="0"/>
    <x v="2"/>
    <n v="221.84651366034899"/>
    <n v="80973.977486027405"/>
    <n v="291506.31894969899"/>
  </r>
  <r>
    <x v="0"/>
    <x v="0"/>
    <x v="0"/>
    <x v="7"/>
    <x v="13"/>
    <s v="NO3_A1"/>
    <x v="7"/>
    <x v="122"/>
    <x v="0"/>
    <x v="9"/>
    <n v="221.84651366034899"/>
    <n v="80973.977486027405"/>
    <n v="291506.31894969899"/>
  </r>
  <r>
    <x v="0"/>
    <x v="0"/>
    <x v="0"/>
    <x v="7"/>
    <x v="13"/>
    <s v="NO3_A1"/>
    <x v="7"/>
    <x v="122"/>
    <x v="0"/>
    <x v="10"/>
    <n v="221.84651366034899"/>
    <n v="80973.977486027405"/>
    <n v="291506.31894969899"/>
  </r>
  <r>
    <x v="0"/>
    <x v="0"/>
    <x v="0"/>
    <x v="7"/>
    <x v="13"/>
    <s v="NO3_A1"/>
    <x v="7"/>
    <x v="122"/>
    <x v="0"/>
    <x v="11"/>
    <n v="221.84651366034899"/>
    <n v="80973.977486027405"/>
    <n v="291506.31894969899"/>
  </r>
  <r>
    <x v="0"/>
    <x v="0"/>
    <x v="0"/>
    <x v="7"/>
    <x v="13"/>
    <s v="NO3_A1"/>
    <x v="7"/>
    <x v="122"/>
    <x v="0"/>
    <x v="12"/>
    <n v="221.84651366034899"/>
    <n v="80973.977486027405"/>
    <n v="291506.31894969899"/>
  </r>
  <r>
    <x v="0"/>
    <x v="0"/>
    <x v="0"/>
    <x v="7"/>
    <x v="13"/>
    <s v="NO3_A1"/>
    <x v="7"/>
    <x v="122"/>
    <x v="0"/>
    <x v="13"/>
    <n v="221.84651366034899"/>
    <n v="80973.977486027405"/>
    <n v="291506.31894969899"/>
  </r>
  <r>
    <x v="0"/>
    <x v="0"/>
    <x v="0"/>
    <x v="7"/>
    <x v="13"/>
    <s v="NO3_A1"/>
    <x v="7"/>
    <x v="122"/>
    <x v="0"/>
    <x v="14"/>
    <n v="221.84651366034899"/>
    <n v="80973.977486027405"/>
    <n v="291506.31894969899"/>
  </r>
  <r>
    <x v="0"/>
    <x v="0"/>
    <x v="0"/>
    <x v="7"/>
    <x v="13"/>
    <s v="NO3_A1"/>
    <x v="7"/>
    <x v="122"/>
    <x v="0"/>
    <x v="15"/>
    <n v="221.84651366034899"/>
    <n v="80973.977486027405"/>
    <n v="291506.31894969899"/>
  </r>
  <r>
    <x v="0"/>
    <x v="0"/>
    <x v="0"/>
    <x v="7"/>
    <x v="13"/>
    <s v="NO3_A1"/>
    <x v="7"/>
    <x v="122"/>
    <x v="0"/>
    <x v="16"/>
    <n v="221.84651366034899"/>
    <n v="80973.977486027405"/>
    <n v="291506.31894969899"/>
  </r>
  <r>
    <x v="0"/>
    <x v="0"/>
    <x v="0"/>
    <x v="7"/>
    <x v="13"/>
    <s v="NO3_A1"/>
    <x v="7"/>
    <x v="122"/>
    <x v="0"/>
    <x v="17"/>
    <n v="221.84651366034899"/>
    <n v="80973.977486027405"/>
    <n v="291506.31894969899"/>
  </r>
  <r>
    <x v="0"/>
    <x v="0"/>
    <x v="0"/>
    <x v="7"/>
    <x v="13"/>
    <s v="NO3_A1"/>
    <x v="7"/>
    <x v="122"/>
    <x v="0"/>
    <x v="18"/>
    <n v="221.84651366034899"/>
    <n v="80973.977486027405"/>
    <n v="291506.31894969899"/>
  </r>
  <r>
    <x v="0"/>
    <x v="0"/>
    <x v="0"/>
    <x v="7"/>
    <x v="13"/>
    <s v="NO3_A1"/>
    <x v="7"/>
    <x v="122"/>
    <x v="0"/>
    <x v="19"/>
    <n v="221.84651366034899"/>
    <n v="80973.977486027405"/>
    <n v="291506.31894969899"/>
  </r>
  <r>
    <x v="0"/>
    <x v="0"/>
    <x v="0"/>
    <x v="7"/>
    <x v="13"/>
    <s v="NO3_A1"/>
    <x v="7"/>
    <x v="122"/>
    <x v="0"/>
    <x v="20"/>
    <n v="221.84651366034899"/>
    <n v="80973.977486027405"/>
    <n v="291506.31894969899"/>
  </r>
  <r>
    <x v="0"/>
    <x v="0"/>
    <x v="0"/>
    <x v="7"/>
    <x v="13"/>
    <s v="NO3_A1"/>
    <x v="7"/>
    <x v="122"/>
    <x v="0"/>
    <x v="21"/>
    <n v="221.84651366034899"/>
    <n v="80973.977486027405"/>
    <n v="291506.31894969899"/>
  </r>
  <r>
    <x v="0"/>
    <x v="0"/>
    <x v="0"/>
    <x v="7"/>
    <x v="13"/>
    <s v="NO3_A1"/>
    <x v="7"/>
    <x v="122"/>
    <x v="0"/>
    <x v="22"/>
    <n v="221.84651366034899"/>
    <n v="80973.977486027405"/>
    <n v="291506.31894969899"/>
  </r>
  <r>
    <x v="0"/>
    <x v="0"/>
    <x v="0"/>
    <x v="7"/>
    <x v="13"/>
    <s v="NO3_A1"/>
    <x v="7"/>
    <x v="122"/>
    <x v="0"/>
    <x v="23"/>
    <n v="221.84651366034899"/>
    <n v="80973.977486027405"/>
    <n v="291506.31894969899"/>
  </r>
  <r>
    <x v="0"/>
    <x v="0"/>
    <x v="0"/>
    <x v="7"/>
    <x v="13"/>
    <s v="NO3_A1"/>
    <x v="7"/>
    <x v="123"/>
    <x v="0"/>
    <x v="3"/>
    <n v="282.146513660349"/>
    <n v="102983.477486027"/>
    <n v="370740.51894969901"/>
  </r>
  <r>
    <x v="0"/>
    <x v="0"/>
    <x v="0"/>
    <x v="7"/>
    <x v="13"/>
    <s v="NO3_A1"/>
    <x v="7"/>
    <x v="123"/>
    <x v="0"/>
    <x v="4"/>
    <n v="282.146513660349"/>
    <n v="102983.477486027"/>
    <n v="370740.51894969901"/>
  </r>
  <r>
    <x v="0"/>
    <x v="0"/>
    <x v="0"/>
    <x v="7"/>
    <x v="13"/>
    <s v="NO3_A1"/>
    <x v="7"/>
    <x v="123"/>
    <x v="0"/>
    <x v="5"/>
    <n v="282.146513660349"/>
    <n v="102983.477486027"/>
    <n v="370740.51894969901"/>
  </r>
  <r>
    <x v="0"/>
    <x v="0"/>
    <x v="0"/>
    <x v="7"/>
    <x v="13"/>
    <s v="NO3_A1"/>
    <x v="7"/>
    <x v="123"/>
    <x v="0"/>
    <x v="6"/>
    <n v="282.146513660349"/>
    <n v="102983.477486027"/>
    <n v="370740.51894969901"/>
  </r>
  <r>
    <x v="0"/>
    <x v="0"/>
    <x v="0"/>
    <x v="7"/>
    <x v="13"/>
    <s v="NO3_A1"/>
    <x v="7"/>
    <x v="123"/>
    <x v="0"/>
    <x v="7"/>
    <n v="282.146513660349"/>
    <n v="102983.477486027"/>
    <n v="370740.51894969901"/>
  </r>
  <r>
    <x v="0"/>
    <x v="0"/>
    <x v="0"/>
    <x v="7"/>
    <x v="13"/>
    <s v="NO3_A1"/>
    <x v="7"/>
    <x v="123"/>
    <x v="0"/>
    <x v="8"/>
    <n v="282.146513660349"/>
    <n v="102983.477486027"/>
    <n v="370740.51894969901"/>
  </r>
  <r>
    <x v="0"/>
    <x v="0"/>
    <x v="0"/>
    <x v="7"/>
    <x v="13"/>
    <s v="NO3_A1"/>
    <x v="7"/>
    <x v="123"/>
    <x v="0"/>
    <x v="0"/>
    <n v="282.146513660349"/>
    <n v="102983.477486027"/>
    <n v="370740.51894969901"/>
  </r>
  <r>
    <x v="0"/>
    <x v="0"/>
    <x v="0"/>
    <x v="7"/>
    <x v="13"/>
    <s v="NO3_A1"/>
    <x v="7"/>
    <x v="123"/>
    <x v="0"/>
    <x v="1"/>
    <n v="282.146513660349"/>
    <n v="102983.477486027"/>
    <n v="370740.51894969901"/>
  </r>
  <r>
    <x v="0"/>
    <x v="0"/>
    <x v="0"/>
    <x v="7"/>
    <x v="13"/>
    <s v="NO3_A1"/>
    <x v="7"/>
    <x v="123"/>
    <x v="0"/>
    <x v="2"/>
    <n v="282.146513660349"/>
    <n v="102983.477486027"/>
    <n v="370740.51894969901"/>
  </r>
  <r>
    <x v="0"/>
    <x v="0"/>
    <x v="0"/>
    <x v="7"/>
    <x v="13"/>
    <s v="NO3_A1"/>
    <x v="7"/>
    <x v="123"/>
    <x v="0"/>
    <x v="9"/>
    <n v="282.146513660349"/>
    <n v="102983.477486027"/>
    <n v="370740.51894969901"/>
  </r>
  <r>
    <x v="0"/>
    <x v="0"/>
    <x v="0"/>
    <x v="7"/>
    <x v="13"/>
    <s v="NO3_A1"/>
    <x v="7"/>
    <x v="123"/>
    <x v="0"/>
    <x v="10"/>
    <n v="282.146513660349"/>
    <n v="102983.477486027"/>
    <n v="370740.51894969901"/>
  </r>
  <r>
    <x v="0"/>
    <x v="0"/>
    <x v="0"/>
    <x v="7"/>
    <x v="13"/>
    <s v="NO3_A1"/>
    <x v="7"/>
    <x v="123"/>
    <x v="0"/>
    <x v="11"/>
    <n v="282.146513660349"/>
    <n v="102983.477486027"/>
    <n v="370740.51894969901"/>
  </r>
  <r>
    <x v="0"/>
    <x v="0"/>
    <x v="0"/>
    <x v="7"/>
    <x v="13"/>
    <s v="NO3_A1"/>
    <x v="7"/>
    <x v="123"/>
    <x v="0"/>
    <x v="12"/>
    <n v="282.146513660349"/>
    <n v="102983.477486027"/>
    <n v="370740.51894969901"/>
  </r>
  <r>
    <x v="0"/>
    <x v="0"/>
    <x v="0"/>
    <x v="7"/>
    <x v="13"/>
    <s v="NO3_A1"/>
    <x v="7"/>
    <x v="123"/>
    <x v="0"/>
    <x v="13"/>
    <n v="282.146513660349"/>
    <n v="102983.477486027"/>
    <n v="370740.51894969901"/>
  </r>
  <r>
    <x v="0"/>
    <x v="0"/>
    <x v="0"/>
    <x v="7"/>
    <x v="13"/>
    <s v="NO3_A1"/>
    <x v="7"/>
    <x v="123"/>
    <x v="0"/>
    <x v="14"/>
    <n v="282.146513660349"/>
    <n v="102983.477486027"/>
    <n v="370740.51894969901"/>
  </r>
  <r>
    <x v="0"/>
    <x v="0"/>
    <x v="0"/>
    <x v="7"/>
    <x v="13"/>
    <s v="NO3_A1"/>
    <x v="7"/>
    <x v="123"/>
    <x v="0"/>
    <x v="15"/>
    <n v="282.146513660349"/>
    <n v="102983.477486027"/>
    <n v="370740.51894969901"/>
  </r>
  <r>
    <x v="0"/>
    <x v="0"/>
    <x v="0"/>
    <x v="7"/>
    <x v="13"/>
    <s v="NO3_A1"/>
    <x v="7"/>
    <x v="123"/>
    <x v="0"/>
    <x v="16"/>
    <n v="282.146513660349"/>
    <n v="102983.477486027"/>
    <n v="370740.51894969901"/>
  </r>
  <r>
    <x v="0"/>
    <x v="0"/>
    <x v="0"/>
    <x v="7"/>
    <x v="13"/>
    <s v="NO3_A1"/>
    <x v="7"/>
    <x v="123"/>
    <x v="0"/>
    <x v="17"/>
    <n v="282.146513660349"/>
    <n v="102983.477486027"/>
    <n v="370740.51894969901"/>
  </r>
  <r>
    <x v="0"/>
    <x v="0"/>
    <x v="0"/>
    <x v="7"/>
    <x v="13"/>
    <s v="NO3_A1"/>
    <x v="7"/>
    <x v="123"/>
    <x v="0"/>
    <x v="18"/>
    <n v="282.146513660349"/>
    <n v="102983.477486027"/>
    <n v="370740.51894969901"/>
  </r>
  <r>
    <x v="0"/>
    <x v="0"/>
    <x v="0"/>
    <x v="7"/>
    <x v="13"/>
    <s v="NO3_A1"/>
    <x v="7"/>
    <x v="123"/>
    <x v="0"/>
    <x v="19"/>
    <n v="282.146513660349"/>
    <n v="102983.477486027"/>
    <n v="370740.51894969901"/>
  </r>
  <r>
    <x v="0"/>
    <x v="0"/>
    <x v="0"/>
    <x v="7"/>
    <x v="13"/>
    <s v="NO3_A1"/>
    <x v="7"/>
    <x v="123"/>
    <x v="0"/>
    <x v="20"/>
    <n v="282.146513660349"/>
    <n v="102983.477486027"/>
    <n v="370740.51894969901"/>
  </r>
  <r>
    <x v="0"/>
    <x v="0"/>
    <x v="0"/>
    <x v="7"/>
    <x v="13"/>
    <s v="NO3_A1"/>
    <x v="7"/>
    <x v="123"/>
    <x v="0"/>
    <x v="21"/>
    <n v="282.146513660349"/>
    <n v="102983.477486027"/>
    <n v="370740.51894969901"/>
  </r>
  <r>
    <x v="0"/>
    <x v="0"/>
    <x v="0"/>
    <x v="7"/>
    <x v="13"/>
    <s v="NO3_A1"/>
    <x v="7"/>
    <x v="123"/>
    <x v="0"/>
    <x v="22"/>
    <n v="282.146513660349"/>
    <n v="102983.477486027"/>
    <n v="370740.51894969901"/>
  </r>
  <r>
    <x v="0"/>
    <x v="0"/>
    <x v="0"/>
    <x v="7"/>
    <x v="13"/>
    <s v="NO3_A1"/>
    <x v="7"/>
    <x v="123"/>
    <x v="0"/>
    <x v="23"/>
    <n v="282.146513660349"/>
    <n v="102983.477486027"/>
    <n v="370740.51894969901"/>
  </r>
  <r>
    <x v="0"/>
    <x v="0"/>
    <x v="0"/>
    <x v="7"/>
    <x v="13"/>
    <s v="NO3_A1"/>
    <x v="7"/>
    <x v="124"/>
    <x v="0"/>
    <x v="3"/>
    <n v="282.146513660349"/>
    <n v="102983.477486027"/>
    <n v="370740.51894969901"/>
  </r>
  <r>
    <x v="0"/>
    <x v="0"/>
    <x v="0"/>
    <x v="7"/>
    <x v="13"/>
    <s v="NO3_A1"/>
    <x v="7"/>
    <x v="124"/>
    <x v="0"/>
    <x v="4"/>
    <n v="282.146513660349"/>
    <n v="102983.477486027"/>
    <n v="370740.51894969901"/>
  </r>
  <r>
    <x v="0"/>
    <x v="0"/>
    <x v="0"/>
    <x v="7"/>
    <x v="13"/>
    <s v="NO3_A1"/>
    <x v="7"/>
    <x v="124"/>
    <x v="0"/>
    <x v="5"/>
    <n v="282.146513660349"/>
    <n v="102983.477486027"/>
    <n v="370740.51894969901"/>
  </r>
  <r>
    <x v="0"/>
    <x v="0"/>
    <x v="0"/>
    <x v="7"/>
    <x v="13"/>
    <s v="NO3_A1"/>
    <x v="7"/>
    <x v="124"/>
    <x v="0"/>
    <x v="6"/>
    <n v="282.146513660349"/>
    <n v="102983.477486027"/>
    <n v="370740.51894969901"/>
  </r>
  <r>
    <x v="0"/>
    <x v="0"/>
    <x v="0"/>
    <x v="7"/>
    <x v="13"/>
    <s v="NO3_A1"/>
    <x v="7"/>
    <x v="124"/>
    <x v="0"/>
    <x v="7"/>
    <n v="282.146513660349"/>
    <n v="102983.477486027"/>
    <n v="370740.51894969901"/>
  </r>
  <r>
    <x v="0"/>
    <x v="0"/>
    <x v="0"/>
    <x v="7"/>
    <x v="13"/>
    <s v="NO3_A1"/>
    <x v="7"/>
    <x v="124"/>
    <x v="0"/>
    <x v="8"/>
    <n v="282.146513660349"/>
    <n v="102983.477486027"/>
    <n v="370740.51894969901"/>
  </r>
  <r>
    <x v="0"/>
    <x v="0"/>
    <x v="0"/>
    <x v="7"/>
    <x v="13"/>
    <s v="NO3_A1"/>
    <x v="7"/>
    <x v="124"/>
    <x v="0"/>
    <x v="0"/>
    <n v="282.146513660349"/>
    <n v="102983.477486027"/>
    <n v="370740.51894969901"/>
  </r>
  <r>
    <x v="0"/>
    <x v="0"/>
    <x v="0"/>
    <x v="7"/>
    <x v="13"/>
    <s v="NO3_A1"/>
    <x v="7"/>
    <x v="124"/>
    <x v="0"/>
    <x v="1"/>
    <n v="282.146513660349"/>
    <n v="102983.477486027"/>
    <n v="370740.51894969901"/>
  </r>
  <r>
    <x v="0"/>
    <x v="0"/>
    <x v="0"/>
    <x v="7"/>
    <x v="13"/>
    <s v="NO3_A1"/>
    <x v="7"/>
    <x v="124"/>
    <x v="0"/>
    <x v="2"/>
    <n v="282.146513660349"/>
    <n v="102983.477486027"/>
    <n v="370740.51894969901"/>
  </r>
  <r>
    <x v="0"/>
    <x v="0"/>
    <x v="0"/>
    <x v="7"/>
    <x v="13"/>
    <s v="NO3_A1"/>
    <x v="7"/>
    <x v="124"/>
    <x v="0"/>
    <x v="9"/>
    <n v="282.146513660349"/>
    <n v="102983.477486027"/>
    <n v="370740.51894969901"/>
  </r>
  <r>
    <x v="0"/>
    <x v="0"/>
    <x v="0"/>
    <x v="7"/>
    <x v="13"/>
    <s v="NO3_A1"/>
    <x v="7"/>
    <x v="124"/>
    <x v="0"/>
    <x v="10"/>
    <n v="282.146513660349"/>
    <n v="102983.477486027"/>
    <n v="370740.51894969901"/>
  </r>
  <r>
    <x v="0"/>
    <x v="0"/>
    <x v="0"/>
    <x v="7"/>
    <x v="13"/>
    <s v="NO3_A1"/>
    <x v="7"/>
    <x v="124"/>
    <x v="0"/>
    <x v="11"/>
    <n v="282.146513660349"/>
    <n v="102983.477486027"/>
    <n v="370740.51894969901"/>
  </r>
  <r>
    <x v="0"/>
    <x v="0"/>
    <x v="0"/>
    <x v="7"/>
    <x v="13"/>
    <s v="NO3_A1"/>
    <x v="7"/>
    <x v="124"/>
    <x v="0"/>
    <x v="12"/>
    <n v="282.146513660349"/>
    <n v="102983.477486027"/>
    <n v="370740.51894969901"/>
  </r>
  <r>
    <x v="0"/>
    <x v="0"/>
    <x v="0"/>
    <x v="7"/>
    <x v="13"/>
    <s v="NO3_A1"/>
    <x v="7"/>
    <x v="124"/>
    <x v="0"/>
    <x v="13"/>
    <n v="282.146513660349"/>
    <n v="102983.477486027"/>
    <n v="370740.51894969901"/>
  </r>
  <r>
    <x v="0"/>
    <x v="0"/>
    <x v="0"/>
    <x v="7"/>
    <x v="13"/>
    <s v="NO3_A1"/>
    <x v="7"/>
    <x v="124"/>
    <x v="0"/>
    <x v="14"/>
    <n v="282.146513660349"/>
    <n v="102983.477486027"/>
    <n v="370740.51894969901"/>
  </r>
  <r>
    <x v="0"/>
    <x v="0"/>
    <x v="0"/>
    <x v="7"/>
    <x v="13"/>
    <s v="NO3_A1"/>
    <x v="7"/>
    <x v="124"/>
    <x v="0"/>
    <x v="15"/>
    <n v="282.146513660349"/>
    <n v="102983.477486027"/>
    <n v="370740.51894969901"/>
  </r>
  <r>
    <x v="0"/>
    <x v="0"/>
    <x v="0"/>
    <x v="7"/>
    <x v="13"/>
    <s v="NO3_A1"/>
    <x v="7"/>
    <x v="124"/>
    <x v="0"/>
    <x v="16"/>
    <n v="282.146513660349"/>
    <n v="102983.477486027"/>
    <n v="370740.51894969901"/>
  </r>
  <r>
    <x v="0"/>
    <x v="0"/>
    <x v="0"/>
    <x v="7"/>
    <x v="13"/>
    <s v="NO3_A1"/>
    <x v="7"/>
    <x v="124"/>
    <x v="0"/>
    <x v="17"/>
    <n v="282.146513660349"/>
    <n v="102983.477486027"/>
    <n v="370740.51894969901"/>
  </r>
  <r>
    <x v="0"/>
    <x v="0"/>
    <x v="0"/>
    <x v="7"/>
    <x v="13"/>
    <s v="NO3_A1"/>
    <x v="7"/>
    <x v="124"/>
    <x v="0"/>
    <x v="18"/>
    <n v="282.146513660349"/>
    <n v="102983.477486027"/>
    <n v="370740.51894969901"/>
  </r>
  <r>
    <x v="0"/>
    <x v="0"/>
    <x v="0"/>
    <x v="7"/>
    <x v="13"/>
    <s v="NO3_A1"/>
    <x v="7"/>
    <x v="124"/>
    <x v="0"/>
    <x v="19"/>
    <n v="282.146513660349"/>
    <n v="102983.477486027"/>
    <n v="370740.51894969901"/>
  </r>
  <r>
    <x v="0"/>
    <x v="0"/>
    <x v="0"/>
    <x v="7"/>
    <x v="13"/>
    <s v="NO3_A1"/>
    <x v="7"/>
    <x v="124"/>
    <x v="0"/>
    <x v="20"/>
    <n v="282.146513660349"/>
    <n v="102983.477486027"/>
    <n v="370740.51894969901"/>
  </r>
  <r>
    <x v="0"/>
    <x v="0"/>
    <x v="0"/>
    <x v="7"/>
    <x v="13"/>
    <s v="NO3_A1"/>
    <x v="7"/>
    <x v="124"/>
    <x v="0"/>
    <x v="21"/>
    <n v="282.146513660349"/>
    <n v="102983.477486027"/>
    <n v="370740.51894969901"/>
  </r>
  <r>
    <x v="0"/>
    <x v="0"/>
    <x v="0"/>
    <x v="7"/>
    <x v="13"/>
    <s v="NO3_A1"/>
    <x v="7"/>
    <x v="124"/>
    <x v="0"/>
    <x v="22"/>
    <n v="282.146513660349"/>
    <n v="102983.477486027"/>
    <n v="370740.51894969901"/>
  </r>
  <r>
    <x v="0"/>
    <x v="0"/>
    <x v="0"/>
    <x v="7"/>
    <x v="13"/>
    <s v="NO3_A1"/>
    <x v="7"/>
    <x v="124"/>
    <x v="0"/>
    <x v="23"/>
    <n v="282.146513660349"/>
    <n v="102983.477486027"/>
    <n v="370740.51894969901"/>
  </r>
  <r>
    <x v="0"/>
    <x v="0"/>
    <x v="0"/>
    <x v="7"/>
    <x v="13"/>
    <s v="NO3_A1"/>
    <x v="7"/>
    <x v="125"/>
    <x v="0"/>
    <x v="8"/>
    <n v="282.146513660349"/>
    <n v="102983.477486027"/>
    <n v="370740.51894969901"/>
  </r>
  <r>
    <x v="0"/>
    <x v="0"/>
    <x v="0"/>
    <x v="7"/>
    <x v="13"/>
    <s v="NO3_A1"/>
    <x v="7"/>
    <x v="125"/>
    <x v="0"/>
    <x v="0"/>
    <n v="282.146513660349"/>
    <n v="102983.477486027"/>
    <n v="370740.51894969901"/>
  </r>
  <r>
    <x v="0"/>
    <x v="0"/>
    <x v="0"/>
    <x v="7"/>
    <x v="13"/>
    <s v="NO3_A1"/>
    <x v="7"/>
    <x v="125"/>
    <x v="0"/>
    <x v="1"/>
    <n v="282.146513660349"/>
    <n v="102983.477486027"/>
    <n v="370740.51894969901"/>
  </r>
  <r>
    <x v="0"/>
    <x v="0"/>
    <x v="0"/>
    <x v="7"/>
    <x v="13"/>
    <s v="NO3_A1"/>
    <x v="7"/>
    <x v="125"/>
    <x v="0"/>
    <x v="2"/>
    <n v="282.146513660349"/>
    <n v="102983.477486027"/>
    <n v="370740.51894969901"/>
  </r>
  <r>
    <x v="0"/>
    <x v="0"/>
    <x v="0"/>
    <x v="7"/>
    <x v="13"/>
    <s v="NO3_A1"/>
    <x v="7"/>
    <x v="125"/>
    <x v="0"/>
    <x v="9"/>
    <n v="282.146513660349"/>
    <n v="102983.477486027"/>
    <n v="370740.51894969901"/>
  </r>
  <r>
    <x v="0"/>
    <x v="0"/>
    <x v="0"/>
    <x v="7"/>
    <x v="13"/>
    <s v="NO3_A1"/>
    <x v="7"/>
    <x v="125"/>
    <x v="0"/>
    <x v="10"/>
    <n v="282.146513660349"/>
    <n v="102983.477486027"/>
    <n v="370740.51894969901"/>
  </r>
  <r>
    <x v="0"/>
    <x v="0"/>
    <x v="0"/>
    <x v="7"/>
    <x v="13"/>
    <s v="NO3_A1"/>
    <x v="7"/>
    <x v="125"/>
    <x v="0"/>
    <x v="11"/>
    <n v="282.146513660349"/>
    <n v="102983.477486027"/>
    <n v="370740.51894969901"/>
  </r>
  <r>
    <x v="0"/>
    <x v="0"/>
    <x v="0"/>
    <x v="7"/>
    <x v="13"/>
    <s v="NO3_A1"/>
    <x v="7"/>
    <x v="125"/>
    <x v="0"/>
    <x v="12"/>
    <n v="282.146513660349"/>
    <n v="102983.477486027"/>
    <n v="370740.51894969901"/>
  </r>
  <r>
    <x v="0"/>
    <x v="0"/>
    <x v="0"/>
    <x v="7"/>
    <x v="13"/>
    <s v="NO3_A1"/>
    <x v="7"/>
    <x v="125"/>
    <x v="0"/>
    <x v="13"/>
    <n v="282.146513660349"/>
    <n v="102983.477486027"/>
    <n v="370740.51894969901"/>
  </r>
  <r>
    <x v="0"/>
    <x v="0"/>
    <x v="0"/>
    <x v="7"/>
    <x v="13"/>
    <s v="NO3_A1"/>
    <x v="7"/>
    <x v="125"/>
    <x v="0"/>
    <x v="14"/>
    <n v="282.146513660349"/>
    <n v="102983.477486027"/>
    <n v="370740.51894969901"/>
  </r>
  <r>
    <x v="0"/>
    <x v="0"/>
    <x v="0"/>
    <x v="7"/>
    <x v="13"/>
    <s v="NO3_A1"/>
    <x v="7"/>
    <x v="125"/>
    <x v="0"/>
    <x v="15"/>
    <n v="282.146513660349"/>
    <n v="102983.477486027"/>
    <n v="370740.51894969901"/>
  </r>
  <r>
    <x v="0"/>
    <x v="0"/>
    <x v="0"/>
    <x v="7"/>
    <x v="13"/>
    <s v="NO3_A1"/>
    <x v="7"/>
    <x v="125"/>
    <x v="0"/>
    <x v="16"/>
    <n v="282.146513660349"/>
    <n v="102983.477486027"/>
    <n v="370740.51894969901"/>
  </r>
  <r>
    <x v="0"/>
    <x v="0"/>
    <x v="0"/>
    <x v="7"/>
    <x v="13"/>
    <s v="NO3_A1"/>
    <x v="7"/>
    <x v="125"/>
    <x v="0"/>
    <x v="17"/>
    <n v="282.146513660349"/>
    <n v="102983.477486027"/>
    <n v="370740.51894969901"/>
  </r>
  <r>
    <x v="0"/>
    <x v="0"/>
    <x v="0"/>
    <x v="7"/>
    <x v="13"/>
    <s v="NO3_A1"/>
    <x v="7"/>
    <x v="125"/>
    <x v="0"/>
    <x v="18"/>
    <n v="282.146513660349"/>
    <n v="102983.477486027"/>
    <n v="370740.51894969901"/>
  </r>
  <r>
    <x v="0"/>
    <x v="0"/>
    <x v="0"/>
    <x v="7"/>
    <x v="13"/>
    <s v="NO3_A1"/>
    <x v="7"/>
    <x v="125"/>
    <x v="0"/>
    <x v="19"/>
    <n v="282.146513660349"/>
    <n v="102983.477486027"/>
    <n v="370740.51894969901"/>
  </r>
  <r>
    <x v="0"/>
    <x v="0"/>
    <x v="0"/>
    <x v="7"/>
    <x v="13"/>
    <s v="NO3_A1"/>
    <x v="7"/>
    <x v="125"/>
    <x v="0"/>
    <x v="20"/>
    <n v="282.146513660349"/>
    <n v="102983.477486027"/>
    <n v="370740.51894969901"/>
  </r>
  <r>
    <x v="0"/>
    <x v="0"/>
    <x v="0"/>
    <x v="7"/>
    <x v="13"/>
    <s v="NO3_A1"/>
    <x v="7"/>
    <x v="126"/>
    <x v="0"/>
    <x v="0"/>
    <n v="282.146513660349"/>
    <n v="102983.477486027"/>
    <n v="370740.51894969901"/>
  </r>
  <r>
    <x v="0"/>
    <x v="0"/>
    <x v="0"/>
    <x v="7"/>
    <x v="13"/>
    <s v="NO3_A1"/>
    <x v="7"/>
    <x v="126"/>
    <x v="0"/>
    <x v="1"/>
    <n v="282.146513660349"/>
    <n v="102983.477486027"/>
    <n v="370740.51894969901"/>
  </r>
  <r>
    <x v="0"/>
    <x v="0"/>
    <x v="0"/>
    <x v="7"/>
    <x v="13"/>
    <s v="NO3_A1"/>
    <x v="7"/>
    <x v="126"/>
    <x v="0"/>
    <x v="2"/>
    <n v="282.146513660349"/>
    <n v="102983.477486027"/>
    <n v="370740.51894969901"/>
  </r>
  <r>
    <x v="0"/>
    <x v="0"/>
    <x v="0"/>
    <x v="7"/>
    <x v="13"/>
    <s v="NO3_A1"/>
    <x v="7"/>
    <x v="126"/>
    <x v="0"/>
    <x v="9"/>
    <n v="282.146513660349"/>
    <n v="102983.477486027"/>
    <n v="370740.51894969901"/>
  </r>
  <r>
    <x v="0"/>
    <x v="0"/>
    <x v="0"/>
    <x v="7"/>
    <x v="13"/>
    <s v="NO3_A1"/>
    <x v="7"/>
    <x v="126"/>
    <x v="0"/>
    <x v="10"/>
    <n v="282.146513660349"/>
    <n v="102983.477486027"/>
    <n v="370740.51894969901"/>
  </r>
  <r>
    <x v="0"/>
    <x v="0"/>
    <x v="0"/>
    <x v="7"/>
    <x v="13"/>
    <s v="NO3_A1"/>
    <x v="7"/>
    <x v="126"/>
    <x v="0"/>
    <x v="11"/>
    <n v="282.146513660349"/>
    <n v="102983.477486027"/>
    <n v="370740.51894969901"/>
  </r>
  <r>
    <x v="0"/>
    <x v="0"/>
    <x v="0"/>
    <x v="7"/>
    <x v="13"/>
    <s v="NO3_A1"/>
    <x v="7"/>
    <x v="126"/>
    <x v="0"/>
    <x v="12"/>
    <n v="282.146513660349"/>
    <n v="102983.477486027"/>
    <n v="370740.51894969901"/>
  </r>
  <r>
    <x v="0"/>
    <x v="0"/>
    <x v="0"/>
    <x v="7"/>
    <x v="13"/>
    <s v="NO3_A1"/>
    <x v="7"/>
    <x v="126"/>
    <x v="0"/>
    <x v="13"/>
    <n v="282.146513660349"/>
    <n v="102983.477486027"/>
    <n v="370740.51894969901"/>
  </r>
  <r>
    <x v="0"/>
    <x v="0"/>
    <x v="0"/>
    <x v="7"/>
    <x v="13"/>
    <s v="NO3_A1"/>
    <x v="7"/>
    <x v="126"/>
    <x v="0"/>
    <x v="14"/>
    <n v="282.146513660349"/>
    <n v="102983.477486027"/>
    <n v="370740.51894969901"/>
  </r>
  <r>
    <x v="0"/>
    <x v="0"/>
    <x v="0"/>
    <x v="7"/>
    <x v="13"/>
    <s v="NO3_A1"/>
    <x v="7"/>
    <x v="126"/>
    <x v="0"/>
    <x v="15"/>
    <n v="282.146513660349"/>
    <n v="102983.477486027"/>
    <n v="370740.51894969901"/>
  </r>
  <r>
    <x v="0"/>
    <x v="0"/>
    <x v="0"/>
    <x v="7"/>
    <x v="13"/>
    <s v="NO3_A1"/>
    <x v="7"/>
    <x v="126"/>
    <x v="0"/>
    <x v="16"/>
    <n v="282.146513660349"/>
    <n v="102983.477486027"/>
    <n v="370740.51894969901"/>
  </r>
  <r>
    <x v="0"/>
    <x v="0"/>
    <x v="0"/>
    <x v="7"/>
    <x v="13"/>
    <s v="NO3_A1"/>
    <x v="7"/>
    <x v="126"/>
    <x v="0"/>
    <x v="17"/>
    <n v="282.146513660349"/>
    <n v="102983.477486027"/>
    <n v="370740.51894969901"/>
  </r>
  <r>
    <x v="0"/>
    <x v="0"/>
    <x v="0"/>
    <x v="7"/>
    <x v="13"/>
    <s v="NO3_A1"/>
    <x v="7"/>
    <x v="126"/>
    <x v="0"/>
    <x v="18"/>
    <n v="282.146513660349"/>
    <n v="102983.477486027"/>
    <n v="370740.51894969901"/>
  </r>
  <r>
    <x v="0"/>
    <x v="0"/>
    <x v="0"/>
    <x v="7"/>
    <x v="13"/>
    <s v="NO3_A1"/>
    <x v="7"/>
    <x v="126"/>
    <x v="0"/>
    <x v="19"/>
    <n v="282.146513660349"/>
    <n v="102983.477486027"/>
    <n v="370740.51894969901"/>
  </r>
  <r>
    <x v="0"/>
    <x v="0"/>
    <x v="0"/>
    <x v="7"/>
    <x v="13"/>
    <s v="NO3_A1"/>
    <x v="7"/>
    <x v="126"/>
    <x v="0"/>
    <x v="20"/>
    <n v="282.146513660349"/>
    <n v="102983.477486027"/>
    <n v="370740.51894969901"/>
  </r>
  <r>
    <x v="0"/>
    <x v="0"/>
    <x v="0"/>
    <x v="7"/>
    <x v="13"/>
    <s v="NO3_A1"/>
    <x v="7"/>
    <x v="127"/>
    <x v="0"/>
    <x v="0"/>
    <n v="282.146513660349"/>
    <n v="102983.477486027"/>
    <n v="370740.51894969901"/>
  </r>
  <r>
    <x v="0"/>
    <x v="0"/>
    <x v="0"/>
    <x v="7"/>
    <x v="13"/>
    <s v="NO3_A1"/>
    <x v="7"/>
    <x v="127"/>
    <x v="0"/>
    <x v="1"/>
    <n v="282.146513660349"/>
    <n v="102983.477486027"/>
    <n v="370740.51894969901"/>
  </r>
  <r>
    <x v="0"/>
    <x v="0"/>
    <x v="0"/>
    <x v="7"/>
    <x v="13"/>
    <s v="NO3_A1"/>
    <x v="7"/>
    <x v="127"/>
    <x v="0"/>
    <x v="2"/>
    <n v="282.146513660349"/>
    <n v="102983.477486027"/>
    <n v="370740.51894969901"/>
  </r>
  <r>
    <x v="0"/>
    <x v="0"/>
    <x v="0"/>
    <x v="7"/>
    <x v="13"/>
    <s v="NO3_A1"/>
    <x v="7"/>
    <x v="127"/>
    <x v="0"/>
    <x v="9"/>
    <n v="282.146513660349"/>
    <n v="102983.477486027"/>
    <n v="370740.51894969901"/>
  </r>
  <r>
    <x v="0"/>
    <x v="0"/>
    <x v="0"/>
    <x v="7"/>
    <x v="13"/>
    <s v="NO3_A1"/>
    <x v="7"/>
    <x v="127"/>
    <x v="0"/>
    <x v="10"/>
    <n v="282.146513660349"/>
    <n v="102983.477486027"/>
    <n v="370740.51894969901"/>
  </r>
  <r>
    <x v="0"/>
    <x v="0"/>
    <x v="0"/>
    <x v="7"/>
    <x v="13"/>
    <s v="NO3_A1"/>
    <x v="7"/>
    <x v="127"/>
    <x v="0"/>
    <x v="11"/>
    <n v="282.146513660349"/>
    <n v="102983.477486027"/>
    <n v="370740.51894969901"/>
  </r>
  <r>
    <x v="0"/>
    <x v="0"/>
    <x v="0"/>
    <x v="7"/>
    <x v="13"/>
    <s v="NO3_A1"/>
    <x v="7"/>
    <x v="127"/>
    <x v="0"/>
    <x v="12"/>
    <n v="282.146513660349"/>
    <n v="102983.477486027"/>
    <n v="370740.51894969901"/>
  </r>
  <r>
    <x v="0"/>
    <x v="0"/>
    <x v="0"/>
    <x v="7"/>
    <x v="13"/>
    <s v="NO3_A1"/>
    <x v="7"/>
    <x v="127"/>
    <x v="0"/>
    <x v="13"/>
    <n v="282.146513660349"/>
    <n v="102983.477486027"/>
    <n v="370740.51894969901"/>
  </r>
  <r>
    <x v="0"/>
    <x v="0"/>
    <x v="0"/>
    <x v="7"/>
    <x v="13"/>
    <s v="NO3_A1"/>
    <x v="7"/>
    <x v="127"/>
    <x v="0"/>
    <x v="14"/>
    <n v="282.146513660349"/>
    <n v="102983.477486027"/>
    <n v="370740.51894969901"/>
  </r>
  <r>
    <x v="0"/>
    <x v="0"/>
    <x v="0"/>
    <x v="7"/>
    <x v="13"/>
    <s v="NO3_A1"/>
    <x v="7"/>
    <x v="127"/>
    <x v="0"/>
    <x v="15"/>
    <n v="282.146513660349"/>
    <n v="102983.477486027"/>
    <n v="370740.51894969901"/>
  </r>
  <r>
    <x v="0"/>
    <x v="0"/>
    <x v="0"/>
    <x v="7"/>
    <x v="13"/>
    <s v="NO3_A1"/>
    <x v="7"/>
    <x v="127"/>
    <x v="0"/>
    <x v="16"/>
    <n v="282.146513660349"/>
    <n v="102983.477486027"/>
    <n v="370740.51894969901"/>
  </r>
  <r>
    <x v="0"/>
    <x v="0"/>
    <x v="0"/>
    <x v="7"/>
    <x v="13"/>
    <s v="NO3_A1"/>
    <x v="7"/>
    <x v="127"/>
    <x v="0"/>
    <x v="17"/>
    <n v="282.146513660349"/>
    <n v="102983.477486027"/>
    <n v="370740.51894969901"/>
  </r>
  <r>
    <x v="0"/>
    <x v="0"/>
    <x v="0"/>
    <x v="7"/>
    <x v="13"/>
    <s v="NO3_A1"/>
    <x v="7"/>
    <x v="127"/>
    <x v="0"/>
    <x v="18"/>
    <n v="282.146513660349"/>
    <n v="102983.477486027"/>
    <n v="370740.51894969901"/>
  </r>
  <r>
    <x v="0"/>
    <x v="0"/>
    <x v="0"/>
    <x v="7"/>
    <x v="13"/>
    <s v="NO3_A1"/>
    <x v="7"/>
    <x v="127"/>
    <x v="0"/>
    <x v="19"/>
    <n v="282.146513660349"/>
    <n v="102983.477486027"/>
    <n v="370740.51894969901"/>
  </r>
  <r>
    <x v="0"/>
    <x v="0"/>
    <x v="0"/>
    <x v="7"/>
    <x v="13"/>
    <s v="NO3_A1"/>
    <x v="7"/>
    <x v="128"/>
    <x v="0"/>
    <x v="1"/>
    <n v="282.146513660349"/>
    <n v="102983.477486027"/>
    <n v="370740.51894969901"/>
  </r>
  <r>
    <x v="0"/>
    <x v="0"/>
    <x v="0"/>
    <x v="7"/>
    <x v="13"/>
    <s v="NO3_A1"/>
    <x v="7"/>
    <x v="128"/>
    <x v="0"/>
    <x v="2"/>
    <n v="282.146513660349"/>
    <n v="102983.477486027"/>
    <n v="370740.51894969901"/>
  </r>
  <r>
    <x v="0"/>
    <x v="0"/>
    <x v="0"/>
    <x v="7"/>
    <x v="13"/>
    <s v="NO3_A1"/>
    <x v="7"/>
    <x v="128"/>
    <x v="0"/>
    <x v="9"/>
    <n v="282.146513660349"/>
    <n v="102983.477486027"/>
    <n v="370740.51894969901"/>
  </r>
  <r>
    <x v="0"/>
    <x v="0"/>
    <x v="0"/>
    <x v="7"/>
    <x v="13"/>
    <s v="NO3_A1"/>
    <x v="7"/>
    <x v="128"/>
    <x v="0"/>
    <x v="10"/>
    <n v="282.146513660349"/>
    <n v="102983.477486027"/>
    <n v="370740.51894969901"/>
  </r>
  <r>
    <x v="0"/>
    <x v="0"/>
    <x v="0"/>
    <x v="7"/>
    <x v="13"/>
    <s v="NO3_A1"/>
    <x v="7"/>
    <x v="128"/>
    <x v="0"/>
    <x v="11"/>
    <n v="192.36472241757099"/>
    <n v="70213.123682413294"/>
    <n v="252767.24525668801"/>
  </r>
  <r>
    <x v="0"/>
    <x v="0"/>
    <x v="0"/>
    <x v="7"/>
    <x v="13"/>
    <s v="NO3_A1"/>
    <x v="7"/>
    <x v="209"/>
    <x v="0"/>
    <x v="3"/>
    <n v="60.3"/>
    <n v="22009.5"/>
    <n v="79234.2"/>
  </r>
  <r>
    <x v="0"/>
    <x v="0"/>
    <x v="0"/>
    <x v="7"/>
    <x v="13"/>
    <s v="NO3_A1"/>
    <x v="7"/>
    <x v="209"/>
    <x v="0"/>
    <x v="4"/>
    <n v="60.3"/>
    <n v="22009.5"/>
    <n v="79234.2"/>
  </r>
  <r>
    <x v="0"/>
    <x v="0"/>
    <x v="0"/>
    <x v="7"/>
    <x v="13"/>
    <s v="NO3_A1"/>
    <x v="7"/>
    <x v="209"/>
    <x v="0"/>
    <x v="5"/>
    <n v="60.3"/>
    <n v="22009.5"/>
    <n v="79234.2"/>
  </r>
  <r>
    <x v="0"/>
    <x v="0"/>
    <x v="0"/>
    <x v="7"/>
    <x v="13"/>
    <s v="NO3_A1"/>
    <x v="7"/>
    <x v="209"/>
    <x v="0"/>
    <x v="6"/>
    <n v="60.3"/>
    <n v="22009.5"/>
    <n v="79234.2"/>
  </r>
  <r>
    <x v="0"/>
    <x v="0"/>
    <x v="0"/>
    <x v="7"/>
    <x v="13"/>
    <s v="NO3_A1"/>
    <x v="7"/>
    <x v="209"/>
    <x v="0"/>
    <x v="7"/>
    <n v="60.3"/>
    <n v="22009.5"/>
    <n v="79234.2"/>
  </r>
  <r>
    <x v="0"/>
    <x v="0"/>
    <x v="0"/>
    <x v="7"/>
    <x v="13"/>
    <s v="NO3_A1"/>
    <x v="7"/>
    <x v="209"/>
    <x v="0"/>
    <x v="8"/>
    <n v="60.3"/>
    <n v="22009.5"/>
    <n v="79234.2"/>
  </r>
  <r>
    <x v="0"/>
    <x v="0"/>
    <x v="0"/>
    <x v="7"/>
    <x v="13"/>
    <s v="NO3_A1"/>
    <x v="7"/>
    <x v="209"/>
    <x v="0"/>
    <x v="0"/>
    <n v="60.3"/>
    <n v="22009.5"/>
    <n v="79234.2"/>
  </r>
  <r>
    <x v="0"/>
    <x v="0"/>
    <x v="0"/>
    <x v="7"/>
    <x v="13"/>
    <s v="NO3_A1"/>
    <x v="7"/>
    <x v="209"/>
    <x v="0"/>
    <x v="1"/>
    <n v="60.3"/>
    <n v="22009.5"/>
    <n v="79234.2"/>
  </r>
  <r>
    <x v="0"/>
    <x v="0"/>
    <x v="0"/>
    <x v="7"/>
    <x v="13"/>
    <s v="NO3_A1"/>
    <x v="7"/>
    <x v="209"/>
    <x v="0"/>
    <x v="2"/>
    <n v="60.3"/>
    <n v="22009.5"/>
    <n v="79234.2"/>
  </r>
  <r>
    <x v="0"/>
    <x v="0"/>
    <x v="0"/>
    <x v="7"/>
    <x v="13"/>
    <s v="NO3_A1"/>
    <x v="7"/>
    <x v="209"/>
    <x v="0"/>
    <x v="9"/>
    <n v="60.3"/>
    <n v="22009.5"/>
    <n v="79234.2"/>
  </r>
  <r>
    <x v="0"/>
    <x v="0"/>
    <x v="0"/>
    <x v="7"/>
    <x v="13"/>
    <s v="NO3_A1"/>
    <x v="7"/>
    <x v="209"/>
    <x v="0"/>
    <x v="10"/>
    <n v="60.3"/>
    <n v="22009.5"/>
    <n v="79234.2"/>
  </r>
  <r>
    <x v="0"/>
    <x v="0"/>
    <x v="0"/>
    <x v="7"/>
    <x v="13"/>
    <s v="NO3_A1"/>
    <x v="7"/>
    <x v="209"/>
    <x v="0"/>
    <x v="11"/>
    <n v="60.3"/>
    <n v="22009.5"/>
    <n v="79234.2"/>
  </r>
  <r>
    <x v="0"/>
    <x v="0"/>
    <x v="0"/>
    <x v="7"/>
    <x v="13"/>
    <s v="NO3_A1"/>
    <x v="7"/>
    <x v="209"/>
    <x v="0"/>
    <x v="12"/>
    <n v="60.3"/>
    <n v="22009.5"/>
    <n v="79234.2"/>
  </r>
  <r>
    <x v="0"/>
    <x v="0"/>
    <x v="0"/>
    <x v="7"/>
    <x v="13"/>
    <s v="NO3_A1"/>
    <x v="7"/>
    <x v="209"/>
    <x v="0"/>
    <x v="13"/>
    <n v="60.3"/>
    <n v="22009.5"/>
    <n v="79234.2"/>
  </r>
  <r>
    <x v="0"/>
    <x v="0"/>
    <x v="0"/>
    <x v="7"/>
    <x v="13"/>
    <s v="NO3_A1"/>
    <x v="7"/>
    <x v="209"/>
    <x v="0"/>
    <x v="14"/>
    <n v="60.3"/>
    <n v="22009.5"/>
    <n v="79234.2"/>
  </r>
  <r>
    <x v="0"/>
    <x v="0"/>
    <x v="0"/>
    <x v="7"/>
    <x v="13"/>
    <s v="NO3_A1"/>
    <x v="7"/>
    <x v="209"/>
    <x v="0"/>
    <x v="15"/>
    <n v="60.3"/>
    <n v="22009.5"/>
    <n v="79234.2"/>
  </r>
  <r>
    <x v="0"/>
    <x v="0"/>
    <x v="0"/>
    <x v="7"/>
    <x v="13"/>
    <s v="NO3_A1"/>
    <x v="7"/>
    <x v="209"/>
    <x v="0"/>
    <x v="16"/>
    <n v="60.3"/>
    <n v="22009.5"/>
    <n v="79234.2"/>
  </r>
  <r>
    <x v="0"/>
    <x v="0"/>
    <x v="0"/>
    <x v="7"/>
    <x v="13"/>
    <s v="NO3_A1"/>
    <x v="7"/>
    <x v="209"/>
    <x v="0"/>
    <x v="17"/>
    <n v="60.3"/>
    <n v="22009.5"/>
    <n v="79234.2"/>
  </r>
  <r>
    <x v="0"/>
    <x v="0"/>
    <x v="0"/>
    <x v="7"/>
    <x v="13"/>
    <s v="NO3_A1"/>
    <x v="7"/>
    <x v="209"/>
    <x v="0"/>
    <x v="18"/>
    <n v="60.3"/>
    <n v="22009.5"/>
    <n v="79234.2"/>
  </r>
  <r>
    <x v="0"/>
    <x v="0"/>
    <x v="0"/>
    <x v="7"/>
    <x v="13"/>
    <s v="NO3_A1"/>
    <x v="7"/>
    <x v="209"/>
    <x v="0"/>
    <x v="19"/>
    <n v="60.3"/>
    <n v="22009.5"/>
    <n v="79234.2"/>
  </r>
  <r>
    <x v="0"/>
    <x v="0"/>
    <x v="0"/>
    <x v="7"/>
    <x v="13"/>
    <s v="NO3_A1"/>
    <x v="7"/>
    <x v="209"/>
    <x v="0"/>
    <x v="20"/>
    <n v="60.3"/>
    <n v="22009.5"/>
    <n v="79234.2"/>
  </r>
  <r>
    <x v="0"/>
    <x v="0"/>
    <x v="0"/>
    <x v="7"/>
    <x v="13"/>
    <s v="NO3_A1"/>
    <x v="7"/>
    <x v="209"/>
    <x v="0"/>
    <x v="21"/>
    <n v="60.3"/>
    <n v="22009.5"/>
    <n v="79234.2"/>
  </r>
  <r>
    <x v="0"/>
    <x v="0"/>
    <x v="0"/>
    <x v="7"/>
    <x v="13"/>
    <s v="NO3_A1"/>
    <x v="7"/>
    <x v="209"/>
    <x v="0"/>
    <x v="22"/>
    <n v="60.3"/>
    <n v="22009.5"/>
    <n v="79234.2"/>
  </r>
  <r>
    <x v="0"/>
    <x v="0"/>
    <x v="0"/>
    <x v="7"/>
    <x v="13"/>
    <s v="NO3_A1"/>
    <x v="7"/>
    <x v="209"/>
    <x v="0"/>
    <x v="23"/>
    <n v="60.3"/>
    <n v="22009.5"/>
    <n v="79234.2"/>
  </r>
  <r>
    <x v="0"/>
    <x v="0"/>
    <x v="0"/>
    <x v="7"/>
    <x v="13"/>
    <s v="NO3_A1"/>
    <x v="7"/>
    <x v="46"/>
    <x v="0"/>
    <x v="3"/>
    <n v="688.97059999822602"/>
    <n v="251474.268999352"/>
    <n v="905307.36839766905"/>
  </r>
  <r>
    <x v="0"/>
    <x v="0"/>
    <x v="0"/>
    <x v="7"/>
    <x v="13"/>
    <s v="NO3_A1"/>
    <x v="7"/>
    <x v="46"/>
    <x v="0"/>
    <x v="4"/>
    <n v="688.97059999822602"/>
    <n v="251474.268999352"/>
    <n v="905307.36839766905"/>
  </r>
  <r>
    <x v="0"/>
    <x v="0"/>
    <x v="0"/>
    <x v="7"/>
    <x v="13"/>
    <s v="NO3_A1"/>
    <x v="7"/>
    <x v="46"/>
    <x v="0"/>
    <x v="5"/>
    <n v="688.97059999822602"/>
    <n v="251474.268999352"/>
    <n v="905307.36839766905"/>
  </r>
  <r>
    <x v="0"/>
    <x v="0"/>
    <x v="0"/>
    <x v="7"/>
    <x v="13"/>
    <s v="NO3_A1"/>
    <x v="7"/>
    <x v="46"/>
    <x v="0"/>
    <x v="6"/>
    <n v="688.97059999822602"/>
    <n v="251474.268999352"/>
    <n v="905307.36839766905"/>
  </r>
  <r>
    <x v="0"/>
    <x v="0"/>
    <x v="0"/>
    <x v="7"/>
    <x v="13"/>
    <s v="NO3_A1"/>
    <x v="7"/>
    <x v="46"/>
    <x v="0"/>
    <x v="7"/>
    <n v="688.97059999822602"/>
    <n v="251474.268999352"/>
    <n v="905307.36839766905"/>
  </r>
  <r>
    <x v="0"/>
    <x v="0"/>
    <x v="0"/>
    <x v="7"/>
    <x v="13"/>
    <s v="NO3_A1"/>
    <x v="7"/>
    <x v="46"/>
    <x v="0"/>
    <x v="8"/>
    <n v="688.97059999822602"/>
    <n v="251474.268999352"/>
    <n v="905307.36839766905"/>
  </r>
  <r>
    <x v="0"/>
    <x v="0"/>
    <x v="0"/>
    <x v="7"/>
    <x v="13"/>
    <s v="NO3_A1"/>
    <x v="7"/>
    <x v="46"/>
    <x v="0"/>
    <x v="0"/>
    <n v="688.97059999822602"/>
    <n v="251474.268999352"/>
    <n v="905307.36839766905"/>
  </r>
  <r>
    <x v="0"/>
    <x v="0"/>
    <x v="0"/>
    <x v="7"/>
    <x v="13"/>
    <s v="NO3_A1"/>
    <x v="7"/>
    <x v="46"/>
    <x v="0"/>
    <x v="1"/>
    <n v="688.97059999822602"/>
    <n v="251474.268999352"/>
    <n v="905307.36839766905"/>
  </r>
  <r>
    <x v="0"/>
    <x v="0"/>
    <x v="0"/>
    <x v="7"/>
    <x v="13"/>
    <s v="NO3_A1"/>
    <x v="7"/>
    <x v="46"/>
    <x v="0"/>
    <x v="2"/>
    <n v="688.97059999822602"/>
    <n v="251474.268999352"/>
    <n v="905307.36839766905"/>
  </r>
  <r>
    <x v="0"/>
    <x v="0"/>
    <x v="0"/>
    <x v="7"/>
    <x v="13"/>
    <s v="NO3_A1"/>
    <x v="7"/>
    <x v="46"/>
    <x v="0"/>
    <x v="9"/>
    <n v="688.97059999822602"/>
    <n v="251474.268999352"/>
    <n v="905307.36839766905"/>
  </r>
  <r>
    <x v="0"/>
    <x v="0"/>
    <x v="0"/>
    <x v="7"/>
    <x v="13"/>
    <s v="NO3_A1"/>
    <x v="7"/>
    <x v="46"/>
    <x v="0"/>
    <x v="10"/>
    <n v="688.97059999822602"/>
    <n v="251474.268999352"/>
    <n v="905307.36839766905"/>
  </r>
  <r>
    <x v="0"/>
    <x v="0"/>
    <x v="0"/>
    <x v="7"/>
    <x v="13"/>
    <s v="NO3_A1"/>
    <x v="7"/>
    <x v="46"/>
    <x v="0"/>
    <x v="11"/>
    <n v="688.97059999822602"/>
    <n v="251474.268999352"/>
    <n v="905307.36839766905"/>
  </r>
  <r>
    <x v="0"/>
    <x v="0"/>
    <x v="0"/>
    <x v="7"/>
    <x v="13"/>
    <s v="NO3_A1"/>
    <x v="7"/>
    <x v="46"/>
    <x v="0"/>
    <x v="12"/>
    <n v="688.97059999822602"/>
    <n v="251474.268999352"/>
    <n v="905307.36839766905"/>
  </r>
  <r>
    <x v="0"/>
    <x v="0"/>
    <x v="0"/>
    <x v="7"/>
    <x v="13"/>
    <s v="NO3_A1"/>
    <x v="7"/>
    <x v="46"/>
    <x v="0"/>
    <x v="13"/>
    <n v="688.97059999822602"/>
    <n v="251474.268999352"/>
    <n v="905307.36839766905"/>
  </r>
  <r>
    <x v="0"/>
    <x v="0"/>
    <x v="0"/>
    <x v="7"/>
    <x v="13"/>
    <s v="NO3_A1"/>
    <x v="7"/>
    <x v="46"/>
    <x v="0"/>
    <x v="14"/>
    <n v="688.97059999822602"/>
    <n v="251474.268999352"/>
    <n v="905307.36839766905"/>
  </r>
  <r>
    <x v="0"/>
    <x v="0"/>
    <x v="0"/>
    <x v="7"/>
    <x v="13"/>
    <s v="NO3_A1"/>
    <x v="7"/>
    <x v="46"/>
    <x v="0"/>
    <x v="15"/>
    <n v="688.97059999822602"/>
    <n v="251474.268999352"/>
    <n v="905307.36839766905"/>
  </r>
  <r>
    <x v="0"/>
    <x v="0"/>
    <x v="0"/>
    <x v="7"/>
    <x v="13"/>
    <s v="NO3_A1"/>
    <x v="7"/>
    <x v="46"/>
    <x v="0"/>
    <x v="16"/>
    <n v="688.97059999822602"/>
    <n v="251474.268999352"/>
    <n v="905307.36839766905"/>
  </r>
  <r>
    <x v="0"/>
    <x v="0"/>
    <x v="0"/>
    <x v="7"/>
    <x v="13"/>
    <s v="NO3_A1"/>
    <x v="7"/>
    <x v="46"/>
    <x v="0"/>
    <x v="17"/>
    <n v="688.97059999822602"/>
    <n v="251474.268999352"/>
    <n v="905307.36839766905"/>
  </r>
  <r>
    <x v="0"/>
    <x v="0"/>
    <x v="0"/>
    <x v="7"/>
    <x v="13"/>
    <s v="NO3_A1"/>
    <x v="7"/>
    <x v="46"/>
    <x v="0"/>
    <x v="18"/>
    <n v="688.97059999822602"/>
    <n v="251474.268999352"/>
    <n v="905307.36839766905"/>
  </r>
  <r>
    <x v="0"/>
    <x v="0"/>
    <x v="0"/>
    <x v="7"/>
    <x v="13"/>
    <s v="NO3_A1"/>
    <x v="7"/>
    <x v="46"/>
    <x v="0"/>
    <x v="19"/>
    <n v="688.97059999822602"/>
    <n v="251474.268999352"/>
    <n v="905307.36839766905"/>
  </r>
  <r>
    <x v="0"/>
    <x v="0"/>
    <x v="0"/>
    <x v="7"/>
    <x v="13"/>
    <s v="NO3_A1"/>
    <x v="7"/>
    <x v="46"/>
    <x v="0"/>
    <x v="20"/>
    <n v="688.97059999822602"/>
    <n v="251474.268999352"/>
    <n v="905307.36839766905"/>
  </r>
  <r>
    <x v="0"/>
    <x v="0"/>
    <x v="0"/>
    <x v="7"/>
    <x v="13"/>
    <s v="NO3_A1"/>
    <x v="7"/>
    <x v="46"/>
    <x v="0"/>
    <x v="21"/>
    <n v="688.97059999822602"/>
    <n v="251474.268999352"/>
    <n v="905307.36839766905"/>
  </r>
  <r>
    <x v="0"/>
    <x v="0"/>
    <x v="0"/>
    <x v="7"/>
    <x v="13"/>
    <s v="NO3_A1"/>
    <x v="7"/>
    <x v="46"/>
    <x v="0"/>
    <x v="22"/>
    <n v="688.97059999822602"/>
    <n v="251474.268999352"/>
    <n v="905307.36839766905"/>
  </r>
  <r>
    <x v="0"/>
    <x v="0"/>
    <x v="0"/>
    <x v="7"/>
    <x v="13"/>
    <s v="NO3_A1"/>
    <x v="7"/>
    <x v="46"/>
    <x v="0"/>
    <x v="23"/>
    <n v="688.97059999822602"/>
    <n v="251474.268999352"/>
    <n v="905307.36839766905"/>
  </r>
  <r>
    <x v="0"/>
    <x v="0"/>
    <x v="0"/>
    <x v="7"/>
    <x v="13"/>
    <s v="NO3_A1"/>
    <x v="8"/>
    <x v="47"/>
    <x v="0"/>
    <x v="3"/>
    <n v="42.407408621679998"/>
    <n v="15478.7041469132"/>
    <n v="55723.334928887503"/>
  </r>
  <r>
    <x v="0"/>
    <x v="0"/>
    <x v="0"/>
    <x v="7"/>
    <x v="13"/>
    <s v="NO3_A1"/>
    <x v="8"/>
    <x v="47"/>
    <x v="0"/>
    <x v="4"/>
    <n v="55.434883861048"/>
    <n v="20233.732609282499"/>
    <n v="72841.437393417"/>
  </r>
  <r>
    <x v="0"/>
    <x v="0"/>
    <x v="0"/>
    <x v="7"/>
    <x v="13"/>
    <s v="NO3_A1"/>
    <x v="8"/>
    <x v="47"/>
    <x v="0"/>
    <x v="5"/>
    <n v="59.087856686394701"/>
    <n v="21567.067690534099"/>
    <n v="77641.443685922597"/>
  </r>
  <r>
    <x v="0"/>
    <x v="0"/>
    <x v="0"/>
    <x v="7"/>
    <x v="13"/>
    <s v="NO3_A1"/>
    <x v="8"/>
    <x v="47"/>
    <x v="0"/>
    <x v="6"/>
    <n v="67.831811775635103"/>
    <n v="24758.6112981068"/>
    <n v="89131.000673184593"/>
  </r>
  <r>
    <x v="0"/>
    <x v="0"/>
    <x v="0"/>
    <x v="7"/>
    <x v="13"/>
    <s v="NO3_A1"/>
    <x v="8"/>
    <x v="47"/>
    <x v="0"/>
    <x v="7"/>
    <n v="77.100974162646196"/>
    <n v="28141.8555693659"/>
    <n v="101310.680049717"/>
  </r>
  <r>
    <x v="0"/>
    <x v="0"/>
    <x v="0"/>
    <x v="7"/>
    <x v="13"/>
    <s v="NO3_A1"/>
    <x v="8"/>
    <x v="47"/>
    <x v="0"/>
    <x v="8"/>
    <n v="79.251338408944804"/>
    <n v="28926.7385192648"/>
    <n v="104136.258669353"/>
  </r>
  <r>
    <x v="0"/>
    <x v="0"/>
    <x v="0"/>
    <x v="7"/>
    <x v="13"/>
    <s v="NO3_A1"/>
    <x v="8"/>
    <x v="47"/>
    <x v="0"/>
    <x v="0"/>
    <n v="55.665187939682802"/>
    <n v="20317.7935979842"/>
    <n v="73144.056952743194"/>
  </r>
  <r>
    <x v="0"/>
    <x v="0"/>
    <x v="0"/>
    <x v="7"/>
    <x v="13"/>
    <s v="NO3_A1"/>
    <x v="8"/>
    <x v="47"/>
    <x v="0"/>
    <x v="1"/>
    <n v="63.054053915683099"/>
    <n v="23014.7296792243"/>
    <n v="82853.026845207598"/>
  </r>
  <r>
    <x v="0"/>
    <x v="0"/>
    <x v="0"/>
    <x v="7"/>
    <x v="13"/>
    <s v="NO3_A1"/>
    <x v="8"/>
    <x v="47"/>
    <x v="0"/>
    <x v="2"/>
    <n v="93.745431277653196"/>
    <n v="34217.082416343401"/>
    <n v="123181.496698836"/>
  </r>
  <r>
    <x v="0"/>
    <x v="0"/>
    <x v="0"/>
    <x v="7"/>
    <x v="13"/>
    <s v="NO3_A1"/>
    <x v="8"/>
    <x v="47"/>
    <x v="0"/>
    <x v="9"/>
    <n v="96.890038724002693"/>
    <n v="35364.864134260999"/>
    <n v="127313.510883339"/>
  </r>
  <r>
    <x v="0"/>
    <x v="0"/>
    <x v="0"/>
    <x v="7"/>
    <x v="13"/>
    <s v="NO3_A1"/>
    <x v="8"/>
    <x v="47"/>
    <x v="0"/>
    <x v="10"/>
    <n v="100.156923114872"/>
    <n v="36557.276936928298"/>
    <n v="131606.19697294201"/>
  </r>
  <r>
    <x v="0"/>
    <x v="0"/>
    <x v="0"/>
    <x v="7"/>
    <x v="13"/>
    <s v="NO3_A1"/>
    <x v="8"/>
    <x v="47"/>
    <x v="0"/>
    <x v="11"/>
    <n v="108.674170506199"/>
    <n v="39666.072234762498"/>
    <n v="142797.860045145"/>
  </r>
  <r>
    <x v="0"/>
    <x v="0"/>
    <x v="0"/>
    <x v="7"/>
    <x v="13"/>
    <s v="NO3_A1"/>
    <x v="8"/>
    <x v="47"/>
    <x v="0"/>
    <x v="12"/>
    <n v="108.618718386853"/>
    <n v="39645.832211201203"/>
    <n v="142724.99596032401"/>
  </r>
  <r>
    <x v="0"/>
    <x v="0"/>
    <x v="0"/>
    <x v="7"/>
    <x v="13"/>
    <s v="NO3_A1"/>
    <x v="8"/>
    <x v="47"/>
    <x v="0"/>
    <x v="13"/>
    <n v="161.41765874800399"/>
    <n v="58917.445443021599"/>
    <n v="212102.803594878"/>
  </r>
  <r>
    <x v="0"/>
    <x v="0"/>
    <x v="0"/>
    <x v="7"/>
    <x v="13"/>
    <s v="NO3_A1"/>
    <x v="8"/>
    <x v="47"/>
    <x v="0"/>
    <x v="14"/>
    <n v="181.42893892418499"/>
    <n v="66221.562707327597"/>
    <n v="238397.625746379"/>
  </r>
  <r>
    <x v="0"/>
    <x v="0"/>
    <x v="0"/>
    <x v="7"/>
    <x v="13"/>
    <s v="NO3_A1"/>
    <x v="8"/>
    <x v="47"/>
    <x v="0"/>
    <x v="15"/>
    <n v="174.38951901305001"/>
    <n v="63652.174439763403"/>
    <n v="229147.82798314799"/>
  </r>
  <r>
    <x v="0"/>
    <x v="0"/>
    <x v="0"/>
    <x v="7"/>
    <x v="13"/>
    <s v="NO3_A1"/>
    <x v="8"/>
    <x v="47"/>
    <x v="0"/>
    <x v="16"/>
    <n v="162.25391905003599"/>
    <n v="59222.680453263201"/>
    <n v="213201.64963174699"/>
  </r>
  <r>
    <x v="0"/>
    <x v="0"/>
    <x v="0"/>
    <x v="7"/>
    <x v="13"/>
    <s v="NO3_A1"/>
    <x v="8"/>
    <x v="47"/>
    <x v="0"/>
    <x v="17"/>
    <n v="174.71358684414801"/>
    <n v="63770.459198113902"/>
    <n v="229573.65311320999"/>
  </r>
  <r>
    <x v="0"/>
    <x v="0"/>
    <x v="0"/>
    <x v="7"/>
    <x v="13"/>
    <s v="NO3_A1"/>
    <x v="8"/>
    <x v="47"/>
    <x v="0"/>
    <x v="18"/>
    <n v="168.76562098251901"/>
    <n v="61599.451658619597"/>
    <n v="221758.02597103"/>
  </r>
  <r>
    <x v="0"/>
    <x v="0"/>
    <x v="0"/>
    <x v="7"/>
    <x v="13"/>
    <s v="NO3_A1"/>
    <x v="8"/>
    <x v="47"/>
    <x v="0"/>
    <x v="19"/>
    <n v="147.54588902778599"/>
    <n v="53854.249495142001"/>
    <n v="193875.298182511"/>
  </r>
  <r>
    <x v="0"/>
    <x v="0"/>
    <x v="0"/>
    <x v="7"/>
    <x v="13"/>
    <s v="NO3_A1"/>
    <x v="8"/>
    <x v="47"/>
    <x v="0"/>
    <x v="20"/>
    <n v="161.69797287553499"/>
    <n v="59019.7600995705"/>
    <n v="212471.13635845401"/>
  </r>
  <r>
    <x v="0"/>
    <x v="0"/>
    <x v="0"/>
    <x v="7"/>
    <x v="13"/>
    <s v="NO3_A1"/>
    <x v="8"/>
    <x v="47"/>
    <x v="0"/>
    <x v="21"/>
    <n v="138.93570573012499"/>
    <n v="50711.532591495699"/>
    <n v="182561.51732938399"/>
  </r>
  <r>
    <x v="0"/>
    <x v="0"/>
    <x v="0"/>
    <x v="7"/>
    <x v="13"/>
    <s v="NO3_A1"/>
    <x v="8"/>
    <x v="47"/>
    <x v="0"/>
    <x v="22"/>
    <n v="140.497849474194"/>
    <n v="51281.715058080801"/>
    <n v="184614.174209091"/>
  </r>
  <r>
    <x v="0"/>
    <x v="0"/>
    <x v="0"/>
    <x v="7"/>
    <x v="13"/>
    <s v="NO3_A1"/>
    <x v="8"/>
    <x v="47"/>
    <x v="0"/>
    <x v="23"/>
    <n v="127.754815921725"/>
    <n v="46630.507811429699"/>
    <n v="167869.828121147"/>
  </r>
  <r>
    <x v="0"/>
    <x v="0"/>
    <x v="0"/>
    <x v="7"/>
    <x v="13"/>
    <s v="NO3_A2"/>
    <x v="21"/>
    <x v="205"/>
    <x v="0"/>
    <x v="0"/>
    <n v="16.916096266719801"/>
    <n v="6174.3751373527102"/>
    <n v="22227.750494469801"/>
  </r>
  <r>
    <x v="0"/>
    <x v="0"/>
    <x v="0"/>
    <x v="7"/>
    <x v="13"/>
    <s v="NO3_A2"/>
    <x v="21"/>
    <x v="205"/>
    <x v="0"/>
    <x v="1"/>
    <n v="28.020384507799299"/>
    <n v="10227.4403453467"/>
    <n v="36818.785243248298"/>
  </r>
  <r>
    <x v="0"/>
    <x v="0"/>
    <x v="0"/>
    <x v="7"/>
    <x v="13"/>
    <s v="NO3_A2"/>
    <x v="21"/>
    <x v="205"/>
    <x v="0"/>
    <x v="9"/>
    <n v="26.314881492223101"/>
    <n v="9604.9317446614205"/>
    <n v="34577.754280781097"/>
  </r>
  <r>
    <x v="0"/>
    <x v="0"/>
    <x v="0"/>
    <x v="7"/>
    <x v="13"/>
    <s v="NO3_A2"/>
    <x v="21"/>
    <x v="205"/>
    <x v="0"/>
    <x v="14"/>
    <n v="9.97839840536008"/>
    <n v="3642.1154179564301"/>
    <n v="13111.6155046432"/>
  </r>
  <r>
    <x v="0"/>
    <x v="0"/>
    <x v="0"/>
    <x v="7"/>
    <x v="13"/>
    <s v="NO3_A2"/>
    <x v="21"/>
    <x v="206"/>
    <x v="0"/>
    <x v="8"/>
    <n v="4.9622697399556799"/>
    <n v="1811.2284550838201"/>
    <n v="6520.4224383017699"/>
  </r>
  <r>
    <x v="0"/>
    <x v="0"/>
    <x v="0"/>
    <x v="7"/>
    <x v="13"/>
    <s v="NO3_A2"/>
    <x v="21"/>
    <x v="206"/>
    <x v="0"/>
    <x v="2"/>
    <n v="29.944552100856999"/>
    <n v="10929.7615168128"/>
    <n v="39347.141460526"/>
  </r>
  <r>
    <x v="0"/>
    <x v="0"/>
    <x v="0"/>
    <x v="7"/>
    <x v="13"/>
    <s v="NO3_A2"/>
    <x v="21"/>
    <x v="206"/>
    <x v="0"/>
    <x v="10"/>
    <n v="20.713033026747802"/>
    <n v="7560.2570547629502"/>
    <n v="27216.925397146599"/>
  </r>
  <r>
    <x v="0"/>
    <x v="0"/>
    <x v="0"/>
    <x v="7"/>
    <x v="13"/>
    <s v="NO3_A2"/>
    <x v="21"/>
    <x v="206"/>
    <x v="0"/>
    <x v="11"/>
    <n v="15.7121071670819"/>
    <n v="5734.9191159849097"/>
    <n v="20645.708817545699"/>
  </r>
  <r>
    <x v="0"/>
    <x v="0"/>
    <x v="0"/>
    <x v="7"/>
    <x v="13"/>
    <s v="NO3_A2"/>
    <x v="21"/>
    <x v="206"/>
    <x v="0"/>
    <x v="12"/>
    <n v="13.8533648577321"/>
    <n v="5056.4781730722198"/>
    <n v="18203.321423059999"/>
  </r>
  <r>
    <x v="0"/>
    <x v="0"/>
    <x v="0"/>
    <x v="7"/>
    <x v="13"/>
    <s v="NO3_A2"/>
    <x v="21"/>
    <x v="206"/>
    <x v="0"/>
    <x v="13"/>
    <n v="12.430734054565701"/>
    <n v="4537.2179299165"/>
    <n v="16333.9845476994"/>
  </r>
  <r>
    <x v="0"/>
    <x v="0"/>
    <x v="0"/>
    <x v="7"/>
    <x v="13"/>
    <s v="NO3_A2"/>
    <x v="21"/>
    <x v="206"/>
    <x v="0"/>
    <x v="15"/>
    <n v="6.5511956443637596"/>
    <n v="2391.1864101927699"/>
    <n v="8608.2710766939799"/>
  </r>
  <r>
    <x v="0"/>
    <x v="0"/>
    <x v="0"/>
    <x v="7"/>
    <x v="13"/>
    <s v="NO3_A2"/>
    <x v="1"/>
    <x v="208"/>
    <x v="0"/>
    <x v="3"/>
    <n v="77.454974215122405"/>
    <n v="28271.065588519701"/>
    <n v="101775.836118671"/>
  </r>
  <r>
    <x v="0"/>
    <x v="0"/>
    <x v="0"/>
    <x v="7"/>
    <x v="13"/>
    <s v="NO3_A2"/>
    <x v="1"/>
    <x v="208"/>
    <x v="0"/>
    <x v="4"/>
    <n v="77.358607803686496"/>
    <n v="28235.8918483456"/>
    <n v="101649.210654044"/>
  </r>
  <r>
    <x v="0"/>
    <x v="0"/>
    <x v="0"/>
    <x v="7"/>
    <x v="13"/>
    <s v="NO3_A2"/>
    <x v="1"/>
    <x v="208"/>
    <x v="0"/>
    <x v="5"/>
    <n v="78.043645749616402"/>
    <n v="28485.930698609998"/>
    <n v="102549.350514996"/>
  </r>
  <r>
    <x v="0"/>
    <x v="0"/>
    <x v="0"/>
    <x v="7"/>
    <x v="13"/>
    <s v="NO3_A2"/>
    <x v="1"/>
    <x v="208"/>
    <x v="0"/>
    <x v="6"/>
    <n v="78.017746195306501"/>
    <n v="28476.477361286899"/>
    <n v="102515.318500633"/>
  </r>
  <r>
    <x v="0"/>
    <x v="0"/>
    <x v="0"/>
    <x v="7"/>
    <x v="13"/>
    <s v="NO3_A2"/>
    <x v="1"/>
    <x v="208"/>
    <x v="0"/>
    <x v="7"/>
    <n v="81.725519979202303"/>
    <n v="29829.814792408801"/>
    <n v="107387.333252672"/>
  </r>
  <r>
    <x v="0"/>
    <x v="0"/>
    <x v="0"/>
    <x v="7"/>
    <x v="13"/>
    <s v="NO3_A2"/>
    <x v="1"/>
    <x v="208"/>
    <x v="0"/>
    <x v="8"/>
    <n v="82.352941176470594"/>
    <n v="30058.823529411799"/>
    <n v="108211.764705882"/>
  </r>
  <r>
    <x v="0"/>
    <x v="0"/>
    <x v="0"/>
    <x v="7"/>
    <x v="13"/>
    <s v="NO3_A2"/>
    <x v="1"/>
    <x v="208"/>
    <x v="0"/>
    <x v="0"/>
    <n v="82.352941176470594"/>
    <n v="30058.823529411799"/>
    <n v="108211.764705882"/>
  </r>
  <r>
    <x v="0"/>
    <x v="0"/>
    <x v="0"/>
    <x v="7"/>
    <x v="13"/>
    <s v="NO3_A2"/>
    <x v="1"/>
    <x v="208"/>
    <x v="0"/>
    <x v="1"/>
    <n v="82.352941176470594"/>
    <n v="30058.823529411799"/>
    <n v="108211.764705882"/>
  </r>
  <r>
    <x v="0"/>
    <x v="0"/>
    <x v="0"/>
    <x v="7"/>
    <x v="13"/>
    <s v="NO3_A2"/>
    <x v="1"/>
    <x v="208"/>
    <x v="0"/>
    <x v="2"/>
    <n v="82.352941176470594"/>
    <n v="30058.823529411799"/>
    <n v="108211.764705882"/>
  </r>
  <r>
    <x v="0"/>
    <x v="0"/>
    <x v="0"/>
    <x v="7"/>
    <x v="13"/>
    <s v="NO3_A2"/>
    <x v="1"/>
    <x v="208"/>
    <x v="0"/>
    <x v="9"/>
    <n v="82.352941176470594"/>
    <n v="30058.823529411799"/>
    <n v="108211.764705882"/>
  </r>
  <r>
    <x v="0"/>
    <x v="0"/>
    <x v="0"/>
    <x v="7"/>
    <x v="13"/>
    <s v="NO3_A2"/>
    <x v="1"/>
    <x v="208"/>
    <x v="0"/>
    <x v="10"/>
    <n v="82.352941176470594"/>
    <n v="30058.823529411799"/>
    <n v="108211.764705882"/>
  </r>
  <r>
    <x v="0"/>
    <x v="0"/>
    <x v="0"/>
    <x v="7"/>
    <x v="13"/>
    <s v="NO3_A2"/>
    <x v="1"/>
    <x v="208"/>
    <x v="0"/>
    <x v="11"/>
    <n v="82.352941176470594"/>
    <n v="30058.823529411799"/>
    <n v="108211.764705882"/>
  </r>
  <r>
    <x v="0"/>
    <x v="0"/>
    <x v="0"/>
    <x v="7"/>
    <x v="13"/>
    <s v="NO3_A2"/>
    <x v="1"/>
    <x v="208"/>
    <x v="0"/>
    <x v="12"/>
    <n v="82.352941176470594"/>
    <n v="30058.823529411799"/>
    <n v="108211.764705882"/>
  </r>
  <r>
    <x v="0"/>
    <x v="0"/>
    <x v="0"/>
    <x v="7"/>
    <x v="13"/>
    <s v="NO3_A2"/>
    <x v="1"/>
    <x v="208"/>
    <x v="0"/>
    <x v="13"/>
    <n v="82.352941176470594"/>
    <n v="30058.823529411799"/>
    <n v="108211.764705882"/>
  </r>
  <r>
    <x v="0"/>
    <x v="0"/>
    <x v="0"/>
    <x v="7"/>
    <x v="13"/>
    <s v="NO3_A2"/>
    <x v="1"/>
    <x v="208"/>
    <x v="0"/>
    <x v="14"/>
    <n v="82.352941176470594"/>
    <n v="30058.823529411799"/>
    <n v="108211.764705882"/>
  </r>
  <r>
    <x v="0"/>
    <x v="0"/>
    <x v="0"/>
    <x v="7"/>
    <x v="13"/>
    <s v="NO3_A2"/>
    <x v="1"/>
    <x v="208"/>
    <x v="0"/>
    <x v="15"/>
    <n v="82.352941176470594"/>
    <n v="30058.823529411799"/>
    <n v="108211.764705882"/>
  </r>
  <r>
    <x v="0"/>
    <x v="0"/>
    <x v="0"/>
    <x v="7"/>
    <x v="13"/>
    <s v="NO3_A2"/>
    <x v="1"/>
    <x v="208"/>
    <x v="0"/>
    <x v="16"/>
    <n v="81.323140191193602"/>
    <n v="29682.9461697857"/>
    <n v="106858.60621122801"/>
  </r>
  <r>
    <x v="0"/>
    <x v="0"/>
    <x v="0"/>
    <x v="7"/>
    <x v="13"/>
    <s v="NO3_A2"/>
    <x v="1"/>
    <x v="208"/>
    <x v="0"/>
    <x v="17"/>
    <n v="75.049295403221905"/>
    <n v="27392.992822175998"/>
    <n v="98614.7741598336"/>
  </r>
  <r>
    <x v="0"/>
    <x v="0"/>
    <x v="0"/>
    <x v="7"/>
    <x v="13"/>
    <s v="NO3_A2"/>
    <x v="1"/>
    <x v="208"/>
    <x v="0"/>
    <x v="18"/>
    <n v="69.452365432943694"/>
    <n v="25350.1133830244"/>
    <n v="91260.408178887999"/>
  </r>
  <r>
    <x v="0"/>
    <x v="0"/>
    <x v="0"/>
    <x v="7"/>
    <x v="13"/>
    <s v="NO3_A2"/>
    <x v="1"/>
    <x v="208"/>
    <x v="0"/>
    <x v="19"/>
    <n v="66.142125220361194"/>
    <n v="24141.875705431801"/>
    <n v="86910.752539554596"/>
  </r>
  <r>
    <x v="0"/>
    <x v="0"/>
    <x v="0"/>
    <x v="7"/>
    <x v="13"/>
    <s v="NO3_A2"/>
    <x v="1"/>
    <x v="208"/>
    <x v="0"/>
    <x v="20"/>
    <n v="62.280915371161797"/>
    <n v="22732.534110474098"/>
    <n v="81837.122797706601"/>
  </r>
  <r>
    <x v="0"/>
    <x v="0"/>
    <x v="0"/>
    <x v="7"/>
    <x v="13"/>
    <s v="NO3_A2"/>
    <x v="1"/>
    <x v="208"/>
    <x v="0"/>
    <x v="21"/>
    <n v="58.489412481672403"/>
    <n v="21348.635555810401"/>
    <n v="76855.088000917502"/>
  </r>
  <r>
    <x v="0"/>
    <x v="0"/>
    <x v="0"/>
    <x v="7"/>
    <x v="13"/>
    <s v="NO3_A2"/>
    <x v="1"/>
    <x v="208"/>
    <x v="0"/>
    <x v="22"/>
    <n v="55.5290073194165"/>
    <n v="20268.087671587"/>
    <n v="72965.115617713294"/>
  </r>
  <r>
    <x v="0"/>
    <x v="0"/>
    <x v="0"/>
    <x v="7"/>
    <x v="13"/>
    <s v="NO3_A2"/>
    <x v="1"/>
    <x v="208"/>
    <x v="0"/>
    <x v="23"/>
    <n v="53.449361942584602"/>
    <n v="19509.017109043401"/>
    <n v="70232.461592556196"/>
  </r>
  <r>
    <x v="0"/>
    <x v="0"/>
    <x v="0"/>
    <x v="7"/>
    <x v="14"/>
    <s v="NO4_A1"/>
    <x v="21"/>
    <x v="205"/>
    <x v="0"/>
    <x v="0"/>
    <n v="1.94164618306583"/>
    <n v="708.70085681902697"/>
    <n v="2551.3230845485"/>
  </r>
  <r>
    <x v="0"/>
    <x v="0"/>
    <x v="0"/>
    <x v="7"/>
    <x v="14"/>
    <s v="NO4_A1"/>
    <x v="21"/>
    <x v="205"/>
    <x v="0"/>
    <x v="1"/>
    <n v="7.2255581597430201"/>
    <n v="2637.3287283062"/>
    <n v="9494.3834219023302"/>
  </r>
  <r>
    <x v="0"/>
    <x v="0"/>
    <x v="0"/>
    <x v="7"/>
    <x v="14"/>
    <s v="NO4_A1"/>
    <x v="21"/>
    <x v="205"/>
    <x v="0"/>
    <x v="2"/>
    <n v="12.0872972263852"/>
    <n v="4411.8634876305996"/>
    <n v="15882.708555470101"/>
  </r>
  <r>
    <x v="0"/>
    <x v="0"/>
    <x v="0"/>
    <x v="7"/>
    <x v="14"/>
    <s v="NO4_A1"/>
    <x v="21"/>
    <x v="205"/>
    <x v="0"/>
    <x v="9"/>
    <n v="12.2002375346582"/>
    <n v="4453.0867001502302"/>
    <n v="16031.1121205408"/>
  </r>
  <r>
    <x v="0"/>
    <x v="0"/>
    <x v="0"/>
    <x v="7"/>
    <x v="14"/>
    <s v="NO4_A1"/>
    <x v="21"/>
    <x v="205"/>
    <x v="0"/>
    <x v="10"/>
    <n v="8.8707088431706005"/>
    <n v="3237.8087277572699"/>
    <n v="11656.111419926199"/>
  </r>
  <r>
    <x v="0"/>
    <x v="0"/>
    <x v="0"/>
    <x v="7"/>
    <x v="14"/>
    <s v="NO4_A1"/>
    <x v="21"/>
    <x v="205"/>
    <x v="0"/>
    <x v="11"/>
    <n v="7.2039324536624196"/>
    <n v="2629.4353455867799"/>
    <n v="9465.9672441124294"/>
  </r>
  <r>
    <x v="0"/>
    <x v="0"/>
    <x v="0"/>
    <x v="7"/>
    <x v="14"/>
    <s v="NO4_A1"/>
    <x v="21"/>
    <x v="205"/>
    <x v="0"/>
    <x v="12"/>
    <n v="5.7382076041922403"/>
    <n v="2094.4457755301701"/>
    <n v="7540.0047919086001"/>
  </r>
  <r>
    <x v="0"/>
    <x v="0"/>
    <x v="0"/>
    <x v="7"/>
    <x v="14"/>
    <s v="NO4_A1"/>
    <x v="21"/>
    <x v="205"/>
    <x v="0"/>
    <x v="13"/>
    <n v="5.08454451376483"/>
    <n v="1855.85874752416"/>
    <n v="6681.0914910869897"/>
  </r>
  <r>
    <x v="0"/>
    <x v="0"/>
    <x v="0"/>
    <x v="7"/>
    <x v="14"/>
    <s v="NO4_A1"/>
    <x v="21"/>
    <x v="205"/>
    <x v="0"/>
    <x v="14"/>
    <n v="6.8175227279549198"/>
    <n v="2488.39579570354"/>
    <n v="8958.22486453276"/>
  </r>
  <r>
    <x v="0"/>
    <x v="0"/>
    <x v="0"/>
    <x v="7"/>
    <x v="14"/>
    <s v="NO4_A1"/>
    <x v="21"/>
    <x v="205"/>
    <x v="0"/>
    <x v="15"/>
    <n v="5.2291673997096204"/>
    <n v="1908.64610089401"/>
    <n v="6871.1259632184401"/>
  </r>
  <r>
    <x v="0"/>
    <x v="0"/>
    <x v="0"/>
    <x v="7"/>
    <x v="14"/>
    <s v="NO4_A1"/>
    <x v="21"/>
    <x v="205"/>
    <x v="0"/>
    <x v="17"/>
    <n v="0.387215132861846"/>
    <n v="141.333523494574"/>
    <n v="508.80068458046497"/>
  </r>
  <r>
    <x v="0"/>
    <x v="0"/>
    <x v="0"/>
    <x v="7"/>
    <x v="14"/>
    <s v="NO4_A1"/>
    <x v="21"/>
    <x v="206"/>
    <x v="0"/>
    <x v="0"/>
    <n v="2.52941176470588"/>
    <n v="923.23529411764696"/>
    <n v="3323.6470588235302"/>
  </r>
  <r>
    <x v="0"/>
    <x v="0"/>
    <x v="0"/>
    <x v="7"/>
    <x v="14"/>
    <s v="NO4_A1"/>
    <x v="21"/>
    <x v="206"/>
    <x v="0"/>
    <x v="1"/>
    <n v="2.52941176470588"/>
    <n v="923.23529411764696"/>
    <n v="3323.6470588235302"/>
  </r>
  <r>
    <x v="0"/>
    <x v="0"/>
    <x v="0"/>
    <x v="7"/>
    <x v="14"/>
    <s v="NO4_A1"/>
    <x v="21"/>
    <x v="206"/>
    <x v="0"/>
    <x v="10"/>
    <n v="2.52941176470588"/>
    <n v="923.23529411764696"/>
    <n v="3323.6470588235302"/>
  </r>
  <r>
    <x v="0"/>
    <x v="0"/>
    <x v="0"/>
    <x v="7"/>
    <x v="14"/>
    <s v="NO4_A1"/>
    <x v="21"/>
    <x v="206"/>
    <x v="0"/>
    <x v="11"/>
    <n v="2.52941176470588"/>
    <n v="923.23529411764696"/>
    <n v="3323.6470588235302"/>
  </r>
  <r>
    <x v="0"/>
    <x v="0"/>
    <x v="0"/>
    <x v="7"/>
    <x v="14"/>
    <s v="NO4_A1"/>
    <x v="21"/>
    <x v="206"/>
    <x v="0"/>
    <x v="12"/>
    <n v="2.52941176470588"/>
    <n v="923.23529411764696"/>
    <n v="3323.6470588235302"/>
  </r>
  <r>
    <x v="0"/>
    <x v="0"/>
    <x v="0"/>
    <x v="7"/>
    <x v="14"/>
    <s v="NO4_A1"/>
    <x v="21"/>
    <x v="206"/>
    <x v="0"/>
    <x v="13"/>
    <n v="2.52941176470588"/>
    <n v="923.23529411764696"/>
    <n v="3323.6470588235302"/>
  </r>
  <r>
    <x v="0"/>
    <x v="0"/>
    <x v="0"/>
    <x v="7"/>
    <x v="14"/>
    <s v="NO4_A1"/>
    <x v="21"/>
    <x v="206"/>
    <x v="0"/>
    <x v="16"/>
    <n v="2.3604857768553398"/>
    <n v="861.57730855219802"/>
    <n v="3101.67831078791"/>
  </r>
  <r>
    <x v="0"/>
    <x v="0"/>
    <x v="0"/>
    <x v="7"/>
    <x v="14"/>
    <s v="NO4_A1"/>
    <x v="1"/>
    <x v="207"/>
    <x v="0"/>
    <x v="3"/>
    <n v="0.78092903225806498"/>
    <n v="285.03909677419398"/>
    <n v="1026.1407483871001"/>
  </r>
  <r>
    <x v="0"/>
    <x v="0"/>
    <x v="0"/>
    <x v="7"/>
    <x v="14"/>
    <s v="NO4_A1"/>
    <x v="1"/>
    <x v="207"/>
    <x v="0"/>
    <x v="4"/>
    <n v="0.78092903225806498"/>
    <n v="285.03909677419398"/>
    <n v="1026.1407483871001"/>
  </r>
  <r>
    <x v="0"/>
    <x v="0"/>
    <x v="0"/>
    <x v="7"/>
    <x v="14"/>
    <s v="NO4_A1"/>
    <x v="1"/>
    <x v="207"/>
    <x v="0"/>
    <x v="5"/>
    <n v="0.78092903225806498"/>
    <n v="285.03909677419398"/>
    <n v="1026.1407483871001"/>
  </r>
  <r>
    <x v="0"/>
    <x v="0"/>
    <x v="0"/>
    <x v="7"/>
    <x v="14"/>
    <s v="NO4_A1"/>
    <x v="1"/>
    <x v="207"/>
    <x v="0"/>
    <x v="6"/>
    <n v="0.78092903225806498"/>
    <n v="285.03909677419398"/>
    <n v="1026.1407483871001"/>
  </r>
  <r>
    <x v="0"/>
    <x v="0"/>
    <x v="0"/>
    <x v="7"/>
    <x v="14"/>
    <s v="NO4_A1"/>
    <x v="1"/>
    <x v="207"/>
    <x v="0"/>
    <x v="7"/>
    <n v="0.78092903225806498"/>
    <n v="285.03909677419398"/>
    <n v="1026.1407483871001"/>
  </r>
  <r>
    <x v="0"/>
    <x v="0"/>
    <x v="0"/>
    <x v="7"/>
    <x v="14"/>
    <s v="NO4_A1"/>
    <x v="1"/>
    <x v="207"/>
    <x v="0"/>
    <x v="8"/>
    <n v="0.78092903225806498"/>
    <n v="285.03909677419398"/>
    <n v="1026.1407483871001"/>
  </r>
  <r>
    <x v="0"/>
    <x v="0"/>
    <x v="0"/>
    <x v="7"/>
    <x v="14"/>
    <s v="NO4_A1"/>
    <x v="1"/>
    <x v="207"/>
    <x v="0"/>
    <x v="0"/>
    <n v="0.78092903225806498"/>
    <n v="285.03909677419398"/>
    <n v="1026.1407483871001"/>
  </r>
  <r>
    <x v="0"/>
    <x v="0"/>
    <x v="0"/>
    <x v="7"/>
    <x v="14"/>
    <s v="NO4_A1"/>
    <x v="1"/>
    <x v="207"/>
    <x v="0"/>
    <x v="1"/>
    <n v="0.78092903225806498"/>
    <n v="285.03909677419398"/>
    <n v="1026.1407483871001"/>
  </r>
  <r>
    <x v="0"/>
    <x v="0"/>
    <x v="0"/>
    <x v="7"/>
    <x v="14"/>
    <s v="NO4_A1"/>
    <x v="1"/>
    <x v="207"/>
    <x v="0"/>
    <x v="2"/>
    <n v="0.78092903225806498"/>
    <n v="285.03909677419398"/>
    <n v="1026.1407483871001"/>
  </r>
  <r>
    <x v="0"/>
    <x v="0"/>
    <x v="0"/>
    <x v="7"/>
    <x v="14"/>
    <s v="NO4_A1"/>
    <x v="1"/>
    <x v="207"/>
    <x v="0"/>
    <x v="9"/>
    <n v="0.78092903225806498"/>
    <n v="285.03909677419398"/>
    <n v="1026.1407483871001"/>
  </r>
  <r>
    <x v="0"/>
    <x v="0"/>
    <x v="0"/>
    <x v="7"/>
    <x v="14"/>
    <s v="NO4_A1"/>
    <x v="1"/>
    <x v="207"/>
    <x v="0"/>
    <x v="10"/>
    <n v="0.78092903225806498"/>
    <n v="285.03909677419398"/>
    <n v="1026.1407483871001"/>
  </r>
  <r>
    <x v="0"/>
    <x v="0"/>
    <x v="0"/>
    <x v="7"/>
    <x v="14"/>
    <s v="NO4_A1"/>
    <x v="1"/>
    <x v="207"/>
    <x v="0"/>
    <x v="11"/>
    <n v="0.78092903225806498"/>
    <n v="285.03909677419398"/>
    <n v="1026.1407483871001"/>
  </r>
  <r>
    <x v="0"/>
    <x v="0"/>
    <x v="0"/>
    <x v="7"/>
    <x v="14"/>
    <s v="NO4_A1"/>
    <x v="1"/>
    <x v="207"/>
    <x v="0"/>
    <x v="12"/>
    <n v="0.78092903225806498"/>
    <n v="285.03909677419398"/>
    <n v="1026.1407483871001"/>
  </r>
  <r>
    <x v="0"/>
    <x v="0"/>
    <x v="0"/>
    <x v="7"/>
    <x v="14"/>
    <s v="NO4_A1"/>
    <x v="1"/>
    <x v="207"/>
    <x v="0"/>
    <x v="13"/>
    <n v="0.78092903225806498"/>
    <n v="285.03909677419398"/>
    <n v="1026.1407483871001"/>
  </r>
  <r>
    <x v="0"/>
    <x v="0"/>
    <x v="0"/>
    <x v="7"/>
    <x v="14"/>
    <s v="NO4_A1"/>
    <x v="1"/>
    <x v="207"/>
    <x v="0"/>
    <x v="14"/>
    <n v="0.78092903225806498"/>
    <n v="285.03909677419398"/>
    <n v="1026.1407483871001"/>
  </r>
  <r>
    <x v="0"/>
    <x v="0"/>
    <x v="0"/>
    <x v="7"/>
    <x v="14"/>
    <s v="NO4_A1"/>
    <x v="1"/>
    <x v="207"/>
    <x v="0"/>
    <x v="15"/>
    <n v="0.78092903225806498"/>
    <n v="285.03909677419398"/>
    <n v="1026.1407483871001"/>
  </r>
  <r>
    <x v="0"/>
    <x v="0"/>
    <x v="0"/>
    <x v="7"/>
    <x v="14"/>
    <s v="NO4_A1"/>
    <x v="1"/>
    <x v="207"/>
    <x v="0"/>
    <x v="16"/>
    <n v="0.78092903225806498"/>
    <n v="285.03909677419398"/>
    <n v="1026.1407483871001"/>
  </r>
  <r>
    <x v="0"/>
    <x v="0"/>
    <x v="0"/>
    <x v="7"/>
    <x v="14"/>
    <s v="NO4_A1"/>
    <x v="1"/>
    <x v="207"/>
    <x v="0"/>
    <x v="17"/>
    <n v="0.78092903225806498"/>
    <n v="285.03909677419398"/>
    <n v="1026.1407483871001"/>
  </r>
  <r>
    <x v="0"/>
    <x v="0"/>
    <x v="0"/>
    <x v="7"/>
    <x v="14"/>
    <s v="NO4_A1"/>
    <x v="1"/>
    <x v="207"/>
    <x v="0"/>
    <x v="18"/>
    <n v="0.78092903225806498"/>
    <n v="285.03909677419398"/>
    <n v="1026.1407483871001"/>
  </r>
  <r>
    <x v="0"/>
    <x v="0"/>
    <x v="0"/>
    <x v="7"/>
    <x v="14"/>
    <s v="NO4_A1"/>
    <x v="1"/>
    <x v="207"/>
    <x v="0"/>
    <x v="19"/>
    <n v="0.78092903225806498"/>
    <n v="285.03909677419398"/>
    <n v="1026.1407483871001"/>
  </r>
  <r>
    <x v="0"/>
    <x v="0"/>
    <x v="0"/>
    <x v="7"/>
    <x v="14"/>
    <s v="NO4_A1"/>
    <x v="1"/>
    <x v="207"/>
    <x v="0"/>
    <x v="20"/>
    <n v="0.78092903225806498"/>
    <n v="285.03909677419398"/>
    <n v="1026.1407483871001"/>
  </r>
  <r>
    <x v="0"/>
    <x v="0"/>
    <x v="0"/>
    <x v="7"/>
    <x v="14"/>
    <s v="NO4_A1"/>
    <x v="1"/>
    <x v="207"/>
    <x v="0"/>
    <x v="21"/>
    <n v="0.78092903225806498"/>
    <n v="285.03909677419398"/>
    <n v="1026.1407483871001"/>
  </r>
  <r>
    <x v="0"/>
    <x v="0"/>
    <x v="0"/>
    <x v="7"/>
    <x v="14"/>
    <s v="NO4_A1"/>
    <x v="1"/>
    <x v="207"/>
    <x v="0"/>
    <x v="22"/>
    <n v="0.78092903225806498"/>
    <n v="285.03909677419398"/>
    <n v="1026.1407483871001"/>
  </r>
  <r>
    <x v="0"/>
    <x v="0"/>
    <x v="0"/>
    <x v="7"/>
    <x v="14"/>
    <s v="NO4_A1"/>
    <x v="1"/>
    <x v="207"/>
    <x v="0"/>
    <x v="23"/>
    <n v="0.78092903225806498"/>
    <n v="285.03909677419398"/>
    <n v="1026.1407483871001"/>
  </r>
  <r>
    <x v="0"/>
    <x v="0"/>
    <x v="0"/>
    <x v="7"/>
    <x v="14"/>
    <s v="NO4_A1"/>
    <x v="1"/>
    <x v="208"/>
    <x v="0"/>
    <x v="3"/>
    <n v="14.142970755574"/>
    <n v="5162.1843257845003"/>
    <n v="18583.863572824201"/>
  </r>
  <r>
    <x v="0"/>
    <x v="0"/>
    <x v="0"/>
    <x v="7"/>
    <x v="14"/>
    <s v="NO4_A1"/>
    <x v="1"/>
    <x v="208"/>
    <x v="0"/>
    <x v="4"/>
    <n v="13.892639283621"/>
    <n v="5070.8133385216497"/>
    <n v="18254.928018678002"/>
  </r>
  <r>
    <x v="0"/>
    <x v="0"/>
    <x v="0"/>
    <x v="7"/>
    <x v="14"/>
    <s v="NO4_A1"/>
    <x v="1"/>
    <x v="208"/>
    <x v="0"/>
    <x v="5"/>
    <n v="14.1990254009035"/>
    <n v="5182.6442713297702"/>
    <n v="18657.519376787201"/>
  </r>
  <r>
    <x v="0"/>
    <x v="0"/>
    <x v="0"/>
    <x v="7"/>
    <x v="14"/>
    <s v="NO4_A1"/>
    <x v="1"/>
    <x v="208"/>
    <x v="0"/>
    <x v="6"/>
    <n v="14.454125136059"/>
    <n v="5275.7556746615501"/>
    <n v="18992.720428781598"/>
  </r>
  <r>
    <x v="0"/>
    <x v="0"/>
    <x v="0"/>
    <x v="7"/>
    <x v="14"/>
    <s v="NO4_A1"/>
    <x v="1"/>
    <x v="208"/>
    <x v="0"/>
    <x v="7"/>
    <n v="15.6411996433844"/>
    <n v="5709.0378698353197"/>
    <n v="20552.536331407198"/>
  </r>
  <r>
    <x v="0"/>
    <x v="0"/>
    <x v="0"/>
    <x v="7"/>
    <x v="14"/>
    <s v="NO4_A1"/>
    <x v="1"/>
    <x v="208"/>
    <x v="0"/>
    <x v="8"/>
    <n v="18.203805603093102"/>
    <n v="6644.3890451289899"/>
    <n v="23919.800562464399"/>
  </r>
  <r>
    <x v="0"/>
    <x v="0"/>
    <x v="0"/>
    <x v="7"/>
    <x v="14"/>
    <s v="NO4_A1"/>
    <x v="1"/>
    <x v="208"/>
    <x v="0"/>
    <x v="0"/>
    <n v="18.823529411764699"/>
    <n v="6870.5882352941198"/>
    <n v="24734.1176470588"/>
  </r>
  <r>
    <x v="0"/>
    <x v="0"/>
    <x v="0"/>
    <x v="7"/>
    <x v="14"/>
    <s v="NO4_A1"/>
    <x v="1"/>
    <x v="208"/>
    <x v="0"/>
    <x v="1"/>
    <n v="18.823529411764699"/>
    <n v="6870.5882352941198"/>
    <n v="24734.1176470588"/>
  </r>
  <r>
    <x v="0"/>
    <x v="0"/>
    <x v="0"/>
    <x v="7"/>
    <x v="14"/>
    <s v="NO4_A1"/>
    <x v="1"/>
    <x v="208"/>
    <x v="0"/>
    <x v="2"/>
    <n v="18.823529411764699"/>
    <n v="6870.5882352941198"/>
    <n v="24734.1176470588"/>
  </r>
  <r>
    <x v="0"/>
    <x v="0"/>
    <x v="0"/>
    <x v="7"/>
    <x v="14"/>
    <s v="NO4_A1"/>
    <x v="1"/>
    <x v="208"/>
    <x v="0"/>
    <x v="9"/>
    <n v="18.823529411764699"/>
    <n v="6870.5882352941198"/>
    <n v="24734.1176470588"/>
  </r>
  <r>
    <x v="0"/>
    <x v="0"/>
    <x v="0"/>
    <x v="7"/>
    <x v="14"/>
    <s v="NO4_A1"/>
    <x v="1"/>
    <x v="208"/>
    <x v="0"/>
    <x v="10"/>
    <n v="18.823529411764699"/>
    <n v="6870.5882352941198"/>
    <n v="24734.1176470588"/>
  </r>
  <r>
    <x v="0"/>
    <x v="0"/>
    <x v="0"/>
    <x v="7"/>
    <x v="14"/>
    <s v="NO4_A1"/>
    <x v="1"/>
    <x v="208"/>
    <x v="0"/>
    <x v="11"/>
    <n v="18.823529411764699"/>
    <n v="6870.5882352941198"/>
    <n v="24734.1176470588"/>
  </r>
  <r>
    <x v="0"/>
    <x v="0"/>
    <x v="0"/>
    <x v="7"/>
    <x v="14"/>
    <s v="NO4_A1"/>
    <x v="1"/>
    <x v="208"/>
    <x v="0"/>
    <x v="12"/>
    <n v="18.823529411764699"/>
    <n v="6870.5882352941198"/>
    <n v="24734.1176470588"/>
  </r>
  <r>
    <x v="0"/>
    <x v="0"/>
    <x v="0"/>
    <x v="7"/>
    <x v="14"/>
    <s v="NO4_A1"/>
    <x v="1"/>
    <x v="208"/>
    <x v="0"/>
    <x v="13"/>
    <n v="18.823529411764699"/>
    <n v="6870.5882352941198"/>
    <n v="24734.1176470588"/>
  </r>
  <r>
    <x v="0"/>
    <x v="0"/>
    <x v="0"/>
    <x v="7"/>
    <x v="14"/>
    <s v="NO4_A1"/>
    <x v="1"/>
    <x v="208"/>
    <x v="0"/>
    <x v="14"/>
    <n v="18.823529411764699"/>
    <n v="6870.5882352941198"/>
    <n v="24734.1176470588"/>
  </r>
  <r>
    <x v="0"/>
    <x v="0"/>
    <x v="0"/>
    <x v="7"/>
    <x v="14"/>
    <s v="NO4_A1"/>
    <x v="1"/>
    <x v="208"/>
    <x v="0"/>
    <x v="15"/>
    <n v="18.823529411764699"/>
    <n v="6870.5882352941198"/>
    <n v="24734.1176470588"/>
  </r>
  <r>
    <x v="0"/>
    <x v="0"/>
    <x v="0"/>
    <x v="7"/>
    <x v="14"/>
    <s v="NO4_A1"/>
    <x v="1"/>
    <x v="208"/>
    <x v="0"/>
    <x v="16"/>
    <n v="18.823529411764699"/>
    <n v="6870.5882352941198"/>
    <n v="24734.1176470588"/>
  </r>
  <r>
    <x v="0"/>
    <x v="0"/>
    <x v="0"/>
    <x v="7"/>
    <x v="14"/>
    <s v="NO4_A1"/>
    <x v="1"/>
    <x v="208"/>
    <x v="0"/>
    <x v="17"/>
    <n v="18.823529411764699"/>
    <n v="6870.5882352941198"/>
    <n v="24734.1176470588"/>
  </r>
  <r>
    <x v="0"/>
    <x v="0"/>
    <x v="0"/>
    <x v="7"/>
    <x v="14"/>
    <s v="NO4_A1"/>
    <x v="1"/>
    <x v="208"/>
    <x v="0"/>
    <x v="18"/>
    <n v="17.9333438683202"/>
    <n v="6545.6705119368899"/>
    <n v="23564.413842972801"/>
  </r>
  <r>
    <x v="0"/>
    <x v="0"/>
    <x v="0"/>
    <x v="7"/>
    <x v="14"/>
    <s v="NO4_A1"/>
    <x v="1"/>
    <x v="208"/>
    <x v="0"/>
    <x v="19"/>
    <n v="16.639694034267301"/>
    <n v="6073.48832250757"/>
    <n v="21864.557961027302"/>
  </r>
  <r>
    <x v="0"/>
    <x v="0"/>
    <x v="0"/>
    <x v="7"/>
    <x v="14"/>
    <s v="NO4_A1"/>
    <x v="1"/>
    <x v="208"/>
    <x v="0"/>
    <x v="20"/>
    <n v="15.2967077852517"/>
    <n v="5583.2983416168599"/>
    <n v="20099.874029820701"/>
  </r>
  <r>
    <x v="0"/>
    <x v="0"/>
    <x v="0"/>
    <x v="7"/>
    <x v="14"/>
    <s v="NO4_A1"/>
    <x v="1"/>
    <x v="208"/>
    <x v="0"/>
    <x v="21"/>
    <n v="13.8344293313328"/>
    <n v="5049.5667059364896"/>
    <n v="18178.440141371299"/>
  </r>
  <r>
    <x v="0"/>
    <x v="0"/>
    <x v="0"/>
    <x v="7"/>
    <x v="14"/>
    <s v="NO4_A1"/>
    <x v="1"/>
    <x v="208"/>
    <x v="0"/>
    <x v="22"/>
    <n v="12.2457879462536"/>
    <n v="4469.7126003825697"/>
    <n v="16090.965361377201"/>
  </r>
  <r>
    <x v="0"/>
    <x v="0"/>
    <x v="0"/>
    <x v="7"/>
    <x v="14"/>
    <s v="NO4_A1"/>
    <x v="1"/>
    <x v="208"/>
    <x v="0"/>
    <x v="23"/>
    <n v="11.3739644814346"/>
    <n v="4151.4970357236298"/>
    <n v="14945.389328605101"/>
  </r>
  <r>
    <x v="0"/>
    <x v="0"/>
    <x v="0"/>
    <x v="7"/>
    <x v="14"/>
    <s v="NO4_A1"/>
    <x v="4"/>
    <x v="108"/>
    <x v="0"/>
    <x v="3"/>
    <n v="10.0441849816849"/>
    <n v="3666.1275183150001"/>
    <n v="13198.059065934"/>
  </r>
  <r>
    <x v="0"/>
    <x v="0"/>
    <x v="0"/>
    <x v="7"/>
    <x v="14"/>
    <s v="NO4_A1"/>
    <x v="4"/>
    <x v="108"/>
    <x v="0"/>
    <x v="4"/>
    <n v="10.0441849816849"/>
    <n v="3666.1275183150001"/>
    <n v="13198.059065934"/>
  </r>
  <r>
    <x v="0"/>
    <x v="0"/>
    <x v="0"/>
    <x v="7"/>
    <x v="14"/>
    <s v="NO4_A1"/>
    <x v="4"/>
    <x v="108"/>
    <x v="0"/>
    <x v="5"/>
    <n v="10.0441849816849"/>
    <n v="3666.1275183150001"/>
    <n v="13198.059065934"/>
  </r>
  <r>
    <x v="0"/>
    <x v="0"/>
    <x v="0"/>
    <x v="7"/>
    <x v="14"/>
    <s v="NO4_A1"/>
    <x v="4"/>
    <x v="108"/>
    <x v="0"/>
    <x v="6"/>
    <n v="10.0441849816849"/>
    <n v="3666.1275183150001"/>
    <n v="13198.059065934"/>
  </r>
  <r>
    <x v="0"/>
    <x v="0"/>
    <x v="0"/>
    <x v="7"/>
    <x v="14"/>
    <s v="NO4_A1"/>
    <x v="4"/>
    <x v="108"/>
    <x v="0"/>
    <x v="7"/>
    <n v="10.0441849816849"/>
    <n v="3666.1275183150001"/>
    <n v="13198.059065934"/>
  </r>
  <r>
    <x v="0"/>
    <x v="0"/>
    <x v="0"/>
    <x v="7"/>
    <x v="14"/>
    <s v="NO4_A1"/>
    <x v="4"/>
    <x v="108"/>
    <x v="0"/>
    <x v="8"/>
    <n v="10.0441849816849"/>
    <n v="3666.1275183150001"/>
    <n v="13198.059065934"/>
  </r>
  <r>
    <x v="0"/>
    <x v="0"/>
    <x v="0"/>
    <x v="7"/>
    <x v="14"/>
    <s v="NO4_A1"/>
    <x v="4"/>
    <x v="108"/>
    <x v="0"/>
    <x v="0"/>
    <n v="10.0441849816849"/>
    <n v="3666.1275183150001"/>
    <n v="13198.059065934"/>
  </r>
  <r>
    <x v="0"/>
    <x v="0"/>
    <x v="0"/>
    <x v="7"/>
    <x v="14"/>
    <s v="NO4_A1"/>
    <x v="4"/>
    <x v="108"/>
    <x v="0"/>
    <x v="1"/>
    <n v="10.0441849816849"/>
    <n v="3666.1275183150001"/>
    <n v="13198.059065934"/>
  </r>
  <r>
    <x v="0"/>
    <x v="0"/>
    <x v="0"/>
    <x v="7"/>
    <x v="14"/>
    <s v="NO4_A1"/>
    <x v="4"/>
    <x v="108"/>
    <x v="0"/>
    <x v="2"/>
    <n v="10.0441849816849"/>
    <n v="3666.1275183150001"/>
    <n v="13198.059065934"/>
  </r>
  <r>
    <x v="0"/>
    <x v="0"/>
    <x v="0"/>
    <x v="7"/>
    <x v="14"/>
    <s v="NO4_A1"/>
    <x v="4"/>
    <x v="108"/>
    <x v="0"/>
    <x v="9"/>
    <n v="10.0441849816849"/>
    <n v="3666.1275183150001"/>
    <n v="13198.059065934"/>
  </r>
  <r>
    <x v="0"/>
    <x v="0"/>
    <x v="0"/>
    <x v="7"/>
    <x v="14"/>
    <s v="NO4_A1"/>
    <x v="4"/>
    <x v="108"/>
    <x v="0"/>
    <x v="10"/>
    <n v="10.0441849816849"/>
    <n v="3666.1275183150001"/>
    <n v="13198.059065934"/>
  </r>
  <r>
    <x v="0"/>
    <x v="0"/>
    <x v="0"/>
    <x v="7"/>
    <x v="14"/>
    <s v="NO4_A1"/>
    <x v="4"/>
    <x v="108"/>
    <x v="0"/>
    <x v="11"/>
    <n v="10.0441849816849"/>
    <n v="3666.1275183150001"/>
    <n v="13198.059065934"/>
  </r>
  <r>
    <x v="0"/>
    <x v="0"/>
    <x v="0"/>
    <x v="7"/>
    <x v="14"/>
    <s v="NO4_A1"/>
    <x v="4"/>
    <x v="108"/>
    <x v="0"/>
    <x v="12"/>
    <n v="10.0441849816849"/>
    <n v="3666.1275183150001"/>
    <n v="13198.059065934"/>
  </r>
  <r>
    <x v="0"/>
    <x v="0"/>
    <x v="0"/>
    <x v="7"/>
    <x v="14"/>
    <s v="NO4_A1"/>
    <x v="4"/>
    <x v="108"/>
    <x v="0"/>
    <x v="13"/>
    <n v="10.0441849816849"/>
    <n v="3666.1275183150001"/>
    <n v="13198.059065934"/>
  </r>
  <r>
    <x v="0"/>
    <x v="0"/>
    <x v="0"/>
    <x v="7"/>
    <x v="14"/>
    <s v="NO4_A1"/>
    <x v="4"/>
    <x v="108"/>
    <x v="0"/>
    <x v="14"/>
    <n v="10.0441849816849"/>
    <n v="3666.1275183150001"/>
    <n v="13198.059065934"/>
  </r>
  <r>
    <x v="0"/>
    <x v="0"/>
    <x v="0"/>
    <x v="7"/>
    <x v="14"/>
    <s v="NO4_A1"/>
    <x v="4"/>
    <x v="108"/>
    <x v="0"/>
    <x v="15"/>
    <n v="10.0441849816849"/>
    <n v="3666.1275183150001"/>
    <n v="13198.059065934"/>
  </r>
  <r>
    <x v="0"/>
    <x v="0"/>
    <x v="0"/>
    <x v="7"/>
    <x v="14"/>
    <s v="NO4_A1"/>
    <x v="4"/>
    <x v="108"/>
    <x v="0"/>
    <x v="16"/>
    <n v="10.0441849816849"/>
    <n v="3666.1275183150001"/>
    <n v="13198.059065934"/>
  </r>
  <r>
    <x v="0"/>
    <x v="0"/>
    <x v="0"/>
    <x v="7"/>
    <x v="14"/>
    <s v="NO4_A1"/>
    <x v="4"/>
    <x v="108"/>
    <x v="0"/>
    <x v="17"/>
    <n v="10.0441849816849"/>
    <n v="3666.1275183150001"/>
    <n v="13198.059065934"/>
  </r>
  <r>
    <x v="0"/>
    <x v="0"/>
    <x v="0"/>
    <x v="7"/>
    <x v="14"/>
    <s v="NO4_A1"/>
    <x v="4"/>
    <x v="108"/>
    <x v="0"/>
    <x v="18"/>
    <n v="10.0441849816849"/>
    <n v="3666.1275183150001"/>
    <n v="13198.059065934"/>
  </r>
  <r>
    <x v="0"/>
    <x v="0"/>
    <x v="0"/>
    <x v="7"/>
    <x v="14"/>
    <s v="NO4_A1"/>
    <x v="4"/>
    <x v="108"/>
    <x v="0"/>
    <x v="19"/>
    <n v="10.0441849816849"/>
    <n v="3666.1275183150001"/>
    <n v="13198.059065934"/>
  </r>
  <r>
    <x v="0"/>
    <x v="0"/>
    <x v="0"/>
    <x v="7"/>
    <x v="14"/>
    <s v="NO4_A1"/>
    <x v="4"/>
    <x v="108"/>
    <x v="0"/>
    <x v="20"/>
    <n v="10.0441849816849"/>
    <n v="3666.1275183150001"/>
    <n v="13198.059065934"/>
  </r>
  <r>
    <x v="0"/>
    <x v="0"/>
    <x v="0"/>
    <x v="7"/>
    <x v="14"/>
    <s v="NO4_A1"/>
    <x v="4"/>
    <x v="108"/>
    <x v="0"/>
    <x v="21"/>
    <n v="10.0441849816849"/>
    <n v="3666.1275183150001"/>
    <n v="13198.059065934"/>
  </r>
  <r>
    <x v="0"/>
    <x v="0"/>
    <x v="0"/>
    <x v="7"/>
    <x v="14"/>
    <s v="NO4_A1"/>
    <x v="4"/>
    <x v="108"/>
    <x v="0"/>
    <x v="22"/>
    <n v="10.0441849816849"/>
    <n v="3666.1275183150001"/>
    <n v="13198.059065934"/>
  </r>
  <r>
    <x v="0"/>
    <x v="0"/>
    <x v="0"/>
    <x v="7"/>
    <x v="14"/>
    <s v="NO4_A1"/>
    <x v="4"/>
    <x v="108"/>
    <x v="0"/>
    <x v="23"/>
    <n v="10.0441849816849"/>
    <n v="3666.1275183150001"/>
    <n v="13198.059065934"/>
  </r>
  <r>
    <x v="0"/>
    <x v="0"/>
    <x v="0"/>
    <x v="7"/>
    <x v="14"/>
    <s v="NO4_A1"/>
    <x v="7"/>
    <x v="122"/>
    <x v="0"/>
    <x v="3"/>
    <n v="419.56363678000798"/>
    <n v="153140.72742470301"/>
    <n v="551306.61872893095"/>
  </r>
  <r>
    <x v="0"/>
    <x v="0"/>
    <x v="0"/>
    <x v="7"/>
    <x v="14"/>
    <s v="NO4_A1"/>
    <x v="7"/>
    <x v="122"/>
    <x v="0"/>
    <x v="4"/>
    <n v="419.56363678000798"/>
    <n v="153140.72742470301"/>
    <n v="551306.61872893095"/>
  </r>
  <r>
    <x v="0"/>
    <x v="0"/>
    <x v="0"/>
    <x v="7"/>
    <x v="14"/>
    <s v="NO4_A1"/>
    <x v="7"/>
    <x v="122"/>
    <x v="0"/>
    <x v="5"/>
    <n v="419.56363678000798"/>
    <n v="153140.72742470301"/>
    <n v="551306.61872893095"/>
  </r>
  <r>
    <x v="0"/>
    <x v="0"/>
    <x v="0"/>
    <x v="7"/>
    <x v="14"/>
    <s v="NO4_A1"/>
    <x v="7"/>
    <x v="122"/>
    <x v="0"/>
    <x v="6"/>
    <n v="419.56363678000798"/>
    <n v="153140.72742470301"/>
    <n v="551306.61872893095"/>
  </r>
  <r>
    <x v="0"/>
    <x v="0"/>
    <x v="0"/>
    <x v="7"/>
    <x v="14"/>
    <s v="NO4_A1"/>
    <x v="7"/>
    <x v="122"/>
    <x v="0"/>
    <x v="7"/>
    <n v="419.56363678000798"/>
    <n v="153140.72742470301"/>
    <n v="551306.61872893095"/>
  </r>
  <r>
    <x v="0"/>
    <x v="0"/>
    <x v="0"/>
    <x v="7"/>
    <x v="14"/>
    <s v="NO4_A1"/>
    <x v="7"/>
    <x v="122"/>
    <x v="0"/>
    <x v="8"/>
    <n v="419.56363678000798"/>
    <n v="153140.72742470301"/>
    <n v="551306.61872893095"/>
  </r>
  <r>
    <x v="0"/>
    <x v="0"/>
    <x v="0"/>
    <x v="7"/>
    <x v="14"/>
    <s v="NO4_A1"/>
    <x v="7"/>
    <x v="122"/>
    <x v="0"/>
    <x v="0"/>
    <n v="419.56363678000798"/>
    <n v="153140.72742470301"/>
    <n v="551306.61872893095"/>
  </r>
  <r>
    <x v="0"/>
    <x v="0"/>
    <x v="0"/>
    <x v="7"/>
    <x v="14"/>
    <s v="NO4_A1"/>
    <x v="7"/>
    <x v="122"/>
    <x v="0"/>
    <x v="1"/>
    <n v="419.56363678000798"/>
    <n v="153140.72742470301"/>
    <n v="551306.61872893095"/>
  </r>
  <r>
    <x v="0"/>
    <x v="0"/>
    <x v="0"/>
    <x v="7"/>
    <x v="14"/>
    <s v="NO4_A1"/>
    <x v="7"/>
    <x v="122"/>
    <x v="0"/>
    <x v="2"/>
    <n v="419.56363678000798"/>
    <n v="153140.72742470301"/>
    <n v="551306.61872893095"/>
  </r>
  <r>
    <x v="0"/>
    <x v="0"/>
    <x v="0"/>
    <x v="7"/>
    <x v="14"/>
    <s v="NO4_A1"/>
    <x v="7"/>
    <x v="122"/>
    <x v="0"/>
    <x v="9"/>
    <n v="419.56363678000798"/>
    <n v="153140.72742470301"/>
    <n v="551306.61872893095"/>
  </r>
  <r>
    <x v="0"/>
    <x v="0"/>
    <x v="0"/>
    <x v="7"/>
    <x v="14"/>
    <s v="NO4_A1"/>
    <x v="7"/>
    <x v="122"/>
    <x v="0"/>
    <x v="10"/>
    <n v="419.56363678000798"/>
    <n v="153140.72742470301"/>
    <n v="551306.61872893095"/>
  </r>
  <r>
    <x v="0"/>
    <x v="0"/>
    <x v="0"/>
    <x v="7"/>
    <x v="14"/>
    <s v="NO4_A1"/>
    <x v="7"/>
    <x v="122"/>
    <x v="0"/>
    <x v="11"/>
    <n v="419.56363678000798"/>
    <n v="153140.72742470301"/>
    <n v="551306.61872893095"/>
  </r>
  <r>
    <x v="0"/>
    <x v="0"/>
    <x v="0"/>
    <x v="7"/>
    <x v="14"/>
    <s v="NO4_A1"/>
    <x v="7"/>
    <x v="122"/>
    <x v="0"/>
    <x v="12"/>
    <n v="419.56363678000798"/>
    <n v="153140.72742470301"/>
    <n v="551306.61872893095"/>
  </r>
  <r>
    <x v="0"/>
    <x v="0"/>
    <x v="0"/>
    <x v="7"/>
    <x v="14"/>
    <s v="NO4_A1"/>
    <x v="7"/>
    <x v="122"/>
    <x v="0"/>
    <x v="13"/>
    <n v="419.56363678000798"/>
    <n v="153140.72742470301"/>
    <n v="551306.61872893095"/>
  </r>
  <r>
    <x v="0"/>
    <x v="0"/>
    <x v="0"/>
    <x v="7"/>
    <x v="14"/>
    <s v="NO4_A1"/>
    <x v="7"/>
    <x v="122"/>
    <x v="0"/>
    <x v="14"/>
    <n v="419.56363678000798"/>
    <n v="153140.72742470301"/>
    <n v="551306.61872893095"/>
  </r>
  <r>
    <x v="0"/>
    <x v="0"/>
    <x v="0"/>
    <x v="7"/>
    <x v="14"/>
    <s v="NO4_A1"/>
    <x v="7"/>
    <x v="122"/>
    <x v="0"/>
    <x v="15"/>
    <n v="419.56363678000798"/>
    <n v="153140.72742470301"/>
    <n v="551306.61872893095"/>
  </r>
  <r>
    <x v="0"/>
    <x v="0"/>
    <x v="0"/>
    <x v="7"/>
    <x v="14"/>
    <s v="NO4_A1"/>
    <x v="7"/>
    <x v="122"/>
    <x v="0"/>
    <x v="16"/>
    <n v="419.56363678000798"/>
    <n v="153140.72742470301"/>
    <n v="551306.61872893095"/>
  </r>
  <r>
    <x v="0"/>
    <x v="0"/>
    <x v="0"/>
    <x v="7"/>
    <x v="14"/>
    <s v="NO4_A1"/>
    <x v="7"/>
    <x v="122"/>
    <x v="0"/>
    <x v="17"/>
    <n v="419.56363678000798"/>
    <n v="153140.72742470301"/>
    <n v="551306.61872893095"/>
  </r>
  <r>
    <x v="0"/>
    <x v="0"/>
    <x v="0"/>
    <x v="7"/>
    <x v="14"/>
    <s v="NO4_A1"/>
    <x v="7"/>
    <x v="122"/>
    <x v="0"/>
    <x v="18"/>
    <n v="419.56363678000798"/>
    <n v="153140.72742470301"/>
    <n v="551306.61872893095"/>
  </r>
  <r>
    <x v="0"/>
    <x v="0"/>
    <x v="0"/>
    <x v="7"/>
    <x v="14"/>
    <s v="NO4_A1"/>
    <x v="7"/>
    <x v="122"/>
    <x v="0"/>
    <x v="19"/>
    <n v="419.56363678000798"/>
    <n v="153140.72742470301"/>
    <n v="551306.61872893095"/>
  </r>
  <r>
    <x v="0"/>
    <x v="0"/>
    <x v="0"/>
    <x v="7"/>
    <x v="14"/>
    <s v="NO4_A1"/>
    <x v="7"/>
    <x v="122"/>
    <x v="0"/>
    <x v="20"/>
    <n v="419.56363678000798"/>
    <n v="153140.72742470301"/>
    <n v="551306.61872893095"/>
  </r>
  <r>
    <x v="0"/>
    <x v="0"/>
    <x v="0"/>
    <x v="7"/>
    <x v="14"/>
    <s v="NO4_A1"/>
    <x v="7"/>
    <x v="122"/>
    <x v="0"/>
    <x v="21"/>
    <n v="419.56363678000798"/>
    <n v="153140.72742470301"/>
    <n v="551306.61872893095"/>
  </r>
  <r>
    <x v="0"/>
    <x v="0"/>
    <x v="0"/>
    <x v="7"/>
    <x v="14"/>
    <s v="NO4_A1"/>
    <x v="7"/>
    <x v="122"/>
    <x v="0"/>
    <x v="22"/>
    <n v="419.56363678000798"/>
    <n v="153140.72742470301"/>
    <n v="551306.61872893095"/>
  </r>
  <r>
    <x v="0"/>
    <x v="0"/>
    <x v="0"/>
    <x v="7"/>
    <x v="14"/>
    <s v="NO4_A1"/>
    <x v="7"/>
    <x v="122"/>
    <x v="0"/>
    <x v="23"/>
    <n v="419.56363678000798"/>
    <n v="153140.72742470301"/>
    <n v="551306.61872893095"/>
  </r>
  <r>
    <x v="0"/>
    <x v="0"/>
    <x v="0"/>
    <x v="7"/>
    <x v="14"/>
    <s v="NO4_A1"/>
    <x v="7"/>
    <x v="123"/>
    <x v="0"/>
    <x v="3"/>
    <n v="419.56363678000798"/>
    <n v="153140.72742470301"/>
    <n v="551306.61872893095"/>
  </r>
  <r>
    <x v="0"/>
    <x v="0"/>
    <x v="0"/>
    <x v="7"/>
    <x v="14"/>
    <s v="NO4_A1"/>
    <x v="7"/>
    <x v="123"/>
    <x v="0"/>
    <x v="4"/>
    <n v="419.56363678000798"/>
    <n v="153140.72742470301"/>
    <n v="551306.61872893095"/>
  </r>
  <r>
    <x v="0"/>
    <x v="0"/>
    <x v="0"/>
    <x v="7"/>
    <x v="14"/>
    <s v="NO4_A1"/>
    <x v="7"/>
    <x v="123"/>
    <x v="0"/>
    <x v="5"/>
    <n v="419.56363678000798"/>
    <n v="153140.72742470301"/>
    <n v="551306.61872893095"/>
  </r>
  <r>
    <x v="0"/>
    <x v="0"/>
    <x v="0"/>
    <x v="7"/>
    <x v="14"/>
    <s v="NO4_A1"/>
    <x v="7"/>
    <x v="123"/>
    <x v="0"/>
    <x v="6"/>
    <n v="419.56363678000798"/>
    <n v="153140.72742470301"/>
    <n v="551306.61872893095"/>
  </r>
  <r>
    <x v="0"/>
    <x v="0"/>
    <x v="0"/>
    <x v="7"/>
    <x v="14"/>
    <s v="NO4_A1"/>
    <x v="7"/>
    <x v="123"/>
    <x v="0"/>
    <x v="7"/>
    <n v="419.56363678000798"/>
    <n v="153140.72742470301"/>
    <n v="551306.61872893095"/>
  </r>
  <r>
    <x v="0"/>
    <x v="0"/>
    <x v="0"/>
    <x v="7"/>
    <x v="14"/>
    <s v="NO4_A1"/>
    <x v="7"/>
    <x v="123"/>
    <x v="0"/>
    <x v="8"/>
    <n v="419.56363678000798"/>
    <n v="153140.72742470301"/>
    <n v="551306.61872893095"/>
  </r>
  <r>
    <x v="0"/>
    <x v="0"/>
    <x v="0"/>
    <x v="7"/>
    <x v="14"/>
    <s v="NO4_A1"/>
    <x v="7"/>
    <x v="123"/>
    <x v="0"/>
    <x v="0"/>
    <n v="419.56363678000798"/>
    <n v="153140.72742470301"/>
    <n v="551306.61872893095"/>
  </r>
  <r>
    <x v="0"/>
    <x v="0"/>
    <x v="0"/>
    <x v="7"/>
    <x v="14"/>
    <s v="NO4_A1"/>
    <x v="7"/>
    <x v="123"/>
    <x v="0"/>
    <x v="1"/>
    <n v="419.56363678000798"/>
    <n v="153140.72742470301"/>
    <n v="551306.61872893095"/>
  </r>
  <r>
    <x v="0"/>
    <x v="0"/>
    <x v="0"/>
    <x v="7"/>
    <x v="14"/>
    <s v="NO4_A1"/>
    <x v="7"/>
    <x v="123"/>
    <x v="0"/>
    <x v="2"/>
    <n v="419.56363678000798"/>
    <n v="153140.72742470301"/>
    <n v="551306.61872893095"/>
  </r>
  <r>
    <x v="0"/>
    <x v="0"/>
    <x v="0"/>
    <x v="7"/>
    <x v="14"/>
    <s v="NO4_A1"/>
    <x v="7"/>
    <x v="123"/>
    <x v="0"/>
    <x v="9"/>
    <n v="419.56363678000798"/>
    <n v="153140.72742470301"/>
    <n v="551306.61872893095"/>
  </r>
  <r>
    <x v="0"/>
    <x v="0"/>
    <x v="0"/>
    <x v="7"/>
    <x v="14"/>
    <s v="NO4_A1"/>
    <x v="7"/>
    <x v="123"/>
    <x v="0"/>
    <x v="10"/>
    <n v="419.56363678000798"/>
    <n v="153140.72742470301"/>
    <n v="551306.61872893095"/>
  </r>
  <r>
    <x v="0"/>
    <x v="0"/>
    <x v="0"/>
    <x v="7"/>
    <x v="14"/>
    <s v="NO4_A1"/>
    <x v="7"/>
    <x v="123"/>
    <x v="0"/>
    <x v="11"/>
    <n v="419.56363678000798"/>
    <n v="153140.72742470301"/>
    <n v="551306.61872893095"/>
  </r>
  <r>
    <x v="0"/>
    <x v="0"/>
    <x v="0"/>
    <x v="7"/>
    <x v="14"/>
    <s v="NO4_A1"/>
    <x v="7"/>
    <x v="123"/>
    <x v="0"/>
    <x v="12"/>
    <n v="419.56363678000798"/>
    <n v="153140.72742470301"/>
    <n v="551306.61872893095"/>
  </r>
  <r>
    <x v="0"/>
    <x v="0"/>
    <x v="0"/>
    <x v="7"/>
    <x v="14"/>
    <s v="NO4_A1"/>
    <x v="7"/>
    <x v="123"/>
    <x v="0"/>
    <x v="13"/>
    <n v="419.56363678000798"/>
    <n v="153140.72742470301"/>
    <n v="551306.61872893095"/>
  </r>
  <r>
    <x v="0"/>
    <x v="0"/>
    <x v="0"/>
    <x v="7"/>
    <x v="14"/>
    <s v="NO4_A1"/>
    <x v="7"/>
    <x v="123"/>
    <x v="0"/>
    <x v="14"/>
    <n v="419.56363678000798"/>
    <n v="153140.72742470301"/>
    <n v="551306.61872893095"/>
  </r>
  <r>
    <x v="0"/>
    <x v="0"/>
    <x v="0"/>
    <x v="7"/>
    <x v="14"/>
    <s v="NO4_A1"/>
    <x v="7"/>
    <x v="123"/>
    <x v="0"/>
    <x v="15"/>
    <n v="419.56363678000798"/>
    <n v="153140.72742470301"/>
    <n v="551306.61872893095"/>
  </r>
  <r>
    <x v="0"/>
    <x v="0"/>
    <x v="0"/>
    <x v="7"/>
    <x v="14"/>
    <s v="NO4_A1"/>
    <x v="7"/>
    <x v="123"/>
    <x v="0"/>
    <x v="16"/>
    <n v="419.56363678000798"/>
    <n v="153140.72742470301"/>
    <n v="551306.61872893095"/>
  </r>
  <r>
    <x v="0"/>
    <x v="0"/>
    <x v="0"/>
    <x v="7"/>
    <x v="14"/>
    <s v="NO4_A1"/>
    <x v="7"/>
    <x v="123"/>
    <x v="0"/>
    <x v="17"/>
    <n v="419.56363678000798"/>
    <n v="153140.72742470301"/>
    <n v="551306.61872893095"/>
  </r>
  <r>
    <x v="0"/>
    <x v="0"/>
    <x v="0"/>
    <x v="7"/>
    <x v="14"/>
    <s v="NO4_A1"/>
    <x v="7"/>
    <x v="123"/>
    <x v="0"/>
    <x v="18"/>
    <n v="419.56363678000798"/>
    <n v="153140.72742470301"/>
    <n v="551306.61872893095"/>
  </r>
  <r>
    <x v="0"/>
    <x v="0"/>
    <x v="0"/>
    <x v="7"/>
    <x v="14"/>
    <s v="NO4_A1"/>
    <x v="7"/>
    <x v="123"/>
    <x v="0"/>
    <x v="19"/>
    <n v="419.56363678000798"/>
    <n v="153140.72742470301"/>
    <n v="551306.61872893095"/>
  </r>
  <r>
    <x v="0"/>
    <x v="0"/>
    <x v="0"/>
    <x v="7"/>
    <x v="14"/>
    <s v="NO4_A1"/>
    <x v="7"/>
    <x v="123"/>
    <x v="0"/>
    <x v="20"/>
    <n v="419.56363678000798"/>
    <n v="153140.72742470301"/>
    <n v="551306.61872893095"/>
  </r>
  <r>
    <x v="0"/>
    <x v="0"/>
    <x v="0"/>
    <x v="7"/>
    <x v="14"/>
    <s v="NO4_A1"/>
    <x v="7"/>
    <x v="123"/>
    <x v="0"/>
    <x v="21"/>
    <n v="419.56363678000798"/>
    <n v="153140.72742470301"/>
    <n v="551306.61872893095"/>
  </r>
  <r>
    <x v="0"/>
    <x v="0"/>
    <x v="0"/>
    <x v="7"/>
    <x v="14"/>
    <s v="NO4_A1"/>
    <x v="7"/>
    <x v="123"/>
    <x v="0"/>
    <x v="22"/>
    <n v="419.56363678000798"/>
    <n v="153140.72742470301"/>
    <n v="551306.61872893095"/>
  </r>
  <r>
    <x v="0"/>
    <x v="0"/>
    <x v="0"/>
    <x v="7"/>
    <x v="14"/>
    <s v="NO4_A1"/>
    <x v="7"/>
    <x v="123"/>
    <x v="0"/>
    <x v="23"/>
    <n v="419.56363678000798"/>
    <n v="153140.72742470301"/>
    <n v="551306.61872893095"/>
  </r>
  <r>
    <x v="0"/>
    <x v="0"/>
    <x v="0"/>
    <x v="7"/>
    <x v="14"/>
    <s v="NO4_A1"/>
    <x v="7"/>
    <x v="124"/>
    <x v="0"/>
    <x v="3"/>
    <n v="419.56363678000798"/>
    <n v="153140.72742470301"/>
    <n v="551306.61872893095"/>
  </r>
  <r>
    <x v="0"/>
    <x v="0"/>
    <x v="0"/>
    <x v="7"/>
    <x v="14"/>
    <s v="NO4_A1"/>
    <x v="7"/>
    <x v="124"/>
    <x v="0"/>
    <x v="4"/>
    <n v="419.56363678000798"/>
    <n v="153140.72742470301"/>
    <n v="551306.61872893095"/>
  </r>
  <r>
    <x v="0"/>
    <x v="0"/>
    <x v="0"/>
    <x v="7"/>
    <x v="14"/>
    <s v="NO4_A1"/>
    <x v="7"/>
    <x v="124"/>
    <x v="0"/>
    <x v="5"/>
    <n v="419.56363678000798"/>
    <n v="153140.72742470301"/>
    <n v="551306.61872893095"/>
  </r>
  <r>
    <x v="0"/>
    <x v="0"/>
    <x v="0"/>
    <x v="7"/>
    <x v="14"/>
    <s v="NO4_A1"/>
    <x v="7"/>
    <x v="124"/>
    <x v="0"/>
    <x v="6"/>
    <n v="419.56363678000798"/>
    <n v="153140.72742470301"/>
    <n v="551306.61872893095"/>
  </r>
  <r>
    <x v="0"/>
    <x v="0"/>
    <x v="0"/>
    <x v="7"/>
    <x v="14"/>
    <s v="NO4_A1"/>
    <x v="7"/>
    <x v="124"/>
    <x v="0"/>
    <x v="7"/>
    <n v="419.56363678000798"/>
    <n v="153140.72742470301"/>
    <n v="551306.61872893095"/>
  </r>
  <r>
    <x v="0"/>
    <x v="0"/>
    <x v="0"/>
    <x v="7"/>
    <x v="14"/>
    <s v="NO4_A1"/>
    <x v="7"/>
    <x v="124"/>
    <x v="0"/>
    <x v="8"/>
    <n v="419.56363678000798"/>
    <n v="153140.72742470301"/>
    <n v="551306.61872893095"/>
  </r>
  <r>
    <x v="0"/>
    <x v="0"/>
    <x v="0"/>
    <x v="7"/>
    <x v="14"/>
    <s v="NO4_A1"/>
    <x v="7"/>
    <x v="124"/>
    <x v="0"/>
    <x v="0"/>
    <n v="419.56363678000798"/>
    <n v="153140.72742470301"/>
    <n v="551306.61872893095"/>
  </r>
  <r>
    <x v="0"/>
    <x v="0"/>
    <x v="0"/>
    <x v="7"/>
    <x v="14"/>
    <s v="NO4_A1"/>
    <x v="7"/>
    <x v="124"/>
    <x v="0"/>
    <x v="1"/>
    <n v="419.56363678000798"/>
    <n v="153140.72742470301"/>
    <n v="551306.61872893095"/>
  </r>
  <r>
    <x v="0"/>
    <x v="0"/>
    <x v="0"/>
    <x v="7"/>
    <x v="14"/>
    <s v="NO4_A1"/>
    <x v="7"/>
    <x v="124"/>
    <x v="0"/>
    <x v="2"/>
    <n v="419.56363678000798"/>
    <n v="153140.72742470301"/>
    <n v="551306.61872893095"/>
  </r>
  <r>
    <x v="0"/>
    <x v="0"/>
    <x v="0"/>
    <x v="7"/>
    <x v="14"/>
    <s v="NO4_A1"/>
    <x v="7"/>
    <x v="124"/>
    <x v="0"/>
    <x v="9"/>
    <n v="419.56363678000798"/>
    <n v="153140.72742470301"/>
    <n v="551306.61872893095"/>
  </r>
  <r>
    <x v="0"/>
    <x v="0"/>
    <x v="0"/>
    <x v="7"/>
    <x v="14"/>
    <s v="NO4_A1"/>
    <x v="7"/>
    <x v="124"/>
    <x v="0"/>
    <x v="10"/>
    <n v="419.56363678000798"/>
    <n v="153140.72742470301"/>
    <n v="551306.61872893095"/>
  </r>
  <r>
    <x v="0"/>
    <x v="0"/>
    <x v="0"/>
    <x v="7"/>
    <x v="14"/>
    <s v="NO4_A1"/>
    <x v="7"/>
    <x v="124"/>
    <x v="0"/>
    <x v="11"/>
    <n v="419.56363678000798"/>
    <n v="153140.72742470301"/>
    <n v="551306.61872893095"/>
  </r>
  <r>
    <x v="0"/>
    <x v="0"/>
    <x v="0"/>
    <x v="7"/>
    <x v="14"/>
    <s v="NO4_A1"/>
    <x v="7"/>
    <x v="124"/>
    <x v="0"/>
    <x v="12"/>
    <n v="419.56363678000798"/>
    <n v="153140.72742470301"/>
    <n v="551306.61872893095"/>
  </r>
  <r>
    <x v="0"/>
    <x v="0"/>
    <x v="0"/>
    <x v="7"/>
    <x v="14"/>
    <s v="NO4_A1"/>
    <x v="7"/>
    <x v="124"/>
    <x v="0"/>
    <x v="13"/>
    <n v="419.56363678000798"/>
    <n v="153140.72742470301"/>
    <n v="551306.61872893095"/>
  </r>
  <r>
    <x v="0"/>
    <x v="0"/>
    <x v="0"/>
    <x v="7"/>
    <x v="14"/>
    <s v="NO4_A1"/>
    <x v="7"/>
    <x v="124"/>
    <x v="0"/>
    <x v="14"/>
    <n v="419.56363678000798"/>
    <n v="153140.72742470301"/>
    <n v="551306.61872893095"/>
  </r>
  <r>
    <x v="0"/>
    <x v="0"/>
    <x v="0"/>
    <x v="7"/>
    <x v="14"/>
    <s v="NO4_A1"/>
    <x v="7"/>
    <x v="124"/>
    <x v="0"/>
    <x v="15"/>
    <n v="419.56363678000798"/>
    <n v="153140.72742470301"/>
    <n v="551306.61872893095"/>
  </r>
  <r>
    <x v="0"/>
    <x v="0"/>
    <x v="0"/>
    <x v="7"/>
    <x v="14"/>
    <s v="NO4_A1"/>
    <x v="7"/>
    <x v="124"/>
    <x v="0"/>
    <x v="16"/>
    <n v="419.56363678000798"/>
    <n v="153140.72742470301"/>
    <n v="551306.61872893095"/>
  </r>
  <r>
    <x v="0"/>
    <x v="0"/>
    <x v="0"/>
    <x v="7"/>
    <x v="14"/>
    <s v="NO4_A1"/>
    <x v="7"/>
    <x v="124"/>
    <x v="0"/>
    <x v="17"/>
    <n v="419.56363678000798"/>
    <n v="153140.72742470301"/>
    <n v="551306.61872893095"/>
  </r>
  <r>
    <x v="0"/>
    <x v="0"/>
    <x v="0"/>
    <x v="7"/>
    <x v="14"/>
    <s v="NO4_A1"/>
    <x v="7"/>
    <x v="124"/>
    <x v="0"/>
    <x v="18"/>
    <n v="419.56363678000798"/>
    <n v="153140.72742470301"/>
    <n v="551306.61872893095"/>
  </r>
  <r>
    <x v="0"/>
    <x v="0"/>
    <x v="0"/>
    <x v="7"/>
    <x v="14"/>
    <s v="NO4_A1"/>
    <x v="7"/>
    <x v="124"/>
    <x v="0"/>
    <x v="19"/>
    <n v="419.56363678000798"/>
    <n v="153140.72742470301"/>
    <n v="551306.61872893095"/>
  </r>
  <r>
    <x v="0"/>
    <x v="0"/>
    <x v="0"/>
    <x v="7"/>
    <x v="14"/>
    <s v="NO4_A1"/>
    <x v="7"/>
    <x v="124"/>
    <x v="0"/>
    <x v="20"/>
    <n v="419.56363678000798"/>
    <n v="153140.72742470301"/>
    <n v="551306.61872893095"/>
  </r>
  <r>
    <x v="0"/>
    <x v="0"/>
    <x v="0"/>
    <x v="7"/>
    <x v="14"/>
    <s v="NO4_A1"/>
    <x v="7"/>
    <x v="124"/>
    <x v="0"/>
    <x v="21"/>
    <n v="419.56363678000798"/>
    <n v="153140.72742470301"/>
    <n v="551306.61872893095"/>
  </r>
  <r>
    <x v="0"/>
    <x v="0"/>
    <x v="0"/>
    <x v="7"/>
    <x v="14"/>
    <s v="NO4_A1"/>
    <x v="7"/>
    <x v="124"/>
    <x v="0"/>
    <x v="22"/>
    <n v="419.56363678000798"/>
    <n v="153140.72742470301"/>
    <n v="551306.61872893095"/>
  </r>
  <r>
    <x v="0"/>
    <x v="0"/>
    <x v="0"/>
    <x v="7"/>
    <x v="14"/>
    <s v="NO4_A1"/>
    <x v="7"/>
    <x v="124"/>
    <x v="0"/>
    <x v="23"/>
    <n v="419.56363678000798"/>
    <n v="153140.72742470301"/>
    <n v="551306.61872893095"/>
  </r>
  <r>
    <x v="0"/>
    <x v="0"/>
    <x v="0"/>
    <x v="7"/>
    <x v="14"/>
    <s v="NO4_A1"/>
    <x v="7"/>
    <x v="125"/>
    <x v="0"/>
    <x v="3"/>
    <n v="419.56363678000798"/>
    <n v="153140.72742470301"/>
    <n v="551306.61872893095"/>
  </r>
  <r>
    <x v="0"/>
    <x v="0"/>
    <x v="0"/>
    <x v="7"/>
    <x v="14"/>
    <s v="NO4_A1"/>
    <x v="7"/>
    <x v="125"/>
    <x v="0"/>
    <x v="4"/>
    <n v="419.56363678000798"/>
    <n v="153140.72742470301"/>
    <n v="551306.61872893095"/>
  </r>
  <r>
    <x v="0"/>
    <x v="0"/>
    <x v="0"/>
    <x v="7"/>
    <x v="14"/>
    <s v="NO4_A1"/>
    <x v="7"/>
    <x v="125"/>
    <x v="0"/>
    <x v="5"/>
    <n v="419.56363678000798"/>
    <n v="153140.72742470301"/>
    <n v="551306.61872893095"/>
  </r>
  <r>
    <x v="0"/>
    <x v="0"/>
    <x v="0"/>
    <x v="7"/>
    <x v="14"/>
    <s v="NO4_A1"/>
    <x v="7"/>
    <x v="125"/>
    <x v="0"/>
    <x v="6"/>
    <n v="419.56363678000798"/>
    <n v="153140.72742470301"/>
    <n v="551306.61872893095"/>
  </r>
  <r>
    <x v="0"/>
    <x v="0"/>
    <x v="0"/>
    <x v="7"/>
    <x v="14"/>
    <s v="NO4_A1"/>
    <x v="7"/>
    <x v="125"/>
    <x v="0"/>
    <x v="7"/>
    <n v="419.56363678000798"/>
    <n v="153140.72742470301"/>
    <n v="551306.61872893095"/>
  </r>
  <r>
    <x v="0"/>
    <x v="0"/>
    <x v="0"/>
    <x v="7"/>
    <x v="14"/>
    <s v="NO4_A1"/>
    <x v="7"/>
    <x v="125"/>
    <x v="0"/>
    <x v="8"/>
    <n v="419.56363678000798"/>
    <n v="153140.72742470301"/>
    <n v="551306.61872893095"/>
  </r>
  <r>
    <x v="0"/>
    <x v="0"/>
    <x v="0"/>
    <x v="7"/>
    <x v="14"/>
    <s v="NO4_A1"/>
    <x v="7"/>
    <x v="125"/>
    <x v="0"/>
    <x v="0"/>
    <n v="419.56363678000798"/>
    <n v="153140.72742470301"/>
    <n v="551306.61872893095"/>
  </r>
  <r>
    <x v="0"/>
    <x v="0"/>
    <x v="0"/>
    <x v="7"/>
    <x v="14"/>
    <s v="NO4_A1"/>
    <x v="7"/>
    <x v="125"/>
    <x v="0"/>
    <x v="1"/>
    <n v="419.56363678000798"/>
    <n v="153140.72742470301"/>
    <n v="551306.61872893095"/>
  </r>
  <r>
    <x v="0"/>
    <x v="0"/>
    <x v="0"/>
    <x v="7"/>
    <x v="14"/>
    <s v="NO4_A1"/>
    <x v="7"/>
    <x v="125"/>
    <x v="0"/>
    <x v="2"/>
    <n v="419.56363678000798"/>
    <n v="153140.72742470301"/>
    <n v="551306.61872893095"/>
  </r>
  <r>
    <x v="0"/>
    <x v="0"/>
    <x v="0"/>
    <x v="7"/>
    <x v="14"/>
    <s v="NO4_A1"/>
    <x v="7"/>
    <x v="125"/>
    <x v="0"/>
    <x v="9"/>
    <n v="419.56363678000798"/>
    <n v="153140.72742470301"/>
    <n v="551306.61872893095"/>
  </r>
  <r>
    <x v="0"/>
    <x v="0"/>
    <x v="0"/>
    <x v="7"/>
    <x v="14"/>
    <s v="NO4_A1"/>
    <x v="7"/>
    <x v="125"/>
    <x v="0"/>
    <x v="10"/>
    <n v="419.56363678000798"/>
    <n v="153140.72742470301"/>
    <n v="551306.61872893095"/>
  </r>
  <r>
    <x v="0"/>
    <x v="0"/>
    <x v="0"/>
    <x v="7"/>
    <x v="14"/>
    <s v="NO4_A1"/>
    <x v="7"/>
    <x v="125"/>
    <x v="0"/>
    <x v="11"/>
    <n v="419.56363678000798"/>
    <n v="153140.72742470301"/>
    <n v="551306.61872893095"/>
  </r>
  <r>
    <x v="0"/>
    <x v="0"/>
    <x v="0"/>
    <x v="7"/>
    <x v="14"/>
    <s v="NO4_A1"/>
    <x v="7"/>
    <x v="125"/>
    <x v="0"/>
    <x v="12"/>
    <n v="419.56363678000798"/>
    <n v="153140.72742470301"/>
    <n v="551306.61872893095"/>
  </r>
  <r>
    <x v="0"/>
    <x v="0"/>
    <x v="0"/>
    <x v="7"/>
    <x v="14"/>
    <s v="NO4_A1"/>
    <x v="7"/>
    <x v="125"/>
    <x v="0"/>
    <x v="13"/>
    <n v="419.56363678000798"/>
    <n v="153140.72742470301"/>
    <n v="551306.61872893095"/>
  </r>
  <r>
    <x v="0"/>
    <x v="0"/>
    <x v="0"/>
    <x v="7"/>
    <x v="14"/>
    <s v="NO4_A1"/>
    <x v="7"/>
    <x v="125"/>
    <x v="0"/>
    <x v="14"/>
    <n v="419.56363678000798"/>
    <n v="153140.72742470301"/>
    <n v="551306.61872893095"/>
  </r>
  <r>
    <x v="0"/>
    <x v="0"/>
    <x v="0"/>
    <x v="7"/>
    <x v="14"/>
    <s v="NO4_A1"/>
    <x v="7"/>
    <x v="125"/>
    <x v="0"/>
    <x v="15"/>
    <n v="419.56363678000798"/>
    <n v="153140.72742470301"/>
    <n v="551306.61872893095"/>
  </r>
  <r>
    <x v="0"/>
    <x v="0"/>
    <x v="0"/>
    <x v="7"/>
    <x v="14"/>
    <s v="NO4_A1"/>
    <x v="7"/>
    <x v="125"/>
    <x v="0"/>
    <x v="16"/>
    <n v="419.56363678000798"/>
    <n v="153140.72742470301"/>
    <n v="551306.61872893095"/>
  </r>
  <r>
    <x v="0"/>
    <x v="0"/>
    <x v="0"/>
    <x v="7"/>
    <x v="14"/>
    <s v="NO4_A1"/>
    <x v="7"/>
    <x v="125"/>
    <x v="0"/>
    <x v="17"/>
    <n v="419.56363678000798"/>
    <n v="153140.72742470301"/>
    <n v="551306.61872893095"/>
  </r>
  <r>
    <x v="0"/>
    <x v="0"/>
    <x v="0"/>
    <x v="7"/>
    <x v="14"/>
    <s v="NO4_A1"/>
    <x v="7"/>
    <x v="125"/>
    <x v="0"/>
    <x v="18"/>
    <n v="419.56363678000798"/>
    <n v="153140.72742470301"/>
    <n v="551306.61872893095"/>
  </r>
  <r>
    <x v="0"/>
    <x v="0"/>
    <x v="0"/>
    <x v="7"/>
    <x v="14"/>
    <s v="NO4_A1"/>
    <x v="7"/>
    <x v="125"/>
    <x v="0"/>
    <x v="19"/>
    <n v="419.56363678000798"/>
    <n v="153140.72742470301"/>
    <n v="551306.61872893095"/>
  </r>
  <r>
    <x v="0"/>
    <x v="0"/>
    <x v="0"/>
    <x v="7"/>
    <x v="14"/>
    <s v="NO4_A1"/>
    <x v="7"/>
    <x v="125"/>
    <x v="0"/>
    <x v="20"/>
    <n v="419.56363678000798"/>
    <n v="153140.72742470301"/>
    <n v="551306.61872893095"/>
  </r>
  <r>
    <x v="0"/>
    <x v="0"/>
    <x v="0"/>
    <x v="7"/>
    <x v="14"/>
    <s v="NO4_A1"/>
    <x v="7"/>
    <x v="125"/>
    <x v="0"/>
    <x v="21"/>
    <n v="419.56363678000798"/>
    <n v="153140.72742470301"/>
    <n v="551306.61872893095"/>
  </r>
  <r>
    <x v="0"/>
    <x v="0"/>
    <x v="0"/>
    <x v="7"/>
    <x v="14"/>
    <s v="NO4_A1"/>
    <x v="7"/>
    <x v="125"/>
    <x v="0"/>
    <x v="22"/>
    <n v="419.56363678000798"/>
    <n v="153140.72742470301"/>
    <n v="551306.61872893095"/>
  </r>
  <r>
    <x v="0"/>
    <x v="0"/>
    <x v="0"/>
    <x v="7"/>
    <x v="14"/>
    <s v="NO4_A1"/>
    <x v="7"/>
    <x v="125"/>
    <x v="0"/>
    <x v="23"/>
    <n v="419.56363678000798"/>
    <n v="153140.72742470301"/>
    <n v="551306.61872893095"/>
  </r>
  <r>
    <x v="0"/>
    <x v="0"/>
    <x v="0"/>
    <x v="7"/>
    <x v="14"/>
    <s v="NO4_A1"/>
    <x v="7"/>
    <x v="126"/>
    <x v="0"/>
    <x v="3"/>
    <n v="107.265986316067"/>
    <n v="39152.085005364497"/>
    <n v="140947.50601931199"/>
  </r>
  <r>
    <x v="0"/>
    <x v="0"/>
    <x v="0"/>
    <x v="7"/>
    <x v="14"/>
    <s v="NO4_A1"/>
    <x v="7"/>
    <x v="126"/>
    <x v="0"/>
    <x v="7"/>
    <n v="153.41556737163299"/>
    <n v="55996.6820906461"/>
    <n v="201588.055526326"/>
  </r>
  <r>
    <x v="0"/>
    <x v="0"/>
    <x v="0"/>
    <x v="7"/>
    <x v="14"/>
    <s v="NO4_A1"/>
    <x v="7"/>
    <x v="126"/>
    <x v="0"/>
    <x v="8"/>
    <n v="419.56363678000798"/>
    <n v="153140.72742470301"/>
    <n v="551306.61872893095"/>
  </r>
  <r>
    <x v="0"/>
    <x v="0"/>
    <x v="0"/>
    <x v="7"/>
    <x v="14"/>
    <s v="NO4_A1"/>
    <x v="7"/>
    <x v="126"/>
    <x v="0"/>
    <x v="0"/>
    <n v="419.56363678000798"/>
    <n v="153140.72742470301"/>
    <n v="551306.61872893095"/>
  </r>
  <r>
    <x v="0"/>
    <x v="0"/>
    <x v="0"/>
    <x v="7"/>
    <x v="14"/>
    <s v="NO4_A1"/>
    <x v="7"/>
    <x v="126"/>
    <x v="0"/>
    <x v="1"/>
    <n v="419.56363678000798"/>
    <n v="153140.72742470301"/>
    <n v="551306.61872893095"/>
  </r>
  <r>
    <x v="0"/>
    <x v="0"/>
    <x v="0"/>
    <x v="7"/>
    <x v="14"/>
    <s v="NO4_A1"/>
    <x v="7"/>
    <x v="126"/>
    <x v="0"/>
    <x v="2"/>
    <n v="419.56363678000798"/>
    <n v="153140.72742470301"/>
    <n v="551306.61872893095"/>
  </r>
  <r>
    <x v="0"/>
    <x v="0"/>
    <x v="0"/>
    <x v="7"/>
    <x v="14"/>
    <s v="NO4_A1"/>
    <x v="7"/>
    <x v="126"/>
    <x v="0"/>
    <x v="9"/>
    <n v="419.56363678000798"/>
    <n v="153140.72742470301"/>
    <n v="551306.61872893095"/>
  </r>
  <r>
    <x v="0"/>
    <x v="0"/>
    <x v="0"/>
    <x v="7"/>
    <x v="14"/>
    <s v="NO4_A1"/>
    <x v="7"/>
    <x v="126"/>
    <x v="0"/>
    <x v="10"/>
    <n v="419.56363678000798"/>
    <n v="153140.72742470301"/>
    <n v="551306.61872893095"/>
  </r>
  <r>
    <x v="0"/>
    <x v="0"/>
    <x v="0"/>
    <x v="7"/>
    <x v="14"/>
    <s v="NO4_A1"/>
    <x v="7"/>
    <x v="126"/>
    <x v="0"/>
    <x v="11"/>
    <n v="419.56363678000798"/>
    <n v="153140.72742470301"/>
    <n v="551306.61872893095"/>
  </r>
  <r>
    <x v="0"/>
    <x v="0"/>
    <x v="0"/>
    <x v="7"/>
    <x v="14"/>
    <s v="NO4_A1"/>
    <x v="7"/>
    <x v="126"/>
    <x v="0"/>
    <x v="12"/>
    <n v="419.56363678000798"/>
    <n v="153140.72742470301"/>
    <n v="551306.61872893095"/>
  </r>
  <r>
    <x v="0"/>
    <x v="0"/>
    <x v="0"/>
    <x v="7"/>
    <x v="14"/>
    <s v="NO4_A1"/>
    <x v="7"/>
    <x v="126"/>
    <x v="0"/>
    <x v="13"/>
    <n v="419.56363678000798"/>
    <n v="153140.72742470301"/>
    <n v="551306.61872893095"/>
  </r>
  <r>
    <x v="0"/>
    <x v="0"/>
    <x v="0"/>
    <x v="7"/>
    <x v="14"/>
    <s v="NO4_A1"/>
    <x v="7"/>
    <x v="126"/>
    <x v="0"/>
    <x v="14"/>
    <n v="419.56363678000798"/>
    <n v="153140.72742470301"/>
    <n v="551306.61872893095"/>
  </r>
  <r>
    <x v="0"/>
    <x v="0"/>
    <x v="0"/>
    <x v="7"/>
    <x v="14"/>
    <s v="NO4_A1"/>
    <x v="7"/>
    <x v="126"/>
    <x v="0"/>
    <x v="15"/>
    <n v="419.56363678000798"/>
    <n v="153140.72742470301"/>
    <n v="551306.61872893095"/>
  </r>
  <r>
    <x v="0"/>
    <x v="0"/>
    <x v="0"/>
    <x v="7"/>
    <x v="14"/>
    <s v="NO4_A1"/>
    <x v="7"/>
    <x v="126"/>
    <x v="0"/>
    <x v="16"/>
    <n v="419.56363678000798"/>
    <n v="153140.72742470301"/>
    <n v="551306.61872893095"/>
  </r>
  <r>
    <x v="0"/>
    <x v="0"/>
    <x v="0"/>
    <x v="7"/>
    <x v="14"/>
    <s v="NO4_A1"/>
    <x v="7"/>
    <x v="126"/>
    <x v="0"/>
    <x v="17"/>
    <n v="419.56363678000798"/>
    <n v="153140.72742470301"/>
    <n v="551306.61872893095"/>
  </r>
  <r>
    <x v="0"/>
    <x v="0"/>
    <x v="0"/>
    <x v="7"/>
    <x v="14"/>
    <s v="NO4_A1"/>
    <x v="7"/>
    <x v="126"/>
    <x v="0"/>
    <x v="18"/>
    <n v="419.56363678000798"/>
    <n v="153140.72742470301"/>
    <n v="551306.61872893095"/>
  </r>
  <r>
    <x v="0"/>
    <x v="0"/>
    <x v="0"/>
    <x v="7"/>
    <x v="14"/>
    <s v="NO4_A1"/>
    <x v="7"/>
    <x v="126"/>
    <x v="0"/>
    <x v="19"/>
    <n v="419.56363678000798"/>
    <n v="153140.72742470301"/>
    <n v="551306.61872893095"/>
  </r>
  <r>
    <x v="0"/>
    <x v="0"/>
    <x v="0"/>
    <x v="7"/>
    <x v="14"/>
    <s v="NO4_A1"/>
    <x v="7"/>
    <x v="126"/>
    <x v="0"/>
    <x v="20"/>
    <n v="419.56363678000798"/>
    <n v="153140.72742470301"/>
    <n v="551306.61872893095"/>
  </r>
  <r>
    <x v="0"/>
    <x v="0"/>
    <x v="0"/>
    <x v="7"/>
    <x v="14"/>
    <s v="NO4_A1"/>
    <x v="7"/>
    <x v="126"/>
    <x v="0"/>
    <x v="21"/>
    <n v="379.18378750568399"/>
    <n v="138402.082439575"/>
    <n v="498247.49678246898"/>
  </r>
  <r>
    <x v="0"/>
    <x v="0"/>
    <x v="0"/>
    <x v="7"/>
    <x v="14"/>
    <s v="NO4_A1"/>
    <x v="7"/>
    <x v="126"/>
    <x v="0"/>
    <x v="22"/>
    <n v="150.788478287483"/>
    <n v="55037.794574931097"/>
    <n v="198136.060469752"/>
  </r>
  <r>
    <x v="0"/>
    <x v="0"/>
    <x v="0"/>
    <x v="7"/>
    <x v="14"/>
    <s v="NO4_A1"/>
    <x v="7"/>
    <x v="127"/>
    <x v="0"/>
    <x v="0"/>
    <n v="419.56363678000798"/>
    <n v="153140.72742470301"/>
    <n v="551306.61872893095"/>
  </r>
  <r>
    <x v="0"/>
    <x v="0"/>
    <x v="0"/>
    <x v="7"/>
    <x v="14"/>
    <s v="NO4_A1"/>
    <x v="7"/>
    <x v="127"/>
    <x v="0"/>
    <x v="1"/>
    <n v="419.56363678000798"/>
    <n v="153140.72742470301"/>
    <n v="551306.61872893095"/>
  </r>
  <r>
    <x v="0"/>
    <x v="0"/>
    <x v="0"/>
    <x v="7"/>
    <x v="14"/>
    <s v="NO4_A1"/>
    <x v="7"/>
    <x v="127"/>
    <x v="0"/>
    <x v="2"/>
    <n v="419.56363678000798"/>
    <n v="153140.72742470301"/>
    <n v="551306.61872893095"/>
  </r>
  <r>
    <x v="0"/>
    <x v="0"/>
    <x v="0"/>
    <x v="7"/>
    <x v="14"/>
    <s v="NO4_A1"/>
    <x v="7"/>
    <x v="127"/>
    <x v="0"/>
    <x v="9"/>
    <n v="419.56363678000798"/>
    <n v="153140.72742470301"/>
    <n v="551306.61872893095"/>
  </r>
  <r>
    <x v="0"/>
    <x v="0"/>
    <x v="0"/>
    <x v="7"/>
    <x v="14"/>
    <s v="NO4_A1"/>
    <x v="7"/>
    <x v="127"/>
    <x v="0"/>
    <x v="10"/>
    <n v="419.56363678000798"/>
    <n v="153140.72742470301"/>
    <n v="551306.61872893095"/>
  </r>
  <r>
    <x v="0"/>
    <x v="0"/>
    <x v="0"/>
    <x v="7"/>
    <x v="14"/>
    <s v="NO4_A1"/>
    <x v="7"/>
    <x v="127"/>
    <x v="0"/>
    <x v="11"/>
    <n v="419.56363678000798"/>
    <n v="153140.72742470301"/>
    <n v="551306.61872893095"/>
  </r>
  <r>
    <x v="0"/>
    <x v="0"/>
    <x v="0"/>
    <x v="7"/>
    <x v="14"/>
    <s v="NO4_A1"/>
    <x v="7"/>
    <x v="127"/>
    <x v="0"/>
    <x v="12"/>
    <n v="419.56363678000798"/>
    <n v="153140.72742470301"/>
    <n v="551306.61872893095"/>
  </r>
  <r>
    <x v="0"/>
    <x v="0"/>
    <x v="0"/>
    <x v="7"/>
    <x v="14"/>
    <s v="NO4_A1"/>
    <x v="7"/>
    <x v="127"/>
    <x v="0"/>
    <x v="13"/>
    <n v="419.56363678000798"/>
    <n v="153140.72742470301"/>
    <n v="551306.61872893095"/>
  </r>
  <r>
    <x v="0"/>
    <x v="0"/>
    <x v="0"/>
    <x v="7"/>
    <x v="14"/>
    <s v="NO4_A1"/>
    <x v="7"/>
    <x v="127"/>
    <x v="0"/>
    <x v="14"/>
    <n v="419.56363678000798"/>
    <n v="153140.72742470301"/>
    <n v="551306.61872893095"/>
  </r>
  <r>
    <x v="0"/>
    <x v="0"/>
    <x v="0"/>
    <x v="7"/>
    <x v="14"/>
    <s v="NO4_A1"/>
    <x v="7"/>
    <x v="127"/>
    <x v="0"/>
    <x v="15"/>
    <n v="419.56363678000798"/>
    <n v="153140.72742470301"/>
    <n v="551306.61872893095"/>
  </r>
  <r>
    <x v="0"/>
    <x v="0"/>
    <x v="0"/>
    <x v="7"/>
    <x v="14"/>
    <s v="NO4_A1"/>
    <x v="7"/>
    <x v="127"/>
    <x v="0"/>
    <x v="16"/>
    <n v="419.56363678000798"/>
    <n v="153140.72742470301"/>
    <n v="551306.61872893095"/>
  </r>
  <r>
    <x v="0"/>
    <x v="0"/>
    <x v="0"/>
    <x v="7"/>
    <x v="14"/>
    <s v="NO4_A1"/>
    <x v="7"/>
    <x v="127"/>
    <x v="0"/>
    <x v="17"/>
    <n v="419.56363678000798"/>
    <n v="153140.72742470301"/>
    <n v="551306.61872893095"/>
  </r>
  <r>
    <x v="0"/>
    <x v="0"/>
    <x v="0"/>
    <x v="7"/>
    <x v="14"/>
    <s v="NO4_A1"/>
    <x v="7"/>
    <x v="127"/>
    <x v="0"/>
    <x v="18"/>
    <n v="419.56363678000798"/>
    <n v="153140.72742470301"/>
    <n v="551306.61872893095"/>
  </r>
  <r>
    <x v="0"/>
    <x v="0"/>
    <x v="0"/>
    <x v="7"/>
    <x v="14"/>
    <s v="NO4_A1"/>
    <x v="7"/>
    <x v="127"/>
    <x v="0"/>
    <x v="19"/>
    <n v="419.56363678000798"/>
    <n v="153140.72742470301"/>
    <n v="551306.61872893095"/>
  </r>
  <r>
    <x v="0"/>
    <x v="0"/>
    <x v="0"/>
    <x v="7"/>
    <x v="14"/>
    <s v="NO4_A1"/>
    <x v="7"/>
    <x v="127"/>
    <x v="0"/>
    <x v="20"/>
    <n v="69.740856318851698"/>
    <n v="25455.412556380899"/>
    <n v="91639.485202971206"/>
  </r>
  <r>
    <x v="0"/>
    <x v="0"/>
    <x v="0"/>
    <x v="7"/>
    <x v="14"/>
    <s v="NO4_A1"/>
    <x v="7"/>
    <x v="128"/>
    <x v="0"/>
    <x v="0"/>
    <n v="230.09245891040899"/>
    <n v="83983.7475022992"/>
    <n v="302341.49100827699"/>
  </r>
  <r>
    <x v="0"/>
    <x v="0"/>
    <x v="0"/>
    <x v="7"/>
    <x v="14"/>
    <s v="NO4_A1"/>
    <x v="7"/>
    <x v="128"/>
    <x v="0"/>
    <x v="1"/>
    <n v="357.87549335501501"/>
    <n v="130624.555074581"/>
    <n v="470248.39826848998"/>
  </r>
  <r>
    <x v="0"/>
    <x v="0"/>
    <x v="0"/>
    <x v="7"/>
    <x v="14"/>
    <s v="NO4_A1"/>
    <x v="7"/>
    <x v="128"/>
    <x v="0"/>
    <x v="2"/>
    <n v="419.56363678000798"/>
    <n v="153140.72742470301"/>
    <n v="551306.61872893095"/>
  </r>
  <r>
    <x v="0"/>
    <x v="0"/>
    <x v="0"/>
    <x v="7"/>
    <x v="14"/>
    <s v="NO4_A1"/>
    <x v="7"/>
    <x v="128"/>
    <x v="0"/>
    <x v="9"/>
    <n v="419.56363678000798"/>
    <n v="153140.72742470301"/>
    <n v="551306.61872893095"/>
  </r>
  <r>
    <x v="0"/>
    <x v="0"/>
    <x v="0"/>
    <x v="7"/>
    <x v="14"/>
    <s v="NO4_A1"/>
    <x v="7"/>
    <x v="128"/>
    <x v="0"/>
    <x v="10"/>
    <n v="419.56363678000798"/>
    <n v="153140.72742470301"/>
    <n v="551306.61872893095"/>
  </r>
  <r>
    <x v="0"/>
    <x v="0"/>
    <x v="0"/>
    <x v="7"/>
    <x v="14"/>
    <s v="NO4_A1"/>
    <x v="7"/>
    <x v="128"/>
    <x v="0"/>
    <x v="11"/>
    <n v="405.22109702566098"/>
    <n v="147905.700414366"/>
    <n v="532460.52149171894"/>
  </r>
  <r>
    <x v="0"/>
    <x v="0"/>
    <x v="0"/>
    <x v="7"/>
    <x v="14"/>
    <s v="NO4_A1"/>
    <x v="7"/>
    <x v="128"/>
    <x v="0"/>
    <x v="12"/>
    <n v="165.09291869311301"/>
    <n v="60258.9153229863"/>
    <n v="216932.09516275101"/>
  </r>
  <r>
    <x v="0"/>
    <x v="0"/>
    <x v="0"/>
    <x v="7"/>
    <x v="14"/>
    <s v="NO4_A1"/>
    <x v="7"/>
    <x v="128"/>
    <x v="0"/>
    <x v="14"/>
    <n v="413.243584690479"/>
    <n v="150833.90841202499"/>
    <n v="543002.07028329"/>
  </r>
  <r>
    <x v="0"/>
    <x v="0"/>
    <x v="0"/>
    <x v="7"/>
    <x v="14"/>
    <s v="NO4_A1"/>
    <x v="7"/>
    <x v="128"/>
    <x v="0"/>
    <x v="15"/>
    <n v="248.49878779557801"/>
    <n v="90702.057545385993"/>
    <n v="326527.40716338903"/>
  </r>
  <r>
    <x v="0"/>
    <x v="0"/>
    <x v="0"/>
    <x v="7"/>
    <x v="14"/>
    <s v="NO4_A1"/>
    <x v="7"/>
    <x v="128"/>
    <x v="0"/>
    <x v="16"/>
    <n v="419.56363678000798"/>
    <n v="153140.72742470301"/>
    <n v="551306.61872893095"/>
  </r>
  <r>
    <x v="0"/>
    <x v="0"/>
    <x v="0"/>
    <x v="7"/>
    <x v="14"/>
    <s v="NO4_A1"/>
    <x v="7"/>
    <x v="128"/>
    <x v="0"/>
    <x v="17"/>
    <n v="377.45428377279899"/>
    <n v="137770.813577072"/>
    <n v="495974.92887745798"/>
  </r>
  <r>
    <x v="0"/>
    <x v="0"/>
    <x v="0"/>
    <x v="7"/>
    <x v="14"/>
    <s v="NO4_A1"/>
    <x v="7"/>
    <x v="129"/>
    <x v="0"/>
    <x v="2"/>
    <n v="63.724521490403703"/>
    <n v="23259.4503439974"/>
    <n v="83734.021238390502"/>
  </r>
  <r>
    <x v="0"/>
    <x v="0"/>
    <x v="0"/>
    <x v="7"/>
    <x v="14"/>
    <s v="NO4_A1"/>
    <x v="7"/>
    <x v="129"/>
    <x v="0"/>
    <x v="9"/>
    <n v="65.508626154649406"/>
    <n v="23910.648546446999"/>
    <n v="86078.334767209293"/>
  </r>
  <r>
    <x v="0"/>
    <x v="0"/>
    <x v="0"/>
    <x v="7"/>
    <x v="14"/>
    <s v="NO4_A1"/>
    <x v="7"/>
    <x v="46"/>
    <x v="0"/>
    <x v="3"/>
    <n v="366.70762376241902"/>
    <n v="133848.28267328301"/>
    <n v="481853.81762381899"/>
  </r>
  <r>
    <x v="0"/>
    <x v="0"/>
    <x v="0"/>
    <x v="7"/>
    <x v="14"/>
    <s v="NO4_A1"/>
    <x v="7"/>
    <x v="46"/>
    <x v="0"/>
    <x v="4"/>
    <n v="366.70762376241902"/>
    <n v="133848.28267328301"/>
    <n v="481853.81762381899"/>
  </r>
  <r>
    <x v="0"/>
    <x v="0"/>
    <x v="0"/>
    <x v="7"/>
    <x v="14"/>
    <s v="NO4_A1"/>
    <x v="7"/>
    <x v="46"/>
    <x v="0"/>
    <x v="5"/>
    <n v="366.70762376241902"/>
    <n v="133848.28267328301"/>
    <n v="481853.81762381899"/>
  </r>
  <r>
    <x v="0"/>
    <x v="0"/>
    <x v="0"/>
    <x v="7"/>
    <x v="14"/>
    <s v="NO4_A1"/>
    <x v="7"/>
    <x v="46"/>
    <x v="0"/>
    <x v="6"/>
    <n v="366.70762376241902"/>
    <n v="133848.28267328301"/>
    <n v="481853.81762381899"/>
  </r>
  <r>
    <x v="0"/>
    <x v="0"/>
    <x v="0"/>
    <x v="7"/>
    <x v="14"/>
    <s v="NO4_A1"/>
    <x v="7"/>
    <x v="46"/>
    <x v="0"/>
    <x v="7"/>
    <n v="366.70762376241902"/>
    <n v="133848.28267328301"/>
    <n v="481853.81762381899"/>
  </r>
  <r>
    <x v="0"/>
    <x v="0"/>
    <x v="0"/>
    <x v="7"/>
    <x v="14"/>
    <s v="NO4_A1"/>
    <x v="7"/>
    <x v="46"/>
    <x v="0"/>
    <x v="8"/>
    <n v="366.70762376241902"/>
    <n v="133848.28267328301"/>
    <n v="481853.81762381899"/>
  </r>
  <r>
    <x v="0"/>
    <x v="0"/>
    <x v="0"/>
    <x v="7"/>
    <x v="14"/>
    <s v="NO4_A1"/>
    <x v="7"/>
    <x v="46"/>
    <x v="0"/>
    <x v="0"/>
    <n v="366.70762376241902"/>
    <n v="133848.28267328301"/>
    <n v="481853.81762381899"/>
  </r>
  <r>
    <x v="0"/>
    <x v="0"/>
    <x v="0"/>
    <x v="7"/>
    <x v="14"/>
    <s v="NO4_A1"/>
    <x v="7"/>
    <x v="46"/>
    <x v="0"/>
    <x v="1"/>
    <n v="366.70762376241902"/>
    <n v="133848.28267328301"/>
    <n v="481853.81762381899"/>
  </r>
  <r>
    <x v="0"/>
    <x v="0"/>
    <x v="0"/>
    <x v="7"/>
    <x v="14"/>
    <s v="NO4_A1"/>
    <x v="7"/>
    <x v="46"/>
    <x v="0"/>
    <x v="2"/>
    <n v="366.70762376241902"/>
    <n v="133848.28267328301"/>
    <n v="481853.81762381899"/>
  </r>
  <r>
    <x v="0"/>
    <x v="0"/>
    <x v="0"/>
    <x v="7"/>
    <x v="14"/>
    <s v="NO4_A1"/>
    <x v="7"/>
    <x v="46"/>
    <x v="0"/>
    <x v="9"/>
    <n v="366.70762376241902"/>
    <n v="133848.28267328301"/>
    <n v="481853.81762381899"/>
  </r>
  <r>
    <x v="0"/>
    <x v="0"/>
    <x v="0"/>
    <x v="7"/>
    <x v="14"/>
    <s v="NO4_A1"/>
    <x v="7"/>
    <x v="46"/>
    <x v="0"/>
    <x v="10"/>
    <n v="366.70762376241902"/>
    <n v="133848.28267328301"/>
    <n v="481853.81762381899"/>
  </r>
  <r>
    <x v="0"/>
    <x v="0"/>
    <x v="0"/>
    <x v="7"/>
    <x v="14"/>
    <s v="NO4_A1"/>
    <x v="7"/>
    <x v="46"/>
    <x v="0"/>
    <x v="11"/>
    <n v="366.70762376241902"/>
    <n v="133848.28267328301"/>
    <n v="481853.81762381899"/>
  </r>
  <r>
    <x v="0"/>
    <x v="0"/>
    <x v="0"/>
    <x v="7"/>
    <x v="14"/>
    <s v="NO4_A1"/>
    <x v="7"/>
    <x v="46"/>
    <x v="0"/>
    <x v="12"/>
    <n v="366.70762376241902"/>
    <n v="133848.28267328301"/>
    <n v="481853.81762381899"/>
  </r>
  <r>
    <x v="0"/>
    <x v="0"/>
    <x v="0"/>
    <x v="7"/>
    <x v="14"/>
    <s v="NO4_A1"/>
    <x v="7"/>
    <x v="46"/>
    <x v="0"/>
    <x v="13"/>
    <n v="366.70762376241902"/>
    <n v="133848.28267328301"/>
    <n v="481853.81762381899"/>
  </r>
  <r>
    <x v="0"/>
    <x v="0"/>
    <x v="0"/>
    <x v="7"/>
    <x v="14"/>
    <s v="NO4_A1"/>
    <x v="7"/>
    <x v="46"/>
    <x v="0"/>
    <x v="14"/>
    <n v="366.70762376241902"/>
    <n v="133848.28267328301"/>
    <n v="481853.81762381899"/>
  </r>
  <r>
    <x v="0"/>
    <x v="0"/>
    <x v="0"/>
    <x v="7"/>
    <x v="14"/>
    <s v="NO4_A1"/>
    <x v="7"/>
    <x v="46"/>
    <x v="0"/>
    <x v="15"/>
    <n v="366.70762376241902"/>
    <n v="133848.28267328301"/>
    <n v="481853.81762381899"/>
  </r>
  <r>
    <x v="0"/>
    <x v="0"/>
    <x v="0"/>
    <x v="7"/>
    <x v="14"/>
    <s v="NO4_A1"/>
    <x v="7"/>
    <x v="46"/>
    <x v="0"/>
    <x v="16"/>
    <n v="366.70762376241902"/>
    <n v="133848.28267328301"/>
    <n v="481853.81762381899"/>
  </r>
  <r>
    <x v="0"/>
    <x v="0"/>
    <x v="0"/>
    <x v="7"/>
    <x v="14"/>
    <s v="NO4_A1"/>
    <x v="7"/>
    <x v="46"/>
    <x v="0"/>
    <x v="17"/>
    <n v="366.70762376241902"/>
    <n v="133848.28267328301"/>
    <n v="481853.81762381899"/>
  </r>
  <r>
    <x v="0"/>
    <x v="0"/>
    <x v="0"/>
    <x v="7"/>
    <x v="14"/>
    <s v="NO4_A1"/>
    <x v="7"/>
    <x v="46"/>
    <x v="0"/>
    <x v="18"/>
    <n v="366.70762376241902"/>
    <n v="133848.28267328301"/>
    <n v="481853.81762381899"/>
  </r>
  <r>
    <x v="0"/>
    <x v="0"/>
    <x v="0"/>
    <x v="7"/>
    <x v="14"/>
    <s v="NO4_A1"/>
    <x v="7"/>
    <x v="46"/>
    <x v="0"/>
    <x v="19"/>
    <n v="366.70762376241902"/>
    <n v="133848.28267328301"/>
    <n v="481853.81762381899"/>
  </r>
  <r>
    <x v="0"/>
    <x v="0"/>
    <x v="0"/>
    <x v="7"/>
    <x v="14"/>
    <s v="NO4_A1"/>
    <x v="7"/>
    <x v="46"/>
    <x v="0"/>
    <x v="20"/>
    <n v="366.70762376241902"/>
    <n v="133848.28267328301"/>
    <n v="481853.81762381899"/>
  </r>
  <r>
    <x v="0"/>
    <x v="0"/>
    <x v="0"/>
    <x v="7"/>
    <x v="14"/>
    <s v="NO4_A1"/>
    <x v="7"/>
    <x v="46"/>
    <x v="0"/>
    <x v="21"/>
    <n v="366.70762376241902"/>
    <n v="133848.28267328301"/>
    <n v="481853.81762381899"/>
  </r>
  <r>
    <x v="0"/>
    <x v="0"/>
    <x v="0"/>
    <x v="7"/>
    <x v="14"/>
    <s v="NO4_A1"/>
    <x v="7"/>
    <x v="46"/>
    <x v="0"/>
    <x v="22"/>
    <n v="366.70762376241902"/>
    <n v="133848.28267328301"/>
    <n v="481853.81762381899"/>
  </r>
  <r>
    <x v="0"/>
    <x v="0"/>
    <x v="0"/>
    <x v="7"/>
    <x v="14"/>
    <s v="NO4_A1"/>
    <x v="7"/>
    <x v="46"/>
    <x v="0"/>
    <x v="23"/>
    <n v="366.70762376241902"/>
    <n v="133848.28267328301"/>
    <n v="481853.81762381899"/>
  </r>
  <r>
    <x v="0"/>
    <x v="0"/>
    <x v="0"/>
    <x v="7"/>
    <x v="14"/>
    <s v="NO4_A1"/>
    <x v="8"/>
    <x v="47"/>
    <x v="0"/>
    <x v="3"/>
    <n v="24.637221848266801"/>
    <n v="8992.5859746173701"/>
    <n v="32373.3095086225"/>
  </r>
  <r>
    <x v="0"/>
    <x v="0"/>
    <x v="0"/>
    <x v="7"/>
    <x v="14"/>
    <s v="NO4_A1"/>
    <x v="8"/>
    <x v="47"/>
    <x v="0"/>
    <x v="4"/>
    <n v="44.268222672135103"/>
    <n v="16157.901275329299"/>
    <n v="58168.4445911855"/>
  </r>
  <r>
    <x v="0"/>
    <x v="0"/>
    <x v="0"/>
    <x v="7"/>
    <x v="14"/>
    <s v="NO4_A1"/>
    <x v="8"/>
    <x v="47"/>
    <x v="0"/>
    <x v="5"/>
    <n v="47.737199532540401"/>
    <n v="17424.077829377198"/>
    <n v="62726.680185758101"/>
  </r>
  <r>
    <x v="0"/>
    <x v="0"/>
    <x v="0"/>
    <x v="7"/>
    <x v="14"/>
    <s v="NO4_A1"/>
    <x v="8"/>
    <x v="47"/>
    <x v="0"/>
    <x v="6"/>
    <n v="56.439331088370103"/>
    <n v="20600.355847255101"/>
    <n v="74161.281050118399"/>
  </r>
  <r>
    <x v="0"/>
    <x v="0"/>
    <x v="0"/>
    <x v="7"/>
    <x v="14"/>
    <s v="NO4_A1"/>
    <x v="8"/>
    <x v="47"/>
    <x v="0"/>
    <x v="7"/>
    <n v="54.715549196856799"/>
    <n v="19971.175456852699"/>
    <n v="71896.231644669897"/>
  </r>
  <r>
    <x v="0"/>
    <x v="0"/>
    <x v="0"/>
    <x v="7"/>
    <x v="14"/>
    <s v="NO4_A1"/>
    <x v="8"/>
    <x v="47"/>
    <x v="0"/>
    <x v="8"/>
    <n v="70.370703727425095"/>
    <n v="25685.306860510202"/>
    <n v="92467.104697836505"/>
  </r>
  <r>
    <x v="0"/>
    <x v="0"/>
    <x v="0"/>
    <x v="7"/>
    <x v="14"/>
    <s v="NO4_A1"/>
    <x v="8"/>
    <x v="47"/>
    <x v="0"/>
    <x v="0"/>
    <n v="84.703263416542299"/>
    <n v="30916.691147037898"/>
    <n v="111300.088129337"/>
  </r>
  <r>
    <x v="0"/>
    <x v="0"/>
    <x v="0"/>
    <x v="7"/>
    <x v="14"/>
    <s v="NO4_A1"/>
    <x v="8"/>
    <x v="47"/>
    <x v="0"/>
    <x v="1"/>
    <n v="107.62409051559899"/>
    <n v="39282.793038193697"/>
    <n v="141418.05493749701"/>
  </r>
  <r>
    <x v="0"/>
    <x v="0"/>
    <x v="0"/>
    <x v="7"/>
    <x v="14"/>
    <s v="NO4_A1"/>
    <x v="8"/>
    <x v="47"/>
    <x v="0"/>
    <x v="2"/>
    <n v="102.941038439049"/>
    <n v="37573.479030252798"/>
    <n v="135264.52450890999"/>
  </r>
  <r>
    <x v="0"/>
    <x v="0"/>
    <x v="0"/>
    <x v="7"/>
    <x v="14"/>
    <s v="NO4_A1"/>
    <x v="8"/>
    <x v="47"/>
    <x v="0"/>
    <x v="9"/>
    <n v="106.985259911851"/>
    <n v="39049.619867825597"/>
    <n v="140578.631524172"/>
  </r>
  <r>
    <x v="0"/>
    <x v="0"/>
    <x v="0"/>
    <x v="7"/>
    <x v="14"/>
    <s v="NO4_A1"/>
    <x v="8"/>
    <x v="47"/>
    <x v="0"/>
    <x v="10"/>
    <n v="108.40611305461999"/>
    <n v="39568.231264936199"/>
    <n v="142445.63255377"/>
  </r>
  <r>
    <x v="0"/>
    <x v="0"/>
    <x v="0"/>
    <x v="7"/>
    <x v="14"/>
    <s v="NO4_A1"/>
    <x v="8"/>
    <x v="47"/>
    <x v="0"/>
    <x v="11"/>
    <n v="99.411533765130798"/>
    <n v="36285.209824272803"/>
    <n v="130626.75536738199"/>
  </r>
  <r>
    <x v="0"/>
    <x v="0"/>
    <x v="0"/>
    <x v="7"/>
    <x v="14"/>
    <s v="NO4_A1"/>
    <x v="8"/>
    <x v="47"/>
    <x v="0"/>
    <x v="12"/>
    <n v="98.957270901337296"/>
    <n v="36119.403878988101"/>
    <n v="130029.853964357"/>
  </r>
  <r>
    <x v="0"/>
    <x v="0"/>
    <x v="0"/>
    <x v="7"/>
    <x v="14"/>
    <s v="NO4_A1"/>
    <x v="8"/>
    <x v="47"/>
    <x v="0"/>
    <x v="13"/>
    <n v="107.449364159128"/>
    <n v="39219.017918081801"/>
    <n v="141188.46450509501"/>
  </r>
  <r>
    <x v="0"/>
    <x v="0"/>
    <x v="0"/>
    <x v="7"/>
    <x v="14"/>
    <s v="NO4_A1"/>
    <x v="8"/>
    <x v="47"/>
    <x v="0"/>
    <x v="14"/>
    <n v="123.028530844287"/>
    <n v="44905.413758164701"/>
    <n v="161659.489529393"/>
  </r>
  <r>
    <x v="0"/>
    <x v="0"/>
    <x v="0"/>
    <x v="7"/>
    <x v="14"/>
    <s v="NO4_A1"/>
    <x v="8"/>
    <x v="47"/>
    <x v="0"/>
    <x v="15"/>
    <n v="126.733067109209"/>
    <n v="46257.5694948612"/>
    <n v="166527.25018150001"/>
  </r>
  <r>
    <x v="0"/>
    <x v="0"/>
    <x v="0"/>
    <x v="7"/>
    <x v="14"/>
    <s v="NO4_A1"/>
    <x v="8"/>
    <x v="47"/>
    <x v="0"/>
    <x v="16"/>
    <n v="124.907200791783"/>
    <n v="45591.128289000902"/>
    <n v="164128.06184040301"/>
  </r>
  <r>
    <x v="0"/>
    <x v="0"/>
    <x v="0"/>
    <x v="7"/>
    <x v="14"/>
    <s v="NO4_A1"/>
    <x v="8"/>
    <x v="47"/>
    <x v="0"/>
    <x v="17"/>
    <n v="110.23236042917"/>
    <n v="40234.811556646899"/>
    <n v="144845.32160392901"/>
  </r>
  <r>
    <x v="0"/>
    <x v="0"/>
    <x v="0"/>
    <x v="7"/>
    <x v="14"/>
    <s v="NO4_A1"/>
    <x v="8"/>
    <x v="47"/>
    <x v="0"/>
    <x v="18"/>
    <n v="123.69390324323901"/>
    <n v="45148.274683782103"/>
    <n v="162533.78886161599"/>
  </r>
  <r>
    <x v="0"/>
    <x v="0"/>
    <x v="0"/>
    <x v="7"/>
    <x v="14"/>
    <s v="NO4_A1"/>
    <x v="8"/>
    <x v="47"/>
    <x v="0"/>
    <x v="19"/>
    <n v="114.526154876649"/>
    <n v="41802.046529976797"/>
    <n v="150487.367507916"/>
  </r>
  <r>
    <x v="0"/>
    <x v="0"/>
    <x v="0"/>
    <x v="7"/>
    <x v="14"/>
    <s v="NO4_A1"/>
    <x v="8"/>
    <x v="47"/>
    <x v="0"/>
    <x v="20"/>
    <n v="92.225904578588299"/>
    <n v="33662.455171184702"/>
    <n v="121184.838616265"/>
  </r>
  <r>
    <x v="0"/>
    <x v="0"/>
    <x v="0"/>
    <x v="7"/>
    <x v="14"/>
    <s v="NO4_A1"/>
    <x v="8"/>
    <x v="47"/>
    <x v="0"/>
    <x v="21"/>
    <n v="71.814103398100301"/>
    <n v="26212.147740306598"/>
    <n v="94363.731865103706"/>
  </r>
  <r>
    <x v="0"/>
    <x v="0"/>
    <x v="0"/>
    <x v="7"/>
    <x v="14"/>
    <s v="NO4_A1"/>
    <x v="8"/>
    <x v="47"/>
    <x v="0"/>
    <x v="22"/>
    <n v="130.615041846358"/>
    <n v="47674.490273920797"/>
    <n v="171628.16498611501"/>
  </r>
  <r>
    <x v="0"/>
    <x v="0"/>
    <x v="0"/>
    <x v="7"/>
    <x v="14"/>
    <s v="NO4_A1"/>
    <x v="8"/>
    <x v="47"/>
    <x v="0"/>
    <x v="23"/>
    <n v="113.977570653765"/>
    <n v="41601.8132886241"/>
    <n v="149766.52783904699"/>
  </r>
  <r>
    <x v="0"/>
    <x v="0"/>
    <x v="0"/>
    <x v="7"/>
    <x v="15"/>
    <s v="NO5_A1"/>
    <x v="21"/>
    <x v="206"/>
    <x v="0"/>
    <x v="3"/>
    <n v="3.7268359691811499"/>
    <n v="1360.29512875112"/>
    <n v="4897.0624635040303"/>
  </r>
  <r>
    <x v="0"/>
    <x v="0"/>
    <x v="0"/>
    <x v="7"/>
    <x v="15"/>
    <s v="NO5_A1"/>
    <x v="21"/>
    <x v="206"/>
    <x v="0"/>
    <x v="4"/>
    <n v="3.6293945732761301"/>
    <n v="1324.7290192457899"/>
    <n v="4769.02446928483"/>
  </r>
  <r>
    <x v="0"/>
    <x v="0"/>
    <x v="0"/>
    <x v="7"/>
    <x v="15"/>
    <s v="NO5_A1"/>
    <x v="21"/>
    <x v="206"/>
    <x v="0"/>
    <x v="5"/>
    <n v="3.8847300128211999"/>
    <n v="1417.9264546797399"/>
    <n v="5104.5352368470503"/>
  </r>
  <r>
    <x v="0"/>
    <x v="0"/>
    <x v="0"/>
    <x v="7"/>
    <x v="15"/>
    <s v="NO5_A1"/>
    <x v="21"/>
    <x v="206"/>
    <x v="0"/>
    <x v="6"/>
    <n v="4.3356966713654899"/>
    <n v="1582.5292850484"/>
    <n v="5697.1054261742502"/>
  </r>
  <r>
    <x v="0"/>
    <x v="0"/>
    <x v="0"/>
    <x v="7"/>
    <x v="15"/>
    <s v="NO5_A1"/>
    <x v="21"/>
    <x v="206"/>
    <x v="0"/>
    <x v="7"/>
    <n v="6.4845418520877596"/>
    <n v="2366.8577760120302"/>
    <n v="8520.6879936433197"/>
  </r>
  <r>
    <x v="0"/>
    <x v="0"/>
    <x v="0"/>
    <x v="7"/>
    <x v="15"/>
    <s v="NO5_A1"/>
    <x v="21"/>
    <x v="206"/>
    <x v="0"/>
    <x v="8"/>
    <n v="10.871505087394601"/>
    <n v="3968.0993568990398"/>
    <n v="14285.1576848366"/>
  </r>
  <r>
    <x v="0"/>
    <x v="0"/>
    <x v="0"/>
    <x v="7"/>
    <x v="15"/>
    <s v="NO5_A1"/>
    <x v="21"/>
    <x v="206"/>
    <x v="0"/>
    <x v="0"/>
    <n v="16.685290636325298"/>
    <n v="6090.1310822587502"/>
    <n v="21924.471896131501"/>
  </r>
  <r>
    <x v="0"/>
    <x v="0"/>
    <x v="0"/>
    <x v="7"/>
    <x v="15"/>
    <s v="NO5_A1"/>
    <x v="21"/>
    <x v="206"/>
    <x v="0"/>
    <x v="1"/>
    <n v="22.298043762989099"/>
    <n v="8138.7859734910098"/>
    <n v="29299.629504567602"/>
  </r>
  <r>
    <x v="0"/>
    <x v="0"/>
    <x v="0"/>
    <x v="7"/>
    <x v="15"/>
    <s v="NO5_A1"/>
    <x v="21"/>
    <x v="206"/>
    <x v="0"/>
    <x v="2"/>
    <n v="22.545506601672901"/>
    <n v="8229.1099096106009"/>
    <n v="29624.795674598201"/>
  </r>
  <r>
    <x v="0"/>
    <x v="0"/>
    <x v="0"/>
    <x v="7"/>
    <x v="15"/>
    <s v="NO5_A1"/>
    <x v="21"/>
    <x v="206"/>
    <x v="0"/>
    <x v="9"/>
    <n v="21.0122444076598"/>
    <n v="7669.4692087958201"/>
    <n v="27610.089151665001"/>
  </r>
  <r>
    <x v="0"/>
    <x v="0"/>
    <x v="0"/>
    <x v="7"/>
    <x v="15"/>
    <s v="NO5_A1"/>
    <x v="21"/>
    <x v="206"/>
    <x v="0"/>
    <x v="10"/>
    <n v="19.248943760390201"/>
    <n v="7025.8644725424101"/>
    <n v="25293.112101152699"/>
  </r>
  <r>
    <x v="0"/>
    <x v="0"/>
    <x v="0"/>
    <x v="7"/>
    <x v="15"/>
    <s v="NO5_A1"/>
    <x v="21"/>
    <x v="206"/>
    <x v="0"/>
    <x v="11"/>
    <n v="17.079278168682801"/>
    <n v="6233.9365315692403"/>
    <n v="22442.1715136493"/>
  </r>
  <r>
    <x v="0"/>
    <x v="0"/>
    <x v="0"/>
    <x v="7"/>
    <x v="15"/>
    <s v="NO5_A1"/>
    <x v="21"/>
    <x v="206"/>
    <x v="0"/>
    <x v="12"/>
    <n v="15.230670338007601"/>
    <n v="5559.19467337278"/>
    <n v="20013.100824141999"/>
  </r>
  <r>
    <x v="0"/>
    <x v="0"/>
    <x v="0"/>
    <x v="7"/>
    <x v="15"/>
    <s v="NO5_A1"/>
    <x v="21"/>
    <x v="206"/>
    <x v="0"/>
    <x v="13"/>
    <n v="13.5095481301114"/>
    <n v="4930.9850674906702"/>
    <n v="17751.5462429664"/>
  </r>
  <r>
    <x v="0"/>
    <x v="0"/>
    <x v="0"/>
    <x v="7"/>
    <x v="15"/>
    <s v="NO5_A1"/>
    <x v="21"/>
    <x v="206"/>
    <x v="0"/>
    <x v="14"/>
    <n v="12.2828338790587"/>
    <n v="4483.2343658564296"/>
    <n v="16139.6437170832"/>
  </r>
  <r>
    <x v="0"/>
    <x v="0"/>
    <x v="0"/>
    <x v="7"/>
    <x v="15"/>
    <s v="NO5_A1"/>
    <x v="21"/>
    <x v="206"/>
    <x v="0"/>
    <x v="15"/>
    <n v="9.6817103802696494"/>
    <n v="3533.8242887984202"/>
    <n v="12721.7674396743"/>
  </r>
  <r>
    <x v="0"/>
    <x v="0"/>
    <x v="0"/>
    <x v="7"/>
    <x v="15"/>
    <s v="NO5_A1"/>
    <x v="21"/>
    <x v="206"/>
    <x v="0"/>
    <x v="16"/>
    <n v="7.9795993182990497"/>
    <n v="2912.5537511791499"/>
    <n v="10485.193504245"/>
  </r>
  <r>
    <x v="0"/>
    <x v="0"/>
    <x v="0"/>
    <x v="7"/>
    <x v="15"/>
    <s v="NO5_A1"/>
    <x v="21"/>
    <x v="206"/>
    <x v="0"/>
    <x v="17"/>
    <n v="6.4364576123297299"/>
    <n v="2349.30702850035"/>
    <n v="8457.5053026012702"/>
  </r>
  <r>
    <x v="0"/>
    <x v="0"/>
    <x v="0"/>
    <x v="7"/>
    <x v="15"/>
    <s v="NO5_A1"/>
    <x v="21"/>
    <x v="206"/>
    <x v="0"/>
    <x v="18"/>
    <n v="5.3435454983714203"/>
    <n v="1950.39410690557"/>
    <n v="7021.4187848600504"/>
  </r>
  <r>
    <x v="0"/>
    <x v="0"/>
    <x v="0"/>
    <x v="7"/>
    <x v="15"/>
    <s v="NO5_A1"/>
    <x v="21"/>
    <x v="206"/>
    <x v="0"/>
    <x v="19"/>
    <n v="5.1941172186638997"/>
    <n v="1895.8527848123199"/>
    <n v="6825.0700253243604"/>
  </r>
  <r>
    <x v="0"/>
    <x v="0"/>
    <x v="0"/>
    <x v="7"/>
    <x v="15"/>
    <s v="NO5_A1"/>
    <x v="21"/>
    <x v="206"/>
    <x v="0"/>
    <x v="20"/>
    <n v="4.5865202695451499"/>
    <n v="1674.07989838398"/>
    <n v="6026.6876341823199"/>
  </r>
  <r>
    <x v="0"/>
    <x v="0"/>
    <x v="0"/>
    <x v="7"/>
    <x v="15"/>
    <s v="NO5_A1"/>
    <x v="21"/>
    <x v="206"/>
    <x v="0"/>
    <x v="21"/>
    <n v="2.81303622594179"/>
    <n v="1026.7582224687501"/>
    <n v="3696.32960088751"/>
  </r>
  <r>
    <x v="0"/>
    <x v="0"/>
    <x v="0"/>
    <x v="7"/>
    <x v="15"/>
    <s v="NO5_A1"/>
    <x v="21"/>
    <x v="206"/>
    <x v="0"/>
    <x v="22"/>
    <n v="1.6498758922372601"/>
    <n v="602.20470066660096"/>
    <n v="2167.9369223997601"/>
  </r>
  <r>
    <x v="0"/>
    <x v="0"/>
    <x v="0"/>
    <x v="7"/>
    <x v="15"/>
    <s v="NO5_A1"/>
    <x v="21"/>
    <x v="206"/>
    <x v="0"/>
    <x v="23"/>
    <n v="1.1322457589993999"/>
    <n v="413.26970203478101"/>
    <n v="1487.7709273252101"/>
  </r>
  <r>
    <x v="0"/>
    <x v="0"/>
    <x v="0"/>
    <x v="7"/>
    <x v="15"/>
    <s v="NO5_A1"/>
    <x v="1"/>
    <x v="207"/>
    <x v="0"/>
    <x v="3"/>
    <n v="37.562724014336901"/>
    <n v="13710.394265233001"/>
    <n v="49357.419354838697"/>
  </r>
  <r>
    <x v="0"/>
    <x v="0"/>
    <x v="0"/>
    <x v="7"/>
    <x v="15"/>
    <s v="NO5_A1"/>
    <x v="1"/>
    <x v="207"/>
    <x v="0"/>
    <x v="4"/>
    <n v="37.562724014336901"/>
    <n v="13710.394265233001"/>
    <n v="49357.419354838697"/>
  </r>
  <r>
    <x v="0"/>
    <x v="0"/>
    <x v="0"/>
    <x v="7"/>
    <x v="15"/>
    <s v="NO5_A1"/>
    <x v="1"/>
    <x v="207"/>
    <x v="0"/>
    <x v="5"/>
    <n v="37.562724014336901"/>
    <n v="13710.394265233001"/>
    <n v="49357.419354838697"/>
  </r>
  <r>
    <x v="0"/>
    <x v="0"/>
    <x v="0"/>
    <x v="7"/>
    <x v="15"/>
    <s v="NO5_A1"/>
    <x v="1"/>
    <x v="207"/>
    <x v="0"/>
    <x v="6"/>
    <n v="37.562724014336901"/>
    <n v="13710.394265233001"/>
    <n v="49357.419354838697"/>
  </r>
  <r>
    <x v="0"/>
    <x v="0"/>
    <x v="0"/>
    <x v="7"/>
    <x v="15"/>
    <s v="NO5_A1"/>
    <x v="1"/>
    <x v="207"/>
    <x v="0"/>
    <x v="7"/>
    <n v="37.562724014336901"/>
    <n v="13710.394265233001"/>
    <n v="49357.419354838697"/>
  </r>
  <r>
    <x v="0"/>
    <x v="0"/>
    <x v="0"/>
    <x v="7"/>
    <x v="15"/>
    <s v="NO5_A1"/>
    <x v="1"/>
    <x v="207"/>
    <x v="0"/>
    <x v="8"/>
    <n v="37.562724014336901"/>
    <n v="13710.394265233001"/>
    <n v="49357.419354838697"/>
  </r>
  <r>
    <x v="0"/>
    <x v="0"/>
    <x v="0"/>
    <x v="7"/>
    <x v="15"/>
    <s v="NO5_A1"/>
    <x v="1"/>
    <x v="207"/>
    <x v="0"/>
    <x v="0"/>
    <n v="37.562724014336901"/>
    <n v="13710.394265233001"/>
    <n v="49357.419354838697"/>
  </r>
  <r>
    <x v="0"/>
    <x v="0"/>
    <x v="0"/>
    <x v="7"/>
    <x v="15"/>
    <s v="NO5_A1"/>
    <x v="1"/>
    <x v="207"/>
    <x v="0"/>
    <x v="1"/>
    <n v="37.562724014336901"/>
    <n v="13710.394265233001"/>
    <n v="49357.419354838697"/>
  </r>
  <r>
    <x v="0"/>
    <x v="0"/>
    <x v="0"/>
    <x v="7"/>
    <x v="15"/>
    <s v="NO5_A1"/>
    <x v="1"/>
    <x v="207"/>
    <x v="0"/>
    <x v="2"/>
    <n v="37.562724014336901"/>
    <n v="13710.394265233001"/>
    <n v="49357.419354838697"/>
  </r>
  <r>
    <x v="0"/>
    <x v="0"/>
    <x v="0"/>
    <x v="7"/>
    <x v="15"/>
    <s v="NO5_A1"/>
    <x v="1"/>
    <x v="207"/>
    <x v="0"/>
    <x v="9"/>
    <n v="37.562724014336901"/>
    <n v="13710.394265233001"/>
    <n v="49357.419354838697"/>
  </r>
  <r>
    <x v="0"/>
    <x v="0"/>
    <x v="0"/>
    <x v="7"/>
    <x v="15"/>
    <s v="NO5_A1"/>
    <x v="1"/>
    <x v="207"/>
    <x v="0"/>
    <x v="10"/>
    <n v="37.562724014336901"/>
    <n v="13710.394265233001"/>
    <n v="49357.419354838697"/>
  </r>
  <r>
    <x v="0"/>
    <x v="0"/>
    <x v="0"/>
    <x v="7"/>
    <x v="15"/>
    <s v="NO5_A1"/>
    <x v="1"/>
    <x v="207"/>
    <x v="0"/>
    <x v="11"/>
    <n v="37.562724014336901"/>
    <n v="13710.394265233001"/>
    <n v="49357.419354838697"/>
  </r>
  <r>
    <x v="0"/>
    <x v="0"/>
    <x v="0"/>
    <x v="7"/>
    <x v="15"/>
    <s v="NO5_A1"/>
    <x v="1"/>
    <x v="207"/>
    <x v="0"/>
    <x v="12"/>
    <n v="37.562724014336901"/>
    <n v="13710.394265233001"/>
    <n v="49357.419354838697"/>
  </r>
  <r>
    <x v="0"/>
    <x v="0"/>
    <x v="0"/>
    <x v="7"/>
    <x v="15"/>
    <s v="NO5_A1"/>
    <x v="1"/>
    <x v="207"/>
    <x v="0"/>
    <x v="13"/>
    <n v="37.562724014336901"/>
    <n v="13710.394265233001"/>
    <n v="49357.419354838697"/>
  </r>
  <r>
    <x v="0"/>
    <x v="0"/>
    <x v="0"/>
    <x v="7"/>
    <x v="15"/>
    <s v="NO5_A1"/>
    <x v="1"/>
    <x v="207"/>
    <x v="0"/>
    <x v="14"/>
    <n v="37.562724014336901"/>
    <n v="13710.394265233001"/>
    <n v="49357.419354838697"/>
  </r>
  <r>
    <x v="0"/>
    <x v="0"/>
    <x v="0"/>
    <x v="7"/>
    <x v="15"/>
    <s v="NO5_A1"/>
    <x v="1"/>
    <x v="207"/>
    <x v="0"/>
    <x v="15"/>
    <n v="37.562724014336901"/>
    <n v="13710.394265233001"/>
    <n v="49357.419354838697"/>
  </r>
  <r>
    <x v="0"/>
    <x v="0"/>
    <x v="0"/>
    <x v="7"/>
    <x v="15"/>
    <s v="NO5_A1"/>
    <x v="1"/>
    <x v="207"/>
    <x v="0"/>
    <x v="16"/>
    <n v="37.562724014336901"/>
    <n v="13710.394265233001"/>
    <n v="49357.419354838697"/>
  </r>
  <r>
    <x v="0"/>
    <x v="0"/>
    <x v="0"/>
    <x v="7"/>
    <x v="15"/>
    <s v="NO5_A1"/>
    <x v="1"/>
    <x v="207"/>
    <x v="0"/>
    <x v="17"/>
    <n v="37.562724014336901"/>
    <n v="13710.394265233001"/>
    <n v="49357.419354838697"/>
  </r>
  <r>
    <x v="0"/>
    <x v="0"/>
    <x v="0"/>
    <x v="7"/>
    <x v="15"/>
    <s v="NO5_A1"/>
    <x v="1"/>
    <x v="207"/>
    <x v="0"/>
    <x v="18"/>
    <n v="37.562724014336901"/>
    <n v="13710.394265233001"/>
    <n v="49357.419354838697"/>
  </r>
  <r>
    <x v="0"/>
    <x v="0"/>
    <x v="0"/>
    <x v="7"/>
    <x v="15"/>
    <s v="NO5_A1"/>
    <x v="1"/>
    <x v="207"/>
    <x v="0"/>
    <x v="19"/>
    <n v="37.562724014336901"/>
    <n v="13710.394265233001"/>
    <n v="49357.419354838697"/>
  </r>
  <r>
    <x v="0"/>
    <x v="0"/>
    <x v="0"/>
    <x v="7"/>
    <x v="15"/>
    <s v="NO5_A1"/>
    <x v="1"/>
    <x v="207"/>
    <x v="0"/>
    <x v="20"/>
    <n v="37.562724014336901"/>
    <n v="13710.394265233001"/>
    <n v="49357.419354838697"/>
  </r>
  <r>
    <x v="0"/>
    <x v="0"/>
    <x v="0"/>
    <x v="7"/>
    <x v="15"/>
    <s v="NO5_A1"/>
    <x v="1"/>
    <x v="207"/>
    <x v="0"/>
    <x v="21"/>
    <n v="37.562724014336901"/>
    <n v="13710.394265233001"/>
    <n v="49357.419354838697"/>
  </r>
  <r>
    <x v="0"/>
    <x v="0"/>
    <x v="0"/>
    <x v="7"/>
    <x v="15"/>
    <s v="NO5_A1"/>
    <x v="1"/>
    <x v="207"/>
    <x v="0"/>
    <x v="22"/>
    <n v="37.562724014336901"/>
    <n v="13710.394265233001"/>
    <n v="49357.419354838697"/>
  </r>
  <r>
    <x v="0"/>
    <x v="0"/>
    <x v="0"/>
    <x v="7"/>
    <x v="15"/>
    <s v="NO5_A1"/>
    <x v="1"/>
    <x v="207"/>
    <x v="0"/>
    <x v="23"/>
    <n v="37.562724014336901"/>
    <n v="13710.394265233001"/>
    <n v="49357.419354838697"/>
  </r>
  <r>
    <x v="0"/>
    <x v="0"/>
    <x v="0"/>
    <x v="7"/>
    <x v="15"/>
    <s v="NO5_A1"/>
    <x v="7"/>
    <x v="122"/>
    <x v="0"/>
    <x v="3"/>
    <n v="154.193241885916"/>
    <n v="56280.5332883593"/>
    <n v="202609.91983809401"/>
  </r>
  <r>
    <x v="0"/>
    <x v="0"/>
    <x v="0"/>
    <x v="7"/>
    <x v="15"/>
    <s v="NO5_A1"/>
    <x v="7"/>
    <x v="122"/>
    <x v="0"/>
    <x v="4"/>
    <n v="154.193241885916"/>
    <n v="56280.5332883593"/>
    <n v="202609.91983809401"/>
  </r>
  <r>
    <x v="0"/>
    <x v="0"/>
    <x v="0"/>
    <x v="7"/>
    <x v="15"/>
    <s v="NO5_A1"/>
    <x v="7"/>
    <x v="122"/>
    <x v="0"/>
    <x v="5"/>
    <n v="154.193241885916"/>
    <n v="56280.5332883593"/>
    <n v="202609.91983809401"/>
  </r>
  <r>
    <x v="0"/>
    <x v="0"/>
    <x v="0"/>
    <x v="7"/>
    <x v="15"/>
    <s v="NO5_A1"/>
    <x v="7"/>
    <x v="122"/>
    <x v="0"/>
    <x v="6"/>
    <n v="154.193241885916"/>
    <n v="56280.5332883593"/>
    <n v="202609.91983809401"/>
  </r>
  <r>
    <x v="0"/>
    <x v="0"/>
    <x v="0"/>
    <x v="7"/>
    <x v="15"/>
    <s v="NO5_A1"/>
    <x v="7"/>
    <x v="122"/>
    <x v="0"/>
    <x v="7"/>
    <n v="154.193241885916"/>
    <n v="56280.5332883593"/>
    <n v="202609.91983809401"/>
  </r>
  <r>
    <x v="0"/>
    <x v="0"/>
    <x v="0"/>
    <x v="7"/>
    <x v="15"/>
    <s v="NO5_A1"/>
    <x v="7"/>
    <x v="122"/>
    <x v="0"/>
    <x v="8"/>
    <n v="154.193241885916"/>
    <n v="56280.5332883593"/>
    <n v="202609.91983809401"/>
  </r>
  <r>
    <x v="0"/>
    <x v="0"/>
    <x v="0"/>
    <x v="7"/>
    <x v="15"/>
    <s v="NO5_A1"/>
    <x v="7"/>
    <x v="122"/>
    <x v="0"/>
    <x v="0"/>
    <n v="154.193241885916"/>
    <n v="56280.5332883593"/>
    <n v="202609.91983809401"/>
  </r>
  <r>
    <x v="0"/>
    <x v="0"/>
    <x v="0"/>
    <x v="7"/>
    <x v="15"/>
    <s v="NO5_A1"/>
    <x v="7"/>
    <x v="122"/>
    <x v="0"/>
    <x v="1"/>
    <n v="154.193241885916"/>
    <n v="56280.5332883593"/>
    <n v="202609.91983809401"/>
  </r>
  <r>
    <x v="0"/>
    <x v="0"/>
    <x v="0"/>
    <x v="7"/>
    <x v="15"/>
    <s v="NO5_A1"/>
    <x v="7"/>
    <x v="122"/>
    <x v="0"/>
    <x v="2"/>
    <n v="154.193241885916"/>
    <n v="56280.5332883593"/>
    <n v="202609.91983809401"/>
  </r>
  <r>
    <x v="0"/>
    <x v="0"/>
    <x v="0"/>
    <x v="7"/>
    <x v="15"/>
    <s v="NO5_A1"/>
    <x v="7"/>
    <x v="122"/>
    <x v="0"/>
    <x v="9"/>
    <n v="154.193241885916"/>
    <n v="56280.5332883593"/>
    <n v="202609.91983809401"/>
  </r>
  <r>
    <x v="0"/>
    <x v="0"/>
    <x v="0"/>
    <x v="7"/>
    <x v="15"/>
    <s v="NO5_A1"/>
    <x v="7"/>
    <x v="122"/>
    <x v="0"/>
    <x v="10"/>
    <n v="154.193241885916"/>
    <n v="56280.5332883593"/>
    <n v="202609.91983809401"/>
  </r>
  <r>
    <x v="0"/>
    <x v="0"/>
    <x v="0"/>
    <x v="7"/>
    <x v="15"/>
    <s v="NO5_A1"/>
    <x v="7"/>
    <x v="122"/>
    <x v="0"/>
    <x v="11"/>
    <n v="154.193241885916"/>
    <n v="56280.5332883593"/>
    <n v="202609.91983809401"/>
  </r>
  <r>
    <x v="0"/>
    <x v="0"/>
    <x v="0"/>
    <x v="7"/>
    <x v="15"/>
    <s v="NO5_A1"/>
    <x v="7"/>
    <x v="122"/>
    <x v="0"/>
    <x v="12"/>
    <n v="154.193241885916"/>
    <n v="56280.5332883593"/>
    <n v="202609.91983809401"/>
  </r>
  <r>
    <x v="0"/>
    <x v="0"/>
    <x v="0"/>
    <x v="7"/>
    <x v="15"/>
    <s v="NO5_A1"/>
    <x v="7"/>
    <x v="122"/>
    <x v="0"/>
    <x v="13"/>
    <n v="154.193241885916"/>
    <n v="56280.5332883593"/>
    <n v="202609.91983809401"/>
  </r>
  <r>
    <x v="0"/>
    <x v="0"/>
    <x v="0"/>
    <x v="7"/>
    <x v="15"/>
    <s v="NO5_A1"/>
    <x v="7"/>
    <x v="122"/>
    <x v="0"/>
    <x v="14"/>
    <n v="154.193241885916"/>
    <n v="56280.5332883593"/>
    <n v="202609.91983809401"/>
  </r>
  <r>
    <x v="0"/>
    <x v="0"/>
    <x v="0"/>
    <x v="7"/>
    <x v="15"/>
    <s v="NO5_A1"/>
    <x v="7"/>
    <x v="122"/>
    <x v="0"/>
    <x v="15"/>
    <n v="154.193241885916"/>
    <n v="56280.5332883593"/>
    <n v="202609.91983809401"/>
  </r>
  <r>
    <x v="0"/>
    <x v="0"/>
    <x v="0"/>
    <x v="7"/>
    <x v="15"/>
    <s v="NO5_A1"/>
    <x v="7"/>
    <x v="122"/>
    <x v="0"/>
    <x v="16"/>
    <n v="154.193241885916"/>
    <n v="56280.5332883593"/>
    <n v="202609.91983809401"/>
  </r>
  <r>
    <x v="0"/>
    <x v="0"/>
    <x v="0"/>
    <x v="7"/>
    <x v="15"/>
    <s v="NO5_A1"/>
    <x v="7"/>
    <x v="122"/>
    <x v="0"/>
    <x v="17"/>
    <n v="154.193241885916"/>
    <n v="56280.5332883593"/>
    <n v="202609.91983809401"/>
  </r>
  <r>
    <x v="0"/>
    <x v="0"/>
    <x v="0"/>
    <x v="7"/>
    <x v="15"/>
    <s v="NO5_A1"/>
    <x v="7"/>
    <x v="122"/>
    <x v="0"/>
    <x v="18"/>
    <n v="154.193241885916"/>
    <n v="56280.5332883593"/>
    <n v="202609.91983809401"/>
  </r>
  <r>
    <x v="0"/>
    <x v="0"/>
    <x v="0"/>
    <x v="7"/>
    <x v="15"/>
    <s v="NO5_A1"/>
    <x v="7"/>
    <x v="122"/>
    <x v="0"/>
    <x v="19"/>
    <n v="154.193241885916"/>
    <n v="56280.5332883593"/>
    <n v="202609.91983809401"/>
  </r>
  <r>
    <x v="0"/>
    <x v="0"/>
    <x v="0"/>
    <x v="7"/>
    <x v="15"/>
    <s v="NO5_A1"/>
    <x v="7"/>
    <x v="122"/>
    <x v="0"/>
    <x v="20"/>
    <n v="154.193241885916"/>
    <n v="56280.5332883593"/>
    <n v="202609.91983809401"/>
  </r>
  <r>
    <x v="0"/>
    <x v="0"/>
    <x v="0"/>
    <x v="7"/>
    <x v="15"/>
    <s v="NO5_A1"/>
    <x v="7"/>
    <x v="122"/>
    <x v="0"/>
    <x v="21"/>
    <n v="154.193241885916"/>
    <n v="56280.5332883593"/>
    <n v="202609.91983809401"/>
  </r>
  <r>
    <x v="0"/>
    <x v="0"/>
    <x v="0"/>
    <x v="7"/>
    <x v="15"/>
    <s v="NO5_A1"/>
    <x v="7"/>
    <x v="122"/>
    <x v="0"/>
    <x v="22"/>
    <n v="154.193241885916"/>
    <n v="56280.5332883593"/>
    <n v="202609.91983809401"/>
  </r>
  <r>
    <x v="0"/>
    <x v="0"/>
    <x v="0"/>
    <x v="7"/>
    <x v="15"/>
    <s v="NO5_A1"/>
    <x v="7"/>
    <x v="122"/>
    <x v="0"/>
    <x v="23"/>
    <n v="154.193241885916"/>
    <n v="56280.5332883593"/>
    <n v="202609.91983809401"/>
  </r>
  <r>
    <x v="0"/>
    <x v="0"/>
    <x v="0"/>
    <x v="7"/>
    <x v="15"/>
    <s v="NO5_A1"/>
    <x v="7"/>
    <x v="123"/>
    <x v="0"/>
    <x v="3"/>
    <n v="598.193241885916"/>
    <n v="218340.533288359"/>
    <n v="786025.91983809404"/>
  </r>
  <r>
    <x v="0"/>
    <x v="0"/>
    <x v="0"/>
    <x v="7"/>
    <x v="15"/>
    <s v="NO5_A1"/>
    <x v="7"/>
    <x v="123"/>
    <x v="0"/>
    <x v="4"/>
    <n v="598.193241885916"/>
    <n v="218340.533288359"/>
    <n v="786025.91983809404"/>
  </r>
  <r>
    <x v="0"/>
    <x v="0"/>
    <x v="0"/>
    <x v="7"/>
    <x v="15"/>
    <s v="NO5_A1"/>
    <x v="7"/>
    <x v="123"/>
    <x v="0"/>
    <x v="5"/>
    <n v="598.193241885916"/>
    <n v="218340.533288359"/>
    <n v="786025.91983809404"/>
  </r>
  <r>
    <x v="0"/>
    <x v="0"/>
    <x v="0"/>
    <x v="7"/>
    <x v="15"/>
    <s v="NO5_A1"/>
    <x v="7"/>
    <x v="123"/>
    <x v="0"/>
    <x v="6"/>
    <n v="598.193241885916"/>
    <n v="218340.533288359"/>
    <n v="786025.91983809404"/>
  </r>
  <r>
    <x v="0"/>
    <x v="0"/>
    <x v="0"/>
    <x v="7"/>
    <x v="15"/>
    <s v="NO5_A1"/>
    <x v="7"/>
    <x v="123"/>
    <x v="0"/>
    <x v="7"/>
    <n v="598.193241885916"/>
    <n v="218340.533288359"/>
    <n v="786025.91983809404"/>
  </r>
  <r>
    <x v="0"/>
    <x v="0"/>
    <x v="0"/>
    <x v="7"/>
    <x v="15"/>
    <s v="NO5_A1"/>
    <x v="7"/>
    <x v="123"/>
    <x v="0"/>
    <x v="8"/>
    <n v="598.193241885916"/>
    <n v="218340.533288359"/>
    <n v="786025.91983809404"/>
  </r>
  <r>
    <x v="0"/>
    <x v="0"/>
    <x v="0"/>
    <x v="7"/>
    <x v="15"/>
    <s v="NO5_A1"/>
    <x v="7"/>
    <x v="123"/>
    <x v="0"/>
    <x v="0"/>
    <n v="598.193241885916"/>
    <n v="218340.533288359"/>
    <n v="786025.91983809404"/>
  </r>
  <r>
    <x v="0"/>
    <x v="0"/>
    <x v="0"/>
    <x v="7"/>
    <x v="15"/>
    <s v="NO5_A1"/>
    <x v="7"/>
    <x v="123"/>
    <x v="0"/>
    <x v="1"/>
    <n v="598.193241885916"/>
    <n v="218340.533288359"/>
    <n v="786025.91983809404"/>
  </r>
  <r>
    <x v="0"/>
    <x v="0"/>
    <x v="0"/>
    <x v="7"/>
    <x v="15"/>
    <s v="NO5_A1"/>
    <x v="7"/>
    <x v="123"/>
    <x v="0"/>
    <x v="2"/>
    <n v="598.193241885916"/>
    <n v="218340.533288359"/>
    <n v="786025.91983809404"/>
  </r>
  <r>
    <x v="0"/>
    <x v="0"/>
    <x v="0"/>
    <x v="7"/>
    <x v="15"/>
    <s v="NO5_A1"/>
    <x v="7"/>
    <x v="123"/>
    <x v="0"/>
    <x v="9"/>
    <n v="598.193241885916"/>
    <n v="218340.533288359"/>
    <n v="786025.91983809404"/>
  </r>
  <r>
    <x v="0"/>
    <x v="0"/>
    <x v="0"/>
    <x v="7"/>
    <x v="15"/>
    <s v="NO5_A1"/>
    <x v="7"/>
    <x v="123"/>
    <x v="0"/>
    <x v="10"/>
    <n v="598.193241885916"/>
    <n v="218340.533288359"/>
    <n v="786025.91983809404"/>
  </r>
  <r>
    <x v="0"/>
    <x v="0"/>
    <x v="0"/>
    <x v="7"/>
    <x v="15"/>
    <s v="NO5_A1"/>
    <x v="7"/>
    <x v="123"/>
    <x v="0"/>
    <x v="11"/>
    <n v="598.193241885916"/>
    <n v="218340.533288359"/>
    <n v="786025.91983809404"/>
  </r>
  <r>
    <x v="0"/>
    <x v="0"/>
    <x v="0"/>
    <x v="7"/>
    <x v="15"/>
    <s v="NO5_A1"/>
    <x v="7"/>
    <x v="123"/>
    <x v="0"/>
    <x v="12"/>
    <n v="598.193241885916"/>
    <n v="218340.533288359"/>
    <n v="786025.91983809404"/>
  </r>
  <r>
    <x v="0"/>
    <x v="0"/>
    <x v="0"/>
    <x v="7"/>
    <x v="15"/>
    <s v="NO5_A1"/>
    <x v="7"/>
    <x v="123"/>
    <x v="0"/>
    <x v="13"/>
    <n v="598.193241885916"/>
    <n v="218340.533288359"/>
    <n v="786025.91983809404"/>
  </r>
  <r>
    <x v="0"/>
    <x v="0"/>
    <x v="0"/>
    <x v="7"/>
    <x v="15"/>
    <s v="NO5_A1"/>
    <x v="7"/>
    <x v="123"/>
    <x v="0"/>
    <x v="14"/>
    <n v="598.193241885916"/>
    <n v="218340.533288359"/>
    <n v="786025.91983809404"/>
  </r>
  <r>
    <x v="0"/>
    <x v="0"/>
    <x v="0"/>
    <x v="7"/>
    <x v="15"/>
    <s v="NO5_A1"/>
    <x v="7"/>
    <x v="123"/>
    <x v="0"/>
    <x v="15"/>
    <n v="598.193241885916"/>
    <n v="218340.533288359"/>
    <n v="786025.91983809404"/>
  </r>
  <r>
    <x v="0"/>
    <x v="0"/>
    <x v="0"/>
    <x v="7"/>
    <x v="15"/>
    <s v="NO5_A1"/>
    <x v="7"/>
    <x v="123"/>
    <x v="0"/>
    <x v="16"/>
    <n v="598.193241885916"/>
    <n v="218340.533288359"/>
    <n v="786025.91983809404"/>
  </r>
  <r>
    <x v="0"/>
    <x v="0"/>
    <x v="0"/>
    <x v="7"/>
    <x v="15"/>
    <s v="NO5_A1"/>
    <x v="7"/>
    <x v="123"/>
    <x v="0"/>
    <x v="17"/>
    <n v="598.193241885916"/>
    <n v="218340.533288359"/>
    <n v="786025.91983809404"/>
  </r>
  <r>
    <x v="0"/>
    <x v="0"/>
    <x v="0"/>
    <x v="7"/>
    <x v="15"/>
    <s v="NO5_A1"/>
    <x v="7"/>
    <x v="123"/>
    <x v="0"/>
    <x v="18"/>
    <n v="598.193241885916"/>
    <n v="218340.533288359"/>
    <n v="786025.91983809404"/>
  </r>
  <r>
    <x v="0"/>
    <x v="0"/>
    <x v="0"/>
    <x v="7"/>
    <x v="15"/>
    <s v="NO5_A1"/>
    <x v="7"/>
    <x v="123"/>
    <x v="0"/>
    <x v="19"/>
    <n v="598.193241885916"/>
    <n v="218340.533288359"/>
    <n v="786025.91983809404"/>
  </r>
  <r>
    <x v="0"/>
    <x v="0"/>
    <x v="0"/>
    <x v="7"/>
    <x v="15"/>
    <s v="NO5_A1"/>
    <x v="7"/>
    <x v="123"/>
    <x v="0"/>
    <x v="20"/>
    <n v="598.193241885916"/>
    <n v="218340.533288359"/>
    <n v="786025.91983809404"/>
  </r>
  <r>
    <x v="0"/>
    <x v="0"/>
    <x v="0"/>
    <x v="7"/>
    <x v="15"/>
    <s v="NO5_A1"/>
    <x v="7"/>
    <x v="123"/>
    <x v="0"/>
    <x v="21"/>
    <n v="598.193241885916"/>
    <n v="218340.533288359"/>
    <n v="786025.91983809404"/>
  </r>
  <r>
    <x v="0"/>
    <x v="0"/>
    <x v="0"/>
    <x v="7"/>
    <x v="15"/>
    <s v="NO5_A1"/>
    <x v="7"/>
    <x v="123"/>
    <x v="0"/>
    <x v="22"/>
    <n v="598.193241885916"/>
    <n v="218340.533288359"/>
    <n v="786025.91983809404"/>
  </r>
  <r>
    <x v="0"/>
    <x v="0"/>
    <x v="0"/>
    <x v="7"/>
    <x v="15"/>
    <s v="NO5_A1"/>
    <x v="7"/>
    <x v="123"/>
    <x v="0"/>
    <x v="23"/>
    <n v="598.193241885916"/>
    <n v="218340.533288359"/>
    <n v="786025.91983809404"/>
  </r>
  <r>
    <x v="0"/>
    <x v="0"/>
    <x v="0"/>
    <x v="7"/>
    <x v="15"/>
    <s v="NO5_A1"/>
    <x v="7"/>
    <x v="124"/>
    <x v="0"/>
    <x v="3"/>
    <n v="598.193241885916"/>
    <n v="218340.533288359"/>
    <n v="786025.91983809404"/>
  </r>
  <r>
    <x v="0"/>
    <x v="0"/>
    <x v="0"/>
    <x v="7"/>
    <x v="15"/>
    <s v="NO5_A1"/>
    <x v="7"/>
    <x v="124"/>
    <x v="0"/>
    <x v="4"/>
    <n v="598.193241885916"/>
    <n v="218340.533288359"/>
    <n v="786025.91983809404"/>
  </r>
  <r>
    <x v="0"/>
    <x v="0"/>
    <x v="0"/>
    <x v="7"/>
    <x v="15"/>
    <s v="NO5_A1"/>
    <x v="7"/>
    <x v="124"/>
    <x v="0"/>
    <x v="5"/>
    <n v="598.193241885916"/>
    <n v="218340.533288359"/>
    <n v="786025.91983809404"/>
  </r>
  <r>
    <x v="0"/>
    <x v="0"/>
    <x v="0"/>
    <x v="7"/>
    <x v="15"/>
    <s v="NO5_A1"/>
    <x v="7"/>
    <x v="124"/>
    <x v="0"/>
    <x v="6"/>
    <n v="598.193241885916"/>
    <n v="218340.533288359"/>
    <n v="786025.91983809404"/>
  </r>
  <r>
    <x v="0"/>
    <x v="0"/>
    <x v="0"/>
    <x v="7"/>
    <x v="15"/>
    <s v="NO5_A1"/>
    <x v="7"/>
    <x v="124"/>
    <x v="0"/>
    <x v="7"/>
    <n v="598.193241885916"/>
    <n v="218340.533288359"/>
    <n v="786025.91983809404"/>
  </r>
  <r>
    <x v="0"/>
    <x v="0"/>
    <x v="0"/>
    <x v="7"/>
    <x v="15"/>
    <s v="NO5_A1"/>
    <x v="7"/>
    <x v="124"/>
    <x v="0"/>
    <x v="8"/>
    <n v="598.193241885916"/>
    <n v="218340.533288359"/>
    <n v="786025.91983809404"/>
  </r>
  <r>
    <x v="0"/>
    <x v="0"/>
    <x v="0"/>
    <x v="7"/>
    <x v="15"/>
    <s v="NO5_A1"/>
    <x v="7"/>
    <x v="124"/>
    <x v="0"/>
    <x v="0"/>
    <n v="598.193241885916"/>
    <n v="218340.533288359"/>
    <n v="786025.91983809404"/>
  </r>
  <r>
    <x v="0"/>
    <x v="0"/>
    <x v="0"/>
    <x v="7"/>
    <x v="15"/>
    <s v="NO5_A1"/>
    <x v="7"/>
    <x v="124"/>
    <x v="0"/>
    <x v="1"/>
    <n v="598.193241885916"/>
    <n v="218340.533288359"/>
    <n v="786025.91983809404"/>
  </r>
  <r>
    <x v="0"/>
    <x v="0"/>
    <x v="0"/>
    <x v="7"/>
    <x v="15"/>
    <s v="NO5_A1"/>
    <x v="7"/>
    <x v="124"/>
    <x v="0"/>
    <x v="2"/>
    <n v="598.193241885916"/>
    <n v="218340.533288359"/>
    <n v="786025.91983809404"/>
  </r>
  <r>
    <x v="0"/>
    <x v="0"/>
    <x v="0"/>
    <x v="7"/>
    <x v="15"/>
    <s v="NO5_A1"/>
    <x v="7"/>
    <x v="124"/>
    <x v="0"/>
    <x v="9"/>
    <n v="598.193241885916"/>
    <n v="218340.533288359"/>
    <n v="786025.91983809404"/>
  </r>
  <r>
    <x v="0"/>
    <x v="0"/>
    <x v="0"/>
    <x v="7"/>
    <x v="15"/>
    <s v="NO5_A1"/>
    <x v="7"/>
    <x v="124"/>
    <x v="0"/>
    <x v="10"/>
    <n v="598.193241885916"/>
    <n v="218340.533288359"/>
    <n v="786025.91983809404"/>
  </r>
  <r>
    <x v="0"/>
    <x v="0"/>
    <x v="0"/>
    <x v="7"/>
    <x v="15"/>
    <s v="NO5_A1"/>
    <x v="7"/>
    <x v="124"/>
    <x v="0"/>
    <x v="11"/>
    <n v="598.193241885916"/>
    <n v="218340.533288359"/>
    <n v="786025.91983809404"/>
  </r>
  <r>
    <x v="0"/>
    <x v="0"/>
    <x v="0"/>
    <x v="7"/>
    <x v="15"/>
    <s v="NO5_A1"/>
    <x v="7"/>
    <x v="124"/>
    <x v="0"/>
    <x v="12"/>
    <n v="598.193241885916"/>
    <n v="218340.533288359"/>
    <n v="786025.91983809404"/>
  </r>
  <r>
    <x v="0"/>
    <x v="0"/>
    <x v="0"/>
    <x v="7"/>
    <x v="15"/>
    <s v="NO5_A1"/>
    <x v="7"/>
    <x v="124"/>
    <x v="0"/>
    <x v="13"/>
    <n v="598.193241885916"/>
    <n v="218340.533288359"/>
    <n v="786025.91983809404"/>
  </r>
  <r>
    <x v="0"/>
    <x v="0"/>
    <x v="0"/>
    <x v="7"/>
    <x v="15"/>
    <s v="NO5_A1"/>
    <x v="7"/>
    <x v="124"/>
    <x v="0"/>
    <x v="14"/>
    <n v="598.193241885916"/>
    <n v="218340.533288359"/>
    <n v="786025.91983809404"/>
  </r>
  <r>
    <x v="0"/>
    <x v="0"/>
    <x v="0"/>
    <x v="7"/>
    <x v="15"/>
    <s v="NO5_A1"/>
    <x v="7"/>
    <x v="124"/>
    <x v="0"/>
    <x v="15"/>
    <n v="598.193241885916"/>
    <n v="218340.533288359"/>
    <n v="786025.91983809404"/>
  </r>
  <r>
    <x v="0"/>
    <x v="0"/>
    <x v="0"/>
    <x v="7"/>
    <x v="15"/>
    <s v="NO5_A1"/>
    <x v="7"/>
    <x v="124"/>
    <x v="0"/>
    <x v="16"/>
    <n v="598.193241885916"/>
    <n v="218340.533288359"/>
    <n v="786025.91983809404"/>
  </r>
  <r>
    <x v="0"/>
    <x v="0"/>
    <x v="0"/>
    <x v="7"/>
    <x v="15"/>
    <s v="NO5_A1"/>
    <x v="7"/>
    <x v="124"/>
    <x v="0"/>
    <x v="17"/>
    <n v="598.193241885916"/>
    <n v="218340.533288359"/>
    <n v="786025.91983809404"/>
  </r>
  <r>
    <x v="0"/>
    <x v="0"/>
    <x v="0"/>
    <x v="7"/>
    <x v="15"/>
    <s v="NO5_A1"/>
    <x v="7"/>
    <x v="124"/>
    <x v="0"/>
    <x v="18"/>
    <n v="598.193241885916"/>
    <n v="218340.533288359"/>
    <n v="786025.91983809404"/>
  </r>
  <r>
    <x v="0"/>
    <x v="0"/>
    <x v="0"/>
    <x v="7"/>
    <x v="15"/>
    <s v="NO5_A1"/>
    <x v="7"/>
    <x v="124"/>
    <x v="0"/>
    <x v="19"/>
    <n v="598.193241885916"/>
    <n v="218340.533288359"/>
    <n v="786025.91983809404"/>
  </r>
  <r>
    <x v="0"/>
    <x v="0"/>
    <x v="0"/>
    <x v="7"/>
    <x v="15"/>
    <s v="NO5_A1"/>
    <x v="7"/>
    <x v="124"/>
    <x v="0"/>
    <x v="20"/>
    <n v="598.193241885916"/>
    <n v="218340.533288359"/>
    <n v="786025.91983809404"/>
  </r>
  <r>
    <x v="0"/>
    <x v="0"/>
    <x v="0"/>
    <x v="7"/>
    <x v="15"/>
    <s v="NO5_A1"/>
    <x v="7"/>
    <x v="124"/>
    <x v="0"/>
    <x v="21"/>
    <n v="598.193241885916"/>
    <n v="218340.533288359"/>
    <n v="786025.91983809404"/>
  </r>
  <r>
    <x v="0"/>
    <x v="0"/>
    <x v="0"/>
    <x v="7"/>
    <x v="15"/>
    <s v="NO5_A1"/>
    <x v="7"/>
    <x v="124"/>
    <x v="0"/>
    <x v="22"/>
    <n v="598.193241885916"/>
    <n v="218340.533288359"/>
    <n v="786025.91983809404"/>
  </r>
  <r>
    <x v="0"/>
    <x v="0"/>
    <x v="0"/>
    <x v="7"/>
    <x v="15"/>
    <s v="NO5_A1"/>
    <x v="7"/>
    <x v="124"/>
    <x v="0"/>
    <x v="23"/>
    <n v="598.193241885916"/>
    <n v="218340.533288359"/>
    <n v="786025.91983809404"/>
  </r>
  <r>
    <x v="0"/>
    <x v="0"/>
    <x v="0"/>
    <x v="7"/>
    <x v="15"/>
    <s v="NO5_A1"/>
    <x v="7"/>
    <x v="125"/>
    <x v="0"/>
    <x v="3"/>
    <n v="598.193241885916"/>
    <n v="218340.533288359"/>
    <n v="786025.91983809404"/>
  </r>
  <r>
    <x v="0"/>
    <x v="0"/>
    <x v="0"/>
    <x v="7"/>
    <x v="15"/>
    <s v="NO5_A1"/>
    <x v="7"/>
    <x v="125"/>
    <x v="0"/>
    <x v="4"/>
    <n v="598.193241885916"/>
    <n v="218340.533288359"/>
    <n v="786025.91983809404"/>
  </r>
  <r>
    <x v="0"/>
    <x v="0"/>
    <x v="0"/>
    <x v="7"/>
    <x v="15"/>
    <s v="NO5_A1"/>
    <x v="7"/>
    <x v="125"/>
    <x v="0"/>
    <x v="5"/>
    <n v="598.193241885916"/>
    <n v="218340.533288359"/>
    <n v="786025.91983809404"/>
  </r>
  <r>
    <x v="0"/>
    <x v="0"/>
    <x v="0"/>
    <x v="7"/>
    <x v="15"/>
    <s v="NO5_A1"/>
    <x v="7"/>
    <x v="125"/>
    <x v="0"/>
    <x v="6"/>
    <n v="598.193241885916"/>
    <n v="218340.533288359"/>
    <n v="786025.91983809404"/>
  </r>
  <r>
    <x v="0"/>
    <x v="0"/>
    <x v="0"/>
    <x v="7"/>
    <x v="15"/>
    <s v="NO5_A1"/>
    <x v="7"/>
    <x v="125"/>
    <x v="0"/>
    <x v="7"/>
    <n v="598.193241885916"/>
    <n v="218340.533288359"/>
    <n v="786025.91983809404"/>
  </r>
  <r>
    <x v="0"/>
    <x v="0"/>
    <x v="0"/>
    <x v="7"/>
    <x v="15"/>
    <s v="NO5_A1"/>
    <x v="7"/>
    <x v="125"/>
    <x v="0"/>
    <x v="8"/>
    <n v="598.193241885916"/>
    <n v="218340.533288359"/>
    <n v="786025.91983809404"/>
  </r>
  <r>
    <x v="0"/>
    <x v="0"/>
    <x v="0"/>
    <x v="7"/>
    <x v="15"/>
    <s v="NO5_A1"/>
    <x v="7"/>
    <x v="125"/>
    <x v="0"/>
    <x v="0"/>
    <n v="598.193241885916"/>
    <n v="218340.533288359"/>
    <n v="786025.91983809404"/>
  </r>
  <r>
    <x v="0"/>
    <x v="0"/>
    <x v="0"/>
    <x v="7"/>
    <x v="15"/>
    <s v="NO5_A1"/>
    <x v="7"/>
    <x v="125"/>
    <x v="0"/>
    <x v="1"/>
    <n v="598.193241885916"/>
    <n v="218340.533288359"/>
    <n v="786025.91983809404"/>
  </r>
  <r>
    <x v="0"/>
    <x v="0"/>
    <x v="0"/>
    <x v="7"/>
    <x v="15"/>
    <s v="NO5_A1"/>
    <x v="7"/>
    <x v="125"/>
    <x v="0"/>
    <x v="2"/>
    <n v="598.193241885916"/>
    <n v="218340.533288359"/>
    <n v="786025.91983809404"/>
  </r>
  <r>
    <x v="0"/>
    <x v="0"/>
    <x v="0"/>
    <x v="7"/>
    <x v="15"/>
    <s v="NO5_A1"/>
    <x v="7"/>
    <x v="125"/>
    <x v="0"/>
    <x v="9"/>
    <n v="598.193241885916"/>
    <n v="218340.533288359"/>
    <n v="786025.91983809404"/>
  </r>
  <r>
    <x v="0"/>
    <x v="0"/>
    <x v="0"/>
    <x v="7"/>
    <x v="15"/>
    <s v="NO5_A1"/>
    <x v="7"/>
    <x v="125"/>
    <x v="0"/>
    <x v="10"/>
    <n v="598.193241885916"/>
    <n v="218340.533288359"/>
    <n v="786025.91983809404"/>
  </r>
  <r>
    <x v="0"/>
    <x v="0"/>
    <x v="0"/>
    <x v="7"/>
    <x v="15"/>
    <s v="NO5_A1"/>
    <x v="7"/>
    <x v="125"/>
    <x v="0"/>
    <x v="11"/>
    <n v="598.193241885916"/>
    <n v="218340.533288359"/>
    <n v="786025.91983809404"/>
  </r>
  <r>
    <x v="0"/>
    <x v="0"/>
    <x v="0"/>
    <x v="7"/>
    <x v="15"/>
    <s v="NO5_A1"/>
    <x v="7"/>
    <x v="125"/>
    <x v="0"/>
    <x v="12"/>
    <n v="598.193241885916"/>
    <n v="218340.533288359"/>
    <n v="786025.91983809404"/>
  </r>
  <r>
    <x v="0"/>
    <x v="0"/>
    <x v="0"/>
    <x v="7"/>
    <x v="15"/>
    <s v="NO5_A1"/>
    <x v="7"/>
    <x v="125"/>
    <x v="0"/>
    <x v="13"/>
    <n v="598.193241885916"/>
    <n v="218340.533288359"/>
    <n v="786025.91983809404"/>
  </r>
  <r>
    <x v="0"/>
    <x v="0"/>
    <x v="0"/>
    <x v="7"/>
    <x v="15"/>
    <s v="NO5_A1"/>
    <x v="7"/>
    <x v="125"/>
    <x v="0"/>
    <x v="14"/>
    <n v="598.193241885916"/>
    <n v="218340.533288359"/>
    <n v="786025.91983809404"/>
  </r>
  <r>
    <x v="0"/>
    <x v="0"/>
    <x v="0"/>
    <x v="7"/>
    <x v="15"/>
    <s v="NO5_A1"/>
    <x v="7"/>
    <x v="125"/>
    <x v="0"/>
    <x v="15"/>
    <n v="598.193241885916"/>
    <n v="218340.533288359"/>
    <n v="786025.91983809404"/>
  </r>
  <r>
    <x v="0"/>
    <x v="0"/>
    <x v="0"/>
    <x v="7"/>
    <x v="15"/>
    <s v="NO5_A1"/>
    <x v="7"/>
    <x v="125"/>
    <x v="0"/>
    <x v="16"/>
    <n v="598.193241885916"/>
    <n v="218340.533288359"/>
    <n v="786025.91983809404"/>
  </r>
  <r>
    <x v="0"/>
    <x v="0"/>
    <x v="0"/>
    <x v="7"/>
    <x v="15"/>
    <s v="NO5_A1"/>
    <x v="7"/>
    <x v="125"/>
    <x v="0"/>
    <x v="17"/>
    <n v="598.193241885916"/>
    <n v="218340.533288359"/>
    <n v="786025.91983809404"/>
  </r>
  <r>
    <x v="0"/>
    <x v="0"/>
    <x v="0"/>
    <x v="7"/>
    <x v="15"/>
    <s v="NO5_A1"/>
    <x v="7"/>
    <x v="125"/>
    <x v="0"/>
    <x v="18"/>
    <n v="598.193241885916"/>
    <n v="218340.533288359"/>
    <n v="786025.91983809404"/>
  </r>
  <r>
    <x v="0"/>
    <x v="0"/>
    <x v="0"/>
    <x v="7"/>
    <x v="15"/>
    <s v="NO5_A1"/>
    <x v="7"/>
    <x v="125"/>
    <x v="0"/>
    <x v="19"/>
    <n v="598.193241885916"/>
    <n v="218340.533288359"/>
    <n v="786025.91983809404"/>
  </r>
  <r>
    <x v="0"/>
    <x v="0"/>
    <x v="0"/>
    <x v="7"/>
    <x v="15"/>
    <s v="NO5_A1"/>
    <x v="7"/>
    <x v="125"/>
    <x v="0"/>
    <x v="20"/>
    <n v="598.193241885916"/>
    <n v="218340.533288359"/>
    <n v="786025.91983809404"/>
  </r>
  <r>
    <x v="0"/>
    <x v="0"/>
    <x v="0"/>
    <x v="7"/>
    <x v="15"/>
    <s v="NO5_A1"/>
    <x v="7"/>
    <x v="125"/>
    <x v="0"/>
    <x v="21"/>
    <n v="598.193241885916"/>
    <n v="218340.533288359"/>
    <n v="786025.91983809404"/>
  </r>
  <r>
    <x v="0"/>
    <x v="0"/>
    <x v="0"/>
    <x v="7"/>
    <x v="15"/>
    <s v="NO5_A1"/>
    <x v="7"/>
    <x v="125"/>
    <x v="0"/>
    <x v="22"/>
    <n v="598.193241885916"/>
    <n v="218340.533288359"/>
    <n v="786025.91983809404"/>
  </r>
  <r>
    <x v="0"/>
    <x v="0"/>
    <x v="0"/>
    <x v="7"/>
    <x v="15"/>
    <s v="NO5_A1"/>
    <x v="7"/>
    <x v="125"/>
    <x v="0"/>
    <x v="23"/>
    <n v="598.193241885916"/>
    <n v="218340.533288359"/>
    <n v="786025.91983809404"/>
  </r>
  <r>
    <x v="0"/>
    <x v="0"/>
    <x v="0"/>
    <x v="7"/>
    <x v="15"/>
    <s v="NO5_A1"/>
    <x v="7"/>
    <x v="126"/>
    <x v="0"/>
    <x v="3"/>
    <n v="317.036705651104"/>
    <n v="115718.397562653"/>
    <n v="416586.23122555"/>
  </r>
  <r>
    <x v="0"/>
    <x v="0"/>
    <x v="0"/>
    <x v="7"/>
    <x v="15"/>
    <s v="NO5_A1"/>
    <x v="7"/>
    <x v="126"/>
    <x v="0"/>
    <x v="4"/>
    <n v="274.29378355475302"/>
    <n v="100117.23099748501"/>
    <n v="360422.03159094602"/>
  </r>
  <r>
    <x v="0"/>
    <x v="0"/>
    <x v="0"/>
    <x v="7"/>
    <x v="15"/>
    <s v="NO5_A1"/>
    <x v="7"/>
    <x v="126"/>
    <x v="0"/>
    <x v="5"/>
    <n v="258.21711652673798"/>
    <n v="94249.247532259295"/>
    <n v="339297.29111613298"/>
  </r>
  <r>
    <x v="0"/>
    <x v="0"/>
    <x v="0"/>
    <x v="7"/>
    <x v="15"/>
    <s v="NO5_A1"/>
    <x v="7"/>
    <x v="126"/>
    <x v="0"/>
    <x v="6"/>
    <n v="272.42827262900499"/>
    <n v="99436.319509586901"/>
    <n v="357970.75023451302"/>
  </r>
  <r>
    <x v="0"/>
    <x v="0"/>
    <x v="0"/>
    <x v="7"/>
    <x v="15"/>
    <s v="NO5_A1"/>
    <x v="7"/>
    <x v="126"/>
    <x v="0"/>
    <x v="7"/>
    <n v="302.669204429334"/>
    <n v="110474.259616707"/>
    <n v="397707.33462014497"/>
  </r>
  <r>
    <x v="0"/>
    <x v="0"/>
    <x v="0"/>
    <x v="7"/>
    <x v="15"/>
    <s v="NO5_A1"/>
    <x v="7"/>
    <x v="126"/>
    <x v="0"/>
    <x v="8"/>
    <n v="364.813342506303"/>
    <n v="133156.87001480101"/>
    <n v="479364.73205328197"/>
  </r>
  <r>
    <x v="0"/>
    <x v="0"/>
    <x v="0"/>
    <x v="7"/>
    <x v="15"/>
    <s v="NO5_A1"/>
    <x v="7"/>
    <x v="126"/>
    <x v="0"/>
    <x v="0"/>
    <n v="475.88260353387199"/>
    <n v="173697.150289863"/>
    <n v="625309.74104350805"/>
  </r>
  <r>
    <x v="0"/>
    <x v="0"/>
    <x v="0"/>
    <x v="7"/>
    <x v="15"/>
    <s v="NO5_A1"/>
    <x v="7"/>
    <x v="126"/>
    <x v="0"/>
    <x v="1"/>
    <n v="598.193241885916"/>
    <n v="218340.533288359"/>
    <n v="786025.91983809404"/>
  </r>
  <r>
    <x v="0"/>
    <x v="0"/>
    <x v="0"/>
    <x v="7"/>
    <x v="15"/>
    <s v="NO5_A1"/>
    <x v="7"/>
    <x v="126"/>
    <x v="0"/>
    <x v="2"/>
    <n v="598.193241885916"/>
    <n v="218340.533288359"/>
    <n v="786025.91983809404"/>
  </r>
  <r>
    <x v="0"/>
    <x v="0"/>
    <x v="0"/>
    <x v="7"/>
    <x v="15"/>
    <s v="NO5_A1"/>
    <x v="7"/>
    <x v="126"/>
    <x v="0"/>
    <x v="9"/>
    <n v="598.193241885916"/>
    <n v="218340.533288359"/>
    <n v="786025.91983809404"/>
  </r>
  <r>
    <x v="0"/>
    <x v="0"/>
    <x v="0"/>
    <x v="7"/>
    <x v="15"/>
    <s v="NO5_A1"/>
    <x v="7"/>
    <x v="126"/>
    <x v="0"/>
    <x v="10"/>
    <n v="598.193241885916"/>
    <n v="218340.533288359"/>
    <n v="786025.91983809404"/>
  </r>
  <r>
    <x v="0"/>
    <x v="0"/>
    <x v="0"/>
    <x v="7"/>
    <x v="15"/>
    <s v="NO5_A1"/>
    <x v="7"/>
    <x v="126"/>
    <x v="0"/>
    <x v="11"/>
    <n v="598.193241885916"/>
    <n v="218340.533288359"/>
    <n v="786025.91983809404"/>
  </r>
  <r>
    <x v="0"/>
    <x v="0"/>
    <x v="0"/>
    <x v="7"/>
    <x v="15"/>
    <s v="NO5_A1"/>
    <x v="7"/>
    <x v="126"/>
    <x v="0"/>
    <x v="12"/>
    <n v="598.193241885916"/>
    <n v="218340.533288359"/>
    <n v="786025.91983809404"/>
  </r>
  <r>
    <x v="0"/>
    <x v="0"/>
    <x v="0"/>
    <x v="7"/>
    <x v="15"/>
    <s v="NO5_A1"/>
    <x v="7"/>
    <x v="126"/>
    <x v="0"/>
    <x v="13"/>
    <n v="598.193241885916"/>
    <n v="218340.533288359"/>
    <n v="786025.91983809404"/>
  </r>
  <r>
    <x v="0"/>
    <x v="0"/>
    <x v="0"/>
    <x v="7"/>
    <x v="15"/>
    <s v="NO5_A1"/>
    <x v="7"/>
    <x v="126"/>
    <x v="0"/>
    <x v="14"/>
    <n v="598.193241885916"/>
    <n v="218340.533288359"/>
    <n v="786025.91983809404"/>
  </r>
  <r>
    <x v="0"/>
    <x v="0"/>
    <x v="0"/>
    <x v="7"/>
    <x v="15"/>
    <s v="NO5_A1"/>
    <x v="7"/>
    <x v="126"/>
    <x v="0"/>
    <x v="15"/>
    <n v="598.193241885916"/>
    <n v="218340.533288359"/>
    <n v="786025.91983809404"/>
  </r>
  <r>
    <x v="0"/>
    <x v="0"/>
    <x v="0"/>
    <x v="7"/>
    <x v="15"/>
    <s v="NO5_A1"/>
    <x v="7"/>
    <x v="126"/>
    <x v="0"/>
    <x v="16"/>
    <n v="598.193241885916"/>
    <n v="218340.533288359"/>
    <n v="786025.91983809404"/>
  </r>
  <r>
    <x v="0"/>
    <x v="0"/>
    <x v="0"/>
    <x v="7"/>
    <x v="15"/>
    <s v="NO5_A1"/>
    <x v="7"/>
    <x v="126"/>
    <x v="0"/>
    <x v="17"/>
    <n v="585.74295431398605"/>
    <n v="213796.17832460499"/>
    <n v="769666.24196857796"/>
  </r>
  <r>
    <x v="0"/>
    <x v="0"/>
    <x v="0"/>
    <x v="7"/>
    <x v="15"/>
    <s v="NO5_A1"/>
    <x v="7"/>
    <x v="126"/>
    <x v="0"/>
    <x v="18"/>
    <n v="567.87894891996496"/>
    <n v="207275.81635578701"/>
    <n v="746192.93888083403"/>
  </r>
  <r>
    <x v="0"/>
    <x v="0"/>
    <x v="0"/>
    <x v="7"/>
    <x v="15"/>
    <s v="NO5_A1"/>
    <x v="7"/>
    <x v="126"/>
    <x v="0"/>
    <x v="19"/>
    <n v="560.46801213251604"/>
    <n v="204570.82442836801"/>
    <n v="736454.96794212598"/>
  </r>
  <r>
    <x v="0"/>
    <x v="0"/>
    <x v="0"/>
    <x v="7"/>
    <x v="15"/>
    <s v="NO5_A1"/>
    <x v="7"/>
    <x v="126"/>
    <x v="0"/>
    <x v="20"/>
    <n v="537.852709113125"/>
    <n v="196316.238826291"/>
    <n v="706738.45977464598"/>
  </r>
  <r>
    <x v="0"/>
    <x v="0"/>
    <x v="0"/>
    <x v="7"/>
    <x v="15"/>
    <s v="NO5_A1"/>
    <x v="7"/>
    <x v="126"/>
    <x v="0"/>
    <x v="21"/>
    <n v="478.618337977637"/>
    <n v="174695.693361838"/>
    <n v="628904.49610261503"/>
  </r>
  <r>
    <x v="0"/>
    <x v="0"/>
    <x v="0"/>
    <x v="7"/>
    <x v="15"/>
    <s v="NO5_A1"/>
    <x v="7"/>
    <x v="126"/>
    <x v="0"/>
    <x v="22"/>
    <n v="435.882716869224"/>
    <n v="159097.19165726699"/>
    <n v="572749.88996615994"/>
  </r>
  <r>
    <x v="0"/>
    <x v="0"/>
    <x v="0"/>
    <x v="7"/>
    <x v="15"/>
    <s v="NO5_A1"/>
    <x v="7"/>
    <x v="126"/>
    <x v="0"/>
    <x v="23"/>
    <n v="362.43926690953498"/>
    <n v="132290.33242198001"/>
    <n v="476245.19671912899"/>
  </r>
  <r>
    <x v="0"/>
    <x v="0"/>
    <x v="0"/>
    <x v="7"/>
    <x v="15"/>
    <s v="NO5_A1"/>
    <x v="7"/>
    <x v="127"/>
    <x v="0"/>
    <x v="1"/>
    <n v="33.753702910762001"/>
    <n v="12320.101562428101"/>
    <n v="44352.365624741302"/>
  </r>
  <r>
    <x v="0"/>
    <x v="0"/>
    <x v="0"/>
    <x v="7"/>
    <x v="15"/>
    <s v="NO5_A1"/>
    <x v="7"/>
    <x v="127"/>
    <x v="0"/>
    <x v="2"/>
    <n v="98.463697489903495"/>
    <n v="35939.249583814802"/>
    <n v="129381.29850173301"/>
  </r>
  <r>
    <x v="0"/>
    <x v="0"/>
    <x v="0"/>
    <x v="7"/>
    <x v="15"/>
    <s v="NO5_A1"/>
    <x v="7"/>
    <x v="127"/>
    <x v="0"/>
    <x v="9"/>
    <n v="76.317368799525397"/>
    <n v="27855.839611826799"/>
    <n v="100281.02260257601"/>
  </r>
  <r>
    <x v="0"/>
    <x v="0"/>
    <x v="0"/>
    <x v="7"/>
    <x v="15"/>
    <s v="NO5_A1"/>
    <x v="7"/>
    <x v="127"/>
    <x v="0"/>
    <x v="10"/>
    <n v="56.805690905076901"/>
    <n v="20734.077180353099"/>
    <n v="74642.677849271102"/>
  </r>
  <r>
    <x v="0"/>
    <x v="0"/>
    <x v="0"/>
    <x v="7"/>
    <x v="15"/>
    <s v="NO5_A1"/>
    <x v="7"/>
    <x v="127"/>
    <x v="0"/>
    <x v="11"/>
    <n v="45.211437191041497"/>
    <n v="16502.174574730201"/>
    <n v="59407.8284690285"/>
  </r>
  <r>
    <x v="0"/>
    <x v="0"/>
    <x v="0"/>
    <x v="7"/>
    <x v="15"/>
    <s v="NO5_A1"/>
    <x v="7"/>
    <x v="127"/>
    <x v="0"/>
    <x v="12"/>
    <n v="19.6676106981899"/>
    <n v="7178.67790483931"/>
    <n v="25843.2404574215"/>
  </r>
  <r>
    <x v="0"/>
    <x v="0"/>
    <x v="0"/>
    <x v="7"/>
    <x v="15"/>
    <s v="NO5_A1"/>
    <x v="7"/>
    <x v="127"/>
    <x v="0"/>
    <x v="13"/>
    <n v="20.0188221254352"/>
    <n v="7306.8700757838396"/>
    <n v="26304.732272821799"/>
  </r>
  <r>
    <x v="0"/>
    <x v="0"/>
    <x v="0"/>
    <x v="7"/>
    <x v="15"/>
    <s v="NO5_A1"/>
    <x v="7"/>
    <x v="127"/>
    <x v="0"/>
    <x v="14"/>
    <n v="12.834032875527001"/>
    <n v="4684.4219995673702"/>
    <n v="16863.919198442502"/>
  </r>
  <r>
    <x v="0"/>
    <x v="0"/>
    <x v="0"/>
    <x v="7"/>
    <x v="15"/>
    <s v="NO5_A1"/>
    <x v="7"/>
    <x v="127"/>
    <x v="0"/>
    <x v="15"/>
    <n v="6.6184735134233401"/>
    <n v="2415.74283239952"/>
    <n v="8696.6741966382706"/>
  </r>
  <r>
    <x v="0"/>
    <x v="0"/>
    <x v="0"/>
    <x v="7"/>
    <x v="15"/>
    <s v="NO5_A1"/>
    <x v="7"/>
    <x v="127"/>
    <x v="0"/>
    <x v="16"/>
    <n v="23.279800494161901"/>
    <n v="8497.1271803690797"/>
    <n v="30589.657849328702"/>
  </r>
  <r>
    <x v="0"/>
    <x v="0"/>
    <x v="0"/>
    <x v="7"/>
    <x v="15"/>
    <s v="NO5_A1"/>
    <x v="7"/>
    <x v="209"/>
    <x v="0"/>
    <x v="3"/>
    <n v="444"/>
    <n v="162060"/>
    <n v="583416"/>
  </r>
  <r>
    <x v="0"/>
    <x v="0"/>
    <x v="0"/>
    <x v="7"/>
    <x v="15"/>
    <s v="NO5_A1"/>
    <x v="7"/>
    <x v="209"/>
    <x v="0"/>
    <x v="4"/>
    <n v="444"/>
    <n v="162060"/>
    <n v="583416"/>
  </r>
  <r>
    <x v="0"/>
    <x v="0"/>
    <x v="0"/>
    <x v="7"/>
    <x v="15"/>
    <s v="NO5_A1"/>
    <x v="7"/>
    <x v="209"/>
    <x v="0"/>
    <x v="5"/>
    <n v="444"/>
    <n v="162060"/>
    <n v="583416"/>
  </r>
  <r>
    <x v="0"/>
    <x v="0"/>
    <x v="0"/>
    <x v="7"/>
    <x v="15"/>
    <s v="NO5_A1"/>
    <x v="7"/>
    <x v="209"/>
    <x v="0"/>
    <x v="6"/>
    <n v="444"/>
    <n v="162060"/>
    <n v="583416"/>
  </r>
  <r>
    <x v="0"/>
    <x v="0"/>
    <x v="0"/>
    <x v="7"/>
    <x v="15"/>
    <s v="NO5_A1"/>
    <x v="7"/>
    <x v="209"/>
    <x v="0"/>
    <x v="7"/>
    <n v="444"/>
    <n v="162060"/>
    <n v="583416"/>
  </r>
  <r>
    <x v="0"/>
    <x v="0"/>
    <x v="0"/>
    <x v="7"/>
    <x v="15"/>
    <s v="NO5_A1"/>
    <x v="7"/>
    <x v="209"/>
    <x v="0"/>
    <x v="8"/>
    <n v="444"/>
    <n v="162060"/>
    <n v="583416"/>
  </r>
  <r>
    <x v="0"/>
    <x v="0"/>
    <x v="0"/>
    <x v="7"/>
    <x v="15"/>
    <s v="NO5_A1"/>
    <x v="7"/>
    <x v="209"/>
    <x v="0"/>
    <x v="0"/>
    <n v="444"/>
    <n v="162060"/>
    <n v="583416"/>
  </r>
  <r>
    <x v="0"/>
    <x v="0"/>
    <x v="0"/>
    <x v="7"/>
    <x v="15"/>
    <s v="NO5_A1"/>
    <x v="7"/>
    <x v="209"/>
    <x v="0"/>
    <x v="1"/>
    <n v="444"/>
    <n v="162060"/>
    <n v="583416"/>
  </r>
  <r>
    <x v="0"/>
    <x v="0"/>
    <x v="0"/>
    <x v="7"/>
    <x v="15"/>
    <s v="NO5_A1"/>
    <x v="7"/>
    <x v="209"/>
    <x v="0"/>
    <x v="2"/>
    <n v="444"/>
    <n v="162060"/>
    <n v="583416"/>
  </r>
  <r>
    <x v="0"/>
    <x v="0"/>
    <x v="0"/>
    <x v="7"/>
    <x v="15"/>
    <s v="NO5_A1"/>
    <x v="7"/>
    <x v="209"/>
    <x v="0"/>
    <x v="9"/>
    <n v="444"/>
    <n v="162060"/>
    <n v="583416"/>
  </r>
  <r>
    <x v="0"/>
    <x v="0"/>
    <x v="0"/>
    <x v="7"/>
    <x v="15"/>
    <s v="NO5_A1"/>
    <x v="7"/>
    <x v="209"/>
    <x v="0"/>
    <x v="10"/>
    <n v="444"/>
    <n v="162060"/>
    <n v="583416"/>
  </r>
  <r>
    <x v="0"/>
    <x v="0"/>
    <x v="0"/>
    <x v="7"/>
    <x v="15"/>
    <s v="NO5_A1"/>
    <x v="7"/>
    <x v="209"/>
    <x v="0"/>
    <x v="11"/>
    <n v="444"/>
    <n v="162060"/>
    <n v="583416"/>
  </r>
  <r>
    <x v="0"/>
    <x v="0"/>
    <x v="0"/>
    <x v="7"/>
    <x v="15"/>
    <s v="NO5_A1"/>
    <x v="7"/>
    <x v="209"/>
    <x v="0"/>
    <x v="12"/>
    <n v="444"/>
    <n v="162060"/>
    <n v="583416"/>
  </r>
  <r>
    <x v="0"/>
    <x v="0"/>
    <x v="0"/>
    <x v="7"/>
    <x v="15"/>
    <s v="NO5_A1"/>
    <x v="7"/>
    <x v="209"/>
    <x v="0"/>
    <x v="13"/>
    <n v="444"/>
    <n v="162060"/>
    <n v="583416"/>
  </r>
  <r>
    <x v="0"/>
    <x v="0"/>
    <x v="0"/>
    <x v="7"/>
    <x v="15"/>
    <s v="NO5_A1"/>
    <x v="7"/>
    <x v="209"/>
    <x v="0"/>
    <x v="14"/>
    <n v="444"/>
    <n v="162060"/>
    <n v="583416"/>
  </r>
  <r>
    <x v="0"/>
    <x v="0"/>
    <x v="0"/>
    <x v="7"/>
    <x v="15"/>
    <s v="NO5_A1"/>
    <x v="7"/>
    <x v="209"/>
    <x v="0"/>
    <x v="15"/>
    <n v="444"/>
    <n v="162060"/>
    <n v="583416"/>
  </r>
  <r>
    <x v="0"/>
    <x v="0"/>
    <x v="0"/>
    <x v="7"/>
    <x v="15"/>
    <s v="NO5_A1"/>
    <x v="7"/>
    <x v="209"/>
    <x v="0"/>
    <x v="16"/>
    <n v="444"/>
    <n v="162060"/>
    <n v="583416"/>
  </r>
  <r>
    <x v="0"/>
    <x v="0"/>
    <x v="0"/>
    <x v="7"/>
    <x v="15"/>
    <s v="NO5_A1"/>
    <x v="7"/>
    <x v="209"/>
    <x v="0"/>
    <x v="17"/>
    <n v="444"/>
    <n v="162060"/>
    <n v="583416"/>
  </r>
  <r>
    <x v="0"/>
    <x v="0"/>
    <x v="0"/>
    <x v="7"/>
    <x v="15"/>
    <s v="NO5_A1"/>
    <x v="7"/>
    <x v="209"/>
    <x v="0"/>
    <x v="18"/>
    <n v="444"/>
    <n v="162060"/>
    <n v="583416"/>
  </r>
  <r>
    <x v="0"/>
    <x v="0"/>
    <x v="0"/>
    <x v="7"/>
    <x v="15"/>
    <s v="NO5_A1"/>
    <x v="7"/>
    <x v="209"/>
    <x v="0"/>
    <x v="19"/>
    <n v="444"/>
    <n v="162060"/>
    <n v="583416"/>
  </r>
  <r>
    <x v="0"/>
    <x v="0"/>
    <x v="0"/>
    <x v="7"/>
    <x v="15"/>
    <s v="NO5_A1"/>
    <x v="7"/>
    <x v="209"/>
    <x v="0"/>
    <x v="20"/>
    <n v="444"/>
    <n v="162060"/>
    <n v="583416"/>
  </r>
  <r>
    <x v="0"/>
    <x v="0"/>
    <x v="0"/>
    <x v="7"/>
    <x v="15"/>
    <s v="NO5_A1"/>
    <x v="7"/>
    <x v="209"/>
    <x v="0"/>
    <x v="21"/>
    <n v="444"/>
    <n v="162060"/>
    <n v="583416"/>
  </r>
  <r>
    <x v="0"/>
    <x v="0"/>
    <x v="0"/>
    <x v="7"/>
    <x v="15"/>
    <s v="NO5_A1"/>
    <x v="7"/>
    <x v="209"/>
    <x v="0"/>
    <x v="22"/>
    <n v="444"/>
    <n v="162060"/>
    <n v="583416"/>
  </r>
  <r>
    <x v="0"/>
    <x v="0"/>
    <x v="0"/>
    <x v="7"/>
    <x v="15"/>
    <s v="NO5_A1"/>
    <x v="7"/>
    <x v="209"/>
    <x v="0"/>
    <x v="23"/>
    <n v="444"/>
    <n v="162060"/>
    <n v="583416"/>
  </r>
  <r>
    <x v="0"/>
    <x v="0"/>
    <x v="0"/>
    <x v="7"/>
    <x v="15"/>
    <s v="NO5_A1"/>
    <x v="7"/>
    <x v="46"/>
    <x v="0"/>
    <x v="3"/>
    <n v="1077.1597801871801"/>
    <n v="393163.31976832001"/>
    <n v="1415387.9511659499"/>
  </r>
  <r>
    <x v="0"/>
    <x v="0"/>
    <x v="0"/>
    <x v="7"/>
    <x v="15"/>
    <s v="NO5_A1"/>
    <x v="7"/>
    <x v="46"/>
    <x v="0"/>
    <x v="4"/>
    <n v="1077.1597801871801"/>
    <n v="393163.31976832001"/>
    <n v="1415387.9511659499"/>
  </r>
  <r>
    <x v="0"/>
    <x v="0"/>
    <x v="0"/>
    <x v="7"/>
    <x v="15"/>
    <s v="NO5_A1"/>
    <x v="7"/>
    <x v="46"/>
    <x v="0"/>
    <x v="5"/>
    <n v="1077.1597801871801"/>
    <n v="393163.31976832001"/>
    <n v="1415387.9511659499"/>
  </r>
  <r>
    <x v="0"/>
    <x v="0"/>
    <x v="0"/>
    <x v="7"/>
    <x v="15"/>
    <s v="NO5_A1"/>
    <x v="7"/>
    <x v="46"/>
    <x v="0"/>
    <x v="6"/>
    <n v="1077.1597801871801"/>
    <n v="393163.31976832001"/>
    <n v="1415387.9511659499"/>
  </r>
  <r>
    <x v="0"/>
    <x v="0"/>
    <x v="0"/>
    <x v="7"/>
    <x v="15"/>
    <s v="NO5_A1"/>
    <x v="7"/>
    <x v="46"/>
    <x v="0"/>
    <x v="7"/>
    <n v="1077.1597801871801"/>
    <n v="393163.31976832001"/>
    <n v="1415387.9511659499"/>
  </r>
  <r>
    <x v="0"/>
    <x v="0"/>
    <x v="0"/>
    <x v="7"/>
    <x v="15"/>
    <s v="NO5_A1"/>
    <x v="7"/>
    <x v="46"/>
    <x v="0"/>
    <x v="8"/>
    <n v="1077.1597801871801"/>
    <n v="393163.31976832001"/>
    <n v="1415387.9511659499"/>
  </r>
  <r>
    <x v="0"/>
    <x v="0"/>
    <x v="0"/>
    <x v="7"/>
    <x v="15"/>
    <s v="NO5_A1"/>
    <x v="7"/>
    <x v="46"/>
    <x v="0"/>
    <x v="0"/>
    <n v="1077.1597801871801"/>
    <n v="393163.31976832001"/>
    <n v="1415387.9511659499"/>
  </r>
  <r>
    <x v="0"/>
    <x v="0"/>
    <x v="0"/>
    <x v="7"/>
    <x v="15"/>
    <s v="NO5_A1"/>
    <x v="7"/>
    <x v="46"/>
    <x v="0"/>
    <x v="1"/>
    <n v="1077.1597801871801"/>
    <n v="393163.31976832001"/>
    <n v="1415387.9511659499"/>
  </r>
  <r>
    <x v="0"/>
    <x v="0"/>
    <x v="0"/>
    <x v="7"/>
    <x v="15"/>
    <s v="NO5_A1"/>
    <x v="7"/>
    <x v="46"/>
    <x v="0"/>
    <x v="2"/>
    <n v="1077.1597801871801"/>
    <n v="393163.31976832001"/>
    <n v="1415387.9511659499"/>
  </r>
  <r>
    <x v="0"/>
    <x v="0"/>
    <x v="0"/>
    <x v="7"/>
    <x v="15"/>
    <s v="NO5_A1"/>
    <x v="7"/>
    <x v="46"/>
    <x v="0"/>
    <x v="9"/>
    <n v="1077.1597801871801"/>
    <n v="393163.31976832001"/>
    <n v="1415387.9511659499"/>
  </r>
  <r>
    <x v="0"/>
    <x v="0"/>
    <x v="0"/>
    <x v="7"/>
    <x v="15"/>
    <s v="NO5_A1"/>
    <x v="7"/>
    <x v="46"/>
    <x v="0"/>
    <x v="10"/>
    <n v="1077.1597801871801"/>
    <n v="393163.31976832001"/>
    <n v="1415387.9511659499"/>
  </r>
  <r>
    <x v="0"/>
    <x v="0"/>
    <x v="0"/>
    <x v="7"/>
    <x v="15"/>
    <s v="NO5_A1"/>
    <x v="7"/>
    <x v="46"/>
    <x v="0"/>
    <x v="11"/>
    <n v="1077.1597801871801"/>
    <n v="393163.31976832001"/>
    <n v="1415387.9511659499"/>
  </r>
  <r>
    <x v="0"/>
    <x v="0"/>
    <x v="0"/>
    <x v="7"/>
    <x v="15"/>
    <s v="NO5_A1"/>
    <x v="7"/>
    <x v="46"/>
    <x v="0"/>
    <x v="12"/>
    <n v="1077.1597801871801"/>
    <n v="393163.31976832001"/>
    <n v="1415387.9511659499"/>
  </r>
  <r>
    <x v="0"/>
    <x v="0"/>
    <x v="0"/>
    <x v="7"/>
    <x v="15"/>
    <s v="NO5_A1"/>
    <x v="7"/>
    <x v="46"/>
    <x v="0"/>
    <x v="13"/>
    <n v="1077.1597801871801"/>
    <n v="393163.31976832001"/>
    <n v="1415387.9511659499"/>
  </r>
  <r>
    <x v="0"/>
    <x v="0"/>
    <x v="0"/>
    <x v="7"/>
    <x v="15"/>
    <s v="NO5_A1"/>
    <x v="7"/>
    <x v="46"/>
    <x v="0"/>
    <x v="14"/>
    <n v="1077.1597801871801"/>
    <n v="393163.31976832001"/>
    <n v="1415387.9511659499"/>
  </r>
  <r>
    <x v="0"/>
    <x v="0"/>
    <x v="0"/>
    <x v="7"/>
    <x v="15"/>
    <s v="NO5_A1"/>
    <x v="7"/>
    <x v="46"/>
    <x v="0"/>
    <x v="15"/>
    <n v="1077.1597801871801"/>
    <n v="393163.31976832001"/>
    <n v="1415387.9511659499"/>
  </r>
  <r>
    <x v="0"/>
    <x v="0"/>
    <x v="0"/>
    <x v="7"/>
    <x v="15"/>
    <s v="NO5_A1"/>
    <x v="7"/>
    <x v="46"/>
    <x v="0"/>
    <x v="16"/>
    <n v="1077.1597801871801"/>
    <n v="393163.31976832001"/>
    <n v="1415387.9511659499"/>
  </r>
  <r>
    <x v="0"/>
    <x v="0"/>
    <x v="0"/>
    <x v="7"/>
    <x v="15"/>
    <s v="NO5_A1"/>
    <x v="7"/>
    <x v="46"/>
    <x v="0"/>
    <x v="17"/>
    <n v="1077.1597801871801"/>
    <n v="393163.31976832001"/>
    <n v="1415387.9511659499"/>
  </r>
  <r>
    <x v="0"/>
    <x v="0"/>
    <x v="0"/>
    <x v="7"/>
    <x v="15"/>
    <s v="NO5_A1"/>
    <x v="7"/>
    <x v="46"/>
    <x v="0"/>
    <x v="18"/>
    <n v="1077.1597801871801"/>
    <n v="393163.31976832001"/>
    <n v="1415387.9511659499"/>
  </r>
  <r>
    <x v="0"/>
    <x v="0"/>
    <x v="0"/>
    <x v="7"/>
    <x v="15"/>
    <s v="NO5_A1"/>
    <x v="7"/>
    <x v="46"/>
    <x v="0"/>
    <x v="19"/>
    <n v="1077.1597801871801"/>
    <n v="393163.31976832001"/>
    <n v="1415387.9511659499"/>
  </r>
  <r>
    <x v="0"/>
    <x v="0"/>
    <x v="0"/>
    <x v="7"/>
    <x v="15"/>
    <s v="NO5_A1"/>
    <x v="7"/>
    <x v="46"/>
    <x v="0"/>
    <x v="20"/>
    <n v="1077.1597801871801"/>
    <n v="393163.31976832001"/>
    <n v="1415387.9511659499"/>
  </r>
  <r>
    <x v="0"/>
    <x v="0"/>
    <x v="0"/>
    <x v="7"/>
    <x v="15"/>
    <s v="NO5_A1"/>
    <x v="7"/>
    <x v="46"/>
    <x v="0"/>
    <x v="21"/>
    <n v="1077.1597801871801"/>
    <n v="393163.31976832001"/>
    <n v="1415387.9511659499"/>
  </r>
  <r>
    <x v="0"/>
    <x v="0"/>
    <x v="0"/>
    <x v="7"/>
    <x v="15"/>
    <s v="NO5_A1"/>
    <x v="7"/>
    <x v="46"/>
    <x v="0"/>
    <x v="22"/>
    <n v="1077.1597801871801"/>
    <n v="393163.31976832001"/>
    <n v="1415387.9511659499"/>
  </r>
  <r>
    <x v="0"/>
    <x v="0"/>
    <x v="0"/>
    <x v="7"/>
    <x v="15"/>
    <s v="NO5_A1"/>
    <x v="7"/>
    <x v="46"/>
    <x v="0"/>
    <x v="23"/>
    <n v="1077.1597801871801"/>
    <n v="393163.31976832001"/>
    <n v="1415387.9511659499"/>
  </r>
  <r>
    <x v="0"/>
    <x v="0"/>
    <x v="0"/>
    <x v="8"/>
    <x v="16"/>
    <s v="PL_A"/>
    <x v="11"/>
    <x v="210"/>
    <x v="0"/>
    <x v="1"/>
    <n v="983.78378378378397"/>
    <n v="359081.08108108101"/>
    <n v="1292691.89189189"/>
  </r>
  <r>
    <x v="0"/>
    <x v="0"/>
    <x v="0"/>
    <x v="8"/>
    <x v="16"/>
    <s v="PL_A"/>
    <x v="11"/>
    <x v="210"/>
    <x v="0"/>
    <x v="2"/>
    <n v="983.78378378378397"/>
    <n v="359081.08108108101"/>
    <n v="1292691.89189189"/>
  </r>
  <r>
    <x v="0"/>
    <x v="0"/>
    <x v="0"/>
    <x v="8"/>
    <x v="16"/>
    <s v="PL_A"/>
    <x v="11"/>
    <x v="210"/>
    <x v="0"/>
    <x v="9"/>
    <n v="983.78378378378397"/>
    <n v="359081.08108108101"/>
    <n v="1292691.89189189"/>
  </r>
  <r>
    <x v="0"/>
    <x v="0"/>
    <x v="0"/>
    <x v="8"/>
    <x v="16"/>
    <s v="PL_A"/>
    <x v="11"/>
    <x v="210"/>
    <x v="0"/>
    <x v="10"/>
    <n v="983.78378378378397"/>
    <n v="359081.08108108101"/>
    <n v="1292691.89189189"/>
  </r>
  <r>
    <x v="0"/>
    <x v="0"/>
    <x v="0"/>
    <x v="8"/>
    <x v="16"/>
    <s v="PL_A"/>
    <x v="11"/>
    <x v="210"/>
    <x v="0"/>
    <x v="11"/>
    <n v="983.78378378378397"/>
    <n v="359081.08108108101"/>
    <n v="1292691.89189189"/>
  </r>
  <r>
    <x v="0"/>
    <x v="0"/>
    <x v="0"/>
    <x v="8"/>
    <x v="16"/>
    <s v="PL_A"/>
    <x v="11"/>
    <x v="210"/>
    <x v="0"/>
    <x v="12"/>
    <n v="983.78378378378397"/>
    <n v="359081.08108108101"/>
    <n v="1292691.89189189"/>
  </r>
  <r>
    <x v="0"/>
    <x v="0"/>
    <x v="0"/>
    <x v="8"/>
    <x v="16"/>
    <s v="PL_A"/>
    <x v="11"/>
    <x v="210"/>
    <x v="0"/>
    <x v="15"/>
    <n v="983.78378378378397"/>
    <n v="359081.08108108101"/>
    <n v="1292691.89189189"/>
  </r>
  <r>
    <x v="0"/>
    <x v="0"/>
    <x v="0"/>
    <x v="8"/>
    <x v="16"/>
    <s v="PL_A"/>
    <x v="11"/>
    <x v="210"/>
    <x v="0"/>
    <x v="16"/>
    <n v="983.78378378378397"/>
    <n v="359081.08108108101"/>
    <n v="1292691.89189189"/>
  </r>
  <r>
    <x v="0"/>
    <x v="0"/>
    <x v="0"/>
    <x v="8"/>
    <x v="16"/>
    <s v="PL_A"/>
    <x v="11"/>
    <x v="210"/>
    <x v="0"/>
    <x v="17"/>
    <n v="983.78378378378397"/>
    <n v="359081.08108108101"/>
    <n v="1292691.89189189"/>
  </r>
  <r>
    <x v="0"/>
    <x v="0"/>
    <x v="0"/>
    <x v="8"/>
    <x v="16"/>
    <s v="PL_A"/>
    <x v="11"/>
    <x v="210"/>
    <x v="0"/>
    <x v="18"/>
    <n v="983.78378378378397"/>
    <n v="359081.08108108101"/>
    <n v="1292691.89189189"/>
  </r>
  <r>
    <x v="0"/>
    <x v="0"/>
    <x v="0"/>
    <x v="8"/>
    <x v="16"/>
    <s v="PL_A"/>
    <x v="11"/>
    <x v="210"/>
    <x v="0"/>
    <x v="19"/>
    <n v="761.98323700266099"/>
    <n v="278123.88150597102"/>
    <n v="1001245.9734214999"/>
  </r>
  <r>
    <x v="0"/>
    <x v="0"/>
    <x v="0"/>
    <x v="8"/>
    <x v="16"/>
    <s v="PL_A"/>
    <x v="0"/>
    <x v="211"/>
    <x v="0"/>
    <x v="16"/>
    <n v="48.837209302325597"/>
    <n v="17825.5813953488"/>
    <n v="64172.093023255802"/>
  </r>
  <r>
    <x v="0"/>
    <x v="0"/>
    <x v="0"/>
    <x v="8"/>
    <x v="16"/>
    <s v="PL_A"/>
    <x v="0"/>
    <x v="212"/>
    <x v="0"/>
    <x v="16"/>
    <n v="332.43243243243199"/>
    <n v="121337.837837838"/>
    <n v="436816.21621621598"/>
  </r>
  <r>
    <x v="0"/>
    <x v="0"/>
    <x v="0"/>
    <x v="8"/>
    <x v="16"/>
    <s v="PL_A"/>
    <x v="0"/>
    <x v="213"/>
    <x v="0"/>
    <x v="16"/>
    <n v="129.76059351507499"/>
    <n v="47362.616633002399"/>
    <n v="170505.41987880901"/>
  </r>
  <r>
    <x v="0"/>
    <x v="0"/>
    <x v="0"/>
    <x v="8"/>
    <x v="16"/>
    <s v="PL_A"/>
    <x v="0"/>
    <x v="214"/>
    <x v="0"/>
    <x v="1"/>
    <n v="511.07165279041101"/>
    <n v="186541.1532685"/>
    <n v="671548.15176660102"/>
  </r>
  <r>
    <x v="0"/>
    <x v="0"/>
    <x v="0"/>
    <x v="8"/>
    <x v="16"/>
    <s v="PL_A"/>
    <x v="0"/>
    <x v="214"/>
    <x v="0"/>
    <x v="2"/>
    <n v="1246"/>
    <n v="454790"/>
    <n v="1637244"/>
  </r>
  <r>
    <x v="0"/>
    <x v="0"/>
    <x v="0"/>
    <x v="8"/>
    <x v="16"/>
    <s v="PL_A"/>
    <x v="0"/>
    <x v="214"/>
    <x v="0"/>
    <x v="15"/>
    <n v="218.22431096078799"/>
    <n v="79651.873500687594"/>
    <n v="286746.74460247502"/>
  </r>
  <r>
    <x v="0"/>
    <x v="0"/>
    <x v="0"/>
    <x v="8"/>
    <x v="16"/>
    <s v="PL_A"/>
    <x v="0"/>
    <x v="214"/>
    <x v="0"/>
    <x v="16"/>
    <n v="1246"/>
    <n v="454790"/>
    <n v="1637244"/>
  </r>
  <r>
    <x v="0"/>
    <x v="0"/>
    <x v="0"/>
    <x v="8"/>
    <x v="16"/>
    <s v="PL_A"/>
    <x v="0"/>
    <x v="214"/>
    <x v="0"/>
    <x v="17"/>
    <n v="1246"/>
    <n v="454790"/>
    <n v="1637244"/>
  </r>
  <r>
    <x v="0"/>
    <x v="0"/>
    <x v="0"/>
    <x v="8"/>
    <x v="16"/>
    <s v="PL_A"/>
    <x v="0"/>
    <x v="214"/>
    <x v="0"/>
    <x v="18"/>
    <n v="1246"/>
    <n v="454790"/>
    <n v="1637244"/>
  </r>
  <r>
    <x v="0"/>
    <x v="0"/>
    <x v="0"/>
    <x v="8"/>
    <x v="16"/>
    <s v="PL_A"/>
    <x v="0"/>
    <x v="215"/>
    <x v="0"/>
    <x v="1"/>
    <n v="22"/>
    <n v="8030"/>
    <n v="28908"/>
  </r>
  <r>
    <x v="0"/>
    <x v="0"/>
    <x v="0"/>
    <x v="8"/>
    <x v="16"/>
    <s v="PL_A"/>
    <x v="0"/>
    <x v="215"/>
    <x v="0"/>
    <x v="2"/>
    <n v="22"/>
    <n v="8030"/>
    <n v="28908"/>
  </r>
  <r>
    <x v="0"/>
    <x v="0"/>
    <x v="0"/>
    <x v="8"/>
    <x v="16"/>
    <s v="PL_A"/>
    <x v="0"/>
    <x v="215"/>
    <x v="0"/>
    <x v="16"/>
    <n v="22"/>
    <n v="8030"/>
    <n v="28908"/>
  </r>
  <r>
    <x v="0"/>
    <x v="0"/>
    <x v="0"/>
    <x v="8"/>
    <x v="16"/>
    <s v="PL_A"/>
    <x v="0"/>
    <x v="215"/>
    <x v="0"/>
    <x v="17"/>
    <n v="22"/>
    <n v="8030"/>
    <n v="28908"/>
  </r>
  <r>
    <x v="0"/>
    <x v="0"/>
    <x v="0"/>
    <x v="8"/>
    <x v="16"/>
    <s v="PL_A"/>
    <x v="0"/>
    <x v="215"/>
    <x v="0"/>
    <x v="18"/>
    <n v="22"/>
    <n v="8030"/>
    <n v="28908"/>
  </r>
  <r>
    <x v="0"/>
    <x v="0"/>
    <x v="0"/>
    <x v="8"/>
    <x v="16"/>
    <s v="PL_A"/>
    <x v="0"/>
    <x v="216"/>
    <x v="0"/>
    <x v="2"/>
    <n v="120"/>
    <n v="43800"/>
    <n v="157680"/>
  </r>
  <r>
    <x v="0"/>
    <x v="0"/>
    <x v="0"/>
    <x v="8"/>
    <x v="16"/>
    <s v="PL_A"/>
    <x v="0"/>
    <x v="216"/>
    <x v="0"/>
    <x v="16"/>
    <n v="120"/>
    <n v="43800"/>
    <n v="157680"/>
  </r>
  <r>
    <x v="0"/>
    <x v="0"/>
    <x v="0"/>
    <x v="8"/>
    <x v="16"/>
    <s v="PL_A"/>
    <x v="0"/>
    <x v="216"/>
    <x v="0"/>
    <x v="17"/>
    <n v="120"/>
    <n v="43800"/>
    <n v="157680"/>
  </r>
  <r>
    <x v="0"/>
    <x v="0"/>
    <x v="0"/>
    <x v="8"/>
    <x v="16"/>
    <s v="PL_A"/>
    <x v="0"/>
    <x v="216"/>
    <x v="0"/>
    <x v="18"/>
    <n v="29.090991902390702"/>
    <n v="10618.2120443726"/>
    <n v="38225.563359741303"/>
  </r>
  <r>
    <x v="0"/>
    <x v="0"/>
    <x v="0"/>
    <x v="8"/>
    <x v="16"/>
    <s v="PL_A"/>
    <x v="1"/>
    <x v="217"/>
    <x v="0"/>
    <x v="3"/>
    <n v="226.666666666667"/>
    <n v="82733.333333333299"/>
    <n v="297840"/>
  </r>
  <r>
    <x v="0"/>
    <x v="0"/>
    <x v="0"/>
    <x v="8"/>
    <x v="16"/>
    <s v="PL_A"/>
    <x v="1"/>
    <x v="217"/>
    <x v="0"/>
    <x v="4"/>
    <n v="226.666666666667"/>
    <n v="82733.333333333299"/>
    <n v="297840"/>
  </r>
  <r>
    <x v="0"/>
    <x v="0"/>
    <x v="0"/>
    <x v="8"/>
    <x v="16"/>
    <s v="PL_A"/>
    <x v="1"/>
    <x v="217"/>
    <x v="0"/>
    <x v="5"/>
    <n v="226.666666666667"/>
    <n v="82733.333333333299"/>
    <n v="297840"/>
  </r>
  <r>
    <x v="0"/>
    <x v="0"/>
    <x v="0"/>
    <x v="8"/>
    <x v="16"/>
    <s v="PL_A"/>
    <x v="1"/>
    <x v="217"/>
    <x v="0"/>
    <x v="6"/>
    <n v="226.666666666667"/>
    <n v="82733.333333333299"/>
    <n v="297840"/>
  </r>
  <r>
    <x v="0"/>
    <x v="0"/>
    <x v="0"/>
    <x v="8"/>
    <x v="16"/>
    <s v="PL_A"/>
    <x v="1"/>
    <x v="217"/>
    <x v="0"/>
    <x v="7"/>
    <n v="226.666666666667"/>
    <n v="82733.333333333299"/>
    <n v="297840"/>
  </r>
  <r>
    <x v="0"/>
    <x v="0"/>
    <x v="0"/>
    <x v="8"/>
    <x v="16"/>
    <s v="PL_A"/>
    <x v="1"/>
    <x v="217"/>
    <x v="0"/>
    <x v="8"/>
    <n v="226.666666666667"/>
    <n v="82733.333333333299"/>
    <n v="297840"/>
  </r>
  <r>
    <x v="0"/>
    <x v="0"/>
    <x v="0"/>
    <x v="8"/>
    <x v="16"/>
    <s v="PL_A"/>
    <x v="1"/>
    <x v="217"/>
    <x v="0"/>
    <x v="0"/>
    <n v="226.666666666667"/>
    <n v="82733.333333333299"/>
    <n v="297840"/>
  </r>
  <r>
    <x v="0"/>
    <x v="0"/>
    <x v="0"/>
    <x v="8"/>
    <x v="16"/>
    <s v="PL_A"/>
    <x v="1"/>
    <x v="217"/>
    <x v="0"/>
    <x v="1"/>
    <n v="226.666666666667"/>
    <n v="82733.333333333299"/>
    <n v="297840"/>
  </r>
  <r>
    <x v="0"/>
    <x v="0"/>
    <x v="0"/>
    <x v="8"/>
    <x v="16"/>
    <s v="PL_A"/>
    <x v="1"/>
    <x v="217"/>
    <x v="0"/>
    <x v="2"/>
    <n v="226.666666666667"/>
    <n v="82733.333333333299"/>
    <n v="297840"/>
  </r>
  <r>
    <x v="0"/>
    <x v="0"/>
    <x v="0"/>
    <x v="8"/>
    <x v="16"/>
    <s v="PL_A"/>
    <x v="1"/>
    <x v="217"/>
    <x v="0"/>
    <x v="9"/>
    <n v="226.666666666667"/>
    <n v="82733.333333333299"/>
    <n v="297840"/>
  </r>
  <r>
    <x v="0"/>
    <x v="0"/>
    <x v="0"/>
    <x v="8"/>
    <x v="16"/>
    <s v="PL_A"/>
    <x v="1"/>
    <x v="217"/>
    <x v="0"/>
    <x v="10"/>
    <n v="226.666666666667"/>
    <n v="82733.333333333299"/>
    <n v="297840"/>
  </r>
  <r>
    <x v="0"/>
    <x v="0"/>
    <x v="0"/>
    <x v="8"/>
    <x v="16"/>
    <s v="PL_A"/>
    <x v="1"/>
    <x v="217"/>
    <x v="0"/>
    <x v="11"/>
    <n v="226.666666666667"/>
    <n v="82733.333333333299"/>
    <n v="297840"/>
  </r>
  <r>
    <x v="0"/>
    <x v="0"/>
    <x v="0"/>
    <x v="8"/>
    <x v="16"/>
    <s v="PL_A"/>
    <x v="1"/>
    <x v="217"/>
    <x v="0"/>
    <x v="12"/>
    <n v="226.666666666667"/>
    <n v="82733.333333333299"/>
    <n v="297840"/>
  </r>
  <r>
    <x v="0"/>
    <x v="0"/>
    <x v="0"/>
    <x v="8"/>
    <x v="16"/>
    <s v="PL_A"/>
    <x v="1"/>
    <x v="217"/>
    <x v="0"/>
    <x v="13"/>
    <n v="226.666666666667"/>
    <n v="82733.333333333299"/>
    <n v="297840"/>
  </r>
  <r>
    <x v="0"/>
    <x v="0"/>
    <x v="0"/>
    <x v="8"/>
    <x v="16"/>
    <s v="PL_A"/>
    <x v="1"/>
    <x v="217"/>
    <x v="0"/>
    <x v="14"/>
    <n v="226.666666666667"/>
    <n v="82733.333333333299"/>
    <n v="297840"/>
  </r>
  <r>
    <x v="0"/>
    <x v="0"/>
    <x v="0"/>
    <x v="8"/>
    <x v="16"/>
    <s v="PL_A"/>
    <x v="1"/>
    <x v="217"/>
    <x v="0"/>
    <x v="15"/>
    <n v="226.666666666667"/>
    <n v="82733.333333333299"/>
    <n v="297840"/>
  </r>
  <r>
    <x v="0"/>
    <x v="0"/>
    <x v="0"/>
    <x v="8"/>
    <x v="16"/>
    <s v="PL_A"/>
    <x v="1"/>
    <x v="217"/>
    <x v="0"/>
    <x v="16"/>
    <n v="226.666666666667"/>
    <n v="82733.333333333299"/>
    <n v="297840"/>
  </r>
  <r>
    <x v="0"/>
    <x v="0"/>
    <x v="0"/>
    <x v="8"/>
    <x v="16"/>
    <s v="PL_A"/>
    <x v="1"/>
    <x v="217"/>
    <x v="0"/>
    <x v="17"/>
    <n v="226.666666666667"/>
    <n v="82733.333333333299"/>
    <n v="297840"/>
  </r>
  <r>
    <x v="0"/>
    <x v="0"/>
    <x v="0"/>
    <x v="8"/>
    <x v="16"/>
    <s v="PL_A"/>
    <x v="1"/>
    <x v="217"/>
    <x v="0"/>
    <x v="18"/>
    <n v="226.666666666667"/>
    <n v="82733.333333333299"/>
    <n v="297840"/>
  </r>
  <r>
    <x v="0"/>
    <x v="0"/>
    <x v="0"/>
    <x v="8"/>
    <x v="16"/>
    <s v="PL_A"/>
    <x v="1"/>
    <x v="217"/>
    <x v="0"/>
    <x v="19"/>
    <n v="226.666666666667"/>
    <n v="82733.333333333299"/>
    <n v="297840"/>
  </r>
  <r>
    <x v="0"/>
    <x v="0"/>
    <x v="0"/>
    <x v="8"/>
    <x v="16"/>
    <s v="PL_A"/>
    <x v="1"/>
    <x v="217"/>
    <x v="0"/>
    <x v="20"/>
    <n v="226.666666666667"/>
    <n v="82733.333333333299"/>
    <n v="297840"/>
  </r>
  <r>
    <x v="0"/>
    <x v="0"/>
    <x v="0"/>
    <x v="8"/>
    <x v="16"/>
    <s v="PL_A"/>
    <x v="1"/>
    <x v="217"/>
    <x v="0"/>
    <x v="21"/>
    <n v="226.666666666667"/>
    <n v="82733.333333333299"/>
    <n v="297840"/>
  </r>
  <r>
    <x v="0"/>
    <x v="0"/>
    <x v="0"/>
    <x v="8"/>
    <x v="16"/>
    <s v="PL_A"/>
    <x v="1"/>
    <x v="217"/>
    <x v="0"/>
    <x v="22"/>
    <n v="226.666666666667"/>
    <n v="82733.333333333299"/>
    <n v="297840"/>
  </r>
  <r>
    <x v="0"/>
    <x v="0"/>
    <x v="0"/>
    <x v="8"/>
    <x v="16"/>
    <s v="PL_A"/>
    <x v="1"/>
    <x v="217"/>
    <x v="0"/>
    <x v="23"/>
    <n v="226.666666666667"/>
    <n v="82733.333333333299"/>
    <n v="297840"/>
  </r>
  <r>
    <x v="0"/>
    <x v="0"/>
    <x v="0"/>
    <x v="8"/>
    <x v="16"/>
    <s v="PL_A"/>
    <x v="2"/>
    <x v="218"/>
    <x v="0"/>
    <x v="3"/>
    <n v="946.66666666666697"/>
    <n v="345533.33333333302"/>
    <n v="1243920"/>
  </r>
  <r>
    <x v="0"/>
    <x v="0"/>
    <x v="0"/>
    <x v="8"/>
    <x v="16"/>
    <s v="PL_A"/>
    <x v="2"/>
    <x v="218"/>
    <x v="0"/>
    <x v="4"/>
    <n v="946.66666666666697"/>
    <n v="345533.33333333302"/>
    <n v="1243920"/>
  </r>
  <r>
    <x v="0"/>
    <x v="0"/>
    <x v="0"/>
    <x v="8"/>
    <x v="16"/>
    <s v="PL_A"/>
    <x v="2"/>
    <x v="218"/>
    <x v="0"/>
    <x v="5"/>
    <n v="946.66666666666697"/>
    <n v="345533.33333333302"/>
    <n v="1243920"/>
  </r>
  <r>
    <x v="0"/>
    <x v="0"/>
    <x v="0"/>
    <x v="8"/>
    <x v="16"/>
    <s v="PL_A"/>
    <x v="2"/>
    <x v="218"/>
    <x v="0"/>
    <x v="6"/>
    <n v="946.66666666666697"/>
    <n v="345533.33333333302"/>
    <n v="1243920"/>
  </r>
  <r>
    <x v="0"/>
    <x v="0"/>
    <x v="0"/>
    <x v="8"/>
    <x v="16"/>
    <s v="PL_A"/>
    <x v="2"/>
    <x v="218"/>
    <x v="0"/>
    <x v="7"/>
    <n v="946.66666666666697"/>
    <n v="345533.33333333302"/>
    <n v="1243920"/>
  </r>
  <r>
    <x v="0"/>
    <x v="0"/>
    <x v="0"/>
    <x v="8"/>
    <x v="16"/>
    <s v="PL_A"/>
    <x v="2"/>
    <x v="218"/>
    <x v="0"/>
    <x v="8"/>
    <n v="946.66666666666697"/>
    <n v="345533.33333333302"/>
    <n v="1243920"/>
  </r>
  <r>
    <x v="0"/>
    <x v="0"/>
    <x v="0"/>
    <x v="8"/>
    <x v="16"/>
    <s v="PL_A"/>
    <x v="2"/>
    <x v="218"/>
    <x v="0"/>
    <x v="0"/>
    <n v="946.66666666666697"/>
    <n v="345533.33333333302"/>
    <n v="1243920"/>
  </r>
  <r>
    <x v="0"/>
    <x v="0"/>
    <x v="0"/>
    <x v="8"/>
    <x v="16"/>
    <s v="PL_A"/>
    <x v="2"/>
    <x v="218"/>
    <x v="0"/>
    <x v="1"/>
    <n v="946.66666666666697"/>
    <n v="345533.33333333302"/>
    <n v="1243920"/>
  </r>
  <r>
    <x v="0"/>
    <x v="0"/>
    <x v="0"/>
    <x v="8"/>
    <x v="16"/>
    <s v="PL_A"/>
    <x v="2"/>
    <x v="218"/>
    <x v="0"/>
    <x v="2"/>
    <n v="946.66666666666697"/>
    <n v="345533.33333333302"/>
    <n v="1243920"/>
  </r>
  <r>
    <x v="0"/>
    <x v="0"/>
    <x v="0"/>
    <x v="8"/>
    <x v="16"/>
    <s v="PL_A"/>
    <x v="2"/>
    <x v="218"/>
    <x v="0"/>
    <x v="9"/>
    <n v="946.66666666666697"/>
    <n v="345533.33333333302"/>
    <n v="1243920"/>
  </r>
  <r>
    <x v="0"/>
    <x v="0"/>
    <x v="0"/>
    <x v="8"/>
    <x v="16"/>
    <s v="PL_A"/>
    <x v="2"/>
    <x v="218"/>
    <x v="0"/>
    <x v="10"/>
    <n v="946.66666666666697"/>
    <n v="345533.33333333302"/>
    <n v="1243920"/>
  </r>
  <r>
    <x v="0"/>
    <x v="0"/>
    <x v="0"/>
    <x v="8"/>
    <x v="16"/>
    <s v="PL_A"/>
    <x v="2"/>
    <x v="218"/>
    <x v="0"/>
    <x v="11"/>
    <n v="946.66666666666697"/>
    <n v="345533.33333333302"/>
    <n v="1243920"/>
  </r>
  <r>
    <x v="0"/>
    <x v="0"/>
    <x v="0"/>
    <x v="8"/>
    <x v="16"/>
    <s v="PL_A"/>
    <x v="2"/>
    <x v="218"/>
    <x v="0"/>
    <x v="12"/>
    <n v="946.66666666666697"/>
    <n v="345533.33333333302"/>
    <n v="1243920"/>
  </r>
  <r>
    <x v="0"/>
    <x v="0"/>
    <x v="0"/>
    <x v="8"/>
    <x v="16"/>
    <s v="PL_A"/>
    <x v="2"/>
    <x v="218"/>
    <x v="0"/>
    <x v="13"/>
    <n v="946.66666666666697"/>
    <n v="345533.33333333302"/>
    <n v="1243920"/>
  </r>
  <r>
    <x v="0"/>
    <x v="0"/>
    <x v="0"/>
    <x v="8"/>
    <x v="16"/>
    <s v="PL_A"/>
    <x v="2"/>
    <x v="218"/>
    <x v="0"/>
    <x v="14"/>
    <n v="946.66666666666697"/>
    <n v="345533.33333333302"/>
    <n v="1243920"/>
  </r>
  <r>
    <x v="0"/>
    <x v="0"/>
    <x v="0"/>
    <x v="8"/>
    <x v="16"/>
    <s v="PL_A"/>
    <x v="2"/>
    <x v="218"/>
    <x v="0"/>
    <x v="15"/>
    <n v="946.66666666666697"/>
    <n v="345533.33333333302"/>
    <n v="1243920"/>
  </r>
  <r>
    <x v="0"/>
    <x v="0"/>
    <x v="0"/>
    <x v="8"/>
    <x v="16"/>
    <s v="PL_A"/>
    <x v="2"/>
    <x v="218"/>
    <x v="0"/>
    <x v="16"/>
    <n v="946.66666666666697"/>
    <n v="345533.33333333302"/>
    <n v="1243920"/>
  </r>
  <r>
    <x v="0"/>
    <x v="0"/>
    <x v="0"/>
    <x v="8"/>
    <x v="16"/>
    <s v="PL_A"/>
    <x v="2"/>
    <x v="218"/>
    <x v="0"/>
    <x v="17"/>
    <n v="946.66666666666697"/>
    <n v="345533.33333333302"/>
    <n v="1243920"/>
  </r>
  <r>
    <x v="0"/>
    <x v="0"/>
    <x v="0"/>
    <x v="8"/>
    <x v="16"/>
    <s v="PL_A"/>
    <x v="2"/>
    <x v="218"/>
    <x v="0"/>
    <x v="18"/>
    <n v="946.66666666666697"/>
    <n v="345533.33333333302"/>
    <n v="1243920"/>
  </r>
  <r>
    <x v="0"/>
    <x v="0"/>
    <x v="0"/>
    <x v="8"/>
    <x v="16"/>
    <s v="PL_A"/>
    <x v="2"/>
    <x v="218"/>
    <x v="0"/>
    <x v="19"/>
    <n v="946.66666666666697"/>
    <n v="345533.33333333302"/>
    <n v="1243920"/>
  </r>
  <r>
    <x v="0"/>
    <x v="0"/>
    <x v="0"/>
    <x v="8"/>
    <x v="16"/>
    <s v="PL_A"/>
    <x v="2"/>
    <x v="218"/>
    <x v="0"/>
    <x v="20"/>
    <n v="946.66666666666697"/>
    <n v="345533.33333333302"/>
    <n v="1243920"/>
  </r>
  <r>
    <x v="0"/>
    <x v="0"/>
    <x v="0"/>
    <x v="8"/>
    <x v="16"/>
    <s v="PL_A"/>
    <x v="2"/>
    <x v="218"/>
    <x v="0"/>
    <x v="21"/>
    <n v="946.66666666666697"/>
    <n v="345533.33333333302"/>
    <n v="1243920"/>
  </r>
  <r>
    <x v="0"/>
    <x v="0"/>
    <x v="0"/>
    <x v="8"/>
    <x v="16"/>
    <s v="PL_A"/>
    <x v="2"/>
    <x v="218"/>
    <x v="0"/>
    <x v="22"/>
    <n v="946.66666666666697"/>
    <n v="345533.33333333302"/>
    <n v="1243920"/>
  </r>
  <r>
    <x v="0"/>
    <x v="0"/>
    <x v="0"/>
    <x v="8"/>
    <x v="16"/>
    <s v="PL_A"/>
    <x v="2"/>
    <x v="218"/>
    <x v="0"/>
    <x v="23"/>
    <n v="946.66666666666697"/>
    <n v="345533.33333333302"/>
    <n v="1243920"/>
  </r>
  <r>
    <x v="0"/>
    <x v="0"/>
    <x v="0"/>
    <x v="8"/>
    <x v="16"/>
    <s v="PL_A"/>
    <x v="2"/>
    <x v="219"/>
    <x v="0"/>
    <x v="3"/>
    <n v="173.333333333333"/>
    <n v="63266.666666666701"/>
    <n v="227760"/>
  </r>
  <r>
    <x v="0"/>
    <x v="0"/>
    <x v="0"/>
    <x v="8"/>
    <x v="16"/>
    <s v="PL_A"/>
    <x v="2"/>
    <x v="219"/>
    <x v="0"/>
    <x v="4"/>
    <n v="173.333333333333"/>
    <n v="63266.666666666701"/>
    <n v="227760"/>
  </r>
  <r>
    <x v="0"/>
    <x v="0"/>
    <x v="0"/>
    <x v="8"/>
    <x v="16"/>
    <s v="PL_A"/>
    <x v="2"/>
    <x v="219"/>
    <x v="0"/>
    <x v="5"/>
    <n v="173.333333333333"/>
    <n v="63266.666666666701"/>
    <n v="227760"/>
  </r>
  <r>
    <x v="0"/>
    <x v="0"/>
    <x v="0"/>
    <x v="8"/>
    <x v="16"/>
    <s v="PL_A"/>
    <x v="2"/>
    <x v="219"/>
    <x v="0"/>
    <x v="6"/>
    <n v="173.333333333333"/>
    <n v="63266.666666666701"/>
    <n v="227760"/>
  </r>
  <r>
    <x v="0"/>
    <x v="0"/>
    <x v="0"/>
    <x v="8"/>
    <x v="16"/>
    <s v="PL_A"/>
    <x v="2"/>
    <x v="219"/>
    <x v="0"/>
    <x v="7"/>
    <n v="173.333333333333"/>
    <n v="63266.666666666701"/>
    <n v="227760"/>
  </r>
  <r>
    <x v="0"/>
    <x v="0"/>
    <x v="0"/>
    <x v="8"/>
    <x v="16"/>
    <s v="PL_A"/>
    <x v="2"/>
    <x v="219"/>
    <x v="0"/>
    <x v="8"/>
    <n v="173.333333333333"/>
    <n v="63266.666666666701"/>
    <n v="227760"/>
  </r>
  <r>
    <x v="0"/>
    <x v="0"/>
    <x v="0"/>
    <x v="8"/>
    <x v="16"/>
    <s v="PL_A"/>
    <x v="2"/>
    <x v="219"/>
    <x v="0"/>
    <x v="0"/>
    <n v="173.333333333333"/>
    <n v="63266.666666666701"/>
    <n v="227760"/>
  </r>
  <r>
    <x v="0"/>
    <x v="0"/>
    <x v="0"/>
    <x v="8"/>
    <x v="16"/>
    <s v="PL_A"/>
    <x v="2"/>
    <x v="219"/>
    <x v="0"/>
    <x v="1"/>
    <n v="173.333333333333"/>
    <n v="63266.666666666701"/>
    <n v="227760"/>
  </r>
  <r>
    <x v="0"/>
    <x v="0"/>
    <x v="0"/>
    <x v="8"/>
    <x v="16"/>
    <s v="PL_A"/>
    <x v="2"/>
    <x v="219"/>
    <x v="0"/>
    <x v="2"/>
    <n v="173.333333333333"/>
    <n v="63266.666666666701"/>
    <n v="227760"/>
  </r>
  <r>
    <x v="0"/>
    <x v="0"/>
    <x v="0"/>
    <x v="8"/>
    <x v="16"/>
    <s v="PL_A"/>
    <x v="2"/>
    <x v="219"/>
    <x v="0"/>
    <x v="9"/>
    <n v="173.333333333333"/>
    <n v="63266.666666666701"/>
    <n v="227760"/>
  </r>
  <r>
    <x v="0"/>
    <x v="0"/>
    <x v="0"/>
    <x v="8"/>
    <x v="16"/>
    <s v="PL_A"/>
    <x v="2"/>
    <x v="219"/>
    <x v="0"/>
    <x v="10"/>
    <n v="173.333333333333"/>
    <n v="63266.666666666701"/>
    <n v="227760"/>
  </r>
  <r>
    <x v="0"/>
    <x v="0"/>
    <x v="0"/>
    <x v="8"/>
    <x v="16"/>
    <s v="PL_A"/>
    <x v="2"/>
    <x v="219"/>
    <x v="0"/>
    <x v="11"/>
    <n v="173.333333333333"/>
    <n v="63266.666666666701"/>
    <n v="227760"/>
  </r>
  <r>
    <x v="0"/>
    <x v="0"/>
    <x v="0"/>
    <x v="8"/>
    <x v="16"/>
    <s v="PL_A"/>
    <x v="2"/>
    <x v="219"/>
    <x v="0"/>
    <x v="12"/>
    <n v="173.333333333333"/>
    <n v="63266.666666666701"/>
    <n v="227760"/>
  </r>
  <r>
    <x v="0"/>
    <x v="0"/>
    <x v="0"/>
    <x v="8"/>
    <x v="16"/>
    <s v="PL_A"/>
    <x v="2"/>
    <x v="219"/>
    <x v="0"/>
    <x v="13"/>
    <n v="173.333333333333"/>
    <n v="63266.666666666701"/>
    <n v="227760"/>
  </r>
  <r>
    <x v="0"/>
    <x v="0"/>
    <x v="0"/>
    <x v="8"/>
    <x v="16"/>
    <s v="PL_A"/>
    <x v="2"/>
    <x v="219"/>
    <x v="0"/>
    <x v="14"/>
    <n v="173.333333333333"/>
    <n v="63266.666666666701"/>
    <n v="227760"/>
  </r>
  <r>
    <x v="0"/>
    <x v="0"/>
    <x v="0"/>
    <x v="8"/>
    <x v="16"/>
    <s v="PL_A"/>
    <x v="2"/>
    <x v="219"/>
    <x v="0"/>
    <x v="15"/>
    <n v="173.333333333333"/>
    <n v="63266.666666666701"/>
    <n v="227760"/>
  </r>
  <r>
    <x v="0"/>
    <x v="0"/>
    <x v="0"/>
    <x v="8"/>
    <x v="16"/>
    <s v="PL_A"/>
    <x v="2"/>
    <x v="219"/>
    <x v="0"/>
    <x v="16"/>
    <n v="173.333333333333"/>
    <n v="63266.666666666701"/>
    <n v="227760"/>
  </r>
  <r>
    <x v="0"/>
    <x v="0"/>
    <x v="0"/>
    <x v="8"/>
    <x v="16"/>
    <s v="PL_A"/>
    <x v="2"/>
    <x v="219"/>
    <x v="0"/>
    <x v="17"/>
    <n v="173.333333333333"/>
    <n v="63266.666666666701"/>
    <n v="227760"/>
  </r>
  <r>
    <x v="0"/>
    <x v="0"/>
    <x v="0"/>
    <x v="8"/>
    <x v="16"/>
    <s v="PL_A"/>
    <x v="2"/>
    <x v="219"/>
    <x v="0"/>
    <x v="18"/>
    <n v="173.333333333333"/>
    <n v="63266.666666666701"/>
    <n v="227760"/>
  </r>
  <r>
    <x v="0"/>
    <x v="0"/>
    <x v="0"/>
    <x v="8"/>
    <x v="16"/>
    <s v="PL_A"/>
    <x v="2"/>
    <x v="219"/>
    <x v="0"/>
    <x v="19"/>
    <n v="173.333333333333"/>
    <n v="63266.666666666701"/>
    <n v="227760"/>
  </r>
  <r>
    <x v="0"/>
    <x v="0"/>
    <x v="0"/>
    <x v="8"/>
    <x v="16"/>
    <s v="PL_A"/>
    <x v="2"/>
    <x v="219"/>
    <x v="0"/>
    <x v="20"/>
    <n v="173.333333333333"/>
    <n v="63266.666666666701"/>
    <n v="227760"/>
  </r>
  <r>
    <x v="0"/>
    <x v="0"/>
    <x v="0"/>
    <x v="8"/>
    <x v="16"/>
    <s v="PL_A"/>
    <x v="2"/>
    <x v="219"/>
    <x v="0"/>
    <x v="21"/>
    <n v="173.333333333333"/>
    <n v="63266.666666666701"/>
    <n v="227760"/>
  </r>
  <r>
    <x v="0"/>
    <x v="0"/>
    <x v="0"/>
    <x v="8"/>
    <x v="16"/>
    <s v="PL_A"/>
    <x v="2"/>
    <x v="219"/>
    <x v="0"/>
    <x v="22"/>
    <n v="173.333333333333"/>
    <n v="63266.666666666701"/>
    <n v="227760"/>
  </r>
  <r>
    <x v="0"/>
    <x v="0"/>
    <x v="0"/>
    <x v="8"/>
    <x v="16"/>
    <s v="PL_A"/>
    <x v="2"/>
    <x v="219"/>
    <x v="0"/>
    <x v="23"/>
    <n v="173.333333333333"/>
    <n v="63266.666666666701"/>
    <n v="227760"/>
  </r>
  <r>
    <x v="0"/>
    <x v="0"/>
    <x v="0"/>
    <x v="8"/>
    <x v="16"/>
    <s v="PL_A"/>
    <x v="2"/>
    <x v="220"/>
    <x v="0"/>
    <x v="3"/>
    <n v="282.222222222222"/>
    <n v="103011.11111111099"/>
    <n v="370840"/>
  </r>
  <r>
    <x v="0"/>
    <x v="0"/>
    <x v="0"/>
    <x v="8"/>
    <x v="16"/>
    <s v="PL_A"/>
    <x v="2"/>
    <x v="220"/>
    <x v="0"/>
    <x v="4"/>
    <n v="282.222222222222"/>
    <n v="103011.11111111099"/>
    <n v="370840"/>
  </r>
  <r>
    <x v="0"/>
    <x v="0"/>
    <x v="0"/>
    <x v="8"/>
    <x v="16"/>
    <s v="PL_A"/>
    <x v="2"/>
    <x v="220"/>
    <x v="0"/>
    <x v="5"/>
    <n v="282.222222222222"/>
    <n v="103011.11111111099"/>
    <n v="370840"/>
  </r>
  <r>
    <x v="0"/>
    <x v="0"/>
    <x v="0"/>
    <x v="8"/>
    <x v="16"/>
    <s v="PL_A"/>
    <x v="2"/>
    <x v="220"/>
    <x v="0"/>
    <x v="6"/>
    <n v="282.222222222222"/>
    <n v="103011.11111111099"/>
    <n v="370840"/>
  </r>
  <r>
    <x v="0"/>
    <x v="0"/>
    <x v="0"/>
    <x v="8"/>
    <x v="16"/>
    <s v="PL_A"/>
    <x v="2"/>
    <x v="220"/>
    <x v="0"/>
    <x v="7"/>
    <n v="282.222222222222"/>
    <n v="103011.11111111099"/>
    <n v="370840"/>
  </r>
  <r>
    <x v="0"/>
    <x v="0"/>
    <x v="0"/>
    <x v="8"/>
    <x v="16"/>
    <s v="PL_A"/>
    <x v="2"/>
    <x v="220"/>
    <x v="0"/>
    <x v="8"/>
    <n v="282.222222222222"/>
    <n v="103011.11111111099"/>
    <n v="370840"/>
  </r>
  <r>
    <x v="0"/>
    <x v="0"/>
    <x v="0"/>
    <x v="8"/>
    <x v="16"/>
    <s v="PL_A"/>
    <x v="2"/>
    <x v="220"/>
    <x v="0"/>
    <x v="0"/>
    <n v="282.222222222222"/>
    <n v="103011.11111111099"/>
    <n v="370840"/>
  </r>
  <r>
    <x v="0"/>
    <x v="0"/>
    <x v="0"/>
    <x v="8"/>
    <x v="16"/>
    <s v="PL_A"/>
    <x v="2"/>
    <x v="220"/>
    <x v="0"/>
    <x v="1"/>
    <n v="282.222222222222"/>
    <n v="103011.11111111099"/>
    <n v="370840"/>
  </r>
  <r>
    <x v="0"/>
    <x v="0"/>
    <x v="0"/>
    <x v="8"/>
    <x v="16"/>
    <s v="PL_A"/>
    <x v="2"/>
    <x v="220"/>
    <x v="0"/>
    <x v="2"/>
    <n v="282.222222222222"/>
    <n v="103011.11111111099"/>
    <n v="370840"/>
  </r>
  <r>
    <x v="0"/>
    <x v="0"/>
    <x v="0"/>
    <x v="8"/>
    <x v="16"/>
    <s v="PL_A"/>
    <x v="2"/>
    <x v="220"/>
    <x v="0"/>
    <x v="9"/>
    <n v="282.222222222222"/>
    <n v="103011.11111111099"/>
    <n v="370840"/>
  </r>
  <r>
    <x v="0"/>
    <x v="0"/>
    <x v="0"/>
    <x v="8"/>
    <x v="16"/>
    <s v="PL_A"/>
    <x v="2"/>
    <x v="220"/>
    <x v="0"/>
    <x v="10"/>
    <n v="282.222222222222"/>
    <n v="103011.11111111099"/>
    <n v="370840"/>
  </r>
  <r>
    <x v="0"/>
    <x v="0"/>
    <x v="0"/>
    <x v="8"/>
    <x v="16"/>
    <s v="PL_A"/>
    <x v="2"/>
    <x v="220"/>
    <x v="0"/>
    <x v="11"/>
    <n v="282.222222222222"/>
    <n v="103011.11111111099"/>
    <n v="370840"/>
  </r>
  <r>
    <x v="0"/>
    <x v="0"/>
    <x v="0"/>
    <x v="8"/>
    <x v="16"/>
    <s v="PL_A"/>
    <x v="2"/>
    <x v="220"/>
    <x v="0"/>
    <x v="12"/>
    <n v="282.222222222222"/>
    <n v="103011.11111111099"/>
    <n v="370840"/>
  </r>
  <r>
    <x v="0"/>
    <x v="0"/>
    <x v="0"/>
    <x v="8"/>
    <x v="16"/>
    <s v="PL_A"/>
    <x v="2"/>
    <x v="220"/>
    <x v="0"/>
    <x v="13"/>
    <n v="282.222222222222"/>
    <n v="103011.11111111099"/>
    <n v="370840"/>
  </r>
  <r>
    <x v="0"/>
    <x v="0"/>
    <x v="0"/>
    <x v="8"/>
    <x v="16"/>
    <s v="PL_A"/>
    <x v="2"/>
    <x v="220"/>
    <x v="0"/>
    <x v="14"/>
    <n v="282.222222222222"/>
    <n v="103011.11111111099"/>
    <n v="370840"/>
  </r>
  <r>
    <x v="0"/>
    <x v="0"/>
    <x v="0"/>
    <x v="8"/>
    <x v="16"/>
    <s v="PL_A"/>
    <x v="2"/>
    <x v="220"/>
    <x v="0"/>
    <x v="15"/>
    <n v="282.222222222222"/>
    <n v="103011.11111111099"/>
    <n v="370840"/>
  </r>
  <r>
    <x v="0"/>
    <x v="0"/>
    <x v="0"/>
    <x v="8"/>
    <x v="16"/>
    <s v="PL_A"/>
    <x v="2"/>
    <x v="220"/>
    <x v="0"/>
    <x v="16"/>
    <n v="282.222222222222"/>
    <n v="103011.11111111099"/>
    <n v="370840"/>
  </r>
  <r>
    <x v="0"/>
    <x v="0"/>
    <x v="0"/>
    <x v="8"/>
    <x v="16"/>
    <s v="PL_A"/>
    <x v="2"/>
    <x v="220"/>
    <x v="0"/>
    <x v="17"/>
    <n v="282.222222222222"/>
    <n v="103011.11111111099"/>
    <n v="370840"/>
  </r>
  <r>
    <x v="0"/>
    <x v="0"/>
    <x v="0"/>
    <x v="8"/>
    <x v="16"/>
    <s v="PL_A"/>
    <x v="2"/>
    <x v="220"/>
    <x v="0"/>
    <x v="18"/>
    <n v="282.222222222222"/>
    <n v="103011.11111111099"/>
    <n v="370840"/>
  </r>
  <r>
    <x v="0"/>
    <x v="0"/>
    <x v="0"/>
    <x v="8"/>
    <x v="16"/>
    <s v="PL_A"/>
    <x v="2"/>
    <x v="220"/>
    <x v="0"/>
    <x v="19"/>
    <n v="282.222222222222"/>
    <n v="103011.11111111099"/>
    <n v="370840"/>
  </r>
  <r>
    <x v="0"/>
    <x v="0"/>
    <x v="0"/>
    <x v="8"/>
    <x v="16"/>
    <s v="PL_A"/>
    <x v="2"/>
    <x v="220"/>
    <x v="0"/>
    <x v="20"/>
    <n v="282.222222222222"/>
    <n v="103011.11111111099"/>
    <n v="370840"/>
  </r>
  <r>
    <x v="0"/>
    <x v="0"/>
    <x v="0"/>
    <x v="8"/>
    <x v="16"/>
    <s v="PL_A"/>
    <x v="2"/>
    <x v="220"/>
    <x v="0"/>
    <x v="21"/>
    <n v="282.222222222222"/>
    <n v="103011.11111111099"/>
    <n v="370840"/>
  </r>
  <r>
    <x v="0"/>
    <x v="0"/>
    <x v="0"/>
    <x v="8"/>
    <x v="16"/>
    <s v="PL_A"/>
    <x v="2"/>
    <x v="220"/>
    <x v="0"/>
    <x v="22"/>
    <n v="282.222222222222"/>
    <n v="103011.11111111099"/>
    <n v="370840"/>
  </r>
  <r>
    <x v="0"/>
    <x v="0"/>
    <x v="0"/>
    <x v="8"/>
    <x v="16"/>
    <s v="PL_A"/>
    <x v="2"/>
    <x v="220"/>
    <x v="0"/>
    <x v="23"/>
    <n v="282.222222222222"/>
    <n v="103011.11111111099"/>
    <n v="370840"/>
  </r>
  <r>
    <x v="0"/>
    <x v="0"/>
    <x v="0"/>
    <x v="8"/>
    <x v="16"/>
    <s v="PL_A"/>
    <x v="2"/>
    <x v="221"/>
    <x v="0"/>
    <x v="3"/>
    <n v="71.1111111111111"/>
    <n v="25955.555555555598"/>
    <n v="93440"/>
  </r>
  <r>
    <x v="0"/>
    <x v="0"/>
    <x v="0"/>
    <x v="8"/>
    <x v="16"/>
    <s v="PL_A"/>
    <x v="2"/>
    <x v="221"/>
    <x v="0"/>
    <x v="4"/>
    <n v="71.1111111111111"/>
    <n v="25955.555555555598"/>
    <n v="93440"/>
  </r>
  <r>
    <x v="0"/>
    <x v="0"/>
    <x v="0"/>
    <x v="8"/>
    <x v="16"/>
    <s v="PL_A"/>
    <x v="2"/>
    <x v="221"/>
    <x v="0"/>
    <x v="5"/>
    <n v="71.1111111111111"/>
    <n v="25955.555555555598"/>
    <n v="93440"/>
  </r>
  <r>
    <x v="0"/>
    <x v="0"/>
    <x v="0"/>
    <x v="8"/>
    <x v="16"/>
    <s v="PL_A"/>
    <x v="2"/>
    <x v="221"/>
    <x v="0"/>
    <x v="6"/>
    <n v="71.1111111111111"/>
    <n v="25955.555555555598"/>
    <n v="93440"/>
  </r>
  <r>
    <x v="0"/>
    <x v="0"/>
    <x v="0"/>
    <x v="8"/>
    <x v="16"/>
    <s v="PL_A"/>
    <x v="2"/>
    <x v="221"/>
    <x v="0"/>
    <x v="7"/>
    <n v="71.1111111111111"/>
    <n v="25955.555555555598"/>
    <n v="93440"/>
  </r>
  <r>
    <x v="0"/>
    <x v="0"/>
    <x v="0"/>
    <x v="8"/>
    <x v="16"/>
    <s v="PL_A"/>
    <x v="2"/>
    <x v="221"/>
    <x v="0"/>
    <x v="8"/>
    <n v="71.1111111111111"/>
    <n v="25955.555555555598"/>
    <n v="93440"/>
  </r>
  <r>
    <x v="0"/>
    <x v="0"/>
    <x v="0"/>
    <x v="8"/>
    <x v="16"/>
    <s v="PL_A"/>
    <x v="2"/>
    <x v="221"/>
    <x v="0"/>
    <x v="0"/>
    <n v="71.1111111111111"/>
    <n v="25955.555555555598"/>
    <n v="93440"/>
  </r>
  <r>
    <x v="0"/>
    <x v="0"/>
    <x v="0"/>
    <x v="8"/>
    <x v="16"/>
    <s v="PL_A"/>
    <x v="2"/>
    <x v="221"/>
    <x v="0"/>
    <x v="1"/>
    <n v="71.1111111111111"/>
    <n v="25955.555555555598"/>
    <n v="93440"/>
  </r>
  <r>
    <x v="0"/>
    <x v="0"/>
    <x v="0"/>
    <x v="8"/>
    <x v="16"/>
    <s v="PL_A"/>
    <x v="2"/>
    <x v="221"/>
    <x v="0"/>
    <x v="2"/>
    <n v="71.1111111111111"/>
    <n v="25955.555555555598"/>
    <n v="93440"/>
  </r>
  <r>
    <x v="0"/>
    <x v="0"/>
    <x v="0"/>
    <x v="8"/>
    <x v="16"/>
    <s v="PL_A"/>
    <x v="2"/>
    <x v="221"/>
    <x v="0"/>
    <x v="9"/>
    <n v="71.1111111111111"/>
    <n v="25955.555555555598"/>
    <n v="93440"/>
  </r>
  <r>
    <x v="0"/>
    <x v="0"/>
    <x v="0"/>
    <x v="8"/>
    <x v="16"/>
    <s v="PL_A"/>
    <x v="2"/>
    <x v="221"/>
    <x v="0"/>
    <x v="10"/>
    <n v="71.1111111111111"/>
    <n v="25955.555555555598"/>
    <n v="93440"/>
  </r>
  <r>
    <x v="0"/>
    <x v="0"/>
    <x v="0"/>
    <x v="8"/>
    <x v="16"/>
    <s v="PL_A"/>
    <x v="2"/>
    <x v="221"/>
    <x v="0"/>
    <x v="11"/>
    <n v="71.1111111111111"/>
    <n v="25955.555555555598"/>
    <n v="93440"/>
  </r>
  <r>
    <x v="0"/>
    <x v="0"/>
    <x v="0"/>
    <x v="8"/>
    <x v="16"/>
    <s v="PL_A"/>
    <x v="2"/>
    <x v="221"/>
    <x v="0"/>
    <x v="12"/>
    <n v="71.1111111111111"/>
    <n v="25955.555555555598"/>
    <n v="93440"/>
  </r>
  <r>
    <x v="0"/>
    <x v="0"/>
    <x v="0"/>
    <x v="8"/>
    <x v="16"/>
    <s v="PL_A"/>
    <x v="2"/>
    <x v="221"/>
    <x v="0"/>
    <x v="13"/>
    <n v="71.1111111111111"/>
    <n v="25955.555555555598"/>
    <n v="93440"/>
  </r>
  <r>
    <x v="0"/>
    <x v="0"/>
    <x v="0"/>
    <x v="8"/>
    <x v="16"/>
    <s v="PL_A"/>
    <x v="2"/>
    <x v="221"/>
    <x v="0"/>
    <x v="14"/>
    <n v="71.1111111111111"/>
    <n v="25955.555555555598"/>
    <n v="93440"/>
  </r>
  <r>
    <x v="0"/>
    <x v="0"/>
    <x v="0"/>
    <x v="8"/>
    <x v="16"/>
    <s v="PL_A"/>
    <x v="2"/>
    <x v="221"/>
    <x v="0"/>
    <x v="15"/>
    <n v="71.1111111111111"/>
    <n v="25955.555555555598"/>
    <n v="93440"/>
  </r>
  <r>
    <x v="0"/>
    <x v="0"/>
    <x v="0"/>
    <x v="8"/>
    <x v="16"/>
    <s v="PL_A"/>
    <x v="2"/>
    <x v="221"/>
    <x v="0"/>
    <x v="16"/>
    <n v="71.1111111111111"/>
    <n v="25955.555555555598"/>
    <n v="93440"/>
  </r>
  <r>
    <x v="0"/>
    <x v="0"/>
    <x v="0"/>
    <x v="8"/>
    <x v="16"/>
    <s v="PL_A"/>
    <x v="2"/>
    <x v="221"/>
    <x v="0"/>
    <x v="17"/>
    <n v="71.1111111111111"/>
    <n v="25955.555555555598"/>
    <n v="93440"/>
  </r>
  <r>
    <x v="0"/>
    <x v="0"/>
    <x v="0"/>
    <x v="8"/>
    <x v="16"/>
    <s v="PL_A"/>
    <x v="2"/>
    <x v="221"/>
    <x v="0"/>
    <x v="18"/>
    <n v="71.1111111111111"/>
    <n v="25955.555555555598"/>
    <n v="93440"/>
  </r>
  <r>
    <x v="0"/>
    <x v="0"/>
    <x v="0"/>
    <x v="8"/>
    <x v="16"/>
    <s v="PL_A"/>
    <x v="2"/>
    <x v="221"/>
    <x v="0"/>
    <x v="19"/>
    <n v="71.1111111111111"/>
    <n v="25955.555555555598"/>
    <n v="93440"/>
  </r>
  <r>
    <x v="0"/>
    <x v="0"/>
    <x v="0"/>
    <x v="8"/>
    <x v="16"/>
    <s v="PL_A"/>
    <x v="2"/>
    <x v="221"/>
    <x v="0"/>
    <x v="20"/>
    <n v="71.1111111111111"/>
    <n v="25955.555555555598"/>
    <n v="93440"/>
  </r>
  <r>
    <x v="0"/>
    <x v="0"/>
    <x v="0"/>
    <x v="8"/>
    <x v="16"/>
    <s v="PL_A"/>
    <x v="2"/>
    <x v="221"/>
    <x v="0"/>
    <x v="21"/>
    <n v="71.1111111111111"/>
    <n v="25955.555555555598"/>
    <n v="93440"/>
  </r>
  <r>
    <x v="0"/>
    <x v="0"/>
    <x v="0"/>
    <x v="8"/>
    <x v="16"/>
    <s v="PL_A"/>
    <x v="2"/>
    <x v="221"/>
    <x v="0"/>
    <x v="22"/>
    <n v="71.1111111111111"/>
    <n v="25955.555555555598"/>
    <n v="93440"/>
  </r>
  <r>
    <x v="0"/>
    <x v="0"/>
    <x v="0"/>
    <x v="8"/>
    <x v="16"/>
    <s v="PL_A"/>
    <x v="2"/>
    <x v="221"/>
    <x v="0"/>
    <x v="23"/>
    <n v="71.1111111111111"/>
    <n v="25955.555555555598"/>
    <n v="93440"/>
  </r>
  <r>
    <x v="0"/>
    <x v="0"/>
    <x v="0"/>
    <x v="8"/>
    <x v="16"/>
    <s v="PL_A"/>
    <x v="2"/>
    <x v="222"/>
    <x v="0"/>
    <x v="3"/>
    <n v="22.2222222222222"/>
    <n v="8111.1111111111104"/>
    <n v="29200"/>
  </r>
  <r>
    <x v="0"/>
    <x v="0"/>
    <x v="0"/>
    <x v="8"/>
    <x v="16"/>
    <s v="PL_A"/>
    <x v="2"/>
    <x v="222"/>
    <x v="0"/>
    <x v="4"/>
    <n v="22.2222222222222"/>
    <n v="8111.1111111111104"/>
    <n v="29200"/>
  </r>
  <r>
    <x v="0"/>
    <x v="0"/>
    <x v="0"/>
    <x v="8"/>
    <x v="16"/>
    <s v="PL_A"/>
    <x v="2"/>
    <x v="222"/>
    <x v="0"/>
    <x v="5"/>
    <n v="22.2222222222222"/>
    <n v="8111.1111111111104"/>
    <n v="29200"/>
  </r>
  <r>
    <x v="0"/>
    <x v="0"/>
    <x v="0"/>
    <x v="8"/>
    <x v="16"/>
    <s v="PL_A"/>
    <x v="2"/>
    <x v="222"/>
    <x v="0"/>
    <x v="6"/>
    <n v="22.2222222222222"/>
    <n v="8111.1111111111104"/>
    <n v="29200"/>
  </r>
  <r>
    <x v="0"/>
    <x v="0"/>
    <x v="0"/>
    <x v="8"/>
    <x v="16"/>
    <s v="PL_A"/>
    <x v="2"/>
    <x v="222"/>
    <x v="0"/>
    <x v="7"/>
    <n v="22.2222222222222"/>
    <n v="8111.1111111111104"/>
    <n v="29200"/>
  </r>
  <r>
    <x v="0"/>
    <x v="0"/>
    <x v="0"/>
    <x v="8"/>
    <x v="16"/>
    <s v="PL_A"/>
    <x v="2"/>
    <x v="222"/>
    <x v="0"/>
    <x v="8"/>
    <n v="22.2222222222222"/>
    <n v="8111.1111111111104"/>
    <n v="29200"/>
  </r>
  <r>
    <x v="0"/>
    <x v="0"/>
    <x v="0"/>
    <x v="8"/>
    <x v="16"/>
    <s v="PL_A"/>
    <x v="2"/>
    <x v="222"/>
    <x v="0"/>
    <x v="0"/>
    <n v="22.2222222222222"/>
    <n v="8111.1111111111104"/>
    <n v="29200"/>
  </r>
  <r>
    <x v="0"/>
    <x v="0"/>
    <x v="0"/>
    <x v="8"/>
    <x v="16"/>
    <s v="PL_A"/>
    <x v="2"/>
    <x v="222"/>
    <x v="0"/>
    <x v="1"/>
    <n v="22.2222222222222"/>
    <n v="8111.1111111111104"/>
    <n v="29200"/>
  </r>
  <r>
    <x v="0"/>
    <x v="0"/>
    <x v="0"/>
    <x v="8"/>
    <x v="16"/>
    <s v="PL_A"/>
    <x v="2"/>
    <x v="222"/>
    <x v="0"/>
    <x v="2"/>
    <n v="22.2222222222222"/>
    <n v="8111.1111111111104"/>
    <n v="29200"/>
  </r>
  <r>
    <x v="0"/>
    <x v="0"/>
    <x v="0"/>
    <x v="8"/>
    <x v="16"/>
    <s v="PL_A"/>
    <x v="2"/>
    <x v="222"/>
    <x v="0"/>
    <x v="9"/>
    <n v="22.2222222222222"/>
    <n v="8111.1111111111104"/>
    <n v="29200"/>
  </r>
  <r>
    <x v="0"/>
    <x v="0"/>
    <x v="0"/>
    <x v="8"/>
    <x v="16"/>
    <s v="PL_A"/>
    <x v="2"/>
    <x v="222"/>
    <x v="0"/>
    <x v="10"/>
    <n v="22.2222222222222"/>
    <n v="8111.1111111111104"/>
    <n v="29200"/>
  </r>
  <r>
    <x v="0"/>
    <x v="0"/>
    <x v="0"/>
    <x v="8"/>
    <x v="16"/>
    <s v="PL_A"/>
    <x v="2"/>
    <x v="222"/>
    <x v="0"/>
    <x v="11"/>
    <n v="22.2222222222222"/>
    <n v="8111.1111111111104"/>
    <n v="29200"/>
  </r>
  <r>
    <x v="0"/>
    <x v="0"/>
    <x v="0"/>
    <x v="8"/>
    <x v="16"/>
    <s v="PL_A"/>
    <x v="2"/>
    <x v="222"/>
    <x v="0"/>
    <x v="12"/>
    <n v="22.2222222222222"/>
    <n v="8111.1111111111104"/>
    <n v="29200"/>
  </r>
  <r>
    <x v="0"/>
    <x v="0"/>
    <x v="0"/>
    <x v="8"/>
    <x v="16"/>
    <s v="PL_A"/>
    <x v="2"/>
    <x v="222"/>
    <x v="0"/>
    <x v="13"/>
    <n v="22.2222222222222"/>
    <n v="8111.1111111111104"/>
    <n v="29200"/>
  </r>
  <r>
    <x v="0"/>
    <x v="0"/>
    <x v="0"/>
    <x v="8"/>
    <x v="16"/>
    <s v="PL_A"/>
    <x v="2"/>
    <x v="222"/>
    <x v="0"/>
    <x v="14"/>
    <n v="22.2222222222222"/>
    <n v="8111.1111111111104"/>
    <n v="29200"/>
  </r>
  <r>
    <x v="0"/>
    <x v="0"/>
    <x v="0"/>
    <x v="8"/>
    <x v="16"/>
    <s v="PL_A"/>
    <x v="2"/>
    <x v="222"/>
    <x v="0"/>
    <x v="15"/>
    <n v="22.2222222222222"/>
    <n v="8111.1111111111104"/>
    <n v="29200"/>
  </r>
  <r>
    <x v="0"/>
    <x v="0"/>
    <x v="0"/>
    <x v="8"/>
    <x v="16"/>
    <s v="PL_A"/>
    <x v="2"/>
    <x v="222"/>
    <x v="0"/>
    <x v="16"/>
    <n v="22.2222222222222"/>
    <n v="8111.1111111111104"/>
    <n v="29200"/>
  </r>
  <r>
    <x v="0"/>
    <x v="0"/>
    <x v="0"/>
    <x v="8"/>
    <x v="16"/>
    <s v="PL_A"/>
    <x v="2"/>
    <x v="222"/>
    <x v="0"/>
    <x v="17"/>
    <n v="22.2222222222222"/>
    <n v="8111.1111111111104"/>
    <n v="29200"/>
  </r>
  <r>
    <x v="0"/>
    <x v="0"/>
    <x v="0"/>
    <x v="8"/>
    <x v="16"/>
    <s v="PL_A"/>
    <x v="2"/>
    <x v="222"/>
    <x v="0"/>
    <x v="18"/>
    <n v="22.2222222222222"/>
    <n v="8111.1111111111104"/>
    <n v="29200"/>
  </r>
  <r>
    <x v="0"/>
    <x v="0"/>
    <x v="0"/>
    <x v="8"/>
    <x v="16"/>
    <s v="PL_A"/>
    <x v="2"/>
    <x v="222"/>
    <x v="0"/>
    <x v="19"/>
    <n v="22.2222222222222"/>
    <n v="8111.1111111111104"/>
    <n v="29200"/>
  </r>
  <r>
    <x v="0"/>
    <x v="0"/>
    <x v="0"/>
    <x v="8"/>
    <x v="16"/>
    <s v="PL_A"/>
    <x v="2"/>
    <x v="222"/>
    <x v="0"/>
    <x v="20"/>
    <n v="22.2222222222222"/>
    <n v="8111.1111111111104"/>
    <n v="29200"/>
  </r>
  <r>
    <x v="0"/>
    <x v="0"/>
    <x v="0"/>
    <x v="8"/>
    <x v="16"/>
    <s v="PL_A"/>
    <x v="2"/>
    <x v="222"/>
    <x v="0"/>
    <x v="21"/>
    <n v="22.2222222222222"/>
    <n v="8111.1111111111104"/>
    <n v="29200"/>
  </r>
  <r>
    <x v="0"/>
    <x v="0"/>
    <x v="0"/>
    <x v="8"/>
    <x v="16"/>
    <s v="PL_A"/>
    <x v="2"/>
    <x v="222"/>
    <x v="0"/>
    <x v="22"/>
    <n v="22.2222222222222"/>
    <n v="8111.1111111111104"/>
    <n v="29200"/>
  </r>
  <r>
    <x v="0"/>
    <x v="0"/>
    <x v="0"/>
    <x v="8"/>
    <x v="16"/>
    <s v="PL_A"/>
    <x v="2"/>
    <x v="222"/>
    <x v="0"/>
    <x v="23"/>
    <n v="22.2222222222222"/>
    <n v="8111.1111111111104"/>
    <n v="29200"/>
  </r>
  <r>
    <x v="0"/>
    <x v="0"/>
    <x v="0"/>
    <x v="8"/>
    <x v="16"/>
    <s v="PL_A"/>
    <x v="2"/>
    <x v="223"/>
    <x v="0"/>
    <x v="3"/>
    <n v="266.66666666666703"/>
    <n v="97333.333333333299"/>
    <n v="350400"/>
  </r>
  <r>
    <x v="0"/>
    <x v="0"/>
    <x v="0"/>
    <x v="8"/>
    <x v="16"/>
    <s v="PL_A"/>
    <x v="2"/>
    <x v="223"/>
    <x v="0"/>
    <x v="4"/>
    <n v="266.66666666666703"/>
    <n v="97333.333333333299"/>
    <n v="350400"/>
  </r>
  <r>
    <x v="0"/>
    <x v="0"/>
    <x v="0"/>
    <x v="8"/>
    <x v="16"/>
    <s v="PL_A"/>
    <x v="2"/>
    <x v="223"/>
    <x v="0"/>
    <x v="5"/>
    <n v="266.66666666666703"/>
    <n v="97333.333333333299"/>
    <n v="350400"/>
  </r>
  <r>
    <x v="0"/>
    <x v="0"/>
    <x v="0"/>
    <x v="8"/>
    <x v="16"/>
    <s v="PL_A"/>
    <x v="2"/>
    <x v="223"/>
    <x v="0"/>
    <x v="6"/>
    <n v="266.66666666666703"/>
    <n v="97333.333333333299"/>
    <n v="350400"/>
  </r>
  <r>
    <x v="0"/>
    <x v="0"/>
    <x v="0"/>
    <x v="8"/>
    <x v="16"/>
    <s v="PL_A"/>
    <x v="2"/>
    <x v="223"/>
    <x v="0"/>
    <x v="7"/>
    <n v="266.66666666666703"/>
    <n v="97333.333333333299"/>
    <n v="350400"/>
  </r>
  <r>
    <x v="0"/>
    <x v="0"/>
    <x v="0"/>
    <x v="8"/>
    <x v="16"/>
    <s v="PL_A"/>
    <x v="2"/>
    <x v="223"/>
    <x v="0"/>
    <x v="8"/>
    <n v="266.66666666666703"/>
    <n v="97333.333333333299"/>
    <n v="350400"/>
  </r>
  <r>
    <x v="0"/>
    <x v="0"/>
    <x v="0"/>
    <x v="8"/>
    <x v="16"/>
    <s v="PL_A"/>
    <x v="2"/>
    <x v="223"/>
    <x v="0"/>
    <x v="0"/>
    <n v="266.66666666666703"/>
    <n v="97333.333333333299"/>
    <n v="350400"/>
  </r>
  <r>
    <x v="0"/>
    <x v="0"/>
    <x v="0"/>
    <x v="8"/>
    <x v="16"/>
    <s v="PL_A"/>
    <x v="2"/>
    <x v="223"/>
    <x v="0"/>
    <x v="1"/>
    <n v="266.66666666666703"/>
    <n v="97333.333333333299"/>
    <n v="350400"/>
  </r>
  <r>
    <x v="0"/>
    <x v="0"/>
    <x v="0"/>
    <x v="8"/>
    <x v="16"/>
    <s v="PL_A"/>
    <x v="2"/>
    <x v="223"/>
    <x v="0"/>
    <x v="2"/>
    <n v="266.66666666666703"/>
    <n v="97333.333333333299"/>
    <n v="350400"/>
  </r>
  <r>
    <x v="0"/>
    <x v="0"/>
    <x v="0"/>
    <x v="8"/>
    <x v="16"/>
    <s v="PL_A"/>
    <x v="2"/>
    <x v="223"/>
    <x v="0"/>
    <x v="9"/>
    <n v="266.66666666666703"/>
    <n v="97333.333333333299"/>
    <n v="350400"/>
  </r>
  <r>
    <x v="0"/>
    <x v="0"/>
    <x v="0"/>
    <x v="8"/>
    <x v="16"/>
    <s v="PL_A"/>
    <x v="2"/>
    <x v="223"/>
    <x v="0"/>
    <x v="10"/>
    <n v="266.66666666666703"/>
    <n v="97333.333333333299"/>
    <n v="350400"/>
  </r>
  <r>
    <x v="0"/>
    <x v="0"/>
    <x v="0"/>
    <x v="8"/>
    <x v="16"/>
    <s v="PL_A"/>
    <x v="2"/>
    <x v="223"/>
    <x v="0"/>
    <x v="11"/>
    <n v="266.66666666666703"/>
    <n v="97333.333333333299"/>
    <n v="350400"/>
  </r>
  <r>
    <x v="0"/>
    <x v="0"/>
    <x v="0"/>
    <x v="8"/>
    <x v="16"/>
    <s v="PL_A"/>
    <x v="2"/>
    <x v="223"/>
    <x v="0"/>
    <x v="12"/>
    <n v="266.66666666666703"/>
    <n v="97333.333333333299"/>
    <n v="350400"/>
  </r>
  <r>
    <x v="0"/>
    <x v="0"/>
    <x v="0"/>
    <x v="8"/>
    <x v="16"/>
    <s v="PL_A"/>
    <x v="2"/>
    <x v="223"/>
    <x v="0"/>
    <x v="13"/>
    <n v="266.66666666666703"/>
    <n v="97333.333333333299"/>
    <n v="350400"/>
  </r>
  <r>
    <x v="0"/>
    <x v="0"/>
    <x v="0"/>
    <x v="8"/>
    <x v="16"/>
    <s v="PL_A"/>
    <x v="2"/>
    <x v="223"/>
    <x v="0"/>
    <x v="14"/>
    <n v="266.66666666666703"/>
    <n v="97333.333333333299"/>
    <n v="350400"/>
  </r>
  <r>
    <x v="0"/>
    <x v="0"/>
    <x v="0"/>
    <x v="8"/>
    <x v="16"/>
    <s v="PL_A"/>
    <x v="2"/>
    <x v="223"/>
    <x v="0"/>
    <x v="15"/>
    <n v="266.66666666666703"/>
    <n v="97333.333333333299"/>
    <n v="350400"/>
  </r>
  <r>
    <x v="0"/>
    <x v="0"/>
    <x v="0"/>
    <x v="8"/>
    <x v="16"/>
    <s v="PL_A"/>
    <x v="2"/>
    <x v="223"/>
    <x v="0"/>
    <x v="16"/>
    <n v="266.66666666666703"/>
    <n v="97333.333333333299"/>
    <n v="350400"/>
  </r>
  <r>
    <x v="0"/>
    <x v="0"/>
    <x v="0"/>
    <x v="8"/>
    <x v="16"/>
    <s v="PL_A"/>
    <x v="2"/>
    <x v="223"/>
    <x v="0"/>
    <x v="17"/>
    <n v="266.66666666666703"/>
    <n v="97333.333333333299"/>
    <n v="350400"/>
  </r>
  <r>
    <x v="0"/>
    <x v="0"/>
    <x v="0"/>
    <x v="8"/>
    <x v="16"/>
    <s v="PL_A"/>
    <x v="2"/>
    <x v="223"/>
    <x v="0"/>
    <x v="18"/>
    <n v="266.66666666666703"/>
    <n v="97333.333333333299"/>
    <n v="350400"/>
  </r>
  <r>
    <x v="0"/>
    <x v="0"/>
    <x v="0"/>
    <x v="8"/>
    <x v="16"/>
    <s v="PL_A"/>
    <x v="2"/>
    <x v="223"/>
    <x v="0"/>
    <x v="19"/>
    <n v="266.66666666666703"/>
    <n v="97333.333333333299"/>
    <n v="350400"/>
  </r>
  <r>
    <x v="0"/>
    <x v="0"/>
    <x v="0"/>
    <x v="8"/>
    <x v="16"/>
    <s v="PL_A"/>
    <x v="2"/>
    <x v="223"/>
    <x v="0"/>
    <x v="20"/>
    <n v="266.66666666666703"/>
    <n v="97333.333333333299"/>
    <n v="350400"/>
  </r>
  <r>
    <x v="0"/>
    <x v="0"/>
    <x v="0"/>
    <x v="8"/>
    <x v="16"/>
    <s v="PL_A"/>
    <x v="2"/>
    <x v="223"/>
    <x v="0"/>
    <x v="21"/>
    <n v="266.66666666666703"/>
    <n v="97333.333333333299"/>
    <n v="350400"/>
  </r>
  <r>
    <x v="0"/>
    <x v="0"/>
    <x v="0"/>
    <x v="8"/>
    <x v="16"/>
    <s v="PL_A"/>
    <x v="2"/>
    <x v="223"/>
    <x v="0"/>
    <x v="22"/>
    <n v="266.66666666666703"/>
    <n v="97333.333333333299"/>
    <n v="350400"/>
  </r>
  <r>
    <x v="0"/>
    <x v="0"/>
    <x v="0"/>
    <x v="8"/>
    <x v="16"/>
    <s v="PL_A"/>
    <x v="2"/>
    <x v="223"/>
    <x v="0"/>
    <x v="23"/>
    <n v="266.66666666666703"/>
    <n v="97333.333333333299"/>
    <n v="350400"/>
  </r>
  <r>
    <x v="0"/>
    <x v="0"/>
    <x v="0"/>
    <x v="8"/>
    <x v="16"/>
    <s v="PL_A"/>
    <x v="3"/>
    <x v="224"/>
    <x v="0"/>
    <x v="3"/>
    <n v="492.30769230769198"/>
    <n v="179692.30769230801"/>
    <n v="646892.30769230798"/>
  </r>
  <r>
    <x v="0"/>
    <x v="0"/>
    <x v="0"/>
    <x v="8"/>
    <x v="16"/>
    <s v="PL_A"/>
    <x v="3"/>
    <x v="224"/>
    <x v="0"/>
    <x v="4"/>
    <n v="492.30769230769198"/>
    <n v="179692.30769230801"/>
    <n v="646892.30769230798"/>
  </r>
  <r>
    <x v="0"/>
    <x v="0"/>
    <x v="0"/>
    <x v="8"/>
    <x v="16"/>
    <s v="PL_A"/>
    <x v="3"/>
    <x v="224"/>
    <x v="0"/>
    <x v="5"/>
    <n v="492.30769230769198"/>
    <n v="179692.30769230801"/>
    <n v="646892.30769230798"/>
  </r>
  <r>
    <x v="0"/>
    <x v="0"/>
    <x v="0"/>
    <x v="8"/>
    <x v="16"/>
    <s v="PL_A"/>
    <x v="3"/>
    <x v="224"/>
    <x v="0"/>
    <x v="6"/>
    <n v="492.30769230769198"/>
    <n v="179692.30769230801"/>
    <n v="646892.30769230798"/>
  </r>
  <r>
    <x v="0"/>
    <x v="0"/>
    <x v="0"/>
    <x v="8"/>
    <x v="16"/>
    <s v="PL_A"/>
    <x v="3"/>
    <x v="224"/>
    <x v="0"/>
    <x v="7"/>
    <n v="492.30769230769198"/>
    <n v="179692.30769230801"/>
    <n v="646892.30769230798"/>
  </r>
  <r>
    <x v="0"/>
    <x v="0"/>
    <x v="0"/>
    <x v="8"/>
    <x v="16"/>
    <s v="PL_A"/>
    <x v="3"/>
    <x v="224"/>
    <x v="0"/>
    <x v="8"/>
    <n v="492.30769230769198"/>
    <n v="179692.30769230801"/>
    <n v="646892.30769230798"/>
  </r>
  <r>
    <x v="0"/>
    <x v="0"/>
    <x v="0"/>
    <x v="8"/>
    <x v="16"/>
    <s v="PL_A"/>
    <x v="3"/>
    <x v="224"/>
    <x v="0"/>
    <x v="0"/>
    <n v="492.30769230769198"/>
    <n v="179692.30769230801"/>
    <n v="646892.30769230798"/>
  </r>
  <r>
    <x v="0"/>
    <x v="0"/>
    <x v="0"/>
    <x v="8"/>
    <x v="16"/>
    <s v="PL_A"/>
    <x v="3"/>
    <x v="224"/>
    <x v="0"/>
    <x v="1"/>
    <n v="492.30769230769198"/>
    <n v="179692.30769230801"/>
    <n v="646892.30769230798"/>
  </r>
  <r>
    <x v="0"/>
    <x v="0"/>
    <x v="0"/>
    <x v="8"/>
    <x v="16"/>
    <s v="PL_A"/>
    <x v="3"/>
    <x v="224"/>
    <x v="0"/>
    <x v="2"/>
    <n v="492.30769230769198"/>
    <n v="179692.30769230801"/>
    <n v="646892.30769230798"/>
  </r>
  <r>
    <x v="0"/>
    <x v="0"/>
    <x v="0"/>
    <x v="8"/>
    <x v="16"/>
    <s v="PL_A"/>
    <x v="3"/>
    <x v="224"/>
    <x v="0"/>
    <x v="9"/>
    <n v="492.30769230769198"/>
    <n v="179692.30769230801"/>
    <n v="646892.30769230798"/>
  </r>
  <r>
    <x v="0"/>
    <x v="0"/>
    <x v="0"/>
    <x v="8"/>
    <x v="16"/>
    <s v="PL_A"/>
    <x v="3"/>
    <x v="224"/>
    <x v="0"/>
    <x v="10"/>
    <n v="492.30769230769198"/>
    <n v="179692.30769230801"/>
    <n v="646892.30769230798"/>
  </r>
  <r>
    <x v="0"/>
    <x v="0"/>
    <x v="0"/>
    <x v="8"/>
    <x v="16"/>
    <s v="PL_A"/>
    <x v="3"/>
    <x v="224"/>
    <x v="0"/>
    <x v="11"/>
    <n v="492.30769230769198"/>
    <n v="179692.30769230801"/>
    <n v="646892.30769230798"/>
  </r>
  <r>
    <x v="0"/>
    <x v="0"/>
    <x v="0"/>
    <x v="8"/>
    <x v="16"/>
    <s v="PL_A"/>
    <x v="3"/>
    <x v="224"/>
    <x v="0"/>
    <x v="12"/>
    <n v="492.30769230769198"/>
    <n v="179692.30769230801"/>
    <n v="646892.30769230798"/>
  </r>
  <r>
    <x v="0"/>
    <x v="0"/>
    <x v="0"/>
    <x v="8"/>
    <x v="16"/>
    <s v="PL_A"/>
    <x v="3"/>
    <x v="224"/>
    <x v="0"/>
    <x v="13"/>
    <n v="492.30769230769198"/>
    <n v="179692.30769230801"/>
    <n v="646892.30769230798"/>
  </r>
  <r>
    <x v="0"/>
    <x v="0"/>
    <x v="0"/>
    <x v="8"/>
    <x v="16"/>
    <s v="PL_A"/>
    <x v="3"/>
    <x v="224"/>
    <x v="0"/>
    <x v="14"/>
    <n v="492.30769230769198"/>
    <n v="179692.30769230801"/>
    <n v="646892.30769230798"/>
  </r>
  <r>
    <x v="0"/>
    <x v="0"/>
    <x v="0"/>
    <x v="8"/>
    <x v="16"/>
    <s v="PL_A"/>
    <x v="3"/>
    <x v="224"/>
    <x v="0"/>
    <x v="15"/>
    <n v="492.30769230769198"/>
    <n v="179692.30769230801"/>
    <n v="646892.30769230798"/>
  </r>
  <r>
    <x v="0"/>
    <x v="0"/>
    <x v="0"/>
    <x v="8"/>
    <x v="16"/>
    <s v="PL_A"/>
    <x v="3"/>
    <x v="224"/>
    <x v="0"/>
    <x v="16"/>
    <n v="492.30769230769198"/>
    <n v="179692.30769230801"/>
    <n v="646892.30769230798"/>
  </r>
  <r>
    <x v="0"/>
    <x v="0"/>
    <x v="0"/>
    <x v="8"/>
    <x v="16"/>
    <s v="PL_A"/>
    <x v="3"/>
    <x v="224"/>
    <x v="0"/>
    <x v="17"/>
    <n v="492.30769230769198"/>
    <n v="179692.30769230801"/>
    <n v="646892.30769230798"/>
  </r>
  <r>
    <x v="0"/>
    <x v="0"/>
    <x v="0"/>
    <x v="8"/>
    <x v="16"/>
    <s v="PL_A"/>
    <x v="3"/>
    <x v="224"/>
    <x v="0"/>
    <x v="18"/>
    <n v="492.30769230769198"/>
    <n v="179692.30769230801"/>
    <n v="646892.30769230798"/>
  </r>
  <r>
    <x v="0"/>
    <x v="0"/>
    <x v="0"/>
    <x v="8"/>
    <x v="16"/>
    <s v="PL_A"/>
    <x v="3"/>
    <x v="224"/>
    <x v="0"/>
    <x v="19"/>
    <n v="492.30769230769198"/>
    <n v="179692.30769230801"/>
    <n v="646892.30769230798"/>
  </r>
  <r>
    <x v="0"/>
    <x v="0"/>
    <x v="0"/>
    <x v="8"/>
    <x v="16"/>
    <s v="PL_A"/>
    <x v="3"/>
    <x v="224"/>
    <x v="0"/>
    <x v="20"/>
    <n v="492.30769230769198"/>
    <n v="179692.30769230801"/>
    <n v="646892.30769230798"/>
  </r>
  <r>
    <x v="0"/>
    <x v="0"/>
    <x v="0"/>
    <x v="8"/>
    <x v="16"/>
    <s v="PL_A"/>
    <x v="3"/>
    <x v="224"/>
    <x v="0"/>
    <x v="21"/>
    <n v="492.30769230769198"/>
    <n v="179692.30769230801"/>
    <n v="646892.30769230798"/>
  </r>
  <r>
    <x v="0"/>
    <x v="0"/>
    <x v="0"/>
    <x v="8"/>
    <x v="16"/>
    <s v="PL_A"/>
    <x v="3"/>
    <x v="224"/>
    <x v="0"/>
    <x v="22"/>
    <n v="492.30769230769198"/>
    <n v="179692.30769230801"/>
    <n v="646892.30769230798"/>
  </r>
  <r>
    <x v="0"/>
    <x v="0"/>
    <x v="0"/>
    <x v="8"/>
    <x v="16"/>
    <s v="PL_A"/>
    <x v="3"/>
    <x v="224"/>
    <x v="0"/>
    <x v="23"/>
    <n v="492.30769230769198"/>
    <n v="179692.30769230801"/>
    <n v="646892.30769230798"/>
  </r>
  <r>
    <x v="0"/>
    <x v="0"/>
    <x v="0"/>
    <x v="8"/>
    <x v="16"/>
    <s v="PL_A"/>
    <x v="3"/>
    <x v="225"/>
    <x v="0"/>
    <x v="3"/>
    <n v="4120.93625817869"/>
    <n v="1504141.7342352199"/>
    <n v="5414910.2432468003"/>
  </r>
  <r>
    <x v="0"/>
    <x v="0"/>
    <x v="0"/>
    <x v="8"/>
    <x v="16"/>
    <s v="PL_A"/>
    <x v="3"/>
    <x v="225"/>
    <x v="0"/>
    <x v="4"/>
    <n v="4172.6144859473497"/>
    <n v="1523004.28737078"/>
    <n v="5482815.4345348198"/>
  </r>
  <r>
    <x v="0"/>
    <x v="0"/>
    <x v="0"/>
    <x v="8"/>
    <x v="16"/>
    <s v="PL_A"/>
    <x v="3"/>
    <x v="225"/>
    <x v="0"/>
    <x v="5"/>
    <n v="4188.7639321250499"/>
    <n v="1528898.8352256401"/>
    <n v="5504035.8068123199"/>
  </r>
  <r>
    <x v="0"/>
    <x v="0"/>
    <x v="0"/>
    <x v="8"/>
    <x v="16"/>
    <s v="PL_A"/>
    <x v="3"/>
    <x v="225"/>
    <x v="0"/>
    <x v="6"/>
    <n v="4140.3155935919403"/>
    <n v="1511215.1916610601"/>
    <n v="5440374.6899798103"/>
  </r>
  <r>
    <x v="0"/>
    <x v="0"/>
    <x v="0"/>
    <x v="8"/>
    <x v="16"/>
    <s v="PL_A"/>
    <x v="3"/>
    <x v="225"/>
    <x v="0"/>
    <x v="7"/>
    <n v="4033.7292488190801"/>
    <n v="1472311.1758189599"/>
    <n v="5300320.2329482697"/>
  </r>
  <r>
    <x v="0"/>
    <x v="0"/>
    <x v="0"/>
    <x v="8"/>
    <x v="16"/>
    <s v="PL_A"/>
    <x v="3"/>
    <x v="225"/>
    <x v="0"/>
    <x v="8"/>
    <n v="3878.6945655130999"/>
    <n v="1415723.51641228"/>
    <n v="5096604.6590842204"/>
  </r>
  <r>
    <x v="0"/>
    <x v="0"/>
    <x v="0"/>
    <x v="8"/>
    <x v="16"/>
    <s v="PL_A"/>
    <x v="3"/>
    <x v="225"/>
    <x v="0"/>
    <x v="0"/>
    <n v="3881.67132214512"/>
    <n v="1416810.0325829701"/>
    <n v="5100516.1172986897"/>
  </r>
  <r>
    <x v="0"/>
    <x v="0"/>
    <x v="0"/>
    <x v="8"/>
    <x v="16"/>
    <s v="PL_A"/>
    <x v="3"/>
    <x v="225"/>
    <x v="0"/>
    <x v="1"/>
    <n v="5188.2784184689399"/>
    <n v="1893721.62274116"/>
    <n v="6817397.8418681901"/>
  </r>
  <r>
    <x v="0"/>
    <x v="0"/>
    <x v="0"/>
    <x v="8"/>
    <x v="16"/>
    <s v="PL_A"/>
    <x v="3"/>
    <x v="225"/>
    <x v="0"/>
    <x v="2"/>
    <n v="4550.8714445539899"/>
    <n v="1661068.07726221"/>
    <n v="5979845.0781439403"/>
  </r>
  <r>
    <x v="0"/>
    <x v="0"/>
    <x v="0"/>
    <x v="8"/>
    <x v="16"/>
    <s v="PL_A"/>
    <x v="3"/>
    <x v="225"/>
    <x v="0"/>
    <x v="9"/>
    <n v="5054.3079796570601"/>
    <n v="1844822.41257483"/>
    <n v="6641360.68526938"/>
  </r>
  <r>
    <x v="0"/>
    <x v="0"/>
    <x v="0"/>
    <x v="8"/>
    <x v="16"/>
    <s v="PL_A"/>
    <x v="3"/>
    <x v="225"/>
    <x v="0"/>
    <x v="10"/>
    <n v="4588.6523799831302"/>
    <n v="1674858.11869384"/>
    <n v="6029489.2272978397"/>
  </r>
  <r>
    <x v="0"/>
    <x v="0"/>
    <x v="0"/>
    <x v="8"/>
    <x v="16"/>
    <s v="PL_A"/>
    <x v="3"/>
    <x v="225"/>
    <x v="0"/>
    <x v="11"/>
    <n v="2994.4832370690901"/>
    <n v="1092986.3815302199"/>
    <n v="3934750.9735087799"/>
  </r>
  <r>
    <x v="0"/>
    <x v="0"/>
    <x v="0"/>
    <x v="8"/>
    <x v="16"/>
    <s v="PL_A"/>
    <x v="3"/>
    <x v="225"/>
    <x v="0"/>
    <x v="12"/>
    <n v="2882.0405482676501"/>
    <n v="1051944.8001176901"/>
    <n v="3787001.2804236901"/>
  </r>
  <r>
    <x v="0"/>
    <x v="0"/>
    <x v="0"/>
    <x v="8"/>
    <x v="16"/>
    <s v="PL_A"/>
    <x v="3"/>
    <x v="225"/>
    <x v="0"/>
    <x v="13"/>
    <n v="2502.7617511726398"/>
    <n v="913508.03917801403"/>
    <n v="3288628.9410408498"/>
  </r>
  <r>
    <x v="0"/>
    <x v="0"/>
    <x v="0"/>
    <x v="8"/>
    <x v="16"/>
    <s v="PL_A"/>
    <x v="3"/>
    <x v="225"/>
    <x v="0"/>
    <x v="14"/>
    <n v="2641.3938556973799"/>
    <n v="964108.757329543"/>
    <n v="3470791.5263863602"/>
  </r>
  <r>
    <x v="0"/>
    <x v="0"/>
    <x v="0"/>
    <x v="8"/>
    <x v="16"/>
    <s v="PL_A"/>
    <x v="3"/>
    <x v="225"/>
    <x v="0"/>
    <x v="15"/>
    <n v="4302.44786630402"/>
    <n v="1570393.47120097"/>
    <n v="5653416.4963234803"/>
  </r>
  <r>
    <x v="0"/>
    <x v="0"/>
    <x v="0"/>
    <x v="8"/>
    <x v="16"/>
    <s v="PL_A"/>
    <x v="3"/>
    <x v="225"/>
    <x v="0"/>
    <x v="16"/>
    <n v="3503.0870652436301"/>
    <n v="1278626.77881392"/>
    <n v="4603056.4037301196"/>
  </r>
  <r>
    <x v="0"/>
    <x v="0"/>
    <x v="0"/>
    <x v="8"/>
    <x v="16"/>
    <s v="PL_A"/>
    <x v="3"/>
    <x v="225"/>
    <x v="0"/>
    <x v="17"/>
    <n v="3643.27256936698"/>
    <n v="1329794.4878189501"/>
    <n v="4787260.1561482102"/>
  </r>
  <r>
    <x v="0"/>
    <x v="0"/>
    <x v="0"/>
    <x v="8"/>
    <x v="16"/>
    <s v="PL_A"/>
    <x v="3"/>
    <x v="225"/>
    <x v="0"/>
    <x v="18"/>
    <n v="3649.9684025892798"/>
    <n v="1332238.4669450901"/>
    <n v="4796058.4810023103"/>
  </r>
  <r>
    <x v="0"/>
    <x v="0"/>
    <x v="0"/>
    <x v="8"/>
    <x v="16"/>
    <s v="PL_A"/>
    <x v="3"/>
    <x v="225"/>
    <x v="0"/>
    <x v="19"/>
    <n v="2437.9108338583001"/>
    <n v="889837.45435827796"/>
    <n v="3203414.8356897999"/>
  </r>
  <r>
    <x v="0"/>
    <x v="0"/>
    <x v="0"/>
    <x v="8"/>
    <x v="16"/>
    <s v="PL_A"/>
    <x v="3"/>
    <x v="225"/>
    <x v="0"/>
    <x v="20"/>
    <n v="2199.1521630317902"/>
    <n v="802690.53950660501"/>
    <n v="2889685.9422237799"/>
  </r>
  <r>
    <x v="0"/>
    <x v="0"/>
    <x v="0"/>
    <x v="8"/>
    <x v="16"/>
    <s v="PL_A"/>
    <x v="3"/>
    <x v="225"/>
    <x v="0"/>
    <x v="21"/>
    <n v="2160.3934922053099"/>
    <n v="788543.624654938"/>
    <n v="2838757.0487577799"/>
  </r>
  <r>
    <x v="0"/>
    <x v="0"/>
    <x v="0"/>
    <x v="8"/>
    <x v="16"/>
    <s v="PL_A"/>
    <x v="3"/>
    <x v="225"/>
    <x v="0"/>
    <x v="22"/>
    <n v="2131.3244890854298"/>
    <n v="777933.43851618306"/>
    <n v="2800560.3786582602"/>
  </r>
  <r>
    <x v="0"/>
    <x v="0"/>
    <x v="0"/>
    <x v="8"/>
    <x v="16"/>
    <s v="PL_A"/>
    <x v="3"/>
    <x v="225"/>
    <x v="0"/>
    <x v="23"/>
    <n v="2121.6348213788101"/>
    <n v="774396.70980326505"/>
    <n v="2787828.1552917501"/>
  </r>
  <r>
    <x v="0"/>
    <x v="0"/>
    <x v="0"/>
    <x v="8"/>
    <x v="16"/>
    <s v="PL_A"/>
    <x v="3"/>
    <x v="226"/>
    <x v="0"/>
    <x v="3"/>
    <n v="546.66666666666697"/>
    <n v="199533.33333333299"/>
    <n v="718320"/>
  </r>
  <r>
    <x v="0"/>
    <x v="0"/>
    <x v="0"/>
    <x v="8"/>
    <x v="16"/>
    <s v="PL_A"/>
    <x v="3"/>
    <x v="226"/>
    <x v="0"/>
    <x v="4"/>
    <n v="546.66666666666697"/>
    <n v="199533.33333333299"/>
    <n v="718320"/>
  </r>
  <r>
    <x v="0"/>
    <x v="0"/>
    <x v="0"/>
    <x v="8"/>
    <x v="16"/>
    <s v="PL_A"/>
    <x v="3"/>
    <x v="226"/>
    <x v="0"/>
    <x v="5"/>
    <n v="546.66666666666697"/>
    <n v="199533.33333333299"/>
    <n v="718320"/>
  </r>
  <r>
    <x v="0"/>
    <x v="0"/>
    <x v="0"/>
    <x v="8"/>
    <x v="16"/>
    <s v="PL_A"/>
    <x v="3"/>
    <x v="226"/>
    <x v="0"/>
    <x v="6"/>
    <n v="546.66666666666697"/>
    <n v="199533.33333333299"/>
    <n v="718320"/>
  </r>
  <r>
    <x v="0"/>
    <x v="0"/>
    <x v="0"/>
    <x v="8"/>
    <x v="16"/>
    <s v="PL_A"/>
    <x v="3"/>
    <x v="226"/>
    <x v="0"/>
    <x v="7"/>
    <n v="546.66666666666697"/>
    <n v="199533.33333333299"/>
    <n v="718320"/>
  </r>
  <r>
    <x v="0"/>
    <x v="0"/>
    <x v="0"/>
    <x v="8"/>
    <x v="16"/>
    <s v="PL_A"/>
    <x v="3"/>
    <x v="226"/>
    <x v="0"/>
    <x v="8"/>
    <n v="546.66666666666697"/>
    <n v="199533.33333333299"/>
    <n v="718320"/>
  </r>
  <r>
    <x v="0"/>
    <x v="0"/>
    <x v="0"/>
    <x v="8"/>
    <x v="16"/>
    <s v="PL_A"/>
    <x v="3"/>
    <x v="226"/>
    <x v="0"/>
    <x v="0"/>
    <n v="546.66666666666697"/>
    <n v="199533.33333333299"/>
    <n v="718320"/>
  </r>
  <r>
    <x v="0"/>
    <x v="0"/>
    <x v="0"/>
    <x v="8"/>
    <x v="16"/>
    <s v="PL_A"/>
    <x v="3"/>
    <x v="226"/>
    <x v="0"/>
    <x v="1"/>
    <n v="546.66666666666697"/>
    <n v="199533.33333333299"/>
    <n v="718320"/>
  </r>
  <r>
    <x v="0"/>
    <x v="0"/>
    <x v="0"/>
    <x v="8"/>
    <x v="16"/>
    <s v="PL_A"/>
    <x v="3"/>
    <x v="226"/>
    <x v="0"/>
    <x v="2"/>
    <n v="546.66666666666697"/>
    <n v="199533.33333333299"/>
    <n v="718320"/>
  </r>
  <r>
    <x v="0"/>
    <x v="0"/>
    <x v="0"/>
    <x v="8"/>
    <x v="16"/>
    <s v="PL_A"/>
    <x v="3"/>
    <x v="226"/>
    <x v="0"/>
    <x v="9"/>
    <n v="546.66666666666697"/>
    <n v="199533.33333333299"/>
    <n v="718320"/>
  </r>
  <r>
    <x v="0"/>
    <x v="0"/>
    <x v="0"/>
    <x v="8"/>
    <x v="16"/>
    <s v="PL_A"/>
    <x v="3"/>
    <x v="226"/>
    <x v="0"/>
    <x v="10"/>
    <n v="546.66666666666697"/>
    <n v="199533.33333333299"/>
    <n v="718320"/>
  </r>
  <r>
    <x v="0"/>
    <x v="0"/>
    <x v="0"/>
    <x v="8"/>
    <x v="16"/>
    <s v="PL_A"/>
    <x v="3"/>
    <x v="226"/>
    <x v="0"/>
    <x v="11"/>
    <n v="546.66666666666697"/>
    <n v="199533.33333333299"/>
    <n v="718320"/>
  </r>
  <r>
    <x v="0"/>
    <x v="0"/>
    <x v="0"/>
    <x v="8"/>
    <x v="16"/>
    <s v="PL_A"/>
    <x v="3"/>
    <x v="226"/>
    <x v="0"/>
    <x v="12"/>
    <n v="546.66666666666697"/>
    <n v="199533.33333333299"/>
    <n v="718320"/>
  </r>
  <r>
    <x v="0"/>
    <x v="0"/>
    <x v="0"/>
    <x v="8"/>
    <x v="16"/>
    <s v="PL_A"/>
    <x v="3"/>
    <x v="226"/>
    <x v="0"/>
    <x v="13"/>
    <n v="546.66666666666697"/>
    <n v="199533.33333333299"/>
    <n v="718320"/>
  </r>
  <r>
    <x v="0"/>
    <x v="0"/>
    <x v="0"/>
    <x v="8"/>
    <x v="16"/>
    <s v="PL_A"/>
    <x v="3"/>
    <x v="226"/>
    <x v="0"/>
    <x v="14"/>
    <n v="546.66666666666697"/>
    <n v="199533.33333333299"/>
    <n v="718320"/>
  </r>
  <r>
    <x v="0"/>
    <x v="0"/>
    <x v="0"/>
    <x v="8"/>
    <x v="16"/>
    <s v="PL_A"/>
    <x v="3"/>
    <x v="226"/>
    <x v="0"/>
    <x v="15"/>
    <n v="546.66666666666697"/>
    <n v="199533.33333333299"/>
    <n v="718320"/>
  </r>
  <r>
    <x v="0"/>
    <x v="0"/>
    <x v="0"/>
    <x v="8"/>
    <x v="16"/>
    <s v="PL_A"/>
    <x v="3"/>
    <x v="226"/>
    <x v="0"/>
    <x v="16"/>
    <n v="546.66666666666697"/>
    <n v="199533.33333333299"/>
    <n v="718320"/>
  </r>
  <r>
    <x v="0"/>
    <x v="0"/>
    <x v="0"/>
    <x v="8"/>
    <x v="16"/>
    <s v="PL_A"/>
    <x v="3"/>
    <x v="226"/>
    <x v="0"/>
    <x v="17"/>
    <n v="546.66666666666697"/>
    <n v="199533.33333333299"/>
    <n v="718320"/>
  </r>
  <r>
    <x v="0"/>
    <x v="0"/>
    <x v="0"/>
    <x v="8"/>
    <x v="16"/>
    <s v="PL_A"/>
    <x v="3"/>
    <x v="226"/>
    <x v="0"/>
    <x v="18"/>
    <n v="546.66666666666697"/>
    <n v="199533.33333333299"/>
    <n v="718320"/>
  </r>
  <r>
    <x v="0"/>
    <x v="0"/>
    <x v="0"/>
    <x v="8"/>
    <x v="16"/>
    <s v="PL_A"/>
    <x v="3"/>
    <x v="226"/>
    <x v="0"/>
    <x v="19"/>
    <n v="546.66666666666697"/>
    <n v="199533.33333333299"/>
    <n v="718320"/>
  </r>
  <r>
    <x v="0"/>
    <x v="0"/>
    <x v="0"/>
    <x v="8"/>
    <x v="16"/>
    <s v="PL_A"/>
    <x v="3"/>
    <x v="226"/>
    <x v="0"/>
    <x v="20"/>
    <n v="546.66666666666697"/>
    <n v="199533.33333333299"/>
    <n v="718320"/>
  </r>
  <r>
    <x v="0"/>
    <x v="0"/>
    <x v="0"/>
    <x v="8"/>
    <x v="16"/>
    <s v="PL_A"/>
    <x v="3"/>
    <x v="226"/>
    <x v="0"/>
    <x v="21"/>
    <n v="546.66666666666697"/>
    <n v="199533.33333333299"/>
    <n v="718320"/>
  </r>
  <r>
    <x v="0"/>
    <x v="0"/>
    <x v="0"/>
    <x v="8"/>
    <x v="16"/>
    <s v="PL_A"/>
    <x v="3"/>
    <x v="226"/>
    <x v="0"/>
    <x v="22"/>
    <n v="546.66666666666697"/>
    <n v="199533.33333333299"/>
    <n v="718320"/>
  </r>
  <r>
    <x v="0"/>
    <x v="0"/>
    <x v="0"/>
    <x v="8"/>
    <x v="16"/>
    <s v="PL_A"/>
    <x v="3"/>
    <x v="226"/>
    <x v="0"/>
    <x v="23"/>
    <n v="546.66666666666697"/>
    <n v="199533.33333333299"/>
    <n v="718320"/>
  </r>
  <r>
    <x v="0"/>
    <x v="0"/>
    <x v="0"/>
    <x v="8"/>
    <x v="16"/>
    <s v="PL_A"/>
    <x v="3"/>
    <x v="227"/>
    <x v="0"/>
    <x v="3"/>
    <n v="303.44827586206901"/>
    <n v="110758.620689655"/>
    <n v="398731.03448275902"/>
  </r>
  <r>
    <x v="0"/>
    <x v="0"/>
    <x v="0"/>
    <x v="8"/>
    <x v="16"/>
    <s v="PL_A"/>
    <x v="3"/>
    <x v="227"/>
    <x v="0"/>
    <x v="4"/>
    <n v="303.44827586206901"/>
    <n v="110758.620689655"/>
    <n v="398731.03448275902"/>
  </r>
  <r>
    <x v="0"/>
    <x v="0"/>
    <x v="0"/>
    <x v="8"/>
    <x v="16"/>
    <s v="PL_A"/>
    <x v="3"/>
    <x v="227"/>
    <x v="0"/>
    <x v="5"/>
    <n v="303.44827586206901"/>
    <n v="110758.620689655"/>
    <n v="398731.03448275902"/>
  </r>
  <r>
    <x v="0"/>
    <x v="0"/>
    <x v="0"/>
    <x v="8"/>
    <x v="16"/>
    <s v="PL_A"/>
    <x v="3"/>
    <x v="227"/>
    <x v="0"/>
    <x v="6"/>
    <n v="303.44827586206901"/>
    <n v="110758.620689655"/>
    <n v="398731.03448275902"/>
  </r>
  <r>
    <x v="0"/>
    <x v="0"/>
    <x v="0"/>
    <x v="8"/>
    <x v="16"/>
    <s v="PL_A"/>
    <x v="3"/>
    <x v="227"/>
    <x v="0"/>
    <x v="7"/>
    <n v="303.44827586206901"/>
    <n v="110758.620689655"/>
    <n v="398731.03448275902"/>
  </r>
  <r>
    <x v="0"/>
    <x v="0"/>
    <x v="0"/>
    <x v="8"/>
    <x v="16"/>
    <s v="PL_A"/>
    <x v="3"/>
    <x v="227"/>
    <x v="0"/>
    <x v="8"/>
    <n v="303.44827586206901"/>
    <n v="110758.620689655"/>
    <n v="398731.03448275902"/>
  </r>
  <r>
    <x v="0"/>
    <x v="0"/>
    <x v="0"/>
    <x v="8"/>
    <x v="16"/>
    <s v="PL_A"/>
    <x v="3"/>
    <x v="227"/>
    <x v="0"/>
    <x v="0"/>
    <n v="303.44827586206901"/>
    <n v="110758.620689655"/>
    <n v="398731.03448275902"/>
  </r>
  <r>
    <x v="0"/>
    <x v="0"/>
    <x v="0"/>
    <x v="8"/>
    <x v="16"/>
    <s v="PL_A"/>
    <x v="3"/>
    <x v="227"/>
    <x v="0"/>
    <x v="1"/>
    <n v="303.44827586206901"/>
    <n v="110758.620689655"/>
    <n v="398731.03448275902"/>
  </r>
  <r>
    <x v="0"/>
    <x v="0"/>
    <x v="0"/>
    <x v="8"/>
    <x v="16"/>
    <s v="PL_A"/>
    <x v="3"/>
    <x v="227"/>
    <x v="0"/>
    <x v="2"/>
    <n v="303.44827586206901"/>
    <n v="110758.620689655"/>
    <n v="398731.03448275902"/>
  </r>
  <r>
    <x v="0"/>
    <x v="0"/>
    <x v="0"/>
    <x v="8"/>
    <x v="16"/>
    <s v="PL_A"/>
    <x v="3"/>
    <x v="227"/>
    <x v="0"/>
    <x v="9"/>
    <n v="303.44827586206901"/>
    <n v="110758.620689655"/>
    <n v="398731.03448275902"/>
  </r>
  <r>
    <x v="0"/>
    <x v="0"/>
    <x v="0"/>
    <x v="8"/>
    <x v="16"/>
    <s v="PL_A"/>
    <x v="3"/>
    <x v="227"/>
    <x v="0"/>
    <x v="10"/>
    <n v="303.44827586206901"/>
    <n v="110758.620689655"/>
    <n v="398731.03448275902"/>
  </r>
  <r>
    <x v="0"/>
    <x v="0"/>
    <x v="0"/>
    <x v="8"/>
    <x v="16"/>
    <s v="PL_A"/>
    <x v="3"/>
    <x v="227"/>
    <x v="0"/>
    <x v="11"/>
    <n v="303.44827586206901"/>
    <n v="110758.620689655"/>
    <n v="398731.03448275902"/>
  </r>
  <r>
    <x v="0"/>
    <x v="0"/>
    <x v="0"/>
    <x v="8"/>
    <x v="16"/>
    <s v="PL_A"/>
    <x v="3"/>
    <x v="227"/>
    <x v="0"/>
    <x v="12"/>
    <n v="303.44827586206901"/>
    <n v="110758.620689655"/>
    <n v="398731.03448275902"/>
  </r>
  <r>
    <x v="0"/>
    <x v="0"/>
    <x v="0"/>
    <x v="8"/>
    <x v="16"/>
    <s v="PL_A"/>
    <x v="3"/>
    <x v="227"/>
    <x v="0"/>
    <x v="13"/>
    <n v="303.44827586206901"/>
    <n v="110758.620689655"/>
    <n v="398731.03448275902"/>
  </r>
  <r>
    <x v="0"/>
    <x v="0"/>
    <x v="0"/>
    <x v="8"/>
    <x v="16"/>
    <s v="PL_A"/>
    <x v="3"/>
    <x v="227"/>
    <x v="0"/>
    <x v="14"/>
    <n v="303.44827586206901"/>
    <n v="110758.620689655"/>
    <n v="398731.03448275902"/>
  </r>
  <r>
    <x v="0"/>
    <x v="0"/>
    <x v="0"/>
    <x v="8"/>
    <x v="16"/>
    <s v="PL_A"/>
    <x v="3"/>
    <x v="227"/>
    <x v="0"/>
    <x v="15"/>
    <n v="303.44827586206901"/>
    <n v="110758.620689655"/>
    <n v="398731.03448275902"/>
  </r>
  <r>
    <x v="0"/>
    <x v="0"/>
    <x v="0"/>
    <x v="8"/>
    <x v="16"/>
    <s v="PL_A"/>
    <x v="3"/>
    <x v="227"/>
    <x v="0"/>
    <x v="16"/>
    <n v="303.44827586206901"/>
    <n v="110758.620689655"/>
    <n v="398731.03448275902"/>
  </r>
  <r>
    <x v="0"/>
    <x v="0"/>
    <x v="0"/>
    <x v="8"/>
    <x v="16"/>
    <s v="PL_A"/>
    <x v="3"/>
    <x v="227"/>
    <x v="0"/>
    <x v="17"/>
    <n v="303.44827586206901"/>
    <n v="110758.620689655"/>
    <n v="398731.03448275902"/>
  </r>
  <r>
    <x v="0"/>
    <x v="0"/>
    <x v="0"/>
    <x v="8"/>
    <x v="16"/>
    <s v="PL_A"/>
    <x v="3"/>
    <x v="227"/>
    <x v="0"/>
    <x v="18"/>
    <n v="303.44827586206901"/>
    <n v="110758.620689655"/>
    <n v="398731.03448275902"/>
  </r>
  <r>
    <x v="0"/>
    <x v="0"/>
    <x v="0"/>
    <x v="8"/>
    <x v="16"/>
    <s v="PL_A"/>
    <x v="3"/>
    <x v="227"/>
    <x v="0"/>
    <x v="19"/>
    <n v="303.44827586206901"/>
    <n v="110758.620689655"/>
    <n v="398731.03448275902"/>
  </r>
  <r>
    <x v="0"/>
    <x v="0"/>
    <x v="0"/>
    <x v="8"/>
    <x v="16"/>
    <s v="PL_A"/>
    <x v="3"/>
    <x v="227"/>
    <x v="0"/>
    <x v="20"/>
    <n v="303.44827586206901"/>
    <n v="110758.620689655"/>
    <n v="398731.03448275902"/>
  </r>
  <r>
    <x v="0"/>
    <x v="0"/>
    <x v="0"/>
    <x v="8"/>
    <x v="16"/>
    <s v="PL_A"/>
    <x v="3"/>
    <x v="227"/>
    <x v="0"/>
    <x v="21"/>
    <n v="303.44827586206901"/>
    <n v="110758.620689655"/>
    <n v="398731.03448275902"/>
  </r>
  <r>
    <x v="0"/>
    <x v="0"/>
    <x v="0"/>
    <x v="8"/>
    <x v="16"/>
    <s v="PL_A"/>
    <x v="3"/>
    <x v="227"/>
    <x v="0"/>
    <x v="22"/>
    <n v="303.44827586206901"/>
    <n v="110758.620689655"/>
    <n v="398731.03448275902"/>
  </r>
  <r>
    <x v="0"/>
    <x v="0"/>
    <x v="0"/>
    <x v="8"/>
    <x v="16"/>
    <s v="PL_A"/>
    <x v="3"/>
    <x v="227"/>
    <x v="0"/>
    <x v="23"/>
    <n v="303.44827586206901"/>
    <n v="110758.620689655"/>
    <n v="398731.03448275902"/>
  </r>
  <r>
    <x v="0"/>
    <x v="0"/>
    <x v="0"/>
    <x v="8"/>
    <x v="16"/>
    <s v="PL_A"/>
    <x v="6"/>
    <x v="45"/>
    <x v="0"/>
    <x v="2"/>
    <n v="2.2203077554217899E-2"/>
    <n v="8.1041233072895391"/>
    <n v="29.174843906242302"/>
  </r>
  <r>
    <x v="0"/>
    <x v="0"/>
    <x v="0"/>
    <x v="8"/>
    <x v="16"/>
    <s v="PL_A"/>
    <x v="6"/>
    <x v="45"/>
    <x v="0"/>
    <x v="9"/>
    <n v="0.16714932230559901"/>
    <n v="61.009502641543797"/>
    <n v="219.63420950955799"/>
  </r>
  <r>
    <x v="0"/>
    <x v="0"/>
    <x v="0"/>
    <x v="8"/>
    <x v="16"/>
    <s v="PL_A"/>
    <x v="6"/>
    <x v="45"/>
    <x v="0"/>
    <x v="10"/>
    <n v="0.38610582557104101"/>
    <n v="140.92862633343"/>
    <n v="507.34305480034698"/>
  </r>
  <r>
    <x v="0"/>
    <x v="0"/>
    <x v="0"/>
    <x v="8"/>
    <x v="16"/>
    <s v="PL_A"/>
    <x v="6"/>
    <x v="45"/>
    <x v="0"/>
    <x v="11"/>
    <n v="0.58798303841015997"/>
    <n v="214.61380901970901"/>
    <n v="772.60971247095097"/>
  </r>
  <r>
    <x v="0"/>
    <x v="0"/>
    <x v="0"/>
    <x v="8"/>
    <x v="16"/>
    <s v="PL_A"/>
    <x v="6"/>
    <x v="45"/>
    <x v="0"/>
    <x v="12"/>
    <n v="0.66848342728622201"/>
    <n v="243.99645095947099"/>
    <n v="878.38722345409599"/>
  </r>
  <r>
    <x v="0"/>
    <x v="0"/>
    <x v="0"/>
    <x v="8"/>
    <x v="16"/>
    <s v="PL_A"/>
    <x v="6"/>
    <x v="45"/>
    <x v="0"/>
    <x v="13"/>
    <n v="0.58126518417580697"/>
    <n v="212.16179222417"/>
    <n v="763.78245200701099"/>
  </r>
  <r>
    <x v="0"/>
    <x v="0"/>
    <x v="0"/>
    <x v="8"/>
    <x v="16"/>
    <s v="PL_A"/>
    <x v="6"/>
    <x v="45"/>
    <x v="0"/>
    <x v="14"/>
    <n v="0.37824935197493298"/>
    <n v="138.06101347085001"/>
    <n v="497.01964849506197"/>
  </r>
  <r>
    <x v="0"/>
    <x v="0"/>
    <x v="0"/>
    <x v="8"/>
    <x v="16"/>
    <s v="PL_A"/>
    <x v="6"/>
    <x v="45"/>
    <x v="0"/>
    <x v="15"/>
    <n v="0.191515776647151"/>
    <n v="69.903258476210297"/>
    <n v="251.65173051435701"/>
  </r>
  <r>
    <x v="0"/>
    <x v="0"/>
    <x v="0"/>
    <x v="8"/>
    <x v="16"/>
    <s v="PL_A"/>
    <x v="6"/>
    <x v="45"/>
    <x v="0"/>
    <x v="16"/>
    <n v="2.4935764022429301E-2"/>
    <n v="9.1015538681867092"/>
    <n v="32.765593925472203"/>
  </r>
  <r>
    <x v="0"/>
    <x v="0"/>
    <x v="0"/>
    <x v="8"/>
    <x v="16"/>
    <s v="PL_A"/>
    <x v="7"/>
    <x v="200"/>
    <x v="0"/>
    <x v="2"/>
    <n v="18.589025755879099"/>
    <n v="6784.9944008958601"/>
    <n v="24425.979843225101"/>
  </r>
  <r>
    <x v="0"/>
    <x v="0"/>
    <x v="0"/>
    <x v="8"/>
    <x v="16"/>
    <s v="PL_A"/>
    <x v="7"/>
    <x v="200"/>
    <x v="0"/>
    <x v="16"/>
    <n v="23.649315068493099"/>
    <n v="8632"/>
    <n v="31075.200000000001"/>
  </r>
  <r>
    <x v="0"/>
    <x v="0"/>
    <x v="0"/>
    <x v="8"/>
    <x v="16"/>
    <s v="PL_A"/>
    <x v="8"/>
    <x v="47"/>
    <x v="0"/>
    <x v="3"/>
    <n v="209.95498743155599"/>
    <n v="76633.570412517802"/>
    <n v="275880.853485064"/>
  </r>
  <r>
    <x v="0"/>
    <x v="0"/>
    <x v="0"/>
    <x v="8"/>
    <x v="16"/>
    <s v="PL_A"/>
    <x v="8"/>
    <x v="47"/>
    <x v="0"/>
    <x v="4"/>
    <n v="251.94598491786701"/>
    <n v="91960.284495021304"/>
    <n v="331057.02418207697"/>
  </r>
  <r>
    <x v="0"/>
    <x v="0"/>
    <x v="0"/>
    <x v="8"/>
    <x v="16"/>
    <s v="PL_A"/>
    <x v="8"/>
    <x v="47"/>
    <x v="0"/>
    <x v="5"/>
    <n v="245.947270991251"/>
    <n v="89770.753911806503"/>
    <n v="323174.71408250398"/>
  </r>
  <r>
    <x v="0"/>
    <x v="0"/>
    <x v="0"/>
    <x v="8"/>
    <x v="16"/>
    <s v="PL_A"/>
    <x v="8"/>
    <x v="47"/>
    <x v="0"/>
    <x v="6"/>
    <n v="230.95048617471099"/>
    <n v="84296.927453769604"/>
    <n v="303468.93883356999"/>
  </r>
  <r>
    <x v="0"/>
    <x v="0"/>
    <x v="0"/>
    <x v="8"/>
    <x v="16"/>
    <s v="PL_A"/>
    <x v="8"/>
    <x v="47"/>
    <x v="0"/>
    <x v="7"/>
    <n v="170.96334690855201"/>
    <n v="62401.621621621598"/>
    <n v="224645.83783783799"/>
  </r>
  <r>
    <x v="0"/>
    <x v="0"/>
    <x v="0"/>
    <x v="8"/>
    <x v="16"/>
    <s v="PL_A"/>
    <x v="8"/>
    <x v="47"/>
    <x v="0"/>
    <x v="8"/>
    <n v="98.978779789161905"/>
    <n v="36127.2546230441"/>
    <n v="130058.11664295899"/>
  </r>
  <r>
    <x v="0"/>
    <x v="0"/>
    <x v="0"/>
    <x v="8"/>
    <x v="16"/>
    <s v="PL_A"/>
    <x v="8"/>
    <x v="47"/>
    <x v="0"/>
    <x v="0"/>
    <n v="20.995498743155601"/>
    <n v="7663.3570412517802"/>
    <n v="27588.0853485064"/>
  </r>
  <r>
    <x v="0"/>
    <x v="0"/>
    <x v="0"/>
    <x v="8"/>
    <x v="16"/>
    <s v="PL_A"/>
    <x v="8"/>
    <x v="47"/>
    <x v="0"/>
    <x v="1"/>
    <n v="14.9967848165397"/>
    <n v="5473.8264580369796"/>
    <n v="19705.7752489331"/>
  </r>
  <r>
    <x v="0"/>
    <x v="0"/>
    <x v="0"/>
    <x v="8"/>
    <x v="16"/>
    <s v="PL_A"/>
    <x v="8"/>
    <x v="47"/>
    <x v="0"/>
    <x v="2"/>
    <n v="20.995498743155601"/>
    <n v="7663.3570412517802"/>
    <n v="27588.0853485064"/>
  </r>
  <r>
    <x v="0"/>
    <x v="0"/>
    <x v="0"/>
    <x v="8"/>
    <x v="16"/>
    <s v="PL_A"/>
    <x v="8"/>
    <x v="47"/>
    <x v="0"/>
    <x v="9"/>
    <n v="98.978779789161905"/>
    <n v="36127.2546230441"/>
    <n v="130058.11664295899"/>
  </r>
  <r>
    <x v="0"/>
    <x v="0"/>
    <x v="0"/>
    <x v="8"/>
    <x v="16"/>
    <s v="PL_A"/>
    <x v="8"/>
    <x v="47"/>
    <x v="0"/>
    <x v="10"/>
    <n v="230.95048617471099"/>
    <n v="84296.927453769604"/>
    <n v="303468.93883356999"/>
  </r>
  <r>
    <x v="0"/>
    <x v="0"/>
    <x v="0"/>
    <x v="8"/>
    <x v="16"/>
    <s v="PL_A"/>
    <x v="8"/>
    <x v="47"/>
    <x v="0"/>
    <x v="11"/>
    <n v="356.92347863364398"/>
    <n v="130277.06970127999"/>
    <n v="468997.45092460897"/>
  </r>
  <r>
    <x v="0"/>
    <x v="0"/>
    <x v="0"/>
    <x v="8"/>
    <x v="16"/>
    <s v="PL_A"/>
    <x v="8"/>
    <x v="47"/>
    <x v="0"/>
    <x v="12"/>
    <n v="413.91126093649501"/>
    <n v="151077.61024182101"/>
    <n v="543879.39687055501"/>
  </r>
  <r>
    <x v="0"/>
    <x v="0"/>
    <x v="0"/>
    <x v="8"/>
    <x v="16"/>
    <s v="PL_A"/>
    <x v="8"/>
    <x v="47"/>
    <x v="0"/>
    <x v="13"/>
    <n v="473.89840020265399"/>
    <n v="172972.91607396901"/>
    <n v="622702.49786628701"/>
  </r>
  <r>
    <x v="0"/>
    <x v="0"/>
    <x v="0"/>
    <x v="8"/>
    <x v="16"/>
    <s v="PL_A"/>
    <x v="8"/>
    <x v="47"/>
    <x v="0"/>
    <x v="14"/>
    <n v="473.89840020265399"/>
    <n v="172972.91607396901"/>
    <n v="622702.49786628701"/>
  </r>
  <r>
    <x v="0"/>
    <x v="0"/>
    <x v="0"/>
    <x v="8"/>
    <x v="16"/>
    <s v="PL_A"/>
    <x v="8"/>
    <x v="47"/>
    <x v="0"/>
    <x v="15"/>
    <n v="749.839240826984"/>
    <n v="273691.32290184899"/>
    <n v="985288.76244665706"/>
  </r>
  <r>
    <x v="0"/>
    <x v="0"/>
    <x v="0"/>
    <x v="8"/>
    <x v="16"/>
    <s v="PL_A"/>
    <x v="8"/>
    <x v="47"/>
    <x v="0"/>
    <x v="16"/>
    <n v="968.79229914846303"/>
    <n v="353609.189189189"/>
    <n v="1272993.08108108"/>
  </r>
  <r>
    <x v="0"/>
    <x v="0"/>
    <x v="0"/>
    <x v="8"/>
    <x v="16"/>
    <s v="PL_A"/>
    <x v="8"/>
    <x v="47"/>
    <x v="0"/>
    <x v="17"/>
    <n v="956.79487129523204"/>
    <n v="349230.12802275998"/>
    <n v="1257228.4608819301"/>
  </r>
  <r>
    <x v="0"/>
    <x v="0"/>
    <x v="0"/>
    <x v="8"/>
    <x v="16"/>
    <s v="PL_A"/>
    <x v="8"/>
    <x v="47"/>
    <x v="0"/>
    <x v="18"/>
    <n v="1307.7196360022599"/>
    <n v="477317.66714082501"/>
    <n v="1718343.60170697"/>
  </r>
  <r>
    <x v="0"/>
    <x v="0"/>
    <x v="0"/>
    <x v="8"/>
    <x v="16"/>
    <s v="PL_A"/>
    <x v="8"/>
    <x v="47"/>
    <x v="0"/>
    <x v="19"/>
    <n v="1946.5826691868499"/>
    <n v="710502.674253201"/>
    <n v="2557809.6273115198"/>
  </r>
  <r>
    <x v="0"/>
    <x v="0"/>
    <x v="0"/>
    <x v="8"/>
    <x v="16"/>
    <s v="PL_A"/>
    <x v="8"/>
    <x v="47"/>
    <x v="0"/>
    <x v="20"/>
    <n v="2255.5164364075699"/>
    <n v="823263.49928876304"/>
    <n v="2963748.5974395499"/>
  </r>
  <r>
    <x v="0"/>
    <x v="0"/>
    <x v="0"/>
    <x v="8"/>
    <x v="16"/>
    <s v="PL_A"/>
    <x v="8"/>
    <x v="47"/>
    <x v="0"/>
    <x v="21"/>
    <n v="2432.4784972427401"/>
    <n v="887854.65149359906"/>
    <n v="3196276.7453769599"/>
  </r>
  <r>
    <x v="0"/>
    <x v="0"/>
    <x v="0"/>
    <x v="8"/>
    <x v="16"/>
    <s v="PL_A"/>
    <x v="8"/>
    <x v="47"/>
    <x v="0"/>
    <x v="22"/>
    <n v="2471.4701377657402"/>
    <n v="902086.60028449504"/>
    <n v="3247511.7610241799"/>
  </r>
  <r>
    <x v="0"/>
    <x v="0"/>
    <x v="0"/>
    <x v="8"/>
    <x v="16"/>
    <s v="PL_A"/>
    <x v="8"/>
    <x v="47"/>
    <x v="0"/>
    <x v="23"/>
    <n v="2573.4482745182099"/>
    <n v="939308.62019914598"/>
    <n v="3381511.0327169299"/>
  </r>
  <r>
    <x v="0"/>
    <x v="0"/>
    <x v="0"/>
    <x v="8"/>
    <x v="16"/>
    <s v="PL_A"/>
    <x v="13"/>
    <x v="228"/>
    <x v="0"/>
    <x v="3"/>
    <n v="2622.2222222222199"/>
    <n v="957111.11111111101"/>
    <n v="3445600"/>
  </r>
  <r>
    <x v="0"/>
    <x v="0"/>
    <x v="0"/>
    <x v="8"/>
    <x v="16"/>
    <s v="PL_A"/>
    <x v="13"/>
    <x v="228"/>
    <x v="0"/>
    <x v="4"/>
    <n v="2622.2222222222199"/>
    <n v="957111.11111111101"/>
    <n v="3445600"/>
  </r>
  <r>
    <x v="0"/>
    <x v="0"/>
    <x v="0"/>
    <x v="8"/>
    <x v="16"/>
    <s v="PL_A"/>
    <x v="13"/>
    <x v="228"/>
    <x v="0"/>
    <x v="5"/>
    <n v="2622.2222222222199"/>
    <n v="957111.11111111101"/>
    <n v="3445600"/>
  </r>
  <r>
    <x v="0"/>
    <x v="0"/>
    <x v="0"/>
    <x v="8"/>
    <x v="16"/>
    <s v="PL_A"/>
    <x v="13"/>
    <x v="228"/>
    <x v="0"/>
    <x v="6"/>
    <n v="2622.2222222222199"/>
    <n v="957111.11111111101"/>
    <n v="3445600"/>
  </r>
  <r>
    <x v="0"/>
    <x v="0"/>
    <x v="0"/>
    <x v="8"/>
    <x v="16"/>
    <s v="PL_A"/>
    <x v="13"/>
    <x v="228"/>
    <x v="0"/>
    <x v="7"/>
    <n v="2622.2222222222199"/>
    <n v="957111.11111111101"/>
    <n v="3445600"/>
  </r>
  <r>
    <x v="0"/>
    <x v="0"/>
    <x v="0"/>
    <x v="8"/>
    <x v="16"/>
    <s v="PL_A"/>
    <x v="13"/>
    <x v="228"/>
    <x v="0"/>
    <x v="8"/>
    <n v="2622.2222222222199"/>
    <n v="957111.11111111101"/>
    <n v="3445600"/>
  </r>
  <r>
    <x v="0"/>
    <x v="0"/>
    <x v="0"/>
    <x v="8"/>
    <x v="16"/>
    <s v="PL_A"/>
    <x v="13"/>
    <x v="228"/>
    <x v="0"/>
    <x v="0"/>
    <n v="2622.2222222222199"/>
    <n v="957111.11111111101"/>
    <n v="3445600"/>
  </r>
  <r>
    <x v="0"/>
    <x v="0"/>
    <x v="0"/>
    <x v="8"/>
    <x v="16"/>
    <s v="PL_A"/>
    <x v="13"/>
    <x v="228"/>
    <x v="0"/>
    <x v="1"/>
    <n v="2622.2222222222199"/>
    <n v="957111.11111111101"/>
    <n v="3445600"/>
  </r>
  <r>
    <x v="0"/>
    <x v="0"/>
    <x v="0"/>
    <x v="8"/>
    <x v="16"/>
    <s v="PL_A"/>
    <x v="13"/>
    <x v="228"/>
    <x v="0"/>
    <x v="2"/>
    <n v="2622.2222222222199"/>
    <n v="957111.11111111101"/>
    <n v="3445600"/>
  </r>
  <r>
    <x v="0"/>
    <x v="0"/>
    <x v="0"/>
    <x v="8"/>
    <x v="16"/>
    <s v="PL_A"/>
    <x v="13"/>
    <x v="228"/>
    <x v="0"/>
    <x v="9"/>
    <n v="2622.2222222222199"/>
    <n v="957111.11111111101"/>
    <n v="3445600"/>
  </r>
  <r>
    <x v="0"/>
    <x v="0"/>
    <x v="0"/>
    <x v="8"/>
    <x v="16"/>
    <s v="PL_A"/>
    <x v="13"/>
    <x v="228"/>
    <x v="0"/>
    <x v="10"/>
    <n v="2622.2222222222199"/>
    <n v="957111.11111111101"/>
    <n v="3445600"/>
  </r>
  <r>
    <x v="0"/>
    <x v="0"/>
    <x v="0"/>
    <x v="8"/>
    <x v="16"/>
    <s v="PL_A"/>
    <x v="13"/>
    <x v="228"/>
    <x v="0"/>
    <x v="11"/>
    <n v="2622.2222222222199"/>
    <n v="957111.11111111101"/>
    <n v="3445600"/>
  </r>
  <r>
    <x v="0"/>
    <x v="0"/>
    <x v="0"/>
    <x v="8"/>
    <x v="16"/>
    <s v="PL_A"/>
    <x v="13"/>
    <x v="228"/>
    <x v="0"/>
    <x v="12"/>
    <n v="2622.2222222222199"/>
    <n v="957111.11111111101"/>
    <n v="3445600"/>
  </r>
  <r>
    <x v="0"/>
    <x v="0"/>
    <x v="0"/>
    <x v="8"/>
    <x v="16"/>
    <s v="PL_A"/>
    <x v="13"/>
    <x v="228"/>
    <x v="0"/>
    <x v="13"/>
    <n v="2622.2222222222199"/>
    <n v="957111.11111111101"/>
    <n v="3445600"/>
  </r>
  <r>
    <x v="0"/>
    <x v="0"/>
    <x v="0"/>
    <x v="8"/>
    <x v="16"/>
    <s v="PL_A"/>
    <x v="13"/>
    <x v="228"/>
    <x v="0"/>
    <x v="14"/>
    <n v="2622.2222222222199"/>
    <n v="957111.11111111101"/>
    <n v="3445600"/>
  </r>
  <r>
    <x v="0"/>
    <x v="0"/>
    <x v="0"/>
    <x v="8"/>
    <x v="16"/>
    <s v="PL_A"/>
    <x v="13"/>
    <x v="228"/>
    <x v="0"/>
    <x v="15"/>
    <n v="2622.2222222222199"/>
    <n v="957111.11111111101"/>
    <n v="3445600"/>
  </r>
  <r>
    <x v="0"/>
    <x v="0"/>
    <x v="0"/>
    <x v="8"/>
    <x v="16"/>
    <s v="PL_A"/>
    <x v="13"/>
    <x v="228"/>
    <x v="0"/>
    <x v="16"/>
    <n v="2622.2222222222199"/>
    <n v="957111.11111111101"/>
    <n v="3445600"/>
  </r>
  <r>
    <x v="0"/>
    <x v="0"/>
    <x v="0"/>
    <x v="8"/>
    <x v="16"/>
    <s v="PL_A"/>
    <x v="13"/>
    <x v="228"/>
    <x v="0"/>
    <x v="17"/>
    <n v="2622.2222222222199"/>
    <n v="957111.11111111101"/>
    <n v="3445600"/>
  </r>
  <r>
    <x v="0"/>
    <x v="0"/>
    <x v="0"/>
    <x v="8"/>
    <x v="16"/>
    <s v="PL_A"/>
    <x v="13"/>
    <x v="228"/>
    <x v="0"/>
    <x v="18"/>
    <n v="2622.2222222222199"/>
    <n v="957111.11111111101"/>
    <n v="3445600"/>
  </r>
  <r>
    <x v="0"/>
    <x v="0"/>
    <x v="0"/>
    <x v="8"/>
    <x v="16"/>
    <s v="PL_A"/>
    <x v="13"/>
    <x v="228"/>
    <x v="0"/>
    <x v="19"/>
    <n v="2622.2222222222199"/>
    <n v="957111.11111111101"/>
    <n v="3445600"/>
  </r>
  <r>
    <x v="0"/>
    <x v="0"/>
    <x v="0"/>
    <x v="8"/>
    <x v="16"/>
    <s v="PL_A"/>
    <x v="13"/>
    <x v="228"/>
    <x v="0"/>
    <x v="20"/>
    <n v="2622.2222222222199"/>
    <n v="957111.11111111101"/>
    <n v="3445600"/>
  </r>
  <r>
    <x v="0"/>
    <x v="0"/>
    <x v="0"/>
    <x v="8"/>
    <x v="16"/>
    <s v="PL_A"/>
    <x v="13"/>
    <x v="228"/>
    <x v="0"/>
    <x v="21"/>
    <n v="2622.2222222222199"/>
    <n v="957111.11111111101"/>
    <n v="3445600"/>
  </r>
  <r>
    <x v="0"/>
    <x v="0"/>
    <x v="0"/>
    <x v="8"/>
    <x v="16"/>
    <s v="PL_A"/>
    <x v="13"/>
    <x v="228"/>
    <x v="0"/>
    <x v="22"/>
    <n v="2622.2222222222199"/>
    <n v="957111.11111111101"/>
    <n v="3445600"/>
  </r>
  <r>
    <x v="0"/>
    <x v="0"/>
    <x v="0"/>
    <x v="8"/>
    <x v="16"/>
    <s v="PL_A"/>
    <x v="13"/>
    <x v="228"/>
    <x v="0"/>
    <x v="23"/>
    <n v="2622.2222222222199"/>
    <n v="957111.11111111101"/>
    <n v="3445600"/>
  </r>
  <r>
    <x v="0"/>
    <x v="0"/>
    <x v="0"/>
    <x v="8"/>
    <x v="16"/>
    <s v="PL_Rural"/>
    <x v="0"/>
    <x v="229"/>
    <x v="0"/>
    <x v="16"/>
    <n v="948.88888888888903"/>
    <n v="346344.44444444397"/>
    <n v="1246840"/>
  </r>
  <r>
    <x v="0"/>
    <x v="0"/>
    <x v="0"/>
    <x v="8"/>
    <x v="16"/>
    <s v="PL_Rural"/>
    <x v="0"/>
    <x v="229"/>
    <x v="0"/>
    <x v="17"/>
    <n v="372.46144251581802"/>
    <n v="135948.42651827401"/>
    <n v="489414.335465785"/>
  </r>
  <r>
    <x v="0"/>
    <x v="0"/>
    <x v="0"/>
    <x v="8"/>
    <x v="16"/>
    <s v="PL_Rural"/>
    <x v="7"/>
    <x v="46"/>
    <x v="0"/>
    <x v="3"/>
    <n v="263.81563926940601"/>
    <n v="96292.708333333299"/>
    <n v="346653.75"/>
  </r>
  <r>
    <x v="0"/>
    <x v="0"/>
    <x v="0"/>
    <x v="8"/>
    <x v="16"/>
    <s v="PL_Rural"/>
    <x v="7"/>
    <x v="46"/>
    <x v="0"/>
    <x v="4"/>
    <n v="263.81563926940601"/>
    <n v="96292.708333333299"/>
    <n v="346653.75"/>
  </r>
  <r>
    <x v="0"/>
    <x v="0"/>
    <x v="0"/>
    <x v="8"/>
    <x v="16"/>
    <s v="PL_Rural"/>
    <x v="7"/>
    <x v="46"/>
    <x v="0"/>
    <x v="5"/>
    <n v="263.81563926940601"/>
    <n v="96292.708333333299"/>
    <n v="346653.75"/>
  </r>
  <r>
    <x v="0"/>
    <x v="0"/>
    <x v="0"/>
    <x v="8"/>
    <x v="16"/>
    <s v="PL_Rural"/>
    <x v="7"/>
    <x v="46"/>
    <x v="0"/>
    <x v="6"/>
    <n v="263.81563926940601"/>
    <n v="96292.708333333299"/>
    <n v="346653.75"/>
  </r>
  <r>
    <x v="0"/>
    <x v="0"/>
    <x v="0"/>
    <x v="8"/>
    <x v="16"/>
    <s v="PL_Rural"/>
    <x v="7"/>
    <x v="46"/>
    <x v="0"/>
    <x v="7"/>
    <n v="263.81563926940601"/>
    <n v="96292.708333333299"/>
    <n v="346653.75"/>
  </r>
  <r>
    <x v="0"/>
    <x v="0"/>
    <x v="0"/>
    <x v="8"/>
    <x v="16"/>
    <s v="PL_Rural"/>
    <x v="7"/>
    <x v="46"/>
    <x v="0"/>
    <x v="8"/>
    <n v="263.81563926940601"/>
    <n v="96292.708333333299"/>
    <n v="346653.75"/>
  </r>
  <r>
    <x v="0"/>
    <x v="0"/>
    <x v="0"/>
    <x v="8"/>
    <x v="16"/>
    <s v="PL_Rural"/>
    <x v="7"/>
    <x v="46"/>
    <x v="0"/>
    <x v="0"/>
    <n v="263.81563926940601"/>
    <n v="96292.708333333299"/>
    <n v="346653.75"/>
  </r>
  <r>
    <x v="0"/>
    <x v="0"/>
    <x v="0"/>
    <x v="8"/>
    <x v="16"/>
    <s v="PL_Rural"/>
    <x v="7"/>
    <x v="46"/>
    <x v="0"/>
    <x v="1"/>
    <n v="263.81563926940601"/>
    <n v="96292.708333333299"/>
    <n v="346653.75"/>
  </r>
  <r>
    <x v="0"/>
    <x v="0"/>
    <x v="0"/>
    <x v="8"/>
    <x v="16"/>
    <s v="PL_Rural"/>
    <x v="7"/>
    <x v="46"/>
    <x v="0"/>
    <x v="2"/>
    <n v="263.81563926940601"/>
    <n v="96292.708333333299"/>
    <n v="346653.75"/>
  </r>
  <r>
    <x v="0"/>
    <x v="0"/>
    <x v="0"/>
    <x v="8"/>
    <x v="16"/>
    <s v="PL_Rural"/>
    <x v="7"/>
    <x v="46"/>
    <x v="0"/>
    <x v="9"/>
    <n v="263.81563926940601"/>
    <n v="96292.708333333299"/>
    <n v="346653.75"/>
  </r>
  <r>
    <x v="0"/>
    <x v="0"/>
    <x v="0"/>
    <x v="8"/>
    <x v="16"/>
    <s v="PL_Rural"/>
    <x v="7"/>
    <x v="46"/>
    <x v="0"/>
    <x v="10"/>
    <n v="263.81563926940601"/>
    <n v="96292.708333333299"/>
    <n v="346653.75"/>
  </r>
  <r>
    <x v="0"/>
    <x v="0"/>
    <x v="0"/>
    <x v="8"/>
    <x v="16"/>
    <s v="PL_Rural"/>
    <x v="7"/>
    <x v="46"/>
    <x v="0"/>
    <x v="11"/>
    <n v="263.81563926940601"/>
    <n v="96292.708333333299"/>
    <n v="346653.75"/>
  </r>
  <r>
    <x v="0"/>
    <x v="0"/>
    <x v="0"/>
    <x v="8"/>
    <x v="16"/>
    <s v="PL_Rural"/>
    <x v="7"/>
    <x v="46"/>
    <x v="0"/>
    <x v="12"/>
    <n v="263.81563926940601"/>
    <n v="96292.708333333299"/>
    <n v="346653.75"/>
  </r>
  <r>
    <x v="0"/>
    <x v="0"/>
    <x v="0"/>
    <x v="8"/>
    <x v="16"/>
    <s v="PL_Rural"/>
    <x v="7"/>
    <x v="46"/>
    <x v="0"/>
    <x v="13"/>
    <n v="263.81563926940601"/>
    <n v="96292.708333333299"/>
    <n v="346653.75"/>
  </r>
  <r>
    <x v="0"/>
    <x v="0"/>
    <x v="0"/>
    <x v="8"/>
    <x v="16"/>
    <s v="PL_Rural"/>
    <x v="7"/>
    <x v="46"/>
    <x v="0"/>
    <x v="14"/>
    <n v="263.81563926940601"/>
    <n v="96292.708333333299"/>
    <n v="346653.75"/>
  </r>
  <r>
    <x v="0"/>
    <x v="0"/>
    <x v="0"/>
    <x v="8"/>
    <x v="16"/>
    <s v="PL_Rural"/>
    <x v="7"/>
    <x v="46"/>
    <x v="0"/>
    <x v="15"/>
    <n v="263.81563926940601"/>
    <n v="96292.708333333299"/>
    <n v="346653.75"/>
  </r>
  <r>
    <x v="0"/>
    <x v="0"/>
    <x v="0"/>
    <x v="8"/>
    <x v="16"/>
    <s v="PL_Rural"/>
    <x v="7"/>
    <x v="46"/>
    <x v="0"/>
    <x v="16"/>
    <n v="263.81563926940601"/>
    <n v="96292.708333333299"/>
    <n v="346653.75"/>
  </r>
  <r>
    <x v="0"/>
    <x v="0"/>
    <x v="0"/>
    <x v="8"/>
    <x v="16"/>
    <s v="PL_Rural"/>
    <x v="7"/>
    <x v="46"/>
    <x v="0"/>
    <x v="17"/>
    <n v="263.81563926940601"/>
    <n v="96292.708333333299"/>
    <n v="346653.75"/>
  </r>
  <r>
    <x v="0"/>
    <x v="0"/>
    <x v="0"/>
    <x v="8"/>
    <x v="16"/>
    <s v="PL_Rural"/>
    <x v="7"/>
    <x v="46"/>
    <x v="0"/>
    <x v="18"/>
    <n v="263.81563926940601"/>
    <n v="96292.708333333299"/>
    <n v="346653.75"/>
  </r>
  <r>
    <x v="0"/>
    <x v="0"/>
    <x v="0"/>
    <x v="8"/>
    <x v="16"/>
    <s v="PL_Rural"/>
    <x v="7"/>
    <x v="46"/>
    <x v="0"/>
    <x v="19"/>
    <n v="263.81563926940601"/>
    <n v="96292.708333333299"/>
    <n v="346653.75"/>
  </r>
  <r>
    <x v="0"/>
    <x v="0"/>
    <x v="0"/>
    <x v="8"/>
    <x v="16"/>
    <s v="PL_Rural"/>
    <x v="7"/>
    <x v="46"/>
    <x v="0"/>
    <x v="20"/>
    <n v="263.81563926940601"/>
    <n v="96292.708333333299"/>
    <n v="346653.75"/>
  </r>
  <r>
    <x v="0"/>
    <x v="0"/>
    <x v="0"/>
    <x v="8"/>
    <x v="16"/>
    <s v="PL_Rural"/>
    <x v="7"/>
    <x v="46"/>
    <x v="0"/>
    <x v="21"/>
    <n v="263.81563926940601"/>
    <n v="96292.708333333299"/>
    <n v="346653.75"/>
  </r>
  <r>
    <x v="0"/>
    <x v="0"/>
    <x v="0"/>
    <x v="8"/>
    <x v="16"/>
    <s v="PL_Rural"/>
    <x v="7"/>
    <x v="46"/>
    <x v="0"/>
    <x v="22"/>
    <n v="263.81563926940601"/>
    <n v="96292.708333333299"/>
    <n v="346653.75"/>
  </r>
  <r>
    <x v="0"/>
    <x v="0"/>
    <x v="0"/>
    <x v="8"/>
    <x v="16"/>
    <s v="PL_Rural"/>
    <x v="7"/>
    <x v="46"/>
    <x v="0"/>
    <x v="23"/>
    <n v="263.81563926940601"/>
    <n v="96292.708333333299"/>
    <n v="346653.75"/>
  </r>
  <r>
    <x v="0"/>
    <x v="0"/>
    <x v="0"/>
    <x v="9"/>
    <x v="17"/>
    <s v="SE1A"/>
    <x v="7"/>
    <x v="122"/>
    <x v="0"/>
    <x v="3"/>
    <n v="405.5"/>
    <n v="148007.5"/>
    <n v="532827"/>
  </r>
  <r>
    <x v="0"/>
    <x v="0"/>
    <x v="0"/>
    <x v="9"/>
    <x v="17"/>
    <s v="SE1A"/>
    <x v="7"/>
    <x v="122"/>
    <x v="0"/>
    <x v="4"/>
    <n v="405.5"/>
    <n v="148007.5"/>
    <n v="532827"/>
  </r>
  <r>
    <x v="0"/>
    <x v="0"/>
    <x v="0"/>
    <x v="9"/>
    <x v="17"/>
    <s v="SE1A"/>
    <x v="7"/>
    <x v="122"/>
    <x v="0"/>
    <x v="5"/>
    <n v="405.5"/>
    <n v="148007.5"/>
    <n v="532827"/>
  </r>
  <r>
    <x v="0"/>
    <x v="0"/>
    <x v="0"/>
    <x v="9"/>
    <x v="17"/>
    <s v="SE1A"/>
    <x v="7"/>
    <x v="122"/>
    <x v="0"/>
    <x v="6"/>
    <n v="405.5"/>
    <n v="148007.5"/>
    <n v="532827"/>
  </r>
  <r>
    <x v="0"/>
    <x v="0"/>
    <x v="0"/>
    <x v="9"/>
    <x v="17"/>
    <s v="SE1A"/>
    <x v="7"/>
    <x v="122"/>
    <x v="0"/>
    <x v="7"/>
    <n v="405.5"/>
    <n v="148007.5"/>
    <n v="532827"/>
  </r>
  <r>
    <x v="0"/>
    <x v="0"/>
    <x v="0"/>
    <x v="9"/>
    <x v="17"/>
    <s v="SE1A"/>
    <x v="7"/>
    <x v="122"/>
    <x v="0"/>
    <x v="8"/>
    <n v="405.5"/>
    <n v="148007.5"/>
    <n v="532827"/>
  </r>
  <r>
    <x v="0"/>
    <x v="0"/>
    <x v="0"/>
    <x v="9"/>
    <x v="17"/>
    <s v="SE1A"/>
    <x v="7"/>
    <x v="122"/>
    <x v="0"/>
    <x v="0"/>
    <n v="405.5"/>
    <n v="148007.5"/>
    <n v="532827"/>
  </r>
  <r>
    <x v="0"/>
    <x v="0"/>
    <x v="0"/>
    <x v="9"/>
    <x v="17"/>
    <s v="SE1A"/>
    <x v="7"/>
    <x v="122"/>
    <x v="0"/>
    <x v="1"/>
    <n v="405.5"/>
    <n v="148007.5"/>
    <n v="532827"/>
  </r>
  <r>
    <x v="0"/>
    <x v="0"/>
    <x v="0"/>
    <x v="9"/>
    <x v="17"/>
    <s v="SE1A"/>
    <x v="7"/>
    <x v="122"/>
    <x v="0"/>
    <x v="2"/>
    <n v="405.5"/>
    <n v="148007.5"/>
    <n v="532827"/>
  </r>
  <r>
    <x v="0"/>
    <x v="0"/>
    <x v="0"/>
    <x v="9"/>
    <x v="17"/>
    <s v="SE1A"/>
    <x v="7"/>
    <x v="122"/>
    <x v="0"/>
    <x v="9"/>
    <n v="405.5"/>
    <n v="148007.5"/>
    <n v="532827"/>
  </r>
  <r>
    <x v="0"/>
    <x v="0"/>
    <x v="0"/>
    <x v="9"/>
    <x v="17"/>
    <s v="SE1A"/>
    <x v="7"/>
    <x v="122"/>
    <x v="0"/>
    <x v="10"/>
    <n v="405.5"/>
    <n v="148007.5"/>
    <n v="532827"/>
  </r>
  <r>
    <x v="0"/>
    <x v="0"/>
    <x v="0"/>
    <x v="9"/>
    <x v="17"/>
    <s v="SE1A"/>
    <x v="7"/>
    <x v="122"/>
    <x v="0"/>
    <x v="11"/>
    <n v="405.5"/>
    <n v="148007.5"/>
    <n v="532827"/>
  </r>
  <r>
    <x v="0"/>
    <x v="0"/>
    <x v="0"/>
    <x v="9"/>
    <x v="17"/>
    <s v="SE1A"/>
    <x v="7"/>
    <x v="122"/>
    <x v="0"/>
    <x v="12"/>
    <n v="405.5"/>
    <n v="148007.5"/>
    <n v="532827"/>
  </r>
  <r>
    <x v="0"/>
    <x v="0"/>
    <x v="0"/>
    <x v="9"/>
    <x v="17"/>
    <s v="SE1A"/>
    <x v="7"/>
    <x v="122"/>
    <x v="0"/>
    <x v="13"/>
    <n v="405.5"/>
    <n v="148007.5"/>
    <n v="532827"/>
  </r>
  <r>
    <x v="0"/>
    <x v="0"/>
    <x v="0"/>
    <x v="9"/>
    <x v="17"/>
    <s v="SE1A"/>
    <x v="7"/>
    <x v="122"/>
    <x v="0"/>
    <x v="14"/>
    <n v="405.5"/>
    <n v="148007.5"/>
    <n v="532827"/>
  </r>
  <r>
    <x v="0"/>
    <x v="0"/>
    <x v="0"/>
    <x v="9"/>
    <x v="17"/>
    <s v="SE1A"/>
    <x v="7"/>
    <x v="122"/>
    <x v="0"/>
    <x v="15"/>
    <n v="405.5"/>
    <n v="148007.5"/>
    <n v="532827"/>
  </r>
  <r>
    <x v="0"/>
    <x v="0"/>
    <x v="0"/>
    <x v="9"/>
    <x v="17"/>
    <s v="SE1A"/>
    <x v="7"/>
    <x v="122"/>
    <x v="0"/>
    <x v="16"/>
    <n v="405.5"/>
    <n v="148007.5"/>
    <n v="532827"/>
  </r>
  <r>
    <x v="0"/>
    <x v="0"/>
    <x v="0"/>
    <x v="9"/>
    <x v="17"/>
    <s v="SE1A"/>
    <x v="7"/>
    <x v="122"/>
    <x v="0"/>
    <x v="17"/>
    <n v="405.5"/>
    <n v="148007.5"/>
    <n v="532827"/>
  </r>
  <r>
    <x v="0"/>
    <x v="0"/>
    <x v="0"/>
    <x v="9"/>
    <x v="17"/>
    <s v="SE1A"/>
    <x v="7"/>
    <x v="122"/>
    <x v="0"/>
    <x v="18"/>
    <n v="405.5"/>
    <n v="148007.5"/>
    <n v="532827"/>
  </r>
  <r>
    <x v="0"/>
    <x v="0"/>
    <x v="0"/>
    <x v="9"/>
    <x v="17"/>
    <s v="SE1A"/>
    <x v="7"/>
    <x v="122"/>
    <x v="0"/>
    <x v="19"/>
    <n v="405.5"/>
    <n v="148007.5"/>
    <n v="532827"/>
  </r>
  <r>
    <x v="0"/>
    <x v="0"/>
    <x v="0"/>
    <x v="9"/>
    <x v="17"/>
    <s v="SE1A"/>
    <x v="7"/>
    <x v="122"/>
    <x v="0"/>
    <x v="20"/>
    <n v="405.5"/>
    <n v="148007.5"/>
    <n v="532827"/>
  </r>
  <r>
    <x v="0"/>
    <x v="0"/>
    <x v="0"/>
    <x v="9"/>
    <x v="17"/>
    <s v="SE1A"/>
    <x v="7"/>
    <x v="122"/>
    <x v="0"/>
    <x v="21"/>
    <n v="405.5"/>
    <n v="148007.5"/>
    <n v="532827"/>
  </r>
  <r>
    <x v="0"/>
    <x v="0"/>
    <x v="0"/>
    <x v="9"/>
    <x v="17"/>
    <s v="SE1A"/>
    <x v="7"/>
    <x v="122"/>
    <x v="0"/>
    <x v="22"/>
    <n v="405.5"/>
    <n v="148007.5"/>
    <n v="532827"/>
  </r>
  <r>
    <x v="0"/>
    <x v="0"/>
    <x v="0"/>
    <x v="9"/>
    <x v="17"/>
    <s v="SE1A"/>
    <x v="7"/>
    <x v="122"/>
    <x v="0"/>
    <x v="23"/>
    <n v="405.5"/>
    <n v="148007.5"/>
    <n v="532827"/>
  </r>
  <r>
    <x v="0"/>
    <x v="0"/>
    <x v="0"/>
    <x v="9"/>
    <x v="17"/>
    <s v="SE1A"/>
    <x v="7"/>
    <x v="123"/>
    <x v="0"/>
    <x v="3"/>
    <n v="405.5"/>
    <n v="148007.5"/>
    <n v="532827"/>
  </r>
  <r>
    <x v="0"/>
    <x v="0"/>
    <x v="0"/>
    <x v="9"/>
    <x v="17"/>
    <s v="SE1A"/>
    <x v="7"/>
    <x v="123"/>
    <x v="0"/>
    <x v="4"/>
    <n v="405.5"/>
    <n v="148007.5"/>
    <n v="532827"/>
  </r>
  <r>
    <x v="0"/>
    <x v="0"/>
    <x v="0"/>
    <x v="9"/>
    <x v="17"/>
    <s v="SE1A"/>
    <x v="7"/>
    <x v="123"/>
    <x v="0"/>
    <x v="5"/>
    <n v="405.5"/>
    <n v="148007.5"/>
    <n v="532827"/>
  </r>
  <r>
    <x v="0"/>
    <x v="0"/>
    <x v="0"/>
    <x v="9"/>
    <x v="17"/>
    <s v="SE1A"/>
    <x v="7"/>
    <x v="123"/>
    <x v="0"/>
    <x v="6"/>
    <n v="405.5"/>
    <n v="148007.5"/>
    <n v="532827"/>
  </r>
  <r>
    <x v="0"/>
    <x v="0"/>
    <x v="0"/>
    <x v="9"/>
    <x v="17"/>
    <s v="SE1A"/>
    <x v="7"/>
    <x v="123"/>
    <x v="0"/>
    <x v="7"/>
    <n v="405.5"/>
    <n v="148007.5"/>
    <n v="532827"/>
  </r>
  <r>
    <x v="0"/>
    <x v="0"/>
    <x v="0"/>
    <x v="9"/>
    <x v="17"/>
    <s v="SE1A"/>
    <x v="7"/>
    <x v="123"/>
    <x v="0"/>
    <x v="8"/>
    <n v="405.5"/>
    <n v="148007.5"/>
    <n v="532827"/>
  </r>
  <r>
    <x v="0"/>
    <x v="0"/>
    <x v="0"/>
    <x v="9"/>
    <x v="17"/>
    <s v="SE1A"/>
    <x v="7"/>
    <x v="123"/>
    <x v="0"/>
    <x v="0"/>
    <n v="405.5"/>
    <n v="148007.5"/>
    <n v="532827"/>
  </r>
  <r>
    <x v="0"/>
    <x v="0"/>
    <x v="0"/>
    <x v="9"/>
    <x v="17"/>
    <s v="SE1A"/>
    <x v="7"/>
    <x v="123"/>
    <x v="0"/>
    <x v="1"/>
    <n v="405.5"/>
    <n v="148007.5"/>
    <n v="532827"/>
  </r>
  <r>
    <x v="0"/>
    <x v="0"/>
    <x v="0"/>
    <x v="9"/>
    <x v="17"/>
    <s v="SE1A"/>
    <x v="7"/>
    <x v="123"/>
    <x v="0"/>
    <x v="2"/>
    <n v="405.5"/>
    <n v="148007.5"/>
    <n v="532827"/>
  </r>
  <r>
    <x v="0"/>
    <x v="0"/>
    <x v="0"/>
    <x v="9"/>
    <x v="17"/>
    <s v="SE1A"/>
    <x v="7"/>
    <x v="123"/>
    <x v="0"/>
    <x v="9"/>
    <n v="405.5"/>
    <n v="148007.5"/>
    <n v="532827"/>
  </r>
  <r>
    <x v="0"/>
    <x v="0"/>
    <x v="0"/>
    <x v="9"/>
    <x v="17"/>
    <s v="SE1A"/>
    <x v="7"/>
    <x v="123"/>
    <x v="0"/>
    <x v="10"/>
    <n v="405.5"/>
    <n v="148007.5"/>
    <n v="532827"/>
  </r>
  <r>
    <x v="0"/>
    <x v="0"/>
    <x v="0"/>
    <x v="9"/>
    <x v="17"/>
    <s v="SE1A"/>
    <x v="7"/>
    <x v="123"/>
    <x v="0"/>
    <x v="11"/>
    <n v="405.5"/>
    <n v="148007.5"/>
    <n v="532827"/>
  </r>
  <r>
    <x v="0"/>
    <x v="0"/>
    <x v="0"/>
    <x v="9"/>
    <x v="17"/>
    <s v="SE1A"/>
    <x v="7"/>
    <x v="123"/>
    <x v="0"/>
    <x v="12"/>
    <n v="405.5"/>
    <n v="148007.5"/>
    <n v="532827"/>
  </r>
  <r>
    <x v="0"/>
    <x v="0"/>
    <x v="0"/>
    <x v="9"/>
    <x v="17"/>
    <s v="SE1A"/>
    <x v="7"/>
    <x v="123"/>
    <x v="0"/>
    <x v="13"/>
    <n v="405.5"/>
    <n v="148007.5"/>
    <n v="532827"/>
  </r>
  <r>
    <x v="0"/>
    <x v="0"/>
    <x v="0"/>
    <x v="9"/>
    <x v="17"/>
    <s v="SE1A"/>
    <x v="7"/>
    <x v="123"/>
    <x v="0"/>
    <x v="14"/>
    <n v="405.5"/>
    <n v="148007.5"/>
    <n v="532827"/>
  </r>
  <r>
    <x v="0"/>
    <x v="0"/>
    <x v="0"/>
    <x v="9"/>
    <x v="17"/>
    <s v="SE1A"/>
    <x v="7"/>
    <x v="123"/>
    <x v="0"/>
    <x v="15"/>
    <n v="405.5"/>
    <n v="148007.5"/>
    <n v="532827"/>
  </r>
  <r>
    <x v="0"/>
    <x v="0"/>
    <x v="0"/>
    <x v="9"/>
    <x v="17"/>
    <s v="SE1A"/>
    <x v="7"/>
    <x v="123"/>
    <x v="0"/>
    <x v="16"/>
    <n v="405.5"/>
    <n v="148007.5"/>
    <n v="532827"/>
  </r>
  <r>
    <x v="0"/>
    <x v="0"/>
    <x v="0"/>
    <x v="9"/>
    <x v="17"/>
    <s v="SE1A"/>
    <x v="7"/>
    <x v="123"/>
    <x v="0"/>
    <x v="17"/>
    <n v="405.5"/>
    <n v="148007.5"/>
    <n v="532827"/>
  </r>
  <r>
    <x v="0"/>
    <x v="0"/>
    <x v="0"/>
    <x v="9"/>
    <x v="17"/>
    <s v="SE1A"/>
    <x v="7"/>
    <x v="123"/>
    <x v="0"/>
    <x v="18"/>
    <n v="405.5"/>
    <n v="148007.5"/>
    <n v="532827"/>
  </r>
  <r>
    <x v="0"/>
    <x v="0"/>
    <x v="0"/>
    <x v="9"/>
    <x v="17"/>
    <s v="SE1A"/>
    <x v="7"/>
    <x v="123"/>
    <x v="0"/>
    <x v="19"/>
    <n v="405.5"/>
    <n v="148007.5"/>
    <n v="532827"/>
  </r>
  <r>
    <x v="0"/>
    <x v="0"/>
    <x v="0"/>
    <x v="9"/>
    <x v="17"/>
    <s v="SE1A"/>
    <x v="7"/>
    <x v="123"/>
    <x v="0"/>
    <x v="20"/>
    <n v="405.5"/>
    <n v="148007.5"/>
    <n v="532827"/>
  </r>
  <r>
    <x v="0"/>
    <x v="0"/>
    <x v="0"/>
    <x v="9"/>
    <x v="17"/>
    <s v="SE1A"/>
    <x v="7"/>
    <x v="123"/>
    <x v="0"/>
    <x v="21"/>
    <n v="405.5"/>
    <n v="148007.5"/>
    <n v="532827"/>
  </r>
  <r>
    <x v="0"/>
    <x v="0"/>
    <x v="0"/>
    <x v="9"/>
    <x v="17"/>
    <s v="SE1A"/>
    <x v="7"/>
    <x v="123"/>
    <x v="0"/>
    <x v="22"/>
    <n v="405.5"/>
    <n v="148007.5"/>
    <n v="532827"/>
  </r>
  <r>
    <x v="0"/>
    <x v="0"/>
    <x v="0"/>
    <x v="9"/>
    <x v="17"/>
    <s v="SE1A"/>
    <x v="7"/>
    <x v="123"/>
    <x v="0"/>
    <x v="23"/>
    <n v="405.5"/>
    <n v="148007.5"/>
    <n v="532827"/>
  </r>
  <r>
    <x v="0"/>
    <x v="0"/>
    <x v="0"/>
    <x v="9"/>
    <x v="17"/>
    <s v="SE1A"/>
    <x v="7"/>
    <x v="124"/>
    <x v="0"/>
    <x v="8"/>
    <n v="405.5"/>
    <n v="148007.5"/>
    <n v="532827"/>
  </r>
  <r>
    <x v="0"/>
    <x v="0"/>
    <x v="0"/>
    <x v="9"/>
    <x v="17"/>
    <s v="SE1A"/>
    <x v="7"/>
    <x v="124"/>
    <x v="0"/>
    <x v="0"/>
    <n v="405.5"/>
    <n v="148007.5"/>
    <n v="532827"/>
  </r>
  <r>
    <x v="0"/>
    <x v="0"/>
    <x v="0"/>
    <x v="9"/>
    <x v="17"/>
    <s v="SE1A"/>
    <x v="7"/>
    <x v="124"/>
    <x v="0"/>
    <x v="1"/>
    <n v="405.5"/>
    <n v="148007.5"/>
    <n v="532827"/>
  </r>
  <r>
    <x v="0"/>
    <x v="0"/>
    <x v="0"/>
    <x v="9"/>
    <x v="17"/>
    <s v="SE1A"/>
    <x v="7"/>
    <x v="124"/>
    <x v="0"/>
    <x v="2"/>
    <n v="405.5"/>
    <n v="148007.5"/>
    <n v="532827"/>
  </r>
  <r>
    <x v="0"/>
    <x v="0"/>
    <x v="0"/>
    <x v="9"/>
    <x v="17"/>
    <s v="SE1A"/>
    <x v="7"/>
    <x v="124"/>
    <x v="0"/>
    <x v="9"/>
    <n v="405.5"/>
    <n v="148007.5"/>
    <n v="532827"/>
  </r>
  <r>
    <x v="0"/>
    <x v="0"/>
    <x v="0"/>
    <x v="9"/>
    <x v="17"/>
    <s v="SE1A"/>
    <x v="7"/>
    <x v="124"/>
    <x v="0"/>
    <x v="10"/>
    <n v="405.5"/>
    <n v="148007.5"/>
    <n v="532827"/>
  </r>
  <r>
    <x v="0"/>
    <x v="0"/>
    <x v="0"/>
    <x v="9"/>
    <x v="17"/>
    <s v="SE1A"/>
    <x v="7"/>
    <x v="124"/>
    <x v="0"/>
    <x v="11"/>
    <n v="405.5"/>
    <n v="148007.5"/>
    <n v="532827"/>
  </r>
  <r>
    <x v="0"/>
    <x v="0"/>
    <x v="0"/>
    <x v="9"/>
    <x v="17"/>
    <s v="SE1A"/>
    <x v="7"/>
    <x v="124"/>
    <x v="0"/>
    <x v="12"/>
    <n v="405.5"/>
    <n v="148007.5"/>
    <n v="532827"/>
  </r>
  <r>
    <x v="0"/>
    <x v="0"/>
    <x v="0"/>
    <x v="9"/>
    <x v="17"/>
    <s v="SE1A"/>
    <x v="7"/>
    <x v="124"/>
    <x v="0"/>
    <x v="13"/>
    <n v="405.5"/>
    <n v="148007.5"/>
    <n v="532827"/>
  </r>
  <r>
    <x v="0"/>
    <x v="0"/>
    <x v="0"/>
    <x v="9"/>
    <x v="17"/>
    <s v="SE1A"/>
    <x v="7"/>
    <x v="124"/>
    <x v="0"/>
    <x v="14"/>
    <n v="405.5"/>
    <n v="148007.5"/>
    <n v="532827"/>
  </r>
  <r>
    <x v="0"/>
    <x v="0"/>
    <x v="0"/>
    <x v="9"/>
    <x v="17"/>
    <s v="SE1A"/>
    <x v="7"/>
    <x v="124"/>
    <x v="0"/>
    <x v="15"/>
    <n v="405.5"/>
    <n v="148007.5"/>
    <n v="532827"/>
  </r>
  <r>
    <x v="0"/>
    <x v="0"/>
    <x v="0"/>
    <x v="9"/>
    <x v="17"/>
    <s v="SE1A"/>
    <x v="7"/>
    <x v="124"/>
    <x v="0"/>
    <x v="16"/>
    <n v="405.5"/>
    <n v="148007.5"/>
    <n v="532827"/>
  </r>
  <r>
    <x v="0"/>
    <x v="0"/>
    <x v="0"/>
    <x v="9"/>
    <x v="17"/>
    <s v="SE1A"/>
    <x v="7"/>
    <x v="124"/>
    <x v="0"/>
    <x v="17"/>
    <n v="405.5"/>
    <n v="148007.5"/>
    <n v="532827"/>
  </r>
  <r>
    <x v="0"/>
    <x v="0"/>
    <x v="0"/>
    <x v="9"/>
    <x v="17"/>
    <s v="SE1A"/>
    <x v="7"/>
    <x v="124"/>
    <x v="0"/>
    <x v="18"/>
    <n v="405.5"/>
    <n v="148007.5"/>
    <n v="532827"/>
  </r>
  <r>
    <x v="0"/>
    <x v="0"/>
    <x v="0"/>
    <x v="9"/>
    <x v="17"/>
    <s v="SE1A"/>
    <x v="7"/>
    <x v="124"/>
    <x v="0"/>
    <x v="19"/>
    <n v="405.5"/>
    <n v="148007.5"/>
    <n v="532827"/>
  </r>
  <r>
    <x v="0"/>
    <x v="0"/>
    <x v="0"/>
    <x v="9"/>
    <x v="17"/>
    <s v="SE1A"/>
    <x v="7"/>
    <x v="124"/>
    <x v="0"/>
    <x v="20"/>
    <n v="303.46385237759398"/>
    <n v="110764.30611782199"/>
    <n v="398751.50202415901"/>
  </r>
  <r>
    <x v="0"/>
    <x v="0"/>
    <x v="0"/>
    <x v="9"/>
    <x v="17"/>
    <s v="SE1A"/>
    <x v="7"/>
    <x v="124"/>
    <x v="0"/>
    <x v="21"/>
    <n v="100.41519305315801"/>
    <n v="36651.5454644028"/>
    <n v="131945.56367184999"/>
  </r>
  <r>
    <x v="0"/>
    <x v="0"/>
    <x v="0"/>
    <x v="9"/>
    <x v="17"/>
    <s v="SE1A"/>
    <x v="7"/>
    <x v="125"/>
    <x v="0"/>
    <x v="0"/>
    <n v="405.5"/>
    <n v="148007.5"/>
    <n v="532827"/>
  </r>
  <r>
    <x v="0"/>
    <x v="0"/>
    <x v="0"/>
    <x v="9"/>
    <x v="17"/>
    <s v="SE1A"/>
    <x v="7"/>
    <x v="125"/>
    <x v="0"/>
    <x v="1"/>
    <n v="405.5"/>
    <n v="148007.5"/>
    <n v="532827"/>
  </r>
  <r>
    <x v="0"/>
    <x v="0"/>
    <x v="0"/>
    <x v="9"/>
    <x v="17"/>
    <s v="SE1A"/>
    <x v="7"/>
    <x v="125"/>
    <x v="0"/>
    <x v="2"/>
    <n v="405.5"/>
    <n v="148007.5"/>
    <n v="532827"/>
  </r>
  <r>
    <x v="0"/>
    <x v="0"/>
    <x v="0"/>
    <x v="9"/>
    <x v="17"/>
    <s v="SE1A"/>
    <x v="7"/>
    <x v="125"/>
    <x v="0"/>
    <x v="9"/>
    <n v="405.5"/>
    <n v="148007.5"/>
    <n v="532827"/>
  </r>
  <r>
    <x v="0"/>
    <x v="0"/>
    <x v="0"/>
    <x v="9"/>
    <x v="17"/>
    <s v="SE1A"/>
    <x v="7"/>
    <x v="125"/>
    <x v="0"/>
    <x v="10"/>
    <n v="405.5"/>
    <n v="148007.5"/>
    <n v="532827"/>
  </r>
  <r>
    <x v="0"/>
    <x v="0"/>
    <x v="0"/>
    <x v="9"/>
    <x v="17"/>
    <s v="SE1A"/>
    <x v="7"/>
    <x v="125"/>
    <x v="0"/>
    <x v="11"/>
    <n v="405.5"/>
    <n v="148007.5"/>
    <n v="532827"/>
  </r>
  <r>
    <x v="0"/>
    <x v="0"/>
    <x v="0"/>
    <x v="9"/>
    <x v="17"/>
    <s v="SE1A"/>
    <x v="7"/>
    <x v="125"/>
    <x v="0"/>
    <x v="12"/>
    <n v="405.5"/>
    <n v="148007.5"/>
    <n v="532827"/>
  </r>
  <r>
    <x v="0"/>
    <x v="0"/>
    <x v="0"/>
    <x v="9"/>
    <x v="17"/>
    <s v="SE1A"/>
    <x v="7"/>
    <x v="125"/>
    <x v="0"/>
    <x v="13"/>
    <n v="405.5"/>
    <n v="148007.5"/>
    <n v="532827"/>
  </r>
  <r>
    <x v="0"/>
    <x v="0"/>
    <x v="0"/>
    <x v="9"/>
    <x v="17"/>
    <s v="SE1A"/>
    <x v="7"/>
    <x v="125"/>
    <x v="0"/>
    <x v="14"/>
    <n v="405.5"/>
    <n v="148007.5"/>
    <n v="532827"/>
  </r>
  <r>
    <x v="0"/>
    <x v="0"/>
    <x v="0"/>
    <x v="9"/>
    <x v="17"/>
    <s v="SE1A"/>
    <x v="7"/>
    <x v="125"/>
    <x v="0"/>
    <x v="15"/>
    <n v="405.5"/>
    <n v="148007.5"/>
    <n v="532827"/>
  </r>
  <r>
    <x v="0"/>
    <x v="0"/>
    <x v="0"/>
    <x v="9"/>
    <x v="17"/>
    <s v="SE1A"/>
    <x v="7"/>
    <x v="125"/>
    <x v="0"/>
    <x v="16"/>
    <n v="405.5"/>
    <n v="148007.5"/>
    <n v="532827"/>
  </r>
  <r>
    <x v="0"/>
    <x v="0"/>
    <x v="0"/>
    <x v="9"/>
    <x v="17"/>
    <s v="SE1A"/>
    <x v="7"/>
    <x v="125"/>
    <x v="0"/>
    <x v="17"/>
    <n v="405.5"/>
    <n v="148007.5"/>
    <n v="532827"/>
  </r>
  <r>
    <x v="0"/>
    <x v="0"/>
    <x v="0"/>
    <x v="9"/>
    <x v="17"/>
    <s v="SE1A"/>
    <x v="7"/>
    <x v="125"/>
    <x v="0"/>
    <x v="18"/>
    <n v="405.5"/>
    <n v="148007.5"/>
    <n v="532827"/>
  </r>
  <r>
    <x v="0"/>
    <x v="0"/>
    <x v="0"/>
    <x v="9"/>
    <x v="17"/>
    <s v="SE1A"/>
    <x v="7"/>
    <x v="125"/>
    <x v="0"/>
    <x v="19"/>
    <n v="405.5"/>
    <n v="148007.5"/>
    <n v="532827"/>
  </r>
  <r>
    <x v="0"/>
    <x v="0"/>
    <x v="0"/>
    <x v="9"/>
    <x v="17"/>
    <s v="SE1A"/>
    <x v="7"/>
    <x v="126"/>
    <x v="0"/>
    <x v="0"/>
    <n v="253.25618662199301"/>
    <n v="92438.508117027595"/>
    <n v="332778.62922129902"/>
  </r>
  <r>
    <x v="0"/>
    <x v="0"/>
    <x v="0"/>
    <x v="9"/>
    <x v="17"/>
    <s v="SE1A"/>
    <x v="7"/>
    <x v="126"/>
    <x v="0"/>
    <x v="1"/>
    <n v="405.5"/>
    <n v="148007.5"/>
    <n v="532827"/>
  </r>
  <r>
    <x v="0"/>
    <x v="0"/>
    <x v="0"/>
    <x v="9"/>
    <x v="17"/>
    <s v="SE1A"/>
    <x v="7"/>
    <x v="126"/>
    <x v="0"/>
    <x v="2"/>
    <n v="405.5"/>
    <n v="148007.5"/>
    <n v="532827"/>
  </r>
  <r>
    <x v="0"/>
    <x v="0"/>
    <x v="0"/>
    <x v="9"/>
    <x v="17"/>
    <s v="SE1A"/>
    <x v="7"/>
    <x v="126"/>
    <x v="0"/>
    <x v="9"/>
    <n v="405.5"/>
    <n v="148007.5"/>
    <n v="532827"/>
  </r>
  <r>
    <x v="0"/>
    <x v="0"/>
    <x v="0"/>
    <x v="9"/>
    <x v="17"/>
    <s v="SE1A"/>
    <x v="7"/>
    <x v="126"/>
    <x v="0"/>
    <x v="10"/>
    <n v="405.5"/>
    <n v="148007.5"/>
    <n v="532827"/>
  </r>
  <r>
    <x v="0"/>
    <x v="0"/>
    <x v="0"/>
    <x v="9"/>
    <x v="17"/>
    <s v="SE1A"/>
    <x v="7"/>
    <x v="126"/>
    <x v="0"/>
    <x v="11"/>
    <n v="405.5"/>
    <n v="148007.5"/>
    <n v="532827"/>
  </r>
  <r>
    <x v="0"/>
    <x v="0"/>
    <x v="0"/>
    <x v="9"/>
    <x v="17"/>
    <s v="SE1A"/>
    <x v="7"/>
    <x v="126"/>
    <x v="0"/>
    <x v="12"/>
    <n v="250.09432236495601"/>
    <n v="91284.427663208902"/>
    <n v="328623.93958755198"/>
  </r>
  <r>
    <x v="0"/>
    <x v="0"/>
    <x v="0"/>
    <x v="9"/>
    <x v="17"/>
    <s v="SE1A"/>
    <x v="7"/>
    <x v="126"/>
    <x v="0"/>
    <x v="13"/>
    <n v="74.822316014997298"/>
    <n v="27310.145345474"/>
    <n v="98316.523243706499"/>
  </r>
  <r>
    <x v="0"/>
    <x v="0"/>
    <x v="0"/>
    <x v="9"/>
    <x v="17"/>
    <s v="SE1A"/>
    <x v="7"/>
    <x v="126"/>
    <x v="0"/>
    <x v="14"/>
    <n v="405.5"/>
    <n v="148007.5"/>
    <n v="532827"/>
  </r>
  <r>
    <x v="0"/>
    <x v="0"/>
    <x v="0"/>
    <x v="9"/>
    <x v="17"/>
    <s v="SE1A"/>
    <x v="7"/>
    <x v="126"/>
    <x v="0"/>
    <x v="15"/>
    <n v="405.5"/>
    <n v="148007.5"/>
    <n v="532827"/>
  </r>
  <r>
    <x v="0"/>
    <x v="0"/>
    <x v="0"/>
    <x v="9"/>
    <x v="17"/>
    <s v="SE1A"/>
    <x v="7"/>
    <x v="126"/>
    <x v="0"/>
    <x v="16"/>
    <n v="405.5"/>
    <n v="148007.5"/>
    <n v="532827"/>
  </r>
  <r>
    <x v="0"/>
    <x v="0"/>
    <x v="0"/>
    <x v="9"/>
    <x v="17"/>
    <s v="SE1A"/>
    <x v="7"/>
    <x v="127"/>
    <x v="0"/>
    <x v="2"/>
    <n v="405.5"/>
    <n v="148007.5"/>
    <n v="532827"/>
  </r>
  <r>
    <x v="0"/>
    <x v="0"/>
    <x v="0"/>
    <x v="9"/>
    <x v="17"/>
    <s v="SE1A"/>
    <x v="7"/>
    <x v="127"/>
    <x v="0"/>
    <x v="9"/>
    <n v="405.5"/>
    <n v="148007.5"/>
    <n v="532827"/>
  </r>
  <r>
    <x v="0"/>
    <x v="0"/>
    <x v="0"/>
    <x v="9"/>
    <x v="17"/>
    <s v="SE1A"/>
    <x v="7"/>
    <x v="127"/>
    <x v="0"/>
    <x v="10"/>
    <n v="184.30624897456099"/>
    <n v="67271.780875714903"/>
    <n v="242178.411152574"/>
  </r>
  <r>
    <x v="0"/>
    <x v="0"/>
    <x v="0"/>
    <x v="9"/>
    <x v="17"/>
    <s v="SE1A"/>
    <x v="7"/>
    <x v="46"/>
    <x v="0"/>
    <x v="3"/>
    <n v="564.07145309684904"/>
    <n v="205886.08038035"/>
    <n v="741189.88936926005"/>
  </r>
  <r>
    <x v="0"/>
    <x v="0"/>
    <x v="0"/>
    <x v="9"/>
    <x v="17"/>
    <s v="SE1A"/>
    <x v="7"/>
    <x v="46"/>
    <x v="0"/>
    <x v="4"/>
    <n v="564.07145309684904"/>
    <n v="205886.08038035"/>
    <n v="741189.88936926005"/>
  </r>
  <r>
    <x v="0"/>
    <x v="0"/>
    <x v="0"/>
    <x v="9"/>
    <x v="17"/>
    <s v="SE1A"/>
    <x v="7"/>
    <x v="46"/>
    <x v="0"/>
    <x v="5"/>
    <n v="564.07145309684904"/>
    <n v="205886.08038035"/>
    <n v="741189.88936926005"/>
  </r>
  <r>
    <x v="0"/>
    <x v="0"/>
    <x v="0"/>
    <x v="9"/>
    <x v="17"/>
    <s v="SE1A"/>
    <x v="7"/>
    <x v="46"/>
    <x v="0"/>
    <x v="6"/>
    <n v="564.07145309684904"/>
    <n v="205886.08038035"/>
    <n v="741189.88936926005"/>
  </r>
  <r>
    <x v="0"/>
    <x v="0"/>
    <x v="0"/>
    <x v="9"/>
    <x v="17"/>
    <s v="SE1A"/>
    <x v="7"/>
    <x v="46"/>
    <x v="0"/>
    <x v="7"/>
    <n v="564.07145309684904"/>
    <n v="205886.08038035"/>
    <n v="741189.88936926005"/>
  </r>
  <r>
    <x v="0"/>
    <x v="0"/>
    <x v="0"/>
    <x v="9"/>
    <x v="17"/>
    <s v="SE1A"/>
    <x v="7"/>
    <x v="46"/>
    <x v="0"/>
    <x v="8"/>
    <n v="564.07145309684904"/>
    <n v="205886.08038035"/>
    <n v="741189.88936926005"/>
  </r>
  <r>
    <x v="0"/>
    <x v="0"/>
    <x v="0"/>
    <x v="9"/>
    <x v="17"/>
    <s v="SE1A"/>
    <x v="7"/>
    <x v="46"/>
    <x v="0"/>
    <x v="0"/>
    <n v="564.07145309684904"/>
    <n v="205886.08038035"/>
    <n v="741189.88936926005"/>
  </r>
  <r>
    <x v="0"/>
    <x v="0"/>
    <x v="0"/>
    <x v="9"/>
    <x v="17"/>
    <s v="SE1A"/>
    <x v="7"/>
    <x v="46"/>
    <x v="0"/>
    <x v="1"/>
    <n v="564.07145309684904"/>
    <n v="205886.08038035"/>
    <n v="741189.88936926005"/>
  </r>
  <r>
    <x v="0"/>
    <x v="0"/>
    <x v="0"/>
    <x v="9"/>
    <x v="17"/>
    <s v="SE1A"/>
    <x v="7"/>
    <x v="46"/>
    <x v="0"/>
    <x v="2"/>
    <n v="564.07145309684904"/>
    <n v="205886.08038035"/>
    <n v="741189.88936926005"/>
  </r>
  <r>
    <x v="0"/>
    <x v="0"/>
    <x v="0"/>
    <x v="9"/>
    <x v="17"/>
    <s v="SE1A"/>
    <x v="7"/>
    <x v="46"/>
    <x v="0"/>
    <x v="9"/>
    <n v="564.07145309684904"/>
    <n v="205886.08038035"/>
    <n v="741189.88936926005"/>
  </r>
  <r>
    <x v="0"/>
    <x v="0"/>
    <x v="0"/>
    <x v="9"/>
    <x v="17"/>
    <s v="SE1A"/>
    <x v="7"/>
    <x v="46"/>
    <x v="0"/>
    <x v="10"/>
    <n v="564.07145309684904"/>
    <n v="205886.08038035"/>
    <n v="741189.88936926005"/>
  </r>
  <r>
    <x v="0"/>
    <x v="0"/>
    <x v="0"/>
    <x v="9"/>
    <x v="17"/>
    <s v="SE1A"/>
    <x v="7"/>
    <x v="46"/>
    <x v="0"/>
    <x v="11"/>
    <n v="564.07145309684904"/>
    <n v="205886.08038035"/>
    <n v="741189.88936926005"/>
  </r>
  <r>
    <x v="0"/>
    <x v="0"/>
    <x v="0"/>
    <x v="9"/>
    <x v="17"/>
    <s v="SE1A"/>
    <x v="7"/>
    <x v="46"/>
    <x v="0"/>
    <x v="12"/>
    <n v="564.07145309684904"/>
    <n v="205886.08038035"/>
    <n v="741189.88936926005"/>
  </r>
  <r>
    <x v="0"/>
    <x v="0"/>
    <x v="0"/>
    <x v="9"/>
    <x v="17"/>
    <s v="SE1A"/>
    <x v="7"/>
    <x v="46"/>
    <x v="0"/>
    <x v="13"/>
    <n v="564.07145309684904"/>
    <n v="205886.08038035"/>
    <n v="741189.88936926005"/>
  </r>
  <r>
    <x v="0"/>
    <x v="0"/>
    <x v="0"/>
    <x v="9"/>
    <x v="17"/>
    <s v="SE1A"/>
    <x v="7"/>
    <x v="46"/>
    <x v="0"/>
    <x v="14"/>
    <n v="564.07145309684904"/>
    <n v="205886.08038035"/>
    <n v="741189.88936926005"/>
  </r>
  <r>
    <x v="0"/>
    <x v="0"/>
    <x v="0"/>
    <x v="9"/>
    <x v="17"/>
    <s v="SE1A"/>
    <x v="7"/>
    <x v="46"/>
    <x v="0"/>
    <x v="15"/>
    <n v="564.07145309684904"/>
    <n v="205886.08038035"/>
    <n v="741189.88936926005"/>
  </r>
  <r>
    <x v="0"/>
    <x v="0"/>
    <x v="0"/>
    <x v="9"/>
    <x v="17"/>
    <s v="SE1A"/>
    <x v="7"/>
    <x v="46"/>
    <x v="0"/>
    <x v="16"/>
    <n v="564.07145309684904"/>
    <n v="205886.08038035"/>
    <n v="741189.88936926005"/>
  </r>
  <r>
    <x v="0"/>
    <x v="0"/>
    <x v="0"/>
    <x v="9"/>
    <x v="17"/>
    <s v="SE1A"/>
    <x v="7"/>
    <x v="46"/>
    <x v="0"/>
    <x v="17"/>
    <n v="564.07145309684904"/>
    <n v="205886.08038035"/>
    <n v="741189.88936926005"/>
  </r>
  <r>
    <x v="0"/>
    <x v="0"/>
    <x v="0"/>
    <x v="9"/>
    <x v="17"/>
    <s v="SE1A"/>
    <x v="7"/>
    <x v="46"/>
    <x v="0"/>
    <x v="18"/>
    <n v="564.07145309684904"/>
    <n v="205886.08038035"/>
    <n v="741189.88936926005"/>
  </r>
  <r>
    <x v="0"/>
    <x v="0"/>
    <x v="0"/>
    <x v="9"/>
    <x v="17"/>
    <s v="SE1A"/>
    <x v="7"/>
    <x v="46"/>
    <x v="0"/>
    <x v="19"/>
    <n v="564.07145309684904"/>
    <n v="205886.08038035"/>
    <n v="741189.88936926005"/>
  </r>
  <r>
    <x v="0"/>
    <x v="0"/>
    <x v="0"/>
    <x v="9"/>
    <x v="17"/>
    <s v="SE1A"/>
    <x v="7"/>
    <x v="46"/>
    <x v="0"/>
    <x v="20"/>
    <n v="564.07145309684904"/>
    <n v="205886.08038035"/>
    <n v="741189.88936926005"/>
  </r>
  <r>
    <x v="0"/>
    <x v="0"/>
    <x v="0"/>
    <x v="9"/>
    <x v="17"/>
    <s v="SE1A"/>
    <x v="7"/>
    <x v="46"/>
    <x v="0"/>
    <x v="21"/>
    <n v="564.07145309684904"/>
    <n v="205886.08038035"/>
    <n v="741189.88936926005"/>
  </r>
  <r>
    <x v="0"/>
    <x v="0"/>
    <x v="0"/>
    <x v="9"/>
    <x v="17"/>
    <s v="SE1A"/>
    <x v="7"/>
    <x v="46"/>
    <x v="0"/>
    <x v="22"/>
    <n v="564.07145309684904"/>
    <n v="205886.08038035"/>
    <n v="741189.88936926005"/>
  </r>
  <r>
    <x v="0"/>
    <x v="0"/>
    <x v="0"/>
    <x v="9"/>
    <x v="17"/>
    <s v="SE1A"/>
    <x v="7"/>
    <x v="46"/>
    <x v="0"/>
    <x v="23"/>
    <n v="564.07145309684904"/>
    <n v="205886.08038035"/>
    <n v="741189.88936926005"/>
  </r>
  <r>
    <x v="0"/>
    <x v="0"/>
    <x v="0"/>
    <x v="9"/>
    <x v="17"/>
    <s v="SE1A"/>
    <x v="8"/>
    <x v="47"/>
    <x v="0"/>
    <x v="3"/>
    <n v="12.6986819604206"/>
    <n v="4635.0189155535099"/>
    <n v="16686.068095992599"/>
  </r>
  <r>
    <x v="0"/>
    <x v="0"/>
    <x v="0"/>
    <x v="9"/>
    <x v="17"/>
    <s v="SE1A"/>
    <x v="8"/>
    <x v="47"/>
    <x v="0"/>
    <x v="4"/>
    <n v="13.0260041018901"/>
    <n v="4754.4914971898697"/>
    <n v="17116.1693898835"/>
  </r>
  <r>
    <x v="0"/>
    <x v="0"/>
    <x v="0"/>
    <x v="9"/>
    <x v="17"/>
    <s v="SE1A"/>
    <x v="8"/>
    <x v="47"/>
    <x v="0"/>
    <x v="5"/>
    <n v="17.789426711495501"/>
    <n v="6493.14074969585"/>
    <n v="23375.3066989051"/>
  </r>
  <r>
    <x v="0"/>
    <x v="0"/>
    <x v="0"/>
    <x v="9"/>
    <x v="17"/>
    <s v="SE1A"/>
    <x v="8"/>
    <x v="47"/>
    <x v="0"/>
    <x v="6"/>
    <n v="29.958494981496301"/>
    <n v="10934.850668246099"/>
    <n v="39365.462405686099"/>
  </r>
  <r>
    <x v="0"/>
    <x v="0"/>
    <x v="0"/>
    <x v="9"/>
    <x v="17"/>
    <s v="SE1A"/>
    <x v="8"/>
    <x v="47"/>
    <x v="0"/>
    <x v="7"/>
    <n v="14.519702371670601"/>
    <n v="5299.6913656597799"/>
    <n v="19078.888916375199"/>
  </r>
  <r>
    <x v="0"/>
    <x v="0"/>
    <x v="0"/>
    <x v="9"/>
    <x v="17"/>
    <s v="SE1A"/>
    <x v="8"/>
    <x v="47"/>
    <x v="0"/>
    <x v="8"/>
    <n v="37.7820817525226"/>
    <n v="13790.459839670701"/>
    <n v="49645.655422814598"/>
  </r>
  <r>
    <x v="0"/>
    <x v="0"/>
    <x v="0"/>
    <x v="9"/>
    <x v="17"/>
    <s v="SE1A"/>
    <x v="8"/>
    <x v="47"/>
    <x v="0"/>
    <x v="0"/>
    <n v="44.3437226253156"/>
    <n v="16185.4587582402"/>
    <n v="58267.651529664603"/>
  </r>
  <r>
    <x v="0"/>
    <x v="0"/>
    <x v="0"/>
    <x v="9"/>
    <x v="17"/>
    <s v="SE1A"/>
    <x v="8"/>
    <x v="47"/>
    <x v="0"/>
    <x v="1"/>
    <n v="25.170287870340999"/>
    <n v="9187.1550726744608"/>
    <n v="33073.7582616281"/>
  </r>
  <r>
    <x v="0"/>
    <x v="0"/>
    <x v="0"/>
    <x v="9"/>
    <x v="17"/>
    <s v="SE1A"/>
    <x v="8"/>
    <x v="47"/>
    <x v="0"/>
    <x v="2"/>
    <n v="19.993122673131801"/>
    <n v="7297.4897756930995"/>
    <n v="26270.963192495201"/>
  </r>
  <r>
    <x v="0"/>
    <x v="0"/>
    <x v="0"/>
    <x v="9"/>
    <x v="17"/>
    <s v="SE1A"/>
    <x v="8"/>
    <x v="47"/>
    <x v="0"/>
    <x v="9"/>
    <n v="15.610637242392899"/>
    <n v="5697.8825934734105"/>
    <n v="20512.377336504302"/>
  </r>
  <r>
    <x v="0"/>
    <x v="0"/>
    <x v="0"/>
    <x v="9"/>
    <x v="17"/>
    <s v="SE1A"/>
    <x v="8"/>
    <x v="47"/>
    <x v="0"/>
    <x v="10"/>
    <n v="11.7664268619263"/>
    <n v="4294.7458046031097"/>
    <n v="15461.084896571199"/>
  </r>
  <r>
    <x v="0"/>
    <x v="0"/>
    <x v="0"/>
    <x v="9"/>
    <x v="17"/>
    <s v="SE1A"/>
    <x v="8"/>
    <x v="47"/>
    <x v="0"/>
    <x v="11"/>
    <n v="9.3043743283505993"/>
    <n v="3396.0966298479698"/>
    <n v="12225.9478674527"/>
  </r>
  <r>
    <x v="0"/>
    <x v="0"/>
    <x v="0"/>
    <x v="9"/>
    <x v="17"/>
    <s v="SE1A"/>
    <x v="8"/>
    <x v="47"/>
    <x v="0"/>
    <x v="12"/>
    <n v="17.041611814649801"/>
    <n v="6220.1883123471798"/>
    <n v="22392.677924449799"/>
  </r>
  <r>
    <x v="0"/>
    <x v="0"/>
    <x v="0"/>
    <x v="9"/>
    <x v="17"/>
    <s v="SE1A"/>
    <x v="8"/>
    <x v="47"/>
    <x v="0"/>
    <x v="13"/>
    <n v="62.621946877221497"/>
    <n v="22857.0106101858"/>
    <n v="82285.238196669001"/>
  </r>
  <r>
    <x v="0"/>
    <x v="0"/>
    <x v="0"/>
    <x v="9"/>
    <x v="17"/>
    <s v="SE1A"/>
    <x v="8"/>
    <x v="47"/>
    <x v="0"/>
    <x v="14"/>
    <n v="134.95257670098101"/>
    <n v="49257.690495857903"/>
    <n v="177327.68578508799"/>
  </r>
  <r>
    <x v="0"/>
    <x v="0"/>
    <x v="0"/>
    <x v="9"/>
    <x v="17"/>
    <s v="SE1A"/>
    <x v="8"/>
    <x v="47"/>
    <x v="0"/>
    <x v="15"/>
    <n v="194.051708610573"/>
    <n v="70828.873642859297"/>
    <n v="254983.94511429299"/>
  </r>
  <r>
    <x v="0"/>
    <x v="0"/>
    <x v="0"/>
    <x v="9"/>
    <x v="17"/>
    <s v="SE1A"/>
    <x v="8"/>
    <x v="47"/>
    <x v="0"/>
    <x v="16"/>
    <n v="209.42188129198999"/>
    <n v="76438.986671576306"/>
    <n v="275180.352017675"/>
  </r>
  <r>
    <x v="0"/>
    <x v="0"/>
    <x v="0"/>
    <x v="9"/>
    <x v="17"/>
    <s v="SE1A"/>
    <x v="8"/>
    <x v="47"/>
    <x v="0"/>
    <x v="17"/>
    <n v="392.28236069535097"/>
    <n v="143183.06165380299"/>
    <n v="515459.02195369097"/>
  </r>
  <r>
    <x v="0"/>
    <x v="0"/>
    <x v="0"/>
    <x v="9"/>
    <x v="17"/>
    <s v="SE1A"/>
    <x v="8"/>
    <x v="47"/>
    <x v="0"/>
    <x v="18"/>
    <n v="557.52306218207502"/>
    <n v="203495.91769645701"/>
    <n v="732585.30370724702"/>
  </r>
  <r>
    <x v="0"/>
    <x v="0"/>
    <x v="0"/>
    <x v="9"/>
    <x v="17"/>
    <s v="SE1A"/>
    <x v="8"/>
    <x v="47"/>
    <x v="0"/>
    <x v="19"/>
    <n v="417.068061823226"/>
    <n v="152229.84256547701"/>
    <n v="548027.43323571899"/>
  </r>
  <r>
    <x v="0"/>
    <x v="0"/>
    <x v="0"/>
    <x v="9"/>
    <x v="17"/>
    <s v="SE1A"/>
    <x v="8"/>
    <x v="47"/>
    <x v="0"/>
    <x v="20"/>
    <n v="364.42475377386103"/>
    <n v="133015.03512745901"/>
    <n v="478854.12645885401"/>
  </r>
  <r>
    <x v="0"/>
    <x v="0"/>
    <x v="0"/>
    <x v="9"/>
    <x v="17"/>
    <s v="SE1A"/>
    <x v="8"/>
    <x v="47"/>
    <x v="0"/>
    <x v="21"/>
    <n v="363.62571282971902"/>
    <n v="132723.38518284701"/>
    <n v="477804.18665824999"/>
  </r>
  <r>
    <x v="0"/>
    <x v="0"/>
    <x v="0"/>
    <x v="9"/>
    <x v="17"/>
    <s v="SE1A"/>
    <x v="8"/>
    <x v="47"/>
    <x v="0"/>
    <x v="22"/>
    <n v="334.80177466158199"/>
    <n v="122202.647751478"/>
    <n v="439929.53190531902"/>
  </r>
  <r>
    <x v="0"/>
    <x v="0"/>
    <x v="0"/>
    <x v="9"/>
    <x v="17"/>
    <s v="SE1A"/>
    <x v="8"/>
    <x v="47"/>
    <x v="0"/>
    <x v="23"/>
    <n v="336.63802361398098"/>
    <n v="122872.87861910299"/>
    <n v="442342.363028772"/>
  </r>
  <r>
    <x v="0"/>
    <x v="0"/>
    <x v="0"/>
    <x v="9"/>
    <x v="17"/>
    <s v="SE1_EL"/>
    <x v="1"/>
    <x v="207"/>
    <x v="0"/>
    <x v="3"/>
    <n v="18.474998401355499"/>
    <n v="6743.3744164947502"/>
    <n v="24276.1478993811"/>
  </r>
  <r>
    <x v="0"/>
    <x v="0"/>
    <x v="0"/>
    <x v="9"/>
    <x v="17"/>
    <s v="SE1_EL"/>
    <x v="1"/>
    <x v="207"/>
    <x v="0"/>
    <x v="4"/>
    <n v="18.474998401355499"/>
    <n v="6743.3744164947502"/>
    <n v="24276.1478993811"/>
  </r>
  <r>
    <x v="0"/>
    <x v="0"/>
    <x v="0"/>
    <x v="9"/>
    <x v="17"/>
    <s v="SE1_EL"/>
    <x v="1"/>
    <x v="207"/>
    <x v="0"/>
    <x v="5"/>
    <n v="18.474998401355499"/>
    <n v="6743.3744164947502"/>
    <n v="24276.1478993811"/>
  </r>
  <r>
    <x v="0"/>
    <x v="0"/>
    <x v="0"/>
    <x v="9"/>
    <x v="17"/>
    <s v="SE1_EL"/>
    <x v="1"/>
    <x v="207"/>
    <x v="0"/>
    <x v="6"/>
    <n v="18.474998401355499"/>
    <n v="6743.3744164947502"/>
    <n v="24276.1478993811"/>
  </r>
  <r>
    <x v="0"/>
    <x v="0"/>
    <x v="0"/>
    <x v="9"/>
    <x v="17"/>
    <s v="SE1_EL"/>
    <x v="1"/>
    <x v="207"/>
    <x v="0"/>
    <x v="7"/>
    <n v="18.474998401355499"/>
    <n v="6743.3744164947502"/>
    <n v="24276.1478993811"/>
  </r>
  <r>
    <x v="0"/>
    <x v="0"/>
    <x v="0"/>
    <x v="9"/>
    <x v="17"/>
    <s v="SE1_EL"/>
    <x v="1"/>
    <x v="207"/>
    <x v="0"/>
    <x v="8"/>
    <n v="18.474998401355499"/>
    <n v="6743.3744164947502"/>
    <n v="24276.1478993811"/>
  </r>
  <r>
    <x v="0"/>
    <x v="0"/>
    <x v="0"/>
    <x v="9"/>
    <x v="17"/>
    <s v="SE1_EL"/>
    <x v="1"/>
    <x v="207"/>
    <x v="0"/>
    <x v="0"/>
    <n v="18.474998401355499"/>
    <n v="6743.3744164947502"/>
    <n v="24276.1478993811"/>
  </r>
  <r>
    <x v="0"/>
    <x v="0"/>
    <x v="0"/>
    <x v="9"/>
    <x v="17"/>
    <s v="SE1_EL"/>
    <x v="1"/>
    <x v="207"/>
    <x v="0"/>
    <x v="1"/>
    <n v="18.474998401355499"/>
    <n v="6743.3744164947502"/>
    <n v="24276.1478993811"/>
  </r>
  <r>
    <x v="0"/>
    <x v="0"/>
    <x v="0"/>
    <x v="9"/>
    <x v="17"/>
    <s v="SE1_EL"/>
    <x v="1"/>
    <x v="207"/>
    <x v="0"/>
    <x v="2"/>
    <n v="18.474998401355499"/>
    <n v="6743.3744164947502"/>
    <n v="24276.1478993811"/>
  </r>
  <r>
    <x v="0"/>
    <x v="0"/>
    <x v="0"/>
    <x v="9"/>
    <x v="17"/>
    <s v="SE1_EL"/>
    <x v="1"/>
    <x v="207"/>
    <x v="0"/>
    <x v="9"/>
    <n v="18.474998401355499"/>
    <n v="6743.3744164947502"/>
    <n v="24276.1478993811"/>
  </r>
  <r>
    <x v="0"/>
    <x v="0"/>
    <x v="0"/>
    <x v="9"/>
    <x v="17"/>
    <s v="SE1_EL"/>
    <x v="1"/>
    <x v="207"/>
    <x v="0"/>
    <x v="10"/>
    <n v="18.474998401355499"/>
    <n v="6743.3744164947502"/>
    <n v="24276.1478993811"/>
  </r>
  <r>
    <x v="0"/>
    <x v="0"/>
    <x v="0"/>
    <x v="9"/>
    <x v="17"/>
    <s v="SE1_EL"/>
    <x v="1"/>
    <x v="207"/>
    <x v="0"/>
    <x v="11"/>
    <n v="18.474998401355499"/>
    <n v="6743.3744164947502"/>
    <n v="24276.1478993811"/>
  </r>
  <r>
    <x v="0"/>
    <x v="0"/>
    <x v="0"/>
    <x v="9"/>
    <x v="17"/>
    <s v="SE1_EL"/>
    <x v="1"/>
    <x v="207"/>
    <x v="0"/>
    <x v="12"/>
    <n v="18.474998401355499"/>
    <n v="6743.3744164947502"/>
    <n v="24276.1478993811"/>
  </r>
  <r>
    <x v="0"/>
    <x v="0"/>
    <x v="0"/>
    <x v="9"/>
    <x v="17"/>
    <s v="SE1_EL"/>
    <x v="1"/>
    <x v="207"/>
    <x v="0"/>
    <x v="13"/>
    <n v="18.474998401355499"/>
    <n v="6743.3744164947502"/>
    <n v="24276.1478993811"/>
  </r>
  <r>
    <x v="0"/>
    <x v="0"/>
    <x v="0"/>
    <x v="9"/>
    <x v="17"/>
    <s v="SE1_EL"/>
    <x v="1"/>
    <x v="207"/>
    <x v="0"/>
    <x v="14"/>
    <n v="18.474998401355499"/>
    <n v="6743.3744164947502"/>
    <n v="24276.1478993811"/>
  </r>
  <r>
    <x v="0"/>
    <x v="0"/>
    <x v="0"/>
    <x v="9"/>
    <x v="17"/>
    <s v="SE1_EL"/>
    <x v="1"/>
    <x v="207"/>
    <x v="0"/>
    <x v="15"/>
    <n v="18.474998401355499"/>
    <n v="6743.3744164947502"/>
    <n v="24276.1478993811"/>
  </r>
  <r>
    <x v="0"/>
    <x v="0"/>
    <x v="0"/>
    <x v="9"/>
    <x v="17"/>
    <s v="SE1_EL"/>
    <x v="1"/>
    <x v="207"/>
    <x v="0"/>
    <x v="16"/>
    <n v="18.474998401355499"/>
    <n v="6743.3744164947502"/>
    <n v="24276.1478993811"/>
  </r>
  <r>
    <x v="0"/>
    <x v="0"/>
    <x v="0"/>
    <x v="9"/>
    <x v="17"/>
    <s v="SE1_EL"/>
    <x v="1"/>
    <x v="207"/>
    <x v="0"/>
    <x v="17"/>
    <n v="18.474998401355499"/>
    <n v="6743.3744164947502"/>
    <n v="24276.1478993811"/>
  </r>
  <r>
    <x v="0"/>
    <x v="0"/>
    <x v="0"/>
    <x v="9"/>
    <x v="17"/>
    <s v="SE1_EL"/>
    <x v="1"/>
    <x v="207"/>
    <x v="0"/>
    <x v="18"/>
    <n v="18.474998401355499"/>
    <n v="6743.3744164947502"/>
    <n v="24276.1478993811"/>
  </r>
  <r>
    <x v="0"/>
    <x v="0"/>
    <x v="0"/>
    <x v="9"/>
    <x v="17"/>
    <s v="SE1_EL"/>
    <x v="1"/>
    <x v="207"/>
    <x v="0"/>
    <x v="19"/>
    <n v="18.474998401355499"/>
    <n v="6743.3744164947502"/>
    <n v="24276.1478993811"/>
  </r>
  <r>
    <x v="0"/>
    <x v="0"/>
    <x v="0"/>
    <x v="9"/>
    <x v="17"/>
    <s v="SE1_EL"/>
    <x v="1"/>
    <x v="207"/>
    <x v="0"/>
    <x v="20"/>
    <n v="18.474998401355499"/>
    <n v="6743.3744164947502"/>
    <n v="24276.1478993811"/>
  </r>
  <r>
    <x v="0"/>
    <x v="0"/>
    <x v="0"/>
    <x v="9"/>
    <x v="17"/>
    <s v="SE1_EL"/>
    <x v="1"/>
    <x v="207"/>
    <x v="0"/>
    <x v="21"/>
    <n v="18.474998401355499"/>
    <n v="6743.3744164947502"/>
    <n v="24276.1478993811"/>
  </r>
  <r>
    <x v="0"/>
    <x v="0"/>
    <x v="0"/>
    <x v="9"/>
    <x v="17"/>
    <s v="SE1_EL"/>
    <x v="1"/>
    <x v="207"/>
    <x v="0"/>
    <x v="22"/>
    <n v="18.474998401355499"/>
    <n v="6743.3744164947502"/>
    <n v="24276.1478993811"/>
  </r>
  <r>
    <x v="0"/>
    <x v="0"/>
    <x v="0"/>
    <x v="9"/>
    <x v="17"/>
    <s v="SE1_EL"/>
    <x v="1"/>
    <x v="207"/>
    <x v="0"/>
    <x v="23"/>
    <n v="18.474998401355499"/>
    <n v="6743.3744164947502"/>
    <n v="24276.1478993811"/>
  </r>
  <r>
    <x v="0"/>
    <x v="0"/>
    <x v="0"/>
    <x v="9"/>
    <x v="17"/>
    <s v="SE1_EL"/>
    <x v="4"/>
    <x v="108"/>
    <x v="0"/>
    <x v="3"/>
    <n v="77.398301831615001"/>
    <n v="28250.380168539501"/>
    <n v="101701.36860674201"/>
  </r>
  <r>
    <x v="0"/>
    <x v="0"/>
    <x v="0"/>
    <x v="9"/>
    <x v="17"/>
    <s v="SE1_EL"/>
    <x v="4"/>
    <x v="108"/>
    <x v="0"/>
    <x v="4"/>
    <n v="77.259988549216601"/>
    <n v="28199.895820464099"/>
    <n v="101519.62495367099"/>
  </r>
  <r>
    <x v="0"/>
    <x v="0"/>
    <x v="0"/>
    <x v="9"/>
    <x v="17"/>
    <s v="SE1_EL"/>
    <x v="4"/>
    <x v="108"/>
    <x v="0"/>
    <x v="5"/>
    <n v="79.035769759004594"/>
    <n v="28848.055962036698"/>
    <n v="103853.001463332"/>
  </r>
  <r>
    <x v="0"/>
    <x v="0"/>
    <x v="0"/>
    <x v="9"/>
    <x v="17"/>
    <s v="SE1_EL"/>
    <x v="4"/>
    <x v="108"/>
    <x v="0"/>
    <x v="6"/>
    <n v="83.196854170364006"/>
    <n v="30366.851772182901"/>
    <n v="109320.666379858"/>
  </r>
  <r>
    <x v="0"/>
    <x v="0"/>
    <x v="0"/>
    <x v="9"/>
    <x v="17"/>
    <s v="SE1_EL"/>
    <x v="4"/>
    <x v="108"/>
    <x v="0"/>
    <x v="7"/>
    <n v="90.7925536274427"/>
    <n v="33139.282074016599"/>
    <n v="119301.41546646001"/>
  </r>
  <r>
    <x v="0"/>
    <x v="0"/>
    <x v="0"/>
    <x v="9"/>
    <x v="17"/>
    <s v="SE1_EL"/>
    <x v="4"/>
    <x v="108"/>
    <x v="0"/>
    <x v="8"/>
    <n v="99.805817228440802"/>
    <n v="36429.123288380899"/>
    <n v="131144.84383817099"/>
  </r>
  <r>
    <x v="0"/>
    <x v="0"/>
    <x v="0"/>
    <x v="9"/>
    <x v="17"/>
    <s v="SE1_EL"/>
    <x v="4"/>
    <x v="108"/>
    <x v="0"/>
    <x v="0"/>
    <n v="120.990725464489"/>
    <n v="44161.614794538596"/>
    <n v="158981.813260339"/>
  </r>
  <r>
    <x v="0"/>
    <x v="0"/>
    <x v="0"/>
    <x v="9"/>
    <x v="17"/>
    <s v="SE1_EL"/>
    <x v="4"/>
    <x v="108"/>
    <x v="0"/>
    <x v="1"/>
    <n v="134.71813085565299"/>
    <n v="49172.117762313297"/>
    <n v="177019.62394432799"/>
  </r>
  <r>
    <x v="0"/>
    <x v="0"/>
    <x v="0"/>
    <x v="9"/>
    <x v="17"/>
    <s v="SE1_EL"/>
    <x v="4"/>
    <x v="108"/>
    <x v="0"/>
    <x v="2"/>
    <n v="137.127380595369"/>
    <n v="50051.493917309497"/>
    <n v="180185.37810231399"/>
  </r>
  <r>
    <x v="0"/>
    <x v="0"/>
    <x v="0"/>
    <x v="9"/>
    <x v="17"/>
    <s v="SE1_EL"/>
    <x v="4"/>
    <x v="108"/>
    <x v="0"/>
    <x v="9"/>
    <n v="140.90771666967501"/>
    <n v="51431.316584431501"/>
    <n v="185152.739703953"/>
  </r>
  <r>
    <x v="0"/>
    <x v="0"/>
    <x v="0"/>
    <x v="9"/>
    <x v="17"/>
    <s v="SE1_EL"/>
    <x v="4"/>
    <x v="108"/>
    <x v="0"/>
    <x v="10"/>
    <n v="135.633515841861"/>
    <n v="49506.2332822791"/>
    <n v="178222.43981620501"/>
  </r>
  <r>
    <x v="0"/>
    <x v="0"/>
    <x v="0"/>
    <x v="9"/>
    <x v="17"/>
    <s v="SE1_EL"/>
    <x v="4"/>
    <x v="108"/>
    <x v="0"/>
    <x v="11"/>
    <n v="133.51655856039699"/>
    <n v="48733.543874545001"/>
    <n v="175440.75794836201"/>
  </r>
  <r>
    <x v="0"/>
    <x v="0"/>
    <x v="0"/>
    <x v="9"/>
    <x v="17"/>
    <s v="SE1_EL"/>
    <x v="4"/>
    <x v="108"/>
    <x v="0"/>
    <x v="12"/>
    <n v="133.73051420897201"/>
    <n v="48811.637686274997"/>
    <n v="175721.89567058999"/>
  </r>
  <r>
    <x v="0"/>
    <x v="0"/>
    <x v="0"/>
    <x v="9"/>
    <x v="17"/>
    <s v="SE1_EL"/>
    <x v="4"/>
    <x v="108"/>
    <x v="0"/>
    <x v="13"/>
    <n v="132.68058468359399"/>
    <n v="48428.413409511799"/>
    <n v="174342.28827424199"/>
  </r>
  <r>
    <x v="0"/>
    <x v="0"/>
    <x v="0"/>
    <x v="9"/>
    <x v="17"/>
    <s v="SE1_EL"/>
    <x v="4"/>
    <x v="108"/>
    <x v="0"/>
    <x v="14"/>
    <n v="132.03808783372301"/>
    <n v="48193.902059309003"/>
    <n v="173498.04741351301"/>
  </r>
  <r>
    <x v="0"/>
    <x v="0"/>
    <x v="0"/>
    <x v="9"/>
    <x v="17"/>
    <s v="SE1_EL"/>
    <x v="4"/>
    <x v="108"/>
    <x v="0"/>
    <x v="15"/>
    <n v="138.344738961074"/>
    <n v="50495.829720792201"/>
    <n v="181784.98699485199"/>
  </r>
  <r>
    <x v="0"/>
    <x v="0"/>
    <x v="0"/>
    <x v="9"/>
    <x v="17"/>
    <s v="SE1_EL"/>
    <x v="4"/>
    <x v="108"/>
    <x v="0"/>
    <x v="16"/>
    <n v="127.682416985424"/>
    <n v="46604.0821996796"/>
    <n v="167774.69591884699"/>
  </r>
  <r>
    <x v="0"/>
    <x v="0"/>
    <x v="0"/>
    <x v="9"/>
    <x v="17"/>
    <s v="SE1_EL"/>
    <x v="4"/>
    <x v="108"/>
    <x v="0"/>
    <x v="17"/>
    <n v="122.50268433641099"/>
    <n v="44713.479782790098"/>
    <n v="160968.52721804401"/>
  </r>
  <r>
    <x v="0"/>
    <x v="0"/>
    <x v="0"/>
    <x v="9"/>
    <x v="17"/>
    <s v="SE1_EL"/>
    <x v="4"/>
    <x v="108"/>
    <x v="0"/>
    <x v="18"/>
    <n v="119.944734437256"/>
    <n v="43779.828069598603"/>
    <n v="157607.38105055501"/>
  </r>
  <r>
    <x v="0"/>
    <x v="0"/>
    <x v="0"/>
    <x v="9"/>
    <x v="17"/>
    <s v="SE1_EL"/>
    <x v="4"/>
    <x v="108"/>
    <x v="0"/>
    <x v="19"/>
    <n v="115.335355395484"/>
    <n v="42097.404719351602"/>
    <n v="151550.65698966599"/>
  </r>
  <r>
    <x v="0"/>
    <x v="0"/>
    <x v="0"/>
    <x v="9"/>
    <x v="17"/>
    <s v="SE1_EL"/>
    <x v="4"/>
    <x v="108"/>
    <x v="0"/>
    <x v="20"/>
    <n v="110.592959140782"/>
    <n v="40366.430086385597"/>
    <n v="145319.14831098801"/>
  </r>
  <r>
    <x v="0"/>
    <x v="0"/>
    <x v="0"/>
    <x v="9"/>
    <x v="17"/>
    <s v="SE1_EL"/>
    <x v="4"/>
    <x v="108"/>
    <x v="0"/>
    <x v="21"/>
    <n v="108.50833114762401"/>
    <n v="39605.540868882701"/>
    <n v="142579.947127978"/>
  </r>
  <r>
    <x v="0"/>
    <x v="0"/>
    <x v="0"/>
    <x v="9"/>
    <x v="17"/>
    <s v="SE1_EL"/>
    <x v="4"/>
    <x v="108"/>
    <x v="0"/>
    <x v="22"/>
    <n v="100.875935029841"/>
    <n v="36819.716285891998"/>
    <n v="132550.97862921099"/>
  </r>
  <r>
    <x v="0"/>
    <x v="0"/>
    <x v="0"/>
    <x v="9"/>
    <x v="17"/>
    <s v="SE1_EL"/>
    <x v="4"/>
    <x v="108"/>
    <x v="0"/>
    <x v="23"/>
    <n v="92.651105293109595"/>
    <n v="33817.653431985003"/>
    <n v="121743.55235514601"/>
  </r>
  <r>
    <x v="0"/>
    <x v="0"/>
    <x v="0"/>
    <x v="9"/>
    <x v="17"/>
    <s v="SE1_EL"/>
    <x v="10"/>
    <x v="230"/>
    <x v="0"/>
    <x v="3"/>
    <n v="12.7971780168803"/>
    <n v="4670.9699761613201"/>
    <n v="16815.491914180799"/>
  </r>
  <r>
    <x v="0"/>
    <x v="0"/>
    <x v="0"/>
    <x v="9"/>
    <x v="17"/>
    <s v="SE1_EL"/>
    <x v="10"/>
    <x v="230"/>
    <x v="0"/>
    <x v="4"/>
    <n v="12.7971780168803"/>
    <n v="4670.9699761613201"/>
    <n v="16815.491914180799"/>
  </r>
  <r>
    <x v="0"/>
    <x v="0"/>
    <x v="0"/>
    <x v="9"/>
    <x v="17"/>
    <s v="SE1_EL"/>
    <x v="10"/>
    <x v="230"/>
    <x v="0"/>
    <x v="5"/>
    <n v="12.7971780168803"/>
    <n v="4670.9699761613201"/>
    <n v="16815.491914180799"/>
  </r>
  <r>
    <x v="0"/>
    <x v="0"/>
    <x v="0"/>
    <x v="9"/>
    <x v="17"/>
    <s v="SE1_EL"/>
    <x v="10"/>
    <x v="230"/>
    <x v="0"/>
    <x v="6"/>
    <n v="12.7971780168803"/>
    <n v="4670.9699761613201"/>
    <n v="16815.491914180799"/>
  </r>
  <r>
    <x v="0"/>
    <x v="0"/>
    <x v="0"/>
    <x v="9"/>
    <x v="17"/>
    <s v="SE1_EL"/>
    <x v="10"/>
    <x v="230"/>
    <x v="0"/>
    <x v="7"/>
    <n v="12.7971780168803"/>
    <n v="4670.9699761613201"/>
    <n v="16815.491914180799"/>
  </r>
  <r>
    <x v="0"/>
    <x v="0"/>
    <x v="0"/>
    <x v="9"/>
    <x v="17"/>
    <s v="SE1_EL"/>
    <x v="10"/>
    <x v="230"/>
    <x v="0"/>
    <x v="8"/>
    <n v="12.7971780168803"/>
    <n v="4670.9699761613201"/>
    <n v="16815.491914180799"/>
  </r>
  <r>
    <x v="0"/>
    <x v="0"/>
    <x v="0"/>
    <x v="9"/>
    <x v="17"/>
    <s v="SE1_EL"/>
    <x v="10"/>
    <x v="230"/>
    <x v="0"/>
    <x v="0"/>
    <n v="12.7971780168803"/>
    <n v="4670.9699761613201"/>
    <n v="16815.491914180799"/>
  </r>
  <r>
    <x v="0"/>
    <x v="0"/>
    <x v="0"/>
    <x v="9"/>
    <x v="17"/>
    <s v="SE1_EL"/>
    <x v="10"/>
    <x v="230"/>
    <x v="0"/>
    <x v="1"/>
    <n v="12.7971780168803"/>
    <n v="4670.9699761613201"/>
    <n v="16815.491914180799"/>
  </r>
  <r>
    <x v="0"/>
    <x v="0"/>
    <x v="0"/>
    <x v="9"/>
    <x v="17"/>
    <s v="SE1_EL"/>
    <x v="10"/>
    <x v="230"/>
    <x v="0"/>
    <x v="2"/>
    <n v="12.7971780168803"/>
    <n v="4670.9699761613201"/>
    <n v="16815.491914180799"/>
  </r>
  <r>
    <x v="0"/>
    <x v="0"/>
    <x v="0"/>
    <x v="9"/>
    <x v="17"/>
    <s v="SE1_EL"/>
    <x v="10"/>
    <x v="230"/>
    <x v="0"/>
    <x v="9"/>
    <n v="12.7971780168803"/>
    <n v="4670.9699761613201"/>
    <n v="16815.491914180799"/>
  </r>
  <r>
    <x v="0"/>
    <x v="0"/>
    <x v="0"/>
    <x v="9"/>
    <x v="17"/>
    <s v="SE1_EL"/>
    <x v="10"/>
    <x v="230"/>
    <x v="0"/>
    <x v="10"/>
    <n v="12.7971780168803"/>
    <n v="4670.9699761613201"/>
    <n v="16815.491914180799"/>
  </r>
  <r>
    <x v="0"/>
    <x v="0"/>
    <x v="0"/>
    <x v="9"/>
    <x v="17"/>
    <s v="SE1_EL"/>
    <x v="10"/>
    <x v="230"/>
    <x v="0"/>
    <x v="11"/>
    <n v="12.7971780168803"/>
    <n v="4670.9699761613201"/>
    <n v="16815.491914180799"/>
  </r>
  <r>
    <x v="0"/>
    <x v="0"/>
    <x v="0"/>
    <x v="9"/>
    <x v="17"/>
    <s v="SE1_EL"/>
    <x v="10"/>
    <x v="230"/>
    <x v="0"/>
    <x v="12"/>
    <n v="12.7971780168803"/>
    <n v="4670.9699761613201"/>
    <n v="16815.491914180799"/>
  </r>
  <r>
    <x v="0"/>
    <x v="0"/>
    <x v="0"/>
    <x v="9"/>
    <x v="17"/>
    <s v="SE1_EL"/>
    <x v="10"/>
    <x v="230"/>
    <x v="0"/>
    <x v="13"/>
    <n v="12.7971780168803"/>
    <n v="4670.9699761613201"/>
    <n v="16815.491914180799"/>
  </r>
  <r>
    <x v="0"/>
    <x v="0"/>
    <x v="0"/>
    <x v="9"/>
    <x v="17"/>
    <s v="SE1_EL"/>
    <x v="10"/>
    <x v="230"/>
    <x v="0"/>
    <x v="14"/>
    <n v="12.7971780168803"/>
    <n v="4670.9699761613201"/>
    <n v="16815.491914180799"/>
  </r>
  <r>
    <x v="0"/>
    <x v="0"/>
    <x v="0"/>
    <x v="9"/>
    <x v="17"/>
    <s v="SE1_EL"/>
    <x v="10"/>
    <x v="230"/>
    <x v="0"/>
    <x v="15"/>
    <n v="12.7971780168803"/>
    <n v="4670.9699761613201"/>
    <n v="16815.491914180799"/>
  </r>
  <r>
    <x v="0"/>
    <x v="0"/>
    <x v="0"/>
    <x v="9"/>
    <x v="17"/>
    <s v="SE1_EL"/>
    <x v="10"/>
    <x v="230"/>
    <x v="0"/>
    <x v="16"/>
    <n v="12.7971780168803"/>
    <n v="4670.9699761613201"/>
    <n v="16815.491914180799"/>
  </r>
  <r>
    <x v="0"/>
    <x v="0"/>
    <x v="0"/>
    <x v="9"/>
    <x v="17"/>
    <s v="SE1_EL"/>
    <x v="10"/>
    <x v="230"/>
    <x v="0"/>
    <x v="17"/>
    <n v="12.7971780168803"/>
    <n v="4670.9699761613201"/>
    <n v="16815.491914180799"/>
  </r>
  <r>
    <x v="0"/>
    <x v="0"/>
    <x v="0"/>
    <x v="9"/>
    <x v="17"/>
    <s v="SE1_EL"/>
    <x v="10"/>
    <x v="230"/>
    <x v="0"/>
    <x v="18"/>
    <n v="12.7971780168803"/>
    <n v="4670.9699761613201"/>
    <n v="16815.491914180799"/>
  </r>
  <r>
    <x v="0"/>
    <x v="0"/>
    <x v="0"/>
    <x v="9"/>
    <x v="17"/>
    <s v="SE1_EL"/>
    <x v="10"/>
    <x v="230"/>
    <x v="0"/>
    <x v="19"/>
    <n v="12.7971780168803"/>
    <n v="4670.9699761613201"/>
    <n v="16815.491914180799"/>
  </r>
  <r>
    <x v="0"/>
    <x v="0"/>
    <x v="0"/>
    <x v="9"/>
    <x v="17"/>
    <s v="SE1_EL"/>
    <x v="10"/>
    <x v="230"/>
    <x v="0"/>
    <x v="20"/>
    <n v="12.7971780168803"/>
    <n v="4670.9699761613201"/>
    <n v="16815.491914180799"/>
  </r>
  <r>
    <x v="0"/>
    <x v="0"/>
    <x v="0"/>
    <x v="9"/>
    <x v="17"/>
    <s v="SE1_EL"/>
    <x v="10"/>
    <x v="230"/>
    <x v="0"/>
    <x v="21"/>
    <n v="12.7971780168803"/>
    <n v="4670.9699761613201"/>
    <n v="16815.491914180799"/>
  </r>
  <r>
    <x v="0"/>
    <x v="0"/>
    <x v="0"/>
    <x v="9"/>
    <x v="17"/>
    <s v="SE1_EL"/>
    <x v="10"/>
    <x v="230"/>
    <x v="0"/>
    <x v="22"/>
    <n v="12.7971780168803"/>
    <n v="4670.9699761613201"/>
    <n v="16815.491914180799"/>
  </r>
  <r>
    <x v="0"/>
    <x v="0"/>
    <x v="0"/>
    <x v="9"/>
    <x v="17"/>
    <s v="SE1_EL"/>
    <x v="10"/>
    <x v="230"/>
    <x v="0"/>
    <x v="23"/>
    <n v="12.7971780168803"/>
    <n v="4670.9699761613201"/>
    <n v="16815.491914180799"/>
  </r>
  <r>
    <x v="0"/>
    <x v="0"/>
    <x v="0"/>
    <x v="9"/>
    <x v="17"/>
    <s v="SE1_OTHER"/>
    <x v="2"/>
    <x v="231"/>
    <x v="0"/>
    <x v="0"/>
    <n v="5.2769003588996304"/>
    <n v="1926.0686309983701"/>
    <n v="6933.8470715941203"/>
  </r>
  <r>
    <x v="0"/>
    <x v="0"/>
    <x v="0"/>
    <x v="9"/>
    <x v="17"/>
    <s v="SE1_OTHER"/>
    <x v="2"/>
    <x v="231"/>
    <x v="0"/>
    <x v="1"/>
    <n v="5.2769003588996304"/>
    <n v="1926.0686309983701"/>
    <n v="6933.8470715941203"/>
  </r>
  <r>
    <x v="0"/>
    <x v="0"/>
    <x v="0"/>
    <x v="9"/>
    <x v="17"/>
    <s v="SE1_OTHER"/>
    <x v="2"/>
    <x v="231"/>
    <x v="0"/>
    <x v="2"/>
    <n v="5.2769003588996304"/>
    <n v="1926.0686309983701"/>
    <n v="6933.8470715941203"/>
  </r>
  <r>
    <x v="0"/>
    <x v="0"/>
    <x v="0"/>
    <x v="9"/>
    <x v="17"/>
    <s v="SE1_OTHER"/>
    <x v="2"/>
    <x v="231"/>
    <x v="0"/>
    <x v="9"/>
    <n v="5.2769003588996304"/>
    <n v="1926.0686309983701"/>
    <n v="6933.8470715941203"/>
  </r>
  <r>
    <x v="0"/>
    <x v="0"/>
    <x v="0"/>
    <x v="9"/>
    <x v="17"/>
    <s v="SE1_OTHER"/>
    <x v="2"/>
    <x v="231"/>
    <x v="0"/>
    <x v="10"/>
    <n v="5.2769003588996304"/>
    <n v="1926.0686309983701"/>
    <n v="6933.8470715941203"/>
  </r>
  <r>
    <x v="0"/>
    <x v="0"/>
    <x v="0"/>
    <x v="9"/>
    <x v="17"/>
    <s v="SE1_OTHER"/>
    <x v="2"/>
    <x v="231"/>
    <x v="0"/>
    <x v="11"/>
    <n v="5.2769003588996304"/>
    <n v="1926.0686309983701"/>
    <n v="6933.8470715941203"/>
  </r>
  <r>
    <x v="0"/>
    <x v="0"/>
    <x v="0"/>
    <x v="9"/>
    <x v="17"/>
    <s v="SE1_OTHER"/>
    <x v="2"/>
    <x v="231"/>
    <x v="0"/>
    <x v="12"/>
    <n v="5.2769003588996304"/>
    <n v="1926.0686309983701"/>
    <n v="6933.8470715941203"/>
  </r>
  <r>
    <x v="0"/>
    <x v="0"/>
    <x v="0"/>
    <x v="9"/>
    <x v="17"/>
    <s v="SE1_OTHER"/>
    <x v="2"/>
    <x v="231"/>
    <x v="0"/>
    <x v="13"/>
    <n v="5.2769003588996304"/>
    <n v="1926.0686309983701"/>
    <n v="6933.8470715941203"/>
  </r>
  <r>
    <x v="0"/>
    <x v="0"/>
    <x v="0"/>
    <x v="9"/>
    <x v="17"/>
    <s v="SE1_OTHER"/>
    <x v="2"/>
    <x v="231"/>
    <x v="0"/>
    <x v="14"/>
    <n v="5.2769003588996304"/>
    <n v="1926.0686309983701"/>
    <n v="6933.8470715941203"/>
  </r>
  <r>
    <x v="0"/>
    <x v="0"/>
    <x v="0"/>
    <x v="9"/>
    <x v="17"/>
    <s v="SE1_OTHER"/>
    <x v="2"/>
    <x v="231"/>
    <x v="0"/>
    <x v="15"/>
    <n v="5.2769003588996304"/>
    <n v="1926.0686309983701"/>
    <n v="6933.8470715941203"/>
  </r>
  <r>
    <x v="0"/>
    <x v="0"/>
    <x v="0"/>
    <x v="9"/>
    <x v="17"/>
    <s v="SE1_OTHER"/>
    <x v="2"/>
    <x v="231"/>
    <x v="0"/>
    <x v="16"/>
    <n v="5.2769003588996304"/>
    <n v="1926.0686309983701"/>
    <n v="6933.8470715941203"/>
  </r>
  <r>
    <x v="0"/>
    <x v="0"/>
    <x v="0"/>
    <x v="9"/>
    <x v="17"/>
    <s v="SE1_OTHER"/>
    <x v="2"/>
    <x v="231"/>
    <x v="0"/>
    <x v="17"/>
    <n v="2.53646454464893"/>
    <n v="925.80955879686098"/>
    <n v="3332.9144116686998"/>
  </r>
  <r>
    <x v="0"/>
    <x v="0"/>
    <x v="0"/>
    <x v="9"/>
    <x v="17"/>
    <s v="SE1_OTHER"/>
    <x v="4"/>
    <x v="108"/>
    <x v="0"/>
    <x v="3"/>
    <n v="35.828754578754399"/>
    <n v="13077.495421245399"/>
    <n v="47078.983516483298"/>
  </r>
  <r>
    <x v="0"/>
    <x v="0"/>
    <x v="0"/>
    <x v="9"/>
    <x v="17"/>
    <s v="SE1_OTHER"/>
    <x v="4"/>
    <x v="108"/>
    <x v="0"/>
    <x v="4"/>
    <n v="35.828754578754399"/>
    <n v="13077.495421245399"/>
    <n v="47078.983516483298"/>
  </r>
  <r>
    <x v="0"/>
    <x v="0"/>
    <x v="0"/>
    <x v="9"/>
    <x v="17"/>
    <s v="SE1_OTHER"/>
    <x v="4"/>
    <x v="108"/>
    <x v="0"/>
    <x v="5"/>
    <n v="35.828754578754399"/>
    <n v="13077.495421245399"/>
    <n v="47078.983516483298"/>
  </r>
  <r>
    <x v="0"/>
    <x v="0"/>
    <x v="0"/>
    <x v="9"/>
    <x v="17"/>
    <s v="SE1_OTHER"/>
    <x v="4"/>
    <x v="108"/>
    <x v="0"/>
    <x v="6"/>
    <n v="35.828754578754399"/>
    <n v="13077.495421245399"/>
    <n v="47078.983516483298"/>
  </r>
  <r>
    <x v="0"/>
    <x v="0"/>
    <x v="0"/>
    <x v="9"/>
    <x v="17"/>
    <s v="SE1_OTHER"/>
    <x v="4"/>
    <x v="108"/>
    <x v="0"/>
    <x v="7"/>
    <n v="35.828754578754399"/>
    <n v="13077.495421245399"/>
    <n v="47078.983516483298"/>
  </r>
  <r>
    <x v="0"/>
    <x v="0"/>
    <x v="0"/>
    <x v="9"/>
    <x v="17"/>
    <s v="SE1_OTHER"/>
    <x v="4"/>
    <x v="108"/>
    <x v="0"/>
    <x v="8"/>
    <n v="35.828754578754399"/>
    <n v="13077.495421245399"/>
    <n v="47078.983516483298"/>
  </r>
  <r>
    <x v="0"/>
    <x v="0"/>
    <x v="0"/>
    <x v="9"/>
    <x v="17"/>
    <s v="SE1_OTHER"/>
    <x v="4"/>
    <x v="108"/>
    <x v="0"/>
    <x v="0"/>
    <n v="35.828754578754399"/>
    <n v="13077.495421245399"/>
    <n v="47078.983516483298"/>
  </r>
  <r>
    <x v="0"/>
    <x v="0"/>
    <x v="0"/>
    <x v="9"/>
    <x v="17"/>
    <s v="SE1_OTHER"/>
    <x v="4"/>
    <x v="108"/>
    <x v="0"/>
    <x v="1"/>
    <n v="35.828754578754399"/>
    <n v="13077.495421245399"/>
    <n v="47078.983516483298"/>
  </r>
  <r>
    <x v="0"/>
    <x v="0"/>
    <x v="0"/>
    <x v="9"/>
    <x v="17"/>
    <s v="SE1_OTHER"/>
    <x v="4"/>
    <x v="108"/>
    <x v="0"/>
    <x v="2"/>
    <n v="35.828754578754399"/>
    <n v="13077.495421245399"/>
    <n v="47078.983516483298"/>
  </r>
  <r>
    <x v="0"/>
    <x v="0"/>
    <x v="0"/>
    <x v="9"/>
    <x v="17"/>
    <s v="SE1_OTHER"/>
    <x v="4"/>
    <x v="108"/>
    <x v="0"/>
    <x v="9"/>
    <n v="35.828754578754399"/>
    <n v="13077.495421245399"/>
    <n v="47078.983516483298"/>
  </r>
  <r>
    <x v="0"/>
    <x v="0"/>
    <x v="0"/>
    <x v="9"/>
    <x v="17"/>
    <s v="SE1_OTHER"/>
    <x v="4"/>
    <x v="108"/>
    <x v="0"/>
    <x v="10"/>
    <n v="35.828754578754399"/>
    <n v="13077.495421245399"/>
    <n v="47078.983516483298"/>
  </r>
  <r>
    <x v="0"/>
    <x v="0"/>
    <x v="0"/>
    <x v="9"/>
    <x v="17"/>
    <s v="SE1_OTHER"/>
    <x v="4"/>
    <x v="108"/>
    <x v="0"/>
    <x v="11"/>
    <n v="35.828754578754399"/>
    <n v="13077.495421245399"/>
    <n v="47078.983516483298"/>
  </r>
  <r>
    <x v="0"/>
    <x v="0"/>
    <x v="0"/>
    <x v="9"/>
    <x v="17"/>
    <s v="SE1_OTHER"/>
    <x v="4"/>
    <x v="108"/>
    <x v="0"/>
    <x v="12"/>
    <n v="35.828754578754399"/>
    <n v="13077.495421245399"/>
    <n v="47078.983516483298"/>
  </r>
  <r>
    <x v="0"/>
    <x v="0"/>
    <x v="0"/>
    <x v="9"/>
    <x v="17"/>
    <s v="SE1_OTHER"/>
    <x v="4"/>
    <x v="108"/>
    <x v="0"/>
    <x v="13"/>
    <n v="35.828754578754399"/>
    <n v="13077.495421245399"/>
    <n v="47078.983516483298"/>
  </r>
  <r>
    <x v="0"/>
    <x v="0"/>
    <x v="0"/>
    <x v="9"/>
    <x v="17"/>
    <s v="SE1_OTHER"/>
    <x v="4"/>
    <x v="108"/>
    <x v="0"/>
    <x v="14"/>
    <n v="35.828754578754399"/>
    <n v="13077.495421245399"/>
    <n v="47078.983516483298"/>
  </r>
  <r>
    <x v="0"/>
    <x v="0"/>
    <x v="0"/>
    <x v="9"/>
    <x v="17"/>
    <s v="SE1_OTHER"/>
    <x v="4"/>
    <x v="108"/>
    <x v="0"/>
    <x v="15"/>
    <n v="35.828754578754399"/>
    <n v="13077.495421245399"/>
    <n v="47078.983516483298"/>
  </r>
  <r>
    <x v="0"/>
    <x v="0"/>
    <x v="0"/>
    <x v="9"/>
    <x v="17"/>
    <s v="SE1_OTHER"/>
    <x v="4"/>
    <x v="108"/>
    <x v="0"/>
    <x v="16"/>
    <n v="35.828754578754399"/>
    <n v="13077.495421245399"/>
    <n v="47078.983516483298"/>
  </r>
  <r>
    <x v="0"/>
    <x v="0"/>
    <x v="0"/>
    <x v="9"/>
    <x v="17"/>
    <s v="SE1_OTHER"/>
    <x v="4"/>
    <x v="108"/>
    <x v="0"/>
    <x v="17"/>
    <n v="35.828754578754399"/>
    <n v="13077.495421245399"/>
    <n v="47078.983516483298"/>
  </r>
  <r>
    <x v="0"/>
    <x v="0"/>
    <x v="0"/>
    <x v="9"/>
    <x v="17"/>
    <s v="SE1_OTHER"/>
    <x v="4"/>
    <x v="108"/>
    <x v="0"/>
    <x v="18"/>
    <n v="35.828754578754399"/>
    <n v="13077.495421245399"/>
    <n v="47078.983516483298"/>
  </r>
  <r>
    <x v="0"/>
    <x v="0"/>
    <x v="0"/>
    <x v="9"/>
    <x v="17"/>
    <s v="SE1_OTHER"/>
    <x v="4"/>
    <x v="108"/>
    <x v="0"/>
    <x v="19"/>
    <n v="35.828754578754399"/>
    <n v="13077.495421245399"/>
    <n v="47078.983516483298"/>
  </r>
  <r>
    <x v="0"/>
    <x v="0"/>
    <x v="0"/>
    <x v="9"/>
    <x v="17"/>
    <s v="SE1_OTHER"/>
    <x v="4"/>
    <x v="108"/>
    <x v="0"/>
    <x v="20"/>
    <n v="35.828754578754399"/>
    <n v="13077.495421245399"/>
    <n v="47078.983516483298"/>
  </r>
  <r>
    <x v="0"/>
    <x v="0"/>
    <x v="0"/>
    <x v="9"/>
    <x v="17"/>
    <s v="SE1_OTHER"/>
    <x v="4"/>
    <x v="108"/>
    <x v="0"/>
    <x v="21"/>
    <n v="35.828754578754399"/>
    <n v="13077.495421245399"/>
    <n v="47078.983516483298"/>
  </r>
  <r>
    <x v="0"/>
    <x v="0"/>
    <x v="0"/>
    <x v="9"/>
    <x v="17"/>
    <s v="SE1_OTHER"/>
    <x v="4"/>
    <x v="108"/>
    <x v="0"/>
    <x v="22"/>
    <n v="35.828754578754399"/>
    <n v="13077.495421245399"/>
    <n v="47078.983516483298"/>
  </r>
  <r>
    <x v="0"/>
    <x v="0"/>
    <x v="0"/>
    <x v="9"/>
    <x v="17"/>
    <s v="SE1_OTHER"/>
    <x v="4"/>
    <x v="108"/>
    <x v="0"/>
    <x v="23"/>
    <n v="35.828754578754399"/>
    <n v="13077.495421245399"/>
    <n v="47078.983516483298"/>
  </r>
  <r>
    <x v="0"/>
    <x v="0"/>
    <x v="0"/>
    <x v="9"/>
    <x v="17"/>
    <s v="SE1_OTHER"/>
    <x v="5"/>
    <x v="232"/>
    <x v="0"/>
    <x v="1"/>
    <n v="16.392294220665502"/>
    <n v="5983.1873905429102"/>
    <n v="21539.4746059545"/>
  </r>
  <r>
    <x v="0"/>
    <x v="0"/>
    <x v="0"/>
    <x v="9"/>
    <x v="17"/>
    <s v="SE1_OTHER"/>
    <x v="5"/>
    <x v="232"/>
    <x v="0"/>
    <x v="2"/>
    <n v="16.392294220665502"/>
    <n v="5983.1873905429102"/>
    <n v="21539.4746059545"/>
  </r>
  <r>
    <x v="0"/>
    <x v="0"/>
    <x v="0"/>
    <x v="9"/>
    <x v="17"/>
    <s v="SE1_OTHER"/>
    <x v="5"/>
    <x v="232"/>
    <x v="0"/>
    <x v="9"/>
    <n v="16.392294220665502"/>
    <n v="5983.1873905429102"/>
    <n v="21539.4746059545"/>
  </r>
  <r>
    <x v="0"/>
    <x v="0"/>
    <x v="0"/>
    <x v="9"/>
    <x v="17"/>
    <s v="SE1_OTHER"/>
    <x v="5"/>
    <x v="232"/>
    <x v="0"/>
    <x v="10"/>
    <n v="16.392294220665502"/>
    <n v="5983.1873905429102"/>
    <n v="21539.4746059545"/>
  </r>
  <r>
    <x v="0"/>
    <x v="0"/>
    <x v="0"/>
    <x v="9"/>
    <x v="17"/>
    <s v="SE1_OTHER"/>
    <x v="5"/>
    <x v="232"/>
    <x v="0"/>
    <x v="11"/>
    <n v="16.392294220665502"/>
    <n v="5983.1873905429102"/>
    <n v="21539.4746059545"/>
  </r>
  <r>
    <x v="0"/>
    <x v="0"/>
    <x v="0"/>
    <x v="9"/>
    <x v="17"/>
    <s v="SE1_OTHER"/>
    <x v="5"/>
    <x v="232"/>
    <x v="0"/>
    <x v="12"/>
    <n v="11.561641399531799"/>
    <n v="4219.9991108290997"/>
    <n v="15191.996798984799"/>
  </r>
  <r>
    <x v="0"/>
    <x v="0"/>
    <x v="0"/>
    <x v="9"/>
    <x v="17"/>
    <s v="SE1_OTHER"/>
    <x v="5"/>
    <x v="232"/>
    <x v="0"/>
    <x v="15"/>
    <n v="13.461932344246"/>
    <n v="4913.6053056497703"/>
    <n v="17688.979100339198"/>
  </r>
  <r>
    <x v="0"/>
    <x v="0"/>
    <x v="0"/>
    <x v="9"/>
    <x v="17"/>
    <s v="SE1_OTHER"/>
    <x v="5"/>
    <x v="232"/>
    <x v="0"/>
    <x v="16"/>
    <n v="5.2281226433844097"/>
    <n v="1908.26476483531"/>
    <n v="6869.7531534071204"/>
  </r>
  <r>
    <x v="0"/>
    <x v="0"/>
    <x v="0"/>
    <x v="9"/>
    <x v="17"/>
    <s v="SE1_OTHER"/>
    <x v="10"/>
    <x v="233"/>
    <x v="0"/>
    <x v="3"/>
    <n v="97.4736031601836"/>
    <n v="35577.865153466999"/>
    <n v="128080.314552481"/>
  </r>
  <r>
    <x v="0"/>
    <x v="0"/>
    <x v="0"/>
    <x v="9"/>
    <x v="17"/>
    <s v="SE1_OTHER"/>
    <x v="10"/>
    <x v="233"/>
    <x v="0"/>
    <x v="4"/>
    <n v="97.4736031601836"/>
    <n v="35577.865153466999"/>
    <n v="128080.314552481"/>
  </r>
  <r>
    <x v="0"/>
    <x v="0"/>
    <x v="0"/>
    <x v="9"/>
    <x v="17"/>
    <s v="SE1_OTHER"/>
    <x v="10"/>
    <x v="233"/>
    <x v="0"/>
    <x v="5"/>
    <n v="97.4736031601836"/>
    <n v="35577.865153466999"/>
    <n v="128080.314552481"/>
  </r>
  <r>
    <x v="0"/>
    <x v="0"/>
    <x v="0"/>
    <x v="9"/>
    <x v="17"/>
    <s v="SE1_OTHER"/>
    <x v="10"/>
    <x v="233"/>
    <x v="0"/>
    <x v="6"/>
    <n v="97.4736031601836"/>
    <n v="35577.865153466999"/>
    <n v="128080.314552481"/>
  </r>
  <r>
    <x v="0"/>
    <x v="0"/>
    <x v="0"/>
    <x v="9"/>
    <x v="17"/>
    <s v="SE1_OTHER"/>
    <x v="10"/>
    <x v="233"/>
    <x v="0"/>
    <x v="7"/>
    <n v="97.4736031601836"/>
    <n v="35577.865153466999"/>
    <n v="128080.314552481"/>
  </r>
  <r>
    <x v="0"/>
    <x v="0"/>
    <x v="0"/>
    <x v="9"/>
    <x v="17"/>
    <s v="SE1_OTHER"/>
    <x v="10"/>
    <x v="233"/>
    <x v="0"/>
    <x v="8"/>
    <n v="97.4736031601836"/>
    <n v="35577.865153466999"/>
    <n v="128080.314552481"/>
  </r>
  <r>
    <x v="0"/>
    <x v="0"/>
    <x v="0"/>
    <x v="9"/>
    <x v="17"/>
    <s v="SE1_OTHER"/>
    <x v="10"/>
    <x v="233"/>
    <x v="0"/>
    <x v="0"/>
    <n v="97.4736031601836"/>
    <n v="35577.865153466999"/>
    <n v="128080.314552481"/>
  </r>
  <r>
    <x v="0"/>
    <x v="0"/>
    <x v="0"/>
    <x v="9"/>
    <x v="17"/>
    <s v="SE1_OTHER"/>
    <x v="10"/>
    <x v="233"/>
    <x v="0"/>
    <x v="1"/>
    <n v="97.4736031601836"/>
    <n v="35577.865153466999"/>
    <n v="128080.314552481"/>
  </r>
  <r>
    <x v="0"/>
    <x v="0"/>
    <x v="0"/>
    <x v="9"/>
    <x v="17"/>
    <s v="SE1_OTHER"/>
    <x v="10"/>
    <x v="233"/>
    <x v="0"/>
    <x v="2"/>
    <n v="97.4736031601836"/>
    <n v="35577.865153466999"/>
    <n v="128080.314552481"/>
  </r>
  <r>
    <x v="0"/>
    <x v="0"/>
    <x v="0"/>
    <x v="9"/>
    <x v="17"/>
    <s v="SE1_OTHER"/>
    <x v="10"/>
    <x v="233"/>
    <x v="0"/>
    <x v="9"/>
    <n v="97.4736031601836"/>
    <n v="35577.865153466999"/>
    <n v="128080.314552481"/>
  </r>
  <r>
    <x v="0"/>
    <x v="0"/>
    <x v="0"/>
    <x v="9"/>
    <x v="17"/>
    <s v="SE1_OTHER"/>
    <x v="10"/>
    <x v="233"/>
    <x v="0"/>
    <x v="10"/>
    <n v="97.4736031601836"/>
    <n v="35577.865153466999"/>
    <n v="128080.314552481"/>
  </r>
  <r>
    <x v="0"/>
    <x v="0"/>
    <x v="0"/>
    <x v="9"/>
    <x v="17"/>
    <s v="SE1_OTHER"/>
    <x v="10"/>
    <x v="233"/>
    <x v="0"/>
    <x v="11"/>
    <n v="97.4736031601836"/>
    <n v="35577.865153466999"/>
    <n v="128080.314552481"/>
  </r>
  <r>
    <x v="0"/>
    <x v="0"/>
    <x v="0"/>
    <x v="9"/>
    <x v="17"/>
    <s v="SE1_OTHER"/>
    <x v="10"/>
    <x v="233"/>
    <x v="0"/>
    <x v="12"/>
    <n v="97.4736031601836"/>
    <n v="35577.865153466999"/>
    <n v="128080.314552481"/>
  </r>
  <r>
    <x v="0"/>
    <x v="0"/>
    <x v="0"/>
    <x v="9"/>
    <x v="17"/>
    <s v="SE1_OTHER"/>
    <x v="10"/>
    <x v="233"/>
    <x v="0"/>
    <x v="13"/>
    <n v="97.4736031601836"/>
    <n v="35577.865153466999"/>
    <n v="128080.314552481"/>
  </r>
  <r>
    <x v="0"/>
    <x v="0"/>
    <x v="0"/>
    <x v="9"/>
    <x v="17"/>
    <s v="SE1_OTHER"/>
    <x v="10"/>
    <x v="233"/>
    <x v="0"/>
    <x v="14"/>
    <n v="97.4736031601836"/>
    <n v="35577.865153466999"/>
    <n v="128080.314552481"/>
  </r>
  <r>
    <x v="0"/>
    <x v="0"/>
    <x v="0"/>
    <x v="9"/>
    <x v="17"/>
    <s v="SE1_OTHER"/>
    <x v="10"/>
    <x v="233"/>
    <x v="0"/>
    <x v="15"/>
    <n v="97.4736031601836"/>
    <n v="35577.865153466999"/>
    <n v="128080.314552481"/>
  </r>
  <r>
    <x v="0"/>
    <x v="0"/>
    <x v="0"/>
    <x v="9"/>
    <x v="17"/>
    <s v="SE1_OTHER"/>
    <x v="10"/>
    <x v="233"/>
    <x v="0"/>
    <x v="16"/>
    <n v="97.4736031601836"/>
    <n v="35577.865153466999"/>
    <n v="128080.314552481"/>
  </r>
  <r>
    <x v="0"/>
    <x v="0"/>
    <x v="0"/>
    <x v="9"/>
    <x v="17"/>
    <s v="SE1_OTHER"/>
    <x v="10"/>
    <x v="233"/>
    <x v="0"/>
    <x v="17"/>
    <n v="97.4736031601836"/>
    <n v="35577.865153466999"/>
    <n v="128080.314552481"/>
  </r>
  <r>
    <x v="0"/>
    <x v="0"/>
    <x v="0"/>
    <x v="9"/>
    <x v="17"/>
    <s v="SE1_OTHER"/>
    <x v="10"/>
    <x v="233"/>
    <x v="0"/>
    <x v="18"/>
    <n v="97.4736031601836"/>
    <n v="35577.865153466999"/>
    <n v="128080.314552481"/>
  </r>
  <r>
    <x v="0"/>
    <x v="0"/>
    <x v="0"/>
    <x v="9"/>
    <x v="17"/>
    <s v="SE1_OTHER"/>
    <x v="10"/>
    <x v="233"/>
    <x v="0"/>
    <x v="19"/>
    <n v="97.4736031601836"/>
    <n v="35577.865153466999"/>
    <n v="128080.314552481"/>
  </r>
  <r>
    <x v="0"/>
    <x v="0"/>
    <x v="0"/>
    <x v="9"/>
    <x v="17"/>
    <s v="SE1_OTHER"/>
    <x v="10"/>
    <x v="233"/>
    <x v="0"/>
    <x v="20"/>
    <n v="97.4736031601836"/>
    <n v="35577.865153466999"/>
    <n v="128080.314552481"/>
  </r>
  <r>
    <x v="0"/>
    <x v="0"/>
    <x v="0"/>
    <x v="9"/>
    <x v="17"/>
    <s v="SE1_OTHER"/>
    <x v="10"/>
    <x v="233"/>
    <x v="0"/>
    <x v="21"/>
    <n v="97.4736031601836"/>
    <n v="35577.865153466999"/>
    <n v="128080.314552481"/>
  </r>
  <r>
    <x v="0"/>
    <x v="0"/>
    <x v="0"/>
    <x v="9"/>
    <x v="17"/>
    <s v="SE1_OTHER"/>
    <x v="10"/>
    <x v="233"/>
    <x v="0"/>
    <x v="22"/>
    <n v="97.4736031601836"/>
    <n v="35577.865153466999"/>
    <n v="128080.314552481"/>
  </r>
  <r>
    <x v="0"/>
    <x v="0"/>
    <x v="0"/>
    <x v="9"/>
    <x v="17"/>
    <s v="SE1_OTHER"/>
    <x v="10"/>
    <x v="233"/>
    <x v="0"/>
    <x v="23"/>
    <n v="97.4736031601836"/>
    <n v="35577.865153466999"/>
    <n v="128080.314552481"/>
  </r>
  <r>
    <x v="0"/>
    <x v="0"/>
    <x v="0"/>
    <x v="9"/>
    <x v="17"/>
    <s v="SE1_OTHER"/>
    <x v="10"/>
    <x v="111"/>
    <x v="0"/>
    <x v="3"/>
    <n v="31.406671474193899"/>
    <n v="11463.4350880808"/>
    <n v="41268.366317090702"/>
  </r>
  <r>
    <x v="0"/>
    <x v="0"/>
    <x v="0"/>
    <x v="9"/>
    <x v="17"/>
    <s v="SE1_OTHER"/>
    <x v="10"/>
    <x v="111"/>
    <x v="0"/>
    <x v="4"/>
    <n v="31.406671474193899"/>
    <n v="11463.4350880808"/>
    <n v="41268.366317090702"/>
  </r>
  <r>
    <x v="0"/>
    <x v="0"/>
    <x v="0"/>
    <x v="9"/>
    <x v="17"/>
    <s v="SE1_OTHER"/>
    <x v="10"/>
    <x v="111"/>
    <x v="0"/>
    <x v="5"/>
    <n v="31.406671474193899"/>
    <n v="11463.4350880808"/>
    <n v="41268.366317090702"/>
  </r>
  <r>
    <x v="0"/>
    <x v="0"/>
    <x v="0"/>
    <x v="9"/>
    <x v="17"/>
    <s v="SE1_OTHER"/>
    <x v="10"/>
    <x v="111"/>
    <x v="0"/>
    <x v="6"/>
    <n v="31.406671474193899"/>
    <n v="11463.4350880808"/>
    <n v="41268.366317090702"/>
  </r>
  <r>
    <x v="0"/>
    <x v="0"/>
    <x v="0"/>
    <x v="9"/>
    <x v="17"/>
    <s v="SE1_OTHER"/>
    <x v="10"/>
    <x v="111"/>
    <x v="0"/>
    <x v="7"/>
    <n v="31.406671474193899"/>
    <n v="11463.4350880808"/>
    <n v="41268.366317090702"/>
  </r>
  <r>
    <x v="0"/>
    <x v="0"/>
    <x v="0"/>
    <x v="9"/>
    <x v="17"/>
    <s v="SE1_OTHER"/>
    <x v="10"/>
    <x v="111"/>
    <x v="0"/>
    <x v="8"/>
    <n v="31.406671474193899"/>
    <n v="11463.4350880808"/>
    <n v="41268.366317090702"/>
  </r>
  <r>
    <x v="0"/>
    <x v="0"/>
    <x v="0"/>
    <x v="9"/>
    <x v="17"/>
    <s v="SE1_OTHER"/>
    <x v="10"/>
    <x v="111"/>
    <x v="0"/>
    <x v="0"/>
    <n v="31.406671474193899"/>
    <n v="11463.4350880808"/>
    <n v="41268.366317090702"/>
  </r>
  <r>
    <x v="0"/>
    <x v="0"/>
    <x v="0"/>
    <x v="9"/>
    <x v="17"/>
    <s v="SE1_OTHER"/>
    <x v="10"/>
    <x v="111"/>
    <x v="0"/>
    <x v="1"/>
    <n v="31.406671474193899"/>
    <n v="11463.4350880808"/>
    <n v="41268.366317090702"/>
  </r>
  <r>
    <x v="0"/>
    <x v="0"/>
    <x v="0"/>
    <x v="9"/>
    <x v="17"/>
    <s v="SE1_OTHER"/>
    <x v="10"/>
    <x v="111"/>
    <x v="0"/>
    <x v="2"/>
    <n v="31.406671474193899"/>
    <n v="11463.4350880808"/>
    <n v="41268.366317090702"/>
  </r>
  <r>
    <x v="0"/>
    <x v="0"/>
    <x v="0"/>
    <x v="9"/>
    <x v="17"/>
    <s v="SE1_OTHER"/>
    <x v="10"/>
    <x v="111"/>
    <x v="0"/>
    <x v="9"/>
    <n v="31.406671474193899"/>
    <n v="11463.4350880808"/>
    <n v="41268.366317090702"/>
  </r>
  <r>
    <x v="0"/>
    <x v="0"/>
    <x v="0"/>
    <x v="9"/>
    <x v="17"/>
    <s v="SE1_OTHER"/>
    <x v="10"/>
    <x v="111"/>
    <x v="0"/>
    <x v="10"/>
    <n v="31.406671474193899"/>
    <n v="11463.4350880808"/>
    <n v="41268.366317090702"/>
  </r>
  <r>
    <x v="0"/>
    <x v="0"/>
    <x v="0"/>
    <x v="9"/>
    <x v="17"/>
    <s v="SE1_OTHER"/>
    <x v="10"/>
    <x v="111"/>
    <x v="0"/>
    <x v="11"/>
    <n v="31.406671474193899"/>
    <n v="11463.4350880808"/>
    <n v="41268.366317090702"/>
  </r>
  <r>
    <x v="0"/>
    <x v="0"/>
    <x v="0"/>
    <x v="9"/>
    <x v="17"/>
    <s v="SE1_OTHER"/>
    <x v="10"/>
    <x v="111"/>
    <x v="0"/>
    <x v="12"/>
    <n v="31.406671474193899"/>
    <n v="11463.4350880808"/>
    <n v="41268.366317090702"/>
  </r>
  <r>
    <x v="0"/>
    <x v="0"/>
    <x v="0"/>
    <x v="9"/>
    <x v="17"/>
    <s v="SE1_OTHER"/>
    <x v="10"/>
    <x v="111"/>
    <x v="0"/>
    <x v="13"/>
    <n v="31.406671474193899"/>
    <n v="11463.4350880808"/>
    <n v="41268.366317090702"/>
  </r>
  <r>
    <x v="0"/>
    <x v="0"/>
    <x v="0"/>
    <x v="9"/>
    <x v="17"/>
    <s v="SE1_OTHER"/>
    <x v="10"/>
    <x v="111"/>
    <x v="0"/>
    <x v="14"/>
    <n v="31.406671474193899"/>
    <n v="11463.4350880808"/>
    <n v="41268.366317090702"/>
  </r>
  <r>
    <x v="0"/>
    <x v="0"/>
    <x v="0"/>
    <x v="9"/>
    <x v="17"/>
    <s v="SE1_OTHER"/>
    <x v="10"/>
    <x v="111"/>
    <x v="0"/>
    <x v="15"/>
    <n v="31.406671474193899"/>
    <n v="11463.4350880808"/>
    <n v="41268.366317090702"/>
  </r>
  <r>
    <x v="0"/>
    <x v="0"/>
    <x v="0"/>
    <x v="9"/>
    <x v="17"/>
    <s v="SE1_OTHER"/>
    <x v="10"/>
    <x v="111"/>
    <x v="0"/>
    <x v="16"/>
    <n v="31.406671474193899"/>
    <n v="11463.4350880808"/>
    <n v="41268.366317090702"/>
  </r>
  <r>
    <x v="0"/>
    <x v="0"/>
    <x v="0"/>
    <x v="9"/>
    <x v="17"/>
    <s v="SE1_OTHER"/>
    <x v="10"/>
    <x v="111"/>
    <x v="0"/>
    <x v="17"/>
    <n v="31.406671474193899"/>
    <n v="11463.4350880808"/>
    <n v="41268.366317090702"/>
  </r>
  <r>
    <x v="0"/>
    <x v="0"/>
    <x v="0"/>
    <x v="9"/>
    <x v="17"/>
    <s v="SE1_OTHER"/>
    <x v="10"/>
    <x v="111"/>
    <x v="0"/>
    <x v="18"/>
    <n v="31.406671474193899"/>
    <n v="11463.4350880808"/>
    <n v="41268.366317090702"/>
  </r>
  <r>
    <x v="0"/>
    <x v="0"/>
    <x v="0"/>
    <x v="9"/>
    <x v="17"/>
    <s v="SE1_OTHER"/>
    <x v="10"/>
    <x v="111"/>
    <x v="0"/>
    <x v="19"/>
    <n v="31.406671474193899"/>
    <n v="11463.4350880808"/>
    <n v="41268.366317090702"/>
  </r>
  <r>
    <x v="0"/>
    <x v="0"/>
    <x v="0"/>
    <x v="9"/>
    <x v="17"/>
    <s v="SE1_OTHER"/>
    <x v="10"/>
    <x v="111"/>
    <x v="0"/>
    <x v="20"/>
    <n v="31.406671474193899"/>
    <n v="11463.4350880808"/>
    <n v="41268.366317090702"/>
  </r>
  <r>
    <x v="0"/>
    <x v="0"/>
    <x v="0"/>
    <x v="9"/>
    <x v="17"/>
    <s v="SE1_OTHER"/>
    <x v="10"/>
    <x v="111"/>
    <x v="0"/>
    <x v="21"/>
    <n v="31.406671474193899"/>
    <n v="11463.4350880808"/>
    <n v="41268.366317090702"/>
  </r>
  <r>
    <x v="0"/>
    <x v="0"/>
    <x v="0"/>
    <x v="9"/>
    <x v="17"/>
    <s v="SE1_OTHER"/>
    <x v="10"/>
    <x v="111"/>
    <x v="0"/>
    <x v="22"/>
    <n v="31.406671474193899"/>
    <n v="11463.4350880808"/>
    <n v="41268.366317090702"/>
  </r>
  <r>
    <x v="0"/>
    <x v="0"/>
    <x v="0"/>
    <x v="9"/>
    <x v="17"/>
    <s v="SE1_OTHER"/>
    <x v="10"/>
    <x v="111"/>
    <x v="0"/>
    <x v="23"/>
    <n v="31.406671474193899"/>
    <n v="11463.4350880808"/>
    <n v="41268.366317090702"/>
  </r>
  <r>
    <x v="0"/>
    <x v="0"/>
    <x v="0"/>
    <x v="9"/>
    <x v="18"/>
    <s v="SE2A"/>
    <x v="7"/>
    <x v="122"/>
    <x v="0"/>
    <x v="4"/>
    <n v="407.485221835787"/>
    <n v="148732.105970062"/>
    <n v="535435.58149222401"/>
  </r>
  <r>
    <x v="0"/>
    <x v="0"/>
    <x v="0"/>
    <x v="9"/>
    <x v="18"/>
    <s v="SE2A"/>
    <x v="7"/>
    <x v="122"/>
    <x v="0"/>
    <x v="5"/>
    <n v="407.485221835787"/>
    <n v="148732.105970062"/>
    <n v="535435.58149222401"/>
  </r>
  <r>
    <x v="0"/>
    <x v="0"/>
    <x v="0"/>
    <x v="9"/>
    <x v="18"/>
    <s v="SE2A"/>
    <x v="7"/>
    <x v="122"/>
    <x v="0"/>
    <x v="6"/>
    <n v="407.485221835787"/>
    <n v="148732.105970062"/>
    <n v="535435.58149222401"/>
  </r>
  <r>
    <x v="0"/>
    <x v="0"/>
    <x v="0"/>
    <x v="9"/>
    <x v="18"/>
    <s v="SE2A"/>
    <x v="7"/>
    <x v="122"/>
    <x v="0"/>
    <x v="7"/>
    <n v="407.485221835787"/>
    <n v="148732.105970062"/>
    <n v="535435.58149222401"/>
  </r>
  <r>
    <x v="0"/>
    <x v="0"/>
    <x v="0"/>
    <x v="9"/>
    <x v="18"/>
    <s v="SE2A"/>
    <x v="7"/>
    <x v="122"/>
    <x v="0"/>
    <x v="8"/>
    <n v="407.485221835787"/>
    <n v="148732.105970062"/>
    <n v="535435.58149222401"/>
  </r>
  <r>
    <x v="0"/>
    <x v="0"/>
    <x v="0"/>
    <x v="9"/>
    <x v="18"/>
    <s v="SE2A"/>
    <x v="7"/>
    <x v="122"/>
    <x v="0"/>
    <x v="0"/>
    <n v="407.485221835787"/>
    <n v="148732.105970062"/>
    <n v="535435.58149222401"/>
  </r>
  <r>
    <x v="0"/>
    <x v="0"/>
    <x v="0"/>
    <x v="9"/>
    <x v="18"/>
    <s v="SE2A"/>
    <x v="7"/>
    <x v="122"/>
    <x v="0"/>
    <x v="1"/>
    <n v="407.485221835787"/>
    <n v="148732.105970062"/>
    <n v="535435.58149222401"/>
  </r>
  <r>
    <x v="0"/>
    <x v="0"/>
    <x v="0"/>
    <x v="9"/>
    <x v="18"/>
    <s v="SE2A"/>
    <x v="7"/>
    <x v="122"/>
    <x v="0"/>
    <x v="2"/>
    <n v="407.485221835787"/>
    <n v="148732.105970062"/>
    <n v="535435.58149222401"/>
  </r>
  <r>
    <x v="0"/>
    <x v="0"/>
    <x v="0"/>
    <x v="9"/>
    <x v="18"/>
    <s v="SE2A"/>
    <x v="7"/>
    <x v="122"/>
    <x v="0"/>
    <x v="9"/>
    <n v="407.485221835787"/>
    <n v="148732.105970062"/>
    <n v="535435.58149222401"/>
  </r>
  <r>
    <x v="0"/>
    <x v="0"/>
    <x v="0"/>
    <x v="9"/>
    <x v="18"/>
    <s v="SE2A"/>
    <x v="7"/>
    <x v="122"/>
    <x v="0"/>
    <x v="10"/>
    <n v="407.485221835787"/>
    <n v="148732.105970062"/>
    <n v="535435.58149222401"/>
  </r>
  <r>
    <x v="0"/>
    <x v="0"/>
    <x v="0"/>
    <x v="9"/>
    <x v="18"/>
    <s v="SE2A"/>
    <x v="7"/>
    <x v="122"/>
    <x v="0"/>
    <x v="11"/>
    <n v="407.485221835787"/>
    <n v="148732.105970062"/>
    <n v="535435.58149222401"/>
  </r>
  <r>
    <x v="0"/>
    <x v="0"/>
    <x v="0"/>
    <x v="9"/>
    <x v="18"/>
    <s v="SE2A"/>
    <x v="7"/>
    <x v="122"/>
    <x v="0"/>
    <x v="12"/>
    <n v="407.485221835787"/>
    <n v="148732.105970062"/>
    <n v="535435.58149222401"/>
  </r>
  <r>
    <x v="0"/>
    <x v="0"/>
    <x v="0"/>
    <x v="9"/>
    <x v="18"/>
    <s v="SE2A"/>
    <x v="7"/>
    <x v="122"/>
    <x v="0"/>
    <x v="13"/>
    <n v="407.485221835787"/>
    <n v="148732.105970062"/>
    <n v="535435.58149222401"/>
  </r>
  <r>
    <x v="0"/>
    <x v="0"/>
    <x v="0"/>
    <x v="9"/>
    <x v="18"/>
    <s v="SE2A"/>
    <x v="7"/>
    <x v="122"/>
    <x v="0"/>
    <x v="14"/>
    <n v="407.485221835787"/>
    <n v="148732.105970062"/>
    <n v="535435.58149222401"/>
  </r>
  <r>
    <x v="0"/>
    <x v="0"/>
    <x v="0"/>
    <x v="9"/>
    <x v="18"/>
    <s v="SE2A"/>
    <x v="7"/>
    <x v="122"/>
    <x v="0"/>
    <x v="15"/>
    <n v="407.485221835787"/>
    <n v="148732.105970062"/>
    <n v="535435.58149222401"/>
  </r>
  <r>
    <x v="0"/>
    <x v="0"/>
    <x v="0"/>
    <x v="9"/>
    <x v="18"/>
    <s v="SE2A"/>
    <x v="7"/>
    <x v="122"/>
    <x v="0"/>
    <x v="16"/>
    <n v="407.485221835787"/>
    <n v="148732.105970062"/>
    <n v="535435.58149222401"/>
  </r>
  <r>
    <x v="0"/>
    <x v="0"/>
    <x v="0"/>
    <x v="9"/>
    <x v="18"/>
    <s v="SE2A"/>
    <x v="7"/>
    <x v="122"/>
    <x v="0"/>
    <x v="17"/>
    <n v="407.485221835787"/>
    <n v="148732.105970062"/>
    <n v="535435.58149222401"/>
  </r>
  <r>
    <x v="0"/>
    <x v="0"/>
    <x v="0"/>
    <x v="9"/>
    <x v="18"/>
    <s v="SE2A"/>
    <x v="7"/>
    <x v="122"/>
    <x v="0"/>
    <x v="18"/>
    <n v="407.485221835787"/>
    <n v="148732.105970062"/>
    <n v="535435.58149222401"/>
  </r>
  <r>
    <x v="0"/>
    <x v="0"/>
    <x v="0"/>
    <x v="9"/>
    <x v="18"/>
    <s v="SE2A"/>
    <x v="7"/>
    <x v="122"/>
    <x v="0"/>
    <x v="19"/>
    <n v="407.485221835787"/>
    <n v="148732.105970062"/>
    <n v="535435.58149222401"/>
  </r>
  <r>
    <x v="0"/>
    <x v="0"/>
    <x v="0"/>
    <x v="9"/>
    <x v="18"/>
    <s v="SE2A"/>
    <x v="7"/>
    <x v="122"/>
    <x v="0"/>
    <x v="20"/>
    <n v="407.485221835787"/>
    <n v="148732.105970062"/>
    <n v="535435.58149222401"/>
  </r>
  <r>
    <x v="0"/>
    <x v="0"/>
    <x v="0"/>
    <x v="9"/>
    <x v="18"/>
    <s v="SE2A"/>
    <x v="7"/>
    <x v="122"/>
    <x v="0"/>
    <x v="21"/>
    <n v="407.485221835787"/>
    <n v="148732.105970062"/>
    <n v="535435.58149222401"/>
  </r>
  <r>
    <x v="0"/>
    <x v="0"/>
    <x v="0"/>
    <x v="9"/>
    <x v="18"/>
    <s v="SE2A"/>
    <x v="7"/>
    <x v="122"/>
    <x v="0"/>
    <x v="22"/>
    <n v="407.485221835787"/>
    <n v="148732.105970062"/>
    <n v="535435.58149222401"/>
  </r>
  <r>
    <x v="0"/>
    <x v="0"/>
    <x v="0"/>
    <x v="9"/>
    <x v="18"/>
    <s v="SE2A"/>
    <x v="7"/>
    <x v="123"/>
    <x v="0"/>
    <x v="7"/>
    <n v="515.485221835787"/>
    <n v="188152.105970062"/>
    <n v="677347.58149222401"/>
  </r>
  <r>
    <x v="0"/>
    <x v="0"/>
    <x v="0"/>
    <x v="9"/>
    <x v="18"/>
    <s v="SE2A"/>
    <x v="7"/>
    <x v="123"/>
    <x v="0"/>
    <x v="8"/>
    <n v="515.485221835787"/>
    <n v="188152.105970062"/>
    <n v="677347.58149222401"/>
  </r>
  <r>
    <x v="0"/>
    <x v="0"/>
    <x v="0"/>
    <x v="9"/>
    <x v="18"/>
    <s v="SE2A"/>
    <x v="7"/>
    <x v="123"/>
    <x v="0"/>
    <x v="0"/>
    <n v="515.485221835787"/>
    <n v="188152.105970062"/>
    <n v="677347.58149222401"/>
  </r>
  <r>
    <x v="0"/>
    <x v="0"/>
    <x v="0"/>
    <x v="9"/>
    <x v="18"/>
    <s v="SE2A"/>
    <x v="7"/>
    <x v="123"/>
    <x v="0"/>
    <x v="1"/>
    <n v="515.485221835787"/>
    <n v="188152.105970062"/>
    <n v="677347.58149222401"/>
  </r>
  <r>
    <x v="0"/>
    <x v="0"/>
    <x v="0"/>
    <x v="9"/>
    <x v="18"/>
    <s v="SE2A"/>
    <x v="7"/>
    <x v="123"/>
    <x v="0"/>
    <x v="2"/>
    <n v="515.485221835787"/>
    <n v="188152.105970062"/>
    <n v="677347.58149222401"/>
  </r>
  <r>
    <x v="0"/>
    <x v="0"/>
    <x v="0"/>
    <x v="9"/>
    <x v="18"/>
    <s v="SE2A"/>
    <x v="7"/>
    <x v="123"/>
    <x v="0"/>
    <x v="9"/>
    <n v="515.485221835787"/>
    <n v="188152.105970062"/>
    <n v="677347.58149222401"/>
  </r>
  <r>
    <x v="0"/>
    <x v="0"/>
    <x v="0"/>
    <x v="9"/>
    <x v="18"/>
    <s v="SE2A"/>
    <x v="7"/>
    <x v="123"/>
    <x v="0"/>
    <x v="10"/>
    <n v="515.485221835787"/>
    <n v="188152.105970062"/>
    <n v="677347.58149222401"/>
  </r>
  <r>
    <x v="0"/>
    <x v="0"/>
    <x v="0"/>
    <x v="9"/>
    <x v="18"/>
    <s v="SE2A"/>
    <x v="7"/>
    <x v="123"/>
    <x v="0"/>
    <x v="11"/>
    <n v="515.485221835787"/>
    <n v="188152.105970062"/>
    <n v="677347.58149222401"/>
  </r>
  <r>
    <x v="0"/>
    <x v="0"/>
    <x v="0"/>
    <x v="9"/>
    <x v="18"/>
    <s v="SE2A"/>
    <x v="7"/>
    <x v="123"/>
    <x v="0"/>
    <x v="12"/>
    <n v="515.485221835787"/>
    <n v="188152.105970062"/>
    <n v="677347.58149222401"/>
  </r>
  <r>
    <x v="0"/>
    <x v="0"/>
    <x v="0"/>
    <x v="9"/>
    <x v="18"/>
    <s v="SE2A"/>
    <x v="7"/>
    <x v="123"/>
    <x v="0"/>
    <x v="13"/>
    <n v="515.485221835787"/>
    <n v="188152.105970062"/>
    <n v="677347.58149222401"/>
  </r>
  <r>
    <x v="0"/>
    <x v="0"/>
    <x v="0"/>
    <x v="9"/>
    <x v="18"/>
    <s v="SE2A"/>
    <x v="7"/>
    <x v="123"/>
    <x v="0"/>
    <x v="14"/>
    <n v="515.485221835787"/>
    <n v="188152.105970062"/>
    <n v="677347.58149222401"/>
  </r>
  <r>
    <x v="0"/>
    <x v="0"/>
    <x v="0"/>
    <x v="9"/>
    <x v="18"/>
    <s v="SE2A"/>
    <x v="7"/>
    <x v="123"/>
    <x v="0"/>
    <x v="15"/>
    <n v="515.485221835787"/>
    <n v="188152.105970062"/>
    <n v="677347.58149222401"/>
  </r>
  <r>
    <x v="0"/>
    <x v="0"/>
    <x v="0"/>
    <x v="9"/>
    <x v="18"/>
    <s v="SE2A"/>
    <x v="7"/>
    <x v="123"/>
    <x v="0"/>
    <x v="16"/>
    <n v="515.485221835787"/>
    <n v="188152.105970062"/>
    <n v="677347.58149222401"/>
  </r>
  <r>
    <x v="0"/>
    <x v="0"/>
    <x v="0"/>
    <x v="9"/>
    <x v="18"/>
    <s v="SE2A"/>
    <x v="7"/>
    <x v="123"/>
    <x v="0"/>
    <x v="17"/>
    <n v="515.485221835787"/>
    <n v="188152.105970062"/>
    <n v="677347.58149222401"/>
  </r>
  <r>
    <x v="0"/>
    <x v="0"/>
    <x v="0"/>
    <x v="9"/>
    <x v="18"/>
    <s v="SE2A"/>
    <x v="7"/>
    <x v="123"/>
    <x v="0"/>
    <x v="18"/>
    <n v="515.485221835787"/>
    <n v="188152.105970062"/>
    <n v="677347.58149222401"/>
  </r>
  <r>
    <x v="0"/>
    <x v="0"/>
    <x v="0"/>
    <x v="9"/>
    <x v="18"/>
    <s v="SE2A"/>
    <x v="7"/>
    <x v="123"/>
    <x v="0"/>
    <x v="19"/>
    <n v="515.485221835787"/>
    <n v="188152.105970062"/>
    <n v="677347.58149222401"/>
  </r>
  <r>
    <x v="0"/>
    <x v="0"/>
    <x v="0"/>
    <x v="9"/>
    <x v="18"/>
    <s v="SE2A"/>
    <x v="7"/>
    <x v="123"/>
    <x v="0"/>
    <x v="20"/>
    <n v="515.485221835787"/>
    <n v="188152.105970062"/>
    <n v="677347.58149222401"/>
  </r>
  <r>
    <x v="0"/>
    <x v="0"/>
    <x v="0"/>
    <x v="9"/>
    <x v="18"/>
    <s v="SE2A"/>
    <x v="7"/>
    <x v="123"/>
    <x v="0"/>
    <x v="21"/>
    <n v="135.10181883726301"/>
    <n v="49312.163875601102"/>
    <n v="177523.78995216399"/>
  </r>
  <r>
    <x v="0"/>
    <x v="0"/>
    <x v="0"/>
    <x v="9"/>
    <x v="18"/>
    <s v="SE2A"/>
    <x v="7"/>
    <x v="124"/>
    <x v="0"/>
    <x v="8"/>
    <n v="515.485221835787"/>
    <n v="188152.105970062"/>
    <n v="677347.58149222401"/>
  </r>
  <r>
    <x v="0"/>
    <x v="0"/>
    <x v="0"/>
    <x v="9"/>
    <x v="18"/>
    <s v="SE2A"/>
    <x v="7"/>
    <x v="124"/>
    <x v="0"/>
    <x v="0"/>
    <n v="515.485221835787"/>
    <n v="188152.105970062"/>
    <n v="677347.58149222401"/>
  </r>
  <r>
    <x v="0"/>
    <x v="0"/>
    <x v="0"/>
    <x v="9"/>
    <x v="18"/>
    <s v="SE2A"/>
    <x v="7"/>
    <x v="124"/>
    <x v="0"/>
    <x v="1"/>
    <n v="515.485221835787"/>
    <n v="188152.105970062"/>
    <n v="677347.58149222401"/>
  </r>
  <r>
    <x v="0"/>
    <x v="0"/>
    <x v="0"/>
    <x v="9"/>
    <x v="18"/>
    <s v="SE2A"/>
    <x v="7"/>
    <x v="124"/>
    <x v="0"/>
    <x v="2"/>
    <n v="515.485221835787"/>
    <n v="188152.105970062"/>
    <n v="677347.58149222401"/>
  </r>
  <r>
    <x v="0"/>
    <x v="0"/>
    <x v="0"/>
    <x v="9"/>
    <x v="18"/>
    <s v="SE2A"/>
    <x v="7"/>
    <x v="124"/>
    <x v="0"/>
    <x v="9"/>
    <n v="515.485221835787"/>
    <n v="188152.105970062"/>
    <n v="677347.58149222401"/>
  </r>
  <r>
    <x v="0"/>
    <x v="0"/>
    <x v="0"/>
    <x v="9"/>
    <x v="18"/>
    <s v="SE2A"/>
    <x v="7"/>
    <x v="124"/>
    <x v="0"/>
    <x v="10"/>
    <n v="515.485221835787"/>
    <n v="188152.105970062"/>
    <n v="677347.58149222401"/>
  </r>
  <r>
    <x v="0"/>
    <x v="0"/>
    <x v="0"/>
    <x v="9"/>
    <x v="18"/>
    <s v="SE2A"/>
    <x v="7"/>
    <x v="124"/>
    <x v="0"/>
    <x v="11"/>
    <n v="515.485221835787"/>
    <n v="188152.105970062"/>
    <n v="677347.58149222401"/>
  </r>
  <r>
    <x v="0"/>
    <x v="0"/>
    <x v="0"/>
    <x v="9"/>
    <x v="18"/>
    <s v="SE2A"/>
    <x v="7"/>
    <x v="124"/>
    <x v="0"/>
    <x v="12"/>
    <n v="515.485221835787"/>
    <n v="188152.105970062"/>
    <n v="677347.58149222401"/>
  </r>
  <r>
    <x v="0"/>
    <x v="0"/>
    <x v="0"/>
    <x v="9"/>
    <x v="18"/>
    <s v="SE2A"/>
    <x v="7"/>
    <x v="124"/>
    <x v="0"/>
    <x v="13"/>
    <n v="515.485221835787"/>
    <n v="188152.105970062"/>
    <n v="677347.58149222401"/>
  </r>
  <r>
    <x v="0"/>
    <x v="0"/>
    <x v="0"/>
    <x v="9"/>
    <x v="18"/>
    <s v="SE2A"/>
    <x v="7"/>
    <x v="124"/>
    <x v="0"/>
    <x v="14"/>
    <n v="515.485221835787"/>
    <n v="188152.105970062"/>
    <n v="677347.58149222401"/>
  </r>
  <r>
    <x v="0"/>
    <x v="0"/>
    <x v="0"/>
    <x v="9"/>
    <x v="18"/>
    <s v="SE2A"/>
    <x v="7"/>
    <x v="124"/>
    <x v="0"/>
    <x v="15"/>
    <n v="515.485221835787"/>
    <n v="188152.105970062"/>
    <n v="677347.58149222401"/>
  </r>
  <r>
    <x v="0"/>
    <x v="0"/>
    <x v="0"/>
    <x v="9"/>
    <x v="18"/>
    <s v="SE2A"/>
    <x v="7"/>
    <x v="124"/>
    <x v="0"/>
    <x v="16"/>
    <n v="515.485221835787"/>
    <n v="188152.105970062"/>
    <n v="677347.58149222401"/>
  </r>
  <r>
    <x v="0"/>
    <x v="0"/>
    <x v="0"/>
    <x v="9"/>
    <x v="18"/>
    <s v="SE2A"/>
    <x v="7"/>
    <x v="124"/>
    <x v="0"/>
    <x v="17"/>
    <n v="515.485221835787"/>
    <n v="188152.105970062"/>
    <n v="677347.58149222401"/>
  </r>
  <r>
    <x v="0"/>
    <x v="0"/>
    <x v="0"/>
    <x v="9"/>
    <x v="18"/>
    <s v="SE2A"/>
    <x v="7"/>
    <x v="124"/>
    <x v="0"/>
    <x v="18"/>
    <n v="515.485221835787"/>
    <n v="188152.105970062"/>
    <n v="677347.58149222401"/>
  </r>
  <r>
    <x v="0"/>
    <x v="0"/>
    <x v="0"/>
    <x v="9"/>
    <x v="18"/>
    <s v="SE2A"/>
    <x v="7"/>
    <x v="124"/>
    <x v="0"/>
    <x v="19"/>
    <n v="515.485221835787"/>
    <n v="188152.105970062"/>
    <n v="677347.58149222401"/>
  </r>
  <r>
    <x v="0"/>
    <x v="0"/>
    <x v="0"/>
    <x v="9"/>
    <x v="18"/>
    <s v="SE2A"/>
    <x v="7"/>
    <x v="124"/>
    <x v="0"/>
    <x v="20"/>
    <n v="515.485221835787"/>
    <n v="188152.105970062"/>
    <n v="677347.58149222401"/>
  </r>
  <r>
    <x v="0"/>
    <x v="0"/>
    <x v="0"/>
    <x v="9"/>
    <x v="18"/>
    <s v="SE2A"/>
    <x v="7"/>
    <x v="125"/>
    <x v="0"/>
    <x v="8"/>
    <n v="515.485221835787"/>
    <n v="188152.105970062"/>
    <n v="677347.58149222401"/>
  </r>
  <r>
    <x v="0"/>
    <x v="0"/>
    <x v="0"/>
    <x v="9"/>
    <x v="18"/>
    <s v="SE2A"/>
    <x v="7"/>
    <x v="125"/>
    <x v="0"/>
    <x v="0"/>
    <n v="515.485221835787"/>
    <n v="188152.105970062"/>
    <n v="677347.58149222401"/>
  </r>
  <r>
    <x v="0"/>
    <x v="0"/>
    <x v="0"/>
    <x v="9"/>
    <x v="18"/>
    <s v="SE2A"/>
    <x v="7"/>
    <x v="125"/>
    <x v="0"/>
    <x v="1"/>
    <n v="515.485221835787"/>
    <n v="188152.105970062"/>
    <n v="677347.58149222401"/>
  </r>
  <r>
    <x v="0"/>
    <x v="0"/>
    <x v="0"/>
    <x v="9"/>
    <x v="18"/>
    <s v="SE2A"/>
    <x v="7"/>
    <x v="125"/>
    <x v="0"/>
    <x v="2"/>
    <n v="515.485221835787"/>
    <n v="188152.105970062"/>
    <n v="677347.58149222401"/>
  </r>
  <r>
    <x v="0"/>
    <x v="0"/>
    <x v="0"/>
    <x v="9"/>
    <x v="18"/>
    <s v="SE2A"/>
    <x v="7"/>
    <x v="125"/>
    <x v="0"/>
    <x v="9"/>
    <n v="515.485221835787"/>
    <n v="188152.105970062"/>
    <n v="677347.58149222401"/>
  </r>
  <r>
    <x v="0"/>
    <x v="0"/>
    <x v="0"/>
    <x v="9"/>
    <x v="18"/>
    <s v="SE2A"/>
    <x v="7"/>
    <x v="125"/>
    <x v="0"/>
    <x v="10"/>
    <n v="515.485221835787"/>
    <n v="188152.105970062"/>
    <n v="677347.58149222401"/>
  </r>
  <r>
    <x v="0"/>
    <x v="0"/>
    <x v="0"/>
    <x v="9"/>
    <x v="18"/>
    <s v="SE2A"/>
    <x v="7"/>
    <x v="125"/>
    <x v="0"/>
    <x v="11"/>
    <n v="515.485221835787"/>
    <n v="188152.105970062"/>
    <n v="677347.58149222401"/>
  </r>
  <r>
    <x v="0"/>
    <x v="0"/>
    <x v="0"/>
    <x v="9"/>
    <x v="18"/>
    <s v="SE2A"/>
    <x v="7"/>
    <x v="125"/>
    <x v="0"/>
    <x v="12"/>
    <n v="515.485221835787"/>
    <n v="188152.105970062"/>
    <n v="677347.58149222401"/>
  </r>
  <r>
    <x v="0"/>
    <x v="0"/>
    <x v="0"/>
    <x v="9"/>
    <x v="18"/>
    <s v="SE2A"/>
    <x v="7"/>
    <x v="125"/>
    <x v="0"/>
    <x v="13"/>
    <n v="515.485221835787"/>
    <n v="188152.105970062"/>
    <n v="677347.58149222401"/>
  </r>
  <r>
    <x v="0"/>
    <x v="0"/>
    <x v="0"/>
    <x v="9"/>
    <x v="18"/>
    <s v="SE2A"/>
    <x v="7"/>
    <x v="125"/>
    <x v="0"/>
    <x v="14"/>
    <n v="515.485221835787"/>
    <n v="188152.105970062"/>
    <n v="677347.58149222401"/>
  </r>
  <r>
    <x v="0"/>
    <x v="0"/>
    <x v="0"/>
    <x v="9"/>
    <x v="18"/>
    <s v="SE2A"/>
    <x v="7"/>
    <x v="125"/>
    <x v="0"/>
    <x v="15"/>
    <n v="515.485221835787"/>
    <n v="188152.105970062"/>
    <n v="677347.58149222401"/>
  </r>
  <r>
    <x v="0"/>
    <x v="0"/>
    <x v="0"/>
    <x v="9"/>
    <x v="18"/>
    <s v="SE2A"/>
    <x v="7"/>
    <x v="125"/>
    <x v="0"/>
    <x v="16"/>
    <n v="515.485221835787"/>
    <n v="188152.105970062"/>
    <n v="677347.58149222401"/>
  </r>
  <r>
    <x v="0"/>
    <x v="0"/>
    <x v="0"/>
    <x v="9"/>
    <x v="18"/>
    <s v="SE2A"/>
    <x v="7"/>
    <x v="125"/>
    <x v="0"/>
    <x v="17"/>
    <n v="515.485221835787"/>
    <n v="188152.105970062"/>
    <n v="677347.58149222401"/>
  </r>
  <r>
    <x v="0"/>
    <x v="0"/>
    <x v="0"/>
    <x v="9"/>
    <x v="18"/>
    <s v="SE2A"/>
    <x v="7"/>
    <x v="125"/>
    <x v="0"/>
    <x v="18"/>
    <n v="515.485221835787"/>
    <n v="188152.105970062"/>
    <n v="677347.58149222401"/>
  </r>
  <r>
    <x v="0"/>
    <x v="0"/>
    <x v="0"/>
    <x v="9"/>
    <x v="18"/>
    <s v="SE2A"/>
    <x v="7"/>
    <x v="125"/>
    <x v="0"/>
    <x v="19"/>
    <n v="515.485221835787"/>
    <n v="188152.105970062"/>
    <n v="677347.58149222401"/>
  </r>
  <r>
    <x v="0"/>
    <x v="0"/>
    <x v="0"/>
    <x v="9"/>
    <x v="18"/>
    <s v="SE2A"/>
    <x v="7"/>
    <x v="125"/>
    <x v="0"/>
    <x v="20"/>
    <n v="515.485221835787"/>
    <n v="188152.105970062"/>
    <n v="677347.58149222401"/>
  </r>
  <r>
    <x v="0"/>
    <x v="0"/>
    <x v="0"/>
    <x v="9"/>
    <x v="18"/>
    <s v="SE2A"/>
    <x v="7"/>
    <x v="126"/>
    <x v="0"/>
    <x v="8"/>
    <n v="515.485221835787"/>
    <n v="188152.105970062"/>
    <n v="677347.58149222401"/>
  </r>
  <r>
    <x v="0"/>
    <x v="0"/>
    <x v="0"/>
    <x v="9"/>
    <x v="18"/>
    <s v="SE2A"/>
    <x v="7"/>
    <x v="126"/>
    <x v="0"/>
    <x v="0"/>
    <n v="515.485221835787"/>
    <n v="188152.105970062"/>
    <n v="677347.58149222401"/>
  </r>
  <r>
    <x v="0"/>
    <x v="0"/>
    <x v="0"/>
    <x v="9"/>
    <x v="18"/>
    <s v="SE2A"/>
    <x v="7"/>
    <x v="126"/>
    <x v="0"/>
    <x v="1"/>
    <n v="515.485221835787"/>
    <n v="188152.105970062"/>
    <n v="677347.58149222401"/>
  </r>
  <r>
    <x v="0"/>
    <x v="0"/>
    <x v="0"/>
    <x v="9"/>
    <x v="18"/>
    <s v="SE2A"/>
    <x v="7"/>
    <x v="126"/>
    <x v="0"/>
    <x v="2"/>
    <n v="515.485221835787"/>
    <n v="188152.105970062"/>
    <n v="677347.58149222401"/>
  </r>
  <r>
    <x v="0"/>
    <x v="0"/>
    <x v="0"/>
    <x v="9"/>
    <x v="18"/>
    <s v="SE2A"/>
    <x v="7"/>
    <x v="126"/>
    <x v="0"/>
    <x v="9"/>
    <n v="515.485221835787"/>
    <n v="188152.105970062"/>
    <n v="677347.58149222401"/>
  </r>
  <r>
    <x v="0"/>
    <x v="0"/>
    <x v="0"/>
    <x v="9"/>
    <x v="18"/>
    <s v="SE2A"/>
    <x v="7"/>
    <x v="126"/>
    <x v="0"/>
    <x v="10"/>
    <n v="515.485221835787"/>
    <n v="188152.105970062"/>
    <n v="677347.58149222401"/>
  </r>
  <r>
    <x v="0"/>
    <x v="0"/>
    <x v="0"/>
    <x v="9"/>
    <x v="18"/>
    <s v="SE2A"/>
    <x v="7"/>
    <x v="126"/>
    <x v="0"/>
    <x v="11"/>
    <n v="515.485221835787"/>
    <n v="188152.105970062"/>
    <n v="677347.58149222401"/>
  </r>
  <r>
    <x v="0"/>
    <x v="0"/>
    <x v="0"/>
    <x v="9"/>
    <x v="18"/>
    <s v="SE2A"/>
    <x v="7"/>
    <x v="126"/>
    <x v="0"/>
    <x v="12"/>
    <n v="515.485221835787"/>
    <n v="188152.105970062"/>
    <n v="677347.58149222401"/>
  </r>
  <r>
    <x v="0"/>
    <x v="0"/>
    <x v="0"/>
    <x v="9"/>
    <x v="18"/>
    <s v="SE2A"/>
    <x v="7"/>
    <x v="126"/>
    <x v="0"/>
    <x v="13"/>
    <n v="515.485221835787"/>
    <n v="188152.105970062"/>
    <n v="677347.58149222401"/>
  </r>
  <r>
    <x v="0"/>
    <x v="0"/>
    <x v="0"/>
    <x v="9"/>
    <x v="18"/>
    <s v="SE2A"/>
    <x v="7"/>
    <x v="126"/>
    <x v="0"/>
    <x v="14"/>
    <n v="515.485221835787"/>
    <n v="188152.105970062"/>
    <n v="677347.58149222401"/>
  </r>
  <r>
    <x v="0"/>
    <x v="0"/>
    <x v="0"/>
    <x v="9"/>
    <x v="18"/>
    <s v="SE2A"/>
    <x v="7"/>
    <x v="126"/>
    <x v="0"/>
    <x v="15"/>
    <n v="515.485221835787"/>
    <n v="188152.105970062"/>
    <n v="677347.58149222401"/>
  </r>
  <r>
    <x v="0"/>
    <x v="0"/>
    <x v="0"/>
    <x v="9"/>
    <x v="18"/>
    <s v="SE2A"/>
    <x v="7"/>
    <x v="126"/>
    <x v="0"/>
    <x v="16"/>
    <n v="515.485221835787"/>
    <n v="188152.105970062"/>
    <n v="677347.58149222401"/>
  </r>
  <r>
    <x v="0"/>
    <x v="0"/>
    <x v="0"/>
    <x v="9"/>
    <x v="18"/>
    <s v="SE2A"/>
    <x v="7"/>
    <x v="126"/>
    <x v="0"/>
    <x v="17"/>
    <n v="515.485221835787"/>
    <n v="188152.105970062"/>
    <n v="677347.58149222401"/>
  </r>
  <r>
    <x v="0"/>
    <x v="0"/>
    <x v="0"/>
    <x v="9"/>
    <x v="18"/>
    <s v="SE2A"/>
    <x v="7"/>
    <x v="126"/>
    <x v="0"/>
    <x v="18"/>
    <n v="515.485221835787"/>
    <n v="188152.105970062"/>
    <n v="677347.58149222401"/>
  </r>
  <r>
    <x v="0"/>
    <x v="0"/>
    <x v="0"/>
    <x v="9"/>
    <x v="18"/>
    <s v="SE2A"/>
    <x v="7"/>
    <x v="126"/>
    <x v="0"/>
    <x v="19"/>
    <n v="515.485221835787"/>
    <n v="188152.105970062"/>
    <n v="677347.58149222401"/>
  </r>
  <r>
    <x v="0"/>
    <x v="0"/>
    <x v="0"/>
    <x v="9"/>
    <x v="18"/>
    <s v="SE2A"/>
    <x v="7"/>
    <x v="126"/>
    <x v="0"/>
    <x v="20"/>
    <n v="398.979552009489"/>
    <n v="145627.53648346299"/>
    <n v="524259.131340469"/>
  </r>
  <r>
    <x v="0"/>
    <x v="0"/>
    <x v="0"/>
    <x v="9"/>
    <x v="18"/>
    <s v="SE2A"/>
    <x v="7"/>
    <x v="127"/>
    <x v="0"/>
    <x v="0"/>
    <n v="515.485221835787"/>
    <n v="188152.105970062"/>
    <n v="677347.58149222401"/>
  </r>
  <r>
    <x v="0"/>
    <x v="0"/>
    <x v="0"/>
    <x v="9"/>
    <x v="18"/>
    <s v="SE2A"/>
    <x v="7"/>
    <x v="127"/>
    <x v="0"/>
    <x v="1"/>
    <n v="515.485221835787"/>
    <n v="188152.105970062"/>
    <n v="677347.58149222401"/>
  </r>
  <r>
    <x v="0"/>
    <x v="0"/>
    <x v="0"/>
    <x v="9"/>
    <x v="18"/>
    <s v="SE2A"/>
    <x v="7"/>
    <x v="127"/>
    <x v="0"/>
    <x v="2"/>
    <n v="515.485221835787"/>
    <n v="188152.105970062"/>
    <n v="677347.58149222401"/>
  </r>
  <r>
    <x v="0"/>
    <x v="0"/>
    <x v="0"/>
    <x v="9"/>
    <x v="18"/>
    <s v="SE2A"/>
    <x v="7"/>
    <x v="127"/>
    <x v="0"/>
    <x v="9"/>
    <n v="515.485221835787"/>
    <n v="188152.105970062"/>
    <n v="677347.58149222401"/>
  </r>
  <r>
    <x v="0"/>
    <x v="0"/>
    <x v="0"/>
    <x v="9"/>
    <x v="18"/>
    <s v="SE2A"/>
    <x v="7"/>
    <x v="127"/>
    <x v="0"/>
    <x v="10"/>
    <n v="515.485221835787"/>
    <n v="188152.105970062"/>
    <n v="677347.58149222401"/>
  </r>
  <r>
    <x v="0"/>
    <x v="0"/>
    <x v="0"/>
    <x v="9"/>
    <x v="18"/>
    <s v="SE2A"/>
    <x v="7"/>
    <x v="127"/>
    <x v="0"/>
    <x v="11"/>
    <n v="515.485221835787"/>
    <n v="188152.105970062"/>
    <n v="677347.58149222401"/>
  </r>
  <r>
    <x v="0"/>
    <x v="0"/>
    <x v="0"/>
    <x v="9"/>
    <x v="18"/>
    <s v="SE2A"/>
    <x v="7"/>
    <x v="127"/>
    <x v="0"/>
    <x v="12"/>
    <n v="515.485221835787"/>
    <n v="188152.105970062"/>
    <n v="677347.58149222401"/>
  </r>
  <r>
    <x v="0"/>
    <x v="0"/>
    <x v="0"/>
    <x v="9"/>
    <x v="18"/>
    <s v="SE2A"/>
    <x v="7"/>
    <x v="127"/>
    <x v="0"/>
    <x v="13"/>
    <n v="515.485221835787"/>
    <n v="188152.105970062"/>
    <n v="677347.58149222401"/>
  </r>
  <r>
    <x v="0"/>
    <x v="0"/>
    <x v="0"/>
    <x v="9"/>
    <x v="18"/>
    <s v="SE2A"/>
    <x v="7"/>
    <x v="127"/>
    <x v="0"/>
    <x v="14"/>
    <n v="515.485221835787"/>
    <n v="188152.105970062"/>
    <n v="677347.58149222401"/>
  </r>
  <r>
    <x v="0"/>
    <x v="0"/>
    <x v="0"/>
    <x v="9"/>
    <x v="18"/>
    <s v="SE2A"/>
    <x v="7"/>
    <x v="127"/>
    <x v="0"/>
    <x v="15"/>
    <n v="515.485221835787"/>
    <n v="188152.105970062"/>
    <n v="677347.58149222401"/>
  </r>
  <r>
    <x v="0"/>
    <x v="0"/>
    <x v="0"/>
    <x v="9"/>
    <x v="18"/>
    <s v="SE2A"/>
    <x v="7"/>
    <x v="127"/>
    <x v="0"/>
    <x v="16"/>
    <n v="515.485221835787"/>
    <n v="188152.105970062"/>
    <n v="677347.58149222401"/>
  </r>
  <r>
    <x v="0"/>
    <x v="0"/>
    <x v="0"/>
    <x v="9"/>
    <x v="18"/>
    <s v="SE2A"/>
    <x v="7"/>
    <x v="127"/>
    <x v="0"/>
    <x v="17"/>
    <n v="515.485221835787"/>
    <n v="188152.105970062"/>
    <n v="677347.58149222401"/>
  </r>
  <r>
    <x v="0"/>
    <x v="0"/>
    <x v="0"/>
    <x v="9"/>
    <x v="18"/>
    <s v="SE2A"/>
    <x v="7"/>
    <x v="127"/>
    <x v="0"/>
    <x v="18"/>
    <n v="515.485221835787"/>
    <n v="188152.105970062"/>
    <n v="677347.58149222401"/>
  </r>
  <r>
    <x v="0"/>
    <x v="0"/>
    <x v="0"/>
    <x v="9"/>
    <x v="18"/>
    <s v="SE2A"/>
    <x v="7"/>
    <x v="127"/>
    <x v="0"/>
    <x v="19"/>
    <n v="515.485221835787"/>
    <n v="188152.105970062"/>
    <n v="677347.58149222401"/>
  </r>
  <r>
    <x v="0"/>
    <x v="0"/>
    <x v="0"/>
    <x v="9"/>
    <x v="18"/>
    <s v="SE2A"/>
    <x v="7"/>
    <x v="128"/>
    <x v="0"/>
    <x v="0"/>
    <n v="515.485221835787"/>
    <n v="188152.105970062"/>
    <n v="677347.58149222401"/>
  </r>
  <r>
    <x v="0"/>
    <x v="0"/>
    <x v="0"/>
    <x v="9"/>
    <x v="18"/>
    <s v="SE2A"/>
    <x v="7"/>
    <x v="128"/>
    <x v="0"/>
    <x v="1"/>
    <n v="515.485221835787"/>
    <n v="188152.105970062"/>
    <n v="677347.58149222401"/>
  </r>
  <r>
    <x v="0"/>
    <x v="0"/>
    <x v="0"/>
    <x v="9"/>
    <x v="18"/>
    <s v="SE2A"/>
    <x v="7"/>
    <x v="128"/>
    <x v="0"/>
    <x v="2"/>
    <n v="515.485221835787"/>
    <n v="188152.105970062"/>
    <n v="677347.58149222401"/>
  </r>
  <r>
    <x v="0"/>
    <x v="0"/>
    <x v="0"/>
    <x v="9"/>
    <x v="18"/>
    <s v="SE2A"/>
    <x v="7"/>
    <x v="128"/>
    <x v="0"/>
    <x v="9"/>
    <n v="515.485221835787"/>
    <n v="188152.105970062"/>
    <n v="677347.58149222401"/>
  </r>
  <r>
    <x v="0"/>
    <x v="0"/>
    <x v="0"/>
    <x v="9"/>
    <x v="18"/>
    <s v="SE2A"/>
    <x v="7"/>
    <x v="128"/>
    <x v="0"/>
    <x v="10"/>
    <n v="515.485221835787"/>
    <n v="188152.105970062"/>
    <n v="677347.58149222401"/>
  </r>
  <r>
    <x v="0"/>
    <x v="0"/>
    <x v="0"/>
    <x v="9"/>
    <x v="18"/>
    <s v="SE2A"/>
    <x v="7"/>
    <x v="128"/>
    <x v="0"/>
    <x v="11"/>
    <n v="515.485221835787"/>
    <n v="188152.105970062"/>
    <n v="677347.58149222401"/>
  </r>
  <r>
    <x v="0"/>
    <x v="0"/>
    <x v="0"/>
    <x v="9"/>
    <x v="18"/>
    <s v="SE2A"/>
    <x v="7"/>
    <x v="128"/>
    <x v="0"/>
    <x v="12"/>
    <n v="515.485221835787"/>
    <n v="188152.105970062"/>
    <n v="677347.58149222401"/>
  </r>
  <r>
    <x v="0"/>
    <x v="0"/>
    <x v="0"/>
    <x v="9"/>
    <x v="18"/>
    <s v="SE2A"/>
    <x v="7"/>
    <x v="128"/>
    <x v="0"/>
    <x v="13"/>
    <n v="515.485221835787"/>
    <n v="188152.105970062"/>
    <n v="677347.58149222401"/>
  </r>
  <r>
    <x v="0"/>
    <x v="0"/>
    <x v="0"/>
    <x v="9"/>
    <x v="18"/>
    <s v="SE2A"/>
    <x v="7"/>
    <x v="128"/>
    <x v="0"/>
    <x v="14"/>
    <n v="515.485221835787"/>
    <n v="188152.105970062"/>
    <n v="677347.58149222401"/>
  </r>
  <r>
    <x v="0"/>
    <x v="0"/>
    <x v="0"/>
    <x v="9"/>
    <x v="18"/>
    <s v="SE2A"/>
    <x v="7"/>
    <x v="128"/>
    <x v="0"/>
    <x v="15"/>
    <n v="515.485221835787"/>
    <n v="188152.105970062"/>
    <n v="677347.58149222401"/>
  </r>
  <r>
    <x v="0"/>
    <x v="0"/>
    <x v="0"/>
    <x v="9"/>
    <x v="18"/>
    <s v="SE2A"/>
    <x v="7"/>
    <x v="128"/>
    <x v="0"/>
    <x v="16"/>
    <n v="515.485221835787"/>
    <n v="188152.105970062"/>
    <n v="677347.58149222401"/>
  </r>
  <r>
    <x v="0"/>
    <x v="0"/>
    <x v="0"/>
    <x v="9"/>
    <x v="18"/>
    <s v="SE2A"/>
    <x v="7"/>
    <x v="128"/>
    <x v="0"/>
    <x v="17"/>
    <n v="515.485221835787"/>
    <n v="188152.105970062"/>
    <n v="677347.58149222401"/>
  </r>
  <r>
    <x v="0"/>
    <x v="0"/>
    <x v="0"/>
    <x v="9"/>
    <x v="18"/>
    <s v="SE2A"/>
    <x v="7"/>
    <x v="128"/>
    <x v="0"/>
    <x v="18"/>
    <n v="515.485221835787"/>
    <n v="188152.105970062"/>
    <n v="677347.58149222401"/>
  </r>
  <r>
    <x v="0"/>
    <x v="0"/>
    <x v="0"/>
    <x v="9"/>
    <x v="18"/>
    <s v="SE2A"/>
    <x v="7"/>
    <x v="128"/>
    <x v="0"/>
    <x v="19"/>
    <n v="515.485221835787"/>
    <n v="188152.105970062"/>
    <n v="677347.58149222401"/>
  </r>
  <r>
    <x v="0"/>
    <x v="0"/>
    <x v="0"/>
    <x v="9"/>
    <x v="18"/>
    <s v="SE2A"/>
    <x v="7"/>
    <x v="129"/>
    <x v="0"/>
    <x v="1"/>
    <n v="515.485221835787"/>
    <n v="188152.105970062"/>
    <n v="677347.58149222401"/>
  </r>
  <r>
    <x v="0"/>
    <x v="0"/>
    <x v="0"/>
    <x v="9"/>
    <x v="18"/>
    <s v="SE2A"/>
    <x v="7"/>
    <x v="129"/>
    <x v="0"/>
    <x v="2"/>
    <n v="515.485221835787"/>
    <n v="188152.105970062"/>
    <n v="677347.58149222401"/>
  </r>
  <r>
    <x v="0"/>
    <x v="0"/>
    <x v="0"/>
    <x v="9"/>
    <x v="18"/>
    <s v="SE2A"/>
    <x v="7"/>
    <x v="129"/>
    <x v="0"/>
    <x v="9"/>
    <n v="515.485221835787"/>
    <n v="188152.105970062"/>
    <n v="677347.58149222401"/>
  </r>
  <r>
    <x v="0"/>
    <x v="0"/>
    <x v="0"/>
    <x v="9"/>
    <x v="18"/>
    <s v="SE2A"/>
    <x v="7"/>
    <x v="129"/>
    <x v="0"/>
    <x v="10"/>
    <n v="515.485221835787"/>
    <n v="188152.105970062"/>
    <n v="677347.58149222401"/>
  </r>
  <r>
    <x v="0"/>
    <x v="0"/>
    <x v="0"/>
    <x v="9"/>
    <x v="18"/>
    <s v="SE2A"/>
    <x v="7"/>
    <x v="129"/>
    <x v="0"/>
    <x v="11"/>
    <n v="515.485221835787"/>
    <n v="188152.105970062"/>
    <n v="677347.58149222401"/>
  </r>
  <r>
    <x v="0"/>
    <x v="0"/>
    <x v="0"/>
    <x v="9"/>
    <x v="18"/>
    <s v="SE2A"/>
    <x v="7"/>
    <x v="130"/>
    <x v="0"/>
    <x v="2"/>
    <n v="515.485221835787"/>
    <n v="188152.105970062"/>
    <n v="677347.58149222401"/>
  </r>
  <r>
    <x v="0"/>
    <x v="0"/>
    <x v="0"/>
    <x v="9"/>
    <x v="18"/>
    <s v="SE2A"/>
    <x v="7"/>
    <x v="130"/>
    <x v="0"/>
    <x v="9"/>
    <n v="295.617607074744"/>
    <n v="107900.426582282"/>
    <n v="388441.53569621302"/>
  </r>
  <r>
    <x v="0"/>
    <x v="0"/>
    <x v="0"/>
    <x v="9"/>
    <x v="18"/>
    <s v="SE2A"/>
    <x v="7"/>
    <x v="209"/>
    <x v="0"/>
    <x v="3"/>
    <n v="37.239006248145998"/>
    <n v="13592.237280573299"/>
    <n v="48932.054210063798"/>
  </r>
  <r>
    <x v="0"/>
    <x v="0"/>
    <x v="0"/>
    <x v="9"/>
    <x v="18"/>
    <s v="SE2A"/>
    <x v="7"/>
    <x v="209"/>
    <x v="0"/>
    <x v="4"/>
    <n v="108"/>
    <n v="39420"/>
    <n v="141912"/>
  </r>
  <r>
    <x v="0"/>
    <x v="0"/>
    <x v="0"/>
    <x v="9"/>
    <x v="18"/>
    <s v="SE2A"/>
    <x v="7"/>
    <x v="209"/>
    <x v="0"/>
    <x v="5"/>
    <n v="108"/>
    <n v="39420"/>
    <n v="141912"/>
  </r>
  <r>
    <x v="0"/>
    <x v="0"/>
    <x v="0"/>
    <x v="9"/>
    <x v="18"/>
    <s v="SE2A"/>
    <x v="7"/>
    <x v="209"/>
    <x v="0"/>
    <x v="6"/>
    <n v="108"/>
    <n v="39420"/>
    <n v="141912"/>
  </r>
  <r>
    <x v="0"/>
    <x v="0"/>
    <x v="0"/>
    <x v="9"/>
    <x v="18"/>
    <s v="SE2A"/>
    <x v="7"/>
    <x v="209"/>
    <x v="0"/>
    <x v="7"/>
    <n v="108"/>
    <n v="39420"/>
    <n v="141912"/>
  </r>
  <r>
    <x v="0"/>
    <x v="0"/>
    <x v="0"/>
    <x v="9"/>
    <x v="18"/>
    <s v="SE2A"/>
    <x v="7"/>
    <x v="209"/>
    <x v="0"/>
    <x v="8"/>
    <n v="108"/>
    <n v="39420"/>
    <n v="141912"/>
  </r>
  <r>
    <x v="0"/>
    <x v="0"/>
    <x v="0"/>
    <x v="9"/>
    <x v="18"/>
    <s v="SE2A"/>
    <x v="7"/>
    <x v="209"/>
    <x v="0"/>
    <x v="0"/>
    <n v="108"/>
    <n v="39420"/>
    <n v="141912"/>
  </r>
  <r>
    <x v="0"/>
    <x v="0"/>
    <x v="0"/>
    <x v="9"/>
    <x v="18"/>
    <s v="SE2A"/>
    <x v="7"/>
    <x v="209"/>
    <x v="0"/>
    <x v="1"/>
    <n v="108"/>
    <n v="39420"/>
    <n v="141912"/>
  </r>
  <r>
    <x v="0"/>
    <x v="0"/>
    <x v="0"/>
    <x v="9"/>
    <x v="18"/>
    <s v="SE2A"/>
    <x v="7"/>
    <x v="209"/>
    <x v="0"/>
    <x v="2"/>
    <n v="108"/>
    <n v="39420"/>
    <n v="141912"/>
  </r>
  <r>
    <x v="0"/>
    <x v="0"/>
    <x v="0"/>
    <x v="9"/>
    <x v="18"/>
    <s v="SE2A"/>
    <x v="7"/>
    <x v="209"/>
    <x v="0"/>
    <x v="9"/>
    <n v="108"/>
    <n v="39420"/>
    <n v="141912"/>
  </r>
  <r>
    <x v="0"/>
    <x v="0"/>
    <x v="0"/>
    <x v="9"/>
    <x v="18"/>
    <s v="SE2A"/>
    <x v="7"/>
    <x v="209"/>
    <x v="0"/>
    <x v="10"/>
    <n v="108"/>
    <n v="39420"/>
    <n v="141912"/>
  </r>
  <r>
    <x v="0"/>
    <x v="0"/>
    <x v="0"/>
    <x v="9"/>
    <x v="18"/>
    <s v="SE2A"/>
    <x v="7"/>
    <x v="209"/>
    <x v="0"/>
    <x v="11"/>
    <n v="108"/>
    <n v="39420"/>
    <n v="141912"/>
  </r>
  <r>
    <x v="0"/>
    <x v="0"/>
    <x v="0"/>
    <x v="9"/>
    <x v="18"/>
    <s v="SE2A"/>
    <x v="7"/>
    <x v="209"/>
    <x v="0"/>
    <x v="12"/>
    <n v="108"/>
    <n v="39420"/>
    <n v="141912"/>
  </r>
  <r>
    <x v="0"/>
    <x v="0"/>
    <x v="0"/>
    <x v="9"/>
    <x v="18"/>
    <s v="SE2A"/>
    <x v="7"/>
    <x v="209"/>
    <x v="0"/>
    <x v="13"/>
    <n v="108"/>
    <n v="39420"/>
    <n v="141912"/>
  </r>
  <r>
    <x v="0"/>
    <x v="0"/>
    <x v="0"/>
    <x v="9"/>
    <x v="18"/>
    <s v="SE2A"/>
    <x v="7"/>
    <x v="209"/>
    <x v="0"/>
    <x v="14"/>
    <n v="108"/>
    <n v="39420"/>
    <n v="141912"/>
  </r>
  <r>
    <x v="0"/>
    <x v="0"/>
    <x v="0"/>
    <x v="9"/>
    <x v="18"/>
    <s v="SE2A"/>
    <x v="7"/>
    <x v="209"/>
    <x v="0"/>
    <x v="15"/>
    <n v="108"/>
    <n v="39420"/>
    <n v="141912"/>
  </r>
  <r>
    <x v="0"/>
    <x v="0"/>
    <x v="0"/>
    <x v="9"/>
    <x v="18"/>
    <s v="SE2A"/>
    <x v="7"/>
    <x v="209"/>
    <x v="0"/>
    <x v="16"/>
    <n v="108"/>
    <n v="39420"/>
    <n v="141912"/>
  </r>
  <r>
    <x v="0"/>
    <x v="0"/>
    <x v="0"/>
    <x v="9"/>
    <x v="18"/>
    <s v="SE2A"/>
    <x v="7"/>
    <x v="209"/>
    <x v="0"/>
    <x v="17"/>
    <n v="108"/>
    <n v="39420"/>
    <n v="141912"/>
  </r>
  <r>
    <x v="0"/>
    <x v="0"/>
    <x v="0"/>
    <x v="9"/>
    <x v="18"/>
    <s v="SE2A"/>
    <x v="7"/>
    <x v="209"/>
    <x v="0"/>
    <x v="18"/>
    <n v="108"/>
    <n v="39420"/>
    <n v="141912"/>
  </r>
  <r>
    <x v="0"/>
    <x v="0"/>
    <x v="0"/>
    <x v="9"/>
    <x v="18"/>
    <s v="SE2A"/>
    <x v="7"/>
    <x v="209"/>
    <x v="0"/>
    <x v="19"/>
    <n v="108"/>
    <n v="39420"/>
    <n v="141912"/>
  </r>
  <r>
    <x v="0"/>
    <x v="0"/>
    <x v="0"/>
    <x v="9"/>
    <x v="18"/>
    <s v="SE2A"/>
    <x v="7"/>
    <x v="209"/>
    <x v="0"/>
    <x v="20"/>
    <n v="108"/>
    <n v="39420"/>
    <n v="141912"/>
  </r>
  <r>
    <x v="0"/>
    <x v="0"/>
    <x v="0"/>
    <x v="9"/>
    <x v="18"/>
    <s v="SE2A"/>
    <x v="7"/>
    <x v="209"/>
    <x v="0"/>
    <x v="21"/>
    <n v="108"/>
    <n v="39420"/>
    <n v="141912"/>
  </r>
  <r>
    <x v="0"/>
    <x v="0"/>
    <x v="0"/>
    <x v="9"/>
    <x v="18"/>
    <s v="SE2A"/>
    <x v="7"/>
    <x v="209"/>
    <x v="0"/>
    <x v="22"/>
    <n v="108"/>
    <n v="39420"/>
    <n v="141912"/>
  </r>
  <r>
    <x v="0"/>
    <x v="0"/>
    <x v="0"/>
    <x v="9"/>
    <x v="18"/>
    <s v="SE2A"/>
    <x v="7"/>
    <x v="46"/>
    <x v="0"/>
    <x v="3"/>
    <n v="1671.24697052902"/>
    <n v="610005.14424309297"/>
    <n v="2196018.5192751298"/>
  </r>
  <r>
    <x v="0"/>
    <x v="0"/>
    <x v="0"/>
    <x v="9"/>
    <x v="18"/>
    <s v="SE2A"/>
    <x v="7"/>
    <x v="46"/>
    <x v="0"/>
    <x v="4"/>
    <n v="1671.24697052902"/>
    <n v="610005.14424309297"/>
    <n v="2196018.5192751298"/>
  </r>
  <r>
    <x v="0"/>
    <x v="0"/>
    <x v="0"/>
    <x v="9"/>
    <x v="18"/>
    <s v="SE2A"/>
    <x v="7"/>
    <x v="46"/>
    <x v="0"/>
    <x v="5"/>
    <n v="1671.24697052902"/>
    <n v="610005.14424309297"/>
    <n v="2196018.5192751298"/>
  </r>
  <r>
    <x v="0"/>
    <x v="0"/>
    <x v="0"/>
    <x v="9"/>
    <x v="18"/>
    <s v="SE2A"/>
    <x v="7"/>
    <x v="46"/>
    <x v="0"/>
    <x v="6"/>
    <n v="1671.24697052902"/>
    <n v="610005.14424309297"/>
    <n v="2196018.5192751298"/>
  </r>
  <r>
    <x v="0"/>
    <x v="0"/>
    <x v="0"/>
    <x v="9"/>
    <x v="18"/>
    <s v="SE2A"/>
    <x v="7"/>
    <x v="46"/>
    <x v="0"/>
    <x v="7"/>
    <n v="1671.24697052902"/>
    <n v="610005.14424309297"/>
    <n v="2196018.5192751298"/>
  </r>
  <r>
    <x v="0"/>
    <x v="0"/>
    <x v="0"/>
    <x v="9"/>
    <x v="18"/>
    <s v="SE2A"/>
    <x v="7"/>
    <x v="46"/>
    <x v="0"/>
    <x v="8"/>
    <n v="1671.24697052902"/>
    <n v="610005.14424309297"/>
    <n v="2196018.5192751298"/>
  </r>
  <r>
    <x v="0"/>
    <x v="0"/>
    <x v="0"/>
    <x v="9"/>
    <x v="18"/>
    <s v="SE2A"/>
    <x v="7"/>
    <x v="46"/>
    <x v="0"/>
    <x v="0"/>
    <n v="1671.24697052902"/>
    <n v="610005.14424309297"/>
    <n v="2196018.5192751298"/>
  </r>
  <r>
    <x v="0"/>
    <x v="0"/>
    <x v="0"/>
    <x v="9"/>
    <x v="18"/>
    <s v="SE2A"/>
    <x v="7"/>
    <x v="46"/>
    <x v="0"/>
    <x v="1"/>
    <n v="1671.24697052902"/>
    <n v="610005.14424309297"/>
    <n v="2196018.5192751298"/>
  </r>
  <r>
    <x v="0"/>
    <x v="0"/>
    <x v="0"/>
    <x v="9"/>
    <x v="18"/>
    <s v="SE2A"/>
    <x v="7"/>
    <x v="46"/>
    <x v="0"/>
    <x v="2"/>
    <n v="1671.24697052902"/>
    <n v="610005.14424309297"/>
    <n v="2196018.5192751298"/>
  </r>
  <r>
    <x v="0"/>
    <x v="0"/>
    <x v="0"/>
    <x v="9"/>
    <x v="18"/>
    <s v="SE2A"/>
    <x v="7"/>
    <x v="46"/>
    <x v="0"/>
    <x v="9"/>
    <n v="1671.24697052902"/>
    <n v="610005.14424309297"/>
    <n v="2196018.5192751298"/>
  </r>
  <r>
    <x v="0"/>
    <x v="0"/>
    <x v="0"/>
    <x v="9"/>
    <x v="18"/>
    <s v="SE2A"/>
    <x v="7"/>
    <x v="46"/>
    <x v="0"/>
    <x v="10"/>
    <n v="1671.24697052902"/>
    <n v="610005.14424309297"/>
    <n v="2196018.5192751298"/>
  </r>
  <r>
    <x v="0"/>
    <x v="0"/>
    <x v="0"/>
    <x v="9"/>
    <x v="18"/>
    <s v="SE2A"/>
    <x v="7"/>
    <x v="46"/>
    <x v="0"/>
    <x v="11"/>
    <n v="1671.24697052902"/>
    <n v="610005.14424309297"/>
    <n v="2196018.5192751298"/>
  </r>
  <r>
    <x v="0"/>
    <x v="0"/>
    <x v="0"/>
    <x v="9"/>
    <x v="18"/>
    <s v="SE2A"/>
    <x v="7"/>
    <x v="46"/>
    <x v="0"/>
    <x v="12"/>
    <n v="1671.24697052902"/>
    <n v="610005.14424309297"/>
    <n v="2196018.5192751298"/>
  </r>
  <r>
    <x v="0"/>
    <x v="0"/>
    <x v="0"/>
    <x v="9"/>
    <x v="18"/>
    <s v="SE2A"/>
    <x v="7"/>
    <x v="46"/>
    <x v="0"/>
    <x v="13"/>
    <n v="1671.24697052902"/>
    <n v="610005.14424309297"/>
    <n v="2196018.5192751298"/>
  </r>
  <r>
    <x v="0"/>
    <x v="0"/>
    <x v="0"/>
    <x v="9"/>
    <x v="18"/>
    <s v="SE2A"/>
    <x v="7"/>
    <x v="46"/>
    <x v="0"/>
    <x v="14"/>
    <n v="1671.24697052902"/>
    <n v="610005.14424309297"/>
    <n v="2196018.5192751298"/>
  </r>
  <r>
    <x v="0"/>
    <x v="0"/>
    <x v="0"/>
    <x v="9"/>
    <x v="18"/>
    <s v="SE2A"/>
    <x v="7"/>
    <x v="46"/>
    <x v="0"/>
    <x v="15"/>
    <n v="1671.24697052902"/>
    <n v="610005.14424309297"/>
    <n v="2196018.5192751298"/>
  </r>
  <r>
    <x v="0"/>
    <x v="0"/>
    <x v="0"/>
    <x v="9"/>
    <x v="18"/>
    <s v="SE2A"/>
    <x v="7"/>
    <x v="46"/>
    <x v="0"/>
    <x v="16"/>
    <n v="1671.24697052902"/>
    <n v="610005.14424309297"/>
    <n v="2196018.5192751298"/>
  </r>
  <r>
    <x v="0"/>
    <x v="0"/>
    <x v="0"/>
    <x v="9"/>
    <x v="18"/>
    <s v="SE2A"/>
    <x v="7"/>
    <x v="46"/>
    <x v="0"/>
    <x v="17"/>
    <n v="1671.24697052902"/>
    <n v="610005.14424309297"/>
    <n v="2196018.5192751298"/>
  </r>
  <r>
    <x v="0"/>
    <x v="0"/>
    <x v="0"/>
    <x v="9"/>
    <x v="18"/>
    <s v="SE2A"/>
    <x v="7"/>
    <x v="46"/>
    <x v="0"/>
    <x v="18"/>
    <n v="1671.24697052902"/>
    <n v="610005.14424309297"/>
    <n v="2196018.5192751298"/>
  </r>
  <r>
    <x v="0"/>
    <x v="0"/>
    <x v="0"/>
    <x v="9"/>
    <x v="18"/>
    <s v="SE2A"/>
    <x v="7"/>
    <x v="46"/>
    <x v="0"/>
    <x v="19"/>
    <n v="1671.24697052902"/>
    <n v="610005.14424309297"/>
    <n v="2196018.5192751298"/>
  </r>
  <r>
    <x v="0"/>
    <x v="0"/>
    <x v="0"/>
    <x v="9"/>
    <x v="18"/>
    <s v="SE2A"/>
    <x v="7"/>
    <x v="46"/>
    <x v="0"/>
    <x v="20"/>
    <n v="1671.24697052902"/>
    <n v="610005.14424309297"/>
    <n v="2196018.5192751298"/>
  </r>
  <r>
    <x v="0"/>
    <x v="0"/>
    <x v="0"/>
    <x v="9"/>
    <x v="18"/>
    <s v="SE2A"/>
    <x v="7"/>
    <x v="46"/>
    <x v="0"/>
    <x v="21"/>
    <n v="1671.24697052902"/>
    <n v="610005.14424309297"/>
    <n v="2196018.5192751298"/>
  </r>
  <r>
    <x v="0"/>
    <x v="0"/>
    <x v="0"/>
    <x v="9"/>
    <x v="18"/>
    <s v="SE2A"/>
    <x v="7"/>
    <x v="46"/>
    <x v="0"/>
    <x v="22"/>
    <n v="1671.24697052902"/>
    <n v="610005.14424309297"/>
    <n v="2196018.5192751298"/>
  </r>
  <r>
    <x v="0"/>
    <x v="0"/>
    <x v="0"/>
    <x v="9"/>
    <x v="18"/>
    <s v="SE2A"/>
    <x v="7"/>
    <x v="46"/>
    <x v="0"/>
    <x v="23"/>
    <n v="1671.24697052902"/>
    <n v="610005.14424309297"/>
    <n v="2196018.5192751298"/>
  </r>
  <r>
    <x v="0"/>
    <x v="0"/>
    <x v="0"/>
    <x v="9"/>
    <x v="18"/>
    <s v="SE2A"/>
    <x v="8"/>
    <x v="47"/>
    <x v="0"/>
    <x v="3"/>
    <n v="323.22607996570002"/>
    <n v="117977.519187481"/>
    <n v="424719.06907492998"/>
  </r>
  <r>
    <x v="0"/>
    <x v="0"/>
    <x v="0"/>
    <x v="9"/>
    <x v="18"/>
    <s v="SE2A"/>
    <x v="8"/>
    <x v="47"/>
    <x v="0"/>
    <x v="4"/>
    <n v="212.283689093021"/>
    <n v="77483.546518952702"/>
    <n v="278940.76746822998"/>
  </r>
  <r>
    <x v="0"/>
    <x v="0"/>
    <x v="0"/>
    <x v="9"/>
    <x v="18"/>
    <s v="SE2A"/>
    <x v="8"/>
    <x v="47"/>
    <x v="0"/>
    <x v="5"/>
    <n v="208.699441105483"/>
    <n v="76175.296003501193"/>
    <n v="274231.06561260403"/>
  </r>
  <r>
    <x v="0"/>
    <x v="0"/>
    <x v="0"/>
    <x v="9"/>
    <x v="18"/>
    <s v="SE2A"/>
    <x v="8"/>
    <x v="47"/>
    <x v="0"/>
    <x v="6"/>
    <n v="157.28210947579001"/>
    <n v="57407.969958663198"/>
    <n v="206668.69185118799"/>
  </r>
  <r>
    <x v="0"/>
    <x v="0"/>
    <x v="0"/>
    <x v="9"/>
    <x v="18"/>
    <s v="SE2A"/>
    <x v="8"/>
    <x v="47"/>
    <x v="0"/>
    <x v="7"/>
    <n v="148.10720142365801"/>
    <n v="54059.128519635102"/>
    <n v="194612.86267068601"/>
  </r>
  <r>
    <x v="0"/>
    <x v="0"/>
    <x v="0"/>
    <x v="9"/>
    <x v="18"/>
    <s v="SE2A"/>
    <x v="8"/>
    <x v="47"/>
    <x v="0"/>
    <x v="8"/>
    <n v="127.512722785104"/>
    <n v="46542.143816563097"/>
    <n v="167551.717739627"/>
  </r>
  <r>
    <x v="0"/>
    <x v="0"/>
    <x v="0"/>
    <x v="9"/>
    <x v="18"/>
    <s v="SE2A"/>
    <x v="8"/>
    <x v="47"/>
    <x v="0"/>
    <x v="0"/>
    <n v="128.02462075021299"/>
    <n v="46728.986573827598"/>
    <n v="168224.35166577899"/>
  </r>
  <r>
    <x v="0"/>
    <x v="0"/>
    <x v="0"/>
    <x v="9"/>
    <x v="18"/>
    <s v="SE2A"/>
    <x v="8"/>
    <x v="47"/>
    <x v="0"/>
    <x v="1"/>
    <n v="200.083841953269"/>
    <n v="73030.602312943302"/>
    <n v="262910.16832659597"/>
  </r>
  <r>
    <x v="0"/>
    <x v="0"/>
    <x v="0"/>
    <x v="9"/>
    <x v="18"/>
    <s v="SE2A"/>
    <x v="8"/>
    <x v="47"/>
    <x v="0"/>
    <x v="2"/>
    <n v="309.96910443949503"/>
    <n v="113138.72312041601"/>
    <n v="407299.40323349601"/>
  </r>
  <r>
    <x v="0"/>
    <x v="0"/>
    <x v="0"/>
    <x v="9"/>
    <x v="18"/>
    <s v="SE2A"/>
    <x v="8"/>
    <x v="47"/>
    <x v="0"/>
    <x v="9"/>
    <n v="416.58278821446999"/>
    <n v="152052.71769828201"/>
    <n v="547389.78371381399"/>
  </r>
  <r>
    <x v="0"/>
    <x v="0"/>
    <x v="0"/>
    <x v="9"/>
    <x v="18"/>
    <s v="SE2A"/>
    <x v="8"/>
    <x v="47"/>
    <x v="0"/>
    <x v="10"/>
    <n v="596.65293781612502"/>
    <n v="217778.32230288599"/>
    <n v="784001.96029038797"/>
  </r>
  <r>
    <x v="0"/>
    <x v="0"/>
    <x v="0"/>
    <x v="9"/>
    <x v="18"/>
    <s v="SE2A"/>
    <x v="8"/>
    <x v="47"/>
    <x v="0"/>
    <x v="11"/>
    <n v="865.62731566730895"/>
    <n v="315953.97021856799"/>
    <n v="1137434.2927868399"/>
  </r>
  <r>
    <x v="0"/>
    <x v="0"/>
    <x v="0"/>
    <x v="9"/>
    <x v="18"/>
    <s v="SE2A"/>
    <x v="8"/>
    <x v="47"/>
    <x v="0"/>
    <x v="12"/>
    <n v="1025.00206439814"/>
    <n v="374125.75350532198"/>
    <n v="1346852.7126191601"/>
  </r>
  <r>
    <x v="0"/>
    <x v="0"/>
    <x v="0"/>
    <x v="9"/>
    <x v="18"/>
    <s v="SE2A"/>
    <x v="8"/>
    <x v="47"/>
    <x v="0"/>
    <x v="13"/>
    <n v="1075.28886710645"/>
    <n v="392480.43649385299"/>
    <n v="1412929.5713778699"/>
  </r>
  <r>
    <x v="0"/>
    <x v="0"/>
    <x v="0"/>
    <x v="9"/>
    <x v="18"/>
    <s v="SE2A"/>
    <x v="8"/>
    <x v="47"/>
    <x v="0"/>
    <x v="14"/>
    <n v="1142.3571975898799"/>
    <n v="416960.377120308"/>
    <n v="1501057.3576331099"/>
  </r>
  <r>
    <x v="0"/>
    <x v="0"/>
    <x v="0"/>
    <x v="9"/>
    <x v="18"/>
    <s v="SE2A"/>
    <x v="8"/>
    <x v="47"/>
    <x v="0"/>
    <x v="15"/>
    <n v="1252.24679479015"/>
    <n v="457070.08009840501"/>
    <n v="1645452.2883542599"/>
  </r>
  <r>
    <x v="0"/>
    <x v="0"/>
    <x v="0"/>
    <x v="9"/>
    <x v="18"/>
    <s v="SE2A"/>
    <x v="8"/>
    <x v="47"/>
    <x v="0"/>
    <x v="16"/>
    <n v="1284.8997659173001"/>
    <n v="468988.41455981397"/>
    <n v="1688358.29241533"/>
  </r>
  <r>
    <x v="0"/>
    <x v="0"/>
    <x v="0"/>
    <x v="9"/>
    <x v="18"/>
    <s v="SE2A"/>
    <x v="8"/>
    <x v="47"/>
    <x v="0"/>
    <x v="17"/>
    <n v="1073.6338564703501"/>
    <n v="391876.35761167901"/>
    <n v="1410754.88740204"/>
  </r>
  <r>
    <x v="0"/>
    <x v="0"/>
    <x v="0"/>
    <x v="9"/>
    <x v="18"/>
    <s v="SE2A"/>
    <x v="8"/>
    <x v="47"/>
    <x v="0"/>
    <x v="18"/>
    <n v="1043.26696121227"/>
    <n v="380792.44084247999"/>
    <n v="1370852.7870329299"/>
  </r>
  <r>
    <x v="0"/>
    <x v="0"/>
    <x v="0"/>
    <x v="9"/>
    <x v="18"/>
    <s v="SE2A"/>
    <x v="8"/>
    <x v="47"/>
    <x v="0"/>
    <x v="19"/>
    <n v="989.72014525819804"/>
    <n v="361247.853019242"/>
    <n v="1300492.27086927"/>
  </r>
  <r>
    <x v="0"/>
    <x v="0"/>
    <x v="0"/>
    <x v="9"/>
    <x v="18"/>
    <s v="SE2A"/>
    <x v="8"/>
    <x v="47"/>
    <x v="0"/>
    <x v="20"/>
    <n v="966.27444306558095"/>
    <n v="352690.171718937"/>
    <n v="1269684.61818817"/>
  </r>
  <r>
    <x v="0"/>
    <x v="0"/>
    <x v="0"/>
    <x v="9"/>
    <x v="18"/>
    <s v="SE2A"/>
    <x v="8"/>
    <x v="47"/>
    <x v="0"/>
    <x v="21"/>
    <n v="871.23493156376003"/>
    <n v="318000.75002077298"/>
    <n v="1144802.70007478"/>
  </r>
  <r>
    <x v="0"/>
    <x v="0"/>
    <x v="0"/>
    <x v="9"/>
    <x v="18"/>
    <s v="SE2A"/>
    <x v="8"/>
    <x v="47"/>
    <x v="0"/>
    <x v="22"/>
    <n v="808.84275792924996"/>
    <n v="295227.606644176"/>
    <n v="1062819.38391903"/>
  </r>
  <r>
    <x v="0"/>
    <x v="0"/>
    <x v="0"/>
    <x v="9"/>
    <x v="18"/>
    <s v="SE2A"/>
    <x v="8"/>
    <x v="47"/>
    <x v="0"/>
    <x v="23"/>
    <n v="658.21323872135304"/>
    <n v="240247.832133294"/>
    <n v="864892.19567985798"/>
  </r>
  <r>
    <x v="0"/>
    <x v="0"/>
    <x v="0"/>
    <x v="9"/>
    <x v="18"/>
    <s v="SE2A"/>
    <x v="13"/>
    <x v="131"/>
    <x v="0"/>
    <x v="0"/>
    <n v="1341.0827374872299"/>
    <n v="489495.19918284001"/>
    <n v="1762182.7170582199"/>
  </r>
  <r>
    <x v="0"/>
    <x v="0"/>
    <x v="0"/>
    <x v="9"/>
    <x v="18"/>
    <s v="SE2A"/>
    <x v="13"/>
    <x v="131"/>
    <x v="0"/>
    <x v="1"/>
    <n v="1341.0827374872299"/>
    <n v="489495.19918284001"/>
    <n v="1762182.7170582199"/>
  </r>
  <r>
    <x v="0"/>
    <x v="0"/>
    <x v="0"/>
    <x v="9"/>
    <x v="18"/>
    <s v="SE2A"/>
    <x v="13"/>
    <x v="131"/>
    <x v="0"/>
    <x v="2"/>
    <n v="1341.0827374872299"/>
    <n v="489495.19918284001"/>
    <n v="1762182.7170582199"/>
  </r>
  <r>
    <x v="0"/>
    <x v="0"/>
    <x v="0"/>
    <x v="9"/>
    <x v="18"/>
    <s v="SE2A"/>
    <x v="13"/>
    <x v="131"/>
    <x v="0"/>
    <x v="9"/>
    <n v="1341.0827374872299"/>
    <n v="489495.19918284001"/>
    <n v="1762182.7170582199"/>
  </r>
  <r>
    <x v="0"/>
    <x v="0"/>
    <x v="0"/>
    <x v="9"/>
    <x v="18"/>
    <s v="SE2A"/>
    <x v="13"/>
    <x v="131"/>
    <x v="0"/>
    <x v="10"/>
    <n v="1341.0827374872299"/>
    <n v="489495.19918284001"/>
    <n v="1762182.7170582199"/>
  </r>
  <r>
    <x v="0"/>
    <x v="0"/>
    <x v="0"/>
    <x v="9"/>
    <x v="18"/>
    <s v="SE2A"/>
    <x v="13"/>
    <x v="131"/>
    <x v="0"/>
    <x v="11"/>
    <n v="1341.0827374872299"/>
    <n v="489495.19918284001"/>
    <n v="1762182.7170582199"/>
  </r>
  <r>
    <x v="0"/>
    <x v="0"/>
    <x v="0"/>
    <x v="9"/>
    <x v="18"/>
    <s v="SE2A"/>
    <x v="13"/>
    <x v="131"/>
    <x v="0"/>
    <x v="12"/>
    <n v="1341.0827374872299"/>
    <n v="489495.19918284001"/>
    <n v="1762182.7170582199"/>
  </r>
  <r>
    <x v="0"/>
    <x v="0"/>
    <x v="0"/>
    <x v="9"/>
    <x v="18"/>
    <s v="SE2A"/>
    <x v="13"/>
    <x v="131"/>
    <x v="0"/>
    <x v="13"/>
    <n v="1341.0827374872299"/>
    <n v="489495.19918284001"/>
    <n v="1762182.7170582199"/>
  </r>
  <r>
    <x v="0"/>
    <x v="0"/>
    <x v="0"/>
    <x v="9"/>
    <x v="18"/>
    <s v="SE2A"/>
    <x v="13"/>
    <x v="131"/>
    <x v="0"/>
    <x v="14"/>
    <n v="1341.0827374872299"/>
    <n v="489495.19918284001"/>
    <n v="1762182.7170582199"/>
  </r>
  <r>
    <x v="0"/>
    <x v="0"/>
    <x v="0"/>
    <x v="9"/>
    <x v="18"/>
    <s v="SE2A"/>
    <x v="13"/>
    <x v="131"/>
    <x v="0"/>
    <x v="15"/>
    <n v="1341.0827374872299"/>
    <n v="489495.19918284001"/>
    <n v="1762182.7170582199"/>
  </r>
  <r>
    <x v="0"/>
    <x v="0"/>
    <x v="0"/>
    <x v="9"/>
    <x v="18"/>
    <s v="SE2A"/>
    <x v="13"/>
    <x v="131"/>
    <x v="0"/>
    <x v="16"/>
    <n v="1341.0827374872299"/>
    <n v="489495.19918284001"/>
    <n v="1762182.7170582199"/>
  </r>
  <r>
    <x v="0"/>
    <x v="0"/>
    <x v="0"/>
    <x v="9"/>
    <x v="18"/>
    <s v="SE2A"/>
    <x v="13"/>
    <x v="131"/>
    <x v="0"/>
    <x v="17"/>
    <n v="1341.0827374872299"/>
    <n v="489495.19918284001"/>
    <n v="1762182.7170582199"/>
  </r>
  <r>
    <x v="0"/>
    <x v="0"/>
    <x v="0"/>
    <x v="9"/>
    <x v="18"/>
    <s v="SE2A"/>
    <x v="13"/>
    <x v="131"/>
    <x v="0"/>
    <x v="18"/>
    <n v="1341.0827374872299"/>
    <n v="489495.19918284001"/>
    <n v="1762182.7170582199"/>
  </r>
  <r>
    <x v="0"/>
    <x v="0"/>
    <x v="0"/>
    <x v="9"/>
    <x v="18"/>
    <s v="SE2A"/>
    <x v="13"/>
    <x v="131"/>
    <x v="0"/>
    <x v="19"/>
    <n v="1341.0827374872299"/>
    <n v="489495.19918284001"/>
    <n v="1762182.7170582199"/>
  </r>
  <r>
    <x v="0"/>
    <x v="0"/>
    <x v="0"/>
    <x v="9"/>
    <x v="18"/>
    <s v="SE2_EL"/>
    <x v="1"/>
    <x v="234"/>
    <x v="0"/>
    <x v="3"/>
    <n v="239.53745646244201"/>
    <n v="87431.171608791396"/>
    <n v="314752.21779164899"/>
  </r>
  <r>
    <x v="0"/>
    <x v="0"/>
    <x v="0"/>
    <x v="9"/>
    <x v="18"/>
    <s v="SE2_EL"/>
    <x v="1"/>
    <x v="234"/>
    <x v="0"/>
    <x v="4"/>
    <n v="239.53745646244201"/>
    <n v="87431.171608791396"/>
    <n v="314752.21779164899"/>
  </r>
  <r>
    <x v="0"/>
    <x v="0"/>
    <x v="0"/>
    <x v="9"/>
    <x v="18"/>
    <s v="SE2_EL"/>
    <x v="1"/>
    <x v="234"/>
    <x v="0"/>
    <x v="5"/>
    <n v="239.53745646244201"/>
    <n v="87431.171608791396"/>
    <n v="314752.21779164899"/>
  </r>
  <r>
    <x v="0"/>
    <x v="0"/>
    <x v="0"/>
    <x v="9"/>
    <x v="18"/>
    <s v="SE2_EL"/>
    <x v="1"/>
    <x v="234"/>
    <x v="0"/>
    <x v="6"/>
    <n v="239.53745646244201"/>
    <n v="87431.171608791396"/>
    <n v="314752.21779164899"/>
  </r>
  <r>
    <x v="0"/>
    <x v="0"/>
    <x v="0"/>
    <x v="9"/>
    <x v="18"/>
    <s v="SE2_EL"/>
    <x v="1"/>
    <x v="234"/>
    <x v="0"/>
    <x v="7"/>
    <n v="239.53745646244201"/>
    <n v="87431.171608791396"/>
    <n v="314752.21779164899"/>
  </r>
  <r>
    <x v="0"/>
    <x v="0"/>
    <x v="0"/>
    <x v="9"/>
    <x v="18"/>
    <s v="SE2_EL"/>
    <x v="1"/>
    <x v="234"/>
    <x v="0"/>
    <x v="8"/>
    <n v="239.53745646244201"/>
    <n v="87431.171608791396"/>
    <n v="314752.21779164899"/>
  </r>
  <r>
    <x v="0"/>
    <x v="0"/>
    <x v="0"/>
    <x v="9"/>
    <x v="18"/>
    <s v="SE2_EL"/>
    <x v="1"/>
    <x v="234"/>
    <x v="0"/>
    <x v="0"/>
    <n v="239.53745646244201"/>
    <n v="87431.171608791396"/>
    <n v="314752.21779164899"/>
  </r>
  <r>
    <x v="0"/>
    <x v="0"/>
    <x v="0"/>
    <x v="9"/>
    <x v="18"/>
    <s v="SE2_EL"/>
    <x v="1"/>
    <x v="234"/>
    <x v="0"/>
    <x v="1"/>
    <n v="239.53745646244201"/>
    <n v="87431.171608791396"/>
    <n v="314752.21779164899"/>
  </r>
  <r>
    <x v="0"/>
    <x v="0"/>
    <x v="0"/>
    <x v="9"/>
    <x v="18"/>
    <s v="SE2_EL"/>
    <x v="1"/>
    <x v="234"/>
    <x v="0"/>
    <x v="2"/>
    <n v="239.53745646244201"/>
    <n v="87431.171608791396"/>
    <n v="314752.21779164899"/>
  </r>
  <r>
    <x v="0"/>
    <x v="0"/>
    <x v="0"/>
    <x v="9"/>
    <x v="18"/>
    <s v="SE2_EL"/>
    <x v="1"/>
    <x v="234"/>
    <x v="0"/>
    <x v="9"/>
    <n v="239.53745646244201"/>
    <n v="87431.171608791396"/>
    <n v="314752.21779164899"/>
  </r>
  <r>
    <x v="0"/>
    <x v="0"/>
    <x v="0"/>
    <x v="9"/>
    <x v="18"/>
    <s v="SE2_EL"/>
    <x v="1"/>
    <x v="234"/>
    <x v="0"/>
    <x v="10"/>
    <n v="239.53745646244201"/>
    <n v="87431.171608791396"/>
    <n v="314752.21779164899"/>
  </r>
  <r>
    <x v="0"/>
    <x v="0"/>
    <x v="0"/>
    <x v="9"/>
    <x v="18"/>
    <s v="SE2_EL"/>
    <x v="1"/>
    <x v="234"/>
    <x v="0"/>
    <x v="11"/>
    <n v="239.53745646244201"/>
    <n v="87431.171608791396"/>
    <n v="314752.21779164899"/>
  </r>
  <r>
    <x v="0"/>
    <x v="0"/>
    <x v="0"/>
    <x v="9"/>
    <x v="18"/>
    <s v="SE2_EL"/>
    <x v="1"/>
    <x v="234"/>
    <x v="0"/>
    <x v="12"/>
    <n v="239.53745646244201"/>
    <n v="87431.171608791396"/>
    <n v="314752.21779164899"/>
  </r>
  <r>
    <x v="0"/>
    <x v="0"/>
    <x v="0"/>
    <x v="9"/>
    <x v="18"/>
    <s v="SE2_EL"/>
    <x v="1"/>
    <x v="234"/>
    <x v="0"/>
    <x v="13"/>
    <n v="239.53745646244201"/>
    <n v="87431.171608791396"/>
    <n v="314752.21779164899"/>
  </r>
  <r>
    <x v="0"/>
    <x v="0"/>
    <x v="0"/>
    <x v="9"/>
    <x v="18"/>
    <s v="SE2_EL"/>
    <x v="1"/>
    <x v="234"/>
    <x v="0"/>
    <x v="14"/>
    <n v="239.53745646244201"/>
    <n v="87431.171608791396"/>
    <n v="314752.21779164899"/>
  </r>
  <r>
    <x v="0"/>
    <x v="0"/>
    <x v="0"/>
    <x v="9"/>
    <x v="18"/>
    <s v="SE2_EL"/>
    <x v="1"/>
    <x v="234"/>
    <x v="0"/>
    <x v="15"/>
    <n v="239.53745646244201"/>
    <n v="87431.171608791396"/>
    <n v="314752.21779164899"/>
  </r>
  <r>
    <x v="0"/>
    <x v="0"/>
    <x v="0"/>
    <x v="9"/>
    <x v="18"/>
    <s v="SE2_EL"/>
    <x v="1"/>
    <x v="234"/>
    <x v="0"/>
    <x v="16"/>
    <n v="239.53745646244201"/>
    <n v="87431.171608791396"/>
    <n v="314752.21779164899"/>
  </r>
  <r>
    <x v="0"/>
    <x v="0"/>
    <x v="0"/>
    <x v="9"/>
    <x v="18"/>
    <s v="SE2_EL"/>
    <x v="1"/>
    <x v="234"/>
    <x v="0"/>
    <x v="17"/>
    <n v="239.53745646244201"/>
    <n v="87431.171608791396"/>
    <n v="314752.21779164899"/>
  </r>
  <r>
    <x v="0"/>
    <x v="0"/>
    <x v="0"/>
    <x v="9"/>
    <x v="18"/>
    <s v="SE2_EL"/>
    <x v="1"/>
    <x v="234"/>
    <x v="0"/>
    <x v="18"/>
    <n v="239.53745646244201"/>
    <n v="87431.171608791396"/>
    <n v="314752.21779164899"/>
  </r>
  <r>
    <x v="0"/>
    <x v="0"/>
    <x v="0"/>
    <x v="9"/>
    <x v="18"/>
    <s v="SE2_EL"/>
    <x v="1"/>
    <x v="234"/>
    <x v="0"/>
    <x v="19"/>
    <n v="239.53745646244201"/>
    <n v="87431.171608791396"/>
    <n v="314752.21779164899"/>
  </r>
  <r>
    <x v="0"/>
    <x v="0"/>
    <x v="0"/>
    <x v="9"/>
    <x v="18"/>
    <s v="SE2_EL"/>
    <x v="1"/>
    <x v="234"/>
    <x v="0"/>
    <x v="20"/>
    <n v="239.53745646244201"/>
    <n v="87431.171608791396"/>
    <n v="314752.21779164899"/>
  </r>
  <r>
    <x v="0"/>
    <x v="0"/>
    <x v="0"/>
    <x v="9"/>
    <x v="18"/>
    <s v="SE2_EL"/>
    <x v="1"/>
    <x v="234"/>
    <x v="0"/>
    <x v="21"/>
    <n v="239.53745646244201"/>
    <n v="87431.171608791396"/>
    <n v="314752.21779164899"/>
  </r>
  <r>
    <x v="0"/>
    <x v="0"/>
    <x v="0"/>
    <x v="9"/>
    <x v="18"/>
    <s v="SE2_EL"/>
    <x v="1"/>
    <x v="234"/>
    <x v="0"/>
    <x v="22"/>
    <n v="239.53745646244201"/>
    <n v="87431.171608791396"/>
    <n v="314752.21779164899"/>
  </r>
  <r>
    <x v="0"/>
    <x v="0"/>
    <x v="0"/>
    <x v="9"/>
    <x v="18"/>
    <s v="SE2_EL"/>
    <x v="1"/>
    <x v="234"/>
    <x v="0"/>
    <x v="23"/>
    <n v="239.53745646244201"/>
    <n v="87431.171608791396"/>
    <n v="314752.21779164899"/>
  </r>
  <r>
    <x v="0"/>
    <x v="0"/>
    <x v="0"/>
    <x v="9"/>
    <x v="18"/>
    <s v="SE2_EL"/>
    <x v="10"/>
    <x v="230"/>
    <x v="0"/>
    <x v="3"/>
    <n v="262.81306374517698"/>
    <n v="95926.768266989704"/>
    <n v="345336.365761163"/>
  </r>
  <r>
    <x v="0"/>
    <x v="0"/>
    <x v="0"/>
    <x v="9"/>
    <x v="18"/>
    <s v="SE2_EL"/>
    <x v="10"/>
    <x v="230"/>
    <x v="0"/>
    <x v="4"/>
    <n v="262.81306374517698"/>
    <n v="95926.768266989704"/>
    <n v="345336.365761163"/>
  </r>
  <r>
    <x v="0"/>
    <x v="0"/>
    <x v="0"/>
    <x v="9"/>
    <x v="18"/>
    <s v="SE2_EL"/>
    <x v="10"/>
    <x v="230"/>
    <x v="0"/>
    <x v="5"/>
    <n v="262.81306374517698"/>
    <n v="95926.768266989704"/>
    <n v="345336.365761163"/>
  </r>
  <r>
    <x v="0"/>
    <x v="0"/>
    <x v="0"/>
    <x v="9"/>
    <x v="18"/>
    <s v="SE2_EL"/>
    <x v="10"/>
    <x v="230"/>
    <x v="0"/>
    <x v="6"/>
    <n v="262.81306374517698"/>
    <n v="95926.768266989704"/>
    <n v="345336.365761163"/>
  </r>
  <r>
    <x v="0"/>
    <x v="0"/>
    <x v="0"/>
    <x v="9"/>
    <x v="18"/>
    <s v="SE2_EL"/>
    <x v="10"/>
    <x v="230"/>
    <x v="0"/>
    <x v="7"/>
    <n v="262.81306374517698"/>
    <n v="95926.768266989704"/>
    <n v="345336.365761163"/>
  </r>
  <r>
    <x v="0"/>
    <x v="0"/>
    <x v="0"/>
    <x v="9"/>
    <x v="18"/>
    <s v="SE2_EL"/>
    <x v="10"/>
    <x v="230"/>
    <x v="0"/>
    <x v="8"/>
    <n v="262.81306374517698"/>
    <n v="95926.768266989704"/>
    <n v="345336.365761163"/>
  </r>
  <r>
    <x v="0"/>
    <x v="0"/>
    <x v="0"/>
    <x v="9"/>
    <x v="18"/>
    <s v="SE2_EL"/>
    <x v="10"/>
    <x v="230"/>
    <x v="0"/>
    <x v="0"/>
    <n v="262.81306374517698"/>
    <n v="95926.768266989704"/>
    <n v="345336.365761163"/>
  </r>
  <r>
    <x v="0"/>
    <x v="0"/>
    <x v="0"/>
    <x v="9"/>
    <x v="18"/>
    <s v="SE2_EL"/>
    <x v="10"/>
    <x v="230"/>
    <x v="0"/>
    <x v="1"/>
    <n v="262.81306374517698"/>
    <n v="95926.768266989704"/>
    <n v="345336.365761163"/>
  </r>
  <r>
    <x v="0"/>
    <x v="0"/>
    <x v="0"/>
    <x v="9"/>
    <x v="18"/>
    <s v="SE2_EL"/>
    <x v="10"/>
    <x v="230"/>
    <x v="0"/>
    <x v="2"/>
    <n v="262.81306374517698"/>
    <n v="95926.768266989704"/>
    <n v="345336.365761163"/>
  </r>
  <r>
    <x v="0"/>
    <x v="0"/>
    <x v="0"/>
    <x v="9"/>
    <x v="18"/>
    <s v="SE2_EL"/>
    <x v="10"/>
    <x v="230"/>
    <x v="0"/>
    <x v="9"/>
    <n v="262.81306374517698"/>
    <n v="95926.768266989704"/>
    <n v="345336.365761163"/>
  </r>
  <r>
    <x v="0"/>
    <x v="0"/>
    <x v="0"/>
    <x v="9"/>
    <x v="18"/>
    <s v="SE2_EL"/>
    <x v="10"/>
    <x v="230"/>
    <x v="0"/>
    <x v="10"/>
    <n v="262.81306374517698"/>
    <n v="95926.768266989704"/>
    <n v="345336.365761163"/>
  </r>
  <r>
    <x v="0"/>
    <x v="0"/>
    <x v="0"/>
    <x v="9"/>
    <x v="18"/>
    <s v="SE2_EL"/>
    <x v="10"/>
    <x v="230"/>
    <x v="0"/>
    <x v="11"/>
    <n v="262.81306374517698"/>
    <n v="95926.768266989704"/>
    <n v="345336.365761163"/>
  </r>
  <r>
    <x v="0"/>
    <x v="0"/>
    <x v="0"/>
    <x v="9"/>
    <x v="18"/>
    <s v="SE2_EL"/>
    <x v="10"/>
    <x v="230"/>
    <x v="0"/>
    <x v="12"/>
    <n v="262.81306374517698"/>
    <n v="95926.768266989704"/>
    <n v="345336.365761163"/>
  </r>
  <r>
    <x v="0"/>
    <x v="0"/>
    <x v="0"/>
    <x v="9"/>
    <x v="18"/>
    <s v="SE2_EL"/>
    <x v="10"/>
    <x v="230"/>
    <x v="0"/>
    <x v="13"/>
    <n v="262.81306374517698"/>
    <n v="95926.768266989704"/>
    <n v="345336.365761163"/>
  </r>
  <r>
    <x v="0"/>
    <x v="0"/>
    <x v="0"/>
    <x v="9"/>
    <x v="18"/>
    <s v="SE2_EL"/>
    <x v="10"/>
    <x v="230"/>
    <x v="0"/>
    <x v="14"/>
    <n v="262.81306374517698"/>
    <n v="95926.768266989704"/>
    <n v="345336.365761163"/>
  </r>
  <r>
    <x v="0"/>
    <x v="0"/>
    <x v="0"/>
    <x v="9"/>
    <x v="18"/>
    <s v="SE2_EL"/>
    <x v="10"/>
    <x v="230"/>
    <x v="0"/>
    <x v="15"/>
    <n v="262.81306374517698"/>
    <n v="95926.768266989704"/>
    <n v="345336.365761163"/>
  </r>
  <r>
    <x v="0"/>
    <x v="0"/>
    <x v="0"/>
    <x v="9"/>
    <x v="18"/>
    <s v="SE2_EL"/>
    <x v="10"/>
    <x v="230"/>
    <x v="0"/>
    <x v="16"/>
    <n v="262.81306374517698"/>
    <n v="95926.768266989704"/>
    <n v="345336.365761163"/>
  </r>
  <r>
    <x v="0"/>
    <x v="0"/>
    <x v="0"/>
    <x v="9"/>
    <x v="18"/>
    <s v="SE2_EL"/>
    <x v="10"/>
    <x v="230"/>
    <x v="0"/>
    <x v="17"/>
    <n v="262.81306374517698"/>
    <n v="95926.768266989704"/>
    <n v="345336.365761163"/>
  </r>
  <r>
    <x v="0"/>
    <x v="0"/>
    <x v="0"/>
    <x v="9"/>
    <x v="18"/>
    <s v="SE2_EL"/>
    <x v="10"/>
    <x v="230"/>
    <x v="0"/>
    <x v="18"/>
    <n v="262.81306374517698"/>
    <n v="95926.768266989704"/>
    <n v="345336.365761163"/>
  </r>
  <r>
    <x v="0"/>
    <x v="0"/>
    <x v="0"/>
    <x v="9"/>
    <x v="18"/>
    <s v="SE2_EL"/>
    <x v="10"/>
    <x v="230"/>
    <x v="0"/>
    <x v="19"/>
    <n v="262.81306374517698"/>
    <n v="95926.768266989704"/>
    <n v="345336.365761163"/>
  </r>
  <r>
    <x v="0"/>
    <x v="0"/>
    <x v="0"/>
    <x v="9"/>
    <x v="18"/>
    <s v="SE2_EL"/>
    <x v="10"/>
    <x v="230"/>
    <x v="0"/>
    <x v="20"/>
    <n v="262.81306374517698"/>
    <n v="95926.768266989704"/>
    <n v="345336.365761163"/>
  </r>
  <r>
    <x v="0"/>
    <x v="0"/>
    <x v="0"/>
    <x v="9"/>
    <x v="18"/>
    <s v="SE2_EL"/>
    <x v="10"/>
    <x v="230"/>
    <x v="0"/>
    <x v="21"/>
    <n v="262.81306374517698"/>
    <n v="95926.768266989704"/>
    <n v="345336.365761163"/>
  </r>
  <r>
    <x v="0"/>
    <x v="0"/>
    <x v="0"/>
    <x v="9"/>
    <x v="18"/>
    <s v="SE2_EL"/>
    <x v="10"/>
    <x v="230"/>
    <x v="0"/>
    <x v="22"/>
    <n v="262.81306374517698"/>
    <n v="95926.768266989704"/>
    <n v="345336.365761163"/>
  </r>
  <r>
    <x v="0"/>
    <x v="0"/>
    <x v="0"/>
    <x v="9"/>
    <x v="18"/>
    <s v="SE2_EL"/>
    <x v="10"/>
    <x v="230"/>
    <x v="0"/>
    <x v="23"/>
    <n v="262.81306374517698"/>
    <n v="95926.768266989704"/>
    <n v="345336.365761163"/>
  </r>
  <r>
    <x v="0"/>
    <x v="0"/>
    <x v="0"/>
    <x v="9"/>
    <x v="18"/>
    <s v="SE2_EL"/>
    <x v="10"/>
    <x v="235"/>
    <x v="0"/>
    <x v="3"/>
    <n v="102.679509632224"/>
    <n v="37478.021015761798"/>
    <n v="134920.87565674301"/>
  </r>
  <r>
    <x v="0"/>
    <x v="0"/>
    <x v="0"/>
    <x v="9"/>
    <x v="18"/>
    <s v="SE2_EL"/>
    <x v="10"/>
    <x v="235"/>
    <x v="0"/>
    <x v="4"/>
    <n v="102.679509632224"/>
    <n v="37478.021015761798"/>
    <n v="134920.87565674301"/>
  </r>
  <r>
    <x v="0"/>
    <x v="0"/>
    <x v="0"/>
    <x v="9"/>
    <x v="18"/>
    <s v="SE2_EL"/>
    <x v="10"/>
    <x v="235"/>
    <x v="0"/>
    <x v="5"/>
    <n v="102.679509632224"/>
    <n v="37478.021015761798"/>
    <n v="134920.87565674301"/>
  </r>
  <r>
    <x v="0"/>
    <x v="0"/>
    <x v="0"/>
    <x v="9"/>
    <x v="18"/>
    <s v="SE2_EL"/>
    <x v="10"/>
    <x v="235"/>
    <x v="0"/>
    <x v="6"/>
    <n v="102.679509632224"/>
    <n v="37478.021015761798"/>
    <n v="134920.87565674301"/>
  </r>
  <r>
    <x v="0"/>
    <x v="0"/>
    <x v="0"/>
    <x v="9"/>
    <x v="18"/>
    <s v="SE2_EL"/>
    <x v="10"/>
    <x v="235"/>
    <x v="0"/>
    <x v="7"/>
    <n v="102.679509632224"/>
    <n v="37478.021015761798"/>
    <n v="134920.87565674301"/>
  </r>
  <r>
    <x v="0"/>
    <x v="0"/>
    <x v="0"/>
    <x v="9"/>
    <x v="18"/>
    <s v="SE2_EL"/>
    <x v="10"/>
    <x v="235"/>
    <x v="0"/>
    <x v="8"/>
    <n v="102.679509632224"/>
    <n v="37478.021015761798"/>
    <n v="134920.87565674301"/>
  </r>
  <r>
    <x v="0"/>
    <x v="0"/>
    <x v="0"/>
    <x v="9"/>
    <x v="18"/>
    <s v="SE2_EL"/>
    <x v="10"/>
    <x v="235"/>
    <x v="0"/>
    <x v="0"/>
    <n v="102.679509632224"/>
    <n v="37478.021015761798"/>
    <n v="134920.87565674301"/>
  </r>
  <r>
    <x v="0"/>
    <x v="0"/>
    <x v="0"/>
    <x v="9"/>
    <x v="18"/>
    <s v="SE2_EL"/>
    <x v="10"/>
    <x v="235"/>
    <x v="0"/>
    <x v="1"/>
    <n v="102.679509632224"/>
    <n v="37478.021015761798"/>
    <n v="134920.87565674301"/>
  </r>
  <r>
    <x v="0"/>
    <x v="0"/>
    <x v="0"/>
    <x v="9"/>
    <x v="18"/>
    <s v="SE2_EL"/>
    <x v="10"/>
    <x v="235"/>
    <x v="0"/>
    <x v="2"/>
    <n v="102.679509632224"/>
    <n v="37478.021015761798"/>
    <n v="134920.87565674301"/>
  </r>
  <r>
    <x v="0"/>
    <x v="0"/>
    <x v="0"/>
    <x v="9"/>
    <x v="18"/>
    <s v="SE2_EL"/>
    <x v="10"/>
    <x v="235"/>
    <x v="0"/>
    <x v="9"/>
    <n v="102.679509632224"/>
    <n v="37478.021015761798"/>
    <n v="134920.87565674301"/>
  </r>
  <r>
    <x v="0"/>
    <x v="0"/>
    <x v="0"/>
    <x v="9"/>
    <x v="18"/>
    <s v="SE2_EL"/>
    <x v="10"/>
    <x v="235"/>
    <x v="0"/>
    <x v="10"/>
    <n v="102.679509632224"/>
    <n v="37478.021015761798"/>
    <n v="134920.87565674301"/>
  </r>
  <r>
    <x v="0"/>
    <x v="0"/>
    <x v="0"/>
    <x v="9"/>
    <x v="18"/>
    <s v="SE2_EL"/>
    <x v="10"/>
    <x v="235"/>
    <x v="0"/>
    <x v="11"/>
    <n v="102.679509632224"/>
    <n v="37478.021015761798"/>
    <n v="134920.87565674301"/>
  </r>
  <r>
    <x v="0"/>
    <x v="0"/>
    <x v="0"/>
    <x v="9"/>
    <x v="18"/>
    <s v="SE2_EL"/>
    <x v="10"/>
    <x v="235"/>
    <x v="0"/>
    <x v="12"/>
    <n v="102.679509632224"/>
    <n v="37478.021015761798"/>
    <n v="134920.87565674301"/>
  </r>
  <r>
    <x v="0"/>
    <x v="0"/>
    <x v="0"/>
    <x v="9"/>
    <x v="18"/>
    <s v="SE2_EL"/>
    <x v="10"/>
    <x v="235"/>
    <x v="0"/>
    <x v="13"/>
    <n v="102.679509632224"/>
    <n v="37478.021015761798"/>
    <n v="134920.87565674301"/>
  </r>
  <r>
    <x v="0"/>
    <x v="0"/>
    <x v="0"/>
    <x v="9"/>
    <x v="18"/>
    <s v="SE2_EL"/>
    <x v="10"/>
    <x v="235"/>
    <x v="0"/>
    <x v="14"/>
    <n v="102.679509632224"/>
    <n v="37478.021015761798"/>
    <n v="134920.87565674301"/>
  </r>
  <r>
    <x v="0"/>
    <x v="0"/>
    <x v="0"/>
    <x v="9"/>
    <x v="18"/>
    <s v="SE2_EL"/>
    <x v="10"/>
    <x v="235"/>
    <x v="0"/>
    <x v="15"/>
    <n v="102.679509632224"/>
    <n v="37478.021015761798"/>
    <n v="134920.87565674301"/>
  </r>
  <r>
    <x v="0"/>
    <x v="0"/>
    <x v="0"/>
    <x v="9"/>
    <x v="18"/>
    <s v="SE2_EL"/>
    <x v="10"/>
    <x v="235"/>
    <x v="0"/>
    <x v="16"/>
    <n v="102.679509632224"/>
    <n v="37478.021015761798"/>
    <n v="134920.87565674301"/>
  </r>
  <r>
    <x v="0"/>
    <x v="0"/>
    <x v="0"/>
    <x v="9"/>
    <x v="18"/>
    <s v="SE2_EL"/>
    <x v="10"/>
    <x v="235"/>
    <x v="0"/>
    <x v="17"/>
    <n v="102.679509632224"/>
    <n v="37478.021015761798"/>
    <n v="134920.87565674301"/>
  </r>
  <r>
    <x v="0"/>
    <x v="0"/>
    <x v="0"/>
    <x v="9"/>
    <x v="18"/>
    <s v="SE2_EL"/>
    <x v="10"/>
    <x v="235"/>
    <x v="0"/>
    <x v="18"/>
    <n v="102.679509632224"/>
    <n v="37478.021015761798"/>
    <n v="134920.87565674301"/>
  </r>
  <r>
    <x v="0"/>
    <x v="0"/>
    <x v="0"/>
    <x v="9"/>
    <x v="18"/>
    <s v="SE2_EL"/>
    <x v="10"/>
    <x v="235"/>
    <x v="0"/>
    <x v="19"/>
    <n v="102.679509632224"/>
    <n v="37478.021015761798"/>
    <n v="134920.87565674301"/>
  </r>
  <r>
    <x v="0"/>
    <x v="0"/>
    <x v="0"/>
    <x v="9"/>
    <x v="18"/>
    <s v="SE2_EL"/>
    <x v="10"/>
    <x v="235"/>
    <x v="0"/>
    <x v="20"/>
    <n v="102.679509632224"/>
    <n v="37478.021015761798"/>
    <n v="134920.87565674301"/>
  </r>
  <r>
    <x v="0"/>
    <x v="0"/>
    <x v="0"/>
    <x v="9"/>
    <x v="18"/>
    <s v="SE2_EL"/>
    <x v="10"/>
    <x v="235"/>
    <x v="0"/>
    <x v="21"/>
    <n v="102.679509632224"/>
    <n v="37478.021015761798"/>
    <n v="134920.87565674301"/>
  </r>
  <r>
    <x v="0"/>
    <x v="0"/>
    <x v="0"/>
    <x v="9"/>
    <x v="18"/>
    <s v="SE2_EL"/>
    <x v="10"/>
    <x v="235"/>
    <x v="0"/>
    <x v="22"/>
    <n v="102.679509632224"/>
    <n v="37478.021015761798"/>
    <n v="134920.87565674301"/>
  </r>
  <r>
    <x v="0"/>
    <x v="0"/>
    <x v="0"/>
    <x v="9"/>
    <x v="18"/>
    <s v="SE2_EL"/>
    <x v="10"/>
    <x v="235"/>
    <x v="0"/>
    <x v="23"/>
    <n v="102.679509632224"/>
    <n v="37478.021015761798"/>
    <n v="134920.87565674301"/>
  </r>
  <r>
    <x v="0"/>
    <x v="0"/>
    <x v="0"/>
    <x v="9"/>
    <x v="18"/>
    <s v="SE2_OTHER"/>
    <x v="1"/>
    <x v="234"/>
    <x v="0"/>
    <x v="3"/>
    <n v="18.156787526881601"/>
    <n v="6627.2274473117704"/>
    <n v="23858.018810322399"/>
  </r>
  <r>
    <x v="0"/>
    <x v="0"/>
    <x v="0"/>
    <x v="9"/>
    <x v="18"/>
    <s v="SE2_OTHER"/>
    <x v="1"/>
    <x v="234"/>
    <x v="0"/>
    <x v="4"/>
    <n v="18.156787526881601"/>
    <n v="6627.2274473117704"/>
    <n v="23858.018810322399"/>
  </r>
  <r>
    <x v="0"/>
    <x v="0"/>
    <x v="0"/>
    <x v="9"/>
    <x v="18"/>
    <s v="SE2_OTHER"/>
    <x v="1"/>
    <x v="234"/>
    <x v="0"/>
    <x v="5"/>
    <n v="18.156787526881601"/>
    <n v="6627.2274473117704"/>
    <n v="23858.018810322399"/>
  </r>
  <r>
    <x v="0"/>
    <x v="0"/>
    <x v="0"/>
    <x v="9"/>
    <x v="18"/>
    <s v="SE2_OTHER"/>
    <x v="1"/>
    <x v="234"/>
    <x v="0"/>
    <x v="6"/>
    <n v="18.156787526881601"/>
    <n v="6627.2274473117704"/>
    <n v="23858.018810322399"/>
  </r>
  <r>
    <x v="0"/>
    <x v="0"/>
    <x v="0"/>
    <x v="9"/>
    <x v="18"/>
    <s v="SE2_OTHER"/>
    <x v="1"/>
    <x v="234"/>
    <x v="0"/>
    <x v="7"/>
    <n v="18.156787526881601"/>
    <n v="6627.2274473117704"/>
    <n v="23858.018810322399"/>
  </r>
  <r>
    <x v="0"/>
    <x v="0"/>
    <x v="0"/>
    <x v="9"/>
    <x v="18"/>
    <s v="SE2_OTHER"/>
    <x v="1"/>
    <x v="234"/>
    <x v="0"/>
    <x v="8"/>
    <n v="18.156787526881601"/>
    <n v="6627.2274473117704"/>
    <n v="23858.018810322399"/>
  </r>
  <r>
    <x v="0"/>
    <x v="0"/>
    <x v="0"/>
    <x v="9"/>
    <x v="18"/>
    <s v="SE2_OTHER"/>
    <x v="1"/>
    <x v="234"/>
    <x v="0"/>
    <x v="0"/>
    <n v="18.156787526881601"/>
    <n v="6627.2274473117704"/>
    <n v="23858.018810322399"/>
  </r>
  <r>
    <x v="0"/>
    <x v="0"/>
    <x v="0"/>
    <x v="9"/>
    <x v="18"/>
    <s v="SE2_OTHER"/>
    <x v="1"/>
    <x v="234"/>
    <x v="0"/>
    <x v="1"/>
    <n v="18.156787526881601"/>
    <n v="6627.2274473117704"/>
    <n v="23858.018810322399"/>
  </r>
  <r>
    <x v="0"/>
    <x v="0"/>
    <x v="0"/>
    <x v="9"/>
    <x v="18"/>
    <s v="SE2_OTHER"/>
    <x v="1"/>
    <x v="234"/>
    <x v="0"/>
    <x v="2"/>
    <n v="18.156787526881601"/>
    <n v="6627.2274473117704"/>
    <n v="23858.018810322399"/>
  </r>
  <r>
    <x v="0"/>
    <x v="0"/>
    <x v="0"/>
    <x v="9"/>
    <x v="18"/>
    <s v="SE2_OTHER"/>
    <x v="1"/>
    <x v="234"/>
    <x v="0"/>
    <x v="9"/>
    <n v="18.156787526881601"/>
    <n v="6627.2274473117704"/>
    <n v="23858.018810322399"/>
  </r>
  <r>
    <x v="0"/>
    <x v="0"/>
    <x v="0"/>
    <x v="9"/>
    <x v="18"/>
    <s v="SE2_OTHER"/>
    <x v="1"/>
    <x v="234"/>
    <x v="0"/>
    <x v="10"/>
    <n v="18.156787526881601"/>
    <n v="6627.2274473117704"/>
    <n v="23858.018810322399"/>
  </r>
  <r>
    <x v="0"/>
    <x v="0"/>
    <x v="0"/>
    <x v="9"/>
    <x v="18"/>
    <s v="SE2_OTHER"/>
    <x v="1"/>
    <x v="234"/>
    <x v="0"/>
    <x v="11"/>
    <n v="18.156787526881601"/>
    <n v="6627.2274473117704"/>
    <n v="23858.018810322399"/>
  </r>
  <r>
    <x v="0"/>
    <x v="0"/>
    <x v="0"/>
    <x v="9"/>
    <x v="18"/>
    <s v="SE2_OTHER"/>
    <x v="1"/>
    <x v="234"/>
    <x v="0"/>
    <x v="12"/>
    <n v="18.156787526881601"/>
    <n v="6627.2274473117704"/>
    <n v="23858.018810322399"/>
  </r>
  <r>
    <x v="0"/>
    <x v="0"/>
    <x v="0"/>
    <x v="9"/>
    <x v="18"/>
    <s v="SE2_OTHER"/>
    <x v="1"/>
    <x v="234"/>
    <x v="0"/>
    <x v="13"/>
    <n v="18.156787526881601"/>
    <n v="6627.2274473117704"/>
    <n v="23858.018810322399"/>
  </r>
  <r>
    <x v="0"/>
    <x v="0"/>
    <x v="0"/>
    <x v="9"/>
    <x v="18"/>
    <s v="SE2_OTHER"/>
    <x v="1"/>
    <x v="234"/>
    <x v="0"/>
    <x v="14"/>
    <n v="18.156787526881601"/>
    <n v="6627.2274473117704"/>
    <n v="23858.018810322399"/>
  </r>
  <r>
    <x v="0"/>
    <x v="0"/>
    <x v="0"/>
    <x v="9"/>
    <x v="18"/>
    <s v="SE2_OTHER"/>
    <x v="1"/>
    <x v="234"/>
    <x v="0"/>
    <x v="15"/>
    <n v="18.156787526881601"/>
    <n v="6627.2274473117704"/>
    <n v="23858.018810322399"/>
  </r>
  <r>
    <x v="0"/>
    <x v="0"/>
    <x v="0"/>
    <x v="9"/>
    <x v="18"/>
    <s v="SE2_OTHER"/>
    <x v="1"/>
    <x v="234"/>
    <x v="0"/>
    <x v="16"/>
    <n v="18.156787526881601"/>
    <n v="6627.2274473117704"/>
    <n v="23858.018810322399"/>
  </r>
  <r>
    <x v="0"/>
    <x v="0"/>
    <x v="0"/>
    <x v="9"/>
    <x v="18"/>
    <s v="SE2_OTHER"/>
    <x v="1"/>
    <x v="234"/>
    <x v="0"/>
    <x v="17"/>
    <n v="18.156787526881601"/>
    <n v="6627.2274473117704"/>
    <n v="23858.018810322399"/>
  </r>
  <r>
    <x v="0"/>
    <x v="0"/>
    <x v="0"/>
    <x v="9"/>
    <x v="18"/>
    <s v="SE2_OTHER"/>
    <x v="1"/>
    <x v="234"/>
    <x v="0"/>
    <x v="18"/>
    <n v="18.156787526881601"/>
    <n v="6627.2274473117704"/>
    <n v="23858.018810322399"/>
  </r>
  <r>
    <x v="0"/>
    <x v="0"/>
    <x v="0"/>
    <x v="9"/>
    <x v="18"/>
    <s v="SE2_OTHER"/>
    <x v="1"/>
    <x v="234"/>
    <x v="0"/>
    <x v="19"/>
    <n v="18.156787526881601"/>
    <n v="6627.2274473117704"/>
    <n v="23858.018810322399"/>
  </r>
  <r>
    <x v="0"/>
    <x v="0"/>
    <x v="0"/>
    <x v="9"/>
    <x v="18"/>
    <s v="SE2_OTHER"/>
    <x v="1"/>
    <x v="234"/>
    <x v="0"/>
    <x v="20"/>
    <n v="18.156787526881601"/>
    <n v="6627.2274473117704"/>
    <n v="23858.018810322399"/>
  </r>
  <r>
    <x v="0"/>
    <x v="0"/>
    <x v="0"/>
    <x v="9"/>
    <x v="18"/>
    <s v="SE2_OTHER"/>
    <x v="1"/>
    <x v="234"/>
    <x v="0"/>
    <x v="21"/>
    <n v="18.156787526881601"/>
    <n v="6627.2274473117704"/>
    <n v="23858.018810322399"/>
  </r>
  <r>
    <x v="0"/>
    <x v="0"/>
    <x v="0"/>
    <x v="9"/>
    <x v="18"/>
    <s v="SE2_OTHER"/>
    <x v="1"/>
    <x v="234"/>
    <x v="0"/>
    <x v="22"/>
    <n v="18.156787526881601"/>
    <n v="6627.2274473117704"/>
    <n v="23858.018810322399"/>
  </r>
  <r>
    <x v="0"/>
    <x v="0"/>
    <x v="0"/>
    <x v="9"/>
    <x v="18"/>
    <s v="SE2_OTHER"/>
    <x v="1"/>
    <x v="234"/>
    <x v="0"/>
    <x v="23"/>
    <n v="18.156787526881601"/>
    <n v="6627.2274473117704"/>
    <n v="23858.018810322399"/>
  </r>
  <r>
    <x v="0"/>
    <x v="0"/>
    <x v="0"/>
    <x v="9"/>
    <x v="18"/>
    <s v="SE2_OTHER"/>
    <x v="4"/>
    <x v="108"/>
    <x v="0"/>
    <x v="3"/>
    <n v="16.031295787545702"/>
    <n v="5851.4229624541904"/>
    <n v="21065.1226648351"/>
  </r>
  <r>
    <x v="0"/>
    <x v="0"/>
    <x v="0"/>
    <x v="9"/>
    <x v="18"/>
    <s v="SE2_OTHER"/>
    <x v="4"/>
    <x v="108"/>
    <x v="0"/>
    <x v="4"/>
    <n v="16.031295787545702"/>
    <n v="5851.4229624541904"/>
    <n v="21065.1226648351"/>
  </r>
  <r>
    <x v="0"/>
    <x v="0"/>
    <x v="0"/>
    <x v="9"/>
    <x v="18"/>
    <s v="SE2_OTHER"/>
    <x v="4"/>
    <x v="108"/>
    <x v="0"/>
    <x v="5"/>
    <n v="16.031295787545702"/>
    <n v="5851.4229624541904"/>
    <n v="21065.1226648351"/>
  </r>
  <r>
    <x v="0"/>
    <x v="0"/>
    <x v="0"/>
    <x v="9"/>
    <x v="18"/>
    <s v="SE2_OTHER"/>
    <x v="4"/>
    <x v="108"/>
    <x v="0"/>
    <x v="6"/>
    <n v="16.031295787545702"/>
    <n v="5851.4229624541904"/>
    <n v="21065.1226648351"/>
  </r>
  <r>
    <x v="0"/>
    <x v="0"/>
    <x v="0"/>
    <x v="9"/>
    <x v="18"/>
    <s v="SE2_OTHER"/>
    <x v="4"/>
    <x v="108"/>
    <x v="0"/>
    <x v="7"/>
    <n v="16.031295787545702"/>
    <n v="5851.4229624541904"/>
    <n v="21065.1226648351"/>
  </r>
  <r>
    <x v="0"/>
    <x v="0"/>
    <x v="0"/>
    <x v="9"/>
    <x v="18"/>
    <s v="SE2_OTHER"/>
    <x v="4"/>
    <x v="108"/>
    <x v="0"/>
    <x v="8"/>
    <n v="16.031295787545702"/>
    <n v="5851.4229624541904"/>
    <n v="21065.1226648351"/>
  </r>
  <r>
    <x v="0"/>
    <x v="0"/>
    <x v="0"/>
    <x v="9"/>
    <x v="18"/>
    <s v="SE2_OTHER"/>
    <x v="4"/>
    <x v="108"/>
    <x v="0"/>
    <x v="0"/>
    <n v="16.031295787545702"/>
    <n v="5851.4229624541904"/>
    <n v="21065.1226648351"/>
  </r>
  <r>
    <x v="0"/>
    <x v="0"/>
    <x v="0"/>
    <x v="9"/>
    <x v="18"/>
    <s v="SE2_OTHER"/>
    <x v="4"/>
    <x v="108"/>
    <x v="0"/>
    <x v="1"/>
    <n v="16.031295787545702"/>
    <n v="5851.4229624541904"/>
    <n v="21065.1226648351"/>
  </r>
  <r>
    <x v="0"/>
    <x v="0"/>
    <x v="0"/>
    <x v="9"/>
    <x v="18"/>
    <s v="SE2_OTHER"/>
    <x v="4"/>
    <x v="108"/>
    <x v="0"/>
    <x v="2"/>
    <n v="16.031295787545702"/>
    <n v="5851.4229624541904"/>
    <n v="21065.1226648351"/>
  </r>
  <r>
    <x v="0"/>
    <x v="0"/>
    <x v="0"/>
    <x v="9"/>
    <x v="18"/>
    <s v="SE2_OTHER"/>
    <x v="4"/>
    <x v="108"/>
    <x v="0"/>
    <x v="9"/>
    <n v="16.031295787545702"/>
    <n v="5851.4229624541904"/>
    <n v="21065.1226648351"/>
  </r>
  <r>
    <x v="0"/>
    <x v="0"/>
    <x v="0"/>
    <x v="9"/>
    <x v="18"/>
    <s v="SE2_OTHER"/>
    <x v="4"/>
    <x v="108"/>
    <x v="0"/>
    <x v="10"/>
    <n v="16.031295787545702"/>
    <n v="5851.4229624541904"/>
    <n v="21065.1226648351"/>
  </r>
  <r>
    <x v="0"/>
    <x v="0"/>
    <x v="0"/>
    <x v="9"/>
    <x v="18"/>
    <s v="SE2_OTHER"/>
    <x v="4"/>
    <x v="108"/>
    <x v="0"/>
    <x v="11"/>
    <n v="16.031295787545702"/>
    <n v="5851.4229624541904"/>
    <n v="21065.1226648351"/>
  </r>
  <r>
    <x v="0"/>
    <x v="0"/>
    <x v="0"/>
    <x v="9"/>
    <x v="18"/>
    <s v="SE2_OTHER"/>
    <x v="4"/>
    <x v="108"/>
    <x v="0"/>
    <x v="12"/>
    <n v="16.031295787545702"/>
    <n v="5851.4229624541904"/>
    <n v="21065.1226648351"/>
  </r>
  <r>
    <x v="0"/>
    <x v="0"/>
    <x v="0"/>
    <x v="9"/>
    <x v="18"/>
    <s v="SE2_OTHER"/>
    <x v="4"/>
    <x v="108"/>
    <x v="0"/>
    <x v="13"/>
    <n v="16.031295787545702"/>
    <n v="5851.4229624541904"/>
    <n v="21065.1226648351"/>
  </r>
  <r>
    <x v="0"/>
    <x v="0"/>
    <x v="0"/>
    <x v="9"/>
    <x v="18"/>
    <s v="SE2_OTHER"/>
    <x v="4"/>
    <x v="108"/>
    <x v="0"/>
    <x v="14"/>
    <n v="16.031295787545702"/>
    <n v="5851.4229624541904"/>
    <n v="21065.1226648351"/>
  </r>
  <r>
    <x v="0"/>
    <x v="0"/>
    <x v="0"/>
    <x v="9"/>
    <x v="18"/>
    <s v="SE2_OTHER"/>
    <x v="4"/>
    <x v="108"/>
    <x v="0"/>
    <x v="15"/>
    <n v="16.031295787545702"/>
    <n v="5851.4229624541904"/>
    <n v="21065.1226648351"/>
  </r>
  <r>
    <x v="0"/>
    <x v="0"/>
    <x v="0"/>
    <x v="9"/>
    <x v="18"/>
    <s v="SE2_OTHER"/>
    <x v="4"/>
    <x v="108"/>
    <x v="0"/>
    <x v="16"/>
    <n v="16.031295787545702"/>
    <n v="5851.4229624541904"/>
    <n v="21065.1226648351"/>
  </r>
  <r>
    <x v="0"/>
    <x v="0"/>
    <x v="0"/>
    <x v="9"/>
    <x v="18"/>
    <s v="SE2_OTHER"/>
    <x v="4"/>
    <x v="108"/>
    <x v="0"/>
    <x v="17"/>
    <n v="16.031295787545702"/>
    <n v="5851.4229624541904"/>
    <n v="21065.1226648351"/>
  </r>
  <r>
    <x v="0"/>
    <x v="0"/>
    <x v="0"/>
    <x v="9"/>
    <x v="18"/>
    <s v="SE2_OTHER"/>
    <x v="4"/>
    <x v="108"/>
    <x v="0"/>
    <x v="18"/>
    <n v="16.031295787545702"/>
    <n v="5851.4229624541904"/>
    <n v="21065.1226648351"/>
  </r>
  <r>
    <x v="0"/>
    <x v="0"/>
    <x v="0"/>
    <x v="9"/>
    <x v="18"/>
    <s v="SE2_OTHER"/>
    <x v="4"/>
    <x v="108"/>
    <x v="0"/>
    <x v="19"/>
    <n v="16.031295787545702"/>
    <n v="5851.4229624541904"/>
    <n v="21065.1226648351"/>
  </r>
  <r>
    <x v="0"/>
    <x v="0"/>
    <x v="0"/>
    <x v="9"/>
    <x v="18"/>
    <s v="SE2_OTHER"/>
    <x v="4"/>
    <x v="108"/>
    <x v="0"/>
    <x v="20"/>
    <n v="16.031295787545702"/>
    <n v="5851.4229624541904"/>
    <n v="21065.1226648351"/>
  </r>
  <r>
    <x v="0"/>
    <x v="0"/>
    <x v="0"/>
    <x v="9"/>
    <x v="18"/>
    <s v="SE2_OTHER"/>
    <x v="4"/>
    <x v="108"/>
    <x v="0"/>
    <x v="21"/>
    <n v="16.031295787545702"/>
    <n v="5851.4229624541904"/>
    <n v="21065.1226648351"/>
  </r>
  <r>
    <x v="0"/>
    <x v="0"/>
    <x v="0"/>
    <x v="9"/>
    <x v="18"/>
    <s v="SE2_OTHER"/>
    <x v="4"/>
    <x v="108"/>
    <x v="0"/>
    <x v="22"/>
    <n v="16.031295787545702"/>
    <n v="5851.4229624541904"/>
    <n v="21065.1226648351"/>
  </r>
  <r>
    <x v="0"/>
    <x v="0"/>
    <x v="0"/>
    <x v="9"/>
    <x v="18"/>
    <s v="SE2_OTHER"/>
    <x v="4"/>
    <x v="108"/>
    <x v="0"/>
    <x v="23"/>
    <n v="16.031295787545702"/>
    <n v="5851.4229624541904"/>
    <n v="21065.1226648351"/>
  </r>
  <r>
    <x v="0"/>
    <x v="0"/>
    <x v="0"/>
    <x v="9"/>
    <x v="18"/>
    <s v="SE2_OTHER"/>
    <x v="10"/>
    <x v="236"/>
    <x v="0"/>
    <x v="3"/>
    <n v="187.07263396517001"/>
    <n v="68281.511397287002"/>
    <n v="245813.44103023299"/>
  </r>
  <r>
    <x v="0"/>
    <x v="0"/>
    <x v="0"/>
    <x v="9"/>
    <x v="18"/>
    <s v="SE2_OTHER"/>
    <x v="10"/>
    <x v="236"/>
    <x v="0"/>
    <x v="4"/>
    <n v="187.07263396517001"/>
    <n v="68281.511397287002"/>
    <n v="245813.44103023299"/>
  </r>
  <r>
    <x v="0"/>
    <x v="0"/>
    <x v="0"/>
    <x v="9"/>
    <x v="18"/>
    <s v="SE2_OTHER"/>
    <x v="10"/>
    <x v="236"/>
    <x v="0"/>
    <x v="5"/>
    <n v="187.07263396517001"/>
    <n v="68281.511397287002"/>
    <n v="245813.44103023299"/>
  </r>
  <r>
    <x v="0"/>
    <x v="0"/>
    <x v="0"/>
    <x v="9"/>
    <x v="18"/>
    <s v="SE2_OTHER"/>
    <x v="10"/>
    <x v="236"/>
    <x v="0"/>
    <x v="6"/>
    <n v="187.07263396517001"/>
    <n v="68281.511397287002"/>
    <n v="245813.44103023299"/>
  </r>
  <r>
    <x v="0"/>
    <x v="0"/>
    <x v="0"/>
    <x v="9"/>
    <x v="18"/>
    <s v="SE2_OTHER"/>
    <x v="10"/>
    <x v="236"/>
    <x v="0"/>
    <x v="7"/>
    <n v="187.07263396517001"/>
    <n v="68281.511397287002"/>
    <n v="245813.44103023299"/>
  </r>
  <r>
    <x v="0"/>
    <x v="0"/>
    <x v="0"/>
    <x v="9"/>
    <x v="18"/>
    <s v="SE2_OTHER"/>
    <x v="10"/>
    <x v="236"/>
    <x v="0"/>
    <x v="8"/>
    <n v="187.07263396517001"/>
    <n v="68281.511397287002"/>
    <n v="245813.44103023299"/>
  </r>
  <r>
    <x v="0"/>
    <x v="0"/>
    <x v="0"/>
    <x v="9"/>
    <x v="18"/>
    <s v="SE2_OTHER"/>
    <x v="10"/>
    <x v="236"/>
    <x v="0"/>
    <x v="0"/>
    <n v="187.07263396517001"/>
    <n v="68281.511397287002"/>
    <n v="245813.44103023299"/>
  </r>
  <r>
    <x v="0"/>
    <x v="0"/>
    <x v="0"/>
    <x v="9"/>
    <x v="18"/>
    <s v="SE2_OTHER"/>
    <x v="10"/>
    <x v="236"/>
    <x v="0"/>
    <x v="1"/>
    <n v="187.07263396517001"/>
    <n v="68281.511397287002"/>
    <n v="245813.44103023299"/>
  </r>
  <r>
    <x v="0"/>
    <x v="0"/>
    <x v="0"/>
    <x v="9"/>
    <x v="18"/>
    <s v="SE2_OTHER"/>
    <x v="10"/>
    <x v="236"/>
    <x v="0"/>
    <x v="2"/>
    <n v="187.07263396517001"/>
    <n v="68281.511397287002"/>
    <n v="245813.44103023299"/>
  </r>
  <r>
    <x v="0"/>
    <x v="0"/>
    <x v="0"/>
    <x v="9"/>
    <x v="18"/>
    <s v="SE2_OTHER"/>
    <x v="10"/>
    <x v="236"/>
    <x v="0"/>
    <x v="9"/>
    <n v="187.07263396517001"/>
    <n v="68281.511397287002"/>
    <n v="245813.44103023299"/>
  </r>
  <r>
    <x v="0"/>
    <x v="0"/>
    <x v="0"/>
    <x v="9"/>
    <x v="18"/>
    <s v="SE2_OTHER"/>
    <x v="10"/>
    <x v="236"/>
    <x v="0"/>
    <x v="10"/>
    <n v="187.07263396517001"/>
    <n v="68281.511397287002"/>
    <n v="245813.44103023299"/>
  </r>
  <r>
    <x v="0"/>
    <x v="0"/>
    <x v="0"/>
    <x v="9"/>
    <x v="18"/>
    <s v="SE2_OTHER"/>
    <x v="10"/>
    <x v="236"/>
    <x v="0"/>
    <x v="11"/>
    <n v="187.07263396517001"/>
    <n v="68281.511397287002"/>
    <n v="245813.44103023299"/>
  </r>
  <r>
    <x v="0"/>
    <x v="0"/>
    <x v="0"/>
    <x v="9"/>
    <x v="18"/>
    <s v="SE2_OTHER"/>
    <x v="10"/>
    <x v="236"/>
    <x v="0"/>
    <x v="12"/>
    <n v="187.07263396517001"/>
    <n v="68281.511397287002"/>
    <n v="245813.44103023299"/>
  </r>
  <r>
    <x v="0"/>
    <x v="0"/>
    <x v="0"/>
    <x v="9"/>
    <x v="18"/>
    <s v="SE2_OTHER"/>
    <x v="10"/>
    <x v="236"/>
    <x v="0"/>
    <x v="13"/>
    <n v="187.07263396517001"/>
    <n v="68281.511397287002"/>
    <n v="245813.44103023299"/>
  </r>
  <r>
    <x v="0"/>
    <x v="0"/>
    <x v="0"/>
    <x v="9"/>
    <x v="18"/>
    <s v="SE2_OTHER"/>
    <x v="10"/>
    <x v="236"/>
    <x v="0"/>
    <x v="14"/>
    <n v="187.07263396517001"/>
    <n v="68281.511397287002"/>
    <n v="245813.44103023299"/>
  </r>
  <r>
    <x v="0"/>
    <x v="0"/>
    <x v="0"/>
    <x v="9"/>
    <x v="18"/>
    <s v="SE2_OTHER"/>
    <x v="10"/>
    <x v="236"/>
    <x v="0"/>
    <x v="15"/>
    <n v="187.07263396517001"/>
    <n v="68281.511397287002"/>
    <n v="245813.44103023299"/>
  </r>
  <r>
    <x v="0"/>
    <x v="0"/>
    <x v="0"/>
    <x v="9"/>
    <x v="18"/>
    <s v="SE2_OTHER"/>
    <x v="10"/>
    <x v="236"/>
    <x v="0"/>
    <x v="16"/>
    <n v="187.07263396517001"/>
    <n v="68281.511397287002"/>
    <n v="245813.44103023299"/>
  </r>
  <r>
    <x v="0"/>
    <x v="0"/>
    <x v="0"/>
    <x v="9"/>
    <x v="18"/>
    <s v="SE2_OTHER"/>
    <x v="10"/>
    <x v="236"/>
    <x v="0"/>
    <x v="17"/>
    <n v="187.07263396517001"/>
    <n v="68281.511397287002"/>
    <n v="245813.44103023299"/>
  </r>
  <r>
    <x v="0"/>
    <x v="0"/>
    <x v="0"/>
    <x v="9"/>
    <x v="18"/>
    <s v="SE2_OTHER"/>
    <x v="10"/>
    <x v="236"/>
    <x v="0"/>
    <x v="18"/>
    <n v="187.07263396517001"/>
    <n v="68281.511397287002"/>
    <n v="245813.44103023299"/>
  </r>
  <r>
    <x v="0"/>
    <x v="0"/>
    <x v="0"/>
    <x v="9"/>
    <x v="18"/>
    <s v="SE2_OTHER"/>
    <x v="10"/>
    <x v="236"/>
    <x v="0"/>
    <x v="19"/>
    <n v="187.07263396517001"/>
    <n v="68281.511397287002"/>
    <n v="245813.44103023299"/>
  </r>
  <r>
    <x v="0"/>
    <x v="0"/>
    <x v="0"/>
    <x v="9"/>
    <x v="18"/>
    <s v="SE2_OTHER"/>
    <x v="10"/>
    <x v="236"/>
    <x v="0"/>
    <x v="20"/>
    <n v="187.07263396517001"/>
    <n v="68281.511397287002"/>
    <n v="245813.44103023299"/>
  </r>
  <r>
    <x v="0"/>
    <x v="0"/>
    <x v="0"/>
    <x v="9"/>
    <x v="18"/>
    <s v="SE2_OTHER"/>
    <x v="10"/>
    <x v="236"/>
    <x v="0"/>
    <x v="21"/>
    <n v="187.07263396517001"/>
    <n v="68281.511397287002"/>
    <n v="245813.44103023299"/>
  </r>
  <r>
    <x v="0"/>
    <x v="0"/>
    <x v="0"/>
    <x v="9"/>
    <x v="18"/>
    <s v="SE2_OTHER"/>
    <x v="10"/>
    <x v="236"/>
    <x v="0"/>
    <x v="22"/>
    <n v="187.07263396517001"/>
    <n v="68281.511397287002"/>
    <n v="245813.44103023299"/>
  </r>
  <r>
    <x v="0"/>
    <x v="0"/>
    <x v="0"/>
    <x v="9"/>
    <x v="18"/>
    <s v="SE2_OTHER"/>
    <x v="10"/>
    <x v="236"/>
    <x v="0"/>
    <x v="23"/>
    <n v="187.07263396517001"/>
    <n v="68281.511397287002"/>
    <n v="245813.44103023299"/>
  </r>
  <r>
    <x v="0"/>
    <x v="0"/>
    <x v="0"/>
    <x v="9"/>
    <x v="18"/>
    <s v="SE2_OTHER"/>
    <x v="10"/>
    <x v="111"/>
    <x v="0"/>
    <x v="3"/>
    <n v="15.693015512132501"/>
    <n v="5727.9506619283502"/>
    <n v="20620.6223829421"/>
  </r>
  <r>
    <x v="0"/>
    <x v="0"/>
    <x v="0"/>
    <x v="9"/>
    <x v="18"/>
    <s v="SE2_OTHER"/>
    <x v="10"/>
    <x v="111"/>
    <x v="0"/>
    <x v="4"/>
    <n v="13.9567785806058"/>
    <n v="5094.2241819211204"/>
    <n v="18339.207054916002"/>
  </r>
  <r>
    <x v="0"/>
    <x v="0"/>
    <x v="0"/>
    <x v="9"/>
    <x v="18"/>
    <s v="SE2_OTHER"/>
    <x v="10"/>
    <x v="111"/>
    <x v="0"/>
    <x v="5"/>
    <n v="16.475640730271799"/>
    <n v="6013.6088665492098"/>
    <n v="21648.991919577202"/>
  </r>
  <r>
    <x v="0"/>
    <x v="0"/>
    <x v="0"/>
    <x v="9"/>
    <x v="18"/>
    <s v="SE2_OTHER"/>
    <x v="10"/>
    <x v="111"/>
    <x v="0"/>
    <x v="6"/>
    <n v="22.244811082014401"/>
    <n v="8119.3560449352599"/>
    <n v="29229.6817617669"/>
  </r>
  <r>
    <x v="0"/>
    <x v="0"/>
    <x v="0"/>
    <x v="9"/>
    <x v="18"/>
    <s v="SE2_OTHER"/>
    <x v="10"/>
    <x v="111"/>
    <x v="0"/>
    <x v="7"/>
    <n v="29.539374151641201"/>
    <n v="10781.871565349"/>
    <n v="38814.737635256497"/>
  </r>
  <r>
    <x v="0"/>
    <x v="0"/>
    <x v="0"/>
    <x v="9"/>
    <x v="18"/>
    <s v="SE2_OTHER"/>
    <x v="10"/>
    <x v="111"/>
    <x v="0"/>
    <x v="8"/>
    <n v="43.166133757590501"/>
    <n v="15755.638821520501"/>
    <n v="56720.299757473898"/>
  </r>
  <r>
    <x v="0"/>
    <x v="0"/>
    <x v="0"/>
    <x v="9"/>
    <x v="18"/>
    <s v="SE2_OTHER"/>
    <x v="10"/>
    <x v="111"/>
    <x v="0"/>
    <x v="0"/>
    <n v="79.0417999362042"/>
    <n v="28850.2569767145"/>
    <n v="103860.925116172"/>
  </r>
  <r>
    <x v="0"/>
    <x v="0"/>
    <x v="0"/>
    <x v="9"/>
    <x v="18"/>
    <s v="SE2_OTHER"/>
    <x v="10"/>
    <x v="111"/>
    <x v="0"/>
    <x v="1"/>
    <n v="97.632663725589097"/>
    <n v="35635.922259840001"/>
    <n v="128289.320135424"/>
  </r>
  <r>
    <x v="0"/>
    <x v="0"/>
    <x v="0"/>
    <x v="9"/>
    <x v="18"/>
    <s v="SE2_OTHER"/>
    <x v="10"/>
    <x v="111"/>
    <x v="0"/>
    <x v="2"/>
    <n v="98.832716049353195"/>
    <n v="36073.941358013901"/>
    <n v="129866.18888885"/>
  </r>
  <r>
    <x v="0"/>
    <x v="0"/>
    <x v="0"/>
    <x v="9"/>
    <x v="18"/>
    <s v="SE2_OTHER"/>
    <x v="10"/>
    <x v="111"/>
    <x v="0"/>
    <x v="9"/>
    <n v="102.500542380846"/>
    <n v="37412.697969008899"/>
    <n v="134685.71268843199"/>
  </r>
  <r>
    <x v="0"/>
    <x v="0"/>
    <x v="0"/>
    <x v="9"/>
    <x v="18"/>
    <s v="SE2_OTHER"/>
    <x v="10"/>
    <x v="111"/>
    <x v="0"/>
    <x v="10"/>
    <n v="98.526324252044304"/>
    <n v="35962.108351996198"/>
    <n v="129463.590067186"/>
  </r>
  <r>
    <x v="0"/>
    <x v="0"/>
    <x v="0"/>
    <x v="9"/>
    <x v="18"/>
    <s v="SE2_OTHER"/>
    <x v="10"/>
    <x v="111"/>
    <x v="0"/>
    <x v="11"/>
    <n v="97.956920517612204"/>
    <n v="35754.275988928501"/>
    <n v="128715.39356014199"/>
  </r>
  <r>
    <x v="0"/>
    <x v="0"/>
    <x v="0"/>
    <x v="9"/>
    <x v="18"/>
    <s v="SE2_OTHER"/>
    <x v="10"/>
    <x v="111"/>
    <x v="0"/>
    <x v="12"/>
    <n v="96.9964206522382"/>
    <n v="35403.693538066902"/>
    <n v="127453.296737041"/>
  </r>
  <r>
    <x v="0"/>
    <x v="0"/>
    <x v="0"/>
    <x v="9"/>
    <x v="18"/>
    <s v="SE2_OTHER"/>
    <x v="10"/>
    <x v="111"/>
    <x v="0"/>
    <x v="13"/>
    <n v="96.068179478902493"/>
    <n v="35064.885509799402"/>
    <n v="126233.587835278"/>
  </r>
  <r>
    <x v="0"/>
    <x v="0"/>
    <x v="0"/>
    <x v="9"/>
    <x v="18"/>
    <s v="SE2_OTHER"/>
    <x v="10"/>
    <x v="111"/>
    <x v="0"/>
    <x v="14"/>
    <n v="93.306042247126399"/>
    <n v="34056.705420201099"/>
    <n v="122604.139512724"/>
  </r>
  <r>
    <x v="0"/>
    <x v="0"/>
    <x v="0"/>
    <x v="9"/>
    <x v="18"/>
    <s v="SE2_OTHER"/>
    <x v="10"/>
    <x v="111"/>
    <x v="0"/>
    <x v="15"/>
    <n v="92.8425874132583"/>
    <n v="33887.544405839297"/>
    <n v="121995.15986102101"/>
  </r>
  <r>
    <x v="0"/>
    <x v="0"/>
    <x v="0"/>
    <x v="9"/>
    <x v="18"/>
    <s v="SE2_OTHER"/>
    <x v="10"/>
    <x v="111"/>
    <x v="0"/>
    <x v="16"/>
    <n v="80.525014114171697"/>
    <n v="29391.6301516727"/>
    <n v="105809.868546022"/>
  </r>
  <r>
    <x v="0"/>
    <x v="0"/>
    <x v="0"/>
    <x v="9"/>
    <x v="18"/>
    <s v="SE2_OTHER"/>
    <x v="10"/>
    <x v="111"/>
    <x v="0"/>
    <x v="17"/>
    <n v="71.087534748665703"/>
    <n v="25946.950183263001"/>
    <n v="93409.020659746704"/>
  </r>
  <r>
    <x v="0"/>
    <x v="0"/>
    <x v="0"/>
    <x v="9"/>
    <x v="18"/>
    <s v="SE2_OTHER"/>
    <x v="10"/>
    <x v="111"/>
    <x v="0"/>
    <x v="18"/>
    <n v="62.888463786920603"/>
    <n v="22954.289282226"/>
    <n v="82635.441416013695"/>
  </r>
  <r>
    <x v="0"/>
    <x v="0"/>
    <x v="0"/>
    <x v="9"/>
    <x v="18"/>
    <s v="SE2_OTHER"/>
    <x v="10"/>
    <x v="111"/>
    <x v="0"/>
    <x v="19"/>
    <n v="55.288830945643603"/>
    <n v="20180.423295159901"/>
    <n v="72649.523862575705"/>
  </r>
  <r>
    <x v="0"/>
    <x v="0"/>
    <x v="0"/>
    <x v="9"/>
    <x v="18"/>
    <s v="SE2_OTHER"/>
    <x v="10"/>
    <x v="111"/>
    <x v="0"/>
    <x v="20"/>
    <n v="47.129224159250903"/>
    <n v="17202.1668181266"/>
    <n v="61927.800545255697"/>
  </r>
  <r>
    <x v="0"/>
    <x v="0"/>
    <x v="0"/>
    <x v="9"/>
    <x v="18"/>
    <s v="SE2_OTHER"/>
    <x v="10"/>
    <x v="111"/>
    <x v="0"/>
    <x v="21"/>
    <n v="41.328287282606603"/>
    <n v="15084.8248581514"/>
    <n v="54305.369489345001"/>
  </r>
  <r>
    <x v="0"/>
    <x v="0"/>
    <x v="0"/>
    <x v="9"/>
    <x v="18"/>
    <s v="SE2_OTHER"/>
    <x v="10"/>
    <x v="111"/>
    <x v="0"/>
    <x v="22"/>
    <n v="31.936897678267499"/>
    <n v="11656.9676525676"/>
    <n v="41965.0835492435"/>
  </r>
  <r>
    <x v="0"/>
    <x v="0"/>
    <x v="0"/>
    <x v="9"/>
    <x v="18"/>
    <s v="SE2_OTHER"/>
    <x v="10"/>
    <x v="111"/>
    <x v="0"/>
    <x v="23"/>
    <n v="24.5800868883153"/>
    <n v="8971.7317142350894"/>
    <n v="32298.234171246299"/>
  </r>
  <r>
    <x v="0"/>
    <x v="0"/>
    <x v="0"/>
    <x v="9"/>
    <x v="19"/>
    <s v="SE3A"/>
    <x v="18"/>
    <x v="121"/>
    <x v="0"/>
    <x v="3"/>
    <n v="20784.242750329999"/>
    <n v="7586248.6038704496"/>
    <n v="27310494.9739336"/>
  </r>
  <r>
    <x v="0"/>
    <x v="0"/>
    <x v="0"/>
    <x v="9"/>
    <x v="19"/>
    <s v="SE3A"/>
    <x v="18"/>
    <x v="121"/>
    <x v="0"/>
    <x v="4"/>
    <n v="20784.242750329999"/>
    <n v="7586248.6038704496"/>
    <n v="27310494.9739336"/>
  </r>
  <r>
    <x v="0"/>
    <x v="0"/>
    <x v="0"/>
    <x v="9"/>
    <x v="19"/>
    <s v="SE3A"/>
    <x v="18"/>
    <x v="121"/>
    <x v="0"/>
    <x v="5"/>
    <n v="20784.242750329999"/>
    <n v="7586248.6038704496"/>
    <n v="27310494.9739336"/>
  </r>
  <r>
    <x v="0"/>
    <x v="0"/>
    <x v="0"/>
    <x v="9"/>
    <x v="19"/>
    <s v="SE3A"/>
    <x v="18"/>
    <x v="121"/>
    <x v="0"/>
    <x v="6"/>
    <n v="20784.242750329999"/>
    <n v="7586248.6038704496"/>
    <n v="27310494.9739336"/>
  </r>
  <r>
    <x v="0"/>
    <x v="0"/>
    <x v="0"/>
    <x v="9"/>
    <x v="19"/>
    <s v="SE3A"/>
    <x v="18"/>
    <x v="121"/>
    <x v="0"/>
    <x v="7"/>
    <n v="20784.242750329999"/>
    <n v="7586248.6038704496"/>
    <n v="27310494.9739336"/>
  </r>
  <r>
    <x v="0"/>
    <x v="0"/>
    <x v="0"/>
    <x v="9"/>
    <x v="19"/>
    <s v="SE3A"/>
    <x v="18"/>
    <x v="121"/>
    <x v="0"/>
    <x v="8"/>
    <n v="20784.242750329999"/>
    <n v="7586248.6038704496"/>
    <n v="27310494.9739336"/>
  </r>
  <r>
    <x v="0"/>
    <x v="0"/>
    <x v="0"/>
    <x v="9"/>
    <x v="19"/>
    <s v="SE3A"/>
    <x v="18"/>
    <x v="121"/>
    <x v="0"/>
    <x v="0"/>
    <n v="20784.242750329999"/>
    <n v="7586248.6038704496"/>
    <n v="27310494.9739336"/>
  </r>
  <r>
    <x v="0"/>
    <x v="0"/>
    <x v="0"/>
    <x v="9"/>
    <x v="19"/>
    <s v="SE3A"/>
    <x v="18"/>
    <x v="121"/>
    <x v="0"/>
    <x v="1"/>
    <n v="20784.242750329999"/>
    <n v="7586248.6038704496"/>
    <n v="27310494.9739336"/>
  </r>
  <r>
    <x v="0"/>
    <x v="0"/>
    <x v="0"/>
    <x v="9"/>
    <x v="19"/>
    <s v="SE3A"/>
    <x v="18"/>
    <x v="121"/>
    <x v="0"/>
    <x v="2"/>
    <n v="20784.242750329999"/>
    <n v="7586248.6038704496"/>
    <n v="27310494.9739336"/>
  </r>
  <r>
    <x v="0"/>
    <x v="0"/>
    <x v="0"/>
    <x v="9"/>
    <x v="19"/>
    <s v="SE3A"/>
    <x v="18"/>
    <x v="121"/>
    <x v="0"/>
    <x v="9"/>
    <n v="20784.242750329999"/>
    <n v="7586248.6038704496"/>
    <n v="27310494.9739336"/>
  </r>
  <r>
    <x v="0"/>
    <x v="0"/>
    <x v="0"/>
    <x v="9"/>
    <x v="19"/>
    <s v="SE3A"/>
    <x v="18"/>
    <x v="121"/>
    <x v="0"/>
    <x v="10"/>
    <n v="20784.242750329999"/>
    <n v="7586248.6038704496"/>
    <n v="27310494.9739336"/>
  </r>
  <r>
    <x v="0"/>
    <x v="0"/>
    <x v="0"/>
    <x v="9"/>
    <x v="19"/>
    <s v="SE3A"/>
    <x v="18"/>
    <x v="121"/>
    <x v="0"/>
    <x v="11"/>
    <n v="20784.242750329999"/>
    <n v="7586248.6038704496"/>
    <n v="27310494.9739336"/>
  </r>
  <r>
    <x v="0"/>
    <x v="0"/>
    <x v="0"/>
    <x v="9"/>
    <x v="19"/>
    <s v="SE3A"/>
    <x v="18"/>
    <x v="121"/>
    <x v="0"/>
    <x v="12"/>
    <n v="20784.242750329999"/>
    <n v="7586248.6038704496"/>
    <n v="27310494.9739336"/>
  </r>
  <r>
    <x v="0"/>
    <x v="0"/>
    <x v="0"/>
    <x v="9"/>
    <x v="19"/>
    <s v="SE3A"/>
    <x v="18"/>
    <x v="121"/>
    <x v="0"/>
    <x v="13"/>
    <n v="20784.242750329999"/>
    <n v="7586248.6038704496"/>
    <n v="27310494.9739336"/>
  </r>
  <r>
    <x v="0"/>
    <x v="0"/>
    <x v="0"/>
    <x v="9"/>
    <x v="19"/>
    <s v="SE3A"/>
    <x v="18"/>
    <x v="121"/>
    <x v="0"/>
    <x v="14"/>
    <n v="20784.242750329999"/>
    <n v="7586248.6038704496"/>
    <n v="27310494.9739336"/>
  </r>
  <r>
    <x v="0"/>
    <x v="0"/>
    <x v="0"/>
    <x v="9"/>
    <x v="19"/>
    <s v="SE3A"/>
    <x v="18"/>
    <x v="121"/>
    <x v="0"/>
    <x v="15"/>
    <n v="20784.242750329999"/>
    <n v="7586248.6038704496"/>
    <n v="27310494.9739336"/>
  </r>
  <r>
    <x v="0"/>
    <x v="0"/>
    <x v="0"/>
    <x v="9"/>
    <x v="19"/>
    <s v="SE3A"/>
    <x v="18"/>
    <x v="121"/>
    <x v="0"/>
    <x v="16"/>
    <n v="20784.242750329999"/>
    <n v="7586248.6038704496"/>
    <n v="27310494.9739336"/>
  </r>
  <r>
    <x v="0"/>
    <x v="0"/>
    <x v="0"/>
    <x v="9"/>
    <x v="19"/>
    <s v="SE3A"/>
    <x v="18"/>
    <x v="121"/>
    <x v="0"/>
    <x v="17"/>
    <n v="20784.242750329999"/>
    <n v="7586248.6038704496"/>
    <n v="27310494.9739336"/>
  </r>
  <r>
    <x v="0"/>
    <x v="0"/>
    <x v="0"/>
    <x v="9"/>
    <x v="19"/>
    <s v="SE3A"/>
    <x v="18"/>
    <x v="121"/>
    <x v="0"/>
    <x v="18"/>
    <n v="20784.242750329999"/>
    <n v="7586248.6038704496"/>
    <n v="27310494.9739336"/>
  </r>
  <r>
    <x v="0"/>
    <x v="0"/>
    <x v="0"/>
    <x v="9"/>
    <x v="19"/>
    <s v="SE3A"/>
    <x v="18"/>
    <x v="121"/>
    <x v="0"/>
    <x v="19"/>
    <n v="20784.242750329999"/>
    <n v="7586248.6038704496"/>
    <n v="27310494.9739336"/>
  </r>
  <r>
    <x v="0"/>
    <x v="0"/>
    <x v="0"/>
    <x v="9"/>
    <x v="19"/>
    <s v="SE3A"/>
    <x v="18"/>
    <x v="121"/>
    <x v="0"/>
    <x v="20"/>
    <n v="20784.242750329999"/>
    <n v="7586248.6038704496"/>
    <n v="27310494.9739336"/>
  </r>
  <r>
    <x v="0"/>
    <x v="0"/>
    <x v="0"/>
    <x v="9"/>
    <x v="19"/>
    <s v="SE3A"/>
    <x v="18"/>
    <x v="121"/>
    <x v="0"/>
    <x v="21"/>
    <n v="20784.242750329999"/>
    <n v="7586248.6038704496"/>
    <n v="27310494.9739336"/>
  </r>
  <r>
    <x v="0"/>
    <x v="0"/>
    <x v="0"/>
    <x v="9"/>
    <x v="19"/>
    <s v="SE3A"/>
    <x v="18"/>
    <x v="121"/>
    <x v="0"/>
    <x v="22"/>
    <n v="20784.242750329999"/>
    <n v="7586248.6038704496"/>
    <n v="27310494.9739336"/>
  </r>
  <r>
    <x v="0"/>
    <x v="0"/>
    <x v="0"/>
    <x v="9"/>
    <x v="19"/>
    <s v="SE3A"/>
    <x v="18"/>
    <x v="121"/>
    <x v="0"/>
    <x v="23"/>
    <n v="20784.242750329999"/>
    <n v="7586248.6038704496"/>
    <n v="27310494.9739336"/>
  </r>
  <r>
    <x v="0"/>
    <x v="0"/>
    <x v="0"/>
    <x v="9"/>
    <x v="19"/>
    <s v="SE3A"/>
    <x v="7"/>
    <x v="122"/>
    <x v="0"/>
    <x v="7"/>
    <n v="131.6"/>
    <n v="48034"/>
    <n v="172922.4"/>
  </r>
  <r>
    <x v="0"/>
    <x v="0"/>
    <x v="0"/>
    <x v="9"/>
    <x v="19"/>
    <s v="SE3A"/>
    <x v="7"/>
    <x v="122"/>
    <x v="0"/>
    <x v="8"/>
    <n v="131.6"/>
    <n v="48034"/>
    <n v="172922.4"/>
  </r>
  <r>
    <x v="0"/>
    <x v="0"/>
    <x v="0"/>
    <x v="9"/>
    <x v="19"/>
    <s v="SE3A"/>
    <x v="7"/>
    <x v="122"/>
    <x v="0"/>
    <x v="0"/>
    <n v="131.6"/>
    <n v="48034"/>
    <n v="172922.4"/>
  </r>
  <r>
    <x v="0"/>
    <x v="0"/>
    <x v="0"/>
    <x v="9"/>
    <x v="19"/>
    <s v="SE3A"/>
    <x v="7"/>
    <x v="122"/>
    <x v="0"/>
    <x v="1"/>
    <n v="131.6"/>
    <n v="48034"/>
    <n v="172922.4"/>
  </r>
  <r>
    <x v="0"/>
    <x v="0"/>
    <x v="0"/>
    <x v="9"/>
    <x v="19"/>
    <s v="SE3A"/>
    <x v="7"/>
    <x v="122"/>
    <x v="0"/>
    <x v="2"/>
    <n v="131.6"/>
    <n v="48034"/>
    <n v="172922.4"/>
  </r>
  <r>
    <x v="0"/>
    <x v="0"/>
    <x v="0"/>
    <x v="9"/>
    <x v="19"/>
    <s v="SE3A"/>
    <x v="7"/>
    <x v="122"/>
    <x v="0"/>
    <x v="9"/>
    <n v="131.6"/>
    <n v="48034"/>
    <n v="172922.4"/>
  </r>
  <r>
    <x v="0"/>
    <x v="0"/>
    <x v="0"/>
    <x v="9"/>
    <x v="19"/>
    <s v="SE3A"/>
    <x v="7"/>
    <x v="122"/>
    <x v="0"/>
    <x v="10"/>
    <n v="131.6"/>
    <n v="48034"/>
    <n v="172922.4"/>
  </r>
  <r>
    <x v="0"/>
    <x v="0"/>
    <x v="0"/>
    <x v="9"/>
    <x v="19"/>
    <s v="SE3A"/>
    <x v="7"/>
    <x v="122"/>
    <x v="0"/>
    <x v="11"/>
    <n v="131.6"/>
    <n v="48034"/>
    <n v="172922.4"/>
  </r>
  <r>
    <x v="0"/>
    <x v="0"/>
    <x v="0"/>
    <x v="9"/>
    <x v="19"/>
    <s v="SE3A"/>
    <x v="7"/>
    <x v="122"/>
    <x v="0"/>
    <x v="12"/>
    <n v="131.6"/>
    <n v="48034"/>
    <n v="172922.4"/>
  </r>
  <r>
    <x v="0"/>
    <x v="0"/>
    <x v="0"/>
    <x v="9"/>
    <x v="19"/>
    <s v="SE3A"/>
    <x v="7"/>
    <x v="122"/>
    <x v="0"/>
    <x v="13"/>
    <n v="131.6"/>
    <n v="48034"/>
    <n v="172922.4"/>
  </r>
  <r>
    <x v="0"/>
    <x v="0"/>
    <x v="0"/>
    <x v="9"/>
    <x v="19"/>
    <s v="SE3A"/>
    <x v="7"/>
    <x v="122"/>
    <x v="0"/>
    <x v="14"/>
    <n v="131.6"/>
    <n v="48034"/>
    <n v="172922.4"/>
  </r>
  <r>
    <x v="0"/>
    <x v="0"/>
    <x v="0"/>
    <x v="9"/>
    <x v="19"/>
    <s v="SE3A"/>
    <x v="7"/>
    <x v="122"/>
    <x v="0"/>
    <x v="15"/>
    <n v="131.6"/>
    <n v="48034"/>
    <n v="172922.4"/>
  </r>
  <r>
    <x v="0"/>
    <x v="0"/>
    <x v="0"/>
    <x v="9"/>
    <x v="19"/>
    <s v="SE3A"/>
    <x v="7"/>
    <x v="122"/>
    <x v="0"/>
    <x v="16"/>
    <n v="131.6"/>
    <n v="48034"/>
    <n v="172922.4"/>
  </r>
  <r>
    <x v="0"/>
    <x v="0"/>
    <x v="0"/>
    <x v="9"/>
    <x v="19"/>
    <s v="SE3A"/>
    <x v="7"/>
    <x v="122"/>
    <x v="0"/>
    <x v="17"/>
    <n v="131.6"/>
    <n v="48034"/>
    <n v="172922.4"/>
  </r>
  <r>
    <x v="0"/>
    <x v="0"/>
    <x v="0"/>
    <x v="9"/>
    <x v="19"/>
    <s v="SE3A"/>
    <x v="7"/>
    <x v="122"/>
    <x v="0"/>
    <x v="18"/>
    <n v="131.6"/>
    <n v="48034"/>
    <n v="172922.4"/>
  </r>
  <r>
    <x v="0"/>
    <x v="0"/>
    <x v="0"/>
    <x v="9"/>
    <x v="19"/>
    <s v="SE3A"/>
    <x v="7"/>
    <x v="122"/>
    <x v="0"/>
    <x v="19"/>
    <n v="131.6"/>
    <n v="48034"/>
    <n v="172922.4"/>
  </r>
  <r>
    <x v="0"/>
    <x v="0"/>
    <x v="0"/>
    <x v="9"/>
    <x v="19"/>
    <s v="SE3A"/>
    <x v="7"/>
    <x v="122"/>
    <x v="0"/>
    <x v="20"/>
    <n v="131.6"/>
    <n v="48034"/>
    <n v="172922.4"/>
  </r>
  <r>
    <x v="0"/>
    <x v="0"/>
    <x v="0"/>
    <x v="9"/>
    <x v="19"/>
    <s v="SE3A"/>
    <x v="7"/>
    <x v="122"/>
    <x v="0"/>
    <x v="21"/>
    <n v="131.6"/>
    <n v="48034"/>
    <n v="172922.4"/>
  </r>
  <r>
    <x v="0"/>
    <x v="0"/>
    <x v="0"/>
    <x v="9"/>
    <x v="19"/>
    <s v="SE3A"/>
    <x v="7"/>
    <x v="123"/>
    <x v="0"/>
    <x v="8"/>
    <n v="131.6"/>
    <n v="48034"/>
    <n v="172922.4"/>
  </r>
  <r>
    <x v="0"/>
    <x v="0"/>
    <x v="0"/>
    <x v="9"/>
    <x v="19"/>
    <s v="SE3A"/>
    <x v="7"/>
    <x v="123"/>
    <x v="0"/>
    <x v="0"/>
    <n v="131.6"/>
    <n v="48034"/>
    <n v="172922.4"/>
  </r>
  <r>
    <x v="0"/>
    <x v="0"/>
    <x v="0"/>
    <x v="9"/>
    <x v="19"/>
    <s v="SE3A"/>
    <x v="7"/>
    <x v="123"/>
    <x v="0"/>
    <x v="1"/>
    <n v="131.6"/>
    <n v="48034"/>
    <n v="172922.4"/>
  </r>
  <r>
    <x v="0"/>
    <x v="0"/>
    <x v="0"/>
    <x v="9"/>
    <x v="19"/>
    <s v="SE3A"/>
    <x v="7"/>
    <x v="123"/>
    <x v="0"/>
    <x v="2"/>
    <n v="131.6"/>
    <n v="48034"/>
    <n v="172922.4"/>
  </r>
  <r>
    <x v="0"/>
    <x v="0"/>
    <x v="0"/>
    <x v="9"/>
    <x v="19"/>
    <s v="SE3A"/>
    <x v="7"/>
    <x v="123"/>
    <x v="0"/>
    <x v="9"/>
    <n v="131.6"/>
    <n v="48034"/>
    <n v="172922.4"/>
  </r>
  <r>
    <x v="0"/>
    <x v="0"/>
    <x v="0"/>
    <x v="9"/>
    <x v="19"/>
    <s v="SE3A"/>
    <x v="7"/>
    <x v="123"/>
    <x v="0"/>
    <x v="10"/>
    <n v="131.6"/>
    <n v="48034"/>
    <n v="172922.4"/>
  </r>
  <r>
    <x v="0"/>
    <x v="0"/>
    <x v="0"/>
    <x v="9"/>
    <x v="19"/>
    <s v="SE3A"/>
    <x v="7"/>
    <x v="123"/>
    <x v="0"/>
    <x v="11"/>
    <n v="131.6"/>
    <n v="48034"/>
    <n v="172922.4"/>
  </r>
  <r>
    <x v="0"/>
    <x v="0"/>
    <x v="0"/>
    <x v="9"/>
    <x v="19"/>
    <s v="SE3A"/>
    <x v="7"/>
    <x v="123"/>
    <x v="0"/>
    <x v="12"/>
    <n v="131.6"/>
    <n v="48034"/>
    <n v="172922.4"/>
  </r>
  <r>
    <x v="0"/>
    <x v="0"/>
    <x v="0"/>
    <x v="9"/>
    <x v="19"/>
    <s v="SE3A"/>
    <x v="7"/>
    <x v="123"/>
    <x v="0"/>
    <x v="13"/>
    <n v="131.6"/>
    <n v="48034"/>
    <n v="172922.4"/>
  </r>
  <r>
    <x v="0"/>
    <x v="0"/>
    <x v="0"/>
    <x v="9"/>
    <x v="19"/>
    <s v="SE3A"/>
    <x v="7"/>
    <x v="123"/>
    <x v="0"/>
    <x v="14"/>
    <n v="131.6"/>
    <n v="48034"/>
    <n v="172922.4"/>
  </r>
  <r>
    <x v="0"/>
    <x v="0"/>
    <x v="0"/>
    <x v="9"/>
    <x v="19"/>
    <s v="SE3A"/>
    <x v="7"/>
    <x v="123"/>
    <x v="0"/>
    <x v="15"/>
    <n v="131.6"/>
    <n v="48034"/>
    <n v="172922.4"/>
  </r>
  <r>
    <x v="0"/>
    <x v="0"/>
    <x v="0"/>
    <x v="9"/>
    <x v="19"/>
    <s v="SE3A"/>
    <x v="7"/>
    <x v="123"/>
    <x v="0"/>
    <x v="16"/>
    <n v="131.6"/>
    <n v="48034"/>
    <n v="172922.4"/>
  </r>
  <r>
    <x v="0"/>
    <x v="0"/>
    <x v="0"/>
    <x v="9"/>
    <x v="19"/>
    <s v="SE3A"/>
    <x v="7"/>
    <x v="123"/>
    <x v="0"/>
    <x v="17"/>
    <n v="131.6"/>
    <n v="48034"/>
    <n v="172922.4"/>
  </r>
  <r>
    <x v="0"/>
    <x v="0"/>
    <x v="0"/>
    <x v="9"/>
    <x v="19"/>
    <s v="SE3A"/>
    <x v="7"/>
    <x v="123"/>
    <x v="0"/>
    <x v="18"/>
    <n v="131.6"/>
    <n v="48034"/>
    <n v="172922.4"/>
  </r>
  <r>
    <x v="0"/>
    <x v="0"/>
    <x v="0"/>
    <x v="9"/>
    <x v="19"/>
    <s v="SE3A"/>
    <x v="7"/>
    <x v="123"/>
    <x v="0"/>
    <x v="19"/>
    <n v="131.6"/>
    <n v="48034"/>
    <n v="172922.4"/>
  </r>
  <r>
    <x v="0"/>
    <x v="0"/>
    <x v="0"/>
    <x v="9"/>
    <x v="19"/>
    <s v="SE3A"/>
    <x v="7"/>
    <x v="123"/>
    <x v="0"/>
    <x v="20"/>
    <n v="131.6"/>
    <n v="48034"/>
    <n v="172922.4"/>
  </r>
  <r>
    <x v="0"/>
    <x v="0"/>
    <x v="0"/>
    <x v="9"/>
    <x v="19"/>
    <s v="SE3A"/>
    <x v="7"/>
    <x v="124"/>
    <x v="0"/>
    <x v="8"/>
    <n v="131.6"/>
    <n v="48034"/>
    <n v="172922.4"/>
  </r>
  <r>
    <x v="0"/>
    <x v="0"/>
    <x v="0"/>
    <x v="9"/>
    <x v="19"/>
    <s v="SE3A"/>
    <x v="7"/>
    <x v="124"/>
    <x v="0"/>
    <x v="0"/>
    <n v="131.6"/>
    <n v="48034"/>
    <n v="172922.4"/>
  </r>
  <r>
    <x v="0"/>
    <x v="0"/>
    <x v="0"/>
    <x v="9"/>
    <x v="19"/>
    <s v="SE3A"/>
    <x v="7"/>
    <x v="124"/>
    <x v="0"/>
    <x v="1"/>
    <n v="131.6"/>
    <n v="48034"/>
    <n v="172922.4"/>
  </r>
  <r>
    <x v="0"/>
    <x v="0"/>
    <x v="0"/>
    <x v="9"/>
    <x v="19"/>
    <s v="SE3A"/>
    <x v="7"/>
    <x v="124"/>
    <x v="0"/>
    <x v="2"/>
    <n v="131.6"/>
    <n v="48034"/>
    <n v="172922.4"/>
  </r>
  <r>
    <x v="0"/>
    <x v="0"/>
    <x v="0"/>
    <x v="9"/>
    <x v="19"/>
    <s v="SE3A"/>
    <x v="7"/>
    <x v="124"/>
    <x v="0"/>
    <x v="9"/>
    <n v="131.6"/>
    <n v="48034"/>
    <n v="172922.4"/>
  </r>
  <r>
    <x v="0"/>
    <x v="0"/>
    <x v="0"/>
    <x v="9"/>
    <x v="19"/>
    <s v="SE3A"/>
    <x v="7"/>
    <x v="124"/>
    <x v="0"/>
    <x v="10"/>
    <n v="131.6"/>
    <n v="48034"/>
    <n v="172922.4"/>
  </r>
  <r>
    <x v="0"/>
    <x v="0"/>
    <x v="0"/>
    <x v="9"/>
    <x v="19"/>
    <s v="SE3A"/>
    <x v="7"/>
    <x v="124"/>
    <x v="0"/>
    <x v="11"/>
    <n v="131.6"/>
    <n v="48034"/>
    <n v="172922.4"/>
  </r>
  <r>
    <x v="0"/>
    <x v="0"/>
    <x v="0"/>
    <x v="9"/>
    <x v="19"/>
    <s v="SE3A"/>
    <x v="7"/>
    <x v="124"/>
    <x v="0"/>
    <x v="12"/>
    <n v="131.6"/>
    <n v="48034"/>
    <n v="172922.4"/>
  </r>
  <r>
    <x v="0"/>
    <x v="0"/>
    <x v="0"/>
    <x v="9"/>
    <x v="19"/>
    <s v="SE3A"/>
    <x v="7"/>
    <x v="124"/>
    <x v="0"/>
    <x v="13"/>
    <n v="131.6"/>
    <n v="48034"/>
    <n v="172922.4"/>
  </r>
  <r>
    <x v="0"/>
    <x v="0"/>
    <x v="0"/>
    <x v="9"/>
    <x v="19"/>
    <s v="SE3A"/>
    <x v="7"/>
    <x v="124"/>
    <x v="0"/>
    <x v="14"/>
    <n v="131.6"/>
    <n v="48034"/>
    <n v="172922.4"/>
  </r>
  <r>
    <x v="0"/>
    <x v="0"/>
    <x v="0"/>
    <x v="9"/>
    <x v="19"/>
    <s v="SE3A"/>
    <x v="7"/>
    <x v="124"/>
    <x v="0"/>
    <x v="15"/>
    <n v="131.6"/>
    <n v="48034"/>
    <n v="172922.4"/>
  </r>
  <r>
    <x v="0"/>
    <x v="0"/>
    <x v="0"/>
    <x v="9"/>
    <x v="19"/>
    <s v="SE3A"/>
    <x v="7"/>
    <x v="124"/>
    <x v="0"/>
    <x v="16"/>
    <n v="131.6"/>
    <n v="48034"/>
    <n v="172922.4"/>
  </r>
  <r>
    <x v="0"/>
    <x v="0"/>
    <x v="0"/>
    <x v="9"/>
    <x v="19"/>
    <s v="SE3A"/>
    <x v="7"/>
    <x v="124"/>
    <x v="0"/>
    <x v="17"/>
    <n v="131.6"/>
    <n v="48034"/>
    <n v="172922.4"/>
  </r>
  <r>
    <x v="0"/>
    <x v="0"/>
    <x v="0"/>
    <x v="9"/>
    <x v="19"/>
    <s v="SE3A"/>
    <x v="7"/>
    <x v="124"/>
    <x v="0"/>
    <x v="18"/>
    <n v="131.6"/>
    <n v="48034"/>
    <n v="172922.4"/>
  </r>
  <r>
    <x v="0"/>
    <x v="0"/>
    <x v="0"/>
    <x v="9"/>
    <x v="19"/>
    <s v="SE3A"/>
    <x v="7"/>
    <x v="124"/>
    <x v="0"/>
    <x v="19"/>
    <n v="131.6"/>
    <n v="48034"/>
    <n v="172922.4"/>
  </r>
  <r>
    <x v="0"/>
    <x v="0"/>
    <x v="0"/>
    <x v="9"/>
    <x v="19"/>
    <s v="SE3A"/>
    <x v="7"/>
    <x v="124"/>
    <x v="0"/>
    <x v="20"/>
    <n v="131.6"/>
    <n v="48034"/>
    <n v="172922.4"/>
  </r>
  <r>
    <x v="0"/>
    <x v="0"/>
    <x v="0"/>
    <x v="9"/>
    <x v="19"/>
    <s v="SE3A"/>
    <x v="7"/>
    <x v="125"/>
    <x v="0"/>
    <x v="8"/>
    <n v="131.6"/>
    <n v="48034"/>
    <n v="172922.4"/>
  </r>
  <r>
    <x v="0"/>
    <x v="0"/>
    <x v="0"/>
    <x v="9"/>
    <x v="19"/>
    <s v="SE3A"/>
    <x v="7"/>
    <x v="125"/>
    <x v="0"/>
    <x v="0"/>
    <n v="131.6"/>
    <n v="48034"/>
    <n v="172922.4"/>
  </r>
  <r>
    <x v="0"/>
    <x v="0"/>
    <x v="0"/>
    <x v="9"/>
    <x v="19"/>
    <s v="SE3A"/>
    <x v="7"/>
    <x v="125"/>
    <x v="0"/>
    <x v="1"/>
    <n v="131.6"/>
    <n v="48034"/>
    <n v="172922.4"/>
  </r>
  <r>
    <x v="0"/>
    <x v="0"/>
    <x v="0"/>
    <x v="9"/>
    <x v="19"/>
    <s v="SE3A"/>
    <x v="7"/>
    <x v="125"/>
    <x v="0"/>
    <x v="2"/>
    <n v="131.6"/>
    <n v="48034"/>
    <n v="172922.4"/>
  </r>
  <r>
    <x v="0"/>
    <x v="0"/>
    <x v="0"/>
    <x v="9"/>
    <x v="19"/>
    <s v="SE3A"/>
    <x v="7"/>
    <x v="125"/>
    <x v="0"/>
    <x v="9"/>
    <n v="131.6"/>
    <n v="48034"/>
    <n v="172922.4"/>
  </r>
  <r>
    <x v="0"/>
    <x v="0"/>
    <x v="0"/>
    <x v="9"/>
    <x v="19"/>
    <s v="SE3A"/>
    <x v="7"/>
    <x v="125"/>
    <x v="0"/>
    <x v="10"/>
    <n v="131.6"/>
    <n v="48034"/>
    <n v="172922.4"/>
  </r>
  <r>
    <x v="0"/>
    <x v="0"/>
    <x v="0"/>
    <x v="9"/>
    <x v="19"/>
    <s v="SE3A"/>
    <x v="7"/>
    <x v="125"/>
    <x v="0"/>
    <x v="11"/>
    <n v="131.6"/>
    <n v="48034"/>
    <n v="172922.4"/>
  </r>
  <r>
    <x v="0"/>
    <x v="0"/>
    <x v="0"/>
    <x v="9"/>
    <x v="19"/>
    <s v="SE3A"/>
    <x v="7"/>
    <x v="125"/>
    <x v="0"/>
    <x v="12"/>
    <n v="131.6"/>
    <n v="48034"/>
    <n v="172922.4"/>
  </r>
  <r>
    <x v="0"/>
    <x v="0"/>
    <x v="0"/>
    <x v="9"/>
    <x v="19"/>
    <s v="SE3A"/>
    <x v="7"/>
    <x v="125"/>
    <x v="0"/>
    <x v="13"/>
    <n v="131.6"/>
    <n v="48034"/>
    <n v="172922.4"/>
  </r>
  <r>
    <x v="0"/>
    <x v="0"/>
    <x v="0"/>
    <x v="9"/>
    <x v="19"/>
    <s v="SE3A"/>
    <x v="7"/>
    <x v="125"/>
    <x v="0"/>
    <x v="14"/>
    <n v="131.6"/>
    <n v="48034"/>
    <n v="172922.4"/>
  </r>
  <r>
    <x v="0"/>
    <x v="0"/>
    <x v="0"/>
    <x v="9"/>
    <x v="19"/>
    <s v="SE3A"/>
    <x v="7"/>
    <x v="125"/>
    <x v="0"/>
    <x v="15"/>
    <n v="131.6"/>
    <n v="48034"/>
    <n v="172922.4"/>
  </r>
  <r>
    <x v="0"/>
    <x v="0"/>
    <x v="0"/>
    <x v="9"/>
    <x v="19"/>
    <s v="SE3A"/>
    <x v="7"/>
    <x v="125"/>
    <x v="0"/>
    <x v="16"/>
    <n v="131.6"/>
    <n v="48034"/>
    <n v="172922.4"/>
  </r>
  <r>
    <x v="0"/>
    <x v="0"/>
    <x v="0"/>
    <x v="9"/>
    <x v="19"/>
    <s v="SE3A"/>
    <x v="7"/>
    <x v="125"/>
    <x v="0"/>
    <x v="17"/>
    <n v="131.6"/>
    <n v="48034"/>
    <n v="172922.4"/>
  </r>
  <r>
    <x v="0"/>
    <x v="0"/>
    <x v="0"/>
    <x v="9"/>
    <x v="19"/>
    <s v="SE3A"/>
    <x v="7"/>
    <x v="125"/>
    <x v="0"/>
    <x v="18"/>
    <n v="131.6"/>
    <n v="48034"/>
    <n v="172922.4"/>
  </r>
  <r>
    <x v="0"/>
    <x v="0"/>
    <x v="0"/>
    <x v="9"/>
    <x v="19"/>
    <s v="SE3A"/>
    <x v="7"/>
    <x v="125"/>
    <x v="0"/>
    <x v="19"/>
    <n v="131.6"/>
    <n v="48034"/>
    <n v="172922.4"/>
  </r>
  <r>
    <x v="0"/>
    <x v="0"/>
    <x v="0"/>
    <x v="9"/>
    <x v="19"/>
    <s v="SE3A"/>
    <x v="7"/>
    <x v="125"/>
    <x v="0"/>
    <x v="20"/>
    <n v="131.6"/>
    <n v="48034"/>
    <n v="172922.4"/>
  </r>
  <r>
    <x v="0"/>
    <x v="0"/>
    <x v="0"/>
    <x v="9"/>
    <x v="19"/>
    <s v="SE3A"/>
    <x v="7"/>
    <x v="126"/>
    <x v="0"/>
    <x v="0"/>
    <n v="131.6"/>
    <n v="48034"/>
    <n v="172922.4"/>
  </r>
  <r>
    <x v="0"/>
    <x v="0"/>
    <x v="0"/>
    <x v="9"/>
    <x v="19"/>
    <s v="SE3A"/>
    <x v="7"/>
    <x v="126"/>
    <x v="0"/>
    <x v="1"/>
    <n v="131.6"/>
    <n v="48034"/>
    <n v="172922.4"/>
  </r>
  <r>
    <x v="0"/>
    <x v="0"/>
    <x v="0"/>
    <x v="9"/>
    <x v="19"/>
    <s v="SE3A"/>
    <x v="7"/>
    <x v="126"/>
    <x v="0"/>
    <x v="2"/>
    <n v="131.6"/>
    <n v="48034"/>
    <n v="172922.4"/>
  </r>
  <r>
    <x v="0"/>
    <x v="0"/>
    <x v="0"/>
    <x v="9"/>
    <x v="19"/>
    <s v="SE3A"/>
    <x v="7"/>
    <x v="126"/>
    <x v="0"/>
    <x v="9"/>
    <n v="131.6"/>
    <n v="48034"/>
    <n v="172922.4"/>
  </r>
  <r>
    <x v="0"/>
    <x v="0"/>
    <x v="0"/>
    <x v="9"/>
    <x v="19"/>
    <s v="SE3A"/>
    <x v="7"/>
    <x v="126"/>
    <x v="0"/>
    <x v="10"/>
    <n v="131.6"/>
    <n v="48034"/>
    <n v="172922.4"/>
  </r>
  <r>
    <x v="0"/>
    <x v="0"/>
    <x v="0"/>
    <x v="9"/>
    <x v="19"/>
    <s v="SE3A"/>
    <x v="7"/>
    <x v="126"/>
    <x v="0"/>
    <x v="11"/>
    <n v="131.6"/>
    <n v="48034"/>
    <n v="172922.4"/>
  </r>
  <r>
    <x v="0"/>
    <x v="0"/>
    <x v="0"/>
    <x v="9"/>
    <x v="19"/>
    <s v="SE3A"/>
    <x v="7"/>
    <x v="126"/>
    <x v="0"/>
    <x v="12"/>
    <n v="131.6"/>
    <n v="48034"/>
    <n v="172922.4"/>
  </r>
  <r>
    <x v="0"/>
    <x v="0"/>
    <x v="0"/>
    <x v="9"/>
    <x v="19"/>
    <s v="SE3A"/>
    <x v="7"/>
    <x v="126"/>
    <x v="0"/>
    <x v="13"/>
    <n v="131.6"/>
    <n v="48034"/>
    <n v="172922.4"/>
  </r>
  <r>
    <x v="0"/>
    <x v="0"/>
    <x v="0"/>
    <x v="9"/>
    <x v="19"/>
    <s v="SE3A"/>
    <x v="7"/>
    <x v="126"/>
    <x v="0"/>
    <x v="14"/>
    <n v="131.6"/>
    <n v="48034"/>
    <n v="172922.4"/>
  </r>
  <r>
    <x v="0"/>
    <x v="0"/>
    <x v="0"/>
    <x v="9"/>
    <x v="19"/>
    <s v="SE3A"/>
    <x v="7"/>
    <x v="126"/>
    <x v="0"/>
    <x v="15"/>
    <n v="131.6"/>
    <n v="48034"/>
    <n v="172922.4"/>
  </r>
  <r>
    <x v="0"/>
    <x v="0"/>
    <x v="0"/>
    <x v="9"/>
    <x v="19"/>
    <s v="SE3A"/>
    <x v="7"/>
    <x v="126"/>
    <x v="0"/>
    <x v="16"/>
    <n v="131.6"/>
    <n v="48034"/>
    <n v="172922.4"/>
  </r>
  <r>
    <x v="0"/>
    <x v="0"/>
    <x v="0"/>
    <x v="9"/>
    <x v="19"/>
    <s v="SE3A"/>
    <x v="7"/>
    <x v="126"/>
    <x v="0"/>
    <x v="17"/>
    <n v="131.6"/>
    <n v="48034"/>
    <n v="172922.4"/>
  </r>
  <r>
    <x v="0"/>
    <x v="0"/>
    <x v="0"/>
    <x v="9"/>
    <x v="19"/>
    <s v="SE3A"/>
    <x v="7"/>
    <x v="126"/>
    <x v="0"/>
    <x v="18"/>
    <n v="131.6"/>
    <n v="48034"/>
    <n v="172922.4"/>
  </r>
  <r>
    <x v="0"/>
    <x v="0"/>
    <x v="0"/>
    <x v="9"/>
    <x v="19"/>
    <s v="SE3A"/>
    <x v="7"/>
    <x v="126"/>
    <x v="0"/>
    <x v="19"/>
    <n v="131.6"/>
    <n v="48034"/>
    <n v="172922.4"/>
  </r>
  <r>
    <x v="0"/>
    <x v="0"/>
    <x v="0"/>
    <x v="9"/>
    <x v="19"/>
    <s v="SE3A"/>
    <x v="7"/>
    <x v="127"/>
    <x v="0"/>
    <x v="0"/>
    <n v="131.6"/>
    <n v="48034"/>
    <n v="172922.4"/>
  </r>
  <r>
    <x v="0"/>
    <x v="0"/>
    <x v="0"/>
    <x v="9"/>
    <x v="19"/>
    <s v="SE3A"/>
    <x v="7"/>
    <x v="127"/>
    <x v="0"/>
    <x v="1"/>
    <n v="131.6"/>
    <n v="48034"/>
    <n v="172922.4"/>
  </r>
  <r>
    <x v="0"/>
    <x v="0"/>
    <x v="0"/>
    <x v="9"/>
    <x v="19"/>
    <s v="SE3A"/>
    <x v="7"/>
    <x v="127"/>
    <x v="0"/>
    <x v="2"/>
    <n v="131.6"/>
    <n v="48034"/>
    <n v="172922.4"/>
  </r>
  <r>
    <x v="0"/>
    <x v="0"/>
    <x v="0"/>
    <x v="9"/>
    <x v="19"/>
    <s v="SE3A"/>
    <x v="7"/>
    <x v="127"/>
    <x v="0"/>
    <x v="9"/>
    <n v="131.6"/>
    <n v="48034"/>
    <n v="172922.4"/>
  </r>
  <r>
    <x v="0"/>
    <x v="0"/>
    <x v="0"/>
    <x v="9"/>
    <x v="19"/>
    <s v="SE3A"/>
    <x v="7"/>
    <x v="127"/>
    <x v="0"/>
    <x v="10"/>
    <n v="131.6"/>
    <n v="48034"/>
    <n v="172922.4"/>
  </r>
  <r>
    <x v="0"/>
    <x v="0"/>
    <x v="0"/>
    <x v="9"/>
    <x v="19"/>
    <s v="SE3A"/>
    <x v="7"/>
    <x v="127"/>
    <x v="0"/>
    <x v="11"/>
    <n v="131.6"/>
    <n v="48034"/>
    <n v="172922.4"/>
  </r>
  <r>
    <x v="0"/>
    <x v="0"/>
    <x v="0"/>
    <x v="9"/>
    <x v="19"/>
    <s v="SE3A"/>
    <x v="7"/>
    <x v="127"/>
    <x v="0"/>
    <x v="12"/>
    <n v="131.6"/>
    <n v="48034"/>
    <n v="172922.4"/>
  </r>
  <r>
    <x v="0"/>
    <x v="0"/>
    <x v="0"/>
    <x v="9"/>
    <x v="19"/>
    <s v="SE3A"/>
    <x v="7"/>
    <x v="127"/>
    <x v="0"/>
    <x v="13"/>
    <n v="131.6"/>
    <n v="48034"/>
    <n v="172922.4"/>
  </r>
  <r>
    <x v="0"/>
    <x v="0"/>
    <x v="0"/>
    <x v="9"/>
    <x v="19"/>
    <s v="SE3A"/>
    <x v="7"/>
    <x v="127"/>
    <x v="0"/>
    <x v="14"/>
    <n v="131.6"/>
    <n v="48034"/>
    <n v="172922.4"/>
  </r>
  <r>
    <x v="0"/>
    <x v="0"/>
    <x v="0"/>
    <x v="9"/>
    <x v="19"/>
    <s v="SE3A"/>
    <x v="7"/>
    <x v="127"/>
    <x v="0"/>
    <x v="15"/>
    <n v="131.6"/>
    <n v="48034"/>
    <n v="172922.4"/>
  </r>
  <r>
    <x v="0"/>
    <x v="0"/>
    <x v="0"/>
    <x v="9"/>
    <x v="19"/>
    <s v="SE3A"/>
    <x v="7"/>
    <x v="127"/>
    <x v="0"/>
    <x v="16"/>
    <n v="131.6"/>
    <n v="48034"/>
    <n v="172922.4"/>
  </r>
  <r>
    <x v="0"/>
    <x v="0"/>
    <x v="0"/>
    <x v="9"/>
    <x v="19"/>
    <s v="SE3A"/>
    <x v="7"/>
    <x v="127"/>
    <x v="0"/>
    <x v="17"/>
    <n v="131.6"/>
    <n v="48034"/>
    <n v="172922.4"/>
  </r>
  <r>
    <x v="0"/>
    <x v="0"/>
    <x v="0"/>
    <x v="9"/>
    <x v="19"/>
    <s v="SE3A"/>
    <x v="7"/>
    <x v="127"/>
    <x v="0"/>
    <x v="18"/>
    <n v="131.6"/>
    <n v="48034"/>
    <n v="172922.4"/>
  </r>
  <r>
    <x v="0"/>
    <x v="0"/>
    <x v="0"/>
    <x v="9"/>
    <x v="19"/>
    <s v="SE3A"/>
    <x v="7"/>
    <x v="127"/>
    <x v="0"/>
    <x v="19"/>
    <n v="131.6"/>
    <n v="48034"/>
    <n v="172922.4"/>
  </r>
  <r>
    <x v="0"/>
    <x v="0"/>
    <x v="0"/>
    <x v="9"/>
    <x v="19"/>
    <s v="SE3A"/>
    <x v="7"/>
    <x v="128"/>
    <x v="0"/>
    <x v="0"/>
    <n v="131.6"/>
    <n v="48034"/>
    <n v="172922.4"/>
  </r>
  <r>
    <x v="0"/>
    <x v="0"/>
    <x v="0"/>
    <x v="9"/>
    <x v="19"/>
    <s v="SE3A"/>
    <x v="7"/>
    <x v="128"/>
    <x v="0"/>
    <x v="1"/>
    <n v="131.6"/>
    <n v="48034"/>
    <n v="172922.4"/>
  </r>
  <r>
    <x v="0"/>
    <x v="0"/>
    <x v="0"/>
    <x v="9"/>
    <x v="19"/>
    <s v="SE3A"/>
    <x v="7"/>
    <x v="128"/>
    <x v="0"/>
    <x v="2"/>
    <n v="131.6"/>
    <n v="48034"/>
    <n v="172922.4"/>
  </r>
  <r>
    <x v="0"/>
    <x v="0"/>
    <x v="0"/>
    <x v="9"/>
    <x v="19"/>
    <s v="SE3A"/>
    <x v="7"/>
    <x v="128"/>
    <x v="0"/>
    <x v="9"/>
    <n v="131.6"/>
    <n v="48034"/>
    <n v="172922.4"/>
  </r>
  <r>
    <x v="0"/>
    <x v="0"/>
    <x v="0"/>
    <x v="9"/>
    <x v="19"/>
    <s v="SE3A"/>
    <x v="7"/>
    <x v="128"/>
    <x v="0"/>
    <x v="10"/>
    <n v="131.6"/>
    <n v="48034"/>
    <n v="172922.4"/>
  </r>
  <r>
    <x v="0"/>
    <x v="0"/>
    <x v="0"/>
    <x v="9"/>
    <x v="19"/>
    <s v="SE3A"/>
    <x v="7"/>
    <x v="128"/>
    <x v="0"/>
    <x v="11"/>
    <n v="131.6"/>
    <n v="48034"/>
    <n v="172922.4"/>
  </r>
  <r>
    <x v="0"/>
    <x v="0"/>
    <x v="0"/>
    <x v="9"/>
    <x v="19"/>
    <s v="SE3A"/>
    <x v="7"/>
    <x v="128"/>
    <x v="0"/>
    <x v="12"/>
    <n v="131.6"/>
    <n v="48034"/>
    <n v="172922.4"/>
  </r>
  <r>
    <x v="0"/>
    <x v="0"/>
    <x v="0"/>
    <x v="9"/>
    <x v="19"/>
    <s v="SE3A"/>
    <x v="7"/>
    <x v="128"/>
    <x v="0"/>
    <x v="13"/>
    <n v="131.6"/>
    <n v="48034"/>
    <n v="172922.4"/>
  </r>
  <r>
    <x v="0"/>
    <x v="0"/>
    <x v="0"/>
    <x v="9"/>
    <x v="19"/>
    <s v="SE3A"/>
    <x v="7"/>
    <x v="128"/>
    <x v="0"/>
    <x v="14"/>
    <n v="131.6"/>
    <n v="48034"/>
    <n v="172922.4"/>
  </r>
  <r>
    <x v="0"/>
    <x v="0"/>
    <x v="0"/>
    <x v="9"/>
    <x v="19"/>
    <s v="SE3A"/>
    <x v="7"/>
    <x v="128"/>
    <x v="0"/>
    <x v="15"/>
    <n v="131.6"/>
    <n v="48034"/>
    <n v="172922.4"/>
  </r>
  <r>
    <x v="0"/>
    <x v="0"/>
    <x v="0"/>
    <x v="9"/>
    <x v="19"/>
    <s v="SE3A"/>
    <x v="7"/>
    <x v="128"/>
    <x v="0"/>
    <x v="16"/>
    <n v="131.6"/>
    <n v="48034"/>
    <n v="172922.4"/>
  </r>
  <r>
    <x v="0"/>
    <x v="0"/>
    <x v="0"/>
    <x v="9"/>
    <x v="19"/>
    <s v="SE3A"/>
    <x v="7"/>
    <x v="128"/>
    <x v="0"/>
    <x v="17"/>
    <n v="131.6"/>
    <n v="48034"/>
    <n v="172922.4"/>
  </r>
  <r>
    <x v="0"/>
    <x v="0"/>
    <x v="0"/>
    <x v="9"/>
    <x v="19"/>
    <s v="SE3A"/>
    <x v="7"/>
    <x v="128"/>
    <x v="0"/>
    <x v="19"/>
    <n v="5.5405712636343596"/>
    <n v="2022.3085112265401"/>
    <n v="7280.3106404155496"/>
  </r>
  <r>
    <x v="0"/>
    <x v="0"/>
    <x v="0"/>
    <x v="9"/>
    <x v="19"/>
    <s v="SE3A"/>
    <x v="7"/>
    <x v="129"/>
    <x v="0"/>
    <x v="1"/>
    <n v="131.6"/>
    <n v="48034"/>
    <n v="172922.4"/>
  </r>
  <r>
    <x v="0"/>
    <x v="0"/>
    <x v="0"/>
    <x v="9"/>
    <x v="19"/>
    <s v="SE3A"/>
    <x v="7"/>
    <x v="129"/>
    <x v="0"/>
    <x v="2"/>
    <n v="131.6"/>
    <n v="48034"/>
    <n v="172922.4"/>
  </r>
  <r>
    <x v="0"/>
    <x v="0"/>
    <x v="0"/>
    <x v="9"/>
    <x v="19"/>
    <s v="SE3A"/>
    <x v="7"/>
    <x v="129"/>
    <x v="0"/>
    <x v="9"/>
    <n v="131.6"/>
    <n v="48034"/>
    <n v="172922.4"/>
  </r>
  <r>
    <x v="0"/>
    <x v="0"/>
    <x v="0"/>
    <x v="9"/>
    <x v="19"/>
    <s v="SE3A"/>
    <x v="7"/>
    <x v="129"/>
    <x v="0"/>
    <x v="10"/>
    <n v="131.6"/>
    <n v="48034"/>
    <n v="172922.4"/>
  </r>
  <r>
    <x v="0"/>
    <x v="0"/>
    <x v="0"/>
    <x v="9"/>
    <x v="19"/>
    <s v="SE3A"/>
    <x v="7"/>
    <x v="129"/>
    <x v="0"/>
    <x v="11"/>
    <n v="90.031140368413702"/>
    <n v="32861.366234471003"/>
    <n v="118300.91844409599"/>
  </r>
  <r>
    <x v="0"/>
    <x v="0"/>
    <x v="0"/>
    <x v="9"/>
    <x v="19"/>
    <s v="SE3A"/>
    <x v="7"/>
    <x v="130"/>
    <x v="0"/>
    <x v="2"/>
    <n v="131.6"/>
    <n v="48034"/>
    <n v="172922.4"/>
  </r>
  <r>
    <x v="0"/>
    <x v="0"/>
    <x v="0"/>
    <x v="9"/>
    <x v="19"/>
    <s v="SE3A"/>
    <x v="7"/>
    <x v="46"/>
    <x v="0"/>
    <x v="3"/>
    <n v="612.63215465133601"/>
    <n v="223610.73644773799"/>
    <n v="804998.651211855"/>
  </r>
  <r>
    <x v="0"/>
    <x v="0"/>
    <x v="0"/>
    <x v="9"/>
    <x v="19"/>
    <s v="SE3A"/>
    <x v="7"/>
    <x v="46"/>
    <x v="0"/>
    <x v="4"/>
    <n v="612.63215465133601"/>
    <n v="223610.73644773799"/>
    <n v="804998.651211855"/>
  </r>
  <r>
    <x v="0"/>
    <x v="0"/>
    <x v="0"/>
    <x v="9"/>
    <x v="19"/>
    <s v="SE3A"/>
    <x v="7"/>
    <x v="46"/>
    <x v="0"/>
    <x v="5"/>
    <n v="612.63215465133601"/>
    <n v="223610.73644773799"/>
    <n v="804998.651211855"/>
  </r>
  <r>
    <x v="0"/>
    <x v="0"/>
    <x v="0"/>
    <x v="9"/>
    <x v="19"/>
    <s v="SE3A"/>
    <x v="7"/>
    <x v="46"/>
    <x v="0"/>
    <x v="6"/>
    <n v="612.63215465133601"/>
    <n v="223610.73644773799"/>
    <n v="804998.651211855"/>
  </r>
  <r>
    <x v="0"/>
    <x v="0"/>
    <x v="0"/>
    <x v="9"/>
    <x v="19"/>
    <s v="SE3A"/>
    <x v="7"/>
    <x v="46"/>
    <x v="0"/>
    <x v="7"/>
    <n v="612.63215465133601"/>
    <n v="223610.73644773799"/>
    <n v="804998.651211855"/>
  </r>
  <r>
    <x v="0"/>
    <x v="0"/>
    <x v="0"/>
    <x v="9"/>
    <x v="19"/>
    <s v="SE3A"/>
    <x v="7"/>
    <x v="46"/>
    <x v="0"/>
    <x v="8"/>
    <n v="612.63215465133601"/>
    <n v="223610.73644773799"/>
    <n v="804998.651211855"/>
  </r>
  <r>
    <x v="0"/>
    <x v="0"/>
    <x v="0"/>
    <x v="9"/>
    <x v="19"/>
    <s v="SE3A"/>
    <x v="7"/>
    <x v="46"/>
    <x v="0"/>
    <x v="0"/>
    <n v="612.63215465133601"/>
    <n v="223610.73644773799"/>
    <n v="804998.651211855"/>
  </r>
  <r>
    <x v="0"/>
    <x v="0"/>
    <x v="0"/>
    <x v="9"/>
    <x v="19"/>
    <s v="SE3A"/>
    <x v="7"/>
    <x v="46"/>
    <x v="0"/>
    <x v="1"/>
    <n v="612.63215465133601"/>
    <n v="223610.73644773799"/>
    <n v="804998.651211855"/>
  </r>
  <r>
    <x v="0"/>
    <x v="0"/>
    <x v="0"/>
    <x v="9"/>
    <x v="19"/>
    <s v="SE3A"/>
    <x v="7"/>
    <x v="46"/>
    <x v="0"/>
    <x v="2"/>
    <n v="612.63215465133601"/>
    <n v="223610.73644773799"/>
    <n v="804998.651211855"/>
  </r>
  <r>
    <x v="0"/>
    <x v="0"/>
    <x v="0"/>
    <x v="9"/>
    <x v="19"/>
    <s v="SE3A"/>
    <x v="7"/>
    <x v="46"/>
    <x v="0"/>
    <x v="9"/>
    <n v="612.63215465133601"/>
    <n v="223610.73644773799"/>
    <n v="804998.651211855"/>
  </r>
  <r>
    <x v="0"/>
    <x v="0"/>
    <x v="0"/>
    <x v="9"/>
    <x v="19"/>
    <s v="SE3A"/>
    <x v="7"/>
    <x v="46"/>
    <x v="0"/>
    <x v="10"/>
    <n v="612.63215465133601"/>
    <n v="223610.73644773799"/>
    <n v="804998.651211855"/>
  </r>
  <r>
    <x v="0"/>
    <x v="0"/>
    <x v="0"/>
    <x v="9"/>
    <x v="19"/>
    <s v="SE3A"/>
    <x v="7"/>
    <x v="46"/>
    <x v="0"/>
    <x v="11"/>
    <n v="612.63215465133601"/>
    <n v="223610.73644773799"/>
    <n v="804998.651211855"/>
  </r>
  <r>
    <x v="0"/>
    <x v="0"/>
    <x v="0"/>
    <x v="9"/>
    <x v="19"/>
    <s v="SE3A"/>
    <x v="7"/>
    <x v="46"/>
    <x v="0"/>
    <x v="12"/>
    <n v="612.63215465133601"/>
    <n v="223610.73644773799"/>
    <n v="804998.651211855"/>
  </r>
  <r>
    <x v="0"/>
    <x v="0"/>
    <x v="0"/>
    <x v="9"/>
    <x v="19"/>
    <s v="SE3A"/>
    <x v="7"/>
    <x v="46"/>
    <x v="0"/>
    <x v="13"/>
    <n v="612.63215465133601"/>
    <n v="223610.73644773799"/>
    <n v="804998.651211855"/>
  </r>
  <r>
    <x v="0"/>
    <x v="0"/>
    <x v="0"/>
    <x v="9"/>
    <x v="19"/>
    <s v="SE3A"/>
    <x v="7"/>
    <x v="46"/>
    <x v="0"/>
    <x v="14"/>
    <n v="612.63215465133601"/>
    <n v="223610.73644773799"/>
    <n v="804998.651211855"/>
  </r>
  <r>
    <x v="0"/>
    <x v="0"/>
    <x v="0"/>
    <x v="9"/>
    <x v="19"/>
    <s v="SE3A"/>
    <x v="7"/>
    <x v="46"/>
    <x v="0"/>
    <x v="15"/>
    <n v="612.63215465133601"/>
    <n v="223610.73644773799"/>
    <n v="804998.651211855"/>
  </r>
  <r>
    <x v="0"/>
    <x v="0"/>
    <x v="0"/>
    <x v="9"/>
    <x v="19"/>
    <s v="SE3A"/>
    <x v="7"/>
    <x v="46"/>
    <x v="0"/>
    <x v="16"/>
    <n v="612.63215465133601"/>
    <n v="223610.73644773799"/>
    <n v="804998.651211855"/>
  </r>
  <r>
    <x v="0"/>
    <x v="0"/>
    <x v="0"/>
    <x v="9"/>
    <x v="19"/>
    <s v="SE3A"/>
    <x v="7"/>
    <x v="46"/>
    <x v="0"/>
    <x v="17"/>
    <n v="612.63215465133601"/>
    <n v="223610.73644773799"/>
    <n v="804998.651211855"/>
  </r>
  <r>
    <x v="0"/>
    <x v="0"/>
    <x v="0"/>
    <x v="9"/>
    <x v="19"/>
    <s v="SE3A"/>
    <x v="7"/>
    <x v="46"/>
    <x v="0"/>
    <x v="18"/>
    <n v="612.63215465133601"/>
    <n v="223610.73644773799"/>
    <n v="804998.651211855"/>
  </r>
  <r>
    <x v="0"/>
    <x v="0"/>
    <x v="0"/>
    <x v="9"/>
    <x v="19"/>
    <s v="SE3A"/>
    <x v="7"/>
    <x v="46"/>
    <x v="0"/>
    <x v="19"/>
    <n v="612.63215465133601"/>
    <n v="223610.73644773799"/>
    <n v="804998.651211855"/>
  </r>
  <r>
    <x v="0"/>
    <x v="0"/>
    <x v="0"/>
    <x v="9"/>
    <x v="19"/>
    <s v="SE3A"/>
    <x v="7"/>
    <x v="46"/>
    <x v="0"/>
    <x v="20"/>
    <n v="612.63215465133601"/>
    <n v="223610.73644773799"/>
    <n v="804998.651211855"/>
  </r>
  <r>
    <x v="0"/>
    <x v="0"/>
    <x v="0"/>
    <x v="9"/>
    <x v="19"/>
    <s v="SE3A"/>
    <x v="7"/>
    <x v="46"/>
    <x v="0"/>
    <x v="21"/>
    <n v="612.63215465133601"/>
    <n v="223610.73644773799"/>
    <n v="804998.651211855"/>
  </r>
  <r>
    <x v="0"/>
    <x v="0"/>
    <x v="0"/>
    <x v="9"/>
    <x v="19"/>
    <s v="SE3A"/>
    <x v="7"/>
    <x v="46"/>
    <x v="0"/>
    <x v="22"/>
    <n v="612.63215465133601"/>
    <n v="223610.73644773799"/>
    <n v="804998.651211855"/>
  </r>
  <r>
    <x v="0"/>
    <x v="0"/>
    <x v="0"/>
    <x v="9"/>
    <x v="19"/>
    <s v="SE3A"/>
    <x v="7"/>
    <x v="46"/>
    <x v="0"/>
    <x v="23"/>
    <n v="612.63215465133601"/>
    <n v="223610.73644773799"/>
    <n v="804998.651211855"/>
  </r>
  <r>
    <x v="0"/>
    <x v="0"/>
    <x v="0"/>
    <x v="9"/>
    <x v="19"/>
    <s v="SE3A"/>
    <x v="8"/>
    <x v="47"/>
    <x v="0"/>
    <x v="3"/>
    <n v="630.20853809515404"/>
    <n v="230026.116404731"/>
    <n v="828094.019057033"/>
  </r>
  <r>
    <x v="0"/>
    <x v="0"/>
    <x v="0"/>
    <x v="9"/>
    <x v="19"/>
    <s v="SE3A"/>
    <x v="8"/>
    <x v="47"/>
    <x v="0"/>
    <x v="4"/>
    <n v="579.90689185148904"/>
    <n v="211666.01552579299"/>
    <n v="761997.65589285595"/>
  </r>
  <r>
    <x v="0"/>
    <x v="0"/>
    <x v="0"/>
    <x v="9"/>
    <x v="19"/>
    <s v="SE3A"/>
    <x v="8"/>
    <x v="47"/>
    <x v="0"/>
    <x v="5"/>
    <n v="484.39772577407001"/>
    <n v="176805.16990753499"/>
    <n v="636498.611667127"/>
  </r>
  <r>
    <x v="0"/>
    <x v="0"/>
    <x v="0"/>
    <x v="9"/>
    <x v="19"/>
    <s v="SE3A"/>
    <x v="8"/>
    <x v="47"/>
    <x v="0"/>
    <x v="6"/>
    <n v="326.61875594709801"/>
    <n v="119215.845920691"/>
    <n v="429177.04531448701"/>
  </r>
  <r>
    <x v="0"/>
    <x v="0"/>
    <x v="0"/>
    <x v="9"/>
    <x v="19"/>
    <s v="SE3A"/>
    <x v="8"/>
    <x v="47"/>
    <x v="0"/>
    <x v="7"/>
    <n v="314.45614213319999"/>
    <n v="114776.49187861801"/>
    <n v="413195.37076302402"/>
  </r>
  <r>
    <x v="0"/>
    <x v="0"/>
    <x v="0"/>
    <x v="9"/>
    <x v="19"/>
    <s v="SE3A"/>
    <x v="8"/>
    <x v="47"/>
    <x v="0"/>
    <x v="8"/>
    <n v="253.32181962193101"/>
    <n v="92462.464162004995"/>
    <n v="332864.87098321802"/>
  </r>
  <r>
    <x v="0"/>
    <x v="0"/>
    <x v="0"/>
    <x v="9"/>
    <x v="19"/>
    <s v="SE3A"/>
    <x v="8"/>
    <x v="47"/>
    <x v="0"/>
    <x v="0"/>
    <n v="229.02111023963499"/>
    <n v="83592.705237466696"/>
    <n v="300933.73885487998"/>
  </r>
  <r>
    <x v="0"/>
    <x v="0"/>
    <x v="0"/>
    <x v="9"/>
    <x v="19"/>
    <s v="SE3A"/>
    <x v="8"/>
    <x v="47"/>
    <x v="0"/>
    <x v="1"/>
    <n v="290.23404835149501"/>
    <n v="105935.427648296"/>
    <n v="381367.539533865"/>
  </r>
  <r>
    <x v="0"/>
    <x v="0"/>
    <x v="0"/>
    <x v="9"/>
    <x v="19"/>
    <s v="SE3A"/>
    <x v="8"/>
    <x v="47"/>
    <x v="0"/>
    <x v="2"/>
    <n v="341.828714981524"/>
    <n v="124767.480968256"/>
    <n v="449162.93148572301"/>
  </r>
  <r>
    <x v="0"/>
    <x v="0"/>
    <x v="0"/>
    <x v="9"/>
    <x v="19"/>
    <s v="SE3A"/>
    <x v="8"/>
    <x v="47"/>
    <x v="0"/>
    <x v="9"/>
    <n v="366.085104322625"/>
    <n v="133621.06307775801"/>
    <n v="481035.82707992999"/>
  </r>
  <r>
    <x v="0"/>
    <x v="0"/>
    <x v="0"/>
    <x v="9"/>
    <x v="19"/>
    <s v="SE3A"/>
    <x v="8"/>
    <x v="47"/>
    <x v="0"/>
    <x v="10"/>
    <n v="466.50690668697302"/>
    <n v="170275.02094074499"/>
    <n v="612990.07538668194"/>
  </r>
  <r>
    <x v="0"/>
    <x v="0"/>
    <x v="0"/>
    <x v="9"/>
    <x v="19"/>
    <s v="SE3A"/>
    <x v="8"/>
    <x v="47"/>
    <x v="0"/>
    <x v="11"/>
    <n v="484.76302372561099"/>
    <n v="176938.50365984801"/>
    <n v="636978.61317545304"/>
  </r>
  <r>
    <x v="0"/>
    <x v="0"/>
    <x v="0"/>
    <x v="9"/>
    <x v="19"/>
    <s v="SE3A"/>
    <x v="8"/>
    <x v="47"/>
    <x v="0"/>
    <x v="12"/>
    <n v="538.46831379855098"/>
    <n v="196540.934536471"/>
    <n v="707547.36433129502"/>
  </r>
  <r>
    <x v="0"/>
    <x v="0"/>
    <x v="0"/>
    <x v="9"/>
    <x v="19"/>
    <s v="SE3A"/>
    <x v="8"/>
    <x v="47"/>
    <x v="0"/>
    <x v="13"/>
    <n v="656.69087293918301"/>
    <n v="239692.16862280201"/>
    <n v="862891.80704208696"/>
  </r>
  <r>
    <x v="0"/>
    <x v="0"/>
    <x v="0"/>
    <x v="9"/>
    <x v="19"/>
    <s v="SE3A"/>
    <x v="8"/>
    <x v="47"/>
    <x v="0"/>
    <x v="14"/>
    <n v="735.71913857775405"/>
    <n v="268537.48558088002"/>
    <n v="966734.94809116796"/>
  </r>
  <r>
    <x v="0"/>
    <x v="0"/>
    <x v="0"/>
    <x v="9"/>
    <x v="19"/>
    <s v="SE3A"/>
    <x v="8"/>
    <x v="47"/>
    <x v="0"/>
    <x v="15"/>
    <n v="790.35722815734005"/>
    <n v="288480.38827742898"/>
    <n v="1038529.39779875"/>
  </r>
  <r>
    <x v="0"/>
    <x v="0"/>
    <x v="0"/>
    <x v="9"/>
    <x v="19"/>
    <s v="SE3A"/>
    <x v="8"/>
    <x v="47"/>
    <x v="0"/>
    <x v="16"/>
    <n v="802.40127836496401"/>
    <n v="292876.466603212"/>
    <n v="1054355.2797715601"/>
  </r>
  <r>
    <x v="0"/>
    <x v="0"/>
    <x v="0"/>
    <x v="9"/>
    <x v="19"/>
    <s v="SE3A"/>
    <x v="8"/>
    <x v="47"/>
    <x v="0"/>
    <x v="17"/>
    <n v="849.83711408234603"/>
    <n v="310190.54664005601"/>
    <n v="1116685.9679042001"/>
  </r>
  <r>
    <x v="0"/>
    <x v="0"/>
    <x v="0"/>
    <x v="9"/>
    <x v="19"/>
    <s v="SE3A"/>
    <x v="8"/>
    <x v="47"/>
    <x v="0"/>
    <x v="18"/>
    <n v="808.02531654920199"/>
    <n v="294929.240540459"/>
    <n v="1061745.2659456499"/>
  </r>
  <r>
    <x v="0"/>
    <x v="0"/>
    <x v="0"/>
    <x v="9"/>
    <x v="19"/>
    <s v="SE3A"/>
    <x v="8"/>
    <x v="47"/>
    <x v="0"/>
    <x v="19"/>
    <n v="720.59362992718195"/>
    <n v="263016.674923421"/>
    <n v="946860.02972431702"/>
  </r>
  <r>
    <x v="0"/>
    <x v="0"/>
    <x v="0"/>
    <x v="9"/>
    <x v="19"/>
    <s v="SE3A"/>
    <x v="8"/>
    <x v="47"/>
    <x v="0"/>
    <x v="20"/>
    <n v="606.34139768049897"/>
    <n v="221314.610153382"/>
    <n v="796732.59655217605"/>
  </r>
  <r>
    <x v="0"/>
    <x v="0"/>
    <x v="0"/>
    <x v="9"/>
    <x v="19"/>
    <s v="SE3A"/>
    <x v="8"/>
    <x v="47"/>
    <x v="0"/>
    <x v="21"/>
    <n v="491.218348343532"/>
    <n v="179294.69714538899"/>
    <n v="645460.90972340095"/>
  </r>
  <r>
    <x v="0"/>
    <x v="0"/>
    <x v="0"/>
    <x v="9"/>
    <x v="19"/>
    <s v="SE3A"/>
    <x v="8"/>
    <x v="47"/>
    <x v="0"/>
    <x v="22"/>
    <n v="460.57818341426201"/>
    <n v="168111.036946206"/>
    <n v="605199.73300634103"/>
  </r>
  <r>
    <x v="0"/>
    <x v="0"/>
    <x v="0"/>
    <x v="9"/>
    <x v="19"/>
    <s v="SE3A"/>
    <x v="8"/>
    <x v="47"/>
    <x v="0"/>
    <x v="23"/>
    <n v="486.87519095492598"/>
    <n v="177709.444698548"/>
    <n v="639754.00091477297"/>
  </r>
  <r>
    <x v="0"/>
    <x v="0"/>
    <x v="0"/>
    <x v="9"/>
    <x v="19"/>
    <s v="SE3A"/>
    <x v="13"/>
    <x v="131"/>
    <x v="0"/>
    <x v="7"/>
    <n v="18.672090638281599"/>
    <n v="6815.3130829727897"/>
    <n v="24535.127098702102"/>
  </r>
  <r>
    <x v="0"/>
    <x v="0"/>
    <x v="0"/>
    <x v="9"/>
    <x v="19"/>
    <s v="SE3A"/>
    <x v="13"/>
    <x v="131"/>
    <x v="0"/>
    <x v="8"/>
    <n v="2087.9264555669101"/>
    <n v="762093.15628192003"/>
    <n v="2743535.3626149101"/>
  </r>
  <r>
    <x v="0"/>
    <x v="0"/>
    <x v="0"/>
    <x v="9"/>
    <x v="19"/>
    <s v="SE3A"/>
    <x v="13"/>
    <x v="131"/>
    <x v="0"/>
    <x v="0"/>
    <n v="2087.9264555669101"/>
    <n v="762093.15628192003"/>
    <n v="2743535.3626149101"/>
  </r>
  <r>
    <x v="0"/>
    <x v="0"/>
    <x v="0"/>
    <x v="9"/>
    <x v="19"/>
    <s v="SE3A"/>
    <x v="13"/>
    <x v="131"/>
    <x v="0"/>
    <x v="1"/>
    <n v="2087.9264555669101"/>
    <n v="762093.15628192003"/>
    <n v="2743535.3626149101"/>
  </r>
  <r>
    <x v="0"/>
    <x v="0"/>
    <x v="0"/>
    <x v="9"/>
    <x v="19"/>
    <s v="SE3A"/>
    <x v="13"/>
    <x v="131"/>
    <x v="0"/>
    <x v="2"/>
    <n v="2087.9264555669101"/>
    <n v="762093.15628192003"/>
    <n v="2743535.3626149101"/>
  </r>
  <r>
    <x v="0"/>
    <x v="0"/>
    <x v="0"/>
    <x v="9"/>
    <x v="19"/>
    <s v="SE3A"/>
    <x v="13"/>
    <x v="131"/>
    <x v="0"/>
    <x v="9"/>
    <n v="2087.9264555669101"/>
    <n v="762093.15628192003"/>
    <n v="2743535.3626149101"/>
  </r>
  <r>
    <x v="0"/>
    <x v="0"/>
    <x v="0"/>
    <x v="9"/>
    <x v="19"/>
    <s v="SE3A"/>
    <x v="13"/>
    <x v="131"/>
    <x v="0"/>
    <x v="10"/>
    <n v="2087.9264555669101"/>
    <n v="762093.15628192003"/>
    <n v="2743535.3626149101"/>
  </r>
  <r>
    <x v="0"/>
    <x v="0"/>
    <x v="0"/>
    <x v="9"/>
    <x v="19"/>
    <s v="SE3A"/>
    <x v="13"/>
    <x v="131"/>
    <x v="0"/>
    <x v="11"/>
    <n v="2087.9264555669101"/>
    <n v="762093.15628192003"/>
    <n v="2743535.3626149101"/>
  </r>
  <r>
    <x v="0"/>
    <x v="0"/>
    <x v="0"/>
    <x v="9"/>
    <x v="19"/>
    <s v="SE3A"/>
    <x v="13"/>
    <x v="131"/>
    <x v="0"/>
    <x v="12"/>
    <n v="2087.9264555669101"/>
    <n v="762093.15628192003"/>
    <n v="2743535.3626149101"/>
  </r>
  <r>
    <x v="0"/>
    <x v="0"/>
    <x v="0"/>
    <x v="9"/>
    <x v="19"/>
    <s v="SE3A"/>
    <x v="13"/>
    <x v="131"/>
    <x v="0"/>
    <x v="13"/>
    <n v="2087.9264555669101"/>
    <n v="762093.15628192003"/>
    <n v="2743535.3626149101"/>
  </r>
  <r>
    <x v="0"/>
    <x v="0"/>
    <x v="0"/>
    <x v="9"/>
    <x v="19"/>
    <s v="SE3A"/>
    <x v="13"/>
    <x v="131"/>
    <x v="0"/>
    <x v="14"/>
    <n v="2087.9264555669101"/>
    <n v="762093.15628192003"/>
    <n v="2743535.3626149101"/>
  </r>
  <r>
    <x v="0"/>
    <x v="0"/>
    <x v="0"/>
    <x v="9"/>
    <x v="19"/>
    <s v="SE3A"/>
    <x v="13"/>
    <x v="131"/>
    <x v="0"/>
    <x v="15"/>
    <n v="2087.9264555669101"/>
    <n v="762093.15628192003"/>
    <n v="2743535.3626149101"/>
  </r>
  <r>
    <x v="0"/>
    <x v="0"/>
    <x v="0"/>
    <x v="9"/>
    <x v="19"/>
    <s v="SE3A"/>
    <x v="13"/>
    <x v="131"/>
    <x v="0"/>
    <x v="16"/>
    <n v="2087.9264555669101"/>
    <n v="762093.15628192003"/>
    <n v="2743535.3626149101"/>
  </r>
  <r>
    <x v="0"/>
    <x v="0"/>
    <x v="0"/>
    <x v="9"/>
    <x v="19"/>
    <s v="SE3A"/>
    <x v="13"/>
    <x v="131"/>
    <x v="0"/>
    <x v="17"/>
    <n v="2087.9264555669101"/>
    <n v="762093.15628192003"/>
    <n v="2743535.3626149101"/>
  </r>
  <r>
    <x v="0"/>
    <x v="0"/>
    <x v="0"/>
    <x v="9"/>
    <x v="19"/>
    <s v="SE3A"/>
    <x v="13"/>
    <x v="131"/>
    <x v="0"/>
    <x v="18"/>
    <n v="2087.9264555669101"/>
    <n v="762093.15628192003"/>
    <n v="2743535.3626149101"/>
  </r>
  <r>
    <x v="0"/>
    <x v="0"/>
    <x v="0"/>
    <x v="9"/>
    <x v="19"/>
    <s v="SE3A"/>
    <x v="13"/>
    <x v="131"/>
    <x v="0"/>
    <x v="19"/>
    <n v="2087.9264555669101"/>
    <n v="762093.15628192003"/>
    <n v="2743535.3626149101"/>
  </r>
  <r>
    <x v="0"/>
    <x v="0"/>
    <x v="0"/>
    <x v="9"/>
    <x v="19"/>
    <s v="SE3A"/>
    <x v="13"/>
    <x v="131"/>
    <x v="0"/>
    <x v="20"/>
    <n v="2087.9264555669101"/>
    <n v="762093.15628192003"/>
    <n v="2743535.3626149101"/>
  </r>
  <r>
    <x v="0"/>
    <x v="0"/>
    <x v="0"/>
    <x v="9"/>
    <x v="19"/>
    <s v="SE3_EL"/>
    <x v="0"/>
    <x v="237"/>
    <x v="0"/>
    <x v="0"/>
    <n v="2.5212473243201399"/>
    <n v="920.25527337685196"/>
    <n v="3312.9189841566699"/>
  </r>
  <r>
    <x v="0"/>
    <x v="0"/>
    <x v="0"/>
    <x v="9"/>
    <x v="19"/>
    <s v="SE3_EL"/>
    <x v="0"/>
    <x v="237"/>
    <x v="0"/>
    <x v="1"/>
    <n v="44.756262817724199"/>
    <n v="16336.0359284693"/>
    <n v="58809.729342489598"/>
  </r>
  <r>
    <x v="0"/>
    <x v="0"/>
    <x v="0"/>
    <x v="9"/>
    <x v="19"/>
    <s v="SE3_EL"/>
    <x v="0"/>
    <x v="237"/>
    <x v="0"/>
    <x v="2"/>
    <n v="44.756262817724199"/>
    <n v="16336.0359284693"/>
    <n v="58809.729342489598"/>
  </r>
  <r>
    <x v="0"/>
    <x v="0"/>
    <x v="0"/>
    <x v="9"/>
    <x v="19"/>
    <s v="SE3_EL"/>
    <x v="0"/>
    <x v="237"/>
    <x v="0"/>
    <x v="9"/>
    <n v="44.756262817724199"/>
    <n v="16336.0359284693"/>
    <n v="58809.729342489598"/>
  </r>
  <r>
    <x v="0"/>
    <x v="0"/>
    <x v="0"/>
    <x v="9"/>
    <x v="19"/>
    <s v="SE3_EL"/>
    <x v="0"/>
    <x v="237"/>
    <x v="0"/>
    <x v="10"/>
    <n v="44.756262817724199"/>
    <n v="16336.0359284693"/>
    <n v="58809.729342489598"/>
  </r>
  <r>
    <x v="0"/>
    <x v="0"/>
    <x v="0"/>
    <x v="9"/>
    <x v="19"/>
    <s v="SE3_EL"/>
    <x v="0"/>
    <x v="237"/>
    <x v="0"/>
    <x v="11"/>
    <n v="44.756262817724199"/>
    <n v="16336.0359284693"/>
    <n v="58809.729342489598"/>
  </r>
  <r>
    <x v="0"/>
    <x v="0"/>
    <x v="0"/>
    <x v="9"/>
    <x v="19"/>
    <s v="SE3_EL"/>
    <x v="0"/>
    <x v="237"/>
    <x v="0"/>
    <x v="12"/>
    <n v="44.756262817724199"/>
    <n v="16336.0359284693"/>
    <n v="58809.729342489598"/>
  </r>
  <r>
    <x v="0"/>
    <x v="0"/>
    <x v="0"/>
    <x v="9"/>
    <x v="19"/>
    <s v="SE3_EL"/>
    <x v="0"/>
    <x v="237"/>
    <x v="0"/>
    <x v="13"/>
    <n v="44.756262817724199"/>
    <n v="16336.0359284693"/>
    <n v="58809.729342489598"/>
  </r>
  <r>
    <x v="0"/>
    <x v="0"/>
    <x v="0"/>
    <x v="9"/>
    <x v="19"/>
    <s v="SE3_EL"/>
    <x v="0"/>
    <x v="237"/>
    <x v="0"/>
    <x v="14"/>
    <n v="44.756262817724199"/>
    <n v="16336.0359284693"/>
    <n v="58809.729342489598"/>
  </r>
  <r>
    <x v="0"/>
    <x v="0"/>
    <x v="0"/>
    <x v="9"/>
    <x v="19"/>
    <s v="SE3_EL"/>
    <x v="0"/>
    <x v="237"/>
    <x v="0"/>
    <x v="15"/>
    <n v="31.765639185042801"/>
    <n v="11594.458302540599"/>
    <n v="41740.049889146198"/>
  </r>
  <r>
    <x v="0"/>
    <x v="0"/>
    <x v="0"/>
    <x v="9"/>
    <x v="19"/>
    <s v="SE3_EL"/>
    <x v="1"/>
    <x v="234"/>
    <x v="0"/>
    <x v="3"/>
    <n v="265.34879853165199"/>
    <n v="96852.311464052895"/>
    <n v="348668.321270591"/>
  </r>
  <r>
    <x v="0"/>
    <x v="0"/>
    <x v="0"/>
    <x v="9"/>
    <x v="19"/>
    <s v="SE3_EL"/>
    <x v="1"/>
    <x v="234"/>
    <x v="0"/>
    <x v="4"/>
    <n v="265.34879853165199"/>
    <n v="96852.311464052895"/>
    <n v="348668.321270591"/>
  </r>
  <r>
    <x v="0"/>
    <x v="0"/>
    <x v="0"/>
    <x v="9"/>
    <x v="19"/>
    <s v="SE3_EL"/>
    <x v="1"/>
    <x v="234"/>
    <x v="0"/>
    <x v="5"/>
    <n v="265.34879853165199"/>
    <n v="96852.311464052895"/>
    <n v="348668.321270591"/>
  </r>
  <r>
    <x v="0"/>
    <x v="0"/>
    <x v="0"/>
    <x v="9"/>
    <x v="19"/>
    <s v="SE3_EL"/>
    <x v="1"/>
    <x v="234"/>
    <x v="0"/>
    <x v="6"/>
    <n v="265.34879853165199"/>
    <n v="96852.311464052895"/>
    <n v="348668.321270591"/>
  </r>
  <r>
    <x v="0"/>
    <x v="0"/>
    <x v="0"/>
    <x v="9"/>
    <x v="19"/>
    <s v="SE3_EL"/>
    <x v="1"/>
    <x v="234"/>
    <x v="0"/>
    <x v="7"/>
    <n v="265.34879853165199"/>
    <n v="96852.311464052895"/>
    <n v="348668.321270591"/>
  </r>
  <r>
    <x v="0"/>
    <x v="0"/>
    <x v="0"/>
    <x v="9"/>
    <x v="19"/>
    <s v="SE3_EL"/>
    <x v="1"/>
    <x v="234"/>
    <x v="0"/>
    <x v="8"/>
    <n v="265.34879853165199"/>
    <n v="96852.311464052895"/>
    <n v="348668.321270591"/>
  </r>
  <r>
    <x v="0"/>
    <x v="0"/>
    <x v="0"/>
    <x v="9"/>
    <x v="19"/>
    <s v="SE3_EL"/>
    <x v="1"/>
    <x v="234"/>
    <x v="0"/>
    <x v="0"/>
    <n v="265.34879853165199"/>
    <n v="96852.311464052895"/>
    <n v="348668.321270591"/>
  </r>
  <r>
    <x v="0"/>
    <x v="0"/>
    <x v="0"/>
    <x v="9"/>
    <x v="19"/>
    <s v="SE3_EL"/>
    <x v="1"/>
    <x v="234"/>
    <x v="0"/>
    <x v="1"/>
    <n v="265.34879853165199"/>
    <n v="96852.311464052895"/>
    <n v="348668.321270591"/>
  </r>
  <r>
    <x v="0"/>
    <x v="0"/>
    <x v="0"/>
    <x v="9"/>
    <x v="19"/>
    <s v="SE3_EL"/>
    <x v="1"/>
    <x v="234"/>
    <x v="0"/>
    <x v="2"/>
    <n v="265.34879853165199"/>
    <n v="96852.311464052895"/>
    <n v="348668.321270591"/>
  </r>
  <r>
    <x v="0"/>
    <x v="0"/>
    <x v="0"/>
    <x v="9"/>
    <x v="19"/>
    <s v="SE3_EL"/>
    <x v="1"/>
    <x v="234"/>
    <x v="0"/>
    <x v="9"/>
    <n v="265.34879853165199"/>
    <n v="96852.311464052895"/>
    <n v="348668.321270591"/>
  </r>
  <r>
    <x v="0"/>
    <x v="0"/>
    <x v="0"/>
    <x v="9"/>
    <x v="19"/>
    <s v="SE3_EL"/>
    <x v="1"/>
    <x v="234"/>
    <x v="0"/>
    <x v="10"/>
    <n v="265.34879853165199"/>
    <n v="96852.311464052895"/>
    <n v="348668.321270591"/>
  </r>
  <r>
    <x v="0"/>
    <x v="0"/>
    <x v="0"/>
    <x v="9"/>
    <x v="19"/>
    <s v="SE3_EL"/>
    <x v="1"/>
    <x v="234"/>
    <x v="0"/>
    <x v="11"/>
    <n v="265.34879853165199"/>
    <n v="96852.311464052895"/>
    <n v="348668.321270591"/>
  </r>
  <r>
    <x v="0"/>
    <x v="0"/>
    <x v="0"/>
    <x v="9"/>
    <x v="19"/>
    <s v="SE3_EL"/>
    <x v="1"/>
    <x v="234"/>
    <x v="0"/>
    <x v="12"/>
    <n v="265.34879853165199"/>
    <n v="96852.311464052895"/>
    <n v="348668.321270591"/>
  </r>
  <r>
    <x v="0"/>
    <x v="0"/>
    <x v="0"/>
    <x v="9"/>
    <x v="19"/>
    <s v="SE3_EL"/>
    <x v="1"/>
    <x v="234"/>
    <x v="0"/>
    <x v="13"/>
    <n v="265.34879853165199"/>
    <n v="96852.311464052895"/>
    <n v="348668.321270591"/>
  </r>
  <r>
    <x v="0"/>
    <x v="0"/>
    <x v="0"/>
    <x v="9"/>
    <x v="19"/>
    <s v="SE3_EL"/>
    <x v="1"/>
    <x v="234"/>
    <x v="0"/>
    <x v="14"/>
    <n v="265.34879853165199"/>
    <n v="96852.311464052895"/>
    <n v="348668.321270591"/>
  </r>
  <r>
    <x v="0"/>
    <x v="0"/>
    <x v="0"/>
    <x v="9"/>
    <x v="19"/>
    <s v="SE3_EL"/>
    <x v="1"/>
    <x v="234"/>
    <x v="0"/>
    <x v="15"/>
    <n v="265.34879853165199"/>
    <n v="96852.311464052895"/>
    <n v="348668.321270591"/>
  </r>
  <r>
    <x v="0"/>
    <x v="0"/>
    <x v="0"/>
    <x v="9"/>
    <x v="19"/>
    <s v="SE3_EL"/>
    <x v="1"/>
    <x v="234"/>
    <x v="0"/>
    <x v="16"/>
    <n v="265.34879853165199"/>
    <n v="96852.311464052895"/>
    <n v="348668.321270591"/>
  </r>
  <r>
    <x v="0"/>
    <x v="0"/>
    <x v="0"/>
    <x v="9"/>
    <x v="19"/>
    <s v="SE3_EL"/>
    <x v="1"/>
    <x v="234"/>
    <x v="0"/>
    <x v="17"/>
    <n v="265.34879853165199"/>
    <n v="96852.311464052895"/>
    <n v="348668.321270591"/>
  </r>
  <r>
    <x v="0"/>
    <x v="0"/>
    <x v="0"/>
    <x v="9"/>
    <x v="19"/>
    <s v="SE3_EL"/>
    <x v="1"/>
    <x v="234"/>
    <x v="0"/>
    <x v="18"/>
    <n v="265.34879853165199"/>
    <n v="96852.311464052895"/>
    <n v="348668.321270591"/>
  </r>
  <r>
    <x v="0"/>
    <x v="0"/>
    <x v="0"/>
    <x v="9"/>
    <x v="19"/>
    <s v="SE3_EL"/>
    <x v="1"/>
    <x v="234"/>
    <x v="0"/>
    <x v="19"/>
    <n v="265.34879853165199"/>
    <n v="96852.311464052895"/>
    <n v="348668.321270591"/>
  </r>
  <r>
    <x v="0"/>
    <x v="0"/>
    <x v="0"/>
    <x v="9"/>
    <x v="19"/>
    <s v="SE3_EL"/>
    <x v="1"/>
    <x v="234"/>
    <x v="0"/>
    <x v="20"/>
    <n v="265.34879853165199"/>
    <n v="96852.311464052895"/>
    <n v="348668.321270591"/>
  </r>
  <r>
    <x v="0"/>
    <x v="0"/>
    <x v="0"/>
    <x v="9"/>
    <x v="19"/>
    <s v="SE3_EL"/>
    <x v="1"/>
    <x v="234"/>
    <x v="0"/>
    <x v="21"/>
    <n v="265.34879853165199"/>
    <n v="96852.311464052895"/>
    <n v="348668.321270591"/>
  </r>
  <r>
    <x v="0"/>
    <x v="0"/>
    <x v="0"/>
    <x v="9"/>
    <x v="19"/>
    <s v="SE3_EL"/>
    <x v="1"/>
    <x v="234"/>
    <x v="0"/>
    <x v="22"/>
    <n v="265.34879853165199"/>
    <n v="96852.311464052895"/>
    <n v="348668.321270591"/>
  </r>
  <r>
    <x v="0"/>
    <x v="0"/>
    <x v="0"/>
    <x v="9"/>
    <x v="19"/>
    <s v="SE3_EL"/>
    <x v="1"/>
    <x v="234"/>
    <x v="0"/>
    <x v="23"/>
    <n v="265.34879853165199"/>
    <n v="96852.311464052895"/>
    <n v="348668.321270591"/>
  </r>
  <r>
    <x v="0"/>
    <x v="0"/>
    <x v="0"/>
    <x v="9"/>
    <x v="19"/>
    <s v="SE3_EL"/>
    <x v="1"/>
    <x v="238"/>
    <x v="0"/>
    <x v="3"/>
    <n v="240.586579408186"/>
    <n v="87814.101483987906"/>
    <n v="316130.765342356"/>
  </r>
  <r>
    <x v="0"/>
    <x v="0"/>
    <x v="0"/>
    <x v="9"/>
    <x v="19"/>
    <s v="SE3_EL"/>
    <x v="1"/>
    <x v="238"/>
    <x v="0"/>
    <x v="4"/>
    <n v="240.586579408186"/>
    <n v="87814.101483987906"/>
    <n v="316130.765342356"/>
  </r>
  <r>
    <x v="0"/>
    <x v="0"/>
    <x v="0"/>
    <x v="9"/>
    <x v="19"/>
    <s v="SE3_EL"/>
    <x v="1"/>
    <x v="238"/>
    <x v="0"/>
    <x v="5"/>
    <n v="240.586579408186"/>
    <n v="87814.101483987906"/>
    <n v="316130.765342356"/>
  </r>
  <r>
    <x v="0"/>
    <x v="0"/>
    <x v="0"/>
    <x v="9"/>
    <x v="19"/>
    <s v="SE3_EL"/>
    <x v="1"/>
    <x v="238"/>
    <x v="0"/>
    <x v="6"/>
    <n v="240.586579408186"/>
    <n v="87814.101483987906"/>
    <n v="316130.765342356"/>
  </r>
  <r>
    <x v="0"/>
    <x v="0"/>
    <x v="0"/>
    <x v="9"/>
    <x v="19"/>
    <s v="SE3_EL"/>
    <x v="1"/>
    <x v="238"/>
    <x v="0"/>
    <x v="7"/>
    <n v="240.586579408186"/>
    <n v="87814.101483987906"/>
    <n v="316130.765342356"/>
  </r>
  <r>
    <x v="0"/>
    <x v="0"/>
    <x v="0"/>
    <x v="9"/>
    <x v="19"/>
    <s v="SE3_EL"/>
    <x v="1"/>
    <x v="238"/>
    <x v="0"/>
    <x v="8"/>
    <n v="240.586579408186"/>
    <n v="87814.101483987906"/>
    <n v="316130.765342356"/>
  </r>
  <r>
    <x v="0"/>
    <x v="0"/>
    <x v="0"/>
    <x v="9"/>
    <x v="19"/>
    <s v="SE3_EL"/>
    <x v="1"/>
    <x v="238"/>
    <x v="0"/>
    <x v="0"/>
    <n v="240.586579408186"/>
    <n v="87814.101483987906"/>
    <n v="316130.765342356"/>
  </r>
  <r>
    <x v="0"/>
    <x v="0"/>
    <x v="0"/>
    <x v="9"/>
    <x v="19"/>
    <s v="SE3_EL"/>
    <x v="1"/>
    <x v="238"/>
    <x v="0"/>
    <x v="1"/>
    <n v="240.586579408186"/>
    <n v="87814.101483987906"/>
    <n v="316130.765342356"/>
  </r>
  <r>
    <x v="0"/>
    <x v="0"/>
    <x v="0"/>
    <x v="9"/>
    <x v="19"/>
    <s v="SE3_EL"/>
    <x v="1"/>
    <x v="238"/>
    <x v="0"/>
    <x v="2"/>
    <n v="240.586579408186"/>
    <n v="87814.101483987906"/>
    <n v="316130.765342356"/>
  </r>
  <r>
    <x v="0"/>
    <x v="0"/>
    <x v="0"/>
    <x v="9"/>
    <x v="19"/>
    <s v="SE3_EL"/>
    <x v="1"/>
    <x v="238"/>
    <x v="0"/>
    <x v="9"/>
    <n v="240.586579408186"/>
    <n v="87814.101483987906"/>
    <n v="316130.765342356"/>
  </r>
  <r>
    <x v="0"/>
    <x v="0"/>
    <x v="0"/>
    <x v="9"/>
    <x v="19"/>
    <s v="SE3_EL"/>
    <x v="1"/>
    <x v="238"/>
    <x v="0"/>
    <x v="10"/>
    <n v="240.586579408186"/>
    <n v="87814.101483987906"/>
    <n v="316130.765342356"/>
  </r>
  <r>
    <x v="0"/>
    <x v="0"/>
    <x v="0"/>
    <x v="9"/>
    <x v="19"/>
    <s v="SE3_EL"/>
    <x v="1"/>
    <x v="238"/>
    <x v="0"/>
    <x v="11"/>
    <n v="240.586579408186"/>
    <n v="87814.101483987906"/>
    <n v="316130.765342356"/>
  </r>
  <r>
    <x v="0"/>
    <x v="0"/>
    <x v="0"/>
    <x v="9"/>
    <x v="19"/>
    <s v="SE3_EL"/>
    <x v="1"/>
    <x v="238"/>
    <x v="0"/>
    <x v="12"/>
    <n v="240.586579408186"/>
    <n v="87814.101483987906"/>
    <n v="316130.765342356"/>
  </r>
  <r>
    <x v="0"/>
    <x v="0"/>
    <x v="0"/>
    <x v="9"/>
    <x v="19"/>
    <s v="SE3_EL"/>
    <x v="1"/>
    <x v="238"/>
    <x v="0"/>
    <x v="13"/>
    <n v="240.586579408186"/>
    <n v="87814.101483987906"/>
    <n v="316130.765342356"/>
  </r>
  <r>
    <x v="0"/>
    <x v="0"/>
    <x v="0"/>
    <x v="9"/>
    <x v="19"/>
    <s v="SE3_EL"/>
    <x v="1"/>
    <x v="238"/>
    <x v="0"/>
    <x v="14"/>
    <n v="240.586579408186"/>
    <n v="87814.101483987906"/>
    <n v="316130.765342356"/>
  </r>
  <r>
    <x v="0"/>
    <x v="0"/>
    <x v="0"/>
    <x v="9"/>
    <x v="19"/>
    <s v="SE3_EL"/>
    <x v="1"/>
    <x v="238"/>
    <x v="0"/>
    <x v="15"/>
    <n v="240.586579408186"/>
    <n v="87814.101483987906"/>
    <n v="316130.765342356"/>
  </r>
  <r>
    <x v="0"/>
    <x v="0"/>
    <x v="0"/>
    <x v="9"/>
    <x v="19"/>
    <s v="SE3_EL"/>
    <x v="1"/>
    <x v="238"/>
    <x v="0"/>
    <x v="16"/>
    <n v="240.586579408186"/>
    <n v="87814.101483987906"/>
    <n v="316130.765342356"/>
  </r>
  <r>
    <x v="0"/>
    <x v="0"/>
    <x v="0"/>
    <x v="9"/>
    <x v="19"/>
    <s v="SE3_EL"/>
    <x v="1"/>
    <x v="238"/>
    <x v="0"/>
    <x v="17"/>
    <n v="240.586579408186"/>
    <n v="87814.101483987906"/>
    <n v="316130.765342356"/>
  </r>
  <r>
    <x v="0"/>
    <x v="0"/>
    <x v="0"/>
    <x v="9"/>
    <x v="19"/>
    <s v="SE3_EL"/>
    <x v="1"/>
    <x v="238"/>
    <x v="0"/>
    <x v="18"/>
    <n v="240.586579408186"/>
    <n v="87814.101483987906"/>
    <n v="316130.765342356"/>
  </r>
  <r>
    <x v="0"/>
    <x v="0"/>
    <x v="0"/>
    <x v="9"/>
    <x v="19"/>
    <s v="SE3_EL"/>
    <x v="1"/>
    <x v="238"/>
    <x v="0"/>
    <x v="19"/>
    <n v="240.586579408186"/>
    <n v="87814.101483987906"/>
    <n v="316130.765342356"/>
  </r>
  <r>
    <x v="0"/>
    <x v="0"/>
    <x v="0"/>
    <x v="9"/>
    <x v="19"/>
    <s v="SE3_EL"/>
    <x v="1"/>
    <x v="238"/>
    <x v="0"/>
    <x v="20"/>
    <n v="240.586579408186"/>
    <n v="87814.101483987906"/>
    <n v="316130.765342356"/>
  </r>
  <r>
    <x v="0"/>
    <x v="0"/>
    <x v="0"/>
    <x v="9"/>
    <x v="19"/>
    <s v="SE3_EL"/>
    <x v="1"/>
    <x v="238"/>
    <x v="0"/>
    <x v="21"/>
    <n v="240.586579408186"/>
    <n v="87814.101483987906"/>
    <n v="316130.765342356"/>
  </r>
  <r>
    <x v="0"/>
    <x v="0"/>
    <x v="0"/>
    <x v="9"/>
    <x v="19"/>
    <s v="SE3_EL"/>
    <x v="1"/>
    <x v="238"/>
    <x v="0"/>
    <x v="22"/>
    <n v="240.586579408186"/>
    <n v="87814.101483987906"/>
    <n v="316130.765342356"/>
  </r>
  <r>
    <x v="0"/>
    <x v="0"/>
    <x v="0"/>
    <x v="9"/>
    <x v="19"/>
    <s v="SE3_EL"/>
    <x v="1"/>
    <x v="238"/>
    <x v="0"/>
    <x v="23"/>
    <n v="240.586579408186"/>
    <n v="87814.101483987906"/>
    <n v="316130.765342356"/>
  </r>
  <r>
    <x v="0"/>
    <x v="0"/>
    <x v="0"/>
    <x v="9"/>
    <x v="19"/>
    <s v="SE3_EL"/>
    <x v="1"/>
    <x v="208"/>
    <x v="0"/>
    <x v="3"/>
    <n v="209.18256201999799"/>
    <n v="76351.635137299294"/>
    <n v="274865.88649427699"/>
  </r>
  <r>
    <x v="0"/>
    <x v="0"/>
    <x v="0"/>
    <x v="9"/>
    <x v="19"/>
    <s v="SE3_EL"/>
    <x v="1"/>
    <x v="208"/>
    <x v="0"/>
    <x v="4"/>
    <n v="209.18256201999799"/>
    <n v="76351.635137299294"/>
    <n v="274865.88649427699"/>
  </r>
  <r>
    <x v="0"/>
    <x v="0"/>
    <x v="0"/>
    <x v="9"/>
    <x v="19"/>
    <s v="SE3_EL"/>
    <x v="1"/>
    <x v="208"/>
    <x v="0"/>
    <x v="5"/>
    <n v="209.18256201999799"/>
    <n v="76351.635137299294"/>
    <n v="274865.88649427699"/>
  </r>
  <r>
    <x v="0"/>
    <x v="0"/>
    <x v="0"/>
    <x v="9"/>
    <x v="19"/>
    <s v="SE3_EL"/>
    <x v="1"/>
    <x v="208"/>
    <x v="0"/>
    <x v="6"/>
    <n v="209.18256201999799"/>
    <n v="76351.635137299294"/>
    <n v="274865.88649427699"/>
  </r>
  <r>
    <x v="0"/>
    <x v="0"/>
    <x v="0"/>
    <x v="9"/>
    <x v="19"/>
    <s v="SE3_EL"/>
    <x v="1"/>
    <x v="208"/>
    <x v="0"/>
    <x v="7"/>
    <n v="209.18256201999799"/>
    <n v="76351.635137299294"/>
    <n v="274865.88649427699"/>
  </r>
  <r>
    <x v="0"/>
    <x v="0"/>
    <x v="0"/>
    <x v="9"/>
    <x v="19"/>
    <s v="SE3_EL"/>
    <x v="1"/>
    <x v="208"/>
    <x v="0"/>
    <x v="8"/>
    <n v="209.18256201999799"/>
    <n v="76351.635137299294"/>
    <n v="274865.88649427699"/>
  </r>
  <r>
    <x v="0"/>
    <x v="0"/>
    <x v="0"/>
    <x v="9"/>
    <x v="19"/>
    <s v="SE3_EL"/>
    <x v="1"/>
    <x v="208"/>
    <x v="0"/>
    <x v="0"/>
    <n v="209.18256201999799"/>
    <n v="76351.635137299294"/>
    <n v="274865.88649427699"/>
  </r>
  <r>
    <x v="0"/>
    <x v="0"/>
    <x v="0"/>
    <x v="9"/>
    <x v="19"/>
    <s v="SE3_EL"/>
    <x v="1"/>
    <x v="208"/>
    <x v="0"/>
    <x v="1"/>
    <n v="209.18256201999799"/>
    <n v="76351.635137299294"/>
    <n v="274865.88649427699"/>
  </r>
  <r>
    <x v="0"/>
    <x v="0"/>
    <x v="0"/>
    <x v="9"/>
    <x v="19"/>
    <s v="SE3_EL"/>
    <x v="1"/>
    <x v="208"/>
    <x v="0"/>
    <x v="2"/>
    <n v="209.18256201999799"/>
    <n v="76351.635137299294"/>
    <n v="274865.88649427699"/>
  </r>
  <r>
    <x v="0"/>
    <x v="0"/>
    <x v="0"/>
    <x v="9"/>
    <x v="19"/>
    <s v="SE3_EL"/>
    <x v="1"/>
    <x v="208"/>
    <x v="0"/>
    <x v="9"/>
    <n v="209.18256201999799"/>
    <n v="76351.635137299294"/>
    <n v="274865.88649427699"/>
  </r>
  <r>
    <x v="0"/>
    <x v="0"/>
    <x v="0"/>
    <x v="9"/>
    <x v="19"/>
    <s v="SE3_EL"/>
    <x v="1"/>
    <x v="208"/>
    <x v="0"/>
    <x v="10"/>
    <n v="209.18256201999799"/>
    <n v="76351.635137299294"/>
    <n v="274865.88649427699"/>
  </r>
  <r>
    <x v="0"/>
    <x v="0"/>
    <x v="0"/>
    <x v="9"/>
    <x v="19"/>
    <s v="SE3_EL"/>
    <x v="1"/>
    <x v="208"/>
    <x v="0"/>
    <x v="11"/>
    <n v="209.18256201999799"/>
    <n v="76351.635137299294"/>
    <n v="274865.88649427699"/>
  </r>
  <r>
    <x v="0"/>
    <x v="0"/>
    <x v="0"/>
    <x v="9"/>
    <x v="19"/>
    <s v="SE3_EL"/>
    <x v="1"/>
    <x v="208"/>
    <x v="0"/>
    <x v="12"/>
    <n v="209.18256201999799"/>
    <n v="76351.635137299294"/>
    <n v="274865.88649427699"/>
  </r>
  <r>
    <x v="0"/>
    <x v="0"/>
    <x v="0"/>
    <x v="9"/>
    <x v="19"/>
    <s v="SE3_EL"/>
    <x v="1"/>
    <x v="208"/>
    <x v="0"/>
    <x v="13"/>
    <n v="209.18256201999799"/>
    <n v="76351.635137299294"/>
    <n v="274865.88649427699"/>
  </r>
  <r>
    <x v="0"/>
    <x v="0"/>
    <x v="0"/>
    <x v="9"/>
    <x v="19"/>
    <s v="SE3_EL"/>
    <x v="1"/>
    <x v="208"/>
    <x v="0"/>
    <x v="14"/>
    <n v="209.18256201999799"/>
    <n v="76351.635137299294"/>
    <n v="274865.88649427699"/>
  </r>
  <r>
    <x v="0"/>
    <x v="0"/>
    <x v="0"/>
    <x v="9"/>
    <x v="19"/>
    <s v="SE3_EL"/>
    <x v="1"/>
    <x v="208"/>
    <x v="0"/>
    <x v="15"/>
    <n v="209.18256201999799"/>
    <n v="76351.635137299294"/>
    <n v="274865.88649427699"/>
  </r>
  <r>
    <x v="0"/>
    <x v="0"/>
    <x v="0"/>
    <x v="9"/>
    <x v="19"/>
    <s v="SE3_EL"/>
    <x v="1"/>
    <x v="208"/>
    <x v="0"/>
    <x v="16"/>
    <n v="209.18256201999799"/>
    <n v="76351.635137299294"/>
    <n v="274865.88649427699"/>
  </r>
  <r>
    <x v="0"/>
    <x v="0"/>
    <x v="0"/>
    <x v="9"/>
    <x v="19"/>
    <s v="SE3_EL"/>
    <x v="1"/>
    <x v="208"/>
    <x v="0"/>
    <x v="17"/>
    <n v="209.18256201999799"/>
    <n v="76351.635137299294"/>
    <n v="274865.88649427699"/>
  </r>
  <r>
    <x v="0"/>
    <x v="0"/>
    <x v="0"/>
    <x v="9"/>
    <x v="19"/>
    <s v="SE3_EL"/>
    <x v="1"/>
    <x v="208"/>
    <x v="0"/>
    <x v="18"/>
    <n v="209.18256201999799"/>
    <n v="76351.635137299294"/>
    <n v="274865.88649427699"/>
  </r>
  <r>
    <x v="0"/>
    <x v="0"/>
    <x v="0"/>
    <x v="9"/>
    <x v="19"/>
    <s v="SE3_EL"/>
    <x v="1"/>
    <x v="208"/>
    <x v="0"/>
    <x v="19"/>
    <n v="209.18256201999799"/>
    <n v="76351.635137299294"/>
    <n v="274865.88649427699"/>
  </r>
  <r>
    <x v="0"/>
    <x v="0"/>
    <x v="0"/>
    <x v="9"/>
    <x v="19"/>
    <s v="SE3_EL"/>
    <x v="1"/>
    <x v="208"/>
    <x v="0"/>
    <x v="20"/>
    <n v="209.18256201999799"/>
    <n v="76351.635137299294"/>
    <n v="274865.88649427699"/>
  </r>
  <r>
    <x v="0"/>
    <x v="0"/>
    <x v="0"/>
    <x v="9"/>
    <x v="19"/>
    <s v="SE3_EL"/>
    <x v="1"/>
    <x v="208"/>
    <x v="0"/>
    <x v="21"/>
    <n v="209.18256201999799"/>
    <n v="76351.635137299294"/>
    <n v="274865.88649427699"/>
  </r>
  <r>
    <x v="0"/>
    <x v="0"/>
    <x v="0"/>
    <x v="9"/>
    <x v="19"/>
    <s v="SE3_EL"/>
    <x v="1"/>
    <x v="208"/>
    <x v="0"/>
    <x v="22"/>
    <n v="209.18256201999799"/>
    <n v="76351.635137299294"/>
    <n v="274865.88649427699"/>
  </r>
  <r>
    <x v="0"/>
    <x v="0"/>
    <x v="0"/>
    <x v="9"/>
    <x v="19"/>
    <s v="SE3_EL"/>
    <x v="1"/>
    <x v="208"/>
    <x v="0"/>
    <x v="23"/>
    <n v="209.18256201999799"/>
    <n v="76351.635137299294"/>
    <n v="274865.88649427699"/>
  </r>
  <r>
    <x v="0"/>
    <x v="0"/>
    <x v="0"/>
    <x v="9"/>
    <x v="19"/>
    <s v="SE3_EL"/>
    <x v="2"/>
    <x v="231"/>
    <x v="0"/>
    <x v="8"/>
    <n v="15.9798306782584"/>
    <n v="5832.6381975643098"/>
    <n v="20997.497511231501"/>
  </r>
  <r>
    <x v="0"/>
    <x v="0"/>
    <x v="0"/>
    <x v="9"/>
    <x v="19"/>
    <s v="SE3_EL"/>
    <x v="2"/>
    <x v="231"/>
    <x v="0"/>
    <x v="0"/>
    <n v="15.9798306782584"/>
    <n v="5832.6381975643098"/>
    <n v="20997.497511231501"/>
  </r>
  <r>
    <x v="0"/>
    <x v="0"/>
    <x v="0"/>
    <x v="9"/>
    <x v="19"/>
    <s v="SE3_EL"/>
    <x v="2"/>
    <x v="231"/>
    <x v="0"/>
    <x v="1"/>
    <n v="15.9798306782584"/>
    <n v="5832.6381975643098"/>
    <n v="20997.497511231501"/>
  </r>
  <r>
    <x v="0"/>
    <x v="0"/>
    <x v="0"/>
    <x v="9"/>
    <x v="19"/>
    <s v="SE3_EL"/>
    <x v="2"/>
    <x v="231"/>
    <x v="0"/>
    <x v="2"/>
    <n v="15.9798306782584"/>
    <n v="5832.6381975643098"/>
    <n v="20997.497511231501"/>
  </r>
  <r>
    <x v="0"/>
    <x v="0"/>
    <x v="0"/>
    <x v="9"/>
    <x v="19"/>
    <s v="SE3_EL"/>
    <x v="2"/>
    <x v="231"/>
    <x v="0"/>
    <x v="9"/>
    <n v="15.9798306782584"/>
    <n v="5832.6381975643098"/>
    <n v="20997.497511231501"/>
  </r>
  <r>
    <x v="0"/>
    <x v="0"/>
    <x v="0"/>
    <x v="9"/>
    <x v="19"/>
    <s v="SE3_EL"/>
    <x v="2"/>
    <x v="231"/>
    <x v="0"/>
    <x v="10"/>
    <n v="15.9798306782584"/>
    <n v="5832.6381975643098"/>
    <n v="20997.497511231501"/>
  </r>
  <r>
    <x v="0"/>
    <x v="0"/>
    <x v="0"/>
    <x v="9"/>
    <x v="19"/>
    <s v="SE3_EL"/>
    <x v="2"/>
    <x v="231"/>
    <x v="0"/>
    <x v="11"/>
    <n v="15.9798306782584"/>
    <n v="5832.6381975643098"/>
    <n v="20997.497511231501"/>
  </r>
  <r>
    <x v="0"/>
    <x v="0"/>
    <x v="0"/>
    <x v="9"/>
    <x v="19"/>
    <s v="SE3_EL"/>
    <x v="2"/>
    <x v="231"/>
    <x v="0"/>
    <x v="12"/>
    <n v="15.9798306782584"/>
    <n v="5832.6381975643098"/>
    <n v="20997.497511231501"/>
  </r>
  <r>
    <x v="0"/>
    <x v="0"/>
    <x v="0"/>
    <x v="9"/>
    <x v="19"/>
    <s v="SE3_EL"/>
    <x v="2"/>
    <x v="231"/>
    <x v="0"/>
    <x v="13"/>
    <n v="15.9798306782584"/>
    <n v="5832.6381975643098"/>
    <n v="20997.497511231501"/>
  </r>
  <r>
    <x v="0"/>
    <x v="0"/>
    <x v="0"/>
    <x v="9"/>
    <x v="19"/>
    <s v="SE3_EL"/>
    <x v="2"/>
    <x v="231"/>
    <x v="0"/>
    <x v="14"/>
    <n v="15.9798306782584"/>
    <n v="5832.6381975643098"/>
    <n v="20997.497511231501"/>
  </r>
  <r>
    <x v="0"/>
    <x v="0"/>
    <x v="0"/>
    <x v="9"/>
    <x v="19"/>
    <s v="SE3_EL"/>
    <x v="2"/>
    <x v="231"/>
    <x v="0"/>
    <x v="15"/>
    <n v="15.9798306782584"/>
    <n v="5832.6381975643098"/>
    <n v="20997.497511231501"/>
  </r>
  <r>
    <x v="0"/>
    <x v="0"/>
    <x v="0"/>
    <x v="9"/>
    <x v="19"/>
    <s v="SE3_EL"/>
    <x v="2"/>
    <x v="231"/>
    <x v="0"/>
    <x v="16"/>
    <n v="15.9798306782584"/>
    <n v="5832.6381975643098"/>
    <n v="20997.497511231501"/>
  </r>
  <r>
    <x v="0"/>
    <x v="0"/>
    <x v="0"/>
    <x v="9"/>
    <x v="19"/>
    <s v="SE3_EL"/>
    <x v="2"/>
    <x v="231"/>
    <x v="0"/>
    <x v="17"/>
    <n v="15.9798306782584"/>
    <n v="5832.6381975643098"/>
    <n v="20997.497511231501"/>
  </r>
  <r>
    <x v="0"/>
    <x v="0"/>
    <x v="0"/>
    <x v="9"/>
    <x v="19"/>
    <s v="SE3_EL"/>
    <x v="22"/>
    <x v="239"/>
    <x v="0"/>
    <x v="3"/>
    <n v="227.92132826563599"/>
    <n v="83191.284816957006"/>
    <n v="299488.62534104497"/>
  </r>
  <r>
    <x v="0"/>
    <x v="0"/>
    <x v="0"/>
    <x v="9"/>
    <x v="19"/>
    <s v="SE3_EL"/>
    <x v="22"/>
    <x v="239"/>
    <x v="0"/>
    <x v="4"/>
    <n v="227.92132826563599"/>
    <n v="83191.284816957006"/>
    <n v="299488.62534104497"/>
  </r>
  <r>
    <x v="0"/>
    <x v="0"/>
    <x v="0"/>
    <x v="9"/>
    <x v="19"/>
    <s v="SE3_EL"/>
    <x v="22"/>
    <x v="239"/>
    <x v="0"/>
    <x v="5"/>
    <n v="227.92132826563599"/>
    <n v="83191.284816957006"/>
    <n v="299488.62534104497"/>
  </r>
  <r>
    <x v="0"/>
    <x v="0"/>
    <x v="0"/>
    <x v="9"/>
    <x v="19"/>
    <s v="SE3_EL"/>
    <x v="22"/>
    <x v="239"/>
    <x v="0"/>
    <x v="6"/>
    <n v="227.92132826563599"/>
    <n v="83191.284816957006"/>
    <n v="299488.62534104497"/>
  </r>
  <r>
    <x v="0"/>
    <x v="0"/>
    <x v="0"/>
    <x v="9"/>
    <x v="19"/>
    <s v="SE3_EL"/>
    <x v="22"/>
    <x v="239"/>
    <x v="0"/>
    <x v="7"/>
    <n v="227.92132826563599"/>
    <n v="83191.284816957006"/>
    <n v="299488.62534104497"/>
  </r>
  <r>
    <x v="0"/>
    <x v="0"/>
    <x v="0"/>
    <x v="9"/>
    <x v="19"/>
    <s v="SE3_EL"/>
    <x v="22"/>
    <x v="239"/>
    <x v="0"/>
    <x v="8"/>
    <n v="227.92132826563599"/>
    <n v="83191.284816957006"/>
    <n v="299488.62534104497"/>
  </r>
  <r>
    <x v="0"/>
    <x v="0"/>
    <x v="0"/>
    <x v="9"/>
    <x v="19"/>
    <s v="SE3_EL"/>
    <x v="22"/>
    <x v="239"/>
    <x v="0"/>
    <x v="0"/>
    <n v="227.92132826563599"/>
    <n v="83191.284816957006"/>
    <n v="299488.62534104497"/>
  </r>
  <r>
    <x v="0"/>
    <x v="0"/>
    <x v="0"/>
    <x v="9"/>
    <x v="19"/>
    <s v="SE3_EL"/>
    <x v="22"/>
    <x v="239"/>
    <x v="0"/>
    <x v="1"/>
    <n v="227.92132826563599"/>
    <n v="83191.284816957006"/>
    <n v="299488.62534104497"/>
  </r>
  <r>
    <x v="0"/>
    <x v="0"/>
    <x v="0"/>
    <x v="9"/>
    <x v="19"/>
    <s v="SE3_EL"/>
    <x v="22"/>
    <x v="239"/>
    <x v="0"/>
    <x v="2"/>
    <n v="227.92132826563599"/>
    <n v="83191.284816957006"/>
    <n v="299488.62534104497"/>
  </r>
  <r>
    <x v="0"/>
    <x v="0"/>
    <x v="0"/>
    <x v="9"/>
    <x v="19"/>
    <s v="SE3_EL"/>
    <x v="22"/>
    <x v="239"/>
    <x v="0"/>
    <x v="9"/>
    <n v="227.92132826563599"/>
    <n v="83191.284816957006"/>
    <n v="299488.62534104497"/>
  </r>
  <r>
    <x v="0"/>
    <x v="0"/>
    <x v="0"/>
    <x v="9"/>
    <x v="19"/>
    <s v="SE3_EL"/>
    <x v="22"/>
    <x v="239"/>
    <x v="0"/>
    <x v="10"/>
    <n v="227.92132826563599"/>
    <n v="83191.284816957006"/>
    <n v="299488.62534104497"/>
  </r>
  <r>
    <x v="0"/>
    <x v="0"/>
    <x v="0"/>
    <x v="9"/>
    <x v="19"/>
    <s v="SE3_EL"/>
    <x v="22"/>
    <x v="239"/>
    <x v="0"/>
    <x v="11"/>
    <n v="227.92132826563599"/>
    <n v="83191.284816957006"/>
    <n v="299488.62534104497"/>
  </r>
  <r>
    <x v="0"/>
    <x v="0"/>
    <x v="0"/>
    <x v="9"/>
    <x v="19"/>
    <s v="SE3_EL"/>
    <x v="22"/>
    <x v="239"/>
    <x v="0"/>
    <x v="12"/>
    <n v="227.92132826563599"/>
    <n v="83191.284816957006"/>
    <n v="299488.62534104497"/>
  </r>
  <r>
    <x v="0"/>
    <x v="0"/>
    <x v="0"/>
    <x v="9"/>
    <x v="19"/>
    <s v="SE3_EL"/>
    <x v="22"/>
    <x v="239"/>
    <x v="0"/>
    <x v="13"/>
    <n v="227.92132826563599"/>
    <n v="83191.284816957006"/>
    <n v="299488.62534104497"/>
  </r>
  <r>
    <x v="0"/>
    <x v="0"/>
    <x v="0"/>
    <x v="9"/>
    <x v="19"/>
    <s v="SE3_EL"/>
    <x v="22"/>
    <x v="239"/>
    <x v="0"/>
    <x v="14"/>
    <n v="227.92132826563599"/>
    <n v="83191.284816957006"/>
    <n v="299488.62534104497"/>
  </r>
  <r>
    <x v="0"/>
    <x v="0"/>
    <x v="0"/>
    <x v="9"/>
    <x v="19"/>
    <s v="SE3_EL"/>
    <x v="22"/>
    <x v="239"/>
    <x v="0"/>
    <x v="15"/>
    <n v="227.92132826563599"/>
    <n v="83191.284816957006"/>
    <n v="299488.62534104497"/>
  </r>
  <r>
    <x v="0"/>
    <x v="0"/>
    <x v="0"/>
    <x v="9"/>
    <x v="19"/>
    <s v="SE3_EL"/>
    <x v="22"/>
    <x v="239"/>
    <x v="0"/>
    <x v="16"/>
    <n v="227.92132826563599"/>
    <n v="83191.284816957006"/>
    <n v="299488.62534104497"/>
  </r>
  <r>
    <x v="0"/>
    <x v="0"/>
    <x v="0"/>
    <x v="9"/>
    <x v="19"/>
    <s v="SE3_EL"/>
    <x v="22"/>
    <x v="239"/>
    <x v="0"/>
    <x v="17"/>
    <n v="227.92132826563599"/>
    <n v="83191.284816957006"/>
    <n v="299488.62534104497"/>
  </r>
  <r>
    <x v="0"/>
    <x v="0"/>
    <x v="0"/>
    <x v="9"/>
    <x v="19"/>
    <s v="SE3_EL"/>
    <x v="22"/>
    <x v="239"/>
    <x v="0"/>
    <x v="18"/>
    <n v="227.92132826563599"/>
    <n v="83191.284816957006"/>
    <n v="299488.62534104497"/>
  </r>
  <r>
    <x v="0"/>
    <x v="0"/>
    <x v="0"/>
    <x v="9"/>
    <x v="19"/>
    <s v="SE3_EL"/>
    <x v="22"/>
    <x v="239"/>
    <x v="0"/>
    <x v="19"/>
    <n v="227.92132826563599"/>
    <n v="83191.284816957006"/>
    <n v="299488.62534104497"/>
  </r>
  <r>
    <x v="0"/>
    <x v="0"/>
    <x v="0"/>
    <x v="9"/>
    <x v="19"/>
    <s v="SE3_EL"/>
    <x v="22"/>
    <x v="239"/>
    <x v="0"/>
    <x v="20"/>
    <n v="227.92132826563599"/>
    <n v="83191.284816957006"/>
    <n v="299488.62534104497"/>
  </r>
  <r>
    <x v="0"/>
    <x v="0"/>
    <x v="0"/>
    <x v="9"/>
    <x v="19"/>
    <s v="SE3_EL"/>
    <x v="22"/>
    <x v="239"/>
    <x v="0"/>
    <x v="21"/>
    <n v="227.92132826563599"/>
    <n v="83191.284816957006"/>
    <n v="299488.62534104497"/>
  </r>
  <r>
    <x v="0"/>
    <x v="0"/>
    <x v="0"/>
    <x v="9"/>
    <x v="19"/>
    <s v="SE3_EL"/>
    <x v="22"/>
    <x v="239"/>
    <x v="0"/>
    <x v="22"/>
    <n v="227.92132826563599"/>
    <n v="83191.284816957006"/>
    <n v="299488.62534104497"/>
  </r>
  <r>
    <x v="0"/>
    <x v="0"/>
    <x v="0"/>
    <x v="9"/>
    <x v="19"/>
    <s v="SE3_EL"/>
    <x v="22"/>
    <x v="239"/>
    <x v="0"/>
    <x v="23"/>
    <n v="227.92132826563599"/>
    <n v="83191.284816957006"/>
    <n v="299488.62534104497"/>
  </r>
  <r>
    <x v="0"/>
    <x v="0"/>
    <x v="0"/>
    <x v="9"/>
    <x v="19"/>
    <s v="SE3_EL"/>
    <x v="22"/>
    <x v="240"/>
    <x v="0"/>
    <x v="8"/>
    <n v="54.6655812058397"/>
    <n v="19952.9371401315"/>
    <n v="71830.573704473398"/>
  </r>
  <r>
    <x v="0"/>
    <x v="0"/>
    <x v="0"/>
    <x v="9"/>
    <x v="19"/>
    <s v="SE3_EL"/>
    <x v="22"/>
    <x v="240"/>
    <x v="0"/>
    <x v="0"/>
    <n v="125.626685896775"/>
    <n v="45853.740352323097"/>
    <n v="165073.46526836301"/>
  </r>
  <r>
    <x v="0"/>
    <x v="0"/>
    <x v="0"/>
    <x v="9"/>
    <x v="19"/>
    <s v="SE3_EL"/>
    <x v="22"/>
    <x v="240"/>
    <x v="0"/>
    <x v="1"/>
    <n v="125.626685896775"/>
    <n v="45853.740352323097"/>
    <n v="165073.46526836301"/>
  </r>
  <r>
    <x v="0"/>
    <x v="0"/>
    <x v="0"/>
    <x v="9"/>
    <x v="19"/>
    <s v="SE3_EL"/>
    <x v="22"/>
    <x v="240"/>
    <x v="0"/>
    <x v="2"/>
    <n v="125.626685896775"/>
    <n v="45853.740352323097"/>
    <n v="165073.46526836301"/>
  </r>
  <r>
    <x v="0"/>
    <x v="0"/>
    <x v="0"/>
    <x v="9"/>
    <x v="19"/>
    <s v="SE3_EL"/>
    <x v="22"/>
    <x v="240"/>
    <x v="0"/>
    <x v="9"/>
    <n v="125.626685896775"/>
    <n v="45853.740352323097"/>
    <n v="165073.46526836301"/>
  </r>
  <r>
    <x v="0"/>
    <x v="0"/>
    <x v="0"/>
    <x v="9"/>
    <x v="19"/>
    <s v="SE3_EL"/>
    <x v="22"/>
    <x v="240"/>
    <x v="0"/>
    <x v="10"/>
    <n v="125.626685896775"/>
    <n v="45853.740352323097"/>
    <n v="165073.46526836301"/>
  </r>
  <r>
    <x v="0"/>
    <x v="0"/>
    <x v="0"/>
    <x v="9"/>
    <x v="19"/>
    <s v="SE3_EL"/>
    <x v="22"/>
    <x v="240"/>
    <x v="0"/>
    <x v="11"/>
    <n v="125.626685896775"/>
    <n v="45853.740352323097"/>
    <n v="165073.46526836301"/>
  </r>
  <r>
    <x v="0"/>
    <x v="0"/>
    <x v="0"/>
    <x v="9"/>
    <x v="19"/>
    <s v="SE3_EL"/>
    <x v="22"/>
    <x v="240"/>
    <x v="0"/>
    <x v="12"/>
    <n v="125.626685896775"/>
    <n v="45853.740352323097"/>
    <n v="165073.46526836301"/>
  </r>
  <r>
    <x v="0"/>
    <x v="0"/>
    <x v="0"/>
    <x v="9"/>
    <x v="19"/>
    <s v="SE3_EL"/>
    <x v="22"/>
    <x v="240"/>
    <x v="0"/>
    <x v="13"/>
    <n v="125.626685896775"/>
    <n v="45853.740352323097"/>
    <n v="165073.46526836301"/>
  </r>
  <r>
    <x v="0"/>
    <x v="0"/>
    <x v="0"/>
    <x v="9"/>
    <x v="19"/>
    <s v="SE3_EL"/>
    <x v="22"/>
    <x v="240"/>
    <x v="0"/>
    <x v="14"/>
    <n v="125.626685896775"/>
    <n v="45853.740352323097"/>
    <n v="165073.46526836301"/>
  </r>
  <r>
    <x v="0"/>
    <x v="0"/>
    <x v="0"/>
    <x v="9"/>
    <x v="19"/>
    <s v="SE3_EL"/>
    <x v="22"/>
    <x v="240"/>
    <x v="0"/>
    <x v="15"/>
    <n v="125.626685896775"/>
    <n v="45853.740352323097"/>
    <n v="165073.46526836301"/>
  </r>
  <r>
    <x v="0"/>
    <x v="0"/>
    <x v="0"/>
    <x v="9"/>
    <x v="19"/>
    <s v="SE3_EL"/>
    <x v="22"/>
    <x v="240"/>
    <x v="0"/>
    <x v="16"/>
    <n v="93.630702458104096"/>
    <n v="34175.206397208"/>
    <n v="123030.74302994899"/>
  </r>
  <r>
    <x v="0"/>
    <x v="0"/>
    <x v="0"/>
    <x v="9"/>
    <x v="19"/>
    <s v="SE3_EL"/>
    <x v="22"/>
    <x v="240"/>
    <x v="0"/>
    <x v="17"/>
    <n v="31.653427658937101"/>
    <n v="11553.501095512"/>
    <n v="41592.6039438433"/>
  </r>
  <r>
    <x v="0"/>
    <x v="0"/>
    <x v="0"/>
    <x v="9"/>
    <x v="19"/>
    <s v="SE3_EL"/>
    <x v="4"/>
    <x v="108"/>
    <x v="0"/>
    <x v="3"/>
    <n v="27.2206959706959"/>
    <n v="9935.5540293039903"/>
    <n v="35767.994505494396"/>
  </r>
  <r>
    <x v="0"/>
    <x v="0"/>
    <x v="0"/>
    <x v="9"/>
    <x v="19"/>
    <s v="SE3_EL"/>
    <x v="4"/>
    <x v="108"/>
    <x v="0"/>
    <x v="4"/>
    <n v="27.2206959706959"/>
    <n v="9935.5540293039903"/>
    <n v="35767.994505494396"/>
  </r>
  <r>
    <x v="0"/>
    <x v="0"/>
    <x v="0"/>
    <x v="9"/>
    <x v="19"/>
    <s v="SE3_EL"/>
    <x v="4"/>
    <x v="108"/>
    <x v="0"/>
    <x v="5"/>
    <n v="27.2206959706959"/>
    <n v="9935.5540293039903"/>
    <n v="35767.994505494396"/>
  </r>
  <r>
    <x v="0"/>
    <x v="0"/>
    <x v="0"/>
    <x v="9"/>
    <x v="19"/>
    <s v="SE3_EL"/>
    <x v="4"/>
    <x v="108"/>
    <x v="0"/>
    <x v="6"/>
    <n v="27.2206959706959"/>
    <n v="9935.5540293039903"/>
    <n v="35767.994505494396"/>
  </r>
  <r>
    <x v="0"/>
    <x v="0"/>
    <x v="0"/>
    <x v="9"/>
    <x v="19"/>
    <s v="SE3_EL"/>
    <x v="4"/>
    <x v="108"/>
    <x v="0"/>
    <x v="7"/>
    <n v="27.2206959706959"/>
    <n v="9935.5540293039903"/>
    <n v="35767.994505494396"/>
  </r>
  <r>
    <x v="0"/>
    <x v="0"/>
    <x v="0"/>
    <x v="9"/>
    <x v="19"/>
    <s v="SE3_EL"/>
    <x v="4"/>
    <x v="108"/>
    <x v="0"/>
    <x v="8"/>
    <n v="27.2206959706959"/>
    <n v="9935.5540293039903"/>
    <n v="35767.994505494396"/>
  </r>
  <r>
    <x v="0"/>
    <x v="0"/>
    <x v="0"/>
    <x v="9"/>
    <x v="19"/>
    <s v="SE3_EL"/>
    <x v="4"/>
    <x v="108"/>
    <x v="0"/>
    <x v="0"/>
    <n v="27.2206959706959"/>
    <n v="9935.5540293039903"/>
    <n v="35767.994505494396"/>
  </r>
  <r>
    <x v="0"/>
    <x v="0"/>
    <x v="0"/>
    <x v="9"/>
    <x v="19"/>
    <s v="SE3_EL"/>
    <x v="4"/>
    <x v="108"/>
    <x v="0"/>
    <x v="1"/>
    <n v="27.2206959706959"/>
    <n v="9935.5540293039903"/>
    <n v="35767.994505494396"/>
  </r>
  <r>
    <x v="0"/>
    <x v="0"/>
    <x v="0"/>
    <x v="9"/>
    <x v="19"/>
    <s v="SE3_EL"/>
    <x v="4"/>
    <x v="108"/>
    <x v="0"/>
    <x v="2"/>
    <n v="27.2206959706959"/>
    <n v="9935.5540293039903"/>
    <n v="35767.994505494396"/>
  </r>
  <r>
    <x v="0"/>
    <x v="0"/>
    <x v="0"/>
    <x v="9"/>
    <x v="19"/>
    <s v="SE3_EL"/>
    <x v="4"/>
    <x v="108"/>
    <x v="0"/>
    <x v="9"/>
    <n v="27.2206959706959"/>
    <n v="9935.5540293039903"/>
    <n v="35767.994505494396"/>
  </r>
  <r>
    <x v="0"/>
    <x v="0"/>
    <x v="0"/>
    <x v="9"/>
    <x v="19"/>
    <s v="SE3_EL"/>
    <x v="4"/>
    <x v="108"/>
    <x v="0"/>
    <x v="10"/>
    <n v="27.2206959706959"/>
    <n v="9935.5540293039903"/>
    <n v="35767.994505494396"/>
  </r>
  <r>
    <x v="0"/>
    <x v="0"/>
    <x v="0"/>
    <x v="9"/>
    <x v="19"/>
    <s v="SE3_EL"/>
    <x v="4"/>
    <x v="108"/>
    <x v="0"/>
    <x v="11"/>
    <n v="27.2206959706959"/>
    <n v="9935.5540293039903"/>
    <n v="35767.994505494396"/>
  </r>
  <r>
    <x v="0"/>
    <x v="0"/>
    <x v="0"/>
    <x v="9"/>
    <x v="19"/>
    <s v="SE3_EL"/>
    <x v="4"/>
    <x v="108"/>
    <x v="0"/>
    <x v="12"/>
    <n v="27.2206959706959"/>
    <n v="9935.5540293039903"/>
    <n v="35767.994505494396"/>
  </r>
  <r>
    <x v="0"/>
    <x v="0"/>
    <x v="0"/>
    <x v="9"/>
    <x v="19"/>
    <s v="SE3_EL"/>
    <x v="4"/>
    <x v="108"/>
    <x v="0"/>
    <x v="13"/>
    <n v="27.2206959706959"/>
    <n v="9935.5540293039903"/>
    <n v="35767.994505494396"/>
  </r>
  <r>
    <x v="0"/>
    <x v="0"/>
    <x v="0"/>
    <x v="9"/>
    <x v="19"/>
    <s v="SE3_EL"/>
    <x v="4"/>
    <x v="108"/>
    <x v="0"/>
    <x v="14"/>
    <n v="27.2206959706959"/>
    <n v="9935.5540293039903"/>
    <n v="35767.994505494396"/>
  </r>
  <r>
    <x v="0"/>
    <x v="0"/>
    <x v="0"/>
    <x v="9"/>
    <x v="19"/>
    <s v="SE3_EL"/>
    <x v="4"/>
    <x v="108"/>
    <x v="0"/>
    <x v="15"/>
    <n v="27.2206959706959"/>
    <n v="9935.5540293039903"/>
    <n v="35767.994505494396"/>
  </r>
  <r>
    <x v="0"/>
    <x v="0"/>
    <x v="0"/>
    <x v="9"/>
    <x v="19"/>
    <s v="SE3_EL"/>
    <x v="4"/>
    <x v="108"/>
    <x v="0"/>
    <x v="16"/>
    <n v="27.2206959706959"/>
    <n v="9935.5540293039903"/>
    <n v="35767.994505494396"/>
  </r>
  <r>
    <x v="0"/>
    <x v="0"/>
    <x v="0"/>
    <x v="9"/>
    <x v="19"/>
    <s v="SE3_EL"/>
    <x v="4"/>
    <x v="108"/>
    <x v="0"/>
    <x v="17"/>
    <n v="27.2206959706959"/>
    <n v="9935.5540293039903"/>
    <n v="35767.994505494396"/>
  </r>
  <r>
    <x v="0"/>
    <x v="0"/>
    <x v="0"/>
    <x v="9"/>
    <x v="19"/>
    <s v="SE3_EL"/>
    <x v="4"/>
    <x v="108"/>
    <x v="0"/>
    <x v="18"/>
    <n v="27.2206959706959"/>
    <n v="9935.5540293039903"/>
    <n v="35767.994505494396"/>
  </r>
  <r>
    <x v="0"/>
    <x v="0"/>
    <x v="0"/>
    <x v="9"/>
    <x v="19"/>
    <s v="SE3_EL"/>
    <x v="4"/>
    <x v="108"/>
    <x v="0"/>
    <x v="19"/>
    <n v="27.2206959706959"/>
    <n v="9935.5540293039903"/>
    <n v="35767.994505494396"/>
  </r>
  <r>
    <x v="0"/>
    <x v="0"/>
    <x v="0"/>
    <x v="9"/>
    <x v="19"/>
    <s v="SE3_EL"/>
    <x v="4"/>
    <x v="108"/>
    <x v="0"/>
    <x v="20"/>
    <n v="27.2206959706959"/>
    <n v="9935.5540293039903"/>
    <n v="35767.994505494396"/>
  </r>
  <r>
    <x v="0"/>
    <x v="0"/>
    <x v="0"/>
    <x v="9"/>
    <x v="19"/>
    <s v="SE3_EL"/>
    <x v="4"/>
    <x v="108"/>
    <x v="0"/>
    <x v="21"/>
    <n v="27.2206959706959"/>
    <n v="9935.5540293039903"/>
    <n v="35767.994505494396"/>
  </r>
  <r>
    <x v="0"/>
    <x v="0"/>
    <x v="0"/>
    <x v="9"/>
    <x v="19"/>
    <s v="SE3_EL"/>
    <x v="4"/>
    <x v="108"/>
    <x v="0"/>
    <x v="22"/>
    <n v="27.2206959706959"/>
    <n v="9935.5540293039903"/>
    <n v="35767.994505494396"/>
  </r>
  <r>
    <x v="0"/>
    <x v="0"/>
    <x v="0"/>
    <x v="9"/>
    <x v="19"/>
    <s v="SE3_EL"/>
    <x v="4"/>
    <x v="108"/>
    <x v="0"/>
    <x v="23"/>
    <n v="27.2206959706959"/>
    <n v="9935.5540293039903"/>
    <n v="35767.994505494396"/>
  </r>
  <r>
    <x v="0"/>
    <x v="0"/>
    <x v="0"/>
    <x v="9"/>
    <x v="19"/>
    <s v="SE3_EL"/>
    <x v="10"/>
    <x v="230"/>
    <x v="0"/>
    <x v="3"/>
    <n v="307.28721541155898"/>
    <n v="112159.83362521901"/>
    <n v="403775.401050788"/>
  </r>
  <r>
    <x v="0"/>
    <x v="0"/>
    <x v="0"/>
    <x v="9"/>
    <x v="19"/>
    <s v="SE3_EL"/>
    <x v="10"/>
    <x v="230"/>
    <x v="0"/>
    <x v="4"/>
    <n v="307.28721541155898"/>
    <n v="112159.83362521901"/>
    <n v="403775.401050788"/>
  </r>
  <r>
    <x v="0"/>
    <x v="0"/>
    <x v="0"/>
    <x v="9"/>
    <x v="19"/>
    <s v="SE3_EL"/>
    <x v="10"/>
    <x v="230"/>
    <x v="0"/>
    <x v="5"/>
    <n v="307.28721541155898"/>
    <n v="112159.83362521901"/>
    <n v="403775.401050788"/>
  </r>
  <r>
    <x v="0"/>
    <x v="0"/>
    <x v="0"/>
    <x v="9"/>
    <x v="19"/>
    <s v="SE3_EL"/>
    <x v="10"/>
    <x v="230"/>
    <x v="0"/>
    <x v="6"/>
    <n v="307.28721541155898"/>
    <n v="112159.83362521901"/>
    <n v="403775.401050788"/>
  </r>
  <r>
    <x v="0"/>
    <x v="0"/>
    <x v="0"/>
    <x v="9"/>
    <x v="19"/>
    <s v="SE3_EL"/>
    <x v="10"/>
    <x v="230"/>
    <x v="0"/>
    <x v="7"/>
    <n v="307.28721541155898"/>
    <n v="112159.83362521901"/>
    <n v="403775.401050788"/>
  </r>
  <r>
    <x v="0"/>
    <x v="0"/>
    <x v="0"/>
    <x v="9"/>
    <x v="19"/>
    <s v="SE3_EL"/>
    <x v="10"/>
    <x v="230"/>
    <x v="0"/>
    <x v="8"/>
    <n v="307.28721541155898"/>
    <n v="112159.83362521901"/>
    <n v="403775.401050788"/>
  </r>
  <r>
    <x v="0"/>
    <x v="0"/>
    <x v="0"/>
    <x v="9"/>
    <x v="19"/>
    <s v="SE3_EL"/>
    <x v="10"/>
    <x v="230"/>
    <x v="0"/>
    <x v="0"/>
    <n v="307.28721541155898"/>
    <n v="112159.83362521901"/>
    <n v="403775.401050788"/>
  </r>
  <r>
    <x v="0"/>
    <x v="0"/>
    <x v="0"/>
    <x v="9"/>
    <x v="19"/>
    <s v="SE3_EL"/>
    <x v="10"/>
    <x v="230"/>
    <x v="0"/>
    <x v="1"/>
    <n v="307.28721541155898"/>
    <n v="112159.83362521901"/>
    <n v="403775.401050788"/>
  </r>
  <r>
    <x v="0"/>
    <x v="0"/>
    <x v="0"/>
    <x v="9"/>
    <x v="19"/>
    <s v="SE3_EL"/>
    <x v="10"/>
    <x v="230"/>
    <x v="0"/>
    <x v="2"/>
    <n v="307.28721541155898"/>
    <n v="112159.83362521901"/>
    <n v="403775.401050788"/>
  </r>
  <r>
    <x v="0"/>
    <x v="0"/>
    <x v="0"/>
    <x v="9"/>
    <x v="19"/>
    <s v="SE3_EL"/>
    <x v="10"/>
    <x v="230"/>
    <x v="0"/>
    <x v="9"/>
    <n v="307.28721541155898"/>
    <n v="112159.83362521901"/>
    <n v="403775.401050788"/>
  </r>
  <r>
    <x v="0"/>
    <x v="0"/>
    <x v="0"/>
    <x v="9"/>
    <x v="19"/>
    <s v="SE3_EL"/>
    <x v="10"/>
    <x v="230"/>
    <x v="0"/>
    <x v="10"/>
    <n v="307.28721541155898"/>
    <n v="112159.83362521901"/>
    <n v="403775.401050788"/>
  </r>
  <r>
    <x v="0"/>
    <x v="0"/>
    <x v="0"/>
    <x v="9"/>
    <x v="19"/>
    <s v="SE3_EL"/>
    <x v="10"/>
    <x v="230"/>
    <x v="0"/>
    <x v="11"/>
    <n v="307.28721541155898"/>
    <n v="112159.83362521901"/>
    <n v="403775.401050788"/>
  </r>
  <r>
    <x v="0"/>
    <x v="0"/>
    <x v="0"/>
    <x v="9"/>
    <x v="19"/>
    <s v="SE3_EL"/>
    <x v="10"/>
    <x v="230"/>
    <x v="0"/>
    <x v="12"/>
    <n v="307.28721541155898"/>
    <n v="112159.83362521901"/>
    <n v="403775.401050788"/>
  </r>
  <r>
    <x v="0"/>
    <x v="0"/>
    <x v="0"/>
    <x v="9"/>
    <x v="19"/>
    <s v="SE3_EL"/>
    <x v="10"/>
    <x v="230"/>
    <x v="0"/>
    <x v="13"/>
    <n v="307.28721541155898"/>
    <n v="112159.83362521901"/>
    <n v="403775.401050788"/>
  </r>
  <r>
    <x v="0"/>
    <x v="0"/>
    <x v="0"/>
    <x v="9"/>
    <x v="19"/>
    <s v="SE3_EL"/>
    <x v="10"/>
    <x v="230"/>
    <x v="0"/>
    <x v="14"/>
    <n v="307.28721541155898"/>
    <n v="112159.83362521901"/>
    <n v="403775.401050788"/>
  </r>
  <r>
    <x v="0"/>
    <x v="0"/>
    <x v="0"/>
    <x v="9"/>
    <x v="19"/>
    <s v="SE3_EL"/>
    <x v="10"/>
    <x v="230"/>
    <x v="0"/>
    <x v="15"/>
    <n v="307.28721541155898"/>
    <n v="112159.83362521901"/>
    <n v="403775.401050788"/>
  </r>
  <r>
    <x v="0"/>
    <x v="0"/>
    <x v="0"/>
    <x v="9"/>
    <x v="19"/>
    <s v="SE3_EL"/>
    <x v="10"/>
    <x v="230"/>
    <x v="0"/>
    <x v="16"/>
    <n v="307.28721541155898"/>
    <n v="112159.83362521901"/>
    <n v="403775.401050788"/>
  </r>
  <r>
    <x v="0"/>
    <x v="0"/>
    <x v="0"/>
    <x v="9"/>
    <x v="19"/>
    <s v="SE3_EL"/>
    <x v="10"/>
    <x v="230"/>
    <x v="0"/>
    <x v="17"/>
    <n v="307.28721541155898"/>
    <n v="112159.83362521901"/>
    <n v="403775.401050788"/>
  </r>
  <r>
    <x v="0"/>
    <x v="0"/>
    <x v="0"/>
    <x v="9"/>
    <x v="19"/>
    <s v="SE3_EL"/>
    <x v="10"/>
    <x v="230"/>
    <x v="0"/>
    <x v="18"/>
    <n v="307.28721541155898"/>
    <n v="112159.83362521901"/>
    <n v="403775.401050788"/>
  </r>
  <r>
    <x v="0"/>
    <x v="0"/>
    <x v="0"/>
    <x v="9"/>
    <x v="19"/>
    <s v="SE3_EL"/>
    <x v="10"/>
    <x v="230"/>
    <x v="0"/>
    <x v="19"/>
    <n v="307.28721541155898"/>
    <n v="112159.83362521901"/>
    <n v="403775.401050788"/>
  </r>
  <r>
    <x v="0"/>
    <x v="0"/>
    <x v="0"/>
    <x v="9"/>
    <x v="19"/>
    <s v="SE3_EL"/>
    <x v="10"/>
    <x v="230"/>
    <x v="0"/>
    <x v="20"/>
    <n v="307.28721541155898"/>
    <n v="112159.83362521901"/>
    <n v="403775.401050788"/>
  </r>
  <r>
    <x v="0"/>
    <x v="0"/>
    <x v="0"/>
    <x v="9"/>
    <x v="19"/>
    <s v="SE3_EL"/>
    <x v="10"/>
    <x v="230"/>
    <x v="0"/>
    <x v="21"/>
    <n v="307.28721541155898"/>
    <n v="112159.83362521901"/>
    <n v="403775.401050788"/>
  </r>
  <r>
    <x v="0"/>
    <x v="0"/>
    <x v="0"/>
    <x v="9"/>
    <x v="19"/>
    <s v="SE3_EL"/>
    <x v="10"/>
    <x v="230"/>
    <x v="0"/>
    <x v="22"/>
    <n v="307.28721541155898"/>
    <n v="112159.83362521901"/>
    <n v="403775.401050788"/>
  </r>
  <r>
    <x v="0"/>
    <x v="0"/>
    <x v="0"/>
    <x v="9"/>
    <x v="19"/>
    <s v="SE3_EL"/>
    <x v="10"/>
    <x v="230"/>
    <x v="0"/>
    <x v="23"/>
    <n v="307.28721541155898"/>
    <n v="112159.83362521901"/>
    <n v="403775.401050788"/>
  </r>
  <r>
    <x v="0"/>
    <x v="0"/>
    <x v="0"/>
    <x v="9"/>
    <x v="19"/>
    <s v="SE3_EL"/>
    <x v="10"/>
    <x v="241"/>
    <x v="0"/>
    <x v="3"/>
    <n v="211.35851888916599"/>
    <n v="77145.859394545696"/>
    <n v="277725.09382036497"/>
  </r>
  <r>
    <x v="0"/>
    <x v="0"/>
    <x v="0"/>
    <x v="9"/>
    <x v="19"/>
    <s v="SE3_EL"/>
    <x v="10"/>
    <x v="241"/>
    <x v="0"/>
    <x v="4"/>
    <n v="211.35851888916599"/>
    <n v="77145.859394545696"/>
    <n v="277725.09382036497"/>
  </r>
  <r>
    <x v="0"/>
    <x v="0"/>
    <x v="0"/>
    <x v="9"/>
    <x v="19"/>
    <s v="SE3_EL"/>
    <x v="10"/>
    <x v="241"/>
    <x v="0"/>
    <x v="5"/>
    <n v="211.35851888916599"/>
    <n v="77145.859394545696"/>
    <n v="277725.09382036497"/>
  </r>
  <r>
    <x v="0"/>
    <x v="0"/>
    <x v="0"/>
    <x v="9"/>
    <x v="19"/>
    <s v="SE3_EL"/>
    <x v="10"/>
    <x v="241"/>
    <x v="0"/>
    <x v="6"/>
    <n v="211.35851888916599"/>
    <n v="77145.859394545696"/>
    <n v="277725.09382036497"/>
  </r>
  <r>
    <x v="0"/>
    <x v="0"/>
    <x v="0"/>
    <x v="9"/>
    <x v="19"/>
    <s v="SE3_EL"/>
    <x v="10"/>
    <x v="241"/>
    <x v="0"/>
    <x v="7"/>
    <n v="211.35851888916599"/>
    <n v="77145.859394545696"/>
    <n v="277725.09382036497"/>
  </r>
  <r>
    <x v="0"/>
    <x v="0"/>
    <x v="0"/>
    <x v="9"/>
    <x v="19"/>
    <s v="SE3_EL"/>
    <x v="10"/>
    <x v="241"/>
    <x v="0"/>
    <x v="8"/>
    <n v="211.35851888916599"/>
    <n v="77145.859394545696"/>
    <n v="277725.09382036497"/>
  </r>
  <r>
    <x v="0"/>
    <x v="0"/>
    <x v="0"/>
    <x v="9"/>
    <x v="19"/>
    <s v="SE3_EL"/>
    <x v="10"/>
    <x v="241"/>
    <x v="0"/>
    <x v="0"/>
    <n v="211.35851888916599"/>
    <n v="77145.859394545696"/>
    <n v="277725.09382036497"/>
  </r>
  <r>
    <x v="0"/>
    <x v="0"/>
    <x v="0"/>
    <x v="9"/>
    <x v="19"/>
    <s v="SE3_EL"/>
    <x v="10"/>
    <x v="241"/>
    <x v="0"/>
    <x v="1"/>
    <n v="211.35851888916599"/>
    <n v="77145.859394545696"/>
    <n v="277725.09382036497"/>
  </r>
  <r>
    <x v="0"/>
    <x v="0"/>
    <x v="0"/>
    <x v="9"/>
    <x v="19"/>
    <s v="SE3_EL"/>
    <x v="10"/>
    <x v="241"/>
    <x v="0"/>
    <x v="2"/>
    <n v="211.35851888916599"/>
    <n v="77145.859394545696"/>
    <n v="277725.09382036497"/>
  </r>
  <r>
    <x v="0"/>
    <x v="0"/>
    <x v="0"/>
    <x v="9"/>
    <x v="19"/>
    <s v="SE3_EL"/>
    <x v="10"/>
    <x v="241"/>
    <x v="0"/>
    <x v="9"/>
    <n v="211.35851888916599"/>
    <n v="77145.859394545696"/>
    <n v="277725.09382036497"/>
  </r>
  <r>
    <x v="0"/>
    <x v="0"/>
    <x v="0"/>
    <x v="9"/>
    <x v="19"/>
    <s v="SE3_EL"/>
    <x v="10"/>
    <x v="241"/>
    <x v="0"/>
    <x v="10"/>
    <n v="211.35851888916599"/>
    <n v="77145.859394545696"/>
    <n v="277725.09382036497"/>
  </r>
  <r>
    <x v="0"/>
    <x v="0"/>
    <x v="0"/>
    <x v="9"/>
    <x v="19"/>
    <s v="SE3_EL"/>
    <x v="10"/>
    <x v="241"/>
    <x v="0"/>
    <x v="11"/>
    <n v="211.35851888916599"/>
    <n v="77145.859394545696"/>
    <n v="277725.09382036497"/>
  </r>
  <r>
    <x v="0"/>
    <x v="0"/>
    <x v="0"/>
    <x v="9"/>
    <x v="19"/>
    <s v="SE3_EL"/>
    <x v="10"/>
    <x v="241"/>
    <x v="0"/>
    <x v="12"/>
    <n v="211.35851888916599"/>
    <n v="77145.859394545696"/>
    <n v="277725.09382036497"/>
  </r>
  <r>
    <x v="0"/>
    <x v="0"/>
    <x v="0"/>
    <x v="9"/>
    <x v="19"/>
    <s v="SE3_EL"/>
    <x v="10"/>
    <x v="241"/>
    <x v="0"/>
    <x v="13"/>
    <n v="211.35851888916599"/>
    <n v="77145.859394545696"/>
    <n v="277725.09382036497"/>
  </r>
  <r>
    <x v="0"/>
    <x v="0"/>
    <x v="0"/>
    <x v="9"/>
    <x v="19"/>
    <s v="SE3_EL"/>
    <x v="10"/>
    <x v="241"/>
    <x v="0"/>
    <x v="14"/>
    <n v="211.35851888916599"/>
    <n v="77145.859394545696"/>
    <n v="277725.09382036497"/>
  </r>
  <r>
    <x v="0"/>
    <x v="0"/>
    <x v="0"/>
    <x v="9"/>
    <x v="19"/>
    <s v="SE3_EL"/>
    <x v="10"/>
    <x v="241"/>
    <x v="0"/>
    <x v="15"/>
    <n v="211.35851888916599"/>
    <n v="77145.859394545696"/>
    <n v="277725.09382036497"/>
  </r>
  <r>
    <x v="0"/>
    <x v="0"/>
    <x v="0"/>
    <x v="9"/>
    <x v="19"/>
    <s v="SE3_EL"/>
    <x v="10"/>
    <x v="241"/>
    <x v="0"/>
    <x v="16"/>
    <n v="211.35851888916599"/>
    <n v="77145.859394545696"/>
    <n v="277725.09382036497"/>
  </r>
  <r>
    <x v="0"/>
    <x v="0"/>
    <x v="0"/>
    <x v="9"/>
    <x v="19"/>
    <s v="SE3_EL"/>
    <x v="10"/>
    <x v="241"/>
    <x v="0"/>
    <x v="17"/>
    <n v="211.35851888916599"/>
    <n v="77145.859394545696"/>
    <n v="277725.09382036497"/>
  </r>
  <r>
    <x v="0"/>
    <x v="0"/>
    <x v="0"/>
    <x v="9"/>
    <x v="19"/>
    <s v="SE3_EL"/>
    <x v="10"/>
    <x v="241"/>
    <x v="0"/>
    <x v="18"/>
    <n v="211.35851888916599"/>
    <n v="77145.859394545696"/>
    <n v="277725.09382036497"/>
  </r>
  <r>
    <x v="0"/>
    <x v="0"/>
    <x v="0"/>
    <x v="9"/>
    <x v="19"/>
    <s v="SE3_EL"/>
    <x v="10"/>
    <x v="241"/>
    <x v="0"/>
    <x v="19"/>
    <n v="211.35851888916599"/>
    <n v="77145.859394545696"/>
    <n v="277725.09382036497"/>
  </r>
  <r>
    <x v="0"/>
    <x v="0"/>
    <x v="0"/>
    <x v="9"/>
    <x v="19"/>
    <s v="SE3_EL"/>
    <x v="10"/>
    <x v="241"/>
    <x v="0"/>
    <x v="20"/>
    <n v="211.35851888916599"/>
    <n v="77145.859394545696"/>
    <n v="277725.09382036497"/>
  </r>
  <r>
    <x v="0"/>
    <x v="0"/>
    <x v="0"/>
    <x v="9"/>
    <x v="19"/>
    <s v="SE3_EL"/>
    <x v="10"/>
    <x v="241"/>
    <x v="0"/>
    <x v="21"/>
    <n v="211.35851888916599"/>
    <n v="77145.859394545696"/>
    <n v="277725.09382036497"/>
  </r>
  <r>
    <x v="0"/>
    <x v="0"/>
    <x v="0"/>
    <x v="9"/>
    <x v="19"/>
    <s v="SE3_EL"/>
    <x v="10"/>
    <x v="241"/>
    <x v="0"/>
    <x v="22"/>
    <n v="211.35851888916599"/>
    <n v="77145.859394545696"/>
    <n v="277725.09382036497"/>
  </r>
  <r>
    <x v="0"/>
    <x v="0"/>
    <x v="0"/>
    <x v="9"/>
    <x v="19"/>
    <s v="SE3_EL"/>
    <x v="10"/>
    <x v="241"/>
    <x v="0"/>
    <x v="23"/>
    <n v="211.35851888916599"/>
    <n v="77145.859394545696"/>
    <n v="277725.09382036497"/>
  </r>
  <r>
    <x v="0"/>
    <x v="0"/>
    <x v="0"/>
    <x v="9"/>
    <x v="19"/>
    <s v="SE3_EL"/>
    <x v="10"/>
    <x v="111"/>
    <x v="0"/>
    <x v="3"/>
    <n v="67.175380653136898"/>
    <n v="24519.013938395001"/>
    <n v="88268.450178221901"/>
  </r>
  <r>
    <x v="0"/>
    <x v="0"/>
    <x v="0"/>
    <x v="9"/>
    <x v="19"/>
    <s v="SE3_EL"/>
    <x v="10"/>
    <x v="111"/>
    <x v="0"/>
    <x v="4"/>
    <n v="67.175380653136898"/>
    <n v="24519.013938395001"/>
    <n v="88268.450178221901"/>
  </r>
  <r>
    <x v="0"/>
    <x v="0"/>
    <x v="0"/>
    <x v="9"/>
    <x v="19"/>
    <s v="SE3_EL"/>
    <x v="10"/>
    <x v="111"/>
    <x v="0"/>
    <x v="5"/>
    <n v="67.175380653136898"/>
    <n v="24519.013938395001"/>
    <n v="88268.450178221901"/>
  </r>
  <r>
    <x v="0"/>
    <x v="0"/>
    <x v="0"/>
    <x v="9"/>
    <x v="19"/>
    <s v="SE3_EL"/>
    <x v="10"/>
    <x v="111"/>
    <x v="0"/>
    <x v="6"/>
    <n v="67.175380653136898"/>
    <n v="24519.013938395001"/>
    <n v="88268.450178221901"/>
  </r>
  <r>
    <x v="0"/>
    <x v="0"/>
    <x v="0"/>
    <x v="9"/>
    <x v="19"/>
    <s v="SE3_EL"/>
    <x v="10"/>
    <x v="111"/>
    <x v="0"/>
    <x v="7"/>
    <n v="67.175380653136898"/>
    <n v="24519.013938395001"/>
    <n v="88268.450178221901"/>
  </r>
  <r>
    <x v="0"/>
    <x v="0"/>
    <x v="0"/>
    <x v="9"/>
    <x v="19"/>
    <s v="SE3_EL"/>
    <x v="10"/>
    <x v="111"/>
    <x v="0"/>
    <x v="8"/>
    <n v="67.175380653136898"/>
    <n v="24519.013938395001"/>
    <n v="88268.450178221901"/>
  </r>
  <r>
    <x v="0"/>
    <x v="0"/>
    <x v="0"/>
    <x v="9"/>
    <x v="19"/>
    <s v="SE3_EL"/>
    <x v="10"/>
    <x v="111"/>
    <x v="0"/>
    <x v="0"/>
    <n v="67.175380653136898"/>
    <n v="24519.013938395001"/>
    <n v="88268.450178221901"/>
  </r>
  <r>
    <x v="0"/>
    <x v="0"/>
    <x v="0"/>
    <x v="9"/>
    <x v="19"/>
    <s v="SE3_EL"/>
    <x v="10"/>
    <x v="111"/>
    <x v="0"/>
    <x v="1"/>
    <n v="67.175380653136898"/>
    <n v="24519.013938395001"/>
    <n v="88268.450178221901"/>
  </r>
  <r>
    <x v="0"/>
    <x v="0"/>
    <x v="0"/>
    <x v="9"/>
    <x v="19"/>
    <s v="SE3_EL"/>
    <x v="10"/>
    <x v="111"/>
    <x v="0"/>
    <x v="2"/>
    <n v="67.175380653136898"/>
    <n v="24519.013938395001"/>
    <n v="88268.450178221901"/>
  </r>
  <r>
    <x v="0"/>
    <x v="0"/>
    <x v="0"/>
    <x v="9"/>
    <x v="19"/>
    <s v="SE3_EL"/>
    <x v="10"/>
    <x v="111"/>
    <x v="0"/>
    <x v="9"/>
    <n v="67.175380653136898"/>
    <n v="24519.013938395001"/>
    <n v="88268.450178221901"/>
  </r>
  <r>
    <x v="0"/>
    <x v="0"/>
    <x v="0"/>
    <x v="9"/>
    <x v="19"/>
    <s v="SE3_EL"/>
    <x v="10"/>
    <x v="111"/>
    <x v="0"/>
    <x v="10"/>
    <n v="67.175380653136898"/>
    <n v="24519.013938395001"/>
    <n v="88268.450178221901"/>
  </r>
  <r>
    <x v="0"/>
    <x v="0"/>
    <x v="0"/>
    <x v="9"/>
    <x v="19"/>
    <s v="SE3_EL"/>
    <x v="10"/>
    <x v="111"/>
    <x v="0"/>
    <x v="11"/>
    <n v="67.175380653136898"/>
    <n v="24519.013938395001"/>
    <n v="88268.450178221901"/>
  </r>
  <r>
    <x v="0"/>
    <x v="0"/>
    <x v="0"/>
    <x v="9"/>
    <x v="19"/>
    <s v="SE3_EL"/>
    <x v="10"/>
    <x v="111"/>
    <x v="0"/>
    <x v="12"/>
    <n v="67.175380653136898"/>
    <n v="24519.013938395001"/>
    <n v="88268.450178221901"/>
  </r>
  <r>
    <x v="0"/>
    <x v="0"/>
    <x v="0"/>
    <x v="9"/>
    <x v="19"/>
    <s v="SE3_EL"/>
    <x v="10"/>
    <x v="111"/>
    <x v="0"/>
    <x v="13"/>
    <n v="67.175380653136898"/>
    <n v="24519.013938395001"/>
    <n v="88268.450178221901"/>
  </r>
  <r>
    <x v="0"/>
    <x v="0"/>
    <x v="0"/>
    <x v="9"/>
    <x v="19"/>
    <s v="SE3_EL"/>
    <x v="10"/>
    <x v="111"/>
    <x v="0"/>
    <x v="14"/>
    <n v="67.175380653136898"/>
    <n v="24519.013938395001"/>
    <n v="88268.450178221901"/>
  </r>
  <r>
    <x v="0"/>
    <x v="0"/>
    <x v="0"/>
    <x v="9"/>
    <x v="19"/>
    <s v="SE3_EL"/>
    <x v="10"/>
    <x v="111"/>
    <x v="0"/>
    <x v="15"/>
    <n v="67.175380653136898"/>
    <n v="24519.013938395001"/>
    <n v="88268.450178221901"/>
  </r>
  <r>
    <x v="0"/>
    <x v="0"/>
    <x v="0"/>
    <x v="9"/>
    <x v="19"/>
    <s v="SE3_EL"/>
    <x v="10"/>
    <x v="111"/>
    <x v="0"/>
    <x v="16"/>
    <n v="67.175380653136898"/>
    <n v="24519.013938395001"/>
    <n v="88268.450178221901"/>
  </r>
  <r>
    <x v="0"/>
    <x v="0"/>
    <x v="0"/>
    <x v="9"/>
    <x v="19"/>
    <s v="SE3_EL"/>
    <x v="10"/>
    <x v="111"/>
    <x v="0"/>
    <x v="17"/>
    <n v="67.175380653136898"/>
    <n v="24519.013938395001"/>
    <n v="88268.450178221901"/>
  </r>
  <r>
    <x v="0"/>
    <x v="0"/>
    <x v="0"/>
    <x v="9"/>
    <x v="19"/>
    <s v="SE3_EL"/>
    <x v="10"/>
    <x v="111"/>
    <x v="0"/>
    <x v="18"/>
    <n v="67.175380653136898"/>
    <n v="24519.013938395001"/>
    <n v="88268.450178221901"/>
  </r>
  <r>
    <x v="0"/>
    <x v="0"/>
    <x v="0"/>
    <x v="9"/>
    <x v="19"/>
    <s v="SE3_EL"/>
    <x v="10"/>
    <x v="111"/>
    <x v="0"/>
    <x v="19"/>
    <n v="67.175380653136898"/>
    <n v="24519.013938395001"/>
    <n v="88268.450178221901"/>
  </r>
  <r>
    <x v="0"/>
    <x v="0"/>
    <x v="0"/>
    <x v="9"/>
    <x v="19"/>
    <s v="SE3_EL"/>
    <x v="10"/>
    <x v="111"/>
    <x v="0"/>
    <x v="20"/>
    <n v="67.175380653136898"/>
    <n v="24519.013938395001"/>
    <n v="88268.450178221901"/>
  </r>
  <r>
    <x v="0"/>
    <x v="0"/>
    <x v="0"/>
    <x v="9"/>
    <x v="19"/>
    <s v="SE3_EL"/>
    <x v="10"/>
    <x v="111"/>
    <x v="0"/>
    <x v="21"/>
    <n v="67.175380653136898"/>
    <n v="24519.013938395001"/>
    <n v="88268.450178221901"/>
  </r>
  <r>
    <x v="0"/>
    <x v="0"/>
    <x v="0"/>
    <x v="9"/>
    <x v="19"/>
    <s v="SE3_EL"/>
    <x v="10"/>
    <x v="111"/>
    <x v="0"/>
    <x v="22"/>
    <n v="67.175380653136898"/>
    <n v="24519.013938395001"/>
    <n v="88268.450178221901"/>
  </r>
  <r>
    <x v="0"/>
    <x v="0"/>
    <x v="0"/>
    <x v="9"/>
    <x v="19"/>
    <s v="SE3_EL"/>
    <x v="10"/>
    <x v="111"/>
    <x v="0"/>
    <x v="23"/>
    <n v="67.175380653136898"/>
    <n v="24519.013938395001"/>
    <n v="88268.450178221901"/>
  </r>
  <r>
    <x v="0"/>
    <x v="0"/>
    <x v="0"/>
    <x v="9"/>
    <x v="19"/>
    <s v="SE3_GOT"/>
    <x v="1"/>
    <x v="234"/>
    <x v="0"/>
    <x v="3"/>
    <n v="233.07407407407399"/>
    <n v="85072.037037037095"/>
    <n v="306259.33333333302"/>
  </r>
  <r>
    <x v="0"/>
    <x v="0"/>
    <x v="0"/>
    <x v="9"/>
    <x v="19"/>
    <s v="SE3_GOT"/>
    <x v="1"/>
    <x v="234"/>
    <x v="0"/>
    <x v="4"/>
    <n v="233.07407407407399"/>
    <n v="85072.037037037095"/>
    <n v="306259.33333333302"/>
  </r>
  <r>
    <x v="0"/>
    <x v="0"/>
    <x v="0"/>
    <x v="9"/>
    <x v="19"/>
    <s v="SE3_GOT"/>
    <x v="1"/>
    <x v="234"/>
    <x v="0"/>
    <x v="5"/>
    <n v="233.07407407407399"/>
    <n v="85072.037037037095"/>
    <n v="306259.33333333302"/>
  </r>
  <r>
    <x v="0"/>
    <x v="0"/>
    <x v="0"/>
    <x v="9"/>
    <x v="19"/>
    <s v="SE3_GOT"/>
    <x v="1"/>
    <x v="234"/>
    <x v="0"/>
    <x v="6"/>
    <n v="233.07407407407399"/>
    <n v="85072.037037037095"/>
    <n v="306259.33333333302"/>
  </r>
  <r>
    <x v="0"/>
    <x v="0"/>
    <x v="0"/>
    <x v="9"/>
    <x v="19"/>
    <s v="SE3_GOT"/>
    <x v="1"/>
    <x v="234"/>
    <x v="0"/>
    <x v="7"/>
    <n v="233.07407407407399"/>
    <n v="85072.037037037095"/>
    <n v="306259.33333333302"/>
  </r>
  <r>
    <x v="0"/>
    <x v="0"/>
    <x v="0"/>
    <x v="9"/>
    <x v="19"/>
    <s v="SE3_GOT"/>
    <x v="1"/>
    <x v="234"/>
    <x v="0"/>
    <x v="8"/>
    <n v="233.07407407407399"/>
    <n v="85072.037037037095"/>
    <n v="306259.33333333302"/>
  </r>
  <r>
    <x v="0"/>
    <x v="0"/>
    <x v="0"/>
    <x v="9"/>
    <x v="19"/>
    <s v="SE3_GOT"/>
    <x v="1"/>
    <x v="234"/>
    <x v="0"/>
    <x v="0"/>
    <n v="233.07407407407399"/>
    <n v="85072.037037037095"/>
    <n v="306259.33333333302"/>
  </r>
  <r>
    <x v="0"/>
    <x v="0"/>
    <x v="0"/>
    <x v="9"/>
    <x v="19"/>
    <s v="SE3_GOT"/>
    <x v="1"/>
    <x v="234"/>
    <x v="0"/>
    <x v="1"/>
    <n v="233.07407407407399"/>
    <n v="85072.037037037095"/>
    <n v="306259.33333333302"/>
  </r>
  <r>
    <x v="0"/>
    <x v="0"/>
    <x v="0"/>
    <x v="9"/>
    <x v="19"/>
    <s v="SE3_GOT"/>
    <x v="1"/>
    <x v="234"/>
    <x v="0"/>
    <x v="2"/>
    <n v="233.07407407407399"/>
    <n v="85072.037037037095"/>
    <n v="306259.33333333302"/>
  </r>
  <r>
    <x v="0"/>
    <x v="0"/>
    <x v="0"/>
    <x v="9"/>
    <x v="19"/>
    <s v="SE3_GOT"/>
    <x v="1"/>
    <x v="234"/>
    <x v="0"/>
    <x v="9"/>
    <n v="233.07407407407399"/>
    <n v="85072.037037037095"/>
    <n v="306259.33333333302"/>
  </r>
  <r>
    <x v="0"/>
    <x v="0"/>
    <x v="0"/>
    <x v="9"/>
    <x v="19"/>
    <s v="SE3_GOT"/>
    <x v="1"/>
    <x v="234"/>
    <x v="0"/>
    <x v="10"/>
    <n v="233.07407407407399"/>
    <n v="85072.037037037095"/>
    <n v="306259.33333333302"/>
  </r>
  <r>
    <x v="0"/>
    <x v="0"/>
    <x v="0"/>
    <x v="9"/>
    <x v="19"/>
    <s v="SE3_GOT"/>
    <x v="1"/>
    <x v="234"/>
    <x v="0"/>
    <x v="11"/>
    <n v="233.07407407407399"/>
    <n v="85072.037037037095"/>
    <n v="306259.33333333302"/>
  </r>
  <r>
    <x v="0"/>
    <x v="0"/>
    <x v="0"/>
    <x v="9"/>
    <x v="19"/>
    <s v="SE3_GOT"/>
    <x v="1"/>
    <x v="234"/>
    <x v="0"/>
    <x v="12"/>
    <n v="233.07407407407399"/>
    <n v="85072.037037037095"/>
    <n v="306259.33333333302"/>
  </r>
  <r>
    <x v="0"/>
    <x v="0"/>
    <x v="0"/>
    <x v="9"/>
    <x v="19"/>
    <s v="SE3_GOT"/>
    <x v="1"/>
    <x v="234"/>
    <x v="0"/>
    <x v="13"/>
    <n v="233.07407407407399"/>
    <n v="85072.037037037095"/>
    <n v="306259.33333333302"/>
  </r>
  <r>
    <x v="0"/>
    <x v="0"/>
    <x v="0"/>
    <x v="9"/>
    <x v="19"/>
    <s v="SE3_GOT"/>
    <x v="1"/>
    <x v="234"/>
    <x v="0"/>
    <x v="14"/>
    <n v="233.07407407407399"/>
    <n v="85072.037037037095"/>
    <n v="306259.33333333302"/>
  </r>
  <r>
    <x v="0"/>
    <x v="0"/>
    <x v="0"/>
    <x v="9"/>
    <x v="19"/>
    <s v="SE3_GOT"/>
    <x v="1"/>
    <x v="234"/>
    <x v="0"/>
    <x v="15"/>
    <n v="233.07407407407399"/>
    <n v="85072.037037037095"/>
    <n v="306259.33333333302"/>
  </r>
  <r>
    <x v="0"/>
    <x v="0"/>
    <x v="0"/>
    <x v="9"/>
    <x v="19"/>
    <s v="SE3_GOT"/>
    <x v="1"/>
    <x v="234"/>
    <x v="0"/>
    <x v="16"/>
    <n v="233.07407407407399"/>
    <n v="85072.037037037095"/>
    <n v="306259.33333333302"/>
  </r>
  <r>
    <x v="0"/>
    <x v="0"/>
    <x v="0"/>
    <x v="9"/>
    <x v="19"/>
    <s v="SE3_GOT"/>
    <x v="1"/>
    <x v="234"/>
    <x v="0"/>
    <x v="17"/>
    <n v="233.07407407407399"/>
    <n v="85072.037037037095"/>
    <n v="306259.33333333302"/>
  </r>
  <r>
    <x v="0"/>
    <x v="0"/>
    <x v="0"/>
    <x v="9"/>
    <x v="19"/>
    <s v="SE3_GOT"/>
    <x v="1"/>
    <x v="234"/>
    <x v="0"/>
    <x v="18"/>
    <n v="233.07407407407399"/>
    <n v="85072.037037037095"/>
    <n v="306259.33333333302"/>
  </r>
  <r>
    <x v="0"/>
    <x v="0"/>
    <x v="0"/>
    <x v="9"/>
    <x v="19"/>
    <s v="SE3_GOT"/>
    <x v="1"/>
    <x v="234"/>
    <x v="0"/>
    <x v="19"/>
    <n v="233.07407407407399"/>
    <n v="85072.037037037095"/>
    <n v="306259.33333333302"/>
  </r>
  <r>
    <x v="0"/>
    <x v="0"/>
    <x v="0"/>
    <x v="9"/>
    <x v="19"/>
    <s v="SE3_GOT"/>
    <x v="1"/>
    <x v="234"/>
    <x v="0"/>
    <x v="20"/>
    <n v="233.07407407407399"/>
    <n v="85072.037037037095"/>
    <n v="306259.33333333302"/>
  </r>
  <r>
    <x v="0"/>
    <x v="0"/>
    <x v="0"/>
    <x v="9"/>
    <x v="19"/>
    <s v="SE3_GOT"/>
    <x v="1"/>
    <x v="234"/>
    <x v="0"/>
    <x v="21"/>
    <n v="233.07407407407399"/>
    <n v="85072.037037037095"/>
    <n v="306259.33333333302"/>
  </r>
  <r>
    <x v="0"/>
    <x v="0"/>
    <x v="0"/>
    <x v="9"/>
    <x v="19"/>
    <s v="SE3_GOT"/>
    <x v="1"/>
    <x v="234"/>
    <x v="0"/>
    <x v="22"/>
    <n v="233.07407407407399"/>
    <n v="85072.037037037095"/>
    <n v="306259.33333333302"/>
  </r>
  <r>
    <x v="0"/>
    <x v="0"/>
    <x v="0"/>
    <x v="9"/>
    <x v="19"/>
    <s v="SE3_GOT"/>
    <x v="1"/>
    <x v="234"/>
    <x v="0"/>
    <x v="23"/>
    <n v="233.07407407407399"/>
    <n v="85072.037037037095"/>
    <n v="306259.33333333302"/>
  </r>
  <r>
    <x v="0"/>
    <x v="0"/>
    <x v="0"/>
    <x v="9"/>
    <x v="19"/>
    <s v="SE3_GOT"/>
    <x v="2"/>
    <x v="242"/>
    <x v="0"/>
    <x v="3"/>
    <n v="595.67567567567596"/>
    <n v="217421.62162162201"/>
    <n v="782717.83783783799"/>
  </r>
  <r>
    <x v="0"/>
    <x v="0"/>
    <x v="0"/>
    <x v="9"/>
    <x v="19"/>
    <s v="SE3_GOT"/>
    <x v="2"/>
    <x v="242"/>
    <x v="0"/>
    <x v="4"/>
    <n v="595.67567567567596"/>
    <n v="217421.62162162201"/>
    <n v="782717.83783783799"/>
  </r>
  <r>
    <x v="0"/>
    <x v="0"/>
    <x v="0"/>
    <x v="9"/>
    <x v="19"/>
    <s v="SE3_GOT"/>
    <x v="2"/>
    <x v="242"/>
    <x v="0"/>
    <x v="5"/>
    <n v="595.67567567567596"/>
    <n v="217421.62162162201"/>
    <n v="782717.83783783799"/>
  </r>
  <r>
    <x v="0"/>
    <x v="0"/>
    <x v="0"/>
    <x v="9"/>
    <x v="19"/>
    <s v="SE3_GOT"/>
    <x v="2"/>
    <x v="242"/>
    <x v="0"/>
    <x v="6"/>
    <n v="595.67567567567596"/>
    <n v="217421.62162162201"/>
    <n v="782717.83783783799"/>
  </r>
  <r>
    <x v="0"/>
    <x v="0"/>
    <x v="0"/>
    <x v="9"/>
    <x v="19"/>
    <s v="SE3_GOT"/>
    <x v="2"/>
    <x v="242"/>
    <x v="0"/>
    <x v="7"/>
    <n v="595.67567567567596"/>
    <n v="217421.62162162201"/>
    <n v="782717.83783783799"/>
  </r>
  <r>
    <x v="0"/>
    <x v="0"/>
    <x v="0"/>
    <x v="9"/>
    <x v="19"/>
    <s v="SE3_GOT"/>
    <x v="2"/>
    <x v="242"/>
    <x v="0"/>
    <x v="8"/>
    <n v="595.67567567567596"/>
    <n v="217421.62162162201"/>
    <n v="782717.83783783799"/>
  </r>
  <r>
    <x v="0"/>
    <x v="0"/>
    <x v="0"/>
    <x v="9"/>
    <x v="19"/>
    <s v="SE3_GOT"/>
    <x v="2"/>
    <x v="242"/>
    <x v="0"/>
    <x v="0"/>
    <n v="595.67567567567596"/>
    <n v="217421.62162162201"/>
    <n v="782717.83783783799"/>
  </r>
  <r>
    <x v="0"/>
    <x v="0"/>
    <x v="0"/>
    <x v="9"/>
    <x v="19"/>
    <s v="SE3_GOT"/>
    <x v="2"/>
    <x v="242"/>
    <x v="0"/>
    <x v="1"/>
    <n v="595.67567567567596"/>
    <n v="217421.62162162201"/>
    <n v="782717.83783783799"/>
  </r>
  <r>
    <x v="0"/>
    <x v="0"/>
    <x v="0"/>
    <x v="9"/>
    <x v="19"/>
    <s v="SE3_GOT"/>
    <x v="2"/>
    <x v="242"/>
    <x v="0"/>
    <x v="2"/>
    <n v="595.67567567567596"/>
    <n v="217421.62162162201"/>
    <n v="782717.83783783799"/>
  </r>
  <r>
    <x v="0"/>
    <x v="0"/>
    <x v="0"/>
    <x v="9"/>
    <x v="19"/>
    <s v="SE3_GOT"/>
    <x v="2"/>
    <x v="242"/>
    <x v="0"/>
    <x v="9"/>
    <n v="595.67567567567596"/>
    <n v="217421.62162162201"/>
    <n v="782717.83783783799"/>
  </r>
  <r>
    <x v="0"/>
    <x v="0"/>
    <x v="0"/>
    <x v="9"/>
    <x v="19"/>
    <s v="SE3_GOT"/>
    <x v="2"/>
    <x v="242"/>
    <x v="0"/>
    <x v="10"/>
    <n v="595.67567567567596"/>
    <n v="217421.62162162201"/>
    <n v="782717.83783783799"/>
  </r>
  <r>
    <x v="0"/>
    <x v="0"/>
    <x v="0"/>
    <x v="9"/>
    <x v="19"/>
    <s v="SE3_GOT"/>
    <x v="2"/>
    <x v="242"/>
    <x v="0"/>
    <x v="11"/>
    <n v="595.67567567567596"/>
    <n v="217421.62162162201"/>
    <n v="782717.83783783799"/>
  </r>
  <r>
    <x v="0"/>
    <x v="0"/>
    <x v="0"/>
    <x v="9"/>
    <x v="19"/>
    <s v="SE3_GOT"/>
    <x v="2"/>
    <x v="242"/>
    <x v="0"/>
    <x v="12"/>
    <n v="595.67567567567596"/>
    <n v="217421.62162162201"/>
    <n v="782717.83783783799"/>
  </r>
  <r>
    <x v="0"/>
    <x v="0"/>
    <x v="0"/>
    <x v="9"/>
    <x v="19"/>
    <s v="SE3_GOT"/>
    <x v="2"/>
    <x v="242"/>
    <x v="0"/>
    <x v="13"/>
    <n v="595.67567567567596"/>
    <n v="217421.62162162201"/>
    <n v="782717.83783783799"/>
  </r>
  <r>
    <x v="0"/>
    <x v="0"/>
    <x v="0"/>
    <x v="9"/>
    <x v="19"/>
    <s v="SE3_GOT"/>
    <x v="2"/>
    <x v="242"/>
    <x v="0"/>
    <x v="14"/>
    <n v="595.67567567567596"/>
    <n v="217421.62162162201"/>
    <n v="782717.83783783799"/>
  </r>
  <r>
    <x v="0"/>
    <x v="0"/>
    <x v="0"/>
    <x v="9"/>
    <x v="19"/>
    <s v="SE3_GOT"/>
    <x v="2"/>
    <x v="242"/>
    <x v="0"/>
    <x v="15"/>
    <n v="595.67567567567596"/>
    <n v="217421.62162162201"/>
    <n v="782717.83783783799"/>
  </r>
  <r>
    <x v="0"/>
    <x v="0"/>
    <x v="0"/>
    <x v="9"/>
    <x v="19"/>
    <s v="SE3_GOT"/>
    <x v="2"/>
    <x v="242"/>
    <x v="0"/>
    <x v="16"/>
    <n v="595.67567567567596"/>
    <n v="217421.62162162201"/>
    <n v="782717.83783783799"/>
  </r>
  <r>
    <x v="0"/>
    <x v="0"/>
    <x v="0"/>
    <x v="9"/>
    <x v="19"/>
    <s v="SE3_GOT"/>
    <x v="2"/>
    <x v="242"/>
    <x v="0"/>
    <x v="17"/>
    <n v="595.67567567567596"/>
    <n v="217421.62162162201"/>
    <n v="782717.83783783799"/>
  </r>
  <r>
    <x v="0"/>
    <x v="0"/>
    <x v="0"/>
    <x v="9"/>
    <x v="19"/>
    <s v="SE3_GOT"/>
    <x v="2"/>
    <x v="242"/>
    <x v="0"/>
    <x v="18"/>
    <n v="595.67567567567596"/>
    <n v="217421.62162162201"/>
    <n v="782717.83783783799"/>
  </r>
  <r>
    <x v="0"/>
    <x v="0"/>
    <x v="0"/>
    <x v="9"/>
    <x v="19"/>
    <s v="SE3_GOT"/>
    <x v="2"/>
    <x v="242"/>
    <x v="0"/>
    <x v="19"/>
    <n v="595.67567567567596"/>
    <n v="217421.62162162201"/>
    <n v="782717.83783783799"/>
  </r>
  <r>
    <x v="0"/>
    <x v="0"/>
    <x v="0"/>
    <x v="9"/>
    <x v="19"/>
    <s v="SE3_GOT"/>
    <x v="2"/>
    <x v="242"/>
    <x v="0"/>
    <x v="20"/>
    <n v="595.67567567567596"/>
    <n v="217421.62162162201"/>
    <n v="782717.83783783799"/>
  </r>
  <r>
    <x v="0"/>
    <x v="0"/>
    <x v="0"/>
    <x v="9"/>
    <x v="19"/>
    <s v="SE3_GOT"/>
    <x v="2"/>
    <x v="242"/>
    <x v="0"/>
    <x v="21"/>
    <n v="595.67567567567596"/>
    <n v="217421.62162162201"/>
    <n v="782717.83783783799"/>
  </r>
  <r>
    <x v="0"/>
    <x v="0"/>
    <x v="0"/>
    <x v="9"/>
    <x v="19"/>
    <s v="SE3_GOT"/>
    <x v="2"/>
    <x v="242"/>
    <x v="0"/>
    <x v="22"/>
    <n v="595.67567567567596"/>
    <n v="217421.62162162201"/>
    <n v="782717.83783783799"/>
  </r>
  <r>
    <x v="0"/>
    <x v="0"/>
    <x v="0"/>
    <x v="9"/>
    <x v="19"/>
    <s v="SE3_GOT"/>
    <x v="2"/>
    <x v="242"/>
    <x v="0"/>
    <x v="23"/>
    <n v="595.67567567567596"/>
    <n v="217421.62162162201"/>
    <n v="782717.83783783799"/>
  </r>
  <r>
    <x v="0"/>
    <x v="0"/>
    <x v="0"/>
    <x v="9"/>
    <x v="19"/>
    <s v="SE3_GOT"/>
    <x v="10"/>
    <x v="243"/>
    <x v="0"/>
    <x v="7"/>
    <n v="101.42738912001801"/>
    <n v="37020.997028806501"/>
    <n v="133275.58930370299"/>
  </r>
  <r>
    <x v="0"/>
    <x v="0"/>
    <x v="0"/>
    <x v="9"/>
    <x v="19"/>
    <s v="SE3_GOT"/>
    <x v="10"/>
    <x v="243"/>
    <x v="0"/>
    <x v="8"/>
    <n v="101.42738912001801"/>
    <n v="37020.997028806501"/>
    <n v="133275.58930370299"/>
  </r>
  <r>
    <x v="0"/>
    <x v="0"/>
    <x v="0"/>
    <x v="9"/>
    <x v="19"/>
    <s v="SE3_GOT"/>
    <x v="10"/>
    <x v="243"/>
    <x v="0"/>
    <x v="0"/>
    <n v="101.42738912001801"/>
    <n v="37020.997028806501"/>
    <n v="133275.58930370299"/>
  </r>
  <r>
    <x v="0"/>
    <x v="0"/>
    <x v="0"/>
    <x v="9"/>
    <x v="19"/>
    <s v="SE3_GOT"/>
    <x v="10"/>
    <x v="243"/>
    <x v="0"/>
    <x v="1"/>
    <n v="101.42738912001801"/>
    <n v="37020.997028806501"/>
    <n v="133275.58930370299"/>
  </r>
  <r>
    <x v="0"/>
    <x v="0"/>
    <x v="0"/>
    <x v="9"/>
    <x v="19"/>
    <s v="SE3_GOT"/>
    <x v="10"/>
    <x v="243"/>
    <x v="0"/>
    <x v="2"/>
    <n v="101.42738912001801"/>
    <n v="37020.997028806501"/>
    <n v="133275.58930370299"/>
  </r>
  <r>
    <x v="0"/>
    <x v="0"/>
    <x v="0"/>
    <x v="9"/>
    <x v="19"/>
    <s v="SE3_GOT"/>
    <x v="10"/>
    <x v="243"/>
    <x v="0"/>
    <x v="9"/>
    <n v="101.42738912001801"/>
    <n v="37020.997028806501"/>
    <n v="133275.58930370299"/>
  </r>
  <r>
    <x v="0"/>
    <x v="0"/>
    <x v="0"/>
    <x v="9"/>
    <x v="19"/>
    <s v="SE3_GOT"/>
    <x v="10"/>
    <x v="243"/>
    <x v="0"/>
    <x v="10"/>
    <n v="101.42738912001801"/>
    <n v="37020.997028806501"/>
    <n v="133275.58930370299"/>
  </r>
  <r>
    <x v="0"/>
    <x v="0"/>
    <x v="0"/>
    <x v="9"/>
    <x v="19"/>
    <s v="SE3_GOT"/>
    <x v="10"/>
    <x v="243"/>
    <x v="0"/>
    <x v="11"/>
    <n v="101.42738912001801"/>
    <n v="37020.997028806501"/>
    <n v="133275.58930370299"/>
  </r>
  <r>
    <x v="0"/>
    <x v="0"/>
    <x v="0"/>
    <x v="9"/>
    <x v="19"/>
    <s v="SE3_GOT"/>
    <x v="10"/>
    <x v="243"/>
    <x v="0"/>
    <x v="12"/>
    <n v="101.42738912001801"/>
    <n v="37020.997028806501"/>
    <n v="133275.58930370299"/>
  </r>
  <r>
    <x v="0"/>
    <x v="0"/>
    <x v="0"/>
    <x v="9"/>
    <x v="19"/>
    <s v="SE3_GOT"/>
    <x v="10"/>
    <x v="243"/>
    <x v="0"/>
    <x v="13"/>
    <n v="101.42738912001801"/>
    <n v="37020.997028806501"/>
    <n v="133275.58930370299"/>
  </r>
  <r>
    <x v="0"/>
    <x v="0"/>
    <x v="0"/>
    <x v="9"/>
    <x v="19"/>
    <s v="SE3_GOT"/>
    <x v="10"/>
    <x v="243"/>
    <x v="0"/>
    <x v="14"/>
    <n v="101.42738912001801"/>
    <n v="37020.997028806501"/>
    <n v="133275.58930370299"/>
  </r>
  <r>
    <x v="0"/>
    <x v="0"/>
    <x v="0"/>
    <x v="9"/>
    <x v="19"/>
    <s v="SE3_GOT"/>
    <x v="10"/>
    <x v="243"/>
    <x v="0"/>
    <x v="15"/>
    <n v="101.42738912001801"/>
    <n v="37020.997028806501"/>
    <n v="133275.58930370299"/>
  </r>
  <r>
    <x v="0"/>
    <x v="0"/>
    <x v="0"/>
    <x v="9"/>
    <x v="19"/>
    <s v="SE3_GOT"/>
    <x v="10"/>
    <x v="243"/>
    <x v="0"/>
    <x v="16"/>
    <n v="101.42738912001801"/>
    <n v="37020.997028806501"/>
    <n v="133275.58930370299"/>
  </r>
  <r>
    <x v="0"/>
    <x v="0"/>
    <x v="0"/>
    <x v="9"/>
    <x v="19"/>
    <s v="SE3_GOT"/>
    <x v="10"/>
    <x v="243"/>
    <x v="0"/>
    <x v="17"/>
    <n v="101.42738912001801"/>
    <n v="37020.997028806501"/>
    <n v="133275.58930370299"/>
  </r>
  <r>
    <x v="0"/>
    <x v="0"/>
    <x v="0"/>
    <x v="9"/>
    <x v="19"/>
    <s v="SE3_GOT"/>
    <x v="10"/>
    <x v="243"/>
    <x v="0"/>
    <x v="18"/>
    <n v="101.42738912001801"/>
    <n v="37020.997028806501"/>
    <n v="133275.58930370299"/>
  </r>
  <r>
    <x v="0"/>
    <x v="0"/>
    <x v="0"/>
    <x v="9"/>
    <x v="19"/>
    <s v="SE3_GOT"/>
    <x v="10"/>
    <x v="243"/>
    <x v="0"/>
    <x v="19"/>
    <n v="101.42738912001801"/>
    <n v="37020.997028806501"/>
    <n v="133275.58930370299"/>
  </r>
  <r>
    <x v="0"/>
    <x v="0"/>
    <x v="0"/>
    <x v="9"/>
    <x v="19"/>
    <s v="SE3_GOT"/>
    <x v="10"/>
    <x v="243"/>
    <x v="0"/>
    <x v="20"/>
    <n v="101.42738912001801"/>
    <n v="37020.997028806501"/>
    <n v="133275.58930370299"/>
  </r>
  <r>
    <x v="0"/>
    <x v="0"/>
    <x v="0"/>
    <x v="9"/>
    <x v="19"/>
    <s v="SE3_HP"/>
    <x v="1"/>
    <x v="234"/>
    <x v="0"/>
    <x v="3"/>
    <n v="190.414515729572"/>
    <n v="69501.298241293698"/>
    <n v="250204.67366865699"/>
  </r>
  <r>
    <x v="0"/>
    <x v="0"/>
    <x v="0"/>
    <x v="9"/>
    <x v="19"/>
    <s v="SE3_HP"/>
    <x v="1"/>
    <x v="234"/>
    <x v="0"/>
    <x v="4"/>
    <n v="190.414515729572"/>
    <n v="69501.298241293698"/>
    <n v="250204.67366865699"/>
  </r>
  <r>
    <x v="0"/>
    <x v="0"/>
    <x v="0"/>
    <x v="9"/>
    <x v="19"/>
    <s v="SE3_HP"/>
    <x v="1"/>
    <x v="234"/>
    <x v="0"/>
    <x v="5"/>
    <n v="190.414515729572"/>
    <n v="69501.298241293698"/>
    <n v="250204.67366865699"/>
  </r>
  <r>
    <x v="0"/>
    <x v="0"/>
    <x v="0"/>
    <x v="9"/>
    <x v="19"/>
    <s v="SE3_HP"/>
    <x v="1"/>
    <x v="234"/>
    <x v="0"/>
    <x v="6"/>
    <n v="190.414515729572"/>
    <n v="69501.298241293698"/>
    <n v="250204.67366865699"/>
  </r>
  <r>
    <x v="0"/>
    <x v="0"/>
    <x v="0"/>
    <x v="9"/>
    <x v="19"/>
    <s v="SE3_HP"/>
    <x v="1"/>
    <x v="234"/>
    <x v="0"/>
    <x v="7"/>
    <n v="190.414515729572"/>
    <n v="69501.298241293698"/>
    <n v="250204.67366865699"/>
  </r>
  <r>
    <x v="0"/>
    <x v="0"/>
    <x v="0"/>
    <x v="9"/>
    <x v="19"/>
    <s v="SE3_HP"/>
    <x v="1"/>
    <x v="234"/>
    <x v="0"/>
    <x v="8"/>
    <n v="190.414515729572"/>
    <n v="69501.298241293698"/>
    <n v="250204.67366865699"/>
  </r>
  <r>
    <x v="0"/>
    <x v="0"/>
    <x v="0"/>
    <x v="9"/>
    <x v="19"/>
    <s v="SE3_HP"/>
    <x v="1"/>
    <x v="234"/>
    <x v="0"/>
    <x v="0"/>
    <n v="190.414515729572"/>
    <n v="69501.298241293698"/>
    <n v="250204.67366865699"/>
  </r>
  <r>
    <x v="0"/>
    <x v="0"/>
    <x v="0"/>
    <x v="9"/>
    <x v="19"/>
    <s v="SE3_HP"/>
    <x v="1"/>
    <x v="234"/>
    <x v="0"/>
    <x v="1"/>
    <n v="190.414515729572"/>
    <n v="69501.298241293698"/>
    <n v="250204.67366865699"/>
  </r>
  <r>
    <x v="0"/>
    <x v="0"/>
    <x v="0"/>
    <x v="9"/>
    <x v="19"/>
    <s v="SE3_HP"/>
    <x v="1"/>
    <x v="234"/>
    <x v="0"/>
    <x v="2"/>
    <n v="190.414515729572"/>
    <n v="69501.298241293698"/>
    <n v="250204.67366865699"/>
  </r>
  <r>
    <x v="0"/>
    <x v="0"/>
    <x v="0"/>
    <x v="9"/>
    <x v="19"/>
    <s v="SE3_HP"/>
    <x v="1"/>
    <x v="234"/>
    <x v="0"/>
    <x v="9"/>
    <n v="190.414515729572"/>
    <n v="69501.298241293698"/>
    <n v="250204.67366865699"/>
  </r>
  <r>
    <x v="0"/>
    <x v="0"/>
    <x v="0"/>
    <x v="9"/>
    <x v="19"/>
    <s v="SE3_HP"/>
    <x v="1"/>
    <x v="234"/>
    <x v="0"/>
    <x v="10"/>
    <n v="190.414515729572"/>
    <n v="69501.298241293698"/>
    <n v="250204.67366865699"/>
  </r>
  <r>
    <x v="0"/>
    <x v="0"/>
    <x v="0"/>
    <x v="9"/>
    <x v="19"/>
    <s v="SE3_HP"/>
    <x v="1"/>
    <x v="234"/>
    <x v="0"/>
    <x v="11"/>
    <n v="190.414515729572"/>
    <n v="69501.298241293698"/>
    <n v="250204.67366865699"/>
  </r>
  <r>
    <x v="0"/>
    <x v="0"/>
    <x v="0"/>
    <x v="9"/>
    <x v="19"/>
    <s v="SE3_HP"/>
    <x v="1"/>
    <x v="234"/>
    <x v="0"/>
    <x v="12"/>
    <n v="190.414515729572"/>
    <n v="69501.298241293698"/>
    <n v="250204.67366865699"/>
  </r>
  <r>
    <x v="0"/>
    <x v="0"/>
    <x v="0"/>
    <x v="9"/>
    <x v="19"/>
    <s v="SE3_HP"/>
    <x v="1"/>
    <x v="234"/>
    <x v="0"/>
    <x v="13"/>
    <n v="190.414515729572"/>
    <n v="69501.298241293698"/>
    <n v="250204.67366865699"/>
  </r>
  <r>
    <x v="0"/>
    <x v="0"/>
    <x v="0"/>
    <x v="9"/>
    <x v="19"/>
    <s v="SE3_HP"/>
    <x v="1"/>
    <x v="234"/>
    <x v="0"/>
    <x v="14"/>
    <n v="190.414515729572"/>
    <n v="69501.298241293698"/>
    <n v="250204.67366865699"/>
  </r>
  <r>
    <x v="0"/>
    <x v="0"/>
    <x v="0"/>
    <x v="9"/>
    <x v="19"/>
    <s v="SE3_HP"/>
    <x v="1"/>
    <x v="234"/>
    <x v="0"/>
    <x v="15"/>
    <n v="190.414515729572"/>
    <n v="69501.298241293698"/>
    <n v="250204.67366865699"/>
  </r>
  <r>
    <x v="0"/>
    <x v="0"/>
    <x v="0"/>
    <x v="9"/>
    <x v="19"/>
    <s v="SE3_HP"/>
    <x v="1"/>
    <x v="234"/>
    <x v="0"/>
    <x v="16"/>
    <n v="190.414515729572"/>
    <n v="69501.298241293698"/>
    <n v="250204.67366865699"/>
  </r>
  <r>
    <x v="0"/>
    <x v="0"/>
    <x v="0"/>
    <x v="9"/>
    <x v="19"/>
    <s v="SE3_HP"/>
    <x v="1"/>
    <x v="234"/>
    <x v="0"/>
    <x v="17"/>
    <n v="190.414515729572"/>
    <n v="69501.298241293698"/>
    <n v="250204.67366865699"/>
  </r>
  <r>
    <x v="0"/>
    <x v="0"/>
    <x v="0"/>
    <x v="9"/>
    <x v="19"/>
    <s v="SE3_HP"/>
    <x v="1"/>
    <x v="234"/>
    <x v="0"/>
    <x v="18"/>
    <n v="190.414515729572"/>
    <n v="69501.298241293698"/>
    <n v="250204.67366865699"/>
  </r>
  <r>
    <x v="0"/>
    <x v="0"/>
    <x v="0"/>
    <x v="9"/>
    <x v="19"/>
    <s v="SE3_HP"/>
    <x v="1"/>
    <x v="234"/>
    <x v="0"/>
    <x v="19"/>
    <n v="190.414515729572"/>
    <n v="69501.298241293698"/>
    <n v="250204.67366865699"/>
  </r>
  <r>
    <x v="0"/>
    <x v="0"/>
    <x v="0"/>
    <x v="9"/>
    <x v="19"/>
    <s v="SE3_HP"/>
    <x v="1"/>
    <x v="234"/>
    <x v="0"/>
    <x v="20"/>
    <n v="190.414515729572"/>
    <n v="69501.298241293698"/>
    <n v="250204.67366865699"/>
  </r>
  <r>
    <x v="0"/>
    <x v="0"/>
    <x v="0"/>
    <x v="9"/>
    <x v="19"/>
    <s v="SE3_HP"/>
    <x v="1"/>
    <x v="234"/>
    <x v="0"/>
    <x v="21"/>
    <n v="190.414515729572"/>
    <n v="69501.298241293698"/>
    <n v="250204.67366865699"/>
  </r>
  <r>
    <x v="0"/>
    <x v="0"/>
    <x v="0"/>
    <x v="9"/>
    <x v="19"/>
    <s v="SE3_HP"/>
    <x v="1"/>
    <x v="234"/>
    <x v="0"/>
    <x v="22"/>
    <n v="190.414515729572"/>
    <n v="69501.298241293698"/>
    <n v="250204.67366865699"/>
  </r>
  <r>
    <x v="0"/>
    <x v="0"/>
    <x v="0"/>
    <x v="9"/>
    <x v="19"/>
    <s v="SE3_HP"/>
    <x v="1"/>
    <x v="234"/>
    <x v="0"/>
    <x v="23"/>
    <n v="190.414515729572"/>
    <n v="69501.298241293698"/>
    <n v="250204.67366865699"/>
  </r>
  <r>
    <x v="0"/>
    <x v="0"/>
    <x v="0"/>
    <x v="9"/>
    <x v="19"/>
    <s v="SE3_HP"/>
    <x v="4"/>
    <x v="108"/>
    <x v="0"/>
    <x v="3"/>
    <n v="3.4340659340659201E-3"/>
    <n v="1.2534340659340599"/>
    <n v="4.51236263736262"/>
  </r>
  <r>
    <x v="0"/>
    <x v="0"/>
    <x v="0"/>
    <x v="9"/>
    <x v="19"/>
    <s v="SE3_HP"/>
    <x v="4"/>
    <x v="108"/>
    <x v="0"/>
    <x v="4"/>
    <n v="3.4340659340659201E-3"/>
    <n v="1.2534340659340599"/>
    <n v="4.51236263736262"/>
  </r>
  <r>
    <x v="0"/>
    <x v="0"/>
    <x v="0"/>
    <x v="9"/>
    <x v="19"/>
    <s v="SE3_HP"/>
    <x v="4"/>
    <x v="108"/>
    <x v="0"/>
    <x v="5"/>
    <n v="3.4340659340659201E-3"/>
    <n v="1.2534340659340599"/>
    <n v="4.51236263736262"/>
  </r>
  <r>
    <x v="0"/>
    <x v="0"/>
    <x v="0"/>
    <x v="9"/>
    <x v="19"/>
    <s v="SE3_HP"/>
    <x v="4"/>
    <x v="108"/>
    <x v="0"/>
    <x v="6"/>
    <n v="3.4340659340659201E-3"/>
    <n v="1.2534340659340599"/>
    <n v="4.51236263736262"/>
  </r>
  <r>
    <x v="0"/>
    <x v="0"/>
    <x v="0"/>
    <x v="9"/>
    <x v="19"/>
    <s v="SE3_HP"/>
    <x v="4"/>
    <x v="108"/>
    <x v="0"/>
    <x v="7"/>
    <n v="3.4340659340659201E-3"/>
    <n v="1.2534340659340599"/>
    <n v="4.51236263736262"/>
  </r>
  <r>
    <x v="0"/>
    <x v="0"/>
    <x v="0"/>
    <x v="9"/>
    <x v="19"/>
    <s v="SE3_HP"/>
    <x v="4"/>
    <x v="108"/>
    <x v="0"/>
    <x v="8"/>
    <n v="3.4340659340659201E-3"/>
    <n v="1.2534340659340599"/>
    <n v="4.51236263736262"/>
  </r>
  <r>
    <x v="0"/>
    <x v="0"/>
    <x v="0"/>
    <x v="9"/>
    <x v="19"/>
    <s v="SE3_HP"/>
    <x v="4"/>
    <x v="108"/>
    <x v="0"/>
    <x v="0"/>
    <n v="3.4340659340659201E-3"/>
    <n v="1.2534340659340599"/>
    <n v="4.51236263736262"/>
  </r>
  <r>
    <x v="0"/>
    <x v="0"/>
    <x v="0"/>
    <x v="9"/>
    <x v="19"/>
    <s v="SE3_HP"/>
    <x v="4"/>
    <x v="108"/>
    <x v="0"/>
    <x v="1"/>
    <n v="3.4340659340659201E-3"/>
    <n v="1.2534340659340599"/>
    <n v="4.51236263736262"/>
  </r>
  <r>
    <x v="0"/>
    <x v="0"/>
    <x v="0"/>
    <x v="9"/>
    <x v="19"/>
    <s v="SE3_HP"/>
    <x v="4"/>
    <x v="108"/>
    <x v="0"/>
    <x v="2"/>
    <n v="3.4340659340659201E-3"/>
    <n v="1.2534340659340599"/>
    <n v="4.51236263736262"/>
  </r>
  <r>
    <x v="0"/>
    <x v="0"/>
    <x v="0"/>
    <x v="9"/>
    <x v="19"/>
    <s v="SE3_HP"/>
    <x v="4"/>
    <x v="108"/>
    <x v="0"/>
    <x v="9"/>
    <n v="3.4340659340659201E-3"/>
    <n v="1.2534340659340599"/>
    <n v="4.51236263736262"/>
  </r>
  <r>
    <x v="0"/>
    <x v="0"/>
    <x v="0"/>
    <x v="9"/>
    <x v="19"/>
    <s v="SE3_HP"/>
    <x v="4"/>
    <x v="108"/>
    <x v="0"/>
    <x v="10"/>
    <n v="3.4340659340659201E-3"/>
    <n v="1.2534340659340599"/>
    <n v="4.51236263736262"/>
  </r>
  <r>
    <x v="0"/>
    <x v="0"/>
    <x v="0"/>
    <x v="9"/>
    <x v="19"/>
    <s v="SE3_HP"/>
    <x v="4"/>
    <x v="108"/>
    <x v="0"/>
    <x v="11"/>
    <n v="3.4340659340659201E-3"/>
    <n v="1.2534340659340599"/>
    <n v="4.51236263736262"/>
  </r>
  <r>
    <x v="0"/>
    <x v="0"/>
    <x v="0"/>
    <x v="9"/>
    <x v="19"/>
    <s v="SE3_HP"/>
    <x v="4"/>
    <x v="108"/>
    <x v="0"/>
    <x v="12"/>
    <n v="3.4340659340659201E-3"/>
    <n v="1.2534340659340599"/>
    <n v="4.51236263736262"/>
  </r>
  <r>
    <x v="0"/>
    <x v="0"/>
    <x v="0"/>
    <x v="9"/>
    <x v="19"/>
    <s v="SE3_HP"/>
    <x v="4"/>
    <x v="108"/>
    <x v="0"/>
    <x v="13"/>
    <n v="3.4340659340659201E-3"/>
    <n v="1.2534340659340599"/>
    <n v="4.51236263736262"/>
  </r>
  <r>
    <x v="0"/>
    <x v="0"/>
    <x v="0"/>
    <x v="9"/>
    <x v="19"/>
    <s v="SE3_HP"/>
    <x v="4"/>
    <x v="108"/>
    <x v="0"/>
    <x v="14"/>
    <n v="3.4340659340659201E-3"/>
    <n v="1.2534340659340599"/>
    <n v="4.51236263736262"/>
  </r>
  <r>
    <x v="0"/>
    <x v="0"/>
    <x v="0"/>
    <x v="9"/>
    <x v="19"/>
    <s v="SE3_HP"/>
    <x v="4"/>
    <x v="108"/>
    <x v="0"/>
    <x v="15"/>
    <n v="3.4340659340659201E-3"/>
    <n v="1.2534340659340599"/>
    <n v="4.51236263736262"/>
  </r>
  <r>
    <x v="0"/>
    <x v="0"/>
    <x v="0"/>
    <x v="9"/>
    <x v="19"/>
    <s v="SE3_HP"/>
    <x v="4"/>
    <x v="108"/>
    <x v="0"/>
    <x v="16"/>
    <n v="3.4340659340659201E-3"/>
    <n v="1.2534340659340599"/>
    <n v="4.51236263736262"/>
  </r>
  <r>
    <x v="0"/>
    <x v="0"/>
    <x v="0"/>
    <x v="9"/>
    <x v="19"/>
    <s v="SE3_HP"/>
    <x v="4"/>
    <x v="108"/>
    <x v="0"/>
    <x v="17"/>
    <n v="3.4340659340659201E-3"/>
    <n v="1.2534340659340599"/>
    <n v="4.51236263736262"/>
  </r>
  <r>
    <x v="0"/>
    <x v="0"/>
    <x v="0"/>
    <x v="9"/>
    <x v="19"/>
    <s v="SE3_HP"/>
    <x v="4"/>
    <x v="108"/>
    <x v="0"/>
    <x v="18"/>
    <n v="3.4340659340659201E-3"/>
    <n v="1.2534340659340599"/>
    <n v="4.51236263736262"/>
  </r>
  <r>
    <x v="0"/>
    <x v="0"/>
    <x v="0"/>
    <x v="9"/>
    <x v="19"/>
    <s v="SE3_HP"/>
    <x v="4"/>
    <x v="108"/>
    <x v="0"/>
    <x v="19"/>
    <n v="3.4340659340659201E-3"/>
    <n v="1.2534340659340599"/>
    <n v="4.51236263736262"/>
  </r>
  <r>
    <x v="0"/>
    <x v="0"/>
    <x v="0"/>
    <x v="9"/>
    <x v="19"/>
    <s v="SE3_HP"/>
    <x v="4"/>
    <x v="108"/>
    <x v="0"/>
    <x v="20"/>
    <n v="3.4340659340659201E-3"/>
    <n v="1.2534340659340599"/>
    <n v="4.51236263736262"/>
  </r>
  <r>
    <x v="0"/>
    <x v="0"/>
    <x v="0"/>
    <x v="9"/>
    <x v="19"/>
    <s v="SE3_HP"/>
    <x v="4"/>
    <x v="108"/>
    <x v="0"/>
    <x v="21"/>
    <n v="3.4340659340659201E-3"/>
    <n v="1.2534340659340599"/>
    <n v="4.51236263736262"/>
  </r>
  <r>
    <x v="0"/>
    <x v="0"/>
    <x v="0"/>
    <x v="9"/>
    <x v="19"/>
    <s v="SE3_HP"/>
    <x v="4"/>
    <x v="108"/>
    <x v="0"/>
    <x v="22"/>
    <n v="3.4340659340659201E-3"/>
    <n v="1.2534340659340599"/>
    <n v="4.51236263736262"/>
  </r>
  <r>
    <x v="0"/>
    <x v="0"/>
    <x v="0"/>
    <x v="9"/>
    <x v="19"/>
    <s v="SE3_HP"/>
    <x v="4"/>
    <x v="108"/>
    <x v="0"/>
    <x v="23"/>
    <n v="3.4340659340659201E-3"/>
    <n v="1.2534340659340599"/>
    <n v="4.51236263736262"/>
  </r>
  <r>
    <x v="0"/>
    <x v="0"/>
    <x v="0"/>
    <x v="9"/>
    <x v="19"/>
    <s v="SE3_HP"/>
    <x v="10"/>
    <x v="236"/>
    <x v="0"/>
    <x v="3"/>
    <n v="106.436077057793"/>
    <n v="38849.168126094599"/>
    <n v="139857.00525394001"/>
  </r>
  <r>
    <x v="0"/>
    <x v="0"/>
    <x v="0"/>
    <x v="9"/>
    <x v="19"/>
    <s v="SE3_HP"/>
    <x v="10"/>
    <x v="236"/>
    <x v="0"/>
    <x v="4"/>
    <n v="106.436077057793"/>
    <n v="38849.168126094599"/>
    <n v="139857.00525394001"/>
  </r>
  <r>
    <x v="0"/>
    <x v="0"/>
    <x v="0"/>
    <x v="9"/>
    <x v="19"/>
    <s v="SE3_HP"/>
    <x v="10"/>
    <x v="236"/>
    <x v="0"/>
    <x v="5"/>
    <n v="106.436077057793"/>
    <n v="38849.168126094599"/>
    <n v="139857.00525394001"/>
  </r>
  <r>
    <x v="0"/>
    <x v="0"/>
    <x v="0"/>
    <x v="9"/>
    <x v="19"/>
    <s v="SE3_HP"/>
    <x v="10"/>
    <x v="236"/>
    <x v="0"/>
    <x v="6"/>
    <n v="106.436077057793"/>
    <n v="38849.168126094599"/>
    <n v="139857.00525394001"/>
  </r>
  <r>
    <x v="0"/>
    <x v="0"/>
    <x v="0"/>
    <x v="9"/>
    <x v="19"/>
    <s v="SE3_HP"/>
    <x v="10"/>
    <x v="236"/>
    <x v="0"/>
    <x v="7"/>
    <n v="106.436077057793"/>
    <n v="38849.168126094599"/>
    <n v="139857.00525394001"/>
  </r>
  <r>
    <x v="0"/>
    <x v="0"/>
    <x v="0"/>
    <x v="9"/>
    <x v="19"/>
    <s v="SE3_HP"/>
    <x v="10"/>
    <x v="236"/>
    <x v="0"/>
    <x v="8"/>
    <n v="106.436077057793"/>
    <n v="38849.168126094599"/>
    <n v="139857.00525394001"/>
  </r>
  <r>
    <x v="0"/>
    <x v="0"/>
    <x v="0"/>
    <x v="9"/>
    <x v="19"/>
    <s v="SE3_HP"/>
    <x v="10"/>
    <x v="236"/>
    <x v="0"/>
    <x v="0"/>
    <n v="106.436077057793"/>
    <n v="38849.168126094599"/>
    <n v="139857.00525394001"/>
  </r>
  <r>
    <x v="0"/>
    <x v="0"/>
    <x v="0"/>
    <x v="9"/>
    <x v="19"/>
    <s v="SE3_HP"/>
    <x v="10"/>
    <x v="236"/>
    <x v="0"/>
    <x v="1"/>
    <n v="106.436077057793"/>
    <n v="38849.168126094599"/>
    <n v="139857.00525394001"/>
  </r>
  <r>
    <x v="0"/>
    <x v="0"/>
    <x v="0"/>
    <x v="9"/>
    <x v="19"/>
    <s v="SE3_HP"/>
    <x v="10"/>
    <x v="236"/>
    <x v="0"/>
    <x v="2"/>
    <n v="106.436077057793"/>
    <n v="38849.168126094599"/>
    <n v="139857.00525394001"/>
  </r>
  <r>
    <x v="0"/>
    <x v="0"/>
    <x v="0"/>
    <x v="9"/>
    <x v="19"/>
    <s v="SE3_HP"/>
    <x v="10"/>
    <x v="236"/>
    <x v="0"/>
    <x v="9"/>
    <n v="106.436077057793"/>
    <n v="38849.168126094599"/>
    <n v="139857.00525394001"/>
  </r>
  <r>
    <x v="0"/>
    <x v="0"/>
    <x v="0"/>
    <x v="9"/>
    <x v="19"/>
    <s v="SE3_HP"/>
    <x v="10"/>
    <x v="236"/>
    <x v="0"/>
    <x v="10"/>
    <n v="106.436077057793"/>
    <n v="38849.168126094599"/>
    <n v="139857.00525394001"/>
  </r>
  <r>
    <x v="0"/>
    <x v="0"/>
    <x v="0"/>
    <x v="9"/>
    <x v="19"/>
    <s v="SE3_HP"/>
    <x v="10"/>
    <x v="236"/>
    <x v="0"/>
    <x v="11"/>
    <n v="106.436077057793"/>
    <n v="38849.168126094599"/>
    <n v="139857.00525394001"/>
  </r>
  <r>
    <x v="0"/>
    <x v="0"/>
    <x v="0"/>
    <x v="9"/>
    <x v="19"/>
    <s v="SE3_HP"/>
    <x v="10"/>
    <x v="236"/>
    <x v="0"/>
    <x v="12"/>
    <n v="106.436077057793"/>
    <n v="38849.168126094599"/>
    <n v="139857.00525394001"/>
  </r>
  <r>
    <x v="0"/>
    <x v="0"/>
    <x v="0"/>
    <x v="9"/>
    <x v="19"/>
    <s v="SE3_HP"/>
    <x v="10"/>
    <x v="236"/>
    <x v="0"/>
    <x v="13"/>
    <n v="106.436077057793"/>
    <n v="38849.168126094599"/>
    <n v="139857.00525394001"/>
  </r>
  <r>
    <x v="0"/>
    <x v="0"/>
    <x v="0"/>
    <x v="9"/>
    <x v="19"/>
    <s v="SE3_HP"/>
    <x v="10"/>
    <x v="236"/>
    <x v="0"/>
    <x v="14"/>
    <n v="106.436077057793"/>
    <n v="38849.168126094599"/>
    <n v="139857.00525394001"/>
  </r>
  <r>
    <x v="0"/>
    <x v="0"/>
    <x v="0"/>
    <x v="9"/>
    <x v="19"/>
    <s v="SE3_HP"/>
    <x v="10"/>
    <x v="236"/>
    <x v="0"/>
    <x v="15"/>
    <n v="106.436077057793"/>
    <n v="38849.168126094599"/>
    <n v="139857.00525394001"/>
  </r>
  <r>
    <x v="0"/>
    <x v="0"/>
    <x v="0"/>
    <x v="9"/>
    <x v="19"/>
    <s v="SE3_HP"/>
    <x v="10"/>
    <x v="236"/>
    <x v="0"/>
    <x v="16"/>
    <n v="106.436077057793"/>
    <n v="38849.168126094599"/>
    <n v="139857.00525394001"/>
  </r>
  <r>
    <x v="0"/>
    <x v="0"/>
    <x v="0"/>
    <x v="9"/>
    <x v="19"/>
    <s v="SE3_HP"/>
    <x v="10"/>
    <x v="236"/>
    <x v="0"/>
    <x v="17"/>
    <n v="106.436077057793"/>
    <n v="38849.168126094599"/>
    <n v="139857.00525394001"/>
  </r>
  <r>
    <x v="0"/>
    <x v="0"/>
    <x v="0"/>
    <x v="9"/>
    <x v="19"/>
    <s v="SE3_HP"/>
    <x v="10"/>
    <x v="236"/>
    <x v="0"/>
    <x v="18"/>
    <n v="106.436077057793"/>
    <n v="38849.168126094599"/>
    <n v="139857.00525394001"/>
  </r>
  <r>
    <x v="0"/>
    <x v="0"/>
    <x v="0"/>
    <x v="9"/>
    <x v="19"/>
    <s v="SE3_HP"/>
    <x v="10"/>
    <x v="236"/>
    <x v="0"/>
    <x v="19"/>
    <n v="106.436077057793"/>
    <n v="38849.168126094599"/>
    <n v="139857.00525394001"/>
  </r>
  <r>
    <x v="0"/>
    <x v="0"/>
    <x v="0"/>
    <x v="9"/>
    <x v="19"/>
    <s v="SE3_HP"/>
    <x v="10"/>
    <x v="236"/>
    <x v="0"/>
    <x v="20"/>
    <n v="106.436077057793"/>
    <n v="38849.168126094599"/>
    <n v="139857.00525394001"/>
  </r>
  <r>
    <x v="0"/>
    <x v="0"/>
    <x v="0"/>
    <x v="9"/>
    <x v="19"/>
    <s v="SE3_HP"/>
    <x v="10"/>
    <x v="236"/>
    <x v="0"/>
    <x v="21"/>
    <n v="106.436077057793"/>
    <n v="38849.168126094599"/>
    <n v="139857.00525394001"/>
  </r>
  <r>
    <x v="0"/>
    <x v="0"/>
    <x v="0"/>
    <x v="9"/>
    <x v="19"/>
    <s v="SE3_HP"/>
    <x v="10"/>
    <x v="236"/>
    <x v="0"/>
    <x v="22"/>
    <n v="106.436077057793"/>
    <n v="38849.168126094599"/>
    <n v="139857.00525394001"/>
  </r>
  <r>
    <x v="0"/>
    <x v="0"/>
    <x v="0"/>
    <x v="9"/>
    <x v="19"/>
    <s v="SE3_HP"/>
    <x v="10"/>
    <x v="236"/>
    <x v="0"/>
    <x v="23"/>
    <n v="106.436077057793"/>
    <n v="38849.168126094599"/>
    <n v="139857.00525394001"/>
  </r>
  <r>
    <x v="0"/>
    <x v="0"/>
    <x v="0"/>
    <x v="9"/>
    <x v="19"/>
    <s v="SE3_HP"/>
    <x v="10"/>
    <x v="244"/>
    <x v="0"/>
    <x v="3"/>
    <n v="491.99822391726002"/>
    <n v="179579.35172979999"/>
    <n v="646485.666227279"/>
  </r>
  <r>
    <x v="0"/>
    <x v="0"/>
    <x v="0"/>
    <x v="9"/>
    <x v="19"/>
    <s v="SE3_HP"/>
    <x v="10"/>
    <x v="244"/>
    <x v="0"/>
    <x v="4"/>
    <n v="491.99822391726002"/>
    <n v="179579.35172979999"/>
    <n v="646485.666227279"/>
  </r>
  <r>
    <x v="0"/>
    <x v="0"/>
    <x v="0"/>
    <x v="9"/>
    <x v="19"/>
    <s v="SE3_HP"/>
    <x v="10"/>
    <x v="244"/>
    <x v="0"/>
    <x v="5"/>
    <n v="491.99822391726002"/>
    <n v="179579.35172979999"/>
    <n v="646485.666227279"/>
  </r>
  <r>
    <x v="0"/>
    <x v="0"/>
    <x v="0"/>
    <x v="9"/>
    <x v="19"/>
    <s v="SE3_HP"/>
    <x v="10"/>
    <x v="244"/>
    <x v="0"/>
    <x v="6"/>
    <n v="491.99822391726002"/>
    <n v="179579.35172979999"/>
    <n v="646485.666227279"/>
  </r>
  <r>
    <x v="0"/>
    <x v="0"/>
    <x v="0"/>
    <x v="9"/>
    <x v="19"/>
    <s v="SE3_HP"/>
    <x v="10"/>
    <x v="244"/>
    <x v="0"/>
    <x v="7"/>
    <n v="491.99822391726002"/>
    <n v="179579.35172979999"/>
    <n v="646485.666227279"/>
  </r>
  <r>
    <x v="0"/>
    <x v="0"/>
    <x v="0"/>
    <x v="9"/>
    <x v="19"/>
    <s v="SE3_HP"/>
    <x v="10"/>
    <x v="244"/>
    <x v="0"/>
    <x v="8"/>
    <n v="491.99822391726002"/>
    <n v="179579.35172979999"/>
    <n v="646485.666227279"/>
  </r>
  <r>
    <x v="0"/>
    <x v="0"/>
    <x v="0"/>
    <x v="9"/>
    <x v="19"/>
    <s v="SE3_HP"/>
    <x v="10"/>
    <x v="244"/>
    <x v="0"/>
    <x v="0"/>
    <n v="491.99822391726002"/>
    <n v="179579.35172979999"/>
    <n v="646485.666227279"/>
  </r>
  <r>
    <x v="0"/>
    <x v="0"/>
    <x v="0"/>
    <x v="9"/>
    <x v="19"/>
    <s v="SE3_HP"/>
    <x v="10"/>
    <x v="244"/>
    <x v="0"/>
    <x v="1"/>
    <n v="491.99822391726002"/>
    <n v="179579.35172979999"/>
    <n v="646485.666227279"/>
  </r>
  <r>
    <x v="0"/>
    <x v="0"/>
    <x v="0"/>
    <x v="9"/>
    <x v="19"/>
    <s v="SE3_HP"/>
    <x v="10"/>
    <x v="244"/>
    <x v="0"/>
    <x v="2"/>
    <n v="491.99822391726002"/>
    <n v="179579.35172979999"/>
    <n v="646485.666227279"/>
  </r>
  <r>
    <x v="0"/>
    <x v="0"/>
    <x v="0"/>
    <x v="9"/>
    <x v="19"/>
    <s v="SE3_HP"/>
    <x v="10"/>
    <x v="244"/>
    <x v="0"/>
    <x v="9"/>
    <n v="491.99822391726002"/>
    <n v="179579.35172979999"/>
    <n v="646485.666227279"/>
  </r>
  <r>
    <x v="0"/>
    <x v="0"/>
    <x v="0"/>
    <x v="9"/>
    <x v="19"/>
    <s v="SE3_HP"/>
    <x v="10"/>
    <x v="244"/>
    <x v="0"/>
    <x v="10"/>
    <n v="491.99822391726002"/>
    <n v="179579.35172979999"/>
    <n v="646485.666227279"/>
  </r>
  <r>
    <x v="0"/>
    <x v="0"/>
    <x v="0"/>
    <x v="9"/>
    <x v="19"/>
    <s v="SE3_HP"/>
    <x v="10"/>
    <x v="244"/>
    <x v="0"/>
    <x v="11"/>
    <n v="491.99822391726002"/>
    <n v="179579.35172979999"/>
    <n v="646485.666227279"/>
  </r>
  <r>
    <x v="0"/>
    <x v="0"/>
    <x v="0"/>
    <x v="9"/>
    <x v="19"/>
    <s v="SE3_HP"/>
    <x v="10"/>
    <x v="244"/>
    <x v="0"/>
    <x v="12"/>
    <n v="491.99822391726002"/>
    <n v="179579.35172979999"/>
    <n v="646485.666227279"/>
  </r>
  <r>
    <x v="0"/>
    <x v="0"/>
    <x v="0"/>
    <x v="9"/>
    <x v="19"/>
    <s v="SE3_HP"/>
    <x v="10"/>
    <x v="244"/>
    <x v="0"/>
    <x v="13"/>
    <n v="491.99822391726002"/>
    <n v="179579.35172979999"/>
    <n v="646485.666227279"/>
  </r>
  <r>
    <x v="0"/>
    <x v="0"/>
    <x v="0"/>
    <x v="9"/>
    <x v="19"/>
    <s v="SE3_HP"/>
    <x v="10"/>
    <x v="244"/>
    <x v="0"/>
    <x v="14"/>
    <n v="491.99822391726002"/>
    <n v="179579.35172979999"/>
    <n v="646485.666227279"/>
  </r>
  <r>
    <x v="0"/>
    <x v="0"/>
    <x v="0"/>
    <x v="9"/>
    <x v="19"/>
    <s v="SE3_HP"/>
    <x v="10"/>
    <x v="244"/>
    <x v="0"/>
    <x v="15"/>
    <n v="491.99822391726002"/>
    <n v="179579.35172979999"/>
    <n v="646485.666227279"/>
  </r>
  <r>
    <x v="0"/>
    <x v="0"/>
    <x v="0"/>
    <x v="9"/>
    <x v="19"/>
    <s v="SE3_HP"/>
    <x v="10"/>
    <x v="244"/>
    <x v="0"/>
    <x v="16"/>
    <n v="491.99822391726002"/>
    <n v="179579.35172979999"/>
    <n v="646485.666227279"/>
  </r>
  <r>
    <x v="0"/>
    <x v="0"/>
    <x v="0"/>
    <x v="9"/>
    <x v="19"/>
    <s v="SE3_HP"/>
    <x v="10"/>
    <x v="244"/>
    <x v="0"/>
    <x v="17"/>
    <n v="491.99822391726002"/>
    <n v="179579.35172979999"/>
    <n v="646485.666227279"/>
  </r>
  <r>
    <x v="0"/>
    <x v="0"/>
    <x v="0"/>
    <x v="9"/>
    <x v="19"/>
    <s v="SE3_HP"/>
    <x v="10"/>
    <x v="244"/>
    <x v="0"/>
    <x v="18"/>
    <n v="491.99822391726002"/>
    <n v="179579.35172979999"/>
    <n v="646485.666227279"/>
  </r>
  <r>
    <x v="0"/>
    <x v="0"/>
    <x v="0"/>
    <x v="9"/>
    <x v="19"/>
    <s v="SE3_HP"/>
    <x v="10"/>
    <x v="244"/>
    <x v="0"/>
    <x v="19"/>
    <n v="491.99822391726002"/>
    <n v="179579.35172979999"/>
    <n v="646485.666227279"/>
  </r>
  <r>
    <x v="0"/>
    <x v="0"/>
    <x v="0"/>
    <x v="9"/>
    <x v="19"/>
    <s v="SE3_HP"/>
    <x v="10"/>
    <x v="244"/>
    <x v="0"/>
    <x v="20"/>
    <n v="491.99822391726002"/>
    <n v="179579.35172979999"/>
    <n v="646485.666227279"/>
  </r>
  <r>
    <x v="0"/>
    <x v="0"/>
    <x v="0"/>
    <x v="9"/>
    <x v="19"/>
    <s v="SE3_HP"/>
    <x v="10"/>
    <x v="244"/>
    <x v="0"/>
    <x v="21"/>
    <n v="491.99822391726002"/>
    <n v="179579.35172979999"/>
    <n v="646485.666227279"/>
  </r>
  <r>
    <x v="0"/>
    <x v="0"/>
    <x v="0"/>
    <x v="9"/>
    <x v="19"/>
    <s v="SE3_HP"/>
    <x v="10"/>
    <x v="244"/>
    <x v="0"/>
    <x v="22"/>
    <n v="491.99822391726002"/>
    <n v="179579.35172979999"/>
    <n v="646485.666227279"/>
  </r>
  <r>
    <x v="0"/>
    <x v="0"/>
    <x v="0"/>
    <x v="9"/>
    <x v="19"/>
    <s v="SE3_HP"/>
    <x v="10"/>
    <x v="244"/>
    <x v="0"/>
    <x v="23"/>
    <n v="491.99822391726002"/>
    <n v="179579.35172979999"/>
    <n v="646485.666227279"/>
  </r>
  <r>
    <x v="0"/>
    <x v="0"/>
    <x v="0"/>
    <x v="9"/>
    <x v="19"/>
    <s v="SE3_HP"/>
    <x v="10"/>
    <x v="111"/>
    <x v="0"/>
    <x v="3"/>
    <n v="20.472496960956001"/>
    <n v="7472.4613907489402"/>
    <n v="26900.861006696199"/>
  </r>
  <r>
    <x v="0"/>
    <x v="0"/>
    <x v="0"/>
    <x v="9"/>
    <x v="19"/>
    <s v="SE3_HP"/>
    <x v="10"/>
    <x v="111"/>
    <x v="0"/>
    <x v="4"/>
    <n v="20.472496960956001"/>
    <n v="7472.4613907489402"/>
    <n v="26900.861006696199"/>
  </r>
  <r>
    <x v="0"/>
    <x v="0"/>
    <x v="0"/>
    <x v="9"/>
    <x v="19"/>
    <s v="SE3_HP"/>
    <x v="10"/>
    <x v="111"/>
    <x v="0"/>
    <x v="5"/>
    <n v="20.472496960956001"/>
    <n v="7472.4613907489402"/>
    <n v="26900.861006696199"/>
  </r>
  <r>
    <x v="0"/>
    <x v="0"/>
    <x v="0"/>
    <x v="9"/>
    <x v="19"/>
    <s v="SE3_HP"/>
    <x v="10"/>
    <x v="111"/>
    <x v="0"/>
    <x v="6"/>
    <n v="20.472496960956001"/>
    <n v="7472.4613907489402"/>
    <n v="26900.861006696199"/>
  </r>
  <r>
    <x v="0"/>
    <x v="0"/>
    <x v="0"/>
    <x v="9"/>
    <x v="19"/>
    <s v="SE3_HP"/>
    <x v="10"/>
    <x v="111"/>
    <x v="0"/>
    <x v="7"/>
    <n v="20.472496960956001"/>
    <n v="7472.4613907489402"/>
    <n v="26900.861006696199"/>
  </r>
  <r>
    <x v="0"/>
    <x v="0"/>
    <x v="0"/>
    <x v="9"/>
    <x v="19"/>
    <s v="SE3_HP"/>
    <x v="10"/>
    <x v="111"/>
    <x v="0"/>
    <x v="8"/>
    <n v="20.472496960956001"/>
    <n v="7472.4613907489402"/>
    <n v="26900.861006696199"/>
  </r>
  <r>
    <x v="0"/>
    <x v="0"/>
    <x v="0"/>
    <x v="9"/>
    <x v="19"/>
    <s v="SE3_HP"/>
    <x v="10"/>
    <x v="111"/>
    <x v="0"/>
    <x v="0"/>
    <n v="20.472496960956001"/>
    <n v="7472.4613907489402"/>
    <n v="26900.861006696199"/>
  </r>
  <r>
    <x v="0"/>
    <x v="0"/>
    <x v="0"/>
    <x v="9"/>
    <x v="19"/>
    <s v="SE3_HP"/>
    <x v="10"/>
    <x v="111"/>
    <x v="0"/>
    <x v="1"/>
    <n v="20.472496960956001"/>
    <n v="7472.4613907489402"/>
    <n v="26900.861006696199"/>
  </r>
  <r>
    <x v="0"/>
    <x v="0"/>
    <x v="0"/>
    <x v="9"/>
    <x v="19"/>
    <s v="SE3_HP"/>
    <x v="10"/>
    <x v="111"/>
    <x v="0"/>
    <x v="2"/>
    <n v="20.472496960956001"/>
    <n v="7472.4613907489402"/>
    <n v="26900.861006696199"/>
  </r>
  <r>
    <x v="0"/>
    <x v="0"/>
    <x v="0"/>
    <x v="9"/>
    <x v="19"/>
    <s v="SE3_HP"/>
    <x v="10"/>
    <x v="111"/>
    <x v="0"/>
    <x v="9"/>
    <n v="20.472496960956001"/>
    <n v="7472.4613907489402"/>
    <n v="26900.861006696199"/>
  </r>
  <r>
    <x v="0"/>
    <x v="0"/>
    <x v="0"/>
    <x v="9"/>
    <x v="19"/>
    <s v="SE3_HP"/>
    <x v="10"/>
    <x v="111"/>
    <x v="0"/>
    <x v="10"/>
    <n v="20.472496960956001"/>
    <n v="7472.4613907489402"/>
    <n v="26900.861006696199"/>
  </r>
  <r>
    <x v="0"/>
    <x v="0"/>
    <x v="0"/>
    <x v="9"/>
    <x v="19"/>
    <s v="SE3_HP"/>
    <x v="10"/>
    <x v="111"/>
    <x v="0"/>
    <x v="11"/>
    <n v="20.472496960956001"/>
    <n v="7472.4613907489402"/>
    <n v="26900.861006696199"/>
  </r>
  <r>
    <x v="0"/>
    <x v="0"/>
    <x v="0"/>
    <x v="9"/>
    <x v="19"/>
    <s v="SE3_HP"/>
    <x v="10"/>
    <x v="111"/>
    <x v="0"/>
    <x v="12"/>
    <n v="20.472496960956001"/>
    <n v="7472.4613907489402"/>
    <n v="26900.861006696199"/>
  </r>
  <r>
    <x v="0"/>
    <x v="0"/>
    <x v="0"/>
    <x v="9"/>
    <x v="19"/>
    <s v="SE3_HP"/>
    <x v="10"/>
    <x v="111"/>
    <x v="0"/>
    <x v="13"/>
    <n v="20.472496960956001"/>
    <n v="7472.4613907489402"/>
    <n v="26900.861006696199"/>
  </r>
  <r>
    <x v="0"/>
    <x v="0"/>
    <x v="0"/>
    <x v="9"/>
    <x v="19"/>
    <s v="SE3_HP"/>
    <x v="10"/>
    <x v="111"/>
    <x v="0"/>
    <x v="14"/>
    <n v="20.472496960956001"/>
    <n v="7472.4613907489402"/>
    <n v="26900.861006696199"/>
  </r>
  <r>
    <x v="0"/>
    <x v="0"/>
    <x v="0"/>
    <x v="9"/>
    <x v="19"/>
    <s v="SE3_HP"/>
    <x v="10"/>
    <x v="111"/>
    <x v="0"/>
    <x v="15"/>
    <n v="20.472496960956001"/>
    <n v="7472.4613907489402"/>
    <n v="26900.861006696199"/>
  </r>
  <r>
    <x v="0"/>
    <x v="0"/>
    <x v="0"/>
    <x v="9"/>
    <x v="19"/>
    <s v="SE3_HP"/>
    <x v="10"/>
    <x v="111"/>
    <x v="0"/>
    <x v="16"/>
    <n v="20.472496960956001"/>
    <n v="7472.4613907489402"/>
    <n v="26900.861006696199"/>
  </r>
  <r>
    <x v="0"/>
    <x v="0"/>
    <x v="0"/>
    <x v="9"/>
    <x v="19"/>
    <s v="SE3_HP"/>
    <x v="10"/>
    <x v="111"/>
    <x v="0"/>
    <x v="17"/>
    <n v="20.472496960956001"/>
    <n v="7472.4613907489402"/>
    <n v="26900.861006696199"/>
  </r>
  <r>
    <x v="0"/>
    <x v="0"/>
    <x v="0"/>
    <x v="9"/>
    <x v="19"/>
    <s v="SE3_HP"/>
    <x v="10"/>
    <x v="111"/>
    <x v="0"/>
    <x v="18"/>
    <n v="20.472496960956001"/>
    <n v="7472.4613907489402"/>
    <n v="26900.861006696199"/>
  </r>
  <r>
    <x v="0"/>
    <x v="0"/>
    <x v="0"/>
    <x v="9"/>
    <x v="19"/>
    <s v="SE3_HP"/>
    <x v="10"/>
    <x v="111"/>
    <x v="0"/>
    <x v="19"/>
    <n v="20.472496960956001"/>
    <n v="7472.4613907489402"/>
    <n v="26900.861006696199"/>
  </r>
  <r>
    <x v="0"/>
    <x v="0"/>
    <x v="0"/>
    <x v="9"/>
    <x v="19"/>
    <s v="SE3_HP"/>
    <x v="10"/>
    <x v="111"/>
    <x v="0"/>
    <x v="20"/>
    <n v="20.472496960956001"/>
    <n v="7472.4613907489402"/>
    <n v="26900.861006696199"/>
  </r>
  <r>
    <x v="0"/>
    <x v="0"/>
    <x v="0"/>
    <x v="9"/>
    <x v="19"/>
    <s v="SE3_HP"/>
    <x v="10"/>
    <x v="111"/>
    <x v="0"/>
    <x v="21"/>
    <n v="20.472496960956001"/>
    <n v="7472.4613907489402"/>
    <n v="26900.861006696199"/>
  </r>
  <r>
    <x v="0"/>
    <x v="0"/>
    <x v="0"/>
    <x v="9"/>
    <x v="19"/>
    <s v="SE3_HP"/>
    <x v="10"/>
    <x v="111"/>
    <x v="0"/>
    <x v="22"/>
    <n v="20.472496960956001"/>
    <n v="7472.4613907489402"/>
    <n v="26900.861006696199"/>
  </r>
  <r>
    <x v="0"/>
    <x v="0"/>
    <x v="0"/>
    <x v="9"/>
    <x v="19"/>
    <s v="SE3_HP"/>
    <x v="10"/>
    <x v="111"/>
    <x v="0"/>
    <x v="23"/>
    <n v="20.472496960956001"/>
    <n v="7472.4613907489402"/>
    <n v="26900.861006696199"/>
  </r>
  <r>
    <x v="0"/>
    <x v="0"/>
    <x v="0"/>
    <x v="9"/>
    <x v="19"/>
    <s v="SE3_OTHER"/>
    <x v="1"/>
    <x v="234"/>
    <x v="0"/>
    <x v="3"/>
    <n v="166.00790611149199"/>
    <n v="60592.885730694703"/>
    <n v="218134.38863050099"/>
  </r>
  <r>
    <x v="0"/>
    <x v="0"/>
    <x v="0"/>
    <x v="9"/>
    <x v="19"/>
    <s v="SE3_OTHER"/>
    <x v="1"/>
    <x v="234"/>
    <x v="0"/>
    <x v="4"/>
    <n v="166.00790611149199"/>
    <n v="60592.885730694703"/>
    <n v="218134.38863050099"/>
  </r>
  <r>
    <x v="0"/>
    <x v="0"/>
    <x v="0"/>
    <x v="9"/>
    <x v="19"/>
    <s v="SE3_OTHER"/>
    <x v="1"/>
    <x v="234"/>
    <x v="0"/>
    <x v="5"/>
    <n v="166.00790611149199"/>
    <n v="60592.885730694703"/>
    <n v="218134.38863050099"/>
  </r>
  <r>
    <x v="0"/>
    <x v="0"/>
    <x v="0"/>
    <x v="9"/>
    <x v="19"/>
    <s v="SE3_OTHER"/>
    <x v="1"/>
    <x v="234"/>
    <x v="0"/>
    <x v="6"/>
    <n v="166.00790611149199"/>
    <n v="60592.885730694703"/>
    <n v="218134.38863050099"/>
  </r>
  <r>
    <x v="0"/>
    <x v="0"/>
    <x v="0"/>
    <x v="9"/>
    <x v="19"/>
    <s v="SE3_OTHER"/>
    <x v="1"/>
    <x v="234"/>
    <x v="0"/>
    <x v="7"/>
    <n v="166.00790611149199"/>
    <n v="60592.885730694703"/>
    <n v="218134.38863050099"/>
  </r>
  <r>
    <x v="0"/>
    <x v="0"/>
    <x v="0"/>
    <x v="9"/>
    <x v="19"/>
    <s v="SE3_OTHER"/>
    <x v="1"/>
    <x v="234"/>
    <x v="0"/>
    <x v="8"/>
    <n v="166.00790611149199"/>
    <n v="60592.885730694703"/>
    <n v="218134.38863050099"/>
  </r>
  <r>
    <x v="0"/>
    <x v="0"/>
    <x v="0"/>
    <x v="9"/>
    <x v="19"/>
    <s v="SE3_OTHER"/>
    <x v="1"/>
    <x v="234"/>
    <x v="0"/>
    <x v="0"/>
    <n v="166.00790611149199"/>
    <n v="60592.885730694703"/>
    <n v="218134.38863050099"/>
  </r>
  <r>
    <x v="0"/>
    <x v="0"/>
    <x v="0"/>
    <x v="9"/>
    <x v="19"/>
    <s v="SE3_OTHER"/>
    <x v="1"/>
    <x v="234"/>
    <x v="0"/>
    <x v="1"/>
    <n v="166.00790611149199"/>
    <n v="60592.885730694703"/>
    <n v="218134.38863050099"/>
  </r>
  <r>
    <x v="0"/>
    <x v="0"/>
    <x v="0"/>
    <x v="9"/>
    <x v="19"/>
    <s v="SE3_OTHER"/>
    <x v="1"/>
    <x v="234"/>
    <x v="0"/>
    <x v="2"/>
    <n v="166.00790611149199"/>
    <n v="60592.885730694703"/>
    <n v="218134.38863050099"/>
  </r>
  <r>
    <x v="0"/>
    <x v="0"/>
    <x v="0"/>
    <x v="9"/>
    <x v="19"/>
    <s v="SE3_OTHER"/>
    <x v="1"/>
    <x v="234"/>
    <x v="0"/>
    <x v="9"/>
    <n v="166.00790611149199"/>
    <n v="60592.885730694703"/>
    <n v="218134.38863050099"/>
  </r>
  <r>
    <x v="0"/>
    <x v="0"/>
    <x v="0"/>
    <x v="9"/>
    <x v="19"/>
    <s v="SE3_OTHER"/>
    <x v="1"/>
    <x v="234"/>
    <x v="0"/>
    <x v="10"/>
    <n v="166.00790611149199"/>
    <n v="60592.885730694703"/>
    <n v="218134.38863050099"/>
  </r>
  <r>
    <x v="0"/>
    <x v="0"/>
    <x v="0"/>
    <x v="9"/>
    <x v="19"/>
    <s v="SE3_OTHER"/>
    <x v="1"/>
    <x v="234"/>
    <x v="0"/>
    <x v="11"/>
    <n v="166.00790611149199"/>
    <n v="60592.885730694703"/>
    <n v="218134.38863050099"/>
  </r>
  <r>
    <x v="0"/>
    <x v="0"/>
    <x v="0"/>
    <x v="9"/>
    <x v="19"/>
    <s v="SE3_OTHER"/>
    <x v="1"/>
    <x v="234"/>
    <x v="0"/>
    <x v="12"/>
    <n v="166.00790611149199"/>
    <n v="60592.885730694703"/>
    <n v="218134.38863050099"/>
  </r>
  <r>
    <x v="0"/>
    <x v="0"/>
    <x v="0"/>
    <x v="9"/>
    <x v="19"/>
    <s v="SE3_OTHER"/>
    <x v="1"/>
    <x v="234"/>
    <x v="0"/>
    <x v="13"/>
    <n v="166.00790611149199"/>
    <n v="60592.885730694703"/>
    <n v="218134.38863050099"/>
  </r>
  <r>
    <x v="0"/>
    <x v="0"/>
    <x v="0"/>
    <x v="9"/>
    <x v="19"/>
    <s v="SE3_OTHER"/>
    <x v="1"/>
    <x v="234"/>
    <x v="0"/>
    <x v="14"/>
    <n v="166.00790611149199"/>
    <n v="60592.885730694703"/>
    <n v="218134.38863050099"/>
  </r>
  <r>
    <x v="0"/>
    <x v="0"/>
    <x v="0"/>
    <x v="9"/>
    <x v="19"/>
    <s v="SE3_OTHER"/>
    <x v="1"/>
    <x v="234"/>
    <x v="0"/>
    <x v="15"/>
    <n v="166.00790611149199"/>
    <n v="60592.885730694703"/>
    <n v="218134.38863050099"/>
  </r>
  <r>
    <x v="0"/>
    <x v="0"/>
    <x v="0"/>
    <x v="9"/>
    <x v="19"/>
    <s v="SE3_OTHER"/>
    <x v="1"/>
    <x v="234"/>
    <x v="0"/>
    <x v="16"/>
    <n v="166.00790611149199"/>
    <n v="60592.885730694703"/>
    <n v="218134.38863050099"/>
  </r>
  <r>
    <x v="0"/>
    <x v="0"/>
    <x v="0"/>
    <x v="9"/>
    <x v="19"/>
    <s v="SE3_OTHER"/>
    <x v="1"/>
    <x v="234"/>
    <x v="0"/>
    <x v="17"/>
    <n v="166.00790611149199"/>
    <n v="60592.885730694703"/>
    <n v="218134.38863050099"/>
  </r>
  <r>
    <x v="0"/>
    <x v="0"/>
    <x v="0"/>
    <x v="9"/>
    <x v="19"/>
    <s v="SE3_OTHER"/>
    <x v="1"/>
    <x v="234"/>
    <x v="0"/>
    <x v="18"/>
    <n v="166.00790611149199"/>
    <n v="60592.885730694703"/>
    <n v="218134.38863050099"/>
  </r>
  <r>
    <x v="0"/>
    <x v="0"/>
    <x v="0"/>
    <x v="9"/>
    <x v="19"/>
    <s v="SE3_OTHER"/>
    <x v="1"/>
    <x v="234"/>
    <x v="0"/>
    <x v="19"/>
    <n v="166.00790611149199"/>
    <n v="60592.885730694703"/>
    <n v="218134.38863050099"/>
  </r>
  <r>
    <x v="0"/>
    <x v="0"/>
    <x v="0"/>
    <x v="9"/>
    <x v="19"/>
    <s v="SE3_OTHER"/>
    <x v="1"/>
    <x v="234"/>
    <x v="0"/>
    <x v="20"/>
    <n v="166.00790611149199"/>
    <n v="60592.885730694703"/>
    <n v="218134.38863050099"/>
  </r>
  <r>
    <x v="0"/>
    <x v="0"/>
    <x v="0"/>
    <x v="9"/>
    <x v="19"/>
    <s v="SE3_OTHER"/>
    <x v="1"/>
    <x v="234"/>
    <x v="0"/>
    <x v="21"/>
    <n v="166.00790611149199"/>
    <n v="60592.885730694703"/>
    <n v="218134.38863050099"/>
  </r>
  <r>
    <x v="0"/>
    <x v="0"/>
    <x v="0"/>
    <x v="9"/>
    <x v="19"/>
    <s v="SE3_OTHER"/>
    <x v="1"/>
    <x v="234"/>
    <x v="0"/>
    <x v="22"/>
    <n v="166.00790611149199"/>
    <n v="60592.885730694703"/>
    <n v="218134.38863050099"/>
  </r>
  <r>
    <x v="0"/>
    <x v="0"/>
    <x v="0"/>
    <x v="9"/>
    <x v="19"/>
    <s v="SE3_OTHER"/>
    <x v="1"/>
    <x v="234"/>
    <x v="0"/>
    <x v="23"/>
    <n v="166.00790611149199"/>
    <n v="60592.885730694703"/>
    <n v="218134.38863050099"/>
  </r>
  <r>
    <x v="0"/>
    <x v="0"/>
    <x v="0"/>
    <x v="9"/>
    <x v="19"/>
    <s v="SE3_OTHER"/>
    <x v="1"/>
    <x v="208"/>
    <x v="0"/>
    <x v="3"/>
    <n v="139.88294494934999"/>
    <n v="51057.274906512903"/>
    <n v="183806.18966344601"/>
  </r>
  <r>
    <x v="0"/>
    <x v="0"/>
    <x v="0"/>
    <x v="9"/>
    <x v="19"/>
    <s v="SE3_OTHER"/>
    <x v="1"/>
    <x v="208"/>
    <x v="0"/>
    <x v="4"/>
    <n v="139.88294494934999"/>
    <n v="51057.274906512903"/>
    <n v="183806.18966344601"/>
  </r>
  <r>
    <x v="0"/>
    <x v="0"/>
    <x v="0"/>
    <x v="9"/>
    <x v="19"/>
    <s v="SE3_OTHER"/>
    <x v="1"/>
    <x v="208"/>
    <x v="0"/>
    <x v="5"/>
    <n v="139.88294494934999"/>
    <n v="51057.274906512903"/>
    <n v="183806.18966344601"/>
  </r>
  <r>
    <x v="0"/>
    <x v="0"/>
    <x v="0"/>
    <x v="9"/>
    <x v="19"/>
    <s v="SE3_OTHER"/>
    <x v="1"/>
    <x v="208"/>
    <x v="0"/>
    <x v="6"/>
    <n v="139.88294494934999"/>
    <n v="51057.274906512903"/>
    <n v="183806.18966344601"/>
  </r>
  <r>
    <x v="0"/>
    <x v="0"/>
    <x v="0"/>
    <x v="9"/>
    <x v="19"/>
    <s v="SE3_OTHER"/>
    <x v="1"/>
    <x v="208"/>
    <x v="0"/>
    <x v="7"/>
    <n v="139.88294494934999"/>
    <n v="51057.274906512903"/>
    <n v="183806.18966344601"/>
  </r>
  <r>
    <x v="0"/>
    <x v="0"/>
    <x v="0"/>
    <x v="9"/>
    <x v="19"/>
    <s v="SE3_OTHER"/>
    <x v="1"/>
    <x v="208"/>
    <x v="0"/>
    <x v="8"/>
    <n v="139.88294494934999"/>
    <n v="51057.274906512903"/>
    <n v="183806.18966344601"/>
  </r>
  <r>
    <x v="0"/>
    <x v="0"/>
    <x v="0"/>
    <x v="9"/>
    <x v="19"/>
    <s v="SE3_OTHER"/>
    <x v="1"/>
    <x v="208"/>
    <x v="0"/>
    <x v="0"/>
    <n v="139.88294494934999"/>
    <n v="51057.274906512903"/>
    <n v="183806.18966344601"/>
  </r>
  <r>
    <x v="0"/>
    <x v="0"/>
    <x v="0"/>
    <x v="9"/>
    <x v="19"/>
    <s v="SE3_OTHER"/>
    <x v="1"/>
    <x v="208"/>
    <x v="0"/>
    <x v="1"/>
    <n v="139.88294494934999"/>
    <n v="51057.274906512903"/>
    <n v="183806.18966344601"/>
  </r>
  <r>
    <x v="0"/>
    <x v="0"/>
    <x v="0"/>
    <x v="9"/>
    <x v="19"/>
    <s v="SE3_OTHER"/>
    <x v="1"/>
    <x v="208"/>
    <x v="0"/>
    <x v="2"/>
    <n v="139.88294494934999"/>
    <n v="51057.274906512903"/>
    <n v="183806.18966344601"/>
  </r>
  <r>
    <x v="0"/>
    <x v="0"/>
    <x v="0"/>
    <x v="9"/>
    <x v="19"/>
    <s v="SE3_OTHER"/>
    <x v="1"/>
    <x v="208"/>
    <x v="0"/>
    <x v="9"/>
    <n v="139.88294494934999"/>
    <n v="51057.274906512903"/>
    <n v="183806.18966344601"/>
  </r>
  <r>
    <x v="0"/>
    <x v="0"/>
    <x v="0"/>
    <x v="9"/>
    <x v="19"/>
    <s v="SE3_OTHER"/>
    <x v="1"/>
    <x v="208"/>
    <x v="0"/>
    <x v="10"/>
    <n v="139.88294494934999"/>
    <n v="51057.274906512903"/>
    <n v="183806.18966344601"/>
  </r>
  <r>
    <x v="0"/>
    <x v="0"/>
    <x v="0"/>
    <x v="9"/>
    <x v="19"/>
    <s v="SE3_OTHER"/>
    <x v="1"/>
    <x v="208"/>
    <x v="0"/>
    <x v="11"/>
    <n v="139.88294494934999"/>
    <n v="51057.274906512903"/>
    <n v="183806.18966344601"/>
  </r>
  <r>
    <x v="0"/>
    <x v="0"/>
    <x v="0"/>
    <x v="9"/>
    <x v="19"/>
    <s v="SE3_OTHER"/>
    <x v="1"/>
    <x v="208"/>
    <x v="0"/>
    <x v="12"/>
    <n v="139.88294494934999"/>
    <n v="51057.274906512903"/>
    <n v="183806.18966344601"/>
  </r>
  <r>
    <x v="0"/>
    <x v="0"/>
    <x v="0"/>
    <x v="9"/>
    <x v="19"/>
    <s v="SE3_OTHER"/>
    <x v="1"/>
    <x v="208"/>
    <x v="0"/>
    <x v="13"/>
    <n v="139.88294494934999"/>
    <n v="51057.274906512903"/>
    <n v="183806.18966344601"/>
  </r>
  <r>
    <x v="0"/>
    <x v="0"/>
    <x v="0"/>
    <x v="9"/>
    <x v="19"/>
    <s v="SE3_OTHER"/>
    <x v="1"/>
    <x v="208"/>
    <x v="0"/>
    <x v="14"/>
    <n v="139.88294494934999"/>
    <n v="51057.274906512903"/>
    <n v="183806.18966344601"/>
  </r>
  <r>
    <x v="0"/>
    <x v="0"/>
    <x v="0"/>
    <x v="9"/>
    <x v="19"/>
    <s v="SE3_OTHER"/>
    <x v="1"/>
    <x v="208"/>
    <x v="0"/>
    <x v="15"/>
    <n v="139.88294494934999"/>
    <n v="51057.274906512903"/>
    <n v="183806.18966344601"/>
  </r>
  <r>
    <x v="0"/>
    <x v="0"/>
    <x v="0"/>
    <x v="9"/>
    <x v="19"/>
    <s v="SE3_OTHER"/>
    <x v="1"/>
    <x v="208"/>
    <x v="0"/>
    <x v="16"/>
    <n v="139.88294494934999"/>
    <n v="51057.274906512903"/>
    <n v="183806.18966344601"/>
  </r>
  <r>
    <x v="0"/>
    <x v="0"/>
    <x v="0"/>
    <x v="9"/>
    <x v="19"/>
    <s v="SE3_OTHER"/>
    <x v="1"/>
    <x v="208"/>
    <x v="0"/>
    <x v="17"/>
    <n v="139.88294494934999"/>
    <n v="51057.274906512903"/>
    <n v="183806.18966344601"/>
  </r>
  <r>
    <x v="0"/>
    <x v="0"/>
    <x v="0"/>
    <x v="9"/>
    <x v="19"/>
    <s v="SE3_OTHER"/>
    <x v="1"/>
    <x v="208"/>
    <x v="0"/>
    <x v="18"/>
    <n v="139.88294494934999"/>
    <n v="51057.274906512903"/>
    <n v="183806.18966344601"/>
  </r>
  <r>
    <x v="0"/>
    <x v="0"/>
    <x v="0"/>
    <x v="9"/>
    <x v="19"/>
    <s v="SE3_OTHER"/>
    <x v="1"/>
    <x v="208"/>
    <x v="0"/>
    <x v="19"/>
    <n v="139.88294494934999"/>
    <n v="51057.274906512903"/>
    <n v="183806.18966344601"/>
  </r>
  <r>
    <x v="0"/>
    <x v="0"/>
    <x v="0"/>
    <x v="9"/>
    <x v="19"/>
    <s v="SE3_OTHER"/>
    <x v="1"/>
    <x v="208"/>
    <x v="0"/>
    <x v="20"/>
    <n v="139.88294494934999"/>
    <n v="51057.274906512903"/>
    <n v="183806.18966344601"/>
  </r>
  <r>
    <x v="0"/>
    <x v="0"/>
    <x v="0"/>
    <x v="9"/>
    <x v="19"/>
    <s v="SE3_OTHER"/>
    <x v="1"/>
    <x v="208"/>
    <x v="0"/>
    <x v="21"/>
    <n v="139.88294494934999"/>
    <n v="51057.274906512903"/>
    <n v="183806.18966344601"/>
  </r>
  <r>
    <x v="0"/>
    <x v="0"/>
    <x v="0"/>
    <x v="9"/>
    <x v="19"/>
    <s v="SE3_OTHER"/>
    <x v="1"/>
    <x v="208"/>
    <x v="0"/>
    <x v="22"/>
    <n v="139.88294494934999"/>
    <n v="51057.274906512903"/>
    <n v="183806.18966344601"/>
  </r>
  <r>
    <x v="0"/>
    <x v="0"/>
    <x v="0"/>
    <x v="9"/>
    <x v="19"/>
    <s v="SE3_OTHER"/>
    <x v="1"/>
    <x v="208"/>
    <x v="0"/>
    <x v="23"/>
    <n v="139.88294494934999"/>
    <n v="51057.274906512903"/>
    <n v="183806.18966344601"/>
  </r>
  <r>
    <x v="0"/>
    <x v="0"/>
    <x v="0"/>
    <x v="9"/>
    <x v="19"/>
    <s v="SE3_OTHER"/>
    <x v="22"/>
    <x v="245"/>
    <x v="0"/>
    <x v="3"/>
    <n v="185.235570263478"/>
    <n v="67610.983146169601"/>
    <n v="243399.539326211"/>
  </r>
  <r>
    <x v="0"/>
    <x v="0"/>
    <x v="0"/>
    <x v="9"/>
    <x v="19"/>
    <s v="SE3_OTHER"/>
    <x v="22"/>
    <x v="245"/>
    <x v="0"/>
    <x v="4"/>
    <n v="185.235570263478"/>
    <n v="67610.983146169601"/>
    <n v="243399.539326211"/>
  </r>
  <r>
    <x v="0"/>
    <x v="0"/>
    <x v="0"/>
    <x v="9"/>
    <x v="19"/>
    <s v="SE3_OTHER"/>
    <x v="22"/>
    <x v="245"/>
    <x v="0"/>
    <x v="5"/>
    <n v="185.235570263478"/>
    <n v="67610.983146169601"/>
    <n v="243399.539326211"/>
  </r>
  <r>
    <x v="0"/>
    <x v="0"/>
    <x v="0"/>
    <x v="9"/>
    <x v="19"/>
    <s v="SE3_OTHER"/>
    <x v="22"/>
    <x v="245"/>
    <x v="0"/>
    <x v="6"/>
    <n v="185.235570263478"/>
    <n v="67610.983146169601"/>
    <n v="243399.539326211"/>
  </r>
  <r>
    <x v="0"/>
    <x v="0"/>
    <x v="0"/>
    <x v="9"/>
    <x v="19"/>
    <s v="SE3_OTHER"/>
    <x v="22"/>
    <x v="245"/>
    <x v="0"/>
    <x v="7"/>
    <n v="185.235570263478"/>
    <n v="67610.983146169601"/>
    <n v="243399.539326211"/>
  </r>
  <r>
    <x v="0"/>
    <x v="0"/>
    <x v="0"/>
    <x v="9"/>
    <x v="19"/>
    <s v="SE3_OTHER"/>
    <x v="22"/>
    <x v="245"/>
    <x v="0"/>
    <x v="8"/>
    <n v="185.235570263478"/>
    <n v="67610.983146169601"/>
    <n v="243399.539326211"/>
  </r>
  <r>
    <x v="0"/>
    <x v="0"/>
    <x v="0"/>
    <x v="9"/>
    <x v="19"/>
    <s v="SE3_OTHER"/>
    <x v="22"/>
    <x v="245"/>
    <x v="0"/>
    <x v="0"/>
    <n v="185.235570263478"/>
    <n v="67610.983146169601"/>
    <n v="243399.539326211"/>
  </r>
  <r>
    <x v="0"/>
    <x v="0"/>
    <x v="0"/>
    <x v="9"/>
    <x v="19"/>
    <s v="SE3_OTHER"/>
    <x v="22"/>
    <x v="245"/>
    <x v="0"/>
    <x v="1"/>
    <n v="185.235570263478"/>
    <n v="67610.983146169601"/>
    <n v="243399.539326211"/>
  </r>
  <r>
    <x v="0"/>
    <x v="0"/>
    <x v="0"/>
    <x v="9"/>
    <x v="19"/>
    <s v="SE3_OTHER"/>
    <x v="22"/>
    <x v="245"/>
    <x v="0"/>
    <x v="2"/>
    <n v="185.235570263478"/>
    <n v="67610.983146169601"/>
    <n v="243399.539326211"/>
  </r>
  <r>
    <x v="0"/>
    <x v="0"/>
    <x v="0"/>
    <x v="9"/>
    <x v="19"/>
    <s v="SE3_OTHER"/>
    <x v="22"/>
    <x v="245"/>
    <x v="0"/>
    <x v="9"/>
    <n v="185.235570263478"/>
    <n v="67610.983146169601"/>
    <n v="243399.539326211"/>
  </r>
  <r>
    <x v="0"/>
    <x v="0"/>
    <x v="0"/>
    <x v="9"/>
    <x v="19"/>
    <s v="SE3_OTHER"/>
    <x v="22"/>
    <x v="245"/>
    <x v="0"/>
    <x v="10"/>
    <n v="185.235570263478"/>
    <n v="67610.983146169601"/>
    <n v="243399.539326211"/>
  </r>
  <r>
    <x v="0"/>
    <x v="0"/>
    <x v="0"/>
    <x v="9"/>
    <x v="19"/>
    <s v="SE3_OTHER"/>
    <x v="22"/>
    <x v="245"/>
    <x v="0"/>
    <x v="11"/>
    <n v="185.235570263478"/>
    <n v="67610.983146169601"/>
    <n v="243399.539326211"/>
  </r>
  <r>
    <x v="0"/>
    <x v="0"/>
    <x v="0"/>
    <x v="9"/>
    <x v="19"/>
    <s v="SE3_OTHER"/>
    <x v="22"/>
    <x v="245"/>
    <x v="0"/>
    <x v="12"/>
    <n v="185.235570263478"/>
    <n v="67610.983146169601"/>
    <n v="243399.539326211"/>
  </r>
  <r>
    <x v="0"/>
    <x v="0"/>
    <x v="0"/>
    <x v="9"/>
    <x v="19"/>
    <s v="SE3_OTHER"/>
    <x v="22"/>
    <x v="245"/>
    <x v="0"/>
    <x v="13"/>
    <n v="185.235570263478"/>
    <n v="67610.983146169601"/>
    <n v="243399.539326211"/>
  </r>
  <r>
    <x v="0"/>
    <x v="0"/>
    <x v="0"/>
    <x v="9"/>
    <x v="19"/>
    <s v="SE3_OTHER"/>
    <x v="22"/>
    <x v="245"/>
    <x v="0"/>
    <x v="14"/>
    <n v="185.235570263478"/>
    <n v="67610.983146169601"/>
    <n v="243399.539326211"/>
  </r>
  <r>
    <x v="0"/>
    <x v="0"/>
    <x v="0"/>
    <x v="9"/>
    <x v="19"/>
    <s v="SE3_OTHER"/>
    <x v="22"/>
    <x v="245"/>
    <x v="0"/>
    <x v="15"/>
    <n v="185.235570263478"/>
    <n v="67610.983146169601"/>
    <n v="243399.539326211"/>
  </r>
  <r>
    <x v="0"/>
    <x v="0"/>
    <x v="0"/>
    <x v="9"/>
    <x v="19"/>
    <s v="SE3_OTHER"/>
    <x v="22"/>
    <x v="245"/>
    <x v="0"/>
    <x v="16"/>
    <n v="185.235570263478"/>
    <n v="67610.983146169601"/>
    <n v="243399.539326211"/>
  </r>
  <r>
    <x v="0"/>
    <x v="0"/>
    <x v="0"/>
    <x v="9"/>
    <x v="19"/>
    <s v="SE3_OTHER"/>
    <x v="22"/>
    <x v="245"/>
    <x v="0"/>
    <x v="17"/>
    <n v="185.235570263478"/>
    <n v="67610.983146169601"/>
    <n v="243399.539326211"/>
  </r>
  <r>
    <x v="0"/>
    <x v="0"/>
    <x v="0"/>
    <x v="9"/>
    <x v="19"/>
    <s v="SE3_OTHER"/>
    <x v="22"/>
    <x v="245"/>
    <x v="0"/>
    <x v="18"/>
    <n v="185.235570263478"/>
    <n v="67610.983146169601"/>
    <n v="243399.539326211"/>
  </r>
  <r>
    <x v="0"/>
    <x v="0"/>
    <x v="0"/>
    <x v="9"/>
    <x v="19"/>
    <s v="SE3_OTHER"/>
    <x v="22"/>
    <x v="245"/>
    <x v="0"/>
    <x v="19"/>
    <n v="185.235570263478"/>
    <n v="67610.983146169601"/>
    <n v="243399.539326211"/>
  </r>
  <r>
    <x v="0"/>
    <x v="0"/>
    <x v="0"/>
    <x v="9"/>
    <x v="19"/>
    <s v="SE3_OTHER"/>
    <x v="22"/>
    <x v="245"/>
    <x v="0"/>
    <x v="20"/>
    <n v="185.235570263478"/>
    <n v="67610.983146169601"/>
    <n v="243399.539326211"/>
  </r>
  <r>
    <x v="0"/>
    <x v="0"/>
    <x v="0"/>
    <x v="9"/>
    <x v="19"/>
    <s v="SE3_OTHER"/>
    <x v="22"/>
    <x v="245"/>
    <x v="0"/>
    <x v="21"/>
    <n v="185.235570263478"/>
    <n v="67610.983146169601"/>
    <n v="243399.539326211"/>
  </r>
  <r>
    <x v="0"/>
    <x v="0"/>
    <x v="0"/>
    <x v="9"/>
    <x v="19"/>
    <s v="SE3_OTHER"/>
    <x v="22"/>
    <x v="245"/>
    <x v="0"/>
    <x v="22"/>
    <n v="185.235570263478"/>
    <n v="67610.983146169601"/>
    <n v="243399.539326211"/>
  </r>
  <r>
    <x v="0"/>
    <x v="0"/>
    <x v="0"/>
    <x v="9"/>
    <x v="19"/>
    <s v="SE3_OTHER"/>
    <x v="22"/>
    <x v="245"/>
    <x v="0"/>
    <x v="23"/>
    <n v="185.235570263478"/>
    <n v="67610.983146169601"/>
    <n v="243399.539326211"/>
  </r>
  <r>
    <x v="0"/>
    <x v="0"/>
    <x v="0"/>
    <x v="9"/>
    <x v="19"/>
    <s v="SE3_OTHER"/>
    <x v="4"/>
    <x v="108"/>
    <x v="0"/>
    <x v="3"/>
    <n v="135.051739926739"/>
    <n v="49293.885073259902"/>
    <n v="177457.98626373601"/>
  </r>
  <r>
    <x v="0"/>
    <x v="0"/>
    <x v="0"/>
    <x v="9"/>
    <x v="19"/>
    <s v="SE3_OTHER"/>
    <x v="4"/>
    <x v="108"/>
    <x v="0"/>
    <x v="4"/>
    <n v="135.051739926739"/>
    <n v="49293.885073259902"/>
    <n v="177457.98626373601"/>
  </r>
  <r>
    <x v="0"/>
    <x v="0"/>
    <x v="0"/>
    <x v="9"/>
    <x v="19"/>
    <s v="SE3_OTHER"/>
    <x v="4"/>
    <x v="108"/>
    <x v="0"/>
    <x v="5"/>
    <n v="135.051739926739"/>
    <n v="49293.885073259902"/>
    <n v="177457.98626373601"/>
  </r>
  <r>
    <x v="0"/>
    <x v="0"/>
    <x v="0"/>
    <x v="9"/>
    <x v="19"/>
    <s v="SE3_OTHER"/>
    <x v="4"/>
    <x v="108"/>
    <x v="0"/>
    <x v="6"/>
    <n v="135.051739926739"/>
    <n v="49293.885073259902"/>
    <n v="177457.98626373601"/>
  </r>
  <r>
    <x v="0"/>
    <x v="0"/>
    <x v="0"/>
    <x v="9"/>
    <x v="19"/>
    <s v="SE3_OTHER"/>
    <x v="4"/>
    <x v="108"/>
    <x v="0"/>
    <x v="7"/>
    <n v="135.051739926739"/>
    <n v="49293.885073259902"/>
    <n v="177457.98626373601"/>
  </r>
  <r>
    <x v="0"/>
    <x v="0"/>
    <x v="0"/>
    <x v="9"/>
    <x v="19"/>
    <s v="SE3_OTHER"/>
    <x v="4"/>
    <x v="108"/>
    <x v="0"/>
    <x v="8"/>
    <n v="135.051739926739"/>
    <n v="49293.885073259902"/>
    <n v="177457.98626373601"/>
  </r>
  <r>
    <x v="0"/>
    <x v="0"/>
    <x v="0"/>
    <x v="9"/>
    <x v="19"/>
    <s v="SE3_OTHER"/>
    <x v="4"/>
    <x v="108"/>
    <x v="0"/>
    <x v="0"/>
    <n v="135.051739926739"/>
    <n v="49293.885073259902"/>
    <n v="177457.98626373601"/>
  </r>
  <r>
    <x v="0"/>
    <x v="0"/>
    <x v="0"/>
    <x v="9"/>
    <x v="19"/>
    <s v="SE3_OTHER"/>
    <x v="4"/>
    <x v="108"/>
    <x v="0"/>
    <x v="1"/>
    <n v="135.051739926739"/>
    <n v="49293.885073259902"/>
    <n v="177457.98626373601"/>
  </r>
  <r>
    <x v="0"/>
    <x v="0"/>
    <x v="0"/>
    <x v="9"/>
    <x v="19"/>
    <s v="SE3_OTHER"/>
    <x v="4"/>
    <x v="108"/>
    <x v="0"/>
    <x v="2"/>
    <n v="135.051739926739"/>
    <n v="49293.885073259902"/>
    <n v="177457.98626373601"/>
  </r>
  <r>
    <x v="0"/>
    <x v="0"/>
    <x v="0"/>
    <x v="9"/>
    <x v="19"/>
    <s v="SE3_OTHER"/>
    <x v="4"/>
    <x v="108"/>
    <x v="0"/>
    <x v="9"/>
    <n v="135.051739926739"/>
    <n v="49293.885073259902"/>
    <n v="177457.98626373601"/>
  </r>
  <r>
    <x v="0"/>
    <x v="0"/>
    <x v="0"/>
    <x v="9"/>
    <x v="19"/>
    <s v="SE3_OTHER"/>
    <x v="4"/>
    <x v="108"/>
    <x v="0"/>
    <x v="10"/>
    <n v="135.051739926739"/>
    <n v="49293.885073259902"/>
    <n v="177457.98626373601"/>
  </r>
  <r>
    <x v="0"/>
    <x v="0"/>
    <x v="0"/>
    <x v="9"/>
    <x v="19"/>
    <s v="SE3_OTHER"/>
    <x v="4"/>
    <x v="108"/>
    <x v="0"/>
    <x v="11"/>
    <n v="135.051739926739"/>
    <n v="49293.885073259902"/>
    <n v="177457.98626373601"/>
  </r>
  <r>
    <x v="0"/>
    <x v="0"/>
    <x v="0"/>
    <x v="9"/>
    <x v="19"/>
    <s v="SE3_OTHER"/>
    <x v="4"/>
    <x v="108"/>
    <x v="0"/>
    <x v="12"/>
    <n v="135.051739926739"/>
    <n v="49293.885073259902"/>
    <n v="177457.98626373601"/>
  </r>
  <r>
    <x v="0"/>
    <x v="0"/>
    <x v="0"/>
    <x v="9"/>
    <x v="19"/>
    <s v="SE3_OTHER"/>
    <x v="4"/>
    <x v="108"/>
    <x v="0"/>
    <x v="13"/>
    <n v="135.051739926739"/>
    <n v="49293.885073259902"/>
    <n v="177457.98626373601"/>
  </r>
  <r>
    <x v="0"/>
    <x v="0"/>
    <x v="0"/>
    <x v="9"/>
    <x v="19"/>
    <s v="SE3_OTHER"/>
    <x v="4"/>
    <x v="108"/>
    <x v="0"/>
    <x v="14"/>
    <n v="135.051739926739"/>
    <n v="49293.885073259902"/>
    <n v="177457.98626373601"/>
  </r>
  <r>
    <x v="0"/>
    <x v="0"/>
    <x v="0"/>
    <x v="9"/>
    <x v="19"/>
    <s v="SE3_OTHER"/>
    <x v="4"/>
    <x v="108"/>
    <x v="0"/>
    <x v="15"/>
    <n v="135.051739926739"/>
    <n v="49293.885073259902"/>
    <n v="177457.98626373601"/>
  </r>
  <r>
    <x v="0"/>
    <x v="0"/>
    <x v="0"/>
    <x v="9"/>
    <x v="19"/>
    <s v="SE3_OTHER"/>
    <x v="4"/>
    <x v="108"/>
    <x v="0"/>
    <x v="16"/>
    <n v="135.051739926739"/>
    <n v="49293.885073259902"/>
    <n v="177457.98626373601"/>
  </r>
  <r>
    <x v="0"/>
    <x v="0"/>
    <x v="0"/>
    <x v="9"/>
    <x v="19"/>
    <s v="SE3_OTHER"/>
    <x v="4"/>
    <x v="108"/>
    <x v="0"/>
    <x v="17"/>
    <n v="135.051739926739"/>
    <n v="49293.885073259902"/>
    <n v="177457.98626373601"/>
  </r>
  <r>
    <x v="0"/>
    <x v="0"/>
    <x v="0"/>
    <x v="9"/>
    <x v="19"/>
    <s v="SE3_OTHER"/>
    <x v="4"/>
    <x v="108"/>
    <x v="0"/>
    <x v="18"/>
    <n v="135.051739926739"/>
    <n v="49293.885073259902"/>
    <n v="177457.98626373601"/>
  </r>
  <r>
    <x v="0"/>
    <x v="0"/>
    <x v="0"/>
    <x v="9"/>
    <x v="19"/>
    <s v="SE3_OTHER"/>
    <x v="4"/>
    <x v="108"/>
    <x v="0"/>
    <x v="19"/>
    <n v="135.051739926739"/>
    <n v="49293.885073259902"/>
    <n v="177457.98626373601"/>
  </r>
  <r>
    <x v="0"/>
    <x v="0"/>
    <x v="0"/>
    <x v="9"/>
    <x v="19"/>
    <s v="SE3_OTHER"/>
    <x v="4"/>
    <x v="108"/>
    <x v="0"/>
    <x v="20"/>
    <n v="135.051739926739"/>
    <n v="49293.885073259902"/>
    <n v="177457.98626373601"/>
  </r>
  <r>
    <x v="0"/>
    <x v="0"/>
    <x v="0"/>
    <x v="9"/>
    <x v="19"/>
    <s v="SE3_OTHER"/>
    <x v="4"/>
    <x v="108"/>
    <x v="0"/>
    <x v="21"/>
    <n v="135.051739926739"/>
    <n v="49293.885073259902"/>
    <n v="177457.98626373601"/>
  </r>
  <r>
    <x v="0"/>
    <x v="0"/>
    <x v="0"/>
    <x v="9"/>
    <x v="19"/>
    <s v="SE3_OTHER"/>
    <x v="4"/>
    <x v="108"/>
    <x v="0"/>
    <x v="22"/>
    <n v="135.051739926739"/>
    <n v="49293.885073259902"/>
    <n v="177457.98626373601"/>
  </r>
  <r>
    <x v="0"/>
    <x v="0"/>
    <x v="0"/>
    <x v="9"/>
    <x v="19"/>
    <s v="SE3_OTHER"/>
    <x v="4"/>
    <x v="108"/>
    <x v="0"/>
    <x v="23"/>
    <n v="135.051739926739"/>
    <n v="49293.885073259902"/>
    <n v="177457.98626373601"/>
  </r>
  <r>
    <x v="0"/>
    <x v="0"/>
    <x v="0"/>
    <x v="9"/>
    <x v="19"/>
    <s v="SE3_OTHER"/>
    <x v="5"/>
    <x v="246"/>
    <x v="0"/>
    <x v="0"/>
    <n v="132.827626118045"/>
    <n v="48482.083533086501"/>
    <n v="174535.50071911101"/>
  </r>
  <r>
    <x v="0"/>
    <x v="0"/>
    <x v="0"/>
    <x v="9"/>
    <x v="19"/>
    <s v="SE3_OTHER"/>
    <x v="5"/>
    <x v="246"/>
    <x v="0"/>
    <x v="1"/>
    <n v="159.022975339613"/>
    <n v="58043.3859989587"/>
    <n v="208956.189596251"/>
  </r>
  <r>
    <x v="0"/>
    <x v="0"/>
    <x v="0"/>
    <x v="9"/>
    <x v="19"/>
    <s v="SE3_OTHER"/>
    <x v="5"/>
    <x v="246"/>
    <x v="0"/>
    <x v="2"/>
    <n v="159.022975339613"/>
    <n v="58043.3859989587"/>
    <n v="208956.189596251"/>
  </r>
  <r>
    <x v="0"/>
    <x v="0"/>
    <x v="0"/>
    <x v="9"/>
    <x v="19"/>
    <s v="SE3_OTHER"/>
    <x v="5"/>
    <x v="246"/>
    <x v="0"/>
    <x v="9"/>
    <n v="159.022975339613"/>
    <n v="58043.3859989587"/>
    <n v="208956.189596251"/>
  </r>
  <r>
    <x v="0"/>
    <x v="0"/>
    <x v="0"/>
    <x v="9"/>
    <x v="19"/>
    <s v="SE3_OTHER"/>
    <x v="5"/>
    <x v="246"/>
    <x v="0"/>
    <x v="10"/>
    <n v="159.022975339613"/>
    <n v="58043.3859989587"/>
    <n v="208956.189596251"/>
  </r>
  <r>
    <x v="0"/>
    <x v="0"/>
    <x v="0"/>
    <x v="9"/>
    <x v="19"/>
    <s v="SE3_OTHER"/>
    <x v="5"/>
    <x v="246"/>
    <x v="0"/>
    <x v="11"/>
    <n v="159.022975339613"/>
    <n v="58043.3859989587"/>
    <n v="208956.189596251"/>
  </r>
  <r>
    <x v="0"/>
    <x v="0"/>
    <x v="0"/>
    <x v="9"/>
    <x v="19"/>
    <s v="SE3_OTHER"/>
    <x v="5"/>
    <x v="246"/>
    <x v="0"/>
    <x v="12"/>
    <n v="44.263487585780602"/>
    <n v="16156.1729688099"/>
    <n v="58162.222687715803"/>
  </r>
  <r>
    <x v="0"/>
    <x v="0"/>
    <x v="0"/>
    <x v="9"/>
    <x v="19"/>
    <s v="SE3_OTHER"/>
    <x v="5"/>
    <x v="246"/>
    <x v="0"/>
    <x v="13"/>
    <n v="6.6244475142120596"/>
    <n v="2417.9233426873998"/>
    <n v="8704.5240336746501"/>
  </r>
  <r>
    <x v="0"/>
    <x v="0"/>
    <x v="0"/>
    <x v="9"/>
    <x v="19"/>
    <s v="SE3_OTHER"/>
    <x v="10"/>
    <x v="230"/>
    <x v="0"/>
    <x v="3"/>
    <n v="848.640981830123"/>
    <n v="309753.95836799499"/>
    <n v="1115114.25012478"/>
  </r>
  <r>
    <x v="0"/>
    <x v="0"/>
    <x v="0"/>
    <x v="9"/>
    <x v="19"/>
    <s v="SE3_OTHER"/>
    <x v="10"/>
    <x v="230"/>
    <x v="0"/>
    <x v="4"/>
    <n v="848.640981830123"/>
    <n v="309753.95836799499"/>
    <n v="1115114.25012478"/>
  </r>
  <r>
    <x v="0"/>
    <x v="0"/>
    <x v="0"/>
    <x v="9"/>
    <x v="19"/>
    <s v="SE3_OTHER"/>
    <x v="10"/>
    <x v="230"/>
    <x v="0"/>
    <x v="5"/>
    <n v="848.640981830123"/>
    <n v="309753.95836799499"/>
    <n v="1115114.25012478"/>
  </r>
  <r>
    <x v="0"/>
    <x v="0"/>
    <x v="0"/>
    <x v="9"/>
    <x v="19"/>
    <s v="SE3_OTHER"/>
    <x v="10"/>
    <x v="230"/>
    <x v="0"/>
    <x v="6"/>
    <n v="848.640981830123"/>
    <n v="309753.95836799499"/>
    <n v="1115114.25012478"/>
  </r>
  <r>
    <x v="0"/>
    <x v="0"/>
    <x v="0"/>
    <x v="9"/>
    <x v="19"/>
    <s v="SE3_OTHER"/>
    <x v="10"/>
    <x v="230"/>
    <x v="0"/>
    <x v="7"/>
    <n v="848.640981830123"/>
    <n v="309753.95836799499"/>
    <n v="1115114.25012478"/>
  </r>
  <r>
    <x v="0"/>
    <x v="0"/>
    <x v="0"/>
    <x v="9"/>
    <x v="19"/>
    <s v="SE3_OTHER"/>
    <x v="10"/>
    <x v="230"/>
    <x v="0"/>
    <x v="8"/>
    <n v="848.640981830123"/>
    <n v="309753.95836799499"/>
    <n v="1115114.25012478"/>
  </r>
  <r>
    <x v="0"/>
    <x v="0"/>
    <x v="0"/>
    <x v="9"/>
    <x v="19"/>
    <s v="SE3_OTHER"/>
    <x v="10"/>
    <x v="230"/>
    <x v="0"/>
    <x v="0"/>
    <n v="848.640981830123"/>
    <n v="309753.95836799499"/>
    <n v="1115114.25012478"/>
  </r>
  <r>
    <x v="0"/>
    <x v="0"/>
    <x v="0"/>
    <x v="9"/>
    <x v="19"/>
    <s v="SE3_OTHER"/>
    <x v="10"/>
    <x v="230"/>
    <x v="0"/>
    <x v="1"/>
    <n v="848.640981830123"/>
    <n v="309753.95836799499"/>
    <n v="1115114.25012478"/>
  </r>
  <r>
    <x v="0"/>
    <x v="0"/>
    <x v="0"/>
    <x v="9"/>
    <x v="19"/>
    <s v="SE3_OTHER"/>
    <x v="10"/>
    <x v="230"/>
    <x v="0"/>
    <x v="2"/>
    <n v="848.640981830123"/>
    <n v="309753.95836799499"/>
    <n v="1115114.25012478"/>
  </r>
  <r>
    <x v="0"/>
    <x v="0"/>
    <x v="0"/>
    <x v="9"/>
    <x v="19"/>
    <s v="SE3_OTHER"/>
    <x v="10"/>
    <x v="230"/>
    <x v="0"/>
    <x v="9"/>
    <n v="848.640981830123"/>
    <n v="309753.95836799499"/>
    <n v="1115114.25012478"/>
  </r>
  <r>
    <x v="0"/>
    <x v="0"/>
    <x v="0"/>
    <x v="9"/>
    <x v="19"/>
    <s v="SE3_OTHER"/>
    <x v="10"/>
    <x v="230"/>
    <x v="0"/>
    <x v="10"/>
    <n v="848.640981830123"/>
    <n v="309753.95836799499"/>
    <n v="1115114.25012478"/>
  </r>
  <r>
    <x v="0"/>
    <x v="0"/>
    <x v="0"/>
    <x v="9"/>
    <x v="19"/>
    <s v="SE3_OTHER"/>
    <x v="10"/>
    <x v="230"/>
    <x v="0"/>
    <x v="11"/>
    <n v="848.640981830123"/>
    <n v="309753.95836799499"/>
    <n v="1115114.25012478"/>
  </r>
  <r>
    <x v="0"/>
    <x v="0"/>
    <x v="0"/>
    <x v="9"/>
    <x v="19"/>
    <s v="SE3_OTHER"/>
    <x v="10"/>
    <x v="230"/>
    <x v="0"/>
    <x v="12"/>
    <n v="848.640981830123"/>
    <n v="309753.95836799499"/>
    <n v="1115114.25012478"/>
  </r>
  <r>
    <x v="0"/>
    <x v="0"/>
    <x v="0"/>
    <x v="9"/>
    <x v="19"/>
    <s v="SE3_OTHER"/>
    <x v="10"/>
    <x v="230"/>
    <x v="0"/>
    <x v="13"/>
    <n v="848.640981830123"/>
    <n v="309753.95836799499"/>
    <n v="1115114.25012478"/>
  </r>
  <r>
    <x v="0"/>
    <x v="0"/>
    <x v="0"/>
    <x v="9"/>
    <x v="19"/>
    <s v="SE3_OTHER"/>
    <x v="10"/>
    <x v="230"/>
    <x v="0"/>
    <x v="14"/>
    <n v="848.640981830123"/>
    <n v="309753.95836799499"/>
    <n v="1115114.25012478"/>
  </r>
  <r>
    <x v="0"/>
    <x v="0"/>
    <x v="0"/>
    <x v="9"/>
    <x v="19"/>
    <s v="SE3_OTHER"/>
    <x v="10"/>
    <x v="230"/>
    <x v="0"/>
    <x v="15"/>
    <n v="848.640981830123"/>
    <n v="309753.95836799499"/>
    <n v="1115114.25012478"/>
  </r>
  <r>
    <x v="0"/>
    <x v="0"/>
    <x v="0"/>
    <x v="9"/>
    <x v="19"/>
    <s v="SE3_OTHER"/>
    <x v="10"/>
    <x v="230"/>
    <x v="0"/>
    <x v="16"/>
    <n v="848.640981830123"/>
    <n v="309753.95836799499"/>
    <n v="1115114.25012478"/>
  </r>
  <r>
    <x v="0"/>
    <x v="0"/>
    <x v="0"/>
    <x v="9"/>
    <x v="19"/>
    <s v="SE3_OTHER"/>
    <x v="10"/>
    <x v="230"/>
    <x v="0"/>
    <x v="17"/>
    <n v="848.640981830123"/>
    <n v="309753.95836799499"/>
    <n v="1115114.25012478"/>
  </r>
  <r>
    <x v="0"/>
    <x v="0"/>
    <x v="0"/>
    <x v="9"/>
    <x v="19"/>
    <s v="SE3_OTHER"/>
    <x v="10"/>
    <x v="230"/>
    <x v="0"/>
    <x v="18"/>
    <n v="848.640981830123"/>
    <n v="309753.95836799499"/>
    <n v="1115114.25012478"/>
  </r>
  <r>
    <x v="0"/>
    <x v="0"/>
    <x v="0"/>
    <x v="9"/>
    <x v="19"/>
    <s v="SE3_OTHER"/>
    <x v="10"/>
    <x v="230"/>
    <x v="0"/>
    <x v="19"/>
    <n v="848.640981830123"/>
    <n v="309753.95836799499"/>
    <n v="1115114.25012478"/>
  </r>
  <r>
    <x v="0"/>
    <x v="0"/>
    <x v="0"/>
    <x v="9"/>
    <x v="19"/>
    <s v="SE3_OTHER"/>
    <x v="10"/>
    <x v="230"/>
    <x v="0"/>
    <x v="20"/>
    <n v="848.640981830123"/>
    <n v="309753.95836799499"/>
    <n v="1115114.25012478"/>
  </r>
  <r>
    <x v="0"/>
    <x v="0"/>
    <x v="0"/>
    <x v="9"/>
    <x v="19"/>
    <s v="SE3_OTHER"/>
    <x v="10"/>
    <x v="230"/>
    <x v="0"/>
    <x v="21"/>
    <n v="848.640981830123"/>
    <n v="309753.95836799499"/>
    <n v="1115114.25012478"/>
  </r>
  <r>
    <x v="0"/>
    <x v="0"/>
    <x v="0"/>
    <x v="9"/>
    <x v="19"/>
    <s v="SE3_OTHER"/>
    <x v="10"/>
    <x v="230"/>
    <x v="0"/>
    <x v="22"/>
    <n v="848.640981830123"/>
    <n v="309753.95836799499"/>
    <n v="1115114.25012478"/>
  </r>
  <r>
    <x v="0"/>
    <x v="0"/>
    <x v="0"/>
    <x v="9"/>
    <x v="19"/>
    <s v="SE3_OTHER"/>
    <x v="10"/>
    <x v="230"/>
    <x v="0"/>
    <x v="23"/>
    <n v="848.640981830123"/>
    <n v="309753.95836799499"/>
    <n v="1115114.25012478"/>
  </r>
  <r>
    <x v="0"/>
    <x v="0"/>
    <x v="0"/>
    <x v="9"/>
    <x v="19"/>
    <s v="SE3_OTHER"/>
    <x v="10"/>
    <x v="111"/>
    <x v="0"/>
    <x v="5"/>
    <n v="302.831629830434"/>
    <n v="110533.54488810799"/>
    <n v="397920.76159718999"/>
  </r>
  <r>
    <x v="0"/>
    <x v="0"/>
    <x v="0"/>
    <x v="9"/>
    <x v="19"/>
    <s v="SE3_OTHER"/>
    <x v="10"/>
    <x v="111"/>
    <x v="0"/>
    <x v="6"/>
    <n v="35.153615539633002"/>
    <n v="12831.069671966001"/>
    <n v="46191.850819077699"/>
  </r>
  <r>
    <x v="0"/>
    <x v="0"/>
    <x v="0"/>
    <x v="9"/>
    <x v="19"/>
    <s v="SE3_OTHER"/>
    <x v="10"/>
    <x v="111"/>
    <x v="0"/>
    <x v="7"/>
    <n v="142.85436169847301"/>
    <n v="52141.8420199428"/>
    <n v="187710.631271794"/>
  </r>
  <r>
    <x v="0"/>
    <x v="0"/>
    <x v="0"/>
    <x v="9"/>
    <x v="19"/>
    <s v="SE3_OTHER"/>
    <x v="10"/>
    <x v="111"/>
    <x v="0"/>
    <x v="8"/>
    <n v="291.704212211536"/>
    <n v="106472.037457211"/>
    <n v="383299.33484595799"/>
  </r>
  <r>
    <x v="0"/>
    <x v="0"/>
    <x v="0"/>
    <x v="9"/>
    <x v="19"/>
    <s v="SE3_OTHER"/>
    <x v="10"/>
    <x v="111"/>
    <x v="0"/>
    <x v="0"/>
    <n v="468.75038780261701"/>
    <n v="171093.89154795499"/>
    <n v="615938.00957263797"/>
  </r>
  <r>
    <x v="0"/>
    <x v="0"/>
    <x v="0"/>
    <x v="9"/>
    <x v="19"/>
    <s v="SE3_OTHER"/>
    <x v="10"/>
    <x v="111"/>
    <x v="0"/>
    <x v="1"/>
    <n v="468.75038780261701"/>
    <n v="171093.89154795499"/>
    <n v="615938.00957263797"/>
  </r>
  <r>
    <x v="0"/>
    <x v="0"/>
    <x v="0"/>
    <x v="9"/>
    <x v="19"/>
    <s v="SE3_OTHER"/>
    <x v="10"/>
    <x v="111"/>
    <x v="0"/>
    <x v="2"/>
    <n v="468.75038780261701"/>
    <n v="171093.89154795499"/>
    <n v="615938.00957263797"/>
  </r>
  <r>
    <x v="0"/>
    <x v="0"/>
    <x v="0"/>
    <x v="9"/>
    <x v="19"/>
    <s v="SE3_OTHER"/>
    <x v="10"/>
    <x v="111"/>
    <x v="0"/>
    <x v="9"/>
    <n v="468.75038780261701"/>
    <n v="171093.89154795499"/>
    <n v="615938.00957263797"/>
  </r>
  <r>
    <x v="0"/>
    <x v="0"/>
    <x v="0"/>
    <x v="9"/>
    <x v="19"/>
    <s v="SE3_OTHER"/>
    <x v="10"/>
    <x v="111"/>
    <x v="0"/>
    <x v="10"/>
    <n v="468.75038780261701"/>
    <n v="171093.89154795499"/>
    <n v="615938.00957263797"/>
  </r>
  <r>
    <x v="0"/>
    <x v="0"/>
    <x v="0"/>
    <x v="9"/>
    <x v="19"/>
    <s v="SE3_OTHER"/>
    <x v="10"/>
    <x v="111"/>
    <x v="0"/>
    <x v="11"/>
    <n v="468.75038780261701"/>
    <n v="171093.89154795499"/>
    <n v="615938.00957263797"/>
  </r>
  <r>
    <x v="0"/>
    <x v="0"/>
    <x v="0"/>
    <x v="9"/>
    <x v="19"/>
    <s v="SE3_OTHER"/>
    <x v="10"/>
    <x v="111"/>
    <x v="0"/>
    <x v="12"/>
    <n v="468.75038780261701"/>
    <n v="171093.89154795499"/>
    <n v="615938.00957263797"/>
  </r>
  <r>
    <x v="0"/>
    <x v="0"/>
    <x v="0"/>
    <x v="9"/>
    <x v="19"/>
    <s v="SE3_OTHER"/>
    <x v="10"/>
    <x v="111"/>
    <x v="0"/>
    <x v="13"/>
    <n v="468.75038780261701"/>
    <n v="171093.89154795499"/>
    <n v="615938.00957263797"/>
  </r>
  <r>
    <x v="0"/>
    <x v="0"/>
    <x v="0"/>
    <x v="9"/>
    <x v="19"/>
    <s v="SE3_OTHER"/>
    <x v="10"/>
    <x v="111"/>
    <x v="0"/>
    <x v="14"/>
    <n v="431.79613864428899"/>
    <n v="157605.59060516601"/>
    <n v="567380.12617859605"/>
  </r>
  <r>
    <x v="0"/>
    <x v="0"/>
    <x v="0"/>
    <x v="9"/>
    <x v="19"/>
    <s v="SE3_OTHER"/>
    <x v="10"/>
    <x v="111"/>
    <x v="0"/>
    <x v="15"/>
    <n v="415.19398118160399"/>
    <n v="151545.80313128501"/>
    <n v="545564.89127262705"/>
  </r>
  <r>
    <x v="0"/>
    <x v="0"/>
    <x v="0"/>
    <x v="9"/>
    <x v="19"/>
    <s v="SE3_OTHER"/>
    <x v="10"/>
    <x v="111"/>
    <x v="0"/>
    <x v="16"/>
    <n v="327.29530270153703"/>
    <n v="119462.785486061"/>
    <n v="430066.02774981898"/>
  </r>
  <r>
    <x v="0"/>
    <x v="0"/>
    <x v="0"/>
    <x v="9"/>
    <x v="19"/>
    <s v="SE3_OTHER"/>
    <x v="10"/>
    <x v="111"/>
    <x v="0"/>
    <x v="17"/>
    <n v="247.28852112534301"/>
    <n v="90260.310210750002"/>
    <n v="324937.11675869999"/>
  </r>
  <r>
    <x v="0"/>
    <x v="0"/>
    <x v="0"/>
    <x v="9"/>
    <x v="19"/>
    <s v="SE3_OTHER"/>
    <x v="10"/>
    <x v="111"/>
    <x v="0"/>
    <x v="18"/>
    <n v="188.453143227965"/>
    <n v="68785.397278207398"/>
    <n v="247627.43020154699"/>
  </r>
  <r>
    <x v="0"/>
    <x v="0"/>
    <x v="0"/>
    <x v="9"/>
    <x v="19"/>
    <s v="SE3_OTHER"/>
    <x v="10"/>
    <x v="111"/>
    <x v="0"/>
    <x v="19"/>
    <n v="136.244898636421"/>
    <n v="49729.388002293701"/>
    <n v="179025.796808257"/>
  </r>
  <r>
    <x v="0"/>
    <x v="0"/>
    <x v="0"/>
    <x v="9"/>
    <x v="19"/>
    <s v="SE3_OTHER"/>
    <x v="10"/>
    <x v="111"/>
    <x v="0"/>
    <x v="20"/>
    <n v="95.035436608742202"/>
    <n v="34687.934362190899"/>
    <n v="124876.563703887"/>
  </r>
  <r>
    <x v="0"/>
    <x v="0"/>
    <x v="0"/>
    <x v="9"/>
    <x v="19"/>
    <s v="SE3_OTHER"/>
    <x v="10"/>
    <x v="111"/>
    <x v="0"/>
    <x v="21"/>
    <n v="52.576817374996203"/>
    <n v="19190.538341873598"/>
    <n v="69085.938030745005"/>
  </r>
  <r>
    <x v="0"/>
    <x v="0"/>
    <x v="0"/>
    <x v="9"/>
    <x v="19"/>
    <s v="SE3_STO"/>
    <x v="0"/>
    <x v="247"/>
    <x v="0"/>
    <x v="3"/>
    <n v="318.85127221904099"/>
    <n v="116380.71435995"/>
    <n v="418970.57169582002"/>
  </r>
  <r>
    <x v="0"/>
    <x v="0"/>
    <x v="0"/>
    <x v="9"/>
    <x v="19"/>
    <s v="SE3_STO"/>
    <x v="0"/>
    <x v="247"/>
    <x v="0"/>
    <x v="4"/>
    <n v="318.85127221904099"/>
    <n v="116380.71435995"/>
    <n v="418970.57169582002"/>
  </r>
  <r>
    <x v="0"/>
    <x v="0"/>
    <x v="0"/>
    <x v="9"/>
    <x v="19"/>
    <s v="SE3_STO"/>
    <x v="0"/>
    <x v="247"/>
    <x v="0"/>
    <x v="5"/>
    <n v="318.85127221904099"/>
    <n v="116380.71435995"/>
    <n v="418970.57169582002"/>
  </r>
  <r>
    <x v="0"/>
    <x v="0"/>
    <x v="0"/>
    <x v="9"/>
    <x v="19"/>
    <s v="SE3_STO"/>
    <x v="0"/>
    <x v="247"/>
    <x v="0"/>
    <x v="6"/>
    <n v="318.85127221904099"/>
    <n v="116380.71435995"/>
    <n v="418970.57169582002"/>
  </r>
  <r>
    <x v="0"/>
    <x v="0"/>
    <x v="0"/>
    <x v="9"/>
    <x v="19"/>
    <s v="SE3_STO"/>
    <x v="0"/>
    <x v="247"/>
    <x v="0"/>
    <x v="7"/>
    <n v="318.85127221904099"/>
    <n v="116380.71435995"/>
    <n v="418970.57169582002"/>
  </r>
  <r>
    <x v="0"/>
    <x v="0"/>
    <x v="0"/>
    <x v="9"/>
    <x v="19"/>
    <s v="SE3_STO"/>
    <x v="0"/>
    <x v="247"/>
    <x v="0"/>
    <x v="8"/>
    <n v="318.85127221904099"/>
    <n v="116380.71435995"/>
    <n v="418970.57169582002"/>
  </r>
  <r>
    <x v="0"/>
    <x v="0"/>
    <x v="0"/>
    <x v="9"/>
    <x v="19"/>
    <s v="SE3_STO"/>
    <x v="0"/>
    <x v="247"/>
    <x v="0"/>
    <x v="0"/>
    <n v="318.85127221904099"/>
    <n v="116380.71435995"/>
    <n v="418970.57169582002"/>
  </r>
  <r>
    <x v="0"/>
    <x v="0"/>
    <x v="0"/>
    <x v="9"/>
    <x v="19"/>
    <s v="SE3_STO"/>
    <x v="0"/>
    <x v="247"/>
    <x v="0"/>
    <x v="1"/>
    <n v="318.85127221904099"/>
    <n v="116380.71435995"/>
    <n v="418970.57169582002"/>
  </r>
  <r>
    <x v="0"/>
    <x v="0"/>
    <x v="0"/>
    <x v="9"/>
    <x v="19"/>
    <s v="SE3_STO"/>
    <x v="0"/>
    <x v="247"/>
    <x v="0"/>
    <x v="2"/>
    <n v="318.85127221904099"/>
    <n v="116380.71435995"/>
    <n v="418970.57169582002"/>
  </r>
  <r>
    <x v="0"/>
    <x v="0"/>
    <x v="0"/>
    <x v="9"/>
    <x v="19"/>
    <s v="SE3_STO"/>
    <x v="0"/>
    <x v="247"/>
    <x v="0"/>
    <x v="9"/>
    <n v="318.85127221904099"/>
    <n v="116380.71435995"/>
    <n v="418970.57169582002"/>
  </r>
  <r>
    <x v="0"/>
    <x v="0"/>
    <x v="0"/>
    <x v="9"/>
    <x v="19"/>
    <s v="SE3_STO"/>
    <x v="0"/>
    <x v="247"/>
    <x v="0"/>
    <x v="10"/>
    <n v="318.85127221904099"/>
    <n v="116380.71435995"/>
    <n v="418970.57169582002"/>
  </r>
  <r>
    <x v="0"/>
    <x v="0"/>
    <x v="0"/>
    <x v="9"/>
    <x v="19"/>
    <s v="SE3_STO"/>
    <x v="0"/>
    <x v="247"/>
    <x v="0"/>
    <x v="11"/>
    <n v="318.85127221904099"/>
    <n v="116380.71435995"/>
    <n v="418970.57169582002"/>
  </r>
  <r>
    <x v="0"/>
    <x v="0"/>
    <x v="0"/>
    <x v="9"/>
    <x v="19"/>
    <s v="SE3_STO"/>
    <x v="0"/>
    <x v="247"/>
    <x v="0"/>
    <x v="12"/>
    <n v="318.85127221904099"/>
    <n v="116380.71435995"/>
    <n v="418970.57169582002"/>
  </r>
  <r>
    <x v="0"/>
    <x v="0"/>
    <x v="0"/>
    <x v="9"/>
    <x v="19"/>
    <s v="SE3_STO"/>
    <x v="0"/>
    <x v="247"/>
    <x v="0"/>
    <x v="13"/>
    <n v="318.85127221904099"/>
    <n v="116380.71435995"/>
    <n v="418970.57169582002"/>
  </r>
  <r>
    <x v="0"/>
    <x v="0"/>
    <x v="0"/>
    <x v="9"/>
    <x v="19"/>
    <s v="SE3_STO"/>
    <x v="0"/>
    <x v="247"/>
    <x v="0"/>
    <x v="14"/>
    <n v="318.85127221904099"/>
    <n v="116380.71435995"/>
    <n v="418970.57169582002"/>
  </r>
  <r>
    <x v="0"/>
    <x v="0"/>
    <x v="0"/>
    <x v="9"/>
    <x v="19"/>
    <s v="SE3_STO"/>
    <x v="0"/>
    <x v="247"/>
    <x v="0"/>
    <x v="15"/>
    <n v="318.85127221904099"/>
    <n v="116380.71435995"/>
    <n v="418970.57169582002"/>
  </r>
  <r>
    <x v="0"/>
    <x v="0"/>
    <x v="0"/>
    <x v="9"/>
    <x v="19"/>
    <s v="SE3_STO"/>
    <x v="0"/>
    <x v="247"/>
    <x v="0"/>
    <x v="16"/>
    <n v="318.85127221904099"/>
    <n v="116380.71435995"/>
    <n v="418970.57169582002"/>
  </r>
  <r>
    <x v="0"/>
    <x v="0"/>
    <x v="0"/>
    <x v="9"/>
    <x v="19"/>
    <s v="SE3_STO"/>
    <x v="0"/>
    <x v="247"/>
    <x v="0"/>
    <x v="17"/>
    <n v="318.85127221904099"/>
    <n v="116380.71435995"/>
    <n v="418970.57169582002"/>
  </r>
  <r>
    <x v="0"/>
    <x v="0"/>
    <x v="0"/>
    <x v="9"/>
    <x v="19"/>
    <s v="SE3_STO"/>
    <x v="0"/>
    <x v="247"/>
    <x v="0"/>
    <x v="18"/>
    <n v="318.85127221904099"/>
    <n v="116380.71435995"/>
    <n v="418970.57169582002"/>
  </r>
  <r>
    <x v="0"/>
    <x v="0"/>
    <x v="0"/>
    <x v="9"/>
    <x v="19"/>
    <s v="SE3_STO"/>
    <x v="0"/>
    <x v="247"/>
    <x v="0"/>
    <x v="19"/>
    <n v="318.85127221904099"/>
    <n v="116380.71435995"/>
    <n v="418970.57169582002"/>
  </r>
  <r>
    <x v="0"/>
    <x v="0"/>
    <x v="0"/>
    <x v="9"/>
    <x v="19"/>
    <s v="SE3_STO"/>
    <x v="0"/>
    <x v="247"/>
    <x v="0"/>
    <x v="20"/>
    <n v="318.85127221904099"/>
    <n v="116380.71435995"/>
    <n v="418970.57169582002"/>
  </r>
  <r>
    <x v="0"/>
    <x v="0"/>
    <x v="0"/>
    <x v="9"/>
    <x v="19"/>
    <s v="SE3_STO"/>
    <x v="0"/>
    <x v="247"/>
    <x v="0"/>
    <x v="21"/>
    <n v="318.85127221904099"/>
    <n v="116380.71435995"/>
    <n v="418970.57169582002"/>
  </r>
  <r>
    <x v="0"/>
    <x v="0"/>
    <x v="0"/>
    <x v="9"/>
    <x v="19"/>
    <s v="SE3_STO"/>
    <x v="0"/>
    <x v="247"/>
    <x v="0"/>
    <x v="22"/>
    <n v="318.85127221904099"/>
    <n v="116380.71435995"/>
    <n v="418970.57169582002"/>
  </r>
  <r>
    <x v="0"/>
    <x v="0"/>
    <x v="0"/>
    <x v="9"/>
    <x v="19"/>
    <s v="SE3_STO"/>
    <x v="0"/>
    <x v="247"/>
    <x v="0"/>
    <x v="23"/>
    <n v="318.85127221904099"/>
    <n v="116380.71435995"/>
    <n v="418970.57169582002"/>
  </r>
  <r>
    <x v="0"/>
    <x v="0"/>
    <x v="0"/>
    <x v="9"/>
    <x v="19"/>
    <s v="SE3_STO"/>
    <x v="1"/>
    <x v="248"/>
    <x v="0"/>
    <x v="3"/>
    <n v="188.54422739459699"/>
    <n v="68818.642999027696"/>
    <n v="247747.11479650001"/>
  </r>
  <r>
    <x v="0"/>
    <x v="0"/>
    <x v="0"/>
    <x v="9"/>
    <x v="19"/>
    <s v="SE3_STO"/>
    <x v="1"/>
    <x v="248"/>
    <x v="0"/>
    <x v="4"/>
    <n v="188.54422739459699"/>
    <n v="68818.642999027696"/>
    <n v="247747.11479650001"/>
  </r>
  <r>
    <x v="0"/>
    <x v="0"/>
    <x v="0"/>
    <x v="9"/>
    <x v="19"/>
    <s v="SE3_STO"/>
    <x v="1"/>
    <x v="248"/>
    <x v="0"/>
    <x v="5"/>
    <n v="188.54422739459699"/>
    <n v="68818.642999027696"/>
    <n v="247747.11479650001"/>
  </r>
  <r>
    <x v="0"/>
    <x v="0"/>
    <x v="0"/>
    <x v="9"/>
    <x v="19"/>
    <s v="SE3_STO"/>
    <x v="1"/>
    <x v="248"/>
    <x v="0"/>
    <x v="6"/>
    <n v="188.54422739459699"/>
    <n v="68818.642999027696"/>
    <n v="247747.11479650001"/>
  </r>
  <r>
    <x v="0"/>
    <x v="0"/>
    <x v="0"/>
    <x v="9"/>
    <x v="19"/>
    <s v="SE3_STO"/>
    <x v="1"/>
    <x v="248"/>
    <x v="0"/>
    <x v="7"/>
    <n v="188.54422739459699"/>
    <n v="68818.642999027696"/>
    <n v="247747.11479650001"/>
  </r>
  <r>
    <x v="0"/>
    <x v="0"/>
    <x v="0"/>
    <x v="9"/>
    <x v="19"/>
    <s v="SE3_STO"/>
    <x v="1"/>
    <x v="248"/>
    <x v="0"/>
    <x v="8"/>
    <n v="188.54422739459699"/>
    <n v="68818.642999027696"/>
    <n v="247747.11479650001"/>
  </r>
  <r>
    <x v="0"/>
    <x v="0"/>
    <x v="0"/>
    <x v="9"/>
    <x v="19"/>
    <s v="SE3_STO"/>
    <x v="1"/>
    <x v="248"/>
    <x v="0"/>
    <x v="0"/>
    <n v="188.54422739459699"/>
    <n v="68818.642999027696"/>
    <n v="247747.11479650001"/>
  </r>
  <r>
    <x v="0"/>
    <x v="0"/>
    <x v="0"/>
    <x v="9"/>
    <x v="19"/>
    <s v="SE3_STO"/>
    <x v="1"/>
    <x v="248"/>
    <x v="0"/>
    <x v="1"/>
    <n v="188.54422739459699"/>
    <n v="68818.642999027696"/>
    <n v="247747.11479650001"/>
  </r>
  <r>
    <x v="0"/>
    <x v="0"/>
    <x v="0"/>
    <x v="9"/>
    <x v="19"/>
    <s v="SE3_STO"/>
    <x v="1"/>
    <x v="248"/>
    <x v="0"/>
    <x v="2"/>
    <n v="188.54422739459699"/>
    <n v="68818.642999027696"/>
    <n v="247747.11479650001"/>
  </r>
  <r>
    <x v="0"/>
    <x v="0"/>
    <x v="0"/>
    <x v="9"/>
    <x v="19"/>
    <s v="SE3_STO"/>
    <x v="1"/>
    <x v="248"/>
    <x v="0"/>
    <x v="9"/>
    <n v="188.54422739459699"/>
    <n v="68818.642999027696"/>
    <n v="247747.11479650001"/>
  </r>
  <r>
    <x v="0"/>
    <x v="0"/>
    <x v="0"/>
    <x v="9"/>
    <x v="19"/>
    <s v="SE3_STO"/>
    <x v="1"/>
    <x v="248"/>
    <x v="0"/>
    <x v="10"/>
    <n v="188.54422739459699"/>
    <n v="68818.642999027696"/>
    <n v="247747.11479650001"/>
  </r>
  <r>
    <x v="0"/>
    <x v="0"/>
    <x v="0"/>
    <x v="9"/>
    <x v="19"/>
    <s v="SE3_STO"/>
    <x v="1"/>
    <x v="248"/>
    <x v="0"/>
    <x v="11"/>
    <n v="188.54422739459699"/>
    <n v="68818.642999027696"/>
    <n v="247747.11479650001"/>
  </r>
  <r>
    <x v="0"/>
    <x v="0"/>
    <x v="0"/>
    <x v="9"/>
    <x v="19"/>
    <s v="SE3_STO"/>
    <x v="1"/>
    <x v="248"/>
    <x v="0"/>
    <x v="12"/>
    <n v="188.54422739459699"/>
    <n v="68818.642999027696"/>
    <n v="247747.11479650001"/>
  </r>
  <r>
    <x v="0"/>
    <x v="0"/>
    <x v="0"/>
    <x v="9"/>
    <x v="19"/>
    <s v="SE3_STO"/>
    <x v="1"/>
    <x v="248"/>
    <x v="0"/>
    <x v="13"/>
    <n v="188.54422739459699"/>
    <n v="68818.642999027696"/>
    <n v="247747.11479650001"/>
  </r>
  <r>
    <x v="0"/>
    <x v="0"/>
    <x v="0"/>
    <x v="9"/>
    <x v="19"/>
    <s v="SE3_STO"/>
    <x v="1"/>
    <x v="248"/>
    <x v="0"/>
    <x v="14"/>
    <n v="188.54422739459699"/>
    <n v="68818.642999027696"/>
    <n v="247747.11479650001"/>
  </r>
  <r>
    <x v="0"/>
    <x v="0"/>
    <x v="0"/>
    <x v="9"/>
    <x v="19"/>
    <s v="SE3_STO"/>
    <x v="1"/>
    <x v="248"/>
    <x v="0"/>
    <x v="15"/>
    <n v="188.54422739459699"/>
    <n v="68818.642999027696"/>
    <n v="247747.11479650001"/>
  </r>
  <r>
    <x v="0"/>
    <x v="0"/>
    <x v="0"/>
    <x v="9"/>
    <x v="19"/>
    <s v="SE3_STO"/>
    <x v="1"/>
    <x v="248"/>
    <x v="0"/>
    <x v="16"/>
    <n v="188.54422739459699"/>
    <n v="68818.642999027696"/>
    <n v="247747.11479650001"/>
  </r>
  <r>
    <x v="0"/>
    <x v="0"/>
    <x v="0"/>
    <x v="9"/>
    <x v="19"/>
    <s v="SE3_STO"/>
    <x v="1"/>
    <x v="248"/>
    <x v="0"/>
    <x v="17"/>
    <n v="188.54422739459699"/>
    <n v="68818.642999027696"/>
    <n v="247747.11479650001"/>
  </r>
  <r>
    <x v="0"/>
    <x v="0"/>
    <x v="0"/>
    <x v="9"/>
    <x v="19"/>
    <s v="SE3_STO"/>
    <x v="1"/>
    <x v="248"/>
    <x v="0"/>
    <x v="18"/>
    <n v="188.54422739459699"/>
    <n v="68818.642999027696"/>
    <n v="247747.11479650001"/>
  </r>
  <r>
    <x v="0"/>
    <x v="0"/>
    <x v="0"/>
    <x v="9"/>
    <x v="19"/>
    <s v="SE3_STO"/>
    <x v="1"/>
    <x v="248"/>
    <x v="0"/>
    <x v="19"/>
    <n v="188.54422739459699"/>
    <n v="68818.642999027696"/>
    <n v="247747.11479650001"/>
  </r>
  <r>
    <x v="0"/>
    <x v="0"/>
    <x v="0"/>
    <x v="9"/>
    <x v="19"/>
    <s v="SE3_STO"/>
    <x v="1"/>
    <x v="248"/>
    <x v="0"/>
    <x v="20"/>
    <n v="188.54422739459699"/>
    <n v="68818.642999027696"/>
    <n v="247747.11479650001"/>
  </r>
  <r>
    <x v="0"/>
    <x v="0"/>
    <x v="0"/>
    <x v="9"/>
    <x v="19"/>
    <s v="SE3_STO"/>
    <x v="1"/>
    <x v="248"/>
    <x v="0"/>
    <x v="21"/>
    <n v="188.54422739459699"/>
    <n v="68818.642999027696"/>
    <n v="247747.11479650001"/>
  </r>
  <r>
    <x v="0"/>
    <x v="0"/>
    <x v="0"/>
    <x v="9"/>
    <x v="19"/>
    <s v="SE3_STO"/>
    <x v="1"/>
    <x v="248"/>
    <x v="0"/>
    <x v="22"/>
    <n v="188.54422739459699"/>
    <n v="68818.642999027696"/>
    <n v="247747.11479650001"/>
  </r>
  <r>
    <x v="0"/>
    <x v="0"/>
    <x v="0"/>
    <x v="9"/>
    <x v="19"/>
    <s v="SE3_STO"/>
    <x v="1"/>
    <x v="248"/>
    <x v="0"/>
    <x v="23"/>
    <n v="188.54422739459699"/>
    <n v="68818.642999027696"/>
    <n v="247747.11479650001"/>
  </r>
  <r>
    <x v="0"/>
    <x v="0"/>
    <x v="0"/>
    <x v="9"/>
    <x v="19"/>
    <s v="SE3_STO"/>
    <x v="1"/>
    <x v="208"/>
    <x v="0"/>
    <x v="3"/>
    <n v="133.73011864833899"/>
    <n v="48811.493306643599"/>
    <n v="175721.37590391701"/>
  </r>
  <r>
    <x v="0"/>
    <x v="0"/>
    <x v="0"/>
    <x v="9"/>
    <x v="19"/>
    <s v="SE3_STO"/>
    <x v="1"/>
    <x v="208"/>
    <x v="0"/>
    <x v="4"/>
    <n v="133.73011864833899"/>
    <n v="48811.493306643599"/>
    <n v="175721.37590391701"/>
  </r>
  <r>
    <x v="0"/>
    <x v="0"/>
    <x v="0"/>
    <x v="9"/>
    <x v="19"/>
    <s v="SE3_STO"/>
    <x v="1"/>
    <x v="208"/>
    <x v="0"/>
    <x v="5"/>
    <n v="133.73011864833899"/>
    <n v="48811.493306643599"/>
    <n v="175721.37590391701"/>
  </r>
  <r>
    <x v="0"/>
    <x v="0"/>
    <x v="0"/>
    <x v="9"/>
    <x v="19"/>
    <s v="SE3_STO"/>
    <x v="1"/>
    <x v="208"/>
    <x v="0"/>
    <x v="6"/>
    <n v="133.73011864833899"/>
    <n v="48811.493306643599"/>
    <n v="175721.37590391701"/>
  </r>
  <r>
    <x v="0"/>
    <x v="0"/>
    <x v="0"/>
    <x v="9"/>
    <x v="19"/>
    <s v="SE3_STO"/>
    <x v="1"/>
    <x v="208"/>
    <x v="0"/>
    <x v="7"/>
    <n v="133.73011864833899"/>
    <n v="48811.493306643599"/>
    <n v="175721.37590391701"/>
  </r>
  <r>
    <x v="0"/>
    <x v="0"/>
    <x v="0"/>
    <x v="9"/>
    <x v="19"/>
    <s v="SE3_STO"/>
    <x v="1"/>
    <x v="208"/>
    <x v="0"/>
    <x v="8"/>
    <n v="133.73011864833899"/>
    <n v="48811.493306643599"/>
    <n v="175721.37590391701"/>
  </r>
  <r>
    <x v="0"/>
    <x v="0"/>
    <x v="0"/>
    <x v="9"/>
    <x v="19"/>
    <s v="SE3_STO"/>
    <x v="1"/>
    <x v="208"/>
    <x v="0"/>
    <x v="0"/>
    <n v="133.73011864833899"/>
    <n v="48811.493306643599"/>
    <n v="175721.37590391701"/>
  </r>
  <r>
    <x v="0"/>
    <x v="0"/>
    <x v="0"/>
    <x v="9"/>
    <x v="19"/>
    <s v="SE3_STO"/>
    <x v="1"/>
    <x v="208"/>
    <x v="0"/>
    <x v="1"/>
    <n v="133.73011864833899"/>
    <n v="48811.493306643599"/>
    <n v="175721.37590391701"/>
  </r>
  <r>
    <x v="0"/>
    <x v="0"/>
    <x v="0"/>
    <x v="9"/>
    <x v="19"/>
    <s v="SE3_STO"/>
    <x v="1"/>
    <x v="208"/>
    <x v="0"/>
    <x v="2"/>
    <n v="133.73011864833899"/>
    <n v="48811.493306643599"/>
    <n v="175721.37590391701"/>
  </r>
  <r>
    <x v="0"/>
    <x v="0"/>
    <x v="0"/>
    <x v="9"/>
    <x v="19"/>
    <s v="SE3_STO"/>
    <x v="1"/>
    <x v="208"/>
    <x v="0"/>
    <x v="9"/>
    <n v="133.73011864833899"/>
    <n v="48811.493306643599"/>
    <n v="175721.37590391701"/>
  </r>
  <r>
    <x v="0"/>
    <x v="0"/>
    <x v="0"/>
    <x v="9"/>
    <x v="19"/>
    <s v="SE3_STO"/>
    <x v="1"/>
    <x v="208"/>
    <x v="0"/>
    <x v="10"/>
    <n v="133.73011864833899"/>
    <n v="48811.493306643599"/>
    <n v="175721.37590391701"/>
  </r>
  <r>
    <x v="0"/>
    <x v="0"/>
    <x v="0"/>
    <x v="9"/>
    <x v="19"/>
    <s v="SE3_STO"/>
    <x v="1"/>
    <x v="208"/>
    <x v="0"/>
    <x v="11"/>
    <n v="133.73011864833899"/>
    <n v="48811.493306643599"/>
    <n v="175721.37590391701"/>
  </r>
  <r>
    <x v="0"/>
    <x v="0"/>
    <x v="0"/>
    <x v="9"/>
    <x v="19"/>
    <s v="SE3_STO"/>
    <x v="1"/>
    <x v="208"/>
    <x v="0"/>
    <x v="12"/>
    <n v="133.73011864833899"/>
    <n v="48811.493306643599"/>
    <n v="175721.37590391701"/>
  </r>
  <r>
    <x v="0"/>
    <x v="0"/>
    <x v="0"/>
    <x v="9"/>
    <x v="19"/>
    <s v="SE3_STO"/>
    <x v="1"/>
    <x v="208"/>
    <x v="0"/>
    <x v="13"/>
    <n v="133.73011864833899"/>
    <n v="48811.493306643599"/>
    <n v="175721.37590391701"/>
  </r>
  <r>
    <x v="0"/>
    <x v="0"/>
    <x v="0"/>
    <x v="9"/>
    <x v="19"/>
    <s v="SE3_STO"/>
    <x v="1"/>
    <x v="208"/>
    <x v="0"/>
    <x v="14"/>
    <n v="133.73011864833899"/>
    <n v="48811.493306643599"/>
    <n v="175721.37590391701"/>
  </r>
  <r>
    <x v="0"/>
    <x v="0"/>
    <x v="0"/>
    <x v="9"/>
    <x v="19"/>
    <s v="SE3_STO"/>
    <x v="1"/>
    <x v="208"/>
    <x v="0"/>
    <x v="15"/>
    <n v="133.73011864833899"/>
    <n v="48811.493306643599"/>
    <n v="175721.37590391701"/>
  </r>
  <r>
    <x v="0"/>
    <x v="0"/>
    <x v="0"/>
    <x v="9"/>
    <x v="19"/>
    <s v="SE3_STO"/>
    <x v="1"/>
    <x v="208"/>
    <x v="0"/>
    <x v="16"/>
    <n v="133.73011864833899"/>
    <n v="48811.493306643599"/>
    <n v="175721.37590391701"/>
  </r>
  <r>
    <x v="0"/>
    <x v="0"/>
    <x v="0"/>
    <x v="9"/>
    <x v="19"/>
    <s v="SE3_STO"/>
    <x v="1"/>
    <x v="208"/>
    <x v="0"/>
    <x v="17"/>
    <n v="133.73011864833899"/>
    <n v="48811.493306643599"/>
    <n v="175721.37590391701"/>
  </r>
  <r>
    <x v="0"/>
    <x v="0"/>
    <x v="0"/>
    <x v="9"/>
    <x v="19"/>
    <s v="SE3_STO"/>
    <x v="1"/>
    <x v="208"/>
    <x v="0"/>
    <x v="18"/>
    <n v="133.73011864833899"/>
    <n v="48811.493306643599"/>
    <n v="175721.37590391701"/>
  </r>
  <r>
    <x v="0"/>
    <x v="0"/>
    <x v="0"/>
    <x v="9"/>
    <x v="19"/>
    <s v="SE3_STO"/>
    <x v="1"/>
    <x v="208"/>
    <x v="0"/>
    <x v="19"/>
    <n v="133.73011864833899"/>
    <n v="48811.493306643599"/>
    <n v="175721.37590391701"/>
  </r>
  <r>
    <x v="0"/>
    <x v="0"/>
    <x v="0"/>
    <x v="9"/>
    <x v="19"/>
    <s v="SE3_STO"/>
    <x v="1"/>
    <x v="208"/>
    <x v="0"/>
    <x v="20"/>
    <n v="133.73011864833899"/>
    <n v="48811.493306643599"/>
    <n v="175721.37590391701"/>
  </r>
  <r>
    <x v="0"/>
    <x v="0"/>
    <x v="0"/>
    <x v="9"/>
    <x v="19"/>
    <s v="SE3_STO"/>
    <x v="1"/>
    <x v="208"/>
    <x v="0"/>
    <x v="21"/>
    <n v="133.73011864833899"/>
    <n v="48811.493306643599"/>
    <n v="175721.37590391701"/>
  </r>
  <r>
    <x v="0"/>
    <x v="0"/>
    <x v="0"/>
    <x v="9"/>
    <x v="19"/>
    <s v="SE3_STO"/>
    <x v="1"/>
    <x v="208"/>
    <x v="0"/>
    <x v="22"/>
    <n v="133.73011864833899"/>
    <n v="48811.493306643599"/>
    <n v="175721.37590391701"/>
  </r>
  <r>
    <x v="0"/>
    <x v="0"/>
    <x v="0"/>
    <x v="9"/>
    <x v="19"/>
    <s v="SE3_STO"/>
    <x v="1"/>
    <x v="208"/>
    <x v="0"/>
    <x v="23"/>
    <n v="133.73011864833899"/>
    <n v="48811.493306643599"/>
    <n v="175721.37590391701"/>
  </r>
  <r>
    <x v="0"/>
    <x v="0"/>
    <x v="0"/>
    <x v="9"/>
    <x v="19"/>
    <s v="SE3_STO"/>
    <x v="9"/>
    <x v="249"/>
    <x v="0"/>
    <x v="0"/>
    <n v="358.37950138504198"/>
    <n v="130808.51800554"/>
    <n v="470910.664819945"/>
  </r>
  <r>
    <x v="0"/>
    <x v="0"/>
    <x v="0"/>
    <x v="9"/>
    <x v="19"/>
    <s v="SE3_STO"/>
    <x v="9"/>
    <x v="249"/>
    <x v="0"/>
    <x v="1"/>
    <n v="358.37950138504198"/>
    <n v="130808.51800554"/>
    <n v="470910.664819945"/>
  </r>
  <r>
    <x v="0"/>
    <x v="0"/>
    <x v="0"/>
    <x v="9"/>
    <x v="19"/>
    <s v="SE3_STO"/>
    <x v="9"/>
    <x v="249"/>
    <x v="0"/>
    <x v="2"/>
    <n v="358.37950138504198"/>
    <n v="130808.51800554"/>
    <n v="470910.664819945"/>
  </r>
  <r>
    <x v="0"/>
    <x v="0"/>
    <x v="0"/>
    <x v="9"/>
    <x v="19"/>
    <s v="SE3_STO"/>
    <x v="9"/>
    <x v="249"/>
    <x v="0"/>
    <x v="9"/>
    <n v="358.37950138504198"/>
    <n v="130808.51800554"/>
    <n v="470910.664819945"/>
  </r>
  <r>
    <x v="0"/>
    <x v="0"/>
    <x v="0"/>
    <x v="9"/>
    <x v="19"/>
    <s v="SE3_STO"/>
    <x v="9"/>
    <x v="249"/>
    <x v="0"/>
    <x v="10"/>
    <n v="358.37950138504198"/>
    <n v="130808.51800554"/>
    <n v="470910.664819945"/>
  </r>
  <r>
    <x v="0"/>
    <x v="0"/>
    <x v="0"/>
    <x v="9"/>
    <x v="19"/>
    <s v="SE3_STO"/>
    <x v="9"/>
    <x v="249"/>
    <x v="0"/>
    <x v="11"/>
    <n v="358.37950138504198"/>
    <n v="130808.51800554"/>
    <n v="470910.664819945"/>
  </r>
  <r>
    <x v="0"/>
    <x v="0"/>
    <x v="0"/>
    <x v="9"/>
    <x v="19"/>
    <s v="SE3_STO"/>
    <x v="9"/>
    <x v="249"/>
    <x v="0"/>
    <x v="12"/>
    <n v="358.37950138504198"/>
    <n v="130808.51800554"/>
    <n v="470910.664819945"/>
  </r>
  <r>
    <x v="0"/>
    <x v="0"/>
    <x v="0"/>
    <x v="9"/>
    <x v="19"/>
    <s v="SE3_STO"/>
    <x v="9"/>
    <x v="249"/>
    <x v="0"/>
    <x v="13"/>
    <n v="358.37950138504198"/>
    <n v="130808.51800554"/>
    <n v="470910.664819945"/>
  </r>
  <r>
    <x v="0"/>
    <x v="0"/>
    <x v="0"/>
    <x v="9"/>
    <x v="19"/>
    <s v="SE3_STO"/>
    <x v="9"/>
    <x v="249"/>
    <x v="0"/>
    <x v="14"/>
    <n v="358.37950138504198"/>
    <n v="130808.51800554"/>
    <n v="470910.664819945"/>
  </r>
  <r>
    <x v="0"/>
    <x v="0"/>
    <x v="0"/>
    <x v="9"/>
    <x v="19"/>
    <s v="SE3_STO"/>
    <x v="9"/>
    <x v="249"/>
    <x v="0"/>
    <x v="15"/>
    <n v="358.37950138504198"/>
    <n v="130808.51800554"/>
    <n v="470910.664819945"/>
  </r>
  <r>
    <x v="0"/>
    <x v="0"/>
    <x v="0"/>
    <x v="9"/>
    <x v="19"/>
    <s v="SE3_STO"/>
    <x v="9"/>
    <x v="249"/>
    <x v="0"/>
    <x v="16"/>
    <n v="358.37950138504198"/>
    <n v="130808.51800554"/>
    <n v="470910.664819945"/>
  </r>
  <r>
    <x v="0"/>
    <x v="0"/>
    <x v="0"/>
    <x v="9"/>
    <x v="19"/>
    <s v="SE3_STO"/>
    <x v="9"/>
    <x v="249"/>
    <x v="0"/>
    <x v="17"/>
    <n v="358.37950138504198"/>
    <n v="130808.51800554"/>
    <n v="470910.664819945"/>
  </r>
  <r>
    <x v="0"/>
    <x v="0"/>
    <x v="0"/>
    <x v="9"/>
    <x v="19"/>
    <s v="SE3_STO"/>
    <x v="9"/>
    <x v="249"/>
    <x v="0"/>
    <x v="18"/>
    <n v="335.44332404180102"/>
    <n v="122436.81327525699"/>
    <n v="440772.52779092599"/>
  </r>
  <r>
    <x v="0"/>
    <x v="0"/>
    <x v="0"/>
    <x v="9"/>
    <x v="19"/>
    <s v="SE3_STO"/>
    <x v="9"/>
    <x v="249"/>
    <x v="0"/>
    <x v="19"/>
    <n v="291.989180643363"/>
    <n v="106576.050934827"/>
    <n v="383673.78336537897"/>
  </r>
  <r>
    <x v="0"/>
    <x v="0"/>
    <x v="0"/>
    <x v="9"/>
    <x v="19"/>
    <s v="SE3_STO"/>
    <x v="10"/>
    <x v="233"/>
    <x v="0"/>
    <x v="3"/>
    <n v="335.42386969827902"/>
    <n v="122429.712439872"/>
    <n v="440746.96478353802"/>
  </r>
  <r>
    <x v="0"/>
    <x v="0"/>
    <x v="0"/>
    <x v="9"/>
    <x v="19"/>
    <s v="SE3_STO"/>
    <x v="10"/>
    <x v="233"/>
    <x v="0"/>
    <x v="4"/>
    <n v="335.42386969827902"/>
    <n v="122429.712439872"/>
    <n v="440746.96478353802"/>
  </r>
  <r>
    <x v="0"/>
    <x v="0"/>
    <x v="0"/>
    <x v="9"/>
    <x v="19"/>
    <s v="SE3_STO"/>
    <x v="10"/>
    <x v="233"/>
    <x v="0"/>
    <x v="5"/>
    <n v="335.42386969827902"/>
    <n v="122429.712439872"/>
    <n v="440746.96478353802"/>
  </r>
  <r>
    <x v="0"/>
    <x v="0"/>
    <x v="0"/>
    <x v="9"/>
    <x v="19"/>
    <s v="SE3_STO"/>
    <x v="10"/>
    <x v="233"/>
    <x v="0"/>
    <x v="6"/>
    <n v="335.42386969827902"/>
    <n v="122429.712439872"/>
    <n v="440746.96478353802"/>
  </r>
  <r>
    <x v="0"/>
    <x v="0"/>
    <x v="0"/>
    <x v="9"/>
    <x v="19"/>
    <s v="SE3_STO"/>
    <x v="10"/>
    <x v="233"/>
    <x v="0"/>
    <x v="7"/>
    <n v="335.42386969827902"/>
    <n v="122429.712439872"/>
    <n v="440746.96478353802"/>
  </r>
  <r>
    <x v="0"/>
    <x v="0"/>
    <x v="0"/>
    <x v="9"/>
    <x v="19"/>
    <s v="SE3_STO"/>
    <x v="10"/>
    <x v="233"/>
    <x v="0"/>
    <x v="8"/>
    <n v="335.42386969827902"/>
    <n v="122429.712439872"/>
    <n v="440746.96478353802"/>
  </r>
  <r>
    <x v="0"/>
    <x v="0"/>
    <x v="0"/>
    <x v="9"/>
    <x v="19"/>
    <s v="SE3_STO"/>
    <x v="10"/>
    <x v="233"/>
    <x v="0"/>
    <x v="0"/>
    <n v="335.42386969827902"/>
    <n v="122429.712439872"/>
    <n v="440746.96478353802"/>
  </r>
  <r>
    <x v="0"/>
    <x v="0"/>
    <x v="0"/>
    <x v="9"/>
    <x v="19"/>
    <s v="SE3_STO"/>
    <x v="10"/>
    <x v="233"/>
    <x v="0"/>
    <x v="1"/>
    <n v="335.42386969827902"/>
    <n v="122429.712439872"/>
    <n v="440746.96478353802"/>
  </r>
  <r>
    <x v="0"/>
    <x v="0"/>
    <x v="0"/>
    <x v="9"/>
    <x v="19"/>
    <s v="SE3_STO"/>
    <x v="10"/>
    <x v="233"/>
    <x v="0"/>
    <x v="2"/>
    <n v="335.42386969827902"/>
    <n v="122429.712439872"/>
    <n v="440746.96478353802"/>
  </r>
  <r>
    <x v="0"/>
    <x v="0"/>
    <x v="0"/>
    <x v="9"/>
    <x v="19"/>
    <s v="SE3_STO"/>
    <x v="10"/>
    <x v="233"/>
    <x v="0"/>
    <x v="9"/>
    <n v="335.42386969827902"/>
    <n v="122429.712439872"/>
    <n v="440746.96478353802"/>
  </r>
  <r>
    <x v="0"/>
    <x v="0"/>
    <x v="0"/>
    <x v="9"/>
    <x v="19"/>
    <s v="SE3_STO"/>
    <x v="10"/>
    <x v="233"/>
    <x v="0"/>
    <x v="10"/>
    <n v="335.42386969827902"/>
    <n v="122429.712439872"/>
    <n v="440746.96478353802"/>
  </r>
  <r>
    <x v="0"/>
    <x v="0"/>
    <x v="0"/>
    <x v="9"/>
    <x v="19"/>
    <s v="SE3_STO"/>
    <x v="10"/>
    <x v="233"/>
    <x v="0"/>
    <x v="11"/>
    <n v="335.42386969827902"/>
    <n v="122429.712439872"/>
    <n v="440746.96478353802"/>
  </r>
  <r>
    <x v="0"/>
    <x v="0"/>
    <x v="0"/>
    <x v="9"/>
    <x v="19"/>
    <s v="SE3_STO"/>
    <x v="10"/>
    <x v="233"/>
    <x v="0"/>
    <x v="12"/>
    <n v="335.42386969827902"/>
    <n v="122429.712439872"/>
    <n v="440746.96478353802"/>
  </r>
  <r>
    <x v="0"/>
    <x v="0"/>
    <x v="0"/>
    <x v="9"/>
    <x v="19"/>
    <s v="SE3_STO"/>
    <x v="10"/>
    <x v="233"/>
    <x v="0"/>
    <x v="13"/>
    <n v="335.42386969827902"/>
    <n v="122429.712439872"/>
    <n v="440746.96478353802"/>
  </r>
  <r>
    <x v="0"/>
    <x v="0"/>
    <x v="0"/>
    <x v="9"/>
    <x v="19"/>
    <s v="SE3_STO"/>
    <x v="10"/>
    <x v="233"/>
    <x v="0"/>
    <x v="14"/>
    <n v="335.42386969827902"/>
    <n v="122429.712439872"/>
    <n v="440746.96478353802"/>
  </r>
  <r>
    <x v="0"/>
    <x v="0"/>
    <x v="0"/>
    <x v="9"/>
    <x v="19"/>
    <s v="SE3_STO"/>
    <x v="10"/>
    <x v="233"/>
    <x v="0"/>
    <x v="15"/>
    <n v="335.42386969827902"/>
    <n v="122429.712439872"/>
    <n v="440746.96478353802"/>
  </r>
  <r>
    <x v="0"/>
    <x v="0"/>
    <x v="0"/>
    <x v="9"/>
    <x v="19"/>
    <s v="SE3_STO"/>
    <x v="10"/>
    <x v="233"/>
    <x v="0"/>
    <x v="16"/>
    <n v="335.42386969827902"/>
    <n v="122429.712439872"/>
    <n v="440746.96478353802"/>
  </r>
  <r>
    <x v="0"/>
    <x v="0"/>
    <x v="0"/>
    <x v="9"/>
    <x v="19"/>
    <s v="SE3_STO"/>
    <x v="10"/>
    <x v="233"/>
    <x v="0"/>
    <x v="17"/>
    <n v="335.42386969827902"/>
    <n v="122429.712439872"/>
    <n v="440746.96478353802"/>
  </r>
  <r>
    <x v="0"/>
    <x v="0"/>
    <x v="0"/>
    <x v="9"/>
    <x v="19"/>
    <s v="SE3_STO"/>
    <x v="10"/>
    <x v="233"/>
    <x v="0"/>
    <x v="18"/>
    <n v="335.42386969827902"/>
    <n v="122429.712439872"/>
    <n v="440746.96478353802"/>
  </r>
  <r>
    <x v="0"/>
    <x v="0"/>
    <x v="0"/>
    <x v="9"/>
    <x v="19"/>
    <s v="SE3_STO"/>
    <x v="10"/>
    <x v="233"/>
    <x v="0"/>
    <x v="19"/>
    <n v="335.42386969827902"/>
    <n v="122429.712439872"/>
    <n v="440746.96478353802"/>
  </r>
  <r>
    <x v="0"/>
    <x v="0"/>
    <x v="0"/>
    <x v="9"/>
    <x v="19"/>
    <s v="SE3_STO"/>
    <x v="10"/>
    <x v="233"/>
    <x v="0"/>
    <x v="20"/>
    <n v="335.42386969827902"/>
    <n v="122429.712439872"/>
    <n v="440746.96478353802"/>
  </r>
  <r>
    <x v="0"/>
    <x v="0"/>
    <x v="0"/>
    <x v="9"/>
    <x v="19"/>
    <s v="SE3_STO"/>
    <x v="10"/>
    <x v="233"/>
    <x v="0"/>
    <x v="21"/>
    <n v="335.42386969827902"/>
    <n v="122429.712439872"/>
    <n v="440746.96478353802"/>
  </r>
  <r>
    <x v="0"/>
    <x v="0"/>
    <x v="0"/>
    <x v="9"/>
    <x v="19"/>
    <s v="SE3_STO"/>
    <x v="10"/>
    <x v="233"/>
    <x v="0"/>
    <x v="22"/>
    <n v="335.42386969827902"/>
    <n v="122429.712439872"/>
    <n v="440746.96478353802"/>
  </r>
  <r>
    <x v="0"/>
    <x v="0"/>
    <x v="0"/>
    <x v="9"/>
    <x v="19"/>
    <s v="SE3_STO"/>
    <x v="10"/>
    <x v="233"/>
    <x v="0"/>
    <x v="23"/>
    <n v="335.42386969827902"/>
    <n v="122429.712439872"/>
    <n v="440746.96478353802"/>
  </r>
  <r>
    <x v="0"/>
    <x v="0"/>
    <x v="0"/>
    <x v="9"/>
    <x v="19"/>
    <s v="SE3_STO"/>
    <x v="10"/>
    <x v="250"/>
    <x v="0"/>
    <x v="3"/>
    <n v="184.97261787542399"/>
    <n v="67515.005524529697"/>
    <n v="243054.019888307"/>
  </r>
  <r>
    <x v="0"/>
    <x v="0"/>
    <x v="0"/>
    <x v="9"/>
    <x v="19"/>
    <s v="SE3_STO"/>
    <x v="10"/>
    <x v="250"/>
    <x v="0"/>
    <x v="4"/>
    <n v="184.97261787542399"/>
    <n v="67515.005524529697"/>
    <n v="243054.019888307"/>
  </r>
  <r>
    <x v="0"/>
    <x v="0"/>
    <x v="0"/>
    <x v="9"/>
    <x v="19"/>
    <s v="SE3_STO"/>
    <x v="10"/>
    <x v="250"/>
    <x v="0"/>
    <x v="5"/>
    <n v="184.97261787542399"/>
    <n v="67515.005524529697"/>
    <n v="243054.019888307"/>
  </r>
  <r>
    <x v="0"/>
    <x v="0"/>
    <x v="0"/>
    <x v="9"/>
    <x v="19"/>
    <s v="SE3_STO"/>
    <x v="10"/>
    <x v="250"/>
    <x v="0"/>
    <x v="6"/>
    <n v="184.97261787542399"/>
    <n v="67515.005524529697"/>
    <n v="243054.019888307"/>
  </r>
  <r>
    <x v="0"/>
    <x v="0"/>
    <x v="0"/>
    <x v="9"/>
    <x v="19"/>
    <s v="SE3_STO"/>
    <x v="10"/>
    <x v="250"/>
    <x v="0"/>
    <x v="7"/>
    <n v="184.97261787542399"/>
    <n v="67515.005524529697"/>
    <n v="243054.019888307"/>
  </r>
  <r>
    <x v="0"/>
    <x v="0"/>
    <x v="0"/>
    <x v="9"/>
    <x v="19"/>
    <s v="SE3_STO"/>
    <x v="10"/>
    <x v="250"/>
    <x v="0"/>
    <x v="8"/>
    <n v="184.97261787542399"/>
    <n v="67515.005524529697"/>
    <n v="243054.019888307"/>
  </r>
  <r>
    <x v="0"/>
    <x v="0"/>
    <x v="0"/>
    <x v="9"/>
    <x v="19"/>
    <s v="SE3_STO"/>
    <x v="10"/>
    <x v="250"/>
    <x v="0"/>
    <x v="0"/>
    <n v="184.97261787542399"/>
    <n v="67515.005524529697"/>
    <n v="243054.019888307"/>
  </r>
  <r>
    <x v="0"/>
    <x v="0"/>
    <x v="0"/>
    <x v="9"/>
    <x v="19"/>
    <s v="SE3_STO"/>
    <x v="10"/>
    <x v="250"/>
    <x v="0"/>
    <x v="1"/>
    <n v="184.97261787542399"/>
    <n v="67515.005524529697"/>
    <n v="243054.019888307"/>
  </r>
  <r>
    <x v="0"/>
    <x v="0"/>
    <x v="0"/>
    <x v="9"/>
    <x v="19"/>
    <s v="SE3_STO"/>
    <x v="10"/>
    <x v="250"/>
    <x v="0"/>
    <x v="2"/>
    <n v="184.97261787542399"/>
    <n v="67515.005524529697"/>
    <n v="243054.019888307"/>
  </r>
  <r>
    <x v="0"/>
    <x v="0"/>
    <x v="0"/>
    <x v="9"/>
    <x v="19"/>
    <s v="SE3_STO"/>
    <x v="10"/>
    <x v="250"/>
    <x v="0"/>
    <x v="9"/>
    <n v="184.97261787542399"/>
    <n v="67515.005524529697"/>
    <n v="243054.019888307"/>
  </r>
  <r>
    <x v="0"/>
    <x v="0"/>
    <x v="0"/>
    <x v="9"/>
    <x v="19"/>
    <s v="SE3_STO"/>
    <x v="10"/>
    <x v="250"/>
    <x v="0"/>
    <x v="10"/>
    <n v="184.97261787542399"/>
    <n v="67515.005524529697"/>
    <n v="243054.019888307"/>
  </r>
  <r>
    <x v="0"/>
    <x v="0"/>
    <x v="0"/>
    <x v="9"/>
    <x v="19"/>
    <s v="SE3_STO"/>
    <x v="10"/>
    <x v="250"/>
    <x v="0"/>
    <x v="11"/>
    <n v="184.97261787542399"/>
    <n v="67515.005524529697"/>
    <n v="243054.019888307"/>
  </r>
  <r>
    <x v="0"/>
    <x v="0"/>
    <x v="0"/>
    <x v="9"/>
    <x v="19"/>
    <s v="SE3_STO"/>
    <x v="10"/>
    <x v="250"/>
    <x v="0"/>
    <x v="12"/>
    <n v="184.97261787542399"/>
    <n v="67515.005524529697"/>
    <n v="243054.019888307"/>
  </r>
  <r>
    <x v="0"/>
    <x v="0"/>
    <x v="0"/>
    <x v="9"/>
    <x v="19"/>
    <s v="SE3_STO"/>
    <x v="10"/>
    <x v="250"/>
    <x v="0"/>
    <x v="13"/>
    <n v="184.97261787542399"/>
    <n v="67515.005524529697"/>
    <n v="243054.019888307"/>
  </r>
  <r>
    <x v="0"/>
    <x v="0"/>
    <x v="0"/>
    <x v="9"/>
    <x v="19"/>
    <s v="SE3_STO"/>
    <x v="10"/>
    <x v="250"/>
    <x v="0"/>
    <x v="14"/>
    <n v="184.97261787542399"/>
    <n v="67515.005524529697"/>
    <n v="243054.019888307"/>
  </r>
  <r>
    <x v="0"/>
    <x v="0"/>
    <x v="0"/>
    <x v="9"/>
    <x v="19"/>
    <s v="SE3_STO"/>
    <x v="10"/>
    <x v="250"/>
    <x v="0"/>
    <x v="15"/>
    <n v="184.97261787542399"/>
    <n v="67515.005524529697"/>
    <n v="243054.019888307"/>
  </r>
  <r>
    <x v="0"/>
    <x v="0"/>
    <x v="0"/>
    <x v="9"/>
    <x v="19"/>
    <s v="SE3_STO"/>
    <x v="10"/>
    <x v="250"/>
    <x v="0"/>
    <x v="16"/>
    <n v="184.97261787542399"/>
    <n v="67515.005524529697"/>
    <n v="243054.019888307"/>
  </r>
  <r>
    <x v="0"/>
    <x v="0"/>
    <x v="0"/>
    <x v="9"/>
    <x v="19"/>
    <s v="SE3_STO"/>
    <x v="10"/>
    <x v="250"/>
    <x v="0"/>
    <x v="17"/>
    <n v="184.97261787542399"/>
    <n v="67515.005524529697"/>
    <n v="243054.019888307"/>
  </r>
  <r>
    <x v="0"/>
    <x v="0"/>
    <x v="0"/>
    <x v="9"/>
    <x v="19"/>
    <s v="SE3_STO"/>
    <x v="10"/>
    <x v="250"/>
    <x v="0"/>
    <x v="18"/>
    <n v="184.97261787542399"/>
    <n v="67515.005524529697"/>
    <n v="243054.019888307"/>
  </r>
  <r>
    <x v="0"/>
    <x v="0"/>
    <x v="0"/>
    <x v="9"/>
    <x v="19"/>
    <s v="SE3_STO"/>
    <x v="10"/>
    <x v="250"/>
    <x v="0"/>
    <x v="19"/>
    <n v="184.97261787542399"/>
    <n v="67515.005524529697"/>
    <n v="243054.019888307"/>
  </r>
  <r>
    <x v="0"/>
    <x v="0"/>
    <x v="0"/>
    <x v="9"/>
    <x v="19"/>
    <s v="SE3_STO"/>
    <x v="10"/>
    <x v="250"/>
    <x v="0"/>
    <x v="20"/>
    <n v="184.97261787542399"/>
    <n v="67515.005524529697"/>
    <n v="243054.019888307"/>
  </r>
  <r>
    <x v="0"/>
    <x v="0"/>
    <x v="0"/>
    <x v="9"/>
    <x v="19"/>
    <s v="SE3_STO"/>
    <x v="10"/>
    <x v="250"/>
    <x v="0"/>
    <x v="21"/>
    <n v="184.97261787542399"/>
    <n v="67515.005524529697"/>
    <n v="243054.019888307"/>
  </r>
  <r>
    <x v="0"/>
    <x v="0"/>
    <x v="0"/>
    <x v="9"/>
    <x v="19"/>
    <s v="SE3_STO"/>
    <x v="10"/>
    <x v="250"/>
    <x v="0"/>
    <x v="22"/>
    <n v="184.97261787542399"/>
    <n v="67515.005524529697"/>
    <n v="243054.019888307"/>
  </r>
  <r>
    <x v="0"/>
    <x v="0"/>
    <x v="0"/>
    <x v="9"/>
    <x v="19"/>
    <s v="SE3_STO"/>
    <x v="10"/>
    <x v="250"/>
    <x v="0"/>
    <x v="23"/>
    <n v="184.97261787542399"/>
    <n v="67515.005524529697"/>
    <n v="243054.019888307"/>
  </r>
  <r>
    <x v="0"/>
    <x v="0"/>
    <x v="0"/>
    <x v="9"/>
    <x v="20"/>
    <s v="SE4A"/>
    <x v="7"/>
    <x v="122"/>
    <x v="0"/>
    <x v="8"/>
    <n v="15.287300663378099"/>
    <n v="5579.8647421330097"/>
    <n v="20087.513071678801"/>
  </r>
  <r>
    <x v="0"/>
    <x v="0"/>
    <x v="0"/>
    <x v="9"/>
    <x v="20"/>
    <s v="SE4A"/>
    <x v="7"/>
    <x v="122"/>
    <x v="0"/>
    <x v="0"/>
    <n v="15.287300663378099"/>
    <n v="5579.8647421330097"/>
    <n v="20087.513071678801"/>
  </r>
  <r>
    <x v="0"/>
    <x v="0"/>
    <x v="0"/>
    <x v="9"/>
    <x v="20"/>
    <s v="SE4A"/>
    <x v="7"/>
    <x v="122"/>
    <x v="0"/>
    <x v="1"/>
    <n v="15.287300663378099"/>
    <n v="5579.8647421330097"/>
    <n v="20087.513071678801"/>
  </r>
  <r>
    <x v="0"/>
    <x v="0"/>
    <x v="0"/>
    <x v="9"/>
    <x v="20"/>
    <s v="SE4A"/>
    <x v="7"/>
    <x v="122"/>
    <x v="0"/>
    <x v="2"/>
    <n v="15.287300663378099"/>
    <n v="5579.8647421330097"/>
    <n v="20087.513071678801"/>
  </r>
  <r>
    <x v="0"/>
    <x v="0"/>
    <x v="0"/>
    <x v="9"/>
    <x v="20"/>
    <s v="SE4A"/>
    <x v="7"/>
    <x v="122"/>
    <x v="0"/>
    <x v="9"/>
    <n v="15.287300663378099"/>
    <n v="5579.8647421330097"/>
    <n v="20087.513071678801"/>
  </r>
  <r>
    <x v="0"/>
    <x v="0"/>
    <x v="0"/>
    <x v="9"/>
    <x v="20"/>
    <s v="SE4A"/>
    <x v="7"/>
    <x v="122"/>
    <x v="0"/>
    <x v="10"/>
    <n v="15.287300663378099"/>
    <n v="5579.8647421330097"/>
    <n v="20087.513071678801"/>
  </r>
  <r>
    <x v="0"/>
    <x v="0"/>
    <x v="0"/>
    <x v="9"/>
    <x v="20"/>
    <s v="SE4A"/>
    <x v="7"/>
    <x v="122"/>
    <x v="0"/>
    <x v="11"/>
    <n v="15.287300663378099"/>
    <n v="5579.8647421330097"/>
    <n v="20087.513071678801"/>
  </r>
  <r>
    <x v="0"/>
    <x v="0"/>
    <x v="0"/>
    <x v="9"/>
    <x v="20"/>
    <s v="SE4A"/>
    <x v="7"/>
    <x v="122"/>
    <x v="0"/>
    <x v="12"/>
    <n v="15.287300663378099"/>
    <n v="5579.8647421330097"/>
    <n v="20087.513071678801"/>
  </r>
  <r>
    <x v="0"/>
    <x v="0"/>
    <x v="0"/>
    <x v="9"/>
    <x v="20"/>
    <s v="SE4A"/>
    <x v="7"/>
    <x v="122"/>
    <x v="0"/>
    <x v="13"/>
    <n v="15.287300663378099"/>
    <n v="5579.8647421330097"/>
    <n v="20087.513071678801"/>
  </r>
  <r>
    <x v="0"/>
    <x v="0"/>
    <x v="0"/>
    <x v="9"/>
    <x v="20"/>
    <s v="SE4A"/>
    <x v="7"/>
    <x v="122"/>
    <x v="0"/>
    <x v="14"/>
    <n v="15.287300663378099"/>
    <n v="5579.8647421330097"/>
    <n v="20087.513071678801"/>
  </r>
  <r>
    <x v="0"/>
    <x v="0"/>
    <x v="0"/>
    <x v="9"/>
    <x v="20"/>
    <s v="SE4A"/>
    <x v="7"/>
    <x v="122"/>
    <x v="0"/>
    <x v="15"/>
    <n v="15.287300663378099"/>
    <n v="5579.8647421330097"/>
    <n v="20087.513071678801"/>
  </r>
  <r>
    <x v="0"/>
    <x v="0"/>
    <x v="0"/>
    <x v="9"/>
    <x v="20"/>
    <s v="SE4A"/>
    <x v="7"/>
    <x v="122"/>
    <x v="0"/>
    <x v="16"/>
    <n v="15.287300663378099"/>
    <n v="5579.8647421330097"/>
    <n v="20087.513071678801"/>
  </r>
  <r>
    <x v="0"/>
    <x v="0"/>
    <x v="0"/>
    <x v="9"/>
    <x v="20"/>
    <s v="SE4A"/>
    <x v="7"/>
    <x v="122"/>
    <x v="0"/>
    <x v="17"/>
    <n v="15.287300663378099"/>
    <n v="5579.8647421330097"/>
    <n v="20087.513071678801"/>
  </r>
  <r>
    <x v="0"/>
    <x v="0"/>
    <x v="0"/>
    <x v="9"/>
    <x v="20"/>
    <s v="SE4A"/>
    <x v="7"/>
    <x v="122"/>
    <x v="0"/>
    <x v="18"/>
    <n v="15.287300663378099"/>
    <n v="5579.8647421330097"/>
    <n v="20087.513071678801"/>
  </r>
  <r>
    <x v="0"/>
    <x v="0"/>
    <x v="0"/>
    <x v="9"/>
    <x v="20"/>
    <s v="SE4A"/>
    <x v="7"/>
    <x v="122"/>
    <x v="0"/>
    <x v="19"/>
    <n v="15.287300663378099"/>
    <n v="5579.8647421330097"/>
    <n v="20087.513071678801"/>
  </r>
  <r>
    <x v="0"/>
    <x v="0"/>
    <x v="0"/>
    <x v="9"/>
    <x v="20"/>
    <s v="SE4A"/>
    <x v="7"/>
    <x v="123"/>
    <x v="0"/>
    <x v="0"/>
    <n v="15.287300663378099"/>
    <n v="5579.8647421330097"/>
    <n v="20087.513071678801"/>
  </r>
  <r>
    <x v="0"/>
    <x v="0"/>
    <x v="0"/>
    <x v="9"/>
    <x v="20"/>
    <s v="SE4A"/>
    <x v="7"/>
    <x v="123"/>
    <x v="0"/>
    <x v="1"/>
    <n v="15.287300663378099"/>
    <n v="5579.8647421330097"/>
    <n v="20087.513071678801"/>
  </r>
  <r>
    <x v="0"/>
    <x v="0"/>
    <x v="0"/>
    <x v="9"/>
    <x v="20"/>
    <s v="SE4A"/>
    <x v="7"/>
    <x v="123"/>
    <x v="0"/>
    <x v="2"/>
    <n v="15.287300663378099"/>
    <n v="5579.8647421330097"/>
    <n v="20087.513071678801"/>
  </r>
  <r>
    <x v="0"/>
    <x v="0"/>
    <x v="0"/>
    <x v="9"/>
    <x v="20"/>
    <s v="SE4A"/>
    <x v="7"/>
    <x v="123"/>
    <x v="0"/>
    <x v="9"/>
    <n v="15.287300663378099"/>
    <n v="5579.8647421330097"/>
    <n v="20087.513071678801"/>
  </r>
  <r>
    <x v="0"/>
    <x v="0"/>
    <x v="0"/>
    <x v="9"/>
    <x v="20"/>
    <s v="SE4A"/>
    <x v="7"/>
    <x v="123"/>
    <x v="0"/>
    <x v="10"/>
    <n v="15.287300663378099"/>
    <n v="5579.8647421330097"/>
    <n v="20087.513071678801"/>
  </r>
  <r>
    <x v="0"/>
    <x v="0"/>
    <x v="0"/>
    <x v="9"/>
    <x v="20"/>
    <s v="SE4A"/>
    <x v="7"/>
    <x v="123"/>
    <x v="0"/>
    <x v="11"/>
    <n v="15.287300663378099"/>
    <n v="5579.8647421330097"/>
    <n v="20087.513071678801"/>
  </r>
  <r>
    <x v="0"/>
    <x v="0"/>
    <x v="0"/>
    <x v="9"/>
    <x v="20"/>
    <s v="SE4A"/>
    <x v="7"/>
    <x v="123"/>
    <x v="0"/>
    <x v="12"/>
    <n v="15.287300663378099"/>
    <n v="5579.8647421330097"/>
    <n v="20087.513071678801"/>
  </r>
  <r>
    <x v="0"/>
    <x v="0"/>
    <x v="0"/>
    <x v="9"/>
    <x v="20"/>
    <s v="SE4A"/>
    <x v="7"/>
    <x v="123"/>
    <x v="0"/>
    <x v="13"/>
    <n v="15.287300663378099"/>
    <n v="5579.8647421330097"/>
    <n v="20087.513071678801"/>
  </r>
  <r>
    <x v="0"/>
    <x v="0"/>
    <x v="0"/>
    <x v="9"/>
    <x v="20"/>
    <s v="SE4A"/>
    <x v="7"/>
    <x v="123"/>
    <x v="0"/>
    <x v="14"/>
    <n v="15.287300663378099"/>
    <n v="5579.8647421330097"/>
    <n v="20087.513071678801"/>
  </r>
  <r>
    <x v="0"/>
    <x v="0"/>
    <x v="0"/>
    <x v="9"/>
    <x v="20"/>
    <s v="SE4A"/>
    <x v="7"/>
    <x v="123"/>
    <x v="0"/>
    <x v="15"/>
    <n v="15.287300663378099"/>
    <n v="5579.8647421330097"/>
    <n v="20087.513071678801"/>
  </r>
  <r>
    <x v="0"/>
    <x v="0"/>
    <x v="0"/>
    <x v="9"/>
    <x v="20"/>
    <s v="SE4A"/>
    <x v="7"/>
    <x v="123"/>
    <x v="0"/>
    <x v="16"/>
    <n v="15.287300663378099"/>
    <n v="5579.8647421330097"/>
    <n v="20087.513071678801"/>
  </r>
  <r>
    <x v="0"/>
    <x v="0"/>
    <x v="0"/>
    <x v="9"/>
    <x v="20"/>
    <s v="SE4A"/>
    <x v="7"/>
    <x v="123"/>
    <x v="0"/>
    <x v="17"/>
    <n v="15.287300663378099"/>
    <n v="5579.8647421330097"/>
    <n v="20087.513071678801"/>
  </r>
  <r>
    <x v="0"/>
    <x v="0"/>
    <x v="0"/>
    <x v="9"/>
    <x v="20"/>
    <s v="SE4A"/>
    <x v="7"/>
    <x v="123"/>
    <x v="0"/>
    <x v="18"/>
    <n v="15.287300663378099"/>
    <n v="5579.8647421330097"/>
    <n v="20087.513071678801"/>
  </r>
  <r>
    <x v="0"/>
    <x v="0"/>
    <x v="0"/>
    <x v="9"/>
    <x v="20"/>
    <s v="SE4A"/>
    <x v="7"/>
    <x v="123"/>
    <x v="0"/>
    <x v="19"/>
    <n v="15.287300663378099"/>
    <n v="5579.8647421330097"/>
    <n v="20087.513071678801"/>
  </r>
  <r>
    <x v="0"/>
    <x v="0"/>
    <x v="0"/>
    <x v="9"/>
    <x v="20"/>
    <s v="SE4A"/>
    <x v="7"/>
    <x v="124"/>
    <x v="0"/>
    <x v="0"/>
    <n v="15.287300663378099"/>
    <n v="5579.8647421330097"/>
    <n v="20087.513071678801"/>
  </r>
  <r>
    <x v="0"/>
    <x v="0"/>
    <x v="0"/>
    <x v="9"/>
    <x v="20"/>
    <s v="SE4A"/>
    <x v="7"/>
    <x v="124"/>
    <x v="0"/>
    <x v="1"/>
    <n v="15.287300663378099"/>
    <n v="5579.8647421330097"/>
    <n v="20087.513071678801"/>
  </r>
  <r>
    <x v="0"/>
    <x v="0"/>
    <x v="0"/>
    <x v="9"/>
    <x v="20"/>
    <s v="SE4A"/>
    <x v="7"/>
    <x v="124"/>
    <x v="0"/>
    <x v="2"/>
    <n v="15.287300663378099"/>
    <n v="5579.8647421330097"/>
    <n v="20087.513071678801"/>
  </r>
  <r>
    <x v="0"/>
    <x v="0"/>
    <x v="0"/>
    <x v="9"/>
    <x v="20"/>
    <s v="SE4A"/>
    <x v="7"/>
    <x v="124"/>
    <x v="0"/>
    <x v="9"/>
    <n v="15.287300663378099"/>
    <n v="5579.8647421330097"/>
    <n v="20087.513071678801"/>
  </r>
  <r>
    <x v="0"/>
    <x v="0"/>
    <x v="0"/>
    <x v="9"/>
    <x v="20"/>
    <s v="SE4A"/>
    <x v="7"/>
    <x v="124"/>
    <x v="0"/>
    <x v="10"/>
    <n v="15.287300663378099"/>
    <n v="5579.8647421330097"/>
    <n v="20087.513071678801"/>
  </r>
  <r>
    <x v="0"/>
    <x v="0"/>
    <x v="0"/>
    <x v="9"/>
    <x v="20"/>
    <s v="SE4A"/>
    <x v="7"/>
    <x v="124"/>
    <x v="0"/>
    <x v="11"/>
    <n v="15.287300663378099"/>
    <n v="5579.8647421330097"/>
    <n v="20087.513071678801"/>
  </r>
  <r>
    <x v="0"/>
    <x v="0"/>
    <x v="0"/>
    <x v="9"/>
    <x v="20"/>
    <s v="SE4A"/>
    <x v="7"/>
    <x v="124"/>
    <x v="0"/>
    <x v="12"/>
    <n v="15.287300663378099"/>
    <n v="5579.8647421330097"/>
    <n v="20087.513071678801"/>
  </r>
  <r>
    <x v="0"/>
    <x v="0"/>
    <x v="0"/>
    <x v="9"/>
    <x v="20"/>
    <s v="SE4A"/>
    <x v="7"/>
    <x v="124"/>
    <x v="0"/>
    <x v="13"/>
    <n v="15.287300663378099"/>
    <n v="5579.8647421330097"/>
    <n v="20087.513071678801"/>
  </r>
  <r>
    <x v="0"/>
    <x v="0"/>
    <x v="0"/>
    <x v="9"/>
    <x v="20"/>
    <s v="SE4A"/>
    <x v="7"/>
    <x v="124"/>
    <x v="0"/>
    <x v="14"/>
    <n v="15.287300663378099"/>
    <n v="5579.8647421330097"/>
    <n v="20087.513071678801"/>
  </r>
  <r>
    <x v="0"/>
    <x v="0"/>
    <x v="0"/>
    <x v="9"/>
    <x v="20"/>
    <s v="SE4A"/>
    <x v="7"/>
    <x v="124"/>
    <x v="0"/>
    <x v="15"/>
    <n v="15.287300663378099"/>
    <n v="5579.8647421330097"/>
    <n v="20087.513071678801"/>
  </r>
  <r>
    <x v="0"/>
    <x v="0"/>
    <x v="0"/>
    <x v="9"/>
    <x v="20"/>
    <s v="SE4A"/>
    <x v="7"/>
    <x v="124"/>
    <x v="0"/>
    <x v="16"/>
    <n v="15.287300663378099"/>
    <n v="5579.8647421330097"/>
    <n v="20087.513071678801"/>
  </r>
  <r>
    <x v="0"/>
    <x v="0"/>
    <x v="0"/>
    <x v="9"/>
    <x v="20"/>
    <s v="SE4A"/>
    <x v="7"/>
    <x v="124"/>
    <x v="0"/>
    <x v="17"/>
    <n v="15.287300663378099"/>
    <n v="5579.8647421330097"/>
    <n v="20087.513071678801"/>
  </r>
  <r>
    <x v="0"/>
    <x v="0"/>
    <x v="0"/>
    <x v="9"/>
    <x v="20"/>
    <s v="SE4A"/>
    <x v="7"/>
    <x v="124"/>
    <x v="0"/>
    <x v="18"/>
    <n v="15.287300663378099"/>
    <n v="5579.8647421330097"/>
    <n v="20087.513071678801"/>
  </r>
  <r>
    <x v="0"/>
    <x v="0"/>
    <x v="0"/>
    <x v="9"/>
    <x v="20"/>
    <s v="SE4A"/>
    <x v="7"/>
    <x v="124"/>
    <x v="0"/>
    <x v="19"/>
    <n v="15.287300663378099"/>
    <n v="5579.8647421330097"/>
    <n v="20087.513071678801"/>
  </r>
  <r>
    <x v="0"/>
    <x v="0"/>
    <x v="0"/>
    <x v="9"/>
    <x v="20"/>
    <s v="SE4A"/>
    <x v="7"/>
    <x v="125"/>
    <x v="0"/>
    <x v="0"/>
    <n v="15.287300663378099"/>
    <n v="5579.8647421330097"/>
    <n v="20087.513071678801"/>
  </r>
  <r>
    <x v="0"/>
    <x v="0"/>
    <x v="0"/>
    <x v="9"/>
    <x v="20"/>
    <s v="SE4A"/>
    <x v="7"/>
    <x v="125"/>
    <x v="0"/>
    <x v="1"/>
    <n v="15.287300663378099"/>
    <n v="5579.8647421330097"/>
    <n v="20087.513071678801"/>
  </r>
  <r>
    <x v="0"/>
    <x v="0"/>
    <x v="0"/>
    <x v="9"/>
    <x v="20"/>
    <s v="SE4A"/>
    <x v="7"/>
    <x v="125"/>
    <x v="0"/>
    <x v="2"/>
    <n v="15.287300663378099"/>
    <n v="5579.8647421330097"/>
    <n v="20087.513071678801"/>
  </r>
  <r>
    <x v="0"/>
    <x v="0"/>
    <x v="0"/>
    <x v="9"/>
    <x v="20"/>
    <s v="SE4A"/>
    <x v="7"/>
    <x v="125"/>
    <x v="0"/>
    <x v="9"/>
    <n v="15.287300663378099"/>
    <n v="5579.8647421330097"/>
    <n v="20087.513071678801"/>
  </r>
  <r>
    <x v="0"/>
    <x v="0"/>
    <x v="0"/>
    <x v="9"/>
    <x v="20"/>
    <s v="SE4A"/>
    <x v="7"/>
    <x v="125"/>
    <x v="0"/>
    <x v="10"/>
    <n v="15.287300663378099"/>
    <n v="5579.8647421330097"/>
    <n v="20087.513071678801"/>
  </r>
  <r>
    <x v="0"/>
    <x v="0"/>
    <x v="0"/>
    <x v="9"/>
    <x v="20"/>
    <s v="SE4A"/>
    <x v="7"/>
    <x v="125"/>
    <x v="0"/>
    <x v="11"/>
    <n v="15.287300663378099"/>
    <n v="5579.8647421330097"/>
    <n v="20087.513071678801"/>
  </r>
  <r>
    <x v="0"/>
    <x v="0"/>
    <x v="0"/>
    <x v="9"/>
    <x v="20"/>
    <s v="SE4A"/>
    <x v="7"/>
    <x v="125"/>
    <x v="0"/>
    <x v="12"/>
    <n v="0.90400755526434295"/>
    <n v="329.96275767148501"/>
    <n v="1187.8659276173501"/>
  </r>
  <r>
    <x v="0"/>
    <x v="0"/>
    <x v="0"/>
    <x v="9"/>
    <x v="20"/>
    <s v="SE4A"/>
    <x v="7"/>
    <x v="125"/>
    <x v="0"/>
    <x v="13"/>
    <n v="14.951540573765699"/>
    <n v="5457.3123094244702"/>
    <n v="19646.3243139281"/>
  </r>
  <r>
    <x v="0"/>
    <x v="0"/>
    <x v="0"/>
    <x v="9"/>
    <x v="20"/>
    <s v="SE4A"/>
    <x v="7"/>
    <x v="125"/>
    <x v="0"/>
    <x v="14"/>
    <n v="15.287300663378099"/>
    <n v="5579.8647421330097"/>
    <n v="20087.513071678801"/>
  </r>
  <r>
    <x v="0"/>
    <x v="0"/>
    <x v="0"/>
    <x v="9"/>
    <x v="20"/>
    <s v="SE4A"/>
    <x v="7"/>
    <x v="125"/>
    <x v="0"/>
    <x v="15"/>
    <n v="15.287300663378099"/>
    <n v="5579.8647421330097"/>
    <n v="20087.513071678801"/>
  </r>
  <r>
    <x v="0"/>
    <x v="0"/>
    <x v="0"/>
    <x v="9"/>
    <x v="20"/>
    <s v="SE4A"/>
    <x v="7"/>
    <x v="125"/>
    <x v="0"/>
    <x v="16"/>
    <n v="15.287300663378099"/>
    <n v="5579.8647421330097"/>
    <n v="20087.513071678801"/>
  </r>
  <r>
    <x v="0"/>
    <x v="0"/>
    <x v="0"/>
    <x v="9"/>
    <x v="20"/>
    <s v="SE4A"/>
    <x v="7"/>
    <x v="125"/>
    <x v="0"/>
    <x v="17"/>
    <n v="15.287300663378099"/>
    <n v="5579.8647421330097"/>
    <n v="20087.513071678801"/>
  </r>
  <r>
    <x v="0"/>
    <x v="0"/>
    <x v="0"/>
    <x v="9"/>
    <x v="20"/>
    <s v="SE4A"/>
    <x v="7"/>
    <x v="125"/>
    <x v="0"/>
    <x v="18"/>
    <n v="15.287300663378099"/>
    <n v="5579.8647421330097"/>
    <n v="20087.513071678801"/>
  </r>
  <r>
    <x v="0"/>
    <x v="0"/>
    <x v="0"/>
    <x v="9"/>
    <x v="20"/>
    <s v="SE4A"/>
    <x v="7"/>
    <x v="125"/>
    <x v="0"/>
    <x v="19"/>
    <n v="15.287300663378099"/>
    <n v="5579.8647421330097"/>
    <n v="20087.513071678801"/>
  </r>
  <r>
    <x v="0"/>
    <x v="0"/>
    <x v="0"/>
    <x v="9"/>
    <x v="20"/>
    <s v="SE4A"/>
    <x v="7"/>
    <x v="126"/>
    <x v="0"/>
    <x v="0"/>
    <n v="15.287300663378099"/>
    <n v="5579.8647421330097"/>
    <n v="20087.513071678801"/>
  </r>
  <r>
    <x v="0"/>
    <x v="0"/>
    <x v="0"/>
    <x v="9"/>
    <x v="20"/>
    <s v="SE4A"/>
    <x v="7"/>
    <x v="126"/>
    <x v="0"/>
    <x v="1"/>
    <n v="15.287300663378099"/>
    <n v="5579.8647421330097"/>
    <n v="20087.513071678801"/>
  </r>
  <r>
    <x v="0"/>
    <x v="0"/>
    <x v="0"/>
    <x v="9"/>
    <x v="20"/>
    <s v="SE4A"/>
    <x v="7"/>
    <x v="126"/>
    <x v="0"/>
    <x v="2"/>
    <n v="15.287300663378099"/>
    <n v="5579.8647421330097"/>
    <n v="20087.513071678801"/>
  </r>
  <r>
    <x v="0"/>
    <x v="0"/>
    <x v="0"/>
    <x v="9"/>
    <x v="20"/>
    <s v="SE4A"/>
    <x v="7"/>
    <x v="126"/>
    <x v="0"/>
    <x v="9"/>
    <n v="15.287300663378099"/>
    <n v="5579.8647421330097"/>
    <n v="20087.513071678801"/>
  </r>
  <r>
    <x v="0"/>
    <x v="0"/>
    <x v="0"/>
    <x v="9"/>
    <x v="20"/>
    <s v="SE4A"/>
    <x v="7"/>
    <x v="126"/>
    <x v="0"/>
    <x v="10"/>
    <n v="15.287300663378099"/>
    <n v="5579.8647421330097"/>
    <n v="20087.513071678801"/>
  </r>
  <r>
    <x v="0"/>
    <x v="0"/>
    <x v="0"/>
    <x v="9"/>
    <x v="20"/>
    <s v="SE4A"/>
    <x v="7"/>
    <x v="126"/>
    <x v="0"/>
    <x v="11"/>
    <n v="15.287300663378099"/>
    <n v="5579.8647421330097"/>
    <n v="20087.513071678801"/>
  </r>
  <r>
    <x v="0"/>
    <x v="0"/>
    <x v="0"/>
    <x v="9"/>
    <x v="20"/>
    <s v="SE4A"/>
    <x v="7"/>
    <x v="126"/>
    <x v="0"/>
    <x v="14"/>
    <n v="15.287300663378099"/>
    <n v="5579.8647421330097"/>
    <n v="20087.513071678801"/>
  </r>
  <r>
    <x v="0"/>
    <x v="0"/>
    <x v="0"/>
    <x v="9"/>
    <x v="20"/>
    <s v="SE4A"/>
    <x v="7"/>
    <x v="126"/>
    <x v="0"/>
    <x v="15"/>
    <n v="15.287300663378099"/>
    <n v="5579.8647421330097"/>
    <n v="20087.513071678801"/>
  </r>
  <r>
    <x v="0"/>
    <x v="0"/>
    <x v="0"/>
    <x v="9"/>
    <x v="20"/>
    <s v="SE4A"/>
    <x v="7"/>
    <x v="126"/>
    <x v="0"/>
    <x v="16"/>
    <n v="15.287300663378099"/>
    <n v="5579.8647421330097"/>
    <n v="20087.513071678801"/>
  </r>
  <r>
    <x v="0"/>
    <x v="0"/>
    <x v="0"/>
    <x v="9"/>
    <x v="20"/>
    <s v="SE4A"/>
    <x v="7"/>
    <x v="126"/>
    <x v="0"/>
    <x v="17"/>
    <n v="15.287300663378099"/>
    <n v="5579.8647421330097"/>
    <n v="20087.513071678801"/>
  </r>
  <r>
    <x v="0"/>
    <x v="0"/>
    <x v="0"/>
    <x v="9"/>
    <x v="20"/>
    <s v="SE4A"/>
    <x v="7"/>
    <x v="126"/>
    <x v="0"/>
    <x v="18"/>
    <n v="15.287300663378099"/>
    <n v="5579.8647421330097"/>
    <n v="20087.513071678801"/>
  </r>
  <r>
    <x v="0"/>
    <x v="0"/>
    <x v="0"/>
    <x v="9"/>
    <x v="20"/>
    <s v="SE4A"/>
    <x v="7"/>
    <x v="126"/>
    <x v="0"/>
    <x v="19"/>
    <n v="15.287300663378099"/>
    <n v="5579.8647421330097"/>
    <n v="20087.513071678801"/>
  </r>
  <r>
    <x v="0"/>
    <x v="0"/>
    <x v="0"/>
    <x v="9"/>
    <x v="20"/>
    <s v="SE4A"/>
    <x v="7"/>
    <x v="127"/>
    <x v="0"/>
    <x v="0"/>
    <n v="15.287300663378099"/>
    <n v="5579.8647421330097"/>
    <n v="20087.513071678801"/>
  </r>
  <r>
    <x v="0"/>
    <x v="0"/>
    <x v="0"/>
    <x v="9"/>
    <x v="20"/>
    <s v="SE4A"/>
    <x v="7"/>
    <x v="127"/>
    <x v="0"/>
    <x v="1"/>
    <n v="15.287300663378099"/>
    <n v="5579.8647421330097"/>
    <n v="20087.513071678801"/>
  </r>
  <r>
    <x v="0"/>
    <x v="0"/>
    <x v="0"/>
    <x v="9"/>
    <x v="20"/>
    <s v="SE4A"/>
    <x v="7"/>
    <x v="127"/>
    <x v="0"/>
    <x v="2"/>
    <n v="15.287300663378099"/>
    <n v="5579.8647421330097"/>
    <n v="20087.513071678801"/>
  </r>
  <r>
    <x v="0"/>
    <x v="0"/>
    <x v="0"/>
    <x v="9"/>
    <x v="20"/>
    <s v="SE4A"/>
    <x v="7"/>
    <x v="127"/>
    <x v="0"/>
    <x v="9"/>
    <n v="15.287300663378099"/>
    <n v="5579.8647421330097"/>
    <n v="20087.513071678801"/>
  </r>
  <r>
    <x v="0"/>
    <x v="0"/>
    <x v="0"/>
    <x v="9"/>
    <x v="20"/>
    <s v="SE4A"/>
    <x v="7"/>
    <x v="127"/>
    <x v="0"/>
    <x v="10"/>
    <n v="15.287300663378099"/>
    <n v="5579.8647421330097"/>
    <n v="20087.513071678801"/>
  </r>
  <r>
    <x v="0"/>
    <x v="0"/>
    <x v="0"/>
    <x v="9"/>
    <x v="20"/>
    <s v="SE4A"/>
    <x v="7"/>
    <x v="127"/>
    <x v="0"/>
    <x v="11"/>
    <n v="15.287300663378099"/>
    <n v="5579.8647421330097"/>
    <n v="20087.513071678801"/>
  </r>
  <r>
    <x v="0"/>
    <x v="0"/>
    <x v="0"/>
    <x v="9"/>
    <x v="20"/>
    <s v="SE4A"/>
    <x v="7"/>
    <x v="127"/>
    <x v="0"/>
    <x v="14"/>
    <n v="15.287300663378099"/>
    <n v="5579.8647421330097"/>
    <n v="20087.513071678801"/>
  </r>
  <r>
    <x v="0"/>
    <x v="0"/>
    <x v="0"/>
    <x v="9"/>
    <x v="20"/>
    <s v="SE4A"/>
    <x v="7"/>
    <x v="127"/>
    <x v="0"/>
    <x v="15"/>
    <n v="15.287300663378099"/>
    <n v="5579.8647421330097"/>
    <n v="20087.513071678801"/>
  </r>
  <r>
    <x v="0"/>
    <x v="0"/>
    <x v="0"/>
    <x v="9"/>
    <x v="20"/>
    <s v="SE4A"/>
    <x v="7"/>
    <x v="127"/>
    <x v="0"/>
    <x v="16"/>
    <n v="15.287300663378099"/>
    <n v="5579.8647421330097"/>
    <n v="20087.513071678801"/>
  </r>
  <r>
    <x v="0"/>
    <x v="0"/>
    <x v="0"/>
    <x v="9"/>
    <x v="20"/>
    <s v="SE4A"/>
    <x v="7"/>
    <x v="127"/>
    <x v="0"/>
    <x v="17"/>
    <n v="15.287300663378099"/>
    <n v="5579.8647421330097"/>
    <n v="20087.513071678801"/>
  </r>
  <r>
    <x v="0"/>
    <x v="0"/>
    <x v="0"/>
    <x v="9"/>
    <x v="20"/>
    <s v="SE4A"/>
    <x v="7"/>
    <x v="127"/>
    <x v="0"/>
    <x v="18"/>
    <n v="15.287300663378099"/>
    <n v="5579.8647421330097"/>
    <n v="20087.513071678801"/>
  </r>
  <r>
    <x v="0"/>
    <x v="0"/>
    <x v="0"/>
    <x v="9"/>
    <x v="20"/>
    <s v="SE4A"/>
    <x v="7"/>
    <x v="127"/>
    <x v="0"/>
    <x v="19"/>
    <n v="15.287300663378099"/>
    <n v="5579.8647421330097"/>
    <n v="20087.513071678801"/>
  </r>
  <r>
    <x v="0"/>
    <x v="0"/>
    <x v="0"/>
    <x v="9"/>
    <x v="20"/>
    <s v="SE4A"/>
    <x v="7"/>
    <x v="128"/>
    <x v="0"/>
    <x v="0"/>
    <n v="15.287300663378099"/>
    <n v="5579.8647421330097"/>
    <n v="20087.513071678801"/>
  </r>
  <r>
    <x v="0"/>
    <x v="0"/>
    <x v="0"/>
    <x v="9"/>
    <x v="20"/>
    <s v="SE4A"/>
    <x v="7"/>
    <x v="128"/>
    <x v="0"/>
    <x v="1"/>
    <n v="15.287300663378099"/>
    <n v="5579.8647421330097"/>
    <n v="20087.513071678801"/>
  </r>
  <r>
    <x v="0"/>
    <x v="0"/>
    <x v="0"/>
    <x v="9"/>
    <x v="20"/>
    <s v="SE4A"/>
    <x v="7"/>
    <x v="128"/>
    <x v="0"/>
    <x v="2"/>
    <n v="15.287300663378099"/>
    <n v="5579.8647421330097"/>
    <n v="20087.513071678801"/>
  </r>
  <r>
    <x v="0"/>
    <x v="0"/>
    <x v="0"/>
    <x v="9"/>
    <x v="20"/>
    <s v="SE4A"/>
    <x v="7"/>
    <x v="128"/>
    <x v="0"/>
    <x v="9"/>
    <n v="15.287300663378099"/>
    <n v="5579.8647421330097"/>
    <n v="20087.513071678801"/>
  </r>
  <r>
    <x v="0"/>
    <x v="0"/>
    <x v="0"/>
    <x v="9"/>
    <x v="20"/>
    <s v="SE4A"/>
    <x v="7"/>
    <x v="128"/>
    <x v="0"/>
    <x v="10"/>
    <n v="15.287300663378099"/>
    <n v="5579.8647421330097"/>
    <n v="20087.513071678801"/>
  </r>
  <r>
    <x v="0"/>
    <x v="0"/>
    <x v="0"/>
    <x v="9"/>
    <x v="20"/>
    <s v="SE4A"/>
    <x v="7"/>
    <x v="128"/>
    <x v="0"/>
    <x v="11"/>
    <n v="14.2673990388048"/>
    <n v="5207.6006491637499"/>
    <n v="18747.362336989499"/>
  </r>
  <r>
    <x v="0"/>
    <x v="0"/>
    <x v="0"/>
    <x v="9"/>
    <x v="20"/>
    <s v="SE4A"/>
    <x v="7"/>
    <x v="128"/>
    <x v="0"/>
    <x v="14"/>
    <n v="15.287300663378099"/>
    <n v="5579.8647421330097"/>
    <n v="20087.513071678801"/>
  </r>
  <r>
    <x v="0"/>
    <x v="0"/>
    <x v="0"/>
    <x v="9"/>
    <x v="20"/>
    <s v="SE4A"/>
    <x v="7"/>
    <x v="128"/>
    <x v="0"/>
    <x v="15"/>
    <n v="15.287300663378099"/>
    <n v="5579.8647421330097"/>
    <n v="20087.513071678801"/>
  </r>
  <r>
    <x v="0"/>
    <x v="0"/>
    <x v="0"/>
    <x v="9"/>
    <x v="20"/>
    <s v="SE4A"/>
    <x v="7"/>
    <x v="128"/>
    <x v="0"/>
    <x v="16"/>
    <n v="15.287300663378099"/>
    <n v="5579.8647421330097"/>
    <n v="20087.513071678801"/>
  </r>
  <r>
    <x v="0"/>
    <x v="0"/>
    <x v="0"/>
    <x v="9"/>
    <x v="20"/>
    <s v="SE4A"/>
    <x v="7"/>
    <x v="128"/>
    <x v="0"/>
    <x v="17"/>
    <n v="15.287300663378099"/>
    <n v="5579.8647421330097"/>
    <n v="20087.513071678801"/>
  </r>
  <r>
    <x v="0"/>
    <x v="0"/>
    <x v="0"/>
    <x v="9"/>
    <x v="20"/>
    <s v="SE4A"/>
    <x v="7"/>
    <x v="128"/>
    <x v="0"/>
    <x v="18"/>
    <n v="15.287300663378099"/>
    <n v="5579.8647421330097"/>
    <n v="20087.513071678801"/>
  </r>
  <r>
    <x v="0"/>
    <x v="0"/>
    <x v="0"/>
    <x v="9"/>
    <x v="20"/>
    <s v="SE4A"/>
    <x v="7"/>
    <x v="128"/>
    <x v="0"/>
    <x v="19"/>
    <n v="15.287300663378099"/>
    <n v="5579.8647421330097"/>
    <n v="20087.513071678801"/>
  </r>
  <r>
    <x v="0"/>
    <x v="0"/>
    <x v="0"/>
    <x v="9"/>
    <x v="20"/>
    <s v="SE4A"/>
    <x v="7"/>
    <x v="129"/>
    <x v="0"/>
    <x v="0"/>
    <n v="15.287300663378099"/>
    <n v="5579.8647421330097"/>
    <n v="20087.513071678801"/>
  </r>
  <r>
    <x v="0"/>
    <x v="0"/>
    <x v="0"/>
    <x v="9"/>
    <x v="20"/>
    <s v="SE4A"/>
    <x v="7"/>
    <x v="129"/>
    <x v="0"/>
    <x v="1"/>
    <n v="15.287300663378099"/>
    <n v="5579.8647421330097"/>
    <n v="20087.513071678801"/>
  </r>
  <r>
    <x v="0"/>
    <x v="0"/>
    <x v="0"/>
    <x v="9"/>
    <x v="20"/>
    <s v="SE4A"/>
    <x v="7"/>
    <x v="129"/>
    <x v="0"/>
    <x v="2"/>
    <n v="15.287300663378099"/>
    <n v="5579.8647421330097"/>
    <n v="20087.513071678801"/>
  </r>
  <r>
    <x v="0"/>
    <x v="0"/>
    <x v="0"/>
    <x v="9"/>
    <x v="20"/>
    <s v="SE4A"/>
    <x v="7"/>
    <x v="129"/>
    <x v="0"/>
    <x v="9"/>
    <n v="15.287300663378099"/>
    <n v="5579.8647421330097"/>
    <n v="20087.513071678801"/>
  </r>
  <r>
    <x v="0"/>
    <x v="0"/>
    <x v="0"/>
    <x v="9"/>
    <x v="20"/>
    <s v="SE4A"/>
    <x v="7"/>
    <x v="129"/>
    <x v="0"/>
    <x v="10"/>
    <n v="15.287300663378099"/>
    <n v="5579.8647421330097"/>
    <n v="20087.513071678801"/>
  </r>
  <r>
    <x v="0"/>
    <x v="0"/>
    <x v="0"/>
    <x v="9"/>
    <x v="20"/>
    <s v="SE4A"/>
    <x v="7"/>
    <x v="129"/>
    <x v="0"/>
    <x v="14"/>
    <n v="15.287300663378099"/>
    <n v="5579.8647421330097"/>
    <n v="20087.513071678801"/>
  </r>
  <r>
    <x v="0"/>
    <x v="0"/>
    <x v="0"/>
    <x v="9"/>
    <x v="20"/>
    <s v="SE4A"/>
    <x v="7"/>
    <x v="129"/>
    <x v="0"/>
    <x v="15"/>
    <n v="15.287300663378099"/>
    <n v="5579.8647421330097"/>
    <n v="20087.513071678801"/>
  </r>
  <r>
    <x v="0"/>
    <x v="0"/>
    <x v="0"/>
    <x v="9"/>
    <x v="20"/>
    <s v="SE4A"/>
    <x v="7"/>
    <x v="129"/>
    <x v="0"/>
    <x v="16"/>
    <n v="15.287300663378099"/>
    <n v="5579.8647421330097"/>
    <n v="20087.513071678801"/>
  </r>
  <r>
    <x v="0"/>
    <x v="0"/>
    <x v="0"/>
    <x v="9"/>
    <x v="20"/>
    <s v="SE4A"/>
    <x v="7"/>
    <x v="129"/>
    <x v="0"/>
    <x v="17"/>
    <n v="15.287300663378099"/>
    <n v="5579.8647421330097"/>
    <n v="20087.513071678801"/>
  </r>
  <r>
    <x v="0"/>
    <x v="0"/>
    <x v="0"/>
    <x v="9"/>
    <x v="20"/>
    <s v="SE4A"/>
    <x v="7"/>
    <x v="129"/>
    <x v="0"/>
    <x v="18"/>
    <n v="15.287300663378099"/>
    <n v="5579.8647421330097"/>
    <n v="20087.513071678801"/>
  </r>
  <r>
    <x v="0"/>
    <x v="0"/>
    <x v="0"/>
    <x v="9"/>
    <x v="20"/>
    <s v="SE4A"/>
    <x v="7"/>
    <x v="129"/>
    <x v="0"/>
    <x v="19"/>
    <n v="15.287300663378099"/>
    <n v="5579.8647421330097"/>
    <n v="20087.513071678801"/>
  </r>
  <r>
    <x v="0"/>
    <x v="0"/>
    <x v="0"/>
    <x v="9"/>
    <x v="20"/>
    <s v="SE4A"/>
    <x v="7"/>
    <x v="130"/>
    <x v="0"/>
    <x v="0"/>
    <n v="15.287300663378099"/>
    <n v="5579.8647421330097"/>
    <n v="20087.513071678801"/>
  </r>
  <r>
    <x v="0"/>
    <x v="0"/>
    <x v="0"/>
    <x v="9"/>
    <x v="20"/>
    <s v="SE4A"/>
    <x v="7"/>
    <x v="130"/>
    <x v="0"/>
    <x v="1"/>
    <n v="15.287300663378099"/>
    <n v="5579.8647421330097"/>
    <n v="20087.513071678801"/>
  </r>
  <r>
    <x v="0"/>
    <x v="0"/>
    <x v="0"/>
    <x v="9"/>
    <x v="20"/>
    <s v="SE4A"/>
    <x v="7"/>
    <x v="130"/>
    <x v="0"/>
    <x v="2"/>
    <n v="15.287300663378099"/>
    <n v="5579.8647421330097"/>
    <n v="20087.513071678801"/>
  </r>
  <r>
    <x v="0"/>
    <x v="0"/>
    <x v="0"/>
    <x v="9"/>
    <x v="20"/>
    <s v="SE4A"/>
    <x v="7"/>
    <x v="130"/>
    <x v="0"/>
    <x v="9"/>
    <n v="15.287300663378099"/>
    <n v="5579.8647421330097"/>
    <n v="20087.513071678801"/>
  </r>
  <r>
    <x v="0"/>
    <x v="0"/>
    <x v="0"/>
    <x v="9"/>
    <x v="20"/>
    <s v="SE4A"/>
    <x v="7"/>
    <x v="130"/>
    <x v="0"/>
    <x v="10"/>
    <n v="15.287300663378099"/>
    <n v="5579.8647421330097"/>
    <n v="20087.513071678801"/>
  </r>
  <r>
    <x v="0"/>
    <x v="0"/>
    <x v="0"/>
    <x v="9"/>
    <x v="20"/>
    <s v="SE4A"/>
    <x v="7"/>
    <x v="130"/>
    <x v="0"/>
    <x v="14"/>
    <n v="15.287300663378099"/>
    <n v="5579.8647421330097"/>
    <n v="20087.513071678801"/>
  </r>
  <r>
    <x v="0"/>
    <x v="0"/>
    <x v="0"/>
    <x v="9"/>
    <x v="20"/>
    <s v="SE4A"/>
    <x v="7"/>
    <x v="130"/>
    <x v="0"/>
    <x v="15"/>
    <n v="15.287300663378099"/>
    <n v="5579.8647421330097"/>
    <n v="20087.513071678801"/>
  </r>
  <r>
    <x v="0"/>
    <x v="0"/>
    <x v="0"/>
    <x v="9"/>
    <x v="20"/>
    <s v="SE4A"/>
    <x v="7"/>
    <x v="130"/>
    <x v="0"/>
    <x v="16"/>
    <n v="15.287300663378099"/>
    <n v="5579.8647421330097"/>
    <n v="20087.513071678801"/>
  </r>
  <r>
    <x v="0"/>
    <x v="0"/>
    <x v="0"/>
    <x v="9"/>
    <x v="20"/>
    <s v="SE4A"/>
    <x v="7"/>
    <x v="130"/>
    <x v="0"/>
    <x v="17"/>
    <n v="15.287300663378099"/>
    <n v="5579.8647421330097"/>
    <n v="20087.513071678801"/>
  </r>
  <r>
    <x v="0"/>
    <x v="0"/>
    <x v="0"/>
    <x v="9"/>
    <x v="20"/>
    <s v="SE4A"/>
    <x v="7"/>
    <x v="130"/>
    <x v="0"/>
    <x v="18"/>
    <n v="15.287300663378099"/>
    <n v="5579.8647421330097"/>
    <n v="20087.513071678801"/>
  </r>
  <r>
    <x v="0"/>
    <x v="0"/>
    <x v="0"/>
    <x v="9"/>
    <x v="20"/>
    <s v="SE4A"/>
    <x v="7"/>
    <x v="130"/>
    <x v="0"/>
    <x v="19"/>
    <n v="4.8493707881159596"/>
    <n v="1770.0203376623199"/>
    <n v="6372.0732155843698"/>
  </r>
  <r>
    <x v="0"/>
    <x v="0"/>
    <x v="0"/>
    <x v="9"/>
    <x v="20"/>
    <s v="SE4A"/>
    <x v="7"/>
    <x v="251"/>
    <x v="0"/>
    <x v="0"/>
    <n v="15.287300663378099"/>
    <n v="5579.8647421330097"/>
    <n v="20087.513071678801"/>
  </r>
  <r>
    <x v="0"/>
    <x v="0"/>
    <x v="0"/>
    <x v="9"/>
    <x v="20"/>
    <s v="SE4A"/>
    <x v="7"/>
    <x v="251"/>
    <x v="0"/>
    <x v="1"/>
    <n v="15.287300663378099"/>
    <n v="5579.8647421330097"/>
    <n v="20087.513071678801"/>
  </r>
  <r>
    <x v="0"/>
    <x v="0"/>
    <x v="0"/>
    <x v="9"/>
    <x v="20"/>
    <s v="SE4A"/>
    <x v="7"/>
    <x v="251"/>
    <x v="0"/>
    <x v="2"/>
    <n v="15.287300663378099"/>
    <n v="5579.8647421330097"/>
    <n v="20087.513071678801"/>
  </r>
  <r>
    <x v="0"/>
    <x v="0"/>
    <x v="0"/>
    <x v="9"/>
    <x v="20"/>
    <s v="SE4A"/>
    <x v="7"/>
    <x v="251"/>
    <x v="0"/>
    <x v="9"/>
    <n v="15.287300663378099"/>
    <n v="5579.8647421330097"/>
    <n v="20087.513071678801"/>
  </r>
  <r>
    <x v="0"/>
    <x v="0"/>
    <x v="0"/>
    <x v="9"/>
    <x v="20"/>
    <s v="SE4A"/>
    <x v="7"/>
    <x v="251"/>
    <x v="0"/>
    <x v="10"/>
    <n v="15.287300663378099"/>
    <n v="5579.8647421330097"/>
    <n v="20087.513071678801"/>
  </r>
  <r>
    <x v="0"/>
    <x v="0"/>
    <x v="0"/>
    <x v="9"/>
    <x v="20"/>
    <s v="SE4A"/>
    <x v="7"/>
    <x v="251"/>
    <x v="0"/>
    <x v="14"/>
    <n v="15.287300663378099"/>
    <n v="5579.8647421330097"/>
    <n v="20087.513071678801"/>
  </r>
  <r>
    <x v="0"/>
    <x v="0"/>
    <x v="0"/>
    <x v="9"/>
    <x v="20"/>
    <s v="SE4A"/>
    <x v="7"/>
    <x v="251"/>
    <x v="0"/>
    <x v="15"/>
    <n v="15.287300663378099"/>
    <n v="5579.8647421330097"/>
    <n v="20087.513071678801"/>
  </r>
  <r>
    <x v="0"/>
    <x v="0"/>
    <x v="0"/>
    <x v="9"/>
    <x v="20"/>
    <s v="SE4A"/>
    <x v="7"/>
    <x v="251"/>
    <x v="0"/>
    <x v="16"/>
    <n v="15.287300663378099"/>
    <n v="5579.8647421330097"/>
    <n v="20087.513071678801"/>
  </r>
  <r>
    <x v="0"/>
    <x v="0"/>
    <x v="0"/>
    <x v="9"/>
    <x v="20"/>
    <s v="SE4A"/>
    <x v="7"/>
    <x v="251"/>
    <x v="0"/>
    <x v="17"/>
    <n v="15.287300663378099"/>
    <n v="5579.8647421330097"/>
    <n v="20087.513071678801"/>
  </r>
  <r>
    <x v="0"/>
    <x v="0"/>
    <x v="0"/>
    <x v="9"/>
    <x v="20"/>
    <s v="SE4A"/>
    <x v="7"/>
    <x v="251"/>
    <x v="0"/>
    <x v="18"/>
    <n v="15.287300663378099"/>
    <n v="5579.8647421330097"/>
    <n v="20087.513071678801"/>
  </r>
  <r>
    <x v="0"/>
    <x v="0"/>
    <x v="0"/>
    <x v="9"/>
    <x v="20"/>
    <s v="SE4A"/>
    <x v="7"/>
    <x v="46"/>
    <x v="0"/>
    <x v="3"/>
    <n v="102.50081849851099"/>
    <n v="37412.798751956601"/>
    <n v="134686.07550704401"/>
  </r>
  <r>
    <x v="0"/>
    <x v="0"/>
    <x v="0"/>
    <x v="9"/>
    <x v="20"/>
    <s v="SE4A"/>
    <x v="7"/>
    <x v="46"/>
    <x v="0"/>
    <x v="4"/>
    <n v="102.50081849851099"/>
    <n v="37412.798751956601"/>
    <n v="134686.07550704401"/>
  </r>
  <r>
    <x v="0"/>
    <x v="0"/>
    <x v="0"/>
    <x v="9"/>
    <x v="20"/>
    <s v="SE4A"/>
    <x v="7"/>
    <x v="46"/>
    <x v="0"/>
    <x v="5"/>
    <n v="102.50081849851099"/>
    <n v="37412.798751956601"/>
    <n v="134686.07550704401"/>
  </r>
  <r>
    <x v="0"/>
    <x v="0"/>
    <x v="0"/>
    <x v="9"/>
    <x v="20"/>
    <s v="SE4A"/>
    <x v="7"/>
    <x v="46"/>
    <x v="0"/>
    <x v="6"/>
    <n v="102.50081849851099"/>
    <n v="37412.798751956601"/>
    <n v="134686.07550704401"/>
  </r>
  <r>
    <x v="0"/>
    <x v="0"/>
    <x v="0"/>
    <x v="9"/>
    <x v="20"/>
    <s v="SE4A"/>
    <x v="7"/>
    <x v="46"/>
    <x v="0"/>
    <x v="7"/>
    <n v="102.50081849851099"/>
    <n v="37412.798751956601"/>
    <n v="134686.07550704401"/>
  </r>
  <r>
    <x v="0"/>
    <x v="0"/>
    <x v="0"/>
    <x v="9"/>
    <x v="20"/>
    <s v="SE4A"/>
    <x v="7"/>
    <x v="46"/>
    <x v="0"/>
    <x v="8"/>
    <n v="102.50081849851099"/>
    <n v="37412.798751956601"/>
    <n v="134686.07550704401"/>
  </r>
  <r>
    <x v="0"/>
    <x v="0"/>
    <x v="0"/>
    <x v="9"/>
    <x v="20"/>
    <s v="SE4A"/>
    <x v="7"/>
    <x v="46"/>
    <x v="0"/>
    <x v="0"/>
    <n v="102.50081849851099"/>
    <n v="37412.798751956601"/>
    <n v="134686.07550704401"/>
  </r>
  <r>
    <x v="0"/>
    <x v="0"/>
    <x v="0"/>
    <x v="9"/>
    <x v="20"/>
    <s v="SE4A"/>
    <x v="7"/>
    <x v="46"/>
    <x v="0"/>
    <x v="1"/>
    <n v="102.50081849851099"/>
    <n v="37412.798751956601"/>
    <n v="134686.07550704401"/>
  </r>
  <r>
    <x v="0"/>
    <x v="0"/>
    <x v="0"/>
    <x v="9"/>
    <x v="20"/>
    <s v="SE4A"/>
    <x v="7"/>
    <x v="46"/>
    <x v="0"/>
    <x v="2"/>
    <n v="102.50081849851099"/>
    <n v="37412.798751956601"/>
    <n v="134686.07550704401"/>
  </r>
  <r>
    <x v="0"/>
    <x v="0"/>
    <x v="0"/>
    <x v="9"/>
    <x v="20"/>
    <s v="SE4A"/>
    <x v="7"/>
    <x v="46"/>
    <x v="0"/>
    <x v="9"/>
    <n v="102.50081849851099"/>
    <n v="37412.798751956601"/>
    <n v="134686.07550704401"/>
  </r>
  <r>
    <x v="0"/>
    <x v="0"/>
    <x v="0"/>
    <x v="9"/>
    <x v="20"/>
    <s v="SE4A"/>
    <x v="7"/>
    <x v="46"/>
    <x v="0"/>
    <x v="10"/>
    <n v="102.50081849851099"/>
    <n v="37412.798751956601"/>
    <n v="134686.07550704401"/>
  </r>
  <r>
    <x v="0"/>
    <x v="0"/>
    <x v="0"/>
    <x v="9"/>
    <x v="20"/>
    <s v="SE4A"/>
    <x v="7"/>
    <x v="46"/>
    <x v="0"/>
    <x v="11"/>
    <n v="102.50081849851099"/>
    <n v="37412.798751956601"/>
    <n v="134686.07550704401"/>
  </r>
  <r>
    <x v="0"/>
    <x v="0"/>
    <x v="0"/>
    <x v="9"/>
    <x v="20"/>
    <s v="SE4A"/>
    <x v="7"/>
    <x v="46"/>
    <x v="0"/>
    <x v="12"/>
    <n v="102.50081849851099"/>
    <n v="37412.798751956601"/>
    <n v="134686.07550704401"/>
  </r>
  <r>
    <x v="0"/>
    <x v="0"/>
    <x v="0"/>
    <x v="9"/>
    <x v="20"/>
    <s v="SE4A"/>
    <x v="7"/>
    <x v="46"/>
    <x v="0"/>
    <x v="13"/>
    <n v="102.50081849851099"/>
    <n v="37412.798751956601"/>
    <n v="134686.07550704401"/>
  </r>
  <r>
    <x v="0"/>
    <x v="0"/>
    <x v="0"/>
    <x v="9"/>
    <x v="20"/>
    <s v="SE4A"/>
    <x v="7"/>
    <x v="46"/>
    <x v="0"/>
    <x v="14"/>
    <n v="102.50081849851099"/>
    <n v="37412.798751956601"/>
    <n v="134686.07550704401"/>
  </r>
  <r>
    <x v="0"/>
    <x v="0"/>
    <x v="0"/>
    <x v="9"/>
    <x v="20"/>
    <s v="SE4A"/>
    <x v="7"/>
    <x v="46"/>
    <x v="0"/>
    <x v="15"/>
    <n v="102.50081849851099"/>
    <n v="37412.798751956601"/>
    <n v="134686.07550704401"/>
  </r>
  <r>
    <x v="0"/>
    <x v="0"/>
    <x v="0"/>
    <x v="9"/>
    <x v="20"/>
    <s v="SE4A"/>
    <x v="7"/>
    <x v="46"/>
    <x v="0"/>
    <x v="16"/>
    <n v="102.50081849851099"/>
    <n v="37412.798751956601"/>
    <n v="134686.07550704401"/>
  </r>
  <r>
    <x v="0"/>
    <x v="0"/>
    <x v="0"/>
    <x v="9"/>
    <x v="20"/>
    <s v="SE4A"/>
    <x v="7"/>
    <x v="46"/>
    <x v="0"/>
    <x v="17"/>
    <n v="102.50081849851099"/>
    <n v="37412.798751956601"/>
    <n v="134686.07550704401"/>
  </r>
  <r>
    <x v="0"/>
    <x v="0"/>
    <x v="0"/>
    <x v="9"/>
    <x v="20"/>
    <s v="SE4A"/>
    <x v="7"/>
    <x v="46"/>
    <x v="0"/>
    <x v="18"/>
    <n v="102.50081849851099"/>
    <n v="37412.798751956601"/>
    <n v="134686.07550704401"/>
  </r>
  <r>
    <x v="0"/>
    <x v="0"/>
    <x v="0"/>
    <x v="9"/>
    <x v="20"/>
    <s v="SE4A"/>
    <x v="7"/>
    <x v="46"/>
    <x v="0"/>
    <x v="19"/>
    <n v="102.50081849851099"/>
    <n v="37412.798751956601"/>
    <n v="134686.07550704401"/>
  </r>
  <r>
    <x v="0"/>
    <x v="0"/>
    <x v="0"/>
    <x v="9"/>
    <x v="20"/>
    <s v="SE4A"/>
    <x v="7"/>
    <x v="46"/>
    <x v="0"/>
    <x v="20"/>
    <n v="102.50081849851099"/>
    <n v="37412.798751956601"/>
    <n v="134686.07550704401"/>
  </r>
  <r>
    <x v="0"/>
    <x v="0"/>
    <x v="0"/>
    <x v="9"/>
    <x v="20"/>
    <s v="SE4A"/>
    <x v="7"/>
    <x v="46"/>
    <x v="0"/>
    <x v="21"/>
    <n v="102.50081849851099"/>
    <n v="37412.798751956601"/>
    <n v="134686.07550704401"/>
  </r>
  <r>
    <x v="0"/>
    <x v="0"/>
    <x v="0"/>
    <x v="9"/>
    <x v="20"/>
    <s v="SE4A"/>
    <x v="7"/>
    <x v="46"/>
    <x v="0"/>
    <x v="22"/>
    <n v="102.50081849851099"/>
    <n v="37412.798751956601"/>
    <n v="134686.07550704401"/>
  </r>
  <r>
    <x v="0"/>
    <x v="0"/>
    <x v="0"/>
    <x v="9"/>
    <x v="20"/>
    <s v="SE4A"/>
    <x v="7"/>
    <x v="46"/>
    <x v="0"/>
    <x v="23"/>
    <n v="102.50081849851099"/>
    <n v="37412.798751956601"/>
    <n v="134686.07550704401"/>
  </r>
  <r>
    <x v="0"/>
    <x v="0"/>
    <x v="0"/>
    <x v="9"/>
    <x v="20"/>
    <s v="SE4A"/>
    <x v="8"/>
    <x v="47"/>
    <x v="0"/>
    <x v="3"/>
    <n v="210.00501244287699"/>
    <n v="76651.829541650193"/>
    <n v="275946.58634994098"/>
  </r>
  <r>
    <x v="0"/>
    <x v="0"/>
    <x v="0"/>
    <x v="9"/>
    <x v="20"/>
    <s v="SE4A"/>
    <x v="8"/>
    <x v="47"/>
    <x v="0"/>
    <x v="4"/>
    <n v="199.311168280972"/>
    <n v="72748.576422554805"/>
    <n v="261894.87512119699"/>
  </r>
  <r>
    <x v="0"/>
    <x v="0"/>
    <x v="0"/>
    <x v="9"/>
    <x v="20"/>
    <s v="SE4A"/>
    <x v="8"/>
    <x v="47"/>
    <x v="0"/>
    <x v="5"/>
    <n v="189.13801045626099"/>
    <n v="69035.373816535197"/>
    <n v="248527.34573952699"/>
  </r>
  <r>
    <x v="0"/>
    <x v="0"/>
    <x v="0"/>
    <x v="9"/>
    <x v="20"/>
    <s v="SE4A"/>
    <x v="8"/>
    <x v="47"/>
    <x v="0"/>
    <x v="6"/>
    <n v="179.12441692860301"/>
    <n v="65380.412178940198"/>
    <n v="235369.48384418499"/>
  </r>
  <r>
    <x v="0"/>
    <x v="0"/>
    <x v="0"/>
    <x v="9"/>
    <x v="20"/>
    <s v="SE4A"/>
    <x v="8"/>
    <x v="47"/>
    <x v="0"/>
    <x v="7"/>
    <n v="147.713738355864"/>
    <n v="53915.514499890203"/>
    <n v="194095.852199605"/>
  </r>
  <r>
    <x v="0"/>
    <x v="0"/>
    <x v="0"/>
    <x v="9"/>
    <x v="20"/>
    <s v="SE4A"/>
    <x v="8"/>
    <x v="47"/>
    <x v="0"/>
    <x v="8"/>
    <n v="136.203412954111"/>
    <n v="49714.245728250498"/>
    <n v="178971.28462170201"/>
  </r>
  <r>
    <x v="0"/>
    <x v="0"/>
    <x v="0"/>
    <x v="9"/>
    <x v="20"/>
    <s v="SE4A"/>
    <x v="8"/>
    <x v="47"/>
    <x v="0"/>
    <x v="0"/>
    <n v="112.8691610396"/>
    <n v="41197.2437794539"/>
    <n v="148310.077606034"/>
  </r>
  <r>
    <x v="0"/>
    <x v="0"/>
    <x v="0"/>
    <x v="9"/>
    <x v="20"/>
    <s v="SE4A"/>
    <x v="8"/>
    <x v="47"/>
    <x v="0"/>
    <x v="1"/>
    <n v="80.358898968112399"/>
    <n v="29330.998123361001"/>
    <n v="105591.5932441"/>
  </r>
  <r>
    <x v="0"/>
    <x v="0"/>
    <x v="0"/>
    <x v="9"/>
    <x v="20"/>
    <s v="SE4A"/>
    <x v="8"/>
    <x v="47"/>
    <x v="0"/>
    <x v="2"/>
    <n v="64.708133936406199"/>
    <n v="23618.468886788301"/>
    <n v="85026.487992437804"/>
  </r>
  <r>
    <x v="0"/>
    <x v="0"/>
    <x v="0"/>
    <x v="9"/>
    <x v="20"/>
    <s v="SE4A"/>
    <x v="8"/>
    <x v="47"/>
    <x v="0"/>
    <x v="9"/>
    <n v="68.032344276904695"/>
    <n v="24831.805661070201"/>
    <n v="89394.500379852805"/>
  </r>
  <r>
    <x v="0"/>
    <x v="0"/>
    <x v="0"/>
    <x v="9"/>
    <x v="20"/>
    <s v="SE4A"/>
    <x v="8"/>
    <x v="47"/>
    <x v="0"/>
    <x v="10"/>
    <n v="63.623292106542898"/>
    <n v="23222.501618888102"/>
    <n v="83601.005827997302"/>
  </r>
  <r>
    <x v="0"/>
    <x v="0"/>
    <x v="0"/>
    <x v="9"/>
    <x v="20"/>
    <s v="SE4A"/>
    <x v="8"/>
    <x v="47"/>
    <x v="0"/>
    <x v="11"/>
    <n v="66.379611404164706"/>
    <n v="24228.558162520101"/>
    <n v="87222.809385072396"/>
  </r>
  <r>
    <x v="0"/>
    <x v="0"/>
    <x v="0"/>
    <x v="9"/>
    <x v="20"/>
    <s v="SE4A"/>
    <x v="8"/>
    <x v="47"/>
    <x v="0"/>
    <x v="12"/>
    <n v="74.687189692910806"/>
    <n v="27260.824237912399"/>
    <n v="98138.967256484801"/>
  </r>
  <r>
    <x v="0"/>
    <x v="0"/>
    <x v="0"/>
    <x v="9"/>
    <x v="20"/>
    <s v="SE4A"/>
    <x v="8"/>
    <x v="47"/>
    <x v="0"/>
    <x v="13"/>
    <n v="87.505343305589193"/>
    <n v="31939.450306539999"/>
    <n v="114982.021103544"/>
  </r>
  <r>
    <x v="0"/>
    <x v="0"/>
    <x v="0"/>
    <x v="9"/>
    <x v="20"/>
    <s v="SE4A"/>
    <x v="8"/>
    <x v="47"/>
    <x v="0"/>
    <x v="14"/>
    <n v="135.468231992451"/>
    <n v="49445.904677244704"/>
    <n v="178005.256838081"/>
  </r>
  <r>
    <x v="0"/>
    <x v="0"/>
    <x v="0"/>
    <x v="9"/>
    <x v="20"/>
    <s v="SE4A"/>
    <x v="8"/>
    <x v="47"/>
    <x v="0"/>
    <x v="15"/>
    <n v="209.91291686164701"/>
    <n v="76618.214654501193"/>
    <n v="275825.572756204"/>
  </r>
  <r>
    <x v="0"/>
    <x v="0"/>
    <x v="0"/>
    <x v="9"/>
    <x v="20"/>
    <s v="SE4A"/>
    <x v="8"/>
    <x v="47"/>
    <x v="0"/>
    <x v="16"/>
    <n v="322.23606026591602"/>
    <n v="117616.161997059"/>
    <n v="423418.18318941299"/>
  </r>
  <r>
    <x v="0"/>
    <x v="0"/>
    <x v="0"/>
    <x v="9"/>
    <x v="20"/>
    <s v="SE4A"/>
    <x v="8"/>
    <x v="47"/>
    <x v="0"/>
    <x v="17"/>
    <n v="519.72459112731201"/>
    <n v="189699.47576146899"/>
    <n v="682918.11274128803"/>
  </r>
  <r>
    <x v="0"/>
    <x v="0"/>
    <x v="0"/>
    <x v="9"/>
    <x v="20"/>
    <s v="SE4A"/>
    <x v="8"/>
    <x v="47"/>
    <x v="0"/>
    <x v="18"/>
    <n v="759.10603981563395"/>
    <n v="277073.704532706"/>
    <n v="997465.33631774294"/>
  </r>
  <r>
    <x v="0"/>
    <x v="0"/>
    <x v="0"/>
    <x v="9"/>
    <x v="20"/>
    <s v="SE4A"/>
    <x v="8"/>
    <x v="47"/>
    <x v="0"/>
    <x v="19"/>
    <n v="845.481321337748"/>
    <n v="308600.68228827801"/>
    <n v="1110962.4562378"/>
  </r>
  <r>
    <x v="0"/>
    <x v="0"/>
    <x v="0"/>
    <x v="9"/>
    <x v="20"/>
    <s v="SE4A"/>
    <x v="8"/>
    <x v="47"/>
    <x v="0"/>
    <x v="20"/>
    <n v="785.97916637598598"/>
    <n v="286882.39572723501"/>
    <n v="1032776.6246180499"/>
  </r>
  <r>
    <x v="0"/>
    <x v="0"/>
    <x v="0"/>
    <x v="9"/>
    <x v="20"/>
    <s v="SE4A"/>
    <x v="8"/>
    <x v="47"/>
    <x v="0"/>
    <x v="21"/>
    <n v="745.56027660768302"/>
    <n v="272129.50096180401"/>
    <n v="979666.203462495"/>
  </r>
  <r>
    <x v="0"/>
    <x v="0"/>
    <x v="0"/>
    <x v="9"/>
    <x v="20"/>
    <s v="SE4A"/>
    <x v="8"/>
    <x v="47"/>
    <x v="0"/>
    <x v="22"/>
    <n v="866.13156628821105"/>
    <n v="316138.02169519698"/>
    <n v="1138096.87810271"/>
  </r>
  <r>
    <x v="0"/>
    <x v="0"/>
    <x v="0"/>
    <x v="9"/>
    <x v="20"/>
    <s v="SE4A"/>
    <x v="8"/>
    <x v="47"/>
    <x v="0"/>
    <x v="23"/>
    <n v="1053.33461572644"/>
    <n v="384467.13474015001"/>
    <n v="1384081.68506454"/>
  </r>
  <r>
    <x v="0"/>
    <x v="0"/>
    <x v="0"/>
    <x v="9"/>
    <x v="20"/>
    <s v="SE4A"/>
    <x v="13"/>
    <x v="131"/>
    <x v="0"/>
    <x v="3"/>
    <n v="952.03268641470902"/>
    <n v="347491.93054136902"/>
    <n v="1250970.9499489299"/>
  </r>
  <r>
    <x v="0"/>
    <x v="0"/>
    <x v="0"/>
    <x v="9"/>
    <x v="20"/>
    <s v="SE4A"/>
    <x v="13"/>
    <x v="131"/>
    <x v="0"/>
    <x v="4"/>
    <n v="952.03268641470902"/>
    <n v="347491.93054136902"/>
    <n v="1250970.9499489299"/>
  </r>
  <r>
    <x v="0"/>
    <x v="0"/>
    <x v="0"/>
    <x v="9"/>
    <x v="20"/>
    <s v="SE4A"/>
    <x v="13"/>
    <x v="131"/>
    <x v="0"/>
    <x v="5"/>
    <n v="952.03268641470902"/>
    <n v="347491.93054136902"/>
    <n v="1250970.9499489299"/>
  </r>
  <r>
    <x v="0"/>
    <x v="0"/>
    <x v="0"/>
    <x v="9"/>
    <x v="20"/>
    <s v="SE4A"/>
    <x v="13"/>
    <x v="131"/>
    <x v="0"/>
    <x v="6"/>
    <n v="952.03268641470902"/>
    <n v="347491.93054136902"/>
    <n v="1250970.9499489299"/>
  </r>
  <r>
    <x v="0"/>
    <x v="0"/>
    <x v="0"/>
    <x v="9"/>
    <x v="20"/>
    <s v="SE4A"/>
    <x v="13"/>
    <x v="131"/>
    <x v="0"/>
    <x v="7"/>
    <n v="952.03268641470902"/>
    <n v="347491.93054136902"/>
    <n v="1250970.9499489299"/>
  </r>
  <r>
    <x v="0"/>
    <x v="0"/>
    <x v="0"/>
    <x v="9"/>
    <x v="20"/>
    <s v="SE4A"/>
    <x v="13"/>
    <x v="131"/>
    <x v="0"/>
    <x v="8"/>
    <n v="952.03268641470902"/>
    <n v="347491.93054136902"/>
    <n v="1250970.9499489299"/>
  </r>
  <r>
    <x v="0"/>
    <x v="0"/>
    <x v="0"/>
    <x v="9"/>
    <x v="20"/>
    <s v="SE4A"/>
    <x v="13"/>
    <x v="131"/>
    <x v="0"/>
    <x v="0"/>
    <n v="952.03268641470902"/>
    <n v="347491.93054136902"/>
    <n v="1250970.9499489299"/>
  </r>
  <r>
    <x v="0"/>
    <x v="0"/>
    <x v="0"/>
    <x v="9"/>
    <x v="20"/>
    <s v="SE4A"/>
    <x v="13"/>
    <x v="131"/>
    <x v="0"/>
    <x v="1"/>
    <n v="952.03268641470902"/>
    <n v="347491.93054136902"/>
    <n v="1250970.9499489299"/>
  </r>
  <r>
    <x v="0"/>
    <x v="0"/>
    <x v="0"/>
    <x v="9"/>
    <x v="20"/>
    <s v="SE4A"/>
    <x v="13"/>
    <x v="131"/>
    <x v="0"/>
    <x v="2"/>
    <n v="952.03268641470902"/>
    <n v="347491.93054136902"/>
    <n v="1250970.9499489299"/>
  </r>
  <r>
    <x v="0"/>
    <x v="0"/>
    <x v="0"/>
    <x v="9"/>
    <x v="20"/>
    <s v="SE4A"/>
    <x v="13"/>
    <x v="131"/>
    <x v="0"/>
    <x v="9"/>
    <n v="952.03268641470902"/>
    <n v="347491.93054136902"/>
    <n v="1250970.9499489299"/>
  </r>
  <r>
    <x v="0"/>
    <x v="0"/>
    <x v="0"/>
    <x v="9"/>
    <x v="20"/>
    <s v="SE4A"/>
    <x v="13"/>
    <x v="131"/>
    <x v="0"/>
    <x v="10"/>
    <n v="952.03268641470902"/>
    <n v="347491.93054136902"/>
    <n v="1250970.9499489299"/>
  </r>
  <r>
    <x v="0"/>
    <x v="0"/>
    <x v="0"/>
    <x v="9"/>
    <x v="20"/>
    <s v="SE4A"/>
    <x v="13"/>
    <x v="131"/>
    <x v="0"/>
    <x v="11"/>
    <n v="952.03268641470902"/>
    <n v="347491.93054136902"/>
    <n v="1250970.9499489299"/>
  </r>
  <r>
    <x v="0"/>
    <x v="0"/>
    <x v="0"/>
    <x v="9"/>
    <x v="20"/>
    <s v="SE4A"/>
    <x v="13"/>
    <x v="131"/>
    <x v="0"/>
    <x v="12"/>
    <n v="952.03268641470902"/>
    <n v="347491.93054136902"/>
    <n v="1250970.9499489299"/>
  </r>
  <r>
    <x v="0"/>
    <x v="0"/>
    <x v="0"/>
    <x v="9"/>
    <x v="20"/>
    <s v="SE4A"/>
    <x v="13"/>
    <x v="131"/>
    <x v="0"/>
    <x v="13"/>
    <n v="952.03268641470902"/>
    <n v="347491.93054136902"/>
    <n v="1250970.9499489299"/>
  </r>
  <r>
    <x v="0"/>
    <x v="0"/>
    <x v="0"/>
    <x v="9"/>
    <x v="20"/>
    <s v="SE4A"/>
    <x v="13"/>
    <x v="131"/>
    <x v="0"/>
    <x v="14"/>
    <n v="952.03268641470902"/>
    <n v="347491.93054136902"/>
    <n v="1250970.9499489299"/>
  </r>
  <r>
    <x v="0"/>
    <x v="0"/>
    <x v="0"/>
    <x v="9"/>
    <x v="20"/>
    <s v="SE4A"/>
    <x v="13"/>
    <x v="131"/>
    <x v="0"/>
    <x v="15"/>
    <n v="952.03268641470902"/>
    <n v="347491.93054136902"/>
    <n v="1250970.9499489299"/>
  </r>
  <r>
    <x v="0"/>
    <x v="0"/>
    <x v="0"/>
    <x v="9"/>
    <x v="20"/>
    <s v="SE4A"/>
    <x v="13"/>
    <x v="131"/>
    <x v="0"/>
    <x v="16"/>
    <n v="952.03268641470902"/>
    <n v="347491.93054136902"/>
    <n v="1250970.9499489299"/>
  </r>
  <r>
    <x v="0"/>
    <x v="0"/>
    <x v="0"/>
    <x v="9"/>
    <x v="20"/>
    <s v="SE4A"/>
    <x v="13"/>
    <x v="131"/>
    <x v="0"/>
    <x v="17"/>
    <n v="952.03268641470902"/>
    <n v="347491.93054136902"/>
    <n v="1250970.9499489299"/>
  </r>
  <r>
    <x v="0"/>
    <x v="0"/>
    <x v="0"/>
    <x v="9"/>
    <x v="20"/>
    <s v="SE4A"/>
    <x v="13"/>
    <x v="131"/>
    <x v="0"/>
    <x v="18"/>
    <n v="952.03268641470902"/>
    <n v="347491.93054136902"/>
    <n v="1250970.9499489299"/>
  </r>
  <r>
    <x v="0"/>
    <x v="0"/>
    <x v="0"/>
    <x v="9"/>
    <x v="20"/>
    <s v="SE4A"/>
    <x v="13"/>
    <x v="131"/>
    <x v="0"/>
    <x v="19"/>
    <n v="952.03268641470902"/>
    <n v="347491.93054136902"/>
    <n v="1250970.9499489299"/>
  </r>
  <r>
    <x v="0"/>
    <x v="0"/>
    <x v="0"/>
    <x v="9"/>
    <x v="20"/>
    <s v="SE4A"/>
    <x v="13"/>
    <x v="131"/>
    <x v="0"/>
    <x v="20"/>
    <n v="952.03268641470902"/>
    <n v="347491.93054136902"/>
    <n v="1250970.9499489299"/>
  </r>
  <r>
    <x v="0"/>
    <x v="0"/>
    <x v="0"/>
    <x v="9"/>
    <x v="20"/>
    <s v="SE4A"/>
    <x v="13"/>
    <x v="131"/>
    <x v="0"/>
    <x v="21"/>
    <n v="952.03268641470902"/>
    <n v="347491.93054136902"/>
    <n v="1250970.9499489299"/>
  </r>
  <r>
    <x v="0"/>
    <x v="0"/>
    <x v="0"/>
    <x v="9"/>
    <x v="20"/>
    <s v="SE4A"/>
    <x v="13"/>
    <x v="131"/>
    <x v="0"/>
    <x v="22"/>
    <n v="952.03268641470902"/>
    <n v="347491.93054136902"/>
    <n v="1250970.9499489299"/>
  </r>
  <r>
    <x v="0"/>
    <x v="0"/>
    <x v="0"/>
    <x v="9"/>
    <x v="20"/>
    <s v="SE4_EL"/>
    <x v="2"/>
    <x v="98"/>
    <x v="0"/>
    <x v="10"/>
    <n v="27.280862900639701"/>
    <n v="9957.5149587334708"/>
    <n v="35847.053851440498"/>
  </r>
  <r>
    <x v="0"/>
    <x v="0"/>
    <x v="0"/>
    <x v="9"/>
    <x v="20"/>
    <s v="SE4_EL"/>
    <x v="2"/>
    <x v="98"/>
    <x v="0"/>
    <x v="11"/>
    <n v="1.1759542895547299"/>
    <n v="429.22331568747597"/>
    <n v="1545.2039364749101"/>
  </r>
  <r>
    <x v="0"/>
    <x v="0"/>
    <x v="0"/>
    <x v="9"/>
    <x v="20"/>
    <s v="SE4_EL"/>
    <x v="22"/>
    <x v="252"/>
    <x v="0"/>
    <x v="3"/>
    <n v="83.4126139777253"/>
    <n v="30445.6041018697"/>
    <n v="109604.174766731"/>
  </r>
  <r>
    <x v="0"/>
    <x v="0"/>
    <x v="0"/>
    <x v="9"/>
    <x v="20"/>
    <s v="SE4_EL"/>
    <x v="22"/>
    <x v="252"/>
    <x v="0"/>
    <x v="4"/>
    <n v="83.4126139777253"/>
    <n v="30445.6041018697"/>
    <n v="109604.174766731"/>
  </r>
  <r>
    <x v="0"/>
    <x v="0"/>
    <x v="0"/>
    <x v="9"/>
    <x v="20"/>
    <s v="SE4_EL"/>
    <x v="22"/>
    <x v="252"/>
    <x v="0"/>
    <x v="5"/>
    <n v="83.4126139777253"/>
    <n v="30445.6041018697"/>
    <n v="109604.174766731"/>
  </r>
  <r>
    <x v="0"/>
    <x v="0"/>
    <x v="0"/>
    <x v="9"/>
    <x v="20"/>
    <s v="SE4_EL"/>
    <x v="22"/>
    <x v="252"/>
    <x v="0"/>
    <x v="6"/>
    <n v="83.4126139777253"/>
    <n v="30445.6041018697"/>
    <n v="109604.174766731"/>
  </r>
  <r>
    <x v="0"/>
    <x v="0"/>
    <x v="0"/>
    <x v="9"/>
    <x v="20"/>
    <s v="SE4_EL"/>
    <x v="22"/>
    <x v="252"/>
    <x v="0"/>
    <x v="7"/>
    <n v="83.4126139777253"/>
    <n v="30445.6041018697"/>
    <n v="109604.174766731"/>
  </r>
  <r>
    <x v="0"/>
    <x v="0"/>
    <x v="0"/>
    <x v="9"/>
    <x v="20"/>
    <s v="SE4_EL"/>
    <x v="22"/>
    <x v="252"/>
    <x v="0"/>
    <x v="8"/>
    <n v="83.4126139777253"/>
    <n v="30445.6041018697"/>
    <n v="109604.174766731"/>
  </r>
  <r>
    <x v="0"/>
    <x v="0"/>
    <x v="0"/>
    <x v="9"/>
    <x v="20"/>
    <s v="SE4_EL"/>
    <x v="22"/>
    <x v="252"/>
    <x v="0"/>
    <x v="0"/>
    <n v="83.4126139777253"/>
    <n v="30445.6041018697"/>
    <n v="109604.174766731"/>
  </r>
  <r>
    <x v="0"/>
    <x v="0"/>
    <x v="0"/>
    <x v="9"/>
    <x v="20"/>
    <s v="SE4_EL"/>
    <x v="22"/>
    <x v="252"/>
    <x v="0"/>
    <x v="1"/>
    <n v="83.4126139777253"/>
    <n v="30445.6041018697"/>
    <n v="109604.174766731"/>
  </r>
  <r>
    <x v="0"/>
    <x v="0"/>
    <x v="0"/>
    <x v="9"/>
    <x v="20"/>
    <s v="SE4_EL"/>
    <x v="22"/>
    <x v="252"/>
    <x v="0"/>
    <x v="2"/>
    <n v="83.4126139777253"/>
    <n v="30445.6041018697"/>
    <n v="109604.174766731"/>
  </r>
  <r>
    <x v="0"/>
    <x v="0"/>
    <x v="0"/>
    <x v="9"/>
    <x v="20"/>
    <s v="SE4_EL"/>
    <x v="22"/>
    <x v="252"/>
    <x v="0"/>
    <x v="9"/>
    <n v="83.4126139777253"/>
    <n v="30445.6041018697"/>
    <n v="109604.174766731"/>
  </r>
  <r>
    <x v="0"/>
    <x v="0"/>
    <x v="0"/>
    <x v="9"/>
    <x v="20"/>
    <s v="SE4_EL"/>
    <x v="22"/>
    <x v="252"/>
    <x v="0"/>
    <x v="10"/>
    <n v="83.4126139777253"/>
    <n v="30445.6041018697"/>
    <n v="109604.174766731"/>
  </r>
  <r>
    <x v="0"/>
    <x v="0"/>
    <x v="0"/>
    <x v="9"/>
    <x v="20"/>
    <s v="SE4_EL"/>
    <x v="22"/>
    <x v="252"/>
    <x v="0"/>
    <x v="11"/>
    <n v="83.4126139777253"/>
    <n v="30445.6041018697"/>
    <n v="109604.174766731"/>
  </r>
  <r>
    <x v="0"/>
    <x v="0"/>
    <x v="0"/>
    <x v="9"/>
    <x v="20"/>
    <s v="SE4_EL"/>
    <x v="22"/>
    <x v="252"/>
    <x v="0"/>
    <x v="12"/>
    <n v="83.4126139777253"/>
    <n v="30445.6041018697"/>
    <n v="109604.174766731"/>
  </r>
  <r>
    <x v="0"/>
    <x v="0"/>
    <x v="0"/>
    <x v="9"/>
    <x v="20"/>
    <s v="SE4_EL"/>
    <x v="22"/>
    <x v="252"/>
    <x v="0"/>
    <x v="13"/>
    <n v="83.4126139777253"/>
    <n v="30445.6041018697"/>
    <n v="109604.174766731"/>
  </r>
  <r>
    <x v="0"/>
    <x v="0"/>
    <x v="0"/>
    <x v="9"/>
    <x v="20"/>
    <s v="SE4_EL"/>
    <x v="22"/>
    <x v="252"/>
    <x v="0"/>
    <x v="14"/>
    <n v="83.4126139777253"/>
    <n v="30445.6041018697"/>
    <n v="109604.174766731"/>
  </r>
  <r>
    <x v="0"/>
    <x v="0"/>
    <x v="0"/>
    <x v="9"/>
    <x v="20"/>
    <s v="SE4_EL"/>
    <x v="22"/>
    <x v="252"/>
    <x v="0"/>
    <x v="15"/>
    <n v="83.4126139777253"/>
    <n v="30445.6041018697"/>
    <n v="109604.174766731"/>
  </r>
  <r>
    <x v="0"/>
    <x v="0"/>
    <x v="0"/>
    <x v="9"/>
    <x v="20"/>
    <s v="SE4_EL"/>
    <x v="22"/>
    <x v="252"/>
    <x v="0"/>
    <x v="16"/>
    <n v="83.4126139777253"/>
    <n v="30445.6041018697"/>
    <n v="109604.174766731"/>
  </r>
  <r>
    <x v="0"/>
    <x v="0"/>
    <x v="0"/>
    <x v="9"/>
    <x v="20"/>
    <s v="SE4_EL"/>
    <x v="22"/>
    <x v="252"/>
    <x v="0"/>
    <x v="17"/>
    <n v="83.4126139777253"/>
    <n v="30445.6041018697"/>
    <n v="109604.174766731"/>
  </r>
  <r>
    <x v="0"/>
    <x v="0"/>
    <x v="0"/>
    <x v="9"/>
    <x v="20"/>
    <s v="SE4_EL"/>
    <x v="22"/>
    <x v="252"/>
    <x v="0"/>
    <x v="18"/>
    <n v="83.4126139777253"/>
    <n v="30445.6041018697"/>
    <n v="109604.174766731"/>
  </r>
  <r>
    <x v="0"/>
    <x v="0"/>
    <x v="0"/>
    <x v="9"/>
    <x v="20"/>
    <s v="SE4_EL"/>
    <x v="22"/>
    <x v="252"/>
    <x v="0"/>
    <x v="19"/>
    <n v="83.4126139777253"/>
    <n v="30445.6041018697"/>
    <n v="109604.174766731"/>
  </r>
  <r>
    <x v="0"/>
    <x v="0"/>
    <x v="0"/>
    <x v="9"/>
    <x v="20"/>
    <s v="SE4_EL"/>
    <x v="22"/>
    <x v="252"/>
    <x v="0"/>
    <x v="20"/>
    <n v="83.4126139777253"/>
    <n v="30445.6041018697"/>
    <n v="109604.174766731"/>
  </r>
  <r>
    <x v="0"/>
    <x v="0"/>
    <x v="0"/>
    <x v="9"/>
    <x v="20"/>
    <s v="SE4_EL"/>
    <x v="22"/>
    <x v="252"/>
    <x v="0"/>
    <x v="21"/>
    <n v="83.4126139777253"/>
    <n v="30445.6041018697"/>
    <n v="109604.174766731"/>
  </r>
  <r>
    <x v="0"/>
    <x v="0"/>
    <x v="0"/>
    <x v="9"/>
    <x v="20"/>
    <s v="SE4_EL"/>
    <x v="22"/>
    <x v="252"/>
    <x v="0"/>
    <x v="22"/>
    <n v="83.4126139777253"/>
    <n v="30445.6041018697"/>
    <n v="109604.174766731"/>
  </r>
  <r>
    <x v="0"/>
    <x v="0"/>
    <x v="0"/>
    <x v="9"/>
    <x v="20"/>
    <s v="SE4_EL"/>
    <x v="22"/>
    <x v="252"/>
    <x v="0"/>
    <x v="23"/>
    <n v="83.4126139777253"/>
    <n v="30445.6041018697"/>
    <n v="109604.174766731"/>
  </r>
  <r>
    <x v="0"/>
    <x v="0"/>
    <x v="0"/>
    <x v="9"/>
    <x v="20"/>
    <s v="SE4_EL"/>
    <x v="22"/>
    <x v="253"/>
    <x v="0"/>
    <x v="3"/>
    <n v="11.356556143732901"/>
    <n v="4145.1429924625199"/>
    <n v="14922.514772865101"/>
  </r>
  <r>
    <x v="0"/>
    <x v="0"/>
    <x v="0"/>
    <x v="9"/>
    <x v="20"/>
    <s v="SE4_EL"/>
    <x v="22"/>
    <x v="253"/>
    <x v="0"/>
    <x v="4"/>
    <n v="11.356556143732901"/>
    <n v="4145.1429924625199"/>
    <n v="14922.514772865101"/>
  </r>
  <r>
    <x v="0"/>
    <x v="0"/>
    <x v="0"/>
    <x v="9"/>
    <x v="20"/>
    <s v="SE4_EL"/>
    <x v="22"/>
    <x v="253"/>
    <x v="0"/>
    <x v="5"/>
    <n v="11.356556143732901"/>
    <n v="4145.1429924625199"/>
    <n v="14922.514772865101"/>
  </r>
  <r>
    <x v="0"/>
    <x v="0"/>
    <x v="0"/>
    <x v="9"/>
    <x v="20"/>
    <s v="SE4_EL"/>
    <x v="22"/>
    <x v="253"/>
    <x v="0"/>
    <x v="6"/>
    <n v="11.356556143732901"/>
    <n v="4145.1429924625199"/>
    <n v="14922.514772865101"/>
  </r>
  <r>
    <x v="0"/>
    <x v="0"/>
    <x v="0"/>
    <x v="9"/>
    <x v="20"/>
    <s v="SE4_EL"/>
    <x v="22"/>
    <x v="253"/>
    <x v="0"/>
    <x v="7"/>
    <n v="11.356556143732901"/>
    <n v="4145.1429924625199"/>
    <n v="14922.514772865101"/>
  </r>
  <r>
    <x v="0"/>
    <x v="0"/>
    <x v="0"/>
    <x v="9"/>
    <x v="20"/>
    <s v="SE4_EL"/>
    <x v="22"/>
    <x v="253"/>
    <x v="0"/>
    <x v="8"/>
    <n v="11.356556143732901"/>
    <n v="4145.1429924625199"/>
    <n v="14922.514772865101"/>
  </r>
  <r>
    <x v="0"/>
    <x v="0"/>
    <x v="0"/>
    <x v="9"/>
    <x v="20"/>
    <s v="SE4_EL"/>
    <x v="22"/>
    <x v="253"/>
    <x v="0"/>
    <x v="0"/>
    <n v="11.356556143732901"/>
    <n v="4145.1429924625199"/>
    <n v="14922.514772865101"/>
  </r>
  <r>
    <x v="0"/>
    <x v="0"/>
    <x v="0"/>
    <x v="9"/>
    <x v="20"/>
    <s v="SE4_EL"/>
    <x v="22"/>
    <x v="253"/>
    <x v="0"/>
    <x v="1"/>
    <n v="11.356556143732901"/>
    <n v="4145.1429924625199"/>
    <n v="14922.514772865101"/>
  </r>
  <r>
    <x v="0"/>
    <x v="0"/>
    <x v="0"/>
    <x v="9"/>
    <x v="20"/>
    <s v="SE4_EL"/>
    <x v="22"/>
    <x v="253"/>
    <x v="0"/>
    <x v="2"/>
    <n v="11.356556143732901"/>
    <n v="4145.1429924625199"/>
    <n v="14922.514772865101"/>
  </r>
  <r>
    <x v="0"/>
    <x v="0"/>
    <x v="0"/>
    <x v="9"/>
    <x v="20"/>
    <s v="SE4_EL"/>
    <x v="22"/>
    <x v="253"/>
    <x v="0"/>
    <x v="9"/>
    <n v="11.356556143732901"/>
    <n v="4145.1429924625199"/>
    <n v="14922.514772865101"/>
  </r>
  <r>
    <x v="0"/>
    <x v="0"/>
    <x v="0"/>
    <x v="9"/>
    <x v="20"/>
    <s v="SE4_EL"/>
    <x v="22"/>
    <x v="253"/>
    <x v="0"/>
    <x v="10"/>
    <n v="11.356556143732901"/>
    <n v="4145.1429924625199"/>
    <n v="14922.514772865101"/>
  </r>
  <r>
    <x v="0"/>
    <x v="0"/>
    <x v="0"/>
    <x v="9"/>
    <x v="20"/>
    <s v="SE4_EL"/>
    <x v="22"/>
    <x v="253"/>
    <x v="0"/>
    <x v="11"/>
    <n v="11.356556143732901"/>
    <n v="4145.1429924625199"/>
    <n v="14922.514772865101"/>
  </r>
  <r>
    <x v="0"/>
    <x v="0"/>
    <x v="0"/>
    <x v="9"/>
    <x v="20"/>
    <s v="SE4_EL"/>
    <x v="22"/>
    <x v="253"/>
    <x v="0"/>
    <x v="12"/>
    <n v="11.356556143732901"/>
    <n v="4145.1429924625199"/>
    <n v="14922.514772865101"/>
  </r>
  <r>
    <x v="0"/>
    <x v="0"/>
    <x v="0"/>
    <x v="9"/>
    <x v="20"/>
    <s v="SE4_EL"/>
    <x v="22"/>
    <x v="253"/>
    <x v="0"/>
    <x v="13"/>
    <n v="11.356556143732901"/>
    <n v="4145.1429924625199"/>
    <n v="14922.514772865101"/>
  </r>
  <r>
    <x v="0"/>
    <x v="0"/>
    <x v="0"/>
    <x v="9"/>
    <x v="20"/>
    <s v="SE4_EL"/>
    <x v="22"/>
    <x v="253"/>
    <x v="0"/>
    <x v="14"/>
    <n v="11.356556143732901"/>
    <n v="4145.1429924625199"/>
    <n v="14922.514772865101"/>
  </r>
  <r>
    <x v="0"/>
    <x v="0"/>
    <x v="0"/>
    <x v="9"/>
    <x v="20"/>
    <s v="SE4_EL"/>
    <x v="22"/>
    <x v="253"/>
    <x v="0"/>
    <x v="15"/>
    <n v="11.356556143732901"/>
    <n v="4145.1429924625199"/>
    <n v="14922.514772865101"/>
  </r>
  <r>
    <x v="0"/>
    <x v="0"/>
    <x v="0"/>
    <x v="9"/>
    <x v="20"/>
    <s v="SE4_EL"/>
    <x v="22"/>
    <x v="253"/>
    <x v="0"/>
    <x v="16"/>
    <n v="11.356556143732901"/>
    <n v="4145.1429924625199"/>
    <n v="14922.514772865101"/>
  </r>
  <r>
    <x v="0"/>
    <x v="0"/>
    <x v="0"/>
    <x v="9"/>
    <x v="20"/>
    <s v="SE4_EL"/>
    <x v="22"/>
    <x v="253"/>
    <x v="0"/>
    <x v="17"/>
    <n v="11.356556143732901"/>
    <n v="4145.1429924625199"/>
    <n v="14922.514772865101"/>
  </r>
  <r>
    <x v="0"/>
    <x v="0"/>
    <x v="0"/>
    <x v="9"/>
    <x v="20"/>
    <s v="SE4_EL"/>
    <x v="22"/>
    <x v="253"/>
    <x v="0"/>
    <x v="18"/>
    <n v="11.356556143732901"/>
    <n v="4145.1429924625199"/>
    <n v="14922.514772865101"/>
  </r>
  <r>
    <x v="0"/>
    <x v="0"/>
    <x v="0"/>
    <x v="9"/>
    <x v="20"/>
    <s v="SE4_EL"/>
    <x v="22"/>
    <x v="253"/>
    <x v="0"/>
    <x v="19"/>
    <n v="11.356556143732901"/>
    <n v="4145.1429924625199"/>
    <n v="14922.514772865101"/>
  </r>
  <r>
    <x v="0"/>
    <x v="0"/>
    <x v="0"/>
    <x v="9"/>
    <x v="20"/>
    <s v="SE4_EL"/>
    <x v="22"/>
    <x v="253"/>
    <x v="0"/>
    <x v="20"/>
    <n v="11.356556143732901"/>
    <n v="4145.1429924625199"/>
    <n v="14922.514772865101"/>
  </r>
  <r>
    <x v="0"/>
    <x v="0"/>
    <x v="0"/>
    <x v="9"/>
    <x v="20"/>
    <s v="SE4_EL"/>
    <x v="22"/>
    <x v="253"/>
    <x v="0"/>
    <x v="21"/>
    <n v="11.356556143732901"/>
    <n v="4145.1429924625199"/>
    <n v="14922.514772865101"/>
  </r>
  <r>
    <x v="0"/>
    <x v="0"/>
    <x v="0"/>
    <x v="9"/>
    <x v="20"/>
    <s v="SE4_EL"/>
    <x v="22"/>
    <x v="253"/>
    <x v="0"/>
    <x v="22"/>
    <n v="11.356556143732901"/>
    <n v="4145.1429924625199"/>
    <n v="14922.514772865101"/>
  </r>
  <r>
    <x v="0"/>
    <x v="0"/>
    <x v="0"/>
    <x v="9"/>
    <x v="20"/>
    <s v="SE4_EL"/>
    <x v="22"/>
    <x v="253"/>
    <x v="0"/>
    <x v="23"/>
    <n v="11.356556143732901"/>
    <n v="4145.1429924625199"/>
    <n v="14922.514772865101"/>
  </r>
  <r>
    <x v="0"/>
    <x v="0"/>
    <x v="0"/>
    <x v="9"/>
    <x v="20"/>
    <s v="SE4_EL"/>
    <x v="22"/>
    <x v="240"/>
    <x v="0"/>
    <x v="3"/>
    <n v="4.6528402183990902"/>
    <n v="1698.2866797156701"/>
    <n v="6113.8320469764103"/>
  </r>
  <r>
    <x v="0"/>
    <x v="0"/>
    <x v="0"/>
    <x v="9"/>
    <x v="20"/>
    <s v="SE4_EL"/>
    <x v="22"/>
    <x v="240"/>
    <x v="0"/>
    <x v="4"/>
    <n v="4.6528402183990902"/>
    <n v="1698.2866797156701"/>
    <n v="6113.8320469764103"/>
  </r>
  <r>
    <x v="0"/>
    <x v="0"/>
    <x v="0"/>
    <x v="9"/>
    <x v="20"/>
    <s v="SE4_EL"/>
    <x v="22"/>
    <x v="240"/>
    <x v="0"/>
    <x v="5"/>
    <n v="4.6528402183990902"/>
    <n v="1698.2866797156701"/>
    <n v="6113.8320469764103"/>
  </r>
  <r>
    <x v="0"/>
    <x v="0"/>
    <x v="0"/>
    <x v="9"/>
    <x v="20"/>
    <s v="SE4_EL"/>
    <x v="22"/>
    <x v="240"/>
    <x v="0"/>
    <x v="6"/>
    <n v="4.6528402183990902"/>
    <n v="1698.2866797156701"/>
    <n v="6113.8320469764103"/>
  </r>
  <r>
    <x v="0"/>
    <x v="0"/>
    <x v="0"/>
    <x v="9"/>
    <x v="20"/>
    <s v="SE4_EL"/>
    <x v="22"/>
    <x v="240"/>
    <x v="0"/>
    <x v="7"/>
    <n v="4.6528402183990902"/>
    <n v="1698.2866797156701"/>
    <n v="6113.8320469764103"/>
  </r>
  <r>
    <x v="0"/>
    <x v="0"/>
    <x v="0"/>
    <x v="9"/>
    <x v="20"/>
    <s v="SE4_EL"/>
    <x v="22"/>
    <x v="240"/>
    <x v="0"/>
    <x v="8"/>
    <n v="4.6528402183990902"/>
    <n v="1698.2866797156701"/>
    <n v="6113.8320469764103"/>
  </r>
  <r>
    <x v="0"/>
    <x v="0"/>
    <x v="0"/>
    <x v="9"/>
    <x v="20"/>
    <s v="SE4_EL"/>
    <x v="22"/>
    <x v="240"/>
    <x v="0"/>
    <x v="0"/>
    <n v="4.6528402183990902"/>
    <n v="1698.2866797156701"/>
    <n v="6113.8320469764103"/>
  </r>
  <r>
    <x v="0"/>
    <x v="0"/>
    <x v="0"/>
    <x v="9"/>
    <x v="20"/>
    <s v="SE4_EL"/>
    <x v="22"/>
    <x v="240"/>
    <x v="0"/>
    <x v="1"/>
    <n v="4.6528402183990902"/>
    <n v="1698.2866797156701"/>
    <n v="6113.8320469764103"/>
  </r>
  <r>
    <x v="0"/>
    <x v="0"/>
    <x v="0"/>
    <x v="9"/>
    <x v="20"/>
    <s v="SE4_EL"/>
    <x v="22"/>
    <x v="240"/>
    <x v="0"/>
    <x v="2"/>
    <n v="4.6528402183990902"/>
    <n v="1698.2866797156701"/>
    <n v="6113.8320469764103"/>
  </r>
  <r>
    <x v="0"/>
    <x v="0"/>
    <x v="0"/>
    <x v="9"/>
    <x v="20"/>
    <s v="SE4_EL"/>
    <x v="22"/>
    <x v="240"/>
    <x v="0"/>
    <x v="9"/>
    <n v="4.6528402183990902"/>
    <n v="1698.2866797156701"/>
    <n v="6113.8320469764103"/>
  </r>
  <r>
    <x v="0"/>
    <x v="0"/>
    <x v="0"/>
    <x v="9"/>
    <x v="20"/>
    <s v="SE4_EL"/>
    <x v="22"/>
    <x v="240"/>
    <x v="0"/>
    <x v="10"/>
    <n v="4.6528402183990902"/>
    <n v="1698.2866797156701"/>
    <n v="6113.8320469764103"/>
  </r>
  <r>
    <x v="0"/>
    <x v="0"/>
    <x v="0"/>
    <x v="9"/>
    <x v="20"/>
    <s v="SE4_EL"/>
    <x v="22"/>
    <x v="240"/>
    <x v="0"/>
    <x v="11"/>
    <n v="4.6528402183990902"/>
    <n v="1698.2866797156701"/>
    <n v="6113.8320469764103"/>
  </r>
  <r>
    <x v="0"/>
    <x v="0"/>
    <x v="0"/>
    <x v="9"/>
    <x v="20"/>
    <s v="SE4_EL"/>
    <x v="22"/>
    <x v="240"/>
    <x v="0"/>
    <x v="12"/>
    <n v="4.6528402183990902"/>
    <n v="1698.2866797156701"/>
    <n v="6113.8320469764103"/>
  </r>
  <r>
    <x v="0"/>
    <x v="0"/>
    <x v="0"/>
    <x v="9"/>
    <x v="20"/>
    <s v="SE4_EL"/>
    <x v="22"/>
    <x v="240"/>
    <x v="0"/>
    <x v="13"/>
    <n v="4.6528402183990902"/>
    <n v="1698.2866797156701"/>
    <n v="6113.8320469764103"/>
  </r>
  <r>
    <x v="0"/>
    <x v="0"/>
    <x v="0"/>
    <x v="9"/>
    <x v="20"/>
    <s v="SE4_EL"/>
    <x v="22"/>
    <x v="240"/>
    <x v="0"/>
    <x v="14"/>
    <n v="4.6528402183990902"/>
    <n v="1698.2866797156701"/>
    <n v="6113.8320469764103"/>
  </r>
  <r>
    <x v="0"/>
    <x v="0"/>
    <x v="0"/>
    <x v="9"/>
    <x v="20"/>
    <s v="SE4_EL"/>
    <x v="22"/>
    <x v="240"/>
    <x v="0"/>
    <x v="15"/>
    <n v="4.6528402183990902"/>
    <n v="1698.2866797156701"/>
    <n v="6113.8320469764103"/>
  </r>
  <r>
    <x v="0"/>
    <x v="0"/>
    <x v="0"/>
    <x v="9"/>
    <x v="20"/>
    <s v="SE4_EL"/>
    <x v="22"/>
    <x v="240"/>
    <x v="0"/>
    <x v="16"/>
    <n v="4.6528402183990902"/>
    <n v="1698.2866797156701"/>
    <n v="6113.8320469764103"/>
  </r>
  <r>
    <x v="0"/>
    <x v="0"/>
    <x v="0"/>
    <x v="9"/>
    <x v="20"/>
    <s v="SE4_EL"/>
    <x v="22"/>
    <x v="240"/>
    <x v="0"/>
    <x v="17"/>
    <n v="4.6528402183990902"/>
    <n v="1698.2866797156701"/>
    <n v="6113.8320469764103"/>
  </r>
  <r>
    <x v="0"/>
    <x v="0"/>
    <x v="0"/>
    <x v="9"/>
    <x v="20"/>
    <s v="SE4_EL"/>
    <x v="22"/>
    <x v="240"/>
    <x v="0"/>
    <x v="18"/>
    <n v="4.6528402183990902"/>
    <n v="1698.2866797156701"/>
    <n v="6113.8320469764103"/>
  </r>
  <r>
    <x v="0"/>
    <x v="0"/>
    <x v="0"/>
    <x v="9"/>
    <x v="20"/>
    <s v="SE4_EL"/>
    <x v="22"/>
    <x v="240"/>
    <x v="0"/>
    <x v="19"/>
    <n v="4.6528402183990902"/>
    <n v="1698.2866797156701"/>
    <n v="6113.8320469764103"/>
  </r>
  <r>
    <x v="0"/>
    <x v="0"/>
    <x v="0"/>
    <x v="9"/>
    <x v="20"/>
    <s v="SE4_EL"/>
    <x v="22"/>
    <x v="240"/>
    <x v="0"/>
    <x v="20"/>
    <n v="4.6528402183990902"/>
    <n v="1698.2866797156701"/>
    <n v="6113.8320469764103"/>
  </r>
  <r>
    <x v="0"/>
    <x v="0"/>
    <x v="0"/>
    <x v="9"/>
    <x v="20"/>
    <s v="SE4_EL"/>
    <x v="22"/>
    <x v="240"/>
    <x v="0"/>
    <x v="21"/>
    <n v="4.6528402183990902"/>
    <n v="1698.2866797156701"/>
    <n v="6113.8320469764103"/>
  </r>
  <r>
    <x v="0"/>
    <x v="0"/>
    <x v="0"/>
    <x v="9"/>
    <x v="20"/>
    <s v="SE4_EL"/>
    <x v="22"/>
    <x v="240"/>
    <x v="0"/>
    <x v="22"/>
    <n v="4.6528402183990902"/>
    <n v="1698.2866797156701"/>
    <n v="6113.8320469764103"/>
  </r>
  <r>
    <x v="0"/>
    <x v="0"/>
    <x v="0"/>
    <x v="9"/>
    <x v="20"/>
    <s v="SE4_EL"/>
    <x v="22"/>
    <x v="240"/>
    <x v="0"/>
    <x v="23"/>
    <n v="4.6528402183990902"/>
    <n v="1698.2866797156701"/>
    <n v="6113.8320469764103"/>
  </r>
  <r>
    <x v="0"/>
    <x v="0"/>
    <x v="0"/>
    <x v="9"/>
    <x v="20"/>
    <s v="SE4_EL"/>
    <x v="3"/>
    <x v="254"/>
    <x v="0"/>
    <x v="3"/>
    <n v="2.9411764705882399"/>
    <n v="1073.5294117647099"/>
    <n v="3864.7058823529401"/>
  </r>
  <r>
    <x v="0"/>
    <x v="0"/>
    <x v="0"/>
    <x v="9"/>
    <x v="20"/>
    <s v="SE4_EL"/>
    <x v="3"/>
    <x v="254"/>
    <x v="0"/>
    <x v="4"/>
    <n v="2.9411764705882399"/>
    <n v="1073.5294117647099"/>
    <n v="3864.7058823529401"/>
  </r>
  <r>
    <x v="0"/>
    <x v="0"/>
    <x v="0"/>
    <x v="9"/>
    <x v="20"/>
    <s v="SE4_EL"/>
    <x v="3"/>
    <x v="254"/>
    <x v="0"/>
    <x v="5"/>
    <n v="2.9411764705882399"/>
    <n v="1073.5294117647099"/>
    <n v="3864.7058823529401"/>
  </r>
  <r>
    <x v="0"/>
    <x v="0"/>
    <x v="0"/>
    <x v="9"/>
    <x v="20"/>
    <s v="SE4_EL"/>
    <x v="3"/>
    <x v="254"/>
    <x v="0"/>
    <x v="6"/>
    <n v="2.9411764705882399"/>
    <n v="1073.5294117647099"/>
    <n v="3864.7058823529401"/>
  </r>
  <r>
    <x v="0"/>
    <x v="0"/>
    <x v="0"/>
    <x v="9"/>
    <x v="20"/>
    <s v="SE4_EL"/>
    <x v="3"/>
    <x v="254"/>
    <x v="0"/>
    <x v="7"/>
    <n v="2.9411764705882399"/>
    <n v="1073.5294117647099"/>
    <n v="3864.7058823529401"/>
  </r>
  <r>
    <x v="0"/>
    <x v="0"/>
    <x v="0"/>
    <x v="9"/>
    <x v="20"/>
    <s v="SE4_EL"/>
    <x v="3"/>
    <x v="254"/>
    <x v="0"/>
    <x v="8"/>
    <n v="2.9411764705882399"/>
    <n v="1073.5294117647099"/>
    <n v="3864.7058823529401"/>
  </r>
  <r>
    <x v="0"/>
    <x v="0"/>
    <x v="0"/>
    <x v="9"/>
    <x v="20"/>
    <s v="SE4_EL"/>
    <x v="3"/>
    <x v="254"/>
    <x v="0"/>
    <x v="0"/>
    <n v="2.9411764705882399"/>
    <n v="1073.5294117647099"/>
    <n v="3864.7058823529401"/>
  </r>
  <r>
    <x v="0"/>
    <x v="0"/>
    <x v="0"/>
    <x v="9"/>
    <x v="20"/>
    <s v="SE4_EL"/>
    <x v="3"/>
    <x v="254"/>
    <x v="0"/>
    <x v="1"/>
    <n v="2.9411764705882399"/>
    <n v="1073.5294117647099"/>
    <n v="3864.7058823529401"/>
  </r>
  <r>
    <x v="0"/>
    <x v="0"/>
    <x v="0"/>
    <x v="9"/>
    <x v="20"/>
    <s v="SE4_EL"/>
    <x v="3"/>
    <x v="254"/>
    <x v="0"/>
    <x v="2"/>
    <n v="2.9411764705882399"/>
    <n v="1073.5294117647099"/>
    <n v="3864.7058823529401"/>
  </r>
  <r>
    <x v="0"/>
    <x v="0"/>
    <x v="0"/>
    <x v="9"/>
    <x v="20"/>
    <s v="SE4_EL"/>
    <x v="3"/>
    <x v="254"/>
    <x v="0"/>
    <x v="9"/>
    <n v="2.9411764705882399"/>
    <n v="1073.5294117647099"/>
    <n v="3864.7058823529401"/>
  </r>
  <r>
    <x v="0"/>
    <x v="0"/>
    <x v="0"/>
    <x v="9"/>
    <x v="20"/>
    <s v="SE4_EL"/>
    <x v="3"/>
    <x v="254"/>
    <x v="0"/>
    <x v="10"/>
    <n v="2.9411764705882399"/>
    <n v="1073.5294117647099"/>
    <n v="3864.7058823529401"/>
  </r>
  <r>
    <x v="0"/>
    <x v="0"/>
    <x v="0"/>
    <x v="9"/>
    <x v="20"/>
    <s v="SE4_EL"/>
    <x v="3"/>
    <x v="254"/>
    <x v="0"/>
    <x v="11"/>
    <n v="2.9411764705882399"/>
    <n v="1073.5294117647099"/>
    <n v="3864.7058823529401"/>
  </r>
  <r>
    <x v="0"/>
    <x v="0"/>
    <x v="0"/>
    <x v="9"/>
    <x v="20"/>
    <s v="SE4_EL"/>
    <x v="3"/>
    <x v="254"/>
    <x v="0"/>
    <x v="12"/>
    <n v="2.9411764705882399"/>
    <n v="1073.5294117647099"/>
    <n v="3864.7058823529401"/>
  </r>
  <r>
    <x v="0"/>
    <x v="0"/>
    <x v="0"/>
    <x v="9"/>
    <x v="20"/>
    <s v="SE4_EL"/>
    <x v="3"/>
    <x v="254"/>
    <x v="0"/>
    <x v="13"/>
    <n v="2.9411764705882399"/>
    <n v="1073.5294117647099"/>
    <n v="3864.7058823529401"/>
  </r>
  <r>
    <x v="0"/>
    <x v="0"/>
    <x v="0"/>
    <x v="9"/>
    <x v="20"/>
    <s v="SE4_EL"/>
    <x v="3"/>
    <x v="254"/>
    <x v="0"/>
    <x v="14"/>
    <n v="2.9411764705882399"/>
    <n v="1073.5294117647099"/>
    <n v="3864.7058823529401"/>
  </r>
  <r>
    <x v="0"/>
    <x v="0"/>
    <x v="0"/>
    <x v="9"/>
    <x v="20"/>
    <s v="SE4_EL"/>
    <x v="3"/>
    <x v="254"/>
    <x v="0"/>
    <x v="15"/>
    <n v="2.9411764705882399"/>
    <n v="1073.5294117647099"/>
    <n v="3864.7058823529401"/>
  </r>
  <r>
    <x v="0"/>
    <x v="0"/>
    <x v="0"/>
    <x v="9"/>
    <x v="20"/>
    <s v="SE4_EL"/>
    <x v="3"/>
    <x v="254"/>
    <x v="0"/>
    <x v="16"/>
    <n v="2.9411764705882399"/>
    <n v="1073.5294117647099"/>
    <n v="3864.7058823529401"/>
  </r>
  <r>
    <x v="0"/>
    <x v="0"/>
    <x v="0"/>
    <x v="9"/>
    <x v="20"/>
    <s v="SE4_EL"/>
    <x v="3"/>
    <x v="254"/>
    <x v="0"/>
    <x v="17"/>
    <n v="2.9411764705882399"/>
    <n v="1073.5294117647099"/>
    <n v="3864.7058823529401"/>
  </r>
  <r>
    <x v="0"/>
    <x v="0"/>
    <x v="0"/>
    <x v="9"/>
    <x v="20"/>
    <s v="SE4_EL"/>
    <x v="3"/>
    <x v="254"/>
    <x v="0"/>
    <x v="18"/>
    <n v="2.9411764705882399"/>
    <n v="1073.5294117647099"/>
    <n v="3864.7058823529401"/>
  </r>
  <r>
    <x v="0"/>
    <x v="0"/>
    <x v="0"/>
    <x v="9"/>
    <x v="20"/>
    <s v="SE4_EL"/>
    <x v="3"/>
    <x v="254"/>
    <x v="0"/>
    <x v="19"/>
    <n v="2.9411764705882399"/>
    <n v="1073.5294117647099"/>
    <n v="3864.7058823529401"/>
  </r>
  <r>
    <x v="0"/>
    <x v="0"/>
    <x v="0"/>
    <x v="9"/>
    <x v="20"/>
    <s v="SE4_EL"/>
    <x v="3"/>
    <x v="254"/>
    <x v="0"/>
    <x v="20"/>
    <n v="2.9411764705882399"/>
    <n v="1073.5294117647099"/>
    <n v="3864.7058823529401"/>
  </r>
  <r>
    <x v="0"/>
    <x v="0"/>
    <x v="0"/>
    <x v="9"/>
    <x v="20"/>
    <s v="SE4_EL"/>
    <x v="3"/>
    <x v="254"/>
    <x v="0"/>
    <x v="21"/>
    <n v="2.9411764705882399"/>
    <n v="1073.5294117647099"/>
    <n v="3864.7058823529401"/>
  </r>
  <r>
    <x v="0"/>
    <x v="0"/>
    <x v="0"/>
    <x v="9"/>
    <x v="20"/>
    <s v="SE4_EL"/>
    <x v="3"/>
    <x v="254"/>
    <x v="0"/>
    <x v="22"/>
    <n v="2.9411764705882399"/>
    <n v="1073.5294117647099"/>
    <n v="3864.7058823529401"/>
  </r>
  <r>
    <x v="0"/>
    <x v="0"/>
    <x v="0"/>
    <x v="9"/>
    <x v="20"/>
    <s v="SE4_EL"/>
    <x v="3"/>
    <x v="254"/>
    <x v="0"/>
    <x v="23"/>
    <n v="2.9411764705882399"/>
    <n v="1073.5294117647099"/>
    <n v="3864.7058823529401"/>
  </r>
  <r>
    <x v="0"/>
    <x v="0"/>
    <x v="0"/>
    <x v="9"/>
    <x v="20"/>
    <s v="SE4_EL"/>
    <x v="4"/>
    <x v="108"/>
    <x v="0"/>
    <x v="3"/>
    <n v="10.4166666666666"/>
    <n v="3802.0833333333198"/>
    <n v="13687.4999999999"/>
  </r>
  <r>
    <x v="0"/>
    <x v="0"/>
    <x v="0"/>
    <x v="9"/>
    <x v="20"/>
    <s v="SE4_EL"/>
    <x v="4"/>
    <x v="108"/>
    <x v="0"/>
    <x v="4"/>
    <n v="10.4166666666666"/>
    <n v="3802.0833333333198"/>
    <n v="13687.4999999999"/>
  </r>
  <r>
    <x v="0"/>
    <x v="0"/>
    <x v="0"/>
    <x v="9"/>
    <x v="20"/>
    <s v="SE4_EL"/>
    <x v="4"/>
    <x v="108"/>
    <x v="0"/>
    <x v="5"/>
    <n v="10.4166666666666"/>
    <n v="3802.0833333333198"/>
    <n v="13687.4999999999"/>
  </r>
  <r>
    <x v="0"/>
    <x v="0"/>
    <x v="0"/>
    <x v="9"/>
    <x v="20"/>
    <s v="SE4_EL"/>
    <x v="4"/>
    <x v="108"/>
    <x v="0"/>
    <x v="6"/>
    <n v="10.4166666666666"/>
    <n v="3802.0833333333198"/>
    <n v="13687.4999999999"/>
  </r>
  <r>
    <x v="0"/>
    <x v="0"/>
    <x v="0"/>
    <x v="9"/>
    <x v="20"/>
    <s v="SE4_EL"/>
    <x v="4"/>
    <x v="108"/>
    <x v="0"/>
    <x v="7"/>
    <n v="10.4166666666666"/>
    <n v="3802.0833333333198"/>
    <n v="13687.4999999999"/>
  </r>
  <r>
    <x v="0"/>
    <x v="0"/>
    <x v="0"/>
    <x v="9"/>
    <x v="20"/>
    <s v="SE4_EL"/>
    <x v="4"/>
    <x v="108"/>
    <x v="0"/>
    <x v="8"/>
    <n v="10.4166666666666"/>
    <n v="3802.0833333333198"/>
    <n v="13687.4999999999"/>
  </r>
  <r>
    <x v="0"/>
    <x v="0"/>
    <x v="0"/>
    <x v="9"/>
    <x v="20"/>
    <s v="SE4_EL"/>
    <x v="4"/>
    <x v="108"/>
    <x v="0"/>
    <x v="0"/>
    <n v="10.4166666666666"/>
    <n v="3802.0833333333198"/>
    <n v="13687.4999999999"/>
  </r>
  <r>
    <x v="0"/>
    <x v="0"/>
    <x v="0"/>
    <x v="9"/>
    <x v="20"/>
    <s v="SE4_EL"/>
    <x v="4"/>
    <x v="108"/>
    <x v="0"/>
    <x v="1"/>
    <n v="10.4166666666666"/>
    <n v="3802.0833333333198"/>
    <n v="13687.4999999999"/>
  </r>
  <r>
    <x v="0"/>
    <x v="0"/>
    <x v="0"/>
    <x v="9"/>
    <x v="20"/>
    <s v="SE4_EL"/>
    <x v="4"/>
    <x v="108"/>
    <x v="0"/>
    <x v="2"/>
    <n v="10.4166666666666"/>
    <n v="3802.0833333333198"/>
    <n v="13687.4999999999"/>
  </r>
  <r>
    <x v="0"/>
    <x v="0"/>
    <x v="0"/>
    <x v="9"/>
    <x v="20"/>
    <s v="SE4_EL"/>
    <x v="4"/>
    <x v="108"/>
    <x v="0"/>
    <x v="9"/>
    <n v="10.4166666666666"/>
    <n v="3802.0833333333198"/>
    <n v="13687.4999999999"/>
  </r>
  <r>
    <x v="0"/>
    <x v="0"/>
    <x v="0"/>
    <x v="9"/>
    <x v="20"/>
    <s v="SE4_EL"/>
    <x v="4"/>
    <x v="108"/>
    <x v="0"/>
    <x v="10"/>
    <n v="10.4166666666666"/>
    <n v="3802.0833333333198"/>
    <n v="13687.4999999999"/>
  </r>
  <r>
    <x v="0"/>
    <x v="0"/>
    <x v="0"/>
    <x v="9"/>
    <x v="20"/>
    <s v="SE4_EL"/>
    <x v="4"/>
    <x v="108"/>
    <x v="0"/>
    <x v="11"/>
    <n v="10.4166666666666"/>
    <n v="3802.0833333333198"/>
    <n v="13687.4999999999"/>
  </r>
  <r>
    <x v="0"/>
    <x v="0"/>
    <x v="0"/>
    <x v="9"/>
    <x v="20"/>
    <s v="SE4_EL"/>
    <x v="4"/>
    <x v="108"/>
    <x v="0"/>
    <x v="12"/>
    <n v="10.4166666666666"/>
    <n v="3802.0833333333198"/>
    <n v="13687.4999999999"/>
  </r>
  <r>
    <x v="0"/>
    <x v="0"/>
    <x v="0"/>
    <x v="9"/>
    <x v="20"/>
    <s v="SE4_EL"/>
    <x v="4"/>
    <x v="108"/>
    <x v="0"/>
    <x v="13"/>
    <n v="10.4166666666666"/>
    <n v="3802.0833333333198"/>
    <n v="13687.4999999999"/>
  </r>
  <r>
    <x v="0"/>
    <x v="0"/>
    <x v="0"/>
    <x v="9"/>
    <x v="20"/>
    <s v="SE4_EL"/>
    <x v="4"/>
    <x v="108"/>
    <x v="0"/>
    <x v="14"/>
    <n v="10.4166666666666"/>
    <n v="3802.0833333333198"/>
    <n v="13687.4999999999"/>
  </r>
  <r>
    <x v="0"/>
    <x v="0"/>
    <x v="0"/>
    <x v="9"/>
    <x v="20"/>
    <s v="SE4_EL"/>
    <x v="4"/>
    <x v="108"/>
    <x v="0"/>
    <x v="15"/>
    <n v="10.4166666666666"/>
    <n v="3802.0833333333198"/>
    <n v="13687.4999999999"/>
  </r>
  <r>
    <x v="0"/>
    <x v="0"/>
    <x v="0"/>
    <x v="9"/>
    <x v="20"/>
    <s v="SE4_EL"/>
    <x v="4"/>
    <x v="108"/>
    <x v="0"/>
    <x v="16"/>
    <n v="10.4166666666666"/>
    <n v="3802.0833333333198"/>
    <n v="13687.4999999999"/>
  </r>
  <r>
    <x v="0"/>
    <x v="0"/>
    <x v="0"/>
    <x v="9"/>
    <x v="20"/>
    <s v="SE4_EL"/>
    <x v="4"/>
    <x v="108"/>
    <x v="0"/>
    <x v="17"/>
    <n v="10.4166666666666"/>
    <n v="3802.0833333333198"/>
    <n v="13687.4999999999"/>
  </r>
  <r>
    <x v="0"/>
    <x v="0"/>
    <x v="0"/>
    <x v="9"/>
    <x v="20"/>
    <s v="SE4_EL"/>
    <x v="4"/>
    <x v="108"/>
    <x v="0"/>
    <x v="18"/>
    <n v="10.4166666666666"/>
    <n v="3802.0833333333198"/>
    <n v="13687.4999999999"/>
  </r>
  <r>
    <x v="0"/>
    <x v="0"/>
    <x v="0"/>
    <x v="9"/>
    <x v="20"/>
    <s v="SE4_EL"/>
    <x v="4"/>
    <x v="108"/>
    <x v="0"/>
    <x v="19"/>
    <n v="10.4166666666666"/>
    <n v="3802.0833333333198"/>
    <n v="13687.4999999999"/>
  </r>
  <r>
    <x v="0"/>
    <x v="0"/>
    <x v="0"/>
    <x v="9"/>
    <x v="20"/>
    <s v="SE4_EL"/>
    <x v="4"/>
    <x v="108"/>
    <x v="0"/>
    <x v="20"/>
    <n v="10.4166666666666"/>
    <n v="3802.0833333333198"/>
    <n v="13687.4999999999"/>
  </r>
  <r>
    <x v="0"/>
    <x v="0"/>
    <x v="0"/>
    <x v="9"/>
    <x v="20"/>
    <s v="SE4_EL"/>
    <x v="4"/>
    <x v="108"/>
    <x v="0"/>
    <x v="21"/>
    <n v="10.4166666666666"/>
    <n v="3802.0833333333198"/>
    <n v="13687.4999999999"/>
  </r>
  <r>
    <x v="0"/>
    <x v="0"/>
    <x v="0"/>
    <x v="9"/>
    <x v="20"/>
    <s v="SE4_EL"/>
    <x v="4"/>
    <x v="108"/>
    <x v="0"/>
    <x v="22"/>
    <n v="10.4166666666666"/>
    <n v="3802.0833333333198"/>
    <n v="13687.4999999999"/>
  </r>
  <r>
    <x v="0"/>
    <x v="0"/>
    <x v="0"/>
    <x v="9"/>
    <x v="20"/>
    <s v="SE4_EL"/>
    <x v="4"/>
    <x v="108"/>
    <x v="0"/>
    <x v="23"/>
    <n v="10.4166666666666"/>
    <n v="3802.0833333333198"/>
    <n v="13687.4999999999"/>
  </r>
  <r>
    <x v="0"/>
    <x v="0"/>
    <x v="0"/>
    <x v="9"/>
    <x v="20"/>
    <s v="SE4_EL"/>
    <x v="10"/>
    <x v="111"/>
    <x v="0"/>
    <x v="3"/>
    <n v="64.848960543937395"/>
    <n v="23669.870598537102"/>
    <n v="85211.534154733701"/>
  </r>
  <r>
    <x v="0"/>
    <x v="0"/>
    <x v="0"/>
    <x v="9"/>
    <x v="20"/>
    <s v="SE4_EL"/>
    <x v="10"/>
    <x v="111"/>
    <x v="0"/>
    <x v="4"/>
    <n v="64.848960543937395"/>
    <n v="23669.870598537102"/>
    <n v="85211.534154733701"/>
  </r>
  <r>
    <x v="0"/>
    <x v="0"/>
    <x v="0"/>
    <x v="9"/>
    <x v="20"/>
    <s v="SE4_EL"/>
    <x v="10"/>
    <x v="111"/>
    <x v="0"/>
    <x v="5"/>
    <n v="64.848960543937395"/>
    <n v="23669.870598537102"/>
    <n v="85211.534154733701"/>
  </r>
  <r>
    <x v="0"/>
    <x v="0"/>
    <x v="0"/>
    <x v="9"/>
    <x v="20"/>
    <s v="SE4_EL"/>
    <x v="10"/>
    <x v="111"/>
    <x v="0"/>
    <x v="6"/>
    <n v="64.848960543937395"/>
    <n v="23669.870598537102"/>
    <n v="85211.534154733701"/>
  </r>
  <r>
    <x v="0"/>
    <x v="0"/>
    <x v="0"/>
    <x v="9"/>
    <x v="20"/>
    <s v="SE4_EL"/>
    <x v="10"/>
    <x v="111"/>
    <x v="0"/>
    <x v="7"/>
    <n v="64.848960543937395"/>
    <n v="23669.870598537102"/>
    <n v="85211.534154733701"/>
  </r>
  <r>
    <x v="0"/>
    <x v="0"/>
    <x v="0"/>
    <x v="9"/>
    <x v="20"/>
    <s v="SE4_EL"/>
    <x v="10"/>
    <x v="111"/>
    <x v="0"/>
    <x v="8"/>
    <n v="64.848960543937395"/>
    <n v="23669.870598537102"/>
    <n v="85211.534154733701"/>
  </r>
  <r>
    <x v="0"/>
    <x v="0"/>
    <x v="0"/>
    <x v="9"/>
    <x v="20"/>
    <s v="SE4_EL"/>
    <x v="10"/>
    <x v="111"/>
    <x v="0"/>
    <x v="0"/>
    <n v="64.848960543937395"/>
    <n v="23669.870598537102"/>
    <n v="85211.534154733701"/>
  </r>
  <r>
    <x v="0"/>
    <x v="0"/>
    <x v="0"/>
    <x v="9"/>
    <x v="20"/>
    <s v="SE4_EL"/>
    <x v="10"/>
    <x v="111"/>
    <x v="0"/>
    <x v="1"/>
    <n v="64.848960543937395"/>
    <n v="23669.870598537102"/>
    <n v="85211.534154733701"/>
  </r>
  <r>
    <x v="0"/>
    <x v="0"/>
    <x v="0"/>
    <x v="9"/>
    <x v="20"/>
    <s v="SE4_EL"/>
    <x v="10"/>
    <x v="111"/>
    <x v="0"/>
    <x v="2"/>
    <n v="64.848960543937395"/>
    <n v="23669.870598537102"/>
    <n v="85211.534154733701"/>
  </r>
  <r>
    <x v="0"/>
    <x v="0"/>
    <x v="0"/>
    <x v="9"/>
    <x v="20"/>
    <s v="SE4_EL"/>
    <x v="10"/>
    <x v="111"/>
    <x v="0"/>
    <x v="9"/>
    <n v="64.848960543937395"/>
    <n v="23669.870598537102"/>
    <n v="85211.534154733701"/>
  </r>
  <r>
    <x v="0"/>
    <x v="0"/>
    <x v="0"/>
    <x v="9"/>
    <x v="20"/>
    <s v="SE4_EL"/>
    <x v="10"/>
    <x v="111"/>
    <x v="0"/>
    <x v="10"/>
    <n v="64.848960543937395"/>
    <n v="23669.870598537102"/>
    <n v="85211.534154733701"/>
  </r>
  <r>
    <x v="0"/>
    <x v="0"/>
    <x v="0"/>
    <x v="9"/>
    <x v="20"/>
    <s v="SE4_EL"/>
    <x v="10"/>
    <x v="111"/>
    <x v="0"/>
    <x v="11"/>
    <n v="64.848960543937395"/>
    <n v="23669.870598537102"/>
    <n v="85211.534154733701"/>
  </r>
  <r>
    <x v="0"/>
    <x v="0"/>
    <x v="0"/>
    <x v="9"/>
    <x v="20"/>
    <s v="SE4_EL"/>
    <x v="10"/>
    <x v="111"/>
    <x v="0"/>
    <x v="12"/>
    <n v="64.848960543937395"/>
    <n v="23669.870598537102"/>
    <n v="85211.534154733701"/>
  </r>
  <r>
    <x v="0"/>
    <x v="0"/>
    <x v="0"/>
    <x v="9"/>
    <x v="20"/>
    <s v="SE4_EL"/>
    <x v="10"/>
    <x v="111"/>
    <x v="0"/>
    <x v="13"/>
    <n v="64.848960543937395"/>
    <n v="23669.870598537102"/>
    <n v="85211.534154733701"/>
  </r>
  <r>
    <x v="0"/>
    <x v="0"/>
    <x v="0"/>
    <x v="9"/>
    <x v="20"/>
    <s v="SE4_EL"/>
    <x v="10"/>
    <x v="111"/>
    <x v="0"/>
    <x v="14"/>
    <n v="64.848960543937395"/>
    <n v="23669.870598537102"/>
    <n v="85211.534154733701"/>
  </r>
  <r>
    <x v="0"/>
    <x v="0"/>
    <x v="0"/>
    <x v="9"/>
    <x v="20"/>
    <s v="SE4_EL"/>
    <x v="10"/>
    <x v="111"/>
    <x v="0"/>
    <x v="15"/>
    <n v="64.848960543937395"/>
    <n v="23669.870598537102"/>
    <n v="85211.534154733701"/>
  </r>
  <r>
    <x v="0"/>
    <x v="0"/>
    <x v="0"/>
    <x v="9"/>
    <x v="20"/>
    <s v="SE4_EL"/>
    <x v="10"/>
    <x v="111"/>
    <x v="0"/>
    <x v="16"/>
    <n v="64.848960543937395"/>
    <n v="23669.870598537102"/>
    <n v="85211.534154733701"/>
  </r>
  <r>
    <x v="0"/>
    <x v="0"/>
    <x v="0"/>
    <x v="9"/>
    <x v="20"/>
    <s v="SE4_EL"/>
    <x v="10"/>
    <x v="111"/>
    <x v="0"/>
    <x v="17"/>
    <n v="64.848960543937395"/>
    <n v="23669.870598537102"/>
    <n v="85211.534154733701"/>
  </r>
  <r>
    <x v="0"/>
    <x v="0"/>
    <x v="0"/>
    <x v="9"/>
    <x v="20"/>
    <s v="SE4_EL"/>
    <x v="10"/>
    <x v="111"/>
    <x v="0"/>
    <x v="18"/>
    <n v="64.848960543937395"/>
    <n v="23669.870598537102"/>
    <n v="85211.534154733701"/>
  </r>
  <r>
    <x v="0"/>
    <x v="0"/>
    <x v="0"/>
    <x v="9"/>
    <x v="20"/>
    <s v="SE4_EL"/>
    <x v="10"/>
    <x v="111"/>
    <x v="0"/>
    <x v="19"/>
    <n v="64.848960543937395"/>
    <n v="23669.870598537102"/>
    <n v="85211.534154733701"/>
  </r>
  <r>
    <x v="0"/>
    <x v="0"/>
    <x v="0"/>
    <x v="9"/>
    <x v="20"/>
    <s v="SE4_EL"/>
    <x v="10"/>
    <x v="111"/>
    <x v="0"/>
    <x v="20"/>
    <n v="64.848960543937395"/>
    <n v="23669.870598537102"/>
    <n v="85211.534154733701"/>
  </r>
  <r>
    <x v="0"/>
    <x v="0"/>
    <x v="0"/>
    <x v="9"/>
    <x v="20"/>
    <s v="SE4_EL"/>
    <x v="10"/>
    <x v="111"/>
    <x v="0"/>
    <x v="21"/>
    <n v="64.848960543937395"/>
    <n v="23669.870598537102"/>
    <n v="85211.534154733701"/>
  </r>
  <r>
    <x v="0"/>
    <x v="0"/>
    <x v="0"/>
    <x v="9"/>
    <x v="20"/>
    <s v="SE4_EL"/>
    <x v="10"/>
    <x v="111"/>
    <x v="0"/>
    <x v="22"/>
    <n v="64.848960543937395"/>
    <n v="23669.870598537102"/>
    <n v="85211.534154733701"/>
  </r>
  <r>
    <x v="0"/>
    <x v="0"/>
    <x v="0"/>
    <x v="9"/>
    <x v="20"/>
    <s v="SE4_EL"/>
    <x v="10"/>
    <x v="111"/>
    <x v="0"/>
    <x v="23"/>
    <n v="64.848960543937395"/>
    <n v="23669.870598537102"/>
    <n v="85211.534154733701"/>
  </r>
  <r>
    <x v="0"/>
    <x v="0"/>
    <x v="0"/>
    <x v="9"/>
    <x v="20"/>
    <s v="SE4_HP"/>
    <x v="1"/>
    <x v="255"/>
    <x v="0"/>
    <x v="3"/>
    <n v="51.746031746031697"/>
    <n v="18887.301587301601"/>
    <n v="67994.285714285696"/>
  </r>
  <r>
    <x v="0"/>
    <x v="0"/>
    <x v="0"/>
    <x v="9"/>
    <x v="20"/>
    <s v="SE4_HP"/>
    <x v="1"/>
    <x v="255"/>
    <x v="0"/>
    <x v="4"/>
    <n v="51.746031746031697"/>
    <n v="18887.301587301601"/>
    <n v="67994.285714285696"/>
  </r>
  <r>
    <x v="0"/>
    <x v="0"/>
    <x v="0"/>
    <x v="9"/>
    <x v="20"/>
    <s v="SE4_HP"/>
    <x v="1"/>
    <x v="255"/>
    <x v="0"/>
    <x v="5"/>
    <n v="51.746031746031697"/>
    <n v="18887.301587301601"/>
    <n v="67994.285714285696"/>
  </r>
  <r>
    <x v="0"/>
    <x v="0"/>
    <x v="0"/>
    <x v="9"/>
    <x v="20"/>
    <s v="SE4_HP"/>
    <x v="1"/>
    <x v="255"/>
    <x v="0"/>
    <x v="6"/>
    <n v="51.746031746031697"/>
    <n v="18887.301587301601"/>
    <n v="67994.285714285696"/>
  </r>
  <r>
    <x v="0"/>
    <x v="0"/>
    <x v="0"/>
    <x v="9"/>
    <x v="20"/>
    <s v="SE4_HP"/>
    <x v="1"/>
    <x v="255"/>
    <x v="0"/>
    <x v="7"/>
    <n v="51.746031746031697"/>
    <n v="18887.301587301601"/>
    <n v="67994.285714285696"/>
  </r>
  <r>
    <x v="0"/>
    <x v="0"/>
    <x v="0"/>
    <x v="9"/>
    <x v="20"/>
    <s v="SE4_HP"/>
    <x v="1"/>
    <x v="255"/>
    <x v="0"/>
    <x v="8"/>
    <n v="51.746031746031697"/>
    <n v="18887.301587301601"/>
    <n v="67994.285714285696"/>
  </r>
  <r>
    <x v="0"/>
    <x v="0"/>
    <x v="0"/>
    <x v="9"/>
    <x v="20"/>
    <s v="SE4_HP"/>
    <x v="1"/>
    <x v="255"/>
    <x v="0"/>
    <x v="0"/>
    <n v="51.746031746031697"/>
    <n v="18887.301587301601"/>
    <n v="67994.285714285696"/>
  </r>
  <r>
    <x v="0"/>
    <x v="0"/>
    <x v="0"/>
    <x v="9"/>
    <x v="20"/>
    <s v="SE4_HP"/>
    <x v="1"/>
    <x v="255"/>
    <x v="0"/>
    <x v="1"/>
    <n v="51.746031746031697"/>
    <n v="18887.301587301601"/>
    <n v="67994.285714285696"/>
  </r>
  <r>
    <x v="0"/>
    <x v="0"/>
    <x v="0"/>
    <x v="9"/>
    <x v="20"/>
    <s v="SE4_HP"/>
    <x v="1"/>
    <x v="255"/>
    <x v="0"/>
    <x v="2"/>
    <n v="51.746031746031697"/>
    <n v="18887.301587301601"/>
    <n v="67994.285714285696"/>
  </r>
  <r>
    <x v="0"/>
    <x v="0"/>
    <x v="0"/>
    <x v="9"/>
    <x v="20"/>
    <s v="SE4_HP"/>
    <x v="1"/>
    <x v="255"/>
    <x v="0"/>
    <x v="9"/>
    <n v="51.746031746031697"/>
    <n v="18887.301587301601"/>
    <n v="67994.285714285696"/>
  </r>
  <r>
    <x v="0"/>
    <x v="0"/>
    <x v="0"/>
    <x v="9"/>
    <x v="20"/>
    <s v="SE4_HP"/>
    <x v="1"/>
    <x v="255"/>
    <x v="0"/>
    <x v="10"/>
    <n v="51.746031746031697"/>
    <n v="18887.301587301601"/>
    <n v="67994.285714285696"/>
  </r>
  <r>
    <x v="0"/>
    <x v="0"/>
    <x v="0"/>
    <x v="9"/>
    <x v="20"/>
    <s v="SE4_HP"/>
    <x v="1"/>
    <x v="255"/>
    <x v="0"/>
    <x v="11"/>
    <n v="51.746031746031697"/>
    <n v="18887.301587301601"/>
    <n v="67994.285714285696"/>
  </r>
  <r>
    <x v="0"/>
    <x v="0"/>
    <x v="0"/>
    <x v="9"/>
    <x v="20"/>
    <s v="SE4_HP"/>
    <x v="1"/>
    <x v="255"/>
    <x v="0"/>
    <x v="12"/>
    <n v="51.746031746031697"/>
    <n v="18887.301587301601"/>
    <n v="67994.285714285696"/>
  </r>
  <r>
    <x v="0"/>
    <x v="0"/>
    <x v="0"/>
    <x v="9"/>
    <x v="20"/>
    <s v="SE4_HP"/>
    <x v="1"/>
    <x v="255"/>
    <x v="0"/>
    <x v="13"/>
    <n v="51.746031746031697"/>
    <n v="18887.301587301601"/>
    <n v="67994.285714285696"/>
  </r>
  <r>
    <x v="0"/>
    <x v="0"/>
    <x v="0"/>
    <x v="9"/>
    <x v="20"/>
    <s v="SE4_HP"/>
    <x v="1"/>
    <x v="255"/>
    <x v="0"/>
    <x v="14"/>
    <n v="51.746031746031697"/>
    <n v="18887.301587301601"/>
    <n v="67994.285714285696"/>
  </r>
  <r>
    <x v="0"/>
    <x v="0"/>
    <x v="0"/>
    <x v="9"/>
    <x v="20"/>
    <s v="SE4_HP"/>
    <x v="1"/>
    <x v="255"/>
    <x v="0"/>
    <x v="15"/>
    <n v="51.746031746031697"/>
    <n v="18887.301587301601"/>
    <n v="67994.285714285696"/>
  </r>
  <r>
    <x v="0"/>
    <x v="0"/>
    <x v="0"/>
    <x v="9"/>
    <x v="20"/>
    <s v="SE4_HP"/>
    <x v="1"/>
    <x v="255"/>
    <x v="0"/>
    <x v="16"/>
    <n v="51.746031746031697"/>
    <n v="18887.301587301601"/>
    <n v="67994.285714285696"/>
  </r>
  <r>
    <x v="0"/>
    <x v="0"/>
    <x v="0"/>
    <x v="9"/>
    <x v="20"/>
    <s v="SE4_HP"/>
    <x v="1"/>
    <x v="255"/>
    <x v="0"/>
    <x v="17"/>
    <n v="51.746031746031697"/>
    <n v="18887.301587301601"/>
    <n v="67994.285714285696"/>
  </r>
  <r>
    <x v="0"/>
    <x v="0"/>
    <x v="0"/>
    <x v="9"/>
    <x v="20"/>
    <s v="SE4_HP"/>
    <x v="1"/>
    <x v="255"/>
    <x v="0"/>
    <x v="18"/>
    <n v="51.746031746031697"/>
    <n v="18887.301587301601"/>
    <n v="67994.285714285696"/>
  </r>
  <r>
    <x v="0"/>
    <x v="0"/>
    <x v="0"/>
    <x v="9"/>
    <x v="20"/>
    <s v="SE4_HP"/>
    <x v="1"/>
    <x v="255"/>
    <x v="0"/>
    <x v="19"/>
    <n v="51.746031746031697"/>
    <n v="18887.301587301601"/>
    <n v="67994.285714285696"/>
  </r>
  <r>
    <x v="0"/>
    <x v="0"/>
    <x v="0"/>
    <x v="9"/>
    <x v="20"/>
    <s v="SE4_HP"/>
    <x v="1"/>
    <x v="255"/>
    <x v="0"/>
    <x v="20"/>
    <n v="51.746031746031697"/>
    <n v="18887.301587301601"/>
    <n v="67994.285714285696"/>
  </r>
  <r>
    <x v="0"/>
    <x v="0"/>
    <x v="0"/>
    <x v="9"/>
    <x v="20"/>
    <s v="SE4_HP"/>
    <x v="1"/>
    <x v="255"/>
    <x v="0"/>
    <x v="21"/>
    <n v="51.746031746031697"/>
    <n v="18887.301587301601"/>
    <n v="67994.285714285696"/>
  </r>
  <r>
    <x v="0"/>
    <x v="0"/>
    <x v="0"/>
    <x v="9"/>
    <x v="20"/>
    <s v="SE4_HP"/>
    <x v="1"/>
    <x v="255"/>
    <x v="0"/>
    <x v="22"/>
    <n v="51.746031746031697"/>
    <n v="18887.301587301601"/>
    <n v="67994.285714285696"/>
  </r>
  <r>
    <x v="0"/>
    <x v="0"/>
    <x v="0"/>
    <x v="9"/>
    <x v="20"/>
    <s v="SE4_HP"/>
    <x v="1"/>
    <x v="255"/>
    <x v="0"/>
    <x v="23"/>
    <n v="51.746031746031697"/>
    <n v="18887.301587301601"/>
    <n v="67994.285714285696"/>
  </r>
  <r>
    <x v="0"/>
    <x v="0"/>
    <x v="0"/>
    <x v="9"/>
    <x v="20"/>
    <s v="SE4_HP"/>
    <x v="2"/>
    <x v="112"/>
    <x v="0"/>
    <x v="3"/>
    <n v="122.727272727273"/>
    <n v="44795.454545454602"/>
    <n v="161263.636363636"/>
  </r>
  <r>
    <x v="0"/>
    <x v="0"/>
    <x v="0"/>
    <x v="9"/>
    <x v="20"/>
    <s v="SE4_HP"/>
    <x v="2"/>
    <x v="112"/>
    <x v="0"/>
    <x v="4"/>
    <n v="122.727272727273"/>
    <n v="44795.454545454602"/>
    <n v="161263.636363636"/>
  </r>
  <r>
    <x v="0"/>
    <x v="0"/>
    <x v="0"/>
    <x v="9"/>
    <x v="20"/>
    <s v="SE4_HP"/>
    <x v="2"/>
    <x v="112"/>
    <x v="0"/>
    <x v="5"/>
    <n v="122.727272727273"/>
    <n v="44795.454545454602"/>
    <n v="161263.636363636"/>
  </r>
  <r>
    <x v="0"/>
    <x v="0"/>
    <x v="0"/>
    <x v="9"/>
    <x v="20"/>
    <s v="SE4_HP"/>
    <x v="2"/>
    <x v="112"/>
    <x v="0"/>
    <x v="6"/>
    <n v="122.727272727273"/>
    <n v="44795.454545454602"/>
    <n v="161263.636363636"/>
  </r>
  <r>
    <x v="0"/>
    <x v="0"/>
    <x v="0"/>
    <x v="9"/>
    <x v="20"/>
    <s v="SE4_HP"/>
    <x v="2"/>
    <x v="112"/>
    <x v="0"/>
    <x v="7"/>
    <n v="122.727272727273"/>
    <n v="44795.454545454602"/>
    <n v="161263.636363636"/>
  </r>
  <r>
    <x v="0"/>
    <x v="0"/>
    <x v="0"/>
    <x v="9"/>
    <x v="20"/>
    <s v="SE4_HP"/>
    <x v="2"/>
    <x v="112"/>
    <x v="0"/>
    <x v="8"/>
    <n v="122.727272727273"/>
    <n v="44795.454545454602"/>
    <n v="161263.636363636"/>
  </r>
  <r>
    <x v="0"/>
    <x v="0"/>
    <x v="0"/>
    <x v="9"/>
    <x v="20"/>
    <s v="SE4_HP"/>
    <x v="2"/>
    <x v="112"/>
    <x v="0"/>
    <x v="0"/>
    <n v="122.727272727273"/>
    <n v="44795.454545454602"/>
    <n v="161263.636363636"/>
  </r>
  <r>
    <x v="0"/>
    <x v="0"/>
    <x v="0"/>
    <x v="9"/>
    <x v="20"/>
    <s v="SE4_HP"/>
    <x v="2"/>
    <x v="112"/>
    <x v="0"/>
    <x v="1"/>
    <n v="122.727272727273"/>
    <n v="44795.454545454602"/>
    <n v="161263.636363636"/>
  </r>
  <r>
    <x v="0"/>
    <x v="0"/>
    <x v="0"/>
    <x v="9"/>
    <x v="20"/>
    <s v="SE4_HP"/>
    <x v="2"/>
    <x v="112"/>
    <x v="0"/>
    <x v="2"/>
    <n v="122.727272727273"/>
    <n v="44795.454545454602"/>
    <n v="161263.636363636"/>
  </r>
  <r>
    <x v="0"/>
    <x v="0"/>
    <x v="0"/>
    <x v="9"/>
    <x v="20"/>
    <s v="SE4_HP"/>
    <x v="2"/>
    <x v="112"/>
    <x v="0"/>
    <x v="9"/>
    <n v="122.727272727273"/>
    <n v="44795.454545454602"/>
    <n v="161263.636363636"/>
  </r>
  <r>
    <x v="0"/>
    <x v="0"/>
    <x v="0"/>
    <x v="9"/>
    <x v="20"/>
    <s v="SE4_HP"/>
    <x v="2"/>
    <x v="112"/>
    <x v="0"/>
    <x v="10"/>
    <n v="122.727272727273"/>
    <n v="44795.454545454602"/>
    <n v="161263.636363636"/>
  </r>
  <r>
    <x v="0"/>
    <x v="0"/>
    <x v="0"/>
    <x v="9"/>
    <x v="20"/>
    <s v="SE4_HP"/>
    <x v="2"/>
    <x v="112"/>
    <x v="0"/>
    <x v="11"/>
    <n v="122.727272727273"/>
    <n v="44795.454545454602"/>
    <n v="161263.636363636"/>
  </r>
  <r>
    <x v="0"/>
    <x v="0"/>
    <x v="0"/>
    <x v="9"/>
    <x v="20"/>
    <s v="SE4_HP"/>
    <x v="2"/>
    <x v="112"/>
    <x v="0"/>
    <x v="12"/>
    <n v="122.727272727273"/>
    <n v="44795.454545454602"/>
    <n v="161263.636363636"/>
  </r>
  <r>
    <x v="0"/>
    <x v="0"/>
    <x v="0"/>
    <x v="9"/>
    <x v="20"/>
    <s v="SE4_HP"/>
    <x v="2"/>
    <x v="112"/>
    <x v="0"/>
    <x v="13"/>
    <n v="122.727272727273"/>
    <n v="44795.454545454602"/>
    <n v="161263.636363636"/>
  </r>
  <r>
    <x v="0"/>
    <x v="0"/>
    <x v="0"/>
    <x v="9"/>
    <x v="20"/>
    <s v="SE4_HP"/>
    <x v="2"/>
    <x v="112"/>
    <x v="0"/>
    <x v="14"/>
    <n v="122.727272727273"/>
    <n v="44795.454545454602"/>
    <n v="161263.636363636"/>
  </r>
  <r>
    <x v="0"/>
    <x v="0"/>
    <x v="0"/>
    <x v="9"/>
    <x v="20"/>
    <s v="SE4_HP"/>
    <x v="2"/>
    <x v="112"/>
    <x v="0"/>
    <x v="15"/>
    <n v="122.727272727273"/>
    <n v="44795.454545454602"/>
    <n v="161263.636363636"/>
  </r>
  <r>
    <x v="0"/>
    <x v="0"/>
    <x v="0"/>
    <x v="9"/>
    <x v="20"/>
    <s v="SE4_HP"/>
    <x v="2"/>
    <x v="112"/>
    <x v="0"/>
    <x v="16"/>
    <n v="122.727272727273"/>
    <n v="44795.454545454602"/>
    <n v="161263.636363636"/>
  </r>
  <r>
    <x v="0"/>
    <x v="0"/>
    <x v="0"/>
    <x v="9"/>
    <x v="20"/>
    <s v="SE4_HP"/>
    <x v="2"/>
    <x v="112"/>
    <x v="0"/>
    <x v="17"/>
    <n v="122.727272727273"/>
    <n v="44795.454545454602"/>
    <n v="161263.636363636"/>
  </r>
  <r>
    <x v="0"/>
    <x v="0"/>
    <x v="0"/>
    <x v="9"/>
    <x v="20"/>
    <s v="SE4_HP"/>
    <x v="2"/>
    <x v="112"/>
    <x v="0"/>
    <x v="18"/>
    <n v="122.727272727273"/>
    <n v="44795.454545454602"/>
    <n v="161263.636363636"/>
  </r>
  <r>
    <x v="0"/>
    <x v="0"/>
    <x v="0"/>
    <x v="9"/>
    <x v="20"/>
    <s v="SE4_HP"/>
    <x v="2"/>
    <x v="112"/>
    <x v="0"/>
    <x v="19"/>
    <n v="122.727272727273"/>
    <n v="44795.454545454602"/>
    <n v="161263.636363636"/>
  </r>
  <r>
    <x v="0"/>
    <x v="0"/>
    <x v="0"/>
    <x v="9"/>
    <x v="20"/>
    <s v="SE4_HP"/>
    <x v="2"/>
    <x v="112"/>
    <x v="0"/>
    <x v="20"/>
    <n v="122.727272727273"/>
    <n v="44795.454545454602"/>
    <n v="161263.636363636"/>
  </r>
  <r>
    <x v="0"/>
    <x v="0"/>
    <x v="0"/>
    <x v="9"/>
    <x v="20"/>
    <s v="SE4_HP"/>
    <x v="2"/>
    <x v="112"/>
    <x v="0"/>
    <x v="21"/>
    <n v="122.727272727273"/>
    <n v="44795.454545454602"/>
    <n v="161263.636363636"/>
  </r>
  <r>
    <x v="0"/>
    <x v="0"/>
    <x v="0"/>
    <x v="9"/>
    <x v="20"/>
    <s v="SE4_HP"/>
    <x v="2"/>
    <x v="112"/>
    <x v="0"/>
    <x v="22"/>
    <n v="122.727272727273"/>
    <n v="44795.454545454602"/>
    <n v="161263.636363636"/>
  </r>
  <r>
    <x v="0"/>
    <x v="0"/>
    <x v="0"/>
    <x v="9"/>
    <x v="20"/>
    <s v="SE4_HP"/>
    <x v="2"/>
    <x v="112"/>
    <x v="0"/>
    <x v="23"/>
    <n v="122.727272727273"/>
    <n v="44795.454545454602"/>
    <n v="161263.636363636"/>
  </r>
  <r>
    <x v="0"/>
    <x v="0"/>
    <x v="0"/>
    <x v="9"/>
    <x v="20"/>
    <s v="SE4_HP"/>
    <x v="9"/>
    <x v="114"/>
    <x v="0"/>
    <x v="0"/>
    <n v="56.372594900478198"/>
    <n v="20575.997138674498"/>
    <n v="74073.589699228396"/>
  </r>
  <r>
    <x v="0"/>
    <x v="0"/>
    <x v="0"/>
    <x v="9"/>
    <x v="20"/>
    <s v="SE4_HP"/>
    <x v="9"/>
    <x v="114"/>
    <x v="0"/>
    <x v="1"/>
    <n v="239.355452358306"/>
    <n v="87364.740110781597"/>
    <n v="314513.06439881399"/>
  </r>
  <r>
    <x v="0"/>
    <x v="0"/>
    <x v="0"/>
    <x v="9"/>
    <x v="20"/>
    <s v="SE4_HP"/>
    <x v="9"/>
    <x v="114"/>
    <x v="0"/>
    <x v="2"/>
    <n v="239.355452358306"/>
    <n v="87364.740110781597"/>
    <n v="314513.06439881399"/>
  </r>
  <r>
    <x v="0"/>
    <x v="0"/>
    <x v="0"/>
    <x v="9"/>
    <x v="20"/>
    <s v="SE4_HP"/>
    <x v="9"/>
    <x v="114"/>
    <x v="0"/>
    <x v="9"/>
    <n v="239.355452358306"/>
    <n v="87364.740110781597"/>
    <n v="314513.06439881399"/>
  </r>
  <r>
    <x v="0"/>
    <x v="0"/>
    <x v="0"/>
    <x v="9"/>
    <x v="20"/>
    <s v="SE4_HP"/>
    <x v="9"/>
    <x v="114"/>
    <x v="0"/>
    <x v="10"/>
    <n v="239.355452358306"/>
    <n v="87364.740110781597"/>
    <n v="314513.06439881399"/>
  </r>
  <r>
    <x v="0"/>
    <x v="0"/>
    <x v="0"/>
    <x v="9"/>
    <x v="20"/>
    <s v="SE4_HP"/>
    <x v="9"/>
    <x v="114"/>
    <x v="0"/>
    <x v="14"/>
    <n v="239.355452358306"/>
    <n v="87364.740110781597"/>
    <n v="314513.06439881399"/>
  </r>
  <r>
    <x v="0"/>
    <x v="0"/>
    <x v="0"/>
    <x v="9"/>
    <x v="20"/>
    <s v="SE4_HP"/>
    <x v="9"/>
    <x v="114"/>
    <x v="0"/>
    <x v="15"/>
    <n v="239.355452358306"/>
    <n v="87364.740110781597"/>
    <n v="314513.06439881399"/>
  </r>
  <r>
    <x v="0"/>
    <x v="0"/>
    <x v="0"/>
    <x v="9"/>
    <x v="20"/>
    <s v="SE4_HP"/>
    <x v="9"/>
    <x v="114"/>
    <x v="0"/>
    <x v="16"/>
    <n v="239.355452358306"/>
    <n v="87364.740110781597"/>
    <n v="314513.06439881399"/>
  </r>
  <r>
    <x v="0"/>
    <x v="0"/>
    <x v="0"/>
    <x v="9"/>
    <x v="20"/>
    <s v="SE4_HP"/>
    <x v="9"/>
    <x v="114"/>
    <x v="0"/>
    <x v="17"/>
    <n v="239.355452358306"/>
    <n v="87364.740110781597"/>
    <n v="314513.06439881399"/>
  </r>
  <r>
    <x v="0"/>
    <x v="0"/>
    <x v="0"/>
    <x v="9"/>
    <x v="20"/>
    <s v="SE4_MAL"/>
    <x v="1"/>
    <x v="234"/>
    <x v="0"/>
    <x v="3"/>
    <n v="145.419526658839"/>
    <n v="53078.127230476399"/>
    <n v="191081.25802971501"/>
  </r>
  <r>
    <x v="0"/>
    <x v="0"/>
    <x v="0"/>
    <x v="9"/>
    <x v="20"/>
    <s v="SE4_MAL"/>
    <x v="1"/>
    <x v="234"/>
    <x v="0"/>
    <x v="4"/>
    <n v="145.419526658839"/>
    <n v="53078.127230476399"/>
    <n v="191081.25802971501"/>
  </r>
  <r>
    <x v="0"/>
    <x v="0"/>
    <x v="0"/>
    <x v="9"/>
    <x v="20"/>
    <s v="SE4_MAL"/>
    <x v="1"/>
    <x v="234"/>
    <x v="0"/>
    <x v="5"/>
    <n v="145.419526658839"/>
    <n v="53078.127230476399"/>
    <n v="191081.25802971501"/>
  </r>
  <r>
    <x v="0"/>
    <x v="0"/>
    <x v="0"/>
    <x v="9"/>
    <x v="20"/>
    <s v="SE4_MAL"/>
    <x v="1"/>
    <x v="234"/>
    <x v="0"/>
    <x v="6"/>
    <n v="145.419526658839"/>
    <n v="53078.127230476399"/>
    <n v="191081.25802971501"/>
  </r>
  <r>
    <x v="0"/>
    <x v="0"/>
    <x v="0"/>
    <x v="9"/>
    <x v="20"/>
    <s v="SE4_MAL"/>
    <x v="1"/>
    <x v="234"/>
    <x v="0"/>
    <x v="7"/>
    <n v="145.419526658839"/>
    <n v="53078.127230476399"/>
    <n v="191081.25802971501"/>
  </r>
  <r>
    <x v="0"/>
    <x v="0"/>
    <x v="0"/>
    <x v="9"/>
    <x v="20"/>
    <s v="SE4_MAL"/>
    <x v="1"/>
    <x v="234"/>
    <x v="0"/>
    <x v="8"/>
    <n v="145.419526658839"/>
    <n v="53078.127230476399"/>
    <n v="191081.25802971501"/>
  </r>
  <r>
    <x v="0"/>
    <x v="0"/>
    <x v="0"/>
    <x v="9"/>
    <x v="20"/>
    <s v="SE4_MAL"/>
    <x v="1"/>
    <x v="234"/>
    <x v="0"/>
    <x v="0"/>
    <n v="145.419526658839"/>
    <n v="53078.127230476399"/>
    <n v="191081.25802971501"/>
  </r>
  <r>
    <x v="0"/>
    <x v="0"/>
    <x v="0"/>
    <x v="9"/>
    <x v="20"/>
    <s v="SE4_MAL"/>
    <x v="1"/>
    <x v="234"/>
    <x v="0"/>
    <x v="1"/>
    <n v="145.419526658839"/>
    <n v="53078.127230476399"/>
    <n v="191081.25802971501"/>
  </r>
  <r>
    <x v="0"/>
    <x v="0"/>
    <x v="0"/>
    <x v="9"/>
    <x v="20"/>
    <s v="SE4_MAL"/>
    <x v="1"/>
    <x v="234"/>
    <x v="0"/>
    <x v="2"/>
    <n v="145.419526658839"/>
    <n v="53078.127230476399"/>
    <n v="191081.25802971501"/>
  </r>
  <r>
    <x v="0"/>
    <x v="0"/>
    <x v="0"/>
    <x v="9"/>
    <x v="20"/>
    <s v="SE4_MAL"/>
    <x v="1"/>
    <x v="234"/>
    <x v="0"/>
    <x v="9"/>
    <n v="145.419526658839"/>
    <n v="53078.127230476399"/>
    <n v="191081.25802971501"/>
  </r>
  <r>
    <x v="0"/>
    <x v="0"/>
    <x v="0"/>
    <x v="9"/>
    <x v="20"/>
    <s v="SE4_MAL"/>
    <x v="1"/>
    <x v="234"/>
    <x v="0"/>
    <x v="10"/>
    <n v="145.419526658839"/>
    <n v="53078.127230476399"/>
    <n v="191081.25802971501"/>
  </r>
  <r>
    <x v="0"/>
    <x v="0"/>
    <x v="0"/>
    <x v="9"/>
    <x v="20"/>
    <s v="SE4_MAL"/>
    <x v="1"/>
    <x v="234"/>
    <x v="0"/>
    <x v="11"/>
    <n v="145.419526658839"/>
    <n v="53078.127230476399"/>
    <n v="191081.25802971501"/>
  </r>
  <r>
    <x v="0"/>
    <x v="0"/>
    <x v="0"/>
    <x v="9"/>
    <x v="20"/>
    <s v="SE4_MAL"/>
    <x v="1"/>
    <x v="234"/>
    <x v="0"/>
    <x v="12"/>
    <n v="145.419526658839"/>
    <n v="53078.127230476399"/>
    <n v="191081.25802971501"/>
  </r>
  <r>
    <x v="0"/>
    <x v="0"/>
    <x v="0"/>
    <x v="9"/>
    <x v="20"/>
    <s v="SE4_MAL"/>
    <x v="1"/>
    <x v="234"/>
    <x v="0"/>
    <x v="13"/>
    <n v="145.419526658839"/>
    <n v="53078.127230476399"/>
    <n v="191081.25802971501"/>
  </r>
  <r>
    <x v="0"/>
    <x v="0"/>
    <x v="0"/>
    <x v="9"/>
    <x v="20"/>
    <s v="SE4_MAL"/>
    <x v="1"/>
    <x v="234"/>
    <x v="0"/>
    <x v="14"/>
    <n v="145.419526658839"/>
    <n v="53078.127230476399"/>
    <n v="191081.25802971501"/>
  </r>
  <r>
    <x v="0"/>
    <x v="0"/>
    <x v="0"/>
    <x v="9"/>
    <x v="20"/>
    <s v="SE4_MAL"/>
    <x v="1"/>
    <x v="234"/>
    <x v="0"/>
    <x v="15"/>
    <n v="145.419526658839"/>
    <n v="53078.127230476399"/>
    <n v="191081.25802971501"/>
  </r>
  <r>
    <x v="0"/>
    <x v="0"/>
    <x v="0"/>
    <x v="9"/>
    <x v="20"/>
    <s v="SE4_MAL"/>
    <x v="1"/>
    <x v="234"/>
    <x v="0"/>
    <x v="16"/>
    <n v="145.419526658839"/>
    <n v="53078.127230476399"/>
    <n v="191081.25802971501"/>
  </r>
  <r>
    <x v="0"/>
    <x v="0"/>
    <x v="0"/>
    <x v="9"/>
    <x v="20"/>
    <s v="SE4_MAL"/>
    <x v="1"/>
    <x v="234"/>
    <x v="0"/>
    <x v="17"/>
    <n v="145.419526658839"/>
    <n v="53078.127230476399"/>
    <n v="191081.25802971501"/>
  </r>
  <r>
    <x v="0"/>
    <x v="0"/>
    <x v="0"/>
    <x v="9"/>
    <x v="20"/>
    <s v="SE4_MAL"/>
    <x v="1"/>
    <x v="234"/>
    <x v="0"/>
    <x v="18"/>
    <n v="145.419526658839"/>
    <n v="53078.127230476399"/>
    <n v="191081.25802971501"/>
  </r>
  <r>
    <x v="0"/>
    <x v="0"/>
    <x v="0"/>
    <x v="9"/>
    <x v="20"/>
    <s v="SE4_MAL"/>
    <x v="1"/>
    <x v="234"/>
    <x v="0"/>
    <x v="19"/>
    <n v="145.419526658839"/>
    <n v="53078.127230476399"/>
    <n v="191081.25802971501"/>
  </r>
  <r>
    <x v="0"/>
    <x v="0"/>
    <x v="0"/>
    <x v="9"/>
    <x v="20"/>
    <s v="SE4_MAL"/>
    <x v="1"/>
    <x v="234"/>
    <x v="0"/>
    <x v="20"/>
    <n v="145.419526658839"/>
    <n v="53078.127230476399"/>
    <n v="191081.25802971501"/>
  </r>
  <r>
    <x v="0"/>
    <x v="0"/>
    <x v="0"/>
    <x v="9"/>
    <x v="20"/>
    <s v="SE4_MAL"/>
    <x v="1"/>
    <x v="234"/>
    <x v="0"/>
    <x v="21"/>
    <n v="145.419526658839"/>
    <n v="53078.127230476399"/>
    <n v="191081.25802971501"/>
  </r>
  <r>
    <x v="0"/>
    <x v="0"/>
    <x v="0"/>
    <x v="9"/>
    <x v="20"/>
    <s v="SE4_MAL"/>
    <x v="1"/>
    <x v="234"/>
    <x v="0"/>
    <x v="22"/>
    <n v="145.419526658839"/>
    <n v="53078.127230476399"/>
    <n v="191081.25802971501"/>
  </r>
  <r>
    <x v="0"/>
    <x v="0"/>
    <x v="0"/>
    <x v="9"/>
    <x v="20"/>
    <s v="SE4_MAL"/>
    <x v="1"/>
    <x v="234"/>
    <x v="0"/>
    <x v="23"/>
    <n v="145.419526658839"/>
    <n v="53078.127230476399"/>
    <n v="191081.25802971501"/>
  </r>
  <r>
    <x v="0"/>
    <x v="0"/>
    <x v="0"/>
    <x v="9"/>
    <x v="20"/>
    <s v="SE4_MAL"/>
    <x v="1"/>
    <x v="208"/>
    <x v="0"/>
    <x v="3"/>
    <n v="57.312907992145199"/>
    <n v="20919.211417132999"/>
    <n v="75309.161101678794"/>
  </r>
  <r>
    <x v="0"/>
    <x v="0"/>
    <x v="0"/>
    <x v="9"/>
    <x v="20"/>
    <s v="SE4_MAL"/>
    <x v="1"/>
    <x v="208"/>
    <x v="0"/>
    <x v="4"/>
    <n v="57.312907992145199"/>
    <n v="20919.211417132999"/>
    <n v="75309.161101678794"/>
  </r>
  <r>
    <x v="0"/>
    <x v="0"/>
    <x v="0"/>
    <x v="9"/>
    <x v="20"/>
    <s v="SE4_MAL"/>
    <x v="1"/>
    <x v="208"/>
    <x v="0"/>
    <x v="6"/>
    <n v="57.312907992145199"/>
    <n v="20919.211417132999"/>
    <n v="75309.161101678794"/>
  </r>
  <r>
    <x v="0"/>
    <x v="0"/>
    <x v="0"/>
    <x v="9"/>
    <x v="20"/>
    <s v="SE4_MAL"/>
    <x v="1"/>
    <x v="208"/>
    <x v="0"/>
    <x v="7"/>
    <n v="57.312907992145199"/>
    <n v="20919.211417132999"/>
    <n v="75309.161101678794"/>
  </r>
  <r>
    <x v="0"/>
    <x v="0"/>
    <x v="0"/>
    <x v="9"/>
    <x v="20"/>
    <s v="SE4_MAL"/>
    <x v="1"/>
    <x v="208"/>
    <x v="0"/>
    <x v="8"/>
    <n v="57.312907992145199"/>
    <n v="20919.211417132999"/>
    <n v="75309.161101678794"/>
  </r>
  <r>
    <x v="0"/>
    <x v="0"/>
    <x v="0"/>
    <x v="9"/>
    <x v="20"/>
    <s v="SE4_MAL"/>
    <x v="1"/>
    <x v="208"/>
    <x v="0"/>
    <x v="20"/>
    <n v="57.312907992145199"/>
    <n v="20919.211417132999"/>
    <n v="75309.161101678794"/>
  </r>
  <r>
    <x v="0"/>
    <x v="0"/>
    <x v="0"/>
    <x v="9"/>
    <x v="20"/>
    <s v="SE4_MAL"/>
    <x v="1"/>
    <x v="208"/>
    <x v="0"/>
    <x v="21"/>
    <n v="57.312907992145199"/>
    <n v="20919.211417132999"/>
    <n v="75309.161101678794"/>
  </r>
  <r>
    <x v="0"/>
    <x v="0"/>
    <x v="0"/>
    <x v="9"/>
    <x v="20"/>
    <s v="SE4_MAL"/>
    <x v="1"/>
    <x v="208"/>
    <x v="0"/>
    <x v="22"/>
    <n v="18.993749601837699"/>
    <n v="6932.7186046707702"/>
    <n v="24957.786976814801"/>
  </r>
  <r>
    <x v="0"/>
    <x v="0"/>
    <x v="0"/>
    <x v="9"/>
    <x v="20"/>
    <s v="SE4_MAL"/>
    <x v="2"/>
    <x v="256"/>
    <x v="0"/>
    <x v="0"/>
    <n v="491.27906976744202"/>
    <n v="179316.86046511601"/>
    <n v="645540.69767441903"/>
  </r>
  <r>
    <x v="0"/>
    <x v="0"/>
    <x v="0"/>
    <x v="9"/>
    <x v="20"/>
    <s v="SE4_MAL"/>
    <x v="2"/>
    <x v="256"/>
    <x v="0"/>
    <x v="1"/>
    <n v="491.27906976744202"/>
    <n v="179316.86046511601"/>
    <n v="645540.69767441903"/>
  </r>
  <r>
    <x v="0"/>
    <x v="0"/>
    <x v="0"/>
    <x v="9"/>
    <x v="20"/>
    <s v="SE4_MAL"/>
    <x v="2"/>
    <x v="256"/>
    <x v="0"/>
    <x v="2"/>
    <n v="491.27906976744202"/>
    <n v="179316.86046511601"/>
    <n v="645540.69767441903"/>
  </r>
  <r>
    <x v="0"/>
    <x v="0"/>
    <x v="0"/>
    <x v="9"/>
    <x v="20"/>
    <s v="SE4_MAL"/>
    <x v="2"/>
    <x v="256"/>
    <x v="0"/>
    <x v="9"/>
    <n v="491.27906976744202"/>
    <n v="179316.86046511601"/>
    <n v="645540.69767441903"/>
  </r>
  <r>
    <x v="0"/>
    <x v="0"/>
    <x v="0"/>
    <x v="9"/>
    <x v="20"/>
    <s v="SE4_MAL"/>
    <x v="2"/>
    <x v="256"/>
    <x v="0"/>
    <x v="10"/>
    <n v="491.27906976744202"/>
    <n v="179316.86046511601"/>
    <n v="645540.69767441903"/>
  </r>
  <r>
    <x v="0"/>
    <x v="0"/>
    <x v="0"/>
    <x v="9"/>
    <x v="20"/>
    <s v="SE4_MAL"/>
    <x v="2"/>
    <x v="256"/>
    <x v="0"/>
    <x v="14"/>
    <n v="491.27906976744202"/>
    <n v="179316.86046511601"/>
    <n v="645540.69767441903"/>
  </r>
  <r>
    <x v="0"/>
    <x v="0"/>
    <x v="0"/>
    <x v="9"/>
    <x v="20"/>
    <s v="SE4_MAL"/>
    <x v="2"/>
    <x v="256"/>
    <x v="0"/>
    <x v="15"/>
    <n v="491.27906976744202"/>
    <n v="179316.86046511601"/>
    <n v="645540.69767441903"/>
  </r>
  <r>
    <x v="0"/>
    <x v="0"/>
    <x v="0"/>
    <x v="9"/>
    <x v="20"/>
    <s v="SE4_MAL"/>
    <x v="2"/>
    <x v="256"/>
    <x v="0"/>
    <x v="16"/>
    <n v="491.27906976744202"/>
    <n v="179316.86046511601"/>
    <n v="645540.69767441903"/>
  </r>
  <r>
    <x v="0"/>
    <x v="0"/>
    <x v="0"/>
    <x v="9"/>
    <x v="20"/>
    <s v="SE4_MAL"/>
    <x v="2"/>
    <x v="256"/>
    <x v="0"/>
    <x v="17"/>
    <n v="491.27906976744202"/>
    <n v="179316.86046511601"/>
    <n v="645540.69767441903"/>
  </r>
  <r>
    <x v="0"/>
    <x v="0"/>
    <x v="0"/>
    <x v="9"/>
    <x v="20"/>
    <s v="SE4_MAL"/>
    <x v="2"/>
    <x v="256"/>
    <x v="0"/>
    <x v="18"/>
    <n v="491.27906976744202"/>
    <n v="179316.86046511601"/>
    <n v="645540.69767441903"/>
  </r>
  <r>
    <x v="0"/>
    <x v="0"/>
    <x v="0"/>
    <x v="9"/>
    <x v="20"/>
    <s v="SE4_MAL"/>
    <x v="2"/>
    <x v="256"/>
    <x v="0"/>
    <x v="19"/>
    <n v="225.762355407314"/>
    <n v="82403.259723669602"/>
    <n v="296651.73500521103"/>
  </r>
  <r>
    <x v="0"/>
    <x v="0"/>
    <x v="0"/>
    <x v="9"/>
    <x v="20"/>
    <s v="SE4_MAL"/>
    <x v="2"/>
    <x v="257"/>
    <x v="0"/>
    <x v="3"/>
    <n v="800"/>
    <n v="292000"/>
    <n v="1051200"/>
  </r>
  <r>
    <x v="0"/>
    <x v="0"/>
    <x v="0"/>
    <x v="9"/>
    <x v="20"/>
    <s v="SE4_MAL"/>
    <x v="2"/>
    <x v="257"/>
    <x v="0"/>
    <x v="4"/>
    <n v="800"/>
    <n v="292000"/>
    <n v="1051200"/>
  </r>
  <r>
    <x v="0"/>
    <x v="0"/>
    <x v="0"/>
    <x v="9"/>
    <x v="20"/>
    <s v="SE4_MAL"/>
    <x v="2"/>
    <x v="257"/>
    <x v="0"/>
    <x v="5"/>
    <n v="800"/>
    <n v="292000"/>
    <n v="1051200"/>
  </r>
  <r>
    <x v="0"/>
    <x v="0"/>
    <x v="0"/>
    <x v="9"/>
    <x v="20"/>
    <s v="SE4_MAL"/>
    <x v="2"/>
    <x v="257"/>
    <x v="0"/>
    <x v="6"/>
    <n v="800"/>
    <n v="292000"/>
    <n v="1051200"/>
  </r>
  <r>
    <x v="0"/>
    <x v="0"/>
    <x v="0"/>
    <x v="9"/>
    <x v="20"/>
    <s v="SE4_MAL"/>
    <x v="2"/>
    <x v="257"/>
    <x v="0"/>
    <x v="7"/>
    <n v="800"/>
    <n v="292000"/>
    <n v="1051200"/>
  </r>
  <r>
    <x v="0"/>
    <x v="0"/>
    <x v="0"/>
    <x v="9"/>
    <x v="20"/>
    <s v="SE4_MAL"/>
    <x v="2"/>
    <x v="257"/>
    <x v="0"/>
    <x v="8"/>
    <n v="800"/>
    <n v="292000"/>
    <n v="1051200"/>
  </r>
  <r>
    <x v="0"/>
    <x v="0"/>
    <x v="0"/>
    <x v="9"/>
    <x v="20"/>
    <s v="SE4_MAL"/>
    <x v="2"/>
    <x v="257"/>
    <x v="0"/>
    <x v="0"/>
    <n v="800"/>
    <n v="292000"/>
    <n v="1051200"/>
  </r>
  <r>
    <x v="0"/>
    <x v="0"/>
    <x v="0"/>
    <x v="9"/>
    <x v="20"/>
    <s v="SE4_MAL"/>
    <x v="2"/>
    <x v="257"/>
    <x v="0"/>
    <x v="1"/>
    <n v="800"/>
    <n v="292000"/>
    <n v="1051200"/>
  </r>
  <r>
    <x v="0"/>
    <x v="0"/>
    <x v="0"/>
    <x v="9"/>
    <x v="20"/>
    <s v="SE4_MAL"/>
    <x v="2"/>
    <x v="257"/>
    <x v="0"/>
    <x v="2"/>
    <n v="800"/>
    <n v="292000"/>
    <n v="1051200"/>
  </r>
  <r>
    <x v="0"/>
    <x v="0"/>
    <x v="0"/>
    <x v="9"/>
    <x v="20"/>
    <s v="SE4_MAL"/>
    <x v="2"/>
    <x v="257"/>
    <x v="0"/>
    <x v="9"/>
    <n v="800"/>
    <n v="292000"/>
    <n v="1051200"/>
  </r>
  <r>
    <x v="0"/>
    <x v="0"/>
    <x v="0"/>
    <x v="9"/>
    <x v="20"/>
    <s v="SE4_MAL"/>
    <x v="2"/>
    <x v="257"/>
    <x v="0"/>
    <x v="10"/>
    <n v="800"/>
    <n v="292000"/>
    <n v="1051200"/>
  </r>
  <r>
    <x v="0"/>
    <x v="0"/>
    <x v="0"/>
    <x v="9"/>
    <x v="20"/>
    <s v="SE4_MAL"/>
    <x v="2"/>
    <x v="257"/>
    <x v="0"/>
    <x v="11"/>
    <n v="800"/>
    <n v="292000"/>
    <n v="1051200"/>
  </r>
  <r>
    <x v="0"/>
    <x v="0"/>
    <x v="0"/>
    <x v="9"/>
    <x v="20"/>
    <s v="SE4_MAL"/>
    <x v="2"/>
    <x v="257"/>
    <x v="0"/>
    <x v="12"/>
    <n v="800"/>
    <n v="292000"/>
    <n v="1051200"/>
  </r>
  <r>
    <x v="0"/>
    <x v="0"/>
    <x v="0"/>
    <x v="9"/>
    <x v="20"/>
    <s v="SE4_MAL"/>
    <x v="2"/>
    <x v="257"/>
    <x v="0"/>
    <x v="13"/>
    <n v="800"/>
    <n v="292000"/>
    <n v="1051200"/>
  </r>
  <r>
    <x v="0"/>
    <x v="0"/>
    <x v="0"/>
    <x v="9"/>
    <x v="20"/>
    <s v="SE4_MAL"/>
    <x v="2"/>
    <x v="257"/>
    <x v="0"/>
    <x v="14"/>
    <n v="800"/>
    <n v="292000"/>
    <n v="1051200"/>
  </r>
  <r>
    <x v="0"/>
    <x v="0"/>
    <x v="0"/>
    <x v="9"/>
    <x v="20"/>
    <s v="SE4_MAL"/>
    <x v="2"/>
    <x v="257"/>
    <x v="0"/>
    <x v="15"/>
    <n v="800"/>
    <n v="292000"/>
    <n v="1051200"/>
  </r>
  <r>
    <x v="0"/>
    <x v="0"/>
    <x v="0"/>
    <x v="9"/>
    <x v="20"/>
    <s v="SE4_MAL"/>
    <x v="2"/>
    <x v="257"/>
    <x v="0"/>
    <x v="16"/>
    <n v="800"/>
    <n v="292000"/>
    <n v="1051200"/>
  </r>
  <r>
    <x v="0"/>
    <x v="0"/>
    <x v="0"/>
    <x v="9"/>
    <x v="20"/>
    <s v="SE4_MAL"/>
    <x v="2"/>
    <x v="257"/>
    <x v="0"/>
    <x v="17"/>
    <n v="800"/>
    <n v="292000"/>
    <n v="1051200"/>
  </r>
  <r>
    <x v="0"/>
    <x v="0"/>
    <x v="0"/>
    <x v="9"/>
    <x v="20"/>
    <s v="SE4_MAL"/>
    <x v="2"/>
    <x v="257"/>
    <x v="0"/>
    <x v="18"/>
    <n v="800"/>
    <n v="292000"/>
    <n v="1051200"/>
  </r>
  <r>
    <x v="0"/>
    <x v="0"/>
    <x v="0"/>
    <x v="9"/>
    <x v="20"/>
    <s v="SE4_MAL"/>
    <x v="2"/>
    <x v="257"/>
    <x v="0"/>
    <x v="19"/>
    <n v="800"/>
    <n v="292000"/>
    <n v="1051200"/>
  </r>
  <r>
    <x v="0"/>
    <x v="0"/>
    <x v="0"/>
    <x v="9"/>
    <x v="20"/>
    <s v="SE4_MAL"/>
    <x v="2"/>
    <x v="257"/>
    <x v="0"/>
    <x v="20"/>
    <n v="800"/>
    <n v="292000"/>
    <n v="1051200"/>
  </r>
  <r>
    <x v="0"/>
    <x v="0"/>
    <x v="0"/>
    <x v="9"/>
    <x v="20"/>
    <s v="SE4_MAL"/>
    <x v="2"/>
    <x v="257"/>
    <x v="0"/>
    <x v="21"/>
    <n v="800"/>
    <n v="292000"/>
    <n v="1051200"/>
  </r>
  <r>
    <x v="0"/>
    <x v="0"/>
    <x v="0"/>
    <x v="9"/>
    <x v="20"/>
    <s v="SE4_MAL"/>
    <x v="2"/>
    <x v="257"/>
    <x v="0"/>
    <x v="22"/>
    <n v="800"/>
    <n v="292000"/>
    <n v="1051200"/>
  </r>
  <r>
    <x v="0"/>
    <x v="0"/>
    <x v="0"/>
    <x v="9"/>
    <x v="20"/>
    <s v="SE4_MAL"/>
    <x v="2"/>
    <x v="257"/>
    <x v="0"/>
    <x v="23"/>
    <n v="800"/>
    <n v="292000"/>
    <n v="1051200"/>
  </r>
  <r>
    <x v="0"/>
    <x v="0"/>
    <x v="0"/>
    <x v="9"/>
    <x v="20"/>
    <s v="SE4_MAL"/>
    <x v="4"/>
    <x v="108"/>
    <x v="0"/>
    <x v="3"/>
    <n v="12.362637362637299"/>
    <n v="4512.3626373626203"/>
    <n v="16244.5054945054"/>
  </r>
  <r>
    <x v="0"/>
    <x v="0"/>
    <x v="0"/>
    <x v="9"/>
    <x v="20"/>
    <s v="SE4_MAL"/>
    <x v="4"/>
    <x v="108"/>
    <x v="0"/>
    <x v="4"/>
    <n v="12.362637362637299"/>
    <n v="4512.3626373626203"/>
    <n v="16244.5054945054"/>
  </r>
  <r>
    <x v="0"/>
    <x v="0"/>
    <x v="0"/>
    <x v="9"/>
    <x v="20"/>
    <s v="SE4_MAL"/>
    <x v="4"/>
    <x v="108"/>
    <x v="0"/>
    <x v="5"/>
    <n v="12.362637362637299"/>
    <n v="4512.3626373626203"/>
    <n v="16244.5054945054"/>
  </r>
  <r>
    <x v="0"/>
    <x v="0"/>
    <x v="0"/>
    <x v="9"/>
    <x v="20"/>
    <s v="SE4_MAL"/>
    <x v="4"/>
    <x v="108"/>
    <x v="0"/>
    <x v="6"/>
    <n v="12.362637362637299"/>
    <n v="4512.3626373626203"/>
    <n v="16244.5054945054"/>
  </r>
  <r>
    <x v="0"/>
    <x v="0"/>
    <x v="0"/>
    <x v="9"/>
    <x v="20"/>
    <s v="SE4_MAL"/>
    <x v="4"/>
    <x v="108"/>
    <x v="0"/>
    <x v="7"/>
    <n v="12.362637362637299"/>
    <n v="4512.3626373626203"/>
    <n v="16244.5054945054"/>
  </r>
  <r>
    <x v="0"/>
    <x v="0"/>
    <x v="0"/>
    <x v="9"/>
    <x v="20"/>
    <s v="SE4_MAL"/>
    <x v="4"/>
    <x v="108"/>
    <x v="0"/>
    <x v="8"/>
    <n v="12.362637362637299"/>
    <n v="4512.3626373626203"/>
    <n v="16244.5054945054"/>
  </r>
  <r>
    <x v="0"/>
    <x v="0"/>
    <x v="0"/>
    <x v="9"/>
    <x v="20"/>
    <s v="SE4_MAL"/>
    <x v="4"/>
    <x v="108"/>
    <x v="0"/>
    <x v="20"/>
    <n v="12.362637362637299"/>
    <n v="4512.3626373626203"/>
    <n v="16244.5054945054"/>
  </r>
  <r>
    <x v="0"/>
    <x v="0"/>
    <x v="0"/>
    <x v="9"/>
    <x v="20"/>
    <s v="SE4_MAL"/>
    <x v="4"/>
    <x v="108"/>
    <x v="0"/>
    <x v="21"/>
    <n v="12.362637362637299"/>
    <n v="4512.3626373626203"/>
    <n v="16244.5054945054"/>
  </r>
  <r>
    <x v="0"/>
    <x v="0"/>
    <x v="0"/>
    <x v="9"/>
    <x v="20"/>
    <s v="SE4_MAL"/>
    <x v="4"/>
    <x v="108"/>
    <x v="0"/>
    <x v="22"/>
    <n v="12.362637362637299"/>
    <n v="4512.3626373626203"/>
    <n v="16244.5054945054"/>
  </r>
  <r>
    <x v="0"/>
    <x v="0"/>
    <x v="0"/>
    <x v="9"/>
    <x v="20"/>
    <s v="SE4_MAL"/>
    <x v="4"/>
    <x v="108"/>
    <x v="0"/>
    <x v="23"/>
    <n v="12.362637362637299"/>
    <n v="4512.3626373626203"/>
    <n v="16244.5054945054"/>
  </r>
  <r>
    <x v="0"/>
    <x v="0"/>
    <x v="0"/>
    <x v="9"/>
    <x v="20"/>
    <s v="SE4_OTHER"/>
    <x v="1"/>
    <x v="258"/>
    <x v="0"/>
    <x v="3"/>
    <n v="80.310012821149201"/>
    <n v="29313.154679719501"/>
    <n v="105527.35684699001"/>
  </r>
  <r>
    <x v="0"/>
    <x v="0"/>
    <x v="0"/>
    <x v="9"/>
    <x v="20"/>
    <s v="SE4_OTHER"/>
    <x v="1"/>
    <x v="258"/>
    <x v="0"/>
    <x v="4"/>
    <n v="80.310012821149201"/>
    <n v="29313.154679719501"/>
    <n v="105527.35684699001"/>
  </r>
  <r>
    <x v="0"/>
    <x v="0"/>
    <x v="0"/>
    <x v="9"/>
    <x v="20"/>
    <s v="SE4_OTHER"/>
    <x v="1"/>
    <x v="258"/>
    <x v="0"/>
    <x v="5"/>
    <n v="80.310012821149201"/>
    <n v="29313.154679719501"/>
    <n v="105527.35684699001"/>
  </r>
  <r>
    <x v="0"/>
    <x v="0"/>
    <x v="0"/>
    <x v="9"/>
    <x v="20"/>
    <s v="SE4_OTHER"/>
    <x v="1"/>
    <x v="258"/>
    <x v="0"/>
    <x v="6"/>
    <n v="80.310012821149201"/>
    <n v="29313.154679719501"/>
    <n v="105527.35684699001"/>
  </r>
  <r>
    <x v="0"/>
    <x v="0"/>
    <x v="0"/>
    <x v="9"/>
    <x v="20"/>
    <s v="SE4_OTHER"/>
    <x v="1"/>
    <x v="258"/>
    <x v="0"/>
    <x v="7"/>
    <n v="80.310012821149201"/>
    <n v="29313.154679719501"/>
    <n v="105527.35684699001"/>
  </r>
  <r>
    <x v="0"/>
    <x v="0"/>
    <x v="0"/>
    <x v="9"/>
    <x v="20"/>
    <s v="SE4_OTHER"/>
    <x v="1"/>
    <x v="258"/>
    <x v="0"/>
    <x v="8"/>
    <n v="80.310012821149201"/>
    <n v="29313.154679719501"/>
    <n v="105527.35684699001"/>
  </r>
  <r>
    <x v="0"/>
    <x v="0"/>
    <x v="0"/>
    <x v="9"/>
    <x v="20"/>
    <s v="SE4_OTHER"/>
    <x v="1"/>
    <x v="258"/>
    <x v="0"/>
    <x v="0"/>
    <n v="80.310012821149201"/>
    <n v="29313.154679719501"/>
    <n v="105527.35684699001"/>
  </r>
  <r>
    <x v="0"/>
    <x v="0"/>
    <x v="0"/>
    <x v="9"/>
    <x v="20"/>
    <s v="SE4_OTHER"/>
    <x v="1"/>
    <x v="258"/>
    <x v="0"/>
    <x v="1"/>
    <n v="80.310012821149201"/>
    <n v="29313.154679719501"/>
    <n v="105527.35684699001"/>
  </r>
  <r>
    <x v="0"/>
    <x v="0"/>
    <x v="0"/>
    <x v="9"/>
    <x v="20"/>
    <s v="SE4_OTHER"/>
    <x v="1"/>
    <x v="258"/>
    <x v="0"/>
    <x v="2"/>
    <n v="80.310012821149201"/>
    <n v="29313.154679719501"/>
    <n v="105527.35684699001"/>
  </r>
  <r>
    <x v="0"/>
    <x v="0"/>
    <x v="0"/>
    <x v="9"/>
    <x v="20"/>
    <s v="SE4_OTHER"/>
    <x v="1"/>
    <x v="258"/>
    <x v="0"/>
    <x v="9"/>
    <n v="80.310012821149201"/>
    <n v="29313.154679719501"/>
    <n v="105527.35684699001"/>
  </r>
  <r>
    <x v="0"/>
    <x v="0"/>
    <x v="0"/>
    <x v="9"/>
    <x v="20"/>
    <s v="SE4_OTHER"/>
    <x v="1"/>
    <x v="258"/>
    <x v="0"/>
    <x v="10"/>
    <n v="80.310012821149201"/>
    <n v="29313.154679719501"/>
    <n v="105527.35684699001"/>
  </r>
  <r>
    <x v="0"/>
    <x v="0"/>
    <x v="0"/>
    <x v="9"/>
    <x v="20"/>
    <s v="SE4_OTHER"/>
    <x v="1"/>
    <x v="258"/>
    <x v="0"/>
    <x v="11"/>
    <n v="80.310012821149201"/>
    <n v="29313.154679719501"/>
    <n v="105527.35684699001"/>
  </r>
  <r>
    <x v="0"/>
    <x v="0"/>
    <x v="0"/>
    <x v="9"/>
    <x v="20"/>
    <s v="SE4_OTHER"/>
    <x v="1"/>
    <x v="258"/>
    <x v="0"/>
    <x v="12"/>
    <n v="80.310012821149201"/>
    <n v="29313.154679719501"/>
    <n v="105527.35684699001"/>
  </r>
  <r>
    <x v="0"/>
    <x v="0"/>
    <x v="0"/>
    <x v="9"/>
    <x v="20"/>
    <s v="SE4_OTHER"/>
    <x v="1"/>
    <x v="258"/>
    <x v="0"/>
    <x v="13"/>
    <n v="80.310012821149201"/>
    <n v="29313.154679719501"/>
    <n v="105527.35684699001"/>
  </r>
  <r>
    <x v="0"/>
    <x v="0"/>
    <x v="0"/>
    <x v="9"/>
    <x v="20"/>
    <s v="SE4_OTHER"/>
    <x v="1"/>
    <x v="258"/>
    <x v="0"/>
    <x v="14"/>
    <n v="80.310012821149201"/>
    <n v="29313.154679719501"/>
    <n v="105527.35684699001"/>
  </r>
  <r>
    <x v="0"/>
    <x v="0"/>
    <x v="0"/>
    <x v="9"/>
    <x v="20"/>
    <s v="SE4_OTHER"/>
    <x v="1"/>
    <x v="258"/>
    <x v="0"/>
    <x v="15"/>
    <n v="80.310012821149201"/>
    <n v="29313.154679719501"/>
    <n v="105527.35684699001"/>
  </r>
  <r>
    <x v="0"/>
    <x v="0"/>
    <x v="0"/>
    <x v="9"/>
    <x v="20"/>
    <s v="SE4_OTHER"/>
    <x v="1"/>
    <x v="258"/>
    <x v="0"/>
    <x v="16"/>
    <n v="80.310012821149201"/>
    <n v="29313.154679719501"/>
    <n v="105527.35684699001"/>
  </r>
  <r>
    <x v="0"/>
    <x v="0"/>
    <x v="0"/>
    <x v="9"/>
    <x v="20"/>
    <s v="SE4_OTHER"/>
    <x v="1"/>
    <x v="258"/>
    <x v="0"/>
    <x v="17"/>
    <n v="80.310012821149201"/>
    <n v="29313.154679719501"/>
    <n v="105527.35684699001"/>
  </r>
  <r>
    <x v="0"/>
    <x v="0"/>
    <x v="0"/>
    <x v="9"/>
    <x v="20"/>
    <s v="SE4_OTHER"/>
    <x v="1"/>
    <x v="258"/>
    <x v="0"/>
    <x v="18"/>
    <n v="80.310012821149201"/>
    <n v="29313.154679719501"/>
    <n v="105527.35684699001"/>
  </r>
  <r>
    <x v="0"/>
    <x v="0"/>
    <x v="0"/>
    <x v="9"/>
    <x v="20"/>
    <s v="SE4_OTHER"/>
    <x v="1"/>
    <x v="258"/>
    <x v="0"/>
    <x v="19"/>
    <n v="80.310012821149201"/>
    <n v="29313.154679719501"/>
    <n v="105527.35684699001"/>
  </r>
  <r>
    <x v="0"/>
    <x v="0"/>
    <x v="0"/>
    <x v="9"/>
    <x v="20"/>
    <s v="SE4_OTHER"/>
    <x v="1"/>
    <x v="258"/>
    <x v="0"/>
    <x v="20"/>
    <n v="80.310012821149201"/>
    <n v="29313.154679719501"/>
    <n v="105527.35684699001"/>
  </r>
  <r>
    <x v="0"/>
    <x v="0"/>
    <x v="0"/>
    <x v="9"/>
    <x v="20"/>
    <s v="SE4_OTHER"/>
    <x v="1"/>
    <x v="258"/>
    <x v="0"/>
    <x v="21"/>
    <n v="80.310012821149201"/>
    <n v="29313.154679719501"/>
    <n v="105527.35684699001"/>
  </r>
  <r>
    <x v="0"/>
    <x v="0"/>
    <x v="0"/>
    <x v="9"/>
    <x v="20"/>
    <s v="SE4_OTHER"/>
    <x v="1"/>
    <x v="258"/>
    <x v="0"/>
    <x v="22"/>
    <n v="80.310012821149201"/>
    <n v="29313.154679719501"/>
    <n v="105527.35684699001"/>
  </r>
  <r>
    <x v="0"/>
    <x v="0"/>
    <x v="0"/>
    <x v="9"/>
    <x v="20"/>
    <s v="SE4_OTHER"/>
    <x v="1"/>
    <x v="258"/>
    <x v="0"/>
    <x v="23"/>
    <n v="80.310012821149201"/>
    <n v="29313.154679719501"/>
    <n v="105527.35684699001"/>
  </r>
  <r>
    <x v="0"/>
    <x v="0"/>
    <x v="0"/>
    <x v="9"/>
    <x v="20"/>
    <s v="SE4_OTHER"/>
    <x v="1"/>
    <x v="208"/>
    <x v="0"/>
    <x v="3"/>
    <n v="15.4792612335452"/>
    <n v="5649.9303502439998"/>
    <n v="20339.749260878401"/>
  </r>
  <r>
    <x v="0"/>
    <x v="0"/>
    <x v="0"/>
    <x v="9"/>
    <x v="20"/>
    <s v="SE4_OTHER"/>
    <x v="1"/>
    <x v="208"/>
    <x v="0"/>
    <x v="4"/>
    <n v="15.4792612335452"/>
    <n v="5649.9303502439998"/>
    <n v="20339.749260878401"/>
  </r>
  <r>
    <x v="0"/>
    <x v="0"/>
    <x v="0"/>
    <x v="9"/>
    <x v="20"/>
    <s v="SE4_OTHER"/>
    <x v="1"/>
    <x v="208"/>
    <x v="0"/>
    <x v="5"/>
    <n v="15.4792612335452"/>
    <n v="5649.9303502439998"/>
    <n v="20339.749260878401"/>
  </r>
  <r>
    <x v="0"/>
    <x v="0"/>
    <x v="0"/>
    <x v="9"/>
    <x v="20"/>
    <s v="SE4_OTHER"/>
    <x v="1"/>
    <x v="208"/>
    <x v="0"/>
    <x v="6"/>
    <n v="15.4792612335452"/>
    <n v="5649.9303502439998"/>
    <n v="20339.749260878401"/>
  </r>
  <r>
    <x v="0"/>
    <x v="0"/>
    <x v="0"/>
    <x v="9"/>
    <x v="20"/>
    <s v="SE4_OTHER"/>
    <x v="1"/>
    <x v="208"/>
    <x v="0"/>
    <x v="7"/>
    <n v="15.4792612335452"/>
    <n v="5649.9303502439998"/>
    <n v="20339.749260878401"/>
  </r>
  <r>
    <x v="0"/>
    <x v="0"/>
    <x v="0"/>
    <x v="9"/>
    <x v="20"/>
    <s v="SE4_OTHER"/>
    <x v="1"/>
    <x v="208"/>
    <x v="0"/>
    <x v="8"/>
    <n v="15.4792612335452"/>
    <n v="5649.9303502439998"/>
    <n v="20339.749260878401"/>
  </r>
  <r>
    <x v="0"/>
    <x v="0"/>
    <x v="0"/>
    <x v="9"/>
    <x v="20"/>
    <s v="SE4_OTHER"/>
    <x v="1"/>
    <x v="208"/>
    <x v="0"/>
    <x v="0"/>
    <n v="15.4792612335452"/>
    <n v="5649.9303502439998"/>
    <n v="20339.749260878401"/>
  </r>
  <r>
    <x v="0"/>
    <x v="0"/>
    <x v="0"/>
    <x v="9"/>
    <x v="20"/>
    <s v="SE4_OTHER"/>
    <x v="1"/>
    <x v="208"/>
    <x v="0"/>
    <x v="1"/>
    <n v="15.4792612335452"/>
    <n v="5649.9303502439998"/>
    <n v="20339.749260878401"/>
  </r>
  <r>
    <x v="0"/>
    <x v="0"/>
    <x v="0"/>
    <x v="9"/>
    <x v="20"/>
    <s v="SE4_OTHER"/>
    <x v="1"/>
    <x v="208"/>
    <x v="0"/>
    <x v="2"/>
    <n v="15.4792612335452"/>
    <n v="5649.9303502439998"/>
    <n v="20339.749260878401"/>
  </r>
  <r>
    <x v="0"/>
    <x v="0"/>
    <x v="0"/>
    <x v="9"/>
    <x v="20"/>
    <s v="SE4_OTHER"/>
    <x v="1"/>
    <x v="208"/>
    <x v="0"/>
    <x v="9"/>
    <n v="15.4792612335452"/>
    <n v="5649.9303502439998"/>
    <n v="20339.749260878401"/>
  </r>
  <r>
    <x v="0"/>
    <x v="0"/>
    <x v="0"/>
    <x v="9"/>
    <x v="20"/>
    <s v="SE4_OTHER"/>
    <x v="1"/>
    <x v="208"/>
    <x v="0"/>
    <x v="10"/>
    <n v="15.4792612335452"/>
    <n v="5649.9303502439998"/>
    <n v="20339.749260878401"/>
  </r>
  <r>
    <x v="0"/>
    <x v="0"/>
    <x v="0"/>
    <x v="9"/>
    <x v="20"/>
    <s v="SE4_OTHER"/>
    <x v="1"/>
    <x v="208"/>
    <x v="0"/>
    <x v="11"/>
    <n v="15.4792612335452"/>
    <n v="5649.9303502439998"/>
    <n v="20339.749260878401"/>
  </r>
  <r>
    <x v="0"/>
    <x v="0"/>
    <x v="0"/>
    <x v="9"/>
    <x v="20"/>
    <s v="SE4_OTHER"/>
    <x v="1"/>
    <x v="208"/>
    <x v="0"/>
    <x v="12"/>
    <n v="15.4792612335452"/>
    <n v="5649.9303502439998"/>
    <n v="20339.749260878401"/>
  </r>
  <r>
    <x v="0"/>
    <x v="0"/>
    <x v="0"/>
    <x v="9"/>
    <x v="20"/>
    <s v="SE4_OTHER"/>
    <x v="1"/>
    <x v="208"/>
    <x v="0"/>
    <x v="13"/>
    <n v="15.4792612335452"/>
    <n v="5649.9303502439998"/>
    <n v="20339.749260878401"/>
  </r>
  <r>
    <x v="0"/>
    <x v="0"/>
    <x v="0"/>
    <x v="9"/>
    <x v="20"/>
    <s v="SE4_OTHER"/>
    <x v="1"/>
    <x v="208"/>
    <x v="0"/>
    <x v="14"/>
    <n v="15.4792612335452"/>
    <n v="5649.9303502439998"/>
    <n v="20339.749260878401"/>
  </r>
  <r>
    <x v="0"/>
    <x v="0"/>
    <x v="0"/>
    <x v="9"/>
    <x v="20"/>
    <s v="SE4_OTHER"/>
    <x v="1"/>
    <x v="208"/>
    <x v="0"/>
    <x v="15"/>
    <n v="15.4792612335452"/>
    <n v="5649.9303502439998"/>
    <n v="20339.749260878401"/>
  </r>
  <r>
    <x v="0"/>
    <x v="0"/>
    <x v="0"/>
    <x v="9"/>
    <x v="20"/>
    <s v="SE4_OTHER"/>
    <x v="1"/>
    <x v="208"/>
    <x v="0"/>
    <x v="16"/>
    <n v="15.4792612335452"/>
    <n v="5649.9303502439998"/>
    <n v="20339.749260878401"/>
  </r>
  <r>
    <x v="0"/>
    <x v="0"/>
    <x v="0"/>
    <x v="9"/>
    <x v="20"/>
    <s v="SE4_OTHER"/>
    <x v="1"/>
    <x v="208"/>
    <x v="0"/>
    <x v="17"/>
    <n v="15.4792612335452"/>
    <n v="5649.9303502439998"/>
    <n v="20339.749260878401"/>
  </r>
  <r>
    <x v="0"/>
    <x v="0"/>
    <x v="0"/>
    <x v="9"/>
    <x v="20"/>
    <s v="SE4_OTHER"/>
    <x v="1"/>
    <x v="208"/>
    <x v="0"/>
    <x v="18"/>
    <n v="15.4792612335452"/>
    <n v="5649.9303502439998"/>
    <n v="20339.749260878401"/>
  </r>
  <r>
    <x v="0"/>
    <x v="0"/>
    <x v="0"/>
    <x v="9"/>
    <x v="20"/>
    <s v="SE4_OTHER"/>
    <x v="1"/>
    <x v="208"/>
    <x v="0"/>
    <x v="19"/>
    <n v="15.4792612335452"/>
    <n v="5649.9303502439998"/>
    <n v="20339.749260878401"/>
  </r>
  <r>
    <x v="0"/>
    <x v="0"/>
    <x v="0"/>
    <x v="9"/>
    <x v="20"/>
    <s v="SE4_OTHER"/>
    <x v="1"/>
    <x v="208"/>
    <x v="0"/>
    <x v="20"/>
    <n v="15.4792612335452"/>
    <n v="5649.9303502439998"/>
    <n v="20339.749260878401"/>
  </r>
  <r>
    <x v="0"/>
    <x v="0"/>
    <x v="0"/>
    <x v="9"/>
    <x v="20"/>
    <s v="SE4_OTHER"/>
    <x v="1"/>
    <x v="208"/>
    <x v="0"/>
    <x v="21"/>
    <n v="15.4792612335452"/>
    <n v="5649.9303502439998"/>
    <n v="20339.749260878401"/>
  </r>
  <r>
    <x v="0"/>
    <x v="0"/>
    <x v="0"/>
    <x v="9"/>
    <x v="20"/>
    <s v="SE4_OTHER"/>
    <x v="1"/>
    <x v="208"/>
    <x v="0"/>
    <x v="22"/>
    <n v="15.4792612335452"/>
    <n v="5649.9303502439998"/>
    <n v="20339.749260878401"/>
  </r>
  <r>
    <x v="0"/>
    <x v="0"/>
    <x v="0"/>
    <x v="9"/>
    <x v="20"/>
    <s v="SE4_OTHER"/>
    <x v="1"/>
    <x v="208"/>
    <x v="0"/>
    <x v="23"/>
    <n v="15.4792612335452"/>
    <n v="5649.9303502439998"/>
    <n v="20339.749260878401"/>
  </r>
  <r>
    <x v="0"/>
    <x v="0"/>
    <x v="0"/>
    <x v="9"/>
    <x v="20"/>
    <s v="SE4_OTHER"/>
    <x v="4"/>
    <x v="108"/>
    <x v="0"/>
    <x v="3"/>
    <n v="54.953067765567503"/>
    <n v="20057.869734432199"/>
    <n v="72208.331043955797"/>
  </r>
  <r>
    <x v="0"/>
    <x v="0"/>
    <x v="0"/>
    <x v="9"/>
    <x v="20"/>
    <s v="SE4_OTHER"/>
    <x v="4"/>
    <x v="108"/>
    <x v="0"/>
    <x v="4"/>
    <n v="54.953067765567503"/>
    <n v="20057.869734432199"/>
    <n v="72208.331043955797"/>
  </r>
  <r>
    <x v="0"/>
    <x v="0"/>
    <x v="0"/>
    <x v="9"/>
    <x v="20"/>
    <s v="SE4_OTHER"/>
    <x v="4"/>
    <x v="108"/>
    <x v="0"/>
    <x v="5"/>
    <n v="54.953067765567503"/>
    <n v="20057.869734432199"/>
    <n v="72208.331043955797"/>
  </r>
  <r>
    <x v="0"/>
    <x v="0"/>
    <x v="0"/>
    <x v="9"/>
    <x v="20"/>
    <s v="SE4_OTHER"/>
    <x v="4"/>
    <x v="108"/>
    <x v="0"/>
    <x v="6"/>
    <n v="54.953067765567503"/>
    <n v="20057.869734432199"/>
    <n v="72208.331043955797"/>
  </r>
  <r>
    <x v="0"/>
    <x v="0"/>
    <x v="0"/>
    <x v="9"/>
    <x v="20"/>
    <s v="SE4_OTHER"/>
    <x v="4"/>
    <x v="108"/>
    <x v="0"/>
    <x v="7"/>
    <n v="54.953067765567503"/>
    <n v="20057.869734432199"/>
    <n v="72208.331043955797"/>
  </r>
  <r>
    <x v="0"/>
    <x v="0"/>
    <x v="0"/>
    <x v="9"/>
    <x v="20"/>
    <s v="SE4_OTHER"/>
    <x v="4"/>
    <x v="108"/>
    <x v="0"/>
    <x v="8"/>
    <n v="54.953067765567503"/>
    <n v="20057.869734432199"/>
    <n v="72208.331043955797"/>
  </r>
  <r>
    <x v="0"/>
    <x v="0"/>
    <x v="0"/>
    <x v="9"/>
    <x v="20"/>
    <s v="SE4_OTHER"/>
    <x v="4"/>
    <x v="108"/>
    <x v="0"/>
    <x v="0"/>
    <n v="54.953067765567503"/>
    <n v="20057.869734432199"/>
    <n v="72208.331043955797"/>
  </r>
  <r>
    <x v="0"/>
    <x v="0"/>
    <x v="0"/>
    <x v="9"/>
    <x v="20"/>
    <s v="SE4_OTHER"/>
    <x v="4"/>
    <x v="108"/>
    <x v="0"/>
    <x v="1"/>
    <n v="54.953067765567503"/>
    <n v="20057.869734432199"/>
    <n v="72208.331043955797"/>
  </r>
  <r>
    <x v="0"/>
    <x v="0"/>
    <x v="0"/>
    <x v="9"/>
    <x v="20"/>
    <s v="SE4_OTHER"/>
    <x v="4"/>
    <x v="108"/>
    <x v="0"/>
    <x v="2"/>
    <n v="54.953067765567503"/>
    <n v="20057.869734432199"/>
    <n v="72208.331043955797"/>
  </r>
  <r>
    <x v="0"/>
    <x v="0"/>
    <x v="0"/>
    <x v="9"/>
    <x v="20"/>
    <s v="SE4_OTHER"/>
    <x v="4"/>
    <x v="108"/>
    <x v="0"/>
    <x v="9"/>
    <n v="54.953067765567503"/>
    <n v="20057.869734432199"/>
    <n v="72208.331043955797"/>
  </r>
  <r>
    <x v="0"/>
    <x v="0"/>
    <x v="0"/>
    <x v="9"/>
    <x v="20"/>
    <s v="SE4_OTHER"/>
    <x v="4"/>
    <x v="108"/>
    <x v="0"/>
    <x v="10"/>
    <n v="54.953067765567503"/>
    <n v="20057.869734432199"/>
    <n v="72208.331043955797"/>
  </r>
  <r>
    <x v="0"/>
    <x v="0"/>
    <x v="0"/>
    <x v="9"/>
    <x v="20"/>
    <s v="SE4_OTHER"/>
    <x v="4"/>
    <x v="108"/>
    <x v="0"/>
    <x v="11"/>
    <n v="54.953067765567503"/>
    <n v="20057.869734432199"/>
    <n v="72208.331043955797"/>
  </r>
  <r>
    <x v="0"/>
    <x v="0"/>
    <x v="0"/>
    <x v="9"/>
    <x v="20"/>
    <s v="SE4_OTHER"/>
    <x v="4"/>
    <x v="108"/>
    <x v="0"/>
    <x v="12"/>
    <n v="54.953067765567503"/>
    <n v="20057.869734432199"/>
    <n v="72208.331043955797"/>
  </r>
  <r>
    <x v="0"/>
    <x v="0"/>
    <x v="0"/>
    <x v="9"/>
    <x v="20"/>
    <s v="SE4_OTHER"/>
    <x v="4"/>
    <x v="108"/>
    <x v="0"/>
    <x v="13"/>
    <n v="54.953067765567503"/>
    <n v="20057.869734432199"/>
    <n v="72208.331043955797"/>
  </r>
  <r>
    <x v="0"/>
    <x v="0"/>
    <x v="0"/>
    <x v="9"/>
    <x v="20"/>
    <s v="SE4_OTHER"/>
    <x v="4"/>
    <x v="108"/>
    <x v="0"/>
    <x v="14"/>
    <n v="54.953067765567503"/>
    <n v="20057.869734432199"/>
    <n v="72208.331043955797"/>
  </r>
  <r>
    <x v="0"/>
    <x v="0"/>
    <x v="0"/>
    <x v="9"/>
    <x v="20"/>
    <s v="SE4_OTHER"/>
    <x v="4"/>
    <x v="108"/>
    <x v="0"/>
    <x v="15"/>
    <n v="54.953067765567503"/>
    <n v="20057.869734432199"/>
    <n v="72208.331043955797"/>
  </r>
  <r>
    <x v="0"/>
    <x v="0"/>
    <x v="0"/>
    <x v="9"/>
    <x v="20"/>
    <s v="SE4_OTHER"/>
    <x v="4"/>
    <x v="108"/>
    <x v="0"/>
    <x v="16"/>
    <n v="54.953067765567503"/>
    <n v="20057.869734432199"/>
    <n v="72208.331043955797"/>
  </r>
  <r>
    <x v="0"/>
    <x v="0"/>
    <x v="0"/>
    <x v="9"/>
    <x v="20"/>
    <s v="SE4_OTHER"/>
    <x v="4"/>
    <x v="108"/>
    <x v="0"/>
    <x v="17"/>
    <n v="54.953067765567503"/>
    <n v="20057.869734432199"/>
    <n v="72208.331043955797"/>
  </r>
  <r>
    <x v="0"/>
    <x v="0"/>
    <x v="0"/>
    <x v="9"/>
    <x v="20"/>
    <s v="SE4_OTHER"/>
    <x v="4"/>
    <x v="108"/>
    <x v="0"/>
    <x v="18"/>
    <n v="54.953067765567503"/>
    <n v="20057.869734432199"/>
    <n v="72208.331043955797"/>
  </r>
  <r>
    <x v="0"/>
    <x v="0"/>
    <x v="0"/>
    <x v="9"/>
    <x v="20"/>
    <s v="SE4_OTHER"/>
    <x v="4"/>
    <x v="108"/>
    <x v="0"/>
    <x v="19"/>
    <n v="54.953067765567503"/>
    <n v="20057.869734432199"/>
    <n v="72208.331043955797"/>
  </r>
  <r>
    <x v="0"/>
    <x v="0"/>
    <x v="0"/>
    <x v="9"/>
    <x v="20"/>
    <s v="SE4_OTHER"/>
    <x v="4"/>
    <x v="108"/>
    <x v="0"/>
    <x v="20"/>
    <n v="54.953067765567503"/>
    <n v="20057.869734432199"/>
    <n v="72208.331043955797"/>
  </r>
  <r>
    <x v="0"/>
    <x v="0"/>
    <x v="0"/>
    <x v="9"/>
    <x v="20"/>
    <s v="SE4_OTHER"/>
    <x v="4"/>
    <x v="108"/>
    <x v="0"/>
    <x v="21"/>
    <n v="54.953067765567503"/>
    <n v="20057.869734432199"/>
    <n v="72208.331043955797"/>
  </r>
  <r>
    <x v="0"/>
    <x v="0"/>
    <x v="0"/>
    <x v="9"/>
    <x v="20"/>
    <s v="SE4_OTHER"/>
    <x v="4"/>
    <x v="108"/>
    <x v="0"/>
    <x v="22"/>
    <n v="54.953067765567503"/>
    <n v="20057.869734432199"/>
    <n v="72208.331043955797"/>
  </r>
  <r>
    <x v="0"/>
    <x v="0"/>
    <x v="0"/>
    <x v="9"/>
    <x v="20"/>
    <s v="SE4_OTHER"/>
    <x v="4"/>
    <x v="108"/>
    <x v="0"/>
    <x v="23"/>
    <n v="54.953067765567503"/>
    <n v="20057.869734432199"/>
    <n v="72208.331043955797"/>
  </r>
  <r>
    <x v="0"/>
    <x v="0"/>
    <x v="0"/>
    <x v="9"/>
    <x v="20"/>
    <s v="SE4_OTHER"/>
    <x v="5"/>
    <x v="94"/>
    <x v="0"/>
    <x v="3"/>
    <n v="103.41584420845101"/>
    <n v="37746.783136084799"/>
    <n v="135888.419289905"/>
  </r>
  <r>
    <x v="0"/>
    <x v="0"/>
    <x v="0"/>
    <x v="9"/>
    <x v="20"/>
    <s v="SE4_OTHER"/>
    <x v="5"/>
    <x v="94"/>
    <x v="0"/>
    <x v="4"/>
    <n v="103.41584420845101"/>
    <n v="37746.783136084799"/>
    <n v="135888.419289905"/>
  </r>
  <r>
    <x v="0"/>
    <x v="0"/>
    <x v="0"/>
    <x v="9"/>
    <x v="20"/>
    <s v="SE4_OTHER"/>
    <x v="5"/>
    <x v="94"/>
    <x v="0"/>
    <x v="5"/>
    <n v="103.41584420845101"/>
    <n v="37746.783136084799"/>
    <n v="135888.419289905"/>
  </r>
  <r>
    <x v="0"/>
    <x v="0"/>
    <x v="0"/>
    <x v="9"/>
    <x v="20"/>
    <s v="SE4_OTHER"/>
    <x v="5"/>
    <x v="94"/>
    <x v="0"/>
    <x v="6"/>
    <n v="103.41584420845101"/>
    <n v="37746.783136084799"/>
    <n v="135888.419289905"/>
  </r>
  <r>
    <x v="0"/>
    <x v="0"/>
    <x v="0"/>
    <x v="9"/>
    <x v="20"/>
    <s v="SE4_OTHER"/>
    <x v="5"/>
    <x v="94"/>
    <x v="0"/>
    <x v="7"/>
    <n v="103.41584420845101"/>
    <n v="37746.783136084799"/>
    <n v="135888.419289905"/>
  </r>
  <r>
    <x v="0"/>
    <x v="0"/>
    <x v="0"/>
    <x v="9"/>
    <x v="20"/>
    <s v="SE4_OTHER"/>
    <x v="5"/>
    <x v="94"/>
    <x v="0"/>
    <x v="8"/>
    <n v="103.41584420845101"/>
    <n v="37746.783136084799"/>
    <n v="135888.419289905"/>
  </r>
  <r>
    <x v="0"/>
    <x v="0"/>
    <x v="0"/>
    <x v="9"/>
    <x v="20"/>
    <s v="SE4_OTHER"/>
    <x v="5"/>
    <x v="94"/>
    <x v="0"/>
    <x v="0"/>
    <n v="103.41584420845101"/>
    <n v="37746.783136084799"/>
    <n v="135888.419289905"/>
  </r>
  <r>
    <x v="0"/>
    <x v="0"/>
    <x v="0"/>
    <x v="9"/>
    <x v="20"/>
    <s v="SE4_OTHER"/>
    <x v="5"/>
    <x v="94"/>
    <x v="0"/>
    <x v="1"/>
    <n v="103.41584420845101"/>
    <n v="37746.783136084799"/>
    <n v="135888.419289905"/>
  </r>
  <r>
    <x v="0"/>
    <x v="0"/>
    <x v="0"/>
    <x v="9"/>
    <x v="20"/>
    <s v="SE4_OTHER"/>
    <x v="5"/>
    <x v="94"/>
    <x v="0"/>
    <x v="2"/>
    <n v="103.41584420845101"/>
    <n v="37746.783136084799"/>
    <n v="135888.419289905"/>
  </r>
  <r>
    <x v="0"/>
    <x v="0"/>
    <x v="0"/>
    <x v="9"/>
    <x v="20"/>
    <s v="SE4_OTHER"/>
    <x v="5"/>
    <x v="94"/>
    <x v="0"/>
    <x v="9"/>
    <n v="103.41584420845101"/>
    <n v="37746.783136084799"/>
    <n v="135888.419289905"/>
  </r>
  <r>
    <x v="0"/>
    <x v="0"/>
    <x v="0"/>
    <x v="9"/>
    <x v="20"/>
    <s v="SE4_OTHER"/>
    <x v="5"/>
    <x v="94"/>
    <x v="0"/>
    <x v="10"/>
    <n v="103.41584420845101"/>
    <n v="37746.783136084799"/>
    <n v="135888.419289905"/>
  </r>
  <r>
    <x v="0"/>
    <x v="0"/>
    <x v="0"/>
    <x v="9"/>
    <x v="20"/>
    <s v="SE4_OTHER"/>
    <x v="5"/>
    <x v="94"/>
    <x v="0"/>
    <x v="11"/>
    <n v="103.41584420845101"/>
    <n v="37746.783136084799"/>
    <n v="135888.419289905"/>
  </r>
  <r>
    <x v="0"/>
    <x v="0"/>
    <x v="0"/>
    <x v="9"/>
    <x v="20"/>
    <s v="SE4_OTHER"/>
    <x v="5"/>
    <x v="94"/>
    <x v="0"/>
    <x v="12"/>
    <n v="103.41584420845101"/>
    <n v="37746.783136084799"/>
    <n v="135888.419289905"/>
  </r>
  <r>
    <x v="0"/>
    <x v="0"/>
    <x v="0"/>
    <x v="9"/>
    <x v="20"/>
    <s v="SE4_OTHER"/>
    <x v="5"/>
    <x v="94"/>
    <x v="0"/>
    <x v="13"/>
    <n v="103.41584420845101"/>
    <n v="37746.783136084799"/>
    <n v="135888.419289905"/>
  </r>
  <r>
    <x v="0"/>
    <x v="0"/>
    <x v="0"/>
    <x v="9"/>
    <x v="20"/>
    <s v="SE4_OTHER"/>
    <x v="5"/>
    <x v="94"/>
    <x v="0"/>
    <x v="14"/>
    <n v="103.41584420845101"/>
    <n v="37746.783136084799"/>
    <n v="135888.419289905"/>
  </r>
  <r>
    <x v="0"/>
    <x v="0"/>
    <x v="0"/>
    <x v="9"/>
    <x v="20"/>
    <s v="SE4_OTHER"/>
    <x v="5"/>
    <x v="94"/>
    <x v="0"/>
    <x v="15"/>
    <n v="103.41584420845101"/>
    <n v="37746.783136084799"/>
    <n v="135888.419289905"/>
  </r>
  <r>
    <x v="0"/>
    <x v="0"/>
    <x v="0"/>
    <x v="9"/>
    <x v="20"/>
    <s v="SE4_OTHER"/>
    <x v="5"/>
    <x v="94"/>
    <x v="0"/>
    <x v="16"/>
    <n v="103.41584420845101"/>
    <n v="37746.783136084799"/>
    <n v="135888.419289905"/>
  </r>
  <r>
    <x v="0"/>
    <x v="0"/>
    <x v="0"/>
    <x v="9"/>
    <x v="20"/>
    <s v="SE4_OTHER"/>
    <x v="5"/>
    <x v="94"/>
    <x v="0"/>
    <x v="17"/>
    <n v="103.41584420845101"/>
    <n v="37746.783136084799"/>
    <n v="135888.419289905"/>
  </r>
  <r>
    <x v="0"/>
    <x v="0"/>
    <x v="0"/>
    <x v="9"/>
    <x v="20"/>
    <s v="SE4_OTHER"/>
    <x v="5"/>
    <x v="94"/>
    <x v="0"/>
    <x v="18"/>
    <n v="103.41584420845101"/>
    <n v="37746.783136084799"/>
    <n v="135888.419289905"/>
  </r>
  <r>
    <x v="0"/>
    <x v="0"/>
    <x v="0"/>
    <x v="9"/>
    <x v="20"/>
    <s v="SE4_OTHER"/>
    <x v="5"/>
    <x v="94"/>
    <x v="0"/>
    <x v="19"/>
    <n v="103.41584420845101"/>
    <n v="37746.783136084799"/>
    <n v="135888.419289905"/>
  </r>
  <r>
    <x v="0"/>
    <x v="0"/>
    <x v="0"/>
    <x v="9"/>
    <x v="20"/>
    <s v="SE4_OTHER"/>
    <x v="5"/>
    <x v="94"/>
    <x v="0"/>
    <x v="20"/>
    <n v="103.41584420845101"/>
    <n v="37746.783136084799"/>
    <n v="135888.419289905"/>
  </r>
  <r>
    <x v="0"/>
    <x v="0"/>
    <x v="0"/>
    <x v="9"/>
    <x v="20"/>
    <s v="SE4_OTHER"/>
    <x v="5"/>
    <x v="94"/>
    <x v="0"/>
    <x v="21"/>
    <n v="103.41584420845101"/>
    <n v="37746.783136084799"/>
    <n v="135888.419289905"/>
  </r>
  <r>
    <x v="0"/>
    <x v="0"/>
    <x v="0"/>
    <x v="9"/>
    <x v="20"/>
    <s v="SE4_OTHER"/>
    <x v="5"/>
    <x v="94"/>
    <x v="0"/>
    <x v="22"/>
    <n v="103.41584420845101"/>
    <n v="37746.783136084799"/>
    <n v="135888.419289905"/>
  </r>
  <r>
    <x v="0"/>
    <x v="0"/>
    <x v="0"/>
    <x v="9"/>
    <x v="20"/>
    <s v="SE4_OTHER"/>
    <x v="5"/>
    <x v="94"/>
    <x v="0"/>
    <x v="23"/>
    <n v="97.229443876360804"/>
    <n v="35488.747014871697"/>
    <n v="127759.48925353801"/>
  </r>
  <r>
    <x v="0"/>
    <x v="0"/>
    <x v="0"/>
    <x v="9"/>
    <x v="20"/>
    <s v="SE4_OTHER"/>
    <x v="5"/>
    <x v="232"/>
    <x v="0"/>
    <x v="0"/>
    <n v="11.6871897229266"/>
    <n v="4265.8242488681999"/>
    <n v="15356.9672959255"/>
  </r>
  <r>
    <x v="0"/>
    <x v="0"/>
    <x v="0"/>
    <x v="9"/>
    <x v="20"/>
    <s v="SE4_OTHER"/>
    <x v="5"/>
    <x v="232"/>
    <x v="0"/>
    <x v="1"/>
    <n v="130.99124343257401"/>
    <n v="47811.8038528896"/>
    <n v="172122.49387040301"/>
  </r>
  <r>
    <x v="0"/>
    <x v="0"/>
    <x v="0"/>
    <x v="9"/>
    <x v="20"/>
    <s v="SE4_OTHER"/>
    <x v="5"/>
    <x v="232"/>
    <x v="0"/>
    <x v="2"/>
    <n v="130.99124343257401"/>
    <n v="47811.8038528896"/>
    <n v="172122.49387040301"/>
  </r>
  <r>
    <x v="0"/>
    <x v="0"/>
    <x v="0"/>
    <x v="9"/>
    <x v="20"/>
    <s v="SE4_OTHER"/>
    <x v="5"/>
    <x v="232"/>
    <x v="0"/>
    <x v="9"/>
    <n v="130.99124343257401"/>
    <n v="47811.8038528896"/>
    <n v="172122.49387040301"/>
  </r>
  <r>
    <x v="0"/>
    <x v="0"/>
    <x v="0"/>
    <x v="9"/>
    <x v="20"/>
    <s v="SE4_OTHER"/>
    <x v="5"/>
    <x v="232"/>
    <x v="0"/>
    <x v="10"/>
    <n v="39.643362689949399"/>
    <n v="14469.827381831499"/>
    <n v="52091.378574593502"/>
  </r>
  <r>
    <x v="0"/>
    <x v="0"/>
    <x v="0"/>
    <x v="9"/>
    <x v="20"/>
    <s v="SE4_OTHER"/>
    <x v="10"/>
    <x v="236"/>
    <x v="0"/>
    <x v="3"/>
    <n v="300.29165207238799"/>
    <n v="109606.453006422"/>
    <n v="394583.23082311702"/>
  </r>
  <r>
    <x v="0"/>
    <x v="0"/>
    <x v="0"/>
    <x v="9"/>
    <x v="20"/>
    <s v="SE4_OTHER"/>
    <x v="10"/>
    <x v="236"/>
    <x v="0"/>
    <x v="4"/>
    <n v="300.29165207238799"/>
    <n v="109606.453006422"/>
    <n v="394583.23082311702"/>
  </r>
  <r>
    <x v="0"/>
    <x v="0"/>
    <x v="0"/>
    <x v="9"/>
    <x v="20"/>
    <s v="SE4_OTHER"/>
    <x v="10"/>
    <x v="236"/>
    <x v="0"/>
    <x v="5"/>
    <n v="300.29165207238799"/>
    <n v="109606.453006422"/>
    <n v="394583.23082311702"/>
  </r>
  <r>
    <x v="0"/>
    <x v="0"/>
    <x v="0"/>
    <x v="9"/>
    <x v="20"/>
    <s v="SE4_OTHER"/>
    <x v="10"/>
    <x v="236"/>
    <x v="0"/>
    <x v="6"/>
    <n v="300.29165207238799"/>
    <n v="109606.453006422"/>
    <n v="394583.23082311702"/>
  </r>
  <r>
    <x v="0"/>
    <x v="0"/>
    <x v="0"/>
    <x v="9"/>
    <x v="20"/>
    <s v="SE4_OTHER"/>
    <x v="10"/>
    <x v="236"/>
    <x v="0"/>
    <x v="7"/>
    <n v="300.29165207238799"/>
    <n v="109606.453006422"/>
    <n v="394583.23082311702"/>
  </r>
  <r>
    <x v="0"/>
    <x v="0"/>
    <x v="0"/>
    <x v="9"/>
    <x v="20"/>
    <s v="SE4_OTHER"/>
    <x v="10"/>
    <x v="236"/>
    <x v="0"/>
    <x v="8"/>
    <n v="300.29165207238799"/>
    <n v="109606.453006422"/>
    <n v="394583.23082311702"/>
  </r>
  <r>
    <x v="0"/>
    <x v="0"/>
    <x v="0"/>
    <x v="9"/>
    <x v="20"/>
    <s v="SE4_OTHER"/>
    <x v="10"/>
    <x v="236"/>
    <x v="0"/>
    <x v="0"/>
    <n v="300.29165207238799"/>
    <n v="109606.453006422"/>
    <n v="394583.23082311702"/>
  </r>
  <r>
    <x v="0"/>
    <x v="0"/>
    <x v="0"/>
    <x v="9"/>
    <x v="20"/>
    <s v="SE4_OTHER"/>
    <x v="10"/>
    <x v="236"/>
    <x v="0"/>
    <x v="1"/>
    <n v="300.29165207238799"/>
    <n v="109606.453006422"/>
    <n v="394583.23082311702"/>
  </r>
  <r>
    <x v="0"/>
    <x v="0"/>
    <x v="0"/>
    <x v="9"/>
    <x v="20"/>
    <s v="SE4_OTHER"/>
    <x v="10"/>
    <x v="236"/>
    <x v="0"/>
    <x v="2"/>
    <n v="300.29165207238799"/>
    <n v="109606.453006422"/>
    <n v="394583.23082311702"/>
  </r>
  <r>
    <x v="0"/>
    <x v="0"/>
    <x v="0"/>
    <x v="9"/>
    <x v="20"/>
    <s v="SE4_OTHER"/>
    <x v="10"/>
    <x v="236"/>
    <x v="0"/>
    <x v="9"/>
    <n v="300.29165207238799"/>
    <n v="109606.453006422"/>
    <n v="394583.23082311702"/>
  </r>
  <r>
    <x v="0"/>
    <x v="0"/>
    <x v="0"/>
    <x v="9"/>
    <x v="20"/>
    <s v="SE4_OTHER"/>
    <x v="10"/>
    <x v="236"/>
    <x v="0"/>
    <x v="10"/>
    <n v="300.29165207238799"/>
    <n v="109606.453006422"/>
    <n v="394583.23082311702"/>
  </r>
  <r>
    <x v="0"/>
    <x v="0"/>
    <x v="0"/>
    <x v="9"/>
    <x v="20"/>
    <s v="SE4_OTHER"/>
    <x v="10"/>
    <x v="236"/>
    <x v="0"/>
    <x v="11"/>
    <n v="300.29165207238799"/>
    <n v="109606.453006422"/>
    <n v="394583.23082311702"/>
  </r>
  <r>
    <x v="0"/>
    <x v="0"/>
    <x v="0"/>
    <x v="9"/>
    <x v="20"/>
    <s v="SE4_OTHER"/>
    <x v="10"/>
    <x v="236"/>
    <x v="0"/>
    <x v="12"/>
    <n v="300.29165207238799"/>
    <n v="109606.453006422"/>
    <n v="394583.23082311702"/>
  </r>
  <r>
    <x v="0"/>
    <x v="0"/>
    <x v="0"/>
    <x v="9"/>
    <x v="20"/>
    <s v="SE4_OTHER"/>
    <x v="10"/>
    <x v="236"/>
    <x v="0"/>
    <x v="13"/>
    <n v="300.29165207238799"/>
    <n v="109606.453006422"/>
    <n v="394583.23082311702"/>
  </r>
  <r>
    <x v="0"/>
    <x v="0"/>
    <x v="0"/>
    <x v="9"/>
    <x v="20"/>
    <s v="SE4_OTHER"/>
    <x v="10"/>
    <x v="236"/>
    <x v="0"/>
    <x v="14"/>
    <n v="300.29165207238799"/>
    <n v="109606.453006422"/>
    <n v="394583.23082311702"/>
  </r>
  <r>
    <x v="0"/>
    <x v="0"/>
    <x v="0"/>
    <x v="9"/>
    <x v="20"/>
    <s v="SE4_OTHER"/>
    <x v="10"/>
    <x v="236"/>
    <x v="0"/>
    <x v="15"/>
    <n v="300.29165207238799"/>
    <n v="109606.453006422"/>
    <n v="394583.23082311702"/>
  </r>
  <r>
    <x v="0"/>
    <x v="0"/>
    <x v="0"/>
    <x v="9"/>
    <x v="20"/>
    <s v="SE4_OTHER"/>
    <x v="10"/>
    <x v="236"/>
    <x v="0"/>
    <x v="16"/>
    <n v="300.29165207238799"/>
    <n v="109606.453006422"/>
    <n v="394583.23082311702"/>
  </r>
  <r>
    <x v="0"/>
    <x v="0"/>
    <x v="0"/>
    <x v="9"/>
    <x v="20"/>
    <s v="SE4_OTHER"/>
    <x v="10"/>
    <x v="236"/>
    <x v="0"/>
    <x v="17"/>
    <n v="300.29165207238799"/>
    <n v="109606.453006422"/>
    <n v="394583.23082311702"/>
  </r>
  <r>
    <x v="0"/>
    <x v="0"/>
    <x v="0"/>
    <x v="9"/>
    <x v="20"/>
    <s v="SE4_OTHER"/>
    <x v="10"/>
    <x v="236"/>
    <x v="0"/>
    <x v="18"/>
    <n v="300.29165207238799"/>
    <n v="109606.453006422"/>
    <n v="394583.23082311702"/>
  </r>
  <r>
    <x v="0"/>
    <x v="0"/>
    <x v="0"/>
    <x v="9"/>
    <x v="20"/>
    <s v="SE4_OTHER"/>
    <x v="10"/>
    <x v="236"/>
    <x v="0"/>
    <x v="19"/>
    <n v="300.29165207238799"/>
    <n v="109606.453006422"/>
    <n v="394583.23082311702"/>
  </r>
  <r>
    <x v="0"/>
    <x v="0"/>
    <x v="0"/>
    <x v="9"/>
    <x v="20"/>
    <s v="SE4_OTHER"/>
    <x v="10"/>
    <x v="236"/>
    <x v="0"/>
    <x v="20"/>
    <n v="300.29165207238799"/>
    <n v="109606.453006422"/>
    <n v="394583.23082311702"/>
  </r>
  <r>
    <x v="0"/>
    <x v="0"/>
    <x v="0"/>
    <x v="9"/>
    <x v="20"/>
    <s v="SE4_OTHER"/>
    <x v="10"/>
    <x v="236"/>
    <x v="0"/>
    <x v="21"/>
    <n v="300.29165207238799"/>
    <n v="109606.453006422"/>
    <n v="394583.23082311702"/>
  </r>
  <r>
    <x v="0"/>
    <x v="0"/>
    <x v="0"/>
    <x v="9"/>
    <x v="20"/>
    <s v="SE4_OTHER"/>
    <x v="10"/>
    <x v="236"/>
    <x v="0"/>
    <x v="22"/>
    <n v="300.29165207238799"/>
    <n v="109606.453006422"/>
    <n v="394583.23082311702"/>
  </r>
  <r>
    <x v="0"/>
    <x v="0"/>
    <x v="0"/>
    <x v="9"/>
    <x v="20"/>
    <s v="SE4_OTHER"/>
    <x v="10"/>
    <x v="236"/>
    <x v="0"/>
    <x v="23"/>
    <n v="300.29165207238799"/>
    <n v="109606.453006422"/>
    <n v="394583.23082311702"/>
  </r>
  <r>
    <x v="0"/>
    <x v="0"/>
    <x v="0"/>
    <x v="9"/>
    <x v="20"/>
    <s v="SE4_OTHER"/>
    <x v="10"/>
    <x v="111"/>
    <x v="0"/>
    <x v="3"/>
    <n v="91.866576165316502"/>
    <n v="33531.300300340503"/>
    <n v="120712.68108122599"/>
  </r>
  <r>
    <x v="0"/>
    <x v="0"/>
    <x v="0"/>
    <x v="9"/>
    <x v="20"/>
    <s v="SE4_OTHER"/>
    <x v="10"/>
    <x v="111"/>
    <x v="0"/>
    <x v="4"/>
    <n v="88.589588317127607"/>
    <n v="32335.199735751601"/>
    <n v="116406.719048706"/>
  </r>
  <r>
    <x v="0"/>
    <x v="0"/>
    <x v="0"/>
    <x v="9"/>
    <x v="20"/>
    <s v="SE4_OTHER"/>
    <x v="10"/>
    <x v="111"/>
    <x v="0"/>
    <x v="5"/>
    <n v="88.196368444676494"/>
    <n v="32191.674482306898"/>
    <n v="115890.028136305"/>
  </r>
  <r>
    <x v="0"/>
    <x v="0"/>
    <x v="0"/>
    <x v="9"/>
    <x v="20"/>
    <s v="SE4_OTHER"/>
    <x v="10"/>
    <x v="111"/>
    <x v="0"/>
    <x v="6"/>
    <n v="102.53766532409099"/>
    <n v="37426.2478432934"/>
    <n v="134734.49223585601"/>
  </r>
  <r>
    <x v="0"/>
    <x v="0"/>
    <x v="0"/>
    <x v="9"/>
    <x v="20"/>
    <s v="SE4_OTHER"/>
    <x v="10"/>
    <x v="111"/>
    <x v="0"/>
    <x v="7"/>
    <n v="131.39882113691701"/>
    <n v="47960.569714974699"/>
    <n v="172658.050973909"/>
  </r>
  <r>
    <x v="0"/>
    <x v="0"/>
    <x v="0"/>
    <x v="9"/>
    <x v="20"/>
    <s v="SE4_OTHER"/>
    <x v="10"/>
    <x v="111"/>
    <x v="0"/>
    <x v="8"/>
    <n v="188.186133638092"/>
    <n v="68687.938777903604"/>
    <n v="247276.579600453"/>
  </r>
  <r>
    <x v="0"/>
    <x v="0"/>
    <x v="0"/>
    <x v="9"/>
    <x v="20"/>
    <s v="SE4_OTHER"/>
    <x v="10"/>
    <x v="111"/>
    <x v="0"/>
    <x v="0"/>
    <n v="292.81486704440101"/>
    <n v="106877.426471206"/>
    <n v="384758.73529634299"/>
  </r>
  <r>
    <x v="0"/>
    <x v="0"/>
    <x v="0"/>
    <x v="9"/>
    <x v="20"/>
    <s v="SE4_OTHER"/>
    <x v="10"/>
    <x v="111"/>
    <x v="0"/>
    <x v="1"/>
    <n v="257.42888928273197"/>
    <n v="93961.544588197095"/>
    <n v="338261.56051750999"/>
  </r>
  <r>
    <x v="0"/>
    <x v="0"/>
    <x v="0"/>
    <x v="9"/>
    <x v="20"/>
    <s v="SE4_OTHER"/>
    <x v="10"/>
    <x v="111"/>
    <x v="0"/>
    <x v="2"/>
    <n v="259.72014620843498"/>
    <n v="94797.853366078794"/>
    <n v="341272.27211788401"/>
  </r>
  <r>
    <x v="0"/>
    <x v="0"/>
    <x v="0"/>
    <x v="9"/>
    <x v="20"/>
    <s v="SE4_OTHER"/>
    <x v="10"/>
    <x v="111"/>
    <x v="0"/>
    <x v="9"/>
    <n v="242.571012810734"/>
    <n v="88538.419675917801"/>
    <n v="318738.31083330401"/>
  </r>
  <r>
    <x v="0"/>
    <x v="0"/>
    <x v="0"/>
    <x v="9"/>
    <x v="20"/>
    <s v="SE4_OTHER"/>
    <x v="10"/>
    <x v="111"/>
    <x v="0"/>
    <x v="10"/>
    <n v="292.81486704440101"/>
    <n v="106877.426471206"/>
    <n v="384758.73529634299"/>
  </r>
  <r>
    <x v="0"/>
    <x v="0"/>
    <x v="0"/>
    <x v="9"/>
    <x v="20"/>
    <s v="SE4_OTHER"/>
    <x v="10"/>
    <x v="111"/>
    <x v="0"/>
    <x v="11"/>
    <n v="292.81486704440101"/>
    <n v="106877.426471206"/>
    <n v="384758.73529634299"/>
  </r>
  <r>
    <x v="0"/>
    <x v="0"/>
    <x v="0"/>
    <x v="9"/>
    <x v="20"/>
    <s v="SE4_OTHER"/>
    <x v="10"/>
    <x v="111"/>
    <x v="0"/>
    <x v="12"/>
    <n v="270.07637590967403"/>
    <n v="98577.877207031095"/>
    <n v="354880.35794531199"/>
  </r>
  <r>
    <x v="0"/>
    <x v="0"/>
    <x v="0"/>
    <x v="9"/>
    <x v="20"/>
    <s v="SE4_OTHER"/>
    <x v="10"/>
    <x v="111"/>
    <x v="0"/>
    <x v="13"/>
    <n v="267.99322500103199"/>
    <n v="97817.527125376902"/>
    <n v="352143.09765135701"/>
  </r>
  <r>
    <x v="0"/>
    <x v="0"/>
    <x v="0"/>
    <x v="9"/>
    <x v="20"/>
    <s v="SE4_OTHER"/>
    <x v="10"/>
    <x v="111"/>
    <x v="0"/>
    <x v="14"/>
    <n v="255.12972100638299"/>
    <n v="93122.348167329706"/>
    <n v="335240.45340238698"/>
  </r>
  <r>
    <x v="0"/>
    <x v="0"/>
    <x v="0"/>
    <x v="9"/>
    <x v="20"/>
    <s v="SE4_OTHER"/>
    <x v="10"/>
    <x v="111"/>
    <x v="0"/>
    <x v="15"/>
    <n v="245.96028309926899"/>
    <n v="89775.503331233194"/>
    <n v="323191.81199244002"/>
  </r>
  <r>
    <x v="0"/>
    <x v="0"/>
    <x v="0"/>
    <x v="9"/>
    <x v="20"/>
    <s v="SE4_OTHER"/>
    <x v="10"/>
    <x v="111"/>
    <x v="0"/>
    <x v="16"/>
    <n v="231.41542955046299"/>
    <n v="84466.631785919104"/>
    <n v="304079.87442930898"/>
  </r>
  <r>
    <x v="0"/>
    <x v="0"/>
    <x v="0"/>
    <x v="9"/>
    <x v="20"/>
    <s v="SE4_OTHER"/>
    <x v="10"/>
    <x v="111"/>
    <x v="0"/>
    <x v="17"/>
    <n v="190.88006564541001"/>
    <n v="69671.223960574702"/>
    <n v="250816.40625806901"/>
  </r>
  <r>
    <x v="0"/>
    <x v="0"/>
    <x v="0"/>
    <x v="9"/>
    <x v="20"/>
    <s v="SE4_OTHER"/>
    <x v="10"/>
    <x v="111"/>
    <x v="0"/>
    <x v="18"/>
    <n v="164.89722951203001"/>
    <n v="60187.488771891003"/>
    <n v="216674.95957880799"/>
  </r>
  <r>
    <x v="0"/>
    <x v="0"/>
    <x v="0"/>
    <x v="9"/>
    <x v="20"/>
    <s v="SE4_OTHER"/>
    <x v="10"/>
    <x v="111"/>
    <x v="0"/>
    <x v="19"/>
    <n v="142.61639572071601"/>
    <n v="52054.984438061299"/>
    <n v="187397.943977021"/>
  </r>
  <r>
    <x v="0"/>
    <x v="0"/>
    <x v="0"/>
    <x v="9"/>
    <x v="20"/>
    <s v="SE4_OTHER"/>
    <x v="10"/>
    <x v="111"/>
    <x v="0"/>
    <x v="20"/>
    <n v="118.150427003346"/>
    <n v="43124.905856221398"/>
    <n v="155249.66108239701"/>
  </r>
  <r>
    <x v="0"/>
    <x v="0"/>
    <x v="0"/>
    <x v="9"/>
    <x v="20"/>
    <s v="SE4_OTHER"/>
    <x v="10"/>
    <x v="111"/>
    <x v="0"/>
    <x v="21"/>
    <n v="77.372287441786298"/>
    <n v="28240.884916251998"/>
    <n v="101667.185698507"/>
  </r>
  <r>
    <x v="0"/>
    <x v="0"/>
    <x v="0"/>
    <x v="9"/>
    <x v="20"/>
    <s v="SE4_OTHER"/>
    <x v="10"/>
    <x v="111"/>
    <x v="0"/>
    <x v="22"/>
    <n v="50.163884344171699"/>
    <n v="18309.817785622701"/>
    <n v="65915.344028241598"/>
  </r>
  <r>
    <x v="0"/>
    <x v="0"/>
    <x v="0"/>
    <x v="10"/>
    <x v="21"/>
    <s v="UK_A"/>
    <x v="11"/>
    <x v="259"/>
    <x v="0"/>
    <x v="16"/>
    <n v="1224.4299090659699"/>
    <n v="446916.916809079"/>
    <n v="1608900.9005126799"/>
  </r>
  <r>
    <x v="0"/>
    <x v="0"/>
    <x v="0"/>
    <x v="10"/>
    <x v="21"/>
    <s v="UK_A"/>
    <x v="11"/>
    <x v="259"/>
    <x v="0"/>
    <x v="17"/>
    <n v="2847.71921523429"/>
    <n v="1039417.51356052"/>
    <n v="3741903.04881786"/>
  </r>
  <r>
    <x v="0"/>
    <x v="0"/>
    <x v="0"/>
    <x v="10"/>
    <x v="21"/>
    <s v="UK_A"/>
    <x v="11"/>
    <x v="259"/>
    <x v="0"/>
    <x v="18"/>
    <n v="5335.5555555555602"/>
    <n v="1947477.7777777801"/>
    <n v="7010920"/>
  </r>
  <r>
    <x v="0"/>
    <x v="0"/>
    <x v="0"/>
    <x v="10"/>
    <x v="21"/>
    <s v="UK_A"/>
    <x v="11"/>
    <x v="259"/>
    <x v="0"/>
    <x v="19"/>
    <n v="334.40795187675701"/>
    <n v="122058.902435016"/>
    <n v="439412.048766058"/>
  </r>
  <r>
    <x v="0"/>
    <x v="0"/>
    <x v="0"/>
    <x v="10"/>
    <x v="21"/>
    <s v="UK_A"/>
    <x v="0"/>
    <x v="260"/>
    <x v="0"/>
    <x v="17"/>
    <n v="7162.8789425444602"/>
    <n v="2614450.8140287302"/>
    <n v="9412022.9305034205"/>
  </r>
  <r>
    <x v="0"/>
    <x v="0"/>
    <x v="0"/>
    <x v="10"/>
    <x v="21"/>
    <s v="UK_A"/>
    <x v="0"/>
    <x v="260"/>
    <x v="0"/>
    <x v="18"/>
    <n v="881.88857976368195"/>
    <n v="321889.33161374403"/>
    <n v="1158801.5938094801"/>
  </r>
  <r>
    <x v="0"/>
    <x v="0"/>
    <x v="0"/>
    <x v="10"/>
    <x v="21"/>
    <s v="UK_A"/>
    <x v="1"/>
    <x v="202"/>
    <x v="0"/>
    <x v="3"/>
    <n v="2015"/>
    <n v="735475"/>
    <n v="2647710"/>
  </r>
  <r>
    <x v="0"/>
    <x v="0"/>
    <x v="0"/>
    <x v="10"/>
    <x v="21"/>
    <s v="UK_A"/>
    <x v="1"/>
    <x v="202"/>
    <x v="0"/>
    <x v="4"/>
    <n v="2015"/>
    <n v="735475"/>
    <n v="2647710"/>
  </r>
  <r>
    <x v="0"/>
    <x v="0"/>
    <x v="0"/>
    <x v="10"/>
    <x v="21"/>
    <s v="UK_A"/>
    <x v="1"/>
    <x v="202"/>
    <x v="0"/>
    <x v="5"/>
    <n v="2015"/>
    <n v="735475"/>
    <n v="2647710"/>
  </r>
  <r>
    <x v="0"/>
    <x v="0"/>
    <x v="0"/>
    <x v="10"/>
    <x v="21"/>
    <s v="UK_A"/>
    <x v="1"/>
    <x v="202"/>
    <x v="0"/>
    <x v="6"/>
    <n v="2015"/>
    <n v="735475"/>
    <n v="2647710"/>
  </r>
  <r>
    <x v="0"/>
    <x v="0"/>
    <x v="0"/>
    <x v="10"/>
    <x v="21"/>
    <s v="UK_A"/>
    <x v="1"/>
    <x v="202"/>
    <x v="0"/>
    <x v="7"/>
    <n v="2015"/>
    <n v="735475"/>
    <n v="2647710"/>
  </r>
  <r>
    <x v="0"/>
    <x v="0"/>
    <x v="0"/>
    <x v="10"/>
    <x v="21"/>
    <s v="UK_A"/>
    <x v="1"/>
    <x v="202"/>
    <x v="0"/>
    <x v="8"/>
    <n v="2015"/>
    <n v="735475"/>
    <n v="2647710"/>
  </r>
  <r>
    <x v="0"/>
    <x v="0"/>
    <x v="0"/>
    <x v="10"/>
    <x v="21"/>
    <s v="UK_A"/>
    <x v="1"/>
    <x v="202"/>
    <x v="0"/>
    <x v="0"/>
    <n v="2015"/>
    <n v="735475"/>
    <n v="2647710"/>
  </r>
  <r>
    <x v="0"/>
    <x v="0"/>
    <x v="0"/>
    <x v="10"/>
    <x v="21"/>
    <s v="UK_A"/>
    <x v="1"/>
    <x v="202"/>
    <x v="0"/>
    <x v="1"/>
    <n v="2015"/>
    <n v="735475"/>
    <n v="2647710"/>
  </r>
  <r>
    <x v="0"/>
    <x v="0"/>
    <x v="0"/>
    <x v="10"/>
    <x v="21"/>
    <s v="UK_A"/>
    <x v="1"/>
    <x v="202"/>
    <x v="0"/>
    <x v="2"/>
    <n v="2015"/>
    <n v="735475"/>
    <n v="2647710"/>
  </r>
  <r>
    <x v="0"/>
    <x v="0"/>
    <x v="0"/>
    <x v="10"/>
    <x v="21"/>
    <s v="UK_A"/>
    <x v="1"/>
    <x v="202"/>
    <x v="0"/>
    <x v="9"/>
    <n v="2015"/>
    <n v="735475"/>
    <n v="2647710"/>
  </r>
  <r>
    <x v="0"/>
    <x v="0"/>
    <x v="0"/>
    <x v="10"/>
    <x v="21"/>
    <s v="UK_A"/>
    <x v="1"/>
    <x v="202"/>
    <x v="0"/>
    <x v="10"/>
    <n v="2015"/>
    <n v="735475"/>
    <n v="2647710"/>
  </r>
  <r>
    <x v="0"/>
    <x v="0"/>
    <x v="0"/>
    <x v="10"/>
    <x v="21"/>
    <s v="UK_A"/>
    <x v="1"/>
    <x v="202"/>
    <x v="0"/>
    <x v="11"/>
    <n v="2015"/>
    <n v="735475"/>
    <n v="2647710"/>
  </r>
  <r>
    <x v="0"/>
    <x v="0"/>
    <x v="0"/>
    <x v="10"/>
    <x v="21"/>
    <s v="UK_A"/>
    <x v="1"/>
    <x v="202"/>
    <x v="0"/>
    <x v="12"/>
    <n v="2015"/>
    <n v="735475"/>
    <n v="2647710"/>
  </r>
  <r>
    <x v="0"/>
    <x v="0"/>
    <x v="0"/>
    <x v="10"/>
    <x v="21"/>
    <s v="UK_A"/>
    <x v="1"/>
    <x v="202"/>
    <x v="0"/>
    <x v="13"/>
    <n v="2015"/>
    <n v="735475"/>
    <n v="2647710"/>
  </r>
  <r>
    <x v="0"/>
    <x v="0"/>
    <x v="0"/>
    <x v="10"/>
    <x v="21"/>
    <s v="UK_A"/>
    <x v="1"/>
    <x v="202"/>
    <x v="0"/>
    <x v="14"/>
    <n v="2015"/>
    <n v="735475"/>
    <n v="2647710"/>
  </r>
  <r>
    <x v="0"/>
    <x v="0"/>
    <x v="0"/>
    <x v="10"/>
    <x v="21"/>
    <s v="UK_A"/>
    <x v="1"/>
    <x v="202"/>
    <x v="0"/>
    <x v="15"/>
    <n v="2015"/>
    <n v="735475"/>
    <n v="2647710"/>
  </r>
  <r>
    <x v="0"/>
    <x v="0"/>
    <x v="0"/>
    <x v="10"/>
    <x v="21"/>
    <s v="UK_A"/>
    <x v="1"/>
    <x v="202"/>
    <x v="0"/>
    <x v="16"/>
    <n v="2015"/>
    <n v="735475"/>
    <n v="2647710"/>
  </r>
  <r>
    <x v="0"/>
    <x v="0"/>
    <x v="0"/>
    <x v="10"/>
    <x v="21"/>
    <s v="UK_A"/>
    <x v="1"/>
    <x v="202"/>
    <x v="0"/>
    <x v="17"/>
    <n v="2015"/>
    <n v="735475"/>
    <n v="2647710"/>
  </r>
  <r>
    <x v="0"/>
    <x v="0"/>
    <x v="0"/>
    <x v="10"/>
    <x v="21"/>
    <s v="UK_A"/>
    <x v="1"/>
    <x v="202"/>
    <x v="0"/>
    <x v="18"/>
    <n v="2015"/>
    <n v="735475"/>
    <n v="2647710"/>
  </r>
  <r>
    <x v="0"/>
    <x v="0"/>
    <x v="0"/>
    <x v="10"/>
    <x v="21"/>
    <s v="UK_A"/>
    <x v="1"/>
    <x v="202"/>
    <x v="0"/>
    <x v="19"/>
    <n v="2015"/>
    <n v="735475"/>
    <n v="2647710"/>
  </r>
  <r>
    <x v="0"/>
    <x v="0"/>
    <x v="0"/>
    <x v="10"/>
    <x v="21"/>
    <s v="UK_A"/>
    <x v="1"/>
    <x v="202"/>
    <x v="0"/>
    <x v="20"/>
    <n v="2015"/>
    <n v="735475"/>
    <n v="2647710"/>
  </r>
  <r>
    <x v="0"/>
    <x v="0"/>
    <x v="0"/>
    <x v="10"/>
    <x v="21"/>
    <s v="UK_A"/>
    <x v="1"/>
    <x v="202"/>
    <x v="0"/>
    <x v="21"/>
    <n v="2015"/>
    <n v="735475"/>
    <n v="2647710"/>
  </r>
  <r>
    <x v="0"/>
    <x v="0"/>
    <x v="0"/>
    <x v="10"/>
    <x v="21"/>
    <s v="UK_A"/>
    <x v="1"/>
    <x v="202"/>
    <x v="0"/>
    <x v="22"/>
    <n v="2015"/>
    <n v="735475"/>
    <n v="2647710"/>
  </r>
  <r>
    <x v="0"/>
    <x v="0"/>
    <x v="0"/>
    <x v="10"/>
    <x v="21"/>
    <s v="UK_A"/>
    <x v="1"/>
    <x v="202"/>
    <x v="0"/>
    <x v="23"/>
    <n v="2015"/>
    <n v="735475"/>
    <n v="2647710"/>
  </r>
  <r>
    <x v="0"/>
    <x v="0"/>
    <x v="0"/>
    <x v="10"/>
    <x v="21"/>
    <s v="UK_A"/>
    <x v="2"/>
    <x v="261"/>
    <x v="0"/>
    <x v="0"/>
    <n v="2355.9661692131399"/>
    <n v="859927.65176279703"/>
    <n v="3095739.5463460698"/>
  </r>
  <r>
    <x v="0"/>
    <x v="0"/>
    <x v="0"/>
    <x v="10"/>
    <x v="21"/>
    <s v="UK_A"/>
    <x v="2"/>
    <x v="261"/>
    <x v="0"/>
    <x v="1"/>
    <n v="17804.773987635501"/>
    <n v="6498742.5054869503"/>
    <n v="23395473.019753002"/>
  </r>
  <r>
    <x v="0"/>
    <x v="0"/>
    <x v="0"/>
    <x v="10"/>
    <x v="21"/>
    <s v="UK_A"/>
    <x v="2"/>
    <x v="261"/>
    <x v="0"/>
    <x v="2"/>
    <n v="22036.5875125934"/>
    <n v="8043354.4420966096"/>
    <n v="28956075.991547801"/>
  </r>
  <r>
    <x v="0"/>
    <x v="0"/>
    <x v="0"/>
    <x v="10"/>
    <x v="21"/>
    <s v="UK_A"/>
    <x v="2"/>
    <x v="261"/>
    <x v="0"/>
    <x v="9"/>
    <n v="22900.034438068"/>
    <n v="8358512.5698948298"/>
    <n v="30090645.251621399"/>
  </r>
  <r>
    <x v="0"/>
    <x v="0"/>
    <x v="0"/>
    <x v="10"/>
    <x v="21"/>
    <s v="UK_A"/>
    <x v="2"/>
    <x v="261"/>
    <x v="0"/>
    <x v="10"/>
    <n v="22750.515019741801"/>
    <n v="8303937.9822057504"/>
    <n v="29894176.735940699"/>
  </r>
  <r>
    <x v="0"/>
    <x v="0"/>
    <x v="0"/>
    <x v="10"/>
    <x v="21"/>
    <s v="UK_A"/>
    <x v="2"/>
    <x v="261"/>
    <x v="0"/>
    <x v="11"/>
    <n v="22646.269649304199"/>
    <n v="8265888.4219960198"/>
    <n v="29757198.3191857"/>
  </r>
  <r>
    <x v="0"/>
    <x v="0"/>
    <x v="0"/>
    <x v="10"/>
    <x v="21"/>
    <s v="UK_A"/>
    <x v="2"/>
    <x v="261"/>
    <x v="0"/>
    <x v="12"/>
    <n v="21852.525988537302"/>
    <n v="7976171.9858161099"/>
    <n v="28714219.148938"/>
  </r>
  <r>
    <x v="0"/>
    <x v="0"/>
    <x v="0"/>
    <x v="10"/>
    <x v="21"/>
    <s v="UK_A"/>
    <x v="2"/>
    <x v="261"/>
    <x v="0"/>
    <x v="13"/>
    <n v="23353.276787666"/>
    <n v="8523946.0274980702"/>
    <n v="30686205.698993102"/>
  </r>
  <r>
    <x v="0"/>
    <x v="0"/>
    <x v="0"/>
    <x v="10"/>
    <x v="21"/>
    <s v="UK_A"/>
    <x v="2"/>
    <x v="261"/>
    <x v="0"/>
    <x v="14"/>
    <n v="28202.645261317601"/>
    <n v="10293965.520380899"/>
    <n v="37058275.873371303"/>
  </r>
  <r>
    <x v="0"/>
    <x v="0"/>
    <x v="0"/>
    <x v="10"/>
    <x v="21"/>
    <s v="UK_A"/>
    <x v="2"/>
    <x v="261"/>
    <x v="0"/>
    <x v="15"/>
    <n v="30910.638297872301"/>
    <n v="11282382.978723399"/>
    <n v="40616578.723404303"/>
  </r>
  <r>
    <x v="0"/>
    <x v="0"/>
    <x v="0"/>
    <x v="10"/>
    <x v="21"/>
    <s v="UK_A"/>
    <x v="2"/>
    <x v="261"/>
    <x v="0"/>
    <x v="16"/>
    <n v="30910.638297872301"/>
    <n v="11282382.978723399"/>
    <n v="40616578.723404303"/>
  </r>
  <r>
    <x v="0"/>
    <x v="0"/>
    <x v="0"/>
    <x v="10"/>
    <x v="21"/>
    <s v="UK_A"/>
    <x v="2"/>
    <x v="261"/>
    <x v="0"/>
    <x v="17"/>
    <n v="30910.638297872301"/>
    <n v="11282382.978723399"/>
    <n v="40616578.723404303"/>
  </r>
  <r>
    <x v="0"/>
    <x v="0"/>
    <x v="0"/>
    <x v="10"/>
    <x v="21"/>
    <s v="UK_A"/>
    <x v="2"/>
    <x v="261"/>
    <x v="0"/>
    <x v="18"/>
    <n v="30910.638297872301"/>
    <n v="11282382.978723399"/>
    <n v="40616578.723404303"/>
  </r>
  <r>
    <x v="0"/>
    <x v="0"/>
    <x v="0"/>
    <x v="10"/>
    <x v="21"/>
    <s v="UK_A"/>
    <x v="2"/>
    <x v="261"/>
    <x v="0"/>
    <x v="19"/>
    <n v="30910.638297872301"/>
    <n v="11282382.978723399"/>
    <n v="40616578.723404303"/>
  </r>
  <r>
    <x v="0"/>
    <x v="0"/>
    <x v="0"/>
    <x v="10"/>
    <x v="21"/>
    <s v="UK_A"/>
    <x v="2"/>
    <x v="261"/>
    <x v="0"/>
    <x v="20"/>
    <n v="30910.638297872301"/>
    <n v="11282382.978723399"/>
    <n v="40616578.723404303"/>
  </r>
  <r>
    <x v="0"/>
    <x v="0"/>
    <x v="0"/>
    <x v="10"/>
    <x v="21"/>
    <s v="UK_A"/>
    <x v="2"/>
    <x v="261"/>
    <x v="0"/>
    <x v="21"/>
    <n v="28848.736228464899"/>
    <n v="10529788.7233897"/>
    <n v="37907239.404202797"/>
  </r>
  <r>
    <x v="0"/>
    <x v="0"/>
    <x v="0"/>
    <x v="10"/>
    <x v="21"/>
    <s v="UK_A"/>
    <x v="2"/>
    <x v="261"/>
    <x v="0"/>
    <x v="22"/>
    <n v="18671.3476849658"/>
    <n v="6815041.9050125098"/>
    <n v="24534150.858045001"/>
  </r>
  <r>
    <x v="0"/>
    <x v="0"/>
    <x v="0"/>
    <x v="10"/>
    <x v="21"/>
    <s v="UK_A"/>
    <x v="2"/>
    <x v="261"/>
    <x v="0"/>
    <x v="23"/>
    <n v="10112.6770379316"/>
    <n v="3691127.11884504"/>
    <n v="13288057.627842201"/>
  </r>
  <r>
    <x v="0"/>
    <x v="0"/>
    <x v="0"/>
    <x v="10"/>
    <x v="21"/>
    <s v="UK_A"/>
    <x v="2"/>
    <x v="262"/>
    <x v="0"/>
    <x v="3"/>
    <n v="10414.1108879978"/>
    <n v="3801150.4741192102"/>
    <n v="13684141.7068292"/>
  </r>
  <r>
    <x v="0"/>
    <x v="0"/>
    <x v="0"/>
    <x v="10"/>
    <x v="21"/>
    <s v="UK_A"/>
    <x v="2"/>
    <x v="262"/>
    <x v="0"/>
    <x v="4"/>
    <n v="8608.79375832601"/>
    <n v="3142209.7217889898"/>
    <n v="11311954.9984404"/>
  </r>
  <r>
    <x v="0"/>
    <x v="0"/>
    <x v="0"/>
    <x v="10"/>
    <x v="21"/>
    <s v="UK_A"/>
    <x v="2"/>
    <x v="262"/>
    <x v="0"/>
    <x v="5"/>
    <n v="6227.6374630626296"/>
    <n v="2273087.6740178601"/>
    <n v="8183115.6264642999"/>
  </r>
  <r>
    <x v="0"/>
    <x v="0"/>
    <x v="0"/>
    <x v="10"/>
    <x v="21"/>
    <s v="UK_A"/>
    <x v="2"/>
    <x v="262"/>
    <x v="0"/>
    <x v="6"/>
    <n v="3681.87846090225"/>
    <n v="1343885.6382293201"/>
    <n v="4837988.2976255603"/>
  </r>
  <r>
    <x v="0"/>
    <x v="0"/>
    <x v="0"/>
    <x v="10"/>
    <x v="21"/>
    <s v="UK_A"/>
    <x v="2"/>
    <x v="262"/>
    <x v="0"/>
    <x v="7"/>
    <n v="2028.1681345777099"/>
    <n v="740281.36912086501"/>
    <n v="2665012.9288351098"/>
  </r>
  <r>
    <x v="0"/>
    <x v="0"/>
    <x v="0"/>
    <x v="10"/>
    <x v="21"/>
    <s v="UK_A"/>
    <x v="2"/>
    <x v="262"/>
    <x v="0"/>
    <x v="8"/>
    <n v="4453.1627542261203"/>
    <n v="1625404.4052925301"/>
    <n v="5851455.85905312"/>
  </r>
  <r>
    <x v="0"/>
    <x v="0"/>
    <x v="0"/>
    <x v="10"/>
    <x v="21"/>
    <s v="UK_A"/>
    <x v="2"/>
    <x v="262"/>
    <x v="0"/>
    <x v="0"/>
    <n v="13365.384615384601"/>
    <n v="4878365.3846153803"/>
    <n v="17562115.384615399"/>
  </r>
  <r>
    <x v="0"/>
    <x v="0"/>
    <x v="0"/>
    <x v="10"/>
    <x v="21"/>
    <s v="UK_A"/>
    <x v="2"/>
    <x v="262"/>
    <x v="0"/>
    <x v="1"/>
    <n v="13365.384615384601"/>
    <n v="4878365.3846153803"/>
    <n v="17562115.384615399"/>
  </r>
  <r>
    <x v="0"/>
    <x v="0"/>
    <x v="0"/>
    <x v="10"/>
    <x v="21"/>
    <s v="UK_A"/>
    <x v="2"/>
    <x v="262"/>
    <x v="0"/>
    <x v="2"/>
    <n v="13365.384615384601"/>
    <n v="4878365.3846153803"/>
    <n v="17562115.384615399"/>
  </r>
  <r>
    <x v="0"/>
    <x v="0"/>
    <x v="0"/>
    <x v="10"/>
    <x v="21"/>
    <s v="UK_A"/>
    <x v="2"/>
    <x v="262"/>
    <x v="0"/>
    <x v="9"/>
    <n v="13365.384615384601"/>
    <n v="4878365.3846153803"/>
    <n v="17562115.384615399"/>
  </r>
  <r>
    <x v="0"/>
    <x v="0"/>
    <x v="0"/>
    <x v="10"/>
    <x v="21"/>
    <s v="UK_A"/>
    <x v="2"/>
    <x v="262"/>
    <x v="0"/>
    <x v="10"/>
    <n v="13365.384615384601"/>
    <n v="4878365.3846153803"/>
    <n v="17562115.384615399"/>
  </r>
  <r>
    <x v="0"/>
    <x v="0"/>
    <x v="0"/>
    <x v="10"/>
    <x v="21"/>
    <s v="UK_A"/>
    <x v="2"/>
    <x v="262"/>
    <x v="0"/>
    <x v="11"/>
    <n v="13365.384615384601"/>
    <n v="4878365.3846153803"/>
    <n v="17562115.384615399"/>
  </r>
  <r>
    <x v="0"/>
    <x v="0"/>
    <x v="0"/>
    <x v="10"/>
    <x v="21"/>
    <s v="UK_A"/>
    <x v="2"/>
    <x v="262"/>
    <x v="0"/>
    <x v="12"/>
    <n v="13365.384615384601"/>
    <n v="4878365.3846153803"/>
    <n v="17562115.384615399"/>
  </r>
  <r>
    <x v="0"/>
    <x v="0"/>
    <x v="0"/>
    <x v="10"/>
    <x v="21"/>
    <s v="UK_A"/>
    <x v="2"/>
    <x v="262"/>
    <x v="0"/>
    <x v="13"/>
    <n v="13365.384615384601"/>
    <n v="4878365.3846153803"/>
    <n v="17562115.384615399"/>
  </r>
  <r>
    <x v="0"/>
    <x v="0"/>
    <x v="0"/>
    <x v="10"/>
    <x v="21"/>
    <s v="UK_A"/>
    <x v="2"/>
    <x v="262"/>
    <x v="0"/>
    <x v="14"/>
    <n v="13365.384615384601"/>
    <n v="4878365.3846153803"/>
    <n v="17562115.384615399"/>
  </r>
  <r>
    <x v="0"/>
    <x v="0"/>
    <x v="0"/>
    <x v="10"/>
    <x v="21"/>
    <s v="UK_A"/>
    <x v="2"/>
    <x v="262"/>
    <x v="0"/>
    <x v="15"/>
    <n v="13365.384615384601"/>
    <n v="4878365.3846153803"/>
    <n v="17562115.384615399"/>
  </r>
  <r>
    <x v="0"/>
    <x v="0"/>
    <x v="0"/>
    <x v="10"/>
    <x v="21"/>
    <s v="UK_A"/>
    <x v="2"/>
    <x v="262"/>
    <x v="0"/>
    <x v="16"/>
    <n v="13365.384615384601"/>
    <n v="4878365.3846153803"/>
    <n v="17562115.384615399"/>
  </r>
  <r>
    <x v="0"/>
    <x v="0"/>
    <x v="0"/>
    <x v="10"/>
    <x v="21"/>
    <s v="UK_A"/>
    <x v="2"/>
    <x v="262"/>
    <x v="0"/>
    <x v="17"/>
    <n v="13365.384615384601"/>
    <n v="4878365.3846153803"/>
    <n v="17562115.384615399"/>
  </r>
  <r>
    <x v="0"/>
    <x v="0"/>
    <x v="0"/>
    <x v="10"/>
    <x v="21"/>
    <s v="UK_A"/>
    <x v="2"/>
    <x v="262"/>
    <x v="0"/>
    <x v="18"/>
    <n v="13365.384615384601"/>
    <n v="4878365.3846153803"/>
    <n v="17562115.384615399"/>
  </r>
  <r>
    <x v="0"/>
    <x v="0"/>
    <x v="0"/>
    <x v="10"/>
    <x v="21"/>
    <s v="UK_A"/>
    <x v="2"/>
    <x v="262"/>
    <x v="0"/>
    <x v="19"/>
    <n v="13365.384615384601"/>
    <n v="4878365.3846153803"/>
    <n v="17562115.384615399"/>
  </r>
  <r>
    <x v="0"/>
    <x v="0"/>
    <x v="0"/>
    <x v="10"/>
    <x v="21"/>
    <s v="UK_A"/>
    <x v="2"/>
    <x v="262"/>
    <x v="0"/>
    <x v="20"/>
    <n v="13365.384615384601"/>
    <n v="4878365.3846153803"/>
    <n v="17562115.384615399"/>
  </r>
  <r>
    <x v="0"/>
    <x v="0"/>
    <x v="0"/>
    <x v="10"/>
    <x v="21"/>
    <s v="UK_A"/>
    <x v="2"/>
    <x v="262"/>
    <x v="0"/>
    <x v="21"/>
    <n v="13365.384615384601"/>
    <n v="4878365.3846153803"/>
    <n v="17562115.384615399"/>
  </r>
  <r>
    <x v="0"/>
    <x v="0"/>
    <x v="0"/>
    <x v="10"/>
    <x v="21"/>
    <s v="UK_A"/>
    <x v="2"/>
    <x v="262"/>
    <x v="0"/>
    <x v="22"/>
    <n v="13365.384615384601"/>
    <n v="4878365.3846153803"/>
    <n v="17562115.384615399"/>
  </r>
  <r>
    <x v="0"/>
    <x v="0"/>
    <x v="0"/>
    <x v="10"/>
    <x v="21"/>
    <s v="UK_A"/>
    <x v="2"/>
    <x v="262"/>
    <x v="0"/>
    <x v="23"/>
    <n v="13365.384615384601"/>
    <n v="4878365.3846153803"/>
    <n v="17562115.384615399"/>
  </r>
  <r>
    <x v="0"/>
    <x v="0"/>
    <x v="0"/>
    <x v="10"/>
    <x v="21"/>
    <s v="UK_A"/>
    <x v="2"/>
    <x v="263"/>
    <x v="0"/>
    <x v="3"/>
    <n v="16178.5714285714"/>
    <n v="5905178.57142857"/>
    <n v="21258642.857142899"/>
  </r>
  <r>
    <x v="0"/>
    <x v="0"/>
    <x v="0"/>
    <x v="10"/>
    <x v="21"/>
    <s v="UK_A"/>
    <x v="2"/>
    <x v="263"/>
    <x v="0"/>
    <x v="4"/>
    <n v="16178.5714285714"/>
    <n v="5905178.57142857"/>
    <n v="21258642.857142899"/>
  </r>
  <r>
    <x v="0"/>
    <x v="0"/>
    <x v="0"/>
    <x v="10"/>
    <x v="21"/>
    <s v="UK_A"/>
    <x v="2"/>
    <x v="263"/>
    <x v="0"/>
    <x v="5"/>
    <n v="16178.5714285714"/>
    <n v="5905178.57142857"/>
    <n v="21258642.857142899"/>
  </r>
  <r>
    <x v="0"/>
    <x v="0"/>
    <x v="0"/>
    <x v="10"/>
    <x v="21"/>
    <s v="UK_A"/>
    <x v="2"/>
    <x v="263"/>
    <x v="0"/>
    <x v="6"/>
    <n v="16178.5714285714"/>
    <n v="5905178.57142857"/>
    <n v="21258642.857142899"/>
  </r>
  <r>
    <x v="0"/>
    <x v="0"/>
    <x v="0"/>
    <x v="10"/>
    <x v="21"/>
    <s v="UK_A"/>
    <x v="2"/>
    <x v="263"/>
    <x v="0"/>
    <x v="7"/>
    <n v="16178.5714285714"/>
    <n v="5905178.57142857"/>
    <n v="21258642.857142899"/>
  </r>
  <r>
    <x v="0"/>
    <x v="0"/>
    <x v="0"/>
    <x v="10"/>
    <x v="21"/>
    <s v="UK_A"/>
    <x v="2"/>
    <x v="263"/>
    <x v="0"/>
    <x v="8"/>
    <n v="16178.5714285714"/>
    <n v="5905178.57142857"/>
    <n v="21258642.857142899"/>
  </r>
  <r>
    <x v="0"/>
    <x v="0"/>
    <x v="0"/>
    <x v="10"/>
    <x v="21"/>
    <s v="UK_A"/>
    <x v="2"/>
    <x v="263"/>
    <x v="0"/>
    <x v="0"/>
    <n v="16178.5714285714"/>
    <n v="5905178.57142857"/>
    <n v="21258642.857142899"/>
  </r>
  <r>
    <x v="0"/>
    <x v="0"/>
    <x v="0"/>
    <x v="10"/>
    <x v="21"/>
    <s v="UK_A"/>
    <x v="2"/>
    <x v="263"/>
    <x v="0"/>
    <x v="1"/>
    <n v="16178.5714285714"/>
    <n v="5905178.57142857"/>
    <n v="21258642.857142899"/>
  </r>
  <r>
    <x v="0"/>
    <x v="0"/>
    <x v="0"/>
    <x v="10"/>
    <x v="21"/>
    <s v="UK_A"/>
    <x v="2"/>
    <x v="263"/>
    <x v="0"/>
    <x v="2"/>
    <n v="16178.5714285714"/>
    <n v="5905178.57142857"/>
    <n v="21258642.857142899"/>
  </r>
  <r>
    <x v="0"/>
    <x v="0"/>
    <x v="0"/>
    <x v="10"/>
    <x v="21"/>
    <s v="UK_A"/>
    <x v="2"/>
    <x v="263"/>
    <x v="0"/>
    <x v="9"/>
    <n v="16178.5714285714"/>
    <n v="5905178.57142857"/>
    <n v="21258642.857142899"/>
  </r>
  <r>
    <x v="0"/>
    <x v="0"/>
    <x v="0"/>
    <x v="10"/>
    <x v="21"/>
    <s v="UK_A"/>
    <x v="2"/>
    <x v="263"/>
    <x v="0"/>
    <x v="10"/>
    <n v="16178.5714285714"/>
    <n v="5905178.57142857"/>
    <n v="21258642.857142899"/>
  </r>
  <r>
    <x v="0"/>
    <x v="0"/>
    <x v="0"/>
    <x v="10"/>
    <x v="21"/>
    <s v="UK_A"/>
    <x v="2"/>
    <x v="263"/>
    <x v="0"/>
    <x v="11"/>
    <n v="16178.5714285714"/>
    <n v="5905178.57142857"/>
    <n v="21258642.857142899"/>
  </r>
  <r>
    <x v="0"/>
    <x v="0"/>
    <x v="0"/>
    <x v="10"/>
    <x v="21"/>
    <s v="UK_A"/>
    <x v="2"/>
    <x v="263"/>
    <x v="0"/>
    <x v="12"/>
    <n v="16178.5714285714"/>
    <n v="5905178.57142857"/>
    <n v="21258642.857142899"/>
  </r>
  <r>
    <x v="0"/>
    <x v="0"/>
    <x v="0"/>
    <x v="10"/>
    <x v="21"/>
    <s v="UK_A"/>
    <x v="2"/>
    <x v="263"/>
    <x v="0"/>
    <x v="13"/>
    <n v="16178.5714285714"/>
    <n v="5905178.57142857"/>
    <n v="21258642.857142899"/>
  </r>
  <r>
    <x v="0"/>
    <x v="0"/>
    <x v="0"/>
    <x v="10"/>
    <x v="21"/>
    <s v="UK_A"/>
    <x v="2"/>
    <x v="263"/>
    <x v="0"/>
    <x v="14"/>
    <n v="16178.5714285714"/>
    <n v="5905178.57142857"/>
    <n v="21258642.857142899"/>
  </r>
  <r>
    <x v="0"/>
    <x v="0"/>
    <x v="0"/>
    <x v="10"/>
    <x v="21"/>
    <s v="UK_A"/>
    <x v="2"/>
    <x v="263"/>
    <x v="0"/>
    <x v="15"/>
    <n v="16178.5714285714"/>
    <n v="5905178.57142857"/>
    <n v="21258642.857142899"/>
  </r>
  <r>
    <x v="0"/>
    <x v="0"/>
    <x v="0"/>
    <x v="10"/>
    <x v="21"/>
    <s v="UK_A"/>
    <x v="2"/>
    <x v="263"/>
    <x v="0"/>
    <x v="16"/>
    <n v="16178.5714285714"/>
    <n v="5905178.57142857"/>
    <n v="21258642.857142899"/>
  </r>
  <r>
    <x v="0"/>
    <x v="0"/>
    <x v="0"/>
    <x v="10"/>
    <x v="21"/>
    <s v="UK_A"/>
    <x v="2"/>
    <x v="263"/>
    <x v="0"/>
    <x v="17"/>
    <n v="16178.5714285714"/>
    <n v="5905178.57142857"/>
    <n v="21258642.857142899"/>
  </r>
  <r>
    <x v="0"/>
    <x v="0"/>
    <x v="0"/>
    <x v="10"/>
    <x v="21"/>
    <s v="UK_A"/>
    <x v="2"/>
    <x v="263"/>
    <x v="0"/>
    <x v="18"/>
    <n v="16178.5714285714"/>
    <n v="5905178.57142857"/>
    <n v="21258642.857142899"/>
  </r>
  <r>
    <x v="0"/>
    <x v="0"/>
    <x v="0"/>
    <x v="10"/>
    <x v="21"/>
    <s v="UK_A"/>
    <x v="2"/>
    <x v="263"/>
    <x v="0"/>
    <x v="19"/>
    <n v="16178.5714285714"/>
    <n v="5905178.57142857"/>
    <n v="21258642.857142899"/>
  </r>
  <r>
    <x v="0"/>
    <x v="0"/>
    <x v="0"/>
    <x v="10"/>
    <x v="21"/>
    <s v="UK_A"/>
    <x v="2"/>
    <x v="263"/>
    <x v="0"/>
    <x v="20"/>
    <n v="16178.5714285714"/>
    <n v="5905178.57142857"/>
    <n v="21258642.857142899"/>
  </r>
  <r>
    <x v="0"/>
    <x v="0"/>
    <x v="0"/>
    <x v="10"/>
    <x v="21"/>
    <s v="UK_A"/>
    <x v="2"/>
    <x v="263"/>
    <x v="0"/>
    <x v="21"/>
    <n v="16178.5714285714"/>
    <n v="5905178.57142857"/>
    <n v="21258642.857142899"/>
  </r>
  <r>
    <x v="0"/>
    <x v="0"/>
    <x v="0"/>
    <x v="10"/>
    <x v="21"/>
    <s v="UK_A"/>
    <x v="2"/>
    <x v="263"/>
    <x v="0"/>
    <x v="22"/>
    <n v="16178.5714285714"/>
    <n v="5905178.57142857"/>
    <n v="21258642.857142899"/>
  </r>
  <r>
    <x v="0"/>
    <x v="0"/>
    <x v="0"/>
    <x v="10"/>
    <x v="21"/>
    <s v="UK_A"/>
    <x v="2"/>
    <x v="263"/>
    <x v="0"/>
    <x v="23"/>
    <n v="16178.5714285714"/>
    <n v="5905178.57142857"/>
    <n v="21258642.857142899"/>
  </r>
  <r>
    <x v="0"/>
    <x v="0"/>
    <x v="0"/>
    <x v="10"/>
    <x v="21"/>
    <s v="UK_A"/>
    <x v="2"/>
    <x v="264"/>
    <x v="0"/>
    <x v="16"/>
    <n v="4527.2727272727298"/>
    <n v="1652454.5454545501"/>
    <n v="5948836.3636363596"/>
  </r>
  <r>
    <x v="0"/>
    <x v="0"/>
    <x v="0"/>
    <x v="10"/>
    <x v="21"/>
    <s v="UK_A"/>
    <x v="2"/>
    <x v="264"/>
    <x v="0"/>
    <x v="17"/>
    <n v="4527.2727272727298"/>
    <n v="1652454.5454545501"/>
    <n v="5948836.3636363596"/>
  </r>
  <r>
    <x v="0"/>
    <x v="0"/>
    <x v="0"/>
    <x v="10"/>
    <x v="21"/>
    <s v="UK_A"/>
    <x v="2"/>
    <x v="264"/>
    <x v="0"/>
    <x v="18"/>
    <n v="4527.2727272727298"/>
    <n v="1652454.5454545501"/>
    <n v="5948836.3636363596"/>
  </r>
  <r>
    <x v="0"/>
    <x v="0"/>
    <x v="0"/>
    <x v="10"/>
    <x v="21"/>
    <s v="UK_A"/>
    <x v="2"/>
    <x v="264"/>
    <x v="0"/>
    <x v="19"/>
    <n v="4527.2727272727298"/>
    <n v="1652454.5454545501"/>
    <n v="5948836.3636363596"/>
  </r>
  <r>
    <x v="0"/>
    <x v="0"/>
    <x v="0"/>
    <x v="10"/>
    <x v="21"/>
    <s v="UK_A"/>
    <x v="2"/>
    <x v="148"/>
    <x v="0"/>
    <x v="16"/>
    <n v="3071.4285714285702"/>
    <n v="1121071.42857143"/>
    <n v="4035857.1428571399"/>
  </r>
  <r>
    <x v="0"/>
    <x v="0"/>
    <x v="0"/>
    <x v="10"/>
    <x v="21"/>
    <s v="UK_A"/>
    <x v="2"/>
    <x v="148"/>
    <x v="0"/>
    <x v="17"/>
    <n v="3071.4285714285702"/>
    <n v="1121071.42857143"/>
    <n v="4035857.1428571399"/>
  </r>
  <r>
    <x v="0"/>
    <x v="0"/>
    <x v="0"/>
    <x v="10"/>
    <x v="21"/>
    <s v="UK_A"/>
    <x v="2"/>
    <x v="148"/>
    <x v="0"/>
    <x v="18"/>
    <n v="3071.4285714285702"/>
    <n v="1121071.42857143"/>
    <n v="4035857.1428571399"/>
  </r>
  <r>
    <x v="0"/>
    <x v="0"/>
    <x v="0"/>
    <x v="10"/>
    <x v="21"/>
    <s v="UK_A"/>
    <x v="2"/>
    <x v="148"/>
    <x v="0"/>
    <x v="19"/>
    <n v="3071.4285714285702"/>
    <n v="1121071.42857143"/>
    <n v="4035857.1428571399"/>
  </r>
  <r>
    <x v="0"/>
    <x v="0"/>
    <x v="0"/>
    <x v="10"/>
    <x v="21"/>
    <s v="UK_A"/>
    <x v="2"/>
    <x v="148"/>
    <x v="0"/>
    <x v="20"/>
    <n v="847.328115216426"/>
    <n v="309274.76205399598"/>
    <n v="1113389.1433943801"/>
  </r>
  <r>
    <x v="0"/>
    <x v="0"/>
    <x v="0"/>
    <x v="10"/>
    <x v="21"/>
    <s v="UK_A"/>
    <x v="2"/>
    <x v="265"/>
    <x v="0"/>
    <x v="15"/>
    <n v="1278.6954962889499"/>
    <n v="466723.85614546598"/>
    <n v="1680205.8821236801"/>
  </r>
  <r>
    <x v="0"/>
    <x v="0"/>
    <x v="0"/>
    <x v="10"/>
    <x v="21"/>
    <s v="UK_A"/>
    <x v="2"/>
    <x v="265"/>
    <x v="0"/>
    <x v="16"/>
    <n v="5107.8947368421104"/>
    <n v="1864381.5789473699"/>
    <n v="6711773.6842105296"/>
  </r>
  <r>
    <x v="0"/>
    <x v="0"/>
    <x v="0"/>
    <x v="10"/>
    <x v="21"/>
    <s v="UK_A"/>
    <x v="2"/>
    <x v="265"/>
    <x v="0"/>
    <x v="17"/>
    <n v="5107.8947368421104"/>
    <n v="1864381.5789473699"/>
    <n v="6711773.6842105296"/>
  </r>
  <r>
    <x v="0"/>
    <x v="0"/>
    <x v="0"/>
    <x v="10"/>
    <x v="21"/>
    <s v="UK_A"/>
    <x v="2"/>
    <x v="265"/>
    <x v="0"/>
    <x v="18"/>
    <n v="5107.8947368421104"/>
    <n v="1864381.5789473699"/>
    <n v="6711773.6842105296"/>
  </r>
  <r>
    <x v="0"/>
    <x v="0"/>
    <x v="0"/>
    <x v="10"/>
    <x v="21"/>
    <s v="UK_A"/>
    <x v="2"/>
    <x v="265"/>
    <x v="0"/>
    <x v="19"/>
    <n v="5107.8947368421104"/>
    <n v="1864381.5789473699"/>
    <n v="6711773.6842105296"/>
  </r>
  <r>
    <x v="0"/>
    <x v="0"/>
    <x v="0"/>
    <x v="10"/>
    <x v="21"/>
    <s v="UK_A"/>
    <x v="2"/>
    <x v="265"/>
    <x v="0"/>
    <x v="20"/>
    <n v="5107.8947368421104"/>
    <n v="1864381.5789473699"/>
    <n v="6711773.6842105296"/>
  </r>
  <r>
    <x v="0"/>
    <x v="0"/>
    <x v="0"/>
    <x v="10"/>
    <x v="21"/>
    <s v="UK_A"/>
    <x v="2"/>
    <x v="266"/>
    <x v="0"/>
    <x v="15"/>
    <n v="1453.2019704433501"/>
    <n v="530418.71921182296"/>
    <n v="1909507.38916256"/>
  </r>
  <r>
    <x v="0"/>
    <x v="0"/>
    <x v="0"/>
    <x v="10"/>
    <x v="21"/>
    <s v="UK_A"/>
    <x v="2"/>
    <x v="266"/>
    <x v="0"/>
    <x v="16"/>
    <n v="1453.2019704433501"/>
    <n v="530418.71921182296"/>
    <n v="1909507.38916256"/>
  </r>
  <r>
    <x v="0"/>
    <x v="0"/>
    <x v="0"/>
    <x v="10"/>
    <x v="21"/>
    <s v="UK_A"/>
    <x v="2"/>
    <x v="266"/>
    <x v="0"/>
    <x v="17"/>
    <n v="1453.2019704433501"/>
    <n v="530418.71921182296"/>
    <n v="1909507.38916256"/>
  </r>
  <r>
    <x v="0"/>
    <x v="0"/>
    <x v="0"/>
    <x v="10"/>
    <x v="21"/>
    <s v="UK_A"/>
    <x v="2"/>
    <x v="266"/>
    <x v="0"/>
    <x v="18"/>
    <n v="1453.2019704433501"/>
    <n v="530418.71921182296"/>
    <n v="1909507.38916256"/>
  </r>
  <r>
    <x v="0"/>
    <x v="0"/>
    <x v="0"/>
    <x v="10"/>
    <x v="21"/>
    <s v="UK_A"/>
    <x v="2"/>
    <x v="266"/>
    <x v="0"/>
    <x v="19"/>
    <n v="1453.2019704433501"/>
    <n v="530418.71921182296"/>
    <n v="1909507.38916256"/>
  </r>
  <r>
    <x v="0"/>
    <x v="0"/>
    <x v="0"/>
    <x v="10"/>
    <x v="21"/>
    <s v="UK_A"/>
    <x v="2"/>
    <x v="266"/>
    <x v="0"/>
    <x v="20"/>
    <n v="1453.2019704433501"/>
    <n v="530418.71921182296"/>
    <n v="1909507.38916256"/>
  </r>
  <r>
    <x v="0"/>
    <x v="0"/>
    <x v="0"/>
    <x v="10"/>
    <x v="21"/>
    <s v="UK_A"/>
    <x v="18"/>
    <x v="161"/>
    <x v="0"/>
    <x v="3"/>
    <n v="28487.878787878799"/>
    <n v="10398075.757575801"/>
    <n v="37433072.727272697"/>
  </r>
  <r>
    <x v="0"/>
    <x v="0"/>
    <x v="0"/>
    <x v="10"/>
    <x v="21"/>
    <s v="UK_A"/>
    <x v="18"/>
    <x v="161"/>
    <x v="0"/>
    <x v="4"/>
    <n v="28487.878787878799"/>
    <n v="10398075.757575801"/>
    <n v="37433072.727272697"/>
  </r>
  <r>
    <x v="0"/>
    <x v="0"/>
    <x v="0"/>
    <x v="10"/>
    <x v="21"/>
    <s v="UK_A"/>
    <x v="18"/>
    <x v="161"/>
    <x v="0"/>
    <x v="5"/>
    <n v="28487.878787878799"/>
    <n v="10398075.757575801"/>
    <n v="37433072.727272697"/>
  </r>
  <r>
    <x v="0"/>
    <x v="0"/>
    <x v="0"/>
    <x v="10"/>
    <x v="21"/>
    <s v="UK_A"/>
    <x v="18"/>
    <x v="161"/>
    <x v="0"/>
    <x v="6"/>
    <n v="28487.878787878799"/>
    <n v="10398075.757575801"/>
    <n v="37433072.727272697"/>
  </r>
  <r>
    <x v="0"/>
    <x v="0"/>
    <x v="0"/>
    <x v="10"/>
    <x v="21"/>
    <s v="UK_A"/>
    <x v="18"/>
    <x v="161"/>
    <x v="0"/>
    <x v="7"/>
    <n v="28487.878787878799"/>
    <n v="10398075.757575801"/>
    <n v="37433072.727272697"/>
  </r>
  <r>
    <x v="0"/>
    <x v="0"/>
    <x v="0"/>
    <x v="10"/>
    <x v="21"/>
    <s v="UK_A"/>
    <x v="18"/>
    <x v="161"/>
    <x v="0"/>
    <x v="8"/>
    <n v="28487.878787878799"/>
    <n v="10398075.757575801"/>
    <n v="37433072.727272697"/>
  </r>
  <r>
    <x v="0"/>
    <x v="0"/>
    <x v="0"/>
    <x v="10"/>
    <x v="21"/>
    <s v="UK_A"/>
    <x v="18"/>
    <x v="161"/>
    <x v="0"/>
    <x v="0"/>
    <n v="28487.878787878799"/>
    <n v="10398075.757575801"/>
    <n v="37433072.727272697"/>
  </r>
  <r>
    <x v="0"/>
    <x v="0"/>
    <x v="0"/>
    <x v="10"/>
    <x v="21"/>
    <s v="UK_A"/>
    <x v="18"/>
    <x v="161"/>
    <x v="0"/>
    <x v="1"/>
    <n v="28487.878787878799"/>
    <n v="10398075.757575801"/>
    <n v="37433072.727272697"/>
  </r>
  <r>
    <x v="0"/>
    <x v="0"/>
    <x v="0"/>
    <x v="10"/>
    <x v="21"/>
    <s v="UK_A"/>
    <x v="18"/>
    <x v="161"/>
    <x v="0"/>
    <x v="2"/>
    <n v="28487.878787878799"/>
    <n v="10398075.757575801"/>
    <n v="37433072.727272697"/>
  </r>
  <r>
    <x v="0"/>
    <x v="0"/>
    <x v="0"/>
    <x v="10"/>
    <x v="21"/>
    <s v="UK_A"/>
    <x v="18"/>
    <x v="161"/>
    <x v="0"/>
    <x v="9"/>
    <n v="28487.878787878799"/>
    <n v="10398075.757575801"/>
    <n v="37433072.727272697"/>
  </r>
  <r>
    <x v="0"/>
    <x v="0"/>
    <x v="0"/>
    <x v="10"/>
    <x v="21"/>
    <s v="UK_A"/>
    <x v="18"/>
    <x v="161"/>
    <x v="0"/>
    <x v="10"/>
    <n v="28487.878787878799"/>
    <n v="10398075.757575801"/>
    <n v="37433072.727272697"/>
  </r>
  <r>
    <x v="0"/>
    <x v="0"/>
    <x v="0"/>
    <x v="10"/>
    <x v="21"/>
    <s v="UK_A"/>
    <x v="18"/>
    <x v="161"/>
    <x v="0"/>
    <x v="11"/>
    <n v="28487.878787878799"/>
    <n v="10398075.757575801"/>
    <n v="37433072.727272697"/>
  </r>
  <r>
    <x v="0"/>
    <x v="0"/>
    <x v="0"/>
    <x v="10"/>
    <x v="21"/>
    <s v="UK_A"/>
    <x v="18"/>
    <x v="161"/>
    <x v="0"/>
    <x v="12"/>
    <n v="28487.878787878799"/>
    <n v="10398075.757575801"/>
    <n v="37433072.727272697"/>
  </r>
  <r>
    <x v="0"/>
    <x v="0"/>
    <x v="0"/>
    <x v="10"/>
    <x v="21"/>
    <s v="UK_A"/>
    <x v="18"/>
    <x v="161"/>
    <x v="0"/>
    <x v="13"/>
    <n v="28487.878787878799"/>
    <n v="10398075.757575801"/>
    <n v="37433072.727272697"/>
  </r>
  <r>
    <x v="0"/>
    <x v="0"/>
    <x v="0"/>
    <x v="10"/>
    <x v="21"/>
    <s v="UK_A"/>
    <x v="18"/>
    <x v="161"/>
    <x v="0"/>
    <x v="14"/>
    <n v="28487.878787878799"/>
    <n v="10398075.757575801"/>
    <n v="37433072.727272697"/>
  </r>
  <r>
    <x v="0"/>
    <x v="0"/>
    <x v="0"/>
    <x v="10"/>
    <x v="21"/>
    <s v="UK_A"/>
    <x v="18"/>
    <x v="161"/>
    <x v="0"/>
    <x v="15"/>
    <n v="28487.878787878799"/>
    <n v="10398075.757575801"/>
    <n v="37433072.727272697"/>
  </r>
  <r>
    <x v="0"/>
    <x v="0"/>
    <x v="0"/>
    <x v="10"/>
    <x v="21"/>
    <s v="UK_A"/>
    <x v="18"/>
    <x v="161"/>
    <x v="0"/>
    <x v="16"/>
    <n v="28487.878787878799"/>
    <n v="10398075.757575801"/>
    <n v="37433072.727272697"/>
  </r>
  <r>
    <x v="0"/>
    <x v="0"/>
    <x v="0"/>
    <x v="10"/>
    <x v="21"/>
    <s v="UK_A"/>
    <x v="18"/>
    <x v="161"/>
    <x v="0"/>
    <x v="17"/>
    <n v="28487.878787878799"/>
    <n v="10398075.757575801"/>
    <n v="37433072.727272697"/>
  </r>
  <r>
    <x v="0"/>
    <x v="0"/>
    <x v="0"/>
    <x v="10"/>
    <x v="21"/>
    <s v="UK_A"/>
    <x v="18"/>
    <x v="161"/>
    <x v="0"/>
    <x v="18"/>
    <n v="28487.878787878799"/>
    <n v="10398075.757575801"/>
    <n v="37433072.727272697"/>
  </r>
  <r>
    <x v="0"/>
    <x v="0"/>
    <x v="0"/>
    <x v="10"/>
    <x v="21"/>
    <s v="UK_A"/>
    <x v="18"/>
    <x v="161"/>
    <x v="0"/>
    <x v="19"/>
    <n v="28487.878787878799"/>
    <n v="10398075.757575801"/>
    <n v="37433072.727272697"/>
  </r>
  <r>
    <x v="0"/>
    <x v="0"/>
    <x v="0"/>
    <x v="10"/>
    <x v="21"/>
    <s v="UK_A"/>
    <x v="18"/>
    <x v="161"/>
    <x v="0"/>
    <x v="20"/>
    <n v="28487.878787878799"/>
    <n v="10398075.757575801"/>
    <n v="37433072.727272697"/>
  </r>
  <r>
    <x v="0"/>
    <x v="0"/>
    <x v="0"/>
    <x v="10"/>
    <x v="21"/>
    <s v="UK_A"/>
    <x v="18"/>
    <x v="161"/>
    <x v="0"/>
    <x v="21"/>
    <n v="28487.878787878799"/>
    <n v="10398075.757575801"/>
    <n v="37433072.727272697"/>
  </r>
  <r>
    <x v="0"/>
    <x v="0"/>
    <x v="0"/>
    <x v="10"/>
    <x v="21"/>
    <s v="UK_A"/>
    <x v="18"/>
    <x v="161"/>
    <x v="0"/>
    <x v="22"/>
    <n v="28487.878787878799"/>
    <n v="10398075.757575801"/>
    <n v="37433072.727272697"/>
  </r>
  <r>
    <x v="0"/>
    <x v="0"/>
    <x v="0"/>
    <x v="10"/>
    <x v="21"/>
    <s v="UK_A"/>
    <x v="18"/>
    <x v="161"/>
    <x v="0"/>
    <x v="23"/>
    <n v="28487.878787878799"/>
    <n v="10398075.757575801"/>
    <n v="37433072.727272697"/>
  </r>
  <r>
    <x v="0"/>
    <x v="0"/>
    <x v="0"/>
    <x v="10"/>
    <x v="21"/>
    <s v="UK_A"/>
    <x v="6"/>
    <x v="45"/>
    <x v="0"/>
    <x v="8"/>
    <n v="91.934696158323504"/>
    <n v="33556.164097788103"/>
    <n v="120802.190752037"/>
  </r>
  <r>
    <x v="0"/>
    <x v="0"/>
    <x v="0"/>
    <x v="10"/>
    <x v="21"/>
    <s v="UK_A"/>
    <x v="6"/>
    <x v="45"/>
    <x v="0"/>
    <x v="0"/>
    <n v="183.86939231664701"/>
    <n v="67112.328195576294"/>
    <n v="241604.38150407499"/>
  </r>
  <r>
    <x v="0"/>
    <x v="0"/>
    <x v="0"/>
    <x v="10"/>
    <x v="21"/>
    <s v="UK_A"/>
    <x v="6"/>
    <x v="45"/>
    <x v="0"/>
    <x v="1"/>
    <n v="220.643270779977"/>
    <n v="80534.793834691605"/>
    <n v="289925.25780488999"/>
  </r>
  <r>
    <x v="0"/>
    <x v="0"/>
    <x v="0"/>
    <x v="10"/>
    <x v="21"/>
    <s v="UK_A"/>
    <x v="6"/>
    <x v="45"/>
    <x v="0"/>
    <x v="2"/>
    <n v="220.643270779977"/>
    <n v="80534.793834691605"/>
    <n v="289925.25780488999"/>
  </r>
  <r>
    <x v="0"/>
    <x v="0"/>
    <x v="0"/>
    <x v="10"/>
    <x v="21"/>
    <s v="UK_A"/>
    <x v="6"/>
    <x v="45"/>
    <x v="0"/>
    <x v="9"/>
    <n v="937.73390081489902"/>
    <n v="342272.87379743799"/>
    <n v="1232182.3456707799"/>
  </r>
  <r>
    <x v="0"/>
    <x v="0"/>
    <x v="0"/>
    <x v="10"/>
    <x v="21"/>
    <s v="UK_A"/>
    <x v="6"/>
    <x v="45"/>
    <x v="0"/>
    <x v="10"/>
    <n v="1949.0155585564601"/>
    <n v="711390.678873108"/>
    <n v="2561006.4439431899"/>
  </r>
  <r>
    <x v="0"/>
    <x v="0"/>
    <x v="0"/>
    <x v="10"/>
    <x v="21"/>
    <s v="UK_A"/>
    <x v="6"/>
    <x v="45"/>
    <x v="0"/>
    <x v="11"/>
    <n v="2813.2017024447"/>
    <n v="1026818.62139232"/>
    <n v="3696547.03701234"/>
  </r>
  <r>
    <x v="0"/>
    <x v="0"/>
    <x v="0"/>
    <x v="10"/>
    <x v="21"/>
    <s v="UK_A"/>
    <x v="6"/>
    <x v="45"/>
    <x v="0"/>
    <x v="12"/>
    <n v="3401.5837578579799"/>
    <n v="1241578.07161816"/>
    <n v="4469681.05782538"/>
  </r>
  <r>
    <x v="0"/>
    <x v="0"/>
    <x v="0"/>
    <x v="10"/>
    <x v="21"/>
    <s v="UK_A"/>
    <x v="6"/>
    <x v="45"/>
    <x v="0"/>
    <x v="13"/>
    <n v="2868.3625201396999"/>
    <n v="1046952.31985099"/>
    <n v="3769028.35146356"/>
  </r>
  <r>
    <x v="0"/>
    <x v="0"/>
    <x v="0"/>
    <x v="10"/>
    <x v="21"/>
    <s v="UK_A"/>
    <x v="6"/>
    <x v="45"/>
    <x v="0"/>
    <x v="14"/>
    <n v="1930.6286193248"/>
    <n v="704679.44605355104"/>
    <n v="2536846.0057927798"/>
  </r>
  <r>
    <x v="0"/>
    <x v="0"/>
    <x v="0"/>
    <x v="10"/>
    <x v="21"/>
    <s v="UK_A"/>
    <x v="6"/>
    <x v="45"/>
    <x v="0"/>
    <x v="15"/>
    <n v="900.96002235157005"/>
    <n v="328850.40815832303"/>
    <n v="1183861.46936996"/>
  </r>
  <r>
    <x v="0"/>
    <x v="0"/>
    <x v="0"/>
    <x v="10"/>
    <x v="21"/>
    <s v="UK_A"/>
    <x v="6"/>
    <x v="45"/>
    <x v="0"/>
    <x v="16"/>
    <n v="183.86939231664701"/>
    <n v="67112.328195576294"/>
    <n v="241604.38150407499"/>
  </r>
  <r>
    <x v="0"/>
    <x v="0"/>
    <x v="0"/>
    <x v="10"/>
    <x v="21"/>
    <s v="UK_A"/>
    <x v="6"/>
    <x v="45"/>
    <x v="0"/>
    <x v="17"/>
    <n v="36.773878463329403"/>
    <n v="13422.4656391152"/>
    <n v="48320.876300814904"/>
  </r>
  <r>
    <x v="0"/>
    <x v="0"/>
    <x v="0"/>
    <x v="10"/>
    <x v="21"/>
    <s v="UK_A"/>
    <x v="6"/>
    <x v="45"/>
    <x v="0"/>
    <x v="18"/>
    <n v="36.773878463329403"/>
    <n v="13422.4656391152"/>
    <n v="48320.876300814904"/>
  </r>
  <r>
    <x v="0"/>
    <x v="0"/>
    <x v="0"/>
    <x v="10"/>
    <x v="21"/>
    <s v="UK_A"/>
    <x v="6"/>
    <x v="45"/>
    <x v="0"/>
    <x v="19"/>
    <n v="18.386939231664702"/>
    <n v="6711.2328195576301"/>
    <n v="24160.438150407499"/>
  </r>
  <r>
    <x v="0"/>
    <x v="0"/>
    <x v="0"/>
    <x v="10"/>
    <x v="21"/>
    <s v="UK_A"/>
    <x v="7"/>
    <x v="200"/>
    <x v="0"/>
    <x v="18"/>
    <n v="36.043835616438301"/>
    <n v="13156"/>
    <n v="47361.599999999999"/>
  </r>
  <r>
    <x v="0"/>
    <x v="0"/>
    <x v="0"/>
    <x v="10"/>
    <x v="21"/>
    <s v="UK_A"/>
    <x v="7"/>
    <x v="46"/>
    <x v="0"/>
    <x v="3"/>
    <n v="602.97643832497397"/>
    <n v="220086.39998861501"/>
    <n v="792311.03995901602"/>
  </r>
  <r>
    <x v="0"/>
    <x v="0"/>
    <x v="0"/>
    <x v="10"/>
    <x v="21"/>
    <s v="UK_A"/>
    <x v="7"/>
    <x v="46"/>
    <x v="0"/>
    <x v="4"/>
    <n v="602.97643832497397"/>
    <n v="220086.39998861501"/>
    <n v="792311.03995901602"/>
  </r>
  <r>
    <x v="0"/>
    <x v="0"/>
    <x v="0"/>
    <x v="10"/>
    <x v="21"/>
    <s v="UK_A"/>
    <x v="7"/>
    <x v="46"/>
    <x v="0"/>
    <x v="5"/>
    <n v="602.97643832497397"/>
    <n v="220086.39998861501"/>
    <n v="792311.03995901602"/>
  </r>
  <r>
    <x v="0"/>
    <x v="0"/>
    <x v="0"/>
    <x v="10"/>
    <x v="21"/>
    <s v="UK_A"/>
    <x v="7"/>
    <x v="46"/>
    <x v="0"/>
    <x v="6"/>
    <n v="602.97643832497397"/>
    <n v="220086.39998861501"/>
    <n v="792311.03995901602"/>
  </r>
  <r>
    <x v="0"/>
    <x v="0"/>
    <x v="0"/>
    <x v="10"/>
    <x v="21"/>
    <s v="UK_A"/>
    <x v="7"/>
    <x v="46"/>
    <x v="0"/>
    <x v="7"/>
    <n v="602.97643832497397"/>
    <n v="220086.39998861501"/>
    <n v="792311.03995901602"/>
  </r>
  <r>
    <x v="0"/>
    <x v="0"/>
    <x v="0"/>
    <x v="10"/>
    <x v="21"/>
    <s v="UK_A"/>
    <x v="7"/>
    <x v="46"/>
    <x v="0"/>
    <x v="8"/>
    <n v="602.97643832497397"/>
    <n v="220086.39998861501"/>
    <n v="792311.03995901602"/>
  </r>
  <r>
    <x v="0"/>
    <x v="0"/>
    <x v="0"/>
    <x v="10"/>
    <x v="21"/>
    <s v="UK_A"/>
    <x v="7"/>
    <x v="46"/>
    <x v="0"/>
    <x v="0"/>
    <n v="602.97643832497397"/>
    <n v="220086.39998861501"/>
    <n v="792311.03995901602"/>
  </r>
  <r>
    <x v="0"/>
    <x v="0"/>
    <x v="0"/>
    <x v="10"/>
    <x v="21"/>
    <s v="UK_A"/>
    <x v="7"/>
    <x v="46"/>
    <x v="0"/>
    <x v="1"/>
    <n v="602.97643832497397"/>
    <n v="220086.39998861501"/>
    <n v="792311.03995901602"/>
  </r>
  <r>
    <x v="0"/>
    <x v="0"/>
    <x v="0"/>
    <x v="10"/>
    <x v="21"/>
    <s v="UK_A"/>
    <x v="7"/>
    <x v="46"/>
    <x v="0"/>
    <x v="2"/>
    <n v="602.97643832497397"/>
    <n v="220086.39998861501"/>
    <n v="792311.03995901602"/>
  </r>
  <r>
    <x v="0"/>
    <x v="0"/>
    <x v="0"/>
    <x v="10"/>
    <x v="21"/>
    <s v="UK_A"/>
    <x v="7"/>
    <x v="46"/>
    <x v="0"/>
    <x v="9"/>
    <n v="602.97643832497397"/>
    <n v="220086.39998861501"/>
    <n v="792311.03995901602"/>
  </r>
  <r>
    <x v="0"/>
    <x v="0"/>
    <x v="0"/>
    <x v="10"/>
    <x v="21"/>
    <s v="UK_A"/>
    <x v="7"/>
    <x v="46"/>
    <x v="0"/>
    <x v="10"/>
    <n v="602.97643832497397"/>
    <n v="220086.39998861501"/>
    <n v="792311.03995901602"/>
  </r>
  <r>
    <x v="0"/>
    <x v="0"/>
    <x v="0"/>
    <x v="10"/>
    <x v="21"/>
    <s v="UK_A"/>
    <x v="7"/>
    <x v="46"/>
    <x v="0"/>
    <x v="11"/>
    <n v="602.97643832497397"/>
    <n v="220086.39998861501"/>
    <n v="792311.03995901602"/>
  </r>
  <r>
    <x v="0"/>
    <x v="0"/>
    <x v="0"/>
    <x v="10"/>
    <x v="21"/>
    <s v="UK_A"/>
    <x v="7"/>
    <x v="46"/>
    <x v="0"/>
    <x v="12"/>
    <n v="602.97643832497397"/>
    <n v="220086.39998861501"/>
    <n v="792311.03995901602"/>
  </r>
  <r>
    <x v="0"/>
    <x v="0"/>
    <x v="0"/>
    <x v="10"/>
    <x v="21"/>
    <s v="UK_A"/>
    <x v="7"/>
    <x v="46"/>
    <x v="0"/>
    <x v="13"/>
    <n v="602.97643832497397"/>
    <n v="220086.39998861501"/>
    <n v="792311.03995901602"/>
  </r>
  <r>
    <x v="0"/>
    <x v="0"/>
    <x v="0"/>
    <x v="10"/>
    <x v="21"/>
    <s v="UK_A"/>
    <x v="7"/>
    <x v="46"/>
    <x v="0"/>
    <x v="14"/>
    <n v="602.97643832497397"/>
    <n v="220086.39998861501"/>
    <n v="792311.03995901602"/>
  </r>
  <r>
    <x v="0"/>
    <x v="0"/>
    <x v="0"/>
    <x v="10"/>
    <x v="21"/>
    <s v="UK_A"/>
    <x v="7"/>
    <x v="46"/>
    <x v="0"/>
    <x v="15"/>
    <n v="602.97643832497397"/>
    <n v="220086.39998861501"/>
    <n v="792311.03995901602"/>
  </r>
  <r>
    <x v="0"/>
    <x v="0"/>
    <x v="0"/>
    <x v="10"/>
    <x v="21"/>
    <s v="UK_A"/>
    <x v="7"/>
    <x v="46"/>
    <x v="0"/>
    <x v="16"/>
    <n v="602.97643832497397"/>
    <n v="220086.39998861501"/>
    <n v="792311.03995901602"/>
  </r>
  <r>
    <x v="0"/>
    <x v="0"/>
    <x v="0"/>
    <x v="10"/>
    <x v="21"/>
    <s v="UK_A"/>
    <x v="7"/>
    <x v="46"/>
    <x v="0"/>
    <x v="17"/>
    <n v="602.97643832497397"/>
    <n v="220086.39998861501"/>
    <n v="792311.03995901602"/>
  </r>
  <r>
    <x v="0"/>
    <x v="0"/>
    <x v="0"/>
    <x v="10"/>
    <x v="21"/>
    <s v="UK_A"/>
    <x v="7"/>
    <x v="46"/>
    <x v="0"/>
    <x v="18"/>
    <n v="602.97643832497397"/>
    <n v="220086.39998861501"/>
    <n v="792311.03995901602"/>
  </r>
  <r>
    <x v="0"/>
    <x v="0"/>
    <x v="0"/>
    <x v="10"/>
    <x v="21"/>
    <s v="UK_A"/>
    <x v="7"/>
    <x v="46"/>
    <x v="0"/>
    <x v="19"/>
    <n v="602.97643832497397"/>
    <n v="220086.39998861501"/>
    <n v="792311.03995901602"/>
  </r>
  <r>
    <x v="0"/>
    <x v="0"/>
    <x v="0"/>
    <x v="10"/>
    <x v="21"/>
    <s v="UK_A"/>
    <x v="7"/>
    <x v="46"/>
    <x v="0"/>
    <x v="20"/>
    <n v="602.97643832497397"/>
    <n v="220086.39998861501"/>
    <n v="792311.03995901602"/>
  </r>
  <r>
    <x v="0"/>
    <x v="0"/>
    <x v="0"/>
    <x v="10"/>
    <x v="21"/>
    <s v="UK_A"/>
    <x v="7"/>
    <x v="46"/>
    <x v="0"/>
    <x v="21"/>
    <n v="602.97643832497397"/>
    <n v="220086.39998861501"/>
    <n v="792311.03995901602"/>
  </r>
  <r>
    <x v="0"/>
    <x v="0"/>
    <x v="0"/>
    <x v="10"/>
    <x v="21"/>
    <s v="UK_A"/>
    <x v="7"/>
    <x v="46"/>
    <x v="0"/>
    <x v="22"/>
    <n v="602.97643832497397"/>
    <n v="220086.39998861501"/>
    <n v="792311.03995901602"/>
  </r>
  <r>
    <x v="0"/>
    <x v="0"/>
    <x v="0"/>
    <x v="10"/>
    <x v="21"/>
    <s v="UK_A"/>
    <x v="7"/>
    <x v="46"/>
    <x v="0"/>
    <x v="23"/>
    <n v="602.97643832497397"/>
    <n v="220086.39998861501"/>
    <n v="792311.03995901602"/>
  </r>
  <r>
    <x v="0"/>
    <x v="0"/>
    <x v="0"/>
    <x v="10"/>
    <x v="21"/>
    <s v="UK_A"/>
    <x v="8"/>
    <x v="47"/>
    <x v="0"/>
    <x v="3"/>
    <n v="3871.3346559148999"/>
    <n v="1413037.14940894"/>
    <n v="5086933.7378721898"/>
  </r>
  <r>
    <x v="0"/>
    <x v="0"/>
    <x v="0"/>
    <x v="10"/>
    <x v="21"/>
    <s v="UK_A"/>
    <x v="8"/>
    <x v="47"/>
    <x v="0"/>
    <x v="4"/>
    <n v="4037.88959422784"/>
    <n v="1473829.7018931599"/>
    <n v="5305786.9268153803"/>
  </r>
  <r>
    <x v="0"/>
    <x v="0"/>
    <x v="0"/>
    <x v="10"/>
    <x v="21"/>
    <s v="UK_A"/>
    <x v="8"/>
    <x v="47"/>
    <x v="0"/>
    <x v="5"/>
    <n v="4217.25645087255"/>
    <n v="1539298.60456848"/>
    <n v="5541474.9764465299"/>
  </r>
  <r>
    <x v="0"/>
    <x v="0"/>
    <x v="0"/>
    <x v="10"/>
    <x v="21"/>
    <s v="UK_A"/>
    <x v="8"/>
    <x v="47"/>
    <x v="0"/>
    <x v="6"/>
    <n v="4407.2999061270702"/>
    <n v="1608664.4657363801"/>
    <n v="5791192.0766509697"/>
  </r>
  <r>
    <x v="0"/>
    <x v="0"/>
    <x v="0"/>
    <x v="10"/>
    <x v="21"/>
    <s v="UK_A"/>
    <x v="8"/>
    <x v="47"/>
    <x v="0"/>
    <x v="7"/>
    <n v="4447.87098084432"/>
    <n v="1623472.9080081801"/>
    <n v="5844502.46882944"/>
  </r>
  <r>
    <x v="0"/>
    <x v="0"/>
    <x v="0"/>
    <x v="10"/>
    <x v="21"/>
    <s v="UK_A"/>
    <x v="8"/>
    <x v="47"/>
    <x v="0"/>
    <x v="8"/>
    <n v="4407.2999061270702"/>
    <n v="1608664.4657363801"/>
    <n v="5791192.0766509697"/>
  </r>
  <r>
    <x v="0"/>
    <x v="0"/>
    <x v="0"/>
    <x v="10"/>
    <x v="21"/>
    <s v="UK_A"/>
    <x v="8"/>
    <x v="47"/>
    <x v="0"/>
    <x v="0"/>
    <n v="4452.1416202882301"/>
    <n v="1625031.6914052099"/>
    <n v="5850114.0890587401"/>
  </r>
  <r>
    <x v="0"/>
    <x v="0"/>
    <x v="0"/>
    <x v="10"/>
    <x v="21"/>
    <s v="UK_A"/>
    <x v="8"/>
    <x v="47"/>
    <x v="0"/>
    <x v="1"/>
    <n v="4573.8548444400003"/>
    <n v="1669457.0182206"/>
    <n v="6010045.2655941704"/>
  </r>
  <r>
    <x v="0"/>
    <x v="0"/>
    <x v="0"/>
    <x v="10"/>
    <x v="21"/>
    <s v="UK_A"/>
    <x v="8"/>
    <x v="47"/>
    <x v="0"/>
    <x v="2"/>
    <n v="4699.8387080356897"/>
    <n v="1715441.1284330301"/>
    <n v="6175588.0623589"/>
  </r>
  <r>
    <x v="0"/>
    <x v="0"/>
    <x v="0"/>
    <x v="10"/>
    <x v="21"/>
    <s v="UK_A"/>
    <x v="8"/>
    <x v="47"/>
    <x v="0"/>
    <x v="9"/>
    <n v="4509.7952527811904"/>
    <n v="1646075.2672651301"/>
    <n v="5925870.9621544797"/>
  </r>
  <r>
    <x v="0"/>
    <x v="0"/>
    <x v="0"/>
    <x v="10"/>
    <x v="21"/>
    <s v="UK_A"/>
    <x v="8"/>
    <x v="47"/>
    <x v="0"/>
    <x v="10"/>
    <n v="4020.80703645216"/>
    <n v="1467594.56830504"/>
    <n v="5283340.4458981398"/>
  </r>
  <r>
    <x v="0"/>
    <x v="0"/>
    <x v="0"/>
    <x v="10"/>
    <x v="21"/>
    <s v="UK_A"/>
    <x v="8"/>
    <x v="47"/>
    <x v="0"/>
    <x v="11"/>
    <n v="3649.2614048309802"/>
    <n v="1331980.4127633099"/>
    <n v="4795129.4859479098"/>
  </r>
  <r>
    <x v="0"/>
    <x v="0"/>
    <x v="0"/>
    <x v="10"/>
    <x v="21"/>
    <s v="UK_A"/>
    <x v="8"/>
    <x v="47"/>
    <x v="0"/>
    <x v="12"/>
    <n v="3604.4196906698198"/>
    <n v="1315613.18709448"/>
    <n v="4736207.4735401403"/>
  </r>
  <r>
    <x v="0"/>
    <x v="0"/>
    <x v="0"/>
    <x v="10"/>
    <x v="21"/>
    <s v="UK_A"/>
    <x v="8"/>
    <x v="47"/>
    <x v="0"/>
    <x v="13"/>
    <n v="3333.2340859808"/>
    <n v="1216630.44138299"/>
    <n v="4379869.5889787599"/>
  </r>
  <r>
    <x v="0"/>
    <x v="0"/>
    <x v="0"/>
    <x v="10"/>
    <x v="21"/>
    <s v="UK_A"/>
    <x v="8"/>
    <x v="47"/>
    <x v="0"/>
    <x v="14"/>
    <n v="2498.3240746941201"/>
    <n v="911888.28726335499"/>
    <n v="3282797.8341480801"/>
  </r>
  <r>
    <x v="0"/>
    <x v="0"/>
    <x v="0"/>
    <x v="10"/>
    <x v="21"/>
    <s v="UK_A"/>
    <x v="8"/>
    <x v="47"/>
    <x v="0"/>
    <x v="15"/>
    <n v="1864.13411727177"/>
    <n v="680408.952804195"/>
    <n v="2449472.2300951001"/>
  </r>
  <r>
    <x v="0"/>
    <x v="0"/>
    <x v="0"/>
    <x v="10"/>
    <x v="21"/>
    <s v="UK_A"/>
    <x v="8"/>
    <x v="47"/>
    <x v="0"/>
    <x v="16"/>
    <n v="1422.1229348258801"/>
    <n v="519074.87121144799"/>
    <n v="1868669.53636121"/>
  </r>
  <r>
    <x v="0"/>
    <x v="0"/>
    <x v="0"/>
    <x v="10"/>
    <x v="21"/>
    <s v="UK_A"/>
    <x v="8"/>
    <x v="47"/>
    <x v="0"/>
    <x v="17"/>
    <n v="1140.26073152706"/>
    <n v="416195.16700737702"/>
    <n v="1498302.6012265601"/>
  </r>
  <r>
    <x v="0"/>
    <x v="0"/>
    <x v="0"/>
    <x v="10"/>
    <x v="21"/>
    <s v="UK_A"/>
    <x v="8"/>
    <x v="47"/>
    <x v="0"/>
    <x v="18"/>
    <n v="1014.27686793137"/>
    <n v="370211.05679495097"/>
    <n v="1332759.8044618201"/>
  </r>
  <r>
    <x v="0"/>
    <x v="0"/>
    <x v="0"/>
    <x v="10"/>
    <x v="21"/>
    <s v="UK_A"/>
    <x v="8"/>
    <x v="47"/>
    <x v="0"/>
    <x v="19"/>
    <n v="943.81131710666898"/>
    <n v="344491.13074393402"/>
    <n v="1240168.0706781601"/>
  </r>
  <r>
    <x v="0"/>
    <x v="0"/>
    <x v="0"/>
    <x v="10"/>
    <x v="21"/>
    <s v="UK_A"/>
    <x v="8"/>
    <x v="47"/>
    <x v="0"/>
    <x v="20"/>
    <n v="999.32962987764802"/>
    <n v="364755.31490534201"/>
    <n v="1313119.1336592301"/>
  </r>
  <r>
    <x v="0"/>
    <x v="0"/>
    <x v="0"/>
    <x v="10"/>
    <x v="21"/>
    <s v="UK_A"/>
    <x v="8"/>
    <x v="47"/>
    <x v="0"/>
    <x v="21"/>
    <n v="1157.34328930275"/>
    <n v="422430.30059550202"/>
    <n v="1520749.0821438101"/>
  </r>
  <r>
    <x v="0"/>
    <x v="0"/>
    <x v="0"/>
    <x v="10"/>
    <x v="21"/>
    <s v="UK_A"/>
    <x v="8"/>
    <x v="47"/>
    <x v="0"/>
    <x v="22"/>
    <n v="1362.33398261098"/>
    <n v="497251.90365300898"/>
    <n v="1790106.8531508299"/>
  </r>
  <r>
    <x v="0"/>
    <x v="0"/>
    <x v="0"/>
    <x v="10"/>
    <x v="21"/>
    <s v="UK_A"/>
    <x v="8"/>
    <x v="47"/>
    <x v="0"/>
    <x v="23"/>
    <n v="1439.2054926015701"/>
    <n v="525310.00479957403"/>
    <n v="1891116.0172784701"/>
  </r>
  <r>
    <x v="0"/>
    <x v="0"/>
    <x v="0"/>
    <x v="10"/>
    <x v="21"/>
    <s v="UK_Offshore"/>
    <x v="8"/>
    <x v="48"/>
    <x v="0"/>
    <x v="3"/>
    <n v="2148.8929378575799"/>
    <n v="784345.92231801595"/>
    <n v="2823645.3203448602"/>
  </r>
  <r>
    <x v="0"/>
    <x v="0"/>
    <x v="0"/>
    <x v="10"/>
    <x v="21"/>
    <s v="UK_Offshore"/>
    <x v="8"/>
    <x v="48"/>
    <x v="0"/>
    <x v="4"/>
    <n v="2241.3439302198999"/>
    <n v="818090.534530262"/>
    <n v="2945125.9243089398"/>
  </r>
  <r>
    <x v="0"/>
    <x v="0"/>
    <x v="0"/>
    <x v="10"/>
    <x v="21"/>
    <s v="UK_Offshore"/>
    <x v="8"/>
    <x v="48"/>
    <x v="0"/>
    <x v="5"/>
    <n v="2340.9065373793201"/>
    <n v="854430.88614345202"/>
    <n v="3075951.1901164302"/>
  </r>
  <r>
    <x v="0"/>
    <x v="0"/>
    <x v="0"/>
    <x v="10"/>
    <x v="21"/>
    <s v="UK_Offshore"/>
    <x v="8"/>
    <x v="48"/>
    <x v="0"/>
    <x v="6"/>
    <n v="2446.395490203"/>
    <n v="892934.35392409598"/>
    <n v="3214563.6741267499"/>
  </r>
  <r>
    <x v="0"/>
    <x v="0"/>
    <x v="0"/>
    <x v="10"/>
    <x v="21"/>
    <s v="UK_Offshore"/>
    <x v="8"/>
    <x v="48"/>
    <x v="0"/>
    <x v="7"/>
    <n v="2468.91560372716"/>
    <n v="901154.19536041201"/>
    <n v="3244155.1032974799"/>
  </r>
  <r>
    <x v="0"/>
    <x v="0"/>
    <x v="0"/>
    <x v="10"/>
    <x v="21"/>
    <s v="UK_Offshore"/>
    <x v="8"/>
    <x v="48"/>
    <x v="0"/>
    <x v="8"/>
    <n v="2446.395490203"/>
    <n v="892934.35392409598"/>
    <n v="3214563.6741267499"/>
  </r>
  <r>
    <x v="0"/>
    <x v="0"/>
    <x v="0"/>
    <x v="10"/>
    <x v="21"/>
    <s v="UK_Offshore"/>
    <x v="8"/>
    <x v="48"/>
    <x v="0"/>
    <x v="0"/>
    <n v="2471.2861419928499"/>
    <n v="902019.44182739197"/>
    <n v="3247269.99057861"/>
  </r>
  <r>
    <x v="0"/>
    <x v="0"/>
    <x v="0"/>
    <x v="10"/>
    <x v="21"/>
    <s v="UK_Offshore"/>
    <x v="8"/>
    <x v="48"/>
    <x v="0"/>
    <x v="1"/>
    <n v="2538.84648256532"/>
    <n v="926678.96613634296"/>
    <n v="3336044.27809083"/>
  </r>
  <r>
    <x v="0"/>
    <x v="0"/>
    <x v="0"/>
    <x v="10"/>
    <x v="21"/>
    <s v="UK_Offshore"/>
    <x v="8"/>
    <x v="48"/>
    <x v="0"/>
    <x v="2"/>
    <n v="2608.77736140349"/>
    <n v="952203.73691227403"/>
    <n v="3427933.4528841898"/>
  </r>
  <r>
    <x v="0"/>
    <x v="0"/>
    <x v="0"/>
    <x v="10"/>
    <x v="21"/>
    <s v="UK_Offshore"/>
    <x v="8"/>
    <x v="48"/>
    <x v="0"/>
    <x v="9"/>
    <n v="2503.28840857982"/>
    <n v="913700.26913163404"/>
    <n v="3289320.9688738799"/>
  </r>
  <r>
    <x v="0"/>
    <x v="0"/>
    <x v="0"/>
    <x v="10"/>
    <x v="21"/>
    <s v="UK_Offshore"/>
    <x v="8"/>
    <x v="48"/>
    <x v="0"/>
    <x v="10"/>
    <n v="2231.8617771570998"/>
    <n v="814629.54866234004"/>
    <n v="2932666.37518442"/>
  </r>
  <r>
    <x v="0"/>
    <x v="0"/>
    <x v="0"/>
    <x v="10"/>
    <x v="21"/>
    <s v="UK_Offshore"/>
    <x v="8"/>
    <x v="48"/>
    <x v="0"/>
    <x v="11"/>
    <n v="2025.62494804115"/>
    <n v="739353.10603501904"/>
    <n v="2661671.1817260701"/>
  </r>
  <r>
    <x v="0"/>
    <x v="0"/>
    <x v="0"/>
    <x v="10"/>
    <x v="21"/>
    <s v="UK_Offshore"/>
    <x v="8"/>
    <x v="48"/>
    <x v="0"/>
    <x v="12"/>
    <n v="2000.7342962513001"/>
    <n v="730268.01813172305"/>
    <n v="2628964.8652742002"/>
  </r>
  <r>
    <x v="0"/>
    <x v="0"/>
    <x v="0"/>
    <x v="10"/>
    <x v="21"/>
    <s v="UK_Offshore"/>
    <x v="8"/>
    <x v="48"/>
    <x v="0"/>
    <x v="13"/>
    <n v="1850.2051163793101"/>
    <n v="675324.86747844703"/>
    <n v="2431169.5229224102"/>
  </r>
  <r>
    <x v="0"/>
    <x v="0"/>
    <x v="0"/>
    <x v="10"/>
    <x v="21"/>
    <s v="UK_Offshore"/>
    <x v="8"/>
    <x v="48"/>
    <x v="0"/>
    <x v="14"/>
    <n v="1386.7648854348399"/>
    <n v="506169.18318371801"/>
    <n v="1822209.0594613799"/>
  </r>
  <r>
    <x v="0"/>
    <x v="0"/>
    <x v="0"/>
    <x v="10"/>
    <x v="21"/>
    <s v="UK_Offshore"/>
    <x v="8"/>
    <x v="48"/>
    <x v="0"/>
    <x v="15"/>
    <n v="1034.7399529782999"/>
    <n v="377680.08283708099"/>
    <n v="1359648.2982134901"/>
  </r>
  <r>
    <x v="0"/>
    <x v="0"/>
    <x v="0"/>
    <x v="10"/>
    <x v="21"/>
    <s v="UK_Offshore"/>
    <x v="8"/>
    <x v="48"/>
    <x v="0"/>
    <x v="16"/>
    <n v="789.38924247829402"/>
    <n v="288127.07350457698"/>
    <n v="1037257.4646164801"/>
  </r>
  <r>
    <x v="0"/>
    <x v="0"/>
    <x v="0"/>
    <x v="10"/>
    <x v="21"/>
    <s v="UK_Offshore"/>
    <x v="8"/>
    <x v="48"/>
    <x v="0"/>
    <x v="17"/>
    <n v="632.93371694205598"/>
    <n v="231020.806683851"/>
    <n v="831674.90406186203"/>
  </r>
  <r>
    <x v="0"/>
    <x v="0"/>
    <x v="0"/>
    <x v="10"/>
    <x v="21"/>
    <s v="UK_Offshore"/>
    <x v="8"/>
    <x v="48"/>
    <x v="0"/>
    <x v="18"/>
    <n v="563.00283810388805"/>
    <n v="205496.03590791899"/>
    <n v="739785.72926850896"/>
  </r>
  <r>
    <x v="0"/>
    <x v="0"/>
    <x v="0"/>
    <x v="10"/>
    <x v="21"/>
    <s v="UK_Offshore"/>
    <x v="8"/>
    <x v="48"/>
    <x v="0"/>
    <x v="19"/>
    <n v="523.88895671982903"/>
    <n v="191219.46920273799"/>
    <n v="688390.08912985597"/>
  </r>
  <r>
    <x v="0"/>
    <x v="0"/>
    <x v="0"/>
    <x v="10"/>
    <x v="21"/>
    <s v="UK_Offshore"/>
    <x v="8"/>
    <x v="48"/>
    <x v="0"/>
    <x v="20"/>
    <n v="554.70595417393599"/>
    <n v="202467.67327348699"/>
    <n v="728883.62378455198"/>
  </r>
  <r>
    <x v="0"/>
    <x v="0"/>
    <x v="0"/>
    <x v="10"/>
    <x v="21"/>
    <s v="UK_Offshore"/>
    <x v="8"/>
    <x v="48"/>
    <x v="0"/>
    <x v="21"/>
    <n v="642.41587000485799"/>
    <n v="234481.79255177299"/>
    <n v="844134.45318638301"/>
  </r>
  <r>
    <x v="0"/>
    <x v="0"/>
    <x v="0"/>
    <x v="10"/>
    <x v="21"/>
    <s v="UK_Offshore"/>
    <x v="8"/>
    <x v="48"/>
    <x v="0"/>
    <x v="22"/>
    <n v="756.20170675848601"/>
    <n v="276013.62296684802"/>
    <n v="993649.04268065095"/>
  </r>
  <r>
    <x v="0"/>
    <x v="0"/>
    <x v="0"/>
    <x v="10"/>
    <x v="21"/>
    <s v="UK_Offshore"/>
    <x v="8"/>
    <x v="48"/>
    <x v="0"/>
    <x v="23"/>
    <n v="798.87139554109694"/>
    <n v="291588.05937249999"/>
    <n v="1049717.0137410001"/>
  </r>
</pivotCacheRecords>
</file>

<file path=xl/pivotCache/pivotCacheRecords20.xml><?xml version="1.0" encoding="utf-8"?>
<pivotCacheRecords xmlns="http://schemas.openxmlformats.org/spreadsheetml/2006/main" xmlns:r="http://schemas.openxmlformats.org/officeDocument/2006/relationships" count="3143">
  <r>
    <x v="0"/>
    <x v="0"/>
    <x v="0"/>
    <x v="0"/>
    <x v="0"/>
    <x v="0"/>
    <n v="3010"/>
  </r>
  <r>
    <x v="0"/>
    <x v="0"/>
    <x v="0"/>
    <x v="0"/>
    <x v="1"/>
    <x v="0"/>
    <n v="3010"/>
  </r>
  <r>
    <x v="0"/>
    <x v="0"/>
    <x v="0"/>
    <x v="0"/>
    <x v="2"/>
    <x v="0"/>
    <n v="6020"/>
  </r>
  <r>
    <x v="0"/>
    <x v="0"/>
    <x v="0"/>
    <x v="0"/>
    <x v="3"/>
    <x v="0"/>
    <n v="600"/>
  </r>
  <r>
    <x v="0"/>
    <x v="0"/>
    <x v="0"/>
    <x v="0"/>
    <x v="4"/>
    <x v="0"/>
    <n v="2000"/>
  </r>
  <r>
    <x v="0"/>
    <x v="0"/>
    <x v="0"/>
    <x v="1"/>
    <x v="5"/>
    <x v="0"/>
    <n v="3010"/>
  </r>
  <r>
    <x v="0"/>
    <x v="0"/>
    <x v="0"/>
    <x v="1"/>
    <x v="2"/>
    <x v="0"/>
    <n v="8634"/>
  </r>
  <r>
    <x v="0"/>
    <x v="0"/>
    <x v="0"/>
    <x v="1"/>
    <x v="6"/>
    <x v="0"/>
    <n v="1500"/>
  </r>
  <r>
    <x v="0"/>
    <x v="0"/>
    <x v="0"/>
    <x v="1"/>
    <x v="7"/>
    <x v="0"/>
    <n v="600"/>
  </r>
  <r>
    <x v="0"/>
    <x v="0"/>
    <x v="0"/>
    <x v="2"/>
    <x v="5"/>
    <x v="0"/>
    <n v="3010"/>
  </r>
  <r>
    <x v="0"/>
    <x v="0"/>
    <x v="0"/>
    <x v="2"/>
    <x v="2"/>
    <x v="0"/>
    <n v="14416"/>
  </r>
  <r>
    <x v="0"/>
    <x v="0"/>
    <x v="0"/>
    <x v="3"/>
    <x v="5"/>
    <x v="0"/>
    <n v="6020"/>
  </r>
  <r>
    <x v="0"/>
    <x v="0"/>
    <x v="0"/>
    <x v="3"/>
    <x v="0"/>
    <x v="0"/>
    <n v="8634"/>
  </r>
  <r>
    <x v="0"/>
    <x v="0"/>
    <x v="0"/>
    <x v="3"/>
    <x v="1"/>
    <x v="0"/>
    <n v="14416"/>
  </r>
  <r>
    <x v="0"/>
    <x v="0"/>
    <x v="0"/>
    <x v="3"/>
    <x v="8"/>
    <x v="0"/>
    <n v="3800"/>
  </r>
  <r>
    <x v="0"/>
    <x v="0"/>
    <x v="0"/>
    <x v="4"/>
    <x v="0"/>
    <x v="0"/>
    <n v="1780"/>
  </r>
  <r>
    <x v="0"/>
    <x v="0"/>
    <x v="0"/>
    <x v="4"/>
    <x v="3"/>
    <x v="0"/>
    <n v="600"/>
  </r>
  <r>
    <x v="0"/>
    <x v="0"/>
    <x v="0"/>
    <x v="4"/>
    <x v="9"/>
    <x v="0"/>
    <n v="1000"/>
  </r>
  <r>
    <x v="0"/>
    <x v="0"/>
    <x v="0"/>
    <x v="4"/>
    <x v="10"/>
    <x v="0"/>
    <n v="740"/>
  </r>
  <r>
    <x v="0"/>
    <x v="0"/>
    <x v="0"/>
    <x v="5"/>
    <x v="5"/>
    <x v="0"/>
    <n v="585"/>
  </r>
  <r>
    <x v="0"/>
    <x v="0"/>
    <x v="0"/>
    <x v="5"/>
    <x v="6"/>
    <x v="0"/>
    <n v="600"/>
  </r>
  <r>
    <x v="0"/>
    <x v="0"/>
    <x v="0"/>
    <x v="5"/>
    <x v="7"/>
    <x v="0"/>
    <n v="1700"/>
  </r>
  <r>
    <x v="0"/>
    <x v="0"/>
    <x v="0"/>
    <x v="6"/>
    <x v="11"/>
    <x v="0"/>
    <n v="350"/>
  </r>
  <r>
    <x v="0"/>
    <x v="0"/>
    <x v="0"/>
    <x v="6"/>
    <x v="12"/>
    <x v="0"/>
    <n v="800"/>
  </r>
  <r>
    <x v="0"/>
    <x v="0"/>
    <x v="0"/>
    <x v="7"/>
    <x v="13"/>
    <x v="0"/>
    <n v="350"/>
  </r>
  <r>
    <x v="0"/>
    <x v="0"/>
    <x v="0"/>
    <x v="7"/>
    <x v="14"/>
    <x v="0"/>
    <n v="100"/>
  </r>
  <r>
    <x v="0"/>
    <x v="0"/>
    <x v="0"/>
    <x v="7"/>
    <x v="15"/>
    <x v="0"/>
    <n v="1300"/>
  </r>
  <r>
    <x v="0"/>
    <x v="0"/>
    <x v="0"/>
    <x v="7"/>
    <x v="10"/>
    <x v="0"/>
    <n v="1350"/>
  </r>
  <r>
    <x v="0"/>
    <x v="0"/>
    <x v="0"/>
    <x v="8"/>
    <x v="12"/>
    <x v="0"/>
    <n v="700"/>
  </r>
  <r>
    <x v="0"/>
    <x v="0"/>
    <x v="0"/>
    <x v="9"/>
    <x v="13"/>
    <x v="0"/>
    <n v="800"/>
  </r>
  <r>
    <x v="0"/>
    <x v="0"/>
    <x v="0"/>
    <x v="9"/>
    <x v="16"/>
    <x v="0"/>
    <n v="1200"/>
  </r>
  <r>
    <x v="0"/>
    <x v="0"/>
    <x v="0"/>
    <x v="10"/>
    <x v="2"/>
    <x v="0"/>
    <n v="3000"/>
  </r>
  <r>
    <x v="0"/>
    <x v="0"/>
    <x v="0"/>
    <x v="10"/>
    <x v="9"/>
    <x v="0"/>
    <n v="700"/>
  </r>
  <r>
    <x v="0"/>
    <x v="0"/>
    <x v="0"/>
    <x v="10"/>
    <x v="17"/>
    <x v="0"/>
    <n v="1000"/>
  </r>
  <r>
    <x v="0"/>
    <x v="0"/>
    <x v="0"/>
    <x v="11"/>
    <x v="9"/>
    <x v="0"/>
    <n v="2500"/>
  </r>
  <r>
    <x v="0"/>
    <x v="0"/>
    <x v="0"/>
    <x v="11"/>
    <x v="18"/>
    <x v="0"/>
    <n v="1150"/>
  </r>
  <r>
    <x v="0"/>
    <x v="0"/>
    <x v="0"/>
    <x v="11"/>
    <x v="10"/>
    <x v="0"/>
    <n v="2145"/>
  </r>
  <r>
    <x v="0"/>
    <x v="0"/>
    <x v="0"/>
    <x v="12"/>
    <x v="6"/>
    <x v="0"/>
    <n v="1000"/>
  </r>
  <r>
    <x v="0"/>
    <x v="0"/>
    <x v="0"/>
    <x v="12"/>
    <x v="8"/>
    <x v="0"/>
    <n v="700"/>
  </r>
  <r>
    <x v="0"/>
    <x v="0"/>
    <x v="0"/>
    <x v="12"/>
    <x v="19"/>
    <x v="0"/>
    <n v="3200"/>
  </r>
  <r>
    <x v="0"/>
    <x v="0"/>
    <x v="0"/>
    <x v="12"/>
    <x v="20"/>
    <x v="0"/>
    <n v="1200"/>
  </r>
  <r>
    <x v="0"/>
    <x v="0"/>
    <x v="0"/>
    <x v="13"/>
    <x v="19"/>
    <x v="0"/>
    <n v="1200"/>
  </r>
  <r>
    <x v="0"/>
    <x v="0"/>
    <x v="0"/>
    <x v="13"/>
    <x v="14"/>
    <x v="0"/>
    <n v="200"/>
  </r>
  <r>
    <x v="0"/>
    <x v="0"/>
    <x v="0"/>
    <x v="13"/>
    <x v="20"/>
    <x v="0"/>
    <n v="1000"/>
  </r>
  <r>
    <x v="0"/>
    <x v="0"/>
    <x v="0"/>
    <x v="13"/>
    <x v="21"/>
    <x v="0"/>
    <n v="600"/>
  </r>
  <r>
    <x v="0"/>
    <x v="0"/>
    <x v="0"/>
    <x v="14"/>
    <x v="18"/>
    <x v="0"/>
    <n v="1000"/>
  </r>
  <r>
    <x v="0"/>
    <x v="0"/>
    <x v="0"/>
    <x v="14"/>
    <x v="21"/>
    <x v="0"/>
    <n v="250"/>
  </r>
  <r>
    <x v="0"/>
    <x v="0"/>
    <x v="0"/>
    <x v="15"/>
    <x v="9"/>
    <x v="0"/>
    <n v="1200"/>
  </r>
  <r>
    <x v="0"/>
    <x v="0"/>
    <x v="0"/>
    <x v="15"/>
    <x v="18"/>
    <x v="0"/>
    <n v="1000"/>
  </r>
  <r>
    <x v="0"/>
    <x v="0"/>
    <x v="0"/>
    <x v="16"/>
    <x v="5"/>
    <x v="0"/>
    <n v="2000"/>
  </r>
  <r>
    <x v="0"/>
    <x v="0"/>
    <x v="0"/>
    <x v="17"/>
    <x v="11"/>
    <x v="0"/>
    <n v="1300"/>
  </r>
  <r>
    <x v="0"/>
    <x v="0"/>
    <x v="0"/>
    <x v="17"/>
    <x v="14"/>
    <x v="0"/>
    <n v="600"/>
  </r>
  <r>
    <x v="0"/>
    <x v="0"/>
    <x v="0"/>
    <x v="17"/>
    <x v="21"/>
    <x v="0"/>
    <n v="3300"/>
  </r>
  <r>
    <x v="0"/>
    <x v="0"/>
    <x v="0"/>
    <x v="18"/>
    <x v="18"/>
    <x v="0"/>
    <n v="1000"/>
  </r>
  <r>
    <x v="0"/>
    <x v="0"/>
    <x v="0"/>
    <x v="18"/>
    <x v="14"/>
    <x v="0"/>
    <n v="300"/>
  </r>
  <r>
    <x v="0"/>
    <x v="0"/>
    <x v="0"/>
    <x v="18"/>
    <x v="15"/>
    <x v="0"/>
    <n v="3300"/>
  </r>
  <r>
    <x v="0"/>
    <x v="0"/>
    <x v="0"/>
    <x v="18"/>
    <x v="10"/>
    <x v="0"/>
    <n v="7300"/>
  </r>
  <r>
    <x v="0"/>
    <x v="0"/>
    <x v="0"/>
    <x v="19"/>
    <x v="6"/>
    <x v="0"/>
    <n v="680"/>
  </r>
  <r>
    <x v="0"/>
    <x v="0"/>
    <x v="0"/>
    <x v="19"/>
    <x v="11"/>
    <x v="0"/>
    <n v="1350"/>
  </r>
  <r>
    <x v="0"/>
    <x v="0"/>
    <x v="0"/>
    <x v="19"/>
    <x v="19"/>
    <x v="0"/>
    <n v="2095"/>
  </r>
  <r>
    <x v="0"/>
    <x v="0"/>
    <x v="0"/>
    <x v="19"/>
    <x v="21"/>
    <x v="0"/>
    <n v="7300"/>
  </r>
  <r>
    <x v="0"/>
    <x v="0"/>
    <x v="0"/>
    <x v="19"/>
    <x v="7"/>
    <x v="0"/>
    <n v="5300"/>
  </r>
  <r>
    <x v="0"/>
    <x v="0"/>
    <x v="0"/>
    <x v="20"/>
    <x v="0"/>
    <x v="0"/>
    <n v="610"/>
  </r>
  <r>
    <x v="0"/>
    <x v="0"/>
    <x v="0"/>
    <x v="20"/>
    <x v="3"/>
    <x v="0"/>
    <n v="1300"/>
  </r>
  <r>
    <x v="0"/>
    <x v="0"/>
    <x v="0"/>
    <x v="20"/>
    <x v="10"/>
    <x v="0"/>
    <n v="2000"/>
  </r>
  <r>
    <x v="0"/>
    <x v="0"/>
    <x v="0"/>
    <x v="21"/>
    <x v="8"/>
    <x v="0"/>
    <n v="1000"/>
  </r>
  <r>
    <x v="0"/>
    <x v="1"/>
    <x v="1"/>
    <x v="0"/>
    <x v="0"/>
    <x v="0"/>
    <n v="3010"/>
  </r>
  <r>
    <x v="0"/>
    <x v="1"/>
    <x v="1"/>
    <x v="0"/>
    <x v="1"/>
    <x v="0"/>
    <n v="3010"/>
  </r>
  <r>
    <x v="0"/>
    <x v="1"/>
    <x v="1"/>
    <x v="0"/>
    <x v="2"/>
    <x v="0"/>
    <n v="6020"/>
  </r>
  <r>
    <x v="0"/>
    <x v="1"/>
    <x v="1"/>
    <x v="0"/>
    <x v="3"/>
    <x v="0"/>
    <n v="600"/>
  </r>
  <r>
    <x v="0"/>
    <x v="1"/>
    <x v="1"/>
    <x v="0"/>
    <x v="4"/>
    <x v="0"/>
    <n v="2000"/>
  </r>
  <r>
    <x v="0"/>
    <x v="1"/>
    <x v="1"/>
    <x v="1"/>
    <x v="5"/>
    <x v="0"/>
    <n v="3010"/>
  </r>
  <r>
    <x v="0"/>
    <x v="1"/>
    <x v="1"/>
    <x v="1"/>
    <x v="2"/>
    <x v="0"/>
    <n v="8634"/>
  </r>
  <r>
    <x v="0"/>
    <x v="1"/>
    <x v="1"/>
    <x v="1"/>
    <x v="6"/>
    <x v="0"/>
    <n v="1500"/>
  </r>
  <r>
    <x v="0"/>
    <x v="1"/>
    <x v="1"/>
    <x v="1"/>
    <x v="7"/>
    <x v="0"/>
    <n v="600"/>
  </r>
  <r>
    <x v="0"/>
    <x v="1"/>
    <x v="1"/>
    <x v="2"/>
    <x v="5"/>
    <x v="0"/>
    <n v="3010"/>
  </r>
  <r>
    <x v="0"/>
    <x v="1"/>
    <x v="1"/>
    <x v="2"/>
    <x v="2"/>
    <x v="0"/>
    <n v="14416"/>
  </r>
  <r>
    <x v="0"/>
    <x v="1"/>
    <x v="1"/>
    <x v="3"/>
    <x v="5"/>
    <x v="0"/>
    <n v="6020"/>
  </r>
  <r>
    <x v="0"/>
    <x v="1"/>
    <x v="1"/>
    <x v="3"/>
    <x v="0"/>
    <x v="0"/>
    <n v="8634"/>
  </r>
  <r>
    <x v="0"/>
    <x v="1"/>
    <x v="1"/>
    <x v="3"/>
    <x v="1"/>
    <x v="0"/>
    <n v="14416"/>
  </r>
  <r>
    <x v="0"/>
    <x v="1"/>
    <x v="1"/>
    <x v="3"/>
    <x v="8"/>
    <x v="0"/>
    <n v="3800"/>
  </r>
  <r>
    <x v="0"/>
    <x v="1"/>
    <x v="1"/>
    <x v="4"/>
    <x v="0"/>
    <x v="0"/>
    <n v="1780"/>
  </r>
  <r>
    <x v="0"/>
    <x v="1"/>
    <x v="1"/>
    <x v="4"/>
    <x v="3"/>
    <x v="0"/>
    <n v="600"/>
  </r>
  <r>
    <x v="0"/>
    <x v="1"/>
    <x v="1"/>
    <x v="4"/>
    <x v="9"/>
    <x v="0"/>
    <n v="1000"/>
  </r>
  <r>
    <x v="0"/>
    <x v="1"/>
    <x v="1"/>
    <x v="4"/>
    <x v="10"/>
    <x v="0"/>
    <n v="740"/>
  </r>
  <r>
    <x v="0"/>
    <x v="1"/>
    <x v="1"/>
    <x v="5"/>
    <x v="5"/>
    <x v="0"/>
    <n v="585"/>
  </r>
  <r>
    <x v="0"/>
    <x v="1"/>
    <x v="1"/>
    <x v="5"/>
    <x v="6"/>
    <x v="0"/>
    <n v="600"/>
  </r>
  <r>
    <x v="0"/>
    <x v="1"/>
    <x v="1"/>
    <x v="5"/>
    <x v="7"/>
    <x v="0"/>
    <n v="1700"/>
  </r>
  <r>
    <x v="0"/>
    <x v="1"/>
    <x v="1"/>
    <x v="6"/>
    <x v="11"/>
    <x v="0"/>
    <n v="1000"/>
  </r>
  <r>
    <x v="0"/>
    <x v="1"/>
    <x v="1"/>
    <x v="6"/>
    <x v="12"/>
    <x v="0"/>
    <n v="800"/>
  </r>
  <r>
    <x v="0"/>
    <x v="1"/>
    <x v="1"/>
    <x v="7"/>
    <x v="13"/>
    <x v="0"/>
    <n v="1000"/>
  </r>
  <r>
    <x v="0"/>
    <x v="1"/>
    <x v="1"/>
    <x v="7"/>
    <x v="14"/>
    <x v="0"/>
    <n v="100"/>
  </r>
  <r>
    <x v="0"/>
    <x v="1"/>
    <x v="1"/>
    <x v="7"/>
    <x v="15"/>
    <x v="0"/>
    <n v="1300"/>
  </r>
  <r>
    <x v="0"/>
    <x v="1"/>
    <x v="1"/>
    <x v="7"/>
    <x v="10"/>
    <x v="0"/>
    <n v="1350"/>
  </r>
  <r>
    <x v="0"/>
    <x v="1"/>
    <x v="1"/>
    <x v="8"/>
    <x v="12"/>
    <x v="0"/>
    <n v="700"/>
  </r>
  <r>
    <x v="0"/>
    <x v="1"/>
    <x v="1"/>
    <x v="9"/>
    <x v="13"/>
    <x v="0"/>
    <n v="800"/>
  </r>
  <r>
    <x v="0"/>
    <x v="1"/>
    <x v="1"/>
    <x v="9"/>
    <x v="16"/>
    <x v="0"/>
    <n v="1200"/>
  </r>
  <r>
    <x v="0"/>
    <x v="1"/>
    <x v="1"/>
    <x v="10"/>
    <x v="2"/>
    <x v="0"/>
    <n v="3000"/>
  </r>
  <r>
    <x v="0"/>
    <x v="1"/>
    <x v="1"/>
    <x v="10"/>
    <x v="9"/>
    <x v="0"/>
    <n v="700"/>
  </r>
  <r>
    <x v="0"/>
    <x v="1"/>
    <x v="1"/>
    <x v="10"/>
    <x v="17"/>
    <x v="0"/>
    <n v="1000"/>
  </r>
  <r>
    <x v="0"/>
    <x v="1"/>
    <x v="1"/>
    <x v="11"/>
    <x v="9"/>
    <x v="0"/>
    <n v="2500"/>
  </r>
  <r>
    <x v="0"/>
    <x v="1"/>
    <x v="1"/>
    <x v="11"/>
    <x v="18"/>
    <x v="0"/>
    <n v="1150"/>
  </r>
  <r>
    <x v="0"/>
    <x v="1"/>
    <x v="1"/>
    <x v="11"/>
    <x v="10"/>
    <x v="0"/>
    <n v="2145"/>
  </r>
  <r>
    <x v="0"/>
    <x v="1"/>
    <x v="1"/>
    <x v="12"/>
    <x v="6"/>
    <x v="0"/>
    <n v="1000"/>
  </r>
  <r>
    <x v="0"/>
    <x v="1"/>
    <x v="1"/>
    <x v="12"/>
    <x v="8"/>
    <x v="0"/>
    <n v="700"/>
  </r>
  <r>
    <x v="0"/>
    <x v="1"/>
    <x v="1"/>
    <x v="12"/>
    <x v="19"/>
    <x v="0"/>
    <n v="3200"/>
  </r>
  <r>
    <x v="0"/>
    <x v="1"/>
    <x v="1"/>
    <x v="12"/>
    <x v="20"/>
    <x v="0"/>
    <n v="1200"/>
  </r>
  <r>
    <x v="0"/>
    <x v="1"/>
    <x v="1"/>
    <x v="13"/>
    <x v="19"/>
    <x v="0"/>
    <n v="1200"/>
  </r>
  <r>
    <x v="0"/>
    <x v="1"/>
    <x v="1"/>
    <x v="13"/>
    <x v="14"/>
    <x v="0"/>
    <n v="200"/>
  </r>
  <r>
    <x v="0"/>
    <x v="1"/>
    <x v="1"/>
    <x v="13"/>
    <x v="20"/>
    <x v="0"/>
    <n v="1000"/>
  </r>
  <r>
    <x v="0"/>
    <x v="1"/>
    <x v="1"/>
    <x v="13"/>
    <x v="21"/>
    <x v="0"/>
    <n v="600"/>
  </r>
  <r>
    <x v="0"/>
    <x v="1"/>
    <x v="1"/>
    <x v="14"/>
    <x v="18"/>
    <x v="0"/>
    <n v="1000"/>
  </r>
  <r>
    <x v="0"/>
    <x v="1"/>
    <x v="1"/>
    <x v="14"/>
    <x v="21"/>
    <x v="0"/>
    <n v="250"/>
  </r>
  <r>
    <x v="0"/>
    <x v="1"/>
    <x v="1"/>
    <x v="15"/>
    <x v="9"/>
    <x v="0"/>
    <n v="1200"/>
  </r>
  <r>
    <x v="0"/>
    <x v="1"/>
    <x v="1"/>
    <x v="15"/>
    <x v="18"/>
    <x v="0"/>
    <n v="1000"/>
  </r>
  <r>
    <x v="0"/>
    <x v="1"/>
    <x v="1"/>
    <x v="16"/>
    <x v="5"/>
    <x v="0"/>
    <n v="2000"/>
  </r>
  <r>
    <x v="0"/>
    <x v="1"/>
    <x v="1"/>
    <x v="17"/>
    <x v="11"/>
    <x v="0"/>
    <n v="1300"/>
  </r>
  <r>
    <x v="0"/>
    <x v="1"/>
    <x v="1"/>
    <x v="17"/>
    <x v="14"/>
    <x v="0"/>
    <n v="600"/>
  </r>
  <r>
    <x v="0"/>
    <x v="1"/>
    <x v="1"/>
    <x v="17"/>
    <x v="21"/>
    <x v="0"/>
    <n v="3300"/>
  </r>
  <r>
    <x v="0"/>
    <x v="1"/>
    <x v="1"/>
    <x v="18"/>
    <x v="18"/>
    <x v="0"/>
    <n v="1000"/>
  </r>
  <r>
    <x v="0"/>
    <x v="1"/>
    <x v="1"/>
    <x v="18"/>
    <x v="14"/>
    <x v="0"/>
    <n v="300"/>
  </r>
  <r>
    <x v="0"/>
    <x v="1"/>
    <x v="1"/>
    <x v="18"/>
    <x v="15"/>
    <x v="0"/>
    <n v="3300"/>
  </r>
  <r>
    <x v="0"/>
    <x v="1"/>
    <x v="1"/>
    <x v="18"/>
    <x v="10"/>
    <x v="0"/>
    <n v="7300"/>
  </r>
  <r>
    <x v="0"/>
    <x v="1"/>
    <x v="1"/>
    <x v="19"/>
    <x v="6"/>
    <x v="0"/>
    <n v="680"/>
  </r>
  <r>
    <x v="0"/>
    <x v="1"/>
    <x v="1"/>
    <x v="19"/>
    <x v="11"/>
    <x v="0"/>
    <n v="1350"/>
  </r>
  <r>
    <x v="0"/>
    <x v="1"/>
    <x v="1"/>
    <x v="19"/>
    <x v="19"/>
    <x v="0"/>
    <n v="2095"/>
  </r>
  <r>
    <x v="0"/>
    <x v="1"/>
    <x v="1"/>
    <x v="19"/>
    <x v="21"/>
    <x v="0"/>
    <n v="7300"/>
  </r>
  <r>
    <x v="0"/>
    <x v="1"/>
    <x v="1"/>
    <x v="19"/>
    <x v="7"/>
    <x v="0"/>
    <n v="5300"/>
  </r>
  <r>
    <x v="0"/>
    <x v="1"/>
    <x v="1"/>
    <x v="20"/>
    <x v="0"/>
    <x v="0"/>
    <n v="610"/>
  </r>
  <r>
    <x v="0"/>
    <x v="1"/>
    <x v="1"/>
    <x v="20"/>
    <x v="3"/>
    <x v="0"/>
    <n v="1300"/>
  </r>
  <r>
    <x v="0"/>
    <x v="1"/>
    <x v="1"/>
    <x v="20"/>
    <x v="10"/>
    <x v="0"/>
    <n v="2000"/>
  </r>
  <r>
    <x v="0"/>
    <x v="1"/>
    <x v="1"/>
    <x v="21"/>
    <x v="8"/>
    <x v="0"/>
    <n v="1000"/>
  </r>
  <r>
    <x v="0"/>
    <x v="2"/>
    <x v="2"/>
    <x v="0"/>
    <x v="0"/>
    <x v="0"/>
    <n v="3010"/>
  </r>
  <r>
    <x v="0"/>
    <x v="2"/>
    <x v="2"/>
    <x v="0"/>
    <x v="1"/>
    <x v="0"/>
    <n v="3010"/>
  </r>
  <r>
    <x v="0"/>
    <x v="2"/>
    <x v="2"/>
    <x v="0"/>
    <x v="2"/>
    <x v="0"/>
    <n v="6020"/>
  </r>
  <r>
    <x v="0"/>
    <x v="2"/>
    <x v="2"/>
    <x v="0"/>
    <x v="3"/>
    <x v="0"/>
    <n v="600"/>
  </r>
  <r>
    <x v="0"/>
    <x v="2"/>
    <x v="2"/>
    <x v="0"/>
    <x v="4"/>
    <x v="0"/>
    <n v="2000"/>
  </r>
  <r>
    <x v="0"/>
    <x v="2"/>
    <x v="2"/>
    <x v="1"/>
    <x v="5"/>
    <x v="0"/>
    <n v="3010"/>
  </r>
  <r>
    <x v="0"/>
    <x v="2"/>
    <x v="2"/>
    <x v="1"/>
    <x v="2"/>
    <x v="0"/>
    <n v="8634"/>
  </r>
  <r>
    <x v="0"/>
    <x v="2"/>
    <x v="2"/>
    <x v="1"/>
    <x v="6"/>
    <x v="0"/>
    <n v="1500"/>
  </r>
  <r>
    <x v="0"/>
    <x v="2"/>
    <x v="2"/>
    <x v="1"/>
    <x v="7"/>
    <x v="0"/>
    <n v="600"/>
  </r>
  <r>
    <x v="0"/>
    <x v="2"/>
    <x v="2"/>
    <x v="2"/>
    <x v="5"/>
    <x v="0"/>
    <n v="3010"/>
  </r>
  <r>
    <x v="0"/>
    <x v="2"/>
    <x v="2"/>
    <x v="2"/>
    <x v="2"/>
    <x v="0"/>
    <n v="14416"/>
  </r>
  <r>
    <x v="0"/>
    <x v="2"/>
    <x v="2"/>
    <x v="3"/>
    <x v="5"/>
    <x v="0"/>
    <n v="6020"/>
  </r>
  <r>
    <x v="0"/>
    <x v="2"/>
    <x v="2"/>
    <x v="3"/>
    <x v="0"/>
    <x v="0"/>
    <n v="8634"/>
  </r>
  <r>
    <x v="0"/>
    <x v="2"/>
    <x v="2"/>
    <x v="3"/>
    <x v="1"/>
    <x v="0"/>
    <n v="14416"/>
  </r>
  <r>
    <x v="0"/>
    <x v="2"/>
    <x v="2"/>
    <x v="3"/>
    <x v="8"/>
    <x v="0"/>
    <n v="3900"/>
  </r>
  <r>
    <x v="0"/>
    <x v="2"/>
    <x v="2"/>
    <x v="4"/>
    <x v="0"/>
    <x v="0"/>
    <n v="1780"/>
  </r>
  <r>
    <x v="0"/>
    <x v="2"/>
    <x v="2"/>
    <x v="4"/>
    <x v="3"/>
    <x v="0"/>
    <n v="600"/>
  </r>
  <r>
    <x v="0"/>
    <x v="2"/>
    <x v="2"/>
    <x v="4"/>
    <x v="9"/>
    <x v="0"/>
    <n v="1000"/>
  </r>
  <r>
    <x v="0"/>
    <x v="2"/>
    <x v="2"/>
    <x v="4"/>
    <x v="10"/>
    <x v="0"/>
    <n v="740"/>
  </r>
  <r>
    <x v="0"/>
    <x v="2"/>
    <x v="2"/>
    <x v="5"/>
    <x v="5"/>
    <x v="0"/>
    <n v="585"/>
  </r>
  <r>
    <x v="0"/>
    <x v="2"/>
    <x v="2"/>
    <x v="5"/>
    <x v="6"/>
    <x v="0"/>
    <n v="600"/>
  </r>
  <r>
    <x v="0"/>
    <x v="2"/>
    <x v="2"/>
    <x v="5"/>
    <x v="7"/>
    <x v="0"/>
    <n v="1700"/>
  </r>
  <r>
    <x v="0"/>
    <x v="2"/>
    <x v="2"/>
    <x v="6"/>
    <x v="11"/>
    <x v="0"/>
    <n v="1000"/>
  </r>
  <r>
    <x v="0"/>
    <x v="2"/>
    <x v="2"/>
    <x v="6"/>
    <x v="12"/>
    <x v="0"/>
    <n v="800"/>
  </r>
  <r>
    <x v="0"/>
    <x v="2"/>
    <x v="2"/>
    <x v="7"/>
    <x v="13"/>
    <x v="0"/>
    <n v="1000"/>
  </r>
  <r>
    <x v="0"/>
    <x v="2"/>
    <x v="2"/>
    <x v="7"/>
    <x v="14"/>
    <x v="0"/>
    <n v="100"/>
  </r>
  <r>
    <x v="0"/>
    <x v="2"/>
    <x v="2"/>
    <x v="7"/>
    <x v="15"/>
    <x v="0"/>
    <n v="1300"/>
  </r>
  <r>
    <x v="0"/>
    <x v="2"/>
    <x v="2"/>
    <x v="7"/>
    <x v="10"/>
    <x v="0"/>
    <n v="1350"/>
  </r>
  <r>
    <x v="0"/>
    <x v="2"/>
    <x v="2"/>
    <x v="8"/>
    <x v="12"/>
    <x v="0"/>
    <n v="700"/>
  </r>
  <r>
    <x v="0"/>
    <x v="2"/>
    <x v="2"/>
    <x v="9"/>
    <x v="13"/>
    <x v="0"/>
    <n v="800"/>
  </r>
  <r>
    <x v="0"/>
    <x v="2"/>
    <x v="2"/>
    <x v="9"/>
    <x v="16"/>
    <x v="0"/>
    <n v="1200"/>
  </r>
  <r>
    <x v="0"/>
    <x v="2"/>
    <x v="2"/>
    <x v="10"/>
    <x v="2"/>
    <x v="0"/>
    <n v="3100"/>
  </r>
  <r>
    <x v="0"/>
    <x v="2"/>
    <x v="2"/>
    <x v="10"/>
    <x v="9"/>
    <x v="0"/>
    <n v="700"/>
  </r>
  <r>
    <x v="0"/>
    <x v="2"/>
    <x v="2"/>
    <x v="10"/>
    <x v="17"/>
    <x v="0"/>
    <n v="1000"/>
  </r>
  <r>
    <x v="0"/>
    <x v="2"/>
    <x v="2"/>
    <x v="11"/>
    <x v="9"/>
    <x v="0"/>
    <n v="2500"/>
  </r>
  <r>
    <x v="0"/>
    <x v="2"/>
    <x v="2"/>
    <x v="11"/>
    <x v="18"/>
    <x v="0"/>
    <n v="1150"/>
  </r>
  <r>
    <x v="0"/>
    <x v="2"/>
    <x v="2"/>
    <x v="11"/>
    <x v="10"/>
    <x v="0"/>
    <n v="2145"/>
  </r>
  <r>
    <x v="0"/>
    <x v="2"/>
    <x v="2"/>
    <x v="12"/>
    <x v="6"/>
    <x v="0"/>
    <n v="1000"/>
  </r>
  <r>
    <x v="0"/>
    <x v="2"/>
    <x v="2"/>
    <x v="12"/>
    <x v="8"/>
    <x v="0"/>
    <n v="700"/>
  </r>
  <r>
    <x v="0"/>
    <x v="2"/>
    <x v="2"/>
    <x v="12"/>
    <x v="19"/>
    <x v="0"/>
    <n v="3200"/>
  </r>
  <r>
    <x v="0"/>
    <x v="2"/>
    <x v="2"/>
    <x v="12"/>
    <x v="20"/>
    <x v="0"/>
    <n v="1200"/>
  </r>
  <r>
    <x v="0"/>
    <x v="2"/>
    <x v="2"/>
    <x v="13"/>
    <x v="19"/>
    <x v="0"/>
    <n v="1200"/>
  </r>
  <r>
    <x v="0"/>
    <x v="2"/>
    <x v="2"/>
    <x v="13"/>
    <x v="14"/>
    <x v="0"/>
    <n v="200"/>
  </r>
  <r>
    <x v="0"/>
    <x v="2"/>
    <x v="2"/>
    <x v="13"/>
    <x v="20"/>
    <x v="0"/>
    <n v="1000"/>
  </r>
  <r>
    <x v="0"/>
    <x v="2"/>
    <x v="2"/>
    <x v="13"/>
    <x v="21"/>
    <x v="0"/>
    <n v="600"/>
  </r>
  <r>
    <x v="0"/>
    <x v="2"/>
    <x v="2"/>
    <x v="14"/>
    <x v="18"/>
    <x v="0"/>
    <n v="1000"/>
  </r>
  <r>
    <x v="0"/>
    <x v="2"/>
    <x v="2"/>
    <x v="14"/>
    <x v="21"/>
    <x v="0"/>
    <n v="250"/>
  </r>
  <r>
    <x v="0"/>
    <x v="2"/>
    <x v="2"/>
    <x v="15"/>
    <x v="9"/>
    <x v="0"/>
    <n v="1200"/>
  </r>
  <r>
    <x v="0"/>
    <x v="2"/>
    <x v="2"/>
    <x v="15"/>
    <x v="18"/>
    <x v="0"/>
    <n v="1000"/>
  </r>
  <r>
    <x v="0"/>
    <x v="2"/>
    <x v="2"/>
    <x v="16"/>
    <x v="5"/>
    <x v="0"/>
    <n v="2000"/>
  </r>
  <r>
    <x v="0"/>
    <x v="2"/>
    <x v="2"/>
    <x v="17"/>
    <x v="11"/>
    <x v="0"/>
    <n v="1300"/>
  </r>
  <r>
    <x v="0"/>
    <x v="2"/>
    <x v="2"/>
    <x v="17"/>
    <x v="14"/>
    <x v="0"/>
    <n v="600"/>
  </r>
  <r>
    <x v="0"/>
    <x v="2"/>
    <x v="2"/>
    <x v="17"/>
    <x v="21"/>
    <x v="0"/>
    <n v="3300"/>
  </r>
  <r>
    <x v="0"/>
    <x v="2"/>
    <x v="2"/>
    <x v="18"/>
    <x v="18"/>
    <x v="0"/>
    <n v="1000"/>
  </r>
  <r>
    <x v="0"/>
    <x v="2"/>
    <x v="2"/>
    <x v="18"/>
    <x v="14"/>
    <x v="0"/>
    <n v="300"/>
  </r>
  <r>
    <x v="0"/>
    <x v="2"/>
    <x v="2"/>
    <x v="18"/>
    <x v="15"/>
    <x v="0"/>
    <n v="3300"/>
  </r>
  <r>
    <x v="0"/>
    <x v="2"/>
    <x v="2"/>
    <x v="18"/>
    <x v="10"/>
    <x v="0"/>
    <n v="7300"/>
  </r>
  <r>
    <x v="0"/>
    <x v="2"/>
    <x v="2"/>
    <x v="19"/>
    <x v="6"/>
    <x v="0"/>
    <n v="680"/>
  </r>
  <r>
    <x v="0"/>
    <x v="2"/>
    <x v="2"/>
    <x v="19"/>
    <x v="11"/>
    <x v="0"/>
    <n v="1350"/>
  </r>
  <r>
    <x v="0"/>
    <x v="2"/>
    <x v="2"/>
    <x v="19"/>
    <x v="19"/>
    <x v="0"/>
    <n v="2095"/>
  </r>
  <r>
    <x v="0"/>
    <x v="2"/>
    <x v="2"/>
    <x v="19"/>
    <x v="21"/>
    <x v="0"/>
    <n v="7300"/>
  </r>
  <r>
    <x v="0"/>
    <x v="2"/>
    <x v="2"/>
    <x v="19"/>
    <x v="7"/>
    <x v="0"/>
    <n v="5300"/>
  </r>
  <r>
    <x v="0"/>
    <x v="2"/>
    <x v="2"/>
    <x v="20"/>
    <x v="0"/>
    <x v="0"/>
    <n v="610"/>
  </r>
  <r>
    <x v="0"/>
    <x v="2"/>
    <x v="2"/>
    <x v="20"/>
    <x v="3"/>
    <x v="0"/>
    <n v="1300"/>
  </r>
  <r>
    <x v="0"/>
    <x v="2"/>
    <x v="2"/>
    <x v="20"/>
    <x v="10"/>
    <x v="0"/>
    <n v="2000"/>
  </r>
  <r>
    <x v="0"/>
    <x v="2"/>
    <x v="2"/>
    <x v="21"/>
    <x v="8"/>
    <x v="0"/>
    <n v="1000"/>
  </r>
  <r>
    <x v="0"/>
    <x v="3"/>
    <x v="3"/>
    <x v="0"/>
    <x v="0"/>
    <x v="0"/>
    <n v="3010"/>
  </r>
  <r>
    <x v="0"/>
    <x v="3"/>
    <x v="3"/>
    <x v="0"/>
    <x v="1"/>
    <x v="0"/>
    <n v="3010"/>
  </r>
  <r>
    <x v="0"/>
    <x v="3"/>
    <x v="3"/>
    <x v="0"/>
    <x v="2"/>
    <x v="0"/>
    <n v="6020"/>
  </r>
  <r>
    <x v="0"/>
    <x v="3"/>
    <x v="3"/>
    <x v="0"/>
    <x v="3"/>
    <x v="0"/>
    <n v="600"/>
  </r>
  <r>
    <x v="0"/>
    <x v="3"/>
    <x v="3"/>
    <x v="0"/>
    <x v="4"/>
    <x v="0"/>
    <n v="2000"/>
  </r>
  <r>
    <x v="0"/>
    <x v="3"/>
    <x v="3"/>
    <x v="1"/>
    <x v="5"/>
    <x v="0"/>
    <n v="3010"/>
  </r>
  <r>
    <x v="0"/>
    <x v="3"/>
    <x v="3"/>
    <x v="1"/>
    <x v="2"/>
    <x v="0"/>
    <n v="8634"/>
  </r>
  <r>
    <x v="0"/>
    <x v="3"/>
    <x v="3"/>
    <x v="1"/>
    <x v="6"/>
    <x v="0"/>
    <n v="1500"/>
  </r>
  <r>
    <x v="0"/>
    <x v="3"/>
    <x v="3"/>
    <x v="1"/>
    <x v="7"/>
    <x v="0"/>
    <n v="600"/>
  </r>
  <r>
    <x v="0"/>
    <x v="3"/>
    <x v="3"/>
    <x v="2"/>
    <x v="5"/>
    <x v="0"/>
    <n v="3010"/>
  </r>
  <r>
    <x v="0"/>
    <x v="3"/>
    <x v="3"/>
    <x v="2"/>
    <x v="2"/>
    <x v="0"/>
    <n v="14416"/>
  </r>
  <r>
    <x v="0"/>
    <x v="3"/>
    <x v="3"/>
    <x v="3"/>
    <x v="5"/>
    <x v="0"/>
    <n v="6020"/>
  </r>
  <r>
    <x v="0"/>
    <x v="3"/>
    <x v="3"/>
    <x v="3"/>
    <x v="0"/>
    <x v="0"/>
    <n v="8634"/>
  </r>
  <r>
    <x v="0"/>
    <x v="3"/>
    <x v="3"/>
    <x v="3"/>
    <x v="1"/>
    <x v="0"/>
    <n v="14416"/>
  </r>
  <r>
    <x v="0"/>
    <x v="3"/>
    <x v="3"/>
    <x v="3"/>
    <x v="8"/>
    <x v="0"/>
    <n v="3900"/>
  </r>
  <r>
    <x v="0"/>
    <x v="3"/>
    <x v="3"/>
    <x v="4"/>
    <x v="0"/>
    <x v="0"/>
    <n v="1780"/>
  </r>
  <r>
    <x v="0"/>
    <x v="3"/>
    <x v="3"/>
    <x v="4"/>
    <x v="3"/>
    <x v="0"/>
    <n v="600"/>
  </r>
  <r>
    <x v="0"/>
    <x v="3"/>
    <x v="3"/>
    <x v="4"/>
    <x v="9"/>
    <x v="0"/>
    <n v="1700"/>
  </r>
  <r>
    <x v="0"/>
    <x v="3"/>
    <x v="3"/>
    <x v="4"/>
    <x v="10"/>
    <x v="0"/>
    <n v="740"/>
  </r>
  <r>
    <x v="0"/>
    <x v="3"/>
    <x v="3"/>
    <x v="5"/>
    <x v="5"/>
    <x v="0"/>
    <n v="585"/>
  </r>
  <r>
    <x v="0"/>
    <x v="3"/>
    <x v="3"/>
    <x v="5"/>
    <x v="6"/>
    <x v="0"/>
    <n v="600"/>
  </r>
  <r>
    <x v="0"/>
    <x v="3"/>
    <x v="3"/>
    <x v="5"/>
    <x v="7"/>
    <x v="0"/>
    <n v="1700"/>
  </r>
  <r>
    <x v="0"/>
    <x v="3"/>
    <x v="3"/>
    <x v="6"/>
    <x v="11"/>
    <x v="0"/>
    <n v="1000"/>
  </r>
  <r>
    <x v="0"/>
    <x v="3"/>
    <x v="3"/>
    <x v="6"/>
    <x v="12"/>
    <x v="0"/>
    <n v="800"/>
  </r>
  <r>
    <x v="0"/>
    <x v="3"/>
    <x v="3"/>
    <x v="7"/>
    <x v="13"/>
    <x v="0"/>
    <n v="1000"/>
  </r>
  <r>
    <x v="0"/>
    <x v="3"/>
    <x v="3"/>
    <x v="7"/>
    <x v="14"/>
    <x v="0"/>
    <n v="100"/>
  </r>
  <r>
    <x v="0"/>
    <x v="3"/>
    <x v="3"/>
    <x v="7"/>
    <x v="15"/>
    <x v="0"/>
    <n v="1300"/>
  </r>
  <r>
    <x v="0"/>
    <x v="3"/>
    <x v="3"/>
    <x v="7"/>
    <x v="10"/>
    <x v="0"/>
    <n v="1350"/>
  </r>
  <r>
    <x v="0"/>
    <x v="3"/>
    <x v="3"/>
    <x v="8"/>
    <x v="12"/>
    <x v="0"/>
    <n v="700"/>
  </r>
  <r>
    <x v="0"/>
    <x v="3"/>
    <x v="3"/>
    <x v="8"/>
    <x v="4"/>
    <x v="0"/>
    <n v="500"/>
  </r>
  <r>
    <x v="0"/>
    <x v="3"/>
    <x v="3"/>
    <x v="9"/>
    <x v="13"/>
    <x v="0"/>
    <n v="800"/>
  </r>
  <r>
    <x v="0"/>
    <x v="3"/>
    <x v="3"/>
    <x v="9"/>
    <x v="16"/>
    <x v="0"/>
    <n v="1200"/>
  </r>
  <r>
    <x v="0"/>
    <x v="3"/>
    <x v="3"/>
    <x v="10"/>
    <x v="2"/>
    <x v="0"/>
    <n v="3100"/>
  </r>
  <r>
    <x v="0"/>
    <x v="3"/>
    <x v="3"/>
    <x v="10"/>
    <x v="9"/>
    <x v="0"/>
    <n v="700"/>
  </r>
  <r>
    <x v="0"/>
    <x v="3"/>
    <x v="3"/>
    <x v="10"/>
    <x v="17"/>
    <x v="0"/>
    <n v="1000"/>
  </r>
  <r>
    <x v="0"/>
    <x v="3"/>
    <x v="3"/>
    <x v="11"/>
    <x v="9"/>
    <x v="0"/>
    <n v="2500"/>
  </r>
  <r>
    <x v="0"/>
    <x v="3"/>
    <x v="3"/>
    <x v="11"/>
    <x v="18"/>
    <x v="0"/>
    <n v="1150"/>
  </r>
  <r>
    <x v="0"/>
    <x v="3"/>
    <x v="3"/>
    <x v="11"/>
    <x v="10"/>
    <x v="0"/>
    <n v="2145"/>
  </r>
  <r>
    <x v="0"/>
    <x v="3"/>
    <x v="3"/>
    <x v="12"/>
    <x v="6"/>
    <x v="0"/>
    <n v="1700"/>
  </r>
  <r>
    <x v="0"/>
    <x v="3"/>
    <x v="3"/>
    <x v="12"/>
    <x v="8"/>
    <x v="0"/>
    <n v="700"/>
  </r>
  <r>
    <x v="0"/>
    <x v="3"/>
    <x v="3"/>
    <x v="12"/>
    <x v="19"/>
    <x v="0"/>
    <n v="3200"/>
  </r>
  <r>
    <x v="0"/>
    <x v="3"/>
    <x v="3"/>
    <x v="12"/>
    <x v="20"/>
    <x v="0"/>
    <n v="1200"/>
  </r>
  <r>
    <x v="0"/>
    <x v="3"/>
    <x v="3"/>
    <x v="13"/>
    <x v="19"/>
    <x v="0"/>
    <n v="1200"/>
  </r>
  <r>
    <x v="0"/>
    <x v="3"/>
    <x v="3"/>
    <x v="13"/>
    <x v="14"/>
    <x v="0"/>
    <n v="200"/>
  </r>
  <r>
    <x v="0"/>
    <x v="3"/>
    <x v="3"/>
    <x v="13"/>
    <x v="20"/>
    <x v="0"/>
    <n v="1000"/>
  </r>
  <r>
    <x v="0"/>
    <x v="3"/>
    <x v="3"/>
    <x v="13"/>
    <x v="21"/>
    <x v="0"/>
    <n v="600"/>
  </r>
  <r>
    <x v="0"/>
    <x v="3"/>
    <x v="3"/>
    <x v="14"/>
    <x v="18"/>
    <x v="0"/>
    <n v="1000"/>
  </r>
  <r>
    <x v="0"/>
    <x v="3"/>
    <x v="3"/>
    <x v="14"/>
    <x v="21"/>
    <x v="0"/>
    <n v="250"/>
  </r>
  <r>
    <x v="0"/>
    <x v="3"/>
    <x v="3"/>
    <x v="15"/>
    <x v="9"/>
    <x v="0"/>
    <n v="1200"/>
  </r>
  <r>
    <x v="0"/>
    <x v="3"/>
    <x v="3"/>
    <x v="15"/>
    <x v="18"/>
    <x v="0"/>
    <n v="1000"/>
  </r>
  <r>
    <x v="0"/>
    <x v="3"/>
    <x v="3"/>
    <x v="16"/>
    <x v="5"/>
    <x v="0"/>
    <n v="2000"/>
  </r>
  <r>
    <x v="0"/>
    <x v="3"/>
    <x v="3"/>
    <x v="16"/>
    <x v="16"/>
    <x v="0"/>
    <n v="500"/>
  </r>
  <r>
    <x v="0"/>
    <x v="3"/>
    <x v="3"/>
    <x v="17"/>
    <x v="11"/>
    <x v="0"/>
    <n v="1300"/>
  </r>
  <r>
    <x v="0"/>
    <x v="3"/>
    <x v="3"/>
    <x v="17"/>
    <x v="14"/>
    <x v="0"/>
    <n v="600"/>
  </r>
  <r>
    <x v="0"/>
    <x v="3"/>
    <x v="3"/>
    <x v="17"/>
    <x v="21"/>
    <x v="0"/>
    <n v="3300"/>
  </r>
  <r>
    <x v="0"/>
    <x v="3"/>
    <x v="3"/>
    <x v="18"/>
    <x v="18"/>
    <x v="0"/>
    <n v="1000"/>
  </r>
  <r>
    <x v="0"/>
    <x v="3"/>
    <x v="3"/>
    <x v="18"/>
    <x v="14"/>
    <x v="0"/>
    <n v="300"/>
  </r>
  <r>
    <x v="0"/>
    <x v="3"/>
    <x v="3"/>
    <x v="18"/>
    <x v="15"/>
    <x v="0"/>
    <n v="3300"/>
  </r>
  <r>
    <x v="0"/>
    <x v="3"/>
    <x v="3"/>
    <x v="18"/>
    <x v="10"/>
    <x v="0"/>
    <n v="7300"/>
  </r>
  <r>
    <x v="0"/>
    <x v="3"/>
    <x v="3"/>
    <x v="19"/>
    <x v="6"/>
    <x v="0"/>
    <n v="680"/>
  </r>
  <r>
    <x v="0"/>
    <x v="3"/>
    <x v="3"/>
    <x v="19"/>
    <x v="11"/>
    <x v="0"/>
    <n v="1350"/>
  </r>
  <r>
    <x v="0"/>
    <x v="3"/>
    <x v="3"/>
    <x v="19"/>
    <x v="19"/>
    <x v="0"/>
    <n v="2095"/>
  </r>
  <r>
    <x v="0"/>
    <x v="3"/>
    <x v="3"/>
    <x v="19"/>
    <x v="21"/>
    <x v="0"/>
    <n v="7300"/>
  </r>
  <r>
    <x v="0"/>
    <x v="3"/>
    <x v="3"/>
    <x v="19"/>
    <x v="7"/>
    <x v="0"/>
    <n v="6500"/>
  </r>
  <r>
    <x v="0"/>
    <x v="3"/>
    <x v="3"/>
    <x v="20"/>
    <x v="0"/>
    <x v="0"/>
    <n v="610"/>
  </r>
  <r>
    <x v="0"/>
    <x v="3"/>
    <x v="3"/>
    <x v="20"/>
    <x v="3"/>
    <x v="0"/>
    <n v="1300"/>
  </r>
  <r>
    <x v="0"/>
    <x v="3"/>
    <x v="3"/>
    <x v="20"/>
    <x v="10"/>
    <x v="0"/>
    <n v="3200"/>
  </r>
  <r>
    <x v="0"/>
    <x v="3"/>
    <x v="3"/>
    <x v="21"/>
    <x v="8"/>
    <x v="0"/>
    <n v="1000"/>
  </r>
  <r>
    <x v="0"/>
    <x v="4"/>
    <x v="4"/>
    <x v="0"/>
    <x v="0"/>
    <x v="1"/>
    <n v="0"/>
  </r>
  <r>
    <x v="0"/>
    <x v="4"/>
    <x v="4"/>
    <x v="0"/>
    <x v="0"/>
    <x v="0"/>
    <n v="3010"/>
  </r>
  <r>
    <x v="0"/>
    <x v="4"/>
    <x v="4"/>
    <x v="0"/>
    <x v="1"/>
    <x v="1"/>
    <n v="0"/>
  </r>
  <r>
    <x v="0"/>
    <x v="4"/>
    <x v="4"/>
    <x v="0"/>
    <x v="1"/>
    <x v="0"/>
    <n v="3010"/>
  </r>
  <r>
    <x v="0"/>
    <x v="4"/>
    <x v="4"/>
    <x v="0"/>
    <x v="2"/>
    <x v="1"/>
    <n v="0"/>
  </r>
  <r>
    <x v="0"/>
    <x v="4"/>
    <x v="4"/>
    <x v="0"/>
    <x v="2"/>
    <x v="0"/>
    <n v="6020"/>
  </r>
  <r>
    <x v="0"/>
    <x v="4"/>
    <x v="4"/>
    <x v="0"/>
    <x v="3"/>
    <x v="1"/>
    <n v="0"/>
  </r>
  <r>
    <x v="0"/>
    <x v="4"/>
    <x v="4"/>
    <x v="0"/>
    <x v="3"/>
    <x v="0"/>
    <n v="600"/>
  </r>
  <r>
    <x v="0"/>
    <x v="4"/>
    <x v="4"/>
    <x v="0"/>
    <x v="4"/>
    <x v="1"/>
    <n v="11093.8515175224"/>
  </r>
  <r>
    <x v="0"/>
    <x v="4"/>
    <x v="4"/>
    <x v="0"/>
    <x v="4"/>
    <x v="0"/>
    <n v="2000"/>
  </r>
  <r>
    <x v="0"/>
    <x v="4"/>
    <x v="4"/>
    <x v="1"/>
    <x v="5"/>
    <x v="1"/>
    <n v="0"/>
  </r>
  <r>
    <x v="0"/>
    <x v="4"/>
    <x v="4"/>
    <x v="1"/>
    <x v="5"/>
    <x v="0"/>
    <n v="3010"/>
  </r>
  <r>
    <x v="0"/>
    <x v="4"/>
    <x v="4"/>
    <x v="1"/>
    <x v="2"/>
    <x v="1"/>
    <n v="0"/>
  </r>
  <r>
    <x v="0"/>
    <x v="4"/>
    <x v="4"/>
    <x v="1"/>
    <x v="2"/>
    <x v="0"/>
    <n v="8634"/>
  </r>
  <r>
    <x v="0"/>
    <x v="4"/>
    <x v="4"/>
    <x v="1"/>
    <x v="6"/>
    <x v="1"/>
    <n v="0"/>
  </r>
  <r>
    <x v="0"/>
    <x v="4"/>
    <x v="4"/>
    <x v="1"/>
    <x v="6"/>
    <x v="0"/>
    <n v="1500"/>
  </r>
  <r>
    <x v="0"/>
    <x v="4"/>
    <x v="4"/>
    <x v="1"/>
    <x v="3"/>
    <x v="1"/>
    <n v="0"/>
  </r>
  <r>
    <x v="0"/>
    <x v="4"/>
    <x v="4"/>
    <x v="1"/>
    <x v="9"/>
    <x v="1"/>
    <n v="0"/>
  </r>
  <r>
    <x v="0"/>
    <x v="4"/>
    <x v="4"/>
    <x v="1"/>
    <x v="7"/>
    <x v="1"/>
    <n v="0"/>
  </r>
  <r>
    <x v="0"/>
    <x v="4"/>
    <x v="4"/>
    <x v="1"/>
    <x v="7"/>
    <x v="0"/>
    <n v="600"/>
  </r>
  <r>
    <x v="0"/>
    <x v="4"/>
    <x v="4"/>
    <x v="2"/>
    <x v="5"/>
    <x v="1"/>
    <n v="0"/>
  </r>
  <r>
    <x v="0"/>
    <x v="4"/>
    <x v="4"/>
    <x v="2"/>
    <x v="5"/>
    <x v="0"/>
    <n v="3010"/>
  </r>
  <r>
    <x v="0"/>
    <x v="4"/>
    <x v="4"/>
    <x v="2"/>
    <x v="2"/>
    <x v="1"/>
    <n v="0"/>
  </r>
  <r>
    <x v="0"/>
    <x v="4"/>
    <x v="4"/>
    <x v="2"/>
    <x v="2"/>
    <x v="0"/>
    <n v="14416"/>
  </r>
  <r>
    <x v="0"/>
    <x v="4"/>
    <x v="4"/>
    <x v="2"/>
    <x v="8"/>
    <x v="1"/>
    <n v="7010.6782678158697"/>
  </r>
  <r>
    <x v="0"/>
    <x v="4"/>
    <x v="4"/>
    <x v="3"/>
    <x v="5"/>
    <x v="1"/>
    <n v="0"/>
  </r>
  <r>
    <x v="0"/>
    <x v="4"/>
    <x v="4"/>
    <x v="3"/>
    <x v="5"/>
    <x v="0"/>
    <n v="6020"/>
  </r>
  <r>
    <x v="0"/>
    <x v="4"/>
    <x v="4"/>
    <x v="3"/>
    <x v="0"/>
    <x v="1"/>
    <n v="0"/>
  </r>
  <r>
    <x v="0"/>
    <x v="4"/>
    <x v="4"/>
    <x v="3"/>
    <x v="0"/>
    <x v="0"/>
    <n v="8634"/>
  </r>
  <r>
    <x v="0"/>
    <x v="4"/>
    <x v="4"/>
    <x v="3"/>
    <x v="1"/>
    <x v="1"/>
    <n v="0"/>
  </r>
  <r>
    <x v="0"/>
    <x v="4"/>
    <x v="4"/>
    <x v="3"/>
    <x v="1"/>
    <x v="0"/>
    <n v="14416"/>
  </r>
  <r>
    <x v="0"/>
    <x v="4"/>
    <x v="4"/>
    <x v="3"/>
    <x v="8"/>
    <x v="1"/>
    <n v="0"/>
  </r>
  <r>
    <x v="0"/>
    <x v="4"/>
    <x v="4"/>
    <x v="3"/>
    <x v="8"/>
    <x v="0"/>
    <n v="3900"/>
  </r>
  <r>
    <x v="0"/>
    <x v="4"/>
    <x v="4"/>
    <x v="4"/>
    <x v="0"/>
    <x v="1"/>
    <n v="0"/>
  </r>
  <r>
    <x v="0"/>
    <x v="4"/>
    <x v="4"/>
    <x v="4"/>
    <x v="0"/>
    <x v="0"/>
    <n v="1780"/>
  </r>
  <r>
    <x v="0"/>
    <x v="4"/>
    <x v="4"/>
    <x v="4"/>
    <x v="3"/>
    <x v="1"/>
    <n v="0"/>
  </r>
  <r>
    <x v="0"/>
    <x v="4"/>
    <x v="4"/>
    <x v="4"/>
    <x v="3"/>
    <x v="0"/>
    <n v="600"/>
  </r>
  <r>
    <x v="0"/>
    <x v="4"/>
    <x v="4"/>
    <x v="4"/>
    <x v="8"/>
    <x v="1"/>
    <n v="0"/>
  </r>
  <r>
    <x v="0"/>
    <x v="4"/>
    <x v="4"/>
    <x v="4"/>
    <x v="9"/>
    <x v="1"/>
    <n v="0"/>
  </r>
  <r>
    <x v="0"/>
    <x v="4"/>
    <x v="4"/>
    <x v="4"/>
    <x v="9"/>
    <x v="0"/>
    <n v="1700"/>
  </r>
  <r>
    <x v="0"/>
    <x v="4"/>
    <x v="4"/>
    <x v="4"/>
    <x v="10"/>
    <x v="1"/>
    <n v="0"/>
  </r>
  <r>
    <x v="0"/>
    <x v="4"/>
    <x v="4"/>
    <x v="4"/>
    <x v="10"/>
    <x v="0"/>
    <n v="740"/>
  </r>
  <r>
    <x v="0"/>
    <x v="4"/>
    <x v="4"/>
    <x v="4"/>
    <x v="17"/>
    <x v="1"/>
    <n v="42.128594142529302"/>
  </r>
  <r>
    <x v="0"/>
    <x v="4"/>
    <x v="4"/>
    <x v="5"/>
    <x v="5"/>
    <x v="1"/>
    <n v="0"/>
  </r>
  <r>
    <x v="0"/>
    <x v="4"/>
    <x v="4"/>
    <x v="5"/>
    <x v="5"/>
    <x v="0"/>
    <n v="585"/>
  </r>
  <r>
    <x v="0"/>
    <x v="4"/>
    <x v="4"/>
    <x v="5"/>
    <x v="0"/>
    <x v="1"/>
    <n v="0"/>
  </r>
  <r>
    <x v="0"/>
    <x v="4"/>
    <x v="4"/>
    <x v="5"/>
    <x v="6"/>
    <x v="1"/>
    <n v="0"/>
  </r>
  <r>
    <x v="0"/>
    <x v="4"/>
    <x v="4"/>
    <x v="5"/>
    <x v="6"/>
    <x v="0"/>
    <n v="600"/>
  </r>
  <r>
    <x v="0"/>
    <x v="4"/>
    <x v="4"/>
    <x v="5"/>
    <x v="7"/>
    <x v="1"/>
    <n v="0"/>
  </r>
  <r>
    <x v="0"/>
    <x v="4"/>
    <x v="4"/>
    <x v="5"/>
    <x v="7"/>
    <x v="0"/>
    <n v="1700"/>
  </r>
  <r>
    <x v="0"/>
    <x v="4"/>
    <x v="4"/>
    <x v="6"/>
    <x v="11"/>
    <x v="1"/>
    <n v="0"/>
  </r>
  <r>
    <x v="0"/>
    <x v="4"/>
    <x v="4"/>
    <x v="6"/>
    <x v="11"/>
    <x v="0"/>
    <n v="1000"/>
  </r>
  <r>
    <x v="0"/>
    <x v="4"/>
    <x v="4"/>
    <x v="6"/>
    <x v="12"/>
    <x v="1"/>
    <n v="0"/>
  </r>
  <r>
    <x v="0"/>
    <x v="4"/>
    <x v="4"/>
    <x v="6"/>
    <x v="12"/>
    <x v="0"/>
    <n v="800"/>
  </r>
  <r>
    <x v="0"/>
    <x v="4"/>
    <x v="4"/>
    <x v="6"/>
    <x v="10"/>
    <x v="1"/>
    <n v="0"/>
  </r>
  <r>
    <x v="0"/>
    <x v="4"/>
    <x v="4"/>
    <x v="7"/>
    <x v="13"/>
    <x v="1"/>
    <n v="0"/>
  </r>
  <r>
    <x v="0"/>
    <x v="4"/>
    <x v="4"/>
    <x v="7"/>
    <x v="13"/>
    <x v="0"/>
    <n v="1000"/>
  </r>
  <r>
    <x v="0"/>
    <x v="4"/>
    <x v="4"/>
    <x v="7"/>
    <x v="14"/>
    <x v="1"/>
    <n v="0"/>
  </r>
  <r>
    <x v="0"/>
    <x v="4"/>
    <x v="4"/>
    <x v="7"/>
    <x v="14"/>
    <x v="0"/>
    <n v="100"/>
  </r>
  <r>
    <x v="0"/>
    <x v="4"/>
    <x v="4"/>
    <x v="7"/>
    <x v="15"/>
    <x v="1"/>
    <n v="0"/>
  </r>
  <r>
    <x v="0"/>
    <x v="4"/>
    <x v="4"/>
    <x v="7"/>
    <x v="15"/>
    <x v="0"/>
    <n v="1300"/>
  </r>
  <r>
    <x v="0"/>
    <x v="4"/>
    <x v="4"/>
    <x v="7"/>
    <x v="10"/>
    <x v="1"/>
    <n v="0"/>
  </r>
  <r>
    <x v="0"/>
    <x v="4"/>
    <x v="4"/>
    <x v="7"/>
    <x v="10"/>
    <x v="0"/>
    <n v="1350"/>
  </r>
  <r>
    <x v="0"/>
    <x v="4"/>
    <x v="4"/>
    <x v="8"/>
    <x v="12"/>
    <x v="1"/>
    <n v="0"/>
  </r>
  <r>
    <x v="0"/>
    <x v="4"/>
    <x v="4"/>
    <x v="8"/>
    <x v="12"/>
    <x v="0"/>
    <n v="700"/>
  </r>
  <r>
    <x v="0"/>
    <x v="4"/>
    <x v="4"/>
    <x v="8"/>
    <x v="4"/>
    <x v="1"/>
    <n v="1281.8539242673301"/>
  </r>
  <r>
    <x v="0"/>
    <x v="4"/>
    <x v="4"/>
    <x v="8"/>
    <x v="4"/>
    <x v="0"/>
    <n v="500"/>
  </r>
  <r>
    <x v="0"/>
    <x v="4"/>
    <x v="4"/>
    <x v="8"/>
    <x v="7"/>
    <x v="1"/>
    <n v="0"/>
  </r>
  <r>
    <x v="0"/>
    <x v="4"/>
    <x v="4"/>
    <x v="8"/>
    <x v="7"/>
    <x v="0"/>
    <n v="700"/>
  </r>
  <r>
    <x v="0"/>
    <x v="4"/>
    <x v="4"/>
    <x v="9"/>
    <x v="13"/>
    <x v="1"/>
    <n v="0"/>
  </r>
  <r>
    <x v="0"/>
    <x v="4"/>
    <x v="4"/>
    <x v="9"/>
    <x v="13"/>
    <x v="0"/>
    <n v="800"/>
  </r>
  <r>
    <x v="0"/>
    <x v="4"/>
    <x v="4"/>
    <x v="9"/>
    <x v="16"/>
    <x v="1"/>
    <n v="0"/>
  </r>
  <r>
    <x v="0"/>
    <x v="4"/>
    <x v="4"/>
    <x v="9"/>
    <x v="16"/>
    <x v="0"/>
    <n v="1200"/>
  </r>
  <r>
    <x v="0"/>
    <x v="4"/>
    <x v="4"/>
    <x v="9"/>
    <x v="10"/>
    <x v="1"/>
    <n v="0"/>
  </r>
  <r>
    <x v="0"/>
    <x v="4"/>
    <x v="4"/>
    <x v="10"/>
    <x v="1"/>
    <x v="1"/>
    <n v="7010.6782678158697"/>
  </r>
  <r>
    <x v="0"/>
    <x v="4"/>
    <x v="4"/>
    <x v="10"/>
    <x v="2"/>
    <x v="1"/>
    <n v="0"/>
  </r>
  <r>
    <x v="0"/>
    <x v="4"/>
    <x v="4"/>
    <x v="10"/>
    <x v="2"/>
    <x v="0"/>
    <n v="3100"/>
  </r>
  <r>
    <x v="0"/>
    <x v="4"/>
    <x v="4"/>
    <x v="10"/>
    <x v="6"/>
    <x v="1"/>
    <n v="0"/>
  </r>
  <r>
    <x v="0"/>
    <x v="4"/>
    <x v="4"/>
    <x v="10"/>
    <x v="9"/>
    <x v="1"/>
    <n v="0"/>
  </r>
  <r>
    <x v="0"/>
    <x v="4"/>
    <x v="4"/>
    <x v="10"/>
    <x v="9"/>
    <x v="0"/>
    <n v="700"/>
  </r>
  <r>
    <x v="0"/>
    <x v="4"/>
    <x v="4"/>
    <x v="10"/>
    <x v="17"/>
    <x v="1"/>
    <n v="0"/>
  </r>
  <r>
    <x v="0"/>
    <x v="4"/>
    <x v="4"/>
    <x v="10"/>
    <x v="17"/>
    <x v="0"/>
    <n v="1000"/>
  </r>
  <r>
    <x v="0"/>
    <x v="4"/>
    <x v="4"/>
    <x v="11"/>
    <x v="9"/>
    <x v="1"/>
    <n v="0"/>
  </r>
  <r>
    <x v="0"/>
    <x v="4"/>
    <x v="4"/>
    <x v="11"/>
    <x v="9"/>
    <x v="0"/>
    <n v="2500"/>
  </r>
  <r>
    <x v="0"/>
    <x v="4"/>
    <x v="4"/>
    <x v="11"/>
    <x v="18"/>
    <x v="1"/>
    <n v="0"/>
  </r>
  <r>
    <x v="0"/>
    <x v="4"/>
    <x v="4"/>
    <x v="11"/>
    <x v="18"/>
    <x v="0"/>
    <n v="1150"/>
  </r>
  <r>
    <x v="0"/>
    <x v="4"/>
    <x v="4"/>
    <x v="11"/>
    <x v="20"/>
    <x v="1"/>
    <n v="167.51969421662301"/>
  </r>
  <r>
    <x v="0"/>
    <x v="4"/>
    <x v="4"/>
    <x v="11"/>
    <x v="10"/>
    <x v="1"/>
    <n v="0"/>
  </r>
  <r>
    <x v="0"/>
    <x v="4"/>
    <x v="4"/>
    <x v="11"/>
    <x v="10"/>
    <x v="0"/>
    <n v="2145"/>
  </r>
  <r>
    <x v="0"/>
    <x v="4"/>
    <x v="4"/>
    <x v="12"/>
    <x v="0"/>
    <x v="1"/>
    <n v="0"/>
  </r>
  <r>
    <x v="0"/>
    <x v="4"/>
    <x v="4"/>
    <x v="12"/>
    <x v="6"/>
    <x v="1"/>
    <n v="0"/>
  </r>
  <r>
    <x v="0"/>
    <x v="4"/>
    <x v="4"/>
    <x v="12"/>
    <x v="6"/>
    <x v="0"/>
    <n v="1700"/>
  </r>
  <r>
    <x v="0"/>
    <x v="4"/>
    <x v="4"/>
    <x v="12"/>
    <x v="8"/>
    <x v="1"/>
    <n v="0"/>
  </r>
  <r>
    <x v="0"/>
    <x v="4"/>
    <x v="4"/>
    <x v="12"/>
    <x v="8"/>
    <x v="0"/>
    <n v="700"/>
  </r>
  <r>
    <x v="0"/>
    <x v="4"/>
    <x v="4"/>
    <x v="12"/>
    <x v="19"/>
    <x v="1"/>
    <n v="0"/>
  </r>
  <r>
    <x v="0"/>
    <x v="4"/>
    <x v="4"/>
    <x v="12"/>
    <x v="19"/>
    <x v="0"/>
    <n v="3200"/>
  </r>
  <r>
    <x v="0"/>
    <x v="4"/>
    <x v="4"/>
    <x v="12"/>
    <x v="20"/>
    <x v="1"/>
    <n v="0"/>
  </r>
  <r>
    <x v="0"/>
    <x v="4"/>
    <x v="4"/>
    <x v="12"/>
    <x v="20"/>
    <x v="0"/>
    <n v="1200"/>
  </r>
  <r>
    <x v="0"/>
    <x v="4"/>
    <x v="4"/>
    <x v="12"/>
    <x v="17"/>
    <x v="1"/>
    <n v="0"/>
  </r>
  <r>
    <x v="0"/>
    <x v="4"/>
    <x v="4"/>
    <x v="13"/>
    <x v="19"/>
    <x v="1"/>
    <n v="0"/>
  </r>
  <r>
    <x v="0"/>
    <x v="4"/>
    <x v="4"/>
    <x v="13"/>
    <x v="19"/>
    <x v="0"/>
    <n v="1200"/>
  </r>
  <r>
    <x v="0"/>
    <x v="4"/>
    <x v="4"/>
    <x v="13"/>
    <x v="14"/>
    <x v="1"/>
    <n v="0"/>
  </r>
  <r>
    <x v="0"/>
    <x v="4"/>
    <x v="4"/>
    <x v="13"/>
    <x v="14"/>
    <x v="0"/>
    <n v="200"/>
  </r>
  <r>
    <x v="0"/>
    <x v="4"/>
    <x v="4"/>
    <x v="13"/>
    <x v="20"/>
    <x v="1"/>
    <n v="0"/>
  </r>
  <r>
    <x v="0"/>
    <x v="4"/>
    <x v="4"/>
    <x v="13"/>
    <x v="20"/>
    <x v="0"/>
    <n v="1000"/>
  </r>
  <r>
    <x v="0"/>
    <x v="4"/>
    <x v="4"/>
    <x v="13"/>
    <x v="21"/>
    <x v="1"/>
    <n v="0"/>
  </r>
  <r>
    <x v="0"/>
    <x v="4"/>
    <x v="4"/>
    <x v="13"/>
    <x v="21"/>
    <x v="0"/>
    <n v="600"/>
  </r>
  <r>
    <x v="0"/>
    <x v="4"/>
    <x v="4"/>
    <x v="14"/>
    <x v="11"/>
    <x v="1"/>
    <n v="0"/>
  </r>
  <r>
    <x v="0"/>
    <x v="4"/>
    <x v="4"/>
    <x v="14"/>
    <x v="18"/>
    <x v="1"/>
    <n v="0"/>
  </r>
  <r>
    <x v="0"/>
    <x v="4"/>
    <x v="4"/>
    <x v="14"/>
    <x v="18"/>
    <x v="0"/>
    <n v="1000"/>
  </r>
  <r>
    <x v="0"/>
    <x v="4"/>
    <x v="4"/>
    <x v="14"/>
    <x v="15"/>
    <x v="1"/>
    <n v="0"/>
  </r>
  <r>
    <x v="0"/>
    <x v="4"/>
    <x v="4"/>
    <x v="14"/>
    <x v="21"/>
    <x v="1"/>
    <n v="0"/>
  </r>
  <r>
    <x v="0"/>
    <x v="4"/>
    <x v="4"/>
    <x v="14"/>
    <x v="21"/>
    <x v="0"/>
    <n v="250"/>
  </r>
  <r>
    <x v="0"/>
    <x v="4"/>
    <x v="4"/>
    <x v="15"/>
    <x v="19"/>
    <x v="1"/>
    <n v="167.51969421662301"/>
  </r>
  <r>
    <x v="0"/>
    <x v="4"/>
    <x v="4"/>
    <x v="15"/>
    <x v="9"/>
    <x v="1"/>
    <n v="0"/>
  </r>
  <r>
    <x v="0"/>
    <x v="4"/>
    <x v="4"/>
    <x v="15"/>
    <x v="9"/>
    <x v="0"/>
    <n v="1200"/>
  </r>
  <r>
    <x v="0"/>
    <x v="4"/>
    <x v="4"/>
    <x v="15"/>
    <x v="18"/>
    <x v="1"/>
    <n v="0"/>
  </r>
  <r>
    <x v="0"/>
    <x v="4"/>
    <x v="4"/>
    <x v="15"/>
    <x v="18"/>
    <x v="0"/>
    <n v="1000"/>
  </r>
  <r>
    <x v="0"/>
    <x v="4"/>
    <x v="4"/>
    <x v="16"/>
    <x v="5"/>
    <x v="1"/>
    <n v="11093.8515175224"/>
  </r>
  <r>
    <x v="0"/>
    <x v="4"/>
    <x v="4"/>
    <x v="16"/>
    <x v="5"/>
    <x v="0"/>
    <n v="2000"/>
  </r>
  <r>
    <x v="0"/>
    <x v="4"/>
    <x v="4"/>
    <x v="16"/>
    <x v="16"/>
    <x v="1"/>
    <n v="1281.8539242673301"/>
  </r>
  <r>
    <x v="0"/>
    <x v="4"/>
    <x v="4"/>
    <x v="16"/>
    <x v="16"/>
    <x v="0"/>
    <n v="500"/>
  </r>
  <r>
    <x v="0"/>
    <x v="4"/>
    <x v="4"/>
    <x v="16"/>
    <x v="7"/>
    <x v="1"/>
    <n v="4943.2738027502301"/>
  </r>
  <r>
    <x v="0"/>
    <x v="4"/>
    <x v="4"/>
    <x v="17"/>
    <x v="11"/>
    <x v="1"/>
    <n v="0"/>
  </r>
  <r>
    <x v="0"/>
    <x v="4"/>
    <x v="4"/>
    <x v="17"/>
    <x v="11"/>
    <x v="0"/>
    <n v="1300"/>
  </r>
  <r>
    <x v="0"/>
    <x v="4"/>
    <x v="4"/>
    <x v="17"/>
    <x v="14"/>
    <x v="1"/>
    <n v="0"/>
  </r>
  <r>
    <x v="0"/>
    <x v="4"/>
    <x v="4"/>
    <x v="17"/>
    <x v="14"/>
    <x v="0"/>
    <n v="600"/>
  </r>
  <r>
    <x v="0"/>
    <x v="4"/>
    <x v="4"/>
    <x v="17"/>
    <x v="21"/>
    <x v="1"/>
    <n v="0"/>
  </r>
  <r>
    <x v="0"/>
    <x v="4"/>
    <x v="4"/>
    <x v="17"/>
    <x v="21"/>
    <x v="0"/>
    <n v="3300"/>
  </r>
  <r>
    <x v="0"/>
    <x v="4"/>
    <x v="4"/>
    <x v="18"/>
    <x v="18"/>
    <x v="1"/>
    <n v="0"/>
  </r>
  <r>
    <x v="0"/>
    <x v="4"/>
    <x v="4"/>
    <x v="18"/>
    <x v="18"/>
    <x v="0"/>
    <n v="1000"/>
  </r>
  <r>
    <x v="0"/>
    <x v="4"/>
    <x v="4"/>
    <x v="18"/>
    <x v="14"/>
    <x v="1"/>
    <n v="0"/>
  </r>
  <r>
    <x v="0"/>
    <x v="4"/>
    <x v="4"/>
    <x v="18"/>
    <x v="14"/>
    <x v="0"/>
    <n v="300"/>
  </r>
  <r>
    <x v="0"/>
    <x v="4"/>
    <x v="4"/>
    <x v="18"/>
    <x v="15"/>
    <x v="1"/>
    <n v="0"/>
  </r>
  <r>
    <x v="0"/>
    <x v="4"/>
    <x v="4"/>
    <x v="18"/>
    <x v="15"/>
    <x v="0"/>
    <n v="3300"/>
  </r>
  <r>
    <x v="0"/>
    <x v="4"/>
    <x v="4"/>
    <x v="18"/>
    <x v="10"/>
    <x v="1"/>
    <n v="0"/>
  </r>
  <r>
    <x v="0"/>
    <x v="4"/>
    <x v="4"/>
    <x v="18"/>
    <x v="10"/>
    <x v="0"/>
    <n v="7300"/>
  </r>
  <r>
    <x v="0"/>
    <x v="4"/>
    <x v="4"/>
    <x v="19"/>
    <x v="6"/>
    <x v="1"/>
    <n v="0"/>
  </r>
  <r>
    <x v="0"/>
    <x v="4"/>
    <x v="4"/>
    <x v="19"/>
    <x v="6"/>
    <x v="0"/>
    <n v="680"/>
  </r>
  <r>
    <x v="0"/>
    <x v="4"/>
    <x v="4"/>
    <x v="19"/>
    <x v="13"/>
    <x v="1"/>
    <n v="0"/>
  </r>
  <r>
    <x v="0"/>
    <x v="4"/>
    <x v="4"/>
    <x v="19"/>
    <x v="11"/>
    <x v="1"/>
    <n v="0"/>
  </r>
  <r>
    <x v="0"/>
    <x v="4"/>
    <x v="4"/>
    <x v="19"/>
    <x v="11"/>
    <x v="0"/>
    <n v="1350"/>
  </r>
  <r>
    <x v="0"/>
    <x v="4"/>
    <x v="4"/>
    <x v="19"/>
    <x v="12"/>
    <x v="1"/>
    <n v="0"/>
  </r>
  <r>
    <x v="0"/>
    <x v="4"/>
    <x v="4"/>
    <x v="19"/>
    <x v="19"/>
    <x v="1"/>
    <n v="0"/>
  </r>
  <r>
    <x v="0"/>
    <x v="4"/>
    <x v="4"/>
    <x v="19"/>
    <x v="19"/>
    <x v="0"/>
    <n v="2095"/>
  </r>
  <r>
    <x v="0"/>
    <x v="4"/>
    <x v="4"/>
    <x v="19"/>
    <x v="21"/>
    <x v="1"/>
    <n v="0"/>
  </r>
  <r>
    <x v="0"/>
    <x v="4"/>
    <x v="4"/>
    <x v="19"/>
    <x v="21"/>
    <x v="0"/>
    <n v="7300"/>
  </r>
  <r>
    <x v="0"/>
    <x v="4"/>
    <x v="4"/>
    <x v="19"/>
    <x v="7"/>
    <x v="1"/>
    <n v="1153.71637579666"/>
  </r>
  <r>
    <x v="0"/>
    <x v="4"/>
    <x v="4"/>
    <x v="19"/>
    <x v="7"/>
    <x v="0"/>
    <n v="6500"/>
  </r>
  <r>
    <x v="0"/>
    <x v="4"/>
    <x v="4"/>
    <x v="20"/>
    <x v="0"/>
    <x v="1"/>
    <n v="0"/>
  </r>
  <r>
    <x v="0"/>
    <x v="4"/>
    <x v="4"/>
    <x v="20"/>
    <x v="0"/>
    <x v="0"/>
    <n v="610"/>
  </r>
  <r>
    <x v="0"/>
    <x v="4"/>
    <x v="4"/>
    <x v="20"/>
    <x v="3"/>
    <x v="1"/>
    <n v="0"/>
  </r>
  <r>
    <x v="0"/>
    <x v="4"/>
    <x v="4"/>
    <x v="20"/>
    <x v="3"/>
    <x v="0"/>
    <n v="1300"/>
  </r>
  <r>
    <x v="0"/>
    <x v="4"/>
    <x v="4"/>
    <x v="20"/>
    <x v="16"/>
    <x v="1"/>
    <n v="0"/>
  </r>
  <r>
    <x v="0"/>
    <x v="4"/>
    <x v="4"/>
    <x v="20"/>
    <x v="16"/>
    <x v="0"/>
    <n v="700"/>
  </r>
  <r>
    <x v="0"/>
    <x v="4"/>
    <x v="4"/>
    <x v="20"/>
    <x v="4"/>
    <x v="1"/>
    <n v="4943.2738027502301"/>
  </r>
  <r>
    <x v="0"/>
    <x v="4"/>
    <x v="4"/>
    <x v="20"/>
    <x v="10"/>
    <x v="1"/>
    <n v="1153.71637579666"/>
  </r>
  <r>
    <x v="0"/>
    <x v="4"/>
    <x v="4"/>
    <x v="20"/>
    <x v="10"/>
    <x v="0"/>
    <n v="3200"/>
  </r>
  <r>
    <x v="0"/>
    <x v="4"/>
    <x v="4"/>
    <x v="21"/>
    <x v="6"/>
    <x v="1"/>
    <n v="42.128594142529302"/>
  </r>
  <r>
    <x v="0"/>
    <x v="4"/>
    <x v="4"/>
    <x v="21"/>
    <x v="8"/>
    <x v="1"/>
    <n v="0"/>
  </r>
  <r>
    <x v="0"/>
    <x v="4"/>
    <x v="4"/>
    <x v="21"/>
    <x v="8"/>
    <x v="0"/>
    <n v="1000"/>
  </r>
  <r>
    <x v="0"/>
    <x v="4"/>
    <x v="4"/>
    <x v="21"/>
    <x v="9"/>
    <x v="1"/>
    <n v="0"/>
  </r>
  <r>
    <x v="0"/>
    <x v="5"/>
    <x v="5"/>
    <x v="0"/>
    <x v="0"/>
    <x v="0"/>
    <n v="3010"/>
  </r>
  <r>
    <x v="0"/>
    <x v="5"/>
    <x v="5"/>
    <x v="0"/>
    <x v="1"/>
    <x v="0"/>
    <n v="3010"/>
  </r>
  <r>
    <x v="0"/>
    <x v="5"/>
    <x v="5"/>
    <x v="0"/>
    <x v="2"/>
    <x v="0"/>
    <n v="6020"/>
  </r>
  <r>
    <x v="0"/>
    <x v="5"/>
    <x v="5"/>
    <x v="0"/>
    <x v="3"/>
    <x v="0"/>
    <n v="600"/>
  </r>
  <r>
    <x v="0"/>
    <x v="5"/>
    <x v="5"/>
    <x v="0"/>
    <x v="4"/>
    <x v="0"/>
    <n v="2000"/>
  </r>
  <r>
    <x v="0"/>
    <x v="5"/>
    <x v="5"/>
    <x v="1"/>
    <x v="5"/>
    <x v="0"/>
    <n v="3010"/>
  </r>
  <r>
    <x v="0"/>
    <x v="5"/>
    <x v="5"/>
    <x v="1"/>
    <x v="2"/>
    <x v="0"/>
    <n v="8634"/>
  </r>
  <r>
    <x v="0"/>
    <x v="5"/>
    <x v="5"/>
    <x v="1"/>
    <x v="6"/>
    <x v="0"/>
    <n v="1500"/>
  </r>
  <r>
    <x v="0"/>
    <x v="5"/>
    <x v="5"/>
    <x v="1"/>
    <x v="7"/>
    <x v="0"/>
    <n v="600"/>
  </r>
  <r>
    <x v="0"/>
    <x v="5"/>
    <x v="5"/>
    <x v="2"/>
    <x v="5"/>
    <x v="0"/>
    <n v="3010"/>
  </r>
  <r>
    <x v="0"/>
    <x v="5"/>
    <x v="5"/>
    <x v="2"/>
    <x v="2"/>
    <x v="0"/>
    <n v="14416"/>
  </r>
  <r>
    <x v="0"/>
    <x v="5"/>
    <x v="5"/>
    <x v="3"/>
    <x v="5"/>
    <x v="0"/>
    <n v="6020"/>
  </r>
  <r>
    <x v="0"/>
    <x v="5"/>
    <x v="5"/>
    <x v="3"/>
    <x v="0"/>
    <x v="0"/>
    <n v="8634"/>
  </r>
  <r>
    <x v="0"/>
    <x v="5"/>
    <x v="5"/>
    <x v="3"/>
    <x v="1"/>
    <x v="0"/>
    <n v="14416"/>
  </r>
  <r>
    <x v="0"/>
    <x v="5"/>
    <x v="5"/>
    <x v="3"/>
    <x v="8"/>
    <x v="0"/>
    <n v="5400"/>
  </r>
  <r>
    <x v="0"/>
    <x v="5"/>
    <x v="5"/>
    <x v="4"/>
    <x v="0"/>
    <x v="0"/>
    <n v="1780"/>
  </r>
  <r>
    <x v="0"/>
    <x v="5"/>
    <x v="5"/>
    <x v="4"/>
    <x v="3"/>
    <x v="0"/>
    <n v="600"/>
  </r>
  <r>
    <x v="0"/>
    <x v="5"/>
    <x v="5"/>
    <x v="4"/>
    <x v="9"/>
    <x v="0"/>
    <n v="1700"/>
  </r>
  <r>
    <x v="0"/>
    <x v="5"/>
    <x v="5"/>
    <x v="4"/>
    <x v="10"/>
    <x v="0"/>
    <n v="740"/>
  </r>
  <r>
    <x v="0"/>
    <x v="5"/>
    <x v="5"/>
    <x v="5"/>
    <x v="5"/>
    <x v="0"/>
    <n v="585"/>
  </r>
  <r>
    <x v="0"/>
    <x v="5"/>
    <x v="5"/>
    <x v="5"/>
    <x v="6"/>
    <x v="0"/>
    <n v="600"/>
  </r>
  <r>
    <x v="0"/>
    <x v="5"/>
    <x v="5"/>
    <x v="5"/>
    <x v="7"/>
    <x v="0"/>
    <n v="1700"/>
  </r>
  <r>
    <x v="0"/>
    <x v="5"/>
    <x v="5"/>
    <x v="6"/>
    <x v="11"/>
    <x v="0"/>
    <n v="1000"/>
  </r>
  <r>
    <x v="0"/>
    <x v="5"/>
    <x v="5"/>
    <x v="6"/>
    <x v="12"/>
    <x v="0"/>
    <n v="800"/>
  </r>
  <r>
    <x v="0"/>
    <x v="5"/>
    <x v="5"/>
    <x v="7"/>
    <x v="13"/>
    <x v="0"/>
    <n v="1000"/>
  </r>
  <r>
    <x v="0"/>
    <x v="5"/>
    <x v="5"/>
    <x v="7"/>
    <x v="14"/>
    <x v="0"/>
    <n v="100"/>
  </r>
  <r>
    <x v="0"/>
    <x v="5"/>
    <x v="5"/>
    <x v="7"/>
    <x v="15"/>
    <x v="0"/>
    <n v="1300"/>
  </r>
  <r>
    <x v="0"/>
    <x v="5"/>
    <x v="5"/>
    <x v="7"/>
    <x v="10"/>
    <x v="0"/>
    <n v="1350"/>
  </r>
  <r>
    <x v="0"/>
    <x v="5"/>
    <x v="5"/>
    <x v="8"/>
    <x v="12"/>
    <x v="0"/>
    <n v="700"/>
  </r>
  <r>
    <x v="0"/>
    <x v="5"/>
    <x v="5"/>
    <x v="8"/>
    <x v="4"/>
    <x v="0"/>
    <n v="500"/>
  </r>
  <r>
    <x v="0"/>
    <x v="5"/>
    <x v="5"/>
    <x v="8"/>
    <x v="7"/>
    <x v="0"/>
    <n v="700"/>
  </r>
  <r>
    <x v="0"/>
    <x v="5"/>
    <x v="5"/>
    <x v="9"/>
    <x v="13"/>
    <x v="0"/>
    <n v="800"/>
  </r>
  <r>
    <x v="0"/>
    <x v="5"/>
    <x v="5"/>
    <x v="9"/>
    <x v="16"/>
    <x v="0"/>
    <n v="1200"/>
  </r>
  <r>
    <x v="0"/>
    <x v="5"/>
    <x v="5"/>
    <x v="10"/>
    <x v="2"/>
    <x v="0"/>
    <n v="4600"/>
  </r>
  <r>
    <x v="0"/>
    <x v="5"/>
    <x v="5"/>
    <x v="10"/>
    <x v="9"/>
    <x v="0"/>
    <n v="700"/>
  </r>
  <r>
    <x v="0"/>
    <x v="5"/>
    <x v="5"/>
    <x v="10"/>
    <x v="17"/>
    <x v="0"/>
    <n v="1000"/>
  </r>
  <r>
    <x v="0"/>
    <x v="5"/>
    <x v="5"/>
    <x v="11"/>
    <x v="9"/>
    <x v="0"/>
    <n v="2500"/>
  </r>
  <r>
    <x v="0"/>
    <x v="5"/>
    <x v="5"/>
    <x v="11"/>
    <x v="18"/>
    <x v="0"/>
    <n v="1150"/>
  </r>
  <r>
    <x v="0"/>
    <x v="5"/>
    <x v="5"/>
    <x v="11"/>
    <x v="10"/>
    <x v="0"/>
    <n v="2145"/>
  </r>
  <r>
    <x v="0"/>
    <x v="5"/>
    <x v="5"/>
    <x v="12"/>
    <x v="6"/>
    <x v="0"/>
    <n v="1700"/>
  </r>
  <r>
    <x v="0"/>
    <x v="5"/>
    <x v="5"/>
    <x v="12"/>
    <x v="8"/>
    <x v="0"/>
    <n v="700"/>
  </r>
  <r>
    <x v="0"/>
    <x v="5"/>
    <x v="5"/>
    <x v="12"/>
    <x v="19"/>
    <x v="0"/>
    <n v="3200"/>
  </r>
  <r>
    <x v="0"/>
    <x v="5"/>
    <x v="5"/>
    <x v="12"/>
    <x v="20"/>
    <x v="0"/>
    <n v="1200"/>
  </r>
  <r>
    <x v="0"/>
    <x v="5"/>
    <x v="5"/>
    <x v="13"/>
    <x v="19"/>
    <x v="0"/>
    <n v="1200"/>
  </r>
  <r>
    <x v="0"/>
    <x v="5"/>
    <x v="5"/>
    <x v="13"/>
    <x v="14"/>
    <x v="0"/>
    <n v="200"/>
  </r>
  <r>
    <x v="0"/>
    <x v="5"/>
    <x v="5"/>
    <x v="13"/>
    <x v="20"/>
    <x v="0"/>
    <n v="1000"/>
  </r>
  <r>
    <x v="0"/>
    <x v="5"/>
    <x v="5"/>
    <x v="13"/>
    <x v="21"/>
    <x v="0"/>
    <n v="600"/>
  </r>
  <r>
    <x v="0"/>
    <x v="5"/>
    <x v="5"/>
    <x v="14"/>
    <x v="18"/>
    <x v="0"/>
    <n v="1000"/>
  </r>
  <r>
    <x v="0"/>
    <x v="5"/>
    <x v="5"/>
    <x v="14"/>
    <x v="21"/>
    <x v="0"/>
    <n v="250"/>
  </r>
  <r>
    <x v="0"/>
    <x v="5"/>
    <x v="5"/>
    <x v="15"/>
    <x v="9"/>
    <x v="0"/>
    <n v="1200"/>
  </r>
  <r>
    <x v="0"/>
    <x v="5"/>
    <x v="5"/>
    <x v="15"/>
    <x v="18"/>
    <x v="0"/>
    <n v="1000"/>
  </r>
  <r>
    <x v="0"/>
    <x v="5"/>
    <x v="5"/>
    <x v="16"/>
    <x v="5"/>
    <x v="0"/>
    <n v="2000"/>
  </r>
  <r>
    <x v="0"/>
    <x v="5"/>
    <x v="5"/>
    <x v="16"/>
    <x v="16"/>
    <x v="0"/>
    <n v="500"/>
  </r>
  <r>
    <x v="0"/>
    <x v="5"/>
    <x v="5"/>
    <x v="17"/>
    <x v="11"/>
    <x v="0"/>
    <n v="1300"/>
  </r>
  <r>
    <x v="0"/>
    <x v="5"/>
    <x v="5"/>
    <x v="17"/>
    <x v="14"/>
    <x v="0"/>
    <n v="600"/>
  </r>
  <r>
    <x v="0"/>
    <x v="5"/>
    <x v="5"/>
    <x v="17"/>
    <x v="21"/>
    <x v="0"/>
    <n v="3300"/>
  </r>
  <r>
    <x v="0"/>
    <x v="5"/>
    <x v="5"/>
    <x v="18"/>
    <x v="18"/>
    <x v="0"/>
    <n v="1000"/>
  </r>
  <r>
    <x v="0"/>
    <x v="5"/>
    <x v="5"/>
    <x v="18"/>
    <x v="14"/>
    <x v="0"/>
    <n v="300"/>
  </r>
  <r>
    <x v="0"/>
    <x v="5"/>
    <x v="5"/>
    <x v="18"/>
    <x v="15"/>
    <x v="0"/>
    <n v="3300"/>
  </r>
  <r>
    <x v="0"/>
    <x v="5"/>
    <x v="5"/>
    <x v="18"/>
    <x v="10"/>
    <x v="0"/>
    <n v="7300"/>
  </r>
  <r>
    <x v="0"/>
    <x v="5"/>
    <x v="5"/>
    <x v="19"/>
    <x v="6"/>
    <x v="0"/>
    <n v="680"/>
  </r>
  <r>
    <x v="0"/>
    <x v="5"/>
    <x v="5"/>
    <x v="19"/>
    <x v="11"/>
    <x v="0"/>
    <n v="1350"/>
  </r>
  <r>
    <x v="0"/>
    <x v="5"/>
    <x v="5"/>
    <x v="19"/>
    <x v="19"/>
    <x v="0"/>
    <n v="2095"/>
  </r>
  <r>
    <x v="0"/>
    <x v="5"/>
    <x v="5"/>
    <x v="19"/>
    <x v="21"/>
    <x v="0"/>
    <n v="7300"/>
  </r>
  <r>
    <x v="0"/>
    <x v="5"/>
    <x v="5"/>
    <x v="19"/>
    <x v="7"/>
    <x v="0"/>
    <n v="6500"/>
  </r>
  <r>
    <x v="0"/>
    <x v="5"/>
    <x v="5"/>
    <x v="20"/>
    <x v="0"/>
    <x v="0"/>
    <n v="610"/>
  </r>
  <r>
    <x v="0"/>
    <x v="5"/>
    <x v="5"/>
    <x v="20"/>
    <x v="3"/>
    <x v="0"/>
    <n v="1300"/>
  </r>
  <r>
    <x v="0"/>
    <x v="5"/>
    <x v="5"/>
    <x v="20"/>
    <x v="16"/>
    <x v="0"/>
    <n v="700"/>
  </r>
  <r>
    <x v="0"/>
    <x v="5"/>
    <x v="5"/>
    <x v="20"/>
    <x v="10"/>
    <x v="0"/>
    <n v="3200"/>
  </r>
  <r>
    <x v="0"/>
    <x v="5"/>
    <x v="5"/>
    <x v="21"/>
    <x v="8"/>
    <x v="0"/>
    <n v="1000"/>
  </r>
  <r>
    <x v="0"/>
    <x v="6"/>
    <x v="6"/>
    <x v="0"/>
    <x v="0"/>
    <x v="0"/>
    <n v="3010"/>
  </r>
  <r>
    <x v="0"/>
    <x v="6"/>
    <x v="6"/>
    <x v="0"/>
    <x v="1"/>
    <x v="0"/>
    <n v="3010"/>
  </r>
  <r>
    <x v="0"/>
    <x v="6"/>
    <x v="6"/>
    <x v="0"/>
    <x v="2"/>
    <x v="0"/>
    <n v="6020"/>
  </r>
  <r>
    <x v="0"/>
    <x v="6"/>
    <x v="6"/>
    <x v="0"/>
    <x v="3"/>
    <x v="0"/>
    <n v="600"/>
  </r>
  <r>
    <x v="0"/>
    <x v="6"/>
    <x v="6"/>
    <x v="0"/>
    <x v="4"/>
    <x v="0"/>
    <n v="2000"/>
  </r>
  <r>
    <x v="0"/>
    <x v="6"/>
    <x v="6"/>
    <x v="1"/>
    <x v="5"/>
    <x v="0"/>
    <n v="3010"/>
  </r>
  <r>
    <x v="0"/>
    <x v="6"/>
    <x v="6"/>
    <x v="1"/>
    <x v="2"/>
    <x v="0"/>
    <n v="8634"/>
  </r>
  <r>
    <x v="0"/>
    <x v="6"/>
    <x v="6"/>
    <x v="1"/>
    <x v="6"/>
    <x v="0"/>
    <n v="1500"/>
  </r>
  <r>
    <x v="0"/>
    <x v="6"/>
    <x v="6"/>
    <x v="1"/>
    <x v="7"/>
    <x v="0"/>
    <n v="600"/>
  </r>
  <r>
    <x v="0"/>
    <x v="6"/>
    <x v="6"/>
    <x v="2"/>
    <x v="5"/>
    <x v="0"/>
    <n v="3010"/>
  </r>
  <r>
    <x v="0"/>
    <x v="6"/>
    <x v="6"/>
    <x v="2"/>
    <x v="2"/>
    <x v="0"/>
    <n v="14416"/>
  </r>
  <r>
    <x v="0"/>
    <x v="6"/>
    <x v="6"/>
    <x v="3"/>
    <x v="5"/>
    <x v="0"/>
    <n v="6020"/>
  </r>
  <r>
    <x v="0"/>
    <x v="6"/>
    <x v="6"/>
    <x v="3"/>
    <x v="0"/>
    <x v="0"/>
    <n v="8634"/>
  </r>
  <r>
    <x v="0"/>
    <x v="6"/>
    <x v="6"/>
    <x v="3"/>
    <x v="1"/>
    <x v="0"/>
    <n v="14416"/>
  </r>
  <r>
    <x v="0"/>
    <x v="6"/>
    <x v="6"/>
    <x v="3"/>
    <x v="8"/>
    <x v="0"/>
    <n v="5900"/>
  </r>
  <r>
    <x v="0"/>
    <x v="6"/>
    <x v="6"/>
    <x v="4"/>
    <x v="0"/>
    <x v="0"/>
    <n v="1780"/>
  </r>
  <r>
    <x v="0"/>
    <x v="6"/>
    <x v="6"/>
    <x v="4"/>
    <x v="3"/>
    <x v="0"/>
    <n v="600"/>
  </r>
  <r>
    <x v="0"/>
    <x v="6"/>
    <x v="6"/>
    <x v="4"/>
    <x v="9"/>
    <x v="0"/>
    <n v="1700"/>
  </r>
  <r>
    <x v="0"/>
    <x v="6"/>
    <x v="6"/>
    <x v="4"/>
    <x v="10"/>
    <x v="0"/>
    <n v="740"/>
  </r>
  <r>
    <x v="0"/>
    <x v="6"/>
    <x v="6"/>
    <x v="5"/>
    <x v="5"/>
    <x v="0"/>
    <n v="585"/>
  </r>
  <r>
    <x v="0"/>
    <x v="6"/>
    <x v="6"/>
    <x v="5"/>
    <x v="6"/>
    <x v="0"/>
    <n v="600"/>
  </r>
  <r>
    <x v="0"/>
    <x v="6"/>
    <x v="6"/>
    <x v="5"/>
    <x v="7"/>
    <x v="0"/>
    <n v="1700"/>
  </r>
  <r>
    <x v="0"/>
    <x v="6"/>
    <x v="6"/>
    <x v="6"/>
    <x v="11"/>
    <x v="0"/>
    <n v="1000"/>
  </r>
  <r>
    <x v="0"/>
    <x v="6"/>
    <x v="6"/>
    <x v="6"/>
    <x v="12"/>
    <x v="0"/>
    <n v="800"/>
  </r>
  <r>
    <x v="0"/>
    <x v="6"/>
    <x v="6"/>
    <x v="7"/>
    <x v="13"/>
    <x v="0"/>
    <n v="1000"/>
  </r>
  <r>
    <x v="0"/>
    <x v="6"/>
    <x v="6"/>
    <x v="7"/>
    <x v="14"/>
    <x v="0"/>
    <n v="100"/>
  </r>
  <r>
    <x v="0"/>
    <x v="6"/>
    <x v="6"/>
    <x v="7"/>
    <x v="15"/>
    <x v="0"/>
    <n v="1300"/>
  </r>
  <r>
    <x v="0"/>
    <x v="6"/>
    <x v="6"/>
    <x v="7"/>
    <x v="10"/>
    <x v="0"/>
    <n v="1350"/>
  </r>
  <r>
    <x v="0"/>
    <x v="6"/>
    <x v="6"/>
    <x v="8"/>
    <x v="12"/>
    <x v="0"/>
    <n v="700"/>
  </r>
  <r>
    <x v="0"/>
    <x v="6"/>
    <x v="6"/>
    <x v="8"/>
    <x v="4"/>
    <x v="0"/>
    <n v="500"/>
  </r>
  <r>
    <x v="0"/>
    <x v="6"/>
    <x v="6"/>
    <x v="8"/>
    <x v="7"/>
    <x v="0"/>
    <n v="700"/>
  </r>
  <r>
    <x v="0"/>
    <x v="6"/>
    <x v="6"/>
    <x v="9"/>
    <x v="13"/>
    <x v="0"/>
    <n v="800"/>
  </r>
  <r>
    <x v="0"/>
    <x v="6"/>
    <x v="6"/>
    <x v="9"/>
    <x v="16"/>
    <x v="0"/>
    <n v="1200"/>
  </r>
  <r>
    <x v="0"/>
    <x v="6"/>
    <x v="6"/>
    <x v="10"/>
    <x v="2"/>
    <x v="0"/>
    <n v="5100"/>
  </r>
  <r>
    <x v="0"/>
    <x v="6"/>
    <x v="6"/>
    <x v="10"/>
    <x v="9"/>
    <x v="0"/>
    <n v="700"/>
  </r>
  <r>
    <x v="0"/>
    <x v="6"/>
    <x v="6"/>
    <x v="10"/>
    <x v="17"/>
    <x v="0"/>
    <n v="1000"/>
  </r>
  <r>
    <x v="0"/>
    <x v="6"/>
    <x v="6"/>
    <x v="11"/>
    <x v="9"/>
    <x v="0"/>
    <n v="2500"/>
  </r>
  <r>
    <x v="0"/>
    <x v="6"/>
    <x v="6"/>
    <x v="11"/>
    <x v="18"/>
    <x v="0"/>
    <n v="1150"/>
  </r>
  <r>
    <x v="0"/>
    <x v="6"/>
    <x v="6"/>
    <x v="11"/>
    <x v="10"/>
    <x v="0"/>
    <n v="2145"/>
  </r>
  <r>
    <x v="0"/>
    <x v="6"/>
    <x v="6"/>
    <x v="12"/>
    <x v="6"/>
    <x v="0"/>
    <n v="1700"/>
  </r>
  <r>
    <x v="0"/>
    <x v="6"/>
    <x v="6"/>
    <x v="12"/>
    <x v="8"/>
    <x v="0"/>
    <n v="700"/>
  </r>
  <r>
    <x v="0"/>
    <x v="6"/>
    <x v="6"/>
    <x v="12"/>
    <x v="19"/>
    <x v="0"/>
    <n v="3200"/>
  </r>
  <r>
    <x v="0"/>
    <x v="6"/>
    <x v="6"/>
    <x v="12"/>
    <x v="20"/>
    <x v="0"/>
    <n v="1200"/>
  </r>
  <r>
    <x v="0"/>
    <x v="6"/>
    <x v="6"/>
    <x v="13"/>
    <x v="19"/>
    <x v="0"/>
    <n v="1200"/>
  </r>
  <r>
    <x v="0"/>
    <x v="6"/>
    <x v="6"/>
    <x v="13"/>
    <x v="14"/>
    <x v="0"/>
    <n v="200"/>
  </r>
  <r>
    <x v="0"/>
    <x v="6"/>
    <x v="6"/>
    <x v="13"/>
    <x v="20"/>
    <x v="0"/>
    <n v="1000"/>
  </r>
  <r>
    <x v="0"/>
    <x v="6"/>
    <x v="6"/>
    <x v="13"/>
    <x v="21"/>
    <x v="0"/>
    <n v="600"/>
  </r>
  <r>
    <x v="0"/>
    <x v="6"/>
    <x v="6"/>
    <x v="14"/>
    <x v="18"/>
    <x v="0"/>
    <n v="1000"/>
  </r>
  <r>
    <x v="0"/>
    <x v="6"/>
    <x v="6"/>
    <x v="14"/>
    <x v="21"/>
    <x v="0"/>
    <n v="250"/>
  </r>
  <r>
    <x v="0"/>
    <x v="6"/>
    <x v="6"/>
    <x v="15"/>
    <x v="9"/>
    <x v="0"/>
    <n v="1200"/>
  </r>
  <r>
    <x v="0"/>
    <x v="6"/>
    <x v="6"/>
    <x v="15"/>
    <x v="18"/>
    <x v="0"/>
    <n v="1000"/>
  </r>
  <r>
    <x v="0"/>
    <x v="6"/>
    <x v="6"/>
    <x v="16"/>
    <x v="5"/>
    <x v="0"/>
    <n v="2000"/>
  </r>
  <r>
    <x v="0"/>
    <x v="6"/>
    <x v="6"/>
    <x v="16"/>
    <x v="16"/>
    <x v="0"/>
    <n v="500"/>
  </r>
  <r>
    <x v="0"/>
    <x v="6"/>
    <x v="6"/>
    <x v="17"/>
    <x v="11"/>
    <x v="0"/>
    <n v="1300"/>
  </r>
  <r>
    <x v="0"/>
    <x v="6"/>
    <x v="6"/>
    <x v="17"/>
    <x v="14"/>
    <x v="0"/>
    <n v="600"/>
  </r>
  <r>
    <x v="0"/>
    <x v="6"/>
    <x v="6"/>
    <x v="17"/>
    <x v="21"/>
    <x v="0"/>
    <n v="3300"/>
  </r>
  <r>
    <x v="0"/>
    <x v="6"/>
    <x v="6"/>
    <x v="18"/>
    <x v="18"/>
    <x v="0"/>
    <n v="1000"/>
  </r>
  <r>
    <x v="0"/>
    <x v="6"/>
    <x v="6"/>
    <x v="18"/>
    <x v="14"/>
    <x v="0"/>
    <n v="300"/>
  </r>
  <r>
    <x v="0"/>
    <x v="6"/>
    <x v="6"/>
    <x v="18"/>
    <x v="15"/>
    <x v="0"/>
    <n v="3300"/>
  </r>
  <r>
    <x v="0"/>
    <x v="6"/>
    <x v="6"/>
    <x v="18"/>
    <x v="10"/>
    <x v="0"/>
    <n v="7300"/>
  </r>
  <r>
    <x v="0"/>
    <x v="6"/>
    <x v="6"/>
    <x v="19"/>
    <x v="6"/>
    <x v="0"/>
    <n v="680"/>
  </r>
  <r>
    <x v="0"/>
    <x v="6"/>
    <x v="6"/>
    <x v="19"/>
    <x v="11"/>
    <x v="0"/>
    <n v="1350"/>
  </r>
  <r>
    <x v="0"/>
    <x v="6"/>
    <x v="6"/>
    <x v="19"/>
    <x v="19"/>
    <x v="0"/>
    <n v="2095"/>
  </r>
  <r>
    <x v="0"/>
    <x v="6"/>
    <x v="6"/>
    <x v="19"/>
    <x v="21"/>
    <x v="0"/>
    <n v="7300"/>
  </r>
  <r>
    <x v="0"/>
    <x v="6"/>
    <x v="6"/>
    <x v="19"/>
    <x v="7"/>
    <x v="0"/>
    <n v="6500"/>
  </r>
  <r>
    <x v="0"/>
    <x v="6"/>
    <x v="6"/>
    <x v="20"/>
    <x v="0"/>
    <x v="0"/>
    <n v="610"/>
  </r>
  <r>
    <x v="0"/>
    <x v="6"/>
    <x v="6"/>
    <x v="20"/>
    <x v="3"/>
    <x v="0"/>
    <n v="1300"/>
  </r>
  <r>
    <x v="0"/>
    <x v="6"/>
    <x v="6"/>
    <x v="20"/>
    <x v="16"/>
    <x v="0"/>
    <n v="700"/>
  </r>
  <r>
    <x v="0"/>
    <x v="6"/>
    <x v="6"/>
    <x v="20"/>
    <x v="10"/>
    <x v="0"/>
    <n v="3200"/>
  </r>
  <r>
    <x v="0"/>
    <x v="6"/>
    <x v="6"/>
    <x v="21"/>
    <x v="8"/>
    <x v="0"/>
    <n v="1000"/>
  </r>
  <r>
    <x v="0"/>
    <x v="7"/>
    <x v="7"/>
    <x v="0"/>
    <x v="0"/>
    <x v="0"/>
    <n v="3010"/>
  </r>
  <r>
    <x v="0"/>
    <x v="7"/>
    <x v="7"/>
    <x v="0"/>
    <x v="1"/>
    <x v="0"/>
    <n v="3010"/>
  </r>
  <r>
    <x v="0"/>
    <x v="7"/>
    <x v="7"/>
    <x v="0"/>
    <x v="2"/>
    <x v="0"/>
    <n v="6020"/>
  </r>
  <r>
    <x v="0"/>
    <x v="7"/>
    <x v="7"/>
    <x v="0"/>
    <x v="3"/>
    <x v="0"/>
    <n v="600"/>
  </r>
  <r>
    <x v="0"/>
    <x v="7"/>
    <x v="7"/>
    <x v="0"/>
    <x v="4"/>
    <x v="0"/>
    <n v="2000"/>
  </r>
  <r>
    <x v="0"/>
    <x v="7"/>
    <x v="7"/>
    <x v="1"/>
    <x v="5"/>
    <x v="0"/>
    <n v="3010"/>
  </r>
  <r>
    <x v="0"/>
    <x v="7"/>
    <x v="7"/>
    <x v="1"/>
    <x v="2"/>
    <x v="0"/>
    <n v="8634"/>
  </r>
  <r>
    <x v="0"/>
    <x v="7"/>
    <x v="7"/>
    <x v="1"/>
    <x v="6"/>
    <x v="0"/>
    <n v="1500"/>
  </r>
  <r>
    <x v="0"/>
    <x v="7"/>
    <x v="7"/>
    <x v="1"/>
    <x v="9"/>
    <x v="0"/>
    <n v="1400"/>
  </r>
  <r>
    <x v="0"/>
    <x v="7"/>
    <x v="7"/>
    <x v="1"/>
    <x v="7"/>
    <x v="0"/>
    <n v="600"/>
  </r>
  <r>
    <x v="0"/>
    <x v="7"/>
    <x v="7"/>
    <x v="2"/>
    <x v="5"/>
    <x v="0"/>
    <n v="3010"/>
  </r>
  <r>
    <x v="0"/>
    <x v="7"/>
    <x v="7"/>
    <x v="2"/>
    <x v="2"/>
    <x v="0"/>
    <n v="14416"/>
  </r>
  <r>
    <x v="0"/>
    <x v="7"/>
    <x v="7"/>
    <x v="3"/>
    <x v="5"/>
    <x v="0"/>
    <n v="6020"/>
  </r>
  <r>
    <x v="0"/>
    <x v="7"/>
    <x v="7"/>
    <x v="3"/>
    <x v="0"/>
    <x v="0"/>
    <n v="8634"/>
  </r>
  <r>
    <x v="0"/>
    <x v="7"/>
    <x v="7"/>
    <x v="3"/>
    <x v="1"/>
    <x v="0"/>
    <n v="14416"/>
  </r>
  <r>
    <x v="0"/>
    <x v="7"/>
    <x v="7"/>
    <x v="3"/>
    <x v="3"/>
    <x v="0"/>
    <n v="400"/>
  </r>
  <r>
    <x v="0"/>
    <x v="7"/>
    <x v="7"/>
    <x v="3"/>
    <x v="8"/>
    <x v="0"/>
    <n v="5900"/>
  </r>
  <r>
    <x v="0"/>
    <x v="7"/>
    <x v="7"/>
    <x v="4"/>
    <x v="0"/>
    <x v="0"/>
    <n v="1780"/>
  </r>
  <r>
    <x v="0"/>
    <x v="7"/>
    <x v="7"/>
    <x v="4"/>
    <x v="3"/>
    <x v="0"/>
    <n v="600"/>
  </r>
  <r>
    <x v="0"/>
    <x v="7"/>
    <x v="7"/>
    <x v="4"/>
    <x v="9"/>
    <x v="0"/>
    <n v="1700"/>
  </r>
  <r>
    <x v="0"/>
    <x v="7"/>
    <x v="7"/>
    <x v="4"/>
    <x v="10"/>
    <x v="0"/>
    <n v="740"/>
  </r>
  <r>
    <x v="0"/>
    <x v="7"/>
    <x v="7"/>
    <x v="5"/>
    <x v="5"/>
    <x v="0"/>
    <n v="585"/>
  </r>
  <r>
    <x v="0"/>
    <x v="7"/>
    <x v="7"/>
    <x v="5"/>
    <x v="2"/>
    <x v="0"/>
    <n v="400"/>
  </r>
  <r>
    <x v="0"/>
    <x v="7"/>
    <x v="7"/>
    <x v="5"/>
    <x v="6"/>
    <x v="0"/>
    <n v="600"/>
  </r>
  <r>
    <x v="0"/>
    <x v="7"/>
    <x v="7"/>
    <x v="5"/>
    <x v="7"/>
    <x v="0"/>
    <n v="1700"/>
  </r>
  <r>
    <x v="0"/>
    <x v="7"/>
    <x v="7"/>
    <x v="6"/>
    <x v="11"/>
    <x v="0"/>
    <n v="1000"/>
  </r>
  <r>
    <x v="0"/>
    <x v="7"/>
    <x v="7"/>
    <x v="6"/>
    <x v="12"/>
    <x v="0"/>
    <n v="800"/>
  </r>
  <r>
    <x v="0"/>
    <x v="7"/>
    <x v="7"/>
    <x v="7"/>
    <x v="13"/>
    <x v="0"/>
    <n v="1000"/>
  </r>
  <r>
    <x v="0"/>
    <x v="7"/>
    <x v="7"/>
    <x v="7"/>
    <x v="14"/>
    <x v="0"/>
    <n v="100"/>
  </r>
  <r>
    <x v="0"/>
    <x v="7"/>
    <x v="7"/>
    <x v="7"/>
    <x v="15"/>
    <x v="0"/>
    <n v="1300"/>
  </r>
  <r>
    <x v="0"/>
    <x v="7"/>
    <x v="7"/>
    <x v="7"/>
    <x v="10"/>
    <x v="0"/>
    <n v="1350"/>
  </r>
  <r>
    <x v="0"/>
    <x v="7"/>
    <x v="7"/>
    <x v="8"/>
    <x v="12"/>
    <x v="0"/>
    <n v="700"/>
  </r>
  <r>
    <x v="0"/>
    <x v="7"/>
    <x v="7"/>
    <x v="8"/>
    <x v="4"/>
    <x v="0"/>
    <n v="500"/>
  </r>
  <r>
    <x v="0"/>
    <x v="7"/>
    <x v="7"/>
    <x v="8"/>
    <x v="7"/>
    <x v="0"/>
    <n v="700"/>
  </r>
  <r>
    <x v="0"/>
    <x v="7"/>
    <x v="7"/>
    <x v="9"/>
    <x v="13"/>
    <x v="0"/>
    <n v="800"/>
  </r>
  <r>
    <x v="0"/>
    <x v="7"/>
    <x v="7"/>
    <x v="9"/>
    <x v="16"/>
    <x v="0"/>
    <n v="1200"/>
  </r>
  <r>
    <x v="0"/>
    <x v="7"/>
    <x v="7"/>
    <x v="10"/>
    <x v="2"/>
    <x v="0"/>
    <n v="5100"/>
  </r>
  <r>
    <x v="0"/>
    <x v="7"/>
    <x v="7"/>
    <x v="10"/>
    <x v="9"/>
    <x v="0"/>
    <n v="700"/>
  </r>
  <r>
    <x v="0"/>
    <x v="7"/>
    <x v="7"/>
    <x v="10"/>
    <x v="17"/>
    <x v="0"/>
    <n v="1000"/>
  </r>
  <r>
    <x v="0"/>
    <x v="7"/>
    <x v="7"/>
    <x v="11"/>
    <x v="9"/>
    <x v="0"/>
    <n v="2500"/>
  </r>
  <r>
    <x v="0"/>
    <x v="7"/>
    <x v="7"/>
    <x v="11"/>
    <x v="18"/>
    <x v="0"/>
    <n v="1150"/>
  </r>
  <r>
    <x v="0"/>
    <x v="7"/>
    <x v="7"/>
    <x v="11"/>
    <x v="10"/>
    <x v="0"/>
    <n v="2145"/>
  </r>
  <r>
    <x v="0"/>
    <x v="7"/>
    <x v="7"/>
    <x v="12"/>
    <x v="0"/>
    <x v="0"/>
    <n v="1400"/>
  </r>
  <r>
    <x v="0"/>
    <x v="7"/>
    <x v="7"/>
    <x v="12"/>
    <x v="6"/>
    <x v="0"/>
    <n v="1700"/>
  </r>
  <r>
    <x v="0"/>
    <x v="7"/>
    <x v="7"/>
    <x v="12"/>
    <x v="8"/>
    <x v="0"/>
    <n v="700"/>
  </r>
  <r>
    <x v="0"/>
    <x v="7"/>
    <x v="7"/>
    <x v="12"/>
    <x v="19"/>
    <x v="0"/>
    <n v="3200"/>
  </r>
  <r>
    <x v="0"/>
    <x v="7"/>
    <x v="7"/>
    <x v="12"/>
    <x v="20"/>
    <x v="0"/>
    <n v="1200"/>
  </r>
  <r>
    <x v="0"/>
    <x v="7"/>
    <x v="7"/>
    <x v="13"/>
    <x v="19"/>
    <x v="0"/>
    <n v="1200"/>
  </r>
  <r>
    <x v="0"/>
    <x v="7"/>
    <x v="7"/>
    <x v="13"/>
    <x v="14"/>
    <x v="0"/>
    <n v="200"/>
  </r>
  <r>
    <x v="0"/>
    <x v="7"/>
    <x v="7"/>
    <x v="13"/>
    <x v="20"/>
    <x v="0"/>
    <n v="1000"/>
  </r>
  <r>
    <x v="0"/>
    <x v="7"/>
    <x v="7"/>
    <x v="13"/>
    <x v="21"/>
    <x v="0"/>
    <n v="600"/>
  </r>
  <r>
    <x v="0"/>
    <x v="7"/>
    <x v="7"/>
    <x v="14"/>
    <x v="18"/>
    <x v="0"/>
    <n v="1000"/>
  </r>
  <r>
    <x v="0"/>
    <x v="7"/>
    <x v="7"/>
    <x v="14"/>
    <x v="21"/>
    <x v="0"/>
    <n v="250"/>
  </r>
  <r>
    <x v="0"/>
    <x v="7"/>
    <x v="7"/>
    <x v="15"/>
    <x v="9"/>
    <x v="0"/>
    <n v="1200"/>
  </r>
  <r>
    <x v="0"/>
    <x v="7"/>
    <x v="7"/>
    <x v="15"/>
    <x v="18"/>
    <x v="0"/>
    <n v="1000"/>
  </r>
  <r>
    <x v="0"/>
    <x v="7"/>
    <x v="7"/>
    <x v="16"/>
    <x v="5"/>
    <x v="0"/>
    <n v="2000"/>
  </r>
  <r>
    <x v="0"/>
    <x v="7"/>
    <x v="7"/>
    <x v="16"/>
    <x v="16"/>
    <x v="0"/>
    <n v="500"/>
  </r>
  <r>
    <x v="0"/>
    <x v="7"/>
    <x v="7"/>
    <x v="17"/>
    <x v="11"/>
    <x v="0"/>
    <n v="1300"/>
  </r>
  <r>
    <x v="0"/>
    <x v="7"/>
    <x v="7"/>
    <x v="17"/>
    <x v="14"/>
    <x v="0"/>
    <n v="600"/>
  </r>
  <r>
    <x v="0"/>
    <x v="7"/>
    <x v="7"/>
    <x v="17"/>
    <x v="21"/>
    <x v="0"/>
    <n v="3300"/>
  </r>
  <r>
    <x v="0"/>
    <x v="7"/>
    <x v="7"/>
    <x v="18"/>
    <x v="18"/>
    <x v="0"/>
    <n v="1000"/>
  </r>
  <r>
    <x v="0"/>
    <x v="7"/>
    <x v="7"/>
    <x v="18"/>
    <x v="14"/>
    <x v="0"/>
    <n v="300"/>
  </r>
  <r>
    <x v="0"/>
    <x v="7"/>
    <x v="7"/>
    <x v="18"/>
    <x v="15"/>
    <x v="0"/>
    <n v="3300"/>
  </r>
  <r>
    <x v="0"/>
    <x v="7"/>
    <x v="7"/>
    <x v="18"/>
    <x v="10"/>
    <x v="0"/>
    <n v="7300"/>
  </r>
  <r>
    <x v="0"/>
    <x v="7"/>
    <x v="7"/>
    <x v="19"/>
    <x v="6"/>
    <x v="0"/>
    <n v="680"/>
  </r>
  <r>
    <x v="0"/>
    <x v="7"/>
    <x v="7"/>
    <x v="19"/>
    <x v="11"/>
    <x v="0"/>
    <n v="1350"/>
  </r>
  <r>
    <x v="0"/>
    <x v="7"/>
    <x v="7"/>
    <x v="19"/>
    <x v="19"/>
    <x v="0"/>
    <n v="2095"/>
  </r>
  <r>
    <x v="0"/>
    <x v="7"/>
    <x v="7"/>
    <x v="19"/>
    <x v="21"/>
    <x v="0"/>
    <n v="7300"/>
  </r>
  <r>
    <x v="0"/>
    <x v="7"/>
    <x v="7"/>
    <x v="19"/>
    <x v="7"/>
    <x v="0"/>
    <n v="6500"/>
  </r>
  <r>
    <x v="0"/>
    <x v="7"/>
    <x v="7"/>
    <x v="20"/>
    <x v="0"/>
    <x v="0"/>
    <n v="610"/>
  </r>
  <r>
    <x v="0"/>
    <x v="7"/>
    <x v="7"/>
    <x v="20"/>
    <x v="3"/>
    <x v="0"/>
    <n v="1300"/>
  </r>
  <r>
    <x v="0"/>
    <x v="7"/>
    <x v="7"/>
    <x v="20"/>
    <x v="16"/>
    <x v="0"/>
    <n v="700"/>
  </r>
  <r>
    <x v="0"/>
    <x v="7"/>
    <x v="7"/>
    <x v="20"/>
    <x v="10"/>
    <x v="0"/>
    <n v="3200"/>
  </r>
  <r>
    <x v="0"/>
    <x v="7"/>
    <x v="7"/>
    <x v="21"/>
    <x v="8"/>
    <x v="0"/>
    <n v="1000"/>
  </r>
  <r>
    <x v="0"/>
    <x v="8"/>
    <x v="8"/>
    <x v="0"/>
    <x v="0"/>
    <x v="0"/>
    <n v="3010"/>
  </r>
  <r>
    <x v="0"/>
    <x v="8"/>
    <x v="8"/>
    <x v="0"/>
    <x v="1"/>
    <x v="0"/>
    <n v="3010"/>
  </r>
  <r>
    <x v="0"/>
    <x v="8"/>
    <x v="8"/>
    <x v="0"/>
    <x v="2"/>
    <x v="0"/>
    <n v="6020"/>
  </r>
  <r>
    <x v="0"/>
    <x v="8"/>
    <x v="8"/>
    <x v="0"/>
    <x v="3"/>
    <x v="0"/>
    <n v="600"/>
  </r>
  <r>
    <x v="0"/>
    <x v="8"/>
    <x v="8"/>
    <x v="0"/>
    <x v="4"/>
    <x v="0"/>
    <n v="2000"/>
  </r>
  <r>
    <x v="0"/>
    <x v="8"/>
    <x v="8"/>
    <x v="1"/>
    <x v="5"/>
    <x v="0"/>
    <n v="3010"/>
  </r>
  <r>
    <x v="0"/>
    <x v="8"/>
    <x v="8"/>
    <x v="1"/>
    <x v="2"/>
    <x v="0"/>
    <n v="8634"/>
  </r>
  <r>
    <x v="0"/>
    <x v="8"/>
    <x v="8"/>
    <x v="1"/>
    <x v="6"/>
    <x v="0"/>
    <n v="2500"/>
  </r>
  <r>
    <x v="0"/>
    <x v="8"/>
    <x v="8"/>
    <x v="1"/>
    <x v="9"/>
    <x v="0"/>
    <n v="1400"/>
  </r>
  <r>
    <x v="0"/>
    <x v="8"/>
    <x v="8"/>
    <x v="1"/>
    <x v="7"/>
    <x v="0"/>
    <n v="600"/>
  </r>
  <r>
    <x v="0"/>
    <x v="8"/>
    <x v="8"/>
    <x v="2"/>
    <x v="5"/>
    <x v="0"/>
    <n v="3010"/>
  </r>
  <r>
    <x v="0"/>
    <x v="8"/>
    <x v="8"/>
    <x v="2"/>
    <x v="2"/>
    <x v="0"/>
    <n v="14416"/>
  </r>
  <r>
    <x v="0"/>
    <x v="8"/>
    <x v="8"/>
    <x v="3"/>
    <x v="5"/>
    <x v="0"/>
    <n v="6020"/>
  </r>
  <r>
    <x v="0"/>
    <x v="8"/>
    <x v="8"/>
    <x v="3"/>
    <x v="0"/>
    <x v="0"/>
    <n v="8634"/>
  </r>
  <r>
    <x v="0"/>
    <x v="8"/>
    <x v="8"/>
    <x v="3"/>
    <x v="1"/>
    <x v="0"/>
    <n v="14416"/>
  </r>
  <r>
    <x v="0"/>
    <x v="8"/>
    <x v="8"/>
    <x v="3"/>
    <x v="3"/>
    <x v="0"/>
    <n v="400"/>
  </r>
  <r>
    <x v="0"/>
    <x v="8"/>
    <x v="8"/>
    <x v="3"/>
    <x v="8"/>
    <x v="0"/>
    <n v="5900"/>
  </r>
  <r>
    <x v="0"/>
    <x v="8"/>
    <x v="8"/>
    <x v="4"/>
    <x v="0"/>
    <x v="0"/>
    <n v="2500"/>
  </r>
  <r>
    <x v="0"/>
    <x v="8"/>
    <x v="8"/>
    <x v="4"/>
    <x v="3"/>
    <x v="0"/>
    <n v="600"/>
  </r>
  <r>
    <x v="0"/>
    <x v="8"/>
    <x v="8"/>
    <x v="4"/>
    <x v="8"/>
    <x v="0"/>
    <n v="700"/>
  </r>
  <r>
    <x v="0"/>
    <x v="8"/>
    <x v="8"/>
    <x v="4"/>
    <x v="9"/>
    <x v="0"/>
    <n v="1700"/>
  </r>
  <r>
    <x v="0"/>
    <x v="8"/>
    <x v="8"/>
    <x v="4"/>
    <x v="10"/>
    <x v="0"/>
    <n v="740"/>
  </r>
  <r>
    <x v="0"/>
    <x v="8"/>
    <x v="8"/>
    <x v="5"/>
    <x v="5"/>
    <x v="0"/>
    <n v="585"/>
  </r>
  <r>
    <x v="0"/>
    <x v="8"/>
    <x v="8"/>
    <x v="5"/>
    <x v="2"/>
    <x v="0"/>
    <n v="400"/>
  </r>
  <r>
    <x v="0"/>
    <x v="8"/>
    <x v="8"/>
    <x v="5"/>
    <x v="6"/>
    <x v="0"/>
    <n v="600"/>
  </r>
  <r>
    <x v="0"/>
    <x v="8"/>
    <x v="8"/>
    <x v="5"/>
    <x v="7"/>
    <x v="0"/>
    <n v="1700"/>
  </r>
  <r>
    <x v="0"/>
    <x v="8"/>
    <x v="8"/>
    <x v="6"/>
    <x v="11"/>
    <x v="0"/>
    <n v="1000"/>
  </r>
  <r>
    <x v="0"/>
    <x v="8"/>
    <x v="8"/>
    <x v="6"/>
    <x v="12"/>
    <x v="0"/>
    <n v="800"/>
  </r>
  <r>
    <x v="0"/>
    <x v="8"/>
    <x v="8"/>
    <x v="7"/>
    <x v="13"/>
    <x v="0"/>
    <n v="1000"/>
  </r>
  <r>
    <x v="0"/>
    <x v="8"/>
    <x v="8"/>
    <x v="7"/>
    <x v="14"/>
    <x v="0"/>
    <n v="100"/>
  </r>
  <r>
    <x v="0"/>
    <x v="8"/>
    <x v="8"/>
    <x v="7"/>
    <x v="15"/>
    <x v="0"/>
    <n v="1300"/>
  </r>
  <r>
    <x v="0"/>
    <x v="8"/>
    <x v="8"/>
    <x v="7"/>
    <x v="10"/>
    <x v="0"/>
    <n v="1350"/>
  </r>
  <r>
    <x v="0"/>
    <x v="8"/>
    <x v="8"/>
    <x v="8"/>
    <x v="12"/>
    <x v="0"/>
    <n v="700"/>
  </r>
  <r>
    <x v="0"/>
    <x v="8"/>
    <x v="8"/>
    <x v="8"/>
    <x v="4"/>
    <x v="0"/>
    <n v="1000"/>
  </r>
  <r>
    <x v="0"/>
    <x v="8"/>
    <x v="8"/>
    <x v="8"/>
    <x v="7"/>
    <x v="0"/>
    <n v="700"/>
  </r>
  <r>
    <x v="0"/>
    <x v="8"/>
    <x v="8"/>
    <x v="9"/>
    <x v="13"/>
    <x v="0"/>
    <n v="800"/>
  </r>
  <r>
    <x v="0"/>
    <x v="8"/>
    <x v="8"/>
    <x v="9"/>
    <x v="16"/>
    <x v="0"/>
    <n v="1200"/>
  </r>
  <r>
    <x v="0"/>
    <x v="8"/>
    <x v="8"/>
    <x v="10"/>
    <x v="2"/>
    <x v="0"/>
    <n v="5100"/>
  </r>
  <r>
    <x v="0"/>
    <x v="8"/>
    <x v="8"/>
    <x v="10"/>
    <x v="6"/>
    <x v="0"/>
    <n v="700"/>
  </r>
  <r>
    <x v="0"/>
    <x v="8"/>
    <x v="8"/>
    <x v="10"/>
    <x v="9"/>
    <x v="0"/>
    <n v="700"/>
  </r>
  <r>
    <x v="0"/>
    <x v="8"/>
    <x v="8"/>
    <x v="10"/>
    <x v="17"/>
    <x v="0"/>
    <n v="1000"/>
  </r>
  <r>
    <x v="0"/>
    <x v="8"/>
    <x v="8"/>
    <x v="11"/>
    <x v="9"/>
    <x v="0"/>
    <n v="2500"/>
  </r>
  <r>
    <x v="0"/>
    <x v="8"/>
    <x v="8"/>
    <x v="11"/>
    <x v="18"/>
    <x v="0"/>
    <n v="1150"/>
  </r>
  <r>
    <x v="0"/>
    <x v="8"/>
    <x v="8"/>
    <x v="11"/>
    <x v="10"/>
    <x v="0"/>
    <n v="3345"/>
  </r>
  <r>
    <x v="0"/>
    <x v="8"/>
    <x v="8"/>
    <x v="12"/>
    <x v="0"/>
    <x v="0"/>
    <n v="1400"/>
  </r>
  <r>
    <x v="0"/>
    <x v="8"/>
    <x v="8"/>
    <x v="12"/>
    <x v="6"/>
    <x v="0"/>
    <n v="1700"/>
  </r>
  <r>
    <x v="0"/>
    <x v="8"/>
    <x v="8"/>
    <x v="12"/>
    <x v="8"/>
    <x v="0"/>
    <n v="700"/>
  </r>
  <r>
    <x v="0"/>
    <x v="8"/>
    <x v="8"/>
    <x v="12"/>
    <x v="19"/>
    <x v="0"/>
    <n v="3200"/>
  </r>
  <r>
    <x v="0"/>
    <x v="8"/>
    <x v="8"/>
    <x v="12"/>
    <x v="20"/>
    <x v="0"/>
    <n v="1200"/>
  </r>
  <r>
    <x v="0"/>
    <x v="8"/>
    <x v="8"/>
    <x v="13"/>
    <x v="19"/>
    <x v="0"/>
    <n v="1200"/>
  </r>
  <r>
    <x v="0"/>
    <x v="8"/>
    <x v="8"/>
    <x v="13"/>
    <x v="14"/>
    <x v="0"/>
    <n v="200"/>
  </r>
  <r>
    <x v="0"/>
    <x v="8"/>
    <x v="8"/>
    <x v="13"/>
    <x v="20"/>
    <x v="0"/>
    <n v="1000"/>
  </r>
  <r>
    <x v="0"/>
    <x v="8"/>
    <x v="8"/>
    <x v="13"/>
    <x v="21"/>
    <x v="0"/>
    <n v="600"/>
  </r>
  <r>
    <x v="0"/>
    <x v="8"/>
    <x v="8"/>
    <x v="14"/>
    <x v="18"/>
    <x v="0"/>
    <n v="1000"/>
  </r>
  <r>
    <x v="0"/>
    <x v="8"/>
    <x v="8"/>
    <x v="14"/>
    <x v="21"/>
    <x v="0"/>
    <n v="250"/>
  </r>
  <r>
    <x v="0"/>
    <x v="8"/>
    <x v="8"/>
    <x v="15"/>
    <x v="9"/>
    <x v="0"/>
    <n v="1200"/>
  </r>
  <r>
    <x v="0"/>
    <x v="8"/>
    <x v="8"/>
    <x v="15"/>
    <x v="18"/>
    <x v="0"/>
    <n v="1000"/>
  </r>
  <r>
    <x v="0"/>
    <x v="8"/>
    <x v="8"/>
    <x v="16"/>
    <x v="5"/>
    <x v="0"/>
    <n v="2000"/>
  </r>
  <r>
    <x v="0"/>
    <x v="8"/>
    <x v="8"/>
    <x v="16"/>
    <x v="16"/>
    <x v="0"/>
    <n v="1000"/>
  </r>
  <r>
    <x v="0"/>
    <x v="8"/>
    <x v="8"/>
    <x v="17"/>
    <x v="11"/>
    <x v="0"/>
    <n v="1300"/>
  </r>
  <r>
    <x v="0"/>
    <x v="8"/>
    <x v="8"/>
    <x v="17"/>
    <x v="14"/>
    <x v="0"/>
    <n v="600"/>
  </r>
  <r>
    <x v="0"/>
    <x v="8"/>
    <x v="8"/>
    <x v="17"/>
    <x v="21"/>
    <x v="0"/>
    <n v="3300"/>
  </r>
  <r>
    <x v="0"/>
    <x v="8"/>
    <x v="8"/>
    <x v="18"/>
    <x v="18"/>
    <x v="0"/>
    <n v="1000"/>
  </r>
  <r>
    <x v="0"/>
    <x v="8"/>
    <x v="8"/>
    <x v="18"/>
    <x v="14"/>
    <x v="0"/>
    <n v="300"/>
  </r>
  <r>
    <x v="0"/>
    <x v="8"/>
    <x v="8"/>
    <x v="18"/>
    <x v="15"/>
    <x v="0"/>
    <n v="3300"/>
  </r>
  <r>
    <x v="0"/>
    <x v="8"/>
    <x v="8"/>
    <x v="18"/>
    <x v="10"/>
    <x v="0"/>
    <n v="7300"/>
  </r>
  <r>
    <x v="0"/>
    <x v="8"/>
    <x v="8"/>
    <x v="19"/>
    <x v="6"/>
    <x v="0"/>
    <n v="680"/>
  </r>
  <r>
    <x v="0"/>
    <x v="8"/>
    <x v="8"/>
    <x v="19"/>
    <x v="11"/>
    <x v="0"/>
    <n v="1350"/>
  </r>
  <r>
    <x v="0"/>
    <x v="8"/>
    <x v="8"/>
    <x v="19"/>
    <x v="19"/>
    <x v="0"/>
    <n v="3295"/>
  </r>
  <r>
    <x v="0"/>
    <x v="8"/>
    <x v="8"/>
    <x v="19"/>
    <x v="21"/>
    <x v="0"/>
    <n v="7300"/>
  </r>
  <r>
    <x v="0"/>
    <x v="8"/>
    <x v="8"/>
    <x v="19"/>
    <x v="7"/>
    <x v="0"/>
    <n v="6500"/>
  </r>
  <r>
    <x v="0"/>
    <x v="8"/>
    <x v="8"/>
    <x v="20"/>
    <x v="0"/>
    <x v="0"/>
    <n v="610"/>
  </r>
  <r>
    <x v="0"/>
    <x v="8"/>
    <x v="8"/>
    <x v="20"/>
    <x v="3"/>
    <x v="0"/>
    <n v="1300"/>
  </r>
  <r>
    <x v="0"/>
    <x v="8"/>
    <x v="8"/>
    <x v="20"/>
    <x v="16"/>
    <x v="0"/>
    <n v="700"/>
  </r>
  <r>
    <x v="0"/>
    <x v="8"/>
    <x v="8"/>
    <x v="20"/>
    <x v="10"/>
    <x v="0"/>
    <n v="3200"/>
  </r>
  <r>
    <x v="0"/>
    <x v="8"/>
    <x v="8"/>
    <x v="21"/>
    <x v="8"/>
    <x v="0"/>
    <n v="1000"/>
  </r>
  <r>
    <x v="0"/>
    <x v="9"/>
    <x v="9"/>
    <x v="0"/>
    <x v="0"/>
    <x v="0"/>
    <n v="3010"/>
  </r>
  <r>
    <x v="0"/>
    <x v="9"/>
    <x v="9"/>
    <x v="0"/>
    <x v="1"/>
    <x v="0"/>
    <n v="3010"/>
  </r>
  <r>
    <x v="0"/>
    <x v="9"/>
    <x v="9"/>
    <x v="0"/>
    <x v="2"/>
    <x v="0"/>
    <n v="6020"/>
  </r>
  <r>
    <x v="0"/>
    <x v="9"/>
    <x v="9"/>
    <x v="0"/>
    <x v="3"/>
    <x v="0"/>
    <n v="600"/>
  </r>
  <r>
    <x v="0"/>
    <x v="9"/>
    <x v="9"/>
    <x v="0"/>
    <x v="4"/>
    <x v="0"/>
    <n v="2000"/>
  </r>
  <r>
    <x v="0"/>
    <x v="9"/>
    <x v="9"/>
    <x v="1"/>
    <x v="5"/>
    <x v="0"/>
    <n v="3010"/>
  </r>
  <r>
    <x v="0"/>
    <x v="9"/>
    <x v="9"/>
    <x v="1"/>
    <x v="2"/>
    <x v="0"/>
    <n v="8634"/>
  </r>
  <r>
    <x v="0"/>
    <x v="9"/>
    <x v="9"/>
    <x v="1"/>
    <x v="6"/>
    <x v="0"/>
    <n v="2500"/>
  </r>
  <r>
    <x v="0"/>
    <x v="9"/>
    <x v="9"/>
    <x v="1"/>
    <x v="9"/>
    <x v="0"/>
    <n v="1400"/>
  </r>
  <r>
    <x v="0"/>
    <x v="9"/>
    <x v="9"/>
    <x v="1"/>
    <x v="7"/>
    <x v="0"/>
    <n v="600"/>
  </r>
  <r>
    <x v="0"/>
    <x v="9"/>
    <x v="9"/>
    <x v="2"/>
    <x v="5"/>
    <x v="0"/>
    <n v="3010"/>
  </r>
  <r>
    <x v="0"/>
    <x v="9"/>
    <x v="9"/>
    <x v="2"/>
    <x v="2"/>
    <x v="0"/>
    <n v="14416"/>
  </r>
  <r>
    <x v="0"/>
    <x v="9"/>
    <x v="9"/>
    <x v="3"/>
    <x v="5"/>
    <x v="0"/>
    <n v="6020"/>
  </r>
  <r>
    <x v="0"/>
    <x v="9"/>
    <x v="9"/>
    <x v="3"/>
    <x v="0"/>
    <x v="0"/>
    <n v="8634"/>
  </r>
  <r>
    <x v="0"/>
    <x v="9"/>
    <x v="9"/>
    <x v="3"/>
    <x v="1"/>
    <x v="0"/>
    <n v="14416"/>
  </r>
  <r>
    <x v="0"/>
    <x v="9"/>
    <x v="9"/>
    <x v="3"/>
    <x v="3"/>
    <x v="0"/>
    <n v="400"/>
  </r>
  <r>
    <x v="0"/>
    <x v="9"/>
    <x v="9"/>
    <x v="3"/>
    <x v="8"/>
    <x v="0"/>
    <n v="5900"/>
  </r>
  <r>
    <x v="0"/>
    <x v="9"/>
    <x v="9"/>
    <x v="4"/>
    <x v="0"/>
    <x v="0"/>
    <n v="2500"/>
  </r>
  <r>
    <x v="0"/>
    <x v="9"/>
    <x v="9"/>
    <x v="4"/>
    <x v="3"/>
    <x v="0"/>
    <n v="600"/>
  </r>
  <r>
    <x v="0"/>
    <x v="9"/>
    <x v="9"/>
    <x v="4"/>
    <x v="8"/>
    <x v="0"/>
    <n v="700"/>
  </r>
  <r>
    <x v="0"/>
    <x v="9"/>
    <x v="9"/>
    <x v="4"/>
    <x v="9"/>
    <x v="0"/>
    <n v="1700"/>
  </r>
  <r>
    <x v="0"/>
    <x v="9"/>
    <x v="9"/>
    <x v="4"/>
    <x v="10"/>
    <x v="0"/>
    <n v="740"/>
  </r>
  <r>
    <x v="0"/>
    <x v="9"/>
    <x v="9"/>
    <x v="5"/>
    <x v="5"/>
    <x v="0"/>
    <n v="585"/>
  </r>
  <r>
    <x v="0"/>
    <x v="9"/>
    <x v="9"/>
    <x v="5"/>
    <x v="2"/>
    <x v="0"/>
    <n v="400"/>
  </r>
  <r>
    <x v="0"/>
    <x v="9"/>
    <x v="9"/>
    <x v="5"/>
    <x v="6"/>
    <x v="0"/>
    <n v="600"/>
  </r>
  <r>
    <x v="0"/>
    <x v="9"/>
    <x v="9"/>
    <x v="5"/>
    <x v="7"/>
    <x v="0"/>
    <n v="1700"/>
  </r>
  <r>
    <x v="0"/>
    <x v="9"/>
    <x v="9"/>
    <x v="6"/>
    <x v="11"/>
    <x v="0"/>
    <n v="1000"/>
  </r>
  <r>
    <x v="0"/>
    <x v="9"/>
    <x v="9"/>
    <x v="6"/>
    <x v="12"/>
    <x v="0"/>
    <n v="800"/>
  </r>
  <r>
    <x v="0"/>
    <x v="9"/>
    <x v="9"/>
    <x v="7"/>
    <x v="13"/>
    <x v="0"/>
    <n v="1000"/>
  </r>
  <r>
    <x v="0"/>
    <x v="9"/>
    <x v="9"/>
    <x v="7"/>
    <x v="14"/>
    <x v="0"/>
    <n v="100"/>
  </r>
  <r>
    <x v="0"/>
    <x v="9"/>
    <x v="9"/>
    <x v="7"/>
    <x v="15"/>
    <x v="0"/>
    <n v="1300"/>
  </r>
  <r>
    <x v="0"/>
    <x v="9"/>
    <x v="9"/>
    <x v="7"/>
    <x v="10"/>
    <x v="0"/>
    <n v="1350"/>
  </r>
  <r>
    <x v="0"/>
    <x v="9"/>
    <x v="9"/>
    <x v="8"/>
    <x v="12"/>
    <x v="0"/>
    <n v="700"/>
  </r>
  <r>
    <x v="0"/>
    <x v="9"/>
    <x v="9"/>
    <x v="8"/>
    <x v="4"/>
    <x v="0"/>
    <n v="1000"/>
  </r>
  <r>
    <x v="0"/>
    <x v="9"/>
    <x v="9"/>
    <x v="8"/>
    <x v="7"/>
    <x v="0"/>
    <n v="700"/>
  </r>
  <r>
    <x v="0"/>
    <x v="9"/>
    <x v="9"/>
    <x v="9"/>
    <x v="13"/>
    <x v="0"/>
    <n v="800"/>
  </r>
  <r>
    <x v="0"/>
    <x v="9"/>
    <x v="9"/>
    <x v="9"/>
    <x v="16"/>
    <x v="0"/>
    <n v="1200"/>
  </r>
  <r>
    <x v="0"/>
    <x v="9"/>
    <x v="9"/>
    <x v="10"/>
    <x v="2"/>
    <x v="0"/>
    <n v="5100"/>
  </r>
  <r>
    <x v="0"/>
    <x v="9"/>
    <x v="9"/>
    <x v="10"/>
    <x v="6"/>
    <x v="0"/>
    <n v="700"/>
  </r>
  <r>
    <x v="0"/>
    <x v="9"/>
    <x v="9"/>
    <x v="10"/>
    <x v="9"/>
    <x v="0"/>
    <n v="700"/>
  </r>
  <r>
    <x v="0"/>
    <x v="9"/>
    <x v="9"/>
    <x v="10"/>
    <x v="17"/>
    <x v="0"/>
    <n v="1000"/>
  </r>
  <r>
    <x v="0"/>
    <x v="9"/>
    <x v="9"/>
    <x v="11"/>
    <x v="9"/>
    <x v="0"/>
    <n v="2500"/>
  </r>
  <r>
    <x v="0"/>
    <x v="9"/>
    <x v="9"/>
    <x v="11"/>
    <x v="18"/>
    <x v="0"/>
    <n v="1150"/>
  </r>
  <r>
    <x v="0"/>
    <x v="9"/>
    <x v="9"/>
    <x v="11"/>
    <x v="10"/>
    <x v="0"/>
    <n v="3345"/>
  </r>
  <r>
    <x v="0"/>
    <x v="9"/>
    <x v="9"/>
    <x v="12"/>
    <x v="0"/>
    <x v="0"/>
    <n v="1400"/>
  </r>
  <r>
    <x v="0"/>
    <x v="9"/>
    <x v="9"/>
    <x v="12"/>
    <x v="6"/>
    <x v="0"/>
    <n v="1700"/>
  </r>
  <r>
    <x v="0"/>
    <x v="9"/>
    <x v="9"/>
    <x v="12"/>
    <x v="8"/>
    <x v="0"/>
    <n v="700"/>
  </r>
  <r>
    <x v="0"/>
    <x v="9"/>
    <x v="9"/>
    <x v="12"/>
    <x v="19"/>
    <x v="0"/>
    <n v="3200"/>
  </r>
  <r>
    <x v="0"/>
    <x v="9"/>
    <x v="9"/>
    <x v="12"/>
    <x v="20"/>
    <x v="0"/>
    <n v="1200"/>
  </r>
  <r>
    <x v="0"/>
    <x v="9"/>
    <x v="9"/>
    <x v="12"/>
    <x v="17"/>
    <x v="0"/>
    <n v="1400"/>
  </r>
  <r>
    <x v="0"/>
    <x v="9"/>
    <x v="9"/>
    <x v="13"/>
    <x v="19"/>
    <x v="0"/>
    <n v="1200"/>
  </r>
  <r>
    <x v="0"/>
    <x v="9"/>
    <x v="9"/>
    <x v="13"/>
    <x v="14"/>
    <x v="0"/>
    <n v="200"/>
  </r>
  <r>
    <x v="0"/>
    <x v="9"/>
    <x v="9"/>
    <x v="13"/>
    <x v="20"/>
    <x v="0"/>
    <n v="1000"/>
  </r>
  <r>
    <x v="0"/>
    <x v="9"/>
    <x v="9"/>
    <x v="13"/>
    <x v="21"/>
    <x v="0"/>
    <n v="600"/>
  </r>
  <r>
    <x v="0"/>
    <x v="9"/>
    <x v="9"/>
    <x v="14"/>
    <x v="18"/>
    <x v="0"/>
    <n v="1000"/>
  </r>
  <r>
    <x v="0"/>
    <x v="9"/>
    <x v="9"/>
    <x v="14"/>
    <x v="21"/>
    <x v="0"/>
    <n v="250"/>
  </r>
  <r>
    <x v="0"/>
    <x v="9"/>
    <x v="9"/>
    <x v="15"/>
    <x v="9"/>
    <x v="0"/>
    <n v="1200"/>
  </r>
  <r>
    <x v="0"/>
    <x v="9"/>
    <x v="9"/>
    <x v="15"/>
    <x v="18"/>
    <x v="0"/>
    <n v="1000"/>
  </r>
  <r>
    <x v="0"/>
    <x v="9"/>
    <x v="9"/>
    <x v="16"/>
    <x v="5"/>
    <x v="0"/>
    <n v="2000"/>
  </r>
  <r>
    <x v="0"/>
    <x v="9"/>
    <x v="9"/>
    <x v="16"/>
    <x v="16"/>
    <x v="0"/>
    <n v="1000"/>
  </r>
  <r>
    <x v="0"/>
    <x v="9"/>
    <x v="9"/>
    <x v="17"/>
    <x v="11"/>
    <x v="0"/>
    <n v="1300"/>
  </r>
  <r>
    <x v="0"/>
    <x v="9"/>
    <x v="9"/>
    <x v="17"/>
    <x v="14"/>
    <x v="0"/>
    <n v="600"/>
  </r>
  <r>
    <x v="0"/>
    <x v="9"/>
    <x v="9"/>
    <x v="17"/>
    <x v="21"/>
    <x v="0"/>
    <n v="3300"/>
  </r>
  <r>
    <x v="0"/>
    <x v="9"/>
    <x v="9"/>
    <x v="18"/>
    <x v="18"/>
    <x v="0"/>
    <n v="1000"/>
  </r>
  <r>
    <x v="0"/>
    <x v="9"/>
    <x v="9"/>
    <x v="18"/>
    <x v="14"/>
    <x v="0"/>
    <n v="300"/>
  </r>
  <r>
    <x v="0"/>
    <x v="9"/>
    <x v="9"/>
    <x v="18"/>
    <x v="15"/>
    <x v="0"/>
    <n v="3300"/>
  </r>
  <r>
    <x v="0"/>
    <x v="9"/>
    <x v="9"/>
    <x v="18"/>
    <x v="10"/>
    <x v="0"/>
    <n v="7300"/>
  </r>
  <r>
    <x v="0"/>
    <x v="9"/>
    <x v="9"/>
    <x v="19"/>
    <x v="6"/>
    <x v="0"/>
    <n v="680"/>
  </r>
  <r>
    <x v="0"/>
    <x v="9"/>
    <x v="9"/>
    <x v="19"/>
    <x v="11"/>
    <x v="0"/>
    <n v="1350"/>
  </r>
  <r>
    <x v="0"/>
    <x v="9"/>
    <x v="9"/>
    <x v="19"/>
    <x v="19"/>
    <x v="0"/>
    <n v="3295"/>
  </r>
  <r>
    <x v="0"/>
    <x v="9"/>
    <x v="9"/>
    <x v="19"/>
    <x v="21"/>
    <x v="0"/>
    <n v="7300"/>
  </r>
  <r>
    <x v="0"/>
    <x v="9"/>
    <x v="9"/>
    <x v="19"/>
    <x v="7"/>
    <x v="0"/>
    <n v="6500"/>
  </r>
  <r>
    <x v="0"/>
    <x v="9"/>
    <x v="9"/>
    <x v="20"/>
    <x v="0"/>
    <x v="0"/>
    <n v="610"/>
  </r>
  <r>
    <x v="0"/>
    <x v="9"/>
    <x v="9"/>
    <x v="20"/>
    <x v="3"/>
    <x v="0"/>
    <n v="1300"/>
  </r>
  <r>
    <x v="0"/>
    <x v="9"/>
    <x v="9"/>
    <x v="20"/>
    <x v="16"/>
    <x v="0"/>
    <n v="700"/>
  </r>
  <r>
    <x v="0"/>
    <x v="9"/>
    <x v="9"/>
    <x v="20"/>
    <x v="10"/>
    <x v="0"/>
    <n v="3200"/>
  </r>
  <r>
    <x v="0"/>
    <x v="9"/>
    <x v="9"/>
    <x v="21"/>
    <x v="8"/>
    <x v="0"/>
    <n v="1000"/>
  </r>
  <r>
    <x v="0"/>
    <x v="9"/>
    <x v="9"/>
    <x v="21"/>
    <x v="9"/>
    <x v="0"/>
    <n v="1400"/>
  </r>
  <r>
    <x v="0"/>
    <x v="10"/>
    <x v="10"/>
    <x v="0"/>
    <x v="0"/>
    <x v="0"/>
    <n v="3010"/>
  </r>
  <r>
    <x v="0"/>
    <x v="10"/>
    <x v="10"/>
    <x v="0"/>
    <x v="1"/>
    <x v="0"/>
    <n v="3010"/>
  </r>
  <r>
    <x v="0"/>
    <x v="10"/>
    <x v="10"/>
    <x v="0"/>
    <x v="2"/>
    <x v="0"/>
    <n v="6020"/>
  </r>
  <r>
    <x v="0"/>
    <x v="10"/>
    <x v="10"/>
    <x v="0"/>
    <x v="3"/>
    <x v="0"/>
    <n v="600"/>
  </r>
  <r>
    <x v="0"/>
    <x v="10"/>
    <x v="10"/>
    <x v="0"/>
    <x v="4"/>
    <x v="0"/>
    <n v="2000"/>
  </r>
  <r>
    <x v="0"/>
    <x v="10"/>
    <x v="10"/>
    <x v="1"/>
    <x v="5"/>
    <x v="0"/>
    <n v="3010"/>
  </r>
  <r>
    <x v="0"/>
    <x v="10"/>
    <x v="10"/>
    <x v="1"/>
    <x v="2"/>
    <x v="0"/>
    <n v="8634"/>
  </r>
  <r>
    <x v="0"/>
    <x v="10"/>
    <x v="10"/>
    <x v="1"/>
    <x v="6"/>
    <x v="0"/>
    <n v="2500"/>
  </r>
  <r>
    <x v="0"/>
    <x v="10"/>
    <x v="10"/>
    <x v="1"/>
    <x v="9"/>
    <x v="0"/>
    <n v="1400"/>
  </r>
  <r>
    <x v="0"/>
    <x v="10"/>
    <x v="10"/>
    <x v="1"/>
    <x v="7"/>
    <x v="0"/>
    <n v="600"/>
  </r>
  <r>
    <x v="0"/>
    <x v="10"/>
    <x v="10"/>
    <x v="2"/>
    <x v="5"/>
    <x v="0"/>
    <n v="3010"/>
  </r>
  <r>
    <x v="0"/>
    <x v="10"/>
    <x v="10"/>
    <x v="2"/>
    <x v="2"/>
    <x v="0"/>
    <n v="14416"/>
  </r>
  <r>
    <x v="0"/>
    <x v="10"/>
    <x v="10"/>
    <x v="3"/>
    <x v="5"/>
    <x v="0"/>
    <n v="6020"/>
  </r>
  <r>
    <x v="0"/>
    <x v="10"/>
    <x v="10"/>
    <x v="3"/>
    <x v="0"/>
    <x v="0"/>
    <n v="8634"/>
  </r>
  <r>
    <x v="0"/>
    <x v="10"/>
    <x v="10"/>
    <x v="3"/>
    <x v="1"/>
    <x v="0"/>
    <n v="14416"/>
  </r>
  <r>
    <x v="0"/>
    <x v="10"/>
    <x v="10"/>
    <x v="3"/>
    <x v="3"/>
    <x v="0"/>
    <n v="400"/>
  </r>
  <r>
    <x v="0"/>
    <x v="10"/>
    <x v="10"/>
    <x v="3"/>
    <x v="8"/>
    <x v="0"/>
    <n v="5900"/>
  </r>
  <r>
    <x v="0"/>
    <x v="10"/>
    <x v="10"/>
    <x v="4"/>
    <x v="0"/>
    <x v="0"/>
    <n v="2500"/>
  </r>
  <r>
    <x v="0"/>
    <x v="10"/>
    <x v="10"/>
    <x v="4"/>
    <x v="3"/>
    <x v="0"/>
    <n v="600"/>
  </r>
  <r>
    <x v="0"/>
    <x v="10"/>
    <x v="10"/>
    <x v="4"/>
    <x v="8"/>
    <x v="0"/>
    <n v="700"/>
  </r>
  <r>
    <x v="0"/>
    <x v="10"/>
    <x v="10"/>
    <x v="4"/>
    <x v="9"/>
    <x v="0"/>
    <n v="1700"/>
  </r>
  <r>
    <x v="0"/>
    <x v="10"/>
    <x v="10"/>
    <x v="4"/>
    <x v="10"/>
    <x v="0"/>
    <n v="740"/>
  </r>
  <r>
    <x v="0"/>
    <x v="10"/>
    <x v="10"/>
    <x v="4"/>
    <x v="17"/>
    <x v="0"/>
    <n v="1400"/>
  </r>
  <r>
    <x v="0"/>
    <x v="10"/>
    <x v="10"/>
    <x v="5"/>
    <x v="5"/>
    <x v="0"/>
    <n v="585"/>
  </r>
  <r>
    <x v="0"/>
    <x v="10"/>
    <x v="10"/>
    <x v="5"/>
    <x v="2"/>
    <x v="0"/>
    <n v="400"/>
  </r>
  <r>
    <x v="0"/>
    <x v="10"/>
    <x v="10"/>
    <x v="5"/>
    <x v="6"/>
    <x v="0"/>
    <n v="600"/>
  </r>
  <r>
    <x v="0"/>
    <x v="10"/>
    <x v="10"/>
    <x v="5"/>
    <x v="7"/>
    <x v="0"/>
    <n v="1700"/>
  </r>
  <r>
    <x v="0"/>
    <x v="10"/>
    <x v="10"/>
    <x v="6"/>
    <x v="11"/>
    <x v="0"/>
    <n v="1000"/>
  </r>
  <r>
    <x v="0"/>
    <x v="10"/>
    <x v="10"/>
    <x v="6"/>
    <x v="12"/>
    <x v="0"/>
    <n v="800"/>
  </r>
  <r>
    <x v="0"/>
    <x v="10"/>
    <x v="10"/>
    <x v="7"/>
    <x v="13"/>
    <x v="0"/>
    <n v="1000"/>
  </r>
  <r>
    <x v="0"/>
    <x v="10"/>
    <x v="10"/>
    <x v="7"/>
    <x v="14"/>
    <x v="0"/>
    <n v="100"/>
  </r>
  <r>
    <x v="0"/>
    <x v="10"/>
    <x v="10"/>
    <x v="7"/>
    <x v="15"/>
    <x v="0"/>
    <n v="1300"/>
  </r>
  <r>
    <x v="0"/>
    <x v="10"/>
    <x v="10"/>
    <x v="7"/>
    <x v="10"/>
    <x v="0"/>
    <n v="1350"/>
  </r>
  <r>
    <x v="0"/>
    <x v="10"/>
    <x v="10"/>
    <x v="8"/>
    <x v="12"/>
    <x v="0"/>
    <n v="700"/>
  </r>
  <r>
    <x v="0"/>
    <x v="10"/>
    <x v="10"/>
    <x v="8"/>
    <x v="4"/>
    <x v="0"/>
    <n v="1000"/>
  </r>
  <r>
    <x v="0"/>
    <x v="10"/>
    <x v="10"/>
    <x v="8"/>
    <x v="7"/>
    <x v="0"/>
    <n v="700"/>
  </r>
  <r>
    <x v="0"/>
    <x v="10"/>
    <x v="10"/>
    <x v="9"/>
    <x v="13"/>
    <x v="0"/>
    <n v="800"/>
  </r>
  <r>
    <x v="0"/>
    <x v="10"/>
    <x v="10"/>
    <x v="9"/>
    <x v="16"/>
    <x v="0"/>
    <n v="1200"/>
  </r>
  <r>
    <x v="0"/>
    <x v="10"/>
    <x v="10"/>
    <x v="10"/>
    <x v="2"/>
    <x v="0"/>
    <n v="5100"/>
  </r>
  <r>
    <x v="0"/>
    <x v="10"/>
    <x v="10"/>
    <x v="10"/>
    <x v="6"/>
    <x v="0"/>
    <n v="700"/>
  </r>
  <r>
    <x v="0"/>
    <x v="10"/>
    <x v="10"/>
    <x v="10"/>
    <x v="9"/>
    <x v="0"/>
    <n v="700"/>
  </r>
  <r>
    <x v="0"/>
    <x v="10"/>
    <x v="10"/>
    <x v="10"/>
    <x v="17"/>
    <x v="0"/>
    <n v="1000"/>
  </r>
  <r>
    <x v="0"/>
    <x v="10"/>
    <x v="10"/>
    <x v="11"/>
    <x v="9"/>
    <x v="0"/>
    <n v="2500"/>
  </r>
  <r>
    <x v="0"/>
    <x v="10"/>
    <x v="10"/>
    <x v="11"/>
    <x v="18"/>
    <x v="0"/>
    <n v="1150"/>
  </r>
  <r>
    <x v="0"/>
    <x v="10"/>
    <x v="10"/>
    <x v="11"/>
    <x v="10"/>
    <x v="0"/>
    <n v="3345"/>
  </r>
  <r>
    <x v="0"/>
    <x v="10"/>
    <x v="10"/>
    <x v="12"/>
    <x v="0"/>
    <x v="0"/>
    <n v="1400"/>
  </r>
  <r>
    <x v="0"/>
    <x v="10"/>
    <x v="10"/>
    <x v="12"/>
    <x v="6"/>
    <x v="0"/>
    <n v="1700"/>
  </r>
  <r>
    <x v="0"/>
    <x v="10"/>
    <x v="10"/>
    <x v="12"/>
    <x v="8"/>
    <x v="0"/>
    <n v="700"/>
  </r>
  <r>
    <x v="0"/>
    <x v="10"/>
    <x v="10"/>
    <x v="12"/>
    <x v="19"/>
    <x v="0"/>
    <n v="3200"/>
  </r>
  <r>
    <x v="0"/>
    <x v="10"/>
    <x v="10"/>
    <x v="12"/>
    <x v="20"/>
    <x v="0"/>
    <n v="1200"/>
  </r>
  <r>
    <x v="0"/>
    <x v="10"/>
    <x v="10"/>
    <x v="12"/>
    <x v="17"/>
    <x v="0"/>
    <n v="1400"/>
  </r>
  <r>
    <x v="0"/>
    <x v="10"/>
    <x v="10"/>
    <x v="13"/>
    <x v="19"/>
    <x v="0"/>
    <n v="1200"/>
  </r>
  <r>
    <x v="0"/>
    <x v="10"/>
    <x v="10"/>
    <x v="13"/>
    <x v="14"/>
    <x v="0"/>
    <n v="200"/>
  </r>
  <r>
    <x v="0"/>
    <x v="10"/>
    <x v="10"/>
    <x v="13"/>
    <x v="20"/>
    <x v="0"/>
    <n v="1000"/>
  </r>
  <r>
    <x v="0"/>
    <x v="10"/>
    <x v="10"/>
    <x v="13"/>
    <x v="21"/>
    <x v="0"/>
    <n v="600"/>
  </r>
  <r>
    <x v="0"/>
    <x v="10"/>
    <x v="10"/>
    <x v="14"/>
    <x v="18"/>
    <x v="0"/>
    <n v="1000"/>
  </r>
  <r>
    <x v="0"/>
    <x v="10"/>
    <x v="10"/>
    <x v="14"/>
    <x v="21"/>
    <x v="0"/>
    <n v="250"/>
  </r>
  <r>
    <x v="0"/>
    <x v="10"/>
    <x v="10"/>
    <x v="15"/>
    <x v="9"/>
    <x v="0"/>
    <n v="1200"/>
  </r>
  <r>
    <x v="0"/>
    <x v="10"/>
    <x v="10"/>
    <x v="15"/>
    <x v="18"/>
    <x v="0"/>
    <n v="1000"/>
  </r>
  <r>
    <x v="0"/>
    <x v="10"/>
    <x v="10"/>
    <x v="16"/>
    <x v="5"/>
    <x v="0"/>
    <n v="2000"/>
  </r>
  <r>
    <x v="0"/>
    <x v="10"/>
    <x v="10"/>
    <x v="16"/>
    <x v="16"/>
    <x v="0"/>
    <n v="1000"/>
  </r>
  <r>
    <x v="0"/>
    <x v="10"/>
    <x v="10"/>
    <x v="17"/>
    <x v="11"/>
    <x v="0"/>
    <n v="1300"/>
  </r>
  <r>
    <x v="0"/>
    <x v="10"/>
    <x v="10"/>
    <x v="17"/>
    <x v="14"/>
    <x v="0"/>
    <n v="600"/>
  </r>
  <r>
    <x v="0"/>
    <x v="10"/>
    <x v="10"/>
    <x v="17"/>
    <x v="21"/>
    <x v="0"/>
    <n v="3300"/>
  </r>
  <r>
    <x v="0"/>
    <x v="10"/>
    <x v="10"/>
    <x v="18"/>
    <x v="18"/>
    <x v="0"/>
    <n v="1000"/>
  </r>
  <r>
    <x v="0"/>
    <x v="10"/>
    <x v="10"/>
    <x v="18"/>
    <x v="14"/>
    <x v="0"/>
    <n v="300"/>
  </r>
  <r>
    <x v="0"/>
    <x v="10"/>
    <x v="10"/>
    <x v="18"/>
    <x v="15"/>
    <x v="0"/>
    <n v="3300"/>
  </r>
  <r>
    <x v="0"/>
    <x v="10"/>
    <x v="10"/>
    <x v="18"/>
    <x v="10"/>
    <x v="0"/>
    <n v="7300"/>
  </r>
  <r>
    <x v="0"/>
    <x v="10"/>
    <x v="10"/>
    <x v="19"/>
    <x v="6"/>
    <x v="0"/>
    <n v="680"/>
  </r>
  <r>
    <x v="0"/>
    <x v="10"/>
    <x v="10"/>
    <x v="19"/>
    <x v="11"/>
    <x v="0"/>
    <n v="1350"/>
  </r>
  <r>
    <x v="0"/>
    <x v="10"/>
    <x v="10"/>
    <x v="19"/>
    <x v="19"/>
    <x v="0"/>
    <n v="3295"/>
  </r>
  <r>
    <x v="0"/>
    <x v="10"/>
    <x v="10"/>
    <x v="19"/>
    <x v="21"/>
    <x v="0"/>
    <n v="7300"/>
  </r>
  <r>
    <x v="0"/>
    <x v="10"/>
    <x v="10"/>
    <x v="19"/>
    <x v="7"/>
    <x v="0"/>
    <n v="6500"/>
  </r>
  <r>
    <x v="0"/>
    <x v="10"/>
    <x v="10"/>
    <x v="20"/>
    <x v="0"/>
    <x v="0"/>
    <n v="610"/>
  </r>
  <r>
    <x v="0"/>
    <x v="10"/>
    <x v="10"/>
    <x v="20"/>
    <x v="3"/>
    <x v="0"/>
    <n v="1300"/>
  </r>
  <r>
    <x v="0"/>
    <x v="10"/>
    <x v="10"/>
    <x v="20"/>
    <x v="16"/>
    <x v="0"/>
    <n v="700"/>
  </r>
  <r>
    <x v="0"/>
    <x v="10"/>
    <x v="10"/>
    <x v="20"/>
    <x v="10"/>
    <x v="0"/>
    <n v="3200"/>
  </r>
  <r>
    <x v="0"/>
    <x v="10"/>
    <x v="10"/>
    <x v="21"/>
    <x v="6"/>
    <x v="0"/>
    <n v="1400"/>
  </r>
  <r>
    <x v="0"/>
    <x v="10"/>
    <x v="10"/>
    <x v="21"/>
    <x v="8"/>
    <x v="0"/>
    <n v="1000"/>
  </r>
  <r>
    <x v="0"/>
    <x v="10"/>
    <x v="10"/>
    <x v="21"/>
    <x v="9"/>
    <x v="0"/>
    <n v="1400"/>
  </r>
  <r>
    <x v="0"/>
    <x v="11"/>
    <x v="11"/>
    <x v="0"/>
    <x v="0"/>
    <x v="0"/>
    <n v="3010"/>
  </r>
  <r>
    <x v="0"/>
    <x v="11"/>
    <x v="11"/>
    <x v="0"/>
    <x v="1"/>
    <x v="0"/>
    <n v="3010"/>
  </r>
  <r>
    <x v="0"/>
    <x v="11"/>
    <x v="11"/>
    <x v="0"/>
    <x v="2"/>
    <x v="0"/>
    <n v="6020"/>
  </r>
  <r>
    <x v="0"/>
    <x v="11"/>
    <x v="11"/>
    <x v="0"/>
    <x v="3"/>
    <x v="0"/>
    <n v="600"/>
  </r>
  <r>
    <x v="0"/>
    <x v="11"/>
    <x v="11"/>
    <x v="0"/>
    <x v="4"/>
    <x v="0"/>
    <n v="2000"/>
  </r>
  <r>
    <x v="0"/>
    <x v="11"/>
    <x v="11"/>
    <x v="1"/>
    <x v="5"/>
    <x v="0"/>
    <n v="3010"/>
  </r>
  <r>
    <x v="0"/>
    <x v="11"/>
    <x v="11"/>
    <x v="1"/>
    <x v="2"/>
    <x v="0"/>
    <n v="8634"/>
  </r>
  <r>
    <x v="0"/>
    <x v="11"/>
    <x v="11"/>
    <x v="1"/>
    <x v="6"/>
    <x v="0"/>
    <n v="2500"/>
  </r>
  <r>
    <x v="0"/>
    <x v="11"/>
    <x v="11"/>
    <x v="1"/>
    <x v="9"/>
    <x v="0"/>
    <n v="1400"/>
  </r>
  <r>
    <x v="0"/>
    <x v="11"/>
    <x v="11"/>
    <x v="1"/>
    <x v="7"/>
    <x v="0"/>
    <n v="600"/>
  </r>
  <r>
    <x v="0"/>
    <x v="11"/>
    <x v="11"/>
    <x v="2"/>
    <x v="5"/>
    <x v="0"/>
    <n v="3010"/>
  </r>
  <r>
    <x v="0"/>
    <x v="11"/>
    <x v="11"/>
    <x v="2"/>
    <x v="2"/>
    <x v="0"/>
    <n v="14416"/>
  </r>
  <r>
    <x v="0"/>
    <x v="11"/>
    <x v="11"/>
    <x v="3"/>
    <x v="5"/>
    <x v="0"/>
    <n v="6020"/>
  </r>
  <r>
    <x v="0"/>
    <x v="11"/>
    <x v="11"/>
    <x v="3"/>
    <x v="0"/>
    <x v="0"/>
    <n v="8634"/>
  </r>
  <r>
    <x v="0"/>
    <x v="11"/>
    <x v="11"/>
    <x v="3"/>
    <x v="1"/>
    <x v="0"/>
    <n v="14416"/>
  </r>
  <r>
    <x v="0"/>
    <x v="11"/>
    <x v="11"/>
    <x v="3"/>
    <x v="3"/>
    <x v="0"/>
    <n v="400"/>
  </r>
  <r>
    <x v="0"/>
    <x v="11"/>
    <x v="11"/>
    <x v="3"/>
    <x v="8"/>
    <x v="0"/>
    <n v="5900"/>
  </r>
  <r>
    <x v="0"/>
    <x v="11"/>
    <x v="11"/>
    <x v="4"/>
    <x v="0"/>
    <x v="0"/>
    <n v="2500"/>
  </r>
  <r>
    <x v="0"/>
    <x v="11"/>
    <x v="11"/>
    <x v="4"/>
    <x v="3"/>
    <x v="0"/>
    <n v="600"/>
  </r>
  <r>
    <x v="0"/>
    <x v="11"/>
    <x v="11"/>
    <x v="4"/>
    <x v="8"/>
    <x v="0"/>
    <n v="700"/>
  </r>
  <r>
    <x v="0"/>
    <x v="11"/>
    <x v="11"/>
    <x v="4"/>
    <x v="9"/>
    <x v="0"/>
    <n v="1700"/>
  </r>
  <r>
    <x v="0"/>
    <x v="11"/>
    <x v="11"/>
    <x v="4"/>
    <x v="10"/>
    <x v="0"/>
    <n v="740"/>
  </r>
  <r>
    <x v="0"/>
    <x v="11"/>
    <x v="11"/>
    <x v="4"/>
    <x v="17"/>
    <x v="0"/>
    <n v="1400"/>
  </r>
  <r>
    <x v="0"/>
    <x v="11"/>
    <x v="11"/>
    <x v="5"/>
    <x v="5"/>
    <x v="0"/>
    <n v="585"/>
  </r>
  <r>
    <x v="0"/>
    <x v="11"/>
    <x v="11"/>
    <x v="5"/>
    <x v="2"/>
    <x v="0"/>
    <n v="400"/>
  </r>
  <r>
    <x v="0"/>
    <x v="11"/>
    <x v="11"/>
    <x v="5"/>
    <x v="6"/>
    <x v="0"/>
    <n v="600"/>
  </r>
  <r>
    <x v="0"/>
    <x v="11"/>
    <x v="11"/>
    <x v="5"/>
    <x v="7"/>
    <x v="0"/>
    <n v="1700"/>
  </r>
  <r>
    <x v="0"/>
    <x v="11"/>
    <x v="11"/>
    <x v="6"/>
    <x v="11"/>
    <x v="0"/>
    <n v="1000"/>
  </r>
  <r>
    <x v="0"/>
    <x v="11"/>
    <x v="11"/>
    <x v="6"/>
    <x v="12"/>
    <x v="0"/>
    <n v="800"/>
  </r>
  <r>
    <x v="0"/>
    <x v="11"/>
    <x v="11"/>
    <x v="7"/>
    <x v="13"/>
    <x v="0"/>
    <n v="1000"/>
  </r>
  <r>
    <x v="0"/>
    <x v="11"/>
    <x v="11"/>
    <x v="7"/>
    <x v="14"/>
    <x v="0"/>
    <n v="100"/>
  </r>
  <r>
    <x v="0"/>
    <x v="11"/>
    <x v="11"/>
    <x v="7"/>
    <x v="15"/>
    <x v="0"/>
    <n v="1300"/>
  </r>
  <r>
    <x v="0"/>
    <x v="11"/>
    <x v="11"/>
    <x v="7"/>
    <x v="10"/>
    <x v="0"/>
    <n v="1350"/>
  </r>
  <r>
    <x v="0"/>
    <x v="11"/>
    <x v="11"/>
    <x v="8"/>
    <x v="12"/>
    <x v="0"/>
    <n v="700"/>
  </r>
  <r>
    <x v="0"/>
    <x v="11"/>
    <x v="11"/>
    <x v="8"/>
    <x v="4"/>
    <x v="0"/>
    <n v="1000"/>
  </r>
  <r>
    <x v="0"/>
    <x v="11"/>
    <x v="11"/>
    <x v="8"/>
    <x v="7"/>
    <x v="0"/>
    <n v="700"/>
  </r>
  <r>
    <x v="0"/>
    <x v="11"/>
    <x v="11"/>
    <x v="9"/>
    <x v="13"/>
    <x v="0"/>
    <n v="800"/>
  </r>
  <r>
    <x v="0"/>
    <x v="11"/>
    <x v="11"/>
    <x v="9"/>
    <x v="16"/>
    <x v="0"/>
    <n v="1200"/>
  </r>
  <r>
    <x v="0"/>
    <x v="11"/>
    <x v="11"/>
    <x v="10"/>
    <x v="2"/>
    <x v="0"/>
    <n v="5100"/>
  </r>
  <r>
    <x v="0"/>
    <x v="11"/>
    <x v="11"/>
    <x v="10"/>
    <x v="6"/>
    <x v="0"/>
    <n v="700"/>
  </r>
  <r>
    <x v="0"/>
    <x v="11"/>
    <x v="11"/>
    <x v="10"/>
    <x v="9"/>
    <x v="0"/>
    <n v="700"/>
  </r>
  <r>
    <x v="0"/>
    <x v="11"/>
    <x v="11"/>
    <x v="10"/>
    <x v="17"/>
    <x v="0"/>
    <n v="1000"/>
  </r>
  <r>
    <x v="0"/>
    <x v="11"/>
    <x v="11"/>
    <x v="11"/>
    <x v="9"/>
    <x v="0"/>
    <n v="2500"/>
  </r>
  <r>
    <x v="0"/>
    <x v="11"/>
    <x v="11"/>
    <x v="11"/>
    <x v="18"/>
    <x v="0"/>
    <n v="1150"/>
  </r>
  <r>
    <x v="0"/>
    <x v="11"/>
    <x v="11"/>
    <x v="11"/>
    <x v="10"/>
    <x v="0"/>
    <n v="3345"/>
  </r>
  <r>
    <x v="0"/>
    <x v="11"/>
    <x v="11"/>
    <x v="12"/>
    <x v="0"/>
    <x v="0"/>
    <n v="1400"/>
  </r>
  <r>
    <x v="0"/>
    <x v="11"/>
    <x v="11"/>
    <x v="12"/>
    <x v="6"/>
    <x v="0"/>
    <n v="1700"/>
  </r>
  <r>
    <x v="0"/>
    <x v="11"/>
    <x v="11"/>
    <x v="12"/>
    <x v="8"/>
    <x v="0"/>
    <n v="700"/>
  </r>
  <r>
    <x v="0"/>
    <x v="11"/>
    <x v="11"/>
    <x v="12"/>
    <x v="19"/>
    <x v="0"/>
    <n v="3200"/>
  </r>
  <r>
    <x v="0"/>
    <x v="11"/>
    <x v="11"/>
    <x v="12"/>
    <x v="20"/>
    <x v="0"/>
    <n v="1200"/>
  </r>
  <r>
    <x v="0"/>
    <x v="11"/>
    <x v="11"/>
    <x v="12"/>
    <x v="17"/>
    <x v="0"/>
    <n v="1400"/>
  </r>
  <r>
    <x v="0"/>
    <x v="11"/>
    <x v="11"/>
    <x v="13"/>
    <x v="19"/>
    <x v="0"/>
    <n v="1200"/>
  </r>
  <r>
    <x v="0"/>
    <x v="11"/>
    <x v="11"/>
    <x v="13"/>
    <x v="14"/>
    <x v="0"/>
    <n v="200"/>
  </r>
  <r>
    <x v="0"/>
    <x v="11"/>
    <x v="11"/>
    <x v="13"/>
    <x v="20"/>
    <x v="0"/>
    <n v="1000"/>
  </r>
  <r>
    <x v="0"/>
    <x v="11"/>
    <x v="11"/>
    <x v="13"/>
    <x v="21"/>
    <x v="0"/>
    <n v="600"/>
  </r>
  <r>
    <x v="0"/>
    <x v="11"/>
    <x v="11"/>
    <x v="14"/>
    <x v="18"/>
    <x v="0"/>
    <n v="1000"/>
  </r>
  <r>
    <x v="0"/>
    <x v="11"/>
    <x v="11"/>
    <x v="14"/>
    <x v="21"/>
    <x v="0"/>
    <n v="250"/>
  </r>
  <r>
    <x v="0"/>
    <x v="11"/>
    <x v="11"/>
    <x v="15"/>
    <x v="9"/>
    <x v="0"/>
    <n v="1200"/>
  </r>
  <r>
    <x v="0"/>
    <x v="11"/>
    <x v="11"/>
    <x v="15"/>
    <x v="18"/>
    <x v="0"/>
    <n v="1000"/>
  </r>
  <r>
    <x v="0"/>
    <x v="11"/>
    <x v="11"/>
    <x v="16"/>
    <x v="5"/>
    <x v="0"/>
    <n v="2000"/>
  </r>
  <r>
    <x v="0"/>
    <x v="11"/>
    <x v="11"/>
    <x v="16"/>
    <x v="16"/>
    <x v="0"/>
    <n v="1000"/>
  </r>
  <r>
    <x v="0"/>
    <x v="11"/>
    <x v="11"/>
    <x v="17"/>
    <x v="11"/>
    <x v="0"/>
    <n v="1300"/>
  </r>
  <r>
    <x v="0"/>
    <x v="11"/>
    <x v="11"/>
    <x v="17"/>
    <x v="14"/>
    <x v="0"/>
    <n v="600"/>
  </r>
  <r>
    <x v="0"/>
    <x v="11"/>
    <x v="11"/>
    <x v="17"/>
    <x v="21"/>
    <x v="0"/>
    <n v="3300"/>
  </r>
  <r>
    <x v="0"/>
    <x v="11"/>
    <x v="11"/>
    <x v="18"/>
    <x v="18"/>
    <x v="0"/>
    <n v="1000"/>
  </r>
  <r>
    <x v="0"/>
    <x v="11"/>
    <x v="11"/>
    <x v="18"/>
    <x v="14"/>
    <x v="0"/>
    <n v="300"/>
  </r>
  <r>
    <x v="0"/>
    <x v="11"/>
    <x v="11"/>
    <x v="18"/>
    <x v="15"/>
    <x v="0"/>
    <n v="3300"/>
  </r>
  <r>
    <x v="0"/>
    <x v="11"/>
    <x v="11"/>
    <x v="18"/>
    <x v="10"/>
    <x v="0"/>
    <n v="7300"/>
  </r>
  <r>
    <x v="0"/>
    <x v="11"/>
    <x v="11"/>
    <x v="19"/>
    <x v="6"/>
    <x v="0"/>
    <n v="680"/>
  </r>
  <r>
    <x v="0"/>
    <x v="11"/>
    <x v="11"/>
    <x v="19"/>
    <x v="11"/>
    <x v="0"/>
    <n v="1350"/>
  </r>
  <r>
    <x v="0"/>
    <x v="11"/>
    <x v="11"/>
    <x v="19"/>
    <x v="19"/>
    <x v="0"/>
    <n v="3295"/>
  </r>
  <r>
    <x v="0"/>
    <x v="11"/>
    <x v="11"/>
    <x v="19"/>
    <x v="21"/>
    <x v="0"/>
    <n v="7300"/>
  </r>
  <r>
    <x v="0"/>
    <x v="11"/>
    <x v="11"/>
    <x v="19"/>
    <x v="7"/>
    <x v="0"/>
    <n v="6500"/>
  </r>
  <r>
    <x v="0"/>
    <x v="11"/>
    <x v="11"/>
    <x v="20"/>
    <x v="0"/>
    <x v="0"/>
    <n v="610"/>
  </r>
  <r>
    <x v="0"/>
    <x v="11"/>
    <x v="11"/>
    <x v="20"/>
    <x v="3"/>
    <x v="0"/>
    <n v="1300"/>
  </r>
  <r>
    <x v="0"/>
    <x v="11"/>
    <x v="11"/>
    <x v="20"/>
    <x v="16"/>
    <x v="0"/>
    <n v="700"/>
  </r>
  <r>
    <x v="0"/>
    <x v="11"/>
    <x v="11"/>
    <x v="20"/>
    <x v="10"/>
    <x v="0"/>
    <n v="3200"/>
  </r>
  <r>
    <x v="0"/>
    <x v="11"/>
    <x v="11"/>
    <x v="21"/>
    <x v="6"/>
    <x v="0"/>
    <n v="1400"/>
  </r>
  <r>
    <x v="0"/>
    <x v="11"/>
    <x v="11"/>
    <x v="21"/>
    <x v="8"/>
    <x v="0"/>
    <n v="1000"/>
  </r>
  <r>
    <x v="0"/>
    <x v="11"/>
    <x v="11"/>
    <x v="21"/>
    <x v="9"/>
    <x v="0"/>
    <n v="1400"/>
  </r>
  <r>
    <x v="0"/>
    <x v="12"/>
    <x v="12"/>
    <x v="0"/>
    <x v="0"/>
    <x v="0"/>
    <n v="3010"/>
  </r>
  <r>
    <x v="0"/>
    <x v="12"/>
    <x v="12"/>
    <x v="0"/>
    <x v="1"/>
    <x v="0"/>
    <n v="3010"/>
  </r>
  <r>
    <x v="0"/>
    <x v="12"/>
    <x v="12"/>
    <x v="0"/>
    <x v="2"/>
    <x v="0"/>
    <n v="6020"/>
  </r>
  <r>
    <x v="0"/>
    <x v="12"/>
    <x v="12"/>
    <x v="0"/>
    <x v="3"/>
    <x v="0"/>
    <n v="600"/>
  </r>
  <r>
    <x v="0"/>
    <x v="12"/>
    <x v="12"/>
    <x v="0"/>
    <x v="4"/>
    <x v="0"/>
    <n v="2000"/>
  </r>
  <r>
    <x v="0"/>
    <x v="12"/>
    <x v="12"/>
    <x v="1"/>
    <x v="5"/>
    <x v="0"/>
    <n v="3010"/>
  </r>
  <r>
    <x v="0"/>
    <x v="12"/>
    <x v="12"/>
    <x v="1"/>
    <x v="2"/>
    <x v="0"/>
    <n v="8634"/>
  </r>
  <r>
    <x v="0"/>
    <x v="12"/>
    <x v="12"/>
    <x v="1"/>
    <x v="6"/>
    <x v="0"/>
    <n v="2500"/>
  </r>
  <r>
    <x v="0"/>
    <x v="12"/>
    <x v="12"/>
    <x v="1"/>
    <x v="9"/>
    <x v="0"/>
    <n v="1400"/>
  </r>
  <r>
    <x v="0"/>
    <x v="12"/>
    <x v="12"/>
    <x v="1"/>
    <x v="7"/>
    <x v="0"/>
    <n v="600"/>
  </r>
  <r>
    <x v="0"/>
    <x v="12"/>
    <x v="12"/>
    <x v="2"/>
    <x v="5"/>
    <x v="0"/>
    <n v="3010"/>
  </r>
  <r>
    <x v="0"/>
    <x v="12"/>
    <x v="12"/>
    <x v="2"/>
    <x v="2"/>
    <x v="0"/>
    <n v="14416"/>
  </r>
  <r>
    <x v="0"/>
    <x v="12"/>
    <x v="12"/>
    <x v="3"/>
    <x v="5"/>
    <x v="0"/>
    <n v="6020"/>
  </r>
  <r>
    <x v="0"/>
    <x v="12"/>
    <x v="12"/>
    <x v="3"/>
    <x v="0"/>
    <x v="0"/>
    <n v="8634"/>
  </r>
  <r>
    <x v="0"/>
    <x v="12"/>
    <x v="12"/>
    <x v="3"/>
    <x v="1"/>
    <x v="0"/>
    <n v="14416"/>
  </r>
  <r>
    <x v="0"/>
    <x v="12"/>
    <x v="12"/>
    <x v="3"/>
    <x v="3"/>
    <x v="0"/>
    <n v="400"/>
  </r>
  <r>
    <x v="0"/>
    <x v="12"/>
    <x v="12"/>
    <x v="3"/>
    <x v="8"/>
    <x v="0"/>
    <n v="5900"/>
  </r>
  <r>
    <x v="0"/>
    <x v="12"/>
    <x v="12"/>
    <x v="4"/>
    <x v="0"/>
    <x v="0"/>
    <n v="2500"/>
  </r>
  <r>
    <x v="0"/>
    <x v="12"/>
    <x v="12"/>
    <x v="4"/>
    <x v="3"/>
    <x v="0"/>
    <n v="600"/>
  </r>
  <r>
    <x v="0"/>
    <x v="12"/>
    <x v="12"/>
    <x v="4"/>
    <x v="8"/>
    <x v="0"/>
    <n v="700"/>
  </r>
  <r>
    <x v="0"/>
    <x v="12"/>
    <x v="12"/>
    <x v="4"/>
    <x v="9"/>
    <x v="0"/>
    <n v="1700"/>
  </r>
  <r>
    <x v="0"/>
    <x v="12"/>
    <x v="12"/>
    <x v="4"/>
    <x v="10"/>
    <x v="0"/>
    <n v="740"/>
  </r>
  <r>
    <x v="0"/>
    <x v="12"/>
    <x v="12"/>
    <x v="4"/>
    <x v="17"/>
    <x v="0"/>
    <n v="1400"/>
  </r>
  <r>
    <x v="0"/>
    <x v="12"/>
    <x v="12"/>
    <x v="5"/>
    <x v="5"/>
    <x v="0"/>
    <n v="585"/>
  </r>
  <r>
    <x v="0"/>
    <x v="12"/>
    <x v="12"/>
    <x v="5"/>
    <x v="2"/>
    <x v="0"/>
    <n v="400"/>
  </r>
  <r>
    <x v="0"/>
    <x v="12"/>
    <x v="12"/>
    <x v="5"/>
    <x v="6"/>
    <x v="0"/>
    <n v="600"/>
  </r>
  <r>
    <x v="0"/>
    <x v="12"/>
    <x v="12"/>
    <x v="5"/>
    <x v="7"/>
    <x v="0"/>
    <n v="1700"/>
  </r>
  <r>
    <x v="0"/>
    <x v="12"/>
    <x v="12"/>
    <x v="6"/>
    <x v="11"/>
    <x v="0"/>
    <n v="1000"/>
  </r>
  <r>
    <x v="0"/>
    <x v="12"/>
    <x v="12"/>
    <x v="6"/>
    <x v="12"/>
    <x v="0"/>
    <n v="800"/>
  </r>
  <r>
    <x v="0"/>
    <x v="12"/>
    <x v="12"/>
    <x v="7"/>
    <x v="13"/>
    <x v="0"/>
    <n v="1000"/>
  </r>
  <r>
    <x v="0"/>
    <x v="12"/>
    <x v="12"/>
    <x v="7"/>
    <x v="14"/>
    <x v="0"/>
    <n v="700"/>
  </r>
  <r>
    <x v="0"/>
    <x v="12"/>
    <x v="12"/>
    <x v="7"/>
    <x v="15"/>
    <x v="0"/>
    <n v="1300"/>
  </r>
  <r>
    <x v="0"/>
    <x v="12"/>
    <x v="12"/>
    <x v="7"/>
    <x v="10"/>
    <x v="0"/>
    <n v="1350"/>
  </r>
  <r>
    <x v="0"/>
    <x v="12"/>
    <x v="12"/>
    <x v="8"/>
    <x v="12"/>
    <x v="0"/>
    <n v="700"/>
  </r>
  <r>
    <x v="0"/>
    <x v="12"/>
    <x v="12"/>
    <x v="8"/>
    <x v="4"/>
    <x v="0"/>
    <n v="1000"/>
  </r>
  <r>
    <x v="0"/>
    <x v="12"/>
    <x v="12"/>
    <x v="8"/>
    <x v="7"/>
    <x v="0"/>
    <n v="700"/>
  </r>
  <r>
    <x v="0"/>
    <x v="12"/>
    <x v="12"/>
    <x v="9"/>
    <x v="13"/>
    <x v="0"/>
    <n v="800"/>
  </r>
  <r>
    <x v="0"/>
    <x v="12"/>
    <x v="12"/>
    <x v="9"/>
    <x v="16"/>
    <x v="0"/>
    <n v="1200"/>
  </r>
  <r>
    <x v="0"/>
    <x v="12"/>
    <x v="12"/>
    <x v="10"/>
    <x v="2"/>
    <x v="0"/>
    <n v="5100"/>
  </r>
  <r>
    <x v="0"/>
    <x v="12"/>
    <x v="12"/>
    <x v="10"/>
    <x v="6"/>
    <x v="0"/>
    <n v="700"/>
  </r>
  <r>
    <x v="0"/>
    <x v="12"/>
    <x v="12"/>
    <x v="10"/>
    <x v="9"/>
    <x v="0"/>
    <n v="700"/>
  </r>
  <r>
    <x v="0"/>
    <x v="12"/>
    <x v="12"/>
    <x v="10"/>
    <x v="17"/>
    <x v="0"/>
    <n v="1000"/>
  </r>
  <r>
    <x v="0"/>
    <x v="12"/>
    <x v="12"/>
    <x v="11"/>
    <x v="9"/>
    <x v="0"/>
    <n v="2500"/>
  </r>
  <r>
    <x v="0"/>
    <x v="12"/>
    <x v="12"/>
    <x v="11"/>
    <x v="18"/>
    <x v="0"/>
    <n v="1150"/>
  </r>
  <r>
    <x v="0"/>
    <x v="12"/>
    <x v="12"/>
    <x v="11"/>
    <x v="10"/>
    <x v="0"/>
    <n v="3345"/>
  </r>
  <r>
    <x v="0"/>
    <x v="12"/>
    <x v="12"/>
    <x v="12"/>
    <x v="0"/>
    <x v="0"/>
    <n v="1400"/>
  </r>
  <r>
    <x v="0"/>
    <x v="12"/>
    <x v="12"/>
    <x v="12"/>
    <x v="6"/>
    <x v="0"/>
    <n v="1700"/>
  </r>
  <r>
    <x v="0"/>
    <x v="12"/>
    <x v="12"/>
    <x v="12"/>
    <x v="8"/>
    <x v="0"/>
    <n v="700"/>
  </r>
  <r>
    <x v="0"/>
    <x v="12"/>
    <x v="12"/>
    <x v="12"/>
    <x v="19"/>
    <x v="0"/>
    <n v="3200"/>
  </r>
  <r>
    <x v="0"/>
    <x v="12"/>
    <x v="12"/>
    <x v="12"/>
    <x v="20"/>
    <x v="0"/>
    <n v="1200"/>
  </r>
  <r>
    <x v="0"/>
    <x v="12"/>
    <x v="12"/>
    <x v="12"/>
    <x v="17"/>
    <x v="0"/>
    <n v="1400"/>
  </r>
  <r>
    <x v="0"/>
    <x v="12"/>
    <x v="12"/>
    <x v="13"/>
    <x v="19"/>
    <x v="0"/>
    <n v="1200"/>
  </r>
  <r>
    <x v="0"/>
    <x v="12"/>
    <x v="12"/>
    <x v="13"/>
    <x v="14"/>
    <x v="0"/>
    <n v="200"/>
  </r>
  <r>
    <x v="0"/>
    <x v="12"/>
    <x v="12"/>
    <x v="13"/>
    <x v="20"/>
    <x v="0"/>
    <n v="1000"/>
  </r>
  <r>
    <x v="0"/>
    <x v="12"/>
    <x v="12"/>
    <x v="13"/>
    <x v="21"/>
    <x v="0"/>
    <n v="600"/>
  </r>
  <r>
    <x v="0"/>
    <x v="12"/>
    <x v="12"/>
    <x v="14"/>
    <x v="11"/>
    <x v="0"/>
    <n v="600"/>
  </r>
  <r>
    <x v="0"/>
    <x v="12"/>
    <x v="12"/>
    <x v="14"/>
    <x v="18"/>
    <x v="0"/>
    <n v="1000"/>
  </r>
  <r>
    <x v="0"/>
    <x v="12"/>
    <x v="12"/>
    <x v="14"/>
    <x v="21"/>
    <x v="0"/>
    <n v="250"/>
  </r>
  <r>
    <x v="0"/>
    <x v="12"/>
    <x v="12"/>
    <x v="15"/>
    <x v="9"/>
    <x v="0"/>
    <n v="1200"/>
  </r>
  <r>
    <x v="0"/>
    <x v="12"/>
    <x v="12"/>
    <x v="15"/>
    <x v="18"/>
    <x v="0"/>
    <n v="1000"/>
  </r>
  <r>
    <x v="0"/>
    <x v="12"/>
    <x v="12"/>
    <x v="16"/>
    <x v="5"/>
    <x v="0"/>
    <n v="2000"/>
  </r>
  <r>
    <x v="0"/>
    <x v="12"/>
    <x v="12"/>
    <x v="16"/>
    <x v="16"/>
    <x v="0"/>
    <n v="1000"/>
  </r>
  <r>
    <x v="0"/>
    <x v="12"/>
    <x v="12"/>
    <x v="17"/>
    <x v="11"/>
    <x v="0"/>
    <n v="1300"/>
  </r>
  <r>
    <x v="0"/>
    <x v="12"/>
    <x v="12"/>
    <x v="17"/>
    <x v="14"/>
    <x v="0"/>
    <n v="600"/>
  </r>
  <r>
    <x v="0"/>
    <x v="12"/>
    <x v="12"/>
    <x v="17"/>
    <x v="21"/>
    <x v="0"/>
    <n v="3300"/>
  </r>
  <r>
    <x v="0"/>
    <x v="12"/>
    <x v="12"/>
    <x v="18"/>
    <x v="18"/>
    <x v="0"/>
    <n v="1000"/>
  </r>
  <r>
    <x v="0"/>
    <x v="12"/>
    <x v="12"/>
    <x v="18"/>
    <x v="14"/>
    <x v="0"/>
    <n v="300"/>
  </r>
  <r>
    <x v="0"/>
    <x v="12"/>
    <x v="12"/>
    <x v="18"/>
    <x v="15"/>
    <x v="0"/>
    <n v="3300"/>
  </r>
  <r>
    <x v="0"/>
    <x v="12"/>
    <x v="12"/>
    <x v="18"/>
    <x v="10"/>
    <x v="0"/>
    <n v="7300"/>
  </r>
  <r>
    <x v="0"/>
    <x v="12"/>
    <x v="12"/>
    <x v="19"/>
    <x v="6"/>
    <x v="0"/>
    <n v="680"/>
  </r>
  <r>
    <x v="0"/>
    <x v="12"/>
    <x v="12"/>
    <x v="19"/>
    <x v="11"/>
    <x v="0"/>
    <n v="1350"/>
  </r>
  <r>
    <x v="0"/>
    <x v="12"/>
    <x v="12"/>
    <x v="19"/>
    <x v="19"/>
    <x v="0"/>
    <n v="3295"/>
  </r>
  <r>
    <x v="0"/>
    <x v="12"/>
    <x v="12"/>
    <x v="19"/>
    <x v="21"/>
    <x v="0"/>
    <n v="7300"/>
  </r>
  <r>
    <x v="0"/>
    <x v="12"/>
    <x v="12"/>
    <x v="19"/>
    <x v="7"/>
    <x v="0"/>
    <n v="6500"/>
  </r>
  <r>
    <x v="0"/>
    <x v="12"/>
    <x v="12"/>
    <x v="20"/>
    <x v="0"/>
    <x v="0"/>
    <n v="610"/>
  </r>
  <r>
    <x v="0"/>
    <x v="12"/>
    <x v="12"/>
    <x v="20"/>
    <x v="3"/>
    <x v="0"/>
    <n v="1300"/>
  </r>
  <r>
    <x v="0"/>
    <x v="12"/>
    <x v="12"/>
    <x v="20"/>
    <x v="16"/>
    <x v="0"/>
    <n v="700"/>
  </r>
  <r>
    <x v="0"/>
    <x v="12"/>
    <x v="12"/>
    <x v="20"/>
    <x v="10"/>
    <x v="0"/>
    <n v="3200"/>
  </r>
  <r>
    <x v="0"/>
    <x v="12"/>
    <x v="12"/>
    <x v="21"/>
    <x v="6"/>
    <x v="0"/>
    <n v="1400"/>
  </r>
  <r>
    <x v="0"/>
    <x v="12"/>
    <x v="12"/>
    <x v="21"/>
    <x v="8"/>
    <x v="0"/>
    <n v="1000"/>
  </r>
  <r>
    <x v="0"/>
    <x v="12"/>
    <x v="12"/>
    <x v="21"/>
    <x v="9"/>
    <x v="0"/>
    <n v="1400"/>
  </r>
  <r>
    <x v="0"/>
    <x v="13"/>
    <x v="13"/>
    <x v="0"/>
    <x v="0"/>
    <x v="0"/>
    <n v="3010"/>
  </r>
  <r>
    <x v="0"/>
    <x v="13"/>
    <x v="13"/>
    <x v="0"/>
    <x v="1"/>
    <x v="0"/>
    <n v="3010"/>
  </r>
  <r>
    <x v="0"/>
    <x v="13"/>
    <x v="13"/>
    <x v="0"/>
    <x v="2"/>
    <x v="0"/>
    <n v="6020"/>
  </r>
  <r>
    <x v="0"/>
    <x v="13"/>
    <x v="13"/>
    <x v="0"/>
    <x v="3"/>
    <x v="0"/>
    <n v="600"/>
  </r>
  <r>
    <x v="0"/>
    <x v="13"/>
    <x v="13"/>
    <x v="0"/>
    <x v="4"/>
    <x v="0"/>
    <n v="2000"/>
  </r>
  <r>
    <x v="0"/>
    <x v="13"/>
    <x v="13"/>
    <x v="1"/>
    <x v="5"/>
    <x v="0"/>
    <n v="3010"/>
  </r>
  <r>
    <x v="0"/>
    <x v="13"/>
    <x v="13"/>
    <x v="1"/>
    <x v="2"/>
    <x v="0"/>
    <n v="8634"/>
  </r>
  <r>
    <x v="0"/>
    <x v="13"/>
    <x v="13"/>
    <x v="1"/>
    <x v="6"/>
    <x v="0"/>
    <n v="3000"/>
  </r>
  <r>
    <x v="0"/>
    <x v="13"/>
    <x v="13"/>
    <x v="1"/>
    <x v="9"/>
    <x v="0"/>
    <n v="1400"/>
  </r>
  <r>
    <x v="0"/>
    <x v="13"/>
    <x v="13"/>
    <x v="1"/>
    <x v="7"/>
    <x v="0"/>
    <n v="600"/>
  </r>
  <r>
    <x v="0"/>
    <x v="13"/>
    <x v="13"/>
    <x v="2"/>
    <x v="5"/>
    <x v="0"/>
    <n v="3010"/>
  </r>
  <r>
    <x v="0"/>
    <x v="13"/>
    <x v="13"/>
    <x v="2"/>
    <x v="2"/>
    <x v="0"/>
    <n v="14416"/>
  </r>
  <r>
    <x v="0"/>
    <x v="13"/>
    <x v="13"/>
    <x v="3"/>
    <x v="5"/>
    <x v="0"/>
    <n v="6020"/>
  </r>
  <r>
    <x v="0"/>
    <x v="13"/>
    <x v="13"/>
    <x v="3"/>
    <x v="0"/>
    <x v="0"/>
    <n v="8634"/>
  </r>
  <r>
    <x v="0"/>
    <x v="13"/>
    <x v="13"/>
    <x v="3"/>
    <x v="1"/>
    <x v="0"/>
    <n v="14416"/>
  </r>
  <r>
    <x v="0"/>
    <x v="13"/>
    <x v="13"/>
    <x v="3"/>
    <x v="3"/>
    <x v="0"/>
    <n v="400"/>
  </r>
  <r>
    <x v="0"/>
    <x v="13"/>
    <x v="13"/>
    <x v="3"/>
    <x v="8"/>
    <x v="0"/>
    <n v="5900"/>
  </r>
  <r>
    <x v="0"/>
    <x v="13"/>
    <x v="13"/>
    <x v="4"/>
    <x v="0"/>
    <x v="0"/>
    <n v="3000"/>
  </r>
  <r>
    <x v="0"/>
    <x v="13"/>
    <x v="13"/>
    <x v="4"/>
    <x v="3"/>
    <x v="0"/>
    <n v="600"/>
  </r>
  <r>
    <x v="0"/>
    <x v="13"/>
    <x v="13"/>
    <x v="4"/>
    <x v="8"/>
    <x v="0"/>
    <n v="700"/>
  </r>
  <r>
    <x v="0"/>
    <x v="13"/>
    <x v="13"/>
    <x v="4"/>
    <x v="9"/>
    <x v="0"/>
    <n v="1700"/>
  </r>
  <r>
    <x v="0"/>
    <x v="13"/>
    <x v="13"/>
    <x v="4"/>
    <x v="10"/>
    <x v="0"/>
    <n v="740"/>
  </r>
  <r>
    <x v="0"/>
    <x v="13"/>
    <x v="13"/>
    <x v="4"/>
    <x v="17"/>
    <x v="0"/>
    <n v="1400"/>
  </r>
  <r>
    <x v="0"/>
    <x v="13"/>
    <x v="13"/>
    <x v="5"/>
    <x v="5"/>
    <x v="0"/>
    <n v="585"/>
  </r>
  <r>
    <x v="0"/>
    <x v="13"/>
    <x v="13"/>
    <x v="5"/>
    <x v="2"/>
    <x v="0"/>
    <n v="400"/>
  </r>
  <r>
    <x v="0"/>
    <x v="13"/>
    <x v="13"/>
    <x v="5"/>
    <x v="6"/>
    <x v="0"/>
    <n v="600"/>
  </r>
  <r>
    <x v="0"/>
    <x v="13"/>
    <x v="13"/>
    <x v="5"/>
    <x v="7"/>
    <x v="0"/>
    <n v="1700"/>
  </r>
  <r>
    <x v="0"/>
    <x v="13"/>
    <x v="13"/>
    <x v="6"/>
    <x v="11"/>
    <x v="0"/>
    <n v="1000"/>
  </r>
  <r>
    <x v="0"/>
    <x v="13"/>
    <x v="13"/>
    <x v="6"/>
    <x v="12"/>
    <x v="0"/>
    <n v="800"/>
  </r>
  <r>
    <x v="0"/>
    <x v="13"/>
    <x v="13"/>
    <x v="7"/>
    <x v="13"/>
    <x v="0"/>
    <n v="1000"/>
  </r>
  <r>
    <x v="0"/>
    <x v="13"/>
    <x v="13"/>
    <x v="7"/>
    <x v="14"/>
    <x v="0"/>
    <n v="700"/>
  </r>
  <r>
    <x v="0"/>
    <x v="13"/>
    <x v="13"/>
    <x v="7"/>
    <x v="15"/>
    <x v="0"/>
    <n v="1300"/>
  </r>
  <r>
    <x v="0"/>
    <x v="13"/>
    <x v="13"/>
    <x v="7"/>
    <x v="10"/>
    <x v="0"/>
    <n v="1350"/>
  </r>
  <r>
    <x v="0"/>
    <x v="13"/>
    <x v="13"/>
    <x v="8"/>
    <x v="12"/>
    <x v="0"/>
    <n v="700"/>
  </r>
  <r>
    <x v="0"/>
    <x v="13"/>
    <x v="13"/>
    <x v="8"/>
    <x v="4"/>
    <x v="0"/>
    <n v="1000"/>
  </r>
  <r>
    <x v="0"/>
    <x v="13"/>
    <x v="13"/>
    <x v="8"/>
    <x v="7"/>
    <x v="0"/>
    <n v="700"/>
  </r>
  <r>
    <x v="0"/>
    <x v="13"/>
    <x v="13"/>
    <x v="9"/>
    <x v="13"/>
    <x v="0"/>
    <n v="800"/>
  </r>
  <r>
    <x v="0"/>
    <x v="13"/>
    <x v="13"/>
    <x v="9"/>
    <x v="16"/>
    <x v="0"/>
    <n v="1200"/>
  </r>
  <r>
    <x v="0"/>
    <x v="13"/>
    <x v="13"/>
    <x v="10"/>
    <x v="2"/>
    <x v="0"/>
    <n v="5100"/>
  </r>
  <r>
    <x v="0"/>
    <x v="13"/>
    <x v="13"/>
    <x v="10"/>
    <x v="6"/>
    <x v="0"/>
    <n v="700"/>
  </r>
  <r>
    <x v="0"/>
    <x v="13"/>
    <x v="13"/>
    <x v="10"/>
    <x v="9"/>
    <x v="0"/>
    <n v="1400"/>
  </r>
  <r>
    <x v="0"/>
    <x v="13"/>
    <x v="13"/>
    <x v="10"/>
    <x v="17"/>
    <x v="0"/>
    <n v="1000"/>
  </r>
  <r>
    <x v="0"/>
    <x v="13"/>
    <x v="13"/>
    <x v="11"/>
    <x v="9"/>
    <x v="0"/>
    <n v="2500"/>
  </r>
  <r>
    <x v="0"/>
    <x v="13"/>
    <x v="13"/>
    <x v="11"/>
    <x v="18"/>
    <x v="0"/>
    <n v="1150"/>
  </r>
  <r>
    <x v="0"/>
    <x v="13"/>
    <x v="13"/>
    <x v="11"/>
    <x v="10"/>
    <x v="0"/>
    <n v="3345"/>
  </r>
  <r>
    <x v="0"/>
    <x v="13"/>
    <x v="13"/>
    <x v="12"/>
    <x v="0"/>
    <x v="0"/>
    <n v="1400"/>
  </r>
  <r>
    <x v="0"/>
    <x v="13"/>
    <x v="13"/>
    <x v="12"/>
    <x v="6"/>
    <x v="0"/>
    <n v="1700"/>
  </r>
  <r>
    <x v="0"/>
    <x v="13"/>
    <x v="13"/>
    <x v="12"/>
    <x v="8"/>
    <x v="0"/>
    <n v="1400"/>
  </r>
  <r>
    <x v="0"/>
    <x v="13"/>
    <x v="13"/>
    <x v="12"/>
    <x v="19"/>
    <x v="0"/>
    <n v="3200"/>
  </r>
  <r>
    <x v="0"/>
    <x v="13"/>
    <x v="13"/>
    <x v="12"/>
    <x v="20"/>
    <x v="0"/>
    <n v="1200"/>
  </r>
  <r>
    <x v="0"/>
    <x v="13"/>
    <x v="13"/>
    <x v="12"/>
    <x v="17"/>
    <x v="0"/>
    <n v="1400"/>
  </r>
  <r>
    <x v="0"/>
    <x v="13"/>
    <x v="13"/>
    <x v="13"/>
    <x v="19"/>
    <x v="0"/>
    <n v="1200"/>
  </r>
  <r>
    <x v="0"/>
    <x v="13"/>
    <x v="13"/>
    <x v="13"/>
    <x v="14"/>
    <x v="0"/>
    <n v="200"/>
  </r>
  <r>
    <x v="0"/>
    <x v="13"/>
    <x v="13"/>
    <x v="13"/>
    <x v="20"/>
    <x v="0"/>
    <n v="1000"/>
  </r>
  <r>
    <x v="0"/>
    <x v="13"/>
    <x v="13"/>
    <x v="13"/>
    <x v="21"/>
    <x v="0"/>
    <n v="600"/>
  </r>
  <r>
    <x v="0"/>
    <x v="13"/>
    <x v="13"/>
    <x v="14"/>
    <x v="11"/>
    <x v="0"/>
    <n v="600"/>
  </r>
  <r>
    <x v="0"/>
    <x v="13"/>
    <x v="13"/>
    <x v="14"/>
    <x v="18"/>
    <x v="0"/>
    <n v="1000"/>
  </r>
  <r>
    <x v="0"/>
    <x v="13"/>
    <x v="13"/>
    <x v="14"/>
    <x v="21"/>
    <x v="0"/>
    <n v="250"/>
  </r>
  <r>
    <x v="0"/>
    <x v="13"/>
    <x v="13"/>
    <x v="15"/>
    <x v="9"/>
    <x v="0"/>
    <n v="1200"/>
  </r>
  <r>
    <x v="0"/>
    <x v="13"/>
    <x v="13"/>
    <x v="15"/>
    <x v="18"/>
    <x v="0"/>
    <n v="1000"/>
  </r>
  <r>
    <x v="0"/>
    <x v="13"/>
    <x v="13"/>
    <x v="16"/>
    <x v="5"/>
    <x v="0"/>
    <n v="2000"/>
  </r>
  <r>
    <x v="0"/>
    <x v="13"/>
    <x v="13"/>
    <x v="16"/>
    <x v="16"/>
    <x v="0"/>
    <n v="1000"/>
  </r>
  <r>
    <x v="0"/>
    <x v="13"/>
    <x v="13"/>
    <x v="17"/>
    <x v="11"/>
    <x v="0"/>
    <n v="1300"/>
  </r>
  <r>
    <x v="0"/>
    <x v="13"/>
    <x v="13"/>
    <x v="17"/>
    <x v="14"/>
    <x v="0"/>
    <n v="600"/>
  </r>
  <r>
    <x v="0"/>
    <x v="13"/>
    <x v="13"/>
    <x v="17"/>
    <x v="21"/>
    <x v="0"/>
    <n v="3300"/>
  </r>
  <r>
    <x v="0"/>
    <x v="13"/>
    <x v="13"/>
    <x v="18"/>
    <x v="18"/>
    <x v="0"/>
    <n v="1000"/>
  </r>
  <r>
    <x v="0"/>
    <x v="13"/>
    <x v="13"/>
    <x v="18"/>
    <x v="14"/>
    <x v="0"/>
    <n v="300"/>
  </r>
  <r>
    <x v="0"/>
    <x v="13"/>
    <x v="13"/>
    <x v="18"/>
    <x v="15"/>
    <x v="0"/>
    <n v="3300"/>
  </r>
  <r>
    <x v="0"/>
    <x v="13"/>
    <x v="13"/>
    <x v="18"/>
    <x v="10"/>
    <x v="0"/>
    <n v="7300"/>
  </r>
  <r>
    <x v="0"/>
    <x v="13"/>
    <x v="13"/>
    <x v="19"/>
    <x v="6"/>
    <x v="0"/>
    <n v="680"/>
  </r>
  <r>
    <x v="0"/>
    <x v="13"/>
    <x v="13"/>
    <x v="19"/>
    <x v="11"/>
    <x v="0"/>
    <n v="1350"/>
  </r>
  <r>
    <x v="0"/>
    <x v="13"/>
    <x v="13"/>
    <x v="19"/>
    <x v="19"/>
    <x v="0"/>
    <n v="3295"/>
  </r>
  <r>
    <x v="0"/>
    <x v="13"/>
    <x v="13"/>
    <x v="19"/>
    <x v="21"/>
    <x v="0"/>
    <n v="7300"/>
  </r>
  <r>
    <x v="0"/>
    <x v="13"/>
    <x v="13"/>
    <x v="19"/>
    <x v="7"/>
    <x v="0"/>
    <n v="6500"/>
  </r>
  <r>
    <x v="0"/>
    <x v="13"/>
    <x v="13"/>
    <x v="20"/>
    <x v="0"/>
    <x v="0"/>
    <n v="610"/>
  </r>
  <r>
    <x v="0"/>
    <x v="13"/>
    <x v="13"/>
    <x v="20"/>
    <x v="3"/>
    <x v="0"/>
    <n v="1300"/>
  </r>
  <r>
    <x v="0"/>
    <x v="13"/>
    <x v="13"/>
    <x v="20"/>
    <x v="16"/>
    <x v="0"/>
    <n v="700"/>
  </r>
  <r>
    <x v="0"/>
    <x v="13"/>
    <x v="13"/>
    <x v="20"/>
    <x v="10"/>
    <x v="0"/>
    <n v="3200"/>
  </r>
  <r>
    <x v="0"/>
    <x v="13"/>
    <x v="13"/>
    <x v="21"/>
    <x v="6"/>
    <x v="0"/>
    <n v="1400"/>
  </r>
  <r>
    <x v="0"/>
    <x v="13"/>
    <x v="13"/>
    <x v="21"/>
    <x v="8"/>
    <x v="0"/>
    <n v="1000"/>
  </r>
  <r>
    <x v="0"/>
    <x v="13"/>
    <x v="13"/>
    <x v="21"/>
    <x v="9"/>
    <x v="0"/>
    <n v="1400"/>
  </r>
  <r>
    <x v="0"/>
    <x v="14"/>
    <x v="14"/>
    <x v="0"/>
    <x v="0"/>
    <x v="0"/>
    <n v="3010"/>
  </r>
  <r>
    <x v="0"/>
    <x v="14"/>
    <x v="14"/>
    <x v="0"/>
    <x v="1"/>
    <x v="0"/>
    <n v="3010"/>
  </r>
  <r>
    <x v="0"/>
    <x v="14"/>
    <x v="14"/>
    <x v="0"/>
    <x v="2"/>
    <x v="0"/>
    <n v="6020"/>
  </r>
  <r>
    <x v="0"/>
    <x v="14"/>
    <x v="14"/>
    <x v="0"/>
    <x v="3"/>
    <x v="0"/>
    <n v="600"/>
  </r>
  <r>
    <x v="0"/>
    <x v="14"/>
    <x v="14"/>
    <x v="0"/>
    <x v="4"/>
    <x v="0"/>
    <n v="2000"/>
  </r>
  <r>
    <x v="0"/>
    <x v="14"/>
    <x v="14"/>
    <x v="1"/>
    <x v="5"/>
    <x v="0"/>
    <n v="3010"/>
  </r>
  <r>
    <x v="0"/>
    <x v="14"/>
    <x v="14"/>
    <x v="1"/>
    <x v="2"/>
    <x v="0"/>
    <n v="8634"/>
  </r>
  <r>
    <x v="0"/>
    <x v="14"/>
    <x v="14"/>
    <x v="1"/>
    <x v="6"/>
    <x v="0"/>
    <n v="3000"/>
  </r>
  <r>
    <x v="0"/>
    <x v="14"/>
    <x v="14"/>
    <x v="1"/>
    <x v="9"/>
    <x v="0"/>
    <n v="1400"/>
  </r>
  <r>
    <x v="0"/>
    <x v="14"/>
    <x v="14"/>
    <x v="1"/>
    <x v="7"/>
    <x v="0"/>
    <n v="600"/>
  </r>
  <r>
    <x v="0"/>
    <x v="14"/>
    <x v="14"/>
    <x v="2"/>
    <x v="5"/>
    <x v="0"/>
    <n v="3010"/>
  </r>
  <r>
    <x v="0"/>
    <x v="14"/>
    <x v="14"/>
    <x v="2"/>
    <x v="2"/>
    <x v="0"/>
    <n v="14416"/>
  </r>
  <r>
    <x v="0"/>
    <x v="14"/>
    <x v="14"/>
    <x v="3"/>
    <x v="5"/>
    <x v="0"/>
    <n v="6020"/>
  </r>
  <r>
    <x v="0"/>
    <x v="14"/>
    <x v="14"/>
    <x v="3"/>
    <x v="0"/>
    <x v="0"/>
    <n v="8634"/>
  </r>
  <r>
    <x v="0"/>
    <x v="14"/>
    <x v="14"/>
    <x v="3"/>
    <x v="1"/>
    <x v="0"/>
    <n v="14416"/>
  </r>
  <r>
    <x v="0"/>
    <x v="14"/>
    <x v="14"/>
    <x v="3"/>
    <x v="3"/>
    <x v="0"/>
    <n v="400"/>
  </r>
  <r>
    <x v="0"/>
    <x v="14"/>
    <x v="14"/>
    <x v="3"/>
    <x v="8"/>
    <x v="0"/>
    <n v="5900"/>
  </r>
  <r>
    <x v="0"/>
    <x v="14"/>
    <x v="14"/>
    <x v="4"/>
    <x v="0"/>
    <x v="0"/>
    <n v="3000"/>
  </r>
  <r>
    <x v="0"/>
    <x v="14"/>
    <x v="14"/>
    <x v="4"/>
    <x v="3"/>
    <x v="0"/>
    <n v="600"/>
  </r>
  <r>
    <x v="0"/>
    <x v="14"/>
    <x v="14"/>
    <x v="4"/>
    <x v="8"/>
    <x v="0"/>
    <n v="700"/>
  </r>
  <r>
    <x v="0"/>
    <x v="14"/>
    <x v="14"/>
    <x v="4"/>
    <x v="9"/>
    <x v="0"/>
    <n v="1700"/>
  </r>
  <r>
    <x v="0"/>
    <x v="14"/>
    <x v="14"/>
    <x v="4"/>
    <x v="10"/>
    <x v="0"/>
    <n v="740"/>
  </r>
  <r>
    <x v="0"/>
    <x v="14"/>
    <x v="14"/>
    <x v="4"/>
    <x v="17"/>
    <x v="0"/>
    <n v="1400"/>
  </r>
  <r>
    <x v="0"/>
    <x v="14"/>
    <x v="14"/>
    <x v="5"/>
    <x v="5"/>
    <x v="0"/>
    <n v="585"/>
  </r>
  <r>
    <x v="0"/>
    <x v="14"/>
    <x v="14"/>
    <x v="5"/>
    <x v="2"/>
    <x v="0"/>
    <n v="400"/>
  </r>
  <r>
    <x v="0"/>
    <x v="14"/>
    <x v="14"/>
    <x v="5"/>
    <x v="6"/>
    <x v="0"/>
    <n v="600"/>
  </r>
  <r>
    <x v="0"/>
    <x v="14"/>
    <x v="14"/>
    <x v="5"/>
    <x v="7"/>
    <x v="0"/>
    <n v="1700"/>
  </r>
  <r>
    <x v="0"/>
    <x v="14"/>
    <x v="14"/>
    <x v="6"/>
    <x v="11"/>
    <x v="0"/>
    <n v="1000"/>
  </r>
  <r>
    <x v="0"/>
    <x v="14"/>
    <x v="14"/>
    <x v="6"/>
    <x v="12"/>
    <x v="0"/>
    <n v="800"/>
  </r>
  <r>
    <x v="0"/>
    <x v="14"/>
    <x v="14"/>
    <x v="7"/>
    <x v="13"/>
    <x v="0"/>
    <n v="1000"/>
  </r>
  <r>
    <x v="0"/>
    <x v="14"/>
    <x v="14"/>
    <x v="7"/>
    <x v="14"/>
    <x v="0"/>
    <n v="700"/>
  </r>
  <r>
    <x v="0"/>
    <x v="14"/>
    <x v="14"/>
    <x v="7"/>
    <x v="15"/>
    <x v="0"/>
    <n v="1300"/>
  </r>
  <r>
    <x v="0"/>
    <x v="14"/>
    <x v="14"/>
    <x v="7"/>
    <x v="10"/>
    <x v="0"/>
    <n v="1350"/>
  </r>
  <r>
    <x v="0"/>
    <x v="14"/>
    <x v="14"/>
    <x v="8"/>
    <x v="12"/>
    <x v="0"/>
    <n v="700"/>
  </r>
  <r>
    <x v="0"/>
    <x v="14"/>
    <x v="14"/>
    <x v="8"/>
    <x v="4"/>
    <x v="0"/>
    <n v="1000"/>
  </r>
  <r>
    <x v="0"/>
    <x v="14"/>
    <x v="14"/>
    <x v="8"/>
    <x v="7"/>
    <x v="0"/>
    <n v="700"/>
  </r>
  <r>
    <x v="0"/>
    <x v="14"/>
    <x v="14"/>
    <x v="9"/>
    <x v="13"/>
    <x v="0"/>
    <n v="800"/>
  </r>
  <r>
    <x v="0"/>
    <x v="14"/>
    <x v="14"/>
    <x v="9"/>
    <x v="16"/>
    <x v="0"/>
    <n v="1200"/>
  </r>
  <r>
    <x v="0"/>
    <x v="14"/>
    <x v="14"/>
    <x v="10"/>
    <x v="2"/>
    <x v="0"/>
    <n v="5100"/>
  </r>
  <r>
    <x v="0"/>
    <x v="14"/>
    <x v="14"/>
    <x v="10"/>
    <x v="6"/>
    <x v="0"/>
    <n v="700"/>
  </r>
  <r>
    <x v="0"/>
    <x v="14"/>
    <x v="14"/>
    <x v="10"/>
    <x v="9"/>
    <x v="0"/>
    <n v="1400"/>
  </r>
  <r>
    <x v="0"/>
    <x v="14"/>
    <x v="14"/>
    <x v="10"/>
    <x v="17"/>
    <x v="0"/>
    <n v="1000"/>
  </r>
  <r>
    <x v="0"/>
    <x v="14"/>
    <x v="14"/>
    <x v="11"/>
    <x v="9"/>
    <x v="0"/>
    <n v="2500"/>
  </r>
  <r>
    <x v="0"/>
    <x v="14"/>
    <x v="14"/>
    <x v="11"/>
    <x v="18"/>
    <x v="0"/>
    <n v="1150"/>
  </r>
  <r>
    <x v="0"/>
    <x v="14"/>
    <x v="14"/>
    <x v="11"/>
    <x v="10"/>
    <x v="0"/>
    <n v="3345"/>
  </r>
  <r>
    <x v="0"/>
    <x v="14"/>
    <x v="14"/>
    <x v="12"/>
    <x v="0"/>
    <x v="0"/>
    <n v="1400"/>
  </r>
  <r>
    <x v="0"/>
    <x v="14"/>
    <x v="14"/>
    <x v="12"/>
    <x v="6"/>
    <x v="0"/>
    <n v="1700"/>
  </r>
  <r>
    <x v="0"/>
    <x v="14"/>
    <x v="14"/>
    <x v="12"/>
    <x v="8"/>
    <x v="0"/>
    <n v="1400"/>
  </r>
  <r>
    <x v="0"/>
    <x v="14"/>
    <x v="14"/>
    <x v="12"/>
    <x v="19"/>
    <x v="0"/>
    <n v="3200"/>
  </r>
  <r>
    <x v="0"/>
    <x v="14"/>
    <x v="14"/>
    <x v="12"/>
    <x v="20"/>
    <x v="0"/>
    <n v="1200"/>
  </r>
  <r>
    <x v="0"/>
    <x v="14"/>
    <x v="14"/>
    <x v="12"/>
    <x v="17"/>
    <x v="0"/>
    <n v="1400"/>
  </r>
  <r>
    <x v="0"/>
    <x v="14"/>
    <x v="14"/>
    <x v="13"/>
    <x v="19"/>
    <x v="0"/>
    <n v="1200"/>
  </r>
  <r>
    <x v="0"/>
    <x v="14"/>
    <x v="14"/>
    <x v="13"/>
    <x v="14"/>
    <x v="0"/>
    <n v="200"/>
  </r>
  <r>
    <x v="0"/>
    <x v="14"/>
    <x v="14"/>
    <x v="13"/>
    <x v="20"/>
    <x v="0"/>
    <n v="1000"/>
  </r>
  <r>
    <x v="0"/>
    <x v="14"/>
    <x v="14"/>
    <x v="13"/>
    <x v="21"/>
    <x v="0"/>
    <n v="600"/>
  </r>
  <r>
    <x v="0"/>
    <x v="14"/>
    <x v="14"/>
    <x v="14"/>
    <x v="11"/>
    <x v="0"/>
    <n v="600"/>
  </r>
  <r>
    <x v="0"/>
    <x v="14"/>
    <x v="14"/>
    <x v="14"/>
    <x v="18"/>
    <x v="0"/>
    <n v="1000"/>
  </r>
  <r>
    <x v="0"/>
    <x v="14"/>
    <x v="14"/>
    <x v="14"/>
    <x v="21"/>
    <x v="0"/>
    <n v="250"/>
  </r>
  <r>
    <x v="0"/>
    <x v="14"/>
    <x v="14"/>
    <x v="15"/>
    <x v="9"/>
    <x v="0"/>
    <n v="1200"/>
  </r>
  <r>
    <x v="0"/>
    <x v="14"/>
    <x v="14"/>
    <x v="15"/>
    <x v="18"/>
    <x v="0"/>
    <n v="1000"/>
  </r>
  <r>
    <x v="0"/>
    <x v="14"/>
    <x v="14"/>
    <x v="16"/>
    <x v="5"/>
    <x v="0"/>
    <n v="2000"/>
  </r>
  <r>
    <x v="0"/>
    <x v="14"/>
    <x v="14"/>
    <x v="16"/>
    <x v="16"/>
    <x v="0"/>
    <n v="1000"/>
  </r>
  <r>
    <x v="0"/>
    <x v="14"/>
    <x v="14"/>
    <x v="17"/>
    <x v="11"/>
    <x v="0"/>
    <n v="1300"/>
  </r>
  <r>
    <x v="0"/>
    <x v="14"/>
    <x v="14"/>
    <x v="17"/>
    <x v="14"/>
    <x v="0"/>
    <n v="600"/>
  </r>
  <r>
    <x v="0"/>
    <x v="14"/>
    <x v="14"/>
    <x v="17"/>
    <x v="21"/>
    <x v="0"/>
    <n v="3300"/>
  </r>
  <r>
    <x v="0"/>
    <x v="14"/>
    <x v="14"/>
    <x v="18"/>
    <x v="18"/>
    <x v="0"/>
    <n v="1000"/>
  </r>
  <r>
    <x v="0"/>
    <x v="14"/>
    <x v="14"/>
    <x v="18"/>
    <x v="14"/>
    <x v="0"/>
    <n v="300"/>
  </r>
  <r>
    <x v="0"/>
    <x v="14"/>
    <x v="14"/>
    <x v="18"/>
    <x v="15"/>
    <x v="0"/>
    <n v="3300"/>
  </r>
  <r>
    <x v="0"/>
    <x v="14"/>
    <x v="14"/>
    <x v="18"/>
    <x v="10"/>
    <x v="0"/>
    <n v="7300"/>
  </r>
  <r>
    <x v="0"/>
    <x v="14"/>
    <x v="14"/>
    <x v="19"/>
    <x v="6"/>
    <x v="0"/>
    <n v="680"/>
  </r>
  <r>
    <x v="0"/>
    <x v="14"/>
    <x v="14"/>
    <x v="19"/>
    <x v="11"/>
    <x v="0"/>
    <n v="1350"/>
  </r>
  <r>
    <x v="0"/>
    <x v="14"/>
    <x v="14"/>
    <x v="19"/>
    <x v="19"/>
    <x v="0"/>
    <n v="3295"/>
  </r>
  <r>
    <x v="0"/>
    <x v="14"/>
    <x v="14"/>
    <x v="19"/>
    <x v="21"/>
    <x v="0"/>
    <n v="7300"/>
  </r>
  <r>
    <x v="0"/>
    <x v="14"/>
    <x v="14"/>
    <x v="19"/>
    <x v="7"/>
    <x v="0"/>
    <n v="6500"/>
  </r>
  <r>
    <x v="0"/>
    <x v="14"/>
    <x v="14"/>
    <x v="20"/>
    <x v="0"/>
    <x v="0"/>
    <n v="610"/>
  </r>
  <r>
    <x v="0"/>
    <x v="14"/>
    <x v="14"/>
    <x v="20"/>
    <x v="3"/>
    <x v="0"/>
    <n v="1300"/>
  </r>
  <r>
    <x v="0"/>
    <x v="14"/>
    <x v="14"/>
    <x v="20"/>
    <x v="16"/>
    <x v="0"/>
    <n v="700"/>
  </r>
  <r>
    <x v="0"/>
    <x v="14"/>
    <x v="14"/>
    <x v="20"/>
    <x v="10"/>
    <x v="0"/>
    <n v="3200"/>
  </r>
  <r>
    <x v="0"/>
    <x v="14"/>
    <x v="14"/>
    <x v="21"/>
    <x v="6"/>
    <x v="0"/>
    <n v="1400"/>
  </r>
  <r>
    <x v="0"/>
    <x v="14"/>
    <x v="14"/>
    <x v="21"/>
    <x v="8"/>
    <x v="0"/>
    <n v="1000"/>
  </r>
  <r>
    <x v="0"/>
    <x v="14"/>
    <x v="14"/>
    <x v="21"/>
    <x v="9"/>
    <x v="0"/>
    <n v="1400"/>
  </r>
  <r>
    <x v="0"/>
    <x v="15"/>
    <x v="15"/>
    <x v="0"/>
    <x v="0"/>
    <x v="0"/>
    <n v="3010"/>
  </r>
  <r>
    <x v="0"/>
    <x v="15"/>
    <x v="15"/>
    <x v="0"/>
    <x v="1"/>
    <x v="0"/>
    <n v="3010"/>
  </r>
  <r>
    <x v="0"/>
    <x v="15"/>
    <x v="15"/>
    <x v="0"/>
    <x v="2"/>
    <x v="0"/>
    <n v="6020"/>
  </r>
  <r>
    <x v="0"/>
    <x v="15"/>
    <x v="15"/>
    <x v="0"/>
    <x v="3"/>
    <x v="0"/>
    <n v="600"/>
  </r>
  <r>
    <x v="0"/>
    <x v="15"/>
    <x v="15"/>
    <x v="0"/>
    <x v="4"/>
    <x v="0"/>
    <n v="2000"/>
  </r>
  <r>
    <x v="0"/>
    <x v="15"/>
    <x v="15"/>
    <x v="1"/>
    <x v="5"/>
    <x v="0"/>
    <n v="3010"/>
  </r>
  <r>
    <x v="0"/>
    <x v="15"/>
    <x v="15"/>
    <x v="1"/>
    <x v="2"/>
    <x v="0"/>
    <n v="8634"/>
  </r>
  <r>
    <x v="0"/>
    <x v="15"/>
    <x v="15"/>
    <x v="1"/>
    <x v="6"/>
    <x v="0"/>
    <n v="3000"/>
  </r>
  <r>
    <x v="0"/>
    <x v="15"/>
    <x v="15"/>
    <x v="1"/>
    <x v="9"/>
    <x v="0"/>
    <n v="1400"/>
  </r>
  <r>
    <x v="0"/>
    <x v="15"/>
    <x v="15"/>
    <x v="1"/>
    <x v="7"/>
    <x v="0"/>
    <n v="600"/>
  </r>
  <r>
    <x v="0"/>
    <x v="15"/>
    <x v="15"/>
    <x v="2"/>
    <x v="5"/>
    <x v="0"/>
    <n v="3010"/>
  </r>
  <r>
    <x v="0"/>
    <x v="15"/>
    <x v="15"/>
    <x v="2"/>
    <x v="2"/>
    <x v="0"/>
    <n v="14416"/>
  </r>
  <r>
    <x v="0"/>
    <x v="15"/>
    <x v="15"/>
    <x v="3"/>
    <x v="5"/>
    <x v="0"/>
    <n v="6020"/>
  </r>
  <r>
    <x v="0"/>
    <x v="15"/>
    <x v="15"/>
    <x v="3"/>
    <x v="0"/>
    <x v="0"/>
    <n v="8634"/>
  </r>
  <r>
    <x v="0"/>
    <x v="15"/>
    <x v="15"/>
    <x v="3"/>
    <x v="1"/>
    <x v="0"/>
    <n v="14416"/>
  </r>
  <r>
    <x v="0"/>
    <x v="15"/>
    <x v="15"/>
    <x v="3"/>
    <x v="3"/>
    <x v="0"/>
    <n v="400"/>
  </r>
  <r>
    <x v="0"/>
    <x v="15"/>
    <x v="15"/>
    <x v="3"/>
    <x v="8"/>
    <x v="0"/>
    <n v="5900"/>
  </r>
  <r>
    <x v="0"/>
    <x v="15"/>
    <x v="15"/>
    <x v="4"/>
    <x v="0"/>
    <x v="0"/>
    <n v="3000"/>
  </r>
  <r>
    <x v="0"/>
    <x v="15"/>
    <x v="15"/>
    <x v="4"/>
    <x v="3"/>
    <x v="0"/>
    <n v="600"/>
  </r>
  <r>
    <x v="0"/>
    <x v="15"/>
    <x v="15"/>
    <x v="4"/>
    <x v="8"/>
    <x v="0"/>
    <n v="700"/>
  </r>
  <r>
    <x v="0"/>
    <x v="15"/>
    <x v="15"/>
    <x v="4"/>
    <x v="9"/>
    <x v="0"/>
    <n v="1700"/>
  </r>
  <r>
    <x v="0"/>
    <x v="15"/>
    <x v="15"/>
    <x v="4"/>
    <x v="10"/>
    <x v="0"/>
    <n v="740"/>
  </r>
  <r>
    <x v="0"/>
    <x v="15"/>
    <x v="15"/>
    <x v="4"/>
    <x v="17"/>
    <x v="0"/>
    <n v="1400"/>
  </r>
  <r>
    <x v="0"/>
    <x v="15"/>
    <x v="15"/>
    <x v="5"/>
    <x v="5"/>
    <x v="0"/>
    <n v="585"/>
  </r>
  <r>
    <x v="0"/>
    <x v="15"/>
    <x v="15"/>
    <x v="5"/>
    <x v="2"/>
    <x v="0"/>
    <n v="400"/>
  </r>
  <r>
    <x v="0"/>
    <x v="15"/>
    <x v="15"/>
    <x v="5"/>
    <x v="6"/>
    <x v="0"/>
    <n v="600"/>
  </r>
  <r>
    <x v="0"/>
    <x v="15"/>
    <x v="15"/>
    <x v="5"/>
    <x v="7"/>
    <x v="0"/>
    <n v="1700"/>
  </r>
  <r>
    <x v="0"/>
    <x v="15"/>
    <x v="15"/>
    <x v="6"/>
    <x v="11"/>
    <x v="0"/>
    <n v="1000"/>
  </r>
  <r>
    <x v="0"/>
    <x v="15"/>
    <x v="15"/>
    <x v="6"/>
    <x v="12"/>
    <x v="0"/>
    <n v="800"/>
  </r>
  <r>
    <x v="0"/>
    <x v="15"/>
    <x v="15"/>
    <x v="7"/>
    <x v="13"/>
    <x v="0"/>
    <n v="1000"/>
  </r>
  <r>
    <x v="0"/>
    <x v="15"/>
    <x v="15"/>
    <x v="7"/>
    <x v="14"/>
    <x v="0"/>
    <n v="700"/>
  </r>
  <r>
    <x v="0"/>
    <x v="15"/>
    <x v="15"/>
    <x v="7"/>
    <x v="15"/>
    <x v="0"/>
    <n v="1300"/>
  </r>
  <r>
    <x v="0"/>
    <x v="15"/>
    <x v="15"/>
    <x v="7"/>
    <x v="10"/>
    <x v="0"/>
    <n v="1350"/>
  </r>
  <r>
    <x v="0"/>
    <x v="15"/>
    <x v="15"/>
    <x v="8"/>
    <x v="12"/>
    <x v="0"/>
    <n v="700"/>
  </r>
  <r>
    <x v="0"/>
    <x v="15"/>
    <x v="15"/>
    <x v="8"/>
    <x v="4"/>
    <x v="0"/>
    <n v="1000"/>
  </r>
  <r>
    <x v="0"/>
    <x v="15"/>
    <x v="15"/>
    <x v="8"/>
    <x v="7"/>
    <x v="0"/>
    <n v="700"/>
  </r>
  <r>
    <x v="0"/>
    <x v="15"/>
    <x v="15"/>
    <x v="9"/>
    <x v="13"/>
    <x v="0"/>
    <n v="800"/>
  </r>
  <r>
    <x v="0"/>
    <x v="15"/>
    <x v="15"/>
    <x v="9"/>
    <x v="16"/>
    <x v="0"/>
    <n v="1200"/>
  </r>
  <r>
    <x v="0"/>
    <x v="15"/>
    <x v="15"/>
    <x v="10"/>
    <x v="2"/>
    <x v="0"/>
    <n v="5100"/>
  </r>
  <r>
    <x v="0"/>
    <x v="15"/>
    <x v="15"/>
    <x v="10"/>
    <x v="6"/>
    <x v="0"/>
    <n v="700"/>
  </r>
  <r>
    <x v="0"/>
    <x v="15"/>
    <x v="15"/>
    <x v="10"/>
    <x v="9"/>
    <x v="0"/>
    <n v="1400"/>
  </r>
  <r>
    <x v="0"/>
    <x v="15"/>
    <x v="15"/>
    <x v="10"/>
    <x v="17"/>
    <x v="0"/>
    <n v="1000"/>
  </r>
  <r>
    <x v="0"/>
    <x v="15"/>
    <x v="15"/>
    <x v="11"/>
    <x v="9"/>
    <x v="0"/>
    <n v="2500"/>
  </r>
  <r>
    <x v="0"/>
    <x v="15"/>
    <x v="15"/>
    <x v="11"/>
    <x v="18"/>
    <x v="0"/>
    <n v="1150"/>
  </r>
  <r>
    <x v="0"/>
    <x v="15"/>
    <x v="15"/>
    <x v="11"/>
    <x v="10"/>
    <x v="0"/>
    <n v="3345"/>
  </r>
  <r>
    <x v="0"/>
    <x v="15"/>
    <x v="15"/>
    <x v="12"/>
    <x v="0"/>
    <x v="0"/>
    <n v="1400"/>
  </r>
  <r>
    <x v="0"/>
    <x v="15"/>
    <x v="15"/>
    <x v="12"/>
    <x v="6"/>
    <x v="0"/>
    <n v="1700"/>
  </r>
  <r>
    <x v="0"/>
    <x v="15"/>
    <x v="15"/>
    <x v="12"/>
    <x v="8"/>
    <x v="0"/>
    <n v="1400"/>
  </r>
  <r>
    <x v="0"/>
    <x v="15"/>
    <x v="15"/>
    <x v="12"/>
    <x v="19"/>
    <x v="0"/>
    <n v="3200"/>
  </r>
  <r>
    <x v="0"/>
    <x v="15"/>
    <x v="15"/>
    <x v="12"/>
    <x v="20"/>
    <x v="0"/>
    <n v="1200"/>
  </r>
  <r>
    <x v="0"/>
    <x v="15"/>
    <x v="15"/>
    <x v="12"/>
    <x v="17"/>
    <x v="0"/>
    <n v="1400"/>
  </r>
  <r>
    <x v="0"/>
    <x v="15"/>
    <x v="15"/>
    <x v="13"/>
    <x v="19"/>
    <x v="0"/>
    <n v="1200"/>
  </r>
  <r>
    <x v="0"/>
    <x v="15"/>
    <x v="15"/>
    <x v="13"/>
    <x v="14"/>
    <x v="0"/>
    <n v="200"/>
  </r>
  <r>
    <x v="0"/>
    <x v="15"/>
    <x v="15"/>
    <x v="13"/>
    <x v="20"/>
    <x v="0"/>
    <n v="1000"/>
  </r>
  <r>
    <x v="0"/>
    <x v="15"/>
    <x v="15"/>
    <x v="13"/>
    <x v="21"/>
    <x v="0"/>
    <n v="600"/>
  </r>
  <r>
    <x v="0"/>
    <x v="15"/>
    <x v="15"/>
    <x v="14"/>
    <x v="11"/>
    <x v="0"/>
    <n v="600"/>
  </r>
  <r>
    <x v="0"/>
    <x v="15"/>
    <x v="15"/>
    <x v="14"/>
    <x v="18"/>
    <x v="0"/>
    <n v="1000"/>
  </r>
  <r>
    <x v="0"/>
    <x v="15"/>
    <x v="15"/>
    <x v="14"/>
    <x v="21"/>
    <x v="0"/>
    <n v="250"/>
  </r>
  <r>
    <x v="0"/>
    <x v="15"/>
    <x v="15"/>
    <x v="15"/>
    <x v="9"/>
    <x v="0"/>
    <n v="1200"/>
  </r>
  <r>
    <x v="0"/>
    <x v="15"/>
    <x v="15"/>
    <x v="15"/>
    <x v="18"/>
    <x v="0"/>
    <n v="1000"/>
  </r>
  <r>
    <x v="0"/>
    <x v="15"/>
    <x v="15"/>
    <x v="16"/>
    <x v="5"/>
    <x v="0"/>
    <n v="2000"/>
  </r>
  <r>
    <x v="0"/>
    <x v="15"/>
    <x v="15"/>
    <x v="16"/>
    <x v="16"/>
    <x v="0"/>
    <n v="1000"/>
  </r>
  <r>
    <x v="0"/>
    <x v="15"/>
    <x v="15"/>
    <x v="17"/>
    <x v="11"/>
    <x v="0"/>
    <n v="1300"/>
  </r>
  <r>
    <x v="0"/>
    <x v="15"/>
    <x v="15"/>
    <x v="17"/>
    <x v="14"/>
    <x v="0"/>
    <n v="600"/>
  </r>
  <r>
    <x v="0"/>
    <x v="15"/>
    <x v="15"/>
    <x v="17"/>
    <x v="21"/>
    <x v="0"/>
    <n v="3300"/>
  </r>
  <r>
    <x v="0"/>
    <x v="15"/>
    <x v="15"/>
    <x v="18"/>
    <x v="18"/>
    <x v="0"/>
    <n v="1000"/>
  </r>
  <r>
    <x v="0"/>
    <x v="15"/>
    <x v="15"/>
    <x v="18"/>
    <x v="14"/>
    <x v="0"/>
    <n v="300"/>
  </r>
  <r>
    <x v="0"/>
    <x v="15"/>
    <x v="15"/>
    <x v="18"/>
    <x v="15"/>
    <x v="0"/>
    <n v="3300"/>
  </r>
  <r>
    <x v="0"/>
    <x v="15"/>
    <x v="15"/>
    <x v="18"/>
    <x v="10"/>
    <x v="0"/>
    <n v="7300"/>
  </r>
  <r>
    <x v="0"/>
    <x v="15"/>
    <x v="15"/>
    <x v="19"/>
    <x v="6"/>
    <x v="0"/>
    <n v="680"/>
  </r>
  <r>
    <x v="0"/>
    <x v="15"/>
    <x v="15"/>
    <x v="19"/>
    <x v="11"/>
    <x v="0"/>
    <n v="1350"/>
  </r>
  <r>
    <x v="0"/>
    <x v="15"/>
    <x v="15"/>
    <x v="19"/>
    <x v="19"/>
    <x v="0"/>
    <n v="3295"/>
  </r>
  <r>
    <x v="0"/>
    <x v="15"/>
    <x v="15"/>
    <x v="19"/>
    <x v="21"/>
    <x v="0"/>
    <n v="7300"/>
  </r>
  <r>
    <x v="0"/>
    <x v="15"/>
    <x v="15"/>
    <x v="19"/>
    <x v="7"/>
    <x v="0"/>
    <n v="6500"/>
  </r>
  <r>
    <x v="0"/>
    <x v="15"/>
    <x v="15"/>
    <x v="20"/>
    <x v="0"/>
    <x v="0"/>
    <n v="610"/>
  </r>
  <r>
    <x v="0"/>
    <x v="15"/>
    <x v="15"/>
    <x v="20"/>
    <x v="3"/>
    <x v="0"/>
    <n v="1300"/>
  </r>
  <r>
    <x v="0"/>
    <x v="15"/>
    <x v="15"/>
    <x v="20"/>
    <x v="16"/>
    <x v="0"/>
    <n v="700"/>
  </r>
  <r>
    <x v="0"/>
    <x v="15"/>
    <x v="15"/>
    <x v="20"/>
    <x v="10"/>
    <x v="0"/>
    <n v="3200"/>
  </r>
  <r>
    <x v="0"/>
    <x v="15"/>
    <x v="15"/>
    <x v="21"/>
    <x v="6"/>
    <x v="0"/>
    <n v="1400"/>
  </r>
  <r>
    <x v="0"/>
    <x v="15"/>
    <x v="15"/>
    <x v="21"/>
    <x v="8"/>
    <x v="0"/>
    <n v="1000"/>
  </r>
  <r>
    <x v="0"/>
    <x v="15"/>
    <x v="15"/>
    <x v="21"/>
    <x v="9"/>
    <x v="0"/>
    <n v="1400"/>
  </r>
  <r>
    <x v="0"/>
    <x v="16"/>
    <x v="16"/>
    <x v="0"/>
    <x v="0"/>
    <x v="0"/>
    <n v="3010"/>
  </r>
  <r>
    <x v="0"/>
    <x v="16"/>
    <x v="16"/>
    <x v="0"/>
    <x v="1"/>
    <x v="0"/>
    <n v="3010"/>
  </r>
  <r>
    <x v="0"/>
    <x v="16"/>
    <x v="16"/>
    <x v="0"/>
    <x v="2"/>
    <x v="0"/>
    <n v="6020"/>
  </r>
  <r>
    <x v="0"/>
    <x v="16"/>
    <x v="16"/>
    <x v="0"/>
    <x v="3"/>
    <x v="0"/>
    <n v="600"/>
  </r>
  <r>
    <x v="0"/>
    <x v="16"/>
    <x v="16"/>
    <x v="0"/>
    <x v="4"/>
    <x v="0"/>
    <n v="2000"/>
  </r>
  <r>
    <x v="0"/>
    <x v="16"/>
    <x v="16"/>
    <x v="1"/>
    <x v="5"/>
    <x v="0"/>
    <n v="3010"/>
  </r>
  <r>
    <x v="0"/>
    <x v="16"/>
    <x v="16"/>
    <x v="1"/>
    <x v="2"/>
    <x v="0"/>
    <n v="8634"/>
  </r>
  <r>
    <x v="0"/>
    <x v="16"/>
    <x v="16"/>
    <x v="1"/>
    <x v="6"/>
    <x v="0"/>
    <n v="3000"/>
  </r>
  <r>
    <x v="0"/>
    <x v="16"/>
    <x v="16"/>
    <x v="1"/>
    <x v="9"/>
    <x v="0"/>
    <n v="1400"/>
  </r>
  <r>
    <x v="0"/>
    <x v="16"/>
    <x v="16"/>
    <x v="1"/>
    <x v="7"/>
    <x v="0"/>
    <n v="600"/>
  </r>
  <r>
    <x v="0"/>
    <x v="16"/>
    <x v="16"/>
    <x v="2"/>
    <x v="5"/>
    <x v="0"/>
    <n v="3010"/>
  </r>
  <r>
    <x v="0"/>
    <x v="16"/>
    <x v="16"/>
    <x v="2"/>
    <x v="2"/>
    <x v="0"/>
    <n v="14416"/>
  </r>
  <r>
    <x v="0"/>
    <x v="16"/>
    <x v="16"/>
    <x v="3"/>
    <x v="5"/>
    <x v="0"/>
    <n v="6020"/>
  </r>
  <r>
    <x v="0"/>
    <x v="16"/>
    <x v="16"/>
    <x v="3"/>
    <x v="0"/>
    <x v="0"/>
    <n v="8634"/>
  </r>
  <r>
    <x v="0"/>
    <x v="16"/>
    <x v="16"/>
    <x v="3"/>
    <x v="1"/>
    <x v="0"/>
    <n v="14416"/>
  </r>
  <r>
    <x v="0"/>
    <x v="16"/>
    <x v="16"/>
    <x v="3"/>
    <x v="3"/>
    <x v="0"/>
    <n v="400"/>
  </r>
  <r>
    <x v="0"/>
    <x v="16"/>
    <x v="16"/>
    <x v="3"/>
    <x v="8"/>
    <x v="0"/>
    <n v="5900"/>
  </r>
  <r>
    <x v="0"/>
    <x v="16"/>
    <x v="16"/>
    <x v="4"/>
    <x v="0"/>
    <x v="0"/>
    <n v="3000"/>
  </r>
  <r>
    <x v="0"/>
    <x v="16"/>
    <x v="16"/>
    <x v="4"/>
    <x v="3"/>
    <x v="0"/>
    <n v="600"/>
  </r>
  <r>
    <x v="0"/>
    <x v="16"/>
    <x v="16"/>
    <x v="4"/>
    <x v="8"/>
    <x v="0"/>
    <n v="700"/>
  </r>
  <r>
    <x v="0"/>
    <x v="16"/>
    <x v="16"/>
    <x v="4"/>
    <x v="9"/>
    <x v="0"/>
    <n v="1700"/>
  </r>
  <r>
    <x v="0"/>
    <x v="16"/>
    <x v="16"/>
    <x v="4"/>
    <x v="10"/>
    <x v="0"/>
    <n v="740"/>
  </r>
  <r>
    <x v="0"/>
    <x v="16"/>
    <x v="16"/>
    <x v="4"/>
    <x v="17"/>
    <x v="0"/>
    <n v="1400"/>
  </r>
  <r>
    <x v="0"/>
    <x v="16"/>
    <x v="16"/>
    <x v="5"/>
    <x v="5"/>
    <x v="0"/>
    <n v="585"/>
  </r>
  <r>
    <x v="0"/>
    <x v="16"/>
    <x v="16"/>
    <x v="5"/>
    <x v="2"/>
    <x v="0"/>
    <n v="400"/>
  </r>
  <r>
    <x v="0"/>
    <x v="16"/>
    <x v="16"/>
    <x v="5"/>
    <x v="6"/>
    <x v="0"/>
    <n v="600"/>
  </r>
  <r>
    <x v="0"/>
    <x v="16"/>
    <x v="16"/>
    <x v="5"/>
    <x v="7"/>
    <x v="0"/>
    <n v="1700"/>
  </r>
  <r>
    <x v="0"/>
    <x v="16"/>
    <x v="16"/>
    <x v="6"/>
    <x v="11"/>
    <x v="0"/>
    <n v="1000"/>
  </r>
  <r>
    <x v="0"/>
    <x v="16"/>
    <x v="16"/>
    <x v="6"/>
    <x v="12"/>
    <x v="0"/>
    <n v="800"/>
  </r>
  <r>
    <x v="0"/>
    <x v="16"/>
    <x v="16"/>
    <x v="7"/>
    <x v="13"/>
    <x v="0"/>
    <n v="1000"/>
  </r>
  <r>
    <x v="0"/>
    <x v="16"/>
    <x v="16"/>
    <x v="7"/>
    <x v="14"/>
    <x v="0"/>
    <n v="700"/>
  </r>
  <r>
    <x v="0"/>
    <x v="16"/>
    <x v="16"/>
    <x v="7"/>
    <x v="15"/>
    <x v="0"/>
    <n v="1300"/>
  </r>
  <r>
    <x v="0"/>
    <x v="16"/>
    <x v="16"/>
    <x v="7"/>
    <x v="10"/>
    <x v="0"/>
    <n v="1350"/>
  </r>
  <r>
    <x v="0"/>
    <x v="16"/>
    <x v="16"/>
    <x v="8"/>
    <x v="12"/>
    <x v="0"/>
    <n v="700"/>
  </r>
  <r>
    <x v="0"/>
    <x v="16"/>
    <x v="16"/>
    <x v="8"/>
    <x v="4"/>
    <x v="0"/>
    <n v="1000"/>
  </r>
  <r>
    <x v="0"/>
    <x v="16"/>
    <x v="16"/>
    <x v="8"/>
    <x v="7"/>
    <x v="0"/>
    <n v="700"/>
  </r>
  <r>
    <x v="0"/>
    <x v="16"/>
    <x v="16"/>
    <x v="9"/>
    <x v="13"/>
    <x v="0"/>
    <n v="800"/>
  </r>
  <r>
    <x v="0"/>
    <x v="16"/>
    <x v="16"/>
    <x v="9"/>
    <x v="16"/>
    <x v="0"/>
    <n v="1200"/>
  </r>
  <r>
    <x v="0"/>
    <x v="16"/>
    <x v="16"/>
    <x v="10"/>
    <x v="2"/>
    <x v="0"/>
    <n v="5100"/>
  </r>
  <r>
    <x v="0"/>
    <x v="16"/>
    <x v="16"/>
    <x v="10"/>
    <x v="6"/>
    <x v="0"/>
    <n v="700"/>
  </r>
  <r>
    <x v="0"/>
    <x v="16"/>
    <x v="16"/>
    <x v="10"/>
    <x v="9"/>
    <x v="0"/>
    <n v="1400"/>
  </r>
  <r>
    <x v="0"/>
    <x v="16"/>
    <x v="16"/>
    <x v="10"/>
    <x v="17"/>
    <x v="0"/>
    <n v="1000"/>
  </r>
  <r>
    <x v="0"/>
    <x v="16"/>
    <x v="16"/>
    <x v="11"/>
    <x v="9"/>
    <x v="0"/>
    <n v="2500"/>
  </r>
  <r>
    <x v="0"/>
    <x v="16"/>
    <x v="16"/>
    <x v="11"/>
    <x v="18"/>
    <x v="0"/>
    <n v="1150"/>
  </r>
  <r>
    <x v="0"/>
    <x v="16"/>
    <x v="16"/>
    <x v="11"/>
    <x v="10"/>
    <x v="0"/>
    <n v="3345"/>
  </r>
  <r>
    <x v="0"/>
    <x v="16"/>
    <x v="16"/>
    <x v="12"/>
    <x v="0"/>
    <x v="0"/>
    <n v="1400"/>
  </r>
  <r>
    <x v="0"/>
    <x v="16"/>
    <x v="16"/>
    <x v="12"/>
    <x v="6"/>
    <x v="0"/>
    <n v="1700"/>
  </r>
  <r>
    <x v="0"/>
    <x v="16"/>
    <x v="16"/>
    <x v="12"/>
    <x v="8"/>
    <x v="0"/>
    <n v="1400"/>
  </r>
  <r>
    <x v="0"/>
    <x v="16"/>
    <x v="16"/>
    <x v="12"/>
    <x v="19"/>
    <x v="0"/>
    <n v="3200"/>
  </r>
  <r>
    <x v="0"/>
    <x v="16"/>
    <x v="16"/>
    <x v="12"/>
    <x v="20"/>
    <x v="0"/>
    <n v="1200"/>
  </r>
  <r>
    <x v="0"/>
    <x v="16"/>
    <x v="16"/>
    <x v="12"/>
    <x v="17"/>
    <x v="0"/>
    <n v="1400"/>
  </r>
  <r>
    <x v="0"/>
    <x v="16"/>
    <x v="16"/>
    <x v="13"/>
    <x v="19"/>
    <x v="0"/>
    <n v="1200"/>
  </r>
  <r>
    <x v="0"/>
    <x v="16"/>
    <x v="16"/>
    <x v="13"/>
    <x v="14"/>
    <x v="0"/>
    <n v="200"/>
  </r>
  <r>
    <x v="0"/>
    <x v="16"/>
    <x v="16"/>
    <x v="13"/>
    <x v="20"/>
    <x v="0"/>
    <n v="1000"/>
  </r>
  <r>
    <x v="0"/>
    <x v="16"/>
    <x v="16"/>
    <x v="13"/>
    <x v="21"/>
    <x v="0"/>
    <n v="600"/>
  </r>
  <r>
    <x v="0"/>
    <x v="16"/>
    <x v="16"/>
    <x v="14"/>
    <x v="11"/>
    <x v="0"/>
    <n v="600"/>
  </r>
  <r>
    <x v="0"/>
    <x v="16"/>
    <x v="16"/>
    <x v="14"/>
    <x v="18"/>
    <x v="0"/>
    <n v="1000"/>
  </r>
  <r>
    <x v="0"/>
    <x v="16"/>
    <x v="16"/>
    <x v="14"/>
    <x v="21"/>
    <x v="0"/>
    <n v="250"/>
  </r>
  <r>
    <x v="0"/>
    <x v="16"/>
    <x v="16"/>
    <x v="15"/>
    <x v="9"/>
    <x v="0"/>
    <n v="1200"/>
  </r>
  <r>
    <x v="0"/>
    <x v="16"/>
    <x v="16"/>
    <x v="15"/>
    <x v="18"/>
    <x v="0"/>
    <n v="1000"/>
  </r>
  <r>
    <x v="0"/>
    <x v="16"/>
    <x v="16"/>
    <x v="16"/>
    <x v="5"/>
    <x v="0"/>
    <n v="2000"/>
  </r>
  <r>
    <x v="0"/>
    <x v="16"/>
    <x v="16"/>
    <x v="16"/>
    <x v="16"/>
    <x v="0"/>
    <n v="1000"/>
  </r>
  <r>
    <x v="0"/>
    <x v="16"/>
    <x v="16"/>
    <x v="17"/>
    <x v="11"/>
    <x v="0"/>
    <n v="1300"/>
  </r>
  <r>
    <x v="0"/>
    <x v="16"/>
    <x v="16"/>
    <x v="17"/>
    <x v="14"/>
    <x v="0"/>
    <n v="600"/>
  </r>
  <r>
    <x v="0"/>
    <x v="16"/>
    <x v="16"/>
    <x v="17"/>
    <x v="21"/>
    <x v="0"/>
    <n v="3300"/>
  </r>
  <r>
    <x v="0"/>
    <x v="16"/>
    <x v="16"/>
    <x v="18"/>
    <x v="18"/>
    <x v="0"/>
    <n v="1000"/>
  </r>
  <r>
    <x v="0"/>
    <x v="16"/>
    <x v="16"/>
    <x v="18"/>
    <x v="14"/>
    <x v="0"/>
    <n v="300"/>
  </r>
  <r>
    <x v="0"/>
    <x v="16"/>
    <x v="16"/>
    <x v="18"/>
    <x v="15"/>
    <x v="0"/>
    <n v="3300"/>
  </r>
  <r>
    <x v="0"/>
    <x v="16"/>
    <x v="16"/>
    <x v="18"/>
    <x v="10"/>
    <x v="0"/>
    <n v="7300"/>
  </r>
  <r>
    <x v="0"/>
    <x v="16"/>
    <x v="16"/>
    <x v="19"/>
    <x v="6"/>
    <x v="0"/>
    <n v="680"/>
  </r>
  <r>
    <x v="0"/>
    <x v="16"/>
    <x v="16"/>
    <x v="19"/>
    <x v="11"/>
    <x v="0"/>
    <n v="1350"/>
  </r>
  <r>
    <x v="0"/>
    <x v="16"/>
    <x v="16"/>
    <x v="19"/>
    <x v="19"/>
    <x v="0"/>
    <n v="3295"/>
  </r>
  <r>
    <x v="0"/>
    <x v="16"/>
    <x v="16"/>
    <x v="19"/>
    <x v="21"/>
    <x v="0"/>
    <n v="7300"/>
  </r>
  <r>
    <x v="0"/>
    <x v="16"/>
    <x v="16"/>
    <x v="19"/>
    <x v="7"/>
    <x v="0"/>
    <n v="6500"/>
  </r>
  <r>
    <x v="0"/>
    <x v="16"/>
    <x v="16"/>
    <x v="20"/>
    <x v="0"/>
    <x v="0"/>
    <n v="610"/>
  </r>
  <r>
    <x v="0"/>
    <x v="16"/>
    <x v="16"/>
    <x v="20"/>
    <x v="3"/>
    <x v="0"/>
    <n v="1300"/>
  </r>
  <r>
    <x v="0"/>
    <x v="16"/>
    <x v="16"/>
    <x v="20"/>
    <x v="16"/>
    <x v="0"/>
    <n v="700"/>
  </r>
  <r>
    <x v="0"/>
    <x v="16"/>
    <x v="16"/>
    <x v="20"/>
    <x v="10"/>
    <x v="0"/>
    <n v="3200"/>
  </r>
  <r>
    <x v="0"/>
    <x v="16"/>
    <x v="16"/>
    <x v="21"/>
    <x v="6"/>
    <x v="0"/>
    <n v="1400"/>
  </r>
  <r>
    <x v="0"/>
    <x v="16"/>
    <x v="16"/>
    <x v="21"/>
    <x v="8"/>
    <x v="0"/>
    <n v="1000"/>
  </r>
  <r>
    <x v="0"/>
    <x v="16"/>
    <x v="16"/>
    <x v="21"/>
    <x v="9"/>
    <x v="0"/>
    <n v="1400"/>
  </r>
  <r>
    <x v="0"/>
    <x v="17"/>
    <x v="17"/>
    <x v="0"/>
    <x v="0"/>
    <x v="0"/>
    <n v="3010"/>
  </r>
  <r>
    <x v="0"/>
    <x v="17"/>
    <x v="17"/>
    <x v="0"/>
    <x v="1"/>
    <x v="0"/>
    <n v="3010"/>
  </r>
  <r>
    <x v="0"/>
    <x v="17"/>
    <x v="17"/>
    <x v="0"/>
    <x v="2"/>
    <x v="0"/>
    <n v="6020"/>
  </r>
  <r>
    <x v="0"/>
    <x v="17"/>
    <x v="17"/>
    <x v="0"/>
    <x v="3"/>
    <x v="0"/>
    <n v="600"/>
  </r>
  <r>
    <x v="0"/>
    <x v="17"/>
    <x v="17"/>
    <x v="0"/>
    <x v="4"/>
    <x v="0"/>
    <n v="2000"/>
  </r>
  <r>
    <x v="0"/>
    <x v="17"/>
    <x v="17"/>
    <x v="1"/>
    <x v="5"/>
    <x v="0"/>
    <n v="3010"/>
  </r>
  <r>
    <x v="0"/>
    <x v="17"/>
    <x v="17"/>
    <x v="1"/>
    <x v="2"/>
    <x v="0"/>
    <n v="8634"/>
  </r>
  <r>
    <x v="0"/>
    <x v="17"/>
    <x v="17"/>
    <x v="1"/>
    <x v="6"/>
    <x v="0"/>
    <n v="3000"/>
  </r>
  <r>
    <x v="0"/>
    <x v="17"/>
    <x v="17"/>
    <x v="1"/>
    <x v="9"/>
    <x v="0"/>
    <n v="1400"/>
  </r>
  <r>
    <x v="0"/>
    <x v="17"/>
    <x v="17"/>
    <x v="1"/>
    <x v="7"/>
    <x v="0"/>
    <n v="600"/>
  </r>
  <r>
    <x v="0"/>
    <x v="17"/>
    <x v="17"/>
    <x v="2"/>
    <x v="5"/>
    <x v="0"/>
    <n v="3010"/>
  </r>
  <r>
    <x v="0"/>
    <x v="17"/>
    <x v="17"/>
    <x v="2"/>
    <x v="2"/>
    <x v="0"/>
    <n v="14416"/>
  </r>
  <r>
    <x v="0"/>
    <x v="17"/>
    <x v="17"/>
    <x v="3"/>
    <x v="5"/>
    <x v="0"/>
    <n v="6020"/>
  </r>
  <r>
    <x v="0"/>
    <x v="17"/>
    <x v="17"/>
    <x v="3"/>
    <x v="0"/>
    <x v="0"/>
    <n v="8634"/>
  </r>
  <r>
    <x v="0"/>
    <x v="17"/>
    <x v="17"/>
    <x v="3"/>
    <x v="1"/>
    <x v="0"/>
    <n v="14416"/>
  </r>
  <r>
    <x v="0"/>
    <x v="17"/>
    <x v="17"/>
    <x v="3"/>
    <x v="3"/>
    <x v="0"/>
    <n v="400"/>
  </r>
  <r>
    <x v="0"/>
    <x v="17"/>
    <x v="17"/>
    <x v="3"/>
    <x v="8"/>
    <x v="0"/>
    <n v="5900"/>
  </r>
  <r>
    <x v="0"/>
    <x v="17"/>
    <x v="17"/>
    <x v="4"/>
    <x v="0"/>
    <x v="0"/>
    <n v="3000"/>
  </r>
  <r>
    <x v="0"/>
    <x v="17"/>
    <x v="17"/>
    <x v="4"/>
    <x v="3"/>
    <x v="0"/>
    <n v="600"/>
  </r>
  <r>
    <x v="0"/>
    <x v="17"/>
    <x v="17"/>
    <x v="4"/>
    <x v="8"/>
    <x v="0"/>
    <n v="700"/>
  </r>
  <r>
    <x v="0"/>
    <x v="17"/>
    <x v="17"/>
    <x v="4"/>
    <x v="9"/>
    <x v="0"/>
    <n v="1700"/>
  </r>
  <r>
    <x v="0"/>
    <x v="17"/>
    <x v="17"/>
    <x v="4"/>
    <x v="10"/>
    <x v="0"/>
    <n v="740"/>
  </r>
  <r>
    <x v="0"/>
    <x v="17"/>
    <x v="17"/>
    <x v="4"/>
    <x v="17"/>
    <x v="0"/>
    <n v="1400"/>
  </r>
  <r>
    <x v="0"/>
    <x v="17"/>
    <x v="17"/>
    <x v="5"/>
    <x v="5"/>
    <x v="0"/>
    <n v="585"/>
  </r>
  <r>
    <x v="0"/>
    <x v="17"/>
    <x v="17"/>
    <x v="5"/>
    <x v="2"/>
    <x v="0"/>
    <n v="400"/>
  </r>
  <r>
    <x v="0"/>
    <x v="17"/>
    <x v="17"/>
    <x v="5"/>
    <x v="6"/>
    <x v="0"/>
    <n v="600"/>
  </r>
  <r>
    <x v="0"/>
    <x v="17"/>
    <x v="17"/>
    <x v="5"/>
    <x v="7"/>
    <x v="0"/>
    <n v="1700"/>
  </r>
  <r>
    <x v="0"/>
    <x v="17"/>
    <x v="17"/>
    <x v="6"/>
    <x v="11"/>
    <x v="0"/>
    <n v="1000"/>
  </r>
  <r>
    <x v="0"/>
    <x v="17"/>
    <x v="17"/>
    <x v="6"/>
    <x v="12"/>
    <x v="0"/>
    <n v="800"/>
  </r>
  <r>
    <x v="0"/>
    <x v="17"/>
    <x v="17"/>
    <x v="7"/>
    <x v="13"/>
    <x v="0"/>
    <n v="1000"/>
  </r>
  <r>
    <x v="0"/>
    <x v="17"/>
    <x v="17"/>
    <x v="7"/>
    <x v="14"/>
    <x v="0"/>
    <n v="700"/>
  </r>
  <r>
    <x v="0"/>
    <x v="17"/>
    <x v="17"/>
    <x v="7"/>
    <x v="15"/>
    <x v="0"/>
    <n v="1300"/>
  </r>
  <r>
    <x v="0"/>
    <x v="17"/>
    <x v="17"/>
    <x v="7"/>
    <x v="10"/>
    <x v="0"/>
    <n v="1350"/>
  </r>
  <r>
    <x v="0"/>
    <x v="17"/>
    <x v="17"/>
    <x v="8"/>
    <x v="12"/>
    <x v="0"/>
    <n v="700"/>
  </r>
  <r>
    <x v="0"/>
    <x v="17"/>
    <x v="17"/>
    <x v="8"/>
    <x v="4"/>
    <x v="0"/>
    <n v="1000"/>
  </r>
  <r>
    <x v="0"/>
    <x v="17"/>
    <x v="17"/>
    <x v="8"/>
    <x v="7"/>
    <x v="0"/>
    <n v="700"/>
  </r>
  <r>
    <x v="0"/>
    <x v="17"/>
    <x v="17"/>
    <x v="9"/>
    <x v="13"/>
    <x v="0"/>
    <n v="800"/>
  </r>
  <r>
    <x v="0"/>
    <x v="17"/>
    <x v="17"/>
    <x v="9"/>
    <x v="16"/>
    <x v="0"/>
    <n v="1200"/>
  </r>
  <r>
    <x v="0"/>
    <x v="17"/>
    <x v="17"/>
    <x v="10"/>
    <x v="2"/>
    <x v="0"/>
    <n v="5100"/>
  </r>
  <r>
    <x v="0"/>
    <x v="17"/>
    <x v="17"/>
    <x v="10"/>
    <x v="6"/>
    <x v="0"/>
    <n v="700"/>
  </r>
  <r>
    <x v="0"/>
    <x v="17"/>
    <x v="17"/>
    <x v="10"/>
    <x v="9"/>
    <x v="0"/>
    <n v="1400"/>
  </r>
  <r>
    <x v="0"/>
    <x v="17"/>
    <x v="17"/>
    <x v="10"/>
    <x v="17"/>
    <x v="0"/>
    <n v="1000"/>
  </r>
  <r>
    <x v="0"/>
    <x v="17"/>
    <x v="17"/>
    <x v="11"/>
    <x v="9"/>
    <x v="0"/>
    <n v="2500"/>
  </r>
  <r>
    <x v="0"/>
    <x v="17"/>
    <x v="17"/>
    <x v="11"/>
    <x v="18"/>
    <x v="0"/>
    <n v="1150"/>
  </r>
  <r>
    <x v="0"/>
    <x v="17"/>
    <x v="17"/>
    <x v="11"/>
    <x v="10"/>
    <x v="0"/>
    <n v="3345"/>
  </r>
  <r>
    <x v="0"/>
    <x v="17"/>
    <x v="17"/>
    <x v="12"/>
    <x v="0"/>
    <x v="0"/>
    <n v="1400"/>
  </r>
  <r>
    <x v="0"/>
    <x v="17"/>
    <x v="17"/>
    <x v="12"/>
    <x v="6"/>
    <x v="0"/>
    <n v="1700"/>
  </r>
  <r>
    <x v="0"/>
    <x v="17"/>
    <x v="17"/>
    <x v="12"/>
    <x v="8"/>
    <x v="0"/>
    <n v="1400"/>
  </r>
  <r>
    <x v="0"/>
    <x v="17"/>
    <x v="17"/>
    <x v="12"/>
    <x v="19"/>
    <x v="0"/>
    <n v="3200"/>
  </r>
  <r>
    <x v="0"/>
    <x v="17"/>
    <x v="17"/>
    <x v="12"/>
    <x v="20"/>
    <x v="0"/>
    <n v="1200"/>
  </r>
  <r>
    <x v="0"/>
    <x v="17"/>
    <x v="17"/>
    <x v="12"/>
    <x v="17"/>
    <x v="0"/>
    <n v="1400"/>
  </r>
  <r>
    <x v="0"/>
    <x v="17"/>
    <x v="17"/>
    <x v="13"/>
    <x v="19"/>
    <x v="0"/>
    <n v="1200"/>
  </r>
  <r>
    <x v="0"/>
    <x v="17"/>
    <x v="17"/>
    <x v="13"/>
    <x v="14"/>
    <x v="0"/>
    <n v="200"/>
  </r>
  <r>
    <x v="0"/>
    <x v="17"/>
    <x v="17"/>
    <x v="13"/>
    <x v="20"/>
    <x v="0"/>
    <n v="1000"/>
  </r>
  <r>
    <x v="0"/>
    <x v="17"/>
    <x v="17"/>
    <x v="13"/>
    <x v="21"/>
    <x v="0"/>
    <n v="600"/>
  </r>
  <r>
    <x v="0"/>
    <x v="17"/>
    <x v="17"/>
    <x v="14"/>
    <x v="11"/>
    <x v="0"/>
    <n v="600"/>
  </r>
  <r>
    <x v="0"/>
    <x v="17"/>
    <x v="17"/>
    <x v="14"/>
    <x v="18"/>
    <x v="0"/>
    <n v="1000"/>
  </r>
  <r>
    <x v="0"/>
    <x v="17"/>
    <x v="17"/>
    <x v="14"/>
    <x v="21"/>
    <x v="0"/>
    <n v="250"/>
  </r>
  <r>
    <x v="0"/>
    <x v="17"/>
    <x v="17"/>
    <x v="15"/>
    <x v="9"/>
    <x v="0"/>
    <n v="1200"/>
  </r>
  <r>
    <x v="0"/>
    <x v="17"/>
    <x v="17"/>
    <x v="15"/>
    <x v="18"/>
    <x v="0"/>
    <n v="1000"/>
  </r>
  <r>
    <x v="0"/>
    <x v="17"/>
    <x v="17"/>
    <x v="16"/>
    <x v="5"/>
    <x v="0"/>
    <n v="2000"/>
  </r>
  <r>
    <x v="0"/>
    <x v="17"/>
    <x v="17"/>
    <x v="16"/>
    <x v="16"/>
    <x v="0"/>
    <n v="1000"/>
  </r>
  <r>
    <x v="0"/>
    <x v="17"/>
    <x v="17"/>
    <x v="17"/>
    <x v="11"/>
    <x v="0"/>
    <n v="1300"/>
  </r>
  <r>
    <x v="0"/>
    <x v="17"/>
    <x v="17"/>
    <x v="17"/>
    <x v="14"/>
    <x v="0"/>
    <n v="600"/>
  </r>
  <r>
    <x v="0"/>
    <x v="17"/>
    <x v="17"/>
    <x v="17"/>
    <x v="21"/>
    <x v="0"/>
    <n v="3300"/>
  </r>
  <r>
    <x v="0"/>
    <x v="17"/>
    <x v="17"/>
    <x v="18"/>
    <x v="18"/>
    <x v="0"/>
    <n v="1000"/>
  </r>
  <r>
    <x v="0"/>
    <x v="17"/>
    <x v="17"/>
    <x v="18"/>
    <x v="14"/>
    <x v="0"/>
    <n v="300"/>
  </r>
  <r>
    <x v="0"/>
    <x v="17"/>
    <x v="17"/>
    <x v="18"/>
    <x v="15"/>
    <x v="0"/>
    <n v="3300"/>
  </r>
  <r>
    <x v="0"/>
    <x v="17"/>
    <x v="17"/>
    <x v="18"/>
    <x v="10"/>
    <x v="0"/>
    <n v="7300"/>
  </r>
  <r>
    <x v="0"/>
    <x v="17"/>
    <x v="17"/>
    <x v="19"/>
    <x v="6"/>
    <x v="0"/>
    <n v="680"/>
  </r>
  <r>
    <x v="0"/>
    <x v="17"/>
    <x v="17"/>
    <x v="19"/>
    <x v="11"/>
    <x v="0"/>
    <n v="1350"/>
  </r>
  <r>
    <x v="0"/>
    <x v="17"/>
    <x v="17"/>
    <x v="19"/>
    <x v="19"/>
    <x v="0"/>
    <n v="3295"/>
  </r>
  <r>
    <x v="0"/>
    <x v="17"/>
    <x v="17"/>
    <x v="19"/>
    <x v="21"/>
    <x v="0"/>
    <n v="7300"/>
  </r>
  <r>
    <x v="0"/>
    <x v="17"/>
    <x v="17"/>
    <x v="19"/>
    <x v="7"/>
    <x v="0"/>
    <n v="6500"/>
  </r>
  <r>
    <x v="0"/>
    <x v="17"/>
    <x v="17"/>
    <x v="20"/>
    <x v="0"/>
    <x v="0"/>
    <n v="610"/>
  </r>
  <r>
    <x v="0"/>
    <x v="17"/>
    <x v="17"/>
    <x v="20"/>
    <x v="3"/>
    <x v="0"/>
    <n v="1300"/>
  </r>
  <r>
    <x v="0"/>
    <x v="17"/>
    <x v="17"/>
    <x v="20"/>
    <x v="16"/>
    <x v="0"/>
    <n v="700"/>
  </r>
  <r>
    <x v="0"/>
    <x v="17"/>
    <x v="17"/>
    <x v="20"/>
    <x v="10"/>
    <x v="0"/>
    <n v="3200"/>
  </r>
  <r>
    <x v="0"/>
    <x v="17"/>
    <x v="17"/>
    <x v="21"/>
    <x v="6"/>
    <x v="0"/>
    <n v="1400"/>
  </r>
  <r>
    <x v="0"/>
    <x v="17"/>
    <x v="17"/>
    <x v="21"/>
    <x v="8"/>
    <x v="0"/>
    <n v="1000"/>
  </r>
  <r>
    <x v="0"/>
    <x v="17"/>
    <x v="17"/>
    <x v="21"/>
    <x v="9"/>
    <x v="0"/>
    <n v="1400"/>
  </r>
  <r>
    <x v="0"/>
    <x v="18"/>
    <x v="18"/>
    <x v="0"/>
    <x v="0"/>
    <x v="0"/>
    <n v="3010"/>
  </r>
  <r>
    <x v="0"/>
    <x v="18"/>
    <x v="18"/>
    <x v="0"/>
    <x v="1"/>
    <x v="0"/>
    <n v="3010"/>
  </r>
  <r>
    <x v="0"/>
    <x v="18"/>
    <x v="18"/>
    <x v="0"/>
    <x v="2"/>
    <x v="0"/>
    <n v="6020"/>
  </r>
  <r>
    <x v="0"/>
    <x v="18"/>
    <x v="18"/>
    <x v="0"/>
    <x v="3"/>
    <x v="0"/>
    <n v="600"/>
  </r>
  <r>
    <x v="0"/>
    <x v="18"/>
    <x v="18"/>
    <x v="0"/>
    <x v="4"/>
    <x v="0"/>
    <n v="2000"/>
  </r>
  <r>
    <x v="0"/>
    <x v="18"/>
    <x v="18"/>
    <x v="1"/>
    <x v="5"/>
    <x v="0"/>
    <n v="3010"/>
  </r>
  <r>
    <x v="0"/>
    <x v="18"/>
    <x v="18"/>
    <x v="1"/>
    <x v="2"/>
    <x v="0"/>
    <n v="8634"/>
  </r>
  <r>
    <x v="0"/>
    <x v="18"/>
    <x v="18"/>
    <x v="1"/>
    <x v="6"/>
    <x v="0"/>
    <n v="3000"/>
  </r>
  <r>
    <x v="0"/>
    <x v="18"/>
    <x v="18"/>
    <x v="1"/>
    <x v="9"/>
    <x v="0"/>
    <n v="1400"/>
  </r>
  <r>
    <x v="0"/>
    <x v="18"/>
    <x v="18"/>
    <x v="1"/>
    <x v="7"/>
    <x v="0"/>
    <n v="600"/>
  </r>
  <r>
    <x v="0"/>
    <x v="18"/>
    <x v="18"/>
    <x v="2"/>
    <x v="5"/>
    <x v="0"/>
    <n v="3010"/>
  </r>
  <r>
    <x v="0"/>
    <x v="18"/>
    <x v="18"/>
    <x v="2"/>
    <x v="2"/>
    <x v="0"/>
    <n v="14416"/>
  </r>
  <r>
    <x v="0"/>
    <x v="18"/>
    <x v="18"/>
    <x v="3"/>
    <x v="5"/>
    <x v="0"/>
    <n v="6020"/>
  </r>
  <r>
    <x v="0"/>
    <x v="18"/>
    <x v="18"/>
    <x v="3"/>
    <x v="0"/>
    <x v="0"/>
    <n v="8634"/>
  </r>
  <r>
    <x v="0"/>
    <x v="18"/>
    <x v="18"/>
    <x v="3"/>
    <x v="1"/>
    <x v="0"/>
    <n v="14416"/>
  </r>
  <r>
    <x v="0"/>
    <x v="18"/>
    <x v="18"/>
    <x v="3"/>
    <x v="3"/>
    <x v="0"/>
    <n v="400"/>
  </r>
  <r>
    <x v="0"/>
    <x v="18"/>
    <x v="18"/>
    <x v="3"/>
    <x v="8"/>
    <x v="0"/>
    <n v="5900"/>
  </r>
  <r>
    <x v="0"/>
    <x v="18"/>
    <x v="18"/>
    <x v="4"/>
    <x v="0"/>
    <x v="0"/>
    <n v="3000"/>
  </r>
  <r>
    <x v="0"/>
    <x v="18"/>
    <x v="18"/>
    <x v="4"/>
    <x v="3"/>
    <x v="0"/>
    <n v="600"/>
  </r>
  <r>
    <x v="0"/>
    <x v="18"/>
    <x v="18"/>
    <x v="4"/>
    <x v="8"/>
    <x v="0"/>
    <n v="700"/>
  </r>
  <r>
    <x v="0"/>
    <x v="18"/>
    <x v="18"/>
    <x v="4"/>
    <x v="9"/>
    <x v="0"/>
    <n v="1700"/>
  </r>
  <r>
    <x v="0"/>
    <x v="18"/>
    <x v="18"/>
    <x v="4"/>
    <x v="10"/>
    <x v="0"/>
    <n v="740"/>
  </r>
  <r>
    <x v="0"/>
    <x v="18"/>
    <x v="18"/>
    <x v="4"/>
    <x v="17"/>
    <x v="0"/>
    <n v="1400"/>
  </r>
  <r>
    <x v="0"/>
    <x v="18"/>
    <x v="18"/>
    <x v="5"/>
    <x v="5"/>
    <x v="0"/>
    <n v="585"/>
  </r>
  <r>
    <x v="0"/>
    <x v="18"/>
    <x v="18"/>
    <x v="5"/>
    <x v="2"/>
    <x v="0"/>
    <n v="400"/>
  </r>
  <r>
    <x v="0"/>
    <x v="18"/>
    <x v="18"/>
    <x v="5"/>
    <x v="6"/>
    <x v="0"/>
    <n v="600"/>
  </r>
  <r>
    <x v="0"/>
    <x v="18"/>
    <x v="18"/>
    <x v="5"/>
    <x v="7"/>
    <x v="0"/>
    <n v="1700"/>
  </r>
  <r>
    <x v="0"/>
    <x v="18"/>
    <x v="18"/>
    <x v="6"/>
    <x v="11"/>
    <x v="0"/>
    <n v="1000"/>
  </r>
  <r>
    <x v="0"/>
    <x v="18"/>
    <x v="18"/>
    <x v="6"/>
    <x v="12"/>
    <x v="0"/>
    <n v="800"/>
  </r>
  <r>
    <x v="0"/>
    <x v="18"/>
    <x v="18"/>
    <x v="7"/>
    <x v="13"/>
    <x v="0"/>
    <n v="1000"/>
  </r>
  <r>
    <x v="0"/>
    <x v="18"/>
    <x v="18"/>
    <x v="7"/>
    <x v="14"/>
    <x v="0"/>
    <n v="700"/>
  </r>
  <r>
    <x v="0"/>
    <x v="18"/>
    <x v="18"/>
    <x v="7"/>
    <x v="15"/>
    <x v="0"/>
    <n v="1300"/>
  </r>
  <r>
    <x v="0"/>
    <x v="18"/>
    <x v="18"/>
    <x v="7"/>
    <x v="10"/>
    <x v="0"/>
    <n v="1350"/>
  </r>
  <r>
    <x v="0"/>
    <x v="18"/>
    <x v="18"/>
    <x v="8"/>
    <x v="12"/>
    <x v="0"/>
    <n v="700"/>
  </r>
  <r>
    <x v="0"/>
    <x v="18"/>
    <x v="18"/>
    <x v="8"/>
    <x v="4"/>
    <x v="0"/>
    <n v="1000"/>
  </r>
  <r>
    <x v="0"/>
    <x v="18"/>
    <x v="18"/>
    <x v="8"/>
    <x v="7"/>
    <x v="0"/>
    <n v="700"/>
  </r>
  <r>
    <x v="0"/>
    <x v="18"/>
    <x v="18"/>
    <x v="9"/>
    <x v="13"/>
    <x v="0"/>
    <n v="800"/>
  </r>
  <r>
    <x v="0"/>
    <x v="18"/>
    <x v="18"/>
    <x v="9"/>
    <x v="16"/>
    <x v="0"/>
    <n v="1200"/>
  </r>
  <r>
    <x v="0"/>
    <x v="18"/>
    <x v="18"/>
    <x v="10"/>
    <x v="2"/>
    <x v="0"/>
    <n v="5100"/>
  </r>
  <r>
    <x v="0"/>
    <x v="18"/>
    <x v="18"/>
    <x v="10"/>
    <x v="6"/>
    <x v="0"/>
    <n v="700"/>
  </r>
  <r>
    <x v="0"/>
    <x v="18"/>
    <x v="18"/>
    <x v="10"/>
    <x v="9"/>
    <x v="0"/>
    <n v="1400"/>
  </r>
  <r>
    <x v="0"/>
    <x v="18"/>
    <x v="18"/>
    <x v="10"/>
    <x v="17"/>
    <x v="0"/>
    <n v="1000"/>
  </r>
  <r>
    <x v="0"/>
    <x v="18"/>
    <x v="18"/>
    <x v="11"/>
    <x v="9"/>
    <x v="0"/>
    <n v="2500"/>
  </r>
  <r>
    <x v="0"/>
    <x v="18"/>
    <x v="18"/>
    <x v="11"/>
    <x v="18"/>
    <x v="0"/>
    <n v="1150"/>
  </r>
  <r>
    <x v="0"/>
    <x v="18"/>
    <x v="18"/>
    <x v="11"/>
    <x v="10"/>
    <x v="0"/>
    <n v="3345"/>
  </r>
  <r>
    <x v="0"/>
    <x v="18"/>
    <x v="18"/>
    <x v="12"/>
    <x v="0"/>
    <x v="0"/>
    <n v="1400"/>
  </r>
  <r>
    <x v="0"/>
    <x v="18"/>
    <x v="18"/>
    <x v="12"/>
    <x v="6"/>
    <x v="0"/>
    <n v="1700"/>
  </r>
  <r>
    <x v="0"/>
    <x v="18"/>
    <x v="18"/>
    <x v="12"/>
    <x v="8"/>
    <x v="0"/>
    <n v="1400"/>
  </r>
  <r>
    <x v="0"/>
    <x v="18"/>
    <x v="18"/>
    <x v="12"/>
    <x v="19"/>
    <x v="0"/>
    <n v="3200"/>
  </r>
  <r>
    <x v="0"/>
    <x v="18"/>
    <x v="18"/>
    <x v="12"/>
    <x v="20"/>
    <x v="0"/>
    <n v="1200"/>
  </r>
  <r>
    <x v="0"/>
    <x v="18"/>
    <x v="18"/>
    <x v="12"/>
    <x v="17"/>
    <x v="0"/>
    <n v="1400"/>
  </r>
  <r>
    <x v="0"/>
    <x v="18"/>
    <x v="18"/>
    <x v="13"/>
    <x v="19"/>
    <x v="0"/>
    <n v="1200"/>
  </r>
  <r>
    <x v="0"/>
    <x v="18"/>
    <x v="18"/>
    <x v="13"/>
    <x v="14"/>
    <x v="0"/>
    <n v="200"/>
  </r>
  <r>
    <x v="0"/>
    <x v="18"/>
    <x v="18"/>
    <x v="13"/>
    <x v="20"/>
    <x v="0"/>
    <n v="1000"/>
  </r>
  <r>
    <x v="0"/>
    <x v="18"/>
    <x v="18"/>
    <x v="13"/>
    <x v="21"/>
    <x v="0"/>
    <n v="600"/>
  </r>
  <r>
    <x v="0"/>
    <x v="18"/>
    <x v="18"/>
    <x v="14"/>
    <x v="11"/>
    <x v="0"/>
    <n v="600"/>
  </r>
  <r>
    <x v="0"/>
    <x v="18"/>
    <x v="18"/>
    <x v="14"/>
    <x v="18"/>
    <x v="0"/>
    <n v="1000"/>
  </r>
  <r>
    <x v="0"/>
    <x v="18"/>
    <x v="18"/>
    <x v="14"/>
    <x v="21"/>
    <x v="0"/>
    <n v="250"/>
  </r>
  <r>
    <x v="0"/>
    <x v="18"/>
    <x v="18"/>
    <x v="15"/>
    <x v="9"/>
    <x v="0"/>
    <n v="1200"/>
  </r>
  <r>
    <x v="0"/>
    <x v="18"/>
    <x v="18"/>
    <x v="15"/>
    <x v="18"/>
    <x v="0"/>
    <n v="1000"/>
  </r>
  <r>
    <x v="0"/>
    <x v="18"/>
    <x v="18"/>
    <x v="16"/>
    <x v="5"/>
    <x v="0"/>
    <n v="2000"/>
  </r>
  <r>
    <x v="0"/>
    <x v="18"/>
    <x v="18"/>
    <x v="16"/>
    <x v="16"/>
    <x v="0"/>
    <n v="1000"/>
  </r>
  <r>
    <x v="0"/>
    <x v="18"/>
    <x v="18"/>
    <x v="17"/>
    <x v="11"/>
    <x v="0"/>
    <n v="1300"/>
  </r>
  <r>
    <x v="0"/>
    <x v="18"/>
    <x v="18"/>
    <x v="17"/>
    <x v="14"/>
    <x v="0"/>
    <n v="600"/>
  </r>
  <r>
    <x v="0"/>
    <x v="18"/>
    <x v="18"/>
    <x v="17"/>
    <x v="21"/>
    <x v="0"/>
    <n v="3300"/>
  </r>
  <r>
    <x v="0"/>
    <x v="18"/>
    <x v="18"/>
    <x v="18"/>
    <x v="18"/>
    <x v="0"/>
    <n v="1000"/>
  </r>
  <r>
    <x v="0"/>
    <x v="18"/>
    <x v="18"/>
    <x v="18"/>
    <x v="14"/>
    <x v="0"/>
    <n v="300"/>
  </r>
  <r>
    <x v="0"/>
    <x v="18"/>
    <x v="18"/>
    <x v="18"/>
    <x v="15"/>
    <x v="0"/>
    <n v="3300"/>
  </r>
  <r>
    <x v="0"/>
    <x v="18"/>
    <x v="18"/>
    <x v="18"/>
    <x v="10"/>
    <x v="0"/>
    <n v="7300"/>
  </r>
  <r>
    <x v="0"/>
    <x v="18"/>
    <x v="18"/>
    <x v="19"/>
    <x v="6"/>
    <x v="0"/>
    <n v="680"/>
  </r>
  <r>
    <x v="0"/>
    <x v="18"/>
    <x v="18"/>
    <x v="19"/>
    <x v="11"/>
    <x v="0"/>
    <n v="1350"/>
  </r>
  <r>
    <x v="0"/>
    <x v="18"/>
    <x v="18"/>
    <x v="19"/>
    <x v="19"/>
    <x v="0"/>
    <n v="3295"/>
  </r>
  <r>
    <x v="0"/>
    <x v="18"/>
    <x v="18"/>
    <x v="19"/>
    <x v="21"/>
    <x v="0"/>
    <n v="7300"/>
  </r>
  <r>
    <x v="0"/>
    <x v="18"/>
    <x v="18"/>
    <x v="19"/>
    <x v="7"/>
    <x v="0"/>
    <n v="6500"/>
  </r>
  <r>
    <x v="0"/>
    <x v="18"/>
    <x v="18"/>
    <x v="20"/>
    <x v="0"/>
    <x v="0"/>
    <n v="610"/>
  </r>
  <r>
    <x v="0"/>
    <x v="18"/>
    <x v="18"/>
    <x v="20"/>
    <x v="3"/>
    <x v="0"/>
    <n v="1300"/>
  </r>
  <r>
    <x v="0"/>
    <x v="18"/>
    <x v="18"/>
    <x v="20"/>
    <x v="16"/>
    <x v="0"/>
    <n v="700"/>
  </r>
  <r>
    <x v="0"/>
    <x v="18"/>
    <x v="18"/>
    <x v="20"/>
    <x v="10"/>
    <x v="0"/>
    <n v="3200"/>
  </r>
  <r>
    <x v="0"/>
    <x v="18"/>
    <x v="18"/>
    <x v="21"/>
    <x v="6"/>
    <x v="0"/>
    <n v="1400"/>
  </r>
  <r>
    <x v="0"/>
    <x v="18"/>
    <x v="18"/>
    <x v="21"/>
    <x v="8"/>
    <x v="0"/>
    <n v="1000"/>
  </r>
  <r>
    <x v="0"/>
    <x v="18"/>
    <x v="18"/>
    <x v="21"/>
    <x v="9"/>
    <x v="0"/>
    <n v="1400"/>
  </r>
  <r>
    <x v="0"/>
    <x v="19"/>
    <x v="19"/>
    <x v="0"/>
    <x v="0"/>
    <x v="0"/>
    <n v="3010"/>
  </r>
  <r>
    <x v="0"/>
    <x v="19"/>
    <x v="19"/>
    <x v="0"/>
    <x v="1"/>
    <x v="0"/>
    <n v="3010"/>
  </r>
  <r>
    <x v="0"/>
    <x v="19"/>
    <x v="19"/>
    <x v="0"/>
    <x v="2"/>
    <x v="0"/>
    <n v="6020"/>
  </r>
  <r>
    <x v="0"/>
    <x v="19"/>
    <x v="19"/>
    <x v="0"/>
    <x v="3"/>
    <x v="0"/>
    <n v="600"/>
  </r>
  <r>
    <x v="0"/>
    <x v="19"/>
    <x v="19"/>
    <x v="0"/>
    <x v="4"/>
    <x v="0"/>
    <n v="2000"/>
  </r>
  <r>
    <x v="0"/>
    <x v="19"/>
    <x v="19"/>
    <x v="1"/>
    <x v="5"/>
    <x v="0"/>
    <n v="3010"/>
  </r>
  <r>
    <x v="0"/>
    <x v="19"/>
    <x v="19"/>
    <x v="1"/>
    <x v="2"/>
    <x v="0"/>
    <n v="8634"/>
  </r>
  <r>
    <x v="0"/>
    <x v="19"/>
    <x v="19"/>
    <x v="1"/>
    <x v="6"/>
    <x v="0"/>
    <n v="3000"/>
  </r>
  <r>
    <x v="0"/>
    <x v="19"/>
    <x v="19"/>
    <x v="1"/>
    <x v="9"/>
    <x v="0"/>
    <n v="1400"/>
  </r>
  <r>
    <x v="0"/>
    <x v="19"/>
    <x v="19"/>
    <x v="1"/>
    <x v="7"/>
    <x v="0"/>
    <n v="600"/>
  </r>
  <r>
    <x v="0"/>
    <x v="19"/>
    <x v="19"/>
    <x v="2"/>
    <x v="5"/>
    <x v="0"/>
    <n v="3010"/>
  </r>
  <r>
    <x v="0"/>
    <x v="19"/>
    <x v="19"/>
    <x v="2"/>
    <x v="2"/>
    <x v="0"/>
    <n v="14416"/>
  </r>
  <r>
    <x v="0"/>
    <x v="19"/>
    <x v="19"/>
    <x v="3"/>
    <x v="5"/>
    <x v="0"/>
    <n v="6020"/>
  </r>
  <r>
    <x v="0"/>
    <x v="19"/>
    <x v="19"/>
    <x v="3"/>
    <x v="0"/>
    <x v="0"/>
    <n v="8634"/>
  </r>
  <r>
    <x v="0"/>
    <x v="19"/>
    <x v="19"/>
    <x v="3"/>
    <x v="1"/>
    <x v="0"/>
    <n v="14416"/>
  </r>
  <r>
    <x v="0"/>
    <x v="19"/>
    <x v="19"/>
    <x v="3"/>
    <x v="3"/>
    <x v="0"/>
    <n v="400"/>
  </r>
  <r>
    <x v="0"/>
    <x v="19"/>
    <x v="19"/>
    <x v="3"/>
    <x v="8"/>
    <x v="0"/>
    <n v="5900"/>
  </r>
  <r>
    <x v="0"/>
    <x v="19"/>
    <x v="19"/>
    <x v="4"/>
    <x v="0"/>
    <x v="0"/>
    <n v="3000"/>
  </r>
  <r>
    <x v="0"/>
    <x v="19"/>
    <x v="19"/>
    <x v="4"/>
    <x v="3"/>
    <x v="0"/>
    <n v="600"/>
  </r>
  <r>
    <x v="0"/>
    <x v="19"/>
    <x v="19"/>
    <x v="4"/>
    <x v="8"/>
    <x v="0"/>
    <n v="700"/>
  </r>
  <r>
    <x v="0"/>
    <x v="19"/>
    <x v="19"/>
    <x v="4"/>
    <x v="9"/>
    <x v="0"/>
    <n v="1700"/>
  </r>
  <r>
    <x v="0"/>
    <x v="19"/>
    <x v="19"/>
    <x v="4"/>
    <x v="10"/>
    <x v="0"/>
    <n v="740"/>
  </r>
  <r>
    <x v="0"/>
    <x v="19"/>
    <x v="19"/>
    <x v="4"/>
    <x v="17"/>
    <x v="0"/>
    <n v="1400"/>
  </r>
  <r>
    <x v="0"/>
    <x v="19"/>
    <x v="19"/>
    <x v="5"/>
    <x v="5"/>
    <x v="0"/>
    <n v="585"/>
  </r>
  <r>
    <x v="0"/>
    <x v="19"/>
    <x v="19"/>
    <x v="5"/>
    <x v="2"/>
    <x v="0"/>
    <n v="400"/>
  </r>
  <r>
    <x v="0"/>
    <x v="19"/>
    <x v="19"/>
    <x v="5"/>
    <x v="6"/>
    <x v="0"/>
    <n v="600"/>
  </r>
  <r>
    <x v="0"/>
    <x v="19"/>
    <x v="19"/>
    <x v="5"/>
    <x v="7"/>
    <x v="0"/>
    <n v="1700"/>
  </r>
  <r>
    <x v="0"/>
    <x v="19"/>
    <x v="19"/>
    <x v="6"/>
    <x v="11"/>
    <x v="0"/>
    <n v="1000"/>
  </r>
  <r>
    <x v="0"/>
    <x v="19"/>
    <x v="19"/>
    <x v="6"/>
    <x v="12"/>
    <x v="0"/>
    <n v="800"/>
  </r>
  <r>
    <x v="0"/>
    <x v="19"/>
    <x v="19"/>
    <x v="7"/>
    <x v="13"/>
    <x v="0"/>
    <n v="1000"/>
  </r>
  <r>
    <x v="0"/>
    <x v="19"/>
    <x v="19"/>
    <x v="7"/>
    <x v="14"/>
    <x v="0"/>
    <n v="700"/>
  </r>
  <r>
    <x v="0"/>
    <x v="19"/>
    <x v="19"/>
    <x v="7"/>
    <x v="15"/>
    <x v="0"/>
    <n v="1300"/>
  </r>
  <r>
    <x v="0"/>
    <x v="19"/>
    <x v="19"/>
    <x v="7"/>
    <x v="10"/>
    <x v="0"/>
    <n v="1350"/>
  </r>
  <r>
    <x v="0"/>
    <x v="19"/>
    <x v="19"/>
    <x v="8"/>
    <x v="12"/>
    <x v="0"/>
    <n v="700"/>
  </r>
  <r>
    <x v="0"/>
    <x v="19"/>
    <x v="19"/>
    <x v="8"/>
    <x v="4"/>
    <x v="0"/>
    <n v="1000"/>
  </r>
  <r>
    <x v="0"/>
    <x v="19"/>
    <x v="19"/>
    <x v="8"/>
    <x v="7"/>
    <x v="0"/>
    <n v="700"/>
  </r>
  <r>
    <x v="0"/>
    <x v="19"/>
    <x v="19"/>
    <x v="9"/>
    <x v="13"/>
    <x v="0"/>
    <n v="800"/>
  </r>
  <r>
    <x v="0"/>
    <x v="19"/>
    <x v="19"/>
    <x v="9"/>
    <x v="16"/>
    <x v="0"/>
    <n v="1200"/>
  </r>
  <r>
    <x v="0"/>
    <x v="19"/>
    <x v="19"/>
    <x v="10"/>
    <x v="2"/>
    <x v="0"/>
    <n v="5100"/>
  </r>
  <r>
    <x v="0"/>
    <x v="19"/>
    <x v="19"/>
    <x v="10"/>
    <x v="6"/>
    <x v="0"/>
    <n v="700"/>
  </r>
  <r>
    <x v="0"/>
    <x v="19"/>
    <x v="19"/>
    <x v="10"/>
    <x v="9"/>
    <x v="0"/>
    <n v="1400"/>
  </r>
  <r>
    <x v="0"/>
    <x v="19"/>
    <x v="19"/>
    <x v="10"/>
    <x v="17"/>
    <x v="0"/>
    <n v="1000"/>
  </r>
  <r>
    <x v="0"/>
    <x v="19"/>
    <x v="19"/>
    <x v="11"/>
    <x v="9"/>
    <x v="0"/>
    <n v="2500"/>
  </r>
  <r>
    <x v="0"/>
    <x v="19"/>
    <x v="19"/>
    <x v="11"/>
    <x v="18"/>
    <x v="0"/>
    <n v="1150"/>
  </r>
  <r>
    <x v="0"/>
    <x v="19"/>
    <x v="19"/>
    <x v="11"/>
    <x v="10"/>
    <x v="0"/>
    <n v="3345"/>
  </r>
  <r>
    <x v="0"/>
    <x v="19"/>
    <x v="19"/>
    <x v="12"/>
    <x v="0"/>
    <x v="0"/>
    <n v="1400"/>
  </r>
  <r>
    <x v="0"/>
    <x v="19"/>
    <x v="19"/>
    <x v="12"/>
    <x v="6"/>
    <x v="0"/>
    <n v="1700"/>
  </r>
  <r>
    <x v="0"/>
    <x v="19"/>
    <x v="19"/>
    <x v="12"/>
    <x v="8"/>
    <x v="0"/>
    <n v="1400"/>
  </r>
  <r>
    <x v="0"/>
    <x v="19"/>
    <x v="19"/>
    <x v="12"/>
    <x v="19"/>
    <x v="0"/>
    <n v="3200"/>
  </r>
  <r>
    <x v="0"/>
    <x v="19"/>
    <x v="19"/>
    <x v="12"/>
    <x v="20"/>
    <x v="0"/>
    <n v="1200"/>
  </r>
  <r>
    <x v="0"/>
    <x v="19"/>
    <x v="19"/>
    <x v="12"/>
    <x v="17"/>
    <x v="0"/>
    <n v="1400"/>
  </r>
  <r>
    <x v="0"/>
    <x v="19"/>
    <x v="19"/>
    <x v="13"/>
    <x v="19"/>
    <x v="0"/>
    <n v="1200"/>
  </r>
  <r>
    <x v="0"/>
    <x v="19"/>
    <x v="19"/>
    <x v="13"/>
    <x v="14"/>
    <x v="0"/>
    <n v="200"/>
  </r>
  <r>
    <x v="0"/>
    <x v="19"/>
    <x v="19"/>
    <x v="13"/>
    <x v="20"/>
    <x v="0"/>
    <n v="1000"/>
  </r>
  <r>
    <x v="0"/>
    <x v="19"/>
    <x v="19"/>
    <x v="13"/>
    <x v="21"/>
    <x v="0"/>
    <n v="600"/>
  </r>
  <r>
    <x v="0"/>
    <x v="19"/>
    <x v="19"/>
    <x v="14"/>
    <x v="11"/>
    <x v="0"/>
    <n v="600"/>
  </r>
  <r>
    <x v="0"/>
    <x v="19"/>
    <x v="19"/>
    <x v="14"/>
    <x v="18"/>
    <x v="0"/>
    <n v="1000"/>
  </r>
  <r>
    <x v="0"/>
    <x v="19"/>
    <x v="19"/>
    <x v="14"/>
    <x v="21"/>
    <x v="0"/>
    <n v="250"/>
  </r>
  <r>
    <x v="0"/>
    <x v="19"/>
    <x v="19"/>
    <x v="15"/>
    <x v="9"/>
    <x v="0"/>
    <n v="1200"/>
  </r>
  <r>
    <x v="0"/>
    <x v="19"/>
    <x v="19"/>
    <x v="15"/>
    <x v="18"/>
    <x v="0"/>
    <n v="1000"/>
  </r>
  <r>
    <x v="0"/>
    <x v="19"/>
    <x v="19"/>
    <x v="16"/>
    <x v="5"/>
    <x v="0"/>
    <n v="2000"/>
  </r>
  <r>
    <x v="0"/>
    <x v="19"/>
    <x v="19"/>
    <x v="16"/>
    <x v="16"/>
    <x v="0"/>
    <n v="1000"/>
  </r>
  <r>
    <x v="0"/>
    <x v="19"/>
    <x v="19"/>
    <x v="17"/>
    <x v="11"/>
    <x v="0"/>
    <n v="1300"/>
  </r>
  <r>
    <x v="0"/>
    <x v="19"/>
    <x v="19"/>
    <x v="17"/>
    <x v="14"/>
    <x v="0"/>
    <n v="600"/>
  </r>
  <r>
    <x v="0"/>
    <x v="19"/>
    <x v="19"/>
    <x v="17"/>
    <x v="21"/>
    <x v="0"/>
    <n v="3300"/>
  </r>
  <r>
    <x v="0"/>
    <x v="19"/>
    <x v="19"/>
    <x v="18"/>
    <x v="18"/>
    <x v="0"/>
    <n v="1000"/>
  </r>
  <r>
    <x v="0"/>
    <x v="19"/>
    <x v="19"/>
    <x v="18"/>
    <x v="14"/>
    <x v="0"/>
    <n v="300"/>
  </r>
  <r>
    <x v="0"/>
    <x v="19"/>
    <x v="19"/>
    <x v="18"/>
    <x v="15"/>
    <x v="0"/>
    <n v="3300"/>
  </r>
  <r>
    <x v="0"/>
    <x v="19"/>
    <x v="19"/>
    <x v="18"/>
    <x v="10"/>
    <x v="0"/>
    <n v="7300"/>
  </r>
  <r>
    <x v="0"/>
    <x v="19"/>
    <x v="19"/>
    <x v="19"/>
    <x v="6"/>
    <x v="0"/>
    <n v="680"/>
  </r>
  <r>
    <x v="0"/>
    <x v="19"/>
    <x v="19"/>
    <x v="19"/>
    <x v="11"/>
    <x v="0"/>
    <n v="1350"/>
  </r>
  <r>
    <x v="0"/>
    <x v="19"/>
    <x v="19"/>
    <x v="19"/>
    <x v="19"/>
    <x v="0"/>
    <n v="3295"/>
  </r>
  <r>
    <x v="0"/>
    <x v="19"/>
    <x v="19"/>
    <x v="19"/>
    <x v="21"/>
    <x v="0"/>
    <n v="7300"/>
  </r>
  <r>
    <x v="0"/>
    <x v="19"/>
    <x v="19"/>
    <x v="19"/>
    <x v="7"/>
    <x v="0"/>
    <n v="6500"/>
  </r>
  <r>
    <x v="0"/>
    <x v="19"/>
    <x v="19"/>
    <x v="20"/>
    <x v="0"/>
    <x v="0"/>
    <n v="610"/>
  </r>
  <r>
    <x v="0"/>
    <x v="19"/>
    <x v="19"/>
    <x v="20"/>
    <x v="3"/>
    <x v="0"/>
    <n v="1300"/>
  </r>
  <r>
    <x v="0"/>
    <x v="19"/>
    <x v="19"/>
    <x v="20"/>
    <x v="16"/>
    <x v="0"/>
    <n v="700"/>
  </r>
  <r>
    <x v="0"/>
    <x v="19"/>
    <x v="19"/>
    <x v="20"/>
    <x v="10"/>
    <x v="0"/>
    <n v="3200"/>
  </r>
  <r>
    <x v="0"/>
    <x v="19"/>
    <x v="19"/>
    <x v="21"/>
    <x v="6"/>
    <x v="0"/>
    <n v="1400"/>
  </r>
  <r>
    <x v="0"/>
    <x v="19"/>
    <x v="19"/>
    <x v="21"/>
    <x v="8"/>
    <x v="0"/>
    <n v="1000"/>
  </r>
  <r>
    <x v="0"/>
    <x v="19"/>
    <x v="19"/>
    <x v="21"/>
    <x v="9"/>
    <x v="0"/>
    <n v="1400"/>
  </r>
  <r>
    <x v="0"/>
    <x v="20"/>
    <x v="20"/>
    <x v="0"/>
    <x v="0"/>
    <x v="0"/>
    <n v="3010"/>
  </r>
  <r>
    <x v="0"/>
    <x v="20"/>
    <x v="20"/>
    <x v="0"/>
    <x v="1"/>
    <x v="0"/>
    <n v="3010"/>
  </r>
  <r>
    <x v="0"/>
    <x v="20"/>
    <x v="20"/>
    <x v="0"/>
    <x v="2"/>
    <x v="0"/>
    <n v="6020"/>
  </r>
  <r>
    <x v="0"/>
    <x v="20"/>
    <x v="20"/>
    <x v="0"/>
    <x v="3"/>
    <x v="0"/>
    <n v="600"/>
  </r>
  <r>
    <x v="0"/>
    <x v="20"/>
    <x v="20"/>
    <x v="0"/>
    <x v="4"/>
    <x v="0"/>
    <n v="2000"/>
  </r>
  <r>
    <x v="0"/>
    <x v="20"/>
    <x v="20"/>
    <x v="1"/>
    <x v="5"/>
    <x v="0"/>
    <n v="3010"/>
  </r>
  <r>
    <x v="0"/>
    <x v="20"/>
    <x v="20"/>
    <x v="1"/>
    <x v="2"/>
    <x v="0"/>
    <n v="8634"/>
  </r>
  <r>
    <x v="0"/>
    <x v="20"/>
    <x v="20"/>
    <x v="1"/>
    <x v="6"/>
    <x v="0"/>
    <n v="3000"/>
  </r>
  <r>
    <x v="0"/>
    <x v="20"/>
    <x v="20"/>
    <x v="1"/>
    <x v="9"/>
    <x v="0"/>
    <n v="1400"/>
  </r>
  <r>
    <x v="0"/>
    <x v="20"/>
    <x v="20"/>
    <x v="1"/>
    <x v="7"/>
    <x v="0"/>
    <n v="600"/>
  </r>
  <r>
    <x v="0"/>
    <x v="20"/>
    <x v="20"/>
    <x v="2"/>
    <x v="5"/>
    <x v="0"/>
    <n v="3010"/>
  </r>
  <r>
    <x v="0"/>
    <x v="20"/>
    <x v="20"/>
    <x v="2"/>
    <x v="2"/>
    <x v="0"/>
    <n v="14416"/>
  </r>
  <r>
    <x v="0"/>
    <x v="20"/>
    <x v="20"/>
    <x v="3"/>
    <x v="5"/>
    <x v="0"/>
    <n v="6020"/>
  </r>
  <r>
    <x v="0"/>
    <x v="20"/>
    <x v="20"/>
    <x v="3"/>
    <x v="0"/>
    <x v="0"/>
    <n v="8634"/>
  </r>
  <r>
    <x v="0"/>
    <x v="20"/>
    <x v="20"/>
    <x v="3"/>
    <x v="1"/>
    <x v="0"/>
    <n v="14416"/>
  </r>
  <r>
    <x v="0"/>
    <x v="20"/>
    <x v="20"/>
    <x v="3"/>
    <x v="3"/>
    <x v="0"/>
    <n v="400"/>
  </r>
  <r>
    <x v="0"/>
    <x v="20"/>
    <x v="20"/>
    <x v="3"/>
    <x v="8"/>
    <x v="0"/>
    <n v="5900"/>
  </r>
  <r>
    <x v="0"/>
    <x v="20"/>
    <x v="20"/>
    <x v="4"/>
    <x v="0"/>
    <x v="0"/>
    <n v="3000"/>
  </r>
  <r>
    <x v="0"/>
    <x v="20"/>
    <x v="20"/>
    <x v="4"/>
    <x v="3"/>
    <x v="0"/>
    <n v="600"/>
  </r>
  <r>
    <x v="0"/>
    <x v="20"/>
    <x v="20"/>
    <x v="4"/>
    <x v="8"/>
    <x v="0"/>
    <n v="700"/>
  </r>
  <r>
    <x v="0"/>
    <x v="20"/>
    <x v="20"/>
    <x v="4"/>
    <x v="9"/>
    <x v="0"/>
    <n v="1700"/>
  </r>
  <r>
    <x v="0"/>
    <x v="20"/>
    <x v="20"/>
    <x v="4"/>
    <x v="10"/>
    <x v="0"/>
    <n v="740"/>
  </r>
  <r>
    <x v="0"/>
    <x v="20"/>
    <x v="20"/>
    <x v="4"/>
    <x v="17"/>
    <x v="0"/>
    <n v="1400"/>
  </r>
  <r>
    <x v="0"/>
    <x v="20"/>
    <x v="20"/>
    <x v="5"/>
    <x v="5"/>
    <x v="0"/>
    <n v="585"/>
  </r>
  <r>
    <x v="0"/>
    <x v="20"/>
    <x v="20"/>
    <x v="5"/>
    <x v="2"/>
    <x v="0"/>
    <n v="400"/>
  </r>
  <r>
    <x v="0"/>
    <x v="20"/>
    <x v="20"/>
    <x v="5"/>
    <x v="6"/>
    <x v="0"/>
    <n v="600"/>
  </r>
  <r>
    <x v="0"/>
    <x v="20"/>
    <x v="20"/>
    <x v="5"/>
    <x v="7"/>
    <x v="0"/>
    <n v="1700"/>
  </r>
  <r>
    <x v="0"/>
    <x v="20"/>
    <x v="20"/>
    <x v="6"/>
    <x v="11"/>
    <x v="0"/>
    <n v="1000"/>
  </r>
  <r>
    <x v="0"/>
    <x v="20"/>
    <x v="20"/>
    <x v="6"/>
    <x v="12"/>
    <x v="0"/>
    <n v="800"/>
  </r>
  <r>
    <x v="0"/>
    <x v="20"/>
    <x v="20"/>
    <x v="7"/>
    <x v="13"/>
    <x v="0"/>
    <n v="1000"/>
  </r>
  <r>
    <x v="0"/>
    <x v="20"/>
    <x v="20"/>
    <x v="7"/>
    <x v="14"/>
    <x v="0"/>
    <n v="700"/>
  </r>
  <r>
    <x v="0"/>
    <x v="20"/>
    <x v="20"/>
    <x v="7"/>
    <x v="15"/>
    <x v="0"/>
    <n v="1300"/>
  </r>
  <r>
    <x v="0"/>
    <x v="20"/>
    <x v="20"/>
    <x v="7"/>
    <x v="10"/>
    <x v="0"/>
    <n v="1350"/>
  </r>
  <r>
    <x v="0"/>
    <x v="20"/>
    <x v="20"/>
    <x v="8"/>
    <x v="12"/>
    <x v="0"/>
    <n v="700"/>
  </r>
  <r>
    <x v="0"/>
    <x v="20"/>
    <x v="20"/>
    <x v="8"/>
    <x v="4"/>
    <x v="0"/>
    <n v="1000"/>
  </r>
  <r>
    <x v="0"/>
    <x v="20"/>
    <x v="20"/>
    <x v="8"/>
    <x v="7"/>
    <x v="0"/>
    <n v="700"/>
  </r>
  <r>
    <x v="0"/>
    <x v="20"/>
    <x v="20"/>
    <x v="9"/>
    <x v="13"/>
    <x v="0"/>
    <n v="800"/>
  </r>
  <r>
    <x v="0"/>
    <x v="20"/>
    <x v="20"/>
    <x v="9"/>
    <x v="16"/>
    <x v="0"/>
    <n v="1200"/>
  </r>
  <r>
    <x v="0"/>
    <x v="20"/>
    <x v="20"/>
    <x v="10"/>
    <x v="2"/>
    <x v="0"/>
    <n v="5100"/>
  </r>
  <r>
    <x v="0"/>
    <x v="20"/>
    <x v="20"/>
    <x v="10"/>
    <x v="6"/>
    <x v="0"/>
    <n v="700"/>
  </r>
  <r>
    <x v="0"/>
    <x v="20"/>
    <x v="20"/>
    <x v="10"/>
    <x v="9"/>
    <x v="0"/>
    <n v="1400"/>
  </r>
  <r>
    <x v="0"/>
    <x v="20"/>
    <x v="20"/>
    <x v="10"/>
    <x v="17"/>
    <x v="0"/>
    <n v="1000"/>
  </r>
  <r>
    <x v="0"/>
    <x v="20"/>
    <x v="20"/>
    <x v="11"/>
    <x v="9"/>
    <x v="0"/>
    <n v="2500"/>
  </r>
  <r>
    <x v="0"/>
    <x v="20"/>
    <x v="20"/>
    <x v="11"/>
    <x v="18"/>
    <x v="0"/>
    <n v="1150"/>
  </r>
  <r>
    <x v="0"/>
    <x v="20"/>
    <x v="20"/>
    <x v="11"/>
    <x v="10"/>
    <x v="0"/>
    <n v="3345"/>
  </r>
  <r>
    <x v="0"/>
    <x v="20"/>
    <x v="20"/>
    <x v="12"/>
    <x v="0"/>
    <x v="0"/>
    <n v="1400"/>
  </r>
  <r>
    <x v="0"/>
    <x v="20"/>
    <x v="20"/>
    <x v="12"/>
    <x v="6"/>
    <x v="0"/>
    <n v="1700"/>
  </r>
  <r>
    <x v="0"/>
    <x v="20"/>
    <x v="20"/>
    <x v="12"/>
    <x v="8"/>
    <x v="0"/>
    <n v="1400"/>
  </r>
  <r>
    <x v="0"/>
    <x v="20"/>
    <x v="20"/>
    <x v="12"/>
    <x v="19"/>
    <x v="0"/>
    <n v="3200"/>
  </r>
  <r>
    <x v="0"/>
    <x v="20"/>
    <x v="20"/>
    <x v="12"/>
    <x v="20"/>
    <x v="0"/>
    <n v="1200"/>
  </r>
  <r>
    <x v="0"/>
    <x v="20"/>
    <x v="20"/>
    <x v="12"/>
    <x v="17"/>
    <x v="0"/>
    <n v="1400"/>
  </r>
  <r>
    <x v="0"/>
    <x v="20"/>
    <x v="20"/>
    <x v="13"/>
    <x v="19"/>
    <x v="0"/>
    <n v="1200"/>
  </r>
  <r>
    <x v="0"/>
    <x v="20"/>
    <x v="20"/>
    <x v="13"/>
    <x v="14"/>
    <x v="0"/>
    <n v="200"/>
  </r>
  <r>
    <x v="0"/>
    <x v="20"/>
    <x v="20"/>
    <x v="13"/>
    <x v="20"/>
    <x v="0"/>
    <n v="1000"/>
  </r>
  <r>
    <x v="0"/>
    <x v="20"/>
    <x v="20"/>
    <x v="13"/>
    <x v="21"/>
    <x v="0"/>
    <n v="600"/>
  </r>
  <r>
    <x v="0"/>
    <x v="20"/>
    <x v="20"/>
    <x v="14"/>
    <x v="11"/>
    <x v="0"/>
    <n v="600"/>
  </r>
  <r>
    <x v="0"/>
    <x v="20"/>
    <x v="20"/>
    <x v="14"/>
    <x v="18"/>
    <x v="0"/>
    <n v="1000"/>
  </r>
  <r>
    <x v="0"/>
    <x v="20"/>
    <x v="20"/>
    <x v="14"/>
    <x v="21"/>
    <x v="0"/>
    <n v="250"/>
  </r>
  <r>
    <x v="0"/>
    <x v="20"/>
    <x v="20"/>
    <x v="15"/>
    <x v="9"/>
    <x v="0"/>
    <n v="1200"/>
  </r>
  <r>
    <x v="0"/>
    <x v="20"/>
    <x v="20"/>
    <x v="15"/>
    <x v="18"/>
    <x v="0"/>
    <n v="1000"/>
  </r>
  <r>
    <x v="0"/>
    <x v="20"/>
    <x v="20"/>
    <x v="16"/>
    <x v="5"/>
    <x v="0"/>
    <n v="2000"/>
  </r>
  <r>
    <x v="0"/>
    <x v="20"/>
    <x v="20"/>
    <x v="16"/>
    <x v="16"/>
    <x v="0"/>
    <n v="1000"/>
  </r>
  <r>
    <x v="0"/>
    <x v="20"/>
    <x v="20"/>
    <x v="17"/>
    <x v="11"/>
    <x v="0"/>
    <n v="1300"/>
  </r>
  <r>
    <x v="0"/>
    <x v="20"/>
    <x v="20"/>
    <x v="17"/>
    <x v="14"/>
    <x v="0"/>
    <n v="600"/>
  </r>
  <r>
    <x v="0"/>
    <x v="20"/>
    <x v="20"/>
    <x v="17"/>
    <x v="21"/>
    <x v="0"/>
    <n v="3300"/>
  </r>
  <r>
    <x v="0"/>
    <x v="20"/>
    <x v="20"/>
    <x v="18"/>
    <x v="18"/>
    <x v="0"/>
    <n v="1000"/>
  </r>
  <r>
    <x v="0"/>
    <x v="20"/>
    <x v="20"/>
    <x v="18"/>
    <x v="14"/>
    <x v="0"/>
    <n v="300"/>
  </r>
  <r>
    <x v="0"/>
    <x v="20"/>
    <x v="20"/>
    <x v="18"/>
    <x v="15"/>
    <x v="0"/>
    <n v="3300"/>
  </r>
  <r>
    <x v="0"/>
    <x v="20"/>
    <x v="20"/>
    <x v="18"/>
    <x v="10"/>
    <x v="0"/>
    <n v="7300"/>
  </r>
  <r>
    <x v="0"/>
    <x v="20"/>
    <x v="20"/>
    <x v="19"/>
    <x v="6"/>
    <x v="0"/>
    <n v="680"/>
  </r>
  <r>
    <x v="0"/>
    <x v="20"/>
    <x v="20"/>
    <x v="19"/>
    <x v="11"/>
    <x v="0"/>
    <n v="1350"/>
  </r>
  <r>
    <x v="0"/>
    <x v="20"/>
    <x v="20"/>
    <x v="19"/>
    <x v="19"/>
    <x v="0"/>
    <n v="3295"/>
  </r>
  <r>
    <x v="0"/>
    <x v="20"/>
    <x v="20"/>
    <x v="19"/>
    <x v="21"/>
    <x v="0"/>
    <n v="7300"/>
  </r>
  <r>
    <x v="0"/>
    <x v="20"/>
    <x v="20"/>
    <x v="19"/>
    <x v="7"/>
    <x v="0"/>
    <n v="6500"/>
  </r>
  <r>
    <x v="0"/>
    <x v="20"/>
    <x v="20"/>
    <x v="20"/>
    <x v="0"/>
    <x v="0"/>
    <n v="610"/>
  </r>
  <r>
    <x v="0"/>
    <x v="20"/>
    <x v="20"/>
    <x v="20"/>
    <x v="3"/>
    <x v="0"/>
    <n v="1300"/>
  </r>
  <r>
    <x v="0"/>
    <x v="20"/>
    <x v="20"/>
    <x v="20"/>
    <x v="16"/>
    <x v="0"/>
    <n v="700"/>
  </r>
  <r>
    <x v="0"/>
    <x v="20"/>
    <x v="20"/>
    <x v="20"/>
    <x v="10"/>
    <x v="0"/>
    <n v="3200"/>
  </r>
  <r>
    <x v="0"/>
    <x v="20"/>
    <x v="20"/>
    <x v="21"/>
    <x v="6"/>
    <x v="0"/>
    <n v="1400"/>
  </r>
  <r>
    <x v="0"/>
    <x v="20"/>
    <x v="20"/>
    <x v="21"/>
    <x v="8"/>
    <x v="0"/>
    <n v="1000"/>
  </r>
  <r>
    <x v="0"/>
    <x v="20"/>
    <x v="20"/>
    <x v="21"/>
    <x v="9"/>
    <x v="0"/>
    <n v="1400"/>
  </r>
  <r>
    <x v="0"/>
    <x v="21"/>
    <x v="21"/>
    <x v="0"/>
    <x v="0"/>
    <x v="0"/>
    <n v="3010"/>
  </r>
  <r>
    <x v="0"/>
    <x v="21"/>
    <x v="21"/>
    <x v="0"/>
    <x v="1"/>
    <x v="0"/>
    <n v="3010"/>
  </r>
  <r>
    <x v="0"/>
    <x v="21"/>
    <x v="21"/>
    <x v="0"/>
    <x v="2"/>
    <x v="0"/>
    <n v="6020"/>
  </r>
  <r>
    <x v="0"/>
    <x v="21"/>
    <x v="21"/>
    <x v="0"/>
    <x v="3"/>
    <x v="0"/>
    <n v="600"/>
  </r>
  <r>
    <x v="0"/>
    <x v="21"/>
    <x v="21"/>
    <x v="0"/>
    <x v="4"/>
    <x v="0"/>
    <n v="2000"/>
  </r>
  <r>
    <x v="0"/>
    <x v="21"/>
    <x v="21"/>
    <x v="1"/>
    <x v="5"/>
    <x v="0"/>
    <n v="3010"/>
  </r>
  <r>
    <x v="0"/>
    <x v="21"/>
    <x v="21"/>
    <x v="1"/>
    <x v="2"/>
    <x v="0"/>
    <n v="8634"/>
  </r>
  <r>
    <x v="0"/>
    <x v="21"/>
    <x v="21"/>
    <x v="1"/>
    <x v="6"/>
    <x v="0"/>
    <n v="3000"/>
  </r>
  <r>
    <x v="0"/>
    <x v="21"/>
    <x v="21"/>
    <x v="1"/>
    <x v="9"/>
    <x v="0"/>
    <n v="1400"/>
  </r>
  <r>
    <x v="0"/>
    <x v="21"/>
    <x v="21"/>
    <x v="1"/>
    <x v="7"/>
    <x v="0"/>
    <n v="600"/>
  </r>
  <r>
    <x v="0"/>
    <x v="21"/>
    <x v="21"/>
    <x v="2"/>
    <x v="5"/>
    <x v="0"/>
    <n v="3010"/>
  </r>
  <r>
    <x v="0"/>
    <x v="21"/>
    <x v="21"/>
    <x v="2"/>
    <x v="2"/>
    <x v="0"/>
    <n v="14416"/>
  </r>
  <r>
    <x v="0"/>
    <x v="21"/>
    <x v="21"/>
    <x v="3"/>
    <x v="5"/>
    <x v="0"/>
    <n v="6020"/>
  </r>
  <r>
    <x v="0"/>
    <x v="21"/>
    <x v="21"/>
    <x v="3"/>
    <x v="0"/>
    <x v="0"/>
    <n v="8634"/>
  </r>
  <r>
    <x v="0"/>
    <x v="21"/>
    <x v="21"/>
    <x v="3"/>
    <x v="1"/>
    <x v="0"/>
    <n v="14416"/>
  </r>
  <r>
    <x v="0"/>
    <x v="21"/>
    <x v="21"/>
    <x v="3"/>
    <x v="3"/>
    <x v="0"/>
    <n v="400"/>
  </r>
  <r>
    <x v="0"/>
    <x v="21"/>
    <x v="21"/>
    <x v="3"/>
    <x v="8"/>
    <x v="0"/>
    <n v="5900"/>
  </r>
  <r>
    <x v="0"/>
    <x v="21"/>
    <x v="21"/>
    <x v="4"/>
    <x v="0"/>
    <x v="0"/>
    <n v="3000"/>
  </r>
  <r>
    <x v="0"/>
    <x v="21"/>
    <x v="21"/>
    <x v="4"/>
    <x v="3"/>
    <x v="0"/>
    <n v="600"/>
  </r>
  <r>
    <x v="0"/>
    <x v="21"/>
    <x v="21"/>
    <x v="4"/>
    <x v="8"/>
    <x v="0"/>
    <n v="700"/>
  </r>
  <r>
    <x v="0"/>
    <x v="21"/>
    <x v="21"/>
    <x v="4"/>
    <x v="9"/>
    <x v="0"/>
    <n v="1700"/>
  </r>
  <r>
    <x v="0"/>
    <x v="21"/>
    <x v="21"/>
    <x v="4"/>
    <x v="10"/>
    <x v="0"/>
    <n v="740"/>
  </r>
  <r>
    <x v="0"/>
    <x v="21"/>
    <x v="21"/>
    <x v="4"/>
    <x v="17"/>
    <x v="0"/>
    <n v="1400"/>
  </r>
  <r>
    <x v="0"/>
    <x v="21"/>
    <x v="21"/>
    <x v="5"/>
    <x v="5"/>
    <x v="0"/>
    <n v="585"/>
  </r>
  <r>
    <x v="0"/>
    <x v="21"/>
    <x v="21"/>
    <x v="5"/>
    <x v="2"/>
    <x v="0"/>
    <n v="400"/>
  </r>
  <r>
    <x v="0"/>
    <x v="21"/>
    <x v="21"/>
    <x v="5"/>
    <x v="6"/>
    <x v="0"/>
    <n v="600"/>
  </r>
  <r>
    <x v="0"/>
    <x v="21"/>
    <x v="21"/>
    <x v="5"/>
    <x v="7"/>
    <x v="0"/>
    <n v="1700"/>
  </r>
  <r>
    <x v="0"/>
    <x v="21"/>
    <x v="21"/>
    <x v="6"/>
    <x v="11"/>
    <x v="0"/>
    <n v="1000"/>
  </r>
  <r>
    <x v="0"/>
    <x v="21"/>
    <x v="21"/>
    <x v="6"/>
    <x v="12"/>
    <x v="0"/>
    <n v="800"/>
  </r>
  <r>
    <x v="0"/>
    <x v="21"/>
    <x v="21"/>
    <x v="7"/>
    <x v="13"/>
    <x v="0"/>
    <n v="1000"/>
  </r>
  <r>
    <x v="0"/>
    <x v="21"/>
    <x v="21"/>
    <x v="7"/>
    <x v="14"/>
    <x v="0"/>
    <n v="700"/>
  </r>
  <r>
    <x v="0"/>
    <x v="21"/>
    <x v="21"/>
    <x v="7"/>
    <x v="15"/>
    <x v="0"/>
    <n v="1300"/>
  </r>
  <r>
    <x v="0"/>
    <x v="21"/>
    <x v="21"/>
    <x v="7"/>
    <x v="10"/>
    <x v="0"/>
    <n v="1350"/>
  </r>
  <r>
    <x v="0"/>
    <x v="21"/>
    <x v="21"/>
    <x v="8"/>
    <x v="12"/>
    <x v="0"/>
    <n v="700"/>
  </r>
  <r>
    <x v="0"/>
    <x v="21"/>
    <x v="21"/>
    <x v="8"/>
    <x v="4"/>
    <x v="0"/>
    <n v="1000"/>
  </r>
  <r>
    <x v="0"/>
    <x v="21"/>
    <x v="21"/>
    <x v="8"/>
    <x v="7"/>
    <x v="0"/>
    <n v="700"/>
  </r>
  <r>
    <x v="0"/>
    <x v="21"/>
    <x v="21"/>
    <x v="9"/>
    <x v="13"/>
    <x v="0"/>
    <n v="800"/>
  </r>
  <r>
    <x v="0"/>
    <x v="21"/>
    <x v="21"/>
    <x v="9"/>
    <x v="16"/>
    <x v="0"/>
    <n v="1200"/>
  </r>
  <r>
    <x v="0"/>
    <x v="21"/>
    <x v="21"/>
    <x v="10"/>
    <x v="2"/>
    <x v="0"/>
    <n v="5100"/>
  </r>
  <r>
    <x v="0"/>
    <x v="21"/>
    <x v="21"/>
    <x v="10"/>
    <x v="6"/>
    <x v="0"/>
    <n v="700"/>
  </r>
  <r>
    <x v="0"/>
    <x v="21"/>
    <x v="21"/>
    <x v="10"/>
    <x v="9"/>
    <x v="0"/>
    <n v="1400"/>
  </r>
  <r>
    <x v="0"/>
    <x v="21"/>
    <x v="21"/>
    <x v="10"/>
    <x v="17"/>
    <x v="0"/>
    <n v="1000"/>
  </r>
  <r>
    <x v="0"/>
    <x v="21"/>
    <x v="21"/>
    <x v="11"/>
    <x v="9"/>
    <x v="0"/>
    <n v="2500"/>
  </r>
  <r>
    <x v="0"/>
    <x v="21"/>
    <x v="21"/>
    <x v="11"/>
    <x v="18"/>
    <x v="0"/>
    <n v="1150"/>
  </r>
  <r>
    <x v="0"/>
    <x v="21"/>
    <x v="21"/>
    <x v="11"/>
    <x v="10"/>
    <x v="0"/>
    <n v="3345"/>
  </r>
  <r>
    <x v="0"/>
    <x v="21"/>
    <x v="21"/>
    <x v="12"/>
    <x v="0"/>
    <x v="0"/>
    <n v="1400"/>
  </r>
  <r>
    <x v="0"/>
    <x v="21"/>
    <x v="21"/>
    <x v="12"/>
    <x v="6"/>
    <x v="0"/>
    <n v="1700"/>
  </r>
  <r>
    <x v="0"/>
    <x v="21"/>
    <x v="21"/>
    <x v="12"/>
    <x v="8"/>
    <x v="0"/>
    <n v="1400"/>
  </r>
  <r>
    <x v="0"/>
    <x v="21"/>
    <x v="21"/>
    <x v="12"/>
    <x v="19"/>
    <x v="0"/>
    <n v="3200"/>
  </r>
  <r>
    <x v="0"/>
    <x v="21"/>
    <x v="21"/>
    <x v="12"/>
    <x v="20"/>
    <x v="0"/>
    <n v="1200"/>
  </r>
  <r>
    <x v="0"/>
    <x v="21"/>
    <x v="21"/>
    <x v="12"/>
    <x v="17"/>
    <x v="0"/>
    <n v="1400"/>
  </r>
  <r>
    <x v="0"/>
    <x v="21"/>
    <x v="21"/>
    <x v="13"/>
    <x v="19"/>
    <x v="0"/>
    <n v="1200"/>
  </r>
  <r>
    <x v="0"/>
    <x v="21"/>
    <x v="21"/>
    <x v="13"/>
    <x v="14"/>
    <x v="0"/>
    <n v="200"/>
  </r>
  <r>
    <x v="0"/>
    <x v="21"/>
    <x v="21"/>
    <x v="13"/>
    <x v="20"/>
    <x v="0"/>
    <n v="1000"/>
  </r>
  <r>
    <x v="0"/>
    <x v="21"/>
    <x v="21"/>
    <x v="13"/>
    <x v="21"/>
    <x v="0"/>
    <n v="600"/>
  </r>
  <r>
    <x v="0"/>
    <x v="21"/>
    <x v="21"/>
    <x v="14"/>
    <x v="11"/>
    <x v="0"/>
    <n v="600"/>
  </r>
  <r>
    <x v="0"/>
    <x v="21"/>
    <x v="21"/>
    <x v="14"/>
    <x v="18"/>
    <x v="0"/>
    <n v="1000"/>
  </r>
  <r>
    <x v="0"/>
    <x v="21"/>
    <x v="21"/>
    <x v="14"/>
    <x v="21"/>
    <x v="0"/>
    <n v="250"/>
  </r>
  <r>
    <x v="0"/>
    <x v="21"/>
    <x v="21"/>
    <x v="15"/>
    <x v="9"/>
    <x v="0"/>
    <n v="1200"/>
  </r>
  <r>
    <x v="0"/>
    <x v="21"/>
    <x v="21"/>
    <x v="15"/>
    <x v="18"/>
    <x v="0"/>
    <n v="1000"/>
  </r>
  <r>
    <x v="0"/>
    <x v="21"/>
    <x v="21"/>
    <x v="16"/>
    <x v="5"/>
    <x v="0"/>
    <n v="2000"/>
  </r>
  <r>
    <x v="0"/>
    <x v="21"/>
    <x v="21"/>
    <x v="16"/>
    <x v="16"/>
    <x v="0"/>
    <n v="1000"/>
  </r>
  <r>
    <x v="0"/>
    <x v="21"/>
    <x v="21"/>
    <x v="17"/>
    <x v="11"/>
    <x v="0"/>
    <n v="1300"/>
  </r>
  <r>
    <x v="0"/>
    <x v="21"/>
    <x v="21"/>
    <x v="17"/>
    <x v="14"/>
    <x v="0"/>
    <n v="600"/>
  </r>
  <r>
    <x v="0"/>
    <x v="21"/>
    <x v="21"/>
    <x v="17"/>
    <x v="21"/>
    <x v="0"/>
    <n v="3300"/>
  </r>
  <r>
    <x v="0"/>
    <x v="21"/>
    <x v="21"/>
    <x v="18"/>
    <x v="18"/>
    <x v="0"/>
    <n v="1000"/>
  </r>
  <r>
    <x v="0"/>
    <x v="21"/>
    <x v="21"/>
    <x v="18"/>
    <x v="14"/>
    <x v="0"/>
    <n v="300"/>
  </r>
  <r>
    <x v="0"/>
    <x v="21"/>
    <x v="21"/>
    <x v="18"/>
    <x v="15"/>
    <x v="0"/>
    <n v="3300"/>
  </r>
  <r>
    <x v="0"/>
    <x v="21"/>
    <x v="21"/>
    <x v="18"/>
    <x v="10"/>
    <x v="0"/>
    <n v="7300"/>
  </r>
  <r>
    <x v="0"/>
    <x v="21"/>
    <x v="21"/>
    <x v="19"/>
    <x v="6"/>
    <x v="0"/>
    <n v="680"/>
  </r>
  <r>
    <x v="0"/>
    <x v="21"/>
    <x v="21"/>
    <x v="19"/>
    <x v="11"/>
    <x v="0"/>
    <n v="1350"/>
  </r>
  <r>
    <x v="0"/>
    <x v="21"/>
    <x v="21"/>
    <x v="19"/>
    <x v="19"/>
    <x v="0"/>
    <n v="3295"/>
  </r>
  <r>
    <x v="0"/>
    <x v="21"/>
    <x v="21"/>
    <x v="19"/>
    <x v="21"/>
    <x v="0"/>
    <n v="7300"/>
  </r>
  <r>
    <x v="0"/>
    <x v="21"/>
    <x v="21"/>
    <x v="19"/>
    <x v="7"/>
    <x v="0"/>
    <n v="6500"/>
  </r>
  <r>
    <x v="0"/>
    <x v="21"/>
    <x v="21"/>
    <x v="20"/>
    <x v="0"/>
    <x v="0"/>
    <n v="610"/>
  </r>
  <r>
    <x v="0"/>
    <x v="21"/>
    <x v="21"/>
    <x v="20"/>
    <x v="3"/>
    <x v="0"/>
    <n v="1300"/>
  </r>
  <r>
    <x v="0"/>
    <x v="21"/>
    <x v="21"/>
    <x v="20"/>
    <x v="16"/>
    <x v="0"/>
    <n v="700"/>
  </r>
  <r>
    <x v="0"/>
    <x v="21"/>
    <x v="21"/>
    <x v="20"/>
    <x v="10"/>
    <x v="0"/>
    <n v="3200"/>
  </r>
  <r>
    <x v="0"/>
    <x v="21"/>
    <x v="21"/>
    <x v="21"/>
    <x v="6"/>
    <x v="0"/>
    <n v="1400"/>
  </r>
  <r>
    <x v="0"/>
    <x v="21"/>
    <x v="21"/>
    <x v="21"/>
    <x v="8"/>
    <x v="0"/>
    <n v="1000"/>
  </r>
  <r>
    <x v="0"/>
    <x v="21"/>
    <x v="21"/>
    <x v="21"/>
    <x v="9"/>
    <x v="0"/>
    <n v="1400"/>
  </r>
  <r>
    <x v="0"/>
    <x v="22"/>
    <x v="22"/>
    <x v="0"/>
    <x v="0"/>
    <x v="0"/>
    <n v="3010"/>
  </r>
  <r>
    <x v="0"/>
    <x v="22"/>
    <x v="22"/>
    <x v="0"/>
    <x v="1"/>
    <x v="0"/>
    <n v="3010"/>
  </r>
  <r>
    <x v="0"/>
    <x v="22"/>
    <x v="22"/>
    <x v="0"/>
    <x v="2"/>
    <x v="0"/>
    <n v="6020"/>
  </r>
  <r>
    <x v="0"/>
    <x v="22"/>
    <x v="22"/>
    <x v="0"/>
    <x v="3"/>
    <x v="0"/>
    <n v="600"/>
  </r>
  <r>
    <x v="0"/>
    <x v="22"/>
    <x v="22"/>
    <x v="0"/>
    <x v="4"/>
    <x v="0"/>
    <n v="2000"/>
  </r>
  <r>
    <x v="0"/>
    <x v="22"/>
    <x v="22"/>
    <x v="1"/>
    <x v="5"/>
    <x v="0"/>
    <n v="3010"/>
  </r>
  <r>
    <x v="0"/>
    <x v="22"/>
    <x v="22"/>
    <x v="1"/>
    <x v="2"/>
    <x v="0"/>
    <n v="8634"/>
  </r>
  <r>
    <x v="0"/>
    <x v="22"/>
    <x v="22"/>
    <x v="1"/>
    <x v="6"/>
    <x v="0"/>
    <n v="3000"/>
  </r>
  <r>
    <x v="0"/>
    <x v="22"/>
    <x v="22"/>
    <x v="1"/>
    <x v="9"/>
    <x v="0"/>
    <n v="1400"/>
  </r>
  <r>
    <x v="0"/>
    <x v="22"/>
    <x v="22"/>
    <x v="1"/>
    <x v="7"/>
    <x v="0"/>
    <n v="600"/>
  </r>
  <r>
    <x v="0"/>
    <x v="22"/>
    <x v="22"/>
    <x v="2"/>
    <x v="5"/>
    <x v="0"/>
    <n v="3010"/>
  </r>
  <r>
    <x v="0"/>
    <x v="22"/>
    <x v="22"/>
    <x v="2"/>
    <x v="2"/>
    <x v="0"/>
    <n v="14416"/>
  </r>
  <r>
    <x v="0"/>
    <x v="22"/>
    <x v="22"/>
    <x v="3"/>
    <x v="5"/>
    <x v="0"/>
    <n v="6020"/>
  </r>
  <r>
    <x v="0"/>
    <x v="22"/>
    <x v="22"/>
    <x v="3"/>
    <x v="0"/>
    <x v="0"/>
    <n v="8634"/>
  </r>
  <r>
    <x v="0"/>
    <x v="22"/>
    <x v="22"/>
    <x v="3"/>
    <x v="1"/>
    <x v="0"/>
    <n v="14416"/>
  </r>
  <r>
    <x v="0"/>
    <x v="22"/>
    <x v="22"/>
    <x v="3"/>
    <x v="3"/>
    <x v="0"/>
    <n v="400"/>
  </r>
  <r>
    <x v="0"/>
    <x v="22"/>
    <x v="22"/>
    <x v="3"/>
    <x v="8"/>
    <x v="0"/>
    <n v="5900"/>
  </r>
  <r>
    <x v="0"/>
    <x v="22"/>
    <x v="22"/>
    <x v="4"/>
    <x v="0"/>
    <x v="0"/>
    <n v="3000"/>
  </r>
  <r>
    <x v="0"/>
    <x v="22"/>
    <x v="22"/>
    <x v="4"/>
    <x v="3"/>
    <x v="0"/>
    <n v="600"/>
  </r>
  <r>
    <x v="0"/>
    <x v="22"/>
    <x v="22"/>
    <x v="4"/>
    <x v="8"/>
    <x v="0"/>
    <n v="700"/>
  </r>
  <r>
    <x v="0"/>
    <x v="22"/>
    <x v="22"/>
    <x v="4"/>
    <x v="9"/>
    <x v="0"/>
    <n v="1700"/>
  </r>
  <r>
    <x v="0"/>
    <x v="22"/>
    <x v="22"/>
    <x v="4"/>
    <x v="10"/>
    <x v="0"/>
    <n v="740"/>
  </r>
  <r>
    <x v="0"/>
    <x v="22"/>
    <x v="22"/>
    <x v="4"/>
    <x v="17"/>
    <x v="0"/>
    <n v="1400"/>
  </r>
  <r>
    <x v="0"/>
    <x v="22"/>
    <x v="22"/>
    <x v="5"/>
    <x v="5"/>
    <x v="0"/>
    <n v="585"/>
  </r>
  <r>
    <x v="0"/>
    <x v="22"/>
    <x v="22"/>
    <x v="5"/>
    <x v="2"/>
    <x v="0"/>
    <n v="400"/>
  </r>
  <r>
    <x v="0"/>
    <x v="22"/>
    <x v="22"/>
    <x v="5"/>
    <x v="6"/>
    <x v="0"/>
    <n v="600"/>
  </r>
  <r>
    <x v="0"/>
    <x v="22"/>
    <x v="22"/>
    <x v="5"/>
    <x v="7"/>
    <x v="0"/>
    <n v="1700"/>
  </r>
  <r>
    <x v="0"/>
    <x v="22"/>
    <x v="22"/>
    <x v="6"/>
    <x v="11"/>
    <x v="0"/>
    <n v="1000"/>
  </r>
  <r>
    <x v="0"/>
    <x v="22"/>
    <x v="22"/>
    <x v="6"/>
    <x v="12"/>
    <x v="0"/>
    <n v="800"/>
  </r>
  <r>
    <x v="0"/>
    <x v="22"/>
    <x v="22"/>
    <x v="7"/>
    <x v="13"/>
    <x v="0"/>
    <n v="1000"/>
  </r>
  <r>
    <x v="0"/>
    <x v="22"/>
    <x v="22"/>
    <x v="7"/>
    <x v="14"/>
    <x v="0"/>
    <n v="700"/>
  </r>
  <r>
    <x v="0"/>
    <x v="22"/>
    <x v="22"/>
    <x v="7"/>
    <x v="15"/>
    <x v="0"/>
    <n v="1300"/>
  </r>
  <r>
    <x v="0"/>
    <x v="22"/>
    <x v="22"/>
    <x v="7"/>
    <x v="10"/>
    <x v="0"/>
    <n v="1350"/>
  </r>
  <r>
    <x v="0"/>
    <x v="22"/>
    <x v="22"/>
    <x v="8"/>
    <x v="12"/>
    <x v="0"/>
    <n v="700"/>
  </r>
  <r>
    <x v="0"/>
    <x v="22"/>
    <x v="22"/>
    <x v="8"/>
    <x v="4"/>
    <x v="0"/>
    <n v="1000"/>
  </r>
  <r>
    <x v="0"/>
    <x v="22"/>
    <x v="22"/>
    <x v="8"/>
    <x v="7"/>
    <x v="0"/>
    <n v="700"/>
  </r>
  <r>
    <x v="0"/>
    <x v="22"/>
    <x v="22"/>
    <x v="9"/>
    <x v="13"/>
    <x v="0"/>
    <n v="800"/>
  </r>
  <r>
    <x v="0"/>
    <x v="22"/>
    <x v="22"/>
    <x v="9"/>
    <x v="16"/>
    <x v="0"/>
    <n v="1200"/>
  </r>
  <r>
    <x v="0"/>
    <x v="22"/>
    <x v="22"/>
    <x v="10"/>
    <x v="2"/>
    <x v="0"/>
    <n v="5100"/>
  </r>
  <r>
    <x v="0"/>
    <x v="22"/>
    <x v="22"/>
    <x v="10"/>
    <x v="6"/>
    <x v="0"/>
    <n v="700"/>
  </r>
  <r>
    <x v="0"/>
    <x v="22"/>
    <x v="22"/>
    <x v="10"/>
    <x v="9"/>
    <x v="0"/>
    <n v="1400"/>
  </r>
  <r>
    <x v="0"/>
    <x v="22"/>
    <x v="22"/>
    <x v="10"/>
    <x v="17"/>
    <x v="0"/>
    <n v="1000"/>
  </r>
  <r>
    <x v="0"/>
    <x v="22"/>
    <x v="22"/>
    <x v="11"/>
    <x v="9"/>
    <x v="0"/>
    <n v="2500"/>
  </r>
  <r>
    <x v="0"/>
    <x v="22"/>
    <x v="22"/>
    <x v="11"/>
    <x v="18"/>
    <x v="0"/>
    <n v="1150"/>
  </r>
  <r>
    <x v="0"/>
    <x v="22"/>
    <x v="22"/>
    <x v="11"/>
    <x v="10"/>
    <x v="0"/>
    <n v="3345"/>
  </r>
  <r>
    <x v="0"/>
    <x v="22"/>
    <x v="22"/>
    <x v="12"/>
    <x v="0"/>
    <x v="0"/>
    <n v="1400"/>
  </r>
  <r>
    <x v="0"/>
    <x v="22"/>
    <x v="22"/>
    <x v="12"/>
    <x v="6"/>
    <x v="0"/>
    <n v="1700"/>
  </r>
  <r>
    <x v="0"/>
    <x v="22"/>
    <x v="22"/>
    <x v="12"/>
    <x v="8"/>
    <x v="0"/>
    <n v="1400"/>
  </r>
  <r>
    <x v="0"/>
    <x v="22"/>
    <x v="22"/>
    <x v="12"/>
    <x v="19"/>
    <x v="0"/>
    <n v="3200"/>
  </r>
  <r>
    <x v="0"/>
    <x v="22"/>
    <x v="22"/>
    <x v="12"/>
    <x v="20"/>
    <x v="0"/>
    <n v="1200"/>
  </r>
  <r>
    <x v="0"/>
    <x v="22"/>
    <x v="22"/>
    <x v="12"/>
    <x v="17"/>
    <x v="0"/>
    <n v="1400"/>
  </r>
  <r>
    <x v="0"/>
    <x v="22"/>
    <x v="22"/>
    <x v="13"/>
    <x v="19"/>
    <x v="0"/>
    <n v="1200"/>
  </r>
  <r>
    <x v="0"/>
    <x v="22"/>
    <x v="22"/>
    <x v="13"/>
    <x v="14"/>
    <x v="0"/>
    <n v="200"/>
  </r>
  <r>
    <x v="0"/>
    <x v="22"/>
    <x v="22"/>
    <x v="13"/>
    <x v="20"/>
    <x v="0"/>
    <n v="1000"/>
  </r>
  <r>
    <x v="0"/>
    <x v="22"/>
    <x v="22"/>
    <x v="13"/>
    <x v="21"/>
    <x v="0"/>
    <n v="600"/>
  </r>
  <r>
    <x v="0"/>
    <x v="22"/>
    <x v="22"/>
    <x v="14"/>
    <x v="11"/>
    <x v="0"/>
    <n v="600"/>
  </r>
  <r>
    <x v="0"/>
    <x v="22"/>
    <x v="22"/>
    <x v="14"/>
    <x v="18"/>
    <x v="0"/>
    <n v="1000"/>
  </r>
  <r>
    <x v="0"/>
    <x v="22"/>
    <x v="22"/>
    <x v="14"/>
    <x v="21"/>
    <x v="0"/>
    <n v="250"/>
  </r>
  <r>
    <x v="0"/>
    <x v="22"/>
    <x v="22"/>
    <x v="15"/>
    <x v="9"/>
    <x v="0"/>
    <n v="1200"/>
  </r>
  <r>
    <x v="0"/>
    <x v="22"/>
    <x v="22"/>
    <x v="15"/>
    <x v="18"/>
    <x v="0"/>
    <n v="1000"/>
  </r>
  <r>
    <x v="0"/>
    <x v="22"/>
    <x v="22"/>
    <x v="16"/>
    <x v="5"/>
    <x v="0"/>
    <n v="2000"/>
  </r>
  <r>
    <x v="0"/>
    <x v="22"/>
    <x v="22"/>
    <x v="16"/>
    <x v="16"/>
    <x v="0"/>
    <n v="1000"/>
  </r>
  <r>
    <x v="0"/>
    <x v="22"/>
    <x v="22"/>
    <x v="17"/>
    <x v="11"/>
    <x v="0"/>
    <n v="1300"/>
  </r>
  <r>
    <x v="0"/>
    <x v="22"/>
    <x v="22"/>
    <x v="17"/>
    <x v="14"/>
    <x v="0"/>
    <n v="600"/>
  </r>
  <r>
    <x v="0"/>
    <x v="22"/>
    <x v="22"/>
    <x v="17"/>
    <x v="21"/>
    <x v="0"/>
    <n v="3300"/>
  </r>
  <r>
    <x v="0"/>
    <x v="22"/>
    <x v="22"/>
    <x v="18"/>
    <x v="18"/>
    <x v="0"/>
    <n v="1000"/>
  </r>
  <r>
    <x v="0"/>
    <x v="22"/>
    <x v="22"/>
    <x v="18"/>
    <x v="14"/>
    <x v="0"/>
    <n v="300"/>
  </r>
  <r>
    <x v="0"/>
    <x v="22"/>
    <x v="22"/>
    <x v="18"/>
    <x v="15"/>
    <x v="0"/>
    <n v="3300"/>
  </r>
  <r>
    <x v="0"/>
    <x v="22"/>
    <x v="22"/>
    <x v="18"/>
    <x v="10"/>
    <x v="0"/>
    <n v="7300"/>
  </r>
  <r>
    <x v="0"/>
    <x v="22"/>
    <x v="22"/>
    <x v="19"/>
    <x v="6"/>
    <x v="0"/>
    <n v="680"/>
  </r>
  <r>
    <x v="0"/>
    <x v="22"/>
    <x v="22"/>
    <x v="19"/>
    <x v="11"/>
    <x v="0"/>
    <n v="1350"/>
  </r>
  <r>
    <x v="0"/>
    <x v="22"/>
    <x v="22"/>
    <x v="19"/>
    <x v="19"/>
    <x v="0"/>
    <n v="3295"/>
  </r>
  <r>
    <x v="0"/>
    <x v="22"/>
    <x v="22"/>
    <x v="19"/>
    <x v="21"/>
    <x v="0"/>
    <n v="7300"/>
  </r>
  <r>
    <x v="0"/>
    <x v="22"/>
    <x v="22"/>
    <x v="19"/>
    <x v="7"/>
    <x v="0"/>
    <n v="6500"/>
  </r>
  <r>
    <x v="0"/>
    <x v="22"/>
    <x v="22"/>
    <x v="20"/>
    <x v="0"/>
    <x v="0"/>
    <n v="610"/>
  </r>
  <r>
    <x v="0"/>
    <x v="22"/>
    <x v="22"/>
    <x v="20"/>
    <x v="3"/>
    <x v="0"/>
    <n v="1300"/>
  </r>
  <r>
    <x v="0"/>
    <x v="22"/>
    <x v="22"/>
    <x v="20"/>
    <x v="16"/>
    <x v="0"/>
    <n v="700"/>
  </r>
  <r>
    <x v="0"/>
    <x v="22"/>
    <x v="22"/>
    <x v="20"/>
    <x v="10"/>
    <x v="0"/>
    <n v="3200"/>
  </r>
  <r>
    <x v="0"/>
    <x v="22"/>
    <x v="22"/>
    <x v="21"/>
    <x v="6"/>
    <x v="0"/>
    <n v="1400"/>
  </r>
  <r>
    <x v="0"/>
    <x v="22"/>
    <x v="22"/>
    <x v="21"/>
    <x v="8"/>
    <x v="0"/>
    <n v="1000"/>
  </r>
  <r>
    <x v="0"/>
    <x v="22"/>
    <x v="22"/>
    <x v="21"/>
    <x v="9"/>
    <x v="0"/>
    <n v="1400"/>
  </r>
  <r>
    <x v="0"/>
    <x v="23"/>
    <x v="23"/>
    <x v="0"/>
    <x v="0"/>
    <x v="0"/>
    <n v="3010"/>
  </r>
  <r>
    <x v="0"/>
    <x v="23"/>
    <x v="23"/>
    <x v="0"/>
    <x v="1"/>
    <x v="0"/>
    <n v="3010"/>
  </r>
  <r>
    <x v="0"/>
    <x v="23"/>
    <x v="23"/>
    <x v="0"/>
    <x v="2"/>
    <x v="0"/>
    <n v="6020"/>
  </r>
  <r>
    <x v="0"/>
    <x v="23"/>
    <x v="23"/>
    <x v="0"/>
    <x v="3"/>
    <x v="0"/>
    <n v="600"/>
  </r>
  <r>
    <x v="0"/>
    <x v="23"/>
    <x v="23"/>
    <x v="0"/>
    <x v="4"/>
    <x v="0"/>
    <n v="2000"/>
  </r>
  <r>
    <x v="0"/>
    <x v="23"/>
    <x v="23"/>
    <x v="1"/>
    <x v="5"/>
    <x v="0"/>
    <n v="3010"/>
  </r>
  <r>
    <x v="0"/>
    <x v="23"/>
    <x v="23"/>
    <x v="1"/>
    <x v="2"/>
    <x v="0"/>
    <n v="8634"/>
  </r>
  <r>
    <x v="0"/>
    <x v="23"/>
    <x v="23"/>
    <x v="1"/>
    <x v="6"/>
    <x v="0"/>
    <n v="3000"/>
  </r>
  <r>
    <x v="0"/>
    <x v="23"/>
    <x v="23"/>
    <x v="1"/>
    <x v="9"/>
    <x v="0"/>
    <n v="1400"/>
  </r>
  <r>
    <x v="0"/>
    <x v="23"/>
    <x v="23"/>
    <x v="1"/>
    <x v="7"/>
    <x v="0"/>
    <n v="600"/>
  </r>
  <r>
    <x v="0"/>
    <x v="23"/>
    <x v="23"/>
    <x v="2"/>
    <x v="5"/>
    <x v="0"/>
    <n v="3010"/>
  </r>
  <r>
    <x v="0"/>
    <x v="23"/>
    <x v="23"/>
    <x v="2"/>
    <x v="2"/>
    <x v="0"/>
    <n v="14416"/>
  </r>
  <r>
    <x v="0"/>
    <x v="23"/>
    <x v="23"/>
    <x v="3"/>
    <x v="5"/>
    <x v="0"/>
    <n v="6020"/>
  </r>
  <r>
    <x v="0"/>
    <x v="23"/>
    <x v="23"/>
    <x v="3"/>
    <x v="0"/>
    <x v="0"/>
    <n v="8634"/>
  </r>
  <r>
    <x v="0"/>
    <x v="23"/>
    <x v="23"/>
    <x v="3"/>
    <x v="1"/>
    <x v="0"/>
    <n v="14416"/>
  </r>
  <r>
    <x v="0"/>
    <x v="23"/>
    <x v="23"/>
    <x v="3"/>
    <x v="3"/>
    <x v="0"/>
    <n v="400"/>
  </r>
  <r>
    <x v="0"/>
    <x v="23"/>
    <x v="23"/>
    <x v="3"/>
    <x v="8"/>
    <x v="0"/>
    <n v="5900"/>
  </r>
  <r>
    <x v="0"/>
    <x v="23"/>
    <x v="23"/>
    <x v="4"/>
    <x v="0"/>
    <x v="0"/>
    <n v="3000"/>
  </r>
  <r>
    <x v="0"/>
    <x v="23"/>
    <x v="23"/>
    <x v="4"/>
    <x v="3"/>
    <x v="0"/>
    <n v="600"/>
  </r>
  <r>
    <x v="0"/>
    <x v="23"/>
    <x v="23"/>
    <x v="4"/>
    <x v="8"/>
    <x v="0"/>
    <n v="700"/>
  </r>
  <r>
    <x v="0"/>
    <x v="23"/>
    <x v="23"/>
    <x v="4"/>
    <x v="9"/>
    <x v="0"/>
    <n v="1700"/>
  </r>
  <r>
    <x v="0"/>
    <x v="23"/>
    <x v="23"/>
    <x v="4"/>
    <x v="10"/>
    <x v="0"/>
    <n v="740"/>
  </r>
  <r>
    <x v="0"/>
    <x v="23"/>
    <x v="23"/>
    <x v="4"/>
    <x v="17"/>
    <x v="0"/>
    <n v="1400"/>
  </r>
  <r>
    <x v="0"/>
    <x v="23"/>
    <x v="23"/>
    <x v="5"/>
    <x v="5"/>
    <x v="0"/>
    <n v="585"/>
  </r>
  <r>
    <x v="0"/>
    <x v="23"/>
    <x v="23"/>
    <x v="5"/>
    <x v="2"/>
    <x v="0"/>
    <n v="400"/>
  </r>
  <r>
    <x v="0"/>
    <x v="23"/>
    <x v="23"/>
    <x v="5"/>
    <x v="6"/>
    <x v="0"/>
    <n v="600"/>
  </r>
  <r>
    <x v="0"/>
    <x v="23"/>
    <x v="23"/>
    <x v="5"/>
    <x v="7"/>
    <x v="0"/>
    <n v="1700"/>
  </r>
  <r>
    <x v="0"/>
    <x v="23"/>
    <x v="23"/>
    <x v="6"/>
    <x v="11"/>
    <x v="0"/>
    <n v="1000"/>
  </r>
  <r>
    <x v="0"/>
    <x v="23"/>
    <x v="23"/>
    <x v="6"/>
    <x v="12"/>
    <x v="0"/>
    <n v="800"/>
  </r>
  <r>
    <x v="0"/>
    <x v="23"/>
    <x v="23"/>
    <x v="7"/>
    <x v="13"/>
    <x v="0"/>
    <n v="1000"/>
  </r>
  <r>
    <x v="0"/>
    <x v="23"/>
    <x v="23"/>
    <x v="7"/>
    <x v="14"/>
    <x v="0"/>
    <n v="700"/>
  </r>
  <r>
    <x v="0"/>
    <x v="23"/>
    <x v="23"/>
    <x v="7"/>
    <x v="15"/>
    <x v="0"/>
    <n v="1300"/>
  </r>
  <r>
    <x v="0"/>
    <x v="23"/>
    <x v="23"/>
    <x v="7"/>
    <x v="10"/>
    <x v="0"/>
    <n v="1350"/>
  </r>
  <r>
    <x v="0"/>
    <x v="23"/>
    <x v="23"/>
    <x v="8"/>
    <x v="12"/>
    <x v="0"/>
    <n v="700"/>
  </r>
  <r>
    <x v="0"/>
    <x v="23"/>
    <x v="23"/>
    <x v="8"/>
    <x v="4"/>
    <x v="0"/>
    <n v="1000"/>
  </r>
  <r>
    <x v="0"/>
    <x v="23"/>
    <x v="23"/>
    <x v="8"/>
    <x v="7"/>
    <x v="0"/>
    <n v="700"/>
  </r>
  <r>
    <x v="0"/>
    <x v="23"/>
    <x v="23"/>
    <x v="9"/>
    <x v="13"/>
    <x v="0"/>
    <n v="800"/>
  </r>
  <r>
    <x v="0"/>
    <x v="23"/>
    <x v="23"/>
    <x v="9"/>
    <x v="16"/>
    <x v="0"/>
    <n v="1200"/>
  </r>
  <r>
    <x v="0"/>
    <x v="23"/>
    <x v="23"/>
    <x v="10"/>
    <x v="2"/>
    <x v="0"/>
    <n v="5100"/>
  </r>
  <r>
    <x v="0"/>
    <x v="23"/>
    <x v="23"/>
    <x v="10"/>
    <x v="6"/>
    <x v="0"/>
    <n v="700"/>
  </r>
  <r>
    <x v="0"/>
    <x v="23"/>
    <x v="23"/>
    <x v="10"/>
    <x v="9"/>
    <x v="0"/>
    <n v="1400"/>
  </r>
  <r>
    <x v="0"/>
    <x v="23"/>
    <x v="23"/>
    <x v="10"/>
    <x v="17"/>
    <x v="0"/>
    <n v="1000"/>
  </r>
  <r>
    <x v="0"/>
    <x v="23"/>
    <x v="23"/>
    <x v="11"/>
    <x v="9"/>
    <x v="0"/>
    <n v="2500"/>
  </r>
  <r>
    <x v="0"/>
    <x v="23"/>
    <x v="23"/>
    <x v="11"/>
    <x v="18"/>
    <x v="0"/>
    <n v="1150"/>
  </r>
  <r>
    <x v="0"/>
    <x v="23"/>
    <x v="23"/>
    <x v="11"/>
    <x v="10"/>
    <x v="0"/>
    <n v="3345"/>
  </r>
  <r>
    <x v="0"/>
    <x v="23"/>
    <x v="23"/>
    <x v="12"/>
    <x v="0"/>
    <x v="0"/>
    <n v="1400"/>
  </r>
  <r>
    <x v="0"/>
    <x v="23"/>
    <x v="23"/>
    <x v="12"/>
    <x v="6"/>
    <x v="0"/>
    <n v="1700"/>
  </r>
  <r>
    <x v="0"/>
    <x v="23"/>
    <x v="23"/>
    <x v="12"/>
    <x v="8"/>
    <x v="0"/>
    <n v="1400"/>
  </r>
  <r>
    <x v="0"/>
    <x v="23"/>
    <x v="23"/>
    <x v="12"/>
    <x v="19"/>
    <x v="0"/>
    <n v="3200"/>
  </r>
  <r>
    <x v="0"/>
    <x v="23"/>
    <x v="23"/>
    <x v="12"/>
    <x v="20"/>
    <x v="0"/>
    <n v="1200"/>
  </r>
  <r>
    <x v="0"/>
    <x v="23"/>
    <x v="23"/>
    <x v="12"/>
    <x v="17"/>
    <x v="0"/>
    <n v="1400"/>
  </r>
  <r>
    <x v="0"/>
    <x v="23"/>
    <x v="23"/>
    <x v="13"/>
    <x v="19"/>
    <x v="0"/>
    <n v="1200"/>
  </r>
  <r>
    <x v="0"/>
    <x v="23"/>
    <x v="23"/>
    <x v="13"/>
    <x v="14"/>
    <x v="0"/>
    <n v="200"/>
  </r>
  <r>
    <x v="0"/>
    <x v="23"/>
    <x v="23"/>
    <x v="13"/>
    <x v="20"/>
    <x v="0"/>
    <n v="1000"/>
  </r>
  <r>
    <x v="0"/>
    <x v="23"/>
    <x v="23"/>
    <x v="13"/>
    <x v="21"/>
    <x v="0"/>
    <n v="600"/>
  </r>
  <r>
    <x v="0"/>
    <x v="23"/>
    <x v="23"/>
    <x v="14"/>
    <x v="11"/>
    <x v="0"/>
    <n v="600"/>
  </r>
  <r>
    <x v="0"/>
    <x v="23"/>
    <x v="23"/>
    <x v="14"/>
    <x v="18"/>
    <x v="0"/>
    <n v="1000"/>
  </r>
  <r>
    <x v="0"/>
    <x v="23"/>
    <x v="23"/>
    <x v="14"/>
    <x v="21"/>
    <x v="0"/>
    <n v="250"/>
  </r>
  <r>
    <x v="0"/>
    <x v="23"/>
    <x v="23"/>
    <x v="15"/>
    <x v="9"/>
    <x v="0"/>
    <n v="1200"/>
  </r>
  <r>
    <x v="0"/>
    <x v="23"/>
    <x v="23"/>
    <x v="15"/>
    <x v="18"/>
    <x v="0"/>
    <n v="1000"/>
  </r>
  <r>
    <x v="0"/>
    <x v="23"/>
    <x v="23"/>
    <x v="16"/>
    <x v="5"/>
    <x v="0"/>
    <n v="2000"/>
  </r>
  <r>
    <x v="0"/>
    <x v="23"/>
    <x v="23"/>
    <x v="16"/>
    <x v="16"/>
    <x v="0"/>
    <n v="1000"/>
  </r>
  <r>
    <x v="0"/>
    <x v="23"/>
    <x v="23"/>
    <x v="17"/>
    <x v="11"/>
    <x v="0"/>
    <n v="1300"/>
  </r>
  <r>
    <x v="0"/>
    <x v="23"/>
    <x v="23"/>
    <x v="17"/>
    <x v="14"/>
    <x v="0"/>
    <n v="600"/>
  </r>
  <r>
    <x v="0"/>
    <x v="23"/>
    <x v="23"/>
    <x v="17"/>
    <x v="21"/>
    <x v="0"/>
    <n v="3300"/>
  </r>
  <r>
    <x v="0"/>
    <x v="23"/>
    <x v="23"/>
    <x v="18"/>
    <x v="18"/>
    <x v="0"/>
    <n v="1000"/>
  </r>
  <r>
    <x v="0"/>
    <x v="23"/>
    <x v="23"/>
    <x v="18"/>
    <x v="14"/>
    <x v="0"/>
    <n v="300"/>
  </r>
  <r>
    <x v="0"/>
    <x v="23"/>
    <x v="23"/>
    <x v="18"/>
    <x v="15"/>
    <x v="0"/>
    <n v="3300"/>
  </r>
  <r>
    <x v="0"/>
    <x v="23"/>
    <x v="23"/>
    <x v="18"/>
    <x v="10"/>
    <x v="0"/>
    <n v="7300"/>
  </r>
  <r>
    <x v="0"/>
    <x v="23"/>
    <x v="23"/>
    <x v="19"/>
    <x v="6"/>
    <x v="0"/>
    <n v="680"/>
  </r>
  <r>
    <x v="0"/>
    <x v="23"/>
    <x v="23"/>
    <x v="19"/>
    <x v="11"/>
    <x v="0"/>
    <n v="1350"/>
  </r>
  <r>
    <x v="0"/>
    <x v="23"/>
    <x v="23"/>
    <x v="19"/>
    <x v="19"/>
    <x v="0"/>
    <n v="3295"/>
  </r>
  <r>
    <x v="0"/>
    <x v="23"/>
    <x v="23"/>
    <x v="19"/>
    <x v="21"/>
    <x v="0"/>
    <n v="7300"/>
  </r>
  <r>
    <x v="0"/>
    <x v="23"/>
    <x v="23"/>
    <x v="19"/>
    <x v="7"/>
    <x v="0"/>
    <n v="6500"/>
  </r>
  <r>
    <x v="0"/>
    <x v="23"/>
    <x v="23"/>
    <x v="20"/>
    <x v="0"/>
    <x v="0"/>
    <n v="610"/>
  </r>
  <r>
    <x v="0"/>
    <x v="23"/>
    <x v="23"/>
    <x v="20"/>
    <x v="3"/>
    <x v="0"/>
    <n v="1300"/>
  </r>
  <r>
    <x v="0"/>
    <x v="23"/>
    <x v="23"/>
    <x v="20"/>
    <x v="16"/>
    <x v="0"/>
    <n v="700"/>
  </r>
  <r>
    <x v="0"/>
    <x v="23"/>
    <x v="23"/>
    <x v="20"/>
    <x v="10"/>
    <x v="0"/>
    <n v="3200"/>
  </r>
  <r>
    <x v="0"/>
    <x v="23"/>
    <x v="23"/>
    <x v="21"/>
    <x v="6"/>
    <x v="0"/>
    <n v="1400"/>
  </r>
  <r>
    <x v="0"/>
    <x v="23"/>
    <x v="23"/>
    <x v="21"/>
    <x v="8"/>
    <x v="0"/>
    <n v="1000"/>
  </r>
  <r>
    <x v="0"/>
    <x v="23"/>
    <x v="23"/>
    <x v="21"/>
    <x v="9"/>
    <x v="0"/>
    <n v="1400"/>
  </r>
  <r>
    <x v="0"/>
    <x v="24"/>
    <x v="24"/>
    <x v="0"/>
    <x v="0"/>
    <x v="0"/>
    <n v="3010"/>
  </r>
  <r>
    <x v="0"/>
    <x v="24"/>
    <x v="24"/>
    <x v="0"/>
    <x v="1"/>
    <x v="0"/>
    <n v="3010"/>
  </r>
  <r>
    <x v="0"/>
    <x v="24"/>
    <x v="24"/>
    <x v="0"/>
    <x v="2"/>
    <x v="0"/>
    <n v="6020"/>
  </r>
  <r>
    <x v="0"/>
    <x v="24"/>
    <x v="24"/>
    <x v="0"/>
    <x v="3"/>
    <x v="0"/>
    <n v="600"/>
  </r>
  <r>
    <x v="0"/>
    <x v="24"/>
    <x v="24"/>
    <x v="0"/>
    <x v="4"/>
    <x v="0"/>
    <n v="2000"/>
  </r>
  <r>
    <x v="0"/>
    <x v="24"/>
    <x v="24"/>
    <x v="1"/>
    <x v="5"/>
    <x v="0"/>
    <n v="3010"/>
  </r>
  <r>
    <x v="0"/>
    <x v="24"/>
    <x v="24"/>
    <x v="1"/>
    <x v="2"/>
    <x v="0"/>
    <n v="8634"/>
  </r>
  <r>
    <x v="0"/>
    <x v="24"/>
    <x v="24"/>
    <x v="1"/>
    <x v="6"/>
    <x v="0"/>
    <n v="3000"/>
  </r>
  <r>
    <x v="0"/>
    <x v="24"/>
    <x v="24"/>
    <x v="1"/>
    <x v="9"/>
    <x v="0"/>
    <n v="1400"/>
  </r>
  <r>
    <x v="0"/>
    <x v="24"/>
    <x v="24"/>
    <x v="1"/>
    <x v="7"/>
    <x v="0"/>
    <n v="600"/>
  </r>
  <r>
    <x v="0"/>
    <x v="24"/>
    <x v="24"/>
    <x v="2"/>
    <x v="5"/>
    <x v="0"/>
    <n v="3010"/>
  </r>
  <r>
    <x v="0"/>
    <x v="24"/>
    <x v="24"/>
    <x v="2"/>
    <x v="2"/>
    <x v="0"/>
    <n v="14416"/>
  </r>
  <r>
    <x v="0"/>
    <x v="24"/>
    <x v="24"/>
    <x v="3"/>
    <x v="5"/>
    <x v="0"/>
    <n v="6020"/>
  </r>
  <r>
    <x v="0"/>
    <x v="24"/>
    <x v="24"/>
    <x v="3"/>
    <x v="0"/>
    <x v="0"/>
    <n v="8634"/>
  </r>
  <r>
    <x v="0"/>
    <x v="24"/>
    <x v="24"/>
    <x v="3"/>
    <x v="1"/>
    <x v="0"/>
    <n v="14416"/>
  </r>
  <r>
    <x v="0"/>
    <x v="24"/>
    <x v="24"/>
    <x v="3"/>
    <x v="3"/>
    <x v="0"/>
    <n v="400"/>
  </r>
  <r>
    <x v="0"/>
    <x v="24"/>
    <x v="24"/>
    <x v="3"/>
    <x v="8"/>
    <x v="0"/>
    <n v="5900"/>
  </r>
  <r>
    <x v="0"/>
    <x v="24"/>
    <x v="24"/>
    <x v="4"/>
    <x v="0"/>
    <x v="0"/>
    <n v="3000"/>
  </r>
  <r>
    <x v="0"/>
    <x v="24"/>
    <x v="24"/>
    <x v="4"/>
    <x v="3"/>
    <x v="0"/>
    <n v="600"/>
  </r>
  <r>
    <x v="0"/>
    <x v="24"/>
    <x v="24"/>
    <x v="4"/>
    <x v="8"/>
    <x v="0"/>
    <n v="700"/>
  </r>
  <r>
    <x v="0"/>
    <x v="24"/>
    <x v="24"/>
    <x v="4"/>
    <x v="9"/>
    <x v="0"/>
    <n v="1700"/>
  </r>
  <r>
    <x v="0"/>
    <x v="24"/>
    <x v="24"/>
    <x v="4"/>
    <x v="10"/>
    <x v="0"/>
    <n v="740"/>
  </r>
  <r>
    <x v="0"/>
    <x v="24"/>
    <x v="24"/>
    <x v="4"/>
    <x v="17"/>
    <x v="0"/>
    <n v="1400"/>
  </r>
  <r>
    <x v="0"/>
    <x v="24"/>
    <x v="24"/>
    <x v="5"/>
    <x v="5"/>
    <x v="0"/>
    <n v="585"/>
  </r>
  <r>
    <x v="0"/>
    <x v="24"/>
    <x v="24"/>
    <x v="5"/>
    <x v="2"/>
    <x v="0"/>
    <n v="400"/>
  </r>
  <r>
    <x v="0"/>
    <x v="24"/>
    <x v="24"/>
    <x v="5"/>
    <x v="6"/>
    <x v="0"/>
    <n v="600"/>
  </r>
  <r>
    <x v="0"/>
    <x v="24"/>
    <x v="24"/>
    <x v="5"/>
    <x v="7"/>
    <x v="0"/>
    <n v="1700"/>
  </r>
  <r>
    <x v="0"/>
    <x v="24"/>
    <x v="24"/>
    <x v="6"/>
    <x v="11"/>
    <x v="0"/>
    <n v="1000"/>
  </r>
  <r>
    <x v="0"/>
    <x v="24"/>
    <x v="24"/>
    <x v="6"/>
    <x v="12"/>
    <x v="0"/>
    <n v="800"/>
  </r>
  <r>
    <x v="0"/>
    <x v="24"/>
    <x v="24"/>
    <x v="7"/>
    <x v="13"/>
    <x v="0"/>
    <n v="1000"/>
  </r>
  <r>
    <x v="0"/>
    <x v="24"/>
    <x v="24"/>
    <x v="7"/>
    <x v="14"/>
    <x v="0"/>
    <n v="700"/>
  </r>
  <r>
    <x v="0"/>
    <x v="24"/>
    <x v="24"/>
    <x v="7"/>
    <x v="15"/>
    <x v="0"/>
    <n v="1300"/>
  </r>
  <r>
    <x v="0"/>
    <x v="24"/>
    <x v="24"/>
    <x v="7"/>
    <x v="10"/>
    <x v="0"/>
    <n v="1350"/>
  </r>
  <r>
    <x v="0"/>
    <x v="24"/>
    <x v="24"/>
    <x v="8"/>
    <x v="12"/>
    <x v="0"/>
    <n v="700"/>
  </r>
  <r>
    <x v="0"/>
    <x v="24"/>
    <x v="24"/>
    <x v="8"/>
    <x v="4"/>
    <x v="0"/>
    <n v="1000"/>
  </r>
  <r>
    <x v="0"/>
    <x v="24"/>
    <x v="24"/>
    <x v="8"/>
    <x v="7"/>
    <x v="0"/>
    <n v="700"/>
  </r>
  <r>
    <x v="0"/>
    <x v="24"/>
    <x v="24"/>
    <x v="9"/>
    <x v="13"/>
    <x v="0"/>
    <n v="800"/>
  </r>
  <r>
    <x v="0"/>
    <x v="24"/>
    <x v="24"/>
    <x v="9"/>
    <x v="16"/>
    <x v="0"/>
    <n v="1200"/>
  </r>
  <r>
    <x v="0"/>
    <x v="24"/>
    <x v="24"/>
    <x v="10"/>
    <x v="2"/>
    <x v="0"/>
    <n v="5100"/>
  </r>
  <r>
    <x v="0"/>
    <x v="24"/>
    <x v="24"/>
    <x v="10"/>
    <x v="6"/>
    <x v="0"/>
    <n v="700"/>
  </r>
  <r>
    <x v="0"/>
    <x v="24"/>
    <x v="24"/>
    <x v="10"/>
    <x v="9"/>
    <x v="0"/>
    <n v="1400"/>
  </r>
  <r>
    <x v="0"/>
    <x v="24"/>
    <x v="24"/>
    <x v="10"/>
    <x v="17"/>
    <x v="0"/>
    <n v="1000"/>
  </r>
  <r>
    <x v="0"/>
    <x v="24"/>
    <x v="24"/>
    <x v="11"/>
    <x v="9"/>
    <x v="0"/>
    <n v="2500"/>
  </r>
  <r>
    <x v="0"/>
    <x v="24"/>
    <x v="24"/>
    <x v="11"/>
    <x v="18"/>
    <x v="0"/>
    <n v="1150"/>
  </r>
  <r>
    <x v="0"/>
    <x v="24"/>
    <x v="24"/>
    <x v="11"/>
    <x v="10"/>
    <x v="0"/>
    <n v="3345"/>
  </r>
  <r>
    <x v="0"/>
    <x v="24"/>
    <x v="24"/>
    <x v="12"/>
    <x v="0"/>
    <x v="0"/>
    <n v="1400"/>
  </r>
  <r>
    <x v="0"/>
    <x v="24"/>
    <x v="24"/>
    <x v="12"/>
    <x v="6"/>
    <x v="0"/>
    <n v="1700"/>
  </r>
  <r>
    <x v="0"/>
    <x v="24"/>
    <x v="24"/>
    <x v="12"/>
    <x v="8"/>
    <x v="0"/>
    <n v="1400"/>
  </r>
  <r>
    <x v="0"/>
    <x v="24"/>
    <x v="24"/>
    <x v="12"/>
    <x v="19"/>
    <x v="0"/>
    <n v="3200"/>
  </r>
  <r>
    <x v="0"/>
    <x v="24"/>
    <x v="24"/>
    <x v="12"/>
    <x v="20"/>
    <x v="0"/>
    <n v="1200"/>
  </r>
  <r>
    <x v="0"/>
    <x v="24"/>
    <x v="24"/>
    <x v="12"/>
    <x v="17"/>
    <x v="0"/>
    <n v="1400"/>
  </r>
  <r>
    <x v="0"/>
    <x v="24"/>
    <x v="24"/>
    <x v="13"/>
    <x v="19"/>
    <x v="0"/>
    <n v="1200"/>
  </r>
  <r>
    <x v="0"/>
    <x v="24"/>
    <x v="24"/>
    <x v="13"/>
    <x v="14"/>
    <x v="0"/>
    <n v="200"/>
  </r>
  <r>
    <x v="0"/>
    <x v="24"/>
    <x v="24"/>
    <x v="13"/>
    <x v="20"/>
    <x v="0"/>
    <n v="1000"/>
  </r>
  <r>
    <x v="0"/>
    <x v="24"/>
    <x v="24"/>
    <x v="13"/>
    <x v="21"/>
    <x v="0"/>
    <n v="600"/>
  </r>
  <r>
    <x v="0"/>
    <x v="24"/>
    <x v="24"/>
    <x v="14"/>
    <x v="11"/>
    <x v="0"/>
    <n v="600"/>
  </r>
  <r>
    <x v="0"/>
    <x v="24"/>
    <x v="24"/>
    <x v="14"/>
    <x v="18"/>
    <x v="0"/>
    <n v="1000"/>
  </r>
  <r>
    <x v="0"/>
    <x v="24"/>
    <x v="24"/>
    <x v="14"/>
    <x v="21"/>
    <x v="0"/>
    <n v="250"/>
  </r>
  <r>
    <x v="0"/>
    <x v="24"/>
    <x v="24"/>
    <x v="15"/>
    <x v="9"/>
    <x v="0"/>
    <n v="1200"/>
  </r>
  <r>
    <x v="0"/>
    <x v="24"/>
    <x v="24"/>
    <x v="15"/>
    <x v="18"/>
    <x v="0"/>
    <n v="1000"/>
  </r>
  <r>
    <x v="0"/>
    <x v="24"/>
    <x v="24"/>
    <x v="16"/>
    <x v="5"/>
    <x v="0"/>
    <n v="2000"/>
  </r>
  <r>
    <x v="0"/>
    <x v="24"/>
    <x v="24"/>
    <x v="16"/>
    <x v="16"/>
    <x v="0"/>
    <n v="1000"/>
  </r>
  <r>
    <x v="0"/>
    <x v="24"/>
    <x v="24"/>
    <x v="17"/>
    <x v="11"/>
    <x v="0"/>
    <n v="1300"/>
  </r>
  <r>
    <x v="0"/>
    <x v="24"/>
    <x v="24"/>
    <x v="17"/>
    <x v="14"/>
    <x v="0"/>
    <n v="600"/>
  </r>
  <r>
    <x v="0"/>
    <x v="24"/>
    <x v="24"/>
    <x v="17"/>
    <x v="21"/>
    <x v="0"/>
    <n v="3300"/>
  </r>
  <r>
    <x v="0"/>
    <x v="24"/>
    <x v="24"/>
    <x v="18"/>
    <x v="18"/>
    <x v="0"/>
    <n v="1000"/>
  </r>
  <r>
    <x v="0"/>
    <x v="24"/>
    <x v="24"/>
    <x v="18"/>
    <x v="14"/>
    <x v="0"/>
    <n v="300"/>
  </r>
  <r>
    <x v="0"/>
    <x v="24"/>
    <x v="24"/>
    <x v="18"/>
    <x v="15"/>
    <x v="0"/>
    <n v="3300"/>
  </r>
  <r>
    <x v="0"/>
    <x v="24"/>
    <x v="24"/>
    <x v="18"/>
    <x v="10"/>
    <x v="0"/>
    <n v="7300"/>
  </r>
  <r>
    <x v="0"/>
    <x v="24"/>
    <x v="24"/>
    <x v="19"/>
    <x v="6"/>
    <x v="0"/>
    <n v="680"/>
  </r>
  <r>
    <x v="0"/>
    <x v="24"/>
    <x v="24"/>
    <x v="19"/>
    <x v="11"/>
    <x v="0"/>
    <n v="1350"/>
  </r>
  <r>
    <x v="0"/>
    <x v="24"/>
    <x v="24"/>
    <x v="19"/>
    <x v="19"/>
    <x v="0"/>
    <n v="3295"/>
  </r>
  <r>
    <x v="0"/>
    <x v="24"/>
    <x v="24"/>
    <x v="19"/>
    <x v="21"/>
    <x v="0"/>
    <n v="7300"/>
  </r>
  <r>
    <x v="0"/>
    <x v="24"/>
    <x v="24"/>
    <x v="19"/>
    <x v="7"/>
    <x v="0"/>
    <n v="6500"/>
  </r>
  <r>
    <x v="0"/>
    <x v="24"/>
    <x v="24"/>
    <x v="20"/>
    <x v="0"/>
    <x v="0"/>
    <n v="610"/>
  </r>
  <r>
    <x v="0"/>
    <x v="24"/>
    <x v="24"/>
    <x v="20"/>
    <x v="3"/>
    <x v="0"/>
    <n v="1300"/>
  </r>
  <r>
    <x v="0"/>
    <x v="24"/>
    <x v="24"/>
    <x v="20"/>
    <x v="16"/>
    <x v="0"/>
    <n v="700"/>
  </r>
  <r>
    <x v="0"/>
    <x v="24"/>
    <x v="24"/>
    <x v="20"/>
    <x v="10"/>
    <x v="0"/>
    <n v="3200"/>
  </r>
  <r>
    <x v="0"/>
    <x v="24"/>
    <x v="24"/>
    <x v="21"/>
    <x v="6"/>
    <x v="0"/>
    <n v="1400"/>
  </r>
  <r>
    <x v="0"/>
    <x v="24"/>
    <x v="24"/>
    <x v="21"/>
    <x v="8"/>
    <x v="0"/>
    <n v="1000"/>
  </r>
  <r>
    <x v="0"/>
    <x v="24"/>
    <x v="24"/>
    <x v="21"/>
    <x v="9"/>
    <x v="0"/>
    <n v="1400"/>
  </r>
  <r>
    <x v="0"/>
    <x v="25"/>
    <x v="25"/>
    <x v="0"/>
    <x v="0"/>
    <x v="0"/>
    <n v="3010"/>
  </r>
  <r>
    <x v="0"/>
    <x v="25"/>
    <x v="25"/>
    <x v="0"/>
    <x v="1"/>
    <x v="0"/>
    <n v="3010"/>
  </r>
  <r>
    <x v="0"/>
    <x v="25"/>
    <x v="25"/>
    <x v="0"/>
    <x v="2"/>
    <x v="0"/>
    <n v="6020"/>
  </r>
  <r>
    <x v="0"/>
    <x v="25"/>
    <x v="25"/>
    <x v="0"/>
    <x v="3"/>
    <x v="0"/>
    <n v="600"/>
  </r>
  <r>
    <x v="0"/>
    <x v="25"/>
    <x v="25"/>
    <x v="0"/>
    <x v="4"/>
    <x v="0"/>
    <n v="2000"/>
  </r>
  <r>
    <x v="0"/>
    <x v="25"/>
    <x v="25"/>
    <x v="1"/>
    <x v="5"/>
    <x v="0"/>
    <n v="3010"/>
  </r>
  <r>
    <x v="0"/>
    <x v="25"/>
    <x v="25"/>
    <x v="1"/>
    <x v="2"/>
    <x v="0"/>
    <n v="8634"/>
  </r>
  <r>
    <x v="0"/>
    <x v="25"/>
    <x v="25"/>
    <x v="1"/>
    <x v="6"/>
    <x v="0"/>
    <n v="3000"/>
  </r>
  <r>
    <x v="0"/>
    <x v="25"/>
    <x v="25"/>
    <x v="1"/>
    <x v="9"/>
    <x v="0"/>
    <n v="1400"/>
  </r>
  <r>
    <x v="0"/>
    <x v="25"/>
    <x v="25"/>
    <x v="1"/>
    <x v="7"/>
    <x v="0"/>
    <n v="600"/>
  </r>
  <r>
    <x v="0"/>
    <x v="25"/>
    <x v="25"/>
    <x v="2"/>
    <x v="5"/>
    <x v="0"/>
    <n v="3010"/>
  </r>
  <r>
    <x v="0"/>
    <x v="25"/>
    <x v="25"/>
    <x v="2"/>
    <x v="2"/>
    <x v="0"/>
    <n v="14416"/>
  </r>
  <r>
    <x v="0"/>
    <x v="25"/>
    <x v="25"/>
    <x v="3"/>
    <x v="5"/>
    <x v="0"/>
    <n v="6020"/>
  </r>
  <r>
    <x v="0"/>
    <x v="25"/>
    <x v="25"/>
    <x v="3"/>
    <x v="0"/>
    <x v="0"/>
    <n v="8634"/>
  </r>
  <r>
    <x v="0"/>
    <x v="25"/>
    <x v="25"/>
    <x v="3"/>
    <x v="1"/>
    <x v="0"/>
    <n v="14416"/>
  </r>
  <r>
    <x v="0"/>
    <x v="25"/>
    <x v="25"/>
    <x v="3"/>
    <x v="3"/>
    <x v="0"/>
    <n v="400"/>
  </r>
  <r>
    <x v="0"/>
    <x v="25"/>
    <x v="25"/>
    <x v="3"/>
    <x v="8"/>
    <x v="0"/>
    <n v="5900"/>
  </r>
  <r>
    <x v="0"/>
    <x v="25"/>
    <x v="25"/>
    <x v="4"/>
    <x v="0"/>
    <x v="0"/>
    <n v="3000"/>
  </r>
  <r>
    <x v="0"/>
    <x v="25"/>
    <x v="25"/>
    <x v="4"/>
    <x v="3"/>
    <x v="0"/>
    <n v="600"/>
  </r>
  <r>
    <x v="0"/>
    <x v="25"/>
    <x v="25"/>
    <x v="4"/>
    <x v="8"/>
    <x v="0"/>
    <n v="700"/>
  </r>
  <r>
    <x v="0"/>
    <x v="25"/>
    <x v="25"/>
    <x v="4"/>
    <x v="9"/>
    <x v="0"/>
    <n v="1700"/>
  </r>
  <r>
    <x v="0"/>
    <x v="25"/>
    <x v="25"/>
    <x v="4"/>
    <x v="10"/>
    <x v="0"/>
    <n v="740"/>
  </r>
  <r>
    <x v="0"/>
    <x v="25"/>
    <x v="25"/>
    <x v="4"/>
    <x v="17"/>
    <x v="0"/>
    <n v="1400"/>
  </r>
  <r>
    <x v="0"/>
    <x v="25"/>
    <x v="25"/>
    <x v="5"/>
    <x v="5"/>
    <x v="0"/>
    <n v="585"/>
  </r>
  <r>
    <x v="0"/>
    <x v="25"/>
    <x v="25"/>
    <x v="5"/>
    <x v="2"/>
    <x v="0"/>
    <n v="400"/>
  </r>
  <r>
    <x v="0"/>
    <x v="25"/>
    <x v="25"/>
    <x v="5"/>
    <x v="6"/>
    <x v="0"/>
    <n v="600"/>
  </r>
  <r>
    <x v="0"/>
    <x v="25"/>
    <x v="25"/>
    <x v="5"/>
    <x v="7"/>
    <x v="0"/>
    <n v="1700"/>
  </r>
  <r>
    <x v="0"/>
    <x v="25"/>
    <x v="25"/>
    <x v="6"/>
    <x v="11"/>
    <x v="0"/>
    <n v="1000"/>
  </r>
  <r>
    <x v="0"/>
    <x v="25"/>
    <x v="25"/>
    <x v="6"/>
    <x v="12"/>
    <x v="0"/>
    <n v="800"/>
  </r>
  <r>
    <x v="0"/>
    <x v="25"/>
    <x v="25"/>
    <x v="7"/>
    <x v="13"/>
    <x v="0"/>
    <n v="1000"/>
  </r>
  <r>
    <x v="0"/>
    <x v="25"/>
    <x v="25"/>
    <x v="7"/>
    <x v="14"/>
    <x v="0"/>
    <n v="700"/>
  </r>
  <r>
    <x v="0"/>
    <x v="25"/>
    <x v="25"/>
    <x v="7"/>
    <x v="15"/>
    <x v="0"/>
    <n v="1300"/>
  </r>
  <r>
    <x v="0"/>
    <x v="25"/>
    <x v="25"/>
    <x v="7"/>
    <x v="10"/>
    <x v="0"/>
    <n v="1350"/>
  </r>
  <r>
    <x v="0"/>
    <x v="25"/>
    <x v="25"/>
    <x v="8"/>
    <x v="12"/>
    <x v="0"/>
    <n v="700"/>
  </r>
  <r>
    <x v="0"/>
    <x v="25"/>
    <x v="25"/>
    <x v="8"/>
    <x v="4"/>
    <x v="0"/>
    <n v="1000"/>
  </r>
  <r>
    <x v="0"/>
    <x v="25"/>
    <x v="25"/>
    <x v="8"/>
    <x v="7"/>
    <x v="0"/>
    <n v="700"/>
  </r>
  <r>
    <x v="0"/>
    <x v="25"/>
    <x v="25"/>
    <x v="9"/>
    <x v="13"/>
    <x v="0"/>
    <n v="800"/>
  </r>
  <r>
    <x v="0"/>
    <x v="25"/>
    <x v="25"/>
    <x v="9"/>
    <x v="16"/>
    <x v="0"/>
    <n v="1200"/>
  </r>
  <r>
    <x v="0"/>
    <x v="25"/>
    <x v="25"/>
    <x v="10"/>
    <x v="2"/>
    <x v="0"/>
    <n v="5100"/>
  </r>
  <r>
    <x v="0"/>
    <x v="25"/>
    <x v="25"/>
    <x v="10"/>
    <x v="6"/>
    <x v="0"/>
    <n v="700"/>
  </r>
  <r>
    <x v="0"/>
    <x v="25"/>
    <x v="25"/>
    <x v="10"/>
    <x v="9"/>
    <x v="0"/>
    <n v="1400"/>
  </r>
  <r>
    <x v="0"/>
    <x v="25"/>
    <x v="25"/>
    <x v="10"/>
    <x v="17"/>
    <x v="0"/>
    <n v="1000"/>
  </r>
  <r>
    <x v="0"/>
    <x v="25"/>
    <x v="25"/>
    <x v="11"/>
    <x v="9"/>
    <x v="0"/>
    <n v="2500"/>
  </r>
  <r>
    <x v="0"/>
    <x v="25"/>
    <x v="25"/>
    <x v="11"/>
    <x v="18"/>
    <x v="0"/>
    <n v="1150"/>
  </r>
  <r>
    <x v="0"/>
    <x v="25"/>
    <x v="25"/>
    <x v="11"/>
    <x v="10"/>
    <x v="0"/>
    <n v="3345"/>
  </r>
  <r>
    <x v="0"/>
    <x v="25"/>
    <x v="25"/>
    <x v="12"/>
    <x v="0"/>
    <x v="0"/>
    <n v="1400"/>
  </r>
  <r>
    <x v="0"/>
    <x v="25"/>
    <x v="25"/>
    <x v="12"/>
    <x v="6"/>
    <x v="0"/>
    <n v="1700"/>
  </r>
  <r>
    <x v="0"/>
    <x v="25"/>
    <x v="25"/>
    <x v="12"/>
    <x v="8"/>
    <x v="0"/>
    <n v="1400"/>
  </r>
  <r>
    <x v="0"/>
    <x v="25"/>
    <x v="25"/>
    <x v="12"/>
    <x v="19"/>
    <x v="0"/>
    <n v="3200"/>
  </r>
  <r>
    <x v="0"/>
    <x v="25"/>
    <x v="25"/>
    <x v="12"/>
    <x v="20"/>
    <x v="0"/>
    <n v="1200"/>
  </r>
  <r>
    <x v="0"/>
    <x v="25"/>
    <x v="25"/>
    <x v="12"/>
    <x v="17"/>
    <x v="0"/>
    <n v="1400"/>
  </r>
  <r>
    <x v="0"/>
    <x v="25"/>
    <x v="25"/>
    <x v="13"/>
    <x v="19"/>
    <x v="0"/>
    <n v="1200"/>
  </r>
  <r>
    <x v="0"/>
    <x v="25"/>
    <x v="25"/>
    <x v="13"/>
    <x v="14"/>
    <x v="0"/>
    <n v="200"/>
  </r>
  <r>
    <x v="0"/>
    <x v="25"/>
    <x v="25"/>
    <x v="13"/>
    <x v="20"/>
    <x v="0"/>
    <n v="1000"/>
  </r>
  <r>
    <x v="0"/>
    <x v="25"/>
    <x v="25"/>
    <x v="13"/>
    <x v="21"/>
    <x v="0"/>
    <n v="600"/>
  </r>
  <r>
    <x v="0"/>
    <x v="25"/>
    <x v="25"/>
    <x v="14"/>
    <x v="11"/>
    <x v="0"/>
    <n v="600"/>
  </r>
  <r>
    <x v="0"/>
    <x v="25"/>
    <x v="25"/>
    <x v="14"/>
    <x v="18"/>
    <x v="0"/>
    <n v="1000"/>
  </r>
  <r>
    <x v="0"/>
    <x v="25"/>
    <x v="25"/>
    <x v="14"/>
    <x v="21"/>
    <x v="0"/>
    <n v="250"/>
  </r>
  <r>
    <x v="0"/>
    <x v="25"/>
    <x v="25"/>
    <x v="15"/>
    <x v="9"/>
    <x v="0"/>
    <n v="1200"/>
  </r>
  <r>
    <x v="0"/>
    <x v="25"/>
    <x v="25"/>
    <x v="15"/>
    <x v="18"/>
    <x v="0"/>
    <n v="1000"/>
  </r>
  <r>
    <x v="0"/>
    <x v="25"/>
    <x v="25"/>
    <x v="16"/>
    <x v="5"/>
    <x v="0"/>
    <n v="2000"/>
  </r>
  <r>
    <x v="0"/>
    <x v="25"/>
    <x v="25"/>
    <x v="16"/>
    <x v="16"/>
    <x v="0"/>
    <n v="1000"/>
  </r>
  <r>
    <x v="0"/>
    <x v="25"/>
    <x v="25"/>
    <x v="17"/>
    <x v="11"/>
    <x v="0"/>
    <n v="1300"/>
  </r>
  <r>
    <x v="0"/>
    <x v="25"/>
    <x v="25"/>
    <x v="17"/>
    <x v="14"/>
    <x v="0"/>
    <n v="600"/>
  </r>
  <r>
    <x v="0"/>
    <x v="25"/>
    <x v="25"/>
    <x v="17"/>
    <x v="21"/>
    <x v="0"/>
    <n v="3300"/>
  </r>
  <r>
    <x v="0"/>
    <x v="25"/>
    <x v="25"/>
    <x v="18"/>
    <x v="18"/>
    <x v="0"/>
    <n v="1000"/>
  </r>
  <r>
    <x v="0"/>
    <x v="25"/>
    <x v="25"/>
    <x v="18"/>
    <x v="14"/>
    <x v="0"/>
    <n v="300"/>
  </r>
  <r>
    <x v="0"/>
    <x v="25"/>
    <x v="25"/>
    <x v="18"/>
    <x v="15"/>
    <x v="0"/>
    <n v="3300"/>
  </r>
  <r>
    <x v="0"/>
    <x v="25"/>
    <x v="25"/>
    <x v="18"/>
    <x v="10"/>
    <x v="0"/>
    <n v="7300"/>
  </r>
  <r>
    <x v="0"/>
    <x v="25"/>
    <x v="25"/>
    <x v="19"/>
    <x v="6"/>
    <x v="0"/>
    <n v="680"/>
  </r>
  <r>
    <x v="0"/>
    <x v="25"/>
    <x v="25"/>
    <x v="19"/>
    <x v="11"/>
    <x v="0"/>
    <n v="1350"/>
  </r>
  <r>
    <x v="0"/>
    <x v="25"/>
    <x v="25"/>
    <x v="19"/>
    <x v="19"/>
    <x v="0"/>
    <n v="3295"/>
  </r>
  <r>
    <x v="0"/>
    <x v="25"/>
    <x v="25"/>
    <x v="19"/>
    <x v="21"/>
    <x v="0"/>
    <n v="7300"/>
  </r>
  <r>
    <x v="0"/>
    <x v="25"/>
    <x v="25"/>
    <x v="19"/>
    <x v="7"/>
    <x v="0"/>
    <n v="6500"/>
  </r>
  <r>
    <x v="0"/>
    <x v="25"/>
    <x v="25"/>
    <x v="20"/>
    <x v="0"/>
    <x v="0"/>
    <n v="610"/>
  </r>
  <r>
    <x v="0"/>
    <x v="25"/>
    <x v="25"/>
    <x v="20"/>
    <x v="3"/>
    <x v="0"/>
    <n v="1300"/>
  </r>
  <r>
    <x v="0"/>
    <x v="25"/>
    <x v="25"/>
    <x v="20"/>
    <x v="16"/>
    <x v="0"/>
    <n v="700"/>
  </r>
  <r>
    <x v="0"/>
    <x v="25"/>
    <x v="25"/>
    <x v="20"/>
    <x v="10"/>
    <x v="0"/>
    <n v="3200"/>
  </r>
  <r>
    <x v="0"/>
    <x v="25"/>
    <x v="25"/>
    <x v="21"/>
    <x v="6"/>
    <x v="0"/>
    <n v="1400"/>
  </r>
  <r>
    <x v="0"/>
    <x v="25"/>
    <x v="25"/>
    <x v="21"/>
    <x v="8"/>
    <x v="0"/>
    <n v="1000"/>
  </r>
  <r>
    <x v="0"/>
    <x v="25"/>
    <x v="25"/>
    <x v="21"/>
    <x v="9"/>
    <x v="0"/>
    <n v="1400"/>
  </r>
  <r>
    <x v="0"/>
    <x v="26"/>
    <x v="26"/>
    <x v="0"/>
    <x v="0"/>
    <x v="0"/>
    <n v="3010"/>
  </r>
  <r>
    <x v="0"/>
    <x v="26"/>
    <x v="26"/>
    <x v="0"/>
    <x v="1"/>
    <x v="0"/>
    <n v="3010"/>
  </r>
  <r>
    <x v="0"/>
    <x v="26"/>
    <x v="26"/>
    <x v="0"/>
    <x v="2"/>
    <x v="0"/>
    <n v="6020"/>
  </r>
  <r>
    <x v="0"/>
    <x v="26"/>
    <x v="26"/>
    <x v="0"/>
    <x v="3"/>
    <x v="0"/>
    <n v="600"/>
  </r>
  <r>
    <x v="0"/>
    <x v="26"/>
    <x v="26"/>
    <x v="0"/>
    <x v="4"/>
    <x v="0"/>
    <n v="2000"/>
  </r>
  <r>
    <x v="0"/>
    <x v="26"/>
    <x v="26"/>
    <x v="1"/>
    <x v="5"/>
    <x v="0"/>
    <n v="3010"/>
  </r>
  <r>
    <x v="0"/>
    <x v="26"/>
    <x v="26"/>
    <x v="1"/>
    <x v="2"/>
    <x v="0"/>
    <n v="8634"/>
  </r>
  <r>
    <x v="0"/>
    <x v="26"/>
    <x v="26"/>
    <x v="1"/>
    <x v="6"/>
    <x v="0"/>
    <n v="3000"/>
  </r>
  <r>
    <x v="0"/>
    <x v="26"/>
    <x v="26"/>
    <x v="1"/>
    <x v="9"/>
    <x v="0"/>
    <n v="1400"/>
  </r>
  <r>
    <x v="0"/>
    <x v="26"/>
    <x v="26"/>
    <x v="1"/>
    <x v="7"/>
    <x v="0"/>
    <n v="600"/>
  </r>
  <r>
    <x v="0"/>
    <x v="26"/>
    <x v="26"/>
    <x v="2"/>
    <x v="5"/>
    <x v="0"/>
    <n v="3010"/>
  </r>
  <r>
    <x v="0"/>
    <x v="26"/>
    <x v="26"/>
    <x v="2"/>
    <x v="2"/>
    <x v="0"/>
    <n v="14416"/>
  </r>
  <r>
    <x v="0"/>
    <x v="26"/>
    <x v="26"/>
    <x v="3"/>
    <x v="5"/>
    <x v="0"/>
    <n v="6020"/>
  </r>
  <r>
    <x v="0"/>
    <x v="26"/>
    <x v="26"/>
    <x v="3"/>
    <x v="0"/>
    <x v="0"/>
    <n v="8634"/>
  </r>
  <r>
    <x v="0"/>
    <x v="26"/>
    <x v="26"/>
    <x v="3"/>
    <x v="1"/>
    <x v="0"/>
    <n v="14416"/>
  </r>
  <r>
    <x v="0"/>
    <x v="26"/>
    <x v="26"/>
    <x v="3"/>
    <x v="3"/>
    <x v="0"/>
    <n v="400"/>
  </r>
  <r>
    <x v="0"/>
    <x v="26"/>
    <x v="26"/>
    <x v="3"/>
    <x v="8"/>
    <x v="0"/>
    <n v="5900"/>
  </r>
  <r>
    <x v="0"/>
    <x v="26"/>
    <x v="26"/>
    <x v="4"/>
    <x v="0"/>
    <x v="0"/>
    <n v="3000"/>
  </r>
  <r>
    <x v="0"/>
    <x v="26"/>
    <x v="26"/>
    <x v="4"/>
    <x v="3"/>
    <x v="0"/>
    <n v="600"/>
  </r>
  <r>
    <x v="0"/>
    <x v="26"/>
    <x v="26"/>
    <x v="4"/>
    <x v="8"/>
    <x v="0"/>
    <n v="700"/>
  </r>
  <r>
    <x v="0"/>
    <x v="26"/>
    <x v="26"/>
    <x v="4"/>
    <x v="9"/>
    <x v="0"/>
    <n v="1700"/>
  </r>
  <r>
    <x v="0"/>
    <x v="26"/>
    <x v="26"/>
    <x v="4"/>
    <x v="10"/>
    <x v="0"/>
    <n v="740"/>
  </r>
  <r>
    <x v="0"/>
    <x v="26"/>
    <x v="26"/>
    <x v="4"/>
    <x v="17"/>
    <x v="0"/>
    <n v="1400"/>
  </r>
  <r>
    <x v="0"/>
    <x v="26"/>
    <x v="26"/>
    <x v="5"/>
    <x v="5"/>
    <x v="0"/>
    <n v="585"/>
  </r>
  <r>
    <x v="0"/>
    <x v="26"/>
    <x v="26"/>
    <x v="5"/>
    <x v="2"/>
    <x v="0"/>
    <n v="400"/>
  </r>
  <r>
    <x v="0"/>
    <x v="26"/>
    <x v="26"/>
    <x v="5"/>
    <x v="6"/>
    <x v="0"/>
    <n v="600"/>
  </r>
  <r>
    <x v="0"/>
    <x v="26"/>
    <x v="26"/>
    <x v="5"/>
    <x v="7"/>
    <x v="0"/>
    <n v="1700"/>
  </r>
  <r>
    <x v="0"/>
    <x v="26"/>
    <x v="26"/>
    <x v="6"/>
    <x v="11"/>
    <x v="0"/>
    <n v="1000"/>
  </r>
  <r>
    <x v="0"/>
    <x v="26"/>
    <x v="26"/>
    <x v="6"/>
    <x v="12"/>
    <x v="0"/>
    <n v="800"/>
  </r>
  <r>
    <x v="0"/>
    <x v="26"/>
    <x v="26"/>
    <x v="7"/>
    <x v="13"/>
    <x v="0"/>
    <n v="1000"/>
  </r>
  <r>
    <x v="0"/>
    <x v="26"/>
    <x v="26"/>
    <x v="7"/>
    <x v="14"/>
    <x v="0"/>
    <n v="700"/>
  </r>
  <r>
    <x v="0"/>
    <x v="26"/>
    <x v="26"/>
    <x v="7"/>
    <x v="15"/>
    <x v="0"/>
    <n v="1300"/>
  </r>
  <r>
    <x v="0"/>
    <x v="26"/>
    <x v="26"/>
    <x v="7"/>
    <x v="10"/>
    <x v="0"/>
    <n v="1350"/>
  </r>
  <r>
    <x v="0"/>
    <x v="26"/>
    <x v="26"/>
    <x v="8"/>
    <x v="12"/>
    <x v="0"/>
    <n v="700"/>
  </r>
  <r>
    <x v="0"/>
    <x v="26"/>
    <x v="26"/>
    <x v="8"/>
    <x v="4"/>
    <x v="0"/>
    <n v="1000"/>
  </r>
  <r>
    <x v="0"/>
    <x v="26"/>
    <x v="26"/>
    <x v="8"/>
    <x v="7"/>
    <x v="0"/>
    <n v="700"/>
  </r>
  <r>
    <x v="0"/>
    <x v="26"/>
    <x v="26"/>
    <x v="9"/>
    <x v="13"/>
    <x v="0"/>
    <n v="800"/>
  </r>
  <r>
    <x v="0"/>
    <x v="26"/>
    <x v="26"/>
    <x v="9"/>
    <x v="16"/>
    <x v="0"/>
    <n v="1200"/>
  </r>
  <r>
    <x v="0"/>
    <x v="26"/>
    <x v="26"/>
    <x v="10"/>
    <x v="2"/>
    <x v="0"/>
    <n v="5100"/>
  </r>
  <r>
    <x v="0"/>
    <x v="26"/>
    <x v="26"/>
    <x v="10"/>
    <x v="6"/>
    <x v="0"/>
    <n v="700"/>
  </r>
  <r>
    <x v="0"/>
    <x v="26"/>
    <x v="26"/>
    <x v="10"/>
    <x v="9"/>
    <x v="0"/>
    <n v="1400"/>
  </r>
  <r>
    <x v="0"/>
    <x v="26"/>
    <x v="26"/>
    <x v="10"/>
    <x v="17"/>
    <x v="0"/>
    <n v="1000"/>
  </r>
  <r>
    <x v="0"/>
    <x v="26"/>
    <x v="26"/>
    <x v="11"/>
    <x v="9"/>
    <x v="0"/>
    <n v="2500"/>
  </r>
  <r>
    <x v="0"/>
    <x v="26"/>
    <x v="26"/>
    <x v="11"/>
    <x v="18"/>
    <x v="0"/>
    <n v="1150"/>
  </r>
  <r>
    <x v="0"/>
    <x v="26"/>
    <x v="26"/>
    <x v="11"/>
    <x v="10"/>
    <x v="0"/>
    <n v="3345"/>
  </r>
  <r>
    <x v="0"/>
    <x v="26"/>
    <x v="26"/>
    <x v="12"/>
    <x v="0"/>
    <x v="0"/>
    <n v="1400"/>
  </r>
  <r>
    <x v="0"/>
    <x v="26"/>
    <x v="26"/>
    <x v="12"/>
    <x v="6"/>
    <x v="0"/>
    <n v="1700"/>
  </r>
  <r>
    <x v="0"/>
    <x v="26"/>
    <x v="26"/>
    <x v="12"/>
    <x v="8"/>
    <x v="0"/>
    <n v="1400"/>
  </r>
  <r>
    <x v="0"/>
    <x v="26"/>
    <x v="26"/>
    <x v="12"/>
    <x v="19"/>
    <x v="0"/>
    <n v="3200"/>
  </r>
  <r>
    <x v="0"/>
    <x v="26"/>
    <x v="26"/>
    <x v="12"/>
    <x v="20"/>
    <x v="0"/>
    <n v="1200"/>
  </r>
  <r>
    <x v="0"/>
    <x v="26"/>
    <x v="26"/>
    <x v="12"/>
    <x v="17"/>
    <x v="0"/>
    <n v="1400"/>
  </r>
  <r>
    <x v="0"/>
    <x v="26"/>
    <x v="26"/>
    <x v="13"/>
    <x v="19"/>
    <x v="0"/>
    <n v="1200"/>
  </r>
  <r>
    <x v="0"/>
    <x v="26"/>
    <x v="26"/>
    <x v="13"/>
    <x v="14"/>
    <x v="0"/>
    <n v="200"/>
  </r>
  <r>
    <x v="0"/>
    <x v="26"/>
    <x v="26"/>
    <x v="13"/>
    <x v="20"/>
    <x v="0"/>
    <n v="1000"/>
  </r>
  <r>
    <x v="0"/>
    <x v="26"/>
    <x v="26"/>
    <x v="13"/>
    <x v="21"/>
    <x v="0"/>
    <n v="600"/>
  </r>
  <r>
    <x v="0"/>
    <x v="26"/>
    <x v="26"/>
    <x v="14"/>
    <x v="11"/>
    <x v="0"/>
    <n v="600"/>
  </r>
  <r>
    <x v="0"/>
    <x v="26"/>
    <x v="26"/>
    <x v="14"/>
    <x v="18"/>
    <x v="0"/>
    <n v="1000"/>
  </r>
  <r>
    <x v="0"/>
    <x v="26"/>
    <x v="26"/>
    <x v="14"/>
    <x v="21"/>
    <x v="0"/>
    <n v="250"/>
  </r>
  <r>
    <x v="0"/>
    <x v="26"/>
    <x v="26"/>
    <x v="15"/>
    <x v="9"/>
    <x v="0"/>
    <n v="1200"/>
  </r>
  <r>
    <x v="0"/>
    <x v="26"/>
    <x v="26"/>
    <x v="15"/>
    <x v="18"/>
    <x v="0"/>
    <n v="1000"/>
  </r>
  <r>
    <x v="0"/>
    <x v="26"/>
    <x v="26"/>
    <x v="16"/>
    <x v="5"/>
    <x v="0"/>
    <n v="2000"/>
  </r>
  <r>
    <x v="0"/>
    <x v="26"/>
    <x v="26"/>
    <x v="16"/>
    <x v="16"/>
    <x v="0"/>
    <n v="1000"/>
  </r>
  <r>
    <x v="0"/>
    <x v="26"/>
    <x v="26"/>
    <x v="17"/>
    <x v="11"/>
    <x v="0"/>
    <n v="1300"/>
  </r>
  <r>
    <x v="0"/>
    <x v="26"/>
    <x v="26"/>
    <x v="17"/>
    <x v="14"/>
    <x v="0"/>
    <n v="600"/>
  </r>
  <r>
    <x v="0"/>
    <x v="26"/>
    <x v="26"/>
    <x v="17"/>
    <x v="21"/>
    <x v="0"/>
    <n v="3300"/>
  </r>
  <r>
    <x v="0"/>
    <x v="26"/>
    <x v="26"/>
    <x v="18"/>
    <x v="18"/>
    <x v="0"/>
    <n v="1000"/>
  </r>
  <r>
    <x v="0"/>
    <x v="26"/>
    <x v="26"/>
    <x v="18"/>
    <x v="14"/>
    <x v="0"/>
    <n v="300"/>
  </r>
  <r>
    <x v="0"/>
    <x v="26"/>
    <x v="26"/>
    <x v="18"/>
    <x v="15"/>
    <x v="0"/>
    <n v="3300"/>
  </r>
  <r>
    <x v="0"/>
    <x v="26"/>
    <x v="26"/>
    <x v="18"/>
    <x v="10"/>
    <x v="0"/>
    <n v="7300"/>
  </r>
  <r>
    <x v="0"/>
    <x v="26"/>
    <x v="26"/>
    <x v="19"/>
    <x v="6"/>
    <x v="0"/>
    <n v="680"/>
  </r>
  <r>
    <x v="0"/>
    <x v="26"/>
    <x v="26"/>
    <x v="19"/>
    <x v="11"/>
    <x v="0"/>
    <n v="1350"/>
  </r>
  <r>
    <x v="0"/>
    <x v="26"/>
    <x v="26"/>
    <x v="19"/>
    <x v="19"/>
    <x v="0"/>
    <n v="3295"/>
  </r>
  <r>
    <x v="0"/>
    <x v="26"/>
    <x v="26"/>
    <x v="19"/>
    <x v="21"/>
    <x v="0"/>
    <n v="7300"/>
  </r>
  <r>
    <x v="0"/>
    <x v="26"/>
    <x v="26"/>
    <x v="19"/>
    <x v="7"/>
    <x v="0"/>
    <n v="6500"/>
  </r>
  <r>
    <x v="0"/>
    <x v="26"/>
    <x v="26"/>
    <x v="20"/>
    <x v="0"/>
    <x v="0"/>
    <n v="610"/>
  </r>
  <r>
    <x v="0"/>
    <x v="26"/>
    <x v="26"/>
    <x v="20"/>
    <x v="3"/>
    <x v="0"/>
    <n v="1300"/>
  </r>
  <r>
    <x v="0"/>
    <x v="26"/>
    <x v="26"/>
    <x v="20"/>
    <x v="16"/>
    <x v="0"/>
    <n v="700"/>
  </r>
  <r>
    <x v="0"/>
    <x v="26"/>
    <x v="26"/>
    <x v="20"/>
    <x v="10"/>
    <x v="0"/>
    <n v="3200"/>
  </r>
  <r>
    <x v="0"/>
    <x v="26"/>
    <x v="26"/>
    <x v="21"/>
    <x v="6"/>
    <x v="0"/>
    <n v="1400"/>
  </r>
  <r>
    <x v="0"/>
    <x v="26"/>
    <x v="26"/>
    <x v="21"/>
    <x v="8"/>
    <x v="0"/>
    <n v="1000"/>
  </r>
  <r>
    <x v="0"/>
    <x v="26"/>
    <x v="26"/>
    <x v="21"/>
    <x v="9"/>
    <x v="0"/>
    <n v="1400"/>
  </r>
  <r>
    <x v="0"/>
    <x v="27"/>
    <x v="27"/>
    <x v="0"/>
    <x v="0"/>
    <x v="0"/>
    <n v="3010"/>
  </r>
  <r>
    <x v="0"/>
    <x v="27"/>
    <x v="27"/>
    <x v="0"/>
    <x v="1"/>
    <x v="0"/>
    <n v="3010"/>
  </r>
  <r>
    <x v="0"/>
    <x v="27"/>
    <x v="27"/>
    <x v="0"/>
    <x v="2"/>
    <x v="0"/>
    <n v="6020"/>
  </r>
  <r>
    <x v="0"/>
    <x v="27"/>
    <x v="27"/>
    <x v="0"/>
    <x v="3"/>
    <x v="0"/>
    <n v="600"/>
  </r>
  <r>
    <x v="0"/>
    <x v="27"/>
    <x v="27"/>
    <x v="0"/>
    <x v="4"/>
    <x v="0"/>
    <n v="2000"/>
  </r>
  <r>
    <x v="0"/>
    <x v="27"/>
    <x v="27"/>
    <x v="1"/>
    <x v="5"/>
    <x v="0"/>
    <n v="3010"/>
  </r>
  <r>
    <x v="0"/>
    <x v="27"/>
    <x v="27"/>
    <x v="1"/>
    <x v="2"/>
    <x v="0"/>
    <n v="8634"/>
  </r>
  <r>
    <x v="0"/>
    <x v="27"/>
    <x v="27"/>
    <x v="1"/>
    <x v="6"/>
    <x v="0"/>
    <n v="3000"/>
  </r>
  <r>
    <x v="0"/>
    <x v="27"/>
    <x v="27"/>
    <x v="1"/>
    <x v="9"/>
    <x v="0"/>
    <n v="1400"/>
  </r>
  <r>
    <x v="0"/>
    <x v="27"/>
    <x v="27"/>
    <x v="1"/>
    <x v="7"/>
    <x v="0"/>
    <n v="600"/>
  </r>
  <r>
    <x v="0"/>
    <x v="27"/>
    <x v="27"/>
    <x v="2"/>
    <x v="5"/>
    <x v="0"/>
    <n v="3010"/>
  </r>
  <r>
    <x v="0"/>
    <x v="27"/>
    <x v="27"/>
    <x v="2"/>
    <x v="2"/>
    <x v="0"/>
    <n v="14416"/>
  </r>
  <r>
    <x v="0"/>
    <x v="27"/>
    <x v="27"/>
    <x v="3"/>
    <x v="5"/>
    <x v="0"/>
    <n v="6020"/>
  </r>
  <r>
    <x v="0"/>
    <x v="27"/>
    <x v="27"/>
    <x v="3"/>
    <x v="0"/>
    <x v="0"/>
    <n v="8634"/>
  </r>
  <r>
    <x v="0"/>
    <x v="27"/>
    <x v="27"/>
    <x v="3"/>
    <x v="1"/>
    <x v="0"/>
    <n v="14416"/>
  </r>
  <r>
    <x v="0"/>
    <x v="27"/>
    <x v="27"/>
    <x v="3"/>
    <x v="3"/>
    <x v="0"/>
    <n v="400"/>
  </r>
  <r>
    <x v="0"/>
    <x v="27"/>
    <x v="27"/>
    <x v="3"/>
    <x v="8"/>
    <x v="0"/>
    <n v="5900"/>
  </r>
  <r>
    <x v="0"/>
    <x v="27"/>
    <x v="27"/>
    <x v="4"/>
    <x v="0"/>
    <x v="0"/>
    <n v="3000"/>
  </r>
  <r>
    <x v="0"/>
    <x v="27"/>
    <x v="27"/>
    <x v="4"/>
    <x v="3"/>
    <x v="0"/>
    <n v="600"/>
  </r>
  <r>
    <x v="0"/>
    <x v="27"/>
    <x v="27"/>
    <x v="4"/>
    <x v="8"/>
    <x v="0"/>
    <n v="700"/>
  </r>
  <r>
    <x v="0"/>
    <x v="27"/>
    <x v="27"/>
    <x v="4"/>
    <x v="9"/>
    <x v="0"/>
    <n v="1700"/>
  </r>
  <r>
    <x v="0"/>
    <x v="27"/>
    <x v="27"/>
    <x v="4"/>
    <x v="10"/>
    <x v="0"/>
    <n v="740"/>
  </r>
  <r>
    <x v="0"/>
    <x v="27"/>
    <x v="27"/>
    <x v="4"/>
    <x v="17"/>
    <x v="0"/>
    <n v="1400"/>
  </r>
  <r>
    <x v="0"/>
    <x v="27"/>
    <x v="27"/>
    <x v="5"/>
    <x v="5"/>
    <x v="0"/>
    <n v="585"/>
  </r>
  <r>
    <x v="0"/>
    <x v="27"/>
    <x v="27"/>
    <x v="5"/>
    <x v="2"/>
    <x v="0"/>
    <n v="400"/>
  </r>
  <r>
    <x v="0"/>
    <x v="27"/>
    <x v="27"/>
    <x v="5"/>
    <x v="6"/>
    <x v="0"/>
    <n v="600"/>
  </r>
  <r>
    <x v="0"/>
    <x v="27"/>
    <x v="27"/>
    <x v="5"/>
    <x v="7"/>
    <x v="0"/>
    <n v="1700"/>
  </r>
  <r>
    <x v="0"/>
    <x v="27"/>
    <x v="27"/>
    <x v="6"/>
    <x v="11"/>
    <x v="0"/>
    <n v="1000"/>
  </r>
  <r>
    <x v="0"/>
    <x v="27"/>
    <x v="27"/>
    <x v="6"/>
    <x v="12"/>
    <x v="0"/>
    <n v="800"/>
  </r>
  <r>
    <x v="0"/>
    <x v="27"/>
    <x v="27"/>
    <x v="7"/>
    <x v="13"/>
    <x v="0"/>
    <n v="1000"/>
  </r>
  <r>
    <x v="0"/>
    <x v="27"/>
    <x v="27"/>
    <x v="7"/>
    <x v="14"/>
    <x v="0"/>
    <n v="700"/>
  </r>
  <r>
    <x v="0"/>
    <x v="27"/>
    <x v="27"/>
    <x v="7"/>
    <x v="15"/>
    <x v="0"/>
    <n v="1300"/>
  </r>
  <r>
    <x v="0"/>
    <x v="27"/>
    <x v="27"/>
    <x v="7"/>
    <x v="10"/>
    <x v="0"/>
    <n v="1350"/>
  </r>
  <r>
    <x v="0"/>
    <x v="27"/>
    <x v="27"/>
    <x v="8"/>
    <x v="12"/>
    <x v="0"/>
    <n v="700"/>
  </r>
  <r>
    <x v="0"/>
    <x v="27"/>
    <x v="27"/>
    <x v="8"/>
    <x v="4"/>
    <x v="0"/>
    <n v="1000"/>
  </r>
  <r>
    <x v="0"/>
    <x v="27"/>
    <x v="27"/>
    <x v="8"/>
    <x v="7"/>
    <x v="0"/>
    <n v="700"/>
  </r>
  <r>
    <x v="0"/>
    <x v="27"/>
    <x v="27"/>
    <x v="9"/>
    <x v="13"/>
    <x v="0"/>
    <n v="800"/>
  </r>
  <r>
    <x v="0"/>
    <x v="27"/>
    <x v="27"/>
    <x v="9"/>
    <x v="16"/>
    <x v="0"/>
    <n v="1200"/>
  </r>
  <r>
    <x v="0"/>
    <x v="27"/>
    <x v="27"/>
    <x v="10"/>
    <x v="2"/>
    <x v="0"/>
    <n v="5100"/>
  </r>
  <r>
    <x v="0"/>
    <x v="27"/>
    <x v="27"/>
    <x v="10"/>
    <x v="6"/>
    <x v="0"/>
    <n v="700"/>
  </r>
  <r>
    <x v="0"/>
    <x v="27"/>
    <x v="27"/>
    <x v="10"/>
    <x v="9"/>
    <x v="0"/>
    <n v="1400"/>
  </r>
  <r>
    <x v="0"/>
    <x v="27"/>
    <x v="27"/>
    <x v="10"/>
    <x v="17"/>
    <x v="0"/>
    <n v="1000"/>
  </r>
  <r>
    <x v="0"/>
    <x v="27"/>
    <x v="27"/>
    <x v="11"/>
    <x v="9"/>
    <x v="0"/>
    <n v="2500"/>
  </r>
  <r>
    <x v="0"/>
    <x v="27"/>
    <x v="27"/>
    <x v="11"/>
    <x v="18"/>
    <x v="0"/>
    <n v="1150"/>
  </r>
  <r>
    <x v="0"/>
    <x v="27"/>
    <x v="27"/>
    <x v="11"/>
    <x v="10"/>
    <x v="0"/>
    <n v="3345"/>
  </r>
  <r>
    <x v="0"/>
    <x v="27"/>
    <x v="27"/>
    <x v="12"/>
    <x v="0"/>
    <x v="0"/>
    <n v="1400"/>
  </r>
  <r>
    <x v="0"/>
    <x v="27"/>
    <x v="27"/>
    <x v="12"/>
    <x v="6"/>
    <x v="0"/>
    <n v="1700"/>
  </r>
  <r>
    <x v="0"/>
    <x v="27"/>
    <x v="27"/>
    <x v="12"/>
    <x v="8"/>
    <x v="0"/>
    <n v="1400"/>
  </r>
  <r>
    <x v="0"/>
    <x v="27"/>
    <x v="27"/>
    <x v="12"/>
    <x v="19"/>
    <x v="0"/>
    <n v="3200"/>
  </r>
  <r>
    <x v="0"/>
    <x v="27"/>
    <x v="27"/>
    <x v="12"/>
    <x v="20"/>
    <x v="0"/>
    <n v="1200"/>
  </r>
  <r>
    <x v="0"/>
    <x v="27"/>
    <x v="27"/>
    <x v="12"/>
    <x v="17"/>
    <x v="0"/>
    <n v="1400"/>
  </r>
  <r>
    <x v="0"/>
    <x v="27"/>
    <x v="27"/>
    <x v="13"/>
    <x v="19"/>
    <x v="0"/>
    <n v="1200"/>
  </r>
  <r>
    <x v="0"/>
    <x v="27"/>
    <x v="27"/>
    <x v="13"/>
    <x v="14"/>
    <x v="0"/>
    <n v="200"/>
  </r>
  <r>
    <x v="0"/>
    <x v="27"/>
    <x v="27"/>
    <x v="13"/>
    <x v="20"/>
    <x v="0"/>
    <n v="1000"/>
  </r>
  <r>
    <x v="0"/>
    <x v="27"/>
    <x v="27"/>
    <x v="13"/>
    <x v="21"/>
    <x v="0"/>
    <n v="600"/>
  </r>
  <r>
    <x v="0"/>
    <x v="27"/>
    <x v="27"/>
    <x v="14"/>
    <x v="11"/>
    <x v="0"/>
    <n v="600"/>
  </r>
  <r>
    <x v="0"/>
    <x v="27"/>
    <x v="27"/>
    <x v="14"/>
    <x v="18"/>
    <x v="0"/>
    <n v="1000"/>
  </r>
  <r>
    <x v="0"/>
    <x v="27"/>
    <x v="27"/>
    <x v="14"/>
    <x v="21"/>
    <x v="0"/>
    <n v="250"/>
  </r>
  <r>
    <x v="0"/>
    <x v="27"/>
    <x v="27"/>
    <x v="15"/>
    <x v="9"/>
    <x v="0"/>
    <n v="1200"/>
  </r>
  <r>
    <x v="0"/>
    <x v="27"/>
    <x v="27"/>
    <x v="15"/>
    <x v="18"/>
    <x v="0"/>
    <n v="1000"/>
  </r>
  <r>
    <x v="0"/>
    <x v="27"/>
    <x v="27"/>
    <x v="16"/>
    <x v="5"/>
    <x v="0"/>
    <n v="2000"/>
  </r>
  <r>
    <x v="0"/>
    <x v="27"/>
    <x v="27"/>
    <x v="16"/>
    <x v="16"/>
    <x v="0"/>
    <n v="1000"/>
  </r>
  <r>
    <x v="0"/>
    <x v="27"/>
    <x v="27"/>
    <x v="17"/>
    <x v="11"/>
    <x v="0"/>
    <n v="1300"/>
  </r>
  <r>
    <x v="0"/>
    <x v="27"/>
    <x v="27"/>
    <x v="17"/>
    <x v="14"/>
    <x v="0"/>
    <n v="600"/>
  </r>
  <r>
    <x v="0"/>
    <x v="27"/>
    <x v="27"/>
    <x v="17"/>
    <x v="21"/>
    <x v="0"/>
    <n v="3300"/>
  </r>
  <r>
    <x v="0"/>
    <x v="27"/>
    <x v="27"/>
    <x v="18"/>
    <x v="18"/>
    <x v="0"/>
    <n v="1000"/>
  </r>
  <r>
    <x v="0"/>
    <x v="27"/>
    <x v="27"/>
    <x v="18"/>
    <x v="14"/>
    <x v="0"/>
    <n v="300"/>
  </r>
  <r>
    <x v="0"/>
    <x v="27"/>
    <x v="27"/>
    <x v="18"/>
    <x v="15"/>
    <x v="0"/>
    <n v="3300"/>
  </r>
  <r>
    <x v="0"/>
    <x v="27"/>
    <x v="27"/>
    <x v="18"/>
    <x v="10"/>
    <x v="0"/>
    <n v="7300"/>
  </r>
  <r>
    <x v="0"/>
    <x v="27"/>
    <x v="27"/>
    <x v="19"/>
    <x v="6"/>
    <x v="0"/>
    <n v="680"/>
  </r>
  <r>
    <x v="0"/>
    <x v="27"/>
    <x v="27"/>
    <x v="19"/>
    <x v="11"/>
    <x v="0"/>
    <n v="1350"/>
  </r>
  <r>
    <x v="0"/>
    <x v="27"/>
    <x v="27"/>
    <x v="19"/>
    <x v="19"/>
    <x v="0"/>
    <n v="3295"/>
  </r>
  <r>
    <x v="0"/>
    <x v="27"/>
    <x v="27"/>
    <x v="19"/>
    <x v="21"/>
    <x v="0"/>
    <n v="7300"/>
  </r>
  <r>
    <x v="0"/>
    <x v="27"/>
    <x v="27"/>
    <x v="19"/>
    <x v="7"/>
    <x v="0"/>
    <n v="6500"/>
  </r>
  <r>
    <x v="0"/>
    <x v="27"/>
    <x v="27"/>
    <x v="20"/>
    <x v="0"/>
    <x v="0"/>
    <n v="610"/>
  </r>
  <r>
    <x v="0"/>
    <x v="27"/>
    <x v="27"/>
    <x v="20"/>
    <x v="3"/>
    <x v="0"/>
    <n v="1300"/>
  </r>
  <r>
    <x v="0"/>
    <x v="27"/>
    <x v="27"/>
    <x v="20"/>
    <x v="16"/>
    <x v="0"/>
    <n v="700"/>
  </r>
  <r>
    <x v="0"/>
    <x v="27"/>
    <x v="27"/>
    <x v="20"/>
    <x v="10"/>
    <x v="0"/>
    <n v="3200"/>
  </r>
  <r>
    <x v="0"/>
    <x v="27"/>
    <x v="27"/>
    <x v="21"/>
    <x v="6"/>
    <x v="0"/>
    <n v="1400"/>
  </r>
  <r>
    <x v="0"/>
    <x v="27"/>
    <x v="27"/>
    <x v="21"/>
    <x v="8"/>
    <x v="0"/>
    <n v="1000"/>
  </r>
  <r>
    <x v="0"/>
    <x v="27"/>
    <x v="27"/>
    <x v="21"/>
    <x v="9"/>
    <x v="0"/>
    <n v="1400"/>
  </r>
  <r>
    <x v="0"/>
    <x v="28"/>
    <x v="28"/>
    <x v="0"/>
    <x v="0"/>
    <x v="0"/>
    <n v="3010"/>
  </r>
  <r>
    <x v="0"/>
    <x v="28"/>
    <x v="28"/>
    <x v="0"/>
    <x v="1"/>
    <x v="0"/>
    <n v="3010"/>
  </r>
  <r>
    <x v="0"/>
    <x v="28"/>
    <x v="28"/>
    <x v="0"/>
    <x v="2"/>
    <x v="0"/>
    <n v="6020"/>
  </r>
  <r>
    <x v="0"/>
    <x v="28"/>
    <x v="28"/>
    <x v="0"/>
    <x v="3"/>
    <x v="0"/>
    <n v="600"/>
  </r>
  <r>
    <x v="0"/>
    <x v="28"/>
    <x v="28"/>
    <x v="0"/>
    <x v="4"/>
    <x v="0"/>
    <n v="2000"/>
  </r>
  <r>
    <x v="0"/>
    <x v="28"/>
    <x v="28"/>
    <x v="1"/>
    <x v="5"/>
    <x v="0"/>
    <n v="3010"/>
  </r>
  <r>
    <x v="0"/>
    <x v="28"/>
    <x v="28"/>
    <x v="1"/>
    <x v="2"/>
    <x v="0"/>
    <n v="8634"/>
  </r>
  <r>
    <x v="0"/>
    <x v="28"/>
    <x v="28"/>
    <x v="1"/>
    <x v="6"/>
    <x v="0"/>
    <n v="3000"/>
  </r>
  <r>
    <x v="0"/>
    <x v="28"/>
    <x v="28"/>
    <x v="1"/>
    <x v="9"/>
    <x v="0"/>
    <n v="1400"/>
  </r>
  <r>
    <x v="0"/>
    <x v="28"/>
    <x v="28"/>
    <x v="1"/>
    <x v="7"/>
    <x v="0"/>
    <n v="600"/>
  </r>
  <r>
    <x v="0"/>
    <x v="28"/>
    <x v="28"/>
    <x v="2"/>
    <x v="5"/>
    <x v="0"/>
    <n v="3010"/>
  </r>
  <r>
    <x v="0"/>
    <x v="28"/>
    <x v="28"/>
    <x v="2"/>
    <x v="2"/>
    <x v="0"/>
    <n v="14416"/>
  </r>
  <r>
    <x v="0"/>
    <x v="28"/>
    <x v="28"/>
    <x v="3"/>
    <x v="5"/>
    <x v="0"/>
    <n v="6020"/>
  </r>
  <r>
    <x v="0"/>
    <x v="28"/>
    <x v="28"/>
    <x v="3"/>
    <x v="0"/>
    <x v="0"/>
    <n v="8634"/>
  </r>
  <r>
    <x v="0"/>
    <x v="28"/>
    <x v="28"/>
    <x v="3"/>
    <x v="1"/>
    <x v="0"/>
    <n v="14416"/>
  </r>
  <r>
    <x v="0"/>
    <x v="28"/>
    <x v="28"/>
    <x v="3"/>
    <x v="3"/>
    <x v="0"/>
    <n v="400"/>
  </r>
  <r>
    <x v="0"/>
    <x v="28"/>
    <x v="28"/>
    <x v="3"/>
    <x v="8"/>
    <x v="0"/>
    <n v="5900"/>
  </r>
  <r>
    <x v="0"/>
    <x v="28"/>
    <x v="28"/>
    <x v="4"/>
    <x v="0"/>
    <x v="0"/>
    <n v="3000"/>
  </r>
  <r>
    <x v="0"/>
    <x v="28"/>
    <x v="28"/>
    <x v="4"/>
    <x v="3"/>
    <x v="0"/>
    <n v="600"/>
  </r>
  <r>
    <x v="0"/>
    <x v="28"/>
    <x v="28"/>
    <x v="4"/>
    <x v="8"/>
    <x v="0"/>
    <n v="700"/>
  </r>
  <r>
    <x v="0"/>
    <x v="28"/>
    <x v="28"/>
    <x v="4"/>
    <x v="9"/>
    <x v="0"/>
    <n v="1700"/>
  </r>
  <r>
    <x v="0"/>
    <x v="28"/>
    <x v="28"/>
    <x v="4"/>
    <x v="10"/>
    <x v="0"/>
    <n v="740"/>
  </r>
  <r>
    <x v="0"/>
    <x v="28"/>
    <x v="28"/>
    <x v="4"/>
    <x v="17"/>
    <x v="0"/>
    <n v="1400"/>
  </r>
  <r>
    <x v="0"/>
    <x v="28"/>
    <x v="28"/>
    <x v="5"/>
    <x v="5"/>
    <x v="0"/>
    <n v="585"/>
  </r>
  <r>
    <x v="0"/>
    <x v="28"/>
    <x v="28"/>
    <x v="5"/>
    <x v="2"/>
    <x v="0"/>
    <n v="400"/>
  </r>
  <r>
    <x v="0"/>
    <x v="28"/>
    <x v="28"/>
    <x v="5"/>
    <x v="6"/>
    <x v="0"/>
    <n v="600"/>
  </r>
  <r>
    <x v="0"/>
    <x v="28"/>
    <x v="28"/>
    <x v="5"/>
    <x v="7"/>
    <x v="0"/>
    <n v="1700"/>
  </r>
  <r>
    <x v="0"/>
    <x v="28"/>
    <x v="28"/>
    <x v="6"/>
    <x v="11"/>
    <x v="0"/>
    <n v="1000"/>
  </r>
  <r>
    <x v="0"/>
    <x v="28"/>
    <x v="28"/>
    <x v="6"/>
    <x v="12"/>
    <x v="0"/>
    <n v="800"/>
  </r>
  <r>
    <x v="0"/>
    <x v="28"/>
    <x v="28"/>
    <x v="7"/>
    <x v="13"/>
    <x v="0"/>
    <n v="1000"/>
  </r>
  <r>
    <x v="0"/>
    <x v="28"/>
    <x v="28"/>
    <x v="7"/>
    <x v="14"/>
    <x v="0"/>
    <n v="700"/>
  </r>
  <r>
    <x v="0"/>
    <x v="28"/>
    <x v="28"/>
    <x v="7"/>
    <x v="15"/>
    <x v="0"/>
    <n v="1300"/>
  </r>
  <r>
    <x v="0"/>
    <x v="28"/>
    <x v="28"/>
    <x v="7"/>
    <x v="10"/>
    <x v="0"/>
    <n v="1350"/>
  </r>
  <r>
    <x v="0"/>
    <x v="28"/>
    <x v="28"/>
    <x v="8"/>
    <x v="12"/>
    <x v="0"/>
    <n v="700"/>
  </r>
  <r>
    <x v="0"/>
    <x v="28"/>
    <x v="28"/>
    <x v="8"/>
    <x v="4"/>
    <x v="0"/>
    <n v="1000"/>
  </r>
  <r>
    <x v="0"/>
    <x v="28"/>
    <x v="28"/>
    <x v="8"/>
    <x v="7"/>
    <x v="0"/>
    <n v="700"/>
  </r>
  <r>
    <x v="0"/>
    <x v="28"/>
    <x v="28"/>
    <x v="9"/>
    <x v="13"/>
    <x v="0"/>
    <n v="800"/>
  </r>
  <r>
    <x v="0"/>
    <x v="28"/>
    <x v="28"/>
    <x v="9"/>
    <x v="16"/>
    <x v="0"/>
    <n v="1200"/>
  </r>
  <r>
    <x v="0"/>
    <x v="28"/>
    <x v="28"/>
    <x v="10"/>
    <x v="2"/>
    <x v="0"/>
    <n v="5100"/>
  </r>
  <r>
    <x v="0"/>
    <x v="28"/>
    <x v="28"/>
    <x v="10"/>
    <x v="6"/>
    <x v="0"/>
    <n v="700"/>
  </r>
  <r>
    <x v="0"/>
    <x v="28"/>
    <x v="28"/>
    <x v="10"/>
    <x v="9"/>
    <x v="0"/>
    <n v="1400"/>
  </r>
  <r>
    <x v="0"/>
    <x v="28"/>
    <x v="28"/>
    <x v="10"/>
    <x v="17"/>
    <x v="0"/>
    <n v="1000"/>
  </r>
  <r>
    <x v="0"/>
    <x v="28"/>
    <x v="28"/>
    <x v="11"/>
    <x v="9"/>
    <x v="0"/>
    <n v="2500"/>
  </r>
  <r>
    <x v="0"/>
    <x v="28"/>
    <x v="28"/>
    <x v="11"/>
    <x v="18"/>
    <x v="0"/>
    <n v="1150"/>
  </r>
  <r>
    <x v="0"/>
    <x v="28"/>
    <x v="28"/>
    <x v="11"/>
    <x v="10"/>
    <x v="0"/>
    <n v="3345"/>
  </r>
  <r>
    <x v="0"/>
    <x v="28"/>
    <x v="28"/>
    <x v="12"/>
    <x v="0"/>
    <x v="0"/>
    <n v="1400"/>
  </r>
  <r>
    <x v="0"/>
    <x v="28"/>
    <x v="28"/>
    <x v="12"/>
    <x v="6"/>
    <x v="0"/>
    <n v="1700"/>
  </r>
  <r>
    <x v="0"/>
    <x v="28"/>
    <x v="28"/>
    <x v="12"/>
    <x v="8"/>
    <x v="0"/>
    <n v="1400"/>
  </r>
  <r>
    <x v="0"/>
    <x v="28"/>
    <x v="28"/>
    <x v="12"/>
    <x v="19"/>
    <x v="0"/>
    <n v="3200"/>
  </r>
  <r>
    <x v="0"/>
    <x v="28"/>
    <x v="28"/>
    <x v="12"/>
    <x v="20"/>
    <x v="0"/>
    <n v="1200"/>
  </r>
  <r>
    <x v="0"/>
    <x v="28"/>
    <x v="28"/>
    <x v="12"/>
    <x v="17"/>
    <x v="0"/>
    <n v="1400"/>
  </r>
  <r>
    <x v="0"/>
    <x v="28"/>
    <x v="28"/>
    <x v="13"/>
    <x v="19"/>
    <x v="0"/>
    <n v="1200"/>
  </r>
  <r>
    <x v="0"/>
    <x v="28"/>
    <x v="28"/>
    <x v="13"/>
    <x v="14"/>
    <x v="0"/>
    <n v="200"/>
  </r>
  <r>
    <x v="0"/>
    <x v="28"/>
    <x v="28"/>
    <x v="13"/>
    <x v="20"/>
    <x v="0"/>
    <n v="1000"/>
  </r>
  <r>
    <x v="0"/>
    <x v="28"/>
    <x v="28"/>
    <x v="13"/>
    <x v="21"/>
    <x v="0"/>
    <n v="600"/>
  </r>
  <r>
    <x v="0"/>
    <x v="28"/>
    <x v="28"/>
    <x v="14"/>
    <x v="11"/>
    <x v="0"/>
    <n v="600"/>
  </r>
  <r>
    <x v="0"/>
    <x v="28"/>
    <x v="28"/>
    <x v="14"/>
    <x v="18"/>
    <x v="0"/>
    <n v="1000"/>
  </r>
  <r>
    <x v="0"/>
    <x v="28"/>
    <x v="28"/>
    <x v="14"/>
    <x v="21"/>
    <x v="0"/>
    <n v="250"/>
  </r>
  <r>
    <x v="0"/>
    <x v="28"/>
    <x v="28"/>
    <x v="15"/>
    <x v="9"/>
    <x v="0"/>
    <n v="1200"/>
  </r>
  <r>
    <x v="0"/>
    <x v="28"/>
    <x v="28"/>
    <x v="15"/>
    <x v="18"/>
    <x v="0"/>
    <n v="1000"/>
  </r>
  <r>
    <x v="0"/>
    <x v="28"/>
    <x v="28"/>
    <x v="16"/>
    <x v="5"/>
    <x v="0"/>
    <n v="2000"/>
  </r>
  <r>
    <x v="0"/>
    <x v="28"/>
    <x v="28"/>
    <x v="16"/>
    <x v="16"/>
    <x v="0"/>
    <n v="1000"/>
  </r>
  <r>
    <x v="0"/>
    <x v="28"/>
    <x v="28"/>
    <x v="17"/>
    <x v="11"/>
    <x v="0"/>
    <n v="1300"/>
  </r>
  <r>
    <x v="0"/>
    <x v="28"/>
    <x v="28"/>
    <x v="17"/>
    <x v="14"/>
    <x v="0"/>
    <n v="600"/>
  </r>
  <r>
    <x v="0"/>
    <x v="28"/>
    <x v="28"/>
    <x v="17"/>
    <x v="21"/>
    <x v="0"/>
    <n v="3300"/>
  </r>
  <r>
    <x v="0"/>
    <x v="28"/>
    <x v="28"/>
    <x v="18"/>
    <x v="18"/>
    <x v="0"/>
    <n v="1000"/>
  </r>
  <r>
    <x v="0"/>
    <x v="28"/>
    <x v="28"/>
    <x v="18"/>
    <x v="14"/>
    <x v="0"/>
    <n v="300"/>
  </r>
  <r>
    <x v="0"/>
    <x v="28"/>
    <x v="28"/>
    <x v="18"/>
    <x v="15"/>
    <x v="0"/>
    <n v="3300"/>
  </r>
  <r>
    <x v="0"/>
    <x v="28"/>
    <x v="28"/>
    <x v="18"/>
    <x v="10"/>
    <x v="0"/>
    <n v="7300"/>
  </r>
  <r>
    <x v="0"/>
    <x v="28"/>
    <x v="28"/>
    <x v="19"/>
    <x v="6"/>
    <x v="0"/>
    <n v="680"/>
  </r>
  <r>
    <x v="0"/>
    <x v="28"/>
    <x v="28"/>
    <x v="19"/>
    <x v="11"/>
    <x v="0"/>
    <n v="1350"/>
  </r>
  <r>
    <x v="0"/>
    <x v="28"/>
    <x v="28"/>
    <x v="19"/>
    <x v="19"/>
    <x v="0"/>
    <n v="3295"/>
  </r>
  <r>
    <x v="0"/>
    <x v="28"/>
    <x v="28"/>
    <x v="19"/>
    <x v="21"/>
    <x v="0"/>
    <n v="7300"/>
  </r>
  <r>
    <x v="0"/>
    <x v="28"/>
    <x v="28"/>
    <x v="19"/>
    <x v="7"/>
    <x v="0"/>
    <n v="6500"/>
  </r>
  <r>
    <x v="0"/>
    <x v="28"/>
    <x v="28"/>
    <x v="20"/>
    <x v="0"/>
    <x v="0"/>
    <n v="610"/>
  </r>
  <r>
    <x v="0"/>
    <x v="28"/>
    <x v="28"/>
    <x v="20"/>
    <x v="3"/>
    <x v="0"/>
    <n v="1300"/>
  </r>
  <r>
    <x v="0"/>
    <x v="28"/>
    <x v="28"/>
    <x v="20"/>
    <x v="16"/>
    <x v="0"/>
    <n v="700"/>
  </r>
  <r>
    <x v="0"/>
    <x v="28"/>
    <x v="28"/>
    <x v="20"/>
    <x v="10"/>
    <x v="0"/>
    <n v="3200"/>
  </r>
  <r>
    <x v="0"/>
    <x v="28"/>
    <x v="28"/>
    <x v="21"/>
    <x v="6"/>
    <x v="0"/>
    <n v="1400"/>
  </r>
  <r>
    <x v="0"/>
    <x v="28"/>
    <x v="28"/>
    <x v="21"/>
    <x v="8"/>
    <x v="0"/>
    <n v="1000"/>
  </r>
  <r>
    <x v="0"/>
    <x v="28"/>
    <x v="28"/>
    <x v="21"/>
    <x v="9"/>
    <x v="0"/>
    <n v="1400"/>
  </r>
  <r>
    <x v="0"/>
    <x v="29"/>
    <x v="29"/>
    <x v="0"/>
    <x v="0"/>
    <x v="0"/>
    <n v="3010"/>
  </r>
  <r>
    <x v="0"/>
    <x v="29"/>
    <x v="29"/>
    <x v="0"/>
    <x v="1"/>
    <x v="0"/>
    <n v="3010"/>
  </r>
  <r>
    <x v="0"/>
    <x v="29"/>
    <x v="29"/>
    <x v="0"/>
    <x v="2"/>
    <x v="0"/>
    <n v="6020"/>
  </r>
  <r>
    <x v="0"/>
    <x v="29"/>
    <x v="29"/>
    <x v="0"/>
    <x v="3"/>
    <x v="0"/>
    <n v="600"/>
  </r>
  <r>
    <x v="0"/>
    <x v="29"/>
    <x v="29"/>
    <x v="0"/>
    <x v="4"/>
    <x v="0"/>
    <n v="2000"/>
  </r>
  <r>
    <x v="0"/>
    <x v="29"/>
    <x v="29"/>
    <x v="1"/>
    <x v="5"/>
    <x v="0"/>
    <n v="3010"/>
  </r>
  <r>
    <x v="0"/>
    <x v="29"/>
    <x v="29"/>
    <x v="1"/>
    <x v="2"/>
    <x v="0"/>
    <n v="8634"/>
  </r>
  <r>
    <x v="0"/>
    <x v="29"/>
    <x v="29"/>
    <x v="1"/>
    <x v="6"/>
    <x v="0"/>
    <n v="3000"/>
  </r>
  <r>
    <x v="0"/>
    <x v="29"/>
    <x v="29"/>
    <x v="1"/>
    <x v="9"/>
    <x v="0"/>
    <n v="1400"/>
  </r>
  <r>
    <x v="0"/>
    <x v="29"/>
    <x v="29"/>
    <x v="1"/>
    <x v="7"/>
    <x v="0"/>
    <n v="600"/>
  </r>
  <r>
    <x v="0"/>
    <x v="29"/>
    <x v="29"/>
    <x v="2"/>
    <x v="5"/>
    <x v="0"/>
    <n v="3010"/>
  </r>
  <r>
    <x v="0"/>
    <x v="29"/>
    <x v="29"/>
    <x v="2"/>
    <x v="2"/>
    <x v="0"/>
    <n v="14416"/>
  </r>
  <r>
    <x v="0"/>
    <x v="29"/>
    <x v="29"/>
    <x v="3"/>
    <x v="5"/>
    <x v="0"/>
    <n v="6020"/>
  </r>
  <r>
    <x v="0"/>
    <x v="29"/>
    <x v="29"/>
    <x v="3"/>
    <x v="0"/>
    <x v="0"/>
    <n v="8634"/>
  </r>
  <r>
    <x v="0"/>
    <x v="29"/>
    <x v="29"/>
    <x v="3"/>
    <x v="1"/>
    <x v="0"/>
    <n v="14416"/>
  </r>
  <r>
    <x v="0"/>
    <x v="29"/>
    <x v="29"/>
    <x v="3"/>
    <x v="3"/>
    <x v="0"/>
    <n v="400"/>
  </r>
  <r>
    <x v="0"/>
    <x v="29"/>
    <x v="29"/>
    <x v="3"/>
    <x v="8"/>
    <x v="0"/>
    <n v="5900"/>
  </r>
  <r>
    <x v="0"/>
    <x v="29"/>
    <x v="29"/>
    <x v="4"/>
    <x v="0"/>
    <x v="0"/>
    <n v="3000"/>
  </r>
  <r>
    <x v="0"/>
    <x v="29"/>
    <x v="29"/>
    <x v="4"/>
    <x v="3"/>
    <x v="0"/>
    <n v="600"/>
  </r>
  <r>
    <x v="0"/>
    <x v="29"/>
    <x v="29"/>
    <x v="4"/>
    <x v="8"/>
    <x v="0"/>
    <n v="700"/>
  </r>
  <r>
    <x v="0"/>
    <x v="29"/>
    <x v="29"/>
    <x v="4"/>
    <x v="9"/>
    <x v="0"/>
    <n v="1700"/>
  </r>
  <r>
    <x v="0"/>
    <x v="29"/>
    <x v="29"/>
    <x v="4"/>
    <x v="10"/>
    <x v="0"/>
    <n v="740"/>
  </r>
  <r>
    <x v="0"/>
    <x v="29"/>
    <x v="29"/>
    <x v="4"/>
    <x v="17"/>
    <x v="0"/>
    <n v="1400"/>
  </r>
  <r>
    <x v="0"/>
    <x v="29"/>
    <x v="29"/>
    <x v="5"/>
    <x v="5"/>
    <x v="0"/>
    <n v="585"/>
  </r>
  <r>
    <x v="0"/>
    <x v="29"/>
    <x v="29"/>
    <x v="5"/>
    <x v="2"/>
    <x v="0"/>
    <n v="400"/>
  </r>
  <r>
    <x v="0"/>
    <x v="29"/>
    <x v="29"/>
    <x v="5"/>
    <x v="6"/>
    <x v="0"/>
    <n v="600"/>
  </r>
  <r>
    <x v="0"/>
    <x v="29"/>
    <x v="29"/>
    <x v="5"/>
    <x v="7"/>
    <x v="0"/>
    <n v="1700"/>
  </r>
  <r>
    <x v="0"/>
    <x v="29"/>
    <x v="29"/>
    <x v="6"/>
    <x v="11"/>
    <x v="0"/>
    <n v="1000"/>
  </r>
  <r>
    <x v="0"/>
    <x v="29"/>
    <x v="29"/>
    <x v="6"/>
    <x v="12"/>
    <x v="0"/>
    <n v="800"/>
  </r>
  <r>
    <x v="0"/>
    <x v="29"/>
    <x v="29"/>
    <x v="7"/>
    <x v="13"/>
    <x v="0"/>
    <n v="1000"/>
  </r>
  <r>
    <x v="0"/>
    <x v="29"/>
    <x v="29"/>
    <x v="7"/>
    <x v="14"/>
    <x v="0"/>
    <n v="700"/>
  </r>
  <r>
    <x v="0"/>
    <x v="29"/>
    <x v="29"/>
    <x v="7"/>
    <x v="15"/>
    <x v="0"/>
    <n v="1300"/>
  </r>
  <r>
    <x v="0"/>
    <x v="29"/>
    <x v="29"/>
    <x v="7"/>
    <x v="10"/>
    <x v="0"/>
    <n v="1350"/>
  </r>
  <r>
    <x v="0"/>
    <x v="29"/>
    <x v="29"/>
    <x v="8"/>
    <x v="12"/>
    <x v="0"/>
    <n v="700"/>
  </r>
  <r>
    <x v="0"/>
    <x v="29"/>
    <x v="29"/>
    <x v="8"/>
    <x v="4"/>
    <x v="0"/>
    <n v="1000"/>
  </r>
  <r>
    <x v="0"/>
    <x v="29"/>
    <x v="29"/>
    <x v="8"/>
    <x v="7"/>
    <x v="0"/>
    <n v="700"/>
  </r>
  <r>
    <x v="0"/>
    <x v="29"/>
    <x v="29"/>
    <x v="9"/>
    <x v="13"/>
    <x v="0"/>
    <n v="800"/>
  </r>
  <r>
    <x v="0"/>
    <x v="29"/>
    <x v="29"/>
    <x v="9"/>
    <x v="16"/>
    <x v="0"/>
    <n v="1200"/>
  </r>
  <r>
    <x v="0"/>
    <x v="29"/>
    <x v="29"/>
    <x v="10"/>
    <x v="2"/>
    <x v="0"/>
    <n v="5100"/>
  </r>
  <r>
    <x v="0"/>
    <x v="29"/>
    <x v="29"/>
    <x v="10"/>
    <x v="6"/>
    <x v="0"/>
    <n v="700"/>
  </r>
  <r>
    <x v="0"/>
    <x v="29"/>
    <x v="29"/>
    <x v="10"/>
    <x v="9"/>
    <x v="0"/>
    <n v="1400"/>
  </r>
  <r>
    <x v="0"/>
    <x v="29"/>
    <x v="29"/>
    <x v="10"/>
    <x v="17"/>
    <x v="0"/>
    <n v="1000"/>
  </r>
  <r>
    <x v="0"/>
    <x v="29"/>
    <x v="29"/>
    <x v="11"/>
    <x v="9"/>
    <x v="0"/>
    <n v="2500"/>
  </r>
  <r>
    <x v="0"/>
    <x v="29"/>
    <x v="29"/>
    <x v="11"/>
    <x v="18"/>
    <x v="0"/>
    <n v="1150"/>
  </r>
  <r>
    <x v="0"/>
    <x v="29"/>
    <x v="29"/>
    <x v="11"/>
    <x v="10"/>
    <x v="0"/>
    <n v="3345"/>
  </r>
  <r>
    <x v="0"/>
    <x v="29"/>
    <x v="29"/>
    <x v="12"/>
    <x v="0"/>
    <x v="0"/>
    <n v="1400"/>
  </r>
  <r>
    <x v="0"/>
    <x v="29"/>
    <x v="29"/>
    <x v="12"/>
    <x v="6"/>
    <x v="0"/>
    <n v="1700"/>
  </r>
  <r>
    <x v="0"/>
    <x v="29"/>
    <x v="29"/>
    <x v="12"/>
    <x v="8"/>
    <x v="0"/>
    <n v="1400"/>
  </r>
  <r>
    <x v="0"/>
    <x v="29"/>
    <x v="29"/>
    <x v="12"/>
    <x v="19"/>
    <x v="0"/>
    <n v="3200"/>
  </r>
  <r>
    <x v="0"/>
    <x v="29"/>
    <x v="29"/>
    <x v="12"/>
    <x v="20"/>
    <x v="0"/>
    <n v="1200"/>
  </r>
  <r>
    <x v="0"/>
    <x v="29"/>
    <x v="29"/>
    <x v="12"/>
    <x v="17"/>
    <x v="0"/>
    <n v="1400"/>
  </r>
  <r>
    <x v="0"/>
    <x v="29"/>
    <x v="29"/>
    <x v="13"/>
    <x v="19"/>
    <x v="0"/>
    <n v="1200"/>
  </r>
  <r>
    <x v="0"/>
    <x v="29"/>
    <x v="29"/>
    <x v="13"/>
    <x v="14"/>
    <x v="0"/>
    <n v="200"/>
  </r>
  <r>
    <x v="0"/>
    <x v="29"/>
    <x v="29"/>
    <x v="13"/>
    <x v="20"/>
    <x v="0"/>
    <n v="1000"/>
  </r>
  <r>
    <x v="0"/>
    <x v="29"/>
    <x v="29"/>
    <x v="13"/>
    <x v="21"/>
    <x v="0"/>
    <n v="600"/>
  </r>
  <r>
    <x v="0"/>
    <x v="29"/>
    <x v="29"/>
    <x v="14"/>
    <x v="11"/>
    <x v="0"/>
    <n v="600"/>
  </r>
  <r>
    <x v="0"/>
    <x v="29"/>
    <x v="29"/>
    <x v="14"/>
    <x v="18"/>
    <x v="0"/>
    <n v="1000"/>
  </r>
  <r>
    <x v="0"/>
    <x v="29"/>
    <x v="29"/>
    <x v="14"/>
    <x v="21"/>
    <x v="0"/>
    <n v="250"/>
  </r>
  <r>
    <x v="0"/>
    <x v="29"/>
    <x v="29"/>
    <x v="15"/>
    <x v="9"/>
    <x v="0"/>
    <n v="1200"/>
  </r>
  <r>
    <x v="0"/>
    <x v="29"/>
    <x v="29"/>
    <x v="15"/>
    <x v="18"/>
    <x v="0"/>
    <n v="1000"/>
  </r>
  <r>
    <x v="0"/>
    <x v="29"/>
    <x v="29"/>
    <x v="16"/>
    <x v="5"/>
    <x v="0"/>
    <n v="2000"/>
  </r>
  <r>
    <x v="0"/>
    <x v="29"/>
    <x v="29"/>
    <x v="16"/>
    <x v="16"/>
    <x v="0"/>
    <n v="1000"/>
  </r>
  <r>
    <x v="0"/>
    <x v="29"/>
    <x v="29"/>
    <x v="17"/>
    <x v="11"/>
    <x v="0"/>
    <n v="1300"/>
  </r>
  <r>
    <x v="0"/>
    <x v="29"/>
    <x v="29"/>
    <x v="17"/>
    <x v="14"/>
    <x v="0"/>
    <n v="600"/>
  </r>
  <r>
    <x v="0"/>
    <x v="29"/>
    <x v="29"/>
    <x v="17"/>
    <x v="21"/>
    <x v="0"/>
    <n v="3300"/>
  </r>
  <r>
    <x v="0"/>
    <x v="29"/>
    <x v="29"/>
    <x v="18"/>
    <x v="18"/>
    <x v="0"/>
    <n v="1000"/>
  </r>
  <r>
    <x v="0"/>
    <x v="29"/>
    <x v="29"/>
    <x v="18"/>
    <x v="14"/>
    <x v="0"/>
    <n v="300"/>
  </r>
  <r>
    <x v="0"/>
    <x v="29"/>
    <x v="29"/>
    <x v="18"/>
    <x v="15"/>
    <x v="0"/>
    <n v="3300"/>
  </r>
  <r>
    <x v="0"/>
    <x v="29"/>
    <x v="29"/>
    <x v="18"/>
    <x v="10"/>
    <x v="0"/>
    <n v="7300"/>
  </r>
  <r>
    <x v="0"/>
    <x v="29"/>
    <x v="29"/>
    <x v="19"/>
    <x v="6"/>
    <x v="0"/>
    <n v="680"/>
  </r>
  <r>
    <x v="0"/>
    <x v="29"/>
    <x v="29"/>
    <x v="19"/>
    <x v="11"/>
    <x v="0"/>
    <n v="1350"/>
  </r>
  <r>
    <x v="0"/>
    <x v="29"/>
    <x v="29"/>
    <x v="19"/>
    <x v="19"/>
    <x v="0"/>
    <n v="3295"/>
  </r>
  <r>
    <x v="0"/>
    <x v="29"/>
    <x v="29"/>
    <x v="19"/>
    <x v="21"/>
    <x v="0"/>
    <n v="7300"/>
  </r>
  <r>
    <x v="0"/>
    <x v="29"/>
    <x v="29"/>
    <x v="19"/>
    <x v="7"/>
    <x v="0"/>
    <n v="6500"/>
  </r>
  <r>
    <x v="0"/>
    <x v="29"/>
    <x v="29"/>
    <x v="20"/>
    <x v="0"/>
    <x v="0"/>
    <n v="610"/>
  </r>
  <r>
    <x v="0"/>
    <x v="29"/>
    <x v="29"/>
    <x v="20"/>
    <x v="3"/>
    <x v="0"/>
    <n v="1300"/>
  </r>
  <r>
    <x v="0"/>
    <x v="29"/>
    <x v="29"/>
    <x v="20"/>
    <x v="16"/>
    <x v="0"/>
    <n v="700"/>
  </r>
  <r>
    <x v="0"/>
    <x v="29"/>
    <x v="29"/>
    <x v="20"/>
    <x v="10"/>
    <x v="0"/>
    <n v="3200"/>
  </r>
  <r>
    <x v="0"/>
    <x v="29"/>
    <x v="29"/>
    <x v="21"/>
    <x v="6"/>
    <x v="0"/>
    <n v="1400"/>
  </r>
  <r>
    <x v="0"/>
    <x v="29"/>
    <x v="29"/>
    <x v="21"/>
    <x v="8"/>
    <x v="0"/>
    <n v="1000"/>
  </r>
  <r>
    <x v="0"/>
    <x v="29"/>
    <x v="29"/>
    <x v="21"/>
    <x v="9"/>
    <x v="0"/>
    <n v="1400"/>
  </r>
  <r>
    <x v="0"/>
    <x v="30"/>
    <x v="30"/>
    <x v="0"/>
    <x v="0"/>
    <x v="0"/>
    <n v="3010"/>
  </r>
  <r>
    <x v="0"/>
    <x v="30"/>
    <x v="30"/>
    <x v="0"/>
    <x v="1"/>
    <x v="0"/>
    <n v="3010"/>
  </r>
  <r>
    <x v="0"/>
    <x v="30"/>
    <x v="30"/>
    <x v="0"/>
    <x v="2"/>
    <x v="0"/>
    <n v="6020"/>
  </r>
  <r>
    <x v="0"/>
    <x v="30"/>
    <x v="30"/>
    <x v="0"/>
    <x v="3"/>
    <x v="0"/>
    <n v="600"/>
  </r>
  <r>
    <x v="0"/>
    <x v="30"/>
    <x v="30"/>
    <x v="0"/>
    <x v="4"/>
    <x v="0"/>
    <n v="2000"/>
  </r>
  <r>
    <x v="0"/>
    <x v="30"/>
    <x v="30"/>
    <x v="1"/>
    <x v="5"/>
    <x v="0"/>
    <n v="3010"/>
  </r>
  <r>
    <x v="0"/>
    <x v="30"/>
    <x v="30"/>
    <x v="1"/>
    <x v="2"/>
    <x v="0"/>
    <n v="8634"/>
  </r>
  <r>
    <x v="0"/>
    <x v="30"/>
    <x v="30"/>
    <x v="1"/>
    <x v="6"/>
    <x v="0"/>
    <n v="3000"/>
  </r>
  <r>
    <x v="0"/>
    <x v="30"/>
    <x v="30"/>
    <x v="1"/>
    <x v="9"/>
    <x v="0"/>
    <n v="1400"/>
  </r>
  <r>
    <x v="0"/>
    <x v="30"/>
    <x v="30"/>
    <x v="1"/>
    <x v="7"/>
    <x v="0"/>
    <n v="600"/>
  </r>
  <r>
    <x v="0"/>
    <x v="30"/>
    <x v="30"/>
    <x v="2"/>
    <x v="5"/>
    <x v="0"/>
    <n v="3010"/>
  </r>
  <r>
    <x v="0"/>
    <x v="30"/>
    <x v="30"/>
    <x v="2"/>
    <x v="2"/>
    <x v="0"/>
    <n v="14416"/>
  </r>
  <r>
    <x v="0"/>
    <x v="30"/>
    <x v="30"/>
    <x v="3"/>
    <x v="5"/>
    <x v="0"/>
    <n v="6020"/>
  </r>
  <r>
    <x v="0"/>
    <x v="30"/>
    <x v="30"/>
    <x v="3"/>
    <x v="0"/>
    <x v="0"/>
    <n v="8634"/>
  </r>
  <r>
    <x v="0"/>
    <x v="30"/>
    <x v="30"/>
    <x v="3"/>
    <x v="1"/>
    <x v="0"/>
    <n v="14416"/>
  </r>
  <r>
    <x v="0"/>
    <x v="30"/>
    <x v="30"/>
    <x v="3"/>
    <x v="3"/>
    <x v="0"/>
    <n v="400"/>
  </r>
  <r>
    <x v="0"/>
    <x v="30"/>
    <x v="30"/>
    <x v="3"/>
    <x v="8"/>
    <x v="0"/>
    <n v="5900"/>
  </r>
  <r>
    <x v="0"/>
    <x v="30"/>
    <x v="30"/>
    <x v="4"/>
    <x v="0"/>
    <x v="0"/>
    <n v="3000"/>
  </r>
  <r>
    <x v="0"/>
    <x v="30"/>
    <x v="30"/>
    <x v="4"/>
    <x v="3"/>
    <x v="0"/>
    <n v="600"/>
  </r>
  <r>
    <x v="0"/>
    <x v="30"/>
    <x v="30"/>
    <x v="4"/>
    <x v="8"/>
    <x v="0"/>
    <n v="700"/>
  </r>
  <r>
    <x v="0"/>
    <x v="30"/>
    <x v="30"/>
    <x v="4"/>
    <x v="9"/>
    <x v="0"/>
    <n v="1700"/>
  </r>
  <r>
    <x v="0"/>
    <x v="30"/>
    <x v="30"/>
    <x v="4"/>
    <x v="10"/>
    <x v="0"/>
    <n v="740"/>
  </r>
  <r>
    <x v="0"/>
    <x v="30"/>
    <x v="30"/>
    <x v="4"/>
    <x v="17"/>
    <x v="0"/>
    <n v="1400"/>
  </r>
  <r>
    <x v="0"/>
    <x v="30"/>
    <x v="30"/>
    <x v="5"/>
    <x v="5"/>
    <x v="0"/>
    <n v="585"/>
  </r>
  <r>
    <x v="0"/>
    <x v="30"/>
    <x v="30"/>
    <x v="5"/>
    <x v="2"/>
    <x v="0"/>
    <n v="400"/>
  </r>
  <r>
    <x v="0"/>
    <x v="30"/>
    <x v="30"/>
    <x v="5"/>
    <x v="6"/>
    <x v="0"/>
    <n v="600"/>
  </r>
  <r>
    <x v="0"/>
    <x v="30"/>
    <x v="30"/>
    <x v="5"/>
    <x v="7"/>
    <x v="0"/>
    <n v="1700"/>
  </r>
  <r>
    <x v="0"/>
    <x v="30"/>
    <x v="30"/>
    <x v="6"/>
    <x v="11"/>
    <x v="0"/>
    <n v="1000"/>
  </r>
  <r>
    <x v="0"/>
    <x v="30"/>
    <x v="30"/>
    <x v="6"/>
    <x v="12"/>
    <x v="0"/>
    <n v="800"/>
  </r>
  <r>
    <x v="0"/>
    <x v="30"/>
    <x v="30"/>
    <x v="7"/>
    <x v="13"/>
    <x v="0"/>
    <n v="1000"/>
  </r>
  <r>
    <x v="0"/>
    <x v="30"/>
    <x v="30"/>
    <x v="7"/>
    <x v="14"/>
    <x v="0"/>
    <n v="700"/>
  </r>
  <r>
    <x v="0"/>
    <x v="30"/>
    <x v="30"/>
    <x v="7"/>
    <x v="15"/>
    <x v="0"/>
    <n v="1300"/>
  </r>
  <r>
    <x v="0"/>
    <x v="30"/>
    <x v="30"/>
    <x v="7"/>
    <x v="10"/>
    <x v="0"/>
    <n v="1350"/>
  </r>
  <r>
    <x v="0"/>
    <x v="30"/>
    <x v="30"/>
    <x v="8"/>
    <x v="12"/>
    <x v="0"/>
    <n v="700"/>
  </r>
  <r>
    <x v="0"/>
    <x v="30"/>
    <x v="30"/>
    <x v="8"/>
    <x v="4"/>
    <x v="0"/>
    <n v="1000"/>
  </r>
  <r>
    <x v="0"/>
    <x v="30"/>
    <x v="30"/>
    <x v="8"/>
    <x v="7"/>
    <x v="0"/>
    <n v="700"/>
  </r>
  <r>
    <x v="0"/>
    <x v="30"/>
    <x v="30"/>
    <x v="9"/>
    <x v="13"/>
    <x v="0"/>
    <n v="800"/>
  </r>
  <r>
    <x v="0"/>
    <x v="30"/>
    <x v="30"/>
    <x v="9"/>
    <x v="16"/>
    <x v="0"/>
    <n v="1200"/>
  </r>
  <r>
    <x v="0"/>
    <x v="30"/>
    <x v="30"/>
    <x v="10"/>
    <x v="2"/>
    <x v="0"/>
    <n v="5100"/>
  </r>
  <r>
    <x v="0"/>
    <x v="30"/>
    <x v="30"/>
    <x v="10"/>
    <x v="6"/>
    <x v="0"/>
    <n v="700"/>
  </r>
  <r>
    <x v="0"/>
    <x v="30"/>
    <x v="30"/>
    <x v="10"/>
    <x v="9"/>
    <x v="0"/>
    <n v="1400"/>
  </r>
  <r>
    <x v="0"/>
    <x v="30"/>
    <x v="30"/>
    <x v="10"/>
    <x v="17"/>
    <x v="0"/>
    <n v="1000"/>
  </r>
  <r>
    <x v="0"/>
    <x v="30"/>
    <x v="30"/>
    <x v="11"/>
    <x v="9"/>
    <x v="0"/>
    <n v="2500"/>
  </r>
  <r>
    <x v="0"/>
    <x v="30"/>
    <x v="30"/>
    <x v="11"/>
    <x v="18"/>
    <x v="0"/>
    <n v="1150"/>
  </r>
  <r>
    <x v="0"/>
    <x v="30"/>
    <x v="30"/>
    <x v="11"/>
    <x v="10"/>
    <x v="0"/>
    <n v="3345"/>
  </r>
  <r>
    <x v="0"/>
    <x v="30"/>
    <x v="30"/>
    <x v="12"/>
    <x v="0"/>
    <x v="0"/>
    <n v="1400"/>
  </r>
  <r>
    <x v="0"/>
    <x v="30"/>
    <x v="30"/>
    <x v="12"/>
    <x v="6"/>
    <x v="0"/>
    <n v="1700"/>
  </r>
  <r>
    <x v="0"/>
    <x v="30"/>
    <x v="30"/>
    <x v="12"/>
    <x v="8"/>
    <x v="0"/>
    <n v="1400"/>
  </r>
  <r>
    <x v="0"/>
    <x v="30"/>
    <x v="30"/>
    <x v="12"/>
    <x v="19"/>
    <x v="0"/>
    <n v="3200"/>
  </r>
  <r>
    <x v="0"/>
    <x v="30"/>
    <x v="30"/>
    <x v="12"/>
    <x v="20"/>
    <x v="0"/>
    <n v="1200"/>
  </r>
  <r>
    <x v="0"/>
    <x v="30"/>
    <x v="30"/>
    <x v="12"/>
    <x v="17"/>
    <x v="0"/>
    <n v="1400"/>
  </r>
  <r>
    <x v="0"/>
    <x v="30"/>
    <x v="30"/>
    <x v="13"/>
    <x v="19"/>
    <x v="0"/>
    <n v="1200"/>
  </r>
  <r>
    <x v="0"/>
    <x v="30"/>
    <x v="30"/>
    <x v="13"/>
    <x v="14"/>
    <x v="0"/>
    <n v="200"/>
  </r>
  <r>
    <x v="0"/>
    <x v="30"/>
    <x v="30"/>
    <x v="13"/>
    <x v="20"/>
    <x v="0"/>
    <n v="1000"/>
  </r>
  <r>
    <x v="0"/>
    <x v="30"/>
    <x v="30"/>
    <x v="13"/>
    <x v="21"/>
    <x v="0"/>
    <n v="600"/>
  </r>
  <r>
    <x v="0"/>
    <x v="30"/>
    <x v="30"/>
    <x v="14"/>
    <x v="11"/>
    <x v="0"/>
    <n v="600"/>
  </r>
  <r>
    <x v="0"/>
    <x v="30"/>
    <x v="30"/>
    <x v="14"/>
    <x v="18"/>
    <x v="0"/>
    <n v="1000"/>
  </r>
  <r>
    <x v="0"/>
    <x v="30"/>
    <x v="30"/>
    <x v="14"/>
    <x v="21"/>
    <x v="0"/>
    <n v="250"/>
  </r>
  <r>
    <x v="0"/>
    <x v="30"/>
    <x v="30"/>
    <x v="15"/>
    <x v="9"/>
    <x v="0"/>
    <n v="1200"/>
  </r>
  <r>
    <x v="0"/>
    <x v="30"/>
    <x v="30"/>
    <x v="15"/>
    <x v="18"/>
    <x v="0"/>
    <n v="1000"/>
  </r>
  <r>
    <x v="0"/>
    <x v="30"/>
    <x v="30"/>
    <x v="16"/>
    <x v="5"/>
    <x v="0"/>
    <n v="2000"/>
  </r>
  <r>
    <x v="0"/>
    <x v="30"/>
    <x v="30"/>
    <x v="16"/>
    <x v="16"/>
    <x v="0"/>
    <n v="1000"/>
  </r>
  <r>
    <x v="0"/>
    <x v="30"/>
    <x v="30"/>
    <x v="17"/>
    <x v="11"/>
    <x v="0"/>
    <n v="1300"/>
  </r>
  <r>
    <x v="0"/>
    <x v="30"/>
    <x v="30"/>
    <x v="17"/>
    <x v="14"/>
    <x v="0"/>
    <n v="600"/>
  </r>
  <r>
    <x v="0"/>
    <x v="30"/>
    <x v="30"/>
    <x v="17"/>
    <x v="21"/>
    <x v="0"/>
    <n v="3300"/>
  </r>
  <r>
    <x v="0"/>
    <x v="30"/>
    <x v="30"/>
    <x v="18"/>
    <x v="18"/>
    <x v="0"/>
    <n v="1000"/>
  </r>
  <r>
    <x v="0"/>
    <x v="30"/>
    <x v="30"/>
    <x v="18"/>
    <x v="14"/>
    <x v="0"/>
    <n v="300"/>
  </r>
  <r>
    <x v="0"/>
    <x v="30"/>
    <x v="30"/>
    <x v="18"/>
    <x v="15"/>
    <x v="0"/>
    <n v="3300"/>
  </r>
  <r>
    <x v="0"/>
    <x v="30"/>
    <x v="30"/>
    <x v="18"/>
    <x v="10"/>
    <x v="0"/>
    <n v="7300"/>
  </r>
  <r>
    <x v="0"/>
    <x v="30"/>
    <x v="30"/>
    <x v="19"/>
    <x v="6"/>
    <x v="0"/>
    <n v="680"/>
  </r>
  <r>
    <x v="0"/>
    <x v="30"/>
    <x v="30"/>
    <x v="19"/>
    <x v="11"/>
    <x v="0"/>
    <n v="1350"/>
  </r>
  <r>
    <x v="0"/>
    <x v="30"/>
    <x v="30"/>
    <x v="19"/>
    <x v="19"/>
    <x v="0"/>
    <n v="3295"/>
  </r>
  <r>
    <x v="0"/>
    <x v="30"/>
    <x v="30"/>
    <x v="19"/>
    <x v="21"/>
    <x v="0"/>
    <n v="7300"/>
  </r>
  <r>
    <x v="0"/>
    <x v="30"/>
    <x v="30"/>
    <x v="19"/>
    <x v="7"/>
    <x v="0"/>
    <n v="6500"/>
  </r>
  <r>
    <x v="0"/>
    <x v="30"/>
    <x v="30"/>
    <x v="20"/>
    <x v="0"/>
    <x v="0"/>
    <n v="610"/>
  </r>
  <r>
    <x v="0"/>
    <x v="30"/>
    <x v="30"/>
    <x v="20"/>
    <x v="3"/>
    <x v="0"/>
    <n v="1300"/>
  </r>
  <r>
    <x v="0"/>
    <x v="30"/>
    <x v="30"/>
    <x v="20"/>
    <x v="16"/>
    <x v="0"/>
    <n v="700"/>
  </r>
  <r>
    <x v="0"/>
    <x v="30"/>
    <x v="30"/>
    <x v="20"/>
    <x v="10"/>
    <x v="0"/>
    <n v="3200"/>
  </r>
  <r>
    <x v="0"/>
    <x v="30"/>
    <x v="30"/>
    <x v="21"/>
    <x v="6"/>
    <x v="0"/>
    <n v="1400"/>
  </r>
  <r>
    <x v="0"/>
    <x v="30"/>
    <x v="30"/>
    <x v="21"/>
    <x v="8"/>
    <x v="0"/>
    <n v="1000"/>
  </r>
  <r>
    <x v="0"/>
    <x v="30"/>
    <x v="30"/>
    <x v="21"/>
    <x v="9"/>
    <x v="0"/>
    <n v="1400"/>
  </r>
  <r>
    <x v="0"/>
    <x v="31"/>
    <x v="31"/>
    <x v="0"/>
    <x v="0"/>
    <x v="0"/>
    <n v="3010"/>
  </r>
  <r>
    <x v="0"/>
    <x v="31"/>
    <x v="31"/>
    <x v="0"/>
    <x v="1"/>
    <x v="0"/>
    <n v="3010"/>
  </r>
  <r>
    <x v="0"/>
    <x v="31"/>
    <x v="31"/>
    <x v="0"/>
    <x v="2"/>
    <x v="0"/>
    <n v="6020"/>
  </r>
  <r>
    <x v="0"/>
    <x v="31"/>
    <x v="31"/>
    <x v="0"/>
    <x v="3"/>
    <x v="0"/>
    <n v="600"/>
  </r>
  <r>
    <x v="0"/>
    <x v="31"/>
    <x v="31"/>
    <x v="0"/>
    <x v="4"/>
    <x v="0"/>
    <n v="2000"/>
  </r>
  <r>
    <x v="0"/>
    <x v="31"/>
    <x v="31"/>
    <x v="1"/>
    <x v="5"/>
    <x v="0"/>
    <n v="3010"/>
  </r>
  <r>
    <x v="0"/>
    <x v="31"/>
    <x v="31"/>
    <x v="1"/>
    <x v="2"/>
    <x v="0"/>
    <n v="8634"/>
  </r>
  <r>
    <x v="0"/>
    <x v="31"/>
    <x v="31"/>
    <x v="1"/>
    <x v="6"/>
    <x v="0"/>
    <n v="3000"/>
  </r>
  <r>
    <x v="0"/>
    <x v="31"/>
    <x v="31"/>
    <x v="1"/>
    <x v="9"/>
    <x v="0"/>
    <n v="1400"/>
  </r>
  <r>
    <x v="0"/>
    <x v="31"/>
    <x v="31"/>
    <x v="1"/>
    <x v="7"/>
    <x v="0"/>
    <n v="600"/>
  </r>
  <r>
    <x v="0"/>
    <x v="31"/>
    <x v="31"/>
    <x v="2"/>
    <x v="5"/>
    <x v="0"/>
    <n v="3010"/>
  </r>
  <r>
    <x v="0"/>
    <x v="31"/>
    <x v="31"/>
    <x v="2"/>
    <x v="2"/>
    <x v="0"/>
    <n v="14416"/>
  </r>
  <r>
    <x v="0"/>
    <x v="31"/>
    <x v="31"/>
    <x v="3"/>
    <x v="5"/>
    <x v="0"/>
    <n v="6020"/>
  </r>
  <r>
    <x v="0"/>
    <x v="31"/>
    <x v="31"/>
    <x v="3"/>
    <x v="0"/>
    <x v="0"/>
    <n v="8634"/>
  </r>
  <r>
    <x v="0"/>
    <x v="31"/>
    <x v="31"/>
    <x v="3"/>
    <x v="1"/>
    <x v="0"/>
    <n v="14416"/>
  </r>
  <r>
    <x v="0"/>
    <x v="31"/>
    <x v="31"/>
    <x v="3"/>
    <x v="3"/>
    <x v="0"/>
    <n v="400"/>
  </r>
  <r>
    <x v="0"/>
    <x v="31"/>
    <x v="31"/>
    <x v="3"/>
    <x v="8"/>
    <x v="0"/>
    <n v="5900"/>
  </r>
  <r>
    <x v="0"/>
    <x v="31"/>
    <x v="31"/>
    <x v="4"/>
    <x v="0"/>
    <x v="0"/>
    <n v="3000"/>
  </r>
  <r>
    <x v="0"/>
    <x v="31"/>
    <x v="31"/>
    <x v="4"/>
    <x v="3"/>
    <x v="0"/>
    <n v="600"/>
  </r>
  <r>
    <x v="0"/>
    <x v="31"/>
    <x v="31"/>
    <x v="4"/>
    <x v="8"/>
    <x v="0"/>
    <n v="700"/>
  </r>
  <r>
    <x v="0"/>
    <x v="31"/>
    <x v="31"/>
    <x v="4"/>
    <x v="9"/>
    <x v="0"/>
    <n v="1700"/>
  </r>
  <r>
    <x v="0"/>
    <x v="31"/>
    <x v="31"/>
    <x v="4"/>
    <x v="10"/>
    <x v="0"/>
    <n v="740"/>
  </r>
  <r>
    <x v="0"/>
    <x v="31"/>
    <x v="31"/>
    <x v="4"/>
    <x v="17"/>
    <x v="0"/>
    <n v="1400"/>
  </r>
  <r>
    <x v="0"/>
    <x v="31"/>
    <x v="31"/>
    <x v="5"/>
    <x v="5"/>
    <x v="0"/>
    <n v="585"/>
  </r>
  <r>
    <x v="0"/>
    <x v="31"/>
    <x v="31"/>
    <x v="5"/>
    <x v="2"/>
    <x v="0"/>
    <n v="400"/>
  </r>
  <r>
    <x v="0"/>
    <x v="31"/>
    <x v="31"/>
    <x v="5"/>
    <x v="6"/>
    <x v="0"/>
    <n v="600"/>
  </r>
  <r>
    <x v="0"/>
    <x v="31"/>
    <x v="31"/>
    <x v="5"/>
    <x v="7"/>
    <x v="0"/>
    <n v="1700"/>
  </r>
  <r>
    <x v="0"/>
    <x v="31"/>
    <x v="31"/>
    <x v="6"/>
    <x v="11"/>
    <x v="0"/>
    <n v="1000"/>
  </r>
  <r>
    <x v="0"/>
    <x v="31"/>
    <x v="31"/>
    <x v="6"/>
    <x v="12"/>
    <x v="0"/>
    <n v="800"/>
  </r>
  <r>
    <x v="0"/>
    <x v="31"/>
    <x v="31"/>
    <x v="7"/>
    <x v="13"/>
    <x v="0"/>
    <n v="1000"/>
  </r>
  <r>
    <x v="0"/>
    <x v="31"/>
    <x v="31"/>
    <x v="7"/>
    <x v="14"/>
    <x v="0"/>
    <n v="700"/>
  </r>
  <r>
    <x v="0"/>
    <x v="31"/>
    <x v="31"/>
    <x v="7"/>
    <x v="15"/>
    <x v="0"/>
    <n v="1300"/>
  </r>
  <r>
    <x v="0"/>
    <x v="31"/>
    <x v="31"/>
    <x v="7"/>
    <x v="10"/>
    <x v="0"/>
    <n v="1350"/>
  </r>
  <r>
    <x v="0"/>
    <x v="31"/>
    <x v="31"/>
    <x v="8"/>
    <x v="12"/>
    <x v="0"/>
    <n v="700"/>
  </r>
  <r>
    <x v="0"/>
    <x v="31"/>
    <x v="31"/>
    <x v="8"/>
    <x v="4"/>
    <x v="0"/>
    <n v="1000"/>
  </r>
  <r>
    <x v="0"/>
    <x v="31"/>
    <x v="31"/>
    <x v="8"/>
    <x v="7"/>
    <x v="0"/>
    <n v="700"/>
  </r>
  <r>
    <x v="0"/>
    <x v="31"/>
    <x v="31"/>
    <x v="9"/>
    <x v="13"/>
    <x v="0"/>
    <n v="800"/>
  </r>
  <r>
    <x v="0"/>
    <x v="31"/>
    <x v="31"/>
    <x v="9"/>
    <x v="16"/>
    <x v="0"/>
    <n v="1200"/>
  </r>
  <r>
    <x v="0"/>
    <x v="31"/>
    <x v="31"/>
    <x v="10"/>
    <x v="2"/>
    <x v="0"/>
    <n v="5100"/>
  </r>
  <r>
    <x v="0"/>
    <x v="31"/>
    <x v="31"/>
    <x v="10"/>
    <x v="6"/>
    <x v="0"/>
    <n v="700"/>
  </r>
  <r>
    <x v="0"/>
    <x v="31"/>
    <x v="31"/>
    <x v="10"/>
    <x v="9"/>
    <x v="0"/>
    <n v="1400"/>
  </r>
  <r>
    <x v="0"/>
    <x v="31"/>
    <x v="31"/>
    <x v="10"/>
    <x v="17"/>
    <x v="0"/>
    <n v="1000"/>
  </r>
  <r>
    <x v="0"/>
    <x v="31"/>
    <x v="31"/>
    <x v="11"/>
    <x v="9"/>
    <x v="0"/>
    <n v="2500"/>
  </r>
  <r>
    <x v="0"/>
    <x v="31"/>
    <x v="31"/>
    <x v="11"/>
    <x v="18"/>
    <x v="0"/>
    <n v="1150"/>
  </r>
  <r>
    <x v="0"/>
    <x v="31"/>
    <x v="31"/>
    <x v="11"/>
    <x v="10"/>
    <x v="0"/>
    <n v="3345"/>
  </r>
  <r>
    <x v="0"/>
    <x v="31"/>
    <x v="31"/>
    <x v="12"/>
    <x v="0"/>
    <x v="0"/>
    <n v="1400"/>
  </r>
  <r>
    <x v="0"/>
    <x v="31"/>
    <x v="31"/>
    <x v="12"/>
    <x v="6"/>
    <x v="0"/>
    <n v="1700"/>
  </r>
  <r>
    <x v="0"/>
    <x v="31"/>
    <x v="31"/>
    <x v="12"/>
    <x v="8"/>
    <x v="0"/>
    <n v="1400"/>
  </r>
  <r>
    <x v="0"/>
    <x v="31"/>
    <x v="31"/>
    <x v="12"/>
    <x v="19"/>
    <x v="0"/>
    <n v="3200"/>
  </r>
  <r>
    <x v="0"/>
    <x v="31"/>
    <x v="31"/>
    <x v="12"/>
    <x v="20"/>
    <x v="0"/>
    <n v="1200"/>
  </r>
  <r>
    <x v="0"/>
    <x v="31"/>
    <x v="31"/>
    <x v="12"/>
    <x v="17"/>
    <x v="0"/>
    <n v="1400"/>
  </r>
  <r>
    <x v="0"/>
    <x v="31"/>
    <x v="31"/>
    <x v="13"/>
    <x v="19"/>
    <x v="0"/>
    <n v="1200"/>
  </r>
  <r>
    <x v="0"/>
    <x v="31"/>
    <x v="31"/>
    <x v="13"/>
    <x v="14"/>
    <x v="0"/>
    <n v="200"/>
  </r>
  <r>
    <x v="0"/>
    <x v="31"/>
    <x v="31"/>
    <x v="13"/>
    <x v="20"/>
    <x v="0"/>
    <n v="1000"/>
  </r>
  <r>
    <x v="0"/>
    <x v="31"/>
    <x v="31"/>
    <x v="13"/>
    <x v="21"/>
    <x v="0"/>
    <n v="600"/>
  </r>
  <r>
    <x v="0"/>
    <x v="31"/>
    <x v="31"/>
    <x v="14"/>
    <x v="11"/>
    <x v="0"/>
    <n v="600"/>
  </r>
  <r>
    <x v="0"/>
    <x v="31"/>
    <x v="31"/>
    <x v="14"/>
    <x v="18"/>
    <x v="0"/>
    <n v="1000"/>
  </r>
  <r>
    <x v="0"/>
    <x v="31"/>
    <x v="31"/>
    <x v="14"/>
    <x v="21"/>
    <x v="0"/>
    <n v="250"/>
  </r>
  <r>
    <x v="0"/>
    <x v="31"/>
    <x v="31"/>
    <x v="15"/>
    <x v="9"/>
    <x v="0"/>
    <n v="1200"/>
  </r>
  <r>
    <x v="0"/>
    <x v="31"/>
    <x v="31"/>
    <x v="15"/>
    <x v="18"/>
    <x v="0"/>
    <n v="1000"/>
  </r>
  <r>
    <x v="0"/>
    <x v="31"/>
    <x v="31"/>
    <x v="16"/>
    <x v="5"/>
    <x v="0"/>
    <n v="2000"/>
  </r>
  <r>
    <x v="0"/>
    <x v="31"/>
    <x v="31"/>
    <x v="16"/>
    <x v="16"/>
    <x v="0"/>
    <n v="1000"/>
  </r>
  <r>
    <x v="0"/>
    <x v="31"/>
    <x v="31"/>
    <x v="17"/>
    <x v="11"/>
    <x v="0"/>
    <n v="1300"/>
  </r>
  <r>
    <x v="0"/>
    <x v="31"/>
    <x v="31"/>
    <x v="17"/>
    <x v="14"/>
    <x v="0"/>
    <n v="600"/>
  </r>
  <r>
    <x v="0"/>
    <x v="31"/>
    <x v="31"/>
    <x v="17"/>
    <x v="21"/>
    <x v="0"/>
    <n v="3300"/>
  </r>
  <r>
    <x v="0"/>
    <x v="31"/>
    <x v="31"/>
    <x v="18"/>
    <x v="18"/>
    <x v="0"/>
    <n v="1000"/>
  </r>
  <r>
    <x v="0"/>
    <x v="31"/>
    <x v="31"/>
    <x v="18"/>
    <x v="14"/>
    <x v="0"/>
    <n v="300"/>
  </r>
  <r>
    <x v="0"/>
    <x v="31"/>
    <x v="31"/>
    <x v="18"/>
    <x v="15"/>
    <x v="0"/>
    <n v="3300"/>
  </r>
  <r>
    <x v="0"/>
    <x v="31"/>
    <x v="31"/>
    <x v="18"/>
    <x v="10"/>
    <x v="0"/>
    <n v="7300"/>
  </r>
  <r>
    <x v="0"/>
    <x v="31"/>
    <x v="31"/>
    <x v="19"/>
    <x v="6"/>
    <x v="0"/>
    <n v="680"/>
  </r>
  <r>
    <x v="0"/>
    <x v="31"/>
    <x v="31"/>
    <x v="19"/>
    <x v="11"/>
    <x v="0"/>
    <n v="1350"/>
  </r>
  <r>
    <x v="0"/>
    <x v="31"/>
    <x v="31"/>
    <x v="19"/>
    <x v="19"/>
    <x v="0"/>
    <n v="3295"/>
  </r>
  <r>
    <x v="0"/>
    <x v="31"/>
    <x v="31"/>
    <x v="19"/>
    <x v="21"/>
    <x v="0"/>
    <n v="7300"/>
  </r>
  <r>
    <x v="0"/>
    <x v="31"/>
    <x v="31"/>
    <x v="19"/>
    <x v="7"/>
    <x v="0"/>
    <n v="6500"/>
  </r>
  <r>
    <x v="0"/>
    <x v="31"/>
    <x v="31"/>
    <x v="20"/>
    <x v="0"/>
    <x v="0"/>
    <n v="610"/>
  </r>
  <r>
    <x v="0"/>
    <x v="31"/>
    <x v="31"/>
    <x v="20"/>
    <x v="3"/>
    <x v="0"/>
    <n v="1300"/>
  </r>
  <r>
    <x v="0"/>
    <x v="31"/>
    <x v="31"/>
    <x v="20"/>
    <x v="16"/>
    <x v="0"/>
    <n v="700"/>
  </r>
  <r>
    <x v="0"/>
    <x v="31"/>
    <x v="31"/>
    <x v="20"/>
    <x v="10"/>
    <x v="0"/>
    <n v="3200"/>
  </r>
  <r>
    <x v="0"/>
    <x v="31"/>
    <x v="31"/>
    <x v="21"/>
    <x v="6"/>
    <x v="0"/>
    <n v="1400"/>
  </r>
  <r>
    <x v="0"/>
    <x v="31"/>
    <x v="31"/>
    <x v="21"/>
    <x v="8"/>
    <x v="0"/>
    <n v="1000"/>
  </r>
  <r>
    <x v="0"/>
    <x v="31"/>
    <x v="31"/>
    <x v="21"/>
    <x v="9"/>
    <x v="0"/>
    <n v="1400"/>
  </r>
  <r>
    <x v="0"/>
    <x v="32"/>
    <x v="32"/>
    <x v="0"/>
    <x v="0"/>
    <x v="0"/>
    <n v="3010"/>
  </r>
  <r>
    <x v="0"/>
    <x v="32"/>
    <x v="32"/>
    <x v="0"/>
    <x v="1"/>
    <x v="0"/>
    <n v="3010"/>
  </r>
  <r>
    <x v="0"/>
    <x v="32"/>
    <x v="32"/>
    <x v="0"/>
    <x v="2"/>
    <x v="0"/>
    <n v="6020"/>
  </r>
  <r>
    <x v="0"/>
    <x v="32"/>
    <x v="32"/>
    <x v="0"/>
    <x v="3"/>
    <x v="0"/>
    <n v="600"/>
  </r>
  <r>
    <x v="0"/>
    <x v="32"/>
    <x v="32"/>
    <x v="0"/>
    <x v="4"/>
    <x v="0"/>
    <n v="2000"/>
  </r>
  <r>
    <x v="0"/>
    <x v="32"/>
    <x v="32"/>
    <x v="1"/>
    <x v="5"/>
    <x v="0"/>
    <n v="3010"/>
  </r>
  <r>
    <x v="0"/>
    <x v="32"/>
    <x v="32"/>
    <x v="1"/>
    <x v="2"/>
    <x v="0"/>
    <n v="8634"/>
  </r>
  <r>
    <x v="0"/>
    <x v="32"/>
    <x v="32"/>
    <x v="1"/>
    <x v="6"/>
    <x v="0"/>
    <n v="3000"/>
  </r>
  <r>
    <x v="0"/>
    <x v="32"/>
    <x v="32"/>
    <x v="1"/>
    <x v="9"/>
    <x v="0"/>
    <n v="1400"/>
  </r>
  <r>
    <x v="0"/>
    <x v="32"/>
    <x v="32"/>
    <x v="1"/>
    <x v="7"/>
    <x v="0"/>
    <n v="600"/>
  </r>
  <r>
    <x v="0"/>
    <x v="32"/>
    <x v="32"/>
    <x v="2"/>
    <x v="5"/>
    <x v="0"/>
    <n v="3010"/>
  </r>
  <r>
    <x v="0"/>
    <x v="32"/>
    <x v="32"/>
    <x v="2"/>
    <x v="2"/>
    <x v="0"/>
    <n v="14416"/>
  </r>
  <r>
    <x v="0"/>
    <x v="32"/>
    <x v="32"/>
    <x v="3"/>
    <x v="5"/>
    <x v="0"/>
    <n v="6020"/>
  </r>
  <r>
    <x v="0"/>
    <x v="32"/>
    <x v="32"/>
    <x v="3"/>
    <x v="0"/>
    <x v="0"/>
    <n v="8634"/>
  </r>
  <r>
    <x v="0"/>
    <x v="32"/>
    <x v="32"/>
    <x v="3"/>
    <x v="1"/>
    <x v="0"/>
    <n v="14416"/>
  </r>
  <r>
    <x v="0"/>
    <x v="32"/>
    <x v="32"/>
    <x v="3"/>
    <x v="3"/>
    <x v="0"/>
    <n v="400"/>
  </r>
  <r>
    <x v="0"/>
    <x v="32"/>
    <x v="32"/>
    <x v="3"/>
    <x v="8"/>
    <x v="0"/>
    <n v="5900"/>
  </r>
  <r>
    <x v="0"/>
    <x v="32"/>
    <x v="32"/>
    <x v="4"/>
    <x v="0"/>
    <x v="0"/>
    <n v="3000"/>
  </r>
  <r>
    <x v="0"/>
    <x v="32"/>
    <x v="32"/>
    <x v="4"/>
    <x v="3"/>
    <x v="0"/>
    <n v="600"/>
  </r>
  <r>
    <x v="0"/>
    <x v="32"/>
    <x v="32"/>
    <x v="4"/>
    <x v="8"/>
    <x v="0"/>
    <n v="700"/>
  </r>
  <r>
    <x v="0"/>
    <x v="32"/>
    <x v="32"/>
    <x v="4"/>
    <x v="9"/>
    <x v="0"/>
    <n v="1700"/>
  </r>
  <r>
    <x v="0"/>
    <x v="32"/>
    <x v="32"/>
    <x v="4"/>
    <x v="10"/>
    <x v="0"/>
    <n v="740"/>
  </r>
  <r>
    <x v="0"/>
    <x v="32"/>
    <x v="32"/>
    <x v="4"/>
    <x v="17"/>
    <x v="0"/>
    <n v="1400"/>
  </r>
  <r>
    <x v="0"/>
    <x v="32"/>
    <x v="32"/>
    <x v="5"/>
    <x v="5"/>
    <x v="0"/>
    <n v="585"/>
  </r>
  <r>
    <x v="0"/>
    <x v="32"/>
    <x v="32"/>
    <x v="5"/>
    <x v="2"/>
    <x v="0"/>
    <n v="400"/>
  </r>
  <r>
    <x v="0"/>
    <x v="32"/>
    <x v="32"/>
    <x v="5"/>
    <x v="6"/>
    <x v="0"/>
    <n v="600"/>
  </r>
  <r>
    <x v="0"/>
    <x v="32"/>
    <x v="32"/>
    <x v="5"/>
    <x v="7"/>
    <x v="0"/>
    <n v="1700"/>
  </r>
  <r>
    <x v="0"/>
    <x v="32"/>
    <x v="32"/>
    <x v="6"/>
    <x v="11"/>
    <x v="0"/>
    <n v="1000"/>
  </r>
  <r>
    <x v="0"/>
    <x v="32"/>
    <x v="32"/>
    <x v="6"/>
    <x v="12"/>
    <x v="0"/>
    <n v="800"/>
  </r>
  <r>
    <x v="0"/>
    <x v="32"/>
    <x v="32"/>
    <x v="7"/>
    <x v="13"/>
    <x v="0"/>
    <n v="1000"/>
  </r>
  <r>
    <x v="0"/>
    <x v="32"/>
    <x v="32"/>
    <x v="7"/>
    <x v="14"/>
    <x v="0"/>
    <n v="700"/>
  </r>
  <r>
    <x v="0"/>
    <x v="32"/>
    <x v="32"/>
    <x v="7"/>
    <x v="15"/>
    <x v="0"/>
    <n v="1300"/>
  </r>
  <r>
    <x v="0"/>
    <x v="32"/>
    <x v="32"/>
    <x v="7"/>
    <x v="10"/>
    <x v="0"/>
    <n v="1350"/>
  </r>
  <r>
    <x v="0"/>
    <x v="32"/>
    <x v="32"/>
    <x v="8"/>
    <x v="12"/>
    <x v="0"/>
    <n v="700"/>
  </r>
  <r>
    <x v="0"/>
    <x v="32"/>
    <x v="32"/>
    <x v="8"/>
    <x v="4"/>
    <x v="0"/>
    <n v="1000"/>
  </r>
  <r>
    <x v="0"/>
    <x v="32"/>
    <x v="32"/>
    <x v="8"/>
    <x v="7"/>
    <x v="0"/>
    <n v="700"/>
  </r>
  <r>
    <x v="0"/>
    <x v="32"/>
    <x v="32"/>
    <x v="9"/>
    <x v="13"/>
    <x v="0"/>
    <n v="800"/>
  </r>
  <r>
    <x v="0"/>
    <x v="32"/>
    <x v="32"/>
    <x v="9"/>
    <x v="16"/>
    <x v="0"/>
    <n v="1200"/>
  </r>
  <r>
    <x v="0"/>
    <x v="32"/>
    <x v="32"/>
    <x v="10"/>
    <x v="2"/>
    <x v="0"/>
    <n v="5100"/>
  </r>
  <r>
    <x v="0"/>
    <x v="32"/>
    <x v="32"/>
    <x v="10"/>
    <x v="6"/>
    <x v="0"/>
    <n v="700"/>
  </r>
  <r>
    <x v="0"/>
    <x v="32"/>
    <x v="32"/>
    <x v="10"/>
    <x v="9"/>
    <x v="0"/>
    <n v="1400"/>
  </r>
  <r>
    <x v="0"/>
    <x v="32"/>
    <x v="32"/>
    <x v="10"/>
    <x v="17"/>
    <x v="0"/>
    <n v="1000"/>
  </r>
  <r>
    <x v="0"/>
    <x v="32"/>
    <x v="32"/>
    <x v="11"/>
    <x v="9"/>
    <x v="0"/>
    <n v="2500"/>
  </r>
  <r>
    <x v="0"/>
    <x v="32"/>
    <x v="32"/>
    <x v="11"/>
    <x v="18"/>
    <x v="0"/>
    <n v="1150"/>
  </r>
  <r>
    <x v="0"/>
    <x v="32"/>
    <x v="32"/>
    <x v="11"/>
    <x v="10"/>
    <x v="0"/>
    <n v="3345"/>
  </r>
  <r>
    <x v="0"/>
    <x v="32"/>
    <x v="32"/>
    <x v="12"/>
    <x v="0"/>
    <x v="0"/>
    <n v="1400"/>
  </r>
  <r>
    <x v="0"/>
    <x v="32"/>
    <x v="32"/>
    <x v="12"/>
    <x v="6"/>
    <x v="0"/>
    <n v="1700"/>
  </r>
  <r>
    <x v="0"/>
    <x v="32"/>
    <x v="32"/>
    <x v="12"/>
    <x v="8"/>
    <x v="0"/>
    <n v="1400"/>
  </r>
  <r>
    <x v="0"/>
    <x v="32"/>
    <x v="32"/>
    <x v="12"/>
    <x v="19"/>
    <x v="0"/>
    <n v="3200"/>
  </r>
  <r>
    <x v="0"/>
    <x v="32"/>
    <x v="32"/>
    <x v="12"/>
    <x v="20"/>
    <x v="0"/>
    <n v="1200"/>
  </r>
  <r>
    <x v="0"/>
    <x v="32"/>
    <x v="32"/>
    <x v="12"/>
    <x v="17"/>
    <x v="0"/>
    <n v="1400"/>
  </r>
  <r>
    <x v="0"/>
    <x v="32"/>
    <x v="32"/>
    <x v="13"/>
    <x v="19"/>
    <x v="0"/>
    <n v="1200"/>
  </r>
  <r>
    <x v="0"/>
    <x v="32"/>
    <x v="32"/>
    <x v="13"/>
    <x v="14"/>
    <x v="0"/>
    <n v="200"/>
  </r>
  <r>
    <x v="0"/>
    <x v="32"/>
    <x v="32"/>
    <x v="13"/>
    <x v="20"/>
    <x v="0"/>
    <n v="1000"/>
  </r>
  <r>
    <x v="0"/>
    <x v="32"/>
    <x v="32"/>
    <x v="13"/>
    <x v="21"/>
    <x v="0"/>
    <n v="600"/>
  </r>
  <r>
    <x v="0"/>
    <x v="32"/>
    <x v="32"/>
    <x v="14"/>
    <x v="11"/>
    <x v="0"/>
    <n v="600"/>
  </r>
  <r>
    <x v="0"/>
    <x v="32"/>
    <x v="32"/>
    <x v="14"/>
    <x v="18"/>
    <x v="0"/>
    <n v="1000"/>
  </r>
  <r>
    <x v="0"/>
    <x v="32"/>
    <x v="32"/>
    <x v="14"/>
    <x v="21"/>
    <x v="0"/>
    <n v="250"/>
  </r>
  <r>
    <x v="0"/>
    <x v="32"/>
    <x v="32"/>
    <x v="15"/>
    <x v="9"/>
    <x v="0"/>
    <n v="1200"/>
  </r>
  <r>
    <x v="0"/>
    <x v="32"/>
    <x v="32"/>
    <x v="15"/>
    <x v="18"/>
    <x v="0"/>
    <n v="1000"/>
  </r>
  <r>
    <x v="0"/>
    <x v="32"/>
    <x v="32"/>
    <x v="16"/>
    <x v="5"/>
    <x v="0"/>
    <n v="2000"/>
  </r>
  <r>
    <x v="0"/>
    <x v="32"/>
    <x v="32"/>
    <x v="16"/>
    <x v="16"/>
    <x v="0"/>
    <n v="1000"/>
  </r>
  <r>
    <x v="0"/>
    <x v="32"/>
    <x v="32"/>
    <x v="17"/>
    <x v="11"/>
    <x v="0"/>
    <n v="1300"/>
  </r>
  <r>
    <x v="0"/>
    <x v="32"/>
    <x v="32"/>
    <x v="17"/>
    <x v="14"/>
    <x v="0"/>
    <n v="600"/>
  </r>
  <r>
    <x v="0"/>
    <x v="32"/>
    <x v="32"/>
    <x v="17"/>
    <x v="21"/>
    <x v="0"/>
    <n v="3300"/>
  </r>
  <r>
    <x v="0"/>
    <x v="32"/>
    <x v="32"/>
    <x v="18"/>
    <x v="18"/>
    <x v="0"/>
    <n v="1000"/>
  </r>
  <r>
    <x v="0"/>
    <x v="32"/>
    <x v="32"/>
    <x v="18"/>
    <x v="14"/>
    <x v="0"/>
    <n v="300"/>
  </r>
  <r>
    <x v="0"/>
    <x v="32"/>
    <x v="32"/>
    <x v="18"/>
    <x v="15"/>
    <x v="0"/>
    <n v="3300"/>
  </r>
  <r>
    <x v="0"/>
    <x v="32"/>
    <x v="32"/>
    <x v="18"/>
    <x v="10"/>
    <x v="0"/>
    <n v="7300"/>
  </r>
  <r>
    <x v="0"/>
    <x v="32"/>
    <x v="32"/>
    <x v="19"/>
    <x v="6"/>
    <x v="0"/>
    <n v="680"/>
  </r>
  <r>
    <x v="0"/>
    <x v="32"/>
    <x v="32"/>
    <x v="19"/>
    <x v="11"/>
    <x v="0"/>
    <n v="1350"/>
  </r>
  <r>
    <x v="0"/>
    <x v="32"/>
    <x v="32"/>
    <x v="19"/>
    <x v="19"/>
    <x v="0"/>
    <n v="3295"/>
  </r>
  <r>
    <x v="0"/>
    <x v="32"/>
    <x v="32"/>
    <x v="19"/>
    <x v="21"/>
    <x v="0"/>
    <n v="7300"/>
  </r>
  <r>
    <x v="0"/>
    <x v="32"/>
    <x v="32"/>
    <x v="19"/>
    <x v="7"/>
    <x v="0"/>
    <n v="6500"/>
  </r>
  <r>
    <x v="0"/>
    <x v="32"/>
    <x v="32"/>
    <x v="20"/>
    <x v="0"/>
    <x v="0"/>
    <n v="610"/>
  </r>
  <r>
    <x v="0"/>
    <x v="32"/>
    <x v="32"/>
    <x v="20"/>
    <x v="3"/>
    <x v="0"/>
    <n v="1300"/>
  </r>
  <r>
    <x v="0"/>
    <x v="32"/>
    <x v="32"/>
    <x v="20"/>
    <x v="16"/>
    <x v="0"/>
    <n v="700"/>
  </r>
  <r>
    <x v="0"/>
    <x v="32"/>
    <x v="32"/>
    <x v="20"/>
    <x v="10"/>
    <x v="0"/>
    <n v="3200"/>
  </r>
  <r>
    <x v="0"/>
    <x v="32"/>
    <x v="32"/>
    <x v="21"/>
    <x v="6"/>
    <x v="0"/>
    <n v="1400"/>
  </r>
  <r>
    <x v="0"/>
    <x v="32"/>
    <x v="32"/>
    <x v="21"/>
    <x v="8"/>
    <x v="0"/>
    <n v="1000"/>
  </r>
  <r>
    <x v="0"/>
    <x v="32"/>
    <x v="32"/>
    <x v="21"/>
    <x v="9"/>
    <x v="0"/>
    <n v="1400"/>
  </r>
  <r>
    <x v="0"/>
    <x v="33"/>
    <x v="33"/>
    <x v="0"/>
    <x v="0"/>
    <x v="0"/>
    <n v="3010"/>
  </r>
  <r>
    <x v="0"/>
    <x v="33"/>
    <x v="33"/>
    <x v="0"/>
    <x v="1"/>
    <x v="0"/>
    <n v="3010"/>
  </r>
  <r>
    <x v="0"/>
    <x v="33"/>
    <x v="33"/>
    <x v="0"/>
    <x v="2"/>
    <x v="0"/>
    <n v="6020"/>
  </r>
  <r>
    <x v="0"/>
    <x v="33"/>
    <x v="33"/>
    <x v="0"/>
    <x v="3"/>
    <x v="0"/>
    <n v="600"/>
  </r>
  <r>
    <x v="0"/>
    <x v="33"/>
    <x v="33"/>
    <x v="0"/>
    <x v="4"/>
    <x v="0"/>
    <n v="2000"/>
  </r>
  <r>
    <x v="0"/>
    <x v="33"/>
    <x v="33"/>
    <x v="1"/>
    <x v="5"/>
    <x v="0"/>
    <n v="3010"/>
  </r>
  <r>
    <x v="0"/>
    <x v="33"/>
    <x v="33"/>
    <x v="1"/>
    <x v="2"/>
    <x v="0"/>
    <n v="8634"/>
  </r>
  <r>
    <x v="0"/>
    <x v="33"/>
    <x v="33"/>
    <x v="1"/>
    <x v="6"/>
    <x v="0"/>
    <n v="3000"/>
  </r>
  <r>
    <x v="0"/>
    <x v="33"/>
    <x v="33"/>
    <x v="1"/>
    <x v="9"/>
    <x v="0"/>
    <n v="1400"/>
  </r>
  <r>
    <x v="0"/>
    <x v="33"/>
    <x v="33"/>
    <x v="1"/>
    <x v="7"/>
    <x v="0"/>
    <n v="600"/>
  </r>
  <r>
    <x v="0"/>
    <x v="33"/>
    <x v="33"/>
    <x v="2"/>
    <x v="5"/>
    <x v="0"/>
    <n v="3010"/>
  </r>
  <r>
    <x v="0"/>
    <x v="33"/>
    <x v="33"/>
    <x v="2"/>
    <x v="2"/>
    <x v="0"/>
    <n v="14416"/>
  </r>
  <r>
    <x v="0"/>
    <x v="33"/>
    <x v="33"/>
    <x v="3"/>
    <x v="5"/>
    <x v="0"/>
    <n v="6020"/>
  </r>
  <r>
    <x v="0"/>
    <x v="33"/>
    <x v="33"/>
    <x v="3"/>
    <x v="0"/>
    <x v="0"/>
    <n v="8634"/>
  </r>
  <r>
    <x v="0"/>
    <x v="33"/>
    <x v="33"/>
    <x v="3"/>
    <x v="1"/>
    <x v="0"/>
    <n v="14416"/>
  </r>
  <r>
    <x v="0"/>
    <x v="33"/>
    <x v="33"/>
    <x v="3"/>
    <x v="3"/>
    <x v="0"/>
    <n v="400"/>
  </r>
  <r>
    <x v="0"/>
    <x v="33"/>
    <x v="33"/>
    <x v="3"/>
    <x v="8"/>
    <x v="0"/>
    <n v="5900"/>
  </r>
  <r>
    <x v="0"/>
    <x v="33"/>
    <x v="33"/>
    <x v="4"/>
    <x v="0"/>
    <x v="0"/>
    <n v="3000"/>
  </r>
  <r>
    <x v="0"/>
    <x v="33"/>
    <x v="33"/>
    <x v="4"/>
    <x v="3"/>
    <x v="0"/>
    <n v="600"/>
  </r>
  <r>
    <x v="0"/>
    <x v="33"/>
    <x v="33"/>
    <x v="4"/>
    <x v="8"/>
    <x v="0"/>
    <n v="700"/>
  </r>
  <r>
    <x v="0"/>
    <x v="33"/>
    <x v="33"/>
    <x v="4"/>
    <x v="9"/>
    <x v="0"/>
    <n v="1700"/>
  </r>
  <r>
    <x v="0"/>
    <x v="33"/>
    <x v="33"/>
    <x v="4"/>
    <x v="10"/>
    <x v="0"/>
    <n v="740"/>
  </r>
  <r>
    <x v="0"/>
    <x v="33"/>
    <x v="33"/>
    <x v="4"/>
    <x v="17"/>
    <x v="0"/>
    <n v="1400"/>
  </r>
  <r>
    <x v="0"/>
    <x v="33"/>
    <x v="33"/>
    <x v="5"/>
    <x v="5"/>
    <x v="0"/>
    <n v="585"/>
  </r>
  <r>
    <x v="0"/>
    <x v="33"/>
    <x v="33"/>
    <x v="5"/>
    <x v="2"/>
    <x v="0"/>
    <n v="400"/>
  </r>
  <r>
    <x v="0"/>
    <x v="33"/>
    <x v="33"/>
    <x v="5"/>
    <x v="6"/>
    <x v="0"/>
    <n v="600"/>
  </r>
  <r>
    <x v="0"/>
    <x v="33"/>
    <x v="33"/>
    <x v="5"/>
    <x v="7"/>
    <x v="0"/>
    <n v="1700"/>
  </r>
  <r>
    <x v="0"/>
    <x v="33"/>
    <x v="33"/>
    <x v="6"/>
    <x v="11"/>
    <x v="0"/>
    <n v="1000"/>
  </r>
  <r>
    <x v="0"/>
    <x v="33"/>
    <x v="33"/>
    <x v="6"/>
    <x v="12"/>
    <x v="0"/>
    <n v="800"/>
  </r>
  <r>
    <x v="0"/>
    <x v="33"/>
    <x v="33"/>
    <x v="7"/>
    <x v="13"/>
    <x v="0"/>
    <n v="1000"/>
  </r>
  <r>
    <x v="0"/>
    <x v="33"/>
    <x v="33"/>
    <x v="7"/>
    <x v="14"/>
    <x v="0"/>
    <n v="700"/>
  </r>
  <r>
    <x v="0"/>
    <x v="33"/>
    <x v="33"/>
    <x v="7"/>
    <x v="15"/>
    <x v="0"/>
    <n v="1300"/>
  </r>
  <r>
    <x v="0"/>
    <x v="33"/>
    <x v="33"/>
    <x v="7"/>
    <x v="10"/>
    <x v="0"/>
    <n v="1350"/>
  </r>
  <r>
    <x v="0"/>
    <x v="33"/>
    <x v="33"/>
    <x v="8"/>
    <x v="12"/>
    <x v="0"/>
    <n v="700"/>
  </r>
  <r>
    <x v="0"/>
    <x v="33"/>
    <x v="33"/>
    <x v="8"/>
    <x v="4"/>
    <x v="0"/>
    <n v="1000"/>
  </r>
  <r>
    <x v="0"/>
    <x v="33"/>
    <x v="33"/>
    <x v="8"/>
    <x v="7"/>
    <x v="0"/>
    <n v="700"/>
  </r>
  <r>
    <x v="0"/>
    <x v="33"/>
    <x v="33"/>
    <x v="9"/>
    <x v="13"/>
    <x v="0"/>
    <n v="800"/>
  </r>
  <r>
    <x v="0"/>
    <x v="33"/>
    <x v="33"/>
    <x v="9"/>
    <x v="16"/>
    <x v="0"/>
    <n v="1200"/>
  </r>
  <r>
    <x v="0"/>
    <x v="33"/>
    <x v="33"/>
    <x v="10"/>
    <x v="2"/>
    <x v="0"/>
    <n v="5100"/>
  </r>
  <r>
    <x v="0"/>
    <x v="33"/>
    <x v="33"/>
    <x v="10"/>
    <x v="6"/>
    <x v="0"/>
    <n v="700"/>
  </r>
  <r>
    <x v="0"/>
    <x v="33"/>
    <x v="33"/>
    <x v="10"/>
    <x v="9"/>
    <x v="0"/>
    <n v="1400"/>
  </r>
  <r>
    <x v="0"/>
    <x v="33"/>
    <x v="33"/>
    <x v="10"/>
    <x v="17"/>
    <x v="0"/>
    <n v="1000"/>
  </r>
  <r>
    <x v="0"/>
    <x v="33"/>
    <x v="33"/>
    <x v="11"/>
    <x v="9"/>
    <x v="0"/>
    <n v="2500"/>
  </r>
  <r>
    <x v="0"/>
    <x v="33"/>
    <x v="33"/>
    <x v="11"/>
    <x v="18"/>
    <x v="0"/>
    <n v="1150"/>
  </r>
  <r>
    <x v="0"/>
    <x v="33"/>
    <x v="33"/>
    <x v="11"/>
    <x v="10"/>
    <x v="0"/>
    <n v="3345"/>
  </r>
  <r>
    <x v="0"/>
    <x v="33"/>
    <x v="33"/>
    <x v="12"/>
    <x v="0"/>
    <x v="0"/>
    <n v="1400"/>
  </r>
  <r>
    <x v="0"/>
    <x v="33"/>
    <x v="33"/>
    <x v="12"/>
    <x v="6"/>
    <x v="0"/>
    <n v="1700"/>
  </r>
  <r>
    <x v="0"/>
    <x v="33"/>
    <x v="33"/>
    <x v="12"/>
    <x v="8"/>
    <x v="0"/>
    <n v="1400"/>
  </r>
  <r>
    <x v="0"/>
    <x v="33"/>
    <x v="33"/>
    <x v="12"/>
    <x v="19"/>
    <x v="0"/>
    <n v="3200"/>
  </r>
  <r>
    <x v="0"/>
    <x v="33"/>
    <x v="33"/>
    <x v="12"/>
    <x v="20"/>
    <x v="0"/>
    <n v="1200"/>
  </r>
  <r>
    <x v="0"/>
    <x v="33"/>
    <x v="33"/>
    <x v="12"/>
    <x v="17"/>
    <x v="0"/>
    <n v="1400"/>
  </r>
  <r>
    <x v="0"/>
    <x v="33"/>
    <x v="33"/>
    <x v="13"/>
    <x v="19"/>
    <x v="0"/>
    <n v="1200"/>
  </r>
  <r>
    <x v="0"/>
    <x v="33"/>
    <x v="33"/>
    <x v="13"/>
    <x v="14"/>
    <x v="0"/>
    <n v="200"/>
  </r>
  <r>
    <x v="0"/>
    <x v="33"/>
    <x v="33"/>
    <x v="13"/>
    <x v="20"/>
    <x v="0"/>
    <n v="1000"/>
  </r>
  <r>
    <x v="0"/>
    <x v="33"/>
    <x v="33"/>
    <x v="13"/>
    <x v="21"/>
    <x v="0"/>
    <n v="600"/>
  </r>
  <r>
    <x v="0"/>
    <x v="33"/>
    <x v="33"/>
    <x v="14"/>
    <x v="11"/>
    <x v="0"/>
    <n v="600"/>
  </r>
  <r>
    <x v="0"/>
    <x v="33"/>
    <x v="33"/>
    <x v="14"/>
    <x v="18"/>
    <x v="0"/>
    <n v="1000"/>
  </r>
  <r>
    <x v="0"/>
    <x v="33"/>
    <x v="33"/>
    <x v="14"/>
    <x v="21"/>
    <x v="0"/>
    <n v="250"/>
  </r>
  <r>
    <x v="0"/>
    <x v="33"/>
    <x v="33"/>
    <x v="15"/>
    <x v="9"/>
    <x v="0"/>
    <n v="1200"/>
  </r>
  <r>
    <x v="0"/>
    <x v="33"/>
    <x v="33"/>
    <x v="15"/>
    <x v="18"/>
    <x v="0"/>
    <n v="1000"/>
  </r>
  <r>
    <x v="0"/>
    <x v="33"/>
    <x v="33"/>
    <x v="16"/>
    <x v="5"/>
    <x v="0"/>
    <n v="2000"/>
  </r>
  <r>
    <x v="0"/>
    <x v="33"/>
    <x v="33"/>
    <x v="16"/>
    <x v="16"/>
    <x v="0"/>
    <n v="1000"/>
  </r>
  <r>
    <x v="0"/>
    <x v="33"/>
    <x v="33"/>
    <x v="17"/>
    <x v="11"/>
    <x v="0"/>
    <n v="1300"/>
  </r>
  <r>
    <x v="0"/>
    <x v="33"/>
    <x v="33"/>
    <x v="17"/>
    <x v="14"/>
    <x v="0"/>
    <n v="600"/>
  </r>
  <r>
    <x v="0"/>
    <x v="33"/>
    <x v="33"/>
    <x v="17"/>
    <x v="21"/>
    <x v="0"/>
    <n v="3300"/>
  </r>
  <r>
    <x v="0"/>
    <x v="33"/>
    <x v="33"/>
    <x v="18"/>
    <x v="18"/>
    <x v="0"/>
    <n v="1000"/>
  </r>
  <r>
    <x v="0"/>
    <x v="33"/>
    <x v="33"/>
    <x v="18"/>
    <x v="14"/>
    <x v="0"/>
    <n v="300"/>
  </r>
  <r>
    <x v="0"/>
    <x v="33"/>
    <x v="33"/>
    <x v="18"/>
    <x v="15"/>
    <x v="0"/>
    <n v="3300"/>
  </r>
  <r>
    <x v="0"/>
    <x v="33"/>
    <x v="33"/>
    <x v="18"/>
    <x v="10"/>
    <x v="0"/>
    <n v="7300"/>
  </r>
  <r>
    <x v="0"/>
    <x v="33"/>
    <x v="33"/>
    <x v="19"/>
    <x v="6"/>
    <x v="0"/>
    <n v="680"/>
  </r>
  <r>
    <x v="0"/>
    <x v="33"/>
    <x v="33"/>
    <x v="19"/>
    <x v="11"/>
    <x v="0"/>
    <n v="1350"/>
  </r>
  <r>
    <x v="0"/>
    <x v="33"/>
    <x v="33"/>
    <x v="19"/>
    <x v="19"/>
    <x v="0"/>
    <n v="3295"/>
  </r>
  <r>
    <x v="0"/>
    <x v="33"/>
    <x v="33"/>
    <x v="19"/>
    <x v="21"/>
    <x v="0"/>
    <n v="7300"/>
  </r>
  <r>
    <x v="0"/>
    <x v="33"/>
    <x v="33"/>
    <x v="19"/>
    <x v="7"/>
    <x v="0"/>
    <n v="6500"/>
  </r>
  <r>
    <x v="0"/>
    <x v="33"/>
    <x v="33"/>
    <x v="20"/>
    <x v="0"/>
    <x v="0"/>
    <n v="610"/>
  </r>
  <r>
    <x v="0"/>
    <x v="33"/>
    <x v="33"/>
    <x v="20"/>
    <x v="3"/>
    <x v="0"/>
    <n v="1300"/>
  </r>
  <r>
    <x v="0"/>
    <x v="33"/>
    <x v="33"/>
    <x v="20"/>
    <x v="16"/>
    <x v="0"/>
    <n v="700"/>
  </r>
  <r>
    <x v="0"/>
    <x v="33"/>
    <x v="33"/>
    <x v="20"/>
    <x v="10"/>
    <x v="0"/>
    <n v="3200"/>
  </r>
  <r>
    <x v="0"/>
    <x v="33"/>
    <x v="33"/>
    <x v="21"/>
    <x v="6"/>
    <x v="0"/>
    <n v="1400"/>
  </r>
  <r>
    <x v="0"/>
    <x v="33"/>
    <x v="33"/>
    <x v="21"/>
    <x v="8"/>
    <x v="0"/>
    <n v="1000"/>
  </r>
  <r>
    <x v="0"/>
    <x v="33"/>
    <x v="33"/>
    <x v="21"/>
    <x v="9"/>
    <x v="0"/>
    <n v="1400"/>
  </r>
  <r>
    <x v="0"/>
    <x v="34"/>
    <x v="34"/>
    <x v="0"/>
    <x v="0"/>
    <x v="0"/>
    <n v="3010"/>
  </r>
  <r>
    <x v="0"/>
    <x v="34"/>
    <x v="34"/>
    <x v="0"/>
    <x v="1"/>
    <x v="0"/>
    <n v="3010"/>
  </r>
  <r>
    <x v="0"/>
    <x v="34"/>
    <x v="34"/>
    <x v="0"/>
    <x v="2"/>
    <x v="0"/>
    <n v="6020"/>
  </r>
  <r>
    <x v="0"/>
    <x v="34"/>
    <x v="34"/>
    <x v="0"/>
    <x v="3"/>
    <x v="0"/>
    <n v="600"/>
  </r>
  <r>
    <x v="0"/>
    <x v="34"/>
    <x v="34"/>
    <x v="0"/>
    <x v="4"/>
    <x v="0"/>
    <n v="2000"/>
  </r>
  <r>
    <x v="0"/>
    <x v="34"/>
    <x v="34"/>
    <x v="1"/>
    <x v="5"/>
    <x v="0"/>
    <n v="3010"/>
  </r>
  <r>
    <x v="0"/>
    <x v="34"/>
    <x v="34"/>
    <x v="1"/>
    <x v="2"/>
    <x v="0"/>
    <n v="8634"/>
  </r>
  <r>
    <x v="0"/>
    <x v="34"/>
    <x v="34"/>
    <x v="1"/>
    <x v="6"/>
    <x v="0"/>
    <n v="3000"/>
  </r>
  <r>
    <x v="0"/>
    <x v="34"/>
    <x v="34"/>
    <x v="1"/>
    <x v="9"/>
    <x v="0"/>
    <n v="1400"/>
  </r>
  <r>
    <x v="0"/>
    <x v="34"/>
    <x v="34"/>
    <x v="1"/>
    <x v="7"/>
    <x v="0"/>
    <n v="600"/>
  </r>
  <r>
    <x v="0"/>
    <x v="34"/>
    <x v="34"/>
    <x v="2"/>
    <x v="5"/>
    <x v="0"/>
    <n v="3010"/>
  </r>
  <r>
    <x v="0"/>
    <x v="34"/>
    <x v="34"/>
    <x v="2"/>
    <x v="2"/>
    <x v="0"/>
    <n v="14416"/>
  </r>
  <r>
    <x v="0"/>
    <x v="34"/>
    <x v="34"/>
    <x v="3"/>
    <x v="5"/>
    <x v="0"/>
    <n v="6020"/>
  </r>
  <r>
    <x v="0"/>
    <x v="34"/>
    <x v="34"/>
    <x v="3"/>
    <x v="0"/>
    <x v="0"/>
    <n v="8634"/>
  </r>
  <r>
    <x v="0"/>
    <x v="34"/>
    <x v="34"/>
    <x v="3"/>
    <x v="1"/>
    <x v="0"/>
    <n v="14416"/>
  </r>
  <r>
    <x v="0"/>
    <x v="34"/>
    <x v="34"/>
    <x v="3"/>
    <x v="3"/>
    <x v="0"/>
    <n v="400"/>
  </r>
  <r>
    <x v="0"/>
    <x v="34"/>
    <x v="34"/>
    <x v="3"/>
    <x v="8"/>
    <x v="0"/>
    <n v="5900"/>
  </r>
  <r>
    <x v="0"/>
    <x v="34"/>
    <x v="34"/>
    <x v="4"/>
    <x v="0"/>
    <x v="0"/>
    <n v="3000"/>
  </r>
  <r>
    <x v="0"/>
    <x v="34"/>
    <x v="34"/>
    <x v="4"/>
    <x v="3"/>
    <x v="0"/>
    <n v="600"/>
  </r>
  <r>
    <x v="0"/>
    <x v="34"/>
    <x v="34"/>
    <x v="4"/>
    <x v="8"/>
    <x v="0"/>
    <n v="700"/>
  </r>
  <r>
    <x v="0"/>
    <x v="34"/>
    <x v="34"/>
    <x v="4"/>
    <x v="9"/>
    <x v="0"/>
    <n v="1700"/>
  </r>
  <r>
    <x v="0"/>
    <x v="34"/>
    <x v="34"/>
    <x v="4"/>
    <x v="10"/>
    <x v="0"/>
    <n v="740"/>
  </r>
  <r>
    <x v="0"/>
    <x v="34"/>
    <x v="34"/>
    <x v="4"/>
    <x v="17"/>
    <x v="0"/>
    <n v="1400"/>
  </r>
  <r>
    <x v="0"/>
    <x v="34"/>
    <x v="34"/>
    <x v="5"/>
    <x v="5"/>
    <x v="0"/>
    <n v="585"/>
  </r>
  <r>
    <x v="0"/>
    <x v="34"/>
    <x v="34"/>
    <x v="5"/>
    <x v="2"/>
    <x v="0"/>
    <n v="400"/>
  </r>
  <r>
    <x v="0"/>
    <x v="34"/>
    <x v="34"/>
    <x v="5"/>
    <x v="6"/>
    <x v="0"/>
    <n v="600"/>
  </r>
  <r>
    <x v="0"/>
    <x v="34"/>
    <x v="34"/>
    <x v="5"/>
    <x v="7"/>
    <x v="0"/>
    <n v="1700"/>
  </r>
  <r>
    <x v="0"/>
    <x v="34"/>
    <x v="34"/>
    <x v="6"/>
    <x v="11"/>
    <x v="0"/>
    <n v="1000"/>
  </r>
  <r>
    <x v="0"/>
    <x v="34"/>
    <x v="34"/>
    <x v="6"/>
    <x v="12"/>
    <x v="0"/>
    <n v="800"/>
  </r>
  <r>
    <x v="0"/>
    <x v="34"/>
    <x v="34"/>
    <x v="7"/>
    <x v="13"/>
    <x v="0"/>
    <n v="1000"/>
  </r>
  <r>
    <x v="0"/>
    <x v="34"/>
    <x v="34"/>
    <x v="7"/>
    <x v="14"/>
    <x v="0"/>
    <n v="700"/>
  </r>
  <r>
    <x v="0"/>
    <x v="34"/>
    <x v="34"/>
    <x v="7"/>
    <x v="15"/>
    <x v="0"/>
    <n v="1300"/>
  </r>
  <r>
    <x v="0"/>
    <x v="34"/>
    <x v="34"/>
    <x v="7"/>
    <x v="10"/>
    <x v="0"/>
    <n v="1350"/>
  </r>
  <r>
    <x v="0"/>
    <x v="34"/>
    <x v="34"/>
    <x v="8"/>
    <x v="12"/>
    <x v="0"/>
    <n v="700"/>
  </r>
  <r>
    <x v="0"/>
    <x v="34"/>
    <x v="34"/>
    <x v="8"/>
    <x v="4"/>
    <x v="0"/>
    <n v="1000"/>
  </r>
  <r>
    <x v="0"/>
    <x v="34"/>
    <x v="34"/>
    <x v="8"/>
    <x v="7"/>
    <x v="0"/>
    <n v="700"/>
  </r>
  <r>
    <x v="0"/>
    <x v="34"/>
    <x v="34"/>
    <x v="9"/>
    <x v="13"/>
    <x v="0"/>
    <n v="800"/>
  </r>
  <r>
    <x v="0"/>
    <x v="34"/>
    <x v="34"/>
    <x v="9"/>
    <x v="16"/>
    <x v="0"/>
    <n v="1200"/>
  </r>
  <r>
    <x v="0"/>
    <x v="34"/>
    <x v="34"/>
    <x v="10"/>
    <x v="2"/>
    <x v="0"/>
    <n v="5100"/>
  </r>
  <r>
    <x v="0"/>
    <x v="34"/>
    <x v="34"/>
    <x v="10"/>
    <x v="6"/>
    <x v="0"/>
    <n v="700"/>
  </r>
  <r>
    <x v="0"/>
    <x v="34"/>
    <x v="34"/>
    <x v="10"/>
    <x v="9"/>
    <x v="0"/>
    <n v="1400"/>
  </r>
  <r>
    <x v="0"/>
    <x v="34"/>
    <x v="34"/>
    <x v="10"/>
    <x v="17"/>
    <x v="0"/>
    <n v="1000"/>
  </r>
  <r>
    <x v="0"/>
    <x v="34"/>
    <x v="34"/>
    <x v="11"/>
    <x v="9"/>
    <x v="0"/>
    <n v="2500"/>
  </r>
  <r>
    <x v="0"/>
    <x v="34"/>
    <x v="34"/>
    <x v="11"/>
    <x v="18"/>
    <x v="0"/>
    <n v="1150"/>
  </r>
  <r>
    <x v="0"/>
    <x v="34"/>
    <x v="34"/>
    <x v="11"/>
    <x v="10"/>
    <x v="0"/>
    <n v="3345"/>
  </r>
  <r>
    <x v="0"/>
    <x v="34"/>
    <x v="34"/>
    <x v="12"/>
    <x v="0"/>
    <x v="0"/>
    <n v="1400"/>
  </r>
  <r>
    <x v="0"/>
    <x v="34"/>
    <x v="34"/>
    <x v="12"/>
    <x v="6"/>
    <x v="0"/>
    <n v="1700"/>
  </r>
  <r>
    <x v="0"/>
    <x v="34"/>
    <x v="34"/>
    <x v="12"/>
    <x v="8"/>
    <x v="0"/>
    <n v="1400"/>
  </r>
  <r>
    <x v="0"/>
    <x v="34"/>
    <x v="34"/>
    <x v="12"/>
    <x v="19"/>
    <x v="0"/>
    <n v="3200"/>
  </r>
  <r>
    <x v="0"/>
    <x v="34"/>
    <x v="34"/>
    <x v="12"/>
    <x v="20"/>
    <x v="0"/>
    <n v="1200"/>
  </r>
  <r>
    <x v="0"/>
    <x v="34"/>
    <x v="34"/>
    <x v="12"/>
    <x v="17"/>
    <x v="0"/>
    <n v="1400"/>
  </r>
  <r>
    <x v="0"/>
    <x v="34"/>
    <x v="34"/>
    <x v="13"/>
    <x v="19"/>
    <x v="0"/>
    <n v="1200"/>
  </r>
  <r>
    <x v="0"/>
    <x v="34"/>
    <x v="34"/>
    <x v="13"/>
    <x v="14"/>
    <x v="0"/>
    <n v="200"/>
  </r>
  <r>
    <x v="0"/>
    <x v="34"/>
    <x v="34"/>
    <x v="13"/>
    <x v="20"/>
    <x v="0"/>
    <n v="1000"/>
  </r>
  <r>
    <x v="0"/>
    <x v="34"/>
    <x v="34"/>
    <x v="13"/>
    <x v="21"/>
    <x v="0"/>
    <n v="600"/>
  </r>
  <r>
    <x v="0"/>
    <x v="34"/>
    <x v="34"/>
    <x v="14"/>
    <x v="11"/>
    <x v="0"/>
    <n v="600"/>
  </r>
  <r>
    <x v="0"/>
    <x v="34"/>
    <x v="34"/>
    <x v="14"/>
    <x v="18"/>
    <x v="0"/>
    <n v="1000"/>
  </r>
  <r>
    <x v="0"/>
    <x v="34"/>
    <x v="34"/>
    <x v="14"/>
    <x v="21"/>
    <x v="0"/>
    <n v="250"/>
  </r>
  <r>
    <x v="0"/>
    <x v="34"/>
    <x v="34"/>
    <x v="15"/>
    <x v="9"/>
    <x v="0"/>
    <n v="1200"/>
  </r>
  <r>
    <x v="0"/>
    <x v="34"/>
    <x v="34"/>
    <x v="15"/>
    <x v="18"/>
    <x v="0"/>
    <n v="1000"/>
  </r>
  <r>
    <x v="0"/>
    <x v="34"/>
    <x v="34"/>
    <x v="16"/>
    <x v="5"/>
    <x v="0"/>
    <n v="2000"/>
  </r>
  <r>
    <x v="0"/>
    <x v="34"/>
    <x v="34"/>
    <x v="16"/>
    <x v="16"/>
    <x v="0"/>
    <n v="1000"/>
  </r>
  <r>
    <x v="0"/>
    <x v="34"/>
    <x v="34"/>
    <x v="17"/>
    <x v="11"/>
    <x v="0"/>
    <n v="1300"/>
  </r>
  <r>
    <x v="0"/>
    <x v="34"/>
    <x v="34"/>
    <x v="17"/>
    <x v="14"/>
    <x v="0"/>
    <n v="600"/>
  </r>
  <r>
    <x v="0"/>
    <x v="34"/>
    <x v="34"/>
    <x v="17"/>
    <x v="21"/>
    <x v="0"/>
    <n v="3300"/>
  </r>
  <r>
    <x v="0"/>
    <x v="34"/>
    <x v="34"/>
    <x v="18"/>
    <x v="18"/>
    <x v="0"/>
    <n v="1000"/>
  </r>
  <r>
    <x v="0"/>
    <x v="34"/>
    <x v="34"/>
    <x v="18"/>
    <x v="14"/>
    <x v="0"/>
    <n v="300"/>
  </r>
  <r>
    <x v="0"/>
    <x v="34"/>
    <x v="34"/>
    <x v="18"/>
    <x v="15"/>
    <x v="0"/>
    <n v="3300"/>
  </r>
  <r>
    <x v="0"/>
    <x v="34"/>
    <x v="34"/>
    <x v="18"/>
    <x v="10"/>
    <x v="0"/>
    <n v="7300"/>
  </r>
  <r>
    <x v="0"/>
    <x v="34"/>
    <x v="34"/>
    <x v="19"/>
    <x v="6"/>
    <x v="0"/>
    <n v="680"/>
  </r>
  <r>
    <x v="0"/>
    <x v="34"/>
    <x v="34"/>
    <x v="19"/>
    <x v="11"/>
    <x v="0"/>
    <n v="1350"/>
  </r>
  <r>
    <x v="0"/>
    <x v="34"/>
    <x v="34"/>
    <x v="19"/>
    <x v="19"/>
    <x v="0"/>
    <n v="3295"/>
  </r>
  <r>
    <x v="0"/>
    <x v="34"/>
    <x v="34"/>
    <x v="19"/>
    <x v="21"/>
    <x v="0"/>
    <n v="7300"/>
  </r>
  <r>
    <x v="0"/>
    <x v="34"/>
    <x v="34"/>
    <x v="19"/>
    <x v="7"/>
    <x v="0"/>
    <n v="6500"/>
  </r>
  <r>
    <x v="0"/>
    <x v="34"/>
    <x v="34"/>
    <x v="20"/>
    <x v="0"/>
    <x v="0"/>
    <n v="610"/>
  </r>
  <r>
    <x v="0"/>
    <x v="34"/>
    <x v="34"/>
    <x v="20"/>
    <x v="3"/>
    <x v="0"/>
    <n v="1300"/>
  </r>
  <r>
    <x v="0"/>
    <x v="34"/>
    <x v="34"/>
    <x v="20"/>
    <x v="16"/>
    <x v="0"/>
    <n v="700"/>
  </r>
  <r>
    <x v="0"/>
    <x v="34"/>
    <x v="34"/>
    <x v="20"/>
    <x v="10"/>
    <x v="0"/>
    <n v="3200"/>
  </r>
  <r>
    <x v="0"/>
    <x v="34"/>
    <x v="34"/>
    <x v="21"/>
    <x v="6"/>
    <x v="0"/>
    <n v="1400"/>
  </r>
  <r>
    <x v="0"/>
    <x v="34"/>
    <x v="34"/>
    <x v="21"/>
    <x v="8"/>
    <x v="0"/>
    <n v="1000"/>
  </r>
  <r>
    <x v="0"/>
    <x v="34"/>
    <x v="34"/>
    <x v="21"/>
    <x v="9"/>
    <x v="0"/>
    <n v="1400"/>
  </r>
  <r>
    <x v="0"/>
    <x v="35"/>
    <x v="35"/>
    <x v="0"/>
    <x v="0"/>
    <x v="0"/>
    <n v="3010"/>
  </r>
  <r>
    <x v="0"/>
    <x v="35"/>
    <x v="35"/>
    <x v="0"/>
    <x v="1"/>
    <x v="0"/>
    <n v="3010"/>
  </r>
  <r>
    <x v="0"/>
    <x v="35"/>
    <x v="35"/>
    <x v="0"/>
    <x v="2"/>
    <x v="0"/>
    <n v="6020"/>
  </r>
  <r>
    <x v="0"/>
    <x v="35"/>
    <x v="35"/>
    <x v="0"/>
    <x v="3"/>
    <x v="0"/>
    <n v="600"/>
  </r>
  <r>
    <x v="0"/>
    <x v="35"/>
    <x v="35"/>
    <x v="0"/>
    <x v="4"/>
    <x v="0"/>
    <n v="2000"/>
  </r>
  <r>
    <x v="0"/>
    <x v="35"/>
    <x v="35"/>
    <x v="1"/>
    <x v="5"/>
    <x v="0"/>
    <n v="3010"/>
  </r>
  <r>
    <x v="0"/>
    <x v="35"/>
    <x v="35"/>
    <x v="1"/>
    <x v="2"/>
    <x v="0"/>
    <n v="8634"/>
  </r>
  <r>
    <x v="0"/>
    <x v="35"/>
    <x v="35"/>
    <x v="1"/>
    <x v="6"/>
    <x v="0"/>
    <n v="3000"/>
  </r>
  <r>
    <x v="0"/>
    <x v="35"/>
    <x v="35"/>
    <x v="1"/>
    <x v="9"/>
    <x v="0"/>
    <n v="1400"/>
  </r>
  <r>
    <x v="0"/>
    <x v="35"/>
    <x v="35"/>
    <x v="1"/>
    <x v="7"/>
    <x v="0"/>
    <n v="600"/>
  </r>
  <r>
    <x v="0"/>
    <x v="35"/>
    <x v="35"/>
    <x v="2"/>
    <x v="5"/>
    <x v="0"/>
    <n v="3010"/>
  </r>
  <r>
    <x v="0"/>
    <x v="35"/>
    <x v="35"/>
    <x v="2"/>
    <x v="2"/>
    <x v="0"/>
    <n v="14416"/>
  </r>
  <r>
    <x v="0"/>
    <x v="35"/>
    <x v="35"/>
    <x v="3"/>
    <x v="5"/>
    <x v="0"/>
    <n v="6020"/>
  </r>
  <r>
    <x v="0"/>
    <x v="35"/>
    <x v="35"/>
    <x v="3"/>
    <x v="0"/>
    <x v="0"/>
    <n v="8634"/>
  </r>
  <r>
    <x v="0"/>
    <x v="35"/>
    <x v="35"/>
    <x v="3"/>
    <x v="1"/>
    <x v="0"/>
    <n v="14416"/>
  </r>
  <r>
    <x v="0"/>
    <x v="35"/>
    <x v="35"/>
    <x v="3"/>
    <x v="3"/>
    <x v="0"/>
    <n v="400"/>
  </r>
  <r>
    <x v="0"/>
    <x v="35"/>
    <x v="35"/>
    <x v="3"/>
    <x v="8"/>
    <x v="0"/>
    <n v="5900"/>
  </r>
  <r>
    <x v="0"/>
    <x v="35"/>
    <x v="35"/>
    <x v="4"/>
    <x v="0"/>
    <x v="0"/>
    <n v="3000"/>
  </r>
  <r>
    <x v="0"/>
    <x v="35"/>
    <x v="35"/>
    <x v="4"/>
    <x v="3"/>
    <x v="0"/>
    <n v="600"/>
  </r>
  <r>
    <x v="0"/>
    <x v="35"/>
    <x v="35"/>
    <x v="4"/>
    <x v="8"/>
    <x v="0"/>
    <n v="700"/>
  </r>
  <r>
    <x v="0"/>
    <x v="35"/>
    <x v="35"/>
    <x v="4"/>
    <x v="9"/>
    <x v="0"/>
    <n v="1700"/>
  </r>
  <r>
    <x v="0"/>
    <x v="35"/>
    <x v="35"/>
    <x v="4"/>
    <x v="10"/>
    <x v="0"/>
    <n v="740"/>
  </r>
  <r>
    <x v="0"/>
    <x v="35"/>
    <x v="35"/>
    <x v="4"/>
    <x v="17"/>
    <x v="0"/>
    <n v="1400"/>
  </r>
  <r>
    <x v="0"/>
    <x v="35"/>
    <x v="35"/>
    <x v="5"/>
    <x v="5"/>
    <x v="0"/>
    <n v="585"/>
  </r>
  <r>
    <x v="0"/>
    <x v="35"/>
    <x v="35"/>
    <x v="5"/>
    <x v="2"/>
    <x v="0"/>
    <n v="400"/>
  </r>
  <r>
    <x v="0"/>
    <x v="35"/>
    <x v="35"/>
    <x v="5"/>
    <x v="6"/>
    <x v="0"/>
    <n v="600"/>
  </r>
  <r>
    <x v="0"/>
    <x v="35"/>
    <x v="35"/>
    <x v="5"/>
    <x v="7"/>
    <x v="0"/>
    <n v="1700"/>
  </r>
  <r>
    <x v="0"/>
    <x v="35"/>
    <x v="35"/>
    <x v="6"/>
    <x v="11"/>
    <x v="0"/>
    <n v="1000"/>
  </r>
  <r>
    <x v="0"/>
    <x v="35"/>
    <x v="35"/>
    <x v="6"/>
    <x v="12"/>
    <x v="0"/>
    <n v="800"/>
  </r>
  <r>
    <x v="0"/>
    <x v="35"/>
    <x v="35"/>
    <x v="7"/>
    <x v="13"/>
    <x v="0"/>
    <n v="1000"/>
  </r>
  <r>
    <x v="0"/>
    <x v="35"/>
    <x v="35"/>
    <x v="7"/>
    <x v="14"/>
    <x v="0"/>
    <n v="700"/>
  </r>
  <r>
    <x v="0"/>
    <x v="35"/>
    <x v="35"/>
    <x v="7"/>
    <x v="15"/>
    <x v="0"/>
    <n v="1300"/>
  </r>
  <r>
    <x v="0"/>
    <x v="35"/>
    <x v="35"/>
    <x v="7"/>
    <x v="10"/>
    <x v="0"/>
    <n v="1350"/>
  </r>
  <r>
    <x v="0"/>
    <x v="35"/>
    <x v="35"/>
    <x v="8"/>
    <x v="12"/>
    <x v="0"/>
    <n v="700"/>
  </r>
  <r>
    <x v="0"/>
    <x v="35"/>
    <x v="35"/>
    <x v="8"/>
    <x v="4"/>
    <x v="0"/>
    <n v="1000"/>
  </r>
  <r>
    <x v="0"/>
    <x v="35"/>
    <x v="35"/>
    <x v="8"/>
    <x v="7"/>
    <x v="0"/>
    <n v="700"/>
  </r>
  <r>
    <x v="0"/>
    <x v="35"/>
    <x v="35"/>
    <x v="9"/>
    <x v="13"/>
    <x v="0"/>
    <n v="800"/>
  </r>
  <r>
    <x v="0"/>
    <x v="35"/>
    <x v="35"/>
    <x v="9"/>
    <x v="16"/>
    <x v="0"/>
    <n v="1200"/>
  </r>
  <r>
    <x v="0"/>
    <x v="35"/>
    <x v="35"/>
    <x v="10"/>
    <x v="2"/>
    <x v="0"/>
    <n v="5100"/>
  </r>
  <r>
    <x v="0"/>
    <x v="35"/>
    <x v="35"/>
    <x v="10"/>
    <x v="6"/>
    <x v="0"/>
    <n v="700"/>
  </r>
  <r>
    <x v="0"/>
    <x v="35"/>
    <x v="35"/>
    <x v="10"/>
    <x v="9"/>
    <x v="0"/>
    <n v="1400"/>
  </r>
  <r>
    <x v="0"/>
    <x v="35"/>
    <x v="35"/>
    <x v="10"/>
    <x v="17"/>
    <x v="0"/>
    <n v="1000"/>
  </r>
  <r>
    <x v="0"/>
    <x v="35"/>
    <x v="35"/>
    <x v="11"/>
    <x v="9"/>
    <x v="0"/>
    <n v="2500"/>
  </r>
  <r>
    <x v="0"/>
    <x v="35"/>
    <x v="35"/>
    <x v="11"/>
    <x v="18"/>
    <x v="0"/>
    <n v="1150"/>
  </r>
  <r>
    <x v="0"/>
    <x v="35"/>
    <x v="35"/>
    <x v="11"/>
    <x v="10"/>
    <x v="0"/>
    <n v="3345"/>
  </r>
  <r>
    <x v="0"/>
    <x v="35"/>
    <x v="35"/>
    <x v="12"/>
    <x v="0"/>
    <x v="0"/>
    <n v="1400"/>
  </r>
  <r>
    <x v="0"/>
    <x v="35"/>
    <x v="35"/>
    <x v="12"/>
    <x v="6"/>
    <x v="0"/>
    <n v="1700"/>
  </r>
  <r>
    <x v="0"/>
    <x v="35"/>
    <x v="35"/>
    <x v="12"/>
    <x v="8"/>
    <x v="0"/>
    <n v="1400"/>
  </r>
  <r>
    <x v="0"/>
    <x v="35"/>
    <x v="35"/>
    <x v="12"/>
    <x v="19"/>
    <x v="0"/>
    <n v="3200"/>
  </r>
  <r>
    <x v="0"/>
    <x v="35"/>
    <x v="35"/>
    <x v="12"/>
    <x v="20"/>
    <x v="0"/>
    <n v="1200"/>
  </r>
  <r>
    <x v="0"/>
    <x v="35"/>
    <x v="35"/>
    <x v="12"/>
    <x v="17"/>
    <x v="0"/>
    <n v="1400"/>
  </r>
  <r>
    <x v="0"/>
    <x v="35"/>
    <x v="35"/>
    <x v="13"/>
    <x v="19"/>
    <x v="0"/>
    <n v="1200"/>
  </r>
  <r>
    <x v="0"/>
    <x v="35"/>
    <x v="35"/>
    <x v="13"/>
    <x v="14"/>
    <x v="0"/>
    <n v="200"/>
  </r>
  <r>
    <x v="0"/>
    <x v="35"/>
    <x v="35"/>
    <x v="13"/>
    <x v="20"/>
    <x v="0"/>
    <n v="1000"/>
  </r>
  <r>
    <x v="0"/>
    <x v="35"/>
    <x v="35"/>
    <x v="13"/>
    <x v="21"/>
    <x v="0"/>
    <n v="600"/>
  </r>
  <r>
    <x v="0"/>
    <x v="35"/>
    <x v="35"/>
    <x v="14"/>
    <x v="11"/>
    <x v="0"/>
    <n v="600"/>
  </r>
  <r>
    <x v="0"/>
    <x v="35"/>
    <x v="35"/>
    <x v="14"/>
    <x v="18"/>
    <x v="0"/>
    <n v="1000"/>
  </r>
  <r>
    <x v="0"/>
    <x v="35"/>
    <x v="35"/>
    <x v="14"/>
    <x v="21"/>
    <x v="0"/>
    <n v="250"/>
  </r>
  <r>
    <x v="0"/>
    <x v="35"/>
    <x v="35"/>
    <x v="15"/>
    <x v="9"/>
    <x v="0"/>
    <n v="1200"/>
  </r>
  <r>
    <x v="0"/>
    <x v="35"/>
    <x v="35"/>
    <x v="15"/>
    <x v="18"/>
    <x v="0"/>
    <n v="1000"/>
  </r>
  <r>
    <x v="0"/>
    <x v="35"/>
    <x v="35"/>
    <x v="16"/>
    <x v="5"/>
    <x v="0"/>
    <n v="2000"/>
  </r>
  <r>
    <x v="0"/>
    <x v="35"/>
    <x v="35"/>
    <x v="16"/>
    <x v="16"/>
    <x v="0"/>
    <n v="1000"/>
  </r>
  <r>
    <x v="0"/>
    <x v="35"/>
    <x v="35"/>
    <x v="17"/>
    <x v="11"/>
    <x v="0"/>
    <n v="1300"/>
  </r>
  <r>
    <x v="0"/>
    <x v="35"/>
    <x v="35"/>
    <x v="17"/>
    <x v="14"/>
    <x v="0"/>
    <n v="600"/>
  </r>
  <r>
    <x v="0"/>
    <x v="35"/>
    <x v="35"/>
    <x v="17"/>
    <x v="21"/>
    <x v="0"/>
    <n v="3300"/>
  </r>
  <r>
    <x v="0"/>
    <x v="35"/>
    <x v="35"/>
    <x v="18"/>
    <x v="18"/>
    <x v="0"/>
    <n v="1000"/>
  </r>
  <r>
    <x v="0"/>
    <x v="35"/>
    <x v="35"/>
    <x v="18"/>
    <x v="14"/>
    <x v="0"/>
    <n v="300"/>
  </r>
  <r>
    <x v="0"/>
    <x v="35"/>
    <x v="35"/>
    <x v="18"/>
    <x v="15"/>
    <x v="0"/>
    <n v="3300"/>
  </r>
  <r>
    <x v="0"/>
    <x v="35"/>
    <x v="35"/>
    <x v="18"/>
    <x v="10"/>
    <x v="0"/>
    <n v="7300"/>
  </r>
  <r>
    <x v="0"/>
    <x v="35"/>
    <x v="35"/>
    <x v="19"/>
    <x v="6"/>
    <x v="0"/>
    <n v="680"/>
  </r>
  <r>
    <x v="0"/>
    <x v="35"/>
    <x v="35"/>
    <x v="19"/>
    <x v="11"/>
    <x v="0"/>
    <n v="1350"/>
  </r>
  <r>
    <x v="0"/>
    <x v="35"/>
    <x v="35"/>
    <x v="19"/>
    <x v="19"/>
    <x v="0"/>
    <n v="3295"/>
  </r>
  <r>
    <x v="0"/>
    <x v="35"/>
    <x v="35"/>
    <x v="19"/>
    <x v="21"/>
    <x v="0"/>
    <n v="7300"/>
  </r>
  <r>
    <x v="0"/>
    <x v="35"/>
    <x v="35"/>
    <x v="19"/>
    <x v="7"/>
    <x v="0"/>
    <n v="6500"/>
  </r>
  <r>
    <x v="0"/>
    <x v="35"/>
    <x v="35"/>
    <x v="20"/>
    <x v="0"/>
    <x v="0"/>
    <n v="610"/>
  </r>
  <r>
    <x v="0"/>
    <x v="35"/>
    <x v="35"/>
    <x v="20"/>
    <x v="3"/>
    <x v="0"/>
    <n v="1300"/>
  </r>
  <r>
    <x v="0"/>
    <x v="35"/>
    <x v="35"/>
    <x v="20"/>
    <x v="16"/>
    <x v="0"/>
    <n v="700"/>
  </r>
  <r>
    <x v="0"/>
    <x v="35"/>
    <x v="35"/>
    <x v="20"/>
    <x v="10"/>
    <x v="0"/>
    <n v="3200"/>
  </r>
  <r>
    <x v="0"/>
    <x v="35"/>
    <x v="35"/>
    <x v="21"/>
    <x v="6"/>
    <x v="0"/>
    <n v="1400"/>
  </r>
  <r>
    <x v="0"/>
    <x v="35"/>
    <x v="35"/>
    <x v="21"/>
    <x v="8"/>
    <x v="0"/>
    <n v="1000"/>
  </r>
  <r>
    <x v="0"/>
    <x v="35"/>
    <x v="35"/>
    <x v="21"/>
    <x v="9"/>
    <x v="0"/>
    <n v="1400"/>
  </r>
  <r>
    <x v="0"/>
    <x v="36"/>
    <x v="36"/>
    <x v="0"/>
    <x v="0"/>
    <x v="0"/>
    <n v="3010"/>
  </r>
  <r>
    <x v="0"/>
    <x v="36"/>
    <x v="36"/>
    <x v="0"/>
    <x v="1"/>
    <x v="0"/>
    <n v="3010"/>
  </r>
  <r>
    <x v="0"/>
    <x v="36"/>
    <x v="36"/>
    <x v="0"/>
    <x v="2"/>
    <x v="0"/>
    <n v="6020"/>
  </r>
  <r>
    <x v="0"/>
    <x v="36"/>
    <x v="36"/>
    <x v="0"/>
    <x v="3"/>
    <x v="0"/>
    <n v="600"/>
  </r>
  <r>
    <x v="0"/>
    <x v="36"/>
    <x v="36"/>
    <x v="0"/>
    <x v="4"/>
    <x v="0"/>
    <n v="2000"/>
  </r>
  <r>
    <x v="0"/>
    <x v="36"/>
    <x v="36"/>
    <x v="1"/>
    <x v="5"/>
    <x v="0"/>
    <n v="3010"/>
  </r>
  <r>
    <x v="0"/>
    <x v="36"/>
    <x v="36"/>
    <x v="1"/>
    <x v="2"/>
    <x v="0"/>
    <n v="8634"/>
  </r>
  <r>
    <x v="0"/>
    <x v="36"/>
    <x v="36"/>
    <x v="1"/>
    <x v="6"/>
    <x v="0"/>
    <n v="3000"/>
  </r>
  <r>
    <x v="0"/>
    <x v="36"/>
    <x v="36"/>
    <x v="1"/>
    <x v="9"/>
    <x v="0"/>
    <n v="1400"/>
  </r>
  <r>
    <x v="0"/>
    <x v="36"/>
    <x v="36"/>
    <x v="1"/>
    <x v="7"/>
    <x v="0"/>
    <n v="600"/>
  </r>
  <r>
    <x v="0"/>
    <x v="36"/>
    <x v="36"/>
    <x v="2"/>
    <x v="5"/>
    <x v="0"/>
    <n v="3010"/>
  </r>
  <r>
    <x v="0"/>
    <x v="36"/>
    <x v="36"/>
    <x v="2"/>
    <x v="2"/>
    <x v="0"/>
    <n v="14416"/>
  </r>
  <r>
    <x v="0"/>
    <x v="36"/>
    <x v="36"/>
    <x v="3"/>
    <x v="5"/>
    <x v="0"/>
    <n v="6020"/>
  </r>
  <r>
    <x v="0"/>
    <x v="36"/>
    <x v="36"/>
    <x v="3"/>
    <x v="0"/>
    <x v="0"/>
    <n v="8634"/>
  </r>
  <r>
    <x v="0"/>
    <x v="36"/>
    <x v="36"/>
    <x v="3"/>
    <x v="1"/>
    <x v="0"/>
    <n v="14416"/>
  </r>
  <r>
    <x v="0"/>
    <x v="36"/>
    <x v="36"/>
    <x v="3"/>
    <x v="3"/>
    <x v="0"/>
    <n v="400"/>
  </r>
  <r>
    <x v="0"/>
    <x v="36"/>
    <x v="36"/>
    <x v="3"/>
    <x v="8"/>
    <x v="0"/>
    <n v="5900"/>
  </r>
  <r>
    <x v="0"/>
    <x v="36"/>
    <x v="36"/>
    <x v="4"/>
    <x v="0"/>
    <x v="0"/>
    <n v="3000"/>
  </r>
  <r>
    <x v="0"/>
    <x v="36"/>
    <x v="36"/>
    <x v="4"/>
    <x v="3"/>
    <x v="0"/>
    <n v="600"/>
  </r>
  <r>
    <x v="0"/>
    <x v="36"/>
    <x v="36"/>
    <x v="4"/>
    <x v="8"/>
    <x v="0"/>
    <n v="700"/>
  </r>
  <r>
    <x v="0"/>
    <x v="36"/>
    <x v="36"/>
    <x v="4"/>
    <x v="9"/>
    <x v="0"/>
    <n v="1700"/>
  </r>
  <r>
    <x v="0"/>
    <x v="36"/>
    <x v="36"/>
    <x v="4"/>
    <x v="10"/>
    <x v="0"/>
    <n v="740"/>
  </r>
  <r>
    <x v="0"/>
    <x v="36"/>
    <x v="36"/>
    <x v="4"/>
    <x v="17"/>
    <x v="0"/>
    <n v="1400"/>
  </r>
  <r>
    <x v="0"/>
    <x v="36"/>
    <x v="36"/>
    <x v="5"/>
    <x v="5"/>
    <x v="0"/>
    <n v="585"/>
  </r>
  <r>
    <x v="0"/>
    <x v="36"/>
    <x v="36"/>
    <x v="5"/>
    <x v="2"/>
    <x v="0"/>
    <n v="400"/>
  </r>
  <r>
    <x v="0"/>
    <x v="36"/>
    <x v="36"/>
    <x v="5"/>
    <x v="6"/>
    <x v="0"/>
    <n v="600"/>
  </r>
  <r>
    <x v="0"/>
    <x v="36"/>
    <x v="36"/>
    <x v="5"/>
    <x v="7"/>
    <x v="0"/>
    <n v="1700"/>
  </r>
  <r>
    <x v="0"/>
    <x v="36"/>
    <x v="36"/>
    <x v="6"/>
    <x v="11"/>
    <x v="0"/>
    <n v="1000"/>
  </r>
  <r>
    <x v="0"/>
    <x v="36"/>
    <x v="36"/>
    <x v="6"/>
    <x v="12"/>
    <x v="0"/>
    <n v="800"/>
  </r>
  <r>
    <x v="0"/>
    <x v="36"/>
    <x v="36"/>
    <x v="7"/>
    <x v="13"/>
    <x v="0"/>
    <n v="1000"/>
  </r>
  <r>
    <x v="0"/>
    <x v="36"/>
    <x v="36"/>
    <x v="7"/>
    <x v="14"/>
    <x v="0"/>
    <n v="700"/>
  </r>
  <r>
    <x v="0"/>
    <x v="36"/>
    <x v="36"/>
    <x v="7"/>
    <x v="15"/>
    <x v="0"/>
    <n v="1300"/>
  </r>
  <r>
    <x v="0"/>
    <x v="36"/>
    <x v="36"/>
    <x v="7"/>
    <x v="10"/>
    <x v="0"/>
    <n v="1350"/>
  </r>
  <r>
    <x v="0"/>
    <x v="36"/>
    <x v="36"/>
    <x v="8"/>
    <x v="12"/>
    <x v="0"/>
    <n v="700"/>
  </r>
  <r>
    <x v="0"/>
    <x v="36"/>
    <x v="36"/>
    <x v="8"/>
    <x v="4"/>
    <x v="0"/>
    <n v="1000"/>
  </r>
  <r>
    <x v="0"/>
    <x v="36"/>
    <x v="36"/>
    <x v="8"/>
    <x v="7"/>
    <x v="0"/>
    <n v="700"/>
  </r>
  <r>
    <x v="0"/>
    <x v="36"/>
    <x v="36"/>
    <x v="9"/>
    <x v="13"/>
    <x v="0"/>
    <n v="800"/>
  </r>
  <r>
    <x v="0"/>
    <x v="36"/>
    <x v="36"/>
    <x v="9"/>
    <x v="16"/>
    <x v="0"/>
    <n v="1200"/>
  </r>
  <r>
    <x v="0"/>
    <x v="36"/>
    <x v="36"/>
    <x v="10"/>
    <x v="2"/>
    <x v="0"/>
    <n v="5100"/>
  </r>
  <r>
    <x v="0"/>
    <x v="36"/>
    <x v="36"/>
    <x v="10"/>
    <x v="6"/>
    <x v="0"/>
    <n v="700"/>
  </r>
  <r>
    <x v="0"/>
    <x v="36"/>
    <x v="36"/>
    <x v="10"/>
    <x v="9"/>
    <x v="0"/>
    <n v="1400"/>
  </r>
  <r>
    <x v="0"/>
    <x v="36"/>
    <x v="36"/>
    <x v="10"/>
    <x v="17"/>
    <x v="0"/>
    <n v="1000"/>
  </r>
  <r>
    <x v="0"/>
    <x v="36"/>
    <x v="36"/>
    <x v="11"/>
    <x v="9"/>
    <x v="0"/>
    <n v="2500"/>
  </r>
  <r>
    <x v="0"/>
    <x v="36"/>
    <x v="36"/>
    <x v="11"/>
    <x v="18"/>
    <x v="0"/>
    <n v="1150"/>
  </r>
  <r>
    <x v="0"/>
    <x v="36"/>
    <x v="36"/>
    <x v="11"/>
    <x v="10"/>
    <x v="0"/>
    <n v="3345"/>
  </r>
  <r>
    <x v="0"/>
    <x v="36"/>
    <x v="36"/>
    <x v="12"/>
    <x v="0"/>
    <x v="0"/>
    <n v="1400"/>
  </r>
  <r>
    <x v="0"/>
    <x v="36"/>
    <x v="36"/>
    <x v="12"/>
    <x v="6"/>
    <x v="0"/>
    <n v="1700"/>
  </r>
  <r>
    <x v="0"/>
    <x v="36"/>
    <x v="36"/>
    <x v="12"/>
    <x v="8"/>
    <x v="0"/>
    <n v="1400"/>
  </r>
  <r>
    <x v="0"/>
    <x v="36"/>
    <x v="36"/>
    <x v="12"/>
    <x v="19"/>
    <x v="0"/>
    <n v="3200"/>
  </r>
  <r>
    <x v="0"/>
    <x v="36"/>
    <x v="36"/>
    <x v="12"/>
    <x v="20"/>
    <x v="0"/>
    <n v="1200"/>
  </r>
  <r>
    <x v="0"/>
    <x v="36"/>
    <x v="36"/>
    <x v="12"/>
    <x v="17"/>
    <x v="0"/>
    <n v="1400"/>
  </r>
  <r>
    <x v="0"/>
    <x v="36"/>
    <x v="36"/>
    <x v="13"/>
    <x v="19"/>
    <x v="0"/>
    <n v="1200"/>
  </r>
  <r>
    <x v="0"/>
    <x v="36"/>
    <x v="36"/>
    <x v="13"/>
    <x v="14"/>
    <x v="0"/>
    <n v="200"/>
  </r>
  <r>
    <x v="0"/>
    <x v="36"/>
    <x v="36"/>
    <x v="13"/>
    <x v="20"/>
    <x v="0"/>
    <n v="1000"/>
  </r>
  <r>
    <x v="0"/>
    <x v="36"/>
    <x v="36"/>
    <x v="13"/>
    <x v="21"/>
    <x v="0"/>
    <n v="600"/>
  </r>
  <r>
    <x v="0"/>
    <x v="36"/>
    <x v="36"/>
    <x v="14"/>
    <x v="11"/>
    <x v="0"/>
    <n v="600"/>
  </r>
  <r>
    <x v="0"/>
    <x v="36"/>
    <x v="36"/>
    <x v="14"/>
    <x v="18"/>
    <x v="0"/>
    <n v="1000"/>
  </r>
  <r>
    <x v="0"/>
    <x v="36"/>
    <x v="36"/>
    <x v="14"/>
    <x v="21"/>
    <x v="0"/>
    <n v="250"/>
  </r>
  <r>
    <x v="0"/>
    <x v="36"/>
    <x v="36"/>
    <x v="15"/>
    <x v="9"/>
    <x v="0"/>
    <n v="1200"/>
  </r>
  <r>
    <x v="0"/>
    <x v="36"/>
    <x v="36"/>
    <x v="15"/>
    <x v="18"/>
    <x v="0"/>
    <n v="1000"/>
  </r>
  <r>
    <x v="0"/>
    <x v="36"/>
    <x v="36"/>
    <x v="16"/>
    <x v="5"/>
    <x v="0"/>
    <n v="2000"/>
  </r>
  <r>
    <x v="0"/>
    <x v="36"/>
    <x v="36"/>
    <x v="16"/>
    <x v="16"/>
    <x v="0"/>
    <n v="1000"/>
  </r>
  <r>
    <x v="0"/>
    <x v="36"/>
    <x v="36"/>
    <x v="17"/>
    <x v="11"/>
    <x v="0"/>
    <n v="1300"/>
  </r>
  <r>
    <x v="0"/>
    <x v="36"/>
    <x v="36"/>
    <x v="17"/>
    <x v="14"/>
    <x v="0"/>
    <n v="600"/>
  </r>
  <r>
    <x v="0"/>
    <x v="36"/>
    <x v="36"/>
    <x v="17"/>
    <x v="21"/>
    <x v="0"/>
    <n v="3300"/>
  </r>
  <r>
    <x v="0"/>
    <x v="36"/>
    <x v="36"/>
    <x v="18"/>
    <x v="18"/>
    <x v="0"/>
    <n v="1000"/>
  </r>
  <r>
    <x v="0"/>
    <x v="36"/>
    <x v="36"/>
    <x v="18"/>
    <x v="14"/>
    <x v="0"/>
    <n v="300"/>
  </r>
  <r>
    <x v="0"/>
    <x v="36"/>
    <x v="36"/>
    <x v="18"/>
    <x v="15"/>
    <x v="0"/>
    <n v="3300"/>
  </r>
  <r>
    <x v="0"/>
    <x v="36"/>
    <x v="36"/>
    <x v="18"/>
    <x v="10"/>
    <x v="0"/>
    <n v="7300"/>
  </r>
  <r>
    <x v="0"/>
    <x v="36"/>
    <x v="36"/>
    <x v="19"/>
    <x v="6"/>
    <x v="0"/>
    <n v="680"/>
  </r>
  <r>
    <x v="0"/>
    <x v="36"/>
    <x v="36"/>
    <x v="19"/>
    <x v="11"/>
    <x v="0"/>
    <n v="1350"/>
  </r>
  <r>
    <x v="0"/>
    <x v="36"/>
    <x v="36"/>
    <x v="19"/>
    <x v="19"/>
    <x v="0"/>
    <n v="3295"/>
  </r>
  <r>
    <x v="0"/>
    <x v="36"/>
    <x v="36"/>
    <x v="19"/>
    <x v="21"/>
    <x v="0"/>
    <n v="7300"/>
  </r>
  <r>
    <x v="0"/>
    <x v="36"/>
    <x v="36"/>
    <x v="19"/>
    <x v="7"/>
    <x v="0"/>
    <n v="6500"/>
  </r>
  <r>
    <x v="0"/>
    <x v="36"/>
    <x v="36"/>
    <x v="20"/>
    <x v="0"/>
    <x v="0"/>
    <n v="610"/>
  </r>
  <r>
    <x v="0"/>
    <x v="36"/>
    <x v="36"/>
    <x v="20"/>
    <x v="3"/>
    <x v="0"/>
    <n v="1300"/>
  </r>
  <r>
    <x v="0"/>
    <x v="36"/>
    <x v="36"/>
    <x v="20"/>
    <x v="16"/>
    <x v="0"/>
    <n v="700"/>
  </r>
  <r>
    <x v="0"/>
    <x v="36"/>
    <x v="36"/>
    <x v="20"/>
    <x v="10"/>
    <x v="0"/>
    <n v="3200"/>
  </r>
  <r>
    <x v="0"/>
    <x v="36"/>
    <x v="36"/>
    <x v="21"/>
    <x v="6"/>
    <x v="0"/>
    <n v="1400"/>
  </r>
  <r>
    <x v="0"/>
    <x v="36"/>
    <x v="36"/>
    <x v="21"/>
    <x v="8"/>
    <x v="0"/>
    <n v="1000"/>
  </r>
  <r>
    <x v="0"/>
    <x v="36"/>
    <x v="36"/>
    <x v="21"/>
    <x v="9"/>
    <x v="0"/>
    <n v="1400"/>
  </r>
  <r>
    <x v="0"/>
    <x v="37"/>
    <x v="37"/>
    <x v="0"/>
    <x v="0"/>
    <x v="0"/>
    <n v="3010"/>
  </r>
  <r>
    <x v="0"/>
    <x v="37"/>
    <x v="37"/>
    <x v="0"/>
    <x v="1"/>
    <x v="0"/>
    <n v="3010"/>
  </r>
  <r>
    <x v="0"/>
    <x v="37"/>
    <x v="37"/>
    <x v="0"/>
    <x v="2"/>
    <x v="0"/>
    <n v="6020"/>
  </r>
  <r>
    <x v="0"/>
    <x v="37"/>
    <x v="37"/>
    <x v="0"/>
    <x v="3"/>
    <x v="0"/>
    <n v="600"/>
  </r>
  <r>
    <x v="0"/>
    <x v="37"/>
    <x v="37"/>
    <x v="0"/>
    <x v="4"/>
    <x v="0"/>
    <n v="2000"/>
  </r>
  <r>
    <x v="0"/>
    <x v="37"/>
    <x v="37"/>
    <x v="1"/>
    <x v="5"/>
    <x v="0"/>
    <n v="3010"/>
  </r>
  <r>
    <x v="0"/>
    <x v="37"/>
    <x v="37"/>
    <x v="1"/>
    <x v="2"/>
    <x v="0"/>
    <n v="8634"/>
  </r>
  <r>
    <x v="0"/>
    <x v="37"/>
    <x v="37"/>
    <x v="1"/>
    <x v="6"/>
    <x v="0"/>
    <n v="3000"/>
  </r>
  <r>
    <x v="0"/>
    <x v="37"/>
    <x v="37"/>
    <x v="1"/>
    <x v="9"/>
    <x v="0"/>
    <n v="1400"/>
  </r>
  <r>
    <x v="0"/>
    <x v="37"/>
    <x v="37"/>
    <x v="1"/>
    <x v="7"/>
    <x v="0"/>
    <n v="600"/>
  </r>
  <r>
    <x v="0"/>
    <x v="37"/>
    <x v="37"/>
    <x v="2"/>
    <x v="5"/>
    <x v="0"/>
    <n v="3010"/>
  </r>
  <r>
    <x v="0"/>
    <x v="37"/>
    <x v="37"/>
    <x v="2"/>
    <x v="2"/>
    <x v="0"/>
    <n v="14416"/>
  </r>
  <r>
    <x v="0"/>
    <x v="37"/>
    <x v="37"/>
    <x v="3"/>
    <x v="5"/>
    <x v="0"/>
    <n v="6020"/>
  </r>
  <r>
    <x v="0"/>
    <x v="37"/>
    <x v="37"/>
    <x v="3"/>
    <x v="0"/>
    <x v="0"/>
    <n v="8634"/>
  </r>
  <r>
    <x v="0"/>
    <x v="37"/>
    <x v="37"/>
    <x v="3"/>
    <x v="1"/>
    <x v="0"/>
    <n v="14416"/>
  </r>
  <r>
    <x v="0"/>
    <x v="37"/>
    <x v="37"/>
    <x v="3"/>
    <x v="3"/>
    <x v="0"/>
    <n v="400"/>
  </r>
  <r>
    <x v="0"/>
    <x v="37"/>
    <x v="37"/>
    <x v="3"/>
    <x v="8"/>
    <x v="0"/>
    <n v="5900"/>
  </r>
  <r>
    <x v="0"/>
    <x v="37"/>
    <x v="37"/>
    <x v="4"/>
    <x v="0"/>
    <x v="0"/>
    <n v="3000"/>
  </r>
  <r>
    <x v="0"/>
    <x v="37"/>
    <x v="37"/>
    <x v="4"/>
    <x v="3"/>
    <x v="0"/>
    <n v="600"/>
  </r>
  <r>
    <x v="0"/>
    <x v="37"/>
    <x v="37"/>
    <x v="4"/>
    <x v="8"/>
    <x v="0"/>
    <n v="700"/>
  </r>
  <r>
    <x v="0"/>
    <x v="37"/>
    <x v="37"/>
    <x v="4"/>
    <x v="9"/>
    <x v="0"/>
    <n v="1700"/>
  </r>
  <r>
    <x v="0"/>
    <x v="37"/>
    <x v="37"/>
    <x v="4"/>
    <x v="10"/>
    <x v="0"/>
    <n v="740"/>
  </r>
  <r>
    <x v="0"/>
    <x v="37"/>
    <x v="37"/>
    <x v="4"/>
    <x v="17"/>
    <x v="0"/>
    <n v="1400"/>
  </r>
  <r>
    <x v="0"/>
    <x v="37"/>
    <x v="37"/>
    <x v="5"/>
    <x v="5"/>
    <x v="0"/>
    <n v="585"/>
  </r>
  <r>
    <x v="0"/>
    <x v="37"/>
    <x v="37"/>
    <x v="5"/>
    <x v="2"/>
    <x v="0"/>
    <n v="400"/>
  </r>
  <r>
    <x v="0"/>
    <x v="37"/>
    <x v="37"/>
    <x v="5"/>
    <x v="6"/>
    <x v="0"/>
    <n v="600"/>
  </r>
  <r>
    <x v="0"/>
    <x v="37"/>
    <x v="37"/>
    <x v="5"/>
    <x v="7"/>
    <x v="0"/>
    <n v="1700"/>
  </r>
  <r>
    <x v="0"/>
    <x v="37"/>
    <x v="37"/>
    <x v="6"/>
    <x v="11"/>
    <x v="0"/>
    <n v="1000"/>
  </r>
  <r>
    <x v="0"/>
    <x v="37"/>
    <x v="37"/>
    <x v="6"/>
    <x v="12"/>
    <x v="0"/>
    <n v="800"/>
  </r>
  <r>
    <x v="0"/>
    <x v="37"/>
    <x v="37"/>
    <x v="7"/>
    <x v="13"/>
    <x v="0"/>
    <n v="1000"/>
  </r>
  <r>
    <x v="0"/>
    <x v="37"/>
    <x v="37"/>
    <x v="7"/>
    <x v="14"/>
    <x v="0"/>
    <n v="700"/>
  </r>
  <r>
    <x v="0"/>
    <x v="37"/>
    <x v="37"/>
    <x v="7"/>
    <x v="15"/>
    <x v="0"/>
    <n v="1300"/>
  </r>
  <r>
    <x v="0"/>
    <x v="37"/>
    <x v="37"/>
    <x v="7"/>
    <x v="10"/>
    <x v="0"/>
    <n v="1350"/>
  </r>
  <r>
    <x v="0"/>
    <x v="37"/>
    <x v="37"/>
    <x v="8"/>
    <x v="12"/>
    <x v="0"/>
    <n v="700"/>
  </r>
  <r>
    <x v="0"/>
    <x v="37"/>
    <x v="37"/>
    <x v="8"/>
    <x v="4"/>
    <x v="0"/>
    <n v="1000"/>
  </r>
  <r>
    <x v="0"/>
    <x v="37"/>
    <x v="37"/>
    <x v="8"/>
    <x v="7"/>
    <x v="0"/>
    <n v="700"/>
  </r>
  <r>
    <x v="0"/>
    <x v="37"/>
    <x v="37"/>
    <x v="9"/>
    <x v="13"/>
    <x v="0"/>
    <n v="800"/>
  </r>
  <r>
    <x v="0"/>
    <x v="37"/>
    <x v="37"/>
    <x v="9"/>
    <x v="16"/>
    <x v="0"/>
    <n v="1200"/>
  </r>
  <r>
    <x v="0"/>
    <x v="37"/>
    <x v="37"/>
    <x v="10"/>
    <x v="2"/>
    <x v="0"/>
    <n v="5100"/>
  </r>
  <r>
    <x v="0"/>
    <x v="37"/>
    <x v="37"/>
    <x v="10"/>
    <x v="6"/>
    <x v="0"/>
    <n v="700"/>
  </r>
  <r>
    <x v="0"/>
    <x v="37"/>
    <x v="37"/>
    <x v="10"/>
    <x v="9"/>
    <x v="0"/>
    <n v="1400"/>
  </r>
  <r>
    <x v="0"/>
    <x v="37"/>
    <x v="37"/>
    <x v="10"/>
    <x v="17"/>
    <x v="0"/>
    <n v="1000"/>
  </r>
  <r>
    <x v="0"/>
    <x v="37"/>
    <x v="37"/>
    <x v="11"/>
    <x v="9"/>
    <x v="0"/>
    <n v="2500"/>
  </r>
  <r>
    <x v="0"/>
    <x v="37"/>
    <x v="37"/>
    <x v="11"/>
    <x v="18"/>
    <x v="0"/>
    <n v="1150"/>
  </r>
  <r>
    <x v="0"/>
    <x v="37"/>
    <x v="37"/>
    <x v="11"/>
    <x v="10"/>
    <x v="0"/>
    <n v="3345"/>
  </r>
  <r>
    <x v="0"/>
    <x v="37"/>
    <x v="37"/>
    <x v="12"/>
    <x v="0"/>
    <x v="0"/>
    <n v="1400"/>
  </r>
  <r>
    <x v="0"/>
    <x v="37"/>
    <x v="37"/>
    <x v="12"/>
    <x v="6"/>
    <x v="0"/>
    <n v="1700"/>
  </r>
  <r>
    <x v="0"/>
    <x v="37"/>
    <x v="37"/>
    <x v="12"/>
    <x v="8"/>
    <x v="0"/>
    <n v="1400"/>
  </r>
  <r>
    <x v="0"/>
    <x v="37"/>
    <x v="37"/>
    <x v="12"/>
    <x v="19"/>
    <x v="0"/>
    <n v="3200"/>
  </r>
  <r>
    <x v="0"/>
    <x v="37"/>
    <x v="37"/>
    <x v="12"/>
    <x v="20"/>
    <x v="0"/>
    <n v="1200"/>
  </r>
  <r>
    <x v="0"/>
    <x v="37"/>
    <x v="37"/>
    <x v="12"/>
    <x v="17"/>
    <x v="0"/>
    <n v="1400"/>
  </r>
  <r>
    <x v="0"/>
    <x v="37"/>
    <x v="37"/>
    <x v="13"/>
    <x v="19"/>
    <x v="0"/>
    <n v="1200"/>
  </r>
  <r>
    <x v="0"/>
    <x v="37"/>
    <x v="37"/>
    <x v="13"/>
    <x v="14"/>
    <x v="0"/>
    <n v="200"/>
  </r>
  <r>
    <x v="0"/>
    <x v="37"/>
    <x v="37"/>
    <x v="13"/>
    <x v="20"/>
    <x v="0"/>
    <n v="1000"/>
  </r>
  <r>
    <x v="0"/>
    <x v="37"/>
    <x v="37"/>
    <x v="13"/>
    <x v="21"/>
    <x v="0"/>
    <n v="600"/>
  </r>
  <r>
    <x v="0"/>
    <x v="37"/>
    <x v="37"/>
    <x v="14"/>
    <x v="11"/>
    <x v="0"/>
    <n v="600"/>
  </r>
  <r>
    <x v="0"/>
    <x v="37"/>
    <x v="37"/>
    <x v="14"/>
    <x v="18"/>
    <x v="0"/>
    <n v="1000"/>
  </r>
  <r>
    <x v="0"/>
    <x v="37"/>
    <x v="37"/>
    <x v="14"/>
    <x v="21"/>
    <x v="0"/>
    <n v="250"/>
  </r>
  <r>
    <x v="0"/>
    <x v="37"/>
    <x v="37"/>
    <x v="15"/>
    <x v="9"/>
    <x v="0"/>
    <n v="1200"/>
  </r>
  <r>
    <x v="0"/>
    <x v="37"/>
    <x v="37"/>
    <x v="15"/>
    <x v="18"/>
    <x v="0"/>
    <n v="1000"/>
  </r>
  <r>
    <x v="0"/>
    <x v="37"/>
    <x v="37"/>
    <x v="16"/>
    <x v="5"/>
    <x v="0"/>
    <n v="2000"/>
  </r>
  <r>
    <x v="0"/>
    <x v="37"/>
    <x v="37"/>
    <x v="16"/>
    <x v="16"/>
    <x v="0"/>
    <n v="1000"/>
  </r>
  <r>
    <x v="0"/>
    <x v="37"/>
    <x v="37"/>
    <x v="17"/>
    <x v="11"/>
    <x v="0"/>
    <n v="1300"/>
  </r>
  <r>
    <x v="0"/>
    <x v="37"/>
    <x v="37"/>
    <x v="17"/>
    <x v="14"/>
    <x v="0"/>
    <n v="600"/>
  </r>
  <r>
    <x v="0"/>
    <x v="37"/>
    <x v="37"/>
    <x v="17"/>
    <x v="21"/>
    <x v="0"/>
    <n v="3300"/>
  </r>
  <r>
    <x v="0"/>
    <x v="37"/>
    <x v="37"/>
    <x v="18"/>
    <x v="18"/>
    <x v="0"/>
    <n v="1000"/>
  </r>
  <r>
    <x v="0"/>
    <x v="37"/>
    <x v="37"/>
    <x v="18"/>
    <x v="14"/>
    <x v="0"/>
    <n v="300"/>
  </r>
  <r>
    <x v="0"/>
    <x v="37"/>
    <x v="37"/>
    <x v="18"/>
    <x v="15"/>
    <x v="0"/>
    <n v="3300"/>
  </r>
  <r>
    <x v="0"/>
    <x v="37"/>
    <x v="37"/>
    <x v="18"/>
    <x v="10"/>
    <x v="0"/>
    <n v="7300"/>
  </r>
  <r>
    <x v="0"/>
    <x v="37"/>
    <x v="37"/>
    <x v="19"/>
    <x v="6"/>
    <x v="0"/>
    <n v="680"/>
  </r>
  <r>
    <x v="0"/>
    <x v="37"/>
    <x v="37"/>
    <x v="19"/>
    <x v="11"/>
    <x v="0"/>
    <n v="1350"/>
  </r>
  <r>
    <x v="0"/>
    <x v="37"/>
    <x v="37"/>
    <x v="19"/>
    <x v="19"/>
    <x v="0"/>
    <n v="3295"/>
  </r>
  <r>
    <x v="0"/>
    <x v="37"/>
    <x v="37"/>
    <x v="19"/>
    <x v="21"/>
    <x v="0"/>
    <n v="7300"/>
  </r>
  <r>
    <x v="0"/>
    <x v="37"/>
    <x v="37"/>
    <x v="19"/>
    <x v="7"/>
    <x v="0"/>
    <n v="6500"/>
  </r>
  <r>
    <x v="0"/>
    <x v="37"/>
    <x v="37"/>
    <x v="20"/>
    <x v="0"/>
    <x v="0"/>
    <n v="610"/>
  </r>
  <r>
    <x v="0"/>
    <x v="37"/>
    <x v="37"/>
    <x v="20"/>
    <x v="3"/>
    <x v="0"/>
    <n v="1300"/>
  </r>
  <r>
    <x v="0"/>
    <x v="37"/>
    <x v="37"/>
    <x v="20"/>
    <x v="16"/>
    <x v="0"/>
    <n v="700"/>
  </r>
  <r>
    <x v="0"/>
    <x v="37"/>
    <x v="37"/>
    <x v="20"/>
    <x v="10"/>
    <x v="0"/>
    <n v="3200"/>
  </r>
  <r>
    <x v="0"/>
    <x v="37"/>
    <x v="37"/>
    <x v="21"/>
    <x v="6"/>
    <x v="0"/>
    <n v="1400"/>
  </r>
  <r>
    <x v="0"/>
    <x v="37"/>
    <x v="37"/>
    <x v="21"/>
    <x v="8"/>
    <x v="0"/>
    <n v="1000"/>
  </r>
  <r>
    <x v="0"/>
    <x v="37"/>
    <x v="37"/>
    <x v="21"/>
    <x v="9"/>
    <x v="0"/>
    <n v="1400"/>
  </r>
  <r>
    <x v="0"/>
    <x v="38"/>
    <x v="38"/>
    <x v="0"/>
    <x v="0"/>
    <x v="0"/>
    <n v="3010"/>
  </r>
  <r>
    <x v="0"/>
    <x v="38"/>
    <x v="38"/>
    <x v="0"/>
    <x v="1"/>
    <x v="0"/>
    <n v="3010"/>
  </r>
  <r>
    <x v="0"/>
    <x v="38"/>
    <x v="38"/>
    <x v="0"/>
    <x v="2"/>
    <x v="0"/>
    <n v="6020"/>
  </r>
  <r>
    <x v="0"/>
    <x v="38"/>
    <x v="38"/>
    <x v="0"/>
    <x v="3"/>
    <x v="0"/>
    <n v="600"/>
  </r>
  <r>
    <x v="0"/>
    <x v="38"/>
    <x v="38"/>
    <x v="0"/>
    <x v="4"/>
    <x v="0"/>
    <n v="2000"/>
  </r>
  <r>
    <x v="0"/>
    <x v="38"/>
    <x v="38"/>
    <x v="1"/>
    <x v="5"/>
    <x v="0"/>
    <n v="3010"/>
  </r>
  <r>
    <x v="0"/>
    <x v="38"/>
    <x v="38"/>
    <x v="1"/>
    <x v="2"/>
    <x v="0"/>
    <n v="8634"/>
  </r>
  <r>
    <x v="0"/>
    <x v="38"/>
    <x v="38"/>
    <x v="1"/>
    <x v="6"/>
    <x v="0"/>
    <n v="3000"/>
  </r>
  <r>
    <x v="0"/>
    <x v="38"/>
    <x v="38"/>
    <x v="1"/>
    <x v="9"/>
    <x v="0"/>
    <n v="1400"/>
  </r>
  <r>
    <x v="0"/>
    <x v="38"/>
    <x v="38"/>
    <x v="1"/>
    <x v="7"/>
    <x v="0"/>
    <n v="600"/>
  </r>
  <r>
    <x v="0"/>
    <x v="38"/>
    <x v="38"/>
    <x v="2"/>
    <x v="5"/>
    <x v="0"/>
    <n v="3010"/>
  </r>
  <r>
    <x v="0"/>
    <x v="38"/>
    <x v="38"/>
    <x v="2"/>
    <x v="2"/>
    <x v="0"/>
    <n v="14416"/>
  </r>
  <r>
    <x v="0"/>
    <x v="38"/>
    <x v="38"/>
    <x v="3"/>
    <x v="5"/>
    <x v="0"/>
    <n v="6020"/>
  </r>
  <r>
    <x v="0"/>
    <x v="38"/>
    <x v="38"/>
    <x v="3"/>
    <x v="0"/>
    <x v="0"/>
    <n v="8634"/>
  </r>
  <r>
    <x v="0"/>
    <x v="38"/>
    <x v="38"/>
    <x v="3"/>
    <x v="1"/>
    <x v="0"/>
    <n v="14416"/>
  </r>
  <r>
    <x v="0"/>
    <x v="38"/>
    <x v="38"/>
    <x v="3"/>
    <x v="3"/>
    <x v="0"/>
    <n v="400"/>
  </r>
  <r>
    <x v="0"/>
    <x v="38"/>
    <x v="38"/>
    <x v="3"/>
    <x v="8"/>
    <x v="0"/>
    <n v="5900"/>
  </r>
  <r>
    <x v="0"/>
    <x v="38"/>
    <x v="38"/>
    <x v="4"/>
    <x v="0"/>
    <x v="0"/>
    <n v="3000"/>
  </r>
  <r>
    <x v="0"/>
    <x v="38"/>
    <x v="38"/>
    <x v="4"/>
    <x v="3"/>
    <x v="0"/>
    <n v="600"/>
  </r>
  <r>
    <x v="0"/>
    <x v="38"/>
    <x v="38"/>
    <x v="4"/>
    <x v="8"/>
    <x v="0"/>
    <n v="700"/>
  </r>
  <r>
    <x v="0"/>
    <x v="38"/>
    <x v="38"/>
    <x v="4"/>
    <x v="9"/>
    <x v="0"/>
    <n v="1700"/>
  </r>
  <r>
    <x v="0"/>
    <x v="38"/>
    <x v="38"/>
    <x v="4"/>
    <x v="10"/>
    <x v="0"/>
    <n v="740"/>
  </r>
  <r>
    <x v="0"/>
    <x v="38"/>
    <x v="38"/>
    <x v="4"/>
    <x v="17"/>
    <x v="0"/>
    <n v="1400"/>
  </r>
  <r>
    <x v="0"/>
    <x v="38"/>
    <x v="38"/>
    <x v="5"/>
    <x v="5"/>
    <x v="0"/>
    <n v="585"/>
  </r>
  <r>
    <x v="0"/>
    <x v="38"/>
    <x v="38"/>
    <x v="5"/>
    <x v="2"/>
    <x v="0"/>
    <n v="400"/>
  </r>
  <r>
    <x v="0"/>
    <x v="38"/>
    <x v="38"/>
    <x v="5"/>
    <x v="6"/>
    <x v="0"/>
    <n v="600"/>
  </r>
  <r>
    <x v="0"/>
    <x v="38"/>
    <x v="38"/>
    <x v="5"/>
    <x v="7"/>
    <x v="0"/>
    <n v="1700"/>
  </r>
  <r>
    <x v="0"/>
    <x v="38"/>
    <x v="38"/>
    <x v="6"/>
    <x v="11"/>
    <x v="0"/>
    <n v="1000"/>
  </r>
  <r>
    <x v="0"/>
    <x v="38"/>
    <x v="38"/>
    <x v="6"/>
    <x v="12"/>
    <x v="0"/>
    <n v="800"/>
  </r>
  <r>
    <x v="0"/>
    <x v="38"/>
    <x v="38"/>
    <x v="7"/>
    <x v="13"/>
    <x v="0"/>
    <n v="1000"/>
  </r>
  <r>
    <x v="0"/>
    <x v="38"/>
    <x v="38"/>
    <x v="7"/>
    <x v="14"/>
    <x v="0"/>
    <n v="700"/>
  </r>
  <r>
    <x v="0"/>
    <x v="38"/>
    <x v="38"/>
    <x v="7"/>
    <x v="15"/>
    <x v="0"/>
    <n v="1300"/>
  </r>
  <r>
    <x v="0"/>
    <x v="38"/>
    <x v="38"/>
    <x v="7"/>
    <x v="10"/>
    <x v="0"/>
    <n v="1350"/>
  </r>
  <r>
    <x v="0"/>
    <x v="38"/>
    <x v="38"/>
    <x v="8"/>
    <x v="12"/>
    <x v="0"/>
    <n v="700"/>
  </r>
  <r>
    <x v="0"/>
    <x v="38"/>
    <x v="38"/>
    <x v="8"/>
    <x v="4"/>
    <x v="0"/>
    <n v="1000"/>
  </r>
  <r>
    <x v="0"/>
    <x v="38"/>
    <x v="38"/>
    <x v="8"/>
    <x v="7"/>
    <x v="0"/>
    <n v="700"/>
  </r>
  <r>
    <x v="0"/>
    <x v="38"/>
    <x v="38"/>
    <x v="9"/>
    <x v="13"/>
    <x v="0"/>
    <n v="800"/>
  </r>
  <r>
    <x v="0"/>
    <x v="38"/>
    <x v="38"/>
    <x v="9"/>
    <x v="16"/>
    <x v="0"/>
    <n v="1200"/>
  </r>
  <r>
    <x v="0"/>
    <x v="38"/>
    <x v="38"/>
    <x v="10"/>
    <x v="2"/>
    <x v="0"/>
    <n v="5100"/>
  </r>
  <r>
    <x v="0"/>
    <x v="38"/>
    <x v="38"/>
    <x v="10"/>
    <x v="6"/>
    <x v="0"/>
    <n v="700"/>
  </r>
  <r>
    <x v="0"/>
    <x v="38"/>
    <x v="38"/>
    <x v="10"/>
    <x v="9"/>
    <x v="0"/>
    <n v="1400"/>
  </r>
  <r>
    <x v="0"/>
    <x v="38"/>
    <x v="38"/>
    <x v="10"/>
    <x v="17"/>
    <x v="0"/>
    <n v="1000"/>
  </r>
  <r>
    <x v="0"/>
    <x v="38"/>
    <x v="38"/>
    <x v="11"/>
    <x v="9"/>
    <x v="0"/>
    <n v="2500"/>
  </r>
  <r>
    <x v="0"/>
    <x v="38"/>
    <x v="38"/>
    <x v="11"/>
    <x v="18"/>
    <x v="0"/>
    <n v="1150"/>
  </r>
  <r>
    <x v="0"/>
    <x v="38"/>
    <x v="38"/>
    <x v="11"/>
    <x v="10"/>
    <x v="0"/>
    <n v="3345"/>
  </r>
  <r>
    <x v="0"/>
    <x v="38"/>
    <x v="38"/>
    <x v="12"/>
    <x v="0"/>
    <x v="0"/>
    <n v="1400"/>
  </r>
  <r>
    <x v="0"/>
    <x v="38"/>
    <x v="38"/>
    <x v="12"/>
    <x v="6"/>
    <x v="0"/>
    <n v="1700"/>
  </r>
  <r>
    <x v="0"/>
    <x v="38"/>
    <x v="38"/>
    <x v="12"/>
    <x v="8"/>
    <x v="0"/>
    <n v="1400"/>
  </r>
  <r>
    <x v="0"/>
    <x v="38"/>
    <x v="38"/>
    <x v="12"/>
    <x v="19"/>
    <x v="0"/>
    <n v="3200"/>
  </r>
  <r>
    <x v="0"/>
    <x v="38"/>
    <x v="38"/>
    <x v="12"/>
    <x v="20"/>
    <x v="0"/>
    <n v="1200"/>
  </r>
  <r>
    <x v="0"/>
    <x v="38"/>
    <x v="38"/>
    <x v="12"/>
    <x v="17"/>
    <x v="0"/>
    <n v="1400"/>
  </r>
  <r>
    <x v="0"/>
    <x v="38"/>
    <x v="38"/>
    <x v="13"/>
    <x v="19"/>
    <x v="0"/>
    <n v="1200"/>
  </r>
  <r>
    <x v="0"/>
    <x v="38"/>
    <x v="38"/>
    <x v="13"/>
    <x v="14"/>
    <x v="0"/>
    <n v="200"/>
  </r>
  <r>
    <x v="0"/>
    <x v="38"/>
    <x v="38"/>
    <x v="13"/>
    <x v="20"/>
    <x v="0"/>
    <n v="1000"/>
  </r>
  <r>
    <x v="0"/>
    <x v="38"/>
    <x v="38"/>
    <x v="13"/>
    <x v="21"/>
    <x v="0"/>
    <n v="600"/>
  </r>
  <r>
    <x v="0"/>
    <x v="38"/>
    <x v="38"/>
    <x v="14"/>
    <x v="11"/>
    <x v="0"/>
    <n v="600"/>
  </r>
  <r>
    <x v="0"/>
    <x v="38"/>
    <x v="38"/>
    <x v="14"/>
    <x v="18"/>
    <x v="0"/>
    <n v="1000"/>
  </r>
  <r>
    <x v="0"/>
    <x v="38"/>
    <x v="38"/>
    <x v="14"/>
    <x v="21"/>
    <x v="0"/>
    <n v="250"/>
  </r>
  <r>
    <x v="0"/>
    <x v="38"/>
    <x v="38"/>
    <x v="15"/>
    <x v="9"/>
    <x v="0"/>
    <n v="1200"/>
  </r>
  <r>
    <x v="0"/>
    <x v="38"/>
    <x v="38"/>
    <x v="15"/>
    <x v="18"/>
    <x v="0"/>
    <n v="1000"/>
  </r>
  <r>
    <x v="0"/>
    <x v="38"/>
    <x v="38"/>
    <x v="16"/>
    <x v="5"/>
    <x v="0"/>
    <n v="2000"/>
  </r>
  <r>
    <x v="0"/>
    <x v="38"/>
    <x v="38"/>
    <x v="16"/>
    <x v="16"/>
    <x v="0"/>
    <n v="1000"/>
  </r>
  <r>
    <x v="0"/>
    <x v="38"/>
    <x v="38"/>
    <x v="17"/>
    <x v="11"/>
    <x v="0"/>
    <n v="1300"/>
  </r>
  <r>
    <x v="0"/>
    <x v="38"/>
    <x v="38"/>
    <x v="17"/>
    <x v="14"/>
    <x v="0"/>
    <n v="600"/>
  </r>
  <r>
    <x v="0"/>
    <x v="38"/>
    <x v="38"/>
    <x v="17"/>
    <x v="21"/>
    <x v="0"/>
    <n v="3300"/>
  </r>
  <r>
    <x v="0"/>
    <x v="38"/>
    <x v="38"/>
    <x v="18"/>
    <x v="18"/>
    <x v="0"/>
    <n v="1000"/>
  </r>
  <r>
    <x v="0"/>
    <x v="38"/>
    <x v="38"/>
    <x v="18"/>
    <x v="14"/>
    <x v="0"/>
    <n v="300"/>
  </r>
  <r>
    <x v="0"/>
    <x v="38"/>
    <x v="38"/>
    <x v="18"/>
    <x v="15"/>
    <x v="0"/>
    <n v="3300"/>
  </r>
  <r>
    <x v="0"/>
    <x v="38"/>
    <x v="38"/>
    <x v="18"/>
    <x v="10"/>
    <x v="0"/>
    <n v="7300"/>
  </r>
  <r>
    <x v="0"/>
    <x v="38"/>
    <x v="38"/>
    <x v="19"/>
    <x v="6"/>
    <x v="0"/>
    <n v="680"/>
  </r>
  <r>
    <x v="0"/>
    <x v="38"/>
    <x v="38"/>
    <x v="19"/>
    <x v="11"/>
    <x v="0"/>
    <n v="1350"/>
  </r>
  <r>
    <x v="0"/>
    <x v="38"/>
    <x v="38"/>
    <x v="19"/>
    <x v="19"/>
    <x v="0"/>
    <n v="3295"/>
  </r>
  <r>
    <x v="0"/>
    <x v="38"/>
    <x v="38"/>
    <x v="19"/>
    <x v="21"/>
    <x v="0"/>
    <n v="7300"/>
  </r>
  <r>
    <x v="0"/>
    <x v="38"/>
    <x v="38"/>
    <x v="19"/>
    <x v="7"/>
    <x v="0"/>
    <n v="6500"/>
  </r>
  <r>
    <x v="0"/>
    <x v="38"/>
    <x v="38"/>
    <x v="20"/>
    <x v="0"/>
    <x v="0"/>
    <n v="610"/>
  </r>
  <r>
    <x v="0"/>
    <x v="38"/>
    <x v="38"/>
    <x v="20"/>
    <x v="3"/>
    <x v="0"/>
    <n v="1300"/>
  </r>
  <r>
    <x v="0"/>
    <x v="38"/>
    <x v="38"/>
    <x v="20"/>
    <x v="16"/>
    <x v="0"/>
    <n v="700"/>
  </r>
  <r>
    <x v="0"/>
    <x v="38"/>
    <x v="38"/>
    <x v="20"/>
    <x v="10"/>
    <x v="0"/>
    <n v="3200"/>
  </r>
  <r>
    <x v="0"/>
    <x v="38"/>
    <x v="38"/>
    <x v="21"/>
    <x v="6"/>
    <x v="0"/>
    <n v="1400"/>
  </r>
  <r>
    <x v="0"/>
    <x v="38"/>
    <x v="38"/>
    <x v="21"/>
    <x v="8"/>
    <x v="0"/>
    <n v="1000"/>
  </r>
  <r>
    <x v="0"/>
    <x v="38"/>
    <x v="38"/>
    <x v="21"/>
    <x v="9"/>
    <x v="0"/>
    <n v="14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pivotTable1.xml><?xml version="1.0" encoding="utf-8"?>
<pivotTableDefinition xmlns="http://schemas.openxmlformats.org/spreadsheetml/2006/main" name="PivotTable1" cacheId="65"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rowHeaderCaption="Country" fieldListSortAscending="1">
  <location ref="G14:G25" firstHeaderRow="1" firstDataRow="1" firstDataCol="1"/>
  <pivotFields count="3">
    <pivotField showAll="0" defaultSubtotal="0"/>
    <pivotField showAll="0" defaultSubtotal="0"/>
    <pivotField axis="axisRow" showAll="0" defaultSubtotal="0">
      <items count="11">
        <item x="1"/>
        <item x="0"/>
        <item x="3"/>
        <item x="5"/>
        <item x="2"/>
        <item x="4"/>
        <item x="6"/>
        <item x="7"/>
        <item x="8"/>
        <item x="9"/>
        <item x="10"/>
      </items>
    </pivotField>
  </pivotFields>
  <rowFields count="1">
    <field x="2"/>
  </rowFields>
  <rowItems count="11">
    <i>
      <x/>
    </i>
    <i>
      <x v="1"/>
    </i>
    <i>
      <x v="2"/>
    </i>
    <i>
      <x v="3"/>
    </i>
    <i>
      <x v="4"/>
    </i>
    <i>
      <x v="5"/>
    </i>
    <i>
      <x v="6"/>
    </i>
    <i>
      <x v="7"/>
    </i>
    <i>
      <x v="8"/>
    </i>
    <i>
      <x v="9"/>
    </i>
    <i>
      <x v="10"/>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4" cacheId="76"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B4:G6" firstHeaderRow="1" firstDataRow="3" firstDataCol="4" rowPageCount="1" colPageCount="1"/>
  <pivotFields count="8">
    <pivotField axis="axisCol" compact="0" outline="0" showAll="0" defaultSubtotal="0">
      <extLst>
        <ext xmlns:x14="http://schemas.microsoft.com/office/spreadsheetml/2009/9/main" uri="{2946ED86-A175-432a-8AC1-64E0C546D7DE}">
          <x14:pivotField fillDownLabels="1"/>
        </ext>
      </extLst>
    </pivotField>
    <pivotField axis="axisRow" compact="0" outline="0" showAll="0" sortType="ascending" defaultSubtotal="0">
      <extLst>
        <ext xmlns:x14="http://schemas.microsoft.com/office/spreadsheetml/2009/9/main" uri="{2946ED86-A175-432a-8AC1-64E0C546D7DE}">
          <x14:pivotField fillDownLabels="1"/>
        </ext>
      </extLst>
    </pivotField>
    <pivotField axis="axisRow" compact="0" outline="0" showAll="0" defaultSubtotal="0">
      <extLst>
        <ext xmlns:x14="http://schemas.microsoft.com/office/spreadsheetml/2009/9/main" uri="{2946ED86-A175-432a-8AC1-64E0C546D7DE}">
          <x14:pivotField fillDownLabels="1"/>
        </ext>
      </extLst>
    </pivotField>
    <pivotField axis="axisPage" compact="0" outline="0" showAll="0" defaultSubtotal="0">
      <extLst>
        <ext xmlns:x14="http://schemas.microsoft.com/office/spreadsheetml/2009/9/main" uri="{2946ED86-A175-432a-8AC1-64E0C546D7DE}">
          <x14:pivotField fillDownLabels="1"/>
        </ext>
      </extLst>
    </pivotField>
    <pivotField axis="axisCol" compact="0" outline="0" showAll="0" sortType="ascending" defaultSubtotal="0">
      <extLst>
        <ext xmlns:x14="http://schemas.microsoft.com/office/spreadsheetml/2009/9/main" uri="{2946ED86-A175-432a-8AC1-64E0C546D7DE}">
          <x14:pivotField fillDownLabels="1"/>
        </ext>
      </extLst>
    </pivotField>
    <pivotField axis="axisRow" compact="0" outline="0" showAll="0" defaultSubtotal="0">
      <extLst>
        <ext xmlns:x14="http://schemas.microsoft.com/office/spreadsheetml/2009/9/main" uri="{2946ED86-A175-432a-8AC1-64E0C546D7DE}">
          <x14:pivotField fillDownLabels="1"/>
        </ext>
      </extLst>
    </pivotField>
    <pivotField axis="axisRow"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4">
    <field x="1"/>
    <field x="2"/>
    <field x="5"/>
    <field x="6"/>
  </rowFields>
  <colFields count="2">
    <field x="0"/>
    <field x="4"/>
  </colFields>
  <pageFields count="1">
    <pageField fld="3" hier="-1"/>
  </pageFields>
  <dataFields count="1">
    <dataField name="Average of OMONEY/MWh" fld="7" subtotal="average" baseField="4" baseItem="0"/>
  </dataFields>
  <chartFormats count="1">
    <chartFormat chart="1"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3.xml><?xml version="1.0" encoding="utf-8"?>
<pivotTableDefinition xmlns="http://schemas.openxmlformats.org/spreadsheetml/2006/main" name="PivotTable1" cacheId="77"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B5:F6" firstHeaderRow="1" firstDataRow="2" firstDataCol="4" rowPageCount="2" colPageCount="1"/>
  <pivotFields count="10">
    <pivotField axis="axisPage" compact="0" outline="0" showAll="0" defaultSubtotal="0">
      <extLst>
        <ext xmlns:x14="http://schemas.microsoft.com/office/spreadsheetml/2009/9/main" uri="{2946ED86-A175-432a-8AC1-64E0C546D7DE}">
          <x14:pivotField fillDownLabels="1"/>
        </ext>
      </extLst>
    </pivotField>
    <pivotField axis="axisRow" compact="0" outline="0" showAll="0" defaultSubtotal="0">
      <extLst>
        <ext xmlns:x14="http://schemas.microsoft.com/office/spreadsheetml/2009/9/main" uri="{2946ED86-A175-432a-8AC1-64E0C546D7DE}">
          <x14:pivotField fillDownLabels="1"/>
        </ext>
      </extLst>
    </pivotField>
    <pivotField axis="axisRow" compact="0" outline="0" showAll="0" defaultSubtotal="0">
      <extLst>
        <ext xmlns:x14="http://schemas.microsoft.com/office/spreadsheetml/2009/9/main" uri="{2946ED86-A175-432a-8AC1-64E0C546D7DE}">
          <x14:pivotField fillDownLabels="1"/>
        </ext>
      </extLst>
    </pivotField>
    <pivotField axis="axisPage"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extLst>
        <ext xmlns:x14="http://schemas.microsoft.com/office/spreadsheetml/2009/9/main" uri="{2946ED86-A175-432a-8AC1-64E0C546D7DE}">
          <x14:pivotField fillDownLabels="1"/>
        </ext>
      </extLst>
    </pivotField>
    <pivotField axis="axisRow" compact="0" outline="0" showAll="0" defaultSubtotal="0">
      <extLst>
        <ext xmlns:x14="http://schemas.microsoft.com/office/spreadsheetml/2009/9/main" uri="{2946ED86-A175-432a-8AC1-64E0C546D7DE}">
          <x14:pivotField fillDownLabels="1"/>
        </ext>
      </extLst>
    </pivotField>
    <pivotField axis="axisRow"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4">
    <field x="1"/>
    <field x="2"/>
    <field x="6"/>
    <field x="7"/>
  </rowFields>
  <colFields count="1">
    <field x="5"/>
  </colFields>
  <pageFields count="2">
    <pageField fld="0" hier="-1"/>
    <pageField fld="3" hier="-1"/>
  </pageFields>
  <dataFields count="1">
    <dataField name="Sum of OMONEY/MWh" fld="9" baseField="0" baseItem="0"/>
  </dataFields>
  <chartFormats count="1">
    <chartFormat chart="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4.xml><?xml version="1.0" encoding="utf-8"?>
<pivotTableDefinition xmlns="http://schemas.openxmlformats.org/spreadsheetml/2006/main" name="PivotTable5" cacheId="68"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6" fieldListSortAscending="1">
  <location ref="B3:M8" firstHeaderRow="1" firstDataRow="2" firstDataCol="3" rowPageCount="1" colPageCount="1"/>
  <pivotFields count="11">
    <pivotField axis="axisPage"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1">
        <item h="1" x="0"/>
        <item h="1" x="3"/>
        <item h="1" x="7"/>
        <item h="1" x="9"/>
        <item h="1" x="6"/>
        <item h="1" x="10"/>
        <item x="1"/>
        <item x="4"/>
        <item x="5"/>
        <item h="1" x="8"/>
        <item h="1"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0">
        <item x="5"/>
        <item h="1" x="14"/>
        <item x="7"/>
        <item x="2"/>
        <item x="1"/>
        <item x="6"/>
        <item x="16"/>
        <item x="15"/>
        <item x="12"/>
        <item x="11"/>
        <item x="3"/>
        <item x="4"/>
        <item x="18"/>
        <item x="19"/>
        <item h="1" x="10"/>
        <item h="1" x="9"/>
        <item h="1" x="8"/>
        <item h="1" x="0"/>
        <item h="1" x="13"/>
        <item h="1" x="17"/>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3"/>
    <field x="1"/>
    <field x="2"/>
  </rowFields>
  <rowItems count="4">
    <i>
      <x v="6"/>
      <x/>
      <x/>
    </i>
    <i>
      <x v="7"/>
      <x/>
      <x/>
    </i>
    <i>
      <x v="8"/>
      <x/>
      <x/>
    </i>
    <i t="grand">
      <x/>
    </i>
  </rowItems>
  <colFields count="1">
    <field x="6"/>
  </colFields>
  <colItems count="9">
    <i>
      <x/>
    </i>
    <i>
      <x v="2"/>
    </i>
    <i>
      <x v="3"/>
    </i>
    <i>
      <x v="4"/>
    </i>
    <i>
      <x v="5"/>
    </i>
    <i>
      <x v="8"/>
    </i>
    <i>
      <x v="9"/>
    </i>
    <i>
      <x v="12"/>
    </i>
    <i t="grand">
      <x/>
    </i>
  </colItems>
  <pageFields count="1">
    <pageField fld="0" item="0" hier="-1"/>
  </pageFields>
  <dataFields count="1">
    <dataField name="Sum of TWh" fld="9" baseField="0" baseItem="0"/>
  </dataFields>
  <formats count="3">
    <format dxfId="8">
      <pivotArea collapsedLevelsAreSubtotals="1" fieldPosition="0">
        <references count="1">
          <reference field="6" count="1">
            <x v="0"/>
          </reference>
        </references>
      </pivotArea>
    </format>
    <format dxfId="7">
      <pivotArea collapsedLevelsAreSubtotals="1" fieldPosition="0">
        <references count="1">
          <reference field="6" count="1">
            <x v="1"/>
          </reference>
        </references>
      </pivotArea>
    </format>
    <format dxfId="6">
      <pivotArea collapsedLevelsAreSubtotals="1" fieldPosition="0">
        <references count="1">
          <reference field="6" count="1">
            <x v="2"/>
          </reference>
        </references>
      </pivotArea>
    </format>
  </formats>
  <chartFormats count="4">
    <chartFormat chart="0" format="0" series="1">
      <pivotArea type="data" outline="0" fieldPosition="0">
        <references count="2">
          <reference field="4294967294" count="1" selected="0">
            <x v="0"/>
          </reference>
          <reference field="3" count="1" selected="0">
            <x v="0"/>
          </reference>
        </references>
      </pivotArea>
    </chartFormat>
    <chartFormat chart="0" format="3" series="1">
      <pivotArea type="data" outline="0" fieldPosition="0">
        <references count="1">
          <reference field="4294967294" count="1" selected="0">
            <x v="0"/>
          </reference>
        </references>
      </pivotArea>
    </chartFormat>
    <chartFormat chart="0" format="4" series="1">
      <pivotArea type="data" outline="0" fieldPosition="0">
        <references count="2">
          <reference field="4294967294" count="1" selected="0">
            <x v="0"/>
          </reference>
          <reference field="6" count="1" selected="0">
            <x v="2"/>
          </reference>
        </references>
      </pivotArea>
    </chartFormat>
    <chartFormat chart="0" format="15" series="1">
      <pivotArea type="data" outline="0" fieldPosition="0">
        <references count="2">
          <reference field="4294967294" count="1" selected="0">
            <x v="0"/>
          </reference>
          <reference field="6"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5.xml><?xml version="1.0" encoding="utf-8"?>
<pivotTableDefinition xmlns="http://schemas.openxmlformats.org/spreadsheetml/2006/main" name="PivotTable2" cacheId="66"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9" fieldListSortAscending="1">
  <location ref="B5:P31" firstHeaderRow="1" firstDataRow="2" firstDataCol="4" rowPageCount="2" colPageCount="1"/>
  <pivotFields count="14">
    <pivotField axis="axisPage" compact="0" outline="0" multipleItemSelectionAllowed="1"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Page" compact="0" outline="0" multipleItemSelectionAllowed="1" showAll="0" defaultSubtotal="0">
      <items count="11">
        <item x="0"/>
        <item x="1"/>
        <item x="3"/>
        <item x="4"/>
        <item x="5"/>
        <item x="6"/>
        <item x="7"/>
        <item x="8"/>
        <item x="9"/>
        <item x="10"/>
        <item x="2"/>
      </items>
      <extLst>
        <ext xmlns:x14="http://schemas.microsoft.com/office/spreadsheetml/2009/9/main" uri="{2946ED86-A175-432a-8AC1-64E0C546D7DE}">
          <x14:pivotField fillDownLabels="1"/>
        </ext>
      </extLst>
    </pivotField>
    <pivotField compact="0" outline="0" multipleItemSelectionAllowed="1" showAll="0" sortType="ascending"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axis="axisCol" compact="0" outline="0" multipleItemSelectionAllowed="1" showAll="0" defaultSubtotal="0">
      <items count="10">
        <item x="1"/>
        <item x="2"/>
        <item x="9"/>
        <item x="6"/>
        <item x="0"/>
        <item x="7"/>
        <item x="4"/>
        <item x="3"/>
        <item x="5"/>
        <item x="8"/>
      </items>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sortType="ascending" defaultSubtotal="0">
      <items count="24">
        <item x="3"/>
        <item x="4"/>
        <item x="5"/>
        <item x="6"/>
        <item x="7"/>
        <item x="8"/>
        <item x="0"/>
        <item x="1"/>
        <item x="2"/>
        <item x="9"/>
        <item x="10"/>
        <item x="11"/>
        <item x="12"/>
        <item x="13"/>
        <item x="14"/>
        <item x="15"/>
        <item x="16"/>
        <item x="17"/>
        <item x="18"/>
        <item x="19"/>
        <item x="20"/>
        <item x="21"/>
        <item x="22"/>
        <item x="2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4">
    <field x="1"/>
    <field x="2"/>
    <field x="9"/>
    <field x="10"/>
  </rowFields>
  <rowItems count="25">
    <i>
      <x/>
      <x/>
      <x/>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t="grand">
      <x/>
    </i>
  </rowItems>
  <colFields count="1">
    <field x="7"/>
  </colFields>
  <colItems count="11">
    <i>
      <x/>
    </i>
    <i>
      <x v="1"/>
    </i>
    <i>
      <x v="2"/>
    </i>
    <i>
      <x v="3"/>
    </i>
    <i>
      <x v="4"/>
    </i>
    <i>
      <x v="5"/>
    </i>
    <i>
      <x v="6"/>
    </i>
    <i>
      <x v="7"/>
    </i>
    <i>
      <x v="8"/>
    </i>
    <i>
      <x v="9"/>
    </i>
    <i t="grand">
      <x/>
    </i>
  </colItems>
  <pageFields count="2">
    <pageField fld="0" hier="-1"/>
    <pageField fld="3" hier="-1"/>
  </pageFields>
  <dataFields count="1">
    <dataField name="Sum of MW" fld="11" baseField="0" baseItem="0"/>
  </dataFields>
  <chartFormats count="2">
    <chartFormat chart="2" format="718" series="1">
      <pivotArea type="data" outline="0" fieldPosition="0">
        <references count="1">
          <reference field="4294967294" count="1" selected="0">
            <x v="0"/>
          </reference>
        </references>
      </pivotArea>
    </chartFormat>
    <chartFormat chart="2" format="816" series="1">
      <pivotArea type="data" outline="0" fieldPosition="0">
        <references count="2">
          <reference field="4294967294" count="1" selected="0">
            <x v="0"/>
          </reference>
          <reference field="7"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6.xml><?xml version="1.0" encoding="utf-8"?>
<pivotTableDefinition xmlns="http://schemas.openxmlformats.org/spreadsheetml/2006/main" name="PivotTable2" cacheId="67"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2:O13" firstHeaderRow="1" firstDataRow="2" firstDataCol="3"/>
  <pivotFields count="10">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9">
        <item x="0"/>
        <item x="3"/>
        <item x="6"/>
        <item x="8"/>
        <item x="1"/>
        <item x="5"/>
        <item x="7"/>
        <item x="2"/>
        <item x="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8">
        <item x="14"/>
        <item x="2"/>
        <item x="8"/>
        <item x="5"/>
        <item h="1" x="1"/>
        <item x="3"/>
        <item x="4"/>
        <item x="6"/>
        <item x="16"/>
        <item x="17"/>
        <item x="10"/>
        <item h="1" x="13"/>
        <item h="1" x="9"/>
        <item h="1" x="7"/>
        <item h="1" x="11"/>
        <item h="1" x="0"/>
        <item h="1" x="12"/>
        <item h="1" x="15"/>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3"/>
    <field x="1"/>
    <field x="2"/>
  </rowFields>
  <rowItems count="10">
    <i>
      <x/>
      <x/>
      <x/>
    </i>
    <i>
      <x v="1"/>
      <x/>
      <x/>
    </i>
    <i>
      <x v="2"/>
      <x/>
      <x/>
    </i>
    <i>
      <x v="3"/>
      <x/>
      <x/>
    </i>
    <i>
      <x v="4"/>
      <x/>
      <x/>
    </i>
    <i>
      <x v="5"/>
      <x/>
      <x/>
    </i>
    <i>
      <x v="6"/>
      <x/>
      <x/>
    </i>
    <i>
      <x v="7"/>
      <x/>
      <x/>
    </i>
    <i>
      <x v="8"/>
      <x/>
      <x/>
    </i>
    <i t="grand">
      <x/>
    </i>
  </rowItems>
  <colFields count="1">
    <field x="6"/>
  </colFields>
  <colItems count="11">
    <i>
      <x/>
    </i>
    <i>
      <x v="1"/>
    </i>
    <i>
      <x v="2"/>
    </i>
    <i>
      <x v="3"/>
    </i>
    <i>
      <x v="5"/>
    </i>
    <i>
      <x v="6"/>
    </i>
    <i>
      <x v="7"/>
    </i>
    <i>
      <x v="8"/>
    </i>
    <i>
      <x v="9"/>
    </i>
    <i>
      <x v="10"/>
    </i>
    <i t="grand">
      <x/>
    </i>
  </colItems>
  <dataFields count="1">
    <dataField name="Sum of TWh" fld="8" baseField="0" baseItem="0"/>
  </dataFields>
  <chartFormats count="1">
    <chartFormat chart="0" format="3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7.xml><?xml version="1.0" encoding="utf-8"?>
<pivotTableDefinition xmlns="http://schemas.openxmlformats.org/spreadsheetml/2006/main" name="PivotTable1" cacheId="69"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B3:W29" firstHeaderRow="1" firstDataRow="2" firstDataCol="3" rowPageCount="1" colPageCount="1"/>
  <pivotFields count="13">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Page" compact="0" outline="0" showAll="0" defaultSubtotal="0">
      <items count="9">
        <item x="0"/>
        <item x="1"/>
        <item x="3"/>
        <item x="5"/>
        <item x="6"/>
        <item x="8"/>
        <item x="7"/>
        <item x="2"/>
        <item x="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8">
        <item x="14"/>
        <item x="2"/>
        <item x="8"/>
        <item x="5"/>
        <item x="1"/>
        <item x="3"/>
        <item x="4"/>
        <item x="6"/>
        <item x="16"/>
        <item x="17"/>
        <item x="10"/>
        <item x="13"/>
        <item x="9"/>
        <item x="7"/>
        <item x="11"/>
        <item x="0"/>
        <item x="12"/>
        <item x="15"/>
      </items>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4">
        <item x="6"/>
        <item x="7"/>
        <item x="8"/>
        <item x="9"/>
        <item x="10"/>
        <item x="11"/>
        <item x="0"/>
        <item x="1"/>
        <item x="2"/>
        <item x="3"/>
        <item x="12"/>
        <item x="13"/>
        <item x="14"/>
        <item x="15"/>
        <item x="4"/>
        <item x="16"/>
        <item x="5"/>
        <item x="17"/>
        <item x="18"/>
        <item x="19"/>
        <item x="20"/>
        <item x="21"/>
        <item x="22"/>
        <item x="2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1"/>
    <field x="8"/>
    <field x="9"/>
  </rowFields>
  <rowItems count="25">
    <i>
      <x/>
      <x/>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t="grand">
      <x/>
    </i>
  </rowItems>
  <colFields count="1">
    <field x="6"/>
  </colFields>
  <colItems count="19">
    <i>
      <x/>
    </i>
    <i>
      <x v="1"/>
    </i>
    <i>
      <x v="2"/>
    </i>
    <i>
      <x v="3"/>
    </i>
    <i>
      <x v="4"/>
    </i>
    <i>
      <x v="5"/>
    </i>
    <i>
      <x v="6"/>
    </i>
    <i>
      <x v="7"/>
    </i>
    <i>
      <x v="8"/>
    </i>
    <i>
      <x v="9"/>
    </i>
    <i>
      <x v="10"/>
    </i>
    <i>
      <x v="11"/>
    </i>
    <i>
      <x v="12"/>
    </i>
    <i>
      <x v="13"/>
    </i>
    <i>
      <x v="14"/>
    </i>
    <i>
      <x v="15"/>
    </i>
    <i>
      <x v="16"/>
    </i>
    <i>
      <x v="17"/>
    </i>
    <i t="grand">
      <x/>
    </i>
  </colItems>
  <pageFields count="1">
    <pageField fld="3" hier="-1"/>
  </pageFields>
  <dataFields count="1">
    <dataField name="Sum of MW" fld="10" baseField="0" baseItem="0"/>
  </dataFields>
  <chartFormats count="14">
    <chartFormat chart="1" format="93" series="1">
      <pivotArea type="data" outline="0" fieldPosition="0">
        <references count="1">
          <reference field="4294967294" count="1" selected="0">
            <x v="0"/>
          </reference>
        </references>
      </pivotArea>
    </chartFormat>
    <chartFormat chart="1" format="115" series="1">
      <pivotArea type="data" outline="0" fieldPosition="0">
        <references count="2">
          <reference field="4294967294" count="1" selected="0">
            <x v="0"/>
          </reference>
          <reference field="6" count="1" selected="0">
            <x v="0"/>
          </reference>
        </references>
      </pivotArea>
    </chartFormat>
    <chartFormat chart="1" format="118" series="1">
      <pivotArea type="data" outline="0" fieldPosition="0">
        <references count="2">
          <reference field="4294967294" count="1" selected="0">
            <x v="0"/>
          </reference>
          <reference field="6" count="1" selected="0">
            <x v="1"/>
          </reference>
        </references>
      </pivotArea>
    </chartFormat>
    <chartFormat chart="1" format="126" series="1">
      <pivotArea type="data" outline="0" fieldPosition="0">
        <references count="2">
          <reference field="4294967294" count="1" selected="0">
            <x v="0"/>
          </reference>
          <reference field="6" count="1" selected="0">
            <x v="2"/>
          </reference>
        </references>
      </pivotArea>
    </chartFormat>
    <chartFormat chart="1" format="166" series="1">
      <pivotArea type="data" outline="0" fieldPosition="0">
        <references count="2">
          <reference field="4294967294" count="1" selected="0">
            <x v="0"/>
          </reference>
          <reference field="6" count="1" selected="0">
            <x v="3"/>
          </reference>
        </references>
      </pivotArea>
    </chartFormat>
    <chartFormat chart="1" format="174" series="1">
      <pivotArea type="data" outline="0" fieldPosition="0">
        <references count="2">
          <reference field="4294967294" count="1" selected="0">
            <x v="0"/>
          </reference>
          <reference field="6" count="1" selected="0">
            <x v="4"/>
          </reference>
        </references>
      </pivotArea>
    </chartFormat>
    <chartFormat chart="1" format="180" series="1">
      <pivotArea type="data" outline="0" fieldPosition="0">
        <references count="2">
          <reference field="4294967294" count="1" selected="0">
            <x v="0"/>
          </reference>
          <reference field="6" count="1" selected="0">
            <x v="5"/>
          </reference>
        </references>
      </pivotArea>
    </chartFormat>
    <chartFormat chart="1" format="181" series="1">
      <pivotArea type="data" outline="0" fieldPosition="0">
        <references count="2">
          <reference field="4294967294" count="1" selected="0">
            <x v="0"/>
          </reference>
          <reference field="6" count="1" selected="0">
            <x v="6"/>
          </reference>
        </references>
      </pivotArea>
    </chartFormat>
    <chartFormat chart="1" format="182" series="1">
      <pivotArea type="data" outline="0" fieldPosition="0">
        <references count="2">
          <reference field="4294967294" count="1" selected="0">
            <x v="0"/>
          </reference>
          <reference field="6" count="1" selected="0">
            <x v="7"/>
          </reference>
        </references>
      </pivotArea>
    </chartFormat>
    <chartFormat chart="1" format="184" series="1">
      <pivotArea type="data" outline="0" fieldPosition="0">
        <references count="2">
          <reference field="4294967294" count="1" selected="0">
            <x v="0"/>
          </reference>
          <reference field="6" count="1" selected="0">
            <x v="8"/>
          </reference>
        </references>
      </pivotArea>
    </chartFormat>
    <chartFormat chart="1" format="186" series="1">
      <pivotArea type="data" outline="0" fieldPosition="0">
        <references count="2">
          <reference field="4294967294" count="1" selected="0">
            <x v="0"/>
          </reference>
          <reference field="6" count="1" selected="0">
            <x v="9"/>
          </reference>
        </references>
      </pivotArea>
    </chartFormat>
    <chartFormat chart="1" format="196" series="1">
      <pivotArea type="data" outline="0" fieldPosition="0">
        <references count="2">
          <reference field="4294967294" count="1" selected="0">
            <x v="0"/>
          </reference>
          <reference field="6" count="1" selected="0">
            <x v="11"/>
          </reference>
        </references>
      </pivotArea>
    </chartFormat>
    <chartFormat chart="1" format="203" series="1">
      <pivotArea type="data" outline="0" fieldPosition="0">
        <references count="2">
          <reference field="4294967294" count="1" selected="0">
            <x v="0"/>
          </reference>
          <reference field="6" count="1" selected="0">
            <x v="16"/>
          </reference>
        </references>
      </pivotArea>
    </chartFormat>
    <chartFormat chart="1" format="204" series="1">
      <pivotArea type="data" outline="0" fieldPosition="0">
        <references count="2">
          <reference field="4294967294" count="1" selected="0">
            <x v="0"/>
          </reference>
          <reference field="6"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8.xml><?xml version="1.0" encoding="utf-8"?>
<pivotTableDefinition xmlns="http://schemas.openxmlformats.org/spreadsheetml/2006/main" name="PivotTable2" cacheId="79"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4:AH32" firstHeaderRow="1" firstDataRow="4" firstDataCol="2" rowPageCount="1" colPageCount="1"/>
  <pivotFields count="13">
    <pivotField compact="0" outline="0" showAll="0" defaultSubtotal="0">
      <extLst>
        <ext xmlns:x14="http://schemas.microsoft.com/office/spreadsheetml/2009/9/main" uri="{2946ED86-A175-432a-8AC1-64E0C546D7DE}">
          <x14:pivotField fillDownLabels="1"/>
        </ext>
      </extLst>
    </pivotField>
    <pivotField axis="axisPage" compact="0" outline="0" multipleItemSelectionAllowed="1"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multipleItemSelectionAllowed="1" showAll="0" defaultSubtotal="0">
      <items count="11">
        <item x="0"/>
        <item h="1" x="1"/>
        <item h="1" x="2"/>
        <item h="1" x="3"/>
        <item h="1" x="4"/>
        <item h="1" x="5"/>
        <item h="1" x="6"/>
        <item h="1" x="7"/>
        <item h="1" x="8"/>
        <item h="1" x="9"/>
        <item h="1" x="1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3">
        <item h="1" x="6"/>
        <item h="1" x="11"/>
        <item h="1" x="19"/>
        <item h="1" x="20"/>
        <item h="1" x="21"/>
        <item h="1" x="1"/>
        <item x="2"/>
        <item h="1" x="16"/>
        <item h="1" x="18"/>
        <item h="1" x="22"/>
        <item h="1" x="3"/>
        <item h="1" x="4"/>
        <item h="1" x="7"/>
        <item h="1" x="8"/>
        <item h="1" x="13"/>
        <item h="1" x="5"/>
        <item h="1" x="9"/>
        <item h="1" x="10"/>
        <item h="1" x="12"/>
        <item h="1" x="14"/>
        <item h="1" x="0"/>
        <item h="1" x="15"/>
        <item h="1" x="17"/>
      </items>
      <extLst>
        <ext xmlns:x14="http://schemas.microsoft.com/office/spreadsheetml/2009/9/main" uri="{2946ED86-A175-432a-8AC1-64E0C546D7DE}">
          <x14:pivotField fillDownLabels="1"/>
        </ext>
      </extLst>
    </pivotField>
    <pivotField axis="axisCol" compact="0" outline="0" showAll="0" defaultSubtotal="0">
      <items count="267">
        <item x="140"/>
        <item x="156"/>
        <item x="163"/>
        <item x="171"/>
        <item x="224"/>
        <item x="84"/>
        <item x="131"/>
        <item x="207"/>
        <item x="258"/>
        <item x="234"/>
        <item x="255"/>
        <item x="248"/>
        <item x="238"/>
        <item x="252"/>
        <item x="239"/>
        <item x="245"/>
        <item x="253"/>
        <item x="132"/>
        <item x="94"/>
        <item x="232"/>
        <item x="246"/>
        <item x="113"/>
        <item x="114"/>
        <item x="249"/>
        <item x="233"/>
        <item x="230"/>
        <item x="236"/>
        <item x="241"/>
        <item x="250"/>
        <item x="95"/>
        <item x="115"/>
        <item x="243"/>
        <item x="133"/>
        <item x="121"/>
        <item x="134"/>
        <item x="116"/>
        <item x="244"/>
        <item x="235"/>
        <item x="105"/>
        <item x="206"/>
        <item x="208"/>
        <item x="99"/>
        <item x="240"/>
        <item x="254"/>
        <item x="108"/>
        <item x="109"/>
        <item x="110"/>
        <item x="111"/>
        <item x="153"/>
        <item x="21"/>
        <item x="1"/>
        <item x="159"/>
        <item x="225"/>
        <item x="29"/>
        <item x="32"/>
        <item x="54"/>
        <item x="55"/>
        <item x="62"/>
        <item x="160"/>
        <item x="203"/>
        <item x="263"/>
        <item x="197"/>
        <item x="19"/>
        <item x="67"/>
        <item x="68"/>
        <item x="69"/>
        <item x="56"/>
        <item x="135"/>
        <item x="136"/>
        <item x="80"/>
        <item x="152"/>
        <item x="31"/>
        <item x="45"/>
        <item x="169"/>
        <item x="122"/>
        <item x="123"/>
        <item x="124"/>
        <item x="125"/>
        <item x="126"/>
        <item x="127"/>
        <item x="128"/>
        <item x="129"/>
        <item x="130"/>
        <item x="251"/>
        <item x="209"/>
        <item x="46"/>
        <item x="137"/>
        <item x="210"/>
        <item x="138"/>
        <item x="259"/>
        <item x="217"/>
        <item x="58"/>
        <item x="22"/>
        <item x="2"/>
        <item x="3"/>
        <item x="23"/>
        <item x="24"/>
        <item x="4"/>
        <item x="5"/>
        <item x="63"/>
        <item x="25"/>
        <item x="6"/>
        <item x="64"/>
        <item x="142"/>
        <item x="143"/>
        <item x="202"/>
        <item x="161"/>
        <item x="226"/>
        <item x="30"/>
        <item x="71"/>
        <item x="18"/>
        <item x="72"/>
        <item x="73"/>
        <item x="182"/>
        <item x="91"/>
        <item x="204"/>
        <item x="228"/>
        <item x="20"/>
        <item x="60"/>
        <item x="37"/>
        <item x="38"/>
        <item x="53"/>
        <item x="61"/>
        <item x="78"/>
        <item x="48"/>
        <item x="47"/>
        <item x="76"/>
        <item x="85"/>
        <item x="186"/>
        <item x="189"/>
        <item x="227"/>
        <item x="87"/>
        <item x="77"/>
        <item x="83"/>
        <item x="185"/>
        <item x="195"/>
        <item x="223"/>
        <item x="90"/>
        <item x="88"/>
        <item x="89"/>
        <item x="196"/>
        <item x="10"/>
        <item x="11"/>
        <item x="12"/>
        <item x="13"/>
        <item x="14"/>
        <item x="15"/>
        <item x="17"/>
        <item x="36"/>
        <item x="50"/>
        <item x="59"/>
        <item x="66"/>
        <item x="35"/>
        <item x="75"/>
        <item x="79"/>
        <item x="81"/>
        <item x="86"/>
        <item x="104"/>
        <item x="173"/>
        <item x="220"/>
        <item x="221"/>
        <item x="222"/>
        <item x="257"/>
        <item x="0"/>
        <item x="7"/>
        <item x="8"/>
        <item x="9"/>
        <item x="16"/>
        <item x="26"/>
        <item x="27"/>
        <item x="28"/>
        <item x="33"/>
        <item x="34"/>
        <item x="39"/>
        <item x="40"/>
        <item x="41"/>
        <item x="42"/>
        <item x="43"/>
        <item x="44"/>
        <item x="49"/>
        <item x="51"/>
        <item x="52"/>
        <item x="57"/>
        <item x="65"/>
        <item x="70"/>
        <item x="74"/>
        <item x="82"/>
        <item x="92"/>
        <item x="93"/>
        <item x="96"/>
        <item x="97"/>
        <item x="98"/>
        <item x="100"/>
        <item x="101"/>
        <item x="102"/>
        <item x="103"/>
        <item x="106"/>
        <item x="107"/>
        <item x="112"/>
        <item x="117"/>
        <item x="118"/>
        <item x="119"/>
        <item x="120"/>
        <item x="139"/>
        <item x="141"/>
        <item x="144"/>
        <item x="145"/>
        <item x="146"/>
        <item x="147"/>
        <item x="148"/>
        <item x="149"/>
        <item x="150"/>
        <item x="151"/>
        <item x="154"/>
        <item x="155"/>
        <item x="157"/>
        <item x="158"/>
        <item x="162"/>
        <item x="164"/>
        <item x="165"/>
        <item x="166"/>
        <item x="167"/>
        <item x="168"/>
        <item x="170"/>
        <item x="172"/>
        <item x="174"/>
        <item x="175"/>
        <item x="176"/>
        <item x="177"/>
        <item x="178"/>
        <item x="179"/>
        <item x="180"/>
        <item x="181"/>
        <item x="183"/>
        <item x="184"/>
        <item x="187"/>
        <item x="188"/>
        <item x="190"/>
        <item x="191"/>
        <item x="192"/>
        <item x="193"/>
        <item x="194"/>
        <item x="198"/>
        <item x="199"/>
        <item x="200"/>
        <item x="201"/>
        <item x="205"/>
        <item x="211"/>
        <item x="212"/>
        <item x="213"/>
        <item x="214"/>
        <item x="215"/>
        <item x="216"/>
        <item x="218"/>
        <item x="219"/>
        <item x="229"/>
        <item x="231"/>
        <item x="237"/>
        <item x="242"/>
        <item x="247"/>
        <item x="256"/>
        <item x="260"/>
        <item x="261"/>
        <item x="262"/>
        <item x="264"/>
        <item x="265"/>
        <item x="266"/>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4">
        <item x="3"/>
        <item x="4"/>
        <item x="5"/>
        <item x="6"/>
        <item x="7"/>
        <item x="8"/>
        <item x="0"/>
        <item x="1"/>
        <item x="2"/>
        <item x="9"/>
        <item x="10"/>
        <item x="11"/>
        <item x="12"/>
        <item x="13"/>
        <item x="14"/>
        <item x="15"/>
        <item x="16"/>
        <item x="17"/>
        <item x="18"/>
        <item x="19"/>
        <item x="20"/>
        <item x="21"/>
        <item x="22"/>
        <item x="2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8"/>
    <field x="9"/>
  </rowFields>
  <rowItems count="25">
    <i>
      <x/>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t="grand">
      <x/>
    </i>
  </rowItems>
  <colFields count="3">
    <field x="3"/>
    <field x="6"/>
    <field x="7"/>
  </colFields>
  <colItems count="31">
    <i>
      <x/>
      <x v="6"/>
      <x v="141"/>
    </i>
    <i r="2">
      <x v="142"/>
    </i>
    <i r="2">
      <x v="143"/>
    </i>
    <i r="2">
      <x v="144"/>
    </i>
    <i r="2">
      <x v="145"/>
    </i>
    <i r="2">
      <x v="146"/>
    </i>
    <i r="2">
      <x v="147"/>
    </i>
    <i r="2">
      <x v="148"/>
    </i>
    <i r="2">
      <x v="149"/>
    </i>
    <i r="2">
      <x v="150"/>
    </i>
    <i r="2">
      <x v="151"/>
    </i>
    <i r="2">
      <x v="152"/>
    </i>
    <i r="2">
      <x v="164"/>
    </i>
    <i r="2">
      <x v="165"/>
    </i>
    <i r="2">
      <x v="166"/>
    </i>
    <i r="2">
      <x v="167"/>
    </i>
    <i r="2">
      <x v="168"/>
    </i>
    <i r="2">
      <x v="169"/>
    </i>
    <i r="2">
      <x v="170"/>
    </i>
    <i r="2">
      <x v="171"/>
    </i>
    <i r="2">
      <x v="172"/>
    </i>
    <i r="2">
      <x v="173"/>
    </i>
    <i r="2">
      <x v="174"/>
    </i>
    <i r="2">
      <x v="175"/>
    </i>
    <i r="2">
      <x v="176"/>
    </i>
    <i r="2">
      <x v="177"/>
    </i>
    <i r="2">
      <x v="178"/>
    </i>
    <i r="2">
      <x v="179"/>
    </i>
    <i r="2">
      <x v="180"/>
    </i>
    <i r="2">
      <x v="181"/>
    </i>
    <i t="grand">
      <x/>
    </i>
  </colItems>
  <pageFields count="1">
    <pageField fld="1" hier="-1"/>
  </pageFields>
  <dataFields count="1">
    <dataField name="Sum of GJ" fld="12" baseField="0" baseItem="0"/>
  </dataFields>
  <chartFormats count="30">
    <chartFormat chart="0" format="35" series="1">
      <pivotArea type="data" outline="0" fieldPosition="0">
        <references count="4">
          <reference field="4294967294" count="1" selected="0">
            <x v="0"/>
          </reference>
          <reference field="3" count="1" selected="0">
            <x v="0"/>
          </reference>
          <reference field="6" count="1" selected="0">
            <x v="6"/>
          </reference>
          <reference field="7" count="1" selected="0">
            <x v="141"/>
          </reference>
        </references>
      </pivotArea>
    </chartFormat>
    <chartFormat chart="0" format="36" series="1">
      <pivotArea type="data" outline="0" fieldPosition="0">
        <references count="4">
          <reference field="4294967294" count="1" selected="0">
            <x v="0"/>
          </reference>
          <reference field="3" count="1" selected="0">
            <x v="0"/>
          </reference>
          <reference field="6" count="1" selected="0">
            <x v="6"/>
          </reference>
          <reference field="7" count="1" selected="0">
            <x v="142"/>
          </reference>
        </references>
      </pivotArea>
    </chartFormat>
    <chartFormat chart="0" format="37" series="1">
      <pivotArea type="data" outline="0" fieldPosition="0">
        <references count="4">
          <reference field="4294967294" count="1" selected="0">
            <x v="0"/>
          </reference>
          <reference field="3" count="1" selected="0">
            <x v="0"/>
          </reference>
          <reference field="6" count="1" selected="0">
            <x v="6"/>
          </reference>
          <reference field="7" count="1" selected="0">
            <x v="143"/>
          </reference>
        </references>
      </pivotArea>
    </chartFormat>
    <chartFormat chart="0" format="38" series="1">
      <pivotArea type="data" outline="0" fieldPosition="0">
        <references count="4">
          <reference field="4294967294" count="1" selected="0">
            <x v="0"/>
          </reference>
          <reference field="3" count="1" selected="0">
            <x v="0"/>
          </reference>
          <reference field="6" count="1" selected="0">
            <x v="6"/>
          </reference>
          <reference field="7" count="1" selected="0">
            <x v="144"/>
          </reference>
        </references>
      </pivotArea>
    </chartFormat>
    <chartFormat chart="0" format="39" series="1">
      <pivotArea type="data" outline="0" fieldPosition="0">
        <references count="4">
          <reference field="4294967294" count="1" selected="0">
            <x v="0"/>
          </reference>
          <reference field="3" count="1" selected="0">
            <x v="0"/>
          </reference>
          <reference field="6" count="1" selected="0">
            <x v="6"/>
          </reference>
          <reference field="7" count="1" selected="0">
            <x v="145"/>
          </reference>
        </references>
      </pivotArea>
    </chartFormat>
    <chartFormat chart="0" format="40" series="1">
      <pivotArea type="data" outline="0" fieldPosition="0">
        <references count="4">
          <reference field="4294967294" count="1" selected="0">
            <x v="0"/>
          </reference>
          <reference field="3" count="1" selected="0">
            <x v="0"/>
          </reference>
          <reference field="6" count="1" selected="0">
            <x v="6"/>
          </reference>
          <reference field="7" count="1" selected="0">
            <x v="146"/>
          </reference>
        </references>
      </pivotArea>
    </chartFormat>
    <chartFormat chart="0" format="41" series="1">
      <pivotArea type="data" outline="0" fieldPosition="0">
        <references count="4">
          <reference field="4294967294" count="1" selected="0">
            <x v="0"/>
          </reference>
          <reference field="3" count="1" selected="0">
            <x v="0"/>
          </reference>
          <reference field="6" count="1" selected="0">
            <x v="6"/>
          </reference>
          <reference field="7" count="1" selected="0">
            <x v="147"/>
          </reference>
        </references>
      </pivotArea>
    </chartFormat>
    <chartFormat chart="0" format="42" series="1">
      <pivotArea type="data" outline="0" fieldPosition="0">
        <references count="4">
          <reference field="4294967294" count="1" selected="0">
            <x v="0"/>
          </reference>
          <reference field="3" count="1" selected="0">
            <x v="0"/>
          </reference>
          <reference field="6" count="1" selected="0">
            <x v="6"/>
          </reference>
          <reference field="7" count="1" selected="0">
            <x v="148"/>
          </reference>
        </references>
      </pivotArea>
    </chartFormat>
    <chartFormat chart="0" format="43" series="1">
      <pivotArea type="data" outline="0" fieldPosition="0">
        <references count="4">
          <reference field="4294967294" count="1" selected="0">
            <x v="0"/>
          </reference>
          <reference field="3" count="1" selected="0">
            <x v="0"/>
          </reference>
          <reference field="6" count="1" selected="0">
            <x v="6"/>
          </reference>
          <reference field="7" count="1" selected="0">
            <x v="149"/>
          </reference>
        </references>
      </pivotArea>
    </chartFormat>
    <chartFormat chart="0" format="44" series="1">
      <pivotArea type="data" outline="0" fieldPosition="0">
        <references count="4">
          <reference field="4294967294" count="1" selected="0">
            <x v="0"/>
          </reference>
          <reference field="3" count="1" selected="0">
            <x v="0"/>
          </reference>
          <reference field="6" count="1" selected="0">
            <x v="6"/>
          </reference>
          <reference field="7" count="1" selected="0">
            <x v="150"/>
          </reference>
        </references>
      </pivotArea>
    </chartFormat>
    <chartFormat chart="0" format="45" series="1">
      <pivotArea type="data" outline="0" fieldPosition="0">
        <references count="4">
          <reference field="4294967294" count="1" selected="0">
            <x v="0"/>
          </reference>
          <reference field="3" count="1" selected="0">
            <x v="0"/>
          </reference>
          <reference field="6" count="1" selected="0">
            <x v="6"/>
          </reference>
          <reference field="7" count="1" selected="0">
            <x v="151"/>
          </reference>
        </references>
      </pivotArea>
    </chartFormat>
    <chartFormat chart="0" format="46" series="1">
      <pivotArea type="data" outline="0" fieldPosition="0">
        <references count="4">
          <reference field="4294967294" count="1" selected="0">
            <x v="0"/>
          </reference>
          <reference field="3" count="1" selected="0">
            <x v="0"/>
          </reference>
          <reference field="6" count="1" selected="0">
            <x v="6"/>
          </reference>
          <reference field="7" count="1" selected="0">
            <x v="152"/>
          </reference>
        </references>
      </pivotArea>
    </chartFormat>
    <chartFormat chart="0" format="65" series="1">
      <pivotArea type="data" outline="0" fieldPosition="0">
        <references count="4">
          <reference field="4294967294" count="1" selected="0">
            <x v="0"/>
          </reference>
          <reference field="3" count="1" selected="0">
            <x v="0"/>
          </reference>
          <reference field="6" count="1" selected="0">
            <x v="6"/>
          </reference>
          <reference field="7" count="1" selected="0">
            <x v="164"/>
          </reference>
        </references>
      </pivotArea>
    </chartFormat>
    <chartFormat chart="0" format="66" series="1">
      <pivotArea type="data" outline="0" fieldPosition="0">
        <references count="4">
          <reference field="4294967294" count="1" selected="0">
            <x v="0"/>
          </reference>
          <reference field="3" count="1" selected="0">
            <x v="0"/>
          </reference>
          <reference field="6" count="1" selected="0">
            <x v="6"/>
          </reference>
          <reference field="7" count="1" selected="0">
            <x v="165"/>
          </reference>
        </references>
      </pivotArea>
    </chartFormat>
    <chartFormat chart="0" format="67" series="1">
      <pivotArea type="data" outline="0" fieldPosition="0">
        <references count="4">
          <reference field="4294967294" count="1" selected="0">
            <x v="0"/>
          </reference>
          <reference field="3" count="1" selected="0">
            <x v="0"/>
          </reference>
          <reference field="6" count="1" selected="0">
            <x v="6"/>
          </reference>
          <reference field="7" count="1" selected="0">
            <x v="166"/>
          </reference>
        </references>
      </pivotArea>
    </chartFormat>
    <chartFormat chart="0" format="68" series="1">
      <pivotArea type="data" outline="0" fieldPosition="0">
        <references count="4">
          <reference field="4294967294" count="1" selected="0">
            <x v="0"/>
          </reference>
          <reference field="3" count="1" selected="0">
            <x v="0"/>
          </reference>
          <reference field="6" count="1" selected="0">
            <x v="6"/>
          </reference>
          <reference field="7" count="1" selected="0">
            <x v="167"/>
          </reference>
        </references>
      </pivotArea>
    </chartFormat>
    <chartFormat chart="0" format="69" series="1">
      <pivotArea type="data" outline="0" fieldPosition="0">
        <references count="4">
          <reference field="4294967294" count="1" selected="0">
            <x v="0"/>
          </reference>
          <reference field="3" count="1" selected="0">
            <x v="0"/>
          </reference>
          <reference field="6" count="1" selected="0">
            <x v="6"/>
          </reference>
          <reference field="7" count="1" selected="0">
            <x v="168"/>
          </reference>
        </references>
      </pivotArea>
    </chartFormat>
    <chartFormat chart="0" format="70" series="1">
      <pivotArea type="data" outline="0" fieldPosition="0">
        <references count="4">
          <reference field="4294967294" count="1" selected="0">
            <x v="0"/>
          </reference>
          <reference field="3" count="1" selected="0">
            <x v="0"/>
          </reference>
          <reference field="6" count="1" selected="0">
            <x v="6"/>
          </reference>
          <reference field="7" count="1" selected="0">
            <x v="169"/>
          </reference>
        </references>
      </pivotArea>
    </chartFormat>
    <chartFormat chart="0" format="71" series="1">
      <pivotArea type="data" outline="0" fieldPosition="0">
        <references count="4">
          <reference field="4294967294" count="1" selected="0">
            <x v="0"/>
          </reference>
          <reference field="3" count="1" selected="0">
            <x v="0"/>
          </reference>
          <reference field="6" count="1" selected="0">
            <x v="6"/>
          </reference>
          <reference field="7" count="1" selected="0">
            <x v="170"/>
          </reference>
        </references>
      </pivotArea>
    </chartFormat>
    <chartFormat chart="0" format="72" series="1">
      <pivotArea type="data" outline="0" fieldPosition="0">
        <references count="4">
          <reference field="4294967294" count="1" selected="0">
            <x v="0"/>
          </reference>
          <reference field="3" count="1" selected="0">
            <x v="0"/>
          </reference>
          <reference field="6" count="1" selected="0">
            <x v="6"/>
          </reference>
          <reference field="7" count="1" selected="0">
            <x v="171"/>
          </reference>
        </references>
      </pivotArea>
    </chartFormat>
    <chartFormat chart="0" format="73" series="1">
      <pivotArea type="data" outline="0" fieldPosition="0">
        <references count="4">
          <reference field="4294967294" count="1" selected="0">
            <x v="0"/>
          </reference>
          <reference field="3" count="1" selected="0">
            <x v="0"/>
          </reference>
          <reference field="6" count="1" selected="0">
            <x v="6"/>
          </reference>
          <reference field="7" count="1" selected="0">
            <x v="172"/>
          </reference>
        </references>
      </pivotArea>
    </chartFormat>
    <chartFormat chart="0" format="74" series="1">
      <pivotArea type="data" outline="0" fieldPosition="0">
        <references count="4">
          <reference field="4294967294" count="1" selected="0">
            <x v="0"/>
          </reference>
          <reference field="3" count="1" selected="0">
            <x v="0"/>
          </reference>
          <reference field="6" count="1" selected="0">
            <x v="6"/>
          </reference>
          <reference field="7" count="1" selected="0">
            <x v="173"/>
          </reference>
        </references>
      </pivotArea>
    </chartFormat>
    <chartFormat chart="0" format="75" series="1">
      <pivotArea type="data" outline="0" fieldPosition="0">
        <references count="4">
          <reference field="4294967294" count="1" selected="0">
            <x v="0"/>
          </reference>
          <reference field="3" count="1" selected="0">
            <x v="0"/>
          </reference>
          <reference field="6" count="1" selected="0">
            <x v="6"/>
          </reference>
          <reference field="7" count="1" selected="0">
            <x v="174"/>
          </reference>
        </references>
      </pivotArea>
    </chartFormat>
    <chartFormat chart="0" format="76" series="1">
      <pivotArea type="data" outline="0" fieldPosition="0">
        <references count="4">
          <reference field="4294967294" count="1" selected="0">
            <x v="0"/>
          </reference>
          <reference field="3" count="1" selected="0">
            <x v="0"/>
          </reference>
          <reference field="6" count="1" selected="0">
            <x v="6"/>
          </reference>
          <reference field="7" count="1" selected="0">
            <x v="175"/>
          </reference>
        </references>
      </pivotArea>
    </chartFormat>
    <chartFormat chart="0" format="77" series="1">
      <pivotArea type="data" outline="0" fieldPosition="0">
        <references count="4">
          <reference field="4294967294" count="1" selected="0">
            <x v="0"/>
          </reference>
          <reference field="3" count="1" selected="0">
            <x v="0"/>
          </reference>
          <reference field="6" count="1" selected="0">
            <x v="6"/>
          </reference>
          <reference field="7" count="1" selected="0">
            <x v="176"/>
          </reference>
        </references>
      </pivotArea>
    </chartFormat>
    <chartFormat chart="0" format="78" series="1">
      <pivotArea type="data" outline="0" fieldPosition="0">
        <references count="4">
          <reference field="4294967294" count="1" selected="0">
            <x v="0"/>
          </reference>
          <reference field="3" count="1" selected="0">
            <x v="0"/>
          </reference>
          <reference field="6" count="1" selected="0">
            <x v="6"/>
          </reference>
          <reference field="7" count="1" selected="0">
            <x v="177"/>
          </reference>
        </references>
      </pivotArea>
    </chartFormat>
    <chartFormat chart="0" format="79" series="1">
      <pivotArea type="data" outline="0" fieldPosition="0">
        <references count="4">
          <reference field="4294967294" count="1" selected="0">
            <x v="0"/>
          </reference>
          <reference field="3" count="1" selected="0">
            <x v="0"/>
          </reference>
          <reference field="6" count="1" selected="0">
            <x v="6"/>
          </reference>
          <reference field="7" count="1" selected="0">
            <x v="178"/>
          </reference>
        </references>
      </pivotArea>
    </chartFormat>
    <chartFormat chart="0" format="80" series="1">
      <pivotArea type="data" outline="0" fieldPosition="0">
        <references count="4">
          <reference field="4294967294" count="1" selected="0">
            <x v="0"/>
          </reference>
          <reference field="3" count="1" selected="0">
            <x v="0"/>
          </reference>
          <reference field="6" count="1" selected="0">
            <x v="6"/>
          </reference>
          <reference field="7" count="1" selected="0">
            <x v="179"/>
          </reference>
        </references>
      </pivotArea>
    </chartFormat>
    <chartFormat chart="0" format="81" series="1">
      <pivotArea type="data" outline="0" fieldPosition="0">
        <references count="4">
          <reference field="4294967294" count="1" selected="0">
            <x v="0"/>
          </reference>
          <reference field="3" count="1" selected="0">
            <x v="0"/>
          </reference>
          <reference field="6" count="1" selected="0">
            <x v="6"/>
          </reference>
          <reference field="7" count="1" selected="0">
            <x v="180"/>
          </reference>
        </references>
      </pivotArea>
    </chartFormat>
    <chartFormat chart="0" format="82" series="1">
      <pivotArea type="data" outline="0" fieldPosition="0">
        <references count="4">
          <reference field="4294967294" count="1" selected="0">
            <x v="0"/>
          </reference>
          <reference field="3" count="1" selected="0">
            <x v="0"/>
          </reference>
          <reference field="6" count="1" selected="0">
            <x v="6"/>
          </reference>
          <reference field="7" count="1" selected="0">
            <x v="18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9.xml><?xml version="1.0" encoding="utf-8"?>
<pivotTableDefinition xmlns="http://schemas.openxmlformats.org/spreadsheetml/2006/main" name="PivotTable1" cacheId="6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1" fieldListSortAscending="1">
  <location ref="B4:Z17" firstHeaderRow="1" firstDataRow="2" firstDataCol="1" rowPageCount="2" colPageCount="1"/>
  <pivotFields count="10">
    <pivotField showAll="0"/>
    <pivotField axis="axisPage" showAll="0">
      <items count="2">
        <item x="0"/>
        <item t="default"/>
      </items>
    </pivotField>
    <pivotField axis="axisPage" showAll="0" defaultSubtotal="0">
      <items count="1">
        <item x="0"/>
      </items>
    </pivotField>
    <pivotField axis="axisRow" showAll="0">
      <items count="12">
        <item x="0"/>
        <item x="3"/>
        <item x="7"/>
        <item x="9"/>
        <item x="6"/>
        <item x="10"/>
        <item x="1"/>
        <item x="4"/>
        <item x="5"/>
        <item x="8"/>
        <item x="2"/>
        <item t="default"/>
      </items>
    </pivotField>
    <pivotField showAll="0"/>
    <pivotField showAll="0"/>
    <pivotField axis="axisCol" showAll="0">
      <items count="24">
        <item x="6"/>
        <item x="19"/>
        <item x="8"/>
        <item x="2"/>
        <item x="1"/>
        <item x="10"/>
        <item x="4"/>
        <item x="7"/>
        <item x="18"/>
        <item x="13"/>
        <item x="3"/>
        <item x="5"/>
        <item x="20"/>
        <item x="21"/>
        <item x="22"/>
        <item x="12"/>
        <item x="16"/>
        <item x="11"/>
        <item x="9"/>
        <item x="14"/>
        <item x="0"/>
        <item x="15"/>
        <item x="17"/>
        <item t="default"/>
      </items>
    </pivotField>
    <pivotField showAll="0"/>
    <pivotField dataField="1" showAll="0"/>
    <pivotField showAll="0"/>
  </pivotFields>
  <rowFields count="1">
    <field x="3"/>
  </rowFields>
  <rowItems count="12">
    <i>
      <x/>
    </i>
    <i>
      <x v="1"/>
    </i>
    <i>
      <x v="2"/>
    </i>
    <i>
      <x v="3"/>
    </i>
    <i>
      <x v="4"/>
    </i>
    <i>
      <x v="5"/>
    </i>
    <i>
      <x v="6"/>
    </i>
    <i>
      <x v="7"/>
    </i>
    <i>
      <x v="8"/>
    </i>
    <i>
      <x v="9"/>
    </i>
    <i>
      <x v="10"/>
    </i>
    <i t="grand">
      <x/>
    </i>
  </rowItems>
  <colFields count="1">
    <field x="6"/>
  </colFields>
  <colItems count="24">
    <i>
      <x/>
    </i>
    <i>
      <x v="1"/>
    </i>
    <i>
      <x v="2"/>
    </i>
    <i>
      <x v="3"/>
    </i>
    <i>
      <x v="4"/>
    </i>
    <i>
      <x v="5"/>
    </i>
    <i>
      <x v="6"/>
    </i>
    <i>
      <x v="7"/>
    </i>
    <i>
      <x v="8"/>
    </i>
    <i>
      <x v="9"/>
    </i>
    <i>
      <x v="10"/>
    </i>
    <i>
      <x v="11"/>
    </i>
    <i>
      <x v="12"/>
    </i>
    <i>
      <x v="13"/>
    </i>
    <i>
      <x v="14"/>
    </i>
    <i>
      <x v="15"/>
    </i>
    <i>
      <x v="16"/>
    </i>
    <i>
      <x v="17"/>
    </i>
    <i>
      <x v="18"/>
    </i>
    <i>
      <x v="19"/>
    </i>
    <i>
      <x v="20"/>
    </i>
    <i>
      <x v="21"/>
    </i>
    <i>
      <x v="22"/>
    </i>
    <i t="grand">
      <x/>
    </i>
  </colItems>
  <pageFields count="2">
    <pageField fld="1" item="0" hier="-1"/>
    <pageField fld="2" item="0" hier="-1"/>
  </pageFields>
  <dataFields count="1">
    <dataField name="Sum of TWh" fld="8" baseField="0" baseItem="0"/>
  </dataFields>
  <chartFormats count="25">
    <chartFormat chart="0" format="21" series="1">
      <pivotArea type="data" outline="0" fieldPosition="0">
        <references count="1">
          <reference field="6" count="1" selected="0">
            <x v="0"/>
          </reference>
        </references>
      </pivotArea>
    </chartFormat>
    <chartFormat chart="0" format="27" series="1">
      <pivotArea type="data" outline="0" fieldPosition="0">
        <references count="1">
          <reference field="6" count="1" selected="0">
            <x v="1"/>
          </reference>
        </references>
      </pivotArea>
    </chartFormat>
    <chartFormat chart="0" format="37" series="1">
      <pivotArea type="data" outline="0" fieldPosition="0">
        <references count="1">
          <reference field="6" count="1" selected="0">
            <x v="2"/>
          </reference>
        </references>
      </pivotArea>
    </chartFormat>
    <chartFormat chart="0" format="63" series="1">
      <pivotArea type="data" outline="0" fieldPosition="0">
        <references count="2">
          <reference field="4294967294" count="1" selected="0">
            <x v="0"/>
          </reference>
          <reference field="6" count="1" selected="0">
            <x v="1"/>
          </reference>
        </references>
      </pivotArea>
    </chartFormat>
    <chartFormat chart="0" format="73" series="1">
      <pivotArea type="data" outline="0" fieldPosition="0">
        <references count="2">
          <reference field="4294967294" count="1" selected="0">
            <x v="0"/>
          </reference>
          <reference field="6" count="1" selected="0">
            <x v="2"/>
          </reference>
        </references>
      </pivotArea>
    </chartFormat>
    <chartFormat chart="0" format="78" series="1">
      <pivotArea type="data" outline="0" fieldPosition="0">
        <references count="2">
          <reference field="4294967294" count="1" selected="0">
            <x v="0"/>
          </reference>
          <reference field="6" count="1" selected="0">
            <x v="3"/>
          </reference>
        </references>
      </pivotArea>
    </chartFormat>
    <chartFormat chart="0" format="82" series="1">
      <pivotArea type="data" outline="0" fieldPosition="0">
        <references count="2">
          <reference field="4294967294" count="1" selected="0">
            <x v="0"/>
          </reference>
          <reference field="6" count="1" selected="0">
            <x v="4"/>
          </reference>
        </references>
      </pivotArea>
    </chartFormat>
    <chartFormat chart="0" format="84" series="1">
      <pivotArea type="data" outline="0" fieldPosition="0">
        <references count="2">
          <reference field="4294967294" count="1" selected="0">
            <x v="0"/>
          </reference>
          <reference field="6" count="1" selected="0">
            <x v="5"/>
          </reference>
        </references>
      </pivotArea>
    </chartFormat>
    <chartFormat chart="0" format="110" series="1">
      <pivotArea type="data" outline="0" fieldPosition="0">
        <references count="2">
          <reference field="4294967294" count="1" selected="0">
            <x v="0"/>
          </reference>
          <reference field="6" count="1" selected="0">
            <x v="6"/>
          </reference>
        </references>
      </pivotArea>
    </chartFormat>
    <chartFormat chart="0" format="112" series="1">
      <pivotArea type="data" outline="0" fieldPosition="0">
        <references count="2">
          <reference field="4294967294" count="1" selected="0">
            <x v="0"/>
          </reference>
          <reference field="6" count="1" selected="0">
            <x v="7"/>
          </reference>
        </references>
      </pivotArea>
    </chartFormat>
    <chartFormat chart="0" format="114" series="1">
      <pivotArea type="data" outline="0" fieldPosition="0">
        <references count="2">
          <reference field="4294967294" count="1" selected="0">
            <x v="0"/>
          </reference>
          <reference field="6" count="1" selected="0">
            <x v="8"/>
          </reference>
        </references>
      </pivotArea>
    </chartFormat>
    <chartFormat chart="0" format="122" series="1">
      <pivotArea type="data" outline="0" fieldPosition="0">
        <references count="2">
          <reference field="4294967294" count="1" selected="0">
            <x v="0"/>
          </reference>
          <reference field="6" count="1" selected="0">
            <x v="9"/>
          </reference>
        </references>
      </pivotArea>
    </chartFormat>
    <chartFormat chart="0" format="125" series="1">
      <pivotArea type="data" outline="0" fieldPosition="0">
        <references count="2">
          <reference field="4294967294" count="1" selected="0">
            <x v="0"/>
          </reference>
          <reference field="6" count="1" selected="0">
            <x v="10"/>
          </reference>
        </references>
      </pivotArea>
    </chartFormat>
    <chartFormat chart="0" format="126" series="1">
      <pivotArea type="data" outline="0" fieldPosition="0">
        <references count="2">
          <reference field="4294967294" count="1" selected="0">
            <x v="0"/>
          </reference>
          <reference field="6" count="1" selected="0">
            <x v="11"/>
          </reference>
        </references>
      </pivotArea>
    </chartFormat>
    <chartFormat chart="0" format="129" series="1">
      <pivotArea type="data" outline="0" fieldPosition="0">
        <references count="2">
          <reference field="4294967294" count="1" selected="0">
            <x v="0"/>
          </reference>
          <reference field="6" count="1" selected="0">
            <x v="12"/>
          </reference>
        </references>
      </pivotArea>
    </chartFormat>
    <chartFormat chart="0" format="130" series="1">
      <pivotArea type="data" outline="0" fieldPosition="0">
        <references count="2">
          <reference field="4294967294" count="1" selected="0">
            <x v="0"/>
          </reference>
          <reference field="6" count="1" selected="0">
            <x v="13"/>
          </reference>
        </references>
      </pivotArea>
    </chartFormat>
    <chartFormat chart="0" format="132" series="1">
      <pivotArea type="data" outline="0" fieldPosition="0">
        <references count="2">
          <reference field="4294967294" count="1" selected="0">
            <x v="0"/>
          </reference>
          <reference field="6" count="1" selected="0">
            <x v="14"/>
          </reference>
        </references>
      </pivotArea>
    </chartFormat>
    <chartFormat chart="0" format="143" series="1">
      <pivotArea type="data" outline="0" fieldPosition="0">
        <references count="2">
          <reference field="4294967294" count="1" selected="0">
            <x v="0"/>
          </reference>
          <reference field="6" count="1" selected="0">
            <x v="15"/>
          </reference>
        </references>
      </pivotArea>
    </chartFormat>
    <chartFormat chart="0" format="145" series="1">
      <pivotArea type="data" outline="0" fieldPosition="0">
        <references count="2">
          <reference field="4294967294" count="1" selected="0">
            <x v="0"/>
          </reference>
          <reference field="6" count="1" selected="0">
            <x v="16"/>
          </reference>
        </references>
      </pivotArea>
    </chartFormat>
    <chartFormat chart="0" format="148" series="1">
      <pivotArea type="data" outline="0" fieldPosition="0">
        <references count="2">
          <reference field="4294967294" count="1" selected="0">
            <x v="0"/>
          </reference>
          <reference field="6" count="1" selected="0">
            <x v="17"/>
          </reference>
        </references>
      </pivotArea>
    </chartFormat>
    <chartFormat chart="0" format="150" series="1">
      <pivotArea type="data" outline="0" fieldPosition="0">
        <references count="2">
          <reference field="4294967294" count="1" selected="0">
            <x v="0"/>
          </reference>
          <reference field="6" count="1" selected="0">
            <x v="18"/>
          </reference>
        </references>
      </pivotArea>
    </chartFormat>
    <chartFormat chart="0" format="151" series="1">
      <pivotArea type="data" outline="0" fieldPosition="0">
        <references count="2">
          <reference field="4294967294" count="1" selected="0">
            <x v="0"/>
          </reference>
          <reference field="6" count="1" selected="0">
            <x v="19"/>
          </reference>
        </references>
      </pivotArea>
    </chartFormat>
    <chartFormat chart="0" format="155" series="1">
      <pivotArea type="data" outline="0" fieldPosition="0">
        <references count="2">
          <reference field="4294967294" count="1" selected="0">
            <x v="0"/>
          </reference>
          <reference field="6" count="1" selected="0">
            <x v="20"/>
          </reference>
        </references>
      </pivotArea>
    </chartFormat>
    <chartFormat chart="0" format="156" series="1">
      <pivotArea type="data" outline="0" fieldPosition="0">
        <references count="2">
          <reference field="4294967294" count="1" selected="0">
            <x v="0"/>
          </reference>
          <reference field="6" count="1" selected="0">
            <x v="21"/>
          </reference>
        </references>
      </pivotArea>
    </chartFormat>
    <chartFormat chart="0" format="157" series="1">
      <pivotArea type="data" outline="0" fieldPosition="0">
        <references count="2">
          <reference field="4294967294" count="1" selected="0">
            <x v="0"/>
          </reference>
          <reference field="6" count="1" selected="0">
            <x v="2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3" cacheId="63"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4" fieldListSortAscending="1">
  <location ref="B3:H78" firstHeaderRow="0" firstDataRow="1" firstDataCol="4" rowPageCount="1" colPageCount="1"/>
  <pivotFields count="14">
    <pivotField axis="axisPage"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1">
        <item x="0"/>
        <item h="1" x="1"/>
        <item h="1" x="2"/>
        <item h="1" x="3"/>
        <item h="1" x="6"/>
        <item h="1" x="7"/>
        <item h="1" x="8"/>
        <item h="1" x="9"/>
        <item h="1" x="10"/>
        <item h="1" x="4"/>
        <item h="1" x="5"/>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67">
        <item x="206"/>
        <item x="81"/>
        <item x="75"/>
        <item x="0"/>
        <item x="57"/>
        <item x="65"/>
        <item x="70"/>
        <item x="74"/>
        <item x="82"/>
        <item x="106"/>
        <item x="107"/>
        <item x="154"/>
        <item x="157"/>
        <item x="158"/>
        <item x="201"/>
        <item x="205"/>
        <item x="211"/>
        <item x="212"/>
        <item x="213"/>
        <item x="214"/>
        <item x="215"/>
        <item x="216"/>
        <item x="229"/>
        <item x="237"/>
        <item x="247"/>
        <item x="26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8"/>
        <item x="59"/>
        <item x="60"/>
        <item x="61"/>
        <item x="62"/>
        <item x="63"/>
        <item x="64"/>
        <item x="66"/>
        <item x="67"/>
        <item x="68"/>
        <item x="69"/>
        <item x="71"/>
        <item x="72"/>
        <item x="73"/>
        <item x="76"/>
        <item x="77"/>
        <item x="78"/>
        <item x="79"/>
        <item x="80"/>
        <item x="83"/>
        <item x="84"/>
        <item x="85"/>
        <item x="86"/>
        <item x="87"/>
        <item x="88"/>
        <item x="89"/>
        <item x="90"/>
        <item x="91"/>
        <item x="92"/>
        <item x="93"/>
        <item x="94"/>
        <item x="95"/>
        <item x="96"/>
        <item x="97"/>
        <item x="98"/>
        <item x="99"/>
        <item x="100"/>
        <item x="101"/>
        <item x="102"/>
        <item x="103"/>
        <item x="104"/>
        <item x="105"/>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5"/>
        <item x="156"/>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2"/>
        <item x="203"/>
        <item x="204"/>
        <item x="207"/>
        <item x="208"/>
        <item x="209"/>
        <item x="210"/>
        <item x="217"/>
        <item x="218"/>
        <item x="219"/>
        <item x="220"/>
        <item x="221"/>
        <item x="222"/>
        <item x="223"/>
        <item x="224"/>
        <item x="225"/>
        <item x="226"/>
        <item x="227"/>
        <item x="228"/>
        <item x="230"/>
        <item x="231"/>
        <item x="232"/>
        <item x="233"/>
        <item x="234"/>
        <item x="235"/>
        <item x="236"/>
        <item x="238"/>
        <item x="239"/>
        <item x="240"/>
        <item x="241"/>
        <item x="242"/>
        <item x="243"/>
        <item x="244"/>
        <item x="245"/>
        <item x="246"/>
        <item x="248"/>
        <item x="249"/>
        <item x="250"/>
        <item x="251"/>
        <item x="252"/>
        <item x="253"/>
        <item x="254"/>
        <item x="255"/>
        <item x="256"/>
        <item x="257"/>
        <item x="258"/>
        <item x="259"/>
        <item x="261"/>
        <item x="262"/>
        <item x="263"/>
        <item x="264"/>
        <item x="265"/>
        <item x="266"/>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4">
    <field x="1"/>
    <field x="2"/>
    <field x="3"/>
    <field x="7"/>
  </rowFields>
  <rowItems count="75">
    <i>
      <x/>
      <x/>
      <x/>
      <x v="3"/>
    </i>
    <i r="3">
      <x v="4"/>
    </i>
    <i r="3">
      <x v="5"/>
    </i>
    <i r="3">
      <x v="6"/>
    </i>
    <i r="3">
      <x v="26"/>
    </i>
    <i r="3">
      <x v="27"/>
    </i>
    <i r="3">
      <x v="28"/>
    </i>
    <i r="3">
      <x v="29"/>
    </i>
    <i r="3">
      <x v="30"/>
    </i>
    <i r="3">
      <x v="31"/>
    </i>
    <i r="3">
      <x v="32"/>
    </i>
    <i r="3">
      <x v="33"/>
    </i>
    <i r="3">
      <x v="34"/>
    </i>
    <i r="3">
      <x v="35"/>
    </i>
    <i r="3">
      <x v="36"/>
    </i>
    <i r="3">
      <x v="37"/>
    </i>
    <i r="3">
      <x v="38"/>
    </i>
    <i r="3">
      <x v="39"/>
    </i>
    <i r="3">
      <x v="40"/>
    </i>
    <i r="3">
      <x v="41"/>
    </i>
    <i r="3">
      <x v="42"/>
    </i>
    <i r="3">
      <x v="43"/>
    </i>
    <i r="3">
      <x v="44"/>
    </i>
    <i r="3">
      <x v="45"/>
    </i>
    <i r="3">
      <x v="46"/>
    </i>
    <i r="3">
      <x v="47"/>
    </i>
    <i r="3">
      <x v="48"/>
    </i>
    <i r="3">
      <x v="49"/>
    </i>
    <i r="3">
      <x v="50"/>
    </i>
    <i r="3">
      <x v="51"/>
    </i>
    <i r="3">
      <x v="52"/>
    </i>
    <i r="3">
      <x v="53"/>
    </i>
    <i r="3">
      <x v="54"/>
    </i>
    <i r="3">
      <x v="55"/>
    </i>
    <i r="3">
      <x v="56"/>
    </i>
    <i r="3">
      <x v="57"/>
    </i>
    <i r="3">
      <x v="58"/>
    </i>
    <i r="3">
      <x v="59"/>
    </i>
    <i r="3">
      <x v="60"/>
    </i>
    <i r="3">
      <x v="61"/>
    </i>
    <i r="3">
      <x v="62"/>
    </i>
    <i r="3">
      <x v="63"/>
    </i>
    <i r="3">
      <x v="64"/>
    </i>
    <i r="3">
      <x v="65"/>
    </i>
    <i r="3">
      <x v="66"/>
    </i>
    <i r="3">
      <x v="67"/>
    </i>
    <i r="3">
      <x v="68"/>
    </i>
    <i r="3">
      <x v="69"/>
    </i>
    <i r="3">
      <x v="70"/>
    </i>
    <i r="3">
      <x v="71"/>
    </i>
    <i r="3">
      <x v="72"/>
    </i>
    <i r="3">
      <x v="73"/>
    </i>
    <i r="3">
      <x v="74"/>
    </i>
    <i r="3">
      <x v="75"/>
    </i>
    <i r="3">
      <x v="76"/>
    </i>
    <i r="3">
      <x v="77"/>
    </i>
    <i r="3">
      <x v="78"/>
    </i>
    <i r="3">
      <x v="79"/>
    </i>
    <i r="3">
      <x v="80"/>
    </i>
    <i r="3">
      <x v="81"/>
    </i>
    <i r="3">
      <x v="82"/>
    </i>
    <i r="3">
      <x v="83"/>
    </i>
    <i r="3">
      <x v="84"/>
    </i>
    <i r="3">
      <x v="85"/>
    </i>
    <i r="3">
      <x v="86"/>
    </i>
    <i r="3">
      <x v="87"/>
    </i>
    <i r="3">
      <x v="88"/>
    </i>
    <i r="3">
      <x v="89"/>
    </i>
    <i r="3">
      <x v="90"/>
    </i>
    <i r="3">
      <x v="91"/>
    </i>
    <i r="3">
      <x v="92"/>
    </i>
    <i r="3">
      <x v="93"/>
    </i>
    <i r="3">
      <x v="94"/>
    </i>
    <i r="3">
      <x v="95"/>
    </i>
    <i t="grand">
      <x/>
    </i>
  </rowItems>
  <colFields count="1">
    <field x="-2"/>
  </colFields>
  <colItems count="3">
    <i>
      <x/>
    </i>
    <i i="1">
      <x v="1"/>
    </i>
    <i i="2">
      <x v="2"/>
    </i>
  </colItems>
  <pageFields count="1">
    <pageField fld="0" hier="-1"/>
  </pageFields>
  <dataFields count="3">
    <dataField name="Sum of CO2 kilotons" fld="8" baseField="0" baseItem="0"/>
    <dataField name="Sum of N2O kilotons" fld="12" baseField="0" baseItem="0"/>
    <dataField name="Sum of SO2 kilotons" fld="10" baseField="0" baseItem="0"/>
  </dataFields>
  <chartFormats count="3">
    <chartFormat chart="3" format="5" series="1">
      <pivotArea type="data" outline="0" fieldPosition="0">
        <references count="1">
          <reference field="4294967294" count="1" selected="0">
            <x v="0"/>
          </reference>
        </references>
      </pivotArea>
    </chartFormat>
    <chartFormat chart="3" format="6" series="1">
      <pivotArea type="data" outline="0" fieldPosition="0">
        <references count="1">
          <reference field="4294967294" count="1" selected="0">
            <x v="1"/>
          </reference>
        </references>
      </pivotArea>
    </chartFormat>
    <chartFormat chart="3" format="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1.xml><?xml version="1.0" encoding="utf-8"?>
<pivotTableDefinition xmlns="http://schemas.openxmlformats.org/spreadsheetml/2006/main" name="PivotTable1" cacheId="70"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C5:E30" firstHeaderRow="1" firstDataRow="1" firstDataCol="2"/>
  <pivotFields count="10">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4">
        <item x="0"/>
        <item x="1"/>
        <item x="2"/>
        <item x="3"/>
        <item x="4"/>
        <item x="5"/>
        <item x="6"/>
        <item x="7"/>
        <item x="8"/>
        <item x="9"/>
        <item x="10"/>
        <item x="11"/>
        <item x="12"/>
        <item x="13"/>
        <item x="14"/>
        <item x="15"/>
        <item x="16"/>
        <item x="17"/>
        <item x="18"/>
        <item x="19"/>
        <item x="20"/>
        <item x="21"/>
        <item x="22"/>
        <item x="2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6"/>
    <field x="7"/>
  </rowFields>
  <rowItems count="25">
    <i>
      <x/>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t="grand">
      <x/>
    </i>
  </rowItems>
  <colItems count="1">
    <i/>
  </colItems>
  <dataFields count="1">
    <dataField name="Sum of MWh" fld="8" baseField="0" baseItem="0"/>
  </dataFields>
  <chartFormats count="1">
    <chartFormat chart="1" format="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2.xml><?xml version="1.0" encoding="utf-8"?>
<pivotTableDefinition xmlns="http://schemas.openxmlformats.org/spreadsheetml/2006/main" name="PivotTable2" cacheId="7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fieldListSortAscending="1">
  <location ref="C4:H7" firstHeaderRow="1" firstDataRow="2" firstDataCol="1"/>
  <pivotFields count="8">
    <pivotField showAll="0"/>
    <pivotField showAll="0" defaultSubtotal="0"/>
    <pivotField showAll="0" defaultSubtotal="0"/>
    <pivotField axis="axisCol" showAll="0">
      <items count="5">
        <item x="1"/>
        <item x="2"/>
        <item x="3"/>
        <item x="0"/>
        <item t="default"/>
      </items>
    </pivotField>
    <pivotField showAll="0"/>
    <pivotField showAll="0"/>
    <pivotField axis="axisRow" showAll="0">
      <items count="2">
        <item x="0"/>
        <item t="default"/>
      </items>
    </pivotField>
    <pivotField dataField="1" showAll="0"/>
  </pivotFields>
  <rowFields count="1">
    <field x="6"/>
  </rowFields>
  <rowItems count="2">
    <i>
      <x/>
    </i>
    <i t="grand">
      <x/>
    </i>
  </rowItems>
  <colFields count="1">
    <field x="3"/>
  </colFields>
  <colItems count="5">
    <i>
      <x/>
    </i>
    <i>
      <x v="1"/>
    </i>
    <i>
      <x v="2"/>
    </i>
    <i>
      <x v="3"/>
    </i>
    <i t="grand">
      <x/>
    </i>
  </colItems>
  <dataFields count="1">
    <dataField name="Sum of MWh" fld="7" baseField="0" baseItem="0"/>
  </dataFields>
  <chartFormats count="4">
    <chartFormat chart="1" format="16" series="1">
      <pivotArea type="data" outline="0" fieldPosition="0">
        <references count="2">
          <reference field="4294967294" count="1" selected="0">
            <x v="0"/>
          </reference>
          <reference field="3" count="1" selected="0">
            <x v="0"/>
          </reference>
        </references>
      </pivotArea>
    </chartFormat>
    <chartFormat chart="1" format="17" series="1">
      <pivotArea type="data" outline="0" fieldPosition="0">
        <references count="2">
          <reference field="4294967294" count="1" selected="0">
            <x v="0"/>
          </reference>
          <reference field="3" count="1" selected="0">
            <x v="1"/>
          </reference>
        </references>
      </pivotArea>
    </chartFormat>
    <chartFormat chart="1" format="18" series="1">
      <pivotArea type="data" outline="0" fieldPosition="0">
        <references count="2">
          <reference field="4294967294" count="1" selected="0">
            <x v="0"/>
          </reference>
          <reference field="3" count="1" selected="0">
            <x v="2"/>
          </reference>
        </references>
      </pivotArea>
    </chartFormat>
    <chartFormat chart="1" format="19" series="1">
      <pivotArea type="data" outline="0" fieldPosition="0">
        <references count="2">
          <reference field="4294967294" count="1" selected="0">
            <x v="0"/>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1" cacheId="72"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fieldListSortAscending="1">
  <location ref="C4:I31" firstHeaderRow="1" firstDataRow="3" firstDataCol="2"/>
  <pivotFields count="8">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2">
        <item h="1" x="4"/>
        <item x="5"/>
        <item h="1" x="0"/>
        <item h="1" x="1"/>
        <item h="1" x="2"/>
        <item h="1" x="3"/>
        <item h="1" x="11"/>
        <item h="1" x="12"/>
        <item h="1" x="13"/>
        <item h="1" x="14"/>
        <item h="1" x="15"/>
        <item h="1" x="17"/>
        <item h="1" x="18"/>
        <item h="1" x="19"/>
        <item h="1" x="20"/>
        <item h="1" x="10"/>
        <item h="1" x="21"/>
        <item h="1" x="6"/>
        <item h="1" x="8"/>
        <item h="1" x="9"/>
        <item h="1" x="16"/>
        <item h="1" x="7"/>
      </items>
      <extLst>
        <ext xmlns:x14="http://schemas.microsoft.com/office/spreadsheetml/2009/9/main" uri="{2946ED86-A175-432a-8AC1-64E0C546D7DE}">
          <x14:pivotField fillDownLabels="1"/>
        </ext>
      </extLst>
    </pivotField>
    <pivotField axis="axisCol" compact="0" outline="0" showAll="0" defaultSubtotal="0">
      <items count="22">
        <item x="6"/>
        <item x="3"/>
        <item x="0"/>
        <item x="1"/>
        <item x="2"/>
        <item x="5"/>
        <item x="7"/>
        <item x="8"/>
        <item x="10"/>
        <item x="18"/>
        <item x="19"/>
        <item x="20"/>
        <item x="15"/>
        <item x="21"/>
        <item x="16"/>
        <item x="9"/>
        <item x="11"/>
        <item x="4"/>
        <item x="13"/>
        <item x="14"/>
        <item x="17"/>
        <item x="12"/>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4">
        <item x="0"/>
        <item x="1"/>
        <item x="2"/>
        <item x="3"/>
        <item x="4"/>
        <item x="5"/>
        <item x="6"/>
        <item x="7"/>
        <item x="8"/>
        <item x="9"/>
        <item x="10"/>
        <item x="11"/>
        <item x="12"/>
        <item x="13"/>
        <item x="14"/>
        <item x="15"/>
        <item x="16"/>
        <item x="17"/>
        <item x="18"/>
        <item x="19"/>
        <item x="20"/>
        <item x="21"/>
        <item x="22"/>
        <item x="2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5"/>
    <field x="6"/>
  </rowFields>
  <rowItems count="25">
    <i>
      <x/>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t="grand">
      <x/>
    </i>
  </rowItems>
  <colFields count="2">
    <field x="3"/>
    <field x="4"/>
  </colFields>
  <colItems count="5">
    <i>
      <x v="1"/>
      <x/>
    </i>
    <i r="1">
      <x v="2"/>
    </i>
    <i r="1">
      <x v="5"/>
    </i>
    <i r="1">
      <x v="7"/>
    </i>
    <i t="grand">
      <x/>
    </i>
  </colItems>
  <dataFields count="1">
    <dataField name="Sum of GW"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4.xml><?xml version="1.0" encoding="utf-8"?>
<pivotTableDefinition xmlns="http://schemas.openxmlformats.org/spreadsheetml/2006/main" name="PivotTable2" cacheId="73"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fieldListSortAscending="1">
  <location ref="C5:G10" firstHeaderRow="1" firstDataRow="2" firstDataCol="3"/>
  <pivotFields count="8">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Col" compact="0" outline="0" showAll="0" defaultSubtotal="0">
      <items count="11">
        <item h="1" x="0"/>
        <item h="1" x="3"/>
        <item h="1" x="7"/>
        <item h="1" x="9"/>
        <item h="1" x="6"/>
        <item h="1" x="10"/>
        <item x="1"/>
        <item h="1" x="4"/>
        <item h="1" x="5"/>
        <item h="1" x="8"/>
        <item h="1"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1">
        <item x="0"/>
        <item x="1"/>
        <item x="3"/>
        <item x="4"/>
        <item x="2"/>
        <item x="5"/>
        <item x="7"/>
        <item x="9"/>
        <item x="8"/>
        <item x="10"/>
        <item x="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3">
    <field x="5"/>
    <field x="1"/>
    <field x="2"/>
  </rowFields>
  <rowItems count="4">
    <i>
      <x v="3"/>
      <x/>
      <x/>
    </i>
    <i>
      <x v="6"/>
      <x/>
      <x/>
    </i>
    <i>
      <x v="10"/>
      <x/>
      <x/>
    </i>
    <i t="grand">
      <x/>
    </i>
  </rowItems>
  <colFields count="1">
    <field x="3"/>
  </colFields>
  <colItems count="2">
    <i>
      <x v="6"/>
    </i>
    <i t="grand">
      <x/>
    </i>
  </colItems>
  <dataFields count="1">
    <dataField name="Sum of GWh"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5.xml><?xml version="1.0" encoding="utf-8"?>
<pivotTableDefinition xmlns="http://schemas.openxmlformats.org/spreadsheetml/2006/main" name="PivotTable1" cacheId="74"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2" fieldListSortAscending="1">
  <location ref="B3:P29" firstHeaderRow="1" firstDataRow="2" firstDataCol="3"/>
  <pivotFields count="9">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1">
        <item x="0"/>
        <item x="3"/>
        <item x="7"/>
        <item x="9"/>
        <item x="6"/>
        <item x="10"/>
        <item x="1"/>
        <item x="4"/>
        <item x="5"/>
        <item x="8"/>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4">
        <item x="0"/>
        <item x="1"/>
        <item x="2"/>
        <item x="3"/>
        <item x="4"/>
        <item x="5"/>
        <item x="6"/>
        <item x="7"/>
        <item x="8"/>
        <item x="9"/>
        <item x="10"/>
        <item x="11"/>
        <item x="12"/>
        <item x="13"/>
        <item x="14"/>
        <item x="15"/>
        <item x="16"/>
        <item x="17"/>
        <item x="18"/>
        <item x="19"/>
        <item x="20"/>
        <item x="21"/>
        <item x="22"/>
        <item x="2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0"/>
    <field x="5"/>
    <field x="6"/>
  </rowFields>
  <rowItems count="25">
    <i>
      <x/>
      <x/>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t="grand">
      <x/>
    </i>
  </rowItems>
  <colFields count="1">
    <field x="2"/>
  </colFields>
  <colItems count="12">
    <i>
      <x/>
    </i>
    <i>
      <x v="1"/>
    </i>
    <i>
      <x v="2"/>
    </i>
    <i>
      <x v="3"/>
    </i>
    <i>
      <x v="4"/>
    </i>
    <i>
      <x v="5"/>
    </i>
    <i>
      <x v="6"/>
    </i>
    <i>
      <x v="7"/>
    </i>
    <i>
      <x v="8"/>
    </i>
    <i>
      <x v="9"/>
    </i>
    <i>
      <x v="10"/>
    </i>
    <i t="grand">
      <x/>
    </i>
  </colItems>
  <dataFields count="1">
    <dataField name="Sum of MW" fld="7" baseField="0" baseItem="0"/>
  </dataFields>
  <chartFormats count="15">
    <chartFormat chart="3" format="16" series="1">
      <pivotArea type="data" outline="0" fieldPosition="0">
        <references count="1">
          <reference field="2" count="1" selected="0">
            <x v="0"/>
          </reference>
        </references>
      </pivotArea>
    </chartFormat>
    <chartFormat chart="7" format="17" series="1">
      <pivotArea type="data" outline="0" fieldPosition="0">
        <references count="2">
          <reference field="4294967294" count="1" selected="0">
            <x v="0"/>
          </reference>
          <reference field="2" count="1" selected="0">
            <x v="0"/>
          </reference>
        </references>
      </pivotArea>
    </chartFormat>
    <chartFormat chart="8" format="18" series="1">
      <pivotArea type="data" outline="0" fieldPosition="0">
        <references count="2">
          <reference field="4294967294" count="1" selected="0">
            <x v="0"/>
          </reference>
          <reference field="2" count="1" selected="0">
            <x v="0"/>
          </reference>
        </references>
      </pivotArea>
    </chartFormat>
    <chartFormat chart="3" format="17" series="1">
      <pivotArea type="data" outline="0" fieldPosition="0">
        <references count="2">
          <reference field="4294967294" count="1" selected="0">
            <x v="0"/>
          </reference>
          <reference field="2" count="1" selected="0">
            <x v="0"/>
          </reference>
        </references>
      </pivotArea>
    </chartFormat>
    <chartFormat chart="3" format="18" series="1">
      <pivotArea type="data" outline="0" fieldPosition="0">
        <references count="1">
          <reference field="4294967294" count="1" selected="0">
            <x v="0"/>
          </reference>
        </references>
      </pivotArea>
    </chartFormat>
    <chartFormat chart="3" format="22" series="1">
      <pivotArea type="data" outline="0" fieldPosition="0">
        <references count="2">
          <reference field="4294967294" count="1" selected="0">
            <x v="0"/>
          </reference>
          <reference field="2" count="1" selected="0">
            <x v="1"/>
          </reference>
        </references>
      </pivotArea>
    </chartFormat>
    <chartFormat chart="3" format="23" series="1">
      <pivotArea type="data" outline="0" fieldPosition="0">
        <references count="2">
          <reference field="4294967294" count="1" selected="0">
            <x v="0"/>
          </reference>
          <reference field="2" count="1" selected="0">
            <x v="2"/>
          </reference>
        </references>
      </pivotArea>
    </chartFormat>
    <chartFormat chart="3" format="24" series="1">
      <pivotArea type="data" outline="0" fieldPosition="0">
        <references count="2">
          <reference field="4294967294" count="1" selected="0">
            <x v="0"/>
          </reference>
          <reference field="2" count="1" selected="0">
            <x v="3"/>
          </reference>
        </references>
      </pivotArea>
    </chartFormat>
    <chartFormat chart="3" format="25" series="1">
      <pivotArea type="data" outline="0" fieldPosition="0">
        <references count="2">
          <reference field="4294967294" count="1" selected="0">
            <x v="0"/>
          </reference>
          <reference field="2" count="1" selected="0">
            <x v="4"/>
          </reference>
        </references>
      </pivotArea>
    </chartFormat>
    <chartFormat chart="3" format="26" series="1">
      <pivotArea type="data" outline="0" fieldPosition="0">
        <references count="2">
          <reference field="4294967294" count="1" selected="0">
            <x v="0"/>
          </reference>
          <reference field="2" count="1" selected="0">
            <x v="5"/>
          </reference>
        </references>
      </pivotArea>
    </chartFormat>
    <chartFormat chart="3" format="27" series="1">
      <pivotArea type="data" outline="0" fieldPosition="0">
        <references count="2">
          <reference field="4294967294" count="1" selected="0">
            <x v="0"/>
          </reference>
          <reference field="2" count="1" selected="0">
            <x v="6"/>
          </reference>
        </references>
      </pivotArea>
    </chartFormat>
    <chartFormat chart="3" format="28" series="1">
      <pivotArea type="data" outline="0" fieldPosition="0">
        <references count="2">
          <reference field="4294967294" count="1" selected="0">
            <x v="0"/>
          </reference>
          <reference field="2" count="1" selected="0">
            <x v="7"/>
          </reference>
        </references>
      </pivotArea>
    </chartFormat>
    <chartFormat chart="3" format="29" series="1">
      <pivotArea type="data" outline="0" fieldPosition="0">
        <references count="2">
          <reference field="4294967294" count="1" selected="0">
            <x v="0"/>
          </reference>
          <reference field="2" count="1" selected="0">
            <x v="8"/>
          </reference>
        </references>
      </pivotArea>
    </chartFormat>
    <chartFormat chart="3" format="30" series="1">
      <pivotArea type="data" outline="0" fieldPosition="0">
        <references count="2">
          <reference field="4294967294" count="1" selected="0">
            <x v="0"/>
          </reference>
          <reference field="2" count="1" selected="0">
            <x v="9"/>
          </reference>
        </references>
      </pivotArea>
    </chartFormat>
    <chartFormat chart="3" format="31" series="1">
      <pivotArea type="data" outline="0" fieldPosition="0">
        <references count="2">
          <reference field="4294967294" count="1" selected="0">
            <x v="0"/>
          </reference>
          <reference field="2"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6.xml><?xml version="1.0" encoding="utf-8"?>
<pivotTableDefinition xmlns="http://schemas.openxmlformats.org/spreadsheetml/2006/main" name="PivotTable3" cacheId="7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fieldListSortAscending="1">
  <location ref="C4:E17" firstHeaderRow="1" firstDataRow="2" firstDataCol="1" rowPageCount="1" colPageCount="1"/>
  <pivotFields count="7">
    <pivotField axis="axisPage" showAll="0">
      <items count="2">
        <item x="0"/>
        <item t="default"/>
      </items>
    </pivotField>
    <pivotField axis="axisCol" showAll="0">
      <items count="2">
        <item x="0"/>
        <item t="default"/>
      </items>
    </pivotField>
    <pivotField axis="axisRow" showAll="0">
      <items count="12">
        <item x="0"/>
        <item x="3"/>
        <item x="7"/>
        <item x="9"/>
        <item x="6"/>
        <item x="10"/>
        <item x="1"/>
        <item x="4"/>
        <item x="5"/>
        <item x="8"/>
        <item x="2"/>
        <item t="default"/>
      </items>
    </pivotField>
    <pivotField showAll="0"/>
    <pivotField showAll="0" defaultSubtotal="0"/>
    <pivotField dataField="1" showAll="0"/>
    <pivotField showAll="0"/>
  </pivotFields>
  <rowFields count="1">
    <field x="2"/>
  </rowFields>
  <rowItems count="12">
    <i>
      <x/>
    </i>
    <i>
      <x v="1"/>
    </i>
    <i>
      <x v="2"/>
    </i>
    <i>
      <x v="3"/>
    </i>
    <i>
      <x v="4"/>
    </i>
    <i>
      <x v="5"/>
    </i>
    <i>
      <x v="6"/>
    </i>
    <i>
      <x v="7"/>
    </i>
    <i>
      <x v="8"/>
    </i>
    <i>
      <x v="9"/>
    </i>
    <i>
      <x v="10"/>
    </i>
    <i t="grand">
      <x/>
    </i>
  </rowItems>
  <colFields count="1">
    <field x="1"/>
  </colFields>
  <colItems count="2">
    <i>
      <x/>
    </i>
    <i t="grand">
      <x/>
    </i>
  </colItems>
  <pageFields count="1">
    <pageField fld="0" item="0" hier="-1"/>
  </pageFields>
  <dataFields count="1">
    <dataField name="Sum of TWh" fld="5" baseField="0" baseItem="0"/>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ivotTable2" cacheId="61"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5" fieldListSortAscending="1">
  <location ref="B3:H12" firstHeaderRow="1" firstDataRow="2" firstDataCol="4"/>
  <pivotFields count="10">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6">
        <item x="0"/>
        <item x="1"/>
        <item x="2"/>
        <item x="3"/>
        <item x="4"/>
        <item x="5"/>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
        <item x="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
        <item x="1"/>
        <item x="0"/>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4">
    <field x="3"/>
    <field x="1"/>
    <field x="2"/>
    <field x="6"/>
  </rowFields>
  <rowItems count="8">
    <i>
      <x/>
      <x/>
      <x/>
      <x v="1"/>
    </i>
    <i>
      <x v="1"/>
      <x/>
      <x/>
      <x v="1"/>
    </i>
    <i>
      <x v="2"/>
      <x/>
      <x/>
      <x v="1"/>
    </i>
    <i>
      <x v="3"/>
      <x/>
      <x/>
      <x/>
    </i>
    <i r="3">
      <x v="1"/>
    </i>
    <i>
      <x v="4"/>
      <x/>
      <x/>
      <x v="1"/>
    </i>
    <i>
      <x v="5"/>
      <x/>
      <x/>
      <x v="1"/>
    </i>
    <i t="grand">
      <x/>
    </i>
  </rowItems>
  <colFields count="1">
    <field x="8"/>
  </colFields>
  <colItems count="3">
    <i>
      <x/>
    </i>
    <i>
      <x v="1"/>
    </i>
    <i t="grand">
      <x/>
    </i>
  </colItems>
  <dataFields count="1">
    <dataField name="Sum of MW" fld="9" baseField="0" baseItem="0"/>
  </dataFields>
  <chartFormats count="2">
    <chartFormat chart="4" format="0" series="1">
      <pivotArea type="data" outline="0" fieldPosition="0">
        <references count="2">
          <reference field="4294967294" count="1" selected="0">
            <x v="0"/>
          </reference>
          <reference field="8" count="1" selected="0">
            <x v="0"/>
          </reference>
        </references>
      </pivotArea>
    </chartFormat>
    <chartFormat chart="4" format="1" series="1">
      <pivotArea type="data" outline="0" fieldPosition="0">
        <references count="2">
          <reference field="4294967294" count="1" selected="0">
            <x v="0"/>
          </reference>
          <reference field="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8.xml><?xml version="1.0" encoding="utf-8"?>
<pivotTableDefinition xmlns="http://schemas.openxmlformats.org/spreadsheetml/2006/main" name="PivotTable1" cacheId="78"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B2:Q8" firstHeaderRow="1" firstDataRow="3" firstDataCol="3"/>
  <pivotFields count="12">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
        <item x="0"/>
        <item m="1" x="1"/>
        <item m="1" x="2"/>
      </items>
      <extLst>
        <ext xmlns:x14="http://schemas.microsoft.com/office/spreadsheetml/2009/9/main" uri="{2946ED86-A175-432a-8AC1-64E0C546D7DE}">
          <x14:pivotField fillDownLabels="1"/>
        </ext>
      </extLst>
    </pivotField>
    <pivotField axis="axisRow" compact="0" outline="0" showAll="0" defaultSubtotal="0">
      <items count="4">
        <item m="1" x="1"/>
        <item m="1" x="3"/>
        <item m="1" x="2"/>
        <item x="0"/>
      </items>
      <extLst>
        <ext xmlns:x14="http://schemas.microsoft.com/office/spreadsheetml/2009/9/main" uri="{2946ED86-A175-432a-8AC1-64E0C546D7DE}">
          <x14:pivotField fillDownLabels="1"/>
        </ext>
      </extLst>
    </pivotField>
    <pivotField axis="axisRow" compact="0" outline="0" showAll="0" defaultSubtotal="0">
      <items count="11">
        <item h="1" x="0"/>
        <item x="1"/>
        <item h="1" x="2"/>
        <item h="1" x="3"/>
        <item x="4"/>
        <item x="5"/>
        <item h="1" x="6"/>
        <item h="1" x="7"/>
        <item h="1" x="8"/>
        <item h="1" x="9"/>
        <item h="1" x="1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5">
        <item x="8"/>
        <item x="0"/>
        <item x="24"/>
        <item x="1"/>
        <item x="19"/>
        <item x="7"/>
        <item x="22"/>
        <item x="16"/>
        <item x="2"/>
        <item x="20"/>
        <item x="3"/>
        <item x="4"/>
        <item x="18"/>
        <item x="17"/>
        <item x="23"/>
        <item x="12"/>
        <item x="15"/>
        <item x="5"/>
        <item x="21"/>
        <item x="9"/>
        <item x="10"/>
        <item x="13"/>
        <item x="6"/>
        <item x="11"/>
        <item x="1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
        <item x="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3">
    <field x="3"/>
    <field x="1"/>
    <field x="2"/>
  </rowFields>
  <rowItems count="4">
    <i>
      <x v="1"/>
      <x/>
      <x v="3"/>
    </i>
    <i>
      <x v="4"/>
      <x/>
      <x v="3"/>
    </i>
    <i>
      <x v="5"/>
      <x/>
      <x v="3"/>
    </i>
    <i t="grand">
      <x/>
    </i>
  </rowItems>
  <colFields count="2">
    <field x="6"/>
    <field x="8"/>
  </colFields>
  <colItems count="13">
    <i>
      <x/>
      <x v="1"/>
    </i>
    <i>
      <x v="1"/>
      <x v="1"/>
    </i>
    <i>
      <x v="5"/>
      <x v="1"/>
    </i>
    <i>
      <x v="6"/>
      <x v="1"/>
    </i>
    <i>
      <x v="10"/>
      <x v="1"/>
    </i>
    <i>
      <x v="11"/>
      <x v="1"/>
    </i>
    <i>
      <x v="15"/>
      <x v="1"/>
    </i>
    <i>
      <x v="16"/>
      <x v="1"/>
    </i>
    <i>
      <x v="19"/>
      <x v="1"/>
    </i>
    <i>
      <x v="20"/>
      <x v="1"/>
    </i>
    <i>
      <x v="21"/>
      <x v="1"/>
    </i>
    <i>
      <x v="24"/>
      <x v="1"/>
    </i>
    <i t="grand">
      <x/>
    </i>
  </colItems>
  <dataFields count="1">
    <dataField name="Sum of GW" fld="11" baseField="0" baseItem="0"/>
  </dataFields>
  <chartFormats count="15">
    <chartFormat chart="0" format="0" series="1">
      <pivotArea type="data" outline="0" fieldPosition="0">
        <references count="2">
          <reference field="4294967294" count="1" selected="0">
            <x v="0"/>
          </reference>
          <reference field="8" count="1" selected="0">
            <x v="0"/>
          </reference>
        </references>
      </pivotArea>
    </chartFormat>
    <chartFormat chart="0" format="1" series="1">
      <pivotArea type="data" outline="0" fieldPosition="0">
        <references count="2">
          <reference field="4294967294" count="1" selected="0">
            <x v="0"/>
          </reference>
          <reference field="8" count="1" selected="0">
            <x v="1"/>
          </reference>
        </references>
      </pivotArea>
    </chartFormat>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3">
          <reference field="4294967294" count="1" selected="0">
            <x v="0"/>
          </reference>
          <reference field="6" count="1" selected="0">
            <x v="0"/>
          </reference>
          <reference field="8" count="1" selected="0">
            <x v="1"/>
          </reference>
        </references>
      </pivotArea>
    </chartFormat>
    <chartFormat chart="0" format="4" series="1">
      <pivotArea type="data" outline="0" fieldPosition="0">
        <references count="3">
          <reference field="4294967294" count="1" selected="0">
            <x v="0"/>
          </reference>
          <reference field="6" count="1" selected="0">
            <x v="1"/>
          </reference>
          <reference field="8" count="1" selected="0">
            <x v="1"/>
          </reference>
        </references>
      </pivotArea>
    </chartFormat>
    <chartFormat chart="0" format="5" series="1">
      <pivotArea type="data" outline="0" fieldPosition="0">
        <references count="3">
          <reference field="4294967294" count="1" selected="0">
            <x v="0"/>
          </reference>
          <reference field="6" count="1" selected="0">
            <x v="5"/>
          </reference>
          <reference field="8" count="1" selected="0">
            <x v="1"/>
          </reference>
        </references>
      </pivotArea>
    </chartFormat>
    <chartFormat chart="0" format="6" series="1">
      <pivotArea type="data" outline="0" fieldPosition="0">
        <references count="3">
          <reference field="4294967294" count="1" selected="0">
            <x v="0"/>
          </reference>
          <reference field="6" count="1" selected="0">
            <x v="6"/>
          </reference>
          <reference field="8" count="1" selected="0">
            <x v="1"/>
          </reference>
        </references>
      </pivotArea>
    </chartFormat>
    <chartFormat chart="0" format="7" series="1">
      <pivotArea type="data" outline="0" fieldPosition="0">
        <references count="3">
          <reference field="4294967294" count="1" selected="0">
            <x v="0"/>
          </reference>
          <reference field="6" count="1" selected="0">
            <x v="10"/>
          </reference>
          <reference field="8" count="1" selected="0">
            <x v="1"/>
          </reference>
        </references>
      </pivotArea>
    </chartFormat>
    <chartFormat chart="0" format="8" series="1">
      <pivotArea type="data" outline="0" fieldPosition="0">
        <references count="3">
          <reference field="4294967294" count="1" selected="0">
            <x v="0"/>
          </reference>
          <reference field="6" count="1" selected="0">
            <x v="11"/>
          </reference>
          <reference field="8" count="1" selected="0">
            <x v="1"/>
          </reference>
        </references>
      </pivotArea>
    </chartFormat>
    <chartFormat chart="0" format="9" series="1">
      <pivotArea type="data" outline="0" fieldPosition="0">
        <references count="3">
          <reference field="4294967294" count="1" selected="0">
            <x v="0"/>
          </reference>
          <reference field="6" count="1" selected="0">
            <x v="15"/>
          </reference>
          <reference field="8" count="1" selected="0">
            <x v="1"/>
          </reference>
        </references>
      </pivotArea>
    </chartFormat>
    <chartFormat chart="0" format="10" series="1">
      <pivotArea type="data" outline="0" fieldPosition="0">
        <references count="3">
          <reference field="4294967294" count="1" selected="0">
            <x v="0"/>
          </reference>
          <reference field="6" count="1" selected="0">
            <x v="16"/>
          </reference>
          <reference field="8" count="1" selected="0">
            <x v="1"/>
          </reference>
        </references>
      </pivotArea>
    </chartFormat>
    <chartFormat chart="0" format="11" series="1">
      <pivotArea type="data" outline="0" fieldPosition="0">
        <references count="3">
          <reference field="4294967294" count="1" selected="0">
            <x v="0"/>
          </reference>
          <reference field="6" count="1" selected="0">
            <x v="19"/>
          </reference>
          <reference field="8" count="1" selected="0">
            <x v="1"/>
          </reference>
        </references>
      </pivotArea>
    </chartFormat>
    <chartFormat chart="0" format="12" series="1">
      <pivotArea type="data" outline="0" fieldPosition="0">
        <references count="3">
          <reference field="4294967294" count="1" selected="0">
            <x v="0"/>
          </reference>
          <reference field="6" count="1" selected="0">
            <x v="20"/>
          </reference>
          <reference field="8" count="1" selected="0">
            <x v="1"/>
          </reference>
        </references>
      </pivotArea>
    </chartFormat>
    <chartFormat chart="0" format="13" series="1">
      <pivotArea type="data" outline="0" fieldPosition="0">
        <references count="3">
          <reference field="4294967294" count="1" selected="0">
            <x v="0"/>
          </reference>
          <reference field="6" count="1" selected="0">
            <x v="21"/>
          </reference>
          <reference field="8" count="1" selected="0">
            <x v="1"/>
          </reference>
        </references>
      </pivotArea>
    </chartFormat>
    <chartFormat chart="0" format="14" series="1">
      <pivotArea type="data" outline="0" fieldPosition="0">
        <references count="3">
          <reference field="4294967294" count="1" selected="0">
            <x v="0"/>
          </reference>
          <reference field="6" count="1" selected="0">
            <x v="24"/>
          </reference>
          <reference field="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9.xml><?xml version="1.0" encoding="utf-8"?>
<pivotTableDefinition xmlns="http://schemas.openxmlformats.org/spreadsheetml/2006/main" name="PivotTable1" cacheId="6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2" fieldListSortAscending="1">
  <location ref="B2:Y13" firstHeaderRow="1" firstDataRow="2" firstDataCol="3"/>
  <pivotFields count="12">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9">
        <item x="0"/>
        <item x="1"/>
        <item x="2"/>
        <item x="3"/>
        <item x="4"/>
        <item x="5"/>
        <item x="6"/>
        <item x="7"/>
        <item x="8"/>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0">
        <item x="0"/>
        <item x="19"/>
        <item x="1"/>
        <item x="2"/>
        <item x="8"/>
        <item x="17"/>
        <item x="14"/>
        <item x="3"/>
        <item x="16"/>
        <item x="4"/>
        <item x="5"/>
        <item x="15"/>
        <item x="18"/>
        <item x="10"/>
        <item x="13"/>
        <item x="6"/>
        <item x="11"/>
        <item x="7"/>
        <item x="9"/>
        <item x="1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3">
    <field x="8"/>
    <field x="3"/>
    <field x="2"/>
  </rowFields>
  <rowItems count="10">
    <i>
      <x/>
      <x/>
      <x/>
    </i>
    <i r="1">
      <x v="1"/>
      <x/>
    </i>
    <i r="1">
      <x v="2"/>
      <x/>
    </i>
    <i r="1">
      <x v="3"/>
      <x/>
    </i>
    <i r="1">
      <x v="4"/>
      <x/>
    </i>
    <i r="1">
      <x v="5"/>
      <x/>
    </i>
    <i r="1">
      <x v="6"/>
      <x/>
    </i>
    <i r="1">
      <x v="7"/>
      <x/>
    </i>
    <i r="1">
      <x v="8"/>
      <x/>
    </i>
    <i t="grand">
      <x/>
    </i>
  </rowItems>
  <colFields count="1">
    <field x="6"/>
  </colFields>
  <colItems count="21">
    <i>
      <x/>
    </i>
    <i>
      <x v="1"/>
    </i>
    <i>
      <x v="2"/>
    </i>
    <i>
      <x v="3"/>
    </i>
    <i>
      <x v="4"/>
    </i>
    <i>
      <x v="5"/>
    </i>
    <i>
      <x v="6"/>
    </i>
    <i>
      <x v="7"/>
    </i>
    <i>
      <x v="8"/>
    </i>
    <i>
      <x v="9"/>
    </i>
    <i>
      <x v="10"/>
    </i>
    <i>
      <x v="11"/>
    </i>
    <i>
      <x v="12"/>
    </i>
    <i>
      <x v="13"/>
    </i>
    <i>
      <x v="14"/>
    </i>
    <i>
      <x v="15"/>
    </i>
    <i>
      <x v="16"/>
    </i>
    <i>
      <x v="17"/>
    </i>
    <i>
      <x v="18"/>
    </i>
    <i>
      <x v="19"/>
    </i>
    <i t="grand">
      <x/>
    </i>
  </colItems>
  <dataFields count="1">
    <dataField name="Sum of GW" fld="11" baseField="2" baseItem="0"/>
  </dataFields>
  <chartFormats count="20">
    <chartFormat chart="1" format="40" series="1">
      <pivotArea type="data" outline="0" fieldPosition="0">
        <references count="2">
          <reference field="4294967294" count="1" selected="0">
            <x v="0"/>
          </reference>
          <reference field="6" count="1" selected="0">
            <x v="0"/>
          </reference>
        </references>
      </pivotArea>
    </chartFormat>
    <chartFormat chart="1" format="41" series="1">
      <pivotArea type="data" outline="0" fieldPosition="0">
        <references count="2">
          <reference field="4294967294" count="1" selected="0">
            <x v="0"/>
          </reference>
          <reference field="6" count="1" selected="0">
            <x v="1"/>
          </reference>
        </references>
      </pivotArea>
    </chartFormat>
    <chartFormat chart="1" format="42" series="1">
      <pivotArea type="data" outline="0" fieldPosition="0">
        <references count="2">
          <reference field="4294967294" count="1" selected="0">
            <x v="0"/>
          </reference>
          <reference field="6" count="1" selected="0">
            <x v="2"/>
          </reference>
        </references>
      </pivotArea>
    </chartFormat>
    <chartFormat chart="1" format="43" series="1">
      <pivotArea type="data" outline="0" fieldPosition="0">
        <references count="2">
          <reference field="4294967294" count="1" selected="0">
            <x v="0"/>
          </reference>
          <reference field="6" count="1" selected="0">
            <x v="3"/>
          </reference>
        </references>
      </pivotArea>
    </chartFormat>
    <chartFormat chart="1" format="44" series="1">
      <pivotArea type="data" outline="0" fieldPosition="0">
        <references count="2">
          <reference field="4294967294" count="1" selected="0">
            <x v="0"/>
          </reference>
          <reference field="6" count="1" selected="0">
            <x v="4"/>
          </reference>
        </references>
      </pivotArea>
    </chartFormat>
    <chartFormat chart="1" format="45" series="1">
      <pivotArea type="data" outline="0" fieldPosition="0">
        <references count="2">
          <reference field="4294967294" count="1" selected="0">
            <x v="0"/>
          </reference>
          <reference field="6" count="1" selected="0">
            <x v="5"/>
          </reference>
        </references>
      </pivotArea>
    </chartFormat>
    <chartFormat chart="1" format="46" series="1">
      <pivotArea type="data" outline="0" fieldPosition="0">
        <references count="2">
          <reference field="4294967294" count="1" selected="0">
            <x v="0"/>
          </reference>
          <reference field="6" count="1" selected="0">
            <x v="6"/>
          </reference>
        </references>
      </pivotArea>
    </chartFormat>
    <chartFormat chart="1" format="47" series="1">
      <pivotArea type="data" outline="0" fieldPosition="0">
        <references count="2">
          <reference field="4294967294" count="1" selected="0">
            <x v="0"/>
          </reference>
          <reference field="6" count="1" selected="0">
            <x v="7"/>
          </reference>
        </references>
      </pivotArea>
    </chartFormat>
    <chartFormat chart="1" format="48" series="1">
      <pivotArea type="data" outline="0" fieldPosition="0">
        <references count="2">
          <reference field="4294967294" count="1" selected="0">
            <x v="0"/>
          </reference>
          <reference field="6" count="1" selected="0">
            <x v="8"/>
          </reference>
        </references>
      </pivotArea>
    </chartFormat>
    <chartFormat chart="1" format="49" series="1">
      <pivotArea type="data" outline="0" fieldPosition="0">
        <references count="2">
          <reference field="4294967294" count="1" selected="0">
            <x v="0"/>
          </reference>
          <reference field="6" count="1" selected="0">
            <x v="9"/>
          </reference>
        </references>
      </pivotArea>
    </chartFormat>
    <chartFormat chart="1" format="50" series="1">
      <pivotArea type="data" outline="0" fieldPosition="0">
        <references count="2">
          <reference field="4294967294" count="1" selected="0">
            <x v="0"/>
          </reference>
          <reference field="6" count="1" selected="0">
            <x v="10"/>
          </reference>
        </references>
      </pivotArea>
    </chartFormat>
    <chartFormat chart="1" format="51" series="1">
      <pivotArea type="data" outline="0" fieldPosition="0">
        <references count="2">
          <reference field="4294967294" count="1" selected="0">
            <x v="0"/>
          </reference>
          <reference field="6" count="1" selected="0">
            <x v="11"/>
          </reference>
        </references>
      </pivotArea>
    </chartFormat>
    <chartFormat chart="1" format="52" series="1">
      <pivotArea type="data" outline="0" fieldPosition="0">
        <references count="2">
          <reference field="4294967294" count="1" selected="0">
            <x v="0"/>
          </reference>
          <reference field="6" count="1" selected="0">
            <x v="12"/>
          </reference>
        </references>
      </pivotArea>
    </chartFormat>
    <chartFormat chart="1" format="53" series="1">
      <pivotArea type="data" outline="0" fieldPosition="0">
        <references count="2">
          <reference field="4294967294" count="1" selected="0">
            <x v="0"/>
          </reference>
          <reference field="6" count="1" selected="0">
            <x v="13"/>
          </reference>
        </references>
      </pivotArea>
    </chartFormat>
    <chartFormat chart="1" format="54" series="1">
      <pivotArea type="data" outline="0" fieldPosition="0">
        <references count="2">
          <reference field="4294967294" count="1" selected="0">
            <x v="0"/>
          </reference>
          <reference field="6" count="1" selected="0">
            <x v="14"/>
          </reference>
        </references>
      </pivotArea>
    </chartFormat>
    <chartFormat chart="1" format="55" series="1">
      <pivotArea type="data" outline="0" fieldPosition="0">
        <references count="2">
          <reference field="4294967294" count="1" selected="0">
            <x v="0"/>
          </reference>
          <reference field="6" count="1" selected="0">
            <x v="15"/>
          </reference>
        </references>
      </pivotArea>
    </chartFormat>
    <chartFormat chart="1" format="56" series="1">
      <pivotArea type="data" outline="0" fieldPosition="0">
        <references count="2">
          <reference field="4294967294" count="1" selected="0">
            <x v="0"/>
          </reference>
          <reference field="6" count="1" selected="0">
            <x v="16"/>
          </reference>
        </references>
      </pivotArea>
    </chartFormat>
    <chartFormat chart="1" format="57" series="1">
      <pivotArea type="data" outline="0" fieldPosition="0">
        <references count="2">
          <reference field="4294967294" count="1" selected="0">
            <x v="0"/>
          </reference>
          <reference field="6" count="1" selected="0">
            <x v="17"/>
          </reference>
        </references>
      </pivotArea>
    </chartFormat>
    <chartFormat chart="1" format="58" series="1">
      <pivotArea type="data" outline="0" fieldPosition="0">
        <references count="2">
          <reference field="4294967294" count="1" selected="0">
            <x v="0"/>
          </reference>
          <reference field="6" count="1" selected="0">
            <x v="18"/>
          </reference>
        </references>
      </pivotArea>
    </chartFormat>
    <chartFormat chart="1" format="59" series="1">
      <pivotArea type="data" outline="0" fieldPosition="0">
        <references count="2">
          <reference field="4294967294" count="1" selected="0">
            <x v="0"/>
          </reference>
          <reference field="6" count="1" selected="0">
            <x v="1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0.xml><?xml version="1.0" encoding="utf-8"?>
<pivotTableDefinition xmlns="http://schemas.openxmlformats.org/spreadsheetml/2006/main" name="PivotTable3" cacheId="8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fieldListSortAscending="1">
  <location ref="B4:Y72" firstHeaderRow="1" firstDataRow="2" firstDataCol="1" rowPageCount="2" colPageCount="1"/>
  <pivotFields count="7">
    <pivotField showAll="0"/>
    <pivotField axis="axisPage" showAll="0">
      <items count="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t="default"/>
      </items>
    </pivotField>
    <pivotField axis="axisPage" showAll="0">
      <items count="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t="default"/>
      </items>
    </pivotField>
    <pivotField axis="axisRow" showAll="0">
      <items count="23">
        <item x="0"/>
        <item x="1"/>
        <item x="2"/>
        <item x="3"/>
        <item x="4"/>
        <item x="5"/>
        <item x="6"/>
        <item x="7"/>
        <item x="8"/>
        <item x="9"/>
        <item x="10"/>
        <item x="11"/>
        <item x="12"/>
        <item x="13"/>
        <item x="14"/>
        <item x="15"/>
        <item x="16"/>
        <item x="17"/>
        <item x="18"/>
        <item x="19"/>
        <item x="20"/>
        <item x="21"/>
        <item t="default"/>
      </items>
    </pivotField>
    <pivotField axis="axisCol" showAll="0">
      <items count="23">
        <item x="5"/>
        <item x="0"/>
        <item x="1"/>
        <item x="2"/>
        <item x="6"/>
        <item x="3"/>
        <item x="13"/>
        <item x="11"/>
        <item x="16"/>
        <item x="12"/>
        <item x="8"/>
        <item x="19"/>
        <item x="9"/>
        <item x="18"/>
        <item x="14"/>
        <item x="20"/>
        <item x="4"/>
        <item x="15"/>
        <item x="21"/>
        <item x="10"/>
        <item x="7"/>
        <item x="17"/>
        <item t="default"/>
      </items>
    </pivotField>
    <pivotField axis="axisRow" showAll="0">
      <items count="3">
        <item x="1"/>
        <item x="0"/>
        <item t="default"/>
      </items>
    </pivotField>
    <pivotField dataField="1" showAll="0"/>
  </pivotFields>
  <rowFields count="2">
    <field x="3"/>
    <field x="5"/>
  </rowFields>
  <rowItems count="67">
    <i>
      <x/>
    </i>
    <i r="1">
      <x/>
    </i>
    <i r="1">
      <x v="1"/>
    </i>
    <i>
      <x v="1"/>
    </i>
    <i r="1">
      <x/>
    </i>
    <i r="1">
      <x v="1"/>
    </i>
    <i>
      <x v="2"/>
    </i>
    <i r="1">
      <x/>
    </i>
    <i r="1">
      <x v="1"/>
    </i>
    <i>
      <x v="3"/>
    </i>
    <i r="1">
      <x/>
    </i>
    <i r="1">
      <x v="1"/>
    </i>
    <i>
      <x v="4"/>
    </i>
    <i r="1">
      <x/>
    </i>
    <i r="1">
      <x v="1"/>
    </i>
    <i>
      <x v="5"/>
    </i>
    <i r="1">
      <x/>
    </i>
    <i r="1">
      <x v="1"/>
    </i>
    <i>
      <x v="6"/>
    </i>
    <i r="1">
      <x/>
    </i>
    <i r="1">
      <x v="1"/>
    </i>
    <i>
      <x v="7"/>
    </i>
    <i r="1">
      <x/>
    </i>
    <i r="1">
      <x v="1"/>
    </i>
    <i>
      <x v="8"/>
    </i>
    <i r="1">
      <x/>
    </i>
    <i r="1">
      <x v="1"/>
    </i>
    <i>
      <x v="9"/>
    </i>
    <i r="1">
      <x/>
    </i>
    <i r="1">
      <x v="1"/>
    </i>
    <i>
      <x v="10"/>
    </i>
    <i r="1">
      <x/>
    </i>
    <i r="1">
      <x v="1"/>
    </i>
    <i>
      <x v="11"/>
    </i>
    <i r="1">
      <x/>
    </i>
    <i r="1">
      <x v="1"/>
    </i>
    <i>
      <x v="12"/>
    </i>
    <i r="1">
      <x/>
    </i>
    <i r="1">
      <x v="1"/>
    </i>
    <i>
      <x v="13"/>
    </i>
    <i r="1">
      <x/>
    </i>
    <i r="1">
      <x v="1"/>
    </i>
    <i>
      <x v="14"/>
    </i>
    <i r="1">
      <x/>
    </i>
    <i r="1">
      <x v="1"/>
    </i>
    <i>
      <x v="15"/>
    </i>
    <i r="1">
      <x/>
    </i>
    <i r="1">
      <x v="1"/>
    </i>
    <i>
      <x v="16"/>
    </i>
    <i r="1">
      <x/>
    </i>
    <i r="1">
      <x v="1"/>
    </i>
    <i>
      <x v="17"/>
    </i>
    <i r="1">
      <x/>
    </i>
    <i r="1">
      <x v="1"/>
    </i>
    <i>
      <x v="18"/>
    </i>
    <i r="1">
      <x/>
    </i>
    <i r="1">
      <x v="1"/>
    </i>
    <i>
      <x v="19"/>
    </i>
    <i r="1">
      <x/>
    </i>
    <i r="1">
      <x v="1"/>
    </i>
    <i>
      <x v="20"/>
    </i>
    <i r="1">
      <x/>
    </i>
    <i r="1">
      <x v="1"/>
    </i>
    <i>
      <x v="21"/>
    </i>
    <i r="1">
      <x/>
    </i>
    <i r="1">
      <x v="1"/>
    </i>
    <i t="grand">
      <x/>
    </i>
  </rowItems>
  <colFields count="1">
    <field x="4"/>
  </colFields>
  <colItems count="23">
    <i>
      <x/>
    </i>
    <i>
      <x v="1"/>
    </i>
    <i>
      <x v="2"/>
    </i>
    <i>
      <x v="3"/>
    </i>
    <i>
      <x v="4"/>
    </i>
    <i>
      <x v="5"/>
    </i>
    <i>
      <x v="6"/>
    </i>
    <i>
      <x v="7"/>
    </i>
    <i>
      <x v="8"/>
    </i>
    <i>
      <x v="9"/>
    </i>
    <i>
      <x v="10"/>
    </i>
    <i>
      <x v="11"/>
    </i>
    <i>
      <x v="12"/>
    </i>
    <i>
      <x v="13"/>
    </i>
    <i>
      <x v="14"/>
    </i>
    <i>
      <x v="15"/>
    </i>
    <i>
      <x v="16"/>
    </i>
    <i>
      <x v="17"/>
    </i>
    <i>
      <x v="18"/>
    </i>
    <i>
      <x v="19"/>
    </i>
    <i>
      <x v="20"/>
    </i>
    <i>
      <x v="21"/>
    </i>
    <i t="grand">
      <x/>
    </i>
  </colItems>
  <pageFields count="2">
    <pageField fld="2" hier="-1"/>
    <pageField fld="1" hier="-1"/>
  </pageFields>
  <dataFields count="1">
    <dataField name="Sum of MW"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29" Type="http://schemas.openxmlformats.org/officeDocument/2006/relationships/ctrlProp" Target="../ctrlProps/ctrlProp25.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9.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10.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13.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14.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5.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ivotTable" Target="../pivotTables/pivotTable16.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ivotTable" Target="../pivotTables/pivotTable17.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ivotTable" Target="../pivotTables/pivotTable18.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ivotTable" Target="../pivotTables/pivotTable19.xml"/></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FF00"/>
  </sheetPr>
  <dimension ref="A1:NTL39"/>
  <sheetViews>
    <sheetView tabSelected="1" zoomScaleNormal="100" workbookViewId="0">
      <selection activeCell="E6" sqref="E6"/>
    </sheetView>
  </sheetViews>
  <sheetFormatPr defaultRowHeight="15" x14ac:dyDescent="0.25"/>
  <cols>
    <col min="1" max="1" width="9.140625" style="8"/>
    <col min="2" max="2" width="2.85546875" style="8" customWidth="1"/>
    <col min="3" max="3" width="27.28515625" style="8" customWidth="1"/>
    <col min="4" max="5" width="9.140625" style="8"/>
    <col min="6" max="6" width="3.28515625" style="8" customWidth="1"/>
    <col min="7" max="7" width="17.7109375" style="8" customWidth="1"/>
    <col min="8" max="11" width="9.140625" style="8"/>
    <col min="12" max="12" width="10.42578125" style="8" customWidth="1"/>
    <col min="13" max="16384" width="9.140625" style="8"/>
  </cols>
  <sheetData>
    <row r="1" spans="1:9996" x14ac:dyDescent="0.25">
      <c r="A1" s="8" t="s">
        <v>215</v>
      </c>
    </row>
    <row r="9" spans="1:9996" x14ac:dyDescent="0.25">
      <c r="F9" s="8" t="s">
        <v>165</v>
      </c>
    </row>
    <row r="10" spans="1:9996" x14ac:dyDescent="0.25">
      <c r="G10" s="16"/>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P10"/>
      <c r="OQ10"/>
      <c r="OR10"/>
      <c r="OS10"/>
      <c r="OT10"/>
      <c r="OU10"/>
      <c r="OV10"/>
      <c r="OW10"/>
      <c r="OX10"/>
      <c r="OY10"/>
      <c r="OZ10"/>
      <c r="PA10"/>
      <c r="PB10"/>
      <c r="PC10"/>
      <c r="PD10"/>
      <c r="PE10"/>
      <c r="PF10"/>
      <c r="PG10"/>
      <c r="PH10"/>
      <c r="PI10"/>
      <c r="PJ10"/>
      <c r="PK10"/>
      <c r="PL10"/>
      <c r="PM10"/>
      <c r="PN10"/>
      <c r="PO10"/>
      <c r="PP10"/>
      <c r="PQ10"/>
      <c r="PR10"/>
      <c r="PS10"/>
      <c r="PT10"/>
      <c r="PU10"/>
      <c r="PV10"/>
      <c r="PW10"/>
      <c r="PX10"/>
      <c r="PY10"/>
      <c r="PZ10"/>
      <c r="QA10"/>
      <c r="QB10"/>
      <c r="QC10"/>
      <c r="QD10"/>
      <c r="QE10"/>
      <c r="QF10"/>
      <c r="QG10"/>
      <c r="QH10"/>
      <c r="QI10"/>
      <c r="QJ10"/>
      <c r="QK10"/>
      <c r="QL10"/>
      <c r="QM10"/>
      <c r="QN10"/>
      <c r="QO10"/>
      <c r="QP10"/>
      <c r="QQ10"/>
      <c r="QR10"/>
      <c r="QS10"/>
      <c r="QT10"/>
      <c r="QU10"/>
      <c r="QV10"/>
      <c r="QW10"/>
      <c r="QX10"/>
      <c r="QY10"/>
      <c r="QZ10"/>
      <c r="RA10"/>
      <c r="RB10"/>
      <c r="RC10"/>
      <c r="RD10"/>
      <c r="RE10"/>
      <c r="RF10"/>
      <c r="RG10"/>
      <c r="RH10"/>
      <c r="RI10"/>
      <c r="RJ10"/>
      <c r="RK10"/>
      <c r="RL10"/>
      <c r="RM10"/>
      <c r="RN10"/>
      <c r="RO10"/>
      <c r="RP10"/>
      <c r="RQ10"/>
      <c r="RR10"/>
      <c r="RS10"/>
      <c r="RT10"/>
      <c r="RU10"/>
      <c r="RV10"/>
      <c r="RW10"/>
      <c r="RX10"/>
      <c r="RY10"/>
      <c r="RZ10"/>
      <c r="SA10"/>
      <c r="SB10"/>
      <c r="SC10"/>
      <c r="SD10"/>
      <c r="SE10"/>
      <c r="SF10"/>
      <c r="SG10"/>
      <c r="SH10"/>
      <c r="SI10"/>
      <c r="SJ10"/>
      <c r="SK10"/>
      <c r="SL10"/>
      <c r="SM10"/>
      <c r="SN10"/>
      <c r="SO10"/>
      <c r="SP10"/>
      <c r="SQ10"/>
      <c r="SR10"/>
      <c r="SS10"/>
      <c r="ST10"/>
      <c r="SU10"/>
      <c r="SV10"/>
      <c r="SW10"/>
      <c r="SX10"/>
      <c r="SY10"/>
      <c r="SZ10"/>
      <c r="TA10"/>
      <c r="TB10"/>
      <c r="TC10"/>
      <c r="TD10"/>
      <c r="TE10"/>
      <c r="TF10"/>
      <c r="TG10"/>
      <c r="TH10"/>
      <c r="TI10"/>
      <c r="TJ10"/>
      <c r="TK10"/>
      <c r="TL10"/>
      <c r="TM10"/>
      <c r="TN10"/>
      <c r="TO10"/>
      <c r="TP10"/>
      <c r="TQ10"/>
      <c r="TR10"/>
      <c r="TS10"/>
      <c r="TT10"/>
      <c r="TU10"/>
      <c r="TV10"/>
      <c r="TW10"/>
      <c r="TX10"/>
      <c r="TY10"/>
      <c r="TZ10"/>
      <c r="UA10"/>
      <c r="UB10"/>
      <c r="UC10"/>
      <c r="UD10"/>
      <c r="UE10"/>
      <c r="UF10"/>
      <c r="UG10"/>
      <c r="UH10"/>
      <c r="UI10"/>
      <c r="UJ10"/>
      <c r="UK10"/>
      <c r="UL10"/>
      <c r="UM10"/>
      <c r="UN10"/>
      <c r="UO10"/>
      <c r="UP10"/>
      <c r="UQ10"/>
      <c r="UR10"/>
      <c r="US10"/>
      <c r="UT10"/>
      <c r="UU10"/>
      <c r="UV10"/>
      <c r="UW10"/>
      <c r="UX10"/>
      <c r="UY10"/>
      <c r="UZ10"/>
      <c r="VA10"/>
      <c r="VB10"/>
      <c r="VC10"/>
      <c r="VD10"/>
      <c r="VE10"/>
      <c r="VF10"/>
      <c r="VG10"/>
      <c r="VH10"/>
      <c r="VI10"/>
      <c r="VJ10"/>
      <c r="VK10"/>
      <c r="VL10"/>
      <c r="VM10"/>
      <c r="VN10"/>
      <c r="VO10"/>
      <c r="VP10"/>
      <c r="VQ10"/>
      <c r="VR10"/>
      <c r="VS10"/>
      <c r="VT10"/>
      <c r="VU10"/>
      <c r="VV10"/>
      <c r="VW10"/>
      <c r="VX10"/>
      <c r="VY10"/>
      <c r="VZ10"/>
      <c r="WA10"/>
      <c r="WB10"/>
      <c r="WC10"/>
      <c r="WD10"/>
      <c r="WE10"/>
      <c r="WF10"/>
      <c r="WG10"/>
      <c r="WH10"/>
      <c r="WI10"/>
      <c r="WJ10"/>
      <c r="WK10"/>
      <c r="WL10"/>
      <c r="WM10"/>
      <c r="WN10"/>
      <c r="WO10"/>
      <c r="WP10"/>
      <c r="WQ10"/>
      <c r="WR10"/>
      <c r="WS10"/>
      <c r="WT10"/>
      <c r="WU10"/>
      <c r="WV10"/>
      <c r="WW10"/>
      <c r="WX10"/>
      <c r="WY10"/>
      <c r="WZ10"/>
      <c r="XA10"/>
      <c r="XB10"/>
      <c r="XC10"/>
      <c r="XD10"/>
      <c r="XE10"/>
      <c r="XF10"/>
      <c r="XG10"/>
      <c r="XH10"/>
      <c r="XI10"/>
      <c r="XJ10"/>
      <c r="XK10"/>
      <c r="XL10"/>
      <c r="XM10"/>
      <c r="XN10"/>
      <c r="XO10"/>
      <c r="XP10"/>
      <c r="XQ10"/>
      <c r="XR10"/>
      <c r="XS10"/>
      <c r="XT10"/>
      <c r="XU10"/>
      <c r="XV10"/>
      <c r="XW10"/>
      <c r="XX10"/>
      <c r="XY10"/>
      <c r="XZ10"/>
      <c r="YA10"/>
      <c r="YB10"/>
      <c r="YC10"/>
      <c r="YD10"/>
      <c r="YE10"/>
      <c r="YF10"/>
      <c r="YG10"/>
      <c r="YH10"/>
      <c r="YI10"/>
      <c r="YJ10"/>
      <c r="YK10"/>
      <c r="YL10"/>
      <c r="YM10"/>
      <c r="YN10"/>
      <c r="YO10"/>
      <c r="YP10"/>
      <c r="YQ10"/>
      <c r="YR10"/>
      <c r="YS10"/>
      <c r="YT10"/>
      <c r="YU10"/>
      <c r="YV10"/>
      <c r="YW10"/>
      <c r="YX10"/>
      <c r="YY10"/>
      <c r="YZ10"/>
      <c r="ZA10"/>
      <c r="ZB10"/>
      <c r="ZC10"/>
      <c r="ZD10"/>
      <c r="ZE10"/>
      <c r="ZF10"/>
      <c r="ZG10"/>
      <c r="ZH10"/>
      <c r="ZI10"/>
      <c r="ZJ10"/>
      <c r="ZK10"/>
      <c r="ZL10"/>
      <c r="ZM10"/>
      <c r="ZN10"/>
      <c r="ZO10"/>
      <c r="ZP10"/>
      <c r="ZQ10"/>
      <c r="ZR10"/>
      <c r="ZS10"/>
      <c r="ZT10"/>
      <c r="ZU10"/>
      <c r="ZV10"/>
      <c r="ZW10"/>
      <c r="ZX10"/>
      <c r="ZY10"/>
      <c r="ZZ10"/>
      <c r="AAA10"/>
      <c r="AAB10"/>
      <c r="AAC10"/>
      <c r="AAD10"/>
      <c r="AAE10"/>
      <c r="AAF10"/>
      <c r="AAG10"/>
      <c r="AAH10"/>
      <c r="AAI10"/>
      <c r="AAJ10"/>
      <c r="AAK10"/>
      <c r="AAL10"/>
      <c r="AAM10"/>
      <c r="AAN10"/>
      <c r="AAO10"/>
      <c r="AAP10"/>
      <c r="AAQ10"/>
      <c r="AAR10"/>
      <c r="AAS10"/>
      <c r="AAT10"/>
      <c r="AAU10"/>
      <c r="AAV10"/>
      <c r="AAW10"/>
      <c r="AAX10"/>
      <c r="AAY10"/>
      <c r="AAZ10"/>
      <c r="ABA10"/>
      <c r="ABB10"/>
      <c r="ABC10"/>
      <c r="ABD10"/>
      <c r="ABE10"/>
      <c r="ABF10"/>
      <c r="ABG10"/>
      <c r="ABH10"/>
      <c r="ABI10"/>
      <c r="ABJ10"/>
      <c r="ABK10"/>
      <c r="ABL10"/>
      <c r="ABM10"/>
      <c r="ABN10"/>
      <c r="ABO10"/>
      <c r="ABP10"/>
      <c r="ABQ10"/>
      <c r="ABR10"/>
      <c r="ABS10"/>
      <c r="ABT10"/>
      <c r="ABU10"/>
      <c r="ABV10"/>
      <c r="ABW10"/>
      <c r="ABX10"/>
      <c r="ABY10"/>
      <c r="ABZ10"/>
      <c r="ACA10"/>
      <c r="ACB10"/>
      <c r="ACC10"/>
      <c r="ACD10"/>
      <c r="ACE10"/>
      <c r="ACF10"/>
      <c r="ACG10"/>
      <c r="ACH10"/>
      <c r="ACI10"/>
      <c r="ACJ10"/>
      <c r="ACK10"/>
      <c r="ACL10"/>
      <c r="ACM10"/>
      <c r="ACN10"/>
      <c r="ACO10"/>
      <c r="ACP10"/>
      <c r="ACQ10"/>
      <c r="ACR10"/>
      <c r="ACS10"/>
      <c r="ACT10"/>
      <c r="ACU10"/>
      <c r="ACV10"/>
      <c r="ACW10"/>
      <c r="ACX10"/>
      <c r="ACY10"/>
      <c r="ACZ10"/>
      <c r="ADA10"/>
      <c r="ADB10"/>
      <c r="ADC10"/>
      <c r="ADD10"/>
      <c r="ADE10"/>
      <c r="ADF10"/>
      <c r="ADG10"/>
      <c r="ADH10"/>
      <c r="ADI10"/>
      <c r="ADJ10"/>
      <c r="ADK10"/>
      <c r="ADL10"/>
      <c r="ADM10"/>
      <c r="ADN10"/>
      <c r="ADO10"/>
      <c r="ADP10"/>
      <c r="ADQ10"/>
      <c r="ADR10"/>
      <c r="ADS10"/>
      <c r="ADT10"/>
      <c r="ADU10"/>
      <c r="ADV10"/>
      <c r="ADW10"/>
      <c r="ADX10"/>
      <c r="ADY10"/>
      <c r="ADZ10"/>
      <c r="AEA10"/>
      <c r="AEB10"/>
      <c r="AEC10"/>
      <c r="AED10"/>
      <c r="AEE10"/>
      <c r="AEF10"/>
      <c r="AEG10"/>
      <c r="AEH10"/>
      <c r="AEI10"/>
      <c r="AEJ10"/>
      <c r="AEK10"/>
      <c r="AEL10"/>
      <c r="AEM10"/>
      <c r="AEN10"/>
      <c r="AEO10"/>
      <c r="AEP10"/>
      <c r="AEQ10"/>
      <c r="AER10"/>
      <c r="AES10"/>
      <c r="AET10"/>
      <c r="AEU10"/>
      <c r="AEV10"/>
      <c r="AEW10"/>
      <c r="AEX10"/>
      <c r="AEY10"/>
      <c r="AEZ10"/>
      <c r="AFA10"/>
      <c r="AFB10"/>
      <c r="AFC10"/>
      <c r="AFD10"/>
      <c r="AFE10"/>
      <c r="AFF10"/>
      <c r="AFG10"/>
      <c r="AFH10"/>
      <c r="AFI10"/>
      <c r="AFJ10"/>
      <c r="AFK10"/>
      <c r="AFL10"/>
      <c r="AFM10"/>
      <c r="AFN10"/>
      <c r="AFO10"/>
      <c r="AFP10"/>
      <c r="AFQ10"/>
      <c r="AFR10"/>
      <c r="AFS10"/>
      <c r="AFT10"/>
      <c r="AFU10"/>
      <c r="AFV10"/>
      <c r="AFW10"/>
      <c r="AFX10"/>
      <c r="AFY10"/>
      <c r="AFZ10"/>
      <c r="AGA10"/>
      <c r="AGB10"/>
      <c r="AGC10"/>
      <c r="AGD10"/>
      <c r="AGE10"/>
      <c r="AGF10"/>
      <c r="AGG10"/>
      <c r="AGH10"/>
      <c r="AGI10"/>
      <c r="AGJ10"/>
      <c r="AGK10"/>
      <c r="AGL10"/>
      <c r="AGM10"/>
      <c r="AGN10"/>
      <c r="AGO10"/>
      <c r="AGP10"/>
      <c r="AGQ10"/>
      <c r="AGR10"/>
      <c r="AGS10"/>
      <c r="AGT10"/>
      <c r="AGU10"/>
      <c r="AGV10"/>
      <c r="AGW10"/>
      <c r="AGX10"/>
      <c r="AGY10"/>
      <c r="AGZ10"/>
      <c r="AHA10"/>
      <c r="AHB10"/>
      <c r="AHC10"/>
      <c r="AHD10"/>
      <c r="AHE10"/>
      <c r="AHF10"/>
      <c r="AHG10"/>
      <c r="AHH10"/>
      <c r="AHI10"/>
      <c r="AHJ10"/>
      <c r="AHK10"/>
      <c r="AHL10"/>
      <c r="AHM10"/>
      <c r="AHN10"/>
      <c r="AHO10"/>
      <c r="AHP10"/>
      <c r="AHQ10"/>
      <c r="AHR10"/>
      <c r="AHS10"/>
      <c r="AHT10"/>
      <c r="AHU10"/>
      <c r="AHV10"/>
      <c r="AHW10"/>
      <c r="AHX10"/>
      <c r="AHY10"/>
      <c r="AHZ10"/>
      <c r="AIA10"/>
      <c r="AIB10"/>
      <c r="AIC10"/>
      <c r="AID10"/>
      <c r="AIE10"/>
      <c r="AIF10"/>
      <c r="AIG10"/>
      <c r="AIH10"/>
      <c r="AII10"/>
      <c r="AIJ10"/>
      <c r="AIK10"/>
      <c r="AIL10"/>
      <c r="AIM10"/>
      <c r="AIN10"/>
      <c r="AIO10"/>
      <c r="AIP10"/>
      <c r="AIQ10"/>
      <c r="AIR10"/>
      <c r="AIS10"/>
      <c r="AIT10"/>
      <c r="AIU10"/>
      <c r="AIV10"/>
      <c r="AIW10"/>
      <c r="AIX10"/>
      <c r="AIY10"/>
      <c r="AIZ10"/>
      <c r="AJA10"/>
      <c r="AJB10"/>
      <c r="AJC10"/>
      <c r="AJD10"/>
      <c r="AJE10"/>
      <c r="AJF10"/>
      <c r="AJG10"/>
      <c r="AJH10"/>
      <c r="AJI10"/>
      <c r="AJJ10"/>
      <c r="AJK10"/>
      <c r="AJL10"/>
      <c r="AJM10"/>
      <c r="AJN10"/>
      <c r="AJO10"/>
      <c r="AJP10"/>
      <c r="AJQ10"/>
      <c r="AJR10"/>
      <c r="AJS10"/>
      <c r="AJT10"/>
      <c r="AJU10"/>
      <c r="AJV10"/>
      <c r="AJW10"/>
      <c r="AJX10"/>
      <c r="AJY10"/>
      <c r="AJZ10"/>
      <c r="AKA10"/>
      <c r="AKB10"/>
      <c r="AKC10"/>
      <c r="AKD10"/>
      <c r="AKE10"/>
      <c r="AKF10"/>
      <c r="AKG10"/>
      <c r="AKH10"/>
      <c r="AKI10"/>
      <c r="AKJ10"/>
      <c r="AKK10"/>
      <c r="AKL10"/>
      <c r="AKM10"/>
      <c r="AKN10"/>
      <c r="AKO10"/>
      <c r="AKP10"/>
      <c r="AKQ10"/>
      <c r="AKR10"/>
      <c r="AKS10"/>
      <c r="AKT10"/>
      <c r="AKU10"/>
      <c r="AKV10"/>
      <c r="AKW10"/>
      <c r="AKX10"/>
      <c r="AKY10"/>
      <c r="AKZ10"/>
      <c r="ALA10"/>
      <c r="ALB10"/>
      <c r="ALC10"/>
      <c r="ALD10"/>
      <c r="ALE10"/>
      <c r="ALF10"/>
      <c r="ALG10"/>
      <c r="ALH10"/>
      <c r="ALI10"/>
      <c r="ALJ10"/>
      <c r="ALK10"/>
      <c r="ALL10"/>
      <c r="ALM10"/>
      <c r="ALN10"/>
      <c r="ALO10"/>
      <c r="ALP10"/>
      <c r="ALQ10"/>
      <c r="ALR10"/>
      <c r="ALS10"/>
      <c r="ALT10"/>
      <c r="ALU10"/>
      <c r="ALV10"/>
      <c r="ALW10"/>
      <c r="ALX10"/>
      <c r="ALY10"/>
      <c r="ALZ10"/>
      <c r="AMA10"/>
      <c r="AMB10"/>
      <c r="AMC10"/>
      <c r="AMD10"/>
      <c r="AME10"/>
      <c r="AMF10"/>
      <c r="AMG10"/>
      <c r="AMH10"/>
      <c r="AMI10"/>
      <c r="AMJ10"/>
      <c r="AMK10"/>
      <c r="AML10"/>
      <c r="AMM10"/>
      <c r="AMN10"/>
      <c r="AMO10"/>
      <c r="AMP10"/>
      <c r="AMQ10"/>
      <c r="AMR10"/>
      <c r="AMS10"/>
      <c r="AMT10"/>
      <c r="AMU10"/>
      <c r="AMV10"/>
      <c r="AMW10"/>
      <c r="AMX10"/>
      <c r="AMY10"/>
      <c r="AMZ10"/>
      <c r="ANA10"/>
      <c r="ANB10"/>
      <c r="ANC10"/>
      <c r="AND10"/>
      <c r="ANE10"/>
      <c r="ANF10"/>
      <c r="ANG10"/>
      <c r="ANH10"/>
      <c r="ANI10"/>
      <c r="ANJ10"/>
      <c r="ANK10"/>
      <c r="ANL10"/>
      <c r="ANM10"/>
      <c r="ANN10"/>
      <c r="ANO10"/>
      <c r="ANP10"/>
      <c r="ANQ10"/>
      <c r="ANR10"/>
      <c r="ANS10"/>
      <c r="ANT10"/>
      <c r="ANU10"/>
      <c r="ANV10"/>
      <c r="ANW10"/>
      <c r="ANX10"/>
      <c r="ANY10"/>
      <c r="ANZ10"/>
      <c r="AOA10"/>
      <c r="AOB10"/>
      <c r="AOC10"/>
      <c r="AOD10"/>
      <c r="AOE10"/>
      <c r="AOF10"/>
      <c r="AOG10"/>
      <c r="AOH10"/>
      <c r="AOI10"/>
      <c r="AOJ10"/>
      <c r="AOK10"/>
      <c r="AOL10"/>
      <c r="AOM10"/>
      <c r="AON10"/>
      <c r="AOO10"/>
      <c r="AOP10"/>
      <c r="AOQ10"/>
      <c r="AOR10"/>
      <c r="AOS10"/>
      <c r="AOT10"/>
      <c r="AOU10"/>
      <c r="AOV10"/>
      <c r="AOW10"/>
      <c r="AOX10"/>
      <c r="AOY10"/>
      <c r="AOZ10"/>
      <c r="APA10"/>
      <c r="APB10"/>
      <c r="APC10"/>
      <c r="APD10"/>
      <c r="APE10"/>
      <c r="APF10"/>
      <c r="APG10"/>
      <c r="APH10"/>
      <c r="API10"/>
      <c r="APJ10"/>
      <c r="APK10"/>
      <c r="APL10"/>
      <c r="APM10"/>
      <c r="APN10"/>
      <c r="APO10"/>
      <c r="APP10"/>
      <c r="APQ10"/>
      <c r="APR10"/>
      <c r="APS10"/>
      <c r="APT10"/>
      <c r="APU10"/>
      <c r="APV10"/>
      <c r="APW10"/>
      <c r="APX10"/>
      <c r="APY10"/>
      <c r="APZ10"/>
      <c r="AQA10"/>
      <c r="AQB10"/>
      <c r="AQC10"/>
      <c r="AQD10"/>
      <c r="AQE10"/>
      <c r="AQF10"/>
      <c r="AQG10"/>
      <c r="AQH10"/>
      <c r="AQI10"/>
      <c r="AQJ10"/>
      <c r="AQK10"/>
      <c r="AQL10"/>
      <c r="AQM10"/>
      <c r="AQN10"/>
      <c r="AQO10"/>
      <c r="AQP10"/>
      <c r="AQQ10"/>
      <c r="AQR10"/>
      <c r="AQS10"/>
      <c r="AQT10"/>
      <c r="AQU10"/>
      <c r="AQV10"/>
      <c r="AQW10"/>
      <c r="AQX10"/>
      <c r="AQY10"/>
      <c r="AQZ10"/>
      <c r="ARA10"/>
      <c r="ARB10"/>
      <c r="ARC10"/>
      <c r="ARD10"/>
      <c r="ARE10"/>
      <c r="ARF10"/>
      <c r="ARG10"/>
      <c r="ARH10"/>
      <c r="ARI10"/>
      <c r="ARJ10"/>
      <c r="ARK10"/>
      <c r="ARL10"/>
      <c r="ARM10"/>
      <c r="ARN10"/>
      <c r="ARO10"/>
      <c r="ARP10"/>
      <c r="ARQ10"/>
      <c r="ARR10"/>
      <c r="ARS10"/>
      <c r="ART10"/>
      <c r="ARU10"/>
      <c r="ARV10"/>
      <c r="ARW10"/>
      <c r="ARX10"/>
      <c r="ARY10"/>
      <c r="ARZ10"/>
      <c r="ASA10"/>
      <c r="ASB10"/>
      <c r="ASC10"/>
      <c r="ASD10"/>
      <c r="ASE10"/>
      <c r="ASF10"/>
      <c r="ASG10"/>
      <c r="ASH10"/>
      <c r="ASI10"/>
      <c r="ASJ10"/>
      <c r="ASK10"/>
      <c r="ASL10"/>
      <c r="ASM10"/>
      <c r="ASN10"/>
      <c r="ASO10"/>
      <c r="ASP10"/>
      <c r="ASQ10"/>
      <c r="ASR10"/>
      <c r="ASS10"/>
      <c r="AST10"/>
      <c r="ASU10"/>
      <c r="ASV10"/>
      <c r="ASW10"/>
      <c r="ASX10"/>
      <c r="ASY10"/>
      <c r="ASZ10"/>
      <c r="ATA10"/>
      <c r="ATB10"/>
      <c r="ATC10"/>
      <c r="ATD10"/>
      <c r="ATE10"/>
      <c r="ATF10"/>
      <c r="ATG10"/>
      <c r="ATH10"/>
      <c r="ATI10"/>
      <c r="ATJ10"/>
      <c r="ATK10"/>
      <c r="ATL10"/>
      <c r="ATM10"/>
      <c r="ATN10"/>
      <c r="ATO10"/>
      <c r="ATP10"/>
      <c r="ATQ10"/>
      <c r="ATR10"/>
      <c r="ATS10"/>
      <c r="ATT10"/>
      <c r="ATU10"/>
      <c r="ATV10"/>
      <c r="ATW10"/>
      <c r="ATX10"/>
      <c r="ATY10"/>
      <c r="ATZ10"/>
      <c r="AUA10"/>
      <c r="AUB10"/>
      <c r="AUC10"/>
      <c r="AUD10"/>
      <c r="AUE10"/>
      <c r="AUF10"/>
      <c r="AUG10"/>
      <c r="AUH10"/>
      <c r="AUI10"/>
      <c r="AUJ10"/>
      <c r="AUK10"/>
      <c r="AUL10"/>
      <c r="AUM10"/>
      <c r="AUN10"/>
      <c r="AUO10"/>
      <c r="AUP10"/>
      <c r="AUQ10"/>
      <c r="AUR10"/>
      <c r="AUS10"/>
      <c r="AUT10"/>
      <c r="AUU10"/>
      <c r="AUV10"/>
      <c r="AUW10"/>
      <c r="AUX10"/>
      <c r="AUY10"/>
      <c r="AUZ10"/>
      <c r="AVA10"/>
      <c r="AVB10"/>
      <c r="AVC10"/>
      <c r="AVD10"/>
      <c r="AVE10"/>
      <c r="AVF10"/>
      <c r="AVG10"/>
      <c r="AVH10"/>
      <c r="AVI10"/>
      <c r="AVJ10"/>
      <c r="AVK10"/>
      <c r="AVL10"/>
      <c r="AVM10"/>
      <c r="AVN10"/>
      <c r="AVO10"/>
      <c r="AVP10"/>
      <c r="AVQ10"/>
      <c r="AVR10"/>
      <c r="AVS10"/>
      <c r="AVT10"/>
      <c r="AVU10"/>
      <c r="AVV10"/>
      <c r="AVW10"/>
      <c r="AVX10"/>
      <c r="AVY10"/>
      <c r="AVZ10"/>
      <c r="AWA10"/>
      <c r="AWB10"/>
      <c r="AWC10"/>
      <c r="AWD10"/>
      <c r="AWE10"/>
      <c r="AWF10"/>
      <c r="AWG10"/>
      <c r="AWH10"/>
      <c r="AWI10"/>
      <c r="AWJ10"/>
      <c r="AWK10"/>
      <c r="AWL10"/>
      <c r="AWM10"/>
      <c r="AWN10"/>
      <c r="AWO10"/>
      <c r="AWP10"/>
      <c r="AWQ10"/>
      <c r="AWR10"/>
      <c r="AWS10"/>
      <c r="AWT10"/>
      <c r="AWU10"/>
      <c r="AWV10"/>
      <c r="AWW10"/>
      <c r="AWX10"/>
      <c r="AWY10"/>
      <c r="AWZ10"/>
      <c r="AXA10"/>
      <c r="AXB10"/>
      <c r="AXC10"/>
      <c r="AXD10"/>
      <c r="AXE10"/>
      <c r="AXF10"/>
      <c r="AXG10"/>
      <c r="AXH10"/>
      <c r="AXI10"/>
      <c r="AXJ10"/>
      <c r="AXK10"/>
      <c r="AXL10"/>
      <c r="AXM10"/>
      <c r="AXN10"/>
      <c r="AXO10"/>
      <c r="AXP10"/>
      <c r="AXQ10"/>
      <c r="AXR10"/>
      <c r="AXS10"/>
      <c r="AXT10"/>
      <c r="AXU10"/>
      <c r="AXV10"/>
      <c r="AXW10"/>
      <c r="AXX10"/>
      <c r="AXY10"/>
      <c r="AXZ10"/>
      <c r="AYA10"/>
      <c r="AYB10"/>
      <c r="AYC10"/>
      <c r="AYD10"/>
      <c r="AYE10"/>
      <c r="AYF10"/>
      <c r="AYG10"/>
      <c r="AYH10"/>
      <c r="AYI10"/>
      <c r="AYJ10"/>
      <c r="AYK10"/>
      <c r="AYL10"/>
      <c r="AYM10"/>
      <c r="AYN10"/>
      <c r="AYO10"/>
      <c r="AYP10"/>
      <c r="AYQ10"/>
      <c r="AYR10"/>
      <c r="AYS10"/>
      <c r="AYT10"/>
      <c r="AYU10"/>
      <c r="AYV10"/>
      <c r="AYW10"/>
      <c r="AYX10"/>
      <c r="AYY10"/>
      <c r="AYZ10"/>
      <c r="AZA10"/>
      <c r="AZB10"/>
      <c r="AZC10"/>
      <c r="AZD10"/>
      <c r="AZE10"/>
      <c r="AZF10"/>
      <c r="AZG10"/>
      <c r="AZH10"/>
      <c r="AZI10"/>
      <c r="AZJ10"/>
      <c r="AZK10"/>
      <c r="AZL10"/>
      <c r="AZM10"/>
      <c r="AZN10"/>
      <c r="AZO10"/>
      <c r="AZP10"/>
      <c r="AZQ10"/>
      <c r="AZR10"/>
      <c r="AZS10"/>
      <c r="AZT10"/>
      <c r="AZU10"/>
      <c r="AZV10"/>
      <c r="AZW10"/>
      <c r="AZX10"/>
      <c r="AZY10"/>
      <c r="AZZ10"/>
      <c r="BAA10"/>
      <c r="BAB10"/>
      <c r="BAC10"/>
      <c r="BAD10"/>
      <c r="BAE10"/>
      <c r="BAF10"/>
      <c r="BAG10"/>
      <c r="BAH10"/>
      <c r="BAI10"/>
      <c r="BAJ10"/>
      <c r="BAK10"/>
      <c r="BAL10"/>
      <c r="BAM10"/>
      <c r="BAN10"/>
      <c r="BAO10"/>
      <c r="BAP10"/>
      <c r="BAQ10"/>
      <c r="BAR10"/>
      <c r="BAS10"/>
      <c r="BAT10"/>
      <c r="BAU10"/>
      <c r="BAV10"/>
      <c r="BAW10"/>
      <c r="BAX10"/>
      <c r="BAY10"/>
      <c r="BAZ10"/>
      <c r="BBA10"/>
      <c r="BBB10"/>
      <c r="BBC10"/>
      <c r="BBD10"/>
      <c r="BBE10"/>
      <c r="BBF10"/>
      <c r="BBG10"/>
      <c r="BBH10"/>
      <c r="BBI10"/>
      <c r="BBJ10"/>
      <c r="BBK10"/>
      <c r="BBL10"/>
      <c r="BBM10"/>
      <c r="BBN10"/>
      <c r="BBO10"/>
      <c r="BBP10"/>
      <c r="BBQ10"/>
      <c r="BBR10"/>
      <c r="BBS10"/>
      <c r="BBT10"/>
      <c r="BBU10"/>
      <c r="BBV10"/>
      <c r="BBW10"/>
      <c r="BBX10"/>
      <c r="BBY10"/>
      <c r="BBZ10"/>
      <c r="BCA10"/>
      <c r="BCB10"/>
      <c r="BCC10"/>
      <c r="BCD10"/>
      <c r="BCE10"/>
      <c r="BCF10"/>
      <c r="BCG10"/>
      <c r="BCH10"/>
      <c r="BCI10"/>
      <c r="BCJ10"/>
      <c r="BCK10"/>
      <c r="BCL10"/>
      <c r="BCM10"/>
      <c r="BCN10"/>
      <c r="BCO10"/>
      <c r="BCP10"/>
      <c r="BCQ10"/>
      <c r="BCR10"/>
      <c r="BCS10"/>
      <c r="BCT10"/>
      <c r="BCU10"/>
      <c r="BCV10"/>
      <c r="BCW10"/>
      <c r="BCX10"/>
      <c r="BCY10"/>
      <c r="BCZ10"/>
      <c r="BDA10"/>
      <c r="BDB10"/>
      <c r="BDC10"/>
      <c r="BDD10"/>
      <c r="BDE10"/>
      <c r="BDF10"/>
      <c r="BDG10"/>
      <c r="BDH10"/>
      <c r="BDI10"/>
      <c r="BDJ10"/>
      <c r="BDK10"/>
      <c r="BDL10"/>
      <c r="BDM10"/>
      <c r="BDN10"/>
      <c r="BDO10"/>
      <c r="BDP10"/>
      <c r="BDQ10"/>
      <c r="BDR10"/>
      <c r="BDS10"/>
      <c r="BDT10"/>
      <c r="BDU10"/>
      <c r="BDV10"/>
      <c r="BDW10"/>
      <c r="BDX10"/>
      <c r="BDY10"/>
      <c r="BDZ10"/>
      <c r="BEA10"/>
      <c r="BEB10"/>
      <c r="BEC10"/>
      <c r="BED10"/>
      <c r="BEE10"/>
      <c r="BEF10"/>
      <c r="BEG10"/>
      <c r="BEH10"/>
      <c r="BEI10"/>
      <c r="BEJ10"/>
      <c r="BEK10"/>
      <c r="BEL10"/>
      <c r="BEM10"/>
      <c r="BEN10"/>
      <c r="BEO10"/>
      <c r="BEP10"/>
      <c r="BEQ10"/>
      <c r="BER10"/>
      <c r="BES10"/>
      <c r="BET10"/>
      <c r="BEU10"/>
      <c r="BEV10"/>
      <c r="BEW10"/>
      <c r="BEX10"/>
      <c r="BEY10"/>
      <c r="BEZ10"/>
      <c r="BFA10"/>
      <c r="BFB10"/>
      <c r="BFC10"/>
      <c r="BFD10"/>
      <c r="BFE10"/>
      <c r="BFF10"/>
      <c r="BFG10"/>
      <c r="BFH10"/>
      <c r="BFI10"/>
      <c r="BFJ10"/>
      <c r="BFK10"/>
      <c r="BFL10"/>
      <c r="BFM10"/>
      <c r="BFN10"/>
      <c r="BFO10"/>
      <c r="BFP10"/>
      <c r="BFQ10"/>
      <c r="BFR10"/>
      <c r="BFS10"/>
      <c r="BFT10"/>
      <c r="BFU10"/>
      <c r="BFV10"/>
      <c r="BFW10"/>
      <c r="BFX10"/>
      <c r="BFY10"/>
      <c r="BFZ10"/>
      <c r="BGA10"/>
      <c r="BGB10"/>
      <c r="BGC10"/>
      <c r="BGD10"/>
      <c r="BGE10"/>
      <c r="BGF10"/>
      <c r="BGG10"/>
      <c r="BGH10"/>
      <c r="BGI10"/>
      <c r="BGJ10"/>
      <c r="BGK10"/>
      <c r="BGL10"/>
      <c r="BGM10"/>
      <c r="BGN10"/>
      <c r="BGO10"/>
      <c r="BGP10"/>
      <c r="BGQ10"/>
      <c r="BGR10"/>
      <c r="BGS10"/>
      <c r="BGT10"/>
      <c r="BGU10"/>
      <c r="BGV10"/>
      <c r="BGW10"/>
      <c r="BGX10"/>
      <c r="BGY10"/>
      <c r="BGZ10"/>
      <c r="BHA10"/>
      <c r="BHB10"/>
      <c r="BHC10"/>
      <c r="BHD10"/>
      <c r="BHE10"/>
      <c r="BHF10"/>
      <c r="BHG10"/>
      <c r="BHH10"/>
      <c r="BHI10"/>
      <c r="BHJ10"/>
      <c r="BHK10"/>
      <c r="BHL10"/>
      <c r="BHM10"/>
      <c r="BHN10"/>
      <c r="BHO10"/>
      <c r="BHP10"/>
      <c r="BHQ10"/>
      <c r="BHR10"/>
      <c r="BHS10"/>
      <c r="BHT10"/>
      <c r="BHU10"/>
      <c r="BHV10"/>
      <c r="BHW10"/>
      <c r="BHX10"/>
      <c r="BHY10"/>
      <c r="BHZ10"/>
      <c r="BIA10"/>
      <c r="BIB10"/>
      <c r="BIC10"/>
      <c r="BID10"/>
      <c r="BIE10"/>
      <c r="BIF10"/>
      <c r="BIG10"/>
      <c r="BIH10"/>
      <c r="BII10"/>
      <c r="BIJ10"/>
      <c r="BIK10"/>
      <c r="BIL10"/>
      <c r="BIM10"/>
      <c r="BIN10"/>
      <c r="BIO10"/>
      <c r="BIP10"/>
      <c r="BIQ10"/>
      <c r="BIR10"/>
      <c r="BIS10"/>
      <c r="BIT10"/>
      <c r="BIU10"/>
      <c r="BIV10"/>
      <c r="BIW10"/>
      <c r="BIX10"/>
      <c r="BIY10"/>
      <c r="BIZ10"/>
      <c r="BJA10"/>
      <c r="BJB10"/>
      <c r="BJC10"/>
      <c r="BJD10"/>
      <c r="BJE10"/>
      <c r="BJF10"/>
      <c r="BJG10"/>
      <c r="BJH10"/>
      <c r="BJI10"/>
      <c r="BJJ10"/>
      <c r="BJK10"/>
      <c r="BJL10"/>
      <c r="BJM10"/>
      <c r="BJN10"/>
      <c r="BJO10"/>
      <c r="BJP10"/>
      <c r="BJQ10"/>
      <c r="BJR10"/>
      <c r="BJS10"/>
      <c r="BJT10"/>
      <c r="BJU10"/>
      <c r="BJV10"/>
      <c r="BJW10"/>
      <c r="BJX10"/>
      <c r="BJY10"/>
      <c r="BJZ10"/>
      <c r="BKA10"/>
      <c r="BKB10"/>
      <c r="BKC10"/>
      <c r="BKD10"/>
      <c r="BKE10"/>
      <c r="BKF10"/>
      <c r="BKG10"/>
      <c r="BKH10"/>
      <c r="BKI10"/>
      <c r="BKJ10"/>
      <c r="BKK10"/>
      <c r="BKL10"/>
      <c r="BKM10"/>
      <c r="BKN10"/>
      <c r="BKO10"/>
      <c r="BKP10"/>
      <c r="BKQ10"/>
      <c r="BKR10"/>
      <c r="BKS10"/>
      <c r="BKT10"/>
      <c r="BKU10"/>
      <c r="BKV10"/>
      <c r="BKW10"/>
      <c r="BKX10"/>
      <c r="BKY10"/>
      <c r="BKZ10"/>
      <c r="BLA10"/>
      <c r="BLB10"/>
      <c r="BLC10"/>
      <c r="BLD10"/>
      <c r="BLE10"/>
      <c r="BLF10"/>
      <c r="BLG10"/>
      <c r="BLH10"/>
      <c r="BLI10"/>
      <c r="BLJ10"/>
      <c r="BLK10"/>
      <c r="BLL10"/>
      <c r="BLM10"/>
      <c r="BLN10"/>
      <c r="BLO10"/>
      <c r="BLP10"/>
      <c r="BLQ10"/>
      <c r="BLR10"/>
      <c r="BLS10"/>
      <c r="BLT10"/>
      <c r="BLU10"/>
      <c r="BLV10"/>
      <c r="BLW10"/>
      <c r="BLX10"/>
      <c r="BLY10"/>
      <c r="BLZ10"/>
      <c r="BMA10"/>
      <c r="BMB10"/>
      <c r="BMC10"/>
      <c r="BMD10"/>
      <c r="BME10"/>
      <c r="BMF10"/>
      <c r="BMG10"/>
      <c r="BMH10"/>
      <c r="BMI10"/>
      <c r="BMJ10"/>
      <c r="BMK10"/>
      <c r="BML10"/>
      <c r="BMM10"/>
      <c r="BMN10"/>
      <c r="BMO10"/>
      <c r="BMP10"/>
      <c r="BMQ10"/>
      <c r="BMR10"/>
      <c r="BMS10"/>
      <c r="BMT10"/>
      <c r="BMU10"/>
      <c r="BMV10"/>
      <c r="BMW10"/>
      <c r="BMX10"/>
      <c r="BMY10"/>
      <c r="BMZ10"/>
      <c r="BNA10"/>
      <c r="BNB10"/>
      <c r="BNC10"/>
      <c r="BND10"/>
      <c r="BNE10"/>
      <c r="BNF10"/>
      <c r="BNG10"/>
      <c r="BNH10"/>
      <c r="BNI10"/>
      <c r="BNJ10"/>
      <c r="BNK10"/>
      <c r="BNL10"/>
      <c r="BNM10"/>
      <c r="BNN10"/>
      <c r="BNO10"/>
      <c r="BNP10"/>
      <c r="BNQ10"/>
      <c r="BNR10"/>
      <c r="BNS10"/>
      <c r="BNT10"/>
      <c r="BNU10"/>
      <c r="BNV10"/>
      <c r="BNW10"/>
      <c r="BNX10"/>
      <c r="BNY10"/>
      <c r="BNZ10"/>
      <c r="BOA10"/>
      <c r="BOB10"/>
      <c r="BOC10"/>
      <c r="BOD10"/>
      <c r="BOE10"/>
      <c r="BOF10"/>
      <c r="BOG10"/>
      <c r="BOH10"/>
      <c r="BOI10"/>
      <c r="BOJ10"/>
      <c r="BOK10"/>
      <c r="BOL10"/>
      <c r="BOM10"/>
      <c r="BON10"/>
      <c r="BOO10"/>
      <c r="BOP10"/>
      <c r="BOQ10"/>
      <c r="BOR10"/>
      <c r="BOS10"/>
      <c r="BOT10"/>
      <c r="BOU10"/>
      <c r="BOV10"/>
      <c r="BOW10"/>
      <c r="BOX10"/>
      <c r="BOY10"/>
      <c r="BOZ10"/>
      <c r="BPA10"/>
      <c r="BPB10"/>
      <c r="BPC10"/>
      <c r="BPD10"/>
      <c r="BPE10"/>
      <c r="BPF10"/>
      <c r="BPG10"/>
      <c r="BPH10"/>
      <c r="BPI10"/>
      <c r="BPJ10"/>
      <c r="BPK10"/>
      <c r="BPL10"/>
      <c r="BPM10"/>
      <c r="BPN10"/>
      <c r="BPO10"/>
      <c r="BPP10"/>
      <c r="BPQ10"/>
      <c r="BPR10"/>
      <c r="BPS10"/>
      <c r="BPT10"/>
      <c r="BPU10"/>
      <c r="BPV10"/>
      <c r="BPW10"/>
      <c r="BPX10"/>
      <c r="BPY10"/>
      <c r="BPZ10"/>
      <c r="BQA10"/>
      <c r="BQB10"/>
      <c r="BQC10"/>
      <c r="BQD10"/>
      <c r="BQE10"/>
      <c r="BQF10"/>
      <c r="BQG10"/>
      <c r="BQH10"/>
      <c r="BQI10"/>
      <c r="BQJ10"/>
      <c r="BQK10"/>
      <c r="BQL10"/>
      <c r="BQM10"/>
      <c r="BQN10"/>
      <c r="BQO10"/>
      <c r="BQP10"/>
      <c r="BQQ10"/>
      <c r="BQR10"/>
      <c r="BQS10"/>
      <c r="BQT10"/>
      <c r="BQU10"/>
      <c r="BQV10"/>
      <c r="BQW10"/>
      <c r="BQX10"/>
      <c r="BQY10"/>
      <c r="BQZ10"/>
      <c r="BRA10"/>
      <c r="BRB10"/>
      <c r="BRC10"/>
      <c r="BRD10"/>
      <c r="BRE10"/>
      <c r="BRF10"/>
      <c r="BRG10"/>
      <c r="BRH10"/>
      <c r="BRI10"/>
      <c r="BRJ10"/>
      <c r="BRK10"/>
      <c r="BRL10"/>
      <c r="BRM10"/>
      <c r="BRN10"/>
      <c r="BRO10"/>
      <c r="BRP10"/>
      <c r="BRQ10"/>
      <c r="BRR10"/>
      <c r="BRS10"/>
      <c r="BRT10"/>
      <c r="BRU10"/>
      <c r="BRV10"/>
      <c r="BRW10"/>
      <c r="BRX10"/>
      <c r="BRY10"/>
      <c r="BRZ10"/>
      <c r="BSA10"/>
      <c r="BSB10"/>
      <c r="BSC10"/>
      <c r="BSD10"/>
      <c r="BSE10"/>
      <c r="BSF10"/>
      <c r="BSG10"/>
      <c r="BSH10"/>
      <c r="BSI10"/>
      <c r="BSJ10"/>
      <c r="BSK10"/>
      <c r="BSL10"/>
      <c r="BSM10"/>
      <c r="BSN10"/>
      <c r="BSO10"/>
      <c r="BSP10"/>
      <c r="BSQ10"/>
      <c r="BSR10"/>
      <c r="BSS10"/>
      <c r="BST10"/>
      <c r="BSU10"/>
      <c r="BSV10"/>
      <c r="BSW10"/>
      <c r="BSX10"/>
      <c r="BSY10"/>
      <c r="BSZ10"/>
      <c r="BTA10"/>
      <c r="BTB10"/>
      <c r="BTC10"/>
      <c r="BTD10"/>
      <c r="BTE10"/>
      <c r="BTF10"/>
      <c r="BTG10"/>
      <c r="BTH10"/>
      <c r="BTI10"/>
      <c r="BTJ10"/>
      <c r="BTK10"/>
      <c r="BTL10"/>
      <c r="BTM10"/>
      <c r="BTN10"/>
      <c r="BTO10"/>
      <c r="BTP10"/>
      <c r="BTQ10"/>
      <c r="BTR10"/>
      <c r="BTS10"/>
      <c r="BTT10"/>
      <c r="BTU10"/>
      <c r="BTV10"/>
      <c r="BTW10"/>
      <c r="BTX10"/>
      <c r="BTY10"/>
      <c r="BTZ10"/>
      <c r="BUA10"/>
      <c r="BUB10"/>
      <c r="BUC10"/>
      <c r="BUD10"/>
      <c r="BUE10"/>
      <c r="BUF10"/>
      <c r="BUG10"/>
      <c r="BUH10"/>
      <c r="BUI10"/>
      <c r="BUJ10"/>
      <c r="BUK10"/>
      <c r="BUL10"/>
      <c r="BUM10"/>
      <c r="BUN10"/>
      <c r="BUO10"/>
      <c r="BUP10"/>
      <c r="BUQ10"/>
      <c r="BUR10"/>
      <c r="BUS10"/>
      <c r="BUT10"/>
      <c r="BUU10"/>
      <c r="BUV10"/>
      <c r="BUW10"/>
      <c r="BUX10"/>
      <c r="BUY10"/>
      <c r="BUZ10"/>
      <c r="BVA10"/>
      <c r="BVB10"/>
      <c r="BVC10"/>
      <c r="BVD10"/>
      <c r="BVE10"/>
      <c r="BVF10"/>
      <c r="BVG10"/>
      <c r="BVH10"/>
      <c r="BVI10"/>
      <c r="BVJ10"/>
      <c r="BVK10"/>
      <c r="BVL10"/>
      <c r="BVM10"/>
      <c r="BVN10"/>
      <c r="BVO10"/>
      <c r="BVP10"/>
      <c r="BVQ10"/>
      <c r="BVR10"/>
      <c r="BVS10"/>
      <c r="BVT10"/>
      <c r="BVU10"/>
      <c r="BVV10"/>
      <c r="BVW10"/>
      <c r="BVX10"/>
      <c r="BVY10"/>
      <c r="BVZ10"/>
      <c r="BWA10"/>
      <c r="BWB10"/>
      <c r="BWC10"/>
      <c r="BWD10"/>
      <c r="BWE10"/>
      <c r="BWF10"/>
      <c r="BWG10"/>
      <c r="BWH10"/>
      <c r="BWI10"/>
      <c r="BWJ10"/>
      <c r="BWK10"/>
      <c r="BWL10"/>
      <c r="BWM10"/>
      <c r="BWN10"/>
      <c r="BWO10"/>
      <c r="BWP10"/>
      <c r="BWQ10"/>
      <c r="BWR10"/>
      <c r="BWS10"/>
      <c r="BWT10"/>
      <c r="BWU10"/>
      <c r="BWV10"/>
      <c r="BWW10"/>
      <c r="BWX10"/>
      <c r="BWY10"/>
      <c r="BWZ10"/>
      <c r="BXA10"/>
      <c r="BXB10"/>
      <c r="BXC10"/>
      <c r="BXD10"/>
      <c r="BXE10"/>
      <c r="BXF10"/>
      <c r="BXG10"/>
      <c r="BXH10"/>
      <c r="BXI10"/>
      <c r="BXJ10"/>
      <c r="BXK10"/>
      <c r="BXL10"/>
      <c r="BXM10"/>
      <c r="BXN10"/>
      <c r="BXO10"/>
      <c r="BXP10"/>
      <c r="BXQ10"/>
      <c r="BXR10"/>
      <c r="BXS10"/>
      <c r="BXT10"/>
      <c r="BXU10"/>
      <c r="BXV10"/>
      <c r="BXW10"/>
      <c r="BXX10"/>
      <c r="BXY10"/>
      <c r="BXZ10"/>
      <c r="BYA10"/>
      <c r="BYB10"/>
      <c r="BYC10"/>
      <c r="BYD10"/>
      <c r="BYE10"/>
      <c r="BYF10"/>
      <c r="BYG10"/>
      <c r="BYH10"/>
      <c r="BYI10"/>
      <c r="BYJ10"/>
      <c r="BYK10"/>
      <c r="BYL10"/>
      <c r="BYM10"/>
      <c r="BYN10"/>
      <c r="BYO10"/>
      <c r="BYP10"/>
      <c r="BYQ10"/>
      <c r="BYR10"/>
      <c r="BYS10"/>
      <c r="BYT10"/>
      <c r="BYU10"/>
      <c r="BYV10"/>
      <c r="BYW10"/>
      <c r="BYX10"/>
      <c r="BYY10"/>
      <c r="BYZ10"/>
      <c r="BZA10"/>
      <c r="BZB10"/>
      <c r="BZC10"/>
      <c r="BZD10"/>
      <c r="BZE10"/>
      <c r="BZF10"/>
      <c r="BZG10"/>
      <c r="BZH10"/>
      <c r="BZI10"/>
      <c r="BZJ10"/>
      <c r="BZK10"/>
      <c r="BZL10"/>
      <c r="BZM10"/>
      <c r="BZN10"/>
      <c r="BZO10"/>
      <c r="BZP10"/>
      <c r="BZQ10"/>
      <c r="BZR10"/>
      <c r="BZS10"/>
      <c r="BZT10"/>
      <c r="BZU10"/>
      <c r="BZV10"/>
      <c r="BZW10"/>
      <c r="BZX10"/>
      <c r="BZY10"/>
      <c r="BZZ10"/>
      <c r="CAA10"/>
      <c r="CAB10"/>
      <c r="CAC10"/>
      <c r="CAD10"/>
      <c r="CAE10"/>
      <c r="CAF10"/>
      <c r="CAG10"/>
      <c r="CAH10"/>
      <c r="CAI10"/>
      <c r="CAJ10"/>
      <c r="CAK10"/>
      <c r="CAL10"/>
      <c r="CAM10"/>
      <c r="CAN10"/>
      <c r="CAO10"/>
      <c r="CAP10"/>
      <c r="CAQ10"/>
      <c r="CAR10"/>
      <c r="CAS10"/>
      <c r="CAT10"/>
      <c r="CAU10"/>
      <c r="CAV10"/>
      <c r="CAW10"/>
      <c r="CAX10"/>
      <c r="CAY10"/>
      <c r="CAZ10"/>
      <c r="CBA10"/>
      <c r="CBB10"/>
      <c r="CBC10"/>
      <c r="CBD10"/>
      <c r="CBE10"/>
      <c r="CBF10"/>
      <c r="CBG10"/>
      <c r="CBH10"/>
      <c r="CBI10"/>
      <c r="CBJ10"/>
      <c r="CBK10"/>
      <c r="CBL10"/>
      <c r="CBM10"/>
      <c r="CBN10"/>
      <c r="CBO10"/>
      <c r="CBP10"/>
      <c r="CBQ10"/>
      <c r="CBR10"/>
      <c r="CBS10"/>
      <c r="CBT10"/>
      <c r="CBU10"/>
      <c r="CBV10"/>
      <c r="CBW10"/>
      <c r="CBX10"/>
      <c r="CBY10"/>
      <c r="CBZ10"/>
      <c r="CCA10"/>
      <c r="CCB10"/>
      <c r="CCC10"/>
      <c r="CCD10"/>
      <c r="CCE10"/>
      <c r="CCF10"/>
      <c r="CCG10"/>
      <c r="CCH10"/>
      <c r="CCI10"/>
      <c r="CCJ10"/>
      <c r="CCK10"/>
      <c r="CCL10"/>
      <c r="CCM10"/>
      <c r="CCN10"/>
      <c r="CCO10"/>
      <c r="CCP10"/>
      <c r="CCQ10"/>
      <c r="CCR10"/>
      <c r="CCS10"/>
      <c r="CCT10"/>
      <c r="CCU10"/>
      <c r="CCV10"/>
      <c r="CCW10"/>
      <c r="CCX10"/>
      <c r="CCY10"/>
      <c r="CCZ10"/>
      <c r="CDA10"/>
      <c r="CDB10"/>
      <c r="CDC10"/>
      <c r="CDD10"/>
      <c r="CDE10"/>
      <c r="CDF10"/>
      <c r="CDG10"/>
      <c r="CDH10"/>
      <c r="CDI10"/>
      <c r="CDJ10"/>
      <c r="CDK10"/>
      <c r="CDL10"/>
      <c r="CDM10"/>
      <c r="CDN10"/>
      <c r="CDO10"/>
      <c r="CDP10"/>
      <c r="CDQ10"/>
      <c r="CDR10"/>
      <c r="CDS10"/>
      <c r="CDT10"/>
      <c r="CDU10"/>
      <c r="CDV10"/>
      <c r="CDW10"/>
      <c r="CDX10"/>
      <c r="CDY10"/>
      <c r="CDZ10"/>
      <c r="CEA10"/>
      <c r="CEB10"/>
      <c r="CEC10"/>
      <c r="CED10"/>
      <c r="CEE10"/>
      <c r="CEF10"/>
      <c r="CEG10"/>
      <c r="CEH10"/>
      <c r="CEI10"/>
      <c r="CEJ10"/>
      <c r="CEK10"/>
      <c r="CEL10"/>
      <c r="CEM10"/>
      <c r="CEN10"/>
      <c r="CEO10"/>
      <c r="CEP10"/>
      <c r="CEQ10"/>
      <c r="CER10"/>
      <c r="CES10"/>
      <c r="CET10"/>
      <c r="CEU10"/>
      <c r="CEV10"/>
      <c r="CEW10"/>
      <c r="CEX10"/>
      <c r="CEY10"/>
      <c r="CEZ10"/>
      <c r="CFA10"/>
      <c r="CFB10"/>
      <c r="CFC10"/>
      <c r="CFD10"/>
      <c r="CFE10"/>
      <c r="CFF10"/>
      <c r="CFG10"/>
      <c r="CFH10"/>
      <c r="CFI10"/>
      <c r="CFJ10"/>
      <c r="CFK10"/>
      <c r="CFL10"/>
      <c r="CFM10"/>
      <c r="CFN10"/>
      <c r="CFO10"/>
      <c r="CFP10"/>
      <c r="CFQ10"/>
      <c r="CFR10"/>
      <c r="CFS10"/>
      <c r="CFT10"/>
      <c r="CFU10"/>
      <c r="CFV10"/>
      <c r="CFW10"/>
      <c r="CFX10"/>
      <c r="CFY10"/>
      <c r="CFZ10"/>
      <c r="CGA10"/>
      <c r="CGB10"/>
      <c r="CGC10"/>
      <c r="CGD10"/>
      <c r="CGE10"/>
      <c r="CGF10"/>
      <c r="CGG10"/>
      <c r="CGH10"/>
      <c r="CGI10"/>
      <c r="CGJ10"/>
      <c r="CGK10"/>
      <c r="CGL10"/>
      <c r="CGM10"/>
      <c r="CGN10"/>
      <c r="CGO10"/>
      <c r="CGP10"/>
      <c r="CGQ10"/>
      <c r="CGR10"/>
      <c r="CGS10"/>
      <c r="CGT10"/>
      <c r="CGU10"/>
      <c r="CGV10"/>
      <c r="CGW10"/>
      <c r="CGX10"/>
      <c r="CGY10"/>
      <c r="CGZ10"/>
      <c r="CHA10"/>
      <c r="CHB10"/>
      <c r="CHC10"/>
      <c r="CHD10"/>
      <c r="CHE10"/>
      <c r="CHF10"/>
      <c r="CHG10"/>
      <c r="CHH10"/>
      <c r="CHI10"/>
      <c r="CHJ10"/>
      <c r="CHK10"/>
      <c r="CHL10"/>
      <c r="CHM10"/>
      <c r="CHN10"/>
      <c r="CHO10"/>
      <c r="CHP10"/>
      <c r="CHQ10"/>
      <c r="CHR10"/>
      <c r="CHS10"/>
      <c r="CHT10"/>
      <c r="CHU10"/>
      <c r="CHV10"/>
      <c r="CHW10"/>
      <c r="CHX10"/>
      <c r="CHY10"/>
      <c r="CHZ10"/>
      <c r="CIA10"/>
      <c r="CIB10"/>
      <c r="CIC10"/>
      <c r="CID10"/>
      <c r="CIE10"/>
      <c r="CIF10"/>
      <c r="CIG10"/>
      <c r="CIH10"/>
      <c r="CII10"/>
      <c r="CIJ10"/>
      <c r="CIK10"/>
      <c r="CIL10"/>
      <c r="CIM10"/>
      <c r="CIN10"/>
      <c r="CIO10"/>
      <c r="CIP10"/>
      <c r="CIQ10"/>
      <c r="CIR10"/>
      <c r="CIS10"/>
      <c r="CIT10"/>
      <c r="CIU10"/>
      <c r="CIV10"/>
      <c r="CIW10"/>
      <c r="CIX10"/>
      <c r="CIY10"/>
      <c r="CIZ10"/>
      <c r="CJA10"/>
      <c r="CJB10"/>
      <c r="CJC10"/>
      <c r="CJD10"/>
      <c r="CJE10"/>
      <c r="CJF10"/>
      <c r="CJG10"/>
      <c r="CJH10"/>
      <c r="CJI10"/>
      <c r="CJJ10"/>
      <c r="CJK10"/>
      <c r="CJL10"/>
      <c r="CJM10"/>
      <c r="CJN10"/>
      <c r="CJO10"/>
      <c r="CJP10"/>
      <c r="CJQ10"/>
      <c r="CJR10"/>
      <c r="CJS10"/>
      <c r="CJT10"/>
      <c r="CJU10"/>
      <c r="CJV10"/>
      <c r="CJW10"/>
      <c r="CJX10"/>
      <c r="CJY10"/>
      <c r="CJZ10"/>
      <c r="CKA10"/>
      <c r="CKB10"/>
      <c r="CKC10"/>
      <c r="CKD10"/>
      <c r="CKE10"/>
      <c r="CKF10"/>
      <c r="CKG10"/>
      <c r="CKH10"/>
      <c r="CKI10"/>
      <c r="CKJ10"/>
      <c r="CKK10"/>
      <c r="CKL10"/>
      <c r="CKM10"/>
      <c r="CKN10"/>
      <c r="CKO10"/>
      <c r="CKP10"/>
      <c r="CKQ10"/>
      <c r="CKR10"/>
      <c r="CKS10"/>
      <c r="CKT10"/>
      <c r="CKU10"/>
      <c r="CKV10"/>
      <c r="CKW10"/>
      <c r="CKX10"/>
      <c r="CKY10"/>
      <c r="CKZ10"/>
      <c r="CLA10"/>
      <c r="CLB10"/>
      <c r="CLC10"/>
      <c r="CLD10"/>
      <c r="CLE10"/>
      <c r="CLF10"/>
      <c r="CLG10"/>
      <c r="CLH10"/>
      <c r="CLI10"/>
      <c r="CLJ10"/>
      <c r="CLK10"/>
      <c r="CLL10"/>
      <c r="CLM10"/>
      <c r="CLN10"/>
      <c r="CLO10"/>
      <c r="CLP10"/>
      <c r="CLQ10"/>
      <c r="CLR10"/>
      <c r="CLS10"/>
      <c r="CLT10"/>
      <c r="CLU10"/>
      <c r="CLV10"/>
      <c r="CLW10"/>
      <c r="CLX10"/>
      <c r="CLY10"/>
      <c r="CLZ10"/>
      <c r="CMA10"/>
      <c r="CMB10"/>
      <c r="CMC10"/>
      <c r="CMD10"/>
      <c r="CME10"/>
      <c r="CMF10"/>
      <c r="CMG10"/>
      <c r="CMH10"/>
      <c r="CMI10"/>
      <c r="CMJ10"/>
      <c r="CMK10"/>
      <c r="CML10"/>
      <c r="CMM10"/>
      <c r="CMN10"/>
      <c r="CMO10"/>
      <c r="CMP10"/>
      <c r="CMQ10"/>
      <c r="CMR10"/>
      <c r="CMS10"/>
      <c r="CMT10"/>
      <c r="CMU10"/>
      <c r="CMV10"/>
      <c r="CMW10"/>
      <c r="CMX10"/>
      <c r="CMY10"/>
      <c r="CMZ10"/>
      <c r="CNA10"/>
      <c r="CNB10"/>
      <c r="CNC10"/>
      <c r="CND10"/>
      <c r="CNE10"/>
      <c r="CNF10"/>
      <c r="CNG10"/>
      <c r="CNH10"/>
      <c r="CNI10"/>
      <c r="CNJ10"/>
      <c r="CNK10"/>
      <c r="CNL10"/>
      <c r="CNM10"/>
      <c r="CNN10"/>
      <c r="CNO10"/>
      <c r="CNP10"/>
      <c r="CNQ10"/>
      <c r="CNR10"/>
      <c r="CNS10"/>
      <c r="CNT10"/>
      <c r="CNU10"/>
      <c r="CNV10"/>
      <c r="CNW10"/>
      <c r="CNX10"/>
      <c r="CNY10"/>
      <c r="CNZ10"/>
      <c r="COA10"/>
      <c r="COB10"/>
      <c r="COC10"/>
      <c r="COD10"/>
      <c r="COE10"/>
      <c r="COF10"/>
      <c r="COG10"/>
      <c r="COH10"/>
      <c r="COI10"/>
      <c r="COJ10"/>
      <c r="COK10"/>
      <c r="COL10"/>
      <c r="COM10"/>
      <c r="CON10"/>
      <c r="COO10"/>
      <c r="COP10"/>
      <c r="COQ10"/>
      <c r="COR10"/>
      <c r="COS10"/>
      <c r="COT10"/>
      <c r="COU10"/>
      <c r="COV10"/>
      <c r="COW10"/>
      <c r="COX10"/>
      <c r="COY10"/>
      <c r="COZ10"/>
      <c r="CPA10"/>
      <c r="CPB10"/>
      <c r="CPC10"/>
      <c r="CPD10"/>
      <c r="CPE10"/>
      <c r="CPF10"/>
      <c r="CPG10"/>
      <c r="CPH10"/>
      <c r="CPI10"/>
      <c r="CPJ10"/>
      <c r="CPK10"/>
      <c r="CPL10"/>
      <c r="CPM10"/>
      <c r="CPN10"/>
      <c r="CPO10"/>
      <c r="CPP10"/>
      <c r="CPQ10"/>
      <c r="CPR10"/>
      <c r="CPS10"/>
      <c r="CPT10"/>
      <c r="CPU10"/>
      <c r="CPV10"/>
      <c r="CPW10"/>
      <c r="CPX10"/>
      <c r="CPY10"/>
      <c r="CPZ10"/>
      <c r="CQA10"/>
      <c r="CQB10"/>
      <c r="CQC10"/>
      <c r="CQD10"/>
      <c r="CQE10"/>
      <c r="CQF10"/>
      <c r="CQG10"/>
      <c r="CQH10"/>
      <c r="CQI10"/>
      <c r="CQJ10"/>
      <c r="CQK10"/>
      <c r="CQL10"/>
      <c r="CQM10"/>
      <c r="CQN10"/>
      <c r="CQO10"/>
      <c r="CQP10"/>
      <c r="CQQ10"/>
      <c r="CQR10"/>
      <c r="CQS10"/>
      <c r="CQT10"/>
      <c r="CQU10"/>
      <c r="CQV10"/>
      <c r="CQW10"/>
      <c r="CQX10"/>
      <c r="CQY10"/>
      <c r="CQZ10"/>
      <c r="CRA10"/>
      <c r="CRB10"/>
      <c r="CRC10"/>
      <c r="CRD10"/>
      <c r="CRE10"/>
      <c r="CRF10"/>
      <c r="CRG10"/>
      <c r="CRH10"/>
      <c r="CRI10"/>
      <c r="CRJ10"/>
      <c r="CRK10"/>
      <c r="CRL10"/>
      <c r="CRM10"/>
      <c r="CRN10"/>
      <c r="CRO10"/>
      <c r="CRP10"/>
      <c r="CRQ10"/>
      <c r="CRR10"/>
      <c r="CRS10"/>
      <c r="CRT10"/>
      <c r="CRU10"/>
      <c r="CRV10"/>
      <c r="CRW10"/>
      <c r="CRX10"/>
      <c r="CRY10"/>
      <c r="CRZ10"/>
      <c r="CSA10"/>
      <c r="CSB10"/>
      <c r="CSC10"/>
      <c r="CSD10"/>
      <c r="CSE10"/>
      <c r="CSF10"/>
      <c r="CSG10"/>
      <c r="CSH10"/>
      <c r="CSI10"/>
      <c r="CSJ10"/>
      <c r="CSK10"/>
      <c r="CSL10"/>
      <c r="CSM10"/>
      <c r="CSN10"/>
      <c r="CSO10"/>
      <c r="CSP10"/>
      <c r="CSQ10"/>
      <c r="CSR10"/>
      <c r="CSS10"/>
      <c r="CST10"/>
      <c r="CSU10"/>
      <c r="CSV10"/>
      <c r="CSW10"/>
      <c r="CSX10"/>
      <c r="CSY10"/>
      <c r="CSZ10"/>
      <c r="CTA10"/>
      <c r="CTB10"/>
      <c r="CTC10"/>
      <c r="CTD10"/>
      <c r="CTE10"/>
      <c r="CTF10"/>
      <c r="CTG10"/>
      <c r="CTH10"/>
      <c r="CTI10"/>
      <c r="CTJ10"/>
      <c r="CTK10"/>
      <c r="CTL10"/>
      <c r="CTM10"/>
      <c r="CTN10"/>
      <c r="CTO10"/>
      <c r="CTP10"/>
      <c r="CTQ10"/>
      <c r="CTR10"/>
      <c r="CTS10"/>
      <c r="CTT10"/>
      <c r="CTU10"/>
      <c r="CTV10"/>
      <c r="CTW10"/>
      <c r="CTX10"/>
      <c r="CTY10"/>
      <c r="CTZ10"/>
      <c r="CUA10"/>
      <c r="CUB10"/>
      <c r="CUC10"/>
      <c r="CUD10"/>
      <c r="CUE10"/>
      <c r="CUF10"/>
      <c r="CUG10"/>
      <c r="CUH10"/>
      <c r="CUI10"/>
      <c r="CUJ10"/>
      <c r="CUK10"/>
      <c r="CUL10"/>
      <c r="CUM10"/>
      <c r="CUN10"/>
      <c r="CUO10"/>
      <c r="CUP10"/>
      <c r="CUQ10"/>
      <c r="CUR10"/>
      <c r="CUS10"/>
      <c r="CUT10"/>
      <c r="CUU10"/>
      <c r="CUV10"/>
      <c r="CUW10"/>
      <c r="CUX10"/>
      <c r="CUY10"/>
      <c r="CUZ10"/>
      <c r="CVA10"/>
      <c r="CVB10"/>
      <c r="CVC10"/>
      <c r="CVD10"/>
      <c r="CVE10"/>
      <c r="CVF10"/>
      <c r="CVG10"/>
      <c r="CVH10"/>
      <c r="CVI10"/>
      <c r="CVJ10"/>
      <c r="CVK10"/>
      <c r="CVL10"/>
      <c r="CVM10"/>
      <c r="CVN10"/>
      <c r="CVO10"/>
      <c r="CVP10"/>
      <c r="CVQ10"/>
      <c r="CVR10"/>
      <c r="CVS10"/>
      <c r="CVT10"/>
      <c r="CVU10"/>
      <c r="CVV10"/>
      <c r="CVW10"/>
      <c r="CVX10"/>
      <c r="CVY10"/>
      <c r="CVZ10"/>
      <c r="CWA10"/>
      <c r="CWB10"/>
      <c r="CWC10"/>
      <c r="CWD10"/>
      <c r="CWE10"/>
      <c r="CWF10"/>
      <c r="CWG10"/>
      <c r="CWH10"/>
      <c r="CWI10"/>
      <c r="CWJ10"/>
      <c r="CWK10"/>
      <c r="CWL10"/>
      <c r="CWM10"/>
      <c r="CWN10"/>
      <c r="CWO10"/>
      <c r="CWP10"/>
      <c r="CWQ10"/>
      <c r="CWR10"/>
      <c r="CWS10"/>
      <c r="CWT10"/>
      <c r="CWU10"/>
      <c r="CWV10"/>
      <c r="CWW10"/>
      <c r="CWX10"/>
      <c r="CWY10"/>
      <c r="CWZ10"/>
      <c r="CXA10"/>
      <c r="CXB10"/>
      <c r="CXC10"/>
      <c r="CXD10"/>
      <c r="CXE10"/>
      <c r="CXF10"/>
      <c r="CXG10"/>
      <c r="CXH10"/>
      <c r="CXI10"/>
      <c r="CXJ10"/>
      <c r="CXK10"/>
      <c r="CXL10"/>
      <c r="CXM10"/>
      <c r="CXN10"/>
      <c r="CXO10"/>
      <c r="CXP10"/>
      <c r="CXQ10"/>
      <c r="CXR10"/>
      <c r="CXS10"/>
      <c r="CXT10"/>
      <c r="CXU10"/>
      <c r="CXV10"/>
      <c r="CXW10"/>
      <c r="CXX10"/>
      <c r="CXY10"/>
      <c r="CXZ10"/>
      <c r="CYA10"/>
      <c r="CYB10"/>
      <c r="CYC10"/>
      <c r="CYD10"/>
      <c r="CYE10"/>
      <c r="CYF10"/>
      <c r="CYG10"/>
      <c r="CYH10"/>
      <c r="CYI10"/>
      <c r="CYJ10"/>
      <c r="CYK10"/>
      <c r="CYL10"/>
      <c r="CYM10"/>
      <c r="CYN10"/>
      <c r="CYO10"/>
      <c r="CYP10"/>
      <c r="CYQ10"/>
      <c r="CYR10"/>
      <c r="CYS10"/>
      <c r="CYT10"/>
      <c r="CYU10"/>
      <c r="CYV10"/>
      <c r="CYW10"/>
      <c r="CYX10"/>
      <c r="CYY10"/>
      <c r="CYZ10"/>
      <c r="CZA10"/>
      <c r="CZB10"/>
      <c r="CZC10"/>
      <c r="CZD10"/>
      <c r="CZE10"/>
      <c r="CZF10"/>
      <c r="CZG10"/>
      <c r="CZH10"/>
      <c r="CZI10"/>
      <c r="CZJ10"/>
      <c r="CZK10"/>
      <c r="CZL10"/>
      <c r="CZM10"/>
      <c r="CZN10"/>
      <c r="CZO10"/>
      <c r="CZP10"/>
      <c r="CZQ10"/>
      <c r="CZR10"/>
      <c r="CZS10"/>
      <c r="CZT10"/>
      <c r="CZU10"/>
      <c r="CZV10"/>
      <c r="CZW10"/>
      <c r="CZX10"/>
      <c r="CZY10"/>
      <c r="CZZ10"/>
      <c r="DAA10"/>
      <c r="DAB10"/>
      <c r="DAC10"/>
      <c r="DAD10"/>
      <c r="DAE10"/>
      <c r="DAF10"/>
      <c r="DAG10"/>
      <c r="DAH10"/>
      <c r="DAI10"/>
      <c r="DAJ10"/>
      <c r="DAK10"/>
      <c r="DAL10"/>
      <c r="DAM10"/>
      <c r="DAN10"/>
      <c r="DAO10"/>
      <c r="DAP10"/>
      <c r="DAQ10"/>
      <c r="DAR10"/>
      <c r="DAS10"/>
      <c r="DAT10"/>
      <c r="DAU10"/>
      <c r="DAV10"/>
      <c r="DAW10"/>
      <c r="DAX10"/>
      <c r="DAY10"/>
      <c r="DAZ10"/>
      <c r="DBA10"/>
      <c r="DBB10"/>
      <c r="DBC10"/>
      <c r="DBD10"/>
      <c r="DBE10"/>
      <c r="DBF10"/>
      <c r="DBG10"/>
      <c r="DBH10"/>
      <c r="DBI10"/>
      <c r="DBJ10"/>
      <c r="DBK10"/>
      <c r="DBL10"/>
      <c r="DBM10"/>
      <c r="DBN10"/>
      <c r="DBO10"/>
      <c r="DBP10"/>
      <c r="DBQ10"/>
      <c r="DBR10"/>
      <c r="DBS10"/>
      <c r="DBT10"/>
      <c r="DBU10"/>
      <c r="DBV10"/>
      <c r="DBW10"/>
      <c r="DBX10"/>
      <c r="DBY10"/>
      <c r="DBZ10"/>
      <c r="DCA10"/>
      <c r="DCB10"/>
      <c r="DCC10"/>
      <c r="DCD10"/>
      <c r="DCE10"/>
      <c r="DCF10"/>
      <c r="DCG10"/>
      <c r="DCH10"/>
      <c r="DCI10"/>
      <c r="DCJ10"/>
      <c r="DCK10"/>
      <c r="DCL10"/>
      <c r="DCM10"/>
      <c r="DCN10"/>
      <c r="DCO10"/>
      <c r="DCP10"/>
      <c r="DCQ10"/>
      <c r="DCR10"/>
      <c r="DCS10"/>
      <c r="DCT10"/>
      <c r="DCU10"/>
      <c r="DCV10"/>
      <c r="DCW10"/>
      <c r="DCX10"/>
      <c r="DCY10"/>
      <c r="DCZ10"/>
      <c r="DDA10"/>
      <c r="DDB10"/>
      <c r="DDC10"/>
      <c r="DDD10"/>
      <c r="DDE10"/>
      <c r="DDF10"/>
      <c r="DDG10"/>
      <c r="DDH10"/>
      <c r="DDI10"/>
      <c r="DDJ10"/>
      <c r="DDK10"/>
      <c r="DDL10"/>
      <c r="DDM10"/>
      <c r="DDN10"/>
      <c r="DDO10"/>
      <c r="DDP10"/>
      <c r="DDQ10"/>
      <c r="DDR10"/>
      <c r="DDS10"/>
      <c r="DDT10"/>
      <c r="DDU10"/>
      <c r="DDV10"/>
      <c r="DDW10"/>
      <c r="DDX10"/>
      <c r="DDY10"/>
      <c r="DDZ10"/>
      <c r="DEA10"/>
      <c r="DEB10"/>
      <c r="DEC10"/>
      <c r="DED10"/>
      <c r="DEE10"/>
      <c r="DEF10"/>
      <c r="DEG10"/>
      <c r="DEH10"/>
      <c r="DEI10"/>
      <c r="DEJ10"/>
      <c r="DEK10"/>
      <c r="DEL10"/>
      <c r="DEM10"/>
      <c r="DEN10"/>
      <c r="DEO10"/>
      <c r="DEP10"/>
      <c r="DEQ10"/>
      <c r="DER10"/>
      <c r="DES10"/>
      <c r="DET10"/>
      <c r="DEU10"/>
      <c r="DEV10"/>
      <c r="DEW10"/>
      <c r="DEX10"/>
      <c r="DEY10"/>
      <c r="DEZ10"/>
      <c r="DFA10"/>
      <c r="DFB10"/>
      <c r="DFC10"/>
      <c r="DFD10"/>
      <c r="DFE10"/>
      <c r="DFF10"/>
      <c r="DFG10"/>
      <c r="DFH10"/>
      <c r="DFI10"/>
      <c r="DFJ10"/>
      <c r="DFK10"/>
      <c r="DFL10"/>
      <c r="DFM10"/>
      <c r="DFN10"/>
      <c r="DFO10"/>
      <c r="DFP10"/>
      <c r="DFQ10"/>
      <c r="DFR10"/>
      <c r="DFS10"/>
      <c r="DFT10"/>
      <c r="DFU10"/>
      <c r="DFV10"/>
      <c r="DFW10"/>
      <c r="DFX10"/>
      <c r="DFY10"/>
      <c r="DFZ10"/>
      <c r="DGA10"/>
      <c r="DGB10"/>
      <c r="DGC10"/>
      <c r="DGD10"/>
      <c r="DGE10"/>
      <c r="DGF10"/>
      <c r="DGG10"/>
      <c r="DGH10"/>
      <c r="DGI10"/>
      <c r="DGJ10"/>
      <c r="DGK10"/>
      <c r="DGL10"/>
      <c r="DGM10"/>
      <c r="DGN10"/>
      <c r="DGO10"/>
      <c r="DGP10"/>
      <c r="DGQ10"/>
      <c r="DGR10"/>
      <c r="DGS10"/>
      <c r="DGT10"/>
      <c r="DGU10"/>
      <c r="DGV10"/>
      <c r="DGW10"/>
      <c r="DGX10"/>
      <c r="DGY10"/>
      <c r="DGZ10"/>
      <c r="DHA10"/>
      <c r="DHB10"/>
      <c r="DHC10"/>
      <c r="DHD10"/>
      <c r="DHE10"/>
      <c r="DHF10"/>
      <c r="DHG10"/>
      <c r="DHH10"/>
      <c r="DHI10"/>
      <c r="DHJ10"/>
      <c r="DHK10"/>
      <c r="DHL10"/>
      <c r="DHM10"/>
      <c r="DHN10"/>
      <c r="DHO10"/>
      <c r="DHP10"/>
      <c r="DHQ10"/>
      <c r="DHR10"/>
      <c r="DHS10"/>
      <c r="DHT10"/>
      <c r="DHU10"/>
      <c r="DHV10"/>
      <c r="DHW10"/>
      <c r="DHX10"/>
      <c r="DHY10"/>
      <c r="DHZ10"/>
      <c r="DIA10"/>
      <c r="DIB10"/>
      <c r="DIC10"/>
      <c r="DID10"/>
      <c r="DIE10"/>
      <c r="DIF10"/>
      <c r="DIG10"/>
      <c r="DIH10"/>
      <c r="DII10"/>
      <c r="DIJ10"/>
      <c r="DIK10"/>
      <c r="DIL10"/>
      <c r="DIM10"/>
      <c r="DIN10"/>
      <c r="DIO10"/>
      <c r="DIP10"/>
      <c r="DIQ10"/>
      <c r="DIR10"/>
      <c r="DIS10"/>
      <c r="DIT10"/>
      <c r="DIU10"/>
      <c r="DIV10"/>
      <c r="DIW10"/>
      <c r="DIX10"/>
      <c r="DIY10"/>
      <c r="DIZ10"/>
      <c r="DJA10"/>
      <c r="DJB10"/>
      <c r="DJC10"/>
      <c r="DJD10"/>
      <c r="DJE10"/>
      <c r="DJF10"/>
      <c r="DJG10"/>
      <c r="DJH10"/>
      <c r="DJI10"/>
      <c r="DJJ10"/>
      <c r="DJK10"/>
      <c r="DJL10"/>
      <c r="DJM10"/>
      <c r="DJN10"/>
      <c r="DJO10"/>
      <c r="DJP10"/>
      <c r="DJQ10"/>
      <c r="DJR10"/>
      <c r="DJS10"/>
      <c r="DJT10"/>
      <c r="DJU10"/>
      <c r="DJV10"/>
      <c r="DJW10"/>
      <c r="DJX10"/>
      <c r="DJY10"/>
      <c r="DJZ10"/>
      <c r="DKA10"/>
      <c r="DKB10"/>
      <c r="DKC10"/>
      <c r="DKD10"/>
      <c r="DKE10"/>
      <c r="DKF10"/>
      <c r="DKG10"/>
      <c r="DKH10"/>
      <c r="DKI10"/>
      <c r="DKJ10"/>
      <c r="DKK10"/>
      <c r="DKL10"/>
      <c r="DKM10"/>
      <c r="DKN10"/>
      <c r="DKO10"/>
      <c r="DKP10"/>
      <c r="DKQ10"/>
      <c r="DKR10"/>
      <c r="DKS10"/>
      <c r="DKT10"/>
      <c r="DKU10"/>
      <c r="DKV10"/>
      <c r="DKW10"/>
      <c r="DKX10"/>
      <c r="DKY10"/>
      <c r="DKZ10"/>
      <c r="DLA10"/>
      <c r="DLB10"/>
      <c r="DLC10"/>
      <c r="DLD10"/>
      <c r="DLE10"/>
      <c r="DLF10"/>
      <c r="DLG10"/>
      <c r="DLH10"/>
      <c r="DLI10"/>
      <c r="DLJ10"/>
      <c r="DLK10"/>
      <c r="DLL10"/>
      <c r="DLM10"/>
      <c r="DLN10"/>
      <c r="DLO10"/>
      <c r="DLP10"/>
      <c r="DLQ10"/>
      <c r="DLR10"/>
      <c r="DLS10"/>
      <c r="DLT10"/>
      <c r="DLU10"/>
      <c r="DLV10"/>
      <c r="DLW10"/>
      <c r="DLX10"/>
      <c r="DLY10"/>
      <c r="DLZ10"/>
      <c r="DMA10"/>
      <c r="DMB10"/>
      <c r="DMC10"/>
      <c r="DMD10"/>
      <c r="DME10"/>
      <c r="DMF10"/>
      <c r="DMG10"/>
      <c r="DMH10"/>
      <c r="DMI10"/>
      <c r="DMJ10"/>
      <c r="DMK10"/>
      <c r="DML10"/>
      <c r="DMM10"/>
      <c r="DMN10"/>
      <c r="DMO10"/>
      <c r="DMP10"/>
      <c r="DMQ10"/>
      <c r="DMR10"/>
      <c r="DMS10"/>
      <c r="DMT10"/>
      <c r="DMU10"/>
      <c r="DMV10"/>
      <c r="DMW10"/>
      <c r="DMX10"/>
      <c r="DMY10"/>
      <c r="DMZ10"/>
      <c r="DNA10"/>
      <c r="DNB10"/>
      <c r="DNC10"/>
      <c r="DND10"/>
      <c r="DNE10"/>
      <c r="DNF10"/>
      <c r="DNG10"/>
      <c r="DNH10"/>
      <c r="DNI10"/>
      <c r="DNJ10"/>
      <c r="DNK10"/>
      <c r="DNL10"/>
      <c r="DNM10"/>
      <c r="DNN10"/>
      <c r="DNO10"/>
      <c r="DNP10"/>
      <c r="DNQ10"/>
      <c r="DNR10"/>
      <c r="DNS10"/>
      <c r="DNT10"/>
      <c r="DNU10"/>
      <c r="DNV10"/>
      <c r="DNW10"/>
      <c r="DNX10"/>
      <c r="DNY10"/>
      <c r="DNZ10"/>
      <c r="DOA10"/>
      <c r="DOB10"/>
      <c r="DOC10"/>
      <c r="DOD10"/>
      <c r="DOE10"/>
      <c r="DOF10"/>
      <c r="DOG10"/>
      <c r="DOH10"/>
      <c r="DOI10"/>
      <c r="DOJ10"/>
      <c r="DOK10"/>
      <c r="DOL10"/>
      <c r="DOM10"/>
      <c r="DON10"/>
      <c r="DOO10"/>
      <c r="DOP10"/>
      <c r="DOQ10"/>
      <c r="DOR10"/>
      <c r="DOS10"/>
      <c r="DOT10"/>
      <c r="DOU10"/>
      <c r="DOV10"/>
      <c r="DOW10"/>
      <c r="DOX10"/>
      <c r="DOY10"/>
      <c r="DOZ10"/>
      <c r="DPA10"/>
      <c r="DPB10"/>
      <c r="DPC10"/>
      <c r="DPD10"/>
      <c r="DPE10"/>
      <c r="DPF10"/>
      <c r="DPG10"/>
      <c r="DPH10"/>
      <c r="DPI10"/>
      <c r="DPJ10"/>
      <c r="DPK10"/>
      <c r="DPL10"/>
      <c r="DPM10"/>
      <c r="DPN10"/>
      <c r="DPO10"/>
      <c r="DPP10"/>
      <c r="DPQ10"/>
      <c r="DPR10"/>
      <c r="DPS10"/>
      <c r="DPT10"/>
      <c r="DPU10"/>
      <c r="DPV10"/>
      <c r="DPW10"/>
      <c r="DPX10"/>
      <c r="DPY10"/>
      <c r="DPZ10"/>
      <c r="DQA10"/>
      <c r="DQB10"/>
      <c r="DQC10"/>
      <c r="DQD10"/>
      <c r="DQE10"/>
      <c r="DQF10"/>
      <c r="DQG10"/>
      <c r="DQH10"/>
      <c r="DQI10"/>
      <c r="DQJ10"/>
      <c r="DQK10"/>
      <c r="DQL10"/>
      <c r="DQM10"/>
      <c r="DQN10"/>
      <c r="DQO10"/>
      <c r="DQP10"/>
      <c r="DQQ10"/>
      <c r="DQR10"/>
      <c r="DQS10"/>
      <c r="DQT10"/>
      <c r="DQU10"/>
      <c r="DQV10"/>
      <c r="DQW10"/>
      <c r="DQX10"/>
      <c r="DQY10"/>
      <c r="DQZ10"/>
      <c r="DRA10"/>
      <c r="DRB10"/>
      <c r="DRC10"/>
      <c r="DRD10"/>
      <c r="DRE10"/>
      <c r="DRF10"/>
      <c r="DRG10"/>
      <c r="DRH10"/>
      <c r="DRI10"/>
      <c r="DRJ10"/>
      <c r="DRK10"/>
      <c r="DRL10"/>
      <c r="DRM10"/>
      <c r="DRN10"/>
      <c r="DRO10"/>
      <c r="DRP10"/>
      <c r="DRQ10"/>
      <c r="DRR10"/>
      <c r="DRS10"/>
      <c r="DRT10"/>
      <c r="DRU10"/>
      <c r="DRV10"/>
      <c r="DRW10"/>
      <c r="DRX10"/>
      <c r="DRY10"/>
      <c r="DRZ10"/>
      <c r="DSA10"/>
      <c r="DSB10"/>
      <c r="DSC10"/>
      <c r="DSD10"/>
      <c r="DSE10"/>
      <c r="DSF10"/>
      <c r="DSG10"/>
      <c r="DSH10"/>
      <c r="DSI10"/>
      <c r="DSJ10"/>
      <c r="DSK10"/>
      <c r="DSL10"/>
      <c r="DSM10"/>
      <c r="DSN10"/>
      <c r="DSO10"/>
      <c r="DSP10"/>
      <c r="DSQ10"/>
      <c r="DSR10"/>
      <c r="DSS10"/>
      <c r="DST10"/>
      <c r="DSU10"/>
      <c r="DSV10"/>
      <c r="DSW10"/>
      <c r="DSX10"/>
      <c r="DSY10"/>
      <c r="DSZ10"/>
      <c r="DTA10"/>
      <c r="DTB10"/>
      <c r="DTC10"/>
      <c r="DTD10"/>
      <c r="DTE10"/>
      <c r="DTF10"/>
      <c r="DTG10"/>
      <c r="DTH10"/>
      <c r="DTI10"/>
      <c r="DTJ10"/>
      <c r="DTK10"/>
      <c r="DTL10"/>
      <c r="DTM10"/>
      <c r="DTN10"/>
      <c r="DTO10"/>
      <c r="DTP10"/>
      <c r="DTQ10"/>
      <c r="DTR10"/>
      <c r="DTS10"/>
      <c r="DTT10"/>
      <c r="DTU10"/>
      <c r="DTV10"/>
      <c r="DTW10"/>
      <c r="DTX10"/>
      <c r="DTY10"/>
      <c r="DTZ10"/>
      <c r="DUA10"/>
      <c r="DUB10"/>
      <c r="DUC10"/>
      <c r="DUD10"/>
      <c r="DUE10"/>
      <c r="DUF10"/>
      <c r="DUG10"/>
      <c r="DUH10"/>
      <c r="DUI10"/>
      <c r="DUJ10"/>
      <c r="DUK10"/>
      <c r="DUL10"/>
      <c r="DUM10"/>
      <c r="DUN10"/>
      <c r="DUO10"/>
      <c r="DUP10"/>
      <c r="DUQ10"/>
      <c r="DUR10"/>
      <c r="DUS10"/>
      <c r="DUT10"/>
      <c r="DUU10"/>
      <c r="DUV10"/>
      <c r="DUW10"/>
      <c r="DUX10"/>
      <c r="DUY10"/>
      <c r="DUZ10"/>
      <c r="DVA10"/>
      <c r="DVB10"/>
      <c r="DVC10"/>
      <c r="DVD10"/>
      <c r="DVE10"/>
      <c r="DVF10"/>
      <c r="DVG10"/>
      <c r="DVH10"/>
      <c r="DVI10"/>
      <c r="DVJ10"/>
      <c r="DVK10"/>
      <c r="DVL10"/>
      <c r="DVM10"/>
      <c r="DVN10"/>
      <c r="DVO10"/>
      <c r="DVP10"/>
      <c r="DVQ10"/>
      <c r="DVR10"/>
      <c r="DVS10"/>
      <c r="DVT10"/>
      <c r="DVU10"/>
      <c r="DVV10"/>
      <c r="DVW10"/>
      <c r="DVX10"/>
      <c r="DVY10"/>
      <c r="DVZ10"/>
      <c r="DWA10"/>
      <c r="DWB10"/>
      <c r="DWC10"/>
      <c r="DWD10"/>
      <c r="DWE10"/>
      <c r="DWF10"/>
      <c r="DWG10"/>
      <c r="DWH10"/>
      <c r="DWI10"/>
      <c r="DWJ10"/>
      <c r="DWK10"/>
      <c r="DWL10"/>
      <c r="DWM10"/>
      <c r="DWN10"/>
      <c r="DWO10"/>
      <c r="DWP10"/>
      <c r="DWQ10"/>
      <c r="DWR10"/>
      <c r="DWS10"/>
      <c r="DWT10"/>
      <c r="DWU10"/>
      <c r="DWV10"/>
      <c r="DWW10"/>
      <c r="DWX10"/>
      <c r="DWY10"/>
      <c r="DWZ10"/>
      <c r="DXA10"/>
      <c r="DXB10"/>
      <c r="DXC10"/>
      <c r="DXD10"/>
      <c r="DXE10"/>
      <c r="DXF10"/>
      <c r="DXG10"/>
      <c r="DXH10"/>
      <c r="DXI10"/>
      <c r="DXJ10"/>
      <c r="DXK10"/>
      <c r="DXL10"/>
      <c r="DXM10"/>
      <c r="DXN10"/>
      <c r="DXO10"/>
      <c r="DXP10"/>
      <c r="DXQ10"/>
      <c r="DXR10"/>
      <c r="DXS10"/>
      <c r="DXT10"/>
      <c r="DXU10"/>
      <c r="DXV10"/>
      <c r="DXW10"/>
      <c r="DXX10"/>
      <c r="DXY10"/>
      <c r="DXZ10"/>
      <c r="DYA10"/>
      <c r="DYB10"/>
      <c r="DYC10"/>
      <c r="DYD10"/>
      <c r="DYE10"/>
      <c r="DYF10"/>
      <c r="DYG10"/>
      <c r="DYH10"/>
      <c r="DYI10"/>
      <c r="DYJ10"/>
      <c r="DYK10"/>
      <c r="DYL10"/>
      <c r="DYM10"/>
      <c r="DYN10"/>
      <c r="DYO10"/>
      <c r="DYP10"/>
      <c r="DYQ10"/>
      <c r="DYR10"/>
      <c r="DYS10"/>
      <c r="DYT10"/>
      <c r="DYU10"/>
      <c r="DYV10"/>
      <c r="DYW10"/>
      <c r="DYX10"/>
      <c r="DYY10"/>
      <c r="DYZ10"/>
      <c r="DZA10"/>
      <c r="DZB10"/>
      <c r="DZC10"/>
      <c r="DZD10"/>
      <c r="DZE10"/>
      <c r="DZF10"/>
      <c r="DZG10"/>
      <c r="DZH10"/>
      <c r="DZI10"/>
      <c r="DZJ10"/>
      <c r="DZK10"/>
      <c r="DZL10"/>
      <c r="DZM10"/>
      <c r="DZN10"/>
      <c r="DZO10"/>
      <c r="DZP10"/>
      <c r="DZQ10"/>
      <c r="DZR10"/>
      <c r="DZS10"/>
      <c r="DZT10"/>
      <c r="DZU10"/>
      <c r="DZV10"/>
      <c r="DZW10"/>
      <c r="DZX10"/>
      <c r="DZY10"/>
      <c r="DZZ10"/>
      <c r="EAA10"/>
      <c r="EAB10"/>
      <c r="EAC10"/>
      <c r="EAD10"/>
      <c r="EAE10"/>
      <c r="EAF10"/>
      <c r="EAG10"/>
      <c r="EAH10"/>
      <c r="EAI10"/>
      <c r="EAJ10"/>
      <c r="EAK10"/>
      <c r="EAL10"/>
      <c r="EAM10"/>
      <c r="EAN10"/>
      <c r="EAO10"/>
      <c r="EAP10"/>
      <c r="EAQ10"/>
      <c r="EAR10"/>
      <c r="EAS10"/>
      <c r="EAT10"/>
      <c r="EAU10"/>
      <c r="EAV10"/>
      <c r="EAW10"/>
      <c r="EAX10"/>
      <c r="EAY10"/>
      <c r="EAZ10"/>
      <c r="EBA10"/>
      <c r="EBB10"/>
      <c r="EBC10"/>
      <c r="EBD10"/>
      <c r="EBE10"/>
      <c r="EBF10"/>
      <c r="EBG10"/>
      <c r="EBH10"/>
      <c r="EBI10"/>
      <c r="EBJ10"/>
      <c r="EBK10"/>
      <c r="EBL10"/>
      <c r="EBM10"/>
      <c r="EBN10"/>
      <c r="EBO10"/>
      <c r="EBP10"/>
      <c r="EBQ10"/>
      <c r="EBR10"/>
      <c r="EBS10"/>
      <c r="EBT10"/>
      <c r="EBU10"/>
      <c r="EBV10"/>
      <c r="EBW10"/>
      <c r="EBX10"/>
      <c r="EBY10"/>
      <c r="EBZ10"/>
      <c r="ECA10"/>
      <c r="ECB10"/>
      <c r="ECC10"/>
      <c r="ECD10"/>
      <c r="ECE10"/>
      <c r="ECF10"/>
      <c r="ECG10"/>
      <c r="ECH10"/>
      <c r="ECI10"/>
      <c r="ECJ10"/>
      <c r="ECK10"/>
      <c r="ECL10"/>
      <c r="ECM10"/>
      <c r="ECN10"/>
      <c r="ECO10"/>
      <c r="ECP10"/>
      <c r="ECQ10"/>
      <c r="ECR10"/>
      <c r="ECS10"/>
      <c r="ECT10"/>
      <c r="ECU10"/>
      <c r="ECV10"/>
      <c r="ECW10"/>
      <c r="ECX10"/>
      <c r="ECY10"/>
      <c r="ECZ10"/>
      <c r="EDA10"/>
      <c r="EDB10"/>
      <c r="EDC10"/>
      <c r="EDD10"/>
      <c r="EDE10"/>
      <c r="EDF10"/>
      <c r="EDG10"/>
      <c r="EDH10"/>
      <c r="EDI10"/>
      <c r="EDJ10"/>
      <c r="EDK10"/>
      <c r="EDL10"/>
      <c r="EDM10"/>
      <c r="EDN10"/>
      <c r="EDO10"/>
      <c r="EDP10"/>
      <c r="EDQ10"/>
      <c r="EDR10"/>
      <c r="EDS10"/>
      <c r="EDT10"/>
      <c r="EDU10"/>
      <c r="EDV10"/>
      <c r="EDW10"/>
      <c r="EDX10"/>
      <c r="EDY10"/>
      <c r="EDZ10"/>
      <c r="EEA10"/>
      <c r="EEB10"/>
      <c r="EEC10"/>
      <c r="EED10"/>
      <c r="EEE10"/>
      <c r="EEF10"/>
      <c r="EEG10"/>
      <c r="EEH10"/>
      <c r="EEI10"/>
      <c r="EEJ10"/>
      <c r="EEK10"/>
      <c r="EEL10"/>
      <c r="EEM10"/>
      <c r="EEN10"/>
      <c r="EEO10"/>
      <c r="EEP10"/>
      <c r="EEQ10"/>
      <c r="EER10"/>
      <c r="EES10"/>
      <c r="EET10"/>
      <c r="EEU10"/>
      <c r="EEV10"/>
      <c r="EEW10"/>
      <c r="EEX10"/>
      <c r="EEY10"/>
      <c r="EEZ10"/>
      <c r="EFA10"/>
      <c r="EFB10"/>
      <c r="EFC10"/>
      <c r="EFD10"/>
      <c r="EFE10"/>
      <c r="EFF10"/>
      <c r="EFG10"/>
      <c r="EFH10"/>
      <c r="EFI10"/>
      <c r="EFJ10"/>
      <c r="EFK10"/>
      <c r="EFL10"/>
      <c r="EFM10"/>
      <c r="EFN10"/>
      <c r="EFO10"/>
      <c r="EFP10"/>
      <c r="EFQ10"/>
      <c r="EFR10"/>
      <c r="EFS10"/>
      <c r="EFT10"/>
      <c r="EFU10"/>
      <c r="EFV10"/>
      <c r="EFW10"/>
      <c r="EFX10"/>
      <c r="EFY10"/>
      <c r="EFZ10"/>
      <c r="EGA10"/>
      <c r="EGB10"/>
      <c r="EGC10"/>
      <c r="EGD10"/>
      <c r="EGE10"/>
      <c r="EGF10"/>
      <c r="EGG10"/>
      <c r="EGH10"/>
      <c r="EGI10"/>
      <c r="EGJ10"/>
      <c r="EGK10"/>
      <c r="EGL10"/>
      <c r="EGM10"/>
      <c r="EGN10"/>
      <c r="EGO10"/>
      <c r="EGP10"/>
      <c r="EGQ10"/>
      <c r="EGR10"/>
      <c r="EGS10"/>
      <c r="EGT10"/>
      <c r="EGU10"/>
      <c r="EGV10"/>
      <c r="EGW10"/>
      <c r="EGX10"/>
      <c r="EGY10"/>
      <c r="EGZ10"/>
      <c r="EHA10"/>
      <c r="EHB10"/>
      <c r="EHC10"/>
      <c r="EHD10"/>
      <c r="EHE10"/>
      <c r="EHF10"/>
      <c r="EHG10"/>
      <c r="EHH10"/>
      <c r="EHI10"/>
      <c r="EHJ10"/>
      <c r="EHK10"/>
      <c r="EHL10"/>
      <c r="EHM10"/>
      <c r="EHN10"/>
      <c r="EHO10"/>
      <c r="EHP10"/>
      <c r="EHQ10"/>
      <c r="EHR10"/>
      <c r="EHS10"/>
      <c r="EHT10"/>
      <c r="EHU10"/>
      <c r="EHV10"/>
      <c r="EHW10"/>
      <c r="EHX10"/>
      <c r="EHY10"/>
      <c r="EHZ10"/>
      <c r="EIA10"/>
      <c r="EIB10"/>
      <c r="EIC10"/>
      <c r="EID10"/>
      <c r="EIE10"/>
      <c r="EIF10"/>
      <c r="EIG10"/>
      <c r="EIH10"/>
      <c r="EII10"/>
      <c r="EIJ10"/>
      <c r="EIK10"/>
      <c r="EIL10"/>
      <c r="EIM10"/>
      <c r="EIN10"/>
      <c r="EIO10"/>
      <c r="EIP10"/>
      <c r="EIQ10"/>
      <c r="EIR10"/>
      <c r="EIS10"/>
      <c r="EIT10"/>
      <c r="EIU10"/>
      <c r="EIV10"/>
      <c r="EIW10"/>
      <c r="EIX10"/>
      <c r="EIY10"/>
      <c r="EIZ10"/>
      <c r="EJA10"/>
      <c r="EJB10"/>
      <c r="EJC10"/>
      <c r="EJD10"/>
      <c r="EJE10"/>
      <c r="EJF10"/>
      <c r="EJG10"/>
      <c r="EJH10"/>
      <c r="EJI10"/>
      <c r="EJJ10"/>
      <c r="EJK10"/>
      <c r="EJL10"/>
      <c r="EJM10"/>
      <c r="EJN10"/>
      <c r="EJO10"/>
      <c r="EJP10"/>
      <c r="EJQ10"/>
      <c r="EJR10"/>
      <c r="EJS10"/>
      <c r="EJT10"/>
      <c r="EJU10"/>
      <c r="EJV10"/>
      <c r="EJW10"/>
      <c r="EJX10"/>
      <c r="EJY10"/>
      <c r="EJZ10"/>
      <c r="EKA10"/>
      <c r="EKB10"/>
      <c r="EKC10"/>
      <c r="EKD10"/>
      <c r="EKE10"/>
      <c r="EKF10"/>
      <c r="EKG10"/>
      <c r="EKH10"/>
      <c r="EKI10"/>
      <c r="EKJ10"/>
      <c r="EKK10"/>
      <c r="EKL10"/>
      <c r="EKM10"/>
      <c r="EKN10"/>
      <c r="EKO10"/>
      <c r="EKP10"/>
      <c r="EKQ10"/>
      <c r="EKR10"/>
      <c r="EKS10"/>
      <c r="EKT10"/>
      <c r="EKU10"/>
      <c r="EKV10"/>
      <c r="EKW10"/>
      <c r="EKX10"/>
      <c r="EKY10"/>
      <c r="EKZ10"/>
      <c r="ELA10"/>
      <c r="ELB10"/>
      <c r="ELC10"/>
      <c r="ELD10"/>
      <c r="ELE10"/>
      <c r="ELF10"/>
      <c r="ELG10"/>
      <c r="ELH10"/>
      <c r="ELI10"/>
      <c r="ELJ10"/>
      <c r="ELK10"/>
      <c r="ELL10"/>
      <c r="ELM10"/>
      <c r="ELN10"/>
      <c r="ELO10"/>
      <c r="ELP10"/>
      <c r="ELQ10"/>
      <c r="ELR10"/>
      <c r="ELS10"/>
      <c r="ELT10"/>
      <c r="ELU10"/>
      <c r="ELV10"/>
      <c r="ELW10"/>
      <c r="ELX10"/>
      <c r="ELY10"/>
      <c r="ELZ10"/>
      <c r="EMA10"/>
      <c r="EMB10"/>
      <c r="EMC10"/>
      <c r="EMD10"/>
      <c r="EME10"/>
      <c r="EMF10"/>
      <c r="EMG10"/>
      <c r="EMH10"/>
      <c r="EMI10"/>
      <c r="EMJ10"/>
      <c r="EMK10"/>
      <c r="EML10"/>
      <c r="EMM10"/>
      <c r="EMN10"/>
      <c r="EMO10"/>
      <c r="EMP10"/>
      <c r="EMQ10"/>
      <c r="EMR10"/>
      <c r="EMS10"/>
      <c r="EMT10"/>
      <c r="EMU10"/>
      <c r="EMV10"/>
      <c r="EMW10"/>
      <c r="EMX10"/>
      <c r="EMY10"/>
      <c r="EMZ10"/>
      <c r="ENA10"/>
      <c r="ENB10"/>
      <c r="ENC10"/>
      <c r="END10"/>
      <c r="ENE10"/>
      <c r="ENF10"/>
      <c r="ENG10"/>
      <c r="ENH10"/>
      <c r="ENI10"/>
      <c r="ENJ10"/>
      <c r="ENK10"/>
      <c r="ENL10"/>
      <c r="ENM10"/>
      <c r="ENN10"/>
      <c r="ENO10"/>
      <c r="ENP10"/>
      <c r="ENQ10"/>
      <c r="ENR10"/>
      <c r="ENS10"/>
      <c r="ENT10"/>
      <c r="ENU10"/>
      <c r="ENV10"/>
      <c r="ENW10"/>
      <c r="ENX10"/>
      <c r="ENY10"/>
      <c r="ENZ10"/>
      <c r="EOA10"/>
      <c r="EOB10"/>
      <c r="EOC10"/>
      <c r="EOD10"/>
      <c r="EOE10"/>
      <c r="EOF10"/>
      <c r="EOG10"/>
      <c r="EOH10"/>
      <c r="EOI10"/>
      <c r="EOJ10"/>
      <c r="EOK10"/>
      <c r="EOL10"/>
      <c r="EOM10"/>
      <c r="EON10"/>
      <c r="EOO10"/>
      <c r="EOP10"/>
      <c r="EOQ10"/>
      <c r="EOR10"/>
      <c r="EOS10"/>
      <c r="EOT10"/>
      <c r="EOU10"/>
      <c r="EOV10"/>
      <c r="EOW10"/>
      <c r="EOX10"/>
      <c r="EOY10"/>
      <c r="EOZ10"/>
      <c r="EPA10"/>
      <c r="EPB10"/>
      <c r="EPC10"/>
      <c r="EPD10"/>
      <c r="EPE10"/>
      <c r="EPF10"/>
      <c r="EPG10"/>
      <c r="EPH10"/>
      <c r="EPI10"/>
      <c r="EPJ10"/>
      <c r="EPK10"/>
      <c r="EPL10"/>
      <c r="EPM10"/>
      <c r="EPN10"/>
      <c r="EPO10"/>
      <c r="EPP10"/>
      <c r="EPQ10"/>
      <c r="EPR10"/>
      <c r="EPS10"/>
      <c r="EPT10"/>
      <c r="EPU10"/>
      <c r="EPV10"/>
      <c r="EPW10"/>
      <c r="EPX10"/>
      <c r="EPY10"/>
      <c r="EPZ10"/>
      <c r="EQA10"/>
      <c r="EQB10"/>
      <c r="EQC10"/>
      <c r="EQD10"/>
      <c r="EQE10"/>
      <c r="EQF10"/>
      <c r="EQG10"/>
      <c r="EQH10"/>
      <c r="EQI10"/>
      <c r="EQJ10"/>
      <c r="EQK10"/>
      <c r="EQL10"/>
      <c r="EQM10"/>
      <c r="EQN10"/>
      <c r="EQO10"/>
      <c r="EQP10"/>
      <c r="EQQ10"/>
      <c r="EQR10"/>
      <c r="EQS10"/>
      <c r="EQT10"/>
      <c r="EQU10"/>
      <c r="EQV10"/>
      <c r="EQW10"/>
      <c r="EQX10"/>
      <c r="EQY10"/>
      <c r="EQZ10"/>
      <c r="ERA10"/>
      <c r="ERB10"/>
      <c r="ERC10"/>
      <c r="ERD10"/>
      <c r="ERE10"/>
      <c r="ERF10"/>
      <c r="ERG10"/>
      <c r="ERH10"/>
      <c r="ERI10"/>
      <c r="ERJ10"/>
      <c r="ERK10"/>
      <c r="ERL10"/>
      <c r="ERM10"/>
      <c r="ERN10"/>
      <c r="ERO10"/>
      <c r="ERP10"/>
      <c r="ERQ10"/>
      <c r="ERR10"/>
      <c r="ERS10"/>
      <c r="ERT10"/>
      <c r="ERU10"/>
      <c r="ERV10"/>
      <c r="ERW10"/>
      <c r="ERX10"/>
      <c r="ERY10"/>
      <c r="ERZ10"/>
      <c r="ESA10"/>
      <c r="ESB10"/>
      <c r="ESC10"/>
      <c r="ESD10"/>
      <c r="ESE10"/>
      <c r="ESF10"/>
      <c r="ESG10"/>
      <c r="ESH10"/>
      <c r="ESI10"/>
      <c r="ESJ10"/>
      <c r="ESK10"/>
      <c r="ESL10"/>
      <c r="ESM10"/>
      <c r="ESN10"/>
      <c r="ESO10"/>
      <c r="ESP10"/>
      <c r="ESQ10"/>
      <c r="ESR10"/>
      <c r="ESS10"/>
      <c r="EST10"/>
      <c r="ESU10"/>
      <c r="ESV10"/>
      <c r="ESW10"/>
      <c r="ESX10"/>
      <c r="ESY10"/>
      <c r="ESZ10"/>
      <c r="ETA10"/>
      <c r="ETB10"/>
      <c r="ETC10"/>
      <c r="ETD10"/>
      <c r="ETE10"/>
      <c r="ETF10"/>
      <c r="ETG10"/>
      <c r="ETH10"/>
      <c r="ETI10"/>
      <c r="ETJ10"/>
      <c r="ETK10"/>
      <c r="ETL10"/>
      <c r="ETM10"/>
      <c r="ETN10"/>
      <c r="ETO10"/>
      <c r="ETP10"/>
      <c r="ETQ10"/>
      <c r="ETR10"/>
      <c r="ETS10"/>
      <c r="ETT10"/>
      <c r="ETU10"/>
      <c r="ETV10"/>
      <c r="ETW10"/>
      <c r="ETX10"/>
      <c r="ETY10"/>
      <c r="ETZ10"/>
      <c r="EUA10"/>
      <c r="EUB10"/>
      <c r="EUC10"/>
      <c r="EUD10"/>
      <c r="EUE10"/>
      <c r="EUF10"/>
      <c r="EUG10"/>
      <c r="EUH10"/>
      <c r="EUI10"/>
      <c r="EUJ10"/>
      <c r="EUK10"/>
      <c r="EUL10"/>
      <c r="EUM10"/>
      <c r="EUN10"/>
      <c r="EUO10"/>
      <c r="EUP10"/>
      <c r="EUQ10"/>
      <c r="EUR10"/>
      <c r="EUS10"/>
      <c r="EUT10"/>
      <c r="EUU10"/>
      <c r="EUV10"/>
      <c r="EUW10"/>
      <c r="EUX10"/>
      <c r="EUY10"/>
      <c r="EUZ10"/>
      <c r="EVA10"/>
      <c r="EVB10"/>
      <c r="EVC10"/>
      <c r="EVD10"/>
      <c r="EVE10"/>
      <c r="EVF10"/>
      <c r="EVG10"/>
      <c r="EVH10"/>
      <c r="EVI10"/>
      <c r="EVJ10"/>
      <c r="EVK10"/>
      <c r="EVL10"/>
      <c r="EVM10"/>
      <c r="EVN10"/>
      <c r="EVO10"/>
      <c r="EVP10"/>
      <c r="EVQ10"/>
      <c r="EVR10"/>
      <c r="EVS10"/>
      <c r="EVT10"/>
      <c r="EVU10"/>
      <c r="EVV10"/>
      <c r="EVW10"/>
      <c r="EVX10"/>
      <c r="EVY10"/>
      <c r="EVZ10"/>
      <c r="EWA10"/>
      <c r="EWB10"/>
      <c r="EWC10"/>
      <c r="EWD10"/>
      <c r="EWE10"/>
      <c r="EWF10"/>
      <c r="EWG10"/>
      <c r="EWH10"/>
      <c r="EWI10"/>
      <c r="EWJ10"/>
      <c r="EWK10"/>
      <c r="EWL10"/>
      <c r="EWM10"/>
      <c r="EWN10"/>
      <c r="EWO10"/>
      <c r="EWP10"/>
      <c r="EWQ10"/>
      <c r="EWR10"/>
      <c r="EWS10"/>
      <c r="EWT10"/>
      <c r="EWU10"/>
      <c r="EWV10"/>
      <c r="EWW10"/>
      <c r="EWX10"/>
      <c r="EWY10"/>
      <c r="EWZ10"/>
      <c r="EXA10"/>
      <c r="EXB10"/>
      <c r="EXC10"/>
      <c r="EXD10"/>
      <c r="EXE10"/>
      <c r="EXF10"/>
      <c r="EXG10"/>
      <c r="EXH10"/>
      <c r="EXI10"/>
      <c r="EXJ10"/>
      <c r="EXK10"/>
      <c r="EXL10"/>
      <c r="EXM10"/>
      <c r="EXN10"/>
      <c r="EXO10"/>
      <c r="EXP10"/>
      <c r="EXQ10"/>
      <c r="EXR10"/>
      <c r="EXS10"/>
      <c r="EXT10"/>
      <c r="EXU10"/>
      <c r="EXV10"/>
      <c r="EXW10"/>
      <c r="EXX10"/>
      <c r="EXY10"/>
      <c r="EXZ10"/>
      <c r="EYA10"/>
      <c r="EYB10"/>
      <c r="EYC10"/>
      <c r="EYD10"/>
      <c r="EYE10"/>
      <c r="EYF10"/>
      <c r="EYG10"/>
      <c r="EYH10"/>
      <c r="EYI10"/>
      <c r="EYJ10"/>
      <c r="EYK10"/>
      <c r="EYL10"/>
      <c r="EYM10"/>
      <c r="EYN10"/>
      <c r="EYO10"/>
      <c r="EYP10"/>
      <c r="EYQ10"/>
      <c r="EYR10"/>
      <c r="EYS10"/>
      <c r="EYT10"/>
      <c r="EYU10"/>
      <c r="EYV10"/>
      <c r="EYW10"/>
      <c r="EYX10"/>
      <c r="EYY10"/>
      <c r="EYZ10"/>
      <c r="EZA10"/>
      <c r="EZB10"/>
      <c r="EZC10"/>
      <c r="EZD10"/>
      <c r="EZE10"/>
      <c r="EZF10"/>
      <c r="EZG10"/>
      <c r="EZH10"/>
      <c r="EZI10"/>
      <c r="EZJ10"/>
      <c r="EZK10"/>
      <c r="EZL10"/>
      <c r="EZM10"/>
      <c r="EZN10"/>
      <c r="EZO10"/>
      <c r="EZP10"/>
      <c r="EZQ10"/>
      <c r="EZR10"/>
      <c r="EZS10"/>
      <c r="EZT10"/>
      <c r="EZU10"/>
      <c r="EZV10"/>
      <c r="EZW10"/>
      <c r="EZX10"/>
      <c r="EZY10"/>
      <c r="EZZ10"/>
      <c r="FAA10"/>
      <c r="FAB10"/>
      <c r="FAC10"/>
      <c r="FAD10"/>
      <c r="FAE10"/>
      <c r="FAF10"/>
      <c r="FAG10"/>
      <c r="FAH10"/>
      <c r="FAI10"/>
      <c r="FAJ10"/>
      <c r="FAK10"/>
      <c r="FAL10"/>
      <c r="FAM10"/>
      <c r="FAN10"/>
      <c r="FAO10"/>
      <c r="FAP10"/>
      <c r="FAQ10"/>
      <c r="FAR10"/>
      <c r="FAS10"/>
      <c r="FAT10"/>
      <c r="FAU10"/>
      <c r="FAV10"/>
      <c r="FAW10"/>
      <c r="FAX10"/>
      <c r="FAY10"/>
      <c r="FAZ10"/>
      <c r="FBA10"/>
      <c r="FBB10"/>
      <c r="FBC10"/>
      <c r="FBD10"/>
      <c r="FBE10"/>
      <c r="FBF10"/>
      <c r="FBG10"/>
      <c r="FBH10"/>
      <c r="FBI10"/>
      <c r="FBJ10"/>
      <c r="FBK10"/>
      <c r="FBL10"/>
      <c r="FBM10"/>
      <c r="FBN10"/>
      <c r="FBO10"/>
      <c r="FBP10"/>
      <c r="FBQ10"/>
      <c r="FBR10"/>
      <c r="FBS10"/>
      <c r="FBT10"/>
      <c r="FBU10"/>
      <c r="FBV10"/>
      <c r="FBW10"/>
      <c r="FBX10"/>
      <c r="FBY10"/>
      <c r="FBZ10"/>
      <c r="FCA10"/>
      <c r="FCB10"/>
      <c r="FCC10"/>
      <c r="FCD10"/>
      <c r="FCE10"/>
      <c r="FCF10"/>
      <c r="FCG10"/>
      <c r="FCH10"/>
      <c r="FCI10"/>
      <c r="FCJ10"/>
      <c r="FCK10"/>
      <c r="FCL10"/>
      <c r="FCM10"/>
      <c r="FCN10"/>
      <c r="FCO10"/>
      <c r="FCP10"/>
      <c r="FCQ10"/>
      <c r="FCR10"/>
      <c r="FCS10"/>
      <c r="FCT10"/>
      <c r="FCU10"/>
      <c r="FCV10"/>
      <c r="FCW10"/>
      <c r="FCX10"/>
      <c r="FCY10"/>
      <c r="FCZ10"/>
      <c r="FDA10"/>
      <c r="FDB10"/>
      <c r="FDC10"/>
      <c r="FDD10"/>
      <c r="FDE10"/>
      <c r="FDF10"/>
      <c r="FDG10"/>
      <c r="FDH10"/>
      <c r="FDI10"/>
      <c r="FDJ10"/>
      <c r="FDK10"/>
      <c r="FDL10"/>
      <c r="FDM10"/>
      <c r="FDN10"/>
      <c r="FDO10"/>
      <c r="FDP10"/>
      <c r="FDQ10"/>
      <c r="FDR10"/>
      <c r="FDS10"/>
      <c r="FDT10"/>
      <c r="FDU10"/>
      <c r="FDV10"/>
      <c r="FDW10"/>
      <c r="FDX10"/>
      <c r="FDY10"/>
      <c r="FDZ10"/>
      <c r="FEA10"/>
      <c r="FEB10"/>
      <c r="FEC10"/>
      <c r="FED10"/>
      <c r="FEE10"/>
      <c r="FEF10"/>
      <c r="FEG10"/>
      <c r="FEH10"/>
      <c r="FEI10"/>
      <c r="FEJ10"/>
      <c r="FEK10"/>
      <c r="FEL10"/>
      <c r="FEM10"/>
      <c r="FEN10"/>
      <c r="FEO10"/>
      <c r="FEP10"/>
      <c r="FEQ10"/>
      <c r="FER10"/>
      <c r="FES10"/>
      <c r="FET10"/>
      <c r="FEU10"/>
      <c r="FEV10"/>
      <c r="FEW10"/>
      <c r="FEX10"/>
      <c r="FEY10"/>
      <c r="FEZ10"/>
      <c r="FFA10"/>
      <c r="FFB10"/>
      <c r="FFC10"/>
      <c r="FFD10"/>
      <c r="FFE10"/>
      <c r="FFF10"/>
      <c r="FFG10"/>
      <c r="FFH10"/>
      <c r="FFI10"/>
      <c r="FFJ10"/>
      <c r="FFK10"/>
      <c r="FFL10"/>
      <c r="FFM10"/>
      <c r="FFN10"/>
      <c r="FFO10"/>
      <c r="FFP10"/>
      <c r="FFQ10"/>
      <c r="FFR10"/>
      <c r="FFS10"/>
      <c r="FFT10"/>
      <c r="FFU10"/>
      <c r="FFV10"/>
      <c r="FFW10"/>
      <c r="FFX10"/>
      <c r="FFY10"/>
      <c r="FFZ10"/>
      <c r="FGA10"/>
      <c r="FGB10"/>
      <c r="FGC10"/>
      <c r="FGD10"/>
      <c r="FGE10"/>
      <c r="FGF10"/>
      <c r="FGG10"/>
      <c r="FGH10"/>
      <c r="FGI10"/>
      <c r="FGJ10"/>
      <c r="FGK10"/>
      <c r="FGL10"/>
      <c r="FGM10"/>
      <c r="FGN10"/>
      <c r="FGO10"/>
      <c r="FGP10"/>
      <c r="FGQ10"/>
      <c r="FGR10"/>
      <c r="FGS10"/>
      <c r="FGT10"/>
      <c r="FGU10"/>
      <c r="FGV10"/>
      <c r="FGW10"/>
      <c r="FGX10"/>
      <c r="FGY10"/>
      <c r="FGZ10"/>
      <c r="FHA10"/>
      <c r="FHB10"/>
      <c r="FHC10"/>
      <c r="FHD10"/>
      <c r="FHE10"/>
      <c r="FHF10"/>
      <c r="FHG10"/>
      <c r="FHH10"/>
      <c r="FHI10"/>
      <c r="FHJ10"/>
      <c r="FHK10"/>
      <c r="FHL10"/>
      <c r="FHM10"/>
      <c r="FHN10"/>
      <c r="FHO10"/>
      <c r="FHP10"/>
      <c r="FHQ10"/>
      <c r="FHR10"/>
      <c r="FHS10"/>
      <c r="FHT10"/>
      <c r="FHU10"/>
      <c r="FHV10"/>
      <c r="FHW10"/>
      <c r="FHX10"/>
      <c r="FHY10"/>
      <c r="FHZ10"/>
      <c r="FIA10"/>
      <c r="FIB10"/>
      <c r="FIC10"/>
      <c r="FID10"/>
      <c r="FIE10"/>
      <c r="FIF10"/>
      <c r="FIG10"/>
      <c r="FIH10"/>
      <c r="FII10"/>
      <c r="FIJ10"/>
      <c r="FIK10"/>
      <c r="FIL10"/>
      <c r="FIM10"/>
      <c r="FIN10"/>
      <c r="FIO10"/>
      <c r="FIP10"/>
      <c r="FIQ10"/>
      <c r="FIR10"/>
      <c r="FIS10"/>
      <c r="FIT10"/>
      <c r="FIU10"/>
      <c r="FIV10"/>
      <c r="FIW10"/>
      <c r="FIX10"/>
      <c r="FIY10"/>
      <c r="FIZ10"/>
      <c r="FJA10"/>
      <c r="FJB10"/>
      <c r="FJC10"/>
      <c r="FJD10"/>
      <c r="FJE10"/>
      <c r="FJF10"/>
      <c r="FJG10"/>
      <c r="FJH10"/>
      <c r="FJI10"/>
      <c r="FJJ10"/>
      <c r="FJK10"/>
      <c r="FJL10"/>
      <c r="FJM10"/>
      <c r="FJN10"/>
      <c r="FJO10"/>
      <c r="FJP10"/>
      <c r="FJQ10"/>
      <c r="FJR10"/>
      <c r="FJS10"/>
      <c r="FJT10"/>
      <c r="FJU10"/>
      <c r="FJV10"/>
      <c r="FJW10"/>
      <c r="FJX10"/>
      <c r="FJY10"/>
      <c r="FJZ10"/>
      <c r="FKA10"/>
      <c r="FKB10"/>
      <c r="FKC10"/>
      <c r="FKD10"/>
      <c r="FKE10"/>
      <c r="FKF10"/>
      <c r="FKG10"/>
      <c r="FKH10"/>
      <c r="FKI10"/>
      <c r="FKJ10"/>
      <c r="FKK10"/>
      <c r="FKL10"/>
      <c r="FKM10"/>
      <c r="FKN10"/>
      <c r="FKO10"/>
      <c r="FKP10"/>
      <c r="FKQ10"/>
      <c r="FKR10"/>
      <c r="FKS10"/>
      <c r="FKT10"/>
      <c r="FKU10"/>
      <c r="FKV10"/>
      <c r="FKW10"/>
      <c r="FKX10"/>
      <c r="FKY10"/>
      <c r="FKZ10"/>
      <c r="FLA10"/>
      <c r="FLB10"/>
      <c r="FLC10"/>
      <c r="FLD10"/>
      <c r="FLE10"/>
      <c r="FLF10"/>
      <c r="FLG10"/>
      <c r="FLH10"/>
      <c r="FLI10"/>
      <c r="FLJ10"/>
      <c r="FLK10"/>
      <c r="FLL10"/>
      <c r="FLM10"/>
      <c r="FLN10"/>
      <c r="FLO10"/>
      <c r="FLP10"/>
      <c r="FLQ10"/>
      <c r="FLR10"/>
      <c r="FLS10"/>
      <c r="FLT10"/>
      <c r="FLU10"/>
      <c r="FLV10"/>
      <c r="FLW10"/>
      <c r="FLX10"/>
      <c r="FLY10"/>
      <c r="FLZ10"/>
      <c r="FMA10"/>
      <c r="FMB10"/>
      <c r="FMC10"/>
      <c r="FMD10"/>
      <c r="FME10"/>
      <c r="FMF10"/>
      <c r="FMG10"/>
      <c r="FMH10"/>
      <c r="FMI10"/>
      <c r="FMJ10"/>
      <c r="FMK10"/>
      <c r="FML10"/>
      <c r="FMM10"/>
      <c r="FMN10"/>
      <c r="FMO10"/>
      <c r="FMP10"/>
      <c r="FMQ10"/>
      <c r="FMR10"/>
      <c r="FMS10"/>
      <c r="FMT10"/>
      <c r="FMU10"/>
      <c r="FMV10"/>
      <c r="FMW10"/>
      <c r="FMX10"/>
      <c r="FMY10"/>
      <c r="FMZ10"/>
      <c r="FNA10"/>
      <c r="FNB10"/>
      <c r="FNC10"/>
      <c r="FND10"/>
      <c r="FNE10"/>
      <c r="FNF10"/>
      <c r="FNG10"/>
      <c r="FNH10"/>
      <c r="FNI10"/>
      <c r="FNJ10"/>
      <c r="FNK10"/>
      <c r="FNL10"/>
      <c r="FNM10"/>
      <c r="FNN10"/>
      <c r="FNO10"/>
      <c r="FNP10"/>
      <c r="FNQ10"/>
      <c r="FNR10"/>
      <c r="FNS10"/>
      <c r="FNT10"/>
      <c r="FNU10"/>
      <c r="FNV10"/>
      <c r="FNW10"/>
      <c r="FNX10"/>
      <c r="FNY10"/>
      <c r="FNZ10"/>
      <c r="FOA10"/>
      <c r="FOB10"/>
      <c r="FOC10"/>
      <c r="FOD10"/>
      <c r="FOE10"/>
      <c r="FOF10"/>
      <c r="FOG10"/>
      <c r="FOH10"/>
      <c r="FOI10"/>
      <c r="FOJ10"/>
      <c r="FOK10"/>
      <c r="FOL10"/>
      <c r="FOM10"/>
      <c r="FON10"/>
      <c r="FOO10"/>
      <c r="FOP10"/>
      <c r="FOQ10"/>
      <c r="FOR10"/>
      <c r="FOS10"/>
      <c r="FOT10"/>
      <c r="FOU10"/>
      <c r="FOV10"/>
      <c r="FOW10"/>
      <c r="FOX10"/>
      <c r="FOY10"/>
      <c r="FOZ10"/>
      <c r="FPA10"/>
      <c r="FPB10"/>
      <c r="FPC10"/>
      <c r="FPD10"/>
      <c r="FPE10"/>
      <c r="FPF10"/>
      <c r="FPG10"/>
      <c r="FPH10"/>
      <c r="FPI10"/>
      <c r="FPJ10"/>
      <c r="FPK10"/>
      <c r="FPL10"/>
      <c r="FPM10"/>
      <c r="FPN10"/>
      <c r="FPO10"/>
      <c r="FPP10"/>
      <c r="FPQ10"/>
      <c r="FPR10"/>
      <c r="FPS10"/>
      <c r="FPT10"/>
      <c r="FPU10"/>
      <c r="FPV10"/>
      <c r="FPW10"/>
      <c r="FPX10"/>
      <c r="FPY10"/>
      <c r="FPZ10"/>
      <c r="FQA10"/>
      <c r="FQB10"/>
      <c r="FQC10"/>
      <c r="FQD10"/>
      <c r="FQE10"/>
      <c r="FQF10"/>
      <c r="FQG10"/>
      <c r="FQH10"/>
      <c r="FQI10"/>
      <c r="FQJ10"/>
      <c r="FQK10"/>
      <c r="FQL10"/>
      <c r="FQM10"/>
      <c r="FQN10"/>
      <c r="FQO10"/>
      <c r="FQP10"/>
      <c r="FQQ10"/>
      <c r="FQR10"/>
      <c r="FQS10"/>
      <c r="FQT10"/>
      <c r="FQU10"/>
      <c r="FQV10"/>
      <c r="FQW10"/>
      <c r="FQX10"/>
      <c r="FQY10"/>
      <c r="FQZ10"/>
      <c r="FRA10"/>
      <c r="FRB10"/>
      <c r="FRC10"/>
      <c r="FRD10"/>
      <c r="FRE10"/>
      <c r="FRF10"/>
      <c r="FRG10"/>
      <c r="FRH10"/>
      <c r="FRI10"/>
      <c r="FRJ10"/>
      <c r="FRK10"/>
      <c r="FRL10"/>
      <c r="FRM10"/>
      <c r="FRN10"/>
      <c r="FRO10"/>
      <c r="FRP10"/>
      <c r="FRQ10"/>
      <c r="FRR10"/>
      <c r="FRS10"/>
      <c r="FRT10"/>
      <c r="FRU10"/>
      <c r="FRV10"/>
      <c r="FRW10"/>
      <c r="FRX10"/>
      <c r="FRY10"/>
      <c r="FRZ10"/>
      <c r="FSA10"/>
      <c r="FSB10"/>
      <c r="FSC10"/>
      <c r="FSD10"/>
      <c r="FSE10"/>
      <c r="FSF10"/>
      <c r="FSG10"/>
      <c r="FSH10"/>
      <c r="FSI10"/>
      <c r="FSJ10"/>
      <c r="FSK10"/>
      <c r="FSL10"/>
      <c r="FSM10"/>
      <c r="FSN10"/>
      <c r="FSO10"/>
      <c r="FSP10"/>
      <c r="FSQ10"/>
      <c r="FSR10"/>
      <c r="FSS10"/>
      <c r="FST10"/>
      <c r="FSU10"/>
      <c r="FSV10"/>
      <c r="FSW10"/>
      <c r="FSX10"/>
      <c r="FSY10"/>
      <c r="FSZ10"/>
      <c r="FTA10"/>
      <c r="FTB10"/>
      <c r="FTC10"/>
      <c r="FTD10"/>
      <c r="FTE10"/>
      <c r="FTF10"/>
      <c r="FTG10"/>
      <c r="FTH10"/>
      <c r="FTI10"/>
      <c r="FTJ10"/>
      <c r="FTK10"/>
      <c r="FTL10"/>
      <c r="FTM10"/>
      <c r="FTN10"/>
      <c r="FTO10"/>
      <c r="FTP10"/>
      <c r="FTQ10"/>
      <c r="FTR10"/>
      <c r="FTS10"/>
      <c r="FTT10"/>
      <c r="FTU10"/>
      <c r="FTV10"/>
      <c r="FTW10"/>
      <c r="FTX10"/>
      <c r="FTY10"/>
      <c r="FTZ10"/>
      <c r="FUA10"/>
      <c r="FUB10"/>
      <c r="FUC10"/>
      <c r="FUD10"/>
      <c r="FUE10"/>
      <c r="FUF10"/>
      <c r="FUG10"/>
      <c r="FUH10"/>
      <c r="FUI10"/>
      <c r="FUJ10"/>
      <c r="FUK10"/>
      <c r="FUL10"/>
      <c r="FUM10"/>
      <c r="FUN10"/>
      <c r="FUO10"/>
      <c r="FUP10"/>
      <c r="FUQ10"/>
      <c r="FUR10"/>
      <c r="FUS10"/>
      <c r="FUT10"/>
      <c r="FUU10"/>
      <c r="FUV10"/>
      <c r="FUW10"/>
      <c r="FUX10"/>
      <c r="FUY10"/>
      <c r="FUZ10"/>
      <c r="FVA10"/>
      <c r="FVB10"/>
      <c r="FVC10"/>
      <c r="FVD10"/>
      <c r="FVE10"/>
      <c r="FVF10"/>
      <c r="FVG10"/>
      <c r="FVH10"/>
      <c r="FVI10"/>
      <c r="FVJ10"/>
      <c r="FVK10"/>
      <c r="FVL10"/>
      <c r="FVM10"/>
      <c r="FVN10"/>
      <c r="FVO10"/>
      <c r="FVP10"/>
      <c r="FVQ10"/>
      <c r="FVR10"/>
      <c r="FVS10"/>
      <c r="FVT10"/>
      <c r="FVU10"/>
      <c r="FVV10"/>
      <c r="FVW10"/>
      <c r="FVX10"/>
      <c r="FVY10"/>
      <c r="FVZ10"/>
      <c r="FWA10"/>
      <c r="FWB10"/>
      <c r="FWC10"/>
      <c r="FWD10"/>
      <c r="FWE10"/>
      <c r="FWF10"/>
      <c r="FWG10"/>
      <c r="FWH10"/>
      <c r="FWI10"/>
      <c r="FWJ10"/>
      <c r="FWK10"/>
      <c r="FWL10"/>
      <c r="FWM10"/>
      <c r="FWN10"/>
      <c r="FWO10"/>
      <c r="FWP10"/>
      <c r="FWQ10"/>
      <c r="FWR10"/>
      <c r="FWS10"/>
      <c r="FWT10"/>
      <c r="FWU10"/>
      <c r="FWV10"/>
      <c r="FWW10"/>
      <c r="FWX10"/>
      <c r="FWY10"/>
      <c r="FWZ10"/>
      <c r="FXA10"/>
      <c r="FXB10"/>
      <c r="FXC10"/>
      <c r="FXD10"/>
      <c r="FXE10"/>
      <c r="FXF10"/>
      <c r="FXG10"/>
      <c r="FXH10"/>
      <c r="FXI10"/>
      <c r="FXJ10"/>
      <c r="FXK10"/>
      <c r="FXL10"/>
      <c r="FXM10"/>
      <c r="FXN10"/>
      <c r="FXO10"/>
      <c r="FXP10"/>
      <c r="FXQ10"/>
      <c r="FXR10"/>
      <c r="FXS10"/>
      <c r="FXT10"/>
      <c r="FXU10"/>
      <c r="FXV10"/>
      <c r="FXW10"/>
      <c r="FXX10"/>
      <c r="FXY10"/>
      <c r="FXZ10"/>
      <c r="FYA10"/>
      <c r="FYB10"/>
      <c r="FYC10"/>
      <c r="FYD10"/>
      <c r="FYE10"/>
      <c r="FYF10"/>
      <c r="FYG10"/>
      <c r="FYH10"/>
      <c r="FYI10"/>
      <c r="FYJ10"/>
      <c r="FYK10"/>
      <c r="FYL10"/>
      <c r="FYM10"/>
      <c r="FYN10"/>
      <c r="FYO10"/>
      <c r="FYP10"/>
      <c r="FYQ10"/>
      <c r="FYR10"/>
      <c r="FYS10"/>
      <c r="FYT10"/>
      <c r="FYU10"/>
      <c r="FYV10"/>
      <c r="FYW10"/>
      <c r="FYX10"/>
      <c r="FYY10"/>
      <c r="FYZ10"/>
      <c r="FZA10"/>
      <c r="FZB10"/>
      <c r="FZC10"/>
      <c r="FZD10"/>
      <c r="FZE10"/>
      <c r="FZF10"/>
      <c r="FZG10"/>
      <c r="FZH10"/>
      <c r="FZI10"/>
      <c r="FZJ10"/>
      <c r="FZK10"/>
      <c r="FZL10"/>
      <c r="FZM10"/>
      <c r="FZN10"/>
      <c r="FZO10"/>
      <c r="FZP10"/>
      <c r="FZQ10"/>
      <c r="FZR10"/>
      <c r="FZS10"/>
      <c r="FZT10"/>
      <c r="FZU10"/>
      <c r="FZV10"/>
      <c r="FZW10"/>
      <c r="FZX10"/>
      <c r="FZY10"/>
      <c r="FZZ10"/>
      <c r="GAA10"/>
      <c r="GAB10"/>
      <c r="GAC10"/>
      <c r="GAD10"/>
      <c r="GAE10"/>
      <c r="GAF10"/>
      <c r="GAG10"/>
      <c r="GAH10"/>
      <c r="GAI10"/>
      <c r="GAJ10"/>
      <c r="GAK10"/>
      <c r="GAL10"/>
      <c r="GAM10"/>
      <c r="GAN10"/>
      <c r="GAO10"/>
      <c r="GAP10"/>
      <c r="GAQ10"/>
      <c r="GAR10"/>
      <c r="GAS10"/>
      <c r="GAT10"/>
      <c r="GAU10"/>
      <c r="GAV10"/>
      <c r="GAW10"/>
      <c r="GAX10"/>
      <c r="GAY10"/>
      <c r="GAZ10"/>
      <c r="GBA10"/>
      <c r="GBB10"/>
      <c r="GBC10"/>
      <c r="GBD10"/>
      <c r="GBE10"/>
      <c r="GBF10"/>
      <c r="GBG10"/>
      <c r="GBH10"/>
      <c r="GBI10"/>
      <c r="GBJ10"/>
      <c r="GBK10"/>
      <c r="GBL10"/>
      <c r="GBM10"/>
      <c r="GBN10"/>
      <c r="GBO10"/>
      <c r="GBP10"/>
      <c r="GBQ10"/>
      <c r="GBR10"/>
      <c r="GBS10"/>
      <c r="GBT10"/>
      <c r="GBU10"/>
      <c r="GBV10"/>
      <c r="GBW10"/>
      <c r="GBX10"/>
      <c r="GBY10"/>
      <c r="GBZ10"/>
      <c r="GCA10"/>
      <c r="GCB10"/>
      <c r="GCC10"/>
      <c r="GCD10"/>
      <c r="GCE10"/>
      <c r="GCF10"/>
      <c r="GCG10"/>
      <c r="GCH10"/>
      <c r="GCI10"/>
      <c r="GCJ10"/>
      <c r="GCK10"/>
      <c r="GCL10"/>
      <c r="GCM10"/>
      <c r="GCN10"/>
      <c r="GCO10"/>
      <c r="GCP10"/>
      <c r="GCQ10"/>
      <c r="GCR10"/>
      <c r="GCS10"/>
      <c r="GCT10"/>
      <c r="GCU10"/>
      <c r="GCV10"/>
      <c r="GCW10"/>
      <c r="GCX10"/>
      <c r="GCY10"/>
      <c r="GCZ10"/>
      <c r="GDA10"/>
      <c r="GDB10"/>
      <c r="GDC10"/>
      <c r="GDD10"/>
      <c r="GDE10"/>
      <c r="GDF10"/>
      <c r="GDG10"/>
      <c r="GDH10"/>
      <c r="GDI10"/>
      <c r="GDJ10"/>
      <c r="GDK10"/>
      <c r="GDL10"/>
      <c r="GDM10"/>
      <c r="GDN10"/>
      <c r="GDO10"/>
      <c r="GDP10"/>
      <c r="GDQ10"/>
      <c r="GDR10"/>
      <c r="GDS10"/>
      <c r="GDT10"/>
      <c r="GDU10"/>
      <c r="GDV10"/>
      <c r="GDW10"/>
      <c r="GDX10"/>
      <c r="GDY10"/>
      <c r="GDZ10"/>
      <c r="GEA10"/>
      <c r="GEB10"/>
      <c r="GEC10"/>
      <c r="GED10"/>
      <c r="GEE10"/>
      <c r="GEF10"/>
      <c r="GEG10"/>
      <c r="GEH10"/>
      <c r="GEI10"/>
      <c r="GEJ10"/>
      <c r="GEK10"/>
      <c r="GEL10"/>
      <c r="GEM10"/>
      <c r="GEN10"/>
      <c r="GEO10"/>
      <c r="GEP10"/>
      <c r="GEQ10"/>
      <c r="GER10"/>
      <c r="GES10"/>
      <c r="GET10"/>
      <c r="GEU10"/>
      <c r="GEV10"/>
      <c r="GEW10"/>
      <c r="GEX10"/>
      <c r="GEY10"/>
      <c r="GEZ10"/>
      <c r="GFA10"/>
      <c r="GFB10"/>
      <c r="GFC10"/>
      <c r="GFD10"/>
      <c r="GFE10"/>
      <c r="GFF10"/>
      <c r="GFG10"/>
      <c r="GFH10"/>
      <c r="GFI10"/>
      <c r="GFJ10"/>
      <c r="GFK10"/>
      <c r="GFL10"/>
      <c r="GFM10"/>
      <c r="GFN10"/>
      <c r="GFO10"/>
      <c r="GFP10"/>
      <c r="GFQ10"/>
      <c r="GFR10"/>
      <c r="GFS10"/>
      <c r="GFT10"/>
      <c r="GFU10"/>
      <c r="GFV10"/>
      <c r="GFW10"/>
      <c r="GFX10"/>
      <c r="GFY10"/>
      <c r="GFZ10"/>
      <c r="GGA10"/>
      <c r="GGB10"/>
      <c r="GGC10"/>
      <c r="GGD10"/>
      <c r="GGE10"/>
      <c r="GGF10"/>
      <c r="GGG10"/>
      <c r="GGH10"/>
      <c r="GGI10"/>
      <c r="GGJ10"/>
      <c r="GGK10"/>
      <c r="GGL10"/>
      <c r="GGM10"/>
      <c r="GGN10"/>
      <c r="GGO10"/>
      <c r="GGP10"/>
      <c r="GGQ10"/>
      <c r="GGR10"/>
      <c r="GGS10"/>
      <c r="GGT10"/>
      <c r="GGU10"/>
      <c r="GGV10"/>
      <c r="GGW10"/>
      <c r="GGX10"/>
      <c r="GGY10"/>
      <c r="GGZ10"/>
      <c r="GHA10"/>
      <c r="GHB10"/>
      <c r="GHC10"/>
      <c r="GHD10"/>
      <c r="GHE10"/>
      <c r="GHF10"/>
      <c r="GHG10"/>
      <c r="GHH10"/>
      <c r="GHI10"/>
      <c r="GHJ10"/>
      <c r="GHK10"/>
      <c r="GHL10"/>
      <c r="GHM10"/>
      <c r="GHN10"/>
      <c r="GHO10"/>
      <c r="GHP10"/>
      <c r="GHQ10"/>
      <c r="GHR10"/>
      <c r="GHS10"/>
      <c r="GHT10"/>
      <c r="GHU10"/>
      <c r="GHV10"/>
      <c r="GHW10"/>
      <c r="GHX10"/>
      <c r="GHY10"/>
      <c r="GHZ10"/>
      <c r="GIA10"/>
      <c r="GIB10"/>
      <c r="GIC10"/>
      <c r="GID10"/>
      <c r="GIE10"/>
      <c r="GIF10"/>
      <c r="GIG10"/>
      <c r="GIH10"/>
      <c r="GII10"/>
      <c r="GIJ10"/>
      <c r="GIK10"/>
      <c r="GIL10"/>
      <c r="GIM10"/>
      <c r="GIN10"/>
      <c r="GIO10"/>
      <c r="GIP10"/>
      <c r="GIQ10"/>
      <c r="GIR10"/>
      <c r="GIS10"/>
      <c r="GIT10"/>
      <c r="GIU10"/>
      <c r="GIV10"/>
      <c r="GIW10"/>
      <c r="GIX10"/>
      <c r="GIY10"/>
      <c r="GIZ10"/>
      <c r="GJA10"/>
      <c r="GJB10"/>
      <c r="GJC10"/>
      <c r="GJD10"/>
      <c r="GJE10"/>
      <c r="GJF10"/>
      <c r="GJG10"/>
      <c r="GJH10"/>
      <c r="GJI10"/>
      <c r="GJJ10"/>
      <c r="GJK10"/>
      <c r="GJL10"/>
      <c r="GJM10"/>
      <c r="GJN10"/>
      <c r="GJO10"/>
      <c r="GJP10"/>
      <c r="GJQ10"/>
      <c r="GJR10"/>
      <c r="GJS10"/>
      <c r="GJT10"/>
      <c r="GJU10"/>
      <c r="GJV10"/>
      <c r="GJW10"/>
      <c r="GJX10"/>
      <c r="GJY10"/>
      <c r="GJZ10"/>
      <c r="GKA10"/>
      <c r="GKB10"/>
      <c r="GKC10"/>
      <c r="GKD10"/>
      <c r="GKE10"/>
      <c r="GKF10"/>
      <c r="GKG10"/>
      <c r="GKH10"/>
      <c r="GKI10"/>
      <c r="GKJ10"/>
      <c r="GKK10"/>
      <c r="GKL10"/>
      <c r="GKM10"/>
      <c r="GKN10"/>
      <c r="GKO10"/>
      <c r="GKP10"/>
      <c r="GKQ10"/>
      <c r="GKR10"/>
      <c r="GKS10"/>
      <c r="GKT10"/>
      <c r="GKU10"/>
      <c r="GKV10"/>
      <c r="GKW10"/>
      <c r="GKX10"/>
      <c r="GKY10"/>
      <c r="GKZ10"/>
      <c r="GLA10"/>
      <c r="GLB10"/>
      <c r="GLC10"/>
      <c r="GLD10"/>
      <c r="GLE10"/>
      <c r="GLF10"/>
      <c r="GLG10"/>
      <c r="GLH10"/>
      <c r="GLI10"/>
      <c r="GLJ10"/>
      <c r="GLK10"/>
      <c r="GLL10"/>
      <c r="GLM10"/>
      <c r="GLN10"/>
      <c r="GLO10"/>
      <c r="GLP10"/>
      <c r="GLQ10"/>
      <c r="GLR10"/>
      <c r="GLS10"/>
      <c r="GLT10"/>
      <c r="GLU10"/>
      <c r="GLV10"/>
      <c r="GLW10"/>
      <c r="GLX10"/>
      <c r="GLY10"/>
      <c r="GLZ10"/>
      <c r="GMA10"/>
      <c r="GMB10"/>
      <c r="GMC10"/>
      <c r="GMD10"/>
      <c r="GME10"/>
      <c r="GMF10"/>
      <c r="GMG10"/>
      <c r="GMH10"/>
      <c r="GMI10"/>
      <c r="GMJ10"/>
      <c r="GMK10"/>
      <c r="GML10"/>
      <c r="GMM10"/>
      <c r="GMN10"/>
      <c r="GMO10"/>
      <c r="GMP10"/>
      <c r="GMQ10"/>
      <c r="GMR10"/>
      <c r="GMS10"/>
      <c r="GMT10"/>
      <c r="GMU10"/>
      <c r="GMV10"/>
      <c r="GMW10"/>
      <c r="GMX10"/>
      <c r="GMY10"/>
      <c r="GMZ10"/>
      <c r="GNA10"/>
      <c r="GNB10"/>
      <c r="GNC10"/>
      <c r="GND10"/>
      <c r="GNE10"/>
      <c r="GNF10"/>
      <c r="GNG10"/>
      <c r="GNH10"/>
      <c r="GNI10"/>
      <c r="GNJ10"/>
      <c r="GNK10"/>
      <c r="GNL10"/>
      <c r="GNM10"/>
      <c r="GNN10"/>
      <c r="GNO10"/>
      <c r="GNP10"/>
      <c r="GNQ10"/>
      <c r="GNR10"/>
      <c r="GNS10"/>
      <c r="GNT10"/>
      <c r="GNU10"/>
      <c r="GNV10"/>
      <c r="GNW10"/>
      <c r="GNX10"/>
      <c r="GNY10"/>
      <c r="GNZ10"/>
      <c r="GOA10"/>
      <c r="GOB10"/>
      <c r="GOC10"/>
      <c r="GOD10"/>
      <c r="GOE10"/>
      <c r="GOF10"/>
      <c r="GOG10"/>
      <c r="GOH10"/>
      <c r="GOI10"/>
      <c r="GOJ10"/>
      <c r="GOK10"/>
      <c r="GOL10"/>
      <c r="GOM10"/>
      <c r="GON10"/>
      <c r="GOO10"/>
      <c r="GOP10"/>
      <c r="GOQ10"/>
      <c r="GOR10"/>
      <c r="GOS10"/>
      <c r="GOT10"/>
      <c r="GOU10"/>
      <c r="GOV10"/>
      <c r="GOW10"/>
      <c r="GOX10"/>
      <c r="GOY10"/>
      <c r="GOZ10"/>
      <c r="GPA10"/>
      <c r="GPB10"/>
      <c r="GPC10"/>
      <c r="GPD10"/>
      <c r="GPE10"/>
      <c r="GPF10"/>
      <c r="GPG10"/>
      <c r="GPH10"/>
      <c r="GPI10"/>
      <c r="GPJ10"/>
      <c r="GPK10"/>
      <c r="GPL10"/>
      <c r="GPM10"/>
      <c r="GPN10"/>
      <c r="GPO10"/>
      <c r="GPP10"/>
      <c r="GPQ10"/>
      <c r="GPR10"/>
      <c r="GPS10"/>
      <c r="GPT10"/>
      <c r="GPU10"/>
      <c r="GPV10"/>
      <c r="GPW10"/>
      <c r="GPX10"/>
      <c r="GPY10"/>
      <c r="GPZ10"/>
      <c r="GQA10"/>
      <c r="GQB10"/>
      <c r="GQC10"/>
      <c r="GQD10"/>
      <c r="GQE10"/>
      <c r="GQF10"/>
      <c r="GQG10"/>
      <c r="GQH10"/>
      <c r="GQI10"/>
      <c r="GQJ10"/>
      <c r="GQK10"/>
      <c r="GQL10"/>
      <c r="GQM10"/>
      <c r="GQN10"/>
      <c r="GQO10"/>
      <c r="GQP10"/>
      <c r="GQQ10"/>
      <c r="GQR10"/>
      <c r="GQS10"/>
      <c r="GQT10"/>
      <c r="GQU10"/>
      <c r="GQV10"/>
      <c r="GQW10"/>
      <c r="GQX10"/>
      <c r="GQY10"/>
      <c r="GQZ10"/>
      <c r="GRA10"/>
      <c r="GRB10"/>
      <c r="GRC10"/>
      <c r="GRD10"/>
      <c r="GRE10"/>
      <c r="GRF10"/>
      <c r="GRG10"/>
      <c r="GRH10"/>
      <c r="GRI10"/>
      <c r="GRJ10"/>
      <c r="GRK10"/>
      <c r="GRL10"/>
      <c r="GRM10"/>
      <c r="GRN10"/>
      <c r="GRO10"/>
      <c r="GRP10"/>
      <c r="GRQ10"/>
      <c r="GRR10"/>
      <c r="GRS10"/>
      <c r="GRT10"/>
      <c r="GRU10"/>
      <c r="GRV10"/>
      <c r="GRW10"/>
      <c r="GRX10"/>
      <c r="GRY10"/>
      <c r="GRZ10"/>
      <c r="GSA10"/>
      <c r="GSB10"/>
      <c r="GSC10"/>
      <c r="GSD10"/>
      <c r="GSE10"/>
      <c r="GSF10"/>
      <c r="GSG10"/>
      <c r="GSH10"/>
      <c r="GSI10"/>
      <c r="GSJ10"/>
      <c r="GSK10"/>
      <c r="GSL10"/>
      <c r="GSM10"/>
      <c r="GSN10"/>
      <c r="GSO10"/>
      <c r="GSP10"/>
      <c r="GSQ10"/>
      <c r="GSR10"/>
      <c r="GSS10"/>
      <c r="GST10"/>
      <c r="GSU10"/>
      <c r="GSV10"/>
      <c r="GSW10"/>
      <c r="GSX10"/>
      <c r="GSY10"/>
      <c r="GSZ10"/>
      <c r="GTA10"/>
      <c r="GTB10"/>
      <c r="GTC10"/>
      <c r="GTD10"/>
      <c r="GTE10"/>
      <c r="GTF10"/>
      <c r="GTG10"/>
      <c r="GTH10"/>
      <c r="GTI10"/>
      <c r="GTJ10"/>
      <c r="GTK10"/>
      <c r="GTL10"/>
      <c r="GTM10"/>
      <c r="GTN10"/>
      <c r="GTO10"/>
      <c r="GTP10"/>
      <c r="GTQ10"/>
      <c r="GTR10"/>
      <c r="GTS10"/>
      <c r="GTT10"/>
      <c r="GTU10"/>
      <c r="GTV10"/>
      <c r="GTW10"/>
      <c r="GTX10"/>
      <c r="GTY10"/>
      <c r="GTZ10"/>
      <c r="GUA10"/>
      <c r="GUB10"/>
      <c r="GUC10"/>
      <c r="GUD10"/>
      <c r="GUE10"/>
      <c r="GUF10"/>
      <c r="GUG10"/>
      <c r="GUH10"/>
      <c r="GUI10"/>
      <c r="GUJ10"/>
      <c r="GUK10"/>
      <c r="GUL10"/>
      <c r="GUM10"/>
      <c r="GUN10"/>
      <c r="GUO10"/>
      <c r="GUP10"/>
      <c r="GUQ10"/>
      <c r="GUR10"/>
      <c r="GUS10"/>
      <c r="GUT10"/>
      <c r="GUU10"/>
      <c r="GUV10"/>
      <c r="GUW10"/>
      <c r="GUX10"/>
      <c r="GUY10"/>
      <c r="GUZ10"/>
      <c r="GVA10"/>
      <c r="GVB10"/>
      <c r="GVC10"/>
      <c r="GVD10"/>
      <c r="GVE10"/>
      <c r="GVF10"/>
      <c r="GVG10"/>
      <c r="GVH10"/>
      <c r="GVI10"/>
      <c r="GVJ10"/>
      <c r="GVK10"/>
      <c r="GVL10"/>
      <c r="GVM10"/>
      <c r="GVN10"/>
      <c r="GVO10"/>
      <c r="GVP10"/>
      <c r="GVQ10"/>
      <c r="GVR10"/>
      <c r="GVS10"/>
      <c r="GVT10"/>
      <c r="GVU10"/>
      <c r="GVV10"/>
      <c r="GVW10"/>
      <c r="GVX10"/>
      <c r="GVY10"/>
      <c r="GVZ10"/>
      <c r="GWA10"/>
      <c r="GWB10"/>
      <c r="GWC10"/>
      <c r="GWD10"/>
      <c r="GWE10"/>
      <c r="GWF10"/>
      <c r="GWG10"/>
      <c r="GWH10"/>
      <c r="GWI10"/>
      <c r="GWJ10"/>
      <c r="GWK10"/>
      <c r="GWL10"/>
      <c r="GWM10"/>
      <c r="GWN10"/>
      <c r="GWO10"/>
      <c r="GWP10"/>
      <c r="GWQ10"/>
      <c r="GWR10"/>
      <c r="GWS10"/>
      <c r="GWT10"/>
      <c r="GWU10"/>
      <c r="GWV10"/>
      <c r="GWW10"/>
      <c r="GWX10"/>
      <c r="GWY10"/>
      <c r="GWZ10"/>
      <c r="GXA10"/>
      <c r="GXB10"/>
      <c r="GXC10"/>
      <c r="GXD10"/>
      <c r="GXE10"/>
      <c r="GXF10"/>
      <c r="GXG10"/>
      <c r="GXH10"/>
      <c r="GXI10"/>
      <c r="GXJ10"/>
      <c r="GXK10"/>
      <c r="GXL10"/>
      <c r="GXM10"/>
      <c r="GXN10"/>
      <c r="GXO10"/>
      <c r="GXP10"/>
      <c r="GXQ10"/>
      <c r="GXR10"/>
      <c r="GXS10"/>
      <c r="GXT10"/>
      <c r="GXU10"/>
      <c r="GXV10"/>
      <c r="GXW10"/>
      <c r="GXX10"/>
      <c r="GXY10"/>
      <c r="GXZ10"/>
      <c r="GYA10"/>
      <c r="GYB10"/>
      <c r="GYC10"/>
      <c r="GYD10"/>
      <c r="GYE10"/>
      <c r="GYF10"/>
      <c r="GYG10"/>
      <c r="GYH10"/>
      <c r="GYI10"/>
      <c r="GYJ10"/>
      <c r="GYK10"/>
      <c r="GYL10"/>
      <c r="GYM10"/>
      <c r="GYN10"/>
      <c r="GYO10"/>
      <c r="GYP10"/>
      <c r="GYQ10"/>
      <c r="GYR10"/>
      <c r="GYS10"/>
      <c r="GYT10"/>
      <c r="GYU10"/>
      <c r="GYV10"/>
      <c r="GYW10"/>
      <c r="GYX10"/>
      <c r="GYY10"/>
      <c r="GYZ10"/>
      <c r="GZA10"/>
      <c r="GZB10"/>
      <c r="GZC10"/>
      <c r="GZD10"/>
      <c r="GZE10"/>
      <c r="GZF10"/>
      <c r="GZG10"/>
      <c r="GZH10"/>
      <c r="GZI10"/>
      <c r="GZJ10"/>
      <c r="GZK10"/>
      <c r="GZL10"/>
      <c r="GZM10"/>
      <c r="GZN10"/>
      <c r="GZO10"/>
      <c r="GZP10"/>
      <c r="GZQ10"/>
      <c r="GZR10"/>
      <c r="GZS10"/>
      <c r="GZT10"/>
      <c r="GZU10"/>
      <c r="GZV10"/>
      <c r="GZW10"/>
      <c r="GZX10"/>
      <c r="GZY10"/>
      <c r="GZZ10"/>
      <c r="HAA10"/>
      <c r="HAB10"/>
      <c r="HAC10"/>
      <c r="HAD10"/>
      <c r="HAE10"/>
      <c r="HAF10"/>
      <c r="HAG10"/>
      <c r="HAH10"/>
      <c r="HAI10"/>
      <c r="HAJ10"/>
      <c r="HAK10"/>
      <c r="HAL10"/>
      <c r="HAM10"/>
      <c r="HAN10"/>
      <c r="HAO10"/>
      <c r="HAP10"/>
      <c r="HAQ10"/>
      <c r="HAR10"/>
      <c r="HAS10"/>
      <c r="HAT10"/>
      <c r="HAU10"/>
      <c r="HAV10"/>
      <c r="HAW10"/>
      <c r="HAX10"/>
      <c r="HAY10"/>
      <c r="HAZ10"/>
      <c r="HBA10"/>
      <c r="HBB10"/>
      <c r="HBC10"/>
      <c r="HBD10"/>
      <c r="HBE10"/>
      <c r="HBF10"/>
      <c r="HBG10"/>
      <c r="HBH10"/>
      <c r="HBI10"/>
      <c r="HBJ10"/>
      <c r="HBK10"/>
      <c r="HBL10"/>
      <c r="HBM10"/>
      <c r="HBN10"/>
      <c r="HBO10"/>
      <c r="HBP10"/>
      <c r="HBQ10"/>
      <c r="HBR10"/>
      <c r="HBS10"/>
      <c r="HBT10"/>
      <c r="HBU10"/>
      <c r="HBV10"/>
      <c r="HBW10"/>
      <c r="HBX10"/>
      <c r="HBY10"/>
      <c r="HBZ10"/>
      <c r="HCA10"/>
      <c r="HCB10"/>
      <c r="HCC10"/>
      <c r="HCD10"/>
      <c r="HCE10"/>
      <c r="HCF10"/>
      <c r="HCG10"/>
      <c r="HCH10"/>
      <c r="HCI10"/>
      <c r="HCJ10"/>
      <c r="HCK10"/>
      <c r="HCL10"/>
      <c r="HCM10"/>
      <c r="HCN10"/>
      <c r="HCO10"/>
      <c r="HCP10"/>
      <c r="HCQ10"/>
      <c r="HCR10"/>
      <c r="HCS10"/>
      <c r="HCT10"/>
      <c r="HCU10"/>
      <c r="HCV10"/>
      <c r="HCW10"/>
      <c r="HCX10"/>
      <c r="HCY10"/>
      <c r="HCZ10"/>
      <c r="HDA10"/>
      <c r="HDB10"/>
      <c r="HDC10"/>
      <c r="HDD10"/>
      <c r="HDE10"/>
      <c r="HDF10"/>
      <c r="HDG10"/>
      <c r="HDH10"/>
      <c r="HDI10"/>
      <c r="HDJ10"/>
      <c r="HDK10"/>
      <c r="HDL10"/>
      <c r="HDM10"/>
      <c r="HDN10"/>
      <c r="HDO10"/>
      <c r="HDP10"/>
      <c r="HDQ10"/>
      <c r="HDR10"/>
      <c r="HDS10"/>
      <c r="HDT10"/>
      <c r="HDU10"/>
      <c r="HDV10"/>
      <c r="HDW10"/>
      <c r="HDX10"/>
      <c r="HDY10"/>
      <c r="HDZ10"/>
      <c r="HEA10"/>
      <c r="HEB10"/>
      <c r="HEC10"/>
      <c r="HED10"/>
      <c r="HEE10"/>
      <c r="HEF10"/>
      <c r="HEG10"/>
      <c r="HEH10"/>
      <c r="HEI10"/>
      <c r="HEJ10"/>
      <c r="HEK10"/>
      <c r="HEL10"/>
      <c r="HEM10"/>
      <c r="HEN10"/>
      <c r="HEO10"/>
      <c r="HEP10"/>
      <c r="HEQ10"/>
      <c r="HER10"/>
      <c r="HES10"/>
      <c r="HET10"/>
      <c r="HEU10"/>
      <c r="HEV10"/>
      <c r="HEW10"/>
      <c r="HEX10"/>
      <c r="HEY10"/>
      <c r="HEZ10"/>
      <c r="HFA10"/>
      <c r="HFB10"/>
      <c r="HFC10"/>
      <c r="HFD10"/>
      <c r="HFE10"/>
      <c r="HFF10"/>
      <c r="HFG10"/>
      <c r="HFH10"/>
      <c r="HFI10"/>
      <c r="HFJ10"/>
      <c r="HFK10"/>
      <c r="HFL10"/>
      <c r="HFM10"/>
      <c r="HFN10"/>
      <c r="HFO10"/>
      <c r="HFP10"/>
      <c r="HFQ10"/>
      <c r="HFR10"/>
      <c r="HFS10"/>
      <c r="HFT10"/>
      <c r="HFU10"/>
      <c r="HFV10"/>
      <c r="HFW10"/>
      <c r="HFX10"/>
      <c r="HFY10"/>
      <c r="HFZ10"/>
      <c r="HGA10"/>
      <c r="HGB10"/>
      <c r="HGC10"/>
      <c r="HGD10"/>
      <c r="HGE10"/>
      <c r="HGF10"/>
      <c r="HGG10"/>
      <c r="HGH10"/>
      <c r="HGI10"/>
      <c r="HGJ10"/>
      <c r="HGK10"/>
      <c r="HGL10"/>
      <c r="HGM10"/>
      <c r="HGN10"/>
      <c r="HGO10"/>
      <c r="HGP10"/>
      <c r="HGQ10"/>
      <c r="HGR10"/>
      <c r="HGS10"/>
      <c r="HGT10"/>
      <c r="HGU10"/>
      <c r="HGV10"/>
      <c r="HGW10"/>
      <c r="HGX10"/>
      <c r="HGY10"/>
      <c r="HGZ10"/>
      <c r="HHA10"/>
      <c r="HHB10"/>
      <c r="HHC10"/>
      <c r="HHD10"/>
      <c r="HHE10"/>
      <c r="HHF10"/>
      <c r="HHG10"/>
      <c r="HHH10"/>
      <c r="HHI10"/>
      <c r="HHJ10"/>
      <c r="HHK10"/>
      <c r="HHL10"/>
      <c r="HHM10"/>
      <c r="HHN10"/>
      <c r="HHO10"/>
      <c r="HHP10"/>
      <c r="HHQ10"/>
      <c r="HHR10"/>
      <c r="HHS10"/>
      <c r="HHT10"/>
      <c r="HHU10"/>
      <c r="HHV10"/>
      <c r="HHW10"/>
      <c r="HHX10"/>
      <c r="HHY10"/>
      <c r="HHZ10"/>
      <c r="HIA10"/>
      <c r="HIB10"/>
      <c r="HIC10"/>
      <c r="HID10"/>
      <c r="HIE10"/>
      <c r="HIF10"/>
      <c r="HIG10"/>
      <c r="HIH10"/>
      <c r="HII10"/>
      <c r="HIJ10"/>
      <c r="HIK10"/>
      <c r="HIL10"/>
      <c r="HIM10"/>
      <c r="HIN10"/>
      <c r="HIO10"/>
      <c r="HIP10"/>
      <c r="HIQ10"/>
      <c r="HIR10"/>
      <c r="HIS10"/>
      <c r="HIT10"/>
      <c r="HIU10"/>
      <c r="HIV10"/>
      <c r="HIW10"/>
      <c r="HIX10"/>
      <c r="HIY10"/>
      <c r="HIZ10"/>
      <c r="HJA10"/>
      <c r="HJB10"/>
      <c r="HJC10"/>
      <c r="HJD10"/>
      <c r="HJE10"/>
      <c r="HJF10"/>
      <c r="HJG10"/>
      <c r="HJH10"/>
      <c r="HJI10"/>
      <c r="HJJ10"/>
      <c r="HJK10"/>
      <c r="HJL10"/>
      <c r="HJM10"/>
      <c r="HJN10"/>
      <c r="HJO10"/>
      <c r="HJP10"/>
      <c r="HJQ10"/>
      <c r="HJR10"/>
      <c r="HJS10"/>
      <c r="HJT10"/>
      <c r="HJU10"/>
      <c r="HJV10"/>
      <c r="HJW10"/>
      <c r="HJX10"/>
      <c r="HJY10"/>
      <c r="HJZ10"/>
      <c r="HKA10"/>
      <c r="HKB10"/>
      <c r="HKC10"/>
      <c r="HKD10"/>
      <c r="HKE10"/>
      <c r="HKF10"/>
      <c r="HKG10"/>
      <c r="HKH10"/>
      <c r="HKI10"/>
      <c r="HKJ10"/>
      <c r="HKK10"/>
      <c r="HKL10"/>
      <c r="HKM10"/>
      <c r="HKN10"/>
      <c r="HKO10"/>
      <c r="HKP10"/>
      <c r="HKQ10"/>
      <c r="HKR10"/>
      <c r="HKS10"/>
      <c r="HKT10"/>
      <c r="HKU10"/>
      <c r="HKV10"/>
      <c r="HKW10"/>
      <c r="HKX10"/>
      <c r="HKY10"/>
      <c r="HKZ10"/>
      <c r="HLA10"/>
      <c r="HLB10"/>
      <c r="HLC10"/>
      <c r="HLD10"/>
      <c r="HLE10"/>
      <c r="HLF10"/>
      <c r="HLG10"/>
      <c r="HLH10"/>
      <c r="HLI10"/>
      <c r="HLJ10"/>
      <c r="HLK10"/>
      <c r="HLL10"/>
      <c r="HLM10"/>
      <c r="HLN10"/>
      <c r="HLO10"/>
      <c r="HLP10"/>
      <c r="HLQ10"/>
      <c r="HLR10"/>
      <c r="HLS10"/>
      <c r="HLT10"/>
      <c r="HLU10"/>
      <c r="HLV10"/>
      <c r="HLW10"/>
      <c r="HLX10"/>
      <c r="HLY10"/>
      <c r="HLZ10"/>
      <c r="HMA10"/>
      <c r="HMB10"/>
      <c r="HMC10"/>
      <c r="HMD10"/>
      <c r="HME10"/>
      <c r="HMF10"/>
      <c r="HMG10"/>
      <c r="HMH10"/>
      <c r="HMI10"/>
      <c r="HMJ10"/>
      <c r="HMK10"/>
      <c r="HML10"/>
      <c r="HMM10"/>
      <c r="HMN10"/>
      <c r="HMO10"/>
      <c r="HMP10"/>
      <c r="HMQ10"/>
      <c r="HMR10"/>
      <c r="HMS10"/>
      <c r="HMT10"/>
      <c r="HMU10"/>
      <c r="HMV10"/>
      <c r="HMW10"/>
      <c r="HMX10"/>
      <c r="HMY10"/>
      <c r="HMZ10"/>
      <c r="HNA10"/>
      <c r="HNB10"/>
      <c r="HNC10"/>
      <c r="HND10"/>
      <c r="HNE10"/>
      <c r="HNF10"/>
      <c r="HNG10"/>
      <c r="HNH10"/>
      <c r="HNI10"/>
      <c r="HNJ10"/>
      <c r="HNK10"/>
      <c r="HNL10"/>
      <c r="HNM10"/>
      <c r="HNN10"/>
      <c r="HNO10"/>
      <c r="HNP10"/>
      <c r="HNQ10"/>
      <c r="HNR10"/>
      <c r="HNS10"/>
      <c r="HNT10"/>
      <c r="HNU10"/>
      <c r="HNV10"/>
      <c r="HNW10"/>
      <c r="HNX10"/>
      <c r="HNY10"/>
      <c r="HNZ10"/>
      <c r="HOA10"/>
      <c r="HOB10"/>
      <c r="HOC10"/>
      <c r="HOD10"/>
      <c r="HOE10"/>
      <c r="HOF10"/>
      <c r="HOG10"/>
      <c r="HOH10"/>
      <c r="HOI10"/>
      <c r="HOJ10"/>
      <c r="HOK10"/>
      <c r="HOL10"/>
      <c r="HOM10"/>
      <c r="HON10"/>
      <c r="HOO10"/>
      <c r="HOP10"/>
      <c r="HOQ10"/>
      <c r="HOR10"/>
      <c r="HOS10"/>
      <c r="HOT10"/>
      <c r="HOU10"/>
      <c r="HOV10"/>
      <c r="HOW10"/>
      <c r="HOX10"/>
      <c r="HOY10"/>
      <c r="HOZ10"/>
      <c r="HPA10"/>
      <c r="HPB10"/>
      <c r="HPC10"/>
      <c r="HPD10"/>
      <c r="HPE10"/>
      <c r="HPF10"/>
      <c r="HPG10"/>
      <c r="HPH10"/>
      <c r="HPI10"/>
      <c r="HPJ10"/>
      <c r="HPK10"/>
      <c r="HPL10"/>
      <c r="HPM10"/>
      <c r="HPN10"/>
      <c r="HPO10"/>
      <c r="HPP10"/>
      <c r="HPQ10"/>
      <c r="HPR10"/>
      <c r="HPS10"/>
      <c r="HPT10"/>
      <c r="HPU10"/>
      <c r="HPV10"/>
      <c r="HPW10"/>
      <c r="HPX10"/>
      <c r="HPY10"/>
      <c r="HPZ10"/>
      <c r="HQA10"/>
      <c r="HQB10"/>
      <c r="HQC10"/>
      <c r="HQD10"/>
      <c r="HQE10"/>
      <c r="HQF10"/>
      <c r="HQG10"/>
      <c r="HQH10"/>
      <c r="HQI10"/>
      <c r="HQJ10"/>
      <c r="HQK10"/>
      <c r="HQL10"/>
      <c r="HQM10"/>
      <c r="HQN10"/>
      <c r="HQO10"/>
      <c r="HQP10"/>
      <c r="HQQ10"/>
      <c r="HQR10"/>
      <c r="HQS10"/>
      <c r="HQT10"/>
      <c r="HQU10"/>
      <c r="HQV10"/>
      <c r="HQW10"/>
      <c r="HQX10"/>
      <c r="HQY10"/>
      <c r="HQZ10"/>
      <c r="HRA10"/>
      <c r="HRB10"/>
      <c r="HRC10"/>
      <c r="HRD10"/>
      <c r="HRE10"/>
      <c r="HRF10"/>
      <c r="HRG10"/>
      <c r="HRH10"/>
      <c r="HRI10"/>
      <c r="HRJ10"/>
      <c r="HRK10"/>
      <c r="HRL10"/>
      <c r="HRM10"/>
      <c r="HRN10"/>
      <c r="HRO10"/>
      <c r="HRP10"/>
      <c r="HRQ10"/>
      <c r="HRR10"/>
      <c r="HRS10"/>
      <c r="HRT10"/>
      <c r="HRU10"/>
      <c r="HRV10"/>
      <c r="HRW10"/>
      <c r="HRX10"/>
      <c r="HRY10"/>
      <c r="HRZ10"/>
      <c r="HSA10"/>
      <c r="HSB10"/>
      <c r="HSC10"/>
      <c r="HSD10"/>
      <c r="HSE10"/>
      <c r="HSF10"/>
      <c r="HSG10"/>
      <c r="HSH10"/>
      <c r="HSI10"/>
      <c r="HSJ10"/>
      <c r="HSK10"/>
      <c r="HSL10"/>
      <c r="HSM10"/>
      <c r="HSN10"/>
      <c r="HSO10"/>
      <c r="HSP10"/>
      <c r="HSQ10"/>
      <c r="HSR10"/>
      <c r="HSS10"/>
      <c r="HST10"/>
      <c r="HSU10"/>
      <c r="HSV10"/>
      <c r="HSW10"/>
      <c r="HSX10"/>
      <c r="HSY10"/>
      <c r="HSZ10"/>
      <c r="HTA10"/>
      <c r="HTB10"/>
      <c r="HTC10"/>
      <c r="HTD10"/>
      <c r="HTE10"/>
      <c r="HTF10"/>
      <c r="HTG10"/>
      <c r="HTH10"/>
      <c r="HTI10"/>
      <c r="HTJ10"/>
      <c r="HTK10"/>
      <c r="HTL10"/>
      <c r="HTM10"/>
      <c r="HTN10"/>
      <c r="HTO10"/>
      <c r="HTP10"/>
      <c r="HTQ10"/>
      <c r="HTR10"/>
      <c r="HTS10"/>
      <c r="HTT10"/>
      <c r="HTU10"/>
      <c r="HTV10"/>
      <c r="HTW10"/>
      <c r="HTX10"/>
      <c r="HTY10"/>
      <c r="HTZ10"/>
      <c r="HUA10"/>
      <c r="HUB10"/>
      <c r="HUC10"/>
      <c r="HUD10"/>
      <c r="HUE10"/>
      <c r="HUF10"/>
      <c r="HUG10"/>
      <c r="HUH10"/>
      <c r="HUI10"/>
      <c r="HUJ10"/>
      <c r="HUK10"/>
      <c r="HUL10"/>
      <c r="HUM10"/>
      <c r="HUN10"/>
      <c r="HUO10"/>
      <c r="HUP10"/>
      <c r="HUQ10"/>
      <c r="HUR10"/>
      <c r="HUS10"/>
      <c r="HUT10"/>
      <c r="HUU10"/>
      <c r="HUV10"/>
      <c r="HUW10"/>
      <c r="HUX10"/>
      <c r="HUY10"/>
      <c r="HUZ10"/>
      <c r="HVA10"/>
      <c r="HVB10"/>
      <c r="HVC10"/>
      <c r="HVD10"/>
      <c r="HVE10"/>
      <c r="HVF10"/>
      <c r="HVG10"/>
      <c r="HVH10"/>
      <c r="HVI10"/>
      <c r="HVJ10"/>
      <c r="HVK10"/>
      <c r="HVL10"/>
      <c r="HVM10"/>
      <c r="HVN10"/>
      <c r="HVO10"/>
      <c r="HVP10"/>
      <c r="HVQ10"/>
      <c r="HVR10"/>
      <c r="HVS10"/>
      <c r="HVT10"/>
      <c r="HVU10"/>
      <c r="HVV10"/>
      <c r="HVW10"/>
      <c r="HVX10"/>
      <c r="HVY10"/>
      <c r="HVZ10"/>
      <c r="HWA10"/>
      <c r="HWB10"/>
      <c r="HWC10"/>
      <c r="HWD10"/>
      <c r="HWE10"/>
      <c r="HWF10"/>
      <c r="HWG10"/>
      <c r="HWH10"/>
      <c r="HWI10"/>
      <c r="HWJ10"/>
      <c r="HWK10"/>
      <c r="HWL10"/>
      <c r="HWM10"/>
      <c r="HWN10"/>
      <c r="HWO10"/>
      <c r="HWP10"/>
      <c r="HWQ10"/>
      <c r="HWR10"/>
      <c r="HWS10"/>
      <c r="HWT10"/>
      <c r="HWU10"/>
      <c r="HWV10"/>
      <c r="HWW10"/>
      <c r="HWX10"/>
      <c r="HWY10"/>
      <c r="HWZ10"/>
      <c r="HXA10"/>
      <c r="HXB10"/>
      <c r="HXC10"/>
      <c r="HXD10"/>
      <c r="HXE10"/>
      <c r="HXF10"/>
      <c r="HXG10"/>
      <c r="HXH10"/>
      <c r="HXI10"/>
      <c r="HXJ10"/>
      <c r="HXK10"/>
      <c r="HXL10"/>
      <c r="HXM10"/>
      <c r="HXN10"/>
      <c r="HXO10"/>
      <c r="HXP10"/>
      <c r="HXQ10"/>
      <c r="HXR10"/>
      <c r="HXS10"/>
      <c r="HXT10"/>
      <c r="HXU10"/>
      <c r="HXV10"/>
      <c r="HXW10"/>
      <c r="HXX10"/>
      <c r="HXY10"/>
      <c r="HXZ10"/>
      <c r="HYA10"/>
      <c r="HYB10"/>
      <c r="HYC10"/>
      <c r="HYD10"/>
      <c r="HYE10"/>
      <c r="HYF10"/>
      <c r="HYG10"/>
      <c r="HYH10"/>
      <c r="HYI10"/>
      <c r="HYJ10"/>
      <c r="HYK10"/>
      <c r="HYL10"/>
      <c r="HYM10"/>
      <c r="HYN10"/>
      <c r="HYO10"/>
      <c r="HYP10"/>
      <c r="HYQ10"/>
      <c r="HYR10"/>
      <c r="HYS10"/>
      <c r="HYT10"/>
      <c r="HYU10"/>
      <c r="HYV10"/>
      <c r="HYW10"/>
      <c r="HYX10"/>
      <c r="HYY10"/>
      <c r="HYZ10"/>
      <c r="HZA10"/>
      <c r="HZB10"/>
      <c r="HZC10"/>
      <c r="HZD10"/>
      <c r="HZE10"/>
      <c r="HZF10"/>
      <c r="HZG10"/>
      <c r="HZH10"/>
      <c r="HZI10"/>
      <c r="HZJ10"/>
      <c r="HZK10"/>
      <c r="HZL10"/>
      <c r="HZM10"/>
      <c r="HZN10"/>
      <c r="HZO10"/>
      <c r="HZP10"/>
      <c r="HZQ10"/>
      <c r="HZR10"/>
      <c r="HZS10"/>
      <c r="HZT10"/>
      <c r="HZU10"/>
      <c r="HZV10"/>
      <c r="HZW10"/>
      <c r="HZX10"/>
      <c r="HZY10"/>
      <c r="HZZ10"/>
      <c r="IAA10"/>
      <c r="IAB10"/>
      <c r="IAC10"/>
      <c r="IAD10"/>
      <c r="IAE10"/>
      <c r="IAF10"/>
      <c r="IAG10"/>
      <c r="IAH10"/>
      <c r="IAI10"/>
      <c r="IAJ10"/>
      <c r="IAK10"/>
      <c r="IAL10"/>
      <c r="IAM10"/>
      <c r="IAN10"/>
      <c r="IAO10"/>
      <c r="IAP10"/>
      <c r="IAQ10"/>
      <c r="IAR10"/>
      <c r="IAS10"/>
      <c r="IAT10"/>
      <c r="IAU10"/>
      <c r="IAV10"/>
      <c r="IAW10"/>
      <c r="IAX10"/>
      <c r="IAY10"/>
      <c r="IAZ10"/>
      <c r="IBA10"/>
      <c r="IBB10"/>
      <c r="IBC10"/>
      <c r="IBD10"/>
      <c r="IBE10"/>
      <c r="IBF10"/>
      <c r="IBG10"/>
      <c r="IBH10"/>
      <c r="IBI10"/>
      <c r="IBJ10"/>
      <c r="IBK10"/>
      <c r="IBL10"/>
      <c r="IBM10"/>
      <c r="IBN10"/>
      <c r="IBO10"/>
      <c r="IBP10"/>
      <c r="IBQ10"/>
      <c r="IBR10"/>
      <c r="IBS10"/>
      <c r="IBT10"/>
      <c r="IBU10"/>
      <c r="IBV10"/>
      <c r="IBW10"/>
      <c r="IBX10"/>
      <c r="IBY10"/>
      <c r="IBZ10"/>
      <c r="ICA10"/>
      <c r="ICB10"/>
      <c r="ICC10"/>
      <c r="ICD10"/>
      <c r="ICE10"/>
      <c r="ICF10"/>
      <c r="ICG10"/>
      <c r="ICH10"/>
      <c r="ICI10"/>
      <c r="ICJ10"/>
      <c r="ICK10"/>
      <c r="ICL10"/>
      <c r="ICM10"/>
      <c r="ICN10"/>
      <c r="ICO10"/>
      <c r="ICP10"/>
      <c r="ICQ10"/>
      <c r="ICR10"/>
      <c r="ICS10"/>
      <c r="ICT10"/>
      <c r="ICU10"/>
      <c r="ICV10"/>
      <c r="ICW10"/>
      <c r="ICX10"/>
      <c r="ICY10"/>
      <c r="ICZ10"/>
      <c r="IDA10"/>
      <c r="IDB10"/>
      <c r="IDC10"/>
      <c r="IDD10"/>
      <c r="IDE10"/>
      <c r="IDF10"/>
      <c r="IDG10"/>
      <c r="IDH10"/>
      <c r="IDI10"/>
      <c r="IDJ10"/>
      <c r="IDK10"/>
      <c r="IDL10"/>
      <c r="IDM10"/>
      <c r="IDN10"/>
      <c r="IDO10"/>
      <c r="IDP10"/>
      <c r="IDQ10"/>
      <c r="IDR10"/>
      <c r="IDS10"/>
      <c r="IDT10"/>
      <c r="IDU10"/>
      <c r="IDV10"/>
      <c r="IDW10"/>
      <c r="IDX10"/>
      <c r="IDY10"/>
      <c r="IDZ10"/>
      <c r="IEA10"/>
      <c r="IEB10"/>
      <c r="IEC10"/>
      <c r="IED10"/>
      <c r="IEE10"/>
      <c r="IEF10"/>
      <c r="IEG10"/>
      <c r="IEH10"/>
      <c r="IEI10"/>
      <c r="IEJ10"/>
      <c r="IEK10"/>
      <c r="IEL10"/>
      <c r="IEM10"/>
      <c r="IEN10"/>
      <c r="IEO10"/>
      <c r="IEP10"/>
      <c r="IEQ10"/>
      <c r="IER10"/>
      <c r="IES10"/>
      <c r="IET10"/>
      <c r="IEU10"/>
      <c r="IEV10"/>
      <c r="IEW10"/>
      <c r="IEX10"/>
      <c r="IEY10"/>
      <c r="IEZ10"/>
      <c r="IFA10"/>
      <c r="IFB10"/>
      <c r="IFC10"/>
      <c r="IFD10"/>
      <c r="IFE10"/>
      <c r="IFF10"/>
      <c r="IFG10"/>
      <c r="IFH10"/>
      <c r="IFI10"/>
      <c r="IFJ10"/>
      <c r="IFK10"/>
      <c r="IFL10"/>
      <c r="IFM10"/>
      <c r="IFN10"/>
      <c r="IFO10"/>
      <c r="IFP10"/>
      <c r="IFQ10"/>
      <c r="IFR10"/>
      <c r="IFS10"/>
      <c r="IFT10"/>
      <c r="IFU10"/>
      <c r="IFV10"/>
      <c r="IFW10"/>
      <c r="IFX10"/>
      <c r="IFY10"/>
      <c r="IFZ10"/>
      <c r="IGA10"/>
      <c r="IGB10"/>
      <c r="IGC10"/>
      <c r="IGD10"/>
      <c r="IGE10"/>
      <c r="IGF10"/>
      <c r="IGG10"/>
      <c r="IGH10"/>
      <c r="IGI10"/>
      <c r="IGJ10"/>
      <c r="IGK10"/>
      <c r="IGL10"/>
      <c r="IGM10"/>
      <c r="IGN10"/>
      <c r="IGO10"/>
      <c r="IGP10"/>
      <c r="IGQ10"/>
      <c r="IGR10"/>
      <c r="IGS10"/>
      <c r="IGT10"/>
      <c r="IGU10"/>
      <c r="IGV10"/>
      <c r="IGW10"/>
      <c r="IGX10"/>
      <c r="IGY10"/>
      <c r="IGZ10"/>
      <c r="IHA10"/>
      <c r="IHB10"/>
      <c r="IHC10"/>
      <c r="IHD10"/>
      <c r="IHE10"/>
      <c r="IHF10"/>
      <c r="IHG10"/>
      <c r="IHH10"/>
      <c r="IHI10"/>
      <c r="IHJ10"/>
      <c r="IHK10"/>
      <c r="IHL10"/>
      <c r="IHM10"/>
      <c r="IHN10"/>
      <c r="IHO10"/>
      <c r="IHP10"/>
      <c r="IHQ10"/>
      <c r="IHR10"/>
      <c r="IHS10"/>
      <c r="IHT10"/>
      <c r="IHU10"/>
      <c r="IHV10"/>
      <c r="IHW10"/>
      <c r="IHX10"/>
      <c r="IHY10"/>
      <c r="IHZ10"/>
      <c r="IIA10"/>
      <c r="IIB10"/>
      <c r="IIC10"/>
      <c r="IID10"/>
      <c r="IIE10"/>
      <c r="IIF10"/>
      <c r="IIG10"/>
      <c r="IIH10"/>
      <c r="III10"/>
      <c r="IIJ10"/>
      <c r="IIK10"/>
      <c r="IIL10"/>
      <c r="IIM10"/>
      <c r="IIN10"/>
      <c r="IIO10"/>
      <c r="IIP10"/>
      <c r="IIQ10"/>
      <c r="IIR10"/>
      <c r="IIS10"/>
      <c r="IIT10"/>
      <c r="IIU10"/>
      <c r="IIV10"/>
      <c r="IIW10"/>
      <c r="IIX10"/>
      <c r="IIY10"/>
      <c r="IIZ10"/>
      <c r="IJA10"/>
      <c r="IJB10"/>
      <c r="IJC10"/>
      <c r="IJD10"/>
      <c r="IJE10"/>
      <c r="IJF10"/>
      <c r="IJG10"/>
      <c r="IJH10"/>
      <c r="IJI10"/>
      <c r="IJJ10"/>
      <c r="IJK10"/>
      <c r="IJL10"/>
      <c r="IJM10"/>
      <c r="IJN10"/>
      <c r="IJO10"/>
      <c r="IJP10"/>
      <c r="IJQ10"/>
      <c r="IJR10"/>
      <c r="IJS10"/>
      <c r="IJT10"/>
      <c r="IJU10"/>
      <c r="IJV10"/>
      <c r="IJW10"/>
      <c r="IJX10"/>
      <c r="IJY10"/>
      <c r="IJZ10"/>
      <c r="IKA10"/>
      <c r="IKB10"/>
      <c r="IKC10"/>
      <c r="IKD10"/>
      <c r="IKE10"/>
      <c r="IKF10"/>
      <c r="IKG10"/>
      <c r="IKH10"/>
      <c r="IKI10"/>
      <c r="IKJ10"/>
      <c r="IKK10"/>
      <c r="IKL10"/>
      <c r="IKM10"/>
      <c r="IKN10"/>
      <c r="IKO10"/>
      <c r="IKP10"/>
      <c r="IKQ10"/>
      <c r="IKR10"/>
      <c r="IKS10"/>
      <c r="IKT10"/>
      <c r="IKU10"/>
      <c r="IKV10"/>
      <c r="IKW10"/>
      <c r="IKX10"/>
      <c r="IKY10"/>
      <c r="IKZ10"/>
      <c r="ILA10"/>
      <c r="ILB10"/>
      <c r="ILC10"/>
      <c r="ILD10"/>
      <c r="ILE10"/>
      <c r="ILF10"/>
      <c r="ILG10"/>
      <c r="ILH10"/>
      <c r="ILI10"/>
      <c r="ILJ10"/>
      <c r="ILK10"/>
      <c r="ILL10"/>
      <c r="ILM10"/>
      <c r="ILN10"/>
      <c r="ILO10"/>
      <c r="ILP10"/>
      <c r="ILQ10"/>
      <c r="ILR10"/>
      <c r="ILS10"/>
      <c r="ILT10"/>
      <c r="ILU10"/>
      <c r="ILV10"/>
      <c r="ILW10"/>
      <c r="ILX10"/>
      <c r="ILY10"/>
      <c r="ILZ10"/>
      <c r="IMA10"/>
      <c r="IMB10"/>
      <c r="IMC10"/>
      <c r="IMD10"/>
      <c r="IME10"/>
      <c r="IMF10"/>
      <c r="IMG10"/>
      <c r="IMH10"/>
      <c r="IMI10"/>
      <c r="IMJ10"/>
      <c r="IMK10"/>
      <c r="IML10"/>
      <c r="IMM10"/>
      <c r="IMN10"/>
      <c r="IMO10"/>
      <c r="IMP10"/>
      <c r="IMQ10"/>
      <c r="IMR10"/>
      <c r="IMS10"/>
      <c r="IMT10"/>
      <c r="IMU10"/>
      <c r="IMV10"/>
      <c r="IMW10"/>
      <c r="IMX10"/>
      <c r="IMY10"/>
      <c r="IMZ10"/>
      <c r="INA10"/>
      <c r="INB10"/>
      <c r="INC10"/>
      <c r="IND10"/>
      <c r="INE10"/>
      <c r="INF10"/>
      <c r="ING10"/>
      <c r="INH10"/>
      <c r="INI10"/>
      <c r="INJ10"/>
      <c r="INK10"/>
      <c r="INL10"/>
      <c r="INM10"/>
      <c r="INN10"/>
      <c r="INO10"/>
      <c r="INP10"/>
      <c r="INQ10"/>
      <c r="INR10"/>
      <c r="INS10"/>
      <c r="INT10"/>
      <c r="INU10"/>
      <c r="INV10"/>
      <c r="INW10"/>
      <c r="INX10"/>
      <c r="INY10"/>
      <c r="INZ10"/>
      <c r="IOA10"/>
      <c r="IOB10"/>
      <c r="IOC10"/>
      <c r="IOD10"/>
      <c r="IOE10"/>
      <c r="IOF10"/>
      <c r="IOG10"/>
      <c r="IOH10"/>
      <c r="IOI10"/>
      <c r="IOJ10"/>
      <c r="IOK10"/>
      <c r="IOL10"/>
      <c r="IOM10"/>
      <c r="ION10"/>
      <c r="IOO10"/>
      <c r="IOP10"/>
      <c r="IOQ10"/>
      <c r="IOR10"/>
      <c r="IOS10"/>
      <c r="IOT10"/>
      <c r="IOU10"/>
      <c r="IOV10"/>
      <c r="IOW10"/>
      <c r="IOX10"/>
      <c r="IOY10"/>
      <c r="IOZ10"/>
      <c r="IPA10"/>
      <c r="IPB10"/>
      <c r="IPC10"/>
      <c r="IPD10"/>
      <c r="IPE10"/>
      <c r="IPF10"/>
      <c r="IPG10"/>
      <c r="IPH10"/>
      <c r="IPI10"/>
      <c r="IPJ10"/>
      <c r="IPK10"/>
      <c r="IPL10"/>
      <c r="IPM10"/>
      <c r="IPN10"/>
      <c r="IPO10"/>
      <c r="IPP10"/>
      <c r="IPQ10"/>
      <c r="IPR10"/>
      <c r="IPS10"/>
      <c r="IPT10"/>
      <c r="IPU10"/>
      <c r="IPV10"/>
      <c r="IPW10"/>
      <c r="IPX10"/>
      <c r="IPY10"/>
      <c r="IPZ10"/>
      <c r="IQA10"/>
      <c r="IQB10"/>
      <c r="IQC10"/>
      <c r="IQD10"/>
      <c r="IQE10"/>
      <c r="IQF10"/>
      <c r="IQG10"/>
      <c r="IQH10"/>
      <c r="IQI10"/>
      <c r="IQJ10"/>
      <c r="IQK10"/>
      <c r="IQL10"/>
      <c r="IQM10"/>
      <c r="IQN10"/>
      <c r="IQO10"/>
      <c r="IQP10"/>
      <c r="IQQ10"/>
      <c r="IQR10"/>
      <c r="IQS10"/>
      <c r="IQT10"/>
      <c r="IQU10"/>
      <c r="IQV10"/>
      <c r="IQW10"/>
      <c r="IQX10"/>
      <c r="IQY10"/>
      <c r="IQZ10"/>
      <c r="IRA10"/>
      <c r="IRB10"/>
      <c r="IRC10"/>
      <c r="IRD10"/>
      <c r="IRE10"/>
      <c r="IRF10"/>
      <c r="IRG10"/>
      <c r="IRH10"/>
      <c r="IRI10"/>
      <c r="IRJ10"/>
      <c r="IRK10"/>
      <c r="IRL10"/>
      <c r="IRM10"/>
      <c r="IRN10"/>
      <c r="IRO10"/>
      <c r="IRP10"/>
      <c r="IRQ10"/>
      <c r="IRR10"/>
      <c r="IRS10"/>
      <c r="IRT10"/>
      <c r="IRU10"/>
      <c r="IRV10"/>
      <c r="IRW10"/>
      <c r="IRX10"/>
      <c r="IRY10"/>
      <c r="IRZ10"/>
      <c r="ISA10"/>
      <c r="ISB10"/>
      <c r="ISC10"/>
      <c r="ISD10"/>
      <c r="ISE10"/>
      <c r="ISF10"/>
      <c r="ISG10"/>
      <c r="ISH10"/>
      <c r="ISI10"/>
      <c r="ISJ10"/>
      <c r="ISK10"/>
      <c r="ISL10"/>
      <c r="ISM10"/>
      <c r="ISN10"/>
      <c r="ISO10"/>
      <c r="ISP10"/>
      <c r="ISQ10"/>
      <c r="ISR10"/>
      <c r="ISS10"/>
      <c r="IST10"/>
      <c r="ISU10"/>
      <c r="ISV10"/>
      <c r="ISW10"/>
      <c r="ISX10"/>
      <c r="ISY10"/>
      <c r="ISZ10"/>
      <c r="ITA10"/>
      <c r="ITB10"/>
      <c r="ITC10"/>
      <c r="ITD10"/>
      <c r="ITE10"/>
      <c r="ITF10"/>
      <c r="ITG10"/>
      <c r="ITH10"/>
      <c r="ITI10"/>
      <c r="ITJ10"/>
      <c r="ITK10"/>
      <c r="ITL10"/>
      <c r="ITM10"/>
      <c r="ITN10"/>
      <c r="ITO10"/>
      <c r="ITP10"/>
      <c r="ITQ10"/>
      <c r="ITR10"/>
      <c r="ITS10"/>
      <c r="ITT10"/>
      <c r="ITU10"/>
      <c r="ITV10"/>
      <c r="ITW10"/>
      <c r="ITX10"/>
      <c r="ITY10"/>
      <c r="ITZ10"/>
      <c r="IUA10"/>
      <c r="IUB10"/>
      <c r="IUC10"/>
      <c r="IUD10"/>
      <c r="IUE10"/>
      <c r="IUF10"/>
      <c r="IUG10"/>
      <c r="IUH10"/>
      <c r="IUI10"/>
      <c r="IUJ10"/>
      <c r="IUK10"/>
      <c r="IUL10"/>
      <c r="IUM10"/>
      <c r="IUN10"/>
      <c r="IUO10"/>
      <c r="IUP10"/>
      <c r="IUQ10"/>
      <c r="IUR10"/>
      <c r="IUS10"/>
      <c r="IUT10"/>
      <c r="IUU10"/>
      <c r="IUV10"/>
      <c r="IUW10"/>
      <c r="IUX10"/>
      <c r="IUY10"/>
      <c r="IUZ10"/>
      <c r="IVA10"/>
      <c r="IVB10"/>
      <c r="IVC10"/>
      <c r="IVD10"/>
      <c r="IVE10"/>
      <c r="IVF10"/>
      <c r="IVG10"/>
      <c r="IVH10"/>
      <c r="IVI10"/>
      <c r="IVJ10"/>
      <c r="IVK10"/>
      <c r="IVL10"/>
      <c r="IVM10"/>
      <c r="IVN10"/>
      <c r="IVO10"/>
      <c r="IVP10"/>
      <c r="IVQ10"/>
      <c r="IVR10"/>
      <c r="IVS10"/>
      <c r="IVT10"/>
      <c r="IVU10"/>
      <c r="IVV10"/>
      <c r="IVW10"/>
      <c r="IVX10"/>
      <c r="IVY10"/>
      <c r="IVZ10"/>
      <c r="IWA10"/>
      <c r="IWB10"/>
      <c r="IWC10"/>
      <c r="IWD10"/>
      <c r="IWE10"/>
      <c r="IWF10"/>
      <c r="IWG10"/>
      <c r="IWH10"/>
      <c r="IWI10"/>
      <c r="IWJ10"/>
      <c r="IWK10"/>
      <c r="IWL10"/>
      <c r="IWM10"/>
      <c r="IWN10"/>
      <c r="IWO10"/>
      <c r="IWP10"/>
      <c r="IWQ10"/>
      <c r="IWR10"/>
      <c r="IWS10"/>
      <c r="IWT10"/>
      <c r="IWU10"/>
      <c r="IWV10"/>
      <c r="IWW10"/>
      <c r="IWX10"/>
      <c r="IWY10"/>
      <c r="IWZ10"/>
      <c r="IXA10"/>
      <c r="IXB10"/>
      <c r="IXC10"/>
      <c r="IXD10"/>
      <c r="IXE10"/>
      <c r="IXF10"/>
      <c r="IXG10"/>
      <c r="IXH10"/>
      <c r="IXI10"/>
      <c r="IXJ10"/>
      <c r="IXK10"/>
      <c r="IXL10"/>
      <c r="IXM10"/>
      <c r="IXN10"/>
      <c r="IXO10"/>
      <c r="IXP10"/>
      <c r="IXQ10"/>
      <c r="IXR10"/>
      <c r="IXS10"/>
      <c r="IXT10"/>
      <c r="IXU10"/>
      <c r="IXV10"/>
      <c r="IXW10"/>
      <c r="IXX10"/>
      <c r="IXY10"/>
      <c r="IXZ10"/>
      <c r="IYA10"/>
      <c r="IYB10"/>
      <c r="IYC10"/>
      <c r="IYD10"/>
      <c r="IYE10"/>
      <c r="IYF10"/>
      <c r="IYG10"/>
      <c r="IYH10"/>
      <c r="IYI10"/>
      <c r="IYJ10"/>
      <c r="IYK10"/>
      <c r="IYL10"/>
      <c r="IYM10"/>
      <c r="IYN10"/>
      <c r="IYO10"/>
      <c r="IYP10"/>
      <c r="IYQ10"/>
      <c r="IYR10"/>
      <c r="IYS10"/>
      <c r="IYT10"/>
      <c r="IYU10"/>
      <c r="IYV10"/>
      <c r="IYW10"/>
      <c r="IYX10"/>
      <c r="IYY10"/>
      <c r="IYZ10"/>
      <c r="IZA10"/>
      <c r="IZB10"/>
      <c r="IZC10"/>
      <c r="IZD10"/>
      <c r="IZE10"/>
      <c r="IZF10"/>
      <c r="IZG10"/>
      <c r="IZH10"/>
      <c r="IZI10"/>
      <c r="IZJ10"/>
      <c r="IZK10"/>
      <c r="IZL10"/>
      <c r="IZM10"/>
      <c r="IZN10"/>
      <c r="IZO10"/>
      <c r="IZP10"/>
      <c r="IZQ10"/>
      <c r="IZR10"/>
      <c r="IZS10"/>
      <c r="IZT10"/>
      <c r="IZU10"/>
      <c r="IZV10"/>
      <c r="IZW10"/>
      <c r="IZX10"/>
      <c r="IZY10"/>
      <c r="IZZ10"/>
      <c r="JAA10"/>
      <c r="JAB10"/>
      <c r="JAC10"/>
      <c r="JAD10"/>
      <c r="JAE10"/>
      <c r="JAF10"/>
      <c r="JAG10"/>
      <c r="JAH10"/>
      <c r="JAI10"/>
      <c r="JAJ10"/>
      <c r="JAK10"/>
      <c r="JAL10"/>
      <c r="JAM10"/>
      <c r="JAN10"/>
      <c r="JAO10"/>
      <c r="JAP10"/>
      <c r="JAQ10"/>
      <c r="JAR10"/>
      <c r="JAS10"/>
      <c r="JAT10"/>
      <c r="JAU10"/>
      <c r="JAV10"/>
      <c r="JAW10"/>
      <c r="JAX10"/>
      <c r="JAY10"/>
      <c r="JAZ10"/>
      <c r="JBA10"/>
      <c r="JBB10"/>
      <c r="JBC10"/>
      <c r="JBD10"/>
      <c r="JBE10"/>
      <c r="JBF10"/>
      <c r="JBG10"/>
      <c r="JBH10"/>
      <c r="JBI10"/>
      <c r="JBJ10"/>
      <c r="JBK10"/>
      <c r="JBL10"/>
      <c r="JBM10"/>
      <c r="JBN10"/>
      <c r="JBO10"/>
      <c r="JBP10"/>
      <c r="JBQ10"/>
      <c r="JBR10"/>
      <c r="JBS10"/>
      <c r="JBT10"/>
      <c r="JBU10"/>
      <c r="JBV10"/>
      <c r="JBW10"/>
      <c r="JBX10"/>
      <c r="JBY10"/>
      <c r="JBZ10"/>
      <c r="JCA10"/>
      <c r="JCB10"/>
      <c r="JCC10"/>
      <c r="JCD10"/>
      <c r="JCE10"/>
      <c r="JCF10"/>
      <c r="JCG10"/>
      <c r="JCH10"/>
      <c r="JCI10"/>
      <c r="JCJ10"/>
      <c r="JCK10"/>
      <c r="JCL10"/>
      <c r="JCM10"/>
      <c r="JCN10"/>
      <c r="JCO10"/>
      <c r="JCP10"/>
      <c r="JCQ10"/>
      <c r="JCR10"/>
      <c r="JCS10"/>
      <c r="JCT10"/>
      <c r="JCU10"/>
      <c r="JCV10"/>
      <c r="JCW10"/>
      <c r="JCX10"/>
      <c r="JCY10"/>
      <c r="JCZ10"/>
      <c r="JDA10"/>
      <c r="JDB10"/>
      <c r="JDC10"/>
      <c r="JDD10"/>
      <c r="JDE10"/>
      <c r="JDF10"/>
      <c r="JDG10"/>
      <c r="JDH10"/>
      <c r="JDI10"/>
      <c r="JDJ10"/>
      <c r="JDK10"/>
      <c r="JDL10"/>
      <c r="JDM10"/>
      <c r="JDN10"/>
      <c r="JDO10"/>
      <c r="JDP10"/>
      <c r="JDQ10"/>
      <c r="JDR10"/>
      <c r="JDS10"/>
      <c r="JDT10"/>
      <c r="JDU10"/>
      <c r="JDV10"/>
      <c r="JDW10"/>
      <c r="JDX10"/>
      <c r="JDY10"/>
      <c r="JDZ10"/>
      <c r="JEA10"/>
      <c r="JEB10"/>
      <c r="JEC10"/>
      <c r="JED10"/>
      <c r="JEE10"/>
      <c r="JEF10"/>
      <c r="JEG10"/>
      <c r="JEH10"/>
      <c r="JEI10"/>
      <c r="JEJ10"/>
      <c r="JEK10"/>
      <c r="JEL10"/>
      <c r="JEM10"/>
      <c r="JEN10"/>
      <c r="JEO10"/>
      <c r="JEP10"/>
      <c r="JEQ10"/>
      <c r="JER10"/>
      <c r="JES10"/>
      <c r="JET10"/>
      <c r="JEU10"/>
      <c r="JEV10"/>
      <c r="JEW10"/>
      <c r="JEX10"/>
      <c r="JEY10"/>
      <c r="JEZ10"/>
      <c r="JFA10"/>
      <c r="JFB10"/>
      <c r="JFC10"/>
      <c r="JFD10"/>
      <c r="JFE10"/>
      <c r="JFF10"/>
      <c r="JFG10"/>
      <c r="JFH10"/>
      <c r="JFI10"/>
      <c r="JFJ10"/>
      <c r="JFK10"/>
      <c r="JFL10"/>
      <c r="JFM10"/>
      <c r="JFN10"/>
      <c r="JFO10"/>
      <c r="JFP10"/>
      <c r="JFQ10"/>
      <c r="JFR10"/>
      <c r="JFS10"/>
      <c r="JFT10"/>
      <c r="JFU10"/>
      <c r="JFV10"/>
      <c r="JFW10"/>
      <c r="JFX10"/>
      <c r="JFY10"/>
      <c r="JFZ10"/>
      <c r="JGA10"/>
      <c r="JGB10"/>
      <c r="JGC10"/>
      <c r="JGD10"/>
      <c r="JGE10"/>
      <c r="JGF10"/>
      <c r="JGG10"/>
      <c r="JGH10"/>
      <c r="JGI10"/>
      <c r="JGJ10"/>
      <c r="JGK10"/>
      <c r="JGL10"/>
      <c r="JGM10"/>
      <c r="JGN10"/>
      <c r="JGO10"/>
      <c r="JGP10"/>
      <c r="JGQ10"/>
      <c r="JGR10"/>
      <c r="JGS10"/>
      <c r="JGT10"/>
      <c r="JGU10"/>
      <c r="JGV10"/>
      <c r="JGW10"/>
      <c r="JGX10"/>
      <c r="JGY10"/>
      <c r="JGZ10"/>
      <c r="JHA10"/>
      <c r="JHB10"/>
      <c r="JHC10"/>
      <c r="JHD10"/>
      <c r="JHE10"/>
      <c r="JHF10"/>
      <c r="JHG10"/>
      <c r="JHH10"/>
      <c r="JHI10"/>
      <c r="JHJ10"/>
      <c r="JHK10"/>
      <c r="JHL10"/>
      <c r="JHM10"/>
      <c r="JHN10"/>
      <c r="JHO10"/>
      <c r="JHP10"/>
      <c r="JHQ10"/>
      <c r="JHR10"/>
      <c r="JHS10"/>
      <c r="JHT10"/>
      <c r="JHU10"/>
      <c r="JHV10"/>
      <c r="JHW10"/>
      <c r="JHX10"/>
      <c r="JHY10"/>
      <c r="JHZ10"/>
      <c r="JIA10"/>
      <c r="JIB10"/>
      <c r="JIC10"/>
      <c r="JID10"/>
      <c r="JIE10"/>
      <c r="JIF10"/>
      <c r="JIG10"/>
      <c r="JIH10"/>
      <c r="JII10"/>
      <c r="JIJ10"/>
      <c r="JIK10"/>
      <c r="JIL10"/>
      <c r="JIM10"/>
      <c r="JIN10"/>
      <c r="JIO10"/>
      <c r="JIP10"/>
      <c r="JIQ10"/>
      <c r="JIR10"/>
      <c r="JIS10"/>
      <c r="JIT10"/>
      <c r="JIU10"/>
      <c r="JIV10"/>
      <c r="JIW10"/>
      <c r="JIX10"/>
      <c r="JIY10"/>
      <c r="JIZ10"/>
      <c r="JJA10"/>
      <c r="JJB10"/>
      <c r="JJC10"/>
      <c r="JJD10"/>
      <c r="JJE10"/>
      <c r="JJF10"/>
      <c r="JJG10"/>
      <c r="JJH10"/>
      <c r="JJI10"/>
      <c r="JJJ10"/>
      <c r="JJK10"/>
      <c r="JJL10"/>
      <c r="JJM10"/>
      <c r="JJN10"/>
      <c r="JJO10"/>
      <c r="JJP10"/>
      <c r="JJQ10"/>
      <c r="JJR10"/>
      <c r="JJS10"/>
      <c r="JJT10"/>
      <c r="JJU10"/>
      <c r="JJV10"/>
      <c r="JJW10"/>
      <c r="JJX10"/>
      <c r="JJY10"/>
      <c r="JJZ10"/>
      <c r="JKA10"/>
      <c r="JKB10"/>
      <c r="JKC10"/>
      <c r="JKD10"/>
      <c r="JKE10"/>
      <c r="JKF10"/>
      <c r="JKG10"/>
      <c r="JKH10"/>
      <c r="JKI10"/>
      <c r="JKJ10"/>
      <c r="JKK10"/>
      <c r="JKL10"/>
      <c r="JKM10"/>
      <c r="JKN10"/>
      <c r="JKO10"/>
      <c r="JKP10"/>
      <c r="JKQ10"/>
      <c r="JKR10"/>
      <c r="JKS10"/>
      <c r="JKT10"/>
      <c r="JKU10"/>
      <c r="JKV10"/>
      <c r="JKW10"/>
      <c r="JKX10"/>
      <c r="JKY10"/>
      <c r="JKZ10"/>
      <c r="JLA10"/>
      <c r="JLB10"/>
      <c r="JLC10"/>
      <c r="JLD10"/>
      <c r="JLE10"/>
      <c r="JLF10"/>
      <c r="JLG10"/>
      <c r="JLH10"/>
      <c r="JLI10"/>
      <c r="JLJ10"/>
      <c r="JLK10"/>
      <c r="JLL10"/>
      <c r="JLM10"/>
      <c r="JLN10"/>
      <c r="JLO10"/>
      <c r="JLP10"/>
      <c r="JLQ10"/>
      <c r="JLR10"/>
      <c r="JLS10"/>
      <c r="JLT10"/>
      <c r="JLU10"/>
      <c r="JLV10"/>
      <c r="JLW10"/>
      <c r="JLX10"/>
      <c r="JLY10"/>
      <c r="JLZ10"/>
      <c r="JMA10"/>
      <c r="JMB10"/>
      <c r="JMC10"/>
      <c r="JMD10"/>
      <c r="JME10"/>
      <c r="JMF10"/>
      <c r="JMG10"/>
      <c r="JMH10"/>
      <c r="JMI10"/>
      <c r="JMJ10"/>
      <c r="JMK10"/>
      <c r="JML10"/>
      <c r="JMM10"/>
      <c r="JMN10"/>
      <c r="JMO10"/>
      <c r="JMP10"/>
      <c r="JMQ10"/>
      <c r="JMR10"/>
      <c r="JMS10"/>
      <c r="JMT10"/>
      <c r="JMU10"/>
      <c r="JMV10"/>
      <c r="JMW10"/>
      <c r="JMX10"/>
      <c r="JMY10"/>
      <c r="JMZ10"/>
      <c r="JNA10"/>
      <c r="JNB10"/>
      <c r="JNC10"/>
      <c r="JND10"/>
      <c r="JNE10"/>
      <c r="JNF10"/>
      <c r="JNG10"/>
      <c r="JNH10"/>
      <c r="JNI10"/>
      <c r="JNJ10"/>
      <c r="JNK10"/>
      <c r="JNL10"/>
      <c r="JNM10"/>
      <c r="JNN10"/>
      <c r="JNO10"/>
      <c r="JNP10"/>
      <c r="JNQ10"/>
      <c r="JNR10"/>
      <c r="JNS10"/>
      <c r="JNT10"/>
      <c r="JNU10"/>
      <c r="JNV10"/>
      <c r="JNW10"/>
      <c r="JNX10"/>
      <c r="JNY10"/>
      <c r="JNZ10"/>
      <c r="JOA10"/>
      <c r="JOB10"/>
      <c r="JOC10"/>
      <c r="JOD10"/>
      <c r="JOE10"/>
      <c r="JOF10"/>
      <c r="JOG10"/>
      <c r="JOH10"/>
      <c r="JOI10"/>
      <c r="JOJ10"/>
      <c r="JOK10"/>
      <c r="JOL10"/>
      <c r="JOM10"/>
      <c r="JON10"/>
      <c r="JOO10"/>
      <c r="JOP10"/>
      <c r="JOQ10"/>
      <c r="JOR10"/>
      <c r="JOS10"/>
      <c r="JOT10"/>
      <c r="JOU10"/>
      <c r="JOV10"/>
      <c r="JOW10"/>
      <c r="JOX10"/>
      <c r="JOY10"/>
      <c r="JOZ10"/>
      <c r="JPA10"/>
      <c r="JPB10"/>
      <c r="JPC10"/>
      <c r="JPD10"/>
      <c r="JPE10"/>
      <c r="JPF10"/>
      <c r="JPG10"/>
      <c r="JPH10"/>
      <c r="JPI10"/>
      <c r="JPJ10"/>
      <c r="JPK10"/>
      <c r="JPL10"/>
      <c r="JPM10"/>
      <c r="JPN10"/>
      <c r="JPO10"/>
      <c r="JPP10"/>
      <c r="JPQ10"/>
      <c r="JPR10"/>
      <c r="JPS10"/>
      <c r="JPT10"/>
      <c r="JPU10"/>
      <c r="JPV10"/>
      <c r="JPW10"/>
      <c r="JPX10"/>
      <c r="JPY10"/>
      <c r="JPZ10"/>
      <c r="JQA10"/>
      <c r="JQB10"/>
      <c r="JQC10"/>
      <c r="JQD10"/>
      <c r="JQE10"/>
      <c r="JQF10"/>
      <c r="JQG10"/>
      <c r="JQH10"/>
      <c r="JQI10"/>
      <c r="JQJ10"/>
      <c r="JQK10"/>
      <c r="JQL10"/>
      <c r="JQM10"/>
      <c r="JQN10"/>
      <c r="JQO10"/>
      <c r="JQP10"/>
      <c r="JQQ10"/>
      <c r="JQR10"/>
      <c r="JQS10"/>
      <c r="JQT10"/>
      <c r="JQU10"/>
      <c r="JQV10"/>
      <c r="JQW10"/>
      <c r="JQX10"/>
      <c r="JQY10"/>
      <c r="JQZ10"/>
      <c r="JRA10"/>
      <c r="JRB10"/>
      <c r="JRC10"/>
      <c r="JRD10"/>
      <c r="JRE10"/>
      <c r="JRF10"/>
      <c r="JRG10"/>
      <c r="JRH10"/>
      <c r="JRI10"/>
      <c r="JRJ10"/>
      <c r="JRK10"/>
      <c r="JRL10"/>
      <c r="JRM10"/>
      <c r="JRN10"/>
      <c r="JRO10"/>
      <c r="JRP10"/>
      <c r="JRQ10"/>
      <c r="JRR10"/>
      <c r="JRS10"/>
      <c r="JRT10"/>
      <c r="JRU10"/>
      <c r="JRV10"/>
      <c r="JRW10"/>
      <c r="JRX10"/>
      <c r="JRY10"/>
      <c r="JRZ10"/>
      <c r="JSA10"/>
      <c r="JSB10"/>
      <c r="JSC10"/>
      <c r="JSD10"/>
      <c r="JSE10"/>
      <c r="JSF10"/>
      <c r="JSG10"/>
      <c r="JSH10"/>
      <c r="JSI10"/>
      <c r="JSJ10"/>
      <c r="JSK10"/>
      <c r="JSL10"/>
      <c r="JSM10"/>
      <c r="JSN10"/>
      <c r="JSO10"/>
      <c r="JSP10"/>
      <c r="JSQ10"/>
      <c r="JSR10"/>
      <c r="JSS10"/>
      <c r="JST10"/>
      <c r="JSU10"/>
      <c r="JSV10"/>
      <c r="JSW10"/>
      <c r="JSX10"/>
      <c r="JSY10"/>
      <c r="JSZ10"/>
      <c r="JTA10"/>
      <c r="JTB10"/>
      <c r="JTC10"/>
      <c r="JTD10"/>
      <c r="JTE10"/>
      <c r="JTF10"/>
      <c r="JTG10"/>
      <c r="JTH10"/>
      <c r="JTI10"/>
      <c r="JTJ10"/>
      <c r="JTK10"/>
      <c r="JTL10"/>
      <c r="JTM10"/>
      <c r="JTN10"/>
      <c r="JTO10"/>
      <c r="JTP10"/>
      <c r="JTQ10"/>
      <c r="JTR10"/>
      <c r="JTS10"/>
      <c r="JTT10"/>
      <c r="JTU10"/>
      <c r="JTV10"/>
      <c r="JTW10"/>
      <c r="JTX10"/>
      <c r="JTY10"/>
      <c r="JTZ10"/>
      <c r="JUA10"/>
      <c r="JUB10"/>
      <c r="JUC10"/>
      <c r="JUD10"/>
      <c r="JUE10"/>
      <c r="JUF10"/>
      <c r="JUG10"/>
      <c r="JUH10"/>
      <c r="JUI10"/>
      <c r="JUJ10"/>
      <c r="JUK10"/>
      <c r="JUL10"/>
      <c r="JUM10"/>
      <c r="JUN10"/>
      <c r="JUO10"/>
      <c r="JUP10"/>
      <c r="JUQ10"/>
      <c r="JUR10"/>
      <c r="JUS10"/>
      <c r="JUT10"/>
      <c r="JUU10"/>
      <c r="JUV10"/>
      <c r="JUW10"/>
      <c r="JUX10"/>
      <c r="JUY10"/>
      <c r="JUZ10"/>
      <c r="JVA10"/>
      <c r="JVB10"/>
      <c r="JVC10"/>
      <c r="JVD10"/>
      <c r="JVE10"/>
      <c r="JVF10"/>
      <c r="JVG10"/>
      <c r="JVH10"/>
      <c r="JVI10"/>
      <c r="JVJ10"/>
      <c r="JVK10"/>
      <c r="JVL10"/>
      <c r="JVM10"/>
      <c r="JVN10"/>
      <c r="JVO10"/>
      <c r="JVP10"/>
      <c r="JVQ10"/>
      <c r="JVR10"/>
      <c r="JVS10"/>
      <c r="JVT10"/>
      <c r="JVU10"/>
      <c r="JVV10"/>
      <c r="JVW10"/>
      <c r="JVX10"/>
      <c r="JVY10"/>
      <c r="JVZ10"/>
      <c r="JWA10"/>
      <c r="JWB10"/>
      <c r="JWC10"/>
      <c r="JWD10"/>
      <c r="JWE10"/>
      <c r="JWF10"/>
      <c r="JWG10"/>
      <c r="JWH10"/>
      <c r="JWI10"/>
      <c r="JWJ10"/>
      <c r="JWK10"/>
      <c r="JWL10"/>
      <c r="JWM10"/>
      <c r="JWN10"/>
      <c r="JWO10"/>
      <c r="JWP10"/>
      <c r="JWQ10"/>
      <c r="JWR10"/>
      <c r="JWS10"/>
      <c r="JWT10"/>
      <c r="JWU10"/>
      <c r="JWV10"/>
      <c r="JWW10"/>
      <c r="JWX10"/>
      <c r="JWY10"/>
      <c r="JWZ10"/>
      <c r="JXA10"/>
      <c r="JXB10"/>
      <c r="JXC10"/>
      <c r="JXD10"/>
      <c r="JXE10"/>
      <c r="JXF10"/>
      <c r="JXG10"/>
      <c r="JXH10"/>
      <c r="JXI10"/>
      <c r="JXJ10"/>
      <c r="JXK10"/>
      <c r="JXL10"/>
      <c r="JXM10"/>
      <c r="JXN10"/>
      <c r="JXO10"/>
      <c r="JXP10"/>
      <c r="JXQ10"/>
      <c r="JXR10"/>
      <c r="JXS10"/>
      <c r="JXT10"/>
      <c r="JXU10"/>
      <c r="JXV10"/>
      <c r="JXW10"/>
      <c r="JXX10"/>
      <c r="JXY10"/>
      <c r="JXZ10"/>
      <c r="JYA10"/>
      <c r="JYB10"/>
      <c r="JYC10"/>
      <c r="JYD10"/>
      <c r="JYE10"/>
      <c r="JYF10"/>
      <c r="JYG10"/>
      <c r="JYH10"/>
      <c r="JYI10"/>
      <c r="JYJ10"/>
      <c r="JYK10"/>
      <c r="JYL10"/>
      <c r="JYM10"/>
      <c r="JYN10"/>
      <c r="JYO10"/>
      <c r="JYP10"/>
      <c r="JYQ10"/>
      <c r="JYR10"/>
      <c r="JYS10"/>
      <c r="JYT10"/>
      <c r="JYU10"/>
      <c r="JYV10"/>
      <c r="JYW10"/>
      <c r="JYX10"/>
      <c r="JYY10"/>
      <c r="JYZ10"/>
      <c r="JZA10"/>
      <c r="JZB10"/>
      <c r="JZC10"/>
      <c r="JZD10"/>
      <c r="JZE10"/>
      <c r="JZF10"/>
      <c r="JZG10"/>
      <c r="JZH10"/>
      <c r="JZI10"/>
      <c r="JZJ10"/>
      <c r="JZK10"/>
      <c r="JZL10"/>
      <c r="JZM10"/>
      <c r="JZN10"/>
      <c r="JZO10"/>
      <c r="JZP10"/>
      <c r="JZQ10"/>
      <c r="JZR10"/>
      <c r="JZS10"/>
      <c r="JZT10"/>
      <c r="JZU10"/>
      <c r="JZV10"/>
      <c r="JZW10"/>
      <c r="JZX10"/>
      <c r="JZY10"/>
      <c r="JZZ10"/>
      <c r="KAA10"/>
      <c r="KAB10"/>
      <c r="KAC10"/>
      <c r="KAD10"/>
      <c r="KAE10"/>
      <c r="KAF10"/>
      <c r="KAG10"/>
      <c r="KAH10"/>
      <c r="KAI10"/>
      <c r="KAJ10"/>
      <c r="KAK10"/>
      <c r="KAL10"/>
      <c r="KAM10"/>
      <c r="KAN10"/>
      <c r="KAO10"/>
      <c r="KAP10"/>
      <c r="KAQ10"/>
      <c r="KAR10"/>
      <c r="KAS10"/>
      <c r="KAT10"/>
      <c r="KAU10"/>
      <c r="KAV10"/>
      <c r="KAW10"/>
      <c r="KAX10"/>
      <c r="KAY10"/>
      <c r="KAZ10"/>
      <c r="KBA10"/>
      <c r="KBB10"/>
      <c r="KBC10"/>
      <c r="KBD10"/>
      <c r="KBE10"/>
      <c r="KBF10"/>
      <c r="KBG10"/>
      <c r="KBH10"/>
      <c r="KBI10"/>
      <c r="KBJ10"/>
      <c r="KBK10"/>
      <c r="KBL10"/>
      <c r="KBM10"/>
      <c r="KBN10"/>
      <c r="KBO10"/>
      <c r="KBP10"/>
      <c r="KBQ10"/>
      <c r="KBR10"/>
      <c r="KBS10"/>
      <c r="KBT10"/>
      <c r="KBU10"/>
      <c r="KBV10"/>
      <c r="KBW10"/>
      <c r="KBX10"/>
      <c r="KBY10"/>
      <c r="KBZ10"/>
      <c r="KCA10"/>
      <c r="KCB10"/>
      <c r="KCC10"/>
      <c r="KCD10"/>
      <c r="KCE10"/>
      <c r="KCF10"/>
      <c r="KCG10"/>
      <c r="KCH10"/>
      <c r="KCI10"/>
      <c r="KCJ10"/>
      <c r="KCK10"/>
      <c r="KCL10"/>
      <c r="KCM10"/>
      <c r="KCN10"/>
      <c r="KCO10"/>
      <c r="KCP10"/>
      <c r="KCQ10"/>
      <c r="KCR10"/>
      <c r="KCS10"/>
      <c r="KCT10"/>
      <c r="KCU10"/>
      <c r="KCV10"/>
      <c r="KCW10"/>
      <c r="KCX10"/>
      <c r="KCY10"/>
      <c r="KCZ10"/>
      <c r="KDA10"/>
      <c r="KDB10"/>
      <c r="KDC10"/>
      <c r="KDD10"/>
      <c r="KDE10"/>
      <c r="KDF10"/>
      <c r="KDG10"/>
      <c r="KDH10"/>
      <c r="KDI10"/>
      <c r="KDJ10"/>
      <c r="KDK10"/>
      <c r="KDL10"/>
      <c r="KDM10"/>
      <c r="KDN10"/>
      <c r="KDO10"/>
      <c r="KDP10"/>
      <c r="KDQ10"/>
      <c r="KDR10"/>
      <c r="KDS10"/>
      <c r="KDT10"/>
      <c r="KDU10"/>
      <c r="KDV10"/>
      <c r="KDW10"/>
      <c r="KDX10"/>
      <c r="KDY10"/>
      <c r="KDZ10"/>
      <c r="KEA10"/>
      <c r="KEB10"/>
      <c r="KEC10"/>
      <c r="KED10"/>
      <c r="KEE10"/>
      <c r="KEF10"/>
      <c r="KEG10"/>
      <c r="KEH10"/>
      <c r="KEI10"/>
      <c r="KEJ10"/>
      <c r="KEK10"/>
      <c r="KEL10"/>
      <c r="KEM10"/>
      <c r="KEN10"/>
      <c r="KEO10"/>
      <c r="KEP10"/>
      <c r="KEQ10"/>
      <c r="KER10"/>
      <c r="KES10"/>
      <c r="KET10"/>
      <c r="KEU10"/>
      <c r="KEV10"/>
      <c r="KEW10"/>
      <c r="KEX10"/>
      <c r="KEY10"/>
      <c r="KEZ10"/>
      <c r="KFA10"/>
      <c r="KFB10"/>
      <c r="KFC10"/>
      <c r="KFD10"/>
      <c r="KFE10"/>
      <c r="KFF10"/>
      <c r="KFG10"/>
      <c r="KFH10"/>
      <c r="KFI10"/>
      <c r="KFJ10"/>
      <c r="KFK10"/>
      <c r="KFL10"/>
      <c r="KFM10"/>
      <c r="KFN10"/>
      <c r="KFO10"/>
      <c r="KFP10"/>
      <c r="KFQ10"/>
      <c r="KFR10"/>
      <c r="KFS10"/>
      <c r="KFT10"/>
      <c r="KFU10"/>
      <c r="KFV10"/>
      <c r="KFW10"/>
      <c r="KFX10"/>
      <c r="KFY10"/>
      <c r="KFZ10"/>
      <c r="KGA10"/>
      <c r="KGB10"/>
      <c r="KGC10"/>
      <c r="KGD10"/>
      <c r="KGE10"/>
      <c r="KGF10"/>
      <c r="KGG10"/>
      <c r="KGH10"/>
      <c r="KGI10"/>
      <c r="KGJ10"/>
      <c r="KGK10"/>
      <c r="KGL10"/>
      <c r="KGM10"/>
      <c r="KGN10"/>
      <c r="KGO10"/>
      <c r="KGP10"/>
      <c r="KGQ10"/>
      <c r="KGR10"/>
      <c r="KGS10"/>
      <c r="KGT10"/>
      <c r="KGU10"/>
      <c r="KGV10"/>
      <c r="KGW10"/>
      <c r="KGX10"/>
      <c r="KGY10"/>
      <c r="KGZ10"/>
      <c r="KHA10"/>
      <c r="KHB10"/>
      <c r="KHC10"/>
      <c r="KHD10"/>
      <c r="KHE10"/>
      <c r="KHF10"/>
      <c r="KHG10"/>
      <c r="KHH10"/>
      <c r="KHI10"/>
      <c r="KHJ10"/>
      <c r="KHK10"/>
      <c r="KHL10"/>
      <c r="KHM10"/>
      <c r="KHN10"/>
      <c r="KHO10"/>
      <c r="KHP10"/>
      <c r="KHQ10"/>
      <c r="KHR10"/>
      <c r="KHS10"/>
      <c r="KHT10"/>
      <c r="KHU10"/>
      <c r="KHV10"/>
      <c r="KHW10"/>
      <c r="KHX10"/>
      <c r="KHY10"/>
      <c r="KHZ10"/>
      <c r="KIA10"/>
      <c r="KIB10"/>
      <c r="KIC10"/>
      <c r="KID10"/>
      <c r="KIE10"/>
      <c r="KIF10"/>
      <c r="KIG10"/>
      <c r="KIH10"/>
      <c r="KII10"/>
      <c r="KIJ10"/>
      <c r="KIK10"/>
      <c r="KIL10"/>
      <c r="KIM10"/>
      <c r="KIN10"/>
      <c r="KIO10"/>
      <c r="KIP10"/>
      <c r="KIQ10"/>
      <c r="KIR10"/>
      <c r="KIS10"/>
      <c r="KIT10"/>
      <c r="KIU10"/>
      <c r="KIV10"/>
      <c r="KIW10"/>
      <c r="KIX10"/>
      <c r="KIY10"/>
      <c r="KIZ10"/>
      <c r="KJA10"/>
      <c r="KJB10"/>
      <c r="KJC10"/>
      <c r="KJD10"/>
      <c r="KJE10"/>
      <c r="KJF10"/>
      <c r="KJG10"/>
      <c r="KJH10"/>
      <c r="KJI10"/>
      <c r="KJJ10"/>
      <c r="KJK10"/>
      <c r="KJL10"/>
      <c r="KJM10"/>
      <c r="KJN10"/>
      <c r="KJO10"/>
      <c r="KJP10"/>
      <c r="KJQ10"/>
      <c r="KJR10"/>
      <c r="KJS10"/>
      <c r="KJT10"/>
      <c r="KJU10"/>
      <c r="KJV10"/>
      <c r="KJW10"/>
      <c r="KJX10"/>
      <c r="KJY10"/>
      <c r="KJZ10"/>
      <c r="KKA10"/>
      <c r="KKB10"/>
      <c r="KKC10"/>
      <c r="KKD10"/>
      <c r="KKE10"/>
      <c r="KKF10"/>
      <c r="KKG10"/>
      <c r="KKH10"/>
      <c r="KKI10"/>
      <c r="KKJ10"/>
      <c r="KKK10"/>
      <c r="KKL10"/>
      <c r="KKM10"/>
      <c r="KKN10"/>
      <c r="KKO10"/>
      <c r="KKP10"/>
      <c r="KKQ10"/>
      <c r="KKR10"/>
      <c r="KKS10"/>
      <c r="KKT10"/>
      <c r="KKU10"/>
      <c r="KKV10"/>
      <c r="KKW10"/>
      <c r="KKX10"/>
      <c r="KKY10"/>
      <c r="KKZ10"/>
      <c r="KLA10"/>
      <c r="KLB10"/>
      <c r="KLC10"/>
      <c r="KLD10"/>
      <c r="KLE10"/>
      <c r="KLF10"/>
      <c r="KLG10"/>
      <c r="KLH10"/>
      <c r="KLI10"/>
      <c r="KLJ10"/>
      <c r="KLK10"/>
      <c r="KLL10"/>
      <c r="KLM10"/>
      <c r="KLN10"/>
      <c r="KLO10"/>
      <c r="KLP10"/>
      <c r="KLQ10"/>
      <c r="KLR10"/>
      <c r="KLS10"/>
      <c r="KLT10"/>
      <c r="KLU10"/>
      <c r="KLV10"/>
      <c r="KLW10"/>
      <c r="KLX10"/>
      <c r="KLY10"/>
      <c r="KLZ10"/>
      <c r="KMA10"/>
      <c r="KMB10"/>
      <c r="KMC10"/>
      <c r="KMD10"/>
      <c r="KME10"/>
      <c r="KMF10"/>
      <c r="KMG10"/>
      <c r="KMH10"/>
      <c r="KMI10"/>
      <c r="KMJ10"/>
      <c r="KMK10"/>
      <c r="KML10"/>
      <c r="KMM10"/>
      <c r="KMN10"/>
      <c r="KMO10"/>
      <c r="KMP10"/>
      <c r="KMQ10"/>
      <c r="KMR10"/>
      <c r="KMS10"/>
      <c r="KMT10"/>
      <c r="KMU10"/>
      <c r="KMV10"/>
      <c r="KMW10"/>
      <c r="KMX10"/>
      <c r="KMY10"/>
      <c r="KMZ10"/>
      <c r="KNA10"/>
      <c r="KNB10"/>
      <c r="KNC10"/>
      <c r="KND10"/>
      <c r="KNE10"/>
      <c r="KNF10"/>
      <c r="KNG10"/>
      <c r="KNH10"/>
      <c r="KNI10"/>
      <c r="KNJ10"/>
      <c r="KNK10"/>
      <c r="KNL10"/>
      <c r="KNM10"/>
      <c r="KNN10"/>
      <c r="KNO10"/>
      <c r="KNP10"/>
      <c r="KNQ10"/>
      <c r="KNR10"/>
      <c r="KNS10"/>
      <c r="KNT10"/>
      <c r="KNU10"/>
      <c r="KNV10"/>
      <c r="KNW10"/>
      <c r="KNX10"/>
      <c r="KNY10"/>
      <c r="KNZ10"/>
      <c r="KOA10"/>
      <c r="KOB10"/>
      <c r="KOC10"/>
      <c r="KOD10"/>
      <c r="KOE10"/>
      <c r="KOF10"/>
      <c r="KOG10"/>
      <c r="KOH10"/>
      <c r="KOI10"/>
      <c r="KOJ10"/>
      <c r="KOK10"/>
      <c r="KOL10"/>
      <c r="KOM10"/>
      <c r="KON10"/>
      <c r="KOO10"/>
      <c r="KOP10"/>
      <c r="KOQ10"/>
      <c r="KOR10"/>
      <c r="KOS10"/>
      <c r="KOT10"/>
      <c r="KOU10"/>
      <c r="KOV10"/>
      <c r="KOW10"/>
      <c r="KOX10"/>
      <c r="KOY10"/>
      <c r="KOZ10"/>
      <c r="KPA10"/>
      <c r="KPB10"/>
      <c r="KPC10"/>
      <c r="KPD10"/>
      <c r="KPE10"/>
      <c r="KPF10"/>
      <c r="KPG10"/>
      <c r="KPH10"/>
      <c r="KPI10"/>
      <c r="KPJ10"/>
      <c r="KPK10"/>
      <c r="KPL10"/>
      <c r="KPM10"/>
      <c r="KPN10"/>
      <c r="KPO10"/>
      <c r="KPP10"/>
      <c r="KPQ10"/>
      <c r="KPR10"/>
      <c r="KPS10"/>
      <c r="KPT10"/>
      <c r="KPU10"/>
      <c r="KPV10"/>
      <c r="KPW10"/>
      <c r="KPX10"/>
      <c r="KPY10"/>
      <c r="KPZ10"/>
      <c r="KQA10"/>
      <c r="KQB10"/>
      <c r="KQC10"/>
      <c r="KQD10"/>
      <c r="KQE10"/>
      <c r="KQF10"/>
      <c r="KQG10"/>
      <c r="KQH10"/>
      <c r="KQI10"/>
      <c r="KQJ10"/>
      <c r="KQK10"/>
      <c r="KQL10"/>
      <c r="KQM10"/>
      <c r="KQN10"/>
      <c r="KQO10"/>
      <c r="KQP10"/>
      <c r="KQQ10"/>
      <c r="KQR10"/>
      <c r="KQS10"/>
      <c r="KQT10"/>
      <c r="KQU10"/>
      <c r="KQV10"/>
      <c r="KQW10"/>
      <c r="KQX10"/>
      <c r="KQY10"/>
      <c r="KQZ10"/>
      <c r="KRA10"/>
      <c r="KRB10"/>
      <c r="KRC10"/>
      <c r="KRD10"/>
      <c r="KRE10"/>
      <c r="KRF10"/>
      <c r="KRG10"/>
      <c r="KRH10"/>
      <c r="KRI10"/>
      <c r="KRJ10"/>
      <c r="KRK10"/>
      <c r="KRL10"/>
      <c r="KRM10"/>
      <c r="KRN10"/>
      <c r="KRO10"/>
      <c r="KRP10"/>
      <c r="KRQ10"/>
      <c r="KRR10"/>
      <c r="KRS10"/>
      <c r="KRT10"/>
      <c r="KRU10"/>
      <c r="KRV10"/>
      <c r="KRW10"/>
      <c r="KRX10"/>
      <c r="KRY10"/>
      <c r="KRZ10"/>
      <c r="KSA10"/>
      <c r="KSB10"/>
      <c r="KSC10"/>
      <c r="KSD10"/>
      <c r="KSE10"/>
      <c r="KSF10"/>
      <c r="KSG10"/>
      <c r="KSH10"/>
      <c r="KSI10"/>
      <c r="KSJ10"/>
      <c r="KSK10"/>
      <c r="KSL10"/>
      <c r="KSM10"/>
      <c r="KSN10"/>
      <c r="KSO10"/>
      <c r="KSP10"/>
      <c r="KSQ10"/>
      <c r="KSR10"/>
      <c r="KSS10"/>
      <c r="KST10"/>
      <c r="KSU10"/>
      <c r="KSV10"/>
      <c r="KSW10"/>
      <c r="KSX10"/>
      <c r="KSY10"/>
      <c r="KSZ10"/>
      <c r="KTA10"/>
      <c r="KTB10"/>
      <c r="KTC10"/>
      <c r="KTD10"/>
      <c r="KTE10"/>
      <c r="KTF10"/>
      <c r="KTG10"/>
      <c r="KTH10"/>
      <c r="KTI10"/>
      <c r="KTJ10"/>
      <c r="KTK10"/>
      <c r="KTL10"/>
      <c r="KTM10"/>
      <c r="KTN10"/>
      <c r="KTO10"/>
      <c r="KTP10"/>
      <c r="KTQ10"/>
      <c r="KTR10"/>
      <c r="KTS10"/>
      <c r="KTT10"/>
      <c r="KTU10"/>
      <c r="KTV10"/>
      <c r="KTW10"/>
      <c r="KTX10"/>
      <c r="KTY10"/>
      <c r="KTZ10"/>
      <c r="KUA10"/>
      <c r="KUB10"/>
      <c r="KUC10"/>
      <c r="KUD10"/>
      <c r="KUE10"/>
      <c r="KUF10"/>
      <c r="KUG10"/>
      <c r="KUH10"/>
      <c r="KUI10"/>
      <c r="KUJ10"/>
      <c r="KUK10"/>
      <c r="KUL10"/>
      <c r="KUM10"/>
      <c r="KUN10"/>
      <c r="KUO10"/>
      <c r="KUP10"/>
      <c r="KUQ10"/>
      <c r="KUR10"/>
      <c r="KUS10"/>
      <c r="KUT10"/>
      <c r="KUU10"/>
      <c r="KUV10"/>
      <c r="KUW10"/>
      <c r="KUX10"/>
      <c r="KUY10"/>
      <c r="KUZ10"/>
      <c r="KVA10"/>
      <c r="KVB10"/>
      <c r="KVC10"/>
      <c r="KVD10"/>
      <c r="KVE10"/>
      <c r="KVF10"/>
      <c r="KVG10"/>
      <c r="KVH10"/>
      <c r="KVI10"/>
      <c r="KVJ10"/>
      <c r="KVK10"/>
      <c r="KVL10"/>
      <c r="KVM10"/>
      <c r="KVN10"/>
      <c r="KVO10"/>
      <c r="KVP10"/>
      <c r="KVQ10"/>
      <c r="KVR10"/>
      <c r="KVS10"/>
      <c r="KVT10"/>
      <c r="KVU10"/>
      <c r="KVV10"/>
      <c r="KVW10"/>
      <c r="KVX10"/>
      <c r="KVY10"/>
      <c r="KVZ10"/>
      <c r="KWA10"/>
      <c r="KWB10"/>
      <c r="KWC10"/>
      <c r="KWD10"/>
      <c r="KWE10"/>
      <c r="KWF10"/>
      <c r="KWG10"/>
      <c r="KWH10"/>
      <c r="KWI10"/>
      <c r="KWJ10"/>
      <c r="KWK10"/>
      <c r="KWL10"/>
      <c r="KWM10"/>
      <c r="KWN10"/>
      <c r="KWO10"/>
      <c r="KWP10"/>
      <c r="KWQ10"/>
      <c r="KWR10"/>
      <c r="KWS10"/>
      <c r="KWT10"/>
      <c r="KWU10"/>
      <c r="KWV10"/>
      <c r="KWW10"/>
      <c r="KWX10"/>
      <c r="KWY10"/>
      <c r="KWZ10"/>
      <c r="KXA10"/>
      <c r="KXB10"/>
      <c r="KXC10"/>
      <c r="KXD10"/>
      <c r="KXE10"/>
      <c r="KXF10"/>
      <c r="KXG10"/>
      <c r="KXH10"/>
      <c r="KXI10"/>
      <c r="KXJ10"/>
      <c r="KXK10"/>
      <c r="KXL10"/>
      <c r="KXM10"/>
      <c r="KXN10"/>
      <c r="KXO10"/>
      <c r="KXP10"/>
      <c r="KXQ10"/>
      <c r="KXR10"/>
      <c r="KXS10"/>
      <c r="KXT10"/>
      <c r="KXU10"/>
      <c r="KXV10"/>
      <c r="KXW10"/>
      <c r="KXX10"/>
      <c r="KXY10"/>
      <c r="KXZ10"/>
      <c r="KYA10"/>
      <c r="KYB10"/>
      <c r="KYC10"/>
      <c r="KYD10"/>
      <c r="KYE10"/>
      <c r="KYF10"/>
      <c r="KYG10"/>
      <c r="KYH10"/>
      <c r="KYI10"/>
      <c r="KYJ10"/>
      <c r="KYK10"/>
      <c r="KYL10"/>
      <c r="KYM10"/>
      <c r="KYN10"/>
      <c r="KYO10"/>
      <c r="KYP10"/>
      <c r="KYQ10"/>
      <c r="KYR10"/>
      <c r="KYS10"/>
      <c r="KYT10"/>
      <c r="KYU10"/>
      <c r="KYV10"/>
      <c r="KYW10"/>
      <c r="KYX10"/>
      <c r="KYY10"/>
      <c r="KYZ10"/>
      <c r="KZA10"/>
      <c r="KZB10"/>
      <c r="KZC10"/>
      <c r="KZD10"/>
      <c r="KZE10"/>
      <c r="KZF10"/>
      <c r="KZG10"/>
      <c r="KZH10"/>
      <c r="KZI10"/>
      <c r="KZJ10"/>
      <c r="KZK10"/>
      <c r="KZL10"/>
      <c r="KZM10"/>
      <c r="KZN10"/>
      <c r="KZO10"/>
      <c r="KZP10"/>
      <c r="KZQ10"/>
      <c r="KZR10"/>
      <c r="KZS10"/>
      <c r="KZT10"/>
      <c r="KZU10"/>
      <c r="KZV10"/>
      <c r="KZW10"/>
      <c r="KZX10"/>
      <c r="KZY10"/>
      <c r="KZZ10"/>
      <c r="LAA10"/>
      <c r="LAB10"/>
      <c r="LAC10"/>
      <c r="LAD10"/>
      <c r="LAE10"/>
      <c r="LAF10"/>
      <c r="LAG10"/>
      <c r="LAH10"/>
      <c r="LAI10"/>
      <c r="LAJ10"/>
      <c r="LAK10"/>
      <c r="LAL10"/>
      <c r="LAM10"/>
      <c r="LAN10"/>
      <c r="LAO10"/>
      <c r="LAP10"/>
      <c r="LAQ10"/>
      <c r="LAR10"/>
      <c r="LAS10"/>
      <c r="LAT10"/>
      <c r="LAU10"/>
      <c r="LAV10"/>
      <c r="LAW10"/>
      <c r="LAX10"/>
      <c r="LAY10"/>
      <c r="LAZ10"/>
      <c r="LBA10"/>
      <c r="LBB10"/>
      <c r="LBC10"/>
      <c r="LBD10"/>
      <c r="LBE10"/>
      <c r="LBF10"/>
      <c r="LBG10"/>
      <c r="LBH10"/>
      <c r="LBI10"/>
      <c r="LBJ10"/>
      <c r="LBK10"/>
      <c r="LBL10"/>
      <c r="LBM10"/>
      <c r="LBN10"/>
      <c r="LBO10"/>
      <c r="LBP10"/>
      <c r="LBQ10"/>
      <c r="LBR10"/>
      <c r="LBS10"/>
      <c r="LBT10"/>
      <c r="LBU10"/>
      <c r="LBV10"/>
      <c r="LBW10"/>
      <c r="LBX10"/>
      <c r="LBY10"/>
      <c r="LBZ10"/>
      <c r="LCA10"/>
      <c r="LCB10"/>
      <c r="LCC10"/>
      <c r="LCD10"/>
      <c r="LCE10"/>
      <c r="LCF10"/>
      <c r="LCG10"/>
      <c r="LCH10"/>
      <c r="LCI10"/>
      <c r="LCJ10"/>
      <c r="LCK10"/>
      <c r="LCL10"/>
      <c r="LCM10"/>
      <c r="LCN10"/>
      <c r="LCO10"/>
      <c r="LCP10"/>
      <c r="LCQ10"/>
      <c r="LCR10"/>
      <c r="LCS10"/>
      <c r="LCT10"/>
      <c r="LCU10"/>
      <c r="LCV10"/>
      <c r="LCW10"/>
      <c r="LCX10"/>
      <c r="LCY10"/>
      <c r="LCZ10"/>
      <c r="LDA10"/>
      <c r="LDB10"/>
      <c r="LDC10"/>
      <c r="LDD10"/>
      <c r="LDE10"/>
      <c r="LDF10"/>
      <c r="LDG10"/>
      <c r="LDH10"/>
      <c r="LDI10"/>
      <c r="LDJ10"/>
      <c r="LDK10"/>
      <c r="LDL10"/>
      <c r="LDM10"/>
      <c r="LDN10"/>
      <c r="LDO10"/>
      <c r="LDP10"/>
      <c r="LDQ10"/>
      <c r="LDR10"/>
      <c r="LDS10"/>
      <c r="LDT10"/>
      <c r="LDU10"/>
      <c r="LDV10"/>
      <c r="LDW10"/>
      <c r="LDX10"/>
      <c r="LDY10"/>
      <c r="LDZ10"/>
      <c r="LEA10"/>
      <c r="LEB10"/>
      <c r="LEC10"/>
      <c r="LED10"/>
      <c r="LEE10"/>
      <c r="LEF10"/>
      <c r="LEG10"/>
      <c r="LEH10"/>
      <c r="LEI10"/>
      <c r="LEJ10"/>
      <c r="LEK10"/>
      <c r="LEL10"/>
      <c r="LEM10"/>
      <c r="LEN10"/>
      <c r="LEO10"/>
      <c r="LEP10"/>
      <c r="LEQ10"/>
      <c r="LER10"/>
      <c r="LES10"/>
      <c r="LET10"/>
      <c r="LEU10"/>
      <c r="LEV10"/>
      <c r="LEW10"/>
      <c r="LEX10"/>
      <c r="LEY10"/>
      <c r="LEZ10"/>
      <c r="LFA10"/>
      <c r="LFB10"/>
      <c r="LFC10"/>
      <c r="LFD10"/>
      <c r="LFE10"/>
      <c r="LFF10"/>
      <c r="LFG10"/>
      <c r="LFH10"/>
      <c r="LFI10"/>
      <c r="LFJ10"/>
      <c r="LFK10"/>
      <c r="LFL10"/>
      <c r="LFM10"/>
      <c r="LFN10"/>
      <c r="LFO10"/>
      <c r="LFP10"/>
      <c r="LFQ10"/>
      <c r="LFR10"/>
      <c r="LFS10"/>
      <c r="LFT10"/>
      <c r="LFU10"/>
      <c r="LFV10"/>
      <c r="LFW10"/>
      <c r="LFX10"/>
      <c r="LFY10"/>
      <c r="LFZ10"/>
      <c r="LGA10"/>
      <c r="LGB10"/>
      <c r="LGC10"/>
      <c r="LGD10"/>
      <c r="LGE10"/>
      <c r="LGF10"/>
      <c r="LGG10"/>
      <c r="LGH10"/>
      <c r="LGI10"/>
      <c r="LGJ10"/>
      <c r="LGK10"/>
      <c r="LGL10"/>
      <c r="LGM10"/>
      <c r="LGN10"/>
      <c r="LGO10"/>
      <c r="LGP10"/>
      <c r="LGQ10"/>
      <c r="LGR10"/>
      <c r="LGS10"/>
      <c r="LGT10"/>
      <c r="LGU10"/>
      <c r="LGV10"/>
      <c r="LGW10"/>
      <c r="LGX10"/>
      <c r="LGY10"/>
      <c r="LGZ10"/>
      <c r="LHA10"/>
      <c r="LHB10"/>
      <c r="LHC10"/>
      <c r="LHD10"/>
      <c r="LHE10"/>
      <c r="LHF10"/>
      <c r="LHG10"/>
      <c r="LHH10"/>
      <c r="LHI10"/>
      <c r="LHJ10"/>
      <c r="LHK10"/>
      <c r="LHL10"/>
      <c r="LHM10"/>
      <c r="LHN10"/>
      <c r="LHO10"/>
      <c r="LHP10"/>
      <c r="LHQ10"/>
      <c r="LHR10"/>
      <c r="LHS10"/>
      <c r="LHT10"/>
      <c r="LHU10"/>
      <c r="LHV10"/>
      <c r="LHW10"/>
      <c r="LHX10"/>
      <c r="LHY10"/>
      <c r="LHZ10"/>
      <c r="LIA10"/>
      <c r="LIB10"/>
      <c r="LIC10"/>
      <c r="LID10"/>
      <c r="LIE10"/>
      <c r="LIF10"/>
      <c r="LIG10"/>
      <c r="LIH10"/>
      <c r="LII10"/>
      <c r="LIJ10"/>
      <c r="LIK10"/>
      <c r="LIL10"/>
      <c r="LIM10"/>
      <c r="LIN10"/>
      <c r="LIO10"/>
      <c r="LIP10"/>
      <c r="LIQ10"/>
      <c r="LIR10"/>
      <c r="LIS10"/>
      <c r="LIT10"/>
      <c r="LIU10"/>
      <c r="LIV10"/>
      <c r="LIW10"/>
      <c r="LIX10"/>
      <c r="LIY10"/>
      <c r="LIZ10"/>
      <c r="LJA10"/>
      <c r="LJB10"/>
      <c r="LJC10"/>
      <c r="LJD10"/>
      <c r="LJE10"/>
      <c r="LJF10"/>
      <c r="LJG10"/>
      <c r="LJH10"/>
      <c r="LJI10"/>
      <c r="LJJ10"/>
      <c r="LJK10"/>
      <c r="LJL10"/>
      <c r="LJM10"/>
      <c r="LJN10"/>
      <c r="LJO10"/>
      <c r="LJP10"/>
      <c r="LJQ10"/>
      <c r="LJR10"/>
      <c r="LJS10"/>
      <c r="LJT10"/>
      <c r="LJU10"/>
      <c r="LJV10"/>
      <c r="LJW10"/>
      <c r="LJX10"/>
      <c r="LJY10"/>
      <c r="LJZ10"/>
      <c r="LKA10"/>
      <c r="LKB10"/>
      <c r="LKC10"/>
      <c r="LKD10"/>
      <c r="LKE10"/>
      <c r="LKF10"/>
      <c r="LKG10"/>
      <c r="LKH10"/>
      <c r="LKI10"/>
      <c r="LKJ10"/>
      <c r="LKK10"/>
      <c r="LKL10"/>
      <c r="LKM10"/>
      <c r="LKN10"/>
      <c r="LKO10"/>
      <c r="LKP10"/>
      <c r="LKQ10"/>
      <c r="LKR10"/>
      <c r="LKS10"/>
      <c r="LKT10"/>
      <c r="LKU10"/>
      <c r="LKV10"/>
      <c r="LKW10"/>
      <c r="LKX10"/>
      <c r="LKY10"/>
      <c r="LKZ10"/>
      <c r="LLA10"/>
      <c r="LLB10"/>
      <c r="LLC10"/>
      <c r="LLD10"/>
      <c r="LLE10"/>
      <c r="LLF10"/>
      <c r="LLG10"/>
      <c r="LLH10"/>
      <c r="LLI10"/>
      <c r="LLJ10"/>
      <c r="LLK10"/>
      <c r="LLL10"/>
      <c r="LLM10"/>
      <c r="LLN10"/>
      <c r="LLO10"/>
      <c r="LLP10"/>
      <c r="LLQ10"/>
      <c r="LLR10"/>
      <c r="LLS10"/>
      <c r="LLT10"/>
      <c r="LLU10"/>
      <c r="LLV10"/>
      <c r="LLW10"/>
      <c r="LLX10"/>
      <c r="LLY10"/>
      <c r="LLZ10"/>
      <c r="LMA10"/>
      <c r="LMB10"/>
      <c r="LMC10"/>
      <c r="LMD10"/>
      <c r="LME10"/>
      <c r="LMF10"/>
      <c r="LMG10"/>
      <c r="LMH10"/>
      <c r="LMI10"/>
      <c r="LMJ10"/>
      <c r="LMK10"/>
      <c r="LML10"/>
      <c r="LMM10"/>
      <c r="LMN10"/>
      <c r="LMO10"/>
      <c r="LMP10"/>
      <c r="LMQ10"/>
      <c r="LMR10"/>
      <c r="LMS10"/>
      <c r="LMT10"/>
      <c r="LMU10"/>
      <c r="LMV10"/>
      <c r="LMW10"/>
      <c r="LMX10"/>
      <c r="LMY10"/>
      <c r="LMZ10"/>
      <c r="LNA10"/>
      <c r="LNB10"/>
      <c r="LNC10"/>
      <c r="LND10"/>
      <c r="LNE10"/>
      <c r="LNF10"/>
      <c r="LNG10"/>
      <c r="LNH10"/>
      <c r="LNI10"/>
      <c r="LNJ10"/>
      <c r="LNK10"/>
      <c r="LNL10"/>
      <c r="LNM10"/>
      <c r="LNN10"/>
      <c r="LNO10"/>
      <c r="LNP10"/>
      <c r="LNQ10"/>
      <c r="LNR10"/>
      <c r="LNS10"/>
      <c r="LNT10"/>
      <c r="LNU10"/>
      <c r="LNV10"/>
      <c r="LNW10"/>
      <c r="LNX10"/>
      <c r="LNY10"/>
      <c r="LNZ10"/>
      <c r="LOA10"/>
      <c r="LOB10"/>
      <c r="LOC10"/>
      <c r="LOD10"/>
      <c r="LOE10"/>
      <c r="LOF10"/>
      <c r="LOG10"/>
      <c r="LOH10"/>
      <c r="LOI10"/>
      <c r="LOJ10"/>
      <c r="LOK10"/>
      <c r="LOL10"/>
      <c r="LOM10"/>
      <c r="LON10"/>
      <c r="LOO10"/>
      <c r="LOP10"/>
      <c r="LOQ10"/>
      <c r="LOR10"/>
      <c r="LOS10"/>
      <c r="LOT10"/>
      <c r="LOU10"/>
      <c r="LOV10"/>
      <c r="LOW10"/>
      <c r="LOX10"/>
      <c r="LOY10"/>
      <c r="LOZ10"/>
      <c r="LPA10"/>
      <c r="LPB10"/>
      <c r="LPC10"/>
      <c r="LPD10"/>
      <c r="LPE10"/>
      <c r="LPF10"/>
      <c r="LPG10"/>
      <c r="LPH10"/>
      <c r="LPI10"/>
      <c r="LPJ10"/>
      <c r="LPK10"/>
      <c r="LPL10"/>
      <c r="LPM10"/>
      <c r="LPN10"/>
      <c r="LPO10"/>
      <c r="LPP10"/>
      <c r="LPQ10"/>
      <c r="LPR10"/>
      <c r="LPS10"/>
      <c r="LPT10"/>
      <c r="LPU10"/>
      <c r="LPV10"/>
      <c r="LPW10"/>
      <c r="LPX10"/>
      <c r="LPY10"/>
      <c r="LPZ10"/>
      <c r="LQA10"/>
      <c r="LQB10"/>
      <c r="LQC10"/>
      <c r="LQD10"/>
      <c r="LQE10"/>
      <c r="LQF10"/>
      <c r="LQG10"/>
      <c r="LQH10"/>
      <c r="LQI10"/>
      <c r="LQJ10"/>
      <c r="LQK10"/>
      <c r="LQL10"/>
      <c r="LQM10"/>
      <c r="LQN10"/>
      <c r="LQO10"/>
      <c r="LQP10"/>
      <c r="LQQ10"/>
      <c r="LQR10"/>
      <c r="LQS10"/>
      <c r="LQT10"/>
      <c r="LQU10"/>
      <c r="LQV10"/>
      <c r="LQW10"/>
      <c r="LQX10"/>
      <c r="LQY10"/>
      <c r="LQZ10"/>
      <c r="LRA10"/>
      <c r="LRB10"/>
      <c r="LRC10"/>
      <c r="LRD10"/>
      <c r="LRE10"/>
      <c r="LRF10"/>
      <c r="LRG10"/>
      <c r="LRH10"/>
      <c r="LRI10"/>
      <c r="LRJ10"/>
      <c r="LRK10"/>
      <c r="LRL10"/>
      <c r="LRM10"/>
      <c r="LRN10"/>
      <c r="LRO10"/>
      <c r="LRP10"/>
      <c r="LRQ10"/>
      <c r="LRR10"/>
      <c r="LRS10"/>
      <c r="LRT10"/>
      <c r="LRU10"/>
      <c r="LRV10"/>
      <c r="LRW10"/>
      <c r="LRX10"/>
      <c r="LRY10"/>
      <c r="LRZ10"/>
      <c r="LSA10"/>
      <c r="LSB10"/>
      <c r="LSC10"/>
      <c r="LSD10"/>
      <c r="LSE10"/>
      <c r="LSF10"/>
      <c r="LSG10"/>
      <c r="LSH10"/>
      <c r="LSI10"/>
      <c r="LSJ10"/>
      <c r="LSK10"/>
      <c r="LSL10"/>
      <c r="LSM10"/>
      <c r="LSN10"/>
      <c r="LSO10"/>
      <c r="LSP10"/>
      <c r="LSQ10"/>
      <c r="LSR10"/>
      <c r="LSS10"/>
      <c r="LST10"/>
      <c r="LSU10"/>
      <c r="LSV10"/>
      <c r="LSW10"/>
      <c r="LSX10"/>
      <c r="LSY10"/>
      <c r="LSZ10"/>
      <c r="LTA10"/>
      <c r="LTB10"/>
      <c r="LTC10"/>
      <c r="LTD10"/>
      <c r="LTE10"/>
      <c r="LTF10"/>
      <c r="LTG10"/>
      <c r="LTH10"/>
      <c r="LTI10"/>
      <c r="LTJ10"/>
      <c r="LTK10"/>
      <c r="LTL10"/>
      <c r="LTM10"/>
      <c r="LTN10"/>
      <c r="LTO10"/>
      <c r="LTP10"/>
      <c r="LTQ10"/>
      <c r="LTR10"/>
      <c r="LTS10"/>
      <c r="LTT10"/>
      <c r="LTU10"/>
      <c r="LTV10"/>
      <c r="LTW10"/>
      <c r="LTX10"/>
      <c r="LTY10"/>
      <c r="LTZ10"/>
      <c r="LUA10"/>
      <c r="LUB10"/>
      <c r="LUC10"/>
      <c r="LUD10"/>
      <c r="LUE10"/>
      <c r="LUF10"/>
      <c r="LUG10"/>
      <c r="LUH10"/>
      <c r="LUI10"/>
      <c r="LUJ10"/>
      <c r="LUK10"/>
      <c r="LUL10"/>
      <c r="LUM10"/>
      <c r="LUN10"/>
      <c r="LUO10"/>
      <c r="LUP10"/>
      <c r="LUQ10"/>
      <c r="LUR10"/>
      <c r="LUS10"/>
      <c r="LUT10"/>
      <c r="LUU10"/>
      <c r="LUV10"/>
      <c r="LUW10"/>
      <c r="LUX10"/>
      <c r="LUY10"/>
      <c r="LUZ10"/>
      <c r="LVA10"/>
      <c r="LVB10"/>
      <c r="LVC10"/>
      <c r="LVD10"/>
      <c r="LVE10"/>
      <c r="LVF10"/>
      <c r="LVG10"/>
      <c r="LVH10"/>
      <c r="LVI10"/>
      <c r="LVJ10"/>
      <c r="LVK10"/>
      <c r="LVL10"/>
      <c r="LVM10"/>
      <c r="LVN10"/>
      <c r="LVO10"/>
      <c r="LVP10"/>
      <c r="LVQ10"/>
      <c r="LVR10"/>
      <c r="LVS10"/>
      <c r="LVT10"/>
      <c r="LVU10"/>
      <c r="LVV10"/>
      <c r="LVW10"/>
      <c r="LVX10"/>
      <c r="LVY10"/>
      <c r="LVZ10"/>
      <c r="LWA10"/>
      <c r="LWB10"/>
      <c r="LWC10"/>
      <c r="LWD10"/>
      <c r="LWE10"/>
      <c r="LWF10"/>
      <c r="LWG10"/>
      <c r="LWH10"/>
      <c r="LWI10"/>
      <c r="LWJ10"/>
      <c r="LWK10"/>
      <c r="LWL10"/>
      <c r="LWM10"/>
      <c r="LWN10"/>
      <c r="LWO10"/>
      <c r="LWP10"/>
      <c r="LWQ10"/>
      <c r="LWR10"/>
      <c r="LWS10"/>
      <c r="LWT10"/>
      <c r="LWU10"/>
      <c r="LWV10"/>
      <c r="LWW10"/>
      <c r="LWX10"/>
      <c r="LWY10"/>
      <c r="LWZ10"/>
      <c r="LXA10"/>
      <c r="LXB10"/>
      <c r="LXC10"/>
      <c r="LXD10"/>
      <c r="LXE10"/>
      <c r="LXF10"/>
      <c r="LXG10"/>
      <c r="LXH10"/>
      <c r="LXI10"/>
      <c r="LXJ10"/>
      <c r="LXK10"/>
      <c r="LXL10"/>
      <c r="LXM10"/>
      <c r="LXN10"/>
      <c r="LXO10"/>
      <c r="LXP10"/>
      <c r="LXQ10"/>
      <c r="LXR10"/>
      <c r="LXS10"/>
      <c r="LXT10"/>
      <c r="LXU10"/>
      <c r="LXV10"/>
      <c r="LXW10"/>
      <c r="LXX10"/>
      <c r="LXY10"/>
      <c r="LXZ10"/>
      <c r="LYA10"/>
      <c r="LYB10"/>
      <c r="LYC10"/>
      <c r="LYD10"/>
      <c r="LYE10"/>
      <c r="LYF10"/>
      <c r="LYG10"/>
      <c r="LYH10"/>
      <c r="LYI10"/>
      <c r="LYJ10"/>
      <c r="LYK10"/>
      <c r="LYL10"/>
      <c r="LYM10"/>
      <c r="LYN10"/>
      <c r="LYO10"/>
      <c r="LYP10"/>
      <c r="LYQ10"/>
      <c r="LYR10"/>
      <c r="LYS10"/>
      <c r="LYT10"/>
      <c r="LYU10"/>
      <c r="LYV10"/>
      <c r="LYW10"/>
      <c r="LYX10"/>
      <c r="LYY10"/>
      <c r="LYZ10"/>
      <c r="LZA10"/>
      <c r="LZB10"/>
      <c r="LZC10"/>
      <c r="LZD10"/>
      <c r="LZE10"/>
      <c r="LZF10"/>
      <c r="LZG10"/>
      <c r="LZH10"/>
      <c r="LZI10"/>
      <c r="LZJ10"/>
      <c r="LZK10"/>
      <c r="LZL10"/>
      <c r="LZM10"/>
      <c r="LZN10"/>
      <c r="LZO10"/>
      <c r="LZP10"/>
      <c r="LZQ10"/>
      <c r="LZR10"/>
      <c r="LZS10"/>
      <c r="LZT10"/>
      <c r="LZU10"/>
      <c r="LZV10"/>
      <c r="LZW10"/>
      <c r="LZX10"/>
      <c r="LZY10"/>
      <c r="LZZ10"/>
      <c r="MAA10"/>
      <c r="MAB10"/>
      <c r="MAC10"/>
      <c r="MAD10"/>
      <c r="MAE10"/>
      <c r="MAF10"/>
      <c r="MAG10"/>
      <c r="MAH10"/>
      <c r="MAI10"/>
      <c r="MAJ10"/>
      <c r="MAK10"/>
      <c r="MAL10"/>
      <c r="MAM10"/>
      <c r="MAN10"/>
      <c r="MAO10"/>
      <c r="MAP10"/>
      <c r="MAQ10"/>
      <c r="MAR10"/>
      <c r="MAS10"/>
      <c r="MAT10"/>
      <c r="MAU10"/>
      <c r="MAV10"/>
      <c r="MAW10"/>
      <c r="MAX10"/>
      <c r="MAY10"/>
      <c r="MAZ10"/>
      <c r="MBA10"/>
      <c r="MBB10"/>
      <c r="MBC10"/>
      <c r="MBD10"/>
      <c r="MBE10"/>
      <c r="MBF10"/>
      <c r="MBG10"/>
      <c r="MBH10"/>
      <c r="MBI10"/>
      <c r="MBJ10"/>
      <c r="MBK10"/>
      <c r="MBL10"/>
      <c r="MBM10"/>
      <c r="MBN10"/>
      <c r="MBO10"/>
      <c r="MBP10"/>
      <c r="MBQ10"/>
      <c r="MBR10"/>
      <c r="MBS10"/>
      <c r="MBT10"/>
      <c r="MBU10"/>
      <c r="MBV10"/>
      <c r="MBW10"/>
      <c r="MBX10"/>
      <c r="MBY10"/>
      <c r="MBZ10"/>
      <c r="MCA10"/>
      <c r="MCB10"/>
      <c r="MCC10"/>
      <c r="MCD10"/>
      <c r="MCE10"/>
      <c r="MCF10"/>
      <c r="MCG10"/>
      <c r="MCH10"/>
      <c r="MCI10"/>
      <c r="MCJ10"/>
      <c r="MCK10"/>
      <c r="MCL10"/>
      <c r="MCM10"/>
      <c r="MCN10"/>
      <c r="MCO10"/>
      <c r="MCP10"/>
      <c r="MCQ10"/>
      <c r="MCR10"/>
      <c r="MCS10"/>
      <c r="MCT10"/>
      <c r="MCU10"/>
      <c r="MCV10"/>
      <c r="MCW10"/>
      <c r="MCX10"/>
      <c r="MCY10"/>
      <c r="MCZ10"/>
      <c r="MDA10"/>
      <c r="MDB10"/>
      <c r="MDC10"/>
      <c r="MDD10"/>
      <c r="MDE10"/>
      <c r="MDF10"/>
      <c r="MDG10"/>
      <c r="MDH10"/>
      <c r="MDI10"/>
      <c r="MDJ10"/>
      <c r="MDK10"/>
      <c r="MDL10"/>
      <c r="MDM10"/>
      <c r="MDN10"/>
      <c r="MDO10"/>
      <c r="MDP10"/>
      <c r="MDQ10"/>
      <c r="MDR10"/>
      <c r="MDS10"/>
      <c r="MDT10"/>
      <c r="MDU10"/>
      <c r="MDV10"/>
      <c r="MDW10"/>
      <c r="MDX10"/>
      <c r="MDY10"/>
      <c r="MDZ10"/>
      <c r="MEA10"/>
      <c r="MEB10"/>
      <c r="MEC10"/>
      <c r="MED10"/>
      <c r="MEE10"/>
      <c r="MEF10"/>
      <c r="MEG10"/>
      <c r="MEH10"/>
      <c r="MEI10"/>
      <c r="MEJ10"/>
      <c r="MEK10"/>
      <c r="MEL10"/>
      <c r="MEM10"/>
      <c r="MEN10"/>
      <c r="MEO10"/>
      <c r="MEP10"/>
      <c r="MEQ10"/>
      <c r="MER10"/>
      <c r="MES10"/>
      <c r="MET10"/>
      <c r="MEU10"/>
      <c r="MEV10"/>
      <c r="MEW10"/>
      <c r="MEX10"/>
      <c r="MEY10"/>
      <c r="MEZ10"/>
      <c r="MFA10"/>
      <c r="MFB10"/>
      <c r="MFC10"/>
      <c r="MFD10"/>
      <c r="MFE10"/>
      <c r="MFF10"/>
      <c r="MFG10"/>
      <c r="MFH10"/>
      <c r="MFI10"/>
      <c r="MFJ10"/>
      <c r="MFK10"/>
      <c r="MFL10"/>
      <c r="MFM10"/>
      <c r="MFN10"/>
      <c r="MFO10"/>
      <c r="MFP10"/>
      <c r="MFQ10"/>
      <c r="MFR10"/>
      <c r="MFS10"/>
      <c r="MFT10"/>
      <c r="MFU10"/>
      <c r="MFV10"/>
      <c r="MFW10"/>
      <c r="MFX10"/>
      <c r="MFY10"/>
      <c r="MFZ10"/>
      <c r="MGA10"/>
      <c r="MGB10"/>
      <c r="MGC10"/>
      <c r="MGD10"/>
      <c r="MGE10"/>
      <c r="MGF10"/>
      <c r="MGG10"/>
      <c r="MGH10"/>
      <c r="MGI10"/>
      <c r="MGJ10"/>
      <c r="MGK10"/>
      <c r="MGL10"/>
      <c r="MGM10"/>
      <c r="MGN10"/>
      <c r="MGO10"/>
      <c r="MGP10"/>
      <c r="MGQ10"/>
      <c r="MGR10"/>
      <c r="MGS10"/>
      <c r="MGT10"/>
      <c r="MGU10"/>
      <c r="MGV10"/>
      <c r="MGW10"/>
      <c r="MGX10"/>
      <c r="MGY10"/>
      <c r="MGZ10"/>
      <c r="MHA10"/>
      <c r="MHB10"/>
      <c r="MHC10"/>
      <c r="MHD10"/>
      <c r="MHE10"/>
      <c r="MHF10"/>
      <c r="MHG10"/>
      <c r="MHH10"/>
      <c r="MHI10"/>
      <c r="MHJ10"/>
      <c r="MHK10"/>
      <c r="MHL10"/>
      <c r="MHM10"/>
      <c r="MHN10"/>
      <c r="MHO10"/>
      <c r="MHP10"/>
      <c r="MHQ10"/>
      <c r="MHR10"/>
      <c r="MHS10"/>
      <c r="MHT10"/>
      <c r="MHU10"/>
      <c r="MHV10"/>
      <c r="MHW10"/>
      <c r="MHX10"/>
      <c r="MHY10"/>
      <c r="MHZ10"/>
      <c r="MIA10"/>
      <c r="MIB10"/>
      <c r="MIC10"/>
      <c r="MID10"/>
      <c r="MIE10"/>
      <c r="MIF10"/>
      <c r="MIG10"/>
      <c r="MIH10"/>
      <c r="MII10"/>
      <c r="MIJ10"/>
      <c r="MIK10"/>
      <c r="MIL10"/>
      <c r="MIM10"/>
      <c r="MIN10"/>
      <c r="MIO10"/>
      <c r="MIP10"/>
      <c r="MIQ10"/>
      <c r="MIR10"/>
      <c r="MIS10"/>
      <c r="MIT10"/>
      <c r="MIU10"/>
      <c r="MIV10"/>
      <c r="MIW10"/>
      <c r="MIX10"/>
      <c r="MIY10"/>
      <c r="MIZ10"/>
      <c r="MJA10"/>
      <c r="MJB10"/>
      <c r="MJC10"/>
      <c r="MJD10"/>
      <c r="MJE10"/>
      <c r="MJF10"/>
      <c r="MJG10"/>
      <c r="MJH10"/>
      <c r="MJI10"/>
      <c r="MJJ10"/>
      <c r="MJK10"/>
      <c r="MJL10"/>
      <c r="MJM10"/>
      <c r="MJN10"/>
      <c r="MJO10"/>
      <c r="MJP10"/>
      <c r="MJQ10"/>
      <c r="MJR10"/>
      <c r="MJS10"/>
      <c r="MJT10"/>
      <c r="MJU10"/>
      <c r="MJV10"/>
      <c r="MJW10"/>
      <c r="MJX10"/>
      <c r="MJY10"/>
      <c r="MJZ10"/>
      <c r="MKA10"/>
      <c r="MKB10"/>
      <c r="MKC10"/>
      <c r="MKD10"/>
      <c r="MKE10"/>
      <c r="MKF10"/>
      <c r="MKG10"/>
      <c r="MKH10"/>
      <c r="MKI10"/>
      <c r="MKJ10"/>
      <c r="MKK10"/>
      <c r="MKL10"/>
      <c r="MKM10"/>
      <c r="MKN10"/>
      <c r="MKO10"/>
      <c r="MKP10"/>
      <c r="MKQ10"/>
      <c r="MKR10"/>
      <c r="MKS10"/>
      <c r="MKT10"/>
      <c r="MKU10"/>
      <c r="MKV10"/>
      <c r="MKW10"/>
      <c r="MKX10"/>
      <c r="MKY10"/>
      <c r="MKZ10"/>
      <c r="MLA10"/>
      <c r="MLB10"/>
      <c r="MLC10"/>
      <c r="MLD10"/>
      <c r="MLE10"/>
      <c r="MLF10"/>
      <c r="MLG10"/>
      <c r="MLH10"/>
      <c r="MLI10"/>
      <c r="MLJ10"/>
      <c r="MLK10"/>
      <c r="MLL10"/>
      <c r="MLM10"/>
      <c r="MLN10"/>
      <c r="MLO10"/>
      <c r="MLP10"/>
      <c r="MLQ10"/>
      <c r="MLR10"/>
      <c r="MLS10"/>
      <c r="MLT10"/>
      <c r="MLU10"/>
      <c r="MLV10"/>
      <c r="MLW10"/>
      <c r="MLX10"/>
      <c r="MLY10"/>
      <c r="MLZ10"/>
      <c r="MMA10"/>
      <c r="MMB10"/>
      <c r="MMC10"/>
      <c r="MMD10"/>
      <c r="MME10"/>
      <c r="MMF10"/>
      <c r="MMG10"/>
      <c r="MMH10"/>
      <c r="MMI10"/>
      <c r="MMJ10"/>
      <c r="MMK10"/>
      <c r="MML10"/>
      <c r="MMM10"/>
      <c r="MMN10"/>
      <c r="MMO10"/>
      <c r="MMP10"/>
      <c r="MMQ10"/>
      <c r="MMR10"/>
      <c r="MMS10"/>
      <c r="MMT10"/>
      <c r="MMU10"/>
      <c r="MMV10"/>
      <c r="MMW10"/>
      <c r="MMX10"/>
      <c r="MMY10"/>
      <c r="MMZ10"/>
      <c r="MNA10"/>
      <c r="MNB10"/>
      <c r="MNC10"/>
      <c r="MND10"/>
      <c r="MNE10"/>
      <c r="MNF10"/>
      <c r="MNG10"/>
      <c r="MNH10"/>
      <c r="MNI10"/>
      <c r="MNJ10"/>
      <c r="MNK10"/>
      <c r="MNL10"/>
      <c r="MNM10"/>
      <c r="MNN10"/>
      <c r="MNO10"/>
      <c r="MNP10"/>
      <c r="MNQ10"/>
      <c r="MNR10"/>
      <c r="MNS10"/>
      <c r="MNT10"/>
      <c r="MNU10"/>
      <c r="MNV10"/>
      <c r="MNW10"/>
      <c r="MNX10"/>
      <c r="MNY10"/>
      <c r="MNZ10"/>
      <c r="MOA10"/>
      <c r="MOB10"/>
      <c r="MOC10"/>
      <c r="MOD10"/>
      <c r="MOE10"/>
      <c r="MOF10"/>
      <c r="MOG10"/>
      <c r="MOH10"/>
      <c r="MOI10"/>
      <c r="MOJ10"/>
      <c r="MOK10"/>
      <c r="MOL10"/>
      <c r="MOM10"/>
      <c r="MON10"/>
      <c r="MOO10"/>
      <c r="MOP10"/>
      <c r="MOQ10"/>
      <c r="MOR10"/>
      <c r="MOS10"/>
      <c r="MOT10"/>
      <c r="MOU10"/>
      <c r="MOV10"/>
      <c r="MOW10"/>
      <c r="MOX10"/>
      <c r="MOY10"/>
      <c r="MOZ10"/>
      <c r="MPA10"/>
      <c r="MPB10"/>
      <c r="MPC10"/>
      <c r="MPD10"/>
      <c r="MPE10"/>
      <c r="MPF10"/>
      <c r="MPG10"/>
      <c r="MPH10"/>
      <c r="MPI10"/>
      <c r="MPJ10"/>
      <c r="MPK10"/>
      <c r="MPL10"/>
      <c r="MPM10"/>
      <c r="MPN10"/>
      <c r="MPO10"/>
      <c r="MPP10"/>
      <c r="MPQ10"/>
      <c r="MPR10"/>
      <c r="MPS10"/>
      <c r="MPT10"/>
      <c r="MPU10"/>
      <c r="MPV10"/>
      <c r="MPW10"/>
      <c r="MPX10"/>
      <c r="MPY10"/>
      <c r="MPZ10"/>
      <c r="MQA10"/>
      <c r="MQB10"/>
      <c r="MQC10"/>
      <c r="MQD10"/>
      <c r="MQE10"/>
      <c r="MQF10"/>
      <c r="MQG10"/>
      <c r="MQH10"/>
      <c r="MQI10"/>
      <c r="MQJ10"/>
      <c r="MQK10"/>
      <c r="MQL10"/>
      <c r="MQM10"/>
      <c r="MQN10"/>
      <c r="MQO10"/>
      <c r="MQP10"/>
      <c r="MQQ10"/>
      <c r="MQR10"/>
      <c r="MQS10"/>
      <c r="MQT10"/>
      <c r="MQU10"/>
      <c r="MQV10"/>
      <c r="MQW10"/>
      <c r="MQX10"/>
      <c r="MQY10"/>
      <c r="MQZ10"/>
      <c r="MRA10"/>
      <c r="MRB10"/>
      <c r="MRC10"/>
      <c r="MRD10"/>
      <c r="MRE10"/>
      <c r="MRF10"/>
      <c r="MRG10"/>
      <c r="MRH10"/>
      <c r="MRI10"/>
      <c r="MRJ10"/>
      <c r="MRK10"/>
      <c r="MRL10"/>
      <c r="MRM10"/>
      <c r="MRN10"/>
      <c r="MRO10"/>
      <c r="MRP10"/>
      <c r="MRQ10"/>
      <c r="MRR10"/>
      <c r="MRS10"/>
      <c r="MRT10"/>
      <c r="MRU10"/>
      <c r="MRV10"/>
      <c r="MRW10"/>
      <c r="MRX10"/>
      <c r="MRY10"/>
      <c r="MRZ10"/>
      <c r="MSA10"/>
      <c r="MSB10"/>
      <c r="MSC10"/>
      <c r="MSD10"/>
      <c r="MSE10"/>
      <c r="MSF10"/>
      <c r="MSG10"/>
      <c r="MSH10"/>
      <c r="MSI10"/>
      <c r="MSJ10"/>
      <c r="MSK10"/>
      <c r="MSL10"/>
      <c r="MSM10"/>
      <c r="MSN10"/>
      <c r="MSO10"/>
      <c r="MSP10"/>
      <c r="MSQ10"/>
      <c r="MSR10"/>
      <c r="MSS10"/>
      <c r="MST10"/>
      <c r="MSU10"/>
      <c r="MSV10"/>
      <c r="MSW10"/>
      <c r="MSX10"/>
      <c r="MSY10"/>
      <c r="MSZ10"/>
      <c r="MTA10"/>
      <c r="MTB10"/>
      <c r="MTC10"/>
      <c r="MTD10"/>
      <c r="MTE10"/>
      <c r="MTF10"/>
      <c r="MTG10"/>
      <c r="MTH10"/>
      <c r="MTI10"/>
      <c r="MTJ10"/>
      <c r="MTK10"/>
      <c r="MTL10"/>
      <c r="MTM10"/>
      <c r="MTN10"/>
      <c r="MTO10"/>
      <c r="MTP10"/>
      <c r="MTQ10"/>
      <c r="MTR10"/>
      <c r="MTS10"/>
      <c r="MTT10"/>
      <c r="MTU10"/>
      <c r="MTV10"/>
      <c r="MTW10"/>
      <c r="MTX10"/>
      <c r="MTY10"/>
      <c r="MTZ10"/>
      <c r="MUA10"/>
      <c r="MUB10"/>
      <c r="MUC10"/>
      <c r="MUD10"/>
      <c r="MUE10"/>
      <c r="MUF10"/>
      <c r="MUG10"/>
      <c r="MUH10"/>
      <c r="MUI10"/>
      <c r="MUJ10"/>
      <c r="MUK10"/>
      <c r="MUL10"/>
      <c r="MUM10"/>
      <c r="MUN10"/>
      <c r="MUO10"/>
      <c r="MUP10"/>
      <c r="MUQ10"/>
      <c r="MUR10"/>
      <c r="MUS10"/>
      <c r="MUT10"/>
      <c r="MUU10"/>
      <c r="MUV10"/>
      <c r="MUW10"/>
      <c r="MUX10"/>
      <c r="MUY10"/>
      <c r="MUZ10"/>
      <c r="MVA10"/>
      <c r="MVB10"/>
      <c r="MVC10"/>
      <c r="MVD10"/>
      <c r="MVE10"/>
      <c r="MVF10"/>
      <c r="MVG10"/>
      <c r="MVH10"/>
      <c r="MVI10"/>
      <c r="MVJ10"/>
      <c r="MVK10"/>
      <c r="MVL10"/>
      <c r="MVM10"/>
      <c r="MVN10"/>
      <c r="MVO10"/>
      <c r="MVP10"/>
      <c r="MVQ10"/>
      <c r="MVR10"/>
      <c r="MVS10"/>
      <c r="MVT10"/>
      <c r="MVU10"/>
      <c r="MVV10"/>
      <c r="MVW10"/>
      <c r="MVX10"/>
      <c r="MVY10"/>
      <c r="MVZ10"/>
      <c r="MWA10"/>
      <c r="MWB10"/>
      <c r="MWC10"/>
      <c r="MWD10"/>
      <c r="MWE10"/>
      <c r="MWF10"/>
      <c r="MWG10"/>
      <c r="MWH10"/>
      <c r="MWI10"/>
      <c r="MWJ10"/>
      <c r="MWK10"/>
      <c r="MWL10"/>
      <c r="MWM10"/>
      <c r="MWN10"/>
      <c r="MWO10"/>
      <c r="MWP10"/>
      <c r="MWQ10"/>
      <c r="MWR10"/>
      <c r="MWS10"/>
      <c r="MWT10"/>
      <c r="MWU10"/>
      <c r="MWV10"/>
      <c r="MWW10"/>
      <c r="MWX10"/>
      <c r="MWY10"/>
      <c r="MWZ10"/>
      <c r="MXA10"/>
      <c r="MXB10"/>
      <c r="MXC10"/>
      <c r="MXD10"/>
      <c r="MXE10"/>
      <c r="MXF10"/>
      <c r="MXG10"/>
      <c r="MXH10"/>
      <c r="MXI10"/>
      <c r="MXJ10"/>
      <c r="MXK10"/>
      <c r="MXL10"/>
      <c r="MXM10"/>
      <c r="MXN10"/>
      <c r="MXO10"/>
      <c r="MXP10"/>
      <c r="MXQ10"/>
      <c r="MXR10"/>
      <c r="MXS10"/>
      <c r="MXT10"/>
      <c r="MXU10"/>
      <c r="MXV10"/>
      <c r="MXW10"/>
      <c r="MXX10"/>
      <c r="MXY10"/>
      <c r="MXZ10"/>
      <c r="MYA10"/>
      <c r="MYB10"/>
      <c r="MYC10"/>
      <c r="MYD10"/>
      <c r="MYE10"/>
      <c r="MYF10"/>
      <c r="MYG10"/>
      <c r="MYH10"/>
      <c r="MYI10"/>
      <c r="MYJ10"/>
      <c r="MYK10"/>
      <c r="MYL10"/>
      <c r="MYM10"/>
      <c r="MYN10"/>
      <c r="MYO10"/>
      <c r="MYP10"/>
      <c r="MYQ10"/>
      <c r="MYR10"/>
      <c r="MYS10"/>
      <c r="MYT10"/>
      <c r="MYU10"/>
      <c r="MYV10"/>
      <c r="MYW10"/>
      <c r="MYX10"/>
      <c r="MYY10"/>
      <c r="MYZ10"/>
      <c r="MZA10"/>
      <c r="MZB10"/>
      <c r="MZC10"/>
      <c r="MZD10"/>
      <c r="MZE10"/>
      <c r="MZF10"/>
      <c r="MZG10"/>
      <c r="MZH10"/>
      <c r="MZI10"/>
      <c r="MZJ10"/>
      <c r="MZK10"/>
      <c r="MZL10"/>
      <c r="MZM10"/>
      <c r="MZN10"/>
      <c r="MZO10"/>
      <c r="MZP10"/>
      <c r="MZQ10"/>
      <c r="MZR10"/>
      <c r="MZS10"/>
      <c r="MZT10"/>
      <c r="MZU10"/>
      <c r="MZV10"/>
      <c r="MZW10"/>
      <c r="MZX10"/>
      <c r="MZY10"/>
      <c r="MZZ10"/>
      <c r="NAA10"/>
      <c r="NAB10"/>
      <c r="NAC10"/>
      <c r="NAD10"/>
      <c r="NAE10"/>
      <c r="NAF10"/>
      <c r="NAG10"/>
      <c r="NAH10"/>
      <c r="NAI10"/>
      <c r="NAJ10"/>
      <c r="NAK10"/>
      <c r="NAL10"/>
      <c r="NAM10"/>
      <c r="NAN10"/>
      <c r="NAO10"/>
      <c r="NAP10"/>
      <c r="NAQ10"/>
      <c r="NAR10"/>
      <c r="NAS10"/>
      <c r="NAT10"/>
      <c r="NAU10"/>
      <c r="NAV10"/>
      <c r="NAW10"/>
      <c r="NAX10"/>
      <c r="NAY10"/>
      <c r="NAZ10"/>
      <c r="NBA10"/>
      <c r="NBB10"/>
      <c r="NBC10"/>
      <c r="NBD10"/>
      <c r="NBE10"/>
      <c r="NBF10"/>
      <c r="NBG10"/>
      <c r="NBH10"/>
      <c r="NBI10"/>
      <c r="NBJ10"/>
      <c r="NBK10"/>
      <c r="NBL10"/>
      <c r="NBM10"/>
      <c r="NBN10"/>
      <c r="NBO10"/>
      <c r="NBP10"/>
      <c r="NBQ10"/>
      <c r="NBR10"/>
      <c r="NBS10"/>
      <c r="NBT10"/>
      <c r="NBU10"/>
      <c r="NBV10"/>
      <c r="NBW10"/>
      <c r="NBX10"/>
      <c r="NBY10"/>
      <c r="NBZ10"/>
      <c r="NCA10"/>
      <c r="NCB10"/>
      <c r="NCC10"/>
      <c r="NCD10"/>
      <c r="NCE10"/>
      <c r="NCF10"/>
      <c r="NCG10"/>
      <c r="NCH10"/>
      <c r="NCI10"/>
      <c r="NCJ10"/>
      <c r="NCK10"/>
      <c r="NCL10"/>
      <c r="NCM10"/>
      <c r="NCN10"/>
      <c r="NCO10"/>
      <c r="NCP10"/>
      <c r="NCQ10"/>
      <c r="NCR10"/>
      <c r="NCS10"/>
      <c r="NCT10"/>
      <c r="NCU10"/>
      <c r="NCV10"/>
      <c r="NCW10"/>
      <c r="NCX10"/>
      <c r="NCY10"/>
      <c r="NCZ10"/>
      <c r="NDA10"/>
      <c r="NDB10"/>
      <c r="NDC10"/>
      <c r="NDD10"/>
      <c r="NDE10"/>
      <c r="NDF10"/>
      <c r="NDG10"/>
      <c r="NDH10"/>
      <c r="NDI10"/>
      <c r="NDJ10"/>
      <c r="NDK10"/>
      <c r="NDL10"/>
      <c r="NDM10"/>
      <c r="NDN10"/>
      <c r="NDO10"/>
      <c r="NDP10"/>
      <c r="NDQ10"/>
      <c r="NDR10"/>
      <c r="NDS10"/>
      <c r="NDT10"/>
      <c r="NDU10"/>
      <c r="NDV10"/>
      <c r="NDW10"/>
      <c r="NDX10"/>
      <c r="NDY10"/>
      <c r="NDZ10"/>
      <c r="NEA10"/>
      <c r="NEB10"/>
      <c r="NEC10"/>
      <c r="NED10"/>
      <c r="NEE10"/>
      <c r="NEF10"/>
      <c r="NEG10"/>
      <c r="NEH10"/>
      <c r="NEI10"/>
      <c r="NEJ10"/>
      <c r="NEK10"/>
      <c r="NEL10"/>
      <c r="NEM10"/>
      <c r="NEN10"/>
      <c r="NEO10"/>
      <c r="NEP10"/>
      <c r="NEQ10"/>
      <c r="NER10"/>
      <c r="NES10"/>
      <c r="NET10"/>
      <c r="NEU10"/>
      <c r="NEV10"/>
      <c r="NEW10"/>
      <c r="NEX10"/>
      <c r="NEY10"/>
      <c r="NEZ10"/>
      <c r="NFA10"/>
      <c r="NFB10"/>
      <c r="NFC10"/>
      <c r="NFD10"/>
      <c r="NFE10"/>
      <c r="NFF10"/>
      <c r="NFG10"/>
      <c r="NFH10"/>
      <c r="NFI10"/>
      <c r="NFJ10"/>
      <c r="NFK10"/>
      <c r="NFL10"/>
      <c r="NFM10"/>
      <c r="NFN10"/>
      <c r="NFO10"/>
      <c r="NFP10"/>
      <c r="NFQ10"/>
      <c r="NFR10"/>
      <c r="NFS10"/>
      <c r="NFT10"/>
      <c r="NFU10"/>
      <c r="NFV10"/>
      <c r="NFW10"/>
      <c r="NFX10"/>
      <c r="NFY10"/>
      <c r="NFZ10"/>
      <c r="NGA10"/>
      <c r="NGB10"/>
      <c r="NGC10"/>
      <c r="NGD10"/>
      <c r="NGE10"/>
      <c r="NGF10"/>
      <c r="NGG10"/>
      <c r="NGH10"/>
      <c r="NGI10"/>
      <c r="NGJ10"/>
      <c r="NGK10"/>
      <c r="NGL10"/>
      <c r="NGM10"/>
      <c r="NGN10"/>
      <c r="NGO10"/>
      <c r="NGP10"/>
      <c r="NGQ10"/>
      <c r="NGR10"/>
      <c r="NGS10"/>
      <c r="NGT10"/>
      <c r="NGU10"/>
      <c r="NGV10"/>
      <c r="NGW10"/>
      <c r="NGX10"/>
      <c r="NGY10"/>
      <c r="NGZ10"/>
      <c r="NHA10"/>
      <c r="NHB10"/>
      <c r="NHC10"/>
      <c r="NHD10"/>
      <c r="NHE10"/>
      <c r="NHF10"/>
      <c r="NHG10"/>
      <c r="NHH10"/>
      <c r="NHI10"/>
      <c r="NHJ10"/>
      <c r="NHK10"/>
      <c r="NHL10"/>
      <c r="NHM10"/>
      <c r="NHN10"/>
      <c r="NHO10"/>
      <c r="NHP10"/>
      <c r="NHQ10"/>
      <c r="NHR10"/>
      <c r="NHS10"/>
      <c r="NHT10"/>
      <c r="NHU10"/>
      <c r="NHV10"/>
      <c r="NHW10"/>
      <c r="NHX10"/>
      <c r="NHY10"/>
      <c r="NHZ10"/>
      <c r="NIA10"/>
      <c r="NIB10"/>
      <c r="NIC10"/>
      <c r="NID10"/>
      <c r="NIE10"/>
      <c r="NIF10"/>
      <c r="NIG10"/>
      <c r="NIH10"/>
      <c r="NII10"/>
      <c r="NIJ10"/>
      <c r="NIK10"/>
      <c r="NIL10"/>
      <c r="NIM10"/>
      <c r="NIN10"/>
      <c r="NIO10"/>
      <c r="NIP10"/>
      <c r="NIQ10"/>
      <c r="NIR10"/>
      <c r="NIS10"/>
      <c r="NIT10"/>
      <c r="NIU10"/>
      <c r="NIV10"/>
      <c r="NIW10"/>
      <c r="NIX10"/>
      <c r="NIY10"/>
      <c r="NIZ10"/>
      <c r="NJA10"/>
      <c r="NJB10"/>
      <c r="NJC10"/>
      <c r="NJD10"/>
      <c r="NJE10"/>
      <c r="NJF10"/>
      <c r="NJG10"/>
      <c r="NJH10"/>
      <c r="NJI10"/>
      <c r="NJJ10"/>
      <c r="NJK10"/>
      <c r="NJL10"/>
      <c r="NJM10"/>
      <c r="NJN10"/>
      <c r="NJO10"/>
      <c r="NJP10"/>
      <c r="NJQ10"/>
      <c r="NJR10"/>
      <c r="NJS10"/>
      <c r="NJT10"/>
      <c r="NJU10"/>
      <c r="NJV10"/>
      <c r="NJW10"/>
      <c r="NJX10"/>
      <c r="NJY10"/>
      <c r="NJZ10"/>
      <c r="NKA10"/>
      <c r="NKB10"/>
      <c r="NKC10"/>
      <c r="NKD10"/>
      <c r="NKE10"/>
      <c r="NKF10"/>
      <c r="NKG10"/>
      <c r="NKH10"/>
      <c r="NKI10"/>
      <c r="NKJ10"/>
      <c r="NKK10"/>
      <c r="NKL10"/>
      <c r="NKM10"/>
      <c r="NKN10"/>
      <c r="NKO10"/>
      <c r="NKP10"/>
      <c r="NKQ10"/>
      <c r="NKR10"/>
      <c r="NKS10"/>
      <c r="NKT10"/>
      <c r="NKU10"/>
      <c r="NKV10"/>
      <c r="NKW10"/>
      <c r="NKX10"/>
      <c r="NKY10"/>
      <c r="NKZ10"/>
      <c r="NLA10"/>
      <c r="NLB10"/>
      <c r="NLC10"/>
      <c r="NLD10"/>
      <c r="NLE10"/>
      <c r="NLF10"/>
      <c r="NLG10"/>
      <c r="NLH10"/>
      <c r="NLI10"/>
      <c r="NLJ10"/>
      <c r="NLK10"/>
      <c r="NLL10"/>
      <c r="NLM10"/>
      <c r="NLN10"/>
      <c r="NLO10"/>
      <c r="NLP10"/>
      <c r="NLQ10"/>
      <c r="NLR10"/>
      <c r="NLS10"/>
      <c r="NLT10"/>
      <c r="NLU10"/>
      <c r="NLV10"/>
      <c r="NLW10"/>
      <c r="NLX10"/>
      <c r="NLY10"/>
      <c r="NLZ10"/>
      <c r="NMA10"/>
      <c r="NMB10"/>
      <c r="NMC10"/>
      <c r="NMD10"/>
      <c r="NME10"/>
      <c r="NMF10"/>
      <c r="NMG10"/>
      <c r="NMH10"/>
      <c r="NMI10"/>
      <c r="NMJ10"/>
      <c r="NMK10"/>
      <c r="NML10"/>
      <c r="NMM10"/>
      <c r="NMN10"/>
      <c r="NMO10"/>
      <c r="NMP10"/>
      <c r="NMQ10"/>
      <c r="NMR10"/>
      <c r="NMS10"/>
      <c r="NMT10"/>
      <c r="NMU10"/>
      <c r="NMV10"/>
      <c r="NMW10"/>
      <c r="NMX10"/>
      <c r="NMY10"/>
      <c r="NMZ10"/>
      <c r="NNA10"/>
      <c r="NNB10"/>
      <c r="NNC10"/>
      <c r="NND10"/>
      <c r="NNE10"/>
      <c r="NNF10"/>
      <c r="NNG10"/>
      <c r="NNH10"/>
      <c r="NNI10"/>
      <c r="NNJ10"/>
      <c r="NNK10"/>
      <c r="NNL10"/>
      <c r="NNM10"/>
      <c r="NNN10"/>
      <c r="NNO10"/>
      <c r="NNP10"/>
      <c r="NNQ10"/>
      <c r="NNR10"/>
      <c r="NNS10"/>
      <c r="NNT10"/>
      <c r="NNU10"/>
      <c r="NNV10"/>
      <c r="NNW10"/>
      <c r="NNX10"/>
      <c r="NNY10"/>
      <c r="NNZ10"/>
      <c r="NOA10"/>
      <c r="NOB10"/>
      <c r="NOC10"/>
      <c r="NOD10"/>
      <c r="NOE10"/>
      <c r="NOF10"/>
      <c r="NOG10"/>
      <c r="NOH10"/>
      <c r="NOI10"/>
      <c r="NOJ10"/>
      <c r="NOK10"/>
      <c r="NOL10"/>
      <c r="NOM10"/>
      <c r="NON10"/>
      <c r="NOO10"/>
      <c r="NOP10"/>
      <c r="NOQ10"/>
      <c r="NOR10"/>
      <c r="NOS10"/>
      <c r="NOT10"/>
      <c r="NOU10"/>
      <c r="NOV10"/>
      <c r="NOW10"/>
      <c r="NOX10"/>
      <c r="NOY10"/>
      <c r="NOZ10"/>
      <c r="NPA10"/>
      <c r="NPB10"/>
      <c r="NPC10"/>
      <c r="NPD10"/>
      <c r="NPE10"/>
      <c r="NPF10"/>
      <c r="NPG10"/>
      <c r="NPH10"/>
      <c r="NPI10"/>
      <c r="NPJ10"/>
      <c r="NPK10"/>
      <c r="NPL10"/>
      <c r="NPM10"/>
      <c r="NPN10"/>
      <c r="NPO10"/>
      <c r="NPP10"/>
      <c r="NPQ10"/>
      <c r="NPR10"/>
      <c r="NPS10"/>
      <c r="NPT10"/>
      <c r="NPU10"/>
      <c r="NPV10"/>
      <c r="NPW10"/>
      <c r="NPX10"/>
      <c r="NPY10"/>
      <c r="NPZ10"/>
      <c r="NQA10"/>
      <c r="NQB10"/>
      <c r="NQC10"/>
      <c r="NQD10"/>
      <c r="NQE10"/>
      <c r="NQF10"/>
      <c r="NQG10"/>
      <c r="NQH10"/>
      <c r="NQI10"/>
      <c r="NQJ10"/>
      <c r="NQK10"/>
      <c r="NQL10"/>
      <c r="NQM10"/>
      <c r="NQN10"/>
      <c r="NQO10"/>
      <c r="NQP10"/>
      <c r="NQQ10"/>
      <c r="NQR10"/>
      <c r="NQS10"/>
      <c r="NQT10"/>
      <c r="NQU10"/>
      <c r="NQV10"/>
      <c r="NQW10"/>
      <c r="NQX10"/>
      <c r="NQY10"/>
      <c r="NQZ10"/>
      <c r="NRA10"/>
      <c r="NRB10"/>
      <c r="NRC10"/>
      <c r="NRD10"/>
      <c r="NRE10"/>
      <c r="NRF10"/>
      <c r="NRG10"/>
      <c r="NRH10"/>
      <c r="NRI10"/>
      <c r="NRJ10"/>
      <c r="NRK10"/>
      <c r="NRL10"/>
      <c r="NRM10"/>
      <c r="NRN10"/>
      <c r="NRO10"/>
      <c r="NRP10"/>
      <c r="NRQ10"/>
      <c r="NRR10"/>
      <c r="NRS10"/>
      <c r="NRT10"/>
      <c r="NRU10"/>
      <c r="NRV10"/>
      <c r="NRW10"/>
      <c r="NRX10"/>
      <c r="NRY10"/>
      <c r="NRZ10"/>
      <c r="NSA10"/>
      <c r="NSB10"/>
      <c r="NSC10"/>
      <c r="NSD10"/>
      <c r="NSE10"/>
      <c r="NSF10"/>
      <c r="NSG10"/>
      <c r="NSH10"/>
      <c r="NSI10"/>
      <c r="NSJ10"/>
      <c r="NSK10"/>
      <c r="NSL10"/>
      <c r="NSM10"/>
      <c r="NSN10"/>
      <c r="NSO10"/>
      <c r="NSP10"/>
      <c r="NSQ10"/>
      <c r="NSR10"/>
      <c r="NSS10"/>
      <c r="NST10"/>
      <c r="NSU10"/>
      <c r="NSV10"/>
      <c r="NSW10"/>
      <c r="NSX10"/>
      <c r="NSY10"/>
      <c r="NSZ10"/>
      <c r="NTA10"/>
      <c r="NTB10"/>
      <c r="NTC10"/>
      <c r="NTD10"/>
      <c r="NTE10"/>
      <c r="NTF10"/>
      <c r="NTG10"/>
      <c r="NTH10"/>
      <c r="NTI10"/>
      <c r="NTJ10"/>
      <c r="NTK10"/>
      <c r="NTL10"/>
    </row>
    <row r="11" spans="1:9996" x14ac:dyDescent="0.25">
      <c r="G11" s="26" t="s">
        <v>234</v>
      </c>
    </row>
    <row r="12" spans="1:9996" ht="15.75" thickBot="1" x14ac:dyDescent="0.3"/>
    <row r="13" spans="1:9996" x14ac:dyDescent="0.25">
      <c r="A13"/>
      <c r="B13" s="17"/>
      <c r="C13" s="18"/>
      <c r="D13" s="19"/>
      <c r="E13"/>
      <c r="F13" s="8" t="s">
        <v>163</v>
      </c>
    </row>
    <row r="14" spans="1:9996" x14ac:dyDescent="0.25">
      <c r="A14"/>
      <c r="B14" s="20">
        <v>2</v>
      </c>
      <c r="C14" s="21" t="s">
        <v>129</v>
      </c>
      <c r="D14" s="22"/>
      <c r="E14"/>
      <c r="G14" s="1" t="s">
        <v>11</v>
      </c>
      <c r="H14"/>
      <c r="I14"/>
    </row>
    <row r="15" spans="1:9996" ht="15.75" thickBot="1" x14ac:dyDescent="0.3">
      <c r="A15"/>
      <c r="B15" s="20"/>
      <c r="C15" s="21" t="s">
        <v>117</v>
      </c>
      <c r="D15" s="22"/>
      <c r="E15"/>
      <c r="G15" s="2" t="s">
        <v>6</v>
      </c>
      <c r="H15"/>
    </row>
    <row r="16" spans="1:9996" x14ac:dyDescent="0.25">
      <c r="A16"/>
      <c r="B16" s="20"/>
      <c r="C16" s="21"/>
      <c r="D16" s="22"/>
      <c r="E16"/>
      <c r="G16" s="2" t="s">
        <v>7</v>
      </c>
      <c r="H16"/>
      <c r="J16" s="9" t="s">
        <v>162</v>
      </c>
      <c r="K16" s="10"/>
    </row>
    <row r="17" spans="1:11" x14ac:dyDescent="0.25">
      <c r="A17"/>
      <c r="B17" s="20" t="b">
        <v>1</v>
      </c>
      <c r="C17" s="21" t="s">
        <v>108</v>
      </c>
      <c r="D17" s="22"/>
      <c r="E17"/>
      <c r="G17" s="2" t="s">
        <v>18</v>
      </c>
      <c r="H17"/>
      <c r="J17" s="11" t="s">
        <v>147</v>
      </c>
      <c r="K17" s="12" t="s">
        <v>155</v>
      </c>
    </row>
    <row r="18" spans="1:11" x14ac:dyDescent="0.25">
      <c r="A18"/>
      <c r="B18" s="20" t="b">
        <v>1</v>
      </c>
      <c r="C18" s="21" t="s">
        <v>109</v>
      </c>
      <c r="D18" s="22"/>
      <c r="E18"/>
      <c r="G18" s="2" t="s">
        <v>8</v>
      </c>
      <c r="H18"/>
      <c r="J18" s="11" t="s">
        <v>148</v>
      </c>
      <c r="K18" s="12" t="s">
        <v>156</v>
      </c>
    </row>
    <row r="19" spans="1:11" x14ac:dyDescent="0.25">
      <c r="A19"/>
      <c r="B19" s="20" t="b">
        <v>1</v>
      </c>
      <c r="C19" s="21" t="s">
        <v>110</v>
      </c>
      <c r="D19" s="22"/>
      <c r="E19"/>
      <c r="F19" s="15"/>
      <c r="G19" s="2" t="s">
        <v>17</v>
      </c>
      <c r="H19"/>
      <c r="J19" s="11" t="s">
        <v>149</v>
      </c>
      <c r="K19" s="12" t="s">
        <v>157</v>
      </c>
    </row>
    <row r="20" spans="1:11" x14ac:dyDescent="0.25">
      <c r="A20"/>
      <c r="B20" s="20" t="b">
        <v>1</v>
      </c>
      <c r="C20" s="21" t="s">
        <v>111</v>
      </c>
      <c r="D20" s="22"/>
      <c r="E20"/>
      <c r="G20" s="2" t="s">
        <v>146</v>
      </c>
      <c r="H20"/>
      <c r="J20" s="11" t="s">
        <v>150</v>
      </c>
      <c r="K20" s="12" t="s">
        <v>158</v>
      </c>
    </row>
    <row r="21" spans="1:11" x14ac:dyDescent="0.25">
      <c r="A21"/>
      <c r="B21" s="20" t="b">
        <v>1</v>
      </c>
      <c r="C21" s="21" t="s">
        <v>112</v>
      </c>
      <c r="D21" s="22"/>
      <c r="E21"/>
      <c r="G21" s="2" t="s">
        <v>178</v>
      </c>
      <c r="H21"/>
      <c r="J21" s="11" t="s">
        <v>151</v>
      </c>
      <c r="K21" s="12" t="s">
        <v>159</v>
      </c>
    </row>
    <row r="22" spans="1:11" x14ac:dyDescent="0.25">
      <c r="A22"/>
      <c r="B22" s="20" t="b">
        <v>1</v>
      </c>
      <c r="C22" s="21" t="s">
        <v>113</v>
      </c>
      <c r="D22" s="22"/>
      <c r="E22"/>
      <c r="G22" s="2" t="s">
        <v>16</v>
      </c>
      <c r="H22"/>
      <c r="J22" s="11" t="s">
        <v>152</v>
      </c>
      <c r="K22" s="12" t="s">
        <v>116</v>
      </c>
    </row>
    <row r="23" spans="1:11" x14ac:dyDescent="0.25">
      <c r="A23"/>
      <c r="B23" s="20" t="b">
        <v>1</v>
      </c>
      <c r="C23" s="21" t="s">
        <v>114</v>
      </c>
      <c r="D23" s="22"/>
      <c r="E23"/>
      <c r="G23" s="2" t="s">
        <v>19</v>
      </c>
      <c r="H23"/>
      <c r="J23" s="11" t="s">
        <v>153</v>
      </c>
      <c r="K23" s="12" t="s">
        <v>160</v>
      </c>
    </row>
    <row r="24" spans="1:11" x14ac:dyDescent="0.25">
      <c r="A24"/>
      <c r="B24" s="20" t="b">
        <v>1</v>
      </c>
      <c r="C24" s="21" t="s">
        <v>115</v>
      </c>
      <c r="D24" s="22"/>
      <c r="E24"/>
      <c r="G24" s="2" t="s">
        <v>20</v>
      </c>
      <c r="H24"/>
      <c r="J24" s="11" t="s">
        <v>154</v>
      </c>
      <c r="K24" s="12" t="s">
        <v>161</v>
      </c>
    </row>
    <row r="25" spans="1:11" x14ac:dyDescent="0.25">
      <c r="A25"/>
      <c r="B25" s="20" t="b">
        <v>1</v>
      </c>
      <c r="C25" s="21" t="s">
        <v>116</v>
      </c>
      <c r="D25" s="22"/>
      <c r="E25"/>
      <c r="G25" s="2" t="s">
        <v>21</v>
      </c>
      <c r="H25"/>
      <c r="J25" s="11"/>
      <c r="K25" s="12"/>
    </row>
    <row r="26" spans="1:11" x14ac:dyDescent="0.25">
      <c r="A26"/>
      <c r="B26" s="20" t="b">
        <v>1</v>
      </c>
      <c r="C26" s="21" t="s">
        <v>139</v>
      </c>
      <c r="D26" s="22"/>
      <c r="E26"/>
      <c r="G26"/>
      <c r="H26"/>
      <c r="J26" s="11"/>
      <c r="K26" s="12"/>
    </row>
    <row r="27" spans="1:11" x14ac:dyDescent="0.25">
      <c r="A27"/>
      <c r="B27" s="20"/>
      <c r="C27" s="21"/>
      <c r="D27" s="22"/>
      <c r="E27"/>
      <c r="G27"/>
      <c r="H27"/>
      <c r="J27" s="11"/>
      <c r="K27" s="12"/>
    </row>
    <row r="28" spans="1:11" x14ac:dyDescent="0.25">
      <c r="A28"/>
      <c r="B28" s="20"/>
      <c r="C28" s="21"/>
      <c r="D28" s="22"/>
      <c r="E28"/>
      <c r="G28"/>
      <c r="H28"/>
      <c r="J28" s="11"/>
      <c r="K28" s="12"/>
    </row>
    <row r="29" spans="1:11" x14ac:dyDescent="0.25">
      <c r="A29"/>
      <c r="B29" s="20"/>
      <c r="C29" s="21"/>
      <c r="D29" s="22"/>
      <c r="E29"/>
      <c r="G29"/>
      <c r="H29"/>
      <c r="J29" s="11"/>
      <c r="K29" s="12"/>
    </row>
    <row r="30" spans="1:11" ht="15.75" thickBot="1" x14ac:dyDescent="0.3">
      <c r="A30"/>
      <c r="B30" s="20"/>
      <c r="C30" s="21"/>
      <c r="D30" s="22"/>
      <c r="E30"/>
      <c r="G30"/>
      <c r="H30"/>
      <c r="J30" s="13"/>
      <c r="K30" s="14"/>
    </row>
    <row r="31" spans="1:11" x14ac:dyDescent="0.25">
      <c r="A31"/>
      <c r="B31" s="20" t="b">
        <v>0</v>
      </c>
      <c r="C31" s="21" t="s">
        <v>130</v>
      </c>
      <c r="D31" s="22"/>
      <c r="E31"/>
      <c r="G31"/>
      <c r="H31"/>
    </row>
    <row r="32" spans="1:11" x14ac:dyDescent="0.25">
      <c r="A32"/>
      <c r="B32" s="20"/>
      <c r="C32" s="21" t="s">
        <v>131</v>
      </c>
      <c r="D32" s="22"/>
      <c r="E32"/>
      <c r="G32"/>
    </row>
    <row r="33" spans="1:7" x14ac:dyDescent="0.25">
      <c r="A33"/>
      <c r="B33" s="20"/>
      <c r="C33" s="21"/>
      <c r="D33" s="22"/>
      <c r="E33"/>
      <c r="G33"/>
    </row>
    <row r="34" spans="1:7" ht="15.75" thickBot="1" x14ac:dyDescent="0.3">
      <c r="A34"/>
      <c r="B34" s="23"/>
      <c r="C34" s="24"/>
      <c r="D34" s="25"/>
      <c r="E34"/>
      <c r="G34"/>
    </row>
    <row r="35" spans="1:7" x14ac:dyDescent="0.25">
      <c r="A35"/>
      <c r="B35"/>
      <c r="C35"/>
      <c r="D35"/>
      <c r="E35"/>
      <c r="G35"/>
    </row>
    <row r="36" spans="1:7" x14ac:dyDescent="0.25">
      <c r="A36"/>
      <c r="B36"/>
      <c r="C36"/>
      <c r="D36"/>
      <c r="E36"/>
      <c r="G36"/>
    </row>
    <row r="37" spans="1:7" x14ac:dyDescent="0.25">
      <c r="A37"/>
      <c r="B37"/>
      <c r="C37"/>
      <c r="D37"/>
      <c r="E37"/>
    </row>
    <row r="38" spans="1:7" x14ac:dyDescent="0.25">
      <c r="A38"/>
      <c r="B38"/>
      <c r="C38"/>
      <c r="D38"/>
      <c r="E38"/>
    </row>
    <row r="39" spans="1:7" x14ac:dyDescent="0.25">
      <c r="A39"/>
      <c r="B39"/>
      <c r="C39"/>
      <c r="D39"/>
      <c r="E39"/>
    </row>
  </sheetData>
  <dataConsolidate/>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Sheet2.Do_Everything">
                <anchor moveWithCells="1" sizeWithCells="1">
                  <from>
                    <xdr:col>0</xdr:col>
                    <xdr:colOff>85725</xdr:colOff>
                    <xdr:row>1</xdr:row>
                    <xdr:rowOff>180975</xdr:rowOff>
                  </from>
                  <to>
                    <xdr:col>3</xdr:col>
                    <xdr:colOff>0</xdr:colOff>
                    <xdr:row>4</xdr:row>
                    <xdr:rowOff>180975</xdr:rowOff>
                  </to>
                </anchor>
              </controlPr>
            </control>
          </mc:Choice>
        </mc:AlternateContent>
        <mc:AlternateContent xmlns:mc="http://schemas.openxmlformats.org/markup-compatibility/2006">
          <mc:Choice Requires="x14">
            <control shapeId="2067" r:id="rId6" name="Check Box 19">
              <controlPr defaultSize="0" autoFill="0" autoLine="0" autoPict="0">
                <anchor moveWithCells="1">
                  <from>
                    <xdr:col>1</xdr:col>
                    <xdr:colOff>0</xdr:colOff>
                    <xdr:row>15</xdr:row>
                    <xdr:rowOff>171450</xdr:rowOff>
                  </from>
                  <to>
                    <xdr:col>2</xdr:col>
                    <xdr:colOff>123825</xdr:colOff>
                    <xdr:row>17</xdr:row>
                    <xdr:rowOff>28575</xdr:rowOff>
                  </to>
                </anchor>
              </controlPr>
            </control>
          </mc:Choice>
        </mc:AlternateContent>
        <mc:AlternateContent xmlns:mc="http://schemas.openxmlformats.org/markup-compatibility/2006">
          <mc:Choice Requires="x14">
            <control shapeId="2068" r:id="rId7" name="Check Box 20">
              <controlPr defaultSize="0" autoFill="0" autoLine="0" autoPict="0">
                <anchor moveWithCells="1">
                  <from>
                    <xdr:col>1</xdr:col>
                    <xdr:colOff>0</xdr:colOff>
                    <xdr:row>16</xdr:row>
                    <xdr:rowOff>171450</xdr:rowOff>
                  </from>
                  <to>
                    <xdr:col>2</xdr:col>
                    <xdr:colOff>123825</xdr:colOff>
                    <xdr:row>18</xdr:row>
                    <xdr:rowOff>28575</xdr:rowOff>
                  </to>
                </anchor>
              </controlPr>
            </control>
          </mc:Choice>
        </mc:AlternateContent>
        <mc:AlternateContent xmlns:mc="http://schemas.openxmlformats.org/markup-compatibility/2006">
          <mc:Choice Requires="x14">
            <control shapeId="2069" r:id="rId8" name="Check Box 21">
              <controlPr defaultSize="0" autoFill="0" autoLine="0" autoPict="0">
                <anchor moveWithCells="1">
                  <from>
                    <xdr:col>1</xdr:col>
                    <xdr:colOff>0</xdr:colOff>
                    <xdr:row>17</xdr:row>
                    <xdr:rowOff>171450</xdr:rowOff>
                  </from>
                  <to>
                    <xdr:col>2</xdr:col>
                    <xdr:colOff>123825</xdr:colOff>
                    <xdr:row>19</xdr:row>
                    <xdr:rowOff>28575</xdr:rowOff>
                  </to>
                </anchor>
              </controlPr>
            </control>
          </mc:Choice>
        </mc:AlternateContent>
        <mc:AlternateContent xmlns:mc="http://schemas.openxmlformats.org/markup-compatibility/2006">
          <mc:Choice Requires="x14">
            <control shapeId="2070" r:id="rId9" name="Check Box 22">
              <controlPr defaultSize="0" autoFill="0" autoLine="0" autoPict="0">
                <anchor moveWithCells="1">
                  <from>
                    <xdr:col>1</xdr:col>
                    <xdr:colOff>0</xdr:colOff>
                    <xdr:row>18</xdr:row>
                    <xdr:rowOff>171450</xdr:rowOff>
                  </from>
                  <to>
                    <xdr:col>2</xdr:col>
                    <xdr:colOff>123825</xdr:colOff>
                    <xdr:row>20</xdr:row>
                    <xdr:rowOff>28575</xdr:rowOff>
                  </to>
                </anchor>
              </controlPr>
            </control>
          </mc:Choice>
        </mc:AlternateContent>
        <mc:AlternateContent xmlns:mc="http://schemas.openxmlformats.org/markup-compatibility/2006">
          <mc:Choice Requires="x14">
            <control shapeId="2071" r:id="rId10" name="Check Box 23">
              <controlPr defaultSize="0" autoFill="0" autoLine="0" autoPict="0">
                <anchor moveWithCells="1">
                  <from>
                    <xdr:col>1</xdr:col>
                    <xdr:colOff>0</xdr:colOff>
                    <xdr:row>19</xdr:row>
                    <xdr:rowOff>171450</xdr:rowOff>
                  </from>
                  <to>
                    <xdr:col>2</xdr:col>
                    <xdr:colOff>123825</xdr:colOff>
                    <xdr:row>21</xdr:row>
                    <xdr:rowOff>28575</xdr:rowOff>
                  </to>
                </anchor>
              </controlPr>
            </control>
          </mc:Choice>
        </mc:AlternateContent>
        <mc:AlternateContent xmlns:mc="http://schemas.openxmlformats.org/markup-compatibility/2006">
          <mc:Choice Requires="x14">
            <control shapeId="2072" r:id="rId11" name="Check Box 24">
              <controlPr defaultSize="0" autoFill="0" autoLine="0" autoPict="0">
                <anchor moveWithCells="1">
                  <from>
                    <xdr:col>1</xdr:col>
                    <xdr:colOff>0</xdr:colOff>
                    <xdr:row>20</xdr:row>
                    <xdr:rowOff>171450</xdr:rowOff>
                  </from>
                  <to>
                    <xdr:col>2</xdr:col>
                    <xdr:colOff>123825</xdr:colOff>
                    <xdr:row>22</xdr:row>
                    <xdr:rowOff>28575</xdr:rowOff>
                  </to>
                </anchor>
              </controlPr>
            </control>
          </mc:Choice>
        </mc:AlternateContent>
        <mc:AlternateContent xmlns:mc="http://schemas.openxmlformats.org/markup-compatibility/2006">
          <mc:Choice Requires="x14">
            <control shapeId="2073" r:id="rId12" name="Check Box 25">
              <controlPr defaultSize="0" autoFill="0" autoLine="0" autoPict="0">
                <anchor moveWithCells="1">
                  <from>
                    <xdr:col>1</xdr:col>
                    <xdr:colOff>0</xdr:colOff>
                    <xdr:row>21</xdr:row>
                    <xdr:rowOff>171450</xdr:rowOff>
                  </from>
                  <to>
                    <xdr:col>2</xdr:col>
                    <xdr:colOff>123825</xdr:colOff>
                    <xdr:row>23</xdr:row>
                    <xdr:rowOff>28575</xdr:rowOff>
                  </to>
                </anchor>
              </controlPr>
            </control>
          </mc:Choice>
        </mc:AlternateContent>
        <mc:AlternateContent xmlns:mc="http://schemas.openxmlformats.org/markup-compatibility/2006">
          <mc:Choice Requires="x14">
            <control shapeId="2074" r:id="rId13" name="Check Box 26">
              <controlPr defaultSize="0" autoFill="0" autoLine="0" autoPict="0">
                <anchor moveWithCells="1">
                  <from>
                    <xdr:col>1</xdr:col>
                    <xdr:colOff>0</xdr:colOff>
                    <xdr:row>22</xdr:row>
                    <xdr:rowOff>171450</xdr:rowOff>
                  </from>
                  <to>
                    <xdr:col>2</xdr:col>
                    <xdr:colOff>123825</xdr:colOff>
                    <xdr:row>24</xdr:row>
                    <xdr:rowOff>28575</xdr:rowOff>
                  </to>
                </anchor>
              </controlPr>
            </control>
          </mc:Choice>
        </mc:AlternateContent>
        <mc:AlternateContent xmlns:mc="http://schemas.openxmlformats.org/markup-compatibility/2006">
          <mc:Choice Requires="x14">
            <control shapeId="2075" r:id="rId14" name="Check Box 27">
              <controlPr defaultSize="0" autoFill="0" autoLine="0" autoPict="0">
                <anchor moveWithCells="1">
                  <from>
                    <xdr:col>1</xdr:col>
                    <xdr:colOff>0</xdr:colOff>
                    <xdr:row>23</xdr:row>
                    <xdr:rowOff>171450</xdr:rowOff>
                  </from>
                  <to>
                    <xdr:col>2</xdr:col>
                    <xdr:colOff>123825</xdr:colOff>
                    <xdr:row>25</xdr:row>
                    <xdr:rowOff>28575</xdr:rowOff>
                  </to>
                </anchor>
              </controlPr>
            </control>
          </mc:Choice>
        </mc:AlternateContent>
        <mc:AlternateContent xmlns:mc="http://schemas.openxmlformats.org/markup-compatibility/2006">
          <mc:Choice Requires="x14">
            <control shapeId="2082" r:id="rId15" name="Button 34">
              <controlPr defaultSize="0" print="0" autoFill="0" autoPict="0" macro="[0]!Sheet2.Choose_database">
                <anchor moveWithCells="1" sizeWithCells="1">
                  <from>
                    <xdr:col>0</xdr:col>
                    <xdr:colOff>76200</xdr:colOff>
                    <xdr:row>6</xdr:row>
                    <xdr:rowOff>0</xdr:rowOff>
                  </from>
                  <to>
                    <xdr:col>2</xdr:col>
                    <xdr:colOff>504825</xdr:colOff>
                    <xdr:row>8</xdr:row>
                    <xdr:rowOff>190500</xdr:rowOff>
                  </to>
                </anchor>
              </controlPr>
            </control>
          </mc:Choice>
        </mc:AlternateContent>
        <mc:AlternateContent xmlns:mc="http://schemas.openxmlformats.org/markup-compatibility/2006">
          <mc:Choice Requires="x14">
            <control shapeId="2083" r:id="rId16" name="Button 35">
              <controlPr defaultSize="0" print="0" autoFill="0" autoPict="0" macro="[0]!Sheet2.RunSQLiteQueries">
                <anchor moveWithCells="1" sizeWithCells="1">
                  <from>
                    <xdr:col>2</xdr:col>
                    <xdr:colOff>495300</xdr:colOff>
                    <xdr:row>6</xdr:row>
                    <xdr:rowOff>0</xdr:rowOff>
                  </from>
                  <to>
                    <xdr:col>3</xdr:col>
                    <xdr:colOff>0</xdr:colOff>
                    <xdr:row>8</xdr:row>
                    <xdr:rowOff>180975</xdr:rowOff>
                  </to>
                </anchor>
              </controlPr>
            </control>
          </mc:Choice>
        </mc:AlternateContent>
        <mc:AlternateContent xmlns:mc="http://schemas.openxmlformats.org/markup-compatibility/2006">
          <mc:Choice Requires="x14">
            <control shapeId="2086" r:id="rId17" name="Option Button 38">
              <controlPr defaultSize="0" autoFill="0" autoLine="0" autoPict="0">
                <anchor moveWithCells="1">
                  <from>
                    <xdr:col>1</xdr:col>
                    <xdr:colOff>0</xdr:colOff>
                    <xdr:row>13</xdr:row>
                    <xdr:rowOff>0</xdr:rowOff>
                  </from>
                  <to>
                    <xdr:col>2</xdr:col>
                    <xdr:colOff>0</xdr:colOff>
                    <xdr:row>14</xdr:row>
                    <xdr:rowOff>0</xdr:rowOff>
                  </to>
                </anchor>
              </controlPr>
            </control>
          </mc:Choice>
        </mc:AlternateContent>
        <mc:AlternateContent xmlns:mc="http://schemas.openxmlformats.org/markup-compatibility/2006">
          <mc:Choice Requires="x14">
            <control shapeId="2087" r:id="rId18" name="Option Button 39">
              <controlPr defaultSize="0" autoFill="0" autoLine="0" autoPict="0">
                <anchor moveWithCells="1">
                  <from>
                    <xdr:col>1</xdr:col>
                    <xdr:colOff>0</xdr:colOff>
                    <xdr:row>14</xdr:row>
                    <xdr:rowOff>0</xdr:rowOff>
                  </from>
                  <to>
                    <xdr:col>2</xdr:col>
                    <xdr:colOff>0</xdr:colOff>
                    <xdr:row>14</xdr:row>
                    <xdr:rowOff>190500</xdr:rowOff>
                  </to>
                </anchor>
              </controlPr>
            </control>
          </mc:Choice>
        </mc:AlternateContent>
        <mc:AlternateContent xmlns:mc="http://schemas.openxmlformats.org/markup-compatibility/2006">
          <mc:Choice Requires="x14">
            <control shapeId="2088" r:id="rId19" name="Check Box 40">
              <controlPr defaultSize="0" autoFill="0" autoLine="0" autoPict="0">
                <anchor moveWithCells="1">
                  <from>
                    <xdr:col>1</xdr:col>
                    <xdr:colOff>0</xdr:colOff>
                    <xdr:row>29</xdr:row>
                    <xdr:rowOff>171450</xdr:rowOff>
                  </from>
                  <to>
                    <xdr:col>2</xdr:col>
                    <xdr:colOff>123825</xdr:colOff>
                    <xdr:row>31</xdr:row>
                    <xdr:rowOff>19050</xdr:rowOff>
                  </to>
                </anchor>
              </controlPr>
            </control>
          </mc:Choice>
        </mc:AlternateContent>
        <mc:AlternateContent xmlns:mc="http://schemas.openxmlformats.org/markup-compatibility/2006">
          <mc:Choice Requires="x14">
            <control shapeId="2089" r:id="rId20" name="Check Box 41">
              <controlPr defaultSize="0" autoFill="0" autoLine="0" autoPict="0">
                <anchor moveWithCells="1">
                  <from>
                    <xdr:col>1</xdr:col>
                    <xdr:colOff>0</xdr:colOff>
                    <xdr:row>24</xdr:row>
                    <xdr:rowOff>171450</xdr:rowOff>
                  </from>
                  <to>
                    <xdr:col>2</xdr:col>
                    <xdr:colOff>123825</xdr:colOff>
                    <xdr:row>26</xdr:row>
                    <xdr:rowOff>28575</xdr:rowOff>
                  </to>
                </anchor>
              </controlPr>
            </control>
          </mc:Choice>
        </mc:AlternateContent>
        <mc:AlternateContent xmlns:mc="http://schemas.openxmlformats.org/markup-compatibility/2006">
          <mc:Choice Requires="x14">
            <control shapeId="2714" r:id="rId21" name="Button 666">
              <controlPr defaultSize="0" print="0" autoFill="0" autoPict="0" macro="[0]!Sheet2.Clean_PT_Cache">
                <anchor moveWithCells="1" sizeWithCells="1">
                  <from>
                    <xdr:col>6</xdr:col>
                    <xdr:colOff>28575</xdr:colOff>
                    <xdr:row>2</xdr:row>
                    <xdr:rowOff>28575</xdr:rowOff>
                  </from>
                  <to>
                    <xdr:col>8</xdr:col>
                    <xdr:colOff>161925</xdr:colOff>
                    <xdr:row>5</xdr:row>
                    <xdr:rowOff>28575</xdr:rowOff>
                  </to>
                </anchor>
              </controlPr>
            </control>
          </mc:Choice>
        </mc:AlternateContent>
        <mc:AlternateContent xmlns:mc="http://schemas.openxmlformats.org/markup-compatibility/2006">
          <mc:Choice Requires="x14">
            <control shapeId="2810" r:id="rId22" name="Check Box 762">
              <controlPr defaultSize="0" autoFill="0" autoLine="0" autoPict="0">
                <anchor moveWithCells="1">
                  <from>
                    <xdr:col>5</xdr:col>
                    <xdr:colOff>0</xdr:colOff>
                    <xdr:row>14</xdr:row>
                    <xdr:rowOff>0</xdr:rowOff>
                  </from>
                  <to>
                    <xdr:col>6</xdr:col>
                    <xdr:colOff>76200</xdr:colOff>
                    <xdr:row>15</xdr:row>
                    <xdr:rowOff>9525</xdr:rowOff>
                  </to>
                </anchor>
              </controlPr>
            </control>
          </mc:Choice>
        </mc:AlternateContent>
        <mc:AlternateContent xmlns:mc="http://schemas.openxmlformats.org/markup-compatibility/2006">
          <mc:Choice Requires="x14">
            <control shapeId="2811" r:id="rId23" name="Check Box 763">
              <controlPr defaultSize="0" autoFill="0" autoLine="0" autoPict="0">
                <anchor moveWithCells="1">
                  <from>
                    <xdr:col>5</xdr:col>
                    <xdr:colOff>0</xdr:colOff>
                    <xdr:row>15</xdr:row>
                    <xdr:rowOff>0</xdr:rowOff>
                  </from>
                  <to>
                    <xdr:col>6</xdr:col>
                    <xdr:colOff>76200</xdr:colOff>
                    <xdr:row>16</xdr:row>
                    <xdr:rowOff>19050</xdr:rowOff>
                  </to>
                </anchor>
              </controlPr>
            </control>
          </mc:Choice>
        </mc:AlternateContent>
        <mc:AlternateContent xmlns:mc="http://schemas.openxmlformats.org/markup-compatibility/2006">
          <mc:Choice Requires="x14">
            <control shapeId="2812" r:id="rId24" name="Check Box 764">
              <controlPr defaultSize="0" autoFill="0" autoLine="0" autoPict="0">
                <anchor moveWithCells="1">
                  <from>
                    <xdr:col>5</xdr:col>
                    <xdr:colOff>0</xdr:colOff>
                    <xdr:row>16</xdr:row>
                    <xdr:rowOff>0</xdr:rowOff>
                  </from>
                  <to>
                    <xdr:col>6</xdr:col>
                    <xdr:colOff>76200</xdr:colOff>
                    <xdr:row>17</xdr:row>
                    <xdr:rowOff>19050</xdr:rowOff>
                  </to>
                </anchor>
              </controlPr>
            </control>
          </mc:Choice>
        </mc:AlternateContent>
        <mc:AlternateContent xmlns:mc="http://schemas.openxmlformats.org/markup-compatibility/2006">
          <mc:Choice Requires="x14">
            <control shapeId="2813" r:id="rId25" name="Check Box 765">
              <controlPr defaultSize="0" autoFill="0" autoLine="0" autoPict="0">
                <anchor moveWithCells="1">
                  <from>
                    <xdr:col>5</xdr:col>
                    <xdr:colOff>0</xdr:colOff>
                    <xdr:row>17</xdr:row>
                    <xdr:rowOff>0</xdr:rowOff>
                  </from>
                  <to>
                    <xdr:col>6</xdr:col>
                    <xdr:colOff>76200</xdr:colOff>
                    <xdr:row>18</xdr:row>
                    <xdr:rowOff>19050</xdr:rowOff>
                  </to>
                </anchor>
              </controlPr>
            </control>
          </mc:Choice>
        </mc:AlternateContent>
        <mc:AlternateContent xmlns:mc="http://schemas.openxmlformats.org/markup-compatibility/2006">
          <mc:Choice Requires="x14">
            <control shapeId="2814" r:id="rId26" name="Check Box 766">
              <controlPr defaultSize="0" autoFill="0" autoLine="0" autoPict="0">
                <anchor moveWithCells="1">
                  <from>
                    <xdr:col>5</xdr:col>
                    <xdr:colOff>0</xdr:colOff>
                    <xdr:row>18</xdr:row>
                    <xdr:rowOff>0</xdr:rowOff>
                  </from>
                  <to>
                    <xdr:col>6</xdr:col>
                    <xdr:colOff>76200</xdr:colOff>
                    <xdr:row>19</xdr:row>
                    <xdr:rowOff>19050</xdr:rowOff>
                  </to>
                </anchor>
              </controlPr>
            </control>
          </mc:Choice>
        </mc:AlternateContent>
        <mc:AlternateContent xmlns:mc="http://schemas.openxmlformats.org/markup-compatibility/2006">
          <mc:Choice Requires="x14">
            <control shapeId="2815" r:id="rId27" name="Check Box 767">
              <controlPr defaultSize="0" autoFill="0" autoLine="0" autoPict="0">
                <anchor moveWithCells="1">
                  <from>
                    <xdr:col>5</xdr:col>
                    <xdr:colOff>0</xdr:colOff>
                    <xdr:row>19</xdr:row>
                    <xdr:rowOff>0</xdr:rowOff>
                  </from>
                  <to>
                    <xdr:col>6</xdr:col>
                    <xdr:colOff>76200</xdr:colOff>
                    <xdr:row>20</xdr:row>
                    <xdr:rowOff>19050</xdr:rowOff>
                  </to>
                </anchor>
              </controlPr>
            </control>
          </mc:Choice>
        </mc:AlternateContent>
        <mc:AlternateContent xmlns:mc="http://schemas.openxmlformats.org/markup-compatibility/2006">
          <mc:Choice Requires="x14">
            <control shapeId="2816" r:id="rId28" name="Check Box 768">
              <controlPr defaultSize="0" autoFill="0" autoLine="0" autoPict="0">
                <anchor moveWithCells="1">
                  <from>
                    <xdr:col>5</xdr:col>
                    <xdr:colOff>0</xdr:colOff>
                    <xdr:row>20</xdr:row>
                    <xdr:rowOff>0</xdr:rowOff>
                  </from>
                  <to>
                    <xdr:col>6</xdr:col>
                    <xdr:colOff>76200</xdr:colOff>
                    <xdr:row>21</xdr:row>
                    <xdr:rowOff>19050</xdr:rowOff>
                  </to>
                </anchor>
              </controlPr>
            </control>
          </mc:Choice>
        </mc:AlternateContent>
        <mc:AlternateContent xmlns:mc="http://schemas.openxmlformats.org/markup-compatibility/2006">
          <mc:Choice Requires="x14">
            <control shapeId="2817" r:id="rId29" name="Check Box 769">
              <controlPr defaultSize="0" autoFill="0" autoLine="0" autoPict="0">
                <anchor moveWithCells="1">
                  <from>
                    <xdr:col>5</xdr:col>
                    <xdr:colOff>0</xdr:colOff>
                    <xdr:row>21</xdr:row>
                    <xdr:rowOff>0</xdr:rowOff>
                  </from>
                  <to>
                    <xdr:col>6</xdr:col>
                    <xdr:colOff>76200</xdr:colOff>
                    <xdr:row>22</xdr:row>
                    <xdr:rowOff>19050</xdr:rowOff>
                  </to>
                </anchor>
              </controlPr>
            </control>
          </mc:Choice>
        </mc:AlternateContent>
        <mc:AlternateContent xmlns:mc="http://schemas.openxmlformats.org/markup-compatibility/2006">
          <mc:Choice Requires="x14">
            <control shapeId="2818" r:id="rId30" name="Check Box 770">
              <controlPr defaultSize="0" autoFill="0" autoLine="0" autoPict="0">
                <anchor moveWithCells="1">
                  <from>
                    <xdr:col>5</xdr:col>
                    <xdr:colOff>0</xdr:colOff>
                    <xdr:row>22</xdr:row>
                    <xdr:rowOff>0</xdr:rowOff>
                  </from>
                  <to>
                    <xdr:col>6</xdr:col>
                    <xdr:colOff>76200</xdr:colOff>
                    <xdr:row>23</xdr:row>
                    <xdr:rowOff>19050</xdr:rowOff>
                  </to>
                </anchor>
              </controlPr>
            </control>
          </mc:Choice>
        </mc:AlternateContent>
        <mc:AlternateContent xmlns:mc="http://schemas.openxmlformats.org/markup-compatibility/2006">
          <mc:Choice Requires="x14">
            <control shapeId="2819" r:id="rId31" name="Check Box 771">
              <controlPr defaultSize="0" autoFill="0" autoLine="0" autoPict="0">
                <anchor moveWithCells="1">
                  <from>
                    <xdr:col>5</xdr:col>
                    <xdr:colOff>0</xdr:colOff>
                    <xdr:row>23</xdr:row>
                    <xdr:rowOff>0</xdr:rowOff>
                  </from>
                  <to>
                    <xdr:col>6</xdr:col>
                    <xdr:colOff>76200</xdr:colOff>
                    <xdr:row>24</xdr:row>
                    <xdr:rowOff>19050</xdr:rowOff>
                  </to>
                </anchor>
              </controlPr>
            </control>
          </mc:Choice>
        </mc:AlternateContent>
        <mc:AlternateContent xmlns:mc="http://schemas.openxmlformats.org/markup-compatibility/2006">
          <mc:Choice Requires="x14">
            <control shapeId="2820" r:id="rId32" name="Check Box 772">
              <controlPr defaultSize="0" autoFill="0" autoLine="0" autoPict="0">
                <anchor moveWithCells="1">
                  <from>
                    <xdr:col>5</xdr:col>
                    <xdr:colOff>0</xdr:colOff>
                    <xdr:row>24</xdr:row>
                    <xdr:rowOff>0</xdr:rowOff>
                  </from>
                  <to>
                    <xdr:col>6</xdr:col>
                    <xdr:colOff>76200</xdr:colOff>
                    <xdr:row>25</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249977111117893"/>
  </sheetPr>
  <dimension ref="B1:E86"/>
  <sheetViews>
    <sheetView topLeftCell="A55" zoomScaleNormal="100" workbookViewId="0">
      <selection activeCell="E41" sqref="E41"/>
    </sheetView>
  </sheetViews>
  <sheetFormatPr defaultRowHeight="15" x14ac:dyDescent="0.25"/>
  <cols>
    <col min="4" max="4" width="38.85546875" customWidth="1"/>
  </cols>
  <sheetData>
    <row r="1" spans="2:5" x14ac:dyDescent="0.25">
      <c r="B1" t="s">
        <v>2</v>
      </c>
      <c r="C1" t="b">
        <f t="shared" ref="C1:C12" si="0">VGE_T</f>
        <v>1</v>
      </c>
      <c r="D1" t="s">
        <v>4</v>
      </c>
      <c r="E1" t="s">
        <v>23</v>
      </c>
    </row>
    <row r="2" spans="2:5" x14ac:dyDescent="0.25">
      <c r="B2" t="s">
        <v>1</v>
      </c>
      <c r="C2" t="b">
        <f t="shared" si="0"/>
        <v>1</v>
      </c>
      <c r="D2" t="s">
        <v>4</v>
      </c>
      <c r="E2" t="s">
        <v>56</v>
      </c>
    </row>
    <row r="3" spans="2:5" x14ac:dyDescent="0.25">
      <c r="B3" t="s">
        <v>3</v>
      </c>
      <c r="C3" t="b">
        <f t="shared" si="0"/>
        <v>1</v>
      </c>
      <c r="D3" t="s">
        <v>4</v>
      </c>
      <c r="E3" t="s">
        <v>182</v>
      </c>
    </row>
    <row r="4" spans="2:5" x14ac:dyDescent="0.25">
      <c r="B4" t="s">
        <v>2</v>
      </c>
      <c r="C4" t="b">
        <f t="shared" si="0"/>
        <v>1</v>
      </c>
      <c r="D4" t="s">
        <v>36</v>
      </c>
      <c r="E4" t="s">
        <v>28</v>
      </c>
    </row>
    <row r="5" spans="2:5" x14ac:dyDescent="0.25">
      <c r="B5" t="s">
        <v>1</v>
      </c>
      <c r="C5" t="b">
        <f t="shared" si="0"/>
        <v>1</v>
      </c>
      <c r="D5" t="s">
        <v>36</v>
      </c>
      <c r="E5" t="s">
        <v>104</v>
      </c>
    </row>
    <row r="6" spans="2:5" x14ac:dyDescent="0.25">
      <c r="B6" t="s">
        <v>3</v>
      </c>
      <c r="C6" t="b">
        <f t="shared" si="0"/>
        <v>1</v>
      </c>
      <c r="D6" t="s">
        <v>36</v>
      </c>
      <c r="E6" t="s">
        <v>106</v>
      </c>
    </row>
    <row r="7" spans="2:5" x14ac:dyDescent="0.25">
      <c r="B7" t="s">
        <v>164</v>
      </c>
      <c r="C7" t="b">
        <f t="shared" si="0"/>
        <v>1</v>
      </c>
      <c r="D7" t="s">
        <v>36</v>
      </c>
      <c r="E7" t="s">
        <v>223</v>
      </c>
    </row>
    <row r="8" spans="2:5" x14ac:dyDescent="0.25">
      <c r="B8" t="s">
        <v>164</v>
      </c>
      <c r="C8" t="b">
        <f t="shared" si="0"/>
        <v>1</v>
      </c>
      <c r="D8" t="s">
        <v>36</v>
      </c>
      <c r="E8" t="s">
        <v>222</v>
      </c>
    </row>
    <row r="9" spans="2:5" x14ac:dyDescent="0.25">
      <c r="B9" t="s">
        <v>164</v>
      </c>
      <c r="C9" t="b">
        <f t="shared" si="0"/>
        <v>1</v>
      </c>
      <c r="D9" t="s">
        <v>36</v>
      </c>
      <c r="E9" t="str">
        <f>"DELETE FROM 'Electricity generation - Term' WHERE NOT (COUNTRY IN ( " &amp; C_filter &amp; "));"</f>
        <v>DELETE FROM 'Electricity generation - Term' WHERE NOT (COUNTRY IN ( 'DENMARK' , 'NORWAY' , 'GERMANY' , 'SWEDEN' , 'FINLAND' , 'NETHERLANDS' , 'UNITED_KINGDOM' , 'ESTONIA' , 'LATVIA' , 'LITHUANIA' , 'POLAND'));</v>
      </c>
    </row>
    <row r="10" spans="2:5" x14ac:dyDescent="0.25">
      <c r="B10" t="s">
        <v>2</v>
      </c>
      <c r="C10" t="b">
        <f t="shared" si="0"/>
        <v>1</v>
      </c>
      <c r="D10" t="s">
        <v>5</v>
      </c>
      <c r="E10" t="s">
        <v>24</v>
      </c>
    </row>
    <row r="11" spans="2:5" x14ac:dyDescent="0.25">
      <c r="B11" t="s">
        <v>1</v>
      </c>
      <c r="C11" t="b">
        <f t="shared" si="0"/>
        <v>1</v>
      </c>
      <c r="D11" t="s">
        <v>5</v>
      </c>
      <c r="E11" t="s">
        <v>105</v>
      </c>
    </row>
    <row r="12" spans="2:5" x14ac:dyDescent="0.25">
      <c r="B12" t="s">
        <v>3</v>
      </c>
      <c r="C12" t="b">
        <f t="shared" si="0"/>
        <v>1</v>
      </c>
      <c r="D12" t="s">
        <v>5</v>
      </c>
      <c r="E12" t="s">
        <v>107</v>
      </c>
    </row>
    <row r="13" spans="2:5" x14ac:dyDescent="0.25">
      <c r="B13" t="s">
        <v>2</v>
      </c>
      <c r="C13" t="b">
        <f>QEEQ</f>
        <v>1</v>
      </c>
      <c r="D13" t="s">
        <v>22</v>
      </c>
      <c r="E13" t="s">
        <v>25</v>
      </c>
    </row>
    <row r="14" spans="2:5" x14ac:dyDescent="0.25">
      <c r="B14" t="s">
        <v>1</v>
      </c>
      <c r="C14" t="b">
        <f>QEEQ</f>
        <v>1</v>
      </c>
      <c r="D14" t="s">
        <v>22</v>
      </c>
      <c r="E14" t="s">
        <v>95</v>
      </c>
    </row>
    <row r="15" spans="2:5" x14ac:dyDescent="0.25">
      <c r="B15" t="s">
        <v>3</v>
      </c>
      <c r="C15" t="b">
        <f>QEEQ</f>
        <v>1</v>
      </c>
      <c r="D15" t="s">
        <v>22</v>
      </c>
      <c r="E15" t="s">
        <v>96</v>
      </c>
    </row>
    <row r="16" spans="2:5" x14ac:dyDescent="0.25">
      <c r="B16" t="s">
        <v>2</v>
      </c>
      <c r="C16" t="b">
        <f>QHEQ</f>
        <v>1</v>
      </c>
      <c r="D16" t="s">
        <v>89</v>
      </c>
      <c r="E16" t="s">
        <v>90</v>
      </c>
    </row>
    <row r="17" spans="2:5" x14ac:dyDescent="0.25">
      <c r="B17" t="s">
        <v>1</v>
      </c>
      <c r="C17" t="b">
        <f>QHEQ</f>
        <v>1</v>
      </c>
      <c r="D17" t="s">
        <v>89</v>
      </c>
      <c r="E17" t="s">
        <v>125</v>
      </c>
    </row>
    <row r="18" spans="2:5" x14ac:dyDescent="0.25">
      <c r="B18" t="s">
        <v>3</v>
      </c>
      <c r="C18" t="b">
        <f>QHEQ</f>
        <v>1</v>
      </c>
      <c r="D18" t="s">
        <v>89</v>
      </c>
      <c r="E18" t="s">
        <v>128</v>
      </c>
    </row>
    <row r="19" spans="2:5" x14ac:dyDescent="0.25">
      <c r="B19" t="s">
        <v>2</v>
      </c>
      <c r="C19" t="b">
        <f t="shared" ref="C19:C28" si="1">VGH_T</f>
        <v>1</v>
      </c>
      <c r="D19" t="s">
        <v>29</v>
      </c>
      <c r="E19" t="s">
        <v>30</v>
      </c>
    </row>
    <row r="20" spans="2:5" x14ac:dyDescent="0.25">
      <c r="B20" t="s">
        <v>1</v>
      </c>
      <c r="C20" t="b">
        <f t="shared" si="1"/>
        <v>1</v>
      </c>
      <c r="D20" t="s">
        <v>29</v>
      </c>
      <c r="E20" t="s">
        <v>57</v>
      </c>
    </row>
    <row r="21" spans="2:5" x14ac:dyDescent="0.25">
      <c r="B21" t="s">
        <v>3</v>
      </c>
      <c r="C21" t="b">
        <f t="shared" si="1"/>
        <v>1</v>
      </c>
      <c r="D21" t="s">
        <v>29</v>
      </c>
      <c r="E21" t="s">
        <v>181</v>
      </c>
    </row>
    <row r="22" spans="2:5" x14ac:dyDescent="0.25">
      <c r="B22" t="s">
        <v>2</v>
      </c>
      <c r="C22" t="b">
        <f t="shared" si="1"/>
        <v>1</v>
      </c>
      <c r="D22" t="s">
        <v>33</v>
      </c>
      <c r="E22" t="s">
        <v>35</v>
      </c>
    </row>
    <row r="23" spans="2:5" x14ac:dyDescent="0.25">
      <c r="B23" t="s">
        <v>1</v>
      </c>
      <c r="C23" t="b">
        <f t="shared" si="1"/>
        <v>1</v>
      </c>
      <c r="D23" t="s">
        <v>33</v>
      </c>
      <c r="E23" t="s">
        <v>58</v>
      </c>
    </row>
    <row r="24" spans="2:5" x14ac:dyDescent="0.25">
      <c r="B24" t="s">
        <v>3</v>
      </c>
      <c r="C24" t="b">
        <f t="shared" si="1"/>
        <v>1</v>
      </c>
      <c r="D24" t="s">
        <v>33</v>
      </c>
      <c r="E24" t="s">
        <v>59</v>
      </c>
    </row>
    <row r="25" spans="2:5" x14ac:dyDescent="0.25">
      <c r="B25" t="s">
        <v>164</v>
      </c>
      <c r="C25" t="b">
        <f t="shared" si="1"/>
        <v>1</v>
      </c>
      <c r="D25" t="s">
        <v>33</v>
      </c>
      <c r="E25" t="str">
        <f>"DELETE FROM 'Heat generation - Term' WHERE NOT (COUNTRY IN ( " &amp; C_filter &amp; "));"</f>
        <v>DELETE FROM 'Heat generation - Term' WHERE NOT (COUNTRY IN ( 'DENMARK' , 'NORWAY' , 'GERMANY' , 'SWEDEN' , 'FINLAND' , 'NETHERLANDS' , 'UNITED_KINGDOM' , 'ESTONIA' , 'LATVIA' , 'LITHUANIA' , 'POLAND'));</v>
      </c>
    </row>
    <row r="26" spans="2:5" x14ac:dyDescent="0.25">
      <c r="B26" t="s">
        <v>2</v>
      </c>
      <c r="C26" t="b">
        <f t="shared" si="1"/>
        <v>1</v>
      </c>
      <c r="D26" t="s">
        <v>34</v>
      </c>
      <c r="E26" t="s">
        <v>37</v>
      </c>
    </row>
    <row r="27" spans="2:5" x14ac:dyDescent="0.25">
      <c r="B27" t="s">
        <v>1</v>
      </c>
      <c r="C27" t="b">
        <f t="shared" si="1"/>
        <v>1</v>
      </c>
      <c r="D27" t="s">
        <v>34</v>
      </c>
      <c r="E27" t="s">
        <v>60</v>
      </c>
    </row>
    <row r="28" spans="2:5" x14ac:dyDescent="0.25">
      <c r="B28" t="s">
        <v>3</v>
      </c>
      <c r="C28" t="b">
        <f t="shared" si="1"/>
        <v>1</v>
      </c>
      <c r="D28" t="s">
        <v>34</v>
      </c>
      <c r="E28" t="s">
        <v>70</v>
      </c>
    </row>
    <row r="29" spans="2:5" x14ac:dyDescent="0.25">
      <c r="B29" t="s">
        <v>2</v>
      </c>
      <c r="C29" t="b">
        <f t="shared" ref="C29:C45" si="2">VGF_T</f>
        <v>1</v>
      </c>
      <c r="D29" t="s">
        <v>46</v>
      </c>
      <c r="E29" t="s">
        <v>47</v>
      </c>
    </row>
    <row r="30" spans="2:5" x14ac:dyDescent="0.25">
      <c r="B30" t="s">
        <v>1</v>
      </c>
      <c r="C30" t="b">
        <f t="shared" si="2"/>
        <v>1</v>
      </c>
      <c r="D30" t="s">
        <v>46</v>
      </c>
      <c r="E30" t="s">
        <v>61</v>
      </c>
    </row>
    <row r="31" spans="2:5" x14ac:dyDescent="0.25">
      <c r="B31" t="s">
        <v>3</v>
      </c>
      <c r="C31" t="b">
        <f t="shared" si="2"/>
        <v>1</v>
      </c>
      <c r="D31" t="s">
        <v>46</v>
      </c>
      <c r="E31" t="s">
        <v>183</v>
      </c>
    </row>
    <row r="32" spans="2:5" x14ac:dyDescent="0.25">
      <c r="B32" t="s">
        <v>2</v>
      </c>
      <c r="C32" t="b">
        <f t="shared" si="2"/>
        <v>1</v>
      </c>
      <c r="D32" t="s">
        <v>48</v>
      </c>
      <c r="E32" t="s">
        <v>50</v>
      </c>
    </row>
    <row r="33" spans="2:5" x14ac:dyDescent="0.25">
      <c r="B33" t="s">
        <v>1</v>
      </c>
      <c r="C33" t="b">
        <f t="shared" si="2"/>
        <v>1</v>
      </c>
      <c r="D33" t="s">
        <v>48</v>
      </c>
      <c r="E33" t="s">
        <v>62</v>
      </c>
    </row>
    <row r="34" spans="2:5" x14ac:dyDescent="0.25">
      <c r="B34" t="s">
        <v>3</v>
      </c>
      <c r="C34" t="b">
        <f t="shared" si="2"/>
        <v>1</v>
      </c>
      <c r="D34" t="s">
        <v>48</v>
      </c>
      <c r="E34" t="s">
        <v>63</v>
      </c>
    </row>
    <row r="35" spans="2:5" x14ac:dyDescent="0.25">
      <c r="B35" t="s">
        <v>164</v>
      </c>
      <c r="C35" t="b">
        <f t="shared" si="2"/>
        <v>1</v>
      </c>
      <c r="D35" t="s">
        <v>48</v>
      </c>
      <c r="E35" t="str">
        <f>"DELETE FROM 'Fuel consumption - Term' WHERE NOT (COUNTRY IN ( " &amp; C_filter &amp; "));"</f>
        <v>DELETE FROM 'Fuel consumption - Term' WHERE NOT (COUNTRY IN ( 'DENMARK' , 'NORWAY' , 'GERMANY' , 'SWEDEN' , 'FINLAND' , 'NETHERLANDS' , 'UNITED_KINGDOM' , 'ESTONIA' , 'LATVIA' , 'LITHUANIA' , 'POLAND'));</v>
      </c>
    </row>
    <row r="36" spans="2:5" x14ac:dyDescent="0.25">
      <c r="B36" t="s">
        <v>2</v>
      </c>
      <c r="C36" t="b">
        <f t="shared" si="2"/>
        <v>1</v>
      </c>
      <c r="D36" t="s">
        <v>49</v>
      </c>
      <c r="E36" t="s">
        <v>51</v>
      </c>
    </row>
    <row r="37" spans="2:5" x14ac:dyDescent="0.25">
      <c r="B37" t="s">
        <v>1</v>
      </c>
      <c r="C37" t="b">
        <f t="shared" si="2"/>
        <v>1</v>
      </c>
      <c r="D37" t="s">
        <v>49</v>
      </c>
      <c r="E37" t="s">
        <v>64</v>
      </c>
    </row>
    <row r="38" spans="2:5" x14ac:dyDescent="0.25">
      <c r="B38" t="s">
        <v>3</v>
      </c>
      <c r="C38" t="b">
        <f t="shared" si="2"/>
        <v>1</v>
      </c>
      <c r="D38" t="s">
        <v>49</v>
      </c>
      <c r="E38" t="s">
        <v>65</v>
      </c>
    </row>
    <row r="39" spans="2:5" x14ac:dyDescent="0.25">
      <c r="B39" t="s">
        <v>2</v>
      </c>
      <c r="C39" t="b">
        <f t="shared" si="2"/>
        <v>1</v>
      </c>
      <c r="D39" t="s">
        <v>53</v>
      </c>
      <c r="E39" t="s">
        <v>52</v>
      </c>
    </row>
    <row r="40" spans="2:5" x14ac:dyDescent="0.25">
      <c r="B40" t="s">
        <v>1</v>
      </c>
      <c r="C40" t="b">
        <f t="shared" si="2"/>
        <v>1</v>
      </c>
      <c r="D40" t="s">
        <v>53</v>
      </c>
      <c r="E40" t="s">
        <v>66</v>
      </c>
    </row>
    <row r="41" spans="2:5" x14ac:dyDescent="0.25">
      <c r="B41" t="s">
        <v>3</v>
      </c>
      <c r="C41" t="b">
        <f t="shared" si="2"/>
        <v>1</v>
      </c>
      <c r="D41" t="s">
        <v>53</v>
      </c>
      <c r="E41" t="s">
        <v>67</v>
      </c>
    </row>
    <row r="42" spans="2:5" x14ac:dyDescent="0.25">
      <c r="B42" t="s">
        <v>164</v>
      </c>
      <c r="C42" t="b">
        <f t="shared" si="2"/>
        <v>1</v>
      </c>
      <c r="D42" t="s">
        <v>53</v>
      </c>
      <c r="E42" t="str">
        <f>"DELETE FROM 'Emissions - Term' WHERE NOT (COUNTRY IN ( " &amp; C_filter &amp; "));"</f>
        <v>DELETE FROM 'Emissions - Term' WHERE NOT (COUNTRY IN ( 'DENMARK' , 'NORWAY' , 'GERMANY' , 'SWEDEN' , 'FINLAND' , 'NETHERLANDS' , 'UNITED_KINGDOM' , 'ESTONIA' , 'LATVIA' , 'LITHUANIA' , 'POLAND'));</v>
      </c>
    </row>
    <row r="43" spans="2:5" x14ac:dyDescent="0.25">
      <c r="B43" t="s">
        <v>2</v>
      </c>
      <c r="C43" t="b">
        <f t="shared" si="2"/>
        <v>1</v>
      </c>
      <c r="D43" t="s">
        <v>54</v>
      </c>
      <c r="E43" t="s">
        <v>55</v>
      </c>
    </row>
    <row r="44" spans="2:5" x14ac:dyDescent="0.25">
      <c r="B44" t="s">
        <v>1</v>
      </c>
      <c r="C44" t="b">
        <f t="shared" si="2"/>
        <v>1</v>
      </c>
      <c r="D44" t="s">
        <v>54</v>
      </c>
      <c r="E44" t="s">
        <v>68</v>
      </c>
    </row>
    <row r="45" spans="2:5" x14ac:dyDescent="0.25">
      <c r="B45" t="s">
        <v>3</v>
      </c>
      <c r="C45" t="b">
        <f t="shared" si="2"/>
        <v>1</v>
      </c>
      <c r="D45" t="s">
        <v>54</v>
      </c>
      <c r="E45" t="s">
        <v>69</v>
      </c>
    </row>
    <row r="46" spans="2:5" x14ac:dyDescent="0.25">
      <c r="B46" t="s">
        <v>2</v>
      </c>
      <c r="C46" t="b">
        <f t="shared" ref="C46:C52" si="3">STO</f>
        <v>1</v>
      </c>
      <c r="D46" t="s">
        <v>73</v>
      </c>
      <c r="E46" t="s">
        <v>74</v>
      </c>
    </row>
    <row r="47" spans="2:5" x14ac:dyDescent="0.25">
      <c r="B47" t="s">
        <v>1</v>
      </c>
      <c r="C47" t="b">
        <f t="shared" si="3"/>
        <v>1</v>
      </c>
      <c r="D47" t="s">
        <v>73</v>
      </c>
      <c r="E47" t="s">
        <v>77</v>
      </c>
    </row>
    <row r="48" spans="2:5" x14ac:dyDescent="0.25">
      <c r="B48" t="s">
        <v>3</v>
      </c>
      <c r="C48" t="b">
        <f t="shared" si="3"/>
        <v>1</v>
      </c>
      <c r="D48" t="s">
        <v>73</v>
      </c>
      <c r="E48" s="6" t="s">
        <v>78</v>
      </c>
    </row>
    <row r="49" spans="2:5" x14ac:dyDescent="0.25">
      <c r="B49" t="s">
        <v>164</v>
      </c>
      <c r="C49" t="b">
        <f t="shared" si="3"/>
        <v>1</v>
      </c>
      <c r="D49" t="s">
        <v>73</v>
      </c>
      <c r="E49" s="6" t="str">
        <f>"DELETE FROM 'Heat Storage volume' WHERE NOT (COUNTRY IN ( " &amp; C_filter &amp; "));"</f>
        <v>DELETE FROM 'Heat Storage volume' WHERE NOT (COUNTRY IN ( 'DENMARK' , 'NORWAY' , 'GERMANY' , 'SWEDEN' , 'FINLAND' , 'NETHERLANDS' , 'UNITED_KINGDOM' , 'ESTONIA' , 'LATVIA' , 'LITHUANIA' , 'POLAND'));</v>
      </c>
    </row>
    <row r="50" spans="2:5" x14ac:dyDescent="0.25">
      <c r="B50" t="s">
        <v>2</v>
      </c>
      <c r="C50" t="b">
        <f t="shared" si="3"/>
        <v>1</v>
      </c>
      <c r="D50" t="s">
        <v>75</v>
      </c>
      <c r="E50" t="s">
        <v>76</v>
      </c>
    </row>
    <row r="51" spans="2:5" x14ac:dyDescent="0.25">
      <c r="B51" t="s">
        <v>1</v>
      </c>
      <c r="C51" t="b">
        <f t="shared" si="3"/>
        <v>1</v>
      </c>
      <c r="D51" t="s">
        <v>75</v>
      </c>
      <c r="E51" t="s">
        <v>79</v>
      </c>
    </row>
    <row r="52" spans="2:5" x14ac:dyDescent="0.25">
      <c r="B52" t="s">
        <v>3</v>
      </c>
      <c r="C52" t="b">
        <f t="shared" si="3"/>
        <v>1</v>
      </c>
      <c r="D52" t="s">
        <v>75</v>
      </c>
      <c r="E52" s="6" t="s">
        <v>80</v>
      </c>
    </row>
    <row r="53" spans="2:5" x14ac:dyDescent="0.25">
      <c r="B53" t="s">
        <v>2</v>
      </c>
      <c r="C53" t="b">
        <f t="shared" ref="C53:C65" si="4">IGK</f>
        <v>1</v>
      </c>
      <c r="D53" t="s">
        <v>235</v>
      </c>
      <c r="E53" s="6" t="s">
        <v>236</v>
      </c>
    </row>
    <row r="54" spans="2:5" x14ac:dyDescent="0.25">
      <c r="B54" t="s">
        <v>1</v>
      </c>
      <c r="C54" t="b">
        <f t="shared" si="4"/>
        <v>1</v>
      </c>
      <c r="D54" t="s">
        <v>235</v>
      </c>
      <c r="E54" s="6" t="s">
        <v>237</v>
      </c>
    </row>
    <row r="55" spans="2:5" x14ac:dyDescent="0.25">
      <c r="B55" t="s">
        <v>3</v>
      </c>
      <c r="C55" t="b">
        <f t="shared" si="4"/>
        <v>1</v>
      </c>
      <c r="D55" t="s">
        <v>235</v>
      </c>
      <c r="E55" s="6" t="s">
        <v>238</v>
      </c>
    </row>
    <row r="56" spans="2:5" x14ac:dyDescent="0.25">
      <c r="B56" t="s">
        <v>164</v>
      </c>
      <c r="C56" t="b">
        <f t="shared" si="4"/>
        <v>1</v>
      </c>
      <c r="D56" t="s">
        <v>235</v>
      </c>
      <c r="E56" t="s">
        <v>239</v>
      </c>
    </row>
    <row r="57" spans="2:5" x14ac:dyDescent="0.25">
      <c r="B57" t="s">
        <v>164</v>
      </c>
      <c r="C57" t="b">
        <f t="shared" si="4"/>
        <v>1</v>
      </c>
      <c r="D57" t="s">
        <v>235</v>
      </c>
      <c r="E57" t="s">
        <v>240</v>
      </c>
    </row>
    <row r="58" spans="2:5" x14ac:dyDescent="0.25">
      <c r="B58" t="s">
        <v>2</v>
      </c>
      <c r="C58" t="b">
        <f>VGKN</f>
        <v>1</v>
      </c>
      <c r="D58" t="s">
        <v>241</v>
      </c>
      <c r="E58" t="s">
        <v>242</v>
      </c>
    </row>
    <row r="59" spans="2:5" x14ac:dyDescent="0.25">
      <c r="B59" t="s">
        <v>1</v>
      </c>
      <c r="C59" t="b">
        <f>VGKN</f>
        <v>1</v>
      </c>
      <c r="D59" t="s">
        <v>241</v>
      </c>
      <c r="E59" t="s">
        <v>243</v>
      </c>
    </row>
    <row r="60" spans="2:5" x14ac:dyDescent="0.25">
      <c r="B60" t="s">
        <v>3</v>
      </c>
      <c r="C60" t="b">
        <f>VGKN</f>
        <v>1</v>
      </c>
      <c r="D60" t="s">
        <v>241</v>
      </c>
      <c r="E60" t="s">
        <v>244</v>
      </c>
    </row>
    <row r="61" spans="2:5" x14ac:dyDescent="0.25">
      <c r="B61" t="s">
        <v>164</v>
      </c>
      <c r="C61" t="b">
        <f>VGKN</f>
        <v>1</v>
      </c>
      <c r="D61" t="s">
        <v>241</v>
      </c>
      <c r="E61" t="s">
        <v>245</v>
      </c>
    </row>
    <row r="62" spans="2:5" x14ac:dyDescent="0.25">
      <c r="B62" t="s">
        <v>164</v>
      </c>
      <c r="C62" t="b">
        <f>VGKN</f>
        <v>1</v>
      </c>
      <c r="D62" t="s">
        <v>241</v>
      </c>
      <c r="E62" t="s">
        <v>246</v>
      </c>
    </row>
    <row r="63" spans="2:5" x14ac:dyDescent="0.25">
      <c r="B63" t="s">
        <v>2</v>
      </c>
      <c r="C63" t="b">
        <f t="shared" si="4"/>
        <v>1</v>
      </c>
      <c r="D63" t="s">
        <v>249</v>
      </c>
      <c r="E63" s="6" t="s">
        <v>250</v>
      </c>
    </row>
    <row r="64" spans="2:5" x14ac:dyDescent="0.25">
      <c r="B64" t="s">
        <v>1</v>
      </c>
      <c r="C64" t="b">
        <f t="shared" si="4"/>
        <v>1</v>
      </c>
      <c r="D64" t="s">
        <v>249</v>
      </c>
      <c r="E64" s="6" t="s">
        <v>251</v>
      </c>
    </row>
    <row r="65" spans="2:5" x14ac:dyDescent="0.25">
      <c r="B65" t="s">
        <v>3</v>
      </c>
      <c r="C65" t="b">
        <f t="shared" si="4"/>
        <v>1</v>
      </c>
      <c r="D65" t="s">
        <v>249</v>
      </c>
      <c r="E65" s="6" t="s">
        <v>252</v>
      </c>
    </row>
    <row r="66" spans="2:5" x14ac:dyDescent="0.25">
      <c r="B66" t="s">
        <v>2</v>
      </c>
      <c r="C66" t="b">
        <f t="shared" ref="C66:C77" si="5">DE</f>
        <v>1</v>
      </c>
      <c r="D66" t="s">
        <v>83</v>
      </c>
      <c r="E66" s="6" t="s">
        <v>81</v>
      </c>
    </row>
    <row r="67" spans="2:5" x14ac:dyDescent="0.25">
      <c r="B67" t="s">
        <v>1</v>
      </c>
      <c r="C67" t="b">
        <f t="shared" si="5"/>
        <v>1</v>
      </c>
      <c r="D67" t="s">
        <v>83</v>
      </c>
      <c r="E67" s="6" t="s">
        <v>188</v>
      </c>
    </row>
    <row r="68" spans="2:5" x14ac:dyDescent="0.25">
      <c r="B68" t="s">
        <v>3</v>
      </c>
      <c r="C68" t="b">
        <f t="shared" si="5"/>
        <v>1</v>
      </c>
      <c r="D68" t="s">
        <v>83</v>
      </c>
      <c r="E68" s="6" t="s">
        <v>189</v>
      </c>
    </row>
    <row r="69" spans="2:5" x14ac:dyDescent="0.25">
      <c r="B69" t="s">
        <v>2</v>
      </c>
      <c r="C69" t="b">
        <f t="shared" si="5"/>
        <v>1</v>
      </c>
      <c r="D69" t="s">
        <v>85</v>
      </c>
      <c r="E69" s="6" t="s">
        <v>88</v>
      </c>
    </row>
    <row r="70" spans="2:5" x14ac:dyDescent="0.25">
      <c r="B70" t="s">
        <v>1</v>
      </c>
      <c r="C70" t="b">
        <f t="shared" si="5"/>
        <v>1</v>
      </c>
      <c r="D70" t="s">
        <v>85</v>
      </c>
      <c r="E70" s="6" t="s">
        <v>190</v>
      </c>
    </row>
    <row r="71" spans="2:5" x14ac:dyDescent="0.25">
      <c r="B71" t="s">
        <v>3</v>
      </c>
      <c r="C71" t="b">
        <f t="shared" si="5"/>
        <v>1</v>
      </c>
      <c r="D71" t="s">
        <v>85</v>
      </c>
      <c r="E71" s="6" t="s">
        <v>191</v>
      </c>
    </row>
    <row r="72" spans="2:5" x14ac:dyDescent="0.25">
      <c r="B72" t="s">
        <v>2</v>
      </c>
      <c r="C72" t="b">
        <f t="shared" si="5"/>
        <v>1</v>
      </c>
      <c r="D72" t="s">
        <v>82</v>
      </c>
      <c r="E72" s="6" t="s">
        <v>84</v>
      </c>
    </row>
    <row r="73" spans="2:5" x14ac:dyDescent="0.25">
      <c r="B73" t="s">
        <v>1</v>
      </c>
      <c r="C73" t="b">
        <f t="shared" si="5"/>
        <v>1</v>
      </c>
      <c r="D73" t="s">
        <v>82</v>
      </c>
      <c r="E73" s="6" t="s">
        <v>192</v>
      </c>
    </row>
    <row r="74" spans="2:5" x14ac:dyDescent="0.25">
      <c r="B74" t="s">
        <v>3</v>
      </c>
      <c r="C74" t="b">
        <f t="shared" si="5"/>
        <v>1</v>
      </c>
      <c r="D74" t="s">
        <v>82</v>
      </c>
      <c r="E74" s="6" t="s">
        <v>193</v>
      </c>
    </row>
    <row r="75" spans="2:5" x14ac:dyDescent="0.25">
      <c r="B75" t="s">
        <v>2</v>
      </c>
      <c r="C75" t="b">
        <f t="shared" si="5"/>
        <v>1</v>
      </c>
      <c r="D75" t="s">
        <v>86</v>
      </c>
      <c r="E75" s="8" t="s">
        <v>87</v>
      </c>
    </row>
    <row r="76" spans="2:5" x14ac:dyDescent="0.25">
      <c r="B76" t="s">
        <v>1</v>
      </c>
      <c r="C76" t="b">
        <f t="shared" si="5"/>
        <v>1</v>
      </c>
      <c r="D76" t="s">
        <v>86</v>
      </c>
      <c r="E76" s="8" t="s">
        <v>194</v>
      </c>
    </row>
    <row r="77" spans="2:5" x14ac:dyDescent="0.25">
      <c r="B77" t="s">
        <v>3</v>
      </c>
      <c r="C77" t="b">
        <f t="shared" si="5"/>
        <v>1</v>
      </c>
      <c r="D77" t="s">
        <v>86</v>
      </c>
      <c r="E77" s="8" t="s">
        <v>195</v>
      </c>
    </row>
    <row r="78" spans="2:5" x14ac:dyDescent="0.25">
      <c r="B78" t="s">
        <v>2</v>
      </c>
      <c r="C78" t="b">
        <f t="shared" ref="C78:C86" si="6">VX_T</f>
        <v>1</v>
      </c>
      <c r="D78" t="s">
        <v>97</v>
      </c>
      <c r="E78" s="6" t="s">
        <v>100</v>
      </c>
    </row>
    <row r="79" spans="2:5" x14ac:dyDescent="0.25">
      <c r="B79" t="s">
        <v>1</v>
      </c>
      <c r="C79" t="b">
        <f t="shared" si="6"/>
        <v>1</v>
      </c>
      <c r="D79" t="s">
        <v>97</v>
      </c>
      <c r="E79" s="6" t="s">
        <v>101</v>
      </c>
    </row>
    <row r="80" spans="2:5" x14ac:dyDescent="0.25">
      <c r="B80" t="s">
        <v>3</v>
      </c>
      <c r="C80" t="b">
        <f t="shared" si="6"/>
        <v>1</v>
      </c>
      <c r="D80" t="s">
        <v>97</v>
      </c>
      <c r="E80" s="6" t="s">
        <v>102</v>
      </c>
    </row>
    <row r="81" spans="2:5" x14ac:dyDescent="0.25">
      <c r="B81" t="s">
        <v>2</v>
      </c>
      <c r="C81" t="b">
        <f t="shared" si="6"/>
        <v>1</v>
      </c>
      <c r="D81" t="s">
        <v>98</v>
      </c>
      <c r="E81" s="6" t="s">
        <v>99</v>
      </c>
    </row>
    <row r="82" spans="2:5" x14ac:dyDescent="0.25">
      <c r="B82" t="s">
        <v>1</v>
      </c>
      <c r="C82" t="b">
        <f t="shared" si="6"/>
        <v>1</v>
      </c>
      <c r="D82" t="s">
        <v>98</v>
      </c>
      <c r="E82" s="6" t="s">
        <v>103</v>
      </c>
    </row>
    <row r="83" spans="2:5" x14ac:dyDescent="0.25">
      <c r="B83" t="s">
        <v>3</v>
      </c>
      <c r="C83" t="b">
        <f t="shared" si="6"/>
        <v>1</v>
      </c>
      <c r="D83" t="s">
        <v>98</v>
      </c>
      <c r="E83" s="6" t="s">
        <v>118</v>
      </c>
    </row>
    <row r="84" spans="2:5" x14ac:dyDescent="0.25">
      <c r="B84" t="s">
        <v>2</v>
      </c>
      <c r="C84" t="b">
        <f t="shared" si="6"/>
        <v>1</v>
      </c>
      <c r="D84" t="s">
        <v>136</v>
      </c>
      <c r="E84" t="s">
        <v>132</v>
      </c>
    </row>
    <row r="85" spans="2:5" x14ac:dyDescent="0.25">
      <c r="B85" t="s">
        <v>1</v>
      </c>
      <c r="C85" t="b">
        <f t="shared" si="6"/>
        <v>1</v>
      </c>
      <c r="D85" t="s">
        <v>136</v>
      </c>
      <c r="E85" t="s">
        <v>134</v>
      </c>
    </row>
    <row r="86" spans="2:5" x14ac:dyDescent="0.25">
      <c r="B86" t="s">
        <v>3</v>
      </c>
      <c r="C86" t="b">
        <f t="shared" si="6"/>
        <v>1</v>
      </c>
      <c r="D86" t="s">
        <v>136</v>
      </c>
      <c r="E86" t="s">
        <v>135</v>
      </c>
    </row>
  </sheetData>
  <conditionalFormatting sqref="C16:C18">
    <cfRule type="containsText" dxfId="5" priority="1" operator="containsText" text="TRUE">
      <formula>NOT(ISERROR(SEARCH("TRUE",C16)))</formula>
    </cfRule>
  </conditionalFormatting>
  <conditionalFormatting sqref="C1:C15 C19:C86">
    <cfRule type="containsText" dxfId="4" priority="19" operator="containsText" text="TRUE">
      <formula>NOT(ISERROR(SEARCH("TRUE",C1)))</formula>
    </cfRule>
    <cfRule type="colorScale" priority="20">
      <colorScale>
        <cfvo type="min"/>
        <cfvo type="percentile" val="50"/>
        <cfvo type="max"/>
        <color rgb="FFF8696B"/>
        <color rgb="FFFCFCFF"/>
        <color rgb="FF63BE7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249977111117893"/>
  </sheetPr>
  <dimension ref="A1:E116"/>
  <sheetViews>
    <sheetView topLeftCell="A73" zoomScaleNormal="100" workbookViewId="0">
      <selection activeCell="E80" sqref="E80:E82"/>
    </sheetView>
  </sheetViews>
  <sheetFormatPr defaultRowHeight="15" x14ac:dyDescent="0.25"/>
  <cols>
    <col min="3" max="3" width="6.140625" bestFit="1" customWidth="1"/>
    <col min="4" max="4" width="40.140625" bestFit="1" customWidth="1"/>
  </cols>
  <sheetData>
    <row r="1" spans="1:5" x14ac:dyDescent="0.25">
      <c r="A1">
        <v>1.9999999552965164E-2</v>
      </c>
      <c r="B1" t="s">
        <v>2</v>
      </c>
      <c r="C1" t="b">
        <f t="shared" ref="C1:C12" si="0">VGE_T</f>
        <v>1</v>
      </c>
      <c r="D1" t="s">
        <v>4</v>
      </c>
      <c r="E1" t="s">
        <v>23</v>
      </c>
    </row>
    <row r="2" spans="1:5" x14ac:dyDescent="0.25">
      <c r="A2">
        <v>2.9999999329447746E-2</v>
      </c>
      <c r="B2" t="s">
        <v>1</v>
      </c>
      <c r="C2" t="b">
        <f t="shared" si="0"/>
        <v>1</v>
      </c>
      <c r="D2" t="s">
        <v>4</v>
      </c>
      <c r="E2" t="s">
        <v>26</v>
      </c>
    </row>
    <row r="3" spans="1:5" x14ac:dyDescent="0.25">
      <c r="A3">
        <v>0.15000000596046448</v>
      </c>
      <c r="B3" t="s">
        <v>3</v>
      </c>
      <c r="C3" t="b">
        <f t="shared" si="0"/>
        <v>1</v>
      </c>
      <c r="D3" t="s">
        <v>4</v>
      </c>
      <c r="E3" t="s">
        <v>27</v>
      </c>
    </row>
    <row r="4" spans="1:5" x14ac:dyDescent="0.25">
      <c r="A4">
        <v>0.15999999642372131</v>
      </c>
      <c r="B4" t="s">
        <v>2</v>
      </c>
      <c r="C4" t="b">
        <f t="shared" si="0"/>
        <v>1</v>
      </c>
      <c r="D4" t="s">
        <v>36</v>
      </c>
      <c r="E4" t="s">
        <v>28</v>
      </c>
    </row>
    <row r="5" spans="1:5" x14ac:dyDescent="0.25">
      <c r="A5">
        <v>0.18000000715255737</v>
      </c>
      <c r="B5" t="s">
        <v>1</v>
      </c>
      <c r="C5" t="b">
        <f t="shared" si="0"/>
        <v>1</v>
      </c>
      <c r="D5" t="s">
        <v>36</v>
      </c>
      <c r="E5" t="s">
        <v>337</v>
      </c>
    </row>
    <row r="6" spans="1:5" x14ac:dyDescent="0.25">
      <c r="A6">
        <v>0.44999998807907104</v>
      </c>
      <c r="B6" t="s">
        <v>3</v>
      </c>
      <c r="C6" t="b">
        <f t="shared" si="0"/>
        <v>1</v>
      </c>
      <c r="D6" t="s">
        <v>36</v>
      </c>
      <c r="E6" t="s">
        <v>338</v>
      </c>
    </row>
    <row r="7" spans="1:5" x14ac:dyDescent="0.25">
      <c r="A7">
        <v>3.8900001049041748</v>
      </c>
      <c r="B7" t="s">
        <v>164</v>
      </c>
      <c r="C7" t="b">
        <f t="shared" si="0"/>
        <v>1</v>
      </c>
      <c r="D7" t="s">
        <v>36</v>
      </c>
      <c r="E7" t="s">
        <v>223</v>
      </c>
    </row>
    <row r="8" spans="1:5" x14ac:dyDescent="0.25">
      <c r="A8">
        <v>3.9100000858306885</v>
      </c>
      <c r="B8" t="s">
        <v>164</v>
      </c>
      <c r="C8" t="b">
        <f t="shared" si="0"/>
        <v>1</v>
      </c>
      <c r="D8" t="s">
        <v>36</v>
      </c>
      <c r="E8" t="s">
        <v>222</v>
      </c>
    </row>
    <row r="9" spans="1:5" x14ac:dyDescent="0.25">
      <c r="A9">
        <v>3.9100000858306885</v>
      </c>
      <c r="B9" t="s">
        <v>164</v>
      </c>
      <c r="C9" t="b">
        <f t="shared" si="0"/>
        <v>1</v>
      </c>
      <c r="D9" t="s">
        <v>36</v>
      </c>
      <c r="E9" t="str">
        <f>"DELETE FROM 'Electricity generation - Term' WHERE NOT (COUNTRY IN ( " &amp; C_filter &amp; "));"</f>
        <v>DELETE FROM 'Electricity generation - Term' WHERE NOT (COUNTRY IN ( 'DENMARK' , 'NORWAY' , 'GERMANY' , 'SWEDEN' , 'FINLAND' , 'NETHERLANDS' , 'UNITED_KINGDOM' , 'ESTONIA' , 'LATVIA' , 'LITHUANIA' , 'POLAND'));</v>
      </c>
    </row>
    <row r="10" spans="1:5" x14ac:dyDescent="0.25">
      <c r="A10">
        <v>3.9200000762939453</v>
      </c>
      <c r="B10" t="s">
        <v>2</v>
      </c>
      <c r="C10" t="b">
        <f t="shared" si="0"/>
        <v>1</v>
      </c>
      <c r="D10" t="s">
        <v>5</v>
      </c>
      <c r="E10" t="s">
        <v>24</v>
      </c>
    </row>
    <row r="11" spans="1:5" x14ac:dyDescent="0.25">
      <c r="A11">
        <v>3.940000057220459</v>
      </c>
      <c r="B11" t="s">
        <v>1</v>
      </c>
      <c r="C11" t="b">
        <f t="shared" si="0"/>
        <v>1</v>
      </c>
      <c r="D11" t="s">
        <v>5</v>
      </c>
      <c r="E11" t="s">
        <v>339</v>
      </c>
    </row>
    <row r="12" spans="1:5" x14ac:dyDescent="0.25">
      <c r="A12">
        <v>4.0100002288818359</v>
      </c>
      <c r="B12" t="s">
        <v>3</v>
      </c>
      <c r="C12" t="b">
        <f t="shared" si="0"/>
        <v>1</v>
      </c>
      <c r="D12" t="s">
        <v>5</v>
      </c>
      <c r="E12" t="s">
        <v>340</v>
      </c>
    </row>
    <row r="13" spans="1:5" x14ac:dyDescent="0.25">
      <c r="A13">
        <v>4.0199999809265137</v>
      </c>
      <c r="B13" t="s">
        <v>2</v>
      </c>
      <c r="C13" t="b">
        <f>QEEQ</f>
        <v>1</v>
      </c>
      <c r="D13" t="s">
        <v>22</v>
      </c>
      <c r="E13" t="s">
        <v>25</v>
      </c>
    </row>
    <row r="14" spans="1:5" x14ac:dyDescent="0.25">
      <c r="A14">
        <v>4.0199999809265137</v>
      </c>
      <c r="B14" t="s">
        <v>1</v>
      </c>
      <c r="C14" t="b">
        <f>QEEQ</f>
        <v>1</v>
      </c>
      <c r="D14" t="s">
        <v>22</v>
      </c>
      <c r="E14" t="s">
        <v>341</v>
      </c>
    </row>
    <row r="15" spans="1:5" x14ac:dyDescent="0.25">
      <c r="A15">
        <v>4.0399999618530273</v>
      </c>
      <c r="B15" t="s">
        <v>3</v>
      </c>
      <c r="C15" t="b">
        <f>QEEQ</f>
        <v>1</v>
      </c>
      <c r="D15" t="s">
        <v>22</v>
      </c>
      <c r="E15" t="s">
        <v>342</v>
      </c>
    </row>
    <row r="16" spans="1:5" x14ac:dyDescent="0.25">
      <c r="A16">
        <v>4.0500001907348633</v>
      </c>
      <c r="B16" t="s">
        <v>2</v>
      </c>
      <c r="C16" t="b">
        <f>QHEQ</f>
        <v>1</v>
      </c>
      <c r="D16" t="s">
        <v>89</v>
      </c>
      <c r="E16" t="s">
        <v>90</v>
      </c>
    </row>
    <row r="17" spans="1:5" x14ac:dyDescent="0.25">
      <c r="A17">
        <v>4.070000171661377</v>
      </c>
      <c r="B17" t="s">
        <v>1</v>
      </c>
      <c r="C17" t="b">
        <f>QHEQ</f>
        <v>1</v>
      </c>
      <c r="D17" t="s">
        <v>89</v>
      </c>
      <c r="E17" t="s">
        <v>343</v>
      </c>
    </row>
    <row r="18" spans="1:5" x14ac:dyDescent="0.25">
      <c r="A18">
        <v>4.0799999237060547</v>
      </c>
      <c r="B18" t="s">
        <v>3</v>
      </c>
      <c r="C18" t="b">
        <f>QHEQ</f>
        <v>1</v>
      </c>
      <c r="D18" t="s">
        <v>89</v>
      </c>
      <c r="E18" t="s">
        <v>344</v>
      </c>
    </row>
    <row r="19" spans="1:5" x14ac:dyDescent="0.25">
      <c r="A19">
        <v>4.0999999046325684</v>
      </c>
      <c r="B19" t="s">
        <v>2</v>
      </c>
      <c r="C19" t="b">
        <f t="shared" ref="C19:C28" si="1">VGH_T</f>
        <v>1</v>
      </c>
      <c r="D19" t="s">
        <v>29</v>
      </c>
      <c r="E19" t="s">
        <v>30</v>
      </c>
    </row>
    <row r="20" spans="1:5" x14ac:dyDescent="0.25">
      <c r="A20">
        <v>4.119999885559082</v>
      </c>
      <c r="B20" t="s">
        <v>1</v>
      </c>
      <c r="C20" t="b">
        <f t="shared" si="1"/>
        <v>1</v>
      </c>
      <c r="D20" t="s">
        <v>29</v>
      </c>
      <c r="E20" t="s">
        <v>32</v>
      </c>
    </row>
    <row r="21" spans="1:5" x14ac:dyDescent="0.25">
      <c r="A21">
        <v>4.179999828338623</v>
      </c>
      <c r="B21" t="s">
        <v>3</v>
      </c>
      <c r="C21" t="b">
        <f t="shared" si="1"/>
        <v>1</v>
      </c>
      <c r="D21" t="s">
        <v>29</v>
      </c>
      <c r="E21" t="s">
        <v>31</v>
      </c>
    </row>
    <row r="22" spans="1:5" x14ac:dyDescent="0.25">
      <c r="A22">
        <v>4.1999998092651367</v>
      </c>
      <c r="B22" t="s">
        <v>2</v>
      </c>
      <c r="C22" t="b">
        <f t="shared" si="1"/>
        <v>1</v>
      </c>
      <c r="D22" t="s">
        <v>33</v>
      </c>
      <c r="E22" t="s">
        <v>35</v>
      </c>
    </row>
    <row r="23" spans="1:5" x14ac:dyDescent="0.25">
      <c r="A23">
        <v>4.2199997901916504</v>
      </c>
      <c r="B23" t="s">
        <v>1</v>
      </c>
      <c r="C23" t="b">
        <f t="shared" si="1"/>
        <v>1</v>
      </c>
      <c r="D23" t="s">
        <v>33</v>
      </c>
      <c r="E23" t="s">
        <v>345</v>
      </c>
    </row>
    <row r="24" spans="1:5" x14ac:dyDescent="0.25">
      <c r="A24">
        <v>4.3899998664855957</v>
      </c>
      <c r="B24" t="s">
        <v>3</v>
      </c>
      <c r="C24" t="b">
        <f t="shared" si="1"/>
        <v>1</v>
      </c>
      <c r="D24" t="s">
        <v>33</v>
      </c>
      <c r="E24" t="s">
        <v>346</v>
      </c>
    </row>
    <row r="25" spans="1:5" x14ac:dyDescent="0.25">
      <c r="A25">
        <v>4.4000000953674316</v>
      </c>
      <c r="B25" t="s">
        <v>164</v>
      </c>
      <c r="C25" t="b">
        <f t="shared" si="1"/>
        <v>1</v>
      </c>
      <c r="D25" t="s">
        <v>33</v>
      </c>
      <c r="E25" t="str">
        <f>"DELETE FROM 'Heat generation - Term' WHERE NOT (COUNTRY IN ( " &amp; C_filter &amp; "));"</f>
        <v>DELETE FROM 'Heat generation - Term' WHERE NOT (COUNTRY IN ( 'DENMARK' , 'NORWAY' , 'GERMANY' , 'SWEDEN' , 'FINLAND' , 'NETHERLANDS' , 'UNITED_KINGDOM' , 'ESTONIA' , 'LATVIA' , 'LITHUANIA' , 'POLAND'));</v>
      </c>
    </row>
    <row r="26" spans="1:5" x14ac:dyDescent="0.25">
      <c r="A26">
        <v>4.4099998474121094</v>
      </c>
      <c r="B26" t="s">
        <v>2</v>
      </c>
      <c r="C26" t="b">
        <f t="shared" si="1"/>
        <v>1</v>
      </c>
      <c r="D26" t="s">
        <v>34</v>
      </c>
      <c r="E26" t="s">
        <v>37</v>
      </c>
    </row>
    <row r="27" spans="1:5" x14ac:dyDescent="0.25">
      <c r="A27">
        <v>4.4099998474121094</v>
      </c>
      <c r="B27" t="s">
        <v>1</v>
      </c>
      <c r="C27" t="b">
        <f t="shared" si="1"/>
        <v>1</v>
      </c>
      <c r="D27" t="s">
        <v>34</v>
      </c>
      <c r="E27" t="s">
        <v>347</v>
      </c>
    </row>
    <row r="28" spans="1:5" x14ac:dyDescent="0.25">
      <c r="A28">
        <v>4.4699997901916504</v>
      </c>
      <c r="B28" t="s">
        <v>3</v>
      </c>
      <c r="C28" t="b">
        <f t="shared" si="1"/>
        <v>1</v>
      </c>
      <c r="D28" t="s">
        <v>34</v>
      </c>
      <c r="E28" t="s">
        <v>348</v>
      </c>
    </row>
    <row r="29" spans="1:5" x14ac:dyDescent="0.25">
      <c r="A29">
        <v>4.4800000190734863</v>
      </c>
      <c r="B29" t="s">
        <v>2</v>
      </c>
      <c r="C29" t="b">
        <f t="shared" ref="C29:C44" si="2">VGF_T</f>
        <v>1</v>
      </c>
      <c r="D29" t="s">
        <v>46</v>
      </c>
      <c r="E29" t="s">
        <v>47</v>
      </c>
    </row>
    <row r="30" spans="1:5" x14ac:dyDescent="0.25">
      <c r="A30">
        <v>4.4899997711181641</v>
      </c>
      <c r="B30" t="s">
        <v>1</v>
      </c>
      <c r="C30" t="b">
        <f t="shared" si="2"/>
        <v>1</v>
      </c>
      <c r="D30" t="s">
        <v>46</v>
      </c>
      <c r="E30" t="s">
        <v>349</v>
      </c>
    </row>
    <row r="31" spans="1:5" x14ac:dyDescent="0.25">
      <c r="A31">
        <v>4.5500001907348633</v>
      </c>
      <c r="B31" t="s">
        <v>3</v>
      </c>
      <c r="C31" t="b">
        <f t="shared" si="2"/>
        <v>1</v>
      </c>
      <c r="D31" t="s">
        <v>46</v>
      </c>
      <c r="E31" t="s">
        <v>350</v>
      </c>
    </row>
    <row r="32" spans="1:5" x14ac:dyDescent="0.25">
      <c r="A32">
        <v>4.570000171661377</v>
      </c>
      <c r="B32" t="s">
        <v>2</v>
      </c>
      <c r="C32" t="b">
        <f t="shared" si="2"/>
        <v>1</v>
      </c>
      <c r="D32" t="s">
        <v>48</v>
      </c>
      <c r="E32" t="s">
        <v>50</v>
      </c>
    </row>
    <row r="33" spans="1:5" x14ac:dyDescent="0.25">
      <c r="A33">
        <v>4.5900001525878906</v>
      </c>
      <c r="B33" t="s">
        <v>1</v>
      </c>
      <c r="C33" t="b">
        <f t="shared" si="2"/>
        <v>1</v>
      </c>
      <c r="D33" t="s">
        <v>48</v>
      </c>
      <c r="E33" t="s">
        <v>351</v>
      </c>
    </row>
    <row r="34" spans="1:5" x14ac:dyDescent="0.25">
      <c r="A34">
        <v>4.8000001907348633</v>
      </c>
      <c r="B34" t="s">
        <v>3</v>
      </c>
      <c r="C34" t="b">
        <f t="shared" si="2"/>
        <v>1</v>
      </c>
      <c r="D34" t="s">
        <v>48</v>
      </c>
      <c r="E34" t="s">
        <v>352</v>
      </c>
    </row>
    <row r="35" spans="1:5" x14ac:dyDescent="0.25">
      <c r="A35">
        <v>4.809999942779541</v>
      </c>
      <c r="B35" t="s">
        <v>164</v>
      </c>
      <c r="C35" t="b">
        <f t="shared" si="2"/>
        <v>1</v>
      </c>
      <c r="D35" t="s">
        <v>48</v>
      </c>
      <c r="E35" t="str">
        <f>"DELETE FROM 'Fuel consumption - Term' WHERE NOT (COUNTRY IN ( " &amp; C_filter &amp; "));"</f>
        <v>DELETE FROM 'Fuel consumption - Term' WHERE NOT (COUNTRY IN ( 'DENMARK' , 'NORWAY' , 'GERMANY' , 'SWEDEN' , 'FINLAND' , 'NETHERLANDS' , 'UNITED_KINGDOM' , 'ESTONIA' , 'LATVIA' , 'LITHUANIA' , 'POLAND'));</v>
      </c>
    </row>
    <row r="36" spans="1:5" x14ac:dyDescent="0.25">
      <c r="A36">
        <v>4.820000171661377</v>
      </c>
      <c r="B36" t="s">
        <v>2</v>
      </c>
      <c r="C36" t="b">
        <f t="shared" si="2"/>
        <v>1</v>
      </c>
      <c r="D36" t="s">
        <v>49</v>
      </c>
      <c r="E36" t="s">
        <v>51</v>
      </c>
    </row>
    <row r="37" spans="1:5" x14ac:dyDescent="0.25">
      <c r="A37">
        <v>4.8299999237060547</v>
      </c>
      <c r="B37" t="s">
        <v>1</v>
      </c>
      <c r="C37" t="b">
        <f t="shared" si="2"/>
        <v>1</v>
      </c>
      <c r="D37" t="s">
        <v>49</v>
      </c>
      <c r="E37" t="s">
        <v>353</v>
      </c>
    </row>
    <row r="38" spans="1:5" x14ac:dyDescent="0.25">
      <c r="A38">
        <v>4.9000000953674316</v>
      </c>
      <c r="B38" t="s">
        <v>3</v>
      </c>
      <c r="C38" t="b">
        <f t="shared" si="2"/>
        <v>1</v>
      </c>
      <c r="D38" t="s">
        <v>49</v>
      </c>
      <c r="E38" t="s">
        <v>354</v>
      </c>
    </row>
    <row r="39" spans="1:5" x14ac:dyDescent="0.25">
      <c r="A39">
        <v>4.9200000762939453</v>
      </c>
      <c r="B39" t="s">
        <v>2</v>
      </c>
      <c r="C39" t="b">
        <f t="shared" si="2"/>
        <v>1</v>
      </c>
      <c r="D39" t="s">
        <v>53</v>
      </c>
      <c r="E39" t="s">
        <v>52</v>
      </c>
    </row>
    <row r="40" spans="1:5" x14ac:dyDescent="0.25">
      <c r="A40">
        <v>4.929999828338623</v>
      </c>
      <c r="B40" t="s">
        <v>1</v>
      </c>
      <c r="C40" t="b">
        <f t="shared" si="2"/>
        <v>1</v>
      </c>
      <c r="D40" t="s">
        <v>53</v>
      </c>
      <c r="E40" t="s">
        <v>355</v>
      </c>
    </row>
    <row r="41" spans="1:5" x14ac:dyDescent="0.25">
      <c r="A41">
        <v>5.1100001335144043</v>
      </c>
      <c r="B41" t="s">
        <v>3</v>
      </c>
      <c r="C41" t="b">
        <f t="shared" si="2"/>
        <v>1</v>
      </c>
      <c r="D41" t="s">
        <v>53</v>
      </c>
      <c r="E41" t="s">
        <v>356</v>
      </c>
    </row>
    <row r="42" spans="1:5" x14ac:dyDescent="0.25">
      <c r="A42">
        <v>5.119999885559082</v>
      </c>
      <c r="B42" t="s">
        <v>2</v>
      </c>
      <c r="C42" t="b">
        <f t="shared" si="2"/>
        <v>1</v>
      </c>
      <c r="D42" t="s">
        <v>54</v>
      </c>
      <c r="E42" t="s">
        <v>55</v>
      </c>
    </row>
    <row r="43" spans="1:5" x14ac:dyDescent="0.25">
      <c r="A43">
        <v>5.119999885559082</v>
      </c>
      <c r="B43" t="s">
        <v>1</v>
      </c>
      <c r="C43" t="b">
        <f t="shared" si="2"/>
        <v>1</v>
      </c>
      <c r="D43" t="s">
        <v>54</v>
      </c>
      <c r="E43" t="s">
        <v>357</v>
      </c>
    </row>
    <row r="44" spans="1:5" x14ac:dyDescent="0.25">
      <c r="A44">
        <v>5.1999998092651367</v>
      </c>
      <c r="B44" t="s">
        <v>3</v>
      </c>
      <c r="C44" t="b">
        <f t="shared" si="2"/>
        <v>1</v>
      </c>
      <c r="D44" t="s">
        <v>54</v>
      </c>
      <c r="E44" t="s">
        <v>358</v>
      </c>
    </row>
    <row r="45" spans="1:5" x14ac:dyDescent="0.25">
      <c r="A45">
        <v>5.2100000381469727</v>
      </c>
      <c r="B45" t="s">
        <v>2</v>
      </c>
      <c r="C45" t="b">
        <f t="shared" ref="C45:C51" si="3">STO</f>
        <v>1</v>
      </c>
      <c r="D45" t="s">
        <v>73</v>
      </c>
      <c r="E45" t="s">
        <v>74</v>
      </c>
    </row>
    <row r="46" spans="1:5" x14ac:dyDescent="0.25">
      <c r="A46">
        <v>5.2199997901916504</v>
      </c>
      <c r="B46" t="s">
        <v>1</v>
      </c>
      <c r="C46" t="b">
        <f t="shared" si="3"/>
        <v>1</v>
      </c>
      <c r="D46" t="s">
        <v>73</v>
      </c>
      <c r="E46" t="s">
        <v>359</v>
      </c>
    </row>
    <row r="47" spans="1:5" x14ac:dyDescent="0.25">
      <c r="A47">
        <v>5.25</v>
      </c>
      <c r="B47" t="s">
        <v>3</v>
      </c>
      <c r="C47" t="b">
        <f t="shared" si="3"/>
        <v>1</v>
      </c>
      <c r="D47" t="s">
        <v>73</v>
      </c>
      <c r="E47" s="6" t="s">
        <v>360</v>
      </c>
    </row>
    <row r="48" spans="1:5" x14ac:dyDescent="0.25">
      <c r="A48">
        <v>5.25</v>
      </c>
      <c r="B48" t="s">
        <v>164</v>
      </c>
      <c r="C48" t="b">
        <f t="shared" si="3"/>
        <v>1</v>
      </c>
      <c r="D48" t="s">
        <v>73</v>
      </c>
      <c r="E48" s="6" t="str">
        <f>"DELETE FROM 'Heat Storage volume' WHERE NOT (COUNTRY IN ( " &amp; C_filter &amp; "));"</f>
        <v>DELETE FROM 'Heat Storage volume' WHERE NOT (COUNTRY IN ( 'DENMARK' , 'NORWAY' , 'GERMANY' , 'SWEDEN' , 'FINLAND' , 'NETHERLANDS' , 'UNITED_KINGDOM' , 'ESTONIA' , 'LATVIA' , 'LITHUANIA' , 'POLAND'));</v>
      </c>
    </row>
    <row r="49" spans="1:5" x14ac:dyDescent="0.25">
      <c r="A49">
        <v>5.2600002288818359</v>
      </c>
      <c r="B49" t="s">
        <v>2</v>
      </c>
      <c r="C49" t="b">
        <f t="shared" si="3"/>
        <v>1</v>
      </c>
      <c r="D49" t="s">
        <v>75</v>
      </c>
      <c r="E49" t="s">
        <v>76</v>
      </c>
    </row>
    <row r="50" spans="1:5" x14ac:dyDescent="0.25">
      <c r="A50">
        <v>5.2699999809265137</v>
      </c>
      <c r="B50" t="s">
        <v>1</v>
      </c>
      <c r="C50" t="b">
        <f t="shared" si="3"/>
        <v>1</v>
      </c>
      <c r="D50" t="s">
        <v>75</v>
      </c>
      <c r="E50" t="s">
        <v>361</v>
      </c>
    </row>
    <row r="51" spans="1:5" x14ac:dyDescent="0.25">
      <c r="A51">
        <v>5.2699999809265137</v>
      </c>
      <c r="B51" t="s">
        <v>3</v>
      </c>
      <c r="C51" t="b">
        <f t="shared" si="3"/>
        <v>1</v>
      </c>
      <c r="D51" t="s">
        <v>75</v>
      </c>
      <c r="E51" s="6" t="s">
        <v>362</v>
      </c>
    </row>
    <row r="52" spans="1:5" x14ac:dyDescent="0.25">
      <c r="A52">
        <v>5.2899999618530273</v>
      </c>
      <c r="B52" t="s">
        <v>2</v>
      </c>
      <c r="C52" t="b">
        <f t="shared" ref="C52:C56" si="4">IGK</f>
        <v>1</v>
      </c>
      <c r="D52" t="s">
        <v>235</v>
      </c>
      <c r="E52" s="6" t="s">
        <v>236</v>
      </c>
    </row>
    <row r="53" spans="1:5" x14ac:dyDescent="0.25">
      <c r="A53">
        <v>5.320000171661377</v>
      </c>
      <c r="B53" t="s">
        <v>1</v>
      </c>
      <c r="C53" t="b">
        <f t="shared" si="4"/>
        <v>1</v>
      </c>
      <c r="D53" t="s">
        <v>235</v>
      </c>
      <c r="E53" s="6" t="s">
        <v>237</v>
      </c>
    </row>
    <row r="54" spans="1:5" x14ac:dyDescent="0.25">
      <c r="A54">
        <v>5.630000114440918</v>
      </c>
      <c r="B54" t="s">
        <v>3</v>
      </c>
      <c r="C54" t="b">
        <f t="shared" si="4"/>
        <v>1</v>
      </c>
      <c r="D54" t="s">
        <v>235</v>
      </c>
      <c r="E54" s="6" t="s">
        <v>238</v>
      </c>
    </row>
    <row r="55" spans="1:5" x14ac:dyDescent="0.25">
      <c r="A55">
        <v>6.2699999809265137</v>
      </c>
      <c r="B55" t="s">
        <v>164</v>
      </c>
      <c r="C55" t="b">
        <f t="shared" si="4"/>
        <v>1</v>
      </c>
      <c r="D55" t="s">
        <v>235</v>
      </c>
      <c r="E55" t="s">
        <v>239</v>
      </c>
    </row>
    <row r="56" spans="1:5" x14ac:dyDescent="0.25">
      <c r="A56">
        <v>9.7600002288818359</v>
      </c>
      <c r="B56" t="s">
        <v>164</v>
      </c>
      <c r="C56" t="b">
        <f t="shared" si="4"/>
        <v>1</v>
      </c>
      <c r="D56" t="s">
        <v>235</v>
      </c>
      <c r="E56" t="s">
        <v>240</v>
      </c>
    </row>
    <row r="57" spans="1:5" x14ac:dyDescent="0.25">
      <c r="A57">
        <v>9.7700004577636719</v>
      </c>
      <c r="B57" t="s">
        <v>2</v>
      </c>
      <c r="C57" t="b">
        <f>VGKN</f>
        <v>1</v>
      </c>
      <c r="D57" t="s">
        <v>241</v>
      </c>
      <c r="E57" t="s">
        <v>242</v>
      </c>
    </row>
    <row r="58" spans="1:5" x14ac:dyDescent="0.25">
      <c r="A58">
        <v>9.7799997329711914</v>
      </c>
      <c r="B58" t="s">
        <v>1</v>
      </c>
      <c r="C58" t="b">
        <f>VGKN</f>
        <v>1</v>
      </c>
      <c r="D58" t="s">
        <v>241</v>
      </c>
      <c r="E58" t="s">
        <v>247</v>
      </c>
    </row>
    <row r="59" spans="1:5" x14ac:dyDescent="0.25">
      <c r="A59">
        <v>9.8000001907348633</v>
      </c>
      <c r="B59" t="s">
        <v>3</v>
      </c>
      <c r="C59" t="b">
        <f>VGKN</f>
        <v>1</v>
      </c>
      <c r="D59" t="s">
        <v>241</v>
      </c>
      <c r="E59" t="s">
        <v>248</v>
      </c>
    </row>
    <row r="60" spans="1:5" x14ac:dyDescent="0.25">
      <c r="A60">
        <v>9.8599996566772461</v>
      </c>
      <c r="B60" t="s">
        <v>164</v>
      </c>
      <c r="C60" t="b">
        <f>VGKN</f>
        <v>1</v>
      </c>
      <c r="D60" t="s">
        <v>241</v>
      </c>
      <c r="E60" t="s">
        <v>245</v>
      </c>
    </row>
    <row r="61" spans="1:5" x14ac:dyDescent="0.25">
      <c r="A61">
        <v>10.020000457763672</v>
      </c>
      <c r="B61" t="s">
        <v>164</v>
      </c>
      <c r="C61" t="b">
        <f>VGKN</f>
        <v>1</v>
      </c>
      <c r="D61" t="s">
        <v>241</v>
      </c>
      <c r="E61" t="s">
        <v>246</v>
      </c>
    </row>
    <row r="62" spans="1:5" x14ac:dyDescent="0.25">
      <c r="A62">
        <v>10.039999961853027</v>
      </c>
      <c r="B62" t="s">
        <v>2</v>
      </c>
      <c r="C62" t="b">
        <f t="shared" ref="C62:C67" si="5">VGKN</f>
        <v>1</v>
      </c>
      <c r="D62" t="s">
        <v>253</v>
      </c>
      <c r="E62" s="6" t="s">
        <v>254</v>
      </c>
    </row>
    <row r="63" spans="1:5" x14ac:dyDescent="0.25">
      <c r="A63">
        <v>10.050000190734863</v>
      </c>
      <c r="B63" t="s">
        <v>1</v>
      </c>
      <c r="C63" t="b">
        <f t="shared" si="5"/>
        <v>1</v>
      </c>
      <c r="D63" t="s">
        <v>253</v>
      </c>
      <c r="E63" s="6" t="s">
        <v>255</v>
      </c>
    </row>
    <row r="64" spans="1:5" x14ac:dyDescent="0.25">
      <c r="A64">
        <v>10.149999618530273</v>
      </c>
      <c r="B64" t="s">
        <v>3</v>
      </c>
      <c r="C64" t="b">
        <f t="shared" si="5"/>
        <v>1</v>
      </c>
      <c r="D64" t="s">
        <v>253</v>
      </c>
      <c r="E64" s="6" t="s">
        <v>374</v>
      </c>
    </row>
    <row r="65" spans="1:5" x14ac:dyDescent="0.25">
      <c r="A65">
        <v>10.159999847412109</v>
      </c>
      <c r="B65" t="s">
        <v>2</v>
      </c>
      <c r="C65" t="b">
        <f t="shared" si="5"/>
        <v>1</v>
      </c>
      <c r="D65" t="s">
        <v>375</v>
      </c>
      <c r="E65" s="6" t="s">
        <v>376</v>
      </c>
    </row>
    <row r="66" spans="1:5" x14ac:dyDescent="0.25">
      <c r="A66">
        <v>10.159999847412109</v>
      </c>
      <c r="B66" t="s">
        <v>1</v>
      </c>
      <c r="C66" t="b">
        <f t="shared" si="5"/>
        <v>1</v>
      </c>
      <c r="D66" t="s">
        <v>375</v>
      </c>
      <c r="E66" s="6" t="s">
        <v>377</v>
      </c>
    </row>
    <row r="67" spans="1:5" x14ac:dyDescent="0.25">
      <c r="A67">
        <v>12.399999618530273</v>
      </c>
      <c r="B67" t="s">
        <v>3</v>
      </c>
      <c r="C67" t="b">
        <f t="shared" si="5"/>
        <v>1</v>
      </c>
      <c r="D67" t="s">
        <v>375</v>
      </c>
      <c r="E67" s="6" t="s">
        <v>379</v>
      </c>
    </row>
    <row r="68" spans="1:5" x14ac:dyDescent="0.25">
      <c r="A68">
        <v>12.409999847412109</v>
      </c>
      <c r="B68" t="s">
        <v>2</v>
      </c>
      <c r="C68" t="b">
        <f t="shared" ref="C68:C79" si="6">DE</f>
        <v>1</v>
      </c>
      <c r="D68" t="s">
        <v>83</v>
      </c>
      <c r="E68" s="6" t="s">
        <v>81</v>
      </c>
    </row>
    <row r="69" spans="1:5" x14ac:dyDescent="0.25">
      <c r="A69">
        <v>12.420000076293945</v>
      </c>
      <c r="B69" t="s">
        <v>1</v>
      </c>
      <c r="C69" t="b">
        <f t="shared" si="6"/>
        <v>1</v>
      </c>
      <c r="D69" t="s">
        <v>83</v>
      </c>
      <c r="E69" s="6" t="s">
        <v>188</v>
      </c>
    </row>
    <row r="70" spans="1:5" x14ac:dyDescent="0.25">
      <c r="A70">
        <v>12.460000038146973</v>
      </c>
      <c r="B70" t="s">
        <v>3</v>
      </c>
      <c r="C70" t="b">
        <f t="shared" si="6"/>
        <v>1</v>
      </c>
      <c r="D70" t="s">
        <v>83</v>
      </c>
      <c r="E70" s="6" t="s">
        <v>189</v>
      </c>
    </row>
    <row r="71" spans="1:5" x14ac:dyDescent="0.25">
      <c r="A71">
        <v>12.470000267028809</v>
      </c>
      <c r="B71" t="s">
        <v>2</v>
      </c>
      <c r="C71" t="b">
        <f t="shared" si="6"/>
        <v>1</v>
      </c>
      <c r="D71" t="s">
        <v>85</v>
      </c>
      <c r="E71" s="6" t="s">
        <v>88</v>
      </c>
    </row>
    <row r="72" spans="1:5" x14ac:dyDescent="0.25">
      <c r="A72">
        <v>12.479999542236328</v>
      </c>
      <c r="B72" t="s">
        <v>1</v>
      </c>
      <c r="C72" t="b">
        <f t="shared" si="6"/>
        <v>1</v>
      </c>
      <c r="D72" t="s">
        <v>85</v>
      </c>
      <c r="E72" s="6" t="s">
        <v>190</v>
      </c>
    </row>
    <row r="73" spans="1:5" x14ac:dyDescent="0.25">
      <c r="A73">
        <v>12.479999542236328</v>
      </c>
      <c r="B73" t="s">
        <v>3</v>
      </c>
      <c r="C73" t="b">
        <f t="shared" si="6"/>
        <v>1</v>
      </c>
      <c r="D73" t="s">
        <v>85</v>
      </c>
      <c r="E73" s="6" t="s">
        <v>191</v>
      </c>
    </row>
    <row r="74" spans="1:5" x14ac:dyDescent="0.25">
      <c r="A74">
        <v>12.5</v>
      </c>
      <c r="B74" t="s">
        <v>2</v>
      </c>
      <c r="C74" t="b">
        <f t="shared" si="6"/>
        <v>1</v>
      </c>
      <c r="D74" t="s">
        <v>82</v>
      </c>
      <c r="E74" s="6" t="s">
        <v>84</v>
      </c>
    </row>
    <row r="75" spans="1:5" x14ac:dyDescent="0.25">
      <c r="A75">
        <v>12.529999732971191</v>
      </c>
      <c r="B75" t="s">
        <v>1</v>
      </c>
      <c r="C75" t="b">
        <f t="shared" si="6"/>
        <v>1</v>
      </c>
      <c r="D75" t="s">
        <v>82</v>
      </c>
      <c r="E75" s="6" t="s">
        <v>192</v>
      </c>
    </row>
    <row r="76" spans="1:5" x14ac:dyDescent="0.25">
      <c r="A76">
        <v>12.619999885559082</v>
      </c>
      <c r="B76" t="s">
        <v>3</v>
      </c>
      <c r="C76" t="b">
        <f t="shared" si="6"/>
        <v>1</v>
      </c>
      <c r="D76" t="s">
        <v>82</v>
      </c>
      <c r="E76" s="6" t="s">
        <v>193</v>
      </c>
    </row>
    <row r="77" spans="1:5" x14ac:dyDescent="0.25">
      <c r="A77">
        <v>12.640000343322754</v>
      </c>
      <c r="B77" t="s">
        <v>2</v>
      </c>
      <c r="C77" t="b">
        <f t="shared" si="6"/>
        <v>1</v>
      </c>
      <c r="D77" t="s">
        <v>86</v>
      </c>
      <c r="E77" s="8" t="s">
        <v>87</v>
      </c>
    </row>
    <row r="78" spans="1:5" x14ac:dyDescent="0.25">
      <c r="A78">
        <v>12.659999847412109</v>
      </c>
      <c r="B78" t="s">
        <v>1</v>
      </c>
      <c r="C78" t="b">
        <f t="shared" si="6"/>
        <v>1</v>
      </c>
      <c r="D78" t="s">
        <v>86</v>
      </c>
      <c r="E78" s="8" t="s">
        <v>194</v>
      </c>
    </row>
    <row r="79" spans="1:5" x14ac:dyDescent="0.25">
      <c r="A79">
        <v>12.670000076293945</v>
      </c>
      <c r="B79" t="s">
        <v>3</v>
      </c>
      <c r="C79" t="b">
        <f t="shared" si="6"/>
        <v>1</v>
      </c>
      <c r="D79" t="s">
        <v>86</v>
      </c>
      <c r="E79" s="8" t="s">
        <v>195</v>
      </c>
    </row>
    <row r="80" spans="1:5" x14ac:dyDescent="0.25">
      <c r="A80">
        <v>12.680000305175781</v>
      </c>
      <c r="B80" t="s">
        <v>2</v>
      </c>
      <c r="C80" t="b">
        <f t="shared" ref="C80:C82" si="7">VX_T</f>
        <v>1</v>
      </c>
      <c r="D80" t="s">
        <v>388</v>
      </c>
      <c r="E80" s="8" t="s">
        <v>389</v>
      </c>
    </row>
    <row r="81" spans="1:5" x14ac:dyDescent="0.25">
      <c r="A81">
        <v>12.689999580383301</v>
      </c>
      <c r="B81" t="s">
        <v>1</v>
      </c>
      <c r="C81" t="b">
        <f t="shared" si="7"/>
        <v>1</v>
      </c>
      <c r="D81" t="s">
        <v>388</v>
      </c>
      <c r="E81" s="8" t="s">
        <v>390</v>
      </c>
    </row>
    <row r="82" spans="1:5" x14ac:dyDescent="0.25">
      <c r="A82">
        <v>12.720000267028809</v>
      </c>
      <c r="B82" t="s">
        <v>3</v>
      </c>
      <c r="C82" t="b">
        <f t="shared" si="7"/>
        <v>1</v>
      </c>
      <c r="D82" t="s">
        <v>388</v>
      </c>
      <c r="E82" s="8" t="s">
        <v>391</v>
      </c>
    </row>
    <row r="83" spans="1:5" x14ac:dyDescent="0.25">
      <c r="A83">
        <v>12.729999542236328</v>
      </c>
      <c r="B83" t="s">
        <v>2</v>
      </c>
      <c r="C83" t="b">
        <f t="shared" ref="C83:C91" si="8">VX_T</f>
        <v>1</v>
      </c>
      <c r="D83" t="s">
        <v>97</v>
      </c>
      <c r="E83" s="6" t="s">
        <v>100</v>
      </c>
    </row>
    <row r="84" spans="1:5" x14ac:dyDescent="0.25">
      <c r="A84">
        <v>12.739999771118164</v>
      </c>
      <c r="B84" t="s">
        <v>1</v>
      </c>
      <c r="C84" t="b">
        <f t="shared" si="8"/>
        <v>1</v>
      </c>
      <c r="D84" t="s">
        <v>97</v>
      </c>
      <c r="E84" s="6" t="s">
        <v>363</v>
      </c>
    </row>
    <row r="85" spans="1:5" x14ac:dyDescent="0.25">
      <c r="A85">
        <v>12.789999961853027</v>
      </c>
      <c r="B85" t="s">
        <v>3</v>
      </c>
      <c r="C85" t="b">
        <f t="shared" si="8"/>
        <v>1</v>
      </c>
      <c r="D85" t="s">
        <v>97</v>
      </c>
      <c r="E85" s="6" t="s">
        <v>364</v>
      </c>
    </row>
    <row r="86" spans="1:5" x14ac:dyDescent="0.25">
      <c r="A86">
        <v>12.800000190734863</v>
      </c>
      <c r="B86" t="s">
        <v>2</v>
      </c>
      <c r="C86" t="b">
        <f t="shared" si="8"/>
        <v>1</v>
      </c>
      <c r="D86" t="s">
        <v>98</v>
      </c>
      <c r="E86" s="6" t="s">
        <v>99</v>
      </c>
    </row>
    <row r="87" spans="1:5" x14ac:dyDescent="0.25">
      <c r="A87">
        <v>12.810000419616699</v>
      </c>
      <c r="B87" t="s">
        <v>1</v>
      </c>
      <c r="C87" t="b">
        <f t="shared" si="8"/>
        <v>1</v>
      </c>
      <c r="D87" t="s">
        <v>98</v>
      </c>
      <c r="E87" s="6" t="s">
        <v>365</v>
      </c>
    </row>
    <row r="88" spans="1:5" x14ac:dyDescent="0.25">
      <c r="A88">
        <v>12.880000114440918</v>
      </c>
      <c r="B88" t="s">
        <v>3</v>
      </c>
      <c r="C88" t="b">
        <f t="shared" si="8"/>
        <v>1</v>
      </c>
      <c r="D88" t="s">
        <v>98</v>
      </c>
      <c r="E88" s="6" t="s">
        <v>366</v>
      </c>
    </row>
    <row r="89" spans="1:5" x14ac:dyDescent="0.25">
      <c r="A89">
        <v>12.880000114440918</v>
      </c>
      <c r="B89" t="s">
        <v>2</v>
      </c>
      <c r="C89" t="b">
        <f t="shared" si="8"/>
        <v>1</v>
      </c>
      <c r="D89" t="s">
        <v>133</v>
      </c>
      <c r="E89" t="s">
        <v>132</v>
      </c>
    </row>
    <row r="90" spans="1:5" x14ac:dyDescent="0.25">
      <c r="A90">
        <v>12.890000343322754</v>
      </c>
      <c r="B90" t="s">
        <v>1</v>
      </c>
      <c r="C90" t="b">
        <f t="shared" si="8"/>
        <v>1</v>
      </c>
      <c r="D90" t="s">
        <v>133</v>
      </c>
      <c r="E90" t="s">
        <v>367</v>
      </c>
    </row>
    <row r="91" spans="1:5" x14ac:dyDescent="0.25">
      <c r="A91">
        <v>12.949999809265137</v>
      </c>
      <c r="B91" t="s">
        <v>3</v>
      </c>
      <c r="C91" t="b">
        <f t="shared" si="8"/>
        <v>1</v>
      </c>
      <c r="D91" t="s">
        <v>133</v>
      </c>
      <c r="E91" t="s">
        <v>368</v>
      </c>
    </row>
    <row r="94" spans="1:5" x14ac:dyDescent="0.25">
      <c r="E94" s="6"/>
    </row>
    <row r="95" spans="1:5" x14ac:dyDescent="0.25">
      <c r="E95" s="6"/>
    </row>
    <row r="96" spans="1:5" x14ac:dyDescent="0.25">
      <c r="E96" s="6"/>
    </row>
    <row r="97" spans="2:5" x14ac:dyDescent="0.25">
      <c r="E97" s="6"/>
    </row>
    <row r="98" spans="2:5" x14ac:dyDescent="0.25">
      <c r="E98" s="6"/>
    </row>
    <row r="99" spans="2:5" x14ac:dyDescent="0.25">
      <c r="D99" t="s">
        <v>369</v>
      </c>
      <c r="E99" s="6"/>
    </row>
    <row r="100" spans="2:5" x14ac:dyDescent="0.25">
      <c r="E100" s="6"/>
    </row>
    <row r="101" spans="2:5" x14ac:dyDescent="0.25">
      <c r="B101" t="s">
        <v>373</v>
      </c>
      <c r="C101" t="s">
        <v>370</v>
      </c>
      <c r="D101" t="s">
        <v>253</v>
      </c>
      <c r="E101" s="6" t="s">
        <v>371</v>
      </c>
    </row>
    <row r="102" spans="2:5" x14ac:dyDescent="0.25">
      <c r="B102" t="s">
        <v>373</v>
      </c>
      <c r="C102" t="s">
        <v>372</v>
      </c>
      <c r="E102" s="6"/>
    </row>
    <row r="103" spans="2:5" x14ac:dyDescent="0.25">
      <c r="B103" t="s">
        <v>373</v>
      </c>
      <c r="C103" t="s">
        <v>378</v>
      </c>
      <c r="E103" s="6"/>
    </row>
    <row r="104" spans="2:5" x14ac:dyDescent="0.25">
      <c r="E104" s="6"/>
    </row>
    <row r="105" spans="2:5" x14ac:dyDescent="0.25">
      <c r="E105" s="6"/>
    </row>
    <row r="106" spans="2:5" x14ac:dyDescent="0.25">
      <c r="E106" s="6"/>
    </row>
    <row r="107" spans="2:5" x14ac:dyDescent="0.25">
      <c r="E107" s="6"/>
    </row>
    <row r="108" spans="2:5" x14ac:dyDescent="0.25">
      <c r="E108" s="6"/>
    </row>
    <row r="109" spans="2:5" x14ac:dyDescent="0.25">
      <c r="E109" s="6"/>
    </row>
    <row r="110" spans="2:5" x14ac:dyDescent="0.25">
      <c r="E110" s="6"/>
    </row>
    <row r="111" spans="2:5" x14ac:dyDescent="0.25">
      <c r="E111" s="6"/>
    </row>
    <row r="112" spans="2:5" x14ac:dyDescent="0.25">
      <c r="E112" s="6"/>
    </row>
    <row r="113" spans="5:5" x14ac:dyDescent="0.25">
      <c r="E113" s="6"/>
    </row>
    <row r="114" spans="5:5" x14ac:dyDescent="0.25">
      <c r="E114" s="6"/>
    </row>
    <row r="115" spans="5:5" x14ac:dyDescent="0.25">
      <c r="E115" s="6"/>
    </row>
    <row r="116" spans="5:5" x14ac:dyDescent="0.25">
      <c r="E116" s="6"/>
    </row>
  </sheetData>
  <conditionalFormatting sqref="C10:C24 C26:C34 C36:C47 C1:C8 C49:C56 C62:C91">
    <cfRule type="containsText" dxfId="3" priority="18" operator="containsText" text="TRUE">
      <formula>NOT(ISERROR(SEARCH("TRUE",C1)))</formula>
    </cfRule>
  </conditionalFormatting>
  <conditionalFormatting sqref="C9">
    <cfRule type="colorScale" priority="15">
      <colorScale>
        <cfvo type="min"/>
        <cfvo type="percentile" val="50"/>
        <cfvo type="max"/>
        <color rgb="FFF8696B"/>
        <color rgb="FFFCFCFF"/>
        <color rgb="FF63BE7B"/>
      </colorScale>
    </cfRule>
  </conditionalFormatting>
  <conditionalFormatting sqref="C25">
    <cfRule type="colorScale" priority="10">
      <colorScale>
        <cfvo type="min"/>
        <cfvo type="percentile" val="50"/>
        <cfvo type="max"/>
        <color rgb="FFF8696B"/>
        <color rgb="FFFCFCFF"/>
        <color rgb="FF63BE7B"/>
      </colorScale>
    </cfRule>
  </conditionalFormatting>
  <conditionalFormatting sqref="C35">
    <cfRule type="colorScale" priority="8">
      <colorScale>
        <cfvo type="min"/>
        <cfvo type="percentile" val="50"/>
        <cfvo type="max"/>
        <color rgb="FFF8696B"/>
        <color rgb="FFFCFCFF"/>
        <color rgb="FF63BE7B"/>
      </colorScale>
    </cfRule>
  </conditionalFormatting>
  <conditionalFormatting sqref="C48">
    <cfRule type="colorScale" priority="4">
      <colorScale>
        <cfvo type="min"/>
        <cfvo type="percentile" val="50"/>
        <cfvo type="max"/>
        <color rgb="FFF8696B"/>
        <color rgb="FFFCFCFF"/>
        <color rgb="FF63BE7B"/>
      </colorScale>
    </cfRule>
  </conditionalFormatting>
  <conditionalFormatting sqref="C57:C61">
    <cfRule type="containsText" dxfId="2" priority="1" operator="containsText" text="TRUE">
      <formula>NOT(ISERROR(SEARCH("TRUE",C57)))</formula>
    </cfRule>
    <cfRule type="colorScale" priority="2">
      <colorScale>
        <cfvo type="min"/>
        <cfvo type="percentile" val="50"/>
        <cfvo type="max"/>
        <color rgb="FFF8696B"/>
        <color rgb="FFFCFCFF"/>
        <color rgb="FF63BE7B"/>
      </colorScale>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ontainsText" priority="14" operator="containsText" text="TRUE" id="{49790E47-265C-4B12-A427-32C13585EFDD}">
            <xm:f>NOT(ISERROR(SEARCH("TRUE",Queries_BB3!C49)))</xm:f>
            <x14:dxf>
              <font>
                <color rgb="FF006100"/>
              </font>
              <fill>
                <patternFill>
                  <bgColor rgb="FFC6EFCE"/>
                </patternFill>
              </fill>
            </x14:dxf>
          </x14:cfRule>
          <xm:sqref>C48</xm:sqref>
        </x14:conditionalFormatting>
        <x14:conditionalFormatting xmlns:xm="http://schemas.microsoft.com/office/excel/2006/main">
          <x14:cfRule type="containsText" priority="21" operator="containsText" text="TRUE" id="{49790E47-265C-4B12-A427-32C13585EFDD}">
            <xm:f>NOT(ISERROR(SEARCH("TRUE",Queries_BB3!C9)))</xm:f>
            <x14:dxf>
              <font>
                <color rgb="FF006100"/>
              </font>
              <fill>
                <patternFill>
                  <bgColor rgb="FFC6EFCE"/>
                </patternFill>
              </fill>
            </x14:dxf>
          </x14:cfRule>
          <xm:sqref>C25 C35 C9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J102"/>
  <sheetViews>
    <sheetView zoomScale="55" zoomScaleNormal="55" workbookViewId="0">
      <selection activeCell="M37" sqref="M37"/>
    </sheetView>
  </sheetViews>
  <sheetFormatPr defaultRowHeight="15" x14ac:dyDescent="0.25"/>
  <cols>
    <col min="2" max="2" width="25.7109375" customWidth="1"/>
    <col min="3" max="3" width="9.7109375" bestFit="1" customWidth="1"/>
    <col min="4" max="4" width="8.140625" customWidth="1"/>
    <col min="5" max="5" width="10" bestFit="1" customWidth="1"/>
    <col min="6" max="6" width="10.28515625" customWidth="1"/>
    <col min="7" max="7" width="11.28515625" customWidth="1"/>
    <col min="8" max="9" width="12.5703125" bestFit="1" customWidth="1"/>
    <col min="10" max="26" width="20" bestFit="1" customWidth="1"/>
    <col min="27" max="27" width="12.28515625" customWidth="1"/>
    <col min="28" max="41" width="20" bestFit="1" customWidth="1"/>
    <col min="42" max="42" width="12.28515625" bestFit="1" customWidth="1"/>
    <col min="43" max="44" width="18.42578125" bestFit="1" customWidth="1"/>
    <col min="45" max="45" width="12.85546875" bestFit="1" customWidth="1"/>
    <col min="46" max="77" width="13.28515625" bestFit="1" customWidth="1"/>
    <col min="78" max="78" width="12.5703125" bestFit="1" customWidth="1"/>
  </cols>
  <sheetData>
    <row r="2" spans="2:10" x14ac:dyDescent="0.25">
      <c r="B2" s="1" t="s">
        <v>11</v>
      </c>
      <c r="C2" t="s">
        <v>166</v>
      </c>
    </row>
    <row r="4" spans="2:10" x14ac:dyDescent="0.25">
      <c r="B4" s="1" t="s">
        <v>94</v>
      </c>
      <c r="F4" s="1" t="s">
        <v>184</v>
      </c>
      <c r="G4" s="1" t="s">
        <v>71</v>
      </c>
    </row>
    <row r="6" spans="2:10" x14ac:dyDescent="0.25">
      <c r="B6" s="1" t="s">
        <v>138</v>
      </c>
      <c r="C6" s="1" t="s">
        <v>185</v>
      </c>
      <c r="D6" s="1" t="s">
        <v>15</v>
      </c>
      <c r="E6" s="1" t="s">
        <v>72</v>
      </c>
    </row>
    <row r="7" spans="2:10" x14ac:dyDescent="0.25">
      <c r="J7" s="3"/>
    </row>
    <row r="8" spans="2:10" x14ac:dyDescent="0.25">
      <c r="J8" s="3"/>
    </row>
    <row r="9" spans="2:10" x14ac:dyDescent="0.25">
      <c r="J9" s="3"/>
    </row>
    <row r="10" spans="2:10" x14ac:dyDescent="0.25">
      <c r="J10" s="3"/>
    </row>
    <row r="11" spans="2:10" x14ac:dyDescent="0.25">
      <c r="J11" s="3"/>
    </row>
    <row r="12" spans="2:10" x14ac:dyDescent="0.25">
      <c r="J12" s="3"/>
    </row>
    <row r="13" spans="2:10" x14ac:dyDescent="0.25">
      <c r="J13" s="3"/>
    </row>
    <row r="14" spans="2:10" x14ac:dyDescent="0.25">
      <c r="J14" s="3"/>
    </row>
    <row r="15" spans="2:10" x14ac:dyDescent="0.25">
      <c r="J15" s="3"/>
    </row>
    <row r="16" spans="2:10" x14ac:dyDescent="0.25">
      <c r="J16" s="3"/>
    </row>
    <row r="17" spans="10:10" x14ac:dyDescent="0.25">
      <c r="J17" s="3"/>
    </row>
    <row r="18" spans="10:10" x14ac:dyDescent="0.25">
      <c r="J18" s="3"/>
    </row>
    <row r="19" spans="10:10" x14ac:dyDescent="0.25">
      <c r="J19" s="3"/>
    </row>
    <row r="20" spans="10:10" x14ac:dyDescent="0.25">
      <c r="J20" s="3"/>
    </row>
    <row r="21" spans="10:10" x14ac:dyDescent="0.25">
      <c r="J21" s="3"/>
    </row>
    <row r="22" spans="10:10" x14ac:dyDescent="0.25">
      <c r="J22" s="3"/>
    </row>
    <row r="23" spans="10:10" x14ac:dyDescent="0.25">
      <c r="J23" s="3"/>
    </row>
    <row r="24" spans="10:10" x14ac:dyDescent="0.25">
      <c r="J24" s="3"/>
    </row>
    <row r="25" spans="10:10" x14ac:dyDescent="0.25">
      <c r="J25" s="3"/>
    </row>
    <row r="26" spans="10:10" x14ac:dyDescent="0.25">
      <c r="J26" s="3"/>
    </row>
    <row r="27" spans="10:10" x14ac:dyDescent="0.25">
      <c r="J27" s="3"/>
    </row>
    <row r="28" spans="10:10" x14ac:dyDescent="0.25">
      <c r="J28" s="3"/>
    </row>
    <row r="29" spans="10:10" x14ac:dyDescent="0.25">
      <c r="J29" s="3"/>
    </row>
    <row r="30" spans="10:10" x14ac:dyDescent="0.25">
      <c r="J30" s="3"/>
    </row>
    <row r="31" spans="10:10" x14ac:dyDescent="0.25">
      <c r="J31" s="3"/>
    </row>
    <row r="32" spans="10:10" x14ac:dyDescent="0.25">
      <c r="J32" s="3"/>
    </row>
    <row r="33" spans="10:10" x14ac:dyDescent="0.25">
      <c r="J33" s="3"/>
    </row>
    <row r="34" spans="10:10" x14ac:dyDescent="0.25">
      <c r="J34" s="3"/>
    </row>
    <row r="35" spans="10:10" x14ac:dyDescent="0.25">
      <c r="J35" s="3"/>
    </row>
    <row r="36" spans="10:10" x14ac:dyDescent="0.25">
      <c r="J36" s="3"/>
    </row>
    <row r="37" spans="10:10" x14ac:dyDescent="0.25">
      <c r="J37" s="3"/>
    </row>
    <row r="38" spans="10:10" x14ac:dyDescent="0.25">
      <c r="J38" s="3"/>
    </row>
    <row r="39" spans="10:10" x14ac:dyDescent="0.25">
      <c r="J39" s="3"/>
    </row>
    <row r="40" spans="10:10" x14ac:dyDescent="0.25">
      <c r="J40" s="3"/>
    </row>
    <row r="41" spans="10:10" x14ac:dyDescent="0.25">
      <c r="J41" s="3"/>
    </row>
    <row r="42" spans="10:10" x14ac:dyDescent="0.25">
      <c r="J42" s="3"/>
    </row>
    <row r="43" spans="10:10" x14ac:dyDescent="0.25">
      <c r="J43" s="3"/>
    </row>
    <row r="44" spans="10:10" x14ac:dyDescent="0.25">
      <c r="J44" s="3"/>
    </row>
    <row r="45" spans="10:10" x14ac:dyDescent="0.25">
      <c r="J45" s="3"/>
    </row>
    <row r="46" spans="10:10" x14ac:dyDescent="0.25">
      <c r="J46" s="3"/>
    </row>
    <row r="47" spans="10:10" x14ac:dyDescent="0.25">
      <c r="J47" s="3"/>
    </row>
    <row r="48" spans="10:10" x14ac:dyDescent="0.25">
      <c r="J48" s="3"/>
    </row>
    <row r="49" spans="10:10" x14ac:dyDescent="0.25">
      <c r="J49" s="3"/>
    </row>
    <row r="50" spans="10:10" x14ac:dyDescent="0.25">
      <c r="J50" s="3"/>
    </row>
    <row r="51" spans="10:10" x14ac:dyDescent="0.25">
      <c r="J51" s="3"/>
    </row>
    <row r="52" spans="10:10" x14ac:dyDescent="0.25">
      <c r="J52" s="3"/>
    </row>
    <row r="53" spans="10:10" x14ac:dyDescent="0.25">
      <c r="J53" s="3"/>
    </row>
    <row r="54" spans="10:10" x14ac:dyDescent="0.25">
      <c r="J54" s="3"/>
    </row>
    <row r="55" spans="10:10" x14ac:dyDescent="0.25">
      <c r="J55" s="3"/>
    </row>
    <row r="56" spans="10:10" x14ac:dyDescent="0.25">
      <c r="J56" s="3"/>
    </row>
    <row r="57" spans="10:10" x14ac:dyDescent="0.25">
      <c r="J57" s="3"/>
    </row>
    <row r="58" spans="10:10" x14ac:dyDescent="0.25">
      <c r="J58" s="3"/>
    </row>
    <row r="59" spans="10:10" x14ac:dyDescent="0.25">
      <c r="J59" s="3"/>
    </row>
    <row r="60" spans="10:10" x14ac:dyDescent="0.25">
      <c r="J60" s="3"/>
    </row>
    <row r="61" spans="10:10" x14ac:dyDescent="0.25">
      <c r="J61" s="3"/>
    </row>
    <row r="62" spans="10:10" x14ac:dyDescent="0.25">
      <c r="J62" s="3"/>
    </row>
    <row r="63" spans="10:10" x14ac:dyDescent="0.25">
      <c r="J63" s="3"/>
    </row>
    <row r="64" spans="10:10" x14ac:dyDescent="0.25">
      <c r="J64" s="3"/>
    </row>
    <row r="65" spans="10:10" x14ac:dyDescent="0.25">
      <c r="J65" s="3"/>
    </row>
    <row r="66" spans="10:10" x14ac:dyDescent="0.25">
      <c r="J66" s="3"/>
    </row>
    <row r="67" spans="10:10" x14ac:dyDescent="0.25">
      <c r="J67" s="3"/>
    </row>
    <row r="68" spans="10:10" x14ac:dyDescent="0.25">
      <c r="J68" s="3"/>
    </row>
    <row r="69" spans="10:10" x14ac:dyDescent="0.25">
      <c r="J69" s="3"/>
    </row>
    <row r="70" spans="10:10" x14ac:dyDescent="0.25">
      <c r="J70" s="3"/>
    </row>
    <row r="71" spans="10:10" x14ac:dyDescent="0.25">
      <c r="J71" s="3"/>
    </row>
    <row r="72" spans="10:10" x14ac:dyDescent="0.25">
      <c r="J72" s="3"/>
    </row>
    <row r="73" spans="10:10" x14ac:dyDescent="0.25">
      <c r="J73" s="3"/>
    </row>
    <row r="74" spans="10:10" x14ac:dyDescent="0.25">
      <c r="J74" s="3"/>
    </row>
    <row r="75" spans="10:10" x14ac:dyDescent="0.25">
      <c r="J75" s="3"/>
    </row>
    <row r="76" spans="10:10" x14ac:dyDescent="0.25">
      <c r="J76" s="3"/>
    </row>
    <row r="77" spans="10:10" x14ac:dyDescent="0.25">
      <c r="J77" s="3"/>
    </row>
    <row r="78" spans="10:10" x14ac:dyDescent="0.25">
      <c r="J78" s="3"/>
    </row>
    <row r="79" spans="10:10" x14ac:dyDescent="0.25">
      <c r="J79" s="3"/>
    </row>
    <row r="80" spans="10:10" x14ac:dyDescent="0.25">
      <c r="J80" s="3"/>
    </row>
    <row r="81" spans="10:10" x14ac:dyDescent="0.25">
      <c r="J81" s="3"/>
    </row>
    <row r="82" spans="10:10" x14ac:dyDescent="0.25">
      <c r="J82" s="3"/>
    </row>
    <row r="83" spans="10:10" x14ac:dyDescent="0.25">
      <c r="J83" s="3"/>
    </row>
    <row r="84" spans="10:10" x14ac:dyDescent="0.25">
      <c r="J84" s="3"/>
    </row>
    <row r="85" spans="10:10" x14ac:dyDescent="0.25">
      <c r="J85" s="3"/>
    </row>
    <row r="86" spans="10:10" x14ac:dyDescent="0.25">
      <c r="J86" s="3"/>
    </row>
    <row r="87" spans="10:10" x14ac:dyDescent="0.25">
      <c r="J87" s="3"/>
    </row>
    <row r="88" spans="10:10" x14ac:dyDescent="0.25">
      <c r="J88" s="3"/>
    </row>
    <row r="89" spans="10:10" x14ac:dyDescent="0.25">
      <c r="J89" s="3"/>
    </row>
    <row r="90" spans="10:10" x14ac:dyDescent="0.25">
      <c r="J90" s="3"/>
    </row>
    <row r="91" spans="10:10" x14ac:dyDescent="0.25">
      <c r="J91" s="3"/>
    </row>
    <row r="92" spans="10:10" x14ac:dyDescent="0.25">
      <c r="J92" s="3"/>
    </row>
    <row r="93" spans="10:10" x14ac:dyDescent="0.25">
      <c r="J93" s="3"/>
    </row>
    <row r="94" spans="10:10" x14ac:dyDescent="0.25">
      <c r="J94" s="3"/>
    </row>
    <row r="95" spans="10:10" x14ac:dyDescent="0.25">
      <c r="J95" s="3"/>
    </row>
    <row r="96" spans="10:10" x14ac:dyDescent="0.25">
      <c r="J96" s="3"/>
    </row>
    <row r="97" spans="10:10" x14ac:dyDescent="0.25">
      <c r="J97" s="3"/>
    </row>
    <row r="98" spans="10:10" x14ac:dyDescent="0.25">
      <c r="J98" s="3"/>
    </row>
    <row r="99" spans="10:10" x14ac:dyDescent="0.25">
      <c r="J99" s="3"/>
    </row>
    <row r="100" spans="10:10" x14ac:dyDescent="0.25">
      <c r="J100" s="3"/>
    </row>
    <row r="101" spans="10:10" x14ac:dyDescent="0.25">
      <c r="J101" s="3"/>
    </row>
    <row r="102" spans="10:10" x14ac:dyDescent="0.25">
      <c r="J102" s="3"/>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B2:F6"/>
  <sheetViews>
    <sheetView topLeftCell="A7" workbookViewId="0">
      <selection activeCell="G8" sqref="G8"/>
    </sheetView>
  </sheetViews>
  <sheetFormatPr defaultRowHeight="15" x14ac:dyDescent="0.25"/>
  <cols>
    <col min="2" max="2" width="22.140625" bestFit="1" customWidth="1"/>
    <col min="3" max="3" width="7.85546875" bestFit="1" customWidth="1"/>
    <col min="4" max="4" width="8.28515625" bestFit="1" customWidth="1"/>
    <col min="5" max="5" width="7.85546875" bestFit="1" customWidth="1"/>
    <col min="6" max="6" width="7.42578125" customWidth="1"/>
    <col min="7" max="53" width="15.42578125" bestFit="1" customWidth="1"/>
    <col min="54" max="54" width="12" customWidth="1"/>
    <col min="55" max="222" width="23.42578125" bestFit="1" customWidth="1"/>
    <col min="223" max="223" width="11.28515625" bestFit="1" customWidth="1"/>
  </cols>
  <sheetData>
    <row r="2" spans="2:6" x14ac:dyDescent="0.25">
      <c r="B2" s="1" t="s">
        <v>140</v>
      </c>
      <c r="C2" t="s">
        <v>166</v>
      </c>
    </row>
    <row r="3" spans="2:6" x14ac:dyDescent="0.25">
      <c r="B3" s="1" t="s">
        <v>11</v>
      </c>
      <c r="C3" t="s">
        <v>166</v>
      </c>
    </row>
    <row r="5" spans="2:6" x14ac:dyDescent="0.25">
      <c r="B5" s="1" t="s">
        <v>126</v>
      </c>
      <c r="F5" s="1" t="s">
        <v>127</v>
      </c>
    </row>
    <row r="6" spans="2:6" x14ac:dyDescent="0.25">
      <c r="B6" s="1" t="s">
        <v>138</v>
      </c>
      <c r="C6" s="1" t="s">
        <v>185</v>
      </c>
      <c r="D6" s="1" t="s">
        <v>15</v>
      </c>
      <c r="E6" s="1" t="s">
        <v>72</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M144"/>
  <sheetViews>
    <sheetView zoomScale="55" zoomScaleNormal="55" workbookViewId="0">
      <selection activeCell="H9" sqref="H9"/>
    </sheetView>
  </sheetViews>
  <sheetFormatPr defaultRowHeight="15" x14ac:dyDescent="0.25"/>
  <cols>
    <col min="2" max="2" width="18" customWidth="1"/>
    <col min="3" max="3" width="8.5703125" customWidth="1"/>
    <col min="4" max="4" width="10.28515625" customWidth="1"/>
    <col min="5" max="12" width="13.5703125" customWidth="1"/>
    <col min="13" max="14" width="12.5703125" customWidth="1"/>
    <col min="15" max="15" width="13.42578125" customWidth="1"/>
    <col min="16" max="28" width="30" customWidth="1"/>
    <col min="29" max="29" width="12.5703125" customWidth="1"/>
    <col min="30" max="192" width="41.5703125" customWidth="1"/>
    <col min="193" max="193" width="12.28515625" customWidth="1"/>
    <col min="194" max="198" width="53.28515625" bestFit="1" customWidth="1"/>
    <col min="199" max="199" width="12.85546875" bestFit="1" customWidth="1"/>
  </cols>
  <sheetData>
    <row r="1" spans="2:13" x14ac:dyDescent="0.25">
      <c r="B1" s="1" t="s">
        <v>140</v>
      </c>
      <c r="C1" t="s">
        <v>180</v>
      </c>
    </row>
    <row r="3" spans="2:13" x14ac:dyDescent="0.25">
      <c r="B3" s="1" t="s">
        <v>13</v>
      </c>
      <c r="E3" s="1" t="s">
        <v>12</v>
      </c>
    </row>
    <row r="4" spans="2:13" x14ac:dyDescent="0.25">
      <c r="B4" s="1" t="s">
        <v>11</v>
      </c>
      <c r="C4" s="1" t="s">
        <v>138</v>
      </c>
      <c r="D4" s="1" t="s">
        <v>185</v>
      </c>
      <c r="E4" t="s">
        <v>9</v>
      </c>
      <c r="F4" t="s">
        <v>172</v>
      </c>
      <c r="G4" t="s">
        <v>173</v>
      </c>
      <c r="H4" t="s">
        <v>176</v>
      </c>
      <c r="I4" t="s">
        <v>10</v>
      </c>
      <c r="J4" t="s">
        <v>175</v>
      </c>
      <c r="K4" t="s">
        <v>123</v>
      </c>
      <c r="L4" t="s">
        <v>214</v>
      </c>
      <c r="M4" t="s">
        <v>0</v>
      </c>
    </row>
    <row r="5" spans="2:13" x14ac:dyDescent="0.25">
      <c r="B5" t="s">
        <v>16</v>
      </c>
      <c r="C5" t="s">
        <v>186</v>
      </c>
      <c r="D5" t="s">
        <v>186</v>
      </c>
      <c r="E5" s="5"/>
      <c r="F5" s="5">
        <v>0.78061100000000005</v>
      </c>
      <c r="G5" s="3">
        <v>0.92639293887548102</v>
      </c>
      <c r="H5" s="3">
        <v>0.14892</v>
      </c>
      <c r="I5" s="3">
        <v>0.03</v>
      </c>
      <c r="J5" s="3">
        <v>0.20147999999999999</v>
      </c>
      <c r="K5" s="3">
        <v>0.92596912492851424</v>
      </c>
      <c r="L5" s="3"/>
      <c r="M5" s="3">
        <v>3.0133730638039955</v>
      </c>
    </row>
    <row r="6" spans="2:13" x14ac:dyDescent="0.25">
      <c r="B6" t="s">
        <v>19</v>
      </c>
      <c r="C6" t="s">
        <v>186</v>
      </c>
      <c r="D6" t="s">
        <v>186</v>
      </c>
      <c r="E6" s="5"/>
      <c r="F6" s="5">
        <v>0.11622</v>
      </c>
      <c r="G6" s="3">
        <v>9.9245981999999984</v>
      </c>
      <c r="H6" s="3"/>
      <c r="I6" s="3">
        <v>4.0200000000000001E-4</v>
      </c>
      <c r="J6" s="3"/>
      <c r="K6" s="3">
        <v>0.47304000000000002</v>
      </c>
      <c r="L6" s="3"/>
      <c r="M6" s="3">
        <v>10.514260199999997</v>
      </c>
    </row>
    <row r="7" spans="2:13" x14ac:dyDescent="0.25">
      <c r="B7" t="s">
        <v>20</v>
      </c>
      <c r="C7" t="s">
        <v>186</v>
      </c>
      <c r="D7" t="s">
        <v>186</v>
      </c>
      <c r="E7" s="5">
        <v>8.7830410424068805E-2</v>
      </c>
      <c r="F7" s="5">
        <v>0.98593299999999995</v>
      </c>
      <c r="G7" s="3">
        <v>14.246631044929995</v>
      </c>
      <c r="H7" s="3">
        <v>1.01616</v>
      </c>
      <c r="I7" s="3">
        <v>0.64760399999999996</v>
      </c>
      <c r="J7" s="3">
        <v>9.1104000000000004E-2</v>
      </c>
      <c r="K7" s="3">
        <v>4.7303999999999999E-2</v>
      </c>
      <c r="L7" s="3">
        <v>0.32412000000000002</v>
      </c>
      <c r="M7" s="3">
        <v>17.446686455354069</v>
      </c>
    </row>
    <row r="8" spans="2:13" x14ac:dyDescent="0.25">
      <c r="B8" t="s">
        <v>0</v>
      </c>
      <c r="E8" s="5">
        <v>8.7830410424068805E-2</v>
      </c>
      <c r="F8" s="5">
        <v>1.8827639999999999</v>
      </c>
      <c r="G8" s="3">
        <v>25.097622183805473</v>
      </c>
      <c r="H8" s="3">
        <v>1.1650799999999999</v>
      </c>
      <c r="I8" s="3">
        <v>0.678006</v>
      </c>
      <c r="J8" s="3">
        <v>0.29258400000000001</v>
      </c>
      <c r="K8" s="3">
        <v>1.4463131249285142</v>
      </c>
      <c r="L8" s="3">
        <v>0.32412000000000002</v>
      </c>
      <c r="M8" s="3">
        <v>30.974319719158061</v>
      </c>
    </row>
    <row r="126" spans="2:3" x14ac:dyDescent="0.25">
      <c r="B126" s="2"/>
      <c r="C126" s="3"/>
    </row>
    <row r="127" spans="2:3" x14ac:dyDescent="0.25">
      <c r="B127" s="4"/>
      <c r="C127" s="3"/>
    </row>
    <row r="128" spans="2:3" x14ac:dyDescent="0.25">
      <c r="B128" s="2"/>
      <c r="C128" s="3"/>
    </row>
    <row r="129" spans="2:3" x14ac:dyDescent="0.25">
      <c r="B129" s="4"/>
      <c r="C129" s="3"/>
    </row>
    <row r="130" spans="2:3" x14ac:dyDescent="0.25">
      <c r="B130" s="2"/>
      <c r="C130" s="3"/>
    </row>
    <row r="131" spans="2:3" x14ac:dyDescent="0.25">
      <c r="B131" s="4"/>
      <c r="C131" s="3"/>
    </row>
    <row r="132" spans="2:3" x14ac:dyDescent="0.25">
      <c r="B132" s="2"/>
      <c r="C132" s="3"/>
    </row>
    <row r="133" spans="2:3" x14ac:dyDescent="0.25">
      <c r="B133" s="4"/>
      <c r="C133" s="3"/>
    </row>
    <row r="134" spans="2:3" x14ac:dyDescent="0.25">
      <c r="B134" s="2"/>
      <c r="C134" s="3"/>
    </row>
    <row r="135" spans="2:3" x14ac:dyDescent="0.25">
      <c r="B135" s="4"/>
      <c r="C135" s="3"/>
    </row>
    <row r="136" spans="2:3" x14ac:dyDescent="0.25">
      <c r="B136" s="2"/>
      <c r="C136" s="3"/>
    </row>
    <row r="137" spans="2:3" x14ac:dyDescent="0.25">
      <c r="B137" s="4"/>
      <c r="C137" s="3"/>
    </row>
    <row r="138" spans="2:3" x14ac:dyDescent="0.25">
      <c r="B138" s="2"/>
      <c r="C138" s="3"/>
    </row>
    <row r="139" spans="2:3" x14ac:dyDescent="0.25">
      <c r="B139" s="4"/>
      <c r="C139" s="3"/>
    </row>
    <row r="140" spans="2:3" x14ac:dyDescent="0.25">
      <c r="B140" s="2"/>
      <c r="C140" s="3"/>
    </row>
    <row r="141" spans="2:3" x14ac:dyDescent="0.25">
      <c r="B141" s="4"/>
      <c r="C141" s="3"/>
    </row>
    <row r="142" spans="2:3" x14ac:dyDescent="0.25">
      <c r="B142" s="2"/>
      <c r="C142" s="3"/>
    </row>
    <row r="143" spans="2:3" x14ac:dyDescent="0.25">
      <c r="B143" s="4"/>
      <c r="C143" s="3"/>
    </row>
    <row r="144" spans="2:3" x14ac:dyDescent="0.25">
      <c r="B144" s="2"/>
      <c r="C144" s="3"/>
    </row>
  </sheetData>
  <pageMargins left="0.7" right="0.7" top="0.75" bottom="0.75" header="0.3" footer="0.3"/>
  <pageSetup paperSize="9"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P31"/>
  <sheetViews>
    <sheetView zoomScale="70" zoomScaleNormal="70" workbookViewId="0">
      <selection activeCell="K17" sqref="K17"/>
    </sheetView>
  </sheetViews>
  <sheetFormatPr defaultRowHeight="15" x14ac:dyDescent="0.25"/>
  <cols>
    <col min="2" max="2" width="16" bestFit="1" customWidth="1"/>
    <col min="3" max="3" width="9.5703125" customWidth="1"/>
    <col min="4" max="5" width="9.140625" customWidth="1"/>
    <col min="6" max="15" width="18.7109375" bestFit="1" customWidth="1"/>
    <col min="16" max="16" width="12.5703125" customWidth="1"/>
    <col min="17" max="41" width="18.7109375" bestFit="1" customWidth="1"/>
    <col min="42" max="42" width="12.5703125" bestFit="1" customWidth="1"/>
    <col min="43" max="97" width="15.42578125" customWidth="1"/>
    <col min="98" max="98" width="12.28515625" customWidth="1"/>
    <col min="99" max="114" width="17" bestFit="1" customWidth="1"/>
    <col min="115" max="115" width="12.5703125" bestFit="1" customWidth="1"/>
  </cols>
  <sheetData>
    <row r="2" spans="2:16" x14ac:dyDescent="0.25">
      <c r="B2" s="1" t="s">
        <v>140</v>
      </c>
      <c r="C2" t="s">
        <v>180</v>
      </c>
    </row>
    <row r="3" spans="2:16" x14ac:dyDescent="0.25">
      <c r="B3" s="1" t="s">
        <v>11</v>
      </c>
      <c r="C3" t="s">
        <v>166</v>
      </c>
    </row>
    <row r="5" spans="2:16" x14ac:dyDescent="0.25">
      <c r="B5" s="1" t="s">
        <v>14</v>
      </c>
      <c r="F5" s="1" t="s">
        <v>224</v>
      </c>
    </row>
    <row r="6" spans="2:16" x14ac:dyDescent="0.25">
      <c r="B6" s="1" t="s">
        <v>138</v>
      </c>
      <c r="C6" s="1" t="s">
        <v>185</v>
      </c>
      <c r="D6" s="1" t="s">
        <v>15</v>
      </c>
      <c r="E6" s="1" t="s">
        <v>72</v>
      </c>
      <c r="F6" t="s">
        <v>226</v>
      </c>
      <c r="G6" t="s">
        <v>228</v>
      </c>
      <c r="H6" t="s">
        <v>231</v>
      </c>
      <c r="I6" t="s">
        <v>232</v>
      </c>
      <c r="J6" t="s">
        <v>227</v>
      </c>
      <c r="K6" t="s">
        <v>233</v>
      </c>
      <c r="L6" t="s">
        <v>229</v>
      </c>
      <c r="M6" t="s">
        <v>225</v>
      </c>
      <c r="N6" t="s">
        <v>230</v>
      </c>
      <c r="O6" t="s">
        <v>387</v>
      </c>
      <c r="P6" t="s">
        <v>0</v>
      </c>
    </row>
    <row r="7" spans="2:16" x14ac:dyDescent="0.25">
      <c r="B7" t="s">
        <v>186</v>
      </c>
      <c r="C7" t="s">
        <v>186</v>
      </c>
      <c r="D7" t="s">
        <v>220</v>
      </c>
      <c r="E7" t="s">
        <v>40</v>
      </c>
      <c r="F7" s="3">
        <v>23153.728958626925</v>
      </c>
      <c r="G7" s="3">
        <v>76728.775925038033</v>
      </c>
      <c r="H7" s="3">
        <v>4354.2708615370339</v>
      </c>
      <c r="I7" s="3">
        <v>-112.6618197278912</v>
      </c>
      <c r="J7" s="3">
        <v>4863.8301306176991</v>
      </c>
      <c r="K7" s="3">
        <v>9799.3849211231591</v>
      </c>
      <c r="L7" s="3">
        <v>13829.162535144897</v>
      </c>
      <c r="M7" s="3"/>
      <c r="N7" s="3">
        <v>17311.331966654056</v>
      </c>
      <c r="O7" s="3"/>
      <c r="P7" s="3">
        <v>149927.8234790139</v>
      </c>
    </row>
    <row r="8" spans="2:16" x14ac:dyDescent="0.25">
      <c r="B8" t="s">
        <v>186</v>
      </c>
      <c r="C8" t="s">
        <v>186</v>
      </c>
      <c r="D8" t="s">
        <v>220</v>
      </c>
      <c r="E8" t="s">
        <v>41</v>
      </c>
      <c r="F8" s="3">
        <v>22691.728907738561</v>
      </c>
      <c r="G8" s="3">
        <v>75173.853149643473</v>
      </c>
      <c r="H8" s="3">
        <v>1001.965499384606</v>
      </c>
      <c r="I8" s="3">
        <v>-112.6618197278912</v>
      </c>
      <c r="J8" s="3">
        <v>4838.1053530718136</v>
      </c>
      <c r="K8" s="3">
        <v>10106.959952522964</v>
      </c>
      <c r="L8" s="3">
        <v>13829.162535144897</v>
      </c>
      <c r="M8" s="3"/>
      <c r="N8" s="3">
        <v>17318.522643738739</v>
      </c>
      <c r="O8" s="3"/>
      <c r="P8" s="3">
        <v>144847.63622151717</v>
      </c>
    </row>
    <row r="9" spans="2:16" x14ac:dyDescent="0.25">
      <c r="B9" t="s">
        <v>186</v>
      </c>
      <c r="C9" t="s">
        <v>186</v>
      </c>
      <c r="D9" t="s">
        <v>220</v>
      </c>
      <c r="E9" t="s">
        <v>42</v>
      </c>
      <c r="F9" s="3">
        <v>22574.178401149296</v>
      </c>
      <c r="G9" s="3">
        <v>73756.674765704112</v>
      </c>
      <c r="H9" s="3">
        <v>423.26052801265399</v>
      </c>
      <c r="I9" s="3">
        <v>-112.6618197278912</v>
      </c>
      <c r="J9" s="3">
        <v>4836.1088273440846</v>
      </c>
      <c r="K9" s="3">
        <v>10033.780975458763</v>
      </c>
      <c r="L9" s="3">
        <v>13829.162535144897</v>
      </c>
      <c r="M9" s="3"/>
      <c r="N9" s="3">
        <v>17210.80544110779</v>
      </c>
      <c r="O9" s="3"/>
      <c r="P9" s="3">
        <v>142551.3096541937</v>
      </c>
    </row>
    <row r="10" spans="2:16" x14ac:dyDescent="0.25">
      <c r="B10" t="s">
        <v>186</v>
      </c>
      <c r="C10" t="s">
        <v>186</v>
      </c>
      <c r="D10" t="s">
        <v>220</v>
      </c>
      <c r="E10" t="s">
        <v>43</v>
      </c>
      <c r="F10" s="3">
        <v>22736.346697856607</v>
      </c>
      <c r="G10" s="3">
        <v>72342.346774202917</v>
      </c>
      <c r="H10" s="3"/>
      <c r="I10" s="3">
        <v>-112.6618197278912</v>
      </c>
      <c r="J10" s="3">
        <v>4832.0794352075727</v>
      </c>
      <c r="K10" s="3">
        <v>10066.137769001827</v>
      </c>
      <c r="L10" s="3">
        <v>13829.162535144897</v>
      </c>
      <c r="M10" s="3"/>
      <c r="N10" s="3">
        <v>16825.233279227745</v>
      </c>
      <c r="O10" s="3"/>
      <c r="P10" s="3">
        <v>140518.64467091369</v>
      </c>
    </row>
    <row r="11" spans="2:16" x14ac:dyDescent="0.25">
      <c r="B11" t="s">
        <v>186</v>
      </c>
      <c r="C11" t="s">
        <v>186</v>
      </c>
      <c r="D11" t="s">
        <v>220</v>
      </c>
      <c r="E11" t="s">
        <v>44</v>
      </c>
      <c r="F11" s="3">
        <v>23765.204973943426</v>
      </c>
      <c r="G11" s="3">
        <v>71569.709536483744</v>
      </c>
      <c r="H11" s="3"/>
      <c r="I11" s="3">
        <v>-112.6618197278912</v>
      </c>
      <c r="J11" s="3">
        <v>4856.9136933260697</v>
      </c>
      <c r="K11" s="3">
        <v>11113.448438380381</v>
      </c>
      <c r="L11" s="3">
        <v>13829.162535144897</v>
      </c>
      <c r="M11" s="3"/>
      <c r="N11" s="3">
        <v>16070.588950084248</v>
      </c>
      <c r="O11" s="3"/>
      <c r="P11" s="3">
        <v>141092.36630763489</v>
      </c>
    </row>
    <row r="12" spans="2:16" x14ac:dyDescent="0.25">
      <c r="B12" t="s">
        <v>186</v>
      </c>
      <c r="C12" t="s">
        <v>186</v>
      </c>
      <c r="D12" t="s">
        <v>220</v>
      </c>
      <c r="E12" t="s">
        <v>45</v>
      </c>
      <c r="F12" s="3">
        <v>25363.498990778106</v>
      </c>
      <c r="G12" s="3">
        <v>73348.691810238088</v>
      </c>
      <c r="H12" s="3"/>
      <c r="I12" s="3">
        <v>-132.56860162293481</v>
      </c>
      <c r="J12" s="3">
        <v>4985.1926852660636</v>
      </c>
      <c r="K12" s="3">
        <v>14896.121470107846</v>
      </c>
      <c r="L12" s="3">
        <v>13829.162535144897</v>
      </c>
      <c r="M12" s="3">
        <v>91.934696158323504</v>
      </c>
      <c r="N12" s="3">
        <v>15373.778556644525</v>
      </c>
      <c r="O12" s="3"/>
      <c r="P12" s="3">
        <v>147755.81214271495</v>
      </c>
    </row>
    <row r="13" spans="2:16" x14ac:dyDescent="0.25">
      <c r="B13" t="s">
        <v>186</v>
      </c>
      <c r="C13" t="s">
        <v>186</v>
      </c>
      <c r="D13" t="s">
        <v>220</v>
      </c>
      <c r="E13" t="s">
        <v>141</v>
      </c>
      <c r="F13" s="3">
        <v>28322.527874448544</v>
      </c>
      <c r="G13" s="3">
        <v>84037.933630188796</v>
      </c>
      <c r="H13" s="3"/>
      <c r="I13" s="3">
        <v>-67.066893679070816</v>
      </c>
      <c r="J13" s="3">
        <v>5178.8237642209097</v>
      </c>
      <c r="K13" s="3">
        <v>21209.487013262562</v>
      </c>
      <c r="L13" s="3">
        <v>13829.162535144897</v>
      </c>
      <c r="M13" s="3">
        <v>183.86939231664701</v>
      </c>
      <c r="N13" s="3">
        <v>14270.277819800309</v>
      </c>
      <c r="O13" s="3">
        <v>5295.8569190928356</v>
      </c>
      <c r="P13" s="3">
        <v>172260.8720547964</v>
      </c>
    </row>
    <row r="14" spans="2:16" x14ac:dyDescent="0.25">
      <c r="B14" t="s">
        <v>186</v>
      </c>
      <c r="C14" t="s">
        <v>186</v>
      </c>
      <c r="D14" t="s">
        <v>220</v>
      </c>
      <c r="E14" t="s">
        <v>142</v>
      </c>
      <c r="F14" s="3">
        <v>29416.014961109911</v>
      </c>
      <c r="G14" s="3">
        <v>99067.189331080634</v>
      </c>
      <c r="H14" s="3">
        <v>2562.1183732269728</v>
      </c>
      <c r="I14" s="3">
        <v>-37.651656998398543</v>
      </c>
      <c r="J14" s="3">
        <v>6707.0185133467112</v>
      </c>
      <c r="K14" s="3">
        <v>23557.111855865522</v>
      </c>
      <c r="L14" s="3">
        <v>13829.162535144897</v>
      </c>
      <c r="M14" s="3">
        <v>220.643270779977</v>
      </c>
      <c r="N14" s="3">
        <v>14486.213089911464</v>
      </c>
      <c r="O14" s="3">
        <v>5678.1905870217215</v>
      </c>
      <c r="P14" s="3">
        <v>195486.01086048942</v>
      </c>
    </row>
    <row r="15" spans="2:16" x14ac:dyDescent="0.25">
      <c r="B15" t="s">
        <v>186</v>
      </c>
      <c r="C15" t="s">
        <v>186</v>
      </c>
      <c r="D15" t="s">
        <v>220</v>
      </c>
      <c r="E15" t="s">
        <v>143</v>
      </c>
      <c r="F15" s="3">
        <v>30713.919412511506</v>
      </c>
      <c r="G15" s="3">
        <v>101610.09479280293</v>
      </c>
      <c r="H15" s="3">
        <v>4204.5847662597535</v>
      </c>
      <c r="I15" s="3">
        <v>-35.115231939809007</v>
      </c>
      <c r="J15" s="3">
        <v>6912.172847870389</v>
      </c>
      <c r="K15" s="3">
        <v>25182.761244791818</v>
      </c>
      <c r="L15" s="3">
        <v>13829.162535144897</v>
      </c>
      <c r="M15" s="3">
        <v>1176.0805771593928</v>
      </c>
      <c r="N15" s="3">
        <v>15373.130235023491</v>
      </c>
      <c r="O15" s="3">
        <v>5678.1905870217215</v>
      </c>
      <c r="P15" s="3">
        <v>204644.98176664612</v>
      </c>
    </row>
    <row r="16" spans="2:16" x14ac:dyDescent="0.25">
      <c r="B16" t="s">
        <v>186</v>
      </c>
      <c r="C16" t="s">
        <v>186</v>
      </c>
      <c r="D16" t="s">
        <v>220</v>
      </c>
      <c r="E16" t="s">
        <v>144</v>
      </c>
      <c r="F16" s="3">
        <v>28942.934962469819</v>
      </c>
      <c r="G16" s="3">
        <v>101975.61484777606</v>
      </c>
      <c r="H16" s="3"/>
      <c r="I16" s="3">
        <v>-31.029166666666701</v>
      </c>
      <c r="J16" s="3">
        <v>6356.6189336183515</v>
      </c>
      <c r="K16" s="3">
        <v>24809.83003614163</v>
      </c>
      <c r="L16" s="3">
        <v>13829.162535144897</v>
      </c>
      <c r="M16" s="3">
        <v>8130.4619303789168</v>
      </c>
      <c r="N16" s="3">
        <v>15993.88832320045</v>
      </c>
      <c r="O16" s="3">
        <v>5678.1905870217215</v>
      </c>
      <c r="P16" s="3">
        <v>205685.6729890852</v>
      </c>
    </row>
    <row r="17" spans="2:16" x14ac:dyDescent="0.25">
      <c r="B17" t="s">
        <v>186</v>
      </c>
      <c r="C17" t="s">
        <v>186</v>
      </c>
      <c r="D17" t="s">
        <v>220</v>
      </c>
      <c r="E17" t="s">
        <v>145</v>
      </c>
      <c r="F17" s="3">
        <v>28361.503422279398</v>
      </c>
      <c r="G17" s="3">
        <v>97394.572664628475</v>
      </c>
      <c r="H17" s="3"/>
      <c r="I17" s="3">
        <v>-31.029166666666701</v>
      </c>
      <c r="J17" s="3">
        <v>5496.9579958314207</v>
      </c>
      <c r="K17" s="3">
        <v>24207.998373992348</v>
      </c>
      <c r="L17" s="3">
        <v>13829.162535144897</v>
      </c>
      <c r="M17" s="3">
        <v>18563.825332569784</v>
      </c>
      <c r="N17" s="3">
        <v>16842.929557754676</v>
      </c>
      <c r="O17" s="3">
        <v>2922.6096391911979</v>
      </c>
      <c r="P17" s="3">
        <v>207588.53035472552</v>
      </c>
    </row>
    <row r="18" spans="2:16" x14ac:dyDescent="0.25">
      <c r="B18" t="s">
        <v>186</v>
      </c>
      <c r="C18" t="s">
        <v>186</v>
      </c>
      <c r="D18" t="s">
        <v>220</v>
      </c>
      <c r="E18" t="s">
        <v>179</v>
      </c>
      <c r="F18" s="3">
        <v>27054.21238789424</v>
      </c>
      <c r="G18" s="3">
        <v>94287.15251852831</v>
      </c>
      <c r="H18" s="3"/>
      <c r="I18" s="3">
        <v>-47.622568409323961</v>
      </c>
      <c r="J18" s="3">
        <v>5076.8120842061026</v>
      </c>
      <c r="K18" s="3">
        <v>22615.380821305971</v>
      </c>
      <c r="L18" s="3">
        <v>13829.162535144897</v>
      </c>
      <c r="M18" s="3">
        <v>28115.141446769296</v>
      </c>
      <c r="N18" s="3">
        <v>17702.689269213217</v>
      </c>
      <c r="O18" s="3"/>
      <c r="P18" s="3">
        <v>208632.9284946527</v>
      </c>
    </row>
    <row r="19" spans="2:16" x14ac:dyDescent="0.25">
      <c r="B19" t="s">
        <v>186</v>
      </c>
      <c r="C19" t="s">
        <v>186</v>
      </c>
      <c r="D19" t="s">
        <v>220</v>
      </c>
      <c r="E19" t="s">
        <v>199</v>
      </c>
      <c r="F19" s="3">
        <v>26837.179943805731</v>
      </c>
      <c r="G19" s="3">
        <v>93576.845876496547</v>
      </c>
      <c r="H19" s="3"/>
      <c r="I19" s="3">
        <v>-127.92315111430123</v>
      </c>
      <c r="J19" s="3">
        <v>5081.9427450194444</v>
      </c>
      <c r="K19" s="3">
        <v>21009.145151784694</v>
      </c>
      <c r="L19" s="3">
        <v>13829.162535144897</v>
      </c>
      <c r="M19" s="3">
        <v>32167.59619761975</v>
      </c>
      <c r="N19" s="3">
        <v>19900.164076742749</v>
      </c>
      <c r="O19" s="3"/>
      <c r="P19" s="3">
        <v>212274.1133754995</v>
      </c>
    </row>
    <row r="20" spans="2:16" x14ac:dyDescent="0.25">
      <c r="B20" t="s">
        <v>186</v>
      </c>
      <c r="C20" t="s">
        <v>186</v>
      </c>
      <c r="D20" t="s">
        <v>220</v>
      </c>
      <c r="E20" t="s">
        <v>200</v>
      </c>
      <c r="F20" s="3">
        <v>26658.01608637868</v>
      </c>
      <c r="G20" s="3">
        <v>93918.198752087046</v>
      </c>
      <c r="H20" s="3"/>
      <c r="I20" s="3">
        <v>-128.8724832071986</v>
      </c>
      <c r="J20" s="3">
        <v>4903.0338688061238</v>
      </c>
      <c r="K20" s="3">
        <v>20391.564528554485</v>
      </c>
      <c r="L20" s="3">
        <v>13829.162535144897</v>
      </c>
      <c r="M20" s="3">
        <v>27881.221233303357</v>
      </c>
      <c r="N20" s="3">
        <v>21843.206837636131</v>
      </c>
      <c r="O20" s="3"/>
      <c r="P20" s="3">
        <v>209295.53135870351</v>
      </c>
    </row>
    <row r="21" spans="2:16" x14ac:dyDescent="0.25">
      <c r="B21" t="s">
        <v>186</v>
      </c>
      <c r="C21" t="s">
        <v>186</v>
      </c>
      <c r="D21" t="s">
        <v>220</v>
      </c>
      <c r="E21" t="s">
        <v>201</v>
      </c>
      <c r="F21" s="3">
        <v>27638.14587846967</v>
      </c>
      <c r="G21" s="3">
        <v>97184.554743059081</v>
      </c>
      <c r="H21" s="3"/>
      <c r="I21" s="3">
        <v>-56.078179847488038</v>
      </c>
      <c r="J21" s="3">
        <v>5179.4067996645135</v>
      </c>
      <c r="K21" s="3">
        <v>21527.771283248137</v>
      </c>
      <c r="L21" s="3">
        <v>13829.162535144897</v>
      </c>
      <c r="M21" s="3">
        <v>18207.360577234642</v>
      </c>
      <c r="N21" s="3">
        <v>22975.854937674332</v>
      </c>
      <c r="O21" s="3"/>
      <c r="P21" s="3">
        <v>206486.17857464778</v>
      </c>
    </row>
    <row r="22" spans="2:16" x14ac:dyDescent="0.25">
      <c r="B22" t="s">
        <v>186</v>
      </c>
      <c r="C22" t="s">
        <v>186</v>
      </c>
      <c r="D22" t="s">
        <v>220</v>
      </c>
      <c r="E22" t="s">
        <v>202</v>
      </c>
      <c r="F22" s="3">
        <v>28329.515947775588</v>
      </c>
      <c r="G22" s="3">
        <v>102439.71530112858</v>
      </c>
      <c r="H22" s="3">
        <v>119.1</v>
      </c>
      <c r="I22" s="3">
        <v>-47.71739830344297</v>
      </c>
      <c r="J22" s="3">
        <v>5408.1581709861939</v>
      </c>
      <c r="K22" s="3">
        <v>21430.454586809527</v>
      </c>
      <c r="L22" s="3">
        <v>13829.162535144897</v>
      </c>
      <c r="M22" s="3">
        <v>9142.2192496858097</v>
      </c>
      <c r="N22" s="3">
        <v>24828.31849067349</v>
      </c>
      <c r="O22" s="3">
        <v>2106.5460772272395</v>
      </c>
      <c r="P22" s="3">
        <v>207585.4729611279</v>
      </c>
    </row>
    <row r="23" spans="2:16" x14ac:dyDescent="0.25">
      <c r="B23" t="s">
        <v>186</v>
      </c>
      <c r="C23" t="s">
        <v>186</v>
      </c>
      <c r="D23" t="s">
        <v>220</v>
      </c>
      <c r="E23" t="s">
        <v>203</v>
      </c>
      <c r="F23" s="3">
        <v>29427.326039031814</v>
      </c>
      <c r="G23" s="3">
        <v>109519.10358704836</v>
      </c>
      <c r="H23" s="3">
        <v>632.584723890242</v>
      </c>
      <c r="I23" s="3">
        <v>-40.062276424109754</v>
      </c>
      <c r="J23" s="3">
        <v>5498.003630892008</v>
      </c>
      <c r="K23" s="3">
        <v>21856.792443356371</v>
      </c>
      <c r="L23" s="3">
        <v>13829.162535144897</v>
      </c>
      <c r="M23" s="3">
        <v>1256.898982558145</v>
      </c>
      <c r="N23" s="3">
        <v>27359.207206460971</v>
      </c>
      <c r="O23" s="3">
        <v>4431.3421220744531</v>
      </c>
      <c r="P23" s="3">
        <v>213770.3589940331</v>
      </c>
    </row>
    <row r="24" spans="2:16" x14ac:dyDescent="0.25">
      <c r="B24" t="s">
        <v>186</v>
      </c>
      <c r="C24" t="s">
        <v>186</v>
      </c>
      <c r="D24" t="s">
        <v>220</v>
      </c>
      <c r="E24" t="s">
        <v>204</v>
      </c>
      <c r="F24" s="3">
        <v>29224.419089960975</v>
      </c>
      <c r="G24" s="3">
        <v>112972.09445773093</v>
      </c>
      <c r="H24" s="3">
        <v>4146.0152412746402</v>
      </c>
      <c r="I24" s="3">
        <v>-113.52302331610355</v>
      </c>
      <c r="J24" s="3">
        <v>5549.1264023317335</v>
      </c>
      <c r="K24" s="3">
        <v>21216.503002283072</v>
      </c>
      <c r="L24" s="3">
        <v>13829.162535144897</v>
      </c>
      <c r="M24" s="3">
        <v>36.773878463329403</v>
      </c>
      <c r="N24" s="3">
        <v>29740.490665036625</v>
      </c>
      <c r="O24" s="3">
        <v>2106.5460772272395</v>
      </c>
      <c r="P24" s="3">
        <v>218707.60832613733</v>
      </c>
    </row>
    <row r="25" spans="2:16" x14ac:dyDescent="0.25">
      <c r="B25" t="s">
        <v>186</v>
      </c>
      <c r="C25" t="s">
        <v>186</v>
      </c>
      <c r="D25" t="s">
        <v>220</v>
      </c>
      <c r="E25" t="s">
        <v>205</v>
      </c>
      <c r="F25" s="3">
        <v>29052.095218182163</v>
      </c>
      <c r="G25" s="3">
        <v>110185.9113345207</v>
      </c>
      <c r="H25" s="3">
        <v>1907.8678156570279</v>
      </c>
      <c r="I25" s="3">
        <v>-112.6618197278912</v>
      </c>
      <c r="J25" s="3">
        <v>5356.759740938227</v>
      </c>
      <c r="K25" s="3">
        <v>20050.359529757287</v>
      </c>
      <c r="L25" s="3">
        <v>13829.162535144897</v>
      </c>
      <c r="M25" s="3">
        <v>36.773878463329403</v>
      </c>
      <c r="N25" s="3">
        <v>33353.71920618997</v>
      </c>
      <c r="O25" s="3">
        <v>2106.5460772272395</v>
      </c>
      <c r="P25" s="3">
        <v>215766.53351635297</v>
      </c>
    </row>
    <row r="26" spans="2:16" x14ac:dyDescent="0.25">
      <c r="B26" t="s">
        <v>186</v>
      </c>
      <c r="C26" t="s">
        <v>186</v>
      </c>
      <c r="D26" t="s">
        <v>220</v>
      </c>
      <c r="E26" t="s">
        <v>206</v>
      </c>
      <c r="F26" s="3">
        <v>27870.434386368597</v>
      </c>
      <c r="G26" s="3">
        <v>105153.18603791957</v>
      </c>
      <c r="H26" s="3"/>
      <c r="I26" s="3">
        <v>-112.6618197278912</v>
      </c>
      <c r="J26" s="3">
        <v>4978.5796936925235</v>
      </c>
      <c r="K26" s="3">
        <v>19667.370923912033</v>
      </c>
      <c r="L26" s="3">
        <v>13829.162535144897</v>
      </c>
      <c r="M26" s="3">
        <v>18.386939231664702</v>
      </c>
      <c r="N26" s="3">
        <v>36487.941214878956</v>
      </c>
      <c r="O26" s="3">
        <v>1490.5058704798334</v>
      </c>
      <c r="P26" s="3">
        <v>209382.90578190019</v>
      </c>
    </row>
    <row r="27" spans="2:16" x14ac:dyDescent="0.25">
      <c r="B27" t="s">
        <v>186</v>
      </c>
      <c r="C27" t="s">
        <v>186</v>
      </c>
      <c r="D27" t="s">
        <v>220</v>
      </c>
      <c r="E27" t="s">
        <v>207</v>
      </c>
      <c r="F27" s="3">
        <v>25683.237640708641</v>
      </c>
      <c r="G27" s="3">
        <v>100297.7235022098</v>
      </c>
      <c r="H27" s="3"/>
      <c r="I27" s="3">
        <v>-151.2891602313648</v>
      </c>
      <c r="J27" s="3">
        <v>4922.7806543260212</v>
      </c>
      <c r="K27" s="3">
        <v>15424.21979992512</v>
      </c>
      <c r="L27" s="3">
        <v>13829.162535144897</v>
      </c>
      <c r="M27" s="3"/>
      <c r="N27" s="3">
        <v>38564.951405288346</v>
      </c>
      <c r="O27" s="3"/>
      <c r="P27" s="3">
        <v>198570.78637737146</v>
      </c>
    </row>
    <row r="28" spans="2:16" x14ac:dyDescent="0.25">
      <c r="B28" t="s">
        <v>186</v>
      </c>
      <c r="C28" t="s">
        <v>186</v>
      </c>
      <c r="D28" t="s">
        <v>220</v>
      </c>
      <c r="E28" t="s">
        <v>208</v>
      </c>
      <c r="F28" s="3">
        <v>24368.907007836999</v>
      </c>
      <c r="G28" s="3">
        <v>95570.142135097733</v>
      </c>
      <c r="H28" s="3"/>
      <c r="I28" s="3">
        <v>-142.81343459536649</v>
      </c>
      <c r="J28" s="3">
        <v>4804.0345416961363</v>
      </c>
      <c r="K28" s="3">
        <v>10957.524199202559</v>
      </c>
      <c r="L28" s="3">
        <v>13829.162535144897</v>
      </c>
      <c r="M28" s="3"/>
      <c r="N28" s="3">
        <v>40924.497954198225</v>
      </c>
      <c r="O28" s="3"/>
      <c r="P28" s="3">
        <v>190311.45493858116</v>
      </c>
    </row>
    <row r="29" spans="2:16" x14ac:dyDescent="0.25">
      <c r="B29" t="s">
        <v>186</v>
      </c>
      <c r="C29" t="s">
        <v>186</v>
      </c>
      <c r="D29" t="s">
        <v>220</v>
      </c>
      <c r="E29" t="s">
        <v>209</v>
      </c>
      <c r="F29" s="3">
        <v>23739.896314932634</v>
      </c>
      <c r="G29" s="3">
        <v>89836.98628278356</v>
      </c>
      <c r="H29" s="3">
        <v>102.458630136986</v>
      </c>
      <c r="I29" s="3">
        <v>-129.1760013023974</v>
      </c>
      <c r="J29" s="3">
        <v>4811.5462597911092</v>
      </c>
      <c r="K29" s="3">
        <v>9925.6473985330686</v>
      </c>
      <c r="L29" s="3">
        <v>13829.162535144897</v>
      </c>
      <c r="M29" s="3"/>
      <c r="N29" s="3">
        <v>44003.310531339106</v>
      </c>
      <c r="O29" s="3"/>
      <c r="P29" s="3">
        <v>186119.83195135897</v>
      </c>
    </row>
    <row r="30" spans="2:16" x14ac:dyDescent="0.25">
      <c r="B30" t="s">
        <v>186</v>
      </c>
      <c r="C30" t="s">
        <v>186</v>
      </c>
      <c r="D30" t="s">
        <v>220</v>
      </c>
      <c r="E30" t="s">
        <v>210</v>
      </c>
      <c r="F30" s="3">
        <v>22741.265757027111</v>
      </c>
      <c r="G30" s="3">
        <v>84805.634727825702</v>
      </c>
      <c r="H30" s="3"/>
      <c r="I30" s="3">
        <v>-112.6618197278912</v>
      </c>
      <c r="J30" s="3">
        <v>4793.7011081943137</v>
      </c>
      <c r="K30" s="3">
        <v>8858.5208268084061</v>
      </c>
      <c r="L30" s="3">
        <v>13829.162535144897</v>
      </c>
      <c r="M30" s="3"/>
      <c r="N30" s="3">
        <v>45979.24053604174</v>
      </c>
      <c r="O30" s="3"/>
      <c r="P30" s="3">
        <v>180894.86367131429</v>
      </c>
    </row>
    <row r="31" spans="2:16" x14ac:dyDescent="0.25">
      <c r="B31" t="s">
        <v>0</v>
      </c>
      <c r="F31" s="3">
        <v>634666.23926128482</v>
      </c>
      <c r="G31" s="3">
        <v>2216752.7064842233</v>
      </c>
      <c r="H31" s="3">
        <v>19454.226439379916</v>
      </c>
      <c r="I31" s="3">
        <v>-2220.8329521477731</v>
      </c>
      <c r="J31" s="3">
        <v>126227.70788026553</v>
      </c>
      <c r="K31" s="3">
        <v>419914.27654612943</v>
      </c>
      <c r="L31" s="3">
        <v>331899.9008434774</v>
      </c>
      <c r="M31" s="3">
        <v>145229.18758269236</v>
      </c>
      <c r="N31" s="3">
        <v>580740.2921945214</v>
      </c>
      <c r="O31" s="3">
        <v>37494.524543585212</v>
      </c>
      <c r="P31" s="3">
        <v>4510158.2288234113</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O13"/>
  <sheetViews>
    <sheetView workbookViewId="0">
      <selection activeCell="C10" sqref="C10"/>
    </sheetView>
  </sheetViews>
  <sheetFormatPr defaultRowHeight="15" x14ac:dyDescent="0.25"/>
  <cols>
    <col min="2" max="2" width="19.42578125" bestFit="1" customWidth="1"/>
    <col min="3" max="4" width="8.28515625" customWidth="1"/>
    <col min="5" max="8" width="16" bestFit="1" customWidth="1"/>
    <col min="9" max="9" width="16" customWidth="1"/>
    <col min="10" max="10" width="16" bestFit="1" customWidth="1"/>
    <col min="11" max="11" width="16" customWidth="1"/>
    <col min="12" max="14" width="16" bestFit="1" customWidth="1"/>
    <col min="15" max="15" width="12" bestFit="1" customWidth="1"/>
    <col min="16" max="18" width="16" bestFit="1" customWidth="1"/>
    <col min="19" max="19" width="16" customWidth="1"/>
    <col min="20" max="21" width="12" customWidth="1"/>
    <col min="22" max="22" width="12" bestFit="1" customWidth="1"/>
    <col min="23" max="23" width="14.140625" bestFit="1" customWidth="1"/>
    <col min="24" max="25" width="12" bestFit="1" customWidth="1"/>
    <col min="26" max="26" width="16" bestFit="1" customWidth="1"/>
    <col min="27" max="27" width="14.28515625" bestFit="1" customWidth="1"/>
    <col min="28" max="28" width="16" bestFit="1" customWidth="1"/>
    <col min="29" max="29" width="12" bestFit="1" customWidth="1"/>
  </cols>
  <sheetData>
    <row r="2" spans="2:15" x14ac:dyDescent="0.25">
      <c r="B2" s="1" t="s">
        <v>13</v>
      </c>
      <c r="E2" s="1" t="s">
        <v>12</v>
      </c>
    </row>
    <row r="3" spans="2:15" x14ac:dyDescent="0.25">
      <c r="B3" s="1" t="s">
        <v>11</v>
      </c>
      <c r="C3" s="1" t="s">
        <v>138</v>
      </c>
      <c r="D3" s="1" t="s">
        <v>185</v>
      </c>
      <c r="E3" t="s">
        <v>169</v>
      </c>
      <c r="F3" t="s">
        <v>176</v>
      </c>
      <c r="G3" t="s">
        <v>175</v>
      </c>
      <c r="H3" t="s">
        <v>211</v>
      </c>
      <c r="I3" t="s">
        <v>173</v>
      </c>
      <c r="J3" t="s">
        <v>171</v>
      </c>
      <c r="K3" t="s">
        <v>174</v>
      </c>
      <c r="L3" t="s">
        <v>212</v>
      </c>
      <c r="M3" t="s">
        <v>177</v>
      </c>
      <c r="N3" t="s">
        <v>123</v>
      </c>
      <c r="O3" t="s">
        <v>0</v>
      </c>
    </row>
    <row r="4" spans="2:15" x14ac:dyDescent="0.25">
      <c r="B4" t="s">
        <v>6</v>
      </c>
      <c r="C4" t="s">
        <v>186</v>
      </c>
      <c r="D4" t="s">
        <v>186</v>
      </c>
      <c r="E4" s="3"/>
      <c r="F4" s="3">
        <v>8.0315527626601693</v>
      </c>
      <c r="G4" s="3">
        <v>0.14431527663556321</v>
      </c>
      <c r="H4" s="3">
        <v>2.3880493800130265</v>
      </c>
      <c r="I4" s="3">
        <v>17.085580975748137</v>
      </c>
      <c r="J4" s="3">
        <v>1.7667643764788781</v>
      </c>
      <c r="K4" s="3">
        <v>2.127507544047281</v>
      </c>
      <c r="L4" s="3"/>
      <c r="M4" s="3"/>
      <c r="N4" s="3"/>
      <c r="O4" s="3">
        <v>31.543770315583053</v>
      </c>
    </row>
    <row r="5" spans="2:15" x14ac:dyDescent="0.25">
      <c r="B5" t="s">
        <v>18</v>
      </c>
      <c r="C5" t="s">
        <v>186</v>
      </c>
      <c r="D5" t="s">
        <v>186</v>
      </c>
      <c r="E5" s="3">
        <v>0.1286844</v>
      </c>
      <c r="F5" s="3">
        <v>18.015387928286511</v>
      </c>
      <c r="G5" s="3"/>
      <c r="H5" s="3"/>
      <c r="I5" s="3">
        <v>144.19145427318298</v>
      </c>
      <c r="J5" s="3"/>
      <c r="K5" s="3"/>
      <c r="L5" s="3"/>
      <c r="M5" s="3"/>
      <c r="N5" s="3"/>
      <c r="O5" s="3">
        <v>162.3355266014695</v>
      </c>
    </row>
    <row r="6" spans="2:15" x14ac:dyDescent="0.25">
      <c r="B6" t="s">
        <v>7</v>
      </c>
      <c r="C6" t="s">
        <v>186</v>
      </c>
      <c r="D6" t="s">
        <v>186</v>
      </c>
      <c r="E6" s="3">
        <v>6.7557181127522001E-2</v>
      </c>
      <c r="F6" s="3">
        <v>2.2378772137631433</v>
      </c>
      <c r="G6" s="3">
        <v>0.56083346287836799</v>
      </c>
      <c r="H6" s="3">
        <v>0.18840353579019692</v>
      </c>
      <c r="I6" s="3"/>
      <c r="J6" s="3"/>
      <c r="K6" s="3"/>
      <c r="L6" s="3">
        <v>1.708082398525393</v>
      </c>
      <c r="M6" s="3"/>
      <c r="N6" s="3"/>
      <c r="O6" s="3">
        <v>4.7627537920846228</v>
      </c>
    </row>
    <row r="7" spans="2:15" x14ac:dyDescent="0.25">
      <c r="B7" t="s">
        <v>8</v>
      </c>
      <c r="C7" t="s">
        <v>186</v>
      </c>
      <c r="D7" t="s">
        <v>186</v>
      </c>
      <c r="E7" s="3">
        <v>0.16948610870790992</v>
      </c>
      <c r="F7" s="3">
        <v>15.428443406550635</v>
      </c>
      <c r="G7" s="3">
        <v>23.914336592509159</v>
      </c>
      <c r="H7" s="3">
        <v>3.4956169897093963</v>
      </c>
      <c r="I7" s="3">
        <v>4.2402818467531072</v>
      </c>
      <c r="J7" s="3">
        <v>2.1899999999999999E-2</v>
      </c>
      <c r="K7" s="3">
        <v>0.9063101144425314</v>
      </c>
      <c r="L7" s="3"/>
      <c r="M7" s="3">
        <v>3.2682256481716538</v>
      </c>
      <c r="N7" s="3">
        <v>16.71565428756832</v>
      </c>
      <c r="O7" s="3">
        <v>68.160254994412711</v>
      </c>
    </row>
    <row r="8" spans="2:15" x14ac:dyDescent="0.25">
      <c r="B8" t="s">
        <v>16</v>
      </c>
      <c r="C8" t="s">
        <v>186</v>
      </c>
      <c r="D8" t="s">
        <v>186</v>
      </c>
      <c r="E8" s="3"/>
      <c r="F8" s="3">
        <v>0.29783999999999999</v>
      </c>
      <c r="G8" s="3">
        <v>1.106526315789474</v>
      </c>
      <c r="H8" s="3"/>
      <c r="I8" s="3">
        <v>1.3492109556183645</v>
      </c>
      <c r="J8" s="3"/>
      <c r="K8" s="3"/>
      <c r="L8" s="3"/>
      <c r="M8" s="3"/>
      <c r="N8" s="3">
        <v>1.9601057378207856</v>
      </c>
      <c r="O8" s="3">
        <v>4.7136830092286237</v>
      </c>
    </row>
    <row r="9" spans="2:15" x14ac:dyDescent="0.25">
      <c r="B9" t="s">
        <v>20</v>
      </c>
      <c r="C9" t="s">
        <v>186</v>
      </c>
      <c r="D9" t="s">
        <v>186</v>
      </c>
      <c r="E9" s="3"/>
      <c r="F9" s="3">
        <v>2.5841840458597689</v>
      </c>
      <c r="G9" s="3">
        <v>0.23974736842105299</v>
      </c>
      <c r="H9" s="3"/>
      <c r="I9" s="3">
        <v>0.34017999999999998</v>
      </c>
      <c r="J9" s="3"/>
      <c r="K9" s="3"/>
      <c r="L9" s="3"/>
      <c r="M9" s="3"/>
      <c r="N9" s="3">
        <v>0.16311724137931</v>
      </c>
      <c r="O9" s="3">
        <v>3.3272286556601323</v>
      </c>
    </row>
    <row r="10" spans="2:15" x14ac:dyDescent="0.25">
      <c r="B10" t="s">
        <v>21</v>
      </c>
      <c r="C10" t="s">
        <v>186</v>
      </c>
      <c r="D10" t="s">
        <v>186</v>
      </c>
      <c r="E10" s="3"/>
      <c r="F10" s="3">
        <v>1.4892000000000001</v>
      </c>
      <c r="G10" s="3"/>
      <c r="H10" s="3"/>
      <c r="I10" s="3">
        <v>9.6622799999999991</v>
      </c>
      <c r="J10" s="3">
        <v>38.211377954352592</v>
      </c>
      <c r="K10" s="3"/>
      <c r="L10" s="3"/>
      <c r="M10" s="3"/>
      <c r="N10" s="3">
        <v>10.655304094270999</v>
      </c>
      <c r="O10" s="3">
        <v>60.018162048623594</v>
      </c>
    </row>
    <row r="11" spans="2:15" x14ac:dyDescent="0.25">
      <c r="B11" t="s">
        <v>17</v>
      </c>
      <c r="C11" t="s">
        <v>186</v>
      </c>
      <c r="D11" t="s">
        <v>186</v>
      </c>
      <c r="E11" s="3">
        <v>0.75274867371893395</v>
      </c>
      <c r="F11" s="3"/>
      <c r="G11" s="3">
        <v>6.14284725925926</v>
      </c>
      <c r="H11" s="3">
        <v>1.9283832417582336</v>
      </c>
      <c r="I11" s="3">
        <v>26.508984254072018</v>
      </c>
      <c r="J11" s="3"/>
      <c r="K11" s="3">
        <v>10.485024699674375</v>
      </c>
      <c r="L11" s="3"/>
      <c r="M11" s="3"/>
      <c r="N11" s="3">
        <v>21.22108964844621</v>
      </c>
      <c r="O11" s="3">
        <v>67.039077776929034</v>
      </c>
    </row>
    <row r="12" spans="2:15" x14ac:dyDescent="0.25">
      <c r="B12" t="s">
        <v>19</v>
      </c>
      <c r="C12" t="s">
        <v>186</v>
      </c>
      <c r="D12" t="s">
        <v>186</v>
      </c>
      <c r="E12" s="3"/>
      <c r="F12" s="3"/>
      <c r="G12" s="3"/>
      <c r="H12" s="3"/>
      <c r="I12" s="3">
        <v>2.7251469946524098</v>
      </c>
      <c r="J12" s="3"/>
      <c r="K12" s="3"/>
      <c r="L12" s="3"/>
      <c r="M12" s="3"/>
      <c r="N12" s="3">
        <v>0.92752941176470505</v>
      </c>
      <c r="O12" s="3">
        <v>3.6526764064171147</v>
      </c>
    </row>
    <row r="13" spans="2:15" x14ac:dyDescent="0.25">
      <c r="B13" t="s">
        <v>0</v>
      </c>
      <c r="E13" s="3">
        <v>1.118476363554366</v>
      </c>
      <c r="F13" s="3">
        <v>48.084485357120229</v>
      </c>
      <c r="G13" s="3">
        <v>32.108606275492875</v>
      </c>
      <c r="H13" s="3">
        <v>8.0004531472708535</v>
      </c>
      <c r="I13" s="3">
        <v>206.10311930002703</v>
      </c>
      <c r="J13" s="3">
        <v>40.000042330831469</v>
      </c>
      <c r="K13" s="3">
        <v>13.518842358164187</v>
      </c>
      <c r="L13" s="3">
        <v>1.708082398525393</v>
      </c>
      <c r="M13" s="3">
        <v>3.2682256481716538</v>
      </c>
      <c r="N13" s="3">
        <v>51.642800421250328</v>
      </c>
      <c r="O13" s="3">
        <v>405.55313360040844</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W29"/>
  <sheetViews>
    <sheetView zoomScale="85" zoomScaleNormal="85" workbookViewId="0">
      <selection activeCell="K21" sqref="K21"/>
    </sheetView>
  </sheetViews>
  <sheetFormatPr defaultRowHeight="15" x14ac:dyDescent="0.25"/>
  <cols>
    <col min="2" max="2" width="13.28515625" bestFit="1" customWidth="1"/>
    <col min="3" max="3" width="8.140625" customWidth="1"/>
    <col min="4" max="4" width="8.140625" bestFit="1" customWidth="1"/>
    <col min="5" max="13" width="16" bestFit="1" customWidth="1"/>
    <col min="14" max="17" width="16" customWidth="1"/>
    <col min="18" max="22" width="16" bestFit="1" customWidth="1"/>
    <col min="23" max="23" width="12.28515625" bestFit="1" customWidth="1"/>
    <col min="24" max="24" width="16" bestFit="1" customWidth="1"/>
    <col min="25" max="26" width="16" customWidth="1"/>
    <col min="27" max="28" width="12.28515625" bestFit="1" customWidth="1"/>
    <col min="29" max="29" width="16" customWidth="1"/>
    <col min="30" max="30" width="12.28515625" customWidth="1"/>
    <col min="31" max="31" width="19.85546875" customWidth="1"/>
    <col min="32" max="32" width="28.42578125" bestFit="1" customWidth="1"/>
    <col min="33" max="33" width="12.28515625" customWidth="1"/>
    <col min="34" max="34" width="16.42578125" customWidth="1"/>
    <col min="35" max="35" width="25.7109375" bestFit="1" customWidth="1"/>
    <col min="36" max="36" width="17.5703125" customWidth="1"/>
    <col min="37" max="37" width="12.7109375" customWidth="1"/>
    <col min="38" max="38" width="18.85546875" customWidth="1"/>
    <col min="39" max="39" width="15.7109375" customWidth="1"/>
    <col min="40" max="41" width="12.28515625" customWidth="1"/>
    <col min="42" max="42" width="27.28515625" bestFit="1" customWidth="1"/>
    <col min="43" max="43" width="29.7109375" bestFit="1" customWidth="1"/>
    <col min="44" max="44" width="29.42578125" bestFit="1" customWidth="1"/>
    <col min="45" max="45" width="15.28515625" bestFit="1" customWidth="1"/>
    <col min="46" max="46" width="17.85546875" bestFit="1" customWidth="1"/>
    <col min="47" max="47" width="18" bestFit="1" customWidth="1"/>
    <col min="48" max="48" width="19.140625" bestFit="1" customWidth="1"/>
    <col min="49" max="49" width="19.85546875" bestFit="1" customWidth="1"/>
    <col min="50" max="50" width="28.42578125" bestFit="1" customWidth="1"/>
    <col min="51" max="51" width="12.28515625" bestFit="1" customWidth="1"/>
    <col min="52" max="52" width="16.42578125" bestFit="1" customWidth="1"/>
    <col min="53" max="53" width="25.7109375" bestFit="1" customWidth="1"/>
    <col min="54" max="54" width="17.5703125" bestFit="1" customWidth="1"/>
    <col min="55" max="55" width="12.7109375" bestFit="1" customWidth="1"/>
    <col min="56" max="56" width="18.85546875" bestFit="1" customWidth="1"/>
    <col min="57" max="57" width="15.7109375" bestFit="1" customWidth="1"/>
    <col min="58" max="59" width="12.28515625" bestFit="1" customWidth="1"/>
  </cols>
  <sheetData>
    <row r="1" spans="2:23" x14ac:dyDescent="0.25">
      <c r="B1" s="1" t="s">
        <v>11</v>
      </c>
      <c r="C1" t="s">
        <v>166</v>
      </c>
    </row>
    <row r="3" spans="2:23" x14ac:dyDescent="0.25">
      <c r="B3" s="1" t="s">
        <v>14</v>
      </c>
      <c r="E3" s="1" t="s">
        <v>12</v>
      </c>
    </row>
    <row r="4" spans="2:23" x14ac:dyDescent="0.25">
      <c r="B4" s="1" t="s">
        <v>138</v>
      </c>
      <c r="C4" s="1" t="s">
        <v>15</v>
      </c>
      <c r="D4" s="1" t="s">
        <v>72</v>
      </c>
      <c r="E4" t="s">
        <v>169</v>
      </c>
      <c r="F4" t="s">
        <v>176</v>
      </c>
      <c r="G4" t="s">
        <v>175</v>
      </c>
      <c r="H4" t="s">
        <v>211</v>
      </c>
      <c r="I4" t="s">
        <v>214</v>
      </c>
      <c r="J4" t="s">
        <v>173</v>
      </c>
      <c r="K4" t="s">
        <v>171</v>
      </c>
      <c r="L4" t="s">
        <v>174</v>
      </c>
      <c r="M4" t="s">
        <v>212</v>
      </c>
      <c r="N4" t="s">
        <v>177</v>
      </c>
      <c r="O4" t="s">
        <v>123</v>
      </c>
      <c r="P4" t="s">
        <v>221</v>
      </c>
      <c r="Q4" t="s">
        <v>122</v>
      </c>
      <c r="R4" t="s">
        <v>260</v>
      </c>
      <c r="S4" t="s">
        <v>257</v>
      </c>
      <c r="T4" t="s">
        <v>380</v>
      </c>
      <c r="U4" t="s">
        <v>137</v>
      </c>
      <c r="V4" t="s">
        <v>384</v>
      </c>
      <c r="W4" t="s">
        <v>0</v>
      </c>
    </row>
    <row r="5" spans="2:23" x14ac:dyDescent="0.25">
      <c r="B5" t="s">
        <v>186</v>
      </c>
      <c r="C5" t="s">
        <v>220</v>
      </c>
      <c r="D5" t="s">
        <v>40</v>
      </c>
      <c r="E5" s="3">
        <v>128.89000000000001</v>
      </c>
      <c r="F5" s="3">
        <v>3515.4967473254683</v>
      </c>
      <c r="G5" s="3">
        <v>3173.0486383846728</v>
      </c>
      <c r="H5" s="3">
        <v>850.25871923265356</v>
      </c>
      <c r="I5" s="3">
        <v>127716.45990944144</v>
      </c>
      <c r="J5" s="3">
        <v>22104.965911367937</v>
      </c>
      <c r="K5" s="3">
        <v>5227.2333452536259</v>
      </c>
      <c r="L5" s="3">
        <v>1307.2604288716736</v>
      </c>
      <c r="M5" s="3">
        <v>172.67468646154848</v>
      </c>
      <c r="N5" s="3">
        <v>322.21911612317092</v>
      </c>
      <c r="O5" s="3">
        <v>3607.9643839377582</v>
      </c>
      <c r="P5" s="3">
        <v>73.454973655735699</v>
      </c>
      <c r="Q5" s="3">
        <v>33.356794425087138</v>
      </c>
      <c r="R5" s="3">
        <v>635.06520947176671</v>
      </c>
      <c r="S5" s="3">
        <v>160.7142857142853</v>
      </c>
      <c r="T5" s="3">
        <v>261.66107212672921</v>
      </c>
      <c r="U5" s="3"/>
      <c r="V5" s="3">
        <v>4.6654761772693396</v>
      </c>
      <c r="W5" s="3">
        <v>169295.38969797079</v>
      </c>
    </row>
    <row r="6" spans="2:23" x14ac:dyDescent="0.25">
      <c r="B6" t="s">
        <v>186</v>
      </c>
      <c r="C6" t="s">
        <v>220</v>
      </c>
      <c r="D6" t="s">
        <v>41</v>
      </c>
      <c r="E6" s="3">
        <v>128.89000000000001</v>
      </c>
      <c r="F6" s="3">
        <v>3515.2020541245874</v>
      </c>
      <c r="G6" s="3">
        <v>3165.9363132292156</v>
      </c>
      <c r="H6" s="3">
        <v>850.0159707299639</v>
      </c>
      <c r="I6" s="3">
        <v>127554.4284836421</v>
      </c>
      <c r="J6" s="3">
        <v>22715.441089091142</v>
      </c>
      <c r="K6" s="3">
        <v>5280.2858036107918</v>
      </c>
      <c r="L6" s="3">
        <v>1307.2604288716736</v>
      </c>
      <c r="M6" s="3">
        <v>172.50148709892053</v>
      </c>
      <c r="N6" s="3">
        <v>322.21911612317092</v>
      </c>
      <c r="O6" s="3">
        <v>2872.0522648509823</v>
      </c>
      <c r="P6" s="3">
        <v>145</v>
      </c>
      <c r="Q6" s="3">
        <v>33.356794425087138</v>
      </c>
      <c r="R6" s="3">
        <v>635.06520947176671</v>
      </c>
      <c r="S6" s="3">
        <v>160.7142857142853</v>
      </c>
      <c r="T6" s="3">
        <v>259.62050219073097</v>
      </c>
      <c r="U6" s="3"/>
      <c r="V6" s="3">
        <v>4.6654761772693396</v>
      </c>
      <c r="W6" s="3">
        <v>169122.65527935166</v>
      </c>
    </row>
    <row r="7" spans="2:23" x14ac:dyDescent="0.25">
      <c r="B7" t="s">
        <v>186</v>
      </c>
      <c r="C7" t="s">
        <v>220</v>
      </c>
      <c r="D7" t="s">
        <v>42</v>
      </c>
      <c r="E7" s="3">
        <v>128.89000000000001</v>
      </c>
      <c r="F7" s="3">
        <v>3467.3287927849947</v>
      </c>
      <c r="G7" s="3">
        <v>3424.9210598826862</v>
      </c>
      <c r="H7" s="3">
        <v>862.12020604775364</v>
      </c>
      <c r="I7" s="3">
        <v>127554.57349627472</v>
      </c>
      <c r="J7" s="3">
        <v>22310.74240701455</v>
      </c>
      <c r="K7" s="3">
        <v>5295.0610191999858</v>
      </c>
      <c r="L7" s="3">
        <v>1307.2604288716736</v>
      </c>
      <c r="M7" s="3">
        <v>172.8500258035607</v>
      </c>
      <c r="N7" s="3">
        <v>322.21911612317092</v>
      </c>
      <c r="O7" s="3">
        <v>2763.2398556976809</v>
      </c>
      <c r="P7" s="3">
        <v>14.223450922207901</v>
      </c>
      <c r="Q7" s="3">
        <v>33.356794425087138</v>
      </c>
      <c r="R7" s="3">
        <v>635.06520947176671</v>
      </c>
      <c r="S7" s="3">
        <v>212.21314786673619</v>
      </c>
      <c r="T7" s="3">
        <v>264.60925205068531</v>
      </c>
      <c r="U7" s="3"/>
      <c r="V7" s="3">
        <v>4.6654761772693396</v>
      </c>
      <c r="W7" s="3">
        <v>168773.33973861451</v>
      </c>
    </row>
    <row r="8" spans="2:23" x14ac:dyDescent="0.25">
      <c r="B8" t="s">
        <v>186</v>
      </c>
      <c r="C8" t="s">
        <v>220</v>
      </c>
      <c r="D8" t="s">
        <v>43</v>
      </c>
      <c r="E8" s="3">
        <v>128.89000000000001</v>
      </c>
      <c r="F8" s="3">
        <v>3516.2395847320367</v>
      </c>
      <c r="G8" s="3">
        <v>3220.9883729103185</v>
      </c>
      <c r="H8" s="3">
        <v>859.57179890184159</v>
      </c>
      <c r="I8" s="3">
        <v>127960.71851727361</v>
      </c>
      <c r="J8" s="3">
        <v>22331.194202893977</v>
      </c>
      <c r="K8" s="3">
        <v>5248.6740265496355</v>
      </c>
      <c r="L8" s="3">
        <v>1307.2604288716736</v>
      </c>
      <c r="M8" s="3">
        <v>173.64298492792562</v>
      </c>
      <c r="N8" s="3">
        <v>322.21911612317092</v>
      </c>
      <c r="O8" s="3">
        <v>2986.4981957518849</v>
      </c>
      <c r="P8" s="3">
        <v>54.459078601015001</v>
      </c>
      <c r="Q8" s="3">
        <v>33.356794425087138</v>
      </c>
      <c r="R8" s="3">
        <v>635.06520947176671</v>
      </c>
      <c r="S8" s="3">
        <v>217.87428571428532</v>
      </c>
      <c r="T8" s="3">
        <v>273.88469654153641</v>
      </c>
      <c r="U8" s="3"/>
      <c r="V8" s="3">
        <v>4.6654761772693396</v>
      </c>
      <c r="W8" s="3">
        <v>169275.202769867</v>
      </c>
    </row>
    <row r="9" spans="2:23" x14ac:dyDescent="0.25">
      <c r="B9" t="s">
        <v>186</v>
      </c>
      <c r="C9" t="s">
        <v>220</v>
      </c>
      <c r="D9" t="s">
        <v>44</v>
      </c>
      <c r="E9" s="3">
        <v>128.89000000000001</v>
      </c>
      <c r="F9" s="3">
        <v>3544.516048202021</v>
      </c>
      <c r="G9" s="3">
        <v>3440.4766741440762</v>
      </c>
      <c r="H9" s="3">
        <v>876.86258065356685</v>
      </c>
      <c r="I9" s="3">
        <v>127629.77880837129</v>
      </c>
      <c r="J9" s="3">
        <v>22687.933460199296</v>
      </c>
      <c r="K9" s="3">
        <v>5141.7455360426957</v>
      </c>
      <c r="L9" s="3">
        <v>1307.2604288716736</v>
      </c>
      <c r="M9" s="3">
        <v>176.40554176627509</v>
      </c>
      <c r="N9" s="3">
        <v>322.21911612317092</v>
      </c>
      <c r="O9" s="3">
        <v>4210.0784626111863</v>
      </c>
      <c r="P9" s="3">
        <v>145</v>
      </c>
      <c r="Q9" s="3">
        <v>33.356794425087138</v>
      </c>
      <c r="R9" s="3">
        <v>635.06520947176671</v>
      </c>
      <c r="S9" s="3">
        <v>160.7142857142853</v>
      </c>
      <c r="T9" s="3">
        <v>289.62991042389297</v>
      </c>
      <c r="U9" s="3"/>
      <c r="V9" s="3">
        <v>4.6654761772693396</v>
      </c>
      <c r="W9" s="3">
        <v>170734.59833319756</v>
      </c>
    </row>
    <row r="10" spans="2:23" x14ac:dyDescent="0.25">
      <c r="B10" t="s">
        <v>186</v>
      </c>
      <c r="C10" t="s">
        <v>220</v>
      </c>
      <c r="D10" t="s">
        <v>45</v>
      </c>
      <c r="E10" s="3">
        <v>192.44672966950526</v>
      </c>
      <c r="F10" s="3">
        <v>4295.3818689546188</v>
      </c>
      <c r="G10" s="3">
        <v>3665.1388899720737</v>
      </c>
      <c r="H10" s="3">
        <v>886.43176045188181</v>
      </c>
      <c r="I10" s="3">
        <v>128381.54722417789</v>
      </c>
      <c r="J10" s="3">
        <v>22732.516600116647</v>
      </c>
      <c r="K10" s="3">
        <v>4984.9916525880362</v>
      </c>
      <c r="L10" s="3">
        <v>1307.2604288716736</v>
      </c>
      <c r="M10" s="3">
        <v>188.989772912131</v>
      </c>
      <c r="N10" s="3">
        <v>368.6848601481347</v>
      </c>
      <c r="O10" s="3">
        <v>6488.8667950766312</v>
      </c>
      <c r="P10" s="3">
        <v>145</v>
      </c>
      <c r="Q10" s="3">
        <v>33.356794425087138</v>
      </c>
      <c r="R10" s="3">
        <v>366.02690892629073</v>
      </c>
      <c r="S10" s="3">
        <v>217.87428571428532</v>
      </c>
      <c r="T10" s="3">
        <v>308.64412505444398</v>
      </c>
      <c r="U10" s="3"/>
      <c r="V10" s="3">
        <v>4.6654761772693396</v>
      </c>
      <c r="W10" s="3">
        <v>174567.82417323664</v>
      </c>
    </row>
    <row r="11" spans="2:23" x14ac:dyDescent="0.25">
      <c r="B11" t="s">
        <v>186</v>
      </c>
      <c r="C11" t="s">
        <v>220</v>
      </c>
      <c r="D11" t="s">
        <v>141</v>
      </c>
      <c r="E11" s="3">
        <v>105.31957009984441</v>
      </c>
      <c r="F11" s="3">
        <v>6670.774050627123</v>
      </c>
      <c r="G11" s="3">
        <v>4011.9737035959533</v>
      </c>
      <c r="H11" s="3">
        <v>885.25403132529266</v>
      </c>
      <c r="I11" s="3">
        <v>129307.32005947802</v>
      </c>
      <c r="J11" s="3">
        <v>24286.685710470934</v>
      </c>
      <c r="K11" s="3">
        <v>4826.6142962786253</v>
      </c>
      <c r="L11" s="3">
        <v>1896.2824745508885</v>
      </c>
      <c r="M11" s="3">
        <v>219.47914110175711</v>
      </c>
      <c r="N11" s="3">
        <v>429.00179913542991</v>
      </c>
      <c r="O11" s="3">
        <v>8060.9353137006337</v>
      </c>
      <c r="P11" s="3">
        <v>165</v>
      </c>
      <c r="Q11" s="3">
        <v>378.78135888501726</v>
      </c>
      <c r="R11" s="3">
        <v>295.84326599764285</v>
      </c>
      <c r="S11" s="3">
        <v>217.87428571428532</v>
      </c>
      <c r="T11" s="3">
        <v>433.6849475582394</v>
      </c>
      <c r="U11" s="3"/>
      <c r="V11" s="3">
        <v>4.6654761772693396</v>
      </c>
      <c r="W11" s="3">
        <v>182195.489484697</v>
      </c>
    </row>
    <row r="12" spans="2:23" x14ac:dyDescent="0.25">
      <c r="B12" t="s">
        <v>186</v>
      </c>
      <c r="C12" t="s">
        <v>220</v>
      </c>
      <c r="D12" t="s">
        <v>142</v>
      </c>
      <c r="E12" s="3">
        <v>60.512053738097251</v>
      </c>
      <c r="F12" s="3">
        <v>8102.226667869686</v>
      </c>
      <c r="G12" s="3">
        <v>4038.2065761013587</v>
      </c>
      <c r="H12" s="3">
        <v>961.6465952222735</v>
      </c>
      <c r="I12" s="3">
        <v>129899.37529050946</v>
      </c>
      <c r="J12" s="3">
        <v>24459.239044630238</v>
      </c>
      <c r="K12" s="3">
        <v>6117.8774288486411</v>
      </c>
      <c r="L12" s="3">
        <v>2043.0937065919063</v>
      </c>
      <c r="M12" s="3">
        <v>248.27835351655304</v>
      </c>
      <c r="N12" s="3">
        <v>429.00179913542991</v>
      </c>
      <c r="O12" s="3">
        <v>6326.6153284717448</v>
      </c>
      <c r="P12" s="3">
        <v>165</v>
      </c>
      <c r="Q12" s="3">
        <v>651.72386759581877</v>
      </c>
      <c r="R12" s="3">
        <v>403.93596203623872</v>
      </c>
      <c r="S12" s="3">
        <v>160.7142857142853</v>
      </c>
      <c r="T12" s="3">
        <v>884.01416898679918</v>
      </c>
      <c r="U12" s="3">
        <v>179.89525975571399</v>
      </c>
      <c r="V12" s="3">
        <v>4.6654761772693396</v>
      </c>
      <c r="W12" s="3">
        <v>185136.02186490153</v>
      </c>
    </row>
    <row r="13" spans="2:23" x14ac:dyDescent="0.25">
      <c r="B13" t="s">
        <v>186</v>
      </c>
      <c r="C13" t="s">
        <v>220</v>
      </c>
      <c r="D13" t="s">
        <v>143</v>
      </c>
      <c r="E13" s="3">
        <v>52.894343967679461</v>
      </c>
      <c r="F13" s="3">
        <v>8120.0812294673979</v>
      </c>
      <c r="G13" s="3">
        <v>4043.4979965190605</v>
      </c>
      <c r="H13" s="3">
        <v>901.3906864561726</v>
      </c>
      <c r="I13" s="3">
        <v>129959.17102533289</v>
      </c>
      <c r="J13" s="3">
        <v>24486.428482439649</v>
      </c>
      <c r="K13" s="3">
        <v>5485.829954228866</v>
      </c>
      <c r="L13" s="3">
        <v>2043.0937065919063</v>
      </c>
      <c r="M13" s="3">
        <v>253.28089735335845</v>
      </c>
      <c r="N13" s="3">
        <v>429.00179913542991</v>
      </c>
      <c r="O13" s="3">
        <v>6326.6153284717448</v>
      </c>
      <c r="P13" s="3">
        <v>165</v>
      </c>
      <c r="Q13" s="3">
        <v>651.72386759581877</v>
      </c>
      <c r="R13" s="3">
        <v>403.93596203623872</v>
      </c>
      <c r="S13" s="3">
        <v>160.7142857142853</v>
      </c>
      <c r="T13" s="3">
        <v>2366.8478044201684</v>
      </c>
      <c r="U13" s="3">
        <v>182.857142857143</v>
      </c>
      <c r="V13" s="3">
        <v>4.6654761772693396</v>
      </c>
      <c r="W13" s="3">
        <v>186037.02998876511</v>
      </c>
    </row>
    <row r="14" spans="2:23" x14ac:dyDescent="0.25">
      <c r="B14" t="s">
        <v>186</v>
      </c>
      <c r="C14" t="s">
        <v>220</v>
      </c>
      <c r="D14" t="s">
        <v>144</v>
      </c>
      <c r="E14" s="3">
        <v>48.89</v>
      </c>
      <c r="F14" s="3">
        <v>8017.9297298161564</v>
      </c>
      <c r="G14" s="3">
        <v>4026.5341232619921</v>
      </c>
      <c r="H14" s="3">
        <v>984.54242814453266</v>
      </c>
      <c r="I14" s="3">
        <v>129984.41491370929</v>
      </c>
      <c r="J14" s="3">
        <v>24466.68183515975</v>
      </c>
      <c r="K14" s="3">
        <v>5988.579374037683</v>
      </c>
      <c r="L14" s="3">
        <v>2043.0937065919063</v>
      </c>
      <c r="M14" s="3">
        <v>246.32083890053886</v>
      </c>
      <c r="N14" s="3">
        <v>429.00179913542991</v>
      </c>
      <c r="O14" s="3">
        <v>6326.6153284717448</v>
      </c>
      <c r="P14" s="3">
        <v>145</v>
      </c>
      <c r="Q14" s="3">
        <v>402.11062717770022</v>
      </c>
      <c r="R14" s="3">
        <v>400.11596203623873</v>
      </c>
      <c r="S14" s="3">
        <v>160.7142857142853</v>
      </c>
      <c r="T14" s="3">
        <v>544.24715717737035</v>
      </c>
      <c r="U14" s="3">
        <v>182.857142857143</v>
      </c>
      <c r="V14" s="3">
        <v>3.5011609046893599</v>
      </c>
      <c r="W14" s="3">
        <v>184401.15041309645</v>
      </c>
    </row>
    <row r="15" spans="2:23" x14ac:dyDescent="0.25">
      <c r="B15" t="s">
        <v>186</v>
      </c>
      <c r="C15" t="s">
        <v>220</v>
      </c>
      <c r="D15" t="s">
        <v>145</v>
      </c>
      <c r="E15" s="3">
        <v>48.89</v>
      </c>
      <c r="F15" s="3">
        <v>6659.0914836155835</v>
      </c>
      <c r="G15" s="3">
        <v>4053.0569993739</v>
      </c>
      <c r="H15" s="3">
        <v>908.46326831462136</v>
      </c>
      <c r="I15" s="3">
        <v>131480.15247563715</v>
      </c>
      <c r="J15" s="3">
        <v>24640.017112738373</v>
      </c>
      <c r="K15" s="3">
        <v>5505.6794670580657</v>
      </c>
      <c r="L15" s="3">
        <v>1822.3582910707844</v>
      </c>
      <c r="M15" s="3">
        <v>235.74289236899088</v>
      </c>
      <c r="N15" s="3">
        <v>429.00179913542991</v>
      </c>
      <c r="O15" s="3">
        <v>6621.0867986620005</v>
      </c>
      <c r="P15" s="3">
        <v>165</v>
      </c>
      <c r="Q15" s="3">
        <v>379.42770034843193</v>
      </c>
      <c r="R15" s="3">
        <v>400.11596203623873</v>
      </c>
      <c r="S15" s="3">
        <v>160.7142857142853</v>
      </c>
      <c r="T15" s="3">
        <v>493.87013474422446</v>
      </c>
      <c r="U15" s="3">
        <v>182.857142857143</v>
      </c>
      <c r="V15" s="3"/>
      <c r="W15" s="3">
        <v>184185.52581367522</v>
      </c>
    </row>
    <row r="16" spans="2:23" x14ac:dyDescent="0.25">
      <c r="B16" t="s">
        <v>186</v>
      </c>
      <c r="C16" t="s">
        <v>220</v>
      </c>
      <c r="D16" t="s">
        <v>179</v>
      </c>
      <c r="E16" s="3">
        <v>96.981559084102301</v>
      </c>
      <c r="F16" s="3">
        <v>4655.6453814970155</v>
      </c>
      <c r="G16" s="3">
        <v>4045.2004507688216</v>
      </c>
      <c r="H16" s="3">
        <v>907.77986442120084</v>
      </c>
      <c r="I16" s="3">
        <v>133308.22804795246</v>
      </c>
      <c r="J16" s="3">
        <v>24025.185026784318</v>
      </c>
      <c r="K16" s="3">
        <v>3911.5103241440261</v>
      </c>
      <c r="L16" s="3">
        <v>1759.6759816972651</v>
      </c>
      <c r="M16" s="3">
        <v>224.41748169992016</v>
      </c>
      <c r="N16" s="3">
        <v>429.00179913542991</v>
      </c>
      <c r="O16" s="3">
        <v>8073.1408152122449</v>
      </c>
      <c r="P16" s="3">
        <v>165</v>
      </c>
      <c r="Q16" s="3">
        <v>33.356794425087138</v>
      </c>
      <c r="R16" s="3">
        <v>889.8336305243987</v>
      </c>
      <c r="S16" s="3">
        <v>160.7142857142853</v>
      </c>
      <c r="T16" s="3">
        <v>482.99029641105949</v>
      </c>
      <c r="U16" s="3">
        <v>54.599141138157897</v>
      </c>
      <c r="V16" s="3"/>
      <c r="W16" s="3">
        <v>183223.26088060986</v>
      </c>
    </row>
    <row r="17" spans="2:23" x14ac:dyDescent="0.25">
      <c r="B17" t="s">
        <v>186</v>
      </c>
      <c r="C17" t="s">
        <v>220</v>
      </c>
      <c r="D17" t="s">
        <v>199</v>
      </c>
      <c r="E17" s="3">
        <v>172.58572690848652</v>
      </c>
      <c r="F17" s="3">
        <v>4571.0610505703007</v>
      </c>
      <c r="G17" s="3">
        <v>4022.7141222676778</v>
      </c>
      <c r="H17" s="3">
        <v>995.00382006977554</v>
      </c>
      <c r="I17" s="3">
        <v>132865.41310542281</v>
      </c>
      <c r="J17" s="3">
        <v>23934.046409146631</v>
      </c>
      <c r="K17" s="3">
        <v>3846.8176353425861</v>
      </c>
      <c r="L17" s="3">
        <v>1429.0222609399575</v>
      </c>
      <c r="M17" s="3">
        <v>217.19770177055631</v>
      </c>
      <c r="N17" s="3">
        <v>429.00179913542991</v>
      </c>
      <c r="O17" s="3">
        <v>8032.4406529966336</v>
      </c>
      <c r="P17" s="3">
        <v>145</v>
      </c>
      <c r="Q17" s="3">
        <v>33.356794425087138</v>
      </c>
      <c r="R17" s="3">
        <v>889.8336305243987</v>
      </c>
      <c r="S17" s="3">
        <v>160.7142857142853</v>
      </c>
      <c r="T17" s="3">
        <v>391.89926425909346</v>
      </c>
      <c r="U17" s="3">
        <v>53.605478607865798</v>
      </c>
      <c r="V17" s="3">
        <v>4.6654761772693396</v>
      </c>
      <c r="W17" s="3">
        <v>182194.37921427886</v>
      </c>
    </row>
    <row r="18" spans="2:23" x14ac:dyDescent="0.25">
      <c r="B18" t="s">
        <v>186</v>
      </c>
      <c r="C18" t="s">
        <v>220</v>
      </c>
      <c r="D18" t="s">
        <v>200</v>
      </c>
      <c r="E18" s="3">
        <v>175.71852281504781</v>
      </c>
      <c r="F18" s="3">
        <v>4600.3799759133472</v>
      </c>
      <c r="G18" s="3">
        <v>4021.349952190199</v>
      </c>
      <c r="H18" s="3">
        <v>906.94389054439773</v>
      </c>
      <c r="I18" s="3">
        <v>132542.38098270373</v>
      </c>
      <c r="J18" s="3">
        <v>23804.937285096046</v>
      </c>
      <c r="K18" s="3">
        <v>3667.5388382475758</v>
      </c>
      <c r="L18" s="3">
        <v>1397.108453688548</v>
      </c>
      <c r="M18" s="3">
        <v>212.60350574048829</v>
      </c>
      <c r="N18" s="3">
        <v>429.00179913542991</v>
      </c>
      <c r="O18" s="3">
        <v>7957.6777597646769</v>
      </c>
      <c r="P18" s="3">
        <v>165</v>
      </c>
      <c r="Q18" s="3">
        <v>33.356794425087138</v>
      </c>
      <c r="R18" s="3">
        <v>889.8336305243987</v>
      </c>
      <c r="S18" s="3">
        <v>160.7142857142853</v>
      </c>
      <c r="T18" s="3">
        <v>386.78242445576848</v>
      </c>
      <c r="U18" s="3"/>
      <c r="V18" s="3">
        <v>4.6654761772693396</v>
      </c>
      <c r="W18" s="3">
        <v>181355.99357713631</v>
      </c>
    </row>
    <row r="19" spans="2:23" x14ac:dyDescent="0.25">
      <c r="B19" t="s">
        <v>186</v>
      </c>
      <c r="C19" t="s">
        <v>220</v>
      </c>
      <c r="D19" t="s">
        <v>201</v>
      </c>
      <c r="E19" s="3">
        <v>102.61384955324509</v>
      </c>
      <c r="F19" s="3">
        <v>4705.2326730903733</v>
      </c>
      <c r="G19" s="3">
        <v>3974.3425675904896</v>
      </c>
      <c r="H19" s="3">
        <v>906.30139369452684</v>
      </c>
      <c r="I19" s="3">
        <v>132165.68396570679</v>
      </c>
      <c r="J19" s="3">
        <v>24325.609815423206</v>
      </c>
      <c r="K19" s="3">
        <v>3606.1709427723158</v>
      </c>
      <c r="L19" s="3">
        <v>1660.1405598180822</v>
      </c>
      <c r="M19" s="3">
        <v>206.24943371497622</v>
      </c>
      <c r="N19" s="3">
        <v>429.00179913542991</v>
      </c>
      <c r="O19" s="3">
        <v>8141.9999438563655</v>
      </c>
      <c r="P19" s="3">
        <v>165</v>
      </c>
      <c r="Q19" s="3">
        <v>378.78135888501726</v>
      </c>
      <c r="R19" s="3">
        <v>400.11596203623873</v>
      </c>
      <c r="S19" s="3">
        <v>160.7142857142853</v>
      </c>
      <c r="T19" s="3">
        <v>452.54452860360345</v>
      </c>
      <c r="U19" s="3">
        <v>52.2980279101129</v>
      </c>
      <c r="V19" s="3">
        <v>4.6654761772693396</v>
      </c>
      <c r="W19" s="3">
        <v>181837.46658368237</v>
      </c>
    </row>
    <row r="20" spans="2:23" x14ac:dyDescent="0.25">
      <c r="B20" t="s">
        <v>186</v>
      </c>
      <c r="C20" t="s">
        <v>220</v>
      </c>
      <c r="D20" t="s">
        <v>202</v>
      </c>
      <c r="E20" s="3">
        <v>99.124341921897908</v>
      </c>
      <c r="F20" s="3">
        <v>6663.7259951284104</v>
      </c>
      <c r="G20" s="3">
        <v>3952.8071174116531</v>
      </c>
      <c r="H20" s="3">
        <v>999.61804482187756</v>
      </c>
      <c r="I20" s="3">
        <v>129917.34293195703</v>
      </c>
      <c r="J20" s="3">
        <v>24586.339900723826</v>
      </c>
      <c r="K20" s="3">
        <v>5267.2249533789563</v>
      </c>
      <c r="L20" s="3">
        <v>1638.4533602102622</v>
      </c>
      <c r="M20" s="3">
        <v>192.69570620867503</v>
      </c>
      <c r="N20" s="3">
        <v>429.00179913542991</v>
      </c>
      <c r="O20" s="3">
        <v>6326.6153284717448</v>
      </c>
      <c r="P20" s="3">
        <v>165</v>
      </c>
      <c r="Q20" s="3">
        <v>378.78135888501726</v>
      </c>
      <c r="R20" s="3">
        <v>400.11596203623873</v>
      </c>
      <c r="S20" s="3">
        <v>160.7142857142853</v>
      </c>
      <c r="T20" s="3">
        <v>565.46157266740056</v>
      </c>
      <c r="U20" s="3">
        <v>51.931941714742102</v>
      </c>
      <c r="V20" s="3">
        <v>4.6654761772693396</v>
      </c>
      <c r="W20" s="3">
        <v>181799.62007656478</v>
      </c>
    </row>
    <row r="21" spans="2:23" x14ac:dyDescent="0.25">
      <c r="B21" t="s">
        <v>186</v>
      </c>
      <c r="C21" t="s">
        <v>220</v>
      </c>
      <c r="D21" t="s">
        <v>203</v>
      </c>
      <c r="E21" s="3">
        <v>77.35278273952936</v>
      </c>
      <c r="F21" s="3">
        <v>8000.5513196902584</v>
      </c>
      <c r="G21" s="3">
        <v>3832.6822479946309</v>
      </c>
      <c r="H21" s="3">
        <v>901.9457228462278</v>
      </c>
      <c r="I21" s="3">
        <v>128846.5275460237</v>
      </c>
      <c r="J21" s="3">
        <v>24293.623307033093</v>
      </c>
      <c r="K21" s="3">
        <v>4467.8641523185661</v>
      </c>
      <c r="L21" s="3">
        <v>1659.0421336885938</v>
      </c>
      <c r="M21" s="3">
        <v>181.40931186463396</v>
      </c>
      <c r="N21" s="3">
        <v>401.80521321255947</v>
      </c>
      <c r="O21" s="3">
        <v>6326.6153284717448</v>
      </c>
      <c r="P21" s="3">
        <v>145</v>
      </c>
      <c r="Q21" s="3">
        <v>378.78135888501726</v>
      </c>
      <c r="R21" s="3">
        <v>342.71596203623869</v>
      </c>
      <c r="S21" s="3">
        <v>160.7142857142853</v>
      </c>
      <c r="T21" s="3">
        <v>1276.6650340333151</v>
      </c>
      <c r="U21" s="3">
        <v>64.477228635695099</v>
      </c>
      <c r="V21" s="3">
        <v>4.6654761772693396</v>
      </c>
      <c r="W21" s="3">
        <v>181362.43841136544</v>
      </c>
    </row>
    <row r="22" spans="2:23" x14ac:dyDescent="0.25">
      <c r="B22" t="s">
        <v>186</v>
      </c>
      <c r="C22" t="s">
        <v>220</v>
      </c>
      <c r="D22" t="s">
        <v>204</v>
      </c>
      <c r="E22" s="3">
        <v>131.73197184110077</v>
      </c>
      <c r="F22" s="3">
        <v>8010.8041256474626</v>
      </c>
      <c r="G22" s="3">
        <v>3701.0454444661618</v>
      </c>
      <c r="H22" s="3">
        <v>896.76599019721482</v>
      </c>
      <c r="I22" s="3">
        <v>128864.45627071375</v>
      </c>
      <c r="J22" s="3">
        <v>24286.512813471221</v>
      </c>
      <c r="K22" s="3">
        <v>4608.0496564419154</v>
      </c>
      <c r="L22" s="3">
        <v>1612.909245748298</v>
      </c>
      <c r="M22" s="3">
        <v>174.16449685082077</v>
      </c>
      <c r="N22" s="3">
        <v>349.12452963326746</v>
      </c>
      <c r="O22" s="3">
        <v>6326.6153284717448</v>
      </c>
      <c r="P22" s="3">
        <v>145</v>
      </c>
      <c r="Q22" s="3">
        <v>379.42770034843193</v>
      </c>
      <c r="R22" s="3">
        <v>342.71596203623869</v>
      </c>
      <c r="S22" s="3">
        <v>160.7142857142853</v>
      </c>
      <c r="T22" s="3">
        <v>1007.3312362043109</v>
      </c>
      <c r="U22" s="3">
        <v>106.676082820844</v>
      </c>
      <c r="V22" s="3">
        <v>4.6654761772693396</v>
      </c>
      <c r="W22" s="3">
        <v>181108.71061678437</v>
      </c>
    </row>
    <row r="23" spans="2:23" x14ac:dyDescent="0.25">
      <c r="B23" t="s">
        <v>186</v>
      </c>
      <c r="C23" t="s">
        <v>220</v>
      </c>
      <c r="D23" t="s">
        <v>205</v>
      </c>
      <c r="E23" s="3">
        <v>128.89000000000001</v>
      </c>
      <c r="F23" s="3">
        <v>8009.3135657262546</v>
      </c>
      <c r="G23" s="3">
        <v>3609.0786111618822</v>
      </c>
      <c r="H23" s="3">
        <v>893.67208894059479</v>
      </c>
      <c r="I23" s="3">
        <v>128274.95117447851</v>
      </c>
      <c r="J23" s="3">
        <v>24231.940923698618</v>
      </c>
      <c r="K23" s="3">
        <v>4614.7454896642157</v>
      </c>
      <c r="L23" s="3">
        <v>1613.9992419181613</v>
      </c>
      <c r="M23" s="3">
        <v>171.56706631903191</v>
      </c>
      <c r="N23" s="3">
        <v>322.21911612317092</v>
      </c>
      <c r="O23" s="3">
        <v>6233.6152354716514</v>
      </c>
      <c r="P23" s="3">
        <v>145</v>
      </c>
      <c r="Q23" s="3">
        <v>365.63379790940752</v>
      </c>
      <c r="R23" s="3">
        <v>617.84326596181074</v>
      </c>
      <c r="S23" s="3">
        <v>160.7142857142853</v>
      </c>
      <c r="T23" s="3">
        <v>950.95054072201742</v>
      </c>
      <c r="U23" s="3">
        <v>51.0167262263152</v>
      </c>
      <c r="V23" s="3">
        <v>4.6654761772693396</v>
      </c>
      <c r="W23" s="3">
        <v>180399.81660621316</v>
      </c>
    </row>
    <row r="24" spans="2:23" x14ac:dyDescent="0.25">
      <c r="B24" t="s">
        <v>186</v>
      </c>
      <c r="C24" t="s">
        <v>220</v>
      </c>
      <c r="D24" t="s">
        <v>206</v>
      </c>
      <c r="E24" s="3">
        <v>128.89000000000001</v>
      </c>
      <c r="F24" s="3">
        <v>7640.787648948065</v>
      </c>
      <c r="G24" s="3">
        <v>3520.1472449274929</v>
      </c>
      <c r="H24" s="3">
        <v>887.70945073618248</v>
      </c>
      <c r="I24" s="3">
        <v>128520.67043672589</v>
      </c>
      <c r="J24" s="3">
        <v>23683.833600673992</v>
      </c>
      <c r="K24" s="3">
        <v>3402.687920933236</v>
      </c>
      <c r="L24" s="3">
        <v>1372.7601469743038</v>
      </c>
      <c r="M24" s="3">
        <v>171.0143061236956</v>
      </c>
      <c r="N24" s="3">
        <v>322.21911612317092</v>
      </c>
      <c r="O24" s="3">
        <v>7975.8457348186066</v>
      </c>
      <c r="P24" s="3">
        <v>145</v>
      </c>
      <c r="Q24" s="3">
        <v>365.63379790940752</v>
      </c>
      <c r="R24" s="3">
        <v>574.97191747048078</v>
      </c>
      <c r="S24" s="3">
        <v>160.7142857142853</v>
      </c>
      <c r="T24" s="3">
        <v>289.06832520966975</v>
      </c>
      <c r="U24" s="3"/>
      <c r="V24" s="3">
        <v>4.6654761772693396</v>
      </c>
      <c r="W24" s="3">
        <v>179166.61940946573</v>
      </c>
    </row>
    <row r="25" spans="2:23" x14ac:dyDescent="0.25">
      <c r="B25" t="s">
        <v>186</v>
      </c>
      <c r="C25" t="s">
        <v>220</v>
      </c>
      <c r="D25" t="s">
        <v>207</v>
      </c>
      <c r="E25" s="3">
        <v>256.36022366146301</v>
      </c>
      <c r="F25" s="3">
        <v>4641.01521794153</v>
      </c>
      <c r="G25" s="3">
        <v>3464.1565529396789</v>
      </c>
      <c r="H25" s="3">
        <v>980.94826735445861</v>
      </c>
      <c r="I25" s="3">
        <v>131112.24247255205</v>
      </c>
      <c r="J25" s="3">
        <v>23202.34564446329</v>
      </c>
      <c r="K25" s="3">
        <v>3363.9292501067262</v>
      </c>
      <c r="L25" s="3">
        <v>1307.2604288716736</v>
      </c>
      <c r="M25" s="3">
        <v>169.6362874791993</v>
      </c>
      <c r="N25" s="3">
        <v>322.21911612317092</v>
      </c>
      <c r="O25" s="3">
        <v>6473.1421107599026</v>
      </c>
      <c r="P25" s="3">
        <v>145</v>
      </c>
      <c r="Q25" s="3">
        <v>33.356794425087138</v>
      </c>
      <c r="R25" s="3">
        <v>551.16064788503479</v>
      </c>
      <c r="S25" s="3">
        <v>160.7142857142853</v>
      </c>
      <c r="T25" s="3">
        <v>277.4300750160549</v>
      </c>
      <c r="U25" s="3"/>
      <c r="V25" s="3">
        <v>4.6654761772693396</v>
      </c>
      <c r="W25" s="3">
        <v>176465.58285147088</v>
      </c>
    </row>
    <row r="26" spans="2:23" x14ac:dyDescent="0.25">
      <c r="B26" t="s">
        <v>186</v>
      </c>
      <c r="C26" t="s">
        <v>220</v>
      </c>
      <c r="D26" t="s">
        <v>208</v>
      </c>
      <c r="E26" s="3">
        <v>228.39032906266863</v>
      </c>
      <c r="F26" s="3">
        <v>3868.7241473328786</v>
      </c>
      <c r="G26" s="3">
        <v>3289.9302170957694</v>
      </c>
      <c r="H26" s="3">
        <v>889.39012051279917</v>
      </c>
      <c r="I26" s="3">
        <v>129504.89087961035</v>
      </c>
      <c r="J26" s="3">
        <v>22445.991138759484</v>
      </c>
      <c r="K26" s="3">
        <v>3269.6650514637699</v>
      </c>
      <c r="L26" s="3">
        <v>1307.2604288716736</v>
      </c>
      <c r="M26" s="3">
        <v>166.99108079205052</v>
      </c>
      <c r="N26" s="3">
        <v>322.21911612317092</v>
      </c>
      <c r="O26" s="3">
        <v>5203.1712726895821</v>
      </c>
      <c r="P26" s="3">
        <v>160.7091755370802</v>
      </c>
      <c r="Q26" s="3">
        <v>33.356794425087138</v>
      </c>
      <c r="R26" s="3">
        <v>635.06520947176671</v>
      </c>
      <c r="S26" s="3">
        <v>160.7142857142853</v>
      </c>
      <c r="T26" s="3">
        <v>269.3060864100953</v>
      </c>
      <c r="U26" s="3"/>
      <c r="V26" s="3">
        <v>4.6654761772693396</v>
      </c>
      <c r="W26" s="3">
        <v>171760.44081004974</v>
      </c>
    </row>
    <row r="27" spans="2:23" x14ac:dyDescent="0.25">
      <c r="B27" t="s">
        <v>186</v>
      </c>
      <c r="C27" t="s">
        <v>220</v>
      </c>
      <c r="D27" t="s">
        <v>209</v>
      </c>
      <c r="E27" s="3">
        <v>183.38679919587031</v>
      </c>
      <c r="F27" s="3">
        <v>3502.2010539139037</v>
      </c>
      <c r="G27" s="3">
        <v>3158.7670969680585</v>
      </c>
      <c r="H27" s="3">
        <v>967.61802393070741</v>
      </c>
      <c r="I27" s="3">
        <v>128994.59868417334</v>
      </c>
      <c r="J27" s="3">
        <v>22261.910200359183</v>
      </c>
      <c r="K27" s="3">
        <v>3237.6215761603657</v>
      </c>
      <c r="L27" s="3">
        <v>1307.2604288716736</v>
      </c>
      <c r="M27" s="3">
        <v>166.00239450840166</v>
      </c>
      <c r="N27" s="3">
        <v>322.21911612317092</v>
      </c>
      <c r="O27" s="3">
        <v>4568.9195310024634</v>
      </c>
      <c r="P27" s="3">
        <v>90.211246443728996</v>
      </c>
      <c r="Q27" s="3">
        <v>33.356794425087138</v>
      </c>
      <c r="R27" s="3">
        <v>635.06520947176671</v>
      </c>
      <c r="S27" s="3">
        <v>160.7142857142853</v>
      </c>
      <c r="T27" s="3">
        <v>251.16904457384058</v>
      </c>
      <c r="U27" s="3"/>
      <c r="V27" s="3">
        <v>4.6654761772693396</v>
      </c>
      <c r="W27" s="3">
        <v>169845.6869620131</v>
      </c>
    </row>
    <row r="28" spans="2:23" x14ac:dyDescent="0.25">
      <c r="B28" t="s">
        <v>186</v>
      </c>
      <c r="C28" t="s">
        <v>220</v>
      </c>
      <c r="D28" t="s">
        <v>210</v>
      </c>
      <c r="E28" s="3">
        <v>128.89000000000001</v>
      </c>
      <c r="F28" s="3">
        <v>3444.6056339852898</v>
      </c>
      <c r="G28" s="3">
        <v>3112.7833432610105</v>
      </c>
      <c r="H28" s="3">
        <v>958.7949949997527</v>
      </c>
      <c r="I28" s="3">
        <v>128702.83798962904</v>
      </c>
      <c r="J28" s="3">
        <v>22361.958352291007</v>
      </c>
      <c r="K28" s="3">
        <v>3222.7593761003254</v>
      </c>
      <c r="L28" s="3">
        <v>1281.5471390170551</v>
      </c>
      <c r="M28" s="3">
        <v>165.56240889514947</v>
      </c>
      <c r="N28" s="3">
        <v>322.21911612317092</v>
      </c>
      <c r="O28" s="3">
        <v>3256.7573440905221</v>
      </c>
      <c r="P28" s="3">
        <v>145</v>
      </c>
      <c r="Q28" s="3">
        <v>33.356794425087138</v>
      </c>
      <c r="R28" s="3">
        <v>635.06520947176671</v>
      </c>
      <c r="S28" s="3">
        <v>160.7142857142853</v>
      </c>
      <c r="T28" s="3">
        <v>227.19368604669808</v>
      </c>
      <c r="U28" s="3"/>
      <c r="V28" s="3">
        <v>4.6654761772693396</v>
      </c>
      <c r="W28" s="3">
        <v>168164.71115022741</v>
      </c>
    </row>
    <row r="29" spans="2:23" x14ac:dyDescent="0.25">
      <c r="B29" t="s">
        <v>0</v>
      </c>
      <c r="E29" s="3">
        <v>3064.3188042585384</v>
      </c>
      <c r="F29" s="3">
        <v>131738.31604690477</v>
      </c>
      <c r="G29" s="3">
        <v>87968.784316418809</v>
      </c>
      <c r="H29" s="3">
        <v>21919.049718550272</v>
      </c>
      <c r="I29" s="3">
        <v>3111048.164691498</v>
      </c>
      <c r="J29" s="3">
        <v>564666.0802740464</v>
      </c>
      <c r="K29" s="3">
        <v>109589.15707077124</v>
      </c>
      <c r="L29" s="3">
        <v>37037.924268942988</v>
      </c>
      <c r="M29" s="3">
        <v>4679.6778041791586</v>
      </c>
      <c r="N29" s="3">
        <v>8954.0428717031409</v>
      </c>
      <c r="O29" s="3">
        <v>141487.12444178187</v>
      </c>
      <c r="P29" s="3">
        <v>3308.0579251597678</v>
      </c>
      <c r="Q29" s="3">
        <v>5144.4451219512193</v>
      </c>
      <c r="R29" s="3">
        <v>13249.636269878496</v>
      </c>
      <c r="S29" s="3">
        <v>4080.1217192952986</v>
      </c>
      <c r="T29" s="3">
        <v>13209.505885887747</v>
      </c>
      <c r="U29" s="3">
        <v>1163.0713153808761</v>
      </c>
      <c r="V29" s="3">
        <v>101.47616062734549</v>
      </c>
      <c r="W29" s="3">
        <v>4262408.9547072351</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B2:AH32"/>
  <sheetViews>
    <sheetView workbookViewId="0">
      <selection activeCell="D7" sqref="D7"/>
    </sheetView>
  </sheetViews>
  <sheetFormatPr defaultRowHeight="15" x14ac:dyDescent="0.25"/>
  <cols>
    <col min="2" max="2" width="30.85546875" customWidth="1"/>
    <col min="3" max="3" width="7.85546875" customWidth="1"/>
    <col min="4" max="33" width="26.140625" bestFit="1" customWidth="1"/>
    <col min="34" max="34" width="12" bestFit="1" customWidth="1"/>
    <col min="35" max="36" width="25.85546875" bestFit="1" customWidth="1"/>
    <col min="37" max="37" width="25.85546875" customWidth="1"/>
    <col min="38" max="38" width="25.85546875" bestFit="1" customWidth="1"/>
    <col min="39" max="45" width="25.85546875" customWidth="1"/>
    <col min="46" max="46" width="12" customWidth="1"/>
    <col min="47" max="59" width="20" customWidth="1"/>
    <col min="60" max="60" width="20" bestFit="1" customWidth="1"/>
    <col min="61" max="62" width="20" customWidth="1"/>
    <col min="63" max="103" width="20" bestFit="1" customWidth="1"/>
    <col min="104" max="104" width="12" bestFit="1" customWidth="1"/>
  </cols>
  <sheetData>
    <row r="2" spans="2:34" x14ac:dyDescent="0.25">
      <c r="B2" s="1" t="s">
        <v>138</v>
      </c>
      <c r="C2" t="s">
        <v>186</v>
      </c>
    </row>
    <row r="4" spans="2:34" x14ac:dyDescent="0.25">
      <c r="B4" s="1" t="s">
        <v>261</v>
      </c>
      <c r="D4" s="1" t="s">
        <v>11</v>
      </c>
      <c r="E4" s="1" t="s">
        <v>12</v>
      </c>
      <c r="F4" s="1" t="s">
        <v>187</v>
      </c>
    </row>
    <row r="5" spans="2:34" x14ac:dyDescent="0.25">
      <c r="D5" t="s">
        <v>6</v>
      </c>
      <c r="E5" t="s">
        <v>6</v>
      </c>
      <c r="F5" t="s">
        <v>6</v>
      </c>
      <c r="G5" t="s">
        <v>6</v>
      </c>
      <c r="H5" t="s">
        <v>6</v>
      </c>
      <c r="I5" t="s">
        <v>6</v>
      </c>
      <c r="J5" t="s">
        <v>6</v>
      </c>
      <c r="K5" t="s">
        <v>6</v>
      </c>
      <c r="L5" t="s">
        <v>6</v>
      </c>
      <c r="M5" t="s">
        <v>6</v>
      </c>
      <c r="N5" t="s">
        <v>6</v>
      </c>
      <c r="O5" t="s">
        <v>6</v>
      </c>
      <c r="P5" t="s">
        <v>6</v>
      </c>
      <c r="Q5" t="s">
        <v>6</v>
      </c>
      <c r="R5" t="s">
        <v>6</v>
      </c>
      <c r="S5" t="s">
        <v>6</v>
      </c>
      <c r="T5" t="s">
        <v>6</v>
      </c>
      <c r="U5" t="s">
        <v>6</v>
      </c>
      <c r="V5" t="s">
        <v>6</v>
      </c>
      <c r="W5" t="s">
        <v>6</v>
      </c>
      <c r="X5" t="s">
        <v>6</v>
      </c>
      <c r="Y5" t="s">
        <v>6</v>
      </c>
      <c r="Z5" t="s">
        <v>6</v>
      </c>
      <c r="AA5" t="s">
        <v>6</v>
      </c>
      <c r="AB5" t="s">
        <v>6</v>
      </c>
      <c r="AC5" t="s">
        <v>6</v>
      </c>
      <c r="AD5" t="s">
        <v>6</v>
      </c>
      <c r="AE5" t="s">
        <v>6</v>
      </c>
      <c r="AF5" t="s">
        <v>6</v>
      </c>
      <c r="AG5" t="s">
        <v>6</v>
      </c>
      <c r="AH5" t="s">
        <v>0</v>
      </c>
    </row>
    <row r="6" spans="2:34" x14ac:dyDescent="0.25">
      <c r="D6" t="s">
        <v>173</v>
      </c>
      <c r="E6" t="s">
        <v>173</v>
      </c>
      <c r="F6" t="s">
        <v>173</v>
      </c>
      <c r="G6" t="s">
        <v>173</v>
      </c>
      <c r="H6" t="s">
        <v>173</v>
      </c>
      <c r="I6" t="s">
        <v>173</v>
      </c>
      <c r="J6" t="s">
        <v>173</v>
      </c>
      <c r="K6" t="s">
        <v>173</v>
      </c>
      <c r="L6" t="s">
        <v>173</v>
      </c>
      <c r="M6" t="s">
        <v>173</v>
      </c>
      <c r="N6" t="s">
        <v>173</v>
      </c>
      <c r="O6" t="s">
        <v>173</v>
      </c>
      <c r="P6" t="s">
        <v>173</v>
      </c>
      <c r="Q6" t="s">
        <v>173</v>
      </c>
      <c r="R6" t="s">
        <v>173</v>
      </c>
      <c r="S6" t="s">
        <v>173</v>
      </c>
      <c r="T6" t="s">
        <v>173</v>
      </c>
      <c r="U6" t="s">
        <v>173</v>
      </c>
      <c r="V6" t="s">
        <v>173</v>
      </c>
      <c r="W6" t="s">
        <v>173</v>
      </c>
      <c r="X6" t="s">
        <v>173</v>
      </c>
      <c r="Y6" t="s">
        <v>173</v>
      </c>
      <c r="Z6" t="s">
        <v>173</v>
      </c>
      <c r="AA6" t="s">
        <v>173</v>
      </c>
      <c r="AB6" t="s">
        <v>173</v>
      </c>
      <c r="AC6" t="s">
        <v>173</v>
      </c>
      <c r="AD6" t="s">
        <v>173</v>
      </c>
      <c r="AE6" t="s">
        <v>173</v>
      </c>
      <c r="AF6" t="s">
        <v>173</v>
      </c>
      <c r="AG6" t="s">
        <v>173</v>
      </c>
    </row>
    <row r="7" spans="2:34" x14ac:dyDescent="0.25">
      <c r="B7" s="1" t="s">
        <v>15</v>
      </c>
      <c r="C7" s="1" t="s">
        <v>72</v>
      </c>
      <c r="D7" t="s">
        <v>263</v>
      </c>
      <c r="E7" t="s">
        <v>264</v>
      </c>
      <c r="F7" t="s">
        <v>265</v>
      </c>
      <c r="G7" t="s">
        <v>266</v>
      </c>
      <c r="H7" t="s">
        <v>267</v>
      </c>
      <c r="I7" t="s">
        <v>268</v>
      </c>
      <c r="J7" t="s">
        <v>270</v>
      </c>
      <c r="K7" t="s">
        <v>272</v>
      </c>
      <c r="L7" t="s">
        <v>271</v>
      </c>
      <c r="M7" t="s">
        <v>262</v>
      </c>
      <c r="N7" t="s">
        <v>273</v>
      </c>
      <c r="O7" t="s">
        <v>269</v>
      </c>
      <c r="P7" t="s">
        <v>285</v>
      </c>
      <c r="Q7" t="s">
        <v>286</v>
      </c>
      <c r="R7" t="s">
        <v>287</v>
      </c>
      <c r="S7" t="s">
        <v>288</v>
      </c>
      <c r="T7" t="s">
        <v>297</v>
      </c>
      <c r="U7" t="s">
        <v>298</v>
      </c>
      <c r="V7" t="s">
        <v>299</v>
      </c>
      <c r="W7" t="s">
        <v>304</v>
      </c>
      <c r="X7" t="s">
        <v>305</v>
      </c>
      <c r="Y7" t="s">
        <v>308</v>
      </c>
      <c r="Z7" t="s">
        <v>309</v>
      </c>
      <c r="AA7" t="s">
        <v>310</v>
      </c>
      <c r="AB7" t="s">
        <v>311</v>
      </c>
      <c r="AC7" t="s">
        <v>312</v>
      </c>
      <c r="AD7" t="s">
        <v>313</v>
      </c>
      <c r="AE7" t="s">
        <v>318</v>
      </c>
      <c r="AF7" t="s">
        <v>319</v>
      </c>
      <c r="AG7" t="s">
        <v>320</v>
      </c>
    </row>
    <row r="8" spans="2:34" x14ac:dyDescent="0.25">
      <c r="B8" t="s">
        <v>220</v>
      </c>
      <c r="C8" t="s">
        <v>40</v>
      </c>
      <c r="D8" s="3">
        <v>439243.92</v>
      </c>
      <c r="E8" s="3">
        <v>501839.03414634179</v>
      </c>
      <c r="F8" s="3">
        <v>378156.68571428506</v>
      </c>
      <c r="G8" s="3">
        <v>225396.8372093027</v>
      </c>
      <c r="H8" s="3">
        <v>184706.59090909062</v>
      </c>
      <c r="I8" s="3">
        <v>228707.41304347847</v>
      </c>
      <c r="J8" s="3">
        <v>1095931.9148936199</v>
      </c>
      <c r="K8" s="3">
        <v>303478.08510638302</v>
      </c>
      <c r="L8" s="3">
        <v>10344.255319148901</v>
      </c>
      <c r="M8" s="3">
        <v>296121.6923076922</v>
      </c>
      <c r="N8" s="3">
        <v>184585.714285714</v>
      </c>
      <c r="O8" s="3">
        <v>400172.727272727</v>
      </c>
      <c r="P8" s="3">
        <v>23176.64117647061</v>
      </c>
      <c r="Q8" s="3">
        <v>257713.60230653445</v>
      </c>
      <c r="R8" s="3">
        <v>428633.53846153896</v>
      </c>
      <c r="S8" s="3"/>
      <c r="T8" s="3">
        <v>29733.9428571428</v>
      </c>
      <c r="U8" s="3">
        <v>19994.108108108099</v>
      </c>
      <c r="V8" s="3">
        <v>72058.064516129103</v>
      </c>
      <c r="W8" s="3">
        <v>27904.25</v>
      </c>
      <c r="X8" s="3">
        <v>251035.11627907</v>
      </c>
      <c r="Y8" s="3">
        <v>27355.090909090901</v>
      </c>
      <c r="Z8" s="3">
        <v>130759.024390244</v>
      </c>
      <c r="AA8" s="3">
        <v>1828.1739130434801</v>
      </c>
      <c r="AB8" s="3"/>
      <c r="AC8" s="3"/>
      <c r="AD8" s="3">
        <v>84679.999999999898</v>
      </c>
      <c r="AE8" s="3">
        <v>31944.799999999999</v>
      </c>
      <c r="AF8" s="3"/>
      <c r="AG8" s="3">
        <v>19229.2682926829</v>
      </c>
      <c r="AH8" s="3">
        <v>5654730.4914178383</v>
      </c>
    </row>
    <row r="9" spans="2:34" x14ac:dyDescent="0.25">
      <c r="B9" t="s">
        <v>220</v>
      </c>
      <c r="C9" t="s">
        <v>41</v>
      </c>
      <c r="D9" s="3">
        <v>439243.92</v>
      </c>
      <c r="E9" s="3">
        <v>501839.03414634179</v>
      </c>
      <c r="F9" s="3">
        <v>378156.68571428506</v>
      </c>
      <c r="G9" s="3">
        <v>225396.8372093027</v>
      </c>
      <c r="H9" s="3">
        <v>184706.59090909062</v>
      </c>
      <c r="I9" s="3">
        <v>228707.41304347847</v>
      </c>
      <c r="J9" s="3">
        <v>1095931.9148936199</v>
      </c>
      <c r="K9" s="3">
        <v>303478.08510638302</v>
      </c>
      <c r="L9" s="3">
        <v>10344.255319148901</v>
      </c>
      <c r="M9" s="3">
        <v>296121.6923076922</v>
      </c>
      <c r="N9" s="3">
        <v>184585.714285714</v>
      </c>
      <c r="O9" s="3">
        <v>400172.727272727</v>
      </c>
      <c r="P9" s="3">
        <v>23176.64117647061</v>
      </c>
      <c r="Q9" s="3">
        <v>244738.98666162646</v>
      </c>
      <c r="R9" s="3">
        <v>428633.53846153896</v>
      </c>
      <c r="S9" s="3"/>
      <c r="T9" s="3">
        <v>29733.9428571428</v>
      </c>
      <c r="U9" s="3">
        <v>19994.108108108099</v>
      </c>
      <c r="V9" s="3">
        <v>72058.064516129103</v>
      </c>
      <c r="W9" s="3">
        <v>27904.25</v>
      </c>
      <c r="X9" s="3">
        <v>251035.11627907</v>
      </c>
      <c r="Y9" s="3">
        <v>27355.090909090901</v>
      </c>
      <c r="Z9" s="3">
        <v>130759.024390244</v>
      </c>
      <c r="AA9" s="3">
        <v>1828.1739130434801</v>
      </c>
      <c r="AB9" s="3"/>
      <c r="AC9" s="3"/>
      <c r="AD9" s="3">
        <v>84679.999999999898</v>
      </c>
      <c r="AE9" s="3">
        <v>31944.799999999999</v>
      </c>
      <c r="AF9" s="3"/>
      <c r="AG9" s="3">
        <v>19229.2682926829</v>
      </c>
      <c r="AH9" s="3">
        <v>5641755.8757729298</v>
      </c>
    </row>
    <row r="10" spans="2:34" x14ac:dyDescent="0.25">
      <c r="B10" t="s">
        <v>220</v>
      </c>
      <c r="C10" t="s">
        <v>42</v>
      </c>
      <c r="D10" s="3">
        <v>439243.92</v>
      </c>
      <c r="E10" s="3">
        <v>501839.03414634179</v>
      </c>
      <c r="F10" s="3">
        <v>378156.68571428506</v>
      </c>
      <c r="G10" s="3">
        <v>225396.8372093027</v>
      </c>
      <c r="H10" s="3">
        <v>184706.59090909062</v>
      </c>
      <c r="I10" s="3">
        <v>228707.41304347847</v>
      </c>
      <c r="J10" s="3">
        <v>1095931.9148936199</v>
      </c>
      <c r="K10" s="3">
        <v>303478.08510638302</v>
      </c>
      <c r="L10" s="3">
        <v>10344.255319148901</v>
      </c>
      <c r="M10" s="3">
        <v>296121.6923076922</v>
      </c>
      <c r="N10" s="3">
        <v>184585.714285714</v>
      </c>
      <c r="O10" s="3">
        <v>400172.727272727</v>
      </c>
      <c r="P10" s="3">
        <v>23176.64117647061</v>
      </c>
      <c r="Q10" s="3">
        <v>232943.88152989242</v>
      </c>
      <c r="R10" s="3">
        <v>428633.53846153896</v>
      </c>
      <c r="S10" s="3"/>
      <c r="T10" s="3">
        <v>29733.9428571428</v>
      </c>
      <c r="U10" s="3">
        <v>19994.108108108099</v>
      </c>
      <c r="V10" s="3">
        <v>72058.064516129103</v>
      </c>
      <c r="W10" s="3">
        <v>27904.25</v>
      </c>
      <c r="X10" s="3">
        <v>251035.11627907</v>
      </c>
      <c r="Y10" s="3">
        <v>27355.090909090901</v>
      </c>
      <c r="Z10" s="3">
        <v>130759.024390244</v>
      </c>
      <c r="AA10" s="3">
        <v>1828.1739130434801</v>
      </c>
      <c r="AB10" s="3"/>
      <c r="AC10" s="3"/>
      <c r="AD10" s="3">
        <v>84679.999999999898</v>
      </c>
      <c r="AE10" s="3">
        <v>31944.799999999999</v>
      </c>
      <c r="AF10" s="3"/>
      <c r="AG10" s="3">
        <v>19229.2682926829</v>
      </c>
      <c r="AH10" s="3">
        <v>5629960.7706411965</v>
      </c>
    </row>
    <row r="11" spans="2:34" x14ac:dyDescent="0.25">
      <c r="B11" t="s">
        <v>220</v>
      </c>
      <c r="C11" t="s">
        <v>43</v>
      </c>
      <c r="D11" s="3">
        <v>439243.92</v>
      </c>
      <c r="E11" s="3">
        <v>501839.03414634179</v>
      </c>
      <c r="F11" s="3">
        <v>378156.68571428506</v>
      </c>
      <c r="G11" s="3">
        <v>225396.8372093027</v>
      </c>
      <c r="H11" s="3">
        <v>184706.59090909062</v>
      </c>
      <c r="I11" s="3">
        <v>228707.41304347847</v>
      </c>
      <c r="J11" s="3">
        <v>1095931.9148936199</v>
      </c>
      <c r="K11" s="3">
        <v>303478.08510638302</v>
      </c>
      <c r="L11" s="3">
        <v>10344.255319148901</v>
      </c>
      <c r="M11" s="3">
        <v>296121.6923076922</v>
      </c>
      <c r="N11" s="3">
        <v>184585.714285714</v>
      </c>
      <c r="O11" s="3">
        <v>400172.727272727</v>
      </c>
      <c r="P11" s="3">
        <v>23176.64117647061</v>
      </c>
      <c r="Q11" s="3">
        <v>250636.53922749442</v>
      </c>
      <c r="R11" s="3">
        <v>428633.53846153896</v>
      </c>
      <c r="S11" s="3"/>
      <c r="T11" s="3">
        <v>29733.9428571428</v>
      </c>
      <c r="U11" s="3">
        <v>19994.108108108099</v>
      </c>
      <c r="V11" s="3">
        <v>72058.064516129103</v>
      </c>
      <c r="W11" s="3">
        <v>27904.25</v>
      </c>
      <c r="X11" s="3">
        <v>251035.11627907</v>
      </c>
      <c r="Y11" s="3">
        <v>27355.090909090901</v>
      </c>
      <c r="Z11" s="3">
        <v>130759.024390244</v>
      </c>
      <c r="AA11" s="3">
        <v>1828.1739130434801</v>
      </c>
      <c r="AB11" s="3"/>
      <c r="AC11" s="3"/>
      <c r="AD11" s="3">
        <v>84679.999999999898</v>
      </c>
      <c r="AE11" s="3">
        <v>31944.799999999999</v>
      </c>
      <c r="AF11" s="3"/>
      <c r="AG11" s="3">
        <v>19229.2682926829</v>
      </c>
      <c r="AH11" s="3">
        <v>5647653.4283387978</v>
      </c>
    </row>
    <row r="12" spans="2:34" x14ac:dyDescent="0.25">
      <c r="B12" t="s">
        <v>220</v>
      </c>
      <c r="C12" t="s">
        <v>44</v>
      </c>
      <c r="D12" s="3">
        <v>439243.92</v>
      </c>
      <c r="E12" s="3">
        <v>501839.03414634179</v>
      </c>
      <c r="F12" s="3">
        <v>378156.68571428506</v>
      </c>
      <c r="G12" s="3">
        <v>225396.8372093027</v>
      </c>
      <c r="H12" s="3">
        <v>184706.59090909062</v>
      </c>
      <c r="I12" s="3">
        <v>228707.41304347847</v>
      </c>
      <c r="J12" s="3">
        <v>1095931.9148936199</v>
      </c>
      <c r="K12" s="3">
        <v>303478.08510638302</v>
      </c>
      <c r="L12" s="3">
        <v>10344.255319148901</v>
      </c>
      <c r="M12" s="3">
        <v>296121.6923076922</v>
      </c>
      <c r="N12" s="3">
        <v>184585.714285714</v>
      </c>
      <c r="O12" s="3">
        <v>400172.727272727</v>
      </c>
      <c r="P12" s="3">
        <v>23176.64117647061</v>
      </c>
      <c r="Q12" s="3">
        <v>269380.37368421041</v>
      </c>
      <c r="R12" s="3">
        <v>428633.53846153896</v>
      </c>
      <c r="S12" s="3"/>
      <c r="T12" s="3">
        <v>49331.314285714201</v>
      </c>
      <c r="U12" s="3">
        <v>150896.91891891911</v>
      </c>
      <c r="V12" s="3">
        <v>72058.064516129103</v>
      </c>
      <c r="W12" s="3">
        <v>27904.25</v>
      </c>
      <c r="X12" s="3">
        <v>251035.11627907</v>
      </c>
      <c r="Y12" s="3">
        <v>27355.090909090901</v>
      </c>
      <c r="Z12" s="3">
        <v>130759.024390244</v>
      </c>
      <c r="AA12" s="3">
        <v>1828.1739130434801</v>
      </c>
      <c r="AB12" s="3"/>
      <c r="AC12" s="3"/>
      <c r="AD12" s="3">
        <v>99279.999999999898</v>
      </c>
      <c r="AE12" s="3">
        <v>31944.799999999999</v>
      </c>
      <c r="AF12" s="3"/>
      <c r="AG12" s="3">
        <v>19229.2682926829</v>
      </c>
      <c r="AH12" s="3">
        <v>5831497.445034897</v>
      </c>
    </row>
    <row r="13" spans="2:34" x14ac:dyDescent="0.25">
      <c r="B13" t="s">
        <v>220</v>
      </c>
      <c r="C13" t="s">
        <v>45</v>
      </c>
      <c r="D13" s="3">
        <v>439243.92</v>
      </c>
      <c r="E13" s="3">
        <v>501839.03414634179</v>
      </c>
      <c r="F13" s="3">
        <v>378156.68571428506</v>
      </c>
      <c r="G13" s="3">
        <v>225396.8372093027</v>
      </c>
      <c r="H13" s="3">
        <v>184706.59090909062</v>
      </c>
      <c r="I13" s="3">
        <v>228707.41304347847</v>
      </c>
      <c r="J13" s="3">
        <v>1095931.9148936199</v>
      </c>
      <c r="K13" s="3">
        <v>303478.08510638302</v>
      </c>
      <c r="L13" s="3">
        <v>10344.255319148901</v>
      </c>
      <c r="M13" s="3">
        <v>296121.6923076922</v>
      </c>
      <c r="N13" s="3">
        <v>184585.714285714</v>
      </c>
      <c r="O13" s="3">
        <v>400172.727272727</v>
      </c>
      <c r="P13" s="3">
        <v>47601.582352941208</v>
      </c>
      <c r="Q13" s="3">
        <v>269380.37368421041</v>
      </c>
      <c r="R13" s="3">
        <v>428633.53846153896</v>
      </c>
      <c r="S13" s="3"/>
      <c r="T13" s="3">
        <v>60594.171428571302</v>
      </c>
      <c r="U13" s="3">
        <v>233323.78378378402</v>
      </c>
      <c r="V13" s="3">
        <v>72058.064516129103</v>
      </c>
      <c r="W13" s="3">
        <v>128826.75</v>
      </c>
      <c r="X13" s="3">
        <v>251035.11627907</v>
      </c>
      <c r="Y13" s="3">
        <v>27355.090909090901</v>
      </c>
      <c r="Z13" s="3">
        <v>130759.024390244</v>
      </c>
      <c r="AA13" s="3">
        <v>1828.1739130434801</v>
      </c>
      <c r="AB13" s="3"/>
      <c r="AC13" s="3"/>
      <c r="AD13" s="3">
        <v>99279.999999999898</v>
      </c>
      <c r="AE13" s="3">
        <v>31944.799999999999</v>
      </c>
      <c r="AF13" s="3"/>
      <c r="AG13" s="3">
        <v>19229.2682926829</v>
      </c>
      <c r="AH13" s="3">
        <v>6050534.6082190899</v>
      </c>
    </row>
    <row r="14" spans="2:34" x14ac:dyDescent="0.25">
      <c r="B14" t="s">
        <v>220</v>
      </c>
      <c r="C14" t="s">
        <v>141</v>
      </c>
      <c r="D14" s="3">
        <v>439243.92</v>
      </c>
      <c r="E14" s="3">
        <v>501839.03414634179</v>
      </c>
      <c r="F14" s="3">
        <v>378156.68571428506</v>
      </c>
      <c r="G14" s="3">
        <v>225396.8372093027</v>
      </c>
      <c r="H14" s="3">
        <v>184706.59090909062</v>
      </c>
      <c r="I14" s="3">
        <v>228707.41304347847</v>
      </c>
      <c r="J14" s="3">
        <v>1095931.9148936199</v>
      </c>
      <c r="K14" s="3">
        <v>303478.08510638302</v>
      </c>
      <c r="L14" s="3">
        <v>10344.255319148901</v>
      </c>
      <c r="M14" s="3">
        <v>296121.6923076922</v>
      </c>
      <c r="N14" s="3">
        <v>184585.714285714</v>
      </c>
      <c r="O14" s="3">
        <v>400172.727272727</v>
      </c>
      <c r="P14" s="3">
        <v>68045.87647058825</v>
      </c>
      <c r="Q14" s="3">
        <v>269380.37368421041</v>
      </c>
      <c r="R14" s="3">
        <v>428633.53846153896</v>
      </c>
      <c r="S14" s="3">
        <v>126533.33333333299</v>
      </c>
      <c r="T14" s="3">
        <v>67502.057142857011</v>
      </c>
      <c r="U14" s="3">
        <v>233323.78378378402</v>
      </c>
      <c r="V14" s="3">
        <v>136486.4516129033</v>
      </c>
      <c r="W14" s="3">
        <v>128826.75</v>
      </c>
      <c r="X14" s="3">
        <v>251035.11627907</v>
      </c>
      <c r="Y14" s="3">
        <v>56163.545454545427</v>
      </c>
      <c r="Z14" s="3">
        <v>130759.024390244</v>
      </c>
      <c r="AA14" s="3">
        <v>1828.1739130434801</v>
      </c>
      <c r="AB14" s="3">
        <v>221502.8571428569</v>
      </c>
      <c r="AC14" s="3">
        <v>21103.6363636364</v>
      </c>
      <c r="AD14" s="3">
        <v>99279.999999999898</v>
      </c>
      <c r="AE14" s="3">
        <v>31944.799999999999</v>
      </c>
      <c r="AF14" s="3">
        <v>27594</v>
      </c>
      <c r="AG14" s="3">
        <v>19229.2682926829</v>
      </c>
      <c r="AH14" s="3">
        <v>6567857.45653308</v>
      </c>
    </row>
    <row r="15" spans="2:34" x14ac:dyDescent="0.25">
      <c r="B15" t="s">
        <v>220</v>
      </c>
      <c r="C15" t="s">
        <v>142</v>
      </c>
      <c r="D15" s="3">
        <v>439243.92</v>
      </c>
      <c r="E15" s="3">
        <v>501839.03414634179</v>
      </c>
      <c r="F15" s="3">
        <v>378156.68571428506</v>
      </c>
      <c r="G15" s="3">
        <v>225396.8372093027</v>
      </c>
      <c r="H15" s="3">
        <v>184706.59090909062</v>
      </c>
      <c r="I15" s="3">
        <v>228707.41304347847</v>
      </c>
      <c r="J15" s="3">
        <v>1095931.9148936199</v>
      </c>
      <c r="K15" s="3">
        <v>303478.08510638302</v>
      </c>
      <c r="L15" s="3">
        <v>10344.255319148901</v>
      </c>
      <c r="M15" s="3">
        <v>296121.6923076922</v>
      </c>
      <c r="N15" s="3">
        <v>184585.714285714</v>
      </c>
      <c r="O15" s="3">
        <v>400172.727272727</v>
      </c>
      <c r="P15" s="3">
        <v>68045.876470588235</v>
      </c>
      <c r="Q15" s="3">
        <v>269380.37368421041</v>
      </c>
      <c r="R15" s="3">
        <v>428633.53846153896</v>
      </c>
      <c r="S15" s="3">
        <v>126533.33333333299</v>
      </c>
      <c r="T15" s="3">
        <v>67502.057142857011</v>
      </c>
      <c r="U15" s="3">
        <v>233323.78378378402</v>
      </c>
      <c r="V15" s="3">
        <v>136486.4516129033</v>
      </c>
      <c r="W15" s="3">
        <v>128826.75</v>
      </c>
      <c r="X15" s="3">
        <v>251035.11627907</v>
      </c>
      <c r="Y15" s="3">
        <v>56163.545454545427</v>
      </c>
      <c r="Z15" s="3">
        <v>130759.024390244</v>
      </c>
      <c r="AA15" s="3">
        <v>1828.1739130434801</v>
      </c>
      <c r="AB15" s="3">
        <v>221502.8571428569</v>
      </c>
      <c r="AC15" s="3">
        <v>21103.6363636364</v>
      </c>
      <c r="AD15" s="3">
        <v>99279.999999999898</v>
      </c>
      <c r="AE15" s="3">
        <v>31944.799999999999</v>
      </c>
      <c r="AF15" s="3">
        <v>27594</v>
      </c>
      <c r="AG15" s="3">
        <v>19229.2682926829</v>
      </c>
      <c r="AH15" s="3">
        <v>6567857.45653308</v>
      </c>
    </row>
    <row r="16" spans="2:34" x14ac:dyDescent="0.25">
      <c r="B16" t="s">
        <v>220</v>
      </c>
      <c r="C16" t="s">
        <v>143</v>
      </c>
      <c r="D16" s="3">
        <v>439243.92</v>
      </c>
      <c r="E16" s="3">
        <v>501839.03414634179</v>
      </c>
      <c r="F16" s="3">
        <v>378156.68571428506</v>
      </c>
      <c r="G16" s="3">
        <v>225396.8372093027</v>
      </c>
      <c r="H16" s="3">
        <v>184706.59090909062</v>
      </c>
      <c r="I16" s="3">
        <v>228707.41304347847</v>
      </c>
      <c r="J16" s="3">
        <v>1095931.9148936199</v>
      </c>
      <c r="K16" s="3">
        <v>303478.08510638302</v>
      </c>
      <c r="L16" s="3">
        <v>10344.255319148901</v>
      </c>
      <c r="M16" s="3">
        <v>296121.6923076922</v>
      </c>
      <c r="N16" s="3">
        <v>184585.714285714</v>
      </c>
      <c r="O16" s="3">
        <v>400172.727272727</v>
      </c>
      <c r="P16" s="3">
        <v>68045.876470588235</v>
      </c>
      <c r="Q16" s="3">
        <v>269380.37368421041</v>
      </c>
      <c r="R16" s="3">
        <v>428633.53846153896</v>
      </c>
      <c r="S16" s="3">
        <v>126533.33333333299</v>
      </c>
      <c r="T16" s="3">
        <v>67502.057142857011</v>
      </c>
      <c r="U16" s="3">
        <v>233323.78378378402</v>
      </c>
      <c r="V16" s="3">
        <v>136486.4516129033</v>
      </c>
      <c r="W16" s="3">
        <v>128826.75</v>
      </c>
      <c r="X16" s="3">
        <v>251035.11627907</v>
      </c>
      <c r="Y16" s="3">
        <v>56163.545454545427</v>
      </c>
      <c r="Z16" s="3">
        <v>130759.024390244</v>
      </c>
      <c r="AA16" s="3">
        <v>1828.1739130434801</v>
      </c>
      <c r="AB16" s="3">
        <v>221502.8571428569</v>
      </c>
      <c r="AC16" s="3">
        <v>21103.6363636364</v>
      </c>
      <c r="AD16" s="3">
        <v>99279.999999999898</v>
      </c>
      <c r="AE16" s="3">
        <v>31944.799999999999</v>
      </c>
      <c r="AF16" s="3">
        <v>27594</v>
      </c>
      <c r="AG16" s="3">
        <v>19229.2682926829</v>
      </c>
      <c r="AH16" s="3">
        <v>6567857.45653308</v>
      </c>
    </row>
    <row r="17" spans="2:34" x14ac:dyDescent="0.25">
      <c r="B17" t="s">
        <v>220</v>
      </c>
      <c r="C17" t="s">
        <v>144</v>
      </c>
      <c r="D17" s="3">
        <v>439243.92</v>
      </c>
      <c r="E17" s="3">
        <v>501839.03414634179</v>
      </c>
      <c r="F17" s="3">
        <v>378156.68571428506</v>
      </c>
      <c r="G17" s="3">
        <v>225396.8372093027</v>
      </c>
      <c r="H17" s="3">
        <v>184706.59090909062</v>
      </c>
      <c r="I17" s="3">
        <v>228707.41304347847</v>
      </c>
      <c r="J17" s="3">
        <v>1095931.9148936199</v>
      </c>
      <c r="K17" s="3">
        <v>303478.08510638302</v>
      </c>
      <c r="L17" s="3">
        <v>10344.255319148901</v>
      </c>
      <c r="M17" s="3">
        <v>296121.6923076922</v>
      </c>
      <c r="N17" s="3">
        <v>184585.714285714</v>
      </c>
      <c r="O17" s="3">
        <v>400172.727272727</v>
      </c>
      <c r="P17" s="3">
        <v>68045.876470588235</v>
      </c>
      <c r="Q17" s="3">
        <v>269380.37368421041</v>
      </c>
      <c r="R17" s="3">
        <v>428633.53846153896</v>
      </c>
      <c r="S17" s="3">
        <v>126533.33333333299</v>
      </c>
      <c r="T17" s="3">
        <v>67502.057142857011</v>
      </c>
      <c r="U17" s="3">
        <v>233323.78378378402</v>
      </c>
      <c r="V17" s="3">
        <v>136486.4516129033</v>
      </c>
      <c r="W17" s="3">
        <v>128826.75</v>
      </c>
      <c r="X17" s="3">
        <v>251035.11627907</v>
      </c>
      <c r="Y17" s="3">
        <v>56163.545454545427</v>
      </c>
      <c r="Z17" s="3">
        <v>130759.024390244</v>
      </c>
      <c r="AA17" s="3">
        <v>1828.1739130434801</v>
      </c>
      <c r="AB17" s="3">
        <v>221502.8571428569</v>
      </c>
      <c r="AC17" s="3">
        <v>21103.6363636364</v>
      </c>
      <c r="AD17" s="3">
        <v>99279.999999999898</v>
      </c>
      <c r="AE17" s="3">
        <v>31944.799999999999</v>
      </c>
      <c r="AF17" s="3">
        <v>27594</v>
      </c>
      <c r="AG17" s="3">
        <v>19229.2682926829</v>
      </c>
      <c r="AH17" s="3">
        <v>6567857.45653308</v>
      </c>
    </row>
    <row r="18" spans="2:34" x14ac:dyDescent="0.25">
      <c r="B18" t="s">
        <v>220</v>
      </c>
      <c r="C18" t="s">
        <v>145</v>
      </c>
      <c r="D18" s="3">
        <v>439243.92</v>
      </c>
      <c r="E18" s="3">
        <v>501839.03414634179</v>
      </c>
      <c r="F18" s="3">
        <v>378156.68571428506</v>
      </c>
      <c r="G18" s="3">
        <v>225396.8372093027</v>
      </c>
      <c r="H18" s="3">
        <v>184706.59090909062</v>
      </c>
      <c r="I18" s="3">
        <v>228707.41304347847</v>
      </c>
      <c r="J18" s="3">
        <v>1095931.9148936199</v>
      </c>
      <c r="K18" s="3">
        <v>303478.08510638302</v>
      </c>
      <c r="L18" s="3">
        <v>10344.255319148901</v>
      </c>
      <c r="M18" s="3">
        <v>296121.6923076922</v>
      </c>
      <c r="N18" s="3">
        <v>184585.714285714</v>
      </c>
      <c r="O18" s="3">
        <v>400172.727272727</v>
      </c>
      <c r="P18" s="3">
        <v>68045.876470588235</v>
      </c>
      <c r="Q18" s="3">
        <v>269380.37368421041</v>
      </c>
      <c r="R18" s="3">
        <v>428633.53846153896</v>
      </c>
      <c r="S18" s="3">
        <v>126533.33333333299</v>
      </c>
      <c r="T18" s="3">
        <v>67502.057142857011</v>
      </c>
      <c r="U18" s="3">
        <v>233323.78378378402</v>
      </c>
      <c r="V18" s="3">
        <v>136486.4516129033</v>
      </c>
      <c r="W18" s="3">
        <v>128826.75</v>
      </c>
      <c r="X18" s="3">
        <v>251035.11627907</v>
      </c>
      <c r="Y18" s="3">
        <v>56163.545454545427</v>
      </c>
      <c r="Z18" s="3">
        <v>130759.024390244</v>
      </c>
      <c r="AA18" s="3">
        <v>1828.1739130434801</v>
      </c>
      <c r="AB18" s="3">
        <v>22995</v>
      </c>
      <c r="AC18" s="3">
        <v>21103.6363636364</v>
      </c>
      <c r="AD18" s="3">
        <v>99279.999999999898</v>
      </c>
      <c r="AE18" s="3">
        <v>31944.799999999999</v>
      </c>
      <c r="AF18" s="3">
        <v>27594</v>
      </c>
      <c r="AG18" s="3">
        <v>19229.2682926829</v>
      </c>
      <c r="AH18" s="3">
        <v>6369349.5993902227</v>
      </c>
    </row>
    <row r="19" spans="2:34" x14ac:dyDescent="0.25">
      <c r="B19" t="s">
        <v>220</v>
      </c>
      <c r="C19" t="s">
        <v>179</v>
      </c>
      <c r="D19" s="3">
        <v>439243.92</v>
      </c>
      <c r="E19" s="3">
        <v>501839.03414634179</v>
      </c>
      <c r="F19" s="3">
        <v>378156.68571428506</v>
      </c>
      <c r="G19" s="3">
        <v>225396.8372093027</v>
      </c>
      <c r="H19" s="3">
        <v>184706.59090909062</v>
      </c>
      <c r="I19" s="3">
        <v>228707.41304347847</v>
      </c>
      <c r="J19" s="3">
        <v>1095931.9148936199</v>
      </c>
      <c r="K19" s="3">
        <v>303478.08510638302</v>
      </c>
      <c r="L19" s="3">
        <v>10344.255319148901</v>
      </c>
      <c r="M19" s="3">
        <v>296121.6923076922</v>
      </c>
      <c r="N19" s="3">
        <v>184585.714285714</v>
      </c>
      <c r="O19" s="3">
        <v>400172.727272727</v>
      </c>
      <c r="P19" s="3">
        <v>68045.876470588235</v>
      </c>
      <c r="Q19" s="3">
        <v>269380.37368421041</v>
      </c>
      <c r="R19" s="3">
        <v>428633.53846153896</v>
      </c>
      <c r="S19" s="3"/>
      <c r="T19" s="3">
        <v>67502.057142857011</v>
      </c>
      <c r="U19" s="3">
        <v>233323.78378378402</v>
      </c>
      <c r="V19" s="3">
        <v>98338.064516129103</v>
      </c>
      <c r="W19" s="3">
        <v>128826.75</v>
      </c>
      <c r="X19" s="3">
        <v>251035.11627907</v>
      </c>
      <c r="Y19" s="3">
        <v>37707.818181818177</v>
      </c>
      <c r="Z19" s="3">
        <v>130759.024390244</v>
      </c>
      <c r="AA19" s="3">
        <v>1828.1739130434801</v>
      </c>
      <c r="AB19" s="3"/>
      <c r="AC19" s="3">
        <v>21103.6363636364</v>
      </c>
      <c r="AD19" s="3">
        <v>99279.999999999898</v>
      </c>
      <c r="AE19" s="3">
        <v>31944.799999999999</v>
      </c>
      <c r="AF19" s="3"/>
      <c r="AG19" s="3">
        <v>19229.2682926829</v>
      </c>
      <c r="AH19" s="3">
        <v>6135623.1516873874</v>
      </c>
    </row>
    <row r="20" spans="2:34" x14ac:dyDescent="0.25">
      <c r="B20" t="s">
        <v>220</v>
      </c>
      <c r="C20" t="s">
        <v>199</v>
      </c>
      <c r="D20" s="3">
        <v>439243.92</v>
      </c>
      <c r="E20" s="3">
        <v>501839.03414634179</v>
      </c>
      <c r="F20" s="3">
        <v>378156.68571428506</v>
      </c>
      <c r="G20" s="3">
        <v>225396.8372093027</v>
      </c>
      <c r="H20" s="3">
        <v>184706.59090909062</v>
      </c>
      <c r="I20" s="3">
        <v>228707.41304347847</v>
      </c>
      <c r="J20" s="3">
        <v>1095931.9148936199</v>
      </c>
      <c r="K20" s="3">
        <v>303478.08510638302</v>
      </c>
      <c r="L20" s="3">
        <v>10344.255319148901</v>
      </c>
      <c r="M20" s="3">
        <v>296121.6923076922</v>
      </c>
      <c r="N20" s="3">
        <v>184585.714285714</v>
      </c>
      <c r="O20" s="3">
        <v>400172.727272727</v>
      </c>
      <c r="P20" s="3">
        <v>68045.876470588235</v>
      </c>
      <c r="Q20" s="3">
        <v>269380.37368421041</v>
      </c>
      <c r="R20" s="3">
        <v>428633.53846153896</v>
      </c>
      <c r="S20" s="3"/>
      <c r="T20" s="3">
        <v>67502.057142857011</v>
      </c>
      <c r="U20" s="3">
        <v>233323.78378378402</v>
      </c>
      <c r="V20" s="3">
        <v>98338.064516129103</v>
      </c>
      <c r="W20" s="3">
        <v>128826.75</v>
      </c>
      <c r="X20" s="3">
        <v>251035.11627907</v>
      </c>
      <c r="Y20" s="3">
        <v>37707.818181818177</v>
      </c>
      <c r="Z20" s="3">
        <v>130759.024390244</v>
      </c>
      <c r="AA20" s="3">
        <v>1828.1739130434801</v>
      </c>
      <c r="AB20" s="3"/>
      <c r="AC20" s="3"/>
      <c r="AD20" s="3">
        <v>99279.999999999898</v>
      </c>
      <c r="AE20" s="3">
        <v>31944.799999999999</v>
      </c>
      <c r="AF20" s="3"/>
      <c r="AG20" s="3">
        <v>19229.2682926829</v>
      </c>
      <c r="AH20" s="3">
        <v>6114519.5153237507</v>
      </c>
    </row>
    <row r="21" spans="2:34" x14ac:dyDescent="0.25">
      <c r="B21" t="s">
        <v>220</v>
      </c>
      <c r="C21" t="s">
        <v>200</v>
      </c>
      <c r="D21" s="3">
        <v>439243.92</v>
      </c>
      <c r="E21" s="3">
        <v>501839.03414634179</v>
      </c>
      <c r="F21" s="3">
        <v>378156.68571428506</v>
      </c>
      <c r="G21" s="3">
        <v>225396.8372093027</v>
      </c>
      <c r="H21" s="3">
        <v>184706.59090909062</v>
      </c>
      <c r="I21" s="3">
        <v>228707.41304347847</v>
      </c>
      <c r="J21" s="3">
        <v>1095931.9148936199</v>
      </c>
      <c r="K21" s="3">
        <v>303478.08510638302</v>
      </c>
      <c r="L21" s="3">
        <v>10344.255319148901</v>
      </c>
      <c r="M21" s="3">
        <v>296121.6923076922</v>
      </c>
      <c r="N21" s="3">
        <v>184585.714285714</v>
      </c>
      <c r="O21" s="3">
        <v>400172.727272727</v>
      </c>
      <c r="P21" s="3">
        <v>68045.876470588235</v>
      </c>
      <c r="Q21" s="3">
        <v>269380.37368421041</v>
      </c>
      <c r="R21" s="3">
        <v>428633.53846153896</v>
      </c>
      <c r="S21" s="3"/>
      <c r="T21" s="3">
        <v>67502.057142857011</v>
      </c>
      <c r="U21" s="3">
        <v>233323.78378378402</v>
      </c>
      <c r="V21" s="3">
        <v>98338.064516129103</v>
      </c>
      <c r="W21" s="3">
        <v>128826.75</v>
      </c>
      <c r="X21" s="3">
        <v>251035.11627907</v>
      </c>
      <c r="Y21" s="3">
        <v>37707.818181818177</v>
      </c>
      <c r="Z21" s="3">
        <v>130759.024390244</v>
      </c>
      <c r="AA21" s="3">
        <v>1828.1739130434801</v>
      </c>
      <c r="AB21" s="3"/>
      <c r="AC21" s="3"/>
      <c r="AD21" s="3">
        <v>99279.999999999898</v>
      </c>
      <c r="AE21" s="3">
        <v>31944.799999999999</v>
      </c>
      <c r="AF21" s="3"/>
      <c r="AG21" s="3">
        <v>19229.2682926829</v>
      </c>
      <c r="AH21" s="3">
        <v>6114519.5153237507</v>
      </c>
    </row>
    <row r="22" spans="2:34" x14ac:dyDescent="0.25">
      <c r="B22" t="s">
        <v>220</v>
      </c>
      <c r="C22" t="s">
        <v>201</v>
      </c>
      <c r="D22" s="3">
        <v>439243.92</v>
      </c>
      <c r="E22" s="3">
        <v>501839.03414634179</v>
      </c>
      <c r="F22" s="3">
        <v>378156.68571428506</v>
      </c>
      <c r="G22" s="3">
        <v>225396.8372093027</v>
      </c>
      <c r="H22" s="3">
        <v>184706.59090909062</v>
      </c>
      <c r="I22" s="3">
        <v>228707.41304347847</v>
      </c>
      <c r="J22" s="3">
        <v>1095931.9148936199</v>
      </c>
      <c r="K22" s="3">
        <v>303478.08510638302</v>
      </c>
      <c r="L22" s="3">
        <v>10344.255319148901</v>
      </c>
      <c r="M22" s="3">
        <v>296121.6923076922</v>
      </c>
      <c r="N22" s="3">
        <v>184585.714285714</v>
      </c>
      <c r="O22" s="3">
        <v>400172.727272727</v>
      </c>
      <c r="P22" s="3">
        <v>68045.876470588235</v>
      </c>
      <c r="Q22" s="3">
        <v>269380.37368421041</v>
      </c>
      <c r="R22" s="3">
        <v>428633.53846153896</v>
      </c>
      <c r="S22" s="3"/>
      <c r="T22" s="3">
        <v>67502.057142857011</v>
      </c>
      <c r="U22" s="3">
        <v>233323.78378378402</v>
      </c>
      <c r="V22" s="3">
        <v>98338.064516129103</v>
      </c>
      <c r="W22" s="3">
        <v>128826.75</v>
      </c>
      <c r="X22" s="3">
        <v>251035.11627907</v>
      </c>
      <c r="Y22" s="3">
        <v>37707.818181818177</v>
      </c>
      <c r="Z22" s="3">
        <v>130759.024390244</v>
      </c>
      <c r="AA22" s="3">
        <v>1828.1739130434801</v>
      </c>
      <c r="AB22" s="3">
        <v>22995</v>
      </c>
      <c r="AC22" s="3"/>
      <c r="AD22" s="3">
        <v>99279.999999999898</v>
      </c>
      <c r="AE22" s="3">
        <v>31944.799999999999</v>
      </c>
      <c r="AF22" s="3"/>
      <c r="AG22" s="3">
        <v>19229.2682926829</v>
      </c>
      <c r="AH22" s="3">
        <v>6137514.5153237507</v>
      </c>
    </row>
    <row r="23" spans="2:34" x14ac:dyDescent="0.25">
      <c r="B23" t="s">
        <v>220</v>
      </c>
      <c r="C23" t="s">
        <v>202</v>
      </c>
      <c r="D23" s="3">
        <v>439243.92</v>
      </c>
      <c r="E23" s="3">
        <v>501839.03414634179</v>
      </c>
      <c r="F23" s="3">
        <v>378156.68571428506</v>
      </c>
      <c r="G23" s="3">
        <v>225396.8372093027</v>
      </c>
      <c r="H23" s="3">
        <v>184706.59090909062</v>
      </c>
      <c r="I23" s="3">
        <v>228707.41304347847</v>
      </c>
      <c r="J23" s="3">
        <v>1095931.9148936199</v>
      </c>
      <c r="K23" s="3">
        <v>303478.08510638302</v>
      </c>
      <c r="L23" s="3">
        <v>10344.255319148901</v>
      </c>
      <c r="M23" s="3">
        <v>296121.6923076922</v>
      </c>
      <c r="N23" s="3">
        <v>184585.714285714</v>
      </c>
      <c r="O23" s="3">
        <v>400172.727272727</v>
      </c>
      <c r="P23" s="3">
        <v>68045.876470588235</v>
      </c>
      <c r="Q23" s="3">
        <v>269380.37368421041</v>
      </c>
      <c r="R23" s="3">
        <v>428633.53846153896</v>
      </c>
      <c r="S23" s="3"/>
      <c r="T23" s="3">
        <v>67502.057142857011</v>
      </c>
      <c r="U23" s="3">
        <v>233323.78378378402</v>
      </c>
      <c r="V23" s="3">
        <v>98338.064516129103</v>
      </c>
      <c r="W23" s="3">
        <v>128826.75</v>
      </c>
      <c r="X23" s="3">
        <v>251035.11627907</v>
      </c>
      <c r="Y23" s="3">
        <v>37707.818181818177</v>
      </c>
      <c r="Z23" s="3">
        <v>130759.024390244</v>
      </c>
      <c r="AA23" s="3">
        <v>1828.1739130434801</v>
      </c>
      <c r="AB23" s="3">
        <v>22995</v>
      </c>
      <c r="AC23" s="3"/>
      <c r="AD23" s="3">
        <v>99279.999999999898</v>
      </c>
      <c r="AE23" s="3">
        <v>31944.799999999999</v>
      </c>
      <c r="AF23" s="3"/>
      <c r="AG23" s="3">
        <v>19229.2682926829</v>
      </c>
      <c r="AH23" s="3">
        <v>6137514.5153237507</v>
      </c>
    </row>
    <row r="24" spans="2:34" x14ac:dyDescent="0.25">
      <c r="B24" t="s">
        <v>220</v>
      </c>
      <c r="C24" t="s">
        <v>203</v>
      </c>
      <c r="D24" s="3">
        <v>439243.92</v>
      </c>
      <c r="E24" s="3">
        <v>501839.03414634179</v>
      </c>
      <c r="F24" s="3">
        <v>378156.68571428506</v>
      </c>
      <c r="G24" s="3">
        <v>225396.8372093027</v>
      </c>
      <c r="H24" s="3">
        <v>184706.59090909062</v>
      </c>
      <c r="I24" s="3">
        <v>228707.41304347847</v>
      </c>
      <c r="J24" s="3">
        <v>1095931.9148936199</v>
      </c>
      <c r="K24" s="3">
        <v>303478.08510638302</v>
      </c>
      <c r="L24" s="3">
        <v>10344.255319148901</v>
      </c>
      <c r="M24" s="3">
        <v>296121.6923076922</v>
      </c>
      <c r="N24" s="3">
        <v>184585.714285714</v>
      </c>
      <c r="O24" s="3">
        <v>400172.727272727</v>
      </c>
      <c r="P24" s="3">
        <v>68045.876470588235</v>
      </c>
      <c r="Q24" s="3">
        <v>269380.37368421041</v>
      </c>
      <c r="R24" s="3">
        <v>428633.53846153896</v>
      </c>
      <c r="S24" s="3"/>
      <c r="T24" s="3">
        <v>67502.057142857011</v>
      </c>
      <c r="U24" s="3">
        <v>233323.78378378402</v>
      </c>
      <c r="V24" s="3">
        <v>98338.064516129103</v>
      </c>
      <c r="W24" s="3">
        <v>128826.75</v>
      </c>
      <c r="X24" s="3">
        <v>251035.11627907</v>
      </c>
      <c r="Y24" s="3">
        <v>37707.818181818177</v>
      </c>
      <c r="Z24" s="3">
        <v>130759.024390244</v>
      </c>
      <c r="AA24" s="3">
        <v>1828.1739130434801</v>
      </c>
      <c r="AB24" s="3">
        <v>22995</v>
      </c>
      <c r="AC24" s="3"/>
      <c r="AD24" s="3">
        <v>99279.999999999898</v>
      </c>
      <c r="AE24" s="3">
        <v>31944.799999999999</v>
      </c>
      <c r="AF24" s="3"/>
      <c r="AG24" s="3">
        <v>19229.2682926829</v>
      </c>
      <c r="AH24" s="3">
        <v>6137514.5153237507</v>
      </c>
    </row>
    <row r="25" spans="2:34" x14ac:dyDescent="0.25">
      <c r="B25" t="s">
        <v>220</v>
      </c>
      <c r="C25" t="s">
        <v>204</v>
      </c>
      <c r="D25" s="3">
        <v>439243.92</v>
      </c>
      <c r="E25" s="3">
        <v>501839.03414634179</v>
      </c>
      <c r="F25" s="3">
        <v>378156.68571428506</v>
      </c>
      <c r="G25" s="3">
        <v>225396.8372093027</v>
      </c>
      <c r="H25" s="3">
        <v>184706.59090909062</v>
      </c>
      <c r="I25" s="3">
        <v>228707.41304347847</v>
      </c>
      <c r="J25" s="3">
        <v>1095931.9148936199</v>
      </c>
      <c r="K25" s="3">
        <v>303478.08510638302</v>
      </c>
      <c r="L25" s="3">
        <v>10344.255319148901</v>
      </c>
      <c r="M25" s="3">
        <v>296121.6923076922</v>
      </c>
      <c r="N25" s="3">
        <v>184585.714285714</v>
      </c>
      <c r="O25" s="3">
        <v>400172.727272727</v>
      </c>
      <c r="P25" s="3">
        <v>68045.876470588235</v>
      </c>
      <c r="Q25" s="3">
        <v>269380.37368421041</v>
      </c>
      <c r="R25" s="3">
        <v>428633.53846153896</v>
      </c>
      <c r="S25" s="3"/>
      <c r="T25" s="3">
        <v>67502.057142857011</v>
      </c>
      <c r="U25" s="3">
        <v>233323.78378378402</v>
      </c>
      <c r="V25" s="3">
        <v>98338.064516129103</v>
      </c>
      <c r="W25" s="3">
        <v>128826.75</v>
      </c>
      <c r="X25" s="3">
        <v>251035.11627907</v>
      </c>
      <c r="Y25" s="3">
        <v>37707.818181818177</v>
      </c>
      <c r="Z25" s="3">
        <v>130759.024390244</v>
      </c>
      <c r="AA25" s="3">
        <v>1828.1739130434801</v>
      </c>
      <c r="AB25" s="3">
        <v>22995</v>
      </c>
      <c r="AC25" s="3"/>
      <c r="AD25" s="3">
        <v>99279.999999999898</v>
      </c>
      <c r="AE25" s="3">
        <v>31944.799999999999</v>
      </c>
      <c r="AF25" s="3"/>
      <c r="AG25" s="3">
        <v>19229.2682926829</v>
      </c>
      <c r="AH25" s="3">
        <v>6137514.5153237507</v>
      </c>
    </row>
    <row r="26" spans="2:34" x14ac:dyDescent="0.25">
      <c r="B26" t="s">
        <v>220</v>
      </c>
      <c r="C26" t="s">
        <v>205</v>
      </c>
      <c r="D26" s="3">
        <v>439243.92</v>
      </c>
      <c r="E26" s="3">
        <v>501839.03414634179</v>
      </c>
      <c r="F26" s="3">
        <v>378156.68571428506</v>
      </c>
      <c r="G26" s="3">
        <v>225396.8372093027</v>
      </c>
      <c r="H26" s="3">
        <v>184706.59090909062</v>
      </c>
      <c r="I26" s="3">
        <v>228707.41304347847</v>
      </c>
      <c r="J26" s="3">
        <v>1095931.9148936199</v>
      </c>
      <c r="K26" s="3">
        <v>303478.08510638302</v>
      </c>
      <c r="L26" s="3">
        <v>10344.255319148901</v>
      </c>
      <c r="M26" s="3">
        <v>296121.6923076922</v>
      </c>
      <c r="N26" s="3">
        <v>184585.714285714</v>
      </c>
      <c r="O26" s="3">
        <v>400172.727272727</v>
      </c>
      <c r="P26" s="3">
        <v>68045.876470588235</v>
      </c>
      <c r="Q26" s="3">
        <v>269380.37368421041</v>
      </c>
      <c r="R26" s="3">
        <v>428633.53846153896</v>
      </c>
      <c r="S26" s="3"/>
      <c r="T26" s="3">
        <v>67502.057142857011</v>
      </c>
      <c r="U26" s="3">
        <v>233323.78378378402</v>
      </c>
      <c r="V26" s="3">
        <v>98338.064516129103</v>
      </c>
      <c r="W26" s="3">
        <v>128826.75</v>
      </c>
      <c r="X26" s="3">
        <v>251035.11627907</v>
      </c>
      <c r="Y26" s="3">
        <v>37707.818181818177</v>
      </c>
      <c r="Z26" s="3">
        <v>130759.024390244</v>
      </c>
      <c r="AA26" s="3">
        <v>1828.1739130434801</v>
      </c>
      <c r="AB26" s="3">
        <v>22995</v>
      </c>
      <c r="AC26" s="3"/>
      <c r="AD26" s="3">
        <v>99279.999999999898</v>
      </c>
      <c r="AE26" s="3">
        <v>31944.799999999999</v>
      </c>
      <c r="AF26" s="3"/>
      <c r="AG26" s="3">
        <v>19229.2682926829</v>
      </c>
      <c r="AH26" s="3">
        <v>6137514.5153237507</v>
      </c>
    </row>
    <row r="27" spans="2:34" x14ac:dyDescent="0.25">
      <c r="B27" t="s">
        <v>220</v>
      </c>
      <c r="C27" t="s">
        <v>206</v>
      </c>
      <c r="D27" s="3">
        <v>439243.92</v>
      </c>
      <c r="E27" s="3">
        <v>501839.03414634179</v>
      </c>
      <c r="F27" s="3">
        <v>378156.68571428506</v>
      </c>
      <c r="G27" s="3">
        <v>225396.8372093027</v>
      </c>
      <c r="H27" s="3">
        <v>184706.59090909062</v>
      </c>
      <c r="I27" s="3">
        <v>228707.41304347847</v>
      </c>
      <c r="J27" s="3">
        <v>1095931.9148936199</v>
      </c>
      <c r="K27" s="3">
        <v>303478.08510638302</v>
      </c>
      <c r="L27" s="3">
        <v>10344.255319148901</v>
      </c>
      <c r="M27" s="3">
        <v>296121.6923076922</v>
      </c>
      <c r="N27" s="3">
        <v>184585.714285714</v>
      </c>
      <c r="O27" s="3">
        <v>400172.727272727</v>
      </c>
      <c r="P27" s="3">
        <v>47601.582352941208</v>
      </c>
      <c r="Q27" s="3">
        <v>269380.37368421041</v>
      </c>
      <c r="R27" s="3">
        <v>428633.53846153896</v>
      </c>
      <c r="S27" s="3"/>
      <c r="T27" s="3">
        <v>60594.171428571302</v>
      </c>
      <c r="U27" s="3">
        <v>19994.108108108099</v>
      </c>
      <c r="V27" s="3">
        <v>72058.064516129103</v>
      </c>
      <c r="W27" s="3">
        <v>27904.25</v>
      </c>
      <c r="X27" s="3">
        <v>251035.11627907</v>
      </c>
      <c r="Y27" s="3">
        <v>37707.818181818177</v>
      </c>
      <c r="Z27" s="3">
        <v>130759.024390244</v>
      </c>
      <c r="AA27" s="3">
        <v>1828.1739130434801</v>
      </c>
      <c r="AB27" s="3"/>
      <c r="AC27" s="3"/>
      <c r="AD27" s="3">
        <v>84679.999999999898</v>
      </c>
      <c r="AE27" s="3">
        <v>31944.799999999999</v>
      </c>
      <c r="AF27" s="3"/>
      <c r="AG27" s="3">
        <v>19229.2682926829</v>
      </c>
      <c r="AH27" s="3">
        <v>5732035.1598161412</v>
      </c>
    </row>
    <row r="28" spans="2:34" x14ac:dyDescent="0.25">
      <c r="B28" t="s">
        <v>220</v>
      </c>
      <c r="C28" t="s">
        <v>207</v>
      </c>
      <c r="D28" s="3">
        <v>439243.92</v>
      </c>
      <c r="E28" s="3">
        <v>501839.03414634179</v>
      </c>
      <c r="F28" s="3">
        <v>378156.68571428506</v>
      </c>
      <c r="G28" s="3">
        <v>225396.8372093027</v>
      </c>
      <c r="H28" s="3">
        <v>184706.59090909062</v>
      </c>
      <c r="I28" s="3">
        <v>228707.41304347847</v>
      </c>
      <c r="J28" s="3">
        <v>1095931.9148936199</v>
      </c>
      <c r="K28" s="3">
        <v>303478.08510638302</v>
      </c>
      <c r="L28" s="3">
        <v>10344.255319148901</v>
      </c>
      <c r="M28" s="3">
        <v>296121.6923076922</v>
      </c>
      <c r="N28" s="3">
        <v>184585.714285714</v>
      </c>
      <c r="O28" s="3">
        <v>400172.727272727</v>
      </c>
      <c r="P28" s="3">
        <v>47601.582352941208</v>
      </c>
      <c r="Q28" s="3">
        <v>226640.79473684201</v>
      </c>
      <c r="R28" s="3">
        <v>428633.53846153896</v>
      </c>
      <c r="S28" s="3"/>
      <c r="T28" s="3">
        <v>60594.171428571302</v>
      </c>
      <c r="U28" s="3">
        <v>19994.108108108099</v>
      </c>
      <c r="V28" s="3">
        <v>72058.064516129103</v>
      </c>
      <c r="W28" s="3">
        <v>27904.25</v>
      </c>
      <c r="X28" s="3">
        <v>251035.11627907</v>
      </c>
      <c r="Y28" s="3">
        <v>27355.090909090901</v>
      </c>
      <c r="Z28" s="3">
        <v>130759.024390244</v>
      </c>
      <c r="AA28" s="3">
        <v>1828.1739130434801</v>
      </c>
      <c r="AB28" s="3"/>
      <c r="AC28" s="3"/>
      <c r="AD28" s="3">
        <v>84679.999999999898</v>
      </c>
      <c r="AE28" s="3">
        <v>31944.799999999999</v>
      </c>
      <c r="AF28" s="3"/>
      <c r="AG28" s="3">
        <v>19229.2682926829</v>
      </c>
      <c r="AH28" s="3">
        <v>5678942.8535960447</v>
      </c>
    </row>
    <row r="29" spans="2:34" x14ac:dyDescent="0.25">
      <c r="B29" t="s">
        <v>220</v>
      </c>
      <c r="C29" t="s">
        <v>208</v>
      </c>
      <c r="D29" s="3">
        <v>439243.92</v>
      </c>
      <c r="E29" s="3">
        <v>501839.03414634179</v>
      </c>
      <c r="F29" s="3">
        <v>378156.68571428506</v>
      </c>
      <c r="G29" s="3">
        <v>225396.8372093027</v>
      </c>
      <c r="H29" s="3">
        <v>184706.59090909062</v>
      </c>
      <c r="I29" s="3">
        <v>228707.41304347847</v>
      </c>
      <c r="J29" s="3">
        <v>1095931.9148936199</v>
      </c>
      <c r="K29" s="3">
        <v>303478.08510638302</v>
      </c>
      <c r="L29" s="3">
        <v>10344.255319148901</v>
      </c>
      <c r="M29" s="3">
        <v>296121.6923076922</v>
      </c>
      <c r="N29" s="3">
        <v>184585.714285714</v>
      </c>
      <c r="O29" s="3">
        <v>400172.727272727</v>
      </c>
      <c r="P29" s="3">
        <v>23176.64117647061</v>
      </c>
      <c r="Q29" s="3">
        <v>64845.900000000038</v>
      </c>
      <c r="R29" s="3">
        <v>201176.76923076939</v>
      </c>
      <c r="S29" s="3"/>
      <c r="T29" s="3">
        <v>29733.9428571428</v>
      </c>
      <c r="U29" s="3">
        <v>19994.108108108099</v>
      </c>
      <c r="V29" s="3">
        <v>72058.064516129103</v>
      </c>
      <c r="W29" s="3">
        <v>27904.25</v>
      </c>
      <c r="X29" s="3">
        <v>251035.11627907</v>
      </c>
      <c r="Y29" s="3">
        <v>27355.090909090901</v>
      </c>
      <c r="Z29" s="3">
        <v>130759.024390244</v>
      </c>
      <c r="AA29" s="3">
        <v>1828.1739130434801</v>
      </c>
      <c r="AB29" s="3"/>
      <c r="AC29" s="3"/>
      <c r="AD29" s="3">
        <v>84679.999999999898</v>
      </c>
      <c r="AE29" s="3">
        <v>31944.799999999999</v>
      </c>
      <c r="AF29" s="3"/>
      <c r="AG29" s="3">
        <v>19229.2682926829</v>
      </c>
      <c r="AH29" s="3">
        <v>5234406.0198805341</v>
      </c>
    </row>
    <row r="30" spans="2:34" x14ac:dyDescent="0.25">
      <c r="B30" t="s">
        <v>220</v>
      </c>
      <c r="C30" t="s">
        <v>209</v>
      </c>
      <c r="D30" s="3">
        <v>439243.92</v>
      </c>
      <c r="E30" s="3">
        <v>501839.03414634179</v>
      </c>
      <c r="F30" s="3">
        <v>378156.68571428506</v>
      </c>
      <c r="G30" s="3">
        <v>225396.8372093027</v>
      </c>
      <c r="H30" s="3">
        <v>184706.59090909062</v>
      </c>
      <c r="I30" s="3">
        <v>228707.41304347847</v>
      </c>
      <c r="J30" s="3">
        <v>1095931.9148936199</v>
      </c>
      <c r="K30" s="3">
        <v>303478.08510638302</v>
      </c>
      <c r="L30" s="3">
        <v>10344.255319148901</v>
      </c>
      <c r="M30" s="3">
        <v>296121.6923076922</v>
      </c>
      <c r="N30" s="3">
        <v>184585.714285714</v>
      </c>
      <c r="O30" s="3">
        <v>400172.727272727</v>
      </c>
      <c r="P30" s="3">
        <v>23176.64117647061</v>
      </c>
      <c r="Q30" s="3">
        <v>64845.900000000038</v>
      </c>
      <c r="R30" s="3">
        <v>201176.76923076939</v>
      </c>
      <c r="S30" s="3"/>
      <c r="T30" s="3">
        <v>29733.9428571428</v>
      </c>
      <c r="U30" s="3">
        <v>19994.108108108099</v>
      </c>
      <c r="V30" s="3">
        <v>72058.064516129103</v>
      </c>
      <c r="W30" s="3">
        <v>27904.25</v>
      </c>
      <c r="X30" s="3">
        <v>251035.11627907</v>
      </c>
      <c r="Y30" s="3">
        <v>27355.090909090901</v>
      </c>
      <c r="Z30" s="3">
        <v>130759.024390244</v>
      </c>
      <c r="AA30" s="3">
        <v>1828.1739130434801</v>
      </c>
      <c r="AB30" s="3"/>
      <c r="AC30" s="3"/>
      <c r="AD30" s="3">
        <v>84679.999999999898</v>
      </c>
      <c r="AE30" s="3">
        <v>31944.799999999999</v>
      </c>
      <c r="AF30" s="3"/>
      <c r="AG30" s="3">
        <v>19229.2682926829</v>
      </c>
      <c r="AH30" s="3">
        <v>5234406.0198805341</v>
      </c>
    </row>
    <row r="31" spans="2:34" x14ac:dyDescent="0.25">
      <c r="B31" t="s">
        <v>220</v>
      </c>
      <c r="C31" t="s">
        <v>210</v>
      </c>
      <c r="D31" s="3">
        <v>193788.71999999997</v>
      </c>
      <c r="E31" s="3">
        <v>233515.19815463465</v>
      </c>
      <c r="F31" s="3">
        <v>378156.68571428506</v>
      </c>
      <c r="G31" s="3">
        <v>225396.8372093027</v>
      </c>
      <c r="H31" s="3">
        <v>184706.59090909062</v>
      </c>
      <c r="I31" s="3">
        <v>228707.41304347847</v>
      </c>
      <c r="J31" s="3">
        <v>1095931.9148936199</v>
      </c>
      <c r="K31" s="3">
        <v>303478.08510638302</v>
      </c>
      <c r="L31" s="3">
        <v>10344.255319148901</v>
      </c>
      <c r="M31" s="3">
        <v>296121.6923076922</v>
      </c>
      <c r="N31" s="3">
        <v>184585.714285714</v>
      </c>
      <c r="O31" s="3">
        <v>400172.727272727</v>
      </c>
      <c r="P31" s="3">
        <v>23176.64117647061</v>
      </c>
      <c r="Q31" s="3">
        <v>64845.900000000038</v>
      </c>
      <c r="R31" s="3">
        <v>201176.76923076939</v>
      </c>
      <c r="S31" s="3"/>
      <c r="T31" s="3">
        <v>29733.9428571428</v>
      </c>
      <c r="U31" s="3">
        <v>9979.2972972973002</v>
      </c>
      <c r="V31" s="3">
        <v>72058.064516129103</v>
      </c>
      <c r="W31" s="3">
        <v>15019.75</v>
      </c>
      <c r="X31" s="3">
        <v>251035.11627907</v>
      </c>
      <c r="Y31" s="3">
        <v>27355.090909090901</v>
      </c>
      <c r="Z31" s="3">
        <v>130759.024390244</v>
      </c>
      <c r="AA31" s="3">
        <v>1828.1739130434801</v>
      </c>
      <c r="AB31" s="3"/>
      <c r="AC31" s="3"/>
      <c r="AD31" s="3">
        <v>84679.999999999898</v>
      </c>
      <c r="AE31" s="3">
        <v>31944.799999999999</v>
      </c>
      <c r="AF31" s="3"/>
      <c r="AG31" s="3">
        <v>19229.2682926829</v>
      </c>
      <c r="AH31" s="3">
        <v>4697727.6730780173</v>
      </c>
    </row>
    <row r="32" spans="2:34" x14ac:dyDescent="0.25">
      <c r="B32" t="s">
        <v>0</v>
      </c>
      <c r="D32" s="3">
        <v>10296398.880000001</v>
      </c>
      <c r="E32" s="3">
        <v>11775812.983520497</v>
      </c>
      <c r="F32" s="3">
        <v>9075760.4571428392</v>
      </c>
      <c r="G32" s="3">
        <v>5409524.0930232676</v>
      </c>
      <c r="H32" s="3">
        <v>4432958.181818177</v>
      </c>
      <c r="I32" s="3">
        <v>5488977.9130434832</v>
      </c>
      <c r="J32" s="3">
        <v>26302365.957446877</v>
      </c>
      <c r="K32" s="3">
        <v>7283474.0425531929</v>
      </c>
      <c r="L32" s="3">
        <v>248262.12765957374</v>
      </c>
      <c r="M32" s="3">
        <v>7106920.6153846104</v>
      </c>
      <c r="N32" s="3">
        <v>4430057.1428571371</v>
      </c>
      <c r="O32" s="3">
        <v>9604145.4545454439</v>
      </c>
      <c r="P32" s="3">
        <v>1212814.2705882357</v>
      </c>
      <c r="Q32" s="3">
        <v>5717297.4834097577</v>
      </c>
      <c r="R32" s="3">
        <v>9604834.615384629</v>
      </c>
      <c r="S32" s="3">
        <v>632666.666666665</v>
      </c>
      <c r="T32" s="3">
        <v>1316778.1714285684</v>
      </c>
      <c r="U32" s="3">
        <v>3587362.0540540582</v>
      </c>
      <c r="V32" s="3">
        <v>2261775.4838709701</v>
      </c>
      <c r="W32" s="3">
        <v>2069732.5</v>
      </c>
      <c r="X32" s="3">
        <v>6024842.7906976808</v>
      </c>
      <c r="Y32" s="3">
        <v>893738.99999999953</v>
      </c>
      <c r="Z32" s="3">
        <v>3138216.5853658551</v>
      </c>
      <c r="AA32" s="3">
        <v>43876.173913043523</v>
      </c>
      <c r="AB32" s="3">
        <v>1023981.4285714276</v>
      </c>
      <c r="AC32" s="3">
        <v>126621.81818181839</v>
      </c>
      <c r="AD32" s="3">
        <v>2251319.9999999986</v>
      </c>
      <c r="AE32" s="3">
        <v>766675.20000000019</v>
      </c>
      <c r="AF32" s="3">
        <v>137970</v>
      </c>
      <c r="AG32" s="3">
        <v>461502.43902438937</v>
      </c>
      <c r="AH32" s="3">
        <v>142726664.53015229</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Z17"/>
  <sheetViews>
    <sheetView workbookViewId="0">
      <selection activeCell="J8" sqref="J8"/>
    </sheetView>
  </sheetViews>
  <sheetFormatPr defaultRowHeight="15" x14ac:dyDescent="0.25"/>
  <cols>
    <col min="2" max="2" width="17.7109375" bestFit="1" customWidth="1"/>
    <col min="3" max="3" width="16.28515625" bestFit="1" customWidth="1"/>
    <col min="4" max="6" width="12" bestFit="1" customWidth="1"/>
    <col min="7" max="7" width="12.5703125" bestFit="1" customWidth="1"/>
    <col min="8" max="8" width="13.5703125" bestFit="1" customWidth="1"/>
    <col min="9" max="13" width="12" bestFit="1" customWidth="1"/>
    <col min="14" max="14" width="12.28515625" bestFit="1" customWidth="1"/>
    <col min="15" max="16" width="12" bestFit="1" customWidth="1"/>
    <col min="17" max="17" width="16" bestFit="1" customWidth="1"/>
    <col min="18" max="18" width="12" bestFit="1" customWidth="1"/>
    <col min="19" max="19" width="14.7109375" bestFit="1" customWidth="1"/>
    <col min="20" max="20" width="12" bestFit="1" customWidth="1"/>
    <col min="21" max="21" width="14.140625" bestFit="1" customWidth="1"/>
    <col min="22" max="27" width="12" bestFit="1" customWidth="1"/>
    <col min="28" max="28" width="14.28515625" bestFit="1" customWidth="1"/>
    <col min="29" max="30" width="12" bestFit="1" customWidth="1"/>
    <col min="31" max="31" width="16" bestFit="1" customWidth="1"/>
    <col min="32" max="32" width="12" bestFit="1" customWidth="1"/>
  </cols>
  <sheetData>
    <row r="1" spans="2:26" x14ac:dyDescent="0.25">
      <c r="B1" s="1" t="s">
        <v>138</v>
      </c>
      <c r="C1" t="s">
        <v>186</v>
      </c>
    </row>
    <row r="2" spans="2:26" x14ac:dyDescent="0.25">
      <c r="B2" s="1" t="s">
        <v>185</v>
      </c>
      <c r="C2" t="s">
        <v>186</v>
      </c>
    </row>
    <row r="4" spans="2:26" x14ac:dyDescent="0.25">
      <c r="B4" s="1" t="s">
        <v>13</v>
      </c>
      <c r="C4" s="1" t="s">
        <v>38</v>
      </c>
    </row>
    <row r="5" spans="2:26" x14ac:dyDescent="0.25">
      <c r="B5" s="1" t="s">
        <v>39</v>
      </c>
      <c r="C5" t="s">
        <v>9</v>
      </c>
      <c r="D5" t="s">
        <v>169</v>
      </c>
      <c r="E5" t="s">
        <v>172</v>
      </c>
      <c r="F5" t="s">
        <v>173</v>
      </c>
      <c r="G5" t="s">
        <v>176</v>
      </c>
      <c r="H5" t="s">
        <v>175</v>
      </c>
      <c r="I5" t="s">
        <v>211</v>
      </c>
      <c r="J5" t="s">
        <v>10</v>
      </c>
      <c r="K5" t="s">
        <v>170</v>
      </c>
      <c r="L5" t="s">
        <v>123</v>
      </c>
      <c r="M5" t="s">
        <v>171</v>
      </c>
      <c r="N5" t="s">
        <v>174</v>
      </c>
      <c r="O5" t="s">
        <v>214</v>
      </c>
      <c r="P5" t="s">
        <v>212</v>
      </c>
      <c r="Q5" t="s">
        <v>177</v>
      </c>
      <c r="R5" t="s">
        <v>213</v>
      </c>
      <c r="S5" t="s">
        <v>221</v>
      </c>
      <c r="T5" t="s">
        <v>122</v>
      </c>
      <c r="U5" t="s">
        <v>260</v>
      </c>
      <c r="V5" t="s">
        <v>257</v>
      </c>
      <c r="W5" t="s">
        <v>380</v>
      </c>
      <c r="X5" t="s">
        <v>137</v>
      </c>
      <c r="Y5" t="s">
        <v>384</v>
      </c>
      <c r="Z5" t="s">
        <v>0</v>
      </c>
    </row>
    <row r="6" spans="2:26" x14ac:dyDescent="0.25">
      <c r="B6" s="2" t="s">
        <v>6</v>
      </c>
      <c r="C6" s="3">
        <v>0.86137220129927305</v>
      </c>
      <c r="D6" s="3"/>
      <c r="E6" s="3">
        <v>17.9143997560003</v>
      </c>
      <c r="F6" s="3">
        <v>39.646295702820062</v>
      </c>
      <c r="G6" s="3">
        <v>10.822201486823705</v>
      </c>
      <c r="H6" s="3">
        <v>0.15270792880400352</v>
      </c>
      <c r="I6" s="3">
        <v>2.3880493800130265</v>
      </c>
      <c r="J6" s="3">
        <v>3.3522130756080723E-2</v>
      </c>
      <c r="K6" s="3"/>
      <c r="L6" s="3"/>
      <c r="M6" s="3">
        <v>2.9432686551286871</v>
      </c>
      <c r="N6" s="3">
        <v>2.6342768284892641</v>
      </c>
      <c r="O6" s="3"/>
      <c r="P6" s="3"/>
      <c r="Q6" s="3"/>
      <c r="R6" s="3"/>
      <c r="S6" s="3"/>
      <c r="T6" s="3">
        <v>8.9958248760385925E-2</v>
      </c>
      <c r="U6" s="3">
        <v>9.9583314999999999</v>
      </c>
      <c r="V6" s="3"/>
      <c r="W6" s="3">
        <v>2.9363401456424678</v>
      </c>
      <c r="X6" s="3"/>
      <c r="Y6" s="3"/>
      <c r="Z6" s="3">
        <v>90.380723964537253</v>
      </c>
    </row>
    <row r="7" spans="2:26" x14ac:dyDescent="0.25">
      <c r="B7" s="2" t="s">
        <v>18</v>
      </c>
      <c r="C7" s="3">
        <v>45.458540943829099</v>
      </c>
      <c r="D7" s="3">
        <v>21.451388862785848</v>
      </c>
      <c r="E7" s="3">
        <v>115.62945736</v>
      </c>
      <c r="F7" s="3">
        <v>526.18289327037155</v>
      </c>
      <c r="G7" s="3">
        <v>23.524136105008253</v>
      </c>
      <c r="H7" s="3"/>
      <c r="I7" s="3">
        <v>0.39402480000000001</v>
      </c>
      <c r="J7" s="3">
        <v>43.223641610514896</v>
      </c>
      <c r="K7" s="3">
        <v>286.69090909090932</v>
      </c>
      <c r="L7" s="3"/>
      <c r="M7" s="3"/>
      <c r="N7" s="3"/>
      <c r="O7" s="3"/>
      <c r="P7" s="3"/>
      <c r="Q7" s="3"/>
      <c r="R7" s="3"/>
      <c r="S7" s="3"/>
      <c r="T7" s="3">
        <v>41.613991881338372</v>
      </c>
      <c r="U7" s="3"/>
      <c r="V7" s="3">
        <v>2.7406285714285699</v>
      </c>
      <c r="W7" s="3">
        <v>0.79250807074062801</v>
      </c>
      <c r="X7" s="3"/>
      <c r="Y7" s="3"/>
      <c r="Z7" s="3">
        <v>1107.7021205669264</v>
      </c>
    </row>
    <row r="8" spans="2:26" x14ac:dyDescent="0.25">
      <c r="B8" s="2" t="s">
        <v>7</v>
      </c>
      <c r="C8" s="3"/>
      <c r="D8" s="3"/>
      <c r="E8" s="3">
        <v>3.3228556000000005</v>
      </c>
      <c r="F8" s="3"/>
      <c r="G8" s="3">
        <v>2.9683603511832866</v>
      </c>
      <c r="H8" s="3">
        <v>0.65980407397455099</v>
      </c>
      <c r="I8" s="3">
        <v>0.18840353579019692</v>
      </c>
      <c r="J8" s="3">
        <v>137.49465082913997</v>
      </c>
      <c r="K8" s="3"/>
      <c r="L8" s="3"/>
      <c r="M8" s="3"/>
      <c r="N8" s="3"/>
      <c r="O8" s="3"/>
      <c r="P8" s="3">
        <v>2.0095087041475241</v>
      </c>
      <c r="Q8" s="3"/>
      <c r="R8" s="3"/>
      <c r="S8" s="3"/>
      <c r="T8" s="3"/>
      <c r="U8" s="3"/>
      <c r="V8" s="3"/>
      <c r="W8" s="3"/>
      <c r="X8" s="3"/>
      <c r="Y8" s="3"/>
      <c r="Z8" s="3">
        <v>146.64358309423554</v>
      </c>
    </row>
    <row r="9" spans="2:26" x14ac:dyDescent="0.25">
      <c r="B9" s="2" t="s">
        <v>8</v>
      </c>
      <c r="C9" s="3"/>
      <c r="D9" s="3"/>
      <c r="E9" s="3">
        <v>14.657852</v>
      </c>
      <c r="F9" s="3">
        <v>15.285105291727195</v>
      </c>
      <c r="G9" s="3">
        <v>20.615814421569926</v>
      </c>
      <c r="H9" s="3">
        <v>36.934132427406055</v>
      </c>
      <c r="I9" s="3">
        <v>3.4956169897093963</v>
      </c>
      <c r="J9" s="3">
        <v>68.097598734566006</v>
      </c>
      <c r="K9" s="3">
        <v>182.06996649289101</v>
      </c>
      <c r="L9" s="3">
        <v>27.04555300460494</v>
      </c>
      <c r="M9" s="3">
        <v>2.5764705882352901E-2</v>
      </c>
      <c r="N9" s="3">
        <v>1.4640667383075967</v>
      </c>
      <c r="O9" s="3"/>
      <c r="P9" s="3"/>
      <c r="Q9" s="3">
        <v>5.0144102898482723</v>
      </c>
      <c r="R9" s="3"/>
      <c r="S9" s="3"/>
      <c r="T9" s="3"/>
      <c r="U9" s="3">
        <v>2.5182089983014979</v>
      </c>
      <c r="V9" s="3"/>
      <c r="W9" s="3">
        <v>2.9363401456424718</v>
      </c>
      <c r="X9" s="3"/>
      <c r="Y9" s="3"/>
      <c r="Z9" s="3">
        <v>380.16043024045672</v>
      </c>
    </row>
    <row r="10" spans="2:26" x14ac:dyDescent="0.25">
      <c r="B10" s="2" t="s">
        <v>146</v>
      </c>
      <c r="C10" s="3">
        <v>0.83486304</v>
      </c>
      <c r="D10" s="3"/>
      <c r="E10" s="3">
        <v>7.7591800000000006</v>
      </c>
      <c r="F10" s="3">
        <v>449.121961332973</v>
      </c>
      <c r="G10" s="3">
        <v>14.9796</v>
      </c>
      <c r="H10" s="3"/>
      <c r="I10" s="3"/>
      <c r="J10" s="3">
        <v>0.15959999999999999</v>
      </c>
      <c r="K10" s="3">
        <v>13.670909090909101</v>
      </c>
      <c r="L10" s="3">
        <v>7.008</v>
      </c>
      <c r="M10" s="3"/>
      <c r="N10" s="3"/>
      <c r="O10" s="3"/>
      <c r="P10" s="3"/>
      <c r="Q10" s="3"/>
      <c r="R10" s="3"/>
      <c r="S10" s="3"/>
      <c r="T10" s="3"/>
      <c r="U10" s="3"/>
      <c r="V10" s="3"/>
      <c r="W10" s="3">
        <v>2.93634014564247</v>
      </c>
      <c r="X10" s="3"/>
      <c r="Y10" s="3"/>
      <c r="Z10" s="3">
        <v>496.47045360952455</v>
      </c>
    </row>
    <row r="11" spans="2:26" x14ac:dyDescent="0.25">
      <c r="B11" s="2" t="s">
        <v>178</v>
      </c>
      <c r="C11" s="3">
        <v>5.7649489919999999</v>
      </c>
      <c r="D11" s="3"/>
      <c r="E11" s="3">
        <v>40.909140000000001</v>
      </c>
      <c r="F11" s="3">
        <v>422.69010737096914</v>
      </c>
      <c r="G11" s="3">
        <v>17.651399999999999</v>
      </c>
      <c r="H11" s="3"/>
      <c r="I11" s="3"/>
      <c r="J11" s="3">
        <v>5.2952295997267704</v>
      </c>
      <c r="K11" s="3">
        <v>249.553818181818</v>
      </c>
      <c r="L11" s="3"/>
      <c r="M11" s="3"/>
      <c r="N11" s="3"/>
      <c r="O11" s="3"/>
      <c r="P11" s="3"/>
      <c r="Q11" s="3"/>
      <c r="R11" s="3"/>
      <c r="S11" s="3"/>
      <c r="T11" s="3">
        <v>3.5558711105823901</v>
      </c>
      <c r="U11" s="3"/>
      <c r="V11" s="3"/>
      <c r="W11" s="3">
        <v>2.93634014564247</v>
      </c>
      <c r="X11" s="3"/>
      <c r="Y11" s="3"/>
      <c r="Z11" s="3">
        <v>748.35685540073882</v>
      </c>
    </row>
    <row r="12" spans="2:26" x14ac:dyDescent="0.25">
      <c r="B12" s="2" t="s">
        <v>16</v>
      </c>
      <c r="C12" s="3"/>
      <c r="D12" s="3"/>
      <c r="E12" s="3">
        <v>0.78061100000000005</v>
      </c>
      <c r="F12" s="3">
        <v>3.2140223855403312</v>
      </c>
      <c r="G12" s="3">
        <v>0.49640000000000001</v>
      </c>
      <c r="H12" s="3">
        <v>1.279638530287984</v>
      </c>
      <c r="I12" s="3"/>
      <c r="J12" s="3">
        <v>0.03</v>
      </c>
      <c r="K12" s="3"/>
      <c r="L12" s="3">
        <v>3.1068557778037915</v>
      </c>
      <c r="M12" s="3"/>
      <c r="N12" s="3"/>
      <c r="O12" s="3"/>
      <c r="P12" s="3"/>
      <c r="Q12" s="3"/>
      <c r="R12" s="3">
        <v>2.3400691169072818</v>
      </c>
      <c r="S12" s="3"/>
      <c r="T12" s="3"/>
      <c r="U12" s="3"/>
      <c r="V12" s="3">
        <v>9.5749746688993595E-2</v>
      </c>
      <c r="W12" s="3"/>
      <c r="X12" s="3">
        <v>1.3507487321809699</v>
      </c>
      <c r="Y12" s="3"/>
      <c r="Z12" s="3">
        <v>12.694095289409351</v>
      </c>
    </row>
    <row r="13" spans="2:26" x14ac:dyDescent="0.25">
      <c r="B13" s="2" t="s">
        <v>19</v>
      </c>
      <c r="C13" s="3"/>
      <c r="D13" s="3"/>
      <c r="E13" s="3">
        <v>0.11622</v>
      </c>
      <c r="F13" s="3">
        <v>19.295384809569082</v>
      </c>
      <c r="G13" s="3"/>
      <c r="H13" s="3"/>
      <c r="I13" s="3"/>
      <c r="J13" s="3">
        <v>4.0200000000000001E-4</v>
      </c>
      <c r="K13" s="3"/>
      <c r="L13" s="3">
        <v>1.5561882352941201</v>
      </c>
      <c r="M13" s="3"/>
      <c r="N13" s="3"/>
      <c r="O13" s="3"/>
      <c r="P13" s="3"/>
      <c r="Q13" s="3"/>
      <c r="R13" s="3"/>
      <c r="S13" s="3"/>
      <c r="T13" s="3"/>
      <c r="U13" s="3"/>
      <c r="V13" s="3"/>
      <c r="W13" s="3"/>
      <c r="X13" s="3"/>
      <c r="Y13" s="3"/>
      <c r="Z13" s="3">
        <v>20.968195044863201</v>
      </c>
    </row>
    <row r="14" spans="2:26" x14ac:dyDescent="0.25">
      <c r="B14" s="2" t="s">
        <v>20</v>
      </c>
      <c r="C14" s="3">
        <v>8.7830410424068805E-2</v>
      </c>
      <c r="D14" s="3"/>
      <c r="E14" s="3">
        <v>0.98593299999999995</v>
      </c>
      <c r="F14" s="3">
        <v>34.64493445567296</v>
      </c>
      <c r="G14" s="3">
        <v>3.5734832294230698</v>
      </c>
      <c r="H14" s="3">
        <v>0.35962105263157901</v>
      </c>
      <c r="I14" s="3"/>
      <c r="J14" s="3">
        <v>0.66023999999999994</v>
      </c>
      <c r="K14" s="3"/>
      <c r="L14" s="3">
        <v>0.20629533468559799</v>
      </c>
      <c r="M14" s="3"/>
      <c r="N14" s="3"/>
      <c r="O14" s="3">
        <v>0.747176470588235</v>
      </c>
      <c r="P14" s="3"/>
      <c r="Q14" s="3"/>
      <c r="R14" s="3"/>
      <c r="S14" s="3"/>
      <c r="T14" s="3"/>
      <c r="U14" s="3"/>
      <c r="V14" s="3"/>
      <c r="W14" s="3"/>
      <c r="X14" s="3"/>
      <c r="Y14" s="3"/>
      <c r="Z14" s="3">
        <v>41.265513953425518</v>
      </c>
    </row>
    <row r="15" spans="2:26" x14ac:dyDescent="0.25">
      <c r="B15" s="2" t="s">
        <v>21</v>
      </c>
      <c r="C15" s="3">
        <v>1.09788013030086E-3</v>
      </c>
      <c r="D15" s="3"/>
      <c r="E15" s="3">
        <v>6.9265800000000004</v>
      </c>
      <c r="F15" s="3">
        <v>15.437066666666668</v>
      </c>
      <c r="G15" s="3">
        <v>1.9856</v>
      </c>
      <c r="H15" s="3"/>
      <c r="I15" s="3"/>
      <c r="J15" s="3">
        <v>2.3264419944008958</v>
      </c>
      <c r="K15" s="3"/>
      <c r="L15" s="3">
        <v>22.970666666666698</v>
      </c>
      <c r="M15" s="3">
        <v>42.773200235519695</v>
      </c>
      <c r="N15" s="3"/>
      <c r="O15" s="3"/>
      <c r="P15" s="3"/>
      <c r="Q15" s="3"/>
      <c r="R15" s="3"/>
      <c r="S15" s="3"/>
      <c r="T15" s="3">
        <v>3.8689346923167802</v>
      </c>
      <c r="U15" s="3"/>
      <c r="V15" s="3"/>
      <c r="W15" s="3">
        <v>2.9363401456424705</v>
      </c>
      <c r="X15" s="3"/>
      <c r="Y15" s="3"/>
      <c r="Z15" s="3">
        <v>99.225928281343514</v>
      </c>
    </row>
    <row r="16" spans="2:26" x14ac:dyDescent="0.25">
      <c r="B16" s="2" t="s">
        <v>17</v>
      </c>
      <c r="C16" s="3"/>
      <c r="D16" s="3"/>
      <c r="E16" s="3">
        <v>2.967977935</v>
      </c>
      <c r="F16" s="3">
        <v>53.355562543548537</v>
      </c>
      <c r="G16" s="3"/>
      <c r="H16" s="3">
        <v>8.8821075004951453</v>
      </c>
      <c r="I16" s="3">
        <v>1.9283832417582336</v>
      </c>
      <c r="J16" s="3">
        <v>17.166220842502941</v>
      </c>
      <c r="K16" s="3">
        <v>72.575688959999994</v>
      </c>
      <c r="L16" s="3">
        <v>58.818332037467158</v>
      </c>
      <c r="M16" s="3"/>
      <c r="N16" s="3">
        <v>14.282685500824192</v>
      </c>
      <c r="O16" s="3"/>
      <c r="P16" s="3"/>
      <c r="Q16" s="3"/>
      <c r="R16" s="3"/>
      <c r="S16" s="3">
        <v>1.4205189913921332</v>
      </c>
      <c r="T16" s="3">
        <v>4.1223529411764701E-2</v>
      </c>
      <c r="U16" s="3">
        <v>0.282762064815333</v>
      </c>
      <c r="V16" s="3"/>
      <c r="W16" s="3">
        <v>2.8839729224223198</v>
      </c>
      <c r="X16" s="3"/>
      <c r="Y16" s="3">
        <v>4.62984982862263E-2</v>
      </c>
      <c r="Z16" s="3">
        <v>234.65173456792394</v>
      </c>
    </row>
    <row r="17" spans="2:26" x14ac:dyDescent="0.25">
      <c r="B17" s="2" t="s">
        <v>0</v>
      </c>
      <c r="C17" s="3">
        <v>53.008653467682748</v>
      </c>
      <c r="D17" s="3">
        <v>21.451388862785848</v>
      </c>
      <c r="E17" s="3">
        <v>211.97020665100027</v>
      </c>
      <c r="F17" s="3">
        <v>1578.8733338298584</v>
      </c>
      <c r="G17" s="3">
        <v>96.616995594008245</v>
      </c>
      <c r="H17" s="3">
        <v>48.268011513599319</v>
      </c>
      <c r="I17" s="3">
        <v>8.3944779472708522</v>
      </c>
      <c r="J17" s="3">
        <v>274.48754774160756</v>
      </c>
      <c r="K17" s="3">
        <v>804.56129181652739</v>
      </c>
      <c r="L17" s="3">
        <v>120.71189105652232</v>
      </c>
      <c r="M17" s="3">
        <v>45.742233596530738</v>
      </c>
      <c r="N17" s="3">
        <v>18.381029067621053</v>
      </c>
      <c r="O17" s="3">
        <v>0.747176470588235</v>
      </c>
      <c r="P17" s="3">
        <v>2.0095087041475241</v>
      </c>
      <c r="Q17" s="3">
        <v>5.0144102898482723</v>
      </c>
      <c r="R17" s="3">
        <v>2.3400691169072818</v>
      </c>
      <c r="S17" s="3">
        <v>1.4205189913921332</v>
      </c>
      <c r="T17" s="3">
        <v>49.169979462409692</v>
      </c>
      <c r="U17" s="3">
        <v>12.759302563116831</v>
      </c>
      <c r="V17" s="3">
        <v>2.8363783181175632</v>
      </c>
      <c r="W17" s="3">
        <v>18.358181721375296</v>
      </c>
      <c r="X17" s="3">
        <v>1.3507487321809699</v>
      </c>
      <c r="Y17" s="3">
        <v>4.62984982862263E-2</v>
      </c>
      <c r="Z17" s="3">
        <v>3378.5196340133843</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H78"/>
  <sheetViews>
    <sheetView topLeftCell="B1" workbookViewId="0">
      <selection activeCell="D12" sqref="D12"/>
    </sheetView>
  </sheetViews>
  <sheetFormatPr defaultRowHeight="15" x14ac:dyDescent="0.25"/>
  <cols>
    <col min="2" max="2" width="36.28515625" bestFit="1" customWidth="1"/>
    <col min="3" max="3" width="20.5703125" bestFit="1" customWidth="1"/>
    <col min="4" max="4" width="11.85546875" bestFit="1" customWidth="1"/>
    <col min="5" max="5" width="27.28515625" bestFit="1" customWidth="1"/>
    <col min="6" max="6" width="19" bestFit="1" customWidth="1"/>
    <col min="7" max="7" width="19.28515625" bestFit="1" customWidth="1"/>
    <col min="8" max="8" width="18.85546875" bestFit="1" customWidth="1"/>
    <col min="9" max="10" width="19.28515625" customWidth="1"/>
    <col min="11" max="11" width="24.28515625" bestFit="1" customWidth="1"/>
    <col min="12" max="14" width="23.28515625" bestFit="1" customWidth="1"/>
    <col min="15" max="16" width="22.140625" bestFit="1" customWidth="1"/>
    <col min="17" max="19" width="23.7109375" bestFit="1" customWidth="1"/>
    <col min="20" max="20" width="23" bestFit="1" customWidth="1"/>
    <col min="21" max="23" width="21.7109375" bestFit="1" customWidth="1"/>
    <col min="24" max="26" width="23.28515625" bestFit="1" customWidth="1"/>
    <col min="27" max="28" width="22.140625" bestFit="1" customWidth="1"/>
    <col min="29" max="31" width="23.7109375" bestFit="1" customWidth="1"/>
    <col min="32" max="32" width="23" bestFit="1" customWidth="1"/>
    <col min="33" max="35" width="21.7109375" bestFit="1" customWidth="1"/>
    <col min="36" max="38" width="23.28515625" bestFit="1" customWidth="1"/>
    <col min="39" max="39" width="25.7109375" bestFit="1" customWidth="1"/>
    <col min="40" max="40" width="23.85546875" bestFit="1" customWidth="1"/>
    <col min="41" max="41" width="24.28515625" bestFit="1" customWidth="1"/>
    <col min="42" max="42" width="20.85546875" customWidth="1"/>
    <col min="43" max="43" width="20.5703125" customWidth="1"/>
    <col min="44" max="44" width="20.85546875" customWidth="1"/>
    <col min="45" max="45" width="20.5703125" bestFit="1" customWidth="1"/>
    <col min="46" max="46" width="20.85546875" customWidth="1"/>
    <col min="47" max="47" width="20.5703125" customWidth="1"/>
    <col min="48" max="48" width="20.85546875" customWidth="1"/>
    <col min="49" max="49" width="20.5703125" customWidth="1"/>
    <col min="50" max="50" width="20.85546875" customWidth="1"/>
    <col min="51" max="51" width="20.5703125" bestFit="1" customWidth="1"/>
    <col min="52" max="52" width="20.85546875" customWidth="1"/>
    <col min="53" max="53" width="20.5703125" customWidth="1"/>
    <col min="54" max="54" width="20.85546875" customWidth="1"/>
    <col min="55" max="55" width="20.5703125" customWidth="1"/>
    <col min="56" max="56" width="20.85546875" customWidth="1"/>
    <col min="57" max="57" width="20.5703125" customWidth="1"/>
    <col min="58" max="58" width="20.85546875" customWidth="1"/>
    <col min="59" max="59" width="20.5703125" customWidth="1"/>
    <col min="60" max="60" width="20.85546875" customWidth="1"/>
    <col min="61" max="61" width="20.5703125" customWidth="1"/>
    <col min="62" max="62" width="20.85546875" customWidth="1"/>
    <col min="63" max="63" width="20.5703125" customWidth="1"/>
    <col min="64" max="64" width="20.85546875" customWidth="1"/>
    <col min="65" max="65" width="20.5703125" customWidth="1"/>
    <col min="66" max="66" width="20.85546875" customWidth="1"/>
    <col min="67" max="67" width="20.5703125" customWidth="1"/>
    <col min="68" max="68" width="20.85546875" customWidth="1"/>
    <col min="69" max="69" width="20.5703125" bestFit="1" customWidth="1"/>
    <col min="70" max="70" width="20.85546875" customWidth="1"/>
    <col min="71" max="71" width="20.5703125" customWidth="1"/>
    <col min="72" max="72" width="20.85546875" customWidth="1"/>
    <col min="73" max="73" width="20.5703125" customWidth="1"/>
    <col min="74" max="74" width="20.85546875" customWidth="1"/>
    <col min="75" max="75" width="20.5703125" bestFit="1" customWidth="1"/>
    <col min="76" max="76" width="20.85546875" customWidth="1"/>
    <col min="77" max="77" width="20.5703125" customWidth="1"/>
    <col min="78" max="78" width="20.85546875" customWidth="1"/>
    <col min="79" max="79" width="20.5703125" customWidth="1"/>
    <col min="80" max="80" width="20.85546875" customWidth="1"/>
    <col min="81" max="81" width="20.5703125" bestFit="1" customWidth="1"/>
    <col min="82" max="82" width="20.85546875" customWidth="1"/>
    <col min="83" max="83" width="20.5703125" customWidth="1"/>
    <col min="84" max="84" width="20.85546875" customWidth="1"/>
    <col min="85" max="85" width="20.5703125" customWidth="1"/>
    <col min="86" max="86" width="20.85546875" customWidth="1"/>
    <col min="87" max="87" width="20.5703125" bestFit="1" customWidth="1"/>
    <col min="88" max="88" width="20.85546875" customWidth="1"/>
    <col min="89" max="89" width="20.5703125" customWidth="1"/>
    <col min="90" max="90" width="20.85546875" customWidth="1"/>
    <col min="91" max="91" width="20.5703125" customWidth="1"/>
    <col min="92" max="92" width="20.85546875" customWidth="1"/>
    <col min="93" max="93" width="20.5703125" bestFit="1" customWidth="1"/>
    <col min="94" max="94" width="20.85546875" customWidth="1"/>
    <col min="95" max="95" width="20.5703125" customWidth="1"/>
    <col min="96" max="96" width="20.85546875" customWidth="1"/>
    <col min="97" max="97" width="20.5703125" customWidth="1"/>
    <col min="98" max="98" width="20.85546875" customWidth="1"/>
    <col min="99" max="99" width="20.5703125" bestFit="1" customWidth="1"/>
    <col min="100" max="100" width="20.85546875" customWidth="1"/>
    <col min="101" max="101" width="20.5703125" customWidth="1"/>
    <col min="102" max="102" width="20.85546875" customWidth="1"/>
    <col min="103" max="103" width="20.5703125" customWidth="1"/>
    <col min="104" max="104" width="20.85546875" customWidth="1"/>
    <col min="105" max="105" width="20.5703125" bestFit="1" customWidth="1"/>
    <col min="106" max="106" width="20.85546875" customWidth="1"/>
    <col min="107" max="107" width="20.5703125" customWidth="1"/>
    <col min="108" max="108" width="20.85546875" customWidth="1"/>
    <col min="109" max="109" width="20.5703125" customWidth="1"/>
    <col min="110" max="110" width="20.85546875" customWidth="1"/>
    <col min="111" max="111" width="20.5703125" bestFit="1" customWidth="1"/>
    <col min="112" max="112" width="20.85546875" customWidth="1"/>
    <col min="113" max="113" width="20.5703125" customWidth="1"/>
    <col min="114" max="114" width="20.85546875" customWidth="1"/>
    <col min="115" max="115" width="20.5703125" customWidth="1"/>
    <col min="116" max="116" width="20.85546875" customWidth="1"/>
    <col min="117" max="117" width="20.5703125" bestFit="1" customWidth="1"/>
    <col min="118" max="118" width="20.85546875" customWidth="1"/>
    <col min="119" max="119" width="20.5703125" customWidth="1"/>
    <col min="120" max="120" width="20.85546875" customWidth="1"/>
    <col min="121" max="121" width="20.5703125" customWidth="1"/>
    <col min="122" max="122" width="20.85546875" customWidth="1"/>
    <col min="123" max="123" width="20.5703125" bestFit="1" customWidth="1"/>
    <col min="124" max="124" width="20.85546875" customWidth="1"/>
    <col min="125" max="125" width="20.5703125" customWidth="1"/>
    <col min="126" max="126" width="20.85546875" customWidth="1"/>
    <col min="127" max="127" width="20.5703125" customWidth="1"/>
    <col min="128" max="128" width="20.85546875" customWidth="1"/>
    <col min="129" max="129" width="20.5703125" bestFit="1" customWidth="1"/>
    <col min="130" max="130" width="20.85546875" customWidth="1"/>
    <col min="131" max="131" width="20.5703125" customWidth="1"/>
    <col min="132" max="132" width="20.85546875" customWidth="1"/>
    <col min="133" max="133" width="20.5703125" customWidth="1"/>
    <col min="134" max="134" width="20.85546875" customWidth="1"/>
    <col min="135" max="135" width="20.5703125" bestFit="1" customWidth="1"/>
    <col min="136" max="136" width="20.85546875" customWidth="1"/>
    <col min="137" max="137" width="20.5703125" customWidth="1"/>
    <col min="138" max="138" width="20.85546875" customWidth="1"/>
    <col min="139" max="139" width="20.5703125" customWidth="1"/>
    <col min="140" max="140" width="20.85546875" customWidth="1"/>
    <col min="141" max="141" width="20.5703125" bestFit="1" customWidth="1"/>
    <col min="142" max="142" width="20.85546875" customWidth="1"/>
    <col min="143" max="143" width="20.5703125" customWidth="1"/>
    <col min="144" max="144" width="20.85546875" customWidth="1"/>
    <col min="145" max="145" width="20.5703125" customWidth="1"/>
    <col min="146" max="146" width="20.85546875" customWidth="1"/>
    <col min="147" max="147" width="20.5703125" customWidth="1"/>
    <col min="148" max="148" width="20.85546875" customWidth="1"/>
    <col min="149" max="149" width="20.5703125" customWidth="1"/>
    <col min="150" max="150" width="20.85546875" customWidth="1"/>
    <col min="151" max="151" width="20.5703125" customWidth="1"/>
    <col min="152" max="152" width="20.85546875" customWidth="1"/>
    <col min="153" max="153" width="20.5703125" bestFit="1" customWidth="1"/>
    <col min="154" max="154" width="20.85546875" customWidth="1"/>
    <col min="155" max="155" width="20.5703125" customWidth="1"/>
    <col min="156" max="156" width="20.85546875" customWidth="1"/>
    <col min="157" max="157" width="20.5703125" customWidth="1"/>
    <col min="158" max="158" width="20.85546875" customWidth="1"/>
    <col min="159" max="159" width="20.5703125" bestFit="1" customWidth="1"/>
    <col min="160" max="160" width="20.85546875" customWidth="1"/>
    <col min="161" max="161" width="20.5703125" customWidth="1"/>
    <col min="162" max="162" width="20.85546875" customWidth="1"/>
    <col min="163" max="163" width="20.5703125" customWidth="1"/>
    <col min="164" max="164" width="20.85546875" customWidth="1"/>
    <col min="165" max="165" width="20.5703125" bestFit="1" customWidth="1"/>
    <col min="166" max="166" width="20.85546875" customWidth="1"/>
    <col min="167" max="167" width="20.5703125" customWidth="1"/>
    <col min="168" max="168" width="20.85546875" customWidth="1"/>
    <col min="169" max="169" width="20.5703125" customWidth="1"/>
    <col min="170" max="170" width="20.85546875" customWidth="1"/>
    <col min="171" max="171" width="20.5703125" bestFit="1" customWidth="1"/>
    <col min="172" max="172" width="20.85546875" customWidth="1"/>
    <col min="173" max="173" width="20.5703125" customWidth="1"/>
    <col min="174" max="174" width="20.85546875" customWidth="1"/>
    <col min="175" max="175" width="20.5703125" customWidth="1"/>
    <col min="176" max="176" width="20.85546875" customWidth="1"/>
    <col min="177" max="177" width="20.5703125" bestFit="1" customWidth="1"/>
    <col min="178" max="178" width="20.85546875" customWidth="1"/>
    <col min="179" max="179" width="20.5703125" customWidth="1"/>
    <col min="180" max="180" width="20.85546875" customWidth="1"/>
    <col min="181" max="181" width="20.5703125" customWidth="1"/>
    <col min="182" max="182" width="20.85546875" customWidth="1"/>
    <col min="183" max="183" width="20.5703125" bestFit="1" customWidth="1"/>
    <col min="184" max="184" width="20.85546875" customWidth="1"/>
    <col min="185" max="185" width="20.5703125" customWidth="1"/>
    <col min="186" max="186" width="20.85546875" customWidth="1"/>
    <col min="187" max="187" width="20.5703125" customWidth="1"/>
    <col min="188" max="188" width="20.85546875" customWidth="1"/>
    <col min="189" max="189" width="20.5703125" bestFit="1" customWidth="1"/>
    <col min="190" max="190" width="20.85546875" customWidth="1"/>
    <col min="191" max="191" width="20.5703125" customWidth="1"/>
    <col min="192" max="192" width="20.85546875" customWidth="1"/>
    <col min="193" max="193" width="20.5703125" customWidth="1"/>
    <col min="194" max="194" width="20.85546875" customWidth="1"/>
    <col min="195" max="195" width="20.5703125" bestFit="1" customWidth="1"/>
    <col min="196" max="196" width="20.85546875" customWidth="1"/>
    <col min="197" max="197" width="20.5703125" customWidth="1"/>
    <col min="198" max="198" width="20.85546875" customWidth="1"/>
    <col min="199" max="199" width="20.5703125" customWidth="1"/>
    <col min="200" max="200" width="20.85546875" customWidth="1"/>
    <col min="201" max="201" width="20.5703125" bestFit="1" customWidth="1"/>
    <col min="202" max="202" width="20.85546875" customWidth="1"/>
    <col min="203" max="203" width="20.5703125" customWidth="1"/>
    <col min="204" max="204" width="20.85546875" customWidth="1"/>
    <col min="205" max="205" width="20.5703125" customWidth="1"/>
    <col min="206" max="206" width="20.85546875" customWidth="1"/>
    <col min="207" max="207" width="20.5703125" bestFit="1" customWidth="1"/>
    <col min="208" max="208" width="20.85546875" customWidth="1"/>
    <col min="209" max="209" width="20.5703125" customWidth="1"/>
    <col min="210" max="210" width="20.85546875" customWidth="1"/>
    <col min="211" max="211" width="20.5703125" customWidth="1"/>
    <col min="212" max="212" width="20.85546875" customWidth="1"/>
    <col min="213" max="213" width="20.5703125" bestFit="1" customWidth="1"/>
    <col min="214" max="214" width="20.85546875" customWidth="1"/>
    <col min="215" max="215" width="20.5703125" customWidth="1"/>
    <col min="216" max="216" width="20.85546875" customWidth="1"/>
    <col min="217" max="217" width="20.5703125" customWidth="1"/>
    <col min="218" max="218" width="20.85546875" customWidth="1"/>
    <col min="219" max="219" width="20.5703125" bestFit="1" customWidth="1"/>
    <col min="220" max="220" width="20.85546875" customWidth="1"/>
    <col min="221" max="221" width="20.5703125" customWidth="1"/>
    <col min="222" max="222" width="20.85546875" customWidth="1"/>
    <col min="223" max="223" width="20.5703125" customWidth="1"/>
    <col min="224" max="224" width="20.85546875" customWidth="1"/>
    <col min="225" max="225" width="20.5703125" bestFit="1" customWidth="1"/>
    <col min="226" max="226" width="20.85546875" customWidth="1"/>
    <col min="227" max="227" width="20.5703125" customWidth="1"/>
    <col min="228" max="228" width="20.85546875" customWidth="1"/>
    <col min="229" max="229" width="20.5703125" customWidth="1"/>
    <col min="230" max="230" width="20.85546875" customWidth="1"/>
    <col min="231" max="231" width="20.5703125" bestFit="1" customWidth="1"/>
    <col min="232" max="232" width="20.85546875" customWidth="1"/>
    <col min="233" max="233" width="20.5703125" customWidth="1"/>
    <col min="234" max="234" width="20.85546875" customWidth="1"/>
    <col min="235" max="235" width="20.5703125" customWidth="1"/>
    <col min="236" max="236" width="20.85546875" customWidth="1"/>
    <col min="237" max="237" width="20.5703125" bestFit="1" customWidth="1"/>
    <col min="238" max="238" width="20.85546875" customWidth="1"/>
    <col min="239" max="239" width="20.5703125" customWidth="1"/>
    <col min="240" max="240" width="20.85546875" customWidth="1"/>
    <col min="241" max="241" width="20.5703125" customWidth="1"/>
    <col min="242" max="242" width="20.85546875" customWidth="1"/>
    <col min="243" max="243" width="20.5703125" bestFit="1" customWidth="1"/>
    <col min="244" max="244" width="20.85546875" customWidth="1"/>
    <col min="245" max="245" width="20.5703125" customWidth="1"/>
    <col min="246" max="246" width="20.85546875" customWidth="1"/>
    <col min="247" max="247" width="20.5703125" customWidth="1"/>
    <col min="248" max="248" width="20.85546875" customWidth="1"/>
    <col min="249" max="249" width="20.5703125" bestFit="1" customWidth="1"/>
    <col min="250" max="250" width="20.85546875" customWidth="1"/>
    <col min="251" max="251" width="20.5703125" customWidth="1"/>
    <col min="252" max="252" width="20.85546875" customWidth="1"/>
    <col min="253" max="253" width="20.5703125" customWidth="1"/>
    <col min="254" max="254" width="20.85546875" customWidth="1"/>
    <col min="255" max="255" width="20.5703125" bestFit="1" customWidth="1"/>
    <col min="256" max="256" width="20.85546875" customWidth="1"/>
    <col min="257" max="257" width="20.5703125" customWidth="1"/>
    <col min="258" max="258" width="20.85546875" customWidth="1"/>
    <col min="259" max="259" width="20.5703125" customWidth="1"/>
    <col min="260" max="260" width="20.85546875" customWidth="1"/>
    <col min="261" max="261" width="20.5703125" bestFit="1" customWidth="1"/>
    <col min="262" max="262" width="20.85546875" customWidth="1"/>
    <col min="263" max="263" width="20.5703125" customWidth="1"/>
    <col min="264" max="264" width="20.85546875" customWidth="1"/>
    <col min="265" max="265" width="20.5703125" customWidth="1"/>
    <col min="266" max="266" width="20.85546875" customWidth="1"/>
    <col min="267" max="267" width="20.5703125" bestFit="1" customWidth="1"/>
    <col min="268" max="268" width="20.85546875" customWidth="1"/>
    <col min="269" max="269" width="20.5703125" customWidth="1"/>
    <col min="270" max="270" width="20.85546875" customWidth="1"/>
    <col min="271" max="271" width="20.5703125" customWidth="1"/>
    <col min="272" max="272" width="20.85546875" customWidth="1"/>
    <col min="273" max="273" width="20.5703125" bestFit="1" customWidth="1"/>
    <col min="274" max="274" width="20.85546875" customWidth="1"/>
    <col min="275" max="275" width="20.5703125" customWidth="1"/>
    <col min="276" max="276" width="20.85546875" customWidth="1"/>
    <col min="277" max="277" width="20.5703125" customWidth="1"/>
    <col min="278" max="278" width="20.85546875" customWidth="1"/>
    <col min="279" max="279" width="20.5703125" bestFit="1" customWidth="1"/>
    <col min="280" max="280" width="20.85546875" customWidth="1"/>
    <col min="281" max="281" width="20.5703125" customWidth="1"/>
    <col min="282" max="282" width="20.85546875" customWidth="1"/>
    <col min="283" max="283" width="20.5703125" customWidth="1"/>
    <col min="284" max="284" width="20.85546875" customWidth="1"/>
    <col min="285" max="285" width="20.5703125" bestFit="1" customWidth="1"/>
    <col min="286" max="286" width="20.85546875" customWidth="1"/>
    <col min="287" max="287" width="20.5703125" customWidth="1"/>
    <col min="288" max="288" width="20.85546875" customWidth="1"/>
    <col min="289" max="289" width="20.5703125" customWidth="1"/>
    <col min="290" max="290" width="20.85546875" customWidth="1"/>
    <col min="291" max="291" width="20.5703125" bestFit="1" customWidth="1"/>
    <col min="292" max="292" width="20.85546875" customWidth="1"/>
    <col min="293" max="293" width="20.5703125" customWidth="1"/>
    <col min="294" max="294" width="20.85546875" customWidth="1"/>
    <col min="295" max="295" width="20.5703125" customWidth="1"/>
    <col min="296" max="296" width="20.85546875" customWidth="1"/>
    <col min="297" max="297" width="20.5703125" bestFit="1" customWidth="1"/>
    <col min="298" max="298" width="20.85546875" customWidth="1"/>
    <col min="299" max="299" width="20.5703125" customWidth="1"/>
    <col min="300" max="300" width="20.85546875" customWidth="1"/>
    <col min="301" max="301" width="20.5703125" customWidth="1"/>
    <col min="302" max="302" width="20.85546875" customWidth="1"/>
    <col min="303" max="303" width="20.5703125" bestFit="1" customWidth="1"/>
    <col min="304" max="304" width="20.85546875" customWidth="1"/>
    <col min="305" max="305" width="20.5703125" customWidth="1"/>
    <col min="306" max="306" width="20.85546875" customWidth="1"/>
    <col min="307" max="307" width="20.5703125" customWidth="1"/>
    <col min="308" max="308" width="20.85546875" customWidth="1"/>
    <col min="309" max="309" width="20.5703125" bestFit="1" customWidth="1"/>
    <col min="310" max="310" width="20.85546875" customWidth="1"/>
    <col min="311" max="311" width="20.5703125" customWidth="1"/>
    <col min="312" max="312" width="20.85546875" customWidth="1"/>
    <col min="313" max="313" width="20.5703125" customWidth="1"/>
    <col min="314" max="314" width="20.85546875" customWidth="1"/>
    <col min="315" max="315" width="20.5703125" bestFit="1" customWidth="1"/>
    <col min="316" max="316" width="20.85546875" customWidth="1"/>
    <col min="317" max="317" width="20.5703125" customWidth="1"/>
    <col min="318" max="318" width="20.85546875" customWidth="1"/>
    <col min="319" max="319" width="20.5703125" customWidth="1"/>
    <col min="320" max="320" width="20.85546875" customWidth="1"/>
    <col min="321" max="321" width="20.5703125" bestFit="1" customWidth="1"/>
    <col min="322" max="322" width="20.85546875" customWidth="1"/>
    <col min="323" max="323" width="20.5703125" customWidth="1"/>
    <col min="324" max="324" width="20.85546875" customWidth="1"/>
    <col min="325" max="325" width="20.5703125" customWidth="1"/>
    <col min="326" max="326" width="20.85546875" customWidth="1"/>
    <col min="327" max="327" width="20.5703125" bestFit="1" customWidth="1"/>
    <col min="328" max="328" width="20.85546875" customWidth="1"/>
    <col min="329" max="329" width="20.5703125" customWidth="1"/>
    <col min="330" max="330" width="20.85546875" customWidth="1"/>
    <col min="331" max="331" width="20.5703125" customWidth="1"/>
    <col min="332" max="332" width="20.85546875" customWidth="1"/>
    <col min="333" max="333" width="20.5703125" customWidth="1"/>
    <col min="334" max="334" width="20.85546875" customWidth="1"/>
    <col min="335" max="335" width="20.5703125" customWidth="1"/>
    <col min="336" max="336" width="20.85546875" customWidth="1"/>
    <col min="337" max="337" width="20.5703125" customWidth="1"/>
    <col min="338" max="338" width="20.85546875" customWidth="1"/>
    <col min="339" max="339" width="20.5703125" bestFit="1" customWidth="1"/>
    <col min="340" max="340" width="20.85546875" customWidth="1"/>
    <col min="341" max="341" width="20.5703125" customWidth="1"/>
    <col min="342" max="342" width="20.85546875" customWidth="1"/>
    <col min="343" max="343" width="20.5703125" customWidth="1"/>
    <col min="344" max="344" width="20.85546875" customWidth="1"/>
    <col min="345" max="345" width="20.5703125" bestFit="1" customWidth="1"/>
    <col min="346" max="346" width="20.85546875" customWidth="1"/>
    <col min="347" max="347" width="20.5703125" customWidth="1"/>
    <col min="348" max="348" width="20.85546875" customWidth="1"/>
    <col min="349" max="349" width="20.5703125" customWidth="1"/>
    <col min="350" max="350" width="20.85546875" customWidth="1"/>
    <col min="351" max="351" width="20.5703125" bestFit="1" customWidth="1"/>
    <col min="352" max="352" width="20.85546875" customWidth="1"/>
    <col min="353" max="353" width="20.5703125" customWidth="1"/>
    <col min="354" max="354" width="20.85546875" customWidth="1"/>
    <col min="355" max="355" width="20.5703125" customWidth="1"/>
    <col min="356" max="356" width="20.85546875" customWidth="1"/>
    <col min="357" max="357" width="20.5703125" bestFit="1" customWidth="1"/>
    <col min="358" max="358" width="20.85546875" customWidth="1"/>
    <col min="359" max="359" width="25.7109375" customWidth="1"/>
    <col min="360" max="360" width="26" customWidth="1"/>
    <col min="361" max="361" width="26" bestFit="1" customWidth="1"/>
    <col min="362" max="362" width="22.85546875" bestFit="1" customWidth="1"/>
    <col min="363" max="363" width="13.85546875" bestFit="1" customWidth="1"/>
    <col min="364" max="364" width="24.85546875" bestFit="1" customWidth="1"/>
    <col min="365" max="365" width="22.85546875" bestFit="1" customWidth="1"/>
    <col min="366" max="366" width="13.85546875" bestFit="1" customWidth="1"/>
    <col min="367" max="367" width="25.7109375" bestFit="1" customWidth="1"/>
    <col min="368" max="368" width="22.85546875" bestFit="1" customWidth="1"/>
    <col min="369" max="369" width="13.85546875" bestFit="1" customWidth="1"/>
    <col min="370" max="370" width="25.7109375" bestFit="1" customWidth="1"/>
    <col min="371" max="371" width="22.85546875" bestFit="1" customWidth="1"/>
    <col min="372" max="372" width="13.85546875" bestFit="1" customWidth="1"/>
    <col min="373" max="373" width="26" bestFit="1" customWidth="1"/>
    <col min="374" max="374" width="22.85546875" bestFit="1" customWidth="1"/>
    <col min="375" max="375" width="13.85546875" bestFit="1" customWidth="1"/>
    <col min="376" max="376" width="26" bestFit="1" customWidth="1"/>
    <col min="377" max="377" width="22.85546875" bestFit="1" customWidth="1"/>
    <col min="378" max="378" width="13.85546875" bestFit="1" customWidth="1"/>
    <col min="379" max="379" width="25.7109375" bestFit="1" customWidth="1"/>
    <col min="380" max="380" width="22.85546875" bestFit="1" customWidth="1"/>
    <col min="381" max="381" width="13.85546875" bestFit="1" customWidth="1"/>
    <col min="382" max="382" width="26" bestFit="1" customWidth="1"/>
    <col min="383" max="383" width="22.85546875" bestFit="1" customWidth="1"/>
    <col min="384" max="384" width="13.85546875" bestFit="1" customWidth="1"/>
    <col min="385" max="385" width="25.7109375" bestFit="1" customWidth="1"/>
    <col min="386" max="386" width="22.85546875" bestFit="1" customWidth="1"/>
    <col min="387" max="387" width="13.85546875" bestFit="1" customWidth="1"/>
    <col min="388" max="388" width="26" bestFit="1" customWidth="1"/>
    <col min="389" max="389" width="22.85546875" bestFit="1" customWidth="1"/>
    <col min="390" max="390" width="13.85546875" bestFit="1" customWidth="1"/>
    <col min="391" max="391" width="25.7109375" bestFit="1" customWidth="1"/>
    <col min="392" max="392" width="22.85546875" bestFit="1" customWidth="1"/>
    <col min="393" max="393" width="13.85546875" bestFit="1" customWidth="1"/>
    <col min="394" max="394" width="25.7109375" bestFit="1" customWidth="1"/>
    <col min="395" max="395" width="22.85546875" bestFit="1" customWidth="1"/>
    <col min="396" max="396" width="13.85546875" bestFit="1" customWidth="1"/>
    <col min="397" max="397" width="25.7109375" bestFit="1" customWidth="1"/>
    <col min="398" max="398" width="21.85546875" bestFit="1" customWidth="1"/>
    <col min="399" max="399" width="13.85546875" bestFit="1" customWidth="1"/>
    <col min="400" max="400" width="26" bestFit="1" customWidth="1"/>
    <col min="401" max="401" width="22.85546875" bestFit="1" customWidth="1"/>
    <col min="402" max="402" width="13.85546875" bestFit="1" customWidth="1"/>
    <col min="403" max="403" width="25.7109375" bestFit="1" customWidth="1"/>
    <col min="404" max="404" width="22.85546875" bestFit="1" customWidth="1"/>
    <col min="405" max="405" width="13.85546875" bestFit="1" customWidth="1"/>
    <col min="406" max="406" width="25.7109375" bestFit="1" customWidth="1"/>
    <col min="407" max="407" width="22.85546875" bestFit="1" customWidth="1"/>
    <col min="408" max="408" width="13.85546875" bestFit="1" customWidth="1"/>
    <col min="409" max="409" width="23.85546875" bestFit="1" customWidth="1"/>
    <col min="410" max="410" width="22.85546875" bestFit="1" customWidth="1"/>
    <col min="411" max="411" width="13.85546875" bestFit="1" customWidth="1"/>
    <col min="412" max="412" width="27" bestFit="1" customWidth="1"/>
    <col min="413" max="413" width="22.85546875" bestFit="1" customWidth="1"/>
    <col min="414" max="414" width="13.85546875" bestFit="1" customWidth="1"/>
    <col min="415" max="415" width="26" bestFit="1" customWidth="1"/>
    <col min="416" max="416" width="22.85546875" bestFit="1" customWidth="1"/>
    <col min="417" max="417" width="13.85546875" bestFit="1" customWidth="1"/>
    <col min="418" max="418" width="23.85546875" bestFit="1" customWidth="1"/>
    <col min="419" max="419" width="22.85546875" bestFit="1" customWidth="1"/>
    <col min="420" max="420" width="13.85546875" bestFit="1" customWidth="1"/>
    <col min="421" max="421" width="27" bestFit="1" customWidth="1"/>
    <col min="422" max="422" width="22.85546875" bestFit="1" customWidth="1"/>
    <col min="423" max="423" width="13.85546875" bestFit="1" customWidth="1"/>
    <col min="424" max="424" width="24.85546875" bestFit="1" customWidth="1"/>
    <col min="425" max="425" width="22.85546875" bestFit="1" customWidth="1"/>
    <col min="426" max="426" width="13.85546875" bestFit="1" customWidth="1"/>
    <col min="427" max="427" width="26" bestFit="1" customWidth="1"/>
    <col min="428" max="428" width="22.85546875" bestFit="1" customWidth="1"/>
    <col min="429" max="429" width="13.85546875" bestFit="1" customWidth="1"/>
    <col min="430" max="430" width="24.85546875" bestFit="1" customWidth="1"/>
    <col min="431" max="431" width="21.85546875" bestFit="1" customWidth="1"/>
    <col min="432" max="432" width="13.85546875" bestFit="1" customWidth="1"/>
    <col min="433" max="433" width="27" bestFit="1" customWidth="1"/>
    <col min="434" max="434" width="22.85546875" bestFit="1" customWidth="1"/>
    <col min="435" max="435" width="13.85546875" bestFit="1" customWidth="1"/>
    <col min="436" max="436" width="27" bestFit="1" customWidth="1"/>
    <col min="437" max="437" width="22.85546875" bestFit="1" customWidth="1"/>
    <col min="438" max="438" width="13.85546875" bestFit="1" customWidth="1"/>
    <col min="439" max="439" width="27" bestFit="1" customWidth="1"/>
    <col min="440" max="440" width="21.85546875" bestFit="1" customWidth="1"/>
    <col min="441" max="441" width="13.85546875" bestFit="1" customWidth="1"/>
    <col min="442" max="442" width="27" bestFit="1" customWidth="1"/>
    <col min="443" max="443" width="22.85546875" bestFit="1" customWidth="1"/>
    <col min="444" max="444" width="13.85546875" bestFit="1" customWidth="1"/>
    <col min="445" max="445" width="26" bestFit="1" customWidth="1"/>
    <col min="446" max="446" width="22.85546875" bestFit="1" customWidth="1"/>
    <col min="447" max="447" width="13.85546875" bestFit="1" customWidth="1"/>
    <col min="448" max="448" width="27" bestFit="1" customWidth="1"/>
    <col min="449" max="449" width="22.85546875" bestFit="1" customWidth="1"/>
    <col min="450" max="450" width="13.85546875" bestFit="1" customWidth="1"/>
    <col min="451" max="451" width="24.85546875" bestFit="1" customWidth="1"/>
    <col min="452" max="452" width="22.85546875" bestFit="1" customWidth="1"/>
    <col min="453" max="453" width="13.85546875" bestFit="1" customWidth="1"/>
    <col min="454" max="454" width="27" bestFit="1" customWidth="1"/>
    <col min="455" max="455" width="22.85546875" bestFit="1" customWidth="1"/>
    <col min="456" max="456" width="13.85546875" bestFit="1" customWidth="1"/>
    <col min="457" max="457" width="27" bestFit="1" customWidth="1"/>
    <col min="458" max="458" width="22.85546875" bestFit="1" customWidth="1"/>
    <col min="459" max="459" width="13.85546875" bestFit="1" customWidth="1"/>
    <col min="460" max="460" width="24.85546875" bestFit="1" customWidth="1"/>
    <col min="461" max="461" width="22.85546875" bestFit="1" customWidth="1"/>
    <col min="462" max="462" width="13.85546875" bestFit="1" customWidth="1"/>
    <col min="463" max="463" width="24.85546875" bestFit="1" customWidth="1"/>
    <col min="464" max="464" width="22.85546875" bestFit="1" customWidth="1"/>
    <col min="465" max="465" width="13.85546875" bestFit="1" customWidth="1"/>
    <col min="466" max="466" width="27" bestFit="1" customWidth="1"/>
    <col min="467" max="467" width="22.85546875" bestFit="1" customWidth="1"/>
    <col min="468" max="468" width="13.85546875" bestFit="1" customWidth="1"/>
    <col min="469" max="469" width="27" bestFit="1" customWidth="1"/>
    <col min="470" max="470" width="22.85546875" bestFit="1" customWidth="1"/>
    <col min="471" max="471" width="13.85546875" bestFit="1" customWidth="1"/>
    <col min="472" max="472" width="27" bestFit="1" customWidth="1"/>
    <col min="473" max="473" width="22.85546875" bestFit="1" customWidth="1"/>
    <col min="474" max="474" width="13.85546875" bestFit="1" customWidth="1"/>
    <col min="475" max="475" width="24.85546875" bestFit="1" customWidth="1"/>
    <col min="476" max="476" width="22.85546875" bestFit="1" customWidth="1"/>
    <col min="477" max="477" width="13.85546875" bestFit="1" customWidth="1"/>
    <col min="478" max="478" width="24.85546875" bestFit="1" customWidth="1"/>
    <col min="479" max="479" width="22.85546875" bestFit="1" customWidth="1"/>
    <col min="480" max="480" width="13.85546875" bestFit="1" customWidth="1"/>
    <col min="481" max="481" width="27" bestFit="1" customWidth="1"/>
    <col min="482" max="482" width="22.85546875" bestFit="1" customWidth="1"/>
    <col min="483" max="483" width="13.85546875" bestFit="1" customWidth="1"/>
    <col min="484" max="484" width="27" bestFit="1" customWidth="1"/>
    <col min="485" max="485" width="21.85546875" bestFit="1" customWidth="1"/>
    <col min="486" max="486" width="13.85546875" bestFit="1" customWidth="1"/>
    <col min="487" max="487" width="27" bestFit="1" customWidth="1"/>
    <col min="488" max="488" width="22.85546875" bestFit="1" customWidth="1"/>
    <col min="489" max="489" width="13.85546875" bestFit="1" customWidth="1"/>
    <col min="490" max="490" width="27" bestFit="1" customWidth="1"/>
    <col min="491" max="491" width="22.85546875" bestFit="1" customWidth="1"/>
    <col min="492" max="492" width="13.85546875" bestFit="1" customWidth="1"/>
    <col min="493" max="493" width="27" bestFit="1" customWidth="1"/>
    <col min="494" max="494" width="22.85546875" bestFit="1" customWidth="1"/>
    <col min="495" max="495" width="13.85546875" bestFit="1" customWidth="1"/>
    <col min="496" max="496" width="27" bestFit="1" customWidth="1"/>
    <col min="497" max="497" width="22.85546875" bestFit="1" customWidth="1"/>
    <col min="498" max="498" width="13.85546875" bestFit="1" customWidth="1"/>
    <col min="499" max="499" width="26" bestFit="1" customWidth="1"/>
    <col min="500" max="500" width="21.85546875" bestFit="1" customWidth="1"/>
    <col min="501" max="501" width="13.85546875" bestFit="1" customWidth="1"/>
    <col min="502" max="502" width="24.85546875" bestFit="1" customWidth="1"/>
    <col min="503" max="503" width="22.85546875" bestFit="1" customWidth="1"/>
    <col min="504" max="504" width="13.85546875" bestFit="1" customWidth="1"/>
    <col min="505" max="505" width="27" bestFit="1" customWidth="1"/>
    <col min="506" max="506" width="22.85546875" bestFit="1" customWidth="1"/>
    <col min="507" max="507" width="13.85546875" bestFit="1" customWidth="1"/>
    <col min="508" max="508" width="27" bestFit="1" customWidth="1"/>
    <col min="509" max="509" width="22.85546875" bestFit="1" customWidth="1"/>
    <col min="510" max="510" width="13.85546875" bestFit="1" customWidth="1"/>
    <col min="511" max="511" width="27" bestFit="1" customWidth="1"/>
    <col min="512" max="512" width="22.85546875" bestFit="1" customWidth="1"/>
    <col min="513" max="513" width="13.85546875" bestFit="1" customWidth="1"/>
    <col min="514" max="514" width="24.85546875" bestFit="1" customWidth="1"/>
    <col min="515" max="515" width="21.85546875" bestFit="1" customWidth="1"/>
    <col min="516" max="516" width="13.85546875" bestFit="1" customWidth="1"/>
    <col min="517" max="517" width="24.85546875" bestFit="1" customWidth="1"/>
    <col min="518" max="518" width="22.85546875" bestFit="1" customWidth="1"/>
    <col min="519" max="519" width="13.85546875" bestFit="1" customWidth="1"/>
    <col min="520" max="520" width="24.85546875" bestFit="1" customWidth="1"/>
    <col min="521" max="521" width="22.85546875" bestFit="1" customWidth="1"/>
    <col min="522" max="522" width="13.85546875" bestFit="1" customWidth="1"/>
    <col min="523" max="523" width="24.85546875" bestFit="1" customWidth="1"/>
    <col min="524" max="524" width="22.85546875" bestFit="1" customWidth="1"/>
    <col min="525" max="525" width="13.85546875" bestFit="1" customWidth="1"/>
    <col min="526" max="526" width="24.85546875" bestFit="1" customWidth="1"/>
    <col min="527" max="527" width="22.85546875" bestFit="1" customWidth="1"/>
    <col min="528" max="528" width="13.85546875" bestFit="1" customWidth="1"/>
    <col min="529" max="529" width="24.85546875" bestFit="1" customWidth="1"/>
    <col min="530" max="530" width="21.85546875" bestFit="1" customWidth="1"/>
    <col min="531" max="531" width="13.85546875" bestFit="1" customWidth="1"/>
    <col min="532" max="532" width="27" bestFit="1" customWidth="1"/>
    <col min="533" max="533" width="21.85546875" bestFit="1" customWidth="1"/>
    <col min="534" max="534" width="13.85546875" bestFit="1" customWidth="1"/>
    <col min="535" max="535" width="23.85546875" bestFit="1" customWidth="1"/>
    <col min="536" max="536" width="20.7109375" bestFit="1" customWidth="1"/>
    <col min="537" max="537" width="11.28515625" bestFit="1" customWidth="1"/>
  </cols>
  <sheetData>
    <row r="1" spans="2:8" x14ac:dyDescent="0.25">
      <c r="B1" s="1" t="s">
        <v>140</v>
      </c>
      <c r="C1" t="s">
        <v>166</v>
      </c>
    </row>
    <row r="3" spans="2:8" x14ac:dyDescent="0.25">
      <c r="B3" s="1" t="s">
        <v>138</v>
      </c>
      <c r="C3" s="1" t="s">
        <v>185</v>
      </c>
      <c r="D3" s="1" t="s">
        <v>11</v>
      </c>
      <c r="E3" s="1" t="s">
        <v>187</v>
      </c>
      <c r="F3" t="s">
        <v>274</v>
      </c>
      <c r="G3" t="s">
        <v>93</v>
      </c>
      <c r="H3" t="s">
        <v>92</v>
      </c>
    </row>
    <row r="4" spans="2:8" x14ac:dyDescent="0.25">
      <c r="B4" t="s">
        <v>186</v>
      </c>
      <c r="C4" t="s">
        <v>186</v>
      </c>
      <c r="D4" t="s">
        <v>6</v>
      </c>
      <c r="E4" t="s">
        <v>275</v>
      </c>
      <c r="F4" s="3">
        <v>167.790284324298</v>
      </c>
      <c r="G4" s="3">
        <v>5.3210449574301703E-3</v>
      </c>
      <c r="H4" s="3">
        <v>-121575.235187364</v>
      </c>
    </row>
    <row r="5" spans="2:8" x14ac:dyDescent="0.25">
      <c r="B5" t="s">
        <v>186</v>
      </c>
      <c r="C5" t="s">
        <v>186</v>
      </c>
      <c r="D5" t="s">
        <v>6</v>
      </c>
      <c r="E5" t="s">
        <v>276</v>
      </c>
      <c r="F5" s="3">
        <v>467.78152244653501</v>
      </c>
      <c r="G5" s="3">
        <v>1.4834509168494801E-2</v>
      </c>
      <c r="H5" s="3">
        <v>-338938.86548176798</v>
      </c>
    </row>
    <row r="6" spans="2:8" x14ac:dyDescent="0.25">
      <c r="B6" t="s">
        <v>186</v>
      </c>
      <c r="C6" t="s">
        <v>186</v>
      </c>
      <c r="D6" t="s">
        <v>6</v>
      </c>
      <c r="E6" t="s">
        <v>277</v>
      </c>
      <c r="F6" s="3">
        <v>325.00594065773902</v>
      </c>
      <c r="G6" s="3">
        <v>1.03067423041566E-2</v>
      </c>
      <c r="H6" s="3">
        <v>-235488.448165371</v>
      </c>
    </row>
    <row r="7" spans="2:8" x14ac:dyDescent="0.25">
      <c r="B7" t="s">
        <v>186</v>
      </c>
      <c r="C7" t="s">
        <v>186</v>
      </c>
      <c r="D7" t="s">
        <v>6</v>
      </c>
      <c r="E7" t="s">
        <v>278</v>
      </c>
      <c r="F7" s="3">
        <v>39.422252571428601</v>
      </c>
      <c r="G7" s="3">
        <v>1.2501771428571401E-3</v>
      </c>
      <c r="H7" s="3">
        <v>297.54216000000002</v>
      </c>
    </row>
    <row r="8" spans="2:8" x14ac:dyDescent="0.25">
      <c r="B8" t="s">
        <v>186</v>
      </c>
      <c r="C8" t="s">
        <v>186</v>
      </c>
      <c r="D8" t="s">
        <v>6</v>
      </c>
      <c r="E8" t="s">
        <v>279</v>
      </c>
      <c r="F8" s="3"/>
      <c r="G8" s="3">
        <v>6.9675199942669892E-3</v>
      </c>
      <c r="H8" s="3">
        <v>-26851.273720128447</v>
      </c>
    </row>
    <row r="9" spans="2:8" x14ac:dyDescent="0.25">
      <c r="B9" t="s">
        <v>186</v>
      </c>
      <c r="C9" t="s">
        <v>186</v>
      </c>
      <c r="D9" t="s">
        <v>6</v>
      </c>
      <c r="E9" t="s">
        <v>280</v>
      </c>
      <c r="F9" s="3"/>
      <c r="G9" s="3">
        <v>1.9972800000000001E-3</v>
      </c>
      <c r="H9" s="3">
        <v>-7697.0732800000096</v>
      </c>
    </row>
    <row r="10" spans="2:8" x14ac:dyDescent="0.25">
      <c r="B10" t="s">
        <v>186</v>
      </c>
      <c r="C10" t="s">
        <v>186</v>
      </c>
      <c r="D10" t="s">
        <v>6</v>
      </c>
      <c r="E10" t="s">
        <v>281</v>
      </c>
      <c r="F10" s="3"/>
      <c r="G10" s="3">
        <v>5.9752421052631597E-3</v>
      </c>
      <c r="H10" s="3">
        <v>-23027.255242105301</v>
      </c>
    </row>
    <row r="11" spans="2:8" x14ac:dyDescent="0.25">
      <c r="B11" t="s">
        <v>186</v>
      </c>
      <c r="C11" t="s">
        <v>186</v>
      </c>
      <c r="D11" t="s">
        <v>6</v>
      </c>
      <c r="E11" t="s">
        <v>282</v>
      </c>
      <c r="F11" s="3"/>
      <c r="G11" s="3">
        <v>2.1843883835682393E-2</v>
      </c>
      <c r="H11" s="3">
        <v>-84181.474106311885</v>
      </c>
    </row>
    <row r="12" spans="2:8" x14ac:dyDescent="0.25">
      <c r="B12" t="s">
        <v>186</v>
      </c>
      <c r="C12" t="s">
        <v>186</v>
      </c>
      <c r="D12" t="s">
        <v>6</v>
      </c>
      <c r="E12" t="s">
        <v>283</v>
      </c>
      <c r="F12" s="3"/>
      <c r="G12" s="3">
        <v>2.154386534820148E-2</v>
      </c>
      <c r="H12" s="3">
        <v>-83025.269526335745</v>
      </c>
    </row>
    <row r="13" spans="2:8" x14ac:dyDescent="0.25">
      <c r="B13" t="s">
        <v>186</v>
      </c>
      <c r="C13" t="s">
        <v>186</v>
      </c>
      <c r="D13" t="s">
        <v>6</v>
      </c>
      <c r="E13" t="s">
        <v>284</v>
      </c>
      <c r="F13" s="3"/>
      <c r="G13" s="3">
        <v>1.7426560000000042E-2</v>
      </c>
      <c r="H13" s="3">
        <v>-67158.0896711112</v>
      </c>
    </row>
    <row r="14" spans="2:8" x14ac:dyDescent="0.25">
      <c r="B14" t="s">
        <v>186</v>
      </c>
      <c r="C14" t="s">
        <v>186</v>
      </c>
      <c r="D14" t="s">
        <v>6</v>
      </c>
      <c r="E14" t="s">
        <v>285</v>
      </c>
      <c r="F14" s="3"/>
      <c r="G14" s="3">
        <v>1.2128142705882341E-3</v>
      </c>
      <c r="H14" s="3"/>
    </row>
    <row r="15" spans="2:8" x14ac:dyDescent="0.25">
      <c r="B15" t="s">
        <v>186</v>
      </c>
      <c r="C15" t="s">
        <v>186</v>
      </c>
      <c r="D15" t="s">
        <v>6</v>
      </c>
      <c r="E15" t="s">
        <v>286</v>
      </c>
      <c r="F15" s="3"/>
      <c r="G15" s="3">
        <v>5.7172974834097615E-3</v>
      </c>
      <c r="H15" s="3"/>
    </row>
    <row r="16" spans="2:8" x14ac:dyDescent="0.25">
      <c r="B16" t="s">
        <v>186</v>
      </c>
      <c r="C16" t="s">
        <v>186</v>
      </c>
      <c r="D16" t="s">
        <v>6</v>
      </c>
      <c r="E16" t="s">
        <v>287</v>
      </c>
      <c r="F16" s="3"/>
      <c r="G16" s="3">
        <v>9.6048346153846179E-3</v>
      </c>
      <c r="H16" s="3"/>
    </row>
    <row r="17" spans="2:8" x14ac:dyDescent="0.25">
      <c r="B17" t="s">
        <v>186</v>
      </c>
      <c r="C17" t="s">
        <v>186</v>
      </c>
      <c r="D17" t="s">
        <v>6</v>
      </c>
      <c r="E17" t="s">
        <v>263</v>
      </c>
      <c r="F17" s="3"/>
      <c r="G17" s="3">
        <v>1.0296398879999998E-2</v>
      </c>
      <c r="H17" s="3"/>
    </row>
    <row r="18" spans="2:8" x14ac:dyDescent="0.25">
      <c r="B18" t="s">
        <v>186</v>
      </c>
      <c r="C18" t="s">
        <v>186</v>
      </c>
      <c r="D18" t="s">
        <v>6</v>
      </c>
      <c r="E18" t="s">
        <v>264</v>
      </c>
      <c r="F18" s="3"/>
      <c r="G18" s="3">
        <v>1.1775812983520489E-2</v>
      </c>
      <c r="H18" s="3"/>
    </row>
    <row r="19" spans="2:8" x14ac:dyDescent="0.25">
      <c r="B19" t="s">
        <v>186</v>
      </c>
      <c r="C19" t="s">
        <v>186</v>
      </c>
      <c r="D19" t="s">
        <v>6</v>
      </c>
      <c r="E19" t="s">
        <v>265</v>
      </c>
      <c r="F19" s="3"/>
      <c r="G19" s="3">
        <v>9.0757604571428483E-3</v>
      </c>
      <c r="H19" s="3"/>
    </row>
    <row r="20" spans="2:8" x14ac:dyDescent="0.25">
      <c r="B20" t="s">
        <v>186</v>
      </c>
      <c r="C20" t="s">
        <v>186</v>
      </c>
      <c r="D20" t="s">
        <v>6</v>
      </c>
      <c r="E20" t="s">
        <v>266</v>
      </c>
      <c r="F20" s="3"/>
      <c r="G20" s="3">
        <v>5.4095240930232521E-3</v>
      </c>
      <c r="H20" s="3"/>
    </row>
    <row r="21" spans="2:8" x14ac:dyDescent="0.25">
      <c r="B21" t="s">
        <v>186</v>
      </c>
      <c r="C21" t="s">
        <v>186</v>
      </c>
      <c r="D21" t="s">
        <v>6</v>
      </c>
      <c r="E21" t="s">
        <v>267</v>
      </c>
      <c r="F21" s="3"/>
      <c r="G21" s="3">
        <v>4.432958181818188E-3</v>
      </c>
      <c r="H21" s="3"/>
    </row>
    <row r="22" spans="2:8" x14ac:dyDescent="0.25">
      <c r="B22" t="s">
        <v>186</v>
      </c>
      <c r="C22" t="s">
        <v>186</v>
      </c>
      <c r="D22" t="s">
        <v>6</v>
      </c>
      <c r="E22" t="s">
        <v>268</v>
      </c>
      <c r="F22" s="3"/>
      <c r="G22" s="3">
        <v>5.4889779130434732E-3</v>
      </c>
      <c r="H22" s="3"/>
    </row>
    <row r="23" spans="2:8" x14ac:dyDescent="0.25">
      <c r="B23" t="s">
        <v>186</v>
      </c>
      <c r="C23" t="s">
        <v>186</v>
      </c>
      <c r="D23" t="s">
        <v>6</v>
      </c>
      <c r="E23" t="s">
        <v>288</v>
      </c>
      <c r="F23" s="3"/>
      <c r="G23" s="3">
        <v>6.3266666666666701E-4</v>
      </c>
      <c r="H23" s="3"/>
    </row>
    <row r="24" spans="2:8" x14ac:dyDescent="0.25">
      <c r="B24" t="s">
        <v>186</v>
      </c>
      <c r="C24" t="s">
        <v>186</v>
      </c>
      <c r="D24" t="s">
        <v>6</v>
      </c>
      <c r="E24" t="s">
        <v>270</v>
      </c>
      <c r="F24" s="3"/>
      <c r="G24" s="3">
        <v>2.63023659574468E-2</v>
      </c>
      <c r="H24" s="3"/>
    </row>
    <row r="25" spans="2:8" x14ac:dyDescent="0.25">
      <c r="B25" t="s">
        <v>186</v>
      </c>
      <c r="C25" t="s">
        <v>186</v>
      </c>
      <c r="D25" t="s">
        <v>6</v>
      </c>
      <c r="E25" t="s">
        <v>289</v>
      </c>
      <c r="F25" s="3"/>
      <c r="G25" s="3">
        <v>1.6092976379678239E-2</v>
      </c>
      <c r="H25" s="3">
        <v>-9504.9141742474276</v>
      </c>
    </row>
    <row r="26" spans="2:8" x14ac:dyDescent="0.25">
      <c r="B26" t="s">
        <v>186</v>
      </c>
      <c r="C26" t="s">
        <v>186</v>
      </c>
      <c r="D26" t="s">
        <v>6</v>
      </c>
      <c r="E26" t="s">
        <v>290</v>
      </c>
      <c r="F26" s="3"/>
      <c r="G26" s="3"/>
      <c r="H26" s="3"/>
    </row>
    <row r="27" spans="2:8" x14ac:dyDescent="0.25">
      <c r="B27" t="s">
        <v>186</v>
      </c>
      <c r="C27" t="s">
        <v>186</v>
      </c>
      <c r="D27" t="s">
        <v>6</v>
      </c>
      <c r="E27" t="s">
        <v>291</v>
      </c>
      <c r="F27" s="3"/>
      <c r="G27" s="3"/>
      <c r="H27" s="3"/>
    </row>
    <row r="28" spans="2:8" x14ac:dyDescent="0.25">
      <c r="B28" t="s">
        <v>186</v>
      </c>
      <c r="C28" t="s">
        <v>186</v>
      </c>
      <c r="D28" t="s">
        <v>6</v>
      </c>
      <c r="E28" t="s">
        <v>292</v>
      </c>
      <c r="F28" s="3"/>
      <c r="G28" s="3">
        <v>8.1993599999999995E-4</v>
      </c>
      <c r="H28" s="3">
        <v>-3159.8511360000002</v>
      </c>
    </row>
    <row r="29" spans="2:8" x14ac:dyDescent="0.25">
      <c r="B29" t="s">
        <v>186</v>
      </c>
      <c r="C29" t="s">
        <v>186</v>
      </c>
      <c r="D29" t="s">
        <v>6</v>
      </c>
      <c r="E29" t="s">
        <v>293</v>
      </c>
      <c r="F29" s="3"/>
      <c r="G29" s="3">
        <v>1.78085647058824E-3</v>
      </c>
      <c r="H29" s="3">
        <v>-6863.0250917647099</v>
      </c>
    </row>
    <row r="30" spans="2:8" x14ac:dyDescent="0.25">
      <c r="B30" t="s">
        <v>186</v>
      </c>
      <c r="C30" t="s">
        <v>186</v>
      </c>
      <c r="D30" t="s">
        <v>6</v>
      </c>
      <c r="E30" t="s">
        <v>294</v>
      </c>
      <c r="F30" s="3"/>
      <c r="G30" s="3">
        <v>2.7059202000000001E-2</v>
      </c>
      <c r="H30" s="3">
        <v>-104280.151352</v>
      </c>
    </row>
    <row r="31" spans="2:8" x14ac:dyDescent="0.25">
      <c r="B31" t="s">
        <v>186</v>
      </c>
      <c r="C31" t="s">
        <v>186</v>
      </c>
      <c r="D31" t="s">
        <v>6</v>
      </c>
      <c r="E31" t="s">
        <v>295</v>
      </c>
      <c r="F31" s="3"/>
      <c r="G31" s="3">
        <v>1.62485485714286E-2</v>
      </c>
      <c r="H31" s="3">
        <v>-62618.295405714387</v>
      </c>
    </row>
    <row r="32" spans="2:8" x14ac:dyDescent="0.25">
      <c r="B32" t="s">
        <v>186</v>
      </c>
      <c r="C32" t="s">
        <v>186</v>
      </c>
      <c r="D32" t="s">
        <v>6</v>
      </c>
      <c r="E32" t="s">
        <v>296</v>
      </c>
      <c r="F32" s="3"/>
      <c r="G32" s="3">
        <v>3.39618461538462E-3</v>
      </c>
      <c r="H32" s="3">
        <v>-13088.140799999999</v>
      </c>
    </row>
    <row r="33" spans="2:8" x14ac:dyDescent="0.25">
      <c r="B33" t="s">
        <v>186</v>
      </c>
      <c r="C33" t="s">
        <v>186</v>
      </c>
      <c r="D33" t="s">
        <v>6</v>
      </c>
      <c r="E33" t="s">
        <v>297</v>
      </c>
      <c r="F33" s="3"/>
      <c r="G33" s="3">
        <v>1.3167781714285703E-3</v>
      </c>
      <c r="H33" s="3"/>
    </row>
    <row r="34" spans="2:8" x14ac:dyDescent="0.25">
      <c r="B34" t="s">
        <v>186</v>
      </c>
      <c r="C34" t="s">
        <v>186</v>
      </c>
      <c r="D34" t="s">
        <v>6</v>
      </c>
      <c r="E34" t="s">
        <v>298</v>
      </c>
      <c r="F34" s="3"/>
      <c r="G34" s="3">
        <v>3.5873620540540544E-3</v>
      </c>
      <c r="H34" s="3"/>
    </row>
    <row r="35" spans="2:8" x14ac:dyDescent="0.25">
      <c r="B35" t="s">
        <v>186</v>
      </c>
      <c r="C35" t="s">
        <v>186</v>
      </c>
      <c r="D35" t="s">
        <v>6</v>
      </c>
      <c r="E35" t="s">
        <v>299</v>
      </c>
      <c r="F35" s="3"/>
      <c r="G35" s="3">
        <v>2.2617754838709708E-3</v>
      </c>
      <c r="H35" s="3"/>
    </row>
    <row r="36" spans="2:8" x14ac:dyDescent="0.25">
      <c r="B36" t="s">
        <v>186</v>
      </c>
      <c r="C36" t="s">
        <v>186</v>
      </c>
      <c r="D36" t="s">
        <v>6</v>
      </c>
      <c r="E36" t="s">
        <v>300</v>
      </c>
      <c r="F36" s="3"/>
      <c r="G36" s="3">
        <v>3.4851741852093511E-3</v>
      </c>
      <c r="H36" s="3">
        <v>-2058.4310031392761</v>
      </c>
    </row>
    <row r="37" spans="2:8" x14ac:dyDescent="0.25">
      <c r="B37" t="s">
        <v>186</v>
      </c>
      <c r="C37" t="s">
        <v>186</v>
      </c>
      <c r="D37" t="s">
        <v>6</v>
      </c>
      <c r="E37" t="s">
        <v>301</v>
      </c>
      <c r="F37" s="3"/>
      <c r="G37" s="3">
        <v>1.0512000000000001E-2</v>
      </c>
      <c r="H37" s="3">
        <v>-6208.65</v>
      </c>
    </row>
    <row r="38" spans="2:8" x14ac:dyDescent="0.25">
      <c r="B38" t="s">
        <v>186</v>
      </c>
      <c r="C38" t="s">
        <v>186</v>
      </c>
      <c r="D38" t="s">
        <v>6</v>
      </c>
      <c r="E38" t="s">
        <v>302</v>
      </c>
      <c r="F38" s="3"/>
      <c r="G38" s="3"/>
      <c r="H38" s="3"/>
    </row>
    <row r="39" spans="2:8" x14ac:dyDescent="0.25">
      <c r="B39" t="s">
        <v>186</v>
      </c>
      <c r="C39" t="s">
        <v>186</v>
      </c>
      <c r="D39" t="s">
        <v>6</v>
      </c>
      <c r="E39" t="s">
        <v>303</v>
      </c>
      <c r="F39" s="3"/>
      <c r="G39" s="3"/>
      <c r="H39" s="3"/>
    </row>
    <row r="40" spans="2:8" x14ac:dyDescent="0.25">
      <c r="B40" t="s">
        <v>186</v>
      </c>
      <c r="C40" t="s">
        <v>186</v>
      </c>
      <c r="D40" t="s">
        <v>6</v>
      </c>
      <c r="E40" t="s">
        <v>304</v>
      </c>
      <c r="F40" s="3"/>
      <c r="G40" s="3">
        <v>2.0697325000000001E-3</v>
      </c>
      <c r="H40" s="3"/>
    </row>
    <row r="41" spans="2:8" x14ac:dyDescent="0.25">
      <c r="B41" t="s">
        <v>186</v>
      </c>
      <c r="C41" t="s">
        <v>186</v>
      </c>
      <c r="D41" t="s">
        <v>6</v>
      </c>
      <c r="E41" t="s">
        <v>305</v>
      </c>
      <c r="F41" s="3"/>
      <c r="G41" s="3">
        <v>6.0248427906976799E-3</v>
      </c>
      <c r="H41" s="3"/>
    </row>
    <row r="42" spans="2:8" x14ac:dyDescent="0.25">
      <c r="B42" t="s">
        <v>186</v>
      </c>
      <c r="C42" t="s">
        <v>186</v>
      </c>
      <c r="D42" t="s">
        <v>6</v>
      </c>
      <c r="E42" t="s">
        <v>269</v>
      </c>
      <c r="F42" s="3"/>
      <c r="G42" s="3">
        <v>9.6041454545454496E-3</v>
      </c>
      <c r="H42" s="3"/>
    </row>
    <row r="43" spans="2:8" x14ac:dyDescent="0.25">
      <c r="B43" t="s">
        <v>186</v>
      </c>
      <c r="C43" t="s">
        <v>186</v>
      </c>
      <c r="D43" t="s">
        <v>6</v>
      </c>
      <c r="E43" t="s">
        <v>272</v>
      </c>
      <c r="F43" s="3"/>
      <c r="G43" s="3">
        <v>7.28347404255319E-3</v>
      </c>
      <c r="H43" s="3"/>
    </row>
    <row r="44" spans="2:8" x14ac:dyDescent="0.25">
      <c r="B44" t="s">
        <v>186</v>
      </c>
      <c r="C44" t="s">
        <v>186</v>
      </c>
      <c r="D44" t="s">
        <v>6</v>
      </c>
      <c r="E44" t="s">
        <v>306</v>
      </c>
      <c r="F44" s="3"/>
      <c r="G44" s="3"/>
      <c r="H44" s="3"/>
    </row>
    <row r="45" spans="2:8" x14ac:dyDescent="0.25">
      <c r="B45" t="s">
        <v>186</v>
      </c>
      <c r="C45" t="s">
        <v>186</v>
      </c>
      <c r="D45" t="s">
        <v>6</v>
      </c>
      <c r="E45" t="s">
        <v>307</v>
      </c>
      <c r="F45" s="3"/>
      <c r="G45" s="3"/>
      <c r="H45" s="3"/>
    </row>
    <row r="46" spans="2:8" x14ac:dyDescent="0.25">
      <c r="B46" t="s">
        <v>186</v>
      </c>
      <c r="C46" t="s">
        <v>186</v>
      </c>
      <c r="D46" t="s">
        <v>6</v>
      </c>
      <c r="E46" t="s">
        <v>308</v>
      </c>
      <c r="F46" s="3"/>
      <c r="G46" s="3">
        <v>8.9373899999999908E-4</v>
      </c>
      <c r="H46" s="3"/>
    </row>
    <row r="47" spans="2:8" x14ac:dyDescent="0.25">
      <c r="B47" t="s">
        <v>186</v>
      </c>
      <c r="C47" t="s">
        <v>186</v>
      </c>
      <c r="D47" t="s">
        <v>6</v>
      </c>
      <c r="E47" t="s">
        <v>309</v>
      </c>
      <c r="F47" s="3"/>
      <c r="G47" s="3">
        <v>3.1382165853658501E-3</v>
      </c>
      <c r="H47" s="3"/>
    </row>
    <row r="48" spans="2:8" x14ac:dyDescent="0.25">
      <c r="B48" t="s">
        <v>186</v>
      </c>
      <c r="C48" t="s">
        <v>186</v>
      </c>
      <c r="D48" t="s">
        <v>6</v>
      </c>
      <c r="E48" t="s">
        <v>310</v>
      </c>
      <c r="F48" s="3"/>
      <c r="G48" s="3">
        <v>4.3876173913043497E-5</v>
      </c>
      <c r="H48" s="3"/>
    </row>
    <row r="49" spans="2:8" x14ac:dyDescent="0.25">
      <c r="B49" t="s">
        <v>186</v>
      </c>
      <c r="C49" t="s">
        <v>186</v>
      </c>
      <c r="D49" t="s">
        <v>6</v>
      </c>
      <c r="E49" t="s">
        <v>311</v>
      </c>
      <c r="F49" s="3"/>
      <c r="G49" s="3">
        <v>1.0239814285714279E-3</v>
      </c>
      <c r="H49" s="3"/>
    </row>
    <row r="50" spans="2:8" x14ac:dyDescent="0.25">
      <c r="B50" t="s">
        <v>186</v>
      </c>
      <c r="C50" t="s">
        <v>186</v>
      </c>
      <c r="D50" t="s">
        <v>6</v>
      </c>
      <c r="E50" t="s">
        <v>312</v>
      </c>
      <c r="F50" s="3"/>
      <c r="G50" s="3">
        <v>1.26621818181818E-4</v>
      </c>
      <c r="H50" s="3"/>
    </row>
    <row r="51" spans="2:8" x14ac:dyDescent="0.25">
      <c r="B51" t="s">
        <v>186</v>
      </c>
      <c r="C51" t="s">
        <v>186</v>
      </c>
      <c r="D51" t="s">
        <v>6</v>
      </c>
      <c r="E51" t="s">
        <v>313</v>
      </c>
      <c r="F51" s="3"/>
      <c r="G51" s="3">
        <v>2.2513199999999998E-3</v>
      </c>
      <c r="H51" s="3"/>
    </row>
    <row r="52" spans="2:8" x14ac:dyDescent="0.25">
      <c r="B52" t="s">
        <v>186</v>
      </c>
      <c r="C52" t="s">
        <v>186</v>
      </c>
      <c r="D52" t="s">
        <v>6</v>
      </c>
      <c r="E52" t="s">
        <v>314</v>
      </c>
      <c r="F52" s="3"/>
      <c r="G52" s="3"/>
      <c r="H52" s="3"/>
    </row>
    <row r="53" spans="2:8" x14ac:dyDescent="0.25">
      <c r="B53" t="s">
        <v>186</v>
      </c>
      <c r="C53" t="s">
        <v>186</v>
      </c>
      <c r="D53" t="s">
        <v>6</v>
      </c>
      <c r="E53" t="s">
        <v>315</v>
      </c>
      <c r="F53" s="3"/>
      <c r="G53" s="3"/>
      <c r="H53" s="3"/>
    </row>
    <row r="54" spans="2:8" x14ac:dyDescent="0.25">
      <c r="B54" t="s">
        <v>186</v>
      </c>
      <c r="C54" t="s">
        <v>186</v>
      </c>
      <c r="D54" t="s">
        <v>6</v>
      </c>
      <c r="E54" t="s">
        <v>316</v>
      </c>
      <c r="F54" s="3"/>
      <c r="G54" s="3"/>
      <c r="H54" s="3"/>
    </row>
    <row r="55" spans="2:8" x14ac:dyDescent="0.25">
      <c r="B55" t="s">
        <v>186</v>
      </c>
      <c r="C55" t="s">
        <v>186</v>
      </c>
      <c r="D55" t="s">
        <v>6</v>
      </c>
      <c r="E55" t="s">
        <v>317</v>
      </c>
      <c r="F55" s="3"/>
      <c r="G55" s="3"/>
      <c r="H55" s="3"/>
    </row>
    <row r="56" spans="2:8" x14ac:dyDescent="0.25">
      <c r="B56" t="s">
        <v>186</v>
      </c>
      <c r="C56" t="s">
        <v>186</v>
      </c>
      <c r="D56" t="s">
        <v>6</v>
      </c>
      <c r="E56" t="s">
        <v>318</v>
      </c>
      <c r="F56" s="3"/>
      <c r="G56" s="3">
        <v>7.6667519999999993E-4</v>
      </c>
      <c r="H56" s="3"/>
    </row>
    <row r="57" spans="2:8" x14ac:dyDescent="0.25">
      <c r="B57" t="s">
        <v>186</v>
      </c>
      <c r="C57" t="s">
        <v>186</v>
      </c>
      <c r="D57" t="s">
        <v>6</v>
      </c>
      <c r="E57" t="s">
        <v>271</v>
      </c>
      <c r="F57" s="3"/>
      <c r="G57" s="3">
        <v>2.4826212765957401E-4</v>
      </c>
      <c r="H57" s="3"/>
    </row>
    <row r="58" spans="2:8" x14ac:dyDescent="0.25">
      <c r="B58" t="s">
        <v>186</v>
      </c>
      <c r="C58" t="s">
        <v>186</v>
      </c>
      <c r="D58" t="s">
        <v>6</v>
      </c>
      <c r="E58" t="s">
        <v>319</v>
      </c>
      <c r="F58" s="3"/>
      <c r="G58" s="3">
        <v>1.3797000000000001E-4</v>
      </c>
      <c r="H58" s="3"/>
    </row>
    <row r="59" spans="2:8" x14ac:dyDescent="0.25">
      <c r="B59" t="s">
        <v>186</v>
      </c>
      <c r="C59" t="s">
        <v>186</v>
      </c>
      <c r="D59" t="s">
        <v>6</v>
      </c>
      <c r="E59" t="s">
        <v>320</v>
      </c>
      <c r="F59" s="3"/>
      <c r="G59" s="3">
        <v>4.6150243902439E-4</v>
      </c>
      <c r="H59" s="3"/>
    </row>
    <row r="60" spans="2:8" x14ac:dyDescent="0.25">
      <c r="B60" t="s">
        <v>186</v>
      </c>
      <c r="C60" t="s">
        <v>186</v>
      </c>
      <c r="D60" t="s">
        <v>6</v>
      </c>
      <c r="E60" t="s">
        <v>321</v>
      </c>
      <c r="F60" s="3"/>
      <c r="G60" s="3"/>
      <c r="H60" s="3"/>
    </row>
    <row r="61" spans="2:8" x14ac:dyDescent="0.25">
      <c r="B61" t="s">
        <v>186</v>
      </c>
      <c r="C61" t="s">
        <v>186</v>
      </c>
      <c r="D61" t="s">
        <v>6</v>
      </c>
      <c r="E61" t="s">
        <v>322</v>
      </c>
      <c r="F61" s="3"/>
      <c r="G61" s="3">
        <v>1.0154592000000001E-3</v>
      </c>
      <c r="H61" s="3">
        <v>-612.44883000000004</v>
      </c>
    </row>
    <row r="62" spans="2:8" x14ac:dyDescent="0.25">
      <c r="B62" t="s">
        <v>186</v>
      </c>
      <c r="C62" t="s">
        <v>186</v>
      </c>
      <c r="D62" t="s">
        <v>6</v>
      </c>
      <c r="E62" t="s">
        <v>323</v>
      </c>
      <c r="F62" s="3"/>
      <c r="G62" s="3">
        <v>2.5006937477765098E-4</v>
      </c>
      <c r="H62" s="3">
        <v>-150.82309166277099</v>
      </c>
    </row>
    <row r="63" spans="2:8" x14ac:dyDescent="0.25">
      <c r="B63" t="s">
        <v>186</v>
      </c>
      <c r="C63" t="s">
        <v>186</v>
      </c>
      <c r="D63" t="s">
        <v>6</v>
      </c>
      <c r="E63" t="s">
        <v>324</v>
      </c>
      <c r="F63" s="3"/>
      <c r="G63" s="3">
        <v>9.8899148571428589E-4</v>
      </c>
      <c r="H63" s="3">
        <v>6.18119678571429</v>
      </c>
    </row>
    <row r="64" spans="2:8" x14ac:dyDescent="0.25">
      <c r="B64" t="s">
        <v>186</v>
      </c>
      <c r="C64" t="s">
        <v>186</v>
      </c>
      <c r="D64" t="s">
        <v>6</v>
      </c>
      <c r="E64" t="s">
        <v>325</v>
      </c>
      <c r="F64" s="3"/>
      <c r="G64" s="3">
        <v>2.24694E-2</v>
      </c>
      <c r="H64" s="3">
        <v>-86592.0744000001</v>
      </c>
    </row>
    <row r="65" spans="2:8" x14ac:dyDescent="0.25">
      <c r="B65" t="s">
        <v>186</v>
      </c>
      <c r="C65" t="s">
        <v>186</v>
      </c>
      <c r="D65" t="s">
        <v>6</v>
      </c>
      <c r="E65" t="s">
        <v>262</v>
      </c>
      <c r="F65" s="3"/>
      <c r="G65" s="3">
        <v>7.1069206153846123E-3</v>
      </c>
      <c r="H65" s="3"/>
    </row>
    <row r="66" spans="2:8" x14ac:dyDescent="0.25">
      <c r="B66" t="s">
        <v>186</v>
      </c>
      <c r="C66" t="s">
        <v>186</v>
      </c>
      <c r="D66" t="s">
        <v>6</v>
      </c>
      <c r="E66" t="s">
        <v>326</v>
      </c>
      <c r="F66" s="3"/>
      <c r="G66" s="3"/>
      <c r="H66" s="3"/>
    </row>
    <row r="67" spans="2:8" x14ac:dyDescent="0.25">
      <c r="B67" t="s">
        <v>186</v>
      </c>
      <c r="C67" t="s">
        <v>186</v>
      </c>
      <c r="D67" t="s">
        <v>6</v>
      </c>
      <c r="E67" t="s">
        <v>327</v>
      </c>
      <c r="F67" s="3"/>
      <c r="G67" s="3"/>
      <c r="H67" s="3"/>
    </row>
    <row r="68" spans="2:8" x14ac:dyDescent="0.25">
      <c r="B68" t="s">
        <v>186</v>
      </c>
      <c r="C68" t="s">
        <v>186</v>
      </c>
      <c r="D68" t="s">
        <v>6</v>
      </c>
      <c r="E68" t="s">
        <v>328</v>
      </c>
      <c r="F68" s="3"/>
      <c r="G68" s="3">
        <v>9.3346559999999996E-4</v>
      </c>
      <c r="H68" s="3">
        <v>-562.99644000000001</v>
      </c>
    </row>
    <row r="69" spans="2:8" x14ac:dyDescent="0.25">
      <c r="B69" t="s">
        <v>186</v>
      </c>
      <c r="C69" t="s">
        <v>186</v>
      </c>
      <c r="D69" t="s">
        <v>6</v>
      </c>
      <c r="E69" t="s">
        <v>329</v>
      </c>
      <c r="F69" s="3"/>
      <c r="G69" s="3">
        <v>4.4028208839267001E-3</v>
      </c>
      <c r="H69" s="3">
        <v>-16967.493282012612</v>
      </c>
    </row>
    <row r="70" spans="2:8" x14ac:dyDescent="0.25">
      <c r="B70" t="s">
        <v>186</v>
      </c>
      <c r="C70" t="s">
        <v>186</v>
      </c>
      <c r="D70" t="s">
        <v>6</v>
      </c>
      <c r="E70" t="s">
        <v>330</v>
      </c>
      <c r="F70" s="3"/>
      <c r="G70" s="3">
        <v>3.9084015855191103E-3</v>
      </c>
      <c r="H70" s="3">
        <v>-15062.111176905</v>
      </c>
    </row>
    <row r="71" spans="2:8" x14ac:dyDescent="0.25">
      <c r="B71" t="s">
        <v>186</v>
      </c>
      <c r="C71" t="s">
        <v>186</v>
      </c>
      <c r="D71" t="s">
        <v>6</v>
      </c>
      <c r="E71" t="s">
        <v>273</v>
      </c>
      <c r="F71" s="3"/>
      <c r="G71" s="3">
        <v>4.4300571428571396E-3</v>
      </c>
      <c r="H71" s="3"/>
    </row>
    <row r="72" spans="2:8" x14ac:dyDescent="0.25">
      <c r="B72" t="s">
        <v>186</v>
      </c>
      <c r="C72" t="s">
        <v>186</v>
      </c>
      <c r="D72" t="s">
        <v>6</v>
      </c>
      <c r="E72" t="s">
        <v>331</v>
      </c>
      <c r="F72" s="3"/>
      <c r="G72" s="3">
        <v>4.0835076923076901E-5</v>
      </c>
      <c r="H72" s="3">
        <v>0.25521923076923098</v>
      </c>
    </row>
    <row r="73" spans="2:8" x14ac:dyDescent="0.25">
      <c r="B73" t="s">
        <v>186</v>
      </c>
      <c r="C73" t="s">
        <v>186</v>
      </c>
      <c r="D73" t="s">
        <v>6</v>
      </c>
      <c r="E73" t="s">
        <v>332</v>
      </c>
      <c r="F73" s="3"/>
      <c r="G73" s="3">
        <v>3.4820999999999997E-5</v>
      </c>
      <c r="H73" s="3">
        <v>0.21763125</v>
      </c>
    </row>
    <row r="74" spans="2:8" x14ac:dyDescent="0.25">
      <c r="B74" t="s">
        <v>186</v>
      </c>
      <c r="C74" t="s">
        <v>186</v>
      </c>
      <c r="D74" t="s">
        <v>6</v>
      </c>
      <c r="E74" t="s">
        <v>333</v>
      </c>
      <c r="F74" s="3"/>
      <c r="G74" s="3">
        <v>2.30751219512195E-4</v>
      </c>
      <c r="H74" s="3">
        <v>1.4421951219512199</v>
      </c>
    </row>
    <row r="75" spans="2:8" x14ac:dyDescent="0.25">
      <c r="B75" t="s">
        <v>186</v>
      </c>
      <c r="C75" t="s">
        <v>186</v>
      </c>
      <c r="D75" t="s">
        <v>6</v>
      </c>
      <c r="E75" t="s">
        <v>334</v>
      </c>
      <c r="F75" s="3"/>
      <c r="G75" s="3">
        <v>2.6280000000000001E-3</v>
      </c>
      <c r="H75" s="3">
        <v>-1552.1624999999999</v>
      </c>
    </row>
    <row r="76" spans="2:8" x14ac:dyDescent="0.25">
      <c r="B76" t="s">
        <v>186</v>
      </c>
      <c r="C76" t="s">
        <v>186</v>
      </c>
      <c r="D76" t="s">
        <v>6</v>
      </c>
      <c r="E76" t="s">
        <v>335</v>
      </c>
      <c r="F76" s="3"/>
      <c r="G76" s="3">
        <v>4.6626560000000003E-3</v>
      </c>
      <c r="H76" s="3">
        <v>-2753.8811999999998</v>
      </c>
    </row>
    <row r="77" spans="2:8" x14ac:dyDescent="0.25">
      <c r="B77" t="s">
        <v>186</v>
      </c>
      <c r="C77" t="s">
        <v>186</v>
      </c>
      <c r="D77" t="s">
        <v>6</v>
      </c>
      <c r="E77" t="s">
        <v>336</v>
      </c>
      <c r="F77" s="3"/>
      <c r="G77" s="3">
        <v>5.0022620689655203E-3</v>
      </c>
      <c r="H77" s="3">
        <v>-2954.4610344827602</v>
      </c>
    </row>
    <row r="78" spans="2:8" x14ac:dyDescent="0.25">
      <c r="B78" t="s">
        <v>0</v>
      </c>
      <c r="F78" s="3">
        <v>1000.0000000000007</v>
      </c>
      <c r="G78" s="3">
        <v>0.37615630110413251</v>
      </c>
      <c r="H78" s="3">
        <v>-1322627.2568960362</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C5:E30"/>
  <sheetViews>
    <sheetView workbookViewId="0">
      <selection activeCell="D10" sqref="D10"/>
    </sheetView>
  </sheetViews>
  <sheetFormatPr defaultRowHeight="15" x14ac:dyDescent="0.25"/>
  <cols>
    <col min="3" max="3" width="13.140625" bestFit="1" customWidth="1"/>
    <col min="4" max="4" width="7.85546875" bestFit="1" customWidth="1"/>
    <col min="5" max="5" width="12.5703125" bestFit="1" customWidth="1"/>
    <col min="6" max="24" width="12" bestFit="1" customWidth="1"/>
  </cols>
  <sheetData>
    <row r="5" spans="3:5" x14ac:dyDescent="0.25">
      <c r="C5" s="1" t="s">
        <v>15</v>
      </c>
      <c r="D5" s="1" t="s">
        <v>72</v>
      </c>
      <c r="E5" t="s">
        <v>91</v>
      </c>
    </row>
    <row r="6" spans="3:5" x14ac:dyDescent="0.25">
      <c r="C6" t="s">
        <v>220</v>
      </c>
      <c r="D6" t="s">
        <v>40</v>
      </c>
      <c r="E6" s="3">
        <v>52733.67110000801</v>
      </c>
    </row>
    <row r="7" spans="3:5" x14ac:dyDescent="0.25">
      <c r="C7" t="s">
        <v>220</v>
      </c>
      <c r="D7" t="s">
        <v>41</v>
      </c>
      <c r="E7" s="3">
        <v>72390.607591897453</v>
      </c>
    </row>
    <row r="8" spans="3:5" x14ac:dyDescent="0.25">
      <c r="C8" t="s">
        <v>220</v>
      </c>
      <c r="D8" t="s">
        <v>42</v>
      </c>
      <c r="E8" s="3">
        <v>97719.561936632323</v>
      </c>
    </row>
    <row r="9" spans="3:5" x14ac:dyDescent="0.25">
      <c r="C9" t="s">
        <v>220</v>
      </c>
      <c r="D9" t="s">
        <v>43</v>
      </c>
      <c r="E9" s="3">
        <v>121324.76106083202</v>
      </c>
    </row>
    <row r="10" spans="3:5" x14ac:dyDescent="0.25">
      <c r="C10" t="s">
        <v>220</v>
      </c>
      <c r="D10" t="s">
        <v>44</v>
      </c>
      <c r="E10" s="3">
        <v>141594.44197199962</v>
      </c>
    </row>
    <row r="11" spans="3:5" x14ac:dyDescent="0.25">
      <c r="C11" t="s">
        <v>220</v>
      </c>
      <c r="D11" t="s">
        <v>45</v>
      </c>
      <c r="E11" s="3">
        <v>161625.97135682157</v>
      </c>
    </row>
    <row r="12" spans="3:5" x14ac:dyDescent="0.25">
      <c r="C12" t="s">
        <v>220</v>
      </c>
      <c r="D12" t="s">
        <v>141</v>
      </c>
      <c r="E12" s="3">
        <v>170448.03582891205</v>
      </c>
    </row>
    <row r="13" spans="3:5" x14ac:dyDescent="0.25">
      <c r="C13" t="s">
        <v>220</v>
      </c>
      <c r="D13" t="s">
        <v>142</v>
      </c>
      <c r="E13" s="3">
        <v>174135.2414304525</v>
      </c>
    </row>
    <row r="14" spans="3:5" x14ac:dyDescent="0.25">
      <c r="C14" t="s">
        <v>220</v>
      </c>
      <c r="D14" t="s">
        <v>143</v>
      </c>
      <c r="E14" s="3">
        <v>172157.55121224423</v>
      </c>
    </row>
    <row r="15" spans="3:5" x14ac:dyDescent="0.25">
      <c r="C15" t="s">
        <v>220</v>
      </c>
      <c r="D15" t="s">
        <v>144</v>
      </c>
      <c r="E15" s="3">
        <v>166751.07124899322</v>
      </c>
    </row>
    <row r="16" spans="3:5" x14ac:dyDescent="0.25">
      <c r="C16" t="s">
        <v>220</v>
      </c>
      <c r="D16" t="s">
        <v>145</v>
      </c>
      <c r="E16" s="3">
        <v>161367.80839995237</v>
      </c>
    </row>
    <row r="17" spans="3:5" x14ac:dyDescent="0.25">
      <c r="C17" t="s">
        <v>220</v>
      </c>
      <c r="D17" t="s">
        <v>179</v>
      </c>
      <c r="E17" s="3">
        <v>148102.85048860428</v>
      </c>
    </row>
    <row r="18" spans="3:5" x14ac:dyDescent="0.25">
      <c r="C18" t="s">
        <v>220</v>
      </c>
      <c r="D18" t="s">
        <v>199</v>
      </c>
      <c r="E18" s="3">
        <v>119380.66821158474</v>
      </c>
    </row>
    <row r="19" spans="3:5" x14ac:dyDescent="0.25">
      <c r="C19" t="s">
        <v>220</v>
      </c>
      <c r="D19" t="s">
        <v>200</v>
      </c>
      <c r="E19" s="3">
        <v>93244.046006427248</v>
      </c>
    </row>
    <row r="20" spans="3:5" x14ac:dyDescent="0.25">
      <c r="C20" t="s">
        <v>220</v>
      </c>
      <c r="D20" t="s">
        <v>201</v>
      </c>
      <c r="E20" s="3">
        <v>69553.277874870138</v>
      </c>
    </row>
    <row r="21" spans="3:5" x14ac:dyDescent="0.25">
      <c r="C21" t="s">
        <v>220</v>
      </c>
      <c r="D21" t="s">
        <v>202</v>
      </c>
      <c r="E21" s="3">
        <v>50484.475170471349</v>
      </c>
    </row>
    <row r="22" spans="3:5" x14ac:dyDescent="0.25">
      <c r="C22" t="s">
        <v>220</v>
      </c>
      <c r="D22" t="s">
        <v>203</v>
      </c>
      <c r="E22" s="3">
        <v>46729.256591383295</v>
      </c>
    </row>
    <row r="23" spans="3:5" x14ac:dyDescent="0.25">
      <c r="C23" t="s">
        <v>220</v>
      </c>
      <c r="D23" t="s">
        <v>204</v>
      </c>
      <c r="E23" s="3">
        <v>50664.338951959355</v>
      </c>
    </row>
    <row r="24" spans="3:5" x14ac:dyDescent="0.25">
      <c r="C24" t="s">
        <v>220</v>
      </c>
      <c r="D24" t="s">
        <v>205</v>
      </c>
      <c r="E24" s="3">
        <v>54501.936167925</v>
      </c>
    </row>
    <row r="25" spans="3:5" x14ac:dyDescent="0.25">
      <c r="C25" t="s">
        <v>220</v>
      </c>
      <c r="D25" t="s">
        <v>206</v>
      </c>
      <c r="E25" s="3">
        <v>59886.240283099083</v>
      </c>
    </row>
    <row r="26" spans="3:5" x14ac:dyDescent="0.25">
      <c r="C26" t="s">
        <v>220</v>
      </c>
      <c r="D26" t="s">
        <v>207</v>
      </c>
      <c r="E26" s="3">
        <v>62571.207812049943</v>
      </c>
    </row>
    <row r="27" spans="3:5" x14ac:dyDescent="0.25">
      <c r="C27" t="s">
        <v>220</v>
      </c>
      <c r="D27" t="s">
        <v>208</v>
      </c>
      <c r="E27" s="3">
        <v>45264.690366756549</v>
      </c>
    </row>
    <row r="28" spans="3:5" x14ac:dyDescent="0.25">
      <c r="C28" t="s">
        <v>220</v>
      </c>
      <c r="D28" t="s">
        <v>209</v>
      </c>
      <c r="E28" s="3">
        <v>41432.607204711705</v>
      </c>
    </row>
    <row r="29" spans="3:5" x14ac:dyDescent="0.25">
      <c r="C29" t="s">
        <v>220</v>
      </c>
      <c r="D29" t="s">
        <v>210</v>
      </c>
      <c r="E29" s="3">
        <v>42757.322690404188</v>
      </c>
    </row>
    <row r="30" spans="3:5" x14ac:dyDescent="0.25">
      <c r="C30" t="s">
        <v>0</v>
      </c>
      <c r="E30" s="3">
        <v>2376821.6409589918</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C4:H7"/>
  <sheetViews>
    <sheetView zoomScale="70" zoomScaleNormal="70" workbookViewId="0">
      <selection activeCell="F35" sqref="F35"/>
    </sheetView>
  </sheetViews>
  <sheetFormatPr defaultRowHeight="15" x14ac:dyDescent="0.25"/>
  <cols>
    <col min="3" max="3" width="13.85546875" customWidth="1"/>
    <col min="4" max="4" width="16.28515625" bestFit="1" customWidth="1"/>
    <col min="5" max="5" width="9.5703125" customWidth="1"/>
    <col min="6" max="6" width="9.5703125" bestFit="1" customWidth="1"/>
    <col min="7" max="8" width="12.5703125" bestFit="1" customWidth="1"/>
    <col min="9" max="9" width="12.5703125" customWidth="1"/>
    <col min="10" max="10" width="12.5703125" bestFit="1" customWidth="1"/>
    <col min="11" max="11" width="15.28515625" bestFit="1" customWidth="1"/>
    <col min="12" max="12" width="14" bestFit="1" customWidth="1"/>
    <col min="13" max="14" width="12.5703125" bestFit="1" customWidth="1"/>
  </cols>
  <sheetData>
    <row r="4" spans="3:8" x14ac:dyDescent="0.25">
      <c r="C4" s="1" t="s">
        <v>91</v>
      </c>
      <c r="D4" s="1" t="s">
        <v>38</v>
      </c>
    </row>
    <row r="5" spans="3:8" x14ac:dyDescent="0.25">
      <c r="C5" s="1" t="s">
        <v>39</v>
      </c>
      <c r="D5" t="s">
        <v>18</v>
      </c>
      <c r="E5" t="s">
        <v>8</v>
      </c>
      <c r="F5" t="s">
        <v>7</v>
      </c>
      <c r="G5" t="s">
        <v>17</v>
      </c>
      <c r="H5" t="s">
        <v>0</v>
      </c>
    </row>
    <row r="6" spans="3:8" x14ac:dyDescent="0.25">
      <c r="C6" s="2" t="s">
        <v>220</v>
      </c>
      <c r="D6" s="3">
        <v>843.17092076853601</v>
      </c>
      <c r="E6" s="3">
        <v>24887173</v>
      </c>
      <c r="F6" s="3">
        <v>63815458</v>
      </c>
      <c r="G6" s="3">
        <v>4278856.8726114603</v>
      </c>
      <c r="H6" s="3">
        <v>92982331.043532223</v>
      </c>
    </row>
    <row r="7" spans="3:8" x14ac:dyDescent="0.25">
      <c r="C7" s="2" t="s">
        <v>0</v>
      </c>
      <c r="D7" s="3">
        <v>843.17092076853601</v>
      </c>
      <c r="E7" s="3">
        <v>24887173</v>
      </c>
      <c r="F7" s="3">
        <v>63815458</v>
      </c>
      <c r="G7" s="3">
        <v>4278856.8726114603</v>
      </c>
      <c r="H7" s="3">
        <v>92982331.043532223</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C4:I31"/>
  <sheetViews>
    <sheetView workbookViewId="0">
      <selection activeCell="F15" sqref="F15"/>
    </sheetView>
  </sheetViews>
  <sheetFormatPr defaultRowHeight="15" x14ac:dyDescent="0.25"/>
  <cols>
    <col min="3" max="3" width="13.140625" customWidth="1"/>
    <col min="4" max="4" width="7.85546875" bestFit="1" customWidth="1"/>
    <col min="5" max="7" width="13.5703125" bestFit="1" customWidth="1"/>
    <col min="8" max="8" width="13.5703125" customWidth="1"/>
    <col min="9" max="10" width="12.7109375" bestFit="1" customWidth="1"/>
    <col min="11" max="20" width="12.7109375" customWidth="1"/>
    <col min="21" max="31" width="12.7109375" bestFit="1" customWidth="1"/>
    <col min="32" max="32" width="6.7109375" bestFit="1" customWidth="1"/>
    <col min="33" max="33" width="3.5703125" bestFit="1" customWidth="1"/>
    <col min="34" max="34" width="8.28515625" bestFit="1" customWidth="1"/>
    <col min="35" max="35" width="12.7109375" bestFit="1" customWidth="1"/>
    <col min="36" max="36" width="12" bestFit="1" customWidth="1"/>
    <col min="37" max="37" width="7" bestFit="1" customWidth="1"/>
    <col min="38" max="38" width="12.7109375" bestFit="1" customWidth="1"/>
    <col min="39" max="39" width="6.7109375" bestFit="1" customWidth="1"/>
    <col min="40" max="40" width="6" bestFit="1" customWidth="1"/>
    <col min="41" max="41" width="12.7109375" bestFit="1" customWidth="1"/>
    <col min="42" max="42" width="12" bestFit="1" customWidth="1"/>
    <col min="43" max="46" width="12.7109375" bestFit="1" customWidth="1"/>
    <col min="47" max="47" width="5" bestFit="1" customWidth="1"/>
    <col min="48" max="54" width="12.7109375" bestFit="1" customWidth="1"/>
    <col min="55" max="55" width="4.85546875" bestFit="1" customWidth="1"/>
    <col min="56" max="56" width="7.85546875" bestFit="1" customWidth="1"/>
    <col min="57" max="57" width="6" bestFit="1" customWidth="1"/>
    <col min="58" max="59" width="12" bestFit="1" customWidth="1"/>
    <col min="60" max="60" width="5.85546875" bestFit="1" customWidth="1"/>
    <col min="61" max="62" width="12.7109375" bestFit="1" customWidth="1"/>
    <col min="63" max="66" width="12" bestFit="1" customWidth="1"/>
    <col min="67" max="67" width="7.7109375" bestFit="1" customWidth="1"/>
    <col min="68" max="68" width="12.7109375" bestFit="1" customWidth="1"/>
    <col min="69" max="69" width="12" bestFit="1" customWidth="1"/>
    <col min="70" max="70" width="12.7109375" bestFit="1" customWidth="1"/>
    <col min="71" max="71" width="12" bestFit="1" customWidth="1"/>
    <col min="72" max="72" width="6" bestFit="1" customWidth="1"/>
    <col min="73" max="74" width="12.7109375" bestFit="1" customWidth="1"/>
    <col min="75" max="75" width="5.42578125" bestFit="1" customWidth="1"/>
    <col min="76" max="76" width="8.42578125" bestFit="1" customWidth="1"/>
    <col min="77" max="77" width="12.7109375" bestFit="1" customWidth="1"/>
  </cols>
  <sheetData>
    <row r="4" spans="3:9" x14ac:dyDescent="0.25">
      <c r="C4" s="1" t="s">
        <v>119</v>
      </c>
      <c r="E4" s="1" t="s">
        <v>120</v>
      </c>
      <c r="F4" s="1" t="s">
        <v>124</v>
      </c>
    </row>
    <row r="5" spans="3:9" x14ac:dyDescent="0.25">
      <c r="E5" t="s">
        <v>168</v>
      </c>
      <c r="F5" t="s">
        <v>168</v>
      </c>
      <c r="G5" t="s">
        <v>168</v>
      </c>
      <c r="H5" t="s">
        <v>168</v>
      </c>
      <c r="I5" t="s">
        <v>0</v>
      </c>
    </row>
    <row r="6" spans="3:9" x14ac:dyDescent="0.25">
      <c r="C6" s="1" t="s">
        <v>15</v>
      </c>
      <c r="D6" s="1" t="s">
        <v>72</v>
      </c>
      <c r="E6" t="s">
        <v>167</v>
      </c>
      <c r="F6" t="s">
        <v>197</v>
      </c>
      <c r="G6" t="s">
        <v>196</v>
      </c>
      <c r="H6" t="s">
        <v>198</v>
      </c>
    </row>
    <row r="7" spans="3:9" x14ac:dyDescent="0.25">
      <c r="C7" t="s">
        <v>220</v>
      </c>
      <c r="D7" t="s">
        <v>40</v>
      </c>
      <c r="E7" s="3">
        <v>0</v>
      </c>
      <c r="F7" s="3">
        <v>0</v>
      </c>
      <c r="G7" s="3">
        <v>7.4360802184796099E-2</v>
      </c>
      <c r="H7" s="3">
        <v>0</v>
      </c>
      <c r="I7" s="3">
        <v>7.4360802184796099E-2</v>
      </c>
    </row>
    <row r="8" spans="3:9" x14ac:dyDescent="0.25">
      <c r="C8" t="s">
        <v>220</v>
      </c>
      <c r="D8" t="s">
        <v>41</v>
      </c>
      <c r="E8" s="3">
        <v>-0.13363123702211099</v>
      </c>
      <c r="F8" s="3">
        <v>0</v>
      </c>
      <c r="G8" s="3">
        <v>0.279474323957702</v>
      </c>
      <c r="H8" s="3">
        <v>0</v>
      </c>
      <c r="I8" s="3">
        <v>0.145843086935591</v>
      </c>
    </row>
    <row r="9" spans="3:9" x14ac:dyDescent="0.25">
      <c r="C9" t="s">
        <v>220</v>
      </c>
      <c r="D9" t="s">
        <v>42</v>
      </c>
      <c r="E9" s="3">
        <v>-0.150184752970628</v>
      </c>
      <c r="F9" s="3">
        <v>0</v>
      </c>
      <c r="G9" s="3">
        <v>0</v>
      </c>
      <c r="H9" s="3">
        <v>0.314572009276118</v>
      </c>
      <c r="I9" s="3">
        <v>0.16438725630549</v>
      </c>
    </row>
    <row r="10" spans="3:9" x14ac:dyDescent="0.25">
      <c r="C10" t="s">
        <v>220</v>
      </c>
      <c r="D10" t="s">
        <v>43</v>
      </c>
      <c r="E10" s="3">
        <v>-0.181485767727327</v>
      </c>
      <c r="F10" s="3">
        <v>0</v>
      </c>
      <c r="G10" s="3">
        <v>0</v>
      </c>
      <c r="H10" s="3">
        <v>0.33629209466305598</v>
      </c>
      <c r="I10" s="3">
        <v>0.15480632693572899</v>
      </c>
    </row>
    <row r="11" spans="3:9" x14ac:dyDescent="0.25">
      <c r="C11" t="s">
        <v>220</v>
      </c>
      <c r="D11" t="s">
        <v>44</v>
      </c>
      <c r="E11" s="3">
        <v>-0.284949999809256</v>
      </c>
      <c r="F11" s="3">
        <v>0</v>
      </c>
      <c r="G11" s="3">
        <v>0</v>
      </c>
      <c r="H11" s="3">
        <v>0.38716593380803599</v>
      </c>
      <c r="I11" s="3">
        <v>0.10221593399877998</v>
      </c>
    </row>
    <row r="12" spans="3:9" x14ac:dyDescent="0.25">
      <c r="C12" t="s">
        <v>220</v>
      </c>
      <c r="D12" t="s">
        <v>45</v>
      </c>
      <c r="E12" s="3">
        <v>0</v>
      </c>
      <c r="F12" s="3">
        <v>0</v>
      </c>
      <c r="G12" s="3">
        <v>5.4404034337799799E-2</v>
      </c>
      <c r="H12" s="3">
        <v>0</v>
      </c>
      <c r="I12" s="3">
        <v>5.4404034337799799E-2</v>
      </c>
    </row>
    <row r="13" spans="3:9" x14ac:dyDescent="0.25">
      <c r="C13" t="s">
        <v>220</v>
      </c>
      <c r="D13" t="s">
        <v>141</v>
      </c>
      <c r="E13" s="3">
        <v>-0.54</v>
      </c>
      <c r="F13" s="3">
        <v>0</v>
      </c>
      <c r="G13" s="3">
        <v>0.52649999999999997</v>
      </c>
      <c r="H13" s="3">
        <v>-0.122613334227735</v>
      </c>
      <c r="I13" s="3">
        <v>-0.13611333422773508</v>
      </c>
    </row>
    <row r="14" spans="3:9" x14ac:dyDescent="0.25">
      <c r="C14" t="s">
        <v>220</v>
      </c>
      <c r="D14" t="s">
        <v>142</v>
      </c>
      <c r="E14" s="3">
        <v>-0.54</v>
      </c>
      <c r="F14" s="3">
        <v>0</v>
      </c>
      <c r="G14" s="3">
        <v>0.52649999999999997</v>
      </c>
      <c r="H14" s="3">
        <v>0.43750565910044698</v>
      </c>
      <c r="I14" s="3">
        <v>0.42400565910044691</v>
      </c>
    </row>
    <row r="15" spans="3:9" x14ac:dyDescent="0.25">
      <c r="C15" t="s">
        <v>220</v>
      </c>
      <c r="D15" t="s">
        <v>143</v>
      </c>
      <c r="E15" s="3">
        <v>-0.54</v>
      </c>
      <c r="F15" s="3">
        <v>0</v>
      </c>
      <c r="G15" s="3">
        <v>0.52649999999999997</v>
      </c>
      <c r="H15" s="3">
        <v>0.66093157408007996</v>
      </c>
      <c r="I15" s="3">
        <v>0.6474315740800799</v>
      </c>
    </row>
    <row r="16" spans="3:9" x14ac:dyDescent="0.25">
      <c r="C16" t="s">
        <v>220</v>
      </c>
      <c r="D16" t="s">
        <v>144</v>
      </c>
      <c r="E16" s="3">
        <v>-0.54</v>
      </c>
      <c r="F16" s="3">
        <v>0</v>
      </c>
      <c r="G16" s="3">
        <v>0.52649999999999997</v>
      </c>
      <c r="H16" s="3">
        <v>0.46081304647998</v>
      </c>
      <c r="I16" s="3">
        <v>0.44731304647997994</v>
      </c>
    </row>
    <row r="17" spans="3:9" x14ac:dyDescent="0.25">
      <c r="C17" t="s">
        <v>220</v>
      </c>
      <c r="D17" t="s">
        <v>145</v>
      </c>
      <c r="E17" s="3">
        <v>-0.54</v>
      </c>
      <c r="F17" s="3">
        <v>0</v>
      </c>
      <c r="G17" s="3">
        <v>0.30665828929551497</v>
      </c>
      <c r="H17" s="3">
        <v>1.29090469303629E-2</v>
      </c>
      <c r="I17" s="3">
        <v>-0.22043266377412216</v>
      </c>
    </row>
    <row r="18" spans="3:9" x14ac:dyDescent="0.25">
      <c r="C18" t="s">
        <v>220</v>
      </c>
      <c r="D18" t="s">
        <v>179</v>
      </c>
      <c r="E18" s="3">
        <v>-0.54</v>
      </c>
      <c r="F18" s="3">
        <v>0</v>
      </c>
      <c r="G18" s="3">
        <v>0</v>
      </c>
      <c r="H18" s="3">
        <v>0.34980981020145302</v>
      </c>
      <c r="I18" s="3">
        <v>-0.19019018979854702</v>
      </c>
    </row>
    <row r="19" spans="3:9" x14ac:dyDescent="0.25">
      <c r="C19" t="s">
        <v>220</v>
      </c>
      <c r="D19" t="s">
        <v>199</v>
      </c>
      <c r="E19" s="3">
        <v>-0.54</v>
      </c>
      <c r="F19" s="3">
        <v>0</v>
      </c>
      <c r="G19" s="3">
        <v>0</v>
      </c>
      <c r="H19" s="3">
        <v>0.37003525462870102</v>
      </c>
      <c r="I19" s="3">
        <v>-0.16996474537129902</v>
      </c>
    </row>
    <row r="20" spans="3:9" x14ac:dyDescent="0.25">
      <c r="C20" t="s">
        <v>220</v>
      </c>
      <c r="D20" t="s">
        <v>200</v>
      </c>
      <c r="E20" s="3">
        <v>-0.54</v>
      </c>
      <c r="F20" s="3">
        <v>0</v>
      </c>
      <c r="G20" s="3">
        <v>0</v>
      </c>
      <c r="H20" s="3">
        <v>0.36833139753863797</v>
      </c>
      <c r="I20" s="3">
        <v>-0.17166860246136206</v>
      </c>
    </row>
    <row r="21" spans="3:9" x14ac:dyDescent="0.25">
      <c r="C21" t="s">
        <v>220</v>
      </c>
      <c r="D21" t="s">
        <v>201</v>
      </c>
      <c r="E21" s="3">
        <v>-0.54</v>
      </c>
      <c r="F21" s="3">
        <v>0</v>
      </c>
      <c r="G21" s="3">
        <v>0.25980863575868801</v>
      </c>
      <c r="H21" s="3">
        <v>0.20796625521446299</v>
      </c>
      <c r="I21" s="3">
        <v>-7.2225109026849033E-2</v>
      </c>
    </row>
    <row r="22" spans="3:9" x14ac:dyDescent="0.25">
      <c r="C22" t="s">
        <v>220</v>
      </c>
      <c r="D22" t="s">
        <v>202</v>
      </c>
      <c r="E22" s="3">
        <v>-0.54</v>
      </c>
      <c r="F22" s="3">
        <v>0</v>
      </c>
      <c r="G22" s="3">
        <v>0.52649999999999997</v>
      </c>
      <c r="H22" s="3">
        <v>4.8631742204695703E-2</v>
      </c>
      <c r="I22" s="3">
        <v>3.5131742204695636E-2</v>
      </c>
    </row>
    <row r="23" spans="3:9" x14ac:dyDescent="0.25">
      <c r="C23" t="s">
        <v>220</v>
      </c>
      <c r="D23" t="s">
        <v>203</v>
      </c>
      <c r="E23" s="3">
        <v>-0.54</v>
      </c>
      <c r="F23" s="3">
        <v>0</v>
      </c>
      <c r="G23" s="3">
        <v>0.52649999999999997</v>
      </c>
      <c r="H23" s="3">
        <v>1.8002631936596802E-2</v>
      </c>
      <c r="I23" s="3">
        <v>4.5026319365967342E-3</v>
      </c>
    </row>
    <row r="24" spans="3:9" x14ac:dyDescent="0.25">
      <c r="C24" t="s">
        <v>220</v>
      </c>
      <c r="D24" t="s">
        <v>204</v>
      </c>
      <c r="E24" s="3">
        <v>-0.54</v>
      </c>
      <c r="F24" s="3">
        <v>0</v>
      </c>
      <c r="G24" s="3">
        <v>0.49558524080069499</v>
      </c>
      <c r="H24" s="3">
        <v>0</v>
      </c>
      <c r="I24" s="3">
        <v>-4.4414759199305043E-2</v>
      </c>
    </row>
    <row r="25" spans="3:9" x14ac:dyDescent="0.25">
      <c r="C25" t="s">
        <v>220</v>
      </c>
      <c r="D25" t="s">
        <v>205</v>
      </c>
      <c r="E25" s="3">
        <v>-0.54</v>
      </c>
      <c r="F25" s="3">
        <v>0</v>
      </c>
      <c r="G25" s="3">
        <v>0.52649999999999997</v>
      </c>
      <c r="H25" s="3">
        <v>6.01306047579915E-2</v>
      </c>
      <c r="I25" s="3">
        <v>4.6630604757991433E-2</v>
      </c>
    </row>
    <row r="26" spans="3:9" x14ac:dyDescent="0.25">
      <c r="C26" t="s">
        <v>220</v>
      </c>
      <c r="D26" t="s">
        <v>206</v>
      </c>
      <c r="E26" s="3">
        <v>-0.54</v>
      </c>
      <c r="F26" s="3">
        <v>0</v>
      </c>
      <c r="G26" s="3">
        <v>0.52649999999999997</v>
      </c>
      <c r="H26" s="3">
        <v>0.48236331229977703</v>
      </c>
      <c r="I26" s="3">
        <v>0.46886331229977696</v>
      </c>
    </row>
    <row r="27" spans="3:9" x14ac:dyDescent="0.25">
      <c r="C27" t="s">
        <v>220</v>
      </c>
      <c r="D27" t="s">
        <v>207</v>
      </c>
      <c r="E27" s="3">
        <v>-0.54</v>
      </c>
      <c r="F27" s="3">
        <v>0</v>
      </c>
      <c r="G27" s="3">
        <v>0</v>
      </c>
      <c r="H27" s="3">
        <v>1.26460545501129</v>
      </c>
      <c r="I27" s="3">
        <v>0.72460545501128992</v>
      </c>
    </row>
    <row r="28" spans="3:9" x14ac:dyDescent="0.25">
      <c r="C28" t="s">
        <v>220</v>
      </c>
      <c r="D28" t="s">
        <v>208</v>
      </c>
      <c r="E28" s="3">
        <v>-0.54</v>
      </c>
      <c r="F28" s="3">
        <v>0</v>
      </c>
      <c r="G28" s="3">
        <v>0</v>
      </c>
      <c r="H28" s="3">
        <v>1.4250833485102601</v>
      </c>
      <c r="I28" s="3">
        <v>0.88508334851026005</v>
      </c>
    </row>
    <row r="29" spans="3:9" x14ac:dyDescent="0.25">
      <c r="C29" t="s">
        <v>220</v>
      </c>
      <c r="D29" t="s">
        <v>209</v>
      </c>
      <c r="E29" s="3">
        <v>-0.54</v>
      </c>
      <c r="F29" s="3">
        <v>0</v>
      </c>
      <c r="G29" s="3">
        <v>4.7348205379200203E-2</v>
      </c>
      <c r="H29" s="3">
        <v>1.53</v>
      </c>
      <c r="I29" s="3">
        <v>1.0373482053792002</v>
      </c>
    </row>
    <row r="30" spans="3:9" x14ac:dyDescent="0.25">
      <c r="C30" t="s">
        <v>220</v>
      </c>
      <c r="D30" t="s">
        <v>210</v>
      </c>
      <c r="E30" s="3">
        <v>-0.54</v>
      </c>
      <c r="F30" s="3">
        <v>0</v>
      </c>
      <c r="G30" s="3">
        <v>0.52649999999999997</v>
      </c>
      <c r="H30" s="3">
        <v>1.2214907324561799</v>
      </c>
      <c r="I30" s="3">
        <v>1.2079907324561798</v>
      </c>
    </row>
    <row r="31" spans="3:9" x14ac:dyDescent="0.25">
      <c r="C31" t="s">
        <v>0</v>
      </c>
      <c r="E31" s="3">
        <v>-10.470251757529319</v>
      </c>
      <c r="F31" s="3">
        <v>0</v>
      </c>
      <c r="G31" s="3">
        <v>6.2561395317143962</v>
      </c>
      <c r="H31" s="3">
        <v>9.834026574870391</v>
      </c>
      <c r="I31" s="3">
        <v>5.6199143490554642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C5:G10"/>
  <sheetViews>
    <sheetView workbookViewId="0">
      <selection activeCell="D9" sqref="D9"/>
    </sheetView>
  </sheetViews>
  <sheetFormatPr defaultRowHeight="15" x14ac:dyDescent="0.25"/>
  <cols>
    <col min="3" max="3" width="13.140625" customWidth="1"/>
    <col min="4" max="4" width="16.28515625" customWidth="1"/>
    <col min="5" max="5" width="8.28515625" customWidth="1"/>
    <col min="6" max="7" width="12" bestFit="1" customWidth="1"/>
    <col min="8" max="8" width="13.85546875" bestFit="1" customWidth="1"/>
    <col min="9" max="9" width="18.140625" bestFit="1" customWidth="1"/>
    <col min="10" max="13" width="12" bestFit="1" customWidth="1"/>
    <col min="14" max="14" width="12" customWidth="1"/>
    <col min="15" max="17" width="12" bestFit="1" customWidth="1"/>
    <col min="18" max="18" width="14.85546875" bestFit="1" customWidth="1"/>
    <col min="19" max="20" width="12" bestFit="1" customWidth="1"/>
    <col min="21" max="21" width="12.42578125" bestFit="1" customWidth="1"/>
    <col min="22" max="22" width="19.42578125" bestFit="1" customWidth="1"/>
    <col min="23" max="23" width="12" bestFit="1" customWidth="1"/>
    <col min="24" max="24" width="13.7109375" bestFit="1" customWidth="1"/>
    <col min="25" max="25" width="12" bestFit="1" customWidth="1"/>
    <col min="26" max="26" width="15.7109375" customWidth="1"/>
    <col min="27" max="27" width="9.42578125" customWidth="1"/>
    <col min="28" max="28" width="18.140625" customWidth="1"/>
    <col min="29" max="29" width="18.85546875" bestFit="1" customWidth="1"/>
    <col min="30" max="30" width="11.28515625" customWidth="1"/>
    <col min="31" max="31" width="13.85546875" bestFit="1" customWidth="1"/>
    <col min="32" max="32" width="12" customWidth="1"/>
    <col min="33" max="33" width="8.7109375" customWidth="1"/>
    <col min="34" max="34" width="14.42578125" bestFit="1" customWidth="1"/>
    <col min="35" max="35" width="10.28515625" customWidth="1"/>
    <col min="36" max="36" width="13.42578125" bestFit="1" customWidth="1"/>
    <col min="37" max="38" width="12" bestFit="1" customWidth="1"/>
    <col min="39" max="39" width="10.28515625" customWidth="1"/>
    <col min="40" max="40" width="12" bestFit="1" customWidth="1"/>
    <col min="41" max="41" width="12" customWidth="1"/>
    <col min="42" max="42" width="13.7109375" customWidth="1"/>
    <col min="43" max="43" width="20" customWidth="1"/>
    <col min="44" max="44" width="23.140625" bestFit="1" customWidth="1"/>
    <col min="45" max="45" width="12" bestFit="1" customWidth="1"/>
  </cols>
  <sheetData>
    <row r="5" spans="3:7" x14ac:dyDescent="0.25">
      <c r="C5" s="1" t="s">
        <v>121</v>
      </c>
      <c r="F5" s="1" t="s">
        <v>218</v>
      </c>
    </row>
    <row r="6" spans="3:7" x14ac:dyDescent="0.25">
      <c r="C6" s="1" t="s">
        <v>219</v>
      </c>
      <c r="D6" s="1" t="s">
        <v>138</v>
      </c>
      <c r="E6" s="1" t="s">
        <v>185</v>
      </c>
      <c r="F6" t="s">
        <v>16</v>
      </c>
      <c r="G6" t="s">
        <v>0</v>
      </c>
    </row>
    <row r="7" spans="3:7" x14ac:dyDescent="0.25">
      <c r="C7" t="s">
        <v>8</v>
      </c>
      <c r="D7" t="s">
        <v>186</v>
      </c>
      <c r="E7" t="s">
        <v>186</v>
      </c>
      <c r="F7" s="3">
        <v>0</v>
      </c>
      <c r="G7" s="3">
        <v>0</v>
      </c>
    </row>
    <row r="8" spans="3:7" x14ac:dyDescent="0.25">
      <c r="C8" t="s">
        <v>19</v>
      </c>
      <c r="D8" t="s">
        <v>186</v>
      </c>
      <c r="E8" t="s">
        <v>186</v>
      </c>
      <c r="F8" s="3">
        <v>1573.80465101241</v>
      </c>
      <c r="G8" s="3">
        <v>1573.80465101241</v>
      </c>
    </row>
    <row r="9" spans="3:7" x14ac:dyDescent="0.25">
      <c r="C9" t="s">
        <v>17</v>
      </c>
      <c r="D9" t="s">
        <v>186</v>
      </c>
      <c r="E9" t="s">
        <v>186</v>
      </c>
      <c r="F9" s="3">
        <v>0</v>
      </c>
      <c r="G9" s="3">
        <v>0</v>
      </c>
    </row>
    <row r="10" spans="3:7" x14ac:dyDescent="0.25">
      <c r="C10" t="s">
        <v>0</v>
      </c>
      <c r="F10" s="3">
        <v>1573.80465101241</v>
      </c>
      <c r="G10" s="3">
        <v>1573.80465101241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3:P29"/>
  <sheetViews>
    <sheetView workbookViewId="0">
      <selection activeCell="C5" sqref="C5"/>
    </sheetView>
  </sheetViews>
  <sheetFormatPr defaultRowHeight="15" x14ac:dyDescent="0.25"/>
  <cols>
    <col min="2" max="2" width="12.5703125" customWidth="1"/>
    <col min="3" max="3" width="7.85546875" customWidth="1"/>
    <col min="4" max="4" width="7.85546875" bestFit="1" customWidth="1"/>
    <col min="5" max="14" width="18.140625" bestFit="1" customWidth="1"/>
    <col min="15" max="15" width="18.140625" customWidth="1"/>
    <col min="16" max="16" width="12" customWidth="1"/>
    <col min="17" max="17" width="12" bestFit="1" customWidth="1"/>
  </cols>
  <sheetData>
    <row r="3" spans="2:16" x14ac:dyDescent="0.25">
      <c r="B3" s="1" t="s">
        <v>14</v>
      </c>
      <c r="E3" s="1" t="s">
        <v>11</v>
      </c>
    </row>
    <row r="4" spans="2:16" x14ac:dyDescent="0.25">
      <c r="B4" s="1" t="s">
        <v>140</v>
      </c>
      <c r="C4" s="1" t="s">
        <v>15</v>
      </c>
      <c r="D4" s="1" t="s">
        <v>72</v>
      </c>
      <c r="E4" t="s">
        <v>6</v>
      </c>
      <c r="F4" t="s">
        <v>18</v>
      </c>
      <c r="G4" t="s">
        <v>7</v>
      </c>
      <c r="H4" t="s">
        <v>8</v>
      </c>
      <c r="I4" t="s">
        <v>146</v>
      </c>
      <c r="J4" t="s">
        <v>178</v>
      </c>
      <c r="K4" t="s">
        <v>16</v>
      </c>
      <c r="L4" t="s">
        <v>19</v>
      </c>
      <c r="M4" t="s">
        <v>20</v>
      </c>
      <c r="N4" t="s">
        <v>21</v>
      </c>
      <c r="O4" t="s">
        <v>17</v>
      </c>
      <c r="P4" t="s">
        <v>0</v>
      </c>
    </row>
    <row r="5" spans="2:16" x14ac:dyDescent="0.25">
      <c r="B5" t="s">
        <v>180</v>
      </c>
      <c r="C5" t="s">
        <v>220</v>
      </c>
      <c r="D5" t="s">
        <v>40</v>
      </c>
      <c r="E5" s="3">
        <v>2496.6137064477198</v>
      </c>
      <c r="F5" s="3">
        <v>44279.089600767533</v>
      </c>
      <c r="G5" s="3">
        <v>12512.504553141369</v>
      </c>
      <c r="H5" s="3">
        <v>12195.01045471997</v>
      </c>
      <c r="I5" s="3">
        <v>9244.8732449516901</v>
      </c>
      <c r="J5" s="3">
        <v>27925.2310278068</v>
      </c>
      <c r="K5" s="3">
        <v>870.65846578531102</v>
      </c>
      <c r="L5" s="3">
        <v>626.37691782578304</v>
      </c>
      <c r="M5" s="3">
        <v>922.09306422709301</v>
      </c>
      <c r="N5" s="3">
        <v>13308.6951599888</v>
      </c>
      <c r="O5" s="3">
        <v>8431.4422706258101</v>
      </c>
      <c r="P5" s="3">
        <v>132812.58846628788</v>
      </c>
    </row>
    <row r="6" spans="2:16" x14ac:dyDescent="0.25">
      <c r="B6" t="s">
        <v>180</v>
      </c>
      <c r="C6" t="s">
        <v>220</v>
      </c>
      <c r="D6" t="s">
        <v>41</v>
      </c>
      <c r="E6" s="3">
        <v>2394.0987726177</v>
      </c>
      <c r="F6" s="3">
        <v>42208.499056215005</v>
      </c>
      <c r="G6" s="3">
        <v>12254.1646773672</v>
      </c>
      <c r="H6" s="3">
        <v>12021.05278844305</v>
      </c>
      <c r="I6" s="3">
        <v>8760.3195324266508</v>
      </c>
      <c r="J6" s="3">
        <v>27300.056696886</v>
      </c>
      <c r="K6" s="3">
        <v>832.46310001970096</v>
      </c>
      <c r="L6" s="3">
        <v>576.15719409339499</v>
      </c>
      <c r="M6" s="3">
        <v>850.190348850345</v>
      </c>
      <c r="N6" s="3">
        <v>13012.2492689766</v>
      </c>
      <c r="O6" s="3">
        <v>8215.9630102729298</v>
      </c>
      <c r="P6" s="3">
        <v>128425.21444616858</v>
      </c>
    </row>
    <row r="7" spans="2:16" x14ac:dyDescent="0.25">
      <c r="B7" t="s">
        <v>180</v>
      </c>
      <c r="C7" t="s">
        <v>220</v>
      </c>
      <c r="D7" t="s">
        <v>42</v>
      </c>
      <c r="E7" s="3">
        <v>2332.6352149815602</v>
      </c>
      <c r="F7" s="3">
        <v>41440.763217854001</v>
      </c>
      <c r="G7" s="3">
        <v>12170.34028243956</v>
      </c>
      <c r="H7" s="3">
        <v>12063.173123686829</v>
      </c>
      <c r="I7" s="3">
        <v>8550.7827918752791</v>
      </c>
      <c r="J7" s="3">
        <v>26417.8144134748</v>
      </c>
      <c r="K7" s="3">
        <v>811.89636460744998</v>
      </c>
      <c r="L7" s="3">
        <v>556.98239048648304</v>
      </c>
      <c r="M7" s="3">
        <v>807.52280346194505</v>
      </c>
      <c r="N7" s="3">
        <v>12948.725149473999</v>
      </c>
      <c r="O7" s="3">
        <v>8184.9470561312301</v>
      </c>
      <c r="P7" s="3">
        <v>126285.58280847315</v>
      </c>
    </row>
    <row r="8" spans="2:16" x14ac:dyDescent="0.25">
      <c r="B8" t="s">
        <v>180</v>
      </c>
      <c r="C8" t="s">
        <v>220</v>
      </c>
      <c r="D8" t="s">
        <v>43</v>
      </c>
      <c r="E8" s="3">
        <v>2307.63553629642</v>
      </c>
      <c r="F8" s="3">
        <v>41942.936334493235</v>
      </c>
      <c r="G8" s="3">
        <v>12217.588806807169</v>
      </c>
      <c r="H8" s="3">
        <v>12135.767579057756</v>
      </c>
      <c r="I8" s="3">
        <v>8492.7860154726695</v>
      </c>
      <c r="J8" s="3">
        <v>25472.121600955099</v>
      </c>
      <c r="K8" s="3">
        <v>806.02015448966404</v>
      </c>
      <c r="L8" s="3">
        <v>546.93844574000605</v>
      </c>
      <c r="M8" s="3">
        <v>786.97917049715898</v>
      </c>
      <c r="N8" s="3">
        <v>13124.396788592299</v>
      </c>
      <c r="O8" s="3">
        <v>8260.0383135269294</v>
      </c>
      <c r="P8" s="3">
        <v>126093.20874592842</v>
      </c>
    </row>
    <row r="9" spans="2:16" x14ac:dyDescent="0.25">
      <c r="B9" t="s">
        <v>180</v>
      </c>
      <c r="C9" t="s">
        <v>220</v>
      </c>
      <c r="D9" t="s">
        <v>44</v>
      </c>
      <c r="E9" s="3">
        <v>2323.7326622190803</v>
      </c>
      <c r="F9" s="3">
        <v>43653.120328137637</v>
      </c>
      <c r="G9" s="3">
        <v>12399.346386043442</v>
      </c>
      <c r="H9" s="3">
        <v>12412.788763435081</v>
      </c>
      <c r="I9" s="3">
        <v>8585.3937713413507</v>
      </c>
      <c r="J9" s="3">
        <v>24732.176460029499</v>
      </c>
      <c r="K9" s="3">
        <v>808.95825954855695</v>
      </c>
      <c r="L9" s="3">
        <v>555.15621871439703</v>
      </c>
      <c r="M9" s="3">
        <v>777.49749374418104</v>
      </c>
      <c r="N9" s="3">
        <v>13603.572554222999</v>
      </c>
      <c r="O9" s="3">
        <v>8619.1704141150603</v>
      </c>
      <c r="P9" s="3">
        <v>128470.91331155128</v>
      </c>
    </row>
    <row r="10" spans="2:16" x14ac:dyDescent="0.25">
      <c r="B10" t="s">
        <v>180</v>
      </c>
      <c r="C10" t="s">
        <v>220</v>
      </c>
      <c r="D10" t="s">
        <v>45</v>
      </c>
      <c r="E10" s="3">
        <v>2596.3125936565602</v>
      </c>
      <c r="F10" s="3">
        <v>47515.760066263829</v>
      </c>
      <c r="G10" s="3">
        <v>12916.903315270451</v>
      </c>
      <c r="H10" s="3">
        <v>13025.740019769761</v>
      </c>
      <c r="I10" s="3">
        <v>9030.6593450130094</v>
      </c>
      <c r="J10" s="3">
        <v>25899.479576420301</v>
      </c>
      <c r="K10" s="3">
        <v>821.69004813709296</v>
      </c>
      <c r="L10" s="3">
        <v>599.89742713052397</v>
      </c>
      <c r="M10" s="3">
        <v>786.18903076774404</v>
      </c>
      <c r="N10" s="3">
        <v>15026.1991317257</v>
      </c>
      <c r="O10" s="3">
        <v>9508.0223630706696</v>
      </c>
      <c r="P10" s="3">
        <v>137726.85291722562</v>
      </c>
    </row>
    <row r="11" spans="2:16" x14ac:dyDescent="0.25">
      <c r="B11" t="s">
        <v>180</v>
      </c>
      <c r="C11" t="s">
        <v>220</v>
      </c>
      <c r="D11" t="s">
        <v>141</v>
      </c>
      <c r="E11" s="3">
        <v>3239.8722198630899</v>
      </c>
      <c r="F11" s="3">
        <v>56469.017541454989</v>
      </c>
      <c r="G11" s="3">
        <v>13965.878461134631</v>
      </c>
      <c r="H11" s="3">
        <v>14717.990301077391</v>
      </c>
      <c r="I11" s="3">
        <v>10427.259138063</v>
      </c>
      <c r="J11" s="3">
        <v>31354.825435716</v>
      </c>
      <c r="K11" s="3">
        <v>848.13299366713102</v>
      </c>
      <c r="L11" s="3">
        <v>724.99019351847198</v>
      </c>
      <c r="M11" s="3">
        <v>843.07909128561096</v>
      </c>
      <c r="N11" s="3">
        <v>17854.198822174701</v>
      </c>
      <c r="O11" s="3">
        <v>9961.8347447229407</v>
      </c>
      <c r="P11" s="3">
        <v>160407.07894267794</v>
      </c>
    </row>
    <row r="12" spans="2:16" x14ac:dyDescent="0.25">
      <c r="B12" t="s">
        <v>180</v>
      </c>
      <c r="C12" t="s">
        <v>220</v>
      </c>
      <c r="D12" t="s">
        <v>142</v>
      </c>
      <c r="E12" s="3">
        <v>3958.8214377244703</v>
      </c>
      <c r="F12" s="3">
        <v>64337.061939535182</v>
      </c>
      <c r="G12" s="3">
        <v>15303.4219231201</v>
      </c>
      <c r="H12" s="3">
        <v>15839.723250863204</v>
      </c>
      <c r="I12" s="3">
        <v>12839.7379500361</v>
      </c>
      <c r="J12" s="3">
        <v>38240.607487999099</v>
      </c>
      <c r="K12" s="3">
        <v>891.225201197562</v>
      </c>
      <c r="L12" s="3">
        <v>907.60737072715494</v>
      </c>
      <c r="M12" s="3">
        <v>1027.1816482392601</v>
      </c>
      <c r="N12" s="3">
        <v>18697.265840264699</v>
      </c>
      <c r="O12" s="3">
        <v>10232.8162388031</v>
      </c>
      <c r="P12" s="3">
        <v>182275.47028850991</v>
      </c>
    </row>
    <row r="13" spans="2:16" x14ac:dyDescent="0.25">
      <c r="B13" t="s">
        <v>180</v>
      </c>
      <c r="C13" t="s">
        <v>220</v>
      </c>
      <c r="D13" t="s">
        <v>143</v>
      </c>
      <c r="E13" s="3">
        <v>4127.0695562963101</v>
      </c>
      <c r="F13" s="3">
        <v>67605.679800125799</v>
      </c>
      <c r="G13" s="3">
        <v>15820.00074069203</v>
      </c>
      <c r="H13" s="3">
        <v>16302.8513509287</v>
      </c>
      <c r="I13" s="3">
        <v>14346.718704626501</v>
      </c>
      <c r="J13" s="3">
        <v>40250.029759100304</v>
      </c>
      <c r="K13" s="3">
        <v>942.15235555170898</v>
      </c>
      <c r="L13" s="3">
        <v>1029.9608794569699</v>
      </c>
      <c r="M13" s="3">
        <v>1220.76588194589</v>
      </c>
      <c r="N13" s="3">
        <v>19099.5852637811</v>
      </c>
      <c r="O13" s="3">
        <v>10107.9362129167</v>
      </c>
      <c r="P13" s="3">
        <v>190852.75050542207</v>
      </c>
    </row>
    <row r="14" spans="2:16" x14ac:dyDescent="0.25">
      <c r="B14" t="s">
        <v>180</v>
      </c>
      <c r="C14" t="s">
        <v>220</v>
      </c>
      <c r="D14" t="s">
        <v>144</v>
      </c>
      <c r="E14" s="3">
        <v>4110.5817460141807</v>
      </c>
      <c r="F14" s="3">
        <v>67795.367458498396</v>
      </c>
      <c r="G14" s="3">
        <v>15660.372508152099</v>
      </c>
      <c r="H14" s="3">
        <v>16065.81090292889</v>
      </c>
      <c r="I14" s="3">
        <v>14696.570226797099</v>
      </c>
      <c r="J14" s="3">
        <v>41010.969560392601</v>
      </c>
      <c r="K14" s="3">
        <v>983.28582637621196</v>
      </c>
      <c r="L14" s="3">
        <v>1064.65814312662</v>
      </c>
      <c r="M14" s="3">
        <v>1321.11362758158</v>
      </c>
      <c r="N14" s="3">
        <v>19130.170950949101</v>
      </c>
      <c r="O14" s="3">
        <v>9990.4020709060896</v>
      </c>
      <c r="P14" s="3">
        <v>191829.30302172285</v>
      </c>
    </row>
    <row r="15" spans="2:16" x14ac:dyDescent="0.25">
      <c r="B15" t="s">
        <v>180</v>
      </c>
      <c r="C15" t="s">
        <v>220</v>
      </c>
      <c r="D15" t="s">
        <v>145</v>
      </c>
      <c r="E15" s="3">
        <v>4145.7375441651502</v>
      </c>
      <c r="F15" s="3">
        <v>69028.337237920918</v>
      </c>
      <c r="G15" s="3">
        <v>15484.138256944399</v>
      </c>
      <c r="H15" s="3">
        <v>16235.233134945418</v>
      </c>
      <c r="I15" s="3">
        <v>14743.341820670201</v>
      </c>
      <c r="J15" s="3">
        <v>41177.060651293999</v>
      </c>
      <c r="K15" s="3">
        <v>1027.3574022596099</v>
      </c>
      <c r="L15" s="3">
        <v>1077.4413455312299</v>
      </c>
      <c r="M15" s="3">
        <v>1332.1755837933799</v>
      </c>
      <c r="N15" s="3">
        <v>19352.897493402601</v>
      </c>
      <c r="O15" s="3">
        <v>9983.8723963499397</v>
      </c>
      <c r="P15" s="3">
        <v>193587.59286727681</v>
      </c>
    </row>
    <row r="16" spans="2:16" x14ac:dyDescent="0.25">
      <c r="B16" t="s">
        <v>180</v>
      </c>
      <c r="C16" t="s">
        <v>220</v>
      </c>
      <c r="D16" t="s">
        <v>179</v>
      </c>
      <c r="E16" s="3">
        <v>4141.4317030883903</v>
      </c>
      <c r="F16" s="3">
        <v>70028.690046812655</v>
      </c>
      <c r="G16" s="3">
        <v>15379.930559107501</v>
      </c>
      <c r="H16" s="3">
        <v>16156.963436666061</v>
      </c>
      <c r="I16" s="3">
        <v>14925.7510367752</v>
      </c>
      <c r="J16" s="3">
        <v>41395.405119108102</v>
      </c>
      <c r="K16" s="3">
        <v>1046.9447693188899</v>
      </c>
      <c r="L16" s="3">
        <v>1057.35345603828</v>
      </c>
      <c r="M16" s="3">
        <v>1332.9657235228001</v>
      </c>
      <c r="N16" s="3">
        <v>19265.845922232402</v>
      </c>
      <c r="O16" s="3">
        <v>9885.9272780077208</v>
      </c>
      <c r="P16" s="3">
        <v>194617.20905067798</v>
      </c>
    </row>
    <row r="17" spans="2:16" x14ac:dyDescent="0.25">
      <c r="B17" t="s">
        <v>180</v>
      </c>
      <c r="C17" t="s">
        <v>220</v>
      </c>
      <c r="D17" t="s">
        <v>199</v>
      </c>
      <c r="E17" s="3">
        <v>4139.7783663427899</v>
      </c>
      <c r="F17" s="3">
        <v>69797.071432378725</v>
      </c>
      <c r="G17" s="3">
        <v>15217.084928152111</v>
      </c>
      <c r="H17" s="3">
        <v>16169.214974724931</v>
      </c>
      <c r="I17" s="3">
        <v>14815.370075234699</v>
      </c>
      <c r="J17" s="3">
        <v>41529.3043974471</v>
      </c>
      <c r="K17" s="3">
        <v>1048.90350602482</v>
      </c>
      <c r="L17" s="3">
        <v>1053.7011124941</v>
      </c>
      <c r="M17" s="3">
        <v>1332.9657235228001</v>
      </c>
      <c r="N17" s="3">
        <v>19321.527557845799</v>
      </c>
      <c r="O17" s="3">
        <v>9803.49013673636</v>
      </c>
      <c r="P17" s="3">
        <v>194228.41221090424</v>
      </c>
    </row>
    <row r="18" spans="2:16" x14ac:dyDescent="0.25">
      <c r="B18" t="s">
        <v>180</v>
      </c>
      <c r="C18" t="s">
        <v>220</v>
      </c>
      <c r="D18" t="s">
        <v>200</v>
      </c>
      <c r="E18" s="3">
        <v>4130.19451613195</v>
      </c>
      <c r="F18" s="3">
        <v>69307.87694499646</v>
      </c>
      <c r="G18" s="3">
        <v>15226.39027032233</v>
      </c>
      <c r="H18" s="3">
        <v>16095.86294185565</v>
      </c>
      <c r="I18" s="3">
        <v>14960.362016241301</v>
      </c>
      <c r="J18" s="3">
        <v>41299.762777437398</v>
      </c>
      <c r="K18" s="3">
        <v>1052.8209794366801</v>
      </c>
      <c r="L18" s="3">
        <v>1049.1356830638799</v>
      </c>
      <c r="M18" s="3">
        <v>1310.05167136977</v>
      </c>
      <c r="N18" s="3">
        <v>18755.300221044799</v>
      </c>
      <c r="O18" s="3">
        <v>9735.7447632163203</v>
      </c>
      <c r="P18" s="3">
        <v>192923.50278511652</v>
      </c>
    </row>
    <row r="19" spans="2:16" x14ac:dyDescent="0.25">
      <c r="B19" t="s">
        <v>180</v>
      </c>
      <c r="C19" t="s">
        <v>220</v>
      </c>
      <c r="D19" t="s">
        <v>201</v>
      </c>
      <c r="E19" s="3">
        <v>4059.21070806444</v>
      </c>
      <c r="F19" s="3">
        <v>68696.883013817089</v>
      </c>
      <c r="G19" s="3">
        <v>15181.03316594914</v>
      </c>
      <c r="H19" s="3">
        <v>16249.303954167603</v>
      </c>
      <c r="I19" s="3">
        <v>14868.68969225</v>
      </c>
      <c r="J19" s="3">
        <v>41339.419358130101</v>
      </c>
      <c r="K19" s="3">
        <v>1051.84161108372</v>
      </c>
      <c r="L19" s="3">
        <v>1052.7880266080599</v>
      </c>
      <c r="M19" s="3">
        <v>1327.4347454168999</v>
      </c>
      <c r="N19" s="3">
        <v>19021.160424889102</v>
      </c>
      <c r="O19" s="3">
        <v>9851.6464865879498</v>
      </c>
      <c r="P19" s="3">
        <v>192699.41118696405</v>
      </c>
    </row>
    <row r="20" spans="2:16" x14ac:dyDescent="0.25">
      <c r="B20" t="s">
        <v>180</v>
      </c>
      <c r="C20" t="s">
        <v>220</v>
      </c>
      <c r="D20" t="s">
        <v>202</v>
      </c>
      <c r="E20" s="3">
        <v>3984.2661861057104</v>
      </c>
      <c r="F20" s="3">
        <v>68300.535643427807</v>
      </c>
      <c r="G20" s="3">
        <v>15227.05989442164</v>
      </c>
      <c r="H20" s="3">
        <v>16448.06330361736</v>
      </c>
      <c r="I20" s="3">
        <v>14776.081936381301</v>
      </c>
      <c r="J20" s="3">
        <v>41645.4748514764</v>
      </c>
      <c r="K20" s="3">
        <v>1067.5115047311499</v>
      </c>
      <c r="L20" s="3">
        <v>1060.0927136964101</v>
      </c>
      <c r="M20" s="3">
        <v>1326.64460568748</v>
      </c>
      <c r="N20" s="3">
        <v>19991.275681984302</v>
      </c>
      <c r="O20" s="3">
        <v>9981.4237683913907</v>
      </c>
      <c r="P20" s="3">
        <v>193808.43008992093</v>
      </c>
    </row>
    <row r="21" spans="2:16" x14ac:dyDescent="0.25">
      <c r="B21" t="s">
        <v>180</v>
      </c>
      <c r="C21" t="s">
        <v>220</v>
      </c>
      <c r="D21" t="s">
        <v>203</v>
      </c>
      <c r="E21" s="3">
        <v>4170.55538043467</v>
      </c>
      <c r="F21" s="3">
        <v>68168.752638663602</v>
      </c>
      <c r="G21" s="3">
        <v>15324.80039406154</v>
      </c>
      <c r="H21" s="3">
        <v>16501.109471256939</v>
      </c>
      <c r="I21" s="3">
        <v>15061.3886590071</v>
      </c>
      <c r="J21" s="3">
        <v>45465.103394198799</v>
      </c>
      <c r="K21" s="3">
        <v>1137.04665779162</v>
      </c>
      <c r="L21" s="3">
        <v>1103.9208362264901</v>
      </c>
      <c r="M21" s="3">
        <v>1326.64460568748</v>
      </c>
      <c r="N21" s="3">
        <v>21362.926114206999</v>
      </c>
      <c r="O21" s="3">
        <v>10041.8232580358</v>
      </c>
      <c r="P21" s="3">
        <v>199664.07140957101</v>
      </c>
    </row>
    <row r="22" spans="2:16" x14ac:dyDescent="0.25">
      <c r="B22" t="s">
        <v>180</v>
      </c>
      <c r="C22" t="s">
        <v>220</v>
      </c>
      <c r="D22" t="s">
        <v>204</v>
      </c>
      <c r="E22" s="3">
        <v>4477.0465002425099</v>
      </c>
      <c r="F22" s="3">
        <v>70163.468119867059</v>
      </c>
      <c r="G22" s="3">
        <v>15055.746644875071</v>
      </c>
      <c r="H22" s="3">
        <v>16491.97108687917</v>
      </c>
      <c r="I22" s="3">
        <v>15754.543680205999</v>
      </c>
      <c r="J22" s="3">
        <v>47904.216380806</v>
      </c>
      <c r="K22" s="3">
        <v>1157.6133932038699</v>
      </c>
      <c r="L22" s="3">
        <v>1095.7030632521</v>
      </c>
      <c r="M22" s="3">
        <v>1355.8797756758299</v>
      </c>
      <c r="N22" s="3">
        <v>20902.5723099104</v>
      </c>
      <c r="O22" s="3">
        <v>10019.785606408799</v>
      </c>
      <c r="P22" s="3">
        <v>204378.54656132683</v>
      </c>
    </row>
    <row r="23" spans="2:16" x14ac:dyDescent="0.25">
      <c r="B23" t="s">
        <v>180</v>
      </c>
      <c r="C23" t="s">
        <v>220</v>
      </c>
      <c r="D23" t="s">
        <v>205</v>
      </c>
      <c r="E23" s="3">
        <v>4317.5101350947998</v>
      </c>
      <c r="F23" s="3">
        <v>69627.350895939977</v>
      </c>
      <c r="G23" s="3">
        <v>14889.043480138911</v>
      </c>
      <c r="H23" s="3">
        <v>16249.171062526011</v>
      </c>
      <c r="I23" s="3">
        <v>15045.486317090301</v>
      </c>
      <c r="J23" s="3">
        <v>46756.0417327494</v>
      </c>
      <c r="K23" s="3">
        <v>1148.79907802719</v>
      </c>
      <c r="L23" s="3">
        <v>1068.3104866707999</v>
      </c>
      <c r="M23" s="3">
        <v>1379.5839675582699</v>
      </c>
      <c r="N23" s="3">
        <v>21033.541790860199</v>
      </c>
      <c r="O23" s="3">
        <v>10040.190839396701</v>
      </c>
      <c r="P23" s="3">
        <v>201555.02978605256</v>
      </c>
    </row>
    <row r="24" spans="2:16" x14ac:dyDescent="0.25">
      <c r="B24" t="s">
        <v>180</v>
      </c>
      <c r="C24" t="s">
        <v>220</v>
      </c>
      <c r="D24" t="s">
        <v>206</v>
      </c>
      <c r="E24" s="3">
        <v>4082.55692124392</v>
      </c>
      <c r="F24" s="3">
        <v>67802.355951175283</v>
      </c>
      <c r="G24" s="3">
        <v>14704.210621670081</v>
      </c>
      <c r="H24" s="3">
        <v>15993.57301002956</v>
      </c>
      <c r="I24" s="3">
        <v>14629.219131619901</v>
      </c>
      <c r="J24" s="3">
        <v>44260.476437156001</v>
      </c>
      <c r="K24" s="3">
        <v>1134.10855273272</v>
      </c>
      <c r="L24" s="3">
        <v>1029.9608794569699</v>
      </c>
      <c r="M24" s="3">
        <v>1344.02767973461</v>
      </c>
      <c r="N24" s="3">
        <v>20687.688251346099</v>
      </c>
      <c r="O24" s="3">
        <v>9905.5163016761708</v>
      </c>
      <c r="P24" s="3">
        <v>195573.69373784127</v>
      </c>
    </row>
    <row r="25" spans="2:16" x14ac:dyDescent="0.25">
      <c r="B25" t="s">
        <v>180</v>
      </c>
      <c r="C25" t="s">
        <v>220</v>
      </c>
      <c r="D25" t="s">
        <v>207</v>
      </c>
      <c r="E25" s="3">
        <v>3791.74511471096</v>
      </c>
      <c r="F25" s="3">
        <v>63599.276784075031</v>
      </c>
      <c r="G25" s="3">
        <v>14526.476277199839</v>
      </c>
      <c r="H25" s="3">
        <v>15540.168096416932</v>
      </c>
      <c r="I25" s="3">
        <v>13893.034244057701</v>
      </c>
      <c r="J25" s="3">
        <v>41308.160641584102</v>
      </c>
      <c r="K25" s="3">
        <v>1106.68623884972</v>
      </c>
      <c r="L25" s="3">
        <v>994.35052990127997</v>
      </c>
      <c r="M25" s="3">
        <v>1306.8911124521101</v>
      </c>
      <c r="N25" s="3">
        <v>20014.018885263002</v>
      </c>
      <c r="O25" s="3">
        <v>9537.4058985733409</v>
      </c>
      <c r="P25" s="3">
        <v>185618.21382308402</v>
      </c>
    </row>
    <row r="26" spans="2:16" x14ac:dyDescent="0.25">
      <c r="B26" t="s">
        <v>180</v>
      </c>
      <c r="C26" t="s">
        <v>220</v>
      </c>
      <c r="D26" t="s">
        <v>208</v>
      </c>
      <c r="E26" s="3">
        <v>3456.9203856784397</v>
      </c>
      <c r="F26" s="3">
        <v>59545.95103147957</v>
      </c>
      <c r="G26" s="3">
        <v>14128.44682869588</v>
      </c>
      <c r="H26" s="3">
        <v>14813.808216940841</v>
      </c>
      <c r="I26" s="3">
        <v>13011.857415488999</v>
      </c>
      <c r="J26" s="3">
        <v>37925.221034489798</v>
      </c>
      <c r="K26" s="3">
        <v>1053.80034778965</v>
      </c>
      <c r="L26" s="3">
        <v>943.21772028284795</v>
      </c>
      <c r="M26" s="3">
        <v>1265.80384652254</v>
      </c>
      <c r="N26" s="3">
        <v>18029.870461293001</v>
      </c>
      <c r="O26" s="3">
        <v>9676.9776922109904</v>
      </c>
      <c r="P26" s="3">
        <v>173851.87498087253</v>
      </c>
    </row>
    <row r="27" spans="2:16" x14ac:dyDescent="0.25">
      <c r="B27" t="s">
        <v>180</v>
      </c>
      <c r="C27" t="s">
        <v>220</v>
      </c>
      <c r="D27" t="s">
        <v>209</v>
      </c>
      <c r="E27" s="3">
        <v>3156.1614303835499</v>
      </c>
      <c r="F27" s="3">
        <v>56283.323307469225</v>
      </c>
      <c r="G27" s="3">
        <v>13584.64813359407</v>
      </c>
      <c r="H27" s="3">
        <v>13950.509971969735</v>
      </c>
      <c r="I27" s="3">
        <v>11966.0445764871</v>
      </c>
      <c r="J27" s="3">
        <v>33819.132014763301</v>
      </c>
      <c r="K27" s="3">
        <v>989.16203649399802</v>
      </c>
      <c r="L27" s="3">
        <v>849.16987402037603</v>
      </c>
      <c r="M27" s="3">
        <v>1197.06169006345</v>
      </c>
      <c r="N27" s="3">
        <v>16967.213894305001</v>
      </c>
      <c r="O27" s="3">
        <v>9284.3810095226108</v>
      </c>
      <c r="P27" s="3">
        <v>162046.80793907243</v>
      </c>
    </row>
    <row r="28" spans="2:16" x14ac:dyDescent="0.25">
      <c r="B28" t="s">
        <v>180</v>
      </c>
      <c r="C28" t="s">
        <v>220</v>
      </c>
      <c r="D28" t="s">
        <v>210</v>
      </c>
      <c r="E28" s="3">
        <v>2913.7774156202599</v>
      </c>
      <c r="F28" s="3">
        <v>51032.96859493223</v>
      </c>
      <c r="G28" s="3">
        <v>13008.729164672139</v>
      </c>
      <c r="H28" s="3">
        <v>13173.429214051852</v>
      </c>
      <c r="I28" s="3">
        <v>10942.682102544301</v>
      </c>
      <c r="J28" s="3">
        <v>30229.511640058699</v>
      </c>
      <c r="K28" s="3">
        <v>922.564988492422</v>
      </c>
      <c r="L28" s="3">
        <v>740.51265358120997</v>
      </c>
      <c r="M28" s="3">
        <v>1069.84919362766</v>
      </c>
      <c r="N28" s="3">
        <v>15700.6527461977</v>
      </c>
      <c r="O28" s="3">
        <v>8881.9898150000008</v>
      </c>
      <c r="P28" s="3">
        <v>148616.66752877849</v>
      </c>
    </row>
    <row r="29" spans="2:16" x14ac:dyDescent="0.25">
      <c r="B29" t="s">
        <v>0</v>
      </c>
      <c r="E29" s="3">
        <v>84854.265753424639</v>
      </c>
      <c r="F29" s="3">
        <v>1438630.1369863015</v>
      </c>
      <c r="G29" s="3">
        <v>342158.26027397276</v>
      </c>
      <c r="H29" s="3">
        <v>356848.2904109587</v>
      </c>
      <c r="I29" s="3">
        <v>304368.9534246574</v>
      </c>
      <c r="J29" s="3">
        <v>884657.60244947975</v>
      </c>
      <c r="K29" s="3">
        <v>23561.643835616447</v>
      </c>
      <c r="L29" s="3">
        <v>21364.383561643834</v>
      </c>
      <c r="M29" s="3">
        <v>27550.592085235887</v>
      </c>
      <c r="N29" s="3">
        <v>426211.55068493146</v>
      </c>
      <c r="O29" s="3">
        <v>228142.74794520557</v>
      </c>
      <c r="P29" s="3">
        <v>4138348.4274114273</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C2:F38"/>
  <sheetViews>
    <sheetView workbookViewId="0">
      <selection activeCell="G8" sqref="G8"/>
    </sheetView>
  </sheetViews>
  <sheetFormatPr defaultRowHeight="15" x14ac:dyDescent="0.25"/>
  <cols>
    <col min="3" max="3" width="17.7109375" customWidth="1"/>
    <col min="4" max="4" width="16.28515625" customWidth="1"/>
    <col min="5" max="7" width="12" bestFit="1" customWidth="1"/>
    <col min="8" max="8" width="12" customWidth="1"/>
    <col min="9" max="9" width="18.140625" bestFit="1" customWidth="1"/>
    <col min="10" max="10" width="8.7109375" customWidth="1"/>
    <col min="11" max="12" width="12" bestFit="1" customWidth="1"/>
    <col min="13" max="13" width="11" bestFit="1" customWidth="1"/>
    <col min="14" max="14" width="12" bestFit="1" customWidth="1"/>
  </cols>
  <sheetData>
    <row r="2" spans="3:5" x14ac:dyDescent="0.25">
      <c r="C2" s="1" t="s">
        <v>140</v>
      </c>
      <c r="D2" t="s">
        <v>180</v>
      </c>
    </row>
    <row r="4" spans="3:5" x14ac:dyDescent="0.25">
      <c r="C4" s="1" t="s">
        <v>13</v>
      </c>
      <c r="D4" s="1" t="s">
        <v>38</v>
      </c>
    </row>
    <row r="5" spans="3:5" x14ac:dyDescent="0.25">
      <c r="C5" s="1" t="s">
        <v>39</v>
      </c>
      <c r="D5" t="s">
        <v>186</v>
      </c>
      <c r="E5" t="s">
        <v>0</v>
      </c>
    </row>
    <row r="6" spans="3:5" x14ac:dyDescent="0.25">
      <c r="C6" s="2" t="s">
        <v>6</v>
      </c>
      <c r="D6" s="3">
        <v>30.971806999999998</v>
      </c>
      <c r="E6" s="3">
        <v>30.971806999999998</v>
      </c>
    </row>
    <row r="7" spans="3:5" x14ac:dyDescent="0.25">
      <c r="C7" s="2" t="s">
        <v>18</v>
      </c>
      <c r="D7" s="3">
        <v>525.1</v>
      </c>
      <c r="E7" s="3">
        <v>525.1</v>
      </c>
    </row>
    <row r="8" spans="3:5" x14ac:dyDescent="0.25">
      <c r="C8" s="2" t="s">
        <v>7</v>
      </c>
      <c r="D8" s="3">
        <v>124.887765</v>
      </c>
      <c r="E8" s="3">
        <v>124.887765</v>
      </c>
    </row>
    <row r="9" spans="3:5" x14ac:dyDescent="0.25">
      <c r="C9" s="2" t="s">
        <v>8</v>
      </c>
      <c r="D9" s="3">
        <v>130.24962600000001</v>
      </c>
      <c r="E9" s="3">
        <v>130.24962600000001</v>
      </c>
    </row>
    <row r="10" spans="3:5" x14ac:dyDescent="0.25">
      <c r="C10" s="2" t="s">
        <v>146</v>
      </c>
      <c r="D10" s="3">
        <v>111.094668</v>
      </c>
      <c r="E10" s="3">
        <v>111.094668</v>
      </c>
    </row>
    <row r="11" spans="3:5" x14ac:dyDescent="0.25">
      <c r="C11" s="2" t="s">
        <v>178</v>
      </c>
      <c r="D11" s="3">
        <v>322.90002489405998</v>
      </c>
      <c r="E11" s="3">
        <v>322.90002489405998</v>
      </c>
    </row>
    <row r="12" spans="3:5" x14ac:dyDescent="0.25">
      <c r="C12" s="2" t="s">
        <v>16</v>
      </c>
      <c r="D12" s="3">
        <v>8.6</v>
      </c>
      <c r="E12" s="3">
        <v>8.6</v>
      </c>
    </row>
    <row r="13" spans="3:5" x14ac:dyDescent="0.25">
      <c r="C13" s="2" t="s">
        <v>19</v>
      </c>
      <c r="D13" s="3">
        <v>7.798</v>
      </c>
      <c r="E13" s="3">
        <v>7.798</v>
      </c>
    </row>
    <row r="14" spans="3:5" x14ac:dyDescent="0.25">
      <c r="C14" s="2" t="s">
        <v>20</v>
      </c>
      <c r="D14" s="3">
        <v>10.055966111111101</v>
      </c>
      <c r="E14" s="3">
        <v>10.055966111111101</v>
      </c>
    </row>
    <row r="15" spans="3:5" x14ac:dyDescent="0.25">
      <c r="C15" s="2" t="s">
        <v>21</v>
      </c>
      <c r="D15" s="3">
        <v>155.567216</v>
      </c>
      <c r="E15" s="3">
        <v>155.567216</v>
      </c>
    </row>
    <row r="16" spans="3:5" x14ac:dyDescent="0.25">
      <c r="C16" s="2" t="s">
        <v>17</v>
      </c>
      <c r="D16" s="3">
        <v>83.272103000000001</v>
      </c>
      <c r="E16" s="3">
        <v>83.272103000000001</v>
      </c>
    </row>
    <row r="17" spans="3:6" x14ac:dyDescent="0.25">
      <c r="C17" s="2" t="s">
        <v>0</v>
      </c>
      <c r="D17" s="3">
        <v>1510.4971760051708</v>
      </c>
      <c r="E17" s="3">
        <v>1510.4971760051708</v>
      </c>
    </row>
    <row r="26" spans="3:6" x14ac:dyDescent="0.25">
      <c r="E26" s="2"/>
      <c r="F26" s="7"/>
    </row>
    <row r="27" spans="3:6" x14ac:dyDescent="0.25">
      <c r="E27" s="2"/>
      <c r="F27" s="7"/>
    </row>
    <row r="28" spans="3:6" x14ac:dyDescent="0.25">
      <c r="E28" s="2"/>
      <c r="F28" s="7"/>
    </row>
    <row r="29" spans="3:6" x14ac:dyDescent="0.25">
      <c r="E29" s="2"/>
      <c r="F29" s="7"/>
    </row>
    <row r="30" spans="3:6" x14ac:dyDescent="0.25">
      <c r="E30" s="2"/>
      <c r="F30" s="7"/>
    </row>
    <row r="31" spans="3:6" x14ac:dyDescent="0.25">
      <c r="E31" s="2"/>
      <c r="F31" s="7"/>
    </row>
    <row r="32" spans="3:6" x14ac:dyDescent="0.25">
      <c r="E32" s="2"/>
      <c r="F32" s="7"/>
    </row>
    <row r="33" spans="5:6" x14ac:dyDescent="0.25">
      <c r="E33" s="2"/>
      <c r="F33" s="7"/>
    </row>
    <row r="34" spans="5:6" x14ac:dyDescent="0.25">
      <c r="E34" s="2"/>
      <c r="F34" s="7"/>
    </row>
    <row r="35" spans="5:6" x14ac:dyDescent="0.25">
      <c r="E35" s="2"/>
      <c r="F35" s="7"/>
    </row>
    <row r="36" spans="5:6" x14ac:dyDescent="0.25">
      <c r="E36" s="2"/>
      <c r="F36" s="7"/>
    </row>
    <row r="37" spans="5:6" x14ac:dyDescent="0.25">
      <c r="E37" s="2"/>
      <c r="F37" s="7"/>
    </row>
    <row r="38" spans="5:6" x14ac:dyDescent="0.25">
      <c r="E38" s="2"/>
      <c r="F38" s="7"/>
    </row>
  </sheetData>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H12"/>
  <sheetViews>
    <sheetView topLeftCell="A53" zoomScale="85" zoomScaleNormal="85" workbookViewId="0">
      <selection activeCell="F76" sqref="F76"/>
    </sheetView>
  </sheetViews>
  <sheetFormatPr defaultRowHeight="15" x14ac:dyDescent="0.25"/>
  <cols>
    <col min="2" max="2" width="15.5703125" bestFit="1" customWidth="1"/>
    <col min="3" max="3" width="37" bestFit="1" customWidth="1"/>
    <col min="4" max="4" width="13.140625" customWidth="1"/>
    <col min="5" max="5" width="8.85546875" customWidth="1"/>
    <col min="6" max="7" width="40" bestFit="1" customWidth="1"/>
    <col min="8" max="8" width="12.28515625" bestFit="1" customWidth="1"/>
  </cols>
  <sheetData>
    <row r="3" spans="2:8" x14ac:dyDescent="0.25">
      <c r="B3" s="1" t="s">
        <v>14</v>
      </c>
      <c r="F3" s="1" t="s">
        <v>187</v>
      </c>
    </row>
    <row r="4" spans="2:8" x14ac:dyDescent="0.25">
      <c r="B4" s="1" t="s">
        <v>11</v>
      </c>
      <c r="C4" s="1" t="s">
        <v>216</v>
      </c>
      <c r="D4" s="1" t="s">
        <v>217</v>
      </c>
      <c r="E4" s="1" t="s">
        <v>12</v>
      </c>
      <c r="F4" t="s">
        <v>385</v>
      </c>
      <c r="G4" t="s">
        <v>386</v>
      </c>
      <c r="H4" t="s">
        <v>0</v>
      </c>
    </row>
    <row r="5" spans="2:8" x14ac:dyDescent="0.25">
      <c r="B5" t="s">
        <v>6</v>
      </c>
      <c r="C5" t="s">
        <v>186</v>
      </c>
      <c r="D5" t="s">
        <v>186</v>
      </c>
      <c r="E5" t="s">
        <v>214</v>
      </c>
      <c r="F5" s="3"/>
      <c r="G5" s="3">
        <v>29715.990860634891</v>
      </c>
      <c r="H5" s="3">
        <v>29715.990860634891</v>
      </c>
    </row>
    <row r="6" spans="2:8" x14ac:dyDescent="0.25">
      <c r="B6" t="s">
        <v>16</v>
      </c>
      <c r="C6" t="s">
        <v>186</v>
      </c>
      <c r="D6" t="s">
        <v>186</v>
      </c>
      <c r="E6" t="s">
        <v>214</v>
      </c>
      <c r="F6" s="3"/>
      <c r="G6" s="3">
        <v>21550.895460372831</v>
      </c>
      <c r="H6" s="3">
        <v>21550.895460372831</v>
      </c>
    </row>
    <row r="7" spans="2:8" x14ac:dyDescent="0.25">
      <c r="B7" t="s">
        <v>17</v>
      </c>
      <c r="C7" t="s">
        <v>186</v>
      </c>
      <c r="D7" t="s">
        <v>186</v>
      </c>
      <c r="E7" t="s">
        <v>214</v>
      </c>
      <c r="F7" s="3"/>
      <c r="G7" s="3">
        <v>12714.1165841601</v>
      </c>
      <c r="H7" s="3">
        <v>12714.1165841601</v>
      </c>
    </row>
    <row r="8" spans="2:8" x14ac:dyDescent="0.25">
      <c r="B8" t="s">
        <v>18</v>
      </c>
      <c r="C8" t="s">
        <v>186</v>
      </c>
      <c r="D8" t="s">
        <v>186</v>
      </c>
      <c r="E8" t="s">
        <v>169</v>
      </c>
      <c r="F8" s="3">
        <v>2838.5152935108549</v>
      </c>
      <c r="G8" s="3"/>
      <c r="H8" s="3">
        <v>2838.5152935108549</v>
      </c>
    </row>
    <row r="9" spans="2:8" x14ac:dyDescent="0.25">
      <c r="B9" t="s">
        <v>18</v>
      </c>
      <c r="C9" t="s">
        <v>186</v>
      </c>
      <c r="D9" t="s">
        <v>186</v>
      </c>
      <c r="E9" t="s">
        <v>214</v>
      </c>
      <c r="F9" s="3"/>
      <c r="G9" s="3">
        <v>1083139.9760834912</v>
      </c>
      <c r="H9" s="3">
        <v>1083139.9760834912</v>
      </c>
    </row>
    <row r="10" spans="2:8" x14ac:dyDescent="0.25">
      <c r="B10" t="s">
        <v>7</v>
      </c>
      <c r="C10" t="s">
        <v>186</v>
      </c>
      <c r="D10" t="s">
        <v>186</v>
      </c>
      <c r="E10" t="s">
        <v>214</v>
      </c>
      <c r="F10" s="3"/>
      <c r="G10" s="3">
        <v>3384.0810394701089</v>
      </c>
      <c r="H10" s="3">
        <v>3384.0810394701089</v>
      </c>
    </row>
    <row r="11" spans="2:8" x14ac:dyDescent="0.25">
      <c r="B11" t="s">
        <v>8</v>
      </c>
      <c r="C11" t="s">
        <v>186</v>
      </c>
      <c r="D11" t="s">
        <v>186</v>
      </c>
      <c r="E11" t="s">
        <v>214</v>
      </c>
      <c r="F11" s="3"/>
      <c r="G11" s="3">
        <v>41446.278097223949</v>
      </c>
      <c r="H11" s="3">
        <v>41446.278097223949</v>
      </c>
    </row>
    <row r="12" spans="2:8" x14ac:dyDescent="0.25">
      <c r="B12" t="s">
        <v>0</v>
      </c>
      <c r="F12" s="3">
        <v>2838.5152935108549</v>
      </c>
      <c r="G12" s="3">
        <v>1191951.3381253532</v>
      </c>
      <c r="H12" s="3">
        <v>1194789.8534188641</v>
      </c>
    </row>
  </sheetData>
  <pageMargins left="0.7" right="0.7" top="0.75" bottom="0.75" header="0.3" footer="0.3"/>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Q8"/>
  <sheetViews>
    <sheetView workbookViewId="0">
      <selection activeCell="O27" sqref="O27"/>
    </sheetView>
  </sheetViews>
  <sheetFormatPr defaultRowHeight="15" x14ac:dyDescent="0.25"/>
  <cols>
    <col min="2" max="3" width="15.5703125" customWidth="1"/>
    <col min="4" max="4" width="13.140625" customWidth="1"/>
    <col min="5" max="16" width="15.5703125" customWidth="1"/>
    <col min="17" max="17" width="12" customWidth="1"/>
    <col min="18" max="19" width="15.5703125" customWidth="1"/>
    <col min="20" max="20" width="12" customWidth="1"/>
    <col min="21" max="28" width="16" customWidth="1"/>
    <col min="29" max="29" width="12" customWidth="1"/>
    <col min="30" max="117" width="20" bestFit="1" customWidth="1"/>
    <col min="118" max="118" width="12" bestFit="1" customWidth="1"/>
  </cols>
  <sheetData>
    <row r="2" spans="2:17" x14ac:dyDescent="0.25">
      <c r="B2" s="1" t="s">
        <v>119</v>
      </c>
      <c r="E2" s="1" t="s">
        <v>12</v>
      </c>
      <c r="F2" s="1" t="s">
        <v>258</v>
      </c>
    </row>
    <row r="3" spans="2:17" x14ac:dyDescent="0.25">
      <c r="E3" t="s">
        <v>9</v>
      </c>
      <c r="F3" t="s">
        <v>122</v>
      </c>
      <c r="G3" t="s">
        <v>257</v>
      </c>
      <c r="H3" t="s">
        <v>214</v>
      </c>
      <c r="I3" t="s">
        <v>176</v>
      </c>
      <c r="J3" t="s">
        <v>173</v>
      </c>
      <c r="K3" t="s">
        <v>213</v>
      </c>
      <c r="L3" t="s">
        <v>137</v>
      </c>
      <c r="M3" t="s">
        <v>10</v>
      </c>
      <c r="N3" t="s">
        <v>172</v>
      </c>
      <c r="O3" t="s">
        <v>123</v>
      </c>
      <c r="P3" t="s">
        <v>175</v>
      </c>
      <c r="Q3" t="s">
        <v>0</v>
      </c>
    </row>
    <row r="4" spans="2:17" x14ac:dyDescent="0.25">
      <c r="B4" s="1" t="s">
        <v>11</v>
      </c>
      <c r="C4" s="1" t="s">
        <v>216</v>
      </c>
      <c r="D4" s="1" t="s">
        <v>217</v>
      </c>
      <c r="E4" t="s">
        <v>256</v>
      </c>
      <c r="F4" t="s">
        <v>256</v>
      </c>
      <c r="G4" t="s">
        <v>256</v>
      </c>
      <c r="H4" t="s">
        <v>256</v>
      </c>
      <c r="I4" t="s">
        <v>256</v>
      </c>
      <c r="J4" t="s">
        <v>256</v>
      </c>
      <c r="K4" t="s">
        <v>256</v>
      </c>
      <c r="L4" t="s">
        <v>256</v>
      </c>
      <c r="M4" t="s">
        <v>256</v>
      </c>
      <c r="N4" t="s">
        <v>256</v>
      </c>
      <c r="O4" t="s">
        <v>256</v>
      </c>
      <c r="P4" t="s">
        <v>256</v>
      </c>
    </row>
    <row r="5" spans="2:17" x14ac:dyDescent="0.25">
      <c r="B5" t="s">
        <v>16</v>
      </c>
      <c r="C5" t="s">
        <v>186</v>
      </c>
      <c r="D5" t="s">
        <v>186</v>
      </c>
      <c r="E5" s="3"/>
      <c r="F5" s="3">
        <v>3.5999999999999995E-3</v>
      </c>
      <c r="G5" s="3"/>
      <c r="H5" s="3"/>
      <c r="I5" s="3">
        <v>1.7000000000000001E-2</v>
      </c>
      <c r="J5" s="3">
        <v>0.1236</v>
      </c>
      <c r="K5" s="3">
        <v>0.13</v>
      </c>
      <c r="L5" s="3">
        <v>1.9949999999999999</v>
      </c>
      <c r="M5" s="3">
        <v>4.0000000000000001E-3</v>
      </c>
      <c r="N5" s="3">
        <v>0.40300000000000002</v>
      </c>
      <c r="O5" s="3">
        <v>0.13780000000000003</v>
      </c>
      <c r="P5" s="3">
        <v>2.3E-2</v>
      </c>
      <c r="Q5" s="3">
        <v>2.8369999999999997</v>
      </c>
    </row>
    <row r="6" spans="2:17" x14ac:dyDescent="0.25">
      <c r="B6" t="s">
        <v>19</v>
      </c>
      <c r="C6" t="s">
        <v>186</v>
      </c>
      <c r="D6" t="s">
        <v>186</v>
      </c>
      <c r="E6" s="3"/>
      <c r="F6" s="3">
        <v>6.2E-2</v>
      </c>
      <c r="G6" s="3"/>
      <c r="H6" s="3"/>
      <c r="I6" s="3"/>
      <c r="J6" s="3">
        <v>1.19299</v>
      </c>
      <c r="K6" s="3"/>
      <c r="L6" s="3"/>
      <c r="M6" s="3">
        <v>1.6160000000000001</v>
      </c>
      <c r="N6" s="3">
        <v>0.06</v>
      </c>
      <c r="O6" s="3">
        <v>5.3999999999999999E-2</v>
      </c>
      <c r="P6" s="3"/>
      <c r="Q6" s="3">
        <v>2.9849899999999998</v>
      </c>
    </row>
    <row r="7" spans="2:17" x14ac:dyDescent="0.25">
      <c r="B7" t="s">
        <v>20</v>
      </c>
      <c r="C7" t="s">
        <v>186</v>
      </c>
      <c r="D7" t="s">
        <v>186</v>
      </c>
      <c r="E7" s="3">
        <v>0.08</v>
      </c>
      <c r="F7" s="3">
        <v>3.9E-2</v>
      </c>
      <c r="G7" s="3">
        <v>0.16</v>
      </c>
      <c r="H7" s="3">
        <v>3.6999999999999998E-2</v>
      </c>
      <c r="I7" s="3">
        <v>0.11599999999999999</v>
      </c>
      <c r="J7" s="3">
        <v>1.7222000000000002</v>
      </c>
      <c r="K7" s="3"/>
      <c r="L7" s="3"/>
      <c r="M7" s="3">
        <v>0.2235446808510638</v>
      </c>
      <c r="N7" s="3">
        <v>0.50900000000000001</v>
      </c>
      <c r="O7" s="3">
        <v>4.8299999999999996E-2</v>
      </c>
      <c r="P7" s="3">
        <v>1.04E-2</v>
      </c>
      <c r="Q7" s="3">
        <v>2.9454446808510641</v>
      </c>
    </row>
    <row r="8" spans="2:17" x14ac:dyDescent="0.25">
      <c r="B8" t="s">
        <v>0</v>
      </c>
      <c r="E8" s="3">
        <v>0.08</v>
      </c>
      <c r="F8" s="3">
        <v>0.1046</v>
      </c>
      <c r="G8" s="3">
        <v>0.16</v>
      </c>
      <c r="H8" s="3">
        <v>3.6999999999999998E-2</v>
      </c>
      <c r="I8" s="3">
        <v>0.13300000000000001</v>
      </c>
      <c r="J8" s="3">
        <v>3.0387900000000001</v>
      </c>
      <c r="K8" s="3">
        <v>0.13</v>
      </c>
      <c r="L8" s="3">
        <v>1.9949999999999999</v>
      </c>
      <c r="M8" s="3">
        <v>1.8435446808510638</v>
      </c>
      <c r="N8" s="3">
        <v>0.97199999999999998</v>
      </c>
      <c r="O8" s="3">
        <v>0.24010000000000004</v>
      </c>
      <c r="P8" s="3">
        <v>3.3399999999999999E-2</v>
      </c>
      <c r="Q8" s="3">
        <v>8.7674346808510641</v>
      </c>
    </row>
  </sheetData>
  <pageMargins left="0.7" right="0.7" top="0.75" bottom="0.75" header="0.3" footer="0.3"/>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Y13"/>
  <sheetViews>
    <sheetView workbookViewId="0">
      <selection activeCell="E10" sqref="E10"/>
    </sheetView>
  </sheetViews>
  <sheetFormatPr defaultRowHeight="15" x14ac:dyDescent="0.25"/>
  <cols>
    <col min="2" max="2" width="13.140625" customWidth="1"/>
    <col min="3" max="3" width="13.140625" bestFit="1" customWidth="1"/>
    <col min="4" max="4" width="13.140625" customWidth="1"/>
    <col min="5" max="23" width="16" bestFit="1" customWidth="1"/>
    <col min="24" max="24" width="16" customWidth="1"/>
    <col min="25" max="25" width="12" bestFit="1" customWidth="1"/>
  </cols>
  <sheetData>
    <row r="2" spans="2:25" x14ac:dyDescent="0.25">
      <c r="B2" s="1" t="s">
        <v>119</v>
      </c>
      <c r="E2" s="1" t="s">
        <v>12</v>
      </c>
    </row>
    <row r="3" spans="2:25" x14ac:dyDescent="0.25">
      <c r="B3" s="1" t="s">
        <v>258</v>
      </c>
      <c r="C3" s="1" t="s">
        <v>11</v>
      </c>
      <c r="D3" s="1" t="s">
        <v>217</v>
      </c>
      <c r="E3" t="s">
        <v>122</v>
      </c>
      <c r="F3" t="s">
        <v>259</v>
      </c>
      <c r="G3" t="s">
        <v>380</v>
      </c>
      <c r="H3" t="s">
        <v>169</v>
      </c>
      <c r="I3" t="s">
        <v>257</v>
      </c>
      <c r="J3" t="s">
        <v>214</v>
      </c>
      <c r="K3" t="s">
        <v>381</v>
      </c>
      <c r="L3" t="s">
        <v>382</v>
      </c>
      <c r="M3" t="s">
        <v>383</v>
      </c>
      <c r="N3" t="s">
        <v>176</v>
      </c>
      <c r="O3" t="s">
        <v>173</v>
      </c>
      <c r="P3" t="s">
        <v>384</v>
      </c>
      <c r="Q3" t="s">
        <v>177</v>
      </c>
      <c r="R3" t="s">
        <v>213</v>
      </c>
      <c r="S3" t="s">
        <v>137</v>
      </c>
      <c r="T3" t="s">
        <v>171</v>
      </c>
      <c r="U3" t="s">
        <v>123</v>
      </c>
      <c r="V3" t="s">
        <v>174</v>
      </c>
      <c r="W3" t="s">
        <v>260</v>
      </c>
      <c r="X3" t="s">
        <v>175</v>
      </c>
      <c r="Y3" t="s">
        <v>0</v>
      </c>
    </row>
    <row r="4" spans="2:25" x14ac:dyDescent="0.25">
      <c r="B4" t="s">
        <v>256</v>
      </c>
      <c r="C4" t="s">
        <v>6</v>
      </c>
      <c r="D4" t="s">
        <v>186</v>
      </c>
      <c r="E4" s="3">
        <v>0.13515975609756098</v>
      </c>
      <c r="F4" s="3"/>
      <c r="G4" s="3">
        <v>3.5542222222222222</v>
      </c>
      <c r="H4" s="3">
        <v>573.22700000000009</v>
      </c>
      <c r="I4" s="3">
        <v>3.1828571428571512E-2</v>
      </c>
      <c r="J4" s="3"/>
      <c r="K4" s="3"/>
      <c r="L4" s="3">
        <v>7.4583333333333404E-2</v>
      </c>
      <c r="M4" s="3"/>
      <c r="N4" s="3">
        <v>1.250977528036652</v>
      </c>
      <c r="O4" s="3">
        <v>2.2462374110563741</v>
      </c>
      <c r="P4" s="3"/>
      <c r="Q4" s="3"/>
      <c r="R4" s="3"/>
      <c r="S4" s="3"/>
      <c r="T4" s="3">
        <v>0.1737970870749358</v>
      </c>
      <c r="U4" s="3"/>
      <c r="V4" s="3">
        <v>0.53611764705882292</v>
      </c>
      <c r="W4" s="3">
        <v>0.762931111111111</v>
      </c>
      <c r="X4" s="3"/>
      <c r="Y4" s="3">
        <v>581.99285466741981</v>
      </c>
    </row>
    <row r="5" spans="2:25" x14ac:dyDescent="0.25">
      <c r="B5" t="s">
        <v>256</v>
      </c>
      <c r="C5" t="s">
        <v>16</v>
      </c>
      <c r="D5" t="s">
        <v>186</v>
      </c>
      <c r="E5" s="3">
        <v>4.337349397590359E-3</v>
      </c>
      <c r="F5" s="3"/>
      <c r="G5" s="3"/>
      <c r="H5" s="3"/>
      <c r="I5" s="3"/>
      <c r="J5" s="3"/>
      <c r="K5" s="3"/>
      <c r="L5" s="3"/>
      <c r="M5" s="3"/>
      <c r="N5" s="3">
        <v>3.4000000000000002E-2</v>
      </c>
      <c r="O5" s="3">
        <v>0.14384666226041012</v>
      </c>
      <c r="P5" s="3"/>
      <c r="Q5" s="3"/>
      <c r="R5" s="3">
        <v>7.6612903225806495E-2</v>
      </c>
      <c r="S5" s="3">
        <v>0.182857142857143</v>
      </c>
      <c r="T5" s="3"/>
      <c r="U5" s="3">
        <v>0.34800019572881546</v>
      </c>
      <c r="V5" s="3"/>
      <c r="W5" s="3"/>
      <c r="X5" s="3">
        <v>0.12631578947368421</v>
      </c>
      <c r="Y5" s="3">
        <v>0.91597004294344964</v>
      </c>
    </row>
    <row r="6" spans="2:25" x14ac:dyDescent="0.25">
      <c r="B6" t="s">
        <v>256</v>
      </c>
      <c r="C6" t="s">
        <v>17</v>
      </c>
      <c r="D6" t="s">
        <v>186</v>
      </c>
      <c r="E6" s="3"/>
      <c r="F6" s="3"/>
      <c r="G6" s="3">
        <v>1.3243961319458082</v>
      </c>
      <c r="H6" s="3">
        <v>259.8</v>
      </c>
      <c r="I6" s="3">
        <v>0.08</v>
      </c>
      <c r="J6" s="3"/>
      <c r="K6" s="3">
        <v>0.185</v>
      </c>
      <c r="L6" s="3"/>
      <c r="M6" s="3"/>
      <c r="N6" s="3"/>
      <c r="O6" s="3">
        <v>2.2694223346484561</v>
      </c>
      <c r="P6" s="3">
        <v>2.371164743978952</v>
      </c>
      <c r="Q6" s="3"/>
      <c r="R6" s="3"/>
      <c r="S6" s="3"/>
      <c r="T6" s="3"/>
      <c r="U6" s="3">
        <v>3.177764127764132</v>
      </c>
      <c r="V6" s="3">
        <v>0.63235208454689207</v>
      </c>
      <c r="W6" s="3">
        <v>2.25409836065574E-3</v>
      </c>
      <c r="X6" s="3">
        <v>0.50493827160493798</v>
      </c>
      <c r="Y6" s="3">
        <v>270.34729179284989</v>
      </c>
    </row>
    <row r="7" spans="2:25" x14ac:dyDescent="0.25">
      <c r="B7" t="s">
        <v>256</v>
      </c>
      <c r="C7" t="s">
        <v>18</v>
      </c>
      <c r="D7" t="s">
        <v>186</v>
      </c>
      <c r="E7" s="3">
        <v>1.053355400696864</v>
      </c>
      <c r="F7" s="3"/>
      <c r="G7" s="3">
        <v>26.164416666666604</v>
      </c>
      <c r="H7" s="3">
        <v>144.44</v>
      </c>
      <c r="I7" s="3">
        <v>2.3532857142857138</v>
      </c>
      <c r="J7" s="3"/>
      <c r="K7" s="3"/>
      <c r="L7" s="3"/>
      <c r="M7" s="3">
        <v>18.028799999999972</v>
      </c>
      <c r="N7" s="3">
        <v>4.5269704918734952</v>
      </c>
      <c r="O7" s="3">
        <v>16.774935045948201</v>
      </c>
      <c r="P7" s="3"/>
      <c r="Q7" s="3"/>
      <c r="R7" s="3"/>
      <c r="S7" s="3"/>
      <c r="T7" s="3"/>
      <c r="U7" s="3"/>
      <c r="V7" s="3"/>
      <c r="W7" s="3"/>
      <c r="X7" s="3"/>
      <c r="Y7" s="3">
        <v>213.34176331947083</v>
      </c>
    </row>
    <row r="8" spans="2:25" x14ac:dyDescent="0.25">
      <c r="B8" t="s">
        <v>256</v>
      </c>
      <c r="C8" t="s">
        <v>19</v>
      </c>
      <c r="D8" t="s">
        <v>186</v>
      </c>
      <c r="E8" s="3">
        <v>0.12156862745098</v>
      </c>
      <c r="F8" s="3"/>
      <c r="G8" s="3"/>
      <c r="H8" s="3"/>
      <c r="I8" s="3"/>
      <c r="J8" s="3"/>
      <c r="K8" s="3"/>
      <c r="L8" s="3"/>
      <c r="M8" s="3"/>
      <c r="N8" s="3"/>
      <c r="O8" s="3">
        <v>0.97265229418366594</v>
      </c>
      <c r="P8" s="3"/>
      <c r="Q8" s="3"/>
      <c r="R8" s="3"/>
      <c r="S8" s="3"/>
      <c r="T8" s="3"/>
      <c r="U8" s="3">
        <v>0.105882352941176</v>
      </c>
      <c r="V8" s="3"/>
      <c r="W8" s="3"/>
      <c r="X8" s="3"/>
      <c r="Y8" s="3">
        <v>1.200103274575822</v>
      </c>
    </row>
    <row r="9" spans="2:25" x14ac:dyDescent="0.25">
      <c r="B9" t="s">
        <v>256</v>
      </c>
      <c r="C9" t="s">
        <v>20</v>
      </c>
      <c r="D9" t="s">
        <v>186</v>
      </c>
      <c r="E9" s="3">
        <v>1.5E-3</v>
      </c>
      <c r="F9" s="3"/>
      <c r="G9" s="3"/>
      <c r="H9" s="3"/>
      <c r="I9" s="3">
        <v>0.43399952260052499</v>
      </c>
      <c r="J9" s="3">
        <v>0.05</v>
      </c>
      <c r="K9" s="3"/>
      <c r="L9" s="3"/>
      <c r="M9" s="3"/>
      <c r="N9" s="3">
        <v>0.29499817875111523</v>
      </c>
      <c r="O9" s="3">
        <v>1.2695760583692342</v>
      </c>
      <c r="P9" s="3"/>
      <c r="Q9" s="3"/>
      <c r="R9" s="3"/>
      <c r="S9" s="3"/>
      <c r="T9" s="3"/>
      <c r="U9" s="3">
        <v>0.25843300620375276</v>
      </c>
      <c r="V9" s="3"/>
      <c r="W9" s="3"/>
      <c r="X9" s="3">
        <v>2.7368421052631601E-2</v>
      </c>
      <c r="Y9" s="3">
        <v>2.3358751869772587</v>
      </c>
    </row>
    <row r="10" spans="2:25" x14ac:dyDescent="0.25">
      <c r="B10" t="s">
        <v>256</v>
      </c>
      <c r="C10" t="s">
        <v>7</v>
      </c>
      <c r="D10" t="s">
        <v>186</v>
      </c>
      <c r="E10" s="3"/>
      <c r="F10" s="3"/>
      <c r="G10" s="3"/>
      <c r="H10" s="3">
        <v>777.45699999999999</v>
      </c>
      <c r="I10" s="3"/>
      <c r="J10" s="3"/>
      <c r="K10" s="3"/>
      <c r="L10" s="3"/>
      <c r="M10" s="3"/>
      <c r="N10" s="3">
        <v>0.13726236559139748</v>
      </c>
      <c r="O10" s="3"/>
      <c r="P10" s="3"/>
      <c r="Q10" s="3"/>
      <c r="R10" s="3"/>
      <c r="S10" s="3"/>
      <c r="T10" s="3"/>
      <c r="U10" s="3"/>
      <c r="V10" s="3"/>
      <c r="W10" s="3"/>
      <c r="X10" s="3"/>
      <c r="Y10" s="3">
        <v>777.59426236559136</v>
      </c>
    </row>
    <row r="11" spans="2:25" x14ac:dyDescent="0.25">
      <c r="B11" t="s">
        <v>256</v>
      </c>
      <c r="C11" t="s">
        <v>21</v>
      </c>
      <c r="D11" t="s">
        <v>186</v>
      </c>
      <c r="E11" s="3"/>
      <c r="F11" s="3"/>
      <c r="G11" s="3">
        <v>17.676600225531445</v>
      </c>
      <c r="H11" s="3"/>
      <c r="I11" s="3">
        <v>1.1000000000000001</v>
      </c>
      <c r="J11" s="3"/>
      <c r="K11" s="3"/>
      <c r="L11" s="3"/>
      <c r="M11" s="3">
        <v>0.47491508491508511</v>
      </c>
      <c r="N11" s="3"/>
      <c r="O11" s="3">
        <v>0.39300000000000002</v>
      </c>
      <c r="P11" s="3"/>
      <c r="Q11" s="3"/>
      <c r="R11" s="3"/>
      <c r="S11" s="3"/>
      <c r="T11" s="3">
        <v>0.92999999999999994</v>
      </c>
      <c r="U11" s="3">
        <v>1.81538461538462</v>
      </c>
      <c r="V11" s="3"/>
      <c r="W11" s="3"/>
      <c r="X11" s="3"/>
      <c r="Y11" s="3">
        <v>22.389899925831152</v>
      </c>
    </row>
    <row r="12" spans="2:25" x14ac:dyDescent="0.25">
      <c r="B12" t="s">
        <v>256</v>
      </c>
      <c r="C12" t="s">
        <v>8</v>
      </c>
      <c r="D12" t="s">
        <v>186</v>
      </c>
      <c r="E12" s="3"/>
      <c r="F12" s="3">
        <v>0.25092445853143203</v>
      </c>
      <c r="G12" s="3">
        <v>0.38416283426900849</v>
      </c>
      <c r="H12" s="3">
        <v>2185.1749999999997</v>
      </c>
      <c r="I12" s="3">
        <v>0.66642493020997706</v>
      </c>
      <c r="J12" s="3"/>
      <c r="K12" s="3"/>
      <c r="L12" s="3"/>
      <c r="M12" s="3"/>
      <c r="N12" s="3">
        <v>2.0429210240503961</v>
      </c>
      <c r="O12" s="3">
        <v>1.0131237033980638</v>
      </c>
      <c r="P12" s="3">
        <v>0.30398526315789476</v>
      </c>
      <c r="Q12" s="3">
        <v>0.50957841622138778</v>
      </c>
      <c r="R12" s="3"/>
      <c r="S12" s="3"/>
      <c r="T12" s="3"/>
      <c r="U12" s="3">
        <v>3.000909090909095</v>
      </c>
      <c r="V12" s="3">
        <v>0.45604405033555789</v>
      </c>
      <c r="W12" s="3">
        <v>0.33876186367558303</v>
      </c>
      <c r="X12" s="3">
        <v>2.8237192647385481</v>
      </c>
      <c r="Y12" s="3">
        <v>2196.9655548994965</v>
      </c>
    </row>
    <row r="13" spans="2:25" x14ac:dyDescent="0.25">
      <c r="B13" t="s">
        <v>0</v>
      </c>
      <c r="E13" s="3">
        <v>1.3159211336429952</v>
      </c>
      <c r="F13" s="3">
        <v>0.25092445853143203</v>
      </c>
      <c r="G13" s="3">
        <v>49.103798080635087</v>
      </c>
      <c r="H13" s="3">
        <v>3940.0989999999997</v>
      </c>
      <c r="I13" s="3">
        <v>4.6655387385247877</v>
      </c>
      <c r="J13" s="3">
        <v>0.05</v>
      </c>
      <c r="K13" s="3">
        <v>0.185</v>
      </c>
      <c r="L13" s="3">
        <v>7.4583333333333404E-2</v>
      </c>
      <c r="M13" s="3">
        <v>18.503715084915058</v>
      </c>
      <c r="N13" s="3">
        <v>8.2871295883030562</v>
      </c>
      <c r="O13" s="3">
        <v>25.082793509864413</v>
      </c>
      <c r="P13" s="3">
        <v>2.675150007136847</v>
      </c>
      <c r="Q13" s="3">
        <v>0.50957841622138778</v>
      </c>
      <c r="R13" s="3">
        <v>7.6612903225806495E-2</v>
      </c>
      <c r="S13" s="3">
        <v>0.182857142857143</v>
      </c>
      <c r="T13" s="3">
        <v>1.1037970870749358</v>
      </c>
      <c r="U13" s="3">
        <v>8.706373388931592</v>
      </c>
      <c r="V13" s="3">
        <v>1.6245137819412729</v>
      </c>
      <c r="W13" s="3">
        <v>1.1039470731473497</v>
      </c>
      <c r="X13" s="3">
        <v>3.4823417468698019</v>
      </c>
      <c r="Y13" s="3">
        <v>4067.0835754751561</v>
      </c>
    </row>
  </sheetData>
  <pageMargins left="0.7" right="0.7" top="0.75" bottom="0.75" header="0.3" footer="0.3"/>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Y72"/>
  <sheetViews>
    <sheetView topLeftCell="A7" workbookViewId="0">
      <selection activeCell="G15" sqref="G15"/>
    </sheetView>
  </sheetViews>
  <sheetFormatPr defaultRowHeight="15" x14ac:dyDescent="0.25"/>
  <cols>
    <col min="2" max="2" width="15.7109375" bestFit="1" customWidth="1"/>
    <col min="3" max="3" width="16.28515625" bestFit="1" customWidth="1"/>
    <col min="4" max="4" width="7" bestFit="1" customWidth="1"/>
    <col min="5" max="5" width="12" bestFit="1" customWidth="1"/>
    <col min="6" max="6" width="8" bestFit="1" customWidth="1"/>
    <col min="7" max="7" width="12" bestFit="1" customWidth="1"/>
    <col min="8" max="8" width="7" bestFit="1" customWidth="1"/>
    <col min="9" max="9" width="6" bestFit="1" customWidth="1"/>
    <col min="10" max="10" width="7" bestFit="1" customWidth="1"/>
    <col min="11" max="11" width="12" bestFit="1" customWidth="1"/>
    <col min="12" max="12" width="6" bestFit="1" customWidth="1"/>
    <col min="13" max="14" width="12" bestFit="1" customWidth="1"/>
    <col min="15" max="16" width="7" bestFit="1" customWidth="1"/>
    <col min="17" max="17" width="6" bestFit="1" customWidth="1"/>
    <col min="18" max="19" width="12" bestFit="1" customWidth="1"/>
    <col min="20" max="21" width="7" bestFit="1" customWidth="1"/>
    <col min="22" max="25" width="12" bestFit="1" customWidth="1"/>
  </cols>
  <sheetData>
    <row r="1" spans="2:25" x14ac:dyDescent="0.25">
      <c r="B1" s="1" t="s">
        <v>217</v>
      </c>
      <c r="C1" t="s">
        <v>166</v>
      </c>
    </row>
    <row r="2" spans="2:25" x14ac:dyDescent="0.25">
      <c r="B2" s="1" t="s">
        <v>216</v>
      </c>
      <c r="C2" t="s">
        <v>166</v>
      </c>
    </row>
    <row r="4" spans="2:25" x14ac:dyDescent="0.25">
      <c r="B4" s="1" t="s">
        <v>14</v>
      </c>
      <c r="C4" s="1" t="s">
        <v>38</v>
      </c>
    </row>
    <row r="5" spans="2:25" x14ac:dyDescent="0.25">
      <c r="B5" s="1" t="s">
        <v>39</v>
      </c>
      <c r="C5" t="s">
        <v>196</v>
      </c>
      <c r="D5" t="s">
        <v>197</v>
      </c>
      <c r="E5" t="s">
        <v>392</v>
      </c>
      <c r="F5" t="s">
        <v>393</v>
      </c>
      <c r="G5" t="s">
        <v>167</v>
      </c>
      <c r="H5" t="s">
        <v>168</v>
      </c>
      <c r="I5" t="s">
        <v>394</v>
      </c>
      <c r="J5" t="s">
        <v>395</v>
      </c>
      <c r="K5" t="s">
        <v>396</v>
      </c>
      <c r="L5" t="s">
        <v>397</v>
      </c>
      <c r="M5" t="s">
        <v>398</v>
      </c>
      <c r="N5" t="s">
        <v>399</v>
      </c>
      <c r="O5" t="s">
        <v>400</v>
      </c>
      <c r="P5" t="s">
        <v>401</v>
      </c>
      <c r="Q5" t="s">
        <v>402</v>
      </c>
      <c r="R5" t="s">
        <v>403</v>
      </c>
      <c r="S5" t="s">
        <v>404</v>
      </c>
      <c r="T5" t="s">
        <v>405</v>
      </c>
      <c r="U5" t="s">
        <v>406</v>
      </c>
      <c r="V5" t="s">
        <v>407</v>
      </c>
      <c r="W5" t="s">
        <v>198</v>
      </c>
      <c r="X5" t="s">
        <v>408</v>
      </c>
      <c r="Y5" t="s">
        <v>0</v>
      </c>
    </row>
    <row r="6" spans="2:25" x14ac:dyDescent="0.25">
      <c r="B6" s="2" t="s">
        <v>196</v>
      </c>
      <c r="C6" s="3"/>
      <c r="D6" s="3">
        <v>117390</v>
      </c>
      <c r="E6" s="3">
        <v>117390</v>
      </c>
      <c r="F6" s="3">
        <v>234780</v>
      </c>
      <c r="G6" s="3"/>
      <c r="H6" s="3">
        <v>23400</v>
      </c>
      <c r="I6" s="3"/>
      <c r="J6" s="3"/>
      <c r="K6" s="3"/>
      <c r="L6" s="3"/>
      <c r="M6" s="3"/>
      <c r="N6" s="3"/>
      <c r="O6" s="3"/>
      <c r="P6" s="3"/>
      <c r="Q6" s="3"/>
      <c r="R6" s="3"/>
      <c r="S6" s="3">
        <v>89093.851517522402</v>
      </c>
      <c r="T6" s="3"/>
      <c r="U6" s="3"/>
      <c r="V6" s="3"/>
      <c r="W6" s="3"/>
      <c r="X6" s="3"/>
      <c r="Y6" s="3">
        <v>582053.85151752236</v>
      </c>
    </row>
    <row r="7" spans="2:25" x14ac:dyDescent="0.25">
      <c r="B7" s="4" t="s">
        <v>409</v>
      </c>
      <c r="C7" s="3"/>
      <c r="D7" s="3">
        <v>0</v>
      </c>
      <c r="E7" s="3">
        <v>0</v>
      </c>
      <c r="F7" s="3">
        <v>0</v>
      </c>
      <c r="G7" s="3"/>
      <c r="H7" s="3">
        <v>0</v>
      </c>
      <c r="I7" s="3"/>
      <c r="J7" s="3"/>
      <c r="K7" s="3"/>
      <c r="L7" s="3"/>
      <c r="M7" s="3"/>
      <c r="N7" s="3"/>
      <c r="O7" s="3"/>
      <c r="P7" s="3"/>
      <c r="Q7" s="3"/>
      <c r="R7" s="3"/>
      <c r="S7" s="3">
        <v>11093.8515175224</v>
      </c>
      <c r="T7" s="3"/>
      <c r="U7" s="3"/>
      <c r="V7" s="3"/>
      <c r="W7" s="3"/>
      <c r="X7" s="3"/>
      <c r="Y7" s="3">
        <v>11093.8515175224</v>
      </c>
    </row>
    <row r="8" spans="2:25" x14ac:dyDescent="0.25">
      <c r="B8" s="4" t="s">
        <v>256</v>
      </c>
      <c r="C8" s="3"/>
      <c r="D8" s="3">
        <v>117390</v>
      </c>
      <c r="E8" s="3">
        <v>117390</v>
      </c>
      <c r="F8" s="3">
        <v>234780</v>
      </c>
      <c r="G8" s="3"/>
      <c r="H8" s="3">
        <v>23400</v>
      </c>
      <c r="I8" s="3"/>
      <c r="J8" s="3"/>
      <c r="K8" s="3"/>
      <c r="L8" s="3"/>
      <c r="M8" s="3"/>
      <c r="N8" s="3"/>
      <c r="O8" s="3"/>
      <c r="P8" s="3"/>
      <c r="Q8" s="3"/>
      <c r="R8" s="3"/>
      <c r="S8" s="3">
        <v>78000</v>
      </c>
      <c r="T8" s="3"/>
      <c r="U8" s="3"/>
      <c r="V8" s="3"/>
      <c r="W8" s="3"/>
      <c r="X8" s="3"/>
      <c r="Y8" s="3">
        <v>570960</v>
      </c>
    </row>
    <row r="9" spans="2:25" x14ac:dyDescent="0.25">
      <c r="B9" s="2" t="s">
        <v>197</v>
      </c>
      <c r="C9" s="3">
        <v>117390</v>
      </c>
      <c r="D9" s="3"/>
      <c r="E9" s="3"/>
      <c r="F9" s="3">
        <v>336726</v>
      </c>
      <c r="G9" s="3">
        <v>102500</v>
      </c>
      <c r="H9" s="3">
        <v>0</v>
      </c>
      <c r="I9" s="3"/>
      <c r="J9" s="3"/>
      <c r="K9" s="3"/>
      <c r="L9" s="3"/>
      <c r="M9" s="3"/>
      <c r="N9" s="3"/>
      <c r="O9" s="3">
        <v>44800</v>
      </c>
      <c r="P9" s="3"/>
      <c r="Q9" s="3"/>
      <c r="R9" s="3"/>
      <c r="S9" s="3"/>
      <c r="T9" s="3"/>
      <c r="U9" s="3"/>
      <c r="V9" s="3"/>
      <c r="W9" s="3">
        <v>23400</v>
      </c>
      <c r="X9" s="3"/>
      <c r="Y9" s="3">
        <v>624816</v>
      </c>
    </row>
    <row r="10" spans="2:25" x14ac:dyDescent="0.25">
      <c r="B10" s="4" t="s">
        <v>409</v>
      </c>
      <c r="C10" s="3">
        <v>0</v>
      </c>
      <c r="D10" s="3"/>
      <c r="E10" s="3"/>
      <c r="F10" s="3">
        <v>0</v>
      </c>
      <c r="G10" s="3">
        <v>0</v>
      </c>
      <c r="H10" s="3">
        <v>0</v>
      </c>
      <c r="I10" s="3"/>
      <c r="J10" s="3"/>
      <c r="K10" s="3"/>
      <c r="L10" s="3"/>
      <c r="M10" s="3"/>
      <c r="N10" s="3"/>
      <c r="O10" s="3">
        <v>0</v>
      </c>
      <c r="P10" s="3"/>
      <c r="Q10" s="3"/>
      <c r="R10" s="3"/>
      <c r="S10" s="3"/>
      <c r="T10" s="3"/>
      <c r="U10" s="3"/>
      <c r="V10" s="3"/>
      <c r="W10" s="3">
        <v>0</v>
      </c>
      <c r="X10" s="3"/>
      <c r="Y10" s="3">
        <v>0</v>
      </c>
    </row>
    <row r="11" spans="2:25" x14ac:dyDescent="0.25">
      <c r="B11" s="4" t="s">
        <v>256</v>
      </c>
      <c r="C11" s="3">
        <v>117390</v>
      </c>
      <c r="D11" s="3"/>
      <c r="E11" s="3"/>
      <c r="F11" s="3">
        <v>336726</v>
      </c>
      <c r="G11" s="3">
        <v>102500</v>
      </c>
      <c r="H11" s="3"/>
      <c r="I11" s="3"/>
      <c r="J11" s="3"/>
      <c r="K11" s="3"/>
      <c r="L11" s="3"/>
      <c r="M11" s="3"/>
      <c r="N11" s="3"/>
      <c r="O11" s="3">
        <v>44800</v>
      </c>
      <c r="P11" s="3"/>
      <c r="Q11" s="3"/>
      <c r="R11" s="3"/>
      <c r="S11" s="3"/>
      <c r="T11" s="3"/>
      <c r="U11" s="3"/>
      <c r="V11" s="3"/>
      <c r="W11" s="3">
        <v>23400</v>
      </c>
      <c r="X11" s="3"/>
      <c r="Y11" s="3">
        <v>624816</v>
      </c>
    </row>
    <row r="12" spans="2:25" x14ac:dyDescent="0.25">
      <c r="B12" s="2" t="s">
        <v>392</v>
      </c>
      <c r="C12" s="3">
        <v>117390</v>
      </c>
      <c r="D12" s="3"/>
      <c r="E12" s="3"/>
      <c r="F12" s="3">
        <v>562224</v>
      </c>
      <c r="G12" s="3"/>
      <c r="H12" s="3"/>
      <c r="I12" s="3"/>
      <c r="J12" s="3"/>
      <c r="K12" s="3"/>
      <c r="L12" s="3"/>
      <c r="M12" s="3">
        <v>7010.6782678158697</v>
      </c>
      <c r="N12" s="3"/>
      <c r="O12" s="3"/>
      <c r="P12" s="3"/>
      <c r="Q12" s="3"/>
      <c r="R12" s="3"/>
      <c r="S12" s="3"/>
      <c r="T12" s="3"/>
      <c r="U12" s="3"/>
      <c r="V12" s="3"/>
      <c r="W12" s="3"/>
      <c r="X12" s="3"/>
      <c r="Y12" s="3">
        <v>686624.67826781585</v>
      </c>
    </row>
    <row r="13" spans="2:25" x14ac:dyDescent="0.25">
      <c r="B13" s="4" t="s">
        <v>409</v>
      </c>
      <c r="C13" s="3">
        <v>0</v>
      </c>
      <c r="D13" s="3"/>
      <c r="E13" s="3"/>
      <c r="F13" s="3">
        <v>0</v>
      </c>
      <c r="G13" s="3"/>
      <c r="H13" s="3"/>
      <c r="I13" s="3"/>
      <c r="J13" s="3"/>
      <c r="K13" s="3"/>
      <c r="L13" s="3"/>
      <c r="M13" s="3">
        <v>7010.6782678158697</v>
      </c>
      <c r="N13" s="3"/>
      <c r="O13" s="3"/>
      <c r="P13" s="3"/>
      <c r="Q13" s="3"/>
      <c r="R13" s="3"/>
      <c r="S13" s="3"/>
      <c r="T13" s="3"/>
      <c r="U13" s="3"/>
      <c r="V13" s="3"/>
      <c r="W13" s="3"/>
      <c r="X13" s="3"/>
      <c r="Y13" s="3">
        <v>7010.6782678158697</v>
      </c>
    </row>
    <row r="14" spans="2:25" x14ac:dyDescent="0.25">
      <c r="B14" s="4" t="s">
        <v>256</v>
      </c>
      <c r="C14" s="3">
        <v>117390</v>
      </c>
      <c r="D14" s="3"/>
      <c r="E14" s="3"/>
      <c r="F14" s="3">
        <v>562224</v>
      </c>
      <c r="G14" s="3"/>
      <c r="H14" s="3"/>
      <c r="I14" s="3"/>
      <c r="J14" s="3"/>
      <c r="K14" s="3"/>
      <c r="L14" s="3"/>
      <c r="M14" s="3"/>
      <c r="N14" s="3"/>
      <c r="O14" s="3"/>
      <c r="P14" s="3"/>
      <c r="Q14" s="3"/>
      <c r="R14" s="3"/>
      <c r="S14" s="3"/>
      <c r="T14" s="3"/>
      <c r="U14" s="3"/>
      <c r="V14" s="3"/>
      <c r="W14" s="3"/>
      <c r="X14" s="3"/>
      <c r="Y14" s="3">
        <v>679614</v>
      </c>
    </row>
    <row r="15" spans="2:25" x14ac:dyDescent="0.25">
      <c r="B15" s="2" t="s">
        <v>393</v>
      </c>
      <c r="C15" s="3">
        <v>234780</v>
      </c>
      <c r="D15" s="3">
        <v>336726</v>
      </c>
      <c r="E15" s="3">
        <v>562224</v>
      </c>
      <c r="F15" s="3"/>
      <c r="G15" s="3"/>
      <c r="H15" s="3">
        <v>12800</v>
      </c>
      <c r="I15" s="3"/>
      <c r="J15" s="3"/>
      <c r="K15" s="3"/>
      <c r="L15" s="3"/>
      <c r="M15" s="3">
        <v>219400</v>
      </c>
      <c r="N15" s="3"/>
      <c r="O15" s="3"/>
      <c r="P15" s="3"/>
      <c r="Q15" s="3"/>
      <c r="R15" s="3"/>
      <c r="S15" s="3"/>
      <c r="T15" s="3"/>
      <c r="U15" s="3"/>
      <c r="V15" s="3"/>
      <c r="W15" s="3"/>
      <c r="X15" s="3"/>
      <c r="Y15" s="3">
        <v>1365930</v>
      </c>
    </row>
    <row r="16" spans="2:25" x14ac:dyDescent="0.25">
      <c r="B16" s="4" t="s">
        <v>409</v>
      </c>
      <c r="C16" s="3">
        <v>0</v>
      </c>
      <c r="D16" s="3">
        <v>0</v>
      </c>
      <c r="E16" s="3">
        <v>0</v>
      </c>
      <c r="F16" s="3"/>
      <c r="G16" s="3"/>
      <c r="H16" s="3"/>
      <c r="I16" s="3"/>
      <c r="J16" s="3"/>
      <c r="K16" s="3"/>
      <c r="L16" s="3"/>
      <c r="M16" s="3">
        <v>0</v>
      </c>
      <c r="N16" s="3"/>
      <c r="O16" s="3"/>
      <c r="P16" s="3"/>
      <c r="Q16" s="3"/>
      <c r="R16" s="3"/>
      <c r="S16" s="3"/>
      <c r="T16" s="3"/>
      <c r="U16" s="3"/>
      <c r="V16" s="3"/>
      <c r="W16" s="3"/>
      <c r="X16" s="3"/>
      <c r="Y16" s="3">
        <v>0</v>
      </c>
    </row>
    <row r="17" spans="2:25" x14ac:dyDescent="0.25">
      <c r="B17" s="4" t="s">
        <v>256</v>
      </c>
      <c r="C17" s="3">
        <v>234780</v>
      </c>
      <c r="D17" s="3">
        <v>336726</v>
      </c>
      <c r="E17" s="3">
        <v>562224</v>
      </c>
      <c r="F17" s="3"/>
      <c r="G17" s="3"/>
      <c r="H17" s="3">
        <v>12800</v>
      </c>
      <c r="I17" s="3"/>
      <c r="J17" s="3"/>
      <c r="K17" s="3"/>
      <c r="L17" s="3"/>
      <c r="M17" s="3">
        <v>219400</v>
      </c>
      <c r="N17" s="3"/>
      <c r="O17" s="3"/>
      <c r="P17" s="3"/>
      <c r="Q17" s="3"/>
      <c r="R17" s="3"/>
      <c r="S17" s="3"/>
      <c r="T17" s="3"/>
      <c r="U17" s="3"/>
      <c r="V17" s="3"/>
      <c r="W17" s="3"/>
      <c r="X17" s="3"/>
      <c r="Y17" s="3">
        <v>1365930</v>
      </c>
    </row>
    <row r="18" spans="2:25" x14ac:dyDescent="0.25">
      <c r="B18" s="2" t="s">
        <v>167</v>
      </c>
      <c r="C18" s="3"/>
      <c r="D18" s="3">
        <v>104740</v>
      </c>
      <c r="E18" s="3"/>
      <c r="F18" s="3"/>
      <c r="G18" s="3"/>
      <c r="H18" s="3">
        <v>23400</v>
      </c>
      <c r="I18" s="3"/>
      <c r="J18" s="3"/>
      <c r="K18" s="3"/>
      <c r="L18" s="3"/>
      <c r="M18" s="3">
        <v>21700</v>
      </c>
      <c r="N18" s="3"/>
      <c r="O18" s="3">
        <v>64200</v>
      </c>
      <c r="P18" s="3"/>
      <c r="Q18" s="3"/>
      <c r="R18" s="3"/>
      <c r="S18" s="3"/>
      <c r="T18" s="3"/>
      <c r="U18" s="3"/>
      <c r="V18" s="3">
        <v>28860</v>
      </c>
      <c r="W18" s="3"/>
      <c r="X18" s="3">
        <v>40642.12859414253</v>
      </c>
      <c r="Y18" s="3">
        <v>283542.1285941425</v>
      </c>
    </row>
    <row r="19" spans="2:25" x14ac:dyDescent="0.25">
      <c r="B19" s="4" t="s">
        <v>409</v>
      </c>
      <c r="C19" s="3"/>
      <c r="D19" s="3">
        <v>0</v>
      </c>
      <c r="E19" s="3"/>
      <c r="F19" s="3"/>
      <c r="G19" s="3"/>
      <c r="H19" s="3">
        <v>0</v>
      </c>
      <c r="I19" s="3"/>
      <c r="J19" s="3"/>
      <c r="K19" s="3"/>
      <c r="L19" s="3"/>
      <c r="M19" s="3">
        <v>0</v>
      </c>
      <c r="N19" s="3"/>
      <c r="O19" s="3">
        <v>0</v>
      </c>
      <c r="P19" s="3"/>
      <c r="Q19" s="3"/>
      <c r="R19" s="3"/>
      <c r="S19" s="3"/>
      <c r="T19" s="3"/>
      <c r="U19" s="3"/>
      <c r="V19" s="3">
        <v>0</v>
      </c>
      <c r="W19" s="3"/>
      <c r="X19" s="3">
        <v>42.128594142529302</v>
      </c>
      <c r="Y19" s="3">
        <v>42.128594142529302</v>
      </c>
    </row>
    <row r="20" spans="2:25" x14ac:dyDescent="0.25">
      <c r="B20" s="4" t="s">
        <v>256</v>
      </c>
      <c r="C20" s="3"/>
      <c r="D20" s="3">
        <v>104740</v>
      </c>
      <c r="E20" s="3"/>
      <c r="F20" s="3"/>
      <c r="G20" s="3"/>
      <c r="H20" s="3">
        <v>23400</v>
      </c>
      <c r="I20" s="3"/>
      <c r="J20" s="3"/>
      <c r="K20" s="3"/>
      <c r="L20" s="3"/>
      <c r="M20" s="3">
        <v>21700</v>
      </c>
      <c r="N20" s="3"/>
      <c r="O20" s="3">
        <v>64200</v>
      </c>
      <c r="P20" s="3"/>
      <c r="Q20" s="3"/>
      <c r="R20" s="3"/>
      <c r="S20" s="3"/>
      <c r="T20" s="3"/>
      <c r="U20" s="3"/>
      <c r="V20" s="3">
        <v>28860</v>
      </c>
      <c r="W20" s="3"/>
      <c r="X20" s="3">
        <v>40600</v>
      </c>
      <c r="Y20" s="3">
        <v>283500</v>
      </c>
    </row>
    <row r="21" spans="2:25" x14ac:dyDescent="0.25">
      <c r="B21" s="2" t="s">
        <v>168</v>
      </c>
      <c r="C21" s="3">
        <v>22815</v>
      </c>
      <c r="D21" s="3">
        <v>0</v>
      </c>
      <c r="E21" s="3"/>
      <c r="F21" s="3">
        <v>12800</v>
      </c>
      <c r="G21" s="3">
        <v>23400</v>
      </c>
      <c r="H21" s="3"/>
      <c r="I21" s="3"/>
      <c r="J21" s="3"/>
      <c r="K21" s="3"/>
      <c r="L21" s="3"/>
      <c r="M21" s="3"/>
      <c r="N21" s="3"/>
      <c r="O21" s="3"/>
      <c r="P21" s="3"/>
      <c r="Q21" s="3"/>
      <c r="R21" s="3"/>
      <c r="S21" s="3"/>
      <c r="T21" s="3"/>
      <c r="U21" s="3"/>
      <c r="V21" s="3"/>
      <c r="W21" s="3">
        <v>66300</v>
      </c>
      <c r="X21" s="3"/>
      <c r="Y21" s="3">
        <v>125315</v>
      </c>
    </row>
    <row r="22" spans="2:25" x14ac:dyDescent="0.25">
      <c r="B22" s="4" t="s">
        <v>409</v>
      </c>
      <c r="C22" s="3">
        <v>0</v>
      </c>
      <c r="D22" s="3">
        <v>0</v>
      </c>
      <c r="E22" s="3"/>
      <c r="F22" s="3"/>
      <c r="G22" s="3">
        <v>0</v>
      </c>
      <c r="H22" s="3"/>
      <c r="I22" s="3"/>
      <c r="J22" s="3"/>
      <c r="K22" s="3"/>
      <c r="L22" s="3"/>
      <c r="M22" s="3"/>
      <c r="N22" s="3"/>
      <c r="O22" s="3"/>
      <c r="P22" s="3"/>
      <c r="Q22" s="3"/>
      <c r="R22" s="3"/>
      <c r="S22" s="3"/>
      <c r="T22" s="3"/>
      <c r="U22" s="3"/>
      <c r="V22" s="3"/>
      <c r="W22" s="3">
        <v>0</v>
      </c>
      <c r="X22" s="3"/>
      <c r="Y22" s="3">
        <v>0</v>
      </c>
    </row>
    <row r="23" spans="2:25" x14ac:dyDescent="0.25">
      <c r="B23" s="4" t="s">
        <v>256</v>
      </c>
      <c r="C23" s="3">
        <v>22815</v>
      </c>
      <c r="D23" s="3"/>
      <c r="E23" s="3"/>
      <c r="F23" s="3">
        <v>12800</v>
      </c>
      <c r="G23" s="3">
        <v>23400</v>
      </c>
      <c r="H23" s="3"/>
      <c r="I23" s="3"/>
      <c r="J23" s="3"/>
      <c r="K23" s="3"/>
      <c r="L23" s="3"/>
      <c r="M23" s="3"/>
      <c r="N23" s="3"/>
      <c r="O23" s="3"/>
      <c r="P23" s="3"/>
      <c r="Q23" s="3"/>
      <c r="R23" s="3"/>
      <c r="S23" s="3"/>
      <c r="T23" s="3"/>
      <c r="U23" s="3"/>
      <c r="V23" s="3"/>
      <c r="W23" s="3">
        <v>66300</v>
      </c>
      <c r="X23" s="3"/>
      <c r="Y23" s="3">
        <v>125315</v>
      </c>
    </row>
    <row r="24" spans="2:25" x14ac:dyDescent="0.25">
      <c r="B24" s="2" t="s">
        <v>394</v>
      </c>
      <c r="C24" s="3"/>
      <c r="D24" s="3"/>
      <c r="E24" s="3"/>
      <c r="F24" s="3"/>
      <c r="G24" s="3"/>
      <c r="H24" s="3"/>
      <c r="I24" s="3"/>
      <c r="J24" s="3">
        <v>38350</v>
      </c>
      <c r="K24" s="3"/>
      <c r="L24" s="3">
        <v>31200</v>
      </c>
      <c r="M24" s="3"/>
      <c r="N24" s="3"/>
      <c r="O24" s="3"/>
      <c r="P24" s="3"/>
      <c r="Q24" s="3"/>
      <c r="R24" s="3"/>
      <c r="S24" s="3"/>
      <c r="T24" s="3"/>
      <c r="U24" s="3"/>
      <c r="V24" s="3">
        <v>0</v>
      </c>
      <c r="W24" s="3"/>
      <c r="X24" s="3"/>
      <c r="Y24" s="3">
        <v>69550</v>
      </c>
    </row>
    <row r="25" spans="2:25" x14ac:dyDescent="0.25">
      <c r="B25" s="4" t="s">
        <v>409</v>
      </c>
      <c r="C25" s="3"/>
      <c r="D25" s="3"/>
      <c r="E25" s="3"/>
      <c r="F25" s="3"/>
      <c r="G25" s="3"/>
      <c r="H25" s="3"/>
      <c r="I25" s="3"/>
      <c r="J25" s="3">
        <v>0</v>
      </c>
      <c r="K25" s="3"/>
      <c r="L25" s="3">
        <v>0</v>
      </c>
      <c r="M25" s="3"/>
      <c r="N25" s="3"/>
      <c r="O25" s="3"/>
      <c r="P25" s="3"/>
      <c r="Q25" s="3"/>
      <c r="R25" s="3"/>
      <c r="S25" s="3"/>
      <c r="T25" s="3"/>
      <c r="U25" s="3"/>
      <c r="V25" s="3">
        <v>0</v>
      </c>
      <c r="W25" s="3"/>
      <c r="X25" s="3"/>
      <c r="Y25" s="3">
        <v>0</v>
      </c>
    </row>
    <row r="26" spans="2:25" x14ac:dyDescent="0.25">
      <c r="B26" s="4" t="s">
        <v>256</v>
      </c>
      <c r="C26" s="3"/>
      <c r="D26" s="3"/>
      <c r="E26" s="3"/>
      <c r="F26" s="3"/>
      <c r="G26" s="3"/>
      <c r="H26" s="3"/>
      <c r="I26" s="3"/>
      <c r="J26" s="3">
        <v>38350</v>
      </c>
      <c r="K26" s="3"/>
      <c r="L26" s="3">
        <v>31200</v>
      </c>
      <c r="M26" s="3"/>
      <c r="N26" s="3"/>
      <c r="O26" s="3"/>
      <c r="P26" s="3"/>
      <c r="Q26" s="3"/>
      <c r="R26" s="3"/>
      <c r="S26" s="3"/>
      <c r="T26" s="3"/>
      <c r="U26" s="3"/>
      <c r="V26" s="3"/>
      <c r="W26" s="3"/>
      <c r="X26" s="3"/>
      <c r="Y26" s="3">
        <v>69550</v>
      </c>
    </row>
    <row r="27" spans="2:25" x14ac:dyDescent="0.25">
      <c r="B27" s="2" t="s">
        <v>395</v>
      </c>
      <c r="C27" s="3"/>
      <c r="D27" s="3"/>
      <c r="E27" s="3"/>
      <c r="F27" s="3"/>
      <c r="G27" s="3"/>
      <c r="H27" s="3"/>
      <c r="I27" s="3">
        <v>38350</v>
      </c>
      <c r="J27" s="3"/>
      <c r="K27" s="3"/>
      <c r="L27" s="3"/>
      <c r="M27" s="3"/>
      <c r="N27" s="3"/>
      <c r="O27" s="3"/>
      <c r="P27" s="3"/>
      <c r="Q27" s="3">
        <v>20100</v>
      </c>
      <c r="R27" s="3"/>
      <c r="S27" s="3"/>
      <c r="T27" s="3">
        <v>50700</v>
      </c>
      <c r="U27" s="3"/>
      <c r="V27" s="3">
        <v>52650</v>
      </c>
      <c r="W27" s="3"/>
      <c r="X27" s="3"/>
      <c r="Y27" s="3">
        <v>161800</v>
      </c>
    </row>
    <row r="28" spans="2:25" x14ac:dyDescent="0.25">
      <c r="B28" s="4" t="s">
        <v>409</v>
      </c>
      <c r="C28" s="3"/>
      <c r="D28" s="3"/>
      <c r="E28" s="3"/>
      <c r="F28" s="3"/>
      <c r="G28" s="3"/>
      <c r="H28" s="3"/>
      <c r="I28" s="3">
        <v>0</v>
      </c>
      <c r="J28" s="3"/>
      <c r="K28" s="3"/>
      <c r="L28" s="3"/>
      <c r="M28" s="3"/>
      <c r="N28" s="3"/>
      <c r="O28" s="3"/>
      <c r="P28" s="3"/>
      <c r="Q28" s="3">
        <v>0</v>
      </c>
      <c r="R28" s="3"/>
      <c r="S28" s="3"/>
      <c r="T28" s="3">
        <v>0</v>
      </c>
      <c r="U28" s="3"/>
      <c r="V28" s="3">
        <v>0</v>
      </c>
      <c r="W28" s="3"/>
      <c r="X28" s="3"/>
      <c r="Y28" s="3">
        <v>0</v>
      </c>
    </row>
    <row r="29" spans="2:25" x14ac:dyDescent="0.25">
      <c r="B29" s="4" t="s">
        <v>256</v>
      </c>
      <c r="C29" s="3"/>
      <c r="D29" s="3"/>
      <c r="E29" s="3"/>
      <c r="F29" s="3"/>
      <c r="G29" s="3"/>
      <c r="H29" s="3"/>
      <c r="I29" s="3">
        <v>38350</v>
      </c>
      <c r="J29" s="3"/>
      <c r="K29" s="3"/>
      <c r="L29" s="3"/>
      <c r="M29" s="3"/>
      <c r="N29" s="3"/>
      <c r="O29" s="3"/>
      <c r="P29" s="3"/>
      <c r="Q29" s="3">
        <v>20100</v>
      </c>
      <c r="R29" s="3"/>
      <c r="S29" s="3"/>
      <c r="T29" s="3">
        <v>50700</v>
      </c>
      <c r="U29" s="3"/>
      <c r="V29" s="3">
        <v>52650</v>
      </c>
      <c r="W29" s="3"/>
      <c r="X29" s="3"/>
      <c r="Y29" s="3">
        <v>161800</v>
      </c>
    </row>
    <row r="30" spans="2:25" x14ac:dyDescent="0.25">
      <c r="B30" s="2" t="s">
        <v>396</v>
      </c>
      <c r="C30" s="3"/>
      <c r="D30" s="3"/>
      <c r="E30" s="3"/>
      <c r="F30" s="3"/>
      <c r="G30" s="3"/>
      <c r="H30" s="3"/>
      <c r="I30" s="3"/>
      <c r="J30" s="3"/>
      <c r="K30" s="3"/>
      <c r="L30" s="3">
        <v>27300</v>
      </c>
      <c r="M30" s="3"/>
      <c r="N30" s="3"/>
      <c r="O30" s="3"/>
      <c r="P30" s="3"/>
      <c r="Q30" s="3"/>
      <c r="R30" s="3"/>
      <c r="S30" s="3">
        <v>34781.853924267329</v>
      </c>
      <c r="T30" s="3"/>
      <c r="U30" s="3"/>
      <c r="V30" s="3"/>
      <c r="W30" s="3">
        <v>24500</v>
      </c>
      <c r="X30" s="3"/>
      <c r="Y30" s="3">
        <v>86581.853924267329</v>
      </c>
    </row>
    <row r="31" spans="2:25" x14ac:dyDescent="0.25">
      <c r="B31" s="4" t="s">
        <v>409</v>
      </c>
      <c r="C31" s="3"/>
      <c r="D31" s="3"/>
      <c r="E31" s="3"/>
      <c r="F31" s="3"/>
      <c r="G31" s="3"/>
      <c r="H31" s="3"/>
      <c r="I31" s="3"/>
      <c r="J31" s="3"/>
      <c r="K31" s="3"/>
      <c r="L31" s="3">
        <v>0</v>
      </c>
      <c r="M31" s="3"/>
      <c r="N31" s="3"/>
      <c r="O31" s="3"/>
      <c r="P31" s="3"/>
      <c r="Q31" s="3"/>
      <c r="R31" s="3"/>
      <c r="S31" s="3">
        <v>1281.8539242673301</v>
      </c>
      <c r="T31" s="3"/>
      <c r="U31" s="3"/>
      <c r="V31" s="3"/>
      <c r="W31" s="3">
        <v>0</v>
      </c>
      <c r="X31" s="3"/>
      <c r="Y31" s="3">
        <v>1281.8539242673301</v>
      </c>
    </row>
    <row r="32" spans="2:25" x14ac:dyDescent="0.25">
      <c r="B32" s="4" t="s">
        <v>256</v>
      </c>
      <c r="C32" s="3"/>
      <c r="D32" s="3"/>
      <c r="E32" s="3"/>
      <c r="F32" s="3"/>
      <c r="G32" s="3"/>
      <c r="H32" s="3"/>
      <c r="I32" s="3"/>
      <c r="J32" s="3"/>
      <c r="K32" s="3"/>
      <c r="L32" s="3">
        <v>27300</v>
      </c>
      <c r="M32" s="3"/>
      <c r="N32" s="3"/>
      <c r="O32" s="3"/>
      <c r="P32" s="3"/>
      <c r="Q32" s="3"/>
      <c r="R32" s="3"/>
      <c r="S32" s="3">
        <v>33500</v>
      </c>
      <c r="T32" s="3"/>
      <c r="U32" s="3"/>
      <c r="V32" s="3"/>
      <c r="W32" s="3">
        <v>24500</v>
      </c>
      <c r="X32" s="3"/>
      <c r="Y32" s="3">
        <v>85300</v>
      </c>
    </row>
    <row r="33" spans="2:25" x14ac:dyDescent="0.25">
      <c r="B33" s="2" t="s">
        <v>397</v>
      </c>
      <c r="C33" s="3"/>
      <c r="D33" s="3"/>
      <c r="E33" s="3"/>
      <c r="F33" s="3"/>
      <c r="G33" s="3"/>
      <c r="H33" s="3"/>
      <c r="I33" s="3">
        <v>31200</v>
      </c>
      <c r="J33" s="3"/>
      <c r="K33" s="3">
        <v>46800</v>
      </c>
      <c r="L33" s="3"/>
      <c r="M33" s="3"/>
      <c r="N33" s="3"/>
      <c r="O33" s="3"/>
      <c r="P33" s="3"/>
      <c r="Q33" s="3"/>
      <c r="R33" s="3"/>
      <c r="S33" s="3"/>
      <c r="T33" s="3"/>
      <c r="U33" s="3"/>
      <c r="V33" s="3">
        <v>0</v>
      </c>
      <c r="W33" s="3"/>
      <c r="X33" s="3"/>
      <c r="Y33" s="3">
        <v>78000</v>
      </c>
    </row>
    <row r="34" spans="2:25" x14ac:dyDescent="0.25">
      <c r="B34" s="4" t="s">
        <v>409</v>
      </c>
      <c r="C34" s="3"/>
      <c r="D34" s="3"/>
      <c r="E34" s="3"/>
      <c r="F34" s="3"/>
      <c r="G34" s="3"/>
      <c r="H34" s="3"/>
      <c r="I34" s="3">
        <v>0</v>
      </c>
      <c r="J34" s="3"/>
      <c r="K34" s="3">
        <v>0</v>
      </c>
      <c r="L34" s="3"/>
      <c r="M34" s="3"/>
      <c r="N34" s="3"/>
      <c r="O34" s="3"/>
      <c r="P34" s="3"/>
      <c r="Q34" s="3"/>
      <c r="R34" s="3"/>
      <c r="S34" s="3"/>
      <c r="T34" s="3"/>
      <c r="U34" s="3"/>
      <c r="V34" s="3">
        <v>0</v>
      </c>
      <c r="W34" s="3"/>
      <c r="X34" s="3"/>
      <c r="Y34" s="3">
        <v>0</v>
      </c>
    </row>
    <row r="35" spans="2:25" x14ac:dyDescent="0.25">
      <c r="B35" s="4" t="s">
        <v>256</v>
      </c>
      <c r="C35" s="3"/>
      <c r="D35" s="3"/>
      <c r="E35" s="3"/>
      <c r="F35" s="3"/>
      <c r="G35" s="3"/>
      <c r="H35" s="3"/>
      <c r="I35" s="3">
        <v>31200</v>
      </c>
      <c r="J35" s="3"/>
      <c r="K35" s="3">
        <v>46800</v>
      </c>
      <c r="L35" s="3"/>
      <c r="M35" s="3"/>
      <c r="N35" s="3"/>
      <c r="O35" s="3"/>
      <c r="P35" s="3"/>
      <c r="Q35" s="3"/>
      <c r="R35" s="3"/>
      <c r="S35" s="3"/>
      <c r="T35" s="3"/>
      <c r="U35" s="3"/>
      <c r="V35" s="3"/>
      <c r="W35" s="3"/>
      <c r="X35" s="3"/>
      <c r="Y35" s="3">
        <v>78000</v>
      </c>
    </row>
    <row r="36" spans="2:25" x14ac:dyDescent="0.25">
      <c r="B36" s="2" t="s">
        <v>398</v>
      </c>
      <c r="C36" s="3"/>
      <c r="D36" s="3"/>
      <c r="E36" s="3">
        <v>7010.6782678158697</v>
      </c>
      <c r="F36" s="3">
        <v>188200</v>
      </c>
      <c r="G36" s="3">
        <v>21700</v>
      </c>
      <c r="H36" s="3"/>
      <c r="I36" s="3"/>
      <c r="J36" s="3"/>
      <c r="K36" s="3"/>
      <c r="L36" s="3"/>
      <c r="M36" s="3"/>
      <c r="N36" s="3"/>
      <c r="O36" s="3">
        <v>45500</v>
      </c>
      <c r="P36" s="3"/>
      <c r="Q36" s="3"/>
      <c r="R36" s="3"/>
      <c r="S36" s="3"/>
      <c r="T36" s="3"/>
      <c r="U36" s="3"/>
      <c r="V36" s="3"/>
      <c r="W36" s="3"/>
      <c r="X36" s="3">
        <v>39000</v>
      </c>
      <c r="Y36" s="3">
        <v>301410.67826781585</v>
      </c>
    </row>
    <row r="37" spans="2:25" x14ac:dyDescent="0.25">
      <c r="B37" s="4" t="s">
        <v>409</v>
      </c>
      <c r="C37" s="3"/>
      <c r="D37" s="3"/>
      <c r="E37" s="3">
        <v>7010.6782678158697</v>
      </c>
      <c r="F37" s="3">
        <v>0</v>
      </c>
      <c r="G37" s="3">
        <v>0</v>
      </c>
      <c r="H37" s="3"/>
      <c r="I37" s="3"/>
      <c r="J37" s="3"/>
      <c r="K37" s="3"/>
      <c r="L37" s="3"/>
      <c r="M37" s="3"/>
      <c r="N37" s="3"/>
      <c r="O37" s="3">
        <v>0</v>
      </c>
      <c r="P37" s="3"/>
      <c r="Q37" s="3"/>
      <c r="R37" s="3"/>
      <c r="S37" s="3"/>
      <c r="T37" s="3"/>
      <c r="U37" s="3"/>
      <c r="V37" s="3"/>
      <c r="W37" s="3"/>
      <c r="X37" s="3">
        <v>0</v>
      </c>
      <c r="Y37" s="3">
        <v>7010.6782678158697</v>
      </c>
    </row>
    <row r="38" spans="2:25" x14ac:dyDescent="0.25">
      <c r="B38" s="4" t="s">
        <v>256</v>
      </c>
      <c r="C38" s="3"/>
      <c r="D38" s="3"/>
      <c r="E38" s="3"/>
      <c r="F38" s="3">
        <v>188200</v>
      </c>
      <c r="G38" s="3">
        <v>21700</v>
      </c>
      <c r="H38" s="3"/>
      <c r="I38" s="3"/>
      <c r="J38" s="3"/>
      <c r="K38" s="3"/>
      <c r="L38" s="3"/>
      <c r="M38" s="3"/>
      <c r="N38" s="3"/>
      <c r="O38" s="3">
        <v>45500</v>
      </c>
      <c r="P38" s="3"/>
      <c r="Q38" s="3"/>
      <c r="R38" s="3"/>
      <c r="S38" s="3"/>
      <c r="T38" s="3"/>
      <c r="U38" s="3"/>
      <c r="V38" s="3"/>
      <c r="W38" s="3"/>
      <c r="X38" s="3">
        <v>39000</v>
      </c>
      <c r="Y38" s="3">
        <v>294400</v>
      </c>
    </row>
    <row r="39" spans="2:25" x14ac:dyDescent="0.25">
      <c r="B39" s="2" t="s">
        <v>399</v>
      </c>
      <c r="C39" s="3"/>
      <c r="D39" s="3"/>
      <c r="E39" s="3"/>
      <c r="F39" s="3"/>
      <c r="G39" s="3"/>
      <c r="H39" s="3"/>
      <c r="I39" s="3"/>
      <c r="J39" s="3"/>
      <c r="K39" s="3"/>
      <c r="L39" s="3"/>
      <c r="M39" s="3"/>
      <c r="N39" s="3"/>
      <c r="O39" s="3">
        <v>97500</v>
      </c>
      <c r="P39" s="3">
        <v>44850</v>
      </c>
      <c r="Q39" s="3"/>
      <c r="R39" s="3">
        <v>167.51969421662301</v>
      </c>
      <c r="S39" s="3"/>
      <c r="T39" s="3"/>
      <c r="U39" s="3"/>
      <c r="V39" s="3">
        <v>120855</v>
      </c>
      <c r="W39" s="3"/>
      <c r="X39" s="3"/>
      <c r="Y39" s="3">
        <v>263372.51969421661</v>
      </c>
    </row>
    <row r="40" spans="2:25" x14ac:dyDescent="0.25">
      <c r="B40" s="4" t="s">
        <v>409</v>
      </c>
      <c r="C40" s="3"/>
      <c r="D40" s="3"/>
      <c r="E40" s="3"/>
      <c r="F40" s="3"/>
      <c r="G40" s="3"/>
      <c r="H40" s="3"/>
      <c r="I40" s="3"/>
      <c r="J40" s="3"/>
      <c r="K40" s="3"/>
      <c r="L40" s="3"/>
      <c r="M40" s="3"/>
      <c r="N40" s="3"/>
      <c r="O40" s="3">
        <v>0</v>
      </c>
      <c r="P40" s="3">
        <v>0</v>
      </c>
      <c r="Q40" s="3"/>
      <c r="R40" s="3">
        <v>167.51969421662301</v>
      </c>
      <c r="S40" s="3"/>
      <c r="T40" s="3"/>
      <c r="U40" s="3"/>
      <c r="V40" s="3">
        <v>0</v>
      </c>
      <c r="W40" s="3"/>
      <c r="X40" s="3"/>
      <c r="Y40" s="3">
        <v>167.51969421662301</v>
      </c>
    </row>
    <row r="41" spans="2:25" x14ac:dyDescent="0.25">
      <c r="B41" s="4" t="s">
        <v>256</v>
      </c>
      <c r="C41" s="3"/>
      <c r="D41" s="3"/>
      <c r="E41" s="3"/>
      <c r="F41" s="3"/>
      <c r="G41" s="3"/>
      <c r="H41" s="3"/>
      <c r="I41" s="3"/>
      <c r="J41" s="3"/>
      <c r="K41" s="3"/>
      <c r="L41" s="3"/>
      <c r="M41" s="3"/>
      <c r="N41" s="3"/>
      <c r="O41" s="3">
        <v>97500</v>
      </c>
      <c r="P41" s="3">
        <v>44850</v>
      </c>
      <c r="Q41" s="3"/>
      <c r="R41" s="3"/>
      <c r="S41" s="3"/>
      <c r="T41" s="3"/>
      <c r="U41" s="3"/>
      <c r="V41" s="3">
        <v>120855</v>
      </c>
      <c r="W41" s="3"/>
      <c r="X41" s="3"/>
      <c r="Y41" s="3">
        <v>263205</v>
      </c>
    </row>
    <row r="42" spans="2:25" x14ac:dyDescent="0.25">
      <c r="B42" s="2" t="s">
        <v>400</v>
      </c>
      <c r="C42" s="3"/>
      <c r="D42" s="3">
        <v>44800</v>
      </c>
      <c r="E42" s="3"/>
      <c r="F42" s="3"/>
      <c r="G42" s="3">
        <v>64200</v>
      </c>
      <c r="H42" s="3"/>
      <c r="I42" s="3"/>
      <c r="J42" s="3"/>
      <c r="K42" s="3"/>
      <c r="L42" s="3"/>
      <c r="M42" s="3">
        <v>45500</v>
      </c>
      <c r="N42" s="3">
        <v>124800</v>
      </c>
      <c r="O42" s="3"/>
      <c r="P42" s="3"/>
      <c r="Q42" s="3"/>
      <c r="R42" s="3">
        <v>46800</v>
      </c>
      <c r="S42" s="3"/>
      <c r="T42" s="3"/>
      <c r="U42" s="3"/>
      <c r="V42" s="3"/>
      <c r="W42" s="3"/>
      <c r="X42" s="3">
        <v>42000</v>
      </c>
      <c r="Y42" s="3">
        <v>368100</v>
      </c>
    </row>
    <row r="43" spans="2:25" x14ac:dyDescent="0.25">
      <c r="B43" s="4" t="s">
        <v>409</v>
      </c>
      <c r="C43" s="3"/>
      <c r="D43" s="3">
        <v>0</v>
      </c>
      <c r="E43" s="3"/>
      <c r="F43" s="3"/>
      <c r="G43" s="3">
        <v>0</v>
      </c>
      <c r="H43" s="3"/>
      <c r="I43" s="3"/>
      <c r="J43" s="3"/>
      <c r="K43" s="3"/>
      <c r="L43" s="3"/>
      <c r="M43" s="3">
        <v>0</v>
      </c>
      <c r="N43" s="3">
        <v>0</v>
      </c>
      <c r="O43" s="3"/>
      <c r="P43" s="3"/>
      <c r="Q43" s="3"/>
      <c r="R43" s="3">
        <v>0</v>
      </c>
      <c r="S43" s="3"/>
      <c r="T43" s="3"/>
      <c r="U43" s="3"/>
      <c r="V43" s="3"/>
      <c r="W43" s="3"/>
      <c r="X43" s="3">
        <v>0</v>
      </c>
      <c r="Y43" s="3">
        <v>0</v>
      </c>
    </row>
    <row r="44" spans="2:25" x14ac:dyDescent="0.25">
      <c r="B44" s="4" t="s">
        <v>256</v>
      </c>
      <c r="C44" s="3"/>
      <c r="D44" s="3">
        <v>44800</v>
      </c>
      <c r="E44" s="3"/>
      <c r="F44" s="3"/>
      <c r="G44" s="3">
        <v>64200</v>
      </c>
      <c r="H44" s="3"/>
      <c r="I44" s="3"/>
      <c r="J44" s="3"/>
      <c r="K44" s="3"/>
      <c r="L44" s="3"/>
      <c r="M44" s="3">
        <v>45500</v>
      </c>
      <c r="N44" s="3">
        <v>124800</v>
      </c>
      <c r="O44" s="3"/>
      <c r="P44" s="3"/>
      <c r="Q44" s="3"/>
      <c r="R44" s="3">
        <v>46800</v>
      </c>
      <c r="S44" s="3"/>
      <c r="T44" s="3"/>
      <c r="U44" s="3"/>
      <c r="V44" s="3"/>
      <c r="W44" s="3"/>
      <c r="X44" s="3">
        <v>42000</v>
      </c>
      <c r="Y44" s="3">
        <v>368100</v>
      </c>
    </row>
    <row r="45" spans="2:25" x14ac:dyDescent="0.25">
      <c r="B45" s="2" t="s">
        <v>401</v>
      </c>
      <c r="C45" s="3"/>
      <c r="D45" s="3"/>
      <c r="E45" s="3"/>
      <c r="F45" s="3"/>
      <c r="G45" s="3"/>
      <c r="H45" s="3"/>
      <c r="I45" s="3"/>
      <c r="J45" s="3"/>
      <c r="K45" s="3"/>
      <c r="L45" s="3"/>
      <c r="M45" s="3"/>
      <c r="N45" s="3">
        <v>46800</v>
      </c>
      <c r="O45" s="3"/>
      <c r="P45" s="3"/>
      <c r="Q45" s="3">
        <v>7800</v>
      </c>
      <c r="R45" s="3">
        <v>39000</v>
      </c>
      <c r="S45" s="3"/>
      <c r="T45" s="3"/>
      <c r="U45" s="3">
        <v>23400</v>
      </c>
      <c r="V45" s="3"/>
      <c r="W45" s="3"/>
      <c r="X45" s="3"/>
      <c r="Y45" s="3">
        <v>117000</v>
      </c>
    </row>
    <row r="46" spans="2:25" x14ac:dyDescent="0.25">
      <c r="B46" s="4" t="s">
        <v>409</v>
      </c>
      <c r="C46" s="3"/>
      <c r="D46" s="3"/>
      <c r="E46" s="3"/>
      <c r="F46" s="3"/>
      <c r="G46" s="3"/>
      <c r="H46" s="3"/>
      <c r="I46" s="3"/>
      <c r="J46" s="3"/>
      <c r="K46" s="3"/>
      <c r="L46" s="3"/>
      <c r="M46" s="3"/>
      <c r="N46" s="3">
        <v>0</v>
      </c>
      <c r="O46" s="3"/>
      <c r="P46" s="3"/>
      <c r="Q46" s="3">
        <v>0</v>
      </c>
      <c r="R46" s="3">
        <v>0</v>
      </c>
      <c r="S46" s="3"/>
      <c r="T46" s="3"/>
      <c r="U46" s="3">
        <v>0</v>
      </c>
      <c r="V46" s="3"/>
      <c r="W46" s="3"/>
      <c r="X46" s="3"/>
      <c r="Y46" s="3">
        <v>0</v>
      </c>
    </row>
    <row r="47" spans="2:25" x14ac:dyDescent="0.25">
      <c r="B47" s="4" t="s">
        <v>256</v>
      </c>
      <c r="C47" s="3"/>
      <c r="D47" s="3"/>
      <c r="E47" s="3"/>
      <c r="F47" s="3"/>
      <c r="G47" s="3"/>
      <c r="H47" s="3"/>
      <c r="I47" s="3"/>
      <c r="J47" s="3"/>
      <c r="K47" s="3"/>
      <c r="L47" s="3"/>
      <c r="M47" s="3"/>
      <c r="N47" s="3">
        <v>46800</v>
      </c>
      <c r="O47" s="3"/>
      <c r="P47" s="3"/>
      <c r="Q47" s="3">
        <v>7800</v>
      </c>
      <c r="R47" s="3">
        <v>39000</v>
      </c>
      <c r="S47" s="3"/>
      <c r="T47" s="3"/>
      <c r="U47" s="3">
        <v>23400</v>
      </c>
      <c r="V47" s="3"/>
      <c r="W47" s="3"/>
      <c r="X47" s="3"/>
      <c r="Y47" s="3">
        <v>117000</v>
      </c>
    </row>
    <row r="48" spans="2:25" x14ac:dyDescent="0.25">
      <c r="B48" s="2" t="s">
        <v>402</v>
      </c>
      <c r="C48" s="3"/>
      <c r="D48" s="3"/>
      <c r="E48" s="3"/>
      <c r="F48" s="3"/>
      <c r="G48" s="3"/>
      <c r="H48" s="3"/>
      <c r="I48" s="3"/>
      <c r="J48" s="3">
        <v>16200</v>
      </c>
      <c r="K48" s="3"/>
      <c r="L48" s="3"/>
      <c r="M48" s="3"/>
      <c r="N48" s="3"/>
      <c r="O48" s="3"/>
      <c r="P48" s="3">
        <v>39000</v>
      </c>
      <c r="Q48" s="3"/>
      <c r="R48" s="3"/>
      <c r="S48" s="3"/>
      <c r="T48" s="3">
        <v>0</v>
      </c>
      <c r="U48" s="3">
        <v>9750</v>
      </c>
      <c r="V48" s="3"/>
      <c r="W48" s="3"/>
      <c r="X48" s="3"/>
      <c r="Y48" s="3">
        <v>64950</v>
      </c>
    </row>
    <row r="49" spans="2:25" x14ac:dyDescent="0.25">
      <c r="B49" s="4" t="s">
        <v>409</v>
      </c>
      <c r="C49" s="3"/>
      <c r="D49" s="3"/>
      <c r="E49" s="3"/>
      <c r="F49" s="3"/>
      <c r="G49" s="3"/>
      <c r="H49" s="3"/>
      <c r="I49" s="3"/>
      <c r="J49" s="3">
        <v>0</v>
      </c>
      <c r="K49" s="3"/>
      <c r="L49" s="3"/>
      <c r="M49" s="3"/>
      <c r="N49" s="3"/>
      <c r="O49" s="3"/>
      <c r="P49" s="3">
        <v>0</v>
      </c>
      <c r="Q49" s="3"/>
      <c r="R49" s="3"/>
      <c r="S49" s="3"/>
      <c r="T49" s="3">
        <v>0</v>
      </c>
      <c r="U49" s="3">
        <v>0</v>
      </c>
      <c r="V49" s="3"/>
      <c r="W49" s="3"/>
      <c r="X49" s="3"/>
      <c r="Y49" s="3">
        <v>0</v>
      </c>
    </row>
    <row r="50" spans="2:25" x14ac:dyDescent="0.25">
      <c r="B50" s="4" t="s">
        <v>256</v>
      </c>
      <c r="C50" s="3"/>
      <c r="D50" s="3"/>
      <c r="E50" s="3"/>
      <c r="F50" s="3"/>
      <c r="G50" s="3"/>
      <c r="H50" s="3"/>
      <c r="I50" s="3"/>
      <c r="J50" s="3">
        <v>16200</v>
      </c>
      <c r="K50" s="3"/>
      <c r="L50" s="3"/>
      <c r="M50" s="3"/>
      <c r="N50" s="3"/>
      <c r="O50" s="3"/>
      <c r="P50" s="3">
        <v>39000</v>
      </c>
      <c r="Q50" s="3"/>
      <c r="R50" s="3"/>
      <c r="S50" s="3"/>
      <c r="T50" s="3"/>
      <c r="U50" s="3">
        <v>9750</v>
      </c>
      <c r="V50" s="3"/>
      <c r="W50" s="3"/>
      <c r="X50" s="3"/>
      <c r="Y50" s="3">
        <v>64950</v>
      </c>
    </row>
    <row r="51" spans="2:25" x14ac:dyDescent="0.25">
      <c r="B51" s="2" t="s">
        <v>403</v>
      </c>
      <c r="C51" s="3"/>
      <c r="D51" s="3"/>
      <c r="E51" s="3"/>
      <c r="F51" s="3"/>
      <c r="G51" s="3"/>
      <c r="H51" s="3"/>
      <c r="I51" s="3"/>
      <c r="J51" s="3"/>
      <c r="K51" s="3"/>
      <c r="L51" s="3"/>
      <c r="M51" s="3"/>
      <c r="N51" s="3">
        <v>167.51969421662301</v>
      </c>
      <c r="O51" s="3">
        <v>46800</v>
      </c>
      <c r="P51" s="3">
        <v>39000</v>
      </c>
      <c r="Q51" s="3"/>
      <c r="R51" s="3"/>
      <c r="S51" s="3"/>
      <c r="T51" s="3"/>
      <c r="U51" s="3"/>
      <c r="V51" s="3"/>
      <c r="W51" s="3"/>
      <c r="X51" s="3"/>
      <c r="Y51" s="3">
        <v>85967.519694216622</v>
      </c>
    </row>
    <row r="52" spans="2:25" x14ac:dyDescent="0.25">
      <c r="B52" s="4" t="s">
        <v>409</v>
      </c>
      <c r="C52" s="3"/>
      <c r="D52" s="3"/>
      <c r="E52" s="3"/>
      <c r="F52" s="3"/>
      <c r="G52" s="3"/>
      <c r="H52" s="3"/>
      <c r="I52" s="3"/>
      <c r="J52" s="3"/>
      <c r="K52" s="3"/>
      <c r="L52" s="3"/>
      <c r="M52" s="3"/>
      <c r="N52" s="3">
        <v>167.51969421662301</v>
      </c>
      <c r="O52" s="3">
        <v>0</v>
      </c>
      <c r="P52" s="3">
        <v>0</v>
      </c>
      <c r="Q52" s="3"/>
      <c r="R52" s="3"/>
      <c r="S52" s="3"/>
      <c r="T52" s="3"/>
      <c r="U52" s="3"/>
      <c r="V52" s="3"/>
      <c r="W52" s="3"/>
      <c r="X52" s="3"/>
      <c r="Y52" s="3">
        <v>167.51969421662301</v>
      </c>
    </row>
    <row r="53" spans="2:25" x14ac:dyDescent="0.25">
      <c r="B53" s="4" t="s">
        <v>256</v>
      </c>
      <c r="C53" s="3"/>
      <c r="D53" s="3"/>
      <c r="E53" s="3"/>
      <c r="F53" s="3"/>
      <c r="G53" s="3"/>
      <c r="H53" s="3"/>
      <c r="I53" s="3"/>
      <c r="J53" s="3"/>
      <c r="K53" s="3"/>
      <c r="L53" s="3"/>
      <c r="M53" s="3"/>
      <c r="N53" s="3"/>
      <c r="O53" s="3">
        <v>46800</v>
      </c>
      <c r="P53" s="3">
        <v>39000</v>
      </c>
      <c r="Q53" s="3"/>
      <c r="R53" s="3"/>
      <c r="S53" s="3"/>
      <c r="T53" s="3"/>
      <c r="U53" s="3"/>
      <c r="V53" s="3"/>
      <c r="W53" s="3"/>
      <c r="X53" s="3"/>
      <c r="Y53" s="3">
        <v>85800</v>
      </c>
    </row>
    <row r="54" spans="2:25" x14ac:dyDescent="0.25">
      <c r="B54" s="2" t="s">
        <v>404</v>
      </c>
      <c r="C54" s="3">
        <v>89093.851517522402</v>
      </c>
      <c r="D54" s="3"/>
      <c r="E54" s="3"/>
      <c r="F54" s="3"/>
      <c r="G54" s="3"/>
      <c r="H54" s="3"/>
      <c r="I54" s="3"/>
      <c r="J54" s="3"/>
      <c r="K54" s="3">
        <v>34781.853924267329</v>
      </c>
      <c r="L54" s="3"/>
      <c r="M54" s="3"/>
      <c r="N54" s="3"/>
      <c r="O54" s="3"/>
      <c r="P54" s="3"/>
      <c r="Q54" s="3"/>
      <c r="R54" s="3"/>
      <c r="S54" s="3"/>
      <c r="T54" s="3"/>
      <c r="U54" s="3"/>
      <c r="V54" s="3"/>
      <c r="W54" s="3">
        <v>4943.2738027502301</v>
      </c>
      <c r="X54" s="3"/>
      <c r="Y54" s="3">
        <v>128818.97924453997</v>
      </c>
    </row>
    <row r="55" spans="2:25" x14ac:dyDescent="0.25">
      <c r="B55" s="4" t="s">
        <v>409</v>
      </c>
      <c r="C55" s="3">
        <v>11093.8515175224</v>
      </c>
      <c r="D55" s="3"/>
      <c r="E55" s="3"/>
      <c r="F55" s="3"/>
      <c r="G55" s="3"/>
      <c r="H55" s="3"/>
      <c r="I55" s="3"/>
      <c r="J55" s="3"/>
      <c r="K55" s="3">
        <v>1281.8539242673301</v>
      </c>
      <c r="L55" s="3"/>
      <c r="M55" s="3"/>
      <c r="N55" s="3"/>
      <c r="O55" s="3"/>
      <c r="P55" s="3"/>
      <c r="Q55" s="3"/>
      <c r="R55" s="3"/>
      <c r="S55" s="3"/>
      <c r="T55" s="3"/>
      <c r="U55" s="3"/>
      <c r="V55" s="3"/>
      <c r="W55" s="3">
        <v>4943.2738027502301</v>
      </c>
      <c r="X55" s="3"/>
      <c r="Y55" s="3">
        <v>17318.979244539962</v>
      </c>
    </row>
    <row r="56" spans="2:25" x14ac:dyDescent="0.25">
      <c r="B56" s="4" t="s">
        <v>256</v>
      </c>
      <c r="C56" s="3">
        <v>78000</v>
      </c>
      <c r="D56" s="3"/>
      <c r="E56" s="3"/>
      <c r="F56" s="3"/>
      <c r="G56" s="3"/>
      <c r="H56" s="3"/>
      <c r="I56" s="3"/>
      <c r="J56" s="3"/>
      <c r="K56" s="3">
        <v>33500</v>
      </c>
      <c r="L56" s="3"/>
      <c r="M56" s="3"/>
      <c r="N56" s="3"/>
      <c r="O56" s="3"/>
      <c r="P56" s="3"/>
      <c r="Q56" s="3"/>
      <c r="R56" s="3"/>
      <c r="S56" s="3"/>
      <c r="T56" s="3"/>
      <c r="U56" s="3"/>
      <c r="V56" s="3"/>
      <c r="W56" s="3"/>
      <c r="X56" s="3"/>
      <c r="Y56" s="3">
        <v>111500</v>
      </c>
    </row>
    <row r="57" spans="2:25" x14ac:dyDescent="0.25">
      <c r="B57" s="2" t="s">
        <v>405</v>
      </c>
      <c r="C57" s="3"/>
      <c r="D57" s="3"/>
      <c r="E57" s="3"/>
      <c r="F57" s="3"/>
      <c r="G57" s="3"/>
      <c r="H57" s="3"/>
      <c r="I57" s="3"/>
      <c r="J57" s="3">
        <v>50700</v>
      </c>
      <c r="K57" s="3"/>
      <c r="L57" s="3"/>
      <c r="M57" s="3"/>
      <c r="N57" s="3"/>
      <c r="O57" s="3"/>
      <c r="P57" s="3"/>
      <c r="Q57" s="3">
        <v>23400</v>
      </c>
      <c r="R57" s="3"/>
      <c r="S57" s="3"/>
      <c r="T57" s="3"/>
      <c r="U57" s="3">
        <v>128700</v>
      </c>
      <c r="V57" s="3"/>
      <c r="W57" s="3"/>
      <c r="X57" s="3"/>
      <c r="Y57" s="3">
        <v>202800</v>
      </c>
    </row>
    <row r="58" spans="2:25" x14ac:dyDescent="0.25">
      <c r="B58" s="4" t="s">
        <v>409</v>
      </c>
      <c r="C58" s="3"/>
      <c r="D58" s="3"/>
      <c r="E58" s="3"/>
      <c r="F58" s="3"/>
      <c r="G58" s="3"/>
      <c r="H58" s="3"/>
      <c r="I58" s="3"/>
      <c r="J58" s="3">
        <v>0</v>
      </c>
      <c r="K58" s="3"/>
      <c r="L58" s="3"/>
      <c r="M58" s="3"/>
      <c r="N58" s="3"/>
      <c r="O58" s="3"/>
      <c r="P58" s="3"/>
      <c r="Q58" s="3">
        <v>0</v>
      </c>
      <c r="R58" s="3"/>
      <c r="S58" s="3"/>
      <c r="T58" s="3"/>
      <c r="U58" s="3">
        <v>0</v>
      </c>
      <c r="V58" s="3"/>
      <c r="W58" s="3"/>
      <c r="X58" s="3"/>
      <c r="Y58" s="3">
        <v>0</v>
      </c>
    </row>
    <row r="59" spans="2:25" x14ac:dyDescent="0.25">
      <c r="B59" s="4" t="s">
        <v>256</v>
      </c>
      <c r="C59" s="3"/>
      <c r="D59" s="3"/>
      <c r="E59" s="3"/>
      <c r="F59" s="3"/>
      <c r="G59" s="3"/>
      <c r="H59" s="3"/>
      <c r="I59" s="3"/>
      <c r="J59" s="3">
        <v>50700</v>
      </c>
      <c r="K59" s="3"/>
      <c r="L59" s="3"/>
      <c r="M59" s="3"/>
      <c r="N59" s="3"/>
      <c r="O59" s="3"/>
      <c r="P59" s="3"/>
      <c r="Q59" s="3">
        <v>23400</v>
      </c>
      <c r="R59" s="3"/>
      <c r="S59" s="3"/>
      <c r="T59" s="3"/>
      <c r="U59" s="3">
        <v>128700</v>
      </c>
      <c r="V59" s="3"/>
      <c r="W59" s="3"/>
      <c r="X59" s="3"/>
      <c r="Y59" s="3">
        <v>202800</v>
      </c>
    </row>
    <row r="60" spans="2:25" x14ac:dyDescent="0.25">
      <c r="B60" s="2" t="s">
        <v>406</v>
      </c>
      <c r="C60" s="3"/>
      <c r="D60" s="3"/>
      <c r="E60" s="3"/>
      <c r="F60" s="3"/>
      <c r="G60" s="3"/>
      <c r="H60" s="3"/>
      <c r="I60" s="3"/>
      <c r="J60" s="3"/>
      <c r="K60" s="3"/>
      <c r="L60" s="3"/>
      <c r="M60" s="3"/>
      <c r="N60" s="3"/>
      <c r="O60" s="3"/>
      <c r="P60" s="3">
        <v>39000</v>
      </c>
      <c r="Q60" s="3">
        <v>11700</v>
      </c>
      <c r="R60" s="3"/>
      <c r="S60" s="3"/>
      <c r="T60" s="3">
        <v>128700</v>
      </c>
      <c r="U60" s="3"/>
      <c r="V60" s="3">
        <v>284700</v>
      </c>
      <c r="W60" s="3"/>
      <c r="X60" s="3"/>
      <c r="Y60" s="3">
        <v>464100</v>
      </c>
    </row>
    <row r="61" spans="2:25" x14ac:dyDescent="0.25">
      <c r="B61" s="4" t="s">
        <v>409</v>
      </c>
      <c r="C61" s="3"/>
      <c r="D61" s="3"/>
      <c r="E61" s="3"/>
      <c r="F61" s="3"/>
      <c r="G61" s="3"/>
      <c r="H61" s="3"/>
      <c r="I61" s="3"/>
      <c r="J61" s="3"/>
      <c r="K61" s="3"/>
      <c r="L61" s="3"/>
      <c r="M61" s="3"/>
      <c r="N61" s="3"/>
      <c r="O61" s="3"/>
      <c r="P61" s="3">
        <v>0</v>
      </c>
      <c r="Q61" s="3">
        <v>0</v>
      </c>
      <c r="R61" s="3"/>
      <c r="S61" s="3"/>
      <c r="T61" s="3">
        <v>0</v>
      </c>
      <c r="U61" s="3"/>
      <c r="V61" s="3">
        <v>0</v>
      </c>
      <c r="W61" s="3"/>
      <c r="X61" s="3"/>
      <c r="Y61" s="3">
        <v>0</v>
      </c>
    </row>
    <row r="62" spans="2:25" x14ac:dyDescent="0.25">
      <c r="B62" s="4" t="s">
        <v>256</v>
      </c>
      <c r="C62" s="3"/>
      <c r="D62" s="3"/>
      <c r="E62" s="3"/>
      <c r="F62" s="3"/>
      <c r="G62" s="3"/>
      <c r="H62" s="3"/>
      <c r="I62" s="3"/>
      <c r="J62" s="3"/>
      <c r="K62" s="3"/>
      <c r="L62" s="3"/>
      <c r="M62" s="3"/>
      <c r="N62" s="3"/>
      <c r="O62" s="3"/>
      <c r="P62" s="3">
        <v>39000</v>
      </c>
      <c r="Q62" s="3">
        <v>11700</v>
      </c>
      <c r="R62" s="3"/>
      <c r="S62" s="3"/>
      <c r="T62" s="3">
        <v>128700</v>
      </c>
      <c r="U62" s="3"/>
      <c r="V62" s="3">
        <v>284700</v>
      </c>
      <c r="W62" s="3"/>
      <c r="X62" s="3"/>
      <c r="Y62" s="3">
        <v>464100</v>
      </c>
    </row>
    <row r="63" spans="2:25" x14ac:dyDescent="0.25">
      <c r="B63" s="2" t="s">
        <v>407</v>
      </c>
      <c r="C63" s="3"/>
      <c r="D63" s="3"/>
      <c r="E63" s="3"/>
      <c r="F63" s="3"/>
      <c r="G63" s="3">
        <v>26520</v>
      </c>
      <c r="H63" s="3"/>
      <c r="I63" s="3">
        <v>0</v>
      </c>
      <c r="J63" s="3">
        <v>52650</v>
      </c>
      <c r="K63" s="3"/>
      <c r="L63" s="3">
        <v>0</v>
      </c>
      <c r="M63" s="3"/>
      <c r="N63" s="3">
        <v>118905</v>
      </c>
      <c r="O63" s="3"/>
      <c r="P63" s="3"/>
      <c r="Q63" s="3"/>
      <c r="R63" s="3"/>
      <c r="S63" s="3"/>
      <c r="T63" s="3"/>
      <c r="U63" s="3">
        <v>284700</v>
      </c>
      <c r="V63" s="3"/>
      <c r="W63" s="3">
        <v>251053.71637579665</v>
      </c>
      <c r="X63" s="3"/>
      <c r="Y63" s="3">
        <v>733828.71637579671</v>
      </c>
    </row>
    <row r="64" spans="2:25" x14ac:dyDescent="0.25">
      <c r="B64" s="4" t="s">
        <v>409</v>
      </c>
      <c r="C64" s="3"/>
      <c r="D64" s="3"/>
      <c r="E64" s="3"/>
      <c r="F64" s="3"/>
      <c r="G64" s="3">
        <v>0</v>
      </c>
      <c r="H64" s="3"/>
      <c r="I64" s="3">
        <v>0</v>
      </c>
      <c r="J64" s="3">
        <v>0</v>
      </c>
      <c r="K64" s="3"/>
      <c r="L64" s="3">
        <v>0</v>
      </c>
      <c r="M64" s="3"/>
      <c r="N64" s="3">
        <v>0</v>
      </c>
      <c r="O64" s="3"/>
      <c r="P64" s="3"/>
      <c r="Q64" s="3"/>
      <c r="R64" s="3"/>
      <c r="S64" s="3"/>
      <c r="T64" s="3"/>
      <c r="U64" s="3">
        <v>0</v>
      </c>
      <c r="V64" s="3"/>
      <c r="W64" s="3">
        <v>1153.71637579666</v>
      </c>
      <c r="X64" s="3"/>
      <c r="Y64" s="3">
        <v>1153.71637579666</v>
      </c>
    </row>
    <row r="65" spans="2:25" x14ac:dyDescent="0.25">
      <c r="B65" s="4" t="s">
        <v>256</v>
      </c>
      <c r="C65" s="3"/>
      <c r="D65" s="3"/>
      <c r="E65" s="3"/>
      <c r="F65" s="3"/>
      <c r="G65" s="3">
        <v>26520</v>
      </c>
      <c r="H65" s="3"/>
      <c r="I65" s="3"/>
      <c r="J65" s="3">
        <v>52650</v>
      </c>
      <c r="K65" s="3"/>
      <c r="L65" s="3"/>
      <c r="M65" s="3"/>
      <c r="N65" s="3">
        <v>118905</v>
      </c>
      <c r="O65" s="3"/>
      <c r="P65" s="3"/>
      <c r="Q65" s="3"/>
      <c r="R65" s="3"/>
      <c r="S65" s="3"/>
      <c r="T65" s="3"/>
      <c r="U65" s="3">
        <v>284700</v>
      </c>
      <c r="V65" s="3"/>
      <c r="W65" s="3">
        <v>249900</v>
      </c>
      <c r="X65" s="3"/>
      <c r="Y65" s="3">
        <v>732675</v>
      </c>
    </row>
    <row r="66" spans="2:25" x14ac:dyDescent="0.25">
      <c r="B66" s="2" t="s">
        <v>198</v>
      </c>
      <c r="C66" s="3"/>
      <c r="D66" s="3">
        <v>23790</v>
      </c>
      <c r="E66" s="3"/>
      <c r="F66" s="3"/>
      <c r="G66" s="3"/>
      <c r="H66" s="3">
        <v>50700</v>
      </c>
      <c r="I66" s="3"/>
      <c r="J66" s="3"/>
      <c r="K66" s="3">
        <v>24500</v>
      </c>
      <c r="L66" s="3"/>
      <c r="M66" s="3"/>
      <c r="N66" s="3"/>
      <c r="O66" s="3"/>
      <c r="P66" s="3"/>
      <c r="Q66" s="3"/>
      <c r="R66" s="3"/>
      <c r="S66" s="3">
        <v>4943.2738027502301</v>
      </c>
      <c r="T66" s="3"/>
      <c r="U66" s="3"/>
      <c r="V66" s="3">
        <v>122353.71637579666</v>
      </c>
      <c r="W66" s="3"/>
      <c r="X66" s="3"/>
      <c r="Y66" s="3">
        <v>226286.9901785469</v>
      </c>
    </row>
    <row r="67" spans="2:25" x14ac:dyDescent="0.25">
      <c r="B67" s="4" t="s">
        <v>409</v>
      </c>
      <c r="C67" s="3"/>
      <c r="D67" s="3">
        <v>0</v>
      </c>
      <c r="E67" s="3"/>
      <c r="F67" s="3"/>
      <c r="G67" s="3"/>
      <c r="H67" s="3">
        <v>0</v>
      </c>
      <c r="I67" s="3"/>
      <c r="J67" s="3"/>
      <c r="K67" s="3">
        <v>0</v>
      </c>
      <c r="L67" s="3"/>
      <c r="M67" s="3"/>
      <c r="N67" s="3"/>
      <c r="O67" s="3"/>
      <c r="P67" s="3"/>
      <c r="Q67" s="3"/>
      <c r="R67" s="3"/>
      <c r="S67" s="3">
        <v>4943.2738027502301</v>
      </c>
      <c r="T67" s="3"/>
      <c r="U67" s="3"/>
      <c r="V67" s="3">
        <v>1153.71637579666</v>
      </c>
      <c r="W67" s="3"/>
      <c r="X67" s="3"/>
      <c r="Y67" s="3">
        <v>6096.9901785468901</v>
      </c>
    </row>
    <row r="68" spans="2:25" x14ac:dyDescent="0.25">
      <c r="B68" s="4" t="s">
        <v>256</v>
      </c>
      <c r="C68" s="3"/>
      <c r="D68" s="3">
        <v>23790</v>
      </c>
      <c r="E68" s="3"/>
      <c r="F68" s="3"/>
      <c r="G68" s="3"/>
      <c r="H68" s="3">
        <v>50700</v>
      </c>
      <c r="I68" s="3"/>
      <c r="J68" s="3"/>
      <c r="K68" s="3">
        <v>24500</v>
      </c>
      <c r="L68" s="3"/>
      <c r="M68" s="3"/>
      <c r="N68" s="3"/>
      <c r="O68" s="3"/>
      <c r="P68" s="3"/>
      <c r="Q68" s="3"/>
      <c r="R68" s="3"/>
      <c r="S68" s="3"/>
      <c r="T68" s="3"/>
      <c r="U68" s="3"/>
      <c r="V68" s="3">
        <v>121200</v>
      </c>
      <c r="W68" s="3"/>
      <c r="X68" s="3"/>
      <c r="Y68" s="3">
        <v>220190</v>
      </c>
    </row>
    <row r="69" spans="2:25" x14ac:dyDescent="0.25">
      <c r="B69" s="2" t="s">
        <v>408</v>
      </c>
      <c r="C69" s="3"/>
      <c r="D69" s="3"/>
      <c r="E69" s="3"/>
      <c r="F69" s="3"/>
      <c r="G69" s="3">
        <v>40642.12859414253</v>
      </c>
      <c r="H69" s="3"/>
      <c r="I69" s="3"/>
      <c r="J69" s="3"/>
      <c r="K69" s="3"/>
      <c r="L69" s="3"/>
      <c r="M69" s="3">
        <v>39000</v>
      </c>
      <c r="N69" s="3"/>
      <c r="O69" s="3">
        <v>42000</v>
      </c>
      <c r="P69" s="3"/>
      <c r="Q69" s="3"/>
      <c r="R69" s="3"/>
      <c r="S69" s="3"/>
      <c r="T69" s="3"/>
      <c r="U69" s="3"/>
      <c r="V69" s="3"/>
      <c r="W69" s="3"/>
      <c r="X69" s="3"/>
      <c r="Y69" s="3">
        <v>121642.12859414253</v>
      </c>
    </row>
    <row r="70" spans="2:25" x14ac:dyDescent="0.25">
      <c r="B70" s="4" t="s">
        <v>409</v>
      </c>
      <c r="C70" s="3"/>
      <c r="D70" s="3"/>
      <c r="E70" s="3"/>
      <c r="F70" s="3"/>
      <c r="G70" s="3">
        <v>42.128594142529302</v>
      </c>
      <c r="H70" s="3"/>
      <c r="I70" s="3"/>
      <c r="J70" s="3"/>
      <c r="K70" s="3"/>
      <c r="L70" s="3"/>
      <c r="M70" s="3">
        <v>0</v>
      </c>
      <c r="N70" s="3"/>
      <c r="O70" s="3">
        <v>0</v>
      </c>
      <c r="P70" s="3"/>
      <c r="Q70" s="3"/>
      <c r="R70" s="3"/>
      <c r="S70" s="3"/>
      <c r="T70" s="3"/>
      <c r="U70" s="3"/>
      <c r="V70" s="3"/>
      <c r="W70" s="3"/>
      <c r="X70" s="3"/>
      <c r="Y70" s="3">
        <v>42.128594142529302</v>
      </c>
    </row>
    <row r="71" spans="2:25" x14ac:dyDescent="0.25">
      <c r="B71" s="4" t="s">
        <v>256</v>
      </c>
      <c r="C71" s="3"/>
      <c r="D71" s="3"/>
      <c r="E71" s="3"/>
      <c r="F71" s="3"/>
      <c r="G71" s="3">
        <v>40600</v>
      </c>
      <c r="H71" s="3"/>
      <c r="I71" s="3"/>
      <c r="J71" s="3"/>
      <c r="K71" s="3"/>
      <c r="L71" s="3"/>
      <c r="M71" s="3">
        <v>39000</v>
      </c>
      <c r="N71" s="3"/>
      <c r="O71" s="3">
        <v>42000</v>
      </c>
      <c r="P71" s="3"/>
      <c r="Q71" s="3"/>
      <c r="R71" s="3"/>
      <c r="S71" s="3"/>
      <c r="T71" s="3"/>
      <c r="U71" s="3"/>
      <c r="V71" s="3"/>
      <c r="W71" s="3"/>
      <c r="X71" s="3"/>
      <c r="Y71" s="3">
        <v>121600</v>
      </c>
    </row>
    <row r="72" spans="2:25" x14ac:dyDescent="0.25">
      <c r="B72" s="2" t="s">
        <v>0</v>
      </c>
      <c r="C72" s="3">
        <v>581468.85151752247</v>
      </c>
      <c r="D72" s="3">
        <v>627446</v>
      </c>
      <c r="E72" s="3">
        <v>686624.67826781585</v>
      </c>
      <c r="F72" s="3">
        <v>1334730</v>
      </c>
      <c r="G72" s="3">
        <v>278962.1285941425</v>
      </c>
      <c r="H72" s="3">
        <v>110300</v>
      </c>
      <c r="I72" s="3">
        <v>69550</v>
      </c>
      <c r="J72" s="3">
        <v>157900</v>
      </c>
      <c r="K72" s="3">
        <v>106081.85392426733</v>
      </c>
      <c r="L72" s="3">
        <v>58500</v>
      </c>
      <c r="M72" s="3">
        <v>332610.67826781585</v>
      </c>
      <c r="N72" s="3">
        <v>290672.51969421667</v>
      </c>
      <c r="O72" s="3">
        <v>340800</v>
      </c>
      <c r="P72" s="3">
        <v>161850</v>
      </c>
      <c r="Q72" s="3">
        <v>63000</v>
      </c>
      <c r="R72" s="3">
        <v>85967.519694216622</v>
      </c>
      <c r="S72" s="3">
        <v>128818.97924453997</v>
      </c>
      <c r="T72" s="3">
        <v>179400</v>
      </c>
      <c r="U72" s="3">
        <v>446550</v>
      </c>
      <c r="V72" s="3">
        <v>609418.71637579659</v>
      </c>
      <c r="W72" s="3">
        <v>370196.99017854687</v>
      </c>
      <c r="X72" s="3">
        <v>121642.12859414253</v>
      </c>
      <c r="Y72" s="3">
        <v>7142491.0443530222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13</vt:i4>
      </vt:variant>
    </vt:vector>
  </HeadingPairs>
  <TitlesOfParts>
    <vt:vector size="35" baseType="lpstr">
      <vt:lpstr>Control</vt:lpstr>
      <vt:lpstr>Queries_BB3</vt:lpstr>
      <vt:lpstr>Queries_BB4</vt:lpstr>
      <vt:lpstr>EL Prices</vt:lpstr>
      <vt:lpstr>HE Prices</vt:lpstr>
      <vt:lpstr>EL GEN - Annual</vt:lpstr>
      <vt:lpstr>EL GEN - Time</vt:lpstr>
      <vt:lpstr>HE GEN - Annual</vt:lpstr>
      <vt:lpstr>HE GEN - Time</vt:lpstr>
      <vt:lpstr>Fuel CON - Time</vt:lpstr>
      <vt:lpstr>Fuel CON - Annual</vt:lpstr>
      <vt:lpstr>Emissions - Annual</vt:lpstr>
      <vt:lpstr>HE STO - Time</vt:lpstr>
      <vt:lpstr>HY STO - Time</vt:lpstr>
      <vt:lpstr>EL TRAN - Time</vt:lpstr>
      <vt:lpstr>EL TRAN - Annual</vt:lpstr>
      <vt:lpstr>EL DEM - Time</vt:lpstr>
      <vt:lpstr>EL DEM - Annual</vt:lpstr>
      <vt:lpstr>GEN INVEST</vt:lpstr>
      <vt:lpstr>EL GEN CAP</vt:lpstr>
      <vt:lpstr>HE GEN CAP</vt:lpstr>
      <vt:lpstr>EL TRANS CAP</vt:lpstr>
      <vt:lpstr>C_filter</vt:lpstr>
      <vt:lpstr>CountryCB</vt:lpstr>
      <vt:lpstr>DE</vt:lpstr>
      <vt:lpstr>IGK</vt:lpstr>
      <vt:lpstr>O_Model</vt:lpstr>
      <vt:lpstr>QEEQ</vt:lpstr>
      <vt:lpstr>QHEQ</vt:lpstr>
      <vt:lpstr>STO</vt:lpstr>
      <vt:lpstr>VGE_T</vt:lpstr>
      <vt:lpstr>VGF_T</vt:lpstr>
      <vt:lpstr>VGH_T</vt:lpstr>
      <vt:lpstr>VGKN</vt:lpstr>
      <vt:lpstr>VX_T</vt:lpstr>
    </vt:vector>
  </TitlesOfParts>
  <Company>Tallinn University of Technology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Koduvere</dc:creator>
  <cp:lastModifiedBy>Hardi Koduvere</cp:lastModifiedBy>
  <dcterms:created xsi:type="dcterms:W3CDTF">2016-12-19T16:50:24Z</dcterms:created>
  <dcterms:modified xsi:type="dcterms:W3CDTF">2018-04-20T15:42:59Z</dcterms:modified>
</cp:coreProperties>
</file>